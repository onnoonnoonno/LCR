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ay Yoon\Desktop\LCR Management\data\history\"/>
    </mc:Choice>
  </mc:AlternateContent>
  <xr:revisionPtr revIDLastSave="0" documentId="8_{7372A82D-BBA2-4AEE-9387-1EF5B5EFCF58}" xr6:coauthVersionLast="47" xr6:coauthVersionMax="47" xr10:uidLastSave="{00000000-0000-0000-0000-000000000000}"/>
  <bookViews>
    <workbookView xWindow="780" yWindow="780" windowWidth="19350" windowHeight="15345" firstSheet="2" activeTab="6" xr2:uid="{00000000-000D-0000-FFFF-FFFF00000000}"/>
  </bookViews>
  <sheets>
    <sheet name="Summary" sheetId="22" r:id="rId1"/>
    <sheet name="Liquidity Maturity Gap" sheetId="21" r:id="rId2"/>
    <sheet name="BS_RE33" sheetId="1" r:id="rId3"/>
    <sheet name="Account Mapping" sheetId="2" state="hidden" r:id="rId4"/>
    <sheet name="ARF210_1A(AllCcy)" sheetId="9" r:id="rId5"/>
    <sheet name="30 days CF Table(AUD)" sheetId="19" state="hidden" r:id="rId6"/>
    <sheet name="Summary &amp; Working File(AllCcy)" sheetId="7" r:id="rId7"/>
    <sheet name="30 days CF Table(ALL)" sheetId="8" r:id="rId8"/>
    <sheet name="ARF210_1B(Ccy)" sheetId="17" r:id="rId9"/>
    <sheet name="Summary &amp; Working File(Ccy)" sheetId="18" r:id="rId10"/>
    <sheet name="30 days CF Table(Ccy)" sheetId="10" r:id="rId11"/>
    <sheet name="30 days CF Table(NZD)" sheetId="11" state="hidden" r:id="rId12"/>
    <sheet name="30 days CF Table(USD)" sheetId="12" state="hidden" r:id="rId13"/>
    <sheet name="30 days CF Table(GBP)" sheetId="13" state="hidden" r:id="rId14"/>
    <sheet name="30 days CF Table(EUR)" sheetId="14" state="hidden" r:id="rId15"/>
    <sheet name="30 days CF Table(JPY)" sheetId="15" state="hidden" r:id="rId16"/>
    <sheet name="30 days CF Table(RMB)" sheetId="16" state="hidden" r:id="rId17"/>
    <sheet name="Customer Type" sheetId="3" r:id="rId18"/>
    <sheet name="Assumptions" sheetId="4" state="hidden" r:id="rId19"/>
    <sheet name="Maturity Adjustment" sheetId="6" state="hidden" r:id="rId20"/>
  </sheets>
  <externalReferences>
    <externalReference r:id="rId21"/>
    <externalReference r:id="rId22"/>
    <externalReference r:id="rId23"/>
    <externalReference r:id="rId24"/>
  </externalReferences>
  <definedNames>
    <definedName name="_xlnm._FilterDatabase" localSheetId="7" hidden="1">'30 days CF Table(ALL)'!$I$1:$I$120</definedName>
    <definedName name="_xlnm._FilterDatabase" localSheetId="3" hidden="1">'Account Mapping'!$A$1:$F$216</definedName>
    <definedName name="_xlnm._FilterDatabase" localSheetId="4" hidden="1">'ARF210_1A(AllCcy)'!$B$17:$D$329</definedName>
    <definedName name="_xlnm._FilterDatabase" localSheetId="8" hidden="1">'ARF210_1B(Ccy)'!$B$17:$D$299</definedName>
    <definedName name="_xlnm._FilterDatabase" localSheetId="18" hidden="1">Assumptions!$A$1:$F$64</definedName>
    <definedName name="_xlnm._FilterDatabase" localSheetId="2" hidden="1">BS_RE33!$A$6:$AT$874</definedName>
    <definedName name="_xlnm._FilterDatabase" localSheetId="17" hidden="1">'Customer Type'!$A$2:$C$38</definedName>
    <definedName name="_xlnm._FilterDatabase" localSheetId="1" hidden="1">'Liquidity Maturity Gap'!#REF!</definedName>
    <definedName name="_xlnm._FilterDatabase" localSheetId="19" hidden="1">'Maturity Adjustment'!$A$2:$D$81</definedName>
    <definedName name="_xlnm._FilterDatabase" localSheetId="6" hidden="1">'Summary &amp; Working File(AllCcy)'!$A$20:$R$277</definedName>
    <definedName name="_xlnm._FilterDatabase" localSheetId="9" hidden="1">'Summary &amp; Working File(Ccy)'!$A$20:$R$277</definedName>
    <definedName name="a" localSheetId="7">#REF!</definedName>
    <definedName name="a" localSheetId="5">#REF!</definedName>
    <definedName name="a" localSheetId="10">#REF!</definedName>
    <definedName name="a" localSheetId="14">#REF!</definedName>
    <definedName name="a" localSheetId="13">#REF!</definedName>
    <definedName name="a" localSheetId="15">#REF!</definedName>
    <definedName name="a" localSheetId="11">#REF!</definedName>
    <definedName name="a" localSheetId="16">#REF!</definedName>
    <definedName name="a" localSheetId="12">#REF!</definedName>
    <definedName name="a" localSheetId="8">#REF!</definedName>
    <definedName name="a" localSheetId="2">#REF!</definedName>
    <definedName name="a" localSheetId="1">#REF!</definedName>
    <definedName name="a" localSheetId="9">#REF!</definedName>
    <definedName name="a">#REF!</definedName>
    <definedName name="AGGREGATION" localSheetId="7">#REF!</definedName>
    <definedName name="AGGREGATION" localSheetId="5">#REF!</definedName>
    <definedName name="AGGREGATION" localSheetId="10">#REF!</definedName>
    <definedName name="AGGREGATION" localSheetId="14">#REF!</definedName>
    <definedName name="AGGREGATION" localSheetId="13">#REF!</definedName>
    <definedName name="AGGREGATION" localSheetId="15">#REF!</definedName>
    <definedName name="AGGREGATION" localSheetId="11">#REF!</definedName>
    <definedName name="AGGREGATION" localSheetId="16">#REF!</definedName>
    <definedName name="AGGREGATION" localSheetId="12">#REF!</definedName>
    <definedName name="AGGREGATION" localSheetId="8">#REF!</definedName>
    <definedName name="AGGREGATION" localSheetId="2">#REF!</definedName>
    <definedName name="AGGREGATION" localSheetId="1">#REF!</definedName>
    <definedName name="AGGREGATION" localSheetId="9">#REF!</definedName>
    <definedName name="AGGREGATION">#REF!</definedName>
    <definedName name="AS2DocOpenMode" hidden="1">"AS2DocumentEdit"</definedName>
    <definedName name="BankCode">[1]Cover!$E$3</definedName>
    <definedName name="CHECK" localSheetId="7">#REF!</definedName>
    <definedName name="CHECK" localSheetId="5">#REF!</definedName>
    <definedName name="CHECK" localSheetId="10">#REF!</definedName>
    <definedName name="CHECK" localSheetId="14">#REF!</definedName>
    <definedName name="CHECK" localSheetId="13">#REF!</definedName>
    <definedName name="CHECK" localSheetId="15">#REF!</definedName>
    <definedName name="CHECK" localSheetId="11">#REF!</definedName>
    <definedName name="CHECK" localSheetId="16">#REF!</definedName>
    <definedName name="CHECK" localSheetId="12">#REF!</definedName>
    <definedName name="CHECK" localSheetId="8">#REF!</definedName>
    <definedName name="CHECK" localSheetId="2">#REF!</definedName>
    <definedName name="CHECK" localSheetId="1">#REF!</definedName>
    <definedName name="CHECK" localSheetId="9">#REF!</definedName>
    <definedName name="CHECK">#REF!</definedName>
    <definedName name="CurrencyCode">OFFSET([1]wksCurrency!$B$2:$B$27,1,0,ROWS([1]wksCurrency!$B$2:$B$27)-2)</definedName>
    <definedName name="CurrencyName">OFFSET([1]wksCurrency!$A$2:$A$27,1,0,ROWS([1]wksCurrency!$A$2:$A$27)-2)</definedName>
    <definedName name="date" localSheetId="7">[2]BSY_현지화!#REF!</definedName>
    <definedName name="date" localSheetId="5">[2]BSY_현지화!#REF!</definedName>
    <definedName name="date" localSheetId="10">[2]BSY_현지화!#REF!</definedName>
    <definedName name="date" localSheetId="14">[2]BSY_현지화!#REF!</definedName>
    <definedName name="date" localSheetId="13">[2]BSY_현지화!#REF!</definedName>
    <definedName name="date" localSheetId="15">[2]BSY_현지화!#REF!</definedName>
    <definedName name="date" localSheetId="11">[2]BSY_현지화!#REF!</definedName>
    <definedName name="date" localSheetId="16">[2]BSY_현지화!#REF!</definedName>
    <definedName name="date" localSheetId="12">[2]BSY_현지화!#REF!</definedName>
    <definedName name="date" localSheetId="8">[2]BSY_현지화!#REF!</definedName>
    <definedName name="date" localSheetId="2">[2]BSY_현지화!#REF!</definedName>
    <definedName name="date" localSheetId="1">[2]BSY_현지화!#REF!</definedName>
    <definedName name="date" localSheetId="9">[2]BSY_현지화!#REF!</definedName>
    <definedName name="date">[2]BSY_현지화!#REF!</definedName>
    <definedName name="DOMAIN" localSheetId="7">#REF!</definedName>
    <definedName name="DOMAIN" localSheetId="5">#REF!</definedName>
    <definedName name="DOMAIN" localSheetId="10">#REF!</definedName>
    <definedName name="DOMAIN" localSheetId="14">#REF!</definedName>
    <definedName name="DOMAIN" localSheetId="13">#REF!</definedName>
    <definedName name="DOMAIN" localSheetId="15">#REF!</definedName>
    <definedName name="DOMAIN" localSheetId="11">#REF!</definedName>
    <definedName name="DOMAIN" localSheetId="16">#REF!</definedName>
    <definedName name="DOMAIN" localSheetId="12">#REF!</definedName>
    <definedName name="DOMAIN" localSheetId="8">#REF!</definedName>
    <definedName name="DOMAIN" localSheetId="2">#REF!</definedName>
    <definedName name="DOMAIN" localSheetId="1">#REF!</definedName>
    <definedName name="DOMAIN" localSheetId="9">#REF!</definedName>
    <definedName name="DOMAIN">#REF!</definedName>
    <definedName name="ENTITY" localSheetId="7">#REF!</definedName>
    <definedName name="ENTITY" localSheetId="5">#REF!</definedName>
    <definedName name="ENTITY" localSheetId="10">#REF!</definedName>
    <definedName name="ENTITY" localSheetId="14">#REF!</definedName>
    <definedName name="ENTITY" localSheetId="13">#REF!</definedName>
    <definedName name="ENTITY" localSheetId="15">#REF!</definedName>
    <definedName name="ENTITY" localSheetId="11">#REF!</definedName>
    <definedName name="ENTITY" localSheetId="16">#REF!</definedName>
    <definedName name="ENTITY" localSheetId="12">#REF!</definedName>
    <definedName name="ENTITY" localSheetId="8">#REF!</definedName>
    <definedName name="ENTITY" localSheetId="2">#REF!</definedName>
    <definedName name="ENTITY" localSheetId="1">#REF!</definedName>
    <definedName name="ENTITY" localSheetId="9">#REF!</definedName>
    <definedName name="ENTITY">#REF!</definedName>
    <definedName name="FORMAT" localSheetId="7">#REF!</definedName>
    <definedName name="FORMAT" localSheetId="5">#REF!</definedName>
    <definedName name="FORMAT" localSheetId="10">#REF!</definedName>
    <definedName name="FORMAT" localSheetId="14">#REF!</definedName>
    <definedName name="FORMAT" localSheetId="13">#REF!</definedName>
    <definedName name="FORMAT" localSheetId="15">#REF!</definedName>
    <definedName name="FORMAT" localSheetId="11">#REF!</definedName>
    <definedName name="FORMAT" localSheetId="16">#REF!</definedName>
    <definedName name="FORMAT" localSheetId="12">#REF!</definedName>
    <definedName name="FORMAT" localSheetId="8">#REF!</definedName>
    <definedName name="FORMAT" localSheetId="2">#REF!</definedName>
    <definedName name="FORMAT" localSheetId="1">#REF!</definedName>
    <definedName name="FORMAT" localSheetId="9">#REF!</definedName>
    <definedName name="FORMAT">#REF!</definedName>
    <definedName name="half" localSheetId="7">[2]BSY_현지화!#REF!</definedName>
    <definedName name="half" localSheetId="5">[2]BSY_현지화!#REF!</definedName>
    <definedName name="half" localSheetId="10">[2]BSY_현지화!#REF!</definedName>
    <definedName name="half" localSheetId="14">[2]BSY_현지화!#REF!</definedName>
    <definedName name="half" localSheetId="13">[2]BSY_현지화!#REF!</definedName>
    <definedName name="half" localSheetId="15">[2]BSY_현지화!#REF!</definedName>
    <definedName name="half" localSheetId="11">[2]BSY_현지화!#REF!</definedName>
    <definedName name="half" localSheetId="16">[2]BSY_현지화!#REF!</definedName>
    <definedName name="half" localSheetId="12">[2]BSY_현지화!#REF!</definedName>
    <definedName name="half" localSheetId="8">[2]BSY_현지화!#REF!</definedName>
    <definedName name="half" localSheetId="2">[2]BSY_현지화!#REF!</definedName>
    <definedName name="half" localSheetId="1">[2]BSY_현지화!#REF!</definedName>
    <definedName name="half" localSheetId="9">[2]BSY_현지화!#REF!</definedName>
    <definedName name="half">[2]BSY_현지화!#REF!</definedName>
    <definedName name="ODB_DATA_TYPE" localSheetId="7">#REF!</definedName>
    <definedName name="ODB_DATA_TYPE" localSheetId="5">#REF!</definedName>
    <definedName name="ODB_DATA_TYPE" localSheetId="10">#REF!</definedName>
    <definedName name="ODB_DATA_TYPE" localSheetId="14">#REF!</definedName>
    <definedName name="ODB_DATA_TYPE" localSheetId="13">#REF!</definedName>
    <definedName name="ODB_DATA_TYPE" localSheetId="15">#REF!</definedName>
    <definedName name="ODB_DATA_TYPE" localSheetId="11">#REF!</definedName>
    <definedName name="ODB_DATA_TYPE" localSheetId="16">#REF!</definedName>
    <definedName name="ODB_DATA_TYPE" localSheetId="12">#REF!</definedName>
    <definedName name="ODB_DATA_TYPE" localSheetId="8">#REF!</definedName>
    <definedName name="ODB_DATA_TYPE" localSheetId="2">#REF!</definedName>
    <definedName name="ODB_DATA_TYPE" localSheetId="1">#REF!</definedName>
    <definedName name="ODB_DATA_TYPE" localSheetId="9">#REF!</definedName>
    <definedName name="ODB_DATA_TYPE">#REF!</definedName>
    <definedName name="PREPOPULATE" localSheetId="7">#REF!</definedName>
    <definedName name="PREPOPULATE" localSheetId="5">#REF!</definedName>
    <definedName name="PREPOPULATE" localSheetId="10">#REF!</definedName>
    <definedName name="PREPOPULATE" localSheetId="14">#REF!</definedName>
    <definedName name="PREPOPULATE" localSheetId="13">#REF!</definedName>
    <definedName name="PREPOPULATE" localSheetId="15">#REF!</definedName>
    <definedName name="PREPOPULATE" localSheetId="11">#REF!</definedName>
    <definedName name="PREPOPULATE" localSheetId="16">#REF!</definedName>
    <definedName name="PREPOPULATE" localSheetId="12">#REF!</definedName>
    <definedName name="PREPOPULATE" localSheetId="8">#REF!</definedName>
    <definedName name="PREPOPULATE" localSheetId="2">#REF!</definedName>
    <definedName name="PREPOPULATE" localSheetId="1">#REF!</definedName>
    <definedName name="PREPOPULATE" localSheetId="9">#REF!</definedName>
    <definedName name="PREPOPULATE">#REF!</definedName>
    <definedName name="_xlnm.Print_Area" localSheetId="4">'ARF210_1A(AllCcy)'!$A$1:$D$323</definedName>
    <definedName name="_xlnm.Print_Area" localSheetId="8">'ARF210_1B(Ccy)'!$A$1:$D$293</definedName>
    <definedName name="REPORTING_CONS">[3]Lists!$J$2:$J$7</definedName>
    <definedName name="SEVERITY" localSheetId="7">#REF!</definedName>
    <definedName name="SEVERITY" localSheetId="5">#REF!</definedName>
    <definedName name="SEVERITY" localSheetId="10">#REF!</definedName>
    <definedName name="SEVERITY" localSheetId="14">#REF!</definedName>
    <definedName name="SEVERITY" localSheetId="13">#REF!</definedName>
    <definedName name="SEVERITY" localSheetId="15">#REF!</definedName>
    <definedName name="SEVERITY" localSheetId="11">#REF!</definedName>
    <definedName name="SEVERITY" localSheetId="16">#REF!</definedName>
    <definedName name="SEVERITY" localSheetId="12">#REF!</definedName>
    <definedName name="SEVERITY" localSheetId="8">#REF!</definedName>
    <definedName name="SEVERITY" localSheetId="2">#REF!</definedName>
    <definedName name="SEVERITY" localSheetId="1">#REF!</definedName>
    <definedName name="SEVERITY" localSheetId="9">#REF!</definedName>
    <definedName name="SEVERITY">#REF!</definedName>
    <definedName name="STATUS" localSheetId="7">#REF!</definedName>
    <definedName name="STATUS" localSheetId="5">#REF!</definedName>
    <definedName name="STATUS" localSheetId="10">#REF!</definedName>
    <definedName name="STATUS" localSheetId="14">#REF!</definedName>
    <definedName name="STATUS" localSheetId="13">#REF!</definedName>
    <definedName name="STATUS" localSheetId="15">#REF!</definedName>
    <definedName name="STATUS" localSheetId="11">#REF!</definedName>
    <definedName name="STATUS" localSheetId="16">#REF!</definedName>
    <definedName name="STATUS" localSheetId="12">#REF!</definedName>
    <definedName name="STATUS" localSheetId="8">#REF!</definedName>
    <definedName name="STATUS" localSheetId="2">#REF!</definedName>
    <definedName name="STATUS" localSheetId="1">#REF!</definedName>
    <definedName name="STATUS" localSheetId="9">#REF!</definedName>
    <definedName name="STATUS">#REF!</definedName>
    <definedName name="term" localSheetId="7">[2]BSY_현지화!#REF!</definedName>
    <definedName name="term" localSheetId="5">[2]BSY_현지화!#REF!</definedName>
    <definedName name="term" localSheetId="10">[2]BSY_현지화!#REF!</definedName>
    <definedName name="term" localSheetId="14">[2]BSY_현지화!#REF!</definedName>
    <definedName name="term" localSheetId="13">[2]BSY_현지화!#REF!</definedName>
    <definedName name="term" localSheetId="15">[2]BSY_현지화!#REF!</definedName>
    <definedName name="term" localSheetId="11">[2]BSY_현지화!#REF!</definedName>
    <definedName name="term" localSheetId="16">[2]BSY_현지화!#REF!</definedName>
    <definedName name="term" localSheetId="12">[2]BSY_현지화!#REF!</definedName>
    <definedName name="term" localSheetId="8">[2]BSY_현지화!#REF!</definedName>
    <definedName name="term" localSheetId="2">[2]BSY_현지화!#REF!</definedName>
    <definedName name="term" localSheetId="1">[2]BSY_현지화!#REF!</definedName>
    <definedName name="term" localSheetId="9">[2]BSY_현지화!#REF!</definedName>
    <definedName name="term">[2]BSY_현지화!#REF!</definedName>
    <definedName name="YD" localSheetId="7">[2]BSY_현지화!#REF!</definedName>
    <definedName name="YD" localSheetId="5">[2]BSY_현지화!#REF!</definedName>
    <definedName name="YD" localSheetId="10">[2]BSY_현지화!#REF!</definedName>
    <definedName name="YD" localSheetId="14">[2]BSY_현지화!#REF!</definedName>
    <definedName name="YD" localSheetId="13">[2]BSY_현지화!#REF!</definedName>
    <definedName name="YD" localSheetId="15">[2]BSY_현지화!#REF!</definedName>
    <definedName name="YD" localSheetId="11">[2]BSY_현지화!#REF!</definedName>
    <definedName name="YD" localSheetId="16">[2]BSY_현지화!#REF!</definedName>
    <definedName name="YD" localSheetId="12">[2]BSY_현지화!#REF!</definedName>
    <definedName name="YD" localSheetId="8">[2]BSY_현지화!#REF!</definedName>
    <definedName name="YD" localSheetId="2">[2]BSY_현지화!#REF!</definedName>
    <definedName name="YD" localSheetId="1">[2]BSY_현지화!#REF!</definedName>
    <definedName name="YD" localSheetId="9">[2]BSY_현지화!#REF!</definedName>
    <definedName name="YD">[2]BSY_현지화!#REF!</definedName>
    <definedName name="통화코드">'[4]@공통코드'!$G$2:$G$11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 i="22" l="1"/>
  <c r="W620" i="1"/>
  <c r="S620" i="1"/>
  <c r="V620" i="1" s="1"/>
  <c r="Q620" i="1"/>
  <c r="N620" i="1"/>
  <c r="M620" i="1"/>
  <c r="L620" i="1"/>
  <c r="O620" i="1" s="1"/>
  <c r="W619" i="1"/>
  <c r="S619" i="1"/>
  <c r="T619" i="1" s="1"/>
  <c r="Q619" i="1"/>
  <c r="N619" i="1"/>
  <c r="M619" i="1"/>
  <c r="L619" i="1"/>
  <c r="O619" i="1" s="1"/>
  <c r="W618" i="1"/>
  <c r="Q618" i="1"/>
  <c r="N618" i="1"/>
  <c r="M618" i="1"/>
  <c r="L618" i="1"/>
  <c r="O618" i="1" s="1"/>
  <c r="W617" i="1"/>
  <c r="Q617" i="1"/>
  <c r="N617" i="1"/>
  <c r="M617" i="1"/>
  <c r="L617" i="1"/>
  <c r="O617" i="1" s="1"/>
  <c r="W616" i="1"/>
  <c r="Q616" i="1"/>
  <c r="N616" i="1"/>
  <c r="M616" i="1"/>
  <c r="L616" i="1"/>
  <c r="O616" i="1" s="1"/>
  <c r="W615" i="1"/>
  <c r="Q615" i="1"/>
  <c r="N615" i="1"/>
  <c r="M615" i="1"/>
  <c r="L615" i="1"/>
  <c r="O615" i="1" s="1"/>
  <c r="W614" i="1"/>
  <c r="S614" i="1"/>
  <c r="T614" i="1" s="1"/>
  <c r="Q614" i="1"/>
  <c r="N614" i="1"/>
  <c r="M614" i="1"/>
  <c r="L614" i="1"/>
  <c r="O614" i="1" s="1"/>
  <c r="W613" i="1"/>
  <c r="S613" i="1"/>
  <c r="V613" i="1" s="1"/>
  <c r="Q613" i="1"/>
  <c r="N613" i="1"/>
  <c r="M613" i="1"/>
  <c r="L613" i="1"/>
  <c r="O613" i="1" s="1"/>
  <c r="W612" i="1"/>
  <c r="S612" i="1"/>
  <c r="V612" i="1" s="1"/>
  <c r="Q612" i="1"/>
  <c r="N612" i="1"/>
  <c r="M612" i="1"/>
  <c r="L612" i="1"/>
  <c r="O612" i="1" s="1"/>
  <c r="W611" i="1"/>
  <c r="S611" i="1"/>
  <c r="V611" i="1" s="1"/>
  <c r="Q611" i="1"/>
  <c r="N611" i="1"/>
  <c r="M611" i="1"/>
  <c r="L611" i="1"/>
  <c r="O611" i="1" s="1"/>
  <c r="W610" i="1"/>
  <c r="S610" i="1"/>
  <c r="V610" i="1" s="1"/>
  <c r="Q610" i="1"/>
  <c r="N610" i="1"/>
  <c r="M610" i="1"/>
  <c r="L610" i="1"/>
  <c r="O610" i="1" s="1"/>
  <c r="W609" i="1"/>
  <c r="S609" i="1"/>
  <c r="V609" i="1" s="1"/>
  <c r="Q609" i="1"/>
  <c r="N609" i="1"/>
  <c r="M609" i="1"/>
  <c r="L609" i="1"/>
  <c r="O609" i="1" s="1"/>
  <c r="W608" i="1"/>
  <c r="S608" i="1"/>
  <c r="V608" i="1" s="1"/>
  <c r="Q608" i="1"/>
  <c r="N608" i="1"/>
  <c r="M608" i="1"/>
  <c r="L608" i="1"/>
  <c r="O608" i="1" s="1"/>
  <c r="W607" i="1"/>
  <c r="S607" i="1"/>
  <c r="T607" i="1" s="1"/>
  <c r="Q607" i="1"/>
  <c r="N607" i="1"/>
  <c r="M607" i="1"/>
  <c r="L607" i="1"/>
  <c r="O607" i="1" s="1"/>
  <c r="W606" i="1"/>
  <c r="S606" i="1"/>
  <c r="T606" i="1" s="1"/>
  <c r="Q606" i="1"/>
  <c r="N606" i="1"/>
  <c r="M606" i="1"/>
  <c r="L606" i="1"/>
  <c r="O606" i="1" s="1"/>
  <c r="W605" i="1"/>
  <c r="Q605" i="1"/>
  <c r="N605" i="1"/>
  <c r="M605" i="1"/>
  <c r="L605" i="1"/>
  <c r="O605" i="1" s="1"/>
  <c r="W604" i="1"/>
  <c r="Q604" i="1"/>
  <c r="N604" i="1"/>
  <c r="M604" i="1"/>
  <c r="L604" i="1"/>
  <c r="O604" i="1" s="1"/>
  <c r="W603" i="1"/>
  <c r="Q603" i="1"/>
  <c r="N603" i="1"/>
  <c r="M603" i="1"/>
  <c r="L603" i="1"/>
  <c r="O603" i="1" s="1"/>
  <c r="W602" i="1"/>
  <c r="Q602" i="1"/>
  <c r="N602" i="1"/>
  <c r="M602" i="1"/>
  <c r="L602" i="1"/>
  <c r="O602" i="1" s="1"/>
  <c r="W601" i="1"/>
  <c r="Q601" i="1"/>
  <c r="N601" i="1"/>
  <c r="M601" i="1"/>
  <c r="L601" i="1"/>
  <c r="O601" i="1" s="1"/>
  <c r="W600" i="1"/>
  <c r="Q600" i="1"/>
  <c r="N600" i="1"/>
  <c r="M600" i="1"/>
  <c r="L600" i="1"/>
  <c r="O600" i="1" s="1"/>
  <c r="W599" i="1"/>
  <c r="Q599" i="1"/>
  <c r="N599" i="1"/>
  <c r="M599" i="1"/>
  <c r="L599" i="1"/>
  <c r="O599" i="1" s="1"/>
  <c r="W598" i="1"/>
  <c r="Q598" i="1"/>
  <c r="N598" i="1"/>
  <c r="M598" i="1"/>
  <c r="L598" i="1"/>
  <c r="O598" i="1" s="1"/>
  <c r="W597" i="1"/>
  <c r="Q597" i="1"/>
  <c r="N597" i="1"/>
  <c r="M597" i="1"/>
  <c r="L597" i="1"/>
  <c r="O597" i="1" s="1"/>
  <c r="E27" i="22"/>
  <c r="F27" i="22" s="1"/>
  <c r="G27" i="22" s="1"/>
  <c r="H27" i="22" s="1"/>
  <c r="I27" i="22" s="1"/>
  <c r="J27" i="22" s="1"/>
  <c r="K27" i="22" s="1"/>
  <c r="E22" i="22"/>
  <c r="F22" i="22" s="1"/>
  <c r="G22" i="22" s="1"/>
  <c r="H22" i="22" s="1"/>
  <c r="I22" i="22" s="1"/>
  <c r="J22" i="22" s="1"/>
  <c r="K22" i="22" s="1"/>
  <c r="E17" i="22"/>
  <c r="F17" i="22" s="1"/>
  <c r="G17" i="22" s="1"/>
  <c r="H17" i="22" s="1"/>
  <c r="I17" i="22" s="1"/>
  <c r="J17" i="22" s="1"/>
  <c r="K17" i="22" s="1"/>
  <c r="P600" i="1" l="1"/>
  <c r="R600" i="1" s="1"/>
  <c r="U600" i="1" s="1"/>
  <c r="P619" i="1"/>
  <c r="R619" i="1" s="1"/>
  <c r="U619" i="1" s="1"/>
  <c r="P611" i="1"/>
  <c r="R611" i="1" s="1"/>
  <c r="U611" i="1" s="1"/>
  <c r="P601" i="1"/>
  <c r="R601" i="1" s="1"/>
  <c r="U601" i="1" s="1"/>
  <c r="P610" i="1"/>
  <c r="R610" i="1" s="1"/>
  <c r="U610" i="1" s="1"/>
  <c r="P612" i="1"/>
  <c r="R612" i="1" s="1"/>
  <c r="P599" i="1"/>
  <c r="R599" i="1" s="1"/>
  <c r="U599" i="1" s="1"/>
  <c r="P617" i="1"/>
  <c r="R617" i="1" s="1"/>
  <c r="U617" i="1" s="1"/>
  <c r="P613" i="1"/>
  <c r="R613" i="1" s="1"/>
  <c r="U613" i="1" s="1"/>
  <c r="P597" i="1"/>
  <c r="R597" i="1" s="1"/>
  <c r="U597" i="1" s="1"/>
  <c r="P616" i="1"/>
  <c r="R616" i="1" s="1"/>
  <c r="U616" i="1" s="1"/>
  <c r="P598" i="1"/>
  <c r="R598" i="1" s="1"/>
  <c r="U598" i="1" s="1"/>
  <c r="T608" i="1"/>
  <c r="V619" i="1"/>
  <c r="X619" i="1" s="1"/>
  <c r="V607" i="1"/>
  <c r="V606" i="1"/>
  <c r="T611" i="1"/>
  <c r="P603" i="1"/>
  <c r="R603" i="1" s="1"/>
  <c r="U603" i="1" s="1"/>
  <c r="P604" i="1"/>
  <c r="R604" i="1" s="1"/>
  <c r="U604" i="1" s="1"/>
  <c r="P607" i="1"/>
  <c r="R607" i="1" s="1"/>
  <c r="U607" i="1" s="1"/>
  <c r="P615" i="1"/>
  <c r="R615" i="1" s="1"/>
  <c r="U615" i="1" s="1"/>
  <c r="P609" i="1"/>
  <c r="R609" i="1" s="1"/>
  <c r="U609" i="1" s="1"/>
  <c r="P618" i="1"/>
  <c r="R618" i="1" s="1"/>
  <c r="U618" i="1" s="1"/>
  <c r="P606" i="1"/>
  <c r="R606" i="1" s="1"/>
  <c r="U606" i="1" s="1"/>
  <c r="X613" i="1"/>
  <c r="P614" i="1"/>
  <c r="R614" i="1" s="1"/>
  <c r="U614" i="1" s="1"/>
  <c r="P620" i="1"/>
  <c r="R620" i="1" s="1"/>
  <c r="U620" i="1" s="1"/>
  <c r="P602" i="1"/>
  <c r="R602" i="1" s="1"/>
  <c r="U602" i="1" s="1"/>
  <c r="P605" i="1"/>
  <c r="R605" i="1" s="1"/>
  <c r="U605" i="1" s="1"/>
  <c r="P608" i="1"/>
  <c r="R608" i="1" s="1"/>
  <c r="U608" i="1" s="1"/>
  <c r="X612" i="1"/>
  <c r="X620" i="1"/>
  <c r="T613" i="1"/>
  <c r="T612" i="1"/>
  <c r="V614" i="1"/>
  <c r="U612" i="1"/>
  <c r="T610" i="1"/>
  <c r="T609" i="1"/>
  <c r="T620" i="1"/>
  <c r="X614" i="1" l="1"/>
  <c r="C2" i="21" l="1"/>
  <c r="AM42" i="1"/>
  <c r="AN42" i="1" s="1"/>
  <c r="AO42" i="1" s="1"/>
  <c r="AP42" i="1" s="1"/>
  <c r="AQ42" i="1" s="1"/>
  <c r="AR42" i="1" s="1"/>
  <c r="AS42" i="1" s="1"/>
  <c r="AM30" i="1"/>
  <c r="AN30" i="1" s="1"/>
  <c r="AO30" i="1" s="1"/>
  <c r="AP30" i="1" s="1"/>
  <c r="AQ30" i="1" s="1"/>
  <c r="AR30" i="1" s="1"/>
  <c r="AS30" i="1" s="1"/>
  <c r="AL9" i="1"/>
  <c r="AM18" i="1"/>
  <c r="AN18" i="1" s="1"/>
  <c r="AO18" i="1" s="1"/>
  <c r="AP18" i="1" s="1"/>
  <c r="AQ18" i="1" s="1"/>
  <c r="AR18" i="1" s="1"/>
  <c r="AS18" i="1" s="1"/>
  <c r="AL21" i="1" l="1"/>
  <c r="AL22" i="1" s="1"/>
  <c r="D14" i="22"/>
  <c r="AL12" i="1"/>
  <c r="AL24" i="1" s="1"/>
  <c r="AL36" i="1" s="1"/>
  <c r="AM9" i="1"/>
  <c r="AL10" i="1"/>
  <c r="AM21" i="1" l="1"/>
  <c r="AM22" i="1" s="1"/>
  <c r="AL33" i="1"/>
  <c r="AM33" i="1" s="1"/>
  <c r="E14" i="22"/>
  <c r="D19" i="22"/>
  <c r="D15" i="22"/>
  <c r="AM12" i="1"/>
  <c r="AM24" i="1" s="1"/>
  <c r="AM36" i="1" s="1"/>
  <c r="AM10" i="1"/>
  <c r="AL34" i="1"/>
  <c r="AN9" i="1"/>
  <c r="AM34" i="1"/>
  <c r="AN33" i="1"/>
  <c r="AN21" i="1" l="1"/>
  <c r="AN22" i="1" s="1"/>
  <c r="F14" i="22"/>
  <c r="E15" i="22"/>
  <c r="E19" i="22"/>
  <c r="D24" i="22"/>
  <c r="D20" i="22"/>
  <c r="AN12" i="1"/>
  <c r="AN24" i="1" s="1"/>
  <c r="AN36" i="1" s="1"/>
  <c r="AN10" i="1"/>
  <c r="AO9" i="1"/>
  <c r="AP9" i="1" s="1"/>
  <c r="AO33" i="1"/>
  <c r="AN34" i="1"/>
  <c r="AO21" i="1" l="1"/>
  <c r="AO22" i="1" s="1"/>
  <c r="F15" i="22"/>
  <c r="G14" i="22"/>
  <c r="E24" i="22"/>
  <c r="D25" i="22"/>
  <c r="E20" i="22"/>
  <c r="F19" i="22"/>
  <c r="AO12" i="1"/>
  <c r="AO24" i="1" s="1"/>
  <c r="AO36" i="1" s="1"/>
  <c r="AO10" i="1"/>
  <c r="AP33" i="1"/>
  <c r="AO34" i="1"/>
  <c r="AP21" i="1" l="1"/>
  <c r="F24" i="22"/>
  <c r="E25" i="22"/>
  <c r="G19" i="22"/>
  <c r="F20" i="22"/>
  <c r="G15" i="22"/>
  <c r="H14" i="22"/>
  <c r="AQ9" i="1"/>
  <c r="AQ10" i="1" s="1"/>
  <c r="AP12" i="1"/>
  <c r="AP24" i="1" s="1"/>
  <c r="AP36" i="1" s="1"/>
  <c r="AP10" i="1"/>
  <c r="AQ33" i="1"/>
  <c r="AP34" i="1"/>
  <c r="AQ21" i="1" l="1"/>
  <c r="AP22" i="1"/>
  <c r="I14" i="22"/>
  <c r="H15" i="22"/>
  <c r="H19" i="22"/>
  <c r="G20" i="22"/>
  <c r="G24" i="22"/>
  <c r="F25" i="22"/>
  <c r="AQ12" i="1"/>
  <c r="AQ24" i="1" s="1"/>
  <c r="AQ36" i="1" s="1"/>
  <c r="AR9" i="1"/>
  <c r="AR10" i="1" s="1"/>
  <c r="AQ22" i="1"/>
  <c r="AR33" i="1"/>
  <c r="AQ34" i="1"/>
  <c r="AR21" i="1"/>
  <c r="H20" i="22" l="1"/>
  <c r="I19" i="22"/>
  <c r="G25" i="22"/>
  <c r="H24" i="22"/>
  <c r="I15" i="22"/>
  <c r="J14" i="22"/>
  <c r="AS9" i="1"/>
  <c r="AS12" i="1" s="1"/>
  <c r="AS24" i="1" s="1"/>
  <c r="AS36" i="1" s="1"/>
  <c r="AR12" i="1"/>
  <c r="AR24" i="1" s="1"/>
  <c r="AR36" i="1" s="1"/>
  <c r="AS33" i="1"/>
  <c r="AR22" i="1"/>
  <c r="AS21" i="1"/>
  <c r="AR34" i="1"/>
  <c r="I24" i="22" l="1"/>
  <c r="H25" i="22"/>
  <c r="J19" i="22"/>
  <c r="I20" i="22"/>
  <c r="K14" i="22"/>
  <c r="K15" i="22" s="1"/>
  <c r="J15" i="22"/>
  <c r="AS10" i="1"/>
  <c r="AS34" i="1"/>
  <c r="AS22" i="1"/>
  <c r="J20" i="22" l="1"/>
  <c r="K19" i="22"/>
  <c r="K20" i="22" s="1"/>
  <c r="J24" i="22"/>
  <c r="I25" i="22"/>
  <c r="C1" i="19"/>
  <c r="C2" i="8"/>
  <c r="K24" i="22" l="1"/>
  <c r="K25" i="22" s="1"/>
  <c r="J25" i="22"/>
  <c r="W596" i="1"/>
  <c r="Q596" i="1"/>
  <c r="N596" i="1"/>
  <c r="M596" i="1"/>
  <c r="L596" i="1"/>
  <c r="O596" i="1" s="1"/>
  <c r="W595" i="1"/>
  <c r="Q595" i="1"/>
  <c r="N595" i="1"/>
  <c r="M595" i="1"/>
  <c r="L595" i="1"/>
  <c r="O595" i="1" s="1"/>
  <c r="W594" i="1"/>
  <c r="Q594" i="1"/>
  <c r="N594" i="1"/>
  <c r="M594" i="1"/>
  <c r="L594" i="1"/>
  <c r="O594" i="1" s="1"/>
  <c r="W593" i="1"/>
  <c r="Q593" i="1"/>
  <c r="N593" i="1"/>
  <c r="M593" i="1"/>
  <c r="L593" i="1"/>
  <c r="O593" i="1" s="1"/>
  <c r="W592" i="1"/>
  <c r="Q592" i="1"/>
  <c r="N592" i="1"/>
  <c r="M592" i="1"/>
  <c r="L592" i="1"/>
  <c r="O592" i="1" s="1"/>
  <c r="W591" i="1"/>
  <c r="Q591" i="1"/>
  <c r="N591" i="1"/>
  <c r="M591" i="1"/>
  <c r="L591" i="1"/>
  <c r="O591" i="1" s="1"/>
  <c r="W590" i="1"/>
  <c r="Q590" i="1"/>
  <c r="N590" i="1"/>
  <c r="M590" i="1"/>
  <c r="L590" i="1"/>
  <c r="O590" i="1" s="1"/>
  <c r="P596" i="1" l="1"/>
  <c r="R596" i="1" s="1"/>
  <c r="U596" i="1" s="1"/>
  <c r="P593" i="1"/>
  <c r="R593" i="1" s="1"/>
  <c r="U593" i="1" s="1"/>
  <c r="P595" i="1"/>
  <c r="R595" i="1" s="1"/>
  <c r="U595" i="1" s="1"/>
  <c r="P590" i="1"/>
  <c r="R590" i="1" s="1"/>
  <c r="U590" i="1" s="1"/>
  <c r="P591" i="1"/>
  <c r="R591" i="1" s="1"/>
  <c r="U591" i="1" s="1"/>
  <c r="P592" i="1"/>
  <c r="R592" i="1" s="1"/>
  <c r="U592" i="1" s="1"/>
  <c r="P594" i="1"/>
  <c r="R594" i="1" s="1"/>
  <c r="U594" i="1" s="1"/>
  <c r="C14" i="6" l="1"/>
  <c r="C35" i="6"/>
  <c r="C75" i="6"/>
  <c r="C74" i="6"/>
  <c r="C73" i="6"/>
  <c r="C72" i="6"/>
  <c r="C76" i="6"/>
  <c r="C15" i="6"/>
  <c r="C16" i="6"/>
  <c r="C61" i="6"/>
  <c r="C63" i="6"/>
  <c r="C64" i="6"/>
  <c r="C65" i="6"/>
  <c r="C66" i="6"/>
  <c r="C67" i="6"/>
  <c r="C68" i="6"/>
  <c r="S617" i="1" l="1"/>
  <c r="S618" i="1"/>
  <c r="S615" i="1"/>
  <c r="S616" i="1"/>
  <c r="S599" i="1"/>
  <c r="S597" i="1"/>
  <c r="S601" i="1"/>
  <c r="S598" i="1"/>
  <c r="S602" i="1"/>
  <c r="S600" i="1"/>
  <c r="S605" i="1"/>
  <c r="S604" i="1"/>
  <c r="S603" i="1"/>
  <c r="S595" i="1"/>
  <c r="S593" i="1"/>
  <c r="S590" i="1"/>
  <c r="S592" i="1"/>
  <c r="S591" i="1"/>
  <c r="S596" i="1"/>
  <c r="S594" i="1"/>
  <c r="X4" i="1"/>
  <c r="S161" i="1"/>
  <c r="V161" i="1" s="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J16" i="7" a="1"/>
  <c r="J16" i="7" s="1"/>
  <c r="I16" i="7" a="1"/>
  <c r="I16" i="7" s="1"/>
  <c r="H16" i="7" a="1"/>
  <c r="H16" i="7" s="1"/>
  <c r="G16" i="7" a="1"/>
  <c r="G16" i="7" s="1"/>
  <c r="F16" i="7" a="1"/>
  <c r="F16" i="7" s="1"/>
  <c r="E16" i="7" a="1"/>
  <c r="E16" i="7" s="1"/>
  <c r="H12" i="7" a="1"/>
  <c r="H12" i="7" s="1"/>
  <c r="G12" i="7" a="1"/>
  <c r="G12" i="7" s="1"/>
  <c r="F12" i="7" a="1"/>
  <c r="F12" i="7" s="1"/>
  <c r="E12" i="7" a="1"/>
  <c r="E12" i="7" s="1"/>
  <c r="D2" i="18"/>
  <c r="C2" i="10"/>
  <c r="V600" i="1" l="1"/>
  <c r="T600" i="1"/>
  <c r="V605" i="1"/>
  <c r="T605" i="1"/>
  <c r="X608" i="1"/>
  <c r="T602" i="1"/>
  <c r="V602" i="1"/>
  <c r="T598" i="1"/>
  <c r="V598" i="1"/>
  <c r="V601" i="1"/>
  <c r="T601" i="1"/>
  <c r="V604" i="1"/>
  <c r="T604" i="1"/>
  <c r="T597" i="1"/>
  <c r="V597" i="1"/>
  <c r="T599" i="1"/>
  <c r="V599" i="1"/>
  <c r="V616" i="1"/>
  <c r="T616" i="1"/>
  <c r="V615" i="1"/>
  <c r="T615" i="1"/>
  <c r="T618" i="1"/>
  <c r="V618" i="1"/>
  <c r="V603" i="1"/>
  <c r="T603" i="1"/>
  <c r="V617" i="1"/>
  <c r="T617" i="1"/>
  <c r="V596" i="1"/>
  <c r="T596" i="1"/>
  <c r="T591" i="1"/>
  <c r="V591" i="1"/>
  <c r="T592" i="1"/>
  <c r="V592" i="1"/>
  <c r="V590" i="1"/>
  <c r="T590" i="1"/>
  <c r="V593" i="1"/>
  <c r="T593" i="1"/>
  <c r="V595" i="1"/>
  <c r="T595" i="1"/>
  <c r="V594" i="1"/>
  <c r="T594" i="1"/>
  <c r="AF5" i="1"/>
  <c r="AG4" i="1" s="1"/>
  <c r="AE5" i="1"/>
  <c r="AF4" i="1" s="1"/>
  <c r="AD5" i="1"/>
  <c r="AE4" i="1" s="1"/>
  <c r="AC5" i="1"/>
  <c r="AD4" i="1" s="1"/>
  <c r="AA5" i="1"/>
  <c r="AB4" i="1" s="1"/>
  <c r="Y5" i="1"/>
  <c r="Z4" i="1" s="1"/>
  <c r="Z5" i="1"/>
  <c r="AA4" i="1" s="1"/>
  <c r="X5" i="1"/>
  <c r="Y4" i="1" s="1"/>
  <c r="AB5" i="1"/>
  <c r="AC4" i="1" s="1"/>
  <c r="J15" i="7" a="1"/>
  <c r="J15" i="7" s="1"/>
  <c r="J14" i="7" a="1"/>
  <c r="J14" i="7" s="1"/>
  <c r="J16" i="18"/>
  <c r="I14" i="7" a="1"/>
  <c r="I14" i="7" s="1"/>
  <c r="I15" i="7" a="1"/>
  <c r="I15" i="7" s="1"/>
  <c r="I16" i="18"/>
  <c r="H15" i="7" a="1"/>
  <c r="H15" i="7" s="1"/>
  <c r="H14" i="7" a="1"/>
  <c r="H14" i="7" s="1"/>
  <c r="H16" i="18"/>
  <c r="G15" i="7" a="1"/>
  <c r="G15" i="7" s="1"/>
  <c r="G14" i="7" a="1"/>
  <c r="G14" i="7" s="1"/>
  <c r="G16" i="18"/>
  <c r="F14" i="7" a="1"/>
  <c r="F14" i="7" s="1"/>
  <c r="F15" i="7" a="1"/>
  <c r="F15" i="7" s="1"/>
  <c r="F16" i="18"/>
  <c r="E15" i="7" a="1"/>
  <c r="E15" i="7" s="1"/>
  <c r="E14" i="7" a="1"/>
  <c r="E14" i="7" s="1"/>
  <c r="E16" i="18"/>
  <c r="H11" i="7" a="1"/>
  <c r="H11" i="7" s="1"/>
  <c r="H10" i="7" a="1"/>
  <c r="H10" i="7" s="1"/>
  <c r="H12" i="18"/>
  <c r="G11" i="7" a="1"/>
  <c r="G11" i="7" s="1"/>
  <c r="G10" i="7" a="1"/>
  <c r="G10" i="7" s="1"/>
  <c r="G12" i="18"/>
  <c r="F11" i="7" a="1"/>
  <c r="F11" i="7" s="1"/>
  <c r="F10" i="7" a="1"/>
  <c r="F10" i="7" s="1"/>
  <c r="F12" i="18"/>
  <c r="E10" i="7" a="1"/>
  <c r="E10" i="7" s="1"/>
  <c r="E11" i="7" a="1"/>
  <c r="E11" i="7" s="1"/>
  <c r="E12" i="18"/>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M581" i="1"/>
  <c r="N581" i="1"/>
  <c r="W581" i="1"/>
  <c r="M582" i="1"/>
  <c r="N582" i="1"/>
  <c r="W582" i="1"/>
  <c r="M583" i="1"/>
  <c r="N583" i="1"/>
  <c r="W583" i="1"/>
  <c r="M584" i="1"/>
  <c r="N584" i="1"/>
  <c r="W584" i="1"/>
  <c r="M585" i="1"/>
  <c r="N585" i="1"/>
  <c r="W585" i="1"/>
  <c r="M586" i="1"/>
  <c r="N586" i="1"/>
  <c r="W586" i="1"/>
  <c r="M587" i="1"/>
  <c r="N587" i="1"/>
  <c r="W587" i="1"/>
  <c r="M588" i="1"/>
  <c r="N588" i="1"/>
  <c r="W588" i="1"/>
  <c r="M589" i="1"/>
  <c r="N589" i="1"/>
  <c r="W589" i="1"/>
  <c r="M560" i="1"/>
  <c r="N560" i="1"/>
  <c r="W560" i="1"/>
  <c r="M561" i="1"/>
  <c r="N561" i="1"/>
  <c r="W561" i="1"/>
  <c r="M562" i="1"/>
  <c r="N562" i="1"/>
  <c r="W562" i="1"/>
  <c r="M563" i="1"/>
  <c r="N563" i="1"/>
  <c r="W563" i="1"/>
  <c r="M564" i="1"/>
  <c r="N564" i="1"/>
  <c r="W564" i="1"/>
  <c r="M565" i="1"/>
  <c r="N565" i="1"/>
  <c r="W565" i="1"/>
  <c r="M566" i="1"/>
  <c r="N566" i="1"/>
  <c r="W566" i="1"/>
  <c r="M567" i="1"/>
  <c r="N567" i="1"/>
  <c r="W567" i="1"/>
  <c r="M568" i="1"/>
  <c r="N568" i="1"/>
  <c r="S568" i="1"/>
  <c r="V568" i="1" s="1"/>
  <c r="W568" i="1"/>
  <c r="M569" i="1"/>
  <c r="N569" i="1"/>
  <c r="W569" i="1"/>
  <c r="M570" i="1"/>
  <c r="N570" i="1"/>
  <c r="W570" i="1"/>
  <c r="M571" i="1"/>
  <c r="N571" i="1"/>
  <c r="W571" i="1"/>
  <c r="M572" i="1"/>
  <c r="N572" i="1"/>
  <c r="S572" i="1"/>
  <c r="V572" i="1" s="1"/>
  <c r="W572" i="1"/>
  <c r="M573" i="1"/>
  <c r="N573" i="1"/>
  <c r="S573" i="1"/>
  <c r="V573" i="1" s="1"/>
  <c r="W573" i="1"/>
  <c r="M574" i="1"/>
  <c r="N574" i="1"/>
  <c r="W574" i="1"/>
  <c r="M575" i="1"/>
  <c r="N575" i="1"/>
  <c r="W575" i="1"/>
  <c r="M576" i="1"/>
  <c r="N576" i="1"/>
  <c r="W576" i="1"/>
  <c r="M577" i="1"/>
  <c r="N577" i="1"/>
  <c r="W577" i="1"/>
  <c r="M578" i="1"/>
  <c r="N578" i="1"/>
  <c r="W578" i="1"/>
  <c r="M579" i="1"/>
  <c r="N579" i="1"/>
  <c r="W579" i="1"/>
  <c r="M580" i="1"/>
  <c r="N580" i="1"/>
  <c r="W580" i="1"/>
  <c r="G40" i="3"/>
  <c r="M548" i="1"/>
  <c r="N548" i="1"/>
  <c r="W548" i="1"/>
  <c r="M549" i="1"/>
  <c r="N549" i="1"/>
  <c r="W549" i="1"/>
  <c r="M550" i="1"/>
  <c r="N550" i="1"/>
  <c r="W550" i="1"/>
  <c r="M551" i="1"/>
  <c r="N551" i="1"/>
  <c r="W551" i="1"/>
  <c r="M552" i="1"/>
  <c r="N552" i="1"/>
  <c r="S552" i="1"/>
  <c r="V552" i="1" s="1"/>
  <c r="W552" i="1"/>
  <c r="M553" i="1"/>
  <c r="N553" i="1"/>
  <c r="S553" i="1"/>
  <c r="V553" i="1" s="1"/>
  <c r="W553" i="1"/>
  <c r="M554" i="1"/>
  <c r="N554" i="1"/>
  <c r="W554" i="1"/>
  <c r="M555" i="1"/>
  <c r="N555" i="1"/>
  <c r="W555" i="1"/>
  <c r="M556" i="1"/>
  <c r="N556" i="1"/>
  <c r="W556" i="1"/>
  <c r="M557" i="1"/>
  <c r="N557" i="1"/>
  <c r="W557" i="1"/>
  <c r="M558" i="1"/>
  <c r="N558" i="1"/>
  <c r="W558" i="1"/>
  <c r="M559" i="1"/>
  <c r="N559" i="1"/>
  <c r="W559" i="1"/>
  <c r="M527" i="1"/>
  <c r="N527" i="1"/>
  <c r="W527" i="1"/>
  <c r="M528" i="1"/>
  <c r="N528" i="1"/>
  <c r="W528" i="1"/>
  <c r="M529" i="1"/>
  <c r="N529" i="1"/>
  <c r="W529" i="1"/>
  <c r="M530" i="1"/>
  <c r="N530" i="1"/>
  <c r="W530" i="1"/>
  <c r="M531" i="1"/>
  <c r="N531" i="1"/>
  <c r="W531" i="1"/>
  <c r="M532" i="1"/>
  <c r="N532" i="1"/>
  <c r="W532" i="1"/>
  <c r="M533" i="1"/>
  <c r="N533" i="1"/>
  <c r="W533" i="1"/>
  <c r="M534" i="1"/>
  <c r="N534" i="1"/>
  <c r="W534" i="1"/>
  <c r="M535" i="1"/>
  <c r="N535" i="1"/>
  <c r="W535" i="1"/>
  <c r="M536" i="1"/>
  <c r="N536" i="1"/>
  <c r="W536" i="1"/>
  <c r="M537" i="1"/>
  <c r="N537" i="1"/>
  <c r="W537" i="1"/>
  <c r="M538" i="1"/>
  <c r="N538" i="1"/>
  <c r="W538" i="1"/>
  <c r="M539" i="1"/>
  <c r="N539" i="1"/>
  <c r="W539" i="1"/>
  <c r="M540" i="1"/>
  <c r="N540" i="1"/>
  <c r="W540" i="1"/>
  <c r="M541" i="1"/>
  <c r="N541" i="1"/>
  <c r="W541" i="1"/>
  <c r="M542" i="1"/>
  <c r="N542" i="1"/>
  <c r="W542" i="1"/>
  <c r="M543" i="1"/>
  <c r="N543" i="1"/>
  <c r="W543" i="1"/>
  <c r="M544" i="1"/>
  <c r="N544" i="1"/>
  <c r="W544" i="1"/>
  <c r="M545" i="1"/>
  <c r="N545" i="1"/>
  <c r="W545" i="1"/>
  <c r="M546" i="1"/>
  <c r="N546" i="1"/>
  <c r="W546" i="1"/>
  <c r="M547" i="1"/>
  <c r="N547" i="1"/>
  <c r="W547" i="1"/>
  <c r="AF616" i="1" l="1"/>
  <c r="AE616" i="1"/>
  <c r="Y616" i="1"/>
  <c r="AD616" i="1"/>
  <c r="AC616" i="1"/>
  <c r="X616" i="1"/>
  <c r="AB616" i="1"/>
  <c r="Z616" i="1"/>
  <c r="AA616" i="1"/>
  <c r="Y599" i="1"/>
  <c r="AF599" i="1"/>
  <c r="AD599" i="1"/>
  <c r="AB599" i="1"/>
  <c r="Z599" i="1"/>
  <c r="AE599" i="1"/>
  <c r="X599" i="1"/>
  <c r="AC599" i="1"/>
  <c r="AA599" i="1"/>
  <c r="X607" i="1"/>
  <c r="AF602" i="1"/>
  <c r="Y602" i="1"/>
  <c r="AD602" i="1"/>
  <c r="AA602" i="1"/>
  <c r="AC602" i="1"/>
  <c r="AB602" i="1"/>
  <c r="Z602" i="1"/>
  <c r="X602" i="1"/>
  <c r="AE602" i="1"/>
  <c r="X606" i="1"/>
  <c r="AF597" i="1"/>
  <c r="AA597" i="1"/>
  <c r="Z597" i="1"/>
  <c r="Y597" i="1"/>
  <c r="X597" i="1"/>
  <c r="AD597" i="1"/>
  <c r="AB597" i="1"/>
  <c r="AC597" i="1"/>
  <c r="AE597" i="1"/>
  <c r="AC610" i="1"/>
  <c r="AC611" i="1"/>
  <c r="AC608" i="1"/>
  <c r="AC612" i="1"/>
  <c r="AC620" i="1"/>
  <c r="AC609" i="1"/>
  <c r="AC619" i="1"/>
  <c r="AC613" i="1"/>
  <c r="AC607" i="1"/>
  <c r="AC614" i="1"/>
  <c r="AC606" i="1"/>
  <c r="AE617" i="1"/>
  <c r="AF617" i="1"/>
  <c r="AC617" i="1"/>
  <c r="AA617" i="1"/>
  <c r="Z617" i="1"/>
  <c r="Y617" i="1"/>
  <c r="X617" i="1"/>
  <c r="AB617" i="1"/>
  <c r="AD617" i="1"/>
  <c r="X610" i="1"/>
  <c r="Y613" i="1"/>
  <c r="Y607" i="1"/>
  <c r="Y612" i="1"/>
  <c r="Y608" i="1"/>
  <c r="Y610" i="1"/>
  <c r="Y606" i="1"/>
  <c r="Y609" i="1"/>
  <c r="Y620" i="1"/>
  <c r="Y611" i="1"/>
  <c r="Y619" i="1"/>
  <c r="Y614" i="1"/>
  <c r="X609" i="1"/>
  <c r="AA613" i="1"/>
  <c r="AA607" i="1"/>
  <c r="AA609" i="1"/>
  <c r="AA608" i="1"/>
  <c r="AA610" i="1"/>
  <c r="AA620" i="1"/>
  <c r="AA619" i="1"/>
  <c r="AA611" i="1"/>
  <c r="AA612" i="1"/>
  <c r="AA606" i="1"/>
  <c r="AA614" i="1"/>
  <c r="AC603" i="1"/>
  <c r="AD603" i="1"/>
  <c r="X603" i="1"/>
  <c r="AF603" i="1"/>
  <c r="Z603" i="1"/>
  <c r="AB603" i="1"/>
  <c r="Y603" i="1"/>
  <c r="AA603" i="1"/>
  <c r="AE603" i="1"/>
  <c r="AC604" i="1"/>
  <c r="AD604" i="1"/>
  <c r="Z604" i="1"/>
  <c r="AB604" i="1"/>
  <c r="AF604" i="1"/>
  <c r="AA604" i="1"/>
  <c r="AE604" i="1"/>
  <c r="Y604" i="1"/>
  <c r="X604" i="1"/>
  <c r="X611" i="1"/>
  <c r="Z612" i="1"/>
  <c r="Z613" i="1"/>
  <c r="Z611" i="1"/>
  <c r="Z609" i="1"/>
  <c r="Z620" i="1"/>
  <c r="Z606" i="1"/>
  <c r="Z610" i="1"/>
  <c r="Z608" i="1"/>
  <c r="Z607" i="1"/>
  <c r="Z619" i="1"/>
  <c r="Z614" i="1"/>
  <c r="AF618" i="1"/>
  <c r="X618" i="1"/>
  <c r="AA618" i="1"/>
  <c r="AE618" i="1"/>
  <c r="AD618" i="1"/>
  <c r="AC618" i="1"/>
  <c r="Z618" i="1"/>
  <c r="AB618" i="1"/>
  <c r="Y618" i="1"/>
  <c r="AF611" i="1"/>
  <c r="AF609" i="1"/>
  <c r="AF620" i="1"/>
  <c r="AF608" i="1"/>
  <c r="AF610" i="1"/>
  <c r="AF612" i="1"/>
  <c r="AF607" i="1"/>
  <c r="AF613" i="1"/>
  <c r="AF606" i="1"/>
  <c r="AF619" i="1"/>
  <c r="AF614" i="1"/>
  <c r="AB611" i="1"/>
  <c r="AB609" i="1"/>
  <c r="AB610" i="1"/>
  <c r="AB608" i="1"/>
  <c r="AB620" i="1"/>
  <c r="AB612" i="1"/>
  <c r="AB613" i="1"/>
  <c r="AB607" i="1"/>
  <c r="AB619" i="1"/>
  <c r="AB606" i="1"/>
  <c r="AB614" i="1"/>
  <c r="AC601" i="1"/>
  <c r="AA601" i="1"/>
  <c r="Z601" i="1"/>
  <c r="Y601" i="1"/>
  <c r="AE601" i="1"/>
  <c r="X601" i="1"/>
  <c r="AB601" i="1"/>
  <c r="AF601" i="1"/>
  <c r="AD601" i="1"/>
  <c r="AE605" i="1"/>
  <c r="AF605" i="1"/>
  <c r="Y605" i="1"/>
  <c r="AB605" i="1"/>
  <c r="X605" i="1"/>
  <c r="Z605" i="1"/>
  <c r="AD605" i="1"/>
  <c r="AC605" i="1"/>
  <c r="AA605" i="1"/>
  <c r="AD608" i="1"/>
  <c r="AD620" i="1"/>
  <c r="AD619" i="1"/>
  <c r="AD613" i="1"/>
  <c r="AD609" i="1"/>
  <c r="AD612" i="1"/>
  <c r="AD606" i="1"/>
  <c r="AD610" i="1"/>
  <c r="AD611" i="1"/>
  <c r="AD614" i="1"/>
  <c r="AD607" i="1"/>
  <c r="X598" i="1"/>
  <c r="AB598" i="1"/>
  <c r="AA598" i="1"/>
  <c r="Y598" i="1"/>
  <c r="AC598" i="1"/>
  <c r="Z598" i="1"/>
  <c r="AE598" i="1"/>
  <c r="AD598" i="1"/>
  <c r="AF598" i="1"/>
  <c r="AE611" i="1"/>
  <c r="AE619" i="1"/>
  <c r="AE607" i="1"/>
  <c r="AE620" i="1"/>
  <c r="AE609" i="1"/>
  <c r="AE613" i="1"/>
  <c r="AE608" i="1"/>
  <c r="AE610" i="1"/>
  <c r="AE606" i="1"/>
  <c r="AE612" i="1"/>
  <c r="AE614" i="1"/>
  <c r="AC615" i="1"/>
  <c r="AF615" i="1"/>
  <c r="AD615" i="1"/>
  <c r="AE615" i="1"/>
  <c r="Z615" i="1"/>
  <c r="AA615" i="1"/>
  <c r="Y615" i="1"/>
  <c r="X615" i="1"/>
  <c r="AB615" i="1"/>
  <c r="Z600" i="1"/>
  <c r="AB600" i="1"/>
  <c r="Y600" i="1"/>
  <c r="AE600" i="1"/>
  <c r="AC600" i="1"/>
  <c r="X600" i="1"/>
  <c r="AD600" i="1"/>
  <c r="AA600" i="1"/>
  <c r="AF600" i="1"/>
  <c r="J66" i="19"/>
  <c r="K66" i="19" s="1"/>
  <c r="J67" i="19"/>
  <c r="K67" i="19" s="1"/>
  <c r="P534" i="1"/>
  <c r="R534" i="1" s="1"/>
  <c r="U534" i="1" s="1"/>
  <c r="X595" i="1"/>
  <c r="AF595" i="1"/>
  <c r="AD595" i="1"/>
  <c r="Y595" i="1"/>
  <c r="AC595" i="1"/>
  <c r="AB595" i="1"/>
  <c r="AA595" i="1"/>
  <c r="Z595" i="1"/>
  <c r="AE595" i="1"/>
  <c r="Z593" i="1"/>
  <c r="Y593" i="1"/>
  <c r="X593" i="1"/>
  <c r="AD593" i="1"/>
  <c r="AF593" i="1"/>
  <c r="AE593" i="1"/>
  <c r="AA593" i="1"/>
  <c r="AB593" i="1"/>
  <c r="AC593" i="1"/>
  <c r="AE590" i="1"/>
  <c r="AF590" i="1"/>
  <c r="Y590" i="1"/>
  <c r="AB590" i="1"/>
  <c r="AD590" i="1"/>
  <c r="Z590" i="1"/>
  <c r="AC590" i="1"/>
  <c r="X590" i="1"/>
  <c r="AA590" i="1"/>
  <c r="AB592" i="1"/>
  <c r="AC592" i="1"/>
  <c r="Z592" i="1"/>
  <c r="AD592" i="1"/>
  <c r="AA592" i="1"/>
  <c r="AE592" i="1"/>
  <c r="X592" i="1"/>
  <c r="Y592" i="1"/>
  <c r="AF592" i="1"/>
  <c r="AF591" i="1"/>
  <c r="AC591" i="1"/>
  <c r="AA591" i="1"/>
  <c r="Y591" i="1"/>
  <c r="Z591" i="1"/>
  <c r="AD591" i="1"/>
  <c r="X591" i="1"/>
  <c r="AE591" i="1"/>
  <c r="AB591" i="1"/>
  <c r="AE594" i="1"/>
  <c r="X594" i="1"/>
  <c r="AD594" i="1"/>
  <c r="AF594" i="1"/>
  <c r="Y594" i="1"/>
  <c r="AB594" i="1"/>
  <c r="AA594" i="1"/>
  <c r="Z594" i="1"/>
  <c r="AC594" i="1"/>
  <c r="AF596" i="1"/>
  <c r="AE596" i="1"/>
  <c r="AD596" i="1"/>
  <c r="AC596" i="1"/>
  <c r="Z596" i="1"/>
  <c r="AB596" i="1"/>
  <c r="AA596" i="1"/>
  <c r="Y596" i="1"/>
  <c r="X596" i="1"/>
  <c r="P528" i="1"/>
  <c r="R528" i="1" s="1"/>
  <c r="U528" i="1" s="1"/>
  <c r="P584" i="1"/>
  <c r="R584" i="1" s="1"/>
  <c r="U584" i="1" s="1"/>
  <c r="P536" i="1"/>
  <c r="R536" i="1" s="1"/>
  <c r="U536" i="1" s="1"/>
  <c r="P560" i="1"/>
  <c r="R560" i="1" s="1"/>
  <c r="U560" i="1" s="1"/>
  <c r="P529" i="1"/>
  <c r="R529" i="1" s="1"/>
  <c r="U529" i="1" s="1"/>
  <c r="P546" i="1"/>
  <c r="R546" i="1" s="1"/>
  <c r="U546" i="1" s="1"/>
  <c r="P570" i="1"/>
  <c r="R570" i="1" s="1"/>
  <c r="U570" i="1" s="1"/>
  <c r="P558" i="1"/>
  <c r="R558" i="1" s="1"/>
  <c r="U558" i="1" s="1"/>
  <c r="P535" i="1"/>
  <c r="R535" i="1" s="1"/>
  <c r="U535" i="1" s="1"/>
  <c r="AE161" i="1"/>
  <c r="AA161" i="1"/>
  <c r="AD161" i="1"/>
  <c r="P554" i="1"/>
  <c r="R554" i="1" s="1"/>
  <c r="U554" i="1" s="1"/>
  <c r="AF161" i="1"/>
  <c r="Z161" i="1"/>
  <c r="P578" i="1"/>
  <c r="R578" i="1" s="1"/>
  <c r="U578" i="1" s="1"/>
  <c r="P542" i="1"/>
  <c r="R542" i="1" s="1"/>
  <c r="U542" i="1" s="1"/>
  <c r="P548" i="1"/>
  <c r="R548" i="1" s="1"/>
  <c r="U548" i="1" s="1"/>
  <c r="P530" i="1"/>
  <c r="R530" i="1" s="1"/>
  <c r="U530" i="1" s="1"/>
  <c r="P541" i="1"/>
  <c r="R541" i="1" s="1"/>
  <c r="U541" i="1" s="1"/>
  <c r="P572" i="1"/>
  <c r="R572" i="1" s="1"/>
  <c r="U572" i="1" s="1"/>
  <c r="P547" i="1"/>
  <c r="R547" i="1" s="1"/>
  <c r="U547" i="1" s="1"/>
  <c r="X161" i="1"/>
  <c r="Y161" i="1"/>
  <c r="P537" i="1"/>
  <c r="R537" i="1" s="1"/>
  <c r="U537" i="1" s="1"/>
  <c r="P553" i="1"/>
  <c r="R553" i="1" s="1"/>
  <c r="U553" i="1" s="1"/>
  <c r="P568" i="1"/>
  <c r="R568" i="1" s="1"/>
  <c r="U568" i="1" s="1"/>
  <c r="P582" i="1"/>
  <c r="R582" i="1" s="1"/>
  <c r="U582" i="1" s="1"/>
  <c r="P531" i="1"/>
  <c r="R531" i="1" s="1"/>
  <c r="U531" i="1" s="1"/>
  <c r="P556" i="1"/>
  <c r="R556" i="1" s="1"/>
  <c r="U556" i="1" s="1"/>
  <c r="P571" i="1"/>
  <c r="R571" i="1" s="1"/>
  <c r="U571" i="1" s="1"/>
  <c r="P589" i="1"/>
  <c r="R589" i="1" s="1"/>
  <c r="U589" i="1" s="1"/>
  <c r="P532" i="1"/>
  <c r="R532" i="1" s="1"/>
  <c r="U532" i="1" s="1"/>
  <c r="P559" i="1"/>
  <c r="R559" i="1" s="1"/>
  <c r="U559" i="1" s="1"/>
  <c r="P577" i="1"/>
  <c r="R577" i="1" s="1"/>
  <c r="U577" i="1" s="1"/>
  <c r="P580" i="1"/>
  <c r="R580" i="1" s="1"/>
  <c r="U580" i="1" s="1"/>
  <c r="P544" i="1"/>
  <c r="R544" i="1" s="1"/>
  <c r="U544" i="1" s="1"/>
  <c r="P565" i="1"/>
  <c r="R565" i="1" s="1"/>
  <c r="U565" i="1" s="1"/>
  <c r="P583" i="1"/>
  <c r="R583" i="1" s="1"/>
  <c r="U583" i="1" s="1"/>
  <c r="P552" i="1"/>
  <c r="R552" i="1" s="1"/>
  <c r="U552" i="1" s="1"/>
  <c r="P566" i="1"/>
  <c r="R566" i="1" s="1"/>
  <c r="U566" i="1" s="1"/>
  <c r="P540" i="1"/>
  <c r="R540" i="1" s="1"/>
  <c r="U540" i="1" s="1"/>
  <c r="P576" i="1"/>
  <c r="R576" i="1" s="1"/>
  <c r="U576" i="1" s="1"/>
  <c r="P579" i="1"/>
  <c r="R579" i="1" s="1"/>
  <c r="U579" i="1" s="1"/>
  <c r="P564" i="1"/>
  <c r="R564" i="1" s="1"/>
  <c r="U564" i="1" s="1"/>
  <c r="P551" i="1"/>
  <c r="R551" i="1" s="1"/>
  <c r="U551" i="1" s="1"/>
  <c r="P586" i="1"/>
  <c r="R586" i="1" s="1"/>
  <c r="U586" i="1" s="1"/>
  <c r="P573" i="1"/>
  <c r="R573" i="1" s="1"/>
  <c r="U573" i="1" s="1"/>
  <c r="P562" i="1"/>
  <c r="R562" i="1" s="1"/>
  <c r="U562" i="1" s="1"/>
  <c r="P585" i="1"/>
  <c r="R585" i="1" s="1"/>
  <c r="U585" i="1" s="1"/>
  <c r="P588" i="1"/>
  <c r="R588" i="1" s="1"/>
  <c r="U588" i="1" s="1"/>
  <c r="P527" i="1"/>
  <c r="R527" i="1" s="1"/>
  <c r="U527" i="1" s="1"/>
  <c r="P575" i="1"/>
  <c r="R575" i="1" s="1"/>
  <c r="U575" i="1" s="1"/>
  <c r="P561" i="1"/>
  <c r="R561" i="1" s="1"/>
  <c r="U561" i="1" s="1"/>
  <c r="P538" i="1"/>
  <c r="R538" i="1" s="1"/>
  <c r="U538" i="1" s="1"/>
  <c r="P549" i="1"/>
  <c r="R549" i="1" s="1"/>
  <c r="U549" i="1" s="1"/>
  <c r="P587" i="1"/>
  <c r="R587" i="1" s="1"/>
  <c r="U587" i="1" s="1"/>
  <c r="P563" i="1"/>
  <c r="R563" i="1" s="1"/>
  <c r="U563" i="1" s="1"/>
  <c r="P539" i="1"/>
  <c r="R539" i="1" s="1"/>
  <c r="U539" i="1" s="1"/>
  <c r="P555" i="1"/>
  <c r="R555" i="1" s="1"/>
  <c r="U555" i="1" s="1"/>
  <c r="P574" i="1"/>
  <c r="R574" i="1" s="1"/>
  <c r="U574" i="1" s="1"/>
  <c r="AB161" i="1"/>
  <c r="P533" i="1"/>
  <c r="R533" i="1" s="1"/>
  <c r="U533" i="1" s="1"/>
  <c r="AC161" i="1"/>
  <c r="P545" i="1"/>
  <c r="R545" i="1" s="1"/>
  <c r="U545" i="1" s="1"/>
  <c r="P567" i="1"/>
  <c r="R567" i="1" s="1"/>
  <c r="U567" i="1" s="1"/>
  <c r="P581" i="1"/>
  <c r="R581" i="1" s="1"/>
  <c r="U581" i="1" s="1"/>
  <c r="P543" i="1"/>
  <c r="R543" i="1" s="1"/>
  <c r="U543" i="1" s="1"/>
  <c r="P557" i="1"/>
  <c r="R557" i="1" s="1"/>
  <c r="U557" i="1" s="1"/>
  <c r="P550" i="1"/>
  <c r="R550" i="1" s="1"/>
  <c r="U550" i="1" s="1"/>
  <c r="P569" i="1"/>
  <c r="R569" i="1" s="1"/>
  <c r="U569" i="1" s="1"/>
  <c r="AA573" i="1"/>
  <c r="Y573" i="1"/>
  <c r="X573" i="1"/>
  <c r="AF573" i="1"/>
  <c r="AE573" i="1"/>
  <c r="AD573" i="1"/>
  <c r="AC573" i="1"/>
  <c r="AB573" i="1"/>
  <c r="Z573" i="1"/>
  <c r="AF553" i="1"/>
  <c r="AE553" i="1"/>
  <c r="AD553" i="1"/>
  <c r="AB553" i="1"/>
  <c r="AA553" i="1"/>
  <c r="Z553" i="1"/>
  <c r="Y553" i="1"/>
  <c r="AC553" i="1"/>
  <c r="X553" i="1"/>
  <c r="AF552" i="1"/>
  <c r="AE552" i="1"/>
  <c r="AD552" i="1"/>
  <c r="AC552" i="1"/>
  <c r="AB552" i="1"/>
  <c r="Z552" i="1"/>
  <c r="Y552" i="1"/>
  <c r="X552" i="1"/>
  <c r="AA552" i="1"/>
  <c r="AC568" i="1"/>
  <c r="AF568" i="1"/>
  <c r="AD568" i="1"/>
  <c r="AB568" i="1"/>
  <c r="AA568" i="1"/>
  <c r="Z568" i="1"/>
  <c r="AE568" i="1"/>
  <c r="Y568" i="1"/>
  <c r="X568" i="1"/>
  <c r="Y572" i="1"/>
  <c r="AF572" i="1"/>
  <c r="AE572" i="1"/>
  <c r="AC572" i="1"/>
  <c r="AB572" i="1"/>
  <c r="AA572" i="1"/>
  <c r="Z572" i="1"/>
  <c r="AD572" i="1"/>
  <c r="X572" i="1"/>
  <c r="J12" i="7"/>
  <c r="H8" i="7"/>
  <c r="T572" i="1"/>
  <c r="T568" i="1"/>
  <c r="T573" i="1"/>
  <c r="T553" i="1"/>
  <c r="T552" i="1"/>
  <c r="O511" i="1"/>
  <c r="M511" i="1"/>
  <c r="N511" i="1"/>
  <c r="W511" i="1"/>
  <c r="O512" i="1"/>
  <c r="M512" i="1"/>
  <c r="N512" i="1"/>
  <c r="W512" i="1"/>
  <c r="O513" i="1"/>
  <c r="M513" i="1"/>
  <c r="N513" i="1"/>
  <c r="W513" i="1"/>
  <c r="O514" i="1"/>
  <c r="M514" i="1"/>
  <c r="N514" i="1"/>
  <c r="W514" i="1"/>
  <c r="O515" i="1"/>
  <c r="M515" i="1"/>
  <c r="N515" i="1"/>
  <c r="W515" i="1"/>
  <c r="O516" i="1"/>
  <c r="M516" i="1"/>
  <c r="N516" i="1"/>
  <c r="W516" i="1"/>
  <c r="O517" i="1"/>
  <c r="M517" i="1"/>
  <c r="N517" i="1"/>
  <c r="W517" i="1"/>
  <c r="O518" i="1"/>
  <c r="M518" i="1"/>
  <c r="N518" i="1"/>
  <c r="W518" i="1"/>
  <c r="O519" i="1"/>
  <c r="M519" i="1"/>
  <c r="N519" i="1"/>
  <c r="W519" i="1"/>
  <c r="O520" i="1"/>
  <c r="M520" i="1"/>
  <c r="N520" i="1"/>
  <c r="W520" i="1"/>
  <c r="O521" i="1"/>
  <c r="M521" i="1"/>
  <c r="N521" i="1"/>
  <c r="W521" i="1"/>
  <c r="O522" i="1"/>
  <c r="M522" i="1"/>
  <c r="N522" i="1"/>
  <c r="W522" i="1"/>
  <c r="O523" i="1"/>
  <c r="M523" i="1"/>
  <c r="N523" i="1"/>
  <c r="W523" i="1"/>
  <c r="O524" i="1"/>
  <c r="M524" i="1"/>
  <c r="N524" i="1"/>
  <c r="W524" i="1"/>
  <c r="O525" i="1"/>
  <c r="M525" i="1"/>
  <c r="N525" i="1"/>
  <c r="W525" i="1"/>
  <c r="O526" i="1"/>
  <c r="M526" i="1"/>
  <c r="N526" i="1"/>
  <c r="W526" i="1"/>
  <c r="AH624" i="1" l="1"/>
  <c r="AH625" i="1"/>
  <c r="AH622" i="1"/>
  <c r="AH623" i="1"/>
  <c r="AH628" i="1"/>
  <c r="AH627" i="1"/>
  <c r="P526" i="1"/>
  <c r="R526" i="1" s="1"/>
  <c r="U526" i="1" s="1"/>
  <c r="P523" i="1"/>
  <c r="R523" i="1" s="1"/>
  <c r="U523" i="1" s="1"/>
  <c r="P520" i="1"/>
  <c r="R520" i="1" s="1"/>
  <c r="U520" i="1" s="1"/>
  <c r="P524" i="1"/>
  <c r="R524" i="1" s="1"/>
  <c r="U524" i="1" s="1"/>
  <c r="P521" i="1"/>
  <c r="R521" i="1" s="1"/>
  <c r="U521" i="1" s="1"/>
  <c r="P518" i="1"/>
  <c r="R518" i="1" s="1"/>
  <c r="U518" i="1" s="1"/>
  <c r="P515" i="1"/>
  <c r="R515" i="1" s="1"/>
  <c r="U515" i="1" s="1"/>
  <c r="P512" i="1"/>
  <c r="R512" i="1" s="1"/>
  <c r="U512" i="1" s="1"/>
  <c r="P517" i="1"/>
  <c r="R517" i="1" s="1"/>
  <c r="U517" i="1" s="1"/>
  <c r="P514" i="1"/>
  <c r="R514" i="1" s="1"/>
  <c r="U514" i="1" s="1"/>
  <c r="P511" i="1"/>
  <c r="R511" i="1" s="1"/>
  <c r="U511" i="1" s="1"/>
  <c r="P525" i="1"/>
  <c r="P522" i="1"/>
  <c r="R522" i="1" s="1"/>
  <c r="U522" i="1" s="1"/>
  <c r="P519" i="1"/>
  <c r="R519" i="1" s="1"/>
  <c r="U519" i="1" s="1"/>
  <c r="P516" i="1"/>
  <c r="R516" i="1" s="1"/>
  <c r="U516" i="1" s="1"/>
  <c r="P513" i="1"/>
  <c r="R513" i="1" s="1"/>
  <c r="U513" i="1" s="1"/>
  <c r="O507" i="1"/>
  <c r="M507" i="1"/>
  <c r="N507" i="1"/>
  <c r="W507" i="1"/>
  <c r="O508" i="1"/>
  <c r="M508" i="1"/>
  <c r="N508" i="1"/>
  <c r="W508" i="1"/>
  <c r="O509" i="1"/>
  <c r="M509" i="1"/>
  <c r="N509" i="1"/>
  <c r="W509" i="1"/>
  <c r="O510" i="1"/>
  <c r="M510" i="1"/>
  <c r="N510" i="1"/>
  <c r="W510" i="1"/>
  <c r="P510" i="1" l="1"/>
  <c r="R510" i="1" s="1"/>
  <c r="U510" i="1" s="1"/>
  <c r="P507" i="1"/>
  <c r="R507" i="1" s="1"/>
  <c r="U507" i="1" s="1"/>
  <c r="P508" i="1"/>
  <c r="R508" i="1" s="1"/>
  <c r="U508" i="1" s="1"/>
  <c r="R525" i="1"/>
  <c r="U525" i="1" s="1"/>
  <c r="P509" i="1"/>
  <c r="R509" i="1" s="1"/>
  <c r="U509" i="1" s="1"/>
  <c r="G265" i="7" l="1"/>
  <c r="G266" i="7"/>
  <c r="G267" i="7"/>
  <c r="G268" i="7"/>
  <c r="M7" i="1" l="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O29" i="1" l="1"/>
  <c r="P29" i="1" s="1"/>
  <c r="S29" i="1"/>
  <c r="V29" i="1" s="1"/>
  <c r="W29" i="1"/>
  <c r="AF29" i="1" l="1"/>
  <c r="AE29" i="1"/>
  <c r="AD29" i="1"/>
  <c r="AC29" i="1"/>
  <c r="AB29" i="1"/>
  <c r="AA29" i="1"/>
  <c r="Z29" i="1"/>
  <c r="Y29" i="1"/>
  <c r="X29" i="1"/>
  <c r="R29" i="1"/>
  <c r="U29" i="1" s="1"/>
  <c r="T29" i="1"/>
  <c r="S20" i="1" l="1"/>
  <c r="W20" i="1"/>
  <c r="S21" i="1"/>
  <c r="W21" i="1"/>
  <c r="S22" i="1"/>
  <c r="W22" i="1"/>
  <c r="S23" i="1"/>
  <c r="W23" i="1"/>
  <c r="O481" i="1"/>
  <c r="M481" i="1"/>
  <c r="N481" i="1"/>
  <c r="W481" i="1"/>
  <c r="O482" i="1"/>
  <c r="M482" i="1"/>
  <c r="N482" i="1"/>
  <c r="W482" i="1"/>
  <c r="O483" i="1"/>
  <c r="M483" i="1"/>
  <c r="N483" i="1"/>
  <c r="W483" i="1"/>
  <c r="O484" i="1"/>
  <c r="M484" i="1"/>
  <c r="N484" i="1"/>
  <c r="W484" i="1"/>
  <c r="O485" i="1"/>
  <c r="M485" i="1"/>
  <c r="N485" i="1"/>
  <c r="W485" i="1"/>
  <c r="O486" i="1"/>
  <c r="M486" i="1"/>
  <c r="N486" i="1"/>
  <c r="W486" i="1"/>
  <c r="O487" i="1"/>
  <c r="M487" i="1"/>
  <c r="N487" i="1"/>
  <c r="W487" i="1"/>
  <c r="O488" i="1"/>
  <c r="M488" i="1"/>
  <c r="N488" i="1"/>
  <c r="W488" i="1"/>
  <c r="O489" i="1"/>
  <c r="M489" i="1"/>
  <c r="N489" i="1"/>
  <c r="W489" i="1"/>
  <c r="O490" i="1"/>
  <c r="M490" i="1"/>
  <c r="N490" i="1"/>
  <c r="W490" i="1"/>
  <c r="O491" i="1"/>
  <c r="M491" i="1"/>
  <c r="N491" i="1"/>
  <c r="W491" i="1"/>
  <c r="O492" i="1"/>
  <c r="M492" i="1"/>
  <c r="N492" i="1"/>
  <c r="W492" i="1"/>
  <c r="O493" i="1"/>
  <c r="M493" i="1"/>
  <c r="N493" i="1"/>
  <c r="W493" i="1"/>
  <c r="O494" i="1"/>
  <c r="M494" i="1"/>
  <c r="N494" i="1"/>
  <c r="W494" i="1"/>
  <c r="O495" i="1"/>
  <c r="M495" i="1"/>
  <c r="N495" i="1"/>
  <c r="W495" i="1"/>
  <c r="O496" i="1"/>
  <c r="M496" i="1"/>
  <c r="N496" i="1"/>
  <c r="W496" i="1"/>
  <c r="O497" i="1"/>
  <c r="M497" i="1"/>
  <c r="N497" i="1"/>
  <c r="W497" i="1"/>
  <c r="O498" i="1"/>
  <c r="M498" i="1"/>
  <c r="N498" i="1"/>
  <c r="W498" i="1"/>
  <c r="O499" i="1"/>
  <c r="M499" i="1"/>
  <c r="N499" i="1"/>
  <c r="W499" i="1"/>
  <c r="O500" i="1"/>
  <c r="M500" i="1"/>
  <c r="N500" i="1"/>
  <c r="W500" i="1"/>
  <c r="O501" i="1"/>
  <c r="M501" i="1"/>
  <c r="N501" i="1"/>
  <c r="W501" i="1"/>
  <c r="O502" i="1"/>
  <c r="M502" i="1"/>
  <c r="N502" i="1"/>
  <c r="W502" i="1"/>
  <c r="O503" i="1"/>
  <c r="M503" i="1"/>
  <c r="N503" i="1"/>
  <c r="W503" i="1"/>
  <c r="O504" i="1"/>
  <c r="M504" i="1"/>
  <c r="N504" i="1"/>
  <c r="W504" i="1"/>
  <c r="O505" i="1"/>
  <c r="M505" i="1"/>
  <c r="N505" i="1"/>
  <c r="W505" i="1"/>
  <c r="O506" i="1"/>
  <c r="M506" i="1"/>
  <c r="N506" i="1"/>
  <c r="W506" i="1"/>
  <c r="P506" i="1" l="1"/>
  <c r="R506" i="1" s="1"/>
  <c r="U506" i="1" s="1"/>
  <c r="P505" i="1"/>
  <c r="R505" i="1" s="1"/>
  <c r="U505" i="1" s="1"/>
  <c r="P503" i="1"/>
  <c r="R503" i="1" s="1"/>
  <c r="U503" i="1" s="1"/>
  <c r="P500" i="1"/>
  <c r="R500" i="1" s="1"/>
  <c r="U500" i="1" s="1"/>
  <c r="P497" i="1"/>
  <c r="R497" i="1" s="1"/>
  <c r="U497" i="1" s="1"/>
  <c r="P494" i="1"/>
  <c r="R494" i="1" s="1"/>
  <c r="U494" i="1" s="1"/>
  <c r="P491" i="1"/>
  <c r="R491" i="1" s="1"/>
  <c r="U491" i="1" s="1"/>
  <c r="P488" i="1"/>
  <c r="R488" i="1" s="1"/>
  <c r="U488" i="1" s="1"/>
  <c r="P485" i="1"/>
  <c r="R485" i="1" s="1"/>
  <c r="U485" i="1" s="1"/>
  <c r="P502" i="1"/>
  <c r="R502" i="1" s="1"/>
  <c r="U502" i="1" s="1"/>
  <c r="P499" i="1"/>
  <c r="R499" i="1" s="1"/>
  <c r="U499" i="1" s="1"/>
  <c r="P496" i="1"/>
  <c r="R496" i="1" s="1"/>
  <c r="U496" i="1" s="1"/>
  <c r="P493" i="1"/>
  <c r="R493" i="1" s="1"/>
  <c r="U493" i="1" s="1"/>
  <c r="P490" i="1"/>
  <c r="R490" i="1" s="1"/>
  <c r="U490" i="1" s="1"/>
  <c r="P487" i="1"/>
  <c r="R487" i="1" s="1"/>
  <c r="U487" i="1" s="1"/>
  <c r="P484" i="1"/>
  <c r="R484" i="1" s="1"/>
  <c r="U484" i="1" s="1"/>
  <c r="P481" i="1"/>
  <c r="R481" i="1" s="1"/>
  <c r="U481" i="1" s="1"/>
  <c r="P504" i="1"/>
  <c r="R504" i="1" s="1"/>
  <c r="U504" i="1" s="1"/>
  <c r="P501" i="1"/>
  <c r="R501" i="1" s="1"/>
  <c r="U501" i="1" s="1"/>
  <c r="P498" i="1"/>
  <c r="R498" i="1" s="1"/>
  <c r="U498" i="1" s="1"/>
  <c r="P495" i="1"/>
  <c r="R495" i="1" s="1"/>
  <c r="U495" i="1" s="1"/>
  <c r="P492" i="1"/>
  <c r="R492" i="1" s="1"/>
  <c r="U492" i="1" s="1"/>
  <c r="P489" i="1"/>
  <c r="R489" i="1" s="1"/>
  <c r="U489" i="1" s="1"/>
  <c r="P486" i="1"/>
  <c r="R486" i="1" s="1"/>
  <c r="U486" i="1" s="1"/>
  <c r="P483" i="1"/>
  <c r="R483" i="1" s="1"/>
  <c r="U483" i="1" s="1"/>
  <c r="P482" i="1"/>
  <c r="R482" i="1" s="1"/>
  <c r="U482" i="1" s="1"/>
  <c r="T21" i="1"/>
  <c r="V21" i="1"/>
  <c r="T22" i="1"/>
  <c r="V22" i="1"/>
  <c r="T20" i="1"/>
  <c r="V20" i="1"/>
  <c r="T23" i="1"/>
  <c r="V23" i="1"/>
  <c r="O20" i="1"/>
  <c r="P20" i="1" s="1"/>
  <c r="O21" i="1"/>
  <c r="P21" i="1" s="1"/>
  <c r="O22" i="1"/>
  <c r="P22" i="1" s="1"/>
  <c r="O23" i="1"/>
  <c r="P23" i="1" s="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O480" i="1"/>
  <c r="M480" i="1"/>
  <c r="N480" i="1"/>
  <c r="P480" i="1" l="1"/>
  <c r="AB20" i="1"/>
  <c r="AA20" i="1"/>
  <c r="AF20" i="1"/>
  <c r="AE20" i="1"/>
  <c r="AD20" i="1"/>
  <c r="AC20" i="1"/>
  <c r="Z20" i="1"/>
  <c r="Y20" i="1"/>
  <c r="X20" i="1"/>
  <c r="AD23" i="1"/>
  <c r="AC23" i="1"/>
  <c r="AA23" i="1"/>
  <c r="Z23" i="1"/>
  <c r="AB23" i="1"/>
  <c r="Y23" i="1"/>
  <c r="X23" i="1"/>
  <c r="AF23" i="1"/>
  <c r="AE23" i="1"/>
  <c r="AD21" i="1"/>
  <c r="AC21" i="1"/>
  <c r="Z21" i="1"/>
  <c r="Y21" i="1"/>
  <c r="X21" i="1"/>
  <c r="AE21" i="1"/>
  <c r="AF21" i="1"/>
  <c r="AB21" i="1"/>
  <c r="AA21" i="1"/>
  <c r="AF22" i="1"/>
  <c r="AE22" i="1"/>
  <c r="AB22" i="1"/>
  <c r="AA22" i="1"/>
  <c r="Y22" i="1"/>
  <c r="X22" i="1"/>
  <c r="AD22" i="1"/>
  <c r="AC22" i="1"/>
  <c r="Z22" i="1"/>
  <c r="R22" i="1"/>
  <c r="U22" i="1" s="1"/>
  <c r="R20" i="1"/>
  <c r="U20" i="1" s="1"/>
  <c r="R23" i="1"/>
  <c r="U23" i="1" s="1"/>
  <c r="R21" i="1"/>
  <c r="U21" i="1" s="1"/>
  <c r="O7" i="1"/>
  <c r="O8" i="1"/>
  <c r="P8" i="1" s="1"/>
  <c r="O9" i="1"/>
  <c r="P9" i="1" s="1"/>
  <c r="O10" i="1"/>
  <c r="P10" i="1" s="1"/>
  <c r="O11" i="1"/>
  <c r="P11" i="1" s="1"/>
  <c r="O12" i="1"/>
  <c r="P12" i="1" s="1"/>
  <c r="O13" i="1"/>
  <c r="P13" i="1" s="1"/>
  <c r="O14" i="1"/>
  <c r="P14" i="1" s="1"/>
  <c r="O15" i="1"/>
  <c r="P15" i="1" s="1"/>
  <c r="O16" i="1"/>
  <c r="P16" i="1" s="1"/>
  <c r="O17" i="1"/>
  <c r="P17" i="1" s="1"/>
  <c r="O18" i="1"/>
  <c r="P18" i="1" s="1"/>
  <c r="O19" i="1"/>
  <c r="P19" i="1" s="1"/>
  <c r="O24" i="1"/>
  <c r="P24" i="1" s="1"/>
  <c r="O25" i="1"/>
  <c r="P25" i="1" s="1"/>
  <c r="O26" i="1"/>
  <c r="P26" i="1" s="1"/>
  <c r="O27" i="1"/>
  <c r="P27" i="1" s="1"/>
  <c r="O28" i="1"/>
  <c r="P28"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D2" i="10" l="1"/>
  <c r="J66" i="8"/>
  <c r="K66" i="8" s="1"/>
  <c r="J67" i="8"/>
  <c r="K67" i="8" s="1"/>
  <c r="W472" i="1"/>
  <c r="W473" i="1"/>
  <c r="W474" i="1"/>
  <c r="R475" i="1"/>
  <c r="U475" i="1" s="1"/>
  <c r="W475" i="1"/>
  <c r="W476" i="1"/>
  <c r="W477" i="1"/>
  <c r="W478" i="1"/>
  <c r="W479" i="1"/>
  <c r="W480" i="1"/>
  <c r="R479" i="1" l="1"/>
  <c r="U479" i="1" s="1"/>
  <c r="R477" i="1"/>
  <c r="U477" i="1" s="1"/>
  <c r="R473" i="1"/>
  <c r="U473" i="1" s="1"/>
  <c r="R480" i="1"/>
  <c r="U480" i="1" s="1"/>
  <c r="R478" i="1"/>
  <c r="U478" i="1" s="1"/>
  <c r="R476" i="1"/>
  <c r="U476" i="1" s="1"/>
  <c r="R474" i="1"/>
  <c r="U474" i="1" s="1"/>
  <c r="R472" i="1"/>
  <c r="U472" i="1" s="1"/>
  <c r="B8" i="9" l="1"/>
  <c r="B219" i="9" l="1"/>
  <c r="B220" i="9"/>
  <c r="W446" i="1"/>
  <c r="W447" i="1"/>
  <c r="W448" i="1"/>
  <c r="W449" i="1"/>
  <c r="W450" i="1"/>
  <c r="W451" i="1"/>
  <c r="W452" i="1"/>
  <c r="W453" i="1"/>
  <c r="W454" i="1"/>
  <c r="W455" i="1"/>
  <c r="W456" i="1"/>
  <c r="W457" i="1"/>
  <c r="W458" i="1"/>
  <c r="W459" i="1"/>
  <c r="W460" i="1"/>
  <c r="W461" i="1"/>
  <c r="W462" i="1"/>
  <c r="W463" i="1"/>
  <c r="W464" i="1"/>
  <c r="W465" i="1"/>
  <c r="W466" i="1"/>
  <c r="W467" i="1"/>
  <c r="W468" i="1"/>
  <c r="W469" i="1"/>
  <c r="W470" i="1"/>
  <c r="S471" i="1"/>
  <c r="W471" i="1"/>
  <c r="W445" i="1"/>
  <c r="T471" i="1" l="1"/>
  <c r="V471" i="1"/>
  <c r="R471" i="1"/>
  <c r="U471" i="1" s="1"/>
  <c r="R460" i="1"/>
  <c r="U460" i="1" s="1"/>
  <c r="R453" i="1"/>
  <c r="U453" i="1" s="1"/>
  <c r="R448" i="1"/>
  <c r="U448" i="1" s="1"/>
  <c r="R455" i="1"/>
  <c r="U455" i="1" s="1"/>
  <c r="R469" i="1"/>
  <c r="U469" i="1" s="1"/>
  <c r="R466" i="1"/>
  <c r="U466" i="1" s="1"/>
  <c r="R454" i="1"/>
  <c r="U454" i="1" s="1"/>
  <c r="R447" i="1"/>
  <c r="U447" i="1" s="1"/>
  <c r="R457" i="1"/>
  <c r="U457" i="1" s="1"/>
  <c r="R468" i="1"/>
  <c r="U468" i="1" s="1"/>
  <c r="R458" i="1"/>
  <c r="U458" i="1" s="1"/>
  <c r="R459" i="1"/>
  <c r="U459" i="1" s="1"/>
  <c r="R449" i="1"/>
  <c r="U449" i="1" s="1"/>
  <c r="R463" i="1"/>
  <c r="U463" i="1" s="1"/>
  <c r="R451" i="1"/>
  <c r="U451" i="1" s="1"/>
  <c r="R465" i="1"/>
  <c r="U465" i="1" s="1"/>
  <c r="R462" i="1"/>
  <c r="U462" i="1" s="1"/>
  <c r="R450" i="1"/>
  <c r="U450" i="1" s="1"/>
  <c r="R464" i="1"/>
  <c r="U464" i="1" s="1"/>
  <c r="R452" i="1"/>
  <c r="U452" i="1" s="1"/>
  <c r="R470" i="1"/>
  <c r="U470" i="1" s="1"/>
  <c r="R461" i="1"/>
  <c r="U461" i="1" s="1"/>
  <c r="R456" i="1"/>
  <c r="U456" i="1" s="1"/>
  <c r="R446" i="1"/>
  <c r="U446" i="1" s="1"/>
  <c r="R467" i="1"/>
  <c r="U467" i="1" s="1"/>
  <c r="R445" i="1"/>
  <c r="U445" i="1" s="1"/>
  <c r="M13" i="7"/>
  <c r="AF471" i="1" l="1"/>
  <c r="AE471" i="1"/>
  <c r="AD471" i="1"/>
  <c r="AC471" i="1"/>
  <c r="AB471" i="1"/>
  <c r="AA471" i="1"/>
  <c r="Z471" i="1"/>
  <c r="Y471" i="1"/>
  <c r="X471" i="1"/>
  <c r="W397" i="1"/>
  <c r="W398" i="1"/>
  <c r="W399" i="1"/>
  <c r="W400" i="1"/>
  <c r="W401" i="1"/>
  <c r="W402" i="1"/>
  <c r="W403" i="1"/>
  <c r="W404" i="1"/>
  <c r="W405" i="1"/>
  <c r="W406" i="1"/>
  <c r="W407" i="1"/>
  <c r="W408" i="1"/>
  <c r="W409" i="1"/>
  <c r="W410" i="1"/>
  <c r="W411" i="1"/>
  <c r="S412" i="1"/>
  <c r="V412" i="1" s="1"/>
  <c r="W412" i="1"/>
  <c r="W413" i="1"/>
  <c r="S414" i="1"/>
  <c r="V414" i="1" s="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AE414" i="1" l="1"/>
  <c r="AC414" i="1"/>
  <c r="AB414" i="1"/>
  <c r="AA414" i="1"/>
  <c r="Z414" i="1"/>
  <c r="Y414" i="1"/>
  <c r="X414" i="1"/>
  <c r="AF414" i="1"/>
  <c r="AD414" i="1"/>
  <c r="R443" i="1"/>
  <c r="U443" i="1" s="1"/>
  <c r="R433" i="1"/>
  <c r="U433" i="1" s="1"/>
  <c r="R435" i="1"/>
  <c r="U435" i="1" s="1"/>
  <c r="R439" i="1"/>
  <c r="U439" i="1" s="1"/>
  <c r="R444" i="1"/>
  <c r="U444" i="1" s="1"/>
  <c r="R436" i="1"/>
  <c r="U436" i="1" s="1"/>
  <c r="R441" i="1"/>
  <c r="U441" i="1" s="1"/>
  <c r="R403" i="1"/>
  <c r="U403" i="1" s="1"/>
  <c r="R414" i="1"/>
  <c r="U414" i="1" s="1"/>
  <c r="R402" i="1"/>
  <c r="U402" i="1" s="1"/>
  <c r="R430" i="1"/>
  <c r="U430" i="1" s="1"/>
  <c r="R406" i="1"/>
  <c r="U406" i="1" s="1"/>
  <c r="R410" i="1"/>
  <c r="U410" i="1" s="1"/>
  <c r="R416" i="1"/>
  <c r="U416" i="1" s="1"/>
  <c r="R413" i="1"/>
  <c r="U413" i="1" s="1"/>
  <c r="R420" i="1"/>
  <c r="U420" i="1" s="1"/>
  <c r="R398" i="1"/>
  <c r="U398" i="1" s="1"/>
  <c r="R424" i="1"/>
  <c r="U424" i="1" s="1"/>
  <c r="R426" i="1"/>
  <c r="U426" i="1" s="1"/>
  <c r="R421" i="1"/>
  <c r="U421" i="1" s="1"/>
  <c r="R438" i="1"/>
  <c r="U438" i="1" s="1"/>
  <c r="R415" i="1"/>
  <c r="U415" i="1" s="1"/>
  <c r="R400" i="1"/>
  <c r="U400" i="1" s="1"/>
  <c r="R440" i="1"/>
  <c r="U440" i="1" s="1"/>
  <c r="R408" i="1"/>
  <c r="U408" i="1" s="1"/>
  <c r="R431" i="1"/>
  <c r="U431" i="1" s="1"/>
  <c r="R418" i="1"/>
  <c r="U418" i="1" s="1"/>
  <c r="R429" i="1"/>
  <c r="U429" i="1" s="1"/>
  <c r="R427" i="1"/>
  <c r="U427" i="1" s="1"/>
  <c r="T414" i="1"/>
  <c r="R434" i="1"/>
  <c r="U434" i="1" s="1"/>
  <c r="R432" i="1"/>
  <c r="U432" i="1" s="1"/>
  <c r="R437" i="1"/>
  <c r="U437" i="1" s="1"/>
  <c r="R409" i="1"/>
  <c r="U409" i="1" s="1"/>
  <c r="R405" i="1"/>
  <c r="U405" i="1" s="1"/>
  <c r="R401" i="1"/>
  <c r="U401" i="1" s="1"/>
  <c r="R417" i="1"/>
  <c r="U417" i="1" s="1"/>
  <c r="R411" i="1"/>
  <c r="U411" i="1" s="1"/>
  <c r="R412" i="1"/>
  <c r="U412" i="1" s="1"/>
  <c r="R428" i="1"/>
  <c r="U428" i="1" s="1"/>
  <c r="R425" i="1"/>
  <c r="U425" i="1" s="1"/>
  <c r="R404" i="1"/>
  <c r="U404" i="1" s="1"/>
  <c r="R422" i="1"/>
  <c r="U422" i="1" s="1"/>
  <c r="R419" i="1"/>
  <c r="U419" i="1" s="1"/>
  <c r="R442" i="1"/>
  <c r="U442" i="1" s="1"/>
  <c r="R423" i="1"/>
  <c r="U423" i="1" s="1"/>
  <c r="T412" i="1"/>
  <c r="R399" i="1"/>
  <c r="U399" i="1" s="1"/>
  <c r="R407" i="1"/>
  <c r="U407" i="1" s="1"/>
  <c r="R397" i="1"/>
  <c r="U397" i="1" s="1"/>
  <c r="W172" i="1"/>
  <c r="W173" i="1"/>
  <c r="W174" i="1"/>
  <c r="W175" i="1"/>
  <c r="W176" i="1"/>
  <c r="W177" i="1"/>
  <c r="W178" i="1"/>
  <c r="W179" i="1"/>
  <c r="W180" i="1"/>
  <c r="W181" i="1"/>
  <c r="W182" i="1"/>
  <c r="W183" i="1"/>
  <c r="W184" i="1"/>
  <c r="AA412" i="1" l="1"/>
  <c r="Y412" i="1"/>
  <c r="X412" i="1"/>
  <c r="AF412" i="1"/>
  <c r="AE412" i="1"/>
  <c r="AD412" i="1"/>
  <c r="AC412" i="1"/>
  <c r="AB412" i="1"/>
  <c r="Z412" i="1"/>
  <c r="R173" i="1"/>
  <c r="U173" i="1" s="1"/>
  <c r="R181" i="1"/>
  <c r="U181" i="1" s="1"/>
  <c r="R175" i="1"/>
  <c r="U175" i="1" s="1"/>
  <c r="R183" i="1"/>
  <c r="U183" i="1" s="1"/>
  <c r="R179" i="1"/>
  <c r="U179" i="1" s="1"/>
  <c r="R177" i="1"/>
  <c r="U177" i="1" s="1"/>
  <c r="R184" i="1"/>
  <c r="U184" i="1" s="1"/>
  <c r="R180" i="1"/>
  <c r="U180" i="1" s="1"/>
  <c r="R174" i="1"/>
  <c r="U174" i="1" s="1"/>
  <c r="R178" i="1"/>
  <c r="U178" i="1" s="1"/>
  <c r="R182" i="1"/>
  <c r="U182" i="1" s="1"/>
  <c r="R176" i="1"/>
  <c r="U176" i="1" s="1"/>
  <c r="R172" i="1"/>
  <c r="U172" i="1" s="1"/>
  <c r="W387" i="1"/>
  <c r="W388" i="1"/>
  <c r="W389" i="1"/>
  <c r="W390" i="1"/>
  <c r="W391" i="1"/>
  <c r="W392" i="1"/>
  <c r="W393" i="1"/>
  <c r="W394" i="1"/>
  <c r="W395" i="1"/>
  <c r="W396" i="1"/>
  <c r="R388" i="1" l="1"/>
  <c r="U388" i="1" s="1"/>
  <c r="R393" i="1"/>
  <c r="U393" i="1" s="1"/>
  <c r="R392" i="1"/>
  <c r="U392" i="1" s="1"/>
  <c r="R390" i="1"/>
  <c r="U390" i="1" s="1"/>
  <c r="R396" i="1"/>
  <c r="U396" i="1" s="1"/>
  <c r="R394" i="1"/>
  <c r="U394" i="1" s="1"/>
  <c r="R395" i="1"/>
  <c r="U395" i="1" s="1"/>
  <c r="R391" i="1"/>
  <c r="U391" i="1" s="1"/>
  <c r="R389" i="1"/>
  <c r="U389" i="1" s="1"/>
  <c r="R387" i="1"/>
  <c r="U387" i="1" s="1"/>
  <c r="S378" i="1"/>
  <c r="W378" i="1"/>
  <c r="W379" i="1"/>
  <c r="W380" i="1"/>
  <c r="S381" i="1"/>
  <c r="V381" i="1" s="1"/>
  <c r="W381" i="1"/>
  <c r="W382" i="1"/>
  <c r="W383" i="1"/>
  <c r="W384" i="1"/>
  <c r="S385" i="1"/>
  <c r="V385" i="1" s="1"/>
  <c r="W385" i="1"/>
  <c r="W386" i="1"/>
  <c r="T378" i="1" l="1"/>
  <c r="V378" i="1"/>
  <c r="AE385" i="1"/>
  <c r="AD385" i="1"/>
  <c r="AC385" i="1"/>
  <c r="AB385" i="1"/>
  <c r="AA385" i="1"/>
  <c r="Z385" i="1"/>
  <c r="AF385" i="1"/>
  <c r="Y385" i="1"/>
  <c r="X385" i="1"/>
  <c r="Y381" i="1"/>
  <c r="AF381" i="1"/>
  <c r="AE381" i="1"/>
  <c r="AD381" i="1"/>
  <c r="AA381" i="1"/>
  <c r="Z381" i="1"/>
  <c r="X381" i="1"/>
  <c r="AB381" i="1"/>
  <c r="AC381" i="1"/>
  <c r="R378" i="1"/>
  <c r="U378" i="1" s="1"/>
  <c r="T385" i="1"/>
  <c r="T381" i="1"/>
  <c r="R385" i="1"/>
  <c r="U385" i="1" s="1"/>
  <c r="R383" i="1"/>
  <c r="U383" i="1" s="1"/>
  <c r="R381" i="1"/>
  <c r="U381" i="1" s="1"/>
  <c r="R379" i="1"/>
  <c r="U379" i="1" s="1"/>
  <c r="R386" i="1"/>
  <c r="U386" i="1" s="1"/>
  <c r="R384" i="1"/>
  <c r="U384" i="1" s="1"/>
  <c r="R382" i="1"/>
  <c r="U382" i="1" s="1"/>
  <c r="R380" i="1"/>
  <c r="U380" i="1" s="1"/>
  <c r="W375" i="1"/>
  <c r="W376" i="1"/>
  <c r="W377" i="1"/>
  <c r="W370" i="1"/>
  <c r="W371" i="1"/>
  <c r="W372" i="1"/>
  <c r="W373" i="1"/>
  <c r="W374" i="1"/>
  <c r="AE378" i="1" l="1"/>
  <c r="AC378" i="1"/>
  <c r="AB378" i="1"/>
  <c r="AA378" i="1"/>
  <c r="Z378" i="1"/>
  <c r="Y378" i="1"/>
  <c r="X378" i="1"/>
  <c r="AD378" i="1"/>
  <c r="AF378" i="1"/>
  <c r="R372" i="1"/>
  <c r="U372" i="1" s="1"/>
  <c r="R376" i="1"/>
  <c r="U376" i="1" s="1"/>
  <c r="R371" i="1"/>
  <c r="U371" i="1" s="1"/>
  <c r="R373" i="1"/>
  <c r="U373" i="1" s="1"/>
  <c r="R375" i="1"/>
  <c r="U375" i="1" s="1"/>
  <c r="R377" i="1"/>
  <c r="U377" i="1" s="1"/>
  <c r="R374" i="1"/>
  <c r="U374" i="1" s="1"/>
  <c r="R370" i="1"/>
  <c r="U370" i="1" s="1"/>
  <c r="W102" i="1"/>
  <c r="W103" i="1"/>
  <c r="W104" i="1"/>
  <c r="W105" i="1"/>
  <c r="W96" i="1"/>
  <c r="W97" i="1"/>
  <c r="W98" i="1"/>
  <c r="W99" i="1"/>
  <c r="W100" i="1"/>
  <c r="W101" i="1"/>
  <c r="W106" i="1"/>
  <c r="W107" i="1"/>
  <c r="W108" i="1"/>
  <c r="W109" i="1"/>
  <c r="R107" i="1" l="1"/>
  <c r="U107" i="1" s="1"/>
  <c r="R98" i="1"/>
  <c r="U98" i="1" s="1"/>
  <c r="R106" i="1"/>
  <c r="U106" i="1" s="1"/>
  <c r="R100" i="1"/>
  <c r="U100" i="1" s="1"/>
  <c r="R99" i="1"/>
  <c r="U99" i="1" s="1"/>
  <c r="R103" i="1"/>
  <c r="U103" i="1" s="1"/>
  <c r="R102" i="1"/>
  <c r="U102" i="1" s="1"/>
  <c r="R105" i="1"/>
  <c r="U105" i="1" s="1"/>
  <c r="R104" i="1"/>
  <c r="U104" i="1" s="1"/>
  <c r="R109" i="1"/>
  <c r="U109" i="1" s="1"/>
  <c r="R97" i="1"/>
  <c r="U97" i="1" s="1"/>
  <c r="R101" i="1"/>
  <c r="U101" i="1" s="1"/>
  <c r="R108" i="1"/>
  <c r="U108" i="1" s="1"/>
  <c r="R96" i="1"/>
  <c r="U96" i="1" s="1"/>
  <c r="J3" i="18" l="1"/>
  <c r="C94" i="19"/>
  <c r="G80" i="19"/>
  <c r="G79" i="19"/>
  <c r="G78" i="19"/>
  <c r="G77" i="19"/>
  <c r="G76" i="19"/>
  <c r="G75" i="19"/>
  <c r="G74" i="19"/>
  <c r="G73" i="19"/>
  <c r="M2" i="19"/>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O22" i="18"/>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O65" i="18" s="1"/>
  <c r="O66" i="18" s="1"/>
  <c r="O67" i="18" s="1"/>
  <c r="O68" i="18" s="1"/>
  <c r="O69" i="18" s="1"/>
  <c r="O70" i="18" s="1"/>
  <c r="O71" i="18" s="1"/>
  <c r="O72" i="18" s="1"/>
  <c r="O73" i="18" s="1"/>
  <c r="O74" i="18" s="1"/>
  <c r="O75" i="18" s="1"/>
  <c r="O76" i="18" s="1"/>
  <c r="O77" i="18" s="1"/>
  <c r="O78" i="18" s="1"/>
  <c r="O79" i="18" s="1"/>
  <c r="O80" i="18" s="1"/>
  <c r="O81" i="18" s="1"/>
  <c r="O82" i="18" s="1"/>
  <c r="O83" i="18" s="1"/>
  <c r="O84" i="18" s="1"/>
  <c r="O85" i="18" s="1"/>
  <c r="O86" i="18" s="1"/>
  <c r="O87" i="18" s="1"/>
  <c r="O88" i="18" s="1"/>
  <c r="O89" i="18" s="1"/>
  <c r="O90" i="18" s="1"/>
  <c r="O91" i="18" s="1"/>
  <c r="O92" i="18" s="1"/>
  <c r="O93" i="18" s="1"/>
  <c r="O94" i="18" s="1"/>
  <c r="O95" i="18" s="1"/>
  <c r="O96" i="18" s="1"/>
  <c r="O97" i="18" s="1"/>
  <c r="O98" i="18" s="1"/>
  <c r="O99" i="18" s="1"/>
  <c r="O100" i="18" s="1"/>
  <c r="O101" i="18" s="1"/>
  <c r="O102" i="18" s="1"/>
  <c r="O103" i="18" s="1"/>
  <c r="O104" i="18" s="1"/>
  <c r="O105" i="18" s="1"/>
  <c r="O106" i="18" s="1"/>
  <c r="O107" i="18" s="1"/>
  <c r="O108" i="18" s="1"/>
  <c r="O109" i="18" s="1"/>
  <c r="O110" i="18" s="1"/>
  <c r="O111" i="18" s="1"/>
  <c r="O112" i="18" s="1"/>
  <c r="O113" i="18" s="1"/>
  <c r="O114" i="18" s="1"/>
  <c r="O115" i="18" s="1"/>
  <c r="O116" i="18" s="1"/>
  <c r="O117" i="18" s="1"/>
  <c r="O118" i="18" s="1"/>
  <c r="O119" i="18" s="1"/>
  <c r="O120" i="18" s="1"/>
  <c r="O121" i="18" s="1"/>
  <c r="O122" i="18" s="1"/>
  <c r="O123" i="18" s="1"/>
  <c r="O124" i="18" s="1"/>
  <c r="O125" i="18" s="1"/>
  <c r="O126" i="18" s="1"/>
  <c r="O127" i="18" s="1"/>
  <c r="O128" i="18" s="1"/>
  <c r="O129" i="18" s="1"/>
  <c r="O130" i="18" s="1"/>
  <c r="O131" i="18" s="1"/>
  <c r="O132" i="18" s="1"/>
  <c r="O133" i="18" s="1"/>
  <c r="O134" i="18" s="1"/>
  <c r="O135" i="18" s="1"/>
  <c r="O136" i="18" s="1"/>
  <c r="O137" i="18" s="1"/>
  <c r="O138" i="18" s="1"/>
  <c r="O139" i="18" s="1"/>
  <c r="O140" i="18" s="1"/>
  <c r="O141" i="18" s="1"/>
  <c r="O142" i="18" s="1"/>
  <c r="O143" i="18" s="1"/>
  <c r="O144" i="18" s="1"/>
  <c r="O145" i="18" s="1"/>
  <c r="O146" i="18" s="1"/>
  <c r="O147" i="18" s="1"/>
  <c r="O148" i="18" s="1"/>
  <c r="O149" i="18" s="1"/>
  <c r="O150" i="18" s="1"/>
  <c r="O151" i="18" s="1"/>
  <c r="O152" i="18" s="1"/>
  <c r="O153" i="18" s="1"/>
  <c r="O154" i="18" s="1"/>
  <c r="O155" i="18" s="1"/>
  <c r="O156" i="18" s="1"/>
  <c r="O157" i="18" s="1"/>
  <c r="O158" i="18" s="1"/>
  <c r="O159" i="18" s="1"/>
  <c r="O160" i="18" s="1"/>
  <c r="O161" i="18" s="1"/>
  <c r="O162" i="18" s="1"/>
  <c r="O163" i="18" s="1"/>
  <c r="O164" i="18" s="1"/>
  <c r="O165" i="18" s="1"/>
  <c r="O166" i="18" s="1"/>
  <c r="O167" i="18" s="1"/>
  <c r="O168" i="18" s="1"/>
  <c r="O169" i="18" s="1"/>
  <c r="O170" i="18" s="1"/>
  <c r="O171" i="18" s="1"/>
  <c r="O172" i="18" s="1"/>
  <c r="O173" i="18" s="1"/>
  <c r="O174" i="18" s="1"/>
  <c r="O175" i="18" s="1"/>
  <c r="O176" i="18" s="1"/>
  <c r="O177" i="18" s="1"/>
  <c r="O178" i="18" s="1"/>
  <c r="O179" i="18" s="1"/>
  <c r="O180" i="18" s="1"/>
  <c r="O181" i="18" s="1"/>
  <c r="O182" i="18" s="1"/>
  <c r="O183" i="18" s="1"/>
  <c r="O184" i="18" s="1"/>
  <c r="O185" i="18" s="1"/>
  <c r="O186" i="18" s="1"/>
  <c r="O187" i="18" s="1"/>
  <c r="O188" i="18" s="1"/>
  <c r="O189" i="18" s="1"/>
  <c r="O190" i="18" s="1"/>
  <c r="O191" i="18" s="1"/>
  <c r="O192" i="18" s="1"/>
  <c r="O193" i="18" s="1"/>
  <c r="O194" i="18" s="1"/>
  <c r="O195" i="18" s="1"/>
  <c r="O196" i="18" s="1"/>
  <c r="O197" i="18" s="1"/>
  <c r="O198" i="18" s="1"/>
  <c r="O199" i="18" s="1"/>
  <c r="O200" i="18" s="1"/>
  <c r="O201" i="18" s="1"/>
  <c r="O202" i="18" s="1"/>
  <c r="O203" i="18" s="1"/>
  <c r="O204" i="18" s="1"/>
  <c r="O205" i="18" s="1"/>
  <c r="O206" i="18" s="1"/>
  <c r="O207" i="18" s="1"/>
  <c r="O208" i="18" s="1"/>
  <c r="O209" i="18" s="1"/>
  <c r="O210" i="18" s="1"/>
  <c r="O211" i="18" s="1"/>
  <c r="O212" i="18" s="1"/>
  <c r="O213" i="18" s="1"/>
  <c r="O214" i="18" s="1"/>
  <c r="O215" i="18" s="1"/>
  <c r="O216" i="18" s="1"/>
  <c r="O217" i="18" s="1"/>
  <c r="O218" i="18" s="1"/>
  <c r="O219" i="18" s="1"/>
  <c r="O220" i="18" s="1"/>
  <c r="O221" i="18" s="1"/>
  <c r="O222" i="18" s="1"/>
  <c r="O223" i="18" s="1"/>
  <c r="O224" i="18" s="1"/>
  <c r="O225" i="18" s="1"/>
  <c r="O226" i="18" s="1"/>
  <c r="O227" i="18" s="1"/>
  <c r="O228" i="18" s="1"/>
  <c r="O229" i="18" s="1"/>
  <c r="O230" i="18" s="1"/>
  <c r="O231" i="18" s="1"/>
  <c r="O232" i="18" s="1"/>
  <c r="O233" i="18" s="1"/>
  <c r="O234" i="18" s="1"/>
  <c r="O235" i="18" s="1"/>
  <c r="O236" i="18" s="1"/>
  <c r="O237" i="18" s="1"/>
  <c r="O238" i="18" s="1"/>
  <c r="O239" i="18" s="1"/>
  <c r="O240" i="18" s="1"/>
  <c r="O241" i="18" s="1"/>
  <c r="O242" i="18" s="1"/>
  <c r="O243" i="18" s="1"/>
  <c r="O244" i="18" s="1"/>
  <c r="O245" i="18" s="1"/>
  <c r="O246" i="18" s="1"/>
  <c r="O247" i="18" s="1"/>
  <c r="O248" i="18" s="1"/>
  <c r="O249" i="18" s="1"/>
  <c r="O250" i="18" s="1"/>
  <c r="O251" i="18" s="1"/>
  <c r="O252" i="18" s="1"/>
  <c r="O253" i="18" s="1"/>
  <c r="O254" i="18" s="1"/>
  <c r="O255" i="18" s="1"/>
  <c r="O256" i="18" s="1"/>
  <c r="O257" i="18" s="1"/>
  <c r="O258" i="18" s="1"/>
  <c r="O259" i="18" s="1"/>
  <c r="O260" i="18" s="1"/>
  <c r="O261" i="18" s="1"/>
  <c r="O262" i="18" s="1"/>
  <c r="O263" i="18" s="1"/>
  <c r="O264" i="18" s="1"/>
  <c r="O265" i="18" s="1"/>
  <c r="O266" i="18" s="1"/>
  <c r="O267" i="18" s="1"/>
  <c r="O268" i="18" s="1"/>
  <c r="O269" i="18" s="1"/>
  <c r="O270" i="18" s="1"/>
  <c r="O271" i="18" s="1"/>
  <c r="O272" i="18" s="1"/>
  <c r="O273" i="18" s="1"/>
  <c r="O274" i="18" s="1"/>
  <c r="O275" i="18" s="1"/>
  <c r="O276" i="18" s="1"/>
  <c r="O277" i="18" s="1"/>
  <c r="O278" i="18" s="1"/>
  <c r="O279" i="18" s="1"/>
  <c r="O280" i="18" s="1"/>
  <c r="O281" i="18" s="1"/>
  <c r="O282" i="18" s="1"/>
  <c r="O283" i="18" s="1"/>
  <c r="O284" i="18" s="1"/>
  <c r="O285" i="18" s="1"/>
  <c r="O286" i="18" s="1"/>
  <c r="O287" i="18" s="1"/>
  <c r="O288" i="18" s="1"/>
  <c r="O289" i="18" s="1"/>
  <c r="O290" i="18" s="1"/>
  <c r="O291" i="18" s="1"/>
  <c r="O292" i="18" s="1"/>
  <c r="O293" i="18" s="1"/>
  <c r="O294" i="18" s="1"/>
  <c r="G22" i="18"/>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G21" i="18"/>
  <c r="D101" i="10" s="1"/>
  <c r="C21" i="18"/>
  <c r="C22" i="18" s="1"/>
  <c r="P17" i="18"/>
  <c r="P18" i="18" s="1"/>
  <c r="P19" i="18" s="1"/>
  <c r="R13" i="18"/>
  <c r="G11" i="18" l="1" a="1"/>
  <c r="G11" i="18" s="1"/>
  <c r="E15" i="18" a="1"/>
  <c r="E15" i="18" s="1"/>
  <c r="J15" i="18" a="1"/>
  <c r="J15" i="18" s="1"/>
  <c r="F11" i="18" a="1"/>
  <c r="F11" i="18" s="1"/>
  <c r="I15" i="18" a="1"/>
  <c r="I15" i="18" s="1"/>
  <c r="H10" i="18" a="1"/>
  <c r="H10" i="18" s="1"/>
  <c r="H15" i="18" a="1"/>
  <c r="H15" i="18" s="1"/>
  <c r="G10" i="18" a="1"/>
  <c r="G10" i="18" s="1"/>
  <c r="G15" i="18" a="1"/>
  <c r="G15" i="18" s="1"/>
  <c r="F10" i="18" a="1"/>
  <c r="F10" i="18" s="1"/>
  <c r="F15" i="18" a="1"/>
  <c r="F15" i="18" s="1"/>
  <c r="G14" i="18" a="1"/>
  <c r="G14" i="18" s="1"/>
  <c r="J14" i="18" a="1"/>
  <c r="J14" i="18" s="1"/>
  <c r="E14" i="18" a="1"/>
  <c r="E14" i="18" s="1"/>
  <c r="I14" i="18" a="1"/>
  <c r="I14" i="18" s="1"/>
  <c r="E11" i="18" a="1"/>
  <c r="E11" i="18" s="1"/>
  <c r="H14" i="18" a="1"/>
  <c r="H14" i="18" s="1"/>
  <c r="E10" i="18" a="1"/>
  <c r="E10" i="18" s="1"/>
  <c r="F14" i="18" a="1"/>
  <c r="F14" i="18" s="1"/>
  <c r="H11" i="18" a="1"/>
  <c r="H11" i="18" s="1"/>
  <c r="D101" i="19"/>
  <c r="C5" i="18"/>
  <c r="P14" i="18"/>
  <c r="P15" i="18" s="1"/>
  <c r="N2" i="19"/>
  <c r="C23" i="18"/>
  <c r="P21" i="18"/>
  <c r="J12" i="18" l="1"/>
  <c r="H8" i="18"/>
  <c r="F22" i="18"/>
  <c r="J67" i="10"/>
  <c r="K67" i="10" s="1"/>
  <c r="F23" i="18"/>
  <c r="F21" i="18"/>
  <c r="D99" i="10" s="1"/>
  <c r="J66" i="10"/>
  <c r="K66" i="10" s="1"/>
  <c r="O2" i="19"/>
  <c r="C24" i="18"/>
  <c r="F24" i="18" s="1"/>
  <c r="P22" i="18"/>
  <c r="D99" i="19" l="1"/>
  <c r="P2" i="19"/>
  <c r="P23" i="18"/>
  <c r="C25" i="18"/>
  <c r="F25" i="18" s="1"/>
  <c r="Q2" i="19" l="1"/>
  <c r="P24" i="18"/>
  <c r="C26" i="18"/>
  <c r="F26" i="18" s="1"/>
  <c r="R2" i="19" l="1"/>
  <c r="P25" i="18"/>
  <c r="C27" i="18"/>
  <c r="F27" i="18" s="1"/>
  <c r="S2" i="19" l="1"/>
  <c r="C28" i="18"/>
  <c r="F28" i="18" s="1"/>
  <c r="P26" i="18"/>
  <c r="T2" i="19" l="1"/>
  <c r="P27" i="18"/>
  <c r="C29" i="18"/>
  <c r="F29" i="18" s="1"/>
  <c r="U2" i="19" l="1"/>
  <c r="C30" i="18"/>
  <c r="F30" i="18" s="1"/>
  <c r="P28" i="18"/>
  <c r="V2" i="19" l="1"/>
  <c r="P29" i="18"/>
  <c r="C31" i="18"/>
  <c r="F31" i="18" s="1"/>
  <c r="W2" i="19" l="1"/>
  <c r="C32" i="18"/>
  <c r="F32" i="18" s="1"/>
  <c r="P30" i="18"/>
  <c r="X2" i="19" l="1"/>
  <c r="P31" i="18"/>
  <c r="C33" i="18"/>
  <c r="F33" i="18" s="1"/>
  <c r="Y2" i="19" l="1"/>
  <c r="P32" i="18"/>
  <c r="C34" i="18"/>
  <c r="F34" i="18" s="1"/>
  <c r="Z2" i="19" l="1"/>
  <c r="P33" i="18"/>
  <c r="C35" i="18"/>
  <c r="F35" i="18" s="1"/>
  <c r="AA2" i="19" l="1"/>
  <c r="C36" i="18"/>
  <c r="F36" i="18" s="1"/>
  <c r="P34" i="18"/>
  <c r="AB2" i="19" l="1"/>
  <c r="P35" i="18"/>
  <c r="C37" i="18"/>
  <c r="F37" i="18" s="1"/>
  <c r="AC2" i="19" l="1"/>
  <c r="C38" i="18"/>
  <c r="F38" i="18" s="1"/>
  <c r="P36" i="18"/>
  <c r="AD2" i="19" l="1"/>
  <c r="P37" i="18"/>
  <c r="C39" i="18"/>
  <c r="F39" i="18" s="1"/>
  <c r="AE2" i="19" l="1"/>
  <c r="P38" i="18"/>
  <c r="C40" i="18"/>
  <c r="F40" i="18" s="1"/>
  <c r="AF2" i="19" l="1"/>
  <c r="C41" i="18"/>
  <c r="F41" i="18" s="1"/>
  <c r="P39" i="18"/>
  <c r="AG2" i="19" l="1"/>
  <c r="P40" i="18"/>
  <c r="C42" i="18"/>
  <c r="F42" i="18" s="1"/>
  <c r="AH2" i="19" l="1"/>
  <c r="C43" i="18"/>
  <c r="F43" i="18" s="1"/>
  <c r="P41" i="18"/>
  <c r="AI2" i="19" l="1"/>
  <c r="P42" i="18"/>
  <c r="C44" i="18"/>
  <c r="F44" i="18" s="1"/>
  <c r="AJ2" i="19" l="1"/>
  <c r="C45" i="18"/>
  <c r="F45" i="18" s="1"/>
  <c r="P43" i="18"/>
  <c r="AK2" i="19" l="1"/>
  <c r="C46" i="18"/>
  <c r="F46" i="18" s="1"/>
  <c r="P44" i="18"/>
  <c r="AL2" i="19" l="1"/>
  <c r="P45" i="18"/>
  <c r="C47" i="18"/>
  <c r="F47" i="18" s="1"/>
  <c r="AM2" i="19" l="1"/>
  <c r="C48" i="18"/>
  <c r="F48" i="18" s="1"/>
  <c r="P46" i="18"/>
  <c r="AN2" i="19" l="1"/>
  <c r="P47" i="18"/>
  <c r="C49" i="18"/>
  <c r="F49" i="18" s="1"/>
  <c r="AO2" i="19" l="1"/>
  <c r="C50" i="18"/>
  <c r="F50" i="18" s="1"/>
  <c r="P48" i="18"/>
  <c r="AP2" i="19" l="1"/>
  <c r="P49" i="18"/>
  <c r="C51" i="18"/>
  <c r="F51" i="18" s="1"/>
  <c r="AR2" i="19" l="1"/>
  <c r="C52" i="18"/>
  <c r="F52" i="18" s="1"/>
  <c r="P50" i="18"/>
  <c r="AS2" i="19" l="1"/>
  <c r="P51" i="18"/>
  <c r="C53" i="18"/>
  <c r="F53" i="18" s="1"/>
  <c r="AT2" i="19" l="1"/>
  <c r="C54" i="18"/>
  <c r="F54" i="18" s="1"/>
  <c r="P52" i="18"/>
  <c r="AU2" i="19" l="1"/>
  <c r="P53" i="18"/>
  <c r="C55" i="18"/>
  <c r="F55" i="18" s="1"/>
  <c r="AV2" i="19" l="1"/>
  <c r="C56" i="18"/>
  <c r="F56" i="18" s="1"/>
  <c r="P54" i="18"/>
  <c r="AW2" i="19" l="1"/>
  <c r="P55" i="18"/>
  <c r="C57" i="18"/>
  <c r="F57" i="18" s="1"/>
  <c r="AX2" i="19" l="1"/>
  <c r="C58" i="18"/>
  <c r="F58" i="18" s="1"/>
  <c r="P56" i="18"/>
  <c r="AY2" i="19" l="1"/>
  <c r="P57" i="18"/>
  <c r="C59" i="18"/>
  <c r="F59" i="18" s="1"/>
  <c r="AZ2" i="19" l="1"/>
  <c r="P58" i="18"/>
  <c r="C60" i="18"/>
  <c r="F60" i="18" s="1"/>
  <c r="BA2" i="19" l="1"/>
  <c r="P59" i="18"/>
  <c r="C61" i="18"/>
  <c r="F61" i="18" s="1"/>
  <c r="BB2" i="19" l="1"/>
  <c r="P60" i="18"/>
  <c r="C62" i="18"/>
  <c r="F62" i="18" s="1"/>
  <c r="BC2" i="19" l="1"/>
  <c r="C63" i="18"/>
  <c r="F63" i="18" s="1"/>
  <c r="P61" i="18"/>
  <c r="BD2" i="19" l="1"/>
  <c r="C64" i="18"/>
  <c r="F64" i="18" s="1"/>
  <c r="P62" i="18"/>
  <c r="BE2" i="19" l="1"/>
  <c r="C65" i="18"/>
  <c r="F65" i="18" s="1"/>
  <c r="P63" i="18"/>
  <c r="BF2" i="19" l="1"/>
  <c r="C66" i="18"/>
  <c r="F66" i="18" s="1"/>
  <c r="P64" i="18"/>
  <c r="BG2" i="19" l="1"/>
  <c r="P65" i="18"/>
  <c r="C67" i="18"/>
  <c r="F67" i="18" s="1"/>
  <c r="BH2" i="19" l="1"/>
  <c r="C68" i="18"/>
  <c r="F68" i="18" s="1"/>
  <c r="P66" i="18"/>
  <c r="BI2" i="19" l="1"/>
  <c r="P67" i="18"/>
  <c r="C69" i="18"/>
  <c r="F69" i="18" s="1"/>
  <c r="BJ2" i="19" l="1"/>
  <c r="C70" i="18"/>
  <c r="F70" i="18" s="1"/>
  <c r="P68" i="18"/>
  <c r="BK2" i="19" l="1"/>
  <c r="C71" i="18"/>
  <c r="F71" i="18" s="1"/>
  <c r="P69" i="18"/>
  <c r="C72" i="18" l="1"/>
  <c r="F72" i="18" s="1"/>
  <c r="P70" i="18"/>
  <c r="D285" i="17"/>
  <c r="D267" i="17"/>
  <c r="D266" i="17"/>
  <c r="D259" i="17"/>
  <c r="D257" i="17"/>
  <c r="D251" i="17"/>
  <c r="D250" i="17"/>
  <c r="D249" i="17"/>
  <c r="D248" i="17"/>
  <c r="D247" i="17"/>
  <c r="D246" i="17"/>
  <c r="B245" i="17"/>
  <c r="D244" i="17"/>
  <c r="D243" i="17"/>
  <c r="D242" i="17"/>
  <c r="D240" i="17"/>
  <c r="D237" i="17"/>
  <c r="D234" i="17"/>
  <c r="D231" i="17"/>
  <c r="D228" i="17"/>
  <c r="B227" i="17"/>
  <c r="B203" i="17"/>
  <c r="B205" i="17" s="1"/>
  <c r="D198" i="17"/>
  <c r="D195" i="17"/>
  <c r="D193" i="17"/>
  <c r="D190" i="17"/>
  <c r="D188" i="17"/>
  <c r="D187" i="17"/>
  <c r="D185" i="17"/>
  <c r="D176" i="17"/>
  <c r="D175" i="17"/>
  <c r="D174" i="17"/>
  <c r="D173" i="17"/>
  <c r="D172" i="17"/>
  <c r="D171" i="17"/>
  <c r="D167" i="17"/>
  <c r="D166" i="17"/>
  <c r="B165" i="17"/>
  <c r="D155" i="17"/>
  <c r="D154" i="17"/>
  <c r="D153" i="17"/>
  <c r="D135" i="17"/>
  <c r="D129" i="17"/>
  <c r="D128" i="17"/>
  <c r="D123" i="17"/>
  <c r="D122" i="17"/>
  <c r="D119" i="17"/>
  <c r="D118" i="17"/>
  <c r="D117" i="17"/>
  <c r="D116" i="17"/>
  <c r="D115" i="17"/>
  <c r="D114" i="17"/>
  <c r="D113" i="17"/>
  <c r="D112" i="17"/>
  <c r="D111" i="17"/>
  <c r="D109" i="17"/>
  <c r="D107" i="17"/>
  <c r="D106" i="17"/>
  <c r="D103" i="17"/>
  <c r="D101" i="17"/>
  <c r="D100" i="17"/>
  <c r="D99" i="17"/>
  <c r="D98" i="17"/>
  <c r="D94" i="17"/>
  <c r="D92" i="17"/>
  <c r="D91" i="17"/>
  <c r="D90" i="17"/>
  <c r="D89" i="17"/>
  <c r="D55" i="17"/>
  <c r="D52" i="17"/>
  <c r="D51" i="17"/>
  <c r="D50" i="17"/>
  <c r="D49" i="17"/>
  <c r="D44" i="17"/>
  <c r="D43" i="17"/>
  <c r="D42" i="17"/>
  <c r="D41" i="17"/>
  <c r="D40" i="17"/>
  <c r="D34" i="17"/>
  <c r="D33" i="17"/>
  <c r="D22" i="17"/>
  <c r="D21" i="17"/>
  <c r="D19" i="17"/>
  <c r="B8" i="17"/>
  <c r="C91" i="16"/>
  <c r="G77" i="16"/>
  <c r="G76" i="16"/>
  <c r="G75" i="16"/>
  <c r="G74" i="16"/>
  <c r="G73" i="16"/>
  <c r="G72" i="16"/>
  <c r="G71" i="16"/>
  <c r="G70" i="16"/>
  <c r="M2" i="16"/>
  <c r="C91" i="15"/>
  <c r="G77" i="15"/>
  <c r="G76" i="15"/>
  <c r="G75" i="15"/>
  <c r="G74" i="15"/>
  <c r="G73" i="15"/>
  <c r="G72" i="15"/>
  <c r="G71" i="15"/>
  <c r="G70" i="15"/>
  <c r="M2" i="15"/>
  <c r="C91" i="14"/>
  <c r="G77" i="14"/>
  <c r="G76" i="14"/>
  <c r="G75" i="14"/>
  <c r="G74" i="14"/>
  <c r="G73" i="14"/>
  <c r="G72" i="14"/>
  <c r="G71" i="14"/>
  <c r="G70" i="14"/>
  <c r="M2" i="14"/>
  <c r="C91" i="13"/>
  <c r="G77" i="13"/>
  <c r="G76" i="13"/>
  <c r="G75" i="13"/>
  <c r="G74" i="13"/>
  <c r="G73" i="13"/>
  <c r="G72" i="13"/>
  <c r="G71" i="13"/>
  <c r="G70" i="13"/>
  <c r="M2" i="13"/>
  <c r="C91" i="12"/>
  <c r="G77" i="12"/>
  <c r="G76" i="12"/>
  <c r="G75" i="12"/>
  <c r="G74" i="12"/>
  <c r="G73" i="12"/>
  <c r="G72" i="12"/>
  <c r="G71" i="12"/>
  <c r="G70" i="12"/>
  <c r="M2" i="12"/>
  <c r="C91" i="11"/>
  <c r="G77" i="11"/>
  <c r="G76" i="11"/>
  <c r="G75" i="11"/>
  <c r="G74" i="11"/>
  <c r="G73" i="11"/>
  <c r="G72" i="11"/>
  <c r="G71" i="11"/>
  <c r="G70" i="11"/>
  <c r="M2" i="11"/>
  <c r="C94" i="10"/>
  <c r="G80" i="10"/>
  <c r="G79" i="10"/>
  <c r="G78" i="10"/>
  <c r="G77" i="10"/>
  <c r="G76" i="10"/>
  <c r="G75" i="10"/>
  <c r="G74" i="10"/>
  <c r="G73" i="10"/>
  <c r="M2" i="10"/>
  <c r="D266" i="9"/>
  <c r="D265" i="9"/>
  <c r="D264" i="9"/>
  <c r="D263" i="9"/>
  <c r="D262" i="9"/>
  <c r="D261" i="9"/>
  <c r="D259" i="9"/>
  <c r="D258" i="9"/>
  <c r="D257" i="9"/>
  <c r="D255" i="9"/>
  <c r="D252" i="9"/>
  <c r="D249" i="9"/>
  <c r="D246" i="9"/>
  <c r="D243" i="9"/>
  <c r="B260" i="9"/>
  <c r="B242" i="9"/>
  <c r="D315" i="9"/>
  <c r="B173" i="9"/>
  <c r="B212" i="17" l="1"/>
  <c r="D212" i="17" s="1"/>
  <c r="B211" i="17"/>
  <c r="D211" i="17" s="1"/>
  <c r="B241" i="9"/>
  <c r="D260" i="9"/>
  <c r="N2" i="11"/>
  <c r="P71" i="18"/>
  <c r="C73" i="18"/>
  <c r="F73" i="18" s="1"/>
  <c r="D165" i="17"/>
  <c r="B226" i="17"/>
  <c r="D227" i="17"/>
  <c r="D245" i="17"/>
  <c r="D205" i="17"/>
  <c r="D197" i="17" s="1"/>
  <c r="B197" i="17"/>
  <c r="N2" i="16"/>
  <c r="N2" i="15"/>
  <c r="N2" i="14"/>
  <c r="N2" i="13"/>
  <c r="N2" i="12"/>
  <c r="N2" i="10"/>
  <c r="D242" i="9"/>
  <c r="D241" i="9" s="1"/>
  <c r="O2" i="11" l="1"/>
  <c r="C74" i="18"/>
  <c r="F74" i="18" s="1"/>
  <c r="P72" i="18"/>
  <c r="D226" i="17"/>
  <c r="O2" i="16"/>
  <c r="O2" i="15"/>
  <c r="O2" i="14"/>
  <c r="O2" i="13"/>
  <c r="O2" i="12"/>
  <c r="O2" i="10"/>
  <c r="D219" i="9"/>
  <c r="P2" i="11" l="1"/>
  <c r="P73" i="18"/>
  <c r="C75" i="18"/>
  <c r="F75" i="18" s="1"/>
  <c r="P2" i="16"/>
  <c r="P2" i="15"/>
  <c r="P2" i="14"/>
  <c r="P2" i="13"/>
  <c r="P2" i="12"/>
  <c r="P2" i="10"/>
  <c r="B211" i="9"/>
  <c r="Q2" i="11" l="1"/>
  <c r="P74" i="18"/>
  <c r="C76" i="18"/>
  <c r="F76" i="18" s="1"/>
  <c r="Q2" i="16"/>
  <c r="Q2" i="15"/>
  <c r="Q2" i="14"/>
  <c r="Q2" i="13"/>
  <c r="Q2" i="12"/>
  <c r="Q2" i="10"/>
  <c r="G74" i="8"/>
  <c r="G80" i="8"/>
  <c r="G79" i="8"/>
  <c r="G78" i="8"/>
  <c r="G77" i="8"/>
  <c r="G76" i="8"/>
  <c r="G75" i="8"/>
  <c r="G73" i="8"/>
  <c r="R2" i="11" l="1"/>
  <c r="P75" i="18"/>
  <c r="C77" i="18"/>
  <c r="F77" i="18" s="1"/>
  <c r="R2" i="16"/>
  <c r="R2" i="15"/>
  <c r="R2" i="14"/>
  <c r="R2" i="13"/>
  <c r="R2" i="12"/>
  <c r="R2" i="10"/>
  <c r="D282" i="9"/>
  <c r="D281" i="9"/>
  <c r="D274" i="9"/>
  <c r="D272" i="9"/>
  <c r="D220" i="9"/>
  <c r="B213" i="9"/>
  <c r="D203" i="9"/>
  <c r="D201" i="9"/>
  <c r="D198" i="9"/>
  <c r="D196" i="9"/>
  <c r="D195" i="9"/>
  <c r="D193" i="9"/>
  <c r="D184" i="9"/>
  <c r="D183" i="9"/>
  <c r="D182" i="9"/>
  <c r="D181" i="9"/>
  <c r="D180" i="9"/>
  <c r="D179" i="9"/>
  <c r="D175" i="9"/>
  <c r="D174" i="9"/>
  <c r="D163" i="9"/>
  <c r="D162" i="9"/>
  <c r="D161" i="9"/>
  <c r="D143" i="9"/>
  <c r="D137" i="9"/>
  <c r="D136" i="9"/>
  <c r="D131" i="9"/>
  <c r="D130" i="9"/>
  <c r="D127" i="9"/>
  <c r="D126" i="9"/>
  <c r="D125" i="9"/>
  <c r="D124" i="9"/>
  <c r="D123" i="9"/>
  <c r="D122" i="9"/>
  <c r="D121" i="9"/>
  <c r="D120" i="9"/>
  <c r="D119" i="9"/>
  <c r="D117" i="9"/>
  <c r="D115" i="9"/>
  <c r="D114" i="9"/>
  <c r="D111" i="9"/>
  <c r="D109" i="9"/>
  <c r="D108" i="9"/>
  <c r="D107" i="9"/>
  <c r="D106" i="9"/>
  <c r="D102" i="9"/>
  <c r="D100" i="9"/>
  <c r="D99" i="9"/>
  <c r="D98" i="9"/>
  <c r="D97" i="9"/>
  <c r="D55" i="9"/>
  <c r="D52" i="9"/>
  <c r="D51" i="9"/>
  <c r="D50" i="9"/>
  <c r="D49" i="9"/>
  <c r="D44" i="9"/>
  <c r="D43" i="9"/>
  <c r="D42" i="9"/>
  <c r="D41" i="9"/>
  <c r="D40" i="9"/>
  <c r="D34" i="9"/>
  <c r="D33" i="9"/>
  <c r="D22" i="9"/>
  <c r="D21" i="9"/>
  <c r="D173" i="9" l="1"/>
  <c r="D213" i="9"/>
  <c r="B205" i="9"/>
  <c r="S2" i="11"/>
  <c r="P76" i="18"/>
  <c r="C78" i="18"/>
  <c r="F78" i="18" s="1"/>
  <c r="S2" i="16"/>
  <c r="S2" i="15"/>
  <c r="S2" i="14"/>
  <c r="S2" i="13"/>
  <c r="S2" i="12"/>
  <c r="S2" i="10"/>
  <c r="D19" i="9"/>
  <c r="T2" i="11" l="1"/>
  <c r="P77" i="18"/>
  <c r="C79" i="18"/>
  <c r="F79" i="18" s="1"/>
  <c r="T2" i="16"/>
  <c r="T2" i="15"/>
  <c r="T2" i="14"/>
  <c r="T2" i="13"/>
  <c r="T2" i="12"/>
  <c r="T2" i="10"/>
  <c r="W27" i="1"/>
  <c r="S27" i="1"/>
  <c r="W26" i="1"/>
  <c r="S26" i="1"/>
  <c r="W25" i="1"/>
  <c r="S25" i="1"/>
  <c r="W24" i="1"/>
  <c r="S24" i="1"/>
  <c r="V26" i="1" l="1"/>
  <c r="AE26" i="1" s="1"/>
  <c r="T27" i="1"/>
  <c r="V27" i="1"/>
  <c r="T24" i="1"/>
  <c r="V24" i="1"/>
  <c r="T25" i="1"/>
  <c r="V25" i="1"/>
  <c r="U2" i="11"/>
  <c r="C80" i="18"/>
  <c r="F80" i="18" s="1"/>
  <c r="P78" i="18"/>
  <c r="U2" i="16"/>
  <c r="U2" i="15"/>
  <c r="U2" i="14"/>
  <c r="U2" i="13"/>
  <c r="U2" i="12"/>
  <c r="U2" i="10"/>
  <c r="R26" i="1"/>
  <c r="U26" i="1" s="1"/>
  <c r="R24" i="1"/>
  <c r="U24" i="1" s="1"/>
  <c r="R27" i="1"/>
  <c r="U27" i="1" s="1"/>
  <c r="R25" i="1"/>
  <c r="U25" i="1" s="1"/>
  <c r="T26" i="1"/>
  <c r="W161" i="1"/>
  <c r="W160" i="1"/>
  <c r="W159" i="1"/>
  <c r="W158" i="1"/>
  <c r="W157" i="1"/>
  <c r="W156" i="1"/>
  <c r="W155" i="1"/>
  <c r="X26" i="1" l="1"/>
  <c r="Z26" i="1"/>
  <c r="AA26" i="1"/>
  <c r="AF26" i="1"/>
  <c r="AB26" i="1"/>
  <c r="AC26" i="1"/>
  <c r="AD26" i="1"/>
  <c r="Y26" i="1"/>
  <c r="X24" i="1"/>
  <c r="AF24" i="1"/>
  <c r="AE24" i="1"/>
  <c r="AD24" i="1"/>
  <c r="AC24" i="1"/>
  <c r="AB24" i="1"/>
  <c r="AA24" i="1"/>
  <c r="Y24" i="1"/>
  <c r="Z24" i="1"/>
  <c r="Z25" i="1"/>
  <c r="Y25" i="1"/>
  <c r="X25" i="1"/>
  <c r="AF25" i="1"/>
  <c r="AE25" i="1"/>
  <c r="AD25" i="1"/>
  <c r="AC25" i="1"/>
  <c r="AB25" i="1"/>
  <c r="AA25" i="1"/>
  <c r="AD27" i="1"/>
  <c r="AC27" i="1"/>
  <c r="AB27" i="1"/>
  <c r="AA27" i="1"/>
  <c r="Z27" i="1"/>
  <c r="Y27" i="1"/>
  <c r="X27" i="1"/>
  <c r="AE27" i="1"/>
  <c r="AF27" i="1"/>
  <c r="V2" i="11"/>
  <c r="C81" i="18"/>
  <c r="F81" i="18" s="1"/>
  <c r="P79" i="18"/>
  <c r="V2" i="16"/>
  <c r="V2" i="15"/>
  <c r="V2" i="14"/>
  <c r="V2" i="13"/>
  <c r="V2" i="12"/>
  <c r="V2" i="10"/>
  <c r="R158" i="1"/>
  <c r="U158" i="1" s="1"/>
  <c r="R161" i="1"/>
  <c r="U161" i="1" s="1"/>
  <c r="R160" i="1"/>
  <c r="U160" i="1" s="1"/>
  <c r="R155" i="1"/>
  <c r="U155" i="1" s="1"/>
  <c r="R156" i="1"/>
  <c r="U156" i="1" s="1"/>
  <c r="R159" i="1"/>
  <c r="U159" i="1" s="1"/>
  <c r="R157" i="1"/>
  <c r="U157" i="1" s="1"/>
  <c r="W2" i="11" l="1"/>
  <c r="P80" i="18"/>
  <c r="C82" i="18"/>
  <c r="F82" i="18" s="1"/>
  <c r="W2" i="16"/>
  <c r="W2" i="15"/>
  <c r="W2" i="14"/>
  <c r="W2" i="13"/>
  <c r="W2" i="12"/>
  <c r="W2" i="10"/>
  <c r="X2" i="11" l="1"/>
  <c r="C83" i="18"/>
  <c r="F83" i="18" s="1"/>
  <c r="P81" i="18"/>
  <c r="X2" i="16"/>
  <c r="X2" i="15"/>
  <c r="X2" i="14"/>
  <c r="X2" i="13"/>
  <c r="X2" i="12"/>
  <c r="X2" i="10"/>
  <c r="W352" i="1"/>
  <c r="S352" i="1"/>
  <c r="V352" i="1" s="1"/>
  <c r="W351" i="1"/>
  <c r="S351" i="1"/>
  <c r="V351" i="1" s="1"/>
  <c r="AA352" i="1" l="1"/>
  <c r="AF352" i="1"/>
  <c r="AE352" i="1"/>
  <c r="AD352" i="1"/>
  <c r="AC352" i="1"/>
  <c r="AB352" i="1"/>
  <c r="X352" i="1"/>
  <c r="Z352" i="1"/>
  <c r="Y352" i="1"/>
  <c r="Y351" i="1"/>
  <c r="AF351" i="1"/>
  <c r="AE351" i="1"/>
  <c r="AD351" i="1"/>
  <c r="AC351" i="1"/>
  <c r="AB351" i="1"/>
  <c r="AA351" i="1"/>
  <c r="Z351" i="1"/>
  <c r="X351" i="1"/>
  <c r="Y2" i="11"/>
  <c r="C84" i="18"/>
  <c r="F84" i="18" s="1"/>
  <c r="P82" i="18"/>
  <c r="Y2" i="16"/>
  <c r="Y2" i="15"/>
  <c r="Y2" i="14"/>
  <c r="Y2" i="13"/>
  <c r="Y2" i="12"/>
  <c r="Y2" i="10"/>
  <c r="R351" i="1"/>
  <c r="U351" i="1" s="1"/>
  <c r="R352" i="1"/>
  <c r="U352" i="1" s="1"/>
  <c r="T352" i="1"/>
  <c r="T351" i="1"/>
  <c r="W349" i="1"/>
  <c r="W348" i="1"/>
  <c r="S348" i="1"/>
  <c r="V348" i="1" s="1"/>
  <c r="W347" i="1"/>
  <c r="S347" i="1"/>
  <c r="W346" i="1"/>
  <c r="S346" i="1"/>
  <c r="V346" i="1" s="1"/>
  <c r="W345" i="1"/>
  <c r="W344" i="1"/>
  <c r="W343" i="1"/>
  <c r="W342" i="1"/>
  <c r="W341" i="1"/>
  <c r="W340" i="1"/>
  <c r="T347" i="1" l="1"/>
  <c r="V347" i="1"/>
  <c r="AE348" i="1"/>
  <c r="X348" i="1"/>
  <c r="AF348" i="1"/>
  <c r="AD348" i="1"/>
  <c r="AC348" i="1"/>
  <c r="AB348" i="1"/>
  <c r="AA348" i="1"/>
  <c r="Z348" i="1"/>
  <c r="Y348" i="1"/>
  <c r="AE346" i="1"/>
  <c r="AD346" i="1"/>
  <c r="AC346" i="1"/>
  <c r="AB346" i="1"/>
  <c r="AA346" i="1"/>
  <c r="Z346" i="1"/>
  <c r="Y346" i="1"/>
  <c r="X346" i="1"/>
  <c r="AF346" i="1"/>
  <c r="Z2" i="11"/>
  <c r="P83" i="18"/>
  <c r="C85" i="18"/>
  <c r="F85" i="18" s="1"/>
  <c r="Z2" i="16"/>
  <c r="Z2" i="15"/>
  <c r="Z2" i="14"/>
  <c r="Z2" i="13"/>
  <c r="Z2" i="12"/>
  <c r="Z2" i="10"/>
  <c r="T348" i="1"/>
  <c r="R343" i="1"/>
  <c r="U343" i="1" s="1"/>
  <c r="R348" i="1"/>
  <c r="U348" i="1" s="1"/>
  <c r="R341" i="1"/>
  <c r="U341" i="1" s="1"/>
  <c r="R346" i="1"/>
  <c r="U346" i="1" s="1"/>
  <c r="R349" i="1"/>
  <c r="U349" i="1" s="1"/>
  <c r="R347" i="1"/>
  <c r="U347" i="1" s="1"/>
  <c r="R342" i="1"/>
  <c r="U342" i="1" s="1"/>
  <c r="R340" i="1"/>
  <c r="U340" i="1" s="1"/>
  <c r="R344" i="1"/>
  <c r="U344" i="1" s="1"/>
  <c r="R345" i="1"/>
  <c r="U345" i="1" s="1"/>
  <c r="T346" i="1"/>
  <c r="W369" i="1"/>
  <c r="W368" i="1"/>
  <c r="AC347" i="1" l="1"/>
  <c r="AF347" i="1"/>
  <c r="AE347" i="1"/>
  <c r="AD347" i="1"/>
  <c r="AB347" i="1"/>
  <c r="AA347" i="1"/>
  <c r="Z347" i="1"/>
  <c r="Y347" i="1"/>
  <c r="X347" i="1"/>
  <c r="AA2" i="11"/>
  <c r="C86" i="18"/>
  <c r="F86" i="18" s="1"/>
  <c r="P84" i="18"/>
  <c r="AA2" i="16"/>
  <c r="AA2" i="15"/>
  <c r="AA2" i="14"/>
  <c r="AA2" i="13"/>
  <c r="AA2" i="12"/>
  <c r="AA2" i="10"/>
  <c r="R368" i="1"/>
  <c r="U368" i="1" s="1"/>
  <c r="R369" i="1"/>
  <c r="U369" i="1" s="1"/>
  <c r="AB2" i="11" l="1"/>
  <c r="P85" i="18"/>
  <c r="C87" i="18"/>
  <c r="F87" i="18" s="1"/>
  <c r="AB2" i="16"/>
  <c r="AB2" i="15"/>
  <c r="AB2" i="14"/>
  <c r="AB2" i="13"/>
  <c r="AB2" i="12"/>
  <c r="AB2" i="10"/>
  <c r="W354" i="1"/>
  <c r="S354" i="1"/>
  <c r="V354" i="1" s="1"/>
  <c r="AE354" i="1" l="1"/>
  <c r="AC354" i="1"/>
  <c r="AB354" i="1"/>
  <c r="AA354" i="1"/>
  <c r="Z354" i="1"/>
  <c r="Y354" i="1"/>
  <c r="X354" i="1"/>
  <c r="AF354" i="1"/>
  <c r="AD354" i="1"/>
  <c r="AC2" i="11"/>
  <c r="C88" i="18"/>
  <c r="F88" i="18" s="1"/>
  <c r="P86" i="18"/>
  <c r="AC2" i="16"/>
  <c r="AC2" i="15"/>
  <c r="AC2" i="14"/>
  <c r="AC2" i="13"/>
  <c r="AC2" i="12"/>
  <c r="AC2" i="10"/>
  <c r="R354" i="1"/>
  <c r="U354" i="1" s="1"/>
  <c r="T354" i="1"/>
  <c r="W35" i="1"/>
  <c r="S35" i="1"/>
  <c r="V35" i="1" s="1"/>
  <c r="W34" i="1"/>
  <c r="S34" i="1"/>
  <c r="V34" i="1" s="1"/>
  <c r="W33" i="1"/>
  <c r="S33" i="1"/>
  <c r="V33" i="1" s="1"/>
  <c r="W32" i="1"/>
  <c r="S32" i="1"/>
  <c r="W31" i="1"/>
  <c r="S31" i="1"/>
  <c r="T31" i="1" l="1"/>
  <c r="V31" i="1"/>
  <c r="T32" i="1"/>
  <c r="V32" i="1"/>
  <c r="AF35" i="1"/>
  <c r="AE35" i="1"/>
  <c r="AD35" i="1"/>
  <c r="AC35" i="1"/>
  <c r="AB35" i="1"/>
  <c r="AA35" i="1"/>
  <c r="Z35" i="1"/>
  <c r="Y35" i="1"/>
  <c r="X35" i="1"/>
  <c r="AD33" i="1"/>
  <c r="AC33" i="1"/>
  <c r="AB33" i="1"/>
  <c r="AA33" i="1"/>
  <c r="Z33" i="1"/>
  <c r="Y33" i="1"/>
  <c r="X33" i="1"/>
  <c r="AE33" i="1"/>
  <c r="AF33" i="1"/>
  <c r="AF34" i="1"/>
  <c r="AE34" i="1"/>
  <c r="AD34" i="1"/>
  <c r="AC34" i="1"/>
  <c r="AB34" i="1"/>
  <c r="AA34" i="1"/>
  <c r="Z34" i="1"/>
  <c r="Y34" i="1"/>
  <c r="X34" i="1"/>
  <c r="AD2" i="11"/>
  <c r="C89" i="18"/>
  <c r="F89" i="18" s="1"/>
  <c r="P87" i="18"/>
  <c r="AD2" i="16"/>
  <c r="AD2" i="15"/>
  <c r="AD2" i="14"/>
  <c r="AD2" i="13"/>
  <c r="AD2" i="12"/>
  <c r="AD2" i="10"/>
  <c r="R31" i="1"/>
  <c r="U31" i="1" s="1"/>
  <c r="R34" i="1"/>
  <c r="U34" i="1" s="1"/>
  <c r="R32" i="1"/>
  <c r="U32" i="1" s="1"/>
  <c r="R35" i="1"/>
  <c r="U35" i="1" s="1"/>
  <c r="R33" i="1"/>
  <c r="U33" i="1" s="1"/>
  <c r="T33" i="1"/>
  <c r="T35" i="1"/>
  <c r="T34" i="1"/>
  <c r="W287" i="1"/>
  <c r="Z31" i="1" l="1"/>
  <c r="Y31" i="1"/>
  <c r="X31" i="1"/>
  <c r="AF31" i="1"/>
  <c r="AE31" i="1"/>
  <c r="AD31" i="1"/>
  <c r="AC31" i="1"/>
  <c r="AB31" i="1"/>
  <c r="AA31" i="1"/>
  <c r="AB32" i="1"/>
  <c r="AA32" i="1"/>
  <c r="Z32" i="1"/>
  <c r="Y32" i="1"/>
  <c r="X32" i="1"/>
  <c r="AF32" i="1"/>
  <c r="AC32" i="1"/>
  <c r="AE32" i="1"/>
  <c r="AD32" i="1"/>
  <c r="AE2" i="11"/>
  <c r="C90" i="18"/>
  <c r="F90" i="18" s="1"/>
  <c r="P88" i="18"/>
  <c r="AE2" i="16"/>
  <c r="AE2" i="15"/>
  <c r="AE2" i="14"/>
  <c r="AE2" i="13"/>
  <c r="AE2" i="12"/>
  <c r="AE2" i="10"/>
  <c r="R287" i="1"/>
  <c r="U287" i="1" s="1"/>
  <c r="AF2" i="11" l="1"/>
  <c r="C91" i="18"/>
  <c r="F91" i="18" s="1"/>
  <c r="P89" i="18"/>
  <c r="AF2" i="16"/>
  <c r="AF2" i="15"/>
  <c r="AF2" i="14"/>
  <c r="AF2" i="13"/>
  <c r="AF2" i="12"/>
  <c r="AF2" i="10"/>
  <c r="W18" i="1"/>
  <c r="S18" i="1"/>
  <c r="V18" i="1" s="1"/>
  <c r="X18" i="1" l="1"/>
  <c r="AA18" i="1"/>
  <c r="Z18" i="1"/>
  <c r="Y18" i="1"/>
  <c r="AD18" i="1"/>
  <c r="AC18" i="1"/>
  <c r="AF18" i="1"/>
  <c r="AB18" i="1"/>
  <c r="AE18" i="1"/>
  <c r="AG2" i="11"/>
  <c r="C92" i="18"/>
  <c r="F92" i="18" s="1"/>
  <c r="P90" i="18"/>
  <c r="AG2" i="16"/>
  <c r="AG2" i="15"/>
  <c r="AG2" i="14"/>
  <c r="AG2" i="13"/>
  <c r="AG2" i="12"/>
  <c r="AG2" i="10"/>
  <c r="R18" i="1"/>
  <c r="U18" i="1" s="1"/>
  <c r="T18" i="1"/>
  <c r="AH2" i="11" l="1"/>
  <c r="P91" i="18"/>
  <c r="C93" i="18"/>
  <c r="F93" i="18" s="1"/>
  <c r="AH2" i="16"/>
  <c r="AH2" i="15"/>
  <c r="AH2" i="14"/>
  <c r="AH2" i="13"/>
  <c r="AH2" i="12"/>
  <c r="AH2" i="10"/>
  <c r="W361" i="1"/>
  <c r="W360" i="1"/>
  <c r="S360" i="1"/>
  <c r="V360" i="1" s="1"/>
  <c r="W359" i="1"/>
  <c r="S359" i="1"/>
  <c r="V359" i="1" s="1"/>
  <c r="W358" i="1"/>
  <c r="S358" i="1"/>
  <c r="W357" i="1"/>
  <c r="S357" i="1"/>
  <c r="T357" i="1" l="1"/>
  <c r="V357" i="1"/>
  <c r="T358" i="1"/>
  <c r="V358" i="1"/>
  <c r="AC359" i="1"/>
  <c r="AF359" i="1"/>
  <c r="AE359" i="1"/>
  <c r="AD359" i="1"/>
  <c r="AB359" i="1"/>
  <c r="AA359" i="1"/>
  <c r="Z359" i="1"/>
  <c r="Y359" i="1"/>
  <c r="X359" i="1"/>
  <c r="AE360" i="1"/>
  <c r="AF360" i="1"/>
  <c r="AD360" i="1"/>
  <c r="AC360" i="1"/>
  <c r="AB360" i="1"/>
  <c r="AA360" i="1"/>
  <c r="Z360" i="1"/>
  <c r="Y360" i="1"/>
  <c r="X360" i="1"/>
  <c r="AI2" i="11"/>
  <c r="C94" i="18"/>
  <c r="F94" i="18" s="1"/>
  <c r="P92" i="18"/>
  <c r="AI2" i="16"/>
  <c r="AI2" i="15"/>
  <c r="AI2" i="14"/>
  <c r="AI2" i="13"/>
  <c r="AI2" i="12"/>
  <c r="AI2" i="10"/>
  <c r="R361" i="1"/>
  <c r="U361" i="1" s="1"/>
  <c r="R357" i="1"/>
  <c r="U357" i="1" s="1"/>
  <c r="R360" i="1"/>
  <c r="U360" i="1" s="1"/>
  <c r="R358" i="1"/>
  <c r="U358" i="1" s="1"/>
  <c r="R359" i="1"/>
  <c r="U359" i="1" s="1"/>
  <c r="T359" i="1"/>
  <c r="T360" i="1"/>
  <c r="Y357" i="1" l="1"/>
  <c r="Z357" i="1"/>
  <c r="X357" i="1"/>
  <c r="AF357" i="1"/>
  <c r="AE357" i="1"/>
  <c r="AD357" i="1"/>
  <c r="AA357" i="1"/>
  <c r="AC357" i="1"/>
  <c r="AB357" i="1"/>
  <c r="AA358" i="1"/>
  <c r="AC358" i="1"/>
  <c r="AB358" i="1"/>
  <c r="Z358" i="1"/>
  <c r="Y358" i="1"/>
  <c r="X358" i="1"/>
  <c r="AF358" i="1"/>
  <c r="AE358" i="1"/>
  <c r="AD358" i="1"/>
  <c r="AJ2" i="11"/>
  <c r="C95" i="18"/>
  <c r="F95" i="18" s="1"/>
  <c r="P93" i="18"/>
  <c r="AJ2" i="16"/>
  <c r="AJ2" i="15"/>
  <c r="AJ2" i="14"/>
  <c r="AJ2" i="13"/>
  <c r="AJ2" i="12"/>
  <c r="AJ2" i="10"/>
  <c r="AK2" i="11" l="1"/>
  <c r="C96" i="18"/>
  <c r="F96" i="18" s="1"/>
  <c r="P94" i="18"/>
  <c r="AK2" i="16"/>
  <c r="AK2" i="15"/>
  <c r="AK2" i="14"/>
  <c r="AK2" i="13"/>
  <c r="AK2" i="12"/>
  <c r="AK2" i="10"/>
  <c r="W9" i="1"/>
  <c r="S9" i="1"/>
  <c r="W10" i="1"/>
  <c r="S10" i="1"/>
  <c r="V10" i="1" s="1"/>
  <c r="W11" i="1"/>
  <c r="S11" i="1"/>
  <c r="V11" i="1" s="1"/>
  <c r="W12" i="1"/>
  <c r="S12" i="1"/>
  <c r="W13" i="1"/>
  <c r="S13" i="1"/>
  <c r="W8" i="1"/>
  <c r="S8" i="1"/>
  <c r="V8" i="1" s="1"/>
  <c r="V9" i="1" l="1"/>
  <c r="V13" i="1"/>
  <c r="X13" i="1" s="1"/>
  <c r="T12" i="1"/>
  <c r="V12" i="1"/>
  <c r="AB8" i="1"/>
  <c r="AF8" i="1"/>
  <c r="Z8" i="1"/>
  <c r="AE8" i="1"/>
  <c r="AD8" i="1"/>
  <c r="AC8" i="1"/>
  <c r="AA8" i="1"/>
  <c r="Y8" i="1"/>
  <c r="X8" i="1"/>
  <c r="AF10" i="1"/>
  <c r="AB10" i="1"/>
  <c r="AA10" i="1"/>
  <c r="Z10" i="1"/>
  <c r="Y10" i="1"/>
  <c r="X10" i="1"/>
  <c r="AE10" i="1"/>
  <c r="AD10" i="1"/>
  <c r="AC10" i="1"/>
  <c r="AE11" i="1"/>
  <c r="AD11" i="1"/>
  <c r="AC11" i="1"/>
  <c r="AB11" i="1"/>
  <c r="AA11" i="1"/>
  <c r="Z11" i="1"/>
  <c r="AF11" i="1"/>
  <c r="Y11" i="1"/>
  <c r="X11" i="1"/>
  <c r="AL2" i="11"/>
  <c r="C97" i="18"/>
  <c r="F97" i="18" s="1"/>
  <c r="P95" i="18"/>
  <c r="AL2" i="16"/>
  <c r="AL2" i="15"/>
  <c r="AL2" i="14"/>
  <c r="AL2" i="13"/>
  <c r="AL2" i="12"/>
  <c r="AL2" i="10"/>
  <c r="R9" i="1"/>
  <c r="U9" i="1" s="1"/>
  <c r="T9" i="1"/>
  <c r="R10" i="1"/>
  <c r="U10" i="1" s="1"/>
  <c r="T10" i="1"/>
  <c r="R11" i="1"/>
  <c r="U11" i="1" s="1"/>
  <c r="T11" i="1"/>
  <c r="R12" i="1"/>
  <c r="U12" i="1" s="1"/>
  <c r="R13" i="1"/>
  <c r="U13" i="1" s="1"/>
  <c r="T13" i="1"/>
  <c r="R8" i="1"/>
  <c r="U8" i="1" s="1"/>
  <c r="T8" i="1"/>
  <c r="W14" i="1"/>
  <c r="S14" i="1"/>
  <c r="V14" i="1" s="1"/>
  <c r="AD9" i="1" l="1"/>
  <c r="X9" i="1"/>
  <c r="Z13" i="1"/>
  <c r="Y13" i="1"/>
  <c r="AD13" i="1"/>
  <c r="AC13" i="1"/>
  <c r="AE13" i="1"/>
  <c r="AA13" i="1"/>
  <c r="AF13" i="1"/>
  <c r="AB13" i="1"/>
  <c r="AE9" i="1"/>
  <c r="AA9" i="1"/>
  <c r="AF9" i="1"/>
  <c r="Z9" i="1"/>
  <c r="AC9" i="1"/>
  <c r="AB9" i="1"/>
  <c r="Y9" i="1"/>
  <c r="X12" i="1"/>
  <c r="AF12" i="1"/>
  <c r="AE12" i="1"/>
  <c r="AD12" i="1"/>
  <c r="AC12" i="1"/>
  <c r="AB12" i="1"/>
  <c r="AA12" i="1"/>
  <c r="Z12" i="1"/>
  <c r="Y12" i="1"/>
  <c r="AB14" i="1"/>
  <c r="AA14" i="1"/>
  <c r="AC14" i="1"/>
  <c r="Z14" i="1"/>
  <c r="Y14" i="1"/>
  <c r="X14" i="1"/>
  <c r="AD14" i="1"/>
  <c r="AE14" i="1"/>
  <c r="AF14" i="1"/>
  <c r="AM2" i="11"/>
  <c r="P96" i="18"/>
  <c r="C98" i="18"/>
  <c r="F98" i="18" s="1"/>
  <c r="AM2" i="16"/>
  <c r="AM2" i="15"/>
  <c r="AM2" i="14"/>
  <c r="AM2" i="13"/>
  <c r="AM2" i="12"/>
  <c r="AM2" i="10"/>
  <c r="R14" i="1"/>
  <c r="U14" i="1" s="1"/>
  <c r="T14" i="1"/>
  <c r="W367" i="1"/>
  <c r="AN2" i="11" l="1"/>
  <c r="P97" i="18"/>
  <c r="C99" i="18"/>
  <c r="F99" i="18" s="1"/>
  <c r="AN2" i="16"/>
  <c r="AN2" i="15"/>
  <c r="AN2" i="14"/>
  <c r="AN2" i="13"/>
  <c r="AN2" i="12"/>
  <c r="AN2" i="10"/>
  <c r="R367" i="1"/>
  <c r="U367" i="1" s="1"/>
  <c r="AO2" i="11" l="1"/>
  <c r="P98" i="18"/>
  <c r="C100" i="18"/>
  <c r="F100" i="18" s="1"/>
  <c r="AO2" i="16"/>
  <c r="AO2" i="15"/>
  <c r="AO2" i="14"/>
  <c r="AO2" i="13"/>
  <c r="AO2" i="12"/>
  <c r="AO2" i="10"/>
  <c r="S7" i="1"/>
  <c r="V7" i="1" l="1"/>
  <c r="AP2" i="11"/>
  <c r="P99" i="18"/>
  <c r="C101" i="18"/>
  <c r="F101" i="18" s="1"/>
  <c r="AP2" i="16"/>
  <c r="AP2" i="15"/>
  <c r="AP2" i="14"/>
  <c r="AP2" i="13"/>
  <c r="AP2" i="12"/>
  <c r="AP2" i="10"/>
  <c r="T7" i="1"/>
  <c r="Y7" i="1" l="1"/>
  <c r="X7" i="1"/>
  <c r="AC7" i="1"/>
  <c r="AD7" i="1"/>
  <c r="Z7" i="1"/>
  <c r="AA7" i="1"/>
  <c r="AB7" i="1"/>
  <c r="AF7" i="1"/>
  <c r="AE7" i="1"/>
  <c r="AR2" i="11"/>
  <c r="C102" i="18"/>
  <c r="F102" i="18" s="1"/>
  <c r="P100" i="18"/>
  <c r="AR2" i="16"/>
  <c r="AR2" i="15"/>
  <c r="AR2" i="14"/>
  <c r="AR2" i="13"/>
  <c r="AR2" i="12"/>
  <c r="AR2" i="10"/>
  <c r="W63" i="1"/>
  <c r="S63" i="1"/>
  <c r="W54" i="1"/>
  <c r="S54" i="1"/>
  <c r="W53" i="1"/>
  <c r="S53" i="1"/>
  <c r="V53" i="1" s="1"/>
  <c r="W45" i="1"/>
  <c r="S45" i="1"/>
  <c r="V45" i="1" s="1"/>
  <c r="W65" i="1"/>
  <c r="S65" i="1"/>
  <c r="T63" i="1" l="1"/>
  <c r="V63" i="1"/>
  <c r="T65" i="1"/>
  <c r="V65" i="1"/>
  <c r="T54" i="1"/>
  <c r="V54" i="1"/>
  <c r="AF53" i="1"/>
  <c r="AE53" i="1"/>
  <c r="AD53" i="1"/>
  <c r="AC53" i="1"/>
  <c r="AB53" i="1"/>
  <c r="AA53" i="1"/>
  <c r="Z53" i="1"/>
  <c r="Y53" i="1"/>
  <c r="X53" i="1"/>
  <c r="AD45" i="1"/>
  <c r="AC45" i="1"/>
  <c r="AB45" i="1"/>
  <c r="AA45" i="1"/>
  <c r="Z45" i="1"/>
  <c r="Y45" i="1"/>
  <c r="X45" i="1"/>
  <c r="AF45" i="1"/>
  <c r="AE45" i="1"/>
  <c r="AS2" i="11"/>
  <c r="C103" i="18"/>
  <c r="F103" i="18" s="1"/>
  <c r="P101" i="18"/>
  <c r="AS2" i="16"/>
  <c r="AS2" i="15"/>
  <c r="AS2" i="14"/>
  <c r="AS2" i="13"/>
  <c r="AS2" i="12"/>
  <c r="AS2" i="10"/>
  <c r="R63" i="1"/>
  <c r="U63" i="1" s="1"/>
  <c r="R54" i="1"/>
  <c r="U54" i="1" s="1"/>
  <c r="R53" i="1"/>
  <c r="U53" i="1" s="1"/>
  <c r="T53" i="1"/>
  <c r="R45" i="1"/>
  <c r="U45" i="1" s="1"/>
  <c r="T45" i="1"/>
  <c r="R65" i="1"/>
  <c r="U65" i="1" s="1"/>
  <c r="C94" i="8"/>
  <c r="M2" i="8"/>
  <c r="AD63" i="1" l="1"/>
  <c r="AC63" i="1"/>
  <c r="AB63" i="1"/>
  <c r="AA63" i="1"/>
  <c r="Z63" i="1"/>
  <c r="Y63" i="1"/>
  <c r="X63" i="1"/>
  <c r="AF63" i="1"/>
  <c r="AE63" i="1"/>
  <c r="AF65" i="1"/>
  <c r="AE65" i="1"/>
  <c r="AD65" i="1"/>
  <c r="AC65" i="1"/>
  <c r="AB65" i="1"/>
  <c r="AA65" i="1"/>
  <c r="Z65" i="1"/>
  <c r="Y65" i="1"/>
  <c r="X65" i="1"/>
  <c r="X54" i="1"/>
  <c r="AF54" i="1"/>
  <c r="AE54" i="1"/>
  <c r="AD54" i="1"/>
  <c r="AC54" i="1"/>
  <c r="AB54" i="1"/>
  <c r="AA54" i="1"/>
  <c r="Z54" i="1"/>
  <c r="Y54" i="1"/>
  <c r="AT2" i="11"/>
  <c r="C104" i="18"/>
  <c r="F104" i="18" s="1"/>
  <c r="P102" i="18"/>
  <c r="AT2" i="16"/>
  <c r="AT2" i="15"/>
  <c r="AT2" i="14"/>
  <c r="AT2" i="13"/>
  <c r="AT2" i="12"/>
  <c r="AT2" i="10"/>
  <c r="N2" i="8"/>
  <c r="AU2" i="11" l="1"/>
  <c r="O2" i="8"/>
  <c r="P2" i="8" s="1"/>
  <c r="P103" i="18"/>
  <c r="C105" i="18"/>
  <c r="F105" i="18" s="1"/>
  <c r="AU2" i="16"/>
  <c r="AU2" i="15"/>
  <c r="AU2" i="14"/>
  <c r="AU2" i="13"/>
  <c r="AU2" i="12"/>
  <c r="AU2" i="10"/>
  <c r="AV2" i="11" l="1"/>
  <c r="C106" i="18"/>
  <c r="F106" i="18" s="1"/>
  <c r="P104" i="18"/>
  <c r="AV2" i="16"/>
  <c r="AV2" i="15"/>
  <c r="AV2" i="14"/>
  <c r="AV2" i="13"/>
  <c r="AV2" i="12"/>
  <c r="AV2" i="10"/>
  <c r="Q2" i="8"/>
  <c r="AW2" i="11" l="1"/>
  <c r="P105" i="18"/>
  <c r="C107" i="18"/>
  <c r="F107" i="18" s="1"/>
  <c r="AW2" i="16"/>
  <c r="AW2" i="15"/>
  <c r="AW2" i="14"/>
  <c r="AW2" i="13"/>
  <c r="AW2" i="12"/>
  <c r="AW2" i="10"/>
  <c r="R2" i="8"/>
  <c r="AX2" i="11" l="1"/>
  <c r="C108" i="18"/>
  <c r="F108" i="18" s="1"/>
  <c r="P106" i="18"/>
  <c r="AX2" i="16"/>
  <c r="AX2" i="15"/>
  <c r="AX2" i="14"/>
  <c r="AX2" i="13"/>
  <c r="AX2" i="12"/>
  <c r="AX2" i="10"/>
  <c r="S2" i="8"/>
  <c r="AY2" i="11" l="1"/>
  <c r="C109" i="18"/>
  <c r="F109" i="18" s="1"/>
  <c r="P107" i="18"/>
  <c r="AY2" i="16"/>
  <c r="AY2" i="15"/>
  <c r="AY2" i="14"/>
  <c r="AY2" i="13"/>
  <c r="AY2" i="12"/>
  <c r="AY2" i="10"/>
  <c r="T2" i="8"/>
  <c r="AZ2" i="11" l="1"/>
  <c r="C110" i="18"/>
  <c r="F110" i="18" s="1"/>
  <c r="P108" i="18"/>
  <c r="AZ2" i="16"/>
  <c r="AZ2" i="15"/>
  <c r="AZ2" i="14"/>
  <c r="AZ2" i="13"/>
  <c r="AZ2" i="12"/>
  <c r="AZ2" i="10"/>
  <c r="U2" i="8"/>
  <c r="BA2" i="11" l="1"/>
  <c r="C111" i="18"/>
  <c r="F111" i="18" s="1"/>
  <c r="P109" i="18"/>
  <c r="BA2" i="16"/>
  <c r="BA2" i="15"/>
  <c r="BA2" i="14"/>
  <c r="BA2" i="13"/>
  <c r="BA2" i="12"/>
  <c r="BA2" i="10"/>
  <c r="V2" i="8"/>
  <c r="BB2" i="11" l="1"/>
  <c r="C112" i="18"/>
  <c r="F112" i="18" s="1"/>
  <c r="P110" i="18"/>
  <c r="BB2" i="16"/>
  <c r="BB2" i="15"/>
  <c r="BB2" i="14"/>
  <c r="BB2" i="13"/>
  <c r="BB2" i="12"/>
  <c r="BB2" i="10"/>
  <c r="W2" i="8"/>
  <c r="BC2" i="11" l="1"/>
  <c r="P111" i="18"/>
  <c r="C113" i="18"/>
  <c r="F113" i="18" s="1"/>
  <c r="BC2" i="16"/>
  <c r="BC2" i="15"/>
  <c r="BC2" i="14"/>
  <c r="BC2" i="13"/>
  <c r="BC2" i="12"/>
  <c r="BC2" i="10"/>
  <c r="X2" i="8"/>
  <c r="BD2" i="11" l="1"/>
  <c r="P112" i="18"/>
  <c r="C114" i="18"/>
  <c r="F114" i="18" s="1"/>
  <c r="BD2" i="16"/>
  <c r="BD2" i="15"/>
  <c r="BD2" i="14"/>
  <c r="BD2" i="13"/>
  <c r="BD2" i="12"/>
  <c r="BD2" i="10"/>
  <c r="Y2" i="8"/>
  <c r="BE2" i="11" l="1"/>
  <c r="P113" i="18"/>
  <c r="C115" i="18"/>
  <c r="F115" i="18" s="1"/>
  <c r="BE2" i="16"/>
  <c r="BE2" i="15"/>
  <c r="BE2" i="14"/>
  <c r="BE2" i="13"/>
  <c r="BE2" i="12"/>
  <c r="BE2" i="10"/>
  <c r="Z2" i="8"/>
  <c r="BF2" i="11" l="1"/>
  <c r="P114" i="18"/>
  <c r="C116" i="18"/>
  <c r="F116" i="18" s="1"/>
  <c r="BF2" i="16"/>
  <c r="BF2" i="15"/>
  <c r="BF2" i="14"/>
  <c r="BF2" i="13"/>
  <c r="BF2" i="12"/>
  <c r="BF2" i="10"/>
  <c r="AA2" i="8"/>
  <c r="BG2" i="11" l="1"/>
  <c r="P115" i="18"/>
  <c r="C117" i="18"/>
  <c r="F117" i="18" s="1"/>
  <c r="BG2" i="16"/>
  <c r="BG2" i="15"/>
  <c r="BG2" i="14"/>
  <c r="BG2" i="13"/>
  <c r="BG2" i="12"/>
  <c r="BG2" i="10"/>
  <c r="AB2" i="8"/>
  <c r="BH2" i="11" l="1"/>
  <c r="C118" i="18"/>
  <c r="F118" i="18" s="1"/>
  <c r="P116" i="18"/>
  <c r="BH2" i="16"/>
  <c r="BH2" i="15"/>
  <c r="BH2" i="14"/>
  <c r="BH2" i="13"/>
  <c r="BH2" i="12"/>
  <c r="BH2" i="10"/>
  <c r="AC2" i="8"/>
  <c r="BI2" i="11" l="1"/>
  <c r="C119" i="18"/>
  <c r="F119" i="18" s="1"/>
  <c r="P117" i="18"/>
  <c r="BI2" i="16"/>
  <c r="BI2" i="15"/>
  <c r="BI2" i="14"/>
  <c r="BI2" i="13"/>
  <c r="BI2" i="12"/>
  <c r="BI2" i="10"/>
  <c r="AD2" i="8"/>
  <c r="BJ2" i="11" l="1"/>
  <c r="C120" i="18"/>
  <c r="F120" i="18" s="1"/>
  <c r="P118" i="18"/>
  <c r="BJ2" i="16"/>
  <c r="BJ2" i="15"/>
  <c r="BJ2" i="14"/>
  <c r="BJ2" i="13"/>
  <c r="BJ2" i="12"/>
  <c r="BJ2" i="10"/>
  <c r="AE2" i="8"/>
  <c r="BK2" i="11" l="1"/>
  <c r="C121" i="18"/>
  <c r="F121" i="18" s="1"/>
  <c r="P119" i="18"/>
  <c r="BK2" i="16"/>
  <c r="BK2" i="15"/>
  <c r="BK2" i="14"/>
  <c r="BK2" i="13"/>
  <c r="BK2" i="12"/>
  <c r="BK2" i="10"/>
  <c r="AF2" i="8"/>
  <c r="C122" i="18" l="1"/>
  <c r="F122" i="18" s="1"/>
  <c r="P120" i="18"/>
  <c r="AG2" i="8"/>
  <c r="P121" i="18" l="1"/>
  <c r="C123" i="18"/>
  <c r="F123" i="18" s="1"/>
  <c r="AH2" i="8"/>
  <c r="C124" i="18" l="1"/>
  <c r="F124" i="18" s="1"/>
  <c r="P122" i="18"/>
  <c r="AI2" i="8"/>
  <c r="C125" i="18" l="1"/>
  <c r="F125" i="18" s="1"/>
  <c r="P123" i="18"/>
  <c r="AJ2" i="8"/>
  <c r="P124" i="18" l="1"/>
  <c r="C126" i="18"/>
  <c r="F126" i="18" s="1"/>
  <c r="AK2" i="8"/>
  <c r="P125" i="18" l="1"/>
  <c r="C127" i="18"/>
  <c r="F127" i="18" s="1"/>
  <c r="AL2" i="8"/>
  <c r="P126" i="18" l="1"/>
  <c r="C128" i="18"/>
  <c r="F128" i="18" s="1"/>
  <c r="AM2" i="8"/>
  <c r="C129" i="18" l="1"/>
  <c r="F129" i="18" s="1"/>
  <c r="P127" i="18"/>
  <c r="AN2" i="8"/>
  <c r="P128" i="18" l="1"/>
  <c r="C130" i="18"/>
  <c r="F130" i="18" s="1"/>
  <c r="AO2" i="8"/>
  <c r="C131" i="18" l="1"/>
  <c r="F131" i="18" s="1"/>
  <c r="P129" i="18"/>
  <c r="AP2" i="8"/>
  <c r="AR2" i="8" l="1"/>
  <c r="AS2" i="8" s="1"/>
  <c r="C132" i="18"/>
  <c r="F132" i="18" s="1"/>
  <c r="P130" i="18"/>
  <c r="C133" i="18" l="1"/>
  <c r="F133" i="18" s="1"/>
  <c r="P131" i="18"/>
  <c r="AT2" i="8"/>
  <c r="G21" i="7"/>
  <c r="D101" i="8" s="1"/>
  <c r="G26" i="7"/>
  <c r="J85" i="11" l="1"/>
  <c r="J82" i="15"/>
  <c r="J85" i="13"/>
  <c r="J85" i="15"/>
  <c r="D114" i="15" s="1"/>
  <c r="J84" i="15"/>
  <c r="J88" i="10"/>
  <c r="J86" i="10"/>
  <c r="J84" i="13"/>
  <c r="J83" i="19"/>
  <c r="D117" i="19" s="1"/>
  <c r="J86" i="12"/>
  <c r="J81" i="11"/>
  <c r="D114" i="11" s="1"/>
  <c r="J86" i="11"/>
  <c r="J84" i="14"/>
  <c r="D114" i="14" s="1"/>
  <c r="J81" i="14"/>
  <c r="J80" i="15"/>
  <c r="J83" i="10"/>
  <c r="D117" i="10" s="1"/>
  <c r="J81" i="15"/>
  <c r="J83" i="15"/>
  <c r="J88" i="19"/>
  <c r="J80" i="11"/>
  <c r="J82" i="12"/>
  <c r="D114" i="12" s="1"/>
  <c r="J81" i="12"/>
  <c r="J83" i="13"/>
  <c r="D114" i="13" s="1"/>
  <c r="J84" i="10"/>
  <c r="J80" i="12"/>
  <c r="J85" i="12"/>
  <c r="J86" i="14"/>
  <c r="J87" i="10"/>
  <c r="J81" i="13"/>
  <c r="J89" i="19"/>
  <c r="J83" i="14"/>
  <c r="J82" i="16"/>
  <c r="J85" i="19"/>
  <c r="J84" i="12"/>
  <c r="J83" i="16"/>
  <c r="J87" i="19"/>
  <c r="J81" i="16"/>
  <c r="J86" i="15"/>
  <c r="J80" i="14"/>
  <c r="J80" i="13"/>
  <c r="J83" i="8"/>
  <c r="D84" i="9" s="1"/>
  <c r="J85" i="14"/>
  <c r="J89" i="10"/>
  <c r="J82" i="13"/>
  <c r="J85" i="16"/>
  <c r="J84" i="16"/>
  <c r="J82" i="14"/>
  <c r="J86" i="19"/>
  <c r="J80" i="16"/>
  <c r="J84" i="11"/>
  <c r="J83" i="12"/>
  <c r="J86" i="13"/>
  <c r="J84" i="19"/>
  <c r="J85" i="10"/>
  <c r="J86" i="16"/>
  <c r="D114" i="16" s="1"/>
  <c r="J83" i="11"/>
  <c r="J82" i="11"/>
  <c r="C134" i="18"/>
  <c r="F134" i="18" s="1"/>
  <c r="P132" i="18"/>
  <c r="J86" i="8"/>
  <c r="D87" i="9" s="1"/>
  <c r="J85" i="8"/>
  <c r="D86" i="9" s="1"/>
  <c r="J84" i="8"/>
  <c r="D85" i="9" s="1"/>
  <c r="J87" i="8"/>
  <c r="D88" i="9" s="1"/>
  <c r="J88" i="8"/>
  <c r="D89" i="9" s="1"/>
  <c r="J89" i="8"/>
  <c r="D90" i="9" s="1"/>
  <c r="AU2"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5" i="7"/>
  <c r="G24" i="7"/>
  <c r="G23" i="7"/>
  <c r="G22"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C21" i="7"/>
  <c r="F21" i="7" s="1"/>
  <c r="O22" i="7"/>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B22" i="7"/>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J87" i="11" l="1"/>
  <c r="J87" i="12"/>
  <c r="J87" i="16"/>
  <c r="J90" i="10"/>
  <c r="J87" i="15"/>
  <c r="J87" i="14"/>
  <c r="J87" i="13"/>
  <c r="J90" i="19"/>
  <c r="P133" i="18"/>
  <c r="C135" i="18"/>
  <c r="F135" i="18" s="1"/>
  <c r="J90" i="8"/>
  <c r="D117" i="8" s="1"/>
  <c r="AN54" i="1" s="1"/>
  <c r="AV2" i="8"/>
  <c r="O45" i="7"/>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C5" i="7"/>
  <c r="C22" i="7"/>
  <c r="F22" i="7" s="1"/>
  <c r="P21" i="7"/>
  <c r="P22" i="7" s="1"/>
  <c r="P23" i="7" s="1"/>
  <c r="W366" i="1"/>
  <c r="W365" i="1"/>
  <c r="W364" i="1"/>
  <c r="W363" i="1"/>
  <c r="W362" i="1"/>
  <c r="W356" i="1"/>
  <c r="W355" i="1"/>
  <c r="W353" i="1"/>
  <c r="W35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71" i="1"/>
  <c r="W170" i="1"/>
  <c r="W169" i="1"/>
  <c r="W168" i="1"/>
  <c r="W167" i="1"/>
  <c r="W166" i="1"/>
  <c r="W165" i="1"/>
  <c r="W164" i="1"/>
  <c r="W163" i="1"/>
  <c r="W162"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4" i="1"/>
  <c r="W62" i="1"/>
  <c r="W61" i="1"/>
  <c r="W60" i="1"/>
  <c r="W59" i="1"/>
  <c r="W58" i="1"/>
  <c r="W57" i="1"/>
  <c r="W56" i="1"/>
  <c r="W55" i="1"/>
  <c r="W52" i="1"/>
  <c r="W51" i="1"/>
  <c r="W50" i="1"/>
  <c r="W49" i="1"/>
  <c r="W48" i="1"/>
  <c r="W47" i="1"/>
  <c r="W46" i="1"/>
  <c r="W44" i="1"/>
  <c r="W43" i="1"/>
  <c r="W42" i="1"/>
  <c r="W41" i="1"/>
  <c r="W40" i="1"/>
  <c r="W39" i="1"/>
  <c r="W38" i="1"/>
  <c r="W37" i="1"/>
  <c r="W36" i="1"/>
  <c r="W30" i="1"/>
  <c r="W28" i="1"/>
  <c r="W19" i="1"/>
  <c r="W17" i="1"/>
  <c r="W16" i="1"/>
  <c r="W15" i="1"/>
  <c r="W7" i="1"/>
  <c r="AN53" i="1" l="1"/>
  <c r="AR51" i="1" s="1"/>
  <c r="AR54" i="1" s="1"/>
  <c r="AL16" i="1"/>
  <c r="D99" i="8"/>
  <c r="S180" i="1"/>
  <c r="S182" i="1"/>
  <c r="V182" i="1" s="1"/>
  <c r="S183" i="1"/>
  <c r="V183" i="1" s="1"/>
  <c r="S184" i="1"/>
  <c r="V184" i="1" s="1"/>
  <c r="S179" i="1"/>
  <c r="V179" i="1" s="1"/>
  <c r="S181" i="1"/>
  <c r="V181" i="1" s="1"/>
  <c r="S177" i="1"/>
  <c r="V177" i="1" s="1"/>
  <c r="S178" i="1"/>
  <c r="V178" i="1" s="1"/>
  <c r="S172" i="1"/>
  <c r="S173" i="1"/>
  <c r="V173" i="1" s="1"/>
  <c r="S175" i="1"/>
  <c r="V175" i="1" s="1"/>
  <c r="S176" i="1"/>
  <c r="V176" i="1" s="1"/>
  <c r="S174" i="1"/>
  <c r="V174" i="1" s="1"/>
  <c r="S156" i="1"/>
  <c r="V156" i="1" s="1"/>
  <c r="S158" i="1"/>
  <c r="V158" i="1" s="1"/>
  <c r="S157" i="1"/>
  <c r="V157" i="1" s="1"/>
  <c r="S160" i="1"/>
  <c r="V160" i="1" s="1"/>
  <c r="S159" i="1"/>
  <c r="V159" i="1" s="1"/>
  <c r="S155" i="1"/>
  <c r="V155" i="1" s="1"/>
  <c r="P134" i="18"/>
  <c r="C136" i="18"/>
  <c r="F136" i="18" s="1"/>
  <c r="D91" i="9"/>
  <c r="AW2" i="8"/>
  <c r="C23" i="7"/>
  <c r="F23" i="7" s="1"/>
  <c r="P24" i="7"/>
  <c r="S263" i="1"/>
  <c r="V263" i="1" s="1"/>
  <c r="S255" i="1"/>
  <c r="V255" i="1" s="1"/>
  <c r="S254" i="1"/>
  <c r="V254" i="1" s="1"/>
  <c r="S253" i="1"/>
  <c r="V253" i="1" s="1"/>
  <c r="S252" i="1"/>
  <c r="V252" i="1" s="1"/>
  <c r="S251" i="1"/>
  <c r="V251" i="1" s="1"/>
  <c r="S250" i="1"/>
  <c r="V250" i="1" s="1"/>
  <c r="S249" i="1"/>
  <c r="V249" i="1" s="1"/>
  <c r="S248" i="1"/>
  <c r="V248" i="1" s="1"/>
  <c r="S247" i="1"/>
  <c r="V247" i="1" s="1"/>
  <c r="S246" i="1"/>
  <c r="V246" i="1" s="1"/>
  <c r="S245" i="1"/>
  <c r="V245" i="1" s="1"/>
  <c r="S244" i="1"/>
  <c r="S243" i="1"/>
  <c r="V243" i="1" s="1"/>
  <c r="S242" i="1"/>
  <c r="V242" i="1" s="1"/>
  <c r="S241" i="1"/>
  <c r="V241" i="1" s="1"/>
  <c r="S240" i="1"/>
  <c r="V240" i="1" s="1"/>
  <c r="S239" i="1"/>
  <c r="V239" i="1" s="1"/>
  <c r="S238" i="1"/>
  <c r="V238" i="1" s="1"/>
  <c r="S237" i="1"/>
  <c r="V237" i="1" s="1"/>
  <c r="S236" i="1"/>
  <c r="V236" i="1" s="1"/>
  <c r="S235" i="1"/>
  <c r="V235" i="1" s="1"/>
  <c r="S234" i="1"/>
  <c r="V234" i="1" s="1"/>
  <c r="S233" i="1"/>
  <c r="V233" i="1" s="1"/>
  <c r="S232" i="1"/>
  <c r="V232" i="1" s="1"/>
  <c r="S231" i="1"/>
  <c r="V231" i="1" s="1"/>
  <c r="S230" i="1"/>
  <c r="V230" i="1" s="1"/>
  <c r="S229" i="1"/>
  <c r="V229" i="1" s="1"/>
  <c r="S228" i="1"/>
  <c r="V228" i="1" s="1"/>
  <c r="S227" i="1"/>
  <c r="V227" i="1" s="1"/>
  <c r="S226" i="1"/>
  <c r="V226" i="1" s="1"/>
  <c r="S225" i="1"/>
  <c r="V225" i="1" s="1"/>
  <c r="S224" i="1"/>
  <c r="V224" i="1" s="1"/>
  <c r="S223" i="1"/>
  <c r="V223" i="1" s="1"/>
  <c r="S222" i="1"/>
  <c r="V222" i="1" s="1"/>
  <c r="S221" i="1"/>
  <c r="V221" i="1" s="1"/>
  <c r="S220" i="1"/>
  <c r="V220" i="1" s="1"/>
  <c r="S219" i="1"/>
  <c r="V219" i="1" s="1"/>
  <c r="S218" i="1"/>
  <c r="V218" i="1" s="1"/>
  <c r="S217" i="1"/>
  <c r="V217" i="1" s="1"/>
  <c r="S216" i="1"/>
  <c r="V216" i="1" s="1"/>
  <c r="S215" i="1"/>
  <c r="V215" i="1" s="1"/>
  <c r="S214" i="1"/>
  <c r="V214" i="1" s="1"/>
  <c r="S213" i="1"/>
  <c r="V213" i="1" s="1"/>
  <c r="S212" i="1"/>
  <c r="V212" i="1" s="1"/>
  <c r="S211" i="1"/>
  <c r="V211" i="1" s="1"/>
  <c r="S210" i="1"/>
  <c r="V210" i="1" s="1"/>
  <c r="S209" i="1"/>
  <c r="V209" i="1" s="1"/>
  <c r="S208" i="1"/>
  <c r="V208" i="1" s="1"/>
  <c r="S207" i="1"/>
  <c r="V207" i="1" s="1"/>
  <c r="S206" i="1"/>
  <c r="V206" i="1" s="1"/>
  <c r="S205" i="1"/>
  <c r="V205" i="1" s="1"/>
  <c r="S204" i="1"/>
  <c r="V204" i="1" s="1"/>
  <c r="S203" i="1"/>
  <c r="V203" i="1" s="1"/>
  <c r="S202" i="1"/>
  <c r="V202" i="1" s="1"/>
  <c r="S201" i="1"/>
  <c r="V201" i="1" s="1"/>
  <c r="S200" i="1"/>
  <c r="V200" i="1" s="1"/>
  <c r="S199" i="1"/>
  <c r="V199" i="1" s="1"/>
  <c r="S198" i="1"/>
  <c r="V198" i="1" s="1"/>
  <c r="S197" i="1"/>
  <c r="V197" i="1" s="1"/>
  <c r="S196" i="1"/>
  <c r="V196" i="1" s="1"/>
  <c r="S195" i="1"/>
  <c r="V195" i="1" s="1"/>
  <c r="S194" i="1"/>
  <c r="V194" i="1" s="1"/>
  <c r="S193" i="1"/>
  <c r="V193" i="1" s="1"/>
  <c r="S192" i="1"/>
  <c r="V192" i="1" s="1"/>
  <c r="S191" i="1"/>
  <c r="V191" i="1" s="1"/>
  <c r="S190" i="1"/>
  <c r="V190" i="1" s="1"/>
  <c r="S189" i="1"/>
  <c r="V189" i="1" s="1"/>
  <c r="S188" i="1"/>
  <c r="V188" i="1" s="1"/>
  <c r="S187" i="1"/>
  <c r="V187" i="1" s="1"/>
  <c r="S186" i="1"/>
  <c r="V186" i="1" s="1"/>
  <c r="S185" i="1"/>
  <c r="V185" i="1" s="1"/>
  <c r="S171" i="1"/>
  <c r="V171" i="1" s="1"/>
  <c r="S170" i="1"/>
  <c r="V170" i="1" s="1"/>
  <c r="S169" i="1"/>
  <c r="V169" i="1" s="1"/>
  <c r="S168" i="1"/>
  <c r="V168" i="1" s="1"/>
  <c r="S167" i="1"/>
  <c r="V167" i="1" s="1"/>
  <c r="S166" i="1"/>
  <c r="V166" i="1" s="1"/>
  <c r="S165" i="1"/>
  <c r="S164" i="1"/>
  <c r="V164" i="1" s="1"/>
  <c r="S163" i="1"/>
  <c r="V163" i="1" s="1"/>
  <c r="S162" i="1"/>
  <c r="V162" i="1" s="1"/>
  <c r="S90" i="1"/>
  <c r="V90" i="1" s="1"/>
  <c r="S89" i="1"/>
  <c r="V89" i="1" s="1"/>
  <c r="S88" i="1"/>
  <c r="V88" i="1" s="1"/>
  <c r="S87" i="1"/>
  <c r="V87" i="1" s="1"/>
  <c r="S86" i="1"/>
  <c r="V86" i="1" s="1"/>
  <c r="S85" i="1"/>
  <c r="V85" i="1" s="1"/>
  <c r="S84" i="1"/>
  <c r="V84" i="1" s="1"/>
  <c r="S83" i="1"/>
  <c r="V83" i="1" s="1"/>
  <c r="S82" i="1"/>
  <c r="V82" i="1" s="1"/>
  <c r="S81" i="1"/>
  <c r="V81" i="1" s="1"/>
  <c r="S80" i="1"/>
  <c r="V80" i="1" s="1"/>
  <c r="S79" i="1"/>
  <c r="V79" i="1" s="1"/>
  <c r="S78" i="1"/>
  <c r="V78" i="1" s="1"/>
  <c r="S77" i="1"/>
  <c r="V77" i="1" s="1"/>
  <c r="S76" i="1"/>
  <c r="V76" i="1" s="1"/>
  <c r="S75" i="1"/>
  <c r="V75" i="1" s="1"/>
  <c r="S74" i="1"/>
  <c r="V74" i="1" s="1"/>
  <c r="S73" i="1"/>
  <c r="V73" i="1" s="1"/>
  <c r="S72" i="1"/>
  <c r="V72" i="1" s="1"/>
  <c r="S71" i="1"/>
  <c r="V71" i="1" s="1"/>
  <c r="S70" i="1"/>
  <c r="V70" i="1" s="1"/>
  <c r="S69" i="1"/>
  <c r="V69" i="1" s="1"/>
  <c r="S68" i="1"/>
  <c r="V68" i="1" s="1"/>
  <c r="S67" i="1"/>
  <c r="V67" i="1" s="1"/>
  <c r="S66" i="1"/>
  <c r="V66" i="1" s="1"/>
  <c r="S64" i="1"/>
  <c r="V64" i="1" s="1"/>
  <c r="S62" i="1"/>
  <c r="V62" i="1" s="1"/>
  <c r="S61" i="1"/>
  <c r="V61" i="1" s="1"/>
  <c r="S60" i="1"/>
  <c r="V60" i="1" s="1"/>
  <c r="S59" i="1"/>
  <c r="V59" i="1" s="1"/>
  <c r="S58" i="1"/>
  <c r="V58" i="1" s="1"/>
  <c r="S57" i="1"/>
  <c r="V57" i="1" s="1"/>
  <c r="S56" i="1"/>
  <c r="V56" i="1" s="1"/>
  <c r="S55" i="1"/>
  <c r="V55" i="1" s="1"/>
  <c r="S52" i="1"/>
  <c r="V52" i="1" s="1"/>
  <c r="S51" i="1"/>
  <c r="V51" i="1" s="1"/>
  <c r="S50" i="1"/>
  <c r="V50" i="1" s="1"/>
  <c r="S49" i="1"/>
  <c r="V49" i="1" s="1"/>
  <c r="S48" i="1"/>
  <c r="V48" i="1" s="1"/>
  <c r="S47" i="1"/>
  <c r="V47" i="1" s="1"/>
  <c r="S46" i="1"/>
  <c r="V46" i="1" s="1"/>
  <c r="S44" i="1"/>
  <c r="V44" i="1" s="1"/>
  <c r="S43" i="1"/>
  <c r="V43" i="1" s="1"/>
  <c r="S42" i="1"/>
  <c r="V42" i="1" s="1"/>
  <c r="S41" i="1"/>
  <c r="V41" i="1" s="1"/>
  <c r="S40" i="1"/>
  <c r="V40" i="1" s="1"/>
  <c r="S39" i="1"/>
  <c r="V39" i="1" s="1"/>
  <c r="S38" i="1"/>
  <c r="V38" i="1" s="1"/>
  <c r="S37" i="1"/>
  <c r="V37" i="1" s="1"/>
  <c r="S36" i="1"/>
  <c r="V36" i="1" s="1"/>
  <c r="S30" i="1"/>
  <c r="V30" i="1" s="1"/>
  <c r="S28" i="1"/>
  <c r="S19" i="1"/>
  <c r="V19" i="1" s="1"/>
  <c r="S17" i="1"/>
  <c r="V17" i="1" s="1"/>
  <c r="S16" i="1"/>
  <c r="S15" i="1"/>
  <c r="AQ51" i="1" l="1"/>
  <c r="AQ54" i="1" s="1"/>
  <c r="AQ50" i="1"/>
  <c r="AR49" i="1"/>
  <c r="AR50" i="1"/>
  <c r="AQ49" i="1"/>
  <c r="AL40" i="1"/>
  <c r="AL28" i="1"/>
  <c r="V165" i="1"/>
  <c r="AF165" i="1" s="1"/>
  <c r="V16" i="1"/>
  <c r="AC16" i="1" s="1"/>
  <c r="V15" i="1"/>
  <c r="V244" i="1"/>
  <c r="X244" i="1" s="1"/>
  <c r="V28" i="1"/>
  <c r="AF28" i="1" s="1"/>
  <c r="T172" i="1"/>
  <c r="V172" i="1"/>
  <c r="T180" i="1"/>
  <c r="V180" i="1"/>
  <c r="X17" i="1"/>
  <c r="AA17" i="1"/>
  <c r="Y17" i="1"/>
  <c r="AF17" i="1"/>
  <c r="AE17" i="1"/>
  <c r="AD17" i="1"/>
  <c r="AC17" i="1"/>
  <c r="Z17" i="1"/>
  <c r="AB17" i="1"/>
  <c r="AB44" i="1"/>
  <c r="AA44" i="1"/>
  <c r="Z44" i="1"/>
  <c r="Y44" i="1"/>
  <c r="X44" i="1"/>
  <c r="AF44" i="1"/>
  <c r="AE44" i="1"/>
  <c r="AD44" i="1"/>
  <c r="AC44" i="1"/>
  <c r="AF59" i="1"/>
  <c r="AE59" i="1"/>
  <c r="AD59" i="1"/>
  <c r="AC59" i="1"/>
  <c r="AB59" i="1"/>
  <c r="AA59" i="1"/>
  <c r="Z59" i="1"/>
  <c r="Y59" i="1"/>
  <c r="X59" i="1"/>
  <c r="Z73" i="1"/>
  <c r="Y73" i="1"/>
  <c r="X73" i="1"/>
  <c r="AF73" i="1"/>
  <c r="AE73" i="1"/>
  <c r="AD73" i="1"/>
  <c r="AC73" i="1"/>
  <c r="AB73" i="1"/>
  <c r="AA73" i="1"/>
  <c r="Z85" i="1"/>
  <c r="Y85" i="1"/>
  <c r="X85" i="1"/>
  <c r="AF85" i="1"/>
  <c r="AE85" i="1"/>
  <c r="AD85" i="1"/>
  <c r="AA85" i="1"/>
  <c r="AC85" i="1"/>
  <c r="AB85" i="1"/>
  <c r="Z167" i="1"/>
  <c r="Y167" i="1"/>
  <c r="X167" i="1"/>
  <c r="AF167" i="1"/>
  <c r="AE167" i="1"/>
  <c r="AD167" i="1"/>
  <c r="AC167" i="1"/>
  <c r="AB167" i="1"/>
  <c r="AA167" i="1"/>
  <c r="AB192" i="1"/>
  <c r="AA192" i="1"/>
  <c r="Z192" i="1"/>
  <c r="Y192" i="1"/>
  <c r="X192" i="1"/>
  <c r="AF192" i="1"/>
  <c r="AE192" i="1"/>
  <c r="AD192" i="1"/>
  <c r="AC192" i="1"/>
  <c r="AB204" i="1"/>
  <c r="AA204" i="1"/>
  <c r="Z204" i="1"/>
  <c r="Y204" i="1"/>
  <c r="X204" i="1"/>
  <c r="AF204" i="1"/>
  <c r="AE204" i="1"/>
  <c r="AD204" i="1"/>
  <c r="AC204" i="1"/>
  <c r="AB216" i="1"/>
  <c r="AA216" i="1"/>
  <c r="Z216" i="1"/>
  <c r="Y216" i="1"/>
  <c r="X216" i="1"/>
  <c r="AF216" i="1"/>
  <c r="AE216" i="1"/>
  <c r="AD216" i="1"/>
  <c r="AC216" i="1"/>
  <c r="AB228" i="1"/>
  <c r="AA228" i="1"/>
  <c r="Z228" i="1"/>
  <c r="Y228" i="1"/>
  <c r="X228" i="1"/>
  <c r="AF228" i="1"/>
  <c r="AE228" i="1"/>
  <c r="AD228" i="1"/>
  <c r="AC228" i="1"/>
  <c r="AB240" i="1"/>
  <c r="AA240" i="1"/>
  <c r="Z240" i="1"/>
  <c r="Y240" i="1"/>
  <c r="X240" i="1"/>
  <c r="AE240" i="1"/>
  <c r="AD240" i="1"/>
  <c r="AC240" i="1"/>
  <c r="AF240" i="1"/>
  <c r="AB252" i="1"/>
  <c r="AA252" i="1"/>
  <c r="Z252" i="1"/>
  <c r="Y252" i="1"/>
  <c r="X252" i="1"/>
  <c r="AC252" i="1"/>
  <c r="AD252" i="1"/>
  <c r="AF252" i="1"/>
  <c r="AE252" i="1"/>
  <c r="Z215" i="1"/>
  <c r="Y215" i="1"/>
  <c r="X215" i="1"/>
  <c r="AF215" i="1"/>
  <c r="AE215" i="1"/>
  <c r="AD215" i="1"/>
  <c r="AC215" i="1"/>
  <c r="AB215" i="1"/>
  <c r="AA215" i="1"/>
  <c r="Z19" i="1"/>
  <c r="Y19" i="1"/>
  <c r="AE19" i="1"/>
  <c r="AD19" i="1"/>
  <c r="AC19" i="1"/>
  <c r="AB19" i="1"/>
  <c r="AA19" i="1"/>
  <c r="X19" i="1"/>
  <c r="AF19" i="1"/>
  <c r="AF46" i="1"/>
  <c r="AE46" i="1"/>
  <c r="AD46" i="1"/>
  <c r="AC46" i="1"/>
  <c r="AB46" i="1"/>
  <c r="AA46" i="1"/>
  <c r="Z46" i="1"/>
  <c r="Y46" i="1"/>
  <c r="X46" i="1"/>
  <c r="X60" i="1"/>
  <c r="AF60" i="1"/>
  <c r="AE60" i="1"/>
  <c r="AD60" i="1"/>
  <c r="AC60" i="1"/>
  <c r="AB60" i="1"/>
  <c r="AA60" i="1"/>
  <c r="Z60" i="1"/>
  <c r="Y60" i="1"/>
  <c r="AB74" i="1"/>
  <c r="AA74" i="1"/>
  <c r="Z74" i="1"/>
  <c r="Y74" i="1"/>
  <c r="X74" i="1"/>
  <c r="AF74" i="1"/>
  <c r="AE74" i="1"/>
  <c r="AD74" i="1"/>
  <c r="AC74" i="1"/>
  <c r="AB86" i="1"/>
  <c r="AA86" i="1"/>
  <c r="Z86" i="1"/>
  <c r="Y86" i="1"/>
  <c r="X86" i="1"/>
  <c r="AF86" i="1"/>
  <c r="AE86" i="1"/>
  <c r="AD86" i="1"/>
  <c r="AC86" i="1"/>
  <c r="AB168" i="1"/>
  <c r="AA168" i="1"/>
  <c r="Z168" i="1"/>
  <c r="Y168" i="1"/>
  <c r="X168" i="1"/>
  <c r="AE168" i="1"/>
  <c r="AD168" i="1"/>
  <c r="AC168" i="1"/>
  <c r="AF168" i="1"/>
  <c r="AD193" i="1"/>
  <c r="AC193" i="1"/>
  <c r="AB193" i="1"/>
  <c r="AA193" i="1"/>
  <c r="Z193" i="1"/>
  <c r="X193" i="1"/>
  <c r="AF193" i="1"/>
  <c r="AE193" i="1"/>
  <c r="Y193" i="1"/>
  <c r="AD205" i="1"/>
  <c r="AC205" i="1"/>
  <c r="AB205" i="1"/>
  <c r="AA205" i="1"/>
  <c r="Z205" i="1"/>
  <c r="X205" i="1"/>
  <c r="AF205" i="1"/>
  <c r="AE205" i="1"/>
  <c r="Y205" i="1"/>
  <c r="AD217" i="1"/>
  <c r="AC217" i="1"/>
  <c r="AB217" i="1"/>
  <c r="AA217" i="1"/>
  <c r="Z217" i="1"/>
  <c r="X217" i="1"/>
  <c r="AF217" i="1"/>
  <c r="AE217" i="1"/>
  <c r="Y217" i="1"/>
  <c r="AD229" i="1"/>
  <c r="AC229" i="1"/>
  <c r="AB229" i="1"/>
  <c r="AA229" i="1"/>
  <c r="Z229" i="1"/>
  <c r="X229" i="1"/>
  <c r="Y229" i="1"/>
  <c r="AE229" i="1"/>
  <c r="AF229" i="1"/>
  <c r="AD241" i="1"/>
  <c r="AC241" i="1"/>
  <c r="AB241" i="1"/>
  <c r="AA241" i="1"/>
  <c r="Z241" i="1"/>
  <c r="X241" i="1"/>
  <c r="AF241" i="1"/>
  <c r="AE241" i="1"/>
  <c r="Y241" i="1"/>
  <c r="AD253" i="1"/>
  <c r="AC253" i="1"/>
  <c r="AB253" i="1"/>
  <c r="AA253" i="1"/>
  <c r="Z253" i="1"/>
  <c r="X253" i="1"/>
  <c r="AF253" i="1"/>
  <c r="AE253" i="1"/>
  <c r="Y253" i="1"/>
  <c r="AF47" i="1"/>
  <c r="AE47" i="1"/>
  <c r="AD47" i="1"/>
  <c r="AC47" i="1"/>
  <c r="AB47" i="1"/>
  <c r="AA47" i="1"/>
  <c r="Z47" i="1"/>
  <c r="Y47" i="1"/>
  <c r="X47" i="1"/>
  <c r="Z61" i="1"/>
  <c r="Y61" i="1"/>
  <c r="X61" i="1"/>
  <c r="AF61" i="1"/>
  <c r="AE61" i="1"/>
  <c r="AD61" i="1"/>
  <c r="AA61" i="1"/>
  <c r="AB61" i="1"/>
  <c r="AC61" i="1"/>
  <c r="AD75" i="1"/>
  <c r="AC75" i="1"/>
  <c r="AB75" i="1"/>
  <c r="AA75" i="1"/>
  <c r="Z75" i="1"/>
  <c r="Y75" i="1"/>
  <c r="X75" i="1"/>
  <c r="AE75" i="1"/>
  <c r="AF75" i="1"/>
  <c r="AD87" i="1"/>
  <c r="AC87" i="1"/>
  <c r="AB87" i="1"/>
  <c r="AA87" i="1"/>
  <c r="Z87" i="1"/>
  <c r="Y87" i="1"/>
  <c r="X87" i="1"/>
  <c r="AF87" i="1"/>
  <c r="AE87" i="1"/>
  <c r="AD169" i="1"/>
  <c r="AC169" i="1"/>
  <c r="AB169" i="1"/>
  <c r="AA169" i="1"/>
  <c r="Z169" i="1"/>
  <c r="X169" i="1"/>
  <c r="AF169" i="1"/>
  <c r="AE169" i="1"/>
  <c r="Y169" i="1"/>
  <c r="AF194" i="1"/>
  <c r="AE194" i="1"/>
  <c r="AD194" i="1"/>
  <c r="AC194" i="1"/>
  <c r="AB194" i="1"/>
  <c r="Z194" i="1"/>
  <c r="Y194" i="1"/>
  <c r="AA194" i="1"/>
  <c r="X194" i="1"/>
  <c r="AF206" i="1"/>
  <c r="AE206" i="1"/>
  <c r="AD206" i="1"/>
  <c r="AC206" i="1"/>
  <c r="AB206" i="1"/>
  <c r="Z206" i="1"/>
  <c r="Y206" i="1"/>
  <c r="X206" i="1"/>
  <c r="AA206" i="1"/>
  <c r="AF218" i="1"/>
  <c r="AE218" i="1"/>
  <c r="AD218" i="1"/>
  <c r="AC218" i="1"/>
  <c r="AB218" i="1"/>
  <c r="Z218" i="1"/>
  <c r="Y218" i="1"/>
  <c r="X218" i="1"/>
  <c r="AA218" i="1"/>
  <c r="AF230" i="1"/>
  <c r="AE230" i="1"/>
  <c r="AD230" i="1"/>
  <c r="AC230" i="1"/>
  <c r="AB230" i="1"/>
  <c r="Z230" i="1"/>
  <c r="Y230" i="1"/>
  <c r="AA230" i="1"/>
  <c r="X230" i="1"/>
  <c r="AF242" i="1"/>
  <c r="AE242" i="1"/>
  <c r="AD242" i="1"/>
  <c r="AC242" i="1"/>
  <c r="AB242" i="1"/>
  <c r="Z242" i="1"/>
  <c r="Y242" i="1"/>
  <c r="AA242" i="1"/>
  <c r="X242" i="1"/>
  <c r="AF254" i="1"/>
  <c r="AE254" i="1"/>
  <c r="AD254" i="1"/>
  <c r="AC254" i="1"/>
  <c r="AB254" i="1"/>
  <c r="Z254" i="1"/>
  <c r="Y254" i="1"/>
  <c r="AA254" i="1"/>
  <c r="X254" i="1"/>
  <c r="Z191" i="1"/>
  <c r="Y191" i="1"/>
  <c r="X191" i="1"/>
  <c r="AF191" i="1"/>
  <c r="AE191" i="1"/>
  <c r="AD191" i="1"/>
  <c r="AC191" i="1"/>
  <c r="AB191" i="1"/>
  <c r="AA191" i="1"/>
  <c r="Z251" i="1"/>
  <c r="Y251" i="1"/>
  <c r="X251" i="1"/>
  <c r="AF251" i="1"/>
  <c r="AE251" i="1"/>
  <c r="AD251" i="1"/>
  <c r="AC251" i="1"/>
  <c r="AB251" i="1"/>
  <c r="AA251" i="1"/>
  <c r="X30" i="1"/>
  <c r="AF30" i="1"/>
  <c r="AE30" i="1"/>
  <c r="AD30" i="1"/>
  <c r="AC30" i="1"/>
  <c r="AB30" i="1"/>
  <c r="AA30" i="1"/>
  <c r="Z30" i="1"/>
  <c r="Y30" i="1"/>
  <c r="X48" i="1"/>
  <c r="AF48" i="1"/>
  <c r="AE48" i="1"/>
  <c r="AD48" i="1"/>
  <c r="AC48" i="1"/>
  <c r="AB48" i="1"/>
  <c r="AA48" i="1"/>
  <c r="Y48" i="1"/>
  <c r="Z48" i="1"/>
  <c r="AB62" i="1"/>
  <c r="AA62" i="1"/>
  <c r="Z62" i="1"/>
  <c r="Y62" i="1"/>
  <c r="X62" i="1"/>
  <c r="AF62" i="1"/>
  <c r="AC62" i="1"/>
  <c r="AE62" i="1"/>
  <c r="AD62" i="1"/>
  <c r="AF76" i="1"/>
  <c r="AE76" i="1"/>
  <c r="AD76" i="1"/>
  <c r="AC76" i="1"/>
  <c r="AB76" i="1"/>
  <c r="AA76" i="1"/>
  <c r="Z76" i="1"/>
  <c r="Y76" i="1"/>
  <c r="X76" i="1"/>
  <c r="AF88" i="1"/>
  <c r="AE88" i="1"/>
  <c r="AD88" i="1"/>
  <c r="AC88" i="1"/>
  <c r="AB88" i="1"/>
  <c r="AA88" i="1"/>
  <c r="Z88" i="1"/>
  <c r="Y88" i="1"/>
  <c r="X88" i="1"/>
  <c r="AF170" i="1"/>
  <c r="AE170" i="1"/>
  <c r="AD170" i="1"/>
  <c r="AC170" i="1"/>
  <c r="AB170" i="1"/>
  <c r="Z170" i="1"/>
  <c r="Y170" i="1"/>
  <c r="AA170" i="1"/>
  <c r="X170" i="1"/>
  <c r="AF195" i="1"/>
  <c r="AE195" i="1"/>
  <c r="AD195" i="1"/>
  <c r="AB195" i="1"/>
  <c r="AA195" i="1"/>
  <c r="AC195" i="1"/>
  <c r="X195" i="1"/>
  <c r="Z195" i="1"/>
  <c r="Y195" i="1"/>
  <c r="AF207" i="1"/>
  <c r="AE207" i="1"/>
  <c r="AD207" i="1"/>
  <c r="AB207" i="1"/>
  <c r="AA207" i="1"/>
  <c r="AC207" i="1"/>
  <c r="Z207" i="1"/>
  <c r="Y207" i="1"/>
  <c r="X207" i="1"/>
  <c r="AF219" i="1"/>
  <c r="AE219" i="1"/>
  <c r="AD219" i="1"/>
  <c r="AB219" i="1"/>
  <c r="AA219" i="1"/>
  <c r="AC219" i="1"/>
  <c r="Z219" i="1"/>
  <c r="Y219" i="1"/>
  <c r="X219" i="1"/>
  <c r="AF231" i="1"/>
  <c r="AE231" i="1"/>
  <c r="AD231" i="1"/>
  <c r="AB231" i="1"/>
  <c r="AA231" i="1"/>
  <c r="AC231" i="1"/>
  <c r="Z231" i="1"/>
  <c r="Y231" i="1"/>
  <c r="X231" i="1"/>
  <c r="AF243" i="1"/>
  <c r="AE243" i="1"/>
  <c r="AD243" i="1"/>
  <c r="AB243" i="1"/>
  <c r="AA243" i="1"/>
  <c r="AC243" i="1"/>
  <c r="Z243" i="1"/>
  <c r="Y243" i="1"/>
  <c r="X243" i="1"/>
  <c r="AF255" i="1"/>
  <c r="AE255" i="1"/>
  <c r="AD255" i="1"/>
  <c r="AB255" i="1"/>
  <c r="AA255" i="1"/>
  <c r="Y255" i="1"/>
  <c r="X255" i="1"/>
  <c r="Z255" i="1"/>
  <c r="AC255" i="1"/>
  <c r="X72" i="1"/>
  <c r="AF72" i="1"/>
  <c r="AE72" i="1"/>
  <c r="AD72" i="1"/>
  <c r="AC72" i="1"/>
  <c r="AB72" i="1"/>
  <c r="AA72" i="1"/>
  <c r="Y72" i="1"/>
  <c r="Z72" i="1"/>
  <c r="Z49" i="1"/>
  <c r="Y49" i="1"/>
  <c r="X49" i="1"/>
  <c r="AF49" i="1"/>
  <c r="AE49" i="1"/>
  <c r="AD49" i="1"/>
  <c r="AC49" i="1"/>
  <c r="AB49" i="1"/>
  <c r="AA49" i="1"/>
  <c r="AF64" i="1"/>
  <c r="AE64" i="1"/>
  <c r="AD64" i="1"/>
  <c r="AC64" i="1"/>
  <c r="AB64" i="1"/>
  <c r="AA64" i="1"/>
  <c r="Z64" i="1"/>
  <c r="Y64" i="1"/>
  <c r="X64" i="1"/>
  <c r="AF77" i="1"/>
  <c r="AE77" i="1"/>
  <c r="AD77" i="1"/>
  <c r="AC77" i="1"/>
  <c r="AB77" i="1"/>
  <c r="AA77" i="1"/>
  <c r="Z77" i="1"/>
  <c r="Y77" i="1"/>
  <c r="X77" i="1"/>
  <c r="AF89" i="1"/>
  <c r="AE89" i="1"/>
  <c r="AD89" i="1"/>
  <c r="AC89" i="1"/>
  <c r="AB89" i="1"/>
  <c r="AA89" i="1"/>
  <c r="Z89" i="1"/>
  <c r="Y89" i="1"/>
  <c r="X89" i="1"/>
  <c r="AF171" i="1"/>
  <c r="AE171" i="1"/>
  <c r="AD171" i="1"/>
  <c r="AB171" i="1"/>
  <c r="AA171" i="1"/>
  <c r="AC171" i="1"/>
  <c r="Z171" i="1"/>
  <c r="Y171" i="1"/>
  <c r="X171" i="1"/>
  <c r="X196" i="1"/>
  <c r="AF196" i="1"/>
  <c r="AD196" i="1"/>
  <c r="AC196" i="1"/>
  <c r="AE196" i="1"/>
  <c r="AB196" i="1"/>
  <c r="AA196" i="1"/>
  <c r="Z196" i="1"/>
  <c r="Y196" i="1"/>
  <c r="X208" i="1"/>
  <c r="AF208" i="1"/>
  <c r="AD208" i="1"/>
  <c r="AC208" i="1"/>
  <c r="AE208" i="1"/>
  <c r="AB208" i="1"/>
  <c r="AA208" i="1"/>
  <c r="Z208" i="1"/>
  <c r="Y208" i="1"/>
  <c r="X220" i="1"/>
  <c r="AF220" i="1"/>
  <c r="AD220" i="1"/>
  <c r="AC220" i="1"/>
  <c r="AB220" i="1"/>
  <c r="AA220" i="1"/>
  <c r="Z220" i="1"/>
  <c r="Y220" i="1"/>
  <c r="AE220" i="1"/>
  <c r="X232" i="1"/>
  <c r="AF232" i="1"/>
  <c r="AD232" i="1"/>
  <c r="AC232" i="1"/>
  <c r="Z232" i="1"/>
  <c r="Y232" i="1"/>
  <c r="AA232" i="1"/>
  <c r="AE232" i="1"/>
  <c r="AB232" i="1"/>
  <c r="Z263" i="1"/>
  <c r="Y263" i="1"/>
  <c r="X263" i="1"/>
  <c r="AF263" i="1"/>
  <c r="AE263" i="1"/>
  <c r="AD263" i="1"/>
  <c r="AC263" i="1"/>
  <c r="AB263" i="1"/>
  <c r="AA263" i="1"/>
  <c r="Z179" i="1"/>
  <c r="Y179" i="1"/>
  <c r="X179" i="1"/>
  <c r="AF179" i="1"/>
  <c r="AE179" i="1"/>
  <c r="AD179" i="1"/>
  <c r="AC179" i="1"/>
  <c r="AB179" i="1"/>
  <c r="AA179" i="1"/>
  <c r="Z203" i="1"/>
  <c r="Y203" i="1"/>
  <c r="X203" i="1"/>
  <c r="AF203" i="1"/>
  <c r="AE203" i="1"/>
  <c r="AB203" i="1"/>
  <c r="AA203" i="1"/>
  <c r="AD203" i="1"/>
  <c r="AC203" i="1"/>
  <c r="Z37" i="1"/>
  <c r="Y37" i="1"/>
  <c r="X37" i="1"/>
  <c r="AF37" i="1"/>
  <c r="AE37" i="1"/>
  <c r="AD37" i="1"/>
  <c r="AA37" i="1"/>
  <c r="AB37" i="1"/>
  <c r="AC37" i="1"/>
  <c r="AB50" i="1"/>
  <c r="AA50" i="1"/>
  <c r="Z50" i="1"/>
  <c r="Y50" i="1"/>
  <c r="X50" i="1"/>
  <c r="AF50" i="1"/>
  <c r="AE50" i="1"/>
  <c r="AD50" i="1"/>
  <c r="AC50" i="1"/>
  <c r="X66" i="1"/>
  <c r="AF66" i="1"/>
  <c r="AE66" i="1"/>
  <c r="AD66" i="1"/>
  <c r="AC66" i="1"/>
  <c r="AB66" i="1"/>
  <c r="Y66" i="1"/>
  <c r="AA66" i="1"/>
  <c r="Z66" i="1"/>
  <c r="X78" i="1"/>
  <c r="AF78" i="1"/>
  <c r="AE78" i="1"/>
  <c r="AD78" i="1"/>
  <c r="AC78" i="1"/>
  <c r="AB78" i="1"/>
  <c r="AA78" i="1"/>
  <c r="Z78" i="1"/>
  <c r="Y78" i="1"/>
  <c r="X90" i="1"/>
  <c r="AF90" i="1"/>
  <c r="AE90" i="1"/>
  <c r="AD90" i="1"/>
  <c r="AC90" i="1"/>
  <c r="AB90" i="1"/>
  <c r="Y90" i="1"/>
  <c r="AA90" i="1"/>
  <c r="Z90" i="1"/>
  <c r="Z185" i="1"/>
  <c r="Y185" i="1"/>
  <c r="X185" i="1"/>
  <c r="AF185" i="1"/>
  <c r="AE185" i="1"/>
  <c r="AD185" i="1"/>
  <c r="AC185" i="1"/>
  <c r="AB185" i="1"/>
  <c r="AA185" i="1"/>
  <c r="Z197" i="1"/>
  <c r="Y197" i="1"/>
  <c r="X197" i="1"/>
  <c r="AF197" i="1"/>
  <c r="AE197" i="1"/>
  <c r="AC197" i="1"/>
  <c r="AB197" i="1"/>
  <c r="AA197" i="1"/>
  <c r="AD197" i="1"/>
  <c r="Z209" i="1"/>
  <c r="Y209" i="1"/>
  <c r="X209" i="1"/>
  <c r="AF209" i="1"/>
  <c r="AE209" i="1"/>
  <c r="AA209" i="1"/>
  <c r="AB209" i="1"/>
  <c r="AD209" i="1"/>
  <c r="AC209" i="1"/>
  <c r="Z221" i="1"/>
  <c r="Y221" i="1"/>
  <c r="X221" i="1"/>
  <c r="AF221" i="1"/>
  <c r="AE221" i="1"/>
  <c r="AD221" i="1"/>
  <c r="AC221" i="1"/>
  <c r="AB221" i="1"/>
  <c r="AA221" i="1"/>
  <c r="Z233" i="1"/>
  <c r="Y233" i="1"/>
  <c r="X233" i="1"/>
  <c r="AF233" i="1"/>
  <c r="AE233" i="1"/>
  <c r="AD233" i="1"/>
  <c r="AC233" i="1"/>
  <c r="AB233" i="1"/>
  <c r="AA233" i="1"/>
  <c r="Z245" i="1"/>
  <c r="Y245" i="1"/>
  <c r="X245" i="1"/>
  <c r="AF245" i="1"/>
  <c r="AE245" i="1"/>
  <c r="AD245" i="1"/>
  <c r="AC245" i="1"/>
  <c r="AB245" i="1"/>
  <c r="AA245" i="1"/>
  <c r="Z43" i="1"/>
  <c r="Y43" i="1"/>
  <c r="X43" i="1"/>
  <c r="AF43" i="1"/>
  <c r="AE43" i="1"/>
  <c r="AD43" i="1"/>
  <c r="AA43" i="1"/>
  <c r="AC43" i="1"/>
  <c r="AB43" i="1"/>
  <c r="X36" i="1"/>
  <c r="AF36" i="1"/>
  <c r="AE36" i="1"/>
  <c r="AD36" i="1"/>
  <c r="AC36" i="1"/>
  <c r="AB36" i="1"/>
  <c r="AA36" i="1"/>
  <c r="Z36" i="1"/>
  <c r="Y36" i="1"/>
  <c r="AB38" i="1"/>
  <c r="AA38" i="1"/>
  <c r="Z38" i="1"/>
  <c r="Y38" i="1"/>
  <c r="X38" i="1"/>
  <c r="AF38" i="1"/>
  <c r="AE38" i="1"/>
  <c r="AD38" i="1"/>
  <c r="AC38" i="1"/>
  <c r="AD51" i="1"/>
  <c r="AC51" i="1"/>
  <c r="AB51" i="1"/>
  <c r="AA51" i="1"/>
  <c r="Z51" i="1"/>
  <c r="Y51" i="1"/>
  <c r="X51" i="1"/>
  <c r="AE51" i="1"/>
  <c r="AF51" i="1"/>
  <c r="Z67" i="1"/>
  <c r="Y67" i="1"/>
  <c r="X67" i="1"/>
  <c r="AF67" i="1"/>
  <c r="AE67" i="1"/>
  <c r="AD67" i="1"/>
  <c r="AC67" i="1"/>
  <c r="AB67" i="1"/>
  <c r="AA67" i="1"/>
  <c r="Z79" i="1"/>
  <c r="Y79" i="1"/>
  <c r="X79" i="1"/>
  <c r="AF79" i="1"/>
  <c r="AE79" i="1"/>
  <c r="AD79" i="1"/>
  <c r="AC79" i="1"/>
  <c r="AB79" i="1"/>
  <c r="AA79" i="1"/>
  <c r="AB186" i="1"/>
  <c r="AA186" i="1"/>
  <c r="Z186" i="1"/>
  <c r="Y186" i="1"/>
  <c r="X186" i="1"/>
  <c r="AF186" i="1"/>
  <c r="AC186" i="1"/>
  <c r="AE186" i="1"/>
  <c r="AD186" i="1"/>
  <c r="AB198" i="1"/>
  <c r="AA198" i="1"/>
  <c r="Z198" i="1"/>
  <c r="Y198" i="1"/>
  <c r="X198" i="1"/>
  <c r="AF198" i="1"/>
  <c r="AE198" i="1"/>
  <c r="AD198" i="1"/>
  <c r="AC198" i="1"/>
  <c r="AB210" i="1"/>
  <c r="AA210" i="1"/>
  <c r="Z210" i="1"/>
  <c r="Y210" i="1"/>
  <c r="X210" i="1"/>
  <c r="AF210" i="1"/>
  <c r="AE210" i="1"/>
  <c r="AD210" i="1"/>
  <c r="AC210" i="1"/>
  <c r="AB222" i="1"/>
  <c r="AA222" i="1"/>
  <c r="Z222" i="1"/>
  <c r="Y222" i="1"/>
  <c r="X222" i="1"/>
  <c r="AF222" i="1"/>
  <c r="AE222" i="1"/>
  <c r="AD222" i="1"/>
  <c r="AC222" i="1"/>
  <c r="AB234" i="1"/>
  <c r="AA234" i="1"/>
  <c r="Z234" i="1"/>
  <c r="Y234" i="1"/>
  <c r="X234" i="1"/>
  <c r="AF234" i="1"/>
  <c r="AE234" i="1"/>
  <c r="AD234" i="1"/>
  <c r="AC234" i="1"/>
  <c r="AB246" i="1"/>
  <c r="AA246" i="1"/>
  <c r="Z246" i="1"/>
  <c r="Y246" i="1"/>
  <c r="X246" i="1"/>
  <c r="AD246" i="1"/>
  <c r="AC246" i="1"/>
  <c r="AF246" i="1"/>
  <c r="AE246" i="1"/>
  <c r="Z227" i="1"/>
  <c r="Y227" i="1"/>
  <c r="X227" i="1"/>
  <c r="AF227" i="1"/>
  <c r="AE227" i="1"/>
  <c r="AD227" i="1"/>
  <c r="AC227" i="1"/>
  <c r="AB227" i="1"/>
  <c r="AA227" i="1"/>
  <c r="AD39" i="1"/>
  <c r="AC39" i="1"/>
  <c r="AB39" i="1"/>
  <c r="AA39" i="1"/>
  <c r="Z39" i="1"/>
  <c r="Y39" i="1"/>
  <c r="X39" i="1"/>
  <c r="AF39" i="1"/>
  <c r="AE39" i="1"/>
  <c r="AF52" i="1"/>
  <c r="AE52" i="1"/>
  <c r="AD52" i="1"/>
  <c r="AC52" i="1"/>
  <c r="AB52" i="1"/>
  <c r="AA52" i="1"/>
  <c r="Z52" i="1"/>
  <c r="Y52" i="1"/>
  <c r="X52" i="1"/>
  <c r="AB68" i="1"/>
  <c r="AA68" i="1"/>
  <c r="Z68" i="1"/>
  <c r="Y68" i="1"/>
  <c r="X68" i="1"/>
  <c r="AF68" i="1"/>
  <c r="AE68" i="1"/>
  <c r="AD68" i="1"/>
  <c r="AC68" i="1"/>
  <c r="AB80" i="1"/>
  <c r="AA80" i="1"/>
  <c r="Z80" i="1"/>
  <c r="Y80" i="1"/>
  <c r="X80" i="1"/>
  <c r="AF80" i="1"/>
  <c r="AC80" i="1"/>
  <c r="AE80" i="1"/>
  <c r="AD80" i="1"/>
  <c r="AB162" i="1"/>
  <c r="AA162" i="1"/>
  <c r="Z162" i="1"/>
  <c r="Y162" i="1"/>
  <c r="X162" i="1"/>
  <c r="AF162" i="1"/>
  <c r="AE162" i="1"/>
  <c r="AD162" i="1"/>
  <c r="AC162" i="1"/>
  <c r="AD187" i="1"/>
  <c r="AC187" i="1"/>
  <c r="AB187" i="1"/>
  <c r="AA187" i="1"/>
  <c r="Z187" i="1"/>
  <c r="X187" i="1"/>
  <c r="AF187" i="1"/>
  <c r="AE187" i="1"/>
  <c r="Y187" i="1"/>
  <c r="AD199" i="1"/>
  <c r="AC199" i="1"/>
  <c r="AB199" i="1"/>
  <c r="AA199" i="1"/>
  <c r="Z199" i="1"/>
  <c r="X199" i="1"/>
  <c r="AF199" i="1"/>
  <c r="AE199" i="1"/>
  <c r="Y199" i="1"/>
  <c r="AD211" i="1"/>
  <c r="AC211" i="1"/>
  <c r="AB211" i="1"/>
  <c r="AA211" i="1"/>
  <c r="Z211" i="1"/>
  <c r="X211" i="1"/>
  <c r="AF211" i="1"/>
  <c r="AE211" i="1"/>
  <c r="Y211" i="1"/>
  <c r="AD223" i="1"/>
  <c r="AC223" i="1"/>
  <c r="AB223" i="1"/>
  <c r="AA223" i="1"/>
  <c r="Z223" i="1"/>
  <c r="X223" i="1"/>
  <c r="AE223" i="1"/>
  <c r="Y223" i="1"/>
  <c r="AF223" i="1"/>
  <c r="AD235" i="1"/>
  <c r="AC235" i="1"/>
  <c r="AB235" i="1"/>
  <c r="AA235" i="1"/>
  <c r="Z235" i="1"/>
  <c r="X235" i="1"/>
  <c r="AF235" i="1"/>
  <c r="AE235" i="1"/>
  <c r="Y235" i="1"/>
  <c r="AD247" i="1"/>
  <c r="AC247" i="1"/>
  <c r="AB247" i="1"/>
  <c r="AA247" i="1"/>
  <c r="Z247" i="1"/>
  <c r="X247" i="1"/>
  <c r="AF247" i="1"/>
  <c r="AE247" i="1"/>
  <c r="Y247" i="1"/>
  <c r="AB156" i="1"/>
  <c r="AA156" i="1"/>
  <c r="Z156" i="1"/>
  <c r="Y156" i="1"/>
  <c r="X156" i="1"/>
  <c r="AF156" i="1"/>
  <c r="AE156" i="1"/>
  <c r="AD156" i="1"/>
  <c r="AC156" i="1"/>
  <c r="X84" i="1"/>
  <c r="AF84" i="1"/>
  <c r="AE84" i="1"/>
  <c r="AD84" i="1"/>
  <c r="AC84" i="1"/>
  <c r="AB84" i="1"/>
  <c r="AA84" i="1"/>
  <c r="Z84" i="1"/>
  <c r="Y84" i="1"/>
  <c r="Z239" i="1"/>
  <c r="Y239" i="1"/>
  <c r="X239" i="1"/>
  <c r="AF239" i="1"/>
  <c r="AE239" i="1"/>
  <c r="AD239" i="1"/>
  <c r="AC239" i="1"/>
  <c r="AB239" i="1"/>
  <c r="AA239" i="1"/>
  <c r="Z55" i="1"/>
  <c r="Y55" i="1"/>
  <c r="X55" i="1"/>
  <c r="AF55" i="1"/>
  <c r="AE55" i="1"/>
  <c r="AD55" i="1"/>
  <c r="AC55" i="1"/>
  <c r="AB55" i="1"/>
  <c r="AA55" i="1"/>
  <c r="AD69" i="1"/>
  <c r="AC69" i="1"/>
  <c r="AB69" i="1"/>
  <c r="AA69" i="1"/>
  <c r="Z69" i="1"/>
  <c r="Y69" i="1"/>
  <c r="X69" i="1"/>
  <c r="AF69" i="1"/>
  <c r="AE69" i="1"/>
  <c r="AD81" i="1"/>
  <c r="AC81" i="1"/>
  <c r="AB81" i="1"/>
  <c r="AA81" i="1"/>
  <c r="Z81" i="1"/>
  <c r="Y81" i="1"/>
  <c r="X81" i="1"/>
  <c r="AE81" i="1"/>
  <c r="AF81" i="1"/>
  <c r="AD163" i="1"/>
  <c r="AC163" i="1"/>
  <c r="AB163" i="1"/>
  <c r="AA163" i="1"/>
  <c r="Z163" i="1"/>
  <c r="X163" i="1"/>
  <c r="AF163" i="1"/>
  <c r="AE163" i="1"/>
  <c r="Y163" i="1"/>
  <c r="AF188" i="1"/>
  <c r="AE188" i="1"/>
  <c r="AD188" i="1"/>
  <c r="AC188" i="1"/>
  <c r="AB188" i="1"/>
  <c r="Z188" i="1"/>
  <c r="Y188" i="1"/>
  <c r="AA188" i="1"/>
  <c r="X188" i="1"/>
  <c r="AF200" i="1"/>
  <c r="AE200" i="1"/>
  <c r="AD200" i="1"/>
  <c r="AC200" i="1"/>
  <c r="AB200" i="1"/>
  <c r="Z200" i="1"/>
  <c r="Y200" i="1"/>
  <c r="AA200" i="1"/>
  <c r="X200" i="1"/>
  <c r="AF212" i="1"/>
  <c r="AE212" i="1"/>
  <c r="AD212" i="1"/>
  <c r="AC212" i="1"/>
  <c r="AB212" i="1"/>
  <c r="Z212" i="1"/>
  <c r="Y212" i="1"/>
  <c r="AA212" i="1"/>
  <c r="X212" i="1"/>
  <c r="AF224" i="1"/>
  <c r="AE224" i="1"/>
  <c r="AD224" i="1"/>
  <c r="AC224" i="1"/>
  <c r="AB224" i="1"/>
  <c r="Z224" i="1"/>
  <c r="Y224" i="1"/>
  <c r="AA224" i="1"/>
  <c r="X224" i="1"/>
  <c r="AF236" i="1"/>
  <c r="AE236" i="1"/>
  <c r="AD236" i="1"/>
  <c r="AC236" i="1"/>
  <c r="AB236" i="1"/>
  <c r="Z236" i="1"/>
  <c r="Y236" i="1"/>
  <c r="AA236" i="1"/>
  <c r="X236" i="1"/>
  <c r="AF248" i="1"/>
  <c r="AE248" i="1"/>
  <c r="AD248" i="1"/>
  <c r="AC248" i="1"/>
  <c r="AB248" i="1"/>
  <c r="Z248" i="1"/>
  <c r="Y248" i="1"/>
  <c r="AA248" i="1"/>
  <c r="X248" i="1"/>
  <c r="AF58" i="1"/>
  <c r="AE58" i="1"/>
  <c r="AD58" i="1"/>
  <c r="AC58" i="1"/>
  <c r="AB58" i="1"/>
  <c r="AA58" i="1"/>
  <c r="Z58" i="1"/>
  <c r="Y58" i="1"/>
  <c r="X58" i="1"/>
  <c r="AF40" i="1"/>
  <c r="AE40" i="1"/>
  <c r="AD40" i="1"/>
  <c r="AC40" i="1"/>
  <c r="AB40" i="1"/>
  <c r="AA40" i="1"/>
  <c r="Z40" i="1"/>
  <c r="Y40" i="1"/>
  <c r="X40" i="1"/>
  <c r="AF41" i="1"/>
  <c r="AE41" i="1"/>
  <c r="AD41" i="1"/>
  <c r="AC41" i="1"/>
  <c r="AB41" i="1"/>
  <c r="AA41" i="1"/>
  <c r="Z41" i="1"/>
  <c r="Y41" i="1"/>
  <c r="X41" i="1"/>
  <c r="AB56" i="1"/>
  <c r="AA56" i="1"/>
  <c r="Z56" i="1"/>
  <c r="Y56" i="1"/>
  <c r="X56" i="1"/>
  <c r="AF56" i="1"/>
  <c r="AC56" i="1"/>
  <c r="AD56" i="1"/>
  <c r="AE56" i="1"/>
  <c r="AF70" i="1"/>
  <c r="AE70" i="1"/>
  <c r="AD70" i="1"/>
  <c r="AC70" i="1"/>
  <c r="AB70" i="1"/>
  <c r="AA70" i="1"/>
  <c r="Z70" i="1"/>
  <c r="Y70" i="1"/>
  <c r="X70" i="1"/>
  <c r="AF82" i="1"/>
  <c r="AE82" i="1"/>
  <c r="AD82" i="1"/>
  <c r="AC82" i="1"/>
  <c r="AB82" i="1"/>
  <c r="AA82" i="1"/>
  <c r="Z82" i="1"/>
  <c r="Y82" i="1"/>
  <c r="X82" i="1"/>
  <c r="AF164" i="1"/>
  <c r="AE164" i="1"/>
  <c r="AD164" i="1"/>
  <c r="AC164" i="1"/>
  <c r="AB164" i="1"/>
  <c r="Z164" i="1"/>
  <c r="Y164" i="1"/>
  <c r="AA164" i="1"/>
  <c r="X164" i="1"/>
  <c r="AF189" i="1"/>
  <c r="AE189" i="1"/>
  <c r="AD189" i="1"/>
  <c r="AB189" i="1"/>
  <c r="AA189" i="1"/>
  <c r="X189" i="1"/>
  <c r="AC189" i="1"/>
  <c r="Z189" i="1"/>
  <c r="Y189" i="1"/>
  <c r="AF201" i="1"/>
  <c r="AE201" i="1"/>
  <c r="AD201" i="1"/>
  <c r="AB201" i="1"/>
  <c r="AA201" i="1"/>
  <c r="AC201" i="1"/>
  <c r="Z201" i="1"/>
  <c r="Y201" i="1"/>
  <c r="X201" i="1"/>
  <c r="AF213" i="1"/>
  <c r="AE213" i="1"/>
  <c r="AD213" i="1"/>
  <c r="AB213" i="1"/>
  <c r="AA213" i="1"/>
  <c r="AC213" i="1"/>
  <c r="Z213" i="1"/>
  <c r="Y213" i="1"/>
  <c r="X213" i="1"/>
  <c r="AF225" i="1"/>
  <c r="AE225" i="1"/>
  <c r="AD225" i="1"/>
  <c r="AB225" i="1"/>
  <c r="AA225" i="1"/>
  <c r="AC225" i="1"/>
  <c r="Z225" i="1"/>
  <c r="Y225" i="1"/>
  <c r="X225" i="1"/>
  <c r="AF237" i="1"/>
  <c r="AE237" i="1"/>
  <c r="AD237" i="1"/>
  <c r="AB237" i="1"/>
  <c r="AA237" i="1"/>
  <c r="AC237" i="1"/>
  <c r="Z237" i="1"/>
  <c r="Y237" i="1"/>
  <c r="X237" i="1"/>
  <c r="AF249" i="1"/>
  <c r="AE249" i="1"/>
  <c r="AD249" i="1"/>
  <c r="AB249" i="1"/>
  <c r="AA249" i="1"/>
  <c r="Z249" i="1"/>
  <c r="Y249" i="1"/>
  <c r="X249" i="1"/>
  <c r="AC249" i="1"/>
  <c r="X166" i="1"/>
  <c r="AF166" i="1"/>
  <c r="AD166" i="1"/>
  <c r="AC166" i="1"/>
  <c r="Y166" i="1"/>
  <c r="AE166" i="1"/>
  <c r="AB166" i="1"/>
  <c r="AA166" i="1"/>
  <c r="Z166" i="1"/>
  <c r="X42" i="1"/>
  <c r="AF42" i="1"/>
  <c r="AE42" i="1"/>
  <c r="AD42" i="1"/>
  <c r="AC42" i="1"/>
  <c r="AB42" i="1"/>
  <c r="Y42" i="1"/>
  <c r="Z42" i="1"/>
  <c r="AA42" i="1"/>
  <c r="AD57" i="1"/>
  <c r="AC57" i="1"/>
  <c r="AB57" i="1"/>
  <c r="AA57" i="1"/>
  <c r="Z57" i="1"/>
  <c r="Y57" i="1"/>
  <c r="X57" i="1"/>
  <c r="AE57" i="1"/>
  <c r="AF57" i="1"/>
  <c r="AF71" i="1"/>
  <c r="AE71" i="1"/>
  <c r="AD71" i="1"/>
  <c r="AC71" i="1"/>
  <c r="AB71" i="1"/>
  <c r="AA71" i="1"/>
  <c r="Z71" i="1"/>
  <c r="X71" i="1"/>
  <c r="Y71" i="1"/>
  <c r="AF83" i="1"/>
  <c r="AE83" i="1"/>
  <c r="AD83" i="1"/>
  <c r="AC83" i="1"/>
  <c r="AB83" i="1"/>
  <c r="AA83" i="1"/>
  <c r="Z83" i="1"/>
  <c r="Y83" i="1"/>
  <c r="X83" i="1"/>
  <c r="X190" i="1"/>
  <c r="AF190" i="1"/>
  <c r="AD190" i="1"/>
  <c r="AC190" i="1"/>
  <c r="AE190" i="1"/>
  <c r="AB190" i="1"/>
  <c r="AA190" i="1"/>
  <c r="Z190" i="1"/>
  <c r="Y190" i="1"/>
  <c r="X202" i="1"/>
  <c r="AF202" i="1"/>
  <c r="AD202" i="1"/>
  <c r="AC202" i="1"/>
  <c r="AE202" i="1"/>
  <c r="AB202" i="1"/>
  <c r="AA202" i="1"/>
  <c r="Z202" i="1"/>
  <c r="Y202" i="1"/>
  <c r="X214" i="1"/>
  <c r="AF214" i="1"/>
  <c r="AD214" i="1"/>
  <c r="AC214" i="1"/>
  <c r="AE214" i="1"/>
  <c r="AB214" i="1"/>
  <c r="AA214" i="1"/>
  <c r="Z214" i="1"/>
  <c r="Y214" i="1"/>
  <c r="X226" i="1"/>
  <c r="AF226" i="1"/>
  <c r="AD226" i="1"/>
  <c r="AC226" i="1"/>
  <c r="AA226" i="1"/>
  <c r="Z226" i="1"/>
  <c r="Y226" i="1"/>
  <c r="AE226" i="1"/>
  <c r="AB226" i="1"/>
  <c r="X238" i="1"/>
  <c r="AF238" i="1"/>
  <c r="AD238" i="1"/>
  <c r="AC238" i="1"/>
  <c r="Y238" i="1"/>
  <c r="AE238" i="1"/>
  <c r="AB238" i="1"/>
  <c r="AA238" i="1"/>
  <c r="Z238" i="1"/>
  <c r="X250" i="1"/>
  <c r="AF250" i="1"/>
  <c r="AD250" i="1"/>
  <c r="AC250" i="1"/>
  <c r="AE250" i="1"/>
  <c r="AB250" i="1"/>
  <c r="AA250" i="1"/>
  <c r="Z250" i="1"/>
  <c r="Y250" i="1"/>
  <c r="S574" i="1"/>
  <c r="V574" i="1" s="1"/>
  <c r="S575" i="1"/>
  <c r="V575" i="1" s="1"/>
  <c r="S555" i="1"/>
  <c r="V555" i="1" s="1"/>
  <c r="S554" i="1"/>
  <c r="V554" i="1" s="1"/>
  <c r="T184" i="1"/>
  <c r="T183" i="1"/>
  <c r="T182" i="1"/>
  <c r="T179" i="1"/>
  <c r="T181" i="1"/>
  <c r="T178" i="1"/>
  <c r="T177" i="1"/>
  <c r="T174" i="1"/>
  <c r="T176" i="1"/>
  <c r="T175" i="1"/>
  <c r="T173" i="1"/>
  <c r="T156" i="1"/>
  <c r="T159" i="1"/>
  <c r="T160" i="1"/>
  <c r="T157" i="1"/>
  <c r="T158" i="1"/>
  <c r="T161" i="1"/>
  <c r="T155" i="1"/>
  <c r="P135" i="18"/>
  <c r="C137" i="18"/>
  <c r="F137" i="18" s="1"/>
  <c r="AX2" i="8"/>
  <c r="C24" i="7"/>
  <c r="F24" i="7" s="1"/>
  <c r="P25" i="7"/>
  <c r="X165" i="1" l="1"/>
  <c r="Y165" i="1"/>
  <c r="AC165" i="1"/>
  <c r="Z165" i="1"/>
  <c r="AB165" i="1"/>
  <c r="AA165" i="1"/>
  <c r="Y244" i="1"/>
  <c r="AE165" i="1"/>
  <c r="Z244" i="1"/>
  <c r="AD165" i="1"/>
  <c r="AD244" i="1"/>
  <c r="X28" i="1"/>
  <c r="Y28" i="1"/>
  <c r="AB28" i="1"/>
  <c r="AD28" i="1"/>
  <c r="AA244" i="1"/>
  <c r="AB244" i="1"/>
  <c r="AE244" i="1"/>
  <c r="AC244" i="1"/>
  <c r="AF244" i="1"/>
  <c r="Z28" i="1"/>
  <c r="AA28" i="1"/>
  <c r="AC28" i="1"/>
  <c r="AE28" i="1"/>
  <c r="AD16" i="1"/>
  <c r="AF16" i="1"/>
  <c r="AE16" i="1"/>
  <c r="X16" i="1"/>
  <c r="Y16" i="1"/>
  <c r="Z16" i="1"/>
  <c r="AA16" i="1"/>
  <c r="AB16" i="1"/>
  <c r="X172" i="1"/>
  <c r="AF172" i="1"/>
  <c r="AD172" i="1"/>
  <c r="AC172" i="1"/>
  <c r="AE172" i="1"/>
  <c r="AB172" i="1"/>
  <c r="Y172" i="1"/>
  <c r="Z172" i="1"/>
  <c r="AA172" i="1"/>
  <c r="AF158" i="1"/>
  <c r="AE158" i="1"/>
  <c r="AD158" i="1"/>
  <c r="AC158" i="1"/>
  <c r="AB158" i="1"/>
  <c r="Z158" i="1"/>
  <c r="Y158" i="1"/>
  <c r="AA158" i="1"/>
  <c r="X158" i="1"/>
  <c r="AD175" i="1"/>
  <c r="AC175" i="1"/>
  <c r="AB175" i="1"/>
  <c r="AA175" i="1"/>
  <c r="Z175" i="1"/>
  <c r="X175" i="1"/>
  <c r="AF175" i="1"/>
  <c r="AE175" i="1"/>
  <c r="Y175" i="1"/>
  <c r="AF182" i="1"/>
  <c r="AE182" i="1"/>
  <c r="AD182" i="1"/>
  <c r="AC182" i="1"/>
  <c r="AB182" i="1"/>
  <c r="Z182" i="1"/>
  <c r="Y182" i="1"/>
  <c r="AA182" i="1"/>
  <c r="X182" i="1"/>
  <c r="Z173" i="1"/>
  <c r="Y173" i="1"/>
  <c r="X173" i="1"/>
  <c r="AF173" i="1"/>
  <c r="AE173" i="1"/>
  <c r="AD173" i="1"/>
  <c r="AC173" i="1"/>
  <c r="AB173" i="1"/>
  <c r="AA173" i="1"/>
  <c r="AD181" i="1"/>
  <c r="AC181" i="1"/>
  <c r="AB181" i="1"/>
  <c r="AA181" i="1"/>
  <c r="Z181" i="1"/>
  <c r="X181" i="1"/>
  <c r="AF181" i="1"/>
  <c r="AE181" i="1"/>
  <c r="Y181" i="1"/>
  <c r="AD157" i="1"/>
  <c r="AC157" i="1"/>
  <c r="AB157" i="1"/>
  <c r="AA157" i="1"/>
  <c r="Z157" i="1"/>
  <c r="X157" i="1"/>
  <c r="Y157" i="1"/>
  <c r="AF157" i="1"/>
  <c r="AE157" i="1"/>
  <c r="AB174" i="1"/>
  <c r="AA174" i="1"/>
  <c r="Z174" i="1"/>
  <c r="Y174" i="1"/>
  <c r="X174" i="1"/>
  <c r="AD174" i="1"/>
  <c r="AC174" i="1"/>
  <c r="AE174" i="1"/>
  <c r="AF174" i="1"/>
  <c r="AF183" i="1"/>
  <c r="AE183" i="1"/>
  <c r="AD183" i="1"/>
  <c r="AB183" i="1"/>
  <c r="AA183" i="1"/>
  <c r="Y183" i="1"/>
  <c r="X183" i="1"/>
  <c r="Z183" i="1"/>
  <c r="AC183" i="1"/>
  <c r="AD15" i="1"/>
  <c r="AE15" i="1"/>
  <c r="AC15" i="1"/>
  <c r="AB15" i="1"/>
  <c r="AA15" i="1"/>
  <c r="Z15" i="1"/>
  <c r="AF15" i="1"/>
  <c r="Y15" i="1"/>
  <c r="X15" i="1"/>
  <c r="X160" i="1"/>
  <c r="AF160" i="1"/>
  <c r="AD160" i="1"/>
  <c r="AC160" i="1"/>
  <c r="Z160" i="1"/>
  <c r="Y160" i="1"/>
  <c r="AA160" i="1"/>
  <c r="AE160" i="1"/>
  <c r="AB160" i="1"/>
  <c r="X184" i="1"/>
  <c r="AF184" i="1"/>
  <c r="AD184" i="1"/>
  <c r="AC184" i="1"/>
  <c r="AE184" i="1"/>
  <c r="AB184" i="1"/>
  <c r="AA184" i="1"/>
  <c r="Z184" i="1"/>
  <c r="Y184" i="1"/>
  <c r="AF176" i="1"/>
  <c r="AE176" i="1"/>
  <c r="AD176" i="1"/>
  <c r="AC176" i="1"/>
  <c r="AB176" i="1"/>
  <c r="Z176" i="1"/>
  <c r="Y176" i="1"/>
  <c r="AA176" i="1"/>
  <c r="X176" i="1"/>
  <c r="AF159" i="1"/>
  <c r="AE159" i="1"/>
  <c r="AD159" i="1"/>
  <c r="AB159" i="1"/>
  <c r="AA159" i="1"/>
  <c r="AC159" i="1"/>
  <c r="Z159" i="1"/>
  <c r="Y159" i="1"/>
  <c r="X159" i="1"/>
  <c r="AF177" i="1"/>
  <c r="AE177" i="1"/>
  <c r="AD177" i="1"/>
  <c r="AB177" i="1"/>
  <c r="AA177" i="1"/>
  <c r="Z177" i="1"/>
  <c r="Y177" i="1"/>
  <c r="X177" i="1"/>
  <c r="AC177" i="1"/>
  <c r="X178" i="1"/>
  <c r="AF178" i="1"/>
  <c r="AD178" i="1"/>
  <c r="AC178" i="1"/>
  <c r="AE178" i="1"/>
  <c r="AB178" i="1"/>
  <c r="AA178" i="1"/>
  <c r="Z178" i="1"/>
  <c r="Y178" i="1"/>
  <c r="AB180" i="1"/>
  <c r="AA180" i="1"/>
  <c r="Z180" i="1"/>
  <c r="Y180" i="1"/>
  <c r="X180" i="1"/>
  <c r="AC180" i="1"/>
  <c r="AF180" i="1"/>
  <c r="AE180" i="1"/>
  <c r="AD180" i="1"/>
  <c r="Z155" i="1"/>
  <c r="Y155" i="1"/>
  <c r="X155" i="1"/>
  <c r="AF155" i="1"/>
  <c r="AE155" i="1"/>
  <c r="AD155" i="1"/>
  <c r="AC155" i="1"/>
  <c r="AB155" i="1"/>
  <c r="AA155" i="1"/>
  <c r="T575" i="1"/>
  <c r="T574" i="1"/>
  <c r="T554" i="1"/>
  <c r="T555" i="1"/>
  <c r="C138" i="18"/>
  <c r="F138" i="18" s="1"/>
  <c r="P136" i="18"/>
  <c r="AY2" i="8"/>
  <c r="C25" i="7"/>
  <c r="F25" i="7" s="1"/>
  <c r="P26" i="7"/>
  <c r="Z555" i="1" l="1"/>
  <c r="Y555" i="1"/>
  <c r="X555" i="1"/>
  <c r="AF555" i="1"/>
  <c r="AE555" i="1"/>
  <c r="AD555" i="1"/>
  <c r="AC555" i="1"/>
  <c r="AB555" i="1"/>
  <c r="AA555" i="1"/>
  <c r="X554" i="1"/>
  <c r="AF554" i="1"/>
  <c r="AD554" i="1"/>
  <c r="AC554" i="1"/>
  <c r="AB554" i="1"/>
  <c r="AA554" i="1"/>
  <c r="AE554" i="1"/>
  <c r="Z554" i="1"/>
  <c r="Y554" i="1"/>
  <c r="AC574" i="1"/>
  <c r="AB574" i="1"/>
  <c r="AA574" i="1"/>
  <c r="Z574" i="1"/>
  <c r="Y574" i="1"/>
  <c r="X574" i="1"/>
  <c r="AF574" i="1"/>
  <c r="AE574" i="1"/>
  <c r="AD574" i="1"/>
  <c r="AE575" i="1"/>
  <c r="AF575" i="1"/>
  <c r="AD575" i="1"/>
  <c r="AC575" i="1"/>
  <c r="AB575" i="1"/>
  <c r="AA575" i="1"/>
  <c r="Y575" i="1"/>
  <c r="X575" i="1"/>
  <c r="Z575" i="1"/>
  <c r="S567" i="1"/>
  <c r="V567" i="1" s="1"/>
  <c r="S566" i="1"/>
  <c r="V566" i="1" s="1"/>
  <c r="S588" i="1"/>
  <c r="V588" i="1" s="1"/>
  <c r="S586" i="1"/>
  <c r="V586" i="1" s="1"/>
  <c r="S589" i="1"/>
  <c r="V589" i="1" s="1"/>
  <c r="S587" i="1"/>
  <c r="V587" i="1" s="1"/>
  <c r="S570" i="1"/>
  <c r="V570" i="1" s="1"/>
  <c r="S571" i="1"/>
  <c r="V571" i="1" s="1"/>
  <c r="S569" i="1"/>
  <c r="V569" i="1" s="1"/>
  <c r="S581" i="1"/>
  <c r="V581" i="1" s="1"/>
  <c r="S580" i="1"/>
  <c r="V580" i="1" s="1"/>
  <c r="S582" i="1"/>
  <c r="V582" i="1" s="1"/>
  <c r="S578" i="1"/>
  <c r="V578" i="1" s="1"/>
  <c r="S579" i="1"/>
  <c r="V579" i="1" s="1"/>
  <c r="S577" i="1"/>
  <c r="V577" i="1" s="1"/>
  <c r="S576" i="1"/>
  <c r="V576" i="1" s="1"/>
  <c r="S583" i="1"/>
  <c r="V583" i="1" s="1"/>
  <c r="S584" i="1"/>
  <c r="V584" i="1" s="1"/>
  <c r="S585" i="1"/>
  <c r="V585" i="1" s="1"/>
  <c r="S562" i="1"/>
  <c r="V562" i="1" s="1"/>
  <c r="S560" i="1"/>
  <c r="V560" i="1" s="1"/>
  <c r="S559" i="1"/>
  <c r="V559" i="1" s="1"/>
  <c r="S561" i="1"/>
  <c r="V561" i="1" s="1"/>
  <c r="S558" i="1"/>
  <c r="V558" i="1" s="1"/>
  <c r="S556" i="1"/>
  <c r="V556" i="1" s="1"/>
  <c r="S557" i="1"/>
  <c r="V557" i="1" s="1"/>
  <c r="S565" i="1"/>
  <c r="V565" i="1" s="1"/>
  <c r="S563" i="1"/>
  <c r="V563" i="1" s="1"/>
  <c r="S564" i="1"/>
  <c r="V564" i="1" s="1"/>
  <c r="S416" i="1"/>
  <c r="V416" i="1" s="1"/>
  <c r="S415" i="1"/>
  <c r="V415" i="1" s="1"/>
  <c r="S417" i="1"/>
  <c r="V417" i="1" s="1"/>
  <c r="S418" i="1"/>
  <c r="V418" i="1" s="1"/>
  <c r="S386" i="1"/>
  <c r="V386" i="1" s="1"/>
  <c r="S361" i="1"/>
  <c r="V361" i="1" s="1"/>
  <c r="S383" i="1"/>
  <c r="V383" i="1" s="1"/>
  <c r="S384" i="1"/>
  <c r="V384" i="1" s="1"/>
  <c r="S382" i="1"/>
  <c r="V382" i="1" s="1"/>
  <c r="S370" i="1"/>
  <c r="V370" i="1" s="1"/>
  <c r="S377" i="1"/>
  <c r="V377" i="1" s="1"/>
  <c r="S376" i="1"/>
  <c r="V376" i="1" s="1"/>
  <c r="S371" i="1"/>
  <c r="V371" i="1" s="1"/>
  <c r="P137" i="18"/>
  <c r="C139" i="18"/>
  <c r="F139" i="18" s="1"/>
  <c r="S363" i="1"/>
  <c r="V363" i="1" s="1"/>
  <c r="S353" i="1"/>
  <c r="S365" i="1"/>
  <c r="V365" i="1" s="1"/>
  <c r="S364" i="1"/>
  <c r="V364" i="1" s="1"/>
  <c r="S355" i="1"/>
  <c r="V355" i="1" s="1"/>
  <c r="S356" i="1"/>
  <c r="V356" i="1" s="1"/>
  <c r="S362" i="1"/>
  <c r="V362" i="1" s="1"/>
  <c r="S350" i="1"/>
  <c r="V350" i="1" s="1"/>
  <c r="S336" i="1"/>
  <c r="V336" i="1" s="1"/>
  <c r="S325" i="1"/>
  <c r="V325" i="1" s="1"/>
  <c r="AZ2" i="8"/>
  <c r="C26" i="7"/>
  <c r="F26" i="7" s="1"/>
  <c r="P27" i="7"/>
  <c r="S287" i="1"/>
  <c r="V287" i="1" s="1"/>
  <c r="S525" i="1"/>
  <c r="V525" i="1" l="1"/>
  <c r="V353" i="1"/>
  <c r="AA353" i="1" s="1"/>
  <c r="AD350" i="1"/>
  <c r="AC350" i="1"/>
  <c r="AB350" i="1"/>
  <c r="AA350" i="1"/>
  <c r="Z350" i="1"/>
  <c r="Y350" i="1"/>
  <c r="X350" i="1"/>
  <c r="AF350" i="1"/>
  <c r="AE350" i="1"/>
  <c r="AE362" i="1"/>
  <c r="AC362" i="1"/>
  <c r="AD362" i="1"/>
  <c r="AB362" i="1"/>
  <c r="AA362" i="1"/>
  <c r="Z362" i="1"/>
  <c r="Y362" i="1"/>
  <c r="X362" i="1"/>
  <c r="AF362" i="1"/>
  <c r="AA370" i="1"/>
  <c r="Y370" i="1"/>
  <c r="AF370" i="1"/>
  <c r="AB370" i="1"/>
  <c r="Z370" i="1"/>
  <c r="X370" i="1"/>
  <c r="AC370" i="1"/>
  <c r="AE370" i="1"/>
  <c r="AD370" i="1"/>
  <c r="AF356" i="1"/>
  <c r="AE356" i="1"/>
  <c r="AD356" i="1"/>
  <c r="AC356" i="1"/>
  <c r="AB356" i="1"/>
  <c r="AA356" i="1"/>
  <c r="Z356" i="1"/>
  <c r="Y356" i="1"/>
  <c r="X356" i="1"/>
  <c r="AC361" i="1"/>
  <c r="Y361" i="1"/>
  <c r="X361" i="1"/>
  <c r="AF361" i="1"/>
  <c r="AE361" i="1"/>
  <c r="AD361" i="1"/>
  <c r="AB361" i="1"/>
  <c r="AA361" i="1"/>
  <c r="Z361" i="1"/>
  <c r="AF355" i="1"/>
  <c r="AE355" i="1"/>
  <c r="AD355" i="1"/>
  <c r="AC355" i="1"/>
  <c r="AB355" i="1"/>
  <c r="AA355" i="1"/>
  <c r="Z355" i="1"/>
  <c r="Y355" i="1"/>
  <c r="X355" i="1"/>
  <c r="Y363" i="1"/>
  <c r="AE363" i="1"/>
  <c r="AF363" i="1"/>
  <c r="AD363" i="1"/>
  <c r="AC363" i="1"/>
  <c r="AB363" i="1"/>
  <c r="AA363" i="1"/>
  <c r="X363" i="1"/>
  <c r="Z363" i="1"/>
  <c r="AF336" i="1"/>
  <c r="AE336" i="1"/>
  <c r="AD336" i="1"/>
  <c r="AC336" i="1"/>
  <c r="AB336" i="1"/>
  <c r="AA336" i="1"/>
  <c r="Z336" i="1"/>
  <c r="Y336" i="1"/>
  <c r="X336" i="1"/>
  <c r="Y325" i="1"/>
  <c r="X325" i="1"/>
  <c r="AF325" i="1"/>
  <c r="AE325" i="1"/>
  <c r="AD325" i="1"/>
  <c r="AC325" i="1"/>
  <c r="AB325" i="1"/>
  <c r="AA325" i="1"/>
  <c r="Z325" i="1"/>
  <c r="S549" i="1"/>
  <c r="V549" i="1" s="1"/>
  <c r="S550" i="1"/>
  <c r="V550" i="1" s="1"/>
  <c r="S551" i="1"/>
  <c r="V551" i="1" s="1"/>
  <c r="T566" i="1"/>
  <c r="T567" i="1"/>
  <c r="S544" i="1"/>
  <c r="V544" i="1" s="1"/>
  <c r="S548" i="1"/>
  <c r="V548" i="1" s="1"/>
  <c r="S547" i="1"/>
  <c r="V547" i="1" s="1"/>
  <c r="S545" i="1"/>
  <c r="V545" i="1" s="1"/>
  <c r="S536" i="1"/>
  <c r="V536" i="1" s="1"/>
  <c r="S546" i="1"/>
  <c r="V546" i="1" s="1"/>
  <c r="S537" i="1"/>
  <c r="V537" i="1" s="1"/>
  <c r="S479" i="1"/>
  <c r="V479" i="1" s="1"/>
  <c r="T571" i="1"/>
  <c r="T570" i="1"/>
  <c r="T569" i="1"/>
  <c r="T587" i="1"/>
  <c r="T589" i="1"/>
  <c r="T586" i="1"/>
  <c r="T588" i="1"/>
  <c r="S541" i="1"/>
  <c r="V541" i="1" s="1"/>
  <c r="S543" i="1"/>
  <c r="V543" i="1" s="1"/>
  <c r="S542" i="1"/>
  <c r="V542" i="1" s="1"/>
  <c r="S540" i="1"/>
  <c r="S539" i="1"/>
  <c r="V539" i="1" s="1"/>
  <c r="S538" i="1"/>
  <c r="V538" i="1" s="1"/>
  <c r="S533" i="1"/>
  <c r="V533" i="1" s="1"/>
  <c r="S535" i="1"/>
  <c r="V535" i="1" s="1"/>
  <c r="S524" i="1"/>
  <c r="S534" i="1"/>
  <c r="V534" i="1" s="1"/>
  <c r="T585" i="1"/>
  <c r="T584" i="1"/>
  <c r="T583" i="1"/>
  <c r="T576" i="1"/>
  <c r="T577" i="1"/>
  <c r="T579" i="1"/>
  <c r="T578" i="1"/>
  <c r="S523" i="1"/>
  <c r="V523" i="1" s="1"/>
  <c r="S472" i="1"/>
  <c r="V472" i="1" s="1"/>
  <c r="T582" i="1"/>
  <c r="T580" i="1"/>
  <c r="T581" i="1"/>
  <c r="S528" i="1"/>
  <c r="V528" i="1" s="1"/>
  <c r="S529" i="1"/>
  <c r="S530" i="1"/>
  <c r="V530" i="1" s="1"/>
  <c r="S531" i="1"/>
  <c r="S532" i="1"/>
  <c r="V532" i="1" s="1"/>
  <c r="S527" i="1"/>
  <c r="V527" i="1" s="1"/>
  <c r="S487" i="1"/>
  <c r="S520" i="1"/>
  <c r="V520" i="1" s="1"/>
  <c r="S526" i="1"/>
  <c r="V526" i="1" s="1"/>
  <c r="S518" i="1"/>
  <c r="V518" i="1" s="1"/>
  <c r="S521" i="1"/>
  <c r="V521" i="1" s="1"/>
  <c r="S519" i="1"/>
  <c r="V519" i="1" s="1"/>
  <c r="S522" i="1"/>
  <c r="V522" i="1" s="1"/>
  <c r="S513" i="1"/>
  <c r="V513" i="1" s="1"/>
  <c r="S517" i="1"/>
  <c r="V517" i="1" s="1"/>
  <c r="T564" i="1"/>
  <c r="T557" i="1"/>
  <c r="T556" i="1"/>
  <c r="T563" i="1"/>
  <c r="T558" i="1"/>
  <c r="T565" i="1"/>
  <c r="T561" i="1"/>
  <c r="T559" i="1"/>
  <c r="T560" i="1"/>
  <c r="T562" i="1"/>
  <c r="S504" i="1"/>
  <c r="V504" i="1" s="1"/>
  <c r="S516" i="1"/>
  <c r="V516" i="1" s="1"/>
  <c r="S510" i="1"/>
  <c r="V510" i="1" s="1"/>
  <c r="S511" i="1"/>
  <c r="S512" i="1"/>
  <c r="V512" i="1" s="1"/>
  <c r="S503" i="1"/>
  <c r="V503" i="1" s="1"/>
  <c r="S515" i="1"/>
  <c r="V515" i="1" s="1"/>
  <c r="S514" i="1"/>
  <c r="V514" i="1" s="1"/>
  <c r="S509" i="1"/>
  <c r="S508" i="1"/>
  <c r="V508" i="1" s="1"/>
  <c r="S507" i="1"/>
  <c r="V507" i="1" s="1"/>
  <c r="S506" i="1"/>
  <c r="V506" i="1" s="1"/>
  <c r="S505" i="1"/>
  <c r="S501" i="1"/>
  <c r="S502" i="1"/>
  <c r="V502" i="1" s="1"/>
  <c r="S500" i="1"/>
  <c r="V500" i="1" s="1"/>
  <c r="S497" i="1"/>
  <c r="V497" i="1" s="1"/>
  <c r="S496" i="1"/>
  <c r="S494" i="1"/>
  <c r="S491" i="1"/>
  <c r="V491" i="1" s="1"/>
  <c r="S498" i="1"/>
  <c r="V498" i="1" s="1"/>
  <c r="S492" i="1"/>
  <c r="S499" i="1"/>
  <c r="V499" i="1" s="1"/>
  <c r="S495" i="1"/>
  <c r="V495" i="1" s="1"/>
  <c r="S490" i="1"/>
  <c r="V490" i="1" s="1"/>
  <c r="S488" i="1"/>
  <c r="S493" i="1"/>
  <c r="S489" i="1"/>
  <c r="S484" i="1"/>
  <c r="S485" i="1"/>
  <c r="V485" i="1" s="1"/>
  <c r="S486" i="1"/>
  <c r="V486" i="1" s="1"/>
  <c r="T525" i="1"/>
  <c r="S409" i="1"/>
  <c r="V409" i="1" s="1"/>
  <c r="S481" i="1"/>
  <c r="V481" i="1" s="1"/>
  <c r="S482" i="1"/>
  <c r="S483" i="1"/>
  <c r="S473" i="1"/>
  <c r="S478" i="1"/>
  <c r="V478" i="1" s="1"/>
  <c r="S477" i="1"/>
  <c r="S476" i="1"/>
  <c r="S475" i="1"/>
  <c r="V475" i="1" s="1"/>
  <c r="S474" i="1"/>
  <c r="V474" i="1" s="1"/>
  <c r="S480" i="1"/>
  <c r="V480" i="1" s="1"/>
  <c r="S451" i="1"/>
  <c r="S470" i="1"/>
  <c r="V470" i="1" s="1"/>
  <c r="S410" i="1"/>
  <c r="S468" i="1"/>
  <c r="V468" i="1" s="1"/>
  <c r="S469" i="1"/>
  <c r="V469" i="1" s="1"/>
  <c r="S464" i="1"/>
  <c r="V464" i="1" s="1"/>
  <c r="S467" i="1"/>
  <c r="V467" i="1" s="1"/>
  <c r="S466" i="1"/>
  <c r="V466" i="1" s="1"/>
  <c r="S463" i="1"/>
  <c r="S462" i="1"/>
  <c r="V462" i="1" s="1"/>
  <c r="S465" i="1"/>
  <c r="V465" i="1" s="1"/>
  <c r="S460" i="1"/>
  <c r="V460" i="1" s="1"/>
  <c r="S461" i="1"/>
  <c r="V461" i="1" s="1"/>
  <c r="S458" i="1"/>
  <c r="S459" i="1"/>
  <c r="V459" i="1" s="1"/>
  <c r="S445" i="1"/>
  <c r="S456" i="1"/>
  <c r="V456" i="1" s="1"/>
  <c r="S452" i="1"/>
  <c r="S455" i="1"/>
  <c r="S457" i="1"/>
  <c r="V457" i="1" s="1"/>
  <c r="S444" i="1"/>
  <c r="S450" i="1"/>
  <c r="V450" i="1" s="1"/>
  <c r="S453" i="1"/>
  <c r="S449" i="1"/>
  <c r="S454" i="1"/>
  <c r="V454" i="1" s="1"/>
  <c r="S438" i="1"/>
  <c r="S443" i="1"/>
  <c r="V443" i="1" s="1"/>
  <c r="S447" i="1"/>
  <c r="S448" i="1"/>
  <c r="V448" i="1" s="1"/>
  <c r="S439" i="1"/>
  <c r="V439" i="1" s="1"/>
  <c r="S440" i="1"/>
  <c r="V440" i="1" s="1"/>
  <c r="S441" i="1"/>
  <c r="V441" i="1" s="1"/>
  <c r="S446" i="1"/>
  <c r="V446" i="1" s="1"/>
  <c r="S375" i="1"/>
  <c r="S437" i="1"/>
  <c r="V437" i="1" s="1"/>
  <c r="S436" i="1"/>
  <c r="V436" i="1" s="1"/>
  <c r="S380" i="1"/>
  <c r="V380" i="1" s="1"/>
  <c r="S442" i="1"/>
  <c r="V442" i="1" s="1"/>
  <c r="S372" i="1"/>
  <c r="V372" i="1" s="1"/>
  <c r="S435" i="1"/>
  <c r="S379" i="1"/>
  <c r="V379" i="1" s="1"/>
  <c r="S374" i="1"/>
  <c r="V374" i="1" s="1"/>
  <c r="S423" i="1"/>
  <c r="S431" i="1"/>
  <c r="V431" i="1" s="1"/>
  <c r="S434" i="1"/>
  <c r="S433" i="1"/>
  <c r="V433" i="1" s="1"/>
  <c r="S427" i="1"/>
  <c r="S373" i="1"/>
  <c r="V373" i="1" s="1"/>
  <c r="S432" i="1"/>
  <c r="V432" i="1" s="1"/>
  <c r="S367" i="1"/>
  <c r="V367" i="1" s="1"/>
  <c r="S368" i="1"/>
  <c r="S366" i="1"/>
  <c r="V366" i="1" s="1"/>
  <c r="S369" i="1"/>
  <c r="S430" i="1"/>
  <c r="V430" i="1" s="1"/>
  <c r="S429" i="1"/>
  <c r="V429" i="1" s="1"/>
  <c r="S425" i="1"/>
  <c r="V425" i="1" s="1"/>
  <c r="S424" i="1"/>
  <c r="S413" i="1"/>
  <c r="S428" i="1"/>
  <c r="V428" i="1" s="1"/>
  <c r="S407" i="1"/>
  <c r="V407" i="1" s="1"/>
  <c r="S421" i="1"/>
  <c r="V421" i="1" s="1"/>
  <c r="S420" i="1"/>
  <c r="V420" i="1" s="1"/>
  <c r="S422" i="1"/>
  <c r="V422" i="1" s="1"/>
  <c r="S426" i="1"/>
  <c r="V426" i="1" s="1"/>
  <c r="S419" i="1"/>
  <c r="V419" i="1" s="1"/>
  <c r="S408" i="1"/>
  <c r="V408" i="1" s="1"/>
  <c r="S411" i="1"/>
  <c r="V411" i="1" s="1"/>
  <c r="S400" i="1"/>
  <c r="S349" i="1"/>
  <c r="V349" i="1" s="1"/>
  <c r="S344" i="1"/>
  <c r="V344" i="1" s="1"/>
  <c r="S345" i="1"/>
  <c r="V345" i="1" s="1"/>
  <c r="S406" i="1"/>
  <c r="V406" i="1" s="1"/>
  <c r="S405" i="1"/>
  <c r="V405" i="1" s="1"/>
  <c r="S391" i="1"/>
  <c r="V391" i="1" s="1"/>
  <c r="S399" i="1"/>
  <c r="V399" i="1" s="1"/>
  <c r="S403" i="1"/>
  <c r="S404" i="1"/>
  <c r="V404" i="1" s="1"/>
  <c r="S401" i="1"/>
  <c r="V401" i="1" s="1"/>
  <c r="S402" i="1"/>
  <c r="V402" i="1" s="1"/>
  <c r="S393" i="1"/>
  <c r="S337" i="1"/>
  <c r="V337" i="1" s="1"/>
  <c r="T418" i="1"/>
  <c r="T417" i="1"/>
  <c r="T415" i="1"/>
  <c r="T416" i="1"/>
  <c r="S322" i="1"/>
  <c r="V322" i="1" s="1"/>
  <c r="S341" i="1"/>
  <c r="V341" i="1" s="1"/>
  <c r="S398" i="1"/>
  <c r="S342" i="1"/>
  <c r="V342" i="1" s="1"/>
  <c r="S343" i="1"/>
  <c r="V343" i="1" s="1"/>
  <c r="S392" i="1"/>
  <c r="S387" i="1"/>
  <c r="S394" i="1"/>
  <c r="S340" i="1"/>
  <c r="V340" i="1" s="1"/>
  <c r="S397" i="1"/>
  <c r="V397" i="1" s="1"/>
  <c r="S389" i="1"/>
  <c r="V389" i="1" s="1"/>
  <c r="S396" i="1"/>
  <c r="S395" i="1"/>
  <c r="S321" i="1"/>
  <c r="V321" i="1" s="1"/>
  <c r="S390" i="1"/>
  <c r="V390" i="1" s="1"/>
  <c r="S388" i="1"/>
  <c r="S330" i="1"/>
  <c r="V330" i="1" s="1"/>
  <c r="S327" i="1"/>
  <c r="V327" i="1" s="1"/>
  <c r="S328" i="1"/>
  <c r="V328" i="1" s="1"/>
  <c r="S329" i="1"/>
  <c r="V329" i="1" s="1"/>
  <c r="S335" i="1"/>
  <c r="V335" i="1" s="1"/>
  <c r="S326" i="1"/>
  <c r="V326" i="1" s="1"/>
  <c r="S338" i="1"/>
  <c r="V338" i="1" s="1"/>
  <c r="S331" i="1"/>
  <c r="V331" i="1" s="1"/>
  <c r="S339" i="1"/>
  <c r="V339" i="1" s="1"/>
  <c r="S332" i="1"/>
  <c r="V332" i="1" s="1"/>
  <c r="S334" i="1"/>
  <c r="V334" i="1" s="1"/>
  <c r="S333" i="1"/>
  <c r="V333" i="1" s="1"/>
  <c r="S323" i="1"/>
  <c r="V323" i="1" s="1"/>
  <c r="T361" i="1"/>
  <c r="S324" i="1"/>
  <c r="V324" i="1" s="1"/>
  <c r="S301" i="1"/>
  <c r="V301" i="1" s="1"/>
  <c r="S317" i="1"/>
  <c r="V317" i="1" s="1"/>
  <c r="S316" i="1"/>
  <c r="V316" i="1" s="1"/>
  <c r="S315" i="1"/>
  <c r="V315" i="1" s="1"/>
  <c r="T386" i="1"/>
  <c r="T382" i="1"/>
  <c r="T384" i="1"/>
  <c r="T383" i="1"/>
  <c r="S310" i="1"/>
  <c r="V310" i="1" s="1"/>
  <c r="S318" i="1"/>
  <c r="V318" i="1" s="1"/>
  <c r="S320" i="1"/>
  <c r="V320" i="1" s="1"/>
  <c r="S319" i="1"/>
  <c r="V319" i="1" s="1"/>
  <c r="S311" i="1"/>
  <c r="V311" i="1" s="1"/>
  <c r="S314" i="1"/>
  <c r="V314" i="1" s="1"/>
  <c r="S313" i="1"/>
  <c r="V313" i="1" s="1"/>
  <c r="T370" i="1"/>
  <c r="T377" i="1"/>
  <c r="T376" i="1"/>
  <c r="T371" i="1"/>
  <c r="P138" i="18"/>
  <c r="C140" i="18"/>
  <c r="F140" i="18" s="1"/>
  <c r="S305" i="1"/>
  <c r="V305" i="1" s="1"/>
  <c r="S304" i="1"/>
  <c r="V304" i="1" s="1"/>
  <c r="S309" i="1"/>
  <c r="V309" i="1" s="1"/>
  <c r="S308" i="1"/>
  <c r="V308" i="1" s="1"/>
  <c r="S307" i="1"/>
  <c r="V307" i="1" s="1"/>
  <c r="S306" i="1"/>
  <c r="V306" i="1" s="1"/>
  <c r="S303" i="1"/>
  <c r="V303" i="1" s="1"/>
  <c r="S312" i="1"/>
  <c r="V312" i="1" s="1"/>
  <c r="S302" i="1"/>
  <c r="V302" i="1" s="1"/>
  <c r="S300" i="1"/>
  <c r="V300" i="1" s="1"/>
  <c r="T287" i="1"/>
  <c r="S292" i="1"/>
  <c r="V292" i="1" s="1"/>
  <c r="S299" i="1"/>
  <c r="V299" i="1" s="1"/>
  <c r="S298" i="1"/>
  <c r="V298" i="1" s="1"/>
  <c r="S297" i="1"/>
  <c r="V297" i="1" s="1"/>
  <c r="S296" i="1"/>
  <c r="V296" i="1" s="1"/>
  <c r="S294" i="1"/>
  <c r="V294" i="1" s="1"/>
  <c r="S293" i="1"/>
  <c r="V293" i="1" s="1"/>
  <c r="S295" i="1"/>
  <c r="V295" i="1" s="1"/>
  <c r="S291" i="1"/>
  <c r="V291" i="1" s="1"/>
  <c r="S290" i="1"/>
  <c r="V290" i="1" s="1"/>
  <c r="T364" i="1"/>
  <c r="T365" i="1"/>
  <c r="S283" i="1"/>
  <c r="V283" i="1" s="1"/>
  <c r="S286" i="1"/>
  <c r="S285" i="1"/>
  <c r="V285" i="1" s="1"/>
  <c r="S288" i="1"/>
  <c r="V288" i="1" s="1"/>
  <c r="S289" i="1"/>
  <c r="V289" i="1" s="1"/>
  <c r="S282" i="1"/>
  <c r="V282" i="1" s="1"/>
  <c r="S281" i="1"/>
  <c r="V281" i="1" s="1"/>
  <c r="S280" i="1"/>
  <c r="V280" i="1" s="1"/>
  <c r="S279" i="1"/>
  <c r="V279" i="1" s="1"/>
  <c r="S278" i="1"/>
  <c r="V278" i="1" s="1"/>
  <c r="S273" i="1"/>
  <c r="V273" i="1" s="1"/>
  <c r="S284" i="1"/>
  <c r="V284" i="1" s="1"/>
  <c r="S265" i="1"/>
  <c r="V265" i="1" s="1"/>
  <c r="S264" i="1"/>
  <c r="V264" i="1" s="1"/>
  <c r="S257" i="1"/>
  <c r="V257" i="1" s="1"/>
  <c r="S256" i="1"/>
  <c r="S268" i="1"/>
  <c r="V268" i="1" s="1"/>
  <c r="S267" i="1"/>
  <c r="V267" i="1" s="1"/>
  <c r="S266" i="1"/>
  <c r="V266" i="1" s="1"/>
  <c r="S260" i="1"/>
  <c r="V260" i="1" s="1"/>
  <c r="S259" i="1"/>
  <c r="V259" i="1" s="1"/>
  <c r="S258" i="1"/>
  <c r="V258" i="1" s="1"/>
  <c r="S275" i="1"/>
  <c r="V275" i="1" s="1"/>
  <c r="S274" i="1"/>
  <c r="V274" i="1" s="1"/>
  <c r="BA2" i="8"/>
  <c r="C27" i="7"/>
  <c r="F27" i="7" s="1"/>
  <c r="P28" i="7"/>
  <c r="S277" i="1"/>
  <c r="V277" i="1" s="1"/>
  <c r="S276" i="1"/>
  <c r="V276" i="1" s="1"/>
  <c r="S262" i="1"/>
  <c r="V262" i="1" s="1"/>
  <c r="S261" i="1"/>
  <c r="V261" i="1" s="1"/>
  <c r="S272" i="1"/>
  <c r="V272" i="1" s="1"/>
  <c r="S271" i="1"/>
  <c r="V271" i="1" s="1"/>
  <c r="S270" i="1"/>
  <c r="V270" i="1" s="1"/>
  <c r="S269" i="1"/>
  <c r="V269" i="1" s="1"/>
  <c r="T363" i="1"/>
  <c r="T362" i="1"/>
  <c r="T356" i="1"/>
  <c r="T355" i="1"/>
  <c r="T353" i="1"/>
  <c r="T350" i="1"/>
  <c r="T336" i="1"/>
  <c r="T325" i="1"/>
  <c r="T263"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71" i="1"/>
  <c r="T170" i="1"/>
  <c r="T169" i="1"/>
  <c r="T168" i="1"/>
  <c r="T167" i="1"/>
  <c r="T166" i="1"/>
  <c r="T165" i="1"/>
  <c r="T164" i="1"/>
  <c r="T163" i="1"/>
  <c r="T162" i="1"/>
  <c r="T90" i="1"/>
  <c r="T89" i="1"/>
  <c r="T88" i="1"/>
  <c r="T87" i="1"/>
  <c r="T86" i="1"/>
  <c r="T85" i="1"/>
  <c r="T84" i="1"/>
  <c r="T83" i="1"/>
  <c r="T82" i="1"/>
  <c r="T81" i="1"/>
  <c r="T80" i="1"/>
  <c r="T79" i="1"/>
  <c r="T78" i="1"/>
  <c r="T77" i="1"/>
  <c r="T76" i="1"/>
  <c r="T75" i="1"/>
  <c r="T74" i="1"/>
  <c r="T73" i="1"/>
  <c r="T72" i="1"/>
  <c r="T71" i="1"/>
  <c r="T70" i="1"/>
  <c r="T69" i="1"/>
  <c r="T68" i="1"/>
  <c r="T67" i="1"/>
  <c r="T66" i="1"/>
  <c r="T64" i="1"/>
  <c r="T62" i="1"/>
  <c r="T61" i="1"/>
  <c r="T60" i="1"/>
  <c r="T59" i="1"/>
  <c r="T58" i="1"/>
  <c r="T57" i="1"/>
  <c r="T56" i="1"/>
  <c r="T55" i="1"/>
  <c r="T52" i="1"/>
  <c r="T51" i="1"/>
  <c r="T50" i="1"/>
  <c r="T49" i="1"/>
  <c r="T48" i="1"/>
  <c r="T47" i="1"/>
  <c r="T46" i="1"/>
  <c r="T44" i="1"/>
  <c r="T43" i="1"/>
  <c r="T42" i="1"/>
  <c r="T41" i="1"/>
  <c r="T40" i="1"/>
  <c r="T39" i="1"/>
  <c r="T38" i="1"/>
  <c r="T37" i="1"/>
  <c r="T36" i="1"/>
  <c r="T30" i="1"/>
  <c r="T28" i="1"/>
  <c r="T19" i="1"/>
  <c r="T17" i="1"/>
  <c r="T15" i="1"/>
  <c r="T16" i="1"/>
  <c r="AB353" i="1" l="1"/>
  <c r="AD353" i="1"/>
  <c r="AE353" i="1"/>
  <c r="AF353" i="1"/>
  <c r="X353" i="1"/>
  <c r="Y353" i="1"/>
  <c r="Z353" i="1"/>
  <c r="AC353" i="1"/>
  <c r="V489" i="1"/>
  <c r="X489" i="1" s="1"/>
  <c r="V484" i="1"/>
  <c r="V256" i="1"/>
  <c r="V493" i="1"/>
  <c r="AB493" i="1" s="1"/>
  <c r="V286" i="1"/>
  <c r="X286" i="1" s="1"/>
  <c r="V483" i="1"/>
  <c r="T427" i="1"/>
  <c r="V427" i="1"/>
  <c r="T453" i="1"/>
  <c r="V453" i="1"/>
  <c r="T496" i="1"/>
  <c r="V496" i="1"/>
  <c r="T487" i="1"/>
  <c r="V487" i="1"/>
  <c r="T394" i="1"/>
  <c r="V394" i="1"/>
  <c r="T424" i="1"/>
  <c r="V424" i="1"/>
  <c r="T434" i="1"/>
  <c r="V434" i="1"/>
  <c r="T444" i="1"/>
  <c r="V444" i="1"/>
  <c r="T463" i="1"/>
  <c r="V463" i="1"/>
  <c r="T476" i="1"/>
  <c r="V476" i="1"/>
  <c r="T511" i="1"/>
  <c r="V511" i="1"/>
  <c r="T387" i="1"/>
  <c r="V387" i="1"/>
  <c r="T393" i="1"/>
  <c r="V393" i="1"/>
  <c r="T400" i="1"/>
  <c r="V400" i="1"/>
  <c r="T477" i="1"/>
  <c r="V477" i="1"/>
  <c r="T531" i="1"/>
  <c r="V531" i="1"/>
  <c r="T494" i="1"/>
  <c r="V494" i="1"/>
  <c r="T413" i="1"/>
  <c r="V413" i="1"/>
  <c r="T540" i="1"/>
  <c r="V540" i="1"/>
  <c r="T501" i="1"/>
  <c r="V501" i="1"/>
  <c r="T452" i="1"/>
  <c r="V452" i="1"/>
  <c r="T473" i="1"/>
  <c r="V473" i="1"/>
  <c r="T505" i="1"/>
  <c r="V505" i="1"/>
  <c r="T529" i="1"/>
  <c r="V529" i="1"/>
  <c r="T388" i="1"/>
  <c r="V388" i="1"/>
  <c r="T369" i="1"/>
  <c r="V369" i="1"/>
  <c r="T392" i="1"/>
  <c r="V392" i="1"/>
  <c r="T423" i="1"/>
  <c r="V423" i="1"/>
  <c r="T398" i="1"/>
  <c r="V398" i="1"/>
  <c r="T403" i="1"/>
  <c r="V403" i="1"/>
  <c r="T435" i="1"/>
  <c r="V435" i="1"/>
  <c r="T447" i="1"/>
  <c r="V447" i="1"/>
  <c r="T445" i="1"/>
  <c r="V445" i="1"/>
  <c r="T482" i="1"/>
  <c r="V482" i="1"/>
  <c r="T375" i="1"/>
  <c r="V375" i="1"/>
  <c r="T488" i="1"/>
  <c r="V488" i="1"/>
  <c r="T368" i="1"/>
  <c r="V368" i="1"/>
  <c r="T410" i="1"/>
  <c r="V410" i="1"/>
  <c r="T492" i="1"/>
  <c r="V492" i="1"/>
  <c r="T524" i="1"/>
  <c r="V524" i="1"/>
  <c r="T455" i="1"/>
  <c r="V455" i="1"/>
  <c r="T395" i="1"/>
  <c r="V395" i="1"/>
  <c r="T438" i="1"/>
  <c r="V438" i="1"/>
  <c r="T458" i="1"/>
  <c r="V458" i="1"/>
  <c r="T509" i="1"/>
  <c r="V509" i="1"/>
  <c r="T449" i="1"/>
  <c r="V449" i="1"/>
  <c r="T396" i="1"/>
  <c r="V396" i="1"/>
  <c r="T451" i="1"/>
  <c r="V451" i="1"/>
  <c r="AA364" i="1"/>
  <c r="Y364" i="1"/>
  <c r="AC364" i="1"/>
  <c r="AB364" i="1"/>
  <c r="Z364" i="1"/>
  <c r="X364" i="1"/>
  <c r="AF364" i="1"/>
  <c r="AE364" i="1"/>
  <c r="AD364" i="1"/>
  <c r="AD533" i="1"/>
  <c r="AC533" i="1"/>
  <c r="AB533" i="1"/>
  <c r="AA533" i="1"/>
  <c r="Z533" i="1"/>
  <c r="X533" i="1"/>
  <c r="AF533" i="1"/>
  <c r="AE533" i="1"/>
  <c r="Y533" i="1"/>
  <c r="Y271" i="1"/>
  <c r="AE271" i="1"/>
  <c r="AD271" i="1"/>
  <c r="AC271" i="1"/>
  <c r="AB271" i="1"/>
  <c r="AA271" i="1"/>
  <c r="Z271" i="1"/>
  <c r="X271" i="1"/>
  <c r="AF271" i="1"/>
  <c r="AD259" i="1"/>
  <c r="AC259" i="1"/>
  <c r="AB259" i="1"/>
  <c r="AA259" i="1"/>
  <c r="Z259" i="1"/>
  <c r="X259" i="1"/>
  <c r="AF259" i="1"/>
  <c r="AE259" i="1"/>
  <c r="Y259" i="1"/>
  <c r="AB287" i="1"/>
  <c r="AA287" i="1"/>
  <c r="Z287" i="1"/>
  <c r="Y287" i="1"/>
  <c r="X287" i="1"/>
  <c r="AC287" i="1"/>
  <c r="AF287" i="1"/>
  <c r="AE287" i="1"/>
  <c r="AD287" i="1"/>
  <c r="AA320" i="1"/>
  <c r="Z320" i="1"/>
  <c r="Y320" i="1"/>
  <c r="X320" i="1"/>
  <c r="AF320" i="1"/>
  <c r="AE320" i="1"/>
  <c r="AD320" i="1"/>
  <c r="AC320" i="1"/>
  <c r="AB320" i="1"/>
  <c r="AE316" i="1"/>
  <c r="AD316" i="1"/>
  <c r="AC316" i="1"/>
  <c r="AB316" i="1"/>
  <c r="AA316" i="1"/>
  <c r="Z316" i="1"/>
  <c r="Y316" i="1"/>
  <c r="X316" i="1"/>
  <c r="AF316" i="1"/>
  <c r="AA326" i="1"/>
  <c r="Z326" i="1"/>
  <c r="Y326" i="1"/>
  <c r="X326" i="1"/>
  <c r="AF326" i="1"/>
  <c r="AE326" i="1"/>
  <c r="AD326" i="1"/>
  <c r="AC326" i="1"/>
  <c r="AB326" i="1"/>
  <c r="AE372" i="1"/>
  <c r="AC372" i="1"/>
  <c r="AB372" i="1"/>
  <c r="AA372" i="1"/>
  <c r="Z372" i="1"/>
  <c r="Y372" i="1"/>
  <c r="X372" i="1"/>
  <c r="AF372" i="1"/>
  <c r="AD372" i="1"/>
  <c r="Z507" i="1"/>
  <c r="AC507" i="1"/>
  <c r="AB507" i="1"/>
  <c r="AA507" i="1"/>
  <c r="Y507" i="1"/>
  <c r="X507" i="1"/>
  <c r="AF507" i="1"/>
  <c r="AE507" i="1"/>
  <c r="AD507" i="1"/>
  <c r="AE563" i="1"/>
  <c r="AF563" i="1"/>
  <c r="AD563" i="1"/>
  <c r="AC563" i="1"/>
  <c r="AA563" i="1"/>
  <c r="Z563" i="1"/>
  <c r="Y563" i="1"/>
  <c r="X563" i="1"/>
  <c r="AB563" i="1"/>
  <c r="X518" i="1"/>
  <c r="AF518" i="1"/>
  <c r="AC518" i="1"/>
  <c r="AE518" i="1"/>
  <c r="AD518" i="1"/>
  <c r="AB518" i="1"/>
  <c r="AA518" i="1"/>
  <c r="Z518" i="1"/>
  <c r="Y518" i="1"/>
  <c r="AB538" i="1"/>
  <c r="AA538" i="1"/>
  <c r="Z538" i="1"/>
  <c r="Y538" i="1"/>
  <c r="X538" i="1"/>
  <c r="AD538" i="1"/>
  <c r="AC538" i="1"/>
  <c r="AF538" i="1"/>
  <c r="AE538" i="1"/>
  <c r="AD545" i="1"/>
  <c r="AC545" i="1"/>
  <c r="AB545" i="1"/>
  <c r="AA545" i="1"/>
  <c r="Z545" i="1"/>
  <c r="X545" i="1"/>
  <c r="AF545" i="1"/>
  <c r="AE545" i="1"/>
  <c r="Y545" i="1"/>
  <c r="AF299" i="1"/>
  <c r="AE299" i="1"/>
  <c r="AD299" i="1"/>
  <c r="AC299" i="1"/>
  <c r="Z299" i="1"/>
  <c r="AB299" i="1"/>
  <c r="AA299" i="1"/>
  <c r="Y299" i="1"/>
  <c r="X299" i="1"/>
  <c r="AF464" i="1"/>
  <c r="AE464" i="1"/>
  <c r="AD464" i="1"/>
  <c r="AC464" i="1"/>
  <c r="AB464" i="1"/>
  <c r="AA464" i="1"/>
  <c r="Z464" i="1"/>
  <c r="Y464" i="1"/>
  <c r="X464" i="1"/>
  <c r="AE569" i="1"/>
  <c r="Z569" i="1"/>
  <c r="Y569" i="1"/>
  <c r="X569" i="1"/>
  <c r="AF569" i="1"/>
  <c r="AD569" i="1"/>
  <c r="AC569" i="1"/>
  <c r="AB569" i="1"/>
  <c r="AA569" i="1"/>
  <c r="AA290" i="1"/>
  <c r="X290" i="1"/>
  <c r="AF290" i="1"/>
  <c r="AE290" i="1"/>
  <c r="AD290" i="1"/>
  <c r="AC290" i="1"/>
  <c r="AB290" i="1"/>
  <c r="Z290" i="1"/>
  <c r="Y290" i="1"/>
  <c r="AF300" i="1"/>
  <c r="AE300" i="1"/>
  <c r="AB300" i="1"/>
  <c r="Y300" i="1"/>
  <c r="X300" i="1"/>
  <c r="AD300" i="1"/>
  <c r="AC300" i="1"/>
  <c r="AA300" i="1"/>
  <c r="Z300" i="1"/>
  <c r="AC371" i="1"/>
  <c r="AA371" i="1"/>
  <c r="Y371" i="1"/>
  <c r="AF371" i="1"/>
  <c r="AE371" i="1"/>
  <c r="AD371" i="1"/>
  <c r="AB371" i="1"/>
  <c r="Z371" i="1"/>
  <c r="X371" i="1"/>
  <c r="AF318" i="1"/>
  <c r="AE318" i="1"/>
  <c r="AD318" i="1"/>
  <c r="AC318" i="1"/>
  <c r="AB318" i="1"/>
  <c r="AA318" i="1"/>
  <c r="X318" i="1"/>
  <c r="Y318" i="1"/>
  <c r="Z318" i="1"/>
  <c r="AF317" i="1"/>
  <c r="AE317" i="1"/>
  <c r="AD317" i="1"/>
  <c r="AC317" i="1"/>
  <c r="AB317" i="1"/>
  <c r="AA317" i="1"/>
  <c r="Z317" i="1"/>
  <c r="Y317" i="1"/>
  <c r="X317" i="1"/>
  <c r="AF335" i="1"/>
  <c r="AE335" i="1"/>
  <c r="AD335" i="1"/>
  <c r="AC335" i="1"/>
  <c r="AB335" i="1"/>
  <c r="AA335" i="1"/>
  <c r="Z335" i="1"/>
  <c r="Y335" i="1"/>
  <c r="X335" i="1"/>
  <c r="AE340" i="1"/>
  <c r="AD340" i="1"/>
  <c r="AC340" i="1"/>
  <c r="AB340" i="1"/>
  <c r="AA340" i="1"/>
  <c r="Z340" i="1"/>
  <c r="Y340" i="1"/>
  <c r="X340" i="1"/>
  <c r="AF340" i="1"/>
  <c r="AE415" i="1"/>
  <c r="AD415" i="1"/>
  <c r="AC415" i="1"/>
  <c r="AB415" i="1"/>
  <c r="AA415" i="1"/>
  <c r="Z415" i="1"/>
  <c r="AF415" i="1"/>
  <c r="Y415" i="1"/>
  <c r="X415" i="1"/>
  <c r="AE391" i="1"/>
  <c r="AD391" i="1"/>
  <c r="AC391" i="1"/>
  <c r="AB391" i="1"/>
  <c r="AA391" i="1"/>
  <c r="Z391" i="1"/>
  <c r="AF391" i="1"/>
  <c r="Y391" i="1"/>
  <c r="X391" i="1"/>
  <c r="AE367" i="1"/>
  <c r="AC367" i="1"/>
  <c r="AA367" i="1"/>
  <c r="Z367" i="1"/>
  <c r="AF367" i="1"/>
  <c r="AD367" i="1"/>
  <c r="AB367" i="1"/>
  <c r="Y367" i="1"/>
  <c r="X367" i="1"/>
  <c r="AE409" i="1"/>
  <c r="AD409" i="1"/>
  <c r="AC409" i="1"/>
  <c r="AB409" i="1"/>
  <c r="AA409" i="1"/>
  <c r="Z409" i="1"/>
  <c r="AF409" i="1"/>
  <c r="Y409" i="1"/>
  <c r="X409" i="1"/>
  <c r="AB508" i="1"/>
  <c r="X508" i="1"/>
  <c r="AF508" i="1"/>
  <c r="AE508" i="1"/>
  <c r="AD508" i="1"/>
  <c r="AC508" i="1"/>
  <c r="AA508" i="1"/>
  <c r="Z508" i="1"/>
  <c r="Y508" i="1"/>
  <c r="Y560" i="1"/>
  <c r="X560" i="1"/>
  <c r="AE560" i="1"/>
  <c r="AD560" i="1"/>
  <c r="AC560" i="1"/>
  <c r="AB560" i="1"/>
  <c r="AF560" i="1"/>
  <c r="AA560" i="1"/>
  <c r="Z560" i="1"/>
  <c r="AB556" i="1"/>
  <c r="AA556" i="1"/>
  <c r="Z556" i="1"/>
  <c r="Y556" i="1"/>
  <c r="X556" i="1"/>
  <c r="AF556" i="1"/>
  <c r="AE556" i="1"/>
  <c r="AC556" i="1"/>
  <c r="AD556" i="1"/>
  <c r="AB526" i="1"/>
  <c r="AA526" i="1"/>
  <c r="Z526" i="1"/>
  <c r="Y526" i="1"/>
  <c r="X526" i="1"/>
  <c r="AF526" i="1"/>
  <c r="AE526" i="1"/>
  <c r="AD526" i="1"/>
  <c r="AC526" i="1"/>
  <c r="AC580" i="1"/>
  <c r="AF580" i="1"/>
  <c r="AE580" i="1"/>
  <c r="AD580" i="1"/>
  <c r="AA580" i="1"/>
  <c r="Z580" i="1"/>
  <c r="Y580" i="1"/>
  <c r="X580" i="1"/>
  <c r="AB580" i="1"/>
  <c r="AF576" i="1"/>
  <c r="AE576" i="1"/>
  <c r="AD576" i="1"/>
  <c r="AB576" i="1"/>
  <c r="AA576" i="1"/>
  <c r="Z576" i="1"/>
  <c r="Y576" i="1"/>
  <c r="AC576" i="1"/>
  <c r="X576" i="1"/>
  <c r="AD539" i="1"/>
  <c r="AC539" i="1"/>
  <c r="AB539" i="1"/>
  <c r="AA539" i="1"/>
  <c r="Z539" i="1"/>
  <c r="X539" i="1"/>
  <c r="AF539" i="1"/>
  <c r="AE539" i="1"/>
  <c r="Y539" i="1"/>
  <c r="AC586" i="1"/>
  <c r="AB586" i="1"/>
  <c r="AA586" i="1"/>
  <c r="Z586" i="1"/>
  <c r="AF586" i="1"/>
  <c r="AE586" i="1"/>
  <c r="AD586" i="1"/>
  <c r="X586" i="1"/>
  <c r="Y586" i="1"/>
  <c r="AE304" i="1"/>
  <c r="AD304" i="1"/>
  <c r="AC304" i="1"/>
  <c r="AB304" i="1"/>
  <c r="AA304" i="1"/>
  <c r="Z304" i="1"/>
  <c r="Y304" i="1"/>
  <c r="X304" i="1"/>
  <c r="AF304" i="1"/>
  <c r="AA338" i="1"/>
  <c r="Z338" i="1"/>
  <c r="Y338" i="1"/>
  <c r="X338" i="1"/>
  <c r="AF338" i="1"/>
  <c r="AE338" i="1"/>
  <c r="AD338" i="1"/>
  <c r="AC338" i="1"/>
  <c r="AB338" i="1"/>
  <c r="AF416" i="1"/>
  <c r="AE416" i="1"/>
  <c r="AD416" i="1"/>
  <c r="AC416" i="1"/>
  <c r="AB416" i="1"/>
  <c r="X416" i="1"/>
  <c r="Y416" i="1"/>
  <c r="AA416" i="1"/>
  <c r="Z416" i="1"/>
  <c r="AF495" i="1"/>
  <c r="AE495" i="1"/>
  <c r="AD495" i="1"/>
  <c r="AC495" i="1"/>
  <c r="AB495" i="1"/>
  <c r="AA495" i="1"/>
  <c r="Z495" i="1"/>
  <c r="Y495" i="1"/>
  <c r="X495" i="1"/>
  <c r="AC291" i="1"/>
  <c r="AA291" i="1"/>
  <c r="Z291" i="1"/>
  <c r="Y291" i="1"/>
  <c r="X291" i="1"/>
  <c r="AB291" i="1"/>
  <c r="AF291" i="1"/>
  <c r="AE291" i="1"/>
  <c r="AD291" i="1"/>
  <c r="AE310" i="1"/>
  <c r="AD310" i="1"/>
  <c r="AC310" i="1"/>
  <c r="AB310" i="1"/>
  <c r="AA310" i="1"/>
  <c r="Z310" i="1"/>
  <c r="Y310" i="1"/>
  <c r="X310" i="1"/>
  <c r="AF310" i="1"/>
  <c r="Y301" i="1"/>
  <c r="X301" i="1"/>
  <c r="AF301" i="1"/>
  <c r="AD301" i="1"/>
  <c r="AC301" i="1"/>
  <c r="AE301" i="1"/>
  <c r="AB301" i="1"/>
  <c r="AA301" i="1"/>
  <c r="Z301" i="1"/>
  <c r="AF329" i="1"/>
  <c r="AE329" i="1"/>
  <c r="AD329" i="1"/>
  <c r="AC329" i="1"/>
  <c r="AB329" i="1"/>
  <c r="AA329" i="1"/>
  <c r="Z329" i="1"/>
  <c r="Y329" i="1"/>
  <c r="X329" i="1"/>
  <c r="AF380" i="1"/>
  <c r="AE380" i="1"/>
  <c r="AD380" i="1"/>
  <c r="AC380" i="1"/>
  <c r="AB380" i="1"/>
  <c r="AA380" i="1"/>
  <c r="Z380" i="1"/>
  <c r="Y380" i="1"/>
  <c r="X380" i="1"/>
  <c r="X454" i="1"/>
  <c r="AF454" i="1"/>
  <c r="AE454" i="1"/>
  <c r="AD454" i="1"/>
  <c r="AC454" i="1"/>
  <c r="AB454" i="1"/>
  <c r="AA454" i="1"/>
  <c r="Z454" i="1"/>
  <c r="Y454" i="1"/>
  <c r="AF583" i="1"/>
  <c r="AB583" i="1"/>
  <c r="Y583" i="1"/>
  <c r="X583" i="1"/>
  <c r="AE583" i="1"/>
  <c r="AD583" i="1"/>
  <c r="AC583" i="1"/>
  <c r="Z583" i="1"/>
  <c r="AA583" i="1"/>
  <c r="AA284" i="1"/>
  <c r="AF284" i="1"/>
  <c r="AE284" i="1"/>
  <c r="AD284" i="1"/>
  <c r="AC284" i="1"/>
  <c r="AB284" i="1"/>
  <c r="Z284" i="1"/>
  <c r="Y284" i="1"/>
  <c r="X284" i="1"/>
  <c r="X430" i="1"/>
  <c r="AA430" i="1"/>
  <c r="Y430" i="1"/>
  <c r="AF430" i="1"/>
  <c r="AE430" i="1"/>
  <c r="AD430" i="1"/>
  <c r="AC430" i="1"/>
  <c r="AB430" i="1"/>
  <c r="Z430" i="1"/>
  <c r="Y319" i="1"/>
  <c r="X319" i="1"/>
  <c r="AF319" i="1"/>
  <c r="AE319" i="1"/>
  <c r="AD319" i="1"/>
  <c r="AC319" i="1"/>
  <c r="AB319" i="1"/>
  <c r="AA319" i="1"/>
  <c r="Z319" i="1"/>
  <c r="Y577" i="1"/>
  <c r="X577" i="1"/>
  <c r="AE577" i="1"/>
  <c r="AD577" i="1"/>
  <c r="AC577" i="1"/>
  <c r="AB577" i="1"/>
  <c r="Z577" i="1"/>
  <c r="AF577" i="1"/>
  <c r="AA577" i="1"/>
  <c r="AA272" i="1"/>
  <c r="AF272" i="1"/>
  <c r="AE272" i="1"/>
  <c r="AD272" i="1"/>
  <c r="AC272" i="1"/>
  <c r="AB272" i="1"/>
  <c r="Z272" i="1"/>
  <c r="Y272" i="1"/>
  <c r="X272" i="1"/>
  <c r="AF281" i="1"/>
  <c r="AE281" i="1"/>
  <c r="AD281" i="1"/>
  <c r="AC281" i="1"/>
  <c r="AB281" i="1"/>
  <c r="AA281" i="1"/>
  <c r="Z281" i="1"/>
  <c r="Y281" i="1"/>
  <c r="X281" i="1"/>
  <c r="X262" i="1"/>
  <c r="AF262" i="1"/>
  <c r="AE262" i="1"/>
  <c r="AD262" i="1"/>
  <c r="AC262" i="1"/>
  <c r="AB262" i="1"/>
  <c r="AA262" i="1"/>
  <c r="Z262" i="1"/>
  <c r="Y262" i="1"/>
  <c r="AF267" i="1"/>
  <c r="AE267" i="1"/>
  <c r="AD267" i="1"/>
  <c r="AC267" i="1"/>
  <c r="AB267" i="1"/>
  <c r="AA267" i="1"/>
  <c r="Z267" i="1"/>
  <c r="Y267" i="1"/>
  <c r="X267" i="1"/>
  <c r="Z282" i="1"/>
  <c r="Y282" i="1"/>
  <c r="X282" i="1"/>
  <c r="AF282" i="1"/>
  <c r="AE282" i="1"/>
  <c r="AD282" i="1"/>
  <c r="AC282" i="1"/>
  <c r="AB282" i="1"/>
  <c r="AA282" i="1"/>
  <c r="Y295" i="1"/>
  <c r="X295" i="1"/>
  <c r="AD295" i="1"/>
  <c r="AF295" i="1"/>
  <c r="AE295" i="1"/>
  <c r="AC295" i="1"/>
  <c r="AB295" i="1"/>
  <c r="AA295" i="1"/>
  <c r="Z295" i="1"/>
  <c r="AF312" i="1"/>
  <c r="AE312" i="1"/>
  <c r="AD312" i="1"/>
  <c r="AC312" i="1"/>
  <c r="AB312" i="1"/>
  <c r="AA312" i="1"/>
  <c r="Z312" i="1"/>
  <c r="Y312" i="1"/>
  <c r="X312" i="1"/>
  <c r="AF324" i="1"/>
  <c r="AE324" i="1"/>
  <c r="AD324" i="1"/>
  <c r="AC324" i="1"/>
  <c r="AB324" i="1"/>
  <c r="AA324" i="1"/>
  <c r="Z324" i="1"/>
  <c r="Y324" i="1"/>
  <c r="X324" i="1"/>
  <c r="AE328" i="1"/>
  <c r="AD328" i="1"/>
  <c r="AC328" i="1"/>
  <c r="AB328" i="1"/>
  <c r="AA328" i="1"/>
  <c r="Z328" i="1"/>
  <c r="Y328" i="1"/>
  <c r="X328" i="1"/>
  <c r="AF328" i="1"/>
  <c r="Z417" i="1"/>
  <c r="X417" i="1"/>
  <c r="AF417" i="1"/>
  <c r="AE417" i="1"/>
  <c r="AD417" i="1"/>
  <c r="AC417" i="1"/>
  <c r="AB417" i="1"/>
  <c r="AA417" i="1"/>
  <c r="Y417" i="1"/>
  <c r="AC407" i="1"/>
  <c r="AA407" i="1"/>
  <c r="Z407" i="1"/>
  <c r="Y407" i="1"/>
  <c r="X407" i="1"/>
  <c r="AB407" i="1"/>
  <c r="AF407" i="1"/>
  <c r="AE407" i="1"/>
  <c r="AD407" i="1"/>
  <c r="AE373" i="1"/>
  <c r="AD373" i="1"/>
  <c r="AC373" i="1"/>
  <c r="AB373" i="1"/>
  <c r="AA373" i="1"/>
  <c r="Z373" i="1"/>
  <c r="AF373" i="1"/>
  <c r="Y373" i="1"/>
  <c r="X373" i="1"/>
  <c r="Z525" i="1"/>
  <c r="Y525" i="1"/>
  <c r="X525" i="1"/>
  <c r="AF525" i="1"/>
  <c r="AE525" i="1"/>
  <c r="AD525" i="1"/>
  <c r="AC525" i="1"/>
  <c r="AB525" i="1"/>
  <c r="AA525" i="1"/>
  <c r="Z491" i="1"/>
  <c r="Y491" i="1"/>
  <c r="X491" i="1"/>
  <c r="AF491" i="1"/>
  <c r="AE491" i="1"/>
  <c r="AD491" i="1"/>
  <c r="AC491" i="1"/>
  <c r="AB491" i="1"/>
  <c r="AA491" i="1"/>
  <c r="AF582" i="1"/>
  <c r="AE582" i="1"/>
  <c r="AD582" i="1"/>
  <c r="Z582" i="1"/>
  <c r="AC582" i="1"/>
  <c r="AB582" i="1"/>
  <c r="AA582" i="1"/>
  <c r="X582" i="1"/>
  <c r="Y582" i="1"/>
  <c r="X542" i="1"/>
  <c r="AF542" i="1"/>
  <c r="AD542" i="1"/>
  <c r="AC542" i="1"/>
  <c r="AE542" i="1"/>
  <c r="AB542" i="1"/>
  <c r="AA542" i="1"/>
  <c r="Z542" i="1"/>
  <c r="Y542" i="1"/>
  <c r="AC570" i="1"/>
  <c r="AB570" i="1"/>
  <c r="AA570" i="1"/>
  <c r="Z570" i="1"/>
  <c r="Y570" i="1"/>
  <c r="AF570" i="1"/>
  <c r="AE570" i="1"/>
  <c r="AD570" i="1"/>
  <c r="X570" i="1"/>
  <c r="AB544" i="1"/>
  <c r="AA544" i="1"/>
  <c r="Z544" i="1"/>
  <c r="Y544" i="1"/>
  <c r="X544" i="1"/>
  <c r="AC544" i="1"/>
  <c r="AF544" i="1"/>
  <c r="AE544" i="1"/>
  <c r="AD544" i="1"/>
  <c r="AE274" i="1"/>
  <c r="AA274" i="1"/>
  <c r="Z274" i="1"/>
  <c r="Y274" i="1"/>
  <c r="X274" i="1"/>
  <c r="AF274" i="1"/>
  <c r="AD274" i="1"/>
  <c r="AC274" i="1"/>
  <c r="AB274" i="1"/>
  <c r="AA278" i="1"/>
  <c r="Z278" i="1"/>
  <c r="Y278" i="1"/>
  <c r="X278" i="1"/>
  <c r="AF278" i="1"/>
  <c r="AE278" i="1"/>
  <c r="AD278" i="1"/>
  <c r="AC278" i="1"/>
  <c r="AB278" i="1"/>
  <c r="AE366" i="1"/>
  <c r="AC366" i="1"/>
  <c r="AA366" i="1"/>
  <c r="Y366" i="1"/>
  <c r="Z366" i="1"/>
  <c r="X366" i="1"/>
  <c r="AF366" i="1"/>
  <c r="AD366" i="1"/>
  <c r="AB366" i="1"/>
  <c r="AC562" i="1"/>
  <c r="AE562" i="1"/>
  <c r="AD562" i="1"/>
  <c r="AB562" i="1"/>
  <c r="AA562" i="1"/>
  <c r="Z562" i="1"/>
  <c r="X562" i="1"/>
  <c r="AF562" i="1"/>
  <c r="Y562" i="1"/>
  <c r="AF266" i="1"/>
  <c r="AE266" i="1"/>
  <c r="AD266" i="1"/>
  <c r="AC266" i="1"/>
  <c r="AB266" i="1"/>
  <c r="AA266" i="1"/>
  <c r="Z266" i="1"/>
  <c r="Y266" i="1"/>
  <c r="X266" i="1"/>
  <c r="AF276" i="1"/>
  <c r="AE276" i="1"/>
  <c r="AD276" i="1"/>
  <c r="AC276" i="1"/>
  <c r="AB276" i="1"/>
  <c r="AA276" i="1"/>
  <c r="Z276" i="1"/>
  <c r="Y276" i="1"/>
  <c r="X276" i="1"/>
  <c r="X268" i="1"/>
  <c r="AF268" i="1"/>
  <c r="AE268" i="1"/>
  <c r="AD268" i="1"/>
  <c r="AC268" i="1"/>
  <c r="Y268" i="1"/>
  <c r="AB268" i="1"/>
  <c r="Z268" i="1"/>
  <c r="AA268" i="1"/>
  <c r="Y289" i="1"/>
  <c r="AF289" i="1"/>
  <c r="AE289" i="1"/>
  <c r="AD289" i="1"/>
  <c r="AC289" i="1"/>
  <c r="AB289" i="1"/>
  <c r="AA289" i="1"/>
  <c r="Z289" i="1"/>
  <c r="X289" i="1"/>
  <c r="AF293" i="1"/>
  <c r="Z293" i="1"/>
  <c r="AE293" i="1"/>
  <c r="AD293" i="1"/>
  <c r="AC293" i="1"/>
  <c r="AB293" i="1"/>
  <c r="AA293" i="1"/>
  <c r="Y293" i="1"/>
  <c r="X293" i="1"/>
  <c r="AC303" i="1"/>
  <c r="AB303" i="1"/>
  <c r="AA303" i="1"/>
  <c r="Z303" i="1"/>
  <c r="Y303" i="1"/>
  <c r="X303" i="1"/>
  <c r="AD303" i="1"/>
  <c r="AE303" i="1"/>
  <c r="AF303" i="1"/>
  <c r="AA376" i="1"/>
  <c r="Y376" i="1"/>
  <c r="X376" i="1"/>
  <c r="AF376" i="1"/>
  <c r="AE376" i="1"/>
  <c r="AD376" i="1"/>
  <c r="AC376" i="1"/>
  <c r="AB376" i="1"/>
  <c r="Z376" i="1"/>
  <c r="AC383" i="1"/>
  <c r="AA383" i="1"/>
  <c r="Z383" i="1"/>
  <c r="Y383" i="1"/>
  <c r="X383" i="1"/>
  <c r="AF383" i="1"/>
  <c r="AE383" i="1"/>
  <c r="AD383" i="1"/>
  <c r="AB383" i="1"/>
  <c r="AC327" i="1"/>
  <c r="AB327" i="1"/>
  <c r="AA327" i="1"/>
  <c r="Z327" i="1"/>
  <c r="Y327" i="1"/>
  <c r="X327" i="1"/>
  <c r="AD327" i="1"/>
  <c r="AF327" i="1"/>
  <c r="AE327" i="1"/>
  <c r="AF465" i="1"/>
  <c r="AE465" i="1"/>
  <c r="AD465" i="1"/>
  <c r="AC465" i="1"/>
  <c r="AB465" i="1"/>
  <c r="AA465" i="1"/>
  <c r="Z465" i="1"/>
  <c r="Y465" i="1"/>
  <c r="X465" i="1"/>
  <c r="AB474" i="1"/>
  <c r="AA474" i="1"/>
  <c r="Z474" i="1"/>
  <c r="Y474" i="1"/>
  <c r="X474" i="1"/>
  <c r="AF474" i="1"/>
  <c r="AE474" i="1"/>
  <c r="AC474" i="1"/>
  <c r="AD474" i="1"/>
  <c r="AF559" i="1"/>
  <c r="AE559" i="1"/>
  <c r="AD559" i="1"/>
  <c r="AB559" i="1"/>
  <c r="AA559" i="1"/>
  <c r="Z559" i="1"/>
  <c r="Y559" i="1"/>
  <c r="AC559" i="1"/>
  <c r="X559" i="1"/>
  <c r="AD557" i="1"/>
  <c r="AC557" i="1"/>
  <c r="AB557" i="1"/>
  <c r="AA557" i="1"/>
  <c r="Z557" i="1"/>
  <c r="X557" i="1"/>
  <c r="AF557" i="1"/>
  <c r="AE557" i="1"/>
  <c r="Y557" i="1"/>
  <c r="AD527" i="1"/>
  <c r="AC527" i="1"/>
  <c r="AB527" i="1"/>
  <c r="AA527" i="1"/>
  <c r="Z527" i="1"/>
  <c r="X527" i="1"/>
  <c r="AF527" i="1"/>
  <c r="AE527" i="1"/>
  <c r="Y527" i="1"/>
  <c r="Z543" i="1"/>
  <c r="Y543" i="1"/>
  <c r="X543" i="1"/>
  <c r="AF543" i="1"/>
  <c r="AE543" i="1"/>
  <c r="AD543" i="1"/>
  <c r="AC543" i="1"/>
  <c r="AB543" i="1"/>
  <c r="AA543" i="1"/>
  <c r="AF589" i="1"/>
  <c r="AE589" i="1"/>
  <c r="AB589" i="1"/>
  <c r="AC589" i="1"/>
  <c r="AA589" i="1"/>
  <c r="Z589" i="1"/>
  <c r="Y589" i="1"/>
  <c r="X589" i="1"/>
  <c r="AD589" i="1"/>
  <c r="Z549" i="1"/>
  <c r="Y549" i="1"/>
  <c r="X549" i="1"/>
  <c r="AF549" i="1"/>
  <c r="AE549" i="1"/>
  <c r="AD549" i="1"/>
  <c r="AC549" i="1"/>
  <c r="AB549" i="1"/>
  <c r="AA549" i="1"/>
  <c r="AA314" i="1"/>
  <c r="Z314" i="1"/>
  <c r="Y314" i="1"/>
  <c r="X314" i="1"/>
  <c r="AF314" i="1"/>
  <c r="AE314" i="1"/>
  <c r="AD314" i="1"/>
  <c r="AC314" i="1"/>
  <c r="AB314" i="1"/>
  <c r="AC315" i="1"/>
  <c r="AB315" i="1"/>
  <c r="AA315" i="1"/>
  <c r="Z315" i="1"/>
  <c r="Y315" i="1"/>
  <c r="X315" i="1"/>
  <c r="AF315" i="1"/>
  <c r="AE315" i="1"/>
  <c r="AD315" i="1"/>
  <c r="AF260" i="1"/>
  <c r="AE260" i="1"/>
  <c r="AD260" i="1"/>
  <c r="AC260" i="1"/>
  <c r="AB260" i="1"/>
  <c r="Z260" i="1"/>
  <c r="Y260" i="1"/>
  <c r="AA260" i="1"/>
  <c r="X260" i="1"/>
  <c r="AA302" i="1"/>
  <c r="Z302" i="1"/>
  <c r="Y302" i="1"/>
  <c r="X302" i="1"/>
  <c r="AF302" i="1"/>
  <c r="AE302" i="1"/>
  <c r="AD302" i="1"/>
  <c r="AC302" i="1"/>
  <c r="AB302" i="1"/>
  <c r="Y277" i="1"/>
  <c r="AF277" i="1"/>
  <c r="AE277" i="1"/>
  <c r="AD277" i="1"/>
  <c r="AC277" i="1"/>
  <c r="AB277" i="1"/>
  <c r="AA277" i="1"/>
  <c r="Z277" i="1"/>
  <c r="X277" i="1"/>
  <c r="AE288" i="1"/>
  <c r="AD288" i="1"/>
  <c r="AC288" i="1"/>
  <c r="AB288" i="1"/>
  <c r="AA288" i="1"/>
  <c r="Z288" i="1"/>
  <c r="Y288" i="1"/>
  <c r="X288" i="1"/>
  <c r="AF288" i="1"/>
  <c r="AB294" i="1"/>
  <c r="AA294" i="1"/>
  <c r="Z294" i="1"/>
  <c r="Y294" i="1"/>
  <c r="X294" i="1"/>
  <c r="AF294" i="1"/>
  <c r="AE294" i="1"/>
  <c r="AD294" i="1"/>
  <c r="AC294" i="1"/>
  <c r="AF306" i="1"/>
  <c r="AE306" i="1"/>
  <c r="AD306" i="1"/>
  <c r="AC306" i="1"/>
  <c r="AB306" i="1"/>
  <c r="AA306" i="1"/>
  <c r="Z306" i="1"/>
  <c r="Y306" i="1"/>
  <c r="X306" i="1"/>
  <c r="AC377" i="1"/>
  <c r="AA377" i="1"/>
  <c r="Z377" i="1"/>
  <c r="Y377" i="1"/>
  <c r="X377" i="1"/>
  <c r="AF377" i="1"/>
  <c r="AE377" i="1"/>
  <c r="AD377" i="1"/>
  <c r="AB377" i="1"/>
  <c r="AF323" i="1"/>
  <c r="AE323" i="1"/>
  <c r="AD323" i="1"/>
  <c r="AC323" i="1"/>
  <c r="AB323" i="1"/>
  <c r="AA323" i="1"/>
  <c r="Z323" i="1"/>
  <c r="Y323" i="1"/>
  <c r="X323" i="1"/>
  <c r="AF330" i="1"/>
  <c r="AE330" i="1"/>
  <c r="AD330" i="1"/>
  <c r="AC330" i="1"/>
  <c r="AB330" i="1"/>
  <c r="AA330" i="1"/>
  <c r="Z330" i="1"/>
  <c r="Y330" i="1"/>
  <c r="X330" i="1"/>
  <c r="X418" i="1"/>
  <c r="AC418" i="1"/>
  <c r="AA418" i="1"/>
  <c r="Z418" i="1"/>
  <c r="Y418" i="1"/>
  <c r="AF418" i="1"/>
  <c r="AE418" i="1"/>
  <c r="AD418" i="1"/>
  <c r="AB418" i="1"/>
  <c r="AB462" i="1"/>
  <c r="AA462" i="1"/>
  <c r="Z462" i="1"/>
  <c r="Y462" i="1"/>
  <c r="X462" i="1"/>
  <c r="AF462" i="1"/>
  <c r="AE462" i="1"/>
  <c r="AD462" i="1"/>
  <c r="AC462" i="1"/>
  <c r="AD475" i="1"/>
  <c r="AC475" i="1"/>
  <c r="AB475" i="1"/>
  <c r="AA475" i="1"/>
  <c r="Z475" i="1"/>
  <c r="Y475" i="1"/>
  <c r="X475" i="1"/>
  <c r="AF475" i="1"/>
  <c r="AE475" i="1"/>
  <c r="AD503" i="1"/>
  <c r="AC503" i="1"/>
  <c r="AB503" i="1"/>
  <c r="AA503" i="1"/>
  <c r="Z503" i="1"/>
  <c r="Y503" i="1"/>
  <c r="X503" i="1"/>
  <c r="AE503" i="1"/>
  <c r="AF503" i="1"/>
  <c r="AB532" i="1"/>
  <c r="AA532" i="1"/>
  <c r="Z532" i="1"/>
  <c r="Y532" i="1"/>
  <c r="X532" i="1"/>
  <c r="AE532" i="1"/>
  <c r="AD532" i="1"/>
  <c r="AC532" i="1"/>
  <c r="AF532" i="1"/>
  <c r="AF523" i="1"/>
  <c r="AE523" i="1"/>
  <c r="AD523" i="1"/>
  <c r="AA523" i="1"/>
  <c r="AC523" i="1"/>
  <c r="AB523" i="1"/>
  <c r="Z523" i="1"/>
  <c r="Y523" i="1"/>
  <c r="X523" i="1"/>
  <c r="Y584" i="1"/>
  <c r="X584" i="1"/>
  <c r="AD584" i="1"/>
  <c r="AF584" i="1"/>
  <c r="AE584" i="1"/>
  <c r="AC584" i="1"/>
  <c r="AB584" i="1"/>
  <c r="Z584" i="1"/>
  <c r="AA584" i="1"/>
  <c r="AF541" i="1"/>
  <c r="AE541" i="1"/>
  <c r="AD541" i="1"/>
  <c r="AB541" i="1"/>
  <c r="AA541" i="1"/>
  <c r="Z541" i="1"/>
  <c r="Y541" i="1"/>
  <c r="X541" i="1"/>
  <c r="AC541" i="1"/>
  <c r="AF571" i="1"/>
  <c r="AE571" i="1"/>
  <c r="AD571" i="1"/>
  <c r="AC571" i="1"/>
  <c r="AB571" i="1"/>
  <c r="Z571" i="1"/>
  <c r="Y571" i="1"/>
  <c r="X571" i="1"/>
  <c r="AA571" i="1"/>
  <c r="AA567" i="1"/>
  <c r="AF567" i="1"/>
  <c r="AE567" i="1"/>
  <c r="AD567" i="1"/>
  <c r="AC567" i="1"/>
  <c r="Z567" i="1"/>
  <c r="Y567" i="1"/>
  <c r="X567" i="1"/>
  <c r="AB567" i="1"/>
  <c r="AE322" i="1"/>
  <c r="AD322" i="1"/>
  <c r="AC322" i="1"/>
  <c r="AB322" i="1"/>
  <c r="AA322" i="1"/>
  <c r="Z322" i="1"/>
  <c r="Y322" i="1"/>
  <c r="X322" i="1"/>
  <c r="AF322" i="1"/>
  <c r="AB270" i="1"/>
  <c r="AA270" i="1"/>
  <c r="Z270" i="1"/>
  <c r="Y270" i="1"/>
  <c r="X270" i="1"/>
  <c r="AF270" i="1"/>
  <c r="AE270" i="1"/>
  <c r="AD270" i="1"/>
  <c r="AC270" i="1"/>
  <c r="X506" i="1"/>
  <c r="Z506" i="1"/>
  <c r="Y506" i="1"/>
  <c r="AF506" i="1"/>
  <c r="AE506" i="1"/>
  <c r="AD506" i="1"/>
  <c r="AC506" i="1"/>
  <c r="AB506" i="1"/>
  <c r="AA506" i="1"/>
  <c r="AE280" i="1"/>
  <c r="AF280" i="1"/>
  <c r="AD280" i="1"/>
  <c r="AC280" i="1"/>
  <c r="AB280" i="1"/>
  <c r="AA280" i="1"/>
  <c r="Z280" i="1"/>
  <c r="Y280" i="1"/>
  <c r="X280" i="1"/>
  <c r="Z257" i="1"/>
  <c r="Y257" i="1"/>
  <c r="X257" i="1"/>
  <c r="AF257" i="1"/>
  <c r="AE257" i="1"/>
  <c r="AD257" i="1"/>
  <c r="AC257" i="1"/>
  <c r="AB257" i="1"/>
  <c r="AA257" i="1"/>
  <c r="AC285" i="1"/>
  <c r="AF285" i="1"/>
  <c r="AE285" i="1"/>
  <c r="AD285" i="1"/>
  <c r="AB285" i="1"/>
  <c r="AA285" i="1"/>
  <c r="Z285" i="1"/>
  <c r="Y285" i="1"/>
  <c r="X285" i="1"/>
  <c r="AA296" i="1"/>
  <c r="Z296" i="1"/>
  <c r="AF296" i="1"/>
  <c r="AE296" i="1"/>
  <c r="AD296" i="1"/>
  <c r="X296" i="1"/>
  <c r="Y296" i="1"/>
  <c r="AB296" i="1"/>
  <c r="AC296" i="1"/>
  <c r="Y307" i="1"/>
  <c r="X307" i="1"/>
  <c r="AF307" i="1"/>
  <c r="AE307" i="1"/>
  <c r="AD307" i="1"/>
  <c r="AC307" i="1"/>
  <c r="AB307" i="1"/>
  <c r="AA307" i="1"/>
  <c r="Z307" i="1"/>
  <c r="AE384" i="1"/>
  <c r="AC384" i="1"/>
  <c r="AB384" i="1"/>
  <c r="AA384" i="1"/>
  <c r="Z384" i="1"/>
  <c r="Y384" i="1"/>
  <c r="X384" i="1"/>
  <c r="AF384" i="1"/>
  <c r="AD384" i="1"/>
  <c r="AC333" i="1"/>
  <c r="AB333" i="1"/>
  <c r="AA333" i="1"/>
  <c r="Z333" i="1"/>
  <c r="Y333" i="1"/>
  <c r="X333" i="1"/>
  <c r="AF333" i="1"/>
  <c r="AE333" i="1"/>
  <c r="AD333" i="1"/>
  <c r="Y337" i="1"/>
  <c r="X337" i="1"/>
  <c r="AF337" i="1"/>
  <c r="AE337" i="1"/>
  <c r="AD337" i="1"/>
  <c r="AC337" i="1"/>
  <c r="Z337" i="1"/>
  <c r="AB337" i="1"/>
  <c r="AA337" i="1"/>
  <c r="X512" i="1"/>
  <c r="AF512" i="1"/>
  <c r="AE512" i="1"/>
  <c r="AD512" i="1"/>
  <c r="AC512" i="1"/>
  <c r="AB512" i="1"/>
  <c r="AA512" i="1"/>
  <c r="Z512" i="1"/>
  <c r="Y512" i="1"/>
  <c r="AA561" i="1"/>
  <c r="AB561" i="1"/>
  <c r="Z561" i="1"/>
  <c r="Y561" i="1"/>
  <c r="X561" i="1"/>
  <c r="AF561" i="1"/>
  <c r="AE561" i="1"/>
  <c r="AC561" i="1"/>
  <c r="AD561" i="1"/>
  <c r="X564" i="1"/>
  <c r="AF564" i="1"/>
  <c r="AD564" i="1"/>
  <c r="AC564" i="1"/>
  <c r="AB564" i="1"/>
  <c r="AA564" i="1"/>
  <c r="AE564" i="1"/>
  <c r="Z564" i="1"/>
  <c r="Y564" i="1"/>
  <c r="Y566" i="1"/>
  <c r="AD566" i="1"/>
  <c r="AC566" i="1"/>
  <c r="AB566" i="1"/>
  <c r="AA566" i="1"/>
  <c r="Z566" i="1"/>
  <c r="AE566" i="1"/>
  <c r="X566" i="1"/>
  <c r="AF566" i="1"/>
  <c r="AC339" i="1"/>
  <c r="AB339" i="1"/>
  <c r="AA339" i="1"/>
  <c r="Z339" i="1"/>
  <c r="Y339" i="1"/>
  <c r="X339" i="1"/>
  <c r="AF339" i="1"/>
  <c r="AE339" i="1"/>
  <c r="AD339" i="1"/>
  <c r="AC389" i="1"/>
  <c r="AA389" i="1"/>
  <c r="Z389" i="1"/>
  <c r="Y389" i="1"/>
  <c r="X389" i="1"/>
  <c r="AF389" i="1"/>
  <c r="AE389" i="1"/>
  <c r="AD389" i="1"/>
  <c r="AB389" i="1"/>
  <c r="X536" i="1"/>
  <c r="AF536" i="1"/>
  <c r="AD536" i="1"/>
  <c r="AC536" i="1"/>
  <c r="AE536" i="1"/>
  <c r="AB536" i="1"/>
  <c r="AA536" i="1"/>
  <c r="Y536" i="1"/>
  <c r="Z536" i="1"/>
  <c r="AB264" i="1"/>
  <c r="AA264" i="1"/>
  <c r="Z264" i="1"/>
  <c r="Y264" i="1"/>
  <c r="X264" i="1"/>
  <c r="AC264" i="1"/>
  <c r="AD264" i="1"/>
  <c r="AE264" i="1"/>
  <c r="AF264" i="1"/>
  <c r="AC297" i="1"/>
  <c r="AB297" i="1"/>
  <c r="AA297" i="1"/>
  <c r="Z297" i="1"/>
  <c r="AF297" i="1"/>
  <c r="AE297" i="1"/>
  <c r="AD297" i="1"/>
  <c r="Y297" i="1"/>
  <c r="X297" i="1"/>
  <c r="AA308" i="1"/>
  <c r="Z308" i="1"/>
  <c r="Y308" i="1"/>
  <c r="X308" i="1"/>
  <c r="AF308" i="1"/>
  <c r="AE308" i="1"/>
  <c r="AB308" i="1"/>
  <c r="AD308" i="1"/>
  <c r="AC308" i="1"/>
  <c r="AE334" i="1"/>
  <c r="AD334" i="1"/>
  <c r="AC334" i="1"/>
  <c r="AB334" i="1"/>
  <c r="AA334" i="1"/>
  <c r="Z334" i="1"/>
  <c r="Y334" i="1"/>
  <c r="X334" i="1"/>
  <c r="AF334" i="1"/>
  <c r="Z425" i="1"/>
  <c r="X425" i="1"/>
  <c r="AF425" i="1"/>
  <c r="AE425" i="1"/>
  <c r="AD425" i="1"/>
  <c r="AA425" i="1"/>
  <c r="Y425" i="1"/>
  <c r="AC425" i="1"/>
  <c r="AB425" i="1"/>
  <c r="AF441" i="1"/>
  <c r="AE441" i="1"/>
  <c r="AD441" i="1"/>
  <c r="AA441" i="1"/>
  <c r="Z441" i="1"/>
  <c r="AC441" i="1"/>
  <c r="AB441" i="1"/>
  <c r="Y441" i="1"/>
  <c r="X441" i="1"/>
  <c r="X466" i="1"/>
  <c r="AF466" i="1"/>
  <c r="AE466" i="1"/>
  <c r="AD466" i="1"/>
  <c r="AC466" i="1"/>
  <c r="AB466" i="1"/>
  <c r="AA466" i="1"/>
  <c r="Z466" i="1"/>
  <c r="Y466" i="1"/>
  <c r="X500" i="1"/>
  <c r="AF500" i="1"/>
  <c r="AE500" i="1"/>
  <c r="AD500" i="1"/>
  <c r="AC500" i="1"/>
  <c r="AB500" i="1"/>
  <c r="AA500" i="1"/>
  <c r="Z500" i="1"/>
  <c r="Y500" i="1"/>
  <c r="X530" i="1"/>
  <c r="AF530" i="1"/>
  <c r="AD530" i="1"/>
  <c r="AC530" i="1"/>
  <c r="Y530" i="1"/>
  <c r="AE530" i="1"/>
  <c r="AB530" i="1"/>
  <c r="AA530" i="1"/>
  <c r="Z530" i="1"/>
  <c r="Y578" i="1"/>
  <c r="AB578" i="1"/>
  <c r="AA578" i="1"/>
  <c r="Z578" i="1"/>
  <c r="X578" i="1"/>
  <c r="AF578" i="1"/>
  <c r="AE578" i="1"/>
  <c r="AD578" i="1"/>
  <c r="AC578" i="1"/>
  <c r="AA585" i="1"/>
  <c r="Z585" i="1"/>
  <c r="Y585" i="1"/>
  <c r="X585" i="1"/>
  <c r="AF585" i="1"/>
  <c r="AE585" i="1"/>
  <c r="AD585" i="1"/>
  <c r="AC585" i="1"/>
  <c r="AB585" i="1"/>
  <c r="AF588" i="1"/>
  <c r="AE588" i="1"/>
  <c r="AD588" i="1"/>
  <c r="AC588" i="1"/>
  <c r="Z588" i="1"/>
  <c r="AA588" i="1"/>
  <c r="Y588" i="1"/>
  <c r="X588" i="1"/>
  <c r="AB588" i="1"/>
  <c r="Z537" i="1"/>
  <c r="Y537" i="1"/>
  <c r="X537" i="1"/>
  <c r="AF537" i="1"/>
  <c r="AE537" i="1"/>
  <c r="AD537" i="1"/>
  <c r="AC537" i="1"/>
  <c r="AB537" i="1"/>
  <c r="AA537" i="1"/>
  <c r="AE408" i="1"/>
  <c r="AC408" i="1"/>
  <c r="AB408" i="1"/>
  <c r="AA408" i="1"/>
  <c r="Z408" i="1"/>
  <c r="Y408" i="1"/>
  <c r="X408" i="1"/>
  <c r="AF408" i="1"/>
  <c r="AD408" i="1"/>
  <c r="AB258" i="1"/>
  <c r="AA258" i="1"/>
  <c r="Z258" i="1"/>
  <c r="Y258" i="1"/>
  <c r="X258" i="1"/>
  <c r="AF258" i="1"/>
  <c r="AE258" i="1"/>
  <c r="AD258" i="1"/>
  <c r="AC258" i="1"/>
  <c r="AB426" i="1"/>
  <c r="AA426" i="1"/>
  <c r="Y426" i="1"/>
  <c r="X426" i="1"/>
  <c r="AF426" i="1"/>
  <c r="AE426" i="1"/>
  <c r="AD426" i="1"/>
  <c r="AC426" i="1"/>
  <c r="Z426" i="1"/>
  <c r="AD265" i="1"/>
  <c r="AC265" i="1"/>
  <c r="AB265" i="1"/>
  <c r="AA265" i="1"/>
  <c r="Z265" i="1"/>
  <c r="Y265" i="1"/>
  <c r="X265" i="1"/>
  <c r="AF265" i="1"/>
  <c r="AE265" i="1"/>
  <c r="Y283" i="1"/>
  <c r="AC283" i="1"/>
  <c r="AB283" i="1"/>
  <c r="AA283" i="1"/>
  <c r="Z283" i="1"/>
  <c r="X283" i="1"/>
  <c r="AD283" i="1"/>
  <c r="AE283" i="1"/>
  <c r="AF283" i="1"/>
  <c r="AE298" i="1"/>
  <c r="AD298" i="1"/>
  <c r="AC298" i="1"/>
  <c r="AB298" i="1"/>
  <c r="X298" i="1"/>
  <c r="AF298" i="1"/>
  <c r="AA298" i="1"/>
  <c r="Z298" i="1"/>
  <c r="Y298" i="1"/>
  <c r="AC309" i="1"/>
  <c r="AB309" i="1"/>
  <c r="AA309" i="1"/>
  <c r="Z309" i="1"/>
  <c r="Y309" i="1"/>
  <c r="X309" i="1"/>
  <c r="AF309" i="1"/>
  <c r="AE309" i="1"/>
  <c r="AD309" i="1"/>
  <c r="Y313" i="1"/>
  <c r="X313" i="1"/>
  <c r="AF313" i="1"/>
  <c r="AE313" i="1"/>
  <c r="AD313" i="1"/>
  <c r="AC313" i="1"/>
  <c r="Z313" i="1"/>
  <c r="AB313" i="1"/>
  <c r="AA313" i="1"/>
  <c r="AA382" i="1"/>
  <c r="Y382" i="1"/>
  <c r="X382" i="1"/>
  <c r="AF382" i="1"/>
  <c r="AE382" i="1"/>
  <c r="AD382" i="1"/>
  <c r="AC382" i="1"/>
  <c r="AB382" i="1"/>
  <c r="Z382" i="1"/>
  <c r="AA332" i="1"/>
  <c r="Z332" i="1"/>
  <c r="Y332" i="1"/>
  <c r="X332" i="1"/>
  <c r="AF332" i="1"/>
  <c r="AE332" i="1"/>
  <c r="AB332" i="1"/>
  <c r="AC332" i="1"/>
  <c r="AD332" i="1"/>
  <c r="AC321" i="1"/>
  <c r="AB321" i="1"/>
  <c r="AA321" i="1"/>
  <c r="Z321" i="1"/>
  <c r="Y321" i="1"/>
  <c r="X321" i="1"/>
  <c r="AF321" i="1"/>
  <c r="AE321" i="1"/>
  <c r="AD321" i="1"/>
  <c r="AF510" i="1"/>
  <c r="AB510" i="1"/>
  <c r="AA510" i="1"/>
  <c r="Z510" i="1"/>
  <c r="Y510" i="1"/>
  <c r="X510" i="1"/>
  <c r="AE510" i="1"/>
  <c r="AD510" i="1"/>
  <c r="AC510" i="1"/>
  <c r="AA565" i="1"/>
  <c r="Z565" i="1"/>
  <c r="Y565" i="1"/>
  <c r="X565" i="1"/>
  <c r="AF565" i="1"/>
  <c r="AE565" i="1"/>
  <c r="AD565" i="1"/>
  <c r="AC565" i="1"/>
  <c r="AB565" i="1"/>
  <c r="Z513" i="1"/>
  <c r="AA513" i="1"/>
  <c r="Y513" i="1"/>
  <c r="X513" i="1"/>
  <c r="AF513" i="1"/>
  <c r="AE513" i="1"/>
  <c r="AD513" i="1"/>
  <c r="AC513" i="1"/>
  <c r="AB513" i="1"/>
  <c r="AE587" i="1"/>
  <c r="AD587" i="1"/>
  <c r="AC587" i="1"/>
  <c r="AB587" i="1"/>
  <c r="AA587" i="1"/>
  <c r="X587" i="1"/>
  <c r="Y587" i="1"/>
  <c r="AF587" i="1"/>
  <c r="Z587" i="1"/>
  <c r="AF374" i="1"/>
  <c r="AE374" i="1"/>
  <c r="AD374" i="1"/>
  <c r="AC374" i="1"/>
  <c r="AB374" i="1"/>
  <c r="AA374" i="1"/>
  <c r="Z374" i="1"/>
  <c r="Y374" i="1"/>
  <c r="X374" i="1"/>
  <c r="AF528" i="1"/>
  <c r="AE528" i="1"/>
  <c r="AD528" i="1"/>
  <c r="AC528" i="1"/>
  <c r="AB528" i="1"/>
  <c r="Z528" i="1"/>
  <c r="Y528" i="1"/>
  <c r="AA528" i="1"/>
  <c r="X528" i="1"/>
  <c r="AA579" i="1"/>
  <c r="AE579" i="1"/>
  <c r="AD579" i="1"/>
  <c r="AC579" i="1"/>
  <c r="AB579" i="1"/>
  <c r="Z579" i="1"/>
  <c r="X579" i="1"/>
  <c r="AF579" i="1"/>
  <c r="Y579" i="1"/>
  <c r="Z269" i="1"/>
  <c r="Y269" i="1"/>
  <c r="X269" i="1"/>
  <c r="AF269" i="1"/>
  <c r="AE269" i="1"/>
  <c r="AD269" i="1"/>
  <c r="AC269" i="1"/>
  <c r="AB269" i="1"/>
  <c r="AA269" i="1"/>
  <c r="AD275" i="1"/>
  <c r="AC275" i="1"/>
  <c r="AB275" i="1"/>
  <c r="AA275" i="1"/>
  <c r="Z275" i="1"/>
  <c r="Y275" i="1"/>
  <c r="X275" i="1"/>
  <c r="AE275" i="1"/>
  <c r="AF275" i="1"/>
  <c r="AC273" i="1"/>
  <c r="X273" i="1"/>
  <c r="AF273" i="1"/>
  <c r="AE273" i="1"/>
  <c r="AD273" i="1"/>
  <c r="AB273" i="1"/>
  <c r="AA273" i="1"/>
  <c r="Z273" i="1"/>
  <c r="Y273" i="1"/>
  <c r="AC365" i="1"/>
  <c r="AA365" i="1"/>
  <c r="Y365" i="1"/>
  <c r="AF365" i="1"/>
  <c r="AE365" i="1"/>
  <c r="AD365" i="1"/>
  <c r="AB365" i="1"/>
  <c r="Z365" i="1"/>
  <c r="X365" i="1"/>
  <c r="AE292" i="1"/>
  <c r="AD292" i="1"/>
  <c r="AF292" i="1"/>
  <c r="AC292" i="1"/>
  <c r="AB292" i="1"/>
  <c r="AA292" i="1"/>
  <c r="Z292" i="1"/>
  <c r="Y292" i="1"/>
  <c r="X292" i="1"/>
  <c r="AF305" i="1"/>
  <c r="AE305" i="1"/>
  <c r="AD305" i="1"/>
  <c r="AC305" i="1"/>
  <c r="AB305" i="1"/>
  <c r="AA305" i="1"/>
  <c r="Z305" i="1"/>
  <c r="Y305" i="1"/>
  <c r="X305" i="1"/>
  <c r="AF311" i="1"/>
  <c r="AE311" i="1"/>
  <c r="AD311" i="1"/>
  <c r="AC311" i="1"/>
  <c r="AB311" i="1"/>
  <c r="AA311" i="1"/>
  <c r="Z311" i="1"/>
  <c r="Y311" i="1"/>
  <c r="X311" i="1"/>
  <c r="AF386" i="1"/>
  <c r="AE386" i="1"/>
  <c r="AD386" i="1"/>
  <c r="AC386" i="1"/>
  <c r="AB386" i="1"/>
  <c r="AA386" i="1"/>
  <c r="Z386" i="1"/>
  <c r="Y386" i="1"/>
  <c r="X386" i="1"/>
  <c r="Y331" i="1"/>
  <c r="X331" i="1"/>
  <c r="AF331" i="1"/>
  <c r="AE331" i="1"/>
  <c r="AD331" i="1"/>
  <c r="AC331" i="1"/>
  <c r="AB331" i="1"/>
  <c r="AA331" i="1"/>
  <c r="Z331" i="1"/>
  <c r="Z419" i="1"/>
  <c r="AF419" i="1"/>
  <c r="AD419" i="1"/>
  <c r="AC419" i="1"/>
  <c r="AB419" i="1"/>
  <c r="AA419" i="1"/>
  <c r="Y419" i="1"/>
  <c r="X419" i="1"/>
  <c r="AE419" i="1"/>
  <c r="X490" i="1"/>
  <c r="AF490" i="1"/>
  <c r="AE490" i="1"/>
  <c r="AD490" i="1"/>
  <c r="AC490" i="1"/>
  <c r="AB490" i="1"/>
  <c r="AA490" i="1"/>
  <c r="Z490" i="1"/>
  <c r="Y490" i="1"/>
  <c r="AF504" i="1"/>
  <c r="AE504" i="1"/>
  <c r="AD504" i="1"/>
  <c r="AC504" i="1"/>
  <c r="AB504" i="1"/>
  <c r="AA504" i="1"/>
  <c r="Z504" i="1"/>
  <c r="Y504" i="1"/>
  <c r="X504" i="1"/>
  <c r="AF558" i="1"/>
  <c r="AE558" i="1"/>
  <c r="AD558" i="1"/>
  <c r="AC558" i="1"/>
  <c r="AB558" i="1"/>
  <c r="Z558" i="1"/>
  <c r="Y558" i="1"/>
  <c r="X558" i="1"/>
  <c r="AA558" i="1"/>
  <c r="Z519" i="1"/>
  <c r="Y519" i="1"/>
  <c r="X519" i="1"/>
  <c r="AE519" i="1"/>
  <c r="AB519" i="1"/>
  <c r="AA519" i="1"/>
  <c r="AF519" i="1"/>
  <c r="AD519" i="1"/>
  <c r="AC519" i="1"/>
  <c r="AE581" i="1"/>
  <c r="AD581" i="1"/>
  <c r="AB581" i="1"/>
  <c r="X581" i="1"/>
  <c r="Y581" i="1"/>
  <c r="AF581" i="1"/>
  <c r="AC581" i="1"/>
  <c r="AA581" i="1"/>
  <c r="Z581" i="1"/>
  <c r="T544" i="1"/>
  <c r="T549" i="1"/>
  <c r="T551" i="1"/>
  <c r="T550" i="1"/>
  <c r="T536" i="1"/>
  <c r="T545" i="1"/>
  <c r="T547" i="1"/>
  <c r="T548" i="1"/>
  <c r="T537" i="1"/>
  <c r="T546" i="1"/>
  <c r="T530" i="1"/>
  <c r="T541" i="1"/>
  <c r="T542" i="1"/>
  <c r="T543" i="1"/>
  <c r="T479" i="1"/>
  <c r="T538" i="1"/>
  <c r="T539" i="1"/>
  <c r="T533" i="1"/>
  <c r="T535" i="1"/>
  <c r="T532" i="1"/>
  <c r="T527" i="1"/>
  <c r="T523" i="1"/>
  <c r="T534" i="1"/>
  <c r="T528" i="1"/>
  <c r="T472" i="1"/>
  <c r="T526" i="1"/>
  <c r="T520" i="1"/>
  <c r="T518" i="1"/>
  <c r="T513" i="1"/>
  <c r="T519" i="1"/>
  <c r="T522" i="1"/>
  <c r="T521" i="1"/>
  <c r="T517" i="1"/>
  <c r="T507" i="1"/>
  <c r="T510" i="1"/>
  <c r="T504" i="1"/>
  <c r="T516" i="1"/>
  <c r="T503" i="1"/>
  <c r="T506" i="1"/>
  <c r="T512" i="1"/>
  <c r="T514" i="1"/>
  <c r="T515" i="1"/>
  <c r="T508" i="1"/>
  <c r="T491" i="1"/>
  <c r="T495" i="1"/>
  <c r="T490" i="1"/>
  <c r="T502" i="1"/>
  <c r="T500" i="1"/>
  <c r="T497" i="1"/>
  <c r="T493" i="1"/>
  <c r="T489" i="1"/>
  <c r="T499" i="1"/>
  <c r="T498" i="1"/>
  <c r="T409" i="1"/>
  <c r="T485" i="1"/>
  <c r="T484" i="1"/>
  <c r="T486" i="1"/>
  <c r="T481" i="1"/>
  <c r="T483" i="1"/>
  <c r="T474" i="1"/>
  <c r="T475" i="1"/>
  <c r="T478" i="1"/>
  <c r="T480" i="1"/>
  <c r="T470" i="1"/>
  <c r="T469" i="1"/>
  <c r="T468" i="1"/>
  <c r="T462" i="1"/>
  <c r="T464" i="1"/>
  <c r="T466" i="1"/>
  <c r="T467" i="1"/>
  <c r="T465" i="1"/>
  <c r="T461" i="1"/>
  <c r="T460" i="1"/>
  <c r="T459" i="1"/>
  <c r="T456" i="1"/>
  <c r="T454" i="1"/>
  <c r="T457" i="1"/>
  <c r="T450" i="1"/>
  <c r="T448" i="1"/>
  <c r="T443" i="1"/>
  <c r="T372" i="1"/>
  <c r="T446" i="1"/>
  <c r="T441" i="1"/>
  <c r="T440" i="1"/>
  <c r="T439" i="1"/>
  <c r="T374" i="1"/>
  <c r="T380" i="1"/>
  <c r="T442" i="1"/>
  <c r="T436" i="1"/>
  <c r="T437" i="1"/>
  <c r="T379" i="1"/>
  <c r="T366" i="1"/>
  <c r="T431" i="1"/>
  <c r="T433" i="1"/>
  <c r="T425" i="1"/>
  <c r="T373" i="1"/>
  <c r="T367" i="1"/>
  <c r="T432" i="1"/>
  <c r="T430" i="1"/>
  <c r="T429" i="1"/>
  <c r="T428" i="1"/>
  <c r="T419" i="1"/>
  <c r="T408" i="1"/>
  <c r="T426" i="1"/>
  <c r="T422" i="1"/>
  <c r="T420" i="1"/>
  <c r="T421" i="1"/>
  <c r="T407" i="1"/>
  <c r="T411" i="1"/>
  <c r="T345" i="1"/>
  <c r="T344" i="1"/>
  <c r="T349" i="1"/>
  <c r="T399" i="1"/>
  <c r="T391" i="1"/>
  <c r="T405" i="1"/>
  <c r="T406" i="1"/>
  <c r="T404" i="1"/>
  <c r="T337" i="1"/>
  <c r="T402" i="1"/>
  <c r="T401" i="1"/>
  <c r="T322" i="1"/>
  <c r="T341" i="1"/>
  <c r="T343" i="1"/>
  <c r="T342" i="1"/>
  <c r="T330" i="1"/>
  <c r="T340" i="1"/>
  <c r="T389" i="1"/>
  <c r="T397" i="1"/>
  <c r="T321" i="1"/>
  <c r="T329" i="1"/>
  <c r="T335" i="1"/>
  <c r="T390" i="1"/>
  <c r="T327" i="1"/>
  <c r="T328" i="1"/>
  <c r="T334" i="1"/>
  <c r="T324" i="1"/>
  <c r="T326" i="1"/>
  <c r="T332" i="1"/>
  <c r="T338" i="1"/>
  <c r="T333" i="1"/>
  <c r="T323" i="1"/>
  <c r="T331" i="1"/>
  <c r="T339" i="1"/>
  <c r="T301" i="1"/>
  <c r="T311" i="1"/>
  <c r="T316" i="1"/>
  <c r="T317" i="1"/>
  <c r="T315" i="1"/>
  <c r="T320" i="1"/>
  <c r="T310" i="1"/>
  <c r="T313" i="1"/>
  <c r="T314" i="1"/>
  <c r="T318" i="1"/>
  <c r="T319" i="1"/>
  <c r="T304" i="1"/>
  <c r="T309" i="1"/>
  <c r="C141" i="18"/>
  <c r="F141" i="18" s="1"/>
  <c r="P139" i="18"/>
  <c r="T305" i="1"/>
  <c r="T312" i="1"/>
  <c r="T308" i="1"/>
  <c r="T307" i="1"/>
  <c r="T303" i="1"/>
  <c r="T306" i="1"/>
  <c r="T300" i="1"/>
  <c r="T302" i="1"/>
  <c r="T292" i="1"/>
  <c r="T296" i="1"/>
  <c r="T298" i="1"/>
  <c r="T299" i="1"/>
  <c r="T297" i="1"/>
  <c r="T294" i="1"/>
  <c r="T295" i="1"/>
  <c r="T293" i="1"/>
  <c r="T286" i="1"/>
  <c r="T290" i="1"/>
  <c r="T291" i="1"/>
  <c r="T285" i="1"/>
  <c r="T273" i="1"/>
  <c r="T283" i="1"/>
  <c r="T288" i="1"/>
  <c r="T289" i="1"/>
  <c r="T280" i="1"/>
  <c r="T279" i="1"/>
  <c r="T282" i="1"/>
  <c r="T278" i="1"/>
  <c r="T281" i="1"/>
  <c r="T284" i="1"/>
  <c r="T257" i="1"/>
  <c r="T256" i="1"/>
  <c r="T264" i="1"/>
  <c r="T267" i="1"/>
  <c r="T268" i="1"/>
  <c r="T260" i="1"/>
  <c r="T266" i="1"/>
  <c r="T258" i="1"/>
  <c r="T259" i="1"/>
  <c r="T265" i="1"/>
  <c r="T275" i="1"/>
  <c r="T274" i="1"/>
  <c r="BB2" i="8"/>
  <c r="C28" i="7"/>
  <c r="F28" i="7" s="1"/>
  <c r="P29" i="7"/>
  <c r="T271" i="1"/>
  <c r="T272" i="1"/>
  <c r="T277" i="1"/>
  <c r="T270" i="1"/>
  <c r="T261" i="1"/>
  <c r="T262" i="1"/>
  <c r="T276" i="1"/>
  <c r="T269" i="1"/>
  <c r="R19" i="1"/>
  <c r="U19" i="1" s="1"/>
  <c r="AC489" i="1" l="1"/>
  <c r="Z489" i="1"/>
  <c r="Y489" i="1"/>
  <c r="AE493" i="1"/>
  <c r="AC493" i="1"/>
  <c r="AD493" i="1"/>
  <c r="AA489" i="1"/>
  <c r="AB489" i="1"/>
  <c r="AD489" i="1"/>
  <c r="AE489" i="1"/>
  <c r="AF489" i="1"/>
  <c r="AF493" i="1"/>
  <c r="X493" i="1"/>
  <c r="Y493" i="1"/>
  <c r="Z493" i="1"/>
  <c r="AA493" i="1"/>
  <c r="Y286" i="1"/>
  <c r="AE286" i="1"/>
  <c r="Z286" i="1"/>
  <c r="AA286" i="1"/>
  <c r="AB286" i="1"/>
  <c r="AC286" i="1"/>
  <c r="AD286" i="1"/>
  <c r="AF286" i="1"/>
  <c r="AE396" i="1"/>
  <c r="AC396" i="1"/>
  <c r="AB396" i="1"/>
  <c r="AA396" i="1"/>
  <c r="Z396" i="1"/>
  <c r="Y396" i="1"/>
  <c r="X396" i="1"/>
  <c r="AF396" i="1"/>
  <c r="AD396" i="1"/>
  <c r="AF342" i="1"/>
  <c r="AE342" i="1"/>
  <c r="AD342" i="1"/>
  <c r="AC342" i="1"/>
  <c r="AB342" i="1"/>
  <c r="AA342" i="1"/>
  <c r="X342" i="1"/>
  <c r="Z342" i="1"/>
  <c r="Y342" i="1"/>
  <c r="AC401" i="1"/>
  <c r="AA401" i="1"/>
  <c r="Z401" i="1"/>
  <c r="Y401" i="1"/>
  <c r="X401" i="1"/>
  <c r="AD401" i="1"/>
  <c r="AB401" i="1"/>
  <c r="AF401" i="1"/>
  <c r="AE401" i="1"/>
  <c r="AD421" i="1"/>
  <c r="Y421" i="1"/>
  <c r="AF421" i="1"/>
  <c r="AE421" i="1"/>
  <c r="AC421" i="1"/>
  <c r="AB421" i="1"/>
  <c r="AA421" i="1"/>
  <c r="Z421" i="1"/>
  <c r="X421" i="1"/>
  <c r="X429" i="1"/>
  <c r="AF429" i="1"/>
  <c r="AE429" i="1"/>
  <c r="AD429" i="1"/>
  <c r="AC429" i="1"/>
  <c r="AB429" i="1"/>
  <c r="AA429" i="1"/>
  <c r="Y429" i="1"/>
  <c r="Z429" i="1"/>
  <c r="Z449" i="1"/>
  <c r="Y449" i="1"/>
  <c r="X449" i="1"/>
  <c r="AF449" i="1"/>
  <c r="AE449" i="1"/>
  <c r="AD449" i="1"/>
  <c r="AC449" i="1"/>
  <c r="AB449" i="1"/>
  <c r="AA449" i="1"/>
  <c r="AD445" i="1"/>
  <c r="AC445" i="1"/>
  <c r="AB445" i="1"/>
  <c r="AA445" i="1"/>
  <c r="Z445" i="1"/>
  <c r="Y445" i="1"/>
  <c r="AE445" i="1"/>
  <c r="X445" i="1"/>
  <c r="AF445" i="1"/>
  <c r="AF476" i="1"/>
  <c r="AE476" i="1"/>
  <c r="AD476" i="1"/>
  <c r="AC476" i="1"/>
  <c r="AB476" i="1"/>
  <c r="AA476" i="1"/>
  <c r="Z476" i="1"/>
  <c r="Y476" i="1"/>
  <c r="X476" i="1"/>
  <c r="X484" i="1"/>
  <c r="AF484" i="1"/>
  <c r="AE484" i="1"/>
  <c r="AD484" i="1"/>
  <c r="AC484" i="1"/>
  <c r="AB484" i="1"/>
  <c r="AA484" i="1"/>
  <c r="Y484" i="1"/>
  <c r="Z484" i="1"/>
  <c r="AF516" i="1"/>
  <c r="AD516" i="1"/>
  <c r="AC516" i="1"/>
  <c r="AB516" i="1"/>
  <c r="Y516" i="1"/>
  <c r="AE516" i="1"/>
  <c r="AA516" i="1"/>
  <c r="Z516" i="1"/>
  <c r="X516" i="1"/>
  <c r="AD487" i="1"/>
  <c r="AC487" i="1"/>
  <c r="AB487" i="1"/>
  <c r="AA487" i="1"/>
  <c r="Z487" i="1"/>
  <c r="Y487" i="1"/>
  <c r="X487" i="1"/>
  <c r="AF487" i="1"/>
  <c r="AE487" i="1"/>
  <c r="AF540" i="1"/>
  <c r="AE540" i="1"/>
  <c r="AD540" i="1"/>
  <c r="AC540" i="1"/>
  <c r="AB540" i="1"/>
  <c r="Z540" i="1"/>
  <c r="Y540" i="1"/>
  <c r="AA540" i="1"/>
  <c r="X540" i="1"/>
  <c r="Y343" i="1"/>
  <c r="X343" i="1"/>
  <c r="AF343" i="1"/>
  <c r="AE343" i="1"/>
  <c r="AD343" i="1"/>
  <c r="AC343" i="1"/>
  <c r="AB343" i="1"/>
  <c r="AA343" i="1"/>
  <c r="Z343" i="1"/>
  <c r="AF398" i="1"/>
  <c r="AE398" i="1"/>
  <c r="AD398" i="1"/>
  <c r="AC398" i="1"/>
  <c r="AB398" i="1"/>
  <c r="AA398" i="1"/>
  <c r="Z398" i="1"/>
  <c r="Y398" i="1"/>
  <c r="X398" i="1"/>
  <c r="Y399" i="1"/>
  <c r="AF399" i="1"/>
  <c r="AE399" i="1"/>
  <c r="AD399" i="1"/>
  <c r="AC399" i="1"/>
  <c r="AB399" i="1"/>
  <c r="AA399" i="1"/>
  <c r="Z399" i="1"/>
  <c r="X399" i="1"/>
  <c r="AD433" i="1"/>
  <c r="AF433" i="1"/>
  <c r="AE433" i="1"/>
  <c r="AC433" i="1"/>
  <c r="AB433" i="1"/>
  <c r="AA433" i="1"/>
  <c r="Z433" i="1"/>
  <c r="Y433" i="1"/>
  <c r="X433" i="1"/>
  <c r="X436" i="1"/>
  <c r="AC436" i="1"/>
  <c r="AF436" i="1"/>
  <c r="AE436" i="1"/>
  <c r="AD436" i="1"/>
  <c r="AB436" i="1"/>
  <c r="AA436" i="1"/>
  <c r="Z436" i="1"/>
  <c r="Y436" i="1"/>
  <c r="AB444" i="1"/>
  <c r="AA444" i="1"/>
  <c r="Z444" i="1"/>
  <c r="Y444" i="1"/>
  <c r="X444" i="1"/>
  <c r="AF444" i="1"/>
  <c r="AE444" i="1"/>
  <c r="AD444" i="1"/>
  <c r="AC444" i="1"/>
  <c r="AF452" i="1"/>
  <c r="AE452" i="1"/>
  <c r="AD452" i="1"/>
  <c r="AC452" i="1"/>
  <c r="AB452" i="1"/>
  <c r="AA452" i="1"/>
  <c r="Z452" i="1"/>
  <c r="Y452" i="1"/>
  <c r="X452" i="1"/>
  <c r="X424" i="1"/>
  <c r="AF424" i="1"/>
  <c r="AE424" i="1"/>
  <c r="AD424" i="1"/>
  <c r="AC424" i="1"/>
  <c r="AB424" i="1"/>
  <c r="AA424" i="1"/>
  <c r="Z424" i="1"/>
  <c r="Y424" i="1"/>
  <c r="AF434" i="1"/>
  <c r="Z434" i="1"/>
  <c r="X434" i="1"/>
  <c r="AE434" i="1"/>
  <c r="AC434" i="1"/>
  <c r="AB434" i="1"/>
  <c r="AA434" i="1"/>
  <c r="Y434" i="1"/>
  <c r="AD434" i="1"/>
  <c r="Y375" i="1"/>
  <c r="AF375" i="1"/>
  <c r="AE375" i="1"/>
  <c r="AD375" i="1"/>
  <c r="AB375" i="1"/>
  <c r="AA375" i="1"/>
  <c r="Z375" i="1"/>
  <c r="X375" i="1"/>
  <c r="AC375" i="1"/>
  <c r="AF453" i="1"/>
  <c r="AE453" i="1"/>
  <c r="AD453" i="1"/>
  <c r="AC453" i="1"/>
  <c r="AB453" i="1"/>
  <c r="AA453" i="1"/>
  <c r="Z453" i="1"/>
  <c r="Y453" i="1"/>
  <c r="X453" i="1"/>
  <c r="X460" i="1"/>
  <c r="AF460" i="1"/>
  <c r="AE460" i="1"/>
  <c r="AD460" i="1"/>
  <c r="AC460" i="1"/>
  <c r="AB460" i="1"/>
  <c r="AA460" i="1"/>
  <c r="Y460" i="1"/>
  <c r="Z460" i="1"/>
  <c r="AB468" i="1"/>
  <c r="AA468" i="1"/>
  <c r="Z468" i="1"/>
  <c r="Y468" i="1"/>
  <c r="X468" i="1"/>
  <c r="AF468" i="1"/>
  <c r="AE468" i="1"/>
  <c r="AD468" i="1"/>
  <c r="AC468" i="1"/>
  <c r="AD451" i="1"/>
  <c r="AC451" i="1"/>
  <c r="AB451" i="1"/>
  <c r="AA451" i="1"/>
  <c r="Z451" i="1"/>
  <c r="Y451" i="1"/>
  <c r="X451" i="1"/>
  <c r="AF451" i="1"/>
  <c r="AE451" i="1"/>
  <c r="Z497" i="1"/>
  <c r="Y497" i="1"/>
  <c r="X497" i="1"/>
  <c r="AF497" i="1"/>
  <c r="AE497" i="1"/>
  <c r="AD497" i="1"/>
  <c r="AC497" i="1"/>
  <c r="AB497" i="1"/>
  <c r="AA497" i="1"/>
  <c r="AD515" i="1"/>
  <c r="AB515" i="1"/>
  <c r="AA515" i="1"/>
  <c r="Z515" i="1"/>
  <c r="AF515" i="1"/>
  <c r="AE515" i="1"/>
  <c r="AC515" i="1"/>
  <c r="X515" i="1"/>
  <c r="Y515" i="1"/>
  <c r="AD511" i="1"/>
  <c r="AF511" i="1"/>
  <c r="AE511" i="1"/>
  <c r="AC511" i="1"/>
  <c r="AB511" i="1"/>
  <c r="AA511" i="1"/>
  <c r="Z511" i="1"/>
  <c r="Y511" i="1"/>
  <c r="X511" i="1"/>
  <c r="AE397" i="1"/>
  <c r="AD397" i="1"/>
  <c r="AC397" i="1"/>
  <c r="AB397" i="1"/>
  <c r="AA397" i="1"/>
  <c r="Z397" i="1"/>
  <c r="AF397" i="1"/>
  <c r="Y397" i="1"/>
  <c r="X397" i="1"/>
  <c r="AF341" i="1"/>
  <c r="AE341" i="1"/>
  <c r="AD341" i="1"/>
  <c r="AC341" i="1"/>
  <c r="AB341" i="1"/>
  <c r="AA341" i="1"/>
  <c r="Z341" i="1"/>
  <c r="Y341" i="1"/>
  <c r="X341" i="1"/>
  <c r="Y393" i="1"/>
  <c r="AF393" i="1"/>
  <c r="AE393" i="1"/>
  <c r="AD393" i="1"/>
  <c r="X393" i="1"/>
  <c r="AC393" i="1"/>
  <c r="Z393" i="1"/>
  <c r="AA393" i="1"/>
  <c r="AB393" i="1"/>
  <c r="AA349" i="1"/>
  <c r="Z349" i="1"/>
  <c r="Y349" i="1"/>
  <c r="X349" i="1"/>
  <c r="AF349" i="1"/>
  <c r="AE349" i="1"/>
  <c r="AD349" i="1"/>
  <c r="AC349" i="1"/>
  <c r="AB349" i="1"/>
  <c r="AB420" i="1"/>
  <c r="AF420" i="1"/>
  <c r="AE420" i="1"/>
  <c r="AD420" i="1"/>
  <c r="AC420" i="1"/>
  <c r="AA420" i="1"/>
  <c r="Z420" i="1"/>
  <c r="Y420" i="1"/>
  <c r="X420" i="1"/>
  <c r="X442" i="1"/>
  <c r="AF442" i="1"/>
  <c r="AC442" i="1"/>
  <c r="AB442" i="1"/>
  <c r="AE442" i="1"/>
  <c r="AA442" i="1"/>
  <c r="Z442" i="1"/>
  <c r="Y442" i="1"/>
  <c r="AD442" i="1"/>
  <c r="AD457" i="1"/>
  <c r="AC457" i="1"/>
  <c r="AB457" i="1"/>
  <c r="AA457" i="1"/>
  <c r="Z457" i="1"/>
  <c r="Y457" i="1"/>
  <c r="X457" i="1"/>
  <c r="AF457" i="1"/>
  <c r="AE457" i="1"/>
  <c r="AD469" i="1"/>
  <c r="AC469" i="1"/>
  <c r="AB469" i="1"/>
  <c r="AA469" i="1"/>
  <c r="Z469" i="1"/>
  <c r="Y469" i="1"/>
  <c r="X469" i="1"/>
  <c r="AE469" i="1"/>
  <c r="AF469" i="1"/>
  <c r="Z485" i="1"/>
  <c r="Y485" i="1"/>
  <c r="X485" i="1"/>
  <c r="AF485" i="1"/>
  <c r="AE485" i="1"/>
  <c r="AD485" i="1"/>
  <c r="AC485" i="1"/>
  <c r="AB485" i="1"/>
  <c r="AA485" i="1"/>
  <c r="AB520" i="1"/>
  <c r="AA520" i="1"/>
  <c r="Z520" i="1"/>
  <c r="Y520" i="1"/>
  <c r="X520" i="1"/>
  <c r="AF520" i="1"/>
  <c r="AE520" i="1"/>
  <c r="AD520" i="1"/>
  <c r="AC520" i="1"/>
  <c r="AB550" i="1"/>
  <c r="AA550" i="1"/>
  <c r="Z550" i="1"/>
  <c r="Y550" i="1"/>
  <c r="X550" i="1"/>
  <c r="AF550" i="1"/>
  <c r="AE550" i="1"/>
  <c r="AD550" i="1"/>
  <c r="AC550" i="1"/>
  <c r="AB432" i="1"/>
  <c r="AE432" i="1"/>
  <c r="AD432" i="1"/>
  <c r="AC432" i="1"/>
  <c r="AA432" i="1"/>
  <c r="Z432" i="1"/>
  <c r="Y432" i="1"/>
  <c r="AF432" i="1"/>
  <c r="X432" i="1"/>
  <c r="Z431" i="1"/>
  <c r="AD431" i="1"/>
  <c r="AB431" i="1"/>
  <c r="AA431" i="1"/>
  <c r="Y431" i="1"/>
  <c r="X431" i="1"/>
  <c r="AE431" i="1"/>
  <c r="AC431" i="1"/>
  <c r="AF431" i="1"/>
  <c r="Z443" i="1"/>
  <c r="Y443" i="1"/>
  <c r="X443" i="1"/>
  <c r="AE443" i="1"/>
  <c r="AD443" i="1"/>
  <c r="AF443" i="1"/>
  <c r="AC443" i="1"/>
  <c r="AB443" i="1"/>
  <c r="AA443" i="1"/>
  <c r="Z461" i="1"/>
  <c r="Y461" i="1"/>
  <c r="X461" i="1"/>
  <c r="AF461" i="1"/>
  <c r="AE461" i="1"/>
  <c r="AD461" i="1"/>
  <c r="AC461" i="1"/>
  <c r="AB461" i="1"/>
  <c r="AA461" i="1"/>
  <c r="AF477" i="1"/>
  <c r="AE477" i="1"/>
  <c r="AD477" i="1"/>
  <c r="AC477" i="1"/>
  <c r="AB477" i="1"/>
  <c r="AA477" i="1"/>
  <c r="Z477" i="1"/>
  <c r="Y477" i="1"/>
  <c r="X477" i="1"/>
  <c r="AB492" i="1"/>
  <c r="AA492" i="1"/>
  <c r="Z492" i="1"/>
  <c r="Y492" i="1"/>
  <c r="X492" i="1"/>
  <c r="AF492" i="1"/>
  <c r="AE492" i="1"/>
  <c r="AD492" i="1"/>
  <c r="AC492" i="1"/>
  <c r="AB514" i="1"/>
  <c r="Z514" i="1"/>
  <c r="X514" i="1"/>
  <c r="AF514" i="1"/>
  <c r="AE514" i="1"/>
  <c r="AD514" i="1"/>
  <c r="AC514" i="1"/>
  <c r="AA514" i="1"/>
  <c r="Y514" i="1"/>
  <c r="AF535" i="1"/>
  <c r="AE535" i="1"/>
  <c r="AD535" i="1"/>
  <c r="AB535" i="1"/>
  <c r="AA535" i="1"/>
  <c r="AC535" i="1"/>
  <c r="Z535" i="1"/>
  <c r="Y535" i="1"/>
  <c r="X535" i="1"/>
  <c r="AF404" i="1"/>
  <c r="AE404" i="1"/>
  <c r="AD404" i="1"/>
  <c r="AC404" i="1"/>
  <c r="AB404" i="1"/>
  <c r="Z404" i="1"/>
  <c r="Y404" i="1"/>
  <c r="X404" i="1"/>
  <c r="AA404" i="1"/>
  <c r="AA344" i="1"/>
  <c r="Z344" i="1"/>
  <c r="Y344" i="1"/>
  <c r="X344" i="1"/>
  <c r="AF344" i="1"/>
  <c r="AE344" i="1"/>
  <c r="AD344" i="1"/>
  <c r="AC344" i="1"/>
  <c r="AB344" i="1"/>
  <c r="AF422" i="1"/>
  <c r="AB422" i="1"/>
  <c r="Z422" i="1"/>
  <c r="Y422" i="1"/>
  <c r="X422" i="1"/>
  <c r="AA422" i="1"/>
  <c r="AE422" i="1"/>
  <c r="AD422" i="1"/>
  <c r="AC422" i="1"/>
  <c r="AF435" i="1"/>
  <c r="AE435" i="1"/>
  <c r="AC435" i="1"/>
  <c r="AA435" i="1"/>
  <c r="Z435" i="1"/>
  <c r="Y435" i="1"/>
  <c r="X435" i="1"/>
  <c r="AD435" i="1"/>
  <c r="AB435" i="1"/>
  <c r="AF410" i="1"/>
  <c r="AE410" i="1"/>
  <c r="AD410" i="1"/>
  <c r="AC410" i="1"/>
  <c r="AB410" i="1"/>
  <c r="Y410" i="1"/>
  <c r="X410" i="1"/>
  <c r="AA410" i="1"/>
  <c r="Z410" i="1"/>
  <c r="AF483" i="1"/>
  <c r="AE483" i="1"/>
  <c r="AD483" i="1"/>
  <c r="AC483" i="1"/>
  <c r="AB483" i="1"/>
  <c r="AA483" i="1"/>
  <c r="Z483" i="1"/>
  <c r="Y483" i="1"/>
  <c r="X483" i="1"/>
  <c r="X496" i="1"/>
  <c r="AF496" i="1"/>
  <c r="AE496" i="1"/>
  <c r="AD496" i="1"/>
  <c r="AC496" i="1"/>
  <c r="AB496" i="1"/>
  <c r="AA496" i="1"/>
  <c r="Z496" i="1"/>
  <c r="Y496" i="1"/>
  <c r="X472" i="1"/>
  <c r="AF472" i="1"/>
  <c r="AE472" i="1"/>
  <c r="AD472" i="1"/>
  <c r="AC472" i="1"/>
  <c r="AB472" i="1"/>
  <c r="AA472" i="1"/>
  <c r="Z472" i="1"/>
  <c r="Y472" i="1"/>
  <c r="X524" i="1"/>
  <c r="AF524" i="1"/>
  <c r="AD524" i="1"/>
  <c r="AC524" i="1"/>
  <c r="Z524" i="1"/>
  <c r="Y524" i="1"/>
  <c r="AE524" i="1"/>
  <c r="AA524" i="1"/>
  <c r="AB524" i="1"/>
  <c r="AD551" i="1"/>
  <c r="AC551" i="1"/>
  <c r="AB551" i="1"/>
  <c r="AA551" i="1"/>
  <c r="Z551" i="1"/>
  <c r="X551" i="1"/>
  <c r="AE551" i="1"/>
  <c r="Y551" i="1"/>
  <c r="AF551" i="1"/>
  <c r="AE403" i="1"/>
  <c r="AD403" i="1"/>
  <c r="AC403" i="1"/>
  <c r="AB403" i="1"/>
  <c r="AA403" i="1"/>
  <c r="Z403" i="1"/>
  <c r="AF403" i="1"/>
  <c r="Y403" i="1"/>
  <c r="X403" i="1"/>
  <c r="AC413" i="1"/>
  <c r="AA413" i="1"/>
  <c r="Z413" i="1"/>
  <c r="Y413" i="1"/>
  <c r="X413" i="1"/>
  <c r="AF413" i="1"/>
  <c r="AE413" i="1"/>
  <c r="AD413" i="1"/>
  <c r="AB413" i="1"/>
  <c r="AD439" i="1"/>
  <c r="AC439" i="1"/>
  <c r="AB439" i="1"/>
  <c r="AA439" i="1"/>
  <c r="Z439" i="1"/>
  <c r="AF439" i="1"/>
  <c r="AE439" i="1"/>
  <c r="Y439" i="1"/>
  <c r="X439" i="1"/>
  <c r="X448" i="1"/>
  <c r="AF448" i="1"/>
  <c r="AE448" i="1"/>
  <c r="AD448" i="1"/>
  <c r="AC448" i="1"/>
  <c r="AB448" i="1"/>
  <c r="AA448" i="1"/>
  <c r="Z448" i="1"/>
  <c r="Y448" i="1"/>
  <c r="Z455" i="1"/>
  <c r="Y455" i="1"/>
  <c r="X455" i="1"/>
  <c r="AF455" i="1"/>
  <c r="AE455" i="1"/>
  <c r="AD455" i="1"/>
  <c r="AC455" i="1"/>
  <c r="AA455" i="1"/>
  <c r="AB455" i="1"/>
  <c r="AD463" i="1"/>
  <c r="AC463" i="1"/>
  <c r="AB463" i="1"/>
  <c r="AA463" i="1"/>
  <c r="Z463" i="1"/>
  <c r="Y463" i="1"/>
  <c r="X463" i="1"/>
  <c r="AF463" i="1"/>
  <c r="AE463" i="1"/>
  <c r="Z473" i="1"/>
  <c r="Y473" i="1"/>
  <c r="X473" i="1"/>
  <c r="AF473" i="1"/>
  <c r="AE473" i="1"/>
  <c r="AD473" i="1"/>
  <c r="AC473" i="1"/>
  <c r="AB473" i="1"/>
  <c r="AA473" i="1"/>
  <c r="AB502" i="1"/>
  <c r="Z502" i="1"/>
  <c r="Y502" i="1"/>
  <c r="X502" i="1"/>
  <c r="AF502" i="1"/>
  <c r="AE502" i="1"/>
  <c r="AD502" i="1"/>
  <c r="AC502" i="1"/>
  <c r="AA502" i="1"/>
  <c r="AF505" i="1"/>
  <c r="AE505" i="1"/>
  <c r="AD505" i="1"/>
  <c r="AC505" i="1"/>
  <c r="AB505" i="1"/>
  <c r="AA505" i="1"/>
  <c r="Y505" i="1"/>
  <c r="X505" i="1"/>
  <c r="Z505" i="1"/>
  <c r="AF517" i="1"/>
  <c r="AE517" i="1"/>
  <c r="AD517" i="1"/>
  <c r="AA517" i="1"/>
  <c r="X517" i="1"/>
  <c r="AC517" i="1"/>
  <c r="AB517" i="1"/>
  <c r="Z517" i="1"/>
  <c r="Y517" i="1"/>
  <c r="AF546" i="1"/>
  <c r="AE546" i="1"/>
  <c r="AD546" i="1"/>
  <c r="AC546" i="1"/>
  <c r="AB546" i="1"/>
  <c r="Z546" i="1"/>
  <c r="Y546" i="1"/>
  <c r="AA546" i="1"/>
  <c r="X546" i="1"/>
  <c r="X256" i="1"/>
  <c r="AF256" i="1"/>
  <c r="AD256" i="1"/>
  <c r="AC256" i="1"/>
  <c r="AE256" i="1"/>
  <c r="AB256" i="1"/>
  <c r="AA256" i="1"/>
  <c r="Z256" i="1"/>
  <c r="Y256" i="1"/>
  <c r="AE390" i="1"/>
  <c r="AC390" i="1"/>
  <c r="AB390" i="1"/>
  <c r="AA390" i="1"/>
  <c r="Z390" i="1"/>
  <c r="Y390" i="1"/>
  <c r="X390" i="1"/>
  <c r="AF390" i="1"/>
  <c r="AD390" i="1"/>
  <c r="AA394" i="1"/>
  <c r="Y394" i="1"/>
  <c r="X394" i="1"/>
  <c r="AF394" i="1"/>
  <c r="AE394" i="1"/>
  <c r="AD394" i="1"/>
  <c r="AC394" i="1"/>
  <c r="AB394" i="1"/>
  <c r="Z394" i="1"/>
  <c r="AE402" i="1"/>
  <c r="AC402" i="1"/>
  <c r="AB402" i="1"/>
  <c r="AA402" i="1"/>
  <c r="Z402" i="1"/>
  <c r="Y402" i="1"/>
  <c r="X402" i="1"/>
  <c r="AF402" i="1"/>
  <c r="AD402" i="1"/>
  <c r="AC345" i="1"/>
  <c r="AB345" i="1"/>
  <c r="AA345" i="1"/>
  <c r="Z345" i="1"/>
  <c r="Y345" i="1"/>
  <c r="X345" i="1"/>
  <c r="AF345" i="1"/>
  <c r="AE345" i="1"/>
  <c r="AD345" i="1"/>
  <c r="AE368" i="1"/>
  <c r="AC368" i="1"/>
  <c r="AB368" i="1"/>
  <c r="Z368" i="1"/>
  <c r="Y368" i="1"/>
  <c r="X368" i="1"/>
  <c r="AF368" i="1"/>
  <c r="AD368" i="1"/>
  <c r="AA368" i="1"/>
  <c r="AB456" i="1"/>
  <c r="AA456" i="1"/>
  <c r="Z456" i="1"/>
  <c r="Y456" i="1"/>
  <c r="X456" i="1"/>
  <c r="AF456" i="1"/>
  <c r="AE456" i="1"/>
  <c r="AD456" i="1"/>
  <c r="AC456" i="1"/>
  <c r="AF470" i="1"/>
  <c r="AE470" i="1"/>
  <c r="AD470" i="1"/>
  <c r="AC470" i="1"/>
  <c r="AB470" i="1"/>
  <c r="AA470" i="1"/>
  <c r="Z470" i="1"/>
  <c r="Y470" i="1"/>
  <c r="X470" i="1"/>
  <c r="AD481" i="1"/>
  <c r="AC481" i="1"/>
  <c r="AB481" i="1"/>
  <c r="AA481" i="1"/>
  <c r="Z481" i="1"/>
  <c r="Y481" i="1"/>
  <c r="X481" i="1"/>
  <c r="AF481" i="1"/>
  <c r="AE481" i="1"/>
  <c r="AB498" i="1"/>
  <c r="AA498" i="1"/>
  <c r="Z498" i="1"/>
  <c r="Y498" i="1"/>
  <c r="X498" i="1"/>
  <c r="AF498" i="1"/>
  <c r="AE498" i="1"/>
  <c r="AC498" i="1"/>
  <c r="AD498" i="1"/>
  <c r="AF261" i="1"/>
  <c r="AE261" i="1"/>
  <c r="AD261" i="1"/>
  <c r="AB261" i="1"/>
  <c r="AA261" i="1"/>
  <c r="X261" i="1"/>
  <c r="AC261" i="1"/>
  <c r="Z261" i="1"/>
  <c r="Y261" i="1"/>
  <c r="Y387" i="1"/>
  <c r="AF387" i="1"/>
  <c r="AE387" i="1"/>
  <c r="AD387" i="1"/>
  <c r="Z387" i="1"/>
  <c r="X387" i="1"/>
  <c r="AC387" i="1"/>
  <c r="AB387" i="1"/>
  <c r="AA387" i="1"/>
  <c r="AA406" i="1"/>
  <c r="Y406" i="1"/>
  <c r="X406" i="1"/>
  <c r="AF406" i="1"/>
  <c r="AE406" i="1"/>
  <c r="AD406" i="1"/>
  <c r="AC406" i="1"/>
  <c r="AB406" i="1"/>
  <c r="Z406" i="1"/>
  <c r="AD427" i="1"/>
  <c r="AE427" i="1"/>
  <c r="AB427" i="1"/>
  <c r="AA427" i="1"/>
  <c r="Z427" i="1"/>
  <c r="Y427" i="1"/>
  <c r="X427" i="1"/>
  <c r="AF427" i="1"/>
  <c r="AC427" i="1"/>
  <c r="AE379" i="1"/>
  <c r="AD379" i="1"/>
  <c r="AC379" i="1"/>
  <c r="AB379" i="1"/>
  <c r="AA379" i="1"/>
  <c r="Z379" i="1"/>
  <c r="AF379" i="1"/>
  <c r="Y379" i="1"/>
  <c r="X379" i="1"/>
  <c r="AB438" i="1"/>
  <c r="AA438" i="1"/>
  <c r="Z438" i="1"/>
  <c r="Y438" i="1"/>
  <c r="X438" i="1"/>
  <c r="AF438" i="1"/>
  <c r="AE438" i="1"/>
  <c r="AD438" i="1"/>
  <c r="AC438" i="1"/>
  <c r="Z467" i="1"/>
  <c r="Y467" i="1"/>
  <c r="X467" i="1"/>
  <c r="AF467" i="1"/>
  <c r="AE467" i="1"/>
  <c r="AD467" i="1"/>
  <c r="AC467" i="1"/>
  <c r="AB467" i="1"/>
  <c r="AA467" i="1"/>
  <c r="AB480" i="1"/>
  <c r="AA480" i="1"/>
  <c r="Z480" i="1"/>
  <c r="Y480" i="1"/>
  <c r="X480" i="1"/>
  <c r="AF480" i="1"/>
  <c r="AE480" i="1"/>
  <c r="AD480" i="1"/>
  <c r="AC480" i="1"/>
  <c r="Z501" i="1"/>
  <c r="AF501" i="1"/>
  <c r="AE501" i="1"/>
  <c r="AD501" i="1"/>
  <c r="AC501" i="1"/>
  <c r="AB501" i="1"/>
  <c r="AA501" i="1"/>
  <c r="Y501" i="1"/>
  <c r="X501" i="1"/>
  <c r="AD521" i="1"/>
  <c r="AC521" i="1"/>
  <c r="AB521" i="1"/>
  <c r="AA521" i="1"/>
  <c r="Z521" i="1"/>
  <c r="AF521" i="1"/>
  <c r="AE521" i="1"/>
  <c r="Y521" i="1"/>
  <c r="X521" i="1"/>
  <c r="AF529" i="1"/>
  <c r="AE529" i="1"/>
  <c r="AD529" i="1"/>
  <c r="AB529" i="1"/>
  <c r="AA529" i="1"/>
  <c r="AC529" i="1"/>
  <c r="Z529" i="1"/>
  <c r="Y529" i="1"/>
  <c r="X529" i="1"/>
  <c r="Z531" i="1"/>
  <c r="Y531" i="1"/>
  <c r="X531" i="1"/>
  <c r="AF531" i="1"/>
  <c r="AE531" i="1"/>
  <c r="AD531" i="1"/>
  <c r="AC531" i="1"/>
  <c r="AB531" i="1"/>
  <c r="AA531" i="1"/>
  <c r="X548" i="1"/>
  <c r="AF548" i="1"/>
  <c r="AD548" i="1"/>
  <c r="AC548" i="1"/>
  <c r="AB548" i="1"/>
  <c r="AA548" i="1"/>
  <c r="AE548" i="1"/>
  <c r="Z548" i="1"/>
  <c r="Y548" i="1"/>
  <c r="AA388" i="1"/>
  <c r="Y388" i="1"/>
  <c r="X388" i="1"/>
  <c r="AF388" i="1"/>
  <c r="AE388" i="1"/>
  <c r="AD388" i="1"/>
  <c r="AC388" i="1"/>
  <c r="AB388" i="1"/>
  <c r="Z388" i="1"/>
  <c r="Y411" i="1"/>
  <c r="AF411" i="1"/>
  <c r="AE411" i="1"/>
  <c r="AD411" i="1"/>
  <c r="AC411" i="1"/>
  <c r="AB411" i="1"/>
  <c r="AA411" i="1"/>
  <c r="Z411" i="1"/>
  <c r="X411" i="1"/>
  <c r="AF428" i="1"/>
  <c r="AE428" i="1"/>
  <c r="AD428" i="1"/>
  <c r="AC428" i="1"/>
  <c r="AB428" i="1"/>
  <c r="AA428" i="1"/>
  <c r="Z428" i="1"/>
  <c r="Y428" i="1"/>
  <c r="X428" i="1"/>
  <c r="AE423" i="1"/>
  <c r="AC423" i="1"/>
  <c r="AB423" i="1"/>
  <c r="AA423" i="1"/>
  <c r="Z423" i="1"/>
  <c r="Y423" i="1"/>
  <c r="X423" i="1"/>
  <c r="AF423" i="1"/>
  <c r="AD423" i="1"/>
  <c r="AF440" i="1"/>
  <c r="AE440" i="1"/>
  <c r="AD440" i="1"/>
  <c r="AC440" i="1"/>
  <c r="AB440" i="1"/>
  <c r="Y440" i="1"/>
  <c r="X440" i="1"/>
  <c r="AA440" i="1"/>
  <c r="Z440" i="1"/>
  <c r="AF447" i="1"/>
  <c r="AE447" i="1"/>
  <c r="AD447" i="1"/>
  <c r="AC447" i="1"/>
  <c r="AB447" i="1"/>
  <c r="AA447" i="1"/>
  <c r="Z447" i="1"/>
  <c r="X447" i="1"/>
  <c r="Y447" i="1"/>
  <c r="AF459" i="1"/>
  <c r="AE459" i="1"/>
  <c r="AD459" i="1"/>
  <c r="AC459" i="1"/>
  <c r="AB459" i="1"/>
  <c r="AA459" i="1"/>
  <c r="Z459" i="1"/>
  <c r="Y459" i="1"/>
  <c r="X459" i="1"/>
  <c r="AF482" i="1"/>
  <c r="AE482" i="1"/>
  <c r="AD482" i="1"/>
  <c r="AC482" i="1"/>
  <c r="AB482" i="1"/>
  <c r="AA482" i="1"/>
  <c r="Z482" i="1"/>
  <c r="Y482" i="1"/>
  <c r="X482" i="1"/>
  <c r="AD499" i="1"/>
  <c r="AC499" i="1"/>
  <c r="AB499" i="1"/>
  <c r="AA499" i="1"/>
  <c r="Z499" i="1"/>
  <c r="Y499" i="1"/>
  <c r="X499" i="1"/>
  <c r="AF499" i="1"/>
  <c r="AE499" i="1"/>
  <c r="AF522" i="1"/>
  <c r="AE522" i="1"/>
  <c r="AD522" i="1"/>
  <c r="AC522" i="1"/>
  <c r="AB522" i="1"/>
  <c r="Y522" i="1"/>
  <c r="AA522" i="1"/>
  <c r="Z522" i="1"/>
  <c r="X522" i="1"/>
  <c r="AC279" i="1"/>
  <c r="AD279" i="1"/>
  <c r="AB279" i="1"/>
  <c r="AA279" i="1"/>
  <c r="Z279" i="1"/>
  <c r="Y279" i="1"/>
  <c r="X279" i="1"/>
  <c r="AE279" i="1"/>
  <c r="AF279" i="1"/>
  <c r="AC395" i="1"/>
  <c r="AA395" i="1"/>
  <c r="Z395" i="1"/>
  <c r="Y395" i="1"/>
  <c r="X395" i="1"/>
  <c r="AE395" i="1"/>
  <c r="AD395" i="1"/>
  <c r="AB395" i="1"/>
  <c r="AF395" i="1"/>
  <c r="AF392" i="1"/>
  <c r="AE392" i="1"/>
  <c r="AD392" i="1"/>
  <c r="AC392" i="1"/>
  <c r="AB392" i="1"/>
  <c r="AA392" i="1"/>
  <c r="Z392" i="1"/>
  <c r="Y392" i="1"/>
  <c r="X392" i="1"/>
  <c r="Y405" i="1"/>
  <c r="AF405" i="1"/>
  <c r="AE405" i="1"/>
  <c r="AD405" i="1"/>
  <c r="AC405" i="1"/>
  <c r="AB405" i="1"/>
  <c r="AA405" i="1"/>
  <c r="Z405" i="1"/>
  <c r="X405" i="1"/>
  <c r="AA400" i="1"/>
  <c r="Y400" i="1"/>
  <c r="X400" i="1"/>
  <c r="AF400" i="1"/>
  <c r="AE400" i="1"/>
  <c r="AD400" i="1"/>
  <c r="AC400" i="1"/>
  <c r="AB400" i="1"/>
  <c r="Z400" i="1"/>
  <c r="Z437" i="1"/>
  <c r="Y437" i="1"/>
  <c r="X437" i="1"/>
  <c r="AE437" i="1"/>
  <c r="AD437" i="1"/>
  <c r="AB437" i="1"/>
  <c r="AA437" i="1"/>
  <c r="AF437" i="1"/>
  <c r="AC437" i="1"/>
  <c r="AB450" i="1"/>
  <c r="AA450" i="1"/>
  <c r="Z450" i="1"/>
  <c r="Y450" i="1"/>
  <c r="X450" i="1"/>
  <c r="AF450" i="1"/>
  <c r="AE450" i="1"/>
  <c r="AC450" i="1"/>
  <c r="AD450" i="1"/>
  <c r="AB486" i="1"/>
  <c r="AA486" i="1"/>
  <c r="Z486" i="1"/>
  <c r="Y486" i="1"/>
  <c r="X486" i="1"/>
  <c r="AF486" i="1"/>
  <c r="AE486" i="1"/>
  <c r="AD486" i="1"/>
  <c r="AC486" i="1"/>
  <c r="AF494" i="1"/>
  <c r="AE494" i="1"/>
  <c r="AD494" i="1"/>
  <c r="AC494" i="1"/>
  <c r="AB494" i="1"/>
  <c r="AA494" i="1"/>
  <c r="Z494" i="1"/>
  <c r="Y494" i="1"/>
  <c r="X494" i="1"/>
  <c r="AD509" i="1"/>
  <c r="Z509" i="1"/>
  <c r="AF509" i="1"/>
  <c r="AE509" i="1"/>
  <c r="AC509" i="1"/>
  <c r="AB509" i="1"/>
  <c r="AA509" i="1"/>
  <c r="X509" i="1"/>
  <c r="Y509" i="1"/>
  <c r="AF534" i="1"/>
  <c r="AE534" i="1"/>
  <c r="AD534" i="1"/>
  <c r="AC534" i="1"/>
  <c r="AB534" i="1"/>
  <c r="Z534" i="1"/>
  <c r="Y534" i="1"/>
  <c r="AA534" i="1"/>
  <c r="X534" i="1"/>
  <c r="Z479" i="1"/>
  <c r="Y479" i="1"/>
  <c r="X479" i="1"/>
  <c r="AF479" i="1"/>
  <c r="AE479" i="1"/>
  <c r="AD479" i="1"/>
  <c r="AC479" i="1"/>
  <c r="AA479" i="1"/>
  <c r="AB479" i="1"/>
  <c r="AF547" i="1"/>
  <c r="AE547" i="1"/>
  <c r="AD547" i="1"/>
  <c r="AB547" i="1"/>
  <c r="AA547" i="1"/>
  <c r="Y547" i="1"/>
  <c r="X547" i="1"/>
  <c r="Z547" i="1"/>
  <c r="AC547" i="1"/>
  <c r="Y369" i="1"/>
  <c r="AE369" i="1"/>
  <c r="AD369" i="1"/>
  <c r="AF369" i="1"/>
  <c r="AC369" i="1"/>
  <c r="AB369" i="1"/>
  <c r="AA369" i="1"/>
  <c r="Z369" i="1"/>
  <c r="X369" i="1"/>
  <c r="AF446" i="1"/>
  <c r="AE446" i="1"/>
  <c r="AD446" i="1"/>
  <c r="AC446" i="1"/>
  <c r="AB446" i="1"/>
  <c r="AA446" i="1"/>
  <c r="Z446" i="1"/>
  <c r="Y446" i="1"/>
  <c r="X446" i="1"/>
  <c r="AF458" i="1"/>
  <c r="AE458" i="1"/>
  <c r="AD458" i="1"/>
  <c r="AC458" i="1"/>
  <c r="AB458" i="1"/>
  <c r="AA458" i="1"/>
  <c r="Z458" i="1"/>
  <c r="Y458" i="1"/>
  <c r="X458" i="1"/>
  <c r="X478" i="1"/>
  <c r="AF478" i="1"/>
  <c r="AE478" i="1"/>
  <c r="AD478" i="1"/>
  <c r="AC478" i="1"/>
  <c r="AB478" i="1"/>
  <c r="AA478" i="1"/>
  <c r="Z478" i="1"/>
  <c r="Y478" i="1"/>
  <c r="AF488" i="1"/>
  <c r="AE488" i="1"/>
  <c r="AD488" i="1"/>
  <c r="AC488" i="1"/>
  <c r="AB488" i="1"/>
  <c r="AA488" i="1"/>
  <c r="Z488" i="1"/>
  <c r="Y488" i="1"/>
  <c r="X488" i="1"/>
  <c r="C142" i="18"/>
  <c r="F142" i="18" s="1"/>
  <c r="P140" i="18"/>
  <c r="C29" i="7"/>
  <c r="F29" i="7" s="1"/>
  <c r="BC2" i="8"/>
  <c r="P30" i="7"/>
  <c r="R38" i="1"/>
  <c r="U38" i="1" s="1"/>
  <c r="R328" i="1"/>
  <c r="U328" i="1" s="1"/>
  <c r="R119" i="1"/>
  <c r="U119" i="1" s="1"/>
  <c r="R114" i="1"/>
  <c r="U114" i="1" s="1"/>
  <c r="R271" i="1"/>
  <c r="U271" i="1" s="1"/>
  <c r="R169" i="1"/>
  <c r="U169" i="1" s="1"/>
  <c r="R217" i="1"/>
  <c r="U217" i="1" s="1"/>
  <c r="R221" i="1"/>
  <c r="U221" i="1" s="1"/>
  <c r="R234" i="1"/>
  <c r="U234" i="1" s="1"/>
  <c r="R191" i="1"/>
  <c r="U191" i="1" s="1"/>
  <c r="R265" i="1"/>
  <c r="U265" i="1" s="1"/>
  <c r="R145" i="1"/>
  <c r="U145" i="1" s="1"/>
  <c r="R258" i="1"/>
  <c r="U258" i="1" s="1"/>
  <c r="R142" i="1"/>
  <c r="U142" i="1" s="1"/>
  <c r="R296" i="1"/>
  <c r="U296" i="1" s="1"/>
  <c r="R282" i="1"/>
  <c r="U282" i="1" s="1"/>
  <c r="R229" i="1"/>
  <c r="U229" i="1" s="1"/>
  <c r="R237" i="1"/>
  <c r="U237" i="1" s="1"/>
  <c r="R210" i="1"/>
  <c r="U210" i="1" s="1"/>
  <c r="R222" i="1"/>
  <c r="U222" i="1" s="1"/>
  <c r="R245" i="1"/>
  <c r="U245" i="1" s="1"/>
  <c r="R238" i="1"/>
  <c r="U238" i="1" s="1"/>
  <c r="R315" i="1"/>
  <c r="U315" i="1" s="1"/>
  <c r="R138" i="1"/>
  <c r="U138" i="1" s="1"/>
  <c r="R246" i="1"/>
  <c r="U246" i="1" s="1"/>
  <c r="R257" i="1"/>
  <c r="U257" i="1" s="1"/>
  <c r="R283" i="1"/>
  <c r="U283" i="1" s="1"/>
  <c r="R320" i="1"/>
  <c r="U320" i="1" s="1"/>
  <c r="R189" i="1"/>
  <c r="U189" i="1" s="1"/>
  <c r="R313" i="1"/>
  <c r="U313" i="1" s="1"/>
  <c r="R281" i="1"/>
  <c r="U281" i="1" s="1"/>
  <c r="R240" i="1"/>
  <c r="U240" i="1" s="1"/>
  <c r="R206" i="1"/>
  <c r="U206" i="1" s="1"/>
  <c r="R330" i="1"/>
  <c r="U330" i="1" s="1"/>
  <c r="R204" i="1"/>
  <c r="U204" i="1" s="1"/>
  <c r="R254" i="1"/>
  <c r="U254" i="1" s="1"/>
  <c r="R335" i="1"/>
  <c r="U335" i="1" s="1"/>
  <c r="R171" i="1"/>
  <c r="U171" i="1" s="1"/>
  <c r="R203" i="1"/>
  <c r="U203" i="1" s="1"/>
  <c r="R75" i="1"/>
  <c r="U75" i="1" s="1"/>
  <c r="R61" i="1"/>
  <c r="U61" i="1" s="1"/>
  <c r="R55" i="1"/>
  <c r="U55" i="1" s="1"/>
  <c r="R47" i="1"/>
  <c r="U47" i="1" s="1"/>
  <c r="R40" i="1"/>
  <c r="U40" i="1" s="1"/>
  <c r="R207" i="1"/>
  <c r="U207" i="1" s="1"/>
  <c r="R211" i="1"/>
  <c r="U211" i="1" s="1"/>
  <c r="R223" i="1"/>
  <c r="U223" i="1" s="1"/>
  <c r="R227" i="1"/>
  <c r="U227" i="1" s="1"/>
  <c r="R331" i="1"/>
  <c r="U331" i="1" s="1"/>
  <c r="R133" i="1"/>
  <c r="U133" i="1" s="1"/>
  <c r="R212" i="1"/>
  <c r="U212" i="1" s="1"/>
  <c r="R216" i="1"/>
  <c r="U216" i="1" s="1"/>
  <c r="R197" i="1"/>
  <c r="U197" i="1" s="1"/>
  <c r="R166" i="1"/>
  <c r="U166" i="1" s="1"/>
  <c r="R215" i="1"/>
  <c r="U215" i="1" s="1"/>
  <c r="R89" i="1"/>
  <c r="U89" i="1" s="1"/>
  <c r="R136" i="1"/>
  <c r="U136" i="1" s="1"/>
  <c r="R146" i="1"/>
  <c r="U146" i="1" s="1"/>
  <c r="R196" i="1"/>
  <c r="U196" i="1" s="1"/>
  <c r="R262" i="1"/>
  <c r="U262" i="1" s="1"/>
  <c r="R306" i="1"/>
  <c r="U306" i="1" s="1"/>
  <c r="R337" i="1"/>
  <c r="U337" i="1" s="1"/>
  <c r="R140" i="1"/>
  <c r="U140" i="1" s="1"/>
  <c r="R193" i="1"/>
  <c r="U193" i="1" s="1"/>
  <c r="R214" i="1"/>
  <c r="U214" i="1" s="1"/>
  <c r="R241" i="1"/>
  <c r="U241" i="1" s="1"/>
  <c r="R273" i="1"/>
  <c r="U273" i="1" s="1"/>
  <c r="R317" i="1"/>
  <c r="U317" i="1" s="1"/>
  <c r="R324" i="1"/>
  <c r="R154" i="1"/>
  <c r="U154" i="1" s="1"/>
  <c r="R225" i="1"/>
  <c r="U225" i="1" s="1"/>
  <c r="R249" i="1"/>
  <c r="U249" i="1" s="1"/>
  <c r="R252" i="1"/>
  <c r="U252" i="1" s="1"/>
  <c r="R266" i="1"/>
  <c r="U266" i="1" s="1"/>
  <c r="R280" i="1"/>
  <c r="U280" i="1" s="1"/>
  <c r="R300" i="1"/>
  <c r="U300" i="1" s="1"/>
  <c r="R310" i="1"/>
  <c r="U310" i="1" s="1"/>
  <c r="R314" i="1"/>
  <c r="U314" i="1" s="1"/>
  <c r="R111" i="1"/>
  <c r="U111" i="1" s="1"/>
  <c r="R141" i="1"/>
  <c r="U141" i="1" s="1"/>
  <c r="R147" i="1"/>
  <c r="U147" i="1" s="1"/>
  <c r="R186" i="1"/>
  <c r="U186" i="1" s="1"/>
  <c r="R201" i="1"/>
  <c r="U201" i="1" s="1"/>
  <c r="R218" i="1"/>
  <c r="U218" i="1" s="1"/>
  <c r="R228" i="1"/>
  <c r="U228" i="1" s="1"/>
  <c r="R235" i="1"/>
  <c r="U235" i="1" s="1"/>
  <c r="R277" i="1"/>
  <c r="U277" i="1" s="1"/>
  <c r="R321" i="1"/>
  <c r="U321" i="1" s="1"/>
  <c r="R208" i="1"/>
  <c r="U208" i="1" s="1"/>
  <c r="R242" i="1"/>
  <c r="U242" i="1" s="1"/>
  <c r="R318" i="1"/>
  <c r="U318" i="1" s="1"/>
  <c r="R194" i="1"/>
  <c r="U194" i="1" s="1"/>
  <c r="R165" i="1"/>
  <c r="U165" i="1" s="1"/>
  <c r="R168" i="1"/>
  <c r="U168" i="1" s="1"/>
  <c r="R205" i="1"/>
  <c r="U205" i="1" s="1"/>
  <c r="R232" i="1"/>
  <c r="U232" i="1" s="1"/>
  <c r="R239" i="1"/>
  <c r="U239" i="1" s="1"/>
  <c r="R253" i="1"/>
  <c r="U253" i="1" s="1"/>
  <c r="R260" i="1"/>
  <c r="U260" i="1" s="1"/>
  <c r="R284" i="1"/>
  <c r="U284" i="1" s="1"/>
  <c r="R286" i="1"/>
  <c r="U286" i="1" s="1"/>
  <c r="R311" i="1"/>
  <c r="U311" i="1" s="1"/>
  <c r="R329" i="1"/>
  <c r="U329" i="1" s="1"/>
  <c r="R336" i="1"/>
  <c r="U336" i="1" s="1"/>
  <c r="R230" i="1"/>
  <c r="U230" i="1" s="1"/>
  <c r="R226" i="1"/>
  <c r="U226" i="1" s="1"/>
  <c r="R250" i="1"/>
  <c r="U250" i="1" s="1"/>
  <c r="R295" i="1"/>
  <c r="U295" i="1" s="1"/>
  <c r="R325" i="1"/>
  <c r="R251" i="1"/>
  <c r="U251" i="1" s="1"/>
  <c r="R112" i="1"/>
  <c r="U112" i="1" s="1"/>
  <c r="R202" i="1"/>
  <c r="U202" i="1" s="1"/>
  <c r="R219" i="1"/>
  <c r="U219" i="1" s="1"/>
  <c r="R236" i="1"/>
  <c r="U236" i="1" s="1"/>
  <c r="R312" i="1"/>
  <c r="U312" i="1" s="1"/>
  <c r="R322" i="1"/>
  <c r="U322" i="1" s="1"/>
  <c r="R220" i="1"/>
  <c r="U220" i="1" s="1"/>
  <c r="R48" i="1"/>
  <c r="U48" i="1" s="1"/>
  <c r="R41" i="1"/>
  <c r="U41" i="1" s="1"/>
  <c r="R213" i="1"/>
  <c r="U213" i="1" s="1"/>
  <c r="R233" i="1"/>
  <c r="U233" i="1" s="1"/>
  <c r="R247" i="1"/>
  <c r="U247" i="1" s="1"/>
  <c r="R316" i="1"/>
  <c r="U316" i="1" s="1"/>
  <c r="R319" i="1"/>
  <c r="U319" i="1" s="1"/>
  <c r="R333" i="1"/>
  <c r="U333" i="1" s="1"/>
  <c r="R163" i="1"/>
  <c r="U163" i="1" s="1"/>
  <c r="R244" i="1"/>
  <c r="U244" i="1" s="1"/>
  <c r="R170" i="1"/>
  <c r="U170" i="1" s="1"/>
  <c r="R248" i="1"/>
  <c r="U248" i="1" s="1"/>
  <c r="R299" i="1"/>
  <c r="U299" i="1" s="1"/>
  <c r="R334" i="1"/>
  <c r="U334" i="1" s="1"/>
  <c r="R323" i="1"/>
  <c r="R255" i="1"/>
  <c r="U255" i="1" s="1"/>
  <c r="R338" i="1"/>
  <c r="R272" i="1"/>
  <c r="U272" i="1" s="1"/>
  <c r="R113" i="1"/>
  <c r="U113" i="1" s="1"/>
  <c r="R279" i="1"/>
  <c r="U279" i="1" s="1"/>
  <c r="R327" i="1"/>
  <c r="U327" i="1" s="1"/>
  <c r="R190" i="1"/>
  <c r="U190" i="1" s="1"/>
  <c r="R231" i="1"/>
  <c r="U231" i="1" s="1"/>
  <c r="R192" i="1"/>
  <c r="U192" i="1" s="1"/>
  <c r="R256" i="1"/>
  <c r="U256" i="1" s="1"/>
  <c r="R339" i="1"/>
  <c r="R139" i="1"/>
  <c r="U139" i="1" s="1"/>
  <c r="R185" i="1"/>
  <c r="U185" i="1" s="1"/>
  <c r="R187" i="1"/>
  <c r="U187" i="1" s="1"/>
  <c r="R115" i="1"/>
  <c r="U115" i="1" s="1"/>
  <c r="R151" i="1"/>
  <c r="U151" i="1" s="1"/>
  <c r="R267" i="1"/>
  <c r="U267" i="1" s="1"/>
  <c r="R188" i="1"/>
  <c r="U188" i="1" s="1"/>
  <c r="R209" i="1"/>
  <c r="U209" i="1" s="1"/>
  <c r="R243" i="1"/>
  <c r="U243" i="1" s="1"/>
  <c r="R57" i="1"/>
  <c r="U57" i="1" s="1"/>
  <c r="R49" i="1"/>
  <c r="U49" i="1" s="1"/>
  <c r="R42" i="1"/>
  <c r="U42" i="1" s="1"/>
  <c r="R36" i="1"/>
  <c r="U36" i="1" s="1"/>
  <c r="R17" i="1"/>
  <c r="U17" i="1" s="1"/>
  <c r="R72" i="1"/>
  <c r="U72" i="1" s="1"/>
  <c r="R58" i="1"/>
  <c r="U58" i="1" s="1"/>
  <c r="R50" i="1"/>
  <c r="U50" i="1" s="1"/>
  <c r="R43" i="1"/>
  <c r="U43" i="1" s="1"/>
  <c r="R37" i="1"/>
  <c r="U37" i="1" s="1"/>
  <c r="R73" i="1"/>
  <c r="U73" i="1" s="1"/>
  <c r="R59" i="1"/>
  <c r="U59" i="1" s="1"/>
  <c r="R51" i="1"/>
  <c r="U51" i="1" s="1"/>
  <c r="R44" i="1"/>
  <c r="U44" i="1" s="1"/>
  <c r="R60" i="1"/>
  <c r="U60" i="1" s="1"/>
  <c r="R52" i="1"/>
  <c r="U52" i="1" s="1"/>
  <c r="R46" i="1"/>
  <c r="U46" i="1" s="1"/>
  <c r="R39" i="1"/>
  <c r="U39" i="1" s="1"/>
  <c r="P7" i="1"/>
  <c r="I6" i="21" l="1"/>
  <c r="K7" i="21"/>
  <c r="M8" i="21"/>
  <c r="O9" i="21"/>
  <c r="Q10" i="21"/>
  <c r="I12" i="21"/>
  <c r="K13" i="21"/>
  <c r="M14" i="21"/>
  <c r="O15" i="21"/>
  <c r="Q16" i="21"/>
  <c r="I18" i="21"/>
  <c r="K19" i="21"/>
  <c r="M20" i="21"/>
  <c r="O21" i="21"/>
  <c r="H26" i="21"/>
  <c r="J27" i="21"/>
  <c r="L28" i="21"/>
  <c r="N29" i="21"/>
  <c r="P30" i="21"/>
  <c r="H32" i="21"/>
  <c r="J33" i="21"/>
  <c r="L34" i="21"/>
  <c r="N35" i="21"/>
  <c r="P36" i="21"/>
  <c r="H38" i="21"/>
  <c r="J39" i="21"/>
  <c r="L40" i="21"/>
  <c r="N41" i="21"/>
  <c r="P42" i="21"/>
  <c r="H44" i="21"/>
  <c r="J45" i="21"/>
  <c r="L46" i="21"/>
  <c r="N47" i="21"/>
  <c r="P48" i="21"/>
  <c r="H50" i="21"/>
  <c r="I54" i="21"/>
  <c r="K55" i="21"/>
  <c r="M56" i="21"/>
  <c r="O57" i="21"/>
  <c r="Q58" i="21"/>
  <c r="I60" i="21"/>
  <c r="K61" i="21"/>
  <c r="M62" i="21"/>
  <c r="O63" i="21"/>
  <c r="Q64" i="21"/>
  <c r="I66" i="21"/>
  <c r="K67" i="21"/>
  <c r="M68" i="21"/>
  <c r="O69" i="21"/>
  <c r="J14" i="21"/>
  <c r="M35" i="21"/>
  <c r="P64" i="21"/>
  <c r="H5" i="21"/>
  <c r="J6" i="21"/>
  <c r="L7" i="21"/>
  <c r="N8" i="21"/>
  <c r="P9" i="21"/>
  <c r="J12" i="21"/>
  <c r="L13" i="21"/>
  <c r="N14" i="21"/>
  <c r="P15" i="21"/>
  <c r="H17" i="21"/>
  <c r="J18" i="21"/>
  <c r="L19" i="21"/>
  <c r="N20" i="21"/>
  <c r="P21" i="21"/>
  <c r="H23" i="21"/>
  <c r="I26" i="21"/>
  <c r="K27" i="21"/>
  <c r="M28" i="21"/>
  <c r="O29" i="21"/>
  <c r="Q30" i="21"/>
  <c r="I32" i="21"/>
  <c r="K33" i="21"/>
  <c r="M34" i="21"/>
  <c r="O35" i="21"/>
  <c r="I38" i="21"/>
  <c r="K39" i="21"/>
  <c r="M40" i="21"/>
  <c r="O41" i="21"/>
  <c r="Q42" i="21"/>
  <c r="I44" i="21"/>
  <c r="K45" i="21"/>
  <c r="M46" i="21"/>
  <c r="O47" i="21"/>
  <c r="I50" i="21"/>
  <c r="H52" i="21"/>
  <c r="J54" i="21"/>
  <c r="L55" i="21"/>
  <c r="N56" i="21"/>
  <c r="P57" i="21"/>
  <c r="H59" i="21"/>
  <c r="J60" i="21"/>
  <c r="L61" i="21"/>
  <c r="N62" i="21"/>
  <c r="P63" i="21"/>
  <c r="H65" i="21"/>
  <c r="J66" i="21"/>
  <c r="L67" i="21"/>
  <c r="N68" i="21"/>
  <c r="P69" i="21"/>
  <c r="L59" i="21"/>
  <c r="J64" i="21"/>
  <c r="H69" i="21"/>
  <c r="J20" i="21"/>
  <c r="I28" i="21"/>
  <c r="Q38" i="21"/>
  <c r="K47" i="21"/>
  <c r="P59" i="21"/>
  <c r="L20" i="21"/>
  <c r="K34" i="21"/>
  <c r="I45" i="21"/>
  <c r="L62" i="21"/>
  <c r="I5" i="21"/>
  <c r="K6" i="21"/>
  <c r="M7" i="21"/>
  <c r="O8" i="21"/>
  <c r="Q9" i="21"/>
  <c r="K12" i="21"/>
  <c r="M13" i="21"/>
  <c r="O14" i="21"/>
  <c r="I17" i="21"/>
  <c r="K18" i="21"/>
  <c r="M19" i="21"/>
  <c r="O20" i="21"/>
  <c r="I23" i="21"/>
  <c r="H25" i="21"/>
  <c r="J26" i="21"/>
  <c r="L27" i="21"/>
  <c r="N28" i="21"/>
  <c r="P29" i="21"/>
  <c r="H31" i="21"/>
  <c r="J32" i="21"/>
  <c r="L33" i="21"/>
  <c r="N34" i="21"/>
  <c r="P35" i="21"/>
  <c r="H37" i="21"/>
  <c r="J38" i="21"/>
  <c r="L39" i="21"/>
  <c r="N40" i="21"/>
  <c r="P41" i="21"/>
  <c r="H43" i="21"/>
  <c r="J44" i="21"/>
  <c r="L45" i="21"/>
  <c r="N46" i="21"/>
  <c r="P47" i="21"/>
  <c r="J50" i="21"/>
  <c r="I52" i="21"/>
  <c r="K54" i="21"/>
  <c r="M55" i="21"/>
  <c r="O56" i="21"/>
  <c r="Q57" i="21"/>
  <c r="I59" i="21"/>
  <c r="K60" i="21"/>
  <c r="M61" i="21"/>
  <c r="O62" i="21"/>
  <c r="I65" i="21"/>
  <c r="K66" i="21"/>
  <c r="M67" i="21"/>
  <c r="O68" i="21"/>
  <c r="Q69" i="21"/>
  <c r="H63" i="21"/>
  <c r="P67" i="21"/>
  <c r="M30" i="21"/>
  <c r="M42" i="21"/>
  <c r="H61" i="21"/>
  <c r="J68" i="21"/>
  <c r="P16" i="21"/>
  <c r="K28" i="21"/>
  <c r="M41" i="21"/>
  <c r="L56" i="21"/>
  <c r="L68" i="21"/>
  <c r="H4" i="21"/>
  <c r="J5" i="21"/>
  <c r="L6" i="21"/>
  <c r="N7" i="21"/>
  <c r="P8" i="21"/>
  <c r="H10" i="21"/>
  <c r="L12" i="21"/>
  <c r="N13" i="21"/>
  <c r="P14" i="21"/>
  <c r="H16" i="21"/>
  <c r="J17" i="21"/>
  <c r="L18" i="21"/>
  <c r="N19" i="21"/>
  <c r="P20" i="21"/>
  <c r="H22" i="21"/>
  <c r="J23" i="21"/>
  <c r="I25" i="21"/>
  <c r="K26" i="21"/>
  <c r="M27" i="21"/>
  <c r="O28" i="21"/>
  <c r="Q29" i="21"/>
  <c r="I31" i="21"/>
  <c r="K32" i="21"/>
  <c r="M33" i="21"/>
  <c r="O34" i="21"/>
  <c r="I37" i="21"/>
  <c r="K38" i="21"/>
  <c r="M39" i="21"/>
  <c r="O40" i="21"/>
  <c r="I43" i="21"/>
  <c r="K44" i="21"/>
  <c r="M45" i="21"/>
  <c r="O46" i="21"/>
  <c r="Q47" i="21"/>
  <c r="K50" i="21"/>
  <c r="J52" i="21"/>
  <c r="L54" i="21"/>
  <c r="N55" i="21"/>
  <c r="P56" i="21"/>
  <c r="H58" i="21"/>
  <c r="J59" i="21"/>
  <c r="L60" i="21"/>
  <c r="N61" i="21"/>
  <c r="P62" i="21"/>
  <c r="H64" i="21"/>
  <c r="J65" i="21"/>
  <c r="L66" i="21"/>
  <c r="N67" i="21"/>
  <c r="P68" i="21"/>
  <c r="N60" i="21"/>
  <c r="N66" i="21"/>
  <c r="L15" i="21"/>
  <c r="P23" i="21"/>
  <c r="I40" i="21"/>
  <c r="M48" i="21"/>
  <c r="J62" i="21"/>
  <c r="P22" i="21"/>
  <c r="J55" i="21"/>
  <c r="J67" i="21"/>
  <c r="I4" i="21"/>
  <c r="K5" i="21"/>
  <c r="M6" i="21"/>
  <c r="O7" i="21"/>
  <c r="Q8" i="21"/>
  <c r="I10" i="21"/>
  <c r="M12" i="21"/>
  <c r="O13" i="21"/>
  <c r="Q14" i="21"/>
  <c r="I16" i="21"/>
  <c r="K17" i="21"/>
  <c r="M18" i="21"/>
  <c r="O19" i="21"/>
  <c r="I22" i="21"/>
  <c r="K23" i="21"/>
  <c r="J25" i="21"/>
  <c r="L26" i="21"/>
  <c r="N27" i="21"/>
  <c r="P28" i="21"/>
  <c r="H30" i="21"/>
  <c r="J31" i="21"/>
  <c r="L32" i="21"/>
  <c r="N33" i="21"/>
  <c r="P34" i="21"/>
  <c r="H36" i="21"/>
  <c r="J37" i="21"/>
  <c r="L38" i="21"/>
  <c r="N39" i="21"/>
  <c r="P40" i="21"/>
  <c r="H42" i="21"/>
  <c r="J43" i="21"/>
  <c r="L44" i="21"/>
  <c r="N45" i="21"/>
  <c r="P46" i="21"/>
  <c r="H48" i="21"/>
  <c r="L50" i="21"/>
  <c r="K52" i="21"/>
  <c r="M54" i="21"/>
  <c r="O55" i="21"/>
  <c r="Q56" i="21"/>
  <c r="I58" i="21"/>
  <c r="K59" i="21"/>
  <c r="M60" i="21"/>
  <c r="O61" i="21"/>
  <c r="Q62" i="21"/>
  <c r="I64" i="21"/>
  <c r="K65" i="21"/>
  <c r="M66" i="21"/>
  <c r="O67" i="21"/>
  <c r="Q68" i="21"/>
  <c r="P61" i="21"/>
  <c r="L65" i="21"/>
  <c r="L21" i="21"/>
  <c r="I34" i="21"/>
  <c r="K41" i="21"/>
  <c r="L57" i="21"/>
  <c r="P65" i="21"/>
  <c r="N15" i="21"/>
  <c r="M29" i="21"/>
  <c r="K40" i="21"/>
  <c r="N57" i="21"/>
  <c r="H66" i="21"/>
  <c r="J4" i="21"/>
  <c r="L5" i="21"/>
  <c r="N6" i="21"/>
  <c r="P7" i="21"/>
  <c r="H9" i="21"/>
  <c r="J10" i="21"/>
  <c r="N12" i="21"/>
  <c r="P13" i="21"/>
  <c r="H15" i="21"/>
  <c r="J16" i="21"/>
  <c r="L17" i="21"/>
  <c r="N18" i="21"/>
  <c r="P19" i="21"/>
  <c r="H21" i="21"/>
  <c r="J22" i="21"/>
  <c r="L23" i="21"/>
  <c r="K25" i="21"/>
  <c r="M26" i="21"/>
  <c r="O27" i="21"/>
  <c r="Q28" i="21"/>
  <c r="I30" i="21"/>
  <c r="K31" i="21"/>
  <c r="M32" i="21"/>
  <c r="O33" i="21"/>
  <c r="Q34" i="21"/>
  <c r="I36" i="21"/>
  <c r="K37" i="21"/>
  <c r="M38" i="21"/>
  <c r="O39" i="21"/>
  <c r="Q40" i="21"/>
  <c r="I42" i="21"/>
  <c r="K43" i="21"/>
  <c r="M44" i="21"/>
  <c r="O45" i="21"/>
  <c r="Q46" i="21"/>
  <c r="I48" i="21"/>
  <c r="M50" i="21"/>
  <c r="L52" i="21"/>
  <c r="N54" i="21"/>
  <c r="P55" i="21"/>
  <c r="H57" i="21"/>
  <c r="J58" i="21"/>
  <c r="N22" i="21"/>
  <c r="K35" i="21"/>
  <c r="H55" i="21"/>
  <c r="L63" i="21"/>
  <c r="J19" i="21"/>
  <c r="Q31" i="21"/>
  <c r="H60" i="21"/>
  <c r="K4" i="21"/>
  <c r="M5" i="21"/>
  <c r="O6" i="21"/>
  <c r="I9" i="21"/>
  <c r="K10" i="21"/>
  <c r="O12" i="21"/>
  <c r="Q13" i="21"/>
  <c r="I15" i="21"/>
  <c r="K16" i="21"/>
  <c r="M17" i="21"/>
  <c r="O18" i="21"/>
  <c r="Q19" i="21"/>
  <c r="I21" i="21"/>
  <c r="K22" i="21"/>
  <c r="M23" i="21"/>
  <c r="L25" i="21"/>
  <c r="N26" i="21"/>
  <c r="P27" i="21"/>
  <c r="H29" i="21"/>
  <c r="J30" i="21"/>
  <c r="L31" i="21"/>
  <c r="N32" i="21"/>
  <c r="P33" i="21"/>
  <c r="H35" i="21"/>
  <c r="J36" i="21"/>
  <c r="L37" i="21"/>
  <c r="N38" i="21"/>
  <c r="P39" i="21"/>
  <c r="H41" i="21"/>
  <c r="J42" i="21"/>
  <c r="L43" i="21"/>
  <c r="N44" i="21"/>
  <c r="P45" i="21"/>
  <c r="H47" i="21"/>
  <c r="J48" i="21"/>
  <c r="N50" i="21"/>
  <c r="M52" i="21"/>
  <c r="O54" i="21"/>
  <c r="Q55" i="21"/>
  <c r="I57" i="21"/>
  <c r="K58" i="21"/>
  <c r="M59" i="21"/>
  <c r="O60" i="21"/>
  <c r="Q61" i="21"/>
  <c r="I63" i="21"/>
  <c r="K64" i="21"/>
  <c r="M65" i="21"/>
  <c r="O66" i="21"/>
  <c r="Q67" i="21"/>
  <c r="I69" i="21"/>
  <c r="H7" i="21"/>
  <c r="N10" i="21"/>
  <c r="N16" i="21"/>
  <c r="Q26" i="21"/>
  <c r="O31" i="21"/>
  <c r="I46" i="21"/>
  <c r="P52" i="21"/>
  <c r="H67" i="21"/>
  <c r="H18" i="21"/>
  <c r="O36" i="21"/>
  <c r="K46" i="21"/>
  <c r="N63" i="21"/>
  <c r="L4" i="21"/>
  <c r="N5" i="21"/>
  <c r="P6" i="21"/>
  <c r="H8" i="21"/>
  <c r="J9" i="21"/>
  <c r="L10" i="21"/>
  <c r="P12" i="21"/>
  <c r="H14" i="21"/>
  <c r="J15" i="21"/>
  <c r="L16" i="21"/>
  <c r="N17" i="21"/>
  <c r="P18" i="21"/>
  <c r="H20" i="21"/>
  <c r="J21" i="21"/>
  <c r="L22" i="21"/>
  <c r="N23" i="21"/>
  <c r="M25" i="21"/>
  <c r="O26" i="21"/>
  <c r="Q27" i="21"/>
  <c r="I29" i="21"/>
  <c r="K30" i="21"/>
  <c r="M31" i="21"/>
  <c r="O32" i="21"/>
  <c r="Q33" i="21"/>
  <c r="I35" i="21"/>
  <c r="K36" i="21"/>
  <c r="M37" i="21"/>
  <c r="O38" i="21"/>
  <c r="Q39" i="21"/>
  <c r="I41" i="21"/>
  <c r="K42" i="21"/>
  <c r="M43" i="21"/>
  <c r="O44" i="21"/>
  <c r="I47" i="21"/>
  <c r="K48" i="21"/>
  <c r="O50" i="21"/>
  <c r="N52" i="21"/>
  <c r="P54" i="21"/>
  <c r="H56" i="21"/>
  <c r="J57" i="21"/>
  <c r="L58" i="21"/>
  <c r="N59" i="21"/>
  <c r="P60" i="21"/>
  <c r="H62" i="21"/>
  <c r="J63" i="21"/>
  <c r="L64" i="21"/>
  <c r="N65" i="21"/>
  <c r="P66" i="21"/>
  <c r="H68" i="21"/>
  <c r="J69" i="21"/>
  <c r="N4" i="21"/>
  <c r="J8" i="21"/>
  <c r="P17" i="21"/>
  <c r="O25" i="21"/>
  <c r="M36" i="21"/>
  <c r="O43" i="21"/>
  <c r="J56" i="21"/>
  <c r="N64" i="21"/>
  <c r="L14" i="21"/>
  <c r="I27" i="21"/>
  <c r="I39" i="21"/>
  <c r="O48" i="21"/>
  <c r="P58" i="21"/>
  <c r="M4" i="21"/>
  <c r="O5" i="21"/>
  <c r="I8" i="21"/>
  <c r="K9" i="21"/>
  <c r="M10" i="21"/>
  <c r="Q12" i="21"/>
  <c r="I14" i="21"/>
  <c r="K15" i="21"/>
  <c r="M16" i="21"/>
  <c r="O17" i="21"/>
  <c r="Q18" i="21"/>
  <c r="I20" i="21"/>
  <c r="K21" i="21"/>
  <c r="M22" i="21"/>
  <c r="O23" i="21"/>
  <c r="N25" i="21"/>
  <c r="P26" i="21"/>
  <c r="H28" i="21"/>
  <c r="J29" i="21"/>
  <c r="L30" i="21"/>
  <c r="N31" i="21"/>
  <c r="P32" i="21"/>
  <c r="H34" i="21"/>
  <c r="J35" i="21"/>
  <c r="L36" i="21"/>
  <c r="N37" i="21"/>
  <c r="P38" i="21"/>
  <c r="H40" i="21"/>
  <c r="J41" i="21"/>
  <c r="L42" i="21"/>
  <c r="N43" i="21"/>
  <c r="P44" i="21"/>
  <c r="H46" i="21"/>
  <c r="J47" i="21"/>
  <c r="L48" i="21"/>
  <c r="P50" i="21"/>
  <c r="O52" i="21"/>
  <c r="Q54" i="21"/>
  <c r="I56" i="21"/>
  <c r="K57" i="21"/>
  <c r="M58" i="21"/>
  <c r="O59" i="21"/>
  <c r="Q60" i="21"/>
  <c r="I62" i="21"/>
  <c r="K63" i="21"/>
  <c r="M64" i="21"/>
  <c r="O65" i="21"/>
  <c r="Q66" i="21"/>
  <c r="I68" i="21"/>
  <c r="K69" i="21"/>
  <c r="P5" i="21"/>
  <c r="L9" i="21"/>
  <c r="H13" i="21"/>
  <c r="H19" i="21"/>
  <c r="K29" i="21"/>
  <c r="O37" i="21"/>
  <c r="N58" i="21"/>
  <c r="L69" i="21"/>
  <c r="Q25" i="21"/>
  <c r="I33" i="21"/>
  <c r="M47" i="21"/>
  <c r="J61" i="21"/>
  <c r="O4" i="21"/>
  <c r="Q5" i="21"/>
  <c r="I7" i="21"/>
  <c r="K8" i="21"/>
  <c r="M9" i="21"/>
  <c r="O10" i="21"/>
  <c r="I13" i="21"/>
  <c r="K14" i="21"/>
  <c r="M15" i="21"/>
  <c r="O16" i="21"/>
  <c r="I19" i="21"/>
  <c r="K20" i="21"/>
  <c r="M21" i="21"/>
  <c r="O22" i="21"/>
  <c r="P25" i="21"/>
  <c r="H27" i="21"/>
  <c r="J28" i="21"/>
  <c r="L29" i="21"/>
  <c r="N30" i="21"/>
  <c r="P31" i="21"/>
  <c r="H33" i="21"/>
  <c r="J34" i="21"/>
  <c r="L35" i="21"/>
  <c r="N36" i="21"/>
  <c r="P37" i="21"/>
  <c r="H39" i="21"/>
  <c r="J40" i="21"/>
  <c r="L41" i="21"/>
  <c r="N42" i="21"/>
  <c r="P43" i="21"/>
  <c r="H45" i="21"/>
  <c r="J46" i="21"/>
  <c r="L47" i="21"/>
  <c r="N48" i="21"/>
  <c r="I55" i="21"/>
  <c r="K56" i="21"/>
  <c r="M57" i="21"/>
  <c r="O58" i="21"/>
  <c r="Q59" i="21"/>
  <c r="I61" i="21"/>
  <c r="K62" i="21"/>
  <c r="M63" i="21"/>
  <c r="O64" i="21"/>
  <c r="Q65" i="21"/>
  <c r="I67" i="21"/>
  <c r="K68" i="21"/>
  <c r="M69" i="21"/>
  <c r="P4" i="21"/>
  <c r="H6" i="21"/>
  <c r="J7" i="21"/>
  <c r="L8" i="21"/>
  <c r="N9" i="21"/>
  <c r="P10" i="21"/>
  <c r="H12" i="21"/>
  <c r="J13" i="21"/>
  <c r="N21" i="21"/>
  <c r="O30" i="21"/>
  <c r="O42" i="21"/>
  <c r="H54" i="21"/>
  <c r="N69" i="21"/>
  <c r="L19" i="10"/>
  <c r="U323" i="1"/>
  <c r="U325" i="1"/>
  <c r="U338" i="1"/>
  <c r="U339" i="1"/>
  <c r="U324" i="1"/>
  <c r="R200" i="1"/>
  <c r="U200" i="1" s="1"/>
  <c r="AU34" i="10"/>
  <c r="AU52" i="10"/>
  <c r="AU64" i="10"/>
  <c r="AU35" i="10"/>
  <c r="AU35" i="8"/>
  <c r="AU40" i="8"/>
  <c r="AU39" i="8"/>
  <c r="AU55" i="8"/>
  <c r="AU56" i="10"/>
  <c r="AU44" i="10"/>
  <c r="AU63" i="10"/>
  <c r="AU62" i="8"/>
  <c r="AU29" i="8"/>
  <c r="AU27" i="10"/>
  <c r="AU32" i="8"/>
  <c r="AU57" i="8"/>
  <c r="AU57" i="10"/>
  <c r="AU38" i="10"/>
  <c r="AU36" i="8"/>
  <c r="AU58" i="12"/>
  <c r="AU59" i="10"/>
  <c r="AU60" i="8"/>
  <c r="AU63" i="8"/>
  <c r="AU26" i="8"/>
  <c r="AU43" i="10"/>
  <c r="AU29" i="10"/>
  <c r="AU30" i="10"/>
  <c r="AU25" i="8"/>
  <c r="AU54" i="8"/>
  <c r="AU64" i="8"/>
  <c r="AU43" i="8"/>
  <c r="AU37" i="8"/>
  <c r="AU58" i="15"/>
  <c r="AU31" i="10"/>
  <c r="AU39" i="10"/>
  <c r="AU32" i="10"/>
  <c r="AU40" i="10"/>
  <c r="AU41" i="10"/>
  <c r="AU56" i="8"/>
  <c r="AU31" i="8"/>
  <c r="AU38" i="8"/>
  <c r="AU34" i="8"/>
  <c r="AU41" i="8"/>
  <c r="AU28" i="8"/>
  <c r="AU58" i="13"/>
  <c r="AU58" i="14"/>
  <c r="AU58" i="8"/>
  <c r="AU26" i="10"/>
  <c r="AU45" i="8"/>
  <c r="AU59" i="8"/>
  <c r="AU42" i="8"/>
  <c r="AU27" i="8"/>
  <c r="AU60" i="10"/>
  <c r="AU25" i="10"/>
  <c r="AU28" i="10"/>
  <c r="AU53" i="10"/>
  <c r="AU61" i="8"/>
  <c r="AU33" i="8"/>
  <c r="AU58" i="19"/>
  <c r="AU58" i="10"/>
  <c r="AU58" i="11"/>
  <c r="AU42" i="10"/>
  <c r="AU61" i="10"/>
  <c r="AU45" i="10"/>
  <c r="AU52" i="8"/>
  <c r="AU55" i="10"/>
  <c r="AU37" i="10"/>
  <c r="AU54" i="10"/>
  <c r="AU62" i="10"/>
  <c r="AU44" i="8"/>
  <c r="AU58" i="16"/>
  <c r="AU33" i="10"/>
  <c r="AU36" i="10"/>
  <c r="AU53" i="8"/>
  <c r="AU30" i="8"/>
  <c r="R198" i="1"/>
  <c r="U198" i="1" s="1"/>
  <c r="AG58" i="12"/>
  <c r="AG61" i="10"/>
  <c r="AG42" i="10"/>
  <c r="AG45" i="10"/>
  <c r="AG56" i="8"/>
  <c r="AG27" i="8"/>
  <c r="AG58" i="16"/>
  <c r="AG29" i="10"/>
  <c r="AG40" i="10"/>
  <c r="AG44" i="10"/>
  <c r="AG55" i="10"/>
  <c r="AG31" i="10"/>
  <c r="AG27" i="10"/>
  <c r="AG64" i="8"/>
  <c r="AG52" i="8"/>
  <c r="AG63" i="8"/>
  <c r="AG58" i="14"/>
  <c r="AG58" i="11"/>
  <c r="AG58" i="13"/>
  <c r="AG56" i="10"/>
  <c r="AG59" i="10"/>
  <c r="AG38" i="10"/>
  <c r="AG62" i="8"/>
  <c r="AG36" i="8"/>
  <c r="AG58" i="15"/>
  <c r="AG60" i="10"/>
  <c r="AG26" i="10"/>
  <c r="AG54" i="8"/>
  <c r="AG29" i="8"/>
  <c r="AG28" i="8"/>
  <c r="AG58" i="10"/>
  <c r="AG34" i="10"/>
  <c r="AG36" i="10"/>
  <c r="AG40" i="8"/>
  <c r="AG52" i="10"/>
  <c r="AG41" i="8"/>
  <c r="AG60" i="8"/>
  <c r="AG42" i="8"/>
  <c r="AG43" i="10"/>
  <c r="AG39" i="10"/>
  <c r="AG30" i="8"/>
  <c r="AG57" i="8"/>
  <c r="AG26" i="8"/>
  <c r="AG58" i="19"/>
  <c r="AG53" i="10"/>
  <c r="AG57" i="10"/>
  <c r="AG62" i="10"/>
  <c r="AG28" i="10"/>
  <c r="AG45" i="8"/>
  <c r="AG55" i="8"/>
  <c r="AG35" i="8"/>
  <c r="AG38" i="8"/>
  <c r="AG39" i="8"/>
  <c r="AG31" i="8"/>
  <c r="AG58" i="8"/>
  <c r="AG30" i="10"/>
  <c r="AG37" i="10"/>
  <c r="AG43" i="8"/>
  <c r="AG53" i="8"/>
  <c r="AG44" i="8"/>
  <c r="AG25" i="8"/>
  <c r="AG54" i="10"/>
  <c r="AG25" i="10"/>
  <c r="AG33" i="10"/>
  <c r="AG34" i="8"/>
  <c r="AG37" i="8"/>
  <c r="AG64" i="10"/>
  <c r="AG35" i="10"/>
  <c r="AG63" i="10"/>
  <c r="AG59" i="8"/>
  <c r="AG32" i="8"/>
  <c r="AG41" i="10"/>
  <c r="AG32" i="10"/>
  <c r="AG61" i="8"/>
  <c r="AG33" i="8"/>
  <c r="R199" i="1"/>
  <c r="U199" i="1" s="1"/>
  <c r="AT31" i="10"/>
  <c r="AT26" i="10"/>
  <c r="AT39" i="10"/>
  <c r="AT59" i="8"/>
  <c r="AT27" i="8"/>
  <c r="AT60" i="8"/>
  <c r="AT35" i="10"/>
  <c r="AT52" i="10"/>
  <c r="AT57" i="10"/>
  <c r="AT44" i="8"/>
  <c r="AT29" i="8"/>
  <c r="AT62" i="8"/>
  <c r="AT38" i="10"/>
  <c r="AT32" i="10"/>
  <c r="AT59" i="10"/>
  <c r="AT29" i="10"/>
  <c r="AT64" i="10"/>
  <c r="AT64" i="8"/>
  <c r="AT37" i="8"/>
  <c r="AT63" i="8"/>
  <c r="AT25" i="8"/>
  <c r="AT43" i="8"/>
  <c r="AT53" i="10"/>
  <c r="AT41" i="10"/>
  <c r="AT42" i="8"/>
  <c r="AT30" i="8"/>
  <c r="AT40" i="8"/>
  <c r="AT28" i="8"/>
  <c r="AT41" i="8"/>
  <c r="AT32" i="8"/>
  <c r="AT42" i="10"/>
  <c r="AT55" i="8"/>
  <c r="AT31" i="8"/>
  <c r="AT53" i="8"/>
  <c r="AT33" i="8"/>
  <c r="AT58" i="12"/>
  <c r="AT58" i="14"/>
  <c r="AT58" i="13"/>
  <c r="AT58" i="19"/>
  <c r="AT56" i="10"/>
  <c r="AT44" i="10"/>
  <c r="AT52" i="8"/>
  <c r="AT39" i="8"/>
  <c r="AT58" i="16"/>
  <c r="AT58" i="10"/>
  <c r="AT40" i="10"/>
  <c r="AT34" i="10"/>
  <c r="AT54" i="8"/>
  <c r="AT30" i="10"/>
  <c r="AT28" i="10"/>
  <c r="AT62" i="10"/>
  <c r="AT34" i="8"/>
  <c r="AT58" i="15"/>
  <c r="AT54" i="10"/>
  <c r="AT56" i="8"/>
  <c r="AT57" i="8"/>
  <c r="AT58" i="8"/>
  <c r="AT55" i="10"/>
  <c r="AT36" i="10"/>
  <c r="AT61" i="8"/>
  <c r="AT45" i="8"/>
  <c r="AT58" i="11"/>
  <c r="AT63" i="10"/>
  <c r="AT25" i="10"/>
  <c r="AT61" i="10"/>
  <c r="AT26" i="8"/>
  <c r="AT38" i="8"/>
  <c r="AT37" i="10"/>
  <c r="AT60" i="10"/>
  <c r="AT33" i="10"/>
  <c r="AT43" i="10"/>
  <c r="AT45" i="10"/>
  <c r="AT27" i="10"/>
  <c r="AT35" i="8"/>
  <c r="AT36" i="8"/>
  <c r="R224" i="1"/>
  <c r="L58" i="13"/>
  <c r="L58" i="19"/>
  <c r="L25" i="8"/>
  <c r="L26" i="8"/>
  <c r="L31" i="8"/>
  <c r="L40" i="8"/>
  <c r="L25" i="10"/>
  <c r="L52" i="10"/>
  <c r="L32" i="10"/>
  <c r="L60" i="10"/>
  <c r="L58" i="11"/>
  <c r="L38" i="8"/>
  <c r="L33" i="10"/>
  <c r="L59" i="8"/>
  <c r="L29" i="10"/>
  <c r="L38" i="10"/>
  <c r="L58" i="10"/>
  <c r="L61" i="8"/>
  <c r="L40" i="10"/>
  <c r="L34" i="8"/>
  <c r="L61" i="10"/>
  <c r="L54" i="8"/>
  <c r="L60" i="8"/>
  <c r="L45" i="8"/>
  <c r="L57" i="8"/>
  <c r="L34" i="10"/>
  <c r="L55" i="8"/>
  <c r="L52" i="8"/>
  <c r="L41" i="8"/>
  <c r="L36" i="10"/>
  <c r="L56" i="8"/>
  <c r="L58" i="15"/>
  <c r="L58" i="14"/>
  <c r="L35" i="8"/>
  <c r="L32" i="8"/>
  <c r="L42" i="8"/>
  <c r="L45" i="10"/>
  <c r="L35" i="10"/>
  <c r="L63" i="8"/>
  <c r="L58" i="16"/>
  <c r="L43" i="10"/>
  <c r="L37" i="10"/>
  <c r="L39" i="10"/>
  <c r="L33" i="8"/>
  <c r="L53" i="8"/>
  <c r="L44" i="8"/>
  <c r="L55" i="10"/>
  <c r="L44" i="10"/>
  <c r="L41" i="10"/>
  <c r="L53" i="10"/>
  <c r="L36" i="8"/>
  <c r="L64" i="8"/>
  <c r="L26" i="10"/>
  <c r="L27" i="10"/>
  <c r="L37" i="8"/>
  <c r="L64" i="10"/>
  <c r="L42" i="10"/>
  <c r="L30" i="10"/>
  <c r="L31" i="10"/>
  <c r="L57" i="10"/>
  <c r="L58" i="12"/>
  <c r="L30" i="8"/>
  <c r="L28" i="8"/>
  <c r="L39" i="8"/>
  <c r="L62" i="10"/>
  <c r="L28" i="10"/>
  <c r="L62" i="8"/>
  <c r="L27" i="8"/>
  <c r="L56" i="10"/>
  <c r="L59" i="10"/>
  <c r="L63" i="10"/>
  <c r="L43" i="8"/>
  <c r="L29" i="8"/>
  <c r="L54" i="10"/>
  <c r="R167" i="1"/>
  <c r="U167" i="1" s="1"/>
  <c r="AV48" i="10"/>
  <c r="AV47" i="10"/>
  <c r="AV48" i="8"/>
  <c r="AV51" i="10"/>
  <c r="AV21" i="10"/>
  <c r="AV19" i="8"/>
  <c r="AV51" i="8"/>
  <c r="AV50" i="10"/>
  <c r="AV46" i="8"/>
  <c r="AV20" i="10"/>
  <c r="AV47" i="8"/>
  <c r="AV20" i="8"/>
  <c r="AV46" i="10"/>
  <c r="AV21" i="8"/>
  <c r="AV50" i="8"/>
  <c r="AV19" i="10"/>
  <c r="BG4" i="16"/>
  <c r="R164" i="1"/>
  <c r="U164" i="1" s="1"/>
  <c r="R149" i="1"/>
  <c r="U149" i="1" s="1"/>
  <c r="R144" i="1"/>
  <c r="U144" i="1" s="1"/>
  <c r="BB51" i="8"/>
  <c r="R143" i="1"/>
  <c r="U143" i="1" s="1"/>
  <c r="BF19" i="10"/>
  <c r="BF51" i="10"/>
  <c r="BF50" i="10"/>
  <c r="BF48" i="10"/>
  <c r="BF47" i="10"/>
  <c r="BF46" i="10"/>
  <c r="BF20" i="10"/>
  <c r="BF21" i="10"/>
  <c r="R148" i="1"/>
  <c r="U148" i="1" s="1"/>
  <c r="R118" i="1"/>
  <c r="U118" i="1" s="1"/>
  <c r="BF23" i="10"/>
  <c r="BF6" i="10"/>
  <c r="BF14" i="10"/>
  <c r="BF7" i="10"/>
  <c r="BF10" i="10"/>
  <c r="BF11" i="10"/>
  <c r="BF8" i="10"/>
  <c r="BF22" i="10"/>
  <c r="BF5" i="10"/>
  <c r="BF18" i="10"/>
  <c r="BF16" i="10"/>
  <c r="BF24" i="10"/>
  <c r="BF13" i="10"/>
  <c r="BF4" i="10"/>
  <c r="BF15" i="10"/>
  <c r="BF17" i="10"/>
  <c r="BF12" i="10"/>
  <c r="BG48" i="10"/>
  <c r="BG50" i="10"/>
  <c r="BG19" i="10"/>
  <c r="BG21" i="10"/>
  <c r="BG51" i="10"/>
  <c r="BG46" i="10"/>
  <c r="BG20" i="10"/>
  <c r="BG47" i="10"/>
  <c r="BK20" i="10"/>
  <c r="BK46" i="10"/>
  <c r="BK47" i="10"/>
  <c r="BK51" i="10"/>
  <c r="BK21" i="10"/>
  <c r="BK48" i="10"/>
  <c r="BK50" i="10"/>
  <c r="BK19" i="10"/>
  <c r="R162" i="1"/>
  <c r="U162" i="1" s="1"/>
  <c r="AH21" i="10"/>
  <c r="AH47" i="10"/>
  <c r="AH20" i="10"/>
  <c r="AH46" i="10"/>
  <c r="AH51" i="10"/>
  <c r="AH21" i="8"/>
  <c r="AH50" i="10"/>
  <c r="AH19" i="8"/>
  <c r="AH48" i="8"/>
  <c r="AH19" i="10"/>
  <c r="AH46" i="8"/>
  <c r="AH20" i="8"/>
  <c r="AH50" i="8"/>
  <c r="AH48" i="10"/>
  <c r="AH51" i="8"/>
  <c r="AH47" i="8"/>
  <c r="R195" i="1"/>
  <c r="U195" i="1" s="1"/>
  <c r="M6" i="8"/>
  <c r="M6" i="19"/>
  <c r="M17" i="12"/>
  <c r="M16" i="14"/>
  <c r="M8" i="15"/>
  <c r="M17" i="16"/>
  <c r="M15" i="13"/>
  <c r="M18" i="15"/>
  <c r="M9" i="15"/>
  <c r="M11" i="16"/>
  <c r="M11" i="10"/>
  <c r="M8" i="10"/>
  <c r="M17" i="10"/>
  <c r="M12" i="8"/>
  <c r="M8" i="8"/>
  <c r="M4" i="8"/>
  <c r="M11" i="19"/>
  <c r="M15" i="19"/>
  <c r="M10" i="11"/>
  <c r="M12" i="16"/>
  <c r="M5" i="14"/>
  <c r="M23" i="12"/>
  <c r="M13" i="16"/>
  <c r="M23" i="15"/>
  <c r="M22" i="15"/>
  <c r="M18" i="13"/>
  <c r="M14" i="12"/>
  <c r="M6" i="16"/>
  <c r="M16" i="16"/>
  <c r="M22" i="16"/>
  <c r="M6" i="15"/>
  <c r="M12" i="13"/>
  <c r="M13" i="10"/>
  <c r="M18" i="19"/>
  <c r="M4" i="19"/>
  <c r="M7" i="19"/>
  <c r="M5" i="12"/>
  <c r="M23" i="14"/>
  <c r="M6" i="13"/>
  <c r="M16" i="12"/>
  <c r="M4" i="16"/>
  <c r="M22" i="12"/>
  <c r="M16" i="11"/>
  <c r="M15" i="11"/>
  <c r="M9" i="14"/>
  <c r="M4" i="15"/>
  <c r="M5" i="13"/>
  <c r="M10" i="15"/>
  <c r="M17" i="15"/>
  <c r="M4" i="13"/>
  <c r="M14" i="15"/>
  <c r="M23" i="8"/>
  <c r="M22" i="8"/>
  <c r="M18" i="8"/>
  <c r="M12" i="19"/>
  <c r="M8" i="16"/>
  <c r="M15" i="15"/>
  <c r="M11" i="11"/>
  <c r="M7" i="13"/>
  <c r="M7" i="15"/>
  <c r="M16" i="15"/>
  <c r="M14" i="16"/>
  <c r="M6" i="11"/>
  <c r="M6" i="14"/>
  <c r="M7" i="14"/>
  <c r="M8" i="11"/>
  <c r="M24" i="8"/>
  <c r="M11" i="8"/>
  <c r="M15" i="8"/>
  <c r="M16" i="19"/>
  <c r="M14" i="19"/>
  <c r="M12" i="14"/>
  <c r="M17" i="11"/>
  <c r="M16" i="13"/>
  <c r="M24" i="11"/>
  <c r="M13" i="12"/>
  <c r="M18" i="16"/>
  <c r="M13" i="15"/>
  <c r="M8" i="13"/>
  <c r="M17" i="14"/>
  <c r="M15" i="14"/>
  <c r="M10" i="14"/>
  <c r="M12" i="15"/>
  <c r="M15" i="16"/>
  <c r="M24" i="14"/>
  <c r="M8" i="14"/>
  <c r="M11" i="14"/>
  <c r="M23" i="19"/>
  <c r="M6" i="10"/>
  <c r="M10" i="19"/>
  <c r="M13" i="13"/>
  <c r="M24" i="10"/>
  <c r="M9" i="10"/>
  <c r="M22" i="10"/>
  <c r="M16" i="8"/>
  <c r="M5" i="8"/>
  <c r="M24" i="19"/>
  <c r="M8" i="19"/>
  <c r="M15" i="12"/>
  <c r="M23" i="13"/>
  <c r="M14" i="11"/>
  <c r="M7" i="12"/>
  <c r="M14" i="14"/>
  <c r="M11" i="15"/>
  <c r="M18" i="10"/>
  <c r="M7" i="8"/>
  <c r="M12" i="12"/>
  <c r="M23" i="11"/>
  <c r="M5" i="11"/>
  <c r="M18" i="12"/>
  <c r="M5" i="15"/>
  <c r="M14" i="13"/>
  <c r="M18" i="11"/>
  <c r="M7" i="16"/>
  <c r="M10" i="13"/>
  <c r="M24" i="15"/>
  <c r="M13" i="11"/>
  <c r="M13" i="14"/>
  <c r="M23" i="16"/>
  <c r="M22" i="11"/>
  <c r="M22" i="13"/>
  <c r="M10" i="12"/>
  <c r="M23" i="10"/>
  <c r="M12" i="10"/>
  <c r="M14" i="8"/>
  <c r="M5" i="19"/>
  <c r="M24" i="13"/>
  <c r="M11" i="13"/>
  <c r="M10" i="16"/>
  <c r="M24" i="16"/>
  <c r="M12" i="11"/>
  <c r="M5" i="10"/>
  <c r="M16" i="10"/>
  <c r="M13" i="8"/>
  <c r="M17" i="8"/>
  <c r="M13" i="19"/>
  <c r="M22" i="19"/>
  <c r="M7" i="11"/>
  <c r="M4" i="14"/>
  <c r="M5" i="16"/>
  <c r="M4" i="11"/>
  <c r="M17" i="13"/>
  <c r="M24" i="12"/>
  <c r="M4" i="12"/>
  <c r="M6" i="12"/>
  <c r="M11" i="12"/>
  <c r="M22" i="14"/>
  <c r="M10" i="10"/>
  <c r="M15" i="10"/>
  <c r="M4" i="10"/>
  <c r="M17" i="19"/>
  <c r="M8" i="12"/>
  <c r="M18" i="14"/>
  <c r="M7" i="10"/>
  <c r="M10" i="8"/>
  <c r="AM48" i="10"/>
  <c r="AM51" i="8"/>
  <c r="AM20" i="8"/>
  <c r="AM19" i="8"/>
  <c r="AM21" i="10"/>
  <c r="AM48" i="8"/>
  <c r="AM50" i="10"/>
  <c r="AM47" i="10"/>
  <c r="AM47" i="8"/>
  <c r="AM46" i="10"/>
  <c r="AM46" i="8"/>
  <c r="AM19" i="10"/>
  <c r="AM50" i="8"/>
  <c r="AM51" i="10"/>
  <c r="AM20" i="10"/>
  <c r="AM21" i="8"/>
  <c r="R152" i="1"/>
  <c r="AN50" i="10"/>
  <c r="AN19" i="10"/>
  <c r="AN47" i="8"/>
  <c r="AN21" i="8"/>
  <c r="AN48" i="10"/>
  <c r="AN47" i="10"/>
  <c r="AN46" i="10"/>
  <c r="AN46" i="8"/>
  <c r="AN50" i="8"/>
  <c r="AN21" i="10"/>
  <c r="AN51" i="10"/>
  <c r="AN51" i="8"/>
  <c r="AN48" i="8"/>
  <c r="AN19" i="8"/>
  <c r="AN20" i="8"/>
  <c r="AN20" i="10"/>
  <c r="R153" i="1"/>
  <c r="U153" i="1" s="1"/>
  <c r="AP50" i="8"/>
  <c r="AP21" i="8"/>
  <c r="AP20" i="10"/>
  <c r="AP47" i="8"/>
  <c r="AP20" i="8"/>
  <c r="AP19" i="10"/>
  <c r="AP19" i="8"/>
  <c r="AP48" i="8"/>
  <c r="AP21" i="10"/>
  <c r="AP48" i="10"/>
  <c r="AP51" i="10"/>
  <c r="AP47" i="10"/>
  <c r="AP46" i="8"/>
  <c r="AP51" i="8"/>
  <c r="AP50" i="10"/>
  <c r="AP46" i="10"/>
  <c r="BB46" i="8"/>
  <c r="BB47" i="8"/>
  <c r="BB50" i="10"/>
  <c r="BB47" i="10"/>
  <c r="BB20" i="10"/>
  <c r="BB48" i="10"/>
  <c r="BB21" i="10"/>
  <c r="BB46" i="10"/>
  <c r="BB19" i="10"/>
  <c r="BB51" i="10"/>
  <c r="BB19" i="8"/>
  <c r="BB20" i="8"/>
  <c r="BB48" i="8"/>
  <c r="BB21" i="8"/>
  <c r="BB50" i="8"/>
  <c r="BD19" i="10"/>
  <c r="BD50" i="10"/>
  <c r="BD21" i="10"/>
  <c r="BD48" i="10"/>
  <c r="BD47" i="10"/>
  <c r="BD46" i="10"/>
  <c r="BD20" i="10"/>
  <c r="BD51" i="10"/>
  <c r="U24" i="19"/>
  <c r="U15" i="19"/>
  <c r="U14" i="11"/>
  <c r="U16" i="11"/>
  <c r="U14" i="16"/>
  <c r="U5" i="13"/>
  <c r="U10" i="14"/>
  <c r="U24" i="13"/>
  <c r="U22" i="15"/>
  <c r="U24" i="14"/>
  <c r="U24" i="10"/>
  <c r="U22" i="10"/>
  <c r="U12" i="10"/>
  <c r="U6" i="10"/>
  <c r="U12" i="8"/>
  <c r="U16" i="13"/>
  <c r="U6" i="16"/>
  <c r="U24" i="15"/>
  <c r="U4" i="14"/>
  <c r="U10" i="15"/>
  <c r="U11" i="16"/>
  <c r="U11" i="10"/>
  <c r="U23" i="10"/>
  <c r="U16" i="10"/>
  <c r="U15" i="10"/>
  <c r="U13" i="8"/>
  <c r="U6" i="8"/>
  <c r="U10" i="19"/>
  <c r="U14" i="19"/>
  <c r="U6" i="19"/>
  <c r="U17" i="19"/>
  <c r="U12" i="19"/>
  <c r="U17" i="16"/>
  <c r="U12" i="15"/>
  <c r="U5" i="14"/>
  <c r="U12" i="12"/>
  <c r="U14" i="10"/>
  <c r="U5" i="8"/>
  <c r="U22" i="8"/>
  <c r="U18" i="19"/>
  <c r="U10" i="13"/>
  <c r="U14" i="12"/>
  <c r="U17" i="11"/>
  <c r="U24" i="11"/>
  <c r="U17" i="12"/>
  <c r="U6" i="15"/>
  <c r="U22" i="14"/>
  <c r="U18" i="11"/>
  <c r="U18" i="16"/>
  <c r="U10" i="10"/>
  <c r="U17" i="8"/>
  <c r="U15" i="8"/>
  <c r="U7" i="10"/>
  <c r="U8" i="19"/>
  <c r="U23" i="19"/>
  <c r="U6" i="11"/>
  <c r="U23" i="13"/>
  <c r="U4" i="13"/>
  <c r="U15" i="15"/>
  <c r="U5" i="15"/>
  <c r="U8" i="13"/>
  <c r="U7" i="12"/>
  <c r="U10" i="12"/>
  <c r="U15" i="14"/>
  <c r="U5" i="10"/>
  <c r="U4" i="8"/>
  <c r="U16" i="8"/>
  <c r="U11" i="14"/>
  <c r="U13" i="16"/>
  <c r="U17" i="15"/>
  <c r="U13" i="11"/>
  <c r="U16" i="14"/>
  <c r="U12" i="16"/>
  <c r="U7" i="8"/>
  <c r="U13" i="19"/>
  <c r="U7" i="19"/>
  <c r="U5" i="16"/>
  <c r="U4" i="15"/>
  <c r="U13" i="12"/>
  <c r="U7" i="16"/>
  <c r="U16" i="16"/>
  <c r="U18" i="15"/>
  <c r="U11" i="13"/>
  <c r="U17" i="14"/>
  <c r="U7" i="13"/>
  <c r="U15" i="16"/>
  <c r="U6" i="12"/>
  <c r="U17" i="13"/>
  <c r="U4" i="10"/>
  <c r="U14" i="8"/>
  <c r="U4" i="19"/>
  <c r="U9" i="11"/>
  <c r="U15" i="11"/>
  <c r="U4" i="11"/>
  <c r="U12" i="14"/>
  <c r="U15" i="12"/>
  <c r="U8" i="15"/>
  <c r="U12" i="13"/>
  <c r="U23" i="12"/>
  <c r="U10" i="16"/>
  <c r="U8" i="11"/>
  <c r="U23" i="11"/>
  <c r="U24" i="12"/>
  <c r="U9" i="13"/>
  <c r="U13" i="15"/>
  <c r="U16" i="12"/>
  <c r="U8" i="16"/>
  <c r="U22" i="16"/>
  <c r="U13" i="13"/>
  <c r="U17" i="10"/>
  <c r="U18" i="8"/>
  <c r="U10" i="8"/>
  <c r="U5" i="19"/>
  <c r="U22" i="19"/>
  <c r="U11" i="19"/>
  <c r="U12" i="11"/>
  <c r="U22" i="11"/>
  <c r="U11" i="15"/>
  <c r="U23" i="15"/>
  <c r="U9" i="15"/>
  <c r="U7" i="14"/>
  <c r="U18" i="14"/>
  <c r="U11" i="12"/>
  <c r="U22" i="13"/>
  <c r="U4" i="12"/>
  <c r="U9" i="16"/>
  <c r="U9" i="10"/>
  <c r="U8" i="10"/>
  <c r="U8" i="8"/>
  <c r="U23" i="8"/>
  <c r="U5" i="11"/>
  <c r="U7" i="11"/>
  <c r="U6" i="14"/>
  <c r="U8" i="12"/>
  <c r="U18" i="12"/>
  <c r="U23" i="16"/>
  <c r="U4" i="16"/>
  <c r="U24" i="8"/>
  <c r="U16" i="19"/>
  <c r="U14" i="14"/>
  <c r="U8" i="14"/>
  <c r="U15" i="13"/>
  <c r="U7" i="15"/>
  <c r="U13" i="14"/>
  <c r="U6" i="13"/>
  <c r="U14" i="15"/>
  <c r="U5" i="12"/>
  <c r="U9" i="14"/>
  <c r="U22" i="12"/>
  <c r="U23" i="14"/>
  <c r="U13" i="10"/>
  <c r="U18" i="10"/>
  <c r="U11" i="8"/>
  <c r="U9" i="19"/>
  <c r="U10" i="11"/>
  <c r="U11" i="11"/>
  <c r="U16" i="15"/>
  <c r="U14" i="13"/>
  <c r="U18" i="13"/>
  <c r="U24" i="16"/>
  <c r="BE20" i="10"/>
  <c r="BE51" i="10"/>
  <c r="BE50" i="10"/>
  <c r="BE46" i="10"/>
  <c r="BE48" i="10"/>
  <c r="BE47" i="10"/>
  <c r="BE19" i="10"/>
  <c r="BE21" i="10"/>
  <c r="BB10" i="8"/>
  <c r="BB24" i="8"/>
  <c r="R150" i="1"/>
  <c r="U150" i="1" s="1"/>
  <c r="AG21" i="10"/>
  <c r="AG50" i="8"/>
  <c r="AG19" i="8"/>
  <c r="AG21" i="8"/>
  <c r="AG47" i="10"/>
  <c r="AG20" i="10"/>
  <c r="AG46" i="8"/>
  <c r="AG20" i="8"/>
  <c r="AG50" i="10"/>
  <c r="AG46" i="10"/>
  <c r="AG51" i="8"/>
  <c r="AG47" i="8"/>
  <c r="AG48" i="8"/>
  <c r="AG48" i="10"/>
  <c r="AG19" i="10"/>
  <c r="AG51" i="10"/>
  <c r="AJ9" i="10"/>
  <c r="AJ7" i="8"/>
  <c r="AJ22" i="8"/>
  <c r="AJ12" i="8"/>
  <c r="AJ17" i="8"/>
  <c r="AJ6" i="10"/>
  <c r="AJ14" i="8"/>
  <c r="AJ18" i="8"/>
  <c r="AJ11" i="10"/>
  <c r="AJ15" i="8"/>
  <c r="AJ11" i="8"/>
  <c r="AJ23" i="10"/>
  <c r="AJ18" i="10"/>
  <c r="AJ14" i="10"/>
  <c r="AJ24" i="10"/>
  <c r="AJ6" i="8"/>
  <c r="AJ15" i="10"/>
  <c r="AJ5" i="8"/>
  <c r="AJ24" i="8"/>
  <c r="AJ22" i="10"/>
  <c r="AJ17" i="10"/>
  <c r="AJ8" i="10"/>
  <c r="AJ8" i="8"/>
  <c r="AJ16" i="8"/>
  <c r="AJ13" i="10"/>
  <c r="AJ4" i="8"/>
  <c r="AJ23" i="8"/>
  <c r="AJ16" i="10"/>
  <c r="AJ4" i="10"/>
  <c r="AJ5" i="10"/>
  <c r="AJ7" i="10"/>
  <c r="AJ10" i="8"/>
  <c r="AJ13" i="8"/>
  <c r="AJ10" i="10"/>
  <c r="AJ12" i="10"/>
  <c r="AI10" i="10"/>
  <c r="AI17" i="8"/>
  <c r="AI6" i="8"/>
  <c r="AI7" i="10"/>
  <c r="AI11" i="10"/>
  <c r="AI24" i="10"/>
  <c r="AI22" i="8"/>
  <c r="AI12" i="8"/>
  <c r="AI16" i="10"/>
  <c r="AI9" i="10"/>
  <c r="AI22" i="10"/>
  <c r="AI5" i="10"/>
  <c r="AI17" i="10"/>
  <c r="AI4" i="8"/>
  <c r="AI11" i="8"/>
  <c r="AI23" i="10"/>
  <c r="AI15" i="8"/>
  <c r="AI7" i="8"/>
  <c r="AI4" i="10"/>
  <c r="AI15" i="10"/>
  <c r="AI18" i="10"/>
  <c r="AI14" i="10"/>
  <c r="AI8" i="10"/>
  <c r="AI14" i="8"/>
  <c r="AI16" i="8"/>
  <c r="AI12" i="10"/>
  <c r="AI24" i="8"/>
  <c r="AI10" i="8"/>
  <c r="AI6" i="10"/>
  <c r="AI23" i="8"/>
  <c r="AI18" i="8"/>
  <c r="AI13" i="10"/>
  <c r="AI8" i="8"/>
  <c r="AI5" i="8"/>
  <c r="AI13" i="8"/>
  <c r="AW7" i="10"/>
  <c r="AW5" i="10"/>
  <c r="AW14" i="8"/>
  <c r="AW8" i="8"/>
  <c r="AW18" i="10"/>
  <c r="AW12" i="10"/>
  <c r="AW14" i="10"/>
  <c r="AW5" i="8"/>
  <c r="AW4" i="10"/>
  <c r="AW23" i="10"/>
  <c r="AW17" i="10"/>
  <c r="AW24" i="8"/>
  <c r="AW18" i="8"/>
  <c r="AW23" i="8"/>
  <c r="AW10" i="8"/>
  <c r="AW15" i="8"/>
  <c r="AW22" i="8"/>
  <c r="AW17" i="8"/>
  <c r="AW13" i="10"/>
  <c r="AW4" i="8"/>
  <c r="AW16" i="8"/>
  <c r="AW8" i="10"/>
  <c r="AW11" i="8"/>
  <c r="AW6" i="10"/>
  <c r="AW9" i="10"/>
  <c r="AW15" i="10"/>
  <c r="AW7" i="8"/>
  <c r="AW22" i="10"/>
  <c r="AW11" i="10"/>
  <c r="AW10" i="10"/>
  <c r="AW16" i="10"/>
  <c r="AW24" i="10"/>
  <c r="AW6" i="8"/>
  <c r="AW13" i="8"/>
  <c r="AW12" i="8"/>
  <c r="BB14" i="8"/>
  <c r="BB8" i="8"/>
  <c r="BB18" i="8"/>
  <c r="BB15" i="8"/>
  <c r="BB22" i="8"/>
  <c r="AP5" i="10"/>
  <c r="AP8" i="10"/>
  <c r="AP16" i="10"/>
  <c r="AP12" i="10"/>
  <c r="AP13" i="10"/>
  <c r="AP11" i="8"/>
  <c r="AP10" i="8"/>
  <c r="AP18" i="8"/>
  <c r="AP15" i="10"/>
  <c r="AP4" i="10"/>
  <c r="AP18" i="10"/>
  <c r="AP5" i="8"/>
  <c r="AP4" i="8"/>
  <c r="AP17" i="8"/>
  <c r="AP16" i="8"/>
  <c r="AP6" i="10"/>
  <c r="AP14" i="8"/>
  <c r="AP23" i="8"/>
  <c r="AP22" i="10"/>
  <c r="AP7" i="10"/>
  <c r="AP9" i="10"/>
  <c r="AP17" i="10"/>
  <c r="AP22" i="8"/>
  <c r="AP12" i="8"/>
  <c r="AP8" i="8"/>
  <c r="AP11" i="10"/>
  <c r="AP15" i="8"/>
  <c r="AP13" i="8"/>
  <c r="AP23" i="10"/>
  <c r="AP6" i="8"/>
  <c r="AP14" i="10"/>
  <c r="AP24" i="10"/>
  <c r="AP24" i="8"/>
  <c r="AP10" i="10"/>
  <c r="AP7" i="8"/>
  <c r="BB5" i="8"/>
  <c r="BB12" i="8"/>
  <c r="R134" i="1"/>
  <c r="U134" i="1" s="1"/>
  <c r="BB22" i="10"/>
  <c r="BB4" i="10"/>
  <c r="BB8" i="10"/>
  <c r="BB15" i="10"/>
  <c r="BB18" i="10"/>
  <c r="BB7" i="10"/>
  <c r="BB17" i="10"/>
  <c r="BB13" i="10"/>
  <c r="BB6" i="10"/>
  <c r="BB14" i="10"/>
  <c r="BB9" i="10"/>
  <c r="BB5" i="10"/>
  <c r="BB11" i="10"/>
  <c r="BB12" i="10"/>
  <c r="BB23" i="10"/>
  <c r="BB16" i="10"/>
  <c r="BB10" i="10"/>
  <c r="BB24" i="10"/>
  <c r="BB7" i="8"/>
  <c r="BB6" i="8"/>
  <c r="R122" i="1"/>
  <c r="U122" i="1" s="1"/>
  <c r="Q22" i="8"/>
  <c r="Q11" i="8"/>
  <c r="Q4" i="10"/>
  <c r="Q11" i="10"/>
  <c r="Q15" i="8"/>
  <c r="Q24" i="10"/>
  <c r="Q17" i="10"/>
  <c r="Q13" i="8"/>
  <c r="Q7" i="8"/>
  <c r="Q18" i="10"/>
  <c r="Q24" i="8"/>
  <c r="Q4" i="8"/>
  <c r="Q13" i="10"/>
  <c r="Q17" i="8"/>
  <c r="Q12" i="10"/>
  <c r="Q14" i="10"/>
  <c r="Q14" i="8"/>
  <c r="Q10" i="8"/>
  <c r="Q15" i="10"/>
  <c r="Q5" i="8"/>
  <c r="Q8" i="10"/>
  <c r="Q10" i="10"/>
  <c r="Q5" i="10"/>
  <c r="Q6" i="8"/>
  <c r="Q23" i="10"/>
  <c r="Q7" i="10"/>
  <c r="Q6" i="10"/>
  <c r="Q23" i="8"/>
  <c r="Q16" i="8"/>
  <c r="Q8" i="8"/>
  <c r="Q16" i="10"/>
  <c r="Q12" i="8"/>
  <c r="Q9" i="10"/>
  <c r="Q18" i="8"/>
  <c r="Q22" i="10"/>
  <c r="BB16" i="8"/>
  <c r="BB23" i="8"/>
  <c r="BB13" i="8"/>
  <c r="BB4" i="8"/>
  <c r="BB11" i="8"/>
  <c r="BB17" i="8"/>
  <c r="Y17" i="10"/>
  <c r="Y14" i="8"/>
  <c r="Y13" i="8"/>
  <c r="Y7" i="8"/>
  <c r="Y12" i="8"/>
  <c r="Y7" i="10"/>
  <c r="Y16" i="8"/>
  <c r="Y22" i="8"/>
  <c r="Y11" i="8"/>
  <c r="Y4" i="8"/>
  <c r="Y8" i="8"/>
  <c r="Y6" i="8"/>
  <c r="Y24" i="8"/>
  <c r="Y13" i="10"/>
  <c r="Y12" i="10"/>
  <c r="Y5" i="8"/>
  <c r="Y24" i="10"/>
  <c r="Y14" i="10"/>
  <c r="Y15" i="8"/>
  <c r="Y5" i="10"/>
  <c r="Y10" i="10"/>
  <c r="Y23" i="10"/>
  <c r="Y9" i="10"/>
  <c r="Y6" i="10"/>
  <c r="Y18" i="10"/>
  <c r="Y15" i="10"/>
  <c r="Y10" i="8"/>
  <c r="Y22" i="10"/>
  <c r="Y23" i="8"/>
  <c r="Y17" i="8"/>
  <c r="Y18" i="8"/>
  <c r="Y8" i="10"/>
  <c r="Y11" i="10"/>
  <c r="Y16" i="10"/>
  <c r="Y4" i="10"/>
  <c r="R95" i="1"/>
  <c r="U95" i="1" s="1"/>
  <c r="N7" i="10"/>
  <c r="N10" i="10"/>
  <c r="N16" i="10"/>
  <c r="N9" i="10"/>
  <c r="N11" i="10"/>
  <c r="N8" i="8"/>
  <c r="N6" i="10"/>
  <c r="N17" i="10"/>
  <c r="N5" i="10"/>
  <c r="N4" i="8"/>
  <c r="N24" i="10"/>
  <c r="N14" i="8"/>
  <c r="N13" i="8"/>
  <c r="N14" i="10"/>
  <c r="N22" i="10"/>
  <c r="N15" i="10"/>
  <c r="N18" i="10"/>
  <c r="N23" i="8"/>
  <c r="N15" i="8"/>
  <c r="N17" i="8"/>
  <c r="N10" i="8"/>
  <c r="N6" i="8"/>
  <c r="N8" i="10"/>
  <c r="N16" i="8"/>
  <c r="N22" i="8"/>
  <c r="N7" i="8"/>
  <c r="N4" i="10"/>
  <c r="N11" i="8"/>
  <c r="N12" i="10"/>
  <c r="N5" i="8"/>
  <c r="N24" i="8"/>
  <c r="N23" i="10"/>
  <c r="N12" i="8"/>
  <c r="N13" i="10"/>
  <c r="N18" i="8"/>
  <c r="AO5" i="8"/>
  <c r="AO13" i="10"/>
  <c r="AO12" i="10"/>
  <c r="AO6" i="8"/>
  <c r="AO22" i="10"/>
  <c r="AO24" i="10"/>
  <c r="AO17" i="10"/>
  <c r="AO10" i="8"/>
  <c r="AO23" i="8"/>
  <c r="AO16" i="10"/>
  <c r="AO18" i="10"/>
  <c r="AO22" i="8"/>
  <c r="AO7" i="10"/>
  <c r="AO4" i="10"/>
  <c r="AO13" i="8"/>
  <c r="AO24" i="8"/>
  <c r="AO5" i="10"/>
  <c r="AO15" i="10"/>
  <c r="AO9" i="10"/>
  <c r="AO10" i="10"/>
  <c r="AO8" i="8"/>
  <c r="AO15" i="8"/>
  <c r="AO23" i="10"/>
  <c r="AO8" i="10"/>
  <c r="AO18" i="8"/>
  <c r="AO12" i="8"/>
  <c r="AO14" i="10"/>
  <c r="AO7" i="8"/>
  <c r="AO14" i="8"/>
  <c r="AO11" i="10"/>
  <c r="AO6" i="10"/>
  <c r="AO17" i="8"/>
  <c r="AO11" i="8"/>
  <c r="AO4" i="8"/>
  <c r="AO16" i="8"/>
  <c r="R137" i="1"/>
  <c r="U137" i="1" s="1"/>
  <c r="AU48" i="10"/>
  <c r="AU51" i="8"/>
  <c r="AU19" i="8"/>
  <c r="AU50" i="10"/>
  <c r="AU21" i="10"/>
  <c r="AU19" i="10"/>
  <c r="AU47" i="8"/>
  <c r="AU50" i="8"/>
  <c r="AU48" i="8"/>
  <c r="AU47" i="10"/>
  <c r="AU20" i="8"/>
  <c r="AU20" i="10"/>
  <c r="AU46" i="10"/>
  <c r="AU51" i="10"/>
  <c r="AU21" i="8"/>
  <c r="AU46" i="8"/>
  <c r="AY6" i="10"/>
  <c r="AY5" i="8"/>
  <c r="AY24" i="10"/>
  <c r="AY9" i="10"/>
  <c r="AY7" i="10"/>
  <c r="AY13" i="8"/>
  <c r="AY12" i="10"/>
  <c r="AY4" i="8"/>
  <c r="AY17" i="8"/>
  <c r="AY23" i="8"/>
  <c r="AY14" i="10"/>
  <c r="AY17" i="10"/>
  <c r="AY23" i="10"/>
  <c r="AY24" i="8"/>
  <c r="AY22" i="10"/>
  <c r="AY11" i="8"/>
  <c r="AY10" i="8"/>
  <c r="AY10" i="10"/>
  <c r="AY16" i="8"/>
  <c r="AY14" i="8"/>
  <c r="AY7" i="8"/>
  <c r="AY15" i="10"/>
  <c r="AY15" i="8"/>
  <c r="AY6" i="8"/>
  <c r="AY13" i="10"/>
  <c r="AY8" i="10"/>
  <c r="AY5" i="10"/>
  <c r="AY12" i="8"/>
  <c r="AY18" i="10"/>
  <c r="AY11" i="10"/>
  <c r="AY22" i="8"/>
  <c r="AY4" i="10"/>
  <c r="AY16" i="10"/>
  <c r="AY8" i="8"/>
  <c r="AY18" i="8"/>
  <c r="AT23" i="8"/>
  <c r="AT7" i="10"/>
  <c r="AT17" i="8"/>
  <c r="AT24" i="10"/>
  <c r="AT16" i="10"/>
  <c r="AT8" i="10"/>
  <c r="AT23" i="10"/>
  <c r="AT16" i="8"/>
  <c r="AT12" i="10"/>
  <c r="AT10" i="8"/>
  <c r="AT14" i="8"/>
  <c r="AT22" i="8"/>
  <c r="AT24" i="8"/>
  <c r="AT18" i="10"/>
  <c r="AT10" i="10"/>
  <c r="AT5" i="8"/>
  <c r="AT12" i="8"/>
  <c r="AT8" i="8"/>
  <c r="AT13" i="8"/>
  <c r="AT4" i="10"/>
  <c r="AT14" i="10"/>
  <c r="AT11" i="10"/>
  <c r="AT15" i="8"/>
  <c r="AT15" i="10"/>
  <c r="AT6" i="10"/>
  <c r="AT5" i="10"/>
  <c r="AT4" i="8"/>
  <c r="AT11" i="8"/>
  <c r="AT22" i="10"/>
  <c r="AT9" i="10"/>
  <c r="AT6" i="8"/>
  <c r="AT18" i="8"/>
  <c r="AT13" i="10"/>
  <c r="AT17" i="10"/>
  <c r="AT7" i="8"/>
  <c r="R13" i="10"/>
  <c r="R14" i="10"/>
  <c r="R11" i="8"/>
  <c r="R18" i="8"/>
  <c r="R12" i="10"/>
  <c r="R10" i="10"/>
  <c r="R24" i="10"/>
  <c r="R22" i="8"/>
  <c r="R13" i="8"/>
  <c r="R12" i="8"/>
  <c r="R18" i="10"/>
  <c r="R6" i="10"/>
  <c r="R16" i="10"/>
  <c r="R8" i="10"/>
  <c r="R23" i="10"/>
  <c r="R7" i="10"/>
  <c r="R14" i="8"/>
  <c r="R10" i="8"/>
  <c r="R8" i="8"/>
  <c r="R5" i="8"/>
  <c r="R16" i="8"/>
  <c r="R15" i="8"/>
  <c r="R4" i="8"/>
  <c r="R15" i="10"/>
  <c r="R17" i="10"/>
  <c r="R11" i="10"/>
  <c r="R22" i="10"/>
  <c r="R6" i="8"/>
  <c r="R23" i="8"/>
  <c r="R5" i="10"/>
  <c r="R7" i="8"/>
  <c r="R17" i="8"/>
  <c r="R9" i="10"/>
  <c r="R4" i="10"/>
  <c r="R24" i="8"/>
  <c r="AD8" i="10"/>
  <c r="AD24" i="8"/>
  <c r="AD24" i="19"/>
  <c r="AD8" i="19"/>
  <c r="AD4" i="19"/>
  <c r="AD10" i="8"/>
  <c r="AD22" i="8"/>
  <c r="AD10" i="19"/>
  <c r="AD10" i="15"/>
  <c r="AD14" i="10"/>
  <c r="AD4" i="10"/>
  <c r="AD12" i="8"/>
  <c r="AD4" i="8"/>
  <c r="AD6" i="8"/>
  <c r="AD18" i="8"/>
  <c r="AD13" i="11"/>
  <c r="AD6" i="13"/>
  <c r="AD23" i="13"/>
  <c r="AD24" i="11"/>
  <c r="AD18" i="15"/>
  <c r="AD14" i="15"/>
  <c r="AD17" i="14"/>
  <c r="AD5" i="16"/>
  <c r="AD8" i="13"/>
  <c r="AD17" i="8"/>
  <c r="AD5" i="8"/>
  <c r="AD7" i="19"/>
  <c r="AD11" i="12"/>
  <c r="AD17" i="15"/>
  <c r="AD22" i="15"/>
  <c r="AD9" i="13"/>
  <c r="AD23" i="16"/>
  <c r="AD22" i="16"/>
  <c r="AD10" i="12"/>
  <c r="AD8" i="15"/>
  <c r="AD23" i="12"/>
  <c r="AD11" i="11"/>
  <c r="AD14" i="16"/>
  <c r="AD12" i="14"/>
  <c r="AD11" i="10"/>
  <c r="AD7" i="10"/>
  <c r="AD17" i="10"/>
  <c r="AD13" i="8"/>
  <c r="AD23" i="8"/>
  <c r="AD16" i="8"/>
  <c r="AD23" i="19"/>
  <c r="AD11" i="19"/>
  <c r="AD22" i="12"/>
  <c r="AD10" i="14"/>
  <c r="AD15" i="12"/>
  <c r="AD13" i="10"/>
  <c r="AD22" i="10"/>
  <c r="AD24" i="10"/>
  <c r="AD15" i="8"/>
  <c r="AD8" i="8"/>
  <c r="AD16" i="19"/>
  <c r="AD23" i="11"/>
  <c r="AD14" i="13"/>
  <c r="AD9" i="16"/>
  <c r="AD24" i="15"/>
  <c r="AD15" i="14"/>
  <c r="AD17" i="13"/>
  <c r="AD16" i="13"/>
  <c r="AD5" i="12"/>
  <c r="AD16" i="16"/>
  <c r="AD7" i="12"/>
  <c r="AD9" i="14"/>
  <c r="AD15" i="15"/>
  <c r="AD16" i="14"/>
  <c r="AD7" i="13"/>
  <c r="AD22" i="11"/>
  <c r="AD24" i="14"/>
  <c r="AD6" i="10"/>
  <c r="AD16" i="10"/>
  <c r="AD11" i="8"/>
  <c r="AD7" i="14"/>
  <c r="AD24" i="16"/>
  <c r="AD12" i="12"/>
  <c r="AD18" i="14"/>
  <c r="AD22" i="14"/>
  <c r="AD10" i="16"/>
  <c r="AD13" i="12"/>
  <c r="AD12" i="13"/>
  <c r="AD11" i="13"/>
  <c r="AD18" i="10"/>
  <c r="AD23" i="10"/>
  <c r="AD7" i="8"/>
  <c r="AD6" i="19"/>
  <c r="AD4" i="11"/>
  <c r="AD15" i="11"/>
  <c r="AD6" i="12"/>
  <c r="AD14" i="12"/>
  <c r="AD16" i="15"/>
  <c r="AD12" i="16"/>
  <c r="AD6" i="15"/>
  <c r="AD4" i="13"/>
  <c r="AD18" i="11"/>
  <c r="AD12" i="15"/>
  <c r="AD23" i="14"/>
  <c r="AD4" i="12"/>
  <c r="AD18" i="16"/>
  <c r="AD5" i="19"/>
  <c r="AD14" i="19"/>
  <c r="AD13" i="19"/>
  <c r="AD17" i="11"/>
  <c r="AD14" i="11"/>
  <c r="AD5" i="13"/>
  <c r="AD13" i="15"/>
  <c r="AD8" i="14"/>
  <c r="AD7" i="11"/>
  <c r="AD18" i="13"/>
  <c r="AD13" i="13"/>
  <c r="AD9" i="15"/>
  <c r="AD4" i="14"/>
  <c r="AD13" i="14"/>
  <c r="AD17" i="16"/>
  <c r="AD10" i="10"/>
  <c r="AD12" i="19"/>
  <c r="AD15" i="19"/>
  <c r="AD22" i="19"/>
  <c r="AD8" i="11"/>
  <c r="AD9" i="11"/>
  <c r="AD23" i="15"/>
  <c r="AD5" i="15"/>
  <c r="AD4" i="15"/>
  <c r="AD11" i="15"/>
  <c r="AD6" i="16"/>
  <c r="AD15" i="16"/>
  <c r="AD4" i="16"/>
  <c r="AD14" i="14"/>
  <c r="AD9" i="10"/>
  <c r="AD12" i="10"/>
  <c r="AD5" i="10"/>
  <c r="AD14" i="8"/>
  <c r="AD9" i="19"/>
  <c r="AD10" i="11"/>
  <c r="AD5" i="11"/>
  <c r="AD8" i="16"/>
  <c r="AD12" i="11"/>
  <c r="AD13" i="16"/>
  <c r="AD22" i="13"/>
  <c r="AD6" i="11"/>
  <c r="AD15" i="13"/>
  <c r="AD7" i="16"/>
  <c r="AD11" i="16"/>
  <c r="AD10" i="13"/>
  <c r="AD16" i="12"/>
  <c r="AD17" i="12"/>
  <c r="AD18" i="12"/>
  <c r="AD15" i="10"/>
  <c r="AD17" i="19"/>
  <c r="AD18" i="19"/>
  <c r="AD5" i="14"/>
  <c r="AD16" i="11"/>
  <c r="AD24" i="13"/>
  <c r="AD11" i="14"/>
  <c r="AD7" i="15"/>
  <c r="AD8" i="12"/>
  <c r="AD6" i="14"/>
  <c r="AD24" i="12"/>
  <c r="W11" i="8"/>
  <c r="W9" i="10"/>
  <c r="W24" i="10"/>
  <c r="W16" i="10"/>
  <c r="W8" i="8"/>
  <c r="W24" i="8"/>
  <c r="W17" i="10"/>
  <c r="W11" i="10"/>
  <c r="W12" i="10"/>
  <c r="W10" i="8"/>
  <c r="W7" i="8"/>
  <c r="W13" i="10"/>
  <c r="W14" i="10"/>
  <c r="W4" i="10"/>
  <c r="W6" i="8"/>
  <c r="W4" i="8"/>
  <c r="W13" i="8"/>
  <c r="W14" i="8"/>
  <c r="W8" i="10"/>
  <c r="W15" i="8"/>
  <c r="W5" i="8"/>
  <c r="W16" i="8"/>
  <c r="W18" i="8"/>
  <c r="W5" i="10"/>
  <c r="W17" i="8"/>
  <c r="W18" i="10"/>
  <c r="W10" i="10"/>
  <c r="W6" i="10"/>
  <c r="W7" i="10"/>
  <c r="W22" i="10"/>
  <c r="W23" i="10"/>
  <c r="W22" i="8"/>
  <c r="W15" i="10"/>
  <c r="W23" i="8"/>
  <c r="W12" i="8"/>
  <c r="AZ47" i="8"/>
  <c r="AZ21" i="8"/>
  <c r="AZ20" i="8"/>
  <c r="AZ51" i="8"/>
  <c r="AZ19" i="8"/>
  <c r="AZ46" i="8"/>
  <c r="AZ20" i="10"/>
  <c r="AZ46" i="10"/>
  <c r="AZ50" i="8"/>
  <c r="AZ47" i="10"/>
  <c r="AZ48" i="8"/>
  <c r="AZ19" i="10"/>
  <c r="AZ48" i="10"/>
  <c r="AZ51" i="10"/>
  <c r="AZ50" i="10"/>
  <c r="AZ21" i="10"/>
  <c r="AZ4" i="8"/>
  <c r="AZ7" i="10"/>
  <c r="AZ9" i="10"/>
  <c r="AZ8" i="8"/>
  <c r="AZ11" i="8"/>
  <c r="AZ12" i="8"/>
  <c r="AZ14" i="8"/>
  <c r="AZ18" i="10"/>
  <c r="AZ24" i="8"/>
  <c r="AZ13" i="10"/>
  <c r="AZ16" i="10"/>
  <c r="AZ12" i="10"/>
  <c r="AZ7" i="8"/>
  <c r="AZ17" i="10"/>
  <c r="AZ5" i="10"/>
  <c r="AZ6" i="10"/>
  <c r="AZ10" i="8"/>
  <c r="AZ18" i="8"/>
  <c r="AZ24" i="10"/>
  <c r="AZ14" i="10"/>
  <c r="AZ4" i="10"/>
  <c r="AZ15" i="8"/>
  <c r="AZ5" i="8"/>
  <c r="AZ13" i="8"/>
  <c r="AZ23" i="8"/>
  <c r="AZ17" i="8"/>
  <c r="AZ22" i="10"/>
  <c r="AZ8" i="10"/>
  <c r="AZ11" i="10"/>
  <c r="AZ23" i="10"/>
  <c r="AZ6" i="8"/>
  <c r="AZ16" i="8"/>
  <c r="AZ10" i="10"/>
  <c r="AZ15" i="10"/>
  <c r="AZ22" i="8"/>
  <c r="AU17" i="10"/>
  <c r="AU5" i="8"/>
  <c r="AU15" i="8"/>
  <c r="AU7" i="8"/>
  <c r="AU4" i="10"/>
  <c r="AU11" i="8"/>
  <c r="AU16" i="10"/>
  <c r="AU14" i="10"/>
  <c r="AU6" i="8"/>
  <c r="AU10" i="10"/>
  <c r="AU24" i="10"/>
  <c r="AU18" i="10"/>
  <c r="AU11" i="10"/>
  <c r="AU9" i="10"/>
  <c r="AU4" i="8"/>
  <c r="AU23" i="8"/>
  <c r="AU12" i="10"/>
  <c r="AU6" i="10"/>
  <c r="AU18" i="8"/>
  <c r="AU22" i="8"/>
  <c r="AU7" i="10"/>
  <c r="AU13" i="10"/>
  <c r="AU17" i="8"/>
  <c r="AU23" i="10"/>
  <c r="AU12" i="8"/>
  <c r="AU24" i="8"/>
  <c r="AU14" i="8"/>
  <c r="AU22" i="10"/>
  <c r="AU15" i="10"/>
  <c r="AU10" i="8"/>
  <c r="AU16" i="8"/>
  <c r="AU13" i="8"/>
  <c r="AU8" i="10"/>
  <c r="AU5" i="10"/>
  <c r="AU8" i="8"/>
  <c r="BA10" i="10"/>
  <c r="BA22" i="8"/>
  <c r="BA13" i="10"/>
  <c r="BA8" i="10"/>
  <c r="BA22" i="10"/>
  <c r="BA13" i="8"/>
  <c r="BA18" i="10"/>
  <c r="BA9" i="10"/>
  <c r="BA16" i="8"/>
  <c r="BA11" i="8"/>
  <c r="BA24" i="10"/>
  <c r="BA11" i="10"/>
  <c r="BA12" i="10"/>
  <c r="BA14" i="8"/>
  <c r="BA17" i="8"/>
  <c r="BA5" i="10"/>
  <c r="BA4" i="8"/>
  <c r="BA7" i="10"/>
  <c r="BA23" i="10"/>
  <c r="BA5" i="8"/>
  <c r="BA7" i="8"/>
  <c r="BA14" i="10"/>
  <c r="BA10" i="8"/>
  <c r="BA4" i="10"/>
  <c r="BA23" i="8"/>
  <c r="BA17" i="10"/>
  <c r="BA16" i="10"/>
  <c r="BA12" i="8"/>
  <c r="BA18" i="8"/>
  <c r="BA6" i="10"/>
  <c r="BA15" i="8"/>
  <c r="BA8" i="8"/>
  <c r="BA15" i="10"/>
  <c r="BA24" i="8"/>
  <c r="BA6" i="8"/>
  <c r="AV8" i="8"/>
  <c r="AV17" i="10"/>
  <c r="AV18" i="8"/>
  <c r="AV16" i="8"/>
  <c r="AV9" i="10"/>
  <c r="AV6" i="10"/>
  <c r="AV4" i="10"/>
  <c r="AV18" i="10"/>
  <c r="AV11" i="10"/>
  <c r="AV8" i="10"/>
  <c r="AV14" i="8"/>
  <c r="AV7" i="8"/>
  <c r="AV12" i="8"/>
  <c r="AV6" i="8"/>
  <c r="AV4" i="8"/>
  <c r="AV22" i="8"/>
  <c r="AV23" i="10"/>
  <c r="AV15" i="10"/>
  <c r="AV22" i="10"/>
  <c r="AV11" i="8"/>
  <c r="AV10" i="8"/>
  <c r="AV7" i="10"/>
  <c r="AV13" i="8"/>
  <c r="AV17" i="8"/>
  <c r="AV5" i="10"/>
  <c r="AV14" i="10"/>
  <c r="AV23" i="8"/>
  <c r="AV15" i="8"/>
  <c r="AV12" i="10"/>
  <c r="AV10" i="10"/>
  <c r="AV13" i="10"/>
  <c r="AV24" i="8"/>
  <c r="AV16" i="10"/>
  <c r="AV5" i="8"/>
  <c r="AV24" i="10"/>
  <c r="X17" i="10"/>
  <c r="X6" i="10"/>
  <c r="X12" i="10"/>
  <c r="X5" i="10"/>
  <c r="X22" i="8"/>
  <c r="X15" i="10"/>
  <c r="X9" i="10"/>
  <c r="X7" i="10"/>
  <c r="X10" i="10"/>
  <c r="X23" i="10"/>
  <c r="X5" i="8"/>
  <c r="X13" i="8"/>
  <c r="X7" i="8"/>
  <c r="X8" i="8"/>
  <c r="X15" i="8"/>
  <c r="X4" i="10"/>
  <c r="X11" i="8"/>
  <c r="X24" i="10"/>
  <c r="X4" i="8"/>
  <c r="X18" i="8"/>
  <c r="X18" i="10"/>
  <c r="X14" i="8"/>
  <c r="X16" i="8"/>
  <c r="X17" i="8"/>
  <c r="X12" i="8"/>
  <c r="X23" i="8"/>
  <c r="X13" i="10"/>
  <c r="X14" i="10"/>
  <c r="X16" i="10"/>
  <c r="X10" i="8"/>
  <c r="X8" i="10"/>
  <c r="X11" i="10"/>
  <c r="X22" i="10"/>
  <c r="X24" i="8"/>
  <c r="X6" i="8"/>
  <c r="BA47" i="10"/>
  <c r="BA46" i="10"/>
  <c r="BA51" i="8"/>
  <c r="BA47" i="8"/>
  <c r="BA51" i="10"/>
  <c r="BA21" i="10"/>
  <c r="BA20" i="8"/>
  <c r="BA50" i="10"/>
  <c r="BA50" i="8"/>
  <c r="BA46" i="8"/>
  <c r="BA21" i="8"/>
  <c r="BA48" i="8"/>
  <c r="BA19" i="8"/>
  <c r="BA20" i="10"/>
  <c r="BA48" i="10"/>
  <c r="BA19" i="10"/>
  <c r="BG14" i="11"/>
  <c r="BG23" i="11"/>
  <c r="BG12" i="15"/>
  <c r="BG16" i="13"/>
  <c r="BG18" i="19"/>
  <c r="BG9" i="13"/>
  <c r="BG5" i="19"/>
  <c r="BG4" i="14"/>
  <c r="BG14" i="14"/>
  <c r="BG16" i="16"/>
  <c r="BG23" i="13"/>
  <c r="BG8" i="16"/>
  <c r="BG24" i="12"/>
  <c r="BG9" i="15"/>
  <c r="BG9" i="19"/>
  <c r="BG7" i="16"/>
  <c r="BG24" i="14"/>
  <c r="BG5" i="15"/>
  <c r="BG10" i="10"/>
  <c r="BG16" i="15"/>
  <c r="BG14" i="15"/>
  <c r="BG9" i="16"/>
  <c r="BG10" i="19"/>
  <c r="BG22" i="14"/>
  <c r="BG5" i="16"/>
  <c r="BG11" i="12"/>
  <c r="BG16" i="19"/>
  <c r="BG10" i="14"/>
  <c r="BG17" i="15"/>
  <c r="BG5" i="12"/>
  <c r="BG5" i="10"/>
  <c r="BG15" i="10"/>
  <c r="BG12" i="13"/>
  <c r="BG18" i="10"/>
  <c r="BG7" i="19"/>
  <c r="BG10" i="15"/>
  <c r="BG22" i="16"/>
  <c r="BG6" i="12"/>
  <c r="BG15" i="19"/>
  <c r="BG11" i="19"/>
  <c r="BG13" i="12"/>
  <c r="BG16" i="10"/>
  <c r="BG18" i="11"/>
  <c r="BG8" i="11"/>
  <c r="BG12" i="10"/>
  <c r="BG24" i="16"/>
  <c r="BG23" i="16"/>
  <c r="BG23" i="14"/>
  <c r="BG7" i="13"/>
  <c r="BG6" i="10"/>
  <c r="BG17" i="13"/>
  <c r="BG15" i="16"/>
  <c r="BG4" i="19"/>
  <c r="BG9" i="11"/>
  <c r="BG12" i="12"/>
  <c r="BG8" i="19"/>
  <c r="BG24" i="13"/>
  <c r="BG4" i="10"/>
  <c r="BG17" i="12"/>
  <c r="BG22" i="10"/>
  <c r="BG9" i="14"/>
  <c r="BG8" i="10"/>
  <c r="BG6" i="16"/>
  <c r="BG15" i="11"/>
  <c r="BG12" i="19"/>
  <c r="BG6" i="14"/>
  <c r="BG15" i="14"/>
  <c r="BG24" i="11"/>
  <c r="BG17" i="14"/>
  <c r="BG11" i="16"/>
  <c r="BG10" i="16"/>
  <c r="BG11" i="13"/>
  <c r="BG4" i="15"/>
  <c r="BG10" i="13"/>
  <c r="BG18" i="12"/>
  <c r="BG6" i="13"/>
  <c r="BG10" i="12"/>
  <c r="BG17" i="11"/>
  <c r="BG4" i="11"/>
  <c r="BG6" i="15"/>
  <c r="BG13" i="15"/>
  <c r="BG18" i="14"/>
  <c r="BG15" i="12"/>
  <c r="BG8" i="15"/>
  <c r="BG15" i="13"/>
  <c r="BG12" i="14"/>
  <c r="BG23" i="15"/>
  <c r="BG12" i="11"/>
  <c r="BG22" i="12"/>
  <c r="BG7" i="12"/>
  <c r="BG5" i="11"/>
  <c r="BG18" i="16"/>
  <c r="BG11" i="15"/>
  <c r="BG4" i="12"/>
  <c r="BG8" i="14"/>
  <c r="BG17" i="16"/>
  <c r="BG13" i="11"/>
  <c r="BG14" i="12"/>
  <c r="BG14" i="19"/>
  <c r="BG7" i="15"/>
  <c r="BG16" i="11"/>
  <c r="BG8" i="13"/>
  <c r="BG7" i="11"/>
  <c r="BG22" i="15"/>
  <c r="BG14" i="13"/>
  <c r="BG13" i="16"/>
  <c r="BG23" i="19"/>
  <c r="BG5" i="14"/>
  <c r="BG22" i="11"/>
  <c r="BG16" i="14"/>
  <c r="BG13" i="10"/>
  <c r="BG10" i="11"/>
  <c r="BG23" i="10"/>
  <c r="BG13" i="14"/>
  <c r="BG11" i="11"/>
  <c r="AX5" i="8"/>
  <c r="AX4" i="8"/>
  <c r="AX9" i="10"/>
  <c r="AX23" i="8"/>
  <c r="AX12" i="8"/>
  <c r="AX15" i="10"/>
  <c r="AX7" i="10"/>
  <c r="AX7" i="8"/>
  <c r="AX6" i="8"/>
  <c r="AX17" i="10"/>
  <c r="AX17" i="8"/>
  <c r="AX13" i="10"/>
  <c r="AX5" i="10"/>
  <c r="AX15" i="8"/>
  <c r="AX16" i="8"/>
  <c r="AX18" i="10"/>
  <c r="AX22" i="10"/>
  <c r="AX10" i="8"/>
  <c r="AX18" i="8"/>
  <c r="AX16" i="10"/>
  <c r="AX4" i="10"/>
  <c r="AX14" i="10"/>
  <c r="AX11" i="8"/>
  <c r="AX8" i="8"/>
  <c r="AX23" i="10"/>
  <c r="AX8" i="10"/>
  <c r="AX22" i="8"/>
  <c r="AX24" i="8"/>
  <c r="AX13" i="8"/>
  <c r="AX14" i="8"/>
  <c r="AX24" i="10"/>
  <c r="AX10" i="10"/>
  <c r="AX12" i="10"/>
  <c r="AX11" i="10"/>
  <c r="AX6" i="10"/>
  <c r="BG24" i="19"/>
  <c r="BG24" i="10"/>
  <c r="BG18" i="15"/>
  <c r="BG15" i="15"/>
  <c r="BG14" i="10"/>
  <c r="BG6" i="11"/>
  <c r="BG6" i="19"/>
  <c r="BG18" i="13"/>
  <c r="BG5" i="13"/>
  <c r="BC20" i="10"/>
  <c r="BC21" i="10"/>
  <c r="BC48" i="10"/>
  <c r="BC46" i="10"/>
  <c r="BC51" i="10"/>
  <c r="BC19" i="10"/>
  <c r="BC47" i="10"/>
  <c r="BC50" i="10"/>
  <c r="R130" i="1"/>
  <c r="U130" i="1" s="1"/>
  <c r="BK9" i="10"/>
  <c r="BK10" i="10"/>
  <c r="BK12" i="10"/>
  <c r="BK14" i="10"/>
  <c r="BK5" i="10"/>
  <c r="BK7" i="10"/>
  <c r="BK4" i="10"/>
  <c r="BK18" i="10"/>
  <c r="BK17" i="10"/>
  <c r="BK8" i="10"/>
  <c r="BK13" i="10"/>
  <c r="BK15" i="10"/>
  <c r="BK23" i="10"/>
  <c r="BK22" i="10"/>
  <c r="BK16" i="10"/>
  <c r="BK24" i="10"/>
  <c r="BK6" i="10"/>
  <c r="BK11" i="10"/>
  <c r="BG16" i="12"/>
  <c r="BG12" i="16"/>
  <c r="BG8" i="12"/>
  <c r="BG9" i="10"/>
  <c r="BG17" i="10"/>
  <c r="BG13" i="13"/>
  <c r="BG22" i="19"/>
  <c r="BG24" i="15"/>
  <c r="BG7" i="14"/>
  <c r="Z13" i="10"/>
  <c r="Z8" i="10"/>
  <c r="Z12" i="10"/>
  <c r="Z8" i="8"/>
  <c r="Z5" i="10"/>
  <c r="Z15" i="8"/>
  <c r="Z11" i="8"/>
  <c r="Z14" i="8"/>
  <c r="Z10" i="8"/>
  <c r="Z22" i="10"/>
  <c r="Z16" i="10"/>
  <c r="Z18" i="8"/>
  <c r="Z7" i="8"/>
  <c r="Z17" i="10"/>
  <c r="Z16" i="8"/>
  <c r="Z13" i="8"/>
  <c r="Z6" i="10"/>
  <c r="Z18" i="10"/>
  <c r="Z5" i="8"/>
  <c r="Z10" i="10"/>
  <c r="Z4" i="10"/>
  <c r="Z24" i="10"/>
  <c r="Z9" i="10"/>
  <c r="Z23" i="10"/>
  <c r="Z15" i="10"/>
  <c r="Z4" i="8"/>
  <c r="Z6" i="8"/>
  <c r="Z24" i="8"/>
  <c r="Z17" i="8"/>
  <c r="Z7" i="10"/>
  <c r="Z22" i="8"/>
  <c r="Z12" i="8"/>
  <c r="Z14" i="10"/>
  <c r="Z11" i="10"/>
  <c r="Z23" i="8"/>
  <c r="V6" i="10"/>
  <c r="V24" i="8"/>
  <c r="V12" i="10"/>
  <c r="V23" i="10"/>
  <c r="V13" i="8"/>
  <c r="V6" i="8"/>
  <c r="V15" i="8"/>
  <c r="V8" i="10"/>
  <c r="V15" i="10"/>
  <c r="V10" i="8"/>
  <c r="V14" i="8"/>
  <c r="V11" i="10"/>
  <c r="V5" i="8"/>
  <c r="V24" i="10"/>
  <c r="V14" i="10"/>
  <c r="V17" i="8"/>
  <c r="V9" i="10"/>
  <c r="V16" i="8"/>
  <c r="V22" i="8"/>
  <c r="V17" i="10"/>
  <c r="V12" i="8"/>
  <c r="V11" i="8"/>
  <c r="V7" i="10"/>
  <c r="V5" i="10"/>
  <c r="V22" i="10"/>
  <c r="V4" i="10"/>
  <c r="V10" i="10"/>
  <c r="V7" i="8"/>
  <c r="V4" i="8"/>
  <c r="V16" i="10"/>
  <c r="V8" i="8"/>
  <c r="V13" i="10"/>
  <c r="V18" i="10"/>
  <c r="V18" i="8"/>
  <c r="V23" i="8"/>
  <c r="BG4" i="13"/>
  <c r="BG22" i="13"/>
  <c r="BG14" i="16"/>
  <c r="BG11" i="10"/>
  <c r="BG7" i="10"/>
  <c r="BG23" i="12"/>
  <c r="BG13" i="19"/>
  <c r="BG11" i="14"/>
  <c r="BG17" i="19"/>
  <c r="BH8" i="10"/>
  <c r="BH11" i="10"/>
  <c r="BH24" i="10"/>
  <c r="BH13" i="10"/>
  <c r="BH16" i="10"/>
  <c r="BH15" i="10"/>
  <c r="BH9" i="10"/>
  <c r="BH12" i="10"/>
  <c r="BH23" i="10"/>
  <c r="BH22" i="10"/>
  <c r="BH18" i="10"/>
  <c r="BH6" i="10"/>
  <c r="BH4" i="10"/>
  <c r="BH14" i="10"/>
  <c r="BH10" i="10"/>
  <c r="BH5" i="10"/>
  <c r="BH7" i="10"/>
  <c r="BH17" i="10"/>
  <c r="BC7" i="10"/>
  <c r="BC12" i="10"/>
  <c r="BC17" i="10"/>
  <c r="BC16" i="10"/>
  <c r="BC11" i="10"/>
  <c r="BC24" i="10"/>
  <c r="BC15" i="10"/>
  <c r="BC10" i="10"/>
  <c r="BC4" i="10"/>
  <c r="BC18" i="10"/>
  <c r="BC23" i="10"/>
  <c r="BC6" i="10"/>
  <c r="BC9" i="10"/>
  <c r="BC14" i="10"/>
  <c r="BC22" i="10"/>
  <c r="BC5" i="10"/>
  <c r="BC8" i="10"/>
  <c r="BC13" i="10"/>
  <c r="AE23" i="10"/>
  <c r="AE11" i="10"/>
  <c r="AE14" i="10"/>
  <c r="AE11" i="8"/>
  <c r="AE14" i="8"/>
  <c r="AE5" i="8"/>
  <c r="AE8" i="10"/>
  <c r="AE8" i="8"/>
  <c r="AE17" i="10"/>
  <c r="AE22" i="8"/>
  <c r="AE7" i="8"/>
  <c r="AE15" i="10"/>
  <c r="AE5" i="10"/>
  <c r="AE16" i="8"/>
  <c r="AE24" i="8"/>
  <c r="AE23" i="8"/>
  <c r="AE6" i="10"/>
  <c r="AE16" i="10"/>
  <c r="AE10" i="10"/>
  <c r="AE10" i="8"/>
  <c r="AE7" i="10"/>
  <c r="AE17" i="8"/>
  <c r="AE6" i="8"/>
  <c r="AE24" i="10"/>
  <c r="AE18" i="10"/>
  <c r="AE4" i="8"/>
  <c r="AE12" i="10"/>
  <c r="AE22" i="10"/>
  <c r="AE13" i="10"/>
  <c r="AE9" i="10"/>
  <c r="AE18" i="8"/>
  <c r="AE12" i="8"/>
  <c r="AE4" i="10"/>
  <c r="AE15" i="8"/>
  <c r="AE13" i="8"/>
  <c r="AA7" i="10"/>
  <c r="AA9" i="10"/>
  <c r="AA10" i="10"/>
  <c r="AA13" i="10"/>
  <c r="AA12" i="8"/>
  <c r="AA14" i="10"/>
  <c r="AA15" i="8"/>
  <c r="AA12" i="10"/>
  <c r="AA11" i="8"/>
  <c r="AA6" i="10"/>
  <c r="AA8" i="8"/>
  <c r="AA6" i="8"/>
  <c r="AA15" i="10"/>
  <c r="AA23" i="10"/>
  <c r="AA16" i="10"/>
  <c r="AA5" i="10"/>
  <c r="AA24" i="10"/>
  <c r="AA11" i="10"/>
  <c r="AA4" i="8"/>
  <c r="AA13" i="8"/>
  <c r="AA18" i="8"/>
  <c r="AA10" i="8"/>
  <c r="AA16" i="8"/>
  <c r="AA5" i="8"/>
  <c r="AA22" i="8"/>
  <c r="AA17" i="8"/>
  <c r="AA23" i="8"/>
  <c r="AA14" i="8"/>
  <c r="AA24" i="8"/>
  <c r="AA22" i="10"/>
  <c r="AA8" i="10"/>
  <c r="AA17" i="10"/>
  <c r="AA18" i="10"/>
  <c r="AA4" i="10"/>
  <c r="AA7" i="8"/>
  <c r="BH46" i="10"/>
  <c r="BH50" i="10"/>
  <c r="BH47" i="10"/>
  <c r="BH51" i="10"/>
  <c r="BH20" i="10"/>
  <c r="BH21" i="10"/>
  <c r="BH48" i="10"/>
  <c r="BH19" i="10"/>
  <c r="BD7" i="10"/>
  <c r="BD4" i="10"/>
  <c r="BD6" i="10"/>
  <c r="BD17" i="10"/>
  <c r="BD14" i="10"/>
  <c r="BD16" i="10"/>
  <c r="BD8" i="10"/>
  <c r="BD11" i="10"/>
  <c r="BD13" i="10"/>
  <c r="BD5" i="10"/>
  <c r="BD12" i="10"/>
  <c r="BD24" i="10"/>
  <c r="BD15" i="10"/>
  <c r="BD23" i="10"/>
  <c r="BD9" i="10"/>
  <c r="BD22" i="10"/>
  <c r="BD18" i="10"/>
  <c r="BD10" i="10"/>
  <c r="AM8" i="8"/>
  <c r="AM5" i="8"/>
  <c r="AM24" i="8"/>
  <c r="AM6" i="10"/>
  <c r="AM15" i="8"/>
  <c r="AM13" i="10"/>
  <c r="AM16" i="10"/>
  <c r="AM23" i="8"/>
  <c r="AM4" i="8"/>
  <c r="AM18" i="8"/>
  <c r="AM18" i="10"/>
  <c r="AM7" i="8"/>
  <c r="AM11" i="10"/>
  <c r="AM14" i="10"/>
  <c r="AM4" i="10"/>
  <c r="AM17" i="8"/>
  <c r="AM12" i="10"/>
  <c r="AM11" i="8"/>
  <c r="AM12" i="8"/>
  <c r="AM15" i="10"/>
  <c r="AM23" i="10"/>
  <c r="AM9" i="10"/>
  <c r="AM22" i="8"/>
  <c r="AM10" i="8"/>
  <c r="AM14" i="8"/>
  <c r="AM13" i="8"/>
  <c r="AM16" i="8"/>
  <c r="AM24" i="10"/>
  <c r="AM10" i="10"/>
  <c r="AM8" i="10"/>
  <c r="AM6" i="8"/>
  <c r="AM5" i="10"/>
  <c r="AM7" i="10"/>
  <c r="AM17" i="10"/>
  <c r="AM22" i="10"/>
  <c r="AB8" i="10"/>
  <c r="AB4" i="8"/>
  <c r="AB18" i="10"/>
  <c r="AB11" i="10"/>
  <c r="AB14" i="10"/>
  <c r="AB5" i="10"/>
  <c r="AB17" i="8"/>
  <c r="AB23" i="8"/>
  <c r="AB12" i="8"/>
  <c r="AB16" i="10"/>
  <c r="AB6" i="10"/>
  <c r="AB7" i="8"/>
  <c r="AB8" i="8"/>
  <c r="AB10" i="8"/>
  <c r="AB22" i="8"/>
  <c r="AB14" i="8"/>
  <c r="AB6" i="8"/>
  <c r="AB15" i="10"/>
  <c r="AB7" i="10"/>
  <c r="AB10" i="10"/>
  <c r="AB24" i="8"/>
  <c r="AB15" i="8"/>
  <c r="AB24" i="10"/>
  <c r="AB9" i="10"/>
  <c r="AB22" i="10"/>
  <c r="AB16" i="8"/>
  <c r="AB18" i="8"/>
  <c r="AB5" i="8"/>
  <c r="AB13" i="8"/>
  <c r="AB11" i="8"/>
  <c r="AB12" i="10"/>
  <c r="AB23" i="10"/>
  <c r="AB17" i="10"/>
  <c r="AB13" i="10"/>
  <c r="AB4" i="10"/>
  <c r="BI20" i="10"/>
  <c r="BI46" i="10"/>
  <c r="BI47" i="10"/>
  <c r="BI19" i="10"/>
  <c r="BI21" i="10"/>
  <c r="BI51" i="10"/>
  <c r="BI48" i="10"/>
  <c r="BI50" i="10"/>
  <c r="BE23" i="10"/>
  <c r="BE13" i="10"/>
  <c r="BE15" i="10"/>
  <c r="BE17" i="10"/>
  <c r="BE8" i="10"/>
  <c r="BE11" i="10"/>
  <c r="BE14" i="10"/>
  <c r="BE4" i="10"/>
  <c r="BE16" i="10"/>
  <c r="BE5" i="10"/>
  <c r="BE22" i="10"/>
  <c r="BE24" i="10"/>
  <c r="BE7" i="10"/>
  <c r="BE12" i="10"/>
  <c r="BE10" i="10"/>
  <c r="BE18" i="10"/>
  <c r="BE9" i="10"/>
  <c r="BE6" i="10"/>
  <c r="BJ46" i="10"/>
  <c r="BJ21" i="10"/>
  <c r="BJ50" i="10"/>
  <c r="BJ51" i="10"/>
  <c r="BJ47" i="10"/>
  <c r="BJ48" i="10"/>
  <c r="BJ20" i="10"/>
  <c r="BJ19" i="10"/>
  <c r="O6" i="10"/>
  <c r="O7" i="10"/>
  <c r="O6" i="8"/>
  <c r="O13" i="10"/>
  <c r="O10" i="8"/>
  <c r="O16" i="8"/>
  <c r="O12" i="10"/>
  <c r="O8" i="10"/>
  <c r="O18" i="8"/>
  <c r="O13" i="8"/>
  <c r="O22" i="8"/>
  <c r="O10" i="10"/>
  <c r="O14" i="8"/>
  <c r="O4" i="8"/>
  <c r="O11" i="10"/>
  <c r="O22" i="10"/>
  <c r="O16" i="10"/>
  <c r="O15" i="8"/>
  <c r="O23" i="10"/>
  <c r="O11" i="8"/>
  <c r="O15" i="10"/>
  <c r="O7" i="8"/>
  <c r="O17" i="10"/>
  <c r="O24" i="10"/>
  <c r="O24" i="8"/>
  <c r="O12" i="8"/>
  <c r="O23" i="8"/>
  <c r="O14" i="10"/>
  <c r="O5" i="8"/>
  <c r="O18" i="10"/>
  <c r="O4" i="10"/>
  <c r="O9" i="10"/>
  <c r="O17" i="8"/>
  <c r="O8" i="8"/>
  <c r="O5" i="10"/>
  <c r="AN10" i="10"/>
  <c r="AN12" i="10"/>
  <c r="AN24" i="8"/>
  <c r="AN7" i="8"/>
  <c r="AN6" i="10"/>
  <c r="AN17" i="10"/>
  <c r="AN16" i="8"/>
  <c r="AN17" i="8"/>
  <c r="AN11" i="8"/>
  <c r="AN9" i="10"/>
  <c r="AN4" i="10"/>
  <c r="AN10" i="8"/>
  <c r="AN4" i="8"/>
  <c r="AN16" i="10"/>
  <c r="AN14" i="10"/>
  <c r="AN24" i="10"/>
  <c r="AN12" i="8"/>
  <c r="AN7" i="10"/>
  <c r="AN5" i="10"/>
  <c r="AN11" i="10"/>
  <c r="AN8" i="8"/>
  <c r="AN22" i="10"/>
  <c r="AN13" i="8"/>
  <c r="AN22" i="8"/>
  <c r="AN15" i="8"/>
  <c r="AN6" i="8"/>
  <c r="AN23" i="10"/>
  <c r="AN18" i="8"/>
  <c r="AN5" i="8"/>
  <c r="AN15" i="10"/>
  <c r="AN14" i="8"/>
  <c r="AN23" i="8"/>
  <c r="AN8" i="10"/>
  <c r="AN13" i="10"/>
  <c r="AN18" i="10"/>
  <c r="R127" i="1"/>
  <c r="U127" i="1" s="1"/>
  <c r="AS16" i="10"/>
  <c r="AS12" i="8"/>
  <c r="AS17" i="8"/>
  <c r="AS9" i="10"/>
  <c r="AS18" i="8"/>
  <c r="AS7" i="8"/>
  <c r="AS4" i="8"/>
  <c r="AS18" i="10"/>
  <c r="AS22" i="8"/>
  <c r="AS11" i="10"/>
  <c r="AS15" i="10"/>
  <c r="AS11" i="8"/>
  <c r="AS13" i="10"/>
  <c r="AS4" i="10"/>
  <c r="AS23" i="10"/>
  <c r="AS17" i="10"/>
  <c r="AS5" i="8"/>
  <c r="AS6" i="10"/>
  <c r="AS24" i="10"/>
  <c r="AS15" i="8"/>
  <c r="AS23" i="8"/>
  <c r="AS10" i="8"/>
  <c r="AS16" i="8"/>
  <c r="AS10" i="10"/>
  <c r="AS13" i="8"/>
  <c r="AS8" i="10"/>
  <c r="AS12" i="10"/>
  <c r="AS6" i="8"/>
  <c r="AS24" i="8"/>
  <c r="AS8" i="8"/>
  <c r="AS7" i="10"/>
  <c r="AS22" i="10"/>
  <c r="AS14" i="8"/>
  <c r="AS5" i="10"/>
  <c r="AS14" i="10"/>
  <c r="R332" i="1"/>
  <c r="U332" i="1" s="1"/>
  <c r="Q118" i="18"/>
  <c r="R326" i="1"/>
  <c r="U326" i="1" s="1"/>
  <c r="R135" i="1"/>
  <c r="U135" i="1" s="1"/>
  <c r="AI51" i="10"/>
  <c r="AI51" i="8"/>
  <c r="AI50" i="8"/>
  <c r="AI19" i="8"/>
  <c r="AI19" i="10"/>
  <c r="AI20" i="10"/>
  <c r="AI20" i="8"/>
  <c r="AI47" i="10"/>
  <c r="AI46" i="8"/>
  <c r="AI46" i="10"/>
  <c r="AI21" i="10"/>
  <c r="AI48" i="8"/>
  <c r="AI48" i="10"/>
  <c r="AI50" i="10"/>
  <c r="AI47" i="8"/>
  <c r="AI21" i="8"/>
  <c r="BI7" i="10"/>
  <c r="BI8" i="10"/>
  <c r="BI5" i="10"/>
  <c r="BI14" i="10"/>
  <c r="BI10" i="10"/>
  <c r="BI22" i="10"/>
  <c r="BI24" i="10"/>
  <c r="BI4" i="10"/>
  <c r="BI23" i="10"/>
  <c r="BI16" i="10"/>
  <c r="BI9" i="10"/>
  <c r="BI11" i="10"/>
  <c r="BI15" i="10"/>
  <c r="BI17" i="10"/>
  <c r="BI6" i="10"/>
  <c r="BI13" i="10"/>
  <c r="BI18" i="10"/>
  <c r="BI12" i="10"/>
  <c r="R120" i="1"/>
  <c r="U120" i="1" s="1"/>
  <c r="AK17" i="10"/>
  <c r="AK24" i="10"/>
  <c r="AK12" i="8"/>
  <c r="AK11" i="8"/>
  <c r="AK8" i="10"/>
  <c r="AK5" i="10"/>
  <c r="AK23" i="8"/>
  <c r="AK4" i="8"/>
  <c r="AK8" i="8"/>
  <c r="AK23" i="10"/>
  <c r="AK5" i="8"/>
  <c r="AK24" i="8"/>
  <c r="AK10" i="10"/>
  <c r="AK14" i="10"/>
  <c r="AK13" i="10"/>
  <c r="AK16" i="8"/>
  <c r="AK12" i="10"/>
  <c r="AK10" i="8"/>
  <c r="AK6" i="8"/>
  <c r="AK22" i="8"/>
  <c r="AK9" i="10"/>
  <c r="AK6" i="10"/>
  <c r="AK11" i="10"/>
  <c r="AK14" i="8"/>
  <c r="AK15" i="8"/>
  <c r="AK18" i="10"/>
  <c r="AK16" i="10"/>
  <c r="AK22" i="10"/>
  <c r="AK7" i="8"/>
  <c r="AK7" i="10"/>
  <c r="AK15" i="10"/>
  <c r="AK17" i="8"/>
  <c r="AK4" i="10"/>
  <c r="AK18" i="8"/>
  <c r="AK13" i="8"/>
  <c r="AG23" i="10"/>
  <c r="AG14" i="10"/>
  <c r="AG7" i="10"/>
  <c r="AG15" i="8"/>
  <c r="AG17" i="8"/>
  <c r="AG5" i="19"/>
  <c r="AG18" i="12"/>
  <c r="AG11" i="11"/>
  <c r="AG5" i="11"/>
  <c r="AG6" i="15"/>
  <c r="AG17" i="13"/>
  <c r="AG14" i="13"/>
  <c r="AG4" i="13"/>
  <c r="AG8" i="14"/>
  <c r="AG4" i="14"/>
  <c r="AG12" i="12"/>
  <c r="AG22" i="11"/>
  <c r="AG14" i="11"/>
  <c r="AG10" i="10"/>
  <c r="AG6" i="10"/>
  <c r="AG5" i="10"/>
  <c r="AG24" i="8"/>
  <c r="AG18" i="8"/>
  <c r="AG14" i="8"/>
  <c r="AG14" i="19"/>
  <c r="AG23" i="11"/>
  <c r="AG7" i="16"/>
  <c r="AG24" i="11"/>
  <c r="AG18" i="13"/>
  <c r="AG14" i="16"/>
  <c r="AG16" i="14"/>
  <c r="AG5" i="15"/>
  <c r="AG10" i="15"/>
  <c r="AG13" i="14"/>
  <c r="AG15" i="10"/>
  <c r="AG9" i="10"/>
  <c r="AG8" i="10"/>
  <c r="AG10" i="8"/>
  <c r="AG22" i="8"/>
  <c r="AG22" i="19"/>
  <c r="AG13" i="11"/>
  <c r="AG4" i="12"/>
  <c r="AG11" i="12"/>
  <c r="AG17" i="11"/>
  <c r="AG9" i="15"/>
  <c r="AG4" i="15"/>
  <c r="AG12" i="13"/>
  <c r="AG11" i="16"/>
  <c r="AG12" i="10"/>
  <c r="AG13" i="10"/>
  <c r="AG23" i="8"/>
  <c r="AG8" i="8"/>
  <c r="AG8" i="19"/>
  <c r="AG17" i="19"/>
  <c r="AG4" i="19"/>
  <c r="AG8" i="13"/>
  <c r="AG15" i="16"/>
  <c r="AG12" i="16"/>
  <c r="AG10" i="13"/>
  <c r="AG23" i="12"/>
  <c r="AG13" i="12"/>
  <c r="AG23" i="13"/>
  <c r="AG17" i="14"/>
  <c r="AG5" i="14"/>
  <c r="AG8" i="12"/>
  <c r="AG17" i="12"/>
  <c r="AG13" i="8"/>
  <c r="AG6" i="19"/>
  <c r="AG16" i="11"/>
  <c r="AG6" i="13"/>
  <c r="AG15" i="12"/>
  <c r="AG15" i="14"/>
  <c r="AG9" i="11"/>
  <c r="AG17" i="15"/>
  <c r="AG6" i="16"/>
  <c r="AG14" i="14"/>
  <c r="AG9" i="13"/>
  <c r="AG11" i="13"/>
  <c r="AG18" i="11"/>
  <c r="AG22" i="12"/>
  <c r="AG8" i="11"/>
  <c r="AG11" i="10"/>
  <c r="AG22" i="10"/>
  <c r="AG11" i="8"/>
  <c r="AG4" i="8"/>
  <c r="AG5" i="8"/>
  <c r="AG18" i="14"/>
  <c r="AG10" i="16"/>
  <c r="AG10" i="11"/>
  <c r="AG24" i="16"/>
  <c r="AG12" i="11"/>
  <c r="AG7" i="13"/>
  <c r="AG23" i="15"/>
  <c r="AG4" i="16"/>
  <c r="AG7" i="15"/>
  <c r="AG10" i="14"/>
  <c r="AG24" i="10"/>
  <c r="AG17" i="10"/>
  <c r="AG6" i="8"/>
  <c r="AG9" i="19"/>
  <c r="AG16" i="19"/>
  <c r="AG18" i="19"/>
  <c r="AG24" i="13"/>
  <c r="AG9" i="14"/>
  <c r="AG23" i="14"/>
  <c r="AG12" i="14"/>
  <c r="AG22" i="16"/>
  <c r="AG8" i="16"/>
  <c r="AG12" i="15"/>
  <c r="AG4" i="11"/>
  <c r="AG16" i="15"/>
  <c r="AG16" i="12"/>
  <c r="AG18" i="15"/>
  <c r="AG10" i="12"/>
  <c r="AG13" i="13"/>
  <c r="AG15" i="11"/>
  <c r="AG15" i="15"/>
  <c r="AG6" i="14"/>
  <c r="AG6" i="12"/>
  <c r="AG7" i="8"/>
  <c r="AG10" i="19"/>
  <c r="AG7" i="19"/>
  <c r="AG13" i="15"/>
  <c r="AG6" i="11"/>
  <c r="AG7" i="12"/>
  <c r="AG16" i="13"/>
  <c r="AG22" i="14"/>
  <c r="AG24" i="14"/>
  <c r="AG11" i="15"/>
  <c r="AG24" i="12"/>
  <c r="AG23" i="19"/>
  <c r="AG23" i="16"/>
  <c r="AG7" i="14"/>
  <c r="AG8" i="15"/>
  <c r="AG12" i="8"/>
  <c r="AG13" i="19"/>
  <c r="AG11" i="19"/>
  <c r="AG22" i="13"/>
  <c r="AG24" i="15"/>
  <c r="AG12" i="19"/>
  <c r="AG5" i="16"/>
  <c r="AG18" i="10"/>
  <c r="AG16" i="10"/>
  <c r="AG16" i="8"/>
  <c r="AG15" i="19"/>
  <c r="AG7" i="11"/>
  <c r="AG13" i="16"/>
  <c r="AG17" i="16"/>
  <c r="AG22" i="15"/>
  <c r="AG5" i="12"/>
  <c r="AG16" i="16"/>
  <c r="AG14" i="15"/>
  <c r="AG14" i="12"/>
  <c r="AG5" i="13"/>
  <c r="AG18" i="16"/>
  <c r="AG9" i="16"/>
  <c r="AG4" i="10"/>
  <c r="AG24" i="19"/>
  <c r="AG11" i="14"/>
  <c r="AG15" i="13"/>
  <c r="R124" i="1"/>
  <c r="U124" i="1" s="1"/>
  <c r="BJ14" i="11"/>
  <c r="BJ10" i="15"/>
  <c r="BJ22" i="10"/>
  <c r="BJ16" i="19"/>
  <c r="BJ14" i="14"/>
  <c r="BJ8" i="14"/>
  <c r="BJ8" i="15"/>
  <c r="BJ13" i="15"/>
  <c r="BJ17" i="15"/>
  <c r="BJ17" i="14"/>
  <c r="BJ5" i="14"/>
  <c r="BJ6" i="11"/>
  <c r="BJ18" i="15"/>
  <c r="BJ12" i="15"/>
  <c r="BJ8" i="19"/>
  <c r="BJ16" i="11"/>
  <c r="BJ16" i="12"/>
  <c r="BJ23" i="10"/>
  <c r="BJ15" i="10"/>
  <c r="BJ24" i="19"/>
  <c r="BJ10" i="19"/>
  <c r="BJ12" i="19"/>
  <c r="BJ14" i="13"/>
  <c r="BJ15" i="12"/>
  <c r="BJ10" i="16"/>
  <c r="BJ11" i="12"/>
  <c r="BJ12" i="16"/>
  <c r="BJ17" i="12"/>
  <c r="BJ13" i="11"/>
  <c r="BJ10" i="12"/>
  <c r="BJ9" i="13"/>
  <c r="BJ8" i="11"/>
  <c r="BJ9" i="15"/>
  <c r="BJ24" i="15"/>
  <c r="BJ4" i="10"/>
  <c r="BJ9" i="10"/>
  <c r="BJ18" i="10"/>
  <c r="BJ24" i="10"/>
  <c r="BJ5" i="19"/>
  <c r="BJ23" i="12"/>
  <c r="BJ7" i="12"/>
  <c r="BJ5" i="15"/>
  <c r="BJ4" i="16"/>
  <c r="BJ23" i="13"/>
  <c r="BJ12" i="13"/>
  <c r="BJ6" i="12"/>
  <c r="BJ12" i="11"/>
  <c r="BJ16" i="15"/>
  <c r="BJ12" i="14"/>
  <c r="BJ23" i="14"/>
  <c r="BJ6" i="16"/>
  <c r="BJ14" i="12"/>
  <c r="BJ12" i="12"/>
  <c r="BJ9" i="16"/>
  <c r="BJ22" i="16"/>
  <c r="BJ6" i="10"/>
  <c r="BJ13" i="10"/>
  <c r="BJ10" i="10"/>
  <c r="BJ16" i="10"/>
  <c r="BJ12" i="10"/>
  <c r="BJ22" i="19"/>
  <c r="BJ13" i="19"/>
  <c r="BJ6" i="19"/>
  <c r="BJ17" i="16"/>
  <c r="BJ7" i="16"/>
  <c r="BJ13" i="16"/>
  <c r="BJ5" i="11"/>
  <c r="BJ5" i="10"/>
  <c r="BJ11" i="19"/>
  <c r="BJ16" i="14"/>
  <c r="BJ15" i="15"/>
  <c r="BJ10" i="13"/>
  <c r="BJ5" i="13"/>
  <c r="BJ16" i="13"/>
  <c r="BJ22" i="14"/>
  <c r="BJ11" i="15"/>
  <c r="BJ6" i="13"/>
  <c r="BJ24" i="12"/>
  <c r="BJ15" i="19"/>
  <c r="BJ8" i="10"/>
  <c r="BJ14" i="10"/>
  <c r="BJ17" i="19"/>
  <c r="BJ22" i="15"/>
  <c r="BJ9" i="11"/>
  <c r="BJ18" i="16"/>
  <c r="BJ11" i="16"/>
  <c r="BJ11" i="13"/>
  <c r="BJ6" i="14"/>
  <c r="BJ18" i="11"/>
  <c r="BJ22" i="13"/>
  <c r="BJ7" i="14"/>
  <c r="BJ7" i="13"/>
  <c r="BJ6" i="15"/>
  <c r="BJ4" i="13"/>
  <c r="BJ5" i="16"/>
  <c r="BJ7" i="15"/>
  <c r="BJ8" i="16"/>
  <c r="BJ15" i="13"/>
  <c r="BJ23" i="15"/>
  <c r="BJ4" i="15"/>
  <c r="BJ4" i="11"/>
  <c r="BJ15" i="16"/>
  <c r="BJ4" i="12"/>
  <c r="BJ11" i="14"/>
  <c r="BJ11" i="10"/>
  <c r="BJ7" i="10"/>
  <c r="BJ4" i="19"/>
  <c r="BJ9" i="19"/>
  <c r="BJ17" i="11"/>
  <c r="BJ13" i="14"/>
  <c r="BJ24" i="16"/>
  <c r="BJ15" i="14"/>
  <c r="BJ10" i="11"/>
  <c r="BJ13" i="13"/>
  <c r="BJ8" i="12"/>
  <c r="BJ23" i="11"/>
  <c r="BJ23" i="16"/>
  <c r="BJ17" i="10"/>
  <c r="BJ7" i="19"/>
  <c r="BJ10" i="14"/>
  <c r="BJ7" i="11"/>
  <c r="BJ24" i="14"/>
  <c r="BJ17" i="13"/>
  <c r="BJ22" i="11"/>
  <c r="BJ9" i="14"/>
  <c r="BJ14" i="16"/>
  <c r="BJ15" i="11"/>
  <c r="BJ8" i="13"/>
  <c r="BJ18" i="14"/>
  <c r="BJ16" i="16"/>
  <c r="BJ14" i="15"/>
  <c r="BJ18" i="19"/>
  <c r="BJ14" i="19"/>
  <c r="BJ24" i="11"/>
  <c r="BJ5" i="12"/>
  <c r="BJ24" i="13"/>
  <c r="BJ18" i="12"/>
  <c r="BJ23" i="19"/>
  <c r="BJ11" i="11"/>
  <c r="BJ4" i="14"/>
  <c r="BJ18" i="13"/>
  <c r="BJ22" i="12"/>
  <c r="BJ13" i="12"/>
  <c r="T18" i="10"/>
  <c r="T8" i="8"/>
  <c r="T16" i="10"/>
  <c r="T7" i="10"/>
  <c r="T14" i="8"/>
  <c r="T8" i="10"/>
  <c r="T13" i="8"/>
  <c r="T23" i="8"/>
  <c r="T17" i="8"/>
  <c r="T10" i="10"/>
  <c r="T4" i="10"/>
  <c r="T9" i="10"/>
  <c r="T13" i="10"/>
  <c r="T12" i="10"/>
  <c r="T24" i="10"/>
  <c r="T24" i="8"/>
  <c r="T10" i="8"/>
  <c r="T11" i="8"/>
  <c r="T5" i="8"/>
  <c r="T23" i="10"/>
  <c r="T22" i="10"/>
  <c r="T7" i="8"/>
  <c r="T22" i="8"/>
  <c r="T16" i="8"/>
  <c r="T18" i="8"/>
  <c r="T11" i="10"/>
  <c r="T14" i="10"/>
  <c r="T4" i="8"/>
  <c r="T15" i="8"/>
  <c r="T6" i="8"/>
  <c r="T17" i="10"/>
  <c r="T12" i="8"/>
  <c r="T5" i="10"/>
  <c r="T15" i="10"/>
  <c r="T6" i="10"/>
  <c r="AL16" i="10"/>
  <c r="AL23" i="8"/>
  <c r="AL17" i="8"/>
  <c r="AL12" i="10"/>
  <c r="AL12" i="8"/>
  <c r="AL11" i="10"/>
  <c r="AL7" i="8"/>
  <c r="AL8" i="8"/>
  <c r="AL22" i="8"/>
  <c r="AL8" i="10"/>
  <c r="AL9" i="10"/>
  <c r="AL5" i="8"/>
  <c r="AL6" i="8"/>
  <c r="AL22" i="10"/>
  <c r="AL17" i="10"/>
  <c r="AL5" i="10"/>
  <c r="AL13" i="8"/>
  <c r="AL14" i="10"/>
  <c r="AL4" i="10"/>
  <c r="AL15" i="8"/>
  <c r="AL10" i="8"/>
  <c r="AL16" i="8"/>
  <c r="AL18" i="8"/>
  <c r="AL6" i="10"/>
  <c r="AL13" i="10"/>
  <c r="AL23" i="10"/>
  <c r="AL15" i="10"/>
  <c r="AL24" i="8"/>
  <c r="AL11" i="8"/>
  <c r="AL7" i="10"/>
  <c r="AL14" i="8"/>
  <c r="AL18" i="10"/>
  <c r="AL10" i="10"/>
  <c r="AL24" i="10"/>
  <c r="AL4" i="8"/>
  <c r="AJ19" i="8"/>
  <c r="AJ50" i="8"/>
  <c r="AJ51" i="10"/>
  <c r="AJ21" i="10"/>
  <c r="AJ46" i="10"/>
  <c r="AJ20" i="8"/>
  <c r="AJ20" i="10"/>
  <c r="AJ51" i="8"/>
  <c r="AJ48" i="10"/>
  <c r="AJ48" i="8"/>
  <c r="AJ47" i="8"/>
  <c r="AJ19" i="10"/>
  <c r="AJ47" i="10"/>
  <c r="AJ21" i="8"/>
  <c r="AJ46" i="8"/>
  <c r="AJ50" i="10"/>
  <c r="AH10" i="10"/>
  <c r="AH5" i="10"/>
  <c r="AH5" i="8"/>
  <c r="AH8" i="19"/>
  <c r="AH7" i="13"/>
  <c r="AH10" i="11"/>
  <c r="AH14" i="11"/>
  <c r="AH15" i="12"/>
  <c r="AH5" i="12"/>
  <c r="AH15" i="15"/>
  <c r="AH14" i="14"/>
  <c r="AH17" i="10"/>
  <c r="AH23" i="8"/>
  <c r="AH13" i="8"/>
  <c r="AH16" i="19"/>
  <c r="AH9" i="11"/>
  <c r="AH15" i="11"/>
  <c r="AH12" i="14"/>
  <c r="AH18" i="13"/>
  <c r="AH7" i="12"/>
  <c r="AH14" i="13"/>
  <c r="AH24" i="16"/>
  <c r="AH10" i="14"/>
  <c r="AH7" i="14"/>
  <c r="AH8" i="12"/>
  <c r="AH24" i="13"/>
  <c r="AH24" i="15"/>
  <c r="AH12" i="10"/>
  <c r="AH13" i="10"/>
  <c r="AH22" i="8"/>
  <c r="AH5" i="16"/>
  <c r="AH17" i="15"/>
  <c r="AH17" i="16"/>
  <c r="AH22" i="12"/>
  <c r="AH22" i="14"/>
  <c r="AH13" i="13"/>
  <c r="AH11" i="12"/>
  <c r="AH14" i="12"/>
  <c r="AH17" i="13"/>
  <c r="AH11" i="14"/>
  <c r="AH22" i="15"/>
  <c r="AH24" i="14"/>
  <c r="AH5" i="14"/>
  <c r="AH15" i="10"/>
  <c r="AH16" i="10"/>
  <c r="AH24" i="10"/>
  <c r="AH4" i="10"/>
  <c r="AH9" i="19"/>
  <c r="AH10" i="19"/>
  <c r="AH8" i="11"/>
  <c r="AH11" i="16"/>
  <c r="AH6" i="12"/>
  <c r="AH13" i="16"/>
  <c r="AH23" i="15"/>
  <c r="AH4" i="13"/>
  <c r="AH13" i="12"/>
  <c r="AH16" i="14"/>
  <c r="AH12" i="16"/>
  <c r="AH10" i="15"/>
  <c r="AH8" i="14"/>
  <c r="AH16" i="15"/>
  <c r="AH17" i="19"/>
  <c r="AH7" i="19"/>
  <c r="AH5" i="19"/>
  <c r="AH23" i="14"/>
  <c r="AH23" i="16"/>
  <c r="AH18" i="19"/>
  <c r="AH18" i="11"/>
  <c r="AH12" i="15"/>
  <c r="AH8" i="16"/>
  <c r="AH8" i="15"/>
  <c r="AH18" i="16"/>
  <c r="AH6" i="11"/>
  <c r="AH9" i="16"/>
  <c r="AH9" i="15"/>
  <c r="AH6" i="10"/>
  <c r="AH4" i="19"/>
  <c r="AH18" i="10"/>
  <c r="AH7" i="8"/>
  <c r="AH4" i="8"/>
  <c r="AH14" i="8"/>
  <c r="AH22" i="16"/>
  <c r="AH15" i="14"/>
  <c r="AH10" i="13"/>
  <c r="AH15" i="16"/>
  <c r="AH13" i="14"/>
  <c r="AH16" i="16"/>
  <c r="AH11" i="15"/>
  <c r="AH15" i="13"/>
  <c r="AH17" i="14"/>
  <c r="AH22" i="11"/>
  <c r="AH11" i="10"/>
  <c r="AH9" i="10"/>
  <c r="AH15" i="8"/>
  <c r="AH11" i="8"/>
  <c r="AH17" i="8"/>
  <c r="AH14" i="19"/>
  <c r="AH15" i="19"/>
  <c r="AH8" i="13"/>
  <c r="AH6" i="16"/>
  <c r="AH16" i="11"/>
  <c r="AH16" i="12"/>
  <c r="AH24" i="11"/>
  <c r="AH18" i="12"/>
  <c r="AH14" i="15"/>
  <c r="AH6" i="13"/>
  <c r="AH9" i="14"/>
  <c r="AH23" i="13"/>
  <c r="AH5" i="13"/>
  <c r="AH14" i="16"/>
  <c r="AH24" i="12"/>
  <c r="AH11" i="19"/>
  <c r="AH5" i="15"/>
  <c r="AH22" i="10"/>
  <c r="AH14" i="10"/>
  <c r="AH24" i="8"/>
  <c r="AH6" i="8"/>
  <c r="AH22" i="19"/>
  <c r="AH6" i="19"/>
  <c r="AH12" i="11"/>
  <c r="AH23" i="11"/>
  <c r="AH13" i="11"/>
  <c r="AH13" i="15"/>
  <c r="AH4" i="16"/>
  <c r="AH18" i="14"/>
  <c r="AH4" i="12"/>
  <c r="AH12" i="12"/>
  <c r="AH10" i="12"/>
  <c r="AH5" i="11"/>
  <c r="AH7" i="15"/>
  <c r="AH18" i="15"/>
  <c r="AH4" i="14"/>
  <c r="AH6" i="14"/>
  <c r="AH8" i="10"/>
  <c r="AH18" i="8"/>
  <c r="AH6" i="15"/>
  <c r="AH23" i="10"/>
  <c r="AH16" i="8"/>
  <c r="AH12" i="8"/>
  <c r="AH7" i="11"/>
  <c r="AH10" i="16"/>
  <c r="AH7" i="16"/>
  <c r="AH7" i="10"/>
  <c r="AH10" i="8"/>
  <c r="AH24" i="19"/>
  <c r="AH23" i="19"/>
  <c r="AH12" i="19"/>
  <c r="AH4" i="11"/>
  <c r="AH11" i="13"/>
  <c r="AH11" i="11"/>
  <c r="AH17" i="12"/>
  <c r="AH23" i="12"/>
  <c r="AH17" i="11"/>
  <c r="AH16" i="13"/>
  <c r="AH12" i="13"/>
  <c r="AH9" i="13"/>
  <c r="AH4" i="15"/>
  <c r="AH8" i="8"/>
  <c r="AH13" i="19"/>
  <c r="AH22" i="13"/>
  <c r="AK20" i="10"/>
  <c r="AK20" i="8"/>
  <c r="AK21" i="10"/>
  <c r="AK46" i="8"/>
  <c r="AK51" i="8"/>
  <c r="AK48" i="8"/>
  <c r="AK50" i="8"/>
  <c r="AK51" i="10"/>
  <c r="AK21" i="8"/>
  <c r="AK50" i="10"/>
  <c r="AK48" i="10"/>
  <c r="AK19" i="8"/>
  <c r="AK46" i="10"/>
  <c r="AK47" i="10"/>
  <c r="AK19" i="10"/>
  <c r="AK47" i="8"/>
  <c r="AL50" i="10"/>
  <c r="AL48" i="8"/>
  <c r="AL48" i="10"/>
  <c r="AL51" i="8"/>
  <c r="AL46" i="10"/>
  <c r="AL19" i="10"/>
  <c r="AL47" i="8"/>
  <c r="AL50" i="8"/>
  <c r="AL21" i="8"/>
  <c r="AL20" i="10"/>
  <c r="AL47" i="10"/>
  <c r="AL19" i="8"/>
  <c r="AL46" i="8"/>
  <c r="AL20" i="8"/>
  <c r="AL51" i="10"/>
  <c r="AL21" i="10"/>
  <c r="R132" i="1"/>
  <c r="U132" i="1" s="1"/>
  <c r="AO47" i="10"/>
  <c r="AO46" i="10"/>
  <c r="AO51" i="8"/>
  <c r="AO20" i="8"/>
  <c r="AO50" i="8"/>
  <c r="AO48" i="8"/>
  <c r="AO48" i="10"/>
  <c r="AO20" i="10"/>
  <c r="AO51" i="10"/>
  <c r="AO50" i="10"/>
  <c r="AO46" i="8"/>
  <c r="AO47" i="8"/>
  <c r="AO19" i="8"/>
  <c r="AO19" i="10"/>
  <c r="AO21" i="10"/>
  <c r="AO21" i="8"/>
  <c r="AR46" i="10"/>
  <c r="AR51" i="10"/>
  <c r="AR19" i="8"/>
  <c r="AR19" i="10"/>
  <c r="AR47" i="10"/>
  <c r="AR51" i="8"/>
  <c r="AR50" i="8"/>
  <c r="AR20" i="10"/>
  <c r="AR48" i="8"/>
  <c r="AR21" i="10"/>
  <c r="AR48" i="10"/>
  <c r="AR21" i="8"/>
  <c r="AR50" i="10"/>
  <c r="AR20" i="8"/>
  <c r="AR46" i="8"/>
  <c r="AR47" i="8"/>
  <c r="AS48" i="8"/>
  <c r="AS20" i="10"/>
  <c r="AS20" i="8"/>
  <c r="AS46" i="8"/>
  <c r="AS19" i="8"/>
  <c r="AS48" i="10"/>
  <c r="AS46" i="10"/>
  <c r="AS50" i="8"/>
  <c r="AS47" i="8"/>
  <c r="AS47" i="10"/>
  <c r="AS21" i="10"/>
  <c r="AS51" i="10"/>
  <c r="AS19" i="10"/>
  <c r="AS50" i="10"/>
  <c r="AS21" i="8"/>
  <c r="AS51" i="8"/>
  <c r="R128" i="1"/>
  <c r="U128" i="1" s="1"/>
  <c r="AC6" i="10"/>
  <c r="AC18" i="8"/>
  <c r="AC17" i="8"/>
  <c r="AC13" i="10"/>
  <c r="AC10" i="8"/>
  <c r="AC5" i="8"/>
  <c r="AC16" i="10"/>
  <c r="AC22" i="10"/>
  <c r="AC24" i="8"/>
  <c r="AC7" i="10"/>
  <c r="AC14" i="10"/>
  <c r="AC15" i="8"/>
  <c r="AC11" i="8"/>
  <c r="AC23" i="10"/>
  <c r="AC8" i="8"/>
  <c r="AC7" i="8"/>
  <c r="AC11" i="10"/>
  <c r="AC10" i="10"/>
  <c r="AC4" i="8"/>
  <c r="AC6" i="8"/>
  <c r="AC5" i="10"/>
  <c r="AC14" i="8"/>
  <c r="AC4" i="10"/>
  <c r="AC8" i="10"/>
  <c r="AC24" i="10"/>
  <c r="AC9" i="10"/>
  <c r="AC23" i="8"/>
  <c r="AC13" i="8"/>
  <c r="AC17" i="10"/>
  <c r="AC15" i="10"/>
  <c r="AC12" i="10"/>
  <c r="AC18" i="10"/>
  <c r="AC22" i="8"/>
  <c r="AC12" i="8"/>
  <c r="AC16" i="8"/>
  <c r="R117" i="1"/>
  <c r="U117" i="1" s="1"/>
  <c r="P22" i="10"/>
  <c r="P23" i="10"/>
  <c r="P13" i="10"/>
  <c r="P8" i="8"/>
  <c r="P10" i="8"/>
  <c r="P14" i="8"/>
  <c r="P8" i="10"/>
  <c r="P16" i="8"/>
  <c r="P22" i="8"/>
  <c r="P16" i="10"/>
  <c r="P15" i="10"/>
  <c r="P4" i="10"/>
  <c r="P15" i="8"/>
  <c r="P5" i="8"/>
  <c r="P10" i="10"/>
  <c r="P12" i="10"/>
  <c r="P24" i="8"/>
  <c r="P18" i="8"/>
  <c r="P18" i="10"/>
  <c r="P4" i="8"/>
  <c r="P14" i="10"/>
  <c r="P24" i="10"/>
  <c r="P11" i="8"/>
  <c r="P5" i="10"/>
  <c r="P17" i="8"/>
  <c r="P11" i="10"/>
  <c r="P9" i="10"/>
  <c r="P6" i="10"/>
  <c r="P17" i="10"/>
  <c r="P6" i="8"/>
  <c r="P13" i="8"/>
  <c r="P23" i="8"/>
  <c r="P12" i="8"/>
  <c r="P7" i="10"/>
  <c r="P7" i="8"/>
  <c r="AR8" i="10"/>
  <c r="AR10" i="10"/>
  <c r="AR17" i="10"/>
  <c r="AR18" i="10"/>
  <c r="AR11" i="10"/>
  <c r="AR7" i="10"/>
  <c r="AR18" i="8"/>
  <c r="AR24" i="10"/>
  <c r="AR13" i="10"/>
  <c r="AR14" i="8"/>
  <c r="AR4" i="8"/>
  <c r="AR11" i="8"/>
  <c r="AR12" i="8"/>
  <c r="AR12" i="10"/>
  <c r="AR10" i="8"/>
  <c r="AR4" i="10"/>
  <c r="AR13" i="8"/>
  <c r="AR24" i="8"/>
  <c r="AR22" i="10"/>
  <c r="AR6" i="8"/>
  <c r="AR15" i="10"/>
  <c r="AR5" i="10"/>
  <c r="AR23" i="8"/>
  <c r="AR22" i="8"/>
  <c r="AR9" i="10"/>
  <c r="AR16" i="8"/>
  <c r="AR7" i="8"/>
  <c r="AR8" i="8"/>
  <c r="AR15" i="8"/>
  <c r="AR23" i="10"/>
  <c r="AR16" i="10"/>
  <c r="AR6" i="10"/>
  <c r="AR14" i="10"/>
  <c r="AR5" i="8"/>
  <c r="AR17" i="8"/>
  <c r="R131" i="1"/>
  <c r="U131" i="1" s="1"/>
  <c r="AT51" i="10"/>
  <c r="AT19" i="8"/>
  <c r="AT48" i="8"/>
  <c r="AT51" i="8"/>
  <c r="AT21" i="10"/>
  <c r="AT46" i="8"/>
  <c r="AT46" i="10"/>
  <c r="AT50" i="10"/>
  <c r="AT47" i="10"/>
  <c r="AT20" i="8"/>
  <c r="AT19" i="10"/>
  <c r="AT50" i="8"/>
  <c r="AT47" i="8"/>
  <c r="AT21" i="8"/>
  <c r="AT20" i="10"/>
  <c r="AT48" i="10"/>
  <c r="S24" i="10"/>
  <c r="S12" i="10"/>
  <c r="S9" i="10"/>
  <c r="S12" i="8"/>
  <c r="S10" i="8"/>
  <c r="S13" i="10"/>
  <c r="S16" i="8"/>
  <c r="S13" i="8"/>
  <c r="S5" i="8"/>
  <c r="S6" i="8"/>
  <c r="S17" i="8"/>
  <c r="S8" i="8"/>
  <c r="S14" i="8"/>
  <c r="S14" i="10"/>
  <c r="S11" i="10"/>
  <c r="S18" i="10"/>
  <c r="S15" i="8"/>
  <c r="S16" i="10"/>
  <c r="S4" i="10"/>
  <c r="S6" i="10"/>
  <c r="S10" i="10"/>
  <c r="S7" i="8"/>
  <c r="S22" i="8"/>
  <c r="S23" i="10"/>
  <c r="S7" i="10"/>
  <c r="S5" i="10"/>
  <c r="S18" i="8"/>
  <c r="S15" i="10"/>
  <c r="S22" i="10"/>
  <c r="S4" i="8"/>
  <c r="S11" i="8"/>
  <c r="S23" i="8"/>
  <c r="S8" i="10"/>
  <c r="S17" i="10"/>
  <c r="S24" i="8"/>
  <c r="AF15" i="10"/>
  <c r="AF17" i="10"/>
  <c r="AF18" i="10"/>
  <c r="AF13" i="8"/>
  <c r="AF5" i="10"/>
  <c r="AF22" i="8"/>
  <c r="AF24" i="8"/>
  <c r="AF23" i="10"/>
  <c r="AF22" i="10"/>
  <c r="AF14" i="8"/>
  <c r="AF6" i="10"/>
  <c r="AF8" i="8"/>
  <c r="AF13" i="10"/>
  <c r="AF9" i="10"/>
  <c r="AF14" i="10"/>
  <c r="AF24" i="10"/>
  <c r="AF10" i="10"/>
  <c r="AF4" i="8"/>
  <c r="AF18" i="8"/>
  <c r="AF23" i="8"/>
  <c r="AF16" i="10"/>
  <c r="AF12" i="10"/>
  <c r="AF4" i="10"/>
  <c r="AF11" i="8"/>
  <c r="AF10" i="8"/>
  <c r="AF7" i="8"/>
  <c r="AF17" i="8"/>
  <c r="AF7" i="10"/>
  <c r="AF8" i="10"/>
  <c r="AF6" i="8"/>
  <c r="AF16" i="8"/>
  <c r="AF11" i="10"/>
  <c r="AF5" i="8"/>
  <c r="AF12" i="8"/>
  <c r="AF15" i="8"/>
  <c r="AW46" i="10"/>
  <c r="AW47" i="8"/>
  <c r="AW46" i="8"/>
  <c r="AW20" i="10"/>
  <c r="AW48" i="8"/>
  <c r="AW51" i="8"/>
  <c r="AW21" i="8"/>
  <c r="AW19" i="8"/>
  <c r="AW21" i="10"/>
  <c r="AW50" i="8"/>
  <c r="AW20" i="8"/>
  <c r="AW48" i="10"/>
  <c r="AW19" i="10"/>
  <c r="AW47" i="10"/>
  <c r="AW51" i="10"/>
  <c r="AW50" i="10"/>
  <c r="L21" i="8"/>
  <c r="L51" i="10"/>
  <c r="L21" i="10"/>
  <c r="L48" i="8"/>
  <c r="L47" i="10"/>
  <c r="L46" i="8"/>
  <c r="L51" i="8"/>
  <c r="L20" i="8"/>
  <c r="L47" i="8"/>
  <c r="L50" i="10"/>
  <c r="L48" i="10"/>
  <c r="L50" i="8"/>
  <c r="L20" i="10"/>
  <c r="L19" i="8"/>
  <c r="L46" i="10"/>
  <c r="AX50" i="10"/>
  <c r="AX20" i="8"/>
  <c r="AX51" i="10"/>
  <c r="AX19" i="8"/>
  <c r="AX46" i="8"/>
  <c r="AX46" i="10"/>
  <c r="AX21" i="10"/>
  <c r="AX48" i="8"/>
  <c r="AX50" i="8"/>
  <c r="AX51" i="8"/>
  <c r="AX21" i="8"/>
  <c r="AX48" i="10"/>
  <c r="AX19" i="10"/>
  <c r="AX47" i="10"/>
  <c r="AX47" i="8"/>
  <c r="AX20" i="10"/>
  <c r="AY46" i="8"/>
  <c r="AY47" i="8"/>
  <c r="AY48" i="8"/>
  <c r="AY20" i="10"/>
  <c r="AY46" i="10"/>
  <c r="AY20" i="8"/>
  <c r="AY47" i="10"/>
  <c r="AY51" i="8"/>
  <c r="AY19" i="10"/>
  <c r="AY21" i="10"/>
  <c r="AY48" i="10"/>
  <c r="AY21" i="8"/>
  <c r="AY51" i="10"/>
  <c r="AY50" i="8"/>
  <c r="AY19" i="8"/>
  <c r="AY50" i="10"/>
  <c r="Q30" i="7"/>
  <c r="BC64" i="8"/>
  <c r="BC63" i="8"/>
  <c r="BC54" i="8"/>
  <c r="BC48" i="8"/>
  <c r="BC59" i="8"/>
  <c r="BC52" i="8"/>
  <c r="BC56" i="8"/>
  <c r="BC45" i="8"/>
  <c r="BC47" i="8"/>
  <c r="BC53" i="8"/>
  <c r="BC51" i="8"/>
  <c r="BC62" i="8"/>
  <c r="BC60" i="8"/>
  <c r="BC38" i="8"/>
  <c r="BC61" i="8"/>
  <c r="BC55" i="8"/>
  <c r="BC44" i="8"/>
  <c r="BC37" i="8"/>
  <c r="BC33" i="8"/>
  <c r="BC27" i="8"/>
  <c r="BC42" i="8"/>
  <c r="BC34" i="8"/>
  <c r="BC57" i="8"/>
  <c r="BC50" i="8"/>
  <c r="BC43" i="8"/>
  <c r="BC40" i="8"/>
  <c r="BC36" i="8"/>
  <c r="BC35" i="8"/>
  <c r="BC25" i="8"/>
  <c r="BC29" i="8"/>
  <c r="BC46" i="8"/>
  <c r="BC39" i="8"/>
  <c r="BC31" i="8"/>
  <c r="BC28" i="8"/>
  <c r="BC23" i="8"/>
  <c r="BC21" i="8"/>
  <c r="BC32" i="8"/>
  <c r="BC24" i="8"/>
  <c r="BC30" i="8"/>
  <c r="BC22" i="8"/>
  <c r="BC20" i="8"/>
  <c r="BC17" i="8"/>
  <c r="BC18" i="8"/>
  <c r="BC10" i="8"/>
  <c r="BC41" i="8"/>
  <c r="BC16" i="8"/>
  <c r="BC14" i="8"/>
  <c r="BC26" i="8"/>
  <c r="BC15" i="8"/>
  <c r="BC13" i="8"/>
  <c r="BC5" i="8"/>
  <c r="BC19" i="8"/>
  <c r="BC11" i="8"/>
  <c r="BC4" i="8"/>
  <c r="BC12" i="8"/>
  <c r="BC7" i="8"/>
  <c r="BC6" i="8"/>
  <c r="BC8" i="8"/>
  <c r="Q140" i="18"/>
  <c r="R116" i="1"/>
  <c r="U116" i="1" s="1"/>
  <c r="R129" i="1"/>
  <c r="U129" i="1" s="1"/>
  <c r="R121" i="1"/>
  <c r="R126" i="1"/>
  <c r="U126" i="1" s="1"/>
  <c r="R125" i="1"/>
  <c r="U125" i="1" s="1"/>
  <c r="AH50" i="11"/>
  <c r="AH47" i="16"/>
  <c r="AH47" i="15"/>
  <c r="AH19" i="11"/>
  <c r="AH49" i="15"/>
  <c r="AH47" i="14"/>
  <c r="AH51" i="19"/>
  <c r="AH21" i="19"/>
  <c r="AH46" i="11"/>
  <c r="AH20" i="15"/>
  <c r="AH49" i="14"/>
  <c r="AH49" i="16"/>
  <c r="AH47" i="13"/>
  <c r="AH19" i="14"/>
  <c r="AH50" i="15"/>
  <c r="AH50" i="19"/>
  <c r="AH20" i="11"/>
  <c r="AH21" i="11"/>
  <c r="AH19" i="12"/>
  <c r="AH51" i="14"/>
  <c r="AH21" i="13"/>
  <c r="AH51" i="11"/>
  <c r="AH47" i="11"/>
  <c r="AH48" i="14"/>
  <c r="AH51" i="16"/>
  <c r="AH21" i="15"/>
  <c r="AH19" i="16"/>
  <c r="AH21" i="12"/>
  <c r="AH47" i="19"/>
  <c r="AH46" i="19"/>
  <c r="AH21" i="14"/>
  <c r="AH48" i="11"/>
  <c r="AH50" i="14"/>
  <c r="AH49" i="13"/>
  <c r="AH46" i="15"/>
  <c r="AH21" i="16"/>
  <c r="AH48" i="13"/>
  <c r="AH20" i="16"/>
  <c r="AH48" i="15"/>
  <c r="AH19" i="13"/>
  <c r="AH50" i="13"/>
  <c r="AH46" i="14"/>
  <c r="AH20" i="12"/>
  <c r="AH46" i="16"/>
  <c r="AH50" i="12"/>
  <c r="AH49" i="11"/>
  <c r="AH51" i="15"/>
  <c r="AH48" i="16"/>
  <c r="AH51" i="13"/>
  <c r="AH50" i="16"/>
  <c r="AH46" i="13"/>
  <c r="AH19" i="19"/>
  <c r="AH46" i="12"/>
  <c r="AH51" i="12"/>
  <c r="AH20" i="13"/>
  <c r="AH20" i="14"/>
  <c r="AH48" i="12"/>
  <c r="AH48" i="19"/>
  <c r="AH47" i="12"/>
  <c r="AH19" i="15"/>
  <c r="AH20" i="19"/>
  <c r="BC21" i="19"/>
  <c r="BC50" i="19"/>
  <c r="BC48" i="19"/>
  <c r="BC21" i="14"/>
  <c r="BC19" i="16"/>
  <c r="BC51" i="11"/>
  <c r="BC19" i="13"/>
  <c r="BC51" i="15"/>
  <c r="BC47" i="16"/>
  <c r="BC46" i="11"/>
  <c r="BC47" i="13"/>
  <c r="BC19" i="19"/>
  <c r="BC50" i="15"/>
  <c r="BC48" i="14"/>
  <c r="BC50" i="13"/>
  <c r="BC49" i="16"/>
  <c r="BC20" i="14"/>
  <c r="BC21" i="12"/>
  <c r="BC20" i="19"/>
  <c r="BC47" i="19"/>
  <c r="BC51" i="16"/>
  <c r="BC19" i="11"/>
  <c r="BC48" i="12"/>
  <c r="BC46" i="16"/>
  <c r="BC50" i="12"/>
  <c r="BC50" i="14"/>
  <c r="BC49" i="14"/>
  <c r="BC48" i="11"/>
  <c r="BC51" i="12"/>
  <c r="BC51" i="14"/>
  <c r="BC48" i="13"/>
  <c r="BC19" i="15"/>
  <c r="BC20" i="13"/>
  <c r="BC20" i="15"/>
  <c r="BC46" i="15"/>
  <c r="BC19" i="12"/>
  <c r="BC51" i="13"/>
  <c r="BC47" i="11"/>
  <c r="BC19" i="14"/>
  <c r="BC46" i="14"/>
  <c r="BC21" i="15"/>
  <c r="BC49" i="13"/>
  <c r="BC49" i="15"/>
  <c r="BC47" i="15"/>
  <c r="BC21" i="11"/>
  <c r="BC46" i="19"/>
  <c r="BC20" i="11"/>
  <c r="BC47" i="14"/>
  <c r="BC21" i="16"/>
  <c r="BC48" i="15"/>
  <c r="BC21" i="13"/>
  <c r="BC20" i="16"/>
  <c r="BC20" i="12"/>
  <c r="BC50" i="16"/>
  <c r="BC49" i="11"/>
  <c r="BC48" i="16"/>
  <c r="BC47" i="12"/>
  <c r="BC46" i="13"/>
  <c r="BC46" i="12"/>
  <c r="BC50" i="11"/>
  <c r="BC51" i="19"/>
  <c r="R123" i="1"/>
  <c r="U123" i="1" s="1"/>
  <c r="BI51" i="19"/>
  <c r="BI21" i="19"/>
  <c r="BI20" i="12"/>
  <c r="BI47" i="15"/>
  <c r="BI20" i="15"/>
  <c r="BI19" i="13"/>
  <c r="BI49" i="16"/>
  <c r="BI19" i="14"/>
  <c r="BI51" i="13"/>
  <c r="BI21" i="12"/>
  <c r="BI48" i="12"/>
  <c r="BI46" i="11"/>
  <c r="BI51" i="11"/>
  <c r="BI48" i="14"/>
  <c r="BI47" i="14"/>
  <c r="BI21" i="16"/>
  <c r="BI19" i="19"/>
  <c r="BI19" i="11"/>
  <c r="BI51" i="15"/>
  <c r="BI47" i="12"/>
  <c r="BI48" i="15"/>
  <c r="BI47" i="13"/>
  <c r="BI19" i="12"/>
  <c r="BI48" i="16"/>
  <c r="BI50" i="11"/>
  <c r="BI47" i="16"/>
  <c r="BI21" i="15"/>
  <c r="BI48" i="13"/>
  <c r="BI20" i="14"/>
  <c r="BI51" i="12"/>
  <c r="BI49" i="15"/>
  <c r="BI50" i="13"/>
  <c r="BI50" i="15"/>
  <c r="BI21" i="13"/>
  <c r="BI20" i="11"/>
  <c r="BI20" i="13"/>
  <c r="BI20" i="19"/>
  <c r="BI49" i="11"/>
  <c r="BI49" i="14"/>
  <c r="BI50" i="16"/>
  <c r="BI21" i="14"/>
  <c r="BI46" i="15"/>
  <c r="BI46" i="12"/>
  <c r="BI47" i="19"/>
  <c r="BI46" i="13"/>
  <c r="BI50" i="12"/>
  <c r="BI48" i="11"/>
  <c r="BI20" i="16"/>
  <c r="BI47" i="11"/>
  <c r="BI50" i="14"/>
  <c r="BI51" i="16"/>
  <c r="BI19" i="16"/>
  <c r="BI51" i="14"/>
  <c r="BI21" i="11"/>
  <c r="BI49" i="13"/>
  <c r="BI46" i="14"/>
  <c r="BI46" i="16"/>
  <c r="BI19" i="15"/>
  <c r="BI46" i="19"/>
  <c r="BI48" i="19"/>
  <c r="BI50" i="19"/>
  <c r="AI6" i="19"/>
  <c r="AI4" i="19"/>
  <c r="AI17" i="19"/>
  <c r="AI9" i="19"/>
  <c r="AI5" i="19"/>
  <c r="AI8" i="14"/>
  <c r="AI24" i="11"/>
  <c r="AI23" i="11"/>
  <c r="AI22" i="14"/>
  <c r="AI11" i="13"/>
  <c r="AI15" i="12"/>
  <c r="AI15" i="14"/>
  <c r="AI11" i="16"/>
  <c r="AI6" i="14"/>
  <c r="AI8" i="13"/>
  <c r="AI24" i="12"/>
  <c r="AI8" i="19"/>
  <c r="AI22" i="19"/>
  <c r="AI7" i="19"/>
  <c r="AI15" i="11"/>
  <c r="AI6" i="13"/>
  <c r="AI11" i="14"/>
  <c r="AI24" i="16"/>
  <c r="AI5" i="16"/>
  <c r="AI23" i="13"/>
  <c r="AI23" i="14"/>
  <c r="AI10" i="12"/>
  <c r="AI17" i="15"/>
  <c r="AI14" i="15"/>
  <c r="AI13" i="16"/>
  <c r="AI6" i="11"/>
  <c r="AI17" i="12"/>
  <c r="AI24" i="13"/>
  <c r="AI4" i="16"/>
  <c r="AI9" i="16"/>
  <c r="AI12" i="16"/>
  <c r="AI22" i="13"/>
  <c r="AI14" i="13"/>
  <c r="AI22" i="15"/>
  <c r="AI16" i="14"/>
  <c r="AI4" i="14"/>
  <c r="AI13" i="19"/>
  <c r="AI18" i="11"/>
  <c r="AI8" i="11"/>
  <c r="AI14" i="14"/>
  <c r="AI4" i="15"/>
  <c r="AI7" i="13"/>
  <c r="AI4" i="12"/>
  <c r="AI16" i="12"/>
  <c r="AI8" i="15"/>
  <c r="AI14" i="12"/>
  <c r="AI16" i="11"/>
  <c r="AI23" i="16"/>
  <c r="AI14" i="19"/>
  <c r="AI12" i="19"/>
  <c r="AI11" i="15"/>
  <c r="AI11" i="11"/>
  <c r="AI4" i="13"/>
  <c r="AI7" i="12"/>
  <c r="AI13" i="13"/>
  <c r="AI5" i="14"/>
  <c r="AI12" i="12"/>
  <c r="AI16" i="16"/>
  <c r="AI12" i="11"/>
  <c r="AI16" i="19"/>
  <c r="AI24" i="14"/>
  <c r="AI10" i="16"/>
  <c r="AI13" i="12"/>
  <c r="AI7" i="16"/>
  <c r="AI6" i="15"/>
  <c r="AI15" i="16"/>
  <c r="AI5" i="11"/>
  <c r="AI12" i="13"/>
  <c r="AI18" i="14"/>
  <c r="AI10" i="13"/>
  <c r="AI5" i="15"/>
  <c r="AI4" i="11"/>
  <c r="AI18" i="19"/>
  <c r="AI8" i="12"/>
  <c r="AI18" i="16"/>
  <c r="AI17" i="14"/>
  <c r="AI17" i="16"/>
  <c r="AI16" i="15"/>
  <c r="AI7" i="15"/>
  <c r="AI10" i="11"/>
  <c r="AI22" i="11"/>
  <c r="AI9" i="15"/>
  <c r="AI5" i="13"/>
  <c r="AI7" i="14"/>
  <c r="AI9" i="11"/>
  <c r="AI17" i="13"/>
  <c r="AI24" i="15"/>
  <c r="AI15" i="13"/>
  <c r="AI23" i="12"/>
  <c r="AI6" i="12"/>
  <c r="AI23" i="15"/>
  <c r="AI5" i="12"/>
  <c r="AI10" i="19"/>
  <c r="AI15" i="15"/>
  <c r="AI9" i="14"/>
  <c r="AI18" i="12"/>
  <c r="AI14" i="11"/>
  <c r="AI16" i="13"/>
  <c r="AI18" i="13"/>
  <c r="AI9" i="13"/>
  <c r="AI18" i="15"/>
  <c r="AI13" i="14"/>
  <c r="AI15" i="19"/>
  <c r="AI23" i="19"/>
  <c r="AI24" i="19"/>
  <c r="AI13" i="11"/>
  <c r="AI11" i="12"/>
  <c r="AI17" i="11"/>
  <c r="AI13" i="15"/>
  <c r="AI12" i="14"/>
  <c r="AI10" i="15"/>
  <c r="AI14" i="16"/>
  <c r="AI11" i="19"/>
  <c r="AI10" i="14"/>
  <c r="AI8" i="16"/>
  <c r="AI22" i="16"/>
  <c r="AI6" i="16"/>
  <c r="AI7" i="11"/>
  <c r="AI12" i="15"/>
  <c r="AI22" i="12"/>
  <c r="AR10" i="19"/>
  <c r="AR8" i="19"/>
  <c r="AR6" i="19"/>
  <c r="AR13" i="13"/>
  <c r="AR10" i="15"/>
  <c r="AR24" i="13"/>
  <c r="AR17" i="14"/>
  <c r="AR18" i="15"/>
  <c r="AR13" i="12"/>
  <c r="AR5" i="14"/>
  <c r="AR10" i="13"/>
  <c r="AR6" i="11"/>
  <c r="AR17" i="13"/>
  <c r="AR14" i="14"/>
  <c r="AR13" i="14"/>
  <c r="AR5" i="16"/>
  <c r="AR4" i="12"/>
  <c r="AR7" i="14"/>
  <c r="AR10" i="16"/>
  <c r="AR9" i="13"/>
  <c r="AR24" i="19"/>
  <c r="AR9" i="19"/>
  <c r="AR12" i="11"/>
  <c r="AR23" i="16"/>
  <c r="AR14" i="13"/>
  <c r="AR24" i="16"/>
  <c r="AR7" i="15"/>
  <c r="AR7" i="12"/>
  <c r="AR12" i="16"/>
  <c r="AR12" i="13"/>
  <c r="AR12" i="12"/>
  <c r="AR6" i="14"/>
  <c r="AR22" i="15"/>
  <c r="AR22" i="19"/>
  <c r="AR13" i="19"/>
  <c r="AR11" i="19"/>
  <c r="AR18" i="11"/>
  <c r="AR8" i="11"/>
  <c r="AR23" i="15"/>
  <c r="AR4" i="15"/>
  <c r="AR18" i="12"/>
  <c r="AR15" i="12"/>
  <c r="AR13" i="11"/>
  <c r="AR24" i="15"/>
  <c r="AR12" i="15"/>
  <c r="AR4" i="19"/>
  <c r="AR23" i="19"/>
  <c r="AR23" i="11"/>
  <c r="AR14" i="11"/>
  <c r="AR24" i="11"/>
  <c r="AR10" i="11"/>
  <c r="AR15" i="13"/>
  <c r="AR18" i="16"/>
  <c r="AR16" i="12"/>
  <c r="AR11" i="15"/>
  <c r="AR9" i="16"/>
  <c r="AR4" i="14"/>
  <c r="AR11" i="12"/>
  <c r="AR6" i="16"/>
  <c r="AR16" i="14"/>
  <c r="AR8" i="15"/>
  <c r="AR10" i="14"/>
  <c r="AR12" i="19"/>
  <c r="AR8" i="16"/>
  <c r="AR5" i="15"/>
  <c r="AR6" i="13"/>
  <c r="AR10" i="12"/>
  <c r="AR9" i="14"/>
  <c r="AR16" i="15"/>
  <c r="AR18" i="13"/>
  <c r="AR7" i="16"/>
  <c r="AR23" i="14"/>
  <c r="AR17" i="15"/>
  <c r="AR14" i="19"/>
  <c r="AR5" i="19"/>
  <c r="AR16" i="19"/>
  <c r="AR17" i="11"/>
  <c r="AR16" i="16"/>
  <c r="AR17" i="12"/>
  <c r="AR7" i="13"/>
  <c r="AR22" i="14"/>
  <c r="AR24" i="14"/>
  <c r="AR22" i="12"/>
  <c r="AR18" i="14"/>
  <c r="AR11" i="13"/>
  <c r="AR22" i="13"/>
  <c r="AR9" i="11"/>
  <c r="AR14" i="16"/>
  <c r="AR23" i="12"/>
  <c r="AR5" i="11"/>
  <c r="AR13" i="16"/>
  <c r="AR6" i="12"/>
  <c r="AR8" i="12"/>
  <c r="AR15" i="16"/>
  <c r="AR18" i="19"/>
  <c r="AR7" i="19"/>
  <c r="AR15" i="11"/>
  <c r="AR4" i="11"/>
  <c r="AR7" i="11"/>
  <c r="AR13" i="15"/>
  <c r="AR8" i="13"/>
  <c r="AR11" i="11"/>
  <c r="AR22" i="11"/>
  <c r="AR12" i="14"/>
  <c r="AR5" i="12"/>
  <c r="AR17" i="16"/>
  <c r="AR5" i="13"/>
  <c r="AR8" i="14"/>
  <c r="AR11" i="16"/>
  <c r="AR15" i="15"/>
  <c r="AR16" i="11"/>
  <c r="AR16" i="13"/>
  <c r="AR6" i="15"/>
  <c r="AR15" i="14"/>
  <c r="AR9" i="15"/>
  <c r="AR11" i="14"/>
  <c r="AR23" i="13"/>
  <c r="AR14" i="12"/>
  <c r="AR17" i="19"/>
  <c r="AR15" i="19"/>
  <c r="AR4" i="16"/>
  <c r="AR4" i="13"/>
  <c r="AR22" i="16"/>
  <c r="AR14" i="15"/>
  <c r="AR24" i="12"/>
  <c r="BH17" i="19"/>
  <c r="BH10" i="19"/>
  <c r="BH17" i="11"/>
  <c r="BH24" i="14"/>
  <c r="BH24" i="15"/>
  <c r="BH22" i="15"/>
  <c r="BH22" i="11"/>
  <c r="BH6" i="12"/>
  <c r="BH11" i="15"/>
  <c r="BH7" i="14"/>
  <c r="BH9" i="16"/>
  <c r="BH24" i="13"/>
  <c r="BH14" i="11"/>
  <c r="BH18" i="11"/>
  <c r="BH23" i="12"/>
  <c r="BH15" i="12"/>
  <c r="BH14" i="14"/>
  <c r="BH12" i="13"/>
  <c r="BH5" i="16"/>
  <c r="BH23" i="19"/>
  <c r="BH6" i="15"/>
  <c r="BH22" i="16"/>
  <c r="BH12" i="12"/>
  <c r="BH24" i="12"/>
  <c r="BH15" i="15"/>
  <c r="BH18" i="14"/>
  <c r="BH8" i="12"/>
  <c r="BH10" i="16"/>
  <c r="BH11" i="11"/>
  <c r="BH16" i="11"/>
  <c r="BH5" i="13"/>
  <c r="BH17" i="16"/>
  <c r="BH16" i="16"/>
  <c r="BH22" i="14"/>
  <c r="BH12" i="15"/>
  <c r="BH15" i="19"/>
  <c r="BH23" i="15"/>
  <c r="BH17" i="13"/>
  <c r="BH17" i="12"/>
  <c r="BH6" i="13"/>
  <c r="BH8" i="16"/>
  <c r="BH13" i="12"/>
  <c r="BH8" i="14"/>
  <c r="BH11" i="12"/>
  <c r="BH14" i="13"/>
  <c r="BH23" i="13"/>
  <c r="BH18" i="12"/>
  <c r="BH8" i="19"/>
  <c r="BH9" i="19"/>
  <c r="BH13" i="11"/>
  <c r="BH12" i="19"/>
  <c r="BH13" i="19"/>
  <c r="BH22" i="19"/>
  <c r="BH16" i="19"/>
  <c r="BH4" i="19"/>
  <c r="BH12" i="11"/>
  <c r="BH5" i="11"/>
  <c r="BH18" i="16"/>
  <c r="BH7" i="11"/>
  <c r="BH14" i="12"/>
  <c r="BH5" i="12"/>
  <c r="BH10" i="14"/>
  <c r="BH16" i="13"/>
  <c r="BH8" i="11"/>
  <c r="BH24" i="11"/>
  <c r="BH16" i="12"/>
  <c r="BH8" i="15"/>
  <c r="BH18" i="19"/>
  <c r="BH11" i="19"/>
  <c r="BH23" i="11"/>
  <c r="BH9" i="14"/>
  <c r="BH8" i="13"/>
  <c r="BH7" i="19"/>
  <c r="BH24" i="19"/>
  <c r="BH9" i="11"/>
  <c r="BH5" i="15"/>
  <c r="BH4" i="16"/>
  <c r="BH13" i="14"/>
  <c r="BH4" i="14"/>
  <c r="BH6" i="11"/>
  <c r="BH18" i="13"/>
  <c r="BH5" i="19"/>
  <c r="BH6" i="19"/>
  <c r="BH13" i="13"/>
  <c r="BH15" i="11"/>
  <c r="BH17" i="15"/>
  <c r="BH15" i="16"/>
  <c r="BH7" i="13"/>
  <c r="BH12" i="14"/>
  <c r="BH11" i="16"/>
  <c r="BH22" i="12"/>
  <c r="BH23" i="16"/>
  <c r="BH7" i="16"/>
  <c r="BH10" i="13"/>
  <c r="BH7" i="15"/>
  <c r="BH10" i="15"/>
  <c r="BH23" i="14"/>
  <c r="BH9" i="15"/>
  <c r="BH4" i="12"/>
  <c r="BH16" i="14"/>
  <c r="BH15" i="14"/>
  <c r="BH14" i="19"/>
  <c r="BH15" i="13"/>
  <c r="BH4" i="11"/>
  <c r="BH14" i="15"/>
  <c r="BH22" i="13"/>
  <c r="BH5" i="14"/>
  <c r="BH11" i="14"/>
  <c r="BH14" i="16"/>
  <c r="BH9" i="13"/>
  <c r="BH17" i="14"/>
  <c r="BH16" i="15"/>
  <c r="BH4" i="13"/>
  <c r="BH6" i="16"/>
  <c r="BH10" i="11"/>
  <c r="BH13" i="16"/>
  <c r="BH13" i="15"/>
  <c r="BH7" i="12"/>
  <c r="BH11" i="13"/>
  <c r="BH4" i="15"/>
  <c r="BH12" i="16"/>
  <c r="BH6" i="14"/>
  <c r="BH10" i="12"/>
  <c r="BH18" i="15"/>
  <c r="BH24" i="16"/>
  <c r="BI4" i="19"/>
  <c r="BI8" i="19"/>
  <c r="BI22" i="19"/>
  <c r="BI23" i="11"/>
  <c r="BI18" i="11"/>
  <c r="BI10" i="14"/>
  <c r="BI5" i="14"/>
  <c r="BI11" i="14"/>
  <c r="BI18" i="15"/>
  <c r="BI8" i="14"/>
  <c r="BI18" i="16"/>
  <c r="BI24" i="19"/>
  <c r="BI7" i="11"/>
  <c r="BI17" i="14"/>
  <c r="BI7" i="16"/>
  <c r="BI23" i="16"/>
  <c r="BI15" i="13"/>
  <c r="BI12" i="11"/>
  <c r="BI14" i="14"/>
  <c r="BI12" i="12"/>
  <c r="BI24" i="16"/>
  <c r="BI13" i="19"/>
  <c r="BI13" i="11"/>
  <c r="BI5" i="12"/>
  <c r="BI12" i="15"/>
  <c r="BI10" i="11"/>
  <c r="BI4" i="14"/>
  <c r="BI14" i="11"/>
  <c r="BI11" i="11"/>
  <c r="BI23" i="14"/>
  <c r="BI14" i="15"/>
  <c r="BI12" i="14"/>
  <c r="BI7" i="14"/>
  <c r="BI18" i="19"/>
  <c r="BI13" i="14"/>
  <c r="BI7" i="12"/>
  <c r="BI11" i="15"/>
  <c r="BI6" i="13"/>
  <c r="BI4" i="15"/>
  <c r="BI24" i="13"/>
  <c r="BI23" i="13"/>
  <c r="BI17" i="12"/>
  <c r="BI9" i="15"/>
  <c r="BI15" i="19"/>
  <c r="BI8" i="11"/>
  <c r="BI15" i="11"/>
  <c r="BI4" i="11"/>
  <c r="BI15" i="12"/>
  <c r="BI8" i="15"/>
  <c r="BI24" i="12"/>
  <c r="BI24" i="14"/>
  <c r="BI9" i="11"/>
  <c r="BI14" i="13"/>
  <c r="BI11" i="13"/>
  <c r="BI17" i="11"/>
  <c r="BI22" i="12"/>
  <c r="BI16" i="12"/>
  <c r="BI11" i="12"/>
  <c r="BI7" i="13"/>
  <c r="BI10" i="16"/>
  <c r="BI14" i="16"/>
  <c r="BI4" i="12"/>
  <c r="BI24" i="15"/>
  <c r="BI6" i="15"/>
  <c r="BI4" i="13"/>
  <c r="BI10" i="15"/>
  <c r="BI16" i="14"/>
  <c r="BI9" i="19"/>
  <c r="BI6" i="19"/>
  <c r="BI24" i="11"/>
  <c r="BI18" i="12"/>
  <c r="BI16" i="11"/>
  <c r="BI16" i="15"/>
  <c r="BI22" i="15"/>
  <c r="BI22" i="16"/>
  <c r="BI12" i="16"/>
  <c r="BI6" i="16"/>
  <c r="BI5" i="13"/>
  <c r="BI10" i="13"/>
  <c r="BI10" i="19"/>
  <c r="BI5" i="15"/>
  <c r="BI10" i="12"/>
  <c r="BI23" i="12"/>
  <c r="BI17" i="13"/>
  <c r="BI13" i="16"/>
  <c r="BI9" i="16"/>
  <c r="BI16" i="16"/>
  <c r="BI15" i="14"/>
  <c r="BI14" i="12"/>
  <c r="BI8" i="13"/>
  <c r="BI22" i="11"/>
  <c r="BI23" i="15"/>
  <c r="BI13" i="13"/>
  <c r="BI12" i="13"/>
  <c r="BI15" i="15"/>
  <c r="BI5" i="16"/>
  <c r="BI7" i="15"/>
  <c r="BI6" i="14"/>
  <c r="BI6" i="12"/>
  <c r="BI18" i="14"/>
  <c r="BI5" i="11"/>
  <c r="BI8" i="16"/>
  <c r="BI17" i="19"/>
  <c r="BI12" i="19"/>
  <c r="BI7" i="19"/>
  <c r="BI23" i="19"/>
  <c r="BI9" i="13"/>
  <c r="BI16" i="19"/>
  <c r="BI14" i="19"/>
  <c r="BI11" i="16"/>
  <c r="BI4" i="16"/>
  <c r="BI22" i="14"/>
  <c r="BI18" i="13"/>
  <c r="BI17" i="16"/>
  <c r="BI16" i="13"/>
  <c r="BI8" i="12"/>
  <c r="BI13" i="15"/>
  <c r="BI11" i="19"/>
  <c r="BI5" i="19"/>
  <c r="BI6" i="11"/>
  <c r="BI22" i="13"/>
  <c r="BI9" i="14"/>
  <c r="BI17" i="15"/>
  <c r="BI13" i="12"/>
  <c r="BI15" i="16"/>
  <c r="R305" i="1"/>
  <c r="U305" i="1" s="1"/>
  <c r="X44" i="19"/>
  <c r="X33" i="19"/>
  <c r="X39" i="13"/>
  <c r="X52" i="16"/>
  <c r="X56" i="14"/>
  <c r="X37" i="16"/>
  <c r="X27" i="11"/>
  <c r="X26" i="16"/>
  <c r="X30" i="13"/>
  <c r="X32" i="16"/>
  <c r="X33" i="12"/>
  <c r="X54" i="11"/>
  <c r="X42" i="12"/>
  <c r="X55" i="16"/>
  <c r="X39" i="14"/>
  <c r="X57" i="12"/>
  <c r="X27" i="13"/>
  <c r="X40" i="12"/>
  <c r="X60" i="19"/>
  <c r="X63" i="19"/>
  <c r="X31" i="12"/>
  <c r="X61" i="13"/>
  <c r="X38" i="14"/>
  <c r="X59" i="12"/>
  <c r="X36" i="11"/>
  <c r="X35" i="11"/>
  <c r="X62" i="11"/>
  <c r="X45" i="14"/>
  <c r="X52" i="13"/>
  <c r="X28" i="13"/>
  <c r="X63" i="15"/>
  <c r="X39" i="16"/>
  <c r="X64" i="12"/>
  <c r="X61" i="12"/>
  <c r="X38" i="19"/>
  <c r="X64" i="19"/>
  <c r="X43" i="11"/>
  <c r="X35" i="12"/>
  <c r="X38" i="16"/>
  <c r="X44" i="14"/>
  <c r="X33" i="16"/>
  <c r="X26" i="12"/>
  <c r="X31" i="14"/>
  <c r="X30" i="11"/>
  <c r="X62" i="14"/>
  <c r="X33" i="14"/>
  <c r="X29" i="11"/>
  <c r="X45" i="16"/>
  <c r="X42" i="15"/>
  <c r="X29" i="13"/>
  <c r="X40" i="14"/>
  <c r="X53" i="14"/>
  <c r="X55" i="12"/>
  <c r="X36" i="16"/>
  <c r="X41" i="19"/>
  <c r="X39" i="19"/>
  <c r="X27" i="19"/>
  <c r="X55" i="19"/>
  <c r="X42" i="19"/>
  <c r="X45" i="19"/>
  <c r="X31" i="11"/>
  <c r="X64" i="14"/>
  <c r="X27" i="16"/>
  <c r="X62" i="13"/>
  <c r="X41" i="13"/>
  <c r="X31" i="16"/>
  <c r="X36" i="14"/>
  <c r="X54" i="13"/>
  <c r="X38" i="12"/>
  <c r="X33" i="11"/>
  <c r="X55" i="14"/>
  <c r="X56" i="11"/>
  <c r="X29" i="19"/>
  <c r="X31" i="19"/>
  <c r="X53" i="19"/>
  <c r="X26" i="13"/>
  <c r="X62" i="15"/>
  <c r="X59" i="15"/>
  <c r="X64" i="11"/>
  <c r="X56" i="12"/>
  <c r="X39" i="11"/>
  <c r="X38" i="15"/>
  <c r="X41" i="12"/>
  <c r="X30" i="12"/>
  <c r="X37" i="11"/>
  <c r="X40" i="15"/>
  <c r="X44" i="13"/>
  <c r="X61" i="16"/>
  <c r="X35" i="15"/>
  <c r="X57" i="19"/>
  <c r="X62" i="19"/>
  <c r="X59" i="19"/>
  <c r="X34" i="19"/>
  <c r="X53" i="16"/>
  <c r="X60" i="14"/>
  <c r="X53" i="12"/>
  <c r="X34" i="14"/>
  <c r="X52" i="14"/>
  <c r="X60" i="12"/>
  <c r="X54" i="16"/>
  <c r="X26" i="11"/>
  <c r="X41" i="14"/>
  <c r="X62" i="12"/>
  <c r="X38" i="13"/>
  <c r="X26" i="14"/>
  <c r="X25" i="15"/>
  <c r="X37" i="13"/>
  <c r="X29" i="16"/>
  <c r="X28" i="15"/>
  <c r="X63" i="16"/>
  <c r="X28" i="19"/>
  <c r="X37" i="19"/>
  <c r="X32" i="13"/>
  <c r="X28" i="11"/>
  <c r="X57" i="11"/>
  <c r="X32" i="14"/>
  <c r="X25" i="11"/>
  <c r="X40" i="16"/>
  <c r="X55" i="11"/>
  <c r="X37" i="14"/>
  <c r="X62" i="16"/>
  <c r="X57" i="14"/>
  <c r="X41" i="16"/>
  <c r="X63" i="13"/>
  <c r="X42" i="16"/>
  <c r="X43" i="14"/>
  <c r="X60" i="15"/>
  <c r="X27" i="15"/>
  <c r="X26" i="19"/>
  <c r="X25" i="19"/>
  <c r="X56" i="19"/>
  <c r="X59" i="16"/>
  <c r="X64" i="16"/>
  <c r="X64" i="13"/>
  <c r="X28" i="12"/>
  <c r="X45" i="12"/>
  <c r="X44" i="16"/>
  <c r="X42" i="13"/>
  <c r="X44" i="12"/>
  <c r="X36" i="15"/>
  <c r="X43" i="15"/>
  <c r="X45" i="13"/>
  <c r="X42" i="11"/>
  <c r="X41" i="15"/>
  <c r="X54" i="19"/>
  <c r="X55" i="15"/>
  <c r="X30" i="16"/>
  <c r="X31" i="15"/>
  <c r="X60" i="16"/>
  <c r="X57" i="13"/>
  <c r="X37" i="15"/>
  <c r="X38" i="11"/>
  <c r="X34" i="16"/>
  <c r="X60" i="11"/>
  <c r="X53" i="11"/>
  <c r="X56" i="13"/>
  <c r="X53" i="15"/>
  <c r="X44" i="15"/>
  <c r="X52" i="15"/>
  <c r="X57" i="15"/>
  <c r="X52" i="12"/>
  <c r="X61" i="15"/>
  <c r="X27" i="12"/>
  <c r="X61" i="14"/>
  <c r="X36" i="13"/>
  <c r="X61" i="11"/>
  <c r="X52" i="19"/>
  <c r="X44" i="11"/>
  <c r="X34" i="11"/>
  <c r="X35" i="14"/>
  <c r="X43" i="16"/>
  <c r="X25" i="16"/>
  <c r="X36" i="12"/>
  <c r="X57" i="16"/>
  <c r="X45" i="11"/>
  <c r="X43" i="13"/>
  <c r="X54" i="15"/>
  <c r="X30" i="14"/>
  <c r="X32" i="11"/>
  <c r="X43" i="12"/>
  <c r="X56" i="16"/>
  <c r="X59" i="14"/>
  <c r="X40" i="13"/>
  <c r="X39" i="15"/>
  <c r="X35" i="13"/>
  <c r="X33" i="15"/>
  <c r="X64" i="15"/>
  <c r="X34" i="15"/>
  <c r="X25" i="13"/>
  <c r="X63" i="12"/>
  <c r="X31" i="13"/>
  <c r="X36" i="19"/>
  <c r="X43" i="19"/>
  <c r="X30" i="19"/>
  <c r="X32" i="19"/>
  <c r="X52" i="11"/>
  <c r="X56" i="15"/>
  <c r="X59" i="11"/>
  <c r="X41" i="11"/>
  <c r="X25" i="12"/>
  <c r="X30" i="15"/>
  <c r="X59" i="13"/>
  <c r="X42" i="14"/>
  <c r="X29" i="15"/>
  <c r="X27" i="14"/>
  <c r="X26" i="15"/>
  <c r="X45" i="15"/>
  <c r="X29" i="12"/>
  <c r="X60" i="13"/>
  <c r="X32" i="15"/>
  <c r="X29" i="14"/>
  <c r="X35" i="16"/>
  <c r="X53" i="13"/>
  <c r="X37" i="12"/>
  <c r="X34" i="13"/>
  <c r="X35" i="19"/>
  <c r="X61" i="19"/>
  <c r="X40" i="19"/>
  <c r="X63" i="11"/>
  <c r="X25" i="14"/>
  <c r="X54" i="12"/>
  <c r="X28" i="16"/>
  <c r="X40" i="11"/>
  <c r="X54" i="14"/>
  <c r="X32" i="12"/>
  <c r="X63" i="14"/>
  <c r="X33" i="13"/>
  <c r="X28" i="14"/>
  <c r="X55" i="13"/>
  <c r="X34" i="12"/>
  <c r="X39" i="12"/>
  <c r="AI46" i="14"/>
  <c r="AI47" i="16"/>
  <c r="AI47" i="11"/>
  <c r="AI46" i="12"/>
  <c r="AI20" i="11"/>
  <c r="AI48" i="16"/>
  <c r="AI20" i="16"/>
  <c r="AI19" i="15"/>
  <c r="AI51" i="12"/>
  <c r="AI51" i="15"/>
  <c r="AI21" i="14"/>
  <c r="AI21" i="15"/>
  <c r="AI48" i="19"/>
  <c r="AI47" i="19"/>
  <c r="AI20" i="19"/>
  <c r="AI51" i="16"/>
  <c r="AI19" i="13"/>
  <c r="AI51" i="11"/>
  <c r="AI20" i="13"/>
  <c r="AI48" i="12"/>
  <c r="AI50" i="12"/>
  <c r="AI47" i="12"/>
  <c r="AI49" i="15"/>
  <c r="AI51" i="19"/>
  <c r="AI49" i="11"/>
  <c r="AI21" i="11"/>
  <c r="AI20" i="14"/>
  <c r="AI47" i="13"/>
  <c r="AI48" i="11"/>
  <c r="AI21" i="16"/>
  <c r="AI50" i="14"/>
  <c r="AI47" i="14"/>
  <c r="AI21" i="12"/>
  <c r="AI19" i="11"/>
  <c r="AI19" i="19"/>
  <c r="AI46" i="11"/>
  <c r="AI20" i="15"/>
  <c r="AI50" i="13"/>
  <c r="AI20" i="12"/>
  <c r="AI51" i="14"/>
  <c r="AI47" i="15"/>
  <c r="AI21" i="13"/>
  <c r="AI21" i="19"/>
  <c r="AI46" i="19"/>
  <c r="AI50" i="11"/>
  <c r="AI49" i="16"/>
  <c r="AI48" i="14"/>
  <c r="AI19" i="16"/>
  <c r="AI19" i="14"/>
  <c r="AI48" i="13"/>
  <c r="AI46" i="16"/>
  <c r="AI50" i="16"/>
  <c r="AI49" i="14"/>
  <c r="AI49" i="13"/>
  <c r="AI46" i="15"/>
  <c r="AI50" i="15"/>
  <c r="AI46" i="13"/>
  <c r="AI19" i="12"/>
  <c r="AI48" i="15"/>
  <c r="AI51" i="13"/>
  <c r="AI50" i="19"/>
  <c r="AP47" i="19"/>
  <c r="AP21" i="19"/>
  <c r="AP50" i="13"/>
  <c r="AP47" i="14"/>
  <c r="AP49" i="13"/>
  <c r="AP21" i="16"/>
  <c r="AP51" i="13"/>
  <c r="AP50" i="19"/>
  <c r="AP19" i="19"/>
  <c r="AP49" i="16"/>
  <c r="AP47" i="15"/>
  <c r="AP49" i="14"/>
  <c r="AP20" i="14"/>
  <c r="AP51" i="12"/>
  <c r="AP20" i="13"/>
  <c r="AP51" i="19"/>
  <c r="AP21" i="14"/>
  <c r="AP50" i="14"/>
  <c r="AP51" i="15"/>
  <c r="AP48" i="12"/>
  <c r="AP19" i="12"/>
  <c r="AP49" i="11"/>
  <c r="AP50" i="15"/>
  <c r="AP49" i="15"/>
  <c r="AP48" i="16"/>
  <c r="AP21" i="11"/>
  <c r="AP48" i="15"/>
  <c r="AP46" i="12"/>
  <c r="AP47" i="11"/>
  <c r="AP48" i="11"/>
  <c r="AP48" i="14"/>
  <c r="AP19" i="13"/>
  <c r="AP50" i="11"/>
  <c r="AP19" i="15"/>
  <c r="AP50" i="12"/>
  <c r="AP21" i="12"/>
  <c r="AP46" i="11"/>
  <c r="AP51" i="11"/>
  <c r="AP47" i="16"/>
  <c r="AP21" i="15"/>
  <c r="AP46" i="15"/>
  <c r="AP20" i="16"/>
  <c r="AP51" i="16"/>
  <c r="AP47" i="12"/>
  <c r="AP20" i="11"/>
  <c r="AP46" i="19"/>
  <c r="AP21" i="13"/>
  <c r="AP46" i="14"/>
  <c r="AP51" i="14"/>
  <c r="AP46" i="13"/>
  <c r="AP20" i="15"/>
  <c r="AP20" i="19"/>
  <c r="AP20" i="12"/>
  <c r="AP50" i="16"/>
  <c r="AP48" i="13"/>
  <c r="AP46" i="16"/>
  <c r="AP19" i="16"/>
  <c r="AP47" i="13"/>
  <c r="AP19" i="14"/>
  <c r="AP19" i="11"/>
  <c r="AP48" i="19"/>
  <c r="AA13" i="19"/>
  <c r="AA7" i="19"/>
  <c r="AA17" i="14"/>
  <c r="AA17" i="12"/>
  <c r="AA13" i="15"/>
  <c r="AA4" i="12"/>
  <c r="AA15" i="14"/>
  <c r="AA7" i="13"/>
  <c r="AA17" i="13"/>
  <c r="AA23" i="15"/>
  <c r="AA9" i="14"/>
  <c r="AA15" i="11"/>
  <c r="AA11" i="14"/>
  <c r="AA23" i="13"/>
  <c r="AA5" i="19"/>
  <c r="AA24" i="19"/>
  <c r="AA10" i="12"/>
  <c r="AA5" i="13"/>
  <c r="AA7" i="15"/>
  <c r="AA18" i="14"/>
  <c r="AA15" i="12"/>
  <c r="AA8" i="14"/>
  <c r="AA22" i="14"/>
  <c r="AA9" i="13"/>
  <c r="AA11" i="16"/>
  <c r="AA24" i="13"/>
  <c r="AA16" i="14"/>
  <c r="AA9" i="19"/>
  <c r="AA18" i="13"/>
  <c r="AA7" i="16"/>
  <c r="AA7" i="12"/>
  <c r="AA23" i="12"/>
  <c r="AA24" i="14"/>
  <c r="AA15" i="15"/>
  <c r="AA16" i="19"/>
  <c r="AA8" i="19"/>
  <c r="AA11" i="19"/>
  <c r="AA11" i="13"/>
  <c r="AA4" i="15"/>
  <c r="AA16" i="11"/>
  <c r="AA16" i="15"/>
  <c r="AA22" i="16"/>
  <c r="AA13" i="14"/>
  <c r="AA18" i="15"/>
  <c r="AA17" i="16"/>
  <c r="AA12" i="19"/>
  <c r="AA10" i="16"/>
  <c r="AA8" i="15"/>
  <c r="AA8" i="16"/>
  <c r="AA11" i="11"/>
  <c r="AA12" i="16"/>
  <c r="AA5" i="12"/>
  <c r="AA24" i="16"/>
  <c r="AA10" i="13"/>
  <c r="AA12" i="12"/>
  <c r="AA4" i="16"/>
  <c r="AA8" i="11"/>
  <c r="AA12" i="15"/>
  <c r="AA24" i="11"/>
  <c r="AA4" i="11"/>
  <c r="AA16" i="16"/>
  <c r="AA22" i="11"/>
  <c r="AA8" i="12"/>
  <c r="AA16" i="13"/>
  <c r="AA10" i="15"/>
  <c r="AA8" i="13"/>
  <c r="AA4" i="19"/>
  <c r="AA14" i="14"/>
  <c r="AA14" i="15"/>
  <c r="AA24" i="12"/>
  <c r="AA22" i="15"/>
  <c r="AA10" i="11"/>
  <c r="AA7" i="14"/>
  <c r="AA6" i="19"/>
  <c r="AA16" i="12"/>
  <c r="AA6" i="12"/>
  <c r="AA15" i="13"/>
  <c r="AA23" i="14"/>
  <c r="AA14" i="12"/>
  <c r="AA4" i="13"/>
  <c r="AA5" i="16"/>
  <c r="AA18" i="12"/>
  <c r="AA14" i="16"/>
  <c r="AA15" i="16"/>
  <c r="AA23" i="16"/>
  <c r="AA22" i="13"/>
  <c r="AA18" i="19"/>
  <c r="AA22" i="19"/>
  <c r="AA6" i="11"/>
  <c r="AA13" i="13"/>
  <c r="AA9" i="15"/>
  <c r="AA11" i="12"/>
  <c r="AA5" i="14"/>
  <c r="AA13" i="16"/>
  <c r="AA4" i="14"/>
  <c r="AA18" i="16"/>
  <c r="AA23" i="19"/>
  <c r="AA24" i="15"/>
  <c r="AA6" i="14"/>
  <c r="AA18" i="11"/>
  <c r="AA14" i="11"/>
  <c r="AA13" i="12"/>
  <c r="AA12" i="14"/>
  <c r="AA13" i="11"/>
  <c r="AA17" i="11"/>
  <c r="AA14" i="13"/>
  <c r="AA10" i="19"/>
  <c r="AA15" i="19"/>
  <c r="AA22" i="12"/>
  <c r="AA11" i="15"/>
  <c r="AA7" i="11"/>
  <c r="AA12" i="11"/>
  <c r="AA5" i="15"/>
  <c r="AA14" i="19"/>
  <c r="AA17" i="19"/>
  <c r="AA9" i="16"/>
  <c r="AA5" i="11"/>
  <c r="AA17" i="15"/>
  <c r="AA10" i="14"/>
  <c r="AA6" i="13"/>
  <c r="AA12" i="13"/>
  <c r="AA6" i="15"/>
  <c r="AA23" i="11"/>
  <c r="AA9" i="11"/>
  <c r="AA6" i="16"/>
  <c r="Z9" i="19"/>
  <c r="Z8" i="19"/>
  <c r="Z8" i="11"/>
  <c r="Z14" i="11"/>
  <c r="Z13" i="11"/>
  <c r="Z17" i="13"/>
  <c r="Z22" i="12"/>
  <c r="Z11" i="16"/>
  <c r="Z4" i="15"/>
  <c r="Z13" i="14"/>
  <c r="Z7" i="14"/>
  <c r="Z10" i="14"/>
  <c r="Z14" i="16"/>
  <c r="Z18" i="13"/>
  <c r="Z18" i="15"/>
  <c r="Z12" i="11"/>
  <c r="Z17" i="11"/>
  <c r="Z8" i="13"/>
  <c r="Z7" i="16"/>
  <c r="Z7" i="11"/>
  <c r="Z7" i="19"/>
  <c r="Z4" i="19"/>
  <c r="Z17" i="19"/>
  <c r="Z12" i="15"/>
  <c r="Z18" i="12"/>
  <c r="Z9" i="15"/>
  <c r="Z12" i="19"/>
  <c r="Z18" i="19"/>
  <c r="Z4" i="13"/>
  <c r="Z5" i="12"/>
  <c r="Z5" i="15"/>
  <c r="Z11" i="14"/>
  <c r="Z6" i="16"/>
  <c r="Z14" i="13"/>
  <c r="Z15" i="12"/>
  <c r="Z22" i="16"/>
  <c r="Z11" i="11"/>
  <c r="Z24" i="11"/>
  <c r="Z12" i="14"/>
  <c r="Z22" i="11"/>
  <c r="Z22" i="14"/>
  <c r="Z4" i="16"/>
  <c r="Z6" i="11"/>
  <c r="Z17" i="14"/>
  <c r="Z8" i="12"/>
  <c r="Z22" i="19"/>
  <c r="Z23" i="19"/>
  <c r="Z16" i="14"/>
  <c r="Z16" i="16"/>
  <c r="Z4" i="12"/>
  <c r="Z14" i="15"/>
  <c r="Z13" i="12"/>
  <c r="Z18" i="16"/>
  <c r="Z7" i="12"/>
  <c r="Z12" i="16"/>
  <c r="Z11" i="15"/>
  <c r="Z18" i="11"/>
  <c r="Z12" i="12"/>
  <c r="Z11" i="13"/>
  <c r="Z16" i="19"/>
  <c r="Z13" i="19"/>
  <c r="Z6" i="12"/>
  <c r="Z9" i="14"/>
  <c r="Z15" i="14"/>
  <c r="Z8" i="15"/>
  <c r="Z22" i="15"/>
  <c r="Z6" i="14"/>
  <c r="Z18" i="14"/>
  <c r="Z24" i="12"/>
  <c r="Z4" i="14"/>
  <c r="Z5" i="13"/>
  <c r="Z22" i="13"/>
  <c r="Z24" i="19"/>
  <c r="Z14" i="12"/>
  <c r="Z4" i="11"/>
  <c r="Z10" i="13"/>
  <c r="Z8" i="16"/>
  <c r="Z5" i="14"/>
  <c r="Z15" i="19"/>
  <c r="Z15" i="11"/>
  <c r="Z11" i="12"/>
  <c r="Z24" i="16"/>
  <c r="Z8" i="14"/>
  <c r="Z13" i="16"/>
  <c r="Z17" i="15"/>
  <c r="Z9" i="11"/>
  <c r="Z16" i="15"/>
  <c r="Z23" i="13"/>
  <c r="Z23" i="16"/>
  <c r="Z14" i="19"/>
  <c r="Z11" i="19"/>
  <c r="Z10" i="11"/>
  <c r="Z10" i="12"/>
  <c r="Z6" i="15"/>
  <c r="Z5" i="16"/>
  <c r="Z6" i="13"/>
  <c r="Z23" i="14"/>
  <c r="Z23" i="11"/>
  <c r="Z23" i="15"/>
  <c r="Z7" i="13"/>
  <c r="Z5" i="19"/>
  <c r="Z12" i="13"/>
  <c r="Z10" i="15"/>
  <c r="Z10" i="16"/>
  <c r="Z13" i="15"/>
  <c r="Z23" i="12"/>
  <c r="Z24" i="13"/>
  <c r="Z15" i="15"/>
  <c r="Z7" i="15"/>
  <c r="Z14" i="14"/>
  <c r="Z16" i="12"/>
  <c r="Z24" i="15"/>
  <c r="Z10" i="19"/>
  <c r="Z6" i="19"/>
  <c r="Z5" i="11"/>
  <c r="Z9" i="13"/>
  <c r="Z17" i="12"/>
  <c r="Z16" i="13"/>
  <c r="Z24" i="14"/>
  <c r="Z15" i="16"/>
  <c r="Z17" i="16"/>
  <c r="Z16" i="11"/>
  <c r="Z13" i="13"/>
  <c r="Z9" i="16"/>
  <c r="Z15" i="13"/>
  <c r="W23" i="15"/>
  <c r="W12" i="13"/>
  <c r="W4" i="16"/>
  <c r="W15" i="16"/>
  <c r="W5" i="13"/>
  <c r="W9" i="15"/>
  <c r="W16" i="11"/>
  <c r="W11" i="13"/>
  <c r="W12" i="14"/>
  <c r="W24" i="16"/>
  <c r="W14" i="14"/>
  <c r="W15" i="15"/>
  <c r="W13" i="12"/>
  <c r="W18" i="16"/>
  <c r="W5" i="11"/>
  <c r="W10" i="13"/>
  <c r="W9" i="13"/>
  <c r="W24" i="15"/>
  <c r="W24" i="13"/>
  <c r="W4" i="14"/>
  <c r="W18" i="14"/>
  <c r="W7" i="14"/>
  <c r="W11" i="15"/>
  <c r="W15" i="19"/>
  <c r="W4" i="19"/>
  <c r="W5" i="14"/>
  <c r="W8" i="11"/>
  <c r="W24" i="12"/>
  <c r="W10" i="14"/>
  <c r="W15" i="13"/>
  <c r="W18" i="13"/>
  <c r="W22" i="14"/>
  <c r="W14" i="15"/>
  <c r="W17" i="16"/>
  <c r="W16" i="16"/>
  <c r="W18" i="19"/>
  <c r="W14" i="12"/>
  <c r="W23" i="12"/>
  <c r="W7" i="15"/>
  <c r="W23" i="13"/>
  <c r="W6" i="16"/>
  <c r="W17" i="14"/>
  <c r="W22" i="19"/>
  <c r="W12" i="15"/>
  <c r="W24" i="14"/>
  <c r="W14" i="16"/>
  <c r="W4" i="13"/>
  <c r="W6" i="15"/>
  <c r="W10" i="12"/>
  <c r="W14" i="19"/>
  <c r="W23" i="19"/>
  <c r="W5" i="19"/>
  <c r="W6" i="11"/>
  <c r="W17" i="11"/>
  <c r="W10" i="11"/>
  <c r="W5" i="16"/>
  <c r="W22" i="13"/>
  <c r="W14" i="13"/>
  <c r="W8" i="15"/>
  <c r="W12" i="12"/>
  <c r="W9" i="11"/>
  <c r="W6" i="12"/>
  <c r="W5" i="12"/>
  <c r="W12" i="19"/>
  <c r="W16" i="13"/>
  <c r="W7" i="12"/>
  <c r="W17" i="15"/>
  <c r="W17" i="12"/>
  <c r="W10" i="16"/>
  <c r="W8" i="14"/>
  <c r="W15" i="12"/>
  <c r="W11" i="19"/>
  <c r="W6" i="19"/>
  <c r="W13" i="16"/>
  <c r="W23" i="14"/>
  <c r="W18" i="11"/>
  <c r="W5" i="15"/>
  <c r="W8" i="13"/>
  <c r="W11" i="14"/>
  <c r="W22" i="16"/>
  <c r="W6" i="14"/>
  <c r="W11" i="16"/>
  <c r="W8" i="16"/>
  <c r="W22" i="11"/>
  <c r="W11" i="12"/>
  <c r="W7" i="11"/>
  <c r="W18" i="12"/>
  <c r="W24" i="11"/>
  <c r="W8" i="12"/>
  <c r="W12" i="11"/>
  <c r="W22" i="15"/>
  <c r="W23" i="16"/>
  <c r="W10" i="19"/>
  <c r="W9" i="19"/>
  <c r="W13" i="11"/>
  <c r="W23" i="11"/>
  <c r="W22" i="12"/>
  <c r="W11" i="11"/>
  <c r="W13" i="15"/>
  <c r="W9" i="14"/>
  <c r="W16" i="15"/>
  <c r="W15" i="11"/>
  <c r="W7" i="13"/>
  <c r="W16" i="12"/>
  <c r="W4" i="12"/>
  <c r="W15" i="14"/>
  <c r="W12" i="16"/>
  <c r="W17" i="13"/>
  <c r="W7" i="19"/>
  <c r="W13" i="19"/>
  <c r="W17" i="19"/>
  <c r="W24" i="19"/>
  <c r="W18" i="15"/>
  <c r="W4" i="15"/>
  <c r="W16" i="14"/>
  <c r="W10" i="15"/>
  <c r="W9" i="16"/>
  <c r="W8" i="19"/>
  <c r="W16" i="19"/>
  <c r="W13" i="13"/>
  <c r="W4" i="11"/>
  <c r="W7" i="16"/>
  <c r="W6" i="13"/>
  <c r="W14" i="11"/>
  <c r="W13" i="14"/>
  <c r="AY48" i="19"/>
  <c r="AY19" i="14"/>
  <c r="AY51" i="13"/>
  <c r="AY47" i="14"/>
  <c r="AY21" i="14"/>
  <c r="AY21" i="12"/>
  <c r="AY21" i="19"/>
  <c r="AY19" i="15"/>
  <c r="AY46" i="12"/>
  <c r="AY21" i="15"/>
  <c r="AY48" i="12"/>
  <c r="AY50" i="19"/>
  <c r="AY50" i="12"/>
  <c r="AY49" i="11"/>
  <c r="AY46" i="11"/>
  <c r="AY48" i="16"/>
  <c r="AY48" i="11"/>
  <c r="AY46" i="19"/>
  <c r="AY46" i="13"/>
  <c r="AY47" i="13"/>
  <c r="AY50" i="11"/>
  <c r="AY47" i="12"/>
  <c r="AY49" i="14"/>
  <c r="AY50" i="13"/>
  <c r="AY19" i="11"/>
  <c r="AY20" i="11"/>
  <c r="AY48" i="15"/>
  <c r="AY49" i="16"/>
  <c r="AY51" i="12"/>
  <c r="AY21" i="11"/>
  <c r="AY50" i="15"/>
  <c r="AY19" i="19"/>
  <c r="AY21" i="13"/>
  <c r="AY20" i="14"/>
  <c r="AY20" i="13"/>
  <c r="AY19" i="12"/>
  <c r="AY51" i="16"/>
  <c r="AY46" i="15"/>
  <c r="AY48" i="14"/>
  <c r="AY46" i="14"/>
  <c r="AY46" i="16"/>
  <c r="AY21" i="16"/>
  <c r="AY49" i="15"/>
  <c r="AY51" i="19"/>
  <c r="AY47" i="19"/>
  <c r="AY19" i="13"/>
  <c r="AY47" i="15"/>
  <c r="AY51" i="15"/>
  <c r="AY20" i="16"/>
  <c r="AY20" i="19"/>
  <c r="AY19" i="16"/>
  <c r="AY47" i="11"/>
  <c r="AY49" i="13"/>
  <c r="AY47" i="16"/>
  <c r="AY51" i="14"/>
  <c r="AY50" i="14"/>
  <c r="AY48" i="13"/>
  <c r="AY20" i="15"/>
  <c r="AY20" i="12"/>
  <c r="AY51" i="11"/>
  <c r="AY50" i="16"/>
  <c r="BE47" i="19"/>
  <c r="BE48" i="12"/>
  <c r="BE47" i="15"/>
  <c r="BE21" i="16"/>
  <c r="BE20" i="12"/>
  <c r="BE51" i="11"/>
  <c r="BE50" i="12"/>
  <c r="BE50" i="19"/>
  <c r="BE46" i="19"/>
  <c r="BE48" i="11"/>
  <c r="BE49" i="16"/>
  <c r="BE47" i="11"/>
  <c r="BE20" i="15"/>
  <c r="BE21" i="15"/>
  <c r="BE48" i="15"/>
  <c r="BE51" i="14"/>
  <c r="BE21" i="19"/>
  <c r="BE48" i="19"/>
  <c r="BE19" i="12"/>
  <c r="BE19" i="11"/>
  <c r="BE50" i="16"/>
  <c r="BE19" i="14"/>
  <c r="BE51" i="13"/>
  <c r="BE46" i="13"/>
  <c r="BE51" i="12"/>
  <c r="BE20" i="11"/>
  <c r="BE19" i="16"/>
  <c r="BE46" i="14"/>
  <c r="BE50" i="14"/>
  <c r="BE47" i="13"/>
  <c r="BE46" i="12"/>
  <c r="BE48" i="13"/>
  <c r="BE50" i="13"/>
  <c r="BE48" i="14"/>
  <c r="BE20" i="14"/>
  <c r="BE21" i="12"/>
  <c r="BE21" i="11"/>
  <c r="BE51" i="16"/>
  <c r="BE19" i="13"/>
  <c r="BE46" i="16"/>
  <c r="BE46" i="15"/>
  <c r="BE49" i="11"/>
  <c r="BE20" i="13"/>
  <c r="BE19" i="19"/>
  <c r="BE20" i="19"/>
  <c r="BE47" i="12"/>
  <c r="BE48" i="16"/>
  <c r="BE49" i="14"/>
  <c r="BE51" i="19"/>
  <c r="BE21" i="13"/>
  <c r="BE47" i="16"/>
  <c r="BE20" i="16"/>
  <c r="BE49" i="13"/>
  <c r="BE51" i="15"/>
  <c r="BE46" i="11"/>
  <c r="BE50" i="15"/>
  <c r="BE50" i="11"/>
  <c r="BE19" i="15"/>
  <c r="BE49" i="15"/>
  <c r="BE47" i="14"/>
  <c r="BE21" i="14"/>
  <c r="BE61" i="19"/>
  <c r="BE63" i="11"/>
  <c r="BE39" i="13"/>
  <c r="BE38" i="15"/>
  <c r="BE56" i="15"/>
  <c r="BE54" i="15"/>
  <c r="BE45" i="16"/>
  <c r="BE27" i="15"/>
  <c r="BE53" i="16"/>
  <c r="BE38" i="16"/>
  <c r="BE55" i="13"/>
  <c r="BE28" i="19"/>
  <c r="BE36" i="19"/>
  <c r="BE62" i="19"/>
  <c r="BE29" i="19"/>
  <c r="BE56" i="19"/>
  <c r="BE33" i="19"/>
  <c r="BE44" i="15"/>
  <c r="BE38" i="13"/>
  <c r="BE64" i="13"/>
  <c r="BE35" i="13"/>
  <c r="BE26" i="11"/>
  <c r="BE54" i="16"/>
  <c r="BE61" i="14"/>
  <c r="BE54" i="13"/>
  <c r="BE28" i="11"/>
  <c r="BE44" i="16"/>
  <c r="BE30" i="13"/>
  <c r="BE34" i="13"/>
  <c r="BE60" i="11"/>
  <c r="BE63" i="13"/>
  <c r="BE31" i="15"/>
  <c r="BE52" i="11"/>
  <c r="BE59" i="15"/>
  <c r="BE26" i="13"/>
  <c r="BE37" i="12"/>
  <c r="BE39" i="12"/>
  <c r="BE36" i="16"/>
  <c r="BE39" i="19"/>
  <c r="BE45" i="19"/>
  <c r="BE44" i="19"/>
  <c r="BE56" i="11"/>
  <c r="BE55" i="14"/>
  <c r="BE27" i="14"/>
  <c r="BE40" i="12"/>
  <c r="BE41" i="11"/>
  <c r="BE40" i="14"/>
  <c r="BE32" i="14"/>
  <c r="BE45" i="13"/>
  <c r="BE42" i="13"/>
  <c r="BE29" i="11"/>
  <c r="BE59" i="12"/>
  <c r="BE57" i="19"/>
  <c r="BE52" i="19"/>
  <c r="BE54" i="19"/>
  <c r="BE31" i="19"/>
  <c r="BE27" i="19"/>
  <c r="BE44" i="11"/>
  <c r="BE52" i="13"/>
  <c r="BE53" i="15"/>
  <c r="BE41" i="14"/>
  <c r="BE64" i="12"/>
  <c r="BE35" i="15"/>
  <c r="BE57" i="11"/>
  <c r="BE53" i="11"/>
  <c r="BE38" i="11"/>
  <c r="BE39" i="15"/>
  <c r="BE35" i="11"/>
  <c r="BE25" i="15"/>
  <c r="BE52" i="14"/>
  <c r="BE27" i="11"/>
  <c r="BE37" i="14"/>
  <c r="BE31" i="16"/>
  <c r="BE30" i="11"/>
  <c r="BE62" i="15"/>
  <c r="BE44" i="12"/>
  <c r="BE31" i="12"/>
  <c r="BE45" i="14"/>
  <c r="BE42" i="19"/>
  <c r="BE43" i="19"/>
  <c r="BE53" i="19"/>
  <c r="BE29" i="12"/>
  <c r="BE28" i="16"/>
  <c r="BE37" i="11"/>
  <c r="BE31" i="13"/>
  <c r="BE61" i="12"/>
  <c r="BE57" i="12"/>
  <c r="BE55" i="12"/>
  <c r="BE36" i="12"/>
  <c r="BE41" i="16"/>
  <c r="BE31" i="11"/>
  <c r="BE55" i="15"/>
  <c r="BE30" i="15"/>
  <c r="BE38" i="14"/>
  <c r="BE52" i="16"/>
  <c r="BE28" i="13"/>
  <c r="BE56" i="12"/>
  <c r="BE43" i="15"/>
  <c r="BE25" i="14"/>
  <c r="BE59" i="19"/>
  <c r="BE60" i="19"/>
  <c r="BE59" i="11"/>
  <c r="BE26" i="16"/>
  <c r="BE63" i="16"/>
  <c r="BE57" i="13"/>
  <c r="BE64" i="11"/>
  <c r="BE25" i="16"/>
  <c r="BE34" i="14"/>
  <c r="BE42" i="16"/>
  <c r="BE36" i="15"/>
  <c r="BE29" i="13"/>
  <c r="BE59" i="14"/>
  <c r="BE25" i="11"/>
  <c r="BE54" i="14"/>
  <c r="BE62" i="12"/>
  <c r="BE55" i="19"/>
  <c r="BE34" i="19"/>
  <c r="BE41" i="12"/>
  <c r="BE36" i="13"/>
  <c r="BE35" i="14"/>
  <c r="BE43" i="11"/>
  <c r="BE61" i="13"/>
  <c r="BE30" i="16"/>
  <c r="BE41" i="13"/>
  <c r="BE29" i="14"/>
  <c r="BE61" i="15"/>
  <c r="BE55" i="16"/>
  <c r="BE29" i="16"/>
  <c r="BE62" i="11"/>
  <c r="BE32" i="12"/>
  <c r="BE55" i="11"/>
  <c r="BE32" i="15"/>
  <c r="BE34" i="11"/>
  <c r="BE34" i="12"/>
  <c r="BE45" i="15"/>
  <c r="BE63" i="19"/>
  <c r="BE25" i="19"/>
  <c r="BE26" i="19"/>
  <c r="BE36" i="11"/>
  <c r="BE37" i="15"/>
  <c r="BE44" i="14"/>
  <c r="BE53" i="13"/>
  <c r="BE60" i="14"/>
  <c r="BE63" i="12"/>
  <c r="BE61" i="11"/>
  <c r="BE26" i="14"/>
  <c r="BE39" i="11"/>
  <c r="BE32" i="11"/>
  <c r="BE64" i="16"/>
  <c r="BE32" i="13"/>
  <c r="BE57" i="16"/>
  <c r="BE43" i="16"/>
  <c r="BE61" i="16"/>
  <c r="BE53" i="12"/>
  <c r="BE42" i="15"/>
  <c r="BE62" i="13"/>
  <c r="BE54" i="11"/>
  <c r="BE37" i="19"/>
  <c r="BE40" i="19"/>
  <c r="BE35" i="19"/>
  <c r="BE41" i="19"/>
  <c r="BE33" i="12"/>
  <c r="BE40" i="11"/>
  <c r="BE45" i="12"/>
  <c r="BE45" i="11"/>
  <c r="BE62" i="14"/>
  <c r="BE39" i="16"/>
  <c r="BE42" i="14"/>
  <c r="BE60" i="12"/>
  <c r="BE33" i="16"/>
  <c r="BE27" i="12"/>
  <c r="BE26" i="12"/>
  <c r="BE36" i="14"/>
  <c r="BE37" i="13"/>
  <c r="BE30" i="14"/>
  <c r="BE63" i="15"/>
  <c r="BE39" i="14"/>
  <c r="BE34" i="16"/>
  <c r="BE26" i="15"/>
  <c r="BE40" i="15"/>
  <c r="BE53" i="14"/>
  <c r="BE33" i="14"/>
  <c r="BE25" i="12"/>
  <c r="BE33" i="13"/>
  <c r="BE40" i="16"/>
  <c r="BE64" i="14"/>
  <c r="BE38" i="12"/>
  <c r="BE43" i="13"/>
  <c r="BE57" i="14"/>
  <c r="BE42" i="12"/>
  <c r="BE64" i="15"/>
  <c r="BE54" i="12"/>
  <c r="BE56" i="14"/>
  <c r="BE41" i="15"/>
  <c r="BE44" i="13"/>
  <c r="BE34" i="15"/>
  <c r="BE56" i="13"/>
  <c r="BE28" i="12"/>
  <c r="BE28" i="15"/>
  <c r="BE37" i="16"/>
  <c r="BE27" i="13"/>
  <c r="BE52" i="15"/>
  <c r="BE56" i="16"/>
  <c r="BE38" i="19"/>
  <c r="BE30" i="19"/>
  <c r="BE64" i="19"/>
  <c r="BE42" i="11"/>
  <c r="BE35" i="16"/>
  <c r="BE28" i="14"/>
  <c r="BE33" i="15"/>
  <c r="BE57" i="15"/>
  <c r="BE60" i="16"/>
  <c r="BE43" i="12"/>
  <c r="BE33" i="11"/>
  <c r="BE60" i="13"/>
  <c r="BE40" i="13"/>
  <c r="BE63" i="14"/>
  <c r="BE30" i="12"/>
  <c r="BE25" i="13"/>
  <c r="BE60" i="15"/>
  <c r="BE62" i="16"/>
  <c r="BE32" i="16"/>
  <c r="BE27" i="16"/>
  <c r="BE31" i="14"/>
  <c r="BE52" i="12"/>
  <c r="BE29" i="15"/>
  <c r="BE32" i="19"/>
  <c r="BE59" i="13"/>
  <c r="BE43" i="14"/>
  <c r="BE59" i="16"/>
  <c r="BE35" i="12"/>
  <c r="BJ21" i="13"/>
  <c r="BJ50" i="12"/>
  <c r="BJ50" i="15"/>
  <c r="BJ48" i="15"/>
  <c r="BJ47" i="19"/>
  <c r="BJ21" i="12"/>
  <c r="BJ19" i="12"/>
  <c r="BJ49" i="15"/>
  <c r="BJ49" i="16"/>
  <c r="BJ19" i="13"/>
  <c r="BJ50" i="19"/>
  <c r="BJ19" i="19"/>
  <c r="BJ48" i="19"/>
  <c r="BJ20" i="19"/>
  <c r="BJ49" i="13"/>
  <c r="BJ21" i="16"/>
  <c r="BJ19" i="14"/>
  <c r="BJ46" i="11"/>
  <c r="BJ46" i="13"/>
  <c r="BJ20" i="15"/>
  <c r="BJ50" i="16"/>
  <c r="BJ48" i="12"/>
  <c r="BJ51" i="14"/>
  <c r="BJ51" i="12"/>
  <c r="BJ20" i="14"/>
  <c r="BJ51" i="13"/>
  <c r="BJ20" i="12"/>
  <c r="BJ48" i="13"/>
  <c r="BJ48" i="14"/>
  <c r="BJ51" i="11"/>
  <c r="BJ47" i="14"/>
  <c r="BJ46" i="12"/>
  <c r="BJ48" i="11"/>
  <c r="BJ50" i="11"/>
  <c r="BJ19" i="16"/>
  <c r="BJ48" i="16"/>
  <c r="BJ50" i="14"/>
  <c r="BJ19" i="15"/>
  <c r="BJ20" i="16"/>
  <c r="BJ46" i="15"/>
  <c r="BJ21" i="14"/>
  <c r="BJ47" i="12"/>
  <c r="BJ19" i="11"/>
  <c r="BJ20" i="11"/>
  <c r="BJ50" i="13"/>
  <c r="BJ49" i="14"/>
  <c r="BJ46" i="19"/>
  <c r="BJ21" i="19"/>
  <c r="BJ51" i="16"/>
  <c r="BJ47" i="13"/>
  <c r="BJ47" i="15"/>
  <c r="BJ49" i="11"/>
  <c r="BJ21" i="11"/>
  <c r="BJ51" i="19"/>
  <c r="BJ47" i="11"/>
  <c r="BJ51" i="15"/>
  <c r="BJ21" i="15"/>
  <c r="BJ46" i="14"/>
  <c r="BJ46" i="16"/>
  <c r="BJ20" i="13"/>
  <c r="BJ47" i="16"/>
  <c r="R297" i="1"/>
  <c r="U297" i="1" s="1"/>
  <c r="AY62" i="19"/>
  <c r="AY32" i="19"/>
  <c r="AY35" i="16"/>
  <c r="AY25" i="16"/>
  <c r="AY42" i="11"/>
  <c r="AY38" i="14"/>
  <c r="AY41" i="13"/>
  <c r="AY25" i="11"/>
  <c r="AY61" i="13"/>
  <c r="AY41" i="15"/>
  <c r="AY35" i="11"/>
  <c r="AY31" i="15"/>
  <c r="AY64" i="13"/>
  <c r="AY43" i="13"/>
  <c r="AY28" i="14"/>
  <c r="AY60" i="12"/>
  <c r="AY61" i="14"/>
  <c r="AY27" i="11"/>
  <c r="AY44" i="15"/>
  <c r="AY33" i="16"/>
  <c r="AY55" i="11"/>
  <c r="AY40" i="12"/>
  <c r="AY39" i="13"/>
  <c r="AY59" i="19"/>
  <c r="AY64" i="16"/>
  <c r="AY25" i="13"/>
  <c r="AY33" i="13"/>
  <c r="AY39" i="19"/>
  <c r="AY60" i="19"/>
  <c r="AY41" i="19"/>
  <c r="AY34" i="16"/>
  <c r="AY42" i="13"/>
  <c r="AY27" i="13"/>
  <c r="AY59" i="11"/>
  <c r="AY59" i="12"/>
  <c r="AY31" i="13"/>
  <c r="AY30" i="11"/>
  <c r="AY43" i="11"/>
  <c r="AY36" i="12"/>
  <c r="AY55" i="14"/>
  <c r="AY57" i="12"/>
  <c r="AY29" i="16"/>
  <c r="AY33" i="12"/>
  <c r="AY41" i="16"/>
  <c r="AY61" i="12"/>
  <c r="AY27" i="14"/>
  <c r="AY52" i="15"/>
  <c r="AY55" i="12"/>
  <c r="AY37" i="19"/>
  <c r="AY63" i="19"/>
  <c r="AY45" i="19"/>
  <c r="AY35" i="19"/>
  <c r="AY34" i="19"/>
  <c r="AY53" i="11"/>
  <c r="AY36" i="13"/>
  <c r="AY56" i="13"/>
  <c r="AY32" i="16"/>
  <c r="AY53" i="14"/>
  <c r="AY62" i="14"/>
  <c r="AY62" i="15"/>
  <c r="AY63" i="14"/>
  <c r="AY38" i="16"/>
  <c r="AY52" i="16"/>
  <c r="AY52" i="11"/>
  <c r="AY36" i="14"/>
  <c r="AY45" i="16"/>
  <c r="AY25" i="12"/>
  <c r="AY26" i="12"/>
  <c r="AY42" i="12"/>
  <c r="AY44" i="14"/>
  <c r="AY34" i="14"/>
  <c r="AY31" i="19"/>
  <c r="AY33" i="11"/>
  <c r="AY52" i="14"/>
  <c r="AY26" i="19"/>
  <c r="AY57" i="19"/>
  <c r="AY64" i="19"/>
  <c r="AY25" i="19"/>
  <c r="AY56" i="19"/>
  <c r="AY31" i="14"/>
  <c r="AY37" i="12"/>
  <c r="AY34" i="12"/>
  <c r="AY32" i="12"/>
  <c r="AY57" i="16"/>
  <c r="AY37" i="14"/>
  <c r="AY38" i="11"/>
  <c r="AY35" i="15"/>
  <c r="AY35" i="12"/>
  <c r="AY37" i="15"/>
  <c r="AY40" i="15"/>
  <c r="AY62" i="16"/>
  <c r="AY60" i="14"/>
  <c r="AY44" i="13"/>
  <c r="AY37" i="16"/>
  <c r="AY34" i="15"/>
  <c r="AY35" i="13"/>
  <c r="AY42" i="15"/>
  <c r="AY30" i="19"/>
  <c r="AY36" i="19"/>
  <c r="AY56" i="11"/>
  <c r="AY57" i="14"/>
  <c r="AY43" i="15"/>
  <c r="AY55" i="15"/>
  <c r="AY32" i="15"/>
  <c r="AY28" i="12"/>
  <c r="AY31" i="11"/>
  <c r="AY25" i="15"/>
  <c r="AY63" i="13"/>
  <c r="AY25" i="14"/>
  <c r="AY28" i="13"/>
  <c r="AY53" i="12"/>
  <c r="AY28" i="15"/>
  <c r="AY54" i="15"/>
  <c r="AY64" i="15"/>
  <c r="AY29" i="14"/>
  <c r="AY53" i="19"/>
  <c r="AY32" i="13"/>
  <c r="AY28" i="11"/>
  <c r="AY63" i="11"/>
  <c r="AY64" i="14"/>
  <c r="AY27" i="15"/>
  <c r="AY30" i="15"/>
  <c r="AY43" i="12"/>
  <c r="AY56" i="12"/>
  <c r="AY59" i="13"/>
  <c r="AY31" i="16"/>
  <c r="AY60" i="11"/>
  <c r="AY27" i="16"/>
  <c r="AY61" i="15"/>
  <c r="AY26" i="16"/>
  <c r="AY32" i="14"/>
  <c r="AY45" i="15"/>
  <c r="AY33" i="15"/>
  <c r="AY39" i="16"/>
  <c r="AY55" i="19"/>
  <c r="AY44" i="12"/>
  <c r="AY43" i="16"/>
  <c r="AY29" i="15"/>
  <c r="AY28" i="16"/>
  <c r="AY37" i="11"/>
  <c r="AY52" i="12"/>
  <c r="AY64" i="12"/>
  <c r="AY53" i="13"/>
  <c r="AY40" i="11"/>
  <c r="AY45" i="13"/>
  <c r="AY54" i="13"/>
  <c r="AY57" i="13"/>
  <c r="AY29" i="13"/>
  <c r="AY53" i="16"/>
  <c r="AY63" i="12"/>
  <c r="AY29" i="11"/>
  <c r="AY62" i="11"/>
  <c r="AY43" i="19"/>
  <c r="AY28" i="19"/>
  <c r="AY42" i="16"/>
  <c r="AY41" i="14"/>
  <c r="AY36" i="11"/>
  <c r="AY30" i="13"/>
  <c r="AY59" i="16"/>
  <c r="AY55" i="13"/>
  <c r="AY41" i="11"/>
  <c r="AY62" i="13"/>
  <c r="AY63" i="15"/>
  <c r="AY59" i="14"/>
  <c r="AY45" i="14"/>
  <c r="AY45" i="11"/>
  <c r="AY29" i="12"/>
  <c r="AY61" i="16"/>
  <c r="AY54" i="16"/>
  <c r="AY56" i="16"/>
  <c r="AY30" i="16"/>
  <c r="AY32" i="11"/>
  <c r="AY54" i="12"/>
  <c r="AY36" i="15"/>
  <c r="AY38" i="13"/>
  <c r="AY27" i="19"/>
  <c r="AY31" i="12"/>
  <c r="AY40" i="13"/>
  <c r="AY61" i="11"/>
  <c r="AY40" i="14"/>
  <c r="AY54" i="11"/>
  <c r="AY36" i="16"/>
  <c r="AY44" i="11"/>
  <c r="AY27" i="12"/>
  <c r="AY41" i="12"/>
  <c r="AY54" i="14"/>
  <c r="AY53" i="15"/>
  <c r="AY34" i="11"/>
  <c r="AY42" i="14"/>
  <c r="AY33" i="14"/>
  <c r="AY39" i="14"/>
  <c r="AY39" i="12"/>
  <c r="AY26" i="14"/>
  <c r="AY35" i="14"/>
  <c r="AY45" i="12"/>
  <c r="AY37" i="13"/>
  <c r="AY30" i="14"/>
  <c r="AY60" i="13"/>
  <c r="AY44" i="16"/>
  <c r="AY42" i="19"/>
  <c r="AY29" i="19"/>
  <c r="AY61" i="19"/>
  <c r="AY44" i="19"/>
  <c r="AY54" i="19"/>
  <c r="AY52" i="19"/>
  <c r="AY40" i="19"/>
  <c r="AY26" i="15"/>
  <c r="AY63" i="16"/>
  <c r="AY56" i="15"/>
  <c r="AY39" i="11"/>
  <c r="AY30" i="12"/>
  <c r="AY57" i="11"/>
  <c r="AY43" i="14"/>
  <c r="AY55" i="16"/>
  <c r="AY26" i="11"/>
  <c r="AY60" i="15"/>
  <c r="AY38" i="12"/>
  <c r="AY62" i="12"/>
  <c r="AY64" i="11"/>
  <c r="AY39" i="15"/>
  <c r="AY38" i="15"/>
  <c r="AY57" i="15"/>
  <c r="AY56" i="14"/>
  <c r="AY40" i="16"/>
  <c r="AY26" i="13"/>
  <c r="AY59" i="15"/>
  <c r="AY52" i="13"/>
  <c r="AY34" i="13"/>
  <c r="AY38" i="19"/>
  <c r="AY33" i="19"/>
  <c r="AY60" i="16"/>
  <c r="BK46" i="11"/>
  <c r="BK49" i="15"/>
  <c r="BK19" i="13"/>
  <c r="BK48" i="14"/>
  <c r="BK50" i="13"/>
  <c r="BK47" i="16"/>
  <c r="BK48" i="11"/>
  <c r="BK51" i="15"/>
  <c r="BK20" i="19"/>
  <c r="BK20" i="15"/>
  <c r="BK20" i="12"/>
  <c r="BK46" i="19"/>
  <c r="BK47" i="19"/>
  <c r="BK47" i="14"/>
  <c r="BK48" i="15"/>
  <c r="BK47" i="15"/>
  <c r="BK21" i="15"/>
  <c r="BK21" i="12"/>
  <c r="BK50" i="16"/>
  <c r="BK46" i="13"/>
  <c r="BK21" i="19"/>
  <c r="BK19" i="16"/>
  <c r="BK19" i="15"/>
  <c r="BK21" i="14"/>
  <c r="BK21" i="13"/>
  <c r="BK50" i="11"/>
  <c r="BK48" i="13"/>
  <c r="BK20" i="16"/>
  <c r="BK50" i="14"/>
  <c r="BK48" i="16"/>
  <c r="BK51" i="19"/>
  <c r="BK49" i="13"/>
  <c r="BK19" i="14"/>
  <c r="BK48" i="12"/>
  <c r="BK51" i="12"/>
  <c r="BK51" i="16"/>
  <c r="BK21" i="16"/>
  <c r="BK21" i="11"/>
  <c r="BK20" i="13"/>
  <c r="BK50" i="19"/>
  <c r="BK19" i="12"/>
  <c r="BK51" i="14"/>
  <c r="BK46" i="12"/>
  <c r="BK20" i="11"/>
  <c r="BK51" i="11"/>
  <c r="BK49" i="11"/>
  <c r="BK50" i="12"/>
  <c r="BK19" i="11"/>
  <c r="BK47" i="13"/>
  <c r="BK20" i="14"/>
  <c r="BK48" i="19"/>
  <c r="BK46" i="16"/>
  <c r="BK49" i="16"/>
  <c r="BK49" i="14"/>
  <c r="BK47" i="12"/>
  <c r="BK46" i="15"/>
  <c r="BK19" i="19"/>
  <c r="BK47" i="11"/>
  <c r="BK51" i="13"/>
  <c r="BK50" i="15"/>
  <c r="BK46" i="14"/>
  <c r="BK34" i="19"/>
  <c r="BK40" i="11"/>
  <c r="BK42" i="11"/>
  <c r="BK52" i="12"/>
  <c r="BK53" i="15"/>
  <c r="BK31" i="12"/>
  <c r="BK53" i="16"/>
  <c r="BK61" i="13"/>
  <c r="BK35" i="16"/>
  <c r="BK28" i="11"/>
  <c r="BK34" i="11"/>
  <c r="BK29" i="16"/>
  <c r="BK43" i="13"/>
  <c r="BK45" i="15"/>
  <c r="BK28" i="14"/>
  <c r="BK40" i="13"/>
  <c r="BK29" i="15"/>
  <c r="BK29" i="12"/>
  <c r="BK63" i="19"/>
  <c r="BK62" i="19"/>
  <c r="BK59" i="13"/>
  <c r="BK52" i="15"/>
  <c r="BK39" i="15"/>
  <c r="BK62" i="12"/>
  <c r="BK62" i="14"/>
  <c r="BK33" i="11"/>
  <c r="BK61" i="15"/>
  <c r="BK31" i="11"/>
  <c r="BK32" i="16"/>
  <c r="BK40" i="15"/>
  <c r="BK29" i="13"/>
  <c r="BK38" i="16"/>
  <c r="BK34" i="12"/>
  <c r="BK34" i="16"/>
  <c r="BK32" i="11"/>
  <c r="BK30" i="14"/>
  <c r="BK43" i="11"/>
  <c r="BK31" i="14"/>
  <c r="BK29" i="14"/>
  <c r="BK25" i="11"/>
  <c r="BK45" i="19"/>
  <c r="BK42" i="15"/>
  <c r="BK38" i="13"/>
  <c r="BK30" i="16"/>
  <c r="BK53" i="12"/>
  <c r="BK40" i="14"/>
  <c r="BK63" i="13"/>
  <c r="BK60" i="13"/>
  <c r="BK52" i="13"/>
  <c r="BK45" i="16"/>
  <c r="BK54" i="12"/>
  <c r="BK32" i="15"/>
  <c r="BK36" i="16"/>
  <c r="BK57" i="11"/>
  <c r="BK34" i="13"/>
  <c r="BK26" i="14"/>
  <c r="BK61" i="16"/>
  <c r="BK64" i="11"/>
  <c r="BK33" i="12"/>
  <c r="BK54" i="15"/>
  <c r="BK37" i="19"/>
  <c r="BK54" i="19"/>
  <c r="BK27" i="19"/>
  <c r="BK64" i="19"/>
  <c r="BK32" i="13"/>
  <c r="BK25" i="12"/>
  <c r="BK35" i="14"/>
  <c r="BK64" i="14"/>
  <c r="BK39" i="16"/>
  <c r="BK57" i="16"/>
  <c r="BK44" i="13"/>
  <c r="BK27" i="15"/>
  <c r="BK29" i="11"/>
  <c r="BK37" i="13"/>
  <c r="BK64" i="12"/>
  <c r="BK53" i="11"/>
  <c r="BK28" i="15"/>
  <c r="BK56" i="12"/>
  <c r="BK30" i="13"/>
  <c r="BK56" i="11"/>
  <c r="BK27" i="14"/>
  <c r="BK26" i="13"/>
  <c r="BK63" i="11"/>
  <c r="BK63" i="14"/>
  <c r="BK53" i="13"/>
  <c r="BK54" i="16"/>
  <c r="BK54" i="14"/>
  <c r="BK55" i="19"/>
  <c r="BK41" i="19"/>
  <c r="BK61" i="19"/>
  <c r="BK42" i="13"/>
  <c r="BK39" i="14"/>
  <c r="BK44" i="19"/>
  <c r="BK28" i="19"/>
  <c r="BK30" i="19"/>
  <c r="BK38" i="19"/>
  <c r="BK33" i="19"/>
  <c r="BK31" i="15"/>
  <c r="BK32" i="12"/>
  <c r="BK33" i="15"/>
  <c r="BK38" i="15"/>
  <c r="BK57" i="12"/>
  <c r="BK60" i="12"/>
  <c r="BK60" i="15"/>
  <c r="BK42" i="12"/>
  <c r="BK41" i="12"/>
  <c r="BK64" i="13"/>
  <c r="BK44" i="11"/>
  <c r="BK64" i="15"/>
  <c r="BK26" i="16"/>
  <c r="BK44" i="14"/>
  <c r="BK36" i="19"/>
  <c r="BK60" i="19"/>
  <c r="BK57" i="19"/>
  <c r="BK35" i="19"/>
  <c r="BK29" i="19"/>
  <c r="BK39" i="12"/>
  <c r="BK55" i="15"/>
  <c r="BK26" i="19"/>
  <c r="BK52" i="19"/>
  <c r="BK59" i="19"/>
  <c r="BK28" i="16"/>
  <c r="BK30" i="12"/>
  <c r="BK41" i="13"/>
  <c r="BK57" i="15"/>
  <c r="BK43" i="12"/>
  <c r="BK26" i="11"/>
  <c r="BK27" i="12"/>
  <c r="BK28" i="13"/>
  <c r="BK52" i="14"/>
  <c r="BK42" i="14"/>
  <c r="BK37" i="11"/>
  <c r="BK36" i="12"/>
  <c r="BK35" i="11"/>
  <c r="BK62" i="13"/>
  <c r="BK25" i="13"/>
  <c r="BK41" i="15"/>
  <c r="BK61" i="14"/>
  <c r="BK40" i="19"/>
  <c r="BK42" i="19"/>
  <c r="BK53" i="19"/>
  <c r="BK57" i="14"/>
  <c r="BK52" i="11"/>
  <c r="BK59" i="11"/>
  <c r="BK43" i="14"/>
  <c r="BK62" i="16"/>
  <c r="BK26" i="15"/>
  <c r="BK36" i="11"/>
  <c r="BK28" i="12"/>
  <c r="BK30" i="11"/>
  <c r="BK41" i="14"/>
  <c r="BK40" i="12"/>
  <c r="BK35" i="12"/>
  <c r="BK42" i="16"/>
  <c r="BK57" i="13"/>
  <c r="BK56" i="14"/>
  <c r="BK35" i="15"/>
  <c r="BK59" i="14"/>
  <c r="BK56" i="13"/>
  <c r="BK25" i="16"/>
  <c r="BK30" i="15"/>
  <c r="BK64" i="16"/>
  <c r="BK55" i="11"/>
  <c r="BK38" i="11"/>
  <c r="BK25" i="19"/>
  <c r="BK39" i="19"/>
  <c r="BK31" i="16"/>
  <c r="BK26" i="12"/>
  <c r="BK62" i="15"/>
  <c r="BK60" i="11"/>
  <c r="BK36" i="15"/>
  <c r="BK41" i="11"/>
  <c r="BK55" i="14"/>
  <c r="BK36" i="14"/>
  <c r="BK55" i="12"/>
  <c r="BK25" i="14"/>
  <c r="BK44" i="15"/>
  <c r="BK37" i="14"/>
  <c r="BK37" i="16"/>
  <c r="BK40" i="16"/>
  <c r="BK60" i="16"/>
  <c r="BK61" i="11"/>
  <c r="BK59" i="15"/>
  <c r="BK34" i="15"/>
  <c r="BK63" i="16"/>
  <c r="BK43" i="19"/>
  <c r="BK56" i="19"/>
  <c r="BK44" i="16"/>
  <c r="BK44" i="12"/>
  <c r="BK27" i="13"/>
  <c r="BK59" i="12"/>
  <c r="BK45" i="11"/>
  <c r="BK61" i="12"/>
  <c r="BK39" i="11"/>
  <c r="BK41" i="16"/>
  <c r="BK53" i="14"/>
  <c r="BK27" i="11"/>
  <c r="BK43" i="15"/>
  <c r="BK38" i="14"/>
  <c r="BK38" i="12"/>
  <c r="BK62" i="11"/>
  <c r="BK35" i="13"/>
  <c r="BK63" i="12"/>
  <c r="BK55" i="13"/>
  <c r="BK43" i="16"/>
  <c r="BK52" i="16"/>
  <c r="BK31" i="13"/>
  <c r="BK31" i="19"/>
  <c r="BK32" i="19"/>
  <c r="BK55" i="16"/>
  <c r="BK39" i="13"/>
  <c r="BK37" i="15"/>
  <c r="BK56" i="15"/>
  <c r="BK33" i="13"/>
  <c r="BK56" i="16"/>
  <c r="BK54" i="11"/>
  <c r="BK32" i="14"/>
  <c r="BK33" i="14"/>
  <c r="BK34" i="14"/>
  <c r="BK27" i="16"/>
  <c r="BK45" i="13"/>
  <c r="BK25" i="15"/>
  <c r="BK45" i="12"/>
  <c r="BK54" i="13"/>
  <c r="BK59" i="16"/>
  <c r="BK45" i="14"/>
  <c r="BK63" i="15"/>
  <c r="BK60" i="14"/>
  <c r="BK36" i="13"/>
  <c r="BK37" i="12"/>
  <c r="BK33" i="16"/>
  <c r="AG20" i="19"/>
  <c r="AG19" i="11"/>
  <c r="AG48" i="11"/>
  <c r="AG51" i="14"/>
  <c r="AG19" i="16"/>
  <c r="AG49" i="14"/>
  <c r="AG47" i="15"/>
  <c r="AG50" i="12"/>
  <c r="AG47" i="13"/>
  <c r="AG50" i="13"/>
  <c r="AG46" i="15"/>
  <c r="AG21" i="14"/>
  <c r="AG21" i="15"/>
  <c r="AG21" i="13"/>
  <c r="AG46" i="14"/>
  <c r="AG51" i="13"/>
  <c r="AG49" i="15"/>
  <c r="AG48" i="19"/>
  <c r="AG19" i="19"/>
  <c r="AG51" i="12"/>
  <c r="AG20" i="14"/>
  <c r="AG47" i="12"/>
  <c r="AG46" i="11"/>
  <c r="AG51" i="19"/>
  <c r="AG20" i="15"/>
  <c r="AG21" i="11"/>
  <c r="AG47" i="16"/>
  <c r="AG48" i="16"/>
  <c r="AG48" i="13"/>
  <c r="AG19" i="12"/>
  <c r="AG46" i="12"/>
  <c r="AG46" i="19"/>
  <c r="AG50" i="19"/>
  <c r="AG20" i="13"/>
  <c r="AG50" i="11"/>
  <c r="AG21" i="19"/>
  <c r="AG48" i="14"/>
  <c r="AG19" i="13"/>
  <c r="AG47" i="11"/>
  <c r="AG50" i="14"/>
  <c r="AG51" i="15"/>
  <c r="AG50" i="16"/>
  <c r="AG46" i="13"/>
  <c r="AG48" i="15"/>
  <c r="AG20" i="16"/>
  <c r="AG20" i="12"/>
  <c r="AG49" i="16"/>
  <c r="AG51" i="16"/>
  <c r="AG21" i="16"/>
  <c r="AG21" i="12"/>
  <c r="AG50" i="15"/>
  <c r="AG19" i="14"/>
  <c r="AG48" i="12"/>
  <c r="AG47" i="14"/>
  <c r="AG46" i="16"/>
  <c r="AG20" i="11"/>
  <c r="AG19" i="15"/>
  <c r="AG51" i="11"/>
  <c r="AG49" i="11"/>
  <c r="AG49" i="13"/>
  <c r="AG47" i="19"/>
  <c r="X8" i="19"/>
  <c r="X10" i="19"/>
  <c r="X12" i="19"/>
  <c r="X5" i="15"/>
  <c r="X8" i="13"/>
  <c r="X23" i="19"/>
  <c r="X24" i="19"/>
  <c r="X8" i="16"/>
  <c r="X9" i="11"/>
  <c r="X11" i="12"/>
  <c r="X17" i="15"/>
  <c r="X4" i="16"/>
  <c r="X14" i="16"/>
  <c r="X10" i="12"/>
  <c r="X23" i="15"/>
  <c r="X16" i="14"/>
  <c r="X15" i="14"/>
  <c r="X17" i="16"/>
  <c r="X7" i="14"/>
  <c r="X7" i="15"/>
  <c r="X14" i="13"/>
  <c r="X11" i="14"/>
  <c r="X18" i="19"/>
  <c r="X13" i="19"/>
  <c r="X9" i="19"/>
  <c r="X4" i="14"/>
  <c r="X6" i="15"/>
  <c r="X17" i="11"/>
  <c r="X9" i="15"/>
  <c r="X18" i="11"/>
  <c r="X16" i="15"/>
  <c r="X18" i="13"/>
  <c r="X10" i="15"/>
  <c r="X22" i="19"/>
  <c r="X23" i="11"/>
  <c r="X18" i="16"/>
  <c r="X12" i="15"/>
  <c r="X4" i="13"/>
  <c r="X5" i="16"/>
  <c r="X23" i="14"/>
  <c r="X10" i="14"/>
  <c r="X8" i="14"/>
  <c r="X7" i="11"/>
  <c r="X9" i="16"/>
  <c r="X17" i="19"/>
  <c r="X5" i="19"/>
  <c r="X4" i="19"/>
  <c r="X22" i="11"/>
  <c r="X24" i="12"/>
  <c r="X13" i="12"/>
  <c r="X13" i="13"/>
  <c r="X4" i="15"/>
  <c r="X5" i="12"/>
  <c r="X9" i="14"/>
  <c r="X4" i="12"/>
  <c r="X10" i="13"/>
  <c r="X5" i="13"/>
  <c r="X6" i="19"/>
  <c r="X15" i="15"/>
  <c r="X17" i="12"/>
  <c r="X17" i="13"/>
  <c r="X16" i="11"/>
  <c r="X23" i="13"/>
  <c r="X12" i="16"/>
  <c r="X14" i="12"/>
  <c r="X13" i="16"/>
  <c r="X24" i="16"/>
  <c r="X18" i="15"/>
  <c r="X22" i="15"/>
  <c r="X18" i="14"/>
  <c r="X14" i="14"/>
  <c r="X6" i="12"/>
  <c r="X24" i="13"/>
  <c r="X13" i="14"/>
  <c r="X7" i="12"/>
  <c r="X22" i="14"/>
  <c r="X11" i="19"/>
  <c r="X7" i="19"/>
  <c r="X15" i="11"/>
  <c r="X17" i="14"/>
  <c r="X6" i="16"/>
  <c r="X24" i="14"/>
  <c r="X16" i="13"/>
  <c r="X12" i="12"/>
  <c r="X10" i="16"/>
  <c r="X11" i="16"/>
  <c r="X12" i="13"/>
  <c r="X16" i="12"/>
  <c r="X7" i="16"/>
  <c r="X16" i="19"/>
  <c r="X15" i="19"/>
  <c r="X11" i="15"/>
  <c r="X6" i="13"/>
  <c r="X11" i="11"/>
  <c r="X8" i="11"/>
  <c r="X13" i="15"/>
  <c r="X15" i="12"/>
  <c r="X6" i="14"/>
  <c r="X22" i="16"/>
  <c r="X14" i="19"/>
  <c r="X15" i="16"/>
  <c r="X13" i="11"/>
  <c r="X5" i="11"/>
  <c r="X8" i="12"/>
  <c r="X10" i="11"/>
  <c r="X4" i="11"/>
  <c r="X15" i="13"/>
  <c r="X23" i="12"/>
  <c r="X14" i="15"/>
  <c r="X14" i="11"/>
  <c r="X23" i="16"/>
  <c r="X12" i="14"/>
  <c r="X6" i="11"/>
  <c r="X18" i="12"/>
  <c r="X22" i="13"/>
  <c r="X9" i="13"/>
  <c r="X16" i="16"/>
  <c r="X7" i="13"/>
  <c r="X24" i="15"/>
  <c r="X8" i="15"/>
  <c r="X11" i="13"/>
  <c r="X5" i="14"/>
  <c r="X12" i="11"/>
  <c r="X24" i="11"/>
  <c r="X22" i="12"/>
  <c r="R294" i="1"/>
  <c r="U294" i="1" s="1"/>
  <c r="L37" i="19"/>
  <c r="L45" i="19"/>
  <c r="L27" i="19"/>
  <c r="L30" i="11"/>
  <c r="L38" i="11"/>
  <c r="L29" i="15"/>
  <c r="L27" i="16"/>
  <c r="L39" i="13"/>
  <c r="L36" i="15"/>
  <c r="L42" i="12"/>
  <c r="L29" i="14"/>
  <c r="L60" i="11"/>
  <c r="L28" i="15"/>
  <c r="L42" i="15"/>
  <c r="L44" i="11"/>
  <c r="L37" i="13"/>
  <c r="L42" i="13"/>
  <c r="L62" i="12"/>
  <c r="L54" i="15"/>
  <c r="L28" i="14"/>
  <c r="L27" i="11"/>
  <c r="L33" i="19"/>
  <c r="L40" i="19"/>
  <c r="L41" i="19"/>
  <c r="L28" i="12"/>
  <c r="L52" i="11"/>
  <c r="L36" i="13"/>
  <c r="L30" i="14"/>
  <c r="L25" i="15"/>
  <c r="L39" i="12"/>
  <c r="L61" i="13"/>
  <c r="L31" i="14"/>
  <c r="L44" i="15"/>
  <c r="L41" i="11"/>
  <c r="L28" i="13"/>
  <c r="L61" i="16"/>
  <c r="L33" i="16"/>
  <c r="L59" i="16"/>
  <c r="L52" i="15"/>
  <c r="L26" i="15"/>
  <c r="L57" i="19"/>
  <c r="L28" i="19"/>
  <c r="L35" i="16"/>
  <c r="L53" i="19"/>
  <c r="L41" i="15"/>
  <c r="L31" i="13"/>
  <c r="L45" i="12"/>
  <c r="L31" i="16"/>
  <c r="L27" i="13"/>
  <c r="L56" i="16"/>
  <c r="L35" i="12"/>
  <c r="L52" i="12"/>
  <c r="L38" i="14"/>
  <c r="L27" i="15"/>
  <c r="L37" i="14"/>
  <c r="L55" i="14"/>
  <c r="L62" i="15"/>
  <c r="L25" i="12"/>
  <c r="L36" i="14"/>
  <c r="L27" i="12"/>
  <c r="L55" i="13"/>
  <c r="L44" i="16"/>
  <c r="L34" i="16"/>
  <c r="L43" i="16"/>
  <c r="L55" i="11"/>
  <c r="L57" i="14"/>
  <c r="L57" i="16"/>
  <c r="L56" i="13"/>
  <c r="L56" i="14"/>
  <c r="L60" i="16"/>
  <c r="L41" i="14"/>
  <c r="L53" i="15"/>
  <c r="L35" i="19"/>
  <c r="L38" i="19"/>
  <c r="L34" i="14"/>
  <c r="L29" i="16"/>
  <c r="L32" i="13"/>
  <c r="L55" i="15"/>
  <c r="L59" i="12"/>
  <c r="L43" i="14"/>
  <c r="L32" i="15"/>
  <c r="L64" i="14"/>
  <c r="L34" i="13"/>
  <c r="L25" i="14"/>
  <c r="L63" i="11"/>
  <c r="L25" i="16"/>
  <c r="L35" i="11"/>
  <c r="L61" i="14"/>
  <c r="L40" i="11"/>
  <c r="L60" i="19"/>
  <c r="L34" i="19"/>
  <c r="L36" i="19"/>
  <c r="L30" i="19"/>
  <c r="L53" i="16"/>
  <c r="L57" i="12"/>
  <c r="L54" i="13"/>
  <c r="L28" i="11"/>
  <c r="L29" i="13"/>
  <c r="L33" i="12"/>
  <c r="L35" i="14"/>
  <c r="L54" i="12"/>
  <c r="L36" i="11"/>
  <c r="L30" i="16"/>
  <c r="L40" i="14"/>
  <c r="L34" i="15"/>
  <c r="L45" i="15"/>
  <c r="L37" i="11"/>
  <c r="L25" i="11"/>
  <c r="L62" i="11"/>
  <c r="L34" i="11"/>
  <c r="L44" i="14"/>
  <c r="L63" i="12"/>
  <c r="L26" i="12"/>
  <c r="L43" i="11"/>
  <c r="L55" i="12"/>
  <c r="L56" i="19"/>
  <c r="L31" i="19"/>
  <c r="L61" i="15"/>
  <c r="L59" i="13"/>
  <c r="L63" i="15"/>
  <c r="L43" i="15"/>
  <c r="L59" i="15"/>
  <c r="L30" i="13"/>
  <c r="L42" i="16"/>
  <c r="L29" i="12"/>
  <c r="L37" i="16"/>
  <c r="L40" i="15"/>
  <c r="L26" i="16"/>
  <c r="L29" i="11"/>
  <c r="L57" i="11"/>
  <c r="L37" i="15"/>
  <c r="L41" i="12"/>
  <c r="L27" i="14"/>
  <c r="L29" i="19"/>
  <c r="L44" i="19"/>
  <c r="L25" i="19"/>
  <c r="L39" i="19"/>
  <c r="L64" i="12"/>
  <c r="L31" i="11"/>
  <c r="L60" i="14"/>
  <c r="L64" i="15"/>
  <c r="L62" i="16"/>
  <c r="L35" i="15"/>
  <c r="L64" i="16"/>
  <c r="L33" i="11"/>
  <c r="L36" i="12"/>
  <c r="L32" i="11"/>
  <c r="L53" i="12"/>
  <c r="L56" i="15"/>
  <c r="L59" i="14"/>
  <c r="L61" i="11"/>
  <c r="L45" i="16"/>
  <c r="L60" i="13"/>
  <c r="L53" i="13"/>
  <c r="L36" i="16"/>
  <c r="L62" i="13"/>
  <c r="L41" i="16"/>
  <c r="L42" i="11"/>
  <c r="L64" i="19"/>
  <c r="L39" i="16"/>
  <c r="L54" i="14"/>
  <c r="L34" i="12"/>
  <c r="L25" i="13"/>
  <c r="L31" i="15"/>
  <c r="L32" i="16"/>
  <c r="L44" i="12"/>
  <c r="L32" i="14"/>
  <c r="L44" i="13"/>
  <c r="L64" i="11"/>
  <c r="L56" i="11"/>
  <c r="L39" i="14"/>
  <c r="L57" i="13"/>
  <c r="L60" i="12"/>
  <c r="L40" i="13"/>
  <c r="L62" i="14"/>
  <c r="L39" i="11"/>
  <c r="L57" i="15"/>
  <c r="L59" i="19"/>
  <c r="L55" i="19"/>
  <c r="L52" i="19"/>
  <c r="L30" i="12"/>
  <c r="L55" i="16"/>
  <c r="L43" i="13"/>
  <c r="L39" i="15"/>
  <c r="L33" i="15"/>
  <c r="L52" i="16"/>
  <c r="L43" i="12"/>
  <c r="L31" i="12"/>
  <c r="L38" i="12"/>
  <c r="L59" i="11"/>
  <c r="L42" i="14"/>
  <c r="L32" i="12"/>
  <c r="L32" i="19"/>
  <c r="L43" i="19"/>
  <c r="L63" i="19"/>
  <c r="L42" i="19"/>
  <c r="L40" i="12"/>
  <c r="L33" i="13"/>
  <c r="L45" i="13"/>
  <c r="L63" i="16"/>
  <c r="L35" i="13"/>
  <c r="L26" i="13"/>
  <c r="L33" i="14"/>
  <c r="L30" i="15"/>
  <c r="L41" i="13"/>
  <c r="L26" i="11"/>
  <c r="L64" i="13"/>
  <c r="L63" i="13"/>
  <c r="L45" i="14"/>
  <c r="L38" i="16"/>
  <c r="L26" i="19"/>
  <c r="L62" i="19"/>
  <c r="L61" i="19"/>
  <c r="L54" i="19"/>
  <c r="L54" i="11"/>
  <c r="L52" i="13"/>
  <c r="L61" i="12"/>
  <c r="L60" i="15"/>
  <c r="L38" i="15"/>
  <c r="L53" i="11"/>
  <c r="L56" i="12"/>
  <c r="L40" i="16"/>
  <c r="L37" i="12"/>
  <c r="L26" i="14"/>
  <c r="L53" i="14"/>
  <c r="L52" i="14"/>
  <c r="L38" i="13"/>
  <c r="L54" i="16"/>
  <c r="L45" i="11"/>
  <c r="L28" i="16"/>
  <c r="L63" i="14"/>
  <c r="AM14" i="19"/>
  <c r="AM7" i="19"/>
  <c r="AM17" i="19"/>
  <c r="AM24" i="19"/>
  <c r="AM8" i="11"/>
  <c r="AM7" i="11"/>
  <c r="AM11" i="14"/>
  <c r="AM22" i="11"/>
  <c r="AM10" i="15"/>
  <c r="AM10" i="12"/>
  <c r="AM10" i="19"/>
  <c r="AM12" i="19"/>
  <c r="AM13" i="11"/>
  <c r="AM5" i="19"/>
  <c r="AM22" i="19"/>
  <c r="AM18" i="19"/>
  <c r="AM15" i="19"/>
  <c r="AM11" i="19"/>
  <c r="AM24" i="12"/>
  <c r="AM9" i="13"/>
  <c r="AM24" i="13"/>
  <c r="AM4" i="19"/>
  <c r="AM15" i="11"/>
  <c r="AM23" i="19"/>
  <c r="AM9" i="19"/>
  <c r="AM8" i="19"/>
  <c r="AM9" i="11"/>
  <c r="AM17" i="11"/>
  <c r="AM14" i="16"/>
  <c r="AM12" i="15"/>
  <c r="AM15" i="14"/>
  <c r="AM6" i="16"/>
  <c r="AM13" i="19"/>
  <c r="AM6" i="19"/>
  <c r="AM16" i="19"/>
  <c r="AM4" i="13"/>
  <c r="AM18" i="16"/>
  <c r="AM13" i="13"/>
  <c r="AM18" i="13"/>
  <c r="AM16" i="16"/>
  <c r="AM12" i="11"/>
  <c r="AM14" i="13"/>
  <c r="AM24" i="16"/>
  <c r="AM13" i="15"/>
  <c r="AM22" i="12"/>
  <c r="AM22" i="13"/>
  <c r="AM23" i="15"/>
  <c r="AM5" i="13"/>
  <c r="AM8" i="12"/>
  <c r="AM13" i="14"/>
  <c r="AM16" i="15"/>
  <c r="AM4" i="15"/>
  <c r="AM22" i="15"/>
  <c r="AM15" i="13"/>
  <c r="AM17" i="12"/>
  <c r="AM6" i="11"/>
  <c r="AM11" i="12"/>
  <c r="AM16" i="13"/>
  <c r="AM18" i="14"/>
  <c r="AM7" i="13"/>
  <c r="AM9" i="14"/>
  <c r="AM12" i="14"/>
  <c r="AM11" i="11"/>
  <c r="AM17" i="14"/>
  <c r="AM5" i="14"/>
  <c r="AM10" i="16"/>
  <c r="AM14" i="14"/>
  <c r="AM7" i="15"/>
  <c r="AM11" i="13"/>
  <c r="AM14" i="11"/>
  <c r="AM10" i="11"/>
  <c r="AM8" i="15"/>
  <c r="AM22" i="14"/>
  <c r="AM15" i="12"/>
  <c r="AM23" i="12"/>
  <c r="AM5" i="15"/>
  <c r="AM17" i="16"/>
  <c r="AM7" i="12"/>
  <c r="AM18" i="15"/>
  <c r="AM4" i="11"/>
  <c r="AM13" i="16"/>
  <c r="AM9" i="16"/>
  <c r="AM8" i="14"/>
  <c r="AM15" i="16"/>
  <c r="AM11" i="16"/>
  <c r="AM4" i="16"/>
  <c r="AM6" i="15"/>
  <c r="AM18" i="12"/>
  <c r="AM11" i="15"/>
  <c r="AM15" i="15"/>
  <c r="AM12" i="12"/>
  <c r="AM17" i="13"/>
  <c r="AM5" i="16"/>
  <c r="AM14" i="15"/>
  <c r="AM12" i="16"/>
  <c r="AM5" i="12"/>
  <c r="AM24" i="14"/>
  <c r="AM17" i="15"/>
  <c r="AM14" i="12"/>
  <c r="AM16" i="11"/>
  <c r="AM18" i="11"/>
  <c r="AM8" i="16"/>
  <c r="AM10" i="13"/>
  <c r="AM6" i="12"/>
  <c r="AM23" i="11"/>
  <c r="AM23" i="13"/>
  <c r="AM23" i="16"/>
  <c r="AM24" i="11"/>
  <c r="AM4" i="12"/>
  <c r="AM10" i="14"/>
  <c r="AM22" i="16"/>
  <c r="AM24" i="15"/>
  <c r="AM4" i="14"/>
  <c r="AM16" i="14"/>
  <c r="AM7" i="16"/>
  <c r="AM7" i="14"/>
  <c r="AM23" i="14"/>
  <c r="AM6" i="13"/>
  <c r="AM5" i="11"/>
  <c r="AM6" i="14"/>
  <c r="AM12" i="13"/>
  <c r="AM9" i="15"/>
  <c r="AM8" i="13"/>
  <c r="AM16" i="12"/>
  <c r="AM13" i="12"/>
  <c r="Q6" i="19"/>
  <c r="Q18" i="19"/>
  <c r="Q7" i="19"/>
  <c r="Q17" i="16"/>
  <c r="Q7" i="12"/>
  <c r="Q10" i="12"/>
  <c r="Q11" i="16"/>
  <c r="Q24" i="15"/>
  <c r="Q16" i="11"/>
  <c r="Q8" i="13"/>
  <c r="Q7" i="13"/>
  <c r="Q24" i="12"/>
  <c r="Q13" i="15"/>
  <c r="Q12" i="15"/>
  <c r="Q23" i="19"/>
  <c r="Q13" i="19"/>
  <c r="Q8" i="16"/>
  <c r="Q15" i="13"/>
  <c r="Q5" i="15"/>
  <c r="Q13" i="12"/>
  <c r="Q13" i="13"/>
  <c r="Q16" i="15"/>
  <c r="Q14" i="19"/>
  <c r="Q12" i="19"/>
  <c r="Q11" i="11"/>
  <c r="Q24" i="11"/>
  <c r="Q4" i="11"/>
  <c r="Q15" i="12"/>
  <c r="Q6" i="14"/>
  <c r="Q18" i="13"/>
  <c r="Q15" i="15"/>
  <c r="Q22" i="14"/>
  <c r="Q7" i="15"/>
  <c r="Q18" i="16"/>
  <c r="Q15" i="19"/>
  <c r="Q10" i="19"/>
  <c r="Q13" i="11"/>
  <c r="Q18" i="12"/>
  <c r="Q6" i="12"/>
  <c r="Q16" i="14"/>
  <c r="Q10" i="14"/>
  <c r="Q5" i="11"/>
  <c r="Q10" i="11"/>
  <c r="Q12" i="16"/>
  <c r="Q10" i="13"/>
  <c r="Q6" i="11"/>
  <c r="Q15" i="11"/>
  <c r="Q9" i="11"/>
  <c r="Q23" i="12"/>
  <c r="Q7" i="16"/>
  <c r="Q6" i="13"/>
  <c r="Q22" i="15"/>
  <c r="Q14" i="12"/>
  <c r="Q24" i="13"/>
  <c r="Q12" i="12"/>
  <c r="Q23" i="13"/>
  <c r="Q17" i="19"/>
  <c r="Q5" i="19"/>
  <c r="Q11" i="12"/>
  <c r="Q14" i="16"/>
  <c r="Q11" i="15"/>
  <c r="Q18" i="14"/>
  <c r="Q4" i="19"/>
  <c r="Q12" i="11"/>
  <c r="Q9" i="13"/>
  <c r="Q13" i="16"/>
  <c r="Q8" i="12"/>
  <c r="Q17" i="15"/>
  <c r="Q10" i="16"/>
  <c r="Q8" i="19"/>
  <c r="Q14" i="11"/>
  <c r="Q14" i="14"/>
  <c r="Q14" i="15"/>
  <c r="Q22" i="16"/>
  <c r="Q6" i="15"/>
  <c r="Q18" i="15"/>
  <c r="Q22" i="12"/>
  <c r="Q9" i="19"/>
  <c r="Q24" i="19"/>
  <c r="Q17" i="12"/>
  <c r="Q22" i="11"/>
  <c r="Q16" i="13"/>
  <c r="Q5" i="12"/>
  <c r="Q16" i="16"/>
  <c r="Q18" i="11"/>
  <c r="Q7" i="11"/>
  <c r="Q8" i="14"/>
  <c r="Q4" i="13"/>
  <c r="Q5" i="14"/>
  <c r="Q4" i="12"/>
  <c r="Q16" i="19"/>
  <c r="Q17" i="11"/>
  <c r="Q8" i="15"/>
  <c r="Q6" i="16"/>
  <c r="Q7" i="14"/>
  <c r="Q5" i="16"/>
  <c r="Q17" i="14"/>
  <c r="Q9" i="15"/>
  <c r="Q23" i="15"/>
  <c r="Q12" i="14"/>
  <c r="Q24" i="14"/>
  <c r="Q8" i="11"/>
  <c r="Q9" i="16"/>
  <c r="Q4" i="15"/>
  <c r="Q23" i="14"/>
  <c r="Q17" i="13"/>
  <c r="Q10" i="15"/>
  <c r="Q9" i="14"/>
  <c r="Q11" i="14"/>
  <c r="Q4" i="14"/>
  <c r="Q11" i="13"/>
  <c r="Q14" i="13"/>
  <c r="Q11" i="19"/>
  <c r="Q22" i="19"/>
  <c r="Q22" i="13"/>
  <c r="Q12" i="13"/>
  <c r="Q23" i="11"/>
  <c r="Q13" i="14"/>
  <c r="Q15" i="14"/>
  <c r="Q5" i="13"/>
  <c r="Q23" i="16"/>
  <c r="Q16" i="12"/>
  <c r="Q4" i="16"/>
  <c r="Q24" i="16"/>
  <c r="Q15" i="16"/>
  <c r="R293" i="1"/>
  <c r="U293" i="1" s="1"/>
  <c r="M59" i="19"/>
  <c r="M38" i="14"/>
  <c r="M41" i="14"/>
  <c r="M28" i="11"/>
  <c r="M61" i="13"/>
  <c r="M53" i="13"/>
  <c r="M60" i="15"/>
  <c r="M64" i="14"/>
  <c r="M56" i="12"/>
  <c r="M43" i="16"/>
  <c r="M30" i="11"/>
  <c r="M37" i="16"/>
  <c r="M34" i="13"/>
  <c r="M31" i="15"/>
  <c r="M59" i="11"/>
  <c r="M55" i="19"/>
  <c r="M54" i="19"/>
  <c r="M26" i="19"/>
  <c r="M54" i="14"/>
  <c r="M52" i="16"/>
  <c r="M62" i="11"/>
  <c r="M39" i="14"/>
  <c r="M25" i="12"/>
  <c r="M43" i="13"/>
  <c r="M29" i="16"/>
  <c r="M54" i="11"/>
  <c r="M34" i="12"/>
  <c r="M41" i="13"/>
  <c r="M27" i="13"/>
  <c r="M32" i="12"/>
  <c r="M36" i="12"/>
  <c r="M40" i="15"/>
  <c r="M36" i="19"/>
  <c r="M34" i="14"/>
  <c r="M34" i="16"/>
  <c r="M63" i="11"/>
  <c r="M45" i="16"/>
  <c r="M41" i="12"/>
  <c r="M40" i="11"/>
  <c r="M52" i="12"/>
  <c r="M33" i="13"/>
  <c r="M56" i="15"/>
  <c r="M26" i="16"/>
  <c r="M26" i="13"/>
  <c r="M55" i="15"/>
  <c r="M57" i="12"/>
  <c r="M43" i="11"/>
  <c r="M43" i="12"/>
  <c r="M31" i="13"/>
  <c r="M42" i="15"/>
  <c r="M56" i="14"/>
  <c r="M62" i="15"/>
  <c r="M31" i="19"/>
  <c r="M39" i="19"/>
  <c r="M63" i="13"/>
  <c r="M26" i="11"/>
  <c r="M44" i="14"/>
  <c r="M55" i="16"/>
  <c r="M63" i="16"/>
  <c r="M42" i="14"/>
  <c r="M59" i="15"/>
  <c r="M33" i="15"/>
  <c r="M52" i="15"/>
  <c r="M63" i="15"/>
  <c r="M55" i="11"/>
  <c r="M35" i="15"/>
  <c r="M41" i="16"/>
  <c r="M44" i="12"/>
  <c r="M25" i="13"/>
  <c r="M59" i="13"/>
  <c r="M27" i="15"/>
  <c r="M37" i="11"/>
  <c r="M64" i="12"/>
  <c r="M63" i="14"/>
  <c r="M42" i="19"/>
  <c r="M45" i="19"/>
  <c r="M31" i="16"/>
  <c r="M35" i="14"/>
  <c r="M28" i="13"/>
  <c r="M38" i="15"/>
  <c r="M44" i="11"/>
  <c r="M64" i="16"/>
  <c r="M34" i="15"/>
  <c r="M32" i="14"/>
  <c r="M39" i="15"/>
  <c r="M40" i="14"/>
  <c r="M60" i="12"/>
  <c r="M35" i="16"/>
  <c r="M64" i="11"/>
  <c r="M62" i="14"/>
  <c r="M43" i="19"/>
  <c r="M53" i="19"/>
  <c r="M40" i="19"/>
  <c r="M35" i="11"/>
  <c r="M64" i="13"/>
  <c r="M36" i="11"/>
  <c r="M57" i="15"/>
  <c r="M35" i="12"/>
  <c r="M62" i="12"/>
  <c r="M43" i="14"/>
  <c r="M31" i="11"/>
  <c r="M40" i="13"/>
  <c r="M54" i="13"/>
  <c r="M28" i="12"/>
  <c r="M61" i="11"/>
  <c r="M42" i="12"/>
  <c r="M59" i="12"/>
  <c r="M28" i="15"/>
  <c r="M27" i="14"/>
  <c r="M41" i="15"/>
  <c r="M25" i="16"/>
  <c r="M59" i="14"/>
  <c r="M60" i="16"/>
  <c r="M52" i="13"/>
  <c r="M52" i="11"/>
  <c r="M34" i="19"/>
  <c r="M33" i="19"/>
  <c r="M37" i="19"/>
  <c r="M57" i="19"/>
  <c r="M44" i="16"/>
  <c r="M40" i="12"/>
  <c r="M29" i="14"/>
  <c r="M56" i="13"/>
  <c r="M38" i="11"/>
  <c r="M30" i="14"/>
  <c r="M30" i="15"/>
  <c r="M42" i="13"/>
  <c r="M28" i="16"/>
  <c r="M60" i="11"/>
  <c r="M30" i="12"/>
  <c r="M57" i="11"/>
  <c r="M45" i="11"/>
  <c r="M52" i="19"/>
  <c r="M30" i="19"/>
  <c r="M56" i="19"/>
  <c r="M35" i="19"/>
  <c r="M41" i="19"/>
  <c r="M61" i="14"/>
  <c r="M25" i="14"/>
  <c r="M29" i="13"/>
  <c r="M37" i="14"/>
  <c r="M38" i="13"/>
  <c r="M44" i="13"/>
  <c r="M36" i="14"/>
  <c r="M36" i="16"/>
  <c r="M43" i="15"/>
  <c r="M55" i="12"/>
  <c r="M26" i="15"/>
  <c r="M41" i="11"/>
  <c r="M45" i="13"/>
  <c r="M61" i="15"/>
  <c r="M28" i="19"/>
  <c r="M32" i="19"/>
  <c r="M27" i="19"/>
  <c r="M53" i="16"/>
  <c r="M57" i="13"/>
  <c r="M42" i="11"/>
  <c r="M53" i="14"/>
  <c r="M55" i="13"/>
  <c r="M63" i="12"/>
  <c r="M60" i="14"/>
  <c r="M57" i="16"/>
  <c r="M26" i="12"/>
  <c r="M59" i="16"/>
  <c r="M53" i="11"/>
  <c r="M31" i="12"/>
  <c r="M30" i="16"/>
  <c r="M33" i="16"/>
  <c r="M42" i="16"/>
  <c r="M27" i="11"/>
  <c r="M63" i="19"/>
  <c r="M44" i="19"/>
  <c r="M64" i="19"/>
  <c r="M61" i="19"/>
  <c r="M32" i="11"/>
  <c r="M30" i="13"/>
  <c r="M33" i="12"/>
  <c r="M28" i="14"/>
  <c r="M61" i="12"/>
  <c r="M32" i="15"/>
  <c r="M27" i="16"/>
  <c r="M29" i="19"/>
  <c r="M62" i="19"/>
  <c r="M29" i="11"/>
  <c r="M55" i="14"/>
  <c r="M40" i="16"/>
  <c r="M39" i="16"/>
  <c r="M38" i="16"/>
  <c r="M36" i="15"/>
  <c r="M54" i="12"/>
  <c r="M54" i="15"/>
  <c r="M33" i="11"/>
  <c r="M32" i="13"/>
  <c r="M53" i="12"/>
  <c r="M45" i="15"/>
  <c r="M54" i="16"/>
  <c r="M60" i="13"/>
  <c r="M56" i="11"/>
  <c r="M62" i="13"/>
  <c r="M29" i="12"/>
  <c r="M39" i="13"/>
  <c r="M38" i="12"/>
  <c r="M35" i="13"/>
  <c r="M38" i="19"/>
  <c r="M60" i="19"/>
  <c r="M25" i="19"/>
  <c r="M33" i="14"/>
  <c r="M36" i="13"/>
  <c r="M57" i="14"/>
  <c r="M26" i="14"/>
  <c r="M25" i="11"/>
  <c r="M61" i="16"/>
  <c r="M34" i="11"/>
  <c r="M56" i="16"/>
  <c r="M52" i="14"/>
  <c r="M31" i="14"/>
  <c r="M25" i="15"/>
  <c r="M32" i="16"/>
  <c r="M62" i="16"/>
  <c r="M37" i="12"/>
  <c r="M37" i="15"/>
  <c r="M45" i="12"/>
  <c r="M27" i="12"/>
  <c r="M64" i="15"/>
  <c r="M37" i="13"/>
  <c r="M29" i="15"/>
  <c r="M39" i="12"/>
  <c r="M45" i="14"/>
  <c r="M39" i="11"/>
  <c r="M53" i="15"/>
  <c r="M44" i="15"/>
  <c r="AX9" i="19"/>
  <c r="AX24" i="19"/>
  <c r="AX6" i="19"/>
  <c r="AX12" i="19"/>
  <c r="AX15" i="19"/>
  <c r="AX5" i="19"/>
  <c r="AX16" i="19"/>
  <c r="AX17" i="19"/>
  <c r="AX13" i="19"/>
  <c r="AX18" i="19"/>
  <c r="AX14" i="19"/>
  <c r="AX10" i="19"/>
  <c r="AX22" i="19"/>
  <c r="AX8" i="19"/>
  <c r="AX4" i="19"/>
  <c r="AX23" i="19"/>
  <c r="AX11" i="19"/>
  <c r="AX23" i="14"/>
  <c r="AX5" i="11"/>
  <c r="AX9" i="13"/>
  <c r="AX24" i="15"/>
  <c r="AX7" i="15"/>
  <c r="AX24" i="12"/>
  <c r="AX4" i="14"/>
  <c r="AX12" i="14"/>
  <c r="AX6" i="14"/>
  <c r="AX14" i="14"/>
  <c r="AX7" i="14"/>
  <c r="AX12" i="15"/>
  <c r="AX24" i="11"/>
  <c r="AX14" i="12"/>
  <c r="AX7" i="19"/>
  <c r="AX8" i="12"/>
  <c r="AX16" i="14"/>
  <c r="AX23" i="11"/>
  <c r="AX4" i="15"/>
  <c r="AX13" i="14"/>
  <c r="AX8" i="14"/>
  <c r="AX15" i="15"/>
  <c r="AX9" i="16"/>
  <c r="AX14" i="15"/>
  <c r="AX6" i="15"/>
  <c r="AX7" i="11"/>
  <c r="AX6" i="16"/>
  <c r="AX8" i="11"/>
  <c r="AX22" i="13"/>
  <c r="AX15" i="13"/>
  <c r="AX17" i="14"/>
  <c r="AX13" i="11"/>
  <c r="AX17" i="13"/>
  <c r="AX16" i="13"/>
  <c r="AX8" i="15"/>
  <c r="AX4" i="13"/>
  <c r="AX16" i="11"/>
  <c r="AX14" i="16"/>
  <c r="AX6" i="13"/>
  <c r="AX10" i="11"/>
  <c r="AX11" i="14"/>
  <c r="AX5" i="16"/>
  <c r="AX10" i="16"/>
  <c r="AX10" i="14"/>
  <c r="AX5" i="12"/>
  <c r="AX11" i="13"/>
  <c r="AX11" i="11"/>
  <c r="AX6" i="12"/>
  <c r="AX5" i="15"/>
  <c r="AX10" i="13"/>
  <c r="AX24" i="16"/>
  <c r="AX13" i="15"/>
  <c r="AX17" i="15"/>
  <c r="AX22" i="16"/>
  <c r="AX4" i="16"/>
  <c r="AX14" i="11"/>
  <c r="AX18" i="12"/>
  <c r="AX12" i="12"/>
  <c r="AX5" i="13"/>
  <c r="AX17" i="12"/>
  <c r="AX9" i="15"/>
  <c r="AX18" i="13"/>
  <c r="AX24" i="13"/>
  <c r="AX15" i="11"/>
  <c r="AX13" i="12"/>
  <c r="AX11" i="16"/>
  <c r="AX17" i="11"/>
  <c r="AX6" i="11"/>
  <c r="AX16" i="16"/>
  <c r="AX18" i="15"/>
  <c r="AX23" i="12"/>
  <c r="AX18" i="16"/>
  <c r="AX11" i="12"/>
  <c r="AX7" i="12"/>
  <c r="AX9" i="14"/>
  <c r="AX18" i="11"/>
  <c r="AX10" i="12"/>
  <c r="AX16" i="15"/>
  <c r="AX22" i="15"/>
  <c r="AX23" i="16"/>
  <c r="AX13" i="13"/>
  <c r="AX4" i="11"/>
  <c r="AX22" i="12"/>
  <c r="AX7" i="13"/>
  <c r="AX15" i="16"/>
  <c r="AX14" i="13"/>
  <c r="AX9" i="11"/>
  <c r="AX15" i="14"/>
  <c r="AX22" i="14"/>
  <c r="AX4" i="12"/>
  <c r="AX13" i="16"/>
  <c r="AX15" i="12"/>
  <c r="AX10" i="15"/>
  <c r="AX12" i="11"/>
  <c r="AX5" i="14"/>
  <c r="AX12" i="16"/>
  <c r="AX7" i="16"/>
  <c r="AX11" i="15"/>
  <c r="AX12" i="13"/>
  <c r="AX18" i="14"/>
  <c r="AX23" i="15"/>
  <c r="AX8" i="16"/>
  <c r="AX8" i="13"/>
  <c r="AX17" i="16"/>
  <c r="AX22" i="11"/>
  <c r="AX23" i="13"/>
  <c r="AX16" i="12"/>
  <c r="AX24" i="14"/>
  <c r="R79" i="1"/>
  <c r="U79" i="1" s="1"/>
  <c r="AU14" i="19"/>
  <c r="AU5" i="19"/>
  <c r="AU17" i="19"/>
  <c r="AU7" i="19"/>
  <c r="AU22" i="19"/>
  <c r="AU6" i="19"/>
  <c r="AU8" i="19"/>
  <c r="AU18" i="19"/>
  <c r="AU13" i="19"/>
  <c r="AU10" i="19"/>
  <c r="AU12" i="19"/>
  <c r="AU16" i="19"/>
  <c r="AU11" i="19"/>
  <c r="AU24" i="19"/>
  <c r="AU15" i="19"/>
  <c r="AU4" i="19"/>
  <c r="AU9" i="19"/>
  <c r="AU23" i="19"/>
  <c r="AU9" i="13"/>
  <c r="AU7" i="14"/>
  <c r="AU10" i="16"/>
  <c r="AU24" i="12"/>
  <c r="AU11" i="15"/>
  <c r="AU8" i="11"/>
  <c r="AU17" i="15"/>
  <c r="AU18" i="16"/>
  <c r="AU15" i="14"/>
  <c r="AU13" i="11"/>
  <c r="AU15" i="13"/>
  <c r="AU23" i="15"/>
  <c r="AU23" i="16"/>
  <c r="AU24" i="11"/>
  <c r="AU23" i="14"/>
  <c r="AU16" i="11"/>
  <c r="AU12" i="15"/>
  <c r="AU17" i="11"/>
  <c r="AU22" i="16"/>
  <c r="AU22" i="12"/>
  <c r="AU11" i="14"/>
  <c r="AU6" i="12"/>
  <c r="AU7" i="12"/>
  <c r="AU6" i="11"/>
  <c r="AU5" i="16"/>
  <c r="AU22" i="14"/>
  <c r="AU13" i="16"/>
  <c r="AU5" i="11"/>
  <c r="AU5" i="15"/>
  <c r="AU12" i="12"/>
  <c r="AU4" i="14"/>
  <c r="AU5" i="13"/>
  <c r="AU7" i="11"/>
  <c r="AU16" i="14"/>
  <c r="AU15" i="15"/>
  <c r="AU13" i="15"/>
  <c r="AU8" i="16"/>
  <c r="AU17" i="12"/>
  <c r="AU9" i="15"/>
  <c r="AU18" i="15"/>
  <c r="AU4" i="12"/>
  <c r="AU16" i="15"/>
  <c r="AU23" i="11"/>
  <c r="AU8" i="13"/>
  <c r="AU12" i="16"/>
  <c r="AU13" i="14"/>
  <c r="AU8" i="15"/>
  <c r="AU7" i="15"/>
  <c r="AU24" i="15"/>
  <c r="AU14" i="13"/>
  <c r="AU9" i="16"/>
  <c r="AU24" i="16"/>
  <c r="AU13" i="12"/>
  <c r="AU18" i="14"/>
  <c r="AU12" i="13"/>
  <c r="AU6" i="16"/>
  <c r="AU5" i="14"/>
  <c r="AU22" i="15"/>
  <c r="AU5" i="12"/>
  <c r="AU15" i="12"/>
  <c r="AU6" i="14"/>
  <c r="AU6" i="15"/>
  <c r="AU13" i="13"/>
  <c r="AU12" i="11"/>
  <c r="AU4" i="15"/>
  <c r="AU14" i="16"/>
  <c r="AU7" i="16"/>
  <c r="AU8" i="12"/>
  <c r="AU23" i="13"/>
  <c r="AU24" i="13"/>
  <c r="AU18" i="11"/>
  <c r="AU10" i="15"/>
  <c r="AU4" i="11"/>
  <c r="AU4" i="16"/>
  <c r="AU10" i="11"/>
  <c r="AU10" i="14"/>
  <c r="AU12" i="14"/>
  <c r="AU17" i="13"/>
  <c r="AU16" i="13"/>
  <c r="AU14" i="11"/>
  <c r="AU6" i="13"/>
  <c r="AU7" i="13"/>
  <c r="AU18" i="12"/>
  <c r="AU11" i="13"/>
  <c r="AU10" i="13"/>
  <c r="AU15" i="16"/>
  <c r="AU11" i="11"/>
  <c r="AU8" i="14"/>
  <c r="AU15" i="11"/>
  <c r="AU11" i="16"/>
  <c r="AU24" i="14"/>
  <c r="AU14" i="15"/>
  <c r="AU14" i="14"/>
  <c r="AU18" i="13"/>
  <c r="AU9" i="14"/>
  <c r="AU14" i="12"/>
  <c r="AU23" i="12"/>
  <c r="AU17" i="14"/>
  <c r="AU9" i="11"/>
  <c r="AU16" i="12"/>
  <c r="AU22" i="13"/>
  <c r="AU10" i="12"/>
  <c r="AU11" i="12"/>
  <c r="AU4" i="13"/>
  <c r="AU16" i="16"/>
  <c r="AU22" i="11"/>
  <c r="AU17" i="16"/>
  <c r="R69" i="1"/>
  <c r="U69" i="1" s="1"/>
  <c r="O24" i="19"/>
  <c r="O8" i="19"/>
  <c r="O9" i="19"/>
  <c r="O5" i="19"/>
  <c r="O12" i="16"/>
  <c r="O4" i="16"/>
  <c r="O15" i="12"/>
  <c r="O17" i="11"/>
  <c r="O22" i="12"/>
  <c r="O13" i="13"/>
  <c r="O4" i="12"/>
  <c r="O8" i="15"/>
  <c r="O18" i="13"/>
  <c r="O16" i="19"/>
  <c r="O18" i="15"/>
  <c r="O10" i="12"/>
  <c r="O24" i="14"/>
  <c r="O8" i="12"/>
  <c r="O22" i="14"/>
  <c r="O6" i="16"/>
  <c r="O18" i="16"/>
  <c r="O9" i="15"/>
  <c r="O12" i="15"/>
  <c r="O12" i="19"/>
  <c r="O14" i="19"/>
  <c r="O18" i="19"/>
  <c r="O13" i="19"/>
  <c r="O6" i="19"/>
  <c r="O24" i="16"/>
  <c r="O11" i="14"/>
  <c r="O5" i="15"/>
  <c r="O24" i="13"/>
  <c r="O4" i="14"/>
  <c r="O5" i="14"/>
  <c r="O13" i="14"/>
  <c r="O14" i="12"/>
  <c r="O11" i="11"/>
  <c r="O22" i="13"/>
  <c r="O9" i="14"/>
  <c r="O5" i="13"/>
  <c r="O11" i="19"/>
  <c r="O13" i="16"/>
  <c r="O11" i="15"/>
  <c r="O16" i="15"/>
  <c r="O8" i="14"/>
  <c r="O18" i="14"/>
  <c r="O10" i="11"/>
  <c r="O7" i="16"/>
  <c r="O15" i="16"/>
  <c r="O17" i="14"/>
  <c r="O16" i="14"/>
  <c r="O17" i="19"/>
  <c r="O14" i="15"/>
  <c r="O9" i="11"/>
  <c r="O22" i="15"/>
  <c r="O23" i="13"/>
  <c r="O14" i="16"/>
  <c r="O7" i="12"/>
  <c r="O15" i="14"/>
  <c r="O4" i="15"/>
  <c r="O4" i="13"/>
  <c r="O10" i="14"/>
  <c r="O23" i="14"/>
  <c r="O4" i="19"/>
  <c r="O23" i="19"/>
  <c r="O10" i="19"/>
  <c r="O18" i="11"/>
  <c r="O14" i="13"/>
  <c r="O7" i="13"/>
  <c r="O22" i="16"/>
  <c r="O23" i="11"/>
  <c r="O14" i="11"/>
  <c r="O8" i="16"/>
  <c r="O12" i="13"/>
  <c r="O17" i="13"/>
  <c r="O16" i="12"/>
  <c r="O11" i="13"/>
  <c r="O23" i="15"/>
  <c r="O5" i="16"/>
  <c r="O7" i="19"/>
  <c r="O13" i="11"/>
  <c r="O7" i="11"/>
  <c r="O12" i="11"/>
  <c r="O9" i="16"/>
  <c r="O13" i="12"/>
  <c r="O5" i="11"/>
  <c r="O8" i="13"/>
  <c r="O12" i="14"/>
  <c r="O13" i="15"/>
  <c r="O10" i="15"/>
  <c r="O17" i="15"/>
  <c r="O24" i="12"/>
  <c r="O5" i="12"/>
  <c r="O22" i="11"/>
  <c r="O12" i="12"/>
  <c r="O24" i="11"/>
  <c r="O10" i="16"/>
  <c r="O8" i="11"/>
  <c r="O7" i="15"/>
  <c r="O16" i="13"/>
  <c r="O10" i="13"/>
  <c r="O15" i="19"/>
  <c r="O22" i="19"/>
  <c r="O6" i="13"/>
  <c r="O15" i="15"/>
  <c r="O15" i="11"/>
  <c r="O11" i="16"/>
  <c r="O4" i="11"/>
  <c r="O6" i="14"/>
  <c r="O15" i="13"/>
  <c r="O14" i="14"/>
  <c r="O16" i="16"/>
  <c r="O6" i="11"/>
  <c r="O23" i="16"/>
  <c r="O9" i="13"/>
  <c r="O16" i="11"/>
  <c r="O17" i="16"/>
  <c r="O6" i="12"/>
  <c r="O24" i="15"/>
  <c r="O18" i="12"/>
  <c r="O23" i="12"/>
  <c r="O11" i="12"/>
  <c r="O17" i="12"/>
  <c r="O6" i="15"/>
  <c r="O7" i="14"/>
  <c r="R71" i="1"/>
  <c r="U71" i="1" s="1"/>
  <c r="AY6" i="19"/>
  <c r="AY10" i="19"/>
  <c r="AY13" i="19"/>
  <c r="AY23" i="19"/>
  <c r="AY14" i="19"/>
  <c r="AY12" i="19"/>
  <c r="AY4" i="19"/>
  <c r="AY16" i="19"/>
  <c r="AY9" i="19"/>
  <c r="AY18" i="19"/>
  <c r="AY8" i="19"/>
  <c r="AY7" i="19"/>
  <c r="AY15" i="19"/>
  <c r="AY11" i="19"/>
  <c r="AY22" i="19"/>
  <c r="AY5" i="19"/>
  <c r="AY24" i="19"/>
  <c r="AY17" i="19"/>
  <c r="AY8" i="12"/>
  <c r="AY22" i="15"/>
  <c r="AY14" i="13"/>
  <c r="AY17" i="11"/>
  <c r="AY17" i="13"/>
  <c r="AY6" i="14"/>
  <c r="AY16" i="15"/>
  <c r="AY13" i="13"/>
  <c r="AY9" i="14"/>
  <c r="AY11" i="11"/>
  <c r="AY18" i="13"/>
  <c r="AY7" i="15"/>
  <c r="AY6" i="11"/>
  <c r="AY8" i="15"/>
  <c r="AY11" i="12"/>
  <c r="AY15" i="11"/>
  <c r="AY4" i="14"/>
  <c r="AY16" i="16"/>
  <c r="AY15" i="13"/>
  <c r="AY17" i="15"/>
  <c r="AY23" i="13"/>
  <c r="AY4" i="16"/>
  <c r="AY10" i="16"/>
  <c r="AY8" i="11"/>
  <c r="AY5" i="15"/>
  <c r="AY7" i="11"/>
  <c r="AY9" i="15"/>
  <c r="AY24" i="12"/>
  <c r="AY18" i="11"/>
  <c r="AY9" i="11"/>
  <c r="AY18" i="16"/>
  <c r="AY11" i="16"/>
  <c r="AY16" i="14"/>
  <c r="AY12" i="14"/>
  <c r="AY24" i="15"/>
  <c r="AY15" i="14"/>
  <c r="AY6" i="13"/>
  <c r="AY22" i="13"/>
  <c r="AY23" i="14"/>
  <c r="AY23" i="12"/>
  <c r="AY12" i="12"/>
  <c r="AY5" i="11"/>
  <c r="AY11" i="15"/>
  <c r="AY5" i="16"/>
  <c r="AY8" i="13"/>
  <c r="AY23" i="11"/>
  <c r="AY9" i="16"/>
  <c r="AY14" i="14"/>
  <c r="AY12" i="16"/>
  <c r="AY22" i="14"/>
  <c r="AY24" i="14"/>
  <c r="AY12" i="15"/>
  <c r="AY17" i="12"/>
  <c r="AY18" i="14"/>
  <c r="AY14" i="16"/>
  <c r="AY4" i="15"/>
  <c r="AY17" i="14"/>
  <c r="AY5" i="13"/>
  <c r="AY10" i="14"/>
  <c r="AY7" i="16"/>
  <c r="AY13" i="11"/>
  <c r="AY8" i="16"/>
  <c r="AY10" i="11"/>
  <c r="AY15" i="15"/>
  <c r="AY13" i="15"/>
  <c r="AY17" i="16"/>
  <c r="AY8" i="14"/>
  <c r="AY14" i="11"/>
  <c r="AY10" i="12"/>
  <c r="AY24" i="13"/>
  <c r="AY18" i="15"/>
  <c r="AY24" i="16"/>
  <c r="AY4" i="11"/>
  <c r="AY13" i="16"/>
  <c r="AY16" i="11"/>
  <c r="AY9" i="13"/>
  <c r="AY4" i="12"/>
  <c r="AY14" i="12"/>
  <c r="AY4" i="13"/>
  <c r="AY15" i="16"/>
  <c r="AY13" i="12"/>
  <c r="AY15" i="12"/>
  <c r="AY5" i="12"/>
  <c r="AY10" i="13"/>
  <c r="AY22" i="16"/>
  <c r="AY6" i="16"/>
  <c r="AY22" i="12"/>
  <c r="AY6" i="12"/>
  <c r="AY10" i="15"/>
  <c r="AY24" i="11"/>
  <c r="AY16" i="13"/>
  <c r="AY16" i="12"/>
  <c r="AY12" i="13"/>
  <c r="AY7" i="13"/>
  <c r="AY23" i="15"/>
  <c r="AY11" i="13"/>
  <c r="AY7" i="14"/>
  <c r="AY11" i="14"/>
  <c r="AY23" i="16"/>
  <c r="AY6" i="15"/>
  <c r="AY14" i="15"/>
  <c r="AY12" i="11"/>
  <c r="AY5" i="14"/>
  <c r="AY22" i="11"/>
  <c r="AY7" i="12"/>
  <c r="AY13" i="14"/>
  <c r="AY18" i="12"/>
  <c r="R81" i="1"/>
  <c r="U81" i="1" s="1"/>
  <c r="AC12" i="19"/>
  <c r="AC12" i="11"/>
  <c r="AC8" i="11"/>
  <c r="AC18" i="11"/>
  <c r="AC17" i="11"/>
  <c r="AC12" i="15"/>
  <c r="AC10" i="19"/>
  <c r="AC22" i="19"/>
  <c r="AC6" i="11"/>
  <c r="AC15" i="11"/>
  <c r="AC8" i="16"/>
  <c r="AC13" i="12"/>
  <c r="AC16" i="15"/>
  <c r="AC7" i="12"/>
  <c r="AC24" i="15"/>
  <c r="AC22" i="13"/>
  <c r="AC22" i="16"/>
  <c r="AC8" i="12"/>
  <c r="AC18" i="19"/>
  <c r="AC15" i="19"/>
  <c r="AC7" i="19"/>
  <c r="AC8" i="19"/>
  <c r="AC23" i="19"/>
  <c r="AC8" i="14"/>
  <c r="AC23" i="16"/>
  <c r="AC16" i="13"/>
  <c r="AC18" i="14"/>
  <c r="AC5" i="14"/>
  <c r="AC13" i="14"/>
  <c r="AC5" i="19"/>
  <c r="AC16" i="19"/>
  <c r="AC6" i="19"/>
  <c r="AC10" i="11"/>
  <c r="AC18" i="16"/>
  <c r="AC11" i="12"/>
  <c r="AC15" i="12"/>
  <c r="AC11" i="11"/>
  <c r="AC16" i="16"/>
  <c r="AC23" i="14"/>
  <c r="AC7" i="11"/>
  <c r="AC4" i="15"/>
  <c r="AC13" i="16"/>
  <c r="AC9" i="14"/>
  <c r="AC15" i="15"/>
  <c r="AC12" i="14"/>
  <c r="AC7" i="13"/>
  <c r="AC18" i="13"/>
  <c r="AC22" i="12"/>
  <c r="AC9" i="19"/>
  <c r="AC24" i="19"/>
  <c r="AC13" i="19"/>
  <c r="AC17" i="19"/>
  <c r="AC24" i="11"/>
  <c r="AC9" i="11"/>
  <c r="AC5" i="15"/>
  <c r="AC4" i="19"/>
  <c r="AC14" i="19"/>
  <c r="AC11" i="19"/>
  <c r="AC13" i="13"/>
  <c r="AC24" i="16"/>
  <c r="AC12" i="16"/>
  <c r="AC4" i="13"/>
  <c r="AC12" i="13"/>
  <c r="AC6" i="16"/>
  <c r="AC14" i="15"/>
  <c r="AC15" i="13"/>
  <c r="AC13" i="11"/>
  <c r="AC7" i="16"/>
  <c r="AC24" i="14"/>
  <c r="AC13" i="15"/>
  <c r="AC23" i="13"/>
  <c r="AC6" i="12"/>
  <c r="AC17" i="15"/>
  <c r="AC10" i="15"/>
  <c r="AC5" i="11"/>
  <c r="AC23" i="15"/>
  <c r="AC8" i="13"/>
  <c r="AC17" i="13"/>
  <c r="AC16" i="12"/>
  <c r="AC14" i="13"/>
  <c r="AC4" i="12"/>
  <c r="AC4" i="11"/>
  <c r="AC9" i="16"/>
  <c r="AC12" i="12"/>
  <c r="AC5" i="16"/>
  <c r="AC16" i="14"/>
  <c r="AC4" i="14"/>
  <c r="AC7" i="14"/>
  <c r="AC15" i="14"/>
  <c r="AC16" i="11"/>
  <c r="AC14" i="12"/>
  <c r="AC22" i="11"/>
  <c r="AC14" i="11"/>
  <c r="AC23" i="11"/>
  <c r="AC24" i="12"/>
  <c r="AC14" i="14"/>
  <c r="AC6" i="14"/>
  <c r="AC10" i="16"/>
  <c r="AC6" i="15"/>
  <c r="AC17" i="12"/>
  <c r="AC23" i="12"/>
  <c r="AC9" i="15"/>
  <c r="AC11" i="16"/>
  <c r="AC17" i="16"/>
  <c r="AC17" i="14"/>
  <c r="AC18" i="12"/>
  <c r="AC22" i="14"/>
  <c r="AC18" i="15"/>
  <c r="AC5" i="13"/>
  <c r="AC14" i="16"/>
  <c r="AC24" i="13"/>
  <c r="AC11" i="14"/>
  <c r="AC5" i="12"/>
  <c r="AC8" i="15"/>
  <c r="AC7" i="15"/>
  <c r="AC10" i="12"/>
  <c r="AC6" i="13"/>
  <c r="AC11" i="13"/>
  <c r="AC4" i="16"/>
  <c r="AC10" i="13"/>
  <c r="AC11" i="15"/>
  <c r="AC15" i="16"/>
  <c r="AC22" i="15"/>
  <c r="AC10" i="14"/>
  <c r="AC9" i="13"/>
  <c r="AC36" i="19"/>
  <c r="AC45" i="19"/>
  <c r="AC63" i="19"/>
  <c r="AC29" i="19"/>
  <c r="AC64" i="19"/>
  <c r="AC25" i="11"/>
  <c r="AC54" i="16"/>
  <c r="AC55" i="13"/>
  <c r="AC59" i="13"/>
  <c r="AC60" i="14"/>
  <c r="AC34" i="19"/>
  <c r="AC55" i="11"/>
  <c r="AC56" i="11"/>
  <c r="AC63" i="13"/>
  <c r="AC39" i="13"/>
  <c r="AC54" i="11"/>
  <c r="AC64" i="13"/>
  <c r="AC53" i="19"/>
  <c r="AC61" i="19"/>
  <c r="AC27" i="19"/>
  <c r="AC29" i="11"/>
  <c r="AC60" i="11"/>
  <c r="AC28" i="11"/>
  <c r="AC32" i="16"/>
  <c r="AC34" i="14"/>
  <c r="AC64" i="15"/>
  <c r="AC45" i="13"/>
  <c r="AC42" i="19"/>
  <c r="AC54" i="19"/>
  <c r="AC57" i="19"/>
  <c r="AC25" i="19"/>
  <c r="AC53" i="11"/>
  <c r="AC31" i="13"/>
  <c r="AC37" i="12"/>
  <c r="AC54" i="13"/>
  <c r="AC63" i="16"/>
  <c r="AC32" i="15"/>
  <c r="AC26" i="19"/>
  <c r="AC52" i="19"/>
  <c r="AC31" i="19"/>
  <c r="AC61" i="11"/>
  <c r="AC61" i="16"/>
  <c r="AC42" i="11"/>
  <c r="AC39" i="15"/>
  <c r="AC30" i="11"/>
  <c r="AC64" i="16"/>
  <c r="AC29" i="15"/>
  <c r="AC32" i="14"/>
  <c r="AC35" i="11"/>
  <c r="AC38" i="19"/>
  <c r="AC37" i="19"/>
  <c r="AC31" i="12"/>
  <c r="AC25" i="13"/>
  <c r="AC27" i="14"/>
  <c r="AC55" i="19"/>
  <c r="AC30" i="19"/>
  <c r="AC60" i="19"/>
  <c r="AC39" i="11"/>
  <c r="AC26" i="15"/>
  <c r="AC60" i="12"/>
  <c r="AC59" i="11"/>
  <c r="AC63" i="14"/>
  <c r="AC39" i="12"/>
  <c r="AC61" i="12"/>
  <c r="AC60" i="13"/>
  <c r="AC40" i="19"/>
  <c r="AC41" i="19"/>
  <c r="AC43" i="19"/>
  <c r="AC45" i="14"/>
  <c r="AC64" i="11"/>
  <c r="AC41" i="14"/>
  <c r="AC59" i="15"/>
  <c r="AC38" i="14"/>
  <c r="AC45" i="12"/>
  <c r="AC41" i="15"/>
  <c r="AC56" i="13"/>
  <c r="AC33" i="13"/>
  <c r="AC33" i="11"/>
  <c r="AC53" i="12"/>
  <c r="AC52" i="14"/>
  <c r="AC62" i="11"/>
  <c r="AC38" i="11"/>
  <c r="AC44" i="12"/>
  <c r="AC56" i="19"/>
  <c r="AC35" i="19"/>
  <c r="AC44" i="19"/>
  <c r="AC59" i="19"/>
  <c r="AC39" i="19"/>
  <c r="AC33" i="19"/>
  <c r="AC32" i="19"/>
  <c r="AC28" i="19"/>
  <c r="AC43" i="11"/>
  <c r="AC45" i="11"/>
  <c r="AC56" i="12"/>
  <c r="AC30" i="16"/>
  <c r="AC35" i="14"/>
  <c r="AC31" i="16"/>
  <c r="AC26" i="14"/>
  <c r="AC34" i="13"/>
  <c r="AC60" i="16"/>
  <c r="AC35" i="15"/>
  <c r="AC36" i="12"/>
  <c r="AC32" i="11"/>
  <c r="AC36" i="15"/>
  <c r="AC62" i="19"/>
  <c r="AC44" i="11"/>
  <c r="AC60" i="15"/>
  <c r="AC25" i="15"/>
  <c r="AC52" i="11"/>
  <c r="AC42" i="16"/>
  <c r="AC52" i="15"/>
  <c r="AC33" i="12"/>
  <c r="AC61" i="13"/>
  <c r="AC56" i="16"/>
  <c r="AC61" i="14"/>
  <c r="AC28" i="16"/>
  <c r="AC62" i="14"/>
  <c r="AC63" i="15"/>
  <c r="AC64" i="12"/>
  <c r="AC57" i="15"/>
  <c r="AC38" i="12"/>
  <c r="AC37" i="16"/>
  <c r="AC62" i="15"/>
  <c r="AC27" i="11"/>
  <c r="AC36" i="13"/>
  <c r="AC54" i="12"/>
  <c r="AC45" i="15"/>
  <c r="AC36" i="16"/>
  <c r="AC55" i="16"/>
  <c r="AC63" i="11"/>
  <c r="AC41" i="16"/>
  <c r="AC56" i="15"/>
  <c r="AC34" i="11"/>
  <c r="AC27" i="13"/>
  <c r="AC40" i="13"/>
  <c r="AC39" i="14"/>
  <c r="AC35" i="16"/>
  <c r="AC40" i="11"/>
  <c r="AC62" i="16"/>
  <c r="AC44" i="15"/>
  <c r="AC34" i="15"/>
  <c r="AC37" i="14"/>
  <c r="AC36" i="14"/>
  <c r="AC37" i="15"/>
  <c r="AC38" i="13"/>
  <c r="AC28" i="14"/>
  <c r="AC28" i="12"/>
  <c r="AC26" i="12"/>
  <c r="AC30" i="13"/>
  <c r="AC53" i="16"/>
  <c r="AC61" i="15"/>
  <c r="AC26" i="16"/>
  <c r="AC59" i="16"/>
  <c r="AC35" i="13"/>
  <c r="AC38" i="15"/>
  <c r="AC27" i="12"/>
  <c r="AC43" i="16"/>
  <c r="AC52" i="16"/>
  <c r="AC42" i="13"/>
  <c r="AC31" i="14"/>
  <c r="AC28" i="15"/>
  <c r="AC52" i="13"/>
  <c r="AC43" i="13"/>
  <c r="AC30" i="15"/>
  <c r="AC44" i="13"/>
  <c r="AC39" i="16"/>
  <c r="AC43" i="15"/>
  <c r="AC53" i="14"/>
  <c r="AC37" i="11"/>
  <c r="AC56" i="14"/>
  <c r="AC34" i="12"/>
  <c r="AC31" i="11"/>
  <c r="AC27" i="15"/>
  <c r="AC57" i="13"/>
  <c r="AC44" i="16"/>
  <c r="AC31" i="15"/>
  <c r="AC57" i="12"/>
  <c r="AC30" i="12"/>
  <c r="AC38" i="16"/>
  <c r="AC62" i="12"/>
  <c r="AC29" i="13"/>
  <c r="AC43" i="14"/>
  <c r="AC41" i="11"/>
  <c r="AC40" i="16"/>
  <c r="AC26" i="13"/>
  <c r="AC33" i="14"/>
  <c r="AC32" i="12"/>
  <c r="AC26" i="11"/>
  <c r="AC44" i="14"/>
  <c r="AC40" i="14"/>
  <c r="AC43" i="12"/>
  <c r="AC41" i="13"/>
  <c r="AC40" i="15"/>
  <c r="AC57" i="11"/>
  <c r="AC62" i="13"/>
  <c r="AC41" i="12"/>
  <c r="AC55" i="14"/>
  <c r="AC57" i="16"/>
  <c r="AC29" i="16"/>
  <c r="AC63" i="12"/>
  <c r="AC33" i="16"/>
  <c r="AC45" i="16"/>
  <c r="AC25" i="16"/>
  <c r="AC59" i="12"/>
  <c r="AC36" i="11"/>
  <c r="AC27" i="16"/>
  <c r="AC54" i="15"/>
  <c r="AC33" i="15"/>
  <c r="AC54" i="14"/>
  <c r="AC42" i="14"/>
  <c r="AC25" i="14"/>
  <c r="AC37" i="13"/>
  <c r="AC28" i="13"/>
  <c r="AC59" i="14"/>
  <c r="AC55" i="15"/>
  <c r="AC53" i="13"/>
  <c r="AC42" i="15"/>
  <c r="AC57" i="14"/>
  <c r="AC42" i="12"/>
  <c r="AC64" i="14"/>
  <c r="AC40" i="12"/>
  <c r="AC29" i="12"/>
  <c r="AC32" i="13"/>
  <c r="AC55" i="12"/>
  <c r="AC52" i="12"/>
  <c r="AC30" i="14"/>
  <c r="AC53" i="15"/>
  <c r="AC25" i="12"/>
  <c r="AC29" i="14"/>
  <c r="AC34" i="16"/>
  <c r="AC35" i="12"/>
  <c r="AW12" i="19"/>
  <c r="AW14" i="19"/>
  <c r="AW10" i="19"/>
  <c r="AW5" i="19"/>
  <c r="AW13" i="19"/>
  <c r="AW4" i="19"/>
  <c r="AW16" i="19"/>
  <c r="AW8" i="19"/>
  <c r="AW11" i="19"/>
  <c r="AW17" i="19"/>
  <c r="AW7" i="19"/>
  <c r="AW9" i="19"/>
  <c r="AW23" i="19"/>
  <c r="AW15" i="19"/>
  <c r="AW6" i="19"/>
  <c r="AW22" i="19"/>
  <c r="AW18" i="19"/>
  <c r="AW24" i="19"/>
  <c r="AW13" i="16"/>
  <c r="AW18" i="14"/>
  <c r="AW14" i="13"/>
  <c r="AW12" i="11"/>
  <c r="AW13" i="11"/>
  <c r="AW8" i="11"/>
  <c r="AW13" i="14"/>
  <c r="AW23" i="11"/>
  <c r="AW6" i="12"/>
  <c r="AW16" i="11"/>
  <c r="AW15" i="11"/>
  <c r="AW14" i="11"/>
  <c r="AW16" i="13"/>
  <c r="AW18" i="11"/>
  <c r="AW23" i="16"/>
  <c r="AW11" i="12"/>
  <c r="AW14" i="15"/>
  <c r="AW22" i="16"/>
  <c r="AW15" i="13"/>
  <c r="AW7" i="11"/>
  <c r="AW14" i="14"/>
  <c r="AW17" i="16"/>
  <c r="AW10" i="14"/>
  <c r="AW17" i="11"/>
  <c r="AW18" i="12"/>
  <c r="AW10" i="12"/>
  <c r="AW11" i="14"/>
  <c r="AW17" i="14"/>
  <c r="AW4" i="12"/>
  <c r="AW23" i="14"/>
  <c r="AW4" i="14"/>
  <c r="AW14" i="16"/>
  <c r="AW5" i="16"/>
  <c r="AW22" i="15"/>
  <c r="AW4" i="11"/>
  <c r="AW4" i="16"/>
  <c r="AW18" i="16"/>
  <c r="AW10" i="16"/>
  <c r="AW24" i="12"/>
  <c r="AW9" i="16"/>
  <c r="AW17" i="12"/>
  <c r="AW23" i="12"/>
  <c r="AW12" i="16"/>
  <c r="AW15" i="16"/>
  <c r="AW16" i="15"/>
  <c r="AW5" i="14"/>
  <c r="AW23" i="13"/>
  <c r="AW17" i="15"/>
  <c r="AW11" i="11"/>
  <c r="AW22" i="14"/>
  <c r="AW13" i="15"/>
  <c r="AW12" i="15"/>
  <c r="AW24" i="13"/>
  <c r="AW15" i="12"/>
  <c r="AW11" i="13"/>
  <c r="AW10" i="15"/>
  <c r="AW8" i="12"/>
  <c r="AW7" i="13"/>
  <c r="AW7" i="12"/>
  <c r="AW22" i="12"/>
  <c r="AW5" i="12"/>
  <c r="AW11" i="16"/>
  <c r="AW8" i="16"/>
  <c r="AW9" i="14"/>
  <c r="AW18" i="13"/>
  <c r="AW23" i="15"/>
  <c r="AW9" i="11"/>
  <c r="AW14" i="12"/>
  <c r="AW18" i="15"/>
  <c r="AW17" i="13"/>
  <c r="AW8" i="14"/>
  <c r="AW13" i="13"/>
  <c r="AW7" i="14"/>
  <c r="AW24" i="11"/>
  <c r="AW6" i="15"/>
  <c r="AW6" i="16"/>
  <c r="AW8" i="15"/>
  <c r="AW10" i="11"/>
  <c r="AW12" i="14"/>
  <c r="AW4" i="15"/>
  <c r="AW6" i="11"/>
  <c r="AW16" i="14"/>
  <c r="AW10" i="13"/>
  <c r="AW24" i="16"/>
  <c r="AW22" i="13"/>
  <c r="AW6" i="14"/>
  <c r="AW16" i="16"/>
  <c r="AW8" i="13"/>
  <c r="AW9" i="15"/>
  <c r="AW5" i="15"/>
  <c r="AW24" i="14"/>
  <c r="AW7" i="15"/>
  <c r="AW15" i="15"/>
  <c r="AW22" i="11"/>
  <c r="AW9" i="13"/>
  <c r="AW5" i="11"/>
  <c r="AW5" i="13"/>
  <c r="AW6" i="13"/>
  <c r="AW13" i="12"/>
  <c r="AW4" i="13"/>
  <c r="AW11" i="15"/>
  <c r="AW12" i="12"/>
  <c r="AW15" i="14"/>
  <c r="AW16" i="12"/>
  <c r="AW7" i="16"/>
  <c r="AW24" i="15"/>
  <c r="AW12" i="13"/>
  <c r="BD6" i="19"/>
  <c r="BD12" i="19"/>
  <c r="BD22" i="19"/>
  <c r="BD23" i="19"/>
  <c r="BD16" i="19"/>
  <c r="BD9" i="19"/>
  <c r="BD14" i="19"/>
  <c r="BD13" i="19"/>
  <c r="BD10" i="19"/>
  <c r="BD24" i="19"/>
  <c r="BD11" i="19"/>
  <c r="BD18" i="19"/>
  <c r="BD17" i="19"/>
  <c r="BD5" i="19"/>
  <c r="BD15" i="19"/>
  <c r="BD8" i="19"/>
  <c r="BD4" i="19"/>
  <c r="BD7" i="19"/>
  <c r="BD7" i="16"/>
  <c r="BD10" i="13"/>
  <c r="BD4" i="15"/>
  <c r="BD4" i="11"/>
  <c r="BD17" i="13"/>
  <c r="BD5" i="13"/>
  <c r="BD6" i="15"/>
  <c r="BD13" i="12"/>
  <c r="BD4" i="14"/>
  <c r="BD13" i="16"/>
  <c r="BD4" i="12"/>
  <c r="BD22" i="16"/>
  <c r="BD5" i="15"/>
  <c r="BD7" i="13"/>
  <c r="BD8" i="14"/>
  <c r="BD18" i="13"/>
  <c r="BD24" i="11"/>
  <c r="BD16" i="14"/>
  <c r="BD7" i="12"/>
  <c r="BD23" i="16"/>
  <c r="BD4" i="13"/>
  <c r="BD11" i="13"/>
  <c r="BD13" i="15"/>
  <c r="BD16" i="15"/>
  <c r="BD5" i="12"/>
  <c r="BD6" i="11"/>
  <c r="BD22" i="13"/>
  <c r="BD8" i="11"/>
  <c r="BD16" i="12"/>
  <c r="BD14" i="15"/>
  <c r="BD13" i="11"/>
  <c r="BD11" i="16"/>
  <c r="BD7" i="14"/>
  <c r="BD8" i="16"/>
  <c r="BD9" i="13"/>
  <c r="BD24" i="13"/>
  <c r="BD22" i="12"/>
  <c r="BD12" i="11"/>
  <c r="BD12" i="16"/>
  <c r="BD9" i="15"/>
  <c r="BD11" i="14"/>
  <c r="BD14" i="14"/>
  <c r="BD17" i="14"/>
  <c r="BD15" i="13"/>
  <c r="BD10" i="16"/>
  <c r="BD16" i="11"/>
  <c r="BD9" i="14"/>
  <c r="BD14" i="11"/>
  <c r="BD8" i="13"/>
  <c r="BD8" i="12"/>
  <c r="BD24" i="12"/>
  <c r="BD9" i="11"/>
  <c r="BD5" i="16"/>
  <c r="BD13" i="14"/>
  <c r="BD18" i="15"/>
  <c r="BD14" i="16"/>
  <c r="BD12" i="13"/>
  <c r="BD24" i="14"/>
  <c r="BD15" i="15"/>
  <c r="BD23" i="14"/>
  <c r="BD23" i="11"/>
  <c r="BD15" i="14"/>
  <c r="BD17" i="11"/>
  <c r="BD15" i="16"/>
  <c r="BD12" i="14"/>
  <c r="BD16" i="13"/>
  <c r="BD11" i="12"/>
  <c r="BD13" i="13"/>
  <c r="BD15" i="11"/>
  <c r="BD18" i="12"/>
  <c r="BD18" i="11"/>
  <c r="BD5" i="11"/>
  <c r="BD10" i="12"/>
  <c r="BD12" i="12"/>
  <c r="BD9" i="16"/>
  <c r="BD18" i="14"/>
  <c r="BD24" i="16"/>
  <c r="BD23" i="13"/>
  <c r="BD18" i="16"/>
  <c r="BD23" i="15"/>
  <c r="BD15" i="12"/>
  <c r="BD10" i="11"/>
  <c r="BD10" i="15"/>
  <c r="BD11" i="15"/>
  <c r="BD11" i="11"/>
  <c r="BD10" i="14"/>
  <c r="BD16" i="16"/>
  <c r="BD6" i="14"/>
  <c r="BD12" i="15"/>
  <c r="BD22" i="11"/>
  <c r="BD6" i="13"/>
  <c r="BD7" i="15"/>
  <c r="BD22" i="14"/>
  <c r="BD17" i="16"/>
  <c r="BD22" i="15"/>
  <c r="BD8" i="15"/>
  <c r="BD23" i="12"/>
  <c r="BD6" i="16"/>
  <c r="BD14" i="12"/>
  <c r="BD5" i="14"/>
  <c r="BD4" i="16"/>
  <c r="BD7" i="11"/>
  <c r="BD17" i="15"/>
  <c r="BD24" i="15"/>
  <c r="BD17" i="12"/>
  <c r="BD6" i="12"/>
  <c r="BD14" i="13"/>
  <c r="R78" i="1"/>
  <c r="U78" i="1" s="1"/>
  <c r="AV18" i="19"/>
  <c r="AV17" i="19"/>
  <c r="AV5" i="19"/>
  <c r="AV13" i="19"/>
  <c r="AV22" i="19"/>
  <c r="AV15" i="19"/>
  <c r="AV4" i="19"/>
  <c r="AV7" i="19"/>
  <c r="AV8" i="19"/>
  <c r="AV24" i="19"/>
  <c r="AV10" i="19"/>
  <c r="AV14" i="19"/>
  <c r="AV9" i="19"/>
  <c r="AV11" i="19"/>
  <c r="AV16" i="19"/>
  <c r="AV12" i="19"/>
  <c r="AV23" i="19"/>
  <c r="AV6" i="19"/>
  <c r="AV8" i="11"/>
  <c r="AV13" i="14"/>
  <c r="AV8" i="12"/>
  <c r="AV11" i="15"/>
  <c r="AV22" i="14"/>
  <c r="AV22" i="16"/>
  <c r="AV7" i="15"/>
  <c r="AV11" i="14"/>
  <c r="AV14" i="12"/>
  <c r="AV4" i="15"/>
  <c r="AV7" i="14"/>
  <c r="AV6" i="12"/>
  <c r="AV14" i="16"/>
  <c r="AV12" i="16"/>
  <c r="AV18" i="12"/>
  <c r="AV12" i="12"/>
  <c r="AV11" i="13"/>
  <c r="AV6" i="11"/>
  <c r="AV16" i="15"/>
  <c r="AV24" i="15"/>
  <c r="AV18" i="14"/>
  <c r="AV17" i="12"/>
  <c r="AV22" i="12"/>
  <c r="AV4" i="16"/>
  <c r="AV4" i="13"/>
  <c r="AV15" i="11"/>
  <c r="AV16" i="14"/>
  <c r="AV5" i="12"/>
  <c r="AV17" i="13"/>
  <c r="AV5" i="11"/>
  <c r="AV8" i="13"/>
  <c r="AV5" i="15"/>
  <c r="AV15" i="14"/>
  <c r="AV18" i="11"/>
  <c r="AV9" i="13"/>
  <c r="AV16" i="11"/>
  <c r="AV12" i="13"/>
  <c r="AV4" i="11"/>
  <c r="AV4" i="12"/>
  <c r="AV9" i="15"/>
  <c r="AV10" i="12"/>
  <c r="AV6" i="14"/>
  <c r="AV12" i="14"/>
  <c r="AV17" i="16"/>
  <c r="AV13" i="11"/>
  <c r="AV13" i="12"/>
  <c r="AV7" i="13"/>
  <c r="AV23" i="11"/>
  <c r="AV6" i="16"/>
  <c r="AV14" i="15"/>
  <c r="AV15" i="13"/>
  <c r="AV7" i="12"/>
  <c r="AV9" i="11"/>
  <c r="AV7" i="16"/>
  <c r="AV14" i="14"/>
  <c r="AV13" i="15"/>
  <c r="AV12" i="11"/>
  <c r="AV9" i="14"/>
  <c r="AV15" i="15"/>
  <c r="AV24" i="12"/>
  <c r="AV23" i="14"/>
  <c r="AV14" i="11"/>
  <c r="AV9" i="16"/>
  <c r="AV10" i="16"/>
  <c r="AV16" i="16"/>
  <c r="AV23" i="12"/>
  <c r="AV17" i="15"/>
  <c r="AV10" i="15"/>
  <c r="AV22" i="15"/>
  <c r="AV11" i="12"/>
  <c r="AV22" i="11"/>
  <c r="AV15" i="16"/>
  <c r="AV18" i="15"/>
  <c r="AV16" i="12"/>
  <c r="AV23" i="16"/>
  <c r="AV11" i="16"/>
  <c r="AV8" i="14"/>
  <c r="AV8" i="15"/>
  <c r="AV24" i="13"/>
  <c r="AV5" i="13"/>
  <c r="AV18" i="16"/>
  <c r="AV4" i="14"/>
  <c r="AV17" i="11"/>
  <c r="AV17" i="14"/>
  <c r="AV22" i="13"/>
  <c r="AV5" i="14"/>
  <c r="AV6" i="15"/>
  <c r="AV14" i="13"/>
  <c r="AV11" i="11"/>
  <c r="AV24" i="16"/>
  <c r="AV13" i="13"/>
  <c r="AV10" i="11"/>
  <c r="AV18" i="13"/>
  <c r="AV23" i="15"/>
  <c r="AV16" i="13"/>
  <c r="AV13" i="16"/>
  <c r="AV6" i="13"/>
  <c r="AV12" i="15"/>
  <c r="AV24" i="14"/>
  <c r="AV24" i="11"/>
  <c r="AV15" i="12"/>
  <c r="AV8" i="16"/>
  <c r="AV7" i="11"/>
  <c r="AV10" i="13"/>
  <c r="AV23" i="13"/>
  <c r="AV5" i="16"/>
  <c r="AV10" i="14"/>
  <c r="R90" i="1"/>
  <c r="U90" i="1" s="1"/>
  <c r="AP23" i="19"/>
  <c r="AP11" i="19"/>
  <c r="AP9" i="11"/>
  <c r="AP4" i="19"/>
  <c r="AP24" i="19"/>
  <c r="AP12" i="19"/>
  <c r="AP17" i="11"/>
  <c r="AP15" i="19"/>
  <c r="AP8" i="19"/>
  <c r="AP5" i="11"/>
  <c r="AP18" i="19"/>
  <c r="AP4" i="11"/>
  <c r="AP6" i="19"/>
  <c r="AP10" i="19"/>
  <c r="AP7" i="11"/>
  <c r="AP17" i="19"/>
  <c r="AP22" i="19"/>
  <c r="AP8" i="11"/>
  <c r="AP10" i="11"/>
  <c r="AP24" i="11"/>
  <c r="AP11" i="11"/>
  <c r="AP22" i="11"/>
  <c r="AP18" i="11"/>
  <c r="AP7" i="19"/>
  <c r="AP16" i="19"/>
  <c r="AP14" i="11"/>
  <c r="AP14" i="19"/>
  <c r="AP16" i="11"/>
  <c r="AP23" i="11"/>
  <c r="AP13" i="19"/>
  <c r="AP9" i="19"/>
  <c r="AP5" i="19"/>
  <c r="AP6" i="11"/>
  <c r="AP16" i="13"/>
  <c r="AP15" i="12"/>
  <c r="AP18" i="15"/>
  <c r="AP16" i="14"/>
  <c r="AP10" i="16"/>
  <c r="AP24" i="13"/>
  <c r="AP11" i="12"/>
  <c r="AP15" i="15"/>
  <c r="AP23" i="15"/>
  <c r="AP6" i="13"/>
  <c r="AP8" i="13"/>
  <c r="AP22" i="15"/>
  <c r="AP13" i="16"/>
  <c r="AP5" i="14"/>
  <c r="AP24" i="12"/>
  <c r="AP10" i="15"/>
  <c r="AP4" i="12"/>
  <c r="AP18" i="12"/>
  <c r="AP7" i="15"/>
  <c r="AP22" i="12"/>
  <c r="AP13" i="15"/>
  <c r="AP11" i="13"/>
  <c r="AP11" i="15"/>
  <c r="AP18" i="14"/>
  <c r="AP5" i="15"/>
  <c r="AP23" i="12"/>
  <c r="AP17" i="13"/>
  <c r="AP7" i="16"/>
  <c r="AP6" i="16"/>
  <c r="AP14" i="16"/>
  <c r="AP15" i="13"/>
  <c r="AP9" i="15"/>
  <c r="AP12" i="16"/>
  <c r="AP17" i="14"/>
  <c r="AP15" i="11"/>
  <c r="AP4" i="13"/>
  <c r="AP6" i="14"/>
  <c r="AP13" i="13"/>
  <c r="AP23" i="14"/>
  <c r="AP10" i="12"/>
  <c r="AP5" i="12"/>
  <c r="AP9" i="14"/>
  <c r="AP7" i="13"/>
  <c r="AP18" i="13"/>
  <c r="AP14" i="15"/>
  <c r="AP7" i="14"/>
  <c r="AP16" i="15"/>
  <c r="AP11" i="16"/>
  <c r="AP22" i="16"/>
  <c r="AP12" i="13"/>
  <c r="AP4" i="16"/>
  <c r="AP12" i="11"/>
  <c r="AP4" i="15"/>
  <c r="AP13" i="12"/>
  <c r="AP10" i="14"/>
  <c r="AP17" i="15"/>
  <c r="AP24" i="16"/>
  <c r="AP12" i="14"/>
  <c r="AP16" i="16"/>
  <c r="AP9" i="16"/>
  <c r="AP12" i="15"/>
  <c r="AP14" i="12"/>
  <c r="AP16" i="12"/>
  <c r="AP22" i="14"/>
  <c r="AP23" i="16"/>
  <c r="AP22" i="13"/>
  <c r="AP10" i="13"/>
  <c r="AP13" i="11"/>
  <c r="AP14" i="13"/>
  <c r="AP15" i="16"/>
  <c r="AP6" i="15"/>
  <c r="AP5" i="13"/>
  <c r="AP17" i="16"/>
  <c r="AP13" i="14"/>
  <c r="AP15" i="14"/>
  <c r="AP6" i="12"/>
  <c r="AP8" i="12"/>
  <c r="AP5" i="16"/>
  <c r="AP18" i="16"/>
  <c r="AP8" i="14"/>
  <c r="AP8" i="15"/>
  <c r="AP14" i="14"/>
  <c r="AP12" i="12"/>
  <c r="AP23" i="13"/>
  <c r="AP9" i="13"/>
  <c r="AP17" i="12"/>
  <c r="AP11" i="14"/>
  <c r="AP7" i="12"/>
  <c r="AP8" i="16"/>
  <c r="AP4" i="14"/>
  <c r="AP24" i="15"/>
  <c r="AP24" i="14"/>
  <c r="AN46" i="15"/>
  <c r="AN21" i="15"/>
  <c r="AN50" i="14"/>
  <c r="AN20" i="16"/>
  <c r="AN47" i="13"/>
  <c r="AN47" i="16"/>
  <c r="AN46" i="13"/>
  <c r="AN50" i="15"/>
  <c r="AN19" i="13"/>
  <c r="AN47" i="15"/>
  <c r="AN20" i="12"/>
  <c r="AN50" i="16"/>
  <c r="AN19" i="16"/>
  <c r="AN50" i="19"/>
  <c r="AN51" i="12"/>
  <c r="AN51" i="19"/>
  <c r="AN49" i="15"/>
  <c r="AN50" i="12"/>
  <c r="AN21" i="13"/>
  <c r="AN48" i="12"/>
  <c r="AN20" i="19"/>
  <c r="AN20" i="14"/>
  <c r="AN46" i="16"/>
  <c r="AN50" i="13"/>
  <c r="AN47" i="14"/>
  <c r="AN51" i="15"/>
  <c r="AN47" i="19"/>
  <c r="AN19" i="19"/>
  <c r="AN20" i="13"/>
  <c r="AN48" i="15"/>
  <c r="AN21" i="12"/>
  <c r="AN51" i="14"/>
  <c r="AN49" i="16"/>
  <c r="AN21" i="14"/>
  <c r="AN46" i="19"/>
  <c r="AN19" i="14"/>
  <c r="AN49" i="14"/>
  <c r="AN48" i="14"/>
  <c r="AN21" i="19"/>
  <c r="AN48" i="19"/>
  <c r="AN19" i="15"/>
  <c r="AN51" i="16"/>
  <c r="AN46" i="12"/>
  <c r="AN49" i="11"/>
  <c r="AN47" i="12"/>
  <c r="AN46" i="11"/>
  <c r="AN48" i="11"/>
  <c r="AN21" i="16"/>
  <c r="AN19" i="12"/>
  <c r="AN48" i="16"/>
  <c r="AN51" i="13"/>
  <c r="AN47" i="11"/>
  <c r="AN51" i="11"/>
  <c r="AN19" i="11"/>
  <c r="AN20" i="11"/>
  <c r="AN20" i="15"/>
  <c r="AN49" i="13"/>
  <c r="AN50" i="11"/>
  <c r="AN48" i="13"/>
  <c r="AN46" i="14"/>
  <c r="AN21" i="11"/>
  <c r="AD63" i="19"/>
  <c r="AD35" i="11"/>
  <c r="AD61" i="11"/>
  <c r="AD61" i="12"/>
  <c r="AD57" i="12"/>
  <c r="AD30" i="13"/>
  <c r="AD42" i="14"/>
  <c r="AD63" i="13"/>
  <c r="AD26" i="14"/>
  <c r="AD52" i="11"/>
  <c r="AD42" i="13"/>
  <c r="AD52" i="13"/>
  <c r="AD62" i="12"/>
  <c r="AD33" i="14"/>
  <c r="AD56" i="13"/>
  <c r="AD29" i="14"/>
  <c r="AD61" i="14"/>
  <c r="AD30" i="15"/>
  <c r="AD60" i="16"/>
  <c r="AD39" i="14"/>
  <c r="AD43" i="19"/>
  <c r="AD62" i="19"/>
  <c r="AD56" i="11"/>
  <c r="AD33" i="15"/>
  <c r="AD30" i="16"/>
  <c r="AD32" i="12"/>
  <c r="AD27" i="13"/>
  <c r="AD40" i="15"/>
  <c r="AD34" i="13"/>
  <c r="AD34" i="16"/>
  <c r="AD42" i="16"/>
  <c r="AD60" i="13"/>
  <c r="AD29" i="12"/>
  <c r="AD54" i="16"/>
  <c r="AD44" i="15"/>
  <c r="AD32" i="16"/>
  <c r="AD56" i="15"/>
  <c r="AD27" i="16"/>
  <c r="AD28" i="19"/>
  <c r="AD29" i="19"/>
  <c r="AD64" i="19"/>
  <c r="AD63" i="11"/>
  <c r="AD40" i="11"/>
  <c r="AD34" i="11"/>
  <c r="AD25" i="16"/>
  <c r="AD29" i="15"/>
  <c r="AD45" i="14"/>
  <c r="AD26" i="15"/>
  <c r="AD64" i="16"/>
  <c r="AD56" i="14"/>
  <c r="AD55" i="12"/>
  <c r="AD34" i="14"/>
  <c r="AD52" i="16"/>
  <c r="AD41" i="14"/>
  <c r="AD42" i="12"/>
  <c r="AD35" i="15"/>
  <c r="AD63" i="14"/>
  <c r="AD31" i="14"/>
  <c r="AD39" i="19"/>
  <c r="AD34" i="19"/>
  <c r="AD28" i="11"/>
  <c r="AD26" i="11"/>
  <c r="AD54" i="14"/>
  <c r="AD64" i="12"/>
  <c r="AD39" i="13"/>
  <c r="AD35" i="13"/>
  <c r="AD32" i="13"/>
  <c r="AD42" i="15"/>
  <c r="AD53" i="12"/>
  <c r="AD25" i="14"/>
  <c r="AD63" i="16"/>
  <c r="AD63" i="15"/>
  <c r="AD35" i="12"/>
  <c r="AD64" i="13"/>
  <c r="AD61" i="13"/>
  <c r="AD62" i="15"/>
  <c r="AD55" i="14"/>
  <c r="AD54" i="15"/>
  <c r="AD31" i="13"/>
  <c r="AD57" i="11"/>
  <c r="AD43" i="12"/>
  <c r="AD57" i="13"/>
  <c r="AD31" i="12"/>
  <c r="AD53" i="15"/>
  <c r="AD37" i="11"/>
  <c r="AD52" i="15"/>
  <c r="AD39" i="12"/>
  <c r="AD39" i="15"/>
  <c r="AD43" i="15"/>
  <c r="AD28" i="13"/>
  <c r="AD44" i="11"/>
  <c r="AD36" i="15"/>
  <c r="AD62" i="13"/>
  <c r="AD30" i="14"/>
  <c r="AD25" i="12"/>
  <c r="AD37" i="12"/>
  <c r="AD29" i="16"/>
  <c r="AD38" i="12"/>
  <c r="AD40" i="12"/>
  <c r="AD53" i="16"/>
  <c r="AD55" i="15"/>
  <c r="AD52" i="19"/>
  <c r="AD55" i="19"/>
  <c r="AD57" i="19"/>
  <c r="AD42" i="19"/>
  <c r="AD38" i="19"/>
  <c r="AD40" i="19"/>
  <c r="AD61" i="19"/>
  <c r="AD53" i="19"/>
  <c r="AD27" i="11"/>
  <c r="AD55" i="11"/>
  <c r="AD37" i="13"/>
  <c r="AD33" i="13"/>
  <c r="AD31" i="15"/>
  <c r="AD25" i="13"/>
  <c r="AD31" i="11"/>
  <c r="AD40" i="13"/>
  <c r="AD33" i="12"/>
  <c r="AD35" i="14"/>
  <c r="AD57" i="15"/>
  <c r="AD38" i="14"/>
  <c r="AD27" i="19"/>
  <c r="AD30" i="19"/>
  <c r="AD32" i="11"/>
  <c r="AD25" i="11"/>
  <c r="AD55" i="16"/>
  <c r="AD53" i="13"/>
  <c r="AD39" i="11"/>
  <c r="AD41" i="13"/>
  <c r="AD44" i="14"/>
  <c r="AD61" i="16"/>
  <c r="AD64" i="11"/>
  <c r="AD29" i="13"/>
  <c r="AD36" i="14"/>
  <c r="AD43" i="14"/>
  <c r="AD32" i="15"/>
  <c r="AD42" i="11"/>
  <c r="AD37" i="15"/>
  <c r="AD34" i="15"/>
  <c r="AD43" i="16"/>
  <c r="AD55" i="13"/>
  <c r="AD59" i="16"/>
  <c r="AD54" i="13"/>
  <c r="AD56" i="19"/>
  <c r="AD54" i="19"/>
  <c r="AD60" i="19"/>
  <c r="AD60" i="11"/>
  <c r="AD60" i="14"/>
  <c r="AD59" i="12"/>
  <c r="AD54" i="12"/>
  <c r="AD45" i="15"/>
  <c r="AD33" i="16"/>
  <c r="AD37" i="14"/>
  <c r="AD38" i="16"/>
  <c r="AD30" i="12"/>
  <c r="AD45" i="13"/>
  <c r="AD62" i="11"/>
  <c r="AD64" i="14"/>
  <c r="AD59" i="13"/>
  <c r="AD56" i="16"/>
  <c r="AD36" i="12"/>
  <c r="AD52" i="14"/>
  <c r="AD64" i="15"/>
  <c r="AD43" i="13"/>
  <c r="AD44" i="16"/>
  <c r="AD36" i="19"/>
  <c r="AD29" i="11"/>
  <c r="AD45" i="11"/>
  <c r="AD38" i="13"/>
  <c r="AD40" i="16"/>
  <c r="AD60" i="12"/>
  <c r="AD31" i="16"/>
  <c r="AD26" i="12"/>
  <c r="AD63" i="12"/>
  <c r="AD40" i="14"/>
  <c r="AD37" i="16"/>
  <c r="AD44" i="19"/>
  <c r="AD59" i="19"/>
  <c r="AD25" i="19"/>
  <c r="AD30" i="11"/>
  <c r="AD59" i="11"/>
  <c r="AD41" i="12"/>
  <c r="AD28" i="12"/>
  <c r="AD56" i="12"/>
  <c r="AD41" i="15"/>
  <c r="AD44" i="13"/>
  <c r="AD28" i="14"/>
  <c r="AD45" i="16"/>
  <c r="AD35" i="16"/>
  <c r="AD43" i="11"/>
  <c r="AD33" i="19"/>
  <c r="AD37" i="19"/>
  <c r="AD26" i="19"/>
  <c r="AD31" i="19"/>
  <c r="AD41" i="19"/>
  <c r="AD54" i="11"/>
  <c r="AD53" i="11"/>
  <c r="AD33" i="11"/>
  <c r="AD27" i="14"/>
  <c r="AD60" i="15"/>
  <c r="AD41" i="11"/>
  <c r="AD27" i="15"/>
  <c r="AD26" i="13"/>
  <c r="AD44" i="12"/>
  <c r="AD62" i="16"/>
  <c r="AD28" i="16"/>
  <c r="AD32" i="14"/>
  <c r="AD28" i="15"/>
  <c r="AD34" i="12"/>
  <c r="AD27" i="12"/>
  <c r="AD52" i="12"/>
  <c r="AD57" i="14"/>
  <c r="AD45" i="12"/>
  <c r="AD35" i="19"/>
  <c r="AD32" i="19"/>
  <c r="AD45" i="19"/>
  <c r="AD38" i="11"/>
  <c r="AD59" i="15"/>
  <c r="AD38" i="15"/>
  <c r="AD36" i="11"/>
  <c r="AD39" i="16"/>
  <c r="AD25" i="15"/>
  <c r="AD26" i="16"/>
  <c r="AD61" i="15"/>
  <c r="AD57" i="16"/>
  <c r="AD41" i="16"/>
  <c r="AD36" i="16"/>
  <c r="AD59" i="14"/>
  <c r="AD62" i="14"/>
  <c r="AD36" i="13"/>
  <c r="AD53" i="14"/>
  <c r="AO50" i="19"/>
  <c r="AO48" i="19"/>
  <c r="AO50" i="16"/>
  <c r="AO20" i="12"/>
  <c r="AO48" i="11"/>
  <c r="AO20" i="14"/>
  <c r="AO47" i="14"/>
  <c r="AO19" i="14"/>
  <c r="AO50" i="14"/>
  <c r="AO51" i="16"/>
  <c r="AO51" i="12"/>
  <c r="AO20" i="19"/>
  <c r="AO19" i="19"/>
  <c r="AO47" i="11"/>
  <c r="AO19" i="11"/>
  <c r="AO21" i="16"/>
  <c r="AO48" i="16"/>
  <c r="AO50" i="12"/>
  <c r="AO20" i="15"/>
  <c r="AO48" i="15"/>
  <c r="AO20" i="11"/>
  <c r="AO46" i="16"/>
  <c r="AO21" i="14"/>
  <c r="AO46" i="19"/>
  <c r="AO51" i="13"/>
  <c r="AO48" i="13"/>
  <c r="AO51" i="19"/>
  <c r="AO46" i="11"/>
  <c r="AO46" i="13"/>
  <c r="AO51" i="11"/>
  <c r="AO47" i="13"/>
  <c r="AO49" i="11"/>
  <c r="AO19" i="12"/>
  <c r="AO46" i="14"/>
  <c r="AO21" i="15"/>
  <c r="AO49" i="15"/>
  <c r="AO46" i="15"/>
  <c r="AO21" i="19"/>
  <c r="AO49" i="14"/>
  <c r="AO19" i="13"/>
  <c r="AO49" i="13"/>
  <c r="AO21" i="12"/>
  <c r="AO21" i="13"/>
  <c r="AO49" i="16"/>
  <c r="AO19" i="15"/>
  <c r="AO51" i="15"/>
  <c r="AO47" i="16"/>
  <c r="AO19" i="16"/>
  <c r="AO20" i="16"/>
  <c r="AO51" i="14"/>
  <c r="AO48" i="12"/>
  <c r="AO20" i="13"/>
  <c r="AO50" i="11"/>
  <c r="AO47" i="15"/>
  <c r="AO47" i="19"/>
  <c r="AO48" i="14"/>
  <c r="AO21" i="11"/>
  <c r="AO50" i="13"/>
  <c r="AO46" i="12"/>
  <c r="AO47" i="12"/>
  <c r="AO50" i="15"/>
  <c r="AG37" i="19"/>
  <c r="AG30" i="11"/>
  <c r="AG41" i="11"/>
  <c r="AG62" i="11"/>
  <c r="AG57" i="15"/>
  <c r="AG28" i="12"/>
  <c r="AG59" i="15"/>
  <c r="AG30" i="12"/>
  <c r="AG40" i="12"/>
  <c r="AG60" i="11"/>
  <c r="AG41" i="12"/>
  <c r="AG42" i="15"/>
  <c r="AG63" i="13"/>
  <c r="AG54" i="15"/>
  <c r="AG35" i="15"/>
  <c r="AG33" i="13"/>
  <c r="AG34" i="15"/>
  <c r="AG31" i="12"/>
  <c r="AG34" i="16"/>
  <c r="AG27" i="16"/>
  <c r="AG44" i="15"/>
  <c r="AG57" i="12"/>
  <c r="AG25" i="13"/>
  <c r="AG28" i="13"/>
  <c r="AG41" i="19"/>
  <c r="AG42" i="14"/>
  <c r="AG41" i="13"/>
  <c r="AG26" i="11"/>
  <c r="AG37" i="11"/>
  <c r="AG38" i="13"/>
  <c r="AG34" i="11"/>
  <c r="AG38" i="12"/>
  <c r="AG54" i="16"/>
  <c r="AG40" i="14"/>
  <c r="AG33" i="14"/>
  <c r="AG39" i="15"/>
  <c r="AG52" i="13"/>
  <c r="AG52" i="12"/>
  <c r="AG60" i="19"/>
  <c r="AG64" i="19"/>
  <c r="AG44" i="19"/>
  <c r="AG27" i="15"/>
  <c r="AG44" i="16"/>
  <c r="AG43" i="12"/>
  <c r="AG45" i="12"/>
  <c r="AG39" i="11"/>
  <c r="AG60" i="16"/>
  <c r="AG38" i="11"/>
  <c r="AG56" i="14"/>
  <c r="AG44" i="13"/>
  <c r="AG37" i="12"/>
  <c r="AG25" i="15"/>
  <c r="AG35" i="13"/>
  <c r="AG56" i="16"/>
  <c r="AG40" i="13"/>
  <c r="AG54" i="11"/>
  <c r="AG45" i="16"/>
  <c r="AG30" i="15"/>
  <c r="AG40" i="16"/>
  <c r="AG29" i="19"/>
  <c r="AG39" i="19"/>
  <c r="AG36" i="19"/>
  <c r="AG31" i="19"/>
  <c r="AG43" i="15"/>
  <c r="AG27" i="14"/>
  <c r="AG31" i="15"/>
  <c r="AG30" i="13"/>
  <c r="AG28" i="11"/>
  <c r="AG38" i="15"/>
  <c r="AG55" i="16"/>
  <c r="AG52" i="16"/>
  <c r="AG44" i="14"/>
  <c r="AG29" i="12"/>
  <c r="AG33" i="12"/>
  <c r="AG39" i="16"/>
  <c r="AG37" i="15"/>
  <c r="AG56" i="15"/>
  <c r="AG63" i="12"/>
  <c r="AG27" i="19"/>
  <c r="AG33" i="19"/>
  <c r="AG28" i="14"/>
  <c r="AG32" i="12"/>
  <c r="AG43" i="11"/>
  <c r="AG45" i="15"/>
  <c r="AG60" i="13"/>
  <c r="AG55" i="11"/>
  <c r="AG35" i="11"/>
  <c r="AG43" i="14"/>
  <c r="AG53" i="11"/>
  <c r="AG25" i="14"/>
  <c r="AG63" i="16"/>
  <c r="AG36" i="12"/>
  <c r="AG57" i="13"/>
  <c r="AG45" i="13"/>
  <c r="AG28" i="15"/>
  <c r="AG26" i="13"/>
  <c r="AG25" i="12"/>
  <c r="AG36" i="15"/>
  <c r="AG28" i="19"/>
  <c r="AG40" i="19"/>
  <c r="AG63" i="19"/>
  <c r="AG29" i="14"/>
  <c r="AG31" i="11"/>
  <c r="AG64" i="14"/>
  <c r="AG29" i="16"/>
  <c r="AG59" i="11"/>
  <c r="AG35" i="12"/>
  <c r="AG36" i="13"/>
  <c r="AG27" i="13"/>
  <c r="AG55" i="14"/>
  <c r="AG56" i="11"/>
  <c r="AG45" i="14"/>
  <c r="AG34" i="13"/>
  <c r="AG29" i="13"/>
  <c r="AG28" i="16"/>
  <c r="AG43" i="13"/>
  <c r="AG30" i="16"/>
  <c r="AG56" i="19"/>
  <c r="AG30" i="19"/>
  <c r="AG64" i="12"/>
  <c r="AG36" i="11"/>
  <c r="AG52" i="14"/>
  <c r="AG29" i="11"/>
  <c r="AG63" i="11"/>
  <c r="AG25" i="16"/>
  <c r="AG61" i="11"/>
  <c r="AG32" i="13"/>
  <c r="AG62" i="12"/>
  <c r="AG31" i="16"/>
  <c r="AG59" i="12"/>
  <c r="AG34" i="14"/>
  <c r="AG55" i="12"/>
  <c r="AG64" i="13"/>
  <c r="AG54" i="12"/>
  <c r="AG38" i="16"/>
  <c r="AG56" i="12"/>
  <c r="AG26" i="14"/>
  <c r="AG34" i="12"/>
  <c r="AG55" i="15"/>
  <c r="AG42" i="16"/>
  <c r="AG62" i="19"/>
  <c r="AG64" i="11"/>
  <c r="AG64" i="15"/>
  <c r="AG25" i="11"/>
  <c r="AG27" i="12"/>
  <c r="AG29" i="15"/>
  <c r="AG62" i="14"/>
  <c r="AG59" i="16"/>
  <c r="AG35" i="14"/>
  <c r="AG53" i="14"/>
  <c r="AG36" i="16"/>
  <c r="AG26" i="15"/>
  <c r="AG53" i="19"/>
  <c r="AG32" i="19"/>
  <c r="AG45" i="19"/>
  <c r="AG45" i="11"/>
  <c r="AG32" i="15"/>
  <c r="AG44" i="11"/>
  <c r="AG40" i="15"/>
  <c r="AG60" i="15"/>
  <c r="AG61" i="13"/>
  <c r="AG62" i="15"/>
  <c r="AG33" i="16"/>
  <c r="AG56" i="13"/>
  <c r="AG57" i="14"/>
  <c r="AG44" i="12"/>
  <c r="AG31" i="14"/>
  <c r="AG26" i="16"/>
  <c r="AG53" i="16"/>
  <c r="AG39" i="14"/>
  <c r="AG63" i="15"/>
  <c r="AG26" i="12"/>
  <c r="AG63" i="14"/>
  <c r="AG55" i="19"/>
  <c r="AG52" i="19"/>
  <c r="AG25" i="19"/>
  <c r="AG61" i="19"/>
  <c r="AG35" i="19"/>
  <c r="AG27" i="11"/>
  <c r="AG32" i="14"/>
  <c r="AG60" i="14"/>
  <c r="AG57" i="11"/>
  <c r="AG33" i="11"/>
  <c r="AG55" i="13"/>
  <c r="AG35" i="16"/>
  <c r="AG32" i="11"/>
  <c r="AG43" i="16"/>
  <c r="AG39" i="12"/>
  <c r="AG40" i="11"/>
  <c r="AG52" i="11"/>
  <c r="AG37" i="13"/>
  <c r="AG33" i="15"/>
  <c r="AG32" i="16"/>
  <c r="AG30" i="14"/>
  <c r="AG53" i="15"/>
  <c r="AG37" i="16"/>
  <c r="AG61" i="15"/>
  <c r="AG31" i="13"/>
  <c r="AG42" i="19"/>
  <c r="AG38" i="19"/>
  <c r="AG34" i="19"/>
  <c r="AG26" i="19"/>
  <c r="AG61" i="14"/>
  <c r="AG60" i="12"/>
  <c r="AG41" i="16"/>
  <c r="AG57" i="16"/>
  <c r="AG61" i="16"/>
  <c r="AG42" i="11"/>
  <c r="AG64" i="16"/>
  <c r="AG37" i="14"/>
  <c r="AG36" i="14"/>
  <c r="AG62" i="16"/>
  <c r="AG41" i="14"/>
  <c r="AG42" i="13"/>
  <c r="AG59" i="13"/>
  <c r="AG53" i="12"/>
  <c r="AG41" i="15"/>
  <c r="AG39" i="13"/>
  <c r="AG54" i="13"/>
  <c r="AG54" i="19"/>
  <c r="AG57" i="19"/>
  <c r="AG59" i="19"/>
  <c r="AG43" i="19"/>
  <c r="AG52" i="15"/>
  <c r="AG53" i="13"/>
  <c r="AG54" i="14"/>
  <c r="AG42" i="12"/>
  <c r="AG59" i="14"/>
  <c r="AG62" i="13"/>
  <c r="AG38" i="14"/>
  <c r="AG61" i="12"/>
  <c r="AS48" i="15"/>
  <c r="AS46" i="13"/>
  <c r="AS48" i="12"/>
  <c r="AS48" i="13"/>
  <c r="AS19" i="15"/>
  <c r="AS20" i="13"/>
  <c r="AS20" i="11"/>
  <c r="AS51" i="14"/>
  <c r="AS21" i="12"/>
  <c r="AS47" i="15"/>
  <c r="AS51" i="16"/>
  <c r="AS51" i="13"/>
  <c r="AS51" i="19"/>
  <c r="AS21" i="15"/>
  <c r="AS21" i="13"/>
  <c r="AS47" i="16"/>
  <c r="AS21" i="16"/>
  <c r="AS20" i="15"/>
  <c r="AS49" i="16"/>
  <c r="AS19" i="13"/>
  <c r="AS51" i="15"/>
  <c r="AS21" i="14"/>
  <c r="AS50" i="16"/>
  <c r="AS21" i="19"/>
  <c r="AS48" i="19"/>
  <c r="AS50" i="13"/>
  <c r="AS20" i="12"/>
  <c r="AS21" i="11"/>
  <c r="AS47" i="12"/>
  <c r="AS49" i="13"/>
  <c r="AS51" i="11"/>
  <c r="AS47" i="19"/>
  <c r="AS47" i="11"/>
  <c r="AS46" i="16"/>
  <c r="AS19" i="19"/>
  <c r="AS19" i="11"/>
  <c r="AS50" i="11"/>
  <c r="AS48" i="14"/>
  <c r="AS46" i="15"/>
  <c r="AS20" i="19"/>
  <c r="AS19" i="14"/>
  <c r="AS20" i="14"/>
  <c r="AS20" i="16"/>
  <c r="AS49" i="15"/>
  <c r="AS49" i="11"/>
  <c r="AS46" i="11"/>
  <c r="AS48" i="16"/>
  <c r="AS50" i="12"/>
  <c r="AS51" i="12"/>
  <c r="AS47" i="13"/>
  <c r="AS46" i="19"/>
  <c r="AS47" i="14"/>
  <c r="AS49" i="14"/>
  <c r="AS50" i="15"/>
  <c r="AS46" i="12"/>
  <c r="AS48" i="11"/>
  <c r="AS46" i="14"/>
  <c r="AS19" i="16"/>
  <c r="AS50" i="19"/>
  <c r="AS50" i="14"/>
  <c r="AS19" i="12"/>
  <c r="R10" i="19"/>
  <c r="R6" i="19"/>
  <c r="R14" i="19"/>
  <c r="R14" i="11"/>
  <c r="R22" i="11"/>
  <c r="R8" i="12"/>
  <c r="R23" i="11"/>
  <c r="R8" i="14"/>
  <c r="R18" i="15"/>
  <c r="R9" i="15"/>
  <c r="R17" i="15"/>
  <c r="R10" i="11"/>
  <c r="R10" i="13"/>
  <c r="R5" i="12"/>
  <c r="R18" i="19"/>
  <c r="R11" i="19"/>
  <c r="R12" i="16"/>
  <c r="R12" i="14"/>
  <c r="R6" i="12"/>
  <c r="R22" i="14"/>
  <c r="R11" i="14"/>
  <c r="R12" i="12"/>
  <c r="R12" i="19"/>
  <c r="R24" i="11"/>
  <c r="R16" i="11"/>
  <c r="R17" i="11"/>
  <c r="R11" i="11"/>
  <c r="R8" i="15"/>
  <c r="R9" i="14"/>
  <c r="R10" i="15"/>
  <c r="R18" i="12"/>
  <c r="R13" i="19"/>
  <c r="R23" i="19"/>
  <c r="R6" i="15"/>
  <c r="R6" i="13"/>
  <c r="R23" i="13"/>
  <c r="R14" i="16"/>
  <c r="R24" i="12"/>
  <c r="R15" i="15"/>
  <c r="R11" i="16"/>
  <c r="R23" i="14"/>
  <c r="R5" i="15"/>
  <c r="R12" i="15"/>
  <c r="R16" i="14"/>
  <c r="R17" i="19"/>
  <c r="R5" i="19"/>
  <c r="R14" i="14"/>
  <c r="R5" i="11"/>
  <c r="R13" i="14"/>
  <c r="R15" i="14"/>
  <c r="R13" i="11"/>
  <c r="R4" i="16"/>
  <c r="R23" i="15"/>
  <c r="R11" i="15"/>
  <c r="R16" i="15"/>
  <c r="R9" i="16"/>
  <c r="R15" i="19"/>
  <c r="R17" i="16"/>
  <c r="R5" i="16"/>
  <c r="R5" i="13"/>
  <c r="R8" i="11"/>
  <c r="R18" i="13"/>
  <c r="R24" i="16"/>
  <c r="R16" i="12"/>
  <c r="R15" i="12"/>
  <c r="R4" i="19"/>
  <c r="R7" i="11"/>
  <c r="R4" i="11"/>
  <c r="R7" i="12"/>
  <c r="R10" i="14"/>
  <c r="R9" i="11"/>
  <c r="R12" i="13"/>
  <c r="R7" i="14"/>
  <c r="R4" i="12"/>
  <c r="R13" i="15"/>
  <c r="R14" i="15"/>
  <c r="R10" i="12"/>
  <c r="R8" i="16"/>
  <c r="R7" i="15"/>
  <c r="R18" i="16"/>
  <c r="R16" i="16"/>
  <c r="R17" i="14"/>
  <c r="R7" i="19"/>
  <c r="R6" i="16"/>
  <c r="R18" i="11"/>
  <c r="R17" i="12"/>
  <c r="R4" i="15"/>
  <c r="R13" i="13"/>
  <c r="R24" i="13"/>
  <c r="R11" i="13"/>
  <c r="R16" i="13"/>
  <c r="R7" i="13"/>
  <c r="R18" i="14"/>
  <c r="R8" i="13"/>
  <c r="R10" i="16"/>
  <c r="R9" i="19"/>
  <c r="R24" i="19"/>
  <c r="R24" i="15"/>
  <c r="R15" i="13"/>
  <c r="R5" i="14"/>
  <c r="R9" i="13"/>
  <c r="R11" i="12"/>
  <c r="R4" i="14"/>
  <c r="R6" i="14"/>
  <c r="R22" i="13"/>
  <c r="R14" i="13"/>
  <c r="R24" i="14"/>
  <c r="R23" i="12"/>
  <c r="R14" i="12"/>
  <c r="R16" i="19"/>
  <c r="R8" i="19"/>
  <c r="R22" i="19"/>
  <c r="R6" i="11"/>
  <c r="R7" i="16"/>
  <c r="R12" i="11"/>
  <c r="R15" i="16"/>
  <c r="R17" i="13"/>
  <c r="R15" i="11"/>
  <c r="R13" i="12"/>
  <c r="R22" i="12"/>
  <c r="R4" i="13"/>
  <c r="R23" i="16"/>
  <c r="R22" i="16"/>
  <c r="R13" i="16"/>
  <c r="R22" i="15"/>
  <c r="T39" i="19"/>
  <c r="T32" i="19"/>
  <c r="T62" i="19"/>
  <c r="T56" i="19"/>
  <c r="T61" i="11"/>
  <c r="T42" i="16"/>
  <c r="T42" i="11"/>
  <c r="T28" i="15"/>
  <c r="T40" i="13"/>
  <c r="T45" i="16"/>
  <c r="T60" i="14"/>
  <c r="T54" i="15"/>
  <c r="T36" i="11"/>
  <c r="T30" i="14"/>
  <c r="T52" i="11"/>
  <c r="T28" i="13"/>
  <c r="T62" i="13"/>
  <c r="T42" i="13"/>
  <c r="T40" i="12"/>
  <c r="T41" i="13"/>
  <c r="T63" i="12"/>
  <c r="T31" i="14"/>
  <c r="T41" i="16"/>
  <c r="T36" i="15"/>
  <c r="T29" i="13"/>
  <c r="T59" i="15"/>
  <c r="T64" i="19"/>
  <c r="T63" i="19"/>
  <c r="T45" i="19"/>
  <c r="T59" i="11"/>
  <c r="T35" i="12"/>
  <c r="T27" i="16"/>
  <c r="T64" i="11"/>
  <c r="T43" i="14"/>
  <c r="T33" i="13"/>
  <c r="T63" i="14"/>
  <c r="T34" i="12"/>
  <c r="T38" i="11"/>
  <c r="T55" i="13"/>
  <c r="T31" i="13"/>
  <c r="T37" i="15"/>
  <c r="T53" i="11"/>
  <c r="T29" i="14"/>
  <c r="T64" i="16"/>
  <c r="T61" i="19"/>
  <c r="T53" i="12"/>
  <c r="T30" i="15"/>
  <c r="T32" i="15"/>
  <c r="T32" i="14"/>
  <c r="T39" i="11"/>
  <c r="T41" i="11"/>
  <c r="T41" i="15"/>
  <c r="T57" i="14"/>
  <c r="T37" i="13"/>
  <c r="T26" i="13"/>
  <c r="T40" i="15"/>
  <c r="T61" i="13"/>
  <c r="T43" i="13"/>
  <c r="T42" i="15"/>
  <c r="T44" i="16"/>
  <c r="T39" i="13"/>
  <c r="T38" i="19"/>
  <c r="T34" i="19"/>
  <c r="T59" i="19"/>
  <c r="T28" i="11"/>
  <c r="T63" i="15"/>
  <c r="T62" i="15"/>
  <c r="T60" i="15"/>
  <c r="T60" i="11"/>
  <c r="T31" i="12"/>
  <c r="T56" i="12"/>
  <c r="T36" i="14"/>
  <c r="T53" i="15"/>
  <c r="T55" i="15"/>
  <c r="T62" i="14"/>
  <c r="T25" i="12"/>
  <c r="T31" i="16"/>
  <c r="T64" i="15"/>
  <c r="T61" i="16"/>
  <c r="T29" i="16"/>
  <c r="T42" i="14"/>
  <c r="T45" i="13"/>
  <c r="T55" i="19"/>
  <c r="T29" i="19"/>
  <c r="T43" i="11"/>
  <c r="T54" i="13"/>
  <c r="T61" i="12"/>
  <c r="T25" i="16"/>
  <c r="T28" i="12"/>
  <c r="T38" i="16"/>
  <c r="T39" i="12"/>
  <c r="T55" i="14"/>
  <c r="T60" i="16"/>
  <c r="T55" i="16"/>
  <c r="T52" i="15"/>
  <c r="T57" i="16"/>
  <c r="T52" i="13"/>
  <c r="T53" i="19"/>
  <c r="T41" i="19"/>
  <c r="T57" i="19"/>
  <c r="T33" i="19"/>
  <c r="T27" i="11"/>
  <c r="T62" i="11"/>
  <c r="T25" i="15"/>
  <c r="T60" i="12"/>
  <c r="T52" i="16"/>
  <c r="T45" i="14"/>
  <c r="T62" i="16"/>
  <c r="T26" i="16"/>
  <c r="T41" i="14"/>
  <c r="T38" i="14"/>
  <c r="T64" i="13"/>
  <c r="T39" i="14"/>
  <c r="T33" i="15"/>
  <c r="T27" i="13"/>
  <c r="T33" i="12"/>
  <c r="T56" i="16"/>
  <c r="T63" i="13"/>
  <c r="T30" i="19"/>
  <c r="T54" i="19"/>
  <c r="T60" i="19"/>
  <c r="T44" i="19"/>
  <c r="T39" i="15"/>
  <c r="T33" i="11"/>
  <c r="T62" i="12"/>
  <c r="T36" i="13"/>
  <c r="T57" i="15"/>
  <c r="T59" i="12"/>
  <c r="T41" i="12"/>
  <c r="T56" i="14"/>
  <c r="T27" i="12"/>
  <c r="T29" i="15"/>
  <c r="T32" i="16"/>
  <c r="T54" i="16"/>
  <c r="T37" i="14"/>
  <c r="T27" i="14"/>
  <c r="T30" i="11"/>
  <c r="T53" i="14"/>
  <c r="T38" i="12"/>
  <c r="T45" i="15"/>
  <c r="T43" i="12"/>
  <c r="T38" i="13"/>
  <c r="T28" i="14"/>
  <c r="T35" i="19"/>
  <c r="T27" i="19"/>
  <c r="T36" i="19"/>
  <c r="T25" i="11"/>
  <c r="T32" i="12"/>
  <c r="T37" i="11"/>
  <c r="T45" i="11"/>
  <c r="T37" i="12"/>
  <c r="T29" i="12"/>
  <c r="T26" i="15"/>
  <c r="T57" i="11"/>
  <c r="T35" i="16"/>
  <c r="T25" i="14"/>
  <c r="T53" i="16"/>
  <c r="T33" i="16"/>
  <c r="T40" i="19"/>
  <c r="T37" i="19"/>
  <c r="T63" i="11"/>
  <c r="T56" i="11"/>
  <c r="T44" i="14"/>
  <c r="T35" i="15"/>
  <c r="T32" i="13"/>
  <c r="T59" i="13"/>
  <c r="T45" i="12"/>
  <c r="T44" i="15"/>
  <c r="T29" i="11"/>
  <c r="T52" i="12"/>
  <c r="T33" i="14"/>
  <c r="T64" i="14"/>
  <c r="T34" i="13"/>
  <c r="T36" i="16"/>
  <c r="T32" i="11"/>
  <c r="T40" i="11"/>
  <c r="T26" i="11"/>
  <c r="T52" i="14"/>
  <c r="T61" i="15"/>
  <c r="T60" i="13"/>
  <c r="T55" i="11"/>
  <c r="T43" i="16"/>
  <c r="T59" i="14"/>
  <c r="T54" i="14"/>
  <c r="T64" i="12"/>
  <c r="T25" i="19"/>
  <c r="T42" i="19"/>
  <c r="T26" i="19"/>
  <c r="T31" i="19"/>
  <c r="T43" i="19"/>
  <c r="T56" i="13"/>
  <c r="T35" i="13"/>
  <c r="T57" i="12"/>
  <c r="T31" i="15"/>
  <c r="T30" i="12"/>
  <c r="T38" i="15"/>
  <c r="T31" i="11"/>
  <c r="T34" i="11"/>
  <c r="T34" i="14"/>
  <c r="T25" i="13"/>
  <c r="T40" i="14"/>
  <c r="T35" i="14"/>
  <c r="T56" i="15"/>
  <c r="T44" i="12"/>
  <c r="T27" i="15"/>
  <c r="T39" i="16"/>
  <c r="T63" i="16"/>
  <c r="T42" i="12"/>
  <c r="T26" i="14"/>
  <c r="T30" i="16"/>
  <c r="T28" i="16"/>
  <c r="T61" i="14"/>
  <c r="T28" i="19"/>
  <c r="T52" i="19"/>
  <c r="T44" i="11"/>
  <c r="T54" i="12"/>
  <c r="T35" i="11"/>
  <c r="T30" i="13"/>
  <c r="T43" i="15"/>
  <c r="T40" i="16"/>
  <c r="T54" i="11"/>
  <c r="T34" i="15"/>
  <c r="T53" i="13"/>
  <c r="T36" i="12"/>
  <c r="T55" i="12"/>
  <c r="T37" i="16"/>
  <c r="T44" i="13"/>
  <c r="T57" i="13"/>
  <c r="T59" i="16"/>
  <c r="T26" i="12"/>
  <c r="T34" i="16"/>
  <c r="R80" i="1"/>
  <c r="U80" i="1" s="1"/>
  <c r="AJ10" i="11"/>
  <c r="AJ12" i="16"/>
  <c r="AJ22" i="11"/>
  <c r="AJ15" i="19"/>
  <c r="AJ7" i="19"/>
  <c r="AJ6" i="11"/>
  <c r="AJ4" i="12"/>
  <c r="AJ10" i="15"/>
  <c r="AJ9" i="15"/>
  <c r="AJ15" i="13"/>
  <c r="AJ22" i="13"/>
  <c r="AJ24" i="11"/>
  <c r="AJ11" i="12"/>
  <c r="AJ15" i="16"/>
  <c r="AJ17" i="15"/>
  <c r="AJ9" i="19"/>
  <c r="AJ13" i="13"/>
  <c r="AJ8" i="13"/>
  <c r="AJ17" i="12"/>
  <c r="AJ24" i="16"/>
  <c r="AJ23" i="11"/>
  <c r="AJ7" i="14"/>
  <c r="AJ7" i="15"/>
  <c r="AJ16" i="16"/>
  <c r="AJ4" i="14"/>
  <c r="AJ4" i="13"/>
  <c r="AJ7" i="13"/>
  <c r="AJ17" i="19"/>
  <c r="AJ10" i="13"/>
  <c r="AJ17" i="14"/>
  <c r="AJ9" i="11"/>
  <c r="AJ8" i="16"/>
  <c r="AJ10" i="16"/>
  <c r="AJ17" i="16"/>
  <c r="AJ15" i="15"/>
  <c r="AJ22" i="16"/>
  <c r="AJ23" i="15"/>
  <c r="AJ10" i="19"/>
  <c r="AJ12" i="19"/>
  <c r="AJ4" i="19"/>
  <c r="AJ14" i="15"/>
  <c r="AJ4" i="15"/>
  <c r="AJ7" i="16"/>
  <c r="AJ5" i="11"/>
  <c r="AJ13" i="16"/>
  <c r="AJ14" i="16"/>
  <c r="AJ5" i="12"/>
  <c r="AJ6" i="12"/>
  <c r="AJ12" i="13"/>
  <c r="AJ16" i="12"/>
  <c r="AJ16" i="19"/>
  <c r="AJ16" i="13"/>
  <c r="AJ12" i="12"/>
  <c r="AJ14" i="11"/>
  <c r="AJ16" i="14"/>
  <c r="AJ18" i="11"/>
  <c r="AJ24" i="15"/>
  <c r="AJ8" i="14"/>
  <c r="AJ13" i="11"/>
  <c r="AJ22" i="14"/>
  <c r="AJ18" i="12"/>
  <c r="AJ11" i="13"/>
  <c r="AJ8" i="12"/>
  <c r="AJ6" i="19"/>
  <c r="AJ18" i="19"/>
  <c r="AJ22" i="15"/>
  <c r="AJ5" i="14"/>
  <c r="AJ11" i="16"/>
  <c r="AJ9" i="14"/>
  <c r="AJ22" i="12"/>
  <c r="AJ9" i="16"/>
  <c r="AJ11" i="15"/>
  <c r="AJ11" i="19"/>
  <c r="AJ13" i="19"/>
  <c r="AJ5" i="19"/>
  <c r="AJ23" i="14"/>
  <c r="AJ6" i="14"/>
  <c r="AJ12" i="14"/>
  <c r="AJ11" i="11"/>
  <c r="AJ15" i="12"/>
  <c r="AJ18" i="14"/>
  <c r="AJ5" i="16"/>
  <c r="AJ6" i="15"/>
  <c r="AJ15" i="11"/>
  <c r="AJ24" i="19"/>
  <c r="AJ22" i="19"/>
  <c r="AJ18" i="15"/>
  <c r="AJ17" i="13"/>
  <c r="AJ7" i="12"/>
  <c r="AJ12" i="15"/>
  <c r="AJ8" i="11"/>
  <c r="AJ6" i="13"/>
  <c r="AJ13" i="15"/>
  <c r="AJ18" i="13"/>
  <c r="AJ17" i="11"/>
  <c r="AJ23" i="19"/>
  <c r="AJ8" i="19"/>
  <c r="AJ13" i="12"/>
  <c r="AJ23" i="16"/>
  <c r="AJ15" i="14"/>
  <c r="AJ8" i="15"/>
  <c r="AJ12" i="11"/>
  <c r="AJ16" i="11"/>
  <c r="AJ24" i="12"/>
  <c r="AJ23" i="13"/>
  <c r="AJ14" i="19"/>
  <c r="AJ5" i="13"/>
  <c r="AJ24" i="14"/>
  <c r="AJ10" i="12"/>
  <c r="AJ13" i="14"/>
  <c r="AJ6" i="16"/>
  <c r="AJ10" i="14"/>
  <c r="AJ16" i="15"/>
  <c r="AJ9" i="13"/>
  <c r="AJ7" i="11"/>
  <c r="AJ14" i="13"/>
  <c r="AJ23" i="12"/>
  <c r="AJ14" i="12"/>
  <c r="AJ11" i="14"/>
  <c r="AJ18" i="16"/>
  <c r="AJ4" i="16"/>
  <c r="AJ14" i="14"/>
  <c r="AJ5" i="15"/>
  <c r="AJ4" i="11"/>
  <c r="AJ24" i="13"/>
  <c r="AV50" i="11"/>
  <c r="AV47" i="13"/>
  <c r="AV19" i="14"/>
  <c r="AV50" i="19"/>
  <c r="AV46" i="15"/>
  <c r="AV50" i="16"/>
  <c r="AV49" i="11"/>
  <c r="AV20" i="16"/>
  <c r="AV48" i="13"/>
  <c r="AV51" i="15"/>
  <c r="AV21" i="12"/>
  <c r="AV21" i="15"/>
  <c r="AV21" i="14"/>
  <c r="AV51" i="11"/>
  <c r="AV47" i="15"/>
  <c r="AV50" i="13"/>
  <c r="AV47" i="12"/>
  <c r="AV20" i="13"/>
  <c r="AV19" i="19"/>
  <c r="AV51" i="16"/>
  <c r="AV46" i="16"/>
  <c r="AV48" i="15"/>
  <c r="AV47" i="14"/>
  <c r="AV19" i="12"/>
  <c r="AV19" i="11"/>
  <c r="AV48" i="16"/>
  <c r="AV46" i="14"/>
  <c r="AV50" i="15"/>
  <c r="AV20" i="19"/>
  <c r="AV48" i="19"/>
  <c r="AV47" i="11"/>
  <c r="AV51" i="13"/>
  <c r="AV21" i="11"/>
  <c r="AV20" i="14"/>
  <c r="AV48" i="14"/>
  <c r="AV50" i="14"/>
  <c r="AV20" i="15"/>
  <c r="AV49" i="14"/>
  <c r="AV21" i="13"/>
  <c r="AV19" i="15"/>
  <c r="AV49" i="15"/>
  <c r="AV21" i="19"/>
  <c r="AV20" i="12"/>
  <c r="AV51" i="14"/>
  <c r="AV21" i="16"/>
  <c r="AV46" i="13"/>
  <c r="AV49" i="13"/>
  <c r="AV19" i="13"/>
  <c r="AV51" i="12"/>
  <c r="AV48" i="12"/>
  <c r="AV47" i="19"/>
  <c r="AV48" i="11"/>
  <c r="AV49" i="16"/>
  <c r="AV19" i="16"/>
  <c r="AV50" i="12"/>
  <c r="AV46" i="11"/>
  <c r="AV46" i="19"/>
  <c r="AV51" i="19"/>
  <c r="AV47" i="16"/>
  <c r="AV46" i="12"/>
  <c r="AV20" i="11"/>
  <c r="Y8" i="19"/>
  <c r="Y11" i="19"/>
  <c r="Y7" i="11"/>
  <c r="Y11" i="14"/>
  <c r="Y17" i="15"/>
  <c r="Y24" i="14"/>
  <c r="Y9" i="16"/>
  <c r="Y5" i="15"/>
  <c r="Y9" i="19"/>
  <c r="Y11" i="11"/>
  <c r="Y8" i="16"/>
  <c r="Y18" i="12"/>
  <c r="Y11" i="16"/>
  <c r="Y23" i="16"/>
  <c r="Y23" i="11"/>
  <c r="Y24" i="13"/>
  <c r="Y13" i="13"/>
  <c r="Y7" i="14"/>
  <c r="Y23" i="19"/>
  <c r="Y14" i="19"/>
  <c r="Y15" i="19"/>
  <c r="Y12" i="11"/>
  <c r="Y12" i="16"/>
  <c r="Y16" i="13"/>
  <c r="Y22" i="13"/>
  <c r="Y6" i="16"/>
  <c r="Y6" i="11"/>
  <c r="Y4" i="13"/>
  <c r="Y13" i="11"/>
  <c r="Y9" i="15"/>
  <c r="Y15" i="13"/>
  <c r="Y16" i="11"/>
  <c r="Y23" i="15"/>
  <c r="Y17" i="12"/>
  <c r="Y7" i="13"/>
  <c r="Y6" i="13"/>
  <c r="Y24" i="15"/>
  <c r="Y15" i="12"/>
  <c r="Y6" i="14"/>
  <c r="Y4" i="15"/>
  <c r="Y4" i="14"/>
  <c r="Y22" i="19"/>
  <c r="Y12" i="19"/>
  <c r="Y18" i="11"/>
  <c r="Y7" i="12"/>
  <c r="Y24" i="11"/>
  <c r="Y22" i="11"/>
  <c r="Y14" i="11"/>
  <c r="Y7" i="15"/>
  <c r="Y14" i="16"/>
  <c r="Y24" i="12"/>
  <c r="Y11" i="15"/>
  <c r="Y14" i="12"/>
  <c r="Y17" i="14"/>
  <c r="Y18" i="16"/>
  <c r="Y23" i="13"/>
  <c r="Y10" i="14"/>
  <c r="Y17" i="13"/>
  <c r="Y13" i="12"/>
  <c r="Y4" i="16"/>
  <c r="Y5" i="14"/>
  <c r="Y10" i="13"/>
  <c r="Y8" i="12"/>
  <c r="Y10" i="12"/>
  <c r="Y12" i="14"/>
  <c r="Y8" i="15"/>
  <c r="Y13" i="15"/>
  <c r="Y16" i="12"/>
  <c r="Y11" i="12"/>
  <c r="Y14" i="13"/>
  <c r="Y12" i="12"/>
  <c r="Y5" i="12"/>
  <c r="Y5" i="19"/>
  <c r="Y16" i="19"/>
  <c r="Y18" i="19"/>
  <c r="Y13" i="19"/>
  <c r="Y18" i="14"/>
  <c r="Y10" i="11"/>
  <c r="Y17" i="11"/>
  <c r="Y15" i="16"/>
  <c r="Y12" i="13"/>
  <c r="Y17" i="16"/>
  <c r="Y22" i="15"/>
  <c r="Y8" i="13"/>
  <c r="Y14" i="14"/>
  <c r="Y22" i="12"/>
  <c r="Y17" i="19"/>
  <c r="Y24" i="19"/>
  <c r="Y13" i="16"/>
  <c r="Y18" i="13"/>
  <c r="Y9" i="11"/>
  <c r="Y6" i="15"/>
  <c r="Y7" i="16"/>
  <c r="Y15" i="15"/>
  <c r="Y10" i="16"/>
  <c r="Y4" i="12"/>
  <c r="Y10" i="15"/>
  <c r="Y10" i="19"/>
  <c r="Y7" i="19"/>
  <c r="Y6" i="19"/>
  <c r="Y23" i="12"/>
  <c r="Y6" i="12"/>
  <c r="Y12" i="15"/>
  <c r="Y4" i="11"/>
  <c r="Y16" i="14"/>
  <c r="Y22" i="14"/>
  <c r="Y9" i="13"/>
  <c r="Y4" i="19"/>
  <c r="Y5" i="11"/>
  <c r="Y13" i="14"/>
  <c r="Y14" i="15"/>
  <c r="Y22" i="16"/>
  <c r="Y16" i="16"/>
  <c r="Y9" i="14"/>
  <c r="Y18" i="15"/>
  <c r="Y5" i="16"/>
  <c r="Y23" i="14"/>
  <c r="Y11" i="13"/>
  <c r="Y24" i="16"/>
  <c r="Y15" i="11"/>
  <c r="Y15" i="14"/>
  <c r="Y16" i="15"/>
  <c r="Y8" i="14"/>
  <c r="Y8" i="11"/>
  <c r="Y5" i="13"/>
  <c r="AW51" i="11"/>
  <c r="AW49" i="13"/>
  <c r="AW48" i="16"/>
  <c r="AW46" i="16"/>
  <c r="AW50" i="16"/>
  <c r="AW51" i="16"/>
  <c r="AW19" i="15"/>
  <c r="AW50" i="19"/>
  <c r="AW20" i="11"/>
  <c r="AW47" i="15"/>
  <c r="AW46" i="11"/>
  <c r="AW48" i="15"/>
  <c r="AW19" i="14"/>
  <c r="AW47" i="11"/>
  <c r="AW46" i="15"/>
  <c r="AW51" i="15"/>
  <c r="AW21" i="15"/>
  <c r="AW47" i="16"/>
  <c r="AW49" i="11"/>
  <c r="AW19" i="16"/>
  <c r="AW21" i="16"/>
  <c r="AW20" i="13"/>
  <c r="AW19" i="12"/>
  <c r="AW50" i="12"/>
  <c r="AW46" i="14"/>
  <c r="AW21" i="14"/>
  <c r="AW47" i="13"/>
  <c r="AW50" i="15"/>
  <c r="AW48" i="14"/>
  <c r="AW48" i="19"/>
  <c r="AW50" i="14"/>
  <c r="AW46" i="12"/>
  <c r="AW46" i="13"/>
  <c r="AW51" i="12"/>
  <c r="AW20" i="14"/>
  <c r="AW49" i="15"/>
  <c r="AW51" i="19"/>
  <c r="AW19" i="19"/>
  <c r="AW50" i="11"/>
  <c r="AW50" i="13"/>
  <c r="AW48" i="13"/>
  <c r="AW19" i="13"/>
  <c r="AW21" i="13"/>
  <c r="AW20" i="12"/>
  <c r="AW49" i="16"/>
  <c r="AW47" i="19"/>
  <c r="AW20" i="16"/>
  <c r="AW20" i="15"/>
  <c r="AW51" i="14"/>
  <c r="AW21" i="11"/>
  <c r="AW21" i="19"/>
  <c r="AW21" i="12"/>
  <c r="AW19" i="11"/>
  <c r="AW47" i="14"/>
  <c r="AW48" i="11"/>
  <c r="AW20" i="19"/>
  <c r="AW47" i="12"/>
  <c r="AW49" i="14"/>
  <c r="AW48" i="12"/>
  <c r="AW46" i="19"/>
  <c r="AW51" i="13"/>
  <c r="BD29" i="19"/>
  <c r="BD62" i="19"/>
  <c r="BD27" i="19"/>
  <c r="BD34" i="19"/>
  <c r="BD40" i="13"/>
  <c r="BD62" i="11"/>
  <c r="BD42" i="13"/>
  <c r="BD59" i="11"/>
  <c r="BD57" i="14"/>
  <c r="BD35" i="16"/>
  <c r="BD53" i="15"/>
  <c r="BD35" i="12"/>
  <c r="BD54" i="15"/>
  <c r="BD42" i="11"/>
  <c r="BD52" i="15"/>
  <c r="BD60" i="14"/>
  <c r="BD42" i="16"/>
  <c r="BD38" i="16"/>
  <c r="BD63" i="13"/>
  <c r="BD34" i="15"/>
  <c r="BD60" i="11"/>
  <c r="BD45" i="13"/>
  <c r="BD60" i="15"/>
  <c r="BD60" i="13"/>
  <c r="BD33" i="14"/>
  <c r="BD30" i="19"/>
  <c r="BD41" i="19"/>
  <c r="BD35" i="19"/>
  <c r="BD34" i="11"/>
  <c r="BD61" i="16"/>
  <c r="BD55" i="14"/>
  <c r="BD40" i="14"/>
  <c r="BD61" i="15"/>
  <c r="BD63" i="16"/>
  <c r="BD53" i="11"/>
  <c r="BD36" i="15"/>
  <c r="BD62" i="13"/>
  <c r="BD31" i="13"/>
  <c r="BD55" i="11"/>
  <c r="BD43" i="12"/>
  <c r="BD41" i="15"/>
  <c r="BD57" i="15"/>
  <c r="BD26" i="14"/>
  <c r="BD64" i="16"/>
  <c r="BD56" i="14"/>
  <c r="BD64" i="15"/>
  <c r="BD35" i="13"/>
  <c r="BD40" i="15"/>
  <c r="BD63" i="12"/>
  <c r="BD56" i="16"/>
  <c r="BD59" i="19"/>
  <c r="BD37" i="19"/>
  <c r="BD63" i="11"/>
  <c r="BD29" i="14"/>
  <c r="BD41" i="14"/>
  <c r="BD56" i="12"/>
  <c r="BD40" i="16"/>
  <c r="BD27" i="12"/>
  <c r="BD41" i="13"/>
  <c r="BD36" i="14"/>
  <c r="BD31" i="15"/>
  <c r="BD45" i="11"/>
  <c r="BD33" i="15"/>
  <c r="BD35" i="11"/>
  <c r="BD32" i="13"/>
  <c r="BD61" i="12"/>
  <c r="BD28" i="14"/>
  <c r="BD37" i="12"/>
  <c r="BD54" i="11"/>
  <c r="BD53" i="13"/>
  <c r="BD37" i="11"/>
  <c r="BD62" i="15"/>
  <c r="BD40" i="19"/>
  <c r="BD32" i="19"/>
  <c r="BD64" i="19"/>
  <c r="BD64" i="11"/>
  <c r="BD52" i="12"/>
  <c r="BD53" i="12"/>
  <c r="BD38" i="14"/>
  <c r="BD25" i="11"/>
  <c r="BD61" i="19"/>
  <c r="BD63" i="19"/>
  <c r="BD60" i="19"/>
  <c r="BD29" i="11"/>
  <c r="BD53" i="14"/>
  <c r="BD32" i="15"/>
  <c r="BD63" i="14"/>
  <c r="BD56" i="13"/>
  <c r="BD26" i="16"/>
  <c r="BD39" i="12"/>
  <c r="BD42" i="15"/>
  <c r="BD57" i="11"/>
  <c r="BD39" i="15"/>
  <c r="BD35" i="14"/>
  <c r="BD45" i="12"/>
  <c r="BD44" i="13"/>
  <c r="BD52" i="14"/>
  <c r="BD42" i="19"/>
  <c r="BD39" i="19"/>
  <c r="BD54" i="19"/>
  <c r="BD53" i="19"/>
  <c r="BD34" i="12"/>
  <c r="BD26" i="12"/>
  <c r="BD39" i="14"/>
  <c r="BD36" i="16"/>
  <c r="BD54" i="13"/>
  <c r="BD43" i="15"/>
  <c r="BD61" i="13"/>
  <c r="BD39" i="13"/>
  <c r="BD26" i="11"/>
  <c r="BD31" i="16"/>
  <c r="BD33" i="12"/>
  <c r="BD44" i="12"/>
  <c r="BD32" i="11"/>
  <c r="BD28" i="16"/>
  <c r="BD41" i="12"/>
  <c r="BD41" i="11"/>
  <c r="BD29" i="13"/>
  <c r="BD61" i="14"/>
  <c r="BD35" i="15"/>
  <c r="BD38" i="11"/>
  <c r="BD59" i="12"/>
  <c r="BD45" i="19"/>
  <c r="BD59" i="16"/>
  <c r="BD33" i="13"/>
  <c r="BD59" i="15"/>
  <c r="BD38" i="13"/>
  <c r="BD29" i="16"/>
  <c r="BD29" i="15"/>
  <c r="BD57" i="16"/>
  <c r="BD43" i="13"/>
  <c r="BD30" i="11"/>
  <c r="BD55" i="15"/>
  <c r="BD62" i="14"/>
  <c r="BD53" i="16"/>
  <c r="BD45" i="14"/>
  <c r="BD32" i="12"/>
  <c r="BD33" i="16"/>
  <c r="BD26" i="13"/>
  <c r="BD43" i="16"/>
  <c r="BD59" i="14"/>
  <c r="BD64" i="12"/>
  <c r="BD31" i="12"/>
  <c r="BD40" i="12"/>
  <c r="BD36" i="11"/>
  <c r="BD37" i="16"/>
  <c r="BD44" i="19"/>
  <c r="BD33" i="19"/>
  <c r="BD43" i="19"/>
  <c r="BD57" i="19"/>
  <c r="BD37" i="15"/>
  <c r="BD39" i="16"/>
  <c r="BD31" i="11"/>
  <c r="BD26" i="15"/>
  <c r="BD34" i="13"/>
  <c r="BD28" i="13"/>
  <c r="BD43" i="11"/>
  <c r="BD36" i="13"/>
  <c r="BD36" i="12"/>
  <c r="BD28" i="15"/>
  <c r="BD27" i="11"/>
  <c r="BD62" i="16"/>
  <c r="BD62" i="12"/>
  <c r="BD52" i="16"/>
  <c r="BD55" i="13"/>
  <c r="BD63" i="15"/>
  <c r="BD34" i="16"/>
  <c r="BD57" i="13"/>
  <c r="BD52" i="19"/>
  <c r="BD54" i="12"/>
  <c r="BD45" i="16"/>
  <c r="BD30" i="16"/>
  <c r="BD27" i="16"/>
  <c r="BD38" i="15"/>
  <c r="BD42" i="14"/>
  <c r="BD60" i="16"/>
  <c r="BD56" i="11"/>
  <c r="BD25" i="13"/>
  <c r="BD25" i="15"/>
  <c r="BD32" i="14"/>
  <c r="BD44" i="14"/>
  <c r="BD27" i="13"/>
  <c r="BD28" i="12"/>
  <c r="BD52" i="11"/>
  <c r="BD30" i="14"/>
  <c r="BD30" i="12"/>
  <c r="BD59" i="13"/>
  <c r="BD40" i="11"/>
  <c r="BD41" i="16"/>
  <c r="BD38" i="19"/>
  <c r="BD28" i="19"/>
  <c r="BD25" i="14"/>
  <c r="BD39" i="11"/>
  <c r="BD44" i="16"/>
  <c r="BD64" i="13"/>
  <c r="BD42" i="12"/>
  <c r="BD28" i="11"/>
  <c r="BD31" i="14"/>
  <c r="BD64" i="14"/>
  <c r="BD52" i="13"/>
  <c r="BD30" i="15"/>
  <c r="BD45" i="15"/>
  <c r="BD25" i="12"/>
  <c r="BD31" i="19"/>
  <c r="BD26" i="19"/>
  <c r="BD55" i="19"/>
  <c r="BD27" i="15"/>
  <c r="BD61" i="11"/>
  <c r="BD56" i="15"/>
  <c r="BD55" i="16"/>
  <c r="BD44" i="15"/>
  <c r="BD54" i="16"/>
  <c r="BD37" i="13"/>
  <c r="BD34" i="14"/>
  <c r="BD57" i="12"/>
  <c r="BD29" i="12"/>
  <c r="BD32" i="16"/>
  <c r="BD55" i="12"/>
  <c r="BD44" i="11"/>
  <c r="BD60" i="12"/>
  <c r="BD30" i="13"/>
  <c r="BD43" i="14"/>
  <c r="BD54" i="14"/>
  <c r="BD33" i="11"/>
  <c r="BD37" i="14"/>
  <c r="BD25" i="19"/>
  <c r="BD56" i="19"/>
  <c r="BD36" i="19"/>
  <c r="BD27" i="14"/>
  <c r="BD38" i="12"/>
  <c r="BD25" i="16"/>
  <c r="AS32" i="19"/>
  <c r="AS56" i="19"/>
  <c r="AS54" i="19"/>
  <c r="AS59" i="19"/>
  <c r="AS45" i="19"/>
  <c r="AS38" i="19"/>
  <c r="AS35" i="16"/>
  <c r="AS28" i="11"/>
  <c r="AS55" i="13"/>
  <c r="AS38" i="16"/>
  <c r="AS37" i="14"/>
  <c r="AS35" i="12"/>
  <c r="AS63" i="12"/>
  <c r="AS38" i="15"/>
  <c r="AS41" i="12"/>
  <c r="AS36" i="15"/>
  <c r="AS29" i="14"/>
  <c r="AS52" i="12"/>
  <c r="AS42" i="13"/>
  <c r="AS64" i="15"/>
  <c r="AS44" i="11"/>
  <c r="AS61" i="12"/>
  <c r="AS61" i="13"/>
  <c r="AS35" i="15"/>
  <c r="AS25" i="19"/>
  <c r="AS55" i="19"/>
  <c r="AS61" i="16"/>
  <c r="AS55" i="15"/>
  <c r="AS34" i="15"/>
  <c r="AS27" i="15"/>
  <c r="AS44" i="13"/>
  <c r="AS32" i="15"/>
  <c r="AS42" i="15"/>
  <c r="AS31" i="11"/>
  <c r="AS64" i="14"/>
  <c r="AS28" i="15"/>
  <c r="AS28" i="16"/>
  <c r="AS62" i="14"/>
  <c r="AS28" i="13"/>
  <c r="AS37" i="11"/>
  <c r="AS41" i="16"/>
  <c r="AS34" i="14"/>
  <c r="AS30" i="13"/>
  <c r="AS54" i="13"/>
  <c r="AS43" i="13"/>
  <c r="AS56" i="16"/>
  <c r="AS35" i="11"/>
  <c r="AS53" i="16"/>
  <c r="AS28" i="19"/>
  <c r="AS34" i="19"/>
  <c r="AS39" i="19"/>
  <c r="AS63" i="11"/>
  <c r="AS30" i="14"/>
  <c r="AS26" i="16"/>
  <c r="AS60" i="14"/>
  <c r="AS55" i="12"/>
  <c r="AS32" i="12"/>
  <c r="AS52" i="16"/>
  <c r="AS40" i="13"/>
  <c r="AS53" i="13"/>
  <c r="AS29" i="12"/>
  <c r="AS31" i="16"/>
  <c r="AS36" i="14"/>
  <c r="AS29" i="11"/>
  <c r="AS45" i="12"/>
  <c r="AS40" i="16"/>
  <c r="AS59" i="15"/>
  <c r="AS29" i="13"/>
  <c r="AS38" i="13"/>
  <c r="AS44" i="19"/>
  <c r="AS52" i="19"/>
  <c r="AS38" i="11"/>
  <c r="AS30" i="12"/>
  <c r="AS62" i="15"/>
  <c r="AS34" i="12"/>
  <c r="AS25" i="11"/>
  <c r="AS39" i="13"/>
  <c r="AS29" i="16"/>
  <c r="AS25" i="15"/>
  <c r="AS41" i="14"/>
  <c r="AS60" i="16"/>
  <c r="AS61" i="11"/>
  <c r="AS53" i="19"/>
  <c r="AS61" i="19"/>
  <c r="AS36" i="11"/>
  <c r="AS27" i="13"/>
  <c r="AS32" i="11"/>
  <c r="AS63" i="16"/>
  <c r="AS30" i="16"/>
  <c r="AS39" i="15"/>
  <c r="AS52" i="13"/>
  <c r="AS56" i="11"/>
  <c r="AS63" i="15"/>
  <c r="AS45" i="13"/>
  <c r="AS54" i="16"/>
  <c r="AS53" i="12"/>
  <c r="AS44" i="12"/>
  <c r="AS64" i="12"/>
  <c r="AS57" i="12"/>
  <c r="AS41" i="19"/>
  <c r="AS62" i="19"/>
  <c r="AS55" i="11"/>
  <c r="AS52" i="15"/>
  <c r="AS57" i="11"/>
  <c r="AS36" i="13"/>
  <c r="AS64" i="11"/>
  <c r="AS25" i="13"/>
  <c r="AS64" i="13"/>
  <c r="AS25" i="12"/>
  <c r="AS31" i="14"/>
  <c r="AS33" i="12"/>
  <c r="AS28" i="14"/>
  <c r="AS57" i="14"/>
  <c r="AS33" i="15"/>
  <c r="AS40" i="14"/>
  <c r="AS59" i="14"/>
  <c r="AS45" i="16"/>
  <c r="AS36" i="19"/>
  <c r="AS42" i="19"/>
  <c r="AS35" i="19"/>
  <c r="AS44" i="16"/>
  <c r="AS37" i="16"/>
  <c r="AS33" i="11"/>
  <c r="AS35" i="13"/>
  <c r="AS27" i="16"/>
  <c r="AS29" i="15"/>
  <c r="AS34" i="16"/>
  <c r="AS36" i="12"/>
  <c r="AS52" i="11"/>
  <c r="AS31" i="13"/>
  <c r="AS27" i="12"/>
  <c r="AS52" i="14"/>
  <c r="AS25" i="14"/>
  <c r="AS62" i="12"/>
  <c r="AS27" i="14"/>
  <c r="AS64" i="19"/>
  <c r="AS40" i="19"/>
  <c r="AS26" i="19"/>
  <c r="AS27" i="19"/>
  <c r="AS57" i="13"/>
  <c r="AS63" i="13"/>
  <c r="AS45" i="14"/>
  <c r="AS38" i="12"/>
  <c r="AS56" i="13"/>
  <c r="AS61" i="14"/>
  <c r="AS26" i="15"/>
  <c r="AS26" i="11"/>
  <c r="AS54" i="11"/>
  <c r="AS36" i="16"/>
  <c r="AS56" i="12"/>
  <c r="AS40" i="11"/>
  <c r="AS45" i="15"/>
  <c r="AS42" i="14"/>
  <c r="AS28" i="12"/>
  <c r="AS33" i="16"/>
  <c r="AS25" i="16"/>
  <c r="AS33" i="19"/>
  <c r="AS37" i="19"/>
  <c r="AS29" i="19"/>
  <c r="AS57" i="19"/>
  <c r="AS43" i="16"/>
  <c r="AS59" i="16"/>
  <c r="AS60" i="13"/>
  <c r="AS42" i="16"/>
  <c r="AS39" i="11"/>
  <c r="AS41" i="11"/>
  <c r="AS60" i="15"/>
  <c r="AS57" i="15"/>
  <c r="AS53" i="14"/>
  <c r="AS26" i="13"/>
  <c r="AS53" i="11"/>
  <c r="AS30" i="15"/>
  <c r="AS30" i="11"/>
  <c r="AS33" i="14"/>
  <c r="AS32" i="13"/>
  <c r="AS26" i="14"/>
  <c r="AS40" i="12"/>
  <c r="AS39" i="12"/>
  <c r="AS31" i="19"/>
  <c r="AS35" i="14"/>
  <c r="AS39" i="14"/>
  <c r="AS61" i="15"/>
  <c r="AS59" i="13"/>
  <c r="AS32" i="14"/>
  <c r="AS32" i="16"/>
  <c r="AS33" i="13"/>
  <c r="AS59" i="11"/>
  <c r="AS54" i="14"/>
  <c r="AS42" i="11"/>
  <c r="AS43" i="11"/>
  <c r="AS37" i="12"/>
  <c r="AS56" i="14"/>
  <c r="AS54" i="15"/>
  <c r="AS45" i="11"/>
  <c r="AS44" i="15"/>
  <c r="AS56" i="15"/>
  <c r="AS64" i="16"/>
  <c r="AS38" i="14"/>
  <c r="AS63" i="19"/>
  <c r="AS43" i="19"/>
  <c r="AS30" i="19"/>
  <c r="AS60" i="19"/>
  <c r="AS43" i="14"/>
  <c r="AS26" i="12"/>
  <c r="AS41" i="13"/>
  <c r="AS62" i="13"/>
  <c r="AS62" i="16"/>
  <c r="AS60" i="12"/>
  <c r="AS34" i="11"/>
  <c r="AS37" i="15"/>
  <c r="AS37" i="13"/>
  <c r="AS31" i="15"/>
  <c r="AS54" i="12"/>
  <c r="AS27" i="11"/>
  <c r="AS31" i="12"/>
  <c r="AS34" i="13"/>
  <c r="AS55" i="16"/>
  <c r="AS44" i="14"/>
  <c r="AS43" i="12"/>
  <c r="AS62" i="11"/>
  <c r="AS39" i="16"/>
  <c r="AS63" i="14"/>
  <c r="AS53" i="15"/>
  <c r="AS40" i="15"/>
  <c r="AS42" i="12"/>
  <c r="AS60" i="11"/>
  <c r="AS59" i="12"/>
  <c r="AS57" i="16"/>
  <c r="AS55" i="14"/>
  <c r="AS41" i="15"/>
  <c r="AS43" i="15"/>
  <c r="BD46" i="19"/>
  <c r="BD21" i="16"/>
  <c r="BD46" i="15"/>
  <c r="BD46" i="16"/>
  <c r="BD51" i="13"/>
  <c r="BD46" i="12"/>
  <c r="BD50" i="14"/>
  <c r="BD48" i="12"/>
  <c r="BD50" i="16"/>
  <c r="BD20" i="15"/>
  <c r="BD49" i="16"/>
  <c r="BD19" i="16"/>
  <c r="BD21" i="13"/>
  <c r="BD20" i="16"/>
  <c r="BD21" i="14"/>
  <c r="BD19" i="13"/>
  <c r="BD47" i="11"/>
  <c r="BD51" i="14"/>
  <c r="BD46" i="13"/>
  <c r="BD51" i="16"/>
  <c r="BD49" i="13"/>
  <c r="BD49" i="11"/>
  <c r="BD47" i="12"/>
  <c r="BD48" i="13"/>
  <c r="BD19" i="15"/>
  <c r="BD19" i="11"/>
  <c r="BD50" i="13"/>
  <c r="BD46" i="14"/>
  <c r="BD50" i="12"/>
  <c r="BD47" i="15"/>
  <c r="BD19" i="19"/>
  <c r="BD20" i="19"/>
  <c r="BD20" i="12"/>
  <c r="BD48" i="16"/>
  <c r="BD20" i="11"/>
  <c r="BD51" i="19"/>
  <c r="BD47" i="13"/>
  <c r="BD20" i="14"/>
  <c r="BD19" i="14"/>
  <c r="BD48" i="15"/>
  <c r="BD49" i="14"/>
  <c r="BD19" i="12"/>
  <c r="BD51" i="11"/>
  <c r="BD51" i="12"/>
  <c r="BD51" i="15"/>
  <c r="BD46" i="11"/>
  <c r="BD50" i="15"/>
  <c r="BD48" i="11"/>
  <c r="BD21" i="19"/>
  <c r="BD50" i="19"/>
  <c r="BD47" i="19"/>
  <c r="BD47" i="14"/>
  <c r="BD50" i="11"/>
  <c r="BD21" i="12"/>
  <c r="BD20" i="13"/>
  <c r="BD48" i="14"/>
  <c r="BD47" i="16"/>
  <c r="BD48" i="19"/>
  <c r="BD21" i="15"/>
  <c r="BD21" i="11"/>
  <c r="BD49" i="15"/>
  <c r="R304" i="1"/>
  <c r="U304" i="1" s="1"/>
  <c r="BH42" i="19"/>
  <c r="BH54" i="11"/>
  <c r="BH28" i="15"/>
  <c r="BH52" i="14"/>
  <c r="BH26" i="15"/>
  <c r="BH54" i="15"/>
  <c r="BH60" i="13"/>
  <c r="BH54" i="14"/>
  <c r="BH36" i="13"/>
  <c r="BH57" i="16"/>
  <c r="BH56" i="15"/>
  <c r="BH55" i="12"/>
  <c r="BH25" i="19"/>
  <c r="BH52" i="19"/>
  <c r="BH29" i="19"/>
  <c r="BH38" i="19"/>
  <c r="BH53" i="19"/>
  <c r="BH36" i="19"/>
  <c r="BH52" i="11"/>
  <c r="BH54" i="12"/>
  <c r="BH31" i="12"/>
  <c r="BH36" i="15"/>
  <c r="BH44" i="12"/>
  <c r="BH59" i="13"/>
  <c r="BH39" i="13"/>
  <c r="BH28" i="13"/>
  <c r="BH44" i="14"/>
  <c r="BH60" i="16"/>
  <c r="BH59" i="16"/>
  <c r="BH34" i="12"/>
  <c r="BH64" i="16"/>
  <c r="BH37" i="12"/>
  <c r="BH25" i="12"/>
  <c r="BH26" i="11"/>
  <c r="BH37" i="13"/>
  <c r="BH41" i="13"/>
  <c r="BH26" i="13"/>
  <c r="BH43" i="12"/>
  <c r="BH62" i="19"/>
  <c r="BH52" i="13"/>
  <c r="BH34" i="16"/>
  <c r="BH29" i="16"/>
  <c r="BH26" i="12"/>
  <c r="BH42" i="14"/>
  <c r="BH27" i="13"/>
  <c r="BH35" i="15"/>
  <c r="BH35" i="16"/>
  <c r="BH61" i="15"/>
  <c r="BH27" i="16"/>
  <c r="BH25" i="14"/>
  <c r="BH40" i="15"/>
  <c r="BH32" i="13"/>
  <c r="BH28" i="19"/>
  <c r="BH64" i="19"/>
  <c r="BH54" i="19"/>
  <c r="BH39" i="19"/>
  <c r="BH33" i="15"/>
  <c r="BH38" i="15"/>
  <c r="BH38" i="16"/>
  <c r="BH37" i="16"/>
  <c r="BH38" i="14"/>
  <c r="BH59" i="15"/>
  <c r="BH26" i="14"/>
  <c r="BH41" i="16"/>
  <c r="BH25" i="15"/>
  <c r="BH61" i="11"/>
  <c r="BH33" i="16"/>
  <c r="BH34" i="13"/>
  <c r="BH33" i="13"/>
  <c r="BH64" i="15"/>
  <c r="BH60" i="15"/>
  <c r="BH45" i="12"/>
  <c r="BH63" i="13"/>
  <c r="BH42" i="13"/>
  <c r="BH56" i="14"/>
  <c r="BH29" i="14"/>
  <c r="BH56" i="19"/>
  <c r="BH57" i="19"/>
  <c r="BH37" i="19"/>
  <c r="BH45" i="19"/>
  <c r="BH30" i="19"/>
  <c r="BH45" i="11"/>
  <c r="BH33" i="12"/>
  <c r="BH39" i="14"/>
  <c r="BH38" i="12"/>
  <c r="BH35" i="13"/>
  <c r="BH52" i="12"/>
  <c r="BH37" i="14"/>
  <c r="BH41" i="14"/>
  <c r="BH45" i="13"/>
  <c r="BH27" i="15"/>
  <c r="BH44" i="13"/>
  <c r="BH30" i="14"/>
  <c r="BH33" i="19"/>
  <c r="BH31" i="19"/>
  <c r="BH33" i="11"/>
  <c r="BH44" i="16"/>
  <c r="BH40" i="12"/>
  <c r="BH36" i="12"/>
  <c r="BH41" i="11"/>
  <c r="BH61" i="16"/>
  <c r="BH59" i="14"/>
  <c r="BH36" i="16"/>
  <c r="BH55" i="14"/>
  <c r="BH35" i="12"/>
  <c r="BH43" i="15"/>
  <c r="BH63" i="15"/>
  <c r="BH41" i="12"/>
  <c r="BH62" i="15"/>
  <c r="BH42" i="16"/>
  <c r="BH53" i="11"/>
  <c r="BH40" i="16"/>
  <c r="BH44" i="19"/>
  <c r="BH27" i="19"/>
  <c r="BH41" i="19"/>
  <c r="BH43" i="19"/>
  <c r="BH59" i="11"/>
  <c r="BH39" i="15"/>
  <c r="BH60" i="12"/>
  <c r="BH54" i="13"/>
  <c r="BH36" i="14"/>
  <c r="BH56" i="11"/>
  <c r="BH55" i="15"/>
  <c r="BH60" i="14"/>
  <c r="BH56" i="12"/>
  <c r="BH52" i="15"/>
  <c r="BH52" i="16"/>
  <c r="BH29" i="15"/>
  <c r="BH64" i="12"/>
  <c r="BH45" i="15"/>
  <c r="BH38" i="11"/>
  <c r="BH31" i="15"/>
  <c r="BH55" i="19"/>
  <c r="BH34" i="19"/>
  <c r="BH63" i="11"/>
  <c r="BH25" i="11"/>
  <c r="BH43" i="11"/>
  <c r="BH61" i="13"/>
  <c r="BH53" i="12"/>
  <c r="BH34" i="11"/>
  <c r="BH34" i="14"/>
  <c r="BH57" i="14"/>
  <c r="BH63" i="16"/>
  <c r="BH39" i="12"/>
  <c r="BH64" i="13"/>
  <c r="BH32" i="16"/>
  <c r="BH25" i="13"/>
  <c r="BH31" i="13"/>
  <c r="BH30" i="13"/>
  <c r="BH53" i="13"/>
  <c r="BH29" i="11"/>
  <c r="BH32" i="15"/>
  <c r="BH44" i="11"/>
  <c r="BH55" i="13"/>
  <c r="BH44" i="15"/>
  <c r="BH63" i="19"/>
  <c r="BH35" i="19"/>
  <c r="BH64" i="11"/>
  <c r="BH36" i="11"/>
  <c r="BH62" i="16"/>
  <c r="BH35" i="11"/>
  <c r="BH30" i="12"/>
  <c r="BH62" i="14"/>
  <c r="BH40" i="13"/>
  <c r="BH32" i="12"/>
  <c r="BH53" i="15"/>
  <c r="BH62" i="11"/>
  <c r="BH35" i="14"/>
  <c r="BH43" i="16"/>
  <c r="BH30" i="15"/>
  <c r="BH25" i="16"/>
  <c r="BH41" i="15"/>
  <c r="BH57" i="13"/>
  <c r="BH26" i="16"/>
  <c r="BH42" i="12"/>
  <c r="BH38" i="13"/>
  <c r="BH39" i="16"/>
  <c r="BH63" i="12"/>
  <c r="BH28" i="12"/>
  <c r="BH63" i="14"/>
  <c r="BH54" i="16"/>
  <c r="BH60" i="19"/>
  <c r="BH61" i="19"/>
  <c r="BH37" i="11"/>
  <c r="BH27" i="11"/>
  <c r="BH28" i="14"/>
  <c r="BH56" i="13"/>
  <c r="BH30" i="16"/>
  <c r="BH62" i="12"/>
  <c r="BH59" i="19"/>
  <c r="BH60" i="11"/>
  <c r="BH40" i="11"/>
  <c r="BH55" i="11"/>
  <c r="BH34" i="15"/>
  <c r="BH57" i="11"/>
  <c r="BH31" i="11"/>
  <c r="BH59" i="12"/>
  <c r="BH30" i="11"/>
  <c r="BH53" i="14"/>
  <c r="BH29" i="13"/>
  <c r="BH40" i="14"/>
  <c r="BH32" i="14"/>
  <c r="BH31" i="14"/>
  <c r="BH45" i="16"/>
  <c r="BH29" i="12"/>
  <c r="BH62" i="13"/>
  <c r="BH43" i="13"/>
  <c r="BH57" i="12"/>
  <c r="BH55" i="16"/>
  <c r="BH32" i="19"/>
  <c r="BH40" i="19"/>
  <c r="BH26" i="19"/>
  <c r="BH32" i="11"/>
  <c r="BH39" i="11"/>
  <c r="BH28" i="11"/>
  <c r="BH42" i="11"/>
  <c r="BH45" i="14"/>
  <c r="BH64" i="14"/>
  <c r="BH56" i="16"/>
  <c r="BH33" i="14"/>
  <c r="BH42" i="15"/>
  <c r="BH53" i="16"/>
  <c r="BH57" i="15"/>
  <c r="BH37" i="15"/>
  <c r="BH28" i="16"/>
  <c r="BH27" i="14"/>
  <c r="BH61" i="14"/>
  <c r="BH61" i="12"/>
  <c r="BH31" i="16"/>
  <c r="BH43" i="14"/>
  <c r="BH27" i="12"/>
  <c r="R298" i="1"/>
  <c r="U298" i="1" s="1"/>
  <c r="AW35" i="19"/>
  <c r="AW31" i="19"/>
  <c r="AW54" i="19"/>
  <c r="AW36" i="16"/>
  <c r="AW53" i="14"/>
  <c r="AW26" i="16"/>
  <c r="AW39" i="11"/>
  <c r="AW61" i="13"/>
  <c r="AW62" i="11"/>
  <c r="AW28" i="16"/>
  <c r="AW62" i="15"/>
  <c r="AW62" i="16"/>
  <c r="AW41" i="15"/>
  <c r="AW53" i="15"/>
  <c r="AW34" i="15"/>
  <c r="AW56" i="14"/>
  <c r="AW30" i="12"/>
  <c r="AW44" i="13"/>
  <c r="AW38" i="12"/>
  <c r="AW52" i="13"/>
  <c r="AW42" i="19"/>
  <c r="AW41" i="19"/>
  <c r="AW64" i="19"/>
  <c r="AW39" i="19"/>
  <c r="AW45" i="15"/>
  <c r="AW25" i="15"/>
  <c r="AW40" i="11"/>
  <c r="AW37" i="14"/>
  <c r="AW57" i="13"/>
  <c r="AW25" i="14"/>
  <c r="AW53" i="13"/>
  <c r="AW30" i="13"/>
  <c r="AW40" i="16"/>
  <c r="AW31" i="14"/>
  <c r="AW44" i="16"/>
  <c r="AW42" i="12"/>
  <c r="AW27" i="16"/>
  <c r="AW54" i="13"/>
  <c r="AW28" i="13"/>
  <c r="AW43" i="12"/>
  <c r="AW62" i="12"/>
  <c r="AW25" i="13"/>
  <c r="AW44" i="12"/>
  <c r="AW37" i="11"/>
  <c r="AW59" i="12"/>
  <c r="AW36" i="11"/>
  <c r="AW31" i="16"/>
  <c r="AW59" i="14"/>
  <c r="AW52" i="19"/>
  <c r="AW37" i="19"/>
  <c r="AW61" i="19"/>
  <c r="AW25" i="19"/>
  <c r="AW36" i="13"/>
  <c r="AW39" i="12"/>
  <c r="AW45" i="16"/>
  <c r="AW29" i="15"/>
  <c r="AW38" i="16"/>
  <c r="AW35" i="11"/>
  <c r="AW25" i="16"/>
  <c r="AW52" i="11"/>
  <c r="AW60" i="15"/>
  <c r="AW57" i="14"/>
  <c r="AW31" i="11"/>
  <c r="AW54" i="16"/>
  <c r="AW64" i="15"/>
  <c r="AW26" i="19"/>
  <c r="AW56" i="19"/>
  <c r="AW53" i="11"/>
  <c r="AW54" i="15"/>
  <c r="AW40" i="14"/>
  <c r="AW61" i="12"/>
  <c r="AW39" i="13"/>
  <c r="AW32" i="13"/>
  <c r="AW62" i="13"/>
  <c r="AW41" i="16"/>
  <c r="AW45" i="14"/>
  <c r="AW26" i="15"/>
  <c r="AW60" i="14"/>
  <c r="AW40" i="12"/>
  <c r="AW55" i="16"/>
  <c r="AW32" i="19"/>
  <c r="AW57" i="19"/>
  <c r="AW64" i="11"/>
  <c r="AW38" i="15"/>
  <c r="AW63" i="16"/>
  <c r="AW30" i="11"/>
  <c r="AW35" i="13"/>
  <c r="AW27" i="14"/>
  <c r="AW39" i="15"/>
  <c r="AW39" i="16"/>
  <c r="AW41" i="11"/>
  <c r="AW60" i="11"/>
  <c r="AW32" i="16"/>
  <c r="AW52" i="14"/>
  <c r="AW43" i="14"/>
  <c r="AW42" i="15"/>
  <c r="AW29" i="11"/>
  <c r="AW45" i="13"/>
  <c r="AW60" i="12"/>
  <c r="AW30" i="16"/>
  <c r="AW45" i="12"/>
  <c r="AW40" i="19"/>
  <c r="AW63" i="14"/>
  <c r="AW27" i="13"/>
  <c r="AW31" i="15"/>
  <c r="AW28" i="14"/>
  <c r="AW31" i="12"/>
  <c r="AW55" i="15"/>
  <c r="AW26" i="13"/>
  <c r="AW37" i="16"/>
  <c r="AW32" i="14"/>
  <c r="AW62" i="14"/>
  <c r="AW34" i="11"/>
  <c r="AW30" i="14"/>
  <c r="AW41" i="12"/>
  <c r="AW34" i="12"/>
  <c r="AW33" i="13"/>
  <c r="AW59" i="13"/>
  <c r="AW29" i="12"/>
  <c r="AW35" i="16"/>
  <c r="AW64" i="14"/>
  <c r="AW34" i="19"/>
  <c r="AW28" i="19"/>
  <c r="AW55" i="19"/>
  <c r="AW59" i="19"/>
  <c r="AW53" i="12"/>
  <c r="AW52" i="12"/>
  <c r="AW28" i="11"/>
  <c r="AW32" i="12"/>
  <c r="AW25" i="11"/>
  <c r="AW63" i="13"/>
  <c r="AW52" i="15"/>
  <c r="AW56" i="15"/>
  <c r="AW59" i="16"/>
  <c r="AW63" i="11"/>
  <c r="AW44" i="19"/>
  <c r="AW56" i="16"/>
  <c r="AW26" i="11"/>
  <c r="AW53" i="16"/>
  <c r="AW54" i="14"/>
  <c r="AW41" i="13"/>
  <c r="AW43" i="13"/>
  <c r="AW54" i="12"/>
  <c r="AW42" i="11"/>
  <c r="AW56" i="12"/>
  <c r="AW32" i="11"/>
  <c r="AW36" i="15"/>
  <c r="AW31" i="13"/>
  <c r="AW43" i="15"/>
  <c r="AW54" i="11"/>
  <c r="AW34" i="14"/>
  <c r="AW41" i="14"/>
  <c r="AW36" i="12"/>
  <c r="AW63" i="19"/>
  <c r="AW27" i="19"/>
  <c r="AW43" i="16"/>
  <c r="AW42" i="16"/>
  <c r="AW52" i="16"/>
  <c r="AW33" i="11"/>
  <c r="AW29" i="14"/>
  <c r="AW37" i="12"/>
  <c r="AW44" i="14"/>
  <c r="AW29" i="16"/>
  <c r="AW40" i="13"/>
  <c r="AW64" i="12"/>
  <c r="AW63" i="12"/>
  <c r="AW27" i="11"/>
  <c r="AW34" i="16"/>
  <c r="AW44" i="15"/>
  <c r="AW56" i="13"/>
  <c r="AW55" i="11"/>
  <c r="AW37" i="15"/>
  <c r="AW42" i="13"/>
  <c r="AW57" i="12"/>
  <c r="AW29" i="19"/>
  <c r="AW43" i="19"/>
  <c r="AW36" i="19"/>
  <c r="AW35" i="14"/>
  <c r="AW39" i="14"/>
  <c r="AW55" i="12"/>
  <c r="AW61" i="14"/>
  <c r="AW26" i="12"/>
  <c r="AW27" i="15"/>
  <c r="AW61" i="16"/>
  <c r="AW59" i="15"/>
  <c r="AW28" i="12"/>
  <c r="AW29" i="13"/>
  <c r="AW55" i="13"/>
  <c r="AW37" i="13"/>
  <c r="AW38" i="11"/>
  <c r="AW38" i="13"/>
  <c r="AW57" i="16"/>
  <c r="AW62" i="19"/>
  <c r="AW45" i="19"/>
  <c r="AW33" i="12"/>
  <c r="AW27" i="12"/>
  <c r="AW61" i="15"/>
  <c r="AW35" i="15"/>
  <c r="AW55" i="14"/>
  <c r="AW32" i="15"/>
  <c r="AW40" i="15"/>
  <c r="AW64" i="16"/>
  <c r="AW33" i="15"/>
  <c r="AW33" i="16"/>
  <c r="AW30" i="15"/>
  <c r="AW44" i="11"/>
  <c r="AW30" i="19"/>
  <c r="AW33" i="19"/>
  <c r="AW60" i="19"/>
  <c r="AW53" i="19"/>
  <c r="AW38" i="19"/>
  <c r="AW45" i="11"/>
  <c r="AW35" i="12"/>
  <c r="AW33" i="14"/>
  <c r="AW59" i="11"/>
  <c r="AW60" i="16"/>
  <c r="AW57" i="11"/>
  <c r="AW38" i="14"/>
  <c r="AW60" i="13"/>
  <c r="AW42" i="14"/>
  <c r="AW64" i="13"/>
  <c r="AW34" i="13"/>
  <c r="AW43" i="11"/>
  <c r="AW25" i="12"/>
  <c r="AW26" i="14"/>
  <c r="AW28" i="15"/>
  <c r="AW63" i="15"/>
  <c r="AW36" i="14"/>
  <c r="AW61" i="11"/>
  <c r="AW57" i="15"/>
  <c r="AW56" i="11"/>
  <c r="R110" i="1"/>
  <c r="U110" i="1" s="1"/>
  <c r="BH19" i="11"/>
  <c r="BH19" i="14"/>
  <c r="BH51" i="11"/>
  <c r="BH47" i="12"/>
  <c r="BH21" i="14"/>
  <c r="BH19" i="19"/>
  <c r="BH48" i="19"/>
  <c r="BH46" i="12"/>
  <c r="BH20" i="15"/>
  <c r="BH51" i="13"/>
  <c r="BH49" i="16"/>
  <c r="BH48" i="15"/>
  <c r="BH50" i="13"/>
  <c r="BH50" i="12"/>
  <c r="BH48" i="16"/>
  <c r="BH48" i="11"/>
  <c r="BH51" i="16"/>
  <c r="BH19" i="15"/>
  <c r="BH46" i="16"/>
  <c r="BH48" i="13"/>
  <c r="BH50" i="11"/>
  <c r="BH21" i="16"/>
  <c r="BH51" i="12"/>
  <c r="BH20" i="19"/>
  <c r="BH49" i="11"/>
  <c r="BH21" i="15"/>
  <c r="BH51" i="15"/>
  <c r="BH51" i="14"/>
  <c r="BH21" i="19"/>
  <c r="BH47" i="15"/>
  <c r="BH47" i="14"/>
  <c r="BH20" i="14"/>
  <c r="BH48" i="12"/>
  <c r="BH49" i="14"/>
  <c r="BH48" i="14"/>
  <c r="BH20" i="13"/>
  <c r="BH50" i="16"/>
  <c r="BH20" i="16"/>
  <c r="BH46" i="15"/>
  <c r="BH46" i="19"/>
  <c r="BH47" i="19"/>
  <c r="BH20" i="11"/>
  <c r="BH19" i="16"/>
  <c r="BH21" i="13"/>
  <c r="BH47" i="13"/>
  <c r="BH49" i="15"/>
  <c r="BH50" i="14"/>
  <c r="BH46" i="13"/>
  <c r="BH46" i="11"/>
  <c r="BH21" i="11"/>
  <c r="BH20" i="12"/>
  <c r="BH46" i="14"/>
  <c r="BH19" i="13"/>
  <c r="BH50" i="19"/>
  <c r="BH51" i="19"/>
  <c r="BH47" i="11"/>
  <c r="BH19" i="12"/>
  <c r="BH50" i="15"/>
  <c r="BH21" i="12"/>
  <c r="BH49" i="13"/>
  <c r="BH47" i="16"/>
  <c r="R77" i="1"/>
  <c r="U77" i="1" s="1"/>
  <c r="BE17" i="19"/>
  <c r="BE18" i="19"/>
  <c r="BE22" i="12"/>
  <c r="BE22" i="15"/>
  <c r="BE12" i="16"/>
  <c r="BE5" i="11"/>
  <c r="BE24" i="15"/>
  <c r="BE24" i="11"/>
  <c r="BE14" i="14"/>
  <c r="BE13" i="16"/>
  <c r="BE4" i="13"/>
  <c r="BE11" i="19"/>
  <c r="BE9" i="15"/>
  <c r="BE16" i="14"/>
  <c r="BE6" i="13"/>
  <c r="BE17" i="14"/>
  <c r="BE7" i="11"/>
  <c r="BE18" i="14"/>
  <c r="BE17" i="12"/>
  <c r="BE10" i="13"/>
  <c r="BE18" i="13"/>
  <c r="BE12" i="19"/>
  <c r="BE6" i="19"/>
  <c r="BE8" i="19"/>
  <c r="BE5" i="19"/>
  <c r="BE9" i="19"/>
  <c r="BE23" i="16"/>
  <c r="BE6" i="11"/>
  <c r="BE22" i="14"/>
  <c r="BE11" i="16"/>
  <c r="BE13" i="15"/>
  <c r="BE8" i="11"/>
  <c r="BE7" i="15"/>
  <c r="BE15" i="12"/>
  <c r="BE23" i="19"/>
  <c r="BE16" i="19"/>
  <c r="BE10" i="19"/>
  <c r="BE5" i="16"/>
  <c r="BE22" i="13"/>
  <c r="BE12" i="12"/>
  <c r="BE4" i="11"/>
  <c r="BE14" i="12"/>
  <c r="BE23" i="12"/>
  <c r="BE13" i="12"/>
  <c r="BE7" i="19"/>
  <c r="BE13" i="14"/>
  <c r="BE11" i="12"/>
  <c r="BE11" i="11"/>
  <c r="BE7" i="12"/>
  <c r="BE14" i="19"/>
  <c r="BE17" i="11"/>
  <c r="BE14" i="13"/>
  <c r="BE10" i="14"/>
  <c r="BE5" i="13"/>
  <c r="BE18" i="12"/>
  <c r="BE15" i="15"/>
  <c r="BE16" i="11"/>
  <c r="BE13" i="11"/>
  <c r="BE23" i="11"/>
  <c r="BE12" i="13"/>
  <c r="BE5" i="12"/>
  <c r="BE22" i="16"/>
  <c r="BE22" i="19"/>
  <c r="BE24" i="19"/>
  <c r="BE13" i="19"/>
  <c r="BE22" i="11"/>
  <c r="BE6" i="14"/>
  <c r="BE16" i="12"/>
  <c r="BE8" i="16"/>
  <c r="BE24" i="16"/>
  <c r="BE15" i="19"/>
  <c r="BE4" i="19"/>
  <c r="BE14" i="16"/>
  <c r="BE24" i="12"/>
  <c r="BE8" i="15"/>
  <c r="BE15" i="16"/>
  <c r="BE4" i="12"/>
  <c r="BE9" i="11"/>
  <c r="BE10" i="12"/>
  <c r="BE10" i="16"/>
  <c r="BE6" i="16"/>
  <c r="BE9" i="16"/>
  <c r="BE11" i="14"/>
  <c r="BE16" i="13"/>
  <c r="BE7" i="13"/>
  <c r="BE18" i="11"/>
  <c r="BE14" i="11"/>
  <c r="BE17" i="16"/>
  <c r="BE4" i="14"/>
  <c r="BE6" i="12"/>
  <c r="BE18" i="15"/>
  <c r="BE4" i="15"/>
  <c r="BE23" i="13"/>
  <c r="BE15" i="14"/>
  <c r="BE15" i="11"/>
  <c r="BE4" i="16"/>
  <c r="BE17" i="15"/>
  <c r="BE8" i="13"/>
  <c r="BE7" i="14"/>
  <c r="BE17" i="13"/>
  <c r="BE11" i="15"/>
  <c r="BE8" i="14"/>
  <c r="BE11" i="13"/>
  <c r="BE7" i="16"/>
  <c r="BE14" i="15"/>
  <c r="BE9" i="13"/>
  <c r="BE12" i="15"/>
  <c r="BE13" i="13"/>
  <c r="BE9" i="14"/>
  <c r="BE23" i="15"/>
  <c r="BE8" i="12"/>
  <c r="BE15" i="13"/>
  <c r="BE5" i="15"/>
  <c r="BE12" i="11"/>
  <c r="BE23" i="14"/>
  <c r="BE16" i="16"/>
  <c r="BE5" i="14"/>
  <c r="BE10" i="11"/>
  <c r="BE12" i="14"/>
  <c r="BE24" i="13"/>
  <c r="BE10" i="15"/>
  <c r="BE18" i="16"/>
  <c r="BE24" i="14"/>
  <c r="BE16" i="15"/>
  <c r="BE6" i="15"/>
  <c r="BA13" i="11"/>
  <c r="BA7" i="11"/>
  <c r="BA9" i="11"/>
  <c r="BA17" i="11"/>
  <c r="BA24" i="12"/>
  <c r="BA4" i="11"/>
  <c r="BA10" i="14"/>
  <c r="BA18" i="13"/>
  <c r="BA5" i="14"/>
  <c r="BA15" i="15"/>
  <c r="BA18" i="16"/>
  <c r="BA23" i="11"/>
  <c r="BA16" i="14"/>
  <c r="BA14" i="13"/>
  <c r="BA10" i="13"/>
  <c r="BA22" i="15"/>
  <c r="BA13" i="14"/>
  <c r="BA7" i="19"/>
  <c r="BA24" i="19"/>
  <c r="BA14" i="11"/>
  <c r="BA12" i="11"/>
  <c r="BA16" i="16"/>
  <c r="BA17" i="12"/>
  <c r="BA22" i="14"/>
  <c r="BA16" i="13"/>
  <c r="BA14" i="12"/>
  <c r="BA8" i="12"/>
  <c r="BA5" i="12"/>
  <c r="BA4" i="13"/>
  <c r="BA12" i="12"/>
  <c r="BA6" i="19"/>
  <c r="BA11" i="19"/>
  <c r="BA17" i="19"/>
  <c r="BA6" i="11"/>
  <c r="BA17" i="16"/>
  <c r="BA10" i="15"/>
  <c r="BA11" i="14"/>
  <c r="BA5" i="11"/>
  <c r="BA9" i="13"/>
  <c r="BA4" i="14"/>
  <c r="BA7" i="13"/>
  <c r="BA7" i="16"/>
  <c r="BA5" i="15"/>
  <c r="BA15" i="14"/>
  <c r="BA6" i="15"/>
  <c r="BA18" i="14"/>
  <c r="BA18" i="12"/>
  <c r="BA14" i="19"/>
  <c r="BA15" i="19"/>
  <c r="BA18" i="11"/>
  <c r="BA14" i="14"/>
  <c r="BA14" i="16"/>
  <c r="BA16" i="15"/>
  <c r="BA11" i="12"/>
  <c r="BA12" i="15"/>
  <c r="BA12" i="19"/>
  <c r="BA4" i="19"/>
  <c r="BA22" i="19"/>
  <c r="BA10" i="19"/>
  <c r="BA13" i="19"/>
  <c r="BA9" i="19"/>
  <c r="BA16" i="11"/>
  <c r="BA13" i="16"/>
  <c r="BA14" i="15"/>
  <c r="BA17" i="15"/>
  <c r="BA23" i="15"/>
  <c r="BA9" i="14"/>
  <c r="BA23" i="13"/>
  <c r="BA8" i="19"/>
  <c r="BA15" i="11"/>
  <c r="BA6" i="14"/>
  <c r="BA11" i="13"/>
  <c r="BA9" i="16"/>
  <c r="BA24" i="13"/>
  <c r="BA6" i="13"/>
  <c r="BA10" i="16"/>
  <c r="BA8" i="15"/>
  <c r="BA17" i="14"/>
  <c r="BA16" i="19"/>
  <c r="BA5" i="19"/>
  <c r="BA18" i="19"/>
  <c r="BA10" i="11"/>
  <c r="BA22" i="16"/>
  <c r="BA8" i="13"/>
  <c r="BA9" i="15"/>
  <c r="BA13" i="15"/>
  <c r="BA23" i="16"/>
  <c r="BA23" i="19"/>
  <c r="BA24" i="11"/>
  <c r="BA8" i="11"/>
  <c r="BA24" i="14"/>
  <c r="BA5" i="16"/>
  <c r="BA22" i="13"/>
  <c r="BA7" i="14"/>
  <c r="BA11" i="11"/>
  <c r="BA22" i="12"/>
  <c r="BA17" i="13"/>
  <c r="BA4" i="12"/>
  <c r="BA12" i="14"/>
  <c r="BA7" i="15"/>
  <c r="BA6" i="12"/>
  <c r="BA23" i="14"/>
  <c r="BA22" i="11"/>
  <c r="BA13" i="12"/>
  <c r="BA15" i="16"/>
  <c r="BA12" i="13"/>
  <c r="BA11" i="16"/>
  <c r="BA11" i="15"/>
  <c r="BA18" i="15"/>
  <c r="BA7" i="12"/>
  <c r="BA10" i="12"/>
  <c r="BA5" i="13"/>
  <c r="BA4" i="15"/>
  <c r="BA23" i="12"/>
  <c r="BA16" i="12"/>
  <c r="BA6" i="16"/>
  <c r="BA24" i="16"/>
  <c r="BA15" i="13"/>
  <c r="BA8" i="16"/>
  <c r="BA24" i="15"/>
  <c r="BA8" i="14"/>
  <c r="BA15" i="12"/>
  <c r="BA12" i="16"/>
  <c r="BA13" i="13"/>
  <c r="BA4" i="16"/>
  <c r="AT38" i="19"/>
  <c r="AT64" i="19"/>
  <c r="AT42" i="19"/>
  <c r="AT60" i="19"/>
  <c r="AT31" i="15"/>
  <c r="AT41" i="12"/>
  <c r="AT31" i="11"/>
  <c r="AT60" i="11"/>
  <c r="AT44" i="13"/>
  <c r="AT35" i="12"/>
  <c r="AT38" i="14"/>
  <c r="AT54" i="15"/>
  <c r="AT52" i="13"/>
  <c r="AT37" i="11"/>
  <c r="AT45" i="13"/>
  <c r="AT57" i="14"/>
  <c r="AT30" i="15"/>
  <c r="AT54" i="14"/>
  <c r="AT36" i="11"/>
  <c r="AT56" i="15"/>
  <c r="AT52" i="15"/>
  <c r="AT34" i="16"/>
  <c r="AT56" i="16"/>
  <c r="AT45" i="19"/>
  <c r="AT34" i="19"/>
  <c r="AT25" i="19"/>
  <c r="AT55" i="15"/>
  <c r="AT45" i="14"/>
  <c r="AT53" i="11"/>
  <c r="AT29" i="13"/>
  <c r="AT38" i="11"/>
  <c r="AT44" i="12"/>
  <c r="AT30" i="16"/>
  <c r="AT53" i="12"/>
  <c r="AT62" i="14"/>
  <c r="AT34" i="13"/>
  <c r="AT30" i="11"/>
  <c r="AT28" i="15"/>
  <c r="AT63" i="12"/>
  <c r="AT63" i="13"/>
  <c r="AT37" i="19"/>
  <c r="AT55" i="19"/>
  <c r="AT26" i="19"/>
  <c r="AT36" i="19"/>
  <c r="AT62" i="19"/>
  <c r="AT39" i="19"/>
  <c r="AT54" i="19"/>
  <c r="AT52" i="11"/>
  <c r="AT26" i="16"/>
  <c r="AT29" i="12"/>
  <c r="AT55" i="14"/>
  <c r="AT45" i="16"/>
  <c r="AT57" i="13"/>
  <c r="AT43" i="15"/>
  <c r="AT43" i="14"/>
  <c r="AT42" i="12"/>
  <c r="AT32" i="12"/>
  <c r="AT62" i="11"/>
  <c r="AT37" i="15"/>
  <c r="AT31" i="16"/>
  <c r="AT61" i="16"/>
  <c r="AT33" i="12"/>
  <c r="AT40" i="11"/>
  <c r="AT27" i="19"/>
  <c r="AT63" i="19"/>
  <c r="AT62" i="16"/>
  <c r="AT63" i="14"/>
  <c r="AT59" i="14"/>
  <c r="AT43" i="11"/>
  <c r="AT36" i="13"/>
  <c r="AT59" i="12"/>
  <c r="AT64" i="16"/>
  <c r="AT31" i="14"/>
  <c r="AT57" i="11"/>
  <c r="AT42" i="11"/>
  <c r="AT59" i="11"/>
  <c r="AT56" i="12"/>
  <c r="AT54" i="12"/>
  <c r="AT53" i="15"/>
  <c r="AT56" i="14"/>
  <c r="AT35" i="13"/>
  <c r="AT61" i="13"/>
  <c r="AT35" i="14"/>
  <c r="AT54" i="13"/>
  <c r="AT32" i="19"/>
  <c r="AT31" i="12"/>
  <c r="AT36" i="12"/>
  <c r="AT57" i="12"/>
  <c r="AT57" i="16"/>
  <c r="AT63" i="15"/>
  <c r="AT34" i="14"/>
  <c r="AT38" i="13"/>
  <c r="AT62" i="13"/>
  <c r="AT64" i="15"/>
  <c r="AT54" i="11"/>
  <c r="AT39" i="16"/>
  <c r="AT61" i="11"/>
  <c r="AT25" i="11"/>
  <c r="AT43" i="13"/>
  <c r="AT53" i="19"/>
  <c r="AT59" i="19"/>
  <c r="AT43" i="19"/>
  <c r="AT44" i="19"/>
  <c r="AT26" i="14"/>
  <c r="AT52" i="16"/>
  <c r="AT42" i="14"/>
  <c r="AT33" i="13"/>
  <c r="AT30" i="12"/>
  <c r="AT32" i="11"/>
  <c r="AT52" i="14"/>
  <c r="AT28" i="16"/>
  <c r="AT60" i="16"/>
  <c r="AT29" i="14"/>
  <c r="AT60" i="14"/>
  <c r="AT60" i="15"/>
  <c r="AT60" i="13"/>
  <c r="AT59" i="15"/>
  <c r="AT27" i="13"/>
  <c r="AT30" i="19"/>
  <c r="AT63" i="16"/>
  <c r="AT26" i="15"/>
  <c r="AT38" i="15"/>
  <c r="AT38" i="16"/>
  <c r="AT62" i="15"/>
  <c r="AT53" i="13"/>
  <c r="AT40" i="16"/>
  <c r="AT43" i="16"/>
  <c r="AT63" i="11"/>
  <c r="AT35" i="15"/>
  <c r="AT44" i="16"/>
  <c r="AT41" i="19"/>
  <c r="AT28" i="19"/>
  <c r="AT41" i="14"/>
  <c r="AT64" i="12"/>
  <c r="AT32" i="13"/>
  <c r="AT42" i="16"/>
  <c r="AT33" i="14"/>
  <c r="AT44" i="15"/>
  <c r="AT39" i="15"/>
  <c r="AT44" i="11"/>
  <c r="AT25" i="12"/>
  <c r="AT25" i="14"/>
  <c r="AT33" i="16"/>
  <c r="AT32" i="15"/>
  <c r="AT56" i="13"/>
  <c r="AT39" i="14"/>
  <c r="AT37" i="12"/>
  <c r="AT26" i="12"/>
  <c r="AT25" i="16"/>
  <c r="AT33" i="15"/>
  <c r="AT61" i="19"/>
  <c r="AT35" i="19"/>
  <c r="AT32" i="16"/>
  <c r="AT64" i="14"/>
  <c r="AT27" i="15"/>
  <c r="AT31" i="13"/>
  <c r="AT39" i="13"/>
  <c r="AT59" i="13"/>
  <c r="AT42" i="15"/>
  <c r="AT62" i="12"/>
  <c r="AT41" i="15"/>
  <c r="AT61" i="15"/>
  <c r="AT34" i="12"/>
  <c r="AT45" i="11"/>
  <c r="AT59" i="16"/>
  <c r="AT37" i="13"/>
  <c r="AT32" i="14"/>
  <c r="AT40" i="15"/>
  <c r="AT45" i="15"/>
  <c r="AT41" i="16"/>
  <c r="AT33" i="19"/>
  <c r="AT29" i="19"/>
  <c r="AT42" i="13"/>
  <c r="AT40" i="12"/>
  <c r="AT28" i="14"/>
  <c r="AT37" i="16"/>
  <c r="AT30" i="13"/>
  <c r="AT61" i="12"/>
  <c r="AT27" i="11"/>
  <c r="AT29" i="16"/>
  <c r="AT28" i="11"/>
  <c r="AT27" i="12"/>
  <c r="AT55" i="12"/>
  <c r="AT40" i="19"/>
  <c r="AT31" i="19"/>
  <c r="AT57" i="19"/>
  <c r="AT56" i="19"/>
  <c r="AT52" i="19"/>
  <c r="AT52" i="12"/>
  <c r="AT25" i="15"/>
  <c r="AT45" i="12"/>
  <c r="AT39" i="12"/>
  <c r="AT35" i="16"/>
  <c r="AT36" i="14"/>
  <c r="AT44" i="14"/>
  <c r="AT60" i="12"/>
  <c r="AT55" i="13"/>
  <c r="AT40" i="13"/>
  <c r="AT53" i="16"/>
  <c r="AT29" i="11"/>
  <c r="AT34" i="11"/>
  <c r="AT29" i="15"/>
  <c r="AT43" i="12"/>
  <c r="AT28" i="13"/>
  <c r="AT64" i="11"/>
  <c r="AT26" i="11"/>
  <c r="AT37" i="14"/>
  <c r="AT55" i="11"/>
  <c r="AT57" i="15"/>
  <c r="AT25" i="13"/>
  <c r="AT27" i="16"/>
  <c r="AT36" i="16"/>
  <c r="AT56" i="11"/>
  <c r="AT54" i="16"/>
  <c r="AT53" i="14"/>
  <c r="AT30" i="14"/>
  <c r="AT26" i="13"/>
  <c r="AT41" i="13"/>
  <c r="AT39" i="11"/>
  <c r="AT36" i="15"/>
  <c r="AT41" i="11"/>
  <c r="AT33" i="11"/>
  <c r="AT64" i="13"/>
  <c r="AT34" i="15"/>
  <c r="AT28" i="12"/>
  <c r="AT35" i="11"/>
  <c r="AT27" i="14"/>
  <c r="AT38" i="12"/>
  <c r="AT61" i="14"/>
  <c r="AT40" i="14"/>
  <c r="AT55" i="16"/>
  <c r="AT4" i="19"/>
  <c r="AT11" i="11"/>
  <c r="AT22" i="16"/>
  <c r="AT10" i="12"/>
  <c r="AT17" i="16"/>
  <c r="AT7" i="11"/>
  <c r="AT4" i="11"/>
  <c r="AT7" i="13"/>
  <c r="AT15" i="16"/>
  <c r="AT23" i="12"/>
  <c r="AT22" i="19"/>
  <c r="AT5" i="19"/>
  <c r="AT17" i="11"/>
  <c r="AT23" i="16"/>
  <c r="AT18" i="14"/>
  <c r="AT8" i="16"/>
  <c r="AT22" i="15"/>
  <c r="AT22" i="12"/>
  <c r="AT24" i="14"/>
  <c r="AT12" i="12"/>
  <c r="AT14" i="11"/>
  <c r="AT14" i="13"/>
  <c r="AT17" i="19"/>
  <c r="AT8" i="12"/>
  <c r="AT18" i="15"/>
  <c r="AT24" i="15"/>
  <c r="AT5" i="14"/>
  <c r="AT7" i="19"/>
  <c r="AT24" i="19"/>
  <c r="AT8" i="19"/>
  <c r="AT6" i="15"/>
  <c r="AT11" i="16"/>
  <c r="AT23" i="14"/>
  <c r="AT13" i="13"/>
  <c r="AT9" i="13"/>
  <c r="AT15" i="14"/>
  <c r="AT10" i="16"/>
  <c r="AT12" i="19"/>
  <c r="AT14" i="19"/>
  <c r="AT6" i="19"/>
  <c r="AT24" i="16"/>
  <c r="AT14" i="14"/>
  <c r="AT15" i="12"/>
  <c r="AT17" i="12"/>
  <c r="AT12" i="14"/>
  <c r="AT15" i="15"/>
  <c r="AT22" i="11"/>
  <c r="AT8" i="13"/>
  <c r="AT16" i="12"/>
  <c r="AT4" i="13"/>
  <c r="AT9" i="19"/>
  <c r="AT15" i="19"/>
  <c r="AT6" i="16"/>
  <c r="AT22" i="13"/>
  <c r="AT24" i="13"/>
  <c r="AT18" i="12"/>
  <c r="AT16" i="14"/>
  <c r="AT18" i="13"/>
  <c r="AT16" i="11"/>
  <c r="AT5" i="11"/>
  <c r="AT11" i="13"/>
  <c r="AT16" i="16"/>
  <c r="AT10" i="15"/>
  <c r="AT11" i="19"/>
  <c r="AT24" i="12"/>
  <c r="AT13" i="16"/>
  <c r="AT11" i="14"/>
  <c r="AT16" i="19"/>
  <c r="AT13" i="19"/>
  <c r="AT12" i="13"/>
  <c r="AT23" i="15"/>
  <c r="AT13" i="11"/>
  <c r="AT14" i="16"/>
  <c r="AT16" i="13"/>
  <c r="AT4" i="12"/>
  <c r="AT6" i="13"/>
  <c r="AT18" i="11"/>
  <c r="AT12" i="16"/>
  <c r="AT4" i="16"/>
  <c r="AT13" i="14"/>
  <c r="AT7" i="12"/>
  <c r="AT23" i="13"/>
  <c r="AT11" i="15"/>
  <c r="AT7" i="15"/>
  <c r="AT9" i="15"/>
  <c r="AT6" i="12"/>
  <c r="AT6" i="11"/>
  <c r="AT15" i="11"/>
  <c r="AT13" i="15"/>
  <c r="AT10" i="14"/>
  <c r="AT17" i="15"/>
  <c r="AT8" i="15"/>
  <c r="AT14" i="15"/>
  <c r="AT15" i="13"/>
  <c r="AT13" i="12"/>
  <c r="AT11" i="12"/>
  <c r="AT24" i="11"/>
  <c r="AT17" i="13"/>
  <c r="AT5" i="13"/>
  <c r="AT6" i="14"/>
  <c r="AT18" i="19"/>
  <c r="AT23" i="19"/>
  <c r="AT10" i="19"/>
  <c r="AT7" i="16"/>
  <c r="AT8" i="11"/>
  <c r="AT17" i="14"/>
  <c r="AT12" i="11"/>
  <c r="AT9" i="16"/>
  <c r="AT5" i="16"/>
  <c r="AT4" i="15"/>
  <c r="AT9" i="11"/>
  <c r="AT23" i="11"/>
  <c r="AT22" i="14"/>
  <c r="AT7" i="14"/>
  <c r="AT18" i="16"/>
  <c r="AT10" i="11"/>
  <c r="AT5" i="15"/>
  <c r="AT5" i="12"/>
  <c r="AT12" i="15"/>
  <c r="AT4" i="14"/>
  <c r="AT8" i="14"/>
  <c r="AT16" i="15"/>
  <c r="AT14" i="12"/>
  <c r="AT9" i="14"/>
  <c r="AT10" i="13"/>
  <c r="R67" i="1"/>
  <c r="U67" i="1" s="1"/>
  <c r="AL7" i="19"/>
  <c r="AL16" i="19"/>
  <c r="AL18" i="11"/>
  <c r="AL7" i="13"/>
  <c r="AL11" i="11"/>
  <c r="AL5" i="11"/>
  <c r="AL4" i="16"/>
  <c r="AL15" i="13"/>
  <c r="AL18" i="13"/>
  <c r="AL8" i="16"/>
  <c r="AL11" i="13"/>
  <c r="AL10" i="14"/>
  <c r="AL12" i="13"/>
  <c r="AL5" i="16"/>
  <c r="AL6" i="16"/>
  <c r="AL11" i="15"/>
  <c r="AL10" i="19"/>
  <c r="AL10" i="11"/>
  <c r="AL13" i="13"/>
  <c r="AL22" i="15"/>
  <c r="AL23" i="12"/>
  <c r="AL6" i="15"/>
  <c r="AL17" i="14"/>
  <c r="AL7" i="14"/>
  <c r="AL12" i="12"/>
  <c r="AL23" i="15"/>
  <c r="AL4" i="12"/>
  <c r="AL8" i="13"/>
  <c r="AL8" i="12"/>
  <c r="AL12" i="16"/>
  <c r="AL22" i="19"/>
  <c r="AL5" i="19"/>
  <c r="AL6" i="19"/>
  <c r="AL24" i="13"/>
  <c r="AL12" i="14"/>
  <c r="AL6" i="13"/>
  <c r="AL14" i="16"/>
  <c r="AL24" i="14"/>
  <c r="AL24" i="16"/>
  <c r="AL10" i="16"/>
  <c r="AL4" i="14"/>
  <c r="AL9" i="13"/>
  <c r="AL24" i="19"/>
  <c r="AL4" i="11"/>
  <c r="AL11" i="16"/>
  <c r="AL12" i="15"/>
  <c r="AL9" i="15"/>
  <c r="AL22" i="13"/>
  <c r="AL23" i="19"/>
  <c r="AL11" i="19"/>
  <c r="AL12" i="19"/>
  <c r="AL24" i="11"/>
  <c r="AL9" i="11"/>
  <c r="AL16" i="14"/>
  <c r="AL11" i="14"/>
  <c r="AL22" i="14"/>
  <c r="AL9" i="19"/>
  <c r="AL16" i="15"/>
  <c r="AL14" i="14"/>
  <c r="AL15" i="12"/>
  <c r="AL8" i="15"/>
  <c r="AL9" i="14"/>
  <c r="AL17" i="16"/>
  <c r="AL15" i="19"/>
  <c r="AL8" i="19"/>
  <c r="AL6" i="11"/>
  <c r="AL5" i="12"/>
  <c r="AL5" i="14"/>
  <c r="AL22" i="16"/>
  <c r="AL7" i="16"/>
  <c r="AL13" i="15"/>
  <c r="AL10" i="12"/>
  <c r="AL13" i="16"/>
  <c r="AL7" i="15"/>
  <c r="AL4" i="13"/>
  <c r="AL6" i="14"/>
  <c r="AL7" i="11"/>
  <c r="AL18" i="12"/>
  <c r="AL9" i="16"/>
  <c r="AL10" i="13"/>
  <c r="AL13" i="11"/>
  <c r="AL14" i="13"/>
  <c r="AL10" i="15"/>
  <c r="AL4" i="19"/>
  <c r="AL14" i="15"/>
  <c r="AL17" i="11"/>
  <c r="AL24" i="12"/>
  <c r="AL17" i="13"/>
  <c r="AL23" i="14"/>
  <c r="AL8" i="14"/>
  <c r="AL4" i="15"/>
  <c r="AL7" i="12"/>
  <c r="AL6" i="12"/>
  <c r="AL17" i="15"/>
  <c r="AL17" i="12"/>
  <c r="AL18" i="19"/>
  <c r="AL14" i="19"/>
  <c r="AL13" i="19"/>
  <c r="AL23" i="13"/>
  <c r="AL18" i="15"/>
  <c r="AL13" i="14"/>
  <c r="AL12" i="11"/>
  <c r="AL22" i="11"/>
  <c r="AL18" i="14"/>
  <c r="AL17" i="19"/>
  <c r="AL8" i="11"/>
  <c r="AL15" i="11"/>
  <c r="AL14" i="11"/>
  <c r="AL23" i="11"/>
  <c r="AL11" i="12"/>
  <c r="AL16" i="13"/>
  <c r="AL5" i="13"/>
  <c r="AL22" i="12"/>
  <c r="AL24" i="15"/>
  <c r="AL13" i="12"/>
  <c r="AL16" i="16"/>
  <c r="AL16" i="11"/>
  <c r="AL14" i="12"/>
  <c r="AL18" i="16"/>
  <c r="AL15" i="14"/>
  <c r="AL15" i="15"/>
  <c r="AL16" i="12"/>
  <c r="AL5" i="15"/>
  <c r="AL23" i="16"/>
  <c r="AL15" i="16"/>
  <c r="R88" i="1"/>
  <c r="U88" i="1" s="1"/>
  <c r="AF10" i="19"/>
  <c r="AF6" i="12"/>
  <c r="AF8" i="13"/>
  <c r="AF11" i="12"/>
  <c r="AF15" i="15"/>
  <c r="AF5" i="12"/>
  <c r="AF17" i="12"/>
  <c r="AF14" i="15"/>
  <c r="AF10" i="11"/>
  <c r="AF23" i="12"/>
  <c r="AF10" i="16"/>
  <c r="AF13" i="16"/>
  <c r="AF12" i="16"/>
  <c r="AF9" i="19"/>
  <c r="AF17" i="11"/>
  <c r="AF4" i="15"/>
  <c r="AF16" i="11"/>
  <c r="AF8" i="11"/>
  <c r="AF5" i="16"/>
  <c r="AF4" i="13"/>
  <c r="AF5" i="15"/>
  <c r="AF18" i="13"/>
  <c r="AF15" i="19"/>
  <c r="AF24" i="16"/>
  <c r="AF24" i="15"/>
  <c r="AF15" i="14"/>
  <c r="AF7" i="14"/>
  <c r="AF23" i="13"/>
  <c r="AF18" i="12"/>
  <c r="AF9" i="11"/>
  <c r="AF4" i="19"/>
  <c r="AF24" i="19"/>
  <c r="AF13" i="11"/>
  <c r="AF24" i="13"/>
  <c r="AF22" i="16"/>
  <c r="AF13" i="15"/>
  <c r="AF8" i="14"/>
  <c r="AF7" i="16"/>
  <c r="AF11" i="13"/>
  <c r="AF8" i="12"/>
  <c r="AF17" i="19"/>
  <c r="AF5" i="19"/>
  <c r="AF22" i="12"/>
  <c r="AF18" i="14"/>
  <c r="AF18" i="16"/>
  <c r="AF15" i="11"/>
  <c r="AF6" i="15"/>
  <c r="AF13" i="12"/>
  <c r="AF10" i="12"/>
  <c r="AF7" i="12"/>
  <c r="AF22" i="13"/>
  <c r="AF23" i="15"/>
  <c r="AF22" i="19"/>
  <c r="AF7" i="19"/>
  <c r="AF12" i="11"/>
  <c r="AF6" i="16"/>
  <c r="AF16" i="16"/>
  <c r="AF4" i="14"/>
  <c r="AF15" i="12"/>
  <c r="AF16" i="15"/>
  <c r="AF12" i="19"/>
  <c r="AF9" i="13"/>
  <c r="AF15" i="13"/>
  <c r="AF5" i="14"/>
  <c r="AF7" i="15"/>
  <c r="AF18" i="15"/>
  <c r="AF4" i="16"/>
  <c r="AF6" i="14"/>
  <c r="AF5" i="13"/>
  <c r="AF10" i="13"/>
  <c r="AF12" i="12"/>
  <c r="AF13" i="14"/>
  <c r="AF14" i="19"/>
  <c r="AF6" i="19"/>
  <c r="AF14" i="16"/>
  <c r="AF17" i="13"/>
  <c r="AF23" i="14"/>
  <c r="AF23" i="11"/>
  <c r="AF9" i="14"/>
  <c r="AF16" i="13"/>
  <c r="AF6" i="11"/>
  <c r="AF9" i="16"/>
  <c r="AF14" i="13"/>
  <c r="AF11" i="15"/>
  <c r="AF23" i="19"/>
  <c r="AF16" i="19"/>
  <c r="AF15" i="16"/>
  <c r="AF16" i="14"/>
  <c r="AF11" i="11"/>
  <c r="AF4" i="11"/>
  <c r="AF14" i="12"/>
  <c r="AF18" i="11"/>
  <c r="AF24" i="12"/>
  <c r="AF6" i="13"/>
  <c r="AF17" i="15"/>
  <c r="AF16" i="12"/>
  <c r="AF8" i="16"/>
  <c r="AF9" i="15"/>
  <c r="AF8" i="19"/>
  <c r="AF18" i="19"/>
  <c r="AF10" i="14"/>
  <c r="AF12" i="13"/>
  <c r="AF12" i="15"/>
  <c r="AF12" i="14"/>
  <c r="AF24" i="14"/>
  <c r="AF22" i="11"/>
  <c r="AF22" i="14"/>
  <c r="AF17" i="16"/>
  <c r="AF10" i="15"/>
  <c r="AF7" i="11"/>
  <c r="AF13" i="19"/>
  <c r="AF11" i="19"/>
  <c r="AF13" i="13"/>
  <c r="AF23" i="16"/>
  <c r="AF14" i="14"/>
  <c r="AF4" i="12"/>
  <c r="AF8" i="15"/>
  <c r="AF7" i="13"/>
  <c r="AF14" i="11"/>
  <c r="AF24" i="11"/>
  <c r="AF5" i="11"/>
  <c r="AF11" i="14"/>
  <c r="AF17" i="14"/>
  <c r="AF11" i="16"/>
  <c r="AF22" i="15"/>
  <c r="AK51" i="16"/>
  <c r="AK50" i="13"/>
  <c r="AK51" i="11"/>
  <c r="AK47" i="12"/>
  <c r="AK19" i="16"/>
  <c r="AK19" i="19"/>
  <c r="AK50" i="16"/>
  <c r="AK19" i="12"/>
  <c r="AK48" i="11"/>
  <c r="AK19" i="13"/>
  <c r="AK49" i="13"/>
  <c r="AK50" i="14"/>
  <c r="AK48" i="14"/>
  <c r="AK49" i="11"/>
  <c r="AK46" i="13"/>
  <c r="AK47" i="14"/>
  <c r="AK50" i="11"/>
  <c r="AK46" i="14"/>
  <c r="AK50" i="19"/>
  <c r="AK48" i="13"/>
  <c r="AK50" i="12"/>
  <c r="AK20" i="12"/>
  <c r="AK51" i="13"/>
  <c r="AK20" i="13"/>
  <c r="AK48" i="12"/>
  <c r="AK19" i="15"/>
  <c r="AK47" i="15"/>
  <c r="AK21" i="15"/>
  <c r="AK48" i="19"/>
  <c r="AK20" i="14"/>
  <c r="AK46" i="12"/>
  <c r="AK20" i="15"/>
  <c r="AK21" i="13"/>
  <c r="AK21" i="19"/>
  <c r="AK19" i="11"/>
  <c r="AK48" i="16"/>
  <c r="AK51" i="19"/>
  <c r="AK47" i="19"/>
  <c r="AK48" i="15"/>
  <c r="AK51" i="12"/>
  <c r="AK46" i="16"/>
  <c r="AK21" i="12"/>
  <c r="AK49" i="15"/>
  <c r="AK51" i="15"/>
  <c r="AK47" i="11"/>
  <c r="AK20" i="16"/>
  <c r="AK20" i="11"/>
  <c r="AK21" i="14"/>
  <c r="AK49" i="16"/>
  <c r="AK46" i="11"/>
  <c r="AK20" i="19"/>
  <c r="AK46" i="19"/>
  <c r="AK51" i="14"/>
  <c r="AK19" i="14"/>
  <c r="AK46" i="15"/>
  <c r="AK49" i="14"/>
  <c r="AK47" i="16"/>
  <c r="AK47" i="13"/>
  <c r="AK21" i="11"/>
  <c r="AK50" i="15"/>
  <c r="AK21" i="16"/>
  <c r="Z55" i="19"/>
  <c r="Z31" i="19"/>
  <c r="Z35" i="19"/>
  <c r="Z43" i="19"/>
  <c r="Z33" i="19"/>
  <c r="Z64" i="19"/>
  <c r="Z63" i="11"/>
  <c r="Z37" i="14"/>
  <c r="Z43" i="14"/>
  <c r="Z35" i="13"/>
  <c r="Z31" i="13"/>
  <c r="Z42" i="12"/>
  <c r="Z53" i="14"/>
  <c r="Z40" i="13"/>
  <c r="Z60" i="14"/>
  <c r="Z34" i="16"/>
  <c r="Z55" i="16"/>
  <c r="Z55" i="15"/>
  <c r="Z63" i="16"/>
  <c r="Z42" i="14"/>
  <c r="Z42" i="15"/>
  <c r="Z41" i="13"/>
  <c r="Z64" i="11"/>
  <c r="Z59" i="14"/>
  <c r="Z29" i="11"/>
  <c r="Z54" i="11"/>
  <c r="Z26" i="11"/>
  <c r="Z64" i="16"/>
  <c r="Z31" i="12"/>
  <c r="Z27" i="11"/>
  <c r="Z55" i="12"/>
  <c r="Z43" i="12"/>
  <c r="Z61" i="16"/>
  <c r="Z37" i="16"/>
  <c r="Z27" i="16"/>
  <c r="Z56" i="15"/>
  <c r="Z39" i="16"/>
  <c r="Z27" i="15"/>
  <c r="Z28" i="12"/>
  <c r="Z32" i="19"/>
  <c r="Z37" i="19"/>
  <c r="Z42" i="19"/>
  <c r="Z36" i="19"/>
  <c r="Z56" i="11"/>
  <c r="Z41" i="15"/>
  <c r="Z28" i="13"/>
  <c r="Z31" i="16"/>
  <c r="Z63" i="13"/>
  <c r="Z55" i="13"/>
  <c r="Z32" i="12"/>
  <c r="Z25" i="11"/>
  <c r="Z40" i="16"/>
  <c r="Z30" i="15"/>
  <c r="Z32" i="14"/>
  <c r="Z56" i="16"/>
  <c r="Z43" i="16"/>
  <c r="Z57" i="11"/>
  <c r="Z36" i="16"/>
  <c r="Z60" i="13"/>
  <c r="Z35" i="15"/>
  <c r="Z45" i="13"/>
  <c r="Z53" i="19"/>
  <c r="Z39" i="19"/>
  <c r="Z63" i="19"/>
  <c r="Z36" i="11"/>
  <c r="Z52" i="11"/>
  <c r="Z35" i="12"/>
  <c r="Z60" i="12"/>
  <c r="Z57" i="13"/>
  <c r="Z40" i="15"/>
  <c r="Z41" i="14"/>
  <c r="Z54" i="16"/>
  <c r="Z64" i="14"/>
  <c r="Z35" i="11"/>
  <c r="Z57" i="16"/>
  <c r="Z33" i="14"/>
  <c r="Z25" i="14"/>
  <c r="Z61" i="11"/>
  <c r="Z35" i="14"/>
  <c r="Z34" i="13"/>
  <c r="Z34" i="12"/>
  <c r="Z26" i="14"/>
  <c r="Z56" i="13"/>
  <c r="Z29" i="16"/>
  <c r="Z53" i="11"/>
  <c r="Z63" i="12"/>
  <c r="Z44" i="19"/>
  <c r="Z27" i="19"/>
  <c r="Z30" i="19"/>
  <c r="Z52" i="19"/>
  <c r="Z45" i="11"/>
  <c r="Z31" i="11"/>
  <c r="Z40" i="12"/>
  <c r="Z44" i="11"/>
  <c r="Z34" i="11"/>
  <c r="Z63" i="14"/>
  <c r="Z29" i="12"/>
  <c r="Z45" i="16"/>
  <c r="Z26" i="16"/>
  <c r="Z53" i="12"/>
  <c r="Z44" i="14"/>
  <c r="Z57" i="15"/>
  <c r="Z36" i="12"/>
  <c r="Z30" i="13"/>
  <c r="Z36" i="15"/>
  <c r="Z29" i="15"/>
  <c r="Z40" i="19"/>
  <c r="Z59" i="11"/>
  <c r="Z33" i="11"/>
  <c r="Z64" i="12"/>
  <c r="Z26" i="12"/>
  <c r="Z45" i="15"/>
  <c r="Z59" i="16"/>
  <c r="Z34" i="14"/>
  <c r="Z28" i="16"/>
  <c r="Z39" i="13"/>
  <c r="Z40" i="14"/>
  <c r="Z64" i="15"/>
  <c r="Z57" i="12"/>
  <c r="Z62" i="16"/>
  <c r="Z44" i="16"/>
  <c r="Z62" i="15"/>
  <c r="Z44" i="13"/>
  <c r="Z54" i="15"/>
  <c r="Z44" i="15"/>
  <c r="Z43" i="13"/>
  <c r="Z44" i="12"/>
  <c r="Z25" i="13"/>
  <c r="Z60" i="19"/>
  <c r="Z28" i="19"/>
  <c r="Z57" i="19"/>
  <c r="Z32" i="11"/>
  <c r="Z54" i="12"/>
  <c r="Z35" i="16"/>
  <c r="Z37" i="15"/>
  <c r="Z38" i="16"/>
  <c r="Z42" i="13"/>
  <c r="Z36" i="14"/>
  <c r="Z54" i="13"/>
  <c r="Z38" i="15"/>
  <c r="Z56" i="12"/>
  <c r="Z52" i="16"/>
  <c r="Z64" i="13"/>
  <c r="Z54" i="14"/>
  <c r="Z37" i="12"/>
  <c r="Z30" i="16"/>
  <c r="Z27" i="13"/>
  <c r="Z45" i="19"/>
  <c r="Z61" i="19"/>
  <c r="Z29" i="19"/>
  <c r="Z37" i="11"/>
  <c r="Z39" i="11"/>
  <c r="Z60" i="16"/>
  <c r="Z52" i="15"/>
  <c r="Z27" i="14"/>
  <c r="Z61" i="15"/>
  <c r="Z62" i="14"/>
  <c r="Z55" i="14"/>
  <c r="Z45" i="12"/>
  <c r="Z38" i="13"/>
  <c r="Z39" i="15"/>
  <c r="Z32" i="13"/>
  <c r="Z34" i="15"/>
  <c r="Z25" i="19"/>
  <c r="Z30" i="11"/>
  <c r="Z28" i="11"/>
  <c r="Z62" i="11"/>
  <c r="Z33" i="16"/>
  <c r="Z56" i="14"/>
  <c r="Z27" i="12"/>
  <c r="Z57" i="14"/>
  <c r="Z63" i="15"/>
  <c r="Z32" i="15"/>
  <c r="Z53" i="15"/>
  <c r="Z52" i="14"/>
  <c r="Z52" i="12"/>
  <c r="Z38" i="11"/>
  <c r="Z62" i="19"/>
  <c r="Z56" i="19"/>
  <c r="Z59" i="19"/>
  <c r="Z26" i="19"/>
  <c r="Z42" i="11"/>
  <c r="Z31" i="15"/>
  <c r="Z55" i="11"/>
  <c r="Z28" i="14"/>
  <c r="Z25" i="15"/>
  <c r="Z30" i="12"/>
  <c r="Z31" i="14"/>
  <c r="Z52" i="13"/>
  <c r="Z29" i="13"/>
  <c r="Z62" i="13"/>
  <c r="Z39" i="14"/>
  <c r="Z37" i="13"/>
  <c r="Z28" i="15"/>
  <c r="Z41" i="12"/>
  <c r="Z34" i="19"/>
  <c r="Z54" i="19"/>
  <c r="Z59" i="15"/>
  <c r="Z43" i="15"/>
  <c r="Z62" i="12"/>
  <c r="Z53" i="16"/>
  <c r="Z33" i="15"/>
  <c r="Z41" i="11"/>
  <c r="Z33" i="12"/>
  <c r="Z53" i="13"/>
  <c r="Z25" i="12"/>
  <c r="Z42" i="16"/>
  <c r="Z39" i="12"/>
  <c r="Z25" i="16"/>
  <c r="Z38" i="12"/>
  <c r="Z59" i="12"/>
  <c r="Z30" i="14"/>
  <c r="Z38" i="19"/>
  <c r="Z41" i="19"/>
  <c r="Z43" i="11"/>
  <c r="Z60" i="11"/>
  <c r="Z61" i="14"/>
  <c r="Z45" i="14"/>
  <c r="Z29" i="14"/>
  <c r="Z60" i="15"/>
  <c r="Z61" i="13"/>
  <c r="Z41" i="16"/>
  <c r="Z61" i="12"/>
  <c r="Z36" i="13"/>
  <c r="Z33" i="13"/>
  <c r="Z26" i="15"/>
  <c r="Z32" i="16"/>
  <c r="Z59" i="13"/>
  <c r="Z26" i="13"/>
  <c r="Z38" i="14"/>
  <c r="Z40" i="11"/>
  <c r="AL21" i="19"/>
  <c r="AL49" i="11"/>
  <c r="AL50" i="11"/>
  <c r="AL49" i="13"/>
  <c r="AL50" i="14"/>
  <c r="AL50" i="16"/>
  <c r="AL19" i="19"/>
  <c r="AL21" i="14"/>
  <c r="AL50" i="15"/>
  <c r="AL21" i="16"/>
  <c r="AL51" i="13"/>
  <c r="AL19" i="12"/>
  <c r="AL20" i="16"/>
  <c r="AL50" i="12"/>
  <c r="AL48" i="19"/>
  <c r="AL49" i="14"/>
  <c r="AL47" i="15"/>
  <c r="AL20" i="15"/>
  <c r="AL51" i="16"/>
  <c r="AL47" i="12"/>
  <c r="AL21" i="15"/>
  <c r="AL46" i="19"/>
  <c r="AL21" i="11"/>
  <c r="AL20" i="13"/>
  <c r="AL46" i="16"/>
  <c r="AL49" i="15"/>
  <c r="AL47" i="19"/>
  <c r="AL20" i="12"/>
  <c r="AL48" i="16"/>
  <c r="AL49" i="16"/>
  <c r="AL21" i="13"/>
  <c r="AL19" i="11"/>
  <c r="AL51" i="14"/>
  <c r="AL46" i="15"/>
  <c r="AL47" i="16"/>
  <c r="AL20" i="11"/>
  <c r="AL48" i="15"/>
  <c r="AL51" i="15"/>
  <c r="AL50" i="19"/>
  <c r="AL48" i="12"/>
  <c r="AL46" i="14"/>
  <c r="AL51" i="11"/>
  <c r="AL46" i="13"/>
  <c r="AL47" i="13"/>
  <c r="AL20" i="19"/>
  <c r="AL46" i="12"/>
  <c r="AL50" i="13"/>
  <c r="AL19" i="16"/>
  <c r="AL48" i="14"/>
  <c r="AL20" i="14"/>
  <c r="AL48" i="13"/>
  <c r="AL51" i="19"/>
  <c r="AL21" i="12"/>
  <c r="AL19" i="15"/>
  <c r="AL46" i="11"/>
  <c r="AL47" i="11"/>
  <c r="AL48" i="11"/>
  <c r="AL19" i="13"/>
  <c r="AL47" i="14"/>
  <c r="AL19" i="14"/>
  <c r="AL51" i="12"/>
  <c r="R309" i="1"/>
  <c r="U309" i="1" s="1"/>
  <c r="R94" i="1"/>
  <c r="U94" i="1" s="1"/>
  <c r="AM21" i="19"/>
  <c r="AM46" i="19"/>
  <c r="AM46" i="11"/>
  <c r="AM19" i="14"/>
  <c r="AM49" i="16"/>
  <c r="AM19" i="16"/>
  <c r="AM47" i="16"/>
  <c r="AM46" i="14"/>
  <c r="AM47" i="15"/>
  <c r="AM21" i="12"/>
  <c r="AM47" i="14"/>
  <c r="AM50" i="12"/>
  <c r="AM21" i="11"/>
  <c r="AM50" i="14"/>
  <c r="AM51" i="14"/>
  <c r="AM51" i="12"/>
  <c r="AM47" i="12"/>
  <c r="AM48" i="14"/>
  <c r="AM51" i="16"/>
  <c r="AM20" i="13"/>
  <c r="AM21" i="14"/>
  <c r="AM20" i="14"/>
  <c r="AM47" i="11"/>
  <c r="AM48" i="19"/>
  <c r="AM46" i="12"/>
  <c r="AM51" i="15"/>
  <c r="AM47" i="19"/>
  <c r="AM49" i="11"/>
  <c r="AM48" i="15"/>
  <c r="AM46" i="13"/>
  <c r="AM19" i="12"/>
  <c r="AM19" i="15"/>
  <c r="AM21" i="16"/>
  <c r="AM20" i="12"/>
  <c r="AM20" i="11"/>
  <c r="AM48" i="11"/>
  <c r="AM21" i="15"/>
  <c r="AM49" i="14"/>
  <c r="AM19" i="19"/>
  <c r="AM20" i="19"/>
  <c r="AM20" i="15"/>
  <c r="AM51" i="19"/>
  <c r="AM50" i="19"/>
  <c r="AM19" i="13"/>
  <c r="AM49" i="13"/>
  <c r="AM21" i="13"/>
  <c r="AM49" i="15"/>
  <c r="AM50" i="15"/>
  <c r="AM46" i="16"/>
  <c r="AM46" i="15"/>
  <c r="AM50" i="16"/>
  <c r="AM51" i="11"/>
  <c r="AM48" i="13"/>
  <c r="AM48" i="16"/>
  <c r="AM19" i="11"/>
  <c r="AM48" i="12"/>
  <c r="AM20" i="16"/>
  <c r="AM51" i="13"/>
  <c r="AM47" i="13"/>
  <c r="AM50" i="11"/>
  <c r="AM50" i="13"/>
  <c r="R303" i="1"/>
  <c r="U303" i="1" s="1"/>
  <c r="AB25" i="19"/>
  <c r="AB31" i="19"/>
  <c r="AB39" i="19"/>
  <c r="AB27" i="19"/>
  <c r="AB43" i="11"/>
  <c r="AB25" i="16"/>
  <c r="AB25" i="11"/>
  <c r="AB39" i="16"/>
  <c r="AB45" i="11"/>
  <c r="AB25" i="13"/>
  <c r="AB62" i="14"/>
  <c r="AB62" i="13"/>
  <c r="AB42" i="11"/>
  <c r="AB62" i="15"/>
  <c r="AB59" i="11"/>
  <c r="AB63" i="11"/>
  <c r="AB57" i="12"/>
  <c r="AB62" i="12"/>
  <c r="AB31" i="16"/>
  <c r="AB28" i="12"/>
  <c r="AB38" i="15"/>
  <c r="AB43" i="14"/>
  <c r="AB59" i="15"/>
  <c r="AB25" i="12"/>
  <c r="AB36" i="13"/>
  <c r="AB30" i="16"/>
  <c r="AB32" i="14"/>
  <c r="AB61" i="12"/>
  <c r="AB60" i="13"/>
  <c r="AB37" i="19"/>
  <c r="AB42" i="19"/>
  <c r="AB38" i="19"/>
  <c r="AB59" i="19"/>
  <c r="AB63" i="19"/>
  <c r="AB29" i="19"/>
  <c r="AB55" i="11"/>
  <c r="AB41" i="11"/>
  <c r="AB43" i="15"/>
  <c r="AB26" i="12"/>
  <c r="AB57" i="16"/>
  <c r="AB44" i="13"/>
  <c r="AB56" i="11"/>
  <c r="AB29" i="14"/>
  <c r="AB60" i="11"/>
  <c r="AB53" i="16"/>
  <c r="AB33" i="13"/>
  <c r="AB39" i="11"/>
  <c r="AB37" i="11"/>
  <c r="AB33" i="15"/>
  <c r="AB63" i="13"/>
  <c r="AB43" i="16"/>
  <c r="AB32" i="16"/>
  <c r="AB32" i="13"/>
  <c r="AB30" i="15"/>
  <c r="AB26" i="19"/>
  <c r="AB60" i="19"/>
  <c r="AB45" i="19"/>
  <c r="AB55" i="14"/>
  <c r="AB61" i="11"/>
  <c r="AB34" i="12"/>
  <c r="AB31" i="15"/>
  <c r="AB33" i="11"/>
  <c r="AB35" i="13"/>
  <c r="AB45" i="15"/>
  <c r="AB31" i="11"/>
  <c r="AB28" i="14"/>
  <c r="AB34" i="15"/>
  <c r="AB38" i="16"/>
  <c r="AB32" i="19"/>
  <c r="AB57" i="19"/>
  <c r="AB64" i="11"/>
  <c r="AB42" i="16"/>
  <c r="AB63" i="15"/>
  <c r="AB31" i="13"/>
  <c r="AB27" i="16"/>
  <c r="AB52" i="13"/>
  <c r="AB40" i="11"/>
  <c r="AB44" i="11"/>
  <c r="AB40" i="12"/>
  <c r="AB62" i="11"/>
  <c r="AB63" i="14"/>
  <c r="AB27" i="13"/>
  <c r="AB61" i="15"/>
  <c r="AB43" i="12"/>
  <c r="AB60" i="15"/>
  <c r="AB45" i="13"/>
  <c r="AB52" i="14"/>
  <c r="AB55" i="12"/>
  <c r="AB36" i="12"/>
  <c r="AB38" i="14"/>
  <c r="AB61" i="16"/>
  <c r="AB43" i="19"/>
  <c r="AB53" i="19"/>
  <c r="AB61" i="19"/>
  <c r="AB52" i="19"/>
  <c r="AB35" i="15"/>
  <c r="AB41" i="13"/>
  <c r="AB39" i="12"/>
  <c r="AB54" i="15"/>
  <c r="AB25" i="14"/>
  <c r="AB26" i="15"/>
  <c r="AB56" i="14"/>
  <c r="AB37" i="12"/>
  <c r="AB37" i="13"/>
  <c r="AB52" i="16"/>
  <c r="AB53" i="12"/>
  <c r="AB30" i="12"/>
  <c r="AB35" i="12"/>
  <c r="AB35" i="14"/>
  <c r="AB31" i="12"/>
  <c r="AB56" i="16"/>
  <c r="AB28" i="16"/>
  <c r="AB39" i="14"/>
  <c r="AB59" i="13"/>
  <c r="AB30" i="19"/>
  <c r="AB41" i="19"/>
  <c r="AB35" i="19"/>
  <c r="AB53" i="14"/>
  <c r="AB59" i="12"/>
  <c r="AB26" i="16"/>
  <c r="AB44" i="12"/>
  <c r="AB40" i="16"/>
  <c r="AB52" i="11"/>
  <c r="AB28" i="13"/>
  <c r="AB36" i="14"/>
  <c r="AB36" i="11"/>
  <c r="AB56" i="15"/>
  <c r="AB26" i="14"/>
  <c r="AB37" i="15"/>
  <c r="AB33" i="14"/>
  <c r="AB55" i="13"/>
  <c r="AB41" i="12"/>
  <c r="AB64" i="15"/>
  <c r="AB42" i="15"/>
  <c r="AB36" i="19"/>
  <c r="AB55" i="19"/>
  <c r="AB26" i="13"/>
  <c r="AB54" i="12"/>
  <c r="AB41" i="16"/>
  <c r="AB30" i="14"/>
  <c r="AB34" i="13"/>
  <c r="AB29" i="12"/>
  <c r="AB44" i="16"/>
  <c r="AB35" i="11"/>
  <c r="AB64" i="14"/>
  <c r="AB41" i="15"/>
  <c r="AB53" i="11"/>
  <c r="AB64" i="12"/>
  <c r="AB29" i="16"/>
  <c r="AB60" i="14"/>
  <c r="AB61" i="14"/>
  <c r="AB54" i="14"/>
  <c r="AB64" i="19"/>
  <c r="AB28" i="19"/>
  <c r="AB40" i="19"/>
  <c r="AB52" i="12"/>
  <c r="AB45" i="12"/>
  <c r="AB32" i="11"/>
  <c r="AB33" i="12"/>
  <c r="AB40" i="14"/>
  <c r="AB38" i="13"/>
  <c r="AB54" i="11"/>
  <c r="AB59" i="14"/>
  <c r="AB42" i="13"/>
  <c r="AB56" i="12"/>
  <c r="AB29" i="11"/>
  <c r="AB32" i="15"/>
  <c r="AB37" i="16"/>
  <c r="AB34" i="19"/>
  <c r="AB56" i="19"/>
  <c r="AB44" i="19"/>
  <c r="AB36" i="15"/>
  <c r="AB29" i="15"/>
  <c r="AB27" i="12"/>
  <c r="AB30" i="11"/>
  <c r="AB62" i="16"/>
  <c r="AB35" i="16"/>
  <c r="AB27" i="11"/>
  <c r="AB45" i="16"/>
  <c r="AB29" i="13"/>
  <c r="AB44" i="14"/>
  <c r="AB64" i="13"/>
  <c r="AB27" i="14"/>
  <c r="AB30" i="13"/>
  <c r="AB57" i="14"/>
  <c r="AB40" i="13"/>
  <c r="AB64" i="16"/>
  <c r="AB41" i="14"/>
  <c r="AB39" i="15"/>
  <c r="AB37" i="14"/>
  <c r="AB44" i="15"/>
  <c r="AB55" i="15"/>
  <c r="AB33" i="16"/>
  <c r="AB57" i="11"/>
  <c r="AB38" i="11"/>
  <c r="AB63" i="16"/>
  <c r="AB52" i="15"/>
  <c r="AB62" i="19"/>
  <c r="AB54" i="19"/>
  <c r="AB31" i="14"/>
  <c r="AB38" i="12"/>
  <c r="AB54" i="13"/>
  <c r="AB42" i="14"/>
  <c r="AB42" i="12"/>
  <c r="AB34" i="14"/>
  <c r="AB57" i="15"/>
  <c r="AB40" i="15"/>
  <c r="AB55" i="16"/>
  <c r="AB34" i="16"/>
  <c r="AB56" i="13"/>
  <c r="AB43" i="13"/>
  <c r="AB53" i="13"/>
  <c r="AB63" i="12"/>
  <c r="AB27" i="15"/>
  <c r="AB54" i="16"/>
  <c r="AB33" i="19"/>
  <c r="AB36" i="16"/>
  <c r="AB59" i="16"/>
  <c r="AB53" i="15"/>
  <c r="AB25" i="15"/>
  <c r="AB34" i="11"/>
  <c r="AB57" i="13"/>
  <c r="AB32" i="12"/>
  <c r="AB26" i="11"/>
  <c r="AB28" i="11"/>
  <c r="AB28" i="15"/>
  <c r="AB61" i="13"/>
  <c r="AB60" i="16"/>
  <c r="AB39" i="13"/>
  <c r="AB45" i="14"/>
  <c r="AB60" i="12"/>
  <c r="R308" i="1"/>
  <c r="U308" i="1" s="1"/>
  <c r="AR45" i="19"/>
  <c r="AR62" i="19"/>
  <c r="AR57" i="19"/>
  <c r="AR39" i="13"/>
  <c r="AR36" i="13"/>
  <c r="AR44" i="15"/>
  <c r="AR61" i="15"/>
  <c r="AR37" i="12"/>
  <c r="AR59" i="14"/>
  <c r="AR62" i="14"/>
  <c r="AR32" i="14"/>
  <c r="AR40" i="11"/>
  <c r="AR61" i="13"/>
  <c r="AR35" i="16"/>
  <c r="AR60" i="13"/>
  <c r="AR38" i="15"/>
  <c r="AR25" i="16"/>
  <c r="AR42" i="19"/>
  <c r="AR40" i="19"/>
  <c r="AR27" i="11"/>
  <c r="AR63" i="11"/>
  <c r="AR55" i="15"/>
  <c r="AR61" i="14"/>
  <c r="AR56" i="16"/>
  <c r="AR37" i="16"/>
  <c r="AR52" i="16"/>
  <c r="AR33" i="12"/>
  <c r="AR59" i="12"/>
  <c r="AR62" i="15"/>
  <c r="AR60" i="15"/>
  <c r="AR45" i="16"/>
  <c r="AR59" i="13"/>
  <c r="AR34" i="13"/>
  <c r="AR31" i="19"/>
  <c r="AR27" i="19"/>
  <c r="AR37" i="19"/>
  <c r="AR34" i="11"/>
  <c r="AR28" i="11"/>
  <c r="AR41" i="11"/>
  <c r="AR29" i="11"/>
  <c r="AR55" i="11"/>
  <c r="AR30" i="13"/>
  <c r="AR33" i="15"/>
  <c r="AR54" i="16"/>
  <c r="AR35" i="15"/>
  <c r="AR57" i="12"/>
  <c r="AR29" i="12"/>
  <c r="AR34" i="14"/>
  <c r="AR52" i="12"/>
  <c r="AR43" i="14"/>
  <c r="AR44" i="14"/>
  <c r="AR34" i="16"/>
  <c r="AR56" i="13"/>
  <c r="AR31" i="13"/>
  <c r="AR31" i="15"/>
  <c r="AR35" i="13"/>
  <c r="AR63" i="15"/>
  <c r="AR60" i="12"/>
  <c r="AR25" i="14"/>
  <c r="AR39" i="12"/>
  <c r="AR36" i="19"/>
  <c r="AR32" i="19"/>
  <c r="AR28" i="19"/>
  <c r="AR44" i="19"/>
  <c r="AR35" i="19"/>
  <c r="AR38" i="19"/>
  <c r="AR33" i="11"/>
  <c r="AR35" i="11"/>
  <c r="AR38" i="11"/>
  <c r="AR43" i="13"/>
  <c r="AR27" i="14"/>
  <c r="AR27" i="15"/>
  <c r="AR34" i="15"/>
  <c r="AR52" i="15"/>
  <c r="AR61" i="16"/>
  <c r="AR41" i="16"/>
  <c r="AR39" i="16"/>
  <c r="AR59" i="15"/>
  <c r="AR44" i="13"/>
  <c r="AR42" i="16"/>
  <c r="AR31" i="14"/>
  <c r="AR34" i="19"/>
  <c r="AR29" i="19"/>
  <c r="AR59" i="19"/>
  <c r="AR25" i="11"/>
  <c r="AR53" i="11"/>
  <c r="AR54" i="11"/>
  <c r="AR29" i="16"/>
  <c r="AR40" i="15"/>
  <c r="AR57" i="15"/>
  <c r="AR52" i="13"/>
  <c r="AR32" i="12"/>
  <c r="AR26" i="15"/>
  <c r="AR55" i="13"/>
  <c r="AR52" i="11"/>
  <c r="AR56" i="14"/>
  <c r="AR40" i="14"/>
  <c r="AR30" i="16"/>
  <c r="AR35" i="14"/>
  <c r="AR60" i="16"/>
  <c r="AR32" i="11"/>
  <c r="AR53" i="13"/>
  <c r="AR27" i="13"/>
  <c r="AR64" i="16"/>
  <c r="AR63" i="16"/>
  <c r="AR42" i="15"/>
  <c r="AR30" i="15"/>
  <c r="AR61" i="19"/>
  <c r="AR25" i="19"/>
  <c r="AR53" i="19"/>
  <c r="AR43" i="11"/>
  <c r="AR37" i="15"/>
  <c r="AR62" i="13"/>
  <c r="AR29" i="13"/>
  <c r="AR63" i="12"/>
  <c r="AR25" i="12"/>
  <c r="AR42" i="14"/>
  <c r="AR54" i="19"/>
  <c r="AR26" i="19"/>
  <c r="AR55" i="19"/>
  <c r="AR33" i="19"/>
  <c r="AR56" i="11"/>
  <c r="AR57" i="11"/>
  <c r="AR64" i="11"/>
  <c r="AR30" i="11"/>
  <c r="AR56" i="15"/>
  <c r="AR32" i="13"/>
  <c r="AR41" i="12"/>
  <c r="AR53" i="12"/>
  <c r="AR52" i="14"/>
  <c r="AR53" i="14"/>
  <c r="AR62" i="16"/>
  <c r="AR36" i="12"/>
  <c r="AR27" i="12"/>
  <c r="AR57" i="14"/>
  <c r="AR44" i="16"/>
  <c r="AR45" i="13"/>
  <c r="AR33" i="13"/>
  <c r="AR62" i="11"/>
  <c r="AR40" i="16"/>
  <c r="AR31" i="16"/>
  <c r="AR42" i="13"/>
  <c r="AR40" i="13"/>
  <c r="AR53" i="15"/>
  <c r="AR32" i="16"/>
  <c r="AR36" i="15"/>
  <c r="AR41" i="19"/>
  <c r="AR61" i="11"/>
  <c r="AR37" i="11"/>
  <c r="AR57" i="13"/>
  <c r="AR26" i="13"/>
  <c r="AR62" i="12"/>
  <c r="AR60" i="14"/>
  <c r="AR57" i="16"/>
  <c r="AR30" i="12"/>
  <c r="AR43" i="12"/>
  <c r="AR26" i="14"/>
  <c r="AR42" i="12"/>
  <c r="AR33" i="14"/>
  <c r="AR28" i="14"/>
  <c r="AR38" i="12"/>
  <c r="AR37" i="14"/>
  <c r="AR64" i="15"/>
  <c r="AR64" i="19"/>
  <c r="AR43" i="19"/>
  <c r="AR39" i="19"/>
  <c r="AR56" i="19"/>
  <c r="AR63" i="19"/>
  <c r="AR59" i="11"/>
  <c r="AR31" i="11"/>
  <c r="AR60" i="11"/>
  <c r="AR29" i="15"/>
  <c r="AR38" i="13"/>
  <c r="AR45" i="12"/>
  <c r="AR26" i="12"/>
  <c r="AR36" i="14"/>
  <c r="AR59" i="16"/>
  <c r="AR28" i="15"/>
  <c r="AR38" i="14"/>
  <c r="AR38" i="16"/>
  <c r="AR33" i="16"/>
  <c r="AR41" i="14"/>
  <c r="AR37" i="13"/>
  <c r="AR28" i="12"/>
  <c r="AR54" i="15"/>
  <c r="AR64" i="12"/>
  <c r="AR35" i="12"/>
  <c r="AR63" i="14"/>
  <c r="AR43" i="15"/>
  <c r="AR53" i="16"/>
  <c r="AR39" i="14"/>
  <c r="AR30" i="14"/>
  <c r="AR54" i="12"/>
  <c r="AR40" i="12"/>
  <c r="AR54" i="14"/>
  <c r="AR60" i="19"/>
  <c r="AR30" i="19"/>
  <c r="AR39" i="11"/>
  <c r="AR45" i="11"/>
  <c r="AR42" i="11"/>
  <c r="AR36" i="11"/>
  <c r="AR34" i="12"/>
  <c r="AR29" i="14"/>
  <c r="AR63" i="13"/>
  <c r="AR25" i="15"/>
  <c r="AR45" i="15"/>
  <c r="AR55" i="16"/>
  <c r="AR55" i="14"/>
  <c r="AR43" i="16"/>
  <c r="AR31" i="12"/>
  <c r="AR41" i="15"/>
  <c r="AR26" i="16"/>
  <c r="AR55" i="12"/>
  <c r="AR61" i="12"/>
  <c r="AR52" i="19"/>
  <c r="AR26" i="11"/>
  <c r="AR44" i="11"/>
  <c r="AR41" i="13"/>
  <c r="AR32" i="15"/>
  <c r="AR56" i="12"/>
  <c r="AR39" i="15"/>
  <c r="AR54" i="13"/>
  <c r="AR44" i="12"/>
  <c r="AR45" i="14"/>
  <c r="AR27" i="16"/>
  <c r="AR64" i="14"/>
  <c r="AR28" i="16"/>
  <c r="AR64" i="13"/>
  <c r="AR36" i="16"/>
  <c r="AR28" i="13"/>
  <c r="AR25" i="13"/>
  <c r="AR46" i="19"/>
  <c r="AR47" i="19"/>
  <c r="AR51" i="12"/>
  <c r="AR50" i="16"/>
  <c r="AR19" i="12"/>
  <c r="AR50" i="15"/>
  <c r="AR21" i="11"/>
  <c r="AR47" i="15"/>
  <c r="AR21" i="19"/>
  <c r="AR20" i="19"/>
  <c r="AR47" i="11"/>
  <c r="AR46" i="11"/>
  <c r="AR46" i="16"/>
  <c r="AR50" i="14"/>
  <c r="AR49" i="13"/>
  <c r="AR51" i="13"/>
  <c r="AR21" i="16"/>
  <c r="AR48" i="11"/>
  <c r="AR21" i="12"/>
  <c r="AR49" i="14"/>
  <c r="AR20" i="16"/>
  <c r="AR19" i="11"/>
  <c r="AR48" i="12"/>
  <c r="AR51" i="15"/>
  <c r="AR20" i="14"/>
  <c r="AR19" i="14"/>
  <c r="AR21" i="15"/>
  <c r="AR20" i="15"/>
  <c r="AR51" i="14"/>
  <c r="AR46" i="13"/>
  <c r="AR47" i="16"/>
  <c r="AR47" i="12"/>
  <c r="AR49" i="15"/>
  <c r="AR48" i="14"/>
  <c r="AR47" i="13"/>
  <c r="AR19" i="16"/>
  <c r="AR20" i="11"/>
  <c r="AR51" i="11"/>
  <c r="AR49" i="16"/>
  <c r="AR50" i="13"/>
  <c r="AR51" i="19"/>
  <c r="AR19" i="19"/>
  <c r="AR50" i="19"/>
  <c r="AR48" i="13"/>
  <c r="AR20" i="13"/>
  <c r="AR20" i="12"/>
  <c r="AR46" i="14"/>
  <c r="AR48" i="15"/>
  <c r="AR49" i="11"/>
  <c r="AR51" i="16"/>
  <c r="AR19" i="13"/>
  <c r="AR19" i="15"/>
  <c r="AR48" i="19"/>
  <c r="AR50" i="11"/>
  <c r="AR47" i="14"/>
  <c r="AR46" i="15"/>
  <c r="AR48" i="16"/>
  <c r="AR46" i="12"/>
  <c r="AR50" i="12"/>
  <c r="AR21" i="14"/>
  <c r="AR21" i="13"/>
  <c r="AT51" i="19"/>
  <c r="AT51" i="12"/>
  <c r="AT20" i="12"/>
  <c r="AT51" i="11"/>
  <c r="AT19" i="12"/>
  <c r="AT50" i="19"/>
  <c r="AT48" i="11"/>
  <c r="AT49" i="16"/>
  <c r="AT48" i="13"/>
  <c r="AT51" i="14"/>
  <c r="AT21" i="16"/>
  <c r="AT46" i="14"/>
  <c r="AT46" i="16"/>
  <c r="AT21" i="15"/>
  <c r="AT50" i="15"/>
  <c r="AT20" i="11"/>
  <c r="AT47" i="12"/>
  <c r="AT49" i="11"/>
  <c r="AT48" i="19"/>
  <c r="AT21" i="12"/>
  <c r="AT47" i="13"/>
  <c r="AT46" i="13"/>
  <c r="AT49" i="13"/>
  <c r="AT49" i="14"/>
  <c r="AT46" i="12"/>
  <c r="AT19" i="14"/>
  <c r="AT51" i="15"/>
  <c r="AT50" i="13"/>
  <c r="AT19" i="15"/>
  <c r="AT48" i="12"/>
  <c r="AT21" i="14"/>
  <c r="AT50" i="11"/>
  <c r="AT46" i="19"/>
  <c r="AT19" i="19"/>
  <c r="AT21" i="11"/>
  <c r="AT21" i="13"/>
  <c r="AT47" i="14"/>
  <c r="AT19" i="13"/>
  <c r="AT20" i="16"/>
  <c r="AT19" i="16"/>
  <c r="AT48" i="15"/>
  <c r="AT50" i="16"/>
  <c r="AT46" i="15"/>
  <c r="AT47" i="19"/>
  <c r="AT46" i="11"/>
  <c r="AT19" i="11"/>
  <c r="AT51" i="16"/>
  <c r="AT20" i="19"/>
  <c r="AT47" i="16"/>
  <c r="AT51" i="13"/>
  <c r="AT50" i="12"/>
  <c r="AT20" i="14"/>
  <c r="AT20" i="13"/>
  <c r="AT49" i="15"/>
  <c r="AT47" i="15"/>
  <c r="AT50" i="14"/>
  <c r="AT48" i="16"/>
  <c r="AT47" i="11"/>
  <c r="AT48" i="14"/>
  <c r="AT21" i="19"/>
  <c r="AT20" i="15"/>
  <c r="AH26" i="19"/>
  <c r="AH40" i="19"/>
  <c r="AH43" i="19"/>
  <c r="AH25" i="19"/>
  <c r="AH38" i="19"/>
  <c r="AH35" i="11"/>
  <c r="AH31" i="11"/>
  <c r="AH30" i="16"/>
  <c r="AH39" i="16"/>
  <c r="AH25" i="12"/>
  <c r="AH61" i="13"/>
  <c r="AH64" i="15"/>
  <c r="AH35" i="13"/>
  <c r="AH32" i="12"/>
  <c r="AH28" i="14"/>
  <c r="AH25" i="16"/>
  <c r="AH27" i="16"/>
  <c r="AH26" i="14"/>
  <c r="AH53" i="15"/>
  <c r="AH52" i="13"/>
  <c r="AH56" i="14"/>
  <c r="AH37" i="12"/>
  <c r="AH54" i="12"/>
  <c r="AH41" i="12"/>
  <c r="AH42" i="14"/>
  <c r="AH37" i="19"/>
  <c r="AH28" i="11"/>
  <c r="AH43" i="12"/>
  <c r="AH37" i="16"/>
  <c r="AH54" i="14"/>
  <c r="AH36" i="15"/>
  <c r="AH26" i="12"/>
  <c r="AH61" i="15"/>
  <c r="AH63" i="12"/>
  <c r="AH59" i="13"/>
  <c r="AH31" i="19"/>
  <c r="AH52" i="19"/>
  <c r="AH34" i="19"/>
  <c r="AH29" i="19"/>
  <c r="AH63" i="19"/>
  <c r="AH42" i="19"/>
  <c r="AH40" i="11"/>
  <c r="AH37" i="11"/>
  <c r="AH53" i="11"/>
  <c r="AH63" i="14"/>
  <c r="AH62" i="13"/>
  <c r="AH56" i="13"/>
  <c r="AH38" i="12"/>
  <c r="AH52" i="14"/>
  <c r="AH37" i="13"/>
  <c r="AH55" i="13"/>
  <c r="AH29" i="15"/>
  <c r="AH64" i="14"/>
  <c r="AH44" i="16"/>
  <c r="AH44" i="15"/>
  <c r="AH38" i="16"/>
  <c r="AH61" i="16"/>
  <c r="AH39" i="13"/>
  <c r="AH33" i="13"/>
  <c r="AH29" i="16"/>
  <c r="AH64" i="13"/>
  <c r="AH28" i="19"/>
  <c r="AH27" i="19"/>
  <c r="AH33" i="19"/>
  <c r="AH36" i="11"/>
  <c r="AH52" i="11"/>
  <c r="AH57" i="11"/>
  <c r="AH59" i="12"/>
  <c r="AH37" i="14"/>
  <c r="AH55" i="16"/>
  <c r="AH53" i="16"/>
  <c r="AH53" i="13"/>
  <c r="AH64" i="12"/>
  <c r="AH32" i="16"/>
  <c r="AH64" i="11"/>
  <c r="AH53" i="14"/>
  <c r="AH42" i="15"/>
  <c r="AH44" i="13"/>
  <c r="AH34" i="13"/>
  <c r="AH55" i="14"/>
  <c r="AH28" i="15"/>
  <c r="AH63" i="13"/>
  <c r="AH56" i="19"/>
  <c r="AH44" i="19"/>
  <c r="AH57" i="19"/>
  <c r="AH32" i="19"/>
  <c r="AH64" i="19"/>
  <c r="AH54" i="11"/>
  <c r="AH63" i="11"/>
  <c r="AH42" i="11"/>
  <c r="AH43" i="15"/>
  <c r="AH45" i="16"/>
  <c r="AH60" i="16"/>
  <c r="AH56" i="16"/>
  <c r="AH54" i="16"/>
  <c r="AH60" i="15"/>
  <c r="AH28" i="16"/>
  <c r="AH42" i="16"/>
  <c r="AH38" i="11"/>
  <c r="AH39" i="15"/>
  <c r="AH42" i="13"/>
  <c r="AH33" i="16"/>
  <c r="AH30" i="15"/>
  <c r="AH30" i="14"/>
  <c r="AH54" i="13"/>
  <c r="AH27" i="12"/>
  <c r="AH33" i="12"/>
  <c r="AH45" i="12"/>
  <c r="AH60" i="19"/>
  <c r="AH54" i="19"/>
  <c r="AH30" i="19"/>
  <c r="AH61" i="11"/>
  <c r="AH45" i="11"/>
  <c r="AH62" i="11"/>
  <c r="AH38" i="15"/>
  <c r="AH60" i="12"/>
  <c r="AH62" i="12"/>
  <c r="AH63" i="15"/>
  <c r="AH40" i="13"/>
  <c r="AH52" i="16"/>
  <c r="AH57" i="12"/>
  <c r="AH26" i="13"/>
  <c r="AH27" i="13"/>
  <c r="AH53" i="12"/>
  <c r="AH26" i="16"/>
  <c r="AH35" i="16"/>
  <c r="AH34" i="12"/>
  <c r="AH34" i="16"/>
  <c r="AH61" i="19"/>
  <c r="AH36" i="19"/>
  <c r="AH33" i="11"/>
  <c r="AH39" i="11"/>
  <c r="AH26" i="11"/>
  <c r="AH55" i="15"/>
  <c r="AH34" i="11"/>
  <c r="AH35" i="14"/>
  <c r="AH43" i="14"/>
  <c r="AH43" i="16"/>
  <c r="AH34" i="14"/>
  <c r="AH35" i="15"/>
  <c r="AH59" i="15"/>
  <c r="AH27" i="14"/>
  <c r="AH30" i="13"/>
  <c r="AH28" i="13"/>
  <c r="AH61" i="14"/>
  <c r="AH62" i="14"/>
  <c r="AH36" i="12"/>
  <c r="AH41" i="19"/>
  <c r="AH39" i="19"/>
  <c r="AH30" i="11"/>
  <c r="AH29" i="13"/>
  <c r="AH61" i="12"/>
  <c r="AH31" i="15"/>
  <c r="AH63" i="16"/>
  <c r="AH40" i="15"/>
  <c r="AH36" i="13"/>
  <c r="AH41" i="16"/>
  <c r="AH45" i="13"/>
  <c r="AH34" i="15"/>
  <c r="AH44" i="14"/>
  <c r="AH52" i="15"/>
  <c r="AH31" i="16"/>
  <c r="AH54" i="15"/>
  <c r="AH42" i="12"/>
  <c r="AH29" i="14"/>
  <c r="AH55" i="12"/>
  <c r="AH56" i="15"/>
  <c r="AH38" i="13"/>
  <c r="AH52" i="12"/>
  <c r="AH55" i="19"/>
  <c r="AH32" i="11"/>
  <c r="AH55" i="11"/>
  <c r="AH45" i="15"/>
  <c r="AH31" i="13"/>
  <c r="AH32" i="13"/>
  <c r="AH40" i="14"/>
  <c r="AH26" i="15"/>
  <c r="AH33" i="15"/>
  <c r="AH59" i="16"/>
  <c r="AH60" i="13"/>
  <c r="AH62" i="15"/>
  <c r="AH25" i="13"/>
  <c r="AH64" i="16"/>
  <c r="AH62" i="19"/>
  <c r="AH45" i="19"/>
  <c r="AH27" i="11"/>
  <c r="AH44" i="11"/>
  <c r="AH59" i="11"/>
  <c r="AH39" i="14"/>
  <c r="AH35" i="12"/>
  <c r="AH41" i="14"/>
  <c r="AH39" i="12"/>
  <c r="AH56" i="12"/>
  <c r="AH60" i="11"/>
  <c r="AH43" i="13"/>
  <c r="AH45" i="14"/>
  <c r="AH41" i="15"/>
  <c r="AH40" i="12"/>
  <c r="AH25" i="15"/>
  <c r="AH32" i="14"/>
  <c r="AH32" i="15"/>
  <c r="AH59" i="19"/>
  <c r="AH25" i="11"/>
  <c r="AH56" i="11"/>
  <c r="AH43" i="11"/>
  <c r="AH30" i="12"/>
  <c r="AH29" i="11"/>
  <c r="AH36" i="16"/>
  <c r="AH57" i="13"/>
  <c r="AH33" i="14"/>
  <c r="AH59" i="14"/>
  <c r="AH31" i="14"/>
  <c r="AH57" i="15"/>
  <c r="AH41" i="13"/>
  <c r="AH37" i="15"/>
  <c r="AH41" i="11"/>
  <c r="AH36" i="14"/>
  <c r="AH57" i="16"/>
  <c r="AH44" i="12"/>
  <c r="AH29" i="12"/>
  <c r="AH31" i="12"/>
  <c r="AH53" i="19"/>
  <c r="AH35" i="19"/>
  <c r="AH28" i="12"/>
  <c r="AH60" i="14"/>
  <c r="AH57" i="14"/>
  <c r="AH40" i="16"/>
  <c r="AH25" i="14"/>
  <c r="AH62" i="16"/>
  <c r="AH27" i="15"/>
  <c r="AH38" i="14"/>
  <c r="AO23" i="19"/>
  <c r="AO10" i="19"/>
  <c r="AO18" i="12"/>
  <c r="AO18" i="14"/>
  <c r="AO22" i="13"/>
  <c r="AO5" i="13"/>
  <c r="AO5" i="12"/>
  <c r="AO5" i="16"/>
  <c r="AO17" i="12"/>
  <c r="AO13" i="16"/>
  <c r="AO7" i="19"/>
  <c r="AO6" i="19"/>
  <c r="AO14" i="13"/>
  <c r="AO4" i="12"/>
  <c r="AO23" i="13"/>
  <c r="AO14" i="11"/>
  <c r="AO7" i="15"/>
  <c r="AO11" i="16"/>
  <c r="AO22" i="15"/>
  <c r="AO9" i="19"/>
  <c r="AO11" i="13"/>
  <c r="AO24" i="11"/>
  <c r="AO8" i="15"/>
  <c r="AO4" i="13"/>
  <c r="AO5" i="14"/>
  <c r="AO10" i="12"/>
  <c r="AO9" i="15"/>
  <c r="AO16" i="11"/>
  <c r="AO14" i="14"/>
  <c r="AO13" i="13"/>
  <c r="AO15" i="14"/>
  <c r="AO12" i="11"/>
  <c r="AO15" i="12"/>
  <c r="AO13" i="14"/>
  <c r="AO8" i="13"/>
  <c r="AO18" i="19"/>
  <c r="AO22" i="14"/>
  <c r="AO5" i="11"/>
  <c r="AO22" i="16"/>
  <c r="AO16" i="15"/>
  <c r="AO24" i="14"/>
  <c r="AO16" i="14"/>
  <c r="AO18" i="15"/>
  <c r="AO16" i="16"/>
  <c r="AO10" i="13"/>
  <c r="AO24" i="15"/>
  <c r="AO10" i="14"/>
  <c r="AO9" i="13"/>
  <c r="AO5" i="19"/>
  <c r="AO17" i="15"/>
  <c r="AO15" i="13"/>
  <c r="AO6" i="12"/>
  <c r="AO10" i="15"/>
  <c r="AO18" i="11"/>
  <c r="AO12" i="12"/>
  <c r="AO16" i="13"/>
  <c r="AO4" i="11"/>
  <c r="AO11" i="19"/>
  <c r="AO13" i="12"/>
  <c r="AO6" i="15"/>
  <c r="AO11" i="11"/>
  <c r="AO8" i="16"/>
  <c r="AO6" i="13"/>
  <c r="AO8" i="14"/>
  <c r="AO4" i="19"/>
  <c r="AO14" i="15"/>
  <c r="AO10" i="11"/>
  <c r="AO23" i="14"/>
  <c r="AO12" i="19"/>
  <c r="AO15" i="19"/>
  <c r="AO16" i="19"/>
  <c r="AO24" i="19"/>
  <c r="AO17" i="19"/>
  <c r="AO7" i="14"/>
  <c r="AO4" i="16"/>
  <c r="AO10" i="16"/>
  <c r="AO13" i="15"/>
  <c r="AO15" i="15"/>
  <c r="AO24" i="16"/>
  <c r="AO8" i="11"/>
  <c r="AO18" i="16"/>
  <c r="AO22" i="19"/>
  <c r="AO24" i="12"/>
  <c r="AO23" i="12"/>
  <c r="AO23" i="11"/>
  <c r="AO12" i="16"/>
  <c r="AO22" i="11"/>
  <c r="AO12" i="13"/>
  <c r="AO9" i="14"/>
  <c r="AO13" i="19"/>
  <c r="AO14" i="19"/>
  <c r="AO9" i="16"/>
  <c r="AO11" i="15"/>
  <c r="AO17" i="13"/>
  <c r="AO23" i="16"/>
  <c r="AO7" i="13"/>
  <c r="AO6" i="11"/>
  <c r="AO17" i="11"/>
  <c r="AO22" i="12"/>
  <c r="AO7" i="16"/>
  <c r="AO9" i="11"/>
  <c r="AO14" i="16"/>
  <c r="AO4" i="14"/>
  <c r="AO13" i="11"/>
  <c r="AO24" i="13"/>
  <c r="AO15" i="11"/>
  <c r="AO16" i="12"/>
  <c r="AO11" i="14"/>
  <c r="AO12" i="14"/>
  <c r="AO4" i="15"/>
  <c r="AO12" i="15"/>
  <c r="AO14" i="12"/>
  <c r="AO8" i="19"/>
  <c r="AO15" i="16"/>
  <c r="AO7" i="11"/>
  <c r="AO17" i="16"/>
  <c r="AO8" i="12"/>
  <c r="AO23" i="15"/>
  <c r="AO18" i="13"/>
  <c r="AO5" i="15"/>
  <c r="AO6" i="14"/>
  <c r="AO17" i="14"/>
  <c r="AO11" i="12"/>
  <c r="AO7" i="12"/>
  <c r="AO6" i="16"/>
  <c r="AZ12" i="19"/>
  <c r="AZ14" i="19"/>
  <c r="AZ4" i="11"/>
  <c r="AZ8" i="14"/>
  <c r="AZ11" i="11"/>
  <c r="AZ4" i="13"/>
  <c r="AZ8" i="11"/>
  <c r="AZ13" i="13"/>
  <c r="AZ6" i="12"/>
  <c r="AZ18" i="15"/>
  <c r="AZ4" i="14"/>
  <c r="AZ23" i="16"/>
  <c r="AZ11" i="14"/>
  <c r="AZ12" i="15"/>
  <c r="AZ16" i="16"/>
  <c r="AZ11" i="15"/>
  <c r="AZ7" i="11"/>
  <c r="AZ7" i="12"/>
  <c r="AZ15" i="12"/>
  <c r="AZ7" i="15"/>
  <c r="AZ4" i="19"/>
  <c r="AZ8" i="19"/>
  <c r="AZ10" i="19"/>
  <c r="AZ6" i="11"/>
  <c r="AZ14" i="11"/>
  <c r="AZ12" i="12"/>
  <c r="AZ14" i="13"/>
  <c r="AZ17" i="14"/>
  <c r="AZ16" i="13"/>
  <c r="AZ10" i="12"/>
  <c r="AZ7" i="16"/>
  <c r="AZ9" i="13"/>
  <c r="AZ16" i="15"/>
  <c r="AZ15" i="15"/>
  <c r="AZ17" i="13"/>
  <c r="AZ8" i="16"/>
  <c r="AZ10" i="15"/>
  <c r="AZ6" i="19"/>
  <c r="AZ23" i="19"/>
  <c r="AZ18" i="19"/>
  <c r="AZ10" i="11"/>
  <c r="AZ18" i="12"/>
  <c r="AZ24" i="15"/>
  <c r="AZ24" i="13"/>
  <c r="AZ7" i="14"/>
  <c r="AZ15" i="13"/>
  <c r="AZ11" i="13"/>
  <c r="AZ13" i="16"/>
  <c r="AZ18" i="14"/>
  <c r="AZ5" i="13"/>
  <c r="AZ22" i="15"/>
  <c r="AZ9" i="19"/>
  <c r="AZ7" i="19"/>
  <c r="AZ17" i="11"/>
  <c r="AZ24" i="11"/>
  <c r="AZ11" i="12"/>
  <c r="AZ9" i="14"/>
  <c r="AZ10" i="14"/>
  <c r="AZ23" i="14"/>
  <c r="AZ24" i="19"/>
  <c r="AZ5" i="11"/>
  <c r="AZ9" i="15"/>
  <c r="AZ12" i="13"/>
  <c r="AZ4" i="12"/>
  <c r="AZ22" i="12"/>
  <c r="AZ7" i="13"/>
  <c r="AZ12" i="14"/>
  <c r="AZ22" i="11"/>
  <c r="AZ11" i="16"/>
  <c r="AZ23" i="15"/>
  <c r="AZ15" i="19"/>
  <c r="AZ12" i="11"/>
  <c r="AZ6" i="16"/>
  <c r="AZ5" i="12"/>
  <c r="AZ14" i="14"/>
  <c r="AZ16" i="14"/>
  <c r="AZ9" i="16"/>
  <c r="AZ10" i="13"/>
  <c r="AZ13" i="19"/>
  <c r="AZ22" i="16"/>
  <c r="AZ13" i="14"/>
  <c r="AZ18" i="16"/>
  <c r="AZ18" i="13"/>
  <c r="AZ16" i="19"/>
  <c r="AZ17" i="19"/>
  <c r="AZ11" i="19"/>
  <c r="AZ22" i="19"/>
  <c r="AZ5" i="19"/>
  <c r="AZ16" i="11"/>
  <c r="AZ9" i="11"/>
  <c r="AZ23" i="11"/>
  <c r="AZ13" i="11"/>
  <c r="AZ14" i="16"/>
  <c r="AZ15" i="16"/>
  <c r="AZ8" i="12"/>
  <c r="AZ13" i="12"/>
  <c r="AZ24" i="16"/>
  <c r="AZ23" i="12"/>
  <c r="AZ18" i="11"/>
  <c r="AZ16" i="12"/>
  <c r="AZ10" i="16"/>
  <c r="AZ15" i="14"/>
  <c r="AZ8" i="13"/>
  <c r="AZ24" i="14"/>
  <c r="AZ24" i="12"/>
  <c r="AZ6" i="15"/>
  <c r="AZ6" i="13"/>
  <c r="AZ12" i="16"/>
  <c r="AZ5" i="14"/>
  <c r="AZ22" i="13"/>
  <c r="AZ17" i="15"/>
  <c r="AZ14" i="12"/>
  <c r="AZ17" i="16"/>
  <c r="AZ14" i="15"/>
  <c r="AZ4" i="16"/>
  <c r="AZ4" i="15"/>
  <c r="AZ22" i="14"/>
  <c r="AZ15" i="11"/>
  <c r="AZ5" i="15"/>
  <c r="AZ8" i="15"/>
  <c r="AZ17" i="12"/>
  <c r="AZ23" i="13"/>
  <c r="AZ13" i="15"/>
  <c r="AZ6" i="14"/>
  <c r="AZ5" i="16"/>
  <c r="BC38" i="11"/>
  <c r="BC55" i="15"/>
  <c r="BC32" i="16"/>
  <c r="BC54" i="16"/>
  <c r="BC34" i="13"/>
  <c r="BC63" i="15"/>
  <c r="BC29" i="13"/>
  <c r="BC37" i="15"/>
  <c r="BC53" i="13"/>
  <c r="BC45" i="14"/>
  <c r="BC40" i="16"/>
  <c r="BC60" i="12"/>
  <c r="BC64" i="14"/>
  <c r="BC37" i="11"/>
  <c r="BC55" i="12"/>
  <c r="BC34" i="14"/>
  <c r="BC57" i="15"/>
  <c r="BC30" i="14"/>
  <c r="BC43" i="12"/>
  <c r="BC61" i="13"/>
  <c r="BC30" i="16"/>
  <c r="BC40" i="14"/>
  <c r="BC44" i="19"/>
  <c r="BC36" i="19"/>
  <c r="BC36" i="13"/>
  <c r="BC45" i="11"/>
  <c r="BC36" i="11"/>
  <c r="BC40" i="15"/>
  <c r="BC63" i="19"/>
  <c r="BC32" i="11"/>
  <c r="BC36" i="15"/>
  <c r="BC28" i="12"/>
  <c r="BC61" i="15"/>
  <c r="BC39" i="16"/>
  <c r="BC31" i="15"/>
  <c r="BC55" i="14"/>
  <c r="BC43" i="13"/>
  <c r="BC54" i="11"/>
  <c r="BC31" i="12"/>
  <c r="BC55" i="19"/>
  <c r="BC62" i="16"/>
  <c r="BC35" i="16"/>
  <c r="BC63" i="16"/>
  <c r="BC31" i="11"/>
  <c r="BC32" i="12"/>
  <c r="BC55" i="16"/>
  <c r="BC33" i="15"/>
  <c r="BC25" i="16"/>
  <c r="BC28" i="14"/>
  <c r="BC26" i="15"/>
  <c r="BC28" i="13"/>
  <c r="BC64" i="12"/>
  <c r="BC56" i="12"/>
  <c r="BC31" i="13"/>
  <c r="BC62" i="12"/>
  <c r="BC33" i="16"/>
  <c r="BC40" i="11"/>
  <c r="BC56" i="11"/>
  <c r="BC59" i="14"/>
  <c r="BC28" i="16"/>
  <c r="BC43" i="19"/>
  <c r="BC39" i="19"/>
  <c r="BC28" i="19"/>
  <c r="BC34" i="11"/>
  <c r="BC29" i="14"/>
  <c r="BC29" i="15"/>
  <c r="BC42" i="12"/>
  <c r="BC52" i="13"/>
  <c r="BC38" i="13"/>
  <c r="BC36" i="16"/>
  <c r="BC43" i="16"/>
  <c r="BC41" i="15"/>
  <c r="BC27" i="15"/>
  <c r="BC42" i="15"/>
  <c r="BC64" i="13"/>
  <c r="BC34" i="12"/>
  <c r="BC30" i="13"/>
  <c r="BC33" i="11"/>
  <c r="BC31" i="19"/>
  <c r="BC28" i="11"/>
  <c r="BC41" i="14"/>
  <c r="BC38" i="12"/>
  <c r="BC27" i="11"/>
  <c r="BC40" i="13"/>
  <c r="BC35" i="11"/>
  <c r="BC44" i="13"/>
  <c r="BC37" i="12"/>
  <c r="BC52" i="11"/>
  <c r="BC32" i="14"/>
  <c r="BC26" i="14"/>
  <c r="BC42" i="11"/>
  <c r="BC32" i="13"/>
  <c r="BC41" i="11"/>
  <c r="BC44" i="12"/>
  <c r="BC53" i="14"/>
  <c r="BC61" i="14"/>
  <c r="BC54" i="15"/>
  <c r="BC27" i="14"/>
  <c r="BC56" i="15"/>
  <c r="BC59" i="15"/>
  <c r="BC62" i="14"/>
  <c r="BC56" i="19"/>
  <c r="BC29" i="19"/>
  <c r="BC27" i="19"/>
  <c r="BC53" i="16"/>
  <c r="BC64" i="15"/>
  <c r="BC45" i="16"/>
  <c r="BC40" i="19"/>
  <c r="BC37" i="19"/>
  <c r="BC38" i="19"/>
  <c r="BC64" i="19"/>
  <c r="BC32" i="15"/>
  <c r="BC26" i="11"/>
  <c r="BC41" i="13"/>
  <c r="BC36" i="12"/>
  <c r="BC39" i="13"/>
  <c r="BC62" i="15"/>
  <c r="BC35" i="15"/>
  <c r="BC60" i="13"/>
  <c r="BC42" i="14"/>
  <c r="BC57" i="12"/>
  <c r="BC45" i="13"/>
  <c r="BC39" i="12"/>
  <c r="BC57" i="14"/>
  <c r="BC45" i="15"/>
  <c r="BC53" i="12"/>
  <c r="BC37" i="14"/>
  <c r="BC34" i="19"/>
  <c r="BC61" i="19"/>
  <c r="BC62" i="19"/>
  <c r="BC35" i="19"/>
  <c r="BC32" i="19"/>
  <c r="BC59" i="19"/>
  <c r="BC60" i="19"/>
  <c r="BC45" i="19"/>
  <c r="BC25" i="19"/>
  <c r="BC26" i="19"/>
  <c r="BC41" i="19"/>
  <c r="BC53" i="19"/>
  <c r="BC33" i="19"/>
  <c r="BC54" i="19"/>
  <c r="BC53" i="15"/>
  <c r="BC29" i="16"/>
  <c r="BC61" i="11"/>
  <c r="BC42" i="13"/>
  <c r="BC57" i="13"/>
  <c r="BC60" i="11"/>
  <c r="BC34" i="15"/>
  <c r="BC25" i="14"/>
  <c r="BC38" i="14"/>
  <c r="BC54" i="12"/>
  <c r="BC53" i="11"/>
  <c r="BC59" i="12"/>
  <c r="BC56" i="13"/>
  <c r="BC60" i="16"/>
  <c r="BC38" i="16"/>
  <c r="BC59" i="13"/>
  <c r="BC31" i="14"/>
  <c r="BC26" i="12"/>
  <c r="BC42" i="16"/>
  <c r="BC42" i="19"/>
  <c r="BC57" i="19"/>
  <c r="BC52" i="19"/>
  <c r="BC30" i="19"/>
  <c r="BC54" i="13"/>
  <c r="BC28" i="15"/>
  <c r="BC43" i="15"/>
  <c r="BC64" i="11"/>
  <c r="BC41" i="12"/>
  <c r="BC56" i="16"/>
  <c r="BC52" i="15"/>
  <c r="BC37" i="16"/>
  <c r="BC57" i="11"/>
  <c r="BC56" i="14"/>
  <c r="BC61" i="16"/>
  <c r="BC34" i="16"/>
  <c r="BC35" i="14"/>
  <c r="BC61" i="12"/>
  <c r="BC29" i="12"/>
  <c r="BC27" i="13"/>
  <c r="BC40" i="12"/>
  <c r="BC26" i="16"/>
  <c r="BC59" i="16"/>
  <c r="BC52" i="12"/>
  <c r="BC57" i="16"/>
  <c r="BC30" i="11"/>
  <c r="BC63" i="13"/>
  <c r="BC27" i="12"/>
  <c r="BC27" i="16"/>
  <c r="BC54" i="14"/>
  <c r="BC52" i="14"/>
  <c r="BC33" i="14"/>
  <c r="BC25" i="15"/>
  <c r="BC31" i="16"/>
  <c r="BC25" i="12"/>
  <c r="BC39" i="15"/>
  <c r="BC36" i="14"/>
  <c r="BC33" i="13"/>
  <c r="BC44" i="15"/>
  <c r="BC35" i="13"/>
  <c r="BC39" i="11"/>
  <c r="BC26" i="13"/>
  <c r="BC30" i="15"/>
  <c r="BC44" i="14"/>
  <c r="BC44" i="16"/>
  <c r="BC37" i="13"/>
  <c r="BC35" i="12"/>
  <c r="BC63" i="11"/>
  <c r="BC45" i="12"/>
  <c r="BC43" i="14"/>
  <c r="BC41" i="16"/>
  <c r="BC30" i="12"/>
  <c r="BC52" i="16"/>
  <c r="BC63" i="14"/>
  <c r="BC64" i="16"/>
  <c r="BC55" i="11"/>
  <c r="BC38" i="15"/>
  <c r="BC63" i="12"/>
  <c r="BC60" i="15"/>
  <c r="BC29" i="11"/>
  <c r="BC55" i="13"/>
  <c r="BC39" i="14"/>
  <c r="BC62" i="13"/>
  <c r="BC44" i="11"/>
  <c r="BC25" i="11"/>
  <c r="BC59" i="11"/>
  <c r="BC43" i="11"/>
  <c r="BC60" i="14"/>
  <c r="BC25" i="13"/>
  <c r="BC33" i="12"/>
  <c r="BC62" i="11"/>
  <c r="O36" i="19"/>
  <c r="O27" i="19"/>
  <c r="O63" i="19"/>
  <c r="O41" i="19"/>
  <c r="O29" i="19"/>
  <c r="O42" i="11"/>
  <c r="O37" i="14"/>
  <c r="O52" i="14"/>
  <c r="O35" i="12"/>
  <c r="O37" i="13"/>
  <c r="O38" i="15"/>
  <c r="O59" i="11"/>
  <c r="O39" i="16"/>
  <c r="O53" i="13"/>
  <c r="O32" i="15"/>
  <c r="O36" i="12"/>
  <c r="O42" i="13"/>
  <c r="O25" i="12"/>
  <c r="O59" i="19"/>
  <c r="O44" i="11"/>
  <c r="O55" i="11"/>
  <c r="O60" i="13"/>
  <c r="O34" i="16"/>
  <c r="O25" i="13"/>
  <c r="O32" i="16"/>
  <c r="O35" i="15"/>
  <c r="O60" i="11"/>
  <c r="O38" i="13"/>
  <c r="O45" i="15"/>
  <c r="O41" i="16"/>
  <c r="O26" i="11"/>
  <c r="O38" i="16"/>
  <c r="O53" i="16"/>
  <c r="O61" i="13"/>
  <c r="O26" i="16"/>
  <c r="O53" i="14"/>
  <c r="O26" i="12"/>
  <c r="O36" i="14"/>
  <c r="O45" i="12"/>
  <c r="O63" i="13"/>
  <c r="O60" i="19"/>
  <c r="O43" i="19"/>
  <c r="O54" i="15"/>
  <c r="O55" i="12"/>
  <c r="O40" i="12"/>
  <c r="O52" i="15"/>
  <c r="O56" i="16"/>
  <c r="O38" i="14"/>
  <c r="O64" i="12"/>
  <c r="O64" i="15"/>
  <c r="O30" i="15"/>
  <c r="O54" i="12"/>
  <c r="O33" i="15"/>
  <c r="O33" i="14"/>
  <c r="O56" i="14"/>
  <c r="O43" i="15"/>
  <c r="O62" i="13"/>
  <c r="O28" i="15"/>
  <c r="O39" i="14"/>
  <c r="O53" i="15"/>
  <c r="O30" i="13"/>
  <c r="O64" i="19"/>
  <c r="O34" i="19"/>
  <c r="O30" i="19"/>
  <c r="O54" i="11"/>
  <c r="O30" i="14"/>
  <c r="O60" i="14"/>
  <c r="O54" i="13"/>
  <c r="O34" i="14"/>
  <c r="O32" i="14"/>
  <c r="O55" i="14"/>
  <c r="O41" i="13"/>
  <c r="O32" i="12"/>
  <c r="O43" i="14"/>
  <c r="O44" i="14"/>
  <c r="O35" i="14"/>
  <c r="O52" i="13"/>
  <c r="O53" i="19"/>
  <c r="O40" i="19"/>
  <c r="O62" i="11"/>
  <c r="O41" i="15"/>
  <c r="O27" i="12"/>
  <c r="O30" i="11"/>
  <c r="O63" i="14"/>
  <c r="O42" i="14"/>
  <c r="O31" i="14"/>
  <c r="O59" i="13"/>
  <c r="O28" i="14"/>
  <c r="O52" i="16"/>
  <c r="O31" i="11"/>
  <c r="O64" i="14"/>
  <c r="O42" i="16"/>
  <c r="O26" i="13"/>
  <c r="O35" i="19"/>
  <c r="O54" i="19"/>
  <c r="O38" i="19"/>
  <c r="O42" i="19"/>
  <c r="O45" i="19"/>
  <c r="O35" i="11"/>
  <c r="O32" i="11"/>
  <c r="O57" i="11"/>
  <c r="O38" i="11"/>
  <c r="O37" i="16"/>
  <c r="O60" i="16"/>
  <c r="O40" i="14"/>
  <c r="O63" i="16"/>
  <c r="O60" i="12"/>
  <c r="O27" i="15"/>
  <c r="O44" i="16"/>
  <c r="O28" i="13"/>
  <c r="O36" i="11"/>
  <c r="O52" i="12"/>
  <c r="O56" i="13"/>
  <c r="O56" i="11"/>
  <c r="O61" i="15"/>
  <c r="O31" i="13"/>
  <c r="O57" i="14"/>
  <c r="O44" i="15"/>
  <c r="O36" i="15"/>
  <c r="O54" i="14"/>
  <c r="O56" i="19"/>
  <c r="O41" i="11"/>
  <c r="O34" i="11"/>
  <c r="O52" i="11"/>
  <c r="O53" i="11"/>
  <c r="O57" i="15"/>
  <c r="O40" i="13"/>
  <c r="O25" i="15"/>
  <c r="O43" i="12"/>
  <c r="O57" i="16"/>
  <c r="O31" i="15"/>
  <c r="O25" i="14"/>
  <c r="O61" i="12"/>
  <c r="O34" i="12"/>
  <c r="O26" i="19"/>
  <c r="O31" i="19"/>
  <c r="O37" i="11"/>
  <c r="O33" i="11"/>
  <c r="O44" i="13"/>
  <c r="O40" i="15"/>
  <c r="O31" i="12"/>
  <c r="O61" i="16"/>
  <c r="O40" i="16"/>
  <c r="O62" i="14"/>
  <c r="O38" i="12"/>
  <c r="O63" i="15"/>
  <c r="O54" i="16"/>
  <c r="O29" i="13"/>
  <c r="O45" i="14"/>
  <c r="O25" i="16"/>
  <c r="O44" i="19"/>
  <c r="O39" i="19"/>
  <c r="O61" i="19"/>
  <c r="O33" i="12"/>
  <c r="O39" i="11"/>
  <c r="O44" i="12"/>
  <c r="O62" i="15"/>
  <c r="O27" i="16"/>
  <c r="O45" i="16"/>
  <c r="O36" i="16"/>
  <c r="O45" i="13"/>
  <c r="O28" i="16"/>
  <c r="O43" i="13"/>
  <c r="O64" i="13"/>
  <c r="O55" i="19"/>
  <c r="O62" i="19"/>
  <c r="O43" i="11"/>
  <c r="O25" i="11"/>
  <c r="O57" i="13"/>
  <c r="O29" i="16"/>
  <c r="O26" i="14"/>
  <c r="O30" i="12"/>
  <c r="O55" i="15"/>
  <c r="O64" i="16"/>
  <c r="O31" i="16"/>
  <c r="O62" i="12"/>
  <c r="O27" i="13"/>
  <c r="O53" i="12"/>
  <c r="O41" i="12"/>
  <c r="O56" i="15"/>
  <c r="O41" i="14"/>
  <c r="O27" i="11"/>
  <c r="O63" i="12"/>
  <c r="O45" i="11"/>
  <c r="O28" i="12"/>
  <c r="O28" i="19"/>
  <c r="O33" i="19"/>
  <c r="O25" i="19"/>
  <c r="O61" i="11"/>
  <c r="O35" i="13"/>
  <c r="O55" i="16"/>
  <c r="O39" i="13"/>
  <c r="O32" i="13"/>
  <c r="O62" i="16"/>
  <c r="O27" i="14"/>
  <c r="O37" i="15"/>
  <c r="O59" i="16"/>
  <c r="O43" i="16"/>
  <c r="O33" i="13"/>
  <c r="O34" i="15"/>
  <c r="O29" i="12"/>
  <c r="O36" i="13"/>
  <c r="O61" i="14"/>
  <c r="O33" i="16"/>
  <c r="O35" i="16"/>
  <c r="O28" i="11"/>
  <c r="O34" i="13"/>
  <c r="O57" i="19"/>
  <c r="O52" i="19"/>
  <c r="O37" i="19"/>
  <c r="O32" i="19"/>
  <c r="O64" i="11"/>
  <c r="O63" i="11"/>
  <c r="O39" i="15"/>
  <c r="O59" i="12"/>
  <c r="O59" i="15"/>
  <c r="O59" i="14"/>
  <c r="O29" i="15"/>
  <c r="O29" i="11"/>
  <c r="O57" i="12"/>
  <c r="O60" i="15"/>
  <c r="O39" i="12"/>
  <c r="O37" i="12"/>
  <c r="O56" i="12"/>
  <c r="O26" i="15"/>
  <c r="O42" i="15"/>
  <c r="O40" i="11"/>
  <c r="O42" i="12"/>
  <c r="O30" i="16"/>
  <c r="O29" i="14"/>
  <c r="O55" i="13"/>
  <c r="R302" i="1"/>
  <c r="U302" i="1" s="1"/>
  <c r="R93" i="1"/>
  <c r="U93" i="1" s="1"/>
  <c r="AU48" i="19"/>
  <c r="AU49" i="14"/>
  <c r="AU19" i="14"/>
  <c r="AU48" i="12"/>
  <c r="AU19" i="16"/>
  <c r="AU47" i="19"/>
  <c r="AU21" i="19"/>
  <c r="AU21" i="14"/>
  <c r="AU20" i="16"/>
  <c r="AU46" i="19"/>
  <c r="AU49" i="15"/>
  <c r="AU50" i="15"/>
  <c r="AU19" i="11"/>
  <c r="AU20" i="14"/>
  <c r="AU20" i="13"/>
  <c r="AU47" i="13"/>
  <c r="AU51" i="12"/>
  <c r="AU50" i="13"/>
  <c r="AU19" i="19"/>
  <c r="AU20" i="12"/>
  <c r="AU21" i="11"/>
  <c r="AU46" i="14"/>
  <c r="AU51" i="15"/>
  <c r="AU51" i="14"/>
  <c r="AU46" i="13"/>
  <c r="AU51" i="16"/>
  <c r="AU48" i="16"/>
  <c r="AU49" i="11"/>
  <c r="AU47" i="12"/>
  <c r="AU19" i="12"/>
  <c r="AU50" i="14"/>
  <c r="AU46" i="16"/>
  <c r="AU20" i="11"/>
  <c r="AU51" i="19"/>
  <c r="AU46" i="12"/>
  <c r="AU50" i="16"/>
  <c r="AU51" i="13"/>
  <c r="AU21" i="15"/>
  <c r="AU20" i="15"/>
  <c r="AU19" i="15"/>
  <c r="AU19" i="13"/>
  <c r="AU21" i="13"/>
  <c r="AU48" i="15"/>
  <c r="AU47" i="14"/>
  <c r="AU47" i="15"/>
  <c r="AU50" i="12"/>
  <c r="AU48" i="13"/>
  <c r="AU48" i="14"/>
  <c r="AU46" i="15"/>
  <c r="AU50" i="11"/>
  <c r="AU51" i="11"/>
  <c r="AU49" i="13"/>
  <c r="AU20" i="19"/>
  <c r="AU46" i="11"/>
  <c r="AU47" i="16"/>
  <c r="AU21" i="16"/>
  <c r="AU47" i="11"/>
  <c r="AU49" i="16"/>
  <c r="AU50" i="19"/>
  <c r="AU48" i="11"/>
  <c r="AU21" i="12"/>
  <c r="AS15" i="19"/>
  <c r="AS23" i="12"/>
  <c r="AS6" i="16"/>
  <c r="AS11" i="12"/>
  <c r="AS9" i="14"/>
  <c r="AS18" i="13"/>
  <c r="AS15" i="16"/>
  <c r="AS23" i="13"/>
  <c r="AS23" i="11"/>
  <c r="AS22" i="15"/>
  <c r="AS16" i="12"/>
  <c r="AS17" i="14"/>
  <c r="AS23" i="16"/>
  <c r="AS8" i="16"/>
  <c r="AS7" i="14"/>
  <c r="AS11" i="13"/>
  <c r="AS22" i="14"/>
  <c r="AS6" i="14"/>
  <c r="AS10" i="11"/>
  <c r="AS22" i="16"/>
  <c r="AS5" i="19"/>
  <c r="AS22" i="11"/>
  <c r="AS4" i="13"/>
  <c r="AS15" i="14"/>
  <c r="AS10" i="16"/>
  <c r="AS7" i="16"/>
  <c r="AS5" i="16"/>
  <c r="AS11" i="15"/>
  <c r="AS12" i="12"/>
  <c r="AS8" i="12"/>
  <c r="AS6" i="11"/>
  <c r="AS24" i="14"/>
  <c r="AS11" i="16"/>
  <c r="AS12" i="19"/>
  <c r="AS7" i="19"/>
  <c r="AS12" i="14"/>
  <c r="AS8" i="13"/>
  <c r="AS8" i="11"/>
  <c r="AS16" i="11"/>
  <c r="AS16" i="15"/>
  <c r="AS7" i="12"/>
  <c r="AS9" i="16"/>
  <c r="AS18" i="15"/>
  <c r="AS6" i="12"/>
  <c r="AS13" i="14"/>
  <c r="AS14" i="14"/>
  <c r="AS18" i="14"/>
  <c r="AS16" i="19"/>
  <c r="AS22" i="19"/>
  <c r="AS6" i="19"/>
  <c r="AS11" i="11"/>
  <c r="AS17" i="11"/>
  <c r="AS24" i="16"/>
  <c r="AS14" i="11"/>
  <c r="AS18" i="11"/>
  <c r="AS10" i="13"/>
  <c r="AS14" i="13"/>
  <c r="AS12" i="15"/>
  <c r="AS9" i="11"/>
  <c r="AS15" i="12"/>
  <c r="AS17" i="12"/>
  <c r="AS13" i="19"/>
  <c r="AS8" i="19"/>
  <c r="AS8" i="14"/>
  <c r="AS23" i="14"/>
  <c r="AS14" i="15"/>
  <c r="AS16" i="14"/>
  <c r="AS12" i="11"/>
  <c r="AS10" i="14"/>
  <c r="AS22" i="12"/>
  <c r="AS6" i="15"/>
  <c r="AS14" i="12"/>
  <c r="AS11" i="14"/>
  <c r="AS4" i="16"/>
  <c r="AS17" i="19"/>
  <c r="AS4" i="12"/>
  <c r="AS7" i="13"/>
  <c r="AS16" i="16"/>
  <c r="AS18" i="12"/>
  <c r="AS17" i="15"/>
  <c r="AS18" i="19"/>
  <c r="AS24" i="19"/>
  <c r="AS9" i="15"/>
  <c r="AS15" i="13"/>
  <c r="AS23" i="15"/>
  <c r="AS10" i="12"/>
  <c r="AS13" i="11"/>
  <c r="AS5" i="11"/>
  <c r="AS5" i="12"/>
  <c r="AS4" i="11"/>
  <c r="AS24" i="15"/>
  <c r="AS15" i="11"/>
  <c r="AS24" i="13"/>
  <c r="AS13" i="13"/>
  <c r="AS4" i="15"/>
  <c r="AS13" i="12"/>
  <c r="AS4" i="19"/>
  <c r="AS9" i="19"/>
  <c r="AS24" i="12"/>
  <c r="AS9" i="13"/>
  <c r="AS22" i="13"/>
  <c r="AS15" i="15"/>
  <c r="AS24" i="11"/>
  <c r="AS4" i="14"/>
  <c r="AS16" i="13"/>
  <c r="AS12" i="13"/>
  <c r="AS13" i="15"/>
  <c r="AS6" i="13"/>
  <c r="AS10" i="15"/>
  <c r="AS12" i="16"/>
  <c r="AS14" i="19"/>
  <c r="AS10" i="19"/>
  <c r="AS23" i="19"/>
  <c r="AS11" i="19"/>
  <c r="AS18" i="16"/>
  <c r="AS17" i="16"/>
  <c r="AS14" i="16"/>
  <c r="AS8" i="15"/>
  <c r="AS5" i="15"/>
  <c r="AS13" i="16"/>
  <c r="AS7" i="15"/>
  <c r="AS5" i="14"/>
  <c r="AS5" i="13"/>
  <c r="AS7" i="11"/>
  <c r="AS17" i="13"/>
  <c r="S16" i="19"/>
  <c r="S14" i="19"/>
  <c r="S9" i="11"/>
  <c r="S12" i="13"/>
  <c r="S11" i="11"/>
  <c r="S13" i="14"/>
  <c r="S4" i="11"/>
  <c r="S12" i="14"/>
  <c r="S24" i="13"/>
  <c r="S8" i="16"/>
  <c r="S16" i="13"/>
  <c r="S7" i="14"/>
  <c r="S13" i="19"/>
  <c r="S5" i="19"/>
  <c r="S11" i="15"/>
  <c r="S17" i="11"/>
  <c r="S13" i="12"/>
  <c r="S4" i="15"/>
  <c r="S18" i="12"/>
  <c r="S23" i="14"/>
  <c r="S5" i="12"/>
  <c r="S16" i="16"/>
  <c r="S18" i="19"/>
  <c r="S24" i="19"/>
  <c r="S15" i="19"/>
  <c r="S23" i="19"/>
  <c r="S22" i="19"/>
  <c r="S12" i="11"/>
  <c r="S16" i="15"/>
  <c r="S10" i="15"/>
  <c r="S18" i="14"/>
  <c r="S9" i="13"/>
  <c r="S4" i="19"/>
  <c r="S12" i="19"/>
  <c r="S16" i="11"/>
  <c r="S8" i="11"/>
  <c r="S5" i="16"/>
  <c r="S9" i="15"/>
  <c r="S18" i="16"/>
  <c r="S13" i="13"/>
  <c r="S4" i="12"/>
  <c r="S14" i="14"/>
  <c r="S15" i="15"/>
  <c r="S14" i="16"/>
  <c r="S5" i="11"/>
  <c r="S10" i="11"/>
  <c r="S5" i="13"/>
  <c r="S11" i="14"/>
  <c r="S11" i="16"/>
  <c r="S24" i="16"/>
  <c r="S13" i="15"/>
  <c r="S11" i="19"/>
  <c r="S9" i="19"/>
  <c r="S8" i="19"/>
  <c r="S6" i="19"/>
  <c r="S24" i="11"/>
  <c r="S15" i="14"/>
  <c r="S9" i="14"/>
  <c r="S17" i="14"/>
  <c r="S14" i="13"/>
  <c r="S8" i="12"/>
  <c r="S11" i="12"/>
  <c r="S23" i="13"/>
  <c r="S14" i="11"/>
  <c r="S17" i="15"/>
  <c r="S22" i="12"/>
  <c r="S23" i="15"/>
  <c r="S6" i="14"/>
  <c r="S17" i="19"/>
  <c r="S14" i="12"/>
  <c r="S23" i="11"/>
  <c r="S24" i="14"/>
  <c r="S18" i="15"/>
  <c r="S7" i="13"/>
  <c r="S23" i="12"/>
  <c r="S4" i="13"/>
  <c r="S8" i="14"/>
  <c r="S8" i="15"/>
  <c r="S15" i="12"/>
  <c r="S22" i="16"/>
  <c r="S24" i="12"/>
  <c r="S6" i="13"/>
  <c r="S17" i="16"/>
  <c r="S7" i="19"/>
  <c r="S10" i="19"/>
  <c r="S16" i="12"/>
  <c r="S7" i="12"/>
  <c r="S24" i="15"/>
  <c r="S17" i="12"/>
  <c r="S22" i="14"/>
  <c r="S10" i="13"/>
  <c r="S15" i="13"/>
  <c r="S13" i="11"/>
  <c r="S18" i="11"/>
  <c r="S22" i="15"/>
  <c r="S7" i="16"/>
  <c r="S4" i="16"/>
  <c r="S4" i="14"/>
  <c r="S12" i="16"/>
  <c r="S14" i="15"/>
  <c r="S16" i="14"/>
  <c r="S17" i="13"/>
  <c r="S6" i="12"/>
  <c r="S12" i="12"/>
  <c r="S6" i="11"/>
  <c r="S22" i="11"/>
  <c r="S10" i="16"/>
  <c r="S15" i="11"/>
  <c r="S15" i="16"/>
  <c r="S10" i="12"/>
  <c r="S12" i="15"/>
  <c r="S7" i="15"/>
  <c r="S22" i="13"/>
  <c r="S11" i="13"/>
  <c r="S6" i="16"/>
  <c r="S6" i="15"/>
  <c r="S7" i="11"/>
  <c r="S5" i="15"/>
  <c r="S13" i="16"/>
  <c r="S18" i="13"/>
  <c r="S10" i="14"/>
  <c r="S8" i="13"/>
  <c r="S9" i="16"/>
  <c r="S23" i="16"/>
  <c r="S5" i="14"/>
  <c r="BC18" i="19"/>
  <c r="BC13" i="19"/>
  <c r="BC15" i="14"/>
  <c r="BC12" i="13"/>
  <c r="BC9" i="14"/>
  <c r="BC18" i="13"/>
  <c r="BC11" i="11"/>
  <c r="BC5" i="12"/>
  <c r="BC15" i="19"/>
  <c r="BC8" i="19"/>
  <c r="BC5" i="19"/>
  <c r="BC9" i="19"/>
  <c r="BC7" i="19"/>
  <c r="BC22" i="11"/>
  <c r="BC7" i="12"/>
  <c r="BC14" i="14"/>
  <c r="BC17" i="16"/>
  <c r="BC8" i="14"/>
  <c r="BC13" i="11"/>
  <c r="BC15" i="16"/>
  <c r="BC6" i="11"/>
  <c r="BC23" i="14"/>
  <c r="BC14" i="15"/>
  <c r="BC22" i="12"/>
  <c r="BC11" i="19"/>
  <c r="BC13" i="16"/>
  <c r="BC16" i="15"/>
  <c r="BC22" i="13"/>
  <c r="BC8" i="11"/>
  <c r="BC4" i="14"/>
  <c r="BC12" i="19"/>
  <c r="BC24" i="16"/>
  <c r="BC15" i="12"/>
  <c r="BC16" i="12"/>
  <c r="BC15" i="15"/>
  <c r="BC18" i="16"/>
  <c r="BC24" i="19"/>
  <c r="BC22" i="14"/>
  <c r="BC23" i="16"/>
  <c r="BC11" i="16"/>
  <c r="BC17" i="12"/>
  <c r="BC10" i="11"/>
  <c r="BC17" i="13"/>
  <c r="BC6" i="19"/>
  <c r="BC9" i="15"/>
  <c r="BC11" i="12"/>
  <c r="BC7" i="15"/>
  <c r="BC12" i="12"/>
  <c r="BC23" i="11"/>
  <c r="BC11" i="13"/>
  <c r="BC11" i="15"/>
  <c r="BC13" i="15"/>
  <c r="BC10" i="14"/>
  <c r="BC13" i="13"/>
  <c r="BC24" i="14"/>
  <c r="BC4" i="11"/>
  <c r="BC12" i="15"/>
  <c r="BC17" i="11"/>
  <c r="BC14" i="12"/>
  <c r="BC14" i="11"/>
  <c r="BC4" i="16"/>
  <c r="BC14" i="16"/>
  <c r="BC18" i="11"/>
  <c r="BC8" i="15"/>
  <c r="BC9" i="13"/>
  <c r="BC23" i="19"/>
  <c r="BC17" i="19"/>
  <c r="BC16" i="19"/>
  <c r="BC13" i="12"/>
  <c r="BC9" i="11"/>
  <c r="BC11" i="14"/>
  <c r="BC9" i="16"/>
  <c r="BC4" i="13"/>
  <c r="BC16" i="14"/>
  <c r="BC24" i="13"/>
  <c r="BC18" i="15"/>
  <c r="BC6" i="14"/>
  <c r="BC4" i="19"/>
  <c r="BC14" i="19"/>
  <c r="BC8" i="13"/>
  <c r="BC23" i="13"/>
  <c r="BC12" i="16"/>
  <c r="BC24" i="15"/>
  <c r="BC22" i="19"/>
  <c r="BC10" i="19"/>
  <c r="BC15" i="13"/>
  <c r="BC7" i="13"/>
  <c r="BC10" i="13"/>
  <c r="BC24" i="11"/>
  <c r="BC12" i="11"/>
  <c r="BC18" i="12"/>
  <c r="BC6" i="15"/>
  <c r="BC8" i="16"/>
  <c r="BC13" i="14"/>
  <c r="BC12" i="14"/>
  <c r="BC6" i="16"/>
  <c r="BC5" i="16"/>
  <c r="BC10" i="16"/>
  <c r="BC5" i="15"/>
  <c r="BC4" i="15"/>
  <c r="BC6" i="13"/>
  <c r="BC16" i="13"/>
  <c r="BC15" i="11"/>
  <c r="BC8" i="12"/>
  <c r="BC5" i="14"/>
  <c r="BC7" i="11"/>
  <c r="BC4" i="12"/>
  <c r="BC22" i="15"/>
  <c r="BC16" i="11"/>
  <c r="BC23" i="15"/>
  <c r="BC18" i="14"/>
  <c r="BC10" i="12"/>
  <c r="BC23" i="12"/>
  <c r="BC5" i="13"/>
  <c r="BC17" i="15"/>
  <c r="BC17" i="14"/>
  <c r="BC16" i="16"/>
  <c r="BC24" i="12"/>
  <c r="BC10" i="15"/>
  <c r="BC14" i="13"/>
  <c r="BC5" i="11"/>
  <c r="BC7" i="14"/>
  <c r="BC7" i="16"/>
  <c r="BC22" i="16"/>
  <c r="BC6" i="12"/>
  <c r="V22" i="19"/>
  <c r="V4" i="11"/>
  <c r="V17" i="11"/>
  <c r="V24" i="12"/>
  <c r="V5" i="15"/>
  <c r="V7" i="11"/>
  <c r="V9" i="14"/>
  <c r="V4" i="16"/>
  <c r="V16" i="14"/>
  <c r="V17" i="16"/>
  <c r="V17" i="13"/>
  <c r="V6" i="19"/>
  <c r="V10" i="14"/>
  <c r="V6" i="12"/>
  <c r="V18" i="14"/>
  <c r="V24" i="15"/>
  <c r="V13" i="15"/>
  <c r="V11" i="16"/>
  <c r="V5" i="12"/>
  <c r="V23" i="11"/>
  <c r="V15" i="13"/>
  <c r="V24" i="16"/>
  <c r="V12" i="19"/>
  <c r="V4" i="19"/>
  <c r="V17" i="15"/>
  <c r="V16" i="15"/>
  <c r="V16" i="16"/>
  <c r="V6" i="15"/>
  <c r="V23" i="13"/>
  <c r="V23" i="12"/>
  <c r="V15" i="19"/>
  <c r="V14" i="19"/>
  <c r="V10" i="19"/>
  <c r="V22" i="11"/>
  <c r="V10" i="11"/>
  <c r="V13" i="16"/>
  <c r="V4" i="12"/>
  <c r="V22" i="12"/>
  <c r="V10" i="16"/>
  <c r="V23" i="14"/>
  <c r="V7" i="13"/>
  <c r="V14" i="15"/>
  <c r="V11" i="13"/>
  <c r="V23" i="15"/>
  <c r="V14" i="13"/>
  <c r="V9" i="11"/>
  <c r="V14" i="16"/>
  <c r="V6" i="13"/>
  <c r="V7" i="16"/>
  <c r="V5" i="11"/>
  <c r="V24" i="11"/>
  <c r="V13" i="13"/>
  <c r="V16" i="13"/>
  <c r="V11" i="15"/>
  <c r="V17" i="12"/>
  <c r="V15" i="15"/>
  <c r="V18" i="13"/>
  <c r="V22" i="13"/>
  <c r="V12" i="14"/>
  <c r="V13" i="14"/>
  <c r="V7" i="14"/>
  <c r="V14" i="12"/>
  <c r="V10" i="15"/>
  <c r="V4" i="15"/>
  <c r="V18" i="19"/>
  <c r="V8" i="15"/>
  <c r="V9" i="16"/>
  <c r="V5" i="14"/>
  <c r="V7" i="15"/>
  <c r="V6" i="14"/>
  <c r="V6" i="11"/>
  <c r="V24" i="13"/>
  <c r="V8" i="19"/>
  <c r="V17" i="19"/>
  <c r="V16" i="19"/>
  <c r="V18" i="12"/>
  <c r="V5" i="16"/>
  <c r="V14" i="11"/>
  <c r="V17" i="14"/>
  <c r="V18" i="16"/>
  <c r="V22" i="16"/>
  <c r="V7" i="12"/>
  <c r="V12" i="13"/>
  <c r="V24" i="19"/>
  <c r="V15" i="12"/>
  <c r="V22" i="15"/>
  <c r="V16" i="12"/>
  <c r="V13" i="11"/>
  <c r="V16" i="11"/>
  <c r="V9" i="15"/>
  <c r="V6" i="16"/>
  <c r="V12" i="11"/>
  <c r="V23" i="16"/>
  <c r="V8" i="12"/>
  <c r="V14" i="14"/>
  <c r="V10" i="13"/>
  <c r="V11" i="19"/>
  <c r="V13" i="19"/>
  <c r="V8" i="14"/>
  <c r="V9" i="13"/>
  <c r="V5" i="13"/>
  <c r="V8" i="13"/>
  <c r="V18" i="15"/>
  <c r="V15" i="14"/>
  <c r="V15" i="11"/>
  <c r="V11" i="12"/>
  <c r="V23" i="19"/>
  <c r="V5" i="19"/>
  <c r="V7" i="19"/>
  <c r="V18" i="11"/>
  <c r="V8" i="11"/>
  <c r="V13" i="12"/>
  <c r="V10" i="12"/>
  <c r="V22" i="14"/>
  <c r="V12" i="15"/>
  <c r="V4" i="14"/>
  <c r="V12" i="12"/>
  <c r="V11" i="14"/>
  <c r="V9" i="19"/>
  <c r="V11" i="11"/>
  <c r="V4" i="13"/>
  <c r="V15" i="16"/>
  <c r="V24" i="14"/>
  <c r="V8" i="16"/>
  <c r="V12" i="16"/>
  <c r="R15" i="1"/>
  <c r="BF4" i="19"/>
  <c r="BF10" i="14"/>
  <c r="BF24" i="12"/>
  <c r="BF15" i="14"/>
  <c r="BF12" i="15"/>
  <c r="BF22" i="12"/>
  <c r="BF15" i="19"/>
  <c r="BF8" i="19"/>
  <c r="BF6" i="12"/>
  <c r="BF4" i="11"/>
  <c r="BF7" i="14"/>
  <c r="BF4" i="15"/>
  <c r="BF11" i="16"/>
  <c r="BF8" i="15"/>
  <c r="BF17" i="19"/>
  <c r="BF7" i="15"/>
  <c r="BF5" i="14"/>
  <c r="BF12" i="19"/>
  <c r="BF6" i="19"/>
  <c r="BF24" i="11"/>
  <c r="BF16" i="15"/>
  <c r="BF12" i="12"/>
  <c r="BF23" i="12"/>
  <c r="BF23" i="15"/>
  <c r="BF5" i="11"/>
  <c r="BF17" i="15"/>
  <c r="BF7" i="19"/>
  <c r="BF5" i="13"/>
  <c r="BF15" i="11"/>
  <c r="BF6" i="13"/>
  <c r="BF17" i="16"/>
  <c r="BF4" i="16"/>
  <c r="BF8" i="16"/>
  <c r="BF9" i="19"/>
  <c r="BF17" i="13"/>
  <c r="BF12" i="14"/>
  <c r="BF11" i="14"/>
  <c r="BF23" i="13"/>
  <c r="BF22" i="16"/>
  <c r="BF24" i="19"/>
  <c r="BF10" i="19"/>
  <c r="BF22" i="19"/>
  <c r="BF5" i="19"/>
  <c r="BF12" i="11"/>
  <c r="BF13" i="15"/>
  <c r="BF6" i="11"/>
  <c r="BF9" i="16"/>
  <c r="BF14" i="13"/>
  <c r="BF14" i="19"/>
  <c r="BF6" i="16"/>
  <c r="BF10" i="15"/>
  <c r="BF22" i="14"/>
  <c r="BF12" i="16"/>
  <c r="BF16" i="12"/>
  <c r="BF7" i="11"/>
  <c r="BF18" i="15"/>
  <c r="BF16" i="19"/>
  <c r="BF18" i="19"/>
  <c r="BF13" i="19"/>
  <c r="BF11" i="19"/>
  <c r="BF6" i="14"/>
  <c r="BF5" i="12"/>
  <c r="BF14" i="14"/>
  <c r="BF23" i="19"/>
  <c r="BF13" i="14"/>
  <c r="BF24" i="16"/>
  <c r="BF9" i="14"/>
  <c r="BF8" i="12"/>
  <c r="BF8" i="14"/>
  <c r="BF5" i="15"/>
  <c r="BF24" i="14"/>
  <c r="BF17" i="11"/>
  <c r="BF16" i="14"/>
  <c r="BF4" i="14"/>
  <c r="BF9" i="15"/>
  <c r="BF16" i="11"/>
  <c r="BF10" i="12"/>
  <c r="BF9" i="13"/>
  <c r="BF15" i="16"/>
  <c r="BF8" i="11"/>
  <c r="BF18" i="12"/>
  <c r="BF6" i="15"/>
  <c r="BF15" i="12"/>
  <c r="BF7" i="16"/>
  <c r="BF17" i="14"/>
  <c r="BF15" i="15"/>
  <c r="BF14" i="11"/>
  <c r="BF22" i="13"/>
  <c r="BF23" i="16"/>
  <c r="BF13" i="12"/>
  <c r="BF10" i="11"/>
  <c r="BF11" i="15"/>
  <c r="BF24" i="15"/>
  <c r="BF7" i="12"/>
  <c r="BF18" i="13"/>
  <c r="BF13" i="13"/>
  <c r="BF11" i="13"/>
  <c r="BF4" i="12"/>
  <c r="BF11" i="11"/>
  <c r="BF12" i="13"/>
  <c r="BF10" i="13"/>
  <c r="BF22" i="11"/>
  <c r="BF4" i="13"/>
  <c r="BF23" i="11"/>
  <c r="BF8" i="13"/>
  <c r="BF7" i="13"/>
  <c r="BF23" i="14"/>
  <c r="BF18" i="11"/>
  <c r="BF16" i="16"/>
  <c r="BF24" i="13"/>
  <c r="BF16" i="13"/>
  <c r="BF15" i="13"/>
  <c r="BF11" i="12"/>
  <c r="BF13" i="16"/>
  <c r="BF18" i="16"/>
  <c r="BF13" i="11"/>
  <c r="BF14" i="12"/>
  <c r="BF14" i="16"/>
  <c r="BF22" i="15"/>
  <c r="BF5" i="16"/>
  <c r="BF9" i="11"/>
  <c r="BF14" i="15"/>
  <c r="BF18" i="14"/>
  <c r="BF17" i="12"/>
  <c r="BF10" i="16"/>
  <c r="AX51" i="15"/>
  <c r="AX51" i="14"/>
  <c r="AX19" i="15"/>
  <c r="AX50" i="14"/>
  <c r="AX50" i="19"/>
  <c r="AX19" i="19"/>
  <c r="AX21" i="15"/>
  <c r="AX47" i="12"/>
  <c r="AX49" i="15"/>
  <c r="AX21" i="19"/>
  <c r="AX49" i="14"/>
  <c r="AX46" i="12"/>
  <c r="AX20" i="13"/>
  <c r="AX20" i="12"/>
  <c r="AX19" i="11"/>
  <c r="AX47" i="19"/>
  <c r="AX50" i="11"/>
  <c r="AX48" i="11"/>
  <c r="AX19" i="16"/>
  <c r="AX48" i="13"/>
  <c r="AX19" i="13"/>
  <c r="AX47" i="16"/>
  <c r="AX51" i="11"/>
  <c r="AX46" i="19"/>
  <c r="AX51" i="19"/>
  <c r="AX51" i="13"/>
  <c r="AX50" i="16"/>
  <c r="AX46" i="15"/>
  <c r="AX21" i="11"/>
  <c r="AX21" i="13"/>
  <c r="AX19" i="12"/>
  <c r="AX21" i="16"/>
  <c r="AX50" i="13"/>
  <c r="AX48" i="16"/>
  <c r="AX20" i="19"/>
  <c r="AX21" i="14"/>
  <c r="AX20" i="16"/>
  <c r="AX46" i="13"/>
  <c r="AX20" i="15"/>
  <c r="AX47" i="15"/>
  <c r="AX49" i="11"/>
  <c r="AX46" i="11"/>
  <c r="AX49" i="16"/>
  <c r="AX48" i="19"/>
  <c r="AX51" i="12"/>
  <c r="AX51" i="16"/>
  <c r="AX20" i="14"/>
  <c r="AX47" i="11"/>
  <c r="AX47" i="13"/>
  <c r="AX49" i="13"/>
  <c r="AX48" i="12"/>
  <c r="AX19" i="14"/>
  <c r="AX50" i="12"/>
  <c r="AX47" i="14"/>
  <c r="AX46" i="16"/>
  <c r="AX21" i="12"/>
  <c r="AX46" i="14"/>
  <c r="AX48" i="14"/>
  <c r="AX20" i="11"/>
  <c r="AX50" i="15"/>
  <c r="AX48" i="15"/>
  <c r="AL44" i="19"/>
  <c r="AL29" i="19"/>
  <c r="AL27" i="16"/>
  <c r="AL64" i="11"/>
  <c r="AL43" i="16"/>
  <c r="AL36" i="11"/>
  <c r="AL45" i="11"/>
  <c r="AL40" i="16"/>
  <c r="AL39" i="11"/>
  <c r="AL27" i="12"/>
  <c r="AL64" i="14"/>
  <c r="AL56" i="13"/>
  <c r="AL44" i="15"/>
  <c r="AL35" i="15"/>
  <c r="AL26" i="16"/>
  <c r="AL59" i="13"/>
  <c r="AL43" i="11"/>
  <c r="AL27" i="19"/>
  <c r="AL32" i="19"/>
  <c r="AL30" i="19"/>
  <c r="AL54" i="19"/>
  <c r="AL33" i="19"/>
  <c r="AL31" i="19"/>
  <c r="AL59" i="15"/>
  <c r="AL61" i="11"/>
  <c r="AL62" i="15"/>
  <c r="AL42" i="14"/>
  <c r="AL25" i="13"/>
  <c r="AL43" i="12"/>
  <c r="AL37" i="16"/>
  <c r="AL25" i="15"/>
  <c r="AL40" i="14"/>
  <c r="AL61" i="15"/>
  <c r="AL61" i="13"/>
  <c r="AL39" i="15"/>
  <c r="AL53" i="14"/>
  <c r="AL28" i="13"/>
  <c r="AL28" i="16"/>
  <c r="AL59" i="14"/>
  <c r="AL37" i="19"/>
  <c r="AL41" i="12"/>
  <c r="AL32" i="16"/>
  <c r="AL63" i="14"/>
  <c r="AL33" i="13"/>
  <c r="AL33" i="14"/>
  <c r="AL62" i="16"/>
  <c r="AL56" i="15"/>
  <c r="AL57" i="12"/>
  <c r="AL30" i="15"/>
  <c r="AL28" i="14"/>
  <c r="AL34" i="14"/>
  <c r="AL26" i="11"/>
  <c r="AL25" i="16"/>
  <c r="AL55" i="15"/>
  <c r="AL44" i="14"/>
  <c r="AL40" i="15"/>
  <c r="AL45" i="19"/>
  <c r="AL55" i="19"/>
  <c r="AL41" i="19"/>
  <c r="AL63" i="19"/>
  <c r="AL35" i="11"/>
  <c r="AL30" i="11"/>
  <c r="AL41" i="11"/>
  <c r="AL30" i="16"/>
  <c r="AL35" i="14"/>
  <c r="AL57" i="15"/>
  <c r="AL60" i="13"/>
  <c r="AL44" i="13"/>
  <c r="AL28" i="15"/>
  <c r="AL57" i="16"/>
  <c r="AL63" i="13"/>
  <c r="AL39" i="14"/>
  <c r="AL27" i="14"/>
  <c r="AL52" i="15"/>
  <c r="AL54" i="15"/>
  <c r="AL53" i="19"/>
  <c r="AL39" i="19"/>
  <c r="AL59" i="19"/>
  <c r="AL38" i="19"/>
  <c r="AL54" i="13"/>
  <c r="AL62" i="11"/>
  <c r="AL29" i="15"/>
  <c r="AL39" i="16"/>
  <c r="AL59" i="11"/>
  <c r="AL55" i="14"/>
  <c r="AL39" i="13"/>
  <c r="AL53" i="16"/>
  <c r="AL40" i="13"/>
  <c r="AL33" i="12"/>
  <c r="AL36" i="15"/>
  <c r="AL52" i="13"/>
  <c r="AL56" i="14"/>
  <c r="AL56" i="19"/>
  <c r="AL40" i="19"/>
  <c r="AL28" i="12"/>
  <c r="AL42" i="11"/>
  <c r="AL55" i="11"/>
  <c r="AL64" i="15"/>
  <c r="AL60" i="12"/>
  <c r="AL64" i="13"/>
  <c r="AL26" i="12"/>
  <c r="AL45" i="15"/>
  <c r="AL29" i="14"/>
  <c r="AL31" i="15"/>
  <c r="AL55" i="16"/>
  <c r="AL41" i="15"/>
  <c r="AL26" i="19"/>
  <c r="AL36" i="19"/>
  <c r="AL63" i="12"/>
  <c r="AL56" i="16"/>
  <c r="AL54" i="11"/>
  <c r="AL31" i="11"/>
  <c r="AL26" i="13"/>
  <c r="AL56" i="11"/>
  <c r="AL34" i="15"/>
  <c r="AL33" i="11"/>
  <c r="AL43" i="13"/>
  <c r="AL37" i="12"/>
  <c r="AL42" i="13"/>
  <c r="AL52" i="16"/>
  <c r="AL61" i="12"/>
  <c r="AL59" i="16"/>
  <c r="AL35" i="13"/>
  <c r="AL56" i="12"/>
  <c r="AL29" i="12"/>
  <c r="AL32" i="12"/>
  <c r="AL57" i="14"/>
  <c r="AL45" i="13"/>
  <c r="AL29" i="16"/>
  <c r="AL52" i="19"/>
  <c r="AL34" i="19"/>
  <c r="AL28" i="19"/>
  <c r="AL43" i="19"/>
  <c r="AL31" i="16"/>
  <c r="AL38" i="15"/>
  <c r="AL32" i="13"/>
  <c r="AL43" i="14"/>
  <c r="AL30" i="12"/>
  <c r="AL34" i="11"/>
  <c r="AL63" i="15"/>
  <c r="AL42" i="16"/>
  <c r="AL31" i="13"/>
  <c r="AL64" i="12"/>
  <c r="AL36" i="13"/>
  <c r="AL38" i="14"/>
  <c r="AL25" i="11"/>
  <c r="AL53" i="13"/>
  <c r="AL34" i="13"/>
  <c r="AL60" i="19"/>
  <c r="AL57" i="11"/>
  <c r="AL40" i="11"/>
  <c r="AL52" i="11"/>
  <c r="AL60" i="11"/>
  <c r="AL38" i="11"/>
  <c r="AL36" i="16"/>
  <c r="AL42" i="15"/>
  <c r="AL30" i="14"/>
  <c r="AL29" i="13"/>
  <c r="AL60" i="14"/>
  <c r="AL41" i="13"/>
  <c r="AL33" i="16"/>
  <c r="AL34" i="12"/>
  <c r="AL36" i="14"/>
  <c r="AL42" i="12"/>
  <c r="AL64" i="16"/>
  <c r="AL61" i="14"/>
  <c r="AL45" i="14"/>
  <c r="AL53" i="15"/>
  <c r="AL64" i="19"/>
  <c r="AL62" i="19"/>
  <c r="AL25" i="19"/>
  <c r="AL62" i="13"/>
  <c r="AL44" i="11"/>
  <c r="AL37" i="11"/>
  <c r="AL44" i="16"/>
  <c r="AL28" i="11"/>
  <c r="AL35" i="12"/>
  <c r="AL34" i="16"/>
  <c r="AL27" i="15"/>
  <c r="AL54" i="16"/>
  <c r="AL32" i="15"/>
  <c r="AL32" i="14"/>
  <c r="AL26" i="15"/>
  <c r="AL63" i="16"/>
  <c r="AL25" i="14"/>
  <c r="AL45" i="12"/>
  <c r="AL38" i="12"/>
  <c r="AL52" i="12"/>
  <c r="AL38" i="13"/>
  <c r="AL53" i="12"/>
  <c r="AL62" i="14"/>
  <c r="AL54" i="12"/>
  <c r="AL38" i="16"/>
  <c r="AL39" i="12"/>
  <c r="AL37" i="15"/>
  <c r="AL31" i="14"/>
  <c r="AL37" i="14"/>
  <c r="AL41" i="16"/>
  <c r="AL54" i="14"/>
  <c r="AL32" i="11"/>
  <c r="AL29" i="11"/>
  <c r="AL40" i="12"/>
  <c r="AL60" i="16"/>
  <c r="AL33" i="15"/>
  <c r="AL55" i="13"/>
  <c r="AL53" i="11"/>
  <c r="AL31" i="12"/>
  <c r="AL52" i="14"/>
  <c r="AL35" i="16"/>
  <c r="AL30" i="13"/>
  <c r="AL42" i="19"/>
  <c r="AL57" i="19"/>
  <c r="AL61" i="19"/>
  <c r="AL35" i="19"/>
  <c r="AL27" i="11"/>
  <c r="AL44" i="12"/>
  <c r="AL63" i="11"/>
  <c r="AL25" i="12"/>
  <c r="AL43" i="15"/>
  <c r="AL36" i="12"/>
  <c r="AL59" i="12"/>
  <c r="AL41" i="14"/>
  <c r="AL27" i="13"/>
  <c r="AL37" i="13"/>
  <c r="AL61" i="16"/>
  <c r="AL55" i="12"/>
  <c r="AL45" i="16"/>
  <c r="AL26" i="14"/>
  <c r="AL60" i="15"/>
  <c r="AL62" i="12"/>
  <c r="AL57" i="13"/>
  <c r="AX44" i="19"/>
  <c r="AX37" i="19"/>
  <c r="AX40" i="11"/>
  <c r="AX33" i="11"/>
  <c r="AX38" i="15"/>
  <c r="AX41" i="14"/>
  <c r="AX62" i="11"/>
  <c r="AX27" i="12"/>
  <c r="AX56" i="15"/>
  <c r="AX42" i="12"/>
  <c r="AX39" i="14"/>
  <c r="AX59" i="14"/>
  <c r="AX27" i="15"/>
  <c r="AX26" i="12"/>
  <c r="AX37" i="15"/>
  <c r="AX42" i="16"/>
  <c r="AX57" i="19"/>
  <c r="AX38" i="19"/>
  <c r="AX64" i="19"/>
  <c r="AX25" i="11"/>
  <c r="AX52" i="14"/>
  <c r="AX25" i="15"/>
  <c r="AX33" i="13"/>
  <c r="AX41" i="12"/>
  <c r="AX55" i="11"/>
  <c r="AX32" i="11"/>
  <c r="AX34" i="11"/>
  <c r="AX61" i="15"/>
  <c r="AX40" i="12"/>
  <c r="AX33" i="14"/>
  <c r="AX35" i="13"/>
  <c r="AX55" i="19"/>
  <c r="AX25" i="19"/>
  <c r="AX32" i="19"/>
  <c r="AX43" i="19"/>
  <c r="AX25" i="12"/>
  <c r="AX41" i="15"/>
  <c r="AX35" i="15"/>
  <c r="AX45" i="12"/>
  <c r="AX61" i="11"/>
  <c r="AX55" i="14"/>
  <c r="AX28" i="15"/>
  <c r="AX30" i="16"/>
  <c r="AX31" i="15"/>
  <c r="AX39" i="15"/>
  <c r="AX55" i="16"/>
  <c r="AX44" i="12"/>
  <c r="AX57" i="11"/>
  <c r="AX34" i="14"/>
  <c r="AX33" i="19"/>
  <c r="AX29" i="19"/>
  <c r="AX39" i="19"/>
  <c r="AX56" i="19"/>
  <c r="AX31" i="19"/>
  <c r="AX60" i="19"/>
  <c r="AX30" i="15"/>
  <c r="AX34" i="12"/>
  <c r="AX29" i="11"/>
  <c r="AX34" i="15"/>
  <c r="AX39" i="13"/>
  <c r="AX37" i="13"/>
  <c r="AX63" i="15"/>
  <c r="AX40" i="15"/>
  <c r="AX60" i="14"/>
  <c r="AX43" i="12"/>
  <c r="AX26" i="11"/>
  <c r="AX25" i="14"/>
  <c r="AX39" i="12"/>
  <c r="AX55" i="12"/>
  <c r="AX52" i="15"/>
  <c r="AX29" i="16"/>
  <c r="AX53" i="13"/>
  <c r="AX53" i="16"/>
  <c r="AX62" i="19"/>
  <c r="AX42" i="11"/>
  <c r="AX57" i="12"/>
  <c r="AX32" i="15"/>
  <c r="AX28" i="11"/>
  <c r="AX29" i="15"/>
  <c r="AX60" i="12"/>
  <c r="AX27" i="13"/>
  <c r="AX30" i="11"/>
  <c r="AX36" i="12"/>
  <c r="AX31" i="12"/>
  <c r="AX28" i="13"/>
  <c r="AX56" i="12"/>
  <c r="AX55" i="13"/>
  <c r="AX41" i="11"/>
  <c r="AX54" i="12"/>
  <c r="AX33" i="15"/>
  <c r="AX45" i="15"/>
  <c r="AX29" i="14"/>
  <c r="AX45" i="16"/>
  <c r="AX45" i="19"/>
  <c r="AX53" i="19"/>
  <c r="AX53" i="15"/>
  <c r="AX27" i="16"/>
  <c r="AX26" i="14"/>
  <c r="AX31" i="13"/>
  <c r="AX61" i="12"/>
  <c r="AX35" i="12"/>
  <c r="AX26" i="15"/>
  <c r="AX57" i="15"/>
  <c r="AX40" i="16"/>
  <c r="AX64" i="15"/>
  <c r="AX64" i="12"/>
  <c r="AX43" i="11"/>
  <c r="AX39" i="16"/>
  <c r="AX61" i="13"/>
  <c r="AX30" i="12"/>
  <c r="AX59" i="12"/>
  <c r="AX39" i="11"/>
  <c r="AX35" i="19"/>
  <c r="AX34" i="13"/>
  <c r="AX59" i="16"/>
  <c r="AX44" i="13"/>
  <c r="AX31" i="11"/>
  <c r="AX43" i="15"/>
  <c r="AX31" i="16"/>
  <c r="AX42" i="15"/>
  <c r="AX59" i="15"/>
  <c r="AX26" i="16"/>
  <c r="AX62" i="15"/>
  <c r="AX62" i="12"/>
  <c r="AX41" i="13"/>
  <c r="AX31" i="14"/>
  <c r="AX45" i="11"/>
  <c r="AX30" i="13"/>
  <c r="AX35" i="11"/>
  <c r="AX54" i="11"/>
  <c r="AX32" i="13"/>
  <c r="AX55" i="15"/>
  <c r="AX60" i="13"/>
  <c r="AX56" i="13"/>
  <c r="AX40" i="14"/>
  <c r="AX59" i="11"/>
  <c r="AX60" i="15"/>
  <c r="AX30" i="19"/>
  <c r="AX45" i="13"/>
  <c r="AX38" i="11"/>
  <c r="AX27" i="14"/>
  <c r="AX36" i="13"/>
  <c r="AX40" i="13"/>
  <c r="AX36" i="14"/>
  <c r="AX44" i="16"/>
  <c r="AX34" i="19"/>
  <c r="AX59" i="19"/>
  <c r="AX32" i="16"/>
  <c r="AX43" i="13"/>
  <c r="AX37" i="14"/>
  <c r="AX29" i="13"/>
  <c r="AX64" i="13"/>
  <c r="AX43" i="14"/>
  <c r="AX52" i="13"/>
  <c r="AX35" i="16"/>
  <c r="AX27" i="11"/>
  <c r="AX33" i="12"/>
  <c r="AX33" i="16"/>
  <c r="AX43" i="16"/>
  <c r="AX62" i="13"/>
  <c r="AX62" i="14"/>
  <c r="AX44" i="15"/>
  <c r="AX52" i="12"/>
  <c r="AX57" i="13"/>
  <c r="AX34" i="16"/>
  <c r="AX52" i="19"/>
  <c r="AX36" i="19"/>
  <c r="AX63" i="19"/>
  <c r="AX26" i="19"/>
  <c r="AX54" i="13"/>
  <c r="AX64" i="14"/>
  <c r="AX28" i="16"/>
  <c r="AX57" i="14"/>
  <c r="AX44" i="11"/>
  <c r="AX52" i="16"/>
  <c r="AX37" i="12"/>
  <c r="AX36" i="16"/>
  <c r="AX60" i="16"/>
  <c r="AX25" i="16"/>
  <c r="AX42" i="13"/>
  <c r="AX56" i="14"/>
  <c r="AX63" i="11"/>
  <c r="AX53" i="14"/>
  <c r="AX38" i="14"/>
  <c r="AX56" i="16"/>
  <c r="AX61" i="14"/>
  <c r="AX57" i="16"/>
  <c r="AX32" i="12"/>
  <c r="AX61" i="19"/>
  <c r="AX40" i="19"/>
  <c r="AX37" i="11"/>
  <c r="AX59" i="13"/>
  <c r="AX54" i="14"/>
  <c r="AX53" i="11"/>
  <c r="AX29" i="12"/>
  <c r="AX38" i="16"/>
  <c r="AX35" i="14"/>
  <c r="AX64" i="11"/>
  <c r="AX54" i="16"/>
  <c r="AX63" i="13"/>
  <c r="AX63" i="14"/>
  <c r="AX36" i="11"/>
  <c r="AX52" i="11"/>
  <c r="AX28" i="12"/>
  <c r="AX62" i="16"/>
  <c r="AX61" i="16"/>
  <c r="AX56" i="11"/>
  <c r="AX38" i="12"/>
  <c r="AX41" i="16"/>
  <c r="AX63" i="12"/>
  <c r="AX54" i="15"/>
  <c r="AX25" i="13"/>
  <c r="AX38" i="13"/>
  <c r="AX60" i="11"/>
  <c r="AX54" i="19"/>
  <c r="AX28" i="19"/>
  <c r="AX41" i="19"/>
  <c r="AX42" i="19"/>
  <c r="AX27" i="19"/>
  <c r="AX36" i="15"/>
  <c r="AX45" i="14"/>
  <c r="AX28" i="14"/>
  <c r="AX53" i="12"/>
  <c r="AX30" i="14"/>
  <c r="AX42" i="14"/>
  <c r="AX32" i="14"/>
  <c r="AX63" i="16"/>
  <c r="AX44" i="14"/>
  <c r="AX26" i="13"/>
  <c r="AX37" i="16"/>
  <c r="AX64" i="16"/>
  <c r="AZ46" i="19"/>
  <c r="AZ49" i="11"/>
  <c r="AZ48" i="15"/>
  <c r="AZ21" i="13"/>
  <c r="AZ51" i="15"/>
  <c r="AZ20" i="12"/>
  <c r="AZ48" i="11"/>
  <c r="AZ50" i="16"/>
  <c r="AZ20" i="14"/>
  <c r="AZ48" i="13"/>
  <c r="AZ49" i="14"/>
  <c r="AZ50" i="11"/>
  <c r="AZ50" i="15"/>
  <c r="AZ46" i="15"/>
  <c r="AZ47" i="19"/>
  <c r="AZ50" i="19"/>
  <c r="AZ46" i="14"/>
  <c r="AZ46" i="16"/>
  <c r="AZ47" i="14"/>
  <c r="AZ50" i="14"/>
  <c r="AZ19" i="16"/>
  <c r="AZ47" i="13"/>
  <c r="AZ47" i="16"/>
  <c r="AZ46" i="12"/>
  <c r="AZ19" i="19"/>
  <c r="AZ21" i="19"/>
  <c r="AZ50" i="13"/>
  <c r="AZ21" i="15"/>
  <c r="AZ20" i="11"/>
  <c r="AZ21" i="12"/>
  <c r="AZ47" i="11"/>
  <c r="AZ19" i="11"/>
  <c r="AZ20" i="13"/>
  <c r="AZ46" i="11"/>
  <c r="AZ51" i="14"/>
  <c r="AZ21" i="16"/>
  <c r="AZ46" i="13"/>
  <c r="AZ20" i="15"/>
  <c r="AZ19" i="15"/>
  <c r="AZ47" i="15"/>
  <c r="AZ51" i="16"/>
  <c r="AZ51" i="19"/>
  <c r="AZ48" i="19"/>
  <c r="AZ50" i="12"/>
  <c r="AZ47" i="12"/>
  <c r="AZ49" i="16"/>
  <c r="AZ48" i="14"/>
  <c r="AZ48" i="16"/>
  <c r="AZ51" i="13"/>
  <c r="AZ19" i="12"/>
  <c r="AZ51" i="11"/>
  <c r="AZ21" i="11"/>
  <c r="AZ49" i="15"/>
  <c r="AZ19" i="13"/>
  <c r="AZ20" i="16"/>
  <c r="AZ49" i="13"/>
  <c r="AZ48" i="12"/>
  <c r="AZ20" i="19"/>
  <c r="AZ19" i="14"/>
  <c r="AZ51" i="12"/>
  <c r="AZ21" i="14"/>
  <c r="AN35" i="12"/>
  <c r="AN55" i="12"/>
  <c r="AN37" i="16"/>
  <c r="AN30" i="13"/>
  <c r="AN40" i="15"/>
  <c r="AN55" i="14"/>
  <c r="AN52" i="13"/>
  <c r="AN34" i="19"/>
  <c r="AN63" i="13"/>
  <c r="AN32" i="16"/>
  <c r="AN52" i="19"/>
  <c r="AN35" i="14"/>
  <c r="AN37" i="12"/>
  <c r="AN59" i="11"/>
  <c r="AN27" i="13"/>
  <c r="AN52" i="12"/>
  <c r="AN36" i="11"/>
  <c r="AN45" i="12"/>
  <c r="AN63" i="16"/>
  <c r="AN43" i="11"/>
  <c r="AN45" i="15"/>
  <c r="AN36" i="14"/>
  <c r="AN27" i="16"/>
  <c r="AN44" i="12"/>
  <c r="AN52" i="14"/>
  <c r="AN64" i="16"/>
  <c r="AN60" i="19"/>
  <c r="AN64" i="19"/>
  <c r="AN26" i="12"/>
  <c r="AN59" i="16"/>
  <c r="AN39" i="11"/>
  <c r="AN54" i="11"/>
  <c r="AN32" i="14"/>
  <c r="AN25" i="13"/>
  <c r="AN40" i="11"/>
  <c r="AN57" i="14"/>
  <c r="AN25" i="15"/>
  <c r="AN53" i="13"/>
  <c r="AN63" i="12"/>
  <c r="AN31" i="12"/>
  <c r="AN57" i="13"/>
  <c r="AN60" i="12"/>
  <c r="AN56" i="15"/>
  <c r="AN62" i="14"/>
  <c r="AN40" i="19"/>
  <c r="AN64" i="14"/>
  <c r="AN54" i="16"/>
  <c r="AN33" i="15"/>
  <c r="AN38" i="14"/>
  <c r="AN59" i="19"/>
  <c r="AN56" i="19"/>
  <c r="AN30" i="11"/>
  <c r="AN59" i="14"/>
  <c r="AN40" i="16"/>
  <c r="AN35" i="11"/>
  <c r="AN33" i="11"/>
  <c r="AN30" i="14"/>
  <c r="AN43" i="14"/>
  <c r="AN62" i="11"/>
  <c r="AN34" i="15"/>
  <c r="AN40" i="12"/>
  <c r="AN28" i="13"/>
  <c r="AN54" i="14"/>
  <c r="AN53" i="16"/>
  <c r="AN61" i="12"/>
  <c r="AN43" i="13"/>
  <c r="AN38" i="11"/>
  <c r="AN26" i="16"/>
  <c r="AN33" i="14"/>
  <c r="AN64" i="11"/>
  <c r="AN34" i="11"/>
  <c r="AN32" i="12"/>
  <c r="AN38" i="15"/>
  <c r="AN35" i="16"/>
  <c r="AN28" i="15"/>
  <c r="AN62" i="12"/>
  <c r="AN26" i="15"/>
  <c r="AN63" i="14"/>
  <c r="AN39" i="13"/>
  <c r="AN25" i="16"/>
  <c r="AN43" i="15"/>
  <c r="AN30" i="12"/>
  <c r="AN31" i="14"/>
  <c r="AN39" i="16"/>
  <c r="AN29" i="14"/>
  <c r="AN27" i="12"/>
  <c r="AN33" i="19"/>
  <c r="AN27" i="19"/>
  <c r="AN35" i="19"/>
  <c r="AN44" i="19"/>
  <c r="AN54" i="19"/>
  <c r="AN45" i="11"/>
  <c r="AN32" i="13"/>
  <c r="AN29" i="15"/>
  <c r="AN37" i="13"/>
  <c r="AN42" i="13"/>
  <c r="AN28" i="11"/>
  <c r="AN36" i="12"/>
  <c r="AN38" i="12"/>
  <c r="AN33" i="12"/>
  <c r="AN60" i="16"/>
  <c r="AN28" i="14"/>
  <c r="AN26" i="14"/>
  <c r="AN59" i="12"/>
  <c r="AN45" i="16"/>
  <c r="AN57" i="15"/>
  <c r="AN41" i="13"/>
  <c r="AN38" i="13"/>
  <c r="AN44" i="16"/>
  <c r="AN37" i="19"/>
  <c r="AN34" i="16"/>
  <c r="AN59" i="15"/>
  <c r="AN44" i="15"/>
  <c r="AN39" i="12"/>
  <c r="AN28" i="16"/>
  <c r="AN41" i="12"/>
  <c r="AN44" i="13"/>
  <c r="AN26" i="13"/>
  <c r="AN59" i="13"/>
  <c r="AN31" i="16"/>
  <c r="AN28" i="19"/>
  <c r="AN43" i="19"/>
  <c r="AN26" i="19"/>
  <c r="AN41" i="19"/>
  <c r="AN57" i="11"/>
  <c r="AN42" i="14"/>
  <c r="AN36" i="16"/>
  <c r="AN54" i="12"/>
  <c r="AN56" i="13"/>
  <c r="AN61" i="16"/>
  <c r="AN57" i="16"/>
  <c r="AN52" i="15"/>
  <c r="AN25" i="14"/>
  <c r="AN43" i="12"/>
  <c r="AN43" i="16"/>
  <c r="AN53" i="14"/>
  <c r="AN29" i="16"/>
  <c r="AN38" i="16"/>
  <c r="AN27" i="15"/>
  <c r="AN35" i="13"/>
  <c r="AN41" i="16"/>
  <c r="AN32" i="19"/>
  <c r="AN36" i="19"/>
  <c r="AN25" i="19"/>
  <c r="AN63" i="19"/>
  <c r="AN42" i="19"/>
  <c r="AN53" i="15"/>
  <c r="AN30" i="15"/>
  <c r="AN52" i="11"/>
  <c r="AN27" i="11"/>
  <c r="AN29" i="11"/>
  <c r="AN27" i="14"/>
  <c r="AN30" i="16"/>
  <c r="AN29" i="19"/>
  <c r="AN62" i="13"/>
  <c r="AN35" i="15"/>
  <c r="AN40" i="14"/>
  <c r="AN34" i="14"/>
  <c r="AN28" i="12"/>
  <c r="AN56" i="12"/>
  <c r="AN41" i="14"/>
  <c r="AN36" i="13"/>
  <c r="AN57" i="12"/>
  <c r="AN52" i="16"/>
  <c r="AN57" i="19"/>
  <c r="AN25" i="12"/>
  <c r="AN45" i="14"/>
  <c r="AN39" i="19"/>
  <c r="AN38" i="19"/>
  <c r="AN32" i="11"/>
  <c r="AN61" i="14"/>
  <c r="AN37" i="15"/>
  <c r="AN42" i="16"/>
  <c r="AN55" i="15"/>
  <c r="AN42" i="15"/>
  <c r="AN44" i="14"/>
  <c r="AN41" i="11"/>
  <c r="AN42" i="12"/>
  <c r="AN61" i="11"/>
  <c r="AN60" i="13"/>
  <c r="AN29" i="12"/>
  <c r="AN33" i="13"/>
  <c r="AN56" i="16"/>
  <c r="AN36" i="15"/>
  <c r="AN45" i="13"/>
  <c r="AN41" i="15"/>
  <c r="AN29" i="13"/>
  <c r="AN54" i="15"/>
  <c r="AN30" i="19"/>
  <c r="AN53" i="19"/>
  <c r="AN63" i="11"/>
  <c r="AN40" i="13"/>
  <c r="AN31" i="11"/>
  <c r="AN60" i="14"/>
  <c r="AN62" i="15"/>
  <c r="AN32" i="15"/>
  <c r="AN62" i="16"/>
  <c r="AN34" i="12"/>
  <c r="AN54" i="13"/>
  <c r="AN33" i="16"/>
  <c r="AN53" i="12"/>
  <c r="AN39" i="14"/>
  <c r="AN37" i="14"/>
  <c r="AN62" i="19"/>
  <c r="AN31" i="19"/>
  <c r="AN45" i="19"/>
  <c r="AN26" i="11"/>
  <c r="AN63" i="15"/>
  <c r="AN34" i="13"/>
  <c r="AN55" i="11"/>
  <c r="AN42" i="11"/>
  <c r="AN56" i="14"/>
  <c r="AN39" i="15"/>
  <c r="AN44" i="11"/>
  <c r="AN31" i="13"/>
  <c r="AN64" i="15"/>
  <c r="AN60" i="15"/>
  <c r="AN31" i="15"/>
  <c r="AN55" i="19"/>
  <c r="AN61" i="19"/>
  <c r="AN37" i="11"/>
  <c r="AN60" i="11"/>
  <c r="AN64" i="13"/>
  <c r="AN25" i="11"/>
  <c r="AN64" i="12"/>
  <c r="AN61" i="13"/>
  <c r="AN56" i="11"/>
  <c r="AN53" i="11"/>
  <c r="AN55" i="13"/>
  <c r="AN55" i="16"/>
  <c r="AN61" i="15"/>
  <c r="AZ34" i="19"/>
  <c r="AZ41" i="19"/>
  <c r="AZ32" i="19"/>
  <c r="AZ62" i="14"/>
  <c r="AZ39" i="11"/>
  <c r="AZ40" i="11"/>
  <c r="AZ63" i="11"/>
  <c r="AZ40" i="16"/>
  <c r="AZ39" i="15"/>
  <c r="AZ62" i="13"/>
  <c r="AZ63" i="15"/>
  <c r="AZ44" i="16"/>
  <c r="AZ28" i="15"/>
  <c r="AZ29" i="12"/>
  <c r="AZ45" i="13"/>
  <c r="AZ34" i="16"/>
  <c r="AZ64" i="12"/>
  <c r="AZ55" i="14"/>
  <c r="AZ40" i="19"/>
  <c r="AZ28" i="19"/>
  <c r="AZ62" i="19"/>
  <c r="AZ59" i="11"/>
  <c r="AZ32" i="12"/>
  <c r="AZ42" i="15"/>
  <c r="AZ45" i="11"/>
  <c r="AZ29" i="11"/>
  <c r="AZ54" i="11"/>
  <c r="AZ25" i="13"/>
  <c r="AZ42" i="16"/>
  <c r="AZ32" i="13"/>
  <c r="AZ41" i="15"/>
  <c r="AZ59" i="12"/>
  <c r="AZ41" i="16"/>
  <c r="AZ63" i="16"/>
  <c r="AZ29" i="14"/>
  <c r="AZ43" i="16"/>
  <c r="AZ38" i="15"/>
  <c r="AZ57" i="15"/>
  <c r="AZ54" i="14"/>
  <c r="AZ26" i="12"/>
  <c r="AZ55" i="15"/>
  <c r="AZ37" i="19"/>
  <c r="AZ63" i="19"/>
  <c r="AZ44" i="19"/>
  <c r="AZ34" i="11"/>
  <c r="AZ60" i="11"/>
  <c r="AZ27" i="11"/>
  <c r="AZ35" i="13"/>
  <c r="AZ63" i="13"/>
  <c r="AZ33" i="12"/>
  <c r="AZ35" i="16"/>
  <c r="AZ38" i="16"/>
  <c r="AZ55" i="13"/>
  <c r="AZ55" i="16"/>
  <c r="AZ60" i="12"/>
  <c r="AZ36" i="13"/>
  <c r="AZ44" i="11"/>
  <c r="AZ33" i="19"/>
  <c r="AZ55" i="19"/>
  <c r="AZ31" i="14"/>
  <c r="AZ38" i="14"/>
  <c r="AZ61" i="14"/>
  <c r="AZ28" i="14"/>
  <c r="AZ61" i="12"/>
  <c r="AZ52" i="16"/>
  <c r="AZ60" i="16"/>
  <c r="AZ28" i="16"/>
  <c r="AZ28" i="12"/>
  <c r="AZ35" i="14"/>
  <c r="AZ40" i="13"/>
  <c r="AZ31" i="13"/>
  <c r="AZ39" i="13"/>
  <c r="AZ54" i="16"/>
  <c r="AZ52" i="15"/>
  <c r="AZ27" i="15"/>
  <c r="AZ43" i="12"/>
  <c r="AZ39" i="19"/>
  <c r="AZ25" i="19"/>
  <c r="AZ38" i="19"/>
  <c r="AZ37" i="11"/>
  <c r="AZ61" i="15"/>
  <c r="AZ45" i="12"/>
  <c r="AZ29" i="15"/>
  <c r="AZ59" i="14"/>
  <c r="AZ41" i="12"/>
  <c r="AZ59" i="16"/>
  <c r="AZ56" i="13"/>
  <c r="AZ26" i="15"/>
  <c r="AZ43" i="15"/>
  <c r="AZ53" i="15"/>
  <c r="AZ32" i="16"/>
  <c r="AZ26" i="19"/>
  <c r="AZ52" i="19"/>
  <c r="AZ54" i="19"/>
  <c r="AZ26" i="11"/>
  <c r="AZ41" i="11"/>
  <c r="AZ37" i="14"/>
  <c r="AZ53" i="13"/>
  <c r="AZ25" i="11"/>
  <c r="AZ27" i="12"/>
  <c r="AZ37" i="12"/>
  <c r="AZ53" i="12"/>
  <c r="AZ64" i="13"/>
  <c r="AZ29" i="13"/>
  <c r="AZ31" i="15"/>
  <c r="AZ35" i="11"/>
  <c r="AZ25" i="12"/>
  <c r="AZ39" i="12"/>
  <c r="AZ32" i="15"/>
  <c r="AZ36" i="14"/>
  <c r="AZ33" i="16"/>
  <c r="AZ39" i="14"/>
  <c r="AZ54" i="13"/>
  <c r="AZ33" i="11"/>
  <c r="AZ61" i="13"/>
  <c r="AZ31" i="11"/>
  <c r="AZ43" i="11"/>
  <c r="AZ37" i="16"/>
  <c r="AZ42" i="14"/>
  <c r="AZ42" i="12"/>
  <c r="AZ57" i="14"/>
  <c r="AZ26" i="13"/>
  <c r="AZ44" i="12"/>
  <c r="AZ44" i="15"/>
  <c r="AZ31" i="12"/>
  <c r="AZ37" i="15"/>
  <c r="AZ36" i="16"/>
  <c r="AZ29" i="16"/>
  <c r="AZ42" i="19"/>
  <c r="AZ35" i="19"/>
  <c r="AZ31" i="19"/>
  <c r="AZ42" i="11"/>
  <c r="AZ64" i="15"/>
  <c r="AZ60" i="13"/>
  <c r="AZ32" i="14"/>
  <c r="AZ31" i="16"/>
  <c r="AZ30" i="16"/>
  <c r="AZ38" i="12"/>
  <c r="AZ53" i="16"/>
  <c r="AZ28" i="13"/>
  <c r="AZ40" i="15"/>
  <c r="AZ45" i="16"/>
  <c r="AZ44" i="13"/>
  <c r="AZ53" i="19"/>
  <c r="AZ38" i="11"/>
  <c r="AZ55" i="11"/>
  <c r="AZ62" i="15"/>
  <c r="AZ56" i="16"/>
  <c r="AZ61" i="11"/>
  <c r="AZ38" i="13"/>
  <c r="AZ57" i="13"/>
  <c r="AZ36" i="11"/>
  <c r="AZ35" i="15"/>
  <c r="AZ60" i="15"/>
  <c r="AZ45" i="14"/>
  <c r="AZ56" i="12"/>
  <c r="AZ59" i="13"/>
  <c r="AZ33" i="15"/>
  <c r="AZ40" i="12"/>
  <c r="AZ53" i="14"/>
  <c r="AZ52" i="13"/>
  <c r="AZ59" i="15"/>
  <c r="AZ57" i="16"/>
  <c r="AZ30" i="14"/>
  <c r="AZ34" i="15"/>
  <c r="AZ26" i="16"/>
  <c r="AZ63" i="14"/>
  <c r="AZ41" i="14"/>
  <c r="AZ45" i="19"/>
  <c r="AZ29" i="19"/>
  <c r="AZ60" i="19"/>
  <c r="AZ33" i="13"/>
  <c r="AZ27" i="14"/>
  <c r="AZ35" i="12"/>
  <c r="AZ33" i="14"/>
  <c r="AZ32" i="11"/>
  <c r="AZ64" i="11"/>
  <c r="AZ44" i="14"/>
  <c r="AZ41" i="13"/>
  <c r="AZ36" i="15"/>
  <c r="AZ39" i="16"/>
  <c r="AZ40" i="14"/>
  <c r="AZ62" i="12"/>
  <c r="AZ37" i="13"/>
  <c r="AZ34" i="12"/>
  <c r="AZ61" i="16"/>
  <c r="AZ43" i="14"/>
  <c r="AZ25" i="16"/>
  <c r="AZ52" i="14"/>
  <c r="AZ54" i="12"/>
  <c r="AZ60" i="14"/>
  <c r="AZ34" i="14"/>
  <c r="AZ61" i="19"/>
  <c r="AZ57" i="19"/>
  <c r="AZ36" i="19"/>
  <c r="AZ56" i="11"/>
  <c r="AZ43" i="13"/>
  <c r="AZ52" i="11"/>
  <c r="AZ62" i="11"/>
  <c r="AZ45" i="15"/>
  <c r="AZ62" i="16"/>
  <c r="AZ25" i="15"/>
  <c r="AZ56" i="15"/>
  <c r="AZ64" i="16"/>
  <c r="AZ26" i="14"/>
  <c r="AZ25" i="14"/>
  <c r="AZ30" i="12"/>
  <c r="AZ54" i="15"/>
  <c r="AZ59" i="19"/>
  <c r="AZ43" i="19"/>
  <c r="AZ30" i="19"/>
  <c r="AZ27" i="19"/>
  <c r="AZ64" i="19"/>
  <c r="AZ56" i="19"/>
  <c r="AZ53" i="11"/>
  <c r="AZ30" i="11"/>
  <c r="AZ55" i="12"/>
  <c r="AZ42" i="13"/>
  <c r="AZ28" i="11"/>
  <c r="AZ57" i="11"/>
  <c r="AZ34" i="13"/>
  <c r="AZ52" i="12"/>
  <c r="AZ36" i="12"/>
  <c r="AZ63" i="12"/>
  <c r="AZ27" i="16"/>
  <c r="AZ30" i="13"/>
  <c r="AZ56" i="14"/>
  <c r="AZ30" i="15"/>
  <c r="AZ64" i="14"/>
  <c r="AZ27" i="13"/>
  <c r="AZ57" i="12"/>
  <c r="BA47" i="19"/>
  <c r="BA51" i="19"/>
  <c r="BA50" i="15"/>
  <c r="BA51" i="13"/>
  <c r="BA21" i="13"/>
  <c r="BA49" i="15"/>
  <c r="BA46" i="16"/>
  <c r="BA50" i="12"/>
  <c r="BA46" i="15"/>
  <c r="BA50" i="16"/>
  <c r="BA19" i="11"/>
  <c r="BA21" i="15"/>
  <c r="BA49" i="13"/>
  <c r="BA47" i="12"/>
  <c r="BA19" i="12"/>
  <c r="BA46" i="11"/>
  <c r="BA21" i="14"/>
  <c r="BA50" i="13"/>
  <c r="BA51" i="12"/>
  <c r="BA48" i="12"/>
  <c r="BA49" i="14"/>
  <c r="BA20" i="16"/>
  <c r="BA19" i="19"/>
  <c r="BA20" i="19"/>
  <c r="BA48" i="11"/>
  <c r="BA20" i="12"/>
  <c r="BA19" i="16"/>
  <c r="BA50" i="14"/>
  <c r="BA21" i="12"/>
  <c r="BA20" i="15"/>
  <c r="BA46" i="19"/>
  <c r="BA50" i="11"/>
  <c r="BA21" i="16"/>
  <c r="BA48" i="15"/>
  <c r="BA48" i="14"/>
  <c r="BA51" i="15"/>
  <c r="BA46" i="13"/>
  <c r="BA21" i="11"/>
  <c r="BA47" i="15"/>
  <c r="BA19" i="13"/>
  <c r="BA48" i="16"/>
  <c r="BA19" i="15"/>
  <c r="BA49" i="16"/>
  <c r="BA20" i="11"/>
  <c r="BA47" i="11"/>
  <c r="BA47" i="14"/>
  <c r="BA46" i="12"/>
  <c r="BA20" i="13"/>
  <c r="BA21" i="19"/>
  <c r="BA50" i="19"/>
  <c r="BA19" i="14"/>
  <c r="BA46" i="14"/>
  <c r="BA51" i="16"/>
  <c r="BA47" i="13"/>
  <c r="BA20" i="14"/>
  <c r="BA48" i="13"/>
  <c r="BA48" i="19"/>
  <c r="BA49" i="11"/>
  <c r="BA51" i="11"/>
  <c r="BA51" i="14"/>
  <c r="BA47" i="16"/>
  <c r="AO59" i="19"/>
  <c r="AO27" i="19"/>
  <c r="AO27" i="16"/>
  <c r="AO38" i="11"/>
  <c r="AO52" i="15"/>
  <c r="AO34" i="13"/>
  <c r="AO61" i="12"/>
  <c r="AO29" i="12"/>
  <c r="AO61" i="11"/>
  <c r="AO62" i="11"/>
  <c r="AO52" i="14"/>
  <c r="AO56" i="12"/>
  <c r="AO60" i="14"/>
  <c r="AO57" i="15"/>
  <c r="AO64" i="15"/>
  <c r="AO63" i="14"/>
  <c r="AO38" i="14"/>
  <c r="AO34" i="14"/>
  <c r="AO40" i="13"/>
  <c r="AO25" i="19"/>
  <c r="AO41" i="19"/>
  <c r="AO42" i="14"/>
  <c r="AO31" i="15"/>
  <c r="AO60" i="15"/>
  <c r="AO35" i="12"/>
  <c r="AO40" i="14"/>
  <c r="AO31" i="12"/>
  <c r="AO40" i="11"/>
  <c r="AO39" i="13"/>
  <c r="AO31" i="16"/>
  <c r="AO54" i="15"/>
  <c r="AO41" i="12"/>
  <c r="AO26" i="13"/>
  <c r="AO27" i="12"/>
  <c r="AO27" i="13"/>
  <c r="AO42" i="19"/>
  <c r="AO53" i="13"/>
  <c r="AO37" i="16"/>
  <c r="AO27" i="15"/>
  <c r="AO29" i="11"/>
  <c r="AO29" i="13"/>
  <c r="AO30" i="13"/>
  <c r="AO53" i="12"/>
  <c r="AO61" i="14"/>
  <c r="AO34" i="16"/>
  <c r="AO54" i="13"/>
  <c r="AO54" i="16"/>
  <c r="AO61" i="16"/>
  <c r="AO26" i="14"/>
  <c r="AO43" i="19"/>
  <c r="AO37" i="19"/>
  <c r="AO38" i="19"/>
  <c r="AO28" i="12"/>
  <c r="AO59" i="11"/>
  <c r="AO60" i="16"/>
  <c r="AO55" i="16"/>
  <c r="AO59" i="13"/>
  <c r="AO32" i="14"/>
  <c r="AO37" i="13"/>
  <c r="AO38" i="16"/>
  <c r="AO33" i="12"/>
  <c r="AO64" i="13"/>
  <c r="AO36" i="15"/>
  <c r="AO42" i="16"/>
  <c r="AO30" i="11"/>
  <c r="AO57" i="13"/>
  <c r="AO59" i="15"/>
  <c r="AO57" i="19"/>
  <c r="AO31" i="19"/>
  <c r="AO44" i="19"/>
  <c r="AO53" i="19"/>
  <c r="AO55" i="19"/>
  <c r="AO54" i="19"/>
  <c r="AO33" i="19"/>
  <c r="AO42" i="12"/>
  <c r="AO45" i="14"/>
  <c r="AO53" i="15"/>
  <c r="AO32" i="15"/>
  <c r="AO38" i="15"/>
  <c r="AO40" i="15"/>
  <c r="AO44" i="12"/>
  <c r="AO39" i="12"/>
  <c r="AO28" i="15"/>
  <c r="AO64" i="16"/>
  <c r="AO34" i="11"/>
  <c r="AO25" i="13"/>
  <c r="AO60" i="13"/>
  <c r="AO36" i="14"/>
  <c r="AO41" i="13"/>
  <c r="AO26" i="19"/>
  <c r="AO45" i="19"/>
  <c r="AO32" i="19"/>
  <c r="AO35" i="13"/>
  <c r="AO62" i="12"/>
  <c r="AO25" i="15"/>
  <c r="AO63" i="16"/>
  <c r="AO44" i="14"/>
  <c r="AO35" i="11"/>
  <c r="AO59" i="16"/>
  <c r="AO39" i="14"/>
  <c r="AO35" i="14"/>
  <c r="AO28" i="16"/>
  <c r="AO33" i="11"/>
  <c r="AO54" i="12"/>
  <c r="AO52" i="19"/>
  <c r="AO29" i="19"/>
  <c r="AO45" i="15"/>
  <c r="AO31" i="11"/>
  <c r="AO56" i="15"/>
  <c r="AO43" i="14"/>
  <c r="AO41" i="15"/>
  <c r="AO43" i="13"/>
  <c r="AO33" i="13"/>
  <c r="AO53" i="16"/>
  <c r="AO40" i="16"/>
  <c r="AO59" i="14"/>
  <c r="AO42" i="13"/>
  <c r="AO33" i="14"/>
  <c r="AO43" i="11"/>
  <c r="AO30" i="14"/>
  <c r="AO56" i="14"/>
  <c r="AO38" i="12"/>
  <c r="AO62" i="19"/>
  <c r="AO64" i="19"/>
  <c r="AO61" i="19"/>
  <c r="AO25" i="11"/>
  <c r="AO38" i="13"/>
  <c r="AO45" i="13"/>
  <c r="AO52" i="11"/>
  <c r="AO55" i="14"/>
  <c r="AO55" i="11"/>
  <c r="AO41" i="16"/>
  <c r="AO54" i="14"/>
  <c r="AO28" i="11"/>
  <c r="AO31" i="14"/>
  <c r="AO63" i="11"/>
  <c r="AO28" i="14"/>
  <c r="AO36" i="12"/>
  <c r="AO30" i="12"/>
  <c r="AO36" i="13"/>
  <c r="AO55" i="12"/>
  <c r="AO25" i="12"/>
  <c r="AO40" i="19"/>
  <c r="AO63" i="19"/>
  <c r="AO34" i="19"/>
  <c r="AO32" i="11"/>
  <c r="AO55" i="15"/>
  <c r="AO44" i="15"/>
  <c r="AO62" i="13"/>
  <c r="AO33" i="16"/>
  <c r="AO29" i="15"/>
  <c r="AO60" i="11"/>
  <c r="AO44" i="16"/>
  <c r="AO52" i="16"/>
  <c r="AO44" i="13"/>
  <c r="AO34" i="12"/>
  <c r="AO26" i="15"/>
  <c r="AO41" i="14"/>
  <c r="AO30" i="15"/>
  <c r="AO35" i="16"/>
  <c r="AO63" i="13"/>
  <c r="AO56" i="11"/>
  <c r="AO64" i="14"/>
  <c r="AO42" i="15"/>
  <c r="AO43" i="16"/>
  <c r="AO36" i="19"/>
  <c r="AO27" i="11"/>
  <c r="AO53" i="11"/>
  <c r="AO56" i="13"/>
  <c r="AO40" i="12"/>
  <c r="AO25" i="14"/>
  <c r="AO30" i="16"/>
  <c r="AO56" i="16"/>
  <c r="AO53" i="14"/>
  <c r="AO29" i="14"/>
  <c r="AO44" i="11"/>
  <c r="AO60" i="12"/>
  <c r="AO39" i="11"/>
  <c r="AO39" i="16"/>
  <c r="AO29" i="16"/>
  <c r="AO31" i="13"/>
  <c r="AO37" i="14"/>
  <c r="AO64" i="11"/>
  <c r="AO30" i="19"/>
  <c r="AO60" i="19"/>
  <c r="AO26" i="16"/>
  <c r="AO32" i="16"/>
  <c r="AO57" i="16"/>
  <c r="AO36" i="11"/>
  <c r="AO26" i="12"/>
  <c r="AO54" i="11"/>
  <c r="AO35" i="15"/>
  <c r="AO42" i="11"/>
  <c r="AO37" i="11"/>
  <c r="AO33" i="15"/>
  <c r="AO37" i="12"/>
  <c r="AO45" i="12"/>
  <c r="AO63" i="12"/>
  <c r="AO57" i="11"/>
  <c r="AO57" i="14"/>
  <c r="AO63" i="15"/>
  <c r="AO62" i="16"/>
  <c r="AO52" i="13"/>
  <c r="AO45" i="11"/>
  <c r="AO34" i="15"/>
  <c r="AO32" i="12"/>
  <c r="AO45" i="16"/>
  <c r="AO35" i="19"/>
  <c r="AO39" i="19"/>
  <c r="AO28" i="19"/>
  <c r="AO56" i="19"/>
  <c r="AO61" i="13"/>
  <c r="AO55" i="13"/>
  <c r="AO41" i="11"/>
  <c r="AO62" i="15"/>
  <c r="AO39" i="15"/>
  <c r="AO37" i="15"/>
  <c r="AO57" i="12"/>
  <c r="AO62" i="14"/>
  <c r="AO36" i="16"/>
  <c r="AO52" i="12"/>
  <c r="AO64" i="12"/>
  <c r="AO59" i="12"/>
  <c r="AO61" i="15"/>
  <c r="AO43" i="12"/>
  <c r="AO32" i="13"/>
  <c r="AO27" i="14"/>
  <c r="AO26" i="11"/>
  <c r="AO43" i="15"/>
  <c r="AO28" i="13"/>
  <c r="AO25" i="16"/>
  <c r="BA52" i="19"/>
  <c r="BA37" i="19"/>
  <c r="BA44" i="19"/>
  <c r="BA57" i="19"/>
  <c r="BA52" i="11"/>
  <c r="BA34" i="11"/>
  <c r="BA29" i="11"/>
  <c r="BA42" i="11"/>
  <c r="BA40" i="16"/>
  <c r="BA39" i="13"/>
  <c r="BA41" i="14"/>
  <c r="BA64" i="15"/>
  <c r="BA32" i="13"/>
  <c r="BA55" i="16"/>
  <c r="BA42" i="12"/>
  <c r="BA37" i="15"/>
  <c r="BA33" i="15"/>
  <c r="BA25" i="15"/>
  <c r="BA34" i="13"/>
  <c r="BA44" i="12"/>
  <c r="BA56" i="13"/>
  <c r="BA45" i="14"/>
  <c r="BA60" i="16"/>
  <c r="BA56" i="16"/>
  <c r="BA41" i="19"/>
  <c r="BA25" i="19"/>
  <c r="BA64" i="11"/>
  <c r="BA63" i="11"/>
  <c r="BA33" i="11"/>
  <c r="BA33" i="13"/>
  <c r="BA53" i="16"/>
  <c r="BA35" i="13"/>
  <c r="BA26" i="14"/>
  <c r="BA38" i="15"/>
  <c r="BA56" i="14"/>
  <c r="BA45" i="13"/>
  <c r="BA31" i="13"/>
  <c r="BA29" i="16"/>
  <c r="BA56" i="15"/>
  <c r="BA52" i="12"/>
  <c r="BA45" i="16"/>
  <c r="BA44" i="11"/>
  <c r="BA26" i="15"/>
  <c r="BA36" i="16"/>
  <c r="BA26" i="12"/>
  <c r="BA59" i="15"/>
  <c r="BA29" i="19"/>
  <c r="BA35" i="19"/>
  <c r="BA54" i="19"/>
  <c r="BA38" i="11"/>
  <c r="BA62" i="11"/>
  <c r="BA54" i="12"/>
  <c r="BA34" i="15"/>
  <c r="BA43" i="16"/>
  <c r="BA31" i="11"/>
  <c r="BA36" i="11"/>
  <c r="BA36" i="12"/>
  <c r="BA37" i="12"/>
  <c r="BA37" i="13"/>
  <c r="BA53" i="15"/>
  <c r="BA28" i="14"/>
  <c r="BA64" i="14"/>
  <c r="BA53" i="12"/>
  <c r="BA59" i="12"/>
  <c r="BA53" i="14"/>
  <c r="BA40" i="12"/>
  <c r="BA28" i="15"/>
  <c r="BA29" i="14"/>
  <c r="BA52" i="15"/>
  <c r="BA60" i="19"/>
  <c r="BA33" i="19"/>
  <c r="BA59" i="11"/>
  <c r="BA32" i="11"/>
  <c r="BA33" i="16"/>
  <c r="BA39" i="14"/>
  <c r="BA35" i="15"/>
  <c r="BA28" i="16"/>
  <c r="BA61" i="14"/>
  <c r="BA41" i="13"/>
  <c r="BA26" i="16"/>
  <c r="BA63" i="16"/>
  <c r="BA63" i="12"/>
  <c r="BA41" i="16"/>
  <c r="BA52" i="13"/>
  <c r="BA25" i="12"/>
  <c r="BA62" i="14"/>
  <c r="BA44" i="14"/>
  <c r="BA60" i="12"/>
  <c r="BA63" i="15"/>
  <c r="BA33" i="14"/>
  <c r="BA30" i="19"/>
  <c r="BA45" i="19"/>
  <c r="BA56" i="19"/>
  <c r="BA39" i="19"/>
  <c r="BA37" i="11"/>
  <c r="BA43" i="11"/>
  <c r="BA26" i="11"/>
  <c r="BA35" i="11"/>
  <c r="BA30" i="11"/>
  <c r="BA62" i="15"/>
  <c r="BA61" i="12"/>
  <c r="BA43" i="12"/>
  <c r="BA43" i="15"/>
  <c r="BA60" i="13"/>
  <c r="BA53" i="13"/>
  <c r="BA42" i="16"/>
  <c r="BA27" i="12"/>
  <c r="BA30" i="12"/>
  <c r="BA57" i="16"/>
  <c r="BA25" i="13"/>
  <c r="BA54" i="13"/>
  <c r="BA31" i="16"/>
  <c r="BA63" i="19"/>
  <c r="BA34" i="19"/>
  <c r="BA55" i="11"/>
  <c r="BA56" i="11"/>
  <c r="BA55" i="14"/>
  <c r="BA30" i="13"/>
  <c r="BA33" i="12"/>
  <c r="BA55" i="13"/>
  <c r="BA25" i="16"/>
  <c r="BA25" i="14"/>
  <c r="BA55" i="19"/>
  <c r="BA40" i="19"/>
  <c r="BA53" i="19"/>
  <c r="BA62" i="19"/>
  <c r="BA27" i="19"/>
  <c r="BA36" i="19"/>
  <c r="BA29" i="12"/>
  <c r="BA36" i="15"/>
  <c r="BA43" i="13"/>
  <c r="BA36" i="13"/>
  <c r="BA41" i="15"/>
  <c r="BA42" i="15"/>
  <c r="BA32" i="14"/>
  <c r="BA32" i="15"/>
  <c r="BA28" i="11"/>
  <c r="BA56" i="12"/>
  <c r="BA31" i="19"/>
  <c r="BA42" i="19"/>
  <c r="BA59" i="19"/>
  <c r="BA64" i="19"/>
  <c r="BA60" i="11"/>
  <c r="BA57" i="11"/>
  <c r="BA44" i="13"/>
  <c r="BA55" i="15"/>
  <c r="BA63" i="14"/>
  <c r="BA59" i="14"/>
  <c r="BA40" i="13"/>
  <c r="BA52" i="16"/>
  <c r="BA37" i="14"/>
  <c r="BA28" i="13"/>
  <c r="BA61" i="19"/>
  <c r="BA28" i="19"/>
  <c r="BA43" i="19"/>
  <c r="BA40" i="11"/>
  <c r="BA57" i="15"/>
  <c r="BA44" i="16"/>
  <c r="BA32" i="16"/>
  <c r="BA39" i="16"/>
  <c r="BA35" i="14"/>
  <c r="BA55" i="12"/>
  <c r="BA27" i="15"/>
  <c r="BA59" i="16"/>
  <c r="BA45" i="12"/>
  <c r="BA64" i="16"/>
  <c r="BA44" i="15"/>
  <c r="BA54" i="16"/>
  <c r="BA62" i="13"/>
  <c r="BA42" i="14"/>
  <c r="BA61" i="11"/>
  <c r="BA54" i="11"/>
  <c r="BA45" i="11"/>
  <c r="BA27" i="11"/>
  <c r="BA53" i="11"/>
  <c r="BA29" i="13"/>
  <c r="BA36" i="14"/>
  <c r="BA31" i="14"/>
  <c r="BA38" i="16"/>
  <c r="BA57" i="12"/>
  <c r="BA38" i="14"/>
  <c r="BA54" i="15"/>
  <c r="BA60" i="14"/>
  <c r="BA64" i="12"/>
  <c r="BA62" i="12"/>
  <c r="BA62" i="16"/>
  <c r="BA29" i="15"/>
  <c r="BA57" i="14"/>
  <c r="BA35" i="12"/>
  <c r="BA27" i="14"/>
  <c r="BA38" i="12"/>
  <c r="BA40" i="14"/>
  <c r="BA32" i="19"/>
  <c r="BA38" i="19"/>
  <c r="BA39" i="11"/>
  <c r="BA41" i="11"/>
  <c r="BA25" i="11"/>
  <c r="BA64" i="13"/>
  <c r="BA63" i="13"/>
  <c r="BA34" i="16"/>
  <c r="BA39" i="12"/>
  <c r="BA57" i="13"/>
  <c r="BA28" i="12"/>
  <c r="BA60" i="15"/>
  <c r="BA31" i="12"/>
  <c r="BA45" i="15"/>
  <c r="BA30" i="14"/>
  <c r="BA34" i="12"/>
  <c r="BA34" i="14"/>
  <c r="BA52" i="14"/>
  <c r="BA54" i="14"/>
  <c r="BA42" i="13"/>
  <c r="BA41" i="12"/>
  <c r="BA26" i="19"/>
  <c r="BA59" i="13"/>
  <c r="BA35" i="16"/>
  <c r="BA38" i="13"/>
  <c r="BA61" i="15"/>
  <c r="BA40" i="15"/>
  <c r="BA27" i="16"/>
  <c r="BA26" i="13"/>
  <c r="BA27" i="13"/>
  <c r="BA31" i="15"/>
  <c r="BA39" i="15"/>
  <c r="BA61" i="13"/>
  <c r="BA37" i="16"/>
  <c r="BA30" i="15"/>
  <c r="BA43" i="14"/>
  <c r="BA61" i="16"/>
  <c r="BA32" i="12"/>
  <c r="BA30" i="16"/>
  <c r="BB49" i="16"/>
  <c r="BB19" i="15"/>
  <c r="BB47" i="11"/>
  <c r="BB51" i="19"/>
  <c r="BB51" i="14"/>
  <c r="BB47" i="12"/>
  <c r="BB49" i="13"/>
  <c r="BB19" i="14"/>
  <c r="BB20" i="14"/>
  <c r="BB50" i="19"/>
  <c r="BB47" i="19"/>
  <c r="BB46" i="15"/>
  <c r="BB21" i="12"/>
  <c r="BB21" i="11"/>
  <c r="BB20" i="16"/>
  <c r="BB51" i="13"/>
  <c r="BB47" i="15"/>
  <c r="BB20" i="12"/>
  <c r="BB46" i="12"/>
  <c r="BB48" i="15"/>
  <c r="BB19" i="16"/>
  <c r="BB20" i="19"/>
  <c r="BB21" i="19"/>
  <c r="BB19" i="19"/>
  <c r="BB51" i="12"/>
  <c r="BB51" i="15"/>
  <c r="BB49" i="11"/>
  <c r="BB50" i="16"/>
  <c r="BB21" i="16"/>
  <c r="BB46" i="16"/>
  <c r="BB21" i="14"/>
  <c r="BB51" i="16"/>
  <c r="BB47" i="14"/>
  <c r="BB46" i="13"/>
  <c r="BB19" i="13"/>
  <c r="BB46" i="14"/>
  <c r="BB19" i="11"/>
  <c r="BB47" i="13"/>
  <c r="BB48" i="11"/>
  <c r="BB20" i="13"/>
  <c r="BB50" i="12"/>
  <c r="BB49" i="14"/>
  <c r="BB47" i="16"/>
  <c r="BB20" i="15"/>
  <c r="BB46" i="19"/>
  <c r="BB49" i="15"/>
  <c r="BB19" i="12"/>
  <c r="BB50" i="14"/>
  <c r="BB50" i="13"/>
  <c r="BB48" i="13"/>
  <c r="BB51" i="11"/>
  <c r="BB48" i="19"/>
  <c r="BB21" i="15"/>
  <c r="BB20" i="11"/>
  <c r="BB48" i="12"/>
  <c r="BB21" i="13"/>
  <c r="BB50" i="15"/>
  <c r="BB48" i="14"/>
  <c r="BB48" i="16"/>
  <c r="BB50" i="11"/>
  <c r="BB46" i="11"/>
  <c r="AP55" i="19"/>
  <c r="AP60" i="11"/>
  <c r="AP34" i="11"/>
  <c r="AP28" i="11"/>
  <c r="AP62" i="19"/>
  <c r="AP32" i="13"/>
  <c r="AP29" i="16"/>
  <c r="AP54" i="14"/>
  <c r="AP37" i="14"/>
  <c r="AP26" i="16"/>
  <c r="AP62" i="14"/>
  <c r="AP56" i="16"/>
  <c r="AP59" i="13"/>
  <c r="AP62" i="16"/>
  <c r="AP55" i="14"/>
  <c r="AP30" i="15"/>
  <c r="AP42" i="16"/>
  <c r="AP61" i="14"/>
  <c r="AP39" i="13"/>
  <c r="AP32" i="12"/>
  <c r="AP40" i="11"/>
  <c r="AP44" i="11"/>
  <c r="AP59" i="11"/>
  <c r="AP31" i="11"/>
  <c r="AP30" i="12"/>
  <c r="AP60" i="12"/>
  <c r="AP33" i="12"/>
  <c r="AP44" i="13"/>
  <c r="AP29" i="12"/>
  <c r="AP38" i="13"/>
  <c r="AP32" i="16"/>
  <c r="AP36" i="12"/>
  <c r="AP29" i="14"/>
  <c r="AP44" i="16"/>
  <c r="AP56" i="11"/>
  <c r="AP36" i="14"/>
  <c r="AP62" i="15"/>
  <c r="AP35" i="15"/>
  <c r="AP33" i="14"/>
  <c r="AP25" i="13"/>
  <c r="AP42" i="14"/>
  <c r="AP30" i="14"/>
  <c r="AP27" i="16"/>
  <c r="AP41" i="11"/>
  <c r="AP41" i="19"/>
  <c r="AP30" i="19"/>
  <c r="AP53" i="19"/>
  <c r="AP44" i="19"/>
  <c r="AP27" i="19"/>
  <c r="AP63" i="13"/>
  <c r="AP39" i="15"/>
  <c r="AP55" i="15"/>
  <c r="AP37" i="12"/>
  <c r="AP27" i="12"/>
  <c r="AP60" i="16"/>
  <c r="AP56" i="13"/>
  <c r="AP61" i="15"/>
  <c r="AP26" i="19"/>
  <c r="AP36" i="11"/>
  <c r="AP35" i="11"/>
  <c r="AP32" i="11"/>
  <c r="AP29" i="11"/>
  <c r="AP60" i="19"/>
  <c r="AP61" i="12"/>
  <c r="AP26" i="13"/>
  <c r="AP44" i="15"/>
  <c r="AP56" i="14"/>
  <c r="AP42" i="13"/>
  <c r="AP45" i="12"/>
  <c r="AP32" i="15"/>
  <c r="AP63" i="12"/>
  <c r="AP55" i="13"/>
  <c r="AP36" i="13"/>
  <c r="AP60" i="14"/>
  <c r="AP43" i="14"/>
  <c r="AP64" i="13"/>
  <c r="AP29" i="13"/>
  <c r="AP59" i="12"/>
  <c r="AP37" i="16"/>
  <c r="AP42" i="11"/>
  <c r="AP33" i="19"/>
  <c r="AP54" i="11"/>
  <c r="AP64" i="19"/>
  <c r="AP61" i="19"/>
  <c r="AP29" i="19"/>
  <c r="AP25" i="19"/>
  <c r="AP59" i="19"/>
  <c r="AP31" i="13"/>
  <c r="AP41" i="12"/>
  <c r="AP45" i="16"/>
  <c r="AP34" i="12"/>
  <c r="AP36" i="16"/>
  <c r="AP54" i="13"/>
  <c r="AP64" i="16"/>
  <c r="AP38" i="11"/>
  <c r="AP61" i="11"/>
  <c r="AP37" i="19"/>
  <c r="AP43" i="11"/>
  <c r="AP38" i="14"/>
  <c r="AP28" i="16"/>
  <c r="AP63" i="15"/>
  <c r="AP45" i="15"/>
  <c r="AP28" i="15"/>
  <c r="AP35" i="14"/>
  <c r="AP25" i="14"/>
  <c r="AP38" i="15"/>
  <c r="AP31" i="16"/>
  <c r="AP43" i="12"/>
  <c r="AP34" i="16"/>
  <c r="AP31" i="14"/>
  <c r="AP26" i="11"/>
  <c r="AP43" i="15"/>
  <c r="AP41" i="16"/>
  <c r="AP35" i="12"/>
  <c r="AP55" i="11"/>
  <c r="AP25" i="11"/>
  <c r="AP30" i="13"/>
  <c r="AP56" i="15"/>
  <c r="AP60" i="13"/>
  <c r="AP26" i="15"/>
  <c r="AP53" i="13"/>
  <c r="AP57" i="14"/>
  <c r="AP52" i="16"/>
  <c r="AP45" i="14"/>
  <c r="AP43" i="13"/>
  <c r="AP27" i="14"/>
  <c r="AP37" i="15"/>
  <c r="AP31" i="15"/>
  <c r="AP39" i="16"/>
  <c r="AP25" i="16"/>
  <c r="AP42" i="15"/>
  <c r="AP62" i="11"/>
  <c r="AP38" i="19"/>
  <c r="AP52" i="11"/>
  <c r="AP54" i="19"/>
  <c r="AP63" i="19"/>
  <c r="AP36" i="19"/>
  <c r="AP28" i="19"/>
  <c r="AP64" i="11"/>
  <c r="AP55" i="12"/>
  <c r="AP64" i="12"/>
  <c r="AP59" i="14"/>
  <c r="AP52" i="15"/>
  <c r="AP39" i="14"/>
  <c r="AP61" i="13"/>
  <c r="AP63" i="16"/>
  <c r="AP33" i="15"/>
  <c r="AP34" i="14"/>
  <c r="AP55" i="16"/>
  <c r="AP56" i="12"/>
  <c r="AP35" i="16"/>
  <c r="AP40" i="15"/>
  <c r="AP41" i="13"/>
  <c r="AP32" i="19"/>
  <c r="AP52" i="19"/>
  <c r="AP43" i="19"/>
  <c r="AP45" i="11"/>
  <c r="AP37" i="11"/>
  <c r="AP53" i="16"/>
  <c r="AP27" i="13"/>
  <c r="AP38" i="16"/>
  <c r="AP53" i="12"/>
  <c r="AP62" i="12"/>
  <c r="AP44" i="14"/>
  <c r="AP53" i="14"/>
  <c r="AP59" i="16"/>
  <c r="AP28" i="14"/>
  <c r="AP26" i="14"/>
  <c r="AP33" i="16"/>
  <c r="AP34" i="13"/>
  <c r="AP62" i="13"/>
  <c r="AP40" i="12"/>
  <c r="AP54" i="12"/>
  <c r="AP57" i="16"/>
  <c r="AP57" i="19"/>
  <c r="AP63" i="11"/>
  <c r="AP40" i="19"/>
  <c r="AP56" i="19"/>
  <c r="AP44" i="12"/>
  <c r="AP52" i="14"/>
  <c r="AP54" i="15"/>
  <c r="AP36" i="15"/>
  <c r="AP57" i="12"/>
  <c r="AP28" i="12"/>
  <c r="AP32" i="14"/>
  <c r="AP25" i="12"/>
  <c r="AP64" i="14"/>
  <c r="AP59" i="15"/>
  <c r="AP41" i="15"/>
  <c r="AP52" i="12"/>
  <c r="AP30" i="16"/>
  <c r="AP63" i="14"/>
  <c r="AP39" i="12"/>
  <c r="AP54" i="16"/>
  <c r="AP34" i="19"/>
  <c r="AP33" i="11"/>
  <c r="AP31" i="19"/>
  <c r="AP45" i="19"/>
  <c r="AP35" i="19"/>
  <c r="AP30" i="11"/>
  <c r="AP53" i="15"/>
  <c r="AP45" i="13"/>
  <c r="AP60" i="15"/>
  <c r="AP40" i="13"/>
  <c r="AP27" i="11"/>
  <c r="AP27" i="15"/>
  <c r="AP25" i="15"/>
  <c r="AP29" i="15"/>
  <c r="AP43" i="16"/>
  <c r="AP26" i="12"/>
  <c r="AP57" i="13"/>
  <c r="AP37" i="13"/>
  <c r="AP34" i="15"/>
  <c r="AP33" i="13"/>
  <c r="AP40" i="14"/>
  <c r="AP35" i="13"/>
  <c r="AP42" i="12"/>
  <c r="AP40" i="16"/>
  <c r="AP53" i="11"/>
  <c r="AP64" i="15"/>
  <c r="AP52" i="13"/>
  <c r="AP31" i="12"/>
  <c r="AP57" i="11"/>
  <c r="AP39" i="11"/>
  <c r="AP39" i="19"/>
  <c r="AP42" i="19"/>
  <c r="AP61" i="16"/>
  <c r="AP28" i="13"/>
  <c r="AP41" i="14"/>
  <c r="AP38" i="12"/>
  <c r="AP57" i="15"/>
  <c r="BB25" i="19"/>
  <c r="BB61" i="19"/>
  <c r="BB63" i="14"/>
  <c r="BB43" i="15"/>
  <c r="BB37" i="13"/>
  <c r="BB36" i="12"/>
  <c r="BB62" i="15"/>
  <c r="BB60" i="16"/>
  <c r="BB39" i="12"/>
  <c r="BB25" i="15"/>
  <c r="BB38" i="14"/>
  <c r="BB53" i="15"/>
  <c r="BB44" i="15"/>
  <c r="BB53" i="12"/>
  <c r="BB28" i="14"/>
  <c r="BB63" i="13"/>
  <c r="BB27" i="13"/>
  <c r="BB54" i="15"/>
  <c r="BB32" i="16"/>
  <c r="BB61" i="15"/>
  <c r="BB30" i="16"/>
  <c r="BB63" i="12"/>
  <c r="BB57" i="11"/>
  <c r="BB36" i="13"/>
  <c r="BB41" i="11"/>
  <c r="BB39" i="19"/>
  <c r="BB55" i="19"/>
  <c r="BB31" i="11"/>
  <c r="BB61" i="12"/>
  <c r="BB42" i="13"/>
  <c r="BB64" i="12"/>
  <c r="BB29" i="13"/>
  <c r="BB32" i="15"/>
  <c r="BB52" i="13"/>
  <c r="BB54" i="12"/>
  <c r="BB30" i="12"/>
  <c r="BB30" i="13"/>
  <c r="BB43" i="16"/>
  <c r="BB53" i="13"/>
  <c r="BB35" i="13"/>
  <c r="BB42" i="14"/>
  <c r="BB53" i="14"/>
  <c r="BB64" i="13"/>
  <c r="BB34" i="13"/>
  <c r="BB40" i="13"/>
  <c r="BB38" i="13"/>
  <c r="BB53" i="19"/>
  <c r="BB28" i="19"/>
  <c r="BB43" i="19"/>
  <c r="BB54" i="19"/>
  <c r="BB35" i="11"/>
  <c r="BB41" i="13"/>
  <c r="BB55" i="11"/>
  <c r="BB29" i="16"/>
  <c r="BB38" i="11"/>
  <c r="BB44" i="14"/>
  <c r="BB25" i="12"/>
  <c r="BB52" i="16"/>
  <c r="BB59" i="11"/>
  <c r="BB56" i="15"/>
  <c r="BB34" i="11"/>
  <c r="BB64" i="14"/>
  <c r="BB36" i="16"/>
  <c r="BB37" i="12"/>
  <c r="BB40" i="12"/>
  <c r="BB29" i="15"/>
  <c r="BB56" i="19"/>
  <c r="BB27" i="15"/>
  <c r="BB42" i="15"/>
  <c r="BB52" i="15"/>
  <c r="BB45" i="16"/>
  <c r="BB59" i="15"/>
  <c r="BB31" i="13"/>
  <c r="BB39" i="14"/>
  <c r="BB33" i="11"/>
  <c r="BB54" i="13"/>
  <c r="BB54" i="14"/>
  <c r="BB36" i="11"/>
  <c r="BB33" i="13"/>
  <c r="BB42" i="16"/>
  <c r="BB64" i="11"/>
  <c r="BB54" i="11"/>
  <c r="BB34" i="15"/>
  <c r="BB28" i="16"/>
  <c r="BB40" i="11"/>
  <c r="BB27" i="16"/>
  <c r="BB53" i="16"/>
  <c r="BB39" i="16"/>
  <c r="BB61" i="14"/>
  <c r="BB52" i="19"/>
  <c r="BB59" i="13"/>
  <c r="BB62" i="12"/>
  <c r="BB60" i="19"/>
  <c r="BB45" i="19"/>
  <c r="BB29" i="19"/>
  <c r="BB62" i="11"/>
  <c r="BB43" i="11"/>
  <c r="BB25" i="16"/>
  <c r="BB62" i="14"/>
  <c r="BB42" i="12"/>
  <c r="BB30" i="11"/>
  <c r="BB54" i="16"/>
  <c r="BB60" i="15"/>
  <c r="BB57" i="15"/>
  <c r="BB36" i="15"/>
  <c r="BB62" i="16"/>
  <c r="BB38" i="15"/>
  <c r="BB41" i="15"/>
  <c r="BB26" i="15"/>
  <c r="BB64" i="15"/>
  <c r="BB52" i="12"/>
  <c r="BB59" i="14"/>
  <c r="BB26" i="19"/>
  <c r="BB34" i="19"/>
  <c r="BB28" i="13"/>
  <c r="BB25" i="14"/>
  <c r="BB29" i="14"/>
  <c r="BB61" i="13"/>
  <c r="BB43" i="12"/>
  <c r="BB45" i="13"/>
  <c r="BB39" i="13"/>
  <c r="BB40" i="15"/>
  <c r="BB31" i="15"/>
  <c r="BB26" i="14"/>
  <c r="BB40" i="14"/>
  <c r="BB29" i="11"/>
  <c r="BB40" i="16"/>
  <c r="BB37" i="14"/>
  <c r="BB26" i="12"/>
  <c r="BB31" i="19"/>
  <c r="BB38" i="19"/>
  <c r="BB32" i="19"/>
  <c r="BB64" i="19"/>
  <c r="BB33" i="14"/>
  <c r="BB33" i="12"/>
  <c r="BB26" i="11"/>
  <c r="BB57" i="14"/>
  <c r="BB31" i="12"/>
  <c r="BB42" i="11"/>
  <c r="BB52" i="14"/>
  <c r="BB34" i="14"/>
  <c r="BB45" i="11"/>
  <c r="BB53" i="11"/>
  <c r="BB28" i="15"/>
  <c r="BB43" i="14"/>
  <c r="BB33" i="16"/>
  <c r="BB32" i="14"/>
  <c r="BB35" i="19"/>
  <c r="BB41" i="19"/>
  <c r="BB44" i="19"/>
  <c r="BB42" i="19"/>
  <c r="BB63" i="19"/>
  <c r="BB36" i="19"/>
  <c r="BB59" i="19"/>
  <c r="BB44" i="11"/>
  <c r="BB63" i="16"/>
  <c r="BB57" i="12"/>
  <c r="BB55" i="13"/>
  <c r="BB33" i="15"/>
  <c r="BB28" i="12"/>
  <c r="BB57" i="13"/>
  <c r="BB35" i="12"/>
  <c r="BB28" i="11"/>
  <c r="BB34" i="12"/>
  <c r="BB36" i="14"/>
  <c r="BB29" i="12"/>
  <c r="BB37" i="16"/>
  <c r="BB35" i="16"/>
  <c r="BB55" i="15"/>
  <c r="BB56" i="16"/>
  <c r="BB56" i="12"/>
  <c r="BB37" i="11"/>
  <c r="BB41" i="16"/>
  <c r="BB35" i="14"/>
  <c r="BB32" i="12"/>
  <c r="BB25" i="11"/>
  <c r="BB27" i="12"/>
  <c r="BB41" i="12"/>
  <c r="BB30" i="14"/>
  <c r="BB61" i="16"/>
  <c r="BB27" i="19"/>
  <c r="BB27" i="11"/>
  <c r="BB45" i="12"/>
  <c r="BB31" i="14"/>
  <c r="BB27" i="14"/>
  <c r="BB32" i="11"/>
  <c r="BB44" i="12"/>
  <c r="BB64" i="16"/>
  <c r="BB60" i="14"/>
  <c r="BB43" i="13"/>
  <c r="BB52" i="11"/>
  <c r="BB40" i="19"/>
  <c r="BB37" i="19"/>
  <c r="BB62" i="19"/>
  <c r="BB30" i="19"/>
  <c r="BB33" i="19"/>
  <c r="BB55" i="12"/>
  <c r="BB35" i="15"/>
  <c r="BB56" i="14"/>
  <c r="BB39" i="11"/>
  <c r="BB63" i="15"/>
  <c r="BB44" i="16"/>
  <c r="BB60" i="11"/>
  <c r="BB38" i="16"/>
  <c r="BB30" i="15"/>
  <c r="BB45" i="15"/>
  <c r="BB60" i="12"/>
  <c r="BB37" i="15"/>
  <c r="BB45" i="14"/>
  <c r="BB57" i="16"/>
  <c r="BB44" i="13"/>
  <c r="BB59" i="16"/>
  <c r="BB34" i="16"/>
  <c r="BB56" i="11"/>
  <c r="BB39" i="15"/>
  <c r="BB62" i="13"/>
  <c r="BB25" i="13"/>
  <c r="BB60" i="13"/>
  <c r="BB61" i="11"/>
  <c r="BB55" i="14"/>
  <c r="BB38" i="12"/>
  <c r="BB32" i="13"/>
  <c r="BB57" i="19"/>
  <c r="BB26" i="13"/>
  <c r="BB31" i="16"/>
  <c r="BB41" i="14"/>
  <c r="BB55" i="16"/>
  <c r="BB59" i="12"/>
  <c r="BB63" i="11"/>
  <c r="BB56" i="13"/>
  <c r="BB26" i="16"/>
  <c r="BF51" i="13"/>
  <c r="BF50" i="15"/>
  <c r="BF21" i="12"/>
  <c r="BF50" i="11"/>
  <c r="BF46" i="12"/>
  <c r="BF49" i="14"/>
  <c r="BF19" i="13"/>
  <c r="BF19" i="11"/>
  <c r="BF47" i="16"/>
  <c r="BF50" i="13"/>
  <c r="BF19" i="15"/>
  <c r="BF50" i="16"/>
  <c r="BF48" i="19"/>
  <c r="BF21" i="19"/>
  <c r="BF19" i="14"/>
  <c r="BF47" i="15"/>
  <c r="BF47" i="12"/>
  <c r="BF46" i="19"/>
  <c r="BF20" i="12"/>
  <c r="BF50" i="14"/>
  <c r="BF47" i="19"/>
  <c r="BF49" i="11"/>
  <c r="BF46" i="13"/>
  <c r="BF48" i="14"/>
  <c r="BF21" i="13"/>
  <c r="BF20" i="11"/>
  <c r="BF48" i="16"/>
  <c r="BF47" i="14"/>
  <c r="BF20" i="19"/>
  <c r="BF19" i="19"/>
  <c r="BF49" i="16"/>
  <c r="BF21" i="14"/>
  <c r="BF21" i="16"/>
  <c r="BF19" i="16"/>
  <c r="BF48" i="13"/>
  <c r="BF51" i="14"/>
  <c r="BF51" i="19"/>
  <c r="BF20" i="14"/>
  <c r="BF48" i="15"/>
  <c r="BF46" i="11"/>
  <c r="BF48" i="12"/>
  <c r="BF21" i="11"/>
  <c r="BF48" i="11"/>
  <c r="BF50" i="12"/>
  <c r="BF51" i="12"/>
  <c r="BF51" i="15"/>
  <c r="BF50" i="19"/>
  <c r="BF51" i="16"/>
  <c r="BF19" i="12"/>
  <c r="BF51" i="11"/>
  <c r="BF46" i="15"/>
  <c r="BF20" i="13"/>
  <c r="BF21" i="15"/>
  <c r="BF49" i="13"/>
  <c r="BF47" i="13"/>
  <c r="BF46" i="14"/>
  <c r="BF20" i="16"/>
  <c r="BF47" i="11"/>
  <c r="BF49" i="15"/>
  <c r="BF20" i="15"/>
  <c r="BF46" i="16"/>
  <c r="AU38" i="19"/>
  <c r="AU55" i="19"/>
  <c r="AU33" i="19"/>
  <c r="AU63" i="19"/>
  <c r="AU27" i="12"/>
  <c r="AU31" i="13"/>
  <c r="AU57" i="13"/>
  <c r="AU37" i="13"/>
  <c r="AU38" i="14"/>
  <c r="AU27" i="11"/>
  <c r="AU36" i="13"/>
  <c r="AU36" i="16"/>
  <c r="AU26" i="11"/>
  <c r="AU52" i="13"/>
  <c r="AU25" i="13"/>
  <c r="AU30" i="16"/>
  <c r="AU32" i="11"/>
  <c r="AU45" i="14"/>
  <c r="AU62" i="15"/>
  <c r="AU33" i="16"/>
  <c r="AU45" i="13"/>
  <c r="AU54" i="12"/>
  <c r="AU53" i="19"/>
  <c r="AU27" i="19"/>
  <c r="AU61" i="19"/>
  <c r="AU43" i="13"/>
  <c r="AU27" i="15"/>
  <c r="AU34" i="13"/>
  <c r="AU53" i="14"/>
  <c r="AU42" i="16"/>
  <c r="AU62" i="14"/>
  <c r="AU54" i="15"/>
  <c r="AU30" i="11"/>
  <c r="AU57" i="14"/>
  <c r="AU32" i="12"/>
  <c r="AU41" i="12"/>
  <c r="AU62" i="11"/>
  <c r="AU38" i="13"/>
  <c r="AU36" i="14"/>
  <c r="AU60" i="16"/>
  <c r="AU62" i="19"/>
  <c r="AU45" i="15"/>
  <c r="AU37" i="16"/>
  <c r="AU28" i="11"/>
  <c r="AU64" i="16"/>
  <c r="AU59" i="16"/>
  <c r="AU35" i="11"/>
  <c r="AU39" i="13"/>
  <c r="AU55" i="11"/>
  <c r="AU38" i="12"/>
  <c r="AU30" i="13"/>
  <c r="AU41" i="11"/>
  <c r="AU45" i="16"/>
  <c r="AU44" i="12"/>
  <c r="AU42" i="12"/>
  <c r="AU33" i="13"/>
  <c r="AU38" i="16"/>
  <c r="AU26" i="12"/>
  <c r="AU63" i="14"/>
  <c r="AU57" i="19"/>
  <c r="AU30" i="19"/>
  <c r="AU44" i="19"/>
  <c r="AU43" i="11"/>
  <c r="AU41" i="16"/>
  <c r="AU57" i="16"/>
  <c r="AU31" i="16"/>
  <c r="AU60" i="11"/>
  <c r="AU31" i="14"/>
  <c r="AU57" i="11"/>
  <c r="AU30" i="14"/>
  <c r="AU26" i="15"/>
  <c r="AU59" i="11"/>
  <c r="AU60" i="13"/>
  <c r="AU28" i="16"/>
  <c r="AU25" i="12"/>
  <c r="AU56" i="11"/>
  <c r="AU40" i="16"/>
  <c r="AU39" i="11"/>
  <c r="AU52" i="11"/>
  <c r="AU52" i="19"/>
  <c r="AU44" i="11"/>
  <c r="AU28" i="13"/>
  <c r="AU39" i="14"/>
  <c r="AU61" i="11"/>
  <c r="AU35" i="16"/>
  <c r="AU41" i="14"/>
  <c r="AU54" i="16"/>
  <c r="AU31" i="12"/>
  <c r="AU53" i="12"/>
  <c r="AU29" i="15"/>
  <c r="AU43" i="16"/>
  <c r="AU32" i="14"/>
  <c r="AU62" i="12"/>
  <c r="AU64" i="15"/>
  <c r="AU37" i="15"/>
  <c r="AU60" i="14"/>
  <c r="AU44" i="14"/>
  <c r="AU31" i="15"/>
  <c r="AU27" i="14"/>
  <c r="AU56" i="19"/>
  <c r="AU28" i="19"/>
  <c r="AU39" i="19"/>
  <c r="AU26" i="19"/>
  <c r="AU31" i="19"/>
  <c r="AU32" i="16"/>
  <c r="AU42" i="13"/>
  <c r="AU25" i="16"/>
  <c r="AU55" i="13"/>
  <c r="AU54" i="11"/>
  <c r="AU26" i="14"/>
  <c r="AU34" i="15"/>
  <c r="AU42" i="15"/>
  <c r="AU29" i="11"/>
  <c r="AU28" i="15"/>
  <c r="AU40" i="13"/>
  <c r="AU36" i="15"/>
  <c r="AU30" i="12"/>
  <c r="AU43" i="12"/>
  <c r="AU54" i="19"/>
  <c r="AU25" i="14"/>
  <c r="AU62" i="16"/>
  <c r="AU61" i="13"/>
  <c r="AU54" i="14"/>
  <c r="AU45" i="11"/>
  <c r="AU37" i="14"/>
  <c r="AU25" i="15"/>
  <c r="AU40" i="11"/>
  <c r="AU42" i="11"/>
  <c r="AU57" i="12"/>
  <c r="AU35" i="12"/>
  <c r="AU61" i="14"/>
  <c r="AU61" i="15"/>
  <c r="AU31" i="11"/>
  <c r="AU63" i="11"/>
  <c r="AU34" i="14"/>
  <c r="AU55" i="16"/>
  <c r="AU45" i="12"/>
  <c r="AU35" i="19"/>
  <c r="AU29" i="19"/>
  <c r="AU37" i="19"/>
  <c r="AU43" i="19"/>
  <c r="AU40" i="19"/>
  <c r="AU36" i="19"/>
  <c r="AU29" i="14"/>
  <c r="AU64" i="11"/>
  <c r="AU63" i="16"/>
  <c r="AU37" i="12"/>
  <c r="AU36" i="12"/>
  <c r="AU35" i="13"/>
  <c r="AU26" i="13"/>
  <c r="AU30" i="15"/>
  <c r="AU62" i="13"/>
  <c r="AU40" i="14"/>
  <c r="AU44" i="13"/>
  <c r="AU43" i="14"/>
  <c r="AU55" i="15"/>
  <c r="AU33" i="11"/>
  <c r="AU35" i="15"/>
  <c r="AU59" i="15"/>
  <c r="AU60" i="19"/>
  <c r="AU34" i="19"/>
  <c r="AU42" i="19"/>
  <c r="AU25" i="19"/>
  <c r="AU59" i="19"/>
  <c r="AU36" i="11"/>
  <c r="AU28" i="14"/>
  <c r="AU34" i="11"/>
  <c r="AU39" i="12"/>
  <c r="AU53" i="15"/>
  <c r="AU32" i="15"/>
  <c r="AU63" i="13"/>
  <c r="AU52" i="12"/>
  <c r="AU56" i="13"/>
  <c r="AU26" i="16"/>
  <c r="AU25" i="11"/>
  <c r="AU27" i="16"/>
  <c r="AU34" i="12"/>
  <c r="AU27" i="13"/>
  <c r="AU53" i="13"/>
  <c r="AU35" i="14"/>
  <c r="AU55" i="14"/>
  <c r="AU56" i="14"/>
  <c r="AU64" i="14"/>
  <c r="AU63" i="12"/>
  <c r="AU41" i="15"/>
  <c r="AU40" i="12"/>
  <c r="AU64" i="13"/>
  <c r="AU44" i="15"/>
  <c r="AU56" i="16"/>
  <c r="AU59" i="13"/>
  <c r="AU29" i="16"/>
  <c r="AU41" i="13"/>
  <c r="AU57" i="15"/>
  <c r="AU52" i="16"/>
  <c r="AU44" i="16"/>
  <c r="AU53" i="16"/>
  <c r="AU42" i="14"/>
  <c r="AU60" i="12"/>
  <c r="AU43" i="15"/>
  <c r="AU41" i="19"/>
  <c r="AU33" i="14"/>
  <c r="AU33" i="12"/>
  <c r="AU64" i="12"/>
  <c r="AU54" i="13"/>
  <c r="AU39" i="15"/>
  <c r="AU32" i="13"/>
  <c r="AU52" i="14"/>
  <c r="AU33" i="15"/>
  <c r="AU29" i="12"/>
  <c r="AU38" i="15"/>
  <c r="AU40" i="15"/>
  <c r="AU34" i="16"/>
  <c r="AU45" i="19"/>
  <c r="AU64" i="19"/>
  <c r="AU32" i="19"/>
  <c r="AU59" i="14"/>
  <c r="AU56" i="15"/>
  <c r="AU60" i="15"/>
  <c r="AU29" i="13"/>
  <c r="AU63" i="15"/>
  <c r="AU39" i="16"/>
  <c r="AU38" i="11"/>
  <c r="AU61" i="16"/>
  <c r="AU28" i="12"/>
  <c r="AU52" i="15"/>
  <c r="AU61" i="12"/>
  <c r="AU59" i="12"/>
  <c r="AU53" i="11"/>
  <c r="AU55" i="12"/>
  <c r="AU37" i="11"/>
  <c r="AU56" i="12"/>
  <c r="BF28" i="19"/>
  <c r="BF25" i="19"/>
  <c r="BF37" i="19"/>
  <c r="BF44" i="19"/>
  <c r="BF54" i="11"/>
  <c r="BF40" i="12"/>
  <c r="BF37" i="14"/>
  <c r="BF64" i="11"/>
  <c r="BF44" i="13"/>
  <c r="BF62" i="14"/>
  <c r="BF64" i="15"/>
  <c r="BF63" i="16"/>
  <c r="BF53" i="15"/>
  <c r="BF39" i="16"/>
  <c r="BF38" i="12"/>
  <c r="BF25" i="14"/>
  <c r="BF52" i="12"/>
  <c r="BF40" i="15"/>
  <c r="BF59" i="14"/>
  <c r="BF41" i="13"/>
  <c r="BF43" i="13"/>
  <c r="BF38" i="19"/>
  <c r="BF56" i="19"/>
  <c r="BF41" i="19"/>
  <c r="BF25" i="16"/>
  <c r="BF55" i="15"/>
  <c r="BF54" i="12"/>
  <c r="BF41" i="15"/>
  <c r="BF32" i="12"/>
  <c r="BF39" i="15"/>
  <c r="BF43" i="16"/>
  <c r="BF25" i="12"/>
  <c r="BF56" i="11"/>
  <c r="BF40" i="14"/>
  <c r="BF39" i="14"/>
  <c r="BF56" i="12"/>
  <c r="BF33" i="15"/>
  <c r="BF64" i="16"/>
  <c r="BF35" i="13"/>
  <c r="BF34" i="14"/>
  <c r="BF56" i="16"/>
  <c r="BF25" i="15"/>
  <c r="BF41" i="16"/>
  <c r="BF33" i="19"/>
  <c r="BF45" i="13"/>
  <c r="BF54" i="14"/>
  <c r="BF38" i="15"/>
  <c r="BF52" i="11"/>
  <c r="BF29" i="12"/>
  <c r="BF34" i="13"/>
  <c r="BF35" i="12"/>
  <c r="BF38" i="16"/>
  <c r="BF35" i="16"/>
  <c r="BF57" i="11"/>
  <c r="BF38" i="14"/>
  <c r="BF60" i="12"/>
  <c r="BF53" i="12"/>
  <c r="BF42" i="14"/>
  <c r="BF52" i="14"/>
  <c r="BF33" i="14"/>
  <c r="BF32" i="16"/>
  <c r="BF39" i="19"/>
  <c r="BF60" i="19"/>
  <c r="BF42" i="19"/>
  <c r="BF30" i="12"/>
  <c r="BF45" i="14"/>
  <c r="BF55" i="13"/>
  <c r="BF42" i="11"/>
  <c r="BF29" i="14"/>
  <c r="BF42" i="16"/>
  <c r="BF35" i="14"/>
  <c r="BF53" i="19"/>
  <c r="BF32" i="19"/>
  <c r="BF61" i="19"/>
  <c r="BF31" i="15"/>
  <c r="BF31" i="16"/>
  <c r="BF31" i="14"/>
  <c r="BF44" i="12"/>
  <c r="BF61" i="15"/>
  <c r="BF31" i="12"/>
  <c r="BF53" i="11"/>
  <c r="BF60" i="14"/>
  <c r="BF27" i="11"/>
  <c r="BF41" i="12"/>
  <c r="BF59" i="15"/>
  <c r="BF55" i="12"/>
  <c r="BF57" i="15"/>
  <c r="BF26" i="12"/>
  <c r="BF45" i="11"/>
  <c r="BF53" i="14"/>
  <c r="BF34" i="16"/>
  <c r="BF54" i="13"/>
  <c r="BF45" i="16"/>
  <c r="BF37" i="15"/>
  <c r="BF52" i="19"/>
  <c r="BF26" i="19"/>
  <c r="BF40" i="19"/>
  <c r="BF30" i="19"/>
  <c r="BF33" i="16"/>
  <c r="BF30" i="14"/>
  <c r="BF28" i="15"/>
  <c r="BF31" i="11"/>
  <c r="BF36" i="11"/>
  <c r="BF43" i="12"/>
  <c r="BF42" i="13"/>
  <c r="BF59" i="16"/>
  <c r="BF39" i="12"/>
  <c r="BF39" i="13"/>
  <c r="BF36" i="16"/>
  <c r="BF26" i="13"/>
  <c r="BF53" i="13"/>
  <c r="BF61" i="13"/>
  <c r="BF64" i="14"/>
  <c r="BF61" i="11"/>
  <c r="BF29" i="19"/>
  <c r="BF54" i="19"/>
  <c r="BF62" i="11"/>
  <c r="BF63" i="14"/>
  <c r="BF30" i="11"/>
  <c r="BF41" i="11"/>
  <c r="BF29" i="15"/>
  <c r="BF59" i="11"/>
  <c r="BF45" i="15"/>
  <c r="BF36" i="12"/>
  <c r="BF30" i="15"/>
  <c r="BF25" i="13"/>
  <c r="BF63" i="12"/>
  <c r="BF60" i="15"/>
  <c r="BF55" i="16"/>
  <c r="BF42" i="15"/>
  <c r="BF56" i="14"/>
  <c r="BF63" i="19"/>
  <c r="BF34" i="19"/>
  <c r="BF55" i="19"/>
  <c r="BF36" i="19"/>
  <c r="BF56" i="15"/>
  <c r="BF44" i="16"/>
  <c r="BF33" i="12"/>
  <c r="BF26" i="11"/>
  <c r="BF27" i="15"/>
  <c r="BF63" i="11"/>
  <c r="BF55" i="14"/>
  <c r="BF35" i="11"/>
  <c r="BF26" i="15"/>
  <c r="BF44" i="11"/>
  <c r="BF34" i="15"/>
  <c r="BF29" i="13"/>
  <c r="BF26" i="16"/>
  <c r="BF52" i="13"/>
  <c r="BF35" i="19"/>
  <c r="BF59" i="19"/>
  <c r="BF62" i="19"/>
  <c r="BF33" i="11"/>
  <c r="BF33" i="13"/>
  <c r="BF59" i="12"/>
  <c r="BF62" i="13"/>
  <c r="BF54" i="16"/>
  <c r="BF62" i="12"/>
  <c r="BF59" i="13"/>
  <c r="BF37" i="11"/>
  <c r="BF62" i="16"/>
  <c r="BF64" i="13"/>
  <c r="BF40" i="13"/>
  <c r="BF28" i="11"/>
  <c r="BF63" i="13"/>
  <c r="BF28" i="12"/>
  <c r="BF43" i="15"/>
  <c r="BF52" i="16"/>
  <c r="BF29" i="16"/>
  <c r="BF27" i="19"/>
  <c r="BF32" i="11"/>
  <c r="BF43" i="14"/>
  <c r="BF44" i="14"/>
  <c r="BF40" i="11"/>
  <c r="BF40" i="16"/>
  <c r="BF60" i="16"/>
  <c r="BF36" i="13"/>
  <c r="BF41" i="14"/>
  <c r="BF54" i="15"/>
  <c r="BF32" i="14"/>
  <c r="BF44" i="15"/>
  <c r="BF52" i="15"/>
  <c r="BF30" i="16"/>
  <c r="BF31" i="19"/>
  <c r="BF43" i="19"/>
  <c r="BF64" i="19"/>
  <c r="BF62" i="15"/>
  <c r="BF34" i="12"/>
  <c r="BF61" i="12"/>
  <c r="BF25" i="11"/>
  <c r="BF32" i="15"/>
  <c r="BF38" i="11"/>
  <c r="BF28" i="16"/>
  <c r="BF43" i="11"/>
  <c r="BF63" i="15"/>
  <c r="BF26" i="14"/>
  <c r="BF31" i="13"/>
  <c r="BF61" i="16"/>
  <c r="BF38" i="13"/>
  <c r="BF60" i="13"/>
  <c r="BF29" i="11"/>
  <c r="BF57" i="16"/>
  <c r="BF35" i="15"/>
  <c r="BF39" i="11"/>
  <c r="BF37" i="13"/>
  <c r="BF27" i="12"/>
  <c r="BF36" i="14"/>
  <c r="BF32" i="13"/>
  <c r="BF28" i="13"/>
  <c r="BF57" i="19"/>
  <c r="BF45" i="19"/>
  <c r="BF27" i="13"/>
  <c r="BF61" i="14"/>
  <c r="BF37" i="16"/>
  <c r="BF27" i="14"/>
  <c r="BF64" i="12"/>
  <c r="BF30" i="13"/>
  <c r="BF42" i="12"/>
  <c r="BF27" i="16"/>
  <c r="BF55" i="11"/>
  <c r="BF45" i="12"/>
  <c r="BF57" i="13"/>
  <c r="BF28" i="14"/>
  <c r="BF34" i="11"/>
  <c r="BF36" i="15"/>
  <c r="BF57" i="12"/>
  <c r="BF37" i="12"/>
  <c r="BF57" i="14"/>
  <c r="BF56" i="13"/>
  <c r="BF53" i="16"/>
  <c r="BF60" i="11"/>
  <c r="R86" i="1"/>
  <c r="U86" i="1" s="1"/>
  <c r="BB6" i="19"/>
  <c r="BB11" i="19"/>
  <c r="BB7" i="19"/>
  <c r="BB13" i="11"/>
  <c r="BB16" i="19"/>
  <c r="BB12" i="19"/>
  <c r="BB8" i="19"/>
  <c r="BB22" i="19"/>
  <c r="BB13" i="19"/>
  <c r="BB17" i="19"/>
  <c r="BB15" i="19"/>
  <c r="BB16" i="11"/>
  <c r="BB10" i="19"/>
  <c r="BB14" i="19"/>
  <c r="BB24" i="19"/>
  <c r="BB23" i="19"/>
  <c r="BB4" i="19"/>
  <c r="BB18" i="19"/>
  <c r="BB9" i="19"/>
  <c r="BB5" i="19"/>
  <c r="BB15" i="16"/>
  <c r="BB9" i="13"/>
  <c r="BB4" i="14"/>
  <c r="BB10" i="11"/>
  <c r="BB12" i="13"/>
  <c r="BB23" i="16"/>
  <c r="BB18" i="11"/>
  <c r="BB24" i="11"/>
  <c r="BB15" i="13"/>
  <c r="BB15" i="15"/>
  <c r="BB7" i="15"/>
  <c r="BB13" i="14"/>
  <c r="BB17" i="11"/>
  <c r="BB16" i="14"/>
  <c r="BB10" i="14"/>
  <c r="BB11" i="14"/>
  <c r="BB16" i="12"/>
  <c r="BB11" i="16"/>
  <c r="BB15" i="12"/>
  <c r="BB6" i="15"/>
  <c r="BB12" i="12"/>
  <c r="BB24" i="15"/>
  <c r="BB14" i="14"/>
  <c r="BB8" i="11"/>
  <c r="BB24" i="16"/>
  <c r="BB9" i="11"/>
  <c r="BB23" i="15"/>
  <c r="BB4" i="15"/>
  <c r="BB14" i="13"/>
  <c r="BB8" i="14"/>
  <c r="BB7" i="12"/>
  <c r="BB16" i="16"/>
  <c r="BB5" i="15"/>
  <c r="BB8" i="12"/>
  <c r="BB23" i="13"/>
  <c r="BB12" i="15"/>
  <c r="BB11" i="12"/>
  <c r="BB11" i="13"/>
  <c r="BB24" i="14"/>
  <c r="BB13" i="12"/>
  <c r="BB22" i="12"/>
  <c r="BB6" i="16"/>
  <c r="BB23" i="11"/>
  <c r="BB7" i="13"/>
  <c r="BB6" i="12"/>
  <c r="BB9" i="15"/>
  <c r="BB16" i="15"/>
  <c r="BB11" i="11"/>
  <c r="BB18" i="15"/>
  <c r="BB17" i="16"/>
  <c r="BB17" i="12"/>
  <c r="BB18" i="14"/>
  <c r="BB4" i="11"/>
  <c r="BB12" i="16"/>
  <c r="BB18" i="13"/>
  <c r="BB24" i="12"/>
  <c r="BB22" i="11"/>
  <c r="BB24" i="13"/>
  <c r="BB13" i="15"/>
  <c r="BB5" i="16"/>
  <c r="BB7" i="11"/>
  <c r="BB10" i="15"/>
  <c r="BB23" i="12"/>
  <c r="BB11" i="15"/>
  <c r="BB14" i="16"/>
  <c r="BB17" i="14"/>
  <c r="BB12" i="14"/>
  <c r="BB5" i="11"/>
  <c r="BB5" i="13"/>
  <c r="BB14" i="15"/>
  <c r="BB10" i="12"/>
  <c r="BB12" i="11"/>
  <c r="BB7" i="16"/>
  <c r="BB8" i="15"/>
  <c r="BB22" i="13"/>
  <c r="BB8" i="16"/>
  <c r="BB6" i="13"/>
  <c r="BB13" i="13"/>
  <c r="BB5" i="14"/>
  <c r="BB22" i="15"/>
  <c r="BB22" i="16"/>
  <c r="BB10" i="13"/>
  <c r="BB18" i="16"/>
  <c r="BB9" i="16"/>
  <c r="BB9" i="14"/>
  <c r="BB6" i="14"/>
  <c r="BB4" i="16"/>
  <c r="BB17" i="13"/>
  <c r="BB14" i="12"/>
  <c r="BB8" i="13"/>
  <c r="BB17" i="15"/>
  <c r="BB4" i="12"/>
  <c r="BB15" i="11"/>
  <c r="BB23" i="14"/>
  <c r="BB22" i="14"/>
  <c r="BB4" i="13"/>
  <c r="BB5" i="12"/>
  <c r="BB14" i="11"/>
  <c r="BB10" i="16"/>
  <c r="BB6" i="11"/>
  <c r="BB18" i="12"/>
  <c r="BB16" i="13"/>
  <c r="BB13" i="16"/>
  <c r="BB7" i="14"/>
  <c r="BB15" i="14"/>
  <c r="AV25" i="19"/>
  <c r="AV59" i="19"/>
  <c r="AV43" i="19"/>
  <c r="AV35" i="19"/>
  <c r="AV61" i="19"/>
  <c r="AV54" i="19"/>
  <c r="AV29" i="12"/>
  <c r="AV32" i="12"/>
  <c r="AV62" i="13"/>
  <c r="AV61" i="13"/>
  <c r="AV34" i="13"/>
  <c r="AV40" i="16"/>
  <c r="AV26" i="14"/>
  <c r="AV63" i="11"/>
  <c r="AV61" i="11"/>
  <c r="AV61" i="12"/>
  <c r="AV39" i="11"/>
  <c r="AV37" i="13"/>
  <c r="AV44" i="19"/>
  <c r="AV64" i="12"/>
  <c r="AV37" i="14"/>
  <c r="AV31" i="15"/>
  <c r="AV30" i="13"/>
  <c r="AV42" i="14"/>
  <c r="AV52" i="11"/>
  <c r="AV36" i="16"/>
  <c r="AV57" i="13"/>
  <c r="AV25" i="13"/>
  <c r="AV55" i="14"/>
  <c r="AV53" i="12"/>
  <c r="AV60" i="16"/>
  <c r="AV39" i="12"/>
  <c r="AV28" i="11"/>
  <c r="AV53" i="14"/>
  <c r="AV62" i="19"/>
  <c r="AV40" i="19"/>
  <c r="AV53" i="19"/>
  <c r="AV56" i="19"/>
  <c r="AV26" i="19"/>
  <c r="AV57" i="11"/>
  <c r="AV57" i="16"/>
  <c r="AV41" i="13"/>
  <c r="AV62" i="14"/>
  <c r="AV38" i="11"/>
  <c r="AV55" i="13"/>
  <c r="AV42" i="11"/>
  <c r="AV27" i="15"/>
  <c r="AV54" i="16"/>
  <c r="AV36" i="11"/>
  <c r="AV45" i="12"/>
  <c r="AV29" i="16"/>
  <c r="AV44" i="15"/>
  <c r="AV43" i="14"/>
  <c r="AV28" i="19"/>
  <c r="AV35" i="16"/>
  <c r="AV28" i="14"/>
  <c r="AV27" i="13"/>
  <c r="AV59" i="12"/>
  <c r="AV27" i="14"/>
  <c r="AV64" i="16"/>
  <c r="AV39" i="13"/>
  <c r="AV38" i="19"/>
  <c r="AV29" i="19"/>
  <c r="AV33" i="15"/>
  <c r="AV32" i="11"/>
  <c r="AV39" i="14"/>
  <c r="AV41" i="16"/>
  <c r="AV64" i="14"/>
  <c r="AV40" i="11"/>
  <c r="AV28" i="16"/>
  <c r="AV25" i="11"/>
  <c r="AV60" i="15"/>
  <c r="AV43" i="11"/>
  <c r="AV63" i="13"/>
  <c r="AV37" i="15"/>
  <c r="AV38" i="12"/>
  <c r="AV52" i="13"/>
  <c r="AV36" i="19"/>
  <c r="AV32" i="19"/>
  <c r="AV64" i="19"/>
  <c r="AV40" i="14"/>
  <c r="AV45" i="13"/>
  <c r="AV34" i="11"/>
  <c r="AV36" i="14"/>
  <c r="AV26" i="16"/>
  <c r="AV44" i="12"/>
  <c r="AV37" i="11"/>
  <c r="AV56" i="16"/>
  <c r="AV60" i="13"/>
  <c r="AV35" i="13"/>
  <c r="AV42" i="16"/>
  <c r="AV57" i="12"/>
  <c r="AV30" i="15"/>
  <c r="AV26" i="12"/>
  <c r="AV27" i="19"/>
  <c r="AV55" i="19"/>
  <c r="AV63" i="19"/>
  <c r="AV57" i="14"/>
  <c r="AV57" i="15"/>
  <c r="AV26" i="11"/>
  <c r="AV31" i="16"/>
  <c r="AV41" i="12"/>
  <c r="AV44" i="16"/>
  <c r="AV33" i="14"/>
  <c r="AV62" i="11"/>
  <c r="AV42" i="15"/>
  <c r="AV53" i="11"/>
  <c r="AV53" i="13"/>
  <c r="AV59" i="15"/>
  <c r="AV52" i="14"/>
  <c r="AV28" i="13"/>
  <c r="AV43" i="15"/>
  <c r="AV34" i="19"/>
  <c r="AV28" i="15"/>
  <c r="AV31" i="12"/>
  <c r="AV29" i="13"/>
  <c r="AV41" i="11"/>
  <c r="AV45" i="16"/>
  <c r="AV43" i="12"/>
  <c r="AV55" i="12"/>
  <c r="AV30" i="19"/>
  <c r="AV57" i="19"/>
  <c r="AV31" i="19"/>
  <c r="AV33" i="19"/>
  <c r="AV52" i="12"/>
  <c r="AV30" i="14"/>
  <c r="AV36" i="13"/>
  <c r="AV29" i="14"/>
  <c r="AV32" i="14"/>
  <c r="AV34" i="15"/>
  <c r="AV32" i="13"/>
  <c r="AV59" i="14"/>
  <c r="AV34" i="14"/>
  <c r="AV38" i="14"/>
  <c r="AV40" i="12"/>
  <c r="AV60" i="14"/>
  <c r="AV44" i="13"/>
  <c r="AV63" i="16"/>
  <c r="AV35" i="12"/>
  <c r="AV56" i="14"/>
  <c r="AV39" i="19"/>
  <c r="AV42" i="19"/>
  <c r="AV52" i="15"/>
  <c r="AV62" i="16"/>
  <c r="AV34" i="12"/>
  <c r="AV53" i="16"/>
  <c r="AV43" i="13"/>
  <c r="AV55" i="15"/>
  <c r="AV30" i="11"/>
  <c r="AV56" i="15"/>
  <c r="AV25" i="16"/>
  <c r="AV37" i="19"/>
  <c r="AV41" i="19"/>
  <c r="AV45" i="19"/>
  <c r="AV52" i="19"/>
  <c r="AV60" i="19"/>
  <c r="AV37" i="12"/>
  <c r="AV26" i="13"/>
  <c r="AV56" i="12"/>
  <c r="AV41" i="14"/>
  <c r="AV28" i="12"/>
  <c r="AV30" i="12"/>
  <c r="AV41" i="15"/>
  <c r="AV61" i="16"/>
  <c r="AV43" i="16"/>
  <c r="AV42" i="13"/>
  <c r="AV29" i="15"/>
  <c r="AV40" i="13"/>
  <c r="AV33" i="13"/>
  <c r="AV54" i="14"/>
  <c r="AV36" i="15"/>
  <c r="AV38" i="15"/>
  <c r="AV64" i="13"/>
  <c r="AV39" i="15"/>
  <c r="AV44" i="14"/>
  <c r="AV38" i="16"/>
  <c r="AV61" i="15"/>
  <c r="AV30" i="16"/>
  <c r="AV63" i="15"/>
  <c r="AV32" i="15"/>
  <c r="AV31" i="13"/>
  <c r="AV54" i="15"/>
  <c r="AV27" i="11"/>
  <c r="AV25" i="15"/>
  <c r="AV34" i="16"/>
  <c r="AV40" i="15"/>
  <c r="AV64" i="11"/>
  <c r="AV35" i="15"/>
  <c r="AV63" i="12"/>
  <c r="AV52" i="16"/>
  <c r="AV62" i="15"/>
  <c r="AV44" i="11"/>
  <c r="AV61" i="14"/>
  <c r="AV59" i="11"/>
  <c r="AV33" i="11"/>
  <c r="AV35" i="14"/>
  <c r="AV27" i="16"/>
  <c r="AV35" i="11"/>
  <c r="AV60" i="11"/>
  <c r="AV31" i="11"/>
  <c r="AV31" i="14"/>
  <c r="AV38" i="13"/>
  <c r="AV59" i="13"/>
  <c r="AV33" i="16"/>
  <c r="AV54" i="13"/>
  <c r="AV64" i="15"/>
  <c r="AV45" i="15"/>
  <c r="AV29" i="11"/>
  <c r="AV45" i="11"/>
  <c r="AV27" i="12"/>
  <c r="AV42" i="12"/>
  <c r="AV32" i="16"/>
  <c r="AV62" i="12"/>
  <c r="AV54" i="11"/>
  <c r="AV26" i="15"/>
  <c r="AV45" i="14"/>
  <c r="AV56" i="13"/>
  <c r="AV56" i="11"/>
  <c r="AV25" i="12"/>
  <c r="AV33" i="12"/>
  <c r="AV55" i="11"/>
  <c r="AV37" i="16"/>
  <c r="AV55" i="16"/>
  <c r="AV54" i="12"/>
  <c r="AV25" i="14"/>
  <c r="AV39" i="16"/>
  <c r="AV53" i="15"/>
  <c r="AV60" i="12"/>
  <c r="AV63" i="14"/>
  <c r="AV59" i="16"/>
  <c r="AV36" i="12"/>
  <c r="R307" i="1"/>
  <c r="U307" i="1" s="1"/>
  <c r="BG30" i="19"/>
  <c r="BG40" i="19"/>
  <c r="BG44" i="19"/>
  <c r="BG37" i="19"/>
  <c r="BG25" i="19"/>
  <c r="BG63" i="19"/>
  <c r="BG60" i="19"/>
  <c r="BG59" i="19"/>
  <c r="BG39" i="19"/>
  <c r="BG62" i="19"/>
  <c r="BG57" i="19"/>
  <c r="BG34" i="19"/>
  <c r="BG55" i="19"/>
  <c r="BG27" i="19"/>
  <c r="BG42" i="19"/>
  <c r="BG64" i="19"/>
  <c r="BG54" i="19"/>
  <c r="BG36" i="19"/>
  <c r="BG52" i="19"/>
  <c r="BG38" i="19"/>
  <c r="BG28" i="19"/>
  <c r="BG53" i="19"/>
  <c r="BG31" i="19"/>
  <c r="BG56" i="19"/>
  <c r="BG33" i="19"/>
  <c r="BG32" i="19"/>
  <c r="BG26" i="19"/>
  <c r="BG35" i="19"/>
  <c r="BG43" i="19"/>
  <c r="BG45" i="19"/>
  <c r="BG61" i="19"/>
  <c r="BG41" i="19"/>
  <c r="BG29" i="19"/>
  <c r="BG57" i="11"/>
  <c r="BG37" i="11"/>
  <c r="BG56" i="13"/>
  <c r="BG57" i="16"/>
  <c r="BG37" i="13"/>
  <c r="BG60" i="14"/>
  <c r="BG52" i="11"/>
  <c r="BG33" i="15"/>
  <c r="BG41" i="16"/>
  <c r="BG25" i="13"/>
  <c r="BG55" i="12"/>
  <c r="BG37" i="15"/>
  <c r="BG29" i="15"/>
  <c r="BG28" i="11"/>
  <c r="BG25" i="15"/>
  <c r="BG62" i="11"/>
  <c r="BG52" i="14"/>
  <c r="BG27" i="14"/>
  <c r="BG60" i="15"/>
  <c r="BG44" i="11"/>
  <c r="BG64" i="16"/>
  <c r="BG37" i="14"/>
  <c r="BG37" i="12"/>
  <c r="BG41" i="14"/>
  <c r="BG35" i="11"/>
  <c r="BG35" i="15"/>
  <c r="BG45" i="16"/>
  <c r="BG33" i="11"/>
  <c r="BG30" i="15"/>
  <c r="BG36" i="12"/>
  <c r="BG43" i="13"/>
  <c r="BG26" i="13"/>
  <c r="BG27" i="16"/>
  <c r="BG39" i="11"/>
  <c r="BG61" i="11"/>
  <c r="BG38" i="14"/>
  <c r="BG43" i="16"/>
  <c r="BG32" i="16"/>
  <c r="BG60" i="13"/>
  <c r="BG34" i="15"/>
  <c r="BG54" i="16"/>
  <c r="BG40" i="12"/>
  <c r="BG33" i="13"/>
  <c r="BG35" i="14"/>
  <c r="BG27" i="11"/>
  <c r="BG63" i="13"/>
  <c r="BG31" i="12"/>
  <c r="BG36" i="15"/>
  <c r="BG28" i="14"/>
  <c r="BG64" i="12"/>
  <c r="BG52" i="15"/>
  <c r="BG30" i="14"/>
  <c r="BG45" i="12"/>
  <c r="BG57" i="12"/>
  <c r="BG44" i="13"/>
  <c r="BG56" i="15"/>
  <c r="BG32" i="13"/>
  <c r="BG43" i="15"/>
  <c r="BG45" i="11"/>
  <c r="BG55" i="15"/>
  <c r="BG60" i="16"/>
  <c r="BG35" i="16"/>
  <c r="BG31" i="11"/>
  <c r="BG43" i="14"/>
  <c r="BG42" i="16"/>
  <c r="BG53" i="12"/>
  <c r="BG41" i="13"/>
  <c r="BG53" i="11"/>
  <c r="BG35" i="12"/>
  <c r="BG57" i="15"/>
  <c r="BG38" i="11"/>
  <c r="BG31" i="13"/>
  <c r="BG56" i="14"/>
  <c r="BG43" i="11"/>
  <c r="BG36" i="14"/>
  <c r="BG31" i="15"/>
  <c r="BG40" i="16"/>
  <c r="BG29" i="13"/>
  <c r="BG40" i="14"/>
  <c r="BG54" i="15"/>
  <c r="BG61" i="12"/>
  <c r="BG36" i="13"/>
  <c r="BG26" i="16"/>
  <c r="BG31" i="14"/>
  <c r="BG45" i="13"/>
  <c r="BG54" i="11"/>
  <c r="BG38" i="16"/>
  <c r="BG38" i="15"/>
  <c r="BG60" i="11"/>
  <c r="BG26" i="14"/>
  <c r="BG29" i="12"/>
  <c r="BG29" i="14"/>
  <c r="BG55" i="14"/>
  <c r="BG53" i="16"/>
  <c r="BG25" i="11"/>
  <c r="BG44" i="15"/>
  <c r="BG26" i="11"/>
  <c r="BG63" i="12"/>
  <c r="BG33" i="16"/>
  <c r="BG25" i="16"/>
  <c r="BG61" i="15"/>
  <c r="BG63" i="15"/>
  <c r="BG26" i="15"/>
  <c r="BG26" i="12"/>
  <c r="BG33" i="12"/>
  <c r="BG62" i="14"/>
  <c r="BG39" i="15"/>
  <c r="BG59" i="16"/>
  <c r="BG27" i="15"/>
  <c r="BG30" i="13"/>
  <c r="BG54" i="13"/>
  <c r="BG57" i="13"/>
  <c r="BG59" i="14"/>
  <c r="BG64" i="11"/>
  <c r="BG34" i="12"/>
  <c r="BG32" i="11"/>
  <c r="BG57" i="14"/>
  <c r="BG60" i="12"/>
  <c r="BG39" i="13"/>
  <c r="BG34" i="11"/>
  <c r="BG55" i="16"/>
  <c r="BG56" i="11"/>
  <c r="BG42" i="15"/>
  <c r="BG42" i="11"/>
  <c r="BG59" i="13"/>
  <c r="BG34" i="13"/>
  <c r="BG27" i="12"/>
  <c r="BG42" i="14"/>
  <c r="BG36" i="11"/>
  <c r="BG27" i="13"/>
  <c r="BG45" i="14"/>
  <c r="BG55" i="11"/>
  <c r="BG63" i="11"/>
  <c r="BG28" i="12"/>
  <c r="BG40" i="13"/>
  <c r="BG59" i="11"/>
  <c r="BG34" i="16"/>
  <c r="BG53" i="14"/>
  <c r="BG59" i="15"/>
  <c r="BG38" i="12"/>
  <c r="BG29" i="16"/>
  <c r="BG41" i="15"/>
  <c r="BG28" i="15"/>
  <c r="BG56" i="16"/>
  <c r="BG35" i="13"/>
  <c r="BG62" i="15"/>
  <c r="BG52" i="16"/>
  <c r="BG30" i="16"/>
  <c r="BG32" i="12"/>
  <c r="BG29" i="11"/>
  <c r="BG63" i="14"/>
  <c r="BG39" i="14"/>
  <c r="BG64" i="15"/>
  <c r="BG43" i="12"/>
  <c r="BG62" i="13"/>
  <c r="BG28" i="13"/>
  <c r="BG64" i="14"/>
  <c r="BG32" i="15"/>
  <c r="BG33" i="14"/>
  <c r="BG61" i="16"/>
  <c r="BG40" i="11"/>
  <c r="BG30" i="11"/>
  <c r="BG28" i="16"/>
  <c r="BG39" i="12"/>
  <c r="BG52" i="13"/>
  <c r="BG37" i="16"/>
  <c r="BG41" i="11"/>
  <c r="BG38" i="13"/>
  <c r="BG52" i="12"/>
  <c r="BG53" i="15"/>
  <c r="BG44" i="12"/>
  <c r="BG54" i="14"/>
  <c r="BG63" i="16"/>
  <c r="BG62" i="12"/>
  <c r="BG53" i="13"/>
  <c r="BG25" i="12"/>
  <c r="BG32" i="14"/>
  <c r="BG42" i="13"/>
  <c r="BG59" i="12"/>
  <c r="BG56" i="12"/>
  <c r="BG30" i="12"/>
  <c r="BG54" i="12"/>
  <c r="BG41" i="12"/>
  <c r="BG55" i="13"/>
  <c r="BG42" i="12"/>
  <c r="BG64" i="13"/>
  <c r="BG45" i="15"/>
  <c r="BG40" i="15"/>
  <c r="BG62" i="16"/>
  <c r="BG44" i="16"/>
  <c r="BG61" i="14"/>
  <c r="BG31" i="16"/>
  <c r="BG36" i="16"/>
  <c r="BG39" i="16"/>
  <c r="BG61" i="13"/>
  <c r="BG44" i="14"/>
  <c r="BG25" i="14"/>
  <c r="BG34" i="14"/>
  <c r="AB15" i="15"/>
  <c r="AB13" i="16"/>
  <c r="AB6" i="11"/>
  <c r="AB15" i="12"/>
  <c r="AB18" i="19"/>
  <c r="AB13" i="19"/>
  <c r="AB14" i="19"/>
  <c r="AB22" i="19"/>
  <c r="AB23" i="14"/>
  <c r="AB10" i="13"/>
  <c r="AB16" i="15"/>
  <c r="AB12" i="14"/>
  <c r="AB22" i="14"/>
  <c r="AB11" i="19"/>
  <c r="AB11" i="16"/>
  <c r="AB16" i="16"/>
  <c r="AB23" i="11"/>
  <c r="AB8" i="14"/>
  <c r="AB8" i="15"/>
  <c r="AB5" i="13"/>
  <c r="AB8" i="16"/>
  <c r="AB8" i="13"/>
  <c r="AB14" i="15"/>
  <c r="AB9" i="16"/>
  <c r="AB12" i="19"/>
  <c r="AB9" i="19"/>
  <c r="AB12" i="11"/>
  <c r="AB14" i="11"/>
  <c r="AB4" i="15"/>
  <c r="AB14" i="16"/>
  <c r="AB24" i="14"/>
  <c r="AB15" i="11"/>
  <c r="AB18" i="15"/>
  <c r="AB11" i="13"/>
  <c r="AB5" i="11"/>
  <c r="AB16" i="11"/>
  <c r="AB24" i="19"/>
  <c r="AB18" i="13"/>
  <c r="AB22" i="16"/>
  <c r="AB11" i="15"/>
  <c r="AB4" i="13"/>
  <c r="AB7" i="15"/>
  <c r="AB12" i="15"/>
  <c r="AB4" i="14"/>
  <c r="AB8" i="19"/>
  <c r="AB15" i="19"/>
  <c r="AB10" i="19"/>
  <c r="AB7" i="13"/>
  <c r="AB5" i="14"/>
  <c r="AB5" i="15"/>
  <c r="AB6" i="16"/>
  <c r="AB9" i="14"/>
  <c r="AB24" i="12"/>
  <c r="AB11" i="14"/>
  <c r="AB17" i="13"/>
  <c r="AB17" i="16"/>
  <c r="AB14" i="13"/>
  <c r="AB5" i="16"/>
  <c r="AB23" i="12"/>
  <c r="AB14" i="14"/>
  <c r="AB17" i="19"/>
  <c r="AB17" i="12"/>
  <c r="AB13" i="12"/>
  <c r="AB6" i="13"/>
  <c r="AB4" i="11"/>
  <c r="AB9" i="13"/>
  <c r="AB17" i="11"/>
  <c r="AB4" i="16"/>
  <c r="AB10" i="12"/>
  <c r="AB22" i="15"/>
  <c r="AB17" i="15"/>
  <c r="AB7" i="11"/>
  <c r="AB23" i="15"/>
  <c r="AB10" i="11"/>
  <c r="AB6" i="12"/>
  <c r="AB6" i="15"/>
  <c r="AB24" i="15"/>
  <c r="AB15" i="14"/>
  <c r="AB4" i="19"/>
  <c r="AB12" i="16"/>
  <c r="AB13" i="15"/>
  <c r="AB13" i="14"/>
  <c r="AB22" i="11"/>
  <c r="AB7" i="14"/>
  <c r="AB22" i="13"/>
  <c r="AB10" i="16"/>
  <c r="AB5" i="12"/>
  <c r="AB16" i="19"/>
  <c r="AB6" i="14"/>
  <c r="AB23" i="13"/>
  <c r="AB7" i="16"/>
  <c r="AB16" i="12"/>
  <c r="AB12" i="13"/>
  <c r="AB10" i="15"/>
  <c r="AB11" i="11"/>
  <c r="AB18" i="11"/>
  <c r="AB7" i="12"/>
  <c r="AB18" i="12"/>
  <c r="AB18" i="16"/>
  <c r="AB16" i="14"/>
  <c r="AB5" i="19"/>
  <c r="AB6" i="19"/>
  <c r="AB16" i="13"/>
  <c r="AB22" i="12"/>
  <c r="AB18" i="14"/>
  <c r="AB4" i="12"/>
  <c r="AB15" i="16"/>
  <c r="AB9" i="15"/>
  <c r="AB10" i="14"/>
  <c r="AB15" i="13"/>
  <c r="AB13" i="11"/>
  <c r="AB8" i="11"/>
  <c r="AB9" i="11"/>
  <c r="AB12" i="12"/>
  <c r="AB8" i="12"/>
  <c r="AB7" i="19"/>
  <c r="AB23" i="19"/>
  <c r="AB23" i="16"/>
  <c r="AB11" i="12"/>
  <c r="AB24" i="16"/>
  <c r="AB13" i="13"/>
  <c r="AB24" i="13"/>
  <c r="AB24" i="11"/>
  <c r="AB14" i="12"/>
  <c r="AB17" i="14"/>
  <c r="R292" i="1"/>
  <c r="U292" i="1" s="1"/>
  <c r="BJ38" i="19"/>
  <c r="BJ52" i="19"/>
  <c r="BJ59" i="19"/>
  <c r="BJ40" i="19"/>
  <c r="BJ44" i="19"/>
  <c r="BJ55" i="19"/>
  <c r="BJ39" i="19"/>
  <c r="BJ29" i="19"/>
  <c r="BJ35" i="19"/>
  <c r="BJ31" i="19"/>
  <c r="BJ36" i="19"/>
  <c r="BJ41" i="19"/>
  <c r="BJ27" i="19"/>
  <c r="BJ53" i="19"/>
  <c r="BJ56" i="19"/>
  <c r="BJ54" i="19"/>
  <c r="BJ33" i="19"/>
  <c r="BJ43" i="19"/>
  <c r="BJ28" i="19"/>
  <c r="BJ62" i="19"/>
  <c r="BJ60" i="19"/>
  <c r="BJ26" i="19"/>
  <c r="BJ45" i="19"/>
  <c r="BJ57" i="19"/>
  <c r="BJ34" i="19"/>
  <c r="BJ61" i="19"/>
  <c r="BJ37" i="19"/>
  <c r="BJ32" i="19"/>
  <c r="BJ30" i="19"/>
  <c r="BJ42" i="19"/>
  <c r="BJ25" i="19"/>
  <c r="BJ64" i="19"/>
  <c r="BJ63" i="19"/>
  <c r="BJ54" i="15"/>
  <c r="BJ39" i="15"/>
  <c r="BJ29" i="16"/>
  <c r="BJ42" i="15"/>
  <c r="BJ30" i="11"/>
  <c r="BJ30" i="14"/>
  <c r="BJ61" i="16"/>
  <c r="BJ40" i="13"/>
  <c r="BJ37" i="13"/>
  <c r="BJ25" i="15"/>
  <c r="BJ56" i="12"/>
  <c r="BJ61" i="14"/>
  <c r="BJ44" i="13"/>
  <c r="BJ62" i="14"/>
  <c r="BJ42" i="14"/>
  <c r="BJ53" i="11"/>
  <c r="BJ40" i="12"/>
  <c r="BJ34" i="14"/>
  <c r="BJ42" i="16"/>
  <c r="BJ31" i="12"/>
  <c r="BJ33" i="11"/>
  <c r="BJ36" i="16"/>
  <c r="BJ41" i="15"/>
  <c r="BJ63" i="12"/>
  <c r="BJ35" i="13"/>
  <c r="BJ57" i="14"/>
  <c r="BJ57" i="12"/>
  <c r="BJ43" i="14"/>
  <c r="BJ35" i="11"/>
  <c r="BJ42" i="12"/>
  <c r="BJ42" i="13"/>
  <c r="BJ33" i="13"/>
  <c r="BJ63" i="15"/>
  <c r="BJ27" i="13"/>
  <c r="BJ25" i="12"/>
  <c r="BJ27" i="11"/>
  <c r="BJ45" i="14"/>
  <c r="BJ57" i="16"/>
  <c r="BJ55" i="14"/>
  <c r="BJ64" i="11"/>
  <c r="BJ61" i="12"/>
  <c r="BJ63" i="14"/>
  <c r="BJ33" i="16"/>
  <c r="BJ54" i="11"/>
  <c r="BJ41" i="12"/>
  <c r="BJ54" i="14"/>
  <c r="BJ64" i="15"/>
  <c r="BJ34" i="13"/>
  <c r="BJ36" i="15"/>
  <c r="BJ45" i="15"/>
  <c r="BJ29" i="13"/>
  <c r="BJ53" i="12"/>
  <c r="BJ56" i="14"/>
  <c r="BJ56" i="13"/>
  <c r="BJ37" i="15"/>
  <c r="BJ45" i="16"/>
  <c r="BJ52" i="11"/>
  <c r="BJ55" i="15"/>
  <c r="BJ38" i="12"/>
  <c r="BJ32" i="12"/>
  <c r="BJ29" i="12"/>
  <c r="BJ31" i="11"/>
  <c r="BJ52" i="15"/>
  <c r="BJ52" i="14"/>
  <c r="BJ32" i="13"/>
  <c r="BJ55" i="11"/>
  <c r="BJ52" i="13"/>
  <c r="BJ57" i="15"/>
  <c r="BJ37" i="14"/>
  <c r="BJ63" i="16"/>
  <c r="BJ45" i="13"/>
  <c r="BJ62" i="11"/>
  <c r="BJ32" i="15"/>
  <c r="BJ27" i="12"/>
  <c r="BJ29" i="11"/>
  <c r="BJ25" i="14"/>
  <c r="BJ39" i="16"/>
  <c r="BJ26" i="12"/>
  <c r="BJ44" i="11"/>
  <c r="BJ62" i="13"/>
  <c r="BJ53" i="13"/>
  <c r="BJ32" i="16"/>
  <c r="BJ53" i="14"/>
  <c r="BJ25" i="13"/>
  <c r="BJ31" i="15"/>
  <c r="BJ56" i="15"/>
  <c r="BJ38" i="13"/>
  <c r="BJ38" i="15"/>
  <c r="BJ60" i="11"/>
  <c r="BJ35" i="15"/>
  <c r="BJ43" i="11"/>
  <c r="BJ44" i="14"/>
  <c r="BJ64" i="14"/>
  <c r="BJ38" i="16"/>
  <c r="BJ44" i="15"/>
  <c r="BJ59" i="11"/>
  <c r="BJ31" i="13"/>
  <c r="BJ30" i="13"/>
  <c r="BJ37" i="16"/>
  <c r="BJ35" i="12"/>
  <c r="BJ37" i="12"/>
  <c r="BJ29" i="14"/>
  <c r="BJ26" i="15"/>
  <c r="BJ26" i="13"/>
  <c r="BJ40" i="11"/>
  <c r="BJ60" i="16"/>
  <c r="BJ36" i="13"/>
  <c r="BJ31" i="16"/>
  <c r="BJ39" i="11"/>
  <c r="BJ45" i="12"/>
  <c r="BJ41" i="14"/>
  <c r="BJ32" i="11"/>
  <c r="BJ27" i="16"/>
  <c r="BJ28" i="15"/>
  <c r="BJ53" i="16"/>
  <c r="BJ64" i="12"/>
  <c r="BJ41" i="13"/>
  <c r="BJ52" i="16"/>
  <c r="BJ44" i="16"/>
  <c r="BJ55" i="13"/>
  <c r="BJ36" i="11"/>
  <c r="BJ33" i="15"/>
  <c r="BJ59" i="14"/>
  <c r="BJ62" i="16"/>
  <c r="BJ60" i="12"/>
  <c r="BJ35" i="16"/>
  <c r="BJ39" i="12"/>
  <c r="BJ34" i="15"/>
  <c r="BJ54" i="13"/>
  <c r="BJ57" i="11"/>
  <c r="BJ59" i="13"/>
  <c r="BJ26" i="11"/>
  <c r="BJ33" i="14"/>
  <c r="BJ37" i="11"/>
  <c r="BJ32" i="14"/>
  <c r="BJ52" i="12"/>
  <c r="BJ31" i="14"/>
  <c r="BJ54" i="16"/>
  <c r="BJ28" i="13"/>
  <c r="BJ34" i="16"/>
  <c r="BJ30" i="16"/>
  <c r="BJ30" i="15"/>
  <c r="BJ43" i="13"/>
  <c r="BJ54" i="12"/>
  <c r="BJ56" i="16"/>
  <c r="BJ27" i="14"/>
  <c r="BJ43" i="16"/>
  <c r="BJ33" i="12"/>
  <c r="BJ55" i="12"/>
  <c r="BJ60" i="15"/>
  <c r="BJ53" i="15"/>
  <c r="BJ41" i="11"/>
  <c r="BJ43" i="15"/>
  <c r="BJ29" i="15"/>
  <c r="BJ39" i="13"/>
  <c r="BJ28" i="11"/>
  <c r="BJ36" i="14"/>
  <c r="BJ41" i="16"/>
  <c r="BJ26" i="14"/>
  <c r="BJ39" i="14"/>
  <c r="BJ40" i="16"/>
  <c r="BJ38" i="11"/>
  <c r="BJ26" i="16"/>
  <c r="BJ35" i="14"/>
  <c r="BJ43" i="12"/>
  <c r="BJ44" i="12"/>
  <c r="BJ25" i="11"/>
  <c r="BJ64" i="13"/>
  <c r="BJ60" i="14"/>
  <c r="BJ62" i="15"/>
  <c r="BJ27" i="15"/>
  <c r="BJ45" i="11"/>
  <c r="BJ56" i="11"/>
  <c r="BJ28" i="16"/>
  <c r="BJ61" i="13"/>
  <c r="BJ36" i="12"/>
  <c r="BJ62" i="12"/>
  <c r="BJ59" i="15"/>
  <c r="BJ60" i="13"/>
  <c r="BJ57" i="13"/>
  <c r="BJ34" i="11"/>
  <c r="BJ42" i="11"/>
  <c r="BJ64" i="16"/>
  <c r="BJ59" i="12"/>
  <c r="BJ55" i="16"/>
  <c r="BJ63" i="13"/>
  <c r="BJ38" i="14"/>
  <c r="BJ34" i="12"/>
  <c r="BJ40" i="15"/>
  <c r="BJ63" i="11"/>
  <c r="BJ30" i="12"/>
  <c r="BJ61" i="11"/>
  <c r="BJ25" i="16"/>
  <c r="BJ28" i="14"/>
  <c r="BJ28" i="12"/>
  <c r="BJ59" i="16"/>
  <c r="BJ40" i="14"/>
  <c r="BJ61" i="15"/>
  <c r="R92" i="1"/>
  <c r="U92" i="1" s="1"/>
  <c r="BG48" i="19"/>
  <c r="BG47" i="19"/>
  <c r="BG51" i="19"/>
  <c r="BG50" i="19"/>
  <c r="BG46" i="19"/>
  <c r="BG21" i="19"/>
  <c r="BG20" i="19"/>
  <c r="BG19" i="19"/>
  <c r="BG50" i="12"/>
  <c r="BG49" i="13"/>
  <c r="BG48" i="13"/>
  <c r="BG47" i="15"/>
  <c r="BG50" i="16"/>
  <c r="BG20" i="13"/>
  <c r="BG49" i="14"/>
  <c r="BG46" i="12"/>
  <c r="BG49" i="11"/>
  <c r="BG19" i="15"/>
  <c r="BG20" i="16"/>
  <c r="BG46" i="13"/>
  <c r="BG51" i="12"/>
  <c r="BG20" i="11"/>
  <c r="BG19" i="12"/>
  <c r="BG50" i="15"/>
  <c r="BG21" i="16"/>
  <c r="BG21" i="15"/>
  <c r="BG47" i="14"/>
  <c r="BG19" i="16"/>
  <c r="BG48" i="12"/>
  <c r="BG21" i="13"/>
  <c r="BG48" i="11"/>
  <c r="BG20" i="12"/>
  <c r="BG47" i="12"/>
  <c r="BG46" i="14"/>
  <c r="BG49" i="15"/>
  <c r="BG48" i="15"/>
  <c r="BG51" i="14"/>
  <c r="BG46" i="16"/>
  <c r="BG50" i="11"/>
  <c r="BG21" i="14"/>
  <c r="BG51" i="11"/>
  <c r="BG20" i="14"/>
  <c r="BG51" i="15"/>
  <c r="BG51" i="13"/>
  <c r="BG19" i="13"/>
  <c r="BG50" i="13"/>
  <c r="BG50" i="14"/>
  <c r="BG47" i="13"/>
  <c r="BG47" i="16"/>
  <c r="BG46" i="11"/>
  <c r="BG19" i="11"/>
  <c r="BG21" i="12"/>
  <c r="BG51" i="16"/>
  <c r="BG19" i="14"/>
  <c r="BG46" i="15"/>
  <c r="BG48" i="14"/>
  <c r="BG20" i="15"/>
  <c r="BG49" i="16"/>
  <c r="BG48" i="16"/>
  <c r="BG21" i="11"/>
  <c r="BG47" i="11"/>
  <c r="R291" i="1"/>
  <c r="U291" i="1" s="1"/>
  <c r="AA60" i="19"/>
  <c r="AA45" i="19"/>
  <c r="AA28" i="19"/>
  <c r="AA42" i="11"/>
  <c r="AA63" i="11"/>
  <c r="AA55" i="16"/>
  <c r="AA29" i="11"/>
  <c r="AA64" i="11"/>
  <c r="AA44" i="14"/>
  <c r="AA60" i="12"/>
  <c r="AA62" i="14"/>
  <c r="AA27" i="12"/>
  <c r="AA61" i="13"/>
  <c r="AA39" i="15"/>
  <c r="AA39" i="12"/>
  <c r="AA56" i="14"/>
  <c r="AA36" i="13"/>
  <c r="AA54" i="15"/>
  <c r="AA26" i="16"/>
  <c r="AA30" i="16"/>
  <c r="AA27" i="15"/>
  <c r="AA33" i="15"/>
  <c r="AA64" i="19"/>
  <c r="AA56" i="19"/>
  <c r="AA39" i="19"/>
  <c r="AA27" i="11"/>
  <c r="AA64" i="15"/>
  <c r="AA27" i="16"/>
  <c r="AA60" i="15"/>
  <c r="AA26" i="13"/>
  <c r="AA28" i="11"/>
  <c r="AA30" i="11"/>
  <c r="AA41" i="13"/>
  <c r="AA42" i="12"/>
  <c r="AA61" i="12"/>
  <c r="AA36" i="12"/>
  <c r="AA45" i="14"/>
  <c r="AA54" i="14"/>
  <c r="AA37" i="12"/>
  <c r="AA59" i="13"/>
  <c r="AA31" i="15"/>
  <c r="AA27" i="14"/>
  <c r="AA55" i="13"/>
  <c r="AA40" i="12"/>
  <c r="AA60" i="11"/>
  <c r="AA54" i="19"/>
  <c r="AA43" i="15"/>
  <c r="AA29" i="15"/>
  <c r="AA45" i="16"/>
  <c r="AA39" i="11"/>
  <c r="AA43" i="11"/>
  <c r="AA60" i="13"/>
  <c r="AA35" i="12"/>
  <c r="AA59" i="14"/>
  <c r="AA52" i="16"/>
  <c r="AA37" i="14"/>
  <c r="AA36" i="15"/>
  <c r="AA41" i="11"/>
  <c r="AA29" i="12"/>
  <c r="AA56" i="12"/>
  <c r="AA57" i="11"/>
  <c r="AA29" i="16"/>
  <c r="AA64" i="13"/>
  <c r="AA38" i="15"/>
  <c r="AA44" i="16"/>
  <c r="AA61" i="14"/>
  <c r="AA59" i="15"/>
  <c r="AA35" i="11"/>
  <c r="AA34" i="13"/>
  <c r="AA28" i="16"/>
  <c r="AA53" i="15"/>
  <c r="AA25" i="13"/>
  <c r="AA61" i="11"/>
  <c r="AA31" i="11"/>
  <c r="AA29" i="13"/>
  <c r="AA31" i="14"/>
  <c r="AA62" i="16"/>
  <c r="AA40" i="13"/>
  <c r="AA53" i="12"/>
  <c r="AA26" i="15"/>
  <c r="AA61" i="16"/>
  <c r="AA25" i="11"/>
  <c r="AA44" i="13"/>
  <c r="AA31" i="16"/>
  <c r="AA44" i="19"/>
  <c r="AA42" i="19"/>
  <c r="AA25" i="12"/>
  <c r="AA32" i="14"/>
  <c r="AA53" i="14"/>
  <c r="AA32" i="11"/>
  <c r="AA26" i="12"/>
  <c r="AA41" i="14"/>
  <c r="AA64" i="14"/>
  <c r="AA39" i="13"/>
  <c r="AA44" i="11"/>
  <c r="AA54" i="11"/>
  <c r="AA38" i="12"/>
  <c r="AA38" i="13"/>
  <c r="AA26" i="19"/>
  <c r="AA42" i="16"/>
  <c r="AA60" i="16"/>
  <c r="AA28" i="12"/>
  <c r="AA32" i="12"/>
  <c r="AA28" i="14"/>
  <c r="AA43" i="13"/>
  <c r="AA42" i="15"/>
  <c r="AA36" i="14"/>
  <c r="AA64" i="16"/>
  <c r="AA39" i="16"/>
  <c r="AA40" i="11"/>
  <c r="AA44" i="15"/>
  <c r="AA33" i="16"/>
  <c r="AA41" i="16"/>
  <c r="AA40" i="15"/>
  <c r="AA56" i="16"/>
  <c r="AA30" i="15"/>
  <c r="AA62" i="11"/>
  <c r="AA35" i="16"/>
  <c r="AA52" i="11"/>
  <c r="AA61" i="19"/>
  <c r="AA31" i="19"/>
  <c r="AA32" i="19"/>
  <c r="AA57" i="19"/>
  <c r="AA29" i="19"/>
  <c r="AA36" i="19"/>
  <c r="AA41" i="19"/>
  <c r="AA45" i="11"/>
  <c r="AA43" i="14"/>
  <c r="AA41" i="15"/>
  <c r="AA52" i="12"/>
  <c r="AA32" i="13"/>
  <c r="AA43" i="12"/>
  <c r="AA40" i="16"/>
  <c r="AA54" i="12"/>
  <c r="AA39" i="14"/>
  <c r="AA57" i="14"/>
  <c r="AA30" i="13"/>
  <c r="AA52" i="14"/>
  <c r="AA34" i="16"/>
  <c r="AA33" i="14"/>
  <c r="AA43" i="16"/>
  <c r="AA35" i="15"/>
  <c r="AA54" i="13"/>
  <c r="AA52" i="19"/>
  <c r="AA25" i="19"/>
  <c r="AA40" i="19"/>
  <c r="AA25" i="14"/>
  <c r="AA57" i="12"/>
  <c r="AA33" i="12"/>
  <c r="AA57" i="13"/>
  <c r="AA26" i="11"/>
  <c r="AA53" i="11"/>
  <c r="AA32" i="16"/>
  <c r="AA30" i="14"/>
  <c r="AA52" i="15"/>
  <c r="AA55" i="14"/>
  <c r="AA42" i="14"/>
  <c r="AA45" i="12"/>
  <c r="AA59" i="16"/>
  <c r="AA26" i="14"/>
  <c r="AA34" i="14"/>
  <c r="AA59" i="11"/>
  <c r="AA25" i="15"/>
  <c r="AA63" i="13"/>
  <c r="AA54" i="16"/>
  <c r="AA42" i="13"/>
  <c r="AA35" i="14"/>
  <c r="AA52" i="13"/>
  <c r="AA35" i="19"/>
  <c r="AA37" i="19"/>
  <c r="AA63" i="19"/>
  <c r="AA34" i="19"/>
  <c r="AA55" i="19"/>
  <c r="AA34" i="11"/>
  <c r="AA44" i="12"/>
  <c r="AA33" i="11"/>
  <c r="AA29" i="14"/>
  <c r="AA37" i="11"/>
  <c r="AA61" i="15"/>
  <c r="AA56" i="13"/>
  <c r="AA38" i="14"/>
  <c r="AA40" i="14"/>
  <c r="AA30" i="12"/>
  <c r="AA32" i="15"/>
  <c r="AA34" i="12"/>
  <c r="AA33" i="13"/>
  <c r="AA31" i="13"/>
  <c r="AA63" i="15"/>
  <c r="AA59" i="19"/>
  <c r="AA43" i="19"/>
  <c r="AA62" i="19"/>
  <c r="AA38" i="11"/>
  <c r="AA37" i="13"/>
  <c r="AA57" i="15"/>
  <c r="AA63" i="16"/>
  <c r="AA36" i="16"/>
  <c r="AA35" i="13"/>
  <c r="AA59" i="12"/>
  <c r="AA55" i="11"/>
  <c r="AA38" i="16"/>
  <c r="AA62" i="13"/>
  <c r="AA45" i="15"/>
  <c r="AA30" i="19"/>
  <c r="AA27" i="19"/>
  <c r="AA56" i="15"/>
  <c r="AA25" i="16"/>
  <c r="AA53" i="13"/>
  <c r="AA27" i="13"/>
  <c r="AA45" i="13"/>
  <c r="AA60" i="14"/>
  <c r="AA62" i="15"/>
  <c r="AA55" i="15"/>
  <c r="AA63" i="14"/>
  <c r="AA41" i="12"/>
  <c r="AA38" i="19"/>
  <c r="AA33" i="19"/>
  <c r="AA53" i="19"/>
  <c r="AA63" i="12"/>
  <c r="AA56" i="11"/>
  <c r="AA36" i="11"/>
  <c r="AA28" i="13"/>
  <c r="AA28" i="15"/>
  <c r="AA62" i="12"/>
  <c r="AA34" i="15"/>
  <c r="AA53" i="16"/>
  <c r="AA37" i="15"/>
  <c r="AA31" i="12"/>
  <c r="AA55" i="12"/>
  <c r="AA64" i="12"/>
  <c r="AA37" i="16"/>
  <c r="AA57" i="16"/>
  <c r="AE18" i="19"/>
  <c r="AE24" i="19"/>
  <c r="AE9" i="14"/>
  <c r="AE7" i="11"/>
  <c r="AE23" i="16"/>
  <c r="AE13" i="12"/>
  <c r="AE6" i="16"/>
  <c r="AE11" i="16"/>
  <c r="AE12" i="16"/>
  <c r="AE14" i="15"/>
  <c r="AE10" i="15"/>
  <c r="AE6" i="11"/>
  <c r="AE9" i="15"/>
  <c r="AE4" i="16"/>
  <c r="AE22" i="13"/>
  <c r="AE13" i="13"/>
  <c r="AE9" i="13"/>
  <c r="AE7" i="19"/>
  <c r="AE11" i="19"/>
  <c r="AE10" i="19"/>
  <c r="AE23" i="19"/>
  <c r="AE6" i="19"/>
  <c r="AE9" i="11"/>
  <c r="AE4" i="13"/>
  <c r="AE16" i="11"/>
  <c r="AE24" i="13"/>
  <c r="AE11" i="13"/>
  <c r="AE17" i="11"/>
  <c r="AE8" i="15"/>
  <c r="AE5" i="14"/>
  <c r="AE22" i="15"/>
  <c r="AE6" i="15"/>
  <c r="AE8" i="19"/>
  <c r="AE13" i="19"/>
  <c r="AE15" i="11"/>
  <c r="AE16" i="12"/>
  <c r="AE13" i="16"/>
  <c r="AE4" i="11"/>
  <c r="AE16" i="14"/>
  <c r="AE11" i="12"/>
  <c r="AE8" i="11"/>
  <c r="AE9" i="19"/>
  <c r="AE22" i="12"/>
  <c r="AE14" i="14"/>
  <c r="AE10" i="14"/>
  <c r="AE7" i="12"/>
  <c r="AE7" i="13"/>
  <c r="AE22" i="19"/>
  <c r="AE12" i="19"/>
  <c r="AE23" i="11"/>
  <c r="AE12" i="15"/>
  <c r="AE18" i="15"/>
  <c r="AE18" i="13"/>
  <c r="AE13" i="11"/>
  <c r="AE9" i="16"/>
  <c r="AE4" i="15"/>
  <c r="AE17" i="15"/>
  <c r="AE8" i="12"/>
  <c r="AE15" i="13"/>
  <c r="AE16" i="19"/>
  <c r="AE24" i="11"/>
  <c r="AE4" i="12"/>
  <c r="AE12" i="11"/>
  <c r="AE24" i="16"/>
  <c r="AE4" i="14"/>
  <c r="AE17" i="12"/>
  <c r="AE18" i="14"/>
  <c r="AE14" i="11"/>
  <c r="AE10" i="13"/>
  <c r="AE15" i="19"/>
  <c r="AE23" i="13"/>
  <c r="AE16" i="13"/>
  <c r="AE7" i="15"/>
  <c r="AE10" i="16"/>
  <c r="AE5" i="13"/>
  <c r="AE11" i="14"/>
  <c r="AE11" i="11"/>
  <c r="AE23" i="14"/>
  <c r="AE24" i="14"/>
  <c r="AE22" i="11"/>
  <c r="AE5" i="12"/>
  <c r="AE14" i="12"/>
  <c r="AE18" i="11"/>
  <c r="AE13" i="15"/>
  <c r="AE23" i="15"/>
  <c r="AE18" i="16"/>
  <c r="AE22" i="16"/>
  <c r="AE12" i="14"/>
  <c r="AE17" i="14"/>
  <c r="AE23" i="12"/>
  <c r="AE17" i="19"/>
  <c r="AE15" i="12"/>
  <c r="AE12" i="13"/>
  <c r="AE14" i="13"/>
  <c r="AE17" i="16"/>
  <c r="AE17" i="13"/>
  <c r="AE12" i="12"/>
  <c r="AE7" i="14"/>
  <c r="AE7" i="16"/>
  <c r="AE11" i="15"/>
  <c r="AE5" i="11"/>
  <c r="AE14" i="16"/>
  <c r="AE15" i="15"/>
  <c r="AE22" i="14"/>
  <c r="AE24" i="15"/>
  <c r="AE14" i="19"/>
  <c r="AE4" i="19"/>
  <c r="AE5" i="19"/>
  <c r="AE5" i="16"/>
  <c r="AE18" i="12"/>
  <c r="AE13" i="14"/>
  <c r="AE10" i="12"/>
  <c r="AE16" i="16"/>
  <c r="AE5" i="15"/>
  <c r="AE8" i="16"/>
  <c r="AE10" i="11"/>
  <c r="AE6" i="12"/>
  <c r="AE15" i="16"/>
  <c r="AE16" i="15"/>
  <c r="AE24" i="12"/>
  <c r="AE6" i="14"/>
  <c r="AE8" i="14"/>
  <c r="AE8" i="13"/>
  <c r="AE15" i="14"/>
  <c r="AE6" i="13"/>
  <c r="R288" i="1"/>
  <c r="U288" i="1" s="1"/>
  <c r="R289" i="1"/>
  <c r="U289" i="1" s="1"/>
  <c r="N30" i="19"/>
  <c r="N54" i="14"/>
  <c r="N30" i="15"/>
  <c r="N53" i="15"/>
  <c r="N28" i="14"/>
  <c r="N54" i="12"/>
  <c r="N43" i="12"/>
  <c r="N25" i="16"/>
  <c r="N61" i="15"/>
  <c r="N38" i="13"/>
  <c r="N57" i="12"/>
  <c r="N39" i="12"/>
  <c r="N32" i="19"/>
  <c r="N57" i="19"/>
  <c r="N36" i="11"/>
  <c r="N31" i="12"/>
  <c r="N34" i="16"/>
  <c r="N62" i="15"/>
  <c r="N40" i="13"/>
  <c r="N31" i="11"/>
  <c r="N40" i="11"/>
  <c r="N52" i="11"/>
  <c r="N42" i="16"/>
  <c r="N59" i="15"/>
  <c r="N63" i="14"/>
  <c r="N40" i="16"/>
  <c r="N62" i="12"/>
  <c r="N37" i="15"/>
  <c r="N33" i="16"/>
  <c r="N59" i="14"/>
  <c r="N34" i="14"/>
  <c r="N45" i="11"/>
  <c r="N55" i="13"/>
  <c r="N43" i="14"/>
  <c r="N60" i="11"/>
  <c r="N26" i="19"/>
  <c r="N29" i="12"/>
  <c r="N61" i="16"/>
  <c r="N26" i="16"/>
  <c r="N63" i="13"/>
  <c r="N57" i="14"/>
  <c r="N31" i="14"/>
  <c r="N63" i="16"/>
  <c r="N35" i="11"/>
  <c r="N40" i="14"/>
  <c r="N64" i="16"/>
  <c r="N28" i="16"/>
  <c r="N30" i="13"/>
  <c r="N54" i="15"/>
  <c r="N27" i="13"/>
  <c r="N45" i="13"/>
  <c r="N35" i="16"/>
  <c r="N30" i="11"/>
  <c r="N37" i="12"/>
  <c r="N55" i="16"/>
  <c r="N29" i="19"/>
  <c r="N60" i="19"/>
  <c r="N34" i="19"/>
  <c r="N54" i="19"/>
  <c r="N43" i="13"/>
  <c r="N63" i="11"/>
  <c r="N60" i="14"/>
  <c r="N56" i="12"/>
  <c r="N64" i="14"/>
  <c r="N42" i="13"/>
  <c r="N34" i="15"/>
  <c r="N45" i="14"/>
  <c r="N32" i="11"/>
  <c r="N40" i="12"/>
  <c r="N64" i="13"/>
  <c r="N59" i="13"/>
  <c r="N38" i="14"/>
  <c r="N45" i="16"/>
  <c r="N44" i="16"/>
  <c r="N25" i="14"/>
  <c r="N27" i="11"/>
  <c r="N55" i="12"/>
  <c r="N39" i="16"/>
  <c r="N31" i="19"/>
  <c r="N37" i="19"/>
  <c r="N56" i="19"/>
  <c r="N56" i="15"/>
  <c r="N57" i="11"/>
  <c r="N62" i="13"/>
  <c r="N59" i="11"/>
  <c r="N39" i="11"/>
  <c r="N37" i="11"/>
  <c r="N37" i="16"/>
  <c r="N28" i="13"/>
  <c r="N31" i="13"/>
  <c r="N54" i="13"/>
  <c r="N25" i="12"/>
  <c r="N62" i="16"/>
  <c r="N42" i="11"/>
  <c r="N44" i="13"/>
  <c r="N44" i="12"/>
  <c r="N36" i="16"/>
  <c r="N32" i="14"/>
  <c r="N63" i="15"/>
  <c r="N42" i="19"/>
  <c r="N28" i="19"/>
  <c r="N63" i="19"/>
  <c r="N44" i="11"/>
  <c r="N55" i="11"/>
  <c r="N45" i="12"/>
  <c r="N33" i="14"/>
  <c r="N63" i="12"/>
  <c r="N60" i="13"/>
  <c r="N26" i="14"/>
  <c r="N56" i="14"/>
  <c r="N52" i="13"/>
  <c r="N29" i="14"/>
  <c r="N34" i="12"/>
  <c r="N39" i="15"/>
  <c r="N61" i="11"/>
  <c r="N44" i="14"/>
  <c r="N41" i="19"/>
  <c r="N53" i="19"/>
  <c r="N39" i="19"/>
  <c r="N56" i="11"/>
  <c r="N33" i="15"/>
  <c r="N39" i="14"/>
  <c r="N34" i="11"/>
  <c r="N61" i="14"/>
  <c r="N35" i="12"/>
  <c r="N28" i="11"/>
  <c r="N26" i="15"/>
  <c r="N32" i="16"/>
  <c r="N60" i="12"/>
  <c r="N43" i="11"/>
  <c r="N25" i="13"/>
  <c r="N31" i="16"/>
  <c r="N29" i="15"/>
  <c r="N57" i="15"/>
  <c r="N53" i="13"/>
  <c r="N30" i="16"/>
  <c r="N28" i="15"/>
  <c r="N43" i="15"/>
  <c r="N62" i="11"/>
  <c r="N44" i="19"/>
  <c r="N55" i="19"/>
  <c r="N33" i="19"/>
  <c r="N30" i="14"/>
  <c r="N38" i="16"/>
  <c r="N32" i="13"/>
  <c r="N60" i="15"/>
  <c r="N33" i="13"/>
  <c r="N35" i="13"/>
  <c r="N57" i="13"/>
  <c r="N62" i="14"/>
  <c r="N41" i="14"/>
  <c r="N29" i="16"/>
  <c r="N57" i="16"/>
  <c r="N26" i="12"/>
  <c r="N56" i="13"/>
  <c r="N40" i="15"/>
  <c r="N55" i="14"/>
  <c r="N52" i="16"/>
  <c r="N25" i="15"/>
  <c r="N61" i="19"/>
  <c r="N45" i="19"/>
  <c r="N26" i="11"/>
  <c r="N27" i="15"/>
  <c r="N59" i="12"/>
  <c r="N41" i="12"/>
  <c r="N30" i="12"/>
  <c r="N35" i="15"/>
  <c r="N36" i="12"/>
  <c r="N41" i="15"/>
  <c r="N55" i="15"/>
  <c r="N56" i="16"/>
  <c r="N53" i="12"/>
  <c r="N52" i="12"/>
  <c r="N59" i="16"/>
  <c r="N42" i="12"/>
  <c r="N52" i="14"/>
  <c r="N43" i="19"/>
  <c r="N40" i="19"/>
  <c r="N42" i="14"/>
  <c r="N60" i="16"/>
  <c r="N37" i="13"/>
  <c r="N28" i="12"/>
  <c r="N27" i="12"/>
  <c r="N41" i="16"/>
  <c r="N36" i="13"/>
  <c r="N38" i="12"/>
  <c r="N42" i="15"/>
  <c r="N53" i="11"/>
  <c r="N64" i="11"/>
  <c r="N45" i="15"/>
  <c r="N32" i="15"/>
  <c r="N37" i="14"/>
  <c r="N27" i="19"/>
  <c r="N59" i="19"/>
  <c r="N25" i="19"/>
  <c r="N38" i="19"/>
  <c r="N52" i="19"/>
  <c r="N41" i="11"/>
  <c r="N34" i="13"/>
  <c r="N43" i="16"/>
  <c r="N38" i="15"/>
  <c r="N38" i="11"/>
  <c r="N39" i="13"/>
  <c r="N29" i="11"/>
  <c r="N61" i="13"/>
  <c r="N54" i="11"/>
  <c r="N33" i="12"/>
  <c r="N35" i="14"/>
  <c r="N54" i="16"/>
  <c r="N36" i="14"/>
  <c r="N64" i="19"/>
  <c r="N36" i="19"/>
  <c r="N62" i="19"/>
  <c r="N35" i="19"/>
  <c r="N25" i="11"/>
  <c r="N33" i="11"/>
  <c r="N26" i="13"/>
  <c r="N64" i="12"/>
  <c r="N27" i="16"/>
  <c r="N27" i="14"/>
  <c r="N64" i="15"/>
  <c r="N41" i="13"/>
  <c r="N31" i="15"/>
  <c r="N53" i="14"/>
  <c r="N36" i="15"/>
  <c r="N29" i="13"/>
  <c r="N44" i="15"/>
  <c r="N32" i="12"/>
  <c r="N61" i="12"/>
  <c r="N53" i="16"/>
  <c r="N52" i="15"/>
  <c r="R290" i="1"/>
  <c r="U290" i="1" s="1"/>
  <c r="R301" i="1"/>
  <c r="U301" i="1" s="1"/>
  <c r="Y55" i="19"/>
  <c r="Y29" i="19"/>
  <c r="Y33" i="19"/>
  <c r="Y63" i="11"/>
  <c r="Y35" i="11"/>
  <c r="Y28" i="11"/>
  <c r="Y31" i="13"/>
  <c r="Y52" i="16"/>
  <c r="Y56" i="12"/>
  <c r="Y57" i="15"/>
  <c r="Y35" i="16"/>
  <c r="Y60" i="11"/>
  <c r="Y45" i="14"/>
  <c r="Y40" i="13"/>
  <c r="Y31" i="11"/>
  <c r="Y44" i="14"/>
  <c r="Y33" i="11"/>
  <c r="Y55" i="13"/>
  <c r="Y55" i="11"/>
  <c r="Y35" i="12"/>
  <c r="Y34" i="12"/>
  <c r="Y53" i="12"/>
  <c r="Y34" i="14"/>
  <c r="Y33" i="13"/>
  <c r="Y57" i="19"/>
  <c r="Y52" i="19"/>
  <c r="Y41" i="19"/>
  <c r="Y35" i="14"/>
  <c r="Y44" i="11"/>
  <c r="Y45" i="11"/>
  <c r="Y30" i="11"/>
  <c r="Y53" i="13"/>
  <c r="Y55" i="16"/>
  <c r="Y61" i="11"/>
  <c r="Y40" i="12"/>
  <c r="Y44" i="16"/>
  <c r="Y43" i="14"/>
  <c r="Y36" i="12"/>
  <c r="Y32" i="16"/>
  <c r="Y31" i="16"/>
  <c r="Y32" i="15"/>
  <c r="Y26" i="11"/>
  <c r="Y29" i="12"/>
  <c r="Y42" i="11"/>
  <c r="Y61" i="12"/>
  <c r="Y27" i="15"/>
  <c r="Y45" i="12"/>
  <c r="Y38" i="15"/>
  <c r="Y33" i="15"/>
  <c r="Y25" i="16"/>
  <c r="Y44" i="19"/>
  <c r="Y61" i="19"/>
  <c r="Y54" i="14"/>
  <c r="Y37" i="11"/>
  <c r="Y45" i="13"/>
  <c r="Y32" i="11"/>
  <c r="Y39" i="12"/>
  <c r="Y35" i="15"/>
  <c r="Y34" i="13"/>
  <c r="Y63" i="13"/>
  <c r="Y33" i="12"/>
  <c r="Y29" i="14"/>
  <c r="Y56" i="16"/>
  <c r="Y44" i="15"/>
  <c r="Y30" i="13"/>
  <c r="Y25" i="11"/>
  <c r="Y37" i="16"/>
  <c r="Y59" i="19"/>
  <c r="Y27" i="19"/>
  <c r="Y62" i="19"/>
  <c r="Y64" i="11"/>
  <c r="Y36" i="13"/>
  <c r="Y59" i="14"/>
  <c r="Y53" i="14"/>
  <c r="Y32" i="13"/>
  <c r="Y28" i="16"/>
  <c r="Y55" i="12"/>
  <c r="Y38" i="12"/>
  <c r="Y42" i="13"/>
  <c r="Y42" i="12"/>
  <c r="Y55" i="15"/>
  <c r="Y34" i="19"/>
  <c r="Y31" i="19"/>
  <c r="Y56" i="11"/>
  <c r="Y52" i="11"/>
  <c r="Y40" i="16"/>
  <c r="Y30" i="14"/>
  <c r="Y60" i="15"/>
  <c r="Y41" i="15"/>
  <c r="Y38" i="11"/>
  <c r="Y44" i="12"/>
  <c r="Y62" i="14"/>
  <c r="Y26" i="15"/>
  <c r="Y29" i="13"/>
  <c r="Y36" i="14"/>
  <c r="Y57" i="14"/>
  <c r="Y59" i="15"/>
  <c r="Y38" i="16"/>
  <c r="Y41" i="12"/>
  <c r="Y32" i="19"/>
  <c r="Y56" i="19"/>
  <c r="Y25" i="19"/>
  <c r="Y28" i="19"/>
  <c r="Y57" i="11"/>
  <c r="Y41" i="16"/>
  <c r="Y63" i="14"/>
  <c r="Y26" i="16"/>
  <c r="Y28" i="12"/>
  <c r="Y63" i="12"/>
  <c r="Y31" i="15"/>
  <c r="Y44" i="13"/>
  <c r="Y30" i="15"/>
  <c r="Y53" i="16"/>
  <c r="Y37" i="14"/>
  <c r="Y28" i="15"/>
  <c r="Y64" i="12"/>
  <c r="Y59" i="12"/>
  <c r="Y30" i="12"/>
  <c r="Y52" i="13"/>
  <c r="Y64" i="16"/>
  <c r="Y52" i="12"/>
  <c r="Y54" i="19"/>
  <c r="Y60" i="19"/>
  <c r="Y53" i="19"/>
  <c r="Y36" i="11"/>
  <c r="Y39" i="11"/>
  <c r="Y60" i="14"/>
  <c r="Y37" i="15"/>
  <c r="Y35" i="13"/>
  <c r="Y27" i="14"/>
  <c r="Y56" i="14"/>
  <c r="Y43" i="15"/>
  <c r="Y62" i="13"/>
  <c r="Y26" i="14"/>
  <c r="Y43" i="12"/>
  <c r="Y32" i="12"/>
  <c r="Y29" i="15"/>
  <c r="Y42" i="14"/>
  <c r="Y34" i="15"/>
  <c r="Y39" i="19"/>
  <c r="Y30" i="19"/>
  <c r="Y59" i="11"/>
  <c r="Y59" i="13"/>
  <c r="Y34" i="16"/>
  <c r="Y28" i="13"/>
  <c r="Y57" i="12"/>
  <c r="Y62" i="12"/>
  <c r="Y54" i="13"/>
  <c r="Y26" i="13"/>
  <c r="Y41" i="11"/>
  <c r="Y61" i="16"/>
  <c r="Y64" i="19"/>
  <c r="Y38" i="19"/>
  <c r="Y36" i="19"/>
  <c r="Y43" i="19"/>
  <c r="Y42" i="19"/>
  <c r="Y62" i="16"/>
  <c r="Y29" i="11"/>
  <c r="Y38" i="13"/>
  <c r="Y63" i="15"/>
  <c r="Y41" i="13"/>
  <c r="Y62" i="11"/>
  <c r="Y36" i="16"/>
  <c r="Y38" i="14"/>
  <c r="Y54" i="15"/>
  <c r="Y31" i="12"/>
  <c r="Y56" i="15"/>
  <c r="Y59" i="16"/>
  <c r="Y64" i="14"/>
  <c r="Y56" i="13"/>
  <c r="Y34" i="11"/>
  <c r="Y60" i="16"/>
  <c r="Y43" i="16"/>
  <c r="Y30" i="16"/>
  <c r="Y41" i="14"/>
  <c r="Y63" i="16"/>
  <c r="Y43" i="13"/>
  <c r="Y42" i="16"/>
  <c r="Y54" i="12"/>
  <c r="Y27" i="11"/>
  <c r="Y37" i="19"/>
  <c r="Y26" i="19"/>
  <c r="Y63" i="19"/>
  <c r="Y32" i="14"/>
  <c r="Y40" i="11"/>
  <c r="Y33" i="16"/>
  <c r="Y27" i="12"/>
  <c r="Y61" i="14"/>
  <c r="Y42" i="15"/>
  <c r="Y28" i="14"/>
  <c r="Y55" i="14"/>
  <c r="Y39" i="15"/>
  <c r="Y52" i="15"/>
  <c r="Y27" i="16"/>
  <c r="Y37" i="13"/>
  <c r="Y54" i="16"/>
  <c r="Y39" i="14"/>
  <c r="Y25" i="14"/>
  <c r="Y40" i="19"/>
  <c r="Y45" i="19"/>
  <c r="Y40" i="15"/>
  <c r="Y39" i="13"/>
  <c r="Y61" i="13"/>
  <c r="Y57" i="13"/>
  <c r="Y62" i="15"/>
  <c r="Y45" i="16"/>
  <c r="Y64" i="13"/>
  <c r="Y40" i="14"/>
  <c r="Y33" i="14"/>
  <c r="Y29" i="16"/>
  <c r="Y60" i="12"/>
  <c r="Y31" i="14"/>
  <c r="Y45" i="15"/>
  <c r="Y37" i="12"/>
  <c r="Y64" i="15"/>
  <c r="Y36" i="15"/>
  <c r="Y53" i="11"/>
  <c r="Y57" i="16"/>
  <c r="Y39" i="16"/>
  <c r="Y43" i="11"/>
  <c r="Y25" i="12"/>
  <c r="Y52" i="14"/>
  <c r="Y53" i="15"/>
  <c r="Y26" i="12"/>
  <c r="Y35" i="19"/>
  <c r="Y54" i="11"/>
  <c r="Y27" i="13"/>
  <c r="Y60" i="13"/>
  <c r="Y61" i="15"/>
  <c r="Y25" i="15"/>
  <c r="Y25" i="13"/>
  <c r="L46" i="19"/>
  <c r="L20" i="19"/>
  <c r="L50" i="19"/>
  <c r="L48" i="19"/>
  <c r="L51" i="19"/>
  <c r="L19" i="19"/>
  <c r="L47" i="19"/>
  <c r="L21" i="19"/>
  <c r="L19" i="16"/>
  <c r="L46" i="15"/>
  <c r="L50" i="12"/>
  <c r="L51" i="12"/>
  <c r="L47" i="14"/>
  <c r="L48" i="14"/>
  <c r="L47" i="12"/>
  <c r="L46" i="14"/>
  <c r="L46" i="11"/>
  <c r="L21" i="16"/>
  <c r="L21" i="11"/>
  <c r="L21" i="13"/>
  <c r="L20" i="14"/>
  <c r="L50" i="11"/>
  <c r="L49" i="15"/>
  <c r="L19" i="15"/>
  <c r="L51" i="16"/>
  <c r="L51" i="15"/>
  <c r="L48" i="13"/>
  <c r="L46" i="13"/>
  <c r="L48" i="12"/>
  <c r="L46" i="12"/>
  <c r="L48" i="15"/>
  <c r="L19" i="11"/>
  <c r="L21" i="12"/>
  <c r="L50" i="15"/>
  <c r="L19" i="13"/>
  <c r="L49" i="16"/>
  <c r="L20" i="12"/>
  <c r="L51" i="14"/>
  <c r="L21" i="14"/>
  <c r="L50" i="16"/>
  <c r="L19" i="14"/>
  <c r="L20" i="16"/>
  <c r="L48" i="11"/>
  <c r="L20" i="13"/>
  <c r="L51" i="11"/>
  <c r="L49" i="11"/>
  <c r="L49" i="14"/>
  <c r="L50" i="13"/>
  <c r="L46" i="16"/>
  <c r="L50" i="14"/>
  <c r="L20" i="15"/>
  <c r="L51" i="13"/>
  <c r="L48" i="16"/>
  <c r="L47" i="11"/>
  <c r="L19" i="12"/>
  <c r="L21" i="15"/>
  <c r="L47" i="15"/>
  <c r="L47" i="13"/>
  <c r="L20" i="11"/>
  <c r="L49" i="13"/>
  <c r="L47" i="16"/>
  <c r="R85" i="1"/>
  <c r="U85" i="1" s="1"/>
  <c r="N13" i="19"/>
  <c r="N23" i="19"/>
  <c r="N10" i="19"/>
  <c r="N12" i="19"/>
  <c r="N7" i="19"/>
  <c r="N9" i="19"/>
  <c r="N18" i="19"/>
  <c r="N15" i="19"/>
  <c r="N14" i="19"/>
  <c r="N16" i="19"/>
  <c r="N24" i="19"/>
  <c r="N8" i="19"/>
  <c r="N6" i="19"/>
  <c r="N4" i="19"/>
  <c r="N11" i="19"/>
  <c r="N5" i="19"/>
  <c r="N22" i="19"/>
  <c r="N17" i="19"/>
  <c r="N17" i="11"/>
  <c r="N4" i="11"/>
  <c r="N9" i="11"/>
  <c r="N10" i="11"/>
  <c r="N11" i="16"/>
  <c r="N22" i="15"/>
  <c r="N15" i="13"/>
  <c r="N7" i="15"/>
  <c r="N24" i="16"/>
  <c r="N6" i="13"/>
  <c r="N23" i="15"/>
  <c r="N5" i="12"/>
  <c r="N7" i="14"/>
  <c r="N14" i="14"/>
  <c r="N13" i="11"/>
  <c r="N22" i="11"/>
  <c r="N6" i="11"/>
  <c r="N18" i="12"/>
  <c r="N16" i="12"/>
  <c r="N4" i="15"/>
  <c r="N11" i="15"/>
  <c r="N24" i="13"/>
  <c r="N6" i="15"/>
  <c r="N9" i="14"/>
  <c r="N12" i="12"/>
  <c r="N9" i="16"/>
  <c r="N24" i="12"/>
  <c r="N15" i="11"/>
  <c r="N13" i="13"/>
  <c r="N8" i="12"/>
  <c r="N10" i="14"/>
  <c r="N7" i="11"/>
  <c r="N11" i="11"/>
  <c r="N10" i="13"/>
  <c r="N22" i="16"/>
  <c r="N16" i="15"/>
  <c r="N13" i="16"/>
  <c r="N11" i="13"/>
  <c r="N22" i="13"/>
  <c r="N10" i="12"/>
  <c r="N22" i="14"/>
  <c r="N13" i="15"/>
  <c r="N14" i="13"/>
  <c r="N4" i="16"/>
  <c r="N13" i="12"/>
  <c r="N7" i="16"/>
  <c r="N10" i="15"/>
  <c r="N15" i="16"/>
  <c r="N15" i="12"/>
  <c r="N13" i="14"/>
  <c r="N8" i="15"/>
  <c r="N22" i="12"/>
  <c r="N8" i="14"/>
  <c r="N24" i="14"/>
  <c r="N18" i="13"/>
  <c r="N14" i="15"/>
  <c r="N18" i="16"/>
  <c r="N12" i="14"/>
  <c r="N6" i="16"/>
  <c r="N23" i="11"/>
  <c r="N24" i="11"/>
  <c r="N12" i="11"/>
  <c r="N6" i="14"/>
  <c r="N12" i="16"/>
  <c r="N14" i="16"/>
  <c r="N5" i="16"/>
  <c r="N5" i="15"/>
  <c r="N5" i="11"/>
  <c r="N4" i="14"/>
  <c r="N7" i="12"/>
  <c r="N23" i="14"/>
  <c r="N18" i="14"/>
  <c r="N16" i="16"/>
  <c r="N16" i="13"/>
  <c r="N12" i="15"/>
  <c r="N14" i="12"/>
  <c r="N17" i="12"/>
  <c r="N6" i="12"/>
  <c r="N17" i="14"/>
  <c r="N17" i="13"/>
  <c r="N11" i="14"/>
  <c r="N15" i="15"/>
  <c r="N17" i="16"/>
  <c r="N10" i="16"/>
  <c r="N17" i="15"/>
  <c r="N12" i="13"/>
  <c r="N16" i="14"/>
  <c r="N8" i="16"/>
  <c r="N9" i="15"/>
  <c r="N24" i="15"/>
  <c r="N11" i="12"/>
  <c r="N18" i="15"/>
  <c r="N14" i="11"/>
  <c r="N7" i="13"/>
  <c r="N15" i="14"/>
  <c r="N4" i="12"/>
  <c r="N23" i="16"/>
  <c r="N9" i="13"/>
  <c r="N5" i="13"/>
  <c r="N23" i="12"/>
  <c r="N8" i="11"/>
  <c r="N4" i="13"/>
  <c r="N5" i="14"/>
  <c r="N16" i="11"/>
  <c r="N18" i="11"/>
  <c r="N23" i="13"/>
  <c r="N8" i="13"/>
  <c r="R84" i="1"/>
  <c r="U84" i="1" s="1"/>
  <c r="BK8" i="19"/>
  <c r="BK14" i="19"/>
  <c r="BK23" i="19"/>
  <c r="BK15" i="19"/>
  <c r="BK17" i="19"/>
  <c r="BK5" i="19"/>
  <c r="BK4" i="19"/>
  <c r="BK6" i="19"/>
  <c r="BK11" i="19"/>
  <c r="BK7" i="19"/>
  <c r="BK24" i="19"/>
  <c r="BK18" i="19"/>
  <c r="BK10" i="19"/>
  <c r="BK12" i="19"/>
  <c r="BK13" i="19"/>
  <c r="BK9" i="19"/>
  <c r="BK22" i="19"/>
  <c r="BK16" i="19"/>
  <c r="BK12" i="11"/>
  <c r="BK12" i="14"/>
  <c r="BK14" i="14"/>
  <c r="BK11" i="13"/>
  <c r="BK10" i="15"/>
  <c r="BK16" i="14"/>
  <c r="BK23" i="12"/>
  <c r="BK5" i="11"/>
  <c r="BK11" i="11"/>
  <c r="BK17" i="16"/>
  <c r="BK12" i="13"/>
  <c r="BK12" i="12"/>
  <c r="BK24" i="13"/>
  <c r="BK22" i="14"/>
  <c r="BK5" i="13"/>
  <c r="BK24" i="11"/>
  <c r="BK15" i="11"/>
  <c r="BK22" i="11"/>
  <c r="BK18" i="14"/>
  <c r="BK8" i="16"/>
  <c r="BK4" i="15"/>
  <c r="BK13" i="12"/>
  <c r="BK14" i="12"/>
  <c r="BK11" i="15"/>
  <c r="BK6" i="14"/>
  <c r="BK18" i="13"/>
  <c r="BK17" i="12"/>
  <c r="BK9" i="11"/>
  <c r="BK18" i="11"/>
  <c r="BK6" i="16"/>
  <c r="BK15" i="16"/>
  <c r="BK24" i="12"/>
  <c r="BK15" i="12"/>
  <c r="BK13" i="14"/>
  <c r="BK14" i="13"/>
  <c r="BK17" i="15"/>
  <c r="BK4" i="13"/>
  <c r="BK4" i="16"/>
  <c r="BK12" i="15"/>
  <c r="BK5" i="16"/>
  <c r="BK16" i="13"/>
  <c r="BK16" i="16"/>
  <c r="BK17" i="14"/>
  <c r="BK5" i="15"/>
  <c r="BK22" i="15"/>
  <c r="BK11" i="14"/>
  <c r="BK24" i="15"/>
  <c r="BK17" i="11"/>
  <c r="BK23" i="11"/>
  <c r="BK6" i="13"/>
  <c r="BK18" i="12"/>
  <c r="BK8" i="12"/>
  <c r="BK10" i="14"/>
  <c r="BK9" i="16"/>
  <c r="BK18" i="15"/>
  <c r="BK15" i="13"/>
  <c r="BK6" i="12"/>
  <c r="BK11" i="16"/>
  <c r="BK16" i="15"/>
  <c r="BK22" i="12"/>
  <c r="BK7" i="16"/>
  <c r="BK7" i="11"/>
  <c r="BK6" i="11"/>
  <c r="BK14" i="15"/>
  <c r="BK5" i="14"/>
  <c r="BK12" i="16"/>
  <c r="BK23" i="16"/>
  <c r="BK5" i="12"/>
  <c r="BK15" i="14"/>
  <c r="BK7" i="14"/>
  <c r="BK23" i="15"/>
  <c r="BK8" i="15"/>
  <c r="BK14" i="16"/>
  <c r="BK10" i="11"/>
  <c r="BK10" i="12"/>
  <c r="BK14" i="11"/>
  <c r="BK6" i="15"/>
  <c r="BK16" i="12"/>
  <c r="BK10" i="16"/>
  <c r="BK17" i="13"/>
  <c r="BK15" i="15"/>
  <c r="BK8" i="13"/>
  <c r="BK8" i="14"/>
  <c r="BK9" i="15"/>
  <c r="BK10" i="13"/>
  <c r="BK9" i="14"/>
  <c r="BK22" i="16"/>
  <c r="BK13" i="11"/>
  <c r="BK4" i="11"/>
  <c r="BK24" i="14"/>
  <c r="BK7" i="12"/>
  <c r="BK24" i="16"/>
  <c r="BK9" i="13"/>
  <c r="BK13" i="15"/>
  <c r="BK16" i="11"/>
  <c r="BK8" i="11"/>
  <c r="BK11" i="12"/>
  <c r="BK23" i="14"/>
  <c r="BK4" i="12"/>
  <c r="BK23" i="13"/>
  <c r="BK13" i="13"/>
  <c r="BK7" i="13"/>
  <c r="BK7" i="15"/>
  <c r="BK18" i="16"/>
  <c r="BK13" i="16"/>
  <c r="BK22" i="13"/>
  <c r="BK4" i="14"/>
  <c r="AK22" i="19"/>
  <c r="AK24" i="19"/>
  <c r="AK9" i="19"/>
  <c r="AK18" i="19"/>
  <c r="AK23" i="19"/>
  <c r="AK7" i="19"/>
  <c r="AK6" i="19"/>
  <c r="AK12" i="19"/>
  <c r="AK15" i="19"/>
  <c r="AK11" i="19"/>
  <c r="AK5" i="19"/>
  <c r="AK8" i="19"/>
  <c r="AK14" i="19"/>
  <c r="AK10" i="19"/>
  <c r="AK4" i="19"/>
  <c r="AK16" i="19"/>
  <c r="AK17" i="19"/>
  <c r="AK13" i="19"/>
  <c r="AK13" i="14"/>
  <c r="AK12" i="11"/>
  <c r="AK8" i="13"/>
  <c r="AK15" i="13"/>
  <c r="AK23" i="14"/>
  <c r="AK16" i="13"/>
  <c r="AK6" i="16"/>
  <c r="AK9" i="14"/>
  <c r="AK17" i="16"/>
  <c r="AK11" i="13"/>
  <c r="AK9" i="13"/>
  <c r="AK16" i="11"/>
  <c r="AK22" i="14"/>
  <c r="AK24" i="15"/>
  <c r="AK15" i="11"/>
  <c r="AK18" i="15"/>
  <c r="AK16" i="12"/>
  <c r="AK7" i="14"/>
  <c r="AK15" i="16"/>
  <c r="AK17" i="12"/>
  <c r="AK8" i="11"/>
  <c r="AK14" i="11"/>
  <c r="AK5" i="15"/>
  <c r="AK8" i="12"/>
  <c r="AK4" i="12"/>
  <c r="AK5" i="12"/>
  <c r="AK7" i="16"/>
  <c r="AK12" i="12"/>
  <c r="AK7" i="15"/>
  <c r="AK14" i="14"/>
  <c r="AK22" i="11"/>
  <c r="AK18" i="11"/>
  <c r="AK4" i="15"/>
  <c r="AK8" i="14"/>
  <c r="AK24" i="11"/>
  <c r="AK24" i="12"/>
  <c r="AK12" i="14"/>
  <c r="AK17" i="13"/>
  <c r="AK6" i="14"/>
  <c r="AK22" i="16"/>
  <c r="AK10" i="12"/>
  <c r="AK11" i="14"/>
  <c r="AK10" i="16"/>
  <c r="AK10" i="13"/>
  <c r="AK7" i="13"/>
  <c r="AK15" i="12"/>
  <c r="AK13" i="15"/>
  <c r="AK17" i="14"/>
  <c r="AK10" i="11"/>
  <c r="AK4" i="16"/>
  <c r="AK16" i="16"/>
  <c r="AK13" i="11"/>
  <c r="AK22" i="15"/>
  <c r="AK23" i="12"/>
  <c r="AK6" i="11"/>
  <c r="AK22" i="13"/>
  <c r="AK6" i="15"/>
  <c r="AK18" i="12"/>
  <c r="AK18" i="16"/>
  <c r="AK11" i="15"/>
  <c r="AK15" i="14"/>
  <c r="AK10" i="15"/>
  <c r="AK9" i="15"/>
  <c r="AK23" i="13"/>
  <c r="AK5" i="11"/>
  <c r="AK17" i="15"/>
  <c r="AK11" i="16"/>
  <c r="AK24" i="16"/>
  <c r="AK12" i="16"/>
  <c r="AK17" i="11"/>
  <c r="AK9" i="16"/>
  <c r="AK4" i="13"/>
  <c r="AK18" i="14"/>
  <c r="AK4" i="14"/>
  <c r="AK22" i="12"/>
  <c r="AK16" i="14"/>
  <c r="AK23" i="16"/>
  <c r="AK8" i="16"/>
  <c r="AK14" i="16"/>
  <c r="AK18" i="13"/>
  <c r="AK12" i="13"/>
  <c r="AK7" i="11"/>
  <c r="AK9" i="11"/>
  <c r="AK6" i="12"/>
  <c r="AK5" i="14"/>
  <c r="AK7" i="12"/>
  <c r="AK16" i="15"/>
  <c r="AK5" i="13"/>
  <c r="AK14" i="12"/>
  <c r="AK11" i="12"/>
  <c r="AK23" i="11"/>
  <c r="AK13" i="13"/>
  <c r="AK8" i="15"/>
  <c r="AK13" i="12"/>
  <c r="AK12" i="15"/>
  <c r="AK10" i="14"/>
  <c r="AK24" i="14"/>
  <c r="AK4" i="11"/>
  <c r="AK15" i="15"/>
  <c r="AK23" i="15"/>
  <c r="AK24" i="13"/>
  <c r="AK11" i="11"/>
  <c r="AK6" i="13"/>
  <c r="AK13" i="16"/>
  <c r="AK14" i="13"/>
  <c r="AK14" i="15"/>
  <c r="AK5" i="16"/>
  <c r="R83" i="1"/>
  <c r="U83" i="1" s="1"/>
  <c r="AN15" i="12"/>
  <c r="AN14" i="16"/>
  <c r="AN16" i="16"/>
  <c r="AN7" i="14"/>
  <c r="AN12" i="13"/>
  <c r="AN9" i="13"/>
  <c r="AN15" i="15"/>
  <c r="AN12" i="16"/>
  <c r="AN8" i="14"/>
  <c r="AN7" i="13"/>
  <c r="AN8" i="15"/>
  <c r="AN5" i="13"/>
  <c r="AN9" i="15"/>
  <c r="AN23" i="13"/>
  <c r="AN7" i="19"/>
  <c r="AN6" i="13"/>
  <c r="AN13" i="15"/>
  <c r="AN5" i="14"/>
  <c r="AN18" i="15"/>
  <c r="AN11" i="15"/>
  <c r="AN18" i="16"/>
  <c r="AN23" i="19"/>
  <c r="AN13" i="13"/>
  <c r="AN23" i="14"/>
  <c r="AN13" i="12"/>
  <c r="AN14" i="15"/>
  <c r="AN6" i="15"/>
  <c r="AN22" i="15"/>
  <c r="AN17" i="13"/>
  <c r="AN4" i="16"/>
  <c r="AN12" i="14"/>
  <c r="AN10" i="14"/>
  <c r="AN4" i="12"/>
  <c r="AN18" i="19"/>
  <c r="AN10" i="12"/>
  <c r="AN17" i="15"/>
  <c r="AN18" i="13"/>
  <c r="AN16" i="12"/>
  <c r="AN22" i="19"/>
  <c r="AN16" i="19"/>
  <c r="AN9" i="14"/>
  <c r="AN6" i="14"/>
  <c r="AN10" i="13"/>
  <c r="AN10" i="15"/>
  <c r="AN24" i="14"/>
  <c r="AN18" i="12"/>
  <c r="AN23" i="15"/>
  <c r="AN14" i="13"/>
  <c r="AN24" i="16"/>
  <c r="AN12" i="12"/>
  <c r="AN15" i="14"/>
  <c r="AN17" i="16"/>
  <c r="AN16" i="13"/>
  <c r="AN8" i="16"/>
  <c r="AN17" i="12"/>
  <c r="AN23" i="16"/>
  <c r="AN13" i="16"/>
  <c r="AN7" i="16"/>
  <c r="AN6" i="12"/>
  <c r="AN5" i="12"/>
  <c r="AN22" i="16"/>
  <c r="AN16" i="15"/>
  <c r="AN13" i="14"/>
  <c r="AN5" i="15"/>
  <c r="AN11" i="19"/>
  <c r="AN8" i="19"/>
  <c r="AN12" i="19"/>
  <c r="AN5" i="19"/>
  <c r="AN17" i="19"/>
  <c r="AN14" i="19"/>
  <c r="AN6" i="19"/>
  <c r="AN24" i="19"/>
  <c r="AN10" i="19"/>
  <c r="AN13" i="19"/>
  <c r="AN9" i="19"/>
  <c r="AN15" i="19"/>
  <c r="AN4" i="19"/>
  <c r="AN6" i="11"/>
  <c r="AN4" i="15"/>
  <c r="AN24" i="12"/>
  <c r="AN7" i="11"/>
  <c r="AN18" i="11"/>
  <c r="AN11" i="14"/>
  <c r="AN16" i="14"/>
  <c r="AN23" i="11"/>
  <c r="AN11" i="12"/>
  <c r="AN15" i="13"/>
  <c r="AN11" i="13"/>
  <c r="AN8" i="12"/>
  <c r="AN9" i="11"/>
  <c r="AN10" i="16"/>
  <c r="AN23" i="12"/>
  <c r="AN5" i="11"/>
  <c r="AN7" i="15"/>
  <c r="AN4" i="13"/>
  <c r="AN14" i="14"/>
  <c r="AN15" i="16"/>
  <c r="AN9" i="16"/>
  <c r="AN4" i="14"/>
  <c r="AN12" i="11"/>
  <c r="AN11" i="11"/>
  <c r="AN14" i="11"/>
  <c r="AN4" i="11"/>
  <c r="AN24" i="11"/>
  <c r="AN8" i="13"/>
  <c r="AN15" i="11"/>
  <c r="AN22" i="11"/>
  <c r="AN24" i="15"/>
  <c r="AN17" i="14"/>
  <c r="AN7" i="12"/>
  <c r="AN5" i="16"/>
  <c r="AN6" i="16"/>
  <c r="AN22" i="13"/>
  <c r="AN22" i="14"/>
  <c r="AN22" i="12"/>
  <c r="AN24" i="13"/>
  <c r="AN12" i="15"/>
  <c r="AN17" i="11"/>
  <c r="AN18" i="14"/>
  <c r="AN16" i="11"/>
  <c r="AN8" i="11"/>
  <c r="AN10" i="11"/>
  <c r="AN11" i="16"/>
  <c r="AN13" i="11"/>
  <c r="AN14" i="12"/>
  <c r="P7" i="19"/>
  <c r="P4" i="19"/>
  <c r="P15" i="19"/>
  <c r="P12" i="19"/>
  <c r="P5" i="19"/>
  <c r="P23" i="19"/>
  <c r="P9" i="19"/>
  <c r="P13" i="19"/>
  <c r="P6" i="19"/>
  <c r="P14" i="19"/>
  <c r="P10" i="19"/>
  <c r="P24" i="19"/>
  <c r="P16" i="19"/>
  <c r="P17" i="19"/>
  <c r="P18" i="19"/>
  <c r="P11" i="19"/>
  <c r="P8" i="19"/>
  <c r="P22" i="19"/>
  <c r="P8" i="16"/>
  <c r="P13" i="11"/>
  <c r="P6" i="11"/>
  <c r="P15" i="11"/>
  <c r="P9" i="14"/>
  <c r="P12" i="11"/>
  <c r="P11" i="16"/>
  <c r="P12" i="13"/>
  <c r="P17" i="11"/>
  <c r="P16" i="11"/>
  <c r="P8" i="14"/>
  <c r="P10" i="16"/>
  <c r="P23" i="11"/>
  <c r="P24" i="12"/>
  <c r="P15" i="16"/>
  <c r="P10" i="11"/>
  <c r="P6" i="14"/>
  <c r="P17" i="13"/>
  <c r="P8" i="15"/>
  <c r="P22" i="12"/>
  <c r="P4" i="11"/>
  <c r="P22" i="11"/>
  <c r="P18" i="14"/>
  <c r="P18" i="11"/>
  <c r="P24" i="11"/>
  <c r="P7" i="11"/>
  <c r="P11" i="11"/>
  <c r="P24" i="13"/>
  <c r="P6" i="13"/>
  <c r="P6" i="16"/>
  <c r="P18" i="15"/>
  <c r="P15" i="12"/>
  <c r="P13" i="13"/>
  <c r="P11" i="12"/>
  <c r="P22" i="16"/>
  <c r="P16" i="15"/>
  <c r="P7" i="16"/>
  <c r="P12" i="15"/>
  <c r="P17" i="12"/>
  <c r="P16" i="14"/>
  <c r="P8" i="11"/>
  <c r="P13" i="15"/>
  <c r="P4" i="16"/>
  <c r="P12" i="12"/>
  <c r="P5" i="12"/>
  <c r="P23" i="13"/>
  <c r="P23" i="12"/>
  <c r="P16" i="13"/>
  <c r="P14" i="16"/>
  <c r="P4" i="13"/>
  <c r="P15" i="15"/>
  <c r="P4" i="14"/>
  <c r="P14" i="13"/>
  <c r="P10" i="14"/>
  <c r="P14" i="12"/>
  <c r="P17" i="14"/>
  <c r="P15" i="13"/>
  <c r="P16" i="16"/>
  <c r="P24" i="15"/>
  <c r="P10" i="15"/>
  <c r="P18" i="13"/>
  <c r="P23" i="14"/>
  <c r="P14" i="15"/>
  <c r="P7" i="13"/>
  <c r="P5" i="11"/>
  <c r="P13" i="12"/>
  <c r="P18" i="12"/>
  <c r="P13" i="16"/>
  <c r="P7" i="14"/>
  <c r="P24" i="14"/>
  <c r="P17" i="15"/>
  <c r="P22" i="14"/>
  <c r="P14" i="11"/>
  <c r="P11" i="14"/>
  <c r="P12" i="14"/>
  <c r="P22" i="13"/>
  <c r="P9" i="11"/>
  <c r="P6" i="12"/>
  <c r="P10" i="12"/>
  <c r="P5" i="14"/>
  <c r="P5" i="13"/>
  <c r="P13" i="14"/>
  <c r="P5" i="16"/>
  <c r="P7" i="12"/>
  <c r="P8" i="13"/>
  <c r="P22" i="15"/>
  <c r="P4" i="15"/>
  <c r="P18" i="16"/>
  <c r="P7" i="15"/>
  <c r="P23" i="16"/>
  <c r="P16" i="12"/>
  <c r="P15" i="14"/>
  <c r="P6" i="15"/>
  <c r="P12" i="16"/>
  <c r="P17" i="16"/>
  <c r="P9" i="16"/>
  <c r="P9" i="15"/>
  <c r="P5" i="15"/>
  <c r="P14" i="14"/>
  <c r="P8" i="12"/>
  <c r="P11" i="15"/>
  <c r="P10" i="13"/>
  <c r="P24" i="16"/>
  <c r="P23" i="15"/>
  <c r="P4" i="12"/>
  <c r="P11" i="13"/>
  <c r="P9" i="13"/>
  <c r="R91" i="1"/>
  <c r="U91" i="1" s="1"/>
  <c r="AJ50" i="19"/>
  <c r="AJ19" i="19"/>
  <c r="AJ20" i="19"/>
  <c r="AJ48" i="19"/>
  <c r="AJ47" i="19"/>
  <c r="AJ46" i="19"/>
  <c r="AJ21" i="19"/>
  <c r="AJ51" i="19"/>
  <c r="AJ47" i="14"/>
  <c r="AJ51" i="15"/>
  <c r="AJ47" i="13"/>
  <c r="AJ46" i="11"/>
  <c r="AJ20" i="13"/>
  <c r="AJ20" i="14"/>
  <c r="AJ50" i="16"/>
  <c r="AJ51" i="11"/>
  <c r="AJ19" i="12"/>
  <c r="AJ20" i="11"/>
  <c r="AJ49" i="16"/>
  <c r="AJ51" i="12"/>
  <c r="AJ46" i="16"/>
  <c r="AJ50" i="12"/>
  <c r="AJ51" i="14"/>
  <c r="AJ48" i="11"/>
  <c r="AJ50" i="13"/>
  <c r="AJ46" i="12"/>
  <c r="AJ20" i="16"/>
  <c r="AJ21" i="16"/>
  <c r="AJ20" i="12"/>
  <c r="AJ46" i="13"/>
  <c r="AJ19" i="14"/>
  <c r="AJ49" i="13"/>
  <c r="AJ20" i="15"/>
  <c r="AJ19" i="16"/>
  <c r="AJ49" i="11"/>
  <c r="AJ48" i="12"/>
  <c r="AJ51" i="13"/>
  <c r="AJ19" i="11"/>
  <c r="AJ21" i="13"/>
  <c r="AJ46" i="15"/>
  <c r="AJ48" i="13"/>
  <c r="AJ48" i="16"/>
  <c r="AJ21" i="14"/>
  <c r="AJ51" i="16"/>
  <c r="AJ47" i="16"/>
  <c r="AJ21" i="15"/>
  <c r="AJ21" i="12"/>
  <c r="AJ47" i="15"/>
  <c r="AJ49" i="15"/>
  <c r="AJ47" i="11"/>
  <c r="AJ19" i="13"/>
  <c r="AJ47" i="12"/>
  <c r="AJ48" i="15"/>
  <c r="AJ21" i="11"/>
  <c r="AJ50" i="15"/>
  <c r="AJ50" i="14"/>
  <c r="AJ46" i="14"/>
  <c r="AJ19" i="15"/>
  <c r="AJ50" i="11"/>
  <c r="AJ49" i="14"/>
  <c r="AJ48" i="14"/>
  <c r="R87" i="1"/>
  <c r="U87" i="1" s="1"/>
  <c r="T15" i="19"/>
  <c r="T13" i="19"/>
  <c r="T8" i="19"/>
  <c r="T12" i="19"/>
  <c r="T16" i="19"/>
  <c r="T22" i="19"/>
  <c r="T6" i="19"/>
  <c r="T5" i="19"/>
  <c r="T11" i="19"/>
  <c r="T4" i="19"/>
  <c r="T10" i="19"/>
  <c r="T24" i="19"/>
  <c r="T17" i="19"/>
  <c r="T23" i="19"/>
  <c r="T14" i="19"/>
  <c r="T9" i="19"/>
  <c r="T18" i="19"/>
  <c r="T7" i="19"/>
  <c r="T13" i="11"/>
  <c r="T13" i="16"/>
  <c r="T9" i="13"/>
  <c r="T10" i="15"/>
  <c r="T11" i="15"/>
  <c r="T5" i="12"/>
  <c r="T18" i="12"/>
  <c r="T12" i="12"/>
  <c r="T11" i="14"/>
  <c r="T7" i="13"/>
  <c r="T4" i="11"/>
  <c r="T15" i="14"/>
  <c r="T16" i="11"/>
  <c r="T12" i="16"/>
  <c r="T14" i="13"/>
  <c r="T18" i="15"/>
  <c r="T10" i="12"/>
  <c r="T15" i="12"/>
  <c r="T15" i="13"/>
  <c r="T24" i="16"/>
  <c r="T13" i="12"/>
  <c r="T9" i="11"/>
  <c r="T9" i="16"/>
  <c r="T5" i="11"/>
  <c r="T14" i="15"/>
  <c r="T4" i="15"/>
  <c r="T22" i="11"/>
  <c r="T8" i="13"/>
  <c r="T12" i="13"/>
  <c r="T17" i="15"/>
  <c r="T7" i="15"/>
  <c r="T17" i="12"/>
  <c r="T14" i="14"/>
  <c r="T16" i="13"/>
  <c r="T12" i="11"/>
  <c r="T5" i="13"/>
  <c r="T17" i="11"/>
  <c r="T14" i="11"/>
  <c r="T7" i="11"/>
  <c r="T4" i="16"/>
  <c r="T23" i="15"/>
  <c r="T15" i="11"/>
  <c r="T13" i="15"/>
  <c r="T9" i="15"/>
  <c r="T11" i="13"/>
  <c r="T4" i="12"/>
  <c r="T22" i="13"/>
  <c r="T12" i="15"/>
  <c r="T5" i="15"/>
  <c r="T10" i="16"/>
  <c r="T23" i="13"/>
  <c r="T24" i="13"/>
  <c r="T16" i="16"/>
  <c r="T22" i="14"/>
  <c r="T13" i="13"/>
  <c r="T10" i="13"/>
  <c r="T9" i="14"/>
  <c r="T6" i="15"/>
  <c r="T6" i="14"/>
  <c r="T14" i="16"/>
  <c r="T23" i="11"/>
  <c r="T15" i="15"/>
  <c r="T8" i="15"/>
  <c r="T5" i="16"/>
  <c r="T15" i="16"/>
  <c r="T23" i="12"/>
  <c r="T8" i="16"/>
  <c r="T22" i="12"/>
  <c r="T8" i="11"/>
  <c r="T6" i="13"/>
  <c r="T17" i="14"/>
  <c r="T23" i="14"/>
  <c r="T10" i="14"/>
  <c r="T16" i="15"/>
  <c r="T18" i="11"/>
  <c r="T18" i="13"/>
  <c r="T6" i="12"/>
  <c r="T24" i="12"/>
  <c r="T23" i="16"/>
  <c r="T22" i="15"/>
  <c r="T11" i="11"/>
  <c r="T11" i="12"/>
  <c r="T6" i="11"/>
  <c r="T18" i="16"/>
  <c r="T16" i="12"/>
  <c r="T8" i="12"/>
  <c r="T18" i="14"/>
  <c r="T7" i="14"/>
  <c r="T7" i="12"/>
  <c r="T13" i="14"/>
  <c r="T6" i="16"/>
  <c r="T12" i="14"/>
  <c r="T24" i="15"/>
  <c r="T10" i="11"/>
  <c r="T14" i="12"/>
  <c r="T4" i="14"/>
  <c r="T24" i="14"/>
  <c r="T5" i="14"/>
  <c r="T24" i="11"/>
  <c r="T4" i="13"/>
  <c r="T11" i="16"/>
  <c r="T17" i="16"/>
  <c r="T7" i="16"/>
  <c r="T22" i="16"/>
  <c r="T8" i="14"/>
  <c r="T16" i="14"/>
  <c r="T17" i="13"/>
  <c r="C143" i="18"/>
  <c r="F143" i="18" s="1"/>
  <c r="P141" i="18"/>
  <c r="R82" i="1"/>
  <c r="U82" i="1" s="1"/>
  <c r="C30" i="7"/>
  <c r="F30" i="7" s="1"/>
  <c r="R285" i="1"/>
  <c r="U285" i="1" s="1"/>
  <c r="R74" i="1"/>
  <c r="U74" i="1" s="1"/>
  <c r="R278" i="1"/>
  <c r="U278" i="1" s="1"/>
  <c r="R76" i="1"/>
  <c r="U76" i="1" s="1"/>
  <c r="R276" i="1"/>
  <c r="U276" i="1" s="1"/>
  <c r="R66" i="1"/>
  <c r="U66" i="1" s="1"/>
  <c r="R270" i="1"/>
  <c r="U270" i="1" s="1"/>
  <c r="R259" i="1"/>
  <c r="U259" i="1" s="1"/>
  <c r="R261" i="1"/>
  <c r="U261" i="1" s="1"/>
  <c r="R30" i="1"/>
  <c r="U30" i="1" s="1"/>
  <c r="R68" i="1"/>
  <c r="U68" i="1" s="1"/>
  <c r="R263" i="1"/>
  <c r="U263" i="1" s="1"/>
  <c r="R274" i="1"/>
  <c r="U274" i="1" s="1"/>
  <c r="R268" i="1"/>
  <c r="U268" i="1" s="1"/>
  <c r="R64" i="1"/>
  <c r="U64" i="1" s="1"/>
  <c r="R264" i="1"/>
  <c r="U264" i="1" s="1"/>
  <c r="BD2" i="8"/>
  <c r="BD58" i="8" s="1"/>
  <c r="R28" i="1"/>
  <c r="U28" i="1" s="1"/>
  <c r="R16" i="1"/>
  <c r="U16" i="1" s="1"/>
  <c r="R70" i="1"/>
  <c r="U70" i="1" s="1"/>
  <c r="R7" i="1"/>
  <c r="U7" i="1" s="1"/>
  <c r="R56" i="1"/>
  <c r="U56" i="1" s="1"/>
  <c r="R269" i="1"/>
  <c r="U269" i="1" s="1"/>
  <c r="R275" i="1"/>
  <c r="U275" i="1" s="1"/>
  <c r="R62" i="1"/>
  <c r="U62" i="1" s="1"/>
  <c r="P31" i="7"/>
  <c r="U224" i="1" l="1"/>
  <c r="U152" i="1"/>
  <c r="U121" i="1"/>
  <c r="U15" i="1"/>
  <c r="D21" i="18"/>
  <c r="C31" i="7"/>
  <c r="F31" i="7" s="1"/>
  <c r="P142" i="18"/>
  <c r="C144" i="18"/>
  <c r="F144" i="18" s="1"/>
  <c r="D21" i="7"/>
  <c r="BE2" i="8"/>
  <c r="P32" i="7"/>
  <c r="R364" i="1"/>
  <c r="U364" i="1" s="1"/>
  <c r="R365" i="1"/>
  <c r="U365" i="1" s="1"/>
  <c r="L15" i="11" l="1"/>
  <c r="Q55" i="8"/>
  <c r="Q32" i="10"/>
  <c r="Q59" i="10"/>
  <c r="Q52" i="8"/>
  <c r="Q28" i="8"/>
  <c r="Q26" i="8"/>
  <c r="Q31" i="10"/>
  <c r="Q28" i="10"/>
  <c r="Q35" i="8"/>
  <c r="Q27" i="8"/>
  <c r="Q63" i="10"/>
  <c r="Q44" i="8"/>
  <c r="Q43" i="8"/>
  <c r="Q33" i="12"/>
  <c r="Q59" i="15"/>
  <c r="Q26" i="13"/>
  <c r="Q38" i="16"/>
  <c r="Q54" i="14"/>
  <c r="Q37" i="19"/>
  <c r="Q44" i="14"/>
  <c r="Q35" i="16"/>
  <c r="Q57" i="16"/>
  <c r="Q27" i="19"/>
  <c r="Q32" i="11"/>
  <c r="Q41" i="19"/>
  <c r="Q30" i="14"/>
  <c r="Q57" i="12"/>
  <c r="Q41" i="16"/>
  <c r="Q40" i="13"/>
  <c r="Q29" i="14"/>
  <c r="Q30" i="16"/>
  <c r="Q29" i="15"/>
  <c r="Q25" i="11"/>
  <c r="Q52" i="12"/>
  <c r="Q25" i="14"/>
  <c r="Q42" i="15"/>
  <c r="Q27" i="12"/>
  <c r="Q30" i="12"/>
  <c r="Q52" i="19"/>
  <c r="Q25" i="19"/>
  <c r="Q53" i="14"/>
  <c r="Q53" i="12"/>
  <c r="Q60" i="19"/>
  <c r="Q55" i="15"/>
  <c r="Q56" i="11"/>
  <c r="Q41" i="14"/>
  <c r="Q31" i="14"/>
  <c r="Q40" i="19"/>
  <c r="Q38" i="15"/>
  <c r="Q52" i="11"/>
  <c r="Q28" i="14"/>
  <c r="Q42" i="14"/>
  <c r="Q38" i="13"/>
  <c r="Q27" i="13"/>
  <c r="Q56" i="12"/>
  <c r="Q25" i="16"/>
  <c r="Q25" i="12"/>
  <c r="Q63" i="16"/>
  <c r="Q28" i="11"/>
  <c r="Q52" i="15"/>
  <c r="Q43" i="12"/>
  <c r="Q56" i="15"/>
  <c r="Q57" i="11"/>
  <c r="Q29" i="12"/>
  <c r="Q32" i="19"/>
  <c r="Q44" i="15"/>
  <c r="Q28" i="15"/>
  <c r="Q64" i="19"/>
  <c r="Q38" i="14"/>
  <c r="Q28" i="12"/>
  <c r="Q36" i="19"/>
  <c r="Q57" i="13"/>
  <c r="Q59" i="11"/>
  <c r="Q42" i="19"/>
  <c r="Q36" i="13"/>
  <c r="Q26" i="14"/>
  <c r="Q45" i="16"/>
  <c r="Q53" i="13"/>
  <c r="Q44" i="12"/>
  <c r="Q63" i="11"/>
  <c r="Q39" i="19"/>
  <c r="Q59" i="16"/>
  <c r="Q40" i="12"/>
  <c r="Q61" i="16"/>
  <c r="Q63" i="19"/>
  <c r="Q43" i="16"/>
  <c r="Q54" i="15"/>
  <c r="Q32" i="12"/>
  <c r="Q39" i="15"/>
  <c r="Q52" i="13"/>
  <c r="Q31" i="19"/>
  <c r="Q30" i="15"/>
  <c r="Q41" i="12"/>
  <c r="Q35" i="19"/>
  <c r="Q35" i="12"/>
  <c r="Q38" i="19"/>
  <c r="Q45" i="11"/>
  <c r="Q40" i="16"/>
  <c r="Q54" i="11"/>
  <c r="Q33" i="19"/>
  <c r="Q54" i="16"/>
  <c r="Q63" i="15"/>
  <c r="Q43" i="15"/>
  <c r="Q55" i="19"/>
  <c r="Q64" i="12"/>
  <c r="Q62" i="15"/>
  <c r="Q62" i="16"/>
  <c r="Q26" i="12"/>
  <c r="Q25" i="15"/>
  <c r="Q61" i="19"/>
  <c r="Q31" i="15"/>
  <c r="Q33" i="13"/>
  <c r="Q30" i="19"/>
  <c r="Q54" i="13"/>
  <c r="Q27" i="11"/>
  <c r="Q55" i="14"/>
  <c r="Q42" i="11"/>
  <c r="Q28" i="13"/>
  <c r="Q30" i="11"/>
  <c r="Q52" i="14"/>
  <c r="Q29" i="13"/>
  <c r="Q25" i="13"/>
  <c r="Q29" i="19"/>
  <c r="Q36" i="11"/>
  <c r="Q26" i="11"/>
  <c r="Q32" i="14"/>
  <c r="Q45" i="13"/>
  <c r="Q53" i="15"/>
  <c r="Q41" i="15"/>
  <c r="Q27" i="15"/>
  <c r="Q33" i="14"/>
  <c r="Q59" i="13"/>
  <c r="Q30" i="13"/>
  <c r="Q42" i="12"/>
  <c r="Q33" i="16"/>
  <c r="Q62" i="13"/>
  <c r="Q61" i="14"/>
  <c r="Q56" i="14"/>
  <c r="Q57" i="14"/>
  <c r="Q53" i="11"/>
  <c r="Q40" i="11"/>
  <c r="Q44" i="13"/>
  <c r="Q45" i="12"/>
  <c r="Q44" i="16"/>
  <c r="Q33" i="11"/>
  <c r="Q37" i="15"/>
  <c r="Q60" i="11"/>
  <c r="Q38" i="11"/>
  <c r="Q36" i="16"/>
  <c r="Q41" i="13"/>
  <c r="Q62" i="11"/>
  <c r="Q31" i="13"/>
  <c r="Q43" i="11"/>
  <c r="Q56" i="16"/>
  <c r="Q60" i="15"/>
  <c r="Q62" i="14"/>
  <c r="Q34" i="13"/>
  <c r="Q64" i="14"/>
  <c r="Q28" i="16"/>
  <c r="Q32" i="13"/>
  <c r="Q34" i="15"/>
  <c r="Q40" i="14"/>
  <c r="Q37" i="14"/>
  <c r="Q55" i="13"/>
  <c r="Q64" i="16"/>
  <c r="Q34" i="16"/>
  <c r="Q32" i="16"/>
  <c r="Q45" i="15"/>
  <c r="Q36" i="14"/>
  <c r="Q34" i="11"/>
  <c r="Q31" i="12"/>
  <c r="Q39" i="11"/>
  <c r="Q59" i="14"/>
  <c r="Q60" i="16"/>
  <c r="Q60" i="14"/>
  <c r="Q35" i="14"/>
  <c r="Q36" i="15"/>
  <c r="Q54" i="12"/>
  <c r="Q42" i="13"/>
  <c r="Q61" i="15"/>
  <c r="Q45" i="19"/>
  <c r="Q62" i="12"/>
  <c r="Q26" i="15"/>
  <c r="Q34" i="19"/>
  <c r="Q42" i="16"/>
  <c r="Q56" i="13"/>
  <c r="Q43" i="19"/>
  <c r="Q32" i="15"/>
  <c r="Q43" i="13"/>
  <c r="Q64" i="15"/>
  <c r="Q37" i="11"/>
  <c r="Q61" i="11"/>
  <c r="Q26" i="16"/>
  <c r="Q39" i="16"/>
  <c r="Q37" i="12"/>
  <c r="Q62" i="19"/>
  <c r="Q34" i="12"/>
  <c r="Q52" i="16"/>
  <c r="Q55" i="11"/>
  <c r="Q56" i="19"/>
  <c r="Q35" i="11"/>
  <c r="Q60" i="12"/>
  <c r="Q53" i="19"/>
  <c r="Q40" i="15"/>
  <c r="Q59" i="12"/>
  <c r="Q57" i="19"/>
  <c r="Q39" i="14"/>
  <c r="Q64" i="11"/>
  <c r="Q61" i="13"/>
  <c r="Q31" i="11"/>
  <c r="Q36" i="12"/>
  <c r="Q29" i="16"/>
  <c r="Q31" i="16"/>
  <c r="Q63" i="13"/>
  <c r="Q28" i="19"/>
  <c r="Q45" i="14"/>
  <c r="Q33" i="15"/>
  <c r="Q57" i="15"/>
  <c r="Q44" i="19"/>
  <c r="Q55" i="16"/>
  <c r="Q43" i="14"/>
  <c r="Q44" i="11"/>
  <c r="Q39" i="12"/>
  <c r="Q27" i="16"/>
  <c r="Q54" i="19"/>
  <c r="Q38" i="12"/>
  <c r="Q60" i="13"/>
  <c r="Q63" i="12"/>
  <c r="Q63" i="14"/>
  <c r="Q55" i="12"/>
  <c r="AE58" i="16"/>
  <c r="AE58" i="14"/>
  <c r="AE40" i="10"/>
  <c r="AE28" i="10"/>
  <c r="AE44" i="10"/>
  <c r="AE57" i="10"/>
  <c r="AE39" i="10"/>
  <c r="AE43" i="10"/>
  <c r="AE30" i="10"/>
  <c r="AE43" i="8"/>
  <c r="AE42" i="8"/>
  <c r="AE34" i="8"/>
  <c r="AE40" i="8"/>
  <c r="AE56" i="8"/>
  <c r="AE33" i="10"/>
  <c r="AE62" i="10"/>
  <c r="AE35" i="8"/>
  <c r="AE44" i="8"/>
  <c r="AE25" i="8"/>
  <c r="AE58" i="13"/>
  <c r="AE38" i="10"/>
  <c r="AE32" i="10"/>
  <c r="AE26" i="10"/>
  <c r="AE26" i="8"/>
  <c r="AE63" i="8"/>
  <c r="AE54" i="8"/>
  <c r="AE35" i="10"/>
  <c r="AE45" i="10"/>
  <c r="AE55" i="10"/>
  <c r="AE42" i="10"/>
  <c r="AE39" i="8"/>
  <c r="AE57" i="8"/>
  <c r="AE62" i="8"/>
  <c r="AE27" i="8"/>
  <c r="AE41" i="8"/>
  <c r="AE36" i="10"/>
  <c r="AE45" i="8"/>
  <c r="AE52" i="8"/>
  <c r="AE61" i="8"/>
  <c r="AE34" i="10"/>
  <c r="AE32" i="8"/>
  <c r="AE36" i="8"/>
  <c r="AE58" i="15"/>
  <c r="AE58" i="12"/>
  <c r="AE31" i="10"/>
  <c r="AE63" i="10"/>
  <c r="AE37" i="8"/>
  <c r="AE55" i="8"/>
  <c r="AE54" i="10"/>
  <c r="AE37" i="10"/>
  <c r="AE53" i="10"/>
  <c r="AE61" i="10"/>
  <c r="AE29" i="10"/>
  <c r="AE52" i="10"/>
  <c r="AE41" i="10"/>
  <c r="AE28" i="8"/>
  <c r="AE64" i="8"/>
  <c r="AE58" i="10"/>
  <c r="AE25" i="10"/>
  <c r="AE60" i="8"/>
  <c r="AE59" i="8"/>
  <c r="AE30" i="8"/>
  <c r="AE29" i="8"/>
  <c r="AE38" i="8"/>
  <c r="AE58" i="8"/>
  <c r="AE31" i="8"/>
  <c r="AE33" i="8"/>
  <c r="AE58" i="19"/>
  <c r="AE58" i="11"/>
  <c r="AE27" i="10"/>
  <c r="AE60" i="10"/>
  <c r="AE53" i="8"/>
  <c r="AE59" i="10"/>
  <c r="AE56" i="10"/>
  <c r="AE64" i="10"/>
  <c r="AE54" i="19"/>
  <c r="AE43" i="12"/>
  <c r="AE59" i="12"/>
  <c r="AE61" i="11"/>
  <c r="AE56" i="13"/>
  <c r="AE35" i="11"/>
  <c r="AE42" i="19"/>
  <c r="AE31" i="14"/>
  <c r="AE28" i="12"/>
  <c r="AE30" i="13"/>
  <c r="AE61" i="13"/>
  <c r="AE56" i="19"/>
  <c r="AE29" i="14"/>
  <c r="AE59" i="15"/>
  <c r="AE37" i="16"/>
  <c r="AE54" i="16"/>
  <c r="AE37" i="11"/>
  <c r="AE52" i="12"/>
  <c r="AE35" i="15"/>
  <c r="AE42" i="16"/>
  <c r="AE41" i="19"/>
  <c r="AE55" i="15"/>
  <c r="AE39" i="19"/>
  <c r="AE63" i="11"/>
  <c r="AE27" i="14"/>
  <c r="AE53" i="16"/>
  <c r="AE34" i="19"/>
  <c r="AE29" i="11"/>
  <c r="AE59" i="16"/>
  <c r="AE54" i="13"/>
  <c r="AE64" i="13"/>
  <c r="AE38" i="16"/>
  <c r="AE45" i="11"/>
  <c r="AE53" i="12"/>
  <c r="AE36" i="13"/>
  <c r="AE29" i="16"/>
  <c r="AE55" i="13"/>
  <c r="AE34" i="13"/>
  <c r="AE41" i="15"/>
  <c r="AE37" i="15"/>
  <c r="AE33" i="19"/>
  <c r="AE56" i="11"/>
  <c r="AE36" i="19"/>
  <c r="AE39" i="13"/>
  <c r="AE27" i="12"/>
  <c r="AE32" i="15"/>
  <c r="AE40" i="19"/>
  <c r="AE30" i="16"/>
  <c r="AE44" i="15"/>
  <c r="AE62" i="15"/>
  <c r="AE26" i="15"/>
  <c r="AE57" i="15"/>
  <c r="AE60" i="14"/>
  <c r="AE64" i="12"/>
  <c r="AE38" i="12"/>
  <c r="AE62" i="19"/>
  <c r="AE62" i="13"/>
  <c r="AE60" i="13"/>
  <c r="AE38" i="15"/>
  <c r="AE43" i="19"/>
  <c r="AE36" i="12"/>
  <c r="AE28" i="19"/>
  <c r="AE42" i="11"/>
  <c r="AE64" i="19"/>
  <c r="AE42" i="15"/>
  <c r="AE32" i="13"/>
  <c r="AE64" i="16"/>
  <c r="AE34" i="12"/>
  <c r="AE37" i="12"/>
  <c r="AE33" i="16"/>
  <c r="AE60" i="11"/>
  <c r="AE45" i="19"/>
  <c r="AE25" i="14"/>
  <c r="AE30" i="14"/>
  <c r="AE56" i="15"/>
  <c r="AE62" i="12"/>
  <c r="AE63" i="15"/>
  <c r="AE33" i="13"/>
  <c r="AE27" i="16"/>
  <c r="AE38" i="14"/>
  <c r="AE32" i="19"/>
  <c r="AE61" i="12"/>
  <c r="AE53" i="19"/>
  <c r="AE39" i="12"/>
  <c r="AE27" i="15"/>
  <c r="AE25" i="11"/>
  <c r="AE31" i="15"/>
  <c r="AE32" i="14"/>
  <c r="AE28" i="15"/>
  <c r="AE36" i="15"/>
  <c r="AE30" i="11"/>
  <c r="AE28" i="16"/>
  <c r="AE57" i="14"/>
  <c r="AE53" i="15"/>
  <c r="AE55" i="14"/>
  <c r="AE55" i="16"/>
  <c r="AE35" i="13"/>
  <c r="AE57" i="11"/>
  <c r="AE26" i="16"/>
  <c r="AE37" i="13"/>
  <c r="AE28" i="11"/>
  <c r="AE31" i="11"/>
  <c r="AE63" i="14"/>
  <c r="AE41" i="13"/>
  <c r="AE25" i="12"/>
  <c r="AE45" i="12"/>
  <c r="AE60" i="16"/>
  <c r="AE26" i="11"/>
  <c r="AE29" i="12"/>
  <c r="AE33" i="11"/>
  <c r="AE57" i="16"/>
  <c r="AE33" i="12"/>
  <c r="AE59" i="14"/>
  <c r="AE39" i="16"/>
  <c r="AE30" i="15"/>
  <c r="AE61" i="15"/>
  <c r="AE62" i="16"/>
  <c r="AE36" i="16"/>
  <c r="AE64" i="15"/>
  <c r="AE62" i="11"/>
  <c r="AE45" i="13"/>
  <c r="AE31" i="12"/>
  <c r="AE25" i="13"/>
  <c r="AE35" i="12"/>
  <c r="AE60" i="12"/>
  <c r="AE57" i="12"/>
  <c r="AE53" i="11"/>
  <c r="AE45" i="14"/>
  <c r="AE36" i="14"/>
  <c r="AE33" i="14"/>
  <c r="AE40" i="15"/>
  <c r="AE32" i="11"/>
  <c r="AE52" i="13"/>
  <c r="AE55" i="19"/>
  <c r="AE32" i="12"/>
  <c r="AE40" i="11"/>
  <c r="AE63" i="16"/>
  <c r="AE34" i="14"/>
  <c r="AE41" i="16"/>
  <c r="AE55" i="12"/>
  <c r="AE32" i="16"/>
  <c r="AE52" i="15"/>
  <c r="AE41" i="14"/>
  <c r="AE56" i="12"/>
  <c r="AE60" i="19"/>
  <c r="AE34" i="16"/>
  <c r="AE52" i="11"/>
  <c r="AE42" i="13"/>
  <c r="AE56" i="16"/>
  <c r="AE64" i="11"/>
  <c r="AE43" i="14"/>
  <c r="AE59" i="11"/>
  <c r="AE29" i="19"/>
  <c r="AE56" i="14"/>
  <c r="AE38" i="13"/>
  <c r="AE29" i="15"/>
  <c r="AE36" i="11"/>
  <c r="AE39" i="14"/>
  <c r="AE64" i="14"/>
  <c r="AE45" i="15"/>
  <c r="AE27" i="13"/>
  <c r="AE40" i="12"/>
  <c r="AE25" i="15"/>
  <c r="AE27" i="19"/>
  <c r="AE35" i="16"/>
  <c r="AE40" i="13"/>
  <c r="AE39" i="15"/>
  <c r="AE57" i="19"/>
  <c r="AE28" i="14"/>
  <c r="AE43" i="11"/>
  <c r="AE59" i="19"/>
  <c r="AE25" i="19"/>
  <c r="AE57" i="13"/>
  <c r="AE27" i="11"/>
  <c r="AE61" i="16"/>
  <c r="AE34" i="15"/>
  <c r="AE42" i="14"/>
  <c r="AE52" i="14"/>
  <c r="AE52" i="16"/>
  <c r="AE30" i="12"/>
  <c r="AE37" i="14"/>
  <c r="AE26" i="13"/>
  <c r="AE39" i="11"/>
  <c r="AE25" i="16"/>
  <c r="AE54" i="14"/>
  <c r="AE53" i="13"/>
  <c r="AE38" i="19"/>
  <c r="AE40" i="16"/>
  <c r="AE63" i="12"/>
  <c r="AE31" i="16"/>
  <c r="AE61" i="19"/>
  <c r="AE34" i="11"/>
  <c r="AE35" i="14"/>
  <c r="AE54" i="11"/>
  <c r="AE42" i="12"/>
  <c r="AE44" i="13"/>
  <c r="AE31" i="13"/>
  <c r="AE62" i="14"/>
  <c r="AE26" i="12"/>
  <c r="AE63" i="19"/>
  <c r="AE41" i="12"/>
  <c r="AE33" i="15"/>
  <c r="AE44" i="11"/>
  <c r="AE61" i="14"/>
  <c r="AE26" i="14"/>
  <c r="AE26" i="19"/>
  <c r="AE28" i="13"/>
  <c r="AE43" i="15"/>
  <c r="AE44" i="14"/>
  <c r="AE44" i="19"/>
  <c r="AE63" i="13"/>
  <c r="AE31" i="19"/>
  <c r="AE59" i="13"/>
  <c r="AE40" i="14"/>
  <c r="AE43" i="16"/>
  <c r="AE44" i="12"/>
  <c r="AE41" i="11"/>
  <c r="AE30" i="19"/>
  <c r="AE54" i="15"/>
  <c r="AE35" i="19"/>
  <c r="AE29" i="13"/>
  <c r="AE54" i="12"/>
  <c r="AE37" i="19"/>
  <c r="AE44" i="16"/>
  <c r="AE45" i="16"/>
  <c r="AE52" i="19"/>
  <c r="AE38" i="11"/>
  <c r="AE55" i="11"/>
  <c r="AE53" i="14"/>
  <c r="AE43" i="13"/>
  <c r="AE60" i="15"/>
  <c r="AJ58" i="12"/>
  <c r="AJ35" i="10"/>
  <c r="AJ25" i="8"/>
  <c r="AJ62" i="8"/>
  <c r="AJ33" i="10"/>
  <c r="AJ29" i="10"/>
  <c r="AJ41" i="10"/>
  <c r="AJ30" i="10"/>
  <c r="AJ56" i="8"/>
  <c r="AJ52" i="8"/>
  <c r="AJ34" i="8"/>
  <c r="AJ45" i="8"/>
  <c r="AJ33" i="8"/>
  <c r="AJ35" i="8"/>
  <c r="AJ42" i="8"/>
  <c r="AJ58" i="13"/>
  <c r="AJ39" i="10"/>
  <c r="AJ26" i="10"/>
  <c r="AJ61" i="10"/>
  <c r="AJ25" i="10"/>
  <c r="AJ59" i="10"/>
  <c r="AJ45" i="10"/>
  <c r="AJ57" i="10"/>
  <c r="AJ60" i="10"/>
  <c r="AJ27" i="8"/>
  <c r="AJ55" i="8"/>
  <c r="AJ43" i="10"/>
  <c r="AJ34" i="10"/>
  <c r="AJ40" i="8"/>
  <c r="AJ36" i="8"/>
  <c r="AJ42" i="10"/>
  <c r="AJ28" i="8"/>
  <c r="AJ32" i="8"/>
  <c r="AJ32" i="10"/>
  <c r="AJ61" i="8"/>
  <c r="AJ60" i="8"/>
  <c r="AJ53" i="8"/>
  <c r="AJ58" i="8"/>
  <c r="AJ58" i="14"/>
  <c r="AJ53" i="10"/>
  <c r="AJ28" i="10"/>
  <c r="AJ54" i="8"/>
  <c r="AJ43" i="8"/>
  <c r="AJ44" i="8"/>
  <c r="AJ38" i="8"/>
  <c r="AJ58" i="19"/>
  <c r="AJ58" i="16"/>
  <c r="AJ58" i="10"/>
  <c r="AJ62" i="10"/>
  <c r="AJ64" i="10"/>
  <c r="AJ55" i="10"/>
  <c r="AJ37" i="10"/>
  <c r="AJ36" i="10"/>
  <c r="AJ40" i="10"/>
  <c r="AJ37" i="8"/>
  <c r="AJ29" i="8"/>
  <c r="AJ64" i="8"/>
  <c r="AJ39" i="8"/>
  <c r="AJ58" i="15"/>
  <c r="AJ44" i="10"/>
  <c r="AJ27" i="10"/>
  <c r="AJ31" i="10"/>
  <c r="AJ59" i="8"/>
  <c r="AJ57" i="8"/>
  <c r="AJ31" i="8"/>
  <c r="AJ58" i="11"/>
  <c r="AJ54" i="10"/>
  <c r="AJ52" i="10"/>
  <c r="AJ56" i="10"/>
  <c r="AJ63" i="10"/>
  <c r="AJ38" i="10"/>
  <c r="AJ63" i="8"/>
  <c r="AJ41" i="8"/>
  <c r="AJ30" i="8"/>
  <c r="AJ26" i="8"/>
  <c r="AJ43" i="16"/>
  <c r="AJ52" i="16"/>
  <c r="AJ63" i="19"/>
  <c r="AJ40" i="16"/>
  <c r="AJ29" i="14"/>
  <c r="AJ39" i="12"/>
  <c r="AJ31" i="13"/>
  <c r="AJ59" i="19"/>
  <c r="AJ30" i="13"/>
  <c r="AJ56" i="15"/>
  <c r="AJ60" i="14"/>
  <c r="AJ31" i="15"/>
  <c r="AJ54" i="19"/>
  <c r="AJ26" i="11"/>
  <c r="AJ45" i="16"/>
  <c r="AJ43" i="15"/>
  <c r="AJ52" i="13"/>
  <c r="AJ41" i="12"/>
  <c r="AJ37" i="15"/>
  <c r="AJ52" i="14"/>
  <c r="AJ60" i="19"/>
  <c r="AJ39" i="13"/>
  <c r="AJ26" i="12"/>
  <c r="AJ63" i="15"/>
  <c r="AJ44" i="11"/>
  <c r="AJ32" i="19"/>
  <c r="AJ38" i="12"/>
  <c r="AJ43" i="19"/>
  <c r="AJ32" i="11"/>
  <c r="AJ32" i="12"/>
  <c r="AJ38" i="15"/>
  <c r="AJ37" i="13"/>
  <c r="AJ52" i="15"/>
  <c r="AJ56" i="16"/>
  <c r="AJ34" i="15"/>
  <c r="AJ53" i="14"/>
  <c r="AJ62" i="16"/>
  <c r="AJ45" i="14"/>
  <c r="AJ36" i="16"/>
  <c r="AJ57" i="19"/>
  <c r="AJ31" i="12"/>
  <c r="AJ25" i="19"/>
  <c r="AJ30" i="16"/>
  <c r="AJ34" i="11"/>
  <c r="AJ27" i="12"/>
  <c r="AJ62" i="13"/>
  <c r="AJ29" i="11"/>
  <c r="AJ42" i="16"/>
  <c r="AJ53" i="11"/>
  <c r="AJ52" i="19"/>
  <c r="AJ55" i="15"/>
  <c r="AJ30" i="12"/>
  <c r="AJ53" i="12"/>
  <c r="AJ44" i="14"/>
  <c r="AJ30" i="14"/>
  <c r="AJ54" i="11"/>
  <c r="AJ53" i="15"/>
  <c r="AJ59" i="13"/>
  <c r="AJ32" i="14"/>
  <c r="AJ28" i="19"/>
  <c r="AJ36" i="19"/>
  <c r="AJ54" i="16"/>
  <c r="AJ35" i="16"/>
  <c r="AJ38" i="11"/>
  <c r="AJ39" i="16"/>
  <c r="AJ60" i="13"/>
  <c r="AJ30" i="15"/>
  <c r="AJ25" i="12"/>
  <c r="AJ33" i="13"/>
  <c r="AJ37" i="19"/>
  <c r="AJ64" i="14"/>
  <c r="AJ37" i="12"/>
  <c r="AJ43" i="11"/>
  <c r="AJ42" i="15"/>
  <c r="AJ57" i="11"/>
  <c r="AJ57" i="12"/>
  <c r="AJ56" i="11"/>
  <c r="AJ54" i="15"/>
  <c r="AJ64" i="19"/>
  <c r="AJ62" i="15"/>
  <c r="AJ61" i="19"/>
  <c r="AJ26" i="16"/>
  <c r="AJ33" i="11"/>
  <c r="AJ34" i="16"/>
  <c r="AJ63" i="13"/>
  <c r="AJ54" i="14"/>
  <c r="AJ61" i="14"/>
  <c r="AJ27" i="11"/>
  <c r="AJ45" i="19"/>
  <c r="AJ26" i="14"/>
  <c r="AJ40" i="15"/>
  <c r="AJ27" i="14"/>
  <c r="AJ29" i="19"/>
  <c r="AJ31" i="14"/>
  <c r="AJ41" i="16"/>
  <c r="AJ39" i="15"/>
  <c r="AJ34" i="12"/>
  <c r="AJ31" i="16"/>
  <c r="AJ34" i="19"/>
  <c r="AJ27" i="15"/>
  <c r="AJ59" i="14"/>
  <c r="AJ25" i="11"/>
  <c r="AJ45" i="15"/>
  <c r="AJ40" i="14"/>
  <c r="AJ42" i="11"/>
  <c r="AJ28" i="15"/>
  <c r="AJ44" i="19"/>
  <c r="AJ36" i="15"/>
  <c r="AJ38" i="16"/>
  <c r="AJ42" i="12"/>
  <c r="AJ29" i="12"/>
  <c r="AJ57" i="13"/>
  <c r="AJ29" i="13"/>
  <c r="AJ29" i="15"/>
  <c r="AJ59" i="11"/>
  <c r="AJ62" i="14"/>
  <c r="AJ26" i="19"/>
  <c r="AJ27" i="16"/>
  <c r="AJ37" i="16"/>
  <c r="AJ60" i="15"/>
  <c r="AJ44" i="16"/>
  <c r="AJ53" i="13"/>
  <c r="AJ43" i="14"/>
  <c r="AJ62" i="19"/>
  <c r="AJ59" i="15"/>
  <c r="AJ35" i="12"/>
  <c r="AJ43" i="13"/>
  <c r="AJ30" i="19"/>
  <c r="AJ38" i="14"/>
  <c r="AJ61" i="15"/>
  <c r="AJ39" i="14"/>
  <c r="AJ44" i="12"/>
  <c r="AJ55" i="19"/>
  <c r="AJ37" i="14"/>
  <c r="AJ25" i="16"/>
  <c r="AJ35" i="19"/>
  <c r="AJ61" i="13"/>
  <c r="AJ62" i="12"/>
  <c r="AJ55" i="13"/>
  <c r="AJ35" i="11"/>
  <c r="AJ54" i="13"/>
  <c r="AJ40" i="19"/>
  <c r="AJ32" i="16"/>
  <c r="AJ33" i="15"/>
  <c r="AJ63" i="16"/>
  <c r="AJ64" i="13"/>
  <c r="AJ31" i="11"/>
  <c r="AJ28" i="11"/>
  <c r="AJ55" i="11"/>
  <c r="AJ57" i="14"/>
  <c r="AJ32" i="13"/>
  <c r="AJ57" i="16"/>
  <c r="AJ55" i="14"/>
  <c r="AJ42" i="19"/>
  <c r="AJ56" i="13"/>
  <c r="AJ26" i="13"/>
  <c r="AJ26" i="15"/>
  <c r="AJ36" i="12"/>
  <c r="AJ31" i="19"/>
  <c r="AJ41" i="14"/>
  <c r="AJ29" i="16"/>
  <c r="AJ35" i="15"/>
  <c r="AJ28" i="12"/>
  <c r="AJ41" i="13"/>
  <c r="AJ37" i="11"/>
  <c r="AJ64" i="12"/>
  <c r="AJ35" i="13"/>
  <c r="AJ45" i="12"/>
  <c r="AJ25" i="13"/>
  <c r="AJ25" i="15"/>
  <c r="AJ43" i="12"/>
  <c r="AJ54" i="12"/>
  <c r="AJ33" i="12"/>
  <c r="AJ27" i="13"/>
  <c r="AJ38" i="13"/>
  <c r="AJ64" i="11"/>
  <c r="AJ56" i="14"/>
  <c r="AJ63" i="14"/>
  <c r="AJ45" i="11"/>
  <c r="AJ27" i="19"/>
  <c r="AJ61" i="11"/>
  <c r="AJ35" i="14"/>
  <c r="AJ42" i="13"/>
  <c r="AJ40" i="11"/>
  <c r="AJ33" i="19"/>
  <c r="AJ59" i="12"/>
  <c r="AJ60" i="11"/>
  <c r="AJ63" i="12"/>
  <c r="AJ34" i="13"/>
  <c r="AJ45" i="13"/>
  <c r="AJ36" i="13"/>
  <c r="AJ28" i="16"/>
  <c r="AJ28" i="13"/>
  <c r="AJ34" i="14"/>
  <c r="AJ40" i="12"/>
  <c r="AJ63" i="11"/>
  <c r="AJ33" i="14"/>
  <c r="AJ60" i="16"/>
  <c r="AJ52" i="11"/>
  <c r="AJ59" i="16"/>
  <c r="AJ38" i="19"/>
  <c r="AJ33" i="16"/>
  <c r="AJ53" i="16"/>
  <c r="AJ64" i="15"/>
  <c r="AJ52" i="12"/>
  <c r="AJ39" i="19"/>
  <c r="AJ61" i="16"/>
  <c r="AJ44" i="13"/>
  <c r="AJ41" i="15"/>
  <c r="AJ41" i="11"/>
  <c r="AJ56" i="19"/>
  <c r="AJ56" i="12"/>
  <c r="AJ64" i="16"/>
  <c r="AJ40" i="13"/>
  <c r="AJ28" i="14"/>
  <c r="AJ25" i="14"/>
  <c r="AJ55" i="12"/>
  <c r="AJ30" i="11"/>
  <c r="AJ57" i="15"/>
  <c r="AJ39" i="11"/>
  <c r="AJ41" i="19"/>
  <c r="AJ36" i="11"/>
  <c r="AJ61" i="12"/>
  <c r="AJ44" i="15"/>
  <c r="AJ32" i="15"/>
  <c r="AJ55" i="16"/>
  <c r="AJ62" i="11"/>
  <c r="AJ42" i="14"/>
  <c r="AJ60" i="12"/>
  <c r="AJ36" i="14"/>
  <c r="AJ53" i="19"/>
  <c r="R58" i="12"/>
  <c r="R54" i="10"/>
  <c r="R36" i="10"/>
  <c r="R40" i="8"/>
  <c r="R38" i="8"/>
  <c r="R52" i="8"/>
  <c r="R57" i="8"/>
  <c r="R58" i="11"/>
  <c r="R43" i="10"/>
  <c r="R59" i="10"/>
  <c r="R39" i="10"/>
  <c r="R41" i="8"/>
  <c r="R62" i="8"/>
  <c r="R55" i="8"/>
  <c r="R26" i="10"/>
  <c r="R25" i="10"/>
  <c r="R63" i="8"/>
  <c r="R60" i="8"/>
  <c r="R58" i="15"/>
  <c r="R29" i="10"/>
  <c r="R57" i="10"/>
  <c r="R55" i="10"/>
  <c r="R58" i="8"/>
  <c r="R58" i="16"/>
  <c r="R41" i="10"/>
  <c r="R32" i="10"/>
  <c r="R31" i="10"/>
  <c r="R56" i="8"/>
  <c r="R42" i="8"/>
  <c r="R56" i="10"/>
  <c r="R34" i="10"/>
  <c r="R37" i="10"/>
  <c r="R38" i="10"/>
  <c r="R30" i="8"/>
  <c r="R43" i="8"/>
  <c r="R58" i="19"/>
  <c r="R58" i="10"/>
  <c r="R42" i="10"/>
  <c r="R62" i="10"/>
  <c r="R64" i="10"/>
  <c r="R36" i="8"/>
  <c r="R31" i="8"/>
  <c r="R44" i="8"/>
  <c r="R34" i="8"/>
  <c r="R37" i="8"/>
  <c r="R29" i="8"/>
  <c r="R54" i="8"/>
  <c r="R61" i="8"/>
  <c r="R58" i="13"/>
  <c r="R35" i="10"/>
  <c r="R60" i="10"/>
  <c r="R40" i="10"/>
  <c r="R33" i="10"/>
  <c r="R59" i="8"/>
  <c r="R32" i="8"/>
  <c r="R26" i="8"/>
  <c r="R64" i="8"/>
  <c r="R45" i="8"/>
  <c r="R53" i="8"/>
  <c r="R61" i="10"/>
  <c r="R63" i="10"/>
  <c r="R35" i="8"/>
  <c r="R33" i="8"/>
  <c r="R25" i="8"/>
  <c r="R44" i="10"/>
  <c r="R52" i="10"/>
  <c r="R27" i="8"/>
  <c r="R27" i="10"/>
  <c r="R58" i="14"/>
  <c r="R45" i="10"/>
  <c r="R53" i="10"/>
  <c r="R30" i="10"/>
  <c r="R28" i="10"/>
  <c r="R39" i="8"/>
  <c r="R28" i="8"/>
  <c r="R29" i="15"/>
  <c r="R38" i="13"/>
  <c r="R52" i="13"/>
  <c r="R35" i="12"/>
  <c r="R57" i="15"/>
  <c r="R53" i="16"/>
  <c r="R53" i="14"/>
  <c r="R41" i="15"/>
  <c r="R41" i="14"/>
  <c r="R36" i="13"/>
  <c r="R62" i="16"/>
  <c r="R61" i="16"/>
  <c r="R32" i="11"/>
  <c r="R60" i="15"/>
  <c r="R25" i="14"/>
  <c r="R36" i="14"/>
  <c r="R37" i="14"/>
  <c r="R44" i="11"/>
  <c r="R31" i="12"/>
  <c r="R42" i="14"/>
  <c r="R32" i="13"/>
  <c r="R62" i="14"/>
  <c r="R29" i="13"/>
  <c r="R25" i="13"/>
  <c r="R34" i="12"/>
  <c r="R59" i="16"/>
  <c r="R55" i="16"/>
  <c r="R39" i="12"/>
  <c r="R42" i="11"/>
  <c r="R40" i="19"/>
  <c r="R41" i="11"/>
  <c r="R30" i="11"/>
  <c r="R63" i="12"/>
  <c r="R28" i="14"/>
  <c r="R33" i="11"/>
  <c r="R31" i="16"/>
  <c r="R63" i="16"/>
  <c r="R32" i="14"/>
  <c r="R33" i="16"/>
  <c r="R62" i="15"/>
  <c r="R38" i="16"/>
  <c r="R57" i="16"/>
  <c r="R56" i="13"/>
  <c r="R54" i="14"/>
  <c r="R30" i="15"/>
  <c r="R31" i="14"/>
  <c r="R41" i="13"/>
  <c r="R25" i="11"/>
  <c r="R45" i="19"/>
  <c r="R43" i="13"/>
  <c r="R37" i="13"/>
  <c r="R57" i="11"/>
  <c r="R52" i="15"/>
  <c r="R55" i="11"/>
  <c r="R35" i="14"/>
  <c r="R32" i="16"/>
  <c r="R33" i="13"/>
  <c r="R38" i="19"/>
  <c r="R35" i="15"/>
  <c r="R36" i="15"/>
  <c r="R29" i="16"/>
  <c r="R28" i="13"/>
  <c r="R42" i="12"/>
  <c r="R27" i="12"/>
  <c r="R64" i="14"/>
  <c r="R45" i="15"/>
  <c r="R40" i="15"/>
  <c r="R34" i="16"/>
  <c r="R53" i="19"/>
  <c r="R34" i="14"/>
  <c r="R31" i="13"/>
  <c r="R35" i="16"/>
  <c r="R41" i="16"/>
  <c r="R40" i="14"/>
  <c r="R61" i="11"/>
  <c r="R37" i="16"/>
  <c r="R45" i="13"/>
  <c r="R27" i="19"/>
  <c r="R60" i="12"/>
  <c r="R44" i="15"/>
  <c r="R63" i="11"/>
  <c r="R32" i="12"/>
  <c r="R64" i="13"/>
  <c r="R32" i="15"/>
  <c r="R37" i="15"/>
  <c r="R61" i="13"/>
  <c r="R44" i="12"/>
  <c r="R27" i="13"/>
  <c r="R43" i="19"/>
  <c r="R41" i="12"/>
  <c r="R44" i="13"/>
  <c r="R42" i="16"/>
  <c r="R56" i="14"/>
  <c r="R25" i="12"/>
  <c r="R54" i="13"/>
  <c r="R43" i="12"/>
  <c r="R59" i="11"/>
  <c r="R39" i="16"/>
  <c r="R35" i="19"/>
  <c r="R29" i="12"/>
  <c r="R56" i="12"/>
  <c r="R36" i="19"/>
  <c r="R52" i="12"/>
  <c r="R29" i="11"/>
  <c r="R56" i="16"/>
  <c r="R27" i="15"/>
  <c r="R63" i="19"/>
  <c r="R62" i="11"/>
  <c r="R43" i="16"/>
  <c r="R59" i="19"/>
  <c r="R43" i="15"/>
  <c r="R56" i="15"/>
  <c r="R45" i="14"/>
  <c r="R45" i="11"/>
  <c r="R55" i="19"/>
  <c r="R60" i="13"/>
  <c r="R42" i="13"/>
  <c r="R28" i="11"/>
  <c r="R31" i="19"/>
  <c r="R53" i="12"/>
  <c r="R31" i="15"/>
  <c r="R52" i="19"/>
  <c r="R62" i="13"/>
  <c r="R61" i="15"/>
  <c r="R43" i="11"/>
  <c r="R64" i="16"/>
  <c r="R61" i="19"/>
  <c r="R56" i="11"/>
  <c r="R34" i="13"/>
  <c r="R44" i="19"/>
  <c r="R40" i="11"/>
  <c r="R56" i="19"/>
  <c r="R39" i="15"/>
  <c r="R26" i="12"/>
  <c r="R53" i="13"/>
  <c r="R37" i="11"/>
  <c r="R59" i="14"/>
  <c r="R60" i="19"/>
  <c r="R38" i="15"/>
  <c r="R25" i="15"/>
  <c r="R41" i="19"/>
  <c r="R37" i="12"/>
  <c r="R54" i="11"/>
  <c r="R55" i="14"/>
  <c r="R36" i="12"/>
  <c r="R54" i="15"/>
  <c r="R35" i="13"/>
  <c r="R27" i="11"/>
  <c r="R42" i="19"/>
  <c r="R59" i="13"/>
  <c r="R39" i="19"/>
  <c r="R59" i="12"/>
  <c r="R27" i="16"/>
  <c r="R60" i="11"/>
  <c r="R34" i="11"/>
  <c r="R57" i="12"/>
  <c r="R53" i="11"/>
  <c r="R30" i="19"/>
  <c r="R57" i="13"/>
  <c r="R33" i="19"/>
  <c r="R31" i="11"/>
  <c r="R44" i="14"/>
  <c r="R28" i="19"/>
  <c r="R39" i="14"/>
  <c r="R28" i="12"/>
  <c r="R45" i="16"/>
  <c r="R53" i="15"/>
  <c r="R54" i="19"/>
  <c r="R39" i="11"/>
  <c r="R26" i="19"/>
  <c r="R59" i="15"/>
  <c r="R63" i="14"/>
  <c r="R43" i="14"/>
  <c r="R60" i="16"/>
  <c r="R38" i="14"/>
  <c r="R26" i="11"/>
  <c r="R57" i="19"/>
  <c r="R63" i="15"/>
  <c r="R35" i="11"/>
  <c r="R42" i="15"/>
  <c r="R40" i="12"/>
  <c r="R62" i="19"/>
  <c r="R26" i="14"/>
  <c r="R52" i="14"/>
  <c r="R30" i="13"/>
  <c r="R63" i="13"/>
  <c r="R29" i="19"/>
  <c r="R64" i="11"/>
  <c r="R40" i="16"/>
  <c r="R30" i="12"/>
  <c r="R52" i="16"/>
  <c r="R29" i="14"/>
  <c r="R60" i="14"/>
  <c r="R55" i="15"/>
  <c r="R26" i="15"/>
  <c r="R25" i="19"/>
  <c r="R26" i="13"/>
  <c r="R45" i="12"/>
  <c r="R36" i="16"/>
  <c r="R44" i="16"/>
  <c r="R38" i="11"/>
  <c r="R33" i="12"/>
  <c r="R62" i="12"/>
  <c r="R61" i="12"/>
  <c r="R30" i="16"/>
  <c r="R34" i="19"/>
  <c r="R64" i="12"/>
  <c r="R33" i="14"/>
  <c r="R64" i="19"/>
  <c r="R27" i="14"/>
  <c r="R40" i="13"/>
  <c r="R30" i="14"/>
  <c r="R26" i="16"/>
  <c r="R28" i="16"/>
  <c r="R32" i="19"/>
  <c r="R39" i="13"/>
  <c r="R33" i="15"/>
  <c r="R57" i="14"/>
  <c r="R52" i="11"/>
  <c r="R54" i="16"/>
  <c r="R61" i="14"/>
  <c r="R28" i="15"/>
  <c r="R55" i="13"/>
  <c r="R38" i="12"/>
  <c r="R37" i="19"/>
  <c r="R64" i="15"/>
  <c r="R36" i="11"/>
  <c r="R54" i="12"/>
  <c r="R34" i="15"/>
  <c r="R55" i="12"/>
  <c r="R25" i="16"/>
  <c r="AF58" i="19"/>
  <c r="AF58" i="11"/>
  <c r="AF58" i="14"/>
  <c r="AF58" i="13"/>
  <c r="AF58" i="16"/>
  <c r="AF58" i="10"/>
  <c r="AF58" i="15"/>
  <c r="AF58" i="12"/>
  <c r="AF58" i="8"/>
  <c r="AF44" i="10"/>
  <c r="AF31" i="8"/>
  <c r="AF29" i="10"/>
  <c r="AF37" i="10"/>
  <c r="AF44" i="8"/>
  <c r="AF53" i="13"/>
  <c r="AF33" i="14"/>
  <c r="AF62" i="11"/>
  <c r="AF40" i="12"/>
  <c r="AF44" i="15"/>
  <c r="AF64" i="14"/>
  <c r="AF32" i="19"/>
  <c r="AF56" i="14"/>
  <c r="AF36" i="13"/>
  <c r="AF31" i="19"/>
  <c r="AF59" i="12"/>
  <c r="AF62" i="14"/>
  <c r="AF29" i="11"/>
  <c r="AF55" i="16"/>
  <c r="AF40" i="11"/>
  <c r="AF57" i="11"/>
  <c r="AF30" i="12"/>
  <c r="AF30" i="14"/>
  <c r="AF33" i="11"/>
  <c r="AF61" i="8"/>
  <c r="AF41" i="8"/>
  <c r="AF45" i="10"/>
  <c r="AF62" i="10"/>
  <c r="AF25" i="10"/>
  <c r="AF38" i="19"/>
  <c r="AF44" i="11"/>
  <c r="AF28" i="15"/>
  <c r="AF45" i="11"/>
  <c r="AF59" i="16"/>
  <c r="AF57" i="16"/>
  <c r="AF60" i="15"/>
  <c r="AF37" i="13"/>
  <c r="AF56" i="13"/>
  <c r="AF53" i="11"/>
  <c r="AF64" i="13"/>
  <c r="AF40" i="16"/>
  <c r="AF45" i="13"/>
  <c r="AF39" i="12"/>
  <c r="AF61" i="15"/>
  <c r="AF36" i="11"/>
  <c r="AF35" i="13"/>
  <c r="AF26" i="14"/>
  <c r="AF64" i="16"/>
  <c r="AF55" i="12"/>
  <c r="AF43" i="8"/>
  <c r="AF33" i="8"/>
  <c r="AF59" i="10"/>
  <c r="AF32" i="10"/>
  <c r="AF56" i="8"/>
  <c r="AF57" i="19"/>
  <c r="AF61" i="11"/>
  <c r="AF40" i="15"/>
  <c r="AF52" i="14"/>
  <c r="AF25" i="16"/>
  <c r="AF29" i="13"/>
  <c r="AF52" i="11"/>
  <c r="AF59" i="11"/>
  <c r="AF64" i="12"/>
  <c r="AF64" i="11"/>
  <c r="AF35" i="16"/>
  <c r="AF55" i="14"/>
  <c r="AF56" i="12"/>
  <c r="AF42" i="16"/>
  <c r="AF38" i="11"/>
  <c r="AF61" i="19"/>
  <c r="AF60" i="13"/>
  <c r="AF31" i="16"/>
  <c r="AF41" i="15"/>
  <c r="AF61" i="14"/>
  <c r="AF36" i="10"/>
  <c r="AF42" i="8"/>
  <c r="AF26" i="8"/>
  <c r="AF64" i="8"/>
  <c r="AF62" i="8"/>
  <c r="AF38" i="8"/>
  <c r="AF41" i="19"/>
  <c r="AF32" i="12"/>
  <c r="AF29" i="14"/>
  <c r="AF35" i="12"/>
  <c r="AF35" i="15"/>
  <c r="AF53" i="14"/>
  <c r="AF25" i="11"/>
  <c r="AF38" i="13"/>
  <c r="AF26" i="12"/>
  <c r="AF39" i="11"/>
  <c r="AF44" i="16"/>
  <c r="AF55" i="15"/>
  <c r="AF41" i="11"/>
  <c r="AF52" i="12"/>
  <c r="AF45" i="16"/>
  <c r="AF55" i="19"/>
  <c r="AF25" i="15"/>
  <c r="AF41" i="13"/>
  <c r="AF45" i="19"/>
  <c r="AF42" i="12"/>
  <c r="AF60" i="8"/>
  <c r="AF34" i="10"/>
  <c r="AF57" i="8"/>
  <c r="AF29" i="8"/>
  <c r="AF63" i="8"/>
  <c r="AF59" i="8"/>
  <c r="AF43" i="11"/>
  <c r="AF62" i="12"/>
  <c r="AF27" i="13"/>
  <c r="AF59" i="13"/>
  <c r="AF29" i="15"/>
  <c r="AF37" i="14"/>
  <c r="AF34" i="12"/>
  <c r="AF27" i="12"/>
  <c r="AF31" i="13"/>
  <c r="AF28" i="14"/>
  <c r="AF59" i="15"/>
  <c r="AF63" i="11"/>
  <c r="AF37" i="15"/>
  <c r="AF63" i="15"/>
  <c r="AF34" i="15"/>
  <c r="AF40" i="19"/>
  <c r="AF42" i="11"/>
  <c r="AF26" i="15"/>
  <c r="AF56" i="19"/>
  <c r="AF30" i="10"/>
  <c r="AF55" i="10"/>
  <c r="AF52" i="10"/>
  <c r="AF43" i="10"/>
  <c r="AF35" i="8"/>
  <c r="AF40" i="8"/>
  <c r="AF53" i="12"/>
  <c r="AF54" i="16"/>
  <c r="AF61" i="12"/>
  <c r="AF41" i="14"/>
  <c r="AF41" i="12"/>
  <c r="AF39" i="19"/>
  <c r="AF34" i="14"/>
  <c r="AF62" i="16"/>
  <c r="AF37" i="19"/>
  <c r="AF35" i="14"/>
  <c r="AF37" i="16"/>
  <c r="AF31" i="15"/>
  <c r="AF33" i="12"/>
  <c r="AF25" i="19"/>
  <c r="AF32" i="16"/>
  <c r="AF62" i="19"/>
  <c r="AF43" i="13"/>
  <c r="AF64" i="15"/>
  <c r="AF26" i="19"/>
  <c r="AF55" i="8"/>
  <c r="AF41" i="10"/>
  <c r="AF54" i="10"/>
  <c r="AF53" i="10"/>
  <c r="AF40" i="10"/>
  <c r="AF32" i="8"/>
  <c r="AF31" i="11"/>
  <c r="AF52" i="16"/>
  <c r="AF38" i="14"/>
  <c r="AF35" i="11"/>
  <c r="AF30" i="13"/>
  <c r="AF54" i="19"/>
  <c r="AF54" i="13"/>
  <c r="AF37" i="12"/>
  <c r="AF30" i="19"/>
  <c r="AF27" i="14"/>
  <c r="AF26" i="13"/>
  <c r="AF63" i="12"/>
  <c r="AF32" i="13"/>
  <c r="AF53" i="19"/>
  <c r="AF53" i="16"/>
  <c r="AF27" i="19"/>
  <c r="AF45" i="12"/>
  <c r="AF60" i="16"/>
  <c r="AF30" i="15"/>
  <c r="AF45" i="8"/>
  <c r="AF61" i="10"/>
  <c r="AF57" i="10"/>
  <c r="AF37" i="8"/>
  <c r="AF63" i="10"/>
  <c r="AF34" i="8"/>
  <c r="AF26" i="11"/>
  <c r="AF56" i="15"/>
  <c r="AF57" i="14"/>
  <c r="AF32" i="11"/>
  <c r="AF40" i="14"/>
  <c r="AF25" i="13"/>
  <c r="AF62" i="13"/>
  <c r="AF33" i="16"/>
  <c r="AF32" i="15"/>
  <c r="AF38" i="12"/>
  <c r="AF29" i="16"/>
  <c r="AF26" i="16"/>
  <c r="AF31" i="12"/>
  <c r="AF64" i="19"/>
  <c r="AF43" i="12"/>
  <c r="AF59" i="19"/>
  <c r="AF42" i="13"/>
  <c r="AF40" i="13"/>
  <c r="AF44" i="12"/>
  <c r="AF27" i="10"/>
  <c r="AF54" i="8"/>
  <c r="AF30" i="8"/>
  <c r="AF39" i="8"/>
  <c r="AF39" i="10"/>
  <c r="AF56" i="10"/>
  <c r="AF30" i="11"/>
  <c r="AF60" i="19"/>
  <c r="AF45" i="15"/>
  <c r="AF60" i="12"/>
  <c r="AF28" i="16"/>
  <c r="AF61" i="16"/>
  <c r="AF44" i="14"/>
  <c r="AF43" i="16"/>
  <c r="AF33" i="15"/>
  <c r="AF54" i="12"/>
  <c r="AF61" i="13"/>
  <c r="AF42" i="19"/>
  <c r="AF36" i="15"/>
  <c r="AF38" i="15"/>
  <c r="AF36" i="14"/>
  <c r="AF42" i="15"/>
  <c r="AF63" i="16"/>
  <c r="AF52" i="13"/>
  <c r="AF38" i="16"/>
  <c r="AF42" i="10"/>
  <c r="AF53" i="8"/>
  <c r="AF52" i="8"/>
  <c r="AF27" i="8"/>
  <c r="AF38" i="10"/>
  <c r="AF27" i="15"/>
  <c r="AF34" i="19"/>
  <c r="AF53" i="15"/>
  <c r="AF34" i="13"/>
  <c r="AF59" i="14"/>
  <c r="AF34" i="11"/>
  <c r="AF33" i="19"/>
  <c r="AF27" i="11"/>
  <c r="AF52" i="15"/>
  <c r="AF63" i="14"/>
  <c r="AF32" i="14"/>
  <c r="AF37" i="11"/>
  <c r="AF27" i="16"/>
  <c r="AF43" i="15"/>
  <c r="AF28" i="13"/>
  <c r="AF36" i="16"/>
  <c r="AF63" i="19"/>
  <c r="AF28" i="11"/>
  <c r="AF60" i="11"/>
  <c r="AF26" i="10"/>
  <c r="AF35" i="10"/>
  <c r="AF36" i="8"/>
  <c r="AF28" i="8"/>
  <c r="AF60" i="10"/>
  <c r="AF43" i="14"/>
  <c r="AF44" i="19"/>
  <c r="AF57" i="15"/>
  <c r="AF29" i="19"/>
  <c r="AF39" i="16"/>
  <c r="AF44" i="13"/>
  <c r="AF28" i="19"/>
  <c r="AF54" i="11"/>
  <c r="AF54" i="15"/>
  <c r="AF41" i="16"/>
  <c r="AF33" i="13"/>
  <c r="AF42" i="14"/>
  <c r="AF39" i="14"/>
  <c r="AF39" i="15"/>
  <c r="AF60" i="14"/>
  <c r="AF30" i="16"/>
  <c r="AF25" i="12"/>
  <c r="AF54" i="14"/>
  <c r="AF57" i="12"/>
  <c r="AF28" i="10"/>
  <c r="AF64" i="10"/>
  <c r="AF31" i="10"/>
  <c r="AF33" i="10"/>
  <c r="AF25" i="8"/>
  <c r="AF56" i="11"/>
  <c r="AF36" i="19"/>
  <c r="AF55" i="11"/>
  <c r="AF52" i="19"/>
  <c r="AF29" i="12"/>
  <c r="AF62" i="15"/>
  <c r="AF43" i="19"/>
  <c r="AF57" i="13"/>
  <c r="AF31" i="14"/>
  <c r="AF35" i="19"/>
  <c r="AF28" i="12"/>
  <c r="AF39" i="13"/>
  <c r="AF56" i="16"/>
  <c r="AF63" i="13"/>
  <c r="AF45" i="14"/>
  <c r="AF25" i="14"/>
  <c r="AF36" i="12"/>
  <c r="AF55" i="13"/>
  <c r="AF34" i="16"/>
  <c r="AK58" i="8"/>
  <c r="AK58" i="15"/>
  <c r="AK58" i="10"/>
  <c r="AK58" i="16"/>
  <c r="AK58" i="11"/>
  <c r="AK58" i="13"/>
  <c r="AK58" i="12"/>
  <c r="AK58" i="14"/>
  <c r="AK58" i="19"/>
  <c r="AK26" i="10"/>
  <c r="AK25" i="10"/>
  <c r="AK32" i="8"/>
  <c r="AK35" i="8"/>
  <c r="AK57" i="8"/>
  <c r="AK33" i="10"/>
  <c r="AK63" i="16"/>
  <c r="AK39" i="13"/>
  <c r="AK55" i="14"/>
  <c r="AK64" i="14"/>
  <c r="AK55" i="16"/>
  <c r="AK60" i="11"/>
  <c r="AK43" i="15"/>
  <c r="AK40" i="15"/>
  <c r="AK44" i="11"/>
  <c r="AK35" i="11"/>
  <c r="AK60" i="15"/>
  <c r="AK38" i="14"/>
  <c r="AK33" i="16"/>
  <c r="AK35" i="14"/>
  <c r="AK44" i="14"/>
  <c r="AK25" i="16"/>
  <c r="AK29" i="15"/>
  <c r="AK59" i="11"/>
  <c r="AK32" i="13"/>
  <c r="AK45" i="10"/>
  <c r="AK43" i="10"/>
  <c r="AK37" i="10"/>
  <c r="AK42" i="8"/>
  <c r="AK35" i="10"/>
  <c r="AK40" i="10"/>
  <c r="AK63" i="11"/>
  <c r="AK31" i="16"/>
  <c r="AK28" i="16"/>
  <c r="AK40" i="14"/>
  <c r="AK28" i="14"/>
  <c r="AK43" i="13"/>
  <c r="AK61" i="14"/>
  <c r="AK34" i="15"/>
  <c r="AK27" i="12"/>
  <c r="AK45" i="13"/>
  <c r="AK42" i="14"/>
  <c r="AK55" i="11"/>
  <c r="AK25" i="11"/>
  <c r="AK60" i="12"/>
  <c r="AK29" i="13"/>
  <c r="AK30" i="11"/>
  <c r="AK28" i="12"/>
  <c r="AK29" i="11"/>
  <c r="AK40" i="11"/>
  <c r="AK29" i="8"/>
  <c r="AK39" i="10"/>
  <c r="AK55" i="8"/>
  <c r="AK28" i="8"/>
  <c r="AK59" i="10"/>
  <c r="AK52" i="8"/>
  <c r="AK33" i="15"/>
  <c r="AK62" i="15"/>
  <c r="AK32" i="11"/>
  <c r="AK36" i="16"/>
  <c r="AK27" i="11"/>
  <c r="AK54" i="11"/>
  <c r="AK40" i="13"/>
  <c r="AK26" i="13"/>
  <c r="AK25" i="13"/>
  <c r="AK52" i="16"/>
  <c r="AK57" i="15"/>
  <c r="AK29" i="19"/>
  <c r="AK32" i="16"/>
  <c r="AK41" i="14"/>
  <c r="AK56" i="13"/>
  <c r="AK53" i="15"/>
  <c r="AK62" i="13"/>
  <c r="AK34" i="12"/>
  <c r="AK59" i="13"/>
  <c r="AK42" i="10"/>
  <c r="AK30" i="10"/>
  <c r="AK53" i="8"/>
  <c r="AK34" i="8"/>
  <c r="AK29" i="10"/>
  <c r="AK64" i="8"/>
  <c r="AK42" i="11"/>
  <c r="AK31" i="12"/>
  <c r="AK30" i="16"/>
  <c r="AK64" i="11"/>
  <c r="AK60" i="13"/>
  <c r="AK53" i="11"/>
  <c r="AK38" i="15"/>
  <c r="AK45" i="11"/>
  <c r="AK57" i="14"/>
  <c r="AK33" i="13"/>
  <c r="AK44" i="16"/>
  <c r="AK35" i="19"/>
  <c r="AK43" i="16"/>
  <c r="AK53" i="16"/>
  <c r="AK63" i="19"/>
  <c r="AK39" i="12"/>
  <c r="AK29" i="14"/>
  <c r="AK45" i="12"/>
  <c r="AK28" i="13"/>
  <c r="AK61" i="10"/>
  <c r="AK33" i="8"/>
  <c r="AK26" i="8"/>
  <c r="AK52" i="10"/>
  <c r="AK30" i="8"/>
  <c r="AK41" i="8"/>
  <c r="AK64" i="15"/>
  <c r="AK40" i="12"/>
  <c r="AK32" i="14"/>
  <c r="AK39" i="15"/>
  <c r="AK30" i="13"/>
  <c r="AK38" i="11"/>
  <c r="AK59" i="12"/>
  <c r="AK59" i="14"/>
  <c r="AK36" i="14"/>
  <c r="AK37" i="13"/>
  <c r="AK27" i="15"/>
  <c r="AK36" i="19"/>
  <c r="AK53" i="14"/>
  <c r="AK39" i="19"/>
  <c r="AK59" i="19"/>
  <c r="AK56" i="11"/>
  <c r="AK34" i="13"/>
  <c r="AK37" i="19"/>
  <c r="AK39" i="14"/>
  <c r="AK36" i="10"/>
  <c r="AK53" i="10"/>
  <c r="AK44" i="8"/>
  <c r="AK62" i="8"/>
  <c r="AK40" i="8"/>
  <c r="AK30" i="14"/>
  <c r="AK43" i="12"/>
  <c r="AK45" i="14"/>
  <c r="AK44" i="15"/>
  <c r="AK42" i="16"/>
  <c r="AK61" i="15"/>
  <c r="AK64" i="13"/>
  <c r="AK39" i="16"/>
  <c r="AK32" i="19"/>
  <c r="AK29" i="16"/>
  <c r="AK27" i="14"/>
  <c r="AK27" i="13"/>
  <c r="AK55" i="12"/>
  <c r="AK29" i="12"/>
  <c r="AK60" i="19"/>
  <c r="AK52" i="11"/>
  <c r="AK53" i="12"/>
  <c r="AK38" i="19"/>
  <c r="AK63" i="15"/>
  <c r="AK56" i="8"/>
  <c r="AK60" i="8"/>
  <c r="AK64" i="10"/>
  <c r="AK45" i="8"/>
  <c r="AK63" i="8"/>
  <c r="AK43" i="14"/>
  <c r="AK31" i="19"/>
  <c r="AK32" i="15"/>
  <c r="AK44" i="19"/>
  <c r="AK56" i="15"/>
  <c r="AK31" i="13"/>
  <c r="AK45" i="15"/>
  <c r="AK28" i="11"/>
  <c r="AK52" i="19"/>
  <c r="AK52" i="14"/>
  <c r="AK56" i="16"/>
  <c r="AK60" i="16"/>
  <c r="AK42" i="12"/>
  <c r="AK61" i="12"/>
  <c r="AK32" i="12"/>
  <c r="AK55" i="15"/>
  <c r="AK31" i="11"/>
  <c r="AK56" i="19"/>
  <c r="AK54" i="12"/>
  <c r="AK38" i="8"/>
  <c r="AK37" i="8"/>
  <c r="AK55" i="10"/>
  <c r="AK43" i="8"/>
  <c r="AK25" i="8"/>
  <c r="AK57" i="12"/>
  <c r="AK26" i="19"/>
  <c r="AK26" i="12"/>
  <c r="AK41" i="11"/>
  <c r="AK52" i="13"/>
  <c r="AK41" i="12"/>
  <c r="AK37" i="12"/>
  <c r="AK37" i="16"/>
  <c r="AK31" i="15"/>
  <c r="AK33" i="19"/>
  <c r="AK36" i="11"/>
  <c r="AK43" i="11"/>
  <c r="AK26" i="16"/>
  <c r="AK30" i="12"/>
  <c r="AK38" i="16"/>
  <c r="AK63" i="12"/>
  <c r="AK26" i="14"/>
  <c r="AK61" i="16"/>
  <c r="AK35" i="13"/>
  <c r="AK31" i="10"/>
  <c r="AK57" i="10"/>
  <c r="AK32" i="10"/>
  <c r="AK36" i="8"/>
  <c r="AK54" i="8"/>
  <c r="AK61" i="11"/>
  <c r="AK55" i="19"/>
  <c r="AK33" i="12"/>
  <c r="AK42" i="13"/>
  <c r="AK30" i="19"/>
  <c r="AK37" i="14"/>
  <c r="AK43" i="19"/>
  <c r="AK41" i="15"/>
  <c r="AK25" i="15"/>
  <c r="AK62" i="19"/>
  <c r="AK52" i="12"/>
  <c r="AK44" i="13"/>
  <c r="AK57" i="13"/>
  <c r="AK42" i="15"/>
  <c r="AK28" i="15"/>
  <c r="AK37" i="15"/>
  <c r="AK54" i="13"/>
  <c r="AK57" i="11"/>
  <c r="AK57" i="16"/>
  <c r="AK28" i="10"/>
  <c r="AK54" i="10"/>
  <c r="AK41" i="10"/>
  <c r="AK39" i="8"/>
  <c r="AK59" i="8"/>
  <c r="AK42" i="19"/>
  <c r="AK36" i="13"/>
  <c r="AK27" i="19"/>
  <c r="AK37" i="11"/>
  <c r="AK25" i="12"/>
  <c r="AK25" i="19"/>
  <c r="AK60" i="14"/>
  <c r="AK28" i="19"/>
  <c r="AK39" i="11"/>
  <c r="AK34" i="16"/>
  <c r="AK61" i="19"/>
  <c r="AK62" i="16"/>
  <c r="AK33" i="11"/>
  <c r="AK36" i="15"/>
  <c r="AK40" i="16"/>
  <c r="AK59" i="16"/>
  <c r="AK40" i="19"/>
  <c r="AK33" i="14"/>
  <c r="AK55" i="13"/>
  <c r="AK25" i="14"/>
  <c r="AK27" i="10"/>
  <c r="AK60" i="10"/>
  <c r="AK38" i="10"/>
  <c r="AK27" i="8"/>
  <c r="AK63" i="10"/>
  <c r="AK54" i="19"/>
  <c r="AK34" i="11"/>
  <c r="AK57" i="19"/>
  <c r="AK35" i="15"/>
  <c r="AK35" i="16"/>
  <c r="AK62" i="14"/>
  <c r="AK41" i="13"/>
  <c r="AK64" i="19"/>
  <c r="AK35" i="12"/>
  <c r="AK64" i="16"/>
  <c r="AK45" i="19"/>
  <c r="AK54" i="14"/>
  <c r="AK62" i="12"/>
  <c r="AK41" i="16"/>
  <c r="AK54" i="16"/>
  <c r="AK44" i="12"/>
  <c r="AK41" i="19"/>
  <c r="AK61" i="13"/>
  <c r="AK63" i="14"/>
  <c r="AK56" i="14"/>
  <c r="AK56" i="10"/>
  <c r="AK34" i="10"/>
  <c r="AK31" i="8"/>
  <c r="AK62" i="10"/>
  <c r="AK61" i="8"/>
  <c r="AK44" i="10"/>
  <c r="AK62" i="11"/>
  <c r="AK38" i="12"/>
  <c r="AK64" i="12"/>
  <c r="AK59" i="15"/>
  <c r="AK30" i="15"/>
  <c r="AK53" i="13"/>
  <c r="AK54" i="15"/>
  <c r="AK34" i="19"/>
  <c r="AK38" i="13"/>
  <c r="AK26" i="15"/>
  <c r="AK56" i="12"/>
  <c r="AK52" i="15"/>
  <c r="AK26" i="11"/>
  <c r="AK45" i="16"/>
  <c r="AK63" i="13"/>
  <c r="AK34" i="14"/>
  <c r="AK53" i="19"/>
  <c r="AK36" i="12"/>
  <c r="AK31" i="14"/>
  <c r="AK27" i="16"/>
  <c r="AM58" i="16"/>
  <c r="AM55" i="10"/>
  <c r="AM29" i="10"/>
  <c r="AM57" i="10"/>
  <c r="AM31" i="10"/>
  <c r="AM61" i="10"/>
  <c r="AM38" i="10"/>
  <c r="AM30" i="8"/>
  <c r="AM59" i="8"/>
  <c r="AM58" i="14"/>
  <c r="AM58" i="13"/>
  <c r="AM25" i="10"/>
  <c r="AM53" i="10"/>
  <c r="AM40" i="10"/>
  <c r="AM30" i="10"/>
  <c r="AM63" i="10"/>
  <c r="AM64" i="8"/>
  <c r="AM25" i="8"/>
  <c r="AM57" i="8"/>
  <c r="AM58" i="15"/>
  <c r="AM26" i="10"/>
  <c r="AM43" i="10"/>
  <c r="AM56" i="8"/>
  <c r="AM52" i="8"/>
  <c r="AM41" i="8"/>
  <c r="AM40" i="8"/>
  <c r="AM58" i="11"/>
  <c r="AM55" i="8"/>
  <c r="AM43" i="8"/>
  <c r="AM33" i="8"/>
  <c r="AM61" i="8"/>
  <c r="AM58" i="10"/>
  <c r="AM45" i="10"/>
  <c r="AM27" i="10"/>
  <c r="AM56" i="10"/>
  <c r="AM60" i="8"/>
  <c r="AM42" i="8"/>
  <c r="AM44" i="8"/>
  <c r="AM62" i="8"/>
  <c r="AM27" i="8"/>
  <c r="AM33" i="10"/>
  <c r="AM37" i="10"/>
  <c r="AM59" i="10"/>
  <c r="AM28" i="8"/>
  <c r="AM53" i="8"/>
  <c r="AM54" i="8"/>
  <c r="AM45" i="8"/>
  <c r="AM58" i="19"/>
  <c r="AM36" i="10"/>
  <c r="AM52" i="10"/>
  <c r="AM26" i="8"/>
  <c r="AM32" i="8"/>
  <c r="AM38" i="8"/>
  <c r="AM32" i="10"/>
  <c r="AM42" i="10"/>
  <c r="AM41" i="10"/>
  <c r="AM35" i="10"/>
  <c r="AM35" i="8"/>
  <c r="AM37" i="8"/>
  <c r="AM39" i="10"/>
  <c r="AM29" i="8"/>
  <c r="AM31" i="8"/>
  <c r="AM36" i="8"/>
  <c r="AM58" i="8"/>
  <c r="AM28" i="10"/>
  <c r="AM44" i="10"/>
  <c r="AM64" i="10"/>
  <c r="AM63" i="8"/>
  <c r="AM39" i="8"/>
  <c r="AM58" i="12"/>
  <c r="AM60" i="10"/>
  <c r="AM54" i="10"/>
  <c r="AM34" i="10"/>
  <c r="AM62" i="10"/>
  <c r="AM34" i="8"/>
  <c r="AM40" i="11"/>
  <c r="AM32" i="14"/>
  <c r="AM41" i="12"/>
  <c r="AM61" i="12"/>
  <c r="AM43" i="13"/>
  <c r="AM32" i="19"/>
  <c r="AM34" i="16"/>
  <c r="AM37" i="19"/>
  <c r="AM63" i="13"/>
  <c r="AM62" i="16"/>
  <c r="AM45" i="13"/>
  <c r="AM35" i="14"/>
  <c r="AM25" i="12"/>
  <c r="AM36" i="16"/>
  <c r="AM56" i="13"/>
  <c r="AM45" i="15"/>
  <c r="AM35" i="16"/>
  <c r="AM61" i="13"/>
  <c r="AM52" i="12"/>
  <c r="AM38" i="14"/>
  <c r="AM61" i="11"/>
  <c r="AM59" i="13"/>
  <c r="AM27" i="16"/>
  <c r="AM33" i="11"/>
  <c r="AM41" i="13"/>
  <c r="AM34" i="11"/>
  <c r="AM62" i="13"/>
  <c r="AM59" i="19"/>
  <c r="AM31" i="13"/>
  <c r="AM27" i="13"/>
  <c r="AM39" i="12"/>
  <c r="AM54" i="11"/>
  <c r="AM29" i="19"/>
  <c r="AM31" i="16"/>
  <c r="AM36" i="13"/>
  <c r="AM41" i="14"/>
  <c r="AM42" i="13"/>
  <c r="AM64" i="12"/>
  <c r="AM62" i="11"/>
  <c r="AM28" i="12"/>
  <c r="AM40" i="14"/>
  <c r="AM60" i="15"/>
  <c r="AM56" i="14"/>
  <c r="AM25" i="15"/>
  <c r="AM52" i="16"/>
  <c r="AM57" i="15"/>
  <c r="AM34" i="19"/>
  <c r="AM63" i="15"/>
  <c r="AM29" i="14"/>
  <c r="AM54" i="14"/>
  <c r="AM61" i="15"/>
  <c r="AM52" i="19"/>
  <c r="AM33" i="14"/>
  <c r="AM26" i="12"/>
  <c r="AM61" i="19"/>
  <c r="AM28" i="15"/>
  <c r="AM39" i="15"/>
  <c r="AM53" i="16"/>
  <c r="AM35" i="11"/>
  <c r="AM36" i="15"/>
  <c r="AM56" i="12"/>
  <c r="AM34" i="15"/>
  <c r="AM57" i="14"/>
  <c r="AM52" i="13"/>
  <c r="AM28" i="13"/>
  <c r="AM36" i="11"/>
  <c r="AM62" i="19"/>
  <c r="AM29" i="11"/>
  <c r="AM56" i="19"/>
  <c r="AM57" i="12"/>
  <c r="AM33" i="19"/>
  <c r="AM36" i="14"/>
  <c r="AM25" i="14"/>
  <c r="AM57" i="19"/>
  <c r="AM55" i="15"/>
  <c r="AM37" i="15"/>
  <c r="AM34" i="13"/>
  <c r="AM54" i="16"/>
  <c r="AM32" i="13"/>
  <c r="AM44" i="15"/>
  <c r="AM59" i="16"/>
  <c r="AM31" i="12"/>
  <c r="AM26" i="13"/>
  <c r="AM53" i="12"/>
  <c r="AM56" i="16"/>
  <c r="AM26" i="19"/>
  <c r="AM33" i="15"/>
  <c r="AM39" i="19"/>
  <c r="AM54" i="12"/>
  <c r="AM52" i="11"/>
  <c r="AM43" i="15"/>
  <c r="AM38" i="13"/>
  <c r="AM30" i="19"/>
  <c r="AM55" i="19"/>
  <c r="AM35" i="13"/>
  <c r="AM56" i="15"/>
  <c r="AM62" i="15"/>
  <c r="AM64" i="14"/>
  <c r="AM26" i="15"/>
  <c r="AM32" i="16"/>
  <c r="AM53" i="14"/>
  <c r="AM43" i="12"/>
  <c r="AM45" i="14"/>
  <c r="AM55" i="12"/>
  <c r="AM31" i="19"/>
  <c r="AM53" i="11"/>
  <c r="AM37" i="11"/>
  <c r="AM61" i="16"/>
  <c r="AM25" i="13"/>
  <c r="AM39" i="16"/>
  <c r="AM25" i="16"/>
  <c r="AM38" i="19"/>
  <c r="AM40" i="19"/>
  <c r="AM45" i="11"/>
  <c r="AM38" i="12"/>
  <c r="AM33" i="13"/>
  <c r="AM32" i="15"/>
  <c r="AM63" i="12"/>
  <c r="AM60" i="14"/>
  <c r="AM32" i="12"/>
  <c r="AM29" i="13"/>
  <c r="AM53" i="15"/>
  <c r="AM44" i="16"/>
  <c r="AM39" i="11"/>
  <c r="AM42" i="14"/>
  <c r="AM25" i="11"/>
  <c r="AM45" i="16"/>
  <c r="AM32" i="11"/>
  <c r="AM34" i="12"/>
  <c r="AM35" i="12"/>
  <c r="AM45" i="19"/>
  <c r="AM64" i="19"/>
  <c r="AM30" i="14"/>
  <c r="AM27" i="12"/>
  <c r="AM31" i="15"/>
  <c r="AM60" i="19"/>
  <c r="AM44" i="11"/>
  <c r="AM29" i="12"/>
  <c r="AM55" i="14"/>
  <c r="AM59" i="12"/>
  <c r="AM37" i="12"/>
  <c r="AM29" i="15"/>
  <c r="AM57" i="11"/>
  <c r="AM60" i="11"/>
  <c r="AM41" i="11"/>
  <c r="AM28" i="16"/>
  <c r="AM42" i="16"/>
  <c r="AM36" i="12"/>
  <c r="AM61" i="14"/>
  <c r="AM28" i="11"/>
  <c r="AM27" i="11"/>
  <c r="AM30" i="15"/>
  <c r="AM40" i="16"/>
  <c r="AM64" i="11"/>
  <c r="AM35" i="19"/>
  <c r="AM43" i="14"/>
  <c r="AM43" i="19"/>
  <c r="AM59" i="15"/>
  <c r="AM26" i="11"/>
  <c r="AM44" i="12"/>
  <c r="AM63" i="14"/>
  <c r="AM34" i="14"/>
  <c r="AM57" i="13"/>
  <c r="AM42" i="11"/>
  <c r="AM60" i="13"/>
  <c r="AM59" i="14"/>
  <c r="AM41" i="19"/>
  <c r="AM37" i="13"/>
  <c r="AM31" i="11"/>
  <c r="AM43" i="11"/>
  <c r="AM28" i="19"/>
  <c r="AM62" i="14"/>
  <c r="AM40" i="15"/>
  <c r="AM36" i="19"/>
  <c r="AM44" i="13"/>
  <c r="AM42" i="19"/>
  <c r="AM63" i="16"/>
  <c r="AM52" i="15"/>
  <c r="AM55" i="16"/>
  <c r="AM39" i="13"/>
  <c r="AM30" i="16"/>
  <c r="AM45" i="12"/>
  <c r="AM38" i="15"/>
  <c r="AM43" i="16"/>
  <c r="AM55" i="13"/>
  <c r="AM30" i="11"/>
  <c r="AM55" i="11"/>
  <c r="AM27" i="14"/>
  <c r="AM38" i="11"/>
  <c r="AM28" i="14"/>
  <c r="AM57" i="16"/>
  <c r="AM25" i="19"/>
  <c r="AM54" i="13"/>
  <c r="AM63" i="19"/>
  <c r="AM27" i="15"/>
  <c r="AM44" i="19"/>
  <c r="AM60" i="12"/>
  <c r="AM59" i="11"/>
  <c r="AM33" i="16"/>
  <c r="AM29" i="16"/>
  <c r="AM64" i="15"/>
  <c r="AM26" i="16"/>
  <c r="AM52" i="14"/>
  <c r="AM42" i="12"/>
  <c r="AM40" i="13"/>
  <c r="AM41" i="15"/>
  <c r="AM54" i="15"/>
  <c r="AM40" i="12"/>
  <c r="AM37" i="16"/>
  <c r="AM26" i="14"/>
  <c r="AM30" i="13"/>
  <c r="AM27" i="19"/>
  <c r="AM62" i="12"/>
  <c r="AM63" i="11"/>
  <c r="AM41" i="16"/>
  <c r="AM54" i="19"/>
  <c r="AM64" i="16"/>
  <c r="AM39" i="14"/>
  <c r="AM53" i="19"/>
  <c r="AM64" i="13"/>
  <c r="AM33" i="12"/>
  <c r="AM53" i="13"/>
  <c r="AM56" i="11"/>
  <c r="AM60" i="16"/>
  <c r="AM37" i="14"/>
  <c r="AM30" i="12"/>
  <c r="AM38" i="16"/>
  <c r="AM31" i="14"/>
  <c r="AM42" i="15"/>
  <c r="AM35" i="15"/>
  <c r="AM44" i="14"/>
  <c r="R366" i="1"/>
  <c r="W58" i="15"/>
  <c r="W32" i="10"/>
  <c r="W38" i="10"/>
  <c r="W42" i="10"/>
  <c r="W55" i="10"/>
  <c r="W62" i="8"/>
  <c r="W56" i="8"/>
  <c r="W35" i="8"/>
  <c r="W32" i="19"/>
  <c r="W43" i="19"/>
  <c r="W53" i="19"/>
  <c r="W61" i="19"/>
  <c r="W59" i="11"/>
  <c r="W44" i="11"/>
  <c r="W63" i="16"/>
  <c r="W37" i="14"/>
  <c r="W41" i="13"/>
  <c r="W36" i="16"/>
  <c r="W59" i="13"/>
  <c r="W42" i="15"/>
  <c r="W45" i="15"/>
  <c r="W26" i="15"/>
  <c r="W30" i="15"/>
  <c r="W25" i="11"/>
  <c r="W26" i="14"/>
  <c r="W59" i="16"/>
  <c r="W33" i="14"/>
  <c r="W55" i="15"/>
  <c r="W45" i="16"/>
  <c r="W30" i="16"/>
  <c r="W32" i="14"/>
  <c r="W52" i="13"/>
  <c r="W64" i="10"/>
  <c r="W43" i="10"/>
  <c r="W25" i="10"/>
  <c r="W29" i="10"/>
  <c r="W53" i="8"/>
  <c r="W64" i="19"/>
  <c r="W30" i="19"/>
  <c r="W25" i="14"/>
  <c r="W32" i="11"/>
  <c r="W30" i="14"/>
  <c r="W32" i="16"/>
  <c r="W40" i="11"/>
  <c r="W31" i="16"/>
  <c r="W41" i="15"/>
  <c r="W44" i="13"/>
  <c r="W35" i="15"/>
  <c r="W33" i="13"/>
  <c r="W32" i="15"/>
  <c r="W54" i="11"/>
  <c r="W40" i="13"/>
  <c r="W28" i="13"/>
  <c r="W42" i="14"/>
  <c r="W61" i="16"/>
  <c r="W57" i="13"/>
  <c r="W54" i="14"/>
  <c r="W35" i="19"/>
  <c r="W40" i="19"/>
  <c r="W30" i="11"/>
  <c r="W58" i="16"/>
  <c r="W60" i="10"/>
  <c r="W55" i="19"/>
  <c r="W36" i="14"/>
  <c r="W38" i="11"/>
  <c r="W55" i="14"/>
  <c r="W60" i="15"/>
  <c r="W33" i="16"/>
  <c r="W25" i="13"/>
  <c r="W29" i="11"/>
  <c r="W57" i="14"/>
  <c r="W64" i="15"/>
  <c r="W53" i="12"/>
  <c r="W25" i="16"/>
  <c r="W42" i="13"/>
  <c r="W27" i="16"/>
  <c r="W41" i="16"/>
  <c r="W61" i="13"/>
  <c r="W34" i="14"/>
  <c r="W34" i="11"/>
  <c r="W45" i="8"/>
  <c r="W61" i="8"/>
  <c r="W52" i="19"/>
  <c r="W36" i="11"/>
  <c r="W28" i="16"/>
  <c r="W34" i="13"/>
  <c r="W35" i="11"/>
  <c r="W63" i="11"/>
  <c r="W33" i="15"/>
  <c r="W29" i="15"/>
  <c r="W57" i="12"/>
  <c r="W53" i="15"/>
  <c r="W33" i="12"/>
  <c r="W54" i="13"/>
  <c r="W39" i="16"/>
  <c r="W45" i="14"/>
  <c r="W54" i="16"/>
  <c r="W43" i="16"/>
  <c r="W60" i="13"/>
  <c r="W27" i="14"/>
  <c r="W44" i="12"/>
  <c r="W58" i="14"/>
  <c r="W36" i="10"/>
  <c r="W35" i="10"/>
  <c r="W33" i="10"/>
  <c r="W27" i="10"/>
  <c r="W33" i="19"/>
  <c r="W62" i="11"/>
  <c r="W45" i="11"/>
  <c r="W32" i="12"/>
  <c r="W37" i="11"/>
  <c r="W38" i="12"/>
  <c r="W26" i="12"/>
  <c r="W37" i="12"/>
  <c r="W53" i="11"/>
  <c r="W59" i="15"/>
  <c r="W31" i="11"/>
  <c r="W57" i="11"/>
  <c r="W29" i="13"/>
  <c r="W54" i="15"/>
  <c r="W44" i="15"/>
  <c r="W39" i="13"/>
  <c r="W34" i="15"/>
  <c r="W35" i="13"/>
  <c r="W52" i="14"/>
  <c r="W39" i="15"/>
  <c r="W38" i="14"/>
  <c r="W63" i="14"/>
  <c r="W44" i="14"/>
  <c r="W36" i="12"/>
  <c r="W32" i="13"/>
  <c r="W59" i="14"/>
  <c r="W52" i="16"/>
  <c r="W63" i="13"/>
  <c r="W42" i="16"/>
  <c r="W38" i="13"/>
  <c r="W45" i="10"/>
  <c r="W31" i="10"/>
  <c r="W56" i="10"/>
  <c r="W28" i="10"/>
  <c r="W39" i="10"/>
  <c r="W41" i="8"/>
  <c r="W60" i="8"/>
  <c r="W30" i="8"/>
  <c r="W57" i="8"/>
  <c r="W55" i="8"/>
  <c r="W38" i="19"/>
  <c r="W28" i="19"/>
  <c r="W34" i="19"/>
  <c r="W41" i="19"/>
  <c r="W55" i="12"/>
  <c r="W30" i="12"/>
  <c r="W26" i="11"/>
  <c r="W27" i="12"/>
  <c r="W63" i="15"/>
  <c r="W31" i="13"/>
  <c r="W40" i="16"/>
  <c r="W53" i="14"/>
  <c r="W30" i="13"/>
  <c r="W57" i="16"/>
  <c r="W41" i="10"/>
  <c r="W54" i="10"/>
  <c r="W44" i="8"/>
  <c r="W40" i="8"/>
  <c r="W29" i="8"/>
  <c r="W44" i="19"/>
  <c r="W42" i="19"/>
  <c r="W54" i="19"/>
  <c r="W34" i="12"/>
  <c r="W39" i="12"/>
  <c r="W35" i="12"/>
  <c r="W27" i="13"/>
  <c r="W60" i="11"/>
  <c r="W54" i="12"/>
  <c r="W56" i="15"/>
  <c r="W28" i="14"/>
  <c r="W39" i="14"/>
  <c r="W64" i="12"/>
  <c r="W41" i="12"/>
  <c r="W31" i="14"/>
  <c r="W29" i="12"/>
  <c r="W61" i="12"/>
  <c r="W60" i="12"/>
  <c r="W58" i="11"/>
  <c r="W30" i="10"/>
  <c r="W61" i="10"/>
  <c r="W40" i="10"/>
  <c r="W34" i="10"/>
  <c r="W43" i="8"/>
  <c r="W54" i="8"/>
  <c r="W62" i="19"/>
  <c r="W38" i="16"/>
  <c r="W43" i="15"/>
  <c r="W43" i="11"/>
  <c r="W63" i="12"/>
  <c r="W56" i="16"/>
  <c r="W40" i="14"/>
  <c r="W53" i="13"/>
  <c r="W31" i="12"/>
  <c r="W33" i="11"/>
  <c r="W37" i="15"/>
  <c r="W27" i="11"/>
  <c r="W26" i="13"/>
  <c r="W45" i="12"/>
  <c r="W60" i="14"/>
  <c r="W41" i="11"/>
  <c r="W56" i="13"/>
  <c r="W42" i="12"/>
  <c r="W53" i="16"/>
  <c r="W62" i="13"/>
  <c r="W31" i="15"/>
  <c r="W59" i="12"/>
  <c r="W64" i="13"/>
  <c r="W27" i="19"/>
  <c r="W61" i="14"/>
  <c r="W28" i="11"/>
  <c r="W60" i="16"/>
  <c r="W64" i="14"/>
  <c r="W29" i="16"/>
  <c r="W57" i="10"/>
  <c r="W39" i="8"/>
  <c r="W26" i="8"/>
  <c r="W63" i="8"/>
  <c r="W52" i="8"/>
  <c r="W25" i="19"/>
  <c r="W31" i="19"/>
  <c r="W64" i="16"/>
  <c r="W61" i="15"/>
  <c r="W28" i="15"/>
  <c r="W56" i="11"/>
  <c r="W55" i="11"/>
  <c r="W44" i="16"/>
  <c r="W43" i="12"/>
  <c r="W43" i="13"/>
  <c r="W62" i="15"/>
  <c r="W37" i="13"/>
  <c r="W36" i="15"/>
  <c r="W39" i="11"/>
  <c r="W56" i="12"/>
  <c r="W37" i="16"/>
  <c r="W55" i="16"/>
  <c r="W55" i="13"/>
  <c r="W41" i="14"/>
  <c r="W57" i="15"/>
  <c r="W35" i="14"/>
  <c r="W52" i="11"/>
  <c r="W26" i="16"/>
  <c r="W38" i="15"/>
  <c r="W43" i="14"/>
  <c r="W29" i="19"/>
  <c r="W61" i="11"/>
  <c r="W25" i="12"/>
  <c r="W58" i="10"/>
  <c r="W58" i="13"/>
  <c r="W59" i="10"/>
  <c r="W53" i="10"/>
  <c r="W26" i="10"/>
  <c r="W63" i="10"/>
  <c r="W44" i="10"/>
  <c r="W42" i="8"/>
  <c r="W25" i="8"/>
  <c r="W59" i="8"/>
  <c r="W31" i="8"/>
  <c r="W33" i="8"/>
  <c r="W34" i="8"/>
  <c r="W38" i="8"/>
  <c r="W59" i="19"/>
  <c r="W63" i="19"/>
  <c r="W39" i="19"/>
  <c r="W34" i="16"/>
  <c r="W52" i="12"/>
  <c r="W52" i="15"/>
  <c r="W58" i="8"/>
  <c r="W37" i="10"/>
  <c r="W36" i="8"/>
  <c r="W32" i="8"/>
  <c r="W37" i="8"/>
  <c r="W52" i="10"/>
  <c r="W27" i="8"/>
  <c r="W28" i="8"/>
  <c r="W26" i="19"/>
  <c r="W60" i="19"/>
  <c r="W57" i="19"/>
  <c r="W36" i="19"/>
  <c r="W27" i="15"/>
  <c r="W62" i="14"/>
  <c r="W64" i="11"/>
  <c r="W29" i="14"/>
  <c r="W56" i="14"/>
  <c r="W25" i="15"/>
  <c r="W62" i="16"/>
  <c r="W42" i="11"/>
  <c r="W40" i="12"/>
  <c r="W62" i="12"/>
  <c r="W28" i="12"/>
  <c r="W45" i="13"/>
  <c r="W35" i="16"/>
  <c r="W36" i="13"/>
  <c r="W40" i="15"/>
  <c r="W58" i="19"/>
  <c r="W58" i="12"/>
  <c r="W62" i="10"/>
  <c r="W64" i="8"/>
  <c r="W37" i="19"/>
  <c r="W45" i="19"/>
  <c r="W56" i="19"/>
  <c r="R353" i="1"/>
  <c r="U353" i="1" s="1"/>
  <c r="AI58" i="19"/>
  <c r="AI58" i="14"/>
  <c r="AI54" i="8"/>
  <c r="AI36" i="8"/>
  <c r="AI61" i="8"/>
  <c r="AI58" i="8"/>
  <c r="AI61" i="10"/>
  <c r="AI37" i="10"/>
  <c r="AI62" i="10"/>
  <c r="AI55" i="8"/>
  <c r="AI32" i="8"/>
  <c r="AI58" i="12"/>
  <c r="AI58" i="15"/>
  <c r="AI54" i="10"/>
  <c r="AI43" i="10"/>
  <c r="AI33" i="8"/>
  <c r="AI25" i="8"/>
  <c r="AI38" i="8"/>
  <c r="AI57" i="8"/>
  <c r="AI58" i="16"/>
  <c r="AI45" i="10"/>
  <c r="AI52" i="10"/>
  <c r="AI27" i="10"/>
  <c r="AI55" i="10"/>
  <c r="AI40" i="10"/>
  <c r="AI27" i="8"/>
  <c r="AI37" i="8"/>
  <c r="AI45" i="8"/>
  <c r="AI60" i="8"/>
  <c r="AI30" i="10"/>
  <c r="AI41" i="10"/>
  <c r="AI32" i="10"/>
  <c r="AI56" i="8"/>
  <c r="AI59" i="8"/>
  <c r="AI31" i="8"/>
  <c r="AI42" i="8"/>
  <c r="AI44" i="8"/>
  <c r="AI58" i="13"/>
  <c r="AI34" i="10"/>
  <c r="AI62" i="8"/>
  <c r="AI29" i="8"/>
  <c r="AI58" i="10"/>
  <c r="AI60" i="10"/>
  <c r="AI26" i="10"/>
  <c r="AI52" i="8"/>
  <c r="AI38" i="10"/>
  <c r="AI64" i="10"/>
  <c r="AI63" i="10"/>
  <c r="AI33" i="10"/>
  <c r="AI53" i="10"/>
  <c r="AI64" i="8"/>
  <c r="AI39" i="8"/>
  <c r="AI39" i="10"/>
  <c r="AI25" i="10"/>
  <c r="AI31" i="10"/>
  <c r="AI35" i="8"/>
  <c r="AI42" i="10"/>
  <c r="AI35" i="10"/>
  <c r="AI53" i="8"/>
  <c r="AI26" i="8"/>
  <c r="AI40" i="8"/>
  <c r="AI58" i="11"/>
  <c r="AI29" i="10"/>
  <c r="AI43" i="8"/>
  <c r="AI30" i="8"/>
  <c r="AI34" i="8"/>
  <c r="AI41" i="8"/>
  <c r="AI59" i="10"/>
  <c r="AI28" i="10"/>
  <c r="AI56" i="10"/>
  <c r="AI36" i="10"/>
  <c r="AI44" i="10"/>
  <c r="AI57" i="10"/>
  <c r="AI63" i="8"/>
  <c r="AI28" i="8"/>
  <c r="AI26" i="13"/>
  <c r="AI54" i="12"/>
  <c r="AI54" i="13"/>
  <c r="AI42" i="19"/>
  <c r="AI25" i="14"/>
  <c r="AI39" i="16"/>
  <c r="AI25" i="13"/>
  <c r="AI29" i="19"/>
  <c r="AI61" i="16"/>
  <c r="AI61" i="19"/>
  <c r="AI33" i="11"/>
  <c r="AI30" i="19"/>
  <c r="AI31" i="15"/>
  <c r="AI28" i="19"/>
  <c r="AI63" i="14"/>
  <c r="AI26" i="19"/>
  <c r="AI60" i="15"/>
  <c r="AI43" i="15"/>
  <c r="AI41" i="14"/>
  <c r="AI25" i="12"/>
  <c r="AI40" i="14"/>
  <c r="AI64" i="13"/>
  <c r="AI39" i="11"/>
  <c r="AI53" i="13"/>
  <c r="AI45" i="16"/>
  <c r="AI56" i="14"/>
  <c r="AI59" i="19"/>
  <c r="AI52" i="16"/>
  <c r="AI54" i="19"/>
  <c r="AI29" i="15"/>
  <c r="AI31" i="19"/>
  <c r="AI61" i="12"/>
  <c r="AI45" i="11"/>
  <c r="AI27" i="12"/>
  <c r="AI39" i="19"/>
  <c r="AI54" i="14"/>
  <c r="AI60" i="14"/>
  <c r="AI37" i="13"/>
  <c r="AI26" i="12"/>
  <c r="AI28" i="12"/>
  <c r="AI59" i="12"/>
  <c r="AI62" i="13"/>
  <c r="AI62" i="14"/>
  <c r="AI57" i="11"/>
  <c r="AI35" i="15"/>
  <c r="AI40" i="19"/>
  <c r="AI42" i="15"/>
  <c r="AI56" i="19"/>
  <c r="AI42" i="12"/>
  <c r="AI28" i="11"/>
  <c r="AI28" i="13"/>
  <c r="AI63" i="12"/>
  <c r="AI44" i="12"/>
  <c r="AI59" i="11"/>
  <c r="AI57" i="16"/>
  <c r="AI41" i="15"/>
  <c r="AI42" i="13"/>
  <c r="AI37" i="11"/>
  <c r="AI35" i="13"/>
  <c r="AI57" i="12"/>
  <c r="AI56" i="12"/>
  <c r="AI64" i="12"/>
  <c r="AI27" i="11"/>
  <c r="AI35" i="11"/>
  <c r="AI53" i="19"/>
  <c r="AI44" i="16"/>
  <c r="AI44" i="14"/>
  <c r="AI55" i="12"/>
  <c r="AI31" i="11"/>
  <c r="AI33" i="15"/>
  <c r="AI36" i="16"/>
  <c r="AI34" i="16"/>
  <c r="AI60" i="11"/>
  <c r="AI59" i="13"/>
  <c r="AI30" i="13"/>
  <c r="AI59" i="14"/>
  <c r="AI31" i="13"/>
  <c r="AI61" i="14"/>
  <c r="AI34" i="12"/>
  <c r="AI43" i="12"/>
  <c r="AI56" i="11"/>
  <c r="AI62" i="15"/>
  <c r="AI36" i="13"/>
  <c r="AI41" i="19"/>
  <c r="AI43" i="14"/>
  <c r="AI42" i="11"/>
  <c r="AI33" i="13"/>
  <c r="AI43" i="16"/>
  <c r="AI62" i="12"/>
  <c r="AI25" i="15"/>
  <c r="AI60" i="12"/>
  <c r="AI55" i="16"/>
  <c r="AI52" i="19"/>
  <c r="AI25" i="19"/>
  <c r="AI42" i="16"/>
  <c r="AI35" i="19"/>
  <c r="AI34" i="13"/>
  <c r="AI35" i="12"/>
  <c r="AI53" i="15"/>
  <c r="AI57" i="14"/>
  <c r="AI25" i="11"/>
  <c r="AI57" i="13"/>
  <c r="AI52" i="14"/>
  <c r="AI38" i="19"/>
  <c r="AI41" i="13"/>
  <c r="AI59" i="16"/>
  <c r="AI32" i="14"/>
  <c r="AI27" i="14"/>
  <c r="AI64" i="14"/>
  <c r="AI45" i="13"/>
  <c r="AI28" i="14"/>
  <c r="AI38" i="15"/>
  <c r="AI57" i="19"/>
  <c r="AI27" i="19"/>
  <c r="AI26" i="15"/>
  <c r="AI36" i="19"/>
  <c r="AI60" i="19"/>
  <c r="AI44" i="13"/>
  <c r="AI27" i="13"/>
  <c r="AI45" i="14"/>
  <c r="AI53" i="16"/>
  <c r="AI61" i="15"/>
  <c r="AI27" i="16"/>
  <c r="AI29" i="11"/>
  <c r="AI41" i="12"/>
  <c r="AI29" i="16"/>
  <c r="AI45" i="15"/>
  <c r="AI54" i="15"/>
  <c r="AI62" i="16"/>
  <c r="AI40" i="11"/>
  <c r="AI40" i="16"/>
  <c r="AI55" i="15"/>
  <c r="AI29" i="12"/>
  <c r="AI64" i="19"/>
  <c r="AI31" i="16"/>
  <c r="AI38" i="11"/>
  <c r="AI55" i="19"/>
  <c r="AI37" i="12"/>
  <c r="AI32" i="12"/>
  <c r="AI37" i="15"/>
  <c r="AI41" i="16"/>
  <c r="AI43" i="11"/>
  <c r="AI60" i="16"/>
  <c r="AI52" i="13"/>
  <c r="AI39" i="13"/>
  <c r="AI26" i="16"/>
  <c r="AI61" i="13"/>
  <c r="AI31" i="12"/>
  <c r="AI38" i="16"/>
  <c r="AI25" i="16"/>
  <c r="AI60" i="13"/>
  <c r="AI56" i="15"/>
  <c r="AI39" i="14"/>
  <c r="AI44" i="15"/>
  <c r="AI55" i="14"/>
  <c r="AI37" i="16"/>
  <c r="AI53" i="11"/>
  <c r="AI43" i="19"/>
  <c r="AI28" i="15"/>
  <c r="AI53" i="12"/>
  <c r="AI62" i="19"/>
  <c r="AI55" i="11"/>
  <c r="AI38" i="12"/>
  <c r="AI62" i="11"/>
  <c r="AI40" i="12"/>
  <c r="AI34" i="15"/>
  <c r="AI32" i="13"/>
  <c r="AI30" i="11"/>
  <c r="AI35" i="16"/>
  <c r="AI29" i="14"/>
  <c r="AI40" i="13"/>
  <c r="AI29" i="13"/>
  <c r="AI28" i="16"/>
  <c r="AI57" i="15"/>
  <c r="AI54" i="11"/>
  <c r="AI52" i="11"/>
  <c r="AI44" i="19"/>
  <c r="AI56" i="13"/>
  <c r="AI36" i="14"/>
  <c r="AI64" i="11"/>
  <c r="AI27" i="15"/>
  <c r="AI34" i="14"/>
  <c r="AI26" i="11"/>
  <c r="AI43" i="13"/>
  <c r="AI64" i="15"/>
  <c r="AI63" i="16"/>
  <c r="AI59" i="15"/>
  <c r="AI52" i="15"/>
  <c r="AI45" i="12"/>
  <c r="AI42" i="14"/>
  <c r="AI54" i="16"/>
  <c r="AI36" i="15"/>
  <c r="AI61" i="11"/>
  <c r="AI63" i="11"/>
  <c r="AI34" i="11"/>
  <c r="AI31" i="14"/>
  <c r="AI63" i="19"/>
  <c r="AI30" i="15"/>
  <c r="AI32" i="11"/>
  <c r="AI39" i="12"/>
  <c r="AI44" i="11"/>
  <c r="AI37" i="14"/>
  <c r="AI30" i="12"/>
  <c r="AI40" i="15"/>
  <c r="AI35" i="14"/>
  <c r="AI38" i="13"/>
  <c r="AI37" i="19"/>
  <c r="AI63" i="15"/>
  <c r="AI32" i="16"/>
  <c r="AI33" i="16"/>
  <c r="AI64" i="16"/>
  <c r="AI38" i="14"/>
  <c r="AI53" i="14"/>
  <c r="AI52" i="12"/>
  <c r="AI30" i="16"/>
  <c r="AI34" i="19"/>
  <c r="AI56" i="16"/>
  <c r="AI41" i="11"/>
  <c r="AI36" i="12"/>
  <c r="AI36" i="11"/>
  <c r="AI32" i="15"/>
  <c r="AI33" i="19"/>
  <c r="AI33" i="14"/>
  <c r="AI26" i="14"/>
  <c r="AI33" i="12"/>
  <c r="AI45" i="19"/>
  <c r="AI63" i="13"/>
  <c r="AI32" i="19"/>
  <c r="AI30" i="14"/>
  <c r="AI39" i="15"/>
  <c r="AI55" i="13"/>
  <c r="V29" i="12"/>
  <c r="V45" i="11"/>
  <c r="V63" i="15"/>
  <c r="V61" i="13"/>
  <c r="V59" i="11"/>
  <c r="V32" i="16"/>
  <c r="V25" i="19"/>
  <c r="V52" i="14"/>
  <c r="V36" i="14"/>
  <c r="V39" i="16"/>
  <c r="V29" i="16"/>
  <c r="V53" i="15"/>
  <c r="V60" i="13"/>
  <c r="V26" i="19"/>
  <c r="V63" i="19"/>
  <c r="V25" i="16"/>
  <c r="V35" i="13"/>
  <c r="V32" i="12"/>
  <c r="V64" i="16"/>
  <c r="V34" i="13"/>
  <c r="V28" i="11"/>
  <c r="V30" i="12"/>
  <c r="V28" i="15"/>
  <c r="V28" i="13"/>
  <c r="V57" i="14"/>
  <c r="V43" i="19"/>
  <c r="V57" i="12"/>
  <c r="V35" i="12"/>
  <c r="V25" i="15"/>
  <c r="V27" i="12"/>
  <c r="V30" i="15"/>
  <c r="V55" i="13"/>
  <c r="V30" i="13"/>
  <c r="V45" i="19"/>
  <c r="V61" i="15"/>
  <c r="V63" i="11"/>
  <c r="V43" i="12"/>
  <c r="V32" i="14"/>
  <c r="V32" i="19"/>
  <c r="V56" i="11"/>
  <c r="V29" i="14"/>
  <c r="V41" i="16"/>
  <c r="V26" i="13"/>
  <c r="V40" i="19"/>
  <c r="V27" i="13"/>
  <c r="V39" i="19"/>
  <c r="V57" i="15"/>
  <c r="V64" i="14"/>
  <c r="V40" i="13"/>
  <c r="V26" i="14"/>
  <c r="V52" i="15"/>
  <c r="V34" i="14"/>
  <c r="V38" i="14"/>
  <c r="V38" i="11"/>
  <c r="V35" i="15"/>
  <c r="V28" i="14"/>
  <c r="V37" i="11"/>
  <c r="V61" i="14"/>
  <c r="V33" i="19"/>
  <c r="V64" i="13"/>
  <c r="V39" i="13"/>
  <c r="V56" i="12"/>
  <c r="V52" i="13"/>
  <c r="V61" i="19"/>
  <c r="V56" i="13"/>
  <c r="V34" i="11"/>
  <c r="V41" i="11"/>
  <c r="V55" i="15"/>
  <c r="V39" i="15"/>
  <c r="V35" i="11"/>
  <c r="V55" i="14"/>
  <c r="V53" i="14"/>
  <c r="V37" i="12"/>
  <c r="V54" i="13"/>
  <c r="V37" i="14"/>
  <c r="V33" i="15"/>
  <c r="V62" i="16"/>
  <c r="V30" i="14"/>
  <c r="V29" i="19"/>
  <c r="V35" i="14"/>
  <c r="V56" i="14"/>
  <c r="V63" i="13"/>
  <c r="V34" i="12"/>
  <c r="V60" i="19"/>
  <c r="V42" i="16"/>
  <c r="V42" i="11"/>
  <c r="V27" i="14"/>
  <c r="V42" i="15"/>
  <c r="V41" i="15"/>
  <c r="V45" i="15"/>
  <c r="V56" i="19"/>
  <c r="V28" i="12"/>
  <c r="V53" i="13"/>
  <c r="V63" i="16"/>
  <c r="V32" i="15"/>
  <c r="V31" i="16"/>
  <c r="V31" i="13"/>
  <c r="V60" i="15"/>
  <c r="V35" i="19"/>
  <c r="V57" i="11"/>
  <c r="V53" i="16"/>
  <c r="V55" i="12"/>
  <c r="V44" i="14"/>
  <c r="V54" i="19"/>
  <c r="V33" i="12"/>
  <c r="V38" i="13"/>
  <c r="V59" i="13"/>
  <c r="V59" i="12"/>
  <c r="V28" i="19"/>
  <c r="V64" i="12"/>
  <c r="V34" i="19"/>
  <c r="V60" i="11"/>
  <c r="V26" i="16"/>
  <c r="V40" i="14"/>
  <c r="V30" i="19"/>
  <c r="V52" i="11"/>
  <c r="V27" i="16"/>
  <c r="V31" i="19"/>
  <c r="V61" i="12"/>
  <c r="V39" i="11"/>
  <c r="V59" i="19"/>
  <c r="V59" i="16"/>
  <c r="V64" i="19"/>
  <c r="V62" i="15"/>
  <c r="V44" i="16"/>
  <c r="V43" i="16"/>
  <c r="V40" i="11"/>
  <c r="V37" i="19"/>
  <c r="V56" i="16"/>
  <c r="V62" i="12"/>
  <c r="V43" i="13"/>
  <c r="V26" i="15"/>
  <c r="V34" i="16"/>
  <c r="V62" i="14"/>
  <c r="V26" i="11"/>
  <c r="V57" i="13"/>
  <c r="V31" i="11"/>
  <c r="V45" i="12"/>
  <c r="V44" i="15"/>
  <c r="V41" i="19"/>
  <c r="V45" i="13"/>
  <c r="V61" i="16"/>
  <c r="V36" i="12"/>
  <c r="V42" i="14"/>
  <c r="V36" i="19"/>
  <c r="V25" i="12"/>
  <c r="V42" i="13"/>
  <c r="V60" i="16"/>
  <c r="V56" i="15"/>
  <c r="V36" i="16"/>
  <c r="V33" i="16"/>
  <c r="V62" i="11"/>
  <c r="V62" i="13"/>
  <c r="V37" i="13"/>
  <c r="V29" i="13"/>
  <c r="V53" i="11"/>
  <c r="V31" i="14"/>
  <c r="V63" i="12"/>
  <c r="V62" i="19"/>
  <c r="V52" i="16"/>
  <c r="V36" i="11"/>
  <c r="V44" i="12"/>
  <c r="V28" i="16"/>
  <c r="V52" i="19"/>
  <c r="V59" i="14"/>
  <c r="V40" i="15"/>
  <c r="V54" i="15"/>
  <c r="V26" i="12"/>
  <c r="V33" i="11"/>
  <c r="V45" i="16"/>
  <c r="V34" i="15"/>
  <c r="V57" i="16"/>
  <c r="V41" i="14"/>
  <c r="V40" i="12"/>
  <c r="V30" i="16"/>
  <c r="V33" i="13"/>
  <c r="V54" i="11"/>
  <c r="V43" i="15"/>
  <c r="V40" i="16"/>
  <c r="V45" i="14"/>
  <c r="V43" i="11"/>
  <c r="V64" i="15"/>
  <c r="V57" i="19"/>
  <c r="V55" i="16"/>
  <c r="V42" i="12"/>
  <c r="V25" i="13"/>
  <c r="V37" i="16"/>
  <c r="V60" i="14"/>
  <c r="V32" i="11"/>
  <c r="V54" i="12"/>
  <c r="V27" i="11"/>
  <c r="V42" i="19"/>
  <c r="V60" i="12"/>
  <c r="V36" i="15"/>
  <c r="V38" i="12"/>
  <c r="V38" i="16"/>
  <c r="V25" i="11"/>
  <c r="V52" i="12"/>
  <c r="V32" i="13"/>
  <c r="V27" i="15"/>
  <c r="V37" i="15"/>
  <c r="V44" i="11"/>
  <c r="V31" i="15"/>
  <c r="V39" i="14"/>
  <c r="V41" i="12"/>
  <c r="V43" i="14"/>
  <c r="V55" i="19"/>
  <c r="V29" i="15"/>
  <c r="V33" i="14"/>
  <c r="V54" i="14"/>
  <c r="V27" i="19"/>
  <c r="V59" i="15"/>
  <c r="V53" i="12"/>
  <c r="V30" i="11"/>
  <c r="V36" i="13"/>
  <c r="V44" i="13"/>
  <c r="V54" i="16"/>
  <c r="V31" i="12"/>
  <c r="V38" i="19"/>
  <c r="V64" i="11"/>
  <c r="V39" i="12"/>
  <c r="V55" i="11"/>
  <c r="V29" i="11"/>
  <c r="V61" i="11"/>
  <c r="V25" i="14"/>
  <c r="V44" i="19"/>
  <c r="V35" i="16"/>
  <c r="V38" i="15"/>
  <c r="V41" i="13"/>
  <c r="V53" i="19"/>
  <c r="V63" i="14"/>
  <c r="V58" i="15"/>
  <c r="V58" i="14"/>
  <c r="V59" i="10"/>
  <c r="V53" i="10"/>
  <c r="V33" i="8"/>
  <c r="V44" i="8"/>
  <c r="V36" i="8"/>
  <c r="V28" i="10"/>
  <c r="V40" i="10"/>
  <c r="V57" i="10"/>
  <c r="V62" i="8"/>
  <c r="V63" i="10"/>
  <c r="V58" i="12"/>
  <c r="V58" i="10"/>
  <c r="V29" i="10"/>
  <c r="V61" i="10"/>
  <c r="V57" i="8"/>
  <c r="V52" i="8"/>
  <c r="V55" i="8"/>
  <c r="V58" i="11"/>
  <c r="V35" i="10"/>
  <c r="V56" i="10"/>
  <c r="V30" i="10"/>
  <c r="V37" i="8"/>
  <c r="V40" i="8"/>
  <c r="V58" i="16"/>
  <c r="V58" i="13"/>
  <c r="V55" i="10"/>
  <c r="V26" i="10"/>
  <c r="V60" i="10"/>
  <c r="V45" i="8"/>
  <c r="V41" i="8"/>
  <c r="V54" i="8"/>
  <c r="V32" i="8"/>
  <c r="V58" i="19"/>
  <c r="V45" i="10"/>
  <c r="V27" i="10"/>
  <c r="V25" i="10"/>
  <c r="V61" i="8"/>
  <c r="V37" i="10"/>
  <c r="V33" i="10"/>
  <c r="V44" i="10"/>
  <c r="V34" i="10"/>
  <c r="V27" i="8"/>
  <c r="V36" i="10"/>
  <c r="V28" i="8"/>
  <c r="V56" i="8"/>
  <c r="V41" i="10"/>
  <c r="V52" i="10"/>
  <c r="V62" i="10"/>
  <c r="V32" i="10"/>
  <c r="V42" i="8"/>
  <c r="V60" i="8"/>
  <c r="V25" i="8"/>
  <c r="V38" i="8"/>
  <c r="V43" i="8"/>
  <c r="V64" i="10"/>
  <c r="V54" i="10"/>
  <c r="V34" i="8"/>
  <c r="V53" i="8"/>
  <c r="V58" i="8"/>
  <c r="V43" i="10"/>
  <c r="V26" i="8"/>
  <c r="V63" i="8"/>
  <c r="V35" i="8"/>
  <c r="V31" i="8"/>
  <c r="V39" i="10"/>
  <c r="V38" i="10"/>
  <c r="V42" i="10"/>
  <c r="V31" i="10"/>
  <c r="V64" i="8"/>
  <c r="V59" i="8"/>
  <c r="V30" i="8"/>
  <c r="V29" i="8"/>
  <c r="V39" i="8"/>
  <c r="BE64" i="8"/>
  <c r="BE60" i="8"/>
  <c r="BE55" i="8"/>
  <c r="BE51" i="8"/>
  <c r="BE47" i="8"/>
  <c r="BE63" i="8"/>
  <c r="BE59" i="8"/>
  <c r="BE54" i="8"/>
  <c r="BE50" i="8"/>
  <c r="BE46" i="8"/>
  <c r="BE56" i="8"/>
  <c r="BE41" i="8"/>
  <c r="BE37" i="8"/>
  <c r="BE61" i="8"/>
  <c r="BE53" i="8"/>
  <c r="BE57" i="8"/>
  <c r="BE39" i="8"/>
  <c r="BE32" i="8"/>
  <c r="BE40" i="8"/>
  <c r="BE62" i="8"/>
  <c r="BE52" i="8"/>
  <c r="BE43" i="8"/>
  <c r="BE48" i="8"/>
  <c r="BE36" i="8"/>
  <c r="BE26" i="8"/>
  <c r="BE45" i="8"/>
  <c r="BE35" i="8"/>
  <c r="BE25" i="8"/>
  <c r="BE21" i="8"/>
  <c r="BE17" i="8"/>
  <c r="BE30" i="8"/>
  <c r="BE31" i="8"/>
  <c r="BE28" i="8"/>
  <c r="BE38" i="8"/>
  <c r="BE23" i="8"/>
  <c r="BE44" i="8"/>
  <c r="BE29" i="8"/>
  <c r="BE34" i="8"/>
  <c r="BE22" i="8"/>
  <c r="BE18" i="8"/>
  <c r="BE7" i="8"/>
  <c r="BE11" i="8"/>
  <c r="BE10" i="8"/>
  <c r="BE6" i="8"/>
  <c r="BE42" i="8"/>
  <c r="BE27" i="8"/>
  <c r="BE19" i="8"/>
  <c r="BE13" i="8"/>
  <c r="BE33" i="8"/>
  <c r="BE15" i="8"/>
  <c r="BE5" i="8"/>
  <c r="BE4" i="8"/>
  <c r="BE14" i="8"/>
  <c r="BE24" i="8"/>
  <c r="BE20" i="8"/>
  <c r="BE12" i="8"/>
  <c r="BE16" i="8"/>
  <c r="BE8" i="8"/>
  <c r="R142" i="18"/>
  <c r="Q142" i="18"/>
  <c r="Q32" i="7"/>
  <c r="D22" i="18"/>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5" i="18"/>
  <c r="C32" i="7"/>
  <c r="F32" i="7" s="1"/>
  <c r="J75" i="12"/>
  <c r="J77" i="10"/>
  <c r="B28" i="17" s="1"/>
  <c r="D28" i="17" s="1"/>
  <c r="J70" i="15"/>
  <c r="J73" i="11"/>
  <c r="J73" i="15"/>
  <c r="J79" i="10"/>
  <c r="B30" i="17" s="1"/>
  <c r="D30" i="17" s="1"/>
  <c r="J77" i="15"/>
  <c r="J71" i="14"/>
  <c r="J72" i="13"/>
  <c r="J71" i="11"/>
  <c r="J73" i="19"/>
  <c r="J72" i="15"/>
  <c r="J71" i="15"/>
  <c r="J74" i="11"/>
  <c r="J76" i="14"/>
  <c r="J74" i="16"/>
  <c r="J75" i="19"/>
  <c r="J71" i="13"/>
  <c r="J72" i="14"/>
  <c r="J74" i="10"/>
  <c r="B25" i="17" s="1"/>
  <c r="D25" i="17" s="1"/>
  <c r="J77" i="12"/>
  <c r="J73" i="16"/>
  <c r="J76" i="19"/>
  <c r="J76" i="11"/>
  <c r="J70" i="13"/>
  <c r="J75" i="16"/>
  <c r="J71" i="12"/>
  <c r="J73" i="14"/>
  <c r="J77" i="19"/>
  <c r="J70" i="11"/>
  <c r="J75" i="11"/>
  <c r="J77" i="14"/>
  <c r="J74" i="15"/>
  <c r="J74" i="13"/>
  <c r="J78" i="19"/>
  <c r="J78" i="10"/>
  <c r="B29" i="17" s="1"/>
  <c r="D29" i="17" s="1"/>
  <c r="J76" i="10"/>
  <c r="B27" i="17" s="1"/>
  <c r="D27" i="17" s="1"/>
  <c r="J75" i="13"/>
  <c r="J73" i="13"/>
  <c r="J79" i="19"/>
  <c r="J77" i="11"/>
  <c r="J76" i="16"/>
  <c r="J72" i="12"/>
  <c r="J72" i="11"/>
  <c r="J80" i="19"/>
  <c r="J77" i="16"/>
  <c r="J76" i="13"/>
  <c r="J73" i="10"/>
  <c r="J72" i="16"/>
  <c r="J74" i="19"/>
  <c r="J70" i="16"/>
  <c r="J73" i="12"/>
  <c r="J80" i="10"/>
  <c r="B31" i="17" s="1"/>
  <c r="D31" i="17" s="1"/>
  <c r="J75" i="14"/>
  <c r="J71" i="16"/>
  <c r="J77" i="13"/>
  <c r="J75" i="10"/>
  <c r="B26" i="17" s="1"/>
  <c r="D26" i="17" s="1"/>
  <c r="J75" i="15"/>
  <c r="J76" i="12"/>
  <c r="J74" i="14"/>
  <c r="J74" i="12"/>
  <c r="J76" i="15"/>
  <c r="J70" i="14"/>
  <c r="J70" i="12"/>
  <c r="D5" i="7"/>
  <c r="D22" i="7"/>
  <c r="C145" i="18"/>
  <c r="F145" i="18" s="1"/>
  <c r="P143" i="18"/>
  <c r="J77" i="8"/>
  <c r="B28" i="9" s="1"/>
  <c r="D28" i="9" s="1"/>
  <c r="J76" i="8"/>
  <c r="B27" i="9" s="1"/>
  <c r="D27" i="9" s="1"/>
  <c r="J75" i="8"/>
  <c r="B26" i="9" s="1"/>
  <c r="D26" i="9" s="1"/>
  <c r="J74" i="8"/>
  <c r="B25" i="9" s="1"/>
  <c r="D25" i="9" s="1"/>
  <c r="J73" i="8"/>
  <c r="J80" i="8"/>
  <c r="B31" i="9" s="1"/>
  <c r="D31" i="9" s="1"/>
  <c r="J79" i="8"/>
  <c r="B30" i="9" s="1"/>
  <c r="D30" i="9" s="1"/>
  <c r="J78" i="8"/>
  <c r="B29" i="9" s="1"/>
  <c r="D29" i="9" s="1"/>
  <c r="R363" i="1"/>
  <c r="U363" i="1" s="1"/>
  <c r="R362" i="1"/>
  <c r="R356" i="1"/>
  <c r="U356" i="1" s="1"/>
  <c r="R355" i="1"/>
  <c r="U355" i="1" s="1"/>
  <c r="BF2" i="8"/>
  <c r="BF58" i="8" s="1"/>
  <c r="R350" i="1"/>
  <c r="U350" i="1" s="1"/>
  <c r="P33" i="7"/>
  <c r="Q136" i="18" l="1"/>
  <c r="U366" i="1"/>
  <c r="R11" i="18"/>
  <c r="U362" i="1"/>
  <c r="K15" i="11"/>
  <c r="J15" i="11"/>
  <c r="J91" i="8"/>
  <c r="Q41" i="18"/>
  <c r="Q40" i="18"/>
  <c r="Q26" i="7"/>
  <c r="Q26" i="18"/>
  <c r="Q27" i="7"/>
  <c r="Q27" i="18"/>
  <c r="Q32" i="18"/>
  <c r="Q48" i="18"/>
  <c r="Q31" i="18"/>
  <c r="Q31" i="7"/>
  <c r="Q33" i="7"/>
  <c r="Q143" i="18"/>
  <c r="R143" i="18"/>
  <c r="BF64" i="8"/>
  <c r="BF63" i="8"/>
  <c r="BF62" i="8"/>
  <c r="BF59" i="8"/>
  <c r="BF61" i="8"/>
  <c r="BF53" i="8"/>
  <c r="BF47" i="8"/>
  <c r="BF57" i="8"/>
  <c r="BF51" i="8"/>
  <c r="BF55" i="8"/>
  <c r="BF60" i="8"/>
  <c r="BF56" i="8"/>
  <c r="BF40" i="8"/>
  <c r="BF54" i="8"/>
  <c r="BF48" i="8"/>
  <c r="BF36" i="8"/>
  <c r="BF26" i="8"/>
  <c r="BF50" i="8"/>
  <c r="BF45" i="8"/>
  <c r="BF35" i="8"/>
  <c r="BF39" i="8"/>
  <c r="BF29" i="8"/>
  <c r="BF31" i="8"/>
  <c r="BF28" i="8"/>
  <c r="BF46" i="8"/>
  <c r="BF38" i="8"/>
  <c r="BF52" i="8"/>
  <c r="BF44" i="8"/>
  <c r="BF37" i="8"/>
  <c r="BF15" i="8"/>
  <c r="BF34" i="8"/>
  <c r="BF30" i="8"/>
  <c r="BF41" i="8"/>
  <c r="BF33" i="8"/>
  <c r="BF25" i="8"/>
  <c r="BF43" i="8"/>
  <c r="BF11" i="8"/>
  <c r="BF10" i="8"/>
  <c r="BF17" i="8"/>
  <c r="BF12" i="8"/>
  <c r="BF42" i="8"/>
  <c r="BF27" i="8"/>
  <c r="BF22" i="8"/>
  <c r="BF21" i="8"/>
  <c r="BF19" i="8"/>
  <c r="BF18" i="8"/>
  <c r="BF32" i="8"/>
  <c r="BF16" i="8"/>
  <c r="BF14" i="8"/>
  <c r="BF24" i="8"/>
  <c r="BF20" i="8"/>
  <c r="BF23" i="8"/>
  <c r="BF13" i="8"/>
  <c r="BF4" i="8"/>
  <c r="BF7" i="8"/>
  <c r="BF8" i="8"/>
  <c r="BF6" i="8"/>
  <c r="BF5" i="8"/>
  <c r="C33" i="7"/>
  <c r="F33" i="7" s="1"/>
  <c r="D69" i="18"/>
  <c r="J88" i="14"/>
  <c r="J88" i="16"/>
  <c r="J88" i="15"/>
  <c r="J88" i="13"/>
  <c r="J91" i="10"/>
  <c r="B24" i="17"/>
  <c r="J91" i="19"/>
  <c r="J88" i="11"/>
  <c r="J88" i="12"/>
  <c r="C146" i="18"/>
  <c r="F146" i="18" s="1"/>
  <c r="P144" i="18"/>
  <c r="B24" i="9"/>
  <c r="BG2" i="8"/>
  <c r="BG58" i="8" s="1"/>
  <c r="P34" i="7"/>
  <c r="Q34" i="7" l="1"/>
  <c r="BG63" i="8"/>
  <c r="BG59" i="8"/>
  <c r="BG54" i="8"/>
  <c r="BG50" i="8"/>
  <c r="BG46" i="8"/>
  <c r="BG62" i="8"/>
  <c r="BG57" i="8"/>
  <c r="BG53" i="8"/>
  <c r="BG45" i="8"/>
  <c r="BG61" i="8"/>
  <c r="BG56" i="8"/>
  <c r="BG52" i="8"/>
  <c r="BG48" i="8"/>
  <c r="BG44" i="8"/>
  <c r="BG64" i="8"/>
  <c r="BG51" i="8"/>
  <c r="BG55" i="8"/>
  <c r="BG60" i="8"/>
  <c r="BG41" i="8"/>
  <c r="BG40" i="8"/>
  <c r="BG35" i="8"/>
  <c r="BG25" i="8"/>
  <c r="BG21" i="8"/>
  <c r="BG17" i="8"/>
  <c r="BG47" i="8"/>
  <c r="BG39" i="8"/>
  <c r="BG29" i="8"/>
  <c r="BG30" i="8"/>
  <c r="BG38" i="8"/>
  <c r="BG32" i="8"/>
  <c r="BG33" i="8"/>
  <c r="BG37" i="8"/>
  <c r="BG36" i="8"/>
  <c r="BG24" i="8"/>
  <c r="BG14" i="8"/>
  <c r="BG42" i="8"/>
  <c r="BG27" i="8"/>
  <c r="BG31" i="8"/>
  <c r="BG43" i="8"/>
  <c r="BG12" i="8"/>
  <c r="BG22" i="8"/>
  <c r="BG19" i="8"/>
  <c r="BG18" i="8"/>
  <c r="BG13" i="8"/>
  <c r="BG16" i="8"/>
  <c r="BG26" i="8"/>
  <c r="BG23" i="8"/>
  <c r="BG28" i="8"/>
  <c r="BG15" i="8"/>
  <c r="BG7" i="8"/>
  <c r="BG11" i="8"/>
  <c r="BG4" i="8"/>
  <c r="BG20" i="8"/>
  <c r="BG34" i="8"/>
  <c r="BG10" i="8"/>
  <c r="BG8" i="8"/>
  <c r="BG6" i="8"/>
  <c r="BG5" i="8"/>
  <c r="Q144" i="18"/>
  <c r="R144" i="18"/>
  <c r="C34" i="7"/>
  <c r="F34" i="7" s="1"/>
  <c r="D70" i="18"/>
  <c r="B18" i="17"/>
  <c r="B35" i="17" s="1"/>
  <c r="D35" i="17" s="1"/>
  <c r="D24" i="17"/>
  <c r="D18" i="17" s="1"/>
  <c r="D60" i="17" s="1"/>
  <c r="P145" i="18"/>
  <c r="C147" i="18"/>
  <c r="F147" i="18" s="1"/>
  <c r="D24" i="9"/>
  <c r="D18" i="9" s="1"/>
  <c r="D60" i="9" s="1"/>
  <c r="B18" i="9"/>
  <c r="B35" i="9" s="1"/>
  <c r="D35" i="9" s="1"/>
  <c r="BH2" i="8"/>
  <c r="BH58" i="8" s="1"/>
  <c r="P35" i="7"/>
  <c r="D314" i="9" l="1"/>
  <c r="D83" i="9"/>
  <c r="Q35" i="7"/>
  <c r="BH63" i="8"/>
  <c r="BH59" i="8"/>
  <c r="BH54" i="8"/>
  <c r="BH50" i="8"/>
  <c r="BH46" i="8"/>
  <c r="BH62" i="8"/>
  <c r="BH57" i="8"/>
  <c r="BH53" i="8"/>
  <c r="BH45" i="8"/>
  <c r="BH64" i="8"/>
  <c r="BH61" i="8"/>
  <c r="BH55" i="8"/>
  <c r="BH40" i="8"/>
  <c r="BH36" i="8"/>
  <c r="BH60" i="8"/>
  <c r="BH41" i="8"/>
  <c r="BH31" i="8"/>
  <c r="BH42" i="8"/>
  <c r="BH51" i="8"/>
  <c r="BH52" i="8"/>
  <c r="BH35" i="8"/>
  <c r="BH25" i="8"/>
  <c r="BH47" i="8"/>
  <c r="BH39" i="8"/>
  <c r="BH29" i="8"/>
  <c r="BH30" i="8"/>
  <c r="BH28" i="8"/>
  <c r="BH24" i="8"/>
  <c r="BH20" i="8"/>
  <c r="BH16" i="8"/>
  <c r="BH32" i="8"/>
  <c r="BH56" i="8"/>
  <c r="BH33" i="8"/>
  <c r="BH37" i="8"/>
  <c r="BH34" i="8"/>
  <c r="BH38" i="8"/>
  <c r="BH44" i="8"/>
  <c r="BH48" i="8"/>
  <c r="BH26" i="8"/>
  <c r="BH27" i="8"/>
  <c r="BH43" i="8"/>
  <c r="BH23" i="8"/>
  <c r="BH11" i="8"/>
  <c r="BH10" i="8"/>
  <c r="BH6" i="8"/>
  <c r="BH12" i="8"/>
  <c r="BH22" i="8"/>
  <c r="BH19" i="8"/>
  <c r="BH18" i="8"/>
  <c r="BH17" i="8"/>
  <c r="BH13" i="8"/>
  <c r="BH21" i="8"/>
  <c r="BH5" i="8"/>
  <c r="BH4" i="8"/>
  <c r="BH7" i="8"/>
  <c r="BH14" i="8"/>
  <c r="BH8" i="8"/>
  <c r="BH15" i="8"/>
  <c r="R145" i="18"/>
  <c r="Q145" i="18"/>
  <c r="C35" i="7"/>
  <c r="F35" i="7" s="1"/>
  <c r="D71" i="18"/>
  <c r="D83" i="17"/>
  <c r="C83" i="17" s="1"/>
  <c r="D284" i="17"/>
  <c r="C148" i="18"/>
  <c r="F148" i="18" s="1"/>
  <c r="P146" i="18"/>
  <c r="D206" i="9"/>
  <c r="D205" i="9" s="1"/>
  <c r="BI2" i="8"/>
  <c r="BI58" i="8" s="1"/>
  <c r="P36" i="7"/>
  <c r="C36" i="7" l="1"/>
  <c r="F36" i="7" s="1"/>
  <c r="Q146" i="18"/>
  <c r="R146" i="18"/>
  <c r="BI63" i="8"/>
  <c r="BI62" i="8"/>
  <c r="BI61" i="8"/>
  <c r="BI64" i="8"/>
  <c r="BI55" i="8"/>
  <c r="BI60" i="8"/>
  <c r="BI57" i="8"/>
  <c r="BI54" i="8"/>
  <c r="BI42" i="8"/>
  <c r="BI53" i="8"/>
  <c r="BI51" i="8"/>
  <c r="BI43" i="8"/>
  <c r="BI50" i="8"/>
  <c r="BI45" i="8"/>
  <c r="BI35" i="8"/>
  <c r="BI25" i="8"/>
  <c r="BI47" i="8"/>
  <c r="BI39" i="8"/>
  <c r="BI29" i="8"/>
  <c r="BI30" i="8"/>
  <c r="BI28" i="8"/>
  <c r="BI52" i="8"/>
  <c r="BI38" i="8"/>
  <c r="BI31" i="8"/>
  <c r="BI56" i="8"/>
  <c r="BI46" i="8"/>
  <c r="BI33" i="8"/>
  <c r="BI27" i="8"/>
  <c r="BI37" i="8"/>
  <c r="BI34" i="8"/>
  <c r="BI44" i="8"/>
  <c r="BI41" i="8"/>
  <c r="BI48" i="8"/>
  <c r="BI36" i="8"/>
  <c r="BI26" i="8"/>
  <c r="BI24" i="8"/>
  <c r="BI59" i="8"/>
  <c r="BI32" i="8"/>
  <c r="BI22" i="8"/>
  <c r="BI23" i="8"/>
  <c r="BI12" i="8"/>
  <c r="BI19" i="8"/>
  <c r="BI18" i="8"/>
  <c r="BI17" i="8"/>
  <c r="BI13" i="8"/>
  <c r="BI21" i="8"/>
  <c r="BI16" i="8"/>
  <c r="BI14" i="8"/>
  <c r="BI8" i="8"/>
  <c r="BI40" i="8"/>
  <c r="BI20" i="8"/>
  <c r="BI4" i="8"/>
  <c r="BI7" i="8"/>
  <c r="BI11" i="8"/>
  <c r="BI10" i="8"/>
  <c r="BI6" i="8"/>
  <c r="BI15" i="8"/>
  <c r="BI5" i="8"/>
  <c r="Q36" i="7"/>
  <c r="D72" i="18"/>
  <c r="P147" i="18"/>
  <c r="C149" i="18"/>
  <c r="F149" i="18" s="1"/>
  <c r="BJ2" i="8"/>
  <c r="BJ58" i="8" s="1"/>
  <c r="P37" i="7"/>
  <c r="C37" i="7" l="1"/>
  <c r="F37" i="7" s="1"/>
  <c r="Q37" i="7"/>
  <c r="BJ62" i="8"/>
  <c r="BJ57" i="8"/>
  <c r="BJ53" i="8"/>
  <c r="BJ45" i="8"/>
  <c r="BJ61" i="8"/>
  <c r="BJ56" i="8"/>
  <c r="BJ52" i="8"/>
  <c r="BJ48" i="8"/>
  <c r="BJ44" i="8"/>
  <c r="BJ64" i="8"/>
  <c r="BJ60" i="8"/>
  <c r="BJ55" i="8"/>
  <c r="BJ51" i="8"/>
  <c r="BJ47" i="8"/>
  <c r="BJ63" i="8"/>
  <c r="BJ43" i="8"/>
  <c r="BJ46" i="8"/>
  <c r="BJ50" i="8"/>
  <c r="BJ39" i="8"/>
  <c r="BJ29" i="8"/>
  <c r="BJ30" i="8"/>
  <c r="BJ28" i="8"/>
  <c r="BJ24" i="8"/>
  <c r="BJ20" i="8"/>
  <c r="BJ16" i="8"/>
  <c r="BJ38" i="8"/>
  <c r="BJ31" i="8"/>
  <c r="BJ32" i="8"/>
  <c r="BJ37" i="8"/>
  <c r="BJ34" i="8"/>
  <c r="BJ41" i="8"/>
  <c r="BJ42" i="8"/>
  <c r="BJ36" i="8"/>
  <c r="BJ59" i="8"/>
  <c r="BJ22" i="8"/>
  <c r="BJ35" i="8"/>
  <c r="BJ13" i="8"/>
  <c r="BJ27" i="8"/>
  <c r="BJ23" i="8"/>
  <c r="BJ54" i="8"/>
  <c r="BJ33" i="8"/>
  <c r="BJ25" i="8"/>
  <c r="BJ21" i="8"/>
  <c r="BJ19" i="8"/>
  <c r="BJ18" i="8"/>
  <c r="BJ17" i="8"/>
  <c r="BJ14" i="8"/>
  <c r="BJ26" i="8"/>
  <c r="BJ15" i="8"/>
  <c r="BJ40" i="8"/>
  <c r="BJ11" i="8"/>
  <c r="BJ10" i="8"/>
  <c r="BJ6" i="8"/>
  <c r="BJ4" i="8"/>
  <c r="BJ8" i="8"/>
  <c r="BJ7" i="8"/>
  <c r="BJ12" i="8"/>
  <c r="BJ5" i="8"/>
  <c r="R147" i="18"/>
  <c r="Q147" i="18"/>
  <c r="C83" i="9"/>
  <c r="D73" i="18"/>
  <c r="C150" i="18"/>
  <c r="F150" i="18" s="1"/>
  <c r="P148" i="18"/>
  <c r="BK2" i="8"/>
  <c r="BK58" i="8" s="1"/>
  <c r="P38" i="7"/>
  <c r="C38" i="7" l="1"/>
  <c r="F38" i="7" s="1"/>
  <c r="BK62" i="8"/>
  <c r="BK57" i="8"/>
  <c r="BK53" i="8"/>
  <c r="BK45" i="8"/>
  <c r="BK61" i="8"/>
  <c r="BK56" i="8"/>
  <c r="BK52" i="8"/>
  <c r="BK48" i="8"/>
  <c r="BK44" i="8"/>
  <c r="BK64" i="8"/>
  <c r="BK47" i="8"/>
  <c r="BK63" i="8"/>
  <c r="BK55" i="8"/>
  <c r="BK60" i="8"/>
  <c r="BK43" i="8"/>
  <c r="BK39" i="8"/>
  <c r="BK35" i="8"/>
  <c r="BK51" i="8"/>
  <c r="BK46" i="8"/>
  <c r="BK34" i="8"/>
  <c r="BK30" i="8"/>
  <c r="BK59" i="8"/>
  <c r="BK28" i="8"/>
  <c r="BK24" i="8"/>
  <c r="BK38" i="8"/>
  <c r="BK31" i="8"/>
  <c r="BK32" i="8"/>
  <c r="BK54" i="8"/>
  <c r="BK33" i="8"/>
  <c r="BK27" i="8"/>
  <c r="BK23" i="8"/>
  <c r="BK19" i="8"/>
  <c r="BK15" i="8"/>
  <c r="BK41" i="8"/>
  <c r="BK42" i="8"/>
  <c r="BK36" i="8"/>
  <c r="BK37" i="8"/>
  <c r="BK26" i="8"/>
  <c r="BK29" i="8"/>
  <c r="BK20" i="8"/>
  <c r="BK18" i="8"/>
  <c r="BK50" i="8"/>
  <c r="BK25" i="8"/>
  <c r="BK21" i="8"/>
  <c r="BK40" i="8"/>
  <c r="BK13" i="8"/>
  <c r="BK5" i="8"/>
  <c r="BK22" i="8"/>
  <c r="BK14" i="8"/>
  <c r="BK16" i="8"/>
  <c r="BK8" i="8"/>
  <c r="BK4" i="8"/>
  <c r="BK12" i="8"/>
  <c r="BK17" i="8"/>
  <c r="BK11" i="8"/>
  <c r="BK7" i="8"/>
  <c r="BK10" i="8"/>
  <c r="BK6" i="8"/>
  <c r="Q148" i="18"/>
  <c r="R148" i="18"/>
  <c r="Q38" i="7"/>
  <c r="D74" i="18"/>
  <c r="P149" i="18"/>
  <c r="C151" i="18"/>
  <c r="F151" i="18" s="1"/>
  <c r="P39" i="7"/>
  <c r="C39" i="7" l="1"/>
  <c r="F39" i="7" s="1"/>
  <c r="R149" i="18"/>
  <c r="Q149" i="18"/>
  <c r="Q39" i="7"/>
  <c r="D75" i="18"/>
  <c r="C152" i="18"/>
  <c r="F152" i="18" s="1"/>
  <c r="P150" i="18"/>
  <c r="P40" i="7"/>
  <c r="C40" i="7" l="1"/>
  <c r="F40" i="7" s="1"/>
  <c r="Q150" i="18"/>
  <c r="R150" i="18"/>
  <c r="Q40" i="7"/>
  <c r="D76" i="18"/>
  <c r="C153" i="18"/>
  <c r="F153" i="18" s="1"/>
  <c r="P151" i="18"/>
  <c r="P41" i="7"/>
  <c r="C41" i="7" l="1"/>
  <c r="F41" i="7" s="1"/>
  <c r="Q41" i="7"/>
  <c r="R151" i="18"/>
  <c r="Q151" i="18"/>
  <c r="D77" i="18"/>
  <c r="P152" i="18"/>
  <c r="C154" i="18"/>
  <c r="F154" i="18" s="1"/>
  <c r="P42" i="7"/>
  <c r="C42" i="7" l="1"/>
  <c r="F42" i="7" s="1"/>
  <c r="Q42" i="7"/>
  <c r="Q152" i="18"/>
  <c r="R152" i="18"/>
  <c r="D78" i="18"/>
  <c r="P153" i="18"/>
  <c r="C155" i="18"/>
  <c r="F155" i="18" s="1"/>
  <c r="P43" i="7"/>
  <c r="C43" i="7" l="1"/>
  <c r="F43" i="7" s="1"/>
  <c r="Q43" i="7"/>
  <c r="R153" i="18"/>
  <c r="Q153" i="18"/>
  <c r="D79" i="18"/>
  <c r="P154" i="18"/>
  <c r="C156" i="18"/>
  <c r="F156" i="18" s="1"/>
  <c r="P44" i="7"/>
  <c r="C44" i="7" l="1"/>
  <c r="F44" i="7" s="1"/>
  <c r="Q44" i="7"/>
  <c r="Q154" i="18"/>
  <c r="R154" i="18"/>
  <c r="D80" i="18"/>
  <c r="C157" i="18"/>
  <c r="F157" i="18" s="1"/>
  <c r="P155" i="18"/>
  <c r="P45" i="7"/>
  <c r="C45" i="7" l="1"/>
  <c r="F45" i="7" s="1"/>
  <c r="Q155" i="18"/>
  <c r="R155" i="18"/>
  <c r="Q45" i="7"/>
  <c r="D81" i="18"/>
  <c r="P156" i="18"/>
  <c r="C158" i="18"/>
  <c r="F158" i="18" s="1"/>
  <c r="P46" i="7"/>
  <c r="C46" i="7" l="1"/>
  <c r="F46" i="7" s="1"/>
  <c r="Q46" i="7"/>
  <c r="Q156" i="18"/>
  <c r="R156" i="18"/>
  <c r="D82" i="18"/>
  <c r="P157" i="18"/>
  <c r="C159" i="18"/>
  <c r="F159" i="18" s="1"/>
  <c r="P47" i="7"/>
  <c r="C47" i="7" l="1"/>
  <c r="F47" i="7" s="1"/>
  <c r="Q47" i="7"/>
  <c r="Q157" i="18"/>
  <c r="R157" i="18"/>
  <c r="D83" i="18"/>
  <c r="C160" i="18"/>
  <c r="F160" i="18" s="1"/>
  <c r="P158" i="18"/>
  <c r="P48" i="7"/>
  <c r="C48" i="7" l="1"/>
  <c r="F48" i="7" s="1"/>
  <c r="Q48" i="7"/>
  <c r="Q158" i="18"/>
  <c r="R158" i="18"/>
  <c r="D84" i="18"/>
  <c r="P159" i="18"/>
  <c r="C161" i="18"/>
  <c r="F161" i="18" s="1"/>
  <c r="P49" i="7"/>
  <c r="C49" i="7" l="1"/>
  <c r="F49" i="7" s="1"/>
  <c r="Q49" i="7"/>
  <c r="Q159" i="18"/>
  <c r="R159" i="18"/>
  <c r="D85" i="18"/>
  <c r="P160" i="18"/>
  <c r="C162" i="18"/>
  <c r="F162" i="18" s="1"/>
  <c r="P50" i="7"/>
  <c r="C50" i="7" l="1"/>
  <c r="F50" i="7" s="1"/>
  <c r="Q50" i="7"/>
  <c r="Q160" i="18"/>
  <c r="R160" i="18"/>
  <c r="D86" i="18"/>
  <c r="P161" i="18"/>
  <c r="C163" i="18"/>
  <c r="F163" i="18" s="1"/>
  <c r="P51" i="7"/>
  <c r="C51" i="7" l="1"/>
  <c r="F51" i="7" s="1"/>
  <c r="Q51" i="7"/>
  <c r="Q161" i="18"/>
  <c r="R161" i="18"/>
  <c r="D87" i="18"/>
  <c r="C164" i="18"/>
  <c r="F164" i="18" s="1"/>
  <c r="P162" i="18"/>
  <c r="P52" i="7"/>
  <c r="C52" i="7" l="1"/>
  <c r="F52" i="7" s="1"/>
  <c r="Q162" i="18"/>
  <c r="R162" i="18"/>
  <c r="Q52" i="7"/>
  <c r="D88" i="18"/>
  <c r="P163" i="18"/>
  <c r="C165" i="18"/>
  <c r="F165" i="18" s="1"/>
  <c r="P53" i="7"/>
  <c r="C53" i="7" l="1"/>
  <c r="F53" i="7" s="1"/>
  <c r="Q53" i="7"/>
  <c r="R163" i="18"/>
  <c r="Q163" i="18"/>
  <c r="D89" i="18"/>
  <c r="P164" i="18"/>
  <c r="C166" i="18"/>
  <c r="F166" i="18" s="1"/>
  <c r="P54" i="7"/>
  <c r="C54" i="7" l="1"/>
  <c r="F54" i="7" s="1"/>
  <c r="Q54" i="7"/>
  <c r="Q164" i="18"/>
  <c r="R164" i="18"/>
  <c r="D90" i="18"/>
  <c r="C167" i="18"/>
  <c r="F167" i="18" s="1"/>
  <c r="P165" i="18"/>
  <c r="P55" i="7"/>
  <c r="C55" i="7" l="1"/>
  <c r="F55" i="7" s="1"/>
  <c r="R165" i="18"/>
  <c r="Q165" i="18"/>
  <c r="Q55" i="7"/>
  <c r="D91" i="18"/>
  <c r="C168" i="18"/>
  <c r="F168" i="18" s="1"/>
  <c r="P166" i="18"/>
  <c r="P56" i="7"/>
  <c r="C56" i="7" l="1"/>
  <c r="F56" i="7" s="1"/>
  <c r="R166" i="18"/>
  <c r="Q166" i="18"/>
  <c r="Q56" i="7"/>
  <c r="D92" i="18"/>
  <c r="P167" i="18"/>
  <c r="C169" i="18"/>
  <c r="F169" i="18" s="1"/>
  <c r="P57" i="7"/>
  <c r="C57" i="7" l="1"/>
  <c r="F57" i="7" s="1"/>
  <c r="Q57" i="7"/>
  <c r="R167" i="18"/>
  <c r="Q167" i="18"/>
  <c r="D93" i="18"/>
  <c r="P168" i="18"/>
  <c r="C170" i="18"/>
  <c r="F170" i="18" s="1"/>
  <c r="P58" i="7"/>
  <c r="C58" i="7" l="1"/>
  <c r="F58" i="7" s="1"/>
  <c r="Q168" i="18"/>
  <c r="R168" i="18"/>
  <c r="Q58" i="7"/>
  <c r="D94" i="18"/>
  <c r="P169" i="18"/>
  <c r="C171" i="18"/>
  <c r="F171" i="18" s="1"/>
  <c r="P59" i="7"/>
  <c r="C59" i="7" l="1"/>
  <c r="F59" i="7" s="1"/>
  <c r="Q59" i="7"/>
  <c r="Q169" i="18"/>
  <c r="R169" i="18"/>
  <c r="D95" i="18"/>
  <c r="C172" i="18"/>
  <c r="F172" i="18" s="1"/>
  <c r="P170" i="18"/>
  <c r="P60" i="7"/>
  <c r="C60" i="7" l="1"/>
  <c r="F60" i="7" s="1"/>
  <c r="Q60" i="7"/>
  <c r="Q170" i="18"/>
  <c r="R170" i="18"/>
  <c r="D96" i="18"/>
  <c r="P171" i="18"/>
  <c r="C173" i="18"/>
  <c r="F173" i="18" s="1"/>
  <c r="P61" i="7"/>
  <c r="C61" i="7" l="1"/>
  <c r="F61" i="7" s="1"/>
  <c r="Q61" i="7"/>
  <c r="Q171" i="18"/>
  <c r="R171" i="18"/>
  <c r="D97" i="18"/>
  <c r="C174" i="18"/>
  <c r="F174" i="18" s="1"/>
  <c r="P172" i="18"/>
  <c r="P62" i="7"/>
  <c r="C62" i="7" l="1"/>
  <c r="F62" i="7" s="1"/>
  <c r="Q62" i="7"/>
  <c r="R172" i="18"/>
  <c r="Q172" i="18"/>
  <c r="D98" i="18"/>
  <c r="I141" i="18"/>
  <c r="P173" i="18"/>
  <c r="C175" i="18"/>
  <c r="F175" i="18" s="1"/>
  <c r="P63" i="7"/>
  <c r="C63" i="7" l="1"/>
  <c r="F63" i="7" s="1"/>
  <c r="R173" i="18"/>
  <c r="Q173" i="18"/>
  <c r="Q63" i="7"/>
  <c r="D99" i="18"/>
  <c r="I142" i="18"/>
  <c r="C176" i="18"/>
  <c r="F176" i="18" s="1"/>
  <c r="P174" i="18"/>
  <c r="P64" i="7"/>
  <c r="C64" i="7" l="1"/>
  <c r="F64" i="7" s="1"/>
  <c r="Q174" i="18"/>
  <c r="R174" i="18"/>
  <c r="Q64" i="7"/>
  <c r="D100" i="18"/>
  <c r="I143" i="18"/>
  <c r="P175" i="18"/>
  <c r="C177" i="18"/>
  <c r="F177" i="18" s="1"/>
  <c r="P65" i="7"/>
  <c r="C65" i="7" l="1"/>
  <c r="F65" i="7" s="1"/>
  <c r="Q175" i="18"/>
  <c r="R175" i="18"/>
  <c r="Q65" i="7"/>
  <c r="D101" i="18"/>
  <c r="P176" i="18"/>
  <c r="I144" i="18"/>
  <c r="C178" i="18"/>
  <c r="F178" i="18" s="1"/>
  <c r="P66" i="7"/>
  <c r="C66" i="7" l="1"/>
  <c r="F66" i="7" s="1"/>
  <c r="Q66" i="7"/>
  <c r="R176" i="18"/>
  <c r="Q176" i="18"/>
  <c r="D102" i="18"/>
  <c r="I145" i="18"/>
  <c r="C179" i="18"/>
  <c r="F179" i="18" s="1"/>
  <c r="P177" i="18"/>
  <c r="P67" i="7"/>
  <c r="C67" i="7" l="1"/>
  <c r="F67" i="7" s="1"/>
  <c r="R177" i="18"/>
  <c r="Q177" i="18"/>
  <c r="Q67" i="7"/>
  <c r="D103" i="18"/>
  <c r="I146" i="18"/>
  <c r="C180" i="18"/>
  <c r="F180" i="18" s="1"/>
  <c r="P178" i="18"/>
  <c r="P68" i="7"/>
  <c r="C68" i="7" l="1"/>
  <c r="F68" i="7" s="1"/>
  <c r="Q68" i="7"/>
  <c r="Q178" i="18"/>
  <c r="R178" i="18"/>
  <c r="D104" i="18"/>
  <c r="P179" i="18"/>
  <c r="I147" i="18"/>
  <c r="C181" i="18"/>
  <c r="F181" i="18" s="1"/>
  <c r="P69" i="7"/>
  <c r="C69" i="7" l="1"/>
  <c r="F69" i="7" s="1"/>
  <c r="Q69" i="7"/>
  <c r="Q179" i="18"/>
  <c r="R179" i="18"/>
  <c r="D105" i="18"/>
  <c r="C182" i="18"/>
  <c r="F182" i="18" s="1"/>
  <c r="I148" i="18"/>
  <c r="P180" i="18"/>
  <c r="P70" i="7"/>
  <c r="C70" i="7" l="1"/>
  <c r="F70" i="7" s="1"/>
  <c r="Q70" i="7"/>
  <c r="Q180" i="18"/>
  <c r="R180" i="18"/>
  <c r="D106" i="18"/>
  <c r="P181" i="18"/>
  <c r="I149" i="18"/>
  <c r="C183" i="18"/>
  <c r="F183" i="18" s="1"/>
  <c r="P71" i="7"/>
  <c r="C71" i="7" l="1"/>
  <c r="F71" i="7" s="1"/>
  <c r="Q181" i="18"/>
  <c r="R181" i="18"/>
  <c r="Q71" i="7"/>
  <c r="D107" i="18"/>
  <c r="P182" i="18"/>
  <c r="I150" i="18"/>
  <c r="C184" i="18"/>
  <c r="F184" i="18" s="1"/>
  <c r="P72" i="7"/>
  <c r="C72" i="7" l="1"/>
  <c r="F72" i="7" s="1"/>
  <c r="Q72" i="7"/>
  <c r="R182" i="18"/>
  <c r="Q182" i="18"/>
  <c r="D108" i="18"/>
  <c r="C185" i="18"/>
  <c r="F185" i="18" s="1"/>
  <c r="P183" i="18"/>
  <c r="I151" i="18"/>
  <c r="P73" i="7"/>
  <c r="C73" i="7" l="1"/>
  <c r="F73" i="7" s="1"/>
  <c r="Q183" i="18"/>
  <c r="R183" i="18"/>
  <c r="Q73" i="7"/>
  <c r="D109" i="18"/>
  <c r="C186" i="18"/>
  <c r="F186" i="18" s="1"/>
  <c r="I152" i="18"/>
  <c r="P184" i="18"/>
  <c r="P74" i="7"/>
  <c r="C74" i="7" l="1"/>
  <c r="F74" i="7" s="1"/>
  <c r="Q74" i="7"/>
  <c r="R184" i="18"/>
  <c r="Q184" i="18"/>
  <c r="D110" i="18"/>
  <c r="C187" i="18"/>
  <c r="F187" i="18" s="1"/>
  <c r="P185" i="18"/>
  <c r="I153" i="18"/>
  <c r="P75" i="7"/>
  <c r="C75" i="7" l="1"/>
  <c r="F75" i="7" s="1"/>
  <c r="R185" i="18"/>
  <c r="Q185" i="18"/>
  <c r="Q75" i="7"/>
  <c r="D111" i="18"/>
  <c r="I154" i="18"/>
  <c r="P186" i="18"/>
  <c r="C188" i="18"/>
  <c r="F188" i="18" s="1"/>
  <c r="P76" i="7"/>
  <c r="C76" i="7" l="1"/>
  <c r="F76" i="7" s="1"/>
  <c r="Q76" i="7"/>
  <c r="Q186" i="18"/>
  <c r="R186" i="18"/>
  <c r="D112" i="18"/>
  <c r="I155" i="18"/>
  <c r="P187" i="18"/>
  <c r="C189" i="18"/>
  <c r="F189" i="18" s="1"/>
  <c r="P77" i="7"/>
  <c r="C77" i="7" l="1"/>
  <c r="F77" i="7" s="1"/>
  <c r="Q77" i="7"/>
  <c r="Q187" i="18"/>
  <c r="R187" i="18"/>
  <c r="D113" i="18"/>
  <c r="P188" i="18"/>
  <c r="I156" i="18"/>
  <c r="C190" i="18"/>
  <c r="F190" i="18" s="1"/>
  <c r="P78" i="7"/>
  <c r="C78" i="7" l="1"/>
  <c r="F78" i="7" s="1"/>
  <c r="Q78" i="7"/>
  <c r="Q188" i="18"/>
  <c r="R188" i="18"/>
  <c r="D114" i="18"/>
  <c r="I157" i="18"/>
  <c r="C191" i="18"/>
  <c r="F191" i="18" s="1"/>
  <c r="P189" i="18"/>
  <c r="P79" i="7"/>
  <c r="C79" i="7" l="1"/>
  <c r="F79" i="7" s="1"/>
  <c r="R189" i="18"/>
  <c r="Q189" i="18"/>
  <c r="Q79" i="7"/>
  <c r="D115" i="18"/>
  <c r="C192" i="18"/>
  <c r="F192" i="18" s="1"/>
  <c r="I158" i="18"/>
  <c r="P190" i="18"/>
  <c r="P80" i="7"/>
  <c r="C80" i="7" l="1"/>
  <c r="F80" i="7" s="1"/>
  <c r="Q80" i="7"/>
  <c r="Q190" i="18"/>
  <c r="R190" i="18"/>
  <c r="D116" i="18"/>
  <c r="P191" i="18"/>
  <c r="C193" i="18"/>
  <c r="F193" i="18" s="1"/>
  <c r="I159" i="18"/>
  <c r="P81" i="7"/>
  <c r="C81" i="7" l="1"/>
  <c r="F81" i="7" s="1"/>
  <c r="Q81" i="7"/>
  <c r="Q191" i="18"/>
  <c r="R191" i="18"/>
  <c r="D117" i="18"/>
  <c r="P192" i="18"/>
  <c r="C194" i="18"/>
  <c r="F194" i="18" s="1"/>
  <c r="I160" i="18"/>
  <c r="P82" i="7"/>
  <c r="C82" i="7" l="1"/>
  <c r="F82" i="7" s="1"/>
  <c r="Q82" i="7"/>
  <c r="R192" i="18"/>
  <c r="Q192" i="18"/>
  <c r="D118" i="18"/>
  <c r="C195" i="18"/>
  <c r="F195" i="18" s="1"/>
  <c r="I161" i="18"/>
  <c r="P193" i="18"/>
  <c r="P83" i="7"/>
  <c r="C83" i="7" l="1"/>
  <c r="F83" i="7" s="1"/>
  <c r="Q83" i="7"/>
  <c r="Q193" i="18"/>
  <c r="R193" i="18"/>
  <c r="D119" i="18"/>
  <c r="C196" i="18"/>
  <c r="F196" i="18" s="1"/>
  <c r="P194" i="18"/>
  <c r="I162" i="18"/>
  <c r="P84" i="7"/>
  <c r="C84" i="7" l="1"/>
  <c r="F84" i="7" s="1"/>
  <c r="Q84" i="7"/>
  <c r="R194" i="18"/>
  <c r="Q194" i="18"/>
  <c r="D120" i="18"/>
  <c r="P195" i="18"/>
  <c r="C197" i="18"/>
  <c r="F197" i="18" s="1"/>
  <c r="I163" i="18"/>
  <c r="P85" i="7"/>
  <c r="C85" i="7" l="1"/>
  <c r="F85" i="7" s="1"/>
  <c r="Q85" i="7"/>
  <c r="Q195" i="18"/>
  <c r="R195" i="18"/>
  <c r="D121" i="18"/>
  <c r="I164" i="18"/>
  <c r="P196" i="18"/>
  <c r="C198" i="18"/>
  <c r="F198" i="18" s="1"/>
  <c r="P86" i="7"/>
  <c r="C86" i="7" l="1"/>
  <c r="F86" i="7" s="1"/>
  <c r="Q86" i="7"/>
  <c r="R196" i="18"/>
  <c r="Q196" i="18"/>
  <c r="D122" i="18"/>
  <c r="P197" i="18"/>
  <c r="I165" i="18"/>
  <c r="C199" i="18"/>
  <c r="F199" i="18" s="1"/>
  <c r="P87" i="7"/>
  <c r="C87" i="7" l="1"/>
  <c r="F87" i="7" s="1"/>
  <c r="Q87" i="7"/>
  <c r="R197" i="18"/>
  <c r="Q197" i="18"/>
  <c r="D123" i="18"/>
  <c r="I166" i="18"/>
  <c r="C200" i="18"/>
  <c r="F200" i="18" s="1"/>
  <c r="P198" i="18"/>
  <c r="P88" i="7"/>
  <c r="C88" i="7" l="1"/>
  <c r="F88" i="7" s="1"/>
  <c r="Q88" i="7"/>
  <c r="Q198" i="18"/>
  <c r="R198" i="18"/>
  <c r="D124" i="18"/>
  <c r="I167" i="18"/>
  <c r="P199" i="18"/>
  <c r="C201" i="18"/>
  <c r="F201" i="18" s="1"/>
  <c r="P89" i="7"/>
  <c r="C89" i="7" l="1"/>
  <c r="F89" i="7" s="1"/>
  <c r="Q89" i="7"/>
  <c r="R199" i="18"/>
  <c r="Q199" i="18"/>
  <c r="D125" i="18"/>
  <c r="I168" i="18"/>
  <c r="P200" i="18"/>
  <c r="C202" i="18"/>
  <c r="F202" i="18" s="1"/>
  <c r="P90" i="7"/>
  <c r="C90" i="7" l="1"/>
  <c r="F90" i="7" s="1"/>
  <c r="Q90" i="7"/>
  <c r="R200" i="18"/>
  <c r="Q200" i="18"/>
  <c r="D126" i="18"/>
  <c r="I169" i="18"/>
  <c r="P201" i="18"/>
  <c r="C203" i="18"/>
  <c r="F203" i="18" s="1"/>
  <c r="P91" i="7"/>
  <c r="C91" i="7" l="1"/>
  <c r="F91" i="7" s="1"/>
  <c r="Q91" i="7"/>
  <c r="R201" i="18"/>
  <c r="Q201" i="18"/>
  <c r="D127" i="18"/>
  <c r="I170" i="18"/>
  <c r="P202" i="18"/>
  <c r="C204" i="18"/>
  <c r="F204" i="18" s="1"/>
  <c r="P92" i="7"/>
  <c r="C92" i="7" l="1"/>
  <c r="F92" i="7" s="1"/>
  <c r="Q92" i="7"/>
  <c r="Q202" i="18"/>
  <c r="R202" i="18"/>
  <c r="D128" i="18"/>
  <c r="P203" i="18"/>
  <c r="I171" i="18"/>
  <c r="C205" i="18"/>
  <c r="F205" i="18" s="1"/>
  <c r="P93" i="7"/>
  <c r="C93" i="7" l="1"/>
  <c r="F93" i="7" s="1"/>
  <c r="Q93" i="7"/>
  <c r="R203" i="18"/>
  <c r="Q203" i="18"/>
  <c r="D129" i="18"/>
  <c r="C206" i="18"/>
  <c r="F206" i="18" s="1"/>
  <c r="I172" i="18"/>
  <c r="P204" i="18"/>
  <c r="P94" i="7"/>
  <c r="C94" i="7" l="1"/>
  <c r="F94" i="7" s="1"/>
  <c r="R204" i="18"/>
  <c r="Q204" i="18"/>
  <c r="Q94" i="7"/>
  <c r="D130" i="18"/>
  <c r="C207" i="18"/>
  <c r="F207" i="18" s="1"/>
  <c r="P205" i="18"/>
  <c r="I173" i="18"/>
  <c r="P95" i="7"/>
  <c r="C95" i="7" l="1"/>
  <c r="F95" i="7" s="1"/>
  <c r="Q95" i="7"/>
  <c r="Q205" i="18"/>
  <c r="R205" i="18"/>
  <c r="D131" i="18"/>
  <c r="P206" i="18"/>
  <c r="C208" i="18"/>
  <c r="F208" i="18" s="1"/>
  <c r="I174" i="18"/>
  <c r="P96" i="7"/>
  <c r="C96" i="7" l="1"/>
  <c r="F96" i="7" s="1"/>
  <c r="R206" i="18"/>
  <c r="Q206" i="18"/>
  <c r="Q96" i="7"/>
  <c r="D132" i="18"/>
  <c r="I175" i="18"/>
  <c r="C209" i="18"/>
  <c r="F209" i="18" s="1"/>
  <c r="P207" i="18"/>
  <c r="P97" i="7"/>
  <c r="C97" i="7" l="1"/>
  <c r="F97" i="7" s="1"/>
  <c r="Q97" i="7"/>
  <c r="R207" i="18"/>
  <c r="Q207" i="18"/>
  <c r="D133" i="18"/>
  <c r="I176" i="18"/>
  <c r="P208" i="18"/>
  <c r="C210" i="18"/>
  <c r="F210" i="18" s="1"/>
  <c r="P98" i="7"/>
  <c r="C98" i="7" l="1"/>
  <c r="F98" i="7" s="1"/>
  <c r="Q208" i="18"/>
  <c r="R208" i="18"/>
  <c r="Q98" i="7"/>
  <c r="D134" i="18"/>
  <c r="P209" i="18"/>
  <c r="I177" i="18"/>
  <c r="C211" i="18"/>
  <c r="F211" i="18" s="1"/>
  <c r="P99" i="7"/>
  <c r="C99" i="7" l="1"/>
  <c r="F99" i="7" s="1"/>
  <c r="Q99" i="7"/>
  <c r="Q209" i="18"/>
  <c r="R209" i="18"/>
  <c r="D135" i="18"/>
  <c r="P210" i="18"/>
  <c r="I178" i="18"/>
  <c r="C212" i="18"/>
  <c r="F212" i="18" s="1"/>
  <c r="P100" i="7"/>
  <c r="C100" i="7" l="1"/>
  <c r="F100" i="7" s="1"/>
  <c r="R210" i="18"/>
  <c r="Q210" i="18"/>
  <c r="Q100" i="7"/>
  <c r="D136" i="18"/>
  <c r="I179" i="18"/>
  <c r="P211" i="18"/>
  <c r="C213" i="18"/>
  <c r="F213" i="18" s="1"/>
  <c r="P101" i="7"/>
  <c r="C101" i="7" l="1"/>
  <c r="F101" i="7" s="1"/>
  <c r="Q101" i="7"/>
  <c r="Q211" i="18"/>
  <c r="R211" i="18"/>
  <c r="D137" i="18"/>
  <c r="P212" i="18"/>
  <c r="I180" i="18"/>
  <c r="C214" i="18"/>
  <c r="F214" i="18" s="1"/>
  <c r="P102" i="7"/>
  <c r="C102" i="7" l="1"/>
  <c r="F102" i="7" s="1"/>
  <c r="Q102" i="7"/>
  <c r="R212" i="18"/>
  <c r="Q212" i="18"/>
  <c r="D138" i="18"/>
  <c r="C215" i="18"/>
  <c r="F215" i="18" s="1"/>
  <c r="P213" i="18"/>
  <c r="I181" i="18"/>
  <c r="P103" i="7"/>
  <c r="C103" i="7" l="1"/>
  <c r="F103" i="7" s="1"/>
  <c r="Q103" i="7"/>
  <c r="Q213" i="18"/>
  <c r="R213" i="18"/>
  <c r="D139" i="18"/>
  <c r="I182" i="18"/>
  <c r="P214" i="18"/>
  <c r="C216" i="18"/>
  <c r="F216" i="18" s="1"/>
  <c r="P104" i="7"/>
  <c r="C104" i="7" l="1"/>
  <c r="F104" i="7" s="1"/>
  <c r="Q214" i="18"/>
  <c r="R214" i="18"/>
  <c r="Q104" i="7"/>
  <c r="D140" i="18"/>
  <c r="I183" i="18"/>
  <c r="C217" i="18"/>
  <c r="F217" i="18" s="1"/>
  <c r="P215" i="18"/>
  <c r="P105" i="7"/>
  <c r="C105" i="7" l="1"/>
  <c r="F105" i="7" s="1"/>
  <c r="Q105" i="7"/>
  <c r="R215" i="18"/>
  <c r="Q215" i="18"/>
  <c r="D141" i="18"/>
  <c r="C218" i="18"/>
  <c r="F218" i="18" s="1"/>
  <c r="I184" i="18"/>
  <c r="P216" i="18"/>
  <c r="P106" i="7"/>
  <c r="C106" i="7" l="1"/>
  <c r="F106" i="7" s="1"/>
  <c r="R216" i="18"/>
  <c r="Q216" i="18"/>
  <c r="Q106" i="7"/>
  <c r="D142" i="18"/>
  <c r="C219" i="18"/>
  <c r="F219" i="18" s="1"/>
  <c r="I185" i="18"/>
  <c r="P217" i="18"/>
  <c r="P107" i="7"/>
  <c r="C107" i="7" l="1"/>
  <c r="F107" i="7" s="1"/>
  <c r="Q107" i="7"/>
  <c r="R217" i="18"/>
  <c r="Q217" i="18"/>
  <c r="D143" i="18"/>
  <c r="I186" i="18"/>
  <c r="C220" i="18"/>
  <c r="F220" i="18" s="1"/>
  <c r="P218" i="18"/>
  <c r="P108" i="7"/>
  <c r="C108" i="7" l="1"/>
  <c r="F108" i="7" s="1"/>
  <c r="Q218" i="18"/>
  <c r="R218" i="18"/>
  <c r="Q108" i="7"/>
  <c r="D144" i="18"/>
  <c r="C221" i="18"/>
  <c r="F221" i="18" s="1"/>
  <c r="I187" i="18"/>
  <c r="P219" i="18"/>
  <c r="P109" i="7"/>
  <c r="C109" i="7" l="1"/>
  <c r="F109" i="7" s="1"/>
  <c r="Q219" i="18"/>
  <c r="R219" i="18"/>
  <c r="Q109" i="7"/>
  <c r="D145" i="18"/>
  <c r="I188" i="18"/>
  <c r="P220" i="18"/>
  <c r="C222" i="18"/>
  <c r="F222" i="18" s="1"/>
  <c r="P110" i="7"/>
  <c r="C110" i="7" l="1"/>
  <c r="F110" i="7" s="1"/>
  <c r="Q110" i="7"/>
  <c r="R220" i="18"/>
  <c r="Q220" i="18"/>
  <c r="D146" i="18"/>
  <c r="I189" i="18"/>
  <c r="P221" i="18"/>
  <c r="C223" i="18"/>
  <c r="F223" i="18" s="1"/>
  <c r="P111" i="7"/>
  <c r="C111" i="7" l="1"/>
  <c r="F111" i="7" s="1"/>
  <c r="Q111" i="7"/>
  <c r="R221" i="18"/>
  <c r="Q221" i="18"/>
  <c r="D147" i="18"/>
  <c r="C224" i="18"/>
  <c r="F224" i="18" s="1"/>
  <c r="I190" i="18"/>
  <c r="P222" i="18"/>
  <c r="P112" i="7"/>
  <c r="C112" i="7" l="1"/>
  <c r="F112" i="7" s="1"/>
  <c r="Q112" i="7"/>
  <c r="R222" i="18"/>
  <c r="Q222" i="18"/>
  <c r="D148" i="18"/>
  <c r="I191" i="18"/>
  <c r="P223" i="18"/>
  <c r="C225" i="18"/>
  <c r="F225" i="18" s="1"/>
  <c r="P113" i="7"/>
  <c r="C113" i="7" l="1"/>
  <c r="F113" i="7" s="1"/>
  <c r="Q223" i="18"/>
  <c r="R223" i="18"/>
  <c r="Q113" i="7"/>
  <c r="D149" i="18"/>
  <c r="C226" i="18"/>
  <c r="F226" i="18" s="1"/>
  <c r="I192" i="18"/>
  <c r="P224" i="18"/>
  <c r="P114" i="7"/>
  <c r="C114" i="7" l="1"/>
  <c r="F114" i="7" s="1"/>
  <c r="R224" i="18"/>
  <c r="Q224" i="18"/>
  <c r="Q114" i="7"/>
  <c r="D150" i="18"/>
  <c r="I193" i="18"/>
  <c r="P225" i="18"/>
  <c r="C227" i="18"/>
  <c r="F227" i="18" s="1"/>
  <c r="P115" i="7"/>
  <c r="C115" i="7" l="1"/>
  <c r="F115" i="7" s="1"/>
  <c r="Q115" i="7"/>
  <c r="R225" i="18"/>
  <c r="Q225" i="18"/>
  <c r="D151" i="18"/>
  <c r="C228" i="18"/>
  <c r="F228" i="18" s="1"/>
  <c r="I194" i="18"/>
  <c r="P226" i="18"/>
  <c r="P116" i="7"/>
  <c r="C116" i="7" l="1"/>
  <c r="F116" i="7" s="1"/>
  <c r="Q226" i="18"/>
  <c r="R226" i="18"/>
  <c r="Q116" i="7"/>
  <c r="D152" i="18"/>
  <c r="C229" i="18"/>
  <c r="F229" i="18" s="1"/>
  <c r="I195" i="18"/>
  <c r="P227" i="18"/>
  <c r="P117" i="7"/>
  <c r="C117" i="7" l="1"/>
  <c r="F117" i="7" s="1"/>
  <c r="R227" i="18"/>
  <c r="Q227" i="18"/>
  <c r="Q117" i="7"/>
  <c r="D153" i="18"/>
  <c r="C230" i="18"/>
  <c r="F230" i="18" s="1"/>
  <c r="P228" i="18"/>
  <c r="I196" i="18"/>
  <c r="C118" i="7"/>
  <c r="F118" i="7" s="1"/>
  <c r="P118" i="7"/>
  <c r="Q118" i="7" l="1"/>
  <c r="R228" i="18"/>
  <c r="Q228" i="18"/>
  <c r="D154" i="18"/>
  <c r="C231" i="18"/>
  <c r="F231" i="18" s="1"/>
  <c r="I197" i="18"/>
  <c r="P229" i="18"/>
  <c r="P119" i="7"/>
  <c r="C119" i="7"/>
  <c r="F119" i="7" s="1"/>
  <c r="Q229" i="18" l="1"/>
  <c r="R229" i="18"/>
  <c r="Q119" i="7"/>
  <c r="D155" i="18"/>
  <c r="C232" i="18"/>
  <c r="F232" i="18" s="1"/>
  <c r="I198" i="18"/>
  <c r="P230" i="18"/>
  <c r="C120" i="7"/>
  <c r="F120" i="7" s="1"/>
  <c r="P120" i="7"/>
  <c r="Q120" i="7" l="1"/>
  <c r="Q230" i="18"/>
  <c r="R230" i="18"/>
  <c r="D156" i="18"/>
  <c r="C233" i="18"/>
  <c r="F233" i="18" s="1"/>
  <c r="I199" i="18"/>
  <c r="P231" i="18"/>
  <c r="P121" i="7"/>
  <c r="C121" i="7"/>
  <c r="F121" i="7" s="1"/>
  <c r="R231" i="18" l="1"/>
  <c r="Q231" i="18"/>
  <c r="Q121" i="7"/>
  <c r="D157" i="18"/>
  <c r="C234" i="18"/>
  <c r="F234" i="18" s="1"/>
  <c r="P232" i="18"/>
  <c r="I200" i="18"/>
  <c r="C122" i="7"/>
  <c r="F122" i="7" s="1"/>
  <c r="P122" i="7"/>
  <c r="R232" i="18" l="1"/>
  <c r="Q232" i="18"/>
  <c r="Q122" i="7"/>
  <c r="D158" i="18"/>
  <c r="C235" i="18"/>
  <c r="F235" i="18" s="1"/>
  <c r="I201" i="18"/>
  <c r="P233" i="18"/>
  <c r="P123" i="7"/>
  <c r="C123" i="7"/>
  <c r="F123" i="7" s="1"/>
  <c r="Q233" i="18" l="1"/>
  <c r="R233" i="18"/>
  <c r="Q123" i="7"/>
  <c r="D159" i="18"/>
  <c r="C236" i="18"/>
  <c r="F236" i="18" s="1"/>
  <c r="I202" i="18"/>
  <c r="P234" i="18"/>
  <c r="C124" i="7"/>
  <c r="F124" i="7" s="1"/>
  <c r="P124" i="7"/>
  <c r="Q124" i="7" l="1"/>
  <c r="R234" i="18"/>
  <c r="Q234" i="18"/>
  <c r="D160" i="18"/>
  <c r="C237" i="18"/>
  <c r="F237" i="18" s="1"/>
  <c r="I203" i="18"/>
  <c r="P235" i="18"/>
  <c r="P125" i="7"/>
  <c r="C125" i="7"/>
  <c r="F125" i="7" s="1"/>
  <c r="Q125" i="7" l="1"/>
  <c r="Q235" i="18"/>
  <c r="R235" i="18"/>
  <c r="D161" i="18"/>
  <c r="P236" i="18"/>
  <c r="I204" i="18"/>
  <c r="C238" i="18"/>
  <c r="F238" i="18" s="1"/>
  <c r="C126" i="7"/>
  <c r="F126" i="7" s="1"/>
  <c r="P126" i="7"/>
  <c r="Q236" i="18" l="1"/>
  <c r="R236" i="18"/>
  <c r="Q126" i="7"/>
  <c r="D162" i="18"/>
  <c r="I205" i="18"/>
  <c r="P237" i="18"/>
  <c r="C239" i="18"/>
  <c r="F239" i="18" s="1"/>
  <c r="P127" i="7"/>
  <c r="C127" i="7"/>
  <c r="F127" i="7" s="1"/>
  <c r="R237" i="18" l="1"/>
  <c r="Q237" i="18"/>
  <c r="Q127" i="7"/>
  <c r="D163" i="18"/>
  <c r="C240" i="18"/>
  <c r="F240" i="18" s="1"/>
  <c r="P238" i="18"/>
  <c r="I206" i="18"/>
  <c r="C128" i="7"/>
  <c r="F128" i="7" s="1"/>
  <c r="P128" i="7"/>
  <c r="Q128" i="7" l="1"/>
  <c r="Q238" i="18"/>
  <c r="R238" i="18"/>
  <c r="D164" i="18"/>
  <c r="C241" i="18"/>
  <c r="F241" i="18" s="1"/>
  <c r="I207" i="18"/>
  <c r="P239" i="18"/>
  <c r="P129" i="7"/>
  <c r="C129" i="7"/>
  <c r="F129" i="7" s="1"/>
  <c r="R239" i="18" l="1"/>
  <c r="Q239" i="18"/>
  <c r="D165" i="18"/>
  <c r="C242" i="18"/>
  <c r="F242" i="18" s="1"/>
  <c r="I208" i="18"/>
  <c r="P240" i="18"/>
  <c r="C130" i="7"/>
  <c r="F130" i="7" s="1"/>
  <c r="P130" i="7"/>
  <c r="R240" i="18" l="1"/>
  <c r="Q240" i="18"/>
  <c r="D166" i="18"/>
  <c r="P241" i="18"/>
  <c r="I209" i="18"/>
  <c r="C243" i="18"/>
  <c r="F243" i="18" s="1"/>
  <c r="P131" i="7"/>
  <c r="C131" i="7"/>
  <c r="F131" i="7" s="1"/>
  <c r="R241" i="18" l="1"/>
  <c r="Q241" i="18"/>
  <c r="D167" i="18"/>
  <c r="C244" i="18"/>
  <c r="F244" i="18" s="1"/>
  <c r="I210" i="18"/>
  <c r="P242" i="18"/>
  <c r="C132" i="7"/>
  <c r="F132" i="7" s="1"/>
  <c r="P132" i="7"/>
  <c r="R242" i="18" l="1"/>
  <c r="Q242" i="18"/>
  <c r="D168" i="18"/>
  <c r="I211" i="18"/>
  <c r="C245" i="18"/>
  <c r="F245" i="18" s="1"/>
  <c r="P243" i="18"/>
  <c r="P133" i="7"/>
  <c r="C133" i="7"/>
  <c r="F133" i="7" s="1"/>
  <c r="R243" i="18" l="1"/>
  <c r="Q243" i="18"/>
  <c r="D169" i="18"/>
  <c r="I212" i="18"/>
  <c r="P244" i="18"/>
  <c r="C246" i="18"/>
  <c r="F246" i="18" s="1"/>
  <c r="C134" i="7"/>
  <c r="F134" i="7" s="1"/>
  <c r="P134" i="7"/>
  <c r="Q244" i="18" l="1"/>
  <c r="R244" i="18"/>
  <c r="D170" i="18"/>
  <c r="P245" i="18"/>
  <c r="I213" i="18"/>
  <c r="C247" i="18"/>
  <c r="F247" i="18" s="1"/>
  <c r="P135" i="7"/>
  <c r="C135" i="7"/>
  <c r="F135" i="7" s="1"/>
  <c r="Q245" i="18" l="1"/>
  <c r="R245" i="18"/>
  <c r="D171" i="18"/>
  <c r="C248" i="18"/>
  <c r="F248" i="18" s="1"/>
  <c r="I214" i="18"/>
  <c r="P246" i="18"/>
  <c r="C136" i="7"/>
  <c r="F136" i="7" s="1"/>
  <c r="P136" i="7"/>
  <c r="Q246" i="18" l="1"/>
  <c r="R246" i="18"/>
  <c r="D172" i="18"/>
  <c r="P247" i="18"/>
  <c r="C249" i="18"/>
  <c r="F249" i="18" s="1"/>
  <c r="I215" i="18"/>
  <c r="P137" i="7"/>
  <c r="C137" i="7"/>
  <c r="F137" i="7" s="1"/>
  <c r="R247" i="18" l="1"/>
  <c r="Q247" i="18"/>
  <c r="D173" i="18"/>
  <c r="I216" i="18"/>
  <c r="P248" i="18"/>
  <c r="C250" i="18"/>
  <c r="F250" i="18" s="1"/>
  <c r="C138" i="7"/>
  <c r="F138" i="7" s="1"/>
  <c r="P138" i="7"/>
  <c r="Q248" i="18" l="1"/>
  <c r="R248" i="18"/>
  <c r="D174" i="18"/>
  <c r="I217" i="18"/>
  <c r="C251" i="18"/>
  <c r="F251" i="18" s="1"/>
  <c r="P249" i="18"/>
  <c r="P139" i="7"/>
  <c r="C139" i="7"/>
  <c r="F139" i="7" s="1"/>
  <c r="Q249" i="18" l="1"/>
  <c r="R249" i="18"/>
  <c r="D175" i="18"/>
  <c r="I218" i="18"/>
  <c r="P250" i="18"/>
  <c r="C252" i="18"/>
  <c r="F252" i="18" s="1"/>
  <c r="C140" i="7"/>
  <c r="F140" i="7" s="1"/>
  <c r="P140" i="7"/>
  <c r="R250" i="18" l="1"/>
  <c r="Q250" i="18"/>
  <c r="D176" i="18"/>
  <c r="C253" i="18"/>
  <c r="F253" i="18" s="1"/>
  <c r="P251" i="18"/>
  <c r="I219" i="18"/>
  <c r="P141" i="7"/>
  <c r="C141" i="7"/>
  <c r="F141" i="7" s="1"/>
  <c r="R251" i="18" l="1"/>
  <c r="Q251" i="18"/>
  <c r="D177" i="18"/>
  <c r="P252" i="18"/>
  <c r="C254" i="18"/>
  <c r="F254" i="18" s="1"/>
  <c r="I220" i="18"/>
  <c r="C142" i="7"/>
  <c r="F142" i="7" s="1"/>
  <c r="P142" i="7"/>
  <c r="R252" i="18" l="1"/>
  <c r="Q252" i="18"/>
  <c r="D178" i="18"/>
  <c r="C255" i="18"/>
  <c r="F255" i="18" s="1"/>
  <c r="I221" i="18"/>
  <c r="P253" i="18"/>
  <c r="P143" i="7"/>
  <c r="C143" i="7"/>
  <c r="F143" i="7" s="1"/>
  <c r="R253" i="18" l="1"/>
  <c r="Q253" i="18"/>
  <c r="D179" i="18"/>
  <c r="C256" i="18"/>
  <c r="F256" i="18" s="1"/>
  <c r="I222" i="18"/>
  <c r="P254" i="18"/>
  <c r="C144" i="7"/>
  <c r="F144" i="7" s="1"/>
  <c r="P144" i="7"/>
  <c r="Q254" i="18" l="1"/>
  <c r="R254" i="18"/>
  <c r="D180" i="18"/>
  <c r="C257" i="18"/>
  <c r="F257" i="18" s="1"/>
  <c r="I223" i="18"/>
  <c r="P255" i="18"/>
  <c r="P145" i="7"/>
  <c r="C145" i="7"/>
  <c r="F145" i="7" s="1"/>
  <c r="Q255" i="18" l="1"/>
  <c r="R255" i="18"/>
  <c r="D181" i="18"/>
  <c r="I224" i="18"/>
  <c r="P256" i="18"/>
  <c r="C258" i="18"/>
  <c r="F258" i="18" s="1"/>
  <c r="C146" i="7"/>
  <c r="F146" i="7" s="1"/>
  <c r="P146" i="7"/>
  <c r="Q256" i="18" l="1"/>
  <c r="R256" i="18"/>
  <c r="D182" i="18"/>
  <c r="C259" i="18"/>
  <c r="F259" i="18" s="1"/>
  <c r="P257" i="18"/>
  <c r="I225" i="18"/>
  <c r="P147" i="7"/>
  <c r="C147" i="7"/>
  <c r="F147" i="7" s="1"/>
  <c r="Q257" i="18" l="1"/>
  <c r="R257" i="18"/>
  <c r="D183" i="18"/>
  <c r="I226" i="18"/>
  <c r="P258" i="18"/>
  <c r="C260" i="18"/>
  <c r="F260" i="18" s="1"/>
  <c r="C148" i="7"/>
  <c r="F148" i="7" s="1"/>
  <c r="P148" i="7"/>
  <c r="Q258" i="18" l="1"/>
  <c r="R258" i="18"/>
  <c r="D184" i="18"/>
  <c r="P259" i="18"/>
  <c r="C261" i="18"/>
  <c r="F261" i="18" s="1"/>
  <c r="I227" i="18"/>
  <c r="P149" i="7"/>
  <c r="C149" i="7"/>
  <c r="F149" i="7" s="1"/>
  <c r="R259" i="18" l="1"/>
  <c r="Q259" i="18"/>
  <c r="D185" i="18"/>
  <c r="C262" i="18"/>
  <c r="F262" i="18" s="1"/>
  <c r="I228" i="18"/>
  <c r="P260" i="18"/>
  <c r="C150" i="7"/>
  <c r="F150" i="7" s="1"/>
  <c r="P150" i="7"/>
  <c r="Q150" i="7" l="1"/>
  <c r="R260" i="18"/>
  <c r="Q260" i="18"/>
  <c r="D186" i="18"/>
  <c r="C263" i="18"/>
  <c r="F263" i="18" s="1"/>
  <c r="I229" i="18"/>
  <c r="P261" i="18"/>
  <c r="P151" i="7"/>
  <c r="C151" i="7"/>
  <c r="F151" i="7" s="1"/>
  <c r="Q261" i="18" l="1"/>
  <c r="R261" i="18"/>
  <c r="Q151" i="7"/>
  <c r="D187" i="18"/>
  <c r="P262" i="18"/>
  <c r="I230" i="18"/>
  <c r="C264" i="18"/>
  <c r="F264" i="18" s="1"/>
  <c r="C152" i="7"/>
  <c r="F152" i="7" s="1"/>
  <c r="P152" i="7"/>
  <c r="Q152" i="7" l="1"/>
  <c r="R262" i="18"/>
  <c r="Q262" i="18"/>
  <c r="D188" i="18"/>
  <c r="P263" i="18"/>
  <c r="I231" i="18"/>
  <c r="M15" i="18"/>
  <c r="P153" i="7"/>
  <c r="C153" i="7"/>
  <c r="F153" i="7" s="1"/>
  <c r="R263" i="18" l="1"/>
  <c r="Q263" i="18"/>
  <c r="Q153" i="7"/>
  <c r="D189" i="18"/>
  <c r="P264" i="18"/>
  <c r="I232" i="18"/>
  <c r="C154" i="7"/>
  <c r="F154" i="7" s="1"/>
  <c r="P154" i="7"/>
  <c r="Q154" i="7" l="1"/>
  <c r="Q264" i="18"/>
  <c r="R264" i="18"/>
  <c r="D190" i="18"/>
  <c r="I233" i="18"/>
  <c r="P265" i="18"/>
  <c r="P155" i="7"/>
  <c r="C155" i="7"/>
  <c r="F155" i="7" s="1"/>
  <c r="Q155" i="7" l="1"/>
  <c r="R265" i="18"/>
  <c r="Q265" i="18"/>
  <c r="D191" i="18"/>
  <c r="P266" i="18"/>
  <c r="I234" i="18"/>
  <c r="C156" i="7"/>
  <c r="F156" i="7" s="1"/>
  <c r="P156" i="7"/>
  <c r="Q156" i="7" l="1"/>
  <c r="Q266" i="18"/>
  <c r="R266" i="18"/>
  <c r="I236" i="18" s="1"/>
  <c r="D192" i="18"/>
  <c r="I235" i="18"/>
  <c r="P267" i="18"/>
  <c r="P157" i="7"/>
  <c r="C157" i="7"/>
  <c r="F157" i="7" s="1"/>
  <c r="R267" i="18" l="1"/>
  <c r="I237" i="18" s="1"/>
  <c r="Q267" i="18"/>
  <c r="Q157" i="7"/>
  <c r="D193" i="18"/>
  <c r="P268" i="18"/>
  <c r="C158" i="7"/>
  <c r="F158" i="7" s="1"/>
  <c r="P158" i="7"/>
  <c r="Q158" i="7" l="1"/>
  <c r="Q268" i="18"/>
  <c r="R268" i="18"/>
  <c r="I238" i="18" s="1"/>
  <c r="D194" i="18"/>
  <c r="P269" i="18"/>
  <c r="P159" i="7"/>
  <c r="C159" i="7"/>
  <c r="F159" i="7" s="1"/>
  <c r="Q269" i="18" l="1"/>
  <c r="R269" i="18"/>
  <c r="I239" i="18" s="1"/>
  <c r="Q159" i="7"/>
  <c r="D195" i="18"/>
  <c r="P270" i="18"/>
  <c r="C160" i="7"/>
  <c r="F160" i="7" s="1"/>
  <c r="P160" i="7"/>
  <c r="R270" i="18" l="1"/>
  <c r="I240" i="18" s="1"/>
  <c r="Q270" i="18"/>
  <c r="Q160" i="7"/>
  <c r="D196" i="18"/>
  <c r="P271" i="18"/>
  <c r="P161" i="7"/>
  <c r="C161" i="7"/>
  <c r="F161" i="7" s="1"/>
  <c r="Q161" i="7" l="1"/>
  <c r="Q271" i="18"/>
  <c r="R271" i="18"/>
  <c r="I241" i="18" s="1"/>
  <c r="D197" i="18"/>
  <c r="P272" i="18"/>
  <c r="C162" i="7"/>
  <c r="F162" i="7" s="1"/>
  <c r="P162" i="7"/>
  <c r="R272" i="18" l="1"/>
  <c r="I242" i="18" s="1"/>
  <c r="Q272" i="18"/>
  <c r="Q162" i="7"/>
  <c r="D198" i="18"/>
  <c r="P273" i="18"/>
  <c r="P163" i="7"/>
  <c r="C163" i="7"/>
  <c r="F163" i="7" s="1"/>
  <c r="Q163" i="7" l="1"/>
  <c r="Q273" i="18"/>
  <c r="R273" i="18"/>
  <c r="I243" i="18" s="1"/>
  <c r="D199" i="18"/>
  <c r="P274" i="18"/>
  <c r="C164" i="7"/>
  <c r="F164" i="7" s="1"/>
  <c r="P164" i="7"/>
  <c r="Q164" i="7" l="1"/>
  <c r="Q274" i="18"/>
  <c r="R274" i="18"/>
  <c r="I244" i="18" s="1"/>
  <c r="D200" i="18"/>
  <c r="P275" i="18"/>
  <c r="P165" i="7"/>
  <c r="C165" i="7"/>
  <c r="F165" i="7" s="1"/>
  <c r="Q165" i="7" l="1"/>
  <c r="Q275" i="18"/>
  <c r="R275" i="18"/>
  <c r="I245" i="18" s="1"/>
  <c r="D201" i="18"/>
  <c r="P276" i="18"/>
  <c r="C166" i="7"/>
  <c r="F166" i="7" s="1"/>
  <c r="P166" i="7"/>
  <c r="Q166" i="7" l="1"/>
  <c r="Q276" i="18"/>
  <c r="R276" i="18"/>
  <c r="I246" i="18" s="1"/>
  <c r="D202" i="18"/>
  <c r="P277" i="18"/>
  <c r="P167" i="7"/>
  <c r="C167" i="7"/>
  <c r="F167" i="7" s="1"/>
  <c r="R277" i="18" l="1"/>
  <c r="I247" i="18" s="1"/>
  <c r="Q277" i="18"/>
  <c r="Q167" i="7"/>
  <c r="D203" i="18"/>
  <c r="P278" i="18"/>
  <c r="C168" i="7"/>
  <c r="F168" i="7" s="1"/>
  <c r="P168" i="7"/>
  <c r="Q168" i="7" l="1"/>
  <c r="R278" i="18"/>
  <c r="I248" i="18" s="1"/>
  <c r="Q278" i="18"/>
  <c r="D204" i="18"/>
  <c r="P279" i="18"/>
  <c r="P169" i="7"/>
  <c r="C169" i="7"/>
  <c r="F169" i="7" s="1"/>
  <c r="Q169" i="7" l="1"/>
  <c r="Q279" i="18"/>
  <c r="R279" i="18"/>
  <c r="I249" i="18" s="1"/>
  <c r="D205" i="18"/>
  <c r="P280" i="18"/>
  <c r="C170" i="7"/>
  <c r="F170" i="7" s="1"/>
  <c r="P170" i="7"/>
  <c r="R280" i="18" l="1"/>
  <c r="I250" i="18" s="1"/>
  <c r="Q280" i="18"/>
  <c r="Q170" i="7"/>
  <c r="D206" i="18"/>
  <c r="P281" i="18"/>
  <c r="P171" i="7"/>
  <c r="C171" i="7"/>
  <c r="F171" i="7" s="1"/>
  <c r="Q171" i="7" l="1"/>
  <c r="R281" i="18"/>
  <c r="I251" i="18" s="1"/>
  <c r="Q281" i="18"/>
  <c r="D207" i="18"/>
  <c r="P282" i="18"/>
  <c r="C172" i="7"/>
  <c r="F172" i="7" s="1"/>
  <c r="P172" i="7"/>
  <c r="Q172" i="7" l="1"/>
  <c r="Q282" i="18"/>
  <c r="R282" i="18"/>
  <c r="I252" i="18" s="1"/>
  <c r="D208" i="18"/>
  <c r="P283" i="18"/>
  <c r="P173" i="7"/>
  <c r="C173" i="7"/>
  <c r="F173" i="7" s="1"/>
  <c r="Q173" i="7" l="1"/>
  <c r="R283" i="18"/>
  <c r="I253" i="18" s="1"/>
  <c r="Q283" i="18"/>
  <c r="D209" i="18"/>
  <c r="P284" i="18"/>
  <c r="C174" i="7"/>
  <c r="F174" i="7" s="1"/>
  <c r="P174" i="7"/>
  <c r="Q174" i="7" l="1"/>
  <c r="R284" i="18"/>
  <c r="I254" i="18" s="1"/>
  <c r="Q284" i="18"/>
  <c r="D210" i="18"/>
  <c r="P285" i="18"/>
  <c r="P175" i="7"/>
  <c r="C175" i="7"/>
  <c r="F175" i="7" s="1"/>
  <c r="R285" i="18" l="1"/>
  <c r="I255" i="18" s="1"/>
  <c r="Q285" i="18"/>
  <c r="Q175" i="7"/>
  <c r="D211" i="18"/>
  <c r="P286" i="18"/>
  <c r="C176" i="7"/>
  <c r="F176" i="7" s="1"/>
  <c r="P176" i="7"/>
  <c r="Q176" i="7" l="1"/>
  <c r="Q286" i="18"/>
  <c r="R286" i="18"/>
  <c r="I256" i="18" s="1"/>
  <c r="D212" i="18"/>
  <c r="P287" i="18"/>
  <c r="P177" i="7"/>
  <c r="C177" i="7"/>
  <c r="F177" i="7" s="1"/>
  <c r="Q177" i="7" l="1"/>
  <c r="Q287" i="18"/>
  <c r="R287" i="18"/>
  <c r="I257" i="18" s="1"/>
  <c r="D213" i="18"/>
  <c r="P288" i="18"/>
  <c r="C178" i="7"/>
  <c r="F178" i="7" s="1"/>
  <c r="P178" i="7"/>
  <c r="Q178" i="7" l="1"/>
  <c r="R288" i="18"/>
  <c r="I258" i="18" s="1"/>
  <c r="Q288" i="18"/>
  <c r="D214" i="18"/>
  <c r="P289" i="18"/>
  <c r="P179" i="7"/>
  <c r="C179" i="7"/>
  <c r="F179" i="7" s="1"/>
  <c r="Q289" i="18" l="1"/>
  <c r="R289" i="18"/>
  <c r="I259" i="18" s="1"/>
  <c r="D215" i="18"/>
  <c r="P290" i="18"/>
  <c r="C180" i="7"/>
  <c r="F180" i="7" s="1"/>
  <c r="P180" i="7"/>
  <c r="R290" i="18" l="1"/>
  <c r="I260" i="18" s="1"/>
  <c r="Q290" i="18"/>
  <c r="D216" i="18"/>
  <c r="P291" i="18"/>
  <c r="P181" i="7"/>
  <c r="C181" i="7"/>
  <c r="F181" i="7" s="1"/>
  <c r="R291" i="18" l="1"/>
  <c r="I261" i="18" s="1"/>
  <c r="Q291" i="18"/>
  <c r="D217" i="18"/>
  <c r="P292" i="18"/>
  <c r="C182" i="7"/>
  <c r="F182" i="7" s="1"/>
  <c r="P182" i="7"/>
  <c r="Q292" i="18" l="1"/>
  <c r="R292" i="18"/>
  <c r="I262" i="18" s="1"/>
  <c r="D218" i="18"/>
  <c r="P293" i="18"/>
  <c r="P183" i="7"/>
  <c r="C183" i="7"/>
  <c r="F183" i="7" s="1"/>
  <c r="R293" i="18" l="1"/>
  <c r="I263" i="18" s="1"/>
  <c r="Q293" i="18"/>
  <c r="D219" i="18"/>
  <c r="P294" i="18"/>
  <c r="C184" i="7"/>
  <c r="F184" i="7" s="1"/>
  <c r="P184" i="7"/>
  <c r="R294" i="18" l="1"/>
  <c r="I264" i="18" s="1"/>
  <c r="Q294" i="18"/>
  <c r="D220" i="18"/>
  <c r="P185" i="7"/>
  <c r="C185" i="7"/>
  <c r="F185" i="7" s="1"/>
  <c r="D221" i="18" l="1"/>
  <c r="C186" i="7"/>
  <c r="F186" i="7" s="1"/>
  <c r="P186" i="7"/>
  <c r="D222" i="18" l="1"/>
  <c r="P187" i="7"/>
  <c r="C187" i="7"/>
  <c r="F187" i="7" s="1"/>
  <c r="D223" i="18" l="1"/>
  <c r="C188" i="7"/>
  <c r="F188" i="7" s="1"/>
  <c r="P188" i="7"/>
  <c r="D224" i="18" l="1"/>
  <c r="P189" i="7"/>
  <c r="C189" i="7"/>
  <c r="F189" i="7" s="1"/>
  <c r="D225" i="18" l="1"/>
  <c r="C190" i="7"/>
  <c r="F190" i="7" s="1"/>
  <c r="P190" i="7"/>
  <c r="Q190" i="7" l="1"/>
  <c r="D226" i="18"/>
  <c r="P191" i="7"/>
  <c r="C191" i="7"/>
  <c r="F191" i="7" s="1"/>
  <c r="Q191" i="7" l="1"/>
  <c r="D227" i="18"/>
  <c r="C192" i="7"/>
  <c r="F192" i="7" s="1"/>
  <c r="P192" i="7"/>
  <c r="Q192" i="7" l="1"/>
  <c r="D228" i="18"/>
  <c r="P193" i="7"/>
  <c r="C193" i="7"/>
  <c r="F193" i="7" s="1"/>
  <c r="Q193" i="7" l="1"/>
  <c r="D229" i="18"/>
  <c r="C194" i="7"/>
  <c r="F194" i="7" s="1"/>
  <c r="P194" i="7"/>
  <c r="Q194" i="7" l="1"/>
  <c r="D230" i="18"/>
  <c r="P195" i="7"/>
  <c r="C195" i="7"/>
  <c r="F195" i="7" s="1"/>
  <c r="Q195" i="7" l="1"/>
  <c r="D231" i="18"/>
  <c r="C196" i="7"/>
  <c r="F196" i="7" s="1"/>
  <c r="P196" i="7"/>
  <c r="Q196" i="7" l="1"/>
  <c r="D232" i="18"/>
  <c r="P197" i="7"/>
  <c r="C197" i="7"/>
  <c r="F197" i="7" s="1"/>
  <c r="Q197" i="7" l="1"/>
  <c r="D233" i="18"/>
  <c r="C198" i="7"/>
  <c r="F198" i="7" s="1"/>
  <c r="P198" i="7"/>
  <c r="Q198" i="7" l="1"/>
  <c r="D234" i="18"/>
  <c r="P199" i="7"/>
  <c r="C199" i="7"/>
  <c r="F199" i="7" s="1"/>
  <c r="Q199" i="7" l="1"/>
  <c r="D235" i="18"/>
  <c r="C200" i="7"/>
  <c r="F200" i="7" s="1"/>
  <c r="P200" i="7"/>
  <c r="Q200" i="7" l="1"/>
  <c r="D236" i="18"/>
  <c r="P201" i="7"/>
  <c r="C201" i="7"/>
  <c r="F201" i="7" s="1"/>
  <c r="Q201" i="7" l="1"/>
  <c r="D237" i="18"/>
  <c r="C202" i="7"/>
  <c r="F202" i="7" s="1"/>
  <c r="P202" i="7"/>
  <c r="Q202" i="7" l="1"/>
  <c r="D238" i="18"/>
  <c r="P203" i="7"/>
  <c r="C203" i="7"/>
  <c r="F203" i="7" s="1"/>
  <c r="Q203" i="7" l="1"/>
  <c r="D239" i="18"/>
  <c r="C204" i="7"/>
  <c r="F204" i="7" s="1"/>
  <c r="P204" i="7"/>
  <c r="Q204" i="7" l="1"/>
  <c r="D240" i="18"/>
  <c r="C205" i="7"/>
  <c r="F205" i="7" s="1"/>
  <c r="P205" i="7"/>
  <c r="Q205" i="7" l="1"/>
  <c r="D241" i="18"/>
  <c r="C206" i="7"/>
  <c r="F206" i="7" s="1"/>
  <c r="P206" i="7"/>
  <c r="Q206" i="7" l="1"/>
  <c r="D242" i="18"/>
  <c r="P207" i="7"/>
  <c r="C207" i="7"/>
  <c r="F207" i="7" s="1"/>
  <c r="Q207" i="7" l="1"/>
  <c r="D243" i="18"/>
  <c r="C208" i="7"/>
  <c r="F208" i="7" s="1"/>
  <c r="P208" i="7"/>
  <c r="Q208" i="7" l="1"/>
  <c r="D244" i="18"/>
  <c r="P209" i="7"/>
  <c r="C209" i="7"/>
  <c r="F209" i="7" s="1"/>
  <c r="Q209" i="7" l="1"/>
  <c r="D245" i="18"/>
  <c r="C210" i="7"/>
  <c r="F210" i="7" s="1"/>
  <c r="P210" i="7"/>
  <c r="Q210" i="7" l="1"/>
  <c r="D246" i="18"/>
  <c r="P211" i="7"/>
  <c r="C211" i="7"/>
  <c r="F211" i="7" s="1"/>
  <c r="Q211" i="7" l="1"/>
  <c r="D247" i="18"/>
  <c r="C212" i="7"/>
  <c r="F212" i="7" s="1"/>
  <c r="P212" i="7"/>
  <c r="Q212" i="7" l="1"/>
  <c r="D248" i="18"/>
  <c r="P213" i="7"/>
  <c r="C213" i="7"/>
  <c r="F213" i="7" s="1"/>
  <c r="Q213" i="7" l="1"/>
  <c r="D249" i="18"/>
  <c r="C214" i="7"/>
  <c r="F214" i="7" s="1"/>
  <c r="P214" i="7"/>
  <c r="Q214" i="7" l="1"/>
  <c r="D250" i="18"/>
  <c r="P215" i="7"/>
  <c r="C215" i="7"/>
  <c r="F215" i="7" s="1"/>
  <c r="Q215" i="7" l="1"/>
  <c r="D251" i="18"/>
  <c r="C216" i="7"/>
  <c r="F216" i="7" s="1"/>
  <c r="P216" i="7"/>
  <c r="Q216" i="7" l="1"/>
  <c r="D252" i="18"/>
  <c r="P217" i="7"/>
  <c r="C217" i="7"/>
  <c r="F217" i="7" s="1"/>
  <c r="Q217" i="7" l="1"/>
  <c r="D253" i="18"/>
  <c r="C218" i="7"/>
  <c r="F218" i="7" s="1"/>
  <c r="P218" i="7"/>
  <c r="Q218" i="7" l="1"/>
  <c r="D254" i="18"/>
  <c r="P219" i="7"/>
  <c r="C219" i="7"/>
  <c r="F219" i="7" s="1"/>
  <c r="Q219" i="7" l="1"/>
  <c r="D255" i="18"/>
  <c r="C220" i="7"/>
  <c r="F220" i="7" s="1"/>
  <c r="P220" i="7"/>
  <c r="Q220" i="7" l="1"/>
  <c r="D256" i="18"/>
  <c r="C221" i="7"/>
  <c r="F221" i="7" s="1"/>
  <c r="P221" i="7"/>
  <c r="Q221" i="7" l="1"/>
  <c r="D257" i="18"/>
  <c r="P222" i="7"/>
  <c r="C222" i="7"/>
  <c r="F222" i="7" s="1"/>
  <c r="Q222" i="7" l="1"/>
  <c r="D258" i="18"/>
  <c r="P223" i="7"/>
  <c r="C223" i="7"/>
  <c r="F223" i="7" s="1"/>
  <c r="Q223" i="7" l="1"/>
  <c r="D259" i="18"/>
  <c r="P224" i="7"/>
  <c r="C224" i="7"/>
  <c r="F224" i="7" s="1"/>
  <c r="Q224" i="7" l="1"/>
  <c r="D260" i="18"/>
  <c r="P225" i="7"/>
  <c r="C225" i="7"/>
  <c r="F225" i="7" s="1"/>
  <c r="Q225" i="7" l="1"/>
  <c r="D261" i="18"/>
  <c r="C226" i="7"/>
  <c r="F226" i="7" s="1"/>
  <c r="P226" i="7"/>
  <c r="Q226" i="7" l="1"/>
  <c r="D262" i="18"/>
  <c r="P227" i="7"/>
  <c r="C227" i="7"/>
  <c r="F227" i="7" s="1"/>
  <c r="Q227" i="7" l="1"/>
  <c r="D263" i="18"/>
  <c r="C228" i="7"/>
  <c r="F228" i="7" s="1"/>
  <c r="P228" i="7"/>
  <c r="Q228" i="7" l="1"/>
  <c r="D264" i="18"/>
  <c r="C229" i="7"/>
  <c r="F229" i="7" s="1"/>
  <c r="P229" i="7"/>
  <c r="Q229" i="7" l="1"/>
  <c r="C230" i="7"/>
  <c r="F230" i="7" s="1"/>
  <c r="P230" i="7"/>
  <c r="Q230" i="7" l="1"/>
  <c r="P231" i="7"/>
  <c r="C231" i="7"/>
  <c r="F231" i="7" s="1"/>
  <c r="Q231" i="7" l="1"/>
  <c r="C232" i="7"/>
  <c r="F232" i="7" s="1"/>
  <c r="P232" i="7"/>
  <c r="Q232" i="7" l="1"/>
  <c r="C233" i="7"/>
  <c r="F233" i="7" s="1"/>
  <c r="P233" i="7"/>
  <c r="Q233" i="7" l="1"/>
  <c r="C234" i="7"/>
  <c r="F234" i="7" s="1"/>
  <c r="P234" i="7"/>
  <c r="Q234" i="7" l="1"/>
  <c r="C235" i="7"/>
  <c r="F235" i="7" s="1"/>
  <c r="P235" i="7"/>
  <c r="Q235" i="7" l="1"/>
  <c r="C236" i="7"/>
  <c r="F236" i="7" s="1"/>
  <c r="P236" i="7"/>
  <c r="Q236" i="7" l="1"/>
  <c r="P237" i="7"/>
  <c r="C237" i="7"/>
  <c r="F237" i="7" s="1"/>
  <c r="Q237" i="7" l="1"/>
  <c r="C238" i="7"/>
  <c r="F238" i="7" s="1"/>
  <c r="P238" i="7"/>
  <c r="Q238" i="7" l="1"/>
  <c r="P239" i="7"/>
  <c r="C239" i="7"/>
  <c r="F239" i="7" s="1"/>
  <c r="P240" i="7" l="1"/>
  <c r="C240" i="7"/>
  <c r="F240" i="7" s="1"/>
  <c r="P241" i="7" l="1"/>
  <c r="C241" i="7"/>
  <c r="F241" i="7" s="1"/>
  <c r="P242" i="7" l="1"/>
  <c r="C242" i="7"/>
  <c r="F242" i="7" s="1"/>
  <c r="C243" i="7" l="1"/>
  <c r="F243" i="7" s="1"/>
  <c r="P243" i="7"/>
  <c r="P244" i="7" l="1"/>
  <c r="C244" i="7"/>
  <c r="F244" i="7" s="1"/>
  <c r="C245" i="7" l="1"/>
  <c r="F245" i="7" s="1"/>
  <c r="P245" i="7"/>
  <c r="C246" i="7" l="1"/>
  <c r="F246" i="7" s="1"/>
  <c r="P246" i="7"/>
  <c r="P247" i="7" l="1"/>
  <c r="C247" i="7"/>
  <c r="F247" i="7" s="1"/>
  <c r="P248" i="7" l="1"/>
  <c r="C248" i="7"/>
  <c r="F248" i="7" s="1"/>
  <c r="C249" i="7" l="1"/>
  <c r="F249" i="7" s="1"/>
  <c r="P249" i="7"/>
  <c r="Q249" i="7" l="1"/>
  <c r="P250" i="7"/>
  <c r="C250" i="7"/>
  <c r="F250" i="7" s="1"/>
  <c r="Q250" i="7" l="1"/>
  <c r="C251" i="7"/>
  <c r="F251" i="7" s="1"/>
  <c r="P251" i="7"/>
  <c r="Q251" i="7" l="1"/>
  <c r="P252" i="7"/>
  <c r="C252" i="7"/>
  <c r="F252" i="7" s="1"/>
  <c r="Q252" i="7" l="1"/>
  <c r="C253" i="7"/>
  <c r="F253" i="7" s="1"/>
  <c r="P253" i="7"/>
  <c r="Q253" i="7" l="1"/>
  <c r="P254" i="7"/>
  <c r="C254" i="7"/>
  <c r="F254" i="7" s="1"/>
  <c r="Q254" i="7" l="1"/>
  <c r="C255" i="7"/>
  <c r="F255" i="7" s="1"/>
  <c r="P255" i="7"/>
  <c r="Q255" i="7" l="1"/>
  <c r="C256" i="7"/>
  <c r="F256" i="7" s="1"/>
  <c r="P256" i="7"/>
  <c r="Q256" i="7" l="1"/>
  <c r="C257" i="7"/>
  <c r="F257" i="7" s="1"/>
  <c r="P257" i="7"/>
  <c r="Q257" i="7" l="1"/>
  <c r="C258" i="7"/>
  <c r="F258" i="7" s="1"/>
  <c r="P258" i="7"/>
  <c r="Q258" i="7" l="1"/>
  <c r="C259" i="7"/>
  <c r="F259" i="7" s="1"/>
  <c r="P259" i="7"/>
  <c r="Q259" i="7" l="1"/>
  <c r="C260" i="7"/>
  <c r="F260" i="7" s="1"/>
  <c r="P260" i="7"/>
  <c r="Q260" i="7" l="1"/>
  <c r="P261" i="7"/>
  <c r="C261" i="7"/>
  <c r="F261" i="7" s="1"/>
  <c r="Q261" i="7" l="1"/>
  <c r="P262" i="7"/>
  <c r="C262" i="7"/>
  <c r="F262" i="7" s="1"/>
  <c r="Q262" i="7" l="1"/>
  <c r="P263" i="7"/>
  <c r="C263" i="7"/>
  <c r="F263" i="7" s="1"/>
  <c r="Q263" i="7" l="1"/>
  <c r="P264" i="7"/>
  <c r="C264" i="7"/>
  <c r="F264" i="7" s="1"/>
  <c r="M15" i="7" l="1"/>
  <c r="C265" i="7"/>
  <c r="F265" i="7" s="1"/>
  <c r="Q264" i="7"/>
  <c r="P265" i="7"/>
  <c r="C266" i="7" l="1"/>
  <c r="F266" i="7" s="1"/>
  <c r="Q265" i="7"/>
  <c r="P266" i="7"/>
  <c r="C267" i="7" l="1"/>
  <c r="F267" i="7" s="1"/>
  <c r="Q266" i="7"/>
  <c r="P267" i="7"/>
  <c r="C268" i="7" l="1"/>
  <c r="F268" i="7" s="1"/>
  <c r="Q267" i="7"/>
  <c r="P268" i="7"/>
  <c r="D23" i="7"/>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Q268" i="7" l="1"/>
  <c r="P269" i="7"/>
  <c r="Q269" i="7" l="1"/>
  <c r="P270" i="7"/>
  <c r="Q270" i="7" l="1"/>
  <c r="P271" i="7"/>
  <c r="Q271" i="7" l="1"/>
  <c r="P272" i="7"/>
  <c r="Q272" i="7" l="1"/>
  <c r="P273" i="7"/>
  <c r="Q273" i="7" l="1"/>
  <c r="P274" i="7"/>
  <c r="Q274" i="7" l="1"/>
  <c r="P275" i="7"/>
  <c r="Q275" i="7" l="1"/>
  <c r="P276" i="7"/>
  <c r="Q276" i="7" l="1"/>
  <c r="P277" i="7"/>
  <c r="Q277" i="7" l="1"/>
  <c r="P278" i="7"/>
  <c r="Q278" i="7" l="1"/>
  <c r="P279" i="7"/>
  <c r="Q279" i="7" l="1"/>
  <c r="P280" i="7"/>
  <c r="Q280" i="7" l="1"/>
  <c r="P281" i="7"/>
  <c r="Q281" i="7" l="1"/>
  <c r="P282" i="7"/>
  <c r="Q282" i="7" l="1"/>
  <c r="P283" i="7"/>
  <c r="Q283" i="7" l="1"/>
  <c r="P284" i="7"/>
  <c r="Q284" i="7" l="1"/>
  <c r="P285" i="7"/>
  <c r="Q285" i="7" l="1"/>
  <c r="P286" i="7"/>
  <c r="Q286" i="7" l="1"/>
  <c r="P287" i="7"/>
  <c r="Q287" i="7" l="1"/>
  <c r="P288" i="7"/>
  <c r="Q288" i="7" l="1"/>
  <c r="P289" i="7"/>
  <c r="Q289" i="7" l="1"/>
  <c r="P290" i="7"/>
  <c r="Q290" i="7" l="1"/>
  <c r="P291" i="7"/>
  <c r="Q291" i="7" l="1"/>
  <c r="P292" i="7"/>
  <c r="Q292" i="7" l="1"/>
  <c r="P293" i="7"/>
  <c r="Q293" i="7" l="1"/>
  <c r="P294" i="7"/>
  <c r="Q294" i="7" l="1"/>
  <c r="M37" i="8" l="1"/>
  <c r="L58" i="8"/>
  <c r="M58" i="8"/>
  <c r="T58" i="8"/>
  <c r="Z58" i="8"/>
  <c r="AC58" i="8"/>
  <c r="L8" i="8"/>
  <c r="K8" i="8" s="1"/>
  <c r="X58" i="16"/>
  <c r="Y58" i="16"/>
  <c r="AB58" i="16"/>
  <c r="AD58" i="16"/>
  <c r="AP58" i="16"/>
  <c r="Z58" i="13"/>
  <c r="AC58" i="13"/>
  <c r="AN58" i="13"/>
  <c r="Y58" i="15"/>
  <c r="Z58" i="15"/>
  <c r="AA58" i="15"/>
  <c r="AB58" i="15"/>
  <c r="AC58" i="15"/>
  <c r="AO58" i="15"/>
  <c r="M58" i="12"/>
  <c r="N58" i="12"/>
  <c r="U58" i="12"/>
  <c r="AA58" i="12"/>
  <c r="AD58" i="12"/>
  <c r="AO58" i="12"/>
  <c r="AP58" i="12"/>
  <c r="AB58" i="14"/>
  <c r="AC58" i="14"/>
  <c r="AL58" i="14"/>
  <c r="M58" i="19"/>
  <c r="N58" i="19"/>
  <c r="O58" i="19"/>
  <c r="S58" i="19"/>
  <c r="X58" i="19"/>
  <c r="Y58" i="19"/>
  <c r="Z58" i="19"/>
  <c r="AA58" i="19"/>
  <c r="AC58" i="19"/>
  <c r="AD58" i="19"/>
  <c r="AH58" i="19"/>
  <c r="AL58" i="19"/>
  <c r="U58" i="11"/>
  <c r="AA58" i="11"/>
  <c r="AP58" i="11"/>
  <c r="Z58" i="10"/>
  <c r="AA58" i="10"/>
  <c r="AH58" i="10"/>
  <c r="BB58" i="12"/>
  <c r="AV58" i="12"/>
  <c r="AY58" i="16"/>
  <c r="BG58" i="14"/>
  <c r="AW58" i="8"/>
  <c r="AW58" i="14"/>
  <c r="BF58" i="11"/>
  <c r="BJ58" i="15"/>
  <c r="AV58" i="10"/>
  <c r="BD58" i="14"/>
  <c r="BI58" i="12"/>
  <c r="BA58" i="8"/>
  <c r="BK58" i="15"/>
  <c r="AS58" i="14"/>
  <c r="BA58" i="14"/>
  <c r="BF58" i="12"/>
  <c r="BI58" i="10"/>
  <c r="AZ58" i="11"/>
  <c r="BD58" i="15"/>
  <c r="BK58" i="19"/>
  <c r="BB58" i="10"/>
  <c r="BE58" i="19"/>
  <c r="AX58" i="14"/>
  <c r="BC58" i="12"/>
  <c r="BJ58" i="19"/>
  <c r="BF58" i="13"/>
  <c r="AS58" i="16"/>
  <c r="BA58" i="15"/>
  <c r="BI58" i="19"/>
  <c r="AY58" i="19"/>
  <c r="AR58" i="19"/>
  <c r="AZ58" i="10"/>
  <c r="S108" i="1"/>
  <c r="T108" i="1" s="1"/>
  <c r="S100" i="1"/>
  <c r="T100" i="1" s="1"/>
  <c r="S107" i="1"/>
  <c r="S103" i="1"/>
  <c r="S101" i="1"/>
  <c r="T101" i="1" s="1"/>
  <c r="S102" i="1"/>
  <c r="S97" i="1"/>
  <c r="T97" i="1" s="1"/>
  <c r="S99" i="1"/>
  <c r="T99" i="1" s="1"/>
  <c r="S109" i="1"/>
  <c r="T109" i="1" s="1"/>
  <c r="S98" i="1"/>
  <c r="S105" i="1"/>
  <c r="V105" i="1" s="1"/>
  <c r="AC105" i="1" s="1"/>
  <c r="S106" i="1"/>
  <c r="T106" i="1" s="1"/>
  <c r="S104" i="1"/>
  <c r="T104" i="1" s="1"/>
  <c r="S126" i="1"/>
  <c r="T126" i="1" s="1"/>
  <c r="S96" i="1"/>
  <c r="Q34" i="10" s="1"/>
  <c r="S151" i="1"/>
  <c r="V151" i="1" s="1"/>
  <c r="S139" i="1"/>
  <c r="S127" i="1"/>
  <c r="T127" i="1" s="1"/>
  <c r="S114" i="1"/>
  <c r="S150" i="1"/>
  <c r="V150" i="1" s="1"/>
  <c r="S125" i="1"/>
  <c r="S113" i="1"/>
  <c r="T113" i="1" s="1"/>
  <c r="S143" i="1"/>
  <c r="S118" i="1"/>
  <c r="T118" i="1" s="1"/>
  <c r="S138" i="1"/>
  <c r="V138" i="1" s="1"/>
  <c r="S132" i="1"/>
  <c r="S142" i="1"/>
  <c r="V142" i="1" s="1"/>
  <c r="S149" i="1"/>
  <c r="S137" i="1"/>
  <c r="V137" i="1" s="1"/>
  <c r="S124" i="1"/>
  <c r="T124" i="1" s="1"/>
  <c r="S112" i="1"/>
  <c r="V112" i="1" s="1"/>
  <c r="S144" i="1"/>
  <c r="S131" i="1"/>
  <c r="T131" i="1" s="1"/>
  <c r="S148" i="1"/>
  <c r="T148" i="1" s="1"/>
  <c r="S136" i="1"/>
  <c r="S123" i="1"/>
  <c r="V123" i="1" s="1"/>
  <c r="X123" i="1" s="1"/>
  <c r="S111" i="1"/>
  <c r="S147" i="1"/>
  <c r="T147" i="1" s="1"/>
  <c r="S122" i="1"/>
  <c r="S110" i="1"/>
  <c r="T110" i="1" s="1"/>
  <c r="S134" i="1"/>
  <c r="S95" i="1"/>
  <c r="S117" i="1"/>
  <c r="S135" i="1"/>
  <c r="V135" i="1" s="1"/>
  <c r="S146" i="1"/>
  <c r="S121" i="1"/>
  <c r="V121" i="1" s="1"/>
  <c r="S152" i="1"/>
  <c r="S119" i="1"/>
  <c r="T119" i="1" s="1"/>
  <c r="S145" i="1"/>
  <c r="S133" i="1"/>
  <c r="V133" i="1" s="1"/>
  <c r="S120" i="1"/>
  <c r="V120" i="1" s="1"/>
  <c r="AB120" i="1" s="1"/>
  <c r="S94" i="1"/>
  <c r="BD34" i="10" s="1"/>
  <c r="S130" i="1"/>
  <c r="V130" i="1" s="1"/>
  <c r="S93" i="1"/>
  <c r="S140" i="1"/>
  <c r="V140" i="1" s="1"/>
  <c r="S128" i="1"/>
  <c r="V128" i="1" s="1"/>
  <c r="AE128" i="1" s="1"/>
  <c r="S154" i="1"/>
  <c r="V154" i="1" s="1"/>
  <c r="S153" i="1"/>
  <c r="V153" i="1" s="1"/>
  <c r="S141" i="1"/>
  <c r="T141" i="1" s="1"/>
  <c r="S129" i="1"/>
  <c r="V129" i="1" s="1"/>
  <c r="S116" i="1"/>
  <c r="T116" i="1" s="1"/>
  <c r="S115" i="1"/>
  <c r="V115" i="1" s="1"/>
  <c r="AH638" i="1"/>
  <c r="S92" i="1"/>
  <c r="AG5" i="1"/>
  <c r="S91" i="1"/>
  <c r="BF9" i="10" s="1"/>
  <c r="AG610" i="1" l="1"/>
  <c r="AH610" i="1" s="1"/>
  <c r="AG618" i="1"/>
  <c r="AH618" i="1" s="1"/>
  <c r="AG599" i="1"/>
  <c r="AH599" i="1" s="1"/>
  <c r="AG606" i="1"/>
  <c r="AH606" i="1" s="1"/>
  <c r="AG620" i="1"/>
  <c r="AH620" i="1" s="1"/>
  <c r="AG605" i="1"/>
  <c r="AH605" i="1" s="1"/>
  <c r="AG615" i="1"/>
  <c r="AH615" i="1" s="1"/>
  <c r="AG600" i="1"/>
  <c r="AH600" i="1" s="1"/>
  <c r="AG612" i="1"/>
  <c r="AH612" i="1" s="1"/>
  <c r="AG604" i="1"/>
  <c r="AH604" i="1" s="1"/>
  <c r="AG609" i="1"/>
  <c r="AH609" i="1" s="1"/>
  <c r="AG619" i="1"/>
  <c r="AH619" i="1" s="1"/>
  <c r="AG611" i="1"/>
  <c r="AH611" i="1" s="1"/>
  <c r="AG613" i="1"/>
  <c r="AH613" i="1" s="1"/>
  <c r="AG602" i="1"/>
  <c r="AH602" i="1" s="1"/>
  <c r="AG608" i="1"/>
  <c r="AH608" i="1" s="1"/>
  <c r="AG603" i="1"/>
  <c r="AH603" i="1" s="1"/>
  <c r="AG607" i="1"/>
  <c r="AH607" i="1" s="1"/>
  <c r="AG598" i="1"/>
  <c r="AH598" i="1" s="1"/>
  <c r="AG614" i="1"/>
  <c r="AH614" i="1" s="1"/>
  <c r="AG616" i="1"/>
  <c r="AH616" i="1" s="1"/>
  <c r="AG597" i="1"/>
  <c r="AH597" i="1" s="1"/>
  <c r="AG617" i="1"/>
  <c r="AH617" i="1" s="1"/>
  <c r="AG601" i="1"/>
  <c r="AH601" i="1" s="1"/>
  <c r="M9" i="16"/>
  <c r="M9" i="13"/>
  <c r="M9" i="19"/>
  <c r="Q110" i="18"/>
  <c r="Q74" i="18"/>
  <c r="M9" i="11"/>
  <c r="BI34" i="16"/>
  <c r="BI61" i="12"/>
  <c r="BI63" i="13"/>
  <c r="BI38" i="14"/>
  <c r="BI33" i="15"/>
  <c r="Q139" i="18"/>
  <c r="M14" i="10"/>
  <c r="Q132" i="18"/>
  <c r="Q86" i="18"/>
  <c r="Q100" i="18"/>
  <c r="BI56" i="15"/>
  <c r="BI40" i="12"/>
  <c r="BI41" i="12"/>
  <c r="BI29" i="16"/>
  <c r="BI62" i="12"/>
  <c r="BI43" i="13"/>
  <c r="BI28" i="14"/>
  <c r="BI54" i="16"/>
  <c r="BI44" i="13"/>
  <c r="BI39" i="15"/>
  <c r="BI43" i="15"/>
  <c r="BI59" i="13"/>
  <c r="BI59" i="14"/>
  <c r="BI61" i="16"/>
  <c r="BI27" i="12"/>
  <c r="BI56" i="14"/>
  <c r="BI37" i="16"/>
  <c r="BI64" i="15"/>
  <c r="BI64" i="16"/>
  <c r="BI39" i="16"/>
  <c r="BI31" i="15"/>
  <c r="BI60" i="16"/>
  <c r="BI34" i="12"/>
  <c r="BI61" i="15"/>
  <c r="BI41" i="15"/>
  <c r="BI26" i="16"/>
  <c r="BI40" i="14"/>
  <c r="BI45" i="12"/>
  <c r="BI33" i="11"/>
  <c r="BI42" i="14"/>
  <c r="BI38" i="13"/>
  <c r="BI55" i="13"/>
  <c r="BI25" i="12"/>
  <c r="BI28" i="13"/>
  <c r="BI53" i="11"/>
  <c r="BI39" i="11"/>
  <c r="BI27" i="11"/>
  <c r="BI44" i="11"/>
  <c r="BI32" i="14"/>
  <c r="BI55" i="14"/>
  <c r="BI26" i="14"/>
  <c r="BI36" i="12"/>
  <c r="BI54" i="12"/>
  <c r="BI45" i="16"/>
  <c r="BI54" i="14"/>
  <c r="BI30" i="15"/>
  <c r="BI57" i="13"/>
  <c r="BI44" i="12"/>
  <c r="BI35" i="12"/>
  <c r="BI39" i="14"/>
  <c r="BI60" i="15"/>
  <c r="BI64" i="12"/>
  <c r="BI33" i="12"/>
  <c r="BI40" i="13"/>
  <c r="BI53" i="14"/>
  <c r="BI26" i="12"/>
  <c r="BI63" i="15"/>
  <c r="BI64" i="13"/>
  <c r="BI34" i="15"/>
  <c r="BI25" i="15"/>
  <c r="BI32" i="15"/>
  <c r="BI54" i="13"/>
  <c r="BI37" i="14"/>
  <c r="BI34" i="11"/>
  <c r="BI41" i="14"/>
  <c r="BI30" i="14"/>
  <c r="BI63" i="12"/>
  <c r="BI37" i="15"/>
  <c r="BI60" i="12"/>
  <c r="BI45" i="11"/>
  <c r="BI61" i="14"/>
  <c r="L4" i="19"/>
  <c r="L17" i="11"/>
  <c r="Q36" i="8"/>
  <c r="Q44" i="10"/>
  <c r="Q57" i="10"/>
  <c r="Q53" i="16"/>
  <c r="L6" i="16"/>
  <c r="L11" i="12"/>
  <c r="L16" i="14"/>
  <c r="L18" i="14"/>
  <c r="Q43" i="10"/>
  <c r="Q31" i="8"/>
  <c r="Q29" i="10"/>
  <c r="Q26" i="19"/>
  <c r="Q41" i="11"/>
  <c r="Q35" i="13"/>
  <c r="L17" i="13"/>
  <c r="L24" i="16"/>
  <c r="Q58" i="10"/>
  <c r="Q27" i="10"/>
  <c r="Q37" i="10"/>
  <c r="Q37" i="13"/>
  <c r="Q34" i="14"/>
  <c r="Q59" i="19"/>
  <c r="L22" i="14"/>
  <c r="Q56" i="10"/>
  <c r="Q58" i="8"/>
  <c r="Q39" i="10"/>
  <c r="Q42" i="10"/>
  <c r="Q64" i="13"/>
  <c r="L15" i="19"/>
  <c r="Q58" i="19"/>
  <c r="Q58" i="16"/>
  <c r="Q40" i="10"/>
  <c r="Q34" i="8"/>
  <c r="Q35" i="15"/>
  <c r="L22" i="19"/>
  <c r="Q61" i="10"/>
  <c r="Q63" i="8"/>
  <c r="Q60" i="8"/>
  <c r="Q32" i="8"/>
  <c r="Q29" i="11"/>
  <c r="L23" i="15"/>
  <c r="Q54" i="8"/>
  <c r="Q36" i="10"/>
  <c r="Q54" i="10"/>
  <c r="Q58" i="13"/>
  <c r="Q37" i="16"/>
  <c r="Q27" i="14"/>
  <c r="L12" i="8"/>
  <c r="Q39" i="8"/>
  <c r="Q25" i="8"/>
  <c r="Q64" i="10"/>
  <c r="Q58" i="11"/>
  <c r="Q39" i="13"/>
  <c r="Q61" i="12"/>
  <c r="L24" i="15"/>
  <c r="L18" i="12"/>
  <c r="L16" i="8"/>
  <c r="L17" i="10"/>
  <c r="L10" i="16"/>
  <c r="L9" i="13"/>
  <c r="L11" i="19"/>
  <c r="Q33" i="8"/>
  <c r="Q45" i="8"/>
  <c r="Q53" i="8"/>
  <c r="Q40" i="8"/>
  <c r="L10" i="15"/>
  <c r="L18" i="19"/>
  <c r="L12" i="13"/>
  <c r="L8" i="12"/>
  <c r="L10" i="14"/>
  <c r="L14" i="11"/>
  <c r="L6" i="12"/>
  <c r="L4" i="14"/>
  <c r="Q38" i="10"/>
  <c r="Q52" i="10"/>
  <c r="Q41" i="10"/>
  <c r="L7" i="16"/>
  <c r="L11" i="11"/>
  <c r="L6" i="15"/>
  <c r="L8" i="11"/>
  <c r="L14" i="14"/>
  <c r="Q59" i="8"/>
  <c r="Q62" i="8"/>
  <c r="Q33" i="10"/>
  <c r="L13" i="13"/>
  <c r="L10" i="12"/>
  <c r="L24" i="11"/>
  <c r="L17" i="15"/>
  <c r="Q62" i="10"/>
  <c r="Q64" i="8"/>
  <c r="Q38" i="8"/>
  <c r="Q57" i="8"/>
  <c r="Q61" i="8"/>
  <c r="L4" i="16"/>
  <c r="L17" i="8"/>
  <c r="L22" i="8"/>
  <c r="L12" i="12"/>
  <c r="L9" i="11"/>
  <c r="L9" i="10"/>
  <c r="L14" i="19"/>
  <c r="L6" i="11"/>
  <c r="L23" i="14"/>
  <c r="L24" i="14"/>
  <c r="Q58" i="14"/>
  <c r="Q56" i="8"/>
  <c r="Q41" i="8"/>
  <c r="Q30" i="8"/>
  <c r="Q58" i="12"/>
  <c r="L4" i="13"/>
  <c r="L7" i="15"/>
  <c r="L9" i="19"/>
  <c r="L16" i="13"/>
  <c r="Q60" i="10"/>
  <c r="Q26" i="10"/>
  <c r="Q29" i="8"/>
  <c r="Q30" i="10"/>
  <c r="AH621" i="1"/>
  <c r="AG270" i="1"/>
  <c r="AH270" i="1" s="1"/>
  <c r="BI53" i="13"/>
  <c r="BI26" i="15"/>
  <c r="BI61" i="11"/>
  <c r="BI41" i="13"/>
  <c r="BI45" i="14"/>
  <c r="BI37" i="12"/>
  <c r="BI60" i="14"/>
  <c r="BI35" i="13"/>
  <c r="BI30" i="16"/>
  <c r="BI44" i="15"/>
  <c r="BI59" i="12"/>
  <c r="BI35" i="16"/>
  <c r="BI42" i="12"/>
  <c r="BI43" i="16"/>
  <c r="BI28" i="12"/>
  <c r="BI25" i="16"/>
  <c r="BI38" i="15"/>
  <c r="BI57" i="14"/>
  <c r="BI44" i="16"/>
  <c r="BI52" i="12"/>
  <c r="BI44" i="14"/>
  <c r="BI41" i="11"/>
  <c r="AE20" i="16"/>
  <c r="BI35" i="15"/>
  <c r="BI62" i="11"/>
  <c r="BI36" i="14"/>
  <c r="BI29" i="15"/>
  <c r="BI31" i="13"/>
  <c r="BI59" i="15"/>
  <c r="BI64" i="11"/>
  <c r="BI32" i="13"/>
  <c r="BI35" i="11"/>
  <c r="BI36" i="16"/>
  <c r="BI42" i="16"/>
  <c r="BI32" i="16"/>
  <c r="BI32" i="12"/>
  <c r="BI25" i="11"/>
  <c r="BI41" i="16"/>
  <c r="BI27" i="16"/>
  <c r="BI62" i="14"/>
  <c r="BI35" i="14"/>
  <c r="BI57" i="12"/>
  <c r="BI27" i="15"/>
  <c r="BI57" i="16"/>
  <c r="BI55" i="12"/>
  <c r="BI62" i="15"/>
  <c r="BI52" i="14"/>
  <c r="BI33" i="13"/>
  <c r="BI36" i="15"/>
  <c r="BI61" i="13"/>
  <c r="BI43" i="12"/>
  <c r="BI43" i="14"/>
  <c r="BI59" i="16"/>
  <c r="BI26" i="13"/>
  <c r="BI38" i="12"/>
  <c r="BI30" i="12"/>
  <c r="BI28" i="15"/>
  <c r="BI56" i="11"/>
  <c r="AE50" i="15"/>
  <c r="BI52" i="11"/>
  <c r="BI36" i="13"/>
  <c r="BI25" i="13"/>
  <c r="BI56" i="16"/>
  <c r="BI45" i="15"/>
  <c r="BI52" i="16"/>
  <c r="BI42" i="15"/>
  <c r="Y47" i="14"/>
  <c r="BI40" i="11"/>
  <c r="BI56" i="12"/>
  <c r="BI62" i="13"/>
  <c r="BI31" i="14"/>
  <c r="BI54" i="15"/>
  <c r="BI38" i="11"/>
  <c r="BI37" i="13"/>
  <c r="AC48" i="15"/>
  <c r="BI57" i="11"/>
  <c r="BI31" i="12"/>
  <c r="BI55" i="16"/>
  <c r="BI55" i="15"/>
  <c r="BI45" i="13"/>
  <c r="BI59" i="11"/>
  <c r="BI38" i="16"/>
  <c r="X47" i="14"/>
  <c r="AE50" i="16"/>
  <c r="BI28" i="11"/>
  <c r="BI42" i="11"/>
  <c r="BI29" i="14"/>
  <c r="BI27" i="14"/>
  <c r="BI56" i="13"/>
  <c r="U63" i="16"/>
  <c r="AF51" i="15"/>
  <c r="AE19" i="16"/>
  <c r="AE46" i="14"/>
  <c r="BI55" i="11"/>
  <c r="BI60" i="11"/>
  <c r="BI39" i="12"/>
  <c r="BI30" i="13"/>
  <c r="BI53" i="15"/>
  <c r="AE47" i="11"/>
  <c r="AF19" i="16"/>
  <c r="BI63" i="11"/>
  <c r="BI42" i="13"/>
  <c r="BI40" i="15"/>
  <c r="BI64" i="14"/>
  <c r="BI29" i="13"/>
  <c r="AF20" i="16"/>
  <c r="AE48" i="16"/>
  <c r="BI62" i="16"/>
  <c r="BI52" i="13"/>
  <c r="BI63" i="14"/>
  <c r="BI29" i="12"/>
  <c r="BI39" i="13"/>
  <c r="AF50" i="11"/>
  <c r="AE21" i="14"/>
  <c r="BI34" i="14"/>
  <c r="BI28" i="16"/>
  <c r="BI33" i="14"/>
  <c r="BI63" i="16"/>
  <c r="BI53" i="16"/>
  <c r="BI27" i="13"/>
  <c r="AD47" i="16"/>
  <c r="AF47" i="11"/>
  <c r="BI60" i="13"/>
  <c r="BI25" i="14"/>
  <c r="BI52" i="15"/>
  <c r="BI53" i="12"/>
  <c r="AB46" i="14"/>
  <c r="AE46" i="13"/>
  <c r="Y19" i="15"/>
  <c r="Z19" i="15"/>
  <c r="AE21" i="15"/>
  <c r="AD49" i="13"/>
  <c r="AB20" i="13"/>
  <c r="BI43" i="11"/>
  <c r="BI37" i="11"/>
  <c r="BI33" i="16"/>
  <c r="Z20" i="16"/>
  <c r="AF47" i="14"/>
  <c r="AE49" i="15"/>
  <c r="AB20" i="14"/>
  <c r="AC46" i="15"/>
  <c r="BI36" i="11"/>
  <c r="BI26" i="11"/>
  <c r="BI40" i="16"/>
  <c r="AE46" i="16"/>
  <c r="AC49" i="15"/>
  <c r="AF50" i="15"/>
  <c r="AF50" i="16"/>
  <c r="AC50" i="15"/>
  <c r="AF47" i="15"/>
  <c r="AF19" i="11"/>
  <c r="BI54" i="11"/>
  <c r="BI34" i="13"/>
  <c r="Z20" i="11"/>
  <c r="AF51" i="11"/>
  <c r="AE46" i="15"/>
  <c r="AD21" i="14"/>
  <c r="AF46" i="13"/>
  <c r="AF21" i="15"/>
  <c r="BI32" i="11"/>
  <c r="BI31" i="16"/>
  <c r="Z46" i="15"/>
  <c r="AE47" i="15"/>
  <c r="AF19" i="14"/>
  <c r="AF48" i="14"/>
  <c r="AB46" i="15"/>
  <c r="AD51" i="16"/>
  <c r="AC48" i="16"/>
  <c r="AD48" i="16"/>
  <c r="AC20" i="16"/>
  <c r="AC50" i="14"/>
  <c r="AD48" i="13"/>
  <c r="AF49" i="11"/>
  <c r="BI31" i="11"/>
  <c r="AD20" i="13"/>
  <c r="AD46" i="16"/>
  <c r="AE51" i="13"/>
  <c r="AF20" i="15"/>
  <c r="AE46" i="11"/>
  <c r="AC21" i="13"/>
  <c r="AC46" i="16"/>
  <c r="BI29" i="11"/>
  <c r="BI30" i="11"/>
  <c r="BI57" i="15"/>
  <c r="AE49" i="16"/>
  <c r="AE48" i="13"/>
  <c r="AD20" i="16"/>
  <c r="AD21" i="16"/>
  <c r="AE50" i="11"/>
  <c r="AD49" i="15"/>
  <c r="Z19" i="13"/>
  <c r="AC21" i="16"/>
  <c r="AF21" i="14"/>
  <c r="AA47" i="15"/>
  <c r="AF46" i="14"/>
  <c r="AF19" i="15"/>
  <c r="AE20" i="11"/>
  <c r="AE48" i="11"/>
  <c r="AB50" i="11"/>
  <c r="AF51" i="14"/>
  <c r="AF20" i="13"/>
  <c r="AE47" i="13"/>
  <c r="AF19" i="13"/>
  <c r="AE19" i="13"/>
  <c r="AF50" i="13"/>
  <c r="AF50" i="14"/>
  <c r="AC50" i="13"/>
  <c r="AB47" i="14"/>
  <c r="Z21" i="15"/>
  <c r="AD46" i="13"/>
  <c r="AD46" i="11"/>
  <c r="AD47" i="15"/>
  <c r="AF48" i="11"/>
  <c r="Y49" i="14"/>
  <c r="AE51" i="14"/>
  <c r="W47" i="15"/>
  <c r="AB20" i="11"/>
  <c r="AA19" i="16"/>
  <c r="AE21" i="11"/>
  <c r="AD50" i="16"/>
  <c r="AE50" i="13"/>
  <c r="AA49" i="13"/>
  <c r="AD21" i="15"/>
  <c r="AC20" i="15"/>
  <c r="AD19" i="14"/>
  <c r="AC20" i="13"/>
  <c r="AD51" i="15"/>
  <c r="AC19" i="13"/>
  <c r="AF46" i="11"/>
  <c r="W21" i="16"/>
  <c r="Y51" i="15"/>
  <c r="AC21" i="14"/>
  <c r="AF49" i="14"/>
  <c r="AF21" i="16"/>
  <c r="AE49" i="14"/>
  <c r="AE47" i="16"/>
  <c r="AD49" i="14"/>
  <c r="AA19" i="15"/>
  <c r="AB47" i="15"/>
  <c r="AA49" i="16"/>
  <c r="AC19" i="14"/>
  <c r="AE19" i="15"/>
  <c r="AD20" i="14"/>
  <c r="AE48" i="14"/>
  <c r="AC51" i="15"/>
  <c r="Y48" i="13"/>
  <c r="AF48" i="13"/>
  <c r="AD46" i="14"/>
  <c r="AD51" i="14"/>
  <c r="AF21" i="13"/>
  <c r="AF48" i="15"/>
  <c r="AA51" i="15"/>
  <c r="AC48" i="14"/>
  <c r="AA20" i="13"/>
  <c r="AC46" i="14"/>
  <c r="AC47" i="14"/>
  <c r="AF20" i="11"/>
  <c r="AD19" i="15"/>
  <c r="AC49" i="13"/>
  <c r="AA50" i="11"/>
  <c r="AD47" i="14"/>
  <c r="AE49" i="11"/>
  <c r="W47" i="16"/>
  <c r="AB48" i="11"/>
  <c r="AF47" i="13"/>
  <c r="AD21" i="13"/>
  <c r="AB46" i="11"/>
  <c r="AE48" i="15"/>
  <c r="Y21" i="15"/>
  <c r="Y19" i="13"/>
  <c r="AF21" i="11"/>
  <c r="AC51" i="16"/>
  <c r="Z50" i="15"/>
  <c r="AF48" i="16"/>
  <c r="Z51" i="15"/>
  <c r="Y50" i="13"/>
  <c r="Z51" i="14"/>
  <c r="Z49" i="13"/>
  <c r="AF20" i="14"/>
  <c r="AD19" i="13"/>
  <c r="AB49" i="13"/>
  <c r="AC47" i="15"/>
  <c r="AE21" i="16"/>
  <c r="AA47" i="11"/>
  <c r="Y46" i="15"/>
  <c r="AB21" i="11"/>
  <c r="AD47" i="11"/>
  <c r="W46" i="13"/>
  <c r="Y47" i="13"/>
  <c r="AE21" i="13"/>
  <c r="AD50" i="14"/>
  <c r="AD46" i="15"/>
  <c r="AF51" i="13"/>
  <c r="AC49" i="11"/>
  <c r="AA21" i="14"/>
  <c r="Z21" i="16"/>
  <c r="AA48" i="14"/>
  <c r="AE49" i="13"/>
  <c r="AD48" i="14"/>
  <c r="AF51" i="16"/>
  <c r="AC19" i="15"/>
  <c r="AE51" i="16"/>
  <c r="AD50" i="13"/>
  <c r="Y21" i="14"/>
  <c r="Y20" i="13"/>
  <c r="AF46" i="16"/>
  <c r="AC47" i="13"/>
  <c r="AE51" i="15"/>
  <c r="AF49" i="15"/>
  <c r="AF46" i="15"/>
  <c r="AC51" i="14"/>
  <c r="Y51" i="13"/>
  <c r="AA51" i="11"/>
  <c r="AC46" i="13"/>
  <c r="AC20" i="14"/>
  <c r="AB19" i="16"/>
  <c r="AD20" i="15"/>
  <c r="AE50" i="14"/>
  <c r="AA50" i="13"/>
  <c r="AA46" i="16"/>
  <c r="AD19" i="16"/>
  <c r="AD48" i="15"/>
  <c r="AD50" i="15"/>
  <c r="AE20" i="15"/>
  <c r="AB51" i="15"/>
  <c r="AA21" i="13"/>
  <c r="AE20" i="13"/>
  <c r="AA19" i="11"/>
  <c r="AA49" i="15"/>
  <c r="Z49" i="11"/>
  <c r="AB51" i="13"/>
  <c r="AA47" i="14"/>
  <c r="W50" i="16"/>
  <c r="Y46" i="11"/>
  <c r="AE19" i="14"/>
  <c r="AF47" i="16"/>
  <c r="AB50" i="15"/>
  <c r="W20" i="15"/>
  <c r="Y51" i="14"/>
  <c r="X20" i="16"/>
  <c r="Y46" i="13"/>
  <c r="Z49" i="16"/>
  <c r="AC48" i="13"/>
  <c r="AE19" i="11"/>
  <c r="AE47" i="14"/>
  <c r="Y47" i="15"/>
  <c r="Z21" i="14"/>
  <c r="Z48" i="16"/>
  <c r="W49" i="16"/>
  <c r="Y50" i="16"/>
  <c r="AD51" i="13"/>
  <c r="AF49" i="13"/>
  <c r="AE20" i="14"/>
  <c r="W21" i="13"/>
  <c r="Y49" i="15"/>
  <c r="AD48" i="11"/>
  <c r="Y51" i="16"/>
  <c r="Y50" i="14"/>
  <c r="Z48" i="15"/>
  <c r="AA20" i="15"/>
  <c r="X47" i="16"/>
  <c r="AB46" i="13"/>
  <c r="AB51" i="16"/>
  <c r="AA21" i="16"/>
  <c r="V49" i="13"/>
  <c r="Z50" i="13"/>
  <c r="Z20" i="14"/>
  <c r="AF49" i="16"/>
  <c r="AC20" i="11"/>
  <c r="V20" i="16"/>
  <c r="Y49" i="13"/>
  <c r="AB51" i="14"/>
  <c r="AA48" i="15"/>
  <c r="X50" i="15"/>
  <c r="W49" i="15"/>
  <c r="AB49" i="14"/>
  <c r="AD47" i="13"/>
  <c r="W20" i="16"/>
  <c r="AA21" i="11"/>
  <c r="AB49" i="16"/>
  <c r="Y46" i="14"/>
  <c r="AB20" i="16"/>
  <c r="AA48" i="11"/>
  <c r="X21" i="16"/>
  <c r="V48" i="15"/>
  <c r="Z51" i="13"/>
  <c r="AC49" i="16"/>
  <c r="AD49" i="16"/>
  <c r="AC50" i="16"/>
  <c r="AB21" i="14"/>
  <c r="AB19" i="14"/>
  <c r="AB20" i="15"/>
  <c r="Z50" i="14"/>
  <c r="AC19" i="16"/>
  <c r="W19" i="13"/>
  <c r="X47" i="15"/>
  <c r="AA19" i="14"/>
  <c r="Y21" i="13"/>
  <c r="Y19" i="14"/>
  <c r="W21" i="14"/>
  <c r="AB47" i="13"/>
  <c r="AA51" i="16"/>
  <c r="Z48" i="14"/>
  <c r="Z20" i="13"/>
  <c r="Z19" i="14"/>
  <c r="AA47" i="13"/>
  <c r="U63" i="14"/>
  <c r="Z46" i="13"/>
  <c r="X47" i="13"/>
  <c r="Y48" i="15"/>
  <c r="U62" i="12"/>
  <c r="AA21" i="15"/>
  <c r="Z21" i="13"/>
  <c r="AB51" i="11"/>
  <c r="W20" i="11"/>
  <c r="Z47" i="13"/>
  <c r="AA20" i="11"/>
  <c r="AA49" i="11"/>
  <c r="AA47" i="16"/>
  <c r="AA20" i="14"/>
  <c r="AB50" i="14"/>
  <c r="AC50" i="11"/>
  <c r="W48" i="16"/>
  <c r="S34" i="12"/>
  <c r="X49" i="14"/>
  <c r="AC46" i="11"/>
  <c r="Z51" i="16"/>
  <c r="Y19" i="16"/>
  <c r="AD21" i="11"/>
  <c r="Y20" i="15"/>
  <c r="Y19" i="11"/>
  <c r="X51" i="13"/>
  <c r="Z19" i="16"/>
  <c r="U55" i="15"/>
  <c r="AD20" i="11"/>
  <c r="U28" i="14"/>
  <c r="AE51" i="11"/>
  <c r="Z50" i="16"/>
  <c r="AB21" i="16"/>
  <c r="Y48" i="16"/>
  <c r="AC47" i="16"/>
  <c r="AB48" i="16"/>
  <c r="AA50" i="14"/>
  <c r="V21" i="11"/>
  <c r="Z47" i="14"/>
  <c r="AA46" i="11"/>
  <c r="Y20" i="14"/>
  <c r="W51" i="16"/>
  <c r="Z47" i="16"/>
  <c r="AB49" i="15"/>
  <c r="AA51" i="13"/>
  <c r="AC51" i="13"/>
  <c r="Z47" i="11"/>
  <c r="AC47" i="11"/>
  <c r="Y47" i="11"/>
  <c r="AC19" i="11"/>
  <c r="AB48" i="13"/>
  <c r="AA50" i="16"/>
  <c r="X48" i="16"/>
  <c r="U43" i="12"/>
  <c r="AA48" i="16"/>
  <c r="Y50" i="11"/>
  <c r="Z46" i="16"/>
  <c r="U19" i="16"/>
  <c r="U29" i="12"/>
  <c r="Z21" i="11"/>
  <c r="AC51" i="11"/>
  <c r="AA20" i="16"/>
  <c r="Y49" i="11"/>
  <c r="AA51" i="14"/>
  <c r="AB49" i="11"/>
  <c r="AB50" i="13"/>
  <c r="V51" i="15"/>
  <c r="T46" i="13"/>
  <c r="AD51" i="11"/>
  <c r="Z49" i="15"/>
  <c r="X19" i="14"/>
  <c r="AA46" i="13"/>
  <c r="AC21" i="11"/>
  <c r="AC21" i="15"/>
  <c r="AB21" i="13"/>
  <c r="U61" i="13"/>
  <c r="AC48" i="11"/>
  <c r="X46" i="15"/>
  <c r="W50" i="14"/>
  <c r="U21" i="15"/>
  <c r="Z49" i="14"/>
  <c r="X19" i="11"/>
  <c r="Y20" i="16"/>
  <c r="X49" i="15"/>
  <c r="AB50" i="16"/>
  <c r="AB47" i="11"/>
  <c r="X21" i="13"/>
  <c r="AA46" i="15"/>
  <c r="W49" i="13"/>
  <c r="V50" i="14"/>
  <c r="X48" i="15"/>
  <c r="U26" i="15"/>
  <c r="W19" i="14"/>
  <c r="W19" i="16"/>
  <c r="AA46" i="14"/>
  <c r="AA50" i="15"/>
  <c r="AD49" i="11"/>
  <c r="AB19" i="11"/>
  <c r="U62" i="14"/>
  <c r="AD50" i="11"/>
  <c r="S36" i="16"/>
  <c r="W46" i="16"/>
  <c r="U37" i="16"/>
  <c r="AB21" i="15"/>
  <c r="X49" i="13"/>
  <c r="AA48" i="13"/>
  <c r="AB48" i="14"/>
  <c r="V20" i="14"/>
  <c r="U43" i="14"/>
  <c r="Z20" i="15"/>
  <c r="Z46" i="14"/>
  <c r="V50" i="16"/>
  <c r="P44" i="16"/>
  <c r="X49" i="16"/>
  <c r="S38" i="12"/>
  <c r="V49" i="15"/>
  <c r="S20" i="16"/>
  <c r="S32" i="13"/>
  <c r="W47" i="13"/>
  <c r="AB48" i="15"/>
  <c r="Z48" i="13"/>
  <c r="T49" i="13"/>
  <c r="Z47" i="15"/>
  <c r="AD19" i="11"/>
  <c r="AB47" i="16"/>
  <c r="AB19" i="13"/>
  <c r="AA19" i="13"/>
  <c r="U38" i="16"/>
  <c r="R48" i="14"/>
  <c r="S41" i="13"/>
  <c r="S19" i="16"/>
  <c r="V21" i="15"/>
  <c r="AB19" i="15"/>
  <c r="Y20" i="11"/>
  <c r="X48" i="13"/>
  <c r="Y49" i="16"/>
  <c r="Y50" i="15"/>
  <c r="Y21" i="16"/>
  <c r="Y47" i="16"/>
  <c r="X20" i="13"/>
  <c r="AB46" i="16"/>
  <c r="S37" i="13"/>
  <c r="S26" i="16"/>
  <c r="X50" i="11"/>
  <c r="U60" i="11"/>
  <c r="U56" i="15"/>
  <c r="S49" i="16"/>
  <c r="U39" i="16"/>
  <c r="S42" i="13"/>
  <c r="U34" i="15"/>
  <c r="U62" i="16"/>
  <c r="U59" i="14"/>
  <c r="V50" i="11"/>
  <c r="S57" i="13"/>
  <c r="S34" i="13"/>
  <c r="S63" i="14"/>
  <c r="R20" i="14"/>
  <c r="U29" i="14"/>
  <c r="AA49" i="14"/>
  <c r="AC49" i="14"/>
  <c r="S50" i="14"/>
  <c r="U40" i="14"/>
  <c r="U41" i="11"/>
  <c r="U30" i="16"/>
  <c r="S21" i="16"/>
  <c r="U57" i="13"/>
  <c r="S61" i="12"/>
  <c r="U54" i="13"/>
  <c r="S48" i="13"/>
  <c r="X49" i="11"/>
  <c r="U40" i="16"/>
  <c r="R51" i="15"/>
  <c r="U48" i="13"/>
  <c r="U41" i="13"/>
  <c r="Y48" i="14"/>
  <c r="U33" i="12"/>
  <c r="U28" i="12"/>
  <c r="U41" i="15"/>
  <c r="U46" i="16"/>
  <c r="U35" i="16"/>
  <c r="U39" i="14"/>
  <c r="W51" i="15"/>
  <c r="S42" i="14"/>
  <c r="T51" i="14"/>
  <c r="V19" i="14"/>
  <c r="U54" i="16"/>
  <c r="X19" i="16"/>
  <c r="V20" i="13"/>
  <c r="X19" i="13"/>
  <c r="S34" i="16"/>
  <c r="U27" i="13"/>
  <c r="Z50" i="11"/>
  <c r="S45" i="11"/>
  <c r="X50" i="16"/>
  <c r="AG173" i="1"/>
  <c r="AH173" i="1" s="1"/>
  <c r="AG595" i="1"/>
  <c r="AG591" i="1"/>
  <c r="AH591" i="1" s="1"/>
  <c r="AG596" i="1"/>
  <c r="AH596" i="1" s="1"/>
  <c r="AG593" i="1"/>
  <c r="AH593" i="1" s="1"/>
  <c r="AG592" i="1"/>
  <c r="AH592" i="1" s="1"/>
  <c r="AG590" i="1"/>
  <c r="AH590" i="1" s="1"/>
  <c r="AG594" i="1"/>
  <c r="AH594" i="1" s="1"/>
  <c r="S35" i="16"/>
  <c r="U27" i="12"/>
  <c r="Q48" i="14"/>
  <c r="U64" i="15"/>
  <c r="W47" i="11"/>
  <c r="V48" i="14"/>
  <c r="U35" i="11"/>
  <c r="T46" i="15"/>
  <c r="S57" i="15"/>
  <c r="U19" i="15"/>
  <c r="P54" i="16"/>
  <c r="U33" i="14"/>
  <c r="U45" i="14"/>
  <c r="P52" i="16"/>
  <c r="W51" i="11"/>
  <c r="U31" i="16"/>
  <c r="U31" i="14"/>
  <c r="S21" i="15"/>
  <c r="V47" i="13"/>
  <c r="S49" i="14"/>
  <c r="P60" i="16"/>
  <c r="U49" i="14"/>
  <c r="U42" i="13"/>
  <c r="U57" i="16"/>
  <c r="U61" i="14"/>
  <c r="U50" i="16"/>
  <c r="S59" i="15"/>
  <c r="W19" i="11"/>
  <c r="U49" i="13"/>
  <c r="S28" i="11"/>
  <c r="V46" i="13"/>
  <c r="U42" i="16"/>
  <c r="U38" i="12"/>
  <c r="S51" i="15"/>
  <c r="S38" i="14"/>
  <c r="T47" i="16"/>
  <c r="T46" i="16"/>
  <c r="S34" i="15"/>
  <c r="U55" i="16"/>
  <c r="U32" i="11"/>
  <c r="T19" i="14"/>
  <c r="V46" i="16"/>
  <c r="U47" i="11"/>
  <c r="U20" i="15"/>
  <c r="U36" i="14"/>
  <c r="U50" i="11"/>
  <c r="S60" i="15"/>
  <c r="S29" i="12"/>
  <c r="U31" i="12"/>
  <c r="U61" i="12"/>
  <c r="T21" i="15"/>
  <c r="S64" i="12"/>
  <c r="S42" i="16"/>
  <c r="S30" i="15"/>
  <c r="S52" i="13"/>
  <c r="U29" i="13"/>
  <c r="V51" i="14"/>
  <c r="U60" i="13"/>
  <c r="V21" i="13"/>
  <c r="Z51" i="11"/>
  <c r="S64" i="16"/>
  <c r="U59" i="16"/>
  <c r="U56" i="14"/>
  <c r="Z46" i="11"/>
  <c r="S49" i="13"/>
  <c r="P50" i="14"/>
  <c r="X48" i="11"/>
  <c r="U35" i="15"/>
  <c r="U34" i="14"/>
  <c r="S33" i="13"/>
  <c r="U27" i="14"/>
  <c r="R50" i="14"/>
  <c r="U59" i="12"/>
  <c r="U38" i="14"/>
  <c r="X19" i="15"/>
  <c r="U46" i="14"/>
  <c r="U61" i="15"/>
  <c r="U48" i="16"/>
  <c r="S44" i="14"/>
  <c r="X46" i="11"/>
  <c r="U45" i="16"/>
  <c r="R49" i="14"/>
  <c r="M47" i="16"/>
  <c r="U59" i="13"/>
  <c r="T20" i="11"/>
  <c r="P32" i="12"/>
  <c r="U60" i="12"/>
  <c r="V21" i="14"/>
  <c r="U61" i="16"/>
  <c r="U21" i="16"/>
  <c r="U57" i="14"/>
  <c r="Q20" i="14"/>
  <c r="P44" i="15"/>
  <c r="Z19" i="11"/>
  <c r="U40" i="13"/>
  <c r="X21" i="15"/>
  <c r="U37" i="15"/>
  <c r="U37" i="14"/>
  <c r="U26" i="16"/>
  <c r="U38" i="11"/>
  <c r="S47" i="16"/>
  <c r="Q48" i="16"/>
  <c r="U34" i="12"/>
  <c r="W50" i="13"/>
  <c r="U44" i="13"/>
  <c r="U52" i="12"/>
  <c r="W20" i="13"/>
  <c r="S39" i="12"/>
  <c r="U62" i="15"/>
  <c r="U25" i="15"/>
  <c r="U30" i="13"/>
  <c r="U32" i="15"/>
  <c r="U52" i="15"/>
  <c r="S28" i="12"/>
  <c r="U42" i="15"/>
  <c r="P60" i="14"/>
  <c r="U27" i="16"/>
  <c r="U32" i="12"/>
  <c r="S32" i="14"/>
  <c r="U37" i="12"/>
  <c r="Q20" i="16"/>
  <c r="T49" i="15"/>
  <c r="V19" i="11"/>
  <c r="U50" i="15"/>
  <c r="X50" i="13"/>
  <c r="Y48" i="11"/>
  <c r="X51" i="15"/>
  <c r="U48" i="14"/>
  <c r="S39" i="15"/>
  <c r="P34" i="15"/>
  <c r="S19" i="15"/>
  <c r="S43" i="14"/>
  <c r="T48" i="13"/>
  <c r="U53" i="13"/>
  <c r="W51" i="13"/>
  <c r="S51" i="13"/>
  <c r="U30" i="11"/>
  <c r="V48" i="16"/>
  <c r="S62" i="11"/>
  <c r="V50" i="15"/>
  <c r="U55" i="12"/>
  <c r="S45" i="14"/>
  <c r="V19" i="13"/>
  <c r="W48" i="13"/>
  <c r="R19" i="13"/>
  <c r="U64" i="12"/>
  <c r="U64" i="14"/>
  <c r="U29" i="15"/>
  <c r="R46" i="13"/>
  <c r="U53" i="16"/>
  <c r="U63" i="12"/>
  <c r="S62" i="16"/>
  <c r="U25" i="12"/>
  <c r="V47" i="11"/>
  <c r="V46" i="14"/>
  <c r="U27" i="15"/>
  <c r="U19" i="13"/>
  <c r="U25" i="16"/>
  <c r="U49" i="15"/>
  <c r="U56" i="16"/>
  <c r="W48" i="11"/>
  <c r="S30" i="13"/>
  <c r="U28" i="15"/>
  <c r="U36" i="13"/>
  <c r="U44" i="16"/>
  <c r="U50" i="13"/>
  <c r="U40" i="15"/>
  <c r="X46" i="13"/>
  <c r="U37" i="13"/>
  <c r="U51" i="14"/>
  <c r="U50" i="14"/>
  <c r="W48" i="15"/>
  <c r="U45" i="13"/>
  <c r="V49" i="14"/>
  <c r="U60" i="14"/>
  <c r="U28" i="13"/>
  <c r="U44" i="14"/>
  <c r="X21" i="14"/>
  <c r="U44" i="15"/>
  <c r="V49" i="11"/>
  <c r="W46" i="15"/>
  <c r="W21" i="11"/>
  <c r="U60" i="16"/>
  <c r="Y51" i="11"/>
  <c r="X48" i="14"/>
  <c r="X46" i="14"/>
  <c r="U40" i="12"/>
  <c r="U30" i="14"/>
  <c r="W46" i="14"/>
  <c r="X47" i="11"/>
  <c r="U51" i="16"/>
  <c r="U41" i="16"/>
  <c r="U64" i="13"/>
  <c r="U33" i="13"/>
  <c r="U64" i="16"/>
  <c r="S62" i="15"/>
  <c r="X51" i="14"/>
  <c r="T19" i="15"/>
  <c r="S20" i="13"/>
  <c r="U42" i="14"/>
  <c r="S37" i="12"/>
  <c r="U57" i="12"/>
  <c r="U31" i="15"/>
  <c r="R47" i="13"/>
  <c r="V51" i="13"/>
  <c r="U44" i="11"/>
  <c r="U41" i="12"/>
  <c r="W48" i="14"/>
  <c r="R19" i="16"/>
  <c r="U43" i="15"/>
  <c r="U55" i="14"/>
  <c r="U30" i="12"/>
  <c r="U38" i="15"/>
  <c r="S50" i="11"/>
  <c r="S31" i="13"/>
  <c r="U32" i="14"/>
  <c r="X51" i="16"/>
  <c r="S60" i="12"/>
  <c r="S63" i="15"/>
  <c r="P21" i="16"/>
  <c r="U35" i="12"/>
  <c r="P33" i="12"/>
  <c r="R48" i="15"/>
  <c r="U47" i="14"/>
  <c r="T20" i="16"/>
  <c r="S61" i="13"/>
  <c r="U62" i="11"/>
  <c r="U25" i="11"/>
  <c r="U42" i="12"/>
  <c r="P31" i="13"/>
  <c r="U35" i="13"/>
  <c r="U39" i="13"/>
  <c r="M21" i="13"/>
  <c r="S25" i="15"/>
  <c r="U28" i="16"/>
  <c r="R50" i="15"/>
  <c r="U46" i="15"/>
  <c r="Q47" i="15"/>
  <c r="S25" i="16"/>
  <c r="U20" i="16"/>
  <c r="U32" i="13"/>
  <c r="U59" i="11"/>
  <c r="T48" i="15"/>
  <c r="U55" i="13"/>
  <c r="W46" i="11"/>
  <c r="R21" i="13"/>
  <c r="X20" i="11"/>
  <c r="U30" i="15"/>
  <c r="P44" i="12"/>
  <c r="S32" i="15"/>
  <c r="U32" i="16"/>
  <c r="U53" i="15"/>
  <c r="U56" i="13"/>
  <c r="V20" i="11"/>
  <c r="S20" i="15"/>
  <c r="V49" i="16"/>
  <c r="T96" i="1"/>
  <c r="R49" i="13"/>
  <c r="T49" i="11"/>
  <c r="U52" i="13"/>
  <c r="T21" i="11"/>
  <c r="U25" i="13"/>
  <c r="U47" i="15"/>
  <c r="P51" i="15"/>
  <c r="U62" i="13"/>
  <c r="U46" i="13"/>
  <c r="S64" i="14"/>
  <c r="U20" i="13"/>
  <c r="U25" i="14"/>
  <c r="S48" i="11"/>
  <c r="U44" i="12"/>
  <c r="V48" i="13"/>
  <c r="W50" i="11"/>
  <c r="S63" i="16"/>
  <c r="U39" i="15"/>
  <c r="U26" i="13"/>
  <c r="P62" i="14"/>
  <c r="X51" i="11"/>
  <c r="U31" i="11"/>
  <c r="U21" i="14"/>
  <c r="S44" i="13"/>
  <c r="U36" i="15"/>
  <c r="U43" i="16"/>
  <c r="R21" i="16"/>
  <c r="U21" i="11"/>
  <c r="U47" i="13"/>
  <c r="U52" i="14"/>
  <c r="U63" i="13"/>
  <c r="U43" i="13"/>
  <c r="U36" i="12"/>
  <c r="U48" i="11"/>
  <c r="U54" i="14"/>
  <c r="W47" i="14"/>
  <c r="S35" i="12"/>
  <c r="U51" i="15"/>
  <c r="U35" i="14"/>
  <c r="W19" i="15"/>
  <c r="R21" i="15"/>
  <c r="X20" i="14"/>
  <c r="U21" i="13"/>
  <c r="U26" i="12"/>
  <c r="W20" i="14"/>
  <c r="T48" i="16"/>
  <c r="S28" i="16"/>
  <c r="P37" i="16"/>
  <c r="X21" i="11"/>
  <c r="U39" i="12"/>
  <c r="V51" i="16"/>
  <c r="S43" i="15"/>
  <c r="U63" i="15"/>
  <c r="R51" i="13"/>
  <c r="S25" i="13"/>
  <c r="U45" i="15"/>
  <c r="U33" i="16"/>
  <c r="W49" i="14"/>
  <c r="S37" i="16"/>
  <c r="T49" i="16"/>
  <c r="W50" i="15"/>
  <c r="S61" i="16"/>
  <c r="U45" i="12"/>
  <c r="P59" i="16"/>
  <c r="V48" i="11"/>
  <c r="T20" i="14"/>
  <c r="U19" i="14"/>
  <c r="Q20" i="13"/>
  <c r="S46" i="14"/>
  <c r="U36" i="16"/>
  <c r="S56" i="11"/>
  <c r="V47" i="16"/>
  <c r="U47" i="16"/>
  <c r="S53" i="15"/>
  <c r="Q21" i="15"/>
  <c r="U54" i="11"/>
  <c r="U26" i="11"/>
  <c r="T51" i="15"/>
  <c r="T50" i="11"/>
  <c r="V20" i="15"/>
  <c r="V19" i="16"/>
  <c r="T20" i="13"/>
  <c r="P47" i="13"/>
  <c r="T50" i="16"/>
  <c r="P36" i="12"/>
  <c r="P49" i="15"/>
  <c r="T19" i="13"/>
  <c r="S46" i="15"/>
  <c r="U60" i="15"/>
  <c r="U53" i="12"/>
  <c r="U29" i="16"/>
  <c r="S34" i="11"/>
  <c r="S35" i="13"/>
  <c r="S44" i="16"/>
  <c r="N48" i="16"/>
  <c r="P43" i="15"/>
  <c r="V21" i="16"/>
  <c r="V19" i="15"/>
  <c r="U40" i="11"/>
  <c r="U51" i="13"/>
  <c r="U31" i="13"/>
  <c r="W21" i="15"/>
  <c r="S60" i="11"/>
  <c r="U49" i="16"/>
  <c r="Z48" i="11"/>
  <c r="S61" i="15"/>
  <c r="U54" i="15"/>
  <c r="V46" i="15"/>
  <c r="X50" i="14"/>
  <c r="Q20" i="15"/>
  <c r="U54" i="12"/>
  <c r="V47" i="14"/>
  <c r="S64" i="13"/>
  <c r="U33" i="15"/>
  <c r="V51" i="11"/>
  <c r="S53" i="12"/>
  <c r="S55" i="13"/>
  <c r="S63" i="11"/>
  <c r="W49" i="11"/>
  <c r="Y46" i="16"/>
  <c r="S36" i="13"/>
  <c r="U20" i="14"/>
  <c r="U52" i="16"/>
  <c r="W51" i="14"/>
  <c r="S59" i="16"/>
  <c r="T50" i="15"/>
  <c r="X20" i="15"/>
  <c r="U19" i="11"/>
  <c r="V50" i="13"/>
  <c r="U48" i="15"/>
  <c r="O19" i="14"/>
  <c r="T51" i="16"/>
  <c r="S31" i="15"/>
  <c r="S54" i="12"/>
  <c r="S57" i="11"/>
  <c r="S40" i="14"/>
  <c r="S56" i="15"/>
  <c r="U53" i="11"/>
  <c r="U26" i="14"/>
  <c r="U27" i="11"/>
  <c r="P29" i="14"/>
  <c r="S30" i="14"/>
  <c r="P61" i="12"/>
  <c r="T21" i="13"/>
  <c r="S41" i="14"/>
  <c r="U20" i="11"/>
  <c r="P34" i="13"/>
  <c r="S38" i="13"/>
  <c r="P60" i="12"/>
  <c r="S28" i="15"/>
  <c r="T49" i="14"/>
  <c r="U34" i="11"/>
  <c r="V47" i="15"/>
  <c r="U34" i="16"/>
  <c r="T47" i="11"/>
  <c r="S57" i="14"/>
  <c r="R51" i="11"/>
  <c r="N47" i="13"/>
  <c r="P32" i="16"/>
  <c r="S48" i="14"/>
  <c r="S32" i="11"/>
  <c r="S46" i="13"/>
  <c r="P64" i="13"/>
  <c r="P64" i="14"/>
  <c r="O48" i="15"/>
  <c r="Q21" i="16"/>
  <c r="U55" i="11"/>
  <c r="P55" i="13"/>
  <c r="U34" i="13"/>
  <c r="U53" i="14"/>
  <c r="Y21" i="11"/>
  <c r="P25" i="12"/>
  <c r="Q19" i="15"/>
  <c r="S59" i="14"/>
  <c r="P37" i="13"/>
  <c r="P53" i="16"/>
  <c r="P28" i="13"/>
  <c r="Q46" i="14"/>
  <c r="P39" i="15"/>
  <c r="U56" i="12"/>
  <c r="S51" i="14"/>
  <c r="S33" i="14"/>
  <c r="P20" i="14"/>
  <c r="P31" i="15"/>
  <c r="S64" i="15"/>
  <c r="S26" i="14"/>
  <c r="S54" i="13"/>
  <c r="V46" i="11"/>
  <c r="S36" i="12"/>
  <c r="S50" i="13"/>
  <c r="P26" i="15"/>
  <c r="S62" i="12"/>
  <c r="R47" i="16"/>
  <c r="S40" i="13"/>
  <c r="U57" i="15"/>
  <c r="U41" i="14"/>
  <c r="X46" i="16"/>
  <c r="S57" i="16"/>
  <c r="S31" i="14"/>
  <c r="P20" i="13"/>
  <c r="S40" i="12"/>
  <c r="S45" i="16"/>
  <c r="R20" i="13"/>
  <c r="U59" i="15"/>
  <c r="U38" i="13"/>
  <c r="S54" i="14"/>
  <c r="S49" i="11"/>
  <c r="S43" i="13"/>
  <c r="P31" i="14"/>
  <c r="P59" i="12"/>
  <c r="R46" i="14"/>
  <c r="P36" i="11"/>
  <c r="P61" i="13"/>
  <c r="T21" i="16"/>
  <c r="S19" i="14"/>
  <c r="P29" i="15"/>
  <c r="S52" i="15"/>
  <c r="P38" i="16"/>
  <c r="S27" i="12"/>
  <c r="S41" i="16"/>
  <c r="T47" i="15"/>
  <c r="S50" i="15"/>
  <c r="P63" i="13"/>
  <c r="Q46" i="13"/>
  <c r="U64" i="11"/>
  <c r="S37" i="11"/>
  <c r="O19" i="13"/>
  <c r="P35" i="11"/>
  <c r="T19" i="16"/>
  <c r="S34" i="14"/>
  <c r="P30" i="16"/>
  <c r="S39" i="13"/>
  <c r="S39" i="16"/>
  <c r="R48" i="11"/>
  <c r="P55" i="14"/>
  <c r="P54" i="14"/>
  <c r="S27" i="11"/>
  <c r="S30" i="12"/>
  <c r="S53" i="13"/>
  <c r="P53" i="15"/>
  <c r="S42" i="12"/>
  <c r="U63" i="11"/>
  <c r="P54" i="12"/>
  <c r="P61" i="16"/>
  <c r="T48" i="11"/>
  <c r="S27" i="13"/>
  <c r="P25" i="15"/>
  <c r="S60" i="14"/>
  <c r="S40" i="16"/>
  <c r="S31" i="11"/>
  <c r="P44" i="14"/>
  <c r="Q47" i="11"/>
  <c r="P30" i="12"/>
  <c r="Q49" i="14"/>
  <c r="S56" i="12"/>
  <c r="S36" i="14"/>
  <c r="Q21" i="14"/>
  <c r="S49" i="15"/>
  <c r="S21" i="13"/>
  <c r="P27" i="14"/>
  <c r="R49" i="11"/>
  <c r="S60" i="16"/>
  <c r="M19" i="14"/>
  <c r="P56" i="16"/>
  <c r="R47" i="14"/>
  <c r="U52" i="11"/>
  <c r="P19" i="14"/>
  <c r="P38" i="12"/>
  <c r="S35" i="15"/>
  <c r="Q49" i="16"/>
  <c r="P36" i="15"/>
  <c r="S42" i="11"/>
  <c r="S33" i="15"/>
  <c r="P32" i="11"/>
  <c r="P46" i="15"/>
  <c r="S59" i="13"/>
  <c r="S55" i="14"/>
  <c r="O47" i="15"/>
  <c r="S25" i="14"/>
  <c r="P26" i="16"/>
  <c r="P30" i="13"/>
  <c r="R48" i="13"/>
  <c r="T50" i="14"/>
  <c r="N49" i="16"/>
  <c r="Q47" i="13"/>
  <c r="P20" i="11"/>
  <c r="S47" i="13"/>
  <c r="P35" i="13"/>
  <c r="P35" i="12"/>
  <c r="S45" i="12"/>
  <c r="S32" i="16"/>
  <c r="P49" i="16"/>
  <c r="N19" i="15"/>
  <c r="T47" i="13"/>
  <c r="S33" i="16"/>
  <c r="P41" i="12"/>
  <c r="S55" i="11"/>
  <c r="S37" i="15"/>
  <c r="S37" i="14"/>
  <c r="P56" i="15"/>
  <c r="S38" i="16"/>
  <c r="S55" i="12"/>
  <c r="S53" i="11"/>
  <c r="P59" i="15"/>
  <c r="S44" i="12"/>
  <c r="T21" i="14"/>
  <c r="S56" i="13"/>
  <c r="Q51" i="11"/>
  <c r="O21" i="13"/>
  <c r="P27" i="15"/>
  <c r="U36" i="11"/>
  <c r="T48" i="14"/>
  <c r="P32" i="13"/>
  <c r="P57" i="14"/>
  <c r="P59" i="13"/>
  <c r="O20" i="15"/>
  <c r="N19" i="14"/>
  <c r="S47" i="11"/>
  <c r="P41" i="16"/>
  <c r="U37" i="11"/>
  <c r="S55" i="15"/>
  <c r="S36" i="11"/>
  <c r="P36" i="14"/>
  <c r="Q50" i="15"/>
  <c r="P29" i="16"/>
  <c r="P48" i="16"/>
  <c r="P56" i="12"/>
  <c r="S53" i="16"/>
  <c r="S27" i="15"/>
  <c r="P46" i="11"/>
  <c r="P53" i="14"/>
  <c r="P39" i="16"/>
  <c r="S38" i="11"/>
  <c r="S46" i="16"/>
  <c r="N51" i="16"/>
  <c r="P19" i="13"/>
  <c r="S54" i="15"/>
  <c r="P45" i="13"/>
  <c r="T20" i="15"/>
  <c r="P20" i="15"/>
  <c r="U56" i="11"/>
  <c r="P33" i="14"/>
  <c r="Q46" i="16"/>
  <c r="P47" i="15"/>
  <c r="P34" i="14"/>
  <c r="T19" i="11"/>
  <c r="P38" i="13"/>
  <c r="S51" i="16"/>
  <c r="P34" i="11"/>
  <c r="P25" i="13"/>
  <c r="P32" i="14"/>
  <c r="P29" i="13"/>
  <c r="S31" i="16"/>
  <c r="U28" i="11"/>
  <c r="U43" i="11"/>
  <c r="S39" i="11"/>
  <c r="S59" i="11"/>
  <c r="S52" i="11"/>
  <c r="S64" i="11"/>
  <c r="P44" i="13"/>
  <c r="O21" i="16"/>
  <c r="P64" i="15"/>
  <c r="P41" i="15"/>
  <c r="S28" i="14"/>
  <c r="R51" i="14"/>
  <c r="P31" i="12"/>
  <c r="P37" i="12"/>
  <c r="P21" i="14"/>
  <c r="S25" i="11"/>
  <c r="R47" i="11"/>
  <c r="O47" i="14"/>
  <c r="S41" i="15"/>
  <c r="S63" i="13"/>
  <c r="S43" i="11"/>
  <c r="P40" i="16"/>
  <c r="Q19" i="13"/>
  <c r="S52" i="16"/>
  <c r="P35" i="14"/>
  <c r="T46" i="14"/>
  <c r="Q19" i="14"/>
  <c r="R47" i="15"/>
  <c r="S26" i="12"/>
  <c r="U33" i="11"/>
  <c r="O19" i="15"/>
  <c r="R48" i="16"/>
  <c r="R49" i="15"/>
  <c r="Q48" i="15"/>
  <c r="U42" i="11"/>
  <c r="M20" i="13"/>
  <c r="S35" i="11"/>
  <c r="P41" i="13"/>
  <c r="P48" i="15"/>
  <c r="S30" i="16"/>
  <c r="S29" i="14"/>
  <c r="T95" i="1"/>
  <c r="Q46" i="15"/>
  <c r="BC58" i="8"/>
  <c r="P40" i="14"/>
  <c r="P49" i="14"/>
  <c r="R46" i="16"/>
  <c r="P34" i="16"/>
  <c r="S29" i="15"/>
  <c r="P39" i="12"/>
  <c r="T46" i="11"/>
  <c r="S52" i="14"/>
  <c r="S40" i="11"/>
  <c r="S51" i="11"/>
  <c r="S38" i="15"/>
  <c r="Q51" i="16"/>
  <c r="U29" i="11"/>
  <c r="P45" i="14"/>
  <c r="P19" i="16"/>
  <c r="S31" i="12"/>
  <c r="P62" i="15"/>
  <c r="S21" i="11"/>
  <c r="P56" i="11"/>
  <c r="S56" i="14"/>
  <c r="S25" i="12"/>
  <c r="S29" i="13"/>
  <c r="R46" i="15"/>
  <c r="S50" i="16"/>
  <c r="O19" i="16"/>
  <c r="P55" i="16"/>
  <c r="S40" i="15"/>
  <c r="S29" i="16"/>
  <c r="O20" i="16"/>
  <c r="S28" i="13"/>
  <c r="U51" i="11"/>
  <c r="S27" i="16"/>
  <c r="R20" i="11"/>
  <c r="P40" i="15"/>
  <c r="T51" i="11"/>
  <c r="P57" i="16"/>
  <c r="P33" i="13"/>
  <c r="S43" i="16"/>
  <c r="S45" i="13"/>
  <c r="P40" i="12"/>
  <c r="R19" i="11"/>
  <c r="P33" i="15"/>
  <c r="S54" i="16"/>
  <c r="P57" i="12"/>
  <c r="P34" i="12"/>
  <c r="S42" i="15"/>
  <c r="S19" i="13"/>
  <c r="Q50" i="13"/>
  <c r="R20" i="15"/>
  <c r="Q51" i="14"/>
  <c r="S61" i="14"/>
  <c r="P21" i="13"/>
  <c r="S19" i="11"/>
  <c r="S35" i="14"/>
  <c r="U46" i="11"/>
  <c r="P52" i="15"/>
  <c r="S48" i="16"/>
  <c r="P61" i="15"/>
  <c r="P63" i="16"/>
  <c r="T47" i="14"/>
  <c r="N21" i="14"/>
  <c r="P60" i="15"/>
  <c r="S59" i="12"/>
  <c r="P57" i="13"/>
  <c r="Q21" i="13"/>
  <c r="P39" i="14"/>
  <c r="S56" i="16"/>
  <c r="P39" i="13"/>
  <c r="S30" i="11"/>
  <c r="S47" i="14"/>
  <c r="P40" i="13"/>
  <c r="S62" i="14"/>
  <c r="O47" i="13"/>
  <c r="P19" i="15"/>
  <c r="S61" i="11"/>
  <c r="U61" i="11"/>
  <c r="P38" i="11"/>
  <c r="S54" i="11"/>
  <c r="S27" i="14"/>
  <c r="Q48" i="13"/>
  <c r="T50" i="13"/>
  <c r="S44" i="11"/>
  <c r="P48" i="13"/>
  <c r="S47" i="15"/>
  <c r="P51" i="11"/>
  <c r="P64" i="16"/>
  <c r="S62" i="13"/>
  <c r="P62" i="16"/>
  <c r="S44" i="15"/>
  <c r="P36" i="13"/>
  <c r="P63" i="12"/>
  <c r="O20" i="13"/>
  <c r="P28" i="14"/>
  <c r="U39" i="11"/>
  <c r="Q50" i="16"/>
  <c r="R21" i="14"/>
  <c r="S26" i="11"/>
  <c r="S46" i="11"/>
  <c r="R20" i="16"/>
  <c r="P59" i="14"/>
  <c r="P35" i="16"/>
  <c r="P41" i="11"/>
  <c r="P52" i="13"/>
  <c r="S43" i="12"/>
  <c r="Q47" i="16"/>
  <c r="P49" i="13"/>
  <c r="S39" i="14"/>
  <c r="P42" i="12"/>
  <c r="Q19" i="16"/>
  <c r="R46" i="11"/>
  <c r="P28" i="12"/>
  <c r="R19" i="15"/>
  <c r="P61" i="14"/>
  <c r="P43" i="12"/>
  <c r="S26" i="13"/>
  <c r="M50" i="13"/>
  <c r="O20" i="11"/>
  <c r="T51" i="13"/>
  <c r="Q47" i="14"/>
  <c r="S29" i="11"/>
  <c r="S52" i="12"/>
  <c r="P50" i="16"/>
  <c r="P57" i="15"/>
  <c r="U45" i="11"/>
  <c r="P52" i="11"/>
  <c r="S20" i="14"/>
  <c r="P45" i="12"/>
  <c r="P55" i="15"/>
  <c r="U57" i="11"/>
  <c r="P50" i="15"/>
  <c r="P38" i="14"/>
  <c r="S55" i="16"/>
  <c r="Q129" i="7"/>
  <c r="Q130" i="7"/>
  <c r="Q131" i="7"/>
  <c r="Q132" i="7"/>
  <c r="Q144" i="7"/>
  <c r="Q145" i="7"/>
  <c r="Q146" i="7"/>
  <c r="Q147" i="7"/>
  <c r="Q148" i="7"/>
  <c r="Q149" i="7"/>
  <c r="P38" i="15"/>
  <c r="P55" i="11"/>
  <c r="N48" i="11"/>
  <c r="P36" i="16"/>
  <c r="S45" i="15"/>
  <c r="S21" i="14"/>
  <c r="M47" i="13"/>
  <c r="Q49" i="15"/>
  <c r="P32" i="15"/>
  <c r="P42" i="16"/>
  <c r="P61" i="11"/>
  <c r="P50" i="13"/>
  <c r="S26" i="15"/>
  <c r="S57" i="12"/>
  <c r="Q49" i="11"/>
  <c r="P30" i="14"/>
  <c r="P21" i="15"/>
  <c r="P28" i="11"/>
  <c r="P60" i="13"/>
  <c r="P47" i="11"/>
  <c r="M50" i="15"/>
  <c r="P57" i="11"/>
  <c r="P53" i="13"/>
  <c r="S48" i="15"/>
  <c r="R19" i="14"/>
  <c r="R50" i="16"/>
  <c r="P47" i="14"/>
  <c r="S32" i="12"/>
  <c r="P33" i="11"/>
  <c r="O46" i="15"/>
  <c r="Q50" i="14"/>
  <c r="P53" i="12"/>
  <c r="S63" i="12"/>
  <c r="S60" i="13"/>
  <c r="P45" i="16"/>
  <c r="P53" i="11"/>
  <c r="O21" i="14"/>
  <c r="N49" i="15"/>
  <c r="P55" i="12"/>
  <c r="S33" i="11"/>
  <c r="S33" i="12"/>
  <c r="S41" i="12"/>
  <c r="P52" i="12"/>
  <c r="P37" i="14"/>
  <c r="M21" i="15"/>
  <c r="N48" i="15"/>
  <c r="P33" i="16"/>
  <c r="P63" i="15"/>
  <c r="R49" i="16"/>
  <c r="U49" i="11"/>
  <c r="BI39" i="19"/>
  <c r="N47" i="16"/>
  <c r="P27" i="13"/>
  <c r="P51" i="14"/>
  <c r="S53" i="14"/>
  <c r="S36" i="15"/>
  <c r="P62" i="13"/>
  <c r="P26" i="13"/>
  <c r="Q20" i="11"/>
  <c r="BB43" i="8"/>
  <c r="M46" i="14"/>
  <c r="N21" i="15"/>
  <c r="P27" i="12"/>
  <c r="M19" i="11"/>
  <c r="P31" i="11"/>
  <c r="P46" i="16"/>
  <c r="P42" i="11"/>
  <c r="R21" i="11"/>
  <c r="P43" i="14"/>
  <c r="P40" i="11"/>
  <c r="O21" i="15"/>
  <c r="P54" i="15"/>
  <c r="P37" i="15"/>
  <c r="Q51" i="15"/>
  <c r="P46" i="13"/>
  <c r="N19" i="16"/>
  <c r="O46" i="13"/>
  <c r="BI52" i="19"/>
  <c r="O51" i="13"/>
  <c r="N49" i="14"/>
  <c r="R50" i="13"/>
  <c r="M19" i="15"/>
  <c r="P48" i="11"/>
  <c r="P39" i="11"/>
  <c r="M19" i="16"/>
  <c r="P27" i="11"/>
  <c r="O50" i="14"/>
  <c r="P45" i="15"/>
  <c r="Q51" i="13"/>
  <c r="P63" i="11"/>
  <c r="N20" i="16"/>
  <c r="M49" i="13"/>
  <c r="N47" i="14"/>
  <c r="P29" i="11"/>
  <c r="S20" i="11"/>
  <c r="N47" i="15"/>
  <c r="O48" i="16"/>
  <c r="N47" i="11"/>
  <c r="P47" i="16"/>
  <c r="P54" i="11"/>
  <c r="BI43" i="19"/>
  <c r="P46" i="14"/>
  <c r="N20" i="15"/>
  <c r="N49" i="11"/>
  <c r="O50" i="15"/>
  <c r="M46" i="13"/>
  <c r="N19" i="11"/>
  <c r="P42" i="14"/>
  <c r="P50" i="11"/>
  <c r="N51" i="14"/>
  <c r="P31" i="16"/>
  <c r="N51" i="13"/>
  <c r="BJ30" i="10"/>
  <c r="P21" i="11"/>
  <c r="N20" i="13"/>
  <c r="R50" i="11"/>
  <c r="R51" i="16"/>
  <c r="N21" i="16"/>
  <c r="N20" i="11"/>
  <c r="O51" i="16"/>
  <c r="M49" i="15"/>
  <c r="O20" i="14"/>
  <c r="P30" i="15"/>
  <c r="P56" i="13"/>
  <c r="P42" i="13"/>
  <c r="M48" i="16"/>
  <c r="Q46" i="11"/>
  <c r="BI61" i="19"/>
  <c r="Q48" i="11"/>
  <c r="P44" i="11"/>
  <c r="P19" i="11"/>
  <c r="P48" i="14"/>
  <c r="BI29" i="19"/>
  <c r="N46" i="15"/>
  <c r="M20" i="15"/>
  <c r="S41" i="11"/>
  <c r="P49" i="11"/>
  <c r="O47" i="16"/>
  <c r="N19" i="13"/>
  <c r="M21" i="14"/>
  <c r="O51" i="15"/>
  <c r="P26" i="12"/>
  <c r="O50" i="16"/>
  <c r="P28" i="16"/>
  <c r="P26" i="14"/>
  <c r="N46" i="16"/>
  <c r="P62" i="12"/>
  <c r="O49" i="15"/>
  <c r="O48" i="13"/>
  <c r="N46" i="14"/>
  <c r="P54" i="13"/>
  <c r="N50" i="16"/>
  <c r="P41" i="14"/>
  <c r="P35" i="15"/>
  <c r="P25" i="11"/>
  <c r="N51" i="15"/>
  <c r="P20" i="16"/>
  <c r="O46" i="16"/>
  <c r="O48" i="11"/>
  <c r="O46" i="14"/>
  <c r="P51" i="13"/>
  <c r="P59" i="11"/>
  <c r="M48" i="15"/>
  <c r="P42" i="15"/>
  <c r="P52" i="14"/>
  <c r="O49" i="14"/>
  <c r="M46" i="16"/>
  <c r="P64" i="12"/>
  <c r="P43" i="16"/>
  <c r="P29" i="12"/>
  <c r="N21" i="13"/>
  <c r="O46" i="11"/>
  <c r="P30" i="11"/>
  <c r="M46" i="15"/>
  <c r="N49" i="13"/>
  <c r="M51" i="15"/>
  <c r="P56" i="14"/>
  <c r="P27" i="16"/>
  <c r="M50" i="11"/>
  <c r="N46" i="11"/>
  <c r="M51" i="14"/>
  <c r="N50" i="14"/>
  <c r="M19" i="13"/>
  <c r="Q50" i="11"/>
  <c r="P51" i="16"/>
  <c r="BB55" i="8"/>
  <c r="BB26" i="8"/>
  <c r="BB39" i="8"/>
  <c r="BB35" i="8"/>
  <c r="BB31" i="8"/>
  <c r="BB28" i="8"/>
  <c r="BB32" i="8"/>
  <c r="BB30" i="8"/>
  <c r="BB25" i="8"/>
  <c r="U53" i="19"/>
  <c r="BI28" i="19"/>
  <c r="M48" i="14"/>
  <c r="S36" i="19"/>
  <c r="BI41" i="19"/>
  <c r="M47" i="14"/>
  <c r="O48" i="14"/>
  <c r="P25" i="14"/>
  <c r="P62" i="11"/>
  <c r="BI32" i="19"/>
  <c r="P40" i="19"/>
  <c r="BI27" i="19"/>
  <c r="P43" i="19"/>
  <c r="M51" i="13"/>
  <c r="M49" i="16"/>
  <c r="P60" i="11"/>
  <c r="P28" i="15"/>
  <c r="O50" i="13"/>
  <c r="M47" i="15"/>
  <c r="P26" i="11"/>
  <c r="S62" i="19"/>
  <c r="S35" i="19"/>
  <c r="O51" i="11"/>
  <c r="M51" i="16"/>
  <c r="N50" i="15"/>
  <c r="Q49" i="13"/>
  <c r="U29" i="19"/>
  <c r="P41" i="19"/>
  <c r="O47" i="11"/>
  <c r="BI36" i="19"/>
  <c r="O51" i="14"/>
  <c r="P63" i="14"/>
  <c r="P37" i="11"/>
  <c r="O49" i="16"/>
  <c r="P54" i="19"/>
  <c r="BI26" i="19"/>
  <c r="BI34" i="19"/>
  <c r="P45" i="11"/>
  <c r="P43" i="13"/>
  <c r="Q19" i="11"/>
  <c r="N50" i="13"/>
  <c r="P25" i="16"/>
  <c r="S29" i="19"/>
  <c r="BI45" i="19"/>
  <c r="O19" i="11"/>
  <c r="N46" i="13"/>
  <c r="BI54" i="19"/>
  <c r="P64" i="11"/>
  <c r="Q21" i="11"/>
  <c r="BI44" i="19"/>
  <c r="BI55" i="19"/>
  <c r="BI56" i="19"/>
  <c r="O21" i="11"/>
  <c r="N20" i="14"/>
  <c r="N51" i="11"/>
  <c r="O49" i="13"/>
  <c r="O49" i="11"/>
  <c r="S54" i="19"/>
  <c r="M20" i="11"/>
  <c r="M49" i="11"/>
  <c r="N21" i="11"/>
  <c r="N48" i="14"/>
  <c r="M48" i="13"/>
  <c r="P43" i="11"/>
  <c r="M50" i="16"/>
  <c r="Q49" i="18"/>
  <c r="S45" i="19"/>
  <c r="BI63" i="19"/>
  <c r="BI31" i="19"/>
  <c r="M20" i="16"/>
  <c r="M49" i="14"/>
  <c r="N50" i="11"/>
  <c r="N48" i="13"/>
  <c r="BB42" i="8"/>
  <c r="BB62" i="8"/>
  <c r="BB41" i="8"/>
  <c r="BB27" i="8"/>
  <c r="BB34" i="8"/>
  <c r="BB57" i="8"/>
  <c r="BB45" i="8"/>
  <c r="BB40" i="8"/>
  <c r="BB36" i="8"/>
  <c r="Q76" i="18"/>
  <c r="S37" i="19"/>
  <c r="P59" i="19"/>
  <c r="P38" i="19"/>
  <c r="S52" i="19"/>
  <c r="BI38" i="19"/>
  <c r="M50" i="14"/>
  <c r="BI40" i="19"/>
  <c r="Q53" i="18"/>
  <c r="U32" i="19"/>
  <c r="S57" i="19"/>
  <c r="U43" i="19"/>
  <c r="S25" i="19"/>
  <c r="S39" i="19"/>
  <c r="BI33" i="19"/>
  <c r="M20" i="14"/>
  <c r="U59" i="19"/>
  <c r="P35" i="19"/>
  <c r="P61" i="19"/>
  <c r="S28" i="19"/>
  <c r="U31" i="19"/>
  <c r="M47" i="11"/>
  <c r="BI35" i="19"/>
  <c r="U61" i="19"/>
  <c r="U63" i="19"/>
  <c r="U42" i="19"/>
  <c r="S33" i="19"/>
  <c r="S40" i="19"/>
  <c r="P30" i="19"/>
  <c r="U39" i="19"/>
  <c r="M21" i="16"/>
  <c r="BI62" i="19"/>
  <c r="BI57" i="19"/>
  <c r="U37" i="19"/>
  <c r="S38" i="19"/>
  <c r="U44" i="19"/>
  <c r="S55" i="19"/>
  <c r="P56" i="19"/>
  <c r="BI30" i="19"/>
  <c r="BI25" i="19"/>
  <c r="O50" i="11"/>
  <c r="U57" i="19"/>
  <c r="U27" i="19"/>
  <c r="S26" i="19"/>
  <c r="S60" i="19"/>
  <c r="BI59" i="19"/>
  <c r="BI42" i="19"/>
  <c r="M48" i="11"/>
  <c r="BI37" i="19"/>
  <c r="M51" i="11"/>
  <c r="S56" i="19"/>
  <c r="P32" i="19"/>
  <c r="U35" i="19"/>
  <c r="BI64" i="19"/>
  <c r="BI53" i="19"/>
  <c r="M46" i="11"/>
  <c r="BI60" i="19"/>
  <c r="BB58" i="8"/>
  <c r="BB54" i="8"/>
  <c r="BB59" i="8"/>
  <c r="BB63" i="8"/>
  <c r="BB38" i="8"/>
  <c r="BB37" i="8"/>
  <c r="BB33" i="8"/>
  <c r="BB29" i="8"/>
  <c r="BB53" i="8"/>
  <c r="Q97" i="18"/>
  <c r="U56" i="19"/>
  <c r="P33" i="19"/>
  <c r="P36" i="19"/>
  <c r="Q96" i="18"/>
  <c r="Q70" i="18"/>
  <c r="Q77" i="18"/>
  <c r="Q64" i="18"/>
  <c r="P26" i="19"/>
  <c r="S42" i="19"/>
  <c r="U62" i="19"/>
  <c r="S63" i="19"/>
  <c r="P60" i="19"/>
  <c r="S59" i="19"/>
  <c r="U26" i="19"/>
  <c r="Q94" i="18"/>
  <c r="Q58" i="18"/>
  <c r="Q43" i="18"/>
  <c r="U40" i="19"/>
  <c r="U28" i="19"/>
  <c r="P55" i="19"/>
  <c r="U54" i="19"/>
  <c r="S32" i="19"/>
  <c r="P64" i="19"/>
  <c r="U36" i="19"/>
  <c r="Q42" i="18"/>
  <c r="U30" i="19"/>
  <c r="S64" i="19"/>
  <c r="P29" i="19"/>
  <c r="P37" i="19"/>
  <c r="P63" i="19"/>
  <c r="U45" i="19"/>
  <c r="Q134" i="18"/>
  <c r="U60" i="19"/>
  <c r="U52" i="19"/>
  <c r="S41" i="19"/>
  <c r="P28" i="19"/>
  <c r="P57" i="19"/>
  <c r="P42" i="19"/>
  <c r="S27" i="19"/>
  <c r="Q28" i="18"/>
  <c r="Q66" i="18"/>
  <c r="P31" i="19"/>
  <c r="P27" i="19"/>
  <c r="P25" i="19"/>
  <c r="P34" i="19"/>
  <c r="P53" i="19"/>
  <c r="S53" i="19"/>
  <c r="U38" i="19"/>
  <c r="Q113" i="18"/>
  <c r="U64" i="19"/>
  <c r="P52" i="19"/>
  <c r="S43" i="19"/>
  <c r="U55" i="19"/>
  <c r="P44" i="19"/>
  <c r="P62" i="19"/>
  <c r="U34" i="19"/>
  <c r="P39" i="19"/>
  <c r="Q52" i="18"/>
  <c r="U33" i="19"/>
  <c r="S34" i="19"/>
  <c r="U25" i="19"/>
  <c r="S61" i="19"/>
  <c r="S44" i="19"/>
  <c r="S31" i="19"/>
  <c r="Q29" i="7"/>
  <c r="BB61" i="8"/>
  <c r="BB56" i="8"/>
  <c r="BB52" i="8"/>
  <c r="BB44" i="8"/>
  <c r="BB64" i="8"/>
  <c r="BB60" i="8"/>
  <c r="Q123" i="18"/>
  <c r="Q23" i="18"/>
  <c r="Q114" i="18"/>
  <c r="Q39" i="18"/>
  <c r="Q107" i="18"/>
  <c r="Q125" i="18"/>
  <c r="Q62" i="18"/>
  <c r="Q128" i="18"/>
  <c r="S30" i="19"/>
  <c r="Q120" i="18"/>
  <c r="Q108" i="18"/>
  <c r="Q37" i="18"/>
  <c r="Q105" i="18"/>
  <c r="Q124" i="18"/>
  <c r="Q79" i="18"/>
  <c r="Q109" i="18"/>
  <c r="Q54" i="18"/>
  <c r="P45" i="19"/>
  <c r="BA54" i="8"/>
  <c r="Q25" i="7"/>
  <c r="Q127" i="18"/>
  <c r="Q36" i="18"/>
  <c r="Q68" i="18"/>
  <c r="Q33" i="18"/>
  <c r="Q72" i="18"/>
  <c r="Q82" i="18"/>
  <c r="U41" i="19"/>
  <c r="BA42" i="8"/>
  <c r="Q24" i="7"/>
  <c r="Q102" i="18"/>
  <c r="Q83" i="18"/>
  <c r="Q115" i="18"/>
  <c r="Q133" i="18"/>
  <c r="Q119" i="18"/>
  <c r="Q22" i="18"/>
  <c r="BA34" i="8"/>
  <c r="Q104" i="18"/>
  <c r="Q103" i="18"/>
  <c r="Q30" i="18"/>
  <c r="Q34" i="18"/>
  <c r="Q81" i="18"/>
  <c r="Q73" i="18"/>
  <c r="Q59" i="18"/>
  <c r="BA28" i="8"/>
  <c r="BA26" i="8"/>
  <c r="Q112" i="18"/>
  <c r="AZ29" i="8"/>
  <c r="Q98" i="18"/>
  <c r="Q90" i="18"/>
  <c r="Q25" i="18"/>
  <c r="Q89" i="18"/>
  <c r="Q91" i="18"/>
  <c r="Q130" i="18"/>
  <c r="Q129" i="18"/>
  <c r="Q92" i="18"/>
  <c r="Q137" i="18"/>
  <c r="Q24" i="18"/>
  <c r="Q106" i="18"/>
  <c r="Q84" i="18"/>
  <c r="Q35" i="18"/>
  <c r="Q47" i="18"/>
  <c r="Q11" i="18"/>
  <c r="AO32" i="8"/>
  <c r="Q38" i="18"/>
  <c r="Q117" i="18"/>
  <c r="Q45" i="18"/>
  <c r="Q71" i="18"/>
  <c r="Q138" i="18"/>
  <c r="Q131" i="18"/>
  <c r="AY30" i="8"/>
  <c r="Q101" i="18"/>
  <c r="Q21" i="18"/>
  <c r="Q111" i="18"/>
  <c r="Q88" i="18"/>
  <c r="Q67" i="18"/>
  <c r="Q85" i="18"/>
  <c r="Q44" i="18"/>
  <c r="AZ52" i="8"/>
  <c r="Q46" i="18"/>
  <c r="Q121" i="18"/>
  <c r="Q87" i="18"/>
  <c r="Q65" i="18"/>
  <c r="Q60" i="18"/>
  <c r="Q78" i="18"/>
  <c r="Q61" i="18"/>
  <c r="Q75" i="18"/>
  <c r="AZ30" i="8"/>
  <c r="AZ43" i="8"/>
  <c r="Q28" i="7"/>
  <c r="BA60" i="8"/>
  <c r="BA55" i="8"/>
  <c r="BA62" i="8"/>
  <c r="AY56" i="8"/>
  <c r="AY64" i="8"/>
  <c r="AY25" i="8"/>
  <c r="AY52" i="8"/>
  <c r="AZ42" i="8"/>
  <c r="BA63" i="8"/>
  <c r="BA27" i="8"/>
  <c r="BA29" i="8"/>
  <c r="Q99" i="18"/>
  <c r="AY43" i="8"/>
  <c r="AY55" i="8"/>
  <c r="AZ59" i="8"/>
  <c r="BA59" i="8"/>
  <c r="BA43" i="8"/>
  <c r="BA30" i="8"/>
  <c r="Q56" i="18"/>
  <c r="AY32" i="8"/>
  <c r="AY38" i="8"/>
  <c r="AZ28" i="8"/>
  <c r="AZ53" i="8"/>
  <c r="BA57" i="8"/>
  <c r="BA45" i="8"/>
  <c r="AZ62" i="8"/>
  <c r="Q55" i="18"/>
  <c r="Q51" i="18"/>
  <c r="Q23" i="7"/>
  <c r="R21" i="18"/>
  <c r="AY35" i="8"/>
  <c r="AZ63" i="8"/>
  <c r="AZ54" i="8"/>
  <c r="BA36" i="8"/>
  <c r="BA40" i="8"/>
  <c r="Q69" i="18"/>
  <c r="Q22" i="7"/>
  <c r="AY41" i="8"/>
  <c r="AZ34" i="8"/>
  <c r="BA61" i="8"/>
  <c r="BA37" i="8"/>
  <c r="BA39" i="8"/>
  <c r="Q122" i="18"/>
  <c r="Q126" i="18"/>
  <c r="Q93" i="18"/>
  <c r="AY61" i="8"/>
  <c r="AZ31" i="8"/>
  <c r="BA56" i="8"/>
  <c r="BA53" i="8"/>
  <c r="BA35" i="8"/>
  <c r="Q135" i="18"/>
  <c r="Q29" i="18"/>
  <c r="AY34" i="8"/>
  <c r="AZ56" i="8"/>
  <c r="BA52" i="8"/>
  <c r="BA32" i="8"/>
  <c r="BA25" i="8"/>
  <c r="Q50" i="18"/>
  <c r="Q21" i="7"/>
  <c r="Q95" i="18"/>
  <c r="AC57" i="8"/>
  <c r="AY33" i="8"/>
  <c r="BA44" i="8"/>
  <c r="BA41" i="8"/>
  <c r="BA38" i="8"/>
  <c r="Q63" i="18"/>
  <c r="AN26" i="8"/>
  <c r="AY26" i="8"/>
  <c r="AZ25" i="8"/>
  <c r="BA64" i="8"/>
  <c r="BA33" i="8"/>
  <c r="BA31" i="8"/>
  <c r="Q116" i="18"/>
  <c r="Q57" i="18"/>
  <c r="M54" i="10"/>
  <c r="Q80" i="18"/>
  <c r="AC27" i="8"/>
  <c r="AW56" i="8"/>
  <c r="AX35" i="8"/>
  <c r="AX64" i="8"/>
  <c r="AX25" i="8"/>
  <c r="AX32" i="8"/>
  <c r="AX41" i="8"/>
  <c r="AY60" i="8"/>
  <c r="BI59" i="10"/>
  <c r="AC25" i="8"/>
  <c r="AP31" i="8"/>
  <c r="AX56" i="8"/>
  <c r="AX28" i="8"/>
  <c r="AX29" i="8"/>
  <c r="AY31" i="8"/>
  <c r="AY53" i="8"/>
  <c r="BK41" i="10"/>
  <c r="BI27" i="10"/>
  <c r="AP36" i="8"/>
  <c r="AX33" i="8"/>
  <c r="AX39" i="8"/>
  <c r="AX45" i="8"/>
  <c r="AY40" i="8"/>
  <c r="AY39" i="8"/>
  <c r="AH36" i="8"/>
  <c r="BI25" i="10"/>
  <c r="AS37" i="8"/>
  <c r="AX52" i="8"/>
  <c r="AX60" i="8"/>
  <c r="AX59" i="8"/>
  <c r="AY54" i="8"/>
  <c r="AP25" i="8"/>
  <c r="AD39" i="8"/>
  <c r="AR34" i="8"/>
  <c r="AX38" i="8"/>
  <c r="AX27" i="8"/>
  <c r="AX42" i="8"/>
  <c r="AY28" i="8"/>
  <c r="AY42" i="8"/>
  <c r="AY27" i="8"/>
  <c r="AW59" i="8"/>
  <c r="AH60" i="8"/>
  <c r="AW44" i="8"/>
  <c r="AX36" i="8"/>
  <c r="AX62" i="8"/>
  <c r="AX34" i="8"/>
  <c r="AY62" i="8"/>
  <c r="AY36" i="8"/>
  <c r="AD55" i="8"/>
  <c r="AH34" i="8"/>
  <c r="AW42" i="8"/>
  <c r="AX30" i="8"/>
  <c r="AX55" i="8"/>
  <c r="AX61" i="8"/>
  <c r="AY59" i="8"/>
  <c r="AY45" i="8"/>
  <c r="BB35" i="10"/>
  <c r="AL29" i="8"/>
  <c r="AV40" i="8"/>
  <c r="AX40" i="8"/>
  <c r="AX57" i="8"/>
  <c r="AX63" i="8"/>
  <c r="AY37" i="8"/>
  <c r="AY63" i="8"/>
  <c r="BD29" i="10"/>
  <c r="AB53" i="8"/>
  <c r="AN43" i="8"/>
  <c r="BI31" i="10"/>
  <c r="AX44" i="8"/>
  <c r="AX53" i="8"/>
  <c r="AX26" i="8"/>
  <c r="AY57" i="8"/>
  <c r="AY29" i="8"/>
  <c r="AL64" i="8"/>
  <c r="AB37" i="8"/>
  <c r="AO25" i="8"/>
  <c r="AN56" i="8"/>
  <c r="AX31" i="8"/>
  <c r="AX37" i="8"/>
  <c r="AY44" i="8"/>
  <c r="BG57" i="10"/>
  <c r="AB31" i="8"/>
  <c r="AO60" i="8"/>
  <c r="AP62" i="8"/>
  <c r="AX43" i="8"/>
  <c r="AX54" i="8"/>
  <c r="BG54" i="10"/>
  <c r="AC43" i="8"/>
  <c r="AA56" i="8"/>
  <c r="AA60" i="8"/>
  <c r="AL26" i="8"/>
  <c r="AP35" i="8"/>
  <c r="AS32" i="8"/>
  <c r="AL57" i="8"/>
  <c r="BG25" i="10"/>
  <c r="BG43" i="10"/>
  <c r="BI57" i="10"/>
  <c r="AL25" i="8"/>
  <c r="AW30" i="8"/>
  <c r="Z27" i="8"/>
  <c r="BG42" i="10"/>
  <c r="AD44" i="8"/>
  <c r="BI44" i="10"/>
  <c r="AB44" i="8"/>
  <c r="BI37" i="10"/>
  <c r="AL44" i="8"/>
  <c r="AW40" i="8"/>
  <c r="AA64" i="8"/>
  <c r="BG31" i="10"/>
  <c r="BJ32" i="10"/>
  <c r="BJ43" i="10"/>
  <c r="AB38" i="8"/>
  <c r="BI28" i="10"/>
  <c r="AN25" i="8"/>
  <c r="AW53" i="8"/>
  <c r="BF25" i="10"/>
  <c r="BH38" i="10"/>
  <c r="BK32" i="10"/>
  <c r="AO40" i="8"/>
  <c r="BK56" i="10"/>
  <c r="AB29" i="8"/>
  <c r="BJ44" i="10"/>
  <c r="AN30" i="8"/>
  <c r="AV30" i="8"/>
  <c r="AA52" i="8"/>
  <c r="AC63" i="8"/>
  <c r="BK25" i="10"/>
  <c r="AO27" i="8"/>
  <c r="BG45" i="10"/>
  <c r="BA27" i="10"/>
  <c r="BE54" i="10"/>
  <c r="BH43" i="10"/>
  <c r="BK53" i="10"/>
  <c r="AP55" i="8"/>
  <c r="AN64" i="8"/>
  <c r="BF63" i="10"/>
  <c r="BH63" i="10"/>
  <c r="AH27" i="8"/>
  <c r="AS55" i="8"/>
  <c r="BE61" i="10"/>
  <c r="BH34" i="10"/>
  <c r="BK44" i="10"/>
  <c r="AP40" i="8"/>
  <c r="AR53" i="8"/>
  <c r="AB34" i="8"/>
  <c r="BI33" i="10"/>
  <c r="AL56" i="8"/>
  <c r="BF40" i="10"/>
  <c r="AC44" i="8"/>
  <c r="AH25" i="8"/>
  <c r="AR28" i="8"/>
  <c r="AW26" i="8"/>
  <c r="AB25" i="8"/>
  <c r="BI64" i="10"/>
  <c r="AL59" i="8"/>
  <c r="BF64" i="10"/>
  <c r="BF32" i="10"/>
  <c r="BK34" i="10"/>
  <c r="BG26" i="10"/>
  <c r="AC31" i="8"/>
  <c r="AH55" i="8"/>
  <c r="AS31" i="8"/>
  <c r="BC61" i="10"/>
  <c r="Q239" i="7"/>
  <c r="Q240" i="7"/>
  <c r="Q241" i="7"/>
  <c r="Q242" i="7"/>
  <c r="Q243" i="7"/>
  <c r="Q244" i="7"/>
  <c r="Q245" i="7"/>
  <c r="Q246" i="7"/>
  <c r="Q247" i="7"/>
  <c r="Q248" i="7"/>
  <c r="AO37" i="8"/>
  <c r="AO28" i="8"/>
  <c r="AC37" i="8"/>
  <c r="AA55" i="8"/>
  <c r="AL42" i="8"/>
  <c r="AP39" i="8"/>
  <c r="AR44" i="8"/>
  <c r="AD29" i="8"/>
  <c r="AH42" i="8"/>
  <c r="AD26" i="8"/>
  <c r="AS63" i="8"/>
  <c r="AP45" i="8"/>
  <c r="AA37" i="8"/>
  <c r="AS52" i="8"/>
  <c r="AA27" i="8"/>
  <c r="AW38" i="8"/>
  <c r="AA28" i="8"/>
  <c r="AW36" i="8"/>
  <c r="AV39" i="8"/>
  <c r="AA29" i="8"/>
  <c r="AB57" i="8"/>
  <c r="AA32" i="8"/>
  <c r="AH31" i="8"/>
  <c r="AO36" i="8"/>
  <c r="Z29" i="8"/>
  <c r="AP64" i="8"/>
  <c r="AW52" i="8"/>
  <c r="AD52" i="8"/>
  <c r="AR54" i="8"/>
  <c r="AR62" i="8"/>
  <c r="AD36" i="8"/>
  <c r="AV56" i="8"/>
  <c r="BF30" i="10"/>
  <c r="BJ34" i="10"/>
  <c r="AW64" i="8"/>
  <c r="AH40" i="8"/>
  <c r="AR35" i="8"/>
  <c r="AH62" i="8"/>
  <c r="AB39" i="8"/>
  <c r="AD43" i="8"/>
  <c r="AL41" i="8"/>
  <c r="AR36" i="8"/>
  <c r="BK45" i="10"/>
  <c r="AL35" i="8"/>
  <c r="AR27" i="8"/>
  <c r="AO54" i="8"/>
  <c r="BG37" i="10"/>
  <c r="AD33" i="8"/>
  <c r="AL32" i="8"/>
  <c r="AS42" i="8"/>
  <c r="BF56" i="10"/>
  <c r="BH39" i="10"/>
  <c r="AL33" i="8"/>
  <c r="AS40" i="8"/>
  <c r="Y35" i="8"/>
  <c r="BH31" i="10"/>
  <c r="BJ64" i="10"/>
  <c r="AN34" i="8"/>
  <c r="AS45" i="8"/>
  <c r="AD30" i="8"/>
  <c r="AL43" i="8"/>
  <c r="AS28" i="8"/>
  <c r="BF59" i="10"/>
  <c r="AC64" i="8"/>
  <c r="BJ42" i="10"/>
  <c r="AN40" i="8"/>
  <c r="AS34" i="8"/>
  <c r="BD30" i="10"/>
  <c r="AD28" i="8"/>
  <c r="AN62" i="8"/>
  <c r="AR57" i="8"/>
  <c r="BF27" i="10"/>
  <c r="AC34" i="8"/>
  <c r="BJ41" i="10"/>
  <c r="AN37" i="8"/>
  <c r="AW25" i="8"/>
  <c r="BF53" i="10"/>
  <c r="AC30" i="8"/>
  <c r="BK39" i="10"/>
  <c r="AO39" i="8"/>
  <c r="BJ59" i="10"/>
  <c r="AN59" i="8"/>
  <c r="BK26" i="10"/>
  <c r="AO57" i="8"/>
  <c r="AB45" i="8"/>
  <c r="AA39" i="8"/>
  <c r="BI63" i="10"/>
  <c r="BK35" i="10"/>
  <c r="AP59" i="8"/>
  <c r="AW54" i="8"/>
  <c r="BG41" i="10"/>
  <c r="BK63" i="10"/>
  <c r="AP56" i="8"/>
  <c r="BJ31" i="10"/>
  <c r="BG28" i="10"/>
  <c r="BI36" i="10"/>
  <c r="AH45" i="8"/>
  <c r="BK28" i="10"/>
  <c r="AH59" i="8"/>
  <c r="AP52" i="8"/>
  <c r="BK54" i="10"/>
  <c r="AB64" i="8"/>
  <c r="AD40" i="8"/>
  <c r="AH30" i="8"/>
  <c r="AP27" i="8"/>
  <c r="AL61" i="8"/>
  <c r="AW34" i="8"/>
  <c r="AA53" i="8"/>
  <c r="AO38" i="8"/>
  <c r="AO33" i="8"/>
  <c r="AA62" i="8"/>
  <c r="AA25" i="8"/>
  <c r="AH56" i="8"/>
  <c r="AC60" i="8"/>
  <c r="AC29" i="8"/>
  <c r="AO35" i="8"/>
  <c r="AW61" i="8"/>
  <c r="BI62" i="10"/>
  <c r="AP53" i="8"/>
  <c r="Y63" i="8"/>
  <c r="BD27" i="10"/>
  <c r="AB60" i="8"/>
  <c r="BI40" i="10"/>
  <c r="BF57" i="10"/>
  <c r="AW32" i="8"/>
  <c r="BI61" i="10"/>
  <c r="AR64" i="8"/>
  <c r="AA44" i="8"/>
  <c r="Z28" i="8"/>
  <c r="BG44" i="10"/>
  <c r="AD60" i="8"/>
  <c r="BF36" i="10"/>
  <c r="BH29" i="10"/>
  <c r="BJ28" i="10"/>
  <c r="AR30" i="8"/>
  <c r="BF37" i="10"/>
  <c r="Z60" i="8"/>
  <c r="BG33" i="10"/>
  <c r="AD37" i="8"/>
  <c r="BH64" i="10"/>
  <c r="BB38" i="10"/>
  <c r="BK64" i="10"/>
  <c r="AR32" i="8"/>
  <c r="BF33" i="10"/>
  <c r="BF55" i="10"/>
  <c r="BH35" i="10"/>
  <c r="BJ40" i="10"/>
  <c r="BH27" i="10"/>
  <c r="Y53" i="8"/>
  <c r="BK61" i="10"/>
  <c r="AS61" i="8"/>
  <c r="BJ53" i="10"/>
  <c r="BJ25" i="10"/>
  <c r="BF26" i="10"/>
  <c r="AL52" i="8"/>
  <c r="AW45" i="8"/>
  <c r="BI38" i="10"/>
  <c r="AA34" i="8"/>
  <c r="AC45" i="8"/>
  <c r="BJ37" i="10"/>
  <c r="BK60" i="10"/>
  <c r="BK33" i="10"/>
  <c r="BH59" i="10"/>
  <c r="AL36" i="8"/>
  <c r="AV36" i="8"/>
  <c r="AR29" i="8"/>
  <c r="BG62" i="10"/>
  <c r="BH56" i="10"/>
  <c r="BF31" i="10"/>
  <c r="AH33" i="8"/>
  <c r="AC55" i="8"/>
  <c r="AN55" i="8"/>
  <c r="BG64" i="10"/>
  <c r="AV54" i="8"/>
  <c r="BG36" i="10"/>
  <c r="BK27" i="10"/>
  <c r="AP57" i="8"/>
  <c r="AD64" i="8"/>
  <c r="AO55" i="8"/>
  <c r="AO41" i="8"/>
  <c r="BB33" i="10"/>
  <c r="BG27" i="10"/>
  <c r="AH43" i="8"/>
  <c r="AS26" i="8"/>
  <c r="AD25" i="8"/>
  <c r="AO53" i="8"/>
  <c r="AS59" i="8"/>
  <c r="BC41" i="10"/>
  <c r="BG32" i="10"/>
  <c r="BI55" i="10"/>
  <c r="AH64" i="8"/>
  <c r="AN32" i="8"/>
  <c r="X25" i="8"/>
  <c r="AL54" i="8"/>
  <c r="AN41" i="8"/>
  <c r="AB55" i="8"/>
  <c r="AR60" i="8"/>
  <c r="AR41" i="8"/>
  <c r="AC32" i="8"/>
  <c r="AD45" i="8"/>
  <c r="BB40" i="10"/>
  <c r="BI45" i="10"/>
  <c r="BK42" i="10"/>
  <c r="AP29" i="8"/>
  <c r="BF60" i="10"/>
  <c r="AD63" i="8"/>
  <c r="AH26" i="8"/>
  <c r="AS54" i="8"/>
  <c r="AA63" i="8"/>
  <c r="AD61" i="8"/>
  <c r="BK29" i="10"/>
  <c r="AP28" i="8"/>
  <c r="AS33" i="8"/>
  <c r="BH26" i="10"/>
  <c r="AR55" i="8"/>
  <c r="BG56" i="10"/>
  <c r="AD31" i="8"/>
  <c r="AH32" i="8"/>
  <c r="AS30" i="8"/>
  <c r="BF45" i="10"/>
  <c r="AD38" i="8"/>
  <c r="BG39" i="10"/>
  <c r="AS62" i="8"/>
  <c r="BG53" i="10"/>
  <c r="BG30" i="10"/>
  <c r="AV44" i="8"/>
  <c r="BH62" i="10"/>
  <c r="BG52" i="10"/>
  <c r="AB40" i="8"/>
  <c r="BJ36" i="10"/>
  <c r="AO43" i="8"/>
  <c r="AW35" i="8"/>
  <c r="BG59" i="10"/>
  <c r="BI26" i="10"/>
  <c r="AN29" i="8"/>
  <c r="BH44" i="10"/>
  <c r="BH53" i="10"/>
  <c r="BH61" i="10"/>
  <c r="BJ29" i="10"/>
  <c r="AP33" i="8"/>
  <c r="AV61" i="8"/>
  <c r="AB27" i="8"/>
  <c r="BJ52" i="10"/>
  <c r="AN53" i="8"/>
  <c r="BK43" i="10"/>
  <c r="BK30" i="10"/>
  <c r="AW27" i="8"/>
  <c r="BH41" i="10"/>
  <c r="BK57" i="10"/>
  <c r="AP43" i="8"/>
  <c r="AS56" i="8"/>
  <c r="BH52" i="10"/>
  <c r="BJ45" i="10"/>
  <c r="AO64" i="8"/>
  <c r="AB33" i="8"/>
  <c r="AH38" i="8"/>
  <c r="BD32" i="10"/>
  <c r="AC59" i="8"/>
  <c r="BK40" i="10"/>
  <c r="AR45" i="8"/>
  <c r="BC34" i="10"/>
  <c r="AC53" i="8"/>
  <c r="AW62" i="8"/>
  <c r="AW37" i="8"/>
  <c r="AH44" i="8"/>
  <c r="AO62" i="8"/>
  <c r="AS35" i="8"/>
  <c r="AV63" i="8"/>
  <c r="AP30" i="8"/>
  <c r="X60" i="8"/>
  <c r="AO61" i="8"/>
  <c r="BF44" i="10"/>
  <c r="AB32" i="8"/>
  <c r="BK37" i="10"/>
  <c r="AP54" i="8"/>
  <c r="AV37" i="8"/>
  <c r="AB30" i="8"/>
  <c r="AH28" i="8"/>
  <c r="AP34" i="8"/>
  <c r="AV27" i="8"/>
  <c r="BJ56" i="10"/>
  <c r="AB63" i="8"/>
  <c r="AH29" i="8"/>
  <c r="AP60" i="8"/>
  <c r="AH39" i="8"/>
  <c r="BH37" i="10"/>
  <c r="AP41" i="8"/>
  <c r="BH28" i="10"/>
  <c r="AH37" i="8"/>
  <c r="AR52" i="8"/>
  <c r="Y41" i="8"/>
  <c r="BH60" i="10"/>
  <c r="AL38" i="8"/>
  <c r="AR61" i="8"/>
  <c r="BK36" i="10"/>
  <c r="AS38" i="8"/>
  <c r="BH30" i="10"/>
  <c r="AL31" i="8"/>
  <c r="AR56" i="8"/>
  <c r="Y64" i="8"/>
  <c r="AC35" i="8"/>
  <c r="AL37" i="8"/>
  <c r="AR31" i="8"/>
  <c r="AW55" i="8"/>
  <c r="BI60" i="10"/>
  <c r="AL55" i="8"/>
  <c r="AS53" i="8"/>
  <c r="AA61" i="8"/>
  <c r="AD27" i="8"/>
  <c r="AL27" i="8"/>
  <c r="AR25" i="8"/>
  <c r="AP26" i="8"/>
  <c r="AD54" i="8"/>
  <c r="AN36" i="8"/>
  <c r="AV28" i="8"/>
  <c r="AA40" i="8"/>
  <c r="AD32" i="8"/>
  <c r="AN31" i="8"/>
  <c r="AR37" i="8"/>
  <c r="BB32" i="10"/>
  <c r="AD53" i="8"/>
  <c r="AN28" i="8"/>
  <c r="AW63" i="8"/>
  <c r="BF35" i="10"/>
  <c r="BI32" i="10"/>
  <c r="AN33" i="8"/>
  <c r="BD44" i="10"/>
  <c r="BJ57" i="10"/>
  <c r="AN63" i="8"/>
  <c r="AW60" i="8"/>
  <c r="BF52" i="10"/>
  <c r="BJ61" i="10"/>
  <c r="AO31" i="8"/>
  <c r="AS39" i="8"/>
  <c r="BF62" i="10"/>
  <c r="AY44" i="10"/>
  <c r="BF43" i="10"/>
  <c r="BJ39" i="10"/>
  <c r="AO26" i="8"/>
  <c r="AW39" i="8"/>
  <c r="AB26" i="8"/>
  <c r="BK55" i="10"/>
  <c r="BI39" i="10"/>
  <c r="AS64" i="8"/>
  <c r="U55" i="8"/>
  <c r="AW28" i="8"/>
  <c r="AB59" i="8"/>
  <c r="AC38" i="8"/>
  <c r="AD35" i="8"/>
  <c r="AO34" i="8"/>
  <c r="AO42" i="8"/>
  <c r="AO45" i="8"/>
  <c r="AP44" i="8"/>
  <c r="BG55" i="10"/>
  <c r="BJ55" i="10"/>
  <c r="BH36" i="10"/>
  <c r="AO59" i="8"/>
  <c r="AV52" i="8"/>
  <c r="AB35" i="8"/>
  <c r="BH45" i="10"/>
  <c r="BK62" i="10"/>
  <c r="AN27" i="8"/>
  <c r="BG40" i="10"/>
  <c r="AC33" i="8"/>
  <c r="BB44" i="10"/>
  <c r="BJ60" i="10"/>
  <c r="AP63" i="8"/>
  <c r="AS43" i="8"/>
  <c r="AB28" i="8"/>
  <c r="AC42" i="8"/>
  <c r="BH25" i="10"/>
  <c r="X54" i="8"/>
  <c r="BJ54" i="10"/>
  <c r="BD55" i="10"/>
  <c r="BK38" i="10"/>
  <c r="AS57" i="8"/>
  <c r="BB36" i="10"/>
  <c r="BG63" i="10"/>
  <c r="BI29" i="10"/>
  <c r="BJ38" i="10"/>
  <c r="BE25" i="10"/>
  <c r="AH52" i="8"/>
  <c r="AS29" i="8"/>
  <c r="X34" i="8"/>
  <c r="BJ27" i="10"/>
  <c r="BJ33" i="10"/>
  <c r="AB42" i="8"/>
  <c r="AL39" i="8"/>
  <c r="AR39" i="8"/>
  <c r="Y25" i="8"/>
  <c r="AC26" i="8"/>
  <c r="AD34" i="8"/>
  <c r="AH61" i="8"/>
  <c r="AN44" i="8"/>
  <c r="BG61" i="10"/>
  <c r="AN57" i="8"/>
  <c r="AR42" i="8"/>
  <c r="AA57" i="8"/>
  <c r="AC40" i="8"/>
  <c r="BI34" i="10"/>
  <c r="AL63" i="8"/>
  <c r="AV53" i="10"/>
  <c r="AN45" i="8"/>
  <c r="BG34" i="10"/>
  <c r="AN39" i="8"/>
  <c r="AV35" i="8"/>
  <c r="AA30" i="8"/>
  <c r="BH54" i="10"/>
  <c r="BI35" i="10"/>
  <c r="BJ26" i="10"/>
  <c r="BG60" i="10"/>
  <c r="AW29" i="8"/>
  <c r="AB41" i="8"/>
  <c r="AO52" i="8"/>
  <c r="AO44" i="8"/>
  <c r="AR40" i="8"/>
  <c r="AR43" i="8"/>
  <c r="AW57" i="8"/>
  <c r="AW31" i="8"/>
  <c r="AW33" i="8"/>
  <c r="AH57" i="8"/>
  <c r="AZ44" i="10"/>
  <c r="AZ25" i="10"/>
  <c r="BC55" i="10"/>
  <c r="BC30" i="10"/>
  <c r="AC62" i="8"/>
  <c r="BE60" i="10"/>
  <c r="BD36" i="10"/>
  <c r="BF54" i="10"/>
  <c r="BE33" i="10"/>
  <c r="AC41" i="8"/>
  <c r="AH63" i="8"/>
  <c r="AP38" i="8"/>
  <c r="AV38" i="8"/>
  <c r="Z30" i="8"/>
  <c r="BH42" i="10"/>
  <c r="AH54" i="8"/>
  <c r="BH57" i="10"/>
  <c r="AA43" i="8"/>
  <c r="BH55" i="10"/>
  <c r="AH41" i="8"/>
  <c r="AP37" i="8"/>
  <c r="AC28" i="8"/>
  <c r="BF29" i="10"/>
  <c r="BH40" i="10"/>
  <c r="BI54" i="10"/>
  <c r="AA41" i="8"/>
  <c r="BI53" i="10"/>
  <c r="AA36" i="8"/>
  <c r="BI52" i="10"/>
  <c r="AL62" i="8"/>
  <c r="AS44" i="8"/>
  <c r="BK59" i="10"/>
  <c r="AA35" i="8"/>
  <c r="BI56" i="10"/>
  <c r="AL60" i="8"/>
  <c r="BK31" i="10"/>
  <c r="AA31" i="8"/>
  <c r="BI41" i="10"/>
  <c r="AL53" i="8"/>
  <c r="AS25" i="8"/>
  <c r="AL34" i="8"/>
  <c r="BF39" i="10"/>
  <c r="BI42" i="10"/>
  <c r="AL28" i="8"/>
  <c r="AO30" i="8"/>
  <c r="BF41" i="10"/>
  <c r="AD56" i="8"/>
  <c r="AL40" i="8"/>
  <c r="AS36" i="8"/>
  <c r="AO56" i="8"/>
  <c r="BF38" i="10"/>
  <c r="BI30" i="10"/>
  <c r="AN54" i="8"/>
  <c r="AX44" i="10"/>
  <c r="BG35" i="10"/>
  <c r="BF34" i="10"/>
  <c r="AD57" i="8"/>
  <c r="AN61" i="8"/>
  <c r="AR63" i="8"/>
  <c r="AR38" i="8"/>
  <c r="AB54" i="8"/>
  <c r="AD59" i="8"/>
  <c r="AP61" i="8"/>
  <c r="AS60" i="8"/>
  <c r="AB61" i="8"/>
  <c r="AB43" i="8"/>
  <c r="AB36" i="8"/>
  <c r="AD41" i="8"/>
  <c r="AN52" i="8"/>
  <c r="AC61" i="8"/>
  <c r="AH53" i="8"/>
  <c r="AO63" i="8"/>
  <c r="AL45" i="8"/>
  <c r="AL30" i="8"/>
  <c r="AA26" i="8"/>
  <c r="AA42" i="8"/>
  <c r="AP32" i="8"/>
  <c r="AB62" i="8"/>
  <c r="AS41" i="8"/>
  <c r="AW43" i="8"/>
  <c r="AW41" i="8"/>
  <c r="AV59" i="8"/>
  <c r="AY28" i="10"/>
  <c r="AW54" i="10"/>
  <c r="AZ33" i="10"/>
  <c r="BE31" i="10"/>
  <c r="AB56" i="8"/>
  <c r="BH33" i="10"/>
  <c r="BB27" i="10"/>
  <c r="S37" i="8"/>
  <c r="X53" i="8"/>
  <c r="BE36" i="10"/>
  <c r="AB52" i="8"/>
  <c r="BH32" i="10"/>
  <c r="AH35" i="8"/>
  <c r="AP42" i="8"/>
  <c r="BC44" i="10"/>
  <c r="BE41" i="10"/>
  <c r="AY61" i="10"/>
  <c r="O53" i="10"/>
  <c r="AY39" i="10"/>
  <c r="BD59" i="10"/>
  <c r="BB52" i="10"/>
  <c r="BG38" i="10"/>
  <c r="BI43" i="10"/>
  <c r="AN35" i="8"/>
  <c r="AS27" i="8"/>
  <c r="X26" i="10"/>
  <c r="AY34" i="10"/>
  <c r="Y61" i="8"/>
  <c r="X40" i="8"/>
  <c r="BG29" i="10"/>
  <c r="AD62" i="8"/>
  <c r="AN38" i="8"/>
  <c r="AR59" i="8"/>
  <c r="Z63" i="8"/>
  <c r="AR64" i="10"/>
  <c r="T30" i="8"/>
  <c r="BD56" i="10"/>
  <c r="BD54" i="10"/>
  <c r="AC56" i="8"/>
  <c r="AD42" i="8"/>
  <c r="AN60" i="8"/>
  <c r="AR26" i="8"/>
  <c r="M45" i="8"/>
  <c r="AZ35" i="10"/>
  <c r="BD64" i="10"/>
  <c r="BF28" i="10"/>
  <c r="AC52" i="8"/>
  <c r="BJ63" i="10"/>
  <c r="AN42" i="8"/>
  <c r="AR33" i="8"/>
  <c r="BF61" i="10"/>
  <c r="N45" i="8"/>
  <c r="U62" i="8"/>
  <c r="BE29" i="10"/>
  <c r="AA54" i="8"/>
  <c r="AC39" i="8"/>
  <c r="BJ62" i="10"/>
  <c r="BE56" i="10"/>
  <c r="O27" i="8"/>
  <c r="U34" i="8"/>
  <c r="BE32" i="10"/>
  <c r="AA59" i="8"/>
  <c r="AC54" i="8"/>
  <c r="BJ35" i="10"/>
  <c r="AO29" i="8"/>
  <c r="AC32" i="10"/>
  <c r="P38" i="8"/>
  <c r="AZ41" i="10"/>
  <c r="BE53" i="10"/>
  <c r="AA33" i="8"/>
  <c r="AC36" i="8"/>
  <c r="BK52" i="10"/>
  <c r="Q133" i="7"/>
  <c r="Q134" i="7"/>
  <c r="Q135" i="7"/>
  <c r="Q136" i="7"/>
  <c r="Q137" i="7"/>
  <c r="Q138" i="7"/>
  <c r="Q139" i="7"/>
  <c r="Q140" i="7"/>
  <c r="Q141" i="7"/>
  <c r="Q142" i="7"/>
  <c r="Q143" i="7"/>
  <c r="S53" i="8"/>
  <c r="P29" i="8"/>
  <c r="U41" i="8"/>
  <c r="U37" i="8"/>
  <c r="S62" i="8"/>
  <c r="Z25" i="8"/>
  <c r="T36" i="8"/>
  <c r="X45" i="8"/>
  <c r="X62" i="8"/>
  <c r="N35" i="8"/>
  <c r="AS36" i="10"/>
  <c r="AR54" i="10"/>
  <c r="AZ37" i="10"/>
  <c r="BC63" i="10"/>
  <c r="U60" i="8"/>
  <c r="Y30" i="8"/>
  <c r="M30" i="8"/>
  <c r="T37" i="8"/>
  <c r="BC26" i="10"/>
  <c r="AA38" i="8"/>
  <c r="M57" i="8"/>
  <c r="O39" i="8"/>
  <c r="AB29" i="10"/>
  <c r="BD28" i="10"/>
  <c r="N38" i="8"/>
  <c r="AY57" i="10"/>
  <c r="X29" i="8"/>
  <c r="AA45" i="8"/>
  <c r="M54" i="8"/>
  <c r="AV31" i="10"/>
  <c r="Y62" i="10"/>
  <c r="AD53" i="10"/>
  <c r="BE37" i="10"/>
  <c r="P63" i="8"/>
  <c r="AY59" i="10"/>
  <c r="X41" i="8"/>
  <c r="O34" i="10"/>
  <c r="M44" i="8"/>
  <c r="AX38" i="10"/>
  <c r="BE52" i="10"/>
  <c r="AV34" i="10"/>
  <c r="AY27" i="10"/>
  <c r="BD43" i="10"/>
  <c r="Z38" i="10"/>
  <c r="N62" i="8"/>
  <c r="S26" i="8"/>
  <c r="AY55" i="10"/>
  <c r="BE62" i="10"/>
  <c r="AW31" i="10"/>
  <c r="AY42" i="10"/>
  <c r="BD52" i="10"/>
  <c r="AC43" i="10"/>
  <c r="N32" i="8"/>
  <c r="AX64" i="10"/>
  <c r="AY45" i="10"/>
  <c r="Z59" i="10"/>
  <c r="AW57" i="10"/>
  <c r="T41" i="8"/>
  <c r="BD62" i="10"/>
  <c r="AH37" i="10"/>
  <c r="N42" i="8"/>
  <c r="AX56" i="10"/>
  <c r="AY31" i="10"/>
  <c r="AP25" i="10"/>
  <c r="AZ64" i="10"/>
  <c r="AO56" i="10"/>
  <c r="S45" i="8"/>
  <c r="U54" i="8"/>
  <c r="BE63" i="10"/>
  <c r="AC26" i="10"/>
  <c r="AW30" i="10"/>
  <c r="U35" i="8"/>
  <c r="AA64" i="10"/>
  <c r="S30" i="8"/>
  <c r="U25" i="8"/>
  <c r="BE45" i="10"/>
  <c r="AR33" i="10"/>
  <c r="AY32" i="10"/>
  <c r="BB42" i="10"/>
  <c r="O54" i="10"/>
  <c r="AX59" i="10"/>
  <c r="AZ45" i="10"/>
  <c r="BE43" i="10"/>
  <c r="AR27" i="10"/>
  <c r="P36" i="8"/>
  <c r="N40" i="8"/>
  <c r="X42" i="8"/>
  <c r="X36" i="8"/>
  <c r="X44" i="8"/>
  <c r="O57" i="8"/>
  <c r="M53" i="8"/>
  <c r="N36" i="8"/>
  <c r="Z52" i="8"/>
  <c r="AY56" i="10"/>
  <c r="BB43" i="10"/>
  <c r="AZ63" i="10"/>
  <c r="BC27" i="10"/>
  <c r="N59" i="8"/>
  <c r="U53" i="8"/>
  <c r="BD57" i="10"/>
  <c r="BE55" i="10"/>
  <c r="AL29" i="10"/>
  <c r="P45" i="8"/>
  <c r="S39" i="8"/>
  <c r="AN25" i="10"/>
  <c r="BC33" i="10"/>
  <c r="P57" i="8"/>
  <c r="U30" i="8"/>
  <c r="BD26" i="10"/>
  <c r="BE59" i="10"/>
  <c r="AP53" i="10"/>
  <c r="P34" i="8"/>
  <c r="AV38" i="10"/>
  <c r="BC28" i="10"/>
  <c r="AV63" i="10"/>
  <c r="BE64" i="10"/>
  <c r="S61" i="8"/>
  <c r="U36" i="8"/>
  <c r="Y45" i="8"/>
  <c r="AA60" i="10"/>
  <c r="AR52" i="10"/>
  <c r="O33" i="8"/>
  <c r="S57" i="8"/>
  <c r="AV43" i="10"/>
  <c r="BE38" i="10"/>
  <c r="AX26" i="10"/>
  <c r="BA26" i="10"/>
  <c r="BD53" i="10"/>
  <c r="N44" i="10"/>
  <c r="AR37" i="10"/>
  <c r="AV40" i="10"/>
  <c r="S41" i="8"/>
  <c r="BE40" i="10"/>
  <c r="AY52" i="10"/>
  <c r="AA56" i="10"/>
  <c r="T64" i="8"/>
  <c r="X63" i="8"/>
  <c r="BE57" i="10"/>
  <c r="AH33" i="10"/>
  <c r="AS43" i="10"/>
  <c r="AV26" i="10"/>
  <c r="AY40" i="10"/>
  <c r="AL56" i="10"/>
  <c r="T38" i="8"/>
  <c r="X56" i="8"/>
  <c r="Z31" i="8"/>
  <c r="AB27" i="10"/>
  <c r="AS31" i="10"/>
  <c r="S52" i="8"/>
  <c r="S40" i="8"/>
  <c r="U40" i="8"/>
  <c r="X38" i="8"/>
  <c r="N28" i="8"/>
  <c r="P61" i="8"/>
  <c r="Z41" i="8"/>
  <c r="S64" i="8"/>
  <c r="S60" i="8"/>
  <c r="S55" i="8"/>
  <c r="AX25" i="10"/>
  <c r="AZ38" i="10"/>
  <c r="Z56" i="10"/>
  <c r="AW25" i="10"/>
  <c r="AZ60" i="10"/>
  <c r="BC54" i="10"/>
  <c r="BE44" i="10"/>
  <c r="AN40" i="10"/>
  <c r="O41" i="8"/>
  <c r="BA38" i="10"/>
  <c r="N36" i="10"/>
  <c r="AC44" i="10"/>
  <c r="AH45" i="10"/>
  <c r="AW29" i="10"/>
  <c r="AZ30" i="10"/>
  <c r="X57" i="8"/>
  <c r="Y53" i="10"/>
  <c r="AP57" i="10"/>
  <c r="O26" i="8"/>
  <c r="S27" i="8"/>
  <c r="O45" i="10"/>
  <c r="AH60" i="10"/>
  <c r="AX36" i="10"/>
  <c r="U57" i="8"/>
  <c r="X52" i="8"/>
  <c r="T38" i="10"/>
  <c r="AR45" i="10"/>
  <c r="P53" i="8"/>
  <c r="AP56" i="10"/>
  <c r="AS25" i="10"/>
  <c r="AS57" i="10"/>
  <c r="S32" i="8"/>
  <c r="AZ55" i="10"/>
  <c r="Y28" i="8"/>
  <c r="X40" i="10"/>
  <c r="AS62" i="10"/>
  <c r="AV61" i="10"/>
  <c r="O44" i="8"/>
  <c r="M60" i="8"/>
  <c r="AX61" i="10"/>
  <c r="BA37" i="10"/>
  <c r="Y31" i="8"/>
  <c r="AB54" i="10"/>
  <c r="AS39" i="10"/>
  <c r="AV37" i="10"/>
  <c r="T31" i="8"/>
  <c r="AV45" i="10"/>
  <c r="AS53" i="10"/>
  <c r="AX29" i="10"/>
  <c r="BA30" i="10"/>
  <c r="Y55" i="8"/>
  <c r="P26" i="10"/>
  <c r="AS30" i="10"/>
  <c r="AW43" i="10"/>
  <c r="AW55" i="10"/>
  <c r="O34" i="8"/>
  <c r="T29" i="8"/>
  <c r="BA43" i="10"/>
  <c r="BE42" i="10"/>
  <c r="AO27" i="10"/>
  <c r="M39" i="8"/>
  <c r="AW56" i="10"/>
  <c r="BB53" i="10"/>
  <c r="AW60" i="10"/>
  <c r="M64" i="8"/>
  <c r="X26" i="8"/>
  <c r="T60" i="8"/>
  <c r="T25" i="8"/>
  <c r="O25" i="8"/>
  <c r="P64" i="8"/>
  <c r="O30" i="8"/>
  <c r="O62" i="8"/>
  <c r="Z34" i="8"/>
  <c r="P56" i="8"/>
  <c r="AR57" i="10"/>
  <c r="T42" i="8"/>
  <c r="AA59" i="10"/>
  <c r="O29" i="8"/>
  <c r="AX53" i="10"/>
  <c r="AC34" i="10"/>
  <c r="AS40" i="10"/>
  <c r="AV25" i="10"/>
  <c r="O35" i="10"/>
  <c r="AS28" i="10"/>
  <c r="AY60" i="10"/>
  <c r="AL42" i="10"/>
  <c r="O28" i="8"/>
  <c r="AW37" i="10"/>
  <c r="M55" i="8"/>
  <c r="AY63" i="10"/>
  <c r="AO55" i="10"/>
  <c r="O37" i="8"/>
  <c r="T32" i="8"/>
  <c r="AN37" i="10"/>
  <c r="AW27" i="10"/>
  <c r="O52" i="8"/>
  <c r="AX27" i="10"/>
  <c r="AV56" i="10"/>
  <c r="AZ36" i="10"/>
  <c r="AP61" i="10"/>
  <c r="O59" i="8"/>
  <c r="T40" i="8"/>
  <c r="AO57" i="10"/>
  <c r="N39" i="8"/>
  <c r="U42" i="8"/>
  <c r="AV35" i="10"/>
  <c r="BC31" i="10"/>
  <c r="AW41" i="10"/>
  <c r="U31" i="8"/>
  <c r="AS32" i="10"/>
  <c r="AV27" i="10"/>
  <c r="AY43" i="10"/>
  <c r="AO41" i="10"/>
  <c r="BD63" i="10"/>
  <c r="Z38" i="8"/>
  <c r="AW64" i="10"/>
  <c r="BA36" i="10"/>
  <c r="AS26" i="10"/>
  <c r="AW44" i="10"/>
  <c r="AZ59" i="10"/>
  <c r="AP27" i="10"/>
  <c r="X56" i="10"/>
  <c r="AW36" i="10"/>
  <c r="N39" i="10"/>
  <c r="N37" i="8"/>
  <c r="AX35" i="10"/>
  <c r="P27" i="10"/>
  <c r="AP32" i="10"/>
  <c r="O38" i="8"/>
  <c r="AD56" i="10"/>
  <c r="AX34" i="10"/>
  <c r="AH44" i="10"/>
  <c r="N55" i="8"/>
  <c r="S42" i="8"/>
  <c r="S56" i="10"/>
  <c r="AS27" i="10"/>
  <c r="AW39" i="10"/>
  <c r="AZ57" i="10"/>
  <c r="Z26" i="8"/>
  <c r="N26" i="8"/>
  <c r="M32" i="8"/>
  <c r="N33" i="8"/>
  <c r="N53" i="8"/>
  <c r="U56" i="8"/>
  <c r="X43" i="8"/>
  <c r="P26" i="8"/>
  <c r="Y33" i="8"/>
  <c r="BA34" i="10"/>
  <c r="Z59" i="8"/>
  <c r="O60" i="8"/>
  <c r="AY33" i="10"/>
  <c r="BA39" i="10"/>
  <c r="AR41" i="10"/>
  <c r="P40" i="8"/>
  <c r="S36" i="8"/>
  <c r="AL45" i="10"/>
  <c r="BA28" i="10"/>
  <c r="T45" i="10"/>
  <c r="P32" i="8"/>
  <c r="T55" i="8"/>
  <c r="T40" i="10"/>
  <c r="X41" i="10"/>
  <c r="BA35" i="10"/>
  <c r="BC52" i="10"/>
  <c r="BB64" i="10"/>
  <c r="AH54" i="10"/>
  <c r="AV54" i="10"/>
  <c r="T27" i="8"/>
  <c r="AA53" i="10"/>
  <c r="AS55" i="10"/>
  <c r="BE30" i="10"/>
  <c r="X55" i="8"/>
  <c r="AP54" i="10"/>
  <c r="BC25" i="10"/>
  <c r="AR34" i="10"/>
  <c r="AG504" i="1"/>
  <c r="AH504" i="1" s="1"/>
  <c r="AG398" i="1"/>
  <c r="AH398" i="1" s="1"/>
  <c r="AG342" i="1"/>
  <c r="AH342" i="1" s="1"/>
  <c r="AG517" i="1"/>
  <c r="AH517" i="1" s="1"/>
  <c r="AG437" i="1"/>
  <c r="AH437" i="1" s="1"/>
  <c r="AG51" i="1"/>
  <c r="AH51" i="1" s="1"/>
  <c r="AG443" i="1"/>
  <c r="AH443" i="1" s="1"/>
  <c r="AG516" i="1"/>
  <c r="AH516" i="1" s="1"/>
  <c r="AG501" i="1"/>
  <c r="AH501" i="1" s="1"/>
  <c r="AG400" i="1"/>
  <c r="AH400" i="1" s="1"/>
  <c r="AG431" i="1"/>
  <c r="AH431" i="1" s="1"/>
  <c r="AW28" i="10"/>
  <c r="X38" i="10"/>
  <c r="AX33" i="10"/>
  <c r="BB60" i="10"/>
  <c r="BD42" i="10"/>
  <c r="U55" i="10"/>
  <c r="AS33" i="10"/>
  <c r="AV42" i="10"/>
  <c r="AX40" i="10"/>
  <c r="T53" i="8"/>
  <c r="AR32" i="10"/>
  <c r="AZ52" i="10"/>
  <c r="BB57" i="10"/>
  <c r="BD39" i="10"/>
  <c r="AN44" i="10"/>
  <c r="N43" i="8"/>
  <c r="AZ26" i="10"/>
  <c r="AS35" i="10"/>
  <c r="AZ61" i="10"/>
  <c r="BB26" i="10"/>
  <c r="Y34" i="8"/>
  <c r="AN62" i="10"/>
  <c r="N56" i="8"/>
  <c r="AV36" i="10"/>
  <c r="BA25" i="10"/>
  <c r="P30" i="8"/>
  <c r="AZ28" i="10"/>
  <c r="BB25" i="10"/>
  <c r="Y38" i="8"/>
  <c r="AH43" i="10"/>
  <c r="N34" i="8"/>
  <c r="BA40" i="10"/>
  <c r="AV64" i="10"/>
  <c r="AZ54" i="10"/>
  <c r="X39" i="8"/>
  <c r="Z40" i="8"/>
  <c r="AN41" i="10"/>
  <c r="O63" i="8"/>
  <c r="BB63" i="10"/>
  <c r="AW26" i="10"/>
  <c r="BC60" i="10"/>
  <c r="AW35" i="10"/>
  <c r="BC32" i="10"/>
  <c r="BF42" i="10"/>
  <c r="AW61" i="10"/>
  <c r="BA29" i="10"/>
  <c r="BC57" i="10"/>
  <c r="AA44" i="10"/>
  <c r="AS37" i="10"/>
  <c r="O61" i="8"/>
  <c r="S63" i="8"/>
  <c r="AX31" i="10"/>
  <c r="AV59" i="10"/>
  <c r="BA31" i="10"/>
  <c r="U29" i="8"/>
  <c r="U32" i="8"/>
  <c r="S59" i="8"/>
  <c r="Z36" i="8"/>
  <c r="T62" i="8"/>
  <c r="M35" i="8"/>
  <c r="X59" i="8"/>
  <c r="M26" i="8"/>
  <c r="Y39" i="8"/>
  <c r="AS45" i="10"/>
  <c r="AO35" i="10"/>
  <c r="AS59" i="10"/>
  <c r="AP40" i="10"/>
  <c r="AX57" i="10"/>
  <c r="BA59" i="10"/>
  <c r="Y32" i="8"/>
  <c r="AA30" i="10"/>
  <c r="AS29" i="10"/>
  <c r="AW59" i="10"/>
  <c r="AS52" i="10"/>
  <c r="AY35" i="10"/>
  <c r="BA56" i="10"/>
  <c r="BD40" i="10"/>
  <c r="P36" i="10"/>
  <c r="AS42" i="10"/>
  <c r="AX55" i="10"/>
  <c r="AS38" i="10"/>
  <c r="AY54" i="10"/>
  <c r="BA33" i="10"/>
  <c r="Y60" i="8"/>
  <c r="O33" i="10"/>
  <c r="M27" i="8"/>
  <c r="AW33" i="10"/>
  <c r="AX41" i="10"/>
  <c r="P42" i="8"/>
  <c r="BA64" i="10"/>
  <c r="AW32" i="10"/>
  <c r="AY36" i="10"/>
  <c r="BB41" i="10"/>
  <c r="Z55" i="8"/>
  <c r="S43" i="10"/>
  <c r="N57" i="8"/>
  <c r="BA63" i="10"/>
  <c r="AW45" i="10"/>
  <c r="AZ62" i="10"/>
  <c r="BB28" i="10"/>
  <c r="Z43" i="8"/>
  <c r="Y34" i="10"/>
  <c r="N61" i="8"/>
  <c r="BA41" i="10"/>
  <c r="AW63" i="10"/>
  <c r="AZ40" i="10"/>
  <c r="BC38" i="10"/>
  <c r="Z33" i="8"/>
  <c r="AO52" i="10"/>
  <c r="P27" i="8"/>
  <c r="AX39" i="10"/>
  <c r="BB30" i="10"/>
  <c r="AW34" i="10"/>
  <c r="AZ34" i="10"/>
  <c r="BC64" i="10"/>
  <c r="Z56" i="8"/>
  <c r="AO39" i="10"/>
  <c r="O45" i="8"/>
  <c r="AX28" i="10"/>
  <c r="AZ27" i="10"/>
  <c r="BD31" i="10"/>
  <c r="BD35" i="10"/>
  <c r="AX52" i="10"/>
  <c r="U45" i="8"/>
  <c r="BC40" i="10"/>
  <c r="Z42" i="8"/>
  <c r="AR36" i="10"/>
  <c r="P37" i="8"/>
  <c r="Q179" i="7"/>
  <c r="Q180" i="7"/>
  <c r="Q181" i="7"/>
  <c r="Q182" i="7"/>
  <c r="Q183" i="7"/>
  <c r="Q184" i="7"/>
  <c r="Q185" i="7"/>
  <c r="Q186" i="7"/>
  <c r="Q187" i="7"/>
  <c r="Q188" i="7"/>
  <c r="Q189" i="7"/>
  <c r="M38" i="8"/>
  <c r="Z61" i="8"/>
  <c r="N30" i="8"/>
  <c r="P43" i="8"/>
  <c r="T61" i="8"/>
  <c r="Y26" i="8"/>
  <c r="Y36" i="8"/>
  <c r="Y42" i="8"/>
  <c r="X28" i="8"/>
  <c r="BD37" i="10"/>
  <c r="AC31" i="10"/>
  <c r="BE35" i="10"/>
  <c r="AV30" i="10"/>
  <c r="AY30" i="10"/>
  <c r="BB29" i="10"/>
  <c r="BD45" i="10"/>
  <c r="AR44" i="10"/>
  <c r="AV55" i="10"/>
  <c r="AP64" i="10"/>
  <c r="BE39" i="10"/>
  <c r="AV41" i="10"/>
  <c r="AY53" i="10"/>
  <c r="BB34" i="10"/>
  <c r="Z57" i="8"/>
  <c r="AR59" i="10"/>
  <c r="AV62" i="10"/>
  <c r="AP36" i="10"/>
  <c r="M56" i="10"/>
  <c r="AV44" i="10"/>
  <c r="AZ43" i="10"/>
  <c r="BB31" i="10"/>
  <c r="M31" i="10"/>
  <c r="AS61" i="10"/>
  <c r="AA28" i="10"/>
  <c r="AW53" i="10"/>
  <c r="AZ53" i="10"/>
  <c r="BB37" i="10"/>
  <c r="O62" i="10"/>
  <c r="AS54" i="10"/>
  <c r="AZ32" i="10"/>
  <c r="AN33" i="10"/>
  <c r="AW42" i="10"/>
  <c r="BA60" i="10"/>
  <c r="BB45" i="10"/>
  <c r="Z52" i="10"/>
  <c r="AS56" i="10"/>
  <c r="AW40" i="10"/>
  <c r="S37" i="10"/>
  <c r="N38" i="10"/>
  <c r="BA55" i="10"/>
  <c r="AR61" i="10"/>
  <c r="AX62" i="10"/>
  <c r="BA54" i="10"/>
  <c r="BB39" i="10"/>
  <c r="S64" i="10"/>
  <c r="AB35" i="10"/>
  <c r="BB62" i="10"/>
  <c r="AR26" i="10"/>
  <c r="AX37" i="10"/>
  <c r="BA61" i="10"/>
  <c r="BC36" i="10"/>
  <c r="AN63" i="10"/>
  <c r="AZ31" i="10"/>
  <c r="BA62" i="10"/>
  <c r="BB56" i="10"/>
  <c r="AS44" i="10"/>
  <c r="AX30" i="10"/>
  <c r="BA44" i="10"/>
  <c r="BC42" i="10"/>
  <c r="AD37" i="10"/>
  <c r="P28" i="8"/>
  <c r="BC43" i="10"/>
  <c r="BC59" i="10"/>
  <c r="M52" i="8"/>
  <c r="S31" i="8"/>
  <c r="BA53" i="10"/>
  <c r="Y57" i="8"/>
  <c r="AP33" i="10"/>
  <c r="P39" i="8"/>
  <c r="U61" i="8"/>
  <c r="N52" i="8"/>
  <c r="Y44" i="8"/>
  <c r="U43" i="8"/>
  <c r="Z32" i="8"/>
  <c r="Z54" i="8"/>
  <c r="Z64" i="8"/>
  <c r="Z37" i="8"/>
  <c r="X64" i="8"/>
  <c r="O53" i="8"/>
  <c r="Z35" i="8"/>
  <c r="T56" i="8"/>
  <c r="T33" i="8"/>
  <c r="U44" i="8"/>
  <c r="U27" i="8"/>
  <c r="Y59" i="8"/>
  <c r="Y56" i="8"/>
  <c r="Y52" i="8"/>
  <c r="N54" i="8"/>
  <c r="T28" i="8"/>
  <c r="T52" i="8"/>
  <c r="P62" i="8"/>
  <c r="P44" i="8"/>
  <c r="P55" i="8"/>
  <c r="O40" i="8"/>
  <c r="O36" i="8"/>
  <c r="M33" i="8"/>
  <c r="T63" i="8"/>
  <c r="AB52" i="10"/>
  <c r="AN55" i="10"/>
  <c r="AP62" i="10"/>
  <c r="AR55" i="10"/>
  <c r="AC59" i="10"/>
  <c r="BC45" i="10"/>
  <c r="AS60" i="10"/>
  <c r="BA52" i="10"/>
  <c r="BB55" i="10"/>
  <c r="BE28" i="10"/>
  <c r="AS34" i="10"/>
  <c r="P31" i="8"/>
  <c r="AL40" i="10"/>
  <c r="AV28" i="10"/>
  <c r="P35" i="10"/>
  <c r="AV29" i="10"/>
  <c r="AV32" i="10"/>
  <c r="BD61" i="10"/>
  <c r="AV60" i="10"/>
  <c r="BA57" i="10"/>
  <c r="X30" i="8"/>
  <c r="AD27" i="10"/>
  <c r="AY26" i="10"/>
  <c r="AV39" i="10"/>
  <c r="BD25" i="10"/>
  <c r="AW62" i="10"/>
  <c r="BA42" i="10"/>
  <c r="BC62" i="10"/>
  <c r="AD35" i="10"/>
  <c r="AZ42" i="10"/>
  <c r="AW38" i="10"/>
  <c r="BD38" i="10"/>
  <c r="AX60" i="10"/>
  <c r="BA32" i="10"/>
  <c r="BC29" i="10"/>
  <c r="AH35" i="10"/>
  <c r="AZ39" i="10"/>
  <c r="AX54" i="10"/>
  <c r="BD41" i="10"/>
  <c r="AX43" i="10"/>
  <c r="BA45" i="10"/>
  <c r="BC35" i="10"/>
  <c r="AD33" i="10"/>
  <c r="N25" i="8"/>
  <c r="AP30" i="10"/>
  <c r="BC37" i="10"/>
  <c r="AX63" i="10"/>
  <c r="BE27" i="10"/>
  <c r="AY62" i="10"/>
  <c r="BB54" i="10"/>
  <c r="BC56" i="10"/>
  <c r="AR25" i="10"/>
  <c r="BC39" i="10"/>
  <c r="AY38" i="10"/>
  <c r="N41" i="10"/>
  <c r="AY29" i="10"/>
  <c r="BB61" i="10"/>
  <c r="Y62" i="8"/>
  <c r="AD42" i="10"/>
  <c r="Z55" i="10"/>
  <c r="Z64" i="10"/>
  <c r="AY25" i="10"/>
  <c r="U57" i="10"/>
  <c r="AY37" i="10"/>
  <c r="BB59" i="10"/>
  <c r="Y40" i="8"/>
  <c r="O38" i="10"/>
  <c r="AC39" i="10"/>
  <c r="U64" i="8"/>
  <c r="N31" i="8"/>
  <c r="Z62" i="8"/>
  <c r="N44" i="8"/>
  <c r="Z39" i="8"/>
  <c r="P41" i="8"/>
  <c r="Z44" i="8"/>
  <c r="M25" i="8"/>
  <c r="M36" i="8"/>
  <c r="U44" i="10"/>
  <c r="AH31" i="10"/>
  <c r="AN60" i="10"/>
  <c r="AV52" i="10"/>
  <c r="BD60" i="10"/>
  <c r="AP59" i="10"/>
  <c r="AZ56" i="10"/>
  <c r="AB42" i="10"/>
  <c r="AN39" i="10"/>
  <c r="AO30" i="10"/>
  <c r="AW52" i="10"/>
  <c r="BD33" i="10"/>
  <c r="AS41" i="10"/>
  <c r="T35" i="10"/>
  <c r="AC29" i="10"/>
  <c r="AB37" i="10"/>
  <c r="AX42" i="10"/>
  <c r="BE26" i="10"/>
  <c r="AS63" i="10"/>
  <c r="AZ29" i="10"/>
  <c r="AC57" i="10"/>
  <c r="T31" i="10"/>
  <c r="M38" i="10"/>
  <c r="S39" i="10"/>
  <c r="AL25" i="10"/>
  <c r="AX45" i="10"/>
  <c r="BE34" i="10"/>
  <c r="AV33" i="10"/>
  <c r="S52" i="10"/>
  <c r="T26" i="10"/>
  <c r="AC63" i="10"/>
  <c r="AL60" i="10"/>
  <c r="AY64" i="10"/>
  <c r="S30" i="10"/>
  <c r="T36" i="10"/>
  <c r="T29" i="10"/>
  <c r="AA57" i="10"/>
  <c r="M40" i="10"/>
  <c r="M42" i="10"/>
  <c r="AP63" i="10"/>
  <c r="AY41" i="10"/>
  <c r="AN30" i="10"/>
  <c r="AA31" i="10"/>
  <c r="AH30" i="10"/>
  <c r="AH61" i="10"/>
  <c r="AB60" i="10"/>
  <c r="Z60" i="10"/>
  <c r="AS64" i="10"/>
  <c r="BC53" i="10"/>
  <c r="AL44" i="10"/>
  <c r="AX32" i="10"/>
  <c r="S33" i="8"/>
  <c r="X61" i="8"/>
  <c r="X32" i="8"/>
  <c r="Z45" i="8"/>
  <c r="T59" i="8"/>
  <c r="T43" i="8"/>
  <c r="O43" i="8"/>
  <c r="Y29" i="8"/>
  <c r="Y27" i="8"/>
  <c r="X61" i="10"/>
  <c r="Y36" i="10"/>
  <c r="AO42" i="10"/>
  <c r="M43" i="10"/>
  <c r="M28" i="10"/>
  <c r="AA63" i="10"/>
  <c r="T37" i="10"/>
  <c r="T52" i="10"/>
  <c r="S27" i="10"/>
  <c r="P34" i="10"/>
  <c r="P52" i="10"/>
  <c r="AH62" i="10"/>
  <c r="AC35" i="10"/>
  <c r="O28" i="10"/>
  <c r="AA55" i="10"/>
  <c r="AA37" i="10"/>
  <c r="Y25" i="10"/>
  <c r="AC41" i="10"/>
  <c r="O42" i="10"/>
  <c r="AC56" i="10"/>
  <c r="AA26" i="10"/>
  <c r="T30" i="10"/>
  <c r="AH28" i="10"/>
  <c r="AO26" i="10"/>
  <c r="AL26" i="10"/>
  <c r="AA42" i="10"/>
  <c r="M33" i="10"/>
  <c r="M52" i="10"/>
  <c r="M29" i="10"/>
  <c r="S59" i="10"/>
  <c r="AR35" i="10"/>
  <c r="T42" i="10"/>
  <c r="T28" i="10"/>
  <c r="AD29" i="10"/>
  <c r="T44" i="10"/>
  <c r="Y44" i="10"/>
  <c r="Y38" i="10"/>
  <c r="AA54" i="10"/>
  <c r="T34" i="10"/>
  <c r="AC54" i="10"/>
  <c r="M39" i="10"/>
  <c r="AB44" i="10"/>
  <c r="AA41" i="10"/>
  <c r="AN57" i="10"/>
  <c r="AL57" i="10"/>
  <c r="N29" i="10"/>
  <c r="AR31" i="10"/>
  <c r="AC36" i="10"/>
  <c r="AN64" i="10"/>
  <c r="AL28" i="10"/>
  <c r="Y41" i="10"/>
  <c r="Y45" i="10"/>
  <c r="S32" i="10"/>
  <c r="AP28" i="10"/>
  <c r="AD25" i="10"/>
  <c r="AV57" i="10"/>
  <c r="M61" i="10"/>
  <c r="AN34" i="10"/>
  <c r="O56" i="10"/>
  <c r="P54" i="10"/>
  <c r="AC37" i="10"/>
  <c r="AR29" i="10"/>
  <c r="O26" i="10"/>
  <c r="AD44" i="10"/>
  <c r="P52" i="8"/>
  <c r="T26" i="8"/>
  <c r="O54" i="8"/>
  <c r="P35" i="8"/>
  <c r="U33" i="8"/>
  <c r="S38" i="8"/>
  <c r="M31" i="8"/>
  <c r="S43" i="8"/>
  <c r="X35" i="10"/>
  <c r="AC60" i="10"/>
  <c r="M64" i="10"/>
  <c r="AA33" i="10"/>
  <c r="AA52" i="10"/>
  <c r="AB39" i="10"/>
  <c r="O29" i="10"/>
  <c r="Y60" i="10"/>
  <c r="X63" i="10"/>
  <c r="M55" i="10"/>
  <c r="AL37" i="10"/>
  <c r="Y43" i="10"/>
  <c r="U54" i="10"/>
  <c r="X25" i="10"/>
  <c r="AO37" i="10"/>
  <c r="M36" i="10"/>
  <c r="M41" i="10"/>
  <c r="M63" i="10"/>
  <c r="AA34" i="10"/>
  <c r="AB56" i="10"/>
  <c r="O59" i="10"/>
  <c r="O32" i="10"/>
  <c r="AA25" i="10"/>
  <c r="O27" i="10"/>
  <c r="Y29" i="10"/>
  <c r="M45" i="10"/>
  <c r="N52" i="10"/>
  <c r="T60" i="10"/>
  <c r="T41" i="10"/>
  <c r="T53" i="10"/>
  <c r="AD57" i="10"/>
  <c r="AB59" i="10"/>
  <c r="M25" i="10"/>
  <c r="O52" i="10"/>
  <c r="U52" i="10"/>
  <c r="AC30" i="10"/>
  <c r="M37" i="10"/>
  <c r="O57" i="10"/>
  <c r="AD34" i="10"/>
  <c r="AB28" i="10"/>
  <c r="O63" i="10"/>
  <c r="AP44" i="10"/>
  <c r="O43" i="10"/>
  <c r="T39" i="10"/>
  <c r="AL31" i="10"/>
  <c r="AH40" i="10"/>
  <c r="X43" i="10"/>
  <c r="Y26" i="10"/>
  <c r="AA61" i="10"/>
  <c r="AR62" i="10"/>
  <c r="T64" i="10"/>
  <c r="M32" i="10"/>
  <c r="Z61" i="10"/>
  <c r="AO60" i="10"/>
  <c r="N28" i="10"/>
  <c r="Z54" i="10"/>
  <c r="AR39" i="10"/>
  <c r="AA39" i="10"/>
  <c r="T33" i="10"/>
  <c r="AD26" i="10"/>
  <c r="AP39" i="10"/>
  <c r="X45" i="10"/>
  <c r="AH25" i="10"/>
  <c r="AR43" i="10"/>
  <c r="M27" i="10"/>
  <c r="Y28" i="10"/>
  <c r="AN45" i="10"/>
  <c r="Y63" i="10"/>
  <c r="M59" i="10"/>
  <c r="AN35" i="10"/>
  <c r="AO29" i="10"/>
  <c r="AB62" i="10"/>
  <c r="AC64" i="10"/>
  <c r="O30" i="10"/>
  <c r="AC45" i="10"/>
  <c r="T39" i="8"/>
  <c r="S44" i="8"/>
  <c r="M56" i="8"/>
  <c r="S35" i="8"/>
  <c r="N29" i="8"/>
  <c r="N64" i="8"/>
  <c r="X37" i="8"/>
  <c r="X33" i="8"/>
  <c r="S28" i="8"/>
  <c r="X27" i="8"/>
  <c r="V94" i="1"/>
  <c r="AF94" i="1" s="1"/>
  <c r="U26" i="8"/>
  <c r="U28" i="8"/>
  <c r="T34" i="8"/>
  <c r="M29" i="8"/>
  <c r="M40" i="8"/>
  <c r="Z53" i="8"/>
  <c r="Y43" i="8"/>
  <c r="N27" i="8"/>
  <c r="O42" i="8"/>
  <c r="AL54" i="10"/>
  <c r="O44" i="10"/>
  <c r="AL61" i="10"/>
  <c r="N25" i="10"/>
  <c r="T54" i="10"/>
  <c r="U36" i="10"/>
  <c r="Y54" i="10"/>
  <c r="Y61" i="10"/>
  <c r="AL38" i="10"/>
  <c r="X32" i="10"/>
  <c r="AC38" i="10"/>
  <c r="S25" i="10"/>
  <c r="O40" i="10"/>
  <c r="X54" i="10"/>
  <c r="O25" i="10"/>
  <c r="AC27" i="10"/>
  <c r="AL36" i="10"/>
  <c r="Z40" i="10"/>
  <c r="AL39" i="10"/>
  <c r="O41" i="10"/>
  <c r="T62" i="10"/>
  <c r="N40" i="10"/>
  <c r="AA32" i="10"/>
  <c r="AN42" i="10"/>
  <c r="AL62" i="10"/>
  <c r="AO38" i="10"/>
  <c r="T59" i="10"/>
  <c r="X36" i="10"/>
  <c r="S33" i="10"/>
  <c r="X44" i="10"/>
  <c r="S41" i="10"/>
  <c r="AB38" i="10"/>
  <c r="AD60" i="10"/>
  <c r="AP55" i="10"/>
  <c r="AL63" i="10"/>
  <c r="AA40" i="10"/>
  <c r="Y27" i="10"/>
  <c r="M21" i="11"/>
  <c r="AD28" i="10"/>
  <c r="AH53" i="10"/>
  <c r="S61" i="10"/>
  <c r="AA45" i="10"/>
  <c r="Z39" i="10"/>
  <c r="M53" i="10"/>
  <c r="X34" i="10"/>
  <c r="O31" i="10"/>
  <c r="T27" i="10"/>
  <c r="AN54" i="10"/>
  <c r="N59" i="10"/>
  <c r="AH52" i="10"/>
  <c r="S42" i="10"/>
  <c r="O55" i="10"/>
  <c r="S31" i="10"/>
  <c r="Y52" i="10"/>
  <c r="Y64" i="10"/>
  <c r="Z57" i="10"/>
  <c r="AB25" i="10"/>
  <c r="AP29" i="10"/>
  <c r="N45" i="10"/>
  <c r="S28" i="10"/>
  <c r="Z33" i="10"/>
  <c r="AA43" i="10"/>
  <c r="X30" i="10"/>
  <c r="AD61" i="10"/>
  <c r="AL41" i="10"/>
  <c r="AP43" i="10"/>
  <c r="Z41" i="10"/>
  <c r="N35" i="10"/>
  <c r="AA27" i="10"/>
  <c r="O36" i="10"/>
  <c r="S60" i="10"/>
  <c r="M60" i="10"/>
  <c r="AB33" i="10"/>
  <c r="AO53" i="10"/>
  <c r="S34" i="8"/>
  <c r="AV43" i="8"/>
  <c r="U52" i="8"/>
  <c r="O31" i="8"/>
  <c r="O56" i="8"/>
  <c r="P25" i="8"/>
  <c r="P59" i="8"/>
  <c r="S25" i="8"/>
  <c r="T54" i="8"/>
  <c r="P41" i="10"/>
  <c r="AH29" i="10"/>
  <c r="AL34" i="10"/>
  <c r="P42" i="10"/>
  <c r="X52" i="10"/>
  <c r="AH63" i="10"/>
  <c r="AP31" i="10"/>
  <c r="AP52" i="10"/>
  <c r="S40" i="10"/>
  <c r="AB34" i="10"/>
  <c r="AP38" i="10"/>
  <c r="X31" i="10"/>
  <c r="P29" i="10"/>
  <c r="AB64" i="10"/>
  <c r="U43" i="10"/>
  <c r="Y37" i="10"/>
  <c r="AD43" i="10"/>
  <c r="AP41" i="10"/>
  <c r="Z28" i="10"/>
  <c r="U34" i="10"/>
  <c r="AO44" i="10"/>
  <c r="AB63" i="10"/>
  <c r="AO28" i="10"/>
  <c r="T56" i="10"/>
  <c r="AO31" i="10"/>
  <c r="AR30" i="10"/>
  <c r="N42" i="10"/>
  <c r="X60" i="10"/>
  <c r="AN31" i="10"/>
  <c r="AO25" i="10"/>
  <c r="AD59" i="10"/>
  <c r="Y55" i="10"/>
  <c r="AN59" i="10"/>
  <c r="S62" i="10"/>
  <c r="P43" i="10"/>
  <c r="AC53" i="10"/>
  <c r="AB40" i="10"/>
  <c r="AP34" i="10"/>
  <c r="AD40" i="10"/>
  <c r="Z32" i="10"/>
  <c r="AB30" i="10"/>
  <c r="X29" i="10"/>
  <c r="S55" i="10"/>
  <c r="AN28" i="10"/>
  <c r="AD55" i="10"/>
  <c r="AP37" i="10"/>
  <c r="AD64" i="10"/>
  <c r="S44" i="10"/>
  <c r="AD54" i="10"/>
  <c r="S35" i="10"/>
  <c r="X27" i="10"/>
  <c r="T61" i="10"/>
  <c r="AN27" i="10"/>
  <c r="AR42" i="10"/>
  <c r="AN26" i="10"/>
  <c r="N33" i="10"/>
  <c r="AB41" i="10"/>
  <c r="O39" i="10"/>
  <c r="Z27" i="10"/>
  <c r="AH64" i="10"/>
  <c r="AN53" i="10"/>
  <c r="AP26" i="10"/>
  <c r="P31" i="10"/>
  <c r="U29" i="10"/>
  <c r="S29" i="10"/>
  <c r="Y42" i="10"/>
  <c r="X39" i="10"/>
  <c r="X37" i="10"/>
  <c r="AB53" i="10"/>
  <c r="AB31" i="10"/>
  <c r="Z30" i="10"/>
  <c r="T35" i="8"/>
  <c r="Y54" i="8"/>
  <c r="P33" i="8"/>
  <c r="M34" i="8"/>
  <c r="U39" i="8"/>
  <c r="P60" i="8"/>
  <c r="P54" i="8"/>
  <c r="O64" i="8"/>
  <c r="P28" i="10"/>
  <c r="AH59" i="10"/>
  <c r="AP45" i="10"/>
  <c r="Z62" i="10"/>
  <c r="AB55" i="10"/>
  <c r="U40" i="10"/>
  <c r="S53" i="10"/>
  <c r="U38" i="10"/>
  <c r="AL32" i="10"/>
  <c r="AO64" i="10"/>
  <c r="N27" i="10"/>
  <c r="N43" i="10"/>
  <c r="X33" i="10"/>
  <c r="AR53" i="10"/>
  <c r="AO43" i="10"/>
  <c r="AO54" i="10"/>
  <c r="Z45" i="10"/>
  <c r="N56" i="10"/>
  <c r="AH27" i="10"/>
  <c r="AN29" i="10"/>
  <c r="M44" i="10"/>
  <c r="Z42" i="10"/>
  <c r="AB45" i="10"/>
  <c r="AL35" i="10"/>
  <c r="N62" i="10"/>
  <c r="P53" i="10"/>
  <c r="AO36" i="10"/>
  <c r="AD30" i="10"/>
  <c r="P38" i="10"/>
  <c r="N32" i="10"/>
  <c r="Z25" i="10"/>
  <c r="P56" i="10"/>
  <c r="AL55" i="10"/>
  <c r="AP42" i="10"/>
  <c r="X59" i="10"/>
  <c r="U32" i="10"/>
  <c r="AL27" i="10"/>
  <c r="AL43" i="10"/>
  <c r="AB36" i="10"/>
  <c r="X57" i="10"/>
  <c r="AA62" i="10"/>
  <c r="AR28" i="10"/>
  <c r="Z26" i="10"/>
  <c r="S36" i="10"/>
  <c r="AO40" i="10"/>
  <c r="AH41" i="10"/>
  <c r="O37" i="10"/>
  <c r="AA36" i="10"/>
  <c r="AR40" i="10"/>
  <c r="P25" i="10"/>
  <c r="U37" i="10"/>
  <c r="AD38" i="10"/>
  <c r="AA38" i="10"/>
  <c r="AH42" i="10"/>
  <c r="Y57" i="10"/>
  <c r="AD63" i="10"/>
  <c r="AR60" i="10"/>
  <c r="U56" i="10"/>
  <c r="X62" i="10"/>
  <c r="AC33" i="10"/>
  <c r="AA35" i="10"/>
  <c r="AH55" i="10"/>
  <c r="N61" i="10"/>
  <c r="AD52" i="10"/>
  <c r="P64" i="10"/>
  <c r="U38" i="8"/>
  <c r="M42" i="8"/>
  <c r="X35" i="8"/>
  <c r="AV32" i="8"/>
  <c r="M28" i="8"/>
  <c r="O32" i="8"/>
  <c r="Y37" i="8"/>
  <c r="AH39" i="10"/>
  <c r="P62" i="10"/>
  <c r="AL53" i="10"/>
  <c r="AN32" i="10"/>
  <c r="N54" i="10"/>
  <c r="U30" i="10"/>
  <c r="X64" i="10"/>
  <c r="AB57" i="10"/>
  <c r="U64" i="10"/>
  <c r="AN38" i="10"/>
  <c r="S34" i="10"/>
  <c r="AD31" i="10"/>
  <c r="AH32" i="10"/>
  <c r="S26" i="10"/>
  <c r="X53" i="10"/>
  <c r="P30" i="10"/>
  <c r="AL59" i="10"/>
  <c r="P44" i="10"/>
  <c r="U39" i="10"/>
  <c r="N30" i="10"/>
  <c r="AN43" i="10"/>
  <c r="AP60" i="10"/>
  <c r="U63" i="10"/>
  <c r="Z34" i="10"/>
  <c r="N34" i="10"/>
  <c r="U31" i="10"/>
  <c r="Z43" i="10"/>
  <c r="N55" i="10"/>
  <c r="S38" i="10"/>
  <c r="M62" i="10"/>
  <c r="Y35" i="10"/>
  <c r="Y30" i="10"/>
  <c r="AD62" i="10"/>
  <c r="AP35" i="10"/>
  <c r="U26" i="10"/>
  <c r="U33" i="10"/>
  <c r="AO59" i="10"/>
  <c r="Z37" i="10"/>
  <c r="P39" i="10"/>
  <c r="O60" i="10"/>
  <c r="AB43" i="10"/>
  <c r="Z53" i="10"/>
  <c r="AR56" i="10"/>
  <c r="S57" i="10"/>
  <c r="X55" i="10"/>
  <c r="P33" i="10"/>
  <c r="AD32" i="10"/>
  <c r="N57" i="10"/>
  <c r="AO32" i="10"/>
  <c r="AC28" i="10"/>
  <c r="AR38" i="10"/>
  <c r="U25" i="10"/>
  <c r="Z36" i="10"/>
  <c r="AC40" i="10"/>
  <c r="AL64" i="10"/>
  <c r="AO63" i="10"/>
  <c r="P57" i="10"/>
  <c r="AL33" i="10"/>
  <c r="AN36" i="10"/>
  <c r="AR63" i="10"/>
  <c r="N31" i="10"/>
  <c r="N26" i="10"/>
  <c r="AD39" i="10"/>
  <c r="AH26" i="10"/>
  <c r="U59" i="10"/>
  <c r="AN56" i="10"/>
  <c r="AH38" i="10"/>
  <c r="AV33" i="8"/>
  <c r="S63" i="10"/>
  <c r="S54" i="10"/>
  <c r="N37" i="10"/>
  <c r="N60" i="8"/>
  <c r="X31" i="8"/>
  <c r="T57" i="8"/>
  <c r="U63" i="8"/>
  <c r="S56" i="8"/>
  <c r="M62" i="8"/>
  <c r="AV42" i="8"/>
  <c r="M41" i="8"/>
  <c r="M59" i="8"/>
  <c r="M63" i="8"/>
  <c r="M61" i="8"/>
  <c r="T44" i="8"/>
  <c r="M43" i="8"/>
  <c r="S29" i="8"/>
  <c r="T45" i="8"/>
  <c r="N41" i="8"/>
  <c r="N63" i="8"/>
  <c r="U59" i="8"/>
  <c r="O55" i="8"/>
  <c r="O35" i="8"/>
  <c r="S54" i="8"/>
  <c r="AV60" i="8"/>
  <c r="AV45" i="8"/>
  <c r="AV41" i="8"/>
  <c r="AV53" i="8"/>
  <c r="AV29" i="8"/>
  <c r="AH58" i="13"/>
  <c r="AL30" i="10"/>
  <c r="T58" i="11"/>
  <c r="AZ36" i="8"/>
  <c r="AO61" i="10"/>
  <c r="U61" i="10"/>
  <c r="U53" i="10"/>
  <c r="AH36" i="10"/>
  <c r="AC52" i="10"/>
  <c r="U27" i="10"/>
  <c r="AP58" i="10"/>
  <c r="AZ60" i="8"/>
  <c r="U28" i="10"/>
  <c r="P32" i="10"/>
  <c r="U62" i="10"/>
  <c r="Y33" i="10"/>
  <c r="AD36" i="10"/>
  <c r="Z29" i="10"/>
  <c r="AR58" i="12"/>
  <c r="AV34" i="8"/>
  <c r="AC55" i="10"/>
  <c r="S45" i="10"/>
  <c r="Y59" i="10"/>
  <c r="AC61" i="10"/>
  <c r="AV55" i="8"/>
  <c r="T32" i="10"/>
  <c r="P58" i="13"/>
  <c r="M30" i="10"/>
  <c r="AD45" i="10"/>
  <c r="Z31" i="10"/>
  <c r="AO45" i="10"/>
  <c r="AH34" i="10"/>
  <c r="N53" i="10"/>
  <c r="X58" i="15"/>
  <c r="P40" i="10"/>
  <c r="AN61" i="10"/>
  <c r="P55" i="10"/>
  <c r="AB61" i="10"/>
  <c r="AN52" i="10"/>
  <c r="AY58" i="14"/>
  <c r="Y56" i="10"/>
  <c r="Z35" i="10"/>
  <c r="U42" i="10"/>
  <c r="AO34" i="10"/>
  <c r="X28" i="10"/>
  <c r="Z63" i="10"/>
  <c r="X58" i="10"/>
  <c r="AA29" i="10"/>
  <c r="AH56" i="10"/>
  <c r="M26" i="10"/>
  <c r="AC42" i="10"/>
  <c r="AC25" i="10"/>
  <c r="N63" i="10"/>
  <c r="U35" i="10"/>
  <c r="O58" i="14"/>
  <c r="Y31" i="10"/>
  <c r="AC62" i="10"/>
  <c r="M35" i="10"/>
  <c r="AB26" i="10"/>
  <c r="AH57" i="10"/>
  <c r="P61" i="10"/>
  <c r="Y58" i="13"/>
  <c r="P45" i="10"/>
  <c r="P59" i="10"/>
  <c r="T43" i="10"/>
  <c r="AB32" i="10"/>
  <c r="Y39" i="10"/>
  <c r="U60" i="10"/>
  <c r="BF58" i="16"/>
  <c r="BJ58" i="11"/>
  <c r="AW49" i="12"/>
  <c r="AZ58" i="8"/>
  <c r="AZ26" i="8"/>
  <c r="AZ44" i="8"/>
  <c r="AV64" i="8"/>
  <c r="AV26" i="8"/>
  <c r="T154" i="1"/>
  <c r="T123" i="1"/>
  <c r="T121" i="1"/>
  <c r="R21" i="7"/>
  <c r="Y9" i="8"/>
  <c r="AX9" i="8"/>
  <c r="Z9" i="8"/>
  <c r="AR9" i="12"/>
  <c r="AM9" i="12"/>
  <c r="AO9" i="12"/>
  <c r="V9" i="12"/>
  <c r="Q9" i="8"/>
  <c r="AD9" i="8"/>
  <c r="AZ9" i="8"/>
  <c r="AK9" i="8"/>
  <c r="AW9" i="12"/>
  <c r="AS9" i="12"/>
  <c r="AK9" i="12"/>
  <c r="P9" i="12"/>
  <c r="AI9" i="8"/>
  <c r="AT9" i="8"/>
  <c r="X9" i="8"/>
  <c r="AE9" i="8"/>
  <c r="AH9" i="12"/>
  <c r="AR9" i="8"/>
  <c r="O9" i="12"/>
  <c r="AY9" i="12"/>
  <c r="M9" i="12"/>
  <c r="AA9" i="8"/>
  <c r="AN9" i="8"/>
  <c r="AG9" i="8"/>
  <c r="T9" i="8"/>
  <c r="AH9" i="8"/>
  <c r="W9" i="12"/>
  <c r="BD9" i="12"/>
  <c r="AP9" i="12"/>
  <c r="M9" i="8"/>
  <c r="U9" i="12"/>
  <c r="BG9" i="12"/>
  <c r="V9" i="8"/>
  <c r="AB9" i="8"/>
  <c r="AI9" i="12"/>
  <c r="AU9" i="12"/>
  <c r="BA9" i="12"/>
  <c r="S9" i="12"/>
  <c r="BB9" i="12"/>
  <c r="U9" i="8"/>
  <c r="AM9" i="8"/>
  <c r="O9" i="8"/>
  <c r="BH9" i="12"/>
  <c r="AA9" i="12"/>
  <c r="Z9" i="12"/>
  <c r="Q9" i="12"/>
  <c r="BC9" i="12"/>
  <c r="T9" i="12"/>
  <c r="AJ9" i="8"/>
  <c r="N9" i="8"/>
  <c r="R9" i="8"/>
  <c r="AV9" i="8"/>
  <c r="P9" i="8"/>
  <c r="AC9" i="12"/>
  <c r="Y9" i="12"/>
  <c r="N9" i="12"/>
  <c r="AW9" i="8"/>
  <c r="AD9" i="12"/>
  <c r="W9" i="8"/>
  <c r="AV9" i="12"/>
  <c r="AJ9" i="12"/>
  <c r="AN9" i="12"/>
  <c r="BB9" i="8"/>
  <c r="AC9" i="8"/>
  <c r="BC9" i="8"/>
  <c r="R9" i="12"/>
  <c r="BE9" i="12"/>
  <c r="AF9" i="12"/>
  <c r="AB9" i="12"/>
  <c r="BK9" i="12"/>
  <c r="AE9" i="12"/>
  <c r="BA9" i="8"/>
  <c r="AL9" i="8"/>
  <c r="BI9" i="12"/>
  <c r="AY9" i="8"/>
  <c r="AU9" i="8"/>
  <c r="AG9" i="12"/>
  <c r="BJ9" i="12"/>
  <c r="AT9" i="12"/>
  <c r="AL9" i="12"/>
  <c r="AZ9" i="12"/>
  <c r="AP9" i="8"/>
  <c r="AO9" i="8"/>
  <c r="AS9" i="8"/>
  <c r="S9" i="8"/>
  <c r="AF9" i="8"/>
  <c r="X9" i="12"/>
  <c r="AX9" i="12"/>
  <c r="BF9" i="12"/>
  <c r="R32" i="7"/>
  <c r="L9" i="12"/>
  <c r="BE9" i="8"/>
  <c r="R33" i="7"/>
  <c r="BF9" i="8"/>
  <c r="R34" i="7"/>
  <c r="BG9" i="8"/>
  <c r="R35" i="7"/>
  <c r="BH9" i="8"/>
  <c r="R36" i="7"/>
  <c r="BI9" i="8"/>
  <c r="R37" i="7"/>
  <c r="BJ9" i="8"/>
  <c r="BK9" i="8"/>
  <c r="R38" i="7"/>
  <c r="R39" i="7"/>
  <c r="R40" i="7"/>
  <c r="R41" i="7"/>
  <c r="R42" i="7"/>
  <c r="R43" i="7"/>
  <c r="R44" i="7"/>
  <c r="R45" i="7"/>
  <c r="R46" i="7"/>
  <c r="R47" i="7"/>
  <c r="R48" i="7"/>
  <c r="R49" i="7"/>
  <c r="R50" i="7"/>
  <c r="R11" i="7" s="1"/>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AZ58" i="14"/>
  <c r="BE58" i="11"/>
  <c r="AX58" i="11"/>
  <c r="BB58" i="14"/>
  <c r="AR58" i="10"/>
  <c r="S58" i="13"/>
  <c r="AR58" i="11"/>
  <c r="AZ38" i="8"/>
  <c r="AV62" i="8"/>
  <c r="T55" i="10"/>
  <c r="T25" i="10"/>
  <c r="BF58" i="14"/>
  <c r="AY58" i="15"/>
  <c r="BD58" i="11"/>
  <c r="AW58" i="16"/>
  <c r="AO58" i="16"/>
  <c r="AA58" i="8"/>
  <c r="AZ35" i="8"/>
  <c r="AV31" i="8"/>
  <c r="X42" i="10"/>
  <c r="Y32" i="10"/>
  <c r="O58" i="13"/>
  <c r="BA58" i="12"/>
  <c r="BE58" i="14"/>
  <c r="AX58" i="13"/>
  <c r="X58" i="11"/>
  <c r="BG58" i="13"/>
  <c r="AZ32" i="8"/>
  <c r="U41" i="10"/>
  <c r="P37" i="10"/>
  <c r="O61" i="10"/>
  <c r="AL58" i="15"/>
  <c r="S58" i="12"/>
  <c r="BG58" i="11"/>
  <c r="AZ58" i="16"/>
  <c r="AN58" i="15"/>
  <c r="BJ58" i="13"/>
  <c r="AZ27" i="8"/>
  <c r="M34" i="10"/>
  <c r="U45" i="10"/>
  <c r="AD41" i="10"/>
  <c r="AL58" i="13"/>
  <c r="AL58" i="11"/>
  <c r="BH58" i="14"/>
  <c r="BA58" i="13"/>
  <c r="X58" i="12"/>
  <c r="AH58" i="8"/>
  <c r="AZ39" i="8"/>
  <c r="N60" i="10"/>
  <c r="M57" i="10"/>
  <c r="AL52" i="10"/>
  <c r="AV57" i="8"/>
  <c r="BE58" i="10"/>
  <c r="U58" i="15"/>
  <c r="BJ58" i="12"/>
  <c r="BC58" i="16"/>
  <c r="AN58" i="14"/>
  <c r="AV58" i="8"/>
  <c r="AZ37" i="8"/>
  <c r="P60" i="10"/>
  <c r="O64" i="10"/>
  <c r="AO62" i="10"/>
  <c r="N64" i="10"/>
  <c r="BK58" i="13"/>
  <c r="U58" i="10"/>
  <c r="S58" i="15"/>
  <c r="BD58" i="13"/>
  <c r="X58" i="13"/>
  <c r="AY58" i="8"/>
  <c r="AZ33" i="8"/>
  <c r="AZ55" i="8"/>
  <c r="Z44" i="10"/>
  <c r="T63" i="10"/>
  <c r="S58" i="14"/>
  <c r="AO58" i="11"/>
  <c r="P58" i="14"/>
  <c r="T58" i="15"/>
  <c r="BI58" i="16"/>
  <c r="AN58" i="11"/>
  <c r="AZ64" i="8"/>
  <c r="N58" i="16"/>
  <c r="T58" i="10"/>
  <c r="AZ41" i="8"/>
  <c r="U58" i="16"/>
  <c r="AV58" i="15"/>
  <c r="AD58" i="15"/>
  <c r="T58" i="14"/>
  <c r="AA58" i="13"/>
  <c r="AZ45" i="8"/>
  <c r="AV25" i="8"/>
  <c r="T57" i="10"/>
  <c r="Y40" i="10"/>
  <c r="AO33" i="10"/>
  <c r="P63" i="10"/>
  <c r="V97" i="1"/>
  <c r="Y97" i="1" s="1"/>
  <c r="V116" i="1"/>
  <c r="X116" i="1" s="1"/>
  <c r="BC58" i="11"/>
  <c r="AY58" i="12"/>
  <c r="P58" i="16"/>
  <c r="Y58" i="14"/>
  <c r="O58" i="12"/>
  <c r="O58" i="16"/>
  <c r="BD58" i="12"/>
  <c r="P58" i="12"/>
  <c r="AO58" i="10"/>
  <c r="AX58" i="8"/>
  <c r="BK58" i="11"/>
  <c r="BE58" i="12"/>
  <c r="BB58" i="19"/>
  <c r="M58" i="13"/>
  <c r="AL58" i="16"/>
  <c r="O58" i="15"/>
  <c r="BE58" i="15"/>
  <c r="AB58" i="19"/>
  <c r="BG58" i="10"/>
  <c r="S58" i="10"/>
  <c r="U58" i="8"/>
  <c r="BE58" i="16"/>
  <c r="BF58" i="15"/>
  <c r="BC58" i="19"/>
  <c r="M58" i="16"/>
  <c r="BH58" i="19"/>
  <c r="T58" i="12"/>
  <c r="BG58" i="12"/>
  <c r="AB58" i="12"/>
  <c r="AN58" i="19"/>
  <c r="BA58" i="19"/>
  <c r="BA58" i="10"/>
  <c r="BH58" i="16"/>
  <c r="BK58" i="10"/>
  <c r="O58" i="8"/>
  <c r="AH58" i="16"/>
  <c r="S58" i="16"/>
  <c r="AN58" i="16"/>
  <c r="BH58" i="15"/>
  <c r="BC58" i="10"/>
  <c r="AZ61" i="8"/>
  <c r="AC58" i="11"/>
  <c r="N58" i="11"/>
  <c r="BB58" i="13"/>
  <c r="T58" i="13"/>
  <c r="AN58" i="10"/>
  <c r="AS58" i="8"/>
  <c r="BD58" i="10"/>
  <c r="AA58" i="14"/>
  <c r="AD58" i="10"/>
  <c r="BG58" i="16"/>
  <c r="AR58" i="15"/>
  <c r="AP58" i="13"/>
  <c r="AP58" i="19"/>
  <c r="BH58" i="13"/>
  <c r="AS58" i="13"/>
  <c r="AO58" i="13"/>
  <c r="AS58" i="12"/>
  <c r="N58" i="13"/>
  <c r="AC58" i="12"/>
  <c r="AZ57" i="8"/>
  <c r="AS58" i="15"/>
  <c r="AP58" i="15"/>
  <c r="M58" i="11"/>
  <c r="AV58" i="14"/>
  <c r="S58" i="11"/>
  <c r="AV58" i="16"/>
  <c r="U58" i="14"/>
  <c r="AR58" i="14"/>
  <c r="AR58" i="8"/>
  <c r="T58" i="19"/>
  <c r="AD58" i="8"/>
  <c r="AZ58" i="13"/>
  <c r="AB58" i="11"/>
  <c r="BJ58" i="10"/>
  <c r="S58" i="8"/>
  <c r="T58" i="16"/>
  <c r="P58" i="19"/>
  <c r="M58" i="10"/>
  <c r="AN58" i="8"/>
  <c r="M58" i="14"/>
  <c r="BK58" i="14"/>
  <c r="Z58" i="12"/>
  <c r="BB58" i="15"/>
  <c r="AD58" i="14"/>
  <c r="BA58" i="11"/>
  <c r="AZ40" i="8"/>
  <c r="AX58" i="12"/>
  <c r="AL58" i="12"/>
  <c r="BK58" i="12"/>
  <c r="Y58" i="12"/>
  <c r="AW58" i="12"/>
  <c r="AN58" i="12"/>
  <c r="BD8" i="8"/>
  <c r="BD23" i="8"/>
  <c r="BD10" i="8"/>
  <c r="R121" i="18"/>
  <c r="BD6" i="8"/>
  <c r="BD62" i="8"/>
  <c r="R31" i="7"/>
  <c r="BD39" i="8"/>
  <c r="BD44" i="8"/>
  <c r="BD34" i="8"/>
  <c r="BD37" i="8"/>
  <c r="BD28" i="8"/>
  <c r="BD11" i="8"/>
  <c r="BD24" i="8"/>
  <c r="BE58" i="8"/>
  <c r="L14" i="10"/>
  <c r="L18" i="10"/>
  <c r="L22" i="13"/>
  <c r="L6" i="19"/>
  <c r="L24" i="10"/>
  <c r="L14" i="16"/>
  <c r="L6" i="13"/>
  <c r="L15" i="15"/>
  <c r="L10" i="10"/>
  <c r="L16" i="12"/>
  <c r="L5" i="11"/>
  <c r="L15" i="13"/>
  <c r="L5" i="19"/>
  <c r="Q55" i="10"/>
  <c r="L18" i="8"/>
  <c r="L11" i="8"/>
  <c r="L22" i="11"/>
  <c r="L23" i="11"/>
  <c r="L9" i="8"/>
  <c r="L5" i="8"/>
  <c r="L5" i="13"/>
  <c r="L22" i="12"/>
  <c r="L15" i="8"/>
  <c r="L12" i="16"/>
  <c r="L17" i="16"/>
  <c r="L6" i="8"/>
  <c r="L9" i="14"/>
  <c r="Q42" i="8"/>
  <c r="R68" i="18"/>
  <c r="L12" i="10"/>
  <c r="L15" i="10"/>
  <c r="L8" i="16"/>
  <c r="L4" i="15"/>
  <c r="L13" i="19"/>
  <c r="L23" i="8"/>
  <c r="L18" i="16"/>
  <c r="L23" i="16"/>
  <c r="L4" i="10"/>
  <c r="L17" i="14"/>
  <c r="L6" i="14"/>
  <c r="L11" i="10"/>
  <c r="L11" i="13"/>
  <c r="Q37" i="8"/>
  <c r="L23" i="10"/>
  <c r="L10" i="8"/>
  <c r="L13" i="8"/>
  <c r="L8" i="14"/>
  <c r="L10" i="19"/>
  <c r="L24" i="13"/>
  <c r="L16" i="10"/>
  <c r="L13" i="12"/>
  <c r="L4" i="12"/>
  <c r="L14" i="15"/>
  <c r="L18" i="11"/>
  <c r="L7" i="12"/>
  <c r="L7" i="10"/>
  <c r="L16" i="19"/>
  <c r="Q45" i="10"/>
  <c r="L23" i="19"/>
  <c r="L9" i="15"/>
  <c r="L11" i="15"/>
  <c r="L7" i="14"/>
  <c r="L5" i="10"/>
  <c r="L13" i="16"/>
  <c r="L8" i="13"/>
  <c r="L10" i="11"/>
  <c r="L17" i="19"/>
  <c r="L11" i="14"/>
  <c r="L15" i="16"/>
  <c r="L14" i="8"/>
  <c r="L12" i="15"/>
  <c r="L12" i="11"/>
  <c r="L24" i="12"/>
  <c r="Q58" i="15"/>
  <c r="L24" i="19"/>
  <c r="L7" i="19"/>
  <c r="L15" i="12"/>
  <c r="L13" i="10"/>
  <c r="L18" i="15"/>
  <c r="L16" i="15"/>
  <c r="L15" i="14"/>
  <c r="L4" i="8"/>
  <c r="L12" i="14"/>
  <c r="L13" i="11"/>
  <c r="L7" i="8"/>
  <c r="L5" i="12"/>
  <c r="L5" i="14"/>
  <c r="L5" i="16"/>
  <c r="Q35" i="10"/>
  <c r="L8" i="19"/>
  <c r="L24" i="8"/>
  <c r="L12" i="19"/>
  <c r="L11" i="16"/>
  <c r="L22" i="15"/>
  <c r="L13" i="14"/>
  <c r="L7" i="11"/>
  <c r="L16" i="11"/>
  <c r="L6" i="10"/>
  <c r="L5" i="15"/>
  <c r="L14" i="13"/>
  <c r="L14" i="12"/>
  <c r="L7" i="13"/>
  <c r="Q25" i="10"/>
  <c r="L4" i="11"/>
  <c r="L8" i="10"/>
  <c r="L10" i="13"/>
  <c r="L16" i="16"/>
  <c r="L23" i="12"/>
  <c r="L8" i="15"/>
  <c r="L9" i="16"/>
  <c r="L18" i="13"/>
  <c r="L22" i="10"/>
  <c r="L17" i="12"/>
  <c r="L23" i="13"/>
  <c r="L13" i="15"/>
  <c r="L22" i="16"/>
  <c r="Q53" i="10"/>
  <c r="V148" i="1"/>
  <c r="AF148" i="1" s="1"/>
  <c r="T120" i="1"/>
  <c r="T112" i="1"/>
  <c r="T128" i="1"/>
  <c r="T142" i="1"/>
  <c r="T151" i="1"/>
  <c r="V91" i="1"/>
  <c r="R57" i="18"/>
  <c r="R72" i="18"/>
  <c r="R84" i="18"/>
  <c r="BD57" i="8"/>
  <c r="BD43" i="8"/>
  <c r="BD19" i="8"/>
  <c r="BD4" i="8"/>
  <c r="Q141" i="18"/>
  <c r="BD60" i="8"/>
  <c r="BD36" i="8"/>
  <c r="R53" i="18"/>
  <c r="R129" i="18"/>
  <c r="BD64" i="8"/>
  <c r="BD53" i="8"/>
  <c r="BD40" i="8"/>
  <c r="BD17" i="8"/>
  <c r="BD32" i="8"/>
  <c r="R141" i="18"/>
  <c r="I140" i="18" s="1"/>
  <c r="R81" i="18"/>
  <c r="R113" i="18"/>
  <c r="BD45" i="8"/>
  <c r="R93" i="18"/>
  <c r="R49" i="18"/>
  <c r="R24" i="7"/>
  <c r="BD55" i="8"/>
  <c r="BD52" i="8"/>
  <c r="BD26" i="8"/>
  <c r="BD35" i="8"/>
  <c r="BD13" i="8"/>
  <c r="R27" i="7"/>
  <c r="BD21" i="8"/>
  <c r="R110" i="18"/>
  <c r="R23" i="7"/>
  <c r="R97" i="18"/>
  <c r="BD51" i="8"/>
  <c r="BD56" i="8"/>
  <c r="BD22" i="8"/>
  <c r="BD20" i="8"/>
  <c r="BD5" i="8"/>
  <c r="R90" i="18"/>
  <c r="BD9" i="8"/>
  <c r="R43" i="18"/>
  <c r="R59" i="18"/>
  <c r="R65" i="18"/>
  <c r="BD47" i="8"/>
  <c r="BD61" i="8"/>
  <c r="BD18" i="8"/>
  <c r="BD33" i="8"/>
  <c r="BD14" i="8"/>
  <c r="R117" i="18"/>
  <c r="R44" i="18"/>
  <c r="BD50" i="8"/>
  <c r="R31" i="18"/>
  <c r="R86" i="18"/>
  <c r="R132" i="18"/>
  <c r="BD63" i="8"/>
  <c r="BD38" i="8"/>
  <c r="BD29" i="8"/>
  <c r="BD25" i="8"/>
  <c r="BD41" i="8"/>
  <c r="R134" i="18"/>
  <c r="BD30" i="8"/>
  <c r="R131" i="18"/>
  <c r="R71" i="18"/>
  <c r="R104" i="18"/>
  <c r="R29" i="7"/>
  <c r="BD59" i="8"/>
  <c r="R34" i="18"/>
  <c r="R58" i="18"/>
  <c r="R70" i="18"/>
  <c r="BD54" i="8"/>
  <c r="BD48" i="8"/>
  <c r="BD31" i="8"/>
  <c r="BD12" i="8"/>
  <c r="BD7" i="8"/>
  <c r="R77" i="18"/>
  <c r="R33" i="18"/>
  <c r="R67" i="18"/>
  <c r="R111" i="18"/>
  <c r="BD46" i="8"/>
  <c r="BD42" i="8"/>
  <c r="BD27" i="8"/>
  <c r="BD15" i="8"/>
  <c r="BD16" i="8"/>
  <c r="R42" i="18"/>
  <c r="R95" i="18"/>
  <c r="R87" i="18"/>
  <c r="T130" i="1"/>
  <c r="V126" i="1"/>
  <c r="AA126" i="1" s="1"/>
  <c r="V100" i="1"/>
  <c r="AA100" i="1" s="1"/>
  <c r="R94" i="18"/>
  <c r="R139" i="18"/>
  <c r="R39" i="18"/>
  <c r="R36" i="18"/>
  <c r="R98" i="18"/>
  <c r="R80" i="18"/>
  <c r="R28" i="7"/>
  <c r="R126" i="18"/>
  <c r="R73" i="18"/>
  <c r="R38" i="18"/>
  <c r="R100" i="18"/>
  <c r="R138" i="18"/>
  <c r="R30" i="18"/>
  <c r="R92" i="18"/>
  <c r="R89" i="18"/>
  <c r="R106" i="18"/>
  <c r="R105" i="18"/>
  <c r="R96" i="18"/>
  <c r="R28" i="18"/>
  <c r="R29" i="18"/>
  <c r="Q11" i="7"/>
  <c r="R66" i="18"/>
  <c r="R125" i="18"/>
  <c r="R23" i="18"/>
  <c r="R114" i="18"/>
  <c r="R124" i="18"/>
  <c r="R26" i="7"/>
  <c r="R32" i="18"/>
  <c r="R40" i="18"/>
  <c r="R103" i="18"/>
  <c r="R123" i="18"/>
  <c r="R64" i="18"/>
  <c r="R24" i="18"/>
  <c r="R79" i="18"/>
  <c r="R25" i="18"/>
  <c r="R83" i="18"/>
  <c r="R102" i="18"/>
  <c r="R30" i="7"/>
  <c r="R85" i="18"/>
  <c r="R91" i="18"/>
  <c r="R99" i="18"/>
  <c r="R120" i="18"/>
  <c r="R63" i="18"/>
  <c r="R101" i="18"/>
  <c r="R135" i="18"/>
  <c r="R119" i="18"/>
  <c r="R116" i="18"/>
  <c r="R26" i="18"/>
  <c r="R76" i="18"/>
  <c r="R37" i="18"/>
  <c r="R51" i="18"/>
  <c r="R60" i="18"/>
  <c r="R56" i="18"/>
  <c r="R130" i="18"/>
  <c r="R69" i="18"/>
  <c r="R140" i="18"/>
  <c r="R122" i="18"/>
  <c r="R50" i="18"/>
  <c r="R27" i="18"/>
  <c r="R78" i="18"/>
  <c r="R52" i="18"/>
  <c r="R55" i="18"/>
  <c r="R61" i="18"/>
  <c r="R128" i="18"/>
  <c r="R75" i="18"/>
  <c r="R108" i="18"/>
  <c r="R22" i="18"/>
  <c r="R25" i="7"/>
  <c r="R82" i="18"/>
  <c r="R48" i="18"/>
  <c r="R54" i="18"/>
  <c r="R112" i="18"/>
  <c r="R127" i="18"/>
  <c r="R74" i="18"/>
  <c r="R115" i="18"/>
  <c r="R137" i="18"/>
  <c r="R22" i="7"/>
  <c r="R46" i="18"/>
  <c r="R45" i="18"/>
  <c r="R47" i="18"/>
  <c r="R88" i="18"/>
  <c r="R107" i="18"/>
  <c r="R118" i="18"/>
  <c r="R133" i="18"/>
  <c r="R109" i="18"/>
  <c r="R136" i="18"/>
  <c r="R62" i="18"/>
  <c r="R35" i="18"/>
  <c r="R41" i="18"/>
  <c r="AG433" i="1"/>
  <c r="AH433" i="1" s="1"/>
  <c r="AG356" i="1"/>
  <c r="AH356" i="1" s="1"/>
  <c r="AV49" i="12"/>
  <c r="V95" i="1"/>
  <c r="AB95" i="1" s="1"/>
  <c r="V127" i="1"/>
  <c r="AF127" i="1" s="1"/>
  <c r="AG7" i="1"/>
  <c r="AG413" i="1"/>
  <c r="AH413" i="1" s="1"/>
  <c r="V113" i="1"/>
  <c r="X113" i="1" s="1"/>
  <c r="AG479" i="1"/>
  <c r="AH479" i="1" s="1"/>
  <c r="AG312" i="1"/>
  <c r="AH312" i="1" s="1"/>
  <c r="T94" i="1"/>
  <c r="V131" i="1"/>
  <c r="AD131" i="1" s="1"/>
  <c r="AG345" i="1"/>
  <c r="AH345" i="1" s="1"/>
  <c r="AG269" i="1"/>
  <c r="AH269" i="1" s="1"/>
  <c r="AG445" i="1"/>
  <c r="AH445" i="1" s="1"/>
  <c r="AG306" i="1"/>
  <c r="AH306" i="1" s="1"/>
  <c r="AG420" i="1"/>
  <c r="AH420" i="1" s="1"/>
  <c r="AG404" i="1"/>
  <c r="AH404" i="1" s="1"/>
  <c r="AG422" i="1"/>
  <c r="AH422" i="1" s="1"/>
  <c r="AG520" i="1"/>
  <c r="AH520" i="1" s="1"/>
  <c r="T153" i="1"/>
  <c r="V141" i="1"/>
  <c r="AG141" i="1" s="1"/>
  <c r="T105" i="1"/>
  <c r="AG427" i="1"/>
  <c r="AH427" i="1" s="1"/>
  <c r="AG436" i="1"/>
  <c r="AH436" i="1" s="1"/>
  <c r="AG565" i="1"/>
  <c r="AH565" i="1" s="1"/>
  <c r="AG434" i="1"/>
  <c r="AH434" i="1" s="1"/>
  <c r="AG544" i="1"/>
  <c r="AH544" i="1" s="1"/>
  <c r="V110" i="1"/>
  <c r="X110" i="1" s="1"/>
  <c r="AG459" i="1"/>
  <c r="AH459" i="1" s="1"/>
  <c r="AH629" i="1"/>
  <c r="AE105" i="1"/>
  <c r="BI49" i="8"/>
  <c r="R19" i="10"/>
  <c r="T50" i="10"/>
  <c r="Z46" i="10"/>
  <c r="U51" i="10"/>
  <c r="AA20" i="10"/>
  <c r="X20" i="10"/>
  <c r="R46" i="10"/>
  <c r="AE20" i="10"/>
  <c r="X46" i="10"/>
  <c r="Q48" i="10"/>
  <c r="AA48" i="10"/>
  <c r="T21" i="10"/>
  <c r="AE51" i="10"/>
  <c r="S46" i="8"/>
  <c r="Y51" i="8"/>
  <c r="N50" i="8"/>
  <c r="U46" i="8"/>
  <c r="Z48" i="8"/>
  <c r="U48" i="8"/>
  <c r="AE19" i="10"/>
  <c r="P19" i="8"/>
  <c r="S20" i="10"/>
  <c r="Q47" i="8"/>
  <c r="W50" i="8"/>
  <c r="AC19" i="8"/>
  <c r="AD51" i="8"/>
  <c r="Z20" i="8"/>
  <c r="AE51" i="8"/>
  <c r="M48" i="19"/>
  <c r="O20" i="19"/>
  <c r="X47" i="19"/>
  <c r="P47" i="19"/>
  <c r="AA46" i="19"/>
  <c r="AF47" i="19"/>
  <c r="R51" i="19"/>
  <c r="T46" i="19"/>
  <c r="Z19" i="19"/>
  <c r="Z48" i="19"/>
  <c r="Y19" i="19"/>
  <c r="V19" i="19"/>
  <c r="O19" i="19"/>
  <c r="AB51" i="19"/>
  <c r="Q48" i="19"/>
  <c r="M46" i="10"/>
  <c r="N21" i="10"/>
  <c r="Z48" i="10"/>
  <c r="P21" i="10"/>
  <c r="M47" i="10"/>
  <c r="AE46" i="10"/>
  <c r="AD48" i="10"/>
  <c r="Z20" i="10"/>
  <c r="AA19" i="10"/>
  <c r="V21" i="10"/>
  <c r="AF48" i="10"/>
  <c r="S46" i="10"/>
  <c r="Y21" i="10"/>
  <c r="X20" i="8"/>
  <c r="M20" i="8"/>
  <c r="T50" i="8"/>
  <c r="AA46" i="10"/>
  <c r="Q19" i="8"/>
  <c r="Q21" i="8"/>
  <c r="X48" i="10"/>
  <c r="Z51" i="8"/>
  <c r="R47" i="8"/>
  <c r="T46" i="8"/>
  <c r="W20" i="8"/>
  <c r="AC20" i="8"/>
  <c r="AE47" i="8"/>
  <c r="AE21" i="8"/>
  <c r="P46" i="19"/>
  <c r="X48" i="19"/>
  <c r="AE50" i="19"/>
  <c r="N47" i="19"/>
  <c r="AC50" i="19"/>
  <c r="S46" i="19"/>
  <c r="R50" i="19"/>
  <c r="W20" i="19"/>
  <c r="AD21" i="19"/>
  <c r="AD50" i="19"/>
  <c r="AB46" i="19"/>
  <c r="AF50" i="19"/>
  <c r="X51" i="19"/>
  <c r="V51" i="19"/>
  <c r="T19" i="19"/>
  <c r="S21" i="10"/>
  <c r="R50" i="10"/>
  <c r="AF20" i="10"/>
  <c r="P19" i="10"/>
  <c r="Q51" i="10"/>
  <c r="Z19" i="10"/>
  <c r="AA50" i="10"/>
  <c r="M51" i="10"/>
  <c r="AE48" i="10"/>
  <c r="X19" i="10"/>
  <c r="Q48" i="8"/>
  <c r="Y47" i="8"/>
  <c r="Q46" i="10"/>
  <c r="S51" i="8"/>
  <c r="X19" i="8"/>
  <c r="X46" i="8"/>
  <c r="AC46" i="10"/>
  <c r="AD50" i="8"/>
  <c r="AB50" i="8"/>
  <c r="U51" i="8"/>
  <c r="AE20" i="8"/>
  <c r="S19" i="19"/>
  <c r="AA51" i="19"/>
  <c r="Q20" i="19"/>
  <c r="Q50" i="19"/>
  <c r="AF51" i="19"/>
  <c r="T50" i="19"/>
  <c r="AF21" i="19"/>
  <c r="N21" i="19"/>
  <c r="AA48" i="19"/>
  <c r="P21" i="19"/>
  <c r="Y46" i="19"/>
  <c r="U46" i="19"/>
  <c r="AA47" i="19"/>
  <c r="V48" i="19"/>
  <c r="AB21" i="19"/>
  <c r="Z21" i="19"/>
  <c r="P51" i="10"/>
  <c r="AD51" i="10"/>
  <c r="N51" i="10"/>
  <c r="AC50" i="10"/>
  <c r="Q47" i="10"/>
  <c r="X47" i="10"/>
  <c r="M48" i="10"/>
  <c r="AC19" i="10"/>
  <c r="N21" i="8"/>
  <c r="Q50" i="8"/>
  <c r="AB50" i="10"/>
  <c r="AD20" i="10"/>
  <c r="U20" i="8"/>
  <c r="T21" i="8"/>
  <c r="Q20" i="8"/>
  <c r="P20" i="8"/>
  <c r="U19" i="8"/>
  <c r="AA47" i="8"/>
  <c r="AD47" i="8"/>
  <c r="AB46" i="8"/>
  <c r="V20" i="8"/>
  <c r="AE46" i="8"/>
  <c r="AA51" i="8"/>
  <c r="AD21" i="8"/>
  <c r="Q51" i="19"/>
  <c r="S20" i="19"/>
  <c r="Z51" i="19"/>
  <c r="N20" i="19"/>
  <c r="AF19" i="19"/>
  <c r="V47" i="19"/>
  <c r="M21" i="19"/>
  <c r="AA50" i="19"/>
  <c r="V50" i="19"/>
  <c r="N46" i="19"/>
  <c r="U20" i="19"/>
  <c r="W47" i="19"/>
  <c r="Z46" i="19"/>
  <c r="U19" i="19"/>
  <c r="M47" i="19"/>
  <c r="Y20" i="10"/>
  <c r="N46" i="10"/>
  <c r="AF46" i="10"/>
  <c r="R47" i="10"/>
  <c r="M50" i="10"/>
  <c r="R20" i="10"/>
  <c r="T20" i="10"/>
  <c r="N47" i="8"/>
  <c r="R51" i="8"/>
  <c r="V21" i="8"/>
  <c r="M19" i="8"/>
  <c r="Z46" i="8"/>
  <c r="O51" i="8"/>
  <c r="R19" i="8"/>
  <c r="P51" i="8"/>
  <c r="X47" i="8"/>
  <c r="AA48" i="8"/>
  <c r="AA20" i="8"/>
  <c r="AF20" i="8"/>
  <c r="AB21" i="8"/>
  <c r="R21" i="19"/>
  <c r="AD19" i="19"/>
  <c r="AE20" i="19"/>
  <c r="P48" i="19"/>
  <c r="M46" i="19"/>
  <c r="T48" i="19"/>
  <c r="R46" i="19"/>
  <c r="R20" i="19"/>
  <c r="M51" i="19"/>
  <c r="Y48" i="19"/>
  <c r="S48" i="19"/>
  <c r="Z47" i="19"/>
  <c r="O48" i="19"/>
  <c r="AC20" i="19"/>
  <c r="AC50" i="8"/>
  <c r="AA21" i="10"/>
  <c r="N48" i="10"/>
  <c r="AC51" i="10"/>
  <c r="P48" i="10"/>
  <c r="Q19" i="10"/>
  <c r="V51" i="8"/>
  <c r="M48" i="8"/>
  <c r="S50" i="8"/>
  <c r="N46" i="8"/>
  <c r="R20" i="8"/>
  <c r="O19" i="8"/>
  <c r="T20" i="8"/>
  <c r="S19" i="8"/>
  <c r="U47" i="8"/>
  <c r="O47" i="8"/>
  <c r="V48" i="8"/>
  <c r="AC46" i="8"/>
  <c r="AD20" i="8"/>
  <c r="AD48" i="8"/>
  <c r="AF47" i="8"/>
  <c r="O46" i="19"/>
  <c r="X19" i="19"/>
  <c r="S47" i="19"/>
  <c r="Q46" i="19"/>
  <c r="P20" i="19"/>
  <c r="P51" i="19"/>
  <c r="N50" i="19"/>
  <c r="Y51" i="19"/>
  <c r="S21" i="19"/>
  <c r="R48" i="19"/>
  <c r="Z50" i="19"/>
  <c r="M20" i="19"/>
  <c r="W21" i="19"/>
  <c r="U21" i="19"/>
  <c r="AB19" i="19"/>
  <c r="U48" i="10"/>
  <c r="X50" i="10"/>
  <c r="P20" i="10"/>
  <c r="AC20" i="10"/>
  <c r="O47" i="10"/>
  <c r="V46" i="10"/>
  <c r="W48" i="8"/>
  <c r="Y21" i="8"/>
  <c r="O21" i="8"/>
  <c r="S21" i="8"/>
  <c r="Z21" i="8"/>
  <c r="N19" i="10"/>
  <c r="Q51" i="8"/>
  <c r="AB51" i="10"/>
  <c r="V50" i="8"/>
  <c r="X48" i="8"/>
  <c r="AA19" i="8"/>
  <c r="AF50" i="8"/>
  <c r="AB51" i="8"/>
  <c r="AC48" i="19"/>
  <c r="R47" i="19"/>
  <c r="V20" i="19"/>
  <c r="S51" i="19"/>
  <c r="AB47" i="19"/>
  <c r="W46" i="19"/>
  <c r="Y21" i="19"/>
  <c r="Y50" i="19"/>
  <c r="Q47" i="19"/>
  <c r="T47" i="19"/>
  <c r="AA20" i="19"/>
  <c r="U50" i="19"/>
  <c r="AC21" i="19"/>
  <c r="AC46" i="19"/>
  <c r="AD50" i="10"/>
  <c r="Y46" i="10"/>
  <c r="Z21" i="10"/>
  <c r="AB20" i="10"/>
  <c r="AC48" i="10"/>
  <c r="W19" i="10"/>
  <c r="Z50" i="10"/>
  <c r="N47" i="10"/>
  <c r="W46" i="10"/>
  <c r="AE47" i="10"/>
  <c r="Y51" i="10"/>
  <c r="S48" i="10"/>
  <c r="O21" i="10"/>
  <c r="Y48" i="10"/>
  <c r="T51" i="10"/>
  <c r="U19" i="10"/>
  <c r="AD46" i="10"/>
  <c r="W19" i="8"/>
  <c r="R46" i="8"/>
  <c r="X21" i="8"/>
  <c r="Y48" i="8"/>
  <c r="V19" i="10"/>
  <c r="AC47" i="10"/>
  <c r="P21" i="8"/>
  <c r="V46" i="8"/>
  <c r="Y50" i="8"/>
  <c r="X21" i="10"/>
  <c r="AF48" i="8"/>
  <c r="AF19" i="8"/>
  <c r="AC48" i="8"/>
  <c r="AE48" i="8"/>
  <c r="AE46" i="19"/>
  <c r="AA19" i="19"/>
  <c r="AE47" i="19"/>
  <c r="R19" i="19"/>
  <c r="S50" i="19"/>
  <c r="AD46" i="19"/>
  <c r="AD20" i="19"/>
  <c r="Y20" i="19"/>
  <c r="T51" i="19"/>
  <c r="U51" i="19"/>
  <c r="Q21" i="19"/>
  <c r="W48" i="10"/>
  <c r="T19" i="10"/>
  <c r="T48" i="10"/>
  <c r="AF50" i="10"/>
  <c r="S47" i="10"/>
  <c r="M20" i="10"/>
  <c r="Q21" i="10"/>
  <c r="N50" i="10"/>
  <c r="AC21" i="10"/>
  <c r="V48" i="10"/>
  <c r="W47" i="10"/>
  <c r="AF51" i="10"/>
  <c r="S20" i="8"/>
  <c r="O50" i="8"/>
  <c r="X51" i="8"/>
  <c r="Z50" i="8"/>
  <c r="U50" i="8"/>
  <c r="Q46" i="8"/>
  <c r="T51" i="8"/>
  <c r="N19" i="8"/>
  <c r="S19" i="10"/>
  <c r="O20" i="10"/>
  <c r="Y46" i="8"/>
  <c r="N20" i="8"/>
  <c r="R50" i="8"/>
  <c r="M50" i="8"/>
  <c r="AF21" i="8"/>
  <c r="AF46" i="8"/>
  <c r="AC51" i="8"/>
  <c r="P50" i="19"/>
  <c r="AB50" i="19"/>
  <c r="X20" i="19"/>
  <c r="W50" i="19"/>
  <c r="O51" i="19"/>
  <c r="Q19" i="19"/>
  <c r="V21" i="19"/>
  <c r="W51" i="19"/>
  <c r="N48" i="19"/>
  <c r="AF48" i="19"/>
  <c r="P19" i="19"/>
  <c r="AF20" i="19"/>
  <c r="AD48" i="19"/>
  <c r="X46" i="19"/>
  <c r="Y47" i="19"/>
  <c r="AE51" i="19"/>
  <c r="AC19" i="19"/>
  <c r="X50" i="19"/>
  <c r="Y50" i="10"/>
  <c r="P50" i="10"/>
  <c r="S50" i="10"/>
  <c r="AB19" i="10"/>
  <c r="AB47" i="10"/>
  <c r="P47" i="10"/>
  <c r="Q20" i="10"/>
  <c r="AB48" i="10"/>
  <c r="V47" i="10"/>
  <c r="AF19" i="10"/>
  <c r="W51" i="10"/>
  <c r="O50" i="10"/>
  <c r="T47" i="10"/>
  <c r="M47" i="8"/>
  <c r="O20" i="8"/>
  <c r="W21" i="8"/>
  <c r="M51" i="8"/>
  <c r="V51" i="10"/>
  <c r="M46" i="8"/>
  <c r="U46" i="10"/>
  <c r="S48" i="8"/>
  <c r="S47" i="8"/>
  <c r="T48" i="8"/>
  <c r="U47" i="10"/>
  <c r="W46" i="8"/>
  <c r="W47" i="8"/>
  <c r="Y20" i="8"/>
  <c r="AA50" i="8"/>
  <c r="Z19" i="8"/>
  <c r="AB19" i="8"/>
  <c r="AC47" i="19"/>
  <c r="W48" i="19"/>
  <c r="S51" i="10"/>
  <c r="W20" i="10"/>
  <c r="Z47" i="10"/>
  <c r="N20" i="10"/>
  <c r="O51" i="10"/>
  <c r="AE50" i="10"/>
  <c r="R21" i="8"/>
  <c r="U21" i="8"/>
  <c r="AB21" i="10"/>
  <c r="T47" i="8"/>
  <c r="T19" i="8"/>
  <c r="P46" i="8"/>
  <c r="P50" i="8"/>
  <c r="X50" i="8"/>
  <c r="AD19" i="10"/>
  <c r="V47" i="8"/>
  <c r="AD46" i="8"/>
  <c r="AA46" i="8"/>
  <c r="AD47" i="19"/>
  <c r="T20" i="19"/>
  <c r="X21" i="19"/>
  <c r="O50" i="19"/>
  <c r="AB20" i="19"/>
  <c r="M19" i="19"/>
  <c r="AF46" i="19"/>
  <c r="V46" i="19"/>
  <c r="O21" i="19"/>
  <c r="AD51" i="19"/>
  <c r="N51" i="19"/>
  <c r="W19" i="19"/>
  <c r="AB48" i="19"/>
  <c r="AF51" i="8"/>
  <c r="AE48" i="19"/>
  <c r="U48" i="19"/>
  <c r="Y19" i="10"/>
  <c r="Z51" i="10"/>
  <c r="U20" i="10"/>
  <c r="AF47" i="10"/>
  <c r="U21" i="10"/>
  <c r="AE21" i="10"/>
  <c r="AA47" i="10"/>
  <c r="O19" i="10"/>
  <c r="V20" i="10"/>
  <c r="R51" i="10"/>
  <c r="AA51" i="10"/>
  <c r="AD47" i="10"/>
  <c r="P48" i="8"/>
  <c r="R48" i="8"/>
  <c r="O48" i="8"/>
  <c r="M21" i="8"/>
  <c r="P47" i="8"/>
  <c r="Z47" i="8"/>
  <c r="N51" i="8"/>
  <c r="W50" i="10"/>
  <c r="N48" i="8"/>
  <c r="O48" i="10"/>
  <c r="W51" i="8"/>
  <c r="O46" i="10"/>
  <c r="Y19" i="8"/>
  <c r="U50" i="10"/>
  <c r="O46" i="8"/>
  <c r="V19" i="8"/>
  <c r="AB20" i="8"/>
  <c r="AA21" i="8"/>
  <c r="AB47" i="8"/>
  <c r="AE19" i="8"/>
  <c r="AC47" i="8"/>
  <c r="AE50" i="8"/>
  <c r="AD19" i="8"/>
  <c r="AB48" i="8"/>
  <c r="AC21" i="8"/>
  <c r="U47" i="19"/>
  <c r="AC51" i="19"/>
  <c r="AE21" i="19"/>
  <c r="AA21" i="19"/>
  <c r="N19" i="19"/>
  <c r="M50" i="19"/>
  <c r="Z20" i="19"/>
  <c r="O47" i="19"/>
  <c r="T21" i="19"/>
  <c r="AE19" i="19"/>
  <c r="N46" i="12"/>
  <c r="N20" i="12"/>
  <c r="M19" i="12"/>
  <c r="P19" i="12"/>
  <c r="Q47" i="12"/>
  <c r="S21" i="12"/>
  <c r="T51" i="12"/>
  <c r="U47" i="12"/>
  <c r="W46" i="12"/>
  <c r="Z51" i="12"/>
  <c r="AE47" i="12"/>
  <c r="AF20" i="12"/>
  <c r="AF21" i="12"/>
  <c r="AD50" i="12"/>
  <c r="Y19" i="12"/>
  <c r="AF48" i="12"/>
  <c r="AE51" i="12"/>
  <c r="O21" i="12"/>
  <c r="O46" i="12"/>
  <c r="S20" i="12"/>
  <c r="R47" i="12"/>
  <c r="P51" i="12"/>
  <c r="W47" i="12"/>
  <c r="T19" i="12"/>
  <c r="S50" i="12"/>
  <c r="W20" i="12"/>
  <c r="Y20" i="12"/>
  <c r="Z48" i="12"/>
  <c r="Z46" i="12"/>
  <c r="AA51" i="12"/>
  <c r="V48" i="12"/>
  <c r="AF50" i="12"/>
  <c r="AE46" i="12"/>
  <c r="AD21" i="12"/>
  <c r="AC50" i="12"/>
  <c r="AB48" i="12"/>
  <c r="Z19" i="12"/>
  <c r="AF19" i="12"/>
  <c r="O20" i="12"/>
  <c r="M46" i="12"/>
  <c r="N51" i="12"/>
  <c r="T46" i="12"/>
  <c r="P50" i="12"/>
  <c r="P48" i="12"/>
  <c r="W50" i="12"/>
  <c r="Y51" i="12"/>
  <c r="AA21" i="12"/>
  <c r="AA50" i="12"/>
  <c r="N19" i="12"/>
  <c r="M21" i="12"/>
  <c r="U20" i="12"/>
  <c r="U48" i="12"/>
  <c r="T50" i="12"/>
  <c r="AA20" i="12"/>
  <c r="Y47" i="12"/>
  <c r="AB50" i="12"/>
  <c r="AB51" i="12"/>
  <c r="AC19" i="12"/>
  <c r="AC21" i="12"/>
  <c r="AF51" i="12"/>
  <c r="M48" i="12"/>
  <c r="O19" i="12"/>
  <c r="R48" i="12"/>
  <c r="R20" i="12"/>
  <c r="V20" i="12"/>
  <c r="X20" i="12"/>
  <c r="T20" i="12"/>
  <c r="X47" i="12"/>
  <c r="U51" i="12"/>
  <c r="AB19" i="12"/>
  <c r="AA48" i="12"/>
  <c r="AC46" i="12"/>
  <c r="AC47" i="12"/>
  <c r="AF47" i="12"/>
  <c r="R19" i="12"/>
  <c r="U21" i="12"/>
  <c r="M50" i="12"/>
  <c r="N47" i="12"/>
  <c r="S19" i="12"/>
  <c r="S46" i="12"/>
  <c r="V46" i="12"/>
  <c r="Y50" i="12"/>
  <c r="Y21" i="12"/>
  <c r="X48" i="12"/>
  <c r="V47" i="12"/>
  <c r="AE50" i="12"/>
  <c r="AF46" i="12"/>
  <c r="AD20" i="12"/>
  <c r="AD19" i="12"/>
  <c r="AC48" i="12"/>
  <c r="AA46" i="12"/>
  <c r="AE48" i="12"/>
  <c r="AD51" i="12"/>
  <c r="T21" i="12"/>
  <c r="Q48" i="12"/>
  <c r="Q21" i="12"/>
  <c r="V21" i="12"/>
  <c r="U46" i="12"/>
  <c r="R21" i="12"/>
  <c r="AB20" i="12"/>
  <c r="AB47" i="12"/>
  <c r="AE20" i="12"/>
  <c r="AC51" i="12"/>
  <c r="X46" i="12"/>
  <c r="M47" i="12"/>
  <c r="M20" i="12"/>
  <c r="S47" i="12"/>
  <c r="T48" i="12"/>
  <c r="Q51" i="12"/>
  <c r="T47" i="12"/>
  <c r="O48" i="12"/>
  <c r="V50" i="12"/>
  <c r="X50" i="12"/>
  <c r="Y46" i="12"/>
  <c r="Z47" i="12"/>
  <c r="AD46" i="12"/>
  <c r="AD47" i="12"/>
  <c r="W19" i="12"/>
  <c r="U19" i="12"/>
  <c r="Q46" i="12"/>
  <c r="AC20" i="12"/>
  <c r="O50" i="12"/>
  <c r="O51" i="12"/>
  <c r="Q20" i="12"/>
  <c r="W51" i="12"/>
  <c r="M51" i="12"/>
  <c r="N50" i="12"/>
  <c r="O47" i="12"/>
  <c r="P46" i="12"/>
  <c r="Q19" i="12"/>
  <c r="P21" i="12"/>
  <c r="Q50" i="12"/>
  <c r="V51" i="12"/>
  <c r="U50" i="12"/>
  <c r="P47" i="12"/>
  <c r="AA47" i="12"/>
  <c r="Z21" i="12"/>
  <c r="X19" i="12"/>
  <c r="AA19" i="12"/>
  <c r="AD48" i="12"/>
  <c r="AB21" i="12"/>
  <c r="AE19" i="12"/>
  <c r="N48" i="12"/>
  <c r="N21" i="12"/>
  <c r="R46" i="12"/>
  <c r="P20" i="12"/>
  <c r="S48" i="12"/>
  <c r="R50" i="12"/>
  <c r="R51" i="12"/>
  <c r="W21" i="12"/>
  <c r="X51" i="12"/>
  <c r="V19" i="12"/>
  <c r="S51" i="12"/>
  <c r="W48" i="12"/>
  <c r="X21" i="12"/>
  <c r="Y48" i="12"/>
  <c r="Z20" i="12"/>
  <c r="AB46" i="12"/>
  <c r="Z50" i="12"/>
  <c r="AE21" i="12"/>
  <c r="J8" i="8"/>
  <c r="AG288" i="1"/>
  <c r="AH288" i="1" s="1"/>
  <c r="AG578" i="1"/>
  <c r="AH578" i="1" s="1"/>
  <c r="AG533" i="1"/>
  <c r="AH533" i="1" s="1"/>
  <c r="AG303" i="1"/>
  <c r="AH303" i="1" s="1"/>
  <c r="AG563" i="1"/>
  <c r="AH563" i="1" s="1"/>
  <c r="AG491" i="1"/>
  <c r="AH491" i="1" s="1"/>
  <c r="AG475" i="1"/>
  <c r="AH475" i="1" s="1"/>
  <c r="AH626" i="1"/>
  <c r="AG314" i="1"/>
  <c r="AH314" i="1" s="1"/>
  <c r="AG586" i="1"/>
  <c r="AH586" i="1" s="1"/>
  <c r="AG184" i="1"/>
  <c r="AH184" i="1" s="1"/>
  <c r="AG22" i="1"/>
  <c r="AH22" i="1" s="1"/>
  <c r="V145" i="1"/>
  <c r="T145" i="1"/>
  <c r="AG177" i="1"/>
  <c r="AH177" i="1" s="1"/>
  <c r="AG239" i="1"/>
  <c r="AH239" i="1" s="1"/>
  <c r="AG415" i="1"/>
  <c r="AH415" i="1" s="1"/>
  <c r="AG294" i="1"/>
  <c r="AG557" i="1"/>
  <c r="AH557" i="1" s="1"/>
  <c r="AG332" i="1"/>
  <c r="AH332" i="1" s="1"/>
  <c r="AG549" i="1"/>
  <c r="AH549" i="1" s="1"/>
  <c r="AG489" i="1"/>
  <c r="AH489" i="1" s="1"/>
  <c r="AG265" i="1"/>
  <c r="AH265" i="1" s="1"/>
  <c r="AG19" i="1"/>
  <c r="AG185" i="1"/>
  <c r="AH185" i="1" s="1"/>
  <c r="V93" i="1"/>
  <c r="T93" i="1"/>
  <c r="AH855" i="1"/>
  <c r="AH742" i="1"/>
  <c r="AH829" i="1"/>
  <c r="AH783" i="1"/>
  <c r="AH731" i="1"/>
  <c r="AH651" i="1"/>
  <c r="AH703" i="1"/>
  <c r="AH793" i="1"/>
  <c r="AH708" i="1"/>
  <c r="AH744" i="1"/>
  <c r="AH753" i="1"/>
  <c r="AH707" i="1"/>
  <c r="AH823" i="1"/>
  <c r="AH874" i="1"/>
  <c r="AH666" i="1"/>
  <c r="AH805" i="1"/>
  <c r="AH643" i="1"/>
  <c r="AH873" i="1"/>
  <c r="AH865" i="1"/>
  <c r="AH761" i="1"/>
  <c r="AH822" i="1"/>
  <c r="AH691" i="1"/>
  <c r="AH673" i="1"/>
  <c r="AH726" i="1"/>
  <c r="AH816" i="1"/>
  <c r="AH706" i="1"/>
  <c r="AH804" i="1"/>
  <c r="AH781" i="1"/>
  <c r="AH714" i="1"/>
  <c r="AH683" i="1"/>
  <c r="AH801" i="1"/>
  <c r="AH749" i="1"/>
  <c r="AH699" i="1"/>
  <c r="AH850" i="1"/>
  <c r="AH859" i="1"/>
  <c r="AH838" i="1"/>
  <c r="AG54" i="1"/>
  <c r="AH54" i="1" s="1"/>
  <c r="AH800" i="1"/>
  <c r="AH814" i="1"/>
  <c r="AH650" i="1"/>
  <c r="AH712" i="1"/>
  <c r="AH743" i="1"/>
  <c r="AH790" i="1"/>
  <c r="AH760" i="1"/>
  <c r="AH652" i="1"/>
  <c r="AH863" i="1"/>
  <c r="AH854" i="1"/>
  <c r="AH653" i="1"/>
  <c r="AH754" i="1"/>
  <c r="AH848" i="1"/>
  <c r="AH795" i="1"/>
  <c r="AH661" i="1"/>
  <c r="AH856" i="1"/>
  <c r="AH864" i="1"/>
  <c r="AH685" i="1"/>
  <c r="AH720" i="1"/>
  <c r="AH750" i="1"/>
  <c r="AH688" i="1"/>
  <c r="AH806" i="1"/>
  <c r="AH779" i="1"/>
  <c r="AH690" i="1"/>
  <c r="AH711" i="1"/>
  <c r="AH671" i="1"/>
  <c r="AH812" i="1"/>
  <c r="AH684" i="1"/>
  <c r="AH861" i="1"/>
  <c r="AH784" i="1"/>
  <c r="AH857" i="1"/>
  <c r="AH748" i="1"/>
  <c r="AH736" i="1"/>
  <c r="AH701" i="1"/>
  <c r="AH858" i="1"/>
  <c r="AH782" i="1"/>
  <c r="AG553" i="1"/>
  <c r="AH751" i="1"/>
  <c r="AG29" i="1"/>
  <c r="AH29" i="1" s="1"/>
  <c r="AG414" i="1"/>
  <c r="AH414" i="1" s="1"/>
  <c r="AG27" i="1"/>
  <c r="AH27" i="1" s="1"/>
  <c r="AG348" i="1"/>
  <c r="AH348" i="1" s="1"/>
  <c r="AG31" i="1"/>
  <c r="AH31" i="1" s="1"/>
  <c r="AG357" i="1"/>
  <c r="AH357" i="1" s="1"/>
  <c r="AG14" i="1"/>
  <c r="AH14" i="1" s="1"/>
  <c r="AG65" i="1"/>
  <c r="AH65" i="1" s="1"/>
  <c r="AH658" i="1"/>
  <c r="AH789" i="1"/>
  <c r="AH840" i="1"/>
  <c r="AG381" i="1"/>
  <c r="AH381" i="1" s="1"/>
  <c r="AG10" i="1"/>
  <c r="AH10" i="1" s="1"/>
  <c r="AG63" i="1"/>
  <c r="AH63" i="1" s="1"/>
  <c r="AH847" i="1"/>
  <c r="AH818" i="1"/>
  <c r="AH670" i="1"/>
  <c r="AH833" i="1"/>
  <c r="AH679" i="1"/>
  <c r="AH702" i="1"/>
  <c r="AH655" i="1"/>
  <c r="AH817" i="1"/>
  <c r="AH669" i="1"/>
  <c r="AH759" i="1"/>
  <c r="AH734" i="1"/>
  <c r="AH766" i="1"/>
  <c r="AH672" i="1"/>
  <c r="AH828" i="1"/>
  <c r="AH792" i="1"/>
  <c r="AH862" i="1"/>
  <c r="AH657" i="1"/>
  <c r="AH695" i="1"/>
  <c r="AH866" i="1"/>
  <c r="AH686" i="1"/>
  <c r="AH813" i="1"/>
  <c r="AH635" i="1"/>
  <c r="AH794" i="1"/>
  <c r="AH755" i="1"/>
  <c r="AG20" i="1"/>
  <c r="AH20" i="1" s="1"/>
  <c r="AG346" i="1"/>
  <c r="AH346" i="1" s="1"/>
  <c r="AG18" i="1"/>
  <c r="AH713" i="1"/>
  <c r="AH764" i="1"/>
  <c r="AH767" i="1"/>
  <c r="AH771" i="1"/>
  <c r="AH762" i="1"/>
  <c r="AH853" i="1"/>
  <c r="AH729" i="1"/>
  <c r="AH786" i="1"/>
  <c r="AH718" i="1"/>
  <c r="AH647" i="1"/>
  <c r="AH825" i="1"/>
  <c r="AH727" i="1"/>
  <c r="AH845" i="1"/>
  <c r="AH656" i="1"/>
  <c r="AH632" i="1"/>
  <c r="AH745" i="1"/>
  <c r="AG378" i="1"/>
  <c r="AH378" i="1" s="1"/>
  <c r="AG347" i="1"/>
  <c r="AG8" i="1"/>
  <c r="AH8" i="1" s="1"/>
  <c r="AH728" i="1"/>
  <c r="AH680" i="1"/>
  <c r="AH716" i="1"/>
  <c r="AH803" i="1"/>
  <c r="AH687" i="1"/>
  <c r="AH709" i="1"/>
  <c r="AH798" i="1"/>
  <c r="AH645" i="1"/>
  <c r="AG568" i="1"/>
  <c r="AH568" i="1" s="1"/>
  <c r="AH660" i="1"/>
  <c r="AH738" i="1"/>
  <c r="AH788" i="1"/>
  <c r="AG21" i="1"/>
  <c r="AG359" i="1"/>
  <c r="AH359" i="1" s="1"/>
  <c r="AH678" i="1"/>
  <c r="AH810" i="1"/>
  <c r="AH819" i="1"/>
  <c r="AH791" i="1"/>
  <c r="AH644" i="1"/>
  <c r="AH715" i="1"/>
  <c r="AH696" i="1"/>
  <c r="AG26" i="1"/>
  <c r="AG354" i="1"/>
  <c r="AH354" i="1" s="1"/>
  <c r="AG9" i="1"/>
  <c r="AH9" i="1" s="1"/>
  <c r="AH719" i="1"/>
  <c r="AH659" i="1"/>
  <c r="AH664" i="1"/>
  <c r="AH692" i="1"/>
  <c r="AH846" i="1"/>
  <c r="AH809" i="1"/>
  <c r="AH799" i="1"/>
  <c r="AH835" i="1"/>
  <c r="AH852" i="1"/>
  <c r="AH821" i="1"/>
  <c r="AH776" i="1"/>
  <c r="AH752" i="1"/>
  <c r="AH775" i="1"/>
  <c r="AH694" i="1"/>
  <c r="AH654" i="1"/>
  <c r="AH674" i="1"/>
  <c r="AG573" i="1"/>
  <c r="AH573" i="1" s="1"/>
  <c r="AH787" i="1"/>
  <c r="AG552" i="1"/>
  <c r="AH552" i="1" s="1"/>
  <c r="AH867" i="1"/>
  <c r="AH849" i="1"/>
  <c r="AG23" i="1"/>
  <c r="AH23" i="1" s="1"/>
  <c r="AG25" i="1"/>
  <c r="AH25" i="1" s="1"/>
  <c r="AG360" i="1"/>
  <c r="AH360" i="1" s="1"/>
  <c r="AG12" i="1"/>
  <c r="AH12" i="1" s="1"/>
  <c r="AH710" i="1"/>
  <c r="AH778" i="1"/>
  <c r="AH851" i="1"/>
  <c r="AH785" i="1"/>
  <c r="AH723" i="1"/>
  <c r="AH765" i="1"/>
  <c r="AH689" i="1"/>
  <c r="AG161" i="1"/>
  <c r="AH733" i="1"/>
  <c r="AH870" i="1"/>
  <c r="AH758" i="1"/>
  <c r="AH868" i="1"/>
  <c r="AH675" i="1"/>
  <c r="AH682" i="1"/>
  <c r="AG33" i="1"/>
  <c r="AH33" i="1" s="1"/>
  <c r="AH815" i="1"/>
  <c r="AH665" i="1"/>
  <c r="AH843" i="1"/>
  <c r="AH704" i="1"/>
  <c r="AH860" i="1"/>
  <c r="AH700" i="1"/>
  <c r="AH796" i="1"/>
  <c r="AH774" i="1"/>
  <c r="AH681" i="1"/>
  <c r="AH839" i="1"/>
  <c r="AH740" i="1"/>
  <c r="AH827" i="1"/>
  <c r="AH725" i="1"/>
  <c r="AH739" i="1"/>
  <c r="AG471" i="1"/>
  <c r="AH471" i="1" s="1"/>
  <c r="AG24" i="1"/>
  <c r="AG358" i="1"/>
  <c r="AH358" i="1" s="1"/>
  <c r="AH746" i="1"/>
  <c r="AH836" i="1"/>
  <c r="AH768" i="1"/>
  <c r="AH832" i="1"/>
  <c r="AH633" i="1"/>
  <c r="AG412" i="1"/>
  <c r="AH412" i="1" s="1"/>
  <c r="AG35" i="1"/>
  <c r="AH35" i="1" s="1"/>
  <c r="AG13" i="1"/>
  <c r="AG53" i="1"/>
  <c r="AH53" i="1" s="1"/>
  <c r="AH772" i="1"/>
  <c r="AH698" i="1"/>
  <c r="AH807" i="1"/>
  <c r="AH841" i="1"/>
  <c r="AH797" i="1"/>
  <c r="AH802" i="1"/>
  <c r="AH830" i="1"/>
  <c r="AH722" i="1"/>
  <c r="AH770" i="1"/>
  <c r="AH773" i="1"/>
  <c r="AH834" i="1"/>
  <c r="AH871" i="1"/>
  <c r="AH677" i="1"/>
  <c r="AH663" i="1"/>
  <c r="AG572" i="1"/>
  <c r="AH572" i="1" s="1"/>
  <c r="AH667" i="1"/>
  <c r="AH668" i="1"/>
  <c r="AH721" i="1"/>
  <c r="AH735" i="1"/>
  <c r="AH780" i="1"/>
  <c r="AH763" i="1"/>
  <c r="AH769" i="1"/>
  <c r="AG351" i="1"/>
  <c r="AH351" i="1" s="1"/>
  <c r="AH662" i="1"/>
  <c r="AH697" i="1"/>
  <c r="AH869" i="1"/>
  <c r="AH693" i="1"/>
  <c r="AG385" i="1"/>
  <c r="AH385" i="1" s="1"/>
  <c r="AG201" i="1"/>
  <c r="AH201" i="1" s="1"/>
  <c r="AG71" i="1"/>
  <c r="AH71" i="1" s="1"/>
  <c r="AG249" i="1"/>
  <c r="AH249" i="1" s="1"/>
  <c r="AG78" i="1"/>
  <c r="AH78" i="1" s="1"/>
  <c r="AG171" i="1"/>
  <c r="AH171" i="1" s="1"/>
  <c r="AG255" i="1"/>
  <c r="AH255" i="1" s="1"/>
  <c r="AG244" i="1"/>
  <c r="AH244" i="1" s="1"/>
  <c r="AG217" i="1"/>
  <c r="AH217" i="1" s="1"/>
  <c r="AG44" i="1"/>
  <c r="AH44" i="1" s="1"/>
  <c r="AG60" i="1"/>
  <c r="AH60" i="1" s="1"/>
  <c r="AG221" i="1"/>
  <c r="AH221" i="1" s="1"/>
  <c r="AG157" i="1"/>
  <c r="AH157" i="1" s="1"/>
  <c r="AH811" i="1"/>
  <c r="AG232" i="1"/>
  <c r="AH232" i="1" s="1"/>
  <c r="AG76" i="1"/>
  <c r="AH76" i="1" s="1"/>
  <c r="AG73" i="1"/>
  <c r="AH73" i="1" s="1"/>
  <c r="AG254" i="1"/>
  <c r="AH254" i="1" s="1"/>
  <c r="AG167" i="1"/>
  <c r="AH167" i="1" s="1"/>
  <c r="AG203" i="1"/>
  <c r="AH203" i="1" s="1"/>
  <c r="AG240" i="1"/>
  <c r="AH240" i="1" s="1"/>
  <c r="AG75" i="1"/>
  <c r="AH75" i="1" s="1"/>
  <c r="AG87" i="1"/>
  <c r="AH87" i="1" s="1"/>
  <c r="AG172" i="1"/>
  <c r="AH172" i="1" s="1"/>
  <c r="AG64" i="1"/>
  <c r="AH64" i="1" s="1"/>
  <c r="AG187" i="1"/>
  <c r="AH187" i="1" s="1"/>
  <c r="AG168" i="1"/>
  <c r="AH168" i="1" s="1"/>
  <c r="AG263" i="1"/>
  <c r="AH263" i="1" s="1"/>
  <c r="AG250" i="1"/>
  <c r="AG40" i="1"/>
  <c r="AH40" i="1" s="1"/>
  <c r="AG166" i="1"/>
  <c r="AH166" i="1" s="1"/>
  <c r="AG58" i="1"/>
  <c r="AH58" i="1" s="1"/>
  <c r="AG225" i="1"/>
  <c r="AH225" i="1" s="1"/>
  <c r="AG230" i="1"/>
  <c r="AH230" i="1" s="1"/>
  <c r="AG236" i="1"/>
  <c r="AH236" i="1" s="1"/>
  <c r="AG169" i="1"/>
  <c r="AH717" i="1"/>
  <c r="AH741" i="1"/>
  <c r="AH842" i="1"/>
  <c r="AH756" i="1"/>
  <c r="AG352" i="1"/>
  <c r="AH352" i="1" s="1"/>
  <c r="AH732" i="1"/>
  <c r="AH648" i="1"/>
  <c r="AH831" i="1"/>
  <c r="AH824" i="1"/>
  <c r="AH747" i="1"/>
  <c r="AG34" i="1"/>
  <c r="AH34" i="1" s="1"/>
  <c r="AG37" i="1"/>
  <c r="AH37" i="1" s="1"/>
  <c r="AG204" i="1"/>
  <c r="AH204" i="1" s="1"/>
  <c r="AG79" i="1"/>
  <c r="AH79" i="1" s="1"/>
  <c r="AG56" i="1"/>
  <c r="AH56" i="1" s="1"/>
  <c r="AG223" i="1"/>
  <c r="AH223" i="1" s="1"/>
  <c r="AG206" i="1"/>
  <c r="AH206" i="1" s="1"/>
  <c r="AG228" i="1"/>
  <c r="AH228" i="1" s="1"/>
  <c r="AG84" i="1"/>
  <c r="AH84" i="1" s="1"/>
  <c r="AG156" i="1"/>
  <c r="AH156" i="1" s="1"/>
  <c r="AG39" i="1"/>
  <c r="AH39" i="1" s="1"/>
  <c r="AG16" i="1"/>
  <c r="AG252" i="1"/>
  <c r="AH252" i="1" s="1"/>
  <c r="AG200" i="1"/>
  <c r="AH200" i="1" s="1"/>
  <c r="AG233" i="1"/>
  <c r="AH233" i="1" s="1"/>
  <c r="AG210" i="1"/>
  <c r="AH210" i="1" s="1"/>
  <c r="AG158" i="1"/>
  <c r="AH158" i="1" s="1"/>
  <c r="AH777" i="1"/>
  <c r="AG32" i="1"/>
  <c r="AH32" i="1" s="1"/>
  <c r="AG88" i="1"/>
  <c r="AH88" i="1" s="1"/>
  <c r="AG242" i="1"/>
  <c r="AH242" i="1" s="1"/>
  <c r="AG66" i="1"/>
  <c r="AH66" i="1" s="1"/>
  <c r="AG238" i="1"/>
  <c r="AH238" i="1" s="1"/>
  <c r="AG69" i="1"/>
  <c r="AH69" i="1" s="1"/>
  <c r="AG198" i="1"/>
  <c r="AH198" i="1" s="1"/>
  <c r="AG211" i="1"/>
  <c r="AH211" i="1" s="1"/>
  <c r="AG159" i="1"/>
  <c r="AH159" i="1" s="1"/>
  <c r="AH730" i="1"/>
  <c r="AG11" i="1"/>
  <c r="AH11" i="1" s="1"/>
  <c r="AG50" i="1"/>
  <c r="AH50" i="1" s="1"/>
  <c r="AG162" i="1"/>
  <c r="AH162" i="1" s="1"/>
  <c r="AG170" i="1"/>
  <c r="AH170" i="1" s="1"/>
  <c r="AG43" i="1"/>
  <c r="AH43" i="1" s="1"/>
  <c r="AG59" i="1"/>
  <c r="AH59" i="1" s="1"/>
  <c r="AG224" i="1"/>
  <c r="AH224" i="1" s="1"/>
  <c r="AG68" i="1"/>
  <c r="AH68" i="1" s="1"/>
  <c r="AG190" i="1"/>
  <c r="AH190" i="1" s="1"/>
  <c r="AG214" i="1"/>
  <c r="AH214" i="1" s="1"/>
  <c r="AG197" i="1"/>
  <c r="AH197" i="1" s="1"/>
  <c r="AG165" i="1"/>
  <c r="AH165" i="1" s="1"/>
  <c r="AG86" i="1"/>
  <c r="AH86" i="1" s="1"/>
  <c r="AG163" i="1"/>
  <c r="AH163" i="1" s="1"/>
  <c r="AG74" i="1"/>
  <c r="AH74" i="1" s="1"/>
  <c r="AG195" i="1"/>
  <c r="AH195" i="1" s="1"/>
  <c r="AG218" i="1"/>
  <c r="AH218" i="1" s="1"/>
  <c r="AG17" i="1"/>
  <c r="AH17" i="1" s="1"/>
  <c r="AG192" i="1"/>
  <c r="AH192" i="1" s="1"/>
  <c r="AG205" i="1"/>
  <c r="AH205" i="1" s="1"/>
  <c r="AG355" i="1"/>
  <c r="AH355" i="1" s="1"/>
  <c r="AG336" i="1"/>
  <c r="AH336" i="1" s="1"/>
  <c r="AG259" i="1"/>
  <c r="AH259" i="1" s="1"/>
  <c r="AH808" i="1"/>
  <c r="AH676" i="1"/>
  <c r="AH646" i="1"/>
  <c r="AG45" i="1"/>
  <c r="AH45" i="1" s="1"/>
  <c r="AG89" i="1"/>
  <c r="AH89" i="1" s="1"/>
  <c r="AG215" i="1"/>
  <c r="AH215" i="1" s="1"/>
  <c r="AG234" i="1"/>
  <c r="AH234" i="1" s="1"/>
  <c r="AG208" i="1"/>
  <c r="AH208" i="1" s="1"/>
  <c r="AG85" i="1"/>
  <c r="AH85" i="1" s="1"/>
  <c r="AG248" i="1"/>
  <c r="AH248" i="1" s="1"/>
  <c r="AG251" i="1"/>
  <c r="AH251" i="1" s="1"/>
  <c r="AG30" i="1"/>
  <c r="AH30" i="1" s="1"/>
  <c r="AG212" i="1"/>
  <c r="AH212" i="1" s="1"/>
  <c r="AG52" i="1"/>
  <c r="AH52" i="1" s="1"/>
  <c r="AG235" i="1"/>
  <c r="AH235" i="1" s="1"/>
  <c r="AG241" i="1"/>
  <c r="AH241" i="1" s="1"/>
  <c r="AG194" i="1"/>
  <c r="AH194" i="1" s="1"/>
  <c r="AG231" i="1"/>
  <c r="AH231" i="1" s="1"/>
  <c r="AG80" i="1"/>
  <c r="AH80" i="1" s="1"/>
  <c r="AG353" i="1"/>
  <c r="AH353" i="1" s="1"/>
  <c r="AG361" i="1"/>
  <c r="AH820" i="1"/>
  <c r="AH724" i="1"/>
  <c r="AG49" i="1"/>
  <c r="AH49" i="1" s="1"/>
  <c r="AG226" i="1"/>
  <c r="AH226" i="1" s="1"/>
  <c r="AG199" i="1"/>
  <c r="AH199" i="1" s="1"/>
  <c r="AG222" i="1"/>
  <c r="AH222" i="1" s="1"/>
  <c r="AG191" i="1"/>
  <c r="AH191" i="1" s="1"/>
  <c r="AG179" i="1"/>
  <c r="AH179" i="1" s="1"/>
  <c r="AG41" i="1"/>
  <c r="AH41" i="1" s="1"/>
  <c r="AG207" i="1"/>
  <c r="AH207" i="1" s="1"/>
  <c r="AG213" i="1"/>
  <c r="AH213" i="1" s="1"/>
  <c r="AG175" i="1"/>
  <c r="AH175" i="1" s="1"/>
  <c r="AG180" i="1"/>
  <c r="AH180" i="1" s="1"/>
  <c r="AG181" i="1"/>
  <c r="AH181" i="1" s="1"/>
  <c r="AG174" i="1"/>
  <c r="AH174" i="1" s="1"/>
  <c r="AG15" i="1"/>
  <c r="AH15" i="1" s="1"/>
  <c r="AH631" i="1"/>
  <c r="AG245" i="1"/>
  <c r="AH245" i="1" s="1"/>
  <c r="AG229" i="1"/>
  <c r="AH229" i="1" s="1"/>
  <c r="AG209" i="1"/>
  <c r="AH209" i="1" s="1"/>
  <c r="AG38" i="1"/>
  <c r="AH38" i="1" s="1"/>
  <c r="AG62" i="1"/>
  <c r="AH62" i="1" s="1"/>
  <c r="AG253" i="1"/>
  <c r="AH253" i="1" s="1"/>
  <c r="AG188" i="1"/>
  <c r="AH188" i="1" s="1"/>
  <c r="AG90" i="1"/>
  <c r="AH90" i="1" s="1"/>
  <c r="AG67" i="1"/>
  <c r="AH67" i="1" s="1"/>
  <c r="AG70" i="1"/>
  <c r="AH70" i="1" s="1"/>
  <c r="AG28" i="1"/>
  <c r="AH28" i="1" s="1"/>
  <c r="AG246" i="1"/>
  <c r="AH246" i="1" s="1"/>
  <c r="AG227" i="1"/>
  <c r="AH227" i="1" s="1"/>
  <c r="AG243" i="1"/>
  <c r="AH243" i="1" s="1"/>
  <c r="AG178" i="1"/>
  <c r="AH178" i="1" s="1"/>
  <c r="AG183" i="1"/>
  <c r="AH183" i="1" s="1"/>
  <c r="AH826" i="1"/>
  <c r="AG83" i="1"/>
  <c r="AH83" i="1" s="1"/>
  <c r="AG72" i="1"/>
  <c r="AH72" i="1" s="1"/>
  <c r="AG48" i="1"/>
  <c r="AH48" i="1" s="1"/>
  <c r="AH649" i="1"/>
  <c r="AG202" i="1"/>
  <c r="AH202" i="1" s="1"/>
  <c r="AG81" i="1"/>
  <c r="AH81" i="1" s="1"/>
  <c r="AG176" i="1"/>
  <c r="AH176" i="1" s="1"/>
  <c r="AH737" i="1"/>
  <c r="AG574" i="1"/>
  <c r="AH574" i="1" s="1"/>
  <c r="AG370" i="1"/>
  <c r="AH370" i="1" s="1"/>
  <c r="AG291" i="1"/>
  <c r="AH291" i="1" s="1"/>
  <c r="AG585" i="1"/>
  <c r="AG328" i="1"/>
  <c r="AH328" i="1" s="1"/>
  <c r="AG260" i="1"/>
  <c r="AH260" i="1" s="1"/>
  <c r="AG275" i="1"/>
  <c r="AH275" i="1" s="1"/>
  <c r="AG295" i="1"/>
  <c r="AH295" i="1" s="1"/>
  <c r="AG331" i="1"/>
  <c r="AH331" i="1" s="1"/>
  <c r="AG300" i="1"/>
  <c r="AH300" i="1" s="1"/>
  <c r="AG320" i="1"/>
  <c r="AH320" i="1" s="1"/>
  <c r="AG310" i="1"/>
  <c r="AH310" i="1" s="1"/>
  <c r="AG538" i="1"/>
  <c r="AG317" i="1"/>
  <c r="AH317" i="1" s="1"/>
  <c r="AG322" i="1"/>
  <c r="AH322" i="1" s="1"/>
  <c r="AG280" i="1"/>
  <c r="AG318" i="1"/>
  <c r="AH318" i="1" s="1"/>
  <c r="AG419" i="1"/>
  <c r="AH419" i="1" s="1"/>
  <c r="AG567" i="1"/>
  <c r="AH567" i="1" s="1"/>
  <c r="AG290" i="1"/>
  <c r="AH290" i="1" s="1"/>
  <c r="AG587" i="1"/>
  <c r="AH587" i="1" s="1"/>
  <c r="AG530" i="1"/>
  <c r="AH530" i="1" s="1"/>
  <c r="AG340" i="1"/>
  <c r="AH340" i="1" s="1"/>
  <c r="AG454" i="1"/>
  <c r="AH454" i="1" s="1"/>
  <c r="AG277" i="1"/>
  <c r="AH277" i="1" s="1"/>
  <c r="AG542" i="1"/>
  <c r="AH542" i="1" s="1"/>
  <c r="AG527" i="1"/>
  <c r="AH527" i="1" s="1"/>
  <c r="AG490" i="1"/>
  <c r="AH490" i="1" s="1"/>
  <c r="AG335" i="1"/>
  <c r="AH335" i="1" s="1"/>
  <c r="AG561" i="1"/>
  <c r="AH561" i="1" s="1"/>
  <c r="AG272" i="1"/>
  <c r="AH272" i="1" s="1"/>
  <c r="AG426" i="1"/>
  <c r="AH426" i="1" s="1"/>
  <c r="AG583" i="1"/>
  <c r="AH583" i="1" s="1"/>
  <c r="AG258" i="1"/>
  <c r="AH258" i="1" s="1"/>
  <c r="AG293" i="1"/>
  <c r="AH293" i="1" s="1"/>
  <c r="AG392" i="1"/>
  <c r="AH392" i="1" s="1"/>
  <c r="AG428" i="1"/>
  <c r="AH428" i="1" s="1"/>
  <c r="AG488" i="1"/>
  <c r="AH488" i="1" s="1"/>
  <c r="AG473" i="1"/>
  <c r="AH473" i="1" s="1"/>
  <c r="AG405" i="1"/>
  <c r="AH405" i="1" s="1"/>
  <c r="AG456" i="1"/>
  <c r="AH456" i="1" s="1"/>
  <c r="AG369" i="1"/>
  <c r="AH369" i="1" s="1"/>
  <c r="AG402" i="1"/>
  <c r="AH402" i="1" s="1"/>
  <c r="AG477" i="1"/>
  <c r="AG467" i="1"/>
  <c r="AH467" i="1" s="1"/>
  <c r="AG457" i="1"/>
  <c r="AH457" i="1" s="1"/>
  <c r="AG440" i="1"/>
  <c r="AH440" i="1" s="1"/>
  <c r="AG483" i="1"/>
  <c r="AG540" i="1"/>
  <c r="AH540" i="1" s="1"/>
  <c r="AG393" i="1"/>
  <c r="AH393" i="1" s="1"/>
  <c r="AG469" i="1"/>
  <c r="AH469" i="1" s="1"/>
  <c r="AG505" i="1"/>
  <c r="AH505" i="1" s="1"/>
  <c r="AG468" i="1"/>
  <c r="AH468" i="1" s="1"/>
  <c r="AG435" i="1"/>
  <c r="AH435" i="1" s="1"/>
  <c r="AG515" i="1"/>
  <c r="AH837" i="1"/>
  <c r="AG247" i="1"/>
  <c r="AH247" i="1" s="1"/>
  <c r="AH844" i="1"/>
  <c r="AG237" i="1"/>
  <c r="AG42" i="1"/>
  <c r="AH42" i="1" s="1"/>
  <c r="AG186" i="1"/>
  <c r="AH186" i="1" s="1"/>
  <c r="AG46" i="1"/>
  <c r="AH46" i="1" s="1"/>
  <c r="AG155" i="1"/>
  <c r="AH155" i="1" s="1"/>
  <c r="AH636" i="1"/>
  <c r="AG555" i="1"/>
  <c r="AH555" i="1" s="1"/>
  <c r="AG363" i="1"/>
  <c r="AH363" i="1" s="1"/>
  <c r="AG286" i="1"/>
  <c r="AH286" i="1" s="1"/>
  <c r="AG571" i="1"/>
  <c r="AH571" i="1" s="1"/>
  <c r="AG372" i="1"/>
  <c r="AH372" i="1" s="1"/>
  <c r="AG543" i="1"/>
  <c r="AH543" i="1" s="1"/>
  <c r="AG298" i="1"/>
  <c r="AH298" i="1" s="1"/>
  <c r="AG560" i="1"/>
  <c r="AH560" i="1" s="1"/>
  <c r="AG380" i="1"/>
  <c r="AH380" i="1" s="1"/>
  <c r="AG297" i="1"/>
  <c r="AH297" i="1" s="1"/>
  <c r="AG308" i="1"/>
  <c r="AH308" i="1" s="1"/>
  <c r="AG386" i="1"/>
  <c r="AH386" i="1" s="1"/>
  <c r="AG307" i="1"/>
  <c r="AH307" i="1" s="1"/>
  <c r="AG304" i="1"/>
  <c r="AH304" i="1" s="1"/>
  <c r="AG510" i="1"/>
  <c r="AH510" i="1" s="1"/>
  <c r="AG285" i="1"/>
  <c r="AH285" i="1" s="1"/>
  <c r="AG287" i="1"/>
  <c r="AH287" i="1" s="1"/>
  <c r="AG309" i="1"/>
  <c r="AH309" i="1" s="1"/>
  <c r="AG377" i="1"/>
  <c r="AH377" i="1" s="1"/>
  <c r="AG276" i="1"/>
  <c r="AH276" i="1" s="1"/>
  <c r="AG376" i="1"/>
  <c r="AH376" i="1" s="1"/>
  <c r="AG532" i="1"/>
  <c r="AH532" i="1" s="1"/>
  <c r="AG324" i="1"/>
  <c r="AH324" i="1" s="1"/>
  <c r="AG500" i="1"/>
  <c r="AH500" i="1" s="1"/>
  <c r="AG366" i="1"/>
  <c r="AH366" i="1" s="1"/>
  <c r="AG466" i="1"/>
  <c r="AH466" i="1" s="1"/>
  <c r="AG512" i="1"/>
  <c r="AH512" i="1" s="1"/>
  <c r="AG278" i="1"/>
  <c r="AH278" i="1" s="1"/>
  <c r="AG282" i="1"/>
  <c r="AH282" i="1" s="1"/>
  <c r="AG465" i="1"/>
  <c r="AH465" i="1" s="1"/>
  <c r="AG579" i="1"/>
  <c r="AH579" i="1" s="1"/>
  <c r="AG507" i="1"/>
  <c r="AG364" i="1"/>
  <c r="AH364" i="1" s="1"/>
  <c r="AG518" i="1"/>
  <c r="AH518" i="1" s="1"/>
  <c r="AG330" i="1"/>
  <c r="AH330" i="1" s="1"/>
  <c r="AG429" i="1"/>
  <c r="AH429" i="1" s="1"/>
  <c r="AG470" i="1"/>
  <c r="AH470" i="1" s="1"/>
  <c r="AG421" i="1"/>
  <c r="AH421" i="1" s="1"/>
  <c r="AG424" i="1"/>
  <c r="AH424" i="1" s="1"/>
  <c r="AG486" i="1"/>
  <c r="AG438" i="1"/>
  <c r="AH438" i="1" s="1"/>
  <c r="AG453" i="1"/>
  <c r="AH453" i="1" s="1"/>
  <c r="AG450" i="1"/>
  <c r="AH450" i="1" s="1"/>
  <c r="AG343" i="1"/>
  <c r="AH343" i="1" s="1"/>
  <c r="AG447" i="1"/>
  <c r="AH447" i="1" s="1"/>
  <c r="AG496" i="1"/>
  <c r="AH496" i="1" s="1"/>
  <c r="AG548" i="1"/>
  <c r="AH548" i="1" s="1"/>
  <c r="AG472" i="1"/>
  <c r="AH472" i="1" s="1"/>
  <c r="AG446" i="1"/>
  <c r="AH446" i="1" s="1"/>
  <c r="AG455" i="1"/>
  <c r="AH455" i="1" s="1"/>
  <c r="AG535" i="1"/>
  <c r="AH535" i="1" s="1"/>
  <c r="AG341" i="1"/>
  <c r="AH341" i="1" s="1"/>
  <c r="AG524" i="1"/>
  <c r="AH524" i="1" s="1"/>
  <c r="AG396" i="1"/>
  <c r="AH396" i="1" s="1"/>
  <c r="AG514" i="1"/>
  <c r="AH514" i="1" s="1"/>
  <c r="AH757" i="1"/>
  <c r="AG164" i="1"/>
  <c r="AH164" i="1" s="1"/>
  <c r="AG219" i="1"/>
  <c r="AH219" i="1" s="1"/>
  <c r="AG193" i="1"/>
  <c r="AH193" i="1" s="1"/>
  <c r="AG182" i="1"/>
  <c r="AH182" i="1" s="1"/>
  <c r="AG575" i="1"/>
  <c r="AH575" i="1" s="1"/>
  <c r="AG554" i="1"/>
  <c r="AH554" i="1" s="1"/>
  <c r="AG196" i="1"/>
  <c r="AH196" i="1" s="1"/>
  <c r="AG216" i="1"/>
  <c r="AH216" i="1" s="1"/>
  <c r="AG362" i="1"/>
  <c r="AH362" i="1" s="1"/>
  <c r="AG268" i="1"/>
  <c r="AH268" i="1" s="1"/>
  <c r="AG315" i="1"/>
  <c r="AH315" i="1" s="1"/>
  <c r="AG526" i="1"/>
  <c r="AH526" i="1" s="1"/>
  <c r="AG319" i="1"/>
  <c r="AH319" i="1" s="1"/>
  <c r="AG416" i="1"/>
  <c r="AH416" i="1" s="1"/>
  <c r="AG409" i="1"/>
  <c r="AH409" i="1" s="1"/>
  <c r="AG267" i="1"/>
  <c r="AH267" i="1" s="1"/>
  <c r="AG311" i="1"/>
  <c r="AH311" i="1" s="1"/>
  <c r="AG299" i="1"/>
  <c r="AH299" i="1" s="1"/>
  <c r="AG321" i="1"/>
  <c r="AH321" i="1" s="1"/>
  <c r="AG408" i="1"/>
  <c r="AH408" i="1" s="1"/>
  <c r="AG545" i="1"/>
  <c r="AH545" i="1" s="1"/>
  <c r="AG329" i="1"/>
  <c r="AH329" i="1" s="1"/>
  <c r="AG337" i="1"/>
  <c r="AH337" i="1" s="1"/>
  <c r="AG271" i="1"/>
  <c r="AH271" i="1" s="1"/>
  <c r="AG539" i="1"/>
  <c r="AH539" i="1" s="1"/>
  <c r="AG588" i="1"/>
  <c r="AG327" i="1"/>
  <c r="AH327" i="1" s="1"/>
  <c r="AG313" i="1"/>
  <c r="AH313" i="1" s="1"/>
  <c r="AG264" i="1"/>
  <c r="AH264" i="1" s="1"/>
  <c r="AG296" i="1"/>
  <c r="AH296" i="1" s="1"/>
  <c r="AG582" i="1"/>
  <c r="AH582" i="1" s="1"/>
  <c r="AG417" i="1"/>
  <c r="AH417" i="1" s="1"/>
  <c r="AG292" i="1"/>
  <c r="AH292" i="1" s="1"/>
  <c r="AG338" i="1"/>
  <c r="AH338" i="1" s="1"/>
  <c r="AG537" i="1"/>
  <c r="AH537" i="1" s="1"/>
  <c r="AG430" i="1"/>
  <c r="AH430" i="1" s="1"/>
  <c r="AG289" i="1"/>
  <c r="AH289" i="1" s="1"/>
  <c r="AG497" i="1"/>
  <c r="AG399" i="1"/>
  <c r="AH399" i="1" s="1"/>
  <c r="AG432" i="1"/>
  <c r="AH432" i="1" s="1"/>
  <c r="AG375" i="1"/>
  <c r="AH375" i="1" s="1"/>
  <c r="AG388" i="1"/>
  <c r="AH388" i="1" s="1"/>
  <c r="AG349" i="1"/>
  <c r="AH349" i="1" s="1"/>
  <c r="AG494" i="1"/>
  <c r="AH494" i="1" s="1"/>
  <c r="AG550" i="1"/>
  <c r="AH550" i="1" s="1"/>
  <c r="AG279" i="1"/>
  <c r="AG403" i="1"/>
  <c r="AH403" i="1" s="1"/>
  <c r="AG401" i="1"/>
  <c r="AH401" i="1" s="1"/>
  <c r="AG463" i="1"/>
  <c r="AH463" i="1" s="1"/>
  <c r="AG478" i="1"/>
  <c r="AG394" i="1"/>
  <c r="AH394" i="1" s="1"/>
  <c r="AG461" i="1"/>
  <c r="AH461" i="1" s="1"/>
  <c r="AG368" i="1"/>
  <c r="AH368" i="1" s="1"/>
  <c r="AG451" i="1"/>
  <c r="AH451" i="1" s="1"/>
  <c r="AG476" i="1"/>
  <c r="AH476" i="1" s="1"/>
  <c r="AG439" i="1"/>
  <c r="AH439" i="1" s="1"/>
  <c r="AG449" i="1"/>
  <c r="AH449" i="1" s="1"/>
  <c r="AG220" i="1"/>
  <c r="AH220" i="1" s="1"/>
  <c r="AG55" i="1"/>
  <c r="AH55" i="1" s="1"/>
  <c r="AH637" i="1"/>
  <c r="AH872" i="1"/>
  <c r="AG82" i="1"/>
  <c r="AH82" i="1" s="1"/>
  <c r="AG189" i="1"/>
  <c r="AH189" i="1" s="1"/>
  <c r="AG77" i="1"/>
  <c r="AH77" i="1" s="1"/>
  <c r="AG36" i="1"/>
  <c r="AH36" i="1" s="1"/>
  <c r="AG325" i="1"/>
  <c r="AH325" i="1" s="1"/>
  <c r="AG474" i="1"/>
  <c r="AH474" i="1" s="1"/>
  <c r="AG323" i="1"/>
  <c r="AH323" i="1" s="1"/>
  <c r="AG367" i="1"/>
  <c r="AH367" i="1" s="1"/>
  <c r="AG525" i="1"/>
  <c r="AH525" i="1" s="1"/>
  <c r="AG441" i="1"/>
  <c r="AH441" i="1" s="1"/>
  <c r="AG558" i="1"/>
  <c r="AH558" i="1" s="1"/>
  <c r="AG333" i="1"/>
  <c r="AH333" i="1" s="1"/>
  <c r="AH639" i="1"/>
  <c r="AG495" i="1"/>
  <c r="AH495" i="1" s="1"/>
  <c r="AG503" i="1"/>
  <c r="AG577" i="1"/>
  <c r="AH577" i="1" s="1"/>
  <c r="AG273" i="1"/>
  <c r="AH273" i="1" s="1"/>
  <c r="AG418" i="1"/>
  <c r="AH418" i="1" s="1"/>
  <c r="AG506" i="1"/>
  <c r="AG528" i="1"/>
  <c r="AH528" i="1" s="1"/>
  <c r="AG562" i="1"/>
  <c r="AH562" i="1" s="1"/>
  <c r="AG569" i="1"/>
  <c r="AH569" i="1" s="1"/>
  <c r="AG523" i="1"/>
  <c r="AH523" i="1" s="1"/>
  <c r="AG462" i="1"/>
  <c r="AH462" i="1" s="1"/>
  <c r="AH640" i="1"/>
  <c r="AG570" i="1"/>
  <c r="AH570" i="1" s="1"/>
  <c r="AG316" i="1"/>
  <c r="AH316" i="1" s="1"/>
  <c r="AG580" i="1"/>
  <c r="AH580" i="1" s="1"/>
  <c r="AG257" i="1"/>
  <c r="AH257" i="1" s="1"/>
  <c r="AG284" i="1"/>
  <c r="AH284" i="1" s="1"/>
  <c r="AH630" i="1"/>
  <c r="AG559" i="1"/>
  <c r="AH559" i="1" s="1"/>
  <c r="AG302" i="1"/>
  <c r="AH302" i="1" s="1"/>
  <c r="AG584" i="1"/>
  <c r="AH584" i="1" s="1"/>
  <c r="AG262" i="1"/>
  <c r="AH262" i="1" s="1"/>
  <c r="AG344" i="1"/>
  <c r="AH344" i="1" s="1"/>
  <c r="AG460" i="1"/>
  <c r="AH460" i="1" s="1"/>
  <c r="AG499" i="1"/>
  <c r="AH499" i="1" s="1"/>
  <c r="AG485" i="1"/>
  <c r="AG387" i="1"/>
  <c r="AH387" i="1" s="1"/>
  <c r="AG522" i="1"/>
  <c r="AH522" i="1" s="1"/>
  <c r="AG521" i="1"/>
  <c r="AH521" i="1" s="1"/>
  <c r="AG390" i="1"/>
  <c r="AH390" i="1" s="1"/>
  <c r="AG534" i="1"/>
  <c r="AH534" i="1" s="1"/>
  <c r="AG256" i="1"/>
  <c r="AH256" i="1" s="1"/>
  <c r="AG397" i="1"/>
  <c r="AH397" i="1" s="1"/>
  <c r="AG423" i="1"/>
  <c r="AH423" i="1" s="1"/>
  <c r="AG484" i="1"/>
  <c r="AH484" i="1" s="1"/>
  <c r="AG529" i="1"/>
  <c r="AH529" i="1" s="1"/>
  <c r="AG410" i="1"/>
  <c r="AH410" i="1" s="1"/>
  <c r="AG546" i="1"/>
  <c r="AH546" i="1" s="1"/>
  <c r="AG448" i="1"/>
  <c r="AH448" i="1" s="1"/>
  <c r="AG452" i="1"/>
  <c r="AH452" i="1" s="1"/>
  <c r="AG411" i="1"/>
  <c r="AH411" i="1" s="1"/>
  <c r="AG444" i="1"/>
  <c r="AH444" i="1" s="1"/>
  <c r="AG350" i="1"/>
  <c r="AH350" i="1" s="1"/>
  <c r="AG581" i="1"/>
  <c r="AH581" i="1" s="1"/>
  <c r="AH705" i="1"/>
  <c r="AG61" i="1"/>
  <c r="AH61" i="1" s="1"/>
  <c r="AG57" i="1"/>
  <c r="AH57" i="1" s="1"/>
  <c r="AG160" i="1"/>
  <c r="AH160" i="1" s="1"/>
  <c r="AG442" i="1"/>
  <c r="AH442" i="1" s="1"/>
  <c r="AG511" i="1"/>
  <c r="AH511" i="1" s="1"/>
  <c r="AG480" i="1"/>
  <c r="AG547" i="1"/>
  <c r="AH547" i="1" s="1"/>
  <c r="AG406" i="1"/>
  <c r="AH406" i="1" s="1"/>
  <c r="AG407" i="1"/>
  <c r="AH407" i="1" s="1"/>
  <c r="AG373" i="1"/>
  <c r="AH373" i="1" s="1"/>
  <c r="AG266" i="1"/>
  <c r="AH266" i="1" s="1"/>
  <c r="AG283" i="1"/>
  <c r="AH283" i="1" s="1"/>
  <c r="AG589" i="1"/>
  <c r="AH589" i="1" s="1"/>
  <c r="AG493" i="1"/>
  <c r="AH493" i="1" s="1"/>
  <c r="AG334" i="1"/>
  <c r="AH334" i="1" s="1"/>
  <c r="AG576" i="1"/>
  <c r="AH576" i="1" s="1"/>
  <c r="AC115" i="1"/>
  <c r="AB115" i="1"/>
  <c r="AE115" i="1"/>
  <c r="AA115" i="1"/>
  <c r="AD115" i="1"/>
  <c r="Z115" i="1"/>
  <c r="Y115" i="1"/>
  <c r="AG115" i="1"/>
  <c r="X115" i="1"/>
  <c r="AF115" i="1"/>
  <c r="AG482" i="1"/>
  <c r="AH482" i="1" s="1"/>
  <c r="AG498" i="1"/>
  <c r="AG261" i="1"/>
  <c r="AH261" i="1" s="1"/>
  <c r="AG458" i="1"/>
  <c r="AH458" i="1" s="1"/>
  <c r="AG274" i="1"/>
  <c r="AH274" i="1" s="1"/>
  <c r="AG556" i="1"/>
  <c r="AH556" i="1" s="1"/>
  <c r="AG566" i="1"/>
  <c r="AH566" i="1" s="1"/>
  <c r="AG389" i="1"/>
  <c r="AH389" i="1" s="1"/>
  <c r="AG536" i="1"/>
  <c r="AH536" i="1" s="1"/>
  <c r="AG391" i="1"/>
  <c r="AH391" i="1" s="1"/>
  <c r="AG339" i="1"/>
  <c r="AH339" i="1" s="1"/>
  <c r="AG305" i="1"/>
  <c r="AH305" i="1" s="1"/>
  <c r="AG508" i="1"/>
  <c r="AH508" i="1" s="1"/>
  <c r="T139" i="1"/>
  <c r="V139" i="1"/>
  <c r="AG551" i="1"/>
  <c r="AH551" i="1" s="1"/>
  <c r="AG481" i="1"/>
  <c r="AH481" i="1" s="1"/>
  <c r="AG509" i="1"/>
  <c r="AH509" i="1" s="1"/>
  <c r="AG301" i="1"/>
  <c r="AH301" i="1" s="1"/>
  <c r="AG384" i="1"/>
  <c r="AH384" i="1" s="1"/>
  <c r="AG519" i="1"/>
  <c r="AH519" i="1" s="1"/>
  <c r="AG513" i="1"/>
  <c r="AH513" i="1" s="1"/>
  <c r="AG383" i="1"/>
  <c r="AH383" i="1" s="1"/>
  <c r="AG541" i="1"/>
  <c r="AH541" i="1" s="1"/>
  <c r="AG374" i="1"/>
  <c r="AH374" i="1" s="1"/>
  <c r="AG564" i="1"/>
  <c r="AH564" i="1" s="1"/>
  <c r="AG142" i="1"/>
  <c r="Y142" i="1"/>
  <c r="AF142" i="1"/>
  <c r="AD142" i="1"/>
  <c r="AC142" i="1"/>
  <c r="AE142" i="1"/>
  <c r="AB142" i="1"/>
  <c r="AA142" i="1"/>
  <c r="X142" i="1"/>
  <c r="Z142" i="1"/>
  <c r="AG47" i="1"/>
  <c r="AH47" i="1" s="1"/>
  <c r="AH58" i="12"/>
  <c r="O49" i="12"/>
  <c r="Y49" i="12"/>
  <c r="V92" i="1"/>
  <c r="T49" i="12"/>
  <c r="Z49" i="12"/>
  <c r="AG49" i="12"/>
  <c r="AK49" i="12"/>
  <c r="R49" i="12"/>
  <c r="AF49" i="12"/>
  <c r="BF49" i="12"/>
  <c r="V49" i="12"/>
  <c r="M49" i="12"/>
  <c r="AN49" i="12"/>
  <c r="BJ49" i="12"/>
  <c r="AB49" i="12"/>
  <c r="X49" i="12"/>
  <c r="AM49" i="12"/>
  <c r="BG49" i="12"/>
  <c r="AC49" i="12"/>
  <c r="AL49" i="12"/>
  <c r="BA49" i="12"/>
  <c r="BE49" i="12"/>
  <c r="U49" i="12"/>
  <c r="BH49" i="12"/>
  <c r="AS49" i="12"/>
  <c r="AP49" i="12"/>
  <c r="T92" i="1"/>
  <c r="AE49" i="12"/>
  <c r="AH49" i="12"/>
  <c r="BK49" i="12"/>
  <c r="AO49" i="12"/>
  <c r="P49" i="12"/>
  <c r="Q49" i="12"/>
  <c r="AI49" i="12"/>
  <c r="AR49" i="12"/>
  <c r="AT49" i="12"/>
  <c r="AZ49" i="12"/>
  <c r="AA49" i="12"/>
  <c r="BC49" i="12"/>
  <c r="S49" i="12"/>
  <c r="BI49" i="12"/>
  <c r="N49" i="12"/>
  <c r="BD49" i="12"/>
  <c r="W49" i="12"/>
  <c r="AU49" i="12"/>
  <c r="AD49" i="12"/>
  <c r="L49" i="8"/>
  <c r="AX49" i="12"/>
  <c r="L49" i="12"/>
  <c r="AJ49" i="12"/>
  <c r="AY49" i="12"/>
  <c r="BB49" i="12"/>
  <c r="AG379" i="1"/>
  <c r="AH379" i="1" s="1"/>
  <c r="AG502" i="1"/>
  <c r="AH502" i="1" s="1"/>
  <c r="AG492" i="1"/>
  <c r="AH492" i="1" s="1"/>
  <c r="AG487" i="1"/>
  <c r="AH487" i="1" s="1"/>
  <c r="AG395" i="1"/>
  <c r="AH395" i="1" s="1"/>
  <c r="AG531" i="1"/>
  <c r="AG281" i="1"/>
  <c r="AH281" i="1" s="1"/>
  <c r="AG326" i="1"/>
  <c r="AH326" i="1" s="1"/>
  <c r="AG371" i="1"/>
  <c r="AH371" i="1" s="1"/>
  <c r="AG365" i="1"/>
  <c r="AH365" i="1" s="1"/>
  <c r="AG464" i="1"/>
  <c r="AH464" i="1" s="1"/>
  <c r="AG425" i="1"/>
  <c r="AH425" i="1" s="1"/>
  <c r="AG382" i="1"/>
  <c r="AH382" i="1" s="1"/>
  <c r="T132" i="1"/>
  <c r="V132" i="1"/>
  <c r="L49" i="19"/>
  <c r="L49" i="10"/>
  <c r="AB135" i="1"/>
  <c r="AA135" i="1"/>
  <c r="Z135" i="1"/>
  <c r="Y135" i="1"/>
  <c r="AG135" i="1"/>
  <c r="AF135" i="1"/>
  <c r="AE135" i="1"/>
  <c r="AD135" i="1"/>
  <c r="AC135" i="1"/>
  <c r="X135" i="1"/>
  <c r="T136" i="1"/>
  <c r="V136" i="1"/>
  <c r="AG138" i="1"/>
  <c r="AD128" i="1"/>
  <c r="AC128" i="1"/>
  <c r="AA128" i="1"/>
  <c r="Z128" i="1"/>
  <c r="Y128" i="1"/>
  <c r="AF128" i="1"/>
  <c r="AB128" i="1"/>
  <c r="AG128" i="1"/>
  <c r="AE120" i="1"/>
  <c r="AC120" i="1"/>
  <c r="AA120" i="1"/>
  <c r="Z120" i="1"/>
  <c r="Y120" i="1"/>
  <c r="AG120" i="1"/>
  <c r="AD120" i="1"/>
  <c r="AF120" i="1"/>
  <c r="X120" i="1"/>
  <c r="T152" i="1"/>
  <c r="V152" i="1"/>
  <c r="Z137" i="1"/>
  <c r="Y137" i="1"/>
  <c r="AF137" i="1"/>
  <c r="AE137" i="1"/>
  <c r="AA137" i="1"/>
  <c r="AG137" i="1"/>
  <c r="AC137" i="1"/>
  <c r="AB137" i="1"/>
  <c r="AD137" i="1"/>
  <c r="X137" i="1"/>
  <c r="T125" i="1"/>
  <c r="V125" i="1"/>
  <c r="X128" i="1"/>
  <c r="AK49" i="8"/>
  <c r="T129" i="1"/>
  <c r="T140" i="1"/>
  <c r="T133" i="1"/>
  <c r="T111" i="1"/>
  <c r="V111" i="1"/>
  <c r="T149" i="1"/>
  <c r="V149" i="1"/>
  <c r="Y150" i="1"/>
  <c r="AG150" i="1"/>
  <c r="AF150" i="1"/>
  <c r="AE150" i="1"/>
  <c r="AD150" i="1"/>
  <c r="AC150" i="1"/>
  <c r="AB150" i="1"/>
  <c r="X150" i="1"/>
  <c r="AA150" i="1"/>
  <c r="Z150" i="1"/>
  <c r="V107" i="1"/>
  <c r="T107" i="1"/>
  <c r="AR49" i="8"/>
  <c r="AB129" i="1"/>
  <c r="AA129" i="1"/>
  <c r="AD129" i="1"/>
  <c r="Y129" i="1"/>
  <c r="AG129" i="1"/>
  <c r="Z129" i="1"/>
  <c r="AF129" i="1"/>
  <c r="AE129" i="1"/>
  <c r="AC129" i="1"/>
  <c r="X129" i="1"/>
  <c r="AD140" i="1"/>
  <c r="AC140" i="1"/>
  <c r="AB140" i="1"/>
  <c r="AF140" i="1"/>
  <c r="AE140" i="1"/>
  <c r="Z140" i="1"/>
  <c r="Y140" i="1"/>
  <c r="AG140" i="1"/>
  <c r="AA140" i="1"/>
  <c r="X140" i="1"/>
  <c r="AG133" i="1"/>
  <c r="AF133" i="1"/>
  <c r="AE133" i="1"/>
  <c r="AC133" i="1"/>
  <c r="AD133" i="1"/>
  <c r="Z133" i="1"/>
  <c r="AB133" i="1"/>
  <c r="AA133" i="1"/>
  <c r="Y133" i="1"/>
  <c r="X133" i="1"/>
  <c r="AE121" i="1"/>
  <c r="AC121" i="1"/>
  <c r="AB121" i="1"/>
  <c r="AA121" i="1"/>
  <c r="Y121" i="1"/>
  <c r="AD121" i="1"/>
  <c r="Z121" i="1"/>
  <c r="AG121" i="1"/>
  <c r="AF121" i="1"/>
  <c r="V114" i="1"/>
  <c r="T114" i="1"/>
  <c r="X121" i="1"/>
  <c r="AC49" i="8"/>
  <c r="T146" i="1"/>
  <c r="V146" i="1"/>
  <c r="U49" i="19"/>
  <c r="T115" i="1"/>
  <c r="AB153" i="1"/>
  <c r="AA153" i="1"/>
  <c r="AC153" i="1"/>
  <c r="AE153" i="1"/>
  <c r="AD153" i="1"/>
  <c r="Z153" i="1"/>
  <c r="Y153" i="1"/>
  <c r="X153" i="1"/>
  <c r="AG153" i="1"/>
  <c r="T117" i="1"/>
  <c r="V117" i="1"/>
  <c r="AB138" i="1"/>
  <c r="AF138" i="1"/>
  <c r="AA138" i="1"/>
  <c r="AE138" i="1"/>
  <c r="AD138" i="1"/>
  <c r="AC138" i="1"/>
  <c r="Z138" i="1"/>
  <c r="Y138" i="1"/>
  <c r="X138" i="1"/>
  <c r="AB151" i="1"/>
  <c r="Z151" i="1"/>
  <c r="AE151" i="1"/>
  <c r="Y151" i="1"/>
  <c r="AF151" i="1"/>
  <c r="AA151" i="1"/>
  <c r="AG151" i="1"/>
  <c r="AD151" i="1"/>
  <c r="AC151" i="1"/>
  <c r="X151" i="1"/>
  <c r="AG105" i="1"/>
  <c r="AF105" i="1"/>
  <c r="X105" i="1"/>
  <c r="Z105" i="1"/>
  <c r="AD105" i="1"/>
  <c r="AB105" i="1"/>
  <c r="AA105" i="1"/>
  <c r="Y105" i="1"/>
  <c r="Z58" i="14"/>
  <c r="BI58" i="11"/>
  <c r="U58" i="19"/>
  <c r="AV58" i="11"/>
  <c r="AB58" i="13"/>
  <c r="BH58" i="12"/>
  <c r="AD58" i="11"/>
  <c r="BH58" i="11"/>
  <c r="AR58" i="16"/>
  <c r="AP58" i="8"/>
  <c r="AR58" i="13"/>
  <c r="BJ58" i="14"/>
  <c r="AA58" i="16"/>
  <c r="AW58" i="11"/>
  <c r="AB58" i="10"/>
  <c r="BI58" i="15"/>
  <c r="O58" i="10"/>
  <c r="BI58" i="14"/>
  <c r="AS58" i="10"/>
  <c r="R48" i="10"/>
  <c r="AW58" i="10"/>
  <c r="AX58" i="15"/>
  <c r="P58" i="11"/>
  <c r="AO58" i="14"/>
  <c r="BC58" i="13"/>
  <c r="AH58" i="15"/>
  <c r="BG58" i="19"/>
  <c r="AS58" i="11"/>
  <c r="BF58" i="19"/>
  <c r="AV58" i="13"/>
  <c r="AV58" i="19"/>
  <c r="M21" i="10"/>
  <c r="Y47" i="10"/>
  <c r="BG58" i="15"/>
  <c r="Y58" i="10"/>
  <c r="AW58" i="19"/>
  <c r="BF58" i="10"/>
  <c r="O58" i="11"/>
  <c r="N58" i="14"/>
  <c r="P58" i="8"/>
  <c r="N58" i="10"/>
  <c r="AX58" i="16"/>
  <c r="AL58" i="10"/>
  <c r="AX58" i="10"/>
  <c r="W21" i="10"/>
  <c r="Q50" i="10"/>
  <c r="AD21" i="10"/>
  <c r="AF21" i="10"/>
  <c r="BJ58" i="16"/>
  <c r="Y58" i="11"/>
  <c r="AX58" i="19"/>
  <c r="BI58" i="13"/>
  <c r="AP58" i="14"/>
  <c r="AH58" i="14"/>
  <c r="AW58" i="13"/>
  <c r="AH58" i="11"/>
  <c r="AY58" i="11"/>
  <c r="AY58" i="10"/>
  <c r="X58" i="14"/>
  <c r="N58" i="8"/>
  <c r="Z58" i="11"/>
  <c r="BK58" i="16"/>
  <c r="AW58" i="15"/>
  <c r="N58" i="15"/>
  <c r="AY58" i="13"/>
  <c r="P58" i="15"/>
  <c r="BA58" i="16"/>
  <c r="Y58" i="8"/>
  <c r="P46" i="10"/>
  <c r="V50" i="10"/>
  <c r="Z58" i="16"/>
  <c r="AZ58" i="12"/>
  <c r="AL58" i="8"/>
  <c r="T46" i="10"/>
  <c r="AC58" i="16"/>
  <c r="BB58" i="16"/>
  <c r="BD58" i="19"/>
  <c r="AO58" i="8"/>
  <c r="AZ58" i="15"/>
  <c r="U58" i="13"/>
  <c r="BB58" i="11"/>
  <c r="P58" i="10"/>
  <c r="BD58" i="16"/>
  <c r="AB58" i="8"/>
  <c r="M19" i="10"/>
  <c r="AS58" i="19"/>
  <c r="X58" i="8"/>
  <c r="M58" i="15"/>
  <c r="AC58" i="10"/>
  <c r="BC58" i="15"/>
  <c r="AO58" i="19"/>
  <c r="BC58" i="14"/>
  <c r="AZ58" i="19"/>
  <c r="BE58" i="13"/>
  <c r="BH58" i="10"/>
  <c r="AB46" i="10"/>
  <c r="R21" i="10"/>
  <c r="X51" i="10"/>
  <c r="AD58" i="13"/>
  <c r="U49" i="8"/>
  <c r="Y49" i="8"/>
  <c r="P49" i="19"/>
  <c r="AA49" i="8"/>
  <c r="U49" i="10"/>
  <c r="AG49" i="10"/>
  <c r="AG49" i="8"/>
  <c r="AT49" i="10"/>
  <c r="BB49" i="19"/>
  <c r="AO49" i="10"/>
  <c r="AN49" i="19"/>
  <c r="AP49" i="8"/>
  <c r="BH49" i="8"/>
  <c r="Y49" i="19"/>
  <c r="Q49" i="8"/>
  <c r="Z49" i="8"/>
  <c r="N49" i="19"/>
  <c r="O49" i="10"/>
  <c r="Q49" i="19"/>
  <c r="AB49" i="8"/>
  <c r="V49" i="19"/>
  <c r="O49" i="8"/>
  <c r="P49" i="10"/>
  <c r="BH49" i="10"/>
  <c r="BE49" i="19"/>
  <c r="BJ49" i="19"/>
  <c r="AE49" i="19"/>
  <c r="O49" i="19"/>
  <c r="AF49" i="19"/>
  <c r="AF49" i="8"/>
  <c r="Y49" i="10"/>
  <c r="AL49" i="10"/>
  <c r="AW49" i="19"/>
  <c r="BD49" i="19"/>
  <c r="BI49" i="10"/>
  <c r="AZ49" i="19"/>
  <c r="AP49" i="10"/>
  <c r="AM49" i="10"/>
  <c r="AA49" i="10"/>
  <c r="AA49" i="19"/>
  <c r="AC49" i="19"/>
  <c r="AF49" i="10"/>
  <c r="T49" i="8"/>
  <c r="AR49" i="10"/>
  <c r="AK49" i="19"/>
  <c r="AN49" i="10"/>
  <c r="AI49" i="10"/>
  <c r="BJ49" i="10"/>
  <c r="BA49" i="10"/>
  <c r="AZ49" i="8"/>
  <c r="X49" i="10"/>
  <c r="T49" i="10"/>
  <c r="AD49" i="10"/>
  <c r="Z49" i="10"/>
  <c r="S49" i="8"/>
  <c r="AT49" i="8"/>
  <c r="AL49" i="19"/>
  <c r="AU49" i="10"/>
  <c r="BI49" i="19"/>
  <c r="AK49" i="10"/>
  <c r="AI49" i="8"/>
  <c r="V49" i="8"/>
  <c r="M49" i="10"/>
  <c r="S49" i="10"/>
  <c r="R49" i="8"/>
  <c r="Z49" i="19"/>
  <c r="AG49" i="19"/>
  <c r="M49" i="19"/>
  <c r="R49" i="10"/>
  <c r="W49" i="8"/>
  <c r="W49" i="19"/>
  <c r="AE49" i="10"/>
  <c r="BH49" i="19"/>
  <c r="BB49" i="10"/>
  <c r="X49" i="19"/>
  <c r="N49" i="8"/>
  <c r="AD49" i="8"/>
  <c r="AD49" i="19"/>
  <c r="AC49" i="10"/>
  <c r="AU49" i="19"/>
  <c r="BC49" i="10"/>
  <c r="AY49" i="10"/>
  <c r="BG49" i="10"/>
  <c r="AP49" i="19"/>
  <c r="AH49" i="19"/>
  <c r="BD49" i="8"/>
  <c r="T91" i="1"/>
  <c r="R49" i="19"/>
  <c r="AB49" i="10"/>
  <c r="T49" i="19"/>
  <c r="N49" i="10"/>
  <c r="AB49" i="19"/>
  <c r="AX49" i="19"/>
  <c r="AO49" i="8"/>
  <c r="BC49" i="8"/>
  <c r="AN49" i="8"/>
  <c r="AM49" i="8"/>
  <c r="BC49" i="19"/>
  <c r="BE49" i="8"/>
  <c r="AV49" i="8"/>
  <c r="AY49" i="19"/>
  <c r="BB49" i="8"/>
  <c r="AV49" i="19"/>
  <c r="BF49" i="10"/>
  <c r="AT49" i="19"/>
  <c r="AL49" i="8"/>
  <c r="BF49" i="8"/>
  <c r="V49" i="10"/>
  <c r="AZ49" i="10"/>
  <c r="AJ49" i="19"/>
  <c r="BF49" i="19"/>
  <c r="BG49" i="8"/>
  <c r="M49" i="8"/>
  <c r="BD49" i="10"/>
  <c r="AH49" i="10"/>
  <c r="X49" i="8"/>
  <c r="BE49" i="10"/>
  <c r="BA49" i="19"/>
  <c r="AJ49" i="8"/>
  <c r="BJ49" i="8"/>
  <c r="Q49" i="10"/>
  <c r="AY49" i="8"/>
  <c r="BG49" i="19"/>
  <c r="AX49" i="8"/>
  <c r="BK49" i="8"/>
  <c r="AE49" i="8"/>
  <c r="BK49" i="10"/>
  <c r="AU49" i="8"/>
  <c r="BK49" i="19"/>
  <c r="S49" i="19"/>
  <c r="AS49" i="8"/>
  <c r="AO49" i="19"/>
  <c r="AX49" i="10"/>
  <c r="W49" i="10"/>
  <c r="AW49" i="8"/>
  <c r="AR49" i="19"/>
  <c r="AM49" i="19"/>
  <c r="P49" i="8"/>
  <c r="AJ49" i="10"/>
  <c r="AW49" i="10"/>
  <c r="AS49" i="10"/>
  <c r="V102" i="1"/>
  <c r="T102" i="1"/>
  <c r="AS49" i="19"/>
  <c r="AE130" i="1"/>
  <c r="AG130" i="1"/>
  <c r="AF130" i="1"/>
  <c r="AC130" i="1"/>
  <c r="AB130" i="1"/>
  <c r="AA130" i="1"/>
  <c r="Z130" i="1"/>
  <c r="AD130" i="1"/>
  <c r="Y130" i="1"/>
  <c r="V144" i="1"/>
  <c r="T144" i="1"/>
  <c r="T98" i="1"/>
  <c r="V98" i="1"/>
  <c r="X130" i="1"/>
  <c r="AH49" i="8"/>
  <c r="T134" i="1"/>
  <c r="V134" i="1"/>
  <c r="V143" i="1"/>
  <c r="T143" i="1"/>
  <c r="V119" i="1"/>
  <c r="AV49" i="10"/>
  <c r="AD154" i="1"/>
  <c r="AC154" i="1"/>
  <c r="AA154" i="1"/>
  <c r="Y154" i="1"/>
  <c r="AE154" i="1"/>
  <c r="AB154" i="1"/>
  <c r="AG154" i="1"/>
  <c r="X154" i="1"/>
  <c r="AF154" i="1"/>
  <c r="AB112" i="1"/>
  <c r="AD112" i="1"/>
  <c r="AC112" i="1"/>
  <c r="Z112" i="1"/>
  <c r="Y112" i="1"/>
  <c r="AA112" i="1"/>
  <c r="AG112" i="1"/>
  <c r="AF112" i="1"/>
  <c r="AE112" i="1"/>
  <c r="X112" i="1"/>
  <c r="AI49" i="19"/>
  <c r="Z154" i="1"/>
  <c r="V122" i="1"/>
  <c r="T122" i="1"/>
  <c r="T103" i="1"/>
  <c r="V103" i="1"/>
  <c r="V124" i="1"/>
  <c r="BA49" i="8"/>
  <c r="AF153" i="1"/>
  <c r="T135" i="1"/>
  <c r="T137" i="1"/>
  <c r="T138" i="1"/>
  <c r="T150" i="1"/>
  <c r="V104" i="1"/>
  <c r="V109" i="1"/>
  <c r="V147" i="1"/>
  <c r="V118" i="1"/>
  <c r="V96" i="1"/>
  <c r="V106" i="1"/>
  <c r="V99" i="1"/>
  <c r="V101" i="1"/>
  <c r="V108" i="1"/>
  <c r="AA123" i="1"/>
  <c r="Z123" i="1"/>
  <c r="Y123" i="1"/>
  <c r="AF123" i="1"/>
  <c r="AE123" i="1"/>
  <c r="AC123" i="1"/>
  <c r="AB123" i="1"/>
  <c r="AD123" i="1"/>
  <c r="AG123" i="1"/>
  <c r="AP26" i="1" l="1"/>
  <c r="AN38" i="1"/>
  <c r="AH595" i="1"/>
  <c r="Q63" i="21"/>
  <c r="Q6" i="21"/>
  <c r="AH486" i="1"/>
  <c r="Q45" i="21"/>
  <c r="AH477" i="1"/>
  <c r="Q17" i="21"/>
  <c r="AH169" i="1"/>
  <c r="Q20" i="21"/>
  <c r="AH361" i="1"/>
  <c r="Q23" i="21"/>
  <c r="AH480" i="1"/>
  <c r="Q35" i="21"/>
  <c r="AH19" i="1"/>
  <c r="Q7" i="21"/>
  <c r="AH485" i="1"/>
  <c r="Q36" i="21"/>
  <c r="AH585" i="1"/>
  <c r="Q41" i="21"/>
  <c r="AH13" i="1"/>
  <c r="Q15" i="21"/>
  <c r="AH515" i="1"/>
  <c r="Q44" i="21"/>
  <c r="AH24" i="1"/>
  <c r="AH478" i="1"/>
  <c r="Q32" i="21"/>
  <c r="AH588" i="1"/>
  <c r="Q43" i="21"/>
  <c r="Q52" i="21"/>
  <c r="AH531" i="1"/>
  <c r="Q48" i="21"/>
  <c r="AH250" i="1"/>
  <c r="Q21" i="21"/>
  <c r="AH483" i="1"/>
  <c r="Q37" i="21"/>
  <c r="Q50" i="21"/>
  <c r="AH294" i="1"/>
  <c r="Q22" i="21"/>
  <c r="AH7" i="1"/>
  <c r="Q4" i="21"/>
  <c r="AL25" i="1"/>
  <c r="AS37" i="1"/>
  <c r="AN13" i="1"/>
  <c r="AL13" i="1"/>
  <c r="AP37" i="1"/>
  <c r="AO37" i="1"/>
  <c r="AR13" i="1"/>
  <c r="AS13" i="1"/>
  <c r="AP13" i="1"/>
  <c r="AS25" i="1"/>
  <c r="AL37" i="1"/>
  <c r="AM25" i="1"/>
  <c r="AQ37" i="1"/>
  <c r="AM13" i="1"/>
  <c r="AO13" i="1"/>
  <c r="AN25" i="1"/>
  <c r="AO25" i="1"/>
  <c r="AQ13" i="1"/>
  <c r="AR37" i="1"/>
  <c r="AN37" i="1"/>
  <c r="AM37" i="1"/>
  <c r="AQ25" i="1"/>
  <c r="AP25" i="1"/>
  <c r="AR25" i="1"/>
  <c r="AL26" i="1"/>
  <c r="AL14" i="1"/>
  <c r="AR38" i="1"/>
  <c r="AM26" i="1"/>
  <c r="AQ14" i="1"/>
  <c r="AN26" i="1"/>
  <c r="AR14" i="1"/>
  <c r="AM38" i="1"/>
  <c r="AL38" i="1"/>
  <c r="AO38" i="1"/>
  <c r="AP14" i="1"/>
  <c r="AS26" i="1"/>
  <c r="AO26" i="1"/>
  <c r="AQ38" i="1"/>
  <c r="AO14" i="1"/>
  <c r="AS14" i="1"/>
  <c r="AM14" i="1"/>
  <c r="AQ26" i="1"/>
  <c r="AR26" i="1"/>
  <c r="AN14" i="1"/>
  <c r="AS38" i="1"/>
  <c r="AP38" i="1"/>
  <c r="K18" i="12"/>
  <c r="J18" i="12"/>
  <c r="K18" i="14"/>
  <c r="J18" i="14"/>
  <c r="K24" i="15"/>
  <c r="J24" i="15"/>
  <c r="K16" i="14"/>
  <c r="J16" i="14"/>
  <c r="J11" i="12"/>
  <c r="K11" i="12"/>
  <c r="K23" i="15"/>
  <c r="J23" i="15"/>
  <c r="K15" i="19"/>
  <c r="J15" i="19"/>
  <c r="K6" i="16"/>
  <c r="J6" i="16"/>
  <c r="K24" i="16"/>
  <c r="J24" i="16"/>
  <c r="K17" i="13"/>
  <c r="J17" i="13"/>
  <c r="K12" i="8"/>
  <c r="J12" i="8"/>
  <c r="J17" i="11"/>
  <c r="K17" i="11"/>
  <c r="J22" i="19"/>
  <c r="K22" i="19"/>
  <c r="J22" i="14"/>
  <c r="K22" i="14"/>
  <c r="J4" i="19"/>
  <c r="K4" i="19"/>
  <c r="AM40" i="1"/>
  <c r="AN40" i="1" s="1"/>
  <c r="AO40" i="1" s="1"/>
  <c r="AP40" i="1" s="1"/>
  <c r="AQ40" i="1" s="1"/>
  <c r="AR40" i="1" s="1"/>
  <c r="AS40" i="1" s="1"/>
  <c r="AC91" i="1"/>
  <c r="AM16" i="1"/>
  <c r="AN16" i="1" s="1"/>
  <c r="AO16" i="1" s="1"/>
  <c r="AP16" i="1" s="1"/>
  <c r="AQ16" i="1" s="1"/>
  <c r="AR16" i="1" s="1"/>
  <c r="AS16" i="1" s="1"/>
  <c r="K8" i="11"/>
  <c r="J8" i="11"/>
  <c r="K12" i="13"/>
  <c r="J12" i="13"/>
  <c r="K24" i="14"/>
  <c r="J24" i="14"/>
  <c r="K6" i="15"/>
  <c r="J6" i="15"/>
  <c r="J18" i="19"/>
  <c r="K18" i="19"/>
  <c r="K23" i="14"/>
  <c r="J23" i="14"/>
  <c r="K11" i="11"/>
  <c r="J11" i="11"/>
  <c r="K10" i="15"/>
  <c r="J10" i="15"/>
  <c r="J6" i="11"/>
  <c r="K6" i="11"/>
  <c r="K7" i="16"/>
  <c r="J7" i="16"/>
  <c r="J16" i="13"/>
  <c r="K16" i="13"/>
  <c r="K14" i="19"/>
  <c r="J14" i="19"/>
  <c r="K17" i="15"/>
  <c r="J17" i="15"/>
  <c r="K9" i="19"/>
  <c r="J9" i="19"/>
  <c r="J9" i="10"/>
  <c r="K9" i="10"/>
  <c r="J24" i="11"/>
  <c r="K24" i="11"/>
  <c r="J7" i="15"/>
  <c r="K7" i="15"/>
  <c r="K9" i="11"/>
  <c r="J9" i="11"/>
  <c r="K10" i="12"/>
  <c r="J10" i="12"/>
  <c r="K4" i="13"/>
  <c r="J4" i="13"/>
  <c r="K12" i="12"/>
  <c r="J12" i="12"/>
  <c r="J13" i="13"/>
  <c r="K13" i="13"/>
  <c r="J4" i="14"/>
  <c r="K4" i="14"/>
  <c r="K11" i="19"/>
  <c r="J11" i="19"/>
  <c r="K22" i="8"/>
  <c r="J22" i="8"/>
  <c r="J6" i="12"/>
  <c r="K6" i="12"/>
  <c r="J9" i="13"/>
  <c r="K9" i="13"/>
  <c r="K17" i="8"/>
  <c r="J17" i="8"/>
  <c r="K14" i="11"/>
  <c r="J14" i="11"/>
  <c r="J10" i="16"/>
  <c r="K10" i="16"/>
  <c r="K4" i="16"/>
  <c r="J4" i="16"/>
  <c r="J10" i="14"/>
  <c r="K10" i="14"/>
  <c r="J17" i="10"/>
  <c r="K17" i="10"/>
  <c r="K14" i="14"/>
  <c r="J14" i="14"/>
  <c r="K8" i="12"/>
  <c r="J8" i="12"/>
  <c r="J16" i="8"/>
  <c r="K16" i="8"/>
  <c r="J34" i="15"/>
  <c r="K34" i="15"/>
  <c r="K37" i="16"/>
  <c r="J37" i="16"/>
  <c r="K43" i="15"/>
  <c r="J43" i="15"/>
  <c r="K44" i="16"/>
  <c r="J44" i="16"/>
  <c r="J31" i="13"/>
  <c r="K31" i="13"/>
  <c r="J59" i="16"/>
  <c r="K59" i="16"/>
  <c r="K39" i="15"/>
  <c r="J39" i="15"/>
  <c r="J61" i="12"/>
  <c r="K61" i="12"/>
  <c r="J36" i="12"/>
  <c r="K36" i="12"/>
  <c r="J64" i="14"/>
  <c r="K64" i="14"/>
  <c r="K55" i="13"/>
  <c r="J55" i="13"/>
  <c r="J37" i="13"/>
  <c r="K37" i="13"/>
  <c r="J64" i="13"/>
  <c r="K64" i="13"/>
  <c r="J60" i="12"/>
  <c r="K60" i="12"/>
  <c r="K31" i="15"/>
  <c r="J31" i="15"/>
  <c r="K34" i="13"/>
  <c r="J34" i="13"/>
  <c r="K30" i="12"/>
  <c r="J30" i="12"/>
  <c r="K53" i="15"/>
  <c r="J53" i="15"/>
  <c r="K44" i="14"/>
  <c r="J44" i="14"/>
  <c r="J60" i="16"/>
  <c r="K60" i="16"/>
  <c r="K61" i="13"/>
  <c r="J61" i="13"/>
  <c r="K60" i="14"/>
  <c r="J60" i="14"/>
  <c r="J54" i="14"/>
  <c r="K54" i="14"/>
  <c r="K25" i="15"/>
  <c r="J25" i="15"/>
  <c r="K31" i="14"/>
  <c r="J31" i="14"/>
  <c r="K38" i="12"/>
  <c r="J38" i="12"/>
  <c r="K61" i="16"/>
  <c r="J61" i="16"/>
  <c r="J54" i="12"/>
  <c r="K54" i="12"/>
  <c r="J53" i="16"/>
  <c r="K53" i="16"/>
  <c r="K59" i="15"/>
  <c r="J59" i="15"/>
  <c r="J26" i="16"/>
  <c r="K26" i="16"/>
  <c r="K56" i="12"/>
  <c r="J56" i="12"/>
  <c r="K59" i="13"/>
  <c r="J59" i="13"/>
  <c r="J32" i="16"/>
  <c r="K32" i="16"/>
  <c r="K57" i="14"/>
  <c r="J57" i="14"/>
  <c r="J32" i="13"/>
  <c r="K32" i="13"/>
  <c r="K38" i="16"/>
  <c r="J38" i="16"/>
  <c r="J35" i="12"/>
  <c r="K35" i="12"/>
  <c r="K55" i="14"/>
  <c r="J55" i="14"/>
  <c r="K56" i="15"/>
  <c r="J56" i="15"/>
  <c r="J35" i="13"/>
  <c r="K35" i="13"/>
  <c r="K36" i="14"/>
  <c r="J36" i="14"/>
  <c r="J36" i="11"/>
  <c r="K36" i="11"/>
  <c r="K27" i="15"/>
  <c r="J27" i="15"/>
  <c r="K32" i="11"/>
  <c r="J32" i="11"/>
  <c r="K39" i="16"/>
  <c r="J39" i="16"/>
  <c r="J41" i="16"/>
  <c r="K41" i="16"/>
  <c r="J44" i="12"/>
  <c r="K44" i="12"/>
  <c r="K30" i="13"/>
  <c r="J30" i="13"/>
  <c r="J63" i="13"/>
  <c r="K63" i="13"/>
  <c r="J34" i="11"/>
  <c r="K34" i="11"/>
  <c r="K44" i="13"/>
  <c r="J44" i="13"/>
  <c r="K38" i="13"/>
  <c r="J38" i="13"/>
  <c r="J29" i="14"/>
  <c r="K29" i="14"/>
  <c r="J30" i="16"/>
  <c r="K30" i="16"/>
  <c r="J34" i="14"/>
  <c r="K34" i="14"/>
  <c r="J41" i="13"/>
  <c r="K41" i="13"/>
  <c r="K37" i="12"/>
  <c r="J37" i="12"/>
  <c r="J35" i="11"/>
  <c r="K35" i="11"/>
  <c r="J33" i="14"/>
  <c r="K33" i="14"/>
  <c r="J52" i="16"/>
  <c r="K52" i="16"/>
  <c r="K40" i="16"/>
  <c r="J40" i="16"/>
  <c r="J41" i="15"/>
  <c r="K41" i="15"/>
  <c r="K32" i="14"/>
  <c r="J32" i="14"/>
  <c r="K64" i="15"/>
  <c r="J64" i="15"/>
  <c r="K25" i="13"/>
  <c r="J25" i="13"/>
  <c r="K63" i="16"/>
  <c r="J63" i="16"/>
  <c r="K61" i="15"/>
  <c r="J61" i="15"/>
  <c r="K40" i="15"/>
  <c r="J40" i="15"/>
  <c r="K29" i="13"/>
  <c r="J29" i="13"/>
  <c r="J34" i="12"/>
  <c r="K34" i="12"/>
  <c r="K25" i="12"/>
  <c r="J25" i="12"/>
  <c r="J52" i="15"/>
  <c r="K52" i="15"/>
  <c r="K54" i="16"/>
  <c r="J54" i="16"/>
  <c r="K56" i="11"/>
  <c r="J56" i="11"/>
  <c r="J35" i="14"/>
  <c r="K35" i="14"/>
  <c r="K33" i="15"/>
  <c r="J33" i="15"/>
  <c r="K28" i="13"/>
  <c r="J28" i="13"/>
  <c r="K39" i="12"/>
  <c r="J39" i="12"/>
  <c r="K62" i="15"/>
  <c r="J62" i="15"/>
  <c r="K29" i="15"/>
  <c r="J29" i="15"/>
  <c r="J57" i="13"/>
  <c r="K57" i="13"/>
  <c r="J40" i="12"/>
  <c r="K40" i="12"/>
  <c r="K29" i="16"/>
  <c r="J29" i="16"/>
  <c r="J31" i="12"/>
  <c r="K31" i="12"/>
  <c r="K34" i="16"/>
  <c r="J34" i="16"/>
  <c r="K59" i="12"/>
  <c r="J59" i="12"/>
  <c r="J45" i="13"/>
  <c r="K45" i="13"/>
  <c r="K60" i="15"/>
  <c r="J60" i="15"/>
  <c r="J45" i="14"/>
  <c r="K45" i="14"/>
  <c r="K33" i="13"/>
  <c r="J33" i="13"/>
  <c r="J40" i="14"/>
  <c r="K40" i="14"/>
  <c r="J57" i="16"/>
  <c r="K57" i="16"/>
  <c r="K61" i="14"/>
  <c r="J61" i="14"/>
  <c r="K59" i="14"/>
  <c r="J59" i="14"/>
  <c r="K62" i="16"/>
  <c r="J62" i="16"/>
  <c r="J44" i="15"/>
  <c r="K44" i="15"/>
  <c r="J57" i="15"/>
  <c r="K57" i="15"/>
  <c r="K28" i="12"/>
  <c r="J28" i="12"/>
  <c r="K38" i="11"/>
  <c r="J38" i="11"/>
  <c r="J64" i="16"/>
  <c r="K64" i="16"/>
  <c r="K35" i="16"/>
  <c r="J35" i="16"/>
  <c r="K52" i="11"/>
  <c r="J52" i="11"/>
  <c r="K55" i="16"/>
  <c r="J55" i="16"/>
  <c r="K42" i="12"/>
  <c r="J42" i="12"/>
  <c r="K62" i="14"/>
  <c r="J62" i="14"/>
  <c r="J38" i="14"/>
  <c r="K38" i="14"/>
  <c r="K40" i="13"/>
  <c r="J40" i="13"/>
  <c r="J28" i="14"/>
  <c r="K28" i="14"/>
  <c r="K55" i="15"/>
  <c r="J55" i="15"/>
  <c r="K39" i="13"/>
  <c r="J39" i="13"/>
  <c r="K45" i="12"/>
  <c r="J45" i="12"/>
  <c r="J52" i="13"/>
  <c r="K52" i="13"/>
  <c r="K27" i="14"/>
  <c r="J27" i="14"/>
  <c r="J56" i="16"/>
  <c r="K56" i="16"/>
  <c r="K43" i="12"/>
  <c r="J43" i="12"/>
  <c r="K36" i="13"/>
  <c r="J36" i="13"/>
  <c r="K39" i="14"/>
  <c r="J39" i="14"/>
  <c r="K63" i="15"/>
  <c r="J63" i="15"/>
  <c r="J53" i="11"/>
  <c r="K53" i="11"/>
  <c r="K33" i="16"/>
  <c r="J33" i="16"/>
  <c r="K45" i="16"/>
  <c r="J45" i="16"/>
  <c r="K53" i="13"/>
  <c r="J53" i="13"/>
  <c r="J61" i="11"/>
  <c r="K61" i="11"/>
  <c r="J26" i="13"/>
  <c r="K26" i="13"/>
  <c r="K57" i="11"/>
  <c r="J57" i="11"/>
  <c r="K42" i="16"/>
  <c r="J42" i="16"/>
  <c r="J62" i="13"/>
  <c r="K62" i="13"/>
  <c r="K63" i="12"/>
  <c r="J63" i="12"/>
  <c r="K32" i="15"/>
  <c r="J32" i="15"/>
  <c r="K36" i="15"/>
  <c r="J36" i="15"/>
  <c r="K37" i="14"/>
  <c r="J37" i="14"/>
  <c r="K53" i="12"/>
  <c r="J53" i="12"/>
  <c r="J53" i="14"/>
  <c r="K53" i="14"/>
  <c r="J52" i="12"/>
  <c r="K52" i="12"/>
  <c r="J60" i="13"/>
  <c r="K60" i="13"/>
  <c r="K47" i="13"/>
  <c r="J47" i="13"/>
  <c r="K41" i="12"/>
  <c r="J41" i="12"/>
  <c r="J28" i="11"/>
  <c r="K28" i="11"/>
  <c r="J27" i="13"/>
  <c r="K27" i="13"/>
  <c r="K33" i="12"/>
  <c r="J33" i="12"/>
  <c r="K33" i="11"/>
  <c r="J33" i="11"/>
  <c r="J32" i="12"/>
  <c r="K32" i="12"/>
  <c r="K30" i="14"/>
  <c r="J30" i="14"/>
  <c r="J36" i="16"/>
  <c r="K36" i="16"/>
  <c r="K55" i="12"/>
  <c r="J55" i="12"/>
  <c r="J57" i="12"/>
  <c r="K57" i="12"/>
  <c r="K55" i="11"/>
  <c r="J55" i="11"/>
  <c r="J19" i="14"/>
  <c r="K19" i="14"/>
  <c r="K26" i="15"/>
  <c r="J26" i="15"/>
  <c r="J38" i="15"/>
  <c r="K38" i="15"/>
  <c r="K29" i="11"/>
  <c r="J29" i="11"/>
  <c r="J19" i="15"/>
  <c r="K19" i="15"/>
  <c r="J40" i="11"/>
  <c r="K40" i="11"/>
  <c r="K43" i="14"/>
  <c r="J43" i="14"/>
  <c r="J20" i="13"/>
  <c r="K20" i="13"/>
  <c r="K42" i="11"/>
  <c r="J42" i="11"/>
  <c r="K63" i="11"/>
  <c r="J63" i="11"/>
  <c r="K31" i="11"/>
  <c r="J31" i="11"/>
  <c r="J54" i="11"/>
  <c r="K54" i="11"/>
  <c r="K45" i="15"/>
  <c r="J45" i="15"/>
  <c r="K31" i="16"/>
  <c r="J31" i="16"/>
  <c r="J27" i="12"/>
  <c r="K27" i="12"/>
  <c r="J27" i="11"/>
  <c r="K27" i="11"/>
  <c r="J21" i="15"/>
  <c r="K21" i="15"/>
  <c r="K19" i="16"/>
  <c r="J19" i="16"/>
  <c r="J37" i="15"/>
  <c r="K37" i="15"/>
  <c r="K42" i="14"/>
  <c r="J42" i="14"/>
  <c r="J39" i="11"/>
  <c r="K39" i="11"/>
  <c r="K54" i="15"/>
  <c r="J54" i="15"/>
  <c r="J43" i="16"/>
  <c r="K43" i="16"/>
  <c r="K26" i="14"/>
  <c r="J26" i="14"/>
  <c r="K64" i="12"/>
  <c r="J64" i="12"/>
  <c r="J28" i="16"/>
  <c r="K28" i="16"/>
  <c r="K46" i="16"/>
  <c r="J46" i="16"/>
  <c r="J25" i="11"/>
  <c r="K25" i="11"/>
  <c r="K27" i="16"/>
  <c r="J27" i="16"/>
  <c r="K35" i="15"/>
  <c r="J35" i="15"/>
  <c r="J26" i="12"/>
  <c r="K26" i="12"/>
  <c r="K44" i="11"/>
  <c r="J44" i="11"/>
  <c r="K56" i="14"/>
  <c r="J56" i="14"/>
  <c r="J52" i="14"/>
  <c r="K52" i="14"/>
  <c r="K41" i="14"/>
  <c r="J41" i="14"/>
  <c r="J51" i="15"/>
  <c r="K51" i="15"/>
  <c r="K42" i="15"/>
  <c r="J42" i="15"/>
  <c r="J21" i="14"/>
  <c r="K21" i="14"/>
  <c r="J48" i="15"/>
  <c r="K48" i="15"/>
  <c r="K54" i="13"/>
  <c r="J54" i="13"/>
  <c r="K46" i="15"/>
  <c r="J46" i="15"/>
  <c r="K59" i="11"/>
  <c r="J59" i="11"/>
  <c r="J46" i="14"/>
  <c r="K46" i="14"/>
  <c r="J47" i="16"/>
  <c r="K47" i="16"/>
  <c r="K48" i="16"/>
  <c r="J48" i="16"/>
  <c r="J30" i="11"/>
  <c r="K30" i="11"/>
  <c r="K42" i="13"/>
  <c r="J42" i="13"/>
  <c r="K49" i="15"/>
  <c r="J49" i="15"/>
  <c r="K41" i="11"/>
  <c r="J41" i="11"/>
  <c r="K56" i="13"/>
  <c r="J56" i="13"/>
  <c r="K19" i="13"/>
  <c r="J19" i="13"/>
  <c r="J21" i="13"/>
  <c r="K21" i="13"/>
  <c r="J62" i="12"/>
  <c r="K62" i="12"/>
  <c r="K20" i="15"/>
  <c r="J20" i="15"/>
  <c r="K30" i="15"/>
  <c r="J30" i="15"/>
  <c r="J29" i="12"/>
  <c r="K29" i="12"/>
  <c r="K49" i="14"/>
  <c r="J49" i="14"/>
  <c r="J20" i="11"/>
  <c r="K20" i="11"/>
  <c r="K51" i="16"/>
  <c r="J51" i="16"/>
  <c r="J20" i="16"/>
  <c r="K20" i="16"/>
  <c r="J46" i="13"/>
  <c r="K46" i="13"/>
  <c r="K19" i="11"/>
  <c r="J19" i="11"/>
  <c r="K37" i="11"/>
  <c r="J37" i="11"/>
  <c r="K62" i="11"/>
  <c r="J62" i="11"/>
  <c r="J49" i="13"/>
  <c r="K49" i="13"/>
  <c r="K63" i="14"/>
  <c r="J63" i="14"/>
  <c r="K26" i="11"/>
  <c r="J26" i="11"/>
  <c r="J25" i="14"/>
  <c r="K25" i="14"/>
  <c r="J51" i="14"/>
  <c r="K51" i="14"/>
  <c r="K47" i="15"/>
  <c r="J47" i="15"/>
  <c r="K25" i="16"/>
  <c r="J25" i="16"/>
  <c r="K47" i="14"/>
  <c r="J47" i="14"/>
  <c r="K49" i="11"/>
  <c r="J49" i="11"/>
  <c r="K50" i="16"/>
  <c r="J50" i="16"/>
  <c r="K50" i="13"/>
  <c r="J50" i="13"/>
  <c r="J28" i="15"/>
  <c r="K28" i="15"/>
  <c r="K64" i="11"/>
  <c r="J64" i="11"/>
  <c r="J43" i="11"/>
  <c r="K43" i="11"/>
  <c r="J60" i="11"/>
  <c r="K60" i="11"/>
  <c r="K48" i="13"/>
  <c r="J48" i="13"/>
  <c r="J43" i="13"/>
  <c r="K43" i="13"/>
  <c r="K49" i="16"/>
  <c r="J49" i="16"/>
  <c r="J48" i="14"/>
  <c r="K48" i="14"/>
  <c r="K45" i="11"/>
  <c r="J45" i="11"/>
  <c r="J51" i="13"/>
  <c r="K51" i="13"/>
  <c r="K50" i="15"/>
  <c r="J50" i="15"/>
  <c r="J48" i="11"/>
  <c r="K48" i="11"/>
  <c r="J47" i="11"/>
  <c r="K47" i="11"/>
  <c r="K46" i="11"/>
  <c r="J46" i="11"/>
  <c r="K21" i="16"/>
  <c r="J21" i="16"/>
  <c r="K50" i="14"/>
  <c r="J50" i="14"/>
  <c r="J35" i="19"/>
  <c r="K35" i="19"/>
  <c r="K50" i="11"/>
  <c r="J50" i="11"/>
  <c r="J20" i="14"/>
  <c r="K20" i="14"/>
  <c r="J51" i="11"/>
  <c r="K51" i="11"/>
  <c r="K64" i="19"/>
  <c r="J64" i="19"/>
  <c r="K53" i="19"/>
  <c r="J53" i="19"/>
  <c r="K32" i="19"/>
  <c r="J32" i="19"/>
  <c r="J39" i="19"/>
  <c r="K39" i="19"/>
  <c r="K34" i="19"/>
  <c r="J34" i="19"/>
  <c r="K54" i="19"/>
  <c r="J54" i="19"/>
  <c r="K25" i="19"/>
  <c r="J25" i="19"/>
  <c r="K55" i="19"/>
  <c r="J55" i="19"/>
  <c r="K26" i="19"/>
  <c r="J26" i="19"/>
  <c r="K62" i="19"/>
  <c r="J62" i="19"/>
  <c r="J27" i="19"/>
  <c r="K27" i="19"/>
  <c r="K44" i="19"/>
  <c r="J44" i="19"/>
  <c r="J31" i="19"/>
  <c r="K31" i="19"/>
  <c r="K63" i="19"/>
  <c r="J63" i="19"/>
  <c r="K40" i="19"/>
  <c r="J40" i="19"/>
  <c r="K37" i="19"/>
  <c r="J37" i="19"/>
  <c r="K43" i="19"/>
  <c r="J43" i="19"/>
  <c r="J29" i="19"/>
  <c r="K29" i="19"/>
  <c r="K52" i="19"/>
  <c r="J52" i="19"/>
  <c r="K36" i="19"/>
  <c r="J36" i="19"/>
  <c r="K61" i="19"/>
  <c r="J61" i="19"/>
  <c r="J42" i="19"/>
  <c r="K42" i="19"/>
  <c r="J33" i="19"/>
  <c r="K33" i="19"/>
  <c r="K57" i="19"/>
  <c r="J57" i="19"/>
  <c r="K59" i="19"/>
  <c r="J59" i="19"/>
  <c r="K56" i="19"/>
  <c r="J56" i="19"/>
  <c r="K38" i="19"/>
  <c r="J38" i="19"/>
  <c r="K28" i="19"/>
  <c r="J28" i="19"/>
  <c r="J60" i="19"/>
  <c r="K60" i="19"/>
  <c r="K30" i="19"/>
  <c r="J30" i="19"/>
  <c r="J45" i="19"/>
  <c r="K45" i="19"/>
  <c r="K41" i="19"/>
  <c r="J41" i="19"/>
  <c r="E141" i="18"/>
  <c r="H141" i="18" s="1"/>
  <c r="J141" i="18" s="1"/>
  <c r="K141" i="18" s="1"/>
  <c r="L141" i="18" s="1"/>
  <c r="M141" i="18" s="1"/>
  <c r="E142" i="18"/>
  <c r="H142" i="18" s="1"/>
  <c r="J142" i="18" s="1"/>
  <c r="K142" i="18" s="1"/>
  <c r="L142" i="18" s="1"/>
  <c r="M142" i="18" s="1"/>
  <c r="E143" i="18"/>
  <c r="H143" i="18" s="1"/>
  <c r="J143" i="18" s="1"/>
  <c r="K143" i="18" s="1"/>
  <c r="L143" i="18" s="1"/>
  <c r="M143" i="18" s="1"/>
  <c r="E144" i="18"/>
  <c r="H144" i="18" s="1"/>
  <c r="J144" i="18" s="1"/>
  <c r="K144" i="18" s="1"/>
  <c r="L144" i="18" s="1"/>
  <c r="M144" i="18" s="1"/>
  <c r="E145" i="18"/>
  <c r="H145" i="18" s="1"/>
  <c r="J145" i="18" s="1"/>
  <c r="K145" i="18" s="1"/>
  <c r="L145" i="18" s="1"/>
  <c r="M145" i="18" s="1"/>
  <c r="E146" i="18"/>
  <c r="H146" i="18" s="1"/>
  <c r="J146" i="18" s="1"/>
  <c r="K146" i="18" s="1"/>
  <c r="L146" i="18" s="1"/>
  <c r="M146" i="18" s="1"/>
  <c r="E147" i="18"/>
  <c r="H147" i="18" s="1"/>
  <c r="J147" i="18" s="1"/>
  <c r="K147" i="18" s="1"/>
  <c r="L147" i="18" s="1"/>
  <c r="M147" i="18" s="1"/>
  <c r="E148" i="18"/>
  <c r="H148" i="18" s="1"/>
  <c r="J148" i="18" s="1"/>
  <c r="K148" i="18" s="1"/>
  <c r="L148" i="18" s="1"/>
  <c r="M148" i="18" s="1"/>
  <c r="E149" i="18"/>
  <c r="H149" i="18" s="1"/>
  <c r="J149" i="18" s="1"/>
  <c r="K149" i="18" s="1"/>
  <c r="L149" i="18" s="1"/>
  <c r="M149" i="18" s="1"/>
  <c r="E150" i="18"/>
  <c r="H150" i="18" s="1"/>
  <c r="J150" i="18" s="1"/>
  <c r="K150" i="18" s="1"/>
  <c r="L150" i="18" s="1"/>
  <c r="M150" i="18" s="1"/>
  <c r="E151" i="18"/>
  <c r="H151" i="18" s="1"/>
  <c r="J151" i="18" s="1"/>
  <c r="K151" i="18" s="1"/>
  <c r="L151" i="18" s="1"/>
  <c r="M151" i="18" s="1"/>
  <c r="E152" i="18"/>
  <c r="H152" i="18" s="1"/>
  <c r="J152" i="18" s="1"/>
  <c r="K152" i="18" s="1"/>
  <c r="L152" i="18" s="1"/>
  <c r="M152" i="18" s="1"/>
  <c r="E153" i="18"/>
  <c r="H153" i="18" s="1"/>
  <c r="J153" i="18" s="1"/>
  <c r="K153" i="18" s="1"/>
  <c r="L153" i="18" s="1"/>
  <c r="M153" i="18" s="1"/>
  <c r="E154" i="18"/>
  <c r="H154" i="18" s="1"/>
  <c r="J154" i="18" s="1"/>
  <c r="K154" i="18" s="1"/>
  <c r="L154" i="18" s="1"/>
  <c r="M154" i="18" s="1"/>
  <c r="E155" i="18"/>
  <c r="H155" i="18" s="1"/>
  <c r="J155" i="18" s="1"/>
  <c r="K155" i="18" s="1"/>
  <c r="L155" i="18" s="1"/>
  <c r="M155" i="18" s="1"/>
  <c r="E156" i="18"/>
  <c r="H156" i="18" s="1"/>
  <c r="J156" i="18" s="1"/>
  <c r="K156" i="18" s="1"/>
  <c r="L156" i="18" s="1"/>
  <c r="M156" i="18" s="1"/>
  <c r="E157" i="18"/>
  <c r="H157" i="18" s="1"/>
  <c r="J157" i="18" s="1"/>
  <c r="K157" i="18" s="1"/>
  <c r="L157" i="18" s="1"/>
  <c r="M157" i="18" s="1"/>
  <c r="E158" i="18"/>
  <c r="H158" i="18" s="1"/>
  <c r="J158" i="18" s="1"/>
  <c r="K158" i="18" s="1"/>
  <c r="L158" i="18" s="1"/>
  <c r="M158" i="18" s="1"/>
  <c r="E159" i="18"/>
  <c r="H159" i="18" s="1"/>
  <c r="J159" i="18" s="1"/>
  <c r="K159" i="18" s="1"/>
  <c r="L159" i="18" s="1"/>
  <c r="M159" i="18" s="1"/>
  <c r="E160" i="18"/>
  <c r="H160" i="18" s="1"/>
  <c r="J160" i="18" s="1"/>
  <c r="K160" i="18" s="1"/>
  <c r="L160" i="18" s="1"/>
  <c r="M160" i="18" s="1"/>
  <c r="E161" i="18"/>
  <c r="H161" i="18" s="1"/>
  <c r="J161" i="18" s="1"/>
  <c r="K161" i="18" s="1"/>
  <c r="L161" i="18" s="1"/>
  <c r="M161" i="18" s="1"/>
  <c r="E162" i="18"/>
  <c r="H162" i="18" s="1"/>
  <c r="J162" i="18" s="1"/>
  <c r="K162" i="18" s="1"/>
  <c r="L162" i="18" s="1"/>
  <c r="M162" i="18" s="1"/>
  <c r="E163" i="18"/>
  <c r="H163" i="18" s="1"/>
  <c r="J163" i="18" s="1"/>
  <c r="K163" i="18" s="1"/>
  <c r="L163" i="18" s="1"/>
  <c r="M163" i="18" s="1"/>
  <c r="E164" i="18"/>
  <c r="H164" i="18" s="1"/>
  <c r="J164" i="18" s="1"/>
  <c r="K164" i="18" s="1"/>
  <c r="L164" i="18" s="1"/>
  <c r="M164" i="18" s="1"/>
  <c r="E165" i="18"/>
  <c r="H165" i="18" s="1"/>
  <c r="J165" i="18" s="1"/>
  <c r="K165" i="18" s="1"/>
  <c r="L165" i="18" s="1"/>
  <c r="M165" i="18" s="1"/>
  <c r="E166" i="18"/>
  <c r="H166" i="18" s="1"/>
  <c r="J166" i="18" s="1"/>
  <c r="K166" i="18" s="1"/>
  <c r="L166" i="18" s="1"/>
  <c r="M166" i="18" s="1"/>
  <c r="E167" i="18"/>
  <c r="H167" i="18" s="1"/>
  <c r="J167" i="18" s="1"/>
  <c r="K167" i="18" s="1"/>
  <c r="L167" i="18" s="1"/>
  <c r="M167" i="18" s="1"/>
  <c r="E168" i="18"/>
  <c r="H168" i="18" s="1"/>
  <c r="J168" i="18" s="1"/>
  <c r="K168" i="18" s="1"/>
  <c r="L168" i="18" s="1"/>
  <c r="M168" i="18" s="1"/>
  <c r="E169" i="18"/>
  <c r="H169" i="18" s="1"/>
  <c r="J169" i="18" s="1"/>
  <c r="K169" i="18" s="1"/>
  <c r="L169" i="18" s="1"/>
  <c r="M169" i="18" s="1"/>
  <c r="E170" i="18"/>
  <c r="H170" i="18" s="1"/>
  <c r="J170" i="18" s="1"/>
  <c r="K170" i="18" s="1"/>
  <c r="L170" i="18" s="1"/>
  <c r="M170" i="18" s="1"/>
  <c r="E171" i="18"/>
  <c r="H171" i="18" s="1"/>
  <c r="J171" i="18" s="1"/>
  <c r="K171" i="18" s="1"/>
  <c r="L171" i="18" s="1"/>
  <c r="M171" i="18" s="1"/>
  <c r="E172" i="18"/>
  <c r="H172" i="18" s="1"/>
  <c r="J172" i="18" s="1"/>
  <c r="K172" i="18" s="1"/>
  <c r="L172" i="18" s="1"/>
  <c r="M172" i="18" s="1"/>
  <c r="E173" i="18"/>
  <c r="H173" i="18" s="1"/>
  <c r="J173" i="18" s="1"/>
  <c r="K173" i="18" s="1"/>
  <c r="L173" i="18" s="1"/>
  <c r="M173" i="18" s="1"/>
  <c r="E174" i="18"/>
  <c r="H174" i="18" s="1"/>
  <c r="J174" i="18" s="1"/>
  <c r="K174" i="18" s="1"/>
  <c r="L174" i="18" s="1"/>
  <c r="M174" i="18" s="1"/>
  <c r="E175" i="18"/>
  <c r="H175" i="18" s="1"/>
  <c r="J175" i="18" s="1"/>
  <c r="K175" i="18" s="1"/>
  <c r="L175" i="18" s="1"/>
  <c r="M175" i="18" s="1"/>
  <c r="E176" i="18"/>
  <c r="H176" i="18" s="1"/>
  <c r="J176" i="18" s="1"/>
  <c r="K176" i="18" s="1"/>
  <c r="L176" i="18" s="1"/>
  <c r="M176" i="18" s="1"/>
  <c r="E177" i="18"/>
  <c r="H177" i="18" s="1"/>
  <c r="J177" i="18" s="1"/>
  <c r="K177" i="18" s="1"/>
  <c r="L177" i="18" s="1"/>
  <c r="M177" i="18" s="1"/>
  <c r="E178" i="18"/>
  <c r="H178" i="18" s="1"/>
  <c r="J178" i="18" s="1"/>
  <c r="K178" i="18" s="1"/>
  <c r="L178" i="18" s="1"/>
  <c r="M178" i="18" s="1"/>
  <c r="E179" i="18"/>
  <c r="H179" i="18" s="1"/>
  <c r="J179" i="18" s="1"/>
  <c r="K179" i="18" s="1"/>
  <c r="L179" i="18" s="1"/>
  <c r="M179" i="18" s="1"/>
  <c r="E180" i="18"/>
  <c r="H180" i="18" s="1"/>
  <c r="J180" i="18" s="1"/>
  <c r="K180" i="18" s="1"/>
  <c r="L180" i="18" s="1"/>
  <c r="M180" i="18" s="1"/>
  <c r="E181" i="18"/>
  <c r="H181" i="18" s="1"/>
  <c r="J181" i="18" s="1"/>
  <c r="K181" i="18" s="1"/>
  <c r="L181" i="18" s="1"/>
  <c r="M181" i="18" s="1"/>
  <c r="E182" i="18"/>
  <c r="H182" i="18" s="1"/>
  <c r="J182" i="18" s="1"/>
  <c r="K182" i="18" s="1"/>
  <c r="L182" i="18" s="1"/>
  <c r="M182" i="18" s="1"/>
  <c r="E183" i="18"/>
  <c r="H183" i="18" s="1"/>
  <c r="J183" i="18" s="1"/>
  <c r="K183" i="18" s="1"/>
  <c r="L183" i="18" s="1"/>
  <c r="M183" i="18" s="1"/>
  <c r="E184" i="18"/>
  <c r="H184" i="18" s="1"/>
  <c r="J184" i="18" s="1"/>
  <c r="K184" i="18" s="1"/>
  <c r="L184" i="18" s="1"/>
  <c r="M184" i="18" s="1"/>
  <c r="E185" i="18"/>
  <c r="H185" i="18" s="1"/>
  <c r="J185" i="18" s="1"/>
  <c r="K185" i="18" s="1"/>
  <c r="L185" i="18" s="1"/>
  <c r="M185" i="18" s="1"/>
  <c r="E186" i="18"/>
  <c r="H186" i="18" s="1"/>
  <c r="J186" i="18" s="1"/>
  <c r="K186" i="18" s="1"/>
  <c r="L186" i="18" s="1"/>
  <c r="M186" i="18" s="1"/>
  <c r="E187" i="18"/>
  <c r="H187" i="18" s="1"/>
  <c r="J187" i="18" s="1"/>
  <c r="K187" i="18" s="1"/>
  <c r="L187" i="18" s="1"/>
  <c r="M187" i="18" s="1"/>
  <c r="E188" i="18"/>
  <c r="H188" i="18" s="1"/>
  <c r="J188" i="18" s="1"/>
  <c r="K188" i="18" s="1"/>
  <c r="L188" i="18" s="1"/>
  <c r="M188" i="18" s="1"/>
  <c r="E189" i="18"/>
  <c r="H189" i="18" s="1"/>
  <c r="J189" i="18" s="1"/>
  <c r="K189" i="18" s="1"/>
  <c r="L189" i="18" s="1"/>
  <c r="M189" i="18" s="1"/>
  <c r="E190" i="18"/>
  <c r="H190" i="18" s="1"/>
  <c r="J190" i="18" s="1"/>
  <c r="K190" i="18" s="1"/>
  <c r="L190" i="18" s="1"/>
  <c r="M190" i="18" s="1"/>
  <c r="E191" i="18"/>
  <c r="H191" i="18" s="1"/>
  <c r="J191" i="18" s="1"/>
  <c r="K191" i="18" s="1"/>
  <c r="L191" i="18" s="1"/>
  <c r="M191" i="18" s="1"/>
  <c r="E192" i="18"/>
  <c r="H192" i="18" s="1"/>
  <c r="J192" i="18" s="1"/>
  <c r="K192" i="18" s="1"/>
  <c r="L192" i="18" s="1"/>
  <c r="M192" i="18" s="1"/>
  <c r="E193" i="18"/>
  <c r="H193" i="18" s="1"/>
  <c r="J193" i="18" s="1"/>
  <c r="K193" i="18" s="1"/>
  <c r="L193" i="18" s="1"/>
  <c r="M193" i="18" s="1"/>
  <c r="E194" i="18"/>
  <c r="H194" i="18" s="1"/>
  <c r="J194" i="18" s="1"/>
  <c r="K194" i="18" s="1"/>
  <c r="L194" i="18" s="1"/>
  <c r="M194" i="18" s="1"/>
  <c r="E195" i="18"/>
  <c r="H195" i="18" s="1"/>
  <c r="J195" i="18" s="1"/>
  <c r="K195" i="18" s="1"/>
  <c r="L195" i="18" s="1"/>
  <c r="M195" i="18" s="1"/>
  <c r="E196" i="18"/>
  <c r="H196" i="18" s="1"/>
  <c r="J196" i="18" s="1"/>
  <c r="K196" i="18" s="1"/>
  <c r="L196" i="18" s="1"/>
  <c r="M196" i="18" s="1"/>
  <c r="E197" i="18"/>
  <c r="H197" i="18" s="1"/>
  <c r="J197" i="18" s="1"/>
  <c r="K197" i="18" s="1"/>
  <c r="L197" i="18" s="1"/>
  <c r="M197" i="18" s="1"/>
  <c r="E198" i="18"/>
  <c r="H198" i="18" s="1"/>
  <c r="J198" i="18" s="1"/>
  <c r="K198" i="18" s="1"/>
  <c r="L198" i="18" s="1"/>
  <c r="M198" i="18" s="1"/>
  <c r="E199" i="18"/>
  <c r="H199" i="18" s="1"/>
  <c r="J199" i="18" s="1"/>
  <c r="K199" i="18" s="1"/>
  <c r="L199" i="18" s="1"/>
  <c r="M199" i="18" s="1"/>
  <c r="E200" i="18"/>
  <c r="H200" i="18" s="1"/>
  <c r="J200" i="18" s="1"/>
  <c r="K200" i="18" s="1"/>
  <c r="L200" i="18" s="1"/>
  <c r="M200" i="18" s="1"/>
  <c r="E201" i="18"/>
  <c r="H201" i="18" s="1"/>
  <c r="J201" i="18" s="1"/>
  <c r="K201" i="18" s="1"/>
  <c r="L201" i="18" s="1"/>
  <c r="M201" i="18" s="1"/>
  <c r="E202" i="18"/>
  <c r="H202" i="18" s="1"/>
  <c r="J202" i="18" s="1"/>
  <c r="K202" i="18" s="1"/>
  <c r="L202" i="18" s="1"/>
  <c r="M202" i="18" s="1"/>
  <c r="E203" i="18"/>
  <c r="H203" i="18" s="1"/>
  <c r="J203" i="18" s="1"/>
  <c r="K203" i="18" s="1"/>
  <c r="L203" i="18" s="1"/>
  <c r="M203" i="18" s="1"/>
  <c r="E204" i="18"/>
  <c r="H204" i="18" s="1"/>
  <c r="J204" i="18" s="1"/>
  <c r="K204" i="18" s="1"/>
  <c r="L204" i="18" s="1"/>
  <c r="M204" i="18" s="1"/>
  <c r="E205" i="18"/>
  <c r="H205" i="18" s="1"/>
  <c r="J205" i="18" s="1"/>
  <c r="K205" i="18" s="1"/>
  <c r="L205" i="18" s="1"/>
  <c r="M205" i="18" s="1"/>
  <c r="E206" i="18"/>
  <c r="H206" i="18" s="1"/>
  <c r="J206" i="18" s="1"/>
  <c r="K206" i="18" s="1"/>
  <c r="L206" i="18" s="1"/>
  <c r="M206" i="18" s="1"/>
  <c r="E207" i="18"/>
  <c r="H207" i="18" s="1"/>
  <c r="J207" i="18" s="1"/>
  <c r="K207" i="18" s="1"/>
  <c r="L207" i="18" s="1"/>
  <c r="M207" i="18" s="1"/>
  <c r="E208" i="18"/>
  <c r="H208" i="18" s="1"/>
  <c r="J208" i="18" s="1"/>
  <c r="K208" i="18" s="1"/>
  <c r="L208" i="18" s="1"/>
  <c r="M208" i="18" s="1"/>
  <c r="E209" i="18"/>
  <c r="H209" i="18" s="1"/>
  <c r="J209" i="18" s="1"/>
  <c r="K209" i="18" s="1"/>
  <c r="L209" i="18" s="1"/>
  <c r="M209" i="18" s="1"/>
  <c r="E210" i="18"/>
  <c r="H210" i="18" s="1"/>
  <c r="J210" i="18" s="1"/>
  <c r="K210" i="18" s="1"/>
  <c r="L210" i="18" s="1"/>
  <c r="M210" i="18" s="1"/>
  <c r="E211" i="18"/>
  <c r="H211" i="18" s="1"/>
  <c r="J211" i="18" s="1"/>
  <c r="K211" i="18" s="1"/>
  <c r="L211" i="18" s="1"/>
  <c r="M211" i="18" s="1"/>
  <c r="E212" i="18"/>
  <c r="H212" i="18" s="1"/>
  <c r="J212" i="18" s="1"/>
  <c r="K212" i="18" s="1"/>
  <c r="L212" i="18" s="1"/>
  <c r="M212" i="18" s="1"/>
  <c r="E213" i="18"/>
  <c r="H213" i="18" s="1"/>
  <c r="J213" i="18" s="1"/>
  <c r="K213" i="18" s="1"/>
  <c r="L213" i="18" s="1"/>
  <c r="M213" i="18" s="1"/>
  <c r="E214" i="18"/>
  <c r="H214" i="18" s="1"/>
  <c r="J214" i="18" s="1"/>
  <c r="K214" i="18" s="1"/>
  <c r="L214" i="18" s="1"/>
  <c r="M214" i="18" s="1"/>
  <c r="E215" i="18"/>
  <c r="H215" i="18" s="1"/>
  <c r="J215" i="18" s="1"/>
  <c r="K215" i="18" s="1"/>
  <c r="L215" i="18" s="1"/>
  <c r="M215" i="18" s="1"/>
  <c r="E216" i="18"/>
  <c r="H216" i="18" s="1"/>
  <c r="J216" i="18" s="1"/>
  <c r="K216" i="18" s="1"/>
  <c r="L216" i="18" s="1"/>
  <c r="M216" i="18" s="1"/>
  <c r="E217" i="18"/>
  <c r="H217" i="18" s="1"/>
  <c r="J217" i="18" s="1"/>
  <c r="K217" i="18" s="1"/>
  <c r="L217" i="18" s="1"/>
  <c r="M217" i="18" s="1"/>
  <c r="E218" i="18"/>
  <c r="H218" i="18" s="1"/>
  <c r="J218" i="18" s="1"/>
  <c r="K218" i="18" s="1"/>
  <c r="L218" i="18" s="1"/>
  <c r="M218" i="18" s="1"/>
  <c r="E219" i="18"/>
  <c r="H219" i="18" s="1"/>
  <c r="J219" i="18" s="1"/>
  <c r="K219" i="18" s="1"/>
  <c r="L219" i="18" s="1"/>
  <c r="M219" i="18" s="1"/>
  <c r="E220" i="18"/>
  <c r="H220" i="18" s="1"/>
  <c r="J220" i="18" s="1"/>
  <c r="K220" i="18" s="1"/>
  <c r="L220" i="18" s="1"/>
  <c r="M220" i="18" s="1"/>
  <c r="E221" i="18"/>
  <c r="H221" i="18" s="1"/>
  <c r="J221" i="18" s="1"/>
  <c r="K221" i="18" s="1"/>
  <c r="L221" i="18" s="1"/>
  <c r="M221" i="18" s="1"/>
  <c r="E222" i="18"/>
  <c r="H222" i="18" s="1"/>
  <c r="J222" i="18" s="1"/>
  <c r="K222" i="18" s="1"/>
  <c r="L222" i="18" s="1"/>
  <c r="M222" i="18" s="1"/>
  <c r="E223" i="18"/>
  <c r="H223" i="18" s="1"/>
  <c r="J223" i="18" s="1"/>
  <c r="K223" i="18" s="1"/>
  <c r="L223" i="18" s="1"/>
  <c r="M223" i="18" s="1"/>
  <c r="E224" i="18"/>
  <c r="H224" i="18" s="1"/>
  <c r="J224" i="18" s="1"/>
  <c r="K224" i="18" s="1"/>
  <c r="L224" i="18" s="1"/>
  <c r="M224" i="18" s="1"/>
  <c r="E225" i="18"/>
  <c r="H225" i="18" s="1"/>
  <c r="J225" i="18" s="1"/>
  <c r="K225" i="18" s="1"/>
  <c r="L225" i="18" s="1"/>
  <c r="M225" i="18" s="1"/>
  <c r="E226" i="18"/>
  <c r="H226" i="18" s="1"/>
  <c r="J226" i="18" s="1"/>
  <c r="K226" i="18" s="1"/>
  <c r="L226" i="18" s="1"/>
  <c r="M226" i="18" s="1"/>
  <c r="E227" i="18"/>
  <c r="H227" i="18" s="1"/>
  <c r="J227" i="18" s="1"/>
  <c r="K227" i="18" s="1"/>
  <c r="L227" i="18" s="1"/>
  <c r="M227" i="18" s="1"/>
  <c r="E228" i="18"/>
  <c r="H228" i="18" s="1"/>
  <c r="J228" i="18" s="1"/>
  <c r="K228" i="18" s="1"/>
  <c r="L228" i="18" s="1"/>
  <c r="M228" i="18" s="1"/>
  <c r="E229" i="18"/>
  <c r="H229" i="18" s="1"/>
  <c r="J229" i="18" s="1"/>
  <c r="K229" i="18" s="1"/>
  <c r="L229" i="18" s="1"/>
  <c r="M229" i="18" s="1"/>
  <c r="E230" i="18"/>
  <c r="H230" i="18" s="1"/>
  <c r="J230" i="18" s="1"/>
  <c r="K230" i="18" s="1"/>
  <c r="L230" i="18" s="1"/>
  <c r="M230" i="18" s="1"/>
  <c r="E231" i="18"/>
  <c r="H231" i="18" s="1"/>
  <c r="J231" i="18" s="1"/>
  <c r="K231" i="18" s="1"/>
  <c r="L231" i="18" s="1"/>
  <c r="M231" i="18" s="1"/>
  <c r="E232" i="18"/>
  <c r="H232" i="18" s="1"/>
  <c r="J232" i="18" s="1"/>
  <c r="K232" i="18" s="1"/>
  <c r="L232" i="18" s="1"/>
  <c r="M232" i="18" s="1"/>
  <c r="E233" i="18"/>
  <c r="H233" i="18" s="1"/>
  <c r="J233" i="18" s="1"/>
  <c r="K233" i="18" s="1"/>
  <c r="L233" i="18" s="1"/>
  <c r="M233" i="18" s="1"/>
  <c r="E234" i="18"/>
  <c r="H234" i="18" s="1"/>
  <c r="J234" i="18" s="1"/>
  <c r="K234" i="18" s="1"/>
  <c r="L234" i="18" s="1"/>
  <c r="M234" i="18" s="1"/>
  <c r="E235" i="18"/>
  <c r="H235" i="18" s="1"/>
  <c r="J235" i="18" s="1"/>
  <c r="K235" i="18" s="1"/>
  <c r="L235" i="18" s="1"/>
  <c r="M235" i="18" s="1"/>
  <c r="E236" i="18"/>
  <c r="H236" i="18" s="1"/>
  <c r="J236" i="18" s="1"/>
  <c r="K236" i="18" s="1"/>
  <c r="L236" i="18" s="1"/>
  <c r="M236" i="18" s="1"/>
  <c r="E237" i="18"/>
  <c r="H237" i="18" s="1"/>
  <c r="J237" i="18" s="1"/>
  <c r="K237" i="18" s="1"/>
  <c r="L237" i="18" s="1"/>
  <c r="M237" i="18" s="1"/>
  <c r="E238" i="18"/>
  <c r="H238" i="18" s="1"/>
  <c r="J238" i="18" s="1"/>
  <c r="K238" i="18" s="1"/>
  <c r="L238" i="18" s="1"/>
  <c r="M238" i="18" s="1"/>
  <c r="E239" i="18"/>
  <c r="H239" i="18" s="1"/>
  <c r="J239" i="18" s="1"/>
  <c r="K239" i="18" s="1"/>
  <c r="L239" i="18" s="1"/>
  <c r="M239" i="18" s="1"/>
  <c r="E240" i="18"/>
  <c r="H240" i="18" s="1"/>
  <c r="J240" i="18" s="1"/>
  <c r="K240" i="18" s="1"/>
  <c r="L240" i="18" s="1"/>
  <c r="M240" i="18" s="1"/>
  <c r="E241" i="18"/>
  <c r="H241" i="18" s="1"/>
  <c r="J241" i="18" s="1"/>
  <c r="K241" i="18" s="1"/>
  <c r="L241" i="18" s="1"/>
  <c r="M241" i="18" s="1"/>
  <c r="E242" i="18"/>
  <c r="H242" i="18" s="1"/>
  <c r="J242" i="18" s="1"/>
  <c r="K242" i="18" s="1"/>
  <c r="L242" i="18" s="1"/>
  <c r="M242" i="18" s="1"/>
  <c r="E243" i="18"/>
  <c r="H243" i="18" s="1"/>
  <c r="J243" i="18" s="1"/>
  <c r="K243" i="18" s="1"/>
  <c r="L243" i="18" s="1"/>
  <c r="M243" i="18" s="1"/>
  <c r="E244" i="18"/>
  <c r="H244" i="18" s="1"/>
  <c r="J244" i="18" s="1"/>
  <c r="K244" i="18" s="1"/>
  <c r="L244" i="18" s="1"/>
  <c r="M244" i="18" s="1"/>
  <c r="E245" i="18"/>
  <c r="H245" i="18" s="1"/>
  <c r="J245" i="18" s="1"/>
  <c r="K245" i="18" s="1"/>
  <c r="L245" i="18" s="1"/>
  <c r="M245" i="18" s="1"/>
  <c r="E246" i="18"/>
  <c r="H246" i="18" s="1"/>
  <c r="J246" i="18" s="1"/>
  <c r="K246" i="18" s="1"/>
  <c r="L246" i="18" s="1"/>
  <c r="M246" i="18" s="1"/>
  <c r="E247" i="18"/>
  <c r="H247" i="18" s="1"/>
  <c r="J247" i="18" s="1"/>
  <c r="K247" i="18" s="1"/>
  <c r="L247" i="18" s="1"/>
  <c r="M247" i="18" s="1"/>
  <c r="E248" i="18"/>
  <c r="H248" i="18" s="1"/>
  <c r="J248" i="18" s="1"/>
  <c r="K248" i="18" s="1"/>
  <c r="L248" i="18" s="1"/>
  <c r="M248" i="18" s="1"/>
  <c r="E249" i="18"/>
  <c r="H249" i="18" s="1"/>
  <c r="J249" i="18" s="1"/>
  <c r="K249" i="18" s="1"/>
  <c r="L249" i="18" s="1"/>
  <c r="M249" i="18" s="1"/>
  <c r="E250" i="18"/>
  <c r="H250" i="18" s="1"/>
  <c r="J250" i="18" s="1"/>
  <c r="K250" i="18" s="1"/>
  <c r="L250" i="18" s="1"/>
  <c r="M250" i="18" s="1"/>
  <c r="E251" i="18"/>
  <c r="H251" i="18" s="1"/>
  <c r="J251" i="18" s="1"/>
  <c r="K251" i="18" s="1"/>
  <c r="L251" i="18" s="1"/>
  <c r="M251" i="18" s="1"/>
  <c r="E252" i="18"/>
  <c r="H252" i="18" s="1"/>
  <c r="J252" i="18" s="1"/>
  <c r="K252" i="18" s="1"/>
  <c r="L252" i="18" s="1"/>
  <c r="M252" i="18" s="1"/>
  <c r="E253" i="18"/>
  <c r="H253" i="18" s="1"/>
  <c r="J253" i="18" s="1"/>
  <c r="K253" i="18" s="1"/>
  <c r="L253" i="18" s="1"/>
  <c r="M253" i="18" s="1"/>
  <c r="E254" i="18"/>
  <c r="H254" i="18" s="1"/>
  <c r="J254" i="18" s="1"/>
  <c r="K254" i="18" s="1"/>
  <c r="L254" i="18" s="1"/>
  <c r="M254" i="18" s="1"/>
  <c r="E255" i="18"/>
  <c r="H255" i="18" s="1"/>
  <c r="J255" i="18" s="1"/>
  <c r="K255" i="18" s="1"/>
  <c r="L255" i="18" s="1"/>
  <c r="M255" i="18" s="1"/>
  <c r="E256" i="18"/>
  <c r="H256" i="18" s="1"/>
  <c r="J256" i="18" s="1"/>
  <c r="K256" i="18" s="1"/>
  <c r="L256" i="18" s="1"/>
  <c r="M256" i="18" s="1"/>
  <c r="E257" i="18"/>
  <c r="H257" i="18" s="1"/>
  <c r="J257" i="18" s="1"/>
  <c r="K257" i="18" s="1"/>
  <c r="L257" i="18" s="1"/>
  <c r="M257" i="18" s="1"/>
  <c r="E258" i="18"/>
  <c r="H258" i="18" s="1"/>
  <c r="J258" i="18" s="1"/>
  <c r="K258" i="18" s="1"/>
  <c r="L258" i="18" s="1"/>
  <c r="M258" i="18" s="1"/>
  <c r="E259" i="18"/>
  <c r="H259" i="18" s="1"/>
  <c r="J259" i="18" s="1"/>
  <c r="K259" i="18" s="1"/>
  <c r="L259" i="18" s="1"/>
  <c r="M259" i="18" s="1"/>
  <c r="E260" i="18"/>
  <c r="H260" i="18" s="1"/>
  <c r="J260" i="18" s="1"/>
  <c r="K260" i="18" s="1"/>
  <c r="L260" i="18" s="1"/>
  <c r="M260" i="18" s="1"/>
  <c r="E261" i="18"/>
  <c r="H261" i="18" s="1"/>
  <c r="J261" i="18" s="1"/>
  <c r="K261" i="18" s="1"/>
  <c r="L261" i="18" s="1"/>
  <c r="M261" i="18" s="1"/>
  <c r="E262" i="18"/>
  <c r="H262" i="18" s="1"/>
  <c r="J262" i="18" s="1"/>
  <c r="K262" i="18" s="1"/>
  <c r="L262" i="18" s="1"/>
  <c r="M262" i="18" s="1"/>
  <c r="E263" i="18"/>
  <c r="H263" i="18" s="1"/>
  <c r="J263" i="18" s="1"/>
  <c r="K263" i="18" s="1"/>
  <c r="L263" i="18" s="1"/>
  <c r="M263" i="18" s="1"/>
  <c r="E264" i="18"/>
  <c r="H264" i="18" s="1"/>
  <c r="J264" i="18" s="1"/>
  <c r="K264" i="18" s="1"/>
  <c r="L264" i="18" s="1"/>
  <c r="M264" i="18" s="1"/>
  <c r="E70" i="18"/>
  <c r="H70" i="18" s="1"/>
  <c r="J70" i="18" s="1"/>
  <c r="E76" i="18"/>
  <c r="H76" i="18" s="1"/>
  <c r="J76" i="18" s="1"/>
  <c r="E74" i="18"/>
  <c r="H74" i="18" s="1"/>
  <c r="J74" i="18" s="1"/>
  <c r="E79" i="18"/>
  <c r="H79" i="18" s="1"/>
  <c r="J79" i="18" s="1"/>
  <c r="E72" i="18"/>
  <c r="H72" i="18" s="1"/>
  <c r="J72" i="18" s="1"/>
  <c r="E69" i="18"/>
  <c r="H69" i="18" s="1"/>
  <c r="J69" i="18" s="1"/>
  <c r="E73" i="18"/>
  <c r="H73" i="18" s="1"/>
  <c r="J73" i="18" s="1"/>
  <c r="E75" i="18"/>
  <c r="H75" i="18" s="1"/>
  <c r="J75" i="18" s="1"/>
  <c r="E78" i="18"/>
  <c r="H78" i="18" s="1"/>
  <c r="J78" i="18" s="1"/>
  <c r="E71" i="18"/>
  <c r="H71" i="18" s="1"/>
  <c r="J71" i="18" s="1"/>
  <c r="E77" i="18"/>
  <c r="H77" i="18" s="1"/>
  <c r="J77" i="18" s="1"/>
  <c r="E25" i="18"/>
  <c r="H25" i="18" s="1"/>
  <c r="J25" i="18" s="1"/>
  <c r="E24" i="18"/>
  <c r="H24" i="18" s="1"/>
  <c r="J24" i="18" s="1"/>
  <c r="E27" i="18"/>
  <c r="H27" i="18" s="1"/>
  <c r="J27" i="18" s="1"/>
  <c r="E23" i="18"/>
  <c r="H23" i="18" s="1"/>
  <c r="J23" i="18" s="1"/>
  <c r="E22" i="18"/>
  <c r="H22" i="18" s="1"/>
  <c r="J22" i="18" s="1"/>
  <c r="E21" i="18"/>
  <c r="H21" i="18" s="1"/>
  <c r="E28" i="18"/>
  <c r="H28" i="18" s="1"/>
  <c r="J28" i="18" s="1"/>
  <c r="E26" i="18"/>
  <c r="H26" i="18" s="1"/>
  <c r="J26" i="18" s="1"/>
  <c r="E50" i="18"/>
  <c r="H50" i="18" s="1"/>
  <c r="J50" i="18" s="1"/>
  <c r="E53" i="18"/>
  <c r="H53" i="18" s="1"/>
  <c r="J53" i="18" s="1"/>
  <c r="E51" i="18"/>
  <c r="H51" i="18" s="1"/>
  <c r="J51" i="18" s="1"/>
  <c r="E52" i="18"/>
  <c r="H52" i="18" s="1"/>
  <c r="J52" i="18" s="1"/>
  <c r="E54" i="18"/>
  <c r="H54" i="18" s="1"/>
  <c r="J54" i="18" s="1"/>
  <c r="E56" i="18"/>
  <c r="H56" i="18" s="1"/>
  <c r="J56" i="18" s="1"/>
  <c r="E100" i="18"/>
  <c r="H100" i="18" s="1"/>
  <c r="J100" i="18" s="1"/>
  <c r="E103" i="18"/>
  <c r="H103" i="18" s="1"/>
  <c r="J103" i="18" s="1"/>
  <c r="E104" i="18"/>
  <c r="H104" i="18" s="1"/>
  <c r="J104" i="18" s="1"/>
  <c r="E99" i="18"/>
  <c r="H99" i="18" s="1"/>
  <c r="J99" i="18" s="1"/>
  <c r="E101" i="18"/>
  <c r="H101" i="18" s="1"/>
  <c r="J101" i="18" s="1"/>
  <c r="E105" i="18"/>
  <c r="H105" i="18" s="1"/>
  <c r="J105" i="18" s="1"/>
  <c r="E102" i="18"/>
  <c r="H102" i="18" s="1"/>
  <c r="J102" i="18" s="1"/>
  <c r="E109" i="18"/>
  <c r="H109" i="18" s="1"/>
  <c r="J109" i="18" s="1"/>
  <c r="E106" i="18"/>
  <c r="H106" i="18" s="1"/>
  <c r="J106" i="18" s="1"/>
  <c r="E108" i="18"/>
  <c r="H108" i="18" s="1"/>
  <c r="J108" i="18" s="1"/>
  <c r="E107" i="18"/>
  <c r="H107" i="18" s="1"/>
  <c r="J107" i="18" s="1"/>
  <c r="E110" i="18"/>
  <c r="H110" i="18" s="1"/>
  <c r="J110" i="18" s="1"/>
  <c r="E93" i="18"/>
  <c r="H93" i="18" s="1"/>
  <c r="J93" i="18" s="1"/>
  <c r="E94" i="18"/>
  <c r="H94" i="18" s="1"/>
  <c r="J94" i="18" s="1"/>
  <c r="E63" i="18"/>
  <c r="H63" i="18" s="1"/>
  <c r="J63" i="18" s="1"/>
  <c r="E66" i="18"/>
  <c r="H66" i="18" s="1"/>
  <c r="J66" i="18" s="1"/>
  <c r="E67" i="18"/>
  <c r="H67" i="18" s="1"/>
  <c r="J67" i="18" s="1"/>
  <c r="E68" i="18"/>
  <c r="H68" i="18" s="1"/>
  <c r="J68" i="18" s="1"/>
  <c r="E64" i="18"/>
  <c r="H64" i="18" s="1"/>
  <c r="J64" i="18" s="1"/>
  <c r="E65" i="18"/>
  <c r="H65" i="18" s="1"/>
  <c r="J65" i="18" s="1"/>
  <c r="E97" i="18"/>
  <c r="H97" i="18" s="1"/>
  <c r="J97" i="18" s="1"/>
  <c r="E98" i="18"/>
  <c r="H98" i="18" s="1"/>
  <c r="J98" i="18" s="1"/>
  <c r="E96" i="18"/>
  <c r="H96" i="18" s="1"/>
  <c r="J96" i="18" s="1"/>
  <c r="E95" i="18"/>
  <c r="H95" i="18" s="1"/>
  <c r="J95" i="18" s="1"/>
  <c r="E48" i="18"/>
  <c r="H48" i="18" s="1"/>
  <c r="J48" i="18" s="1"/>
  <c r="E49" i="18"/>
  <c r="H49" i="18" s="1"/>
  <c r="J49" i="18" s="1"/>
  <c r="E41" i="18"/>
  <c r="H41" i="18" s="1"/>
  <c r="J41" i="18" s="1"/>
  <c r="E45" i="18"/>
  <c r="H45" i="18" s="1"/>
  <c r="J45" i="18" s="1"/>
  <c r="E36" i="18"/>
  <c r="H36" i="18" s="1"/>
  <c r="J36" i="18" s="1"/>
  <c r="E42" i="18"/>
  <c r="H42" i="18" s="1"/>
  <c r="J42" i="18" s="1"/>
  <c r="E38" i="18"/>
  <c r="H38" i="18" s="1"/>
  <c r="J38" i="18" s="1"/>
  <c r="E34" i="18"/>
  <c r="H34" i="18" s="1"/>
  <c r="J34" i="18" s="1"/>
  <c r="E43" i="18"/>
  <c r="H43" i="18" s="1"/>
  <c r="J43" i="18" s="1"/>
  <c r="E46" i="18"/>
  <c r="H46" i="18" s="1"/>
  <c r="J46" i="18" s="1"/>
  <c r="E30" i="18"/>
  <c r="H30" i="18" s="1"/>
  <c r="J30" i="18" s="1"/>
  <c r="E31" i="18"/>
  <c r="H31" i="18" s="1"/>
  <c r="J31" i="18" s="1"/>
  <c r="E33" i="18"/>
  <c r="H33" i="18" s="1"/>
  <c r="J33" i="18" s="1"/>
  <c r="E29" i="18"/>
  <c r="H29" i="18" s="1"/>
  <c r="J29" i="18" s="1"/>
  <c r="E39" i="18"/>
  <c r="H39" i="18" s="1"/>
  <c r="J39" i="18" s="1"/>
  <c r="E40" i="18"/>
  <c r="H40" i="18" s="1"/>
  <c r="J40" i="18" s="1"/>
  <c r="E44" i="18"/>
  <c r="H44" i="18" s="1"/>
  <c r="J44" i="18" s="1"/>
  <c r="E37" i="18"/>
  <c r="H37" i="18" s="1"/>
  <c r="J37" i="18" s="1"/>
  <c r="E47" i="18"/>
  <c r="H47" i="18" s="1"/>
  <c r="J47" i="18" s="1"/>
  <c r="E35" i="18"/>
  <c r="H35" i="18" s="1"/>
  <c r="J35" i="18" s="1"/>
  <c r="E32" i="18"/>
  <c r="H32" i="18" s="1"/>
  <c r="J32" i="18" s="1"/>
  <c r="E88" i="18"/>
  <c r="H88" i="18" s="1"/>
  <c r="J88" i="18" s="1"/>
  <c r="E86" i="18"/>
  <c r="H86" i="18" s="1"/>
  <c r="J86" i="18" s="1"/>
  <c r="E89" i="18"/>
  <c r="H89" i="18" s="1"/>
  <c r="J89" i="18" s="1"/>
  <c r="E92" i="18"/>
  <c r="H92" i="18" s="1"/>
  <c r="J92" i="18" s="1"/>
  <c r="E91" i="18"/>
  <c r="H91" i="18" s="1"/>
  <c r="J91" i="18" s="1"/>
  <c r="E90" i="18"/>
  <c r="H90" i="18" s="1"/>
  <c r="J90" i="18" s="1"/>
  <c r="E85" i="18"/>
  <c r="H85" i="18" s="1"/>
  <c r="J85" i="18" s="1"/>
  <c r="E83" i="18"/>
  <c r="H83" i="18" s="1"/>
  <c r="J83" i="18" s="1"/>
  <c r="E84" i="18"/>
  <c r="H84" i="18" s="1"/>
  <c r="J84" i="18" s="1"/>
  <c r="E80" i="18"/>
  <c r="H80" i="18" s="1"/>
  <c r="J80" i="18" s="1"/>
  <c r="E87" i="18"/>
  <c r="H87" i="18" s="1"/>
  <c r="J87" i="18" s="1"/>
  <c r="E81" i="18"/>
  <c r="H81" i="18" s="1"/>
  <c r="J81" i="18" s="1"/>
  <c r="E82" i="18"/>
  <c r="H82" i="18" s="1"/>
  <c r="J82" i="18" s="1"/>
  <c r="E55" i="18"/>
  <c r="H55" i="18" s="1"/>
  <c r="J55" i="18" s="1"/>
  <c r="E58" i="18"/>
  <c r="H58" i="18" s="1"/>
  <c r="J58" i="18" s="1"/>
  <c r="E59" i="18"/>
  <c r="H59" i="18" s="1"/>
  <c r="J59" i="18" s="1"/>
  <c r="E60" i="18"/>
  <c r="H60" i="18" s="1"/>
  <c r="J60" i="18" s="1"/>
  <c r="E61" i="18"/>
  <c r="H61" i="18" s="1"/>
  <c r="J61" i="18" s="1"/>
  <c r="E57" i="18"/>
  <c r="H57" i="18" s="1"/>
  <c r="J57" i="18" s="1"/>
  <c r="E62" i="18"/>
  <c r="H62" i="18" s="1"/>
  <c r="J62" i="18" s="1"/>
  <c r="AG94" i="1"/>
  <c r="AA94" i="1"/>
  <c r="Y94" i="1"/>
  <c r="X94" i="1"/>
  <c r="Z94" i="1"/>
  <c r="AE94" i="1"/>
  <c r="AB94" i="1"/>
  <c r="AC94" i="1"/>
  <c r="AD94" i="1"/>
  <c r="K30" i="8"/>
  <c r="J30" i="8"/>
  <c r="J36" i="8"/>
  <c r="K36" i="8"/>
  <c r="AG127" i="1"/>
  <c r="Y100" i="1"/>
  <c r="Z110" i="1"/>
  <c r="Y127" i="1"/>
  <c r="X100" i="1"/>
  <c r="AA127" i="1"/>
  <c r="Z100" i="1"/>
  <c r="AB100" i="1"/>
  <c r="AC100" i="1"/>
  <c r="Z127" i="1"/>
  <c r="AD127" i="1"/>
  <c r="AD100" i="1"/>
  <c r="AB127" i="1"/>
  <c r="AC127" i="1"/>
  <c r="AE100" i="1"/>
  <c r="AE127" i="1"/>
  <c r="X127" i="1"/>
  <c r="AF100" i="1"/>
  <c r="AG100" i="1"/>
  <c r="J27" i="8"/>
  <c r="B116" i="9" s="1"/>
  <c r="D116" i="9" s="1"/>
  <c r="K27" i="8"/>
  <c r="J53" i="8"/>
  <c r="K53" i="8"/>
  <c r="J40" i="8"/>
  <c r="K40" i="8"/>
  <c r="J26" i="8"/>
  <c r="K26" i="8"/>
  <c r="J21" i="11"/>
  <c r="K21" i="11"/>
  <c r="J25" i="8"/>
  <c r="K25" i="8"/>
  <c r="J52" i="8"/>
  <c r="K52" i="8"/>
  <c r="Y91" i="1"/>
  <c r="AB91" i="1"/>
  <c r="X91" i="1"/>
  <c r="AF91" i="1"/>
  <c r="AD91" i="1"/>
  <c r="AG91" i="1"/>
  <c r="K37" i="8"/>
  <c r="K64" i="8"/>
  <c r="J64" i="8"/>
  <c r="AA91" i="1"/>
  <c r="AE91" i="1"/>
  <c r="J39" i="8"/>
  <c r="K39" i="8"/>
  <c r="K34" i="8"/>
  <c r="J34" i="8"/>
  <c r="K33" i="8"/>
  <c r="J33" i="8"/>
  <c r="B139" i="9" s="1"/>
  <c r="D139" i="9" s="1"/>
  <c r="J37" i="8"/>
  <c r="AD95" i="1"/>
  <c r="AC95" i="1"/>
  <c r="Z116" i="1"/>
  <c r="AG95" i="1"/>
  <c r="K54" i="10"/>
  <c r="J54" i="10"/>
  <c r="Z91" i="1"/>
  <c r="J32" i="8"/>
  <c r="B118" i="9" s="1"/>
  <c r="K32" i="8"/>
  <c r="J28" i="8"/>
  <c r="B138" i="9" s="1"/>
  <c r="K28" i="8"/>
  <c r="K38" i="8"/>
  <c r="J38" i="8"/>
  <c r="K38" i="10"/>
  <c r="J38" i="10"/>
  <c r="Z126" i="1"/>
  <c r="J62" i="8"/>
  <c r="K62" i="8"/>
  <c r="K56" i="8"/>
  <c r="J56" i="8"/>
  <c r="B188" i="9" s="1"/>
  <c r="K57" i="8"/>
  <c r="J57" i="8"/>
  <c r="B190" i="9" s="1"/>
  <c r="K31" i="8"/>
  <c r="J31" i="8"/>
  <c r="K60" i="8"/>
  <c r="J60" i="8"/>
  <c r="J35" i="8"/>
  <c r="K35" i="8"/>
  <c r="J55" i="8"/>
  <c r="K55" i="8"/>
  <c r="K41" i="8"/>
  <c r="J41" i="8"/>
  <c r="K45" i="8"/>
  <c r="J45" i="8"/>
  <c r="J29" i="8"/>
  <c r="B132" i="9" s="1"/>
  <c r="K29" i="8"/>
  <c r="K43" i="8"/>
  <c r="J43" i="8"/>
  <c r="K44" i="8"/>
  <c r="J44" i="8"/>
  <c r="J61" i="8"/>
  <c r="B224" i="9" s="1"/>
  <c r="K61" i="8"/>
  <c r="J63" i="8"/>
  <c r="K63" i="8"/>
  <c r="K54" i="8"/>
  <c r="J54" i="8"/>
  <c r="K59" i="8"/>
  <c r="J59" i="8"/>
  <c r="B200" i="9" s="1"/>
  <c r="D200" i="9" s="1"/>
  <c r="J27" i="10"/>
  <c r="B108" i="17" s="1"/>
  <c r="D108" i="17" s="1"/>
  <c r="K27" i="10"/>
  <c r="K31" i="10"/>
  <c r="J31" i="10"/>
  <c r="K39" i="10"/>
  <c r="J39" i="10"/>
  <c r="K29" i="10"/>
  <c r="J29" i="10"/>
  <c r="B124" i="17" s="1"/>
  <c r="J43" i="10"/>
  <c r="K43" i="10"/>
  <c r="J56" i="10"/>
  <c r="B180" i="17" s="1"/>
  <c r="K56" i="10"/>
  <c r="J36" i="10"/>
  <c r="K36" i="10"/>
  <c r="J59" i="10"/>
  <c r="B192" i="17" s="1"/>
  <c r="D192" i="17" s="1"/>
  <c r="K59" i="10"/>
  <c r="K30" i="10"/>
  <c r="J30" i="10"/>
  <c r="K26" i="10"/>
  <c r="J26" i="10"/>
  <c r="K28" i="10"/>
  <c r="J28" i="10"/>
  <c r="B130" i="17" s="1"/>
  <c r="D130" i="17" s="1"/>
  <c r="AE97" i="1"/>
  <c r="AB97" i="1"/>
  <c r="AE148" i="1"/>
  <c r="Z148" i="1"/>
  <c r="AD97" i="1"/>
  <c r="AG97" i="1"/>
  <c r="Y148" i="1"/>
  <c r="AG116" i="1"/>
  <c r="Y116" i="1"/>
  <c r="AF131" i="1"/>
  <c r="Y131" i="1"/>
  <c r="AF97" i="1"/>
  <c r="I30" i="7"/>
  <c r="I253" i="7"/>
  <c r="I241" i="7"/>
  <c r="I193" i="7"/>
  <c r="I257" i="7"/>
  <c r="I245" i="7"/>
  <c r="I256" i="7"/>
  <c r="I244" i="7"/>
  <c r="I255" i="7"/>
  <c r="I243" i="7"/>
  <c r="I87" i="7"/>
  <c r="I254" i="7"/>
  <c r="I242" i="7"/>
  <c r="I252" i="7"/>
  <c r="I240" i="7"/>
  <c r="I251" i="7"/>
  <c r="I262" i="7"/>
  <c r="I250" i="7"/>
  <c r="I261" i="7"/>
  <c r="I249" i="7"/>
  <c r="I260" i="7"/>
  <c r="I248" i="7"/>
  <c r="I176" i="7"/>
  <c r="I171" i="7"/>
  <c r="I167" i="7"/>
  <c r="I146" i="7"/>
  <c r="I111" i="7"/>
  <c r="I116" i="7"/>
  <c r="I119" i="7"/>
  <c r="I89" i="7"/>
  <c r="I55" i="7"/>
  <c r="I131" i="7"/>
  <c r="I77" i="7"/>
  <c r="I42" i="7"/>
  <c r="I52" i="7"/>
  <c r="I34" i="7"/>
  <c r="I106" i="7"/>
  <c r="I69" i="7"/>
  <c r="I141" i="7"/>
  <c r="I80" i="7"/>
  <c r="I66" i="7"/>
  <c r="I133" i="7"/>
  <c r="I57" i="7"/>
  <c r="I138" i="7"/>
  <c r="I178" i="7"/>
  <c r="I50" i="7"/>
  <c r="I173" i="7"/>
  <c r="I163" i="7"/>
  <c r="I159" i="7"/>
  <c r="I164" i="7"/>
  <c r="I107" i="7"/>
  <c r="I113" i="7"/>
  <c r="I104" i="7"/>
  <c r="I85" i="7"/>
  <c r="I48" i="7"/>
  <c r="I51" i="7"/>
  <c r="I49" i="7"/>
  <c r="I38" i="7"/>
  <c r="I44" i="7"/>
  <c r="I47" i="7"/>
  <c r="I73" i="7"/>
  <c r="I36" i="7"/>
  <c r="I31" i="7"/>
  <c r="I132" i="7"/>
  <c r="I60" i="7"/>
  <c r="I81" i="7"/>
  <c r="I128" i="7"/>
  <c r="I67" i="7"/>
  <c r="I129" i="7"/>
  <c r="I56" i="7"/>
  <c r="I135" i="7"/>
  <c r="I169" i="7"/>
  <c r="I160" i="7"/>
  <c r="I155" i="7"/>
  <c r="I161" i="7"/>
  <c r="I103" i="7"/>
  <c r="I109" i="7"/>
  <c r="I94" i="7"/>
  <c r="I123" i="7"/>
  <c r="I84" i="7"/>
  <c r="I78" i="7"/>
  <c r="I40" i="7"/>
  <c r="I74" i="7"/>
  <c r="I145" i="7"/>
  <c r="I41" i="7"/>
  <c r="I61" i="7"/>
  <c r="I126" i="7"/>
  <c r="I64" i="7"/>
  <c r="I124" i="7"/>
  <c r="I58" i="7"/>
  <c r="I150" i="7"/>
  <c r="I76" i="7"/>
  <c r="I188" i="7"/>
  <c r="I165" i="7"/>
  <c r="I156" i="7"/>
  <c r="I151" i="7"/>
  <c r="I157" i="7"/>
  <c r="I99" i="7"/>
  <c r="I105" i="7"/>
  <c r="I90" i="7"/>
  <c r="I100" i="7"/>
  <c r="I79" i="7"/>
  <c r="I115" i="7"/>
  <c r="I43" i="7"/>
  <c r="I68" i="7"/>
  <c r="I108" i="7"/>
  <c r="I35" i="7"/>
  <c r="I88" i="7"/>
  <c r="I139" i="7"/>
  <c r="I70" i="7"/>
  <c r="I127" i="7"/>
  <c r="I158" i="7"/>
  <c r="I112" i="7"/>
  <c r="I154" i="7"/>
  <c r="I63" i="7"/>
  <c r="I118" i="7"/>
  <c r="I46" i="7"/>
  <c r="I185" i="7"/>
  <c r="I187" i="7"/>
  <c r="I152" i="7"/>
  <c r="I147" i="7"/>
  <c r="I153" i="7"/>
  <c r="I125" i="7"/>
  <c r="I101" i="7"/>
  <c r="I86" i="7"/>
  <c r="I96" i="7"/>
  <c r="I75" i="7"/>
  <c r="I82" i="7"/>
  <c r="I39" i="7"/>
  <c r="I72" i="7"/>
  <c r="I110" i="7"/>
  <c r="I45" i="7"/>
  <c r="I172" i="7"/>
  <c r="I37" i="7"/>
  <c r="I166" i="7"/>
  <c r="I33" i="7"/>
  <c r="I97" i="7"/>
  <c r="I180" i="7"/>
  <c r="I59" i="7"/>
  <c r="I181" i="7"/>
  <c r="I183" i="7"/>
  <c r="I148" i="7"/>
  <c r="I140" i="7"/>
  <c r="I149" i="7"/>
  <c r="I121" i="7"/>
  <c r="I92" i="7"/>
  <c r="I98" i="7"/>
  <c r="I142" i="7"/>
  <c r="I83" i="7"/>
  <c r="I182" i="7"/>
  <c r="I54" i="7"/>
  <c r="I177" i="7"/>
  <c r="I179" i="7"/>
  <c r="I168" i="7"/>
  <c r="I136" i="7"/>
  <c r="I143" i="7"/>
  <c r="I117" i="7"/>
  <c r="I102" i="7"/>
  <c r="I130" i="7"/>
  <c r="I95" i="7"/>
  <c r="I65" i="7"/>
  <c r="I71" i="7"/>
  <c r="I186" i="7"/>
  <c r="I122" i="7"/>
  <c r="I32" i="7"/>
  <c r="I120" i="7"/>
  <c r="I174" i="7"/>
  <c r="I144" i="7"/>
  <c r="I170" i="7"/>
  <c r="I175" i="7"/>
  <c r="I137" i="7"/>
  <c r="I162" i="7"/>
  <c r="I134" i="7"/>
  <c r="I114" i="7"/>
  <c r="I62" i="7"/>
  <c r="I184" i="7"/>
  <c r="I53" i="7"/>
  <c r="I93" i="7"/>
  <c r="I189" i="7"/>
  <c r="I190" i="7"/>
  <c r="I191" i="7"/>
  <c r="I192"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63" i="7"/>
  <c r="I264" i="7"/>
  <c r="I266" i="7"/>
  <c r="I267" i="7"/>
  <c r="I268" i="7"/>
  <c r="I265" i="7"/>
  <c r="I259" i="7"/>
  <c r="I247" i="7"/>
  <c r="I91" i="7"/>
  <c r="J9" i="12"/>
  <c r="K9" i="12"/>
  <c r="I258" i="7"/>
  <c r="I246" i="7"/>
  <c r="AD126" i="1"/>
  <c r="AB116" i="1"/>
  <c r="AD141" i="1"/>
  <c r="J63" i="10"/>
  <c r="K63" i="10"/>
  <c r="AA97" i="1"/>
  <c r="AG126" i="1"/>
  <c r="X148" i="1"/>
  <c r="AE116" i="1"/>
  <c r="J33" i="10"/>
  <c r="B131" i="17" s="1"/>
  <c r="K33" i="10"/>
  <c r="J32" i="10"/>
  <c r="B110" i="17" s="1"/>
  <c r="K32" i="10"/>
  <c r="Z97" i="1"/>
  <c r="AG148" i="1"/>
  <c r="AC116" i="1"/>
  <c r="J40" i="10"/>
  <c r="K40" i="10"/>
  <c r="J42" i="10"/>
  <c r="B121" i="17" s="1"/>
  <c r="D121" i="17" s="1"/>
  <c r="K42" i="10"/>
  <c r="J44" i="10"/>
  <c r="K44" i="10"/>
  <c r="AA148" i="1"/>
  <c r="AD116" i="1"/>
  <c r="X97" i="1"/>
  <c r="J61" i="10"/>
  <c r="B216" i="17" s="1"/>
  <c r="K61" i="10"/>
  <c r="AC141" i="1"/>
  <c r="AB148" i="1"/>
  <c r="AF116" i="1"/>
  <c r="J37" i="10"/>
  <c r="K37" i="10"/>
  <c r="AC148" i="1"/>
  <c r="J58" i="12"/>
  <c r="K41" i="10"/>
  <c r="J41" i="10"/>
  <c r="AE141" i="1"/>
  <c r="AA116" i="1"/>
  <c r="AD148" i="1"/>
  <c r="I139" i="18"/>
  <c r="AF126" i="1"/>
  <c r="AB126" i="1"/>
  <c r="AC97" i="1"/>
  <c r="K64" i="10"/>
  <c r="J64" i="10"/>
  <c r="J52" i="10"/>
  <c r="K52" i="10"/>
  <c r="K34" i="10"/>
  <c r="J34" i="10"/>
  <c r="K62" i="10"/>
  <c r="J62" i="10"/>
  <c r="K57" i="10"/>
  <c r="J57" i="10"/>
  <c r="B182" i="17" s="1"/>
  <c r="J60" i="10"/>
  <c r="K60" i="10"/>
  <c r="K58" i="12"/>
  <c r="J58" i="19"/>
  <c r="AG131" i="1"/>
  <c r="X141" i="1"/>
  <c r="Z131" i="1"/>
  <c r="Y141" i="1"/>
  <c r="X95" i="1"/>
  <c r="Z141" i="1"/>
  <c r="AE95" i="1"/>
  <c r="X131" i="1"/>
  <c r="AA141" i="1"/>
  <c r="AF95" i="1"/>
  <c r="AE131" i="1"/>
  <c r="AB141" i="1"/>
  <c r="Y110" i="1"/>
  <c r="Y95" i="1"/>
  <c r="AA131" i="1"/>
  <c r="AF141" i="1"/>
  <c r="AB110" i="1"/>
  <c r="Z95" i="1"/>
  <c r="AB131" i="1"/>
  <c r="AC131" i="1"/>
  <c r="AA95" i="1"/>
  <c r="K53" i="10"/>
  <c r="J53" i="10"/>
  <c r="J8" i="10"/>
  <c r="B255" i="17" s="1"/>
  <c r="D255" i="17" s="1"/>
  <c r="K8" i="10"/>
  <c r="K11" i="16"/>
  <c r="J11" i="16"/>
  <c r="K15" i="14"/>
  <c r="J15" i="14"/>
  <c r="K15" i="16"/>
  <c r="J15" i="16"/>
  <c r="J16" i="19"/>
  <c r="K16" i="19"/>
  <c r="J10" i="8"/>
  <c r="K10" i="8"/>
  <c r="J4" i="15"/>
  <c r="K4" i="15"/>
  <c r="K5" i="13"/>
  <c r="J5" i="13"/>
  <c r="K10" i="10"/>
  <c r="J10" i="10"/>
  <c r="K22" i="16"/>
  <c r="J22" i="16"/>
  <c r="K4" i="11"/>
  <c r="J4" i="11"/>
  <c r="K12" i="19"/>
  <c r="J12" i="19"/>
  <c r="J16" i="15"/>
  <c r="K16" i="15"/>
  <c r="K11" i="14"/>
  <c r="J11" i="14"/>
  <c r="K7" i="10"/>
  <c r="J7" i="10"/>
  <c r="B254" i="17" s="1"/>
  <c r="J23" i="10"/>
  <c r="K23" i="10"/>
  <c r="K8" i="16"/>
  <c r="J8" i="16"/>
  <c r="J5" i="8"/>
  <c r="K5" i="8"/>
  <c r="K15" i="15"/>
  <c r="J15" i="15"/>
  <c r="J13" i="15"/>
  <c r="K13" i="15"/>
  <c r="J25" i="10"/>
  <c r="K25" i="10"/>
  <c r="K24" i="8"/>
  <c r="J24" i="8"/>
  <c r="J18" i="15"/>
  <c r="K18" i="15"/>
  <c r="K17" i="19"/>
  <c r="J17" i="19"/>
  <c r="J7" i="12"/>
  <c r="K7" i="12"/>
  <c r="J15" i="10"/>
  <c r="K15" i="10"/>
  <c r="K9" i="8"/>
  <c r="J9" i="8"/>
  <c r="K6" i="13"/>
  <c r="J6" i="13"/>
  <c r="K23" i="13"/>
  <c r="J23" i="13"/>
  <c r="K7" i="13"/>
  <c r="J7" i="13"/>
  <c r="J8" i="19"/>
  <c r="K8" i="19"/>
  <c r="J13" i="10"/>
  <c r="K13" i="10"/>
  <c r="K10" i="11"/>
  <c r="J10" i="11"/>
  <c r="J18" i="11"/>
  <c r="K18" i="11"/>
  <c r="K11" i="13"/>
  <c r="J11" i="13"/>
  <c r="K12" i="10"/>
  <c r="J12" i="10"/>
  <c r="J23" i="11"/>
  <c r="K23" i="11"/>
  <c r="K14" i="16"/>
  <c r="J14" i="16"/>
  <c r="J17" i="12"/>
  <c r="K17" i="12"/>
  <c r="K14" i="12"/>
  <c r="J14" i="12"/>
  <c r="J35" i="10"/>
  <c r="K35" i="10"/>
  <c r="J15" i="12"/>
  <c r="K15" i="12"/>
  <c r="K8" i="13"/>
  <c r="J8" i="13"/>
  <c r="K14" i="15"/>
  <c r="J14" i="15"/>
  <c r="K11" i="10"/>
  <c r="J11" i="10"/>
  <c r="J22" i="11"/>
  <c r="K22" i="11"/>
  <c r="K24" i="10"/>
  <c r="J24" i="10"/>
  <c r="K58" i="19"/>
  <c r="K22" i="10"/>
  <c r="J22" i="10"/>
  <c r="K14" i="13"/>
  <c r="J14" i="13"/>
  <c r="K5" i="16"/>
  <c r="J5" i="16"/>
  <c r="J7" i="19"/>
  <c r="K7" i="19"/>
  <c r="J13" i="16"/>
  <c r="K13" i="16"/>
  <c r="J4" i="12"/>
  <c r="K4" i="12"/>
  <c r="K6" i="14"/>
  <c r="J6" i="14"/>
  <c r="J42" i="8"/>
  <c r="B129" i="9" s="1"/>
  <c r="D129" i="9" s="1"/>
  <c r="K42" i="8"/>
  <c r="J11" i="8"/>
  <c r="K11" i="8"/>
  <c r="J6" i="19"/>
  <c r="K6" i="19"/>
  <c r="J18" i="13"/>
  <c r="K18" i="13"/>
  <c r="K5" i="15"/>
  <c r="J5" i="15"/>
  <c r="K5" i="14"/>
  <c r="J5" i="14"/>
  <c r="K24" i="19"/>
  <c r="J24" i="19"/>
  <c r="K5" i="10"/>
  <c r="J5" i="10"/>
  <c r="K13" i="12"/>
  <c r="J13" i="12"/>
  <c r="J17" i="14"/>
  <c r="K17" i="14"/>
  <c r="K9" i="14"/>
  <c r="J9" i="14"/>
  <c r="J18" i="8"/>
  <c r="K18" i="8"/>
  <c r="K22" i="13"/>
  <c r="J22" i="13"/>
  <c r="K9" i="16"/>
  <c r="J9" i="16"/>
  <c r="K6" i="10"/>
  <c r="J6" i="10"/>
  <c r="K5" i="12"/>
  <c r="J5" i="12"/>
  <c r="K7" i="14"/>
  <c r="J7" i="14"/>
  <c r="K16" i="10"/>
  <c r="J16" i="10"/>
  <c r="J4" i="10"/>
  <c r="K4" i="10"/>
  <c r="K6" i="8"/>
  <c r="J6" i="8"/>
  <c r="K55" i="10"/>
  <c r="J55" i="10"/>
  <c r="J18" i="10"/>
  <c r="K18" i="10"/>
  <c r="K8" i="15"/>
  <c r="J8" i="15"/>
  <c r="K16" i="11"/>
  <c r="J16" i="11"/>
  <c r="K7" i="8"/>
  <c r="J7" i="8"/>
  <c r="B269" i="9" s="1"/>
  <c r="K24" i="12"/>
  <c r="J24" i="12"/>
  <c r="K11" i="15"/>
  <c r="J11" i="15"/>
  <c r="J24" i="13"/>
  <c r="K24" i="13"/>
  <c r="J23" i="16"/>
  <c r="K23" i="16"/>
  <c r="J17" i="16"/>
  <c r="K17" i="16"/>
  <c r="K5" i="19"/>
  <c r="J5" i="19"/>
  <c r="J14" i="10"/>
  <c r="K14" i="10"/>
  <c r="K15" i="13"/>
  <c r="J15" i="13"/>
  <c r="K23" i="12"/>
  <c r="J23" i="12"/>
  <c r="K13" i="11"/>
  <c r="J13" i="11"/>
  <c r="J12" i="11"/>
  <c r="K12" i="11"/>
  <c r="J9" i="15"/>
  <c r="K9" i="15"/>
  <c r="K10" i="19"/>
  <c r="J10" i="19"/>
  <c r="K18" i="16"/>
  <c r="J18" i="16"/>
  <c r="J12" i="16"/>
  <c r="K12" i="16"/>
  <c r="J16" i="16"/>
  <c r="K16" i="16"/>
  <c r="K13" i="14"/>
  <c r="J13" i="14"/>
  <c r="J12" i="14"/>
  <c r="K12" i="14"/>
  <c r="K12" i="15"/>
  <c r="J12" i="15"/>
  <c r="K23" i="19"/>
  <c r="J23" i="19"/>
  <c r="K8" i="14"/>
  <c r="J8" i="14"/>
  <c r="J23" i="8"/>
  <c r="K23" i="8"/>
  <c r="K15" i="8"/>
  <c r="J15" i="8"/>
  <c r="K5" i="11"/>
  <c r="J5" i="11"/>
  <c r="K7" i="11"/>
  <c r="J7" i="11"/>
  <c r="I135" i="18"/>
  <c r="K10" i="13"/>
  <c r="J10" i="13"/>
  <c r="J22" i="15"/>
  <c r="K22" i="15"/>
  <c r="J4" i="8"/>
  <c r="K4" i="8"/>
  <c r="K14" i="8"/>
  <c r="J14" i="8"/>
  <c r="K45" i="10"/>
  <c r="J45" i="10"/>
  <c r="K13" i="8"/>
  <c r="J13" i="8"/>
  <c r="K13" i="19"/>
  <c r="J13" i="19"/>
  <c r="K22" i="12"/>
  <c r="J22" i="12"/>
  <c r="J16" i="12"/>
  <c r="K16" i="12"/>
  <c r="AC110" i="1"/>
  <c r="I108" i="18"/>
  <c r="I126" i="18"/>
  <c r="I51" i="18"/>
  <c r="I75" i="18"/>
  <c r="AH123" i="1"/>
  <c r="Y113" i="1"/>
  <c r="AA110" i="1"/>
  <c r="AD113" i="1"/>
  <c r="AD110" i="1"/>
  <c r="AC113" i="1"/>
  <c r="AE113" i="1"/>
  <c r="AE110" i="1"/>
  <c r="AF113" i="1"/>
  <c r="AF110" i="1"/>
  <c r="E112" i="18"/>
  <c r="H112" i="18" s="1"/>
  <c r="J112" i="18" s="1"/>
  <c r="E111" i="18"/>
  <c r="H111" i="18" s="1"/>
  <c r="J111" i="18" s="1"/>
  <c r="E113" i="18"/>
  <c r="H113" i="18" s="1"/>
  <c r="J113" i="18" s="1"/>
  <c r="E114" i="18"/>
  <c r="H114" i="18" s="1"/>
  <c r="J114" i="18" s="1"/>
  <c r="E115" i="18"/>
  <c r="H115" i="18" s="1"/>
  <c r="J115" i="18" s="1"/>
  <c r="E116" i="18"/>
  <c r="H116" i="18" s="1"/>
  <c r="J116" i="18" s="1"/>
  <c r="E117" i="18"/>
  <c r="H117" i="18" s="1"/>
  <c r="J117" i="18" s="1"/>
  <c r="E118" i="18"/>
  <c r="H118" i="18" s="1"/>
  <c r="J118" i="18" s="1"/>
  <c r="E119" i="18"/>
  <c r="H119" i="18" s="1"/>
  <c r="J119" i="18" s="1"/>
  <c r="E120" i="18"/>
  <c r="H120" i="18" s="1"/>
  <c r="J120" i="18" s="1"/>
  <c r="E121" i="18"/>
  <c r="H121" i="18" s="1"/>
  <c r="J121" i="18" s="1"/>
  <c r="E122" i="18"/>
  <c r="H122" i="18" s="1"/>
  <c r="J122" i="18" s="1"/>
  <c r="E123" i="18"/>
  <c r="H123" i="18" s="1"/>
  <c r="J123" i="18" s="1"/>
  <c r="E124" i="18"/>
  <c r="H124" i="18" s="1"/>
  <c r="J124" i="18" s="1"/>
  <c r="E125" i="18"/>
  <c r="H125" i="18" s="1"/>
  <c r="J125" i="18" s="1"/>
  <c r="E126" i="18"/>
  <c r="H126" i="18" s="1"/>
  <c r="J126" i="18" s="1"/>
  <c r="E127" i="18"/>
  <c r="H127" i="18" s="1"/>
  <c r="J127" i="18" s="1"/>
  <c r="E128" i="18"/>
  <c r="H128" i="18" s="1"/>
  <c r="J128" i="18" s="1"/>
  <c r="E129" i="18"/>
  <c r="H129" i="18" s="1"/>
  <c r="J129" i="18" s="1"/>
  <c r="E130" i="18"/>
  <c r="H130" i="18" s="1"/>
  <c r="J130" i="18" s="1"/>
  <c r="E131" i="18"/>
  <c r="H131" i="18" s="1"/>
  <c r="J131" i="18" s="1"/>
  <c r="E132" i="18"/>
  <c r="H132" i="18" s="1"/>
  <c r="J132" i="18" s="1"/>
  <c r="E133" i="18"/>
  <c r="H133" i="18" s="1"/>
  <c r="J133" i="18" s="1"/>
  <c r="E134" i="18"/>
  <c r="H134" i="18" s="1"/>
  <c r="J134" i="18" s="1"/>
  <c r="E135" i="18"/>
  <c r="H135" i="18" s="1"/>
  <c r="J135" i="18" s="1"/>
  <c r="E136" i="18"/>
  <c r="H136" i="18" s="1"/>
  <c r="J136" i="18" s="1"/>
  <c r="E137" i="18"/>
  <c r="H137" i="18" s="1"/>
  <c r="J137" i="18" s="1"/>
  <c r="E138" i="18"/>
  <c r="H138" i="18" s="1"/>
  <c r="J138" i="18" s="1"/>
  <c r="E139" i="18"/>
  <c r="H139" i="18" s="1"/>
  <c r="J139" i="18" s="1"/>
  <c r="E140" i="18"/>
  <c r="H140" i="18" s="1"/>
  <c r="J140" i="18" s="1"/>
  <c r="K140" i="18" s="1"/>
  <c r="L140" i="18" s="1"/>
  <c r="M140" i="18" s="1"/>
  <c r="Z113" i="1"/>
  <c r="AG110" i="1"/>
  <c r="AE126" i="1"/>
  <c r="AC126" i="1"/>
  <c r="Y126" i="1"/>
  <c r="X126" i="1"/>
  <c r="AG113" i="1"/>
  <c r="AA113" i="1"/>
  <c r="AB113" i="1"/>
  <c r="I136" i="18"/>
  <c r="AH507" i="1"/>
  <c r="AH280" i="1"/>
  <c r="AH18" i="1"/>
  <c r="J51" i="8"/>
  <c r="K51" i="8"/>
  <c r="K51" i="19"/>
  <c r="J51" i="19"/>
  <c r="J20" i="8"/>
  <c r="K20" i="8"/>
  <c r="I40" i="18"/>
  <c r="I21" i="7"/>
  <c r="I74" i="18"/>
  <c r="I55" i="18"/>
  <c r="I98" i="18"/>
  <c r="I39" i="18"/>
  <c r="I104" i="18"/>
  <c r="I103" i="18"/>
  <c r="I97" i="18"/>
  <c r="I96" i="18"/>
  <c r="AH642" i="1"/>
  <c r="J21" i="19"/>
  <c r="K21" i="19"/>
  <c r="I32" i="18"/>
  <c r="I34" i="18"/>
  <c r="I33" i="18"/>
  <c r="I127" i="18"/>
  <c r="I59" i="18"/>
  <c r="I58" i="18"/>
  <c r="I56" i="18"/>
  <c r="I57" i="18"/>
  <c r="I90" i="18"/>
  <c r="I89" i="18"/>
  <c r="I31" i="18"/>
  <c r="I30" i="18"/>
  <c r="I105" i="18"/>
  <c r="I35" i="18"/>
  <c r="J20" i="12"/>
  <c r="K20" i="12"/>
  <c r="J50" i="8"/>
  <c r="K50" i="8"/>
  <c r="I61" i="18"/>
  <c r="I114" i="18"/>
  <c r="I60" i="18"/>
  <c r="I50" i="18"/>
  <c r="I83" i="18"/>
  <c r="I84" i="18"/>
  <c r="I25" i="7"/>
  <c r="I88" i="18"/>
  <c r="I38" i="18"/>
  <c r="AH130" i="1"/>
  <c r="AH497" i="1"/>
  <c r="AH237" i="1"/>
  <c r="AH538" i="1"/>
  <c r="AH21" i="1"/>
  <c r="K47" i="12"/>
  <c r="J47" i="12"/>
  <c r="J47" i="8"/>
  <c r="K47" i="8"/>
  <c r="I73" i="18"/>
  <c r="I54" i="18"/>
  <c r="I36" i="18"/>
  <c r="I29" i="7"/>
  <c r="I28" i="7"/>
  <c r="I123" i="18"/>
  <c r="I91" i="18"/>
  <c r="I138" i="18"/>
  <c r="K46" i="19"/>
  <c r="J46" i="19"/>
  <c r="I101" i="18"/>
  <c r="I112" i="18"/>
  <c r="I113" i="18"/>
  <c r="I29" i="18"/>
  <c r="I92" i="18"/>
  <c r="I93" i="18"/>
  <c r="AH641" i="1"/>
  <c r="AH161" i="1"/>
  <c r="J47" i="19"/>
  <c r="K47" i="19"/>
  <c r="K48" i="19"/>
  <c r="J48" i="19"/>
  <c r="I130" i="18"/>
  <c r="I131" i="18"/>
  <c r="I132" i="18"/>
  <c r="I110" i="18"/>
  <c r="I109" i="18"/>
  <c r="I111" i="18"/>
  <c r="I76" i="18"/>
  <c r="I77" i="18"/>
  <c r="I25" i="18"/>
  <c r="I82" i="18"/>
  <c r="I22" i="18"/>
  <c r="I137" i="18"/>
  <c r="AH26" i="1"/>
  <c r="AH347" i="1"/>
  <c r="AH553" i="1"/>
  <c r="K51" i="12"/>
  <c r="J51" i="12"/>
  <c r="J19" i="8"/>
  <c r="K19" i="8"/>
  <c r="I116" i="18"/>
  <c r="I117" i="18"/>
  <c r="I52" i="18"/>
  <c r="I53" i="18"/>
  <c r="I26" i="18"/>
  <c r="I115" i="18"/>
  <c r="I24" i="18"/>
  <c r="I124" i="18"/>
  <c r="I99" i="18"/>
  <c r="AH506" i="1"/>
  <c r="AH279" i="1"/>
  <c r="K50" i="12"/>
  <c r="J50" i="12"/>
  <c r="J21" i="8"/>
  <c r="K21" i="8"/>
  <c r="I106" i="18"/>
  <c r="I47" i="18"/>
  <c r="I48" i="18"/>
  <c r="I49" i="18"/>
  <c r="I118" i="18"/>
  <c r="I78" i="18"/>
  <c r="I65" i="18"/>
  <c r="I64" i="18"/>
  <c r="I37" i="18"/>
  <c r="K50" i="19"/>
  <c r="J50" i="19"/>
  <c r="AH634" i="1"/>
  <c r="J46" i="12"/>
  <c r="K46" i="12"/>
  <c r="I85" i="18"/>
  <c r="I87" i="18"/>
  <c r="I86" i="18"/>
  <c r="I80" i="18"/>
  <c r="I81" i="18"/>
  <c r="I120" i="18"/>
  <c r="I121" i="18"/>
  <c r="I133" i="18"/>
  <c r="I134" i="18"/>
  <c r="I23" i="18"/>
  <c r="E21" i="7"/>
  <c r="E30" i="7"/>
  <c r="H30" i="7" s="1"/>
  <c r="J30" i="7" s="1"/>
  <c r="E160" i="7"/>
  <c r="H160" i="7" s="1"/>
  <c r="J160" i="7" s="1"/>
  <c r="E169" i="7"/>
  <c r="H169" i="7" s="1"/>
  <c r="J169" i="7" s="1"/>
  <c r="E174" i="7"/>
  <c r="H174" i="7" s="1"/>
  <c r="J174" i="7" s="1"/>
  <c r="E135" i="7"/>
  <c r="H135" i="7" s="1"/>
  <c r="J135" i="7" s="1"/>
  <c r="E130" i="7"/>
  <c r="H130" i="7" s="1"/>
  <c r="J130" i="7" s="1"/>
  <c r="E159" i="7"/>
  <c r="H159" i="7" s="1"/>
  <c r="J159" i="7" s="1"/>
  <c r="E119" i="7"/>
  <c r="H119" i="7" s="1"/>
  <c r="J119" i="7" s="1"/>
  <c r="E121" i="7"/>
  <c r="H121" i="7" s="1"/>
  <c r="J121" i="7" s="1"/>
  <c r="E120" i="7"/>
  <c r="H120" i="7" s="1"/>
  <c r="J120" i="7" s="1"/>
  <c r="E90" i="7"/>
  <c r="H90" i="7" s="1"/>
  <c r="J90" i="7" s="1"/>
  <c r="E49" i="7"/>
  <c r="H49" i="7" s="1"/>
  <c r="J49" i="7" s="1"/>
  <c r="E75" i="7"/>
  <c r="H75" i="7" s="1"/>
  <c r="J75" i="7" s="1"/>
  <c r="E82" i="7"/>
  <c r="H82" i="7" s="1"/>
  <c r="J82" i="7" s="1"/>
  <c r="E33" i="7"/>
  <c r="H33" i="7" s="1"/>
  <c r="J33" i="7" s="1"/>
  <c r="E26" i="7"/>
  <c r="H26" i="7" s="1"/>
  <c r="J26" i="7" s="1"/>
  <c r="E178" i="7"/>
  <c r="H178" i="7" s="1"/>
  <c r="J178" i="7" s="1"/>
  <c r="E187" i="7"/>
  <c r="H187" i="7" s="1"/>
  <c r="J187" i="7" s="1"/>
  <c r="E113" i="7"/>
  <c r="H113" i="7" s="1"/>
  <c r="J113" i="7" s="1"/>
  <c r="E40" i="7"/>
  <c r="H40" i="7" s="1"/>
  <c r="J40" i="7" s="1"/>
  <c r="E172" i="7"/>
  <c r="H172" i="7" s="1"/>
  <c r="J172" i="7" s="1"/>
  <c r="E87" i="7"/>
  <c r="H87" i="7" s="1"/>
  <c r="J87" i="7" s="1"/>
  <c r="E123" i="7"/>
  <c r="H123" i="7" s="1"/>
  <c r="J123" i="7" s="1"/>
  <c r="E96" i="7"/>
  <c r="H96" i="7" s="1"/>
  <c r="J96" i="7" s="1"/>
  <c r="E170" i="7"/>
  <c r="H170" i="7" s="1"/>
  <c r="J170" i="7" s="1"/>
  <c r="E131" i="7"/>
  <c r="H131" i="7" s="1"/>
  <c r="J131" i="7" s="1"/>
  <c r="E168" i="7"/>
  <c r="H168" i="7" s="1"/>
  <c r="J168" i="7" s="1"/>
  <c r="E155" i="7"/>
  <c r="H155" i="7" s="1"/>
  <c r="J155" i="7" s="1"/>
  <c r="E158" i="7"/>
  <c r="H158" i="7" s="1"/>
  <c r="J158" i="7" s="1"/>
  <c r="E117" i="7"/>
  <c r="H117" i="7" s="1"/>
  <c r="J117" i="7" s="1"/>
  <c r="E109" i="7"/>
  <c r="H109" i="7" s="1"/>
  <c r="J109" i="7" s="1"/>
  <c r="E86" i="7"/>
  <c r="H86" i="7" s="1"/>
  <c r="J86" i="7" s="1"/>
  <c r="E52" i="7"/>
  <c r="H52" i="7" s="1"/>
  <c r="J52" i="7" s="1"/>
  <c r="E48" i="7"/>
  <c r="H48" i="7" s="1"/>
  <c r="J48" i="7" s="1"/>
  <c r="E73" i="7"/>
  <c r="H73" i="7" s="1"/>
  <c r="J73" i="7" s="1"/>
  <c r="E50" i="7"/>
  <c r="H50" i="7" s="1"/>
  <c r="J50" i="7" s="1"/>
  <c r="E29" i="7"/>
  <c r="H29" i="7" s="1"/>
  <c r="J29" i="7" s="1"/>
  <c r="E141" i="7"/>
  <c r="H141" i="7" s="1"/>
  <c r="J141" i="7" s="1"/>
  <c r="E110" i="7"/>
  <c r="H110" i="7" s="1"/>
  <c r="J110" i="7" s="1"/>
  <c r="E68" i="7"/>
  <c r="H68" i="7" s="1"/>
  <c r="J68" i="7" s="1"/>
  <c r="E39" i="7"/>
  <c r="H39" i="7" s="1"/>
  <c r="J39" i="7" s="1"/>
  <c r="E128" i="7"/>
  <c r="H128" i="7" s="1"/>
  <c r="J128" i="7" s="1"/>
  <c r="E64" i="7"/>
  <c r="H64" i="7" s="1"/>
  <c r="J64" i="7" s="1"/>
  <c r="E181" i="7"/>
  <c r="H181" i="7" s="1"/>
  <c r="J181" i="7" s="1"/>
  <c r="E100" i="7"/>
  <c r="H100" i="7" s="1"/>
  <c r="J100" i="7" s="1"/>
  <c r="E125" i="7"/>
  <c r="H125" i="7" s="1"/>
  <c r="J125" i="7" s="1"/>
  <c r="E94" i="7"/>
  <c r="H94" i="7" s="1"/>
  <c r="J94" i="7" s="1"/>
  <c r="E24" i="7"/>
  <c r="H24" i="7" s="1"/>
  <c r="J24" i="7" s="1"/>
  <c r="E188" i="7"/>
  <c r="H188" i="7" s="1"/>
  <c r="J188" i="7" s="1"/>
  <c r="E184" i="7"/>
  <c r="H184" i="7" s="1"/>
  <c r="J184" i="7" s="1"/>
  <c r="E164" i="7"/>
  <c r="H164" i="7" s="1"/>
  <c r="J164" i="7" s="1"/>
  <c r="E151" i="7"/>
  <c r="H151" i="7" s="1"/>
  <c r="J151" i="7" s="1"/>
  <c r="E146" i="7"/>
  <c r="H146" i="7" s="1"/>
  <c r="J146" i="7" s="1"/>
  <c r="E136" i="7"/>
  <c r="H136" i="7" s="1"/>
  <c r="J136" i="7" s="1"/>
  <c r="E80" i="7"/>
  <c r="H80" i="7" s="1"/>
  <c r="J80" i="7" s="1"/>
  <c r="E112" i="7"/>
  <c r="H112" i="7" s="1"/>
  <c r="J112" i="7" s="1"/>
  <c r="E116" i="7"/>
  <c r="H116" i="7" s="1"/>
  <c r="J116" i="7" s="1"/>
  <c r="E92" i="7"/>
  <c r="H92" i="7" s="1"/>
  <c r="J92" i="7" s="1"/>
  <c r="E69" i="7"/>
  <c r="H69" i="7" s="1"/>
  <c r="J69" i="7" s="1"/>
  <c r="E78" i="7"/>
  <c r="H78" i="7" s="1"/>
  <c r="J78" i="7" s="1"/>
  <c r="E25" i="7"/>
  <c r="H25" i="7" s="1"/>
  <c r="J25" i="7" s="1"/>
  <c r="E165" i="7"/>
  <c r="H165" i="7" s="1"/>
  <c r="J165" i="7" s="1"/>
  <c r="E99" i="7"/>
  <c r="H99" i="7" s="1"/>
  <c r="J99" i="7" s="1"/>
  <c r="E67" i="7"/>
  <c r="H67" i="7" s="1"/>
  <c r="J67" i="7" s="1"/>
  <c r="E143" i="7"/>
  <c r="H143" i="7" s="1"/>
  <c r="J143" i="7" s="1"/>
  <c r="E105" i="7"/>
  <c r="H105" i="7" s="1"/>
  <c r="J105" i="7" s="1"/>
  <c r="E175" i="7"/>
  <c r="H175" i="7" s="1"/>
  <c r="J175" i="7" s="1"/>
  <c r="E180" i="7"/>
  <c r="H180" i="7" s="1"/>
  <c r="J180" i="7" s="1"/>
  <c r="E161" i="7"/>
  <c r="H161" i="7" s="1"/>
  <c r="J161" i="7" s="1"/>
  <c r="E156" i="7"/>
  <c r="H156" i="7" s="1"/>
  <c r="J156" i="7" s="1"/>
  <c r="E147" i="7"/>
  <c r="H147" i="7" s="1"/>
  <c r="J147" i="7" s="1"/>
  <c r="E126" i="7"/>
  <c r="H126" i="7" s="1"/>
  <c r="J126" i="7" s="1"/>
  <c r="E122" i="7"/>
  <c r="H122" i="7" s="1"/>
  <c r="J122" i="7" s="1"/>
  <c r="E76" i="7"/>
  <c r="H76" i="7" s="1"/>
  <c r="J76" i="7" s="1"/>
  <c r="E95" i="7"/>
  <c r="H95" i="7" s="1"/>
  <c r="J95" i="7" s="1"/>
  <c r="E97" i="7"/>
  <c r="H97" i="7" s="1"/>
  <c r="J97" i="7" s="1"/>
  <c r="E74" i="7"/>
  <c r="H74" i="7" s="1"/>
  <c r="J74" i="7" s="1"/>
  <c r="E65" i="7"/>
  <c r="H65" i="7" s="1"/>
  <c r="J65" i="7" s="1"/>
  <c r="E53" i="7"/>
  <c r="H53" i="7" s="1"/>
  <c r="J53" i="7" s="1"/>
  <c r="E51" i="7"/>
  <c r="H51" i="7" s="1"/>
  <c r="J51" i="7" s="1"/>
  <c r="E103" i="7"/>
  <c r="H103" i="7" s="1"/>
  <c r="J103" i="7" s="1"/>
  <c r="E118" i="7"/>
  <c r="H118" i="7" s="1"/>
  <c r="J118" i="7" s="1"/>
  <c r="E62" i="7"/>
  <c r="H62" i="7" s="1"/>
  <c r="J62" i="7" s="1"/>
  <c r="E137" i="7"/>
  <c r="H137" i="7" s="1"/>
  <c r="J137" i="7" s="1"/>
  <c r="E35" i="7"/>
  <c r="H35" i="7" s="1"/>
  <c r="J35" i="7" s="1"/>
  <c r="E127" i="7"/>
  <c r="H127" i="7" s="1"/>
  <c r="J127" i="7" s="1"/>
  <c r="E23" i="7"/>
  <c r="H23" i="7" s="1"/>
  <c r="J23" i="7" s="1"/>
  <c r="E134" i="7"/>
  <c r="H134" i="7" s="1"/>
  <c r="J134" i="7" s="1"/>
  <c r="E45" i="7"/>
  <c r="H45" i="7" s="1"/>
  <c r="J45" i="7" s="1"/>
  <c r="E186" i="7"/>
  <c r="H186" i="7" s="1"/>
  <c r="J186" i="7" s="1"/>
  <c r="E176" i="7"/>
  <c r="H176" i="7" s="1"/>
  <c r="J176" i="7" s="1"/>
  <c r="E157" i="7"/>
  <c r="H157" i="7" s="1"/>
  <c r="J157" i="7" s="1"/>
  <c r="E152" i="7"/>
  <c r="H152" i="7" s="1"/>
  <c r="J152" i="7" s="1"/>
  <c r="E140" i="7"/>
  <c r="H140" i="7" s="1"/>
  <c r="J140" i="7" s="1"/>
  <c r="E111" i="7"/>
  <c r="H111" i="7" s="1"/>
  <c r="J111" i="7" s="1"/>
  <c r="E106" i="7"/>
  <c r="H106" i="7" s="1"/>
  <c r="J106" i="7" s="1"/>
  <c r="E104" i="7"/>
  <c r="H104" i="7" s="1"/>
  <c r="J104" i="7" s="1"/>
  <c r="E89" i="7"/>
  <c r="H89" i="7" s="1"/>
  <c r="J89" i="7" s="1"/>
  <c r="E91" i="7"/>
  <c r="H91" i="7" s="1"/>
  <c r="J91" i="7" s="1"/>
  <c r="E70" i="7"/>
  <c r="H70" i="7" s="1"/>
  <c r="J70" i="7" s="1"/>
  <c r="E61" i="7"/>
  <c r="H61" i="7" s="1"/>
  <c r="J61" i="7" s="1"/>
  <c r="E47" i="7"/>
  <c r="H47" i="7" s="1"/>
  <c r="J47" i="7" s="1"/>
  <c r="E22" i="7"/>
  <c r="H22" i="7" s="1"/>
  <c r="J22" i="7" s="1"/>
  <c r="E149" i="7"/>
  <c r="H149" i="7" s="1"/>
  <c r="J149" i="7" s="1"/>
  <c r="E44" i="7"/>
  <c r="H44" i="7" s="1"/>
  <c r="J44" i="7" s="1"/>
  <c r="E163" i="7"/>
  <c r="H163" i="7" s="1"/>
  <c r="J163" i="7" s="1"/>
  <c r="E102" i="7"/>
  <c r="H102" i="7" s="1"/>
  <c r="J102" i="7" s="1"/>
  <c r="E58" i="7"/>
  <c r="H58" i="7" s="1"/>
  <c r="J58" i="7" s="1"/>
  <c r="E138" i="7"/>
  <c r="H138" i="7" s="1"/>
  <c r="J138" i="7" s="1"/>
  <c r="E28" i="7"/>
  <c r="H28" i="7" s="1"/>
  <c r="J28" i="7" s="1"/>
  <c r="E166" i="7"/>
  <c r="H166" i="7" s="1"/>
  <c r="J166" i="7" s="1"/>
  <c r="E79" i="7"/>
  <c r="H79" i="7" s="1"/>
  <c r="J79" i="7" s="1"/>
  <c r="E182" i="7"/>
  <c r="H182" i="7" s="1"/>
  <c r="J182" i="7" s="1"/>
  <c r="E173" i="7"/>
  <c r="H173" i="7" s="1"/>
  <c r="J173" i="7" s="1"/>
  <c r="E153" i="7"/>
  <c r="H153" i="7" s="1"/>
  <c r="J153" i="7" s="1"/>
  <c r="E148" i="7"/>
  <c r="H148" i="7" s="1"/>
  <c r="J148" i="7" s="1"/>
  <c r="E162" i="7"/>
  <c r="H162" i="7" s="1"/>
  <c r="J162" i="7" s="1"/>
  <c r="E107" i="7"/>
  <c r="H107" i="7" s="1"/>
  <c r="J107" i="7" s="1"/>
  <c r="E115" i="7"/>
  <c r="H115" i="7" s="1"/>
  <c r="J115" i="7" s="1"/>
  <c r="E83" i="7"/>
  <c r="H83" i="7" s="1"/>
  <c r="J83" i="7" s="1"/>
  <c r="E72" i="7"/>
  <c r="H72" i="7" s="1"/>
  <c r="J72" i="7" s="1"/>
  <c r="E85" i="7"/>
  <c r="H85" i="7" s="1"/>
  <c r="J85" i="7" s="1"/>
  <c r="E66" i="7"/>
  <c r="H66" i="7" s="1"/>
  <c r="J66" i="7" s="1"/>
  <c r="E57" i="7"/>
  <c r="H57" i="7" s="1"/>
  <c r="J57" i="7" s="1"/>
  <c r="E43" i="7"/>
  <c r="H43" i="7" s="1"/>
  <c r="J43" i="7" s="1"/>
  <c r="E41" i="7"/>
  <c r="H41" i="7" s="1"/>
  <c r="J41" i="7" s="1"/>
  <c r="E150" i="7"/>
  <c r="H150" i="7" s="1"/>
  <c r="J150" i="7" s="1"/>
  <c r="E71" i="7"/>
  <c r="H71" i="7" s="1"/>
  <c r="J71" i="7" s="1"/>
  <c r="E37" i="7"/>
  <c r="H37" i="7" s="1"/>
  <c r="J37" i="7" s="1"/>
  <c r="E171" i="7"/>
  <c r="H171" i="7" s="1"/>
  <c r="J171" i="7" s="1"/>
  <c r="E46" i="7"/>
  <c r="H46" i="7" s="1"/>
  <c r="J46" i="7" s="1"/>
  <c r="E129" i="7"/>
  <c r="H129" i="7" s="1"/>
  <c r="J129" i="7" s="1"/>
  <c r="E98" i="7"/>
  <c r="H98" i="7" s="1"/>
  <c r="J98" i="7" s="1"/>
  <c r="E34" i="7"/>
  <c r="H34" i="7" s="1"/>
  <c r="J34" i="7" s="1"/>
  <c r="E177" i="7"/>
  <c r="H177" i="7" s="1"/>
  <c r="J177" i="7" s="1"/>
  <c r="E167" i="7"/>
  <c r="H167" i="7" s="1"/>
  <c r="J167" i="7" s="1"/>
  <c r="E183" i="7"/>
  <c r="H183" i="7" s="1"/>
  <c r="J183" i="7" s="1"/>
  <c r="E145" i="7"/>
  <c r="H145" i="7" s="1"/>
  <c r="J145" i="7" s="1"/>
  <c r="E133" i="7"/>
  <c r="H133" i="7" s="1"/>
  <c r="J133" i="7" s="1"/>
  <c r="E124" i="7"/>
  <c r="H124" i="7" s="1"/>
  <c r="J124" i="7" s="1"/>
  <c r="E154" i="7"/>
  <c r="H154" i="7" s="1"/>
  <c r="J154" i="7" s="1"/>
  <c r="E84" i="7"/>
  <c r="H84" i="7" s="1"/>
  <c r="J84" i="7" s="1"/>
  <c r="E108" i="7"/>
  <c r="H108" i="7" s="1"/>
  <c r="J108" i="7" s="1"/>
  <c r="E60" i="7"/>
  <c r="H60" i="7" s="1"/>
  <c r="J60" i="7" s="1"/>
  <c r="E63" i="7"/>
  <c r="H63" i="7" s="1"/>
  <c r="J63" i="7" s="1"/>
  <c r="E54" i="7"/>
  <c r="H54" i="7" s="1"/>
  <c r="J54" i="7" s="1"/>
  <c r="E36" i="7"/>
  <c r="H36" i="7" s="1"/>
  <c r="J36" i="7" s="1"/>
  <c r="E31" i="7"/>
  <c r="H31" i="7" s="1"/>
  <c r="J31" i="7" s="1"/>
  <c r="E42" i="7"/>
  <c r="H42" i="7" s="1"/>
  <c r="J42" i="7" s="1"/>
  <c r="E185" i="7"/>
  <c r="H185" i="7" s="1"/>
  <c r="J185" i="7" s="1"/>
  <c r="E179" i="7"/>
  <c r="H179" i="7" s="1"/>
  <c r="J179" i="7" s="1"/>
  <c r="E142" i="7"/>
  <c r="H142" i="7" s="1"/>
  <c r="J142" i="7" s="1"/>
  <c r="E144" i="7"/>
  <c r="H144" i="7" s="1"/>
  <c r="J144" i="7" s="1"/>
  <c r="E132" i="7"/>
  <c r="H132" i="7" s="1"/>
  <c r="J132" i="7" s="1"/>
  <c r="E114" i="7"/>
  <c r="H114" i="7" s="1"/>
  <c r="J114" i="7" s="1"/>
  <c r="E81" i="7"/>
  <c r="H81" i="7" s="1"/>
  <c r="J81" i="7" s="1"/>
  <c r="E101" i="7"/>
  <c r="H101" i="7" s="1"/>
  <c r="J101" i="7" s="1"/>
  <c r="E56" i="7"/>
  <c r="H56" i="7" s="1"/>
  <c r="J56" i="7" s="1"/>
  <c r="E59" i="7"/>
  <c r="H59" i="7" s="1"/>
  <c r="J59" i="7" s="1"/>
  <c r="E93" i="7"/>
  <c r="H93" i="7" s="1"/>
  <c r="J93" i="7" s="1"/>
  <c r="E32" i="7"/>
  <c r="H32" i="7" s="1"/>
  <c r="J32" i="7" s="1"/>
  <c r="E27" i="7"/>
  <c r="H27" i="7" s="1"/>
  <c r="J27" i="7" s="1"/>
  <c r="E38" i="7"/>
  <c r="H38" i="7" s="1"/>
  <c r="J38" i="7" s="1"/>
  <c r="E77" i="7"/>
  <c r="H77" i="7" s="1"/>
  <c r="J77" i="7" s="1"/>
  <c r="E55" i="7"/>
  <c r="H55" i="7" s="1"/>
  <c r="J55" i="7" s="1"/>
  <c r="E139" i="7"/>
  <c r="H139" i="7" s="1"/>
  <c r="J139" i="7" s="1"/>
  <c r="E88" i="7"/>
  <c r="H88" i="7" s="1"/>
  <c r="J88" i="7" s="1"/>
  <c r="E189" i="7"/>
  <c r="H189" i="7" s="1"/>
  <c r="J189" i="7" s="1"/>
  <c r="E190" i="7"/>
  <c r="H190" i="7" s="1"/>
  <c r="J190" i="7" s="1"/>
  <c r="E191" i="7"/>
  <c r="H191" i="7" s="1"/>
  <c r="J191" i="7" s="1"/>
  <c r="E192" i="7"/>
  <c r="H192" i="7" s="1"/>
  <c r="J192" i="7" s="1"/>
  <c r="E193" i="7"/>
  <c r="H193" i="7" s="1"/>
  <c r="J193" i="7" s="1"/>
  <c r="E194" i="7"/>
  <c r="H194" i="7" s="1"/>
  <c r="J194" i="7" s="1"/>
  <c r="E195" i="7"/>
  <c r="H195" i="7" s="1"/>
  <c r="J195" i="7" s="1"/>
  <c r="E196" i="7"/>
  <c r="H196" i="7" s="1"/>
  <c r="J196" i="7" s="1"/>
  <c r="E197" i="7"/>
  <c r="H197" i="7" s="1"/>
  <c r="J197" i="7" s="1"/>
  <c r="E198" i="7"/>
  <c r="H198" i="7" s="1"/>
  <c r="J198" i="7" s="1"/>
  <c r="E199" i="7"/>
  <c r="H199" i="7" s="1"/>
  <c r="J199" i="7" s="1"/>
  <c r="E200" i="7"/>
  <c r="H200" i="7" s="1"/>
  <c r="J200" i="7" s="1"/>
  <c r="E201" i="7"/>
  <c r="H201" i="7" s="1"/>
  <c r="J201" i="7" s="1"/>
  <c r="E202" i="7"/>
  <c r="H202" i="7" s="1"/>
  <c r="J202" i="7" s="1"/>
  <c r="E203" i="7"/>
  <c r="H203" i="7" s="1"/>
  <c r="J203" i="7" s="1"/>
  <c r="E204" i="7"/>
  <c r="H204" i="7" s="1"/>
  <c r="J204" i="7" s="1"/>
  <c r="E205" i="7"/>
  <c r="H205" i="7" s="1"/>
  <c r="J205" i="7" s="1"/>
  <c r="E206" i="7"/>
  <c r="H206" i="7" s="1"/>
  <c r="J206" i="7" s="1"/>
  <c r="E207" i="7"/>
  <c r="H207" i="7" s="1"/>
  <c r="J207" i="7" s="1"/>
  <c r="E208" i="7"/>
  <c r="H208" i="7" s="1"/>
  <c r="J208" i="7" s="1"/>
  <c r="E209" i="7"/>
  <c r="H209" i="7" s="1"/>
  <c r="J209" i="7" s="1"/>
  <c r="E210" i="7"/>
  <c r="H210" i="7" s="1"/>
  <c r="J210" i="7" s="1"/>
  <c r="E211" i="7"/>
  <c r="H211" i="7" s="1"/>
  <c r="J211" i="7" s="1"/>
  <c r="E212" i="7"/>
  <c r="H212" i="7" s="1"/>
  <c r="J212" i="7" s="1"/>
  <c r="E213" i="7"/>
  <c r="H213" i="7" s="1"/>
  <c r="J213" i="7" s="1"/>
  <c r="E214" i="7"/>
  <c r="H214" i="7" s="1"/>
  <c r="J214" i="7" s="1"/>
  <c r="E215" i="7"/>
  <c r="H215" i="7" s="1"/>
  <c r="J215" i="7" s="1"/>
  <c r="E216" i="7"/>
  <c r="H216" i="7" s="1"/>
  <c r="J216" i="7" s="1"/>
  <c r="E217" i="7"/>
  <c r="H217" i="7" s="1"/>
  <c r="J217" i="7" s="1"/>
  <c r="E218" i="7"/>
  <c r="H218" i="7" s="1"/>
  <c r="J218" i="7" s="1"/>
  <c r="E219" i="7"/>
  <c r="H219" i="7" s="1"/>
  <c r="J219" i="7" s="1"/>
  <c r="E220" i="7"/>
  <c r="H220" i="7" s="1"/>
  <c r="J220" i="7" s="1"/>
  <c r="E221" i="7"/>
  <c r="H221" i="7" s="1"/>
  <c r="J221" i="7" s="1"/>
  <c r="E222" i="7"/>
  <c r="H222" i="7" s="1"/>
  <c r="J222" i="7" s="1"/>
  <c r="E223" i="7"/>
  <c r="H223" i="7" s="1"/>
  <c r="J223" i="7" s="1"/>
  <c r="E224" i="7"/>
  <c r="H224" i="7" s="1"/>
  <c r="J224" i="7" s="1"/>
  <c r="E225" i="7"/>
  <c r="H225" i="7" s="1"/>
  <c r="J225" i="7" s="1"/>
  <c r="E226" i="7"/>
  <c r="H226" i="7" s="1"/>
  <c r="J226" i="7" s="1"/>
  <c r="E227" i="7"/>
  <c r="H227" i="7" s="1"/>
  <c r="J227" i="7" s="1"/>
  <c r="E228" i="7"/>
  <c r="H228" i="7" s="1"/>
  <c r="J228" i="7" s="1"/>
  <c r="E229" i="7"/>
  <c r="H229" i="7" s="1"/>
  <c r="J229" i="7" s="1"/>
  <c r="E230" i="7"/>
  <c r="H230" i="7" s="1"/>
  <c r="J230" i="7" s="1"/>
  <c r="E231" i="7"/>
  <c r="H231" i="7" s="1"/>
  <c r="J231" i="7" s="1"/>
  <c r="E232" i="7"/>
  <c r="H232" i="7" s="1"/>
  <c r="J232" i="7" s="1"/>
  <c r="E233" i="7"/>
  <c r="H233" i="7" s="1"/>
  <c r="J233" i="7" s="1"/>
  <c r="E234" i="7"/>
  <c r="H234" i="7" s="1"/>
  <c r="J234" i="7" s="1"/>
  <c r="E235" i="7"/>
  <c r="H235" i="7" s="1"/>
  <c r="J235" i="7" s="1"/>
  <c r="E236" i="7"/>
  <c r="H236" i="7" s="1"/>
  <c r="J236" i="7" s="1"/>
  <c r="E237" i="7"/>
  <c r="H237" i="7" s="1"/>
  <c r="J237" i="7" s="1"/>
  <c r="E238" i="7"/>
  <c r="H238" i="7" s="1"/>
  <c r="J238" i="7" s="1"/>
  <c r="E239" i="7"/>
  <c r="H239" i="7" s="1"/>
  <c r="J239" i="7" s="1"/>
  <c r="E240" i="7"/>
  <c r="H240" i="7" s="1"/>
  <c r="J240" i="7" s="1"/>
  <c r="E241" i="7"/>
  <c r="H241" i="7" s="1"/>
  <c r="J241" i="7" s="1"/>
  <c r="E242" i="7"/>
  <c r="H242" i="7" s="1"/>
  <c r="J242" i="7" s="1"/>
  <c r="E243" i="7"/>
  <c r="H243" i="7" s="1"/>
  <c r="J243" i="7" s="1"/>
  <c r="E244" i="7"/>
  <c r="H244" i="7" s="1"/>
  <c r="J244" i="7" s="1"/>
  <c r="E245" i="7"/>
  <c r="H245" i="7" s="1"/>
  <c r="J245" i="7" s="1"/>
  <c r="E246" i="7"/>
  <c r="H246" i="7" s="1"/>
  <c r="J246" i="7" s="1"/>
  <c r="E247" i="7"/>
  <c r="H247" i="7" s="1"/>
  <c r="J247" i="7" s="1"/>
  <c r="E248" i="7"/>
  <c r="H248" i="7" s="1"/>
  <c r="J248" i="7" s="1"/>
  <c r="E249" i="7"/>
  <c r="H249" i="7" s="1"/>
  <c r="J249" i="7" s="1"/>
  <c r="E250" i="7"/>
  <c r="H250" i="7" s="1"/>
  <c r="J250" i="7" s="1"/>
  <c r="E251" i="7"/>
  <c r="H251" i="7" s="1"/>
  <c r="J251" i="7" s="1"/>
  <c r="E252" i="7"/>
  <c r="H252" i="7" s="1"/>
  <c r="J252" i="7" s="1"/>
  <c r="E253" i="7"/>
  <c r="H253" i="7" s="1"/>
  <c r="J253" i="7" s="1"/>
  <c r="E254" i="7"/>
  <c r="H254" i="7" s="1"/>
  <c r="J254" i="7" s="1"/>
  <c r="E255" i="7"/>
  <c r="H255" i="7" s="1"/>
  <c r="J255" i="7" s="1"/>
  <c r="E256" i="7"/>
  <c r="H256" i="7" s="1"/>
  <c r="J256" i="7" s="1"/>
  <c r="E257" i="7"/>
  <c r="H257" i="7" s="1"/>
  <c r="J257" i="7" s="1"/>
  <c r="E258" i="7"/>
  <c r="H258" i="7" s="1"/>
  <c r="J258" i="7" s="1"/>
  <c r="E259" i="7"/>
  <c r="H259" i="7" s="1"/>
  <c r="J259" i="7" s="1"/>
  <c r="E260" i="7"/>
  <c r="H260" i="7" s="1"/>
  <c r="J260" i="7" s="1"/>
  <c r="E261" i="7"/>
  <c r="H261" i="7" s="1"/>
  <c r="J261" i="7" s="1"/>
  <c r="E262" i="7"/>
  <c r="H262" i="7" s="1"/>
  <c r="J262" i="7" s="1"/>
  <c r="E263" i="7"/>
  <c r="H263" i="7" s="1"/>
  <c r="J263" i="7" s="1"/>
  <c r="E264" i="7"/>
  <c r="H264" i="7" s="1"/>
  <c r="J264" i="7" s="1"/>
  <c r="E266" i="7"/>
  <c r="H266" i="7" s="1"/>
  <c r="J266" i="7" s="1"/>
  <c r="E267" i="7"/>
  <c r="H267" i="7" s="1"/>
  <c r="J267" i="7" s="1"/>
  <c r="E268" i="7"/>
  <c r="H268" i="7" s="1"/>
  <c r="J268" i="7" s="1"/>
  <c r="E265" i="7"/>
  <c r="H265" i="7" s="1"/>
  <c r="J265" i="7" s="1"/>
  <c r="I70" i="18"/>
  <c r="I69" i="18"/>
  <c r="I72" i="18"/>
  <c r="I71" i="18"/>
  <c r="K58" i="16"/>
  <c r="K19" i="12"/>
  <c r="J19" i="12"/>
  <c r="K19" i="19"/>
  <c r="J19" i="19"/>
  <c r="I46" i="18"/>
  <c r="I24" i="7"/>
  <c r="I23" i="7"/>
  <c r="I22" i="7"/>
  <c r="I100" i="18"/>
  <c r="I63" i="18"/>
  <c r="I28" i="18"/>
  <c r="I125" i="18"/>
  <c r="AH498" i="1"/>
  <c r="K21" i="12"/>
  <c r="J21" i="12"/>
  <c r="J46" i="8"/>
  <c r="K46" i="8"/>
  <c r="K20" i="10"/>
  <c r="J20" i="10"/>
  <c r="J20" i="19"/>
  <c r="K20" i="19"/>
  <c r="I44" i="18"/>
  <c r="I41" i="18"/>
  <c r="I43" i="18"/>
  <c r="I42" i="18"/>
  <c r="I21" i="18"/>
  <c r="I68" i="18"/>
  <c r="I66" i="18"/>
  <c r="I67" i="18"/>
  <c r="I62" i="18"/>
  <c r="I122" i="18"/>
  <c r="I27" i="18"/>
  <c r="I27" i="7"/>
  <c r="I26" i="7"/>
  <c r="AH16" i="1"/>
  <c r="AH503" i="1"/>
  <c r="K48" i="12"/>
  <c r="J48" i="12"/>
  <c r="J48" i="8"/>
  <c r="K48" i="8"/>
  <c r="I45" i="18"/>
  <c r="I107" i="18"/>
  <c r="I128" i="18"/>
  <c r="I129" i="18"/>
  <c r="I119" i="18"/>
  <c r="I102" i="18"/>
  <c r="I95" i="18"/>
  <c r="I94" i="18"/>
  <c r="I79" i="18"/>
  <c r="J58" i="8"/>
  <c r="B192" i="9" s="1"/>
  <c r="B270" i="9"/>
  <c r="J58" i="10"/>
  <c r="K58" i="10"/>
  <c r="AC118" i="1"/>
  <c r="AB118" i="1"/>
  <c r="AA118" i="1"/>
  <c r="Z118" i="1"/>
  <c r="Y118" i="1"/>
  <c r="AF118" i="1"/>
  <c r="AG118" i="1"/>
  <c r="AE118" i="1"/>
  <c r="AD118" i="1"/>
  <c r="X118" i="1"/>
  <c r="AG124" i="1"/>
  <c r="Y124" i="1"/>
  <c r="AF124" i="1"/>
  <c r="AE124" i="1"/>
  <c r="AD124" i="1"/>
  <c r="AC124" i="1"/>
  <c r="AB124" i="1"/>
  <c r="AA124" i="1"/>
  <c r="Z124" i="1"/>
  <c r="X124" i="1"/>
  <c r="AB119" i="1"/>
  <c r="AA119" i="1"/>
  <c r="Z119" i="1"/>
  <c r="AG119" i="1"/>
  <c r="AF119" i="1"/>
  <c r="AE119" i="1"/>
  <c r="AD119" i="1"/>
  <c r="AC119" i="1"/>
  <c r="X119" i="1"/>
  <c r="Y119" i="1"/>
  <c r="AD143" i="1"/>
  <c r="AC143" i="1"/>
  <c r="AB143" i="1"/>
  <c r="AA143" i="1"/>
  <c r="AG143" i="1"/>
  <c r="Z143" i="1"/>
  <c r="Y143" i="1"/>
  <c r="X143" i="1"/>
  <c r="AF143" i="1"/>
  <c r="AE143" i="1"/>
  <c r="AG108" i="1"/>
  <c r="AF108" i="1"/>
  <c r="AE108" i="1"/>
  <c r="X108" i="1"/>
  <c r="AC108" i="1"/>
  <c r="AB108" i="1"/>
  <c r="AA108" i="1"/>
  <c r="Y108" i="1"/>
  <c r="AD108" i="1"/>
  <c r="Z108" i="1"/>
  <c r="AE103" i="1"/>
  <c r="Z103" i="1"/>
  <c r="Y103" i="1"/>
  <c r="X103" i="1"/>
  <c r="AF103" i="1"/>
  <c r="AD103" i="1"/>
  <c r="AC103" i="1"/>
  <c r="AB103" i="1"/>
  <c r="AA103" i="1"/>
  <c r="AG103" i="1"/>
  <c r="AG134" i="1"/>
  <c r="AE134" i="1"/>
  <c r="AD134" i="1"/>
  <c r="AC134" i="1"/>
  <c r="AA134" i="1"/>
  <c r="AB134" i="1"/>
  <c r="Z134" i="1"/>
  <c r="X134" i="1"/>
  <c r="Y134" i="1"/>
  <c r="AF134" i="1"/>
  <c r="K58" i="8"/>
  <c r="AF92" i="1"/>
  <c r="AE92" i="1"/>
  <c r="AD92" i="1"/>
  <c r="AB92" i="1"/>
  <c r="AA92" i="1"/>
  <c r="Z92" i="1"/>
  <c r="Y92" i="1"/>
  <c r="AG92" i="1"/>
  <c r="AC92" i="1"/>
  <c r="X92" i="1"/>
  <c r="K49" i="12"/>
  <c r="J49" i="12"/>
  <c r="AE147" i="1"/>
  <c r="AD147" i="1"/>
  <c r="AB147" i="1"/>
  <c r="AA147" i="1"/>
  <c r="AC147" i="1"/>
  <c r="Z147" i="1"/>
  <c r="AF147" i="1"/>
  <c r="Y147" i="1"/>
  <c r="AG147" i="1"/>
  <c r="X147" i="1"/>
  <c r="AH154" i="1"/>
  <c r="Y117" i="1"/>
  <c r="AA117" i="1"/>
  <c r="Z117" i="1"/>
  <c r="AG117" i="1"/>
  <c r="AF117" i="1"/>
  <c r="AE117" i="1"/>
  <c r="AD117" i="1"/>
  <c r="AC117" i="1"/>
  <c r="AB117" i="1"/>
  <c r="X117" i="1"/>
  <c r="AH140" i="1"/>
  <c r="AH150" i="1"/>
  <c r="Z109" i="1"/>
  <c r="Y109" i="1"/>
  <c r="AF109" i="1"/>
  <c r="AE109" i="1"/>
  <c r="AD109" i="1"/>
  <c r="AC109" i="1"/>
  <c r="AB109" i="1"/>
  <c r="X109" i="1"/>
  <c r="AG109" i="1"/>
  <c r="AA109" i="1"/>
  <c r="AD104" i="1"/>
  <c r="AE104" i="1"/>
  <c r="AB104" i="1"/>
  <c r="Z104" i="1"/>
  <c r="Y104" i="1"/>
  <c r="AG104" i="1"/>
  <c r="AF104" i="1"/>
  <c r="AC104" i="1"/>
  <c r="AA104" i="1"/>
  <c r="X104" i="1"/>
  <c r="AH112" i="1"/>
  <c r="AF98" i="1"/>
  <c r="AE98" i="1"/>
  <c r="AD98" i="1"/>
  <c r="X98" i="1"/>
  <c r="AC98" i="1"/>
  <c r="Y98" i="1"/>
  <c r="AA98" i="1"/>
  <c r="Z98" i="1"/>
  <c r="AG98" i="1"/>
  <c r="AB98" i="1"/>
  <c r="K58" i="15"/>
  <c r="J58" i="15"/>
  <c r="AH105" i="1"/>
  <c r="AH121" i="1"/>
  <c r="AH133" i="1"/>
  <c r="AD136" i="1"/>
  <c r="AC136" i="1"/>
  <c r="AE136" i="1"/>
  <c r="AG136" i="1"/>
  <c r="AF136" i="1"/>
  <c r="AB136" i="1"/>
  <c r="AA136" i="1"/>
  <c r="Z136" i="1"/>
  <c r="X136" i="1"/>
  <c r="Y136" i="1"/>
  <c r="AF139" i="1"/>
  <c r="AE139" i="1"/>
  <c r="Y139" i="1"/>
  <c r="AB139" i="1"/>
  <c r="AA139" i="1"/>
  <c r="Z139" i="1"/>
  <c r="AC139" i="1"/>
  <c r="AG139" i="1"/>
  <c r="X139" i="1"/>
  <c r="AD139" i="1"/>
  <c r="K58" i="14"/>
  <c r="J58" i="14"/>
  <c r="AH138" i="1"/>
  <c r="AH153" i="1"/>
  <c r="J49" i="10"/>
  <c r="K49" i="10"/>
  <c r="J49" i="8"/>
  <c r="K49" i="8"/>
  <c r="J51" i="10"/>
  <c r="K51" i="10"/>
  <c r="J58" i="11"/>
  <c r="K58" i="11"/>
  <c r="AF114" i="1"/>
  <c r="AE114" i="1"/>
  <c r="AD114" i="1"/>
  <c r="AC114" i="1"/>
  <c r="AB114" i="1"/>
  <c r="Y114" i="1"/>
  <c r="AA114" i="1"/>
  <c r="Z114" i="1"/>
  <c r="AG114" i="1"/>
  <c r="X114" i="1"/>
  <c r="AH135" i="1"/>
  <c r="J49" i="19"/>
  <c r="K49" i="19"/>
  <c r="Y99" i="1"/>
  <c r="AE99" i="1"/>
  <c r="AF99" i="1"/>
  <c r="AD99" i="1"/>
  <c r="AA99" i="1"/>
  <c r="AC99" i="1"/>
  <c r="X99" i="1"/>
  <c r="AB99" i="1"/>
  <c r="Z99" i="1"/>
  <c r="AG99" i="1"/>
  <c r="AF144" i="1"/>
  <c r="AE144" i="1"/>
  <c r="AD144" i="1"/>
  <c r="AC144" i="1"/>
  <c r="AB144" i="1"/>
  <c r="AA144" i="1"/>
  <c r="Z144" i="1"/>
  <c r="Y144" i="1"/>
  <c r="AG144" i="1"/>
  <c r="X144" i="1"/>
  <c r="X102" i="1"/>
  <c r="AE102" i="1"/>
  <c r="AF102" i="1"/>
  <c r="AB102" i="1"/>
  <c r="Z102" i="1"/>
  <c r="AD102" i="1"/>
  <c r="AC102" i="1"/>
  <c r="Y102" i="1"/>
  <c r="AG102" i="1"/>
  <c r="AA102" i="1"/>
  <c r="K19" i="10"/>
  <c r="J19" i="10"/>
  <c r="AH151" i="1"/>
  <c r="AH128" i="1"/>
  <c r="AE132" i="1"/>
  <c r="AD132" i="1"/>
  <c r="AC132" i="1"/>
  <c r="AF132" i="1"/>
  <c r="Y132" i="1"/>
  <c r="AA132" i="1"/>
  <c r="Z132" i="1"/>
  <c r="X132" i="1"/>
  <c r="AB132" i="1"/>
  <c r="AG132" i="1"/>
  <c r="AH142" i="1"/>
  <c r="AC101" i="1"/>
  <c r="AB101" i="1"/>
  <c r="Z101" i="1"/>
  <c r="Y101" i="1"/>
  <c r="AG101" i="1"/>
  <c r="AD101" i="1"/>
  <c r="AE101" i="1"/>
  <c r="X101" i="1"/>
  <c r="AA101" i="1"/>
  <c r="AF101" i="1"/>
  <c r="AE106" i="1"/>
  <c r="AG106" i="1"/>
  <c r="AF106" i="1"/>
  <c r="AD106" i="1"/>
  <c r="AB106" i="1"/>
  <c r="AA106" i="1"/>
  <c r="Z106" i="1"/>
  <c r="AC106" i="1"/>
  <c r="Y106" i="1"/>
  <c r="X106" i="1"/>
  <c r="Y125" i="1"/>
  <c r="AA125" i="1"/>
  <c r="Z125" i="1"/>
  <c r="AG125" i="1"/>
  <c r="AF125" i="1"/>
  <c r="AE125" i="1"/>
  <c r="AD125" i="1"/>
  <c r="AC125" i="1"/>
  <c r="AB125" i="1"/>
  <c r="X125" i="1"/>
  <c r="Y152" i="1"/>
  <c r="AG152" i="1"/>
  <c r="AA152" i="1"/>
  <c r="Z152" i="1"/>
  <c r="AE152" i="1"/>
  <c r="AF152" i="1"/>
  <c r="AD152" i="1"/>
  <c r="AC152" i="1"/>
  <c r="AB152" i="1"/>
  <c r="X152" i="1"/>
  <c r="AH115" i="1"/>
  <c r="AD145" i="1"/>
  <c r="AC145" i="1"/>
  <c r="AB145" i="1"/>
  <c r="AA145" i="1"/>
  <c r="Z145" i="1"/>
  <c r="AF145" i="1"/>
  <c r="Y145" i="1"/>
  <c r="AE145" i="1"/>
  <c r="X145" i="1"/>
  <c r="AG145" i="1"/>
  <c r="AE96" i="1"/>
  <c r="Y96" i="1"/>
  <c r="Z96" i="1"/>
  <c r="AC96" i="1"/>
  <c r="AG96" i="1"/>
  <c r="AB96" i="1"/>
  <c r="X96" i="1"/>
  <c r="AA96" i="1"/>
  <c r="AF96" i="1"/>
  <c r="AD96" i="1"/>
  <c r="J58" i="16"/>
  <c r="AA93" i="1"/>
  <c r="Z93" i="1"/>
  <c r="Y93" i="1"/>
  <c r="AG93" i="1"/>
  <c r="AF93" i="1"/>
  <c r="AE93" i="1"/>
  <c r="AD93" i="1"/>
  <c r="AC93" i="1"/>
  <c r="X93" i="1"/>
  <c r="AB93" i="1"/>
  <c r="AA122" i="1"/>
  <c r="Z122" i="1"/>
  <c r="Y122" i="1"/>
  <c r="AF122" i="1"/>
  <c r="AB122" i="1"/>
  <c r="AG122" i="1"/>
  <c r="AE122" i="1"/>
  <c r="X122" i="1"/>
  <c r="AD122" i="1"/>
  <c r="AC122" i="1"/>
  <c r="K50" i="10"/>
  <c r="J50" i="10"/>
  <c r="AC107" i="1"/>
  <c r="AB107" i="1"/>
  <c r="AA107" i="1"/>
  <c r="Y107" i="1"/>
  <c r="AE107" i="1"/>
  <c r="X107" i="1"/>
  <c r="AG107" i="1"/>
  <c r="AD107" i="1"/>
  <c r="Z107" i="1"/>
  <c r="AF107" i="1"/>
  <c r="AF149" i="1"/>
  <c r="AE149" i="1"/>
  <c r="AG149" i="1"/>
  <c r="AC149" i="1"/>
  <c r="AA149" i="1"/>
  <c r="AB149" i="1"/>
  <c r="Z149" i="1"/>
  <c r="Y149" i="1"/>
  <c r="AD149" i="1"/>
  <c r="X149" i="1"/>
  <c r="AH137" i="1"/>
  <c r="AH120" i="1"/>
  <c r="J46" i="10"/>
  <c r="K46" i="10"/>
  <c r="J47" i="10"/>
  <c r="K47" i="10"/>
  <c r="K58" i="13"/>
  <c r="J58" i="13"/>
  <c r="K21" i="10"/>
  <c r="J21" i="10"/>
  <c r="J48" i="10"/>
  <c r="K48" i="10"/>
  <c r="AB146" i="1"/>
  <c r="Z146" i="1"/>
  <c r="Y146" i="1"/>
  <c r="AC146" i="1"/>
  <c r="AG146" i="1"/>
  <c r="AA146" i="1"/>
  <c r="AF146" i="1"/>
  <c r="AE146" i="1"/>
  <c r="AD146" i="1"/>
  <c r="X146" i="1"/>
  <c r="AH129" i="1"/>
  <c r="AF111" i="1"/>
  <c r="AE111" i="1"/>
  <c r="AD111" i="1"/>
  <c r="AC111" i="1"/>
  <c r="AB111" i="1"/>
  <c r="AA111" i="1"/>
  <c r="Z111" i="1"/>
  <c r="Y111" i="1"/>
  <c r="X111" i="1"/>
  <c r="AG111" i="1"/>
  <c r="B258" i="17" l="1"/>
  <c r="D124" i="17"/>
  <c r="B273" i="9"/>
  <c r="D273" i="9" s="1"/>
  <c r="D132" i="9"/>
  <c r="I49" i="21"/>
  <c r="I51" i="21" s="1"/>
  <c r="N11" i="21"/>
  <c r="N24" i="21" s="1"/>
  <c r="M11" i="21"/>
  <c r="M24" i="21" s="1"/>
  <c r="Q11" i="21"/>
  <c r="Q24" i="21" s="1"/>
  <c r="P11" i="21"/>
  <c r="P24" i="21" s="1"/>
  <c r="H11" i="21"/>
  <c r="H24" i="21" s="1"/>
  <c r="L11" i="21"/>
  <c r="L24" i="21" s="1"/>
  <c r="J11" i="21"/>
  <c r="J24" i="21" s="1"/>
  <c r="I11" i="21"/>
  <c r="I24" i="21" s="1"/>
  <c r="N49" i="21"/>
  <c r="N51" i="21" s="1"/>
  <c r="P49" i="21"/>
  <c r="P51" i="21" s="1"/>
  <c r="K49" i="21"/>
  <c r="K51" i="21" s="1"/>
  <c r="O11" i="21"/>
  <c r="O24" i="21" s="1"/>
  <c r="K11" i="21"/>
  <c r="K24" i="21" s="1"/>
  <c r="H49" i="21"/>
  <c r="H51" i="21" s="1"/>
  <c r="L49" i="21"/>
  <c r="L51" i="21" s="1"/>
  <c r="Q49" i="21"/>
  <c r="Q51" i="21" s="1"/>
  <c r="O49" i="21"/>
  <c r="O51" i="21" s="1"/>
  <c r="M49" i="21"/>
  <c r="M51" i="21" s="1"/>
  <c r="J49" i="21"/>
  <c r="J51" i="21" s="1"/>
  <c r="K89" i="18"/>
  <c r="L89" i="18" s="1"/>
  <c r="M89" i="18" s="1"/>
  <c r="B268" i="17"/>
  <c r="D268" i="17" s="1"/>
  <c r="AL39" i="1"/>
  <c r="AL41" i="1" s="1"/>
  <c r="AL27" i="1"/>
  <c r="AL29" i="1" s="1"/>
  <c r="AS39" i="1"/>
  <c r="AS41" i="1" s="1"/>
  <c r="AN39" i="1"/>
  <c r="AN41" i="1" s="1"/>
  <c r="AM39" i="1"/>
  <c r="AM41" i="1" s="1"/>
  <c r="AS27" i="1"/>
  <c r="B280" i="9"/>
  <c r="D280" i="9" s="1"/>
  <c r="AO39" i="1"/>
  <c r="AO41" i="1" s="1"/>
  <c r="B283" i="9"/>
  <c r="D283" i="9" s="1"/>
  <c r="K99" i="18"/>
  <c r="L99" i="18" s="1"/>
  <c r="M99" i="18" s="1"/>
  <c r="AS15" i="1"/>
  <c r="AS17" i="1" s="1"/>
  <c r="B275" i="9"/>
  <c r="D275" i="9" s="1"/>
  <c r="AQ39" i="1"/>
  <c r="AQ41" i="1" s="1"/>
  <c r="AP39" i="1"/>
  <c r="AP41" i="1" s="1"/>
  <c r="AR39" i="1"/>
  <c r="AR41" i="1" s="1"/>
  <c r="AN27" i="1"/>
  <c r="AQ15" i="1"/>
  <c r="AQ17" i="1" s="1"/>
  <c r="AO15" i="1"/>
  <c r="AO17" i="1" s="1"/>
  <c r="AR15" i="1"/>
  <c r="AR17" i="1" s="1"/>
  <c r="AM15" i="1"/>
  <c r="AM17" i="1" s="1"/>
  <c r="AM28" i="1"/>
  <c r="K70" i="18"/>
  <c r="L70" i="18" s="1"/>
  <c r="M70" i="18" s="1"/>
  <c r="AQ27" i="1"/>
  <c r="AP15" i="1"/>
  <c r="AP17" i="1" s="1"/>
  <c r="AM27" i="1"/>
  <c r="AR27" i="1"/>
  <c r="AL15" i="1"/>
  <c r="AL17" i="1" s="1"/>
  <c r="AO27" i="1"/>
  <c r="AN15" i="1"/>
  <c r="AN17" i="1" s="1"/>
  <c r="AP27" i="1"/>
  <c r="B133" i="9"/>
  <c r="D133" i="9" s="1"/>
  <c r="J70" i="8"/>
  <c r="J70" i="19"/>
  <c r="B289" i="9" s="1"/>
  <c r="D269" i="9"/>
  <c r="D258" i="17"/>
  <c r="J67" i="12"/>
  <c r="B291" i="9" s="1"/>
  <c r="J69" i="19"/>
  <c r="B229" i="9" s="1"/>
  <c r="K69" i="19"/>
  <c r="D229" i="9" s="1"/>
  <c r="K87" i="18"/>
  <c r="L87" i="18" s="1"/>
  <c r="M87" i="18" s="1"/>
  <c r="K24" i="18"/>
  <c r="L24" i="18" s="1"/>
  <c r="M24" i="18" s="1"/>
  <c r="K110" i="18"/>
  <c r="L110" i="18" s="1"/>
  <c r="M110" i="18" s="1"/>
  <c r="K42" i="18"/>
  <c r="L42" i="18" s="1"/>
  <c r="M42" i="18" s="1"/>
  <c r="K96" i="18"/>
  <c r="L96" i="18" s="1"/>
  <c r="M96" i="18" s="1"/>
  <c r="K68" i="18"/>
  <c r="L68" i="18" s="1"/>
  <c r="M68" i="18" s="1"/>
  <c r="K37" i="18"/>
  <c r="L37" i="18" s="1"/>
  <c r="M37" i="18" s="1"/>
  <c r="K73" i="18"/>
  <c r="L73" i="18" s="1"/>
  <c r="M73" i="18" s="1"/>
  <c r="K189" i="7"/>
  <c r="L189" i="7" s="1"/>
  <c r="M189" i="7" s="1"/>
  <c r="K105" i="18"/>
  <c r="L105" i="18" s="1"/>
  <c r="M105" i="18" s="1"/>
  <c r="K84" i="18"/>
  <c r="L84" i="18" s="1"/>
  <c r="M84" i="18" s="1"/>
  <c r="K26" i="18"/>
  <c r="L26" i="18" s="1"/>
  <c r="M26" i="18" s="1"/>
  <c r="K49" i="18"/>
  <c r="L49" i="18" s="1"/>
  <c r="M49" i="18" s="1"/>
  <c r="K69" i="8"/>
  <c r="K268" i="7"/>
  <c r="L268" i="7" s="1"/>
  <c r="M268" i="7" s="1"/>
  <c r="K65" i="7"/>
  <c r="L65" i="7" s="1"/>
  <c r="M65" i="7" s="1"/>
  <c r="K95" i="18"/>
  <c r="L95" i="18" s="1"/>
  <c r="M95" i="18" s="1"/>
  <c r="K40" i="18"/>
  <c r="L40" i="18" s="1"/>
  <c r="M40" i="18" s="1"/>
  <c r="K72" i="18"/>
  <c r="L72" i="18" s="1"/>
  <c r="M72" i="18" s="1"/>
  <c r="K66" i="18"/>
  <c r="L66" i="18" s="1"/>
  <c r="M66" i="18" s="1"/>
  <c r="K45" i="18"/>
  <c r="L45" i="18" s="1"/>
  <c r="M45" i="18" s="1"/>
  <c r="K57" i="18"/>
  <c r="L57" i="18" s="1"/>
  <c r="M57" i="18" s="1"/>
  <c r="K85" i="18"/>
  <c r="L85" i="18" s="1"/>
  <c r="M85" i="18" s="1"/>
  <c r="K23" i="18"/>
  <c r="L23" i="18" s="1"/>
  <c r="M23" i="18" s="1"/>
  <c r="K74" i="18"/>
  <c r="L74" i="18" s="1"/>
  <c r="M74" i="18" s="1"/>
  <c r="K91" i="18"/>
  <c r="L91" i="18" s="1"/>
  <c r="M91" i="18" s="1"/>
  <c r="K60" i="18"/>
  <c r="L60" i="18" s="1"/>
  <c r="M60" i="18" s="1"/>
  <c r="K94" i="18"/>
  <c r="L94" i="18" s="1"/>
  <c r="M94" i="18" s="1"/>
  <c r="K29" i="18"/>
  <c r="L29" i="18" s="1"/>
  <c r="M29" i="18" s="1"/>
  <c r="K103" i="18"/>
  <c r="L103" i="18" s="1"/>
  <c r="M103" i="18" s="1"/>
  <c r="K52" i="18"/>
  <c r="L52" i="18" s="1"/>
  <c r="M52" i="18" s="1"/>
  <c r="J66" i="16"/>
  <c r="B235" i="9" s="1"/>
  <c r="K266" i="7"/>
  <c r="L266" i="7" s="1"/>
  <c r="M266" i="7" s="1"/>
  <c r="K241" i="7"/>
  <c r="L241" i="7" s="1"/>
  <c r="M241" i="7" s="1"/>
  <c r="K31" i="7"/>
  <c r="L31" i="7" s="1"/>
  <c r="M31" i="7" s="1"/>
  <c r="K82" i="18"/>
  <c r="L82" i="18" s="1"/>
  <c r="M82" i="18" s="1"/>
  <c r="K77" i="18"/>
  <c r="L77" i="18" s="1"/>
  <c r="M77" i="18" s="1"/>
  <c r="K98" i="18"/>
  <c r="L98" i="18" s="1"/>
  <c r="M98" i="18" s="1"/>
  <c r="K108" i="18"/>
  <c r="L108" i="18" s="1"/>
  <c r="M108" i="18" s="1"/>
  <c r="K88" i="18"/>
  <c r="L88" i="18" s="1"/>
  <c r="M88" i="18" s="1"/>
  <c r="K46" i="18"/>
  <c r="L46" i="18" s="1"/>
  <c r="M46" i="18" s="1"/>
  <c r="J66" i="15"/>
  <c r="B234" i="9" s="1"/>
  <c r="K64" i="18"/>
  <c r="L64" i="18" s="1"/>
  <c r="M64" i="18" s="1"/>
  <c r="K75" i="18"/>
  <c r="L75" i="18" s="1"/>
  <c r="M75" i="18" s="1"/>
  <c r="J66" i="12"/>
  <c r="B231" i="9" s="1"/>
  <c r="J66" i="13"/>
  <c r="B232" i="9" s="1"/>
  <c r="K66" i="16"/>
  <c r="D235" i="9" s="1"/>
  <c r="D94" i="12"/>
  <c r="D100" i="12" s="1"/>
  <c r="J66" i="11"/>
  <c r="B230" i="9" s="1"/>
  <c r="K102" i="18"/>
  <c r="L102" i="18" s="1"/>
  <c r="M102" i="18" s="1"/>
  <c r="K101" i="18"/>
  <c r="L101" i="18" s="1"/>
  <c r="M101" i="18" s="1"/>
  <c r="K44" i="18"/>
  <c r="L44" i="18" s="1"/>
  <c r="M44" i="18" s="1"/>
  <c r="K28" i="18"/>
  <c r="L28" i="18" s="1"/>
  <c r="M28" i="18" s="1"/>
  <c r="K62" i="18"/>
  <c r="L62" i="18" s="1"/>
  <c r="M62" i="18" s="1"/>
  <c r="K69" i="18"/>
  <c r="L69" i="18" s="1"/>
  <c r="M69" i="18" s="1"/>
  <c r="K83" i="18"/>
  <c r="L83" i="18" s="1"/>
  <c r="M83" i="18" s="1"/>
  <c r="K67" i="18"/>
  <c r="L67" i="18" s="1"/>
  <c r="M67" i="18" s="1"/>
  <c r="J66" i="14"/>
  <c r="B233" i="9" s="1"/>
  <c r="K36" i="18"/>
  <c r="L36" i="18" s="1"/>
  <c r="M36" i="18" s="1"/>
  <c r="K38" i="18"/>
  <c r="L38" i="18" s="1"/>
  <c r="M38" i="18" s="1"/>
  <c r="K65" i="18"/>
  <c r="L65" i="18" s="1"/>
  <c r="M65" i="18" s="1"/>
  <c r="K35" i="18"/>
  <c r="L35" i="18" s="1"/>
  <c r="M35" i="18" s="1"/>
  <c r="K34" i="18"/>
  <c r="L34" i="18" s="1"/>
  <c r="M34" i="18" s="1"/>
  <c r="K51" i="18"/>
  <c r="L51" i="18" s="1"/>
  <c r="M51" i="18" s="1"/>
  <c r="K71" i="18"/>
  <c r="L71" i="18" s="1"/>
  <c r="M71" i="18" s="1"/>
  <c r="K109" i="18"/>
  <c r="L109" i="18" s="1"/>
  <c r="M109" i="18" s="1"/>
  <c r="K32" i="18"/>
  <c r="L32" i="18" s="1"/>
  <c r="M32" i="18" s="1"/>
  <c r="K47" i="18"/>
  <c r="L47" i="18" s="1"/>
  <c r="M47" i="18" s="1"/>
  <c r="K43" i="18"/>
  <c r="L43" i="18" s="1"/>
  <c r="M43" i="18" s="1"/>
  <c r="K78" i="18"/>
  <c r="L78" i="18" s="1"/>
  <c r="M78" i="18" s="1"/>
  <c r="K106" i="18"/>
  <c r="L106" i="18" s="1"/>
  <c r="M106" i="18" s="1"/>
  <c r="K50" i="18"/>
  <c r="L50" i="18" s="1"/>
  <c r="M50" i="18" s="1"/>
  <c r="K53" i="18"/>
  <c r="L53" i="18" s="1"/>
  <c r="M53" i="18" s="1"/>
  <c r="K81" i="18"/>
  <c r="L81" i="18" s="1"/>
  <c r="M81" i="18" s="1"/>
  <c r="K80" i="18"/>
  <c r="L80" i="18" s="1"/>
  <c r="M80" i="18" s="1"/>
  <c r="K97" i="18"/>
  <c r="L97" i="18" s="1"/>
  <c r="M97" i="18" s="1"/>
  <c r="K263" i="7"/>
  <c r="L263" i="7" s="1"/>
  <c r="M263" i="7" s="1"/>
  <c r="K191" i="7"/>
  <c r="L191" i="7" s="1"/>
  <c r="M191" i="7" s="1"/>
  <c r="K160" i="7"/>
  <c r="L160" i="7" s="1"/>
  <c r="M160" i="7" s="1"/>
  <c r="K31" i="18"/>
  <c r="L31" i="18" s="1"/>
  <c r="M31" i="18" s="1"/>
  <c r="K90" i="18"/>
  <c r="L90" i="18" s="1"/>
  <c r="M90" i="18" s="1"/>
  <c r="K22" i="18"/>
  <c r="L22" i="18" s="1"/>
  <c r="M22" i="18" s="1"/>
  <c r="K61" i="18"/>
  <c r="L61" i="18" s="1"/>
  <c r="M61" i="18" s="1"/>
  <c r="K56" i="18"/>
  <c r="L56" i="18" s="1"/>
  <c r="M56" i="18" s="1"/>
  <c r="K58" i="18"/>
  <c r="L58" i="18" s="1"/>
  <c r="M58" i="18" s="1"/>
  <c r="K104" i="18"/>
  <c r="L104" i="18" s="1"/>
  <c r="M104" i="18" s="1"/>
  <c r="K41" i="18"/>
  <c r="L41" i="18" s="1"/>
  <c r="M41" i="18" s="1"/>
  <c r="K39" i="18"/>
  <c r="L39" i="18" s="1"/>
  <c r="M39" i="18" s="1"/>
  <c r="K79" i="18"/>
  <c r="L79" i="18" s="1"/>
  <c r="M79" i="18" s="1"/>
  <c r="K63" i="18"/>
  <c r="L63" i="18" s="1"/>
  <c r="M63" i="18" s="1"/>
  <c r="K93" i="18"/>
  <c r="L93" i="18" s="1"/>
  <c r="M93" i="18" s="1"/>
  <c r="K92" i="18"/>
  <c r="L92" i="18" s="1"/>
  <c r="M92" i="18" s="1"/>
  <c r="K59" i="18"/>
  <c r="L59" i="18" s="1"/>
  <c r="M59" i="18" s="1"/>
  <c r="K76" i="18"/>
  <c r="L76" i="18" s="1"/>
  <c r="M76" i="18" s="1"/>
  <c r="K33" i="18"/>
  <c r="L33" i="18" s="1"/>
  <c r="M33" i="18" s="1"/>
  <c r="K27" i="18"/>
  <c r="L27" i="18" s="1"/>
  <c r="M27" i="18" s="1"/>
  <c r="K100" i="18"/>
  <c r="L100" i="18" s="1"/>
  <c r="M100" i="18" s="1"/>
  <c r="K48" i="18"/>
  <c r="L48" i="18" s="1"/>
  <c r="M48" i="18" s="1"/>
  <c r="K54" i="18"/>
  <c r="L54" i="18" s="1"/>
  <c r="M54" i="18" s="1"/>
  <c r="K86" i="18"/>
  <c r="L86" i="18" s="1"/>
  <c r="M86" i="18" s="1"/>
  <c r="K25" i="18"/>
  <c r="L25" i="18" s="1"/>
  <c r="M25" i="18" s="1"/>
  <c r="K55" i="18"/>
  <c r="L55" i="18" s="1"/>
  <c r="M55" i="18" s="1"/>
  <c r="K107" i="18"/>
  <c r="L107" i="18" s="1"/>
  <c r="M107" i="18" s="1"/>
  <c r="E5" i="18"/>
  <c r="J21" i="18"/>
  <c r="K21" i="18" s="1"/>
  <c r="K30" i="18"/>
  <c r="L30" i="18" s="1"/>
  <c r="M30" i="18" s="1"/>
  <c r="AH94" i="1"/>
  <c r="B101" i="9"/>
  <c r="B96" i="9" s="1"/>
  <c r="K114" i="18"/>
  <c r="L114" i="18" s="1"/>
  <c r="M114" i="18" s="1"/>
  <c r="K105" i="7"/>
  <c r="L105" i="7" s="1"/>
  <c r="M105" i="7" s="1"/>
  <c r="K130" i="7"/>
  <c r="L130" i="7" s="1"/>
  <c r="M130" i="7" s="1"/>
  <c r="K230" i="7"/>
  <c r="L230" i="7" s="1"/>
  <c r="M230" i="7" s="1"/>
  <c r="K218" i="7"/>
  <c r="L218" i="7" s="1"/>
  <c r="M218" i="7" s="1"/>
  <c r="K206" i="7"/>
  <c r="L206" i="7" s="1"/>
  <c r="M206" i="7" s="1"/>
  <c r="K194" i="7"/>
  <c r="L194" i="7" s="1"/>
  <c r="M194" i="7" s="1"/>
  <c r="K240" i="7"/>
  <c r="L240" i="7" s="1"/>
  <c r="M240" i="7" s="1"/>
  <c r="K166" i="7"/>
  <c r="L166" i="7" s="1"/>
  <c r="M166" i="7" s="1"/>
  <c r="K125" i="18"/>
  <c r="L125" i="18" s="1"/>
  <c r="M125" i="18" s="1"/>
  <c r="K127" i="7"/>
  <c r="L127" i="7" s="1"/>
  <c r="M127" i="7" s="1"/>
  <c r="K141" i="7"/>
  <c r="L141" i="7" s="1"/>
  <c r="M141" i="7" s="1"/>
  <c r="K98" i="7"/>
  <c r="L98" i="7" s="1"/>
  <c r="M98" i="7" s="1"/>
  <c r="K137" i="7"/>
  <c r="L137" i="7" s="1"/>
  <c r="M137" i="7" s="1"/>
  <c r="K126" i="7"/>
  <c r="L126" i="7" s="1"/>
  <c r="M126" i="7" s="1"/>
  <c r="K111" i="7"/>
  <c r="L111" i="7" s="1"/>
  <c r="M111" i="7" s="1"/>
  <c r="K107" i="7"/>
  <c r="L107" i="7" s="1"/>
  <c r="M107" i="7" s="1"/>
  <c r="K125" i="7"/>
  <c r="L125" i="7" s="1"/>
  <c r="M125" i="7" s="1"/>
  <c r="K161" i="7"/>
  <c r="L161" i="7" s="1"/>
  <c r="M161" i="7" s="1"/>
  <c r="B110" i="9"/>
  <c r="B105" i="9" s="1"/>
  <c r="K261" i="7"/>
  <c r="L261" i="7" s="1"/>
  <c r="M261" i="7" s="1"/>
  <c r="K115" i="7"/>
  <c r="L115" i="7" s="1"/>
  <c r="M115" i="7" s="1"/>
  <c r="K62" i="7"/>
  <c r="L62" i="7" s="1"/>
  <c r="M62" i="7" s="1"/>
  <c r="K123" i="7"/>
  <c r="L123" i="7" s="1"/>
  <c r="M123" i="7" s="1"/>
  <c r="K259" i="7"/>
  <c r="L259" i="7" s="1"/>
  <c r="M259" i="7" s="1"/>
  <c r="K48" i="7"/>
  <c r="L48" i="7" s="1"/>
  <c r="M48" i="7" s="1"/>
  <c r="K234" i="7"/>
  <c r="L234" i="7" s="1"/>
  <c r="M234" i="7" s="1"/>
  <c r="K222" i="7"/>
  <c r="L222" i="7" s="1"/>
  <c r="M222" i="7" s="1"/>
  <c r="K210" i="7"/>
  <c r="L210" i="7" s="1"/>
  <c r="M210" i="7" s="1"/>
  <c r="K198" i="7"/>
  <c r="L198" i="7" s="1"/>
  <c r="M198" i="7" s="1"/>
  <c r="K55" i="7"/>
  <c r="L55" i="7" s="1"/>
  <c r="M55" i="7" s="1"/>
  <c r="K256" i="7"/>
  <c r="L256" i="7" s="1"/>
  <c r="M256" i="7" s="1"/>
  <c r="K150" i="7"/>
  <c r="L150" i="7" s="1"/>
  <c r="M150" i="7" s="1"/>
  <c r="K186" i="7"/>
  <c r="L186" i="7" s="1"/>
  <c r="M186" i="7" s="1"/>
  <c r="K128" i="7"/>
  <c r="L128" i="7" s="1"/>
  <c r="M128" i="7" s="1"/>
  <c r="K57" i="7"/>
  <c r="L57" i="7" s="1"/>
  <c r="M57" i="7" s="1"/>
  <c r="K59" i="7"/>
  <c r="L59" i="7" s="1"/>
  <c r="M59" i="7" s="1"/>
  <c r="K54" i="7"/>
  <c r="L54" i="7" s="1"/>
  <c r="M54" i="7" s="1"/>
  <c r="K77" i="7"/>
  <c r="L77" i="7" s="1"/>
  <c r="M77" i="7" s="1"/>
  <c r="AH100" i="1"/>
  <c r="AH127" i="1"/>
  <c r="H21" i="7"/>
  <c r="E5" i="7" s="1"/>
  <c r="B178" i="9"/>
  <c r="D178" i="9" s="1"/>
  <c r="D177" i="9" s="1"/>
  <c r="AH91" i="1"/>
  <c r="B142" i="9"/>
  <c r="D142" i="9" s="1"/>
  <c r="D141" i="9" s="1"/>
  <c r="K170" i="7"/>
  <c r="L170" i="7" s="1"/>
  <c r="M170" i="7" s="1"/>
  <c r="K30" i="7"/>
  <c r="L30" i="7" s="1"/>
  <c r="M30" i="7" s="1"/>
  <c r="K245" i="7"/>
  <c r="L245" i="7" s="1"/>
  <c r="M245" i="7" s="1"/>
  <c r="K233" i="7"/>
  <c r="L233" i="7" s="1"/>
  <c r="M233" i="7" s="1"/>
  <c r="K221" i="7"/>
  <c r="L221" i="7" s="1"/>
  <c r="M221" i="7" s="1"/>
  <c r="K209" i="7"/>
  <c r="L209" i="7" s="1"/>
  <c r="M209" i="7" s="1"/>
  <c r="K197" i="7"/>
  <c r="L197" i="7" s="1"/>
  <c r="M197" i="7" s="1"/>
  <c r="K71" i="7"/>
  <c r="L71" i="7" s="1"/>
  <c r="M71" i="7" s="1"/>
  <c r="K180" i="7"/>
  <c r="L180" i="7" s="1"/>
  <c r="M180" i="7" s="1"/>
  <c r="K193" i="7"/>
  <c r="L193" i="7" s="1"/>
  <c r="M193" i="7" s="1"/>
  <c r="K134" i="7"/>
  <c r="L134" i="7" s="1"/>
  <c r="M134" i="7" s="1"/>
  <c r="K97" i="7"/>
  <c r="L97" i="7" s="1"/>
  <c r="M97" i="7" s="1"/>
  <c r="K51" i="7"/>
  <c r="L51" i="7" s="1"/>
  <c r="M51" i="7" s="1"/>
  <c r="K181" i="7"/>
  <c r="L181" i="7" s="1"/>
  <c r="M181" i="7" s="1"/>
  <c r="D138" i="9"/>
  <c r="B134" i="9"/>
  <c r="D118" i="9"/>
  <c r="D112" i="9" s="1"/>
  <c r="B112" i="9"/>
  <c r="K265" i="7"/>
  <c r="L265" i="7" s="1"/>
  <c r="M265" i="7" s="1"/>
  <c r="K244" i="7"/>
  <c r="L244" i="7" s="1"/>
  <c r="M244" i="7" s="1"/>
  <c r="K133" i="7"/>
  <c r="L133" i="7" s="1"/>
  <c r="M133" i="7" s="1"/>
  <c r="K43" i="7"/>
  <c r="L43" i="7" s="1"/>
  <c r="M43" i="7" s="1"/>
  <c r="K182" i="7"/>
  <c r="L182" i="7" s="1"/>
  <c r="M182" i="7" s="1"/>
  <c r="K79" i="7"/>
  <c r="L79" i="7" s="1"/>
  <c r="M79" i="7" s="1"/>
  <c r="K67" i="7"/>
  <c r="L67" i="7" s="1"/>
  <c r="M67" i="7" s="1"/>
  <c r="K177" i="7"/>
  <c r="L177" i="7" s="1"/>
  <c r="M177" i="7" s="1"/>
  <c r="K85" i="7"/>
  <c r="L85" i="7" s="1"/>
  <c r="M85" i="7" s="1"/>
  <c r="K89" i="7"/>
  <c r="L89" i="7" s="1"/>
  <c r="M89" i="7" s="1"/>
  <c r="K76" i="7"/>
  <c r="L76" i="7" s="1"/>
  <c r="M76" i="7" s="1"/>
  <c r="K184" i="7"/>
  <c r="L184" i="7" s="1"/>
  <c r="M184" i="7" s="1"/>
  <c r="K131" i="7"/>
  <c r="L131" i="7" s="1"/>
  <c r="M131" i="7" s="1"/>
  <c r="K82" i="7"/>
  <c r="L82" i="7" s="1"/>
  <c r="M82" i="7" s="1"/>
  <c r="B93" i="17"/>
  <c r="D93" i="17" s="1"/>
  <c r="D88" i="17" s="1"/>
  <c r="K250" i="7"/>
  <c r="L250" i="7" s="1"/>
  <c r="M250" i="7" s="1"/>
  <c r="K138" i="7"/>
  <c r="L138" i="7" s="1"/>
  <c r="M138" i="7" s="1"/>
  <c r="K122" i="7"/>
  <c r="L122" i="7" s="1"/>
  <c r="M122" i="7" s="1"/>
  <c r="K249" i="7"/>
  <c r="L249" i="7" s="1"/>
  <c r="M249" i="7" s="1"/>
  <c r="K81" i="7"/>
  <c r="L81" i="7" s="1"/>
  <c r="M81" i="7" s="1"/>
  <c r="K58" i="7"/>
  <c r="L58" i="7" s="1"/>
  <c r="M58" i="7" s="1"/>
  <c r="K96" i="7"/>
  <c r="L96" i="7" s="1"/>
  <c r="M96" i="7" s="1"/>
  <c r="K114" i="7"/>
  <c r="L114" i="7" s="1"/>
  <c r="M114" i="7" s="1"/>
  <c r="K94" i="7"/>
  <c r="L94" i="7" s="1"/>
  <c r="M94" i="7" s="1"/>
  <c r="K247" i="7"/>
  <c r="L247" i="7" s="1"/>
  <c r="M247" i="7" s="1"/>
  <c r="K235" i="7"/>
  <c r="L235" i="7" s="1"/>
  <c r="M235" i="7" s="1"/>
  <c r="K223" i="7"/>
  <c r="L223" i="7" s="1"/>
  <c r="M223" i="7" s="1"/>
  <c r="K211" i="7"/>
  <c r="L211" i="7" s="1"/>
  <c r="M211" i="7" s="1"/>
  <c r="K199" i="7"/>
  <c r="L199" i="7" s="1"/>
  <c r="M199" i="7" s="1"/>
  <c r="K84" i="7"/>
  <c r="L84" i="7" s="1"/>
  <c r="M84" i="7" s="1"/>
  <c r="K118" i="7"/>
  <c r="L118" i="7" s="1"/>
  <c r="M118" i="7" s="1"/>
  <c r="K154" i="7"/>
  <c r="L154" i="7" s="1"/>
  <c r="M154" i="7" s="1"/>
  <c r="K231" i="7"/>
  <c r="L231" i="7" s="1"/>
  <c r="M231" i="7" s="1"/>
  <c r="K219" i="7"/>
  <c r="L219" i="7" s="1"/>
  <c r="M219" i="7" s="1"/>
  <c r="K207" i="7"/>
  <c r="L207" i="7" s="1"/>
  <c r="M207" i="7" s="1"/>
  <c r="K195" i="7"/>
  <c r="L195" i="7" s="1"/>
  <c r="M195" i="7" s="1"/>
  <c r="B134" i="17"/>
  <c r="B133" i="17" s="1"/>
  <c r="K267" i="7"/>
  <c r="L267" i="7" s="1"/>
  <c r="M267" i="7" s="1"/>
  <c r="K158" i="7"/>
  <c r="L158" i="7" s="1"/>
  <c r="M158" i="7" s="1"/>
  <c r="K137" i="18"/>
  <c r="L137" i="18" s="1"/>
  <c r="M137" i="18" s="1"/>
  <c r="K95" i="7"/>
  <c r="L95" i="7" s="1"/>
  <c r="M95" i="7" s="1"/>
  <c r="K33" i="7"/>
  <c r="L33" i="7" s="1"/>
  <c r="M33" i="7" s="1"/>
  <c r="K251" i="7"/>
  <c r="L251" i="7" s="1"/>
  <c r="M251" i="7" s="1"/>
  <c r="K101" i="7"/>
  <c r="L101" i="7" s="1"/>
  <c r="M101" i="7" s="1"/>
  <c r="K135" i="18"/>
  <c r="L135" i="18" s="1"/>
  <c r="M135" i="18" s="1"/>
  <c r="K90" i="7"/>
  <c r="L90" i="7" s="1"/>
  <c r="M90" i="7" s="1"/>
  <c r="K132" i="7"/>
  <c r="L132" i="7" s="1"/>
  <c r="M132" i="7" s="1"/>
  <c r="B102" i="17"/>
  <c r="B97" i="17" s="1"/>
  <c r="K162" i="7"/>
  <c r="L162" i="7" s="1"/>
  <c r="M162" i="7" s="1"/>
  <c r="K103" i="7"/>
  <c r="L103" i="7" s="1"/>
  <c r="M103" i="7" s="1"/>
  <c r="K116" i="7"/>
  <c r="L116" i="7" s="1"/>
  <c r="M116" i="7" s="1"/>
  <c r="K142" i="7"/>
  <c r="L142" i="7" s="1"/>
  <c r="M142" i="7" s="1"/>
  <c r="K80" i="7"/>
  <c r="L80" i="7" s="1"/>
  <c r="M80" i="7" s="1"/>
  <c r="K64" i="7"/>
  <c r="L64" i="7" s="1"/>
  <c r="M64" i="7" s="1"/>
  <c r="K113" i="7"/>
  <c r="L113" i="7" s="1"/>
  <c r="M113" i="7" s="1"/>
  <c r="B215" i="9"/>
  <c r="D224" i="9"/>
  <c r="D215" i="9" s="1"/>
  <c r="K106" i="7"/>
  <c r="L106" i="7" s="1"/>
  <c r="M106" i="7" s="1"/>
  <c r="AH95" i="1"/>
  <c r="K147" i="7"/>
  <c r="L147" i="7" s="1"/>
  <c r="M147" i="7" s="1"/>
  <c r="K73" i="7"/>
  <c r="L73" i="7" s="1"/>
  <c r="M73" i="7" s="1"/>
  <c r="K139" i="7"/>
  <c r="L139" i="7" s="1"/>
  <c r="M139" i="7" s="1"/>
  <c r="K246" i="7"/>
  <c r="L246" i="7" s="1"/>
  <c r="M246" i="7" s="1"/>
  <c r="K172" i="7"/>
  <c r="L172" i="7" s="1"/>
  <c r="M172" i="7" s="1"/>
  <c r="K121" i="7"/>
  <c r="L121" i="7" s="1"/>
  <c r="M121" i="7" s="1"/>
  <c r="K157" i="7"/>
  <c r="L157" i="7" s="1"/>
  <c r="M157" i="7" s="1"/>
  <c r="K159" i="7"/>
  <c r="L159" i="7" s="1"/>
  <c r="M159" i="7" s="1"/>
  <c r="K41" i="7"/>
  <c r="L41" i="7" s="1"/>
  <c r="M41" i="7" s="1"/>
  <c r="K117" i="7"/>
  <c r="L117" i="7" s="1"/>
  <c r="M117" i="7" s="1"/>
  <c r="K242" i="7"/>
  <c r="L242" i="7" s="1"/>
  <c r="M242" i="7" s="1"/>
  <c r="K167" i="7"/>
  <c r="L167" i="7" s="1"/>
  <c r="M167" i="7" s="1"/>
  <c r="K228" i="7"/>
  <c r="L228" i="7" s="1"/>
  <c r="M228" i="7" s="1"/>
  <c r="K216" i="7"/>
  <c r="L216" i="7" s="1"/>
  <c r="M216" i="7" s="1"/>
  <c r="K204" i="7"/>
  <c r="L204" i="7" s="1"/>
  <c r="M204" i="7" s="1"/>
  <c r="AH141" i="1"/>
  <c r="AH97" i="1"/>
  <c r="K102" i="7"/>
  <c r="L102" i="7" s="1"/>
  <c r="M102" i="7" s="1"/>
  <c r="K69" i="7"/>
  <c r="L69" i="7" s="1"/>
  <c r="M69" i="7" s="1"/>
  <c r="K124" i="18"/>
  <c r="L124" i="18" s="1"/>
  <c r="M124" i="18" s="1"/>
  <c r="K92" i="7"/>
  <c r="L92" i="7" s="1"/>
  <c r="M92" i="7" s="1"/>
  <c r="K37" i="7"/>
  <c r="L37" i="7" s="1"/>
  <c r="M37" i="7" s="1"/>
  <c r="K153" i="7"/>
  <c r="L153" i="7" s="1"/>
  <c r="M153" i="7" s="1"/>
  <c r="K175" i="7"/>
  <c r="L175" i="7" s="1"/>
  <c r="M175" i="7" s="1"/>
  <c r="K61" i="7"/>
  <c r="L61" i="7" s="1"/>
  <c r="M61" i="7" s="1"/>
  <c r="K146" i="7"/>
  <c r="L146" i="7" s="1"/>
  <c r="M146" i="7" s="1"/>
  <c r="K253" i="7"/>
  <c r="L253" i="7" s="1"/>
  <c r="M253" i="7" s="1"/>
  <c r="K229" i="7"/>
  <c r="L229" i="7" s="1"/>
  <c r="M229" i="7" s="1"/>
  <c r="K217" i="7"/>
  <c r="L217" i="7" s="1"/>
  <c r="M217" i="7" s="1"/>
  <c r="K205" i="7"/>
  <c r="L205" i="7" s="1"/>
  <c r="M205" i="7" s="1"/>
  <c r="K70" i="7"/>
  <c r="L70" i="7" s="1"/>
  <c r="M70" i="7" s="1"/>
  <c r="K155" i="7"/>
  <c r="L155" i="7" s="1"/>
  <c r="M155" i="7" s="1"/>
  <c r="K264" i="7"/>
  <c r="L264" i="7" s="1"/>
  <c r="M264" i="7" s="1"/>
  <c r="K252" i="7"/>
  <c r="L252" i="7" s="1"/>
  <c r="M252" i="7" s="1"/>
  <c r="K192" i="7"/>
  <c r="L192" i="7" s="1"/>
  <c r="M192" i="7" s="1"/>
  <c r="K36" i="7"/>
  <c r="L36" i="7" s="1"/>
  <c r="M36" i="7" s="1"/>
  <c r="K99" i="7"/>
  <c r="L99" i="7" s="1"/>
  <c r="M99" i="7" s="1"/>
  <c r="K164" i="7"/>
  <c r="L164" i="7" s="1"/>
  <c r="M164" i="7" s="1"/>
  <c r="D94" i="16"/>
  <c r="E94" i="16" s="1"/>
  <c r="K140" i="7"/>
  <c r="L140" i="7" s="1"/>
  <c r="M140" i="7" s="1"/>
  <c r="K156" i="7"/>
  <c r="L156" i="7" s="1"/>
  <c r="M156" i="7" s="1"/>
  <c r="K87" i="7"/>
  <c r="L87" i="7" s="1"/>
  <c r="M87" i="7" s="1"/>
  <c r="K44" i="7"/>
  <c r="L44" i="7" s="1"/>
  <c r="M44" i="7" s="1"/>
  <c r="K52" i="7"/>
  <c r="L52" i="7" s="1"/>
  <c r="M52" i="7" s="1"/>
  <c r="K176" i="7"/>
  <c r="L176" i="7" s="1"/>
  <c r="M176" i="7" s="1"/>
  <c r="K88" i="7"/>
  <c r="L88" i="7" s="1"/>
  <c r="M88" i="7" s="1"/>
  <c r="K173" i="7"/>
  <c r="L173" i="7" s="1"/>
  <c r="M173" i="7" s="1"/>
  <c r="K136" i="7"/>
  <c r="L136" i="7" s="1"/>
  <c r="M136" i="7" s="1"/>
  <c r="K187" i="7"/>
  <c r="L187" i="7" s="1"/>
  <c r="M187" i="7" s="1"/>
  <c r="K74" i="7"/>
  <c r="L74" i="7" s="1"/>
  <c r="M74" i="7" s="1"/>
  <c r="K135" i="7"/>
  <c r="L135" i="7" s="1"/>
  <c r="M135" i="7" s="1"/>
  <c r="K139" i="18"/>
  <c r="L139" i="18" s="1"/>
  <c r="M139" i="18" s="1"/>
  <c r="K66" i="7"/>
  <c r="L66" i="7" s="1"/>
  <c r="M66" i="7" s="1"/>
  <c r="K262" i="7"/>
  <c r="L262" i="7" s="1"/>
  <c r="M262" i="7" s="1"/>
  <c r="K63" i="7"/>
  <c r="L63" i="7" s="1"/>
  <c r="M63" i="7" s="1"/>
  <c r="K104" i="7"/>
  <c r="L104" i="7" s="1"/>
  <c r="M104" i="7" s="1"/>
  <c r="K75" i="7"/>
  <c r="L75" i="7" s="1"/>
  <c r="M75" i="7" s="1"/>
  <c r="K60" i="7"/>
  <c r="L60" i="7" s="1"/>
  <c r="M60" i="7" s="1"/>
  <c r="K83" i="7"/>
  <c r="L83" i="7" s="1"/>
  <c r="M83" i="7" s="1"/>
  <c r="K100" i="7"/>
  <c r="L100" i="7" s="1"/>
  <c r="M100" i="7" s="1"/>
  <c r="K257" i="7"/>
  <c r="L257" i="7" s="1"/>
  <c r="M257" i="7" s="1"/>
  <c r="K124" i="7"/>
  <c r="L124" i="7" s="1"/>
  <c r="M124" i="7" s="1"/>
  <c r="K112" i="7"/>
  <c r="L112" i="7" s="1"/>
  <c r="M112" i="7" s="1"/>
  <c r="K86" i="7"/>
  <c r="L86" i="7" s="1"/>
  <c r="M86" i="7" s="1"/>
  <c r="K119" i="7"/>
  <c r="L119" i="7" s="1"/>
  <c r="M119" i="7" s="1"/>
  <c r="K232" i="7"/>
  <c r="L232" i="7" s="1"/>
  <c r="M232" i="7" s="1"/>
  <c r="K220" i="7"/>
  <c r="L220" i="7" s="1"/>
  <c r="M220" i="7" s="1"/>
  <c r="K208" i="7"/>
  <c r="L208" i="7" s="1"/>
  <c r="M208" i="7" s="1"/>
  <c r="K196" i="7"/>
  <c r="L196" i="7" s="1"/>
  <c r="M196" i="7" s="1"/>
  <c r="K109" i="7"/>
  <c r="L109" i="7" s="1"/>
  <c r="M109" i="7" s="1"/>
  <c r="AH148" i="1"/>
  <c r="K179" i="7"/>
  <c r="L179" i="7" s="1"/>
  <c r="M179" i="7" s="1"/>
  <c r="K53" i="7"/>
  <c r="L53" i="7" s="1"/>
  <c r="M53" i="7" s="1"/>
  <c r="K255" i="7"/>
  <c r="L255" i="7" s="1"/>
  <c r="M255" i="7" s="1"/>
  <c r="K130" i="18"/>
  <c r="L130" i="18" s="1"/>
  <c r="M130" i="18" s="1"/>
  <c r="K32" i="7"/>
  <c r="L32" i="7" s="1"/>
  <c r="M32" i="7" s="1"/>
  <c r="K183" i="7"/>
  <c r="L183" i="7" s="1"/>
  <c r="M183" i="7" s="1"/>
  <c r="K39" i="7"/>
  <c r="L39" i="7" s="1"/>
  <c r="M39" i="7" s="1"/>
  <c r="K178" i="7"/>
  <c r="L178" i="7" s="1"/>
  <c r="M178" i="7" s="1"/>
  <c r="K68" i="7"/>
  <c r="L68" i="7" s="1"/>
  <c r="M68" i="7" s="1"/>
  <c r="K91" i="7"/>
  <c r="L91" i="7" s="1"/>
  <c r="M91" i="7" s="1"/>
  <c r="K188" i="7"/>
  <c r="L188" i="7" s="1"/>
  <c r="M188" i="7" s="1"/>
  <c r="K118" i="18"/>
  <c r="L118" i="18" s="1"/>
  <c r="M118" i="18" s="1"/>
  <c r="K66" i="12"/>
  <c r="D231" i="9" s="1"/>
  <c r="K129" i="7"/>
  <c r="L129" i="7" s="1"/>
  <c r="M129" i="7" s="1"/>
  <c r="K78" i="7"/>
  <c r="L78" i="7" s="1"/>
  <c r="M78" i="7" s="1"/>
  <c r="K49" i="7"/>
  <c r="L49" i="7" s="1"/>
  <c r="M49" i="7" s="1"/>
  <c r="AH116" i="1"/>
  <c r="K260" i="7"/>
  <c r="L260" i="7" s="1"/>
  <c r="M260" i="7" s="1"/>
  <c r="K236" i="7"/>
  <c r="L236" i="7" s="1"/>
  <c r="M236" i="7" s="1"/>
  <c r="K224" i="7"/>
  <c r="L224" i="7" s="1"/>
  <c r="M224" i="7" s="1"/>
  <c r="K212" i="7"/>
  <c r="L212" i="7" s="1"/>
  <c r="M212" i="7" s="1"/>
  <c r="K200" i="7"/>
  <c r="L200" i="7" s="1"/>
  <c r="M200" i="7" s="1"/>
  <c r="K46" i="7"/>
  <c r="L46" i="7" s="1"/>
  <c r="M46" i="7" s="1"/>
  <c r="D221" i="17"/>
  <c r="K120" i="7"/>
  <c r="L120" i="7" s="1"/>
  <c r="M120" i="7" s="1"/>
  <c r="K248" i="7"/>
  <c r="L248" i="7" s="1"/>
  <c r="M248" i="7" s="1"/>
  <c r="K108" i="7"/>
  <c r="L108" i="7" s="1"/>
  <c r="M108" i="7" s="1"/>
  <c r="K148" i="7"/>
  <c r="L148" i="7" s="1"/>
  <c r="M148" i="7" s="1"/>
  <c r="K40" i="7"/>
  <c r="L40" i="7" s="1"/>
  <c r="M40" i="7" s="1"/>
  <c r="K132" i="18"/>
  <c r="L132" i="18" s="1"/>
  <c r="M132" i="18" s="1"/>
  <c r="K38" i="7"/>
  <c r="L38" i="7" s="1"/>
  <c r="M38" i="7" s="1"/>
  <c r="K120" i="18"/>
  <c r="L120" i="18" s="1"/>
  <c r="M120" i="18" s="1"/>
  <c r="K131" i="18"/>
  <c r="L131" i="18" s="1"/>
  <c r="M131" i="18" s="1"/>
  <c r="K243" i="7"/>
  <c r="L243" i="7" s="1"/>
  <c r="M243" i="7" s="1"/>
  <c r="K185" i="7"/>
  <c r="L185" i="7" s="1"/>
  <c r="M185" i="7" s="1"/>
  <c r="K42" i="7"/>
  <c r="L42" i="7" s="1"/>
  <c r="M42" i="7" s="1"/>
  <c r="K93" i="7"/>
  <c r="L93" i="7" s="1"/>
  <c r="M93" i="7" s="1"/>
  <c r="K174" i="7"/>
  <c r="L174" i="7" s="1"/>
  <c r="M174" i="7" s="1"/>
  <c r="K119" i="18"/>
  <c r="L119" i="18" s="1"/>
  <c r="M119" i="18" s="1"/>
  <c r="K110" i="7"/>
  <c r="L110" i="7" s="1"/>
  <c r="M110" i="7" s="1"/>
  <c r="K168" i="7"/>
  <c r="L168" i="7" s="1"/>
  <c r="M168" i="7" s="1"/>
  <c r="K56" i="7"/>
  <c r="L56" i="7" s="1"/>
  <c r="M56" i="7" s="1"/>
  <c r="K165" i="7"/>
  <c r="L165" i="7" s="1"/>
  <c r="M165" i="7" s="1"/>
  <c r="K238" i="7"/>
  <c r="L238" i="7" s="1"/>
  <c r="M238" i="7" s="1"/>
  <c r="K226" i="7"/>
  <c r="L226" i="7" s="1"/>
  <c r="M226" i="7" s="1"/>
  <c r="K214" i="7"/>
  <c r="L214" i="7" s="1"/>
  <c r="M214" i="7" s="1"/>
  <c r="K202" i="7"/>
  <c r="L202" i="7" s="1"/>
  <c r="M202" i="7" s="1"/>
  <c r="K72" i="7"/>
  <c r="L72" i="7" s="1"/>
  <c r="M72" i="7" s="1"/>
  <c r="K35" i="7"/>
  <c r="L35" i="7" s="1"/>
  <c r="M35" i="7" s="1"/>
  <c r="K237" i="7"/>
  <c r="L237" i="7" s="1"/>
  <c r="M237" i="7" s="1"/>
  <c r="K225" i="7"/>
  <c r="L225" i="7" s="1"/>
  <c r="M225" i="7" s="1"/>
  <c r="K213" i="7"/>
  <c r="L213" i="7" s="1"/>
  <c r="M213" i="7" s="1"/>
  <c r="K201" i="7"/>
  <c r="L201" i="7" s="1"/>
  <c r="M201" i="7" s="1"/>
  <c r="K50" i="7"/>
  <c r="L50" i="7" s="1"/>
  <c r="M50" i="7" s="1"/>
  <c r="B125" i="17"/>
  <c r="B120" i="17" s="1"/>
  <c r="K144" i="7"/>
  <c r="L144" i="7" s="1"/>
  <c r="M144" i="7" s="1"/>
  <c r="K152" i="7"/>
  <c r="L152" i="7" s="1"/>
  <c r="M152" i="7" s="1"/>
  <c r="K133" i="18"/>
  <c r="L133" i="18" s="1"/>
  <c r="M133" i="18" s="1"/>
  <c r="K149" i="7"/>
  <c r="L149" i="7" s="1"/>
  <c r="M149" i="7" s="1"/>
  <c r="K121" i="18"/>
  <c r="L121" i="18" s="1"/>
  <c r="M121" i="18" s="1"/>
  <c r="K163" i="7"/>
  <c r="L163" i="7" s="1"/>
  <c r="M163" i="7" s="1"/>
  <c r="K258" i="7"/>
  <c r="L258" i="7" s="1"/>
  <c r="M258" i="7" s="1"/>
  <c r="K145" i="7"/>
  <c r="L145" i="7" s="1"/>
  <c r="M145" i="7" s="1"/>
  <c r="K47" i="7"/>
  <c r="L47" i="7" s="1"/>
  <c r="M47" i="7" s="1"/>
  <c r="K254" i="7"/>
  <c r="L254" i="7" s="1"/>
  <c r="M254" i="7" s="1"/>
  <c r="K45" i="7"/>
  <c r="L45" i="7" s="1"/>
  <c r="M45" i="7" s="1"/>
  <c r="K143" i="7"/>
  <c r="L143" i="7" s="1"/>
  <c r="M143" i="7" s="1"/>
  <c r="K151" i="7"/>
  <c r="L151" i="7" s="1"/>
  <c r="M151" i="7" s="1"/>
  <c r="K171" i="7"/>
  <c r="L171" i="7" s="1"/>
  <c r="M171" i="7" s="1"/>
  <c r="K169" i="7"/>
  <c r="L169" i="7" s="1"/>
  <c r="M169" i="7" s="1"/>
  <c r="K239" i="7"/>
  <c r="L239" i="7" s="1"/>
  <c r="M239" i="7" s="1"/>
  <c r="K227" i="7"/>
  <c r="L227" i="7" s="1"/>
  <c r="M227" i="7" s="1"/>
  <c r="K215" i="7"/>
  <c r="L215" i="7" s="1"/>
  <c r="M215" i="7" s="1"/>
  <c r="K203" i="7"/>
  <c r="L203" i="7" s="1"/>
  <c r="M203" i="7" s="1"/>
  <c r="K34" i="7"/>
  <c r="L34" i="7" s="1"/>
  <c r="M34" i="7" s="1"/>
  <c r="K190" i="7"/>
  <c r="L190" i="7" s="1"/>
  <c r="M190" i="7" s="1"/>
  <c r="B221" i="17"/>
  <c r="AH131" i="1"/>
  <c r="K122" i="18"/>
  <c r="L122" i="18" s="1"/>
  <c r="M122" i="18" s="1"/>
  <c r="K134" i="18"/>
  <c r="L134" i="18" s="1"/>
  <c r="M134" i="18" s="1"/>
  <c r="D131" i="17"/>
  <c r="B126" i="17"/>
  <c r="AH126" i="1"/>
  <c r="D110" i="17"/>
  <c r="D104" i="17" s="1"/>
  <c r="B104" i="17"/>
  <c r="B170" i="17"/>
  <c r="B207" i="17"/>
  <c r="D216" i="17"/>
  <c r="D207" i="17" s="1"/>
  <c r="K117" i="18"/>
  <c r="L117" i="18" s="1"/>
  <c r="M117" i="18" s="1"/>
  <c r="J67" i="11"/>
  <c r="B290" i="9" s="1"/>
  <c r="K113" i="18"/>
  <c r="L113" i="18" s="1"/>
  <c r="M113" i="18" s="1"/>
  <c r="K136" i="18"/>
  <c r="L136" i="18" s="1"/>
  <c r="M136" i="18" s="1"/>
  <c r="D97" i="19"/>
  <c r="D103" i="19" s="1"/>
  <c r="D108" i="19" s="1"/>
  <c r="K129" i="18"/>
  <c r="L129" i="18" s="1"/>
  <c r="M129" i="18" s="1"/>
  <c r="K112" i="18"/>
  <c r="L112" i="18" s="1"/>
  <c r="M112" i="18" s="1"/>
  <c r="K29" i="7"/>
  <c r="L29" i="7" s="1"/>
  <c r="M29" i="7" s="1"/>
  <c r="B271" i="9"/>
  <c r="D271" i="9" s="1"/>
  <c r="K111" i="18"/>
  <c r="L111" i="18" s="1"/>
  <c r="M111" i="18" s="1"/>
  <c r="B265" i="17"/>
  <c r="D265" i="17" s="1"/>
  <c r="D103" i="11"/>
  <c r="K67" i="11"/>
  <c r="D290" i="9" s="1"/>
  <c r="AH149" i="1"/>
  <c r="J67" i="16"/>
  <c r="B295" i="9" s="1"/>
  <c r="K67" i="16"/>
  <c r="D295" i="9" s="1"/>
  <c r="D103" i="16"/>
  <c r="E103" i="16" s="1"/>
  <c r="D254" i="17"/>
  <c r="B256" i="17"/>
  <c r="D256" i="17" s="1"/>
  <c r="K138" i="18"/>
  <c r="L138" i="18" s="1"/>
  <c r="M138" i="18" s="1"/>
  <c r="D106" i="10"/>
  <c r="K70" i="10"/>
  <c r="D274" i="17"/>
  <c r="D106" i="19"/>
  <c r="K70" i="19"/>
  <c r="D289" i="9" s="1"/>
  <c r="J70" i="10"/>
  <c r="B274" i="17"/>
  <c r="B260" i="17"/>
  <c r="D260" i="17" s="1"/>
  <c r="J67" i="13"/>
  <c r="B292" i="9" s="1"/>
  <c r="K123" i="18"/>
  <c r="L123" i="18" s="1"/>
  <c r="M123" i="18" s="1"/>
  <c r="J67" i="14"/>
  <c r="B293" i="9" s="1"/>
  <c r="D103" i="13"/>
  <c r="E103" i="13" s="1"/>
  <c r="K67" i="13"/>
  <c r="D292" i="9" s="1"/>
  <c r="K22" i="7"/>
  <c r="L22" i="7" s="1"/>
  <c r="M22" i="7" s="1"/>
  <c r="D106" i="8"/>
  <c r="K70" i="8"/>
  <c r="D103" i="14"/>
  <c r="E103" i="14" s="1"/>
  <c r="K67" i="14"/>
  <c r="D293" i="9" s="1"/>
  <c r="D103" i="15"/>
  <c r="E103" i="15" s="1"/>
  <c r="K67" i="15"/>
  <c r="D294" i="9" s="1"/>
  <c r="AH110" i="1"/>
  <c r="D103" i="12"/>
  <c r="E103" i="12" s="1"/>
  <c r="K67" i="12"/>
  <c r="D291" i="9" s="1"/>
  <c r="J67" i="15"/>
  <c r="B294" i="9" s="1"/>
  <c r="K116" i="18"/>
  <c r="L116" i="18" s="1"/>
  <c r="M116" i="18" s="1"/>
  <c r="K128" i="18"/>
  <c r="L128" i="18" s="1"/>
  <c r="M128" i="18" s="1"/>
  <c r="J69" i="8"/>
  <c r="AH113" i="1"/>
  <c r="K127" i="18"/>
  <c r="L127" i="18" s="1"/>
  <c r="M127" i="18" s="1"/>
  <c r="K115" i="18"/>
  <c r="L115" i="18" s="1"/>
  <c r="M115" i="18" s="1"/>
  <c r="K126" i="18"/>
  <c r="L126" i="18" s="1"/>
  <c r="M126" i="18" s="1"/>
  <c r="K27" i="7"/>
  <c r="L27" i="7" s="1"/>
  <c r="M27" i="7" s="1"/>
  <c r="K24" i="7"/>
  <c r="L24" i="7" s="1"/>
  <c r="M24" i="7" s="1"/>
  <c r="AH146" i="1"/>
  <c r="AH132" i="1"/>
  <c r="D97" i="8"/>
  <c r="E97" i="8" s="1"/>
  <c r="K26" i="7"/>
  <c r="L26" i="7" s="1"/>
  <c r="M26" i="7" s="1"/>
  <c r="K25" i="7"/>
  <c r="L25" i="7" s="1"/>
  <c r="M25" i="7" s="1"/>
  <c r="K23" i="7"/>
  <c r="L23" i="7" s="1"/>
  <c r="M23" i="7" s="1"/>
  <c r="K28" i="7"/>
  <c r="L28" i="7" s="1"/>
  <c r="M28" i="7" s="1"/>
  <c r="AH96" i="1"/>
  <c r="D270" i="9"/>
  <c r="AH102" i="1"/>
  <c r="AH111" i="1"/>
  <c r="AH107" i="1"/>
  <c r="AH144" i="1"/>
  <c r="AH143" i="1"/>
  <c r="AH122" i="1"/>
  <c r="D94" i="13"/>
  <c r="K66" i="13"/>
  <c r="D232" i="9" s="1"/>
  <c r="AH99" i="1"/>
  <c r="K66" i="11"/>
  <c r="D230" i="9" s="1"/>
  <c r="D94" i="11"/>
  <c r="D100" i="11" s="1"/>
  <c r="K66" i="14"/>
  <c r="D233" i="9" s="1"/>
  <c r="D94" i="14"/>
  <c r="AH136" i="1"/>
  <c r="AH147" i="1"/>
  <c r="AH92" i="1"/>
  <c r="K66" i="15"/>
  <c r="D234" i="9" s="1"/>
  <c r="D94" i="15"/>
  <c r="AH104" i="1"/>
  <c r="AH117" i="1"/>
  <c r="AH106" i="1"/>
  <c r="AH101" i="1"/>
  <c r="AH139" i="1"/>
  <c r="AH134" i="1"/>
  <c r="AH108" i="1"/>
  <c r="AH103" i="1"/>
  <c r="AH124" i="1"/>
  <c r="D97" i="10"/>
  <c r="D103" i="10" s="1"/>
  <c r="K69" i="10"/>
  <c r="AH109" i="1"/>
  <c r="AH118" i="1"/>
  <c r="AH152" i="1"/>
  <c r="AH145" i="1"/>
  <c r="J69" i="10"/>
  <c r="B184" i="17"/>
  <c r="AH114" i="1"/>
  <c r="AH93" i="1"/>
  <c r="AH125" i="1"/>
  <c r="AH98" i="1"/>
  <c r="AH119" i="1"/>
  <c r="D192" i="9"/>
  <c r="D186" i="9" s="1"/>
  <c r="B186" i="9"/>
  <c r="D128" i="9" l="1"/>
  <c r="AM19" i="1"/>
  <c r="E16" i="22"/>
  <c r="AR19" i="1"/>
  <c r="J16" i="22"/>
  <c r="AO43" i="1"/>
  <c r="G26" i="22"/>
  <c r="AQ19" i="1"/>
  <c r="I16" i="22"/>
  <c r="AO19" i="1"/>
  <c r="G16" i="22"/>
  <c r="AN19" i="1"/>
  <c r="F16" i="22"/>
  <c r="AN43" i="1"/>
  <c r="F26" i="22"/>
  <c r="AL19" i="1"/>
  <c r="D16" i="22"/>
  <c r="AR43" i="1"/>
  <c r="J26" i="22"/>
  <c r="AS43" i="1"/>
  <c r="K26" i="22"/>
  <c r="AM43" i="1"/>
  <c r="E26" i="22"/>
  <c r="AP43" i="1"/>
  <c r="H26" i="22"/>
  <c r="AL31" i="1"/>
  <c r="D21" i="22"/>
  <c r="AQ43" i="1"/>
  <c r="I26" i="22"/>
  <c r="AL43" i="1"/>
  <c r="D26" i="22"/>
  <c r="AP19" i="1"/>
  <c r="H16" i="22"/>
  <c r="AS19" i="1"/>
  <c r="K16" i="22"/>
  <c r="D253" i="17"/>
  <c r="B128" i="9"/>
  <c r="B104" i="9" s="1"/>
  <c r="D268" i="9"/>
  <c r="B253" i="17"/>
  <c r="B268" i="9"/>
  <c r="F51" i="21"/>
  <c r="Q73" i="21"/>
  <c r="C4" i="22" s="1"/>
  <c r="F24" i="21"/>
  <c r="J74" i="21" s="1"/>
  <c r="D8" i="22" s="1"/>
  <c r="J73" i="21"/>
  <c r="D7" i="22" s="1"/>
  <c r="B279" i="9"/>
  <c r="AM29" i="1"/>
  <c r="AN28" i="1"/>
  <c r="E106" i="8"/>
  <c r="B308" i="9"/>
  <c r="B307" i="9"/>
  <c r="B303" i="9"/>
  <c r="B309" i="9"/>
  <c r="B305" i="9"/>
  <c r="B306" i="9"/>
  <c r="D309" i="9"/>
  <c r="E94" i="12"/>
  <c r="B304" i="9"/>
  <c r="D303" i="9"/>
  <c r="F5" i="18"/>
  <c r="L21" i="18"/>
  <c r="G5" i="18" s="1"/>
  <c r="D101" i="9"/>
  <c r="D96" i="9" s="1"/>
  <c r="J21" i="7"/>
  <c r="K21" i="7" s="1"/>
  <c r="F5" i="7" s="1"/>
  <c r="D110" i="9"/>
  <c r="D105" i="9" s="1"/>
  <c r="D104" i="9" s="1"/>
  <c r="D100" i="16"/>
  <c r="D105" i="16" s="1"/>
  <c r="D107" i="16" s="1"/>
  <c r="D109" i="16" s="1"/>
  <c r="D112" i="16" s="1"/>
  <c r="D116" i="16" s="1"/>
  <c r="B177" i="9"/>
  <c r="B141" i="9"/>
  <c r="B88" i="17"/>
  <c r="D134" i="17"/>
  <c r="D133" i="17" s="1"/>
  <c r="D125" i="17"/>
  <c r="D120" i="17" s="1"/>
  <c r="D102" i="17"/>
  <c r="D97" i="17" s="1"/>
  <c r="D305" i="9"/>
  <c r="D306" i="9"/>
  <c r="D308" i="9"/>
  <c r="D307" i="9"/>
  <c r="AH5" i="1"/>
  <c r="B96" i="17"/>
  <c r="D304" i="9"/>
  <c r="B264" i="17"/>
  <c r="D170" i="17"/>
  <c r="D169" i="17" s="1"/>
  <c r="B169" i="17"/>
  <c r="D110" i="19"/>
  <c r="D112" i="19" s="1"/>
  <c r="D115" i="19" s="1"/>
  <c r="D119" i="19" s="1"/>
  <c r="D103" i="8"/>
  <c r="D105" i="11"/>
  <c r="D107" i="11" s="1"/>
  <c r="D109" i="11" s="1"/>
  <c r="D112" i="11" s="1"/>
  <c r="D116" i="11" s="1"/>
  <c r="B178" i="17"/>
  <c r="D184" i="17"/>
  <c r="D178" i="17" s="1"/>
  <c r="E94" i="15"/>
  <c r="D100" i="15"/>
  <c r="D100" i="13"/>
  <c r="E94" i="13"/>
  <c r="D108" i="10"/>
  <c r="D110" i="10" s="1"/>
  <c r="D112" i="10" s="1"/>
  <c r="D115" i="10" s="1"/>
  <c r="D119" i="10" s="1"/>
  <c r="D105" i="12"/>
  <c r="D107" i="12" s="1"/>
  <c r="D109" i="12" s="1"/>
  <c r="D112" i="12" s="1"/>
  <c r="D116" i="12" s="1"/>
  <c r="E94" i="14"/>
  <c r="D100" i="14"/>
  <c r="H8" i="22" l="1"/>
  <c r="F8" i="22"/>
  <c r="AM31" i="1"/>
  <c r="E21" i="22"/>
  <c r="H7" i="22"/>
  <c r="F7" i="22"/>
  <c r="D2" i="21"/>
  <c r="J75" i="21"/>
  <c r="N74" i="21"/>
  <c r="L74" i="21"/>
  <c r="L73" i="21"/>
  <c r="N73" i="21"/>
  <c r="B288" i="9"/>
  <c r="B296" i="9" s="1"/>
  <c r="AO28" i="1"/>
  <c r="AN29" i="1"/>
  <c r="D108" i="8"/>
  <c r="D110" i="8" s="1"/>
  <c r="D112" i="8" s="1"/>
  <c r="D115" i="8" s="1"/>
  <c r="D119" i="8" s="1"/>
  <c r="M21" i="18"/>
  <c r="M16" i="18" s="1"/>
  <c r="G2" i="18"/>
  <c r="D228" i="9"/>
  <c r="L21" i="7"/>
  <c r="G5" i="7" s="1"/>
  <c r="G2" i="7" s="1"/>
  <c r="B228" i="9"/>
  <c r="D96" i="17"/>
  <c r="D220" i="17" s="1"/>
  <c r="B273" i="17"/>
  <c r="B272" i="17" s="1"/>
  <c r="B220" i="17"/>
  <c r="B219" i="17" s="1"/>
  <c r="D105" i="14"/>
  <c r="D107" i="14" s="1"/>
  <c r="D109" i="14" s="1"/>
  <c r="D112" i="14" s="1"/>
  <c r="D116" i="14" s="1"/>
  <c r="D105" i="13"/>
  <c r="D107" i="13" s="1"/>
  <c r="D109" i="13" s="1"/>
  <c r="D112" i="13" s="1"/>
  <c r="D116" i="13" s="1"/>
  <c r="D105" i="15"/>
  <c r="D107" i="15" s="1"/>
  <c r="D109" i="15" s="1"/>
  <c r="D112" i="15" s="1"/>
  <c r="D116" i="15" s="1"/>
  <c r="L75" i="21" l="1"/>
  <c r="D9" i="22"/>
  <c r="P73" i="21"/>
  <c r="B4" i="22"/>
  <c r="AN31" i="1"/>
  <c r="F21" i="22"/>
  <c r="N75" i="21"/>
  <c r="B302" i="9"/>
  <c r="B287" i="9"/>
  <c r="AP28" i="1"/>
  <c r="AO29" i="1"/>
  <c r="D316" i="9"/>
  <c r="H5" i="18"/>
  <c r="H2" i="18" s="1"/>
  <c r="D227" i="9"/>
  <c r="D284" i="9"/>
  <c r="D279" i="9" s="1"/>
  <c r="D288" i="9" s="1"/>
  <c r="D287" i="9" s="1"/>
  <c r="D236" i="9"/>
  <c r="M21" i="7"/>
  <c r="H5" i="7" s="1"/>
  <c r="B227" i="9"/>
  <c r="B236" i="9"/>
  <c r="B310" i="9" s="1"/>
  <c r="D219" i="17"/>
  <c r="D286" i="17"/>
  <c r="D269" i="17"/>
  <c r="D264" i="17" s="1"/>
  <c r="D273" i="17" s="1"/>
  <c r="D272" i="17" s="1"/>
  <c r="B280" i="17"/>
  <c r="AO31" i="1" l="1"/>
  <c r="G21" i="22"/>
  <c r="F9" i="22"/>
  <c r="H9" i="22"/>
  <c r="AQ28" i="1"/>
  <c r="AP29" i="1"/>
  <c r="D302" i="9"/>
  <c r="D296" i="9"/>
  <c r="D310" i="9" s="1"/>
  <c r="D317" i="9"/>
  <c r="D318" i="9" s="1"/>
  <c r="M16" i="7"/>
  <c r="M12" i="7" s="1"/>
  <c r="M14" i="7" a="1"/>
  <c r="M14" i="7" s="1"/>
  <c r="H2" i="7"/>
  <c r="D287" i="17"/>
  <c r="D288" i="17" s="1"/>
  <c r="D289" i="17" s="1"/>
  <c r="C289" i="17" s="1"/>
  <c r="D280" i="17"/>
  <c r="D120" i="8"/>
  <c r="AP31" i="1" l="1"/>
  <c r="H21" i="22"/>
  <c r="AR28" i="1"/>
  <c r="AQ29" i="1"/>
  <c r="D319" i="9"/>
  <c r="C319" i="9" s="1"/>
  <c r="AQ31" i="1" l="1"/>
  <c r="I21" i="22"/>
  <c r="AR29" i="1"/>
  <c r="AS28" i="1"/>
  <c r="AR31" i="1" l="1"/>
  <c r="J21" i="22"/>
  <c r="AS29" i="1"/>
  <c r="AS31" i="1" l="1"/>
  <c r="K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이하영</author>
  </authors>
  <commentList>
    <comment ref="A275" authorId="0" shapeId="0" xr:uid="{2C918CBC-BAFD-4C71-A09D-684B5CA7A933}">
      <text>
        <r>
          <rPr>
            <b/>
            <sz val="9"/>
            <color indexed="81"/>
            <rFont val="돋움"/>
            <family val="3"/>
            <charset val="129"/>
          </rPr>
          <t>이하영</t>
        </r>
        <r>
          <rPr>
            <b/>
            <sz val="9"/>
            <color indexed="81"/>
            <rFont val="Tahoma"/>
            <family val="2"/>
          </rPr>
          <t>:</t>
        </r>
        <r>
          <rPr>
            <sz val="9"/>
            <color indexed="81"/>
            <rFont val="Tahoma"/>
            <family val="2"/>
          </rPr>
          <t xml:space="preserve">
20.7, 8 ,9 - Only for the information
Already calculated in 20.5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1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4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천재영</author>
  </authors>
  <commentList>
    <comment ref="D86" authorId="0" shapeId="0" xr:uid="{00000000-0006-0000-1100-000001000000}">
      <text>
        <r>
          <rPr>
            <b/>
            <sz val="9"/>
            <color indexed="81"/>
            <rFont val="돋움"/>
            <family val="3"/>
            <charset val="129"/>
          </rPr>
          <t>•</t>
        </r>
        <r>
          <rPr>
            <b/>
            <sz val="9"/>
            <color indexed="81"/>
            <rFont val="Tahoma"/>
            <family val="2"/>
          </rPr>
          <t xml:space="preserve"> bank bills, certificates of deposits (CDs) and debt securities issued by ADIs;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<sst xmlns="http://schemas.openxmlformats.org/spreadsheetml/2006/main" count="8411" uniqueCount="1594">
  <si>
    <t>Asset</t>
  </si>
  <si>
    <t>Liability</t>
  </si>
  <si>
    <t>From</t>
  </si>
  <si>
    <t>To</t>
  </si>
  <si>
    <t>Ref No</t>
  </si>
  <si>
    <t>Ref.</t>
  </si>
  <si>
    <t>Category</t>
  </si>
  <si>
    <t>Asset / 
Liability</t>
  </si>
  <si>
    <t>---Due from Domestic Banks on Demand</t>
  </si>
  <si>
    <t>RCH3001AUD</t>
  </si>
  <si>
    <t>AUSTRALIA AND NEW ZEALAND BANKING GROUP LTD</t>
  </si>
  <si>
    <t>AUD</t>
  </si>
  <si>
    <t>RCH3002AUD</t>
  </si>
  <si>
    <t>RCH3003AUD</t>
  </si>
  <si>
    <t>RCH3004AUD</t>
  </si>
  <si>
    <t>KEB HANA BANK</t>
  </si>
  <si>
    <t>---Due from Oversea Banks on Demand</t>
  </si>
  <si>
    <t>RCH4001USD</t>
  </si>
  <si>
    <t>---Due from Domestic Banks on Time</t>
  </si>
  <si>
    <t>---NCD - Comercial Bank</t>
  </si>
  <si>
    <t>---Loans On Bills (Operation-Short Term-Domestic)</t>
  </si>
  <si>
    <t>COSMAX NBT AUSTRALIA PTY LTD</t>
  </si>
  <si>
    <t>---Syndicated Loans (Long Term) - Domestic</t>
  </si>
  <si>
    <t>PERDAMAN CHEMICALS &amp; FERTILISERS (FINANCE)PTY LTD</t>
  </si>
  <si>
    <t>--Allowance For Loan Losses - General</t>
  </si>
  <si>
    <t>OL5904230000006</t>
  </si>
  <si>
    <t>USD</t>
  </si>
  <si>
    <t>OL5904230000007</t>
  </si>
  <si>
    <t>---A.I.R ON OPERATION LOANS</t>
  </si>
  <si>
    <t>---A.I.R ON SYNDICATED LOANS</t>
  </si>
  <si>
    <t>---A.I.R On CD Purcase</t>
  </si>
  <si>
    <t>---A.I.R ON OTHERS</t>
  </si>
  <si>
    <t>---Information Technology system Tools</t>
  </si>
  <si>
    <t>NONGHYUP BANK SYDNEY BRANCH</t>
  </si>
  <si>
    <t>---Equipment and management tools</t>
  </si>
  <si>
    <t>---Others</t>
  </si>
  <si>
    <t>---Right of Use Assets</t>
  </si>
  <si>
    <t>--DEFERRED TAX ASSET</t>
  </si>
  <si>
    <t>OT5904220000216</t>
  </si>
  <si>
    <t>--INTEROFFICE EUL(A) A/C</t>
  </si>
  <si>
    <t>NONGHYUP BANK</t>
  </si>
  <si>
    <t>---A.I.P ON INTER OFFICE ACCOUNT</t>
  </si>
  <si>
    <t>---Unearned Income ON SYNDICATED LOANS</t>
  </si>
  <si>
    <t>DA5904230000001</t>
  </si>
  <si>
    <t>--Term Deposits - Non-financial corporates and PSEs</t>
  </si>
  <si>
    <t>KORES AUSTRALIA PTY LTD</t>
  </si>
  <si>
    <t>---A.I.P ON TIME DEPOSIT</t>
  </si>
  <si>
    <t>---ACCOUNT PAYABLE(EXPENSE)</t>
  </si>
  <si>
    <t>---ACCOUNT PAYABLE(OTHER)</t>
  </si>
  <si>
    <t>---ACCOUNT PAYABLE(Other Income tax withholding)</t>
  </si>
  <si>
    <t>--Lease Liabilities</t>
  </si>
  <si>
    <t>FA5904220000052</t>
  </si>
  <si>
    <t>--Inter-Office Account KAB-A</t>
  </si>
  <si>
    <t>--Inter-Office Account EUL-Borrowing</t>
  </si>
  <si>
    <t>--CURRENT YEAR LOSS</t>
  </si>
  <si>
    <t>Middle Category</t>
  </si>
  <si>
    <t>Customer Type</t>
  </si>
  <si>
    <t>LCR Maturity</t>
  </si>
  <si>
    <t># of Days</t>
  </si>
  <si>
    <t xml:space="preserve">
HQLA or Weighted Amount</t>
  </si>
  <si>
    <t>HQLA</t>
  </si>
  <si>
    <t>Deposit_Asset</t>
  </si>
  <si>
    <t>Deposit_Asset(Our)</t>
  </si>
  <si>
    <t>Inflow</t>
  </si>
  <si>
    <t>Deposit_Asset(Our)_</t>
  </si>
  <si>
    <t>Tomorrow</t>
  </si>
  <si>
    <t>CA / CL 
AMT</t>
  </si>
  <si>
    <t>Act</t>
  </si>
  <si>
    <t>Account Name</t>
  </si>
  <si>
    <t>Loan</t>
  </si>
  <si>
    <t>Other_Asset</t>
  </si>
  <si>
    <t>Other_Asset (Other assets)</t>
  </si>
  <si>
    <t xml:space="preserve">Inter-office_Asset </t>
  </si>
  <si>
    <t>Other_Asset (Fixed assets)</t>
  </si>
  <si>
    <t>OFF_Ccy. Forward Buy</t>
  </si>
  <si>
    <t>OFF_Ccy. Forward Buy (Outright Forward)</t>
  </si>
  <si>
    <t>OFF_IRS Buy (Trade)</t>
  </si>
  <si>
    <t>OFF_IRS Buy (I/O)</t>
  </si>
  <si>
    <t>Deposit_Liability</t>
  </si>
  <si>
    <t>On-demand Deposit</t>
  </si>
  <si>
    <t>Outflow</t>
  </si>
  <si>
    <t>Other deposit (Time deposit)</t>
  </si>
  <si>
    <t>Deposit_Liability(CD)</t>
  </si>
  <si>
    <t>Deposit (Certificate of Deposit)</t>
  </si>
  <si>
    <t>Borrowing</t>
  </si>
  <si>
    <t>Borrowing (Short term borrowoing)</t>
  </si>
  <si>
    <t>Inter-office_Liability</t>
  </si>
  <si>
    <t>Inter-office (Inter-office A/Paid-in capital)</t>
  </si>
  <si>
    <t>Inter-office (Inter-office borrowing-short term)</t>
  </si>
  <si>
    <t>Other_Liability</t>
  </si>
  <si>
    <t>Other_Liability (Other liabilities)</t>
  </si>
  <si>
    <t>Other_Liability (Provision)</t>
  </si>
  <si>
    <t>Equity</t>
  </si>
  <si>
    <t>OFF_LC Issued</t>
  </si>
  <si>
    <t>OFF_Acceptance, etc</t>
  </si>
  <si>
    <t>OFF_Other Guarantee</t>
  </si>
  <si>
    <t>OFF_Unused Loan Commitment</t>
  </si>
  <si>
    <t>OFF_Ccy. Forward Sell</t>
  </si>
  <si>
    <t>OFF_Ccy. Forward Sell (Unsettled Forward among FX swaps)</t>
  </si>
  <si>
    <t>OFF_IRS Sell (Trade)</t>
  </si>
  <si>
    <t>OFF_IRS Sell (I/O)</t>
  </si>
  <si>
    <t>Other_Liability (Position)</t>
  </si>
  <si>
    <t>OFF_Other</t>
  </si>
  <si>
    <t>ACT</t>
  </si>
  <si>
    <t>ACCOUNT NAME</t>
  </si>
  <si>
    <t>10101001</t>
  </si>
  <si>
    <t>--CASH ON HAND</t>
  </si>
  <si>
    <t>10103001</t>
  </si>
  <si>
    <t>--FOREIGN CURRENCIES ON HAND</t>
  </si>
  <si>
    <t>10310001</t>
  </si>
  <si>
    <t>---Securities - FVOCI Federal</t>
  </si>
  <si>
    <t>10310002</t>
  </si>
  <si>
    <t>---Securities - FVOCI State</t>
  </si>
  <si>
    <t>10310003</t>
  </si>
  <si>
    <t>---Foreign GovT &amp; Official Institution - FVOCI</t>
  </si>
  <si>
    <t>10211001</t>
  </si>
  <si>
    <t>---Due From State Bank</t>
  </si>
  <si>
    <t>10212001</t>
  </si>
  <si>
    <t>10212002</t>
  </si>
  <si>
    <t>10213002</t>
  </si>
  <si>
    <t>---Due from Oversea Banks on Time</t>
  </si>
  <si>
    <t>10213001</t>
  </si>
  <si>
    <t>Deposit_Asset</t>
    <phoneticPr fontId="3" type="noConversion"/>
  </si>
  <si>
    <t>10255002</t>
  </si>
  <si>
    <t>10256002</t>
  </si>
  <si>
    <t>---CD Purchase - Oversea Banks</t>
  </si>
  <si>
    <t>10410001</t>
  </si>
  <si>
    <t>--SIGHT BILLS BOUGHT</t>
  </si>
  <si>
    <t>10410004</t>
  </si>
  <si>
    <t>--USANCE BILLS BOUGHT-D/A</t>
  </si>
  <si>
    <t>10410005</t>
  </si>
  <si>
    <t>--T/B BOUGHT-EXPORT NEGO</t>
  </si>
  <si>
    <t>10410006</t>
  </si>
  <si>
    <t>--T/B BOUGHT-EXPORT REIM</t>
  </si>
  <si>
    <t>10410091</t>
  </si>
  <si>
    <t>--OTHERS BILLS BOUGHT</t>
  </si>
  <si>
    <t>10420002</t>
  </si>
  <si>
    <t>--BILLS DIST. BANKER'S ACCEPTANCE (DOMESTIC)</t>
  </si>
  <si>
    <t>10420003</t>
  </si>
  <si>
    <t>--BILLS DIST. BANKER'S ACCEPTANCE (OVERSEAS)</t>
  </si>
  <si>
    <t>Trade Finance_Asset</t>
    <phoneticPr fontId="3" type="noConversion"/>
  </si>
  <si>
    <t>10610001</t>
  </si>
  <si>
    <t>---LOANS ON BILLS (T/R)</t>
  </si>
  <si>
    <t>10610002</t>
  </si>
  <si>
    <t>---LOANS ON BILLS (PERSONAL)</t>
  </si>
  <si>
    <t>10610003</t>
  </si>
  <si>
    <t>---Loans On Bills (Operation-Term)</t>
  </si>
  <si>
    <t>10610004</t>
  </si>
  <si>
    <t>---Loans On Bills (Operation-Credit Line/ Revolving)</t>
  </si>
  <si>
    <t>10610005</t>
  </si>
  <si>
    <t>10610006</t>
  </si>
  <si>
    <t>---Loans On Bills (Operation-Short Term-Overseas)</t>
  </si>
  <si>
    <t>10610008</t>
  </si>
  <si>
    <t>---Loans On Bills (Mortgage)</t>
  </si>
  <si>
    <t>10610011</t>
  </si>
  <si>
    <t>---Loans On Bills (Equipment-Term)-Overseas</t>
  </si>
  <si>
    <t>10620001</t>
  </si>
  <si>
    <t>---SYN-Working Capital Loan - Domestic</t>
  </si>
  <si>
    <t>10620002</t>
  </si>
  <si>
    <t>---SYN-Working Capital Loan - Overseas</t>
  </si>
  <si>
    <t>10630001</t>
  </si>
  <si>
    <t>10630002</t>
  </si>
  <si>
    <t>---Syndicated Loans (Long Term) - Overrseas</t>
  </si>
  <si>
    <t>10680001</t>
  </si>
  <si>
    <t>---LOAN ORIGINATION FEE,LOF</t>
  </si>
  <si>
    <t>10680002</t>
  </si>
  <si>
    <t>---LOAN ORIGINATION COST,LOC</t>
  </si>
  <si>
    <t>Non Cash Flow</t>
  </si>
  <si>
    <t>Non Cash Flow</t>
    <phoneticPr fontId="3" type="noConversion"/>
  </si>
  <si>
    <t>10690001</t>
  </si>
  <si>
    <t>10690002</t>
  </si>
  <si>
    <t>--Allowance For Loan Losses - Specific</t>
  </si>
  <si>
    <t>10690003</t>
  </si>
  <si>
    <t>--Allowance for Due from Banks</t>
  </si>
  <si>
    <t>10690004</t>
  </si>
  <si>
    <t>--Allowance for NCD</t>
  </si>
  <si>
    <t>10690005</t>
  </si>
  <si>
    <t>--Allowance for AC Investment Securities</t>
  </si>
  <si>
    <t>10690006</t>
  </si>
  <si>
    <t>--Allowance for Lending</t>
  </si>
  <si>
    <t>10690007</t>
  </si>
  <si>
    <t>--Allowance for Call Loan</t>
  </si>
  <si>
    <t>10690008</t>
  </si>
  <si>
    <t>--Allowance for Trade Finance</t>
  </si>
  <si>
    <t>10910001</t>
  </si>
  <si>
    <t>---A.I.R ON T/R LOANS</t>
  </si>
  <si>
    <t>10910002</t>
  </si>
  <si>
    <t>---A.I.R ON PERSONAL LOANS</t>
  </si>
  <si>
    <t>10910003</t>
  </si>
  <si>
    <t>10910004</t>
  </si>
  <si>
    <t>---A.I.R ON MORTGAGE LOANS</t>
  </si>
  <si>
    <t>10910005</t>
  </si>
  <si>
    <t>---A.I.R ON EQUIPMENT LOANS</t>
  </si>
  <si>
    <t>10910006</t>
  </si>
  <si>
    <t>10910007</t>
  </si>
  <si>
    <t>---A.I.R ON OTHER LOANS</t>
  </si>
  <si>
    <t>10910008</t>
  </si>
  <si>
    <t>---A.I.R ON BILLS BOUGHT</t>
  </si>
  <si>
    <t>10910009</t>
  </si>
  <si>
    <t>---A.I.R ON BILLS DISCOUNT</t>
  </si>
  <si>
    <t>10910011</t>
  </si>
  <si>
    <t>---A.I.R ON STATE TREASURY SECURITIES</t>
  </si>
  <si>
    <t>10910012</t>
  </si>
  <si>
    <t>---A.I.R ON STATE GOV'T OR AGENCY SECURITIES</t>
  </si>
  <si>
    <t>10910013</t>
  </si>
  <si>
    <t>---A.I.R ON FOREIGN GOV'T &amp; OFFICIAL INSTIT'S SECURITIES</t>
  </si>
  <si>
    <t>10910014</t>
  </si>
  <si>
    <t>---A.I.R ON CORPORATION SECURITIES</t>
  </si>
  <si>
    <t>10910015</t>
  </si>
  <si>
    <t>---A.I.R ON FINANCIAL INSTITUTION SECURITIES</t>
  </si>
  <si>
    <t>10910016</t>
  </si>
  <si>
    <t>---A.I.R ON OTHER SECURITIES</t>
  </si>
  <si>
    <t>10910023</t>
  </si>
  <si>
    <t>10910026</t>
  </si>
  <si>
    <t>---A.I.R On Due From Banks On Time</t>
  </si>
  <si>
    <t>10910027</t>
  </si>
  <si>
    <t>---A.I.R On Derivatives For Swaps</t>
  </si>
  <si>
    <t>10910091</t>
  </si>
  <si>
    <t>10920001</t>
  </si>
  <si>
    <t>---PREPAID INTEREST SEC. INVESTMENTS</t>
  </si>
  <si>
    <t>10920002</t>
  </si>
  <si>
    <t>---PREPAID INTEREST INTEROFFICE</t>
  </si>
  <si>
    <t>10920003</t>
  </si>
  <si>
    <t>---PREPAID INSURANCE</t>
  </si>
  <si>
    <t>10920004</t>
  </si>
  <si>
    <t>---PREPAID TAXS</t>
  </si>
  <si>
    <t>10920005</t>
  </si>
  <si>
    <t>---PREPAID OTHER EXPENSE</t>
  </si>
  <si>
    <t>10920006</t>
  </si>
  <si>
    <t>---PREPAID INTEREST CALL MONEY</t>
  </si>
  <si>
    <t>10920007</t>
  </si>
  <si>
    <t>---PREPAID INTEREST ST BORROWING</t>
  </si>
  <si>
    <t>10920008</t>
  </si>
  <si>
    <t>---PREPAID INTEREST LT BORROWING</t>
  </si>
  <si>
    <t>10920009</t>
  </si>
  <si>
    <t>---Prepaid Int. Ceritificate of Deposit - NCD</t>
  </si>
  <si>
    <t>10920011</t>
  </si>
  <si>
    <t>---PREPAID VALUE ADDED TAX(VAT)</t>
  </si>
  <si>
    <t>10920012</t>
  </si>
  <si>
    <t>---Prepaid Expenses for Tangible Tools and Equipment</t>
  </si>
  <si>
    <t>10920013</t>
  </si>
  <si>
    <t>---Prepaid Expenses for Intangible Tools and Equipmen</t>
  </si>
  <si>
    <t>10920014</t>
  </si>
  <si>
    <t>---Prepaid Interset Bond Issue</t>
  </si>
  <si>
    <t>10991001</t>
  </si>
  <si>
    <t>---ACCOUNT RECEIVABLE</t>
  </si>
  <si>
    <t>10991002</t>
  </si>
  <si>
    <t>---SUSPENSE RECEIVABLE</t>
  </si>
  <si>
    <t>12110002</t>
  </si>
  <si>
    <t>12110003</t>
  </si>
  <si>
    <t>---Vehicles and Transportation Equipment</t>
  </si>
  <si>
    <t>12110004</t>
  </si>
  <si>
    <t>12110005</t>
  </si>
  <si>
    <t>12120001</t>
  </si>
  <si>
    <t>---SOFTWARE</t>
  </si>
  <si>
    <t>12120003</t>
  </si>
  <si>
    <t>12120004</t>
  </si>
  <si>
    <t>---Membership</t>
  </si>
  <si>
    <t>12130001</t>
  </si>
  <si>
    <t>12310002</t>
  </si>
  <si>
    <t>12310003</t>
  </si>
  <si>
    <t>12310004</t>
  </si>
  <si>
    <t>12310005</t>
  </si>
  <si>
    <t>12320001</t>
  </si>
  <si>
    <t>12320003</t>
  </si>
  <si>
    <t>12330001</t>
  </si>
  <si>
    <t>Other_Asset (Lease)</t>
    <phoneticPr fontId="3" type="noConversion"/>
  </si>
  <si>
    <t>13101001</t>
  </si>
  <si>
    <t>14101002</t>
  </si>
  <si>
    <t>---Interest rate swap - Trading</t>
  </si>
  <si>
    <t>14101012</t>
  </si>
  <si>
    <t>---Interest rate swap - Hedging</t>
  </si>
  <si>
    <t>14102001</t>
  </si>
  <si>
    <t>---DERIVATIVES FOR SECURITY FORWARD</t>
  </si>
  <si>
    <t>14103001</t>
  </si>
  <si>
    <t>---FX Forward - Trading</t>
  </si>
  <si>
    <t>15100002</t>
  </si>
  <si>
    <t>15100004</t>
  </si>
  <si>
    <t>--BD BANKER'S ACCEPTANCE</t>
  </si>
  <si>
    <t>18800002</t>
  </si>
  <si>
    <t>Inter-office_Asset (inter-office A)</t>
    <phoneticPr fontId="3" type="noConversion"/>
  </si>
  <si>
    <t>Inter-office_Asset (inter-office (EUBB))</t>
    <phoneticPr fontId="3" type="noConversion"/>
  </si>
  <si>
    <t>20111001</t>
  </si>
  <si>
    <t>--Due From State Bank O/D</t>
  </si>
  <si>
    <t>20112001</t>
  </si>
  <si>
    <t>---Due from Domestic Banks on Demand O/D</t>
  </si>
  <si>
    <t>20112002</t>
  </si>
  <si>
    <t>---Due from Oversea Banks on Demand O/D</t>
  </si>
  <si>
    <t>20121001</t>
  </si>
  <si>
    <t>--Demand Deposits - Non-financial corporates and PSE</t>
  </si>
  <si>
    <t>20121002</t>
  </si>
  <si>
    <t>--Demand Deposits - ADI/bank</t>
  </si>
  <si>
    <t>20121003</t>
  </si>
  <si>
    <t>--Demand Deposits - Retail customer</t>
  </si>
  <si>
    <t>20121004</t>
  </si>
  <si>
    <t>--Demand Deposits - SME</t>
  </si>
  <si>
    <t>20121005</t>
  </si>
  <si>
    <t>--Demand Deposits - Other financial institutions</t>
  </si>
  <si>
    <t>20121006</t>
  </si>
  <si>
    <t>--Demand Deposits - Non Residents</t>
  </si>
  <si>
    <t>20122001</t>
  </si>
  <si>
    <t>20122002</t>
  </si>
  <si>
    <t>--Term Deposits - ADI/bank</t>
  </si>
  <si>
    <t>20122003</t>
  </si>
  <si>
    <t>--Term Deposits - Retail customer</t>
  </si>
  <si>
    <t>20122004</t>
  </si>
  <si>
    <t>--Term Deposits - SME</t>
  </si>
  <si>
    <t>20122005</t>
  </si>
  <si>
    <t>--Term Deposits - Other financial institutions</t>
  </si>
  <si>
    <t>20122006</t>
  </si>
  <si>
    <t>--Term Deposits - Non Residents</t>
  </si>
  <si>
    <t>20123001</t>
  </si>
  <si>
    <t>--NCD - Domestic</t>
  </si>
  <si>
    <t>20123002</t>
  </si>
  <si>
    <t>--NCD - Overseas</t>
  </si>
  <si>
    <t>20402001</t>
  </si>
  <si>
    <t>---CALL MONEY O/N - DOMESTIC</t>
  </si>
  <si>
    <t>20402002</t>
  </si>
  <si>
    <t>---CALL MONEY WITHIN 3M - DOMESTIC</t>
  </si>
  <si>
    <t>20402003</t>
  </si>
  <si>
    <t>---ST BORROWING OVER 3M - DOMESTIC</t>
  </si>
  <si>
    <t>20403001</t>
  </si>
  <si>
    <t>---CALL MONEY O/N - OVERSEA</t>
  </si>
  <si>
    <t>20403002</t>
  </si>
  <si>
    <t>---CALL MONEY WITHIN 3M - OVERSEA</t>
  </si>
  <si>
    <t>20403003</t>
  </si>
  <si>
    <t>---ST BORROWING OVER 3M - OVERSEA</t>
  </si>
  <si>
    <t>20404001</t>
  </si>
  <si>
    <t>---LONG TERM BORROWING - DOMESTIC</t>
  </si>
  <si>
    <t>20405001</t>
  </si>
  <si>
    <t>---LONG TERM BORROWING - OVERSEA</t>
  </si>
  <si>
    <t>20406001</t>
  </si>
  <si>
    <t>---TCD - Domestic</t>
  </si>
  <si>
    <t>20406002</t>
  </si>
  <si>
    <t>---TCD - Overseas</t>
  </si>
  <si>
    <t>20651001</t>
  </si>
  <si>
    <t>---Bond Issue - Domestic</t>
  </si>
  <si>
    <t>20651002</t>
  </si>
  <si>
    <t>---Bond Issue - Overseas</t>
  </si>
  <si>
    <t>20652001</t>
  </si>
  <si>
    <t>---Discount Bonds Payable</t>
  </si>
  <si>
    <t>20652002</t>
  </si>
  <si>
    <t>---Premium Bonds Payable</t>
  </si>
  <si>
    <t>20910002</t>
  </si>
  <si>
    <t>---A.I.P ON DEMAND DEPOSIT</t>
  </si>
  <si>
    <t>20910003</t>
  </si>
  <si>
    <t>20910004</t>
  </si>
  <si>
    <t>---A.I.P ON CERTIFICATE OF DEPOSITS - NCD</t>
  </si>
  <si>
    <t>20910006</t>
  </si>
  <si>
    <t>---A.I.P ON SHORT TERM BORROWING</t>
  </si>
  <si>
    <t>20910007</t>
  </si>
  <si>
    <t>---A.I.P ON LONG TERM BORROWING</t>
  </si>
  <si>
    <t>20910008</t>
  </si>
  <si>
    <t>20910009</t>
  </si>
  <si>
    <t>---A.I.P ON OTHERS</t>
  </si>
  <si>
    <t>20910011</t>
  </si>
  <si>
    <t>---A.I.P ON CALL MONEY</t>
  </si>
  <si>
    <t>20910012</t>
  </si>
  <si>
    <t>---A.I.P ON BOND ISSUE</t>
  </si>
  <si>
    <t>20910013</t>
  </si>
  <si>
    <t>---A.I.P On Derivatives For Swaps</t>
  </si>
  <si>
    <t>20920001</t>
  </si>
  <si>
    <t>---Unearned Income ON TRADE LOANS</t>
  </si>
  <si>
    <t>20920002</t>
  </si>
  <si>
    <t>---Unearned Income ON PERSONAL LOANS</t>
  </si>
  <si>
    <t>20920003</t>
  </si>
  <si>
    <t>---Unearned Income ON OPERATION LOANS</t>
  </si>
  <si>
    <t>20920004</t>
  </si>
  <si>
    <t>---Unearned Income ON MORTGAGE LOANS</t>
  </si>
  <si>
    <t>20920005</t>
  </si>
  <si>
    <t>---Unearned Income ON EQUIPMENT LOANS</t>
  </si>
  <si>
    <t>20920006</t>
  </si>
  <si>
    <t>20920007</t>
  </si>
  <si>
    <t>---Unearned Income ON OTHER LOANS</t>
  </si>
  <si>
    <t>20920008</t>
  </si>
  <si>
    <t>---Unearned Income ON BILLS BOUGHT</t>
  </si>
  <si>
    <t>20920009</t>
  </si>
  <si>
    <t>---Unearned Income ON BILLS DISCOUNT</t>
  </si>
  <si>
    <t>20920011</t>
  </si>
  <si>
    <t>---Unearned INCOME ON STATE TREASURY SECURITIES</t>
  </si>
  <si>
    <t>20920012</t>
  </si>
  <si>
    <t>---UNEARNED INCOME ON STATE GOVT OR AGENCY SECURITIES</t>
  </si>
  <si>
    <t>20920013</t>
  </si>
  <si>
    <t>---UNEARNED INCOME ON FOREIGN GOVT&amp;OFFICIAL SEC</t>
  </si>
  <si>
    <t>20920014</t>
  </si>
  <si>
    <t>---Unearned Income ON CORPORATION SECURITIES</t>
  </si>
  <si>
    <t>20920015</t>
  </si>
  <si>
    <t>---Unearned Income ON FINANCIAL INSTITUTION SEC</t>
  </si>
  <si>
    <t>20920016</t>
  </si>
  <si>
    <t>---Unearned Income ON OTHER SECURITIES</t>
  </si>
  <si>
    <t>20920017</t>
  </si>
  <si>
    <t>---Unearned Income On Letter of Guarantee</t>
  </si>
  <si>
    <t>20920018</t>
  </si>
  <si>
    <t>---Unearned Income ON ACCEPTANCES</t>
  </si>
  <si>
    <t>20920019</t>
  </si>
  <si>
    <t>---UNEARNED INCOME ON L/C</t>
  </si>
  <si>
    <t>20920021</t>
  </si>
  <si>
    <t>---Unearned Income ON CALL MONEY</t>
  </si>
  <si>
    <t>20920022</t>
  </si>
  <si>
    <t>---Unearned Income ON ST LENDING</t>
  </si>
  <si>
    <t>20920023</t>
  </si>
  <si>
    <t>---UNEARNED INCOME ON CD Purcase</t>
  </si>
  <si>
    <t>20920024</t>
  </si>
  <si>
    <t>---UNEARNED INCOME ON LT LENDING</t>
  </si>
  <si>
    <t>20920025</t>
  </si>
  <si>
    <t>---UNEARNED INCOME ON AD CONFIRM CHARGE</t>
  </si>
  <si>
    <t>20920026</t>
  </si>
  <si>
    <t>---Allowance</t>
  </si>
  <si>
    <t>20920027</t>
  </si>
  <si>
    <t>---Allowance for other Employee-related</t>
  </si>
  <si>
    <t>20970001</t>
  </si>
  <si>
    <t>---ACCOUNT PAYABLE(REMITTANCE)</t>
  </si>
  <si>
    <t>20970002</t>
  </si>
  <si>
    <t>---ACCOUNT PAYABLE(COMMISSION)</t>
  </si>
  <si>
    <t>20970003</t>
  </si>
  <si>
    <t>20970004</t>
  </si>
  <si>
    <t>20970005</t>
  </si>
  <si>
    <t>20980001</t>
  </si>
  <si>
    <t>---SP TO BE REPLACED BY B/S ACCOUNT</t>
  </si>
  <si>
    <t>20980002</t>
  </si>
  <si>
    <t>---SP TO BE REPLACED BY I/S ACCOUNT</t>
  </si>
  <si>
    <t>20990013</t>
  </si>
  <si>
    <t>---Tax Withholding for Income from Interests</t>
  </si>
  <si>
    <t>20990014</t>
  </si>
  <si>
    <t>---Payable Value Added Tax(VAT)</t>
  </si>
  <si>
    <t>20990015</t>
  </si>
  <si>
    <t>---Corporate Income Tax Payable</t>
  </si>
  <si>
    <t>20990016</t>
  </si>
  <si>
    <t>---FBT Payable</t>
  </si>
  <si>
    <t>20990017</t>
  </si>
  <si>
    <t>---Payroll Tax Payable</t>
  </si>
  <si>
    <t>23100101</t>
  </si>
  <si>
    <t>--DEFERRED TAX LIABILITIES - TAX</t>
  </si>
  <si>
    <t>23200001</t>
  </si>
  <si>
    <t>24101002</t>
  </si>
  <si>
    <t>24101012</t>
  </si>
  <si>
    <t>24102001</t>
  </si>
  <si>
    <t>24103001</t>
  </si>
  <si>
    <t>25100001</t>
  </si>
  <si>
    <t>25100002</t>
  </si>
  <si>
    <t>--Inter-Office Account EUL-A</t>
  </si>
  <si>
    <t>25100003</t>
  </si>
  <si>
    <t>28810001</t>
  </si>
  <si>
    <t>--Retained Earnings Carried over from Prior Year</t>
  </si>
  <si>
    <t>28810002</t>
  </si>
  <si>
    <t>--CURRENT YEAR PROFIT</t>
  </si>
  <si>
    <t>28810019</t>
  </si>
  <si>
    <t>--Net Income</t>
  </si>
  <si>
    <t>28820001</t>
  </si>
  <si>
    <t>---UNREALIZED GAIN AFS (SEC. VAL)</t>
  </si>
  <si>
    <t>28820002</t>
  </si>
  <si>
    <t>---UNREALIZED LOSS AFS (SEC. VAL)</t>
  </si>
  <si>
    <t>28820003</t>
  </si>
  <si>
    <t>---FVOCI Securities (ECL)</t>
  </si>
  <si>
    <t>28900001</t>
  </si>
  <si>
    <t>*POSITION(OVER BOUGHT)</t>
  </si>
  <si>
    <t>Borrowing (Long term borrowoing)</t>
    <phoneticPr fontId="3" type="noConversion"/>
  </si>
  <si>
    <t>Deposit_Liability(TCD)</t>
    <phoneticPr fontId="3" type="noConversion"/>
  </si>
  <si>
    <t>Deposit (Term Certificate of Deposit)</t>
    <phoneticPr fontId="3" type="noConversion"/>
  </si>
  <si>
    <t>Other_Liability (Lease)</t>
    <phoneticPr fontId="3" type="noConversion"/>
  </si>
  <si>
    <t>Inter-office (Inter-office A)</t>
    <phoneticPr fontId="3" type="noConversion"/>
  </si>
  <si>
    <t>61000001</t>
  </si>
  <si>
    <t>--FORWARD EXCHANGE BOUGHT</t>
  </si>
  <si>
    <t>61000002</t>
  </si>
  <si>
    <t>--FORWARD EXCHANGE SOLD (CONTRA)</t>
  </si>
  <si>
    <t>61010001</t>
  </si>
  <si>
    <t>---Import L/C Issue_at Sight</t>
  </si>
  <si>
    <t>61010002</t>
  </si>
  <si>
    <t>---Outstanding Usance L/C</t>
  </si>
  <si>
    <t>61010003</t>
  </si>
  <si>
    <t>---Outstanding Stb L/C</t>
  </si>
  <si>
    <t>61040003</t>
  </si>
  <si>
    <t>---Guarantee - Letter of Guarantee</t>
  </si>
  <si>
    <t>61040004</t>
  </si>
  <si>
    <t>---Cust Liabs On Guarantees (Bonds)</t>
  </si>
  <si>
    <t>62010001</t>
  </si>
  <si>
    <t>---General Loan Commitments (over 1 year)</t>
  </si>
  <si>
    <t>62010002</t>
  </si>
  <si>
    <t>---Syndicate Commitments (over 1 year)</t>
  </si>
  <si>
    <t>62020001</t>
  </si>
  <si>
    <t>---General Loan Commitments (less 1 year)</t>
  </si>
  <si>
    <t>62020002</t>
  </si>
  <si>
    <t>---Syndicate Commitments (less 1 year)</t>
  </si>
  <si>
    <t>62030002</t>
  </si>
  <si>
    <t>---CONTRACTS ON SECURITIES</t>
  </si>
  <si>
    <t>OFF_Contract on Securities</t>
  </si>
  <si>
    <t>HQLA
Non Cash Flow
Cash Inflow
/Outflow</t>
    <phoneticPr fontId="3" type="noConversion"/>
  </si>
  <si>
    <t>CUST_NO</t>
  </si>
  <si>
    <t>CUST_ENM</t>
  </si>
  <si>
    <t>Non-financialcorporations</t>
  </si>
  <si>
    <t>SME</t>
  </si>
  <si>
    <t>Household</t>
  </si>
  <si>
    <t>Other Institution</t>
  </si>
  <si>
    <t>Financialinstitutions</t>
  </si>
  <si>
    <t>In/Out</t>
  </si>
  <si>
    <t>IN</t>
  </si>
  <si>
    <t>Deposit_Asset_</t>
  </si>
  <si>
    <t>Loan_Household</t>
  </si>
  <si>
    <t>Loan_SME</t>
  </si>
  <si>
    <t>Loan_Non-financialcorporations</t>
  </si>
  <si>
    <t>Advance(Loan Guarantee)</t>
  </si>
  <si>
    <t>Loan_Advance(Loan Guarantee)</t>
  </si>
  <si>
    <t>Private placement-Corp Bonds</t>
  </si>
  <si>
    <t>Loan_Private placement-Corp Bonds</t>
  </si>
  <si>
    <t>EUBB</t>
  </si>
  <si>
    <t>Loan_EUBB</t>
  </si>
  <si>
    <t>Loan_Financialinstitutions</t>
  </si>
  <si>
    <t>Other_Asset (Other assets)_</t>
  </si>
  <si>
    <t>Other_Asset (Fixed assets)_</t>
  </si>
  <si>
    <t>OFF_Ccy. Forward Buy (Outright Forward)_</t>
  </si>
  <si>
    <t>OFF_IRS Buy (Trade)_</t>
  </si>
  <si>
    <t>OFF_IRS Buy (I/O)_</t>
  </si>
  <si>
    <t>On-demand Deposit_Household</t>
  </si>
  <si>
    <t xml:space="preserve"> OUT</t>
  </si>
  <si>
    <t>On-demand Deposit_SME</t>
  </si>
  <si>
    <t>On-demand Deposit_Non-financialcorporations</t>
  </si>
  <si>
    <t>On-demand Deposit_Other Institution</t>
  </si>
  <si>
    <t>On-demand Deposit_Financialinstitutions</t>
  </si>
  <si>
    <t>Other deposit (Time deposit)_Household</t>
  </si>
  <si>
    <t>Other deposit (Time deposit)_SME</t>
  </si>
  <si>
    <t>Other deposit (Time deposit)_Non-financialcorporations</t>
  </si>
  <si>
    <t>Other deposit (Time deposit)_Other Institution</t>
  </si>
  <si>
    <t>Other deposit (Time deposit)_Financialinstitutions</t>
  </si>
  <si>
    <t>Deposit (Certificate of Deposit)_</t>
  </si>
  <si>
    <t>Borrowing (Short term borrowoing)_</t>
  </si>
  <si>
    <t>Inter-office (Inter-office A/Paid-in capital)_</t>
  </si>
  <si>
    <t>Inter-office (Inter-office borrowing-short term)_</t>
  </si>
  <si>
    <t>Other_Liability (Other liabilities)_</t>
  </si>
  <si>
    <t>Other_Liability (Provision)_</t>
  </si>
  <si>
    <t>Other_Liability (Position)_</t>
  </si>
  <si>
    <t>Equity_</t>
  </si>
  <si>
    <t>OFF_LC Issued_</t>
  </si>
  <si>
    <t>OFF_Acceptance, etc_</t>
  </si>
  <si>
    <t>OFF_Other Guarantee_</t>
  </si>
  <si>
    <t>OFF_Unused Loan Commitment_Household</t>
  </si>
  <si>
    <t>OFF_Unused Loan Commitment_SME</t>
  </si>
  <si>
    <t>OFF_Unused Loan Commitment_Non-financialcorporations</t>
  </si>
  <si>
    <t>OFF_Ccy. Forward Sell (Unsettled Forward among FX swaps)_</t>
  </si>
  <si>
    <t>OFF_IRS Sell (Trade)_</t>
  </si>
  <si>
    <t>OFF_IRS Sell (I/O)_</t>
  </si>
  <si>
    <t>OFF_Other_</t>
  </si>
  <si>
    <t>HQLA/Non Cash Flow
Cash Inflow
/Outflow</t>
    <phoneticPr fontId="3" type="noConversion"/>
  </si>
  <si>
    <t>Derivative_Asset</t>
  </si>
  <si>
    <t>Derivative_Asset</t>
    <phoneticPr fontId="3" type="noConversion"/>
  </si>
  <si>
    <t>Derivative_Asset_</t>
    <phoneticPr fontId="3" type="noConversion"/>
  </si>
  <si>
    <t>Other_Asset (Other assets)</t>
    <phoneticPr fontId="3" type="noConversion"/>
  </si>
  <si>
    <t>Trade Finance_Asset</t>
  </si>
  <si>
    <t>Trade Finance_Asset_</t>
    <phoneticPr fontId="3" type="noConversion"/>
  </si>
  <si>
    <t>NON</t>
    <phoneticPr fontId="3" type="noConversion"/>
  </si>
  <si>
    <t>Other_Liability (Provision)</t>
    <phoneticPr fontId="3" type="noConversion"/>
  </si>
  <si>
    <t>Other_Asset (Lease)</t>
  </si>
  <si>
    <t>Other_Asset (Lease)_</t>
    <phoneticPr fontId="3" type="noConversion"/>
  </si>
  <si>
    <t>Inter-office_Asset (inter-office A)</t>
  </si>
  <si>
    <t>Inter-office_Asset (inter-office A)_</t>
    <phoneticPr fontId="3" type="noConversion"/>
  </si>
  <si>
    <t>Inter-office_Asset (inter-office (EUBB))</t>
  </si>
  <si>
    <t>Inter-office_Asset (inter-office (EUBB))_</t>
    <phoneticPr fontId="3" type="noConversion"/>
  </si>
  <si>
    <t>Borrowing (Long term borrowoing)</t>
  </si>
  <si>
    <t>Borrowing (Long term borrowoing)_</t>
    <phoneticPr fontId="3" type="noConversion"/>
  </si>
  <si>
    <t>Bond issued</t>
  </si>
  <si>
    <t>Bond issued</t>
    <phoneticPr fontId="3" type="noConversion"/>
  </si>
  <si>
    <t>Bond issued</t>
    <phoneticPr fontId="3" type="noConversion"/>
  </si>
  <si>
    <t>Bond issued_</t>
    <phoneticPr fontId="3" type="noConversion"/>
  </si>
  <si>
    <t>Deposit (Term Certificate of Deposit)</t>
  </si>
  <si>
    <t>Deposit (Term Certificate of Deposit)_</t>
    <phoneticPr fontId="3" type="noConversion"/>
  </si>
  <si>
    <t>Inter-office (Inter-office A)</t>
  </si>
  <si>
    <t>Inter-office (Inter-office A)_</t>
    <phoneticPr fontId="3" type="noConversion"/>
  </si>
  <si>
    <t>OFF_Contract on Securities_</t>
    <phoneticPr fontId="3" type="noConversion"/>
  </si>
  <si>
    <t>Other_Liability (Lease)</t>
  </si>
  <si>
    <t>Other_Liability (Lease)_</t>
    <phoneticPr fontId="3" type="noConversion"/>
  </si>
  <si>
    <t>Other_Liability (Accrued Expenses)</t>
  </si>
  <si>
    <t>Other_Liability (Accrued Expenses)</t>
    <phoneticPr fontId="3" type="noConversion"/>
  </si>
  <si>
    <t>Other_Liability (Accrued Expenses)_</t>
    <phoneticPr fontId="3" type="noConversion"/>
  </si>
  <si>
    <t>Other_Asset (Accrued Incomes)</t>
  </si>
  <si>
    <t>Other_Asset (Accrued Incomes)</t>
    <phoneticPr fontId="3" type="noConversion"/>
  </si>
  <si>
    <t>Other_Asset (Accrued Incomes)_</t>
    <phoneticPr fontId="3" type="noConversion"/>
  </si>
  <si>
    <t>Other_Liability (Other liabilities)</t>
    <phoneticPr fontId="3" type="noConversion"/>
  </si>
  <si>
    <t>Other_Liability (Unearned Incomes)</t>
  </si>
  <si>
    <t>Other_Liability (Unearned Incomes)</t>
    <phoneticPr fontId="3" type="noConversion"/>
  </si>
  <si>
    <t>Other_Liability (Unearned Incomes)_</t>
    <phoneticPr fontId="3" type="noConversion"/>
  </si>
  <si>
    <t>Other_Asset (Receivable)</t>
  </si>
  <si>
    <t>Other_Asset (Receivable)_</t>
    <phoneticPr fontId="3" type="noConversion"/>
  </si>
  <si>
    <t>Other_Asset (Receivable)</t>
    <phoneticPr fontId="3" type="noConversion"/>
  </si>
  <si>
    <t>Other_Liability (Payable)</t>
  </si>
  <si>
    <t>Other_Liability (Payable)</t>
    <phoneticPr fontId="3" type="noConversion"/>
  </si>
  <si>
    <t>Other_Liability</t>
    <phoneticPr fontId="3" type="noConversion"/>
  </si>
  <si>
    <t>Derivative_Liability</t>
  </si>
  <si>
    <t>Derivative_Liability</t>
    <phoneticPr fontId="3" type="noConversion"/>
  </si>
  <si>
    <t>Other_Liability (Payable)_</t>
    <phoneticPr fontId="3" type="noConversion"/>
  </si>
  <si>
    <t>Derivative_Liability_</t>
    <phoneticPr fontId="3" type="noConversion"/>
  </si>
  <si>
    <t>Due from Domestic Banks on Demand</t>
  </si>
  <si>
    <t>Due from Oversea Banks on Demand</t>
  </si>
  <si>
    <t>BANK OF AMERICA N.A.(H.O.)</t>
  </si>
  <si>
    <t>NCD - Comercial Bank</t>
  </si>
  <si>
    <t>Loans On Bills (Operation-Short Term-Domestic)</t>
  </si>
  <si>
    <t>0100000003</t>
  </si>
  <si>
    <t>Syndicated Loans (Long Term) - Domestic</t>
  </si>
  <si>
    <t>0100000014</t>
  </si>
  <si>
    <t>Allowance For Loan Losses - General</t>
  </si>
  <si>
    <t>OL5904230000008</t>
  </si>
  <si>
    <t>OL5904230000009</t>
  </si>
  <si>
    <t>A.I.R ON SYNDICATED LOANS</t>
  </si>
  <si>
    <t>OT5904ACTPAY031</t>
  </si>
  <si>
    <t>OT5904INPT001AUD</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</si>
  <si>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</si>
  <si>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</si>
  <si>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</si>
  <si>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</si>
  <si>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</si>
  <si>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</si>
  <si>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</si>
  <si>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</si>
  <si>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</si>
  <si>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</si>
  <si>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</si>
  <si>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</si>
  <si>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</si>
  <si>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</si>
  <si>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</si>
  <si>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</si>
  <si>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</si>
  <si>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</si>
  <si>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</si>
  <si>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</si>
  <si>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</si>
  <si>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</si>
  <si>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</si>
  <si>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</si>
  <si>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</si>
  <si>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</si>
  <si>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</si>
  <si>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</si>
  <si>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</si>
  <si>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</si>
  <si>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</si>
  <si>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</si>
  <si>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</si>
  <si>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</si>
  <si>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</si>
  <si>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</si>
  <si>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</si>
  <si>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</si>
  <si>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</si>
  <si>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</si>
  <si>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</si>
  <si>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</si>
  <si>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</si>
  <si>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</si>
  <si>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</si>
  <si>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</si>
  <si>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</si>
  <si>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</si>
  <si>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</si>
  <si>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</si>
  <si>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</si>
  <si>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</si>
  <si>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</si>
  <si>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</si>
  <si>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</si>
  <si>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</si>
  <si>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</si>
  <si>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</si>
  <si>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</si>
  <si>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</si>
  <si>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</si>
  <si>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</si>
  <si>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</si>
  <si>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</si>
  <si>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</si>
  <si>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</si>
  <si>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</si>
  <si>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</si>
  <si>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</si>
  <si>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</si>
  <si>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</si>
  <si>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</si>
  <si>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</si>
  <si>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0100000017</t>
  </si>
  <si>
    <t>A.I.P ON SHORT TERM BORROWING</t>
  </si>
  <si>
    <t>Unearned Income ON SYNDICATED LOANS</t>
  </si>
  <si>
    <t>ACCOUNT PAYABLE(EXPENSE)</t>
  </si>
  <si>
    <t>ACCOUNT PAYABLE(OTHER)</t>
  </si>
  <si>
    <t>OT5904ACTPAY091</t>
  </si>
  <si>
    <t>30000001</t>
  </si>
  <si>
    <t>INTEROFFICE KAP(A) A/C</t>
  </si>
  <si>
    <t>0100000008</t>
  </si>
  <si>
    <t>E.SUN COMMERCIAL BANK LTD</t>
  </si>
  <si>
    <t>OL5904230000010</t>
  </si>
  <si>
    <t>OL5904230000011</t>
  </si>
  <si>
    <t>RCH1001USD</t>
  </si>
  <si>
    <t>ST BORROWING OVER 3M - DOMESTIC</t>
  </si>
  <si>
    <t>BANK OF AMERICA N.A. (SYDNEY)</t>
  </si>
  <si>
    <t>0100000012</t>
  </si>
  <si>
    <t>FIIG SECURITIES LIMITED</t>
  </si>
  <si>
    <r>
      <t xml:space="preserve">Mannual Entry!!! </t>
    </r>
    <r>
      <rPr>
        <b/>
        <sz val="26"/>
        <color rgb="FFFF0000"/>
        <rFont val="맑은 고딕"/>
        <family val="3"/>
        <charset val="129"/>
      </rPr>
      <t>☞</t>
    </r>
    <phoneticPr fontId="3" type="noConversion"/>
  </si>
  <si>
    <t>Securities - FVOCI State</t>
  </si>
  <si>
    <t>Assumptions
(%)</t>
    <phoneticPr fontId="3" type="noConversion"/>
  </si>
  <si>
    <t>Non Cash Flow</t>
    <phoneticPr fontId="3" type="noConversion"/>
  </si>
  <si>
    <t>3M Gap Maturity Adj</t>
    <phoneticPr fontId="3" type="noConversion"/>
  </si>
  <si>
    <t>Deposit_Asset</t>
    <phoneticPr fontId="3" type="noConversion"/>
  </si>
  <si>
    <t>Trigger</t>
  </si>
  <si>
    <t>Current Liability (만기 20%)</t>
  </si>
  <si>
    <t>#</t>
  </si>
  <si>
    <t>Date</t>
  </si>
  <si>
    <t>Base</t>
  </si>
  <si>
    <t>Other Unused Loan Comm. (10%)</t>
  </si>
  <si>
    <t>Total Outflow</t>
  </si>
  <si>
    <t>Total Inflow</t>
  </si>
  <si>
    <t xml:space="preserve">LCR Management </t>
    <phoneticPr fontId="3" type="noConversion"/>
  </si>
  <si>
    <t>LCR Information</t>
    <phoneticPr fontId="3" type="noConversion"/>
  </si>
  <si>
    <t>Daily Cash Flow</t>
    <phoneticPr fontId="3" type="noConversion"/>
  </si>
  <si>
    <t>Cash Inflows from committed funding facility from H.O. or 20% of total Cash Outflows</t>
    <phoneticPr fontId="3" type="noConversion"/>
  </si>
  <si>
    <t xml:space="preserve">HQLA </t>
  </si>
  <si>
    <t xml:space="preserve">Inflow </t>
  </si>
  <si>
    <t>Net Outflow</t>
  </si>
  <si>
    <t>LCR</t>
  </si>
  <si>
    <t>Amount(AUD)</t>
  </si>
  <si>
    <t>Maturity</t>
  </si>
  <si>
    <t>Assumptions
(%)</t>
  </si>
  <si>
    <t>IN</t>
    <phoneticPr fontId="3" type="noConversion"/>
  </si>
  <si>
    <r>
      <rPr>
        <b/>
        <sz val="11"/>
        <color rgb="FF0070C0"/>
        <rFont val="맑은 고딕"/>
        <family val="3"/>
        <charset val="129"/>
        <scheme val="minor"/>
      </rPr>
      <t>IN</t>
    </r>
    <r>
      <rPr>
        <b/>
        <sz val="11"/>
        <color rgb="FF7030A0"/>
        <rFont val="맑은 고딕"/>
        <family val="3"/>
        <charset val="129"/>
        <scheme val="minor"/>
      </rPr>
      <t xml:space="preserve"> </t>
    </r>
    <r>
      <rPr>
        <b/>
        <sz val="11"/>
        <rFont val="맑은 고딕"/>
        <family val="3"/>
        <charset val="129"/>
        <scheme val="minor"/>
      </rPr>
      <t>or</t>
    </r>
    <r>
      <rPr>
        <b/>
        <sz val="11"/>
        <color rgb="FF7030A0"/>
        <rFont val="맑은 고딕"/>
        <family val="3"/>
        <charset val="129"/>
        <scheme val="minor"/>
      </rPr>
      <t xml:space="preserve"> NON</t>
    </r>
    <phoneticPr fontId="3" type="noConversion"/>
  </si>
  <si>
    <t>Remark</t>
    <phoneticPr fontId="3" type="noConversion"/>
  </si>
  <si>
    <t>Average of actual monthly net outflows in a recent 12 month period (TF related)</t>
    <phoneticPr fontId="3" type="noConversion"/>
  </si>
  <si>
    <t>50% of the average of actual monthly net outflows in a recent 12 month period</t>
    <phoneticPr fontId="3" type="noConversion"/>
  </si>
  <si>
    <t>Long Term Security (5%)</t>
    <phoneticPr fontId="3" type="noConversion"/>
  </si>
  <si>
    <t>Short Term Security (10%)</t>
    <phoneticPr fontId="3" type="noConversion"/>
  </si>
  <si>
    <r>
      <rPr>
        <b/>
        <sz val="11"/>
        <color rgb="FFFF0000"/>
        <rFont val="맑은 고딕"/>
        <family val="3"/>
        <charset val="129"/>
        <scheme val="minor"/>
      </rPr>
      <t xml:space="preserve">Buybacks </t>
    </r>
    <r>
      <rPr>
        <sz val="11"/>
        <color rgb="FFFF0000"/>
        <rFont val="맑은 고딕"/>
        <family val="2"/>
        <scheme val="minor"/>
      </rPr>
      <t>of domestic debt securities</t>
    </r>
    <phoneticPr fontId="3" type="noConversion"/>
  </si>
  <si>
    <t>&lt;Buyback&gt;</t>
    <phoneticPr fontId="3" type="noConversion"/>
  </si>
  <si>
    <t>&lt;Other Outflow Adjustments&gt;</t>
    <phoneticPr fontId="3" type="noConversion"/>
  </si>
  <si>
    <t>LCR (All)
(Limit: 45%/ Trigger: 50%)</t>
    <phoneticPr fontId="3" type="noConversion"/>
  </si>
  <si>
    <t>&lt;Daily LCR Information&gt;</t>
    <phoneticPr fontId="3" type="noConversion"/>
  </si>
  <si>
    <t>Exception(Operation Deposit)</t>
    <phoneticPr fontId="3" type="noConversion"/>
  </si>
  <si>
    <t>&lt; Operation Deposits - 0% inflow applies to deposit held at other financial institutions for operational purpose&gt;</t>
    <phoneticPr fontId="3" type="noConversion"/>
  </si>
  <si>
    <r>
      <t>LCR Management (</t>
    </r>
    <r>
      <rPr>
        <b/>
        <sz val="11"/>
        <color rgb="FFFF0000"/>
        <rFont val="맑은 고딕"/>
        <family val="2"/>
        <scheme val="minor"/>
      </rPr>
      <t>Limit: 45%/ Trigger: 50%</t>
    </r>
    <r>
      <rPr>
        <b/>
        <sz val="11"/>
        <color indexed="8"/>
        <rFont val="맑은 고딕"/>
        <family val="2"/>
        <scheme val="minor"/>
      </rPr>
      <t>), APRA APS210 : 40%</t>
    </r>
    <phoneticPr fontId="3" type="noConversion"/>
  </si>
  <si>
    <t>Category (1)</t>
    <phoneticPr fontId="3" type="noConversion"/>
  </si>
  <si>
    <t>Category (2)</t>
    <phoneticPr fontId="3" type="noConversion"/>
  </si>
  <si>
    <t>Asset</t>
    <phoneticPr fontId="3" type="noConversion"/>
  </si>
  <si>
    <t>Deposit</t>
    <phoneticPr fontId="3" type="noConversion"/>
  </si>
  <si>
    <t>Trade Finance</t>
    <phoneticPr fontId="3" type="noConversion"/>
  </si>
  <si>
    <t>Trade Finance_Asset_</t>
    <phoneticPr fontId="3" type="noConversion"/>
  </si>
  <si>
    <t>Loan</t>
    <phoneticPr fontId="3" type="noConversion"/>
  </si>
  <si>
    <t>Derivative</t>
    <phoneticPr fontId="3" type="noConversion"/>
  </si>
  <si>
    <t>Inter-office</t>
    <phoneticPr fontId="3" type="noConversion"/>
  </si>
  <si>
    <t>Inter-office_Asset (inter-office A)_</t>
    <phoneticPr fontId="3" type="noConversion"/>
  </si>
  <si>
    <t>Inter-office_Asset (inter-office (EUBB))_</t>
    <phoneticPr fontId="3" type="noConversion"/>
  </si>
  <si>
    <t xml:space="preserve">Other Asset </t>
    <phoneticPr fontId="3" type="noConversion"/>
  </si>
  <si>
    <t>Other_Asset (Receivable)</t>
    <phoneticPr fontId="3" type="noConversion"/>
  </si>
  <si>
    <t>Other_Asset (Lease)_</t>
    <phoneticPr fontId="3" type="noConversion"/>
  </si>
  <si>
    <t>Off-Balance</t>
    <phoneticPr fontId="3" type="noConversion"/>
  </si>
  <si>
    <t>Forward (Buy)</t>
    <phoneticPr fontId="3" type="noConversion"/>
  </si>
  <si>
    <t>OFF_Ccy. Forward Buy (Outright Forward)</t>
    <phoneticPr fontId="3" type="noConversion"/>
  </si>
  <si>
    <t>IRS (Buy)</t>
    <phoneticPr fontId="3" type="noConversion"/>
  </si>
  <si>
    <t>Deposit (Term Certificate of Deposit)_</t>
    <phoneticPr fontId="3" type="noConversion"/>
  </si>
  <si>
    <t>Borrowing (Long term borrowoing)_</t>
    <phoneticPr fontId="3" type="noConversion"/>
  </si>
  <si>
    <t>Bond issued</t>
    <phoneticPr fontId="3" type="noConversion"/>
  </si>
  <si>
    <t>Derivative_Liability_</t>
    <phoneticPr fontId="3" type="noConversion"/>
  </si>
  <si>
    <t>Inter-office (Inter-office A)_</t>
    <phoneticPr fontId="3" type="noConversion"/>
  </si>
  <si>
    <t>Other_Liability (Unearned Incomes)_</t>
    <phoneticPr fontId="3" type="noConversion"/>
  </si>
  <si>
    <t>Other_Liability (Lease)_</t>
    <phoneticPr fontId="3" type="noConversion"/>
  </si>
  <si>
    <t>Off-Balance</t>
    <phoneticPr fontId="3" type="noConversion"/>
  </si>
  <si>
    <t>Deposit (Certificate of Deposit)</t>
    <phoneticPr fontId="3" type="noConversion"/>
  </si>
  <si>
    <t>Certificate of Deposit (CD)</t>
    <phoneticPr fontId="3" type="noConversion"/>
  </si>
  <si>
    <t>Deposit</t>
    <phoneticPr fontId="3" type="noConversion"/>
  </si>
  <si>
    <t xml:space="preserve">Borrowing </t>
    <phoneticPr fontId="3" type="noConversion"/>
  </si>
  <si>
    <t>Bond</t>
    <phoneticPr fontId="3" type="noConversion"/>
  </si>
  <si>
    <t>Inter-office</t>
  </si>
  <si>
    <t>Other_Liability (Unearned Incomes)</t>
    <phoneticPr fontId="3" type="noConversion"/>
  </si>
  <si>
    <t xml:space="preserve">Other Liability  </t>
    <phoneticPr fontId="3" type="noConversion"/>
  </si>
  <si>
    <t>OFF_Other Guarantee</t>
    <phoneticPr fontId="3" type="noConversion"/>
  </si>
  <si>
    <t>Guarantee</t>
    <phoneticPr fontId="3" type="noConversion"/>
  </si>
  <si>
    <t>OFF_Unused Loan Commitment</t>
    <phoneticPr fontId="3" type="noConversion"/>
  </si>
  <si>
    <t>Unused Loan Commitment</t>
    <phoneticPr fontId="3" type="noConversion"/>
  </si>
  <si>
    <t>Forward (Sell)</t>
    <phoneticPr fontId="3" type="noConversion"/>
  </si>
  <si>
    <t>OFF_Contract on Securities</t>
    <phoneticPr fontId="3" type="noConversion"/>
  </si>
  <si>
    <t>Contract on Security</t>
    <phoneticPr fontId="3" type="noConversion"/>
  </si>
  <si>
    <t>IRS (Sell)</t>
    <phoneticPr fontId="3" type="noConversion"/>
  </si>
  <si>
    <t>Other</t>
    <phoneticPr fontId="3" type="noConversion"/>
  </si>
  <si>
    <t>Trade Finance</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</si>
  <si>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</si>
  <si>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</si>
  <si>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</si>
  <si>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</si>
  <si>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</si>
  <si>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</si>
  <si>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</si>
  <si>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</si>
  <si>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</si>
  <si>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</si>
  <si>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</si>
  <si>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</si>
  <si>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</si>
  <si>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</si>
  <si>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</si>
  <si>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</si>
  <si>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</si>
  <si>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</si>
  <si>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</si>
  <si>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</si>
  <si>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</si>
  <si>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</si>
  <si>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</si>
  <si>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</si>
  <si>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</si>
  <si>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</si>
  <si>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</si>
  <si>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</si>
  <si>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</si>
  <si>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1</t>
    <phoneticPr fontId="3" type="noConversion"/>
  </si>
  <si>
    <t>Day 0</t>
    <phoneticPr fontId="3" type="noConversion"/>
  </si>
  <si>
    <t>LCR
Weighted Amount</t>
    <phoneticPr fontId="3" type="noConversion"/>
  </si>
  <si>
    <t xml:space="preserve"> Daily LCR Calculation</t>
    <phoneticPr fontId="3" type="noConversion"/>
  </si>
  <si>
    <t>Liability</t>
    <phoneticPr fontId="3" type="noConversion"/>
  </si>
  <si>
    <t>Total Outflow</t>
    <phoneticPr fontId="3" type="noConversion"/>
  </si>
  <si>
    <t>Cash Inflows from committed funding facility from H.O. or 20% of total Cash Outflows</t>
  </si>
  <si>
    <t>Buybacks of domestic debt securities (5% or 10% Outflow)</t>
    <phoneticPr fontId="3" type="noConversion"/>
  </si>
  <si>
    <t>Other Outflow</t>
    <phoneticPr fontId="3" type="noConversion"/>
  </si>
  <si>
    <t>Sum of Inflow</t>
    <phoneticPr fontId="3" type="noConversion"/>
  </si>
  <si>
    <t>Total Inflow</t>
    <phoneticPr fontId="3" type="noConversion"/>
  </si>
  <si>
    <t xml:space="preserve">Total Net Cash Outflows over the next 30 days </t>
    <phoneticPr fontId="3" type="noConversion"/>
  </si>
  <si>
    <t>Total Net Cash Outflows over the next 30 days</t>
  </si>
  <si>
    <t>Minimum value between Sum of Inflow and 75% of Total Outflow</t>
    <phoneticPr fontId="3" type="noConversion"/>
  </si>
  <si>
    <t>HQLA</t>
    <phoneticPr fontId="3" type="noConversion"/>
  </si>
  <si>
    <t>LCR (All Currency) (Limit: 45%/ Trigger: 50%)</t>
    <phoneticPr fontId="3" type="noConversion"/>
  </si>
  <si>
    <t>Financial
Plan</t>
    <phoneticPr fontId="3" type="noConversion"/>
  </si>
  <si>
    <t>Day 31</t>
    <phoneticPr fontId="3" type="noConversion"/>
  </si>
  <si>
    <t>Day 32</t>
    <phoneticPr fontId="3" type="noConversion"/>
  </si>
  <si>
    <t>Day 33</t>
    <phoneticPr fontId="3" type="noConversion"/>
  </si>
  <si>
    <t>Day 34</t>
    <phoneticPr fontId="3" type="noConversion"/>
  </si>
  <si>
    <t>Day 35</t>
    <phoneticPr fontId="3" type="noConversion"/>
  </si>
  <si>
    <t>Day 36</t>
    <phoneticPr fontId="3" type="noConversion"/>
  </si>
  <si>
    <t>Day 37</t>
    <phoneticPr fontId="3" type="noConversion"/>
  </si>
  <si>
    <t>Day 38</t>
    <phoneticPr fontId="3" type="noConversion"/>
  </si>
  <si>
    <t>Day 39</t>
    <phoneticPr fontId="3" type="noConversion"/>
  </si>
  <si>
    <t>Day 40</t>
    <phoneticPr fontId="3" type="noConversion"/>
  </si>
  <si>
    <t>Day 41</t>
    <phoneticPr fontId="3" type="noConversion"/>
  </si>
  <si>
    <t>Day 42</t>
    <phoneticPr fontId="3" type="noConversion"/>
  </si>
  <si>
    <t>Day 43</t>
    <phoneticPr fontId="3" type="noConversion"/>
  </si>
  <si>
    <t>Day 44</t>
    <phoneticPr fontId="3" type="noConversion"/>
  </si>
  <si>
    <t>Day 45</t>
    <phoneticPr fontId="3" type="noConversion"/>
  </si>
  <si>
    <t>Day 46</t>
    <phoneticPr fontId="3" type="noConversion"/>
  </si>
  <si>
    <t>Day 47</t>
    <phoneticPr fontId="3" type="noConversion"/>
  </si>
  <si>
    <t>Day 48</t>
    <phoneticPr fontId="3" type="noConversion"/>
  </si>
  <si>
    <t>Day 49</t>
    <phoneticPr fontId="3" type="noConversion"/>
  </si>
  <si>
    <t>Day 50</t>
    <phoneticPr fontId="3" type="noConversion"/>
  </si>
  <si>
    <t>OL5904230000012</t>
  </si>
  <si>
    <t>OL5904230000013</t>
  </si>
  <si>
    <t>FA5904230000007</t>
  </si>
  <si>
    <t>FA5904230000008</t>
  </si>
  <si>
    <t>FA5904230000009</t>
  </si>
  <si>
    <t>FA5904230000010</t>
  </si>
  <si>
    <t>10251002</t>
  </si>
  <si>
    <t>OL5904230000014</t>
  </si>
  <si>
    <t>OL5904230000015</t>
  </si>
  <si>
    <t>10910021</t>
  </si>
  <si>
    <t>---Call Loan within 3M - Domestic</t>
  </si>
  <si>
    <t>---A.I.R ON CALL LOAN</t>
  </si>
  <si>
    <t>SYN-Working Capital Loan - Domestic</t>
  </si>
  <si>
    <t>0100000020</t>
  </si>
  <si>
    <t>APA INFRASTRUCTURE LIMITED</t>
  </si>
  <si>
    <t>FA5904230000011</t>
  </si>
  <si>
    <t>FA5904230000012</t>
  </si>
  <si>
    <t>OL5904230000017</t>
  </si>
  <si>
    <t>OL5904230000018</t>
  </si>
  <si>
    <t>OL5904230000019</t>
  </si>
  <si>
    <t>DA5904230000002</t>
  </si>
  <si>
    <t>DA5904230000003</t>
  </si>
  <si>
    <t>OL5904230000020</t>
  </si>
  <si>
    <t>OL5904230000021</t>
  </si>
  <si>
    <t>20990018</t>
  </si>
  <si>
    <t>Reserve for Unused Commitment</t>
  </si>
  <si>
    <t>OT5904230000152</t>
  </si>
  <si>
    <t>---Reserve for Unused Commitment</t>
  </si>
  <si>
    <t>16100002</t>
  </si>
  <si>
    <t>--LOSS FROM CURRENT YEARS</t>
  </si>
  <si>
    <t>16100001</t>
  </si>
  <si>
    <t>--LOSS FROM LAST YEARS</t>
  </si>
  <si>
    <t>OL5904240000001</t>
  </si>
  <si>
    <t>OL5904240000002</t>
  </si>
  <si>
    <t>A.I.P ON INTER OFFICE ACCOUNT</t>
  </si>
  <si>
    <t>0100000026</t>
  </si>
  <si>
    <t>PT.NH KORINDO SEKURITAS INDONESIA</t>
  </si>
  <si>
    <t>ARF_210_1A: Liquidity Coverage Ratio - all currencies</t>
  </si>
  <si>
    <t>Australian Business Number</t>
  </si>
  <si>
    <t>Institution Name</t>
  </si>
  <si>
    <t>Reporting Period</t>
  </si>
  <si>
    <t xml:space="preserve">Scale Factor </t>
  </si>
  <si>
    <t>Millions to one decimal place</t>
  </si>
  <si>
    <t>Reporting Consolidation</t>
  </si>
  <si>
    <t>Level 1 / Level 2 / Domestic Books</t>
  </si>
  <si>
    <t>Section A: Liquid assets</t>
  </si>
  <si>
    <t>Market value/amount</t>
  </si>
  <si>
    <t>Weight</t>
  </si>
  <si>
    <t>Weighted amount</t>
  </si>
  <si>
    <t>1. HQLA1</t>
  </si>
  <si>
    <t>1.1. Notes and coin</t>
  </si>
  <si>
    <t>1.2. Central bank balances</t>
  </si>
  <si>
    <t>1.2.1. Held with the RBA</t>
  </si>
  <si>
    <t>1.2.2. Held with foreign central banks</t>
  </si>
  <si>
    <t>1.3. Securities with zero per cent risk weight</t>
  </si>
  <si>
    <t>1.3.1. Australian Government</t>
  </si>
  <si>
    <t>1.3.3. Issued by foreign sovereigns</t>
  </si>
  <si>
    <t>1.3.4. Guaranteed by the Australian Government</t>
  </si>
  <si>
    <t>1.3.5. Guaranteed by foreign sovereigns</t>
  </si>
  <si>
    <t>1.3.6. Issued or guaranteed by central banks</t>
  </si>
  <si>
    <t>1.3.7. Issued or guaranteed by PSEs</t>
  </si>
  <si>
    <t>1.3.8. Issued or guaranteed by BIS, IMF, ECB and EC or MDBs</t>
  </si>
  <si>
    <t xml:space="preserve">1.4. Sovereign/central bank debt securities where the sovereign has a non-zero per cent risk weight  </t>
  </si>
  <si>
    <t>1.4.1. Issued in domestic currencies in the country in which the liquidity risk is being taken</t>
  </si>
  <si>
    <t>1.4.2. Issued in foreign currencies up to the amount of the ADI's stressed net cash outflows in that specific foreign currency stemming from the ADI's operations in the jurisdiction where the ADI's liquidity risk is being taken</t>
  </si>
  <si>
    <t>1.5. Adjusted amount of HQLA1 stock</t>
  </si>
  <si>
    <t>1.5.1. Adjustment due to secured lending/borrowing transactions</t>
  </si>
  <si>
    <t>1.5.2. Adjustment due to collateral swaps</t>
  </si>
  <si>
    <t>2. HQLA2A</t>
  </si>
  <si>
    <t>2.1. Securities issued or guaranteed by sovereigns or central banks with 20 per cent risk weight</t>
  </si>
  <si>
    <t>2.2. Securities issued or guaranteed by PSEs or MDBs with 20 per cent risk weight</t>
  </si>
  <si>
    <t>2.3. Non-financial corporate securities (Credit Rating Grade 1)</t>
  </si>
  <si>
    <t>2.4. Covered bonds, not self-issued (Credit Rating Grade 1)</t>
  </si>
  <si>
    <t>2.5. Adjusted amount of HQLA2A stock</t>
  </si>
  <si>
    <t>2.5.1. Adjustment due to secured lending/borrowing transactions</t>
  </si>
  <si>
    <t>2.5.2. Adjustment due to collateral swaps</t>
  </si>
  <si>
    <t>3. HQLA2B</t>
  </si>
  <si>
    <t>3.1. Residential mortgage-backed securities (Credit Rating Grade 1)</t>
  </si>
  <si>
    <t>3.2. Non-financial corporate securities (Credit Rating Grade 3)</t>
  </si>
  <si>
    <t>3.3. Non-financial common equity shares</t>
  </si>
  <si>
    <t>3.4. Adjusted amount of RMBS HQLA2B stock</t>
  </si>
  <si>
    <t>3.4.1. Adjustment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</si>
  <si>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</si>
  <si>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</si>
  <si>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</si>
  <si>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</si>
  <si>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Adjusted amount of HQLA2B (RMBS and non-RMBS) stock</t>
  </si>
  <si>
    <t>4. Total HQLA</t>
  </si>
  <si>
    <t>4.1. Adjustment to stock of HQLA due to the 15 per cent cap on HQLA2B</t>
  </si>
  <si>
    <t>4.2. Adjustment to stock of HQLA due to the 40 per cent cap on HQLA2</t>
  </si>
  <si>
    <t xml:space="preserve">4.3. Adjustment to the amount of HQLA for the inclusion of other liquid assets as approved by APRA  </t>
  </si>
  <si>
    <t>5. RBNZ eligible securities</t>
  </si>
  <si>
    <t>6. Alternative Liquid Assets (ALA)</t>
  </si>
  <si>
    <t>6.1. Market value of total eligible assets securing the CLF less applicable RBA margin</t>
  </si>
  <si>
    <t>6.1.1. Securities issued by supranationals and foreign government</t>
  </si>
  <si>
    <t>6.1.2. Securities with Australian Government or foreign sovereign government guarantee</t>
  </si>
  <si>
    <t>6.1.3. ADI issued securities</t>
  </si>
  <si>
    <t>6.1.4. Asset backed securities</t>
  </si>
  <si>
    <t>6.1.5. Other private securities</t>
  </si>
  <si>
    <t>6.1.6. Self-securitised assets</t>
  </si>
  <si>
    <t>6.2. Available amount of the CLF for the LCR calculation</t>
  </si>
  <si>
    <t>6.2.1. Approved size of the CLF</t>
  </si>
  <si>
    <t>6.2.2. Adjustment due to secured funding/lending transactions</t>
  </si>
  <si>
    <t>6.2.3. Adjustment due to collateral swaps</t>
  </si>
  <si>
    <t>6.3. Amount of eligible CLF assets that can be included in numerator of the reporting ADI's LCR calculation</t>
  </si>
  <si>
    <t>6.4. Of the amount reported in item 6.1, the amount of CLF securities maturing &lt;= 30 days where the securities are not due to be returned under maturing secured lending transactions</t>
  </si>
  <si>
    <t>6.5. Amount available as ALA in offshore jurisdictions</t>
  </si>
  <si>
    <t>7. Total HQLA plus RBNZ eligible securities plus ALA</t>
  </si>
  <si>
    <t>7.1. AUD</t>
  </si>
  <si>
    <t>7.2. NZD</t>
  </si>
  <si>
    <t>7.3. USD</t>
  </si>
  <si>
    <t>7.4. GBP</t>
  </si>
  <si>
    <t>7.5. EUR</t>
  </si>
  <si>
    <t>7.6. JPY</t>
  </si>
  <si>
    <t>7.7. RMB</t>
  </si>
  <si>
    <t>7.8. All other currencies</t>
  </si>
  <si>
    <t>Section B: Cash Outflows</t>
  </si>
  <si>
    <t>Amount</t>
  </si>
  <si>
    <t>Weighted 
amount</t>
    <phoneticPr fontId="82" type="noConversion"/>
  </si>
  <si>
    <t>8. Retail deposits</t>
  </si>
  <si>
    <t>8.1. Stable deposits</t>
  </si>
  <si>
    <t>8.2. Stable deposits eligible for 3 per cent run-off rate</t>
  </si>
  <si>
    <t>8.3. Less stable deposits which are covered by FCS or government deposit insurance scheme</t>
  </si>
  <si>
    <t>8.4. Less stable deposits which are not covered by FCS or government deposit insurance scheme</t>
  </si>
  <si>
    <t>8.5. Less stable deposits with higher run-off rate</t>
  </si>
  <si>
    <t>8.6. Called notice period deposits with 30 days or less to maturity</t>
  </si>
  <si>
    <t>9. Unsecured wholesale funding</t>
  </si>
  <si>
    <t>9.1. SME</t>
  </si>
  <si>
    <t>9.1.1. Stable deposits</t>
  </si>
  <si>
    <t>9.1.2. Stable deposits eligible for 3 per cent run-off rate</t>
  </si>
  <si>
    <t>9.1.3. Less stable deposits which are covered by FCS or government deposit insurance scheme</t>
  </si>
  <si>
    <t>9.1.4. Less stable deposits which are not covered by FCS or government deposit insurance scheme</t>
  </si>
  <si>
    <t>9.1.5. Less stable deposits with higher run-off</t>
  </si>
  <si>
    <t>9.1.6. Called notice period deposits with 30 days or less to maturity</t>
  </si>
  <si>
    <t>9.2. Non-financial corporate</t>
  </si>
  <si>
    <t>9.2.1. of which: Intra-group</t>
  </si>
  <si>
    <t>9.2.2. Operational deposit amounts fully covered by deposit insurance</t>
  </si>
  <si>
    <t>9.2.3. Operational deposit amounts fully covered by deposit insurance and eligible for 3 per cent run-off rate</t>
  </si>
  <si>
    <t>9.2.4. Operational deposit amounts not fully covered by deposit insurance</t>
  </si>
  <si>
    <t>9.2.5. Non-operational deposits where the entire deposit is fully covered by deposit insurance</t>
  </si>
  <si>
    <t>9.2.6. Non-operational deposits where the entire deposit is not fully covered by deposit insurance</t>
  </si>
  <si>
    <t>9.2.7. Called notice period deposits with 30 days or less to maturity</t>
  </si>
  <si>
    <t>9.3. Sovereign, central bank, PSE and MDB</t>
  </si>
  <si>
    <t>9.3.1. Operational deposit amounts fully covered by deposit insurance</t>
  </si>
  <si>
    <t>9.3.2. Operational deposit amounts fully covered by deposit insurance and eligible for 3 per cent run-off rate</t>
  </si>
  <si>
    <t>9.3.3. Operational deposit amounts not fully covered by deposit insurance</t>
  </si>
  <si>
    <t>9.3.4. Non-operational deposits where the entire deposit is fully covered by deposit insurance</t>
  </si>
  <si>
    <t>9.3.5. Non-operational deposits where the entire deposit is not fully covered by deposit insurance</t>
  </si>
  <si>
    <t>9.3.6. Called notice period deposits with 30 days or less to maturity</t>
  </si>
  <si>
    <t>9.3.7. Additional balances required to be installed in central bank reserves</t>
  </si>
  <si>
    <t>9.4. ADI/Bank</t>
  </si>
  <si>
    <t>9.4.1. of which: Intra-group</t>
  </si>
  <si>
    <t>9.4.2. Operational deposit amounts fully covered by deposit insurance</t>
  </si>
  <si>
    <t>9.4.3. Operational deposit amounts fully covered by deposit insurance and eligible for 3 per cent run-off rate</t>
  </si>
  <si>
    <t>9.4.4. Operational deposit amounts not fully covered by deposit insurance</t>
  </si>
  <si>
    <t>9.4.5. Non-operational deposits and called notice period deposits with 30 days or less to maturity</t>
  </si>
  <si>
    <t>9.5. Other financial institutions and other legal entities</t>
  </si>
  <si>
    <t>9.5.1. of which: Intra-group</t>
  </si>
  <si>
    <t>9.5.2. Operational deposit amounts fully covered by deposit insurance</t>
  </si>
  <si>
    <t>9.5.3. Operational deposit amounts fully covered by deposit insurance and eligible for 3 per cent run-off rate</t>
  </si>
  <si>
    <t>9.5.4. Operational deposit amounts not fully covered by deposit insurance</t>
  </si>
  <si>
    <t>9.5.5. Non-operational deposits and called notice period deposits with 30 days or less to maturity</t>
  </si>
  <si>
    <t>10. Unsecured debt securities issued</t>
  </si>
  <si>
    <t>10.1. Domestic</t>
  </si>
  <si>
    <t>10.2. Offshore</t>
  </si>
  <si>
    <t>11. Secured funding</t>
  </si>
  <si>
    <t>11.1. Amount received in transactions secured by HQLA1 with any counterparty</t>
  </si>
  <si>
    <t xml:space="preserve">11.1.1. of which: transactions involving eligible HQLA1 that meet all operational requirements to be included in HQLA stock except for being encumbered in the secured funding transactions reported under 11.1   </t>
  </si>
  <si>
    <t>11.1.2. Market value of HQLA1 collateral extended for transactions reported under 11.1.1</t>
  </si>
  <si>
    <t xml:space="preserve">11.2.1. of which: transactions involving eligible HQLA2A that meet all operational requirements to be included in HQLA stock except for being encumbered in the secured funding transactions reported under 11.2   </t>
  </si>
  <si>
    <t>11.2.2. Market value of HQLA2A collateral extended for transactions reported under 11.2.1</t>
  </si>
  <si>
    <t>11.3. Amount received in transactions secured by RMBS HQLA2B with any counterparty</t>
  </si>
  <si>
    <t>11.3.1. of which: transactions involving eligible RMBS HQLA2B that meet all operational requirements to be included in HQLA stock except for being encumbered in the secured funding transactions reported under 11.3</t>
  </si>
  <si>
    <t>11.3.2. Market value of RMBS HQLA2B collateral extended for transactions reported under 11.3.1</t>
  </si>
  <si>
    <t>11.4. Amount received in transactions secured by non-RMBS HQLA2B with any counterparty</t>
  </si>
  <si>
    <t>11.4.1. of which: transactions involving eligible non-RMBS HQLA2B that meet all operational requirements to be included in HQLA stock except for being encumbered in the secured funding transactions reported under 11.4</t>
  </si>
  <si>
    <t>11.4.2. Market value of non-RMBS HQLA2B collateral extended for transactions reported under 11.4.1</t>
  </si>
  <si>
    <t>11.5. Amount received in transactions secured by eligible CLF securities with any counterparty where the ADI has capacity within the CLF</t>
  </si>
  <si>
    <t>11.5.1. Market value less RBA margin of CLF securities collateral extended for transactions reported under 11.5</t>
  </si>
  <si>
    <t>11.6. Amount received in transactions secured by other assets, ineligible CLF securities and eligible CLF securities where CLF capacity has been reached</t>
  </si>
  <si>
    <t>11.6.1. Where the counterparties are domestic sovereigns, MDBs or domestic PSEs with a risk weight of 20 per cent or lower</t>
  </si>
  <si>
    <t>11.6.2. All other counterparties</t>
  </si>
  <si>
    <t>11.7. Amount received in transactions secured by all assets with central banks in offshore jurisdictions</t>
  </si>
  <si>
    <t xml:space="preserve">11.7.1. of which: transactions involving eligible HQLA1 that meet all operational requirements to be included in HQLA stock except for being encumbered in the secured funding transactions reported under 11.7   </t>
  </si>
  <si>
    <t>11.7.2. Market value of HQLA1 collateral extended for transactions reported under 11.7.1</t>
  </si>
  <si>
    <t xml:space="preserve">11.7.3. of which: transactions involving eligible HQLA2A that meet all operational requirements to be included in HQLA stock except for being encumbered in the secured funding transactions reported under 11.7   </t>
  </si>
  <si>
    <t>11.7.4. Market value of HQLA2A collateral extended for transactions reported under 11.7.3</t>
  </si>
  <si>
    <t>11.7.5. of which: transactions involving eligible RMBS HQLA2B that meet all operational requirements to be included in HQLA stock except for being encumbered in the secured funding transactions reported under 11.7</t>
  </si>
  <si>
    <t>11.7.6. Market value of RMBS HQLA2B collateral extended for transactions reported under 11.7.5</t>
  </si>
  <si>
    <t>11.7.7. of which: transactions involving eligible non-RMBS HQLA2B that meet all operational requirements to be included in HQLA stock except for being encumbered in the secured funding transactions reported under 11.7</t>
  </si>
  <si>
    <t>11.7.8. Market value of non-RMBS HQLA2B collateral extended for transactions reported under 11.7.7</t>
  </si>
  <si>
    <t>12. ABCP, ABS, covered bonds and other structured financing instruments/facilities</t>
  </si>
  <si>
    <t>12.1. Maturing secured funding transactions issued by the ADI itself</t>
  </si>
  <si>
    <t>12.2. Loss of funding due to refinancing of maturing debt, maturing facilities, embedded options and other potential loss of funding</t>
  </si>
  <si>
    <t>13. Increased liquidity needs related to derivatives and other transactions</t>
  </si>
  <si>
    <t>13.1. Derivatives cash outflow</t>
  </si>
  <si>
    <t>13.2. Due to a downgrade of 3 notches in the ADI's long-term credit rating</t>
  </si>
  <si>
    <t>13.3. Excess non-segregated collateral held by the ADI that could contractually be called at any time by the counterparty</t>
  </si>
  <si>
    <t>13.4. Contractually required collateral on transactions for which the counterparty has not yet demanded the collateral be posted</t>
  </si>
  <si>
    <t>13.5. Contracts that allow collateral substitution to non-HQLA without the ADI's consent</t>
  </si>
  <si>
    <t>13.6. Collateral outflows due to market valuation changes on derivative transactions and other transactions</t>
  </si>
  <si>
    <t>13.7. Valuation changes on posted non-HQLA1 collateral securing derivatives and other transactions</t>
  </si>
  <si>
    <t>14. Committed facilities</t>
  </si>
  <si>
    <t>14.1. Retail customer</t>
    <phoneticPr fontId="82" type="noConversion"/>
  </si>
  <si>
    <t>14.1.1. Committed credit/liquidity facilities</t>
  </si>
  <si>
    <t>14.2. SME</t>
  </si>
  <si>
    <t>14.2.1. Committed credit/liquidity facilities</t>
  </si>
  <si>
    <t>14.3. Non-financial corporate</t>
  </si>
  <si>
    <t>14.3.1. Committed credit facilities</t>
  </si>
  <si>
    <t>14.3.2. Committed liquidity facilities</t>
  </si>
  <si>
    <t>14.4. Sovereign, central bank, PSE and MDB</t>
  </si>
  <si>
    <t>14.4.1. Committed credit facilities</t>
  </si>
  <si>
    <t>14.4.2. Committed liquidity facilities</t>
  </si>
  <si>
    <t>14.5. ADIs/Banks subject to prudential supervision</t>
  </si>
  <si>
    <t>14.5.1. Committed credit/liquidity facilities</t>
  </si>
  <si>
    <t>14.6. Other financial institutions</t>
  </si>
  <si>
    <t>14.6.1. Committed credit facilities</t>
  </si>
  <si>
    <t>14.6.2. Committed liquidity facilities</t>
  </si>
  <si>
    <t>14.7. Other legal entities</t>
  </si>
  <si>
    <t>14.7.1. Committed credit/liquidity facilities</t>
  </si>
  <si>
    <t>15. Other contractual obligations to extend funds</t>
  </si>
  <si>
    <t>15.1. Financial institution</t>
  </si>
  <si>
    <t>15.2. Retail customer</t>
  </si>
  <si>
    <t>15.3. SME</t>
  </si>
  <si>
    <t>15.4. Non-financial corporate</t>
  </si>
  <si>
    <t>15.5. Other entities</t>
  </si>
  <si>
    <t>15.6. Total outflows from retail, SME, non-financial corporate and other entities</t>
  </si>
  <si>
    <t>15.7. Total roll-over of inflows from all counterparties except from financial institutions</t>
  </si>
  <si>
    <t>15.8. Total excess other contractual obligations outflows (excluding financial institutions) after roll-over of inflows</t>
  </si>
  <si>
    <t>16. Other contingent funding obligations</t>
  </si>
  <si>
    <t>16.1. Uncommitted credit and liquidity facilities</t>
  </si>
  <si>
    <t>16.2. Trade finance related obligations</t>
  </si>
  <si>
    <t>16.3. Guarantees and letters of credit other than trade finance related obligations</t>
  </si>
  <si>
    <t>16.4. Buyback of the ADI's own short-term debt securities issued in the Australian domestic market</t>
  </si>
  <si>
    <t>16.5. Buyback of the ADI's own long-term debt securities issued in the Australian domestic market</t>
  </si>
  <si>
    <t>16.6. Buyback of debt securities issued through an affiliated dealer or market maker</t>
  </si>
  <si>
    <t>16.7. Obligations related to structured products and managed funds</t>
  </si>
  <si>
    <t>16.8. Other non-contractual obligations</t>
  </si>
  <si>
    <t>16.9. Other contractual cash outflows</t>
  </si>
  <si>
    <t>17. Cash outflows due to collateral swaps</t>
  </si>
  <si>
    <t>18. Total cash outflows</t>
  </si>
  <si>
    <t>18.1. AUD</t>
  </si>
  <si>
    <t>18.2. NZD</t>
  </si>
  <si>
    <t>18.3. USD</t>
  </si>
  <si>
    <t>18.4. GBP</t>
  </si>
  <si>
    <t>18.5. EUR</t>
  </si>
  <si>
    <t>18.6. JPY</t>
  </si>
  <si>
    <t>18.7. RMB</t>
  </si>
  <si>
    <t>18.8. All other currencies</t>
  </si>
  <si>
    <t>Section C: cash inflows</t>
  </si>
  <si>
    <t>19. Secured lending</t>
  </si>
  <si>
    <t>19.1. Reverse repo and other secured lending where collateral is not re-hypothecated</t>
  </si>
  <si>
    <t>19.1.1. amount extended in transactions secured by HQLA1</t>
  </si>
  <si>
    <t>19.1.1.1. of which: transactions involving eligible HQLA1</t>
  </si>
  <si>
    <t>19.1.1.2. market value of received HQLA1 for transactions reported in item 19.1.1.1</t>
  </si>
  <si>
    <t>19.1.2. amount extended in transactions secured by HQLA2A</t>
  </si>
  <si>
    <t>19.1.2.1. of which: transactions involving eligible HQLA2A</t>
  </si>
  <si>
    <t>19.1.2.2. market value of received HQLA2A for transactions reported in item 19.1.2.1</t>
  </si>
  <si>
    <t>19.1.3. amount extended in transactions secured by RMBS HQLA2B</t>
  </si>
  <si>
    <t>19.1.3.1. of which: transactions involving eligible RMBS HQLA2B</t>
  </si>
  <si>
    <t>19.1.3.2. market value of received RMBS HQLA2B for transactions reported in item 19.1.3.1</t>
  </si>
  <si>
    <t>19.1.4. amount extended in transactions secured by non-RMBS HQLA2B</t>
  </si>
  <si>
    <t>19.1.4.1. of which: transactions involving eligible non-RMBS HQLA2B</t>
  </si>
  <si>
    <t>19.1.4.2. market value of received non-RMBS HQLA2B for transactions reported in item 19.1.4.1</t>
  </si>
  <si>
    <t>19.1.5. amount extended in transactions secured by eligible CLF securities where the securities received are included in Section A</t>
  </si>
  <si>
    <t>19.1.5.1. market value less RBA margin of received CLF securities for transactions reported in item 19.1.5</t>
  </si>
  <si>
    <t>19.1.6. amount extended in transactions secured by RBNZ eligible securities</t>
  </si>
  <si>
    <t>19.1.7. margin lending backed by other collateral</t>
  </si>
  <si>
    <t>19.1.8. amount extended in transactions secured by other collateral including ineligible CLF securities</t>
  </si>
  <si>
    <t>19.2. Reverse repo and other secured lending where collateral is re-hypothecated</t>
  </si>
  <si>
    <t>19.2.1. amount extended in transactions secured by HQLA1</t>
  </si>
  <si>
    <t>19.2.2. amount extended in transactions secured by HQLA2A</t>
  </si>
  <si>
    <t>19.2.3. amount extended in transactions secured by RMBS HQLA2B</t>
  </si>
  <si>
    <t>19.2.4. amount extended in transactions secured by non-RMBS HQLA2B</t>
  </si>
  <si>
    <t>19.2.5. margin lending backed by non-HQLA1 or non-HQLA2</t>
  </si>
  <si>
    <t>19.2.6. amount extended in transactions secured by other collateral</t>
  </si>
  <si>
    <t>20. Other inflows by counterparty</t>
  </si>
  <si>
    <t>20.1. Retail customer</t>
  </si>
  <si>
    <t>20.2. SME</t>
  </si>
  <si>
    <t>20.3. Non-financial corporate</t>
  </si>
  <si>
    <t>20.4. Central bank</t>
  </si>
  <si>
    <t>20.5. Financial institution</t>
  </si>
  <si>
    <t>20.6. Other entities</t>
  </si>
  <si>
    <t>20.7. of which: Intra-group (ADI/bank)</t>
  </si>
  <si>
    <t>20.8. of which: Intra-group (financial institutions)</t>
  </si>
  <si>
    <t>20.9. of which: Intra-group (other entities)</t>
  </si>
  <si>
    <t>21. Other cash inflows</t>
  </si>
  <si>
    <t>21.1. Derivatives cash inflows</t>
  </si>
  <si>
    <t>21.2. Contractual inflows from CLF securities maturing &lt;= 30 days that are in excess of the available CLF amount</t>
  </si>
  <si>
    <t>21.3. Contractual inflows from other securities maturing &lt;= 30 days</t>
  </si>
  <si>
    <t>21.4. Other contractual cash inflows</t>
  </si>
  <si>
    <t>21.5. Amount of committed home office support</t>
  </si>
  <si>
    <t>22. Cash inflows due to collateral swaps</t>
  </si>
  <si>
    <t>23. Total cash inflows</t>
  </si>
  <si>
    <t>23.1. AUD</t>
  </si>
  <si>
    <t>23.2. NZD</t>
  </si>
  <si>
    <t>23.3. USD</t>
  </si>
  <si>
    <t>23.4. GBP</t>
  </si>
  <si>
    <t>23.5. EUR</t>
  </si>
  <si>
    <t>23.6. JPY</t>
  </si>
  <si>
    <t>23.7. RMB</t>
  </si>
  <si>
    <t>23.8. All other currencies</t>
  </si>
  <si>
    <t>Section D: cash outflows minus cash inflows by currency</t>
  </si>
  <si>
    <t>24. Cash outflows minus cash inflows</t>
  </si>
  <si>
    <t>24.1. AUD</t>
  </si>
  <si>
    <t>24.2. NZD</t>
  </si>
  <si>
    <t>24.3. USD</t>
  </si>
  <si>
    <t>24.4. GBP</t>
  </si>
  <si>
    <t>24.5. EUR</t>
  </si>
  <si>
    <t>24.6. JPY</t>
  </si>
  <si>
    <t>24.7. RMB</t>
  </si>
  <si>
    <t>24.8. All other currencies</t>
  </si>
  <si>
    <t>Section E: calculation of the LCR</t>
  </si>
  <si>
    <t>25. Total HQLA</t>
  </si>
  <si>
    <t>26. RBNZ eligible securities plus ALA</t>
  </si>
  <si>
    <t>27. Total cash outflows</t>
  </si>
  <si>
    <t>28. Total cash inflows after applying the inflow cap</t>
  </si>
  <si>
    <t>29. Net cash outflows</t>
  </si>
  <si>
    <t>30. LCR</t>
  </si>
  <si>
    <t xml:space="preserve">31. Minimum LCR per liquidity management strategy  </t>
  </si>
  <si>
    <t>32. Lowest LCR during reporting period</t>
  </si>
  <si>
    <t>33. Highest LCR during reporting period</t>
  </si>
  <si>
    <t>34. Mean LCR during reporting period</t>
  </si>
  <si>
    <t>35. LCR for significant currencies</t>
  </si>
  <si>
    <t>Currency</t>
  </si>
  <si>
    <t>Highest LCR</t>
  </si>
  <si>
    <t>Lowest LCR</t>
  </si>
  <si>
    <t xml:space="preserve">BSAO25667 </t>
  </si>
  <si>
    <t xml:space="preserve">BSAO25668 </t>
  </si>
  <si>
    <t xml:space="preserve">BSAO25669 </t>
  </si>
  <si>
    <t xml:space="preserve">BSAO25670 </t>
  </si>
  <si>
    <t>Currency list</t>
  </si>
  <si>
    <t>85 649 572 449</t>
    <phoneticPr fontId="3" type="noConversion"/>
  </si>
  <si>
    <t>NONGHYUP BANK</t>
    <phoneticPr fontId="3" type="noConversion"/>
  </si>
  <si>
    <t>Balance
(Millions to one decimal place)</t>
    <phoneticPr fontId="3" type="noConversion"/>
  </si>
  <si>
    <r>
      <t xml:space="preserve">Loan / Deposit_Liability / OFF_Unused Loan Commitment / </t>
    </r>
    <r>
      <rPr>
        <b/>
        <sz val="11"/>
        <color rgb="FFFF0000"/>
        <rFont val="맑은 고딕"/>
        <family val="3"/>
        <charset val="129"/>
        <scheme val="minor"/>
      </rPr>
      <t>HQLA</t>
    </r>
    <phoneticPr fontId="3" type="noConversion"/>
  </si>
  <si>
    <t>1.3.2. Australian State Government or Territory Central Borrowing Authorities</t>
    <phoneticPr fontId="3" type="noConversion"/>
  </si>
  <si>
    <t>Australian State Government or Territory Central Borrowing Authorities</t>
    <phoneticPr fontId="3" type="noConversion"/>
  </si>
  <si>
    <t>Australian Government</t>
    <phoneticPr fontId="3" type="noConversion"/>
  </si>
  <si>
    <t>Australian State Government or Territory Central Borrowing Authorities</t>
    <phoneticPr fontId="3" type="noConversion"/>
  </si>
  <si>
    <t>Issued by foreign sovereigns</t>
    <phoneticPr fontId="3" type="noConversion"/>
  </si>
  <si>
    <t>Guaranteed by the Australian Government</t>
    <phoneticPr fontId="3" type="noConversion"/>
  </si>
  <si>
    <t>Guaranteed by foreign sovereigns</t>
    <phoneticPr fontId="3" type="noConversion"/>
  </si>
  <si>
    <t>Issued or guaranteed by central banks</t>
    <phoneticPr fontId="3" type="noConversion"/>
  </si>
  <si>
    <t>Issued or guaranteed by PSEs</t>
    <phoneticPr fontId="3" type="noConversion"/>
  </si>
  <si>
    <t>Issued or guaranteed by BIS, IMF, ECB and EC or MDBs</t>
    <phoneticPr fontId="3" type="noConversion"/>
  </si>
  <si>
    <t>AUD</t>
    <phoneticPr fontId="3" type="noConversion"/>
  </si>
  <si>
    <t>NZD</t>
    <phoneticPr fontId="3" type="noConversion"/>
  </si>
  <si>
    <t>USD</t>
    <phoneticPr fontId="3" type="noConversion"/>
  </si>
  <si>
    <t>GBP</t>
    <phoneticPr fontId="3" type="noConversion"/>
  </si>
  <si>
    <t>EUR</t>
    <phoneticPr fontId="3" type="noConversion"/>
  </si>
  <si>
    <t>JPY</t>
    <phoneticPr fontId="3" type="noConversion"/>
  </si>
  <si>
    <t>RMB</t>
    <phoneticPr fontId="3" type="noConversion"/>
  </si>
  <si>
    <t>Others</t>
    <phoneticPr fontId="3" type="noConversion"/>
  </si>
  <si>
    <t>11.2. Amount received in transactions secured by HQLA2A with any counterparty</t>
    <phoneticPr fontId="3" type="noConversion"/>
  </si>
  <si>
    <t>Cash outflows</t>
    <phoneticPr fontId="3" type="noConversion"/>
  </si>
  <si>
    <t>Cash Inflows</t>
    <phoneticPr fontId="3" type="noConversion"/>
  </si>
  <si>
    <t>Cash Outflows</t>
    <phoneticPr fontId="3" type="noConversion"/>
  </si>
  <si>
    <t>AUD</t>
    <phoneticPr fontId="3" type="noConversion"/>
  </si>
  <si>
    <t>Equity_</t>
    <phoneticPr fontId="3" type="noConversion"/>
  </si>
  <si>
    <t>NZD</t>
  </si>
  <si>
    <t>Other Unused Loan Comm. (Not appear in the Off-Balance)</t>
    <phoneticPr fontId="3" type="noConversion"/>
  </si>
  <si>
    <t>GBP</t>
  </si>
  <si>
    <t>EUR</t>
  </si>
  <si>
    <t>JPY</t>
  </si>
  <si>
    <t>RMB</t>
  </si>
  <si>
    <t>18.1. of which: cash outflows due to intra-group entities</t>
  </si>
  <si>
    <t>23.1. of which: cash inflows due from intra-group entities</t>
  </si>
  <si>
    <t>OL5904240000005</t>
  </si>
  <si>
    <t>OL5904240000006</t>
  </si>
  <si>
    <t>OL5904240000008</t>
  </si>
  <si>
    <t>OL5904240000009</t>
  </si>
  <si>
    <t>FB5904240000001</t>
  </si>
  <si>
    <t>0100000027</t>
  </si>
  <si>
    <t>TREASURY CORPORATION OF VICTORIA</t>
  </si>
  <si>
    <t xml:space="preserve">ARF_210_1B: Liquidity Coverage Ratio - </t>
    <phoneticPr fontId="3" type="noConversion"/>
  </si>
  <si>
    <t>OL5904240000010</t>
  </si>
  <si>
    <t>OL5904240000011</t>
  </si>
  <si>
    <t>0100000028</t>
  </si>
  <si>
    <t>MACQUARIE INTERNATIONAL FINANCIAL LIMITED</t>
  </si>
  <si>
    <t>OL5904240000013</t>
  </si>
  <si>
    <t>OL5904240000014</t>
  </si>
  <si>
    <t>FA5904240000005</t>
  </si>
  <si>
    <t>Term Deposits - Non-financial corporates and PSEs</t>
  </si>
  <si>
    <t>A.I.P ON TIME DEPOSIT</t>
  </si>
  <si>
    <t>0100000007</t>
  </si>
  <si>
    <t>CHINA EVERBRIGHT BANK CO. LTD</t>
  </si>
  <si>
    <t>0100000032</t>
  </si>
  <si>
    <t>KORES NARRABRI PTY LIMITED</t>
  </si>
  <si>
    <t>0100000031</t>
  </si>
  <si>
    <t>ORIGIN ENERGY LIMITED</t>
  </si>
  <si>
    <t>DA5904240000004</t>
  </si>
  <si>
    <t>OL5904240000016</t>
  </si>
  <si>
    <t>OL5904240000017</t>
  </si>
  <si>
    <t>OL5904240000018</t>
  </si>
  <si>
    <t>OL5904240000020</t>
  </si>
  <si>
    <t>OL5904240000021</t>
  </si>
  <si>
    <t>OL5904240000022</t>
  </si>
  <si>
    <t>OL5904240000023</t>
  </si>
  <si>
    <r>
      <t xml:space="preserve">9.1.3. Less stable deposits which are covered by FCS or </t>
    </r>
    <r>
      <rPr>
        <sz val="11"/>
        <color rgb="FFFF0000"/>
        <rFont val="Arial"/>
        <family val="2"/>
      </rPr>
      <t>government deposit insurance scheme</t>
    </r>
  </si>
  <si>
    <t>FB5904240000003</t>
  </si>
  <si>
    <t>0100000034</t>
  </si>
  <si>
    <t>WESTERN AUSTRALIAN TREASURY CORPORATION</t>
  </si>
  <si>
    <t>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</si>
  <si>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</si>
  <si>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</si>
  <si>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</si>
  <si>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</si>
  <si>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</si>
  <si>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</si>
  <si>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0100000033</t>
  </si>
  <si>
    <t>MACQUARIE GROUP LIMITED</t>
  </si>
  <si>
    <t>OL5904240000024</t>
  </si>
  <si>
    <t>OL5904240000025</t>
  </si>
  <si>
    <t>OL5904240000026</t>
  </si>
  <si>
    <t>DA5904240000005</t>
  </si>
  <si>
    <t>DA5904240000006</t>
  </si>
  <si>
    <t>10991003</t>
  </si>
  <si>
    <t>Account Receivable(FX Spot)</t>
  </si>
  <si>
    <t>20970006</t>
  </si>
  <si>
    <t>Account Payable(FX Spot)</t>
  </si>
  <si>
    <t>OL5904220000001</t>
  </si>
  <si>
    <t>0100000037</t>
  </si>
  <si>
    <t>THE EXPORT-IMPORT BANK OF KOREA</t>
  </si>
  <si>
    <t>OL5904240000035</t>
  </si>
  <si>
    <t>OL5904240000036</t>
  </si>
  <si>
    <t>OL5904240000037</t>
  </si>
  <si>
    <t>Foreign GovT &amp; Official Institution - FVOCI</t>
  </si>
  <si>
    <t>FB5904240000005</t>
  </si>
  <si>
    <t>THE EXPORT-IMPORT BANK OF KOREA</t>
    <phoneticPr fontId="3" type="noConversion"/>
  </si>
  <si>
    <t>HQLA_Australian State Government or Territory Central Borrowing Authorities</t>
    <phoneticPr fontId="3" type="noConversion"/>
  </si>
  <si>
    <t>Issued or guaranteed by PSEs</t>
  </si>
  <si>
    <t>HQLA_Issued or guaranteed by PSEs</t>
    <phoneticPr fontId="3" type="noConversion"/>
  </si>
  <si>
    <t>0100000035</t>
  </si>
  <si>
    <t>NEXTDC LIMITED</t>
  </si>
  <si>
    <t>DA5904240000009</t>
  </si>
  <si>
    <t>OL5904240000040</t>
  </si>
  <si>
    <t>OL5904240000041</t>
  </si>
  <si>
    <t>OL5904240000042</t>
  </si>
  <si>
    <t>Allowance for Call Loan</t>
  </si>
  <si>
    <t>A.I.R ON STATE GOV'T OR AGENCY SECURITIES</t>
  </si>
  <si>
    <t>A.I.R ON FOREIGN GOV'T &amp; OFFICIAL INSTIT'S SECURITIES</t>
  </si>
  <si>
    <t>A.I.R ON CALL LOAN</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</si>
  <si>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</si>
  <si>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</si>
  <si>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</si>
  <si>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</si>
  <si>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</si>
  <si>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</si>
  <si>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</si>
  <si>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</si>
  <si>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</si>
  <si>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</si>
  <si>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</si>
  <si>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</si>
  <si>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</si>
  <si>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</si>
  <si>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</si>
  <si>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</si>
  <si>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</si>
  <si>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</si>
  <si>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</si>
  <si>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</si>
  <si>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</si>
  <si>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</si>
  <si>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</si>
  <si>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</si>
  <si>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</si>
  <si>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</si>
  <si>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</si>
  <si>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</si>
  <si>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</si>
  <si>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</si>
  <si>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</si>
  <si>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</si>
  <si>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</si>
  <si>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</si>
  <si>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</si>
  <si>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</si>
  <si>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</si>
  <si>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OT5904ACTPAY033</t>
  </si>
  <si>
    <t>OT5904SRCVBS001</t>
  </si>
  <si>
    <t>OL5904250000001</t>
  </si>
  <si>
    <t>OL5904250000002</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</si>
  <si>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</si>
  <si>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</si>
  <si>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</si>
  <si>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</si>
  <si>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</si>
  <si>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</si>
  <si>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</si>
  <si>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</si>
  <si>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</si>
  <si>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</si>
  <si>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</si>
  <si>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</si>
  <si>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</si>
  <si>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</si>
  <si>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</si>
  <si>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</si>
  <si>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</si>
  <si>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</si>
  <si>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</si>
  <si>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</si>
  <si>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</si>
  <si>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</si>
  <si>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</si>
  <si>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</si>
  <si>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</si>
  <si>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</si>
  <si>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</si>
  <si>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</si>
  <si>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</si>
  <si>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</si>
  <si>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</si>
  <si>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</si>
  <si>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</si>
  <si>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</si>
  <si>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</si>
  <si>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</si>
  <si>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</si>
  <si>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</si>
  <si>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</si>
  <si>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</si>
  <si>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</si>
  <si>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</si>
  <si>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</si>
  <si>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</si>
  <si>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</si>
  <si>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</si>
  <si>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</si>
  <si>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</si>
  <si>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</si>
  <si>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</si>
  <si>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OT5904220000161</t>
  </si>
  <si>
    <t>OT5904220000163</t>
  </si>
  <si>
    <t>OT5904230000071</t>
  </si>
  <si>
    <t>Inter-Office Account EUL-Borrowing</t>
  </si>
  <si>
    <t>CURRENT YEAR PROFIT</t>
  </si>
  <si>
    <t>OI5904230000011</t>
  </si>
  <si>
    <t>OI5904240000013</t>
  </si>
  <si>
    <t>OI5904240000015</t>
  </si>
  <si>
    <t>OT5904230000157</t>
  </si>
  <si>
    <t>OT5904240000141</t>
  </si>
  <si>
    <t>OT5904240000143</t>
  </si>
  <si>
    <t>OT5904240000145</t>
  </si>
  <si>
    <t>UNREALIZED GAIN AFS (SEC. VAL)</t>
  </si>
  <si>
    <t>POSITION(OVER BOUGHT)</t>
  </si>
  <si>
    <t>DH5904AUD28900001</t>
  </si>
  <si>
    <t>DH5904USD28900001</t>
  </si>
  <si>
    <t>OT5904220000001</t>
  </si>
  <si>
    <t>OT5904220000134</t>
  </si>
  <si>
    <t>OT5904220000160</t>
  </si>
  <si>
    <t>OT5904220000162</t>
  </si>
  <si>
    <t>Syndicate Commitments (over 1 year)</t>
  </si>
  <si>
    <t>Syndicate Commitments (less 1 year)</t>
  </si>
  <si>
    <t>FB5904250000001</t>
  </si>
  <si>
    <t>FM5904250000003</t>
  </si>
  <si>
    <t>FB5904250000002</t>
  </si>
  <si>
    <t>OT5904250000017</t>
  </si>
  <si>
    <t>FA5904250000003</t>
  </si>
  <si>
    <t>Australian Business Number</t>
    <phoneticPr fontId="3" type="noConversion"/>
  </si>
  <si>
    <t>10252002</t>
  </si>
  <si>
    <t>Call Loan within 3M - Oversea</t>
  </si>
  <si>
    <t>OL5904250000003</t>
  </si>
  <si>
    <t>OL5904250000004</t>
  </si>
  <si>
    <t>Nonghyup Bank_Sydney Branch</t>
    <phoneticPr fontId="3" type="noConversion"/>
  </si>
  <si>
    <t>FA5904250000005</t>
  </si>
  <si>
    <t>FA5904250000006</t>
  </si>
  <si>
    <t>FA5904250000007</t>
  </si>
  <si>
    <t>FA5904250000009</t>
  </si>
  <si>
    <t>FA5904250000010</t>
  </si>
  <si>
    <t>Liquid Assets</t>
    <phoneticPr fontId="3" type="noConversion"/>
  </si>
  <si>
    <t>OL5904250000007</t>
  </si>
  <si>
    <t>OL5904250000008</t>
  </si>
  <si>
    <t>FA5904250000011</t>
  </si>
  <si>
    <t>NCD - Domestic</t>
  </si>
  <si>
    <t>0100000022</t>
  </si>
  <si>
    <t>QUEENSLAND COUNTRY BANK LIMITED</t>
  </si>
  <si>
    <t>A.I.P ON CERTIFICATE OF DEPOSITS - NCD</t>
  </si>
  <si>
    <t>FB5904250000003</t>
  </si>
  <si>
    <t>0100000038</t>
  </si>
  <si>
    <t>TASMANIAN PUBLIC FINANCE CORPORATION</t>
  </si>
  <si>
    <t>TASMANIAN PUBLIC FINANCE CORPORATION</t>
    <phoneticPr fontId="3" type="noConversion"/>
  </si>
  <si>
    <t>OL5904250000009</t>
  </si>
  <si>
    <t>OL5904250000010</t>
  </si>
  <si>
    <t>Call Loan within 3M - Domestic</t>
  </si>
  <si>
    <t>0100000039</t>
  </si>
  <si>
    <t>QANTAS AIRWAYS LIMITED</t>
  </si>
  <si>
    <t>DA5904250000003</t>
  </si>
  <si>
    <t>DA5904250000004</t>
  </si>
  <si>
    <t>OL5904250000011</t>
  </si>
  <si>
    <t>OL5904250000012</t>
  </si>
  <si>
    <t>OL5904250000013</t>
  </si>
  <si>
    <t>FB5904250000004</t>
  </si>
  <si>
    <t>0100000041</t>
  </si>
  <si>
    <t>POSCO AUSTRALIA PTY LTD</t>
  </si>
  <si>
    <t>0100000040</t>
  </si>
  <si>
    <t>DOWNER GROUP FINANCE PTY LIMITED</t>
  </si>
  <si>
    <t>DA5904250000005</t>
  </si>
  <si>
    <t>DA5904250000006</t>
  </si>
  <si>
    <t>OL5904250000018</t>
  </si>
  <si>
    <t>OL5904250000019</t>
  </si>
  <si>
    <t>OL5904250000020</t>
  </si>
  <si>
    <t>OL5904250000021</t>
  </si>
  <si>
    <t>FM5904250000027</t>
  </si>
  <si>
    <t>RCH3004USD</t>
  </si>
  <si>
    <t>TCD - Domestic</t>
  </si>
  <si>
    <t>FM5904250000025</t>
  </si>
  <si>
    <t>MUFG SECURITIES EMEA PLC</t>
  </si>
  <si>
    <t>20910010</t>
  </si>
  <si>
    <t>A.I.P ON CERTIFICATE OF DEPOSITS - TCD</t>
  </si>
  <si>
    <t>FM5904250000031</t>
  </si>
  <si>
    <t>OL5904250000023</t>
  </si>
  <si>
    <t>OL5904250000024</t>
  </si>
  <si>
    <t>UNREALIZED LOSS AFS (SEC. VAL)</t>
  </si>
  <si>
    <t>0100000044</t>
  </si>
  <si>
    <t>MYSTATE BANK LIMITED</t>
  </si>
  <si>
    <t>OL5904250000026</t>
  </si>
  <si>
    <t>OL5904250000027</t>
  </si>
  <si>
    <t>DA5904250000007</t>
  </si>
  <si>
    <t>OL5904250000030</t>
  </si>
  <si>
    <t>OL5904250000031</t>
  </si>
  <si>
    <t>OL5904250000032</t>
  </si>
  <si>
    <t>FM5904250000039</t>
  </si>
  <si>
    <t>FM5904250000040</t>
  </si>
  <si>
    <t>OT5904250000126</t>
  </si>
  <si>
    <t xml:space="preserve">The lowest LCR date </t>
    <phoneticPr fontId="3" type="noConversion"/>
  </si>
  <si>
    <t>FM5904250000044</t>
  </si>
  <si>
    <t>Amount(AUD)</t>
    <phoneticPr fontId="3" type="noConversion"/>
  </si>
  <si>
    <t>&lt;Buyback-Cash Outflows&gt;</t>
    <phoneticPr fontId="3" type="noConversion"/>
  </si>
  <si>
    <t>계수 부호 변경 및 Liability 항목</t>
    <phoneticPr fontId="3" type="noConversion"/>
  </si>
  <si>
    <t>계수 부호 변경 및 Asset 항목</t>
  </si>
  <si>
    <t>Adjusted
Base Ccy Amt</t>
    <phoneticPr fontId="3" type="noConversion"/>
  </si>
  <si>
    <t>계수 부호 변경</t>
    <phoneticPr fontId="3" type="noConversion"/>
  </si>
  <si>
    <t>Liquidity Gap
Asset 
/Liability</t>
    <phoneticPr fontId="3" type="noConversion"/>
  </si>
  <si>
    <t>OFF_LC Issued</t>
    <phoneticPr fontId="3" type="noConversion"/>
  </si>
  <si>
    <t>OFF Bal.</t>
    <phoneticPr fontId="3" type="noConversion"/>
  </si>
  <si>
    <t>Overnight (O/N)</t>
  </si>
  <si>
    <t>CA / CL 
AMT</t>
    <phoneticPr fontId="3" type="noConversion"/>
  </si>
  <si>
    <t>7D</t>
  </si>
  <si>
    <t>1M</t>
  </si>
  <si>
    <t>3M</t>
  </si>
  <si>
    <t>KRI</t>
  </si>
  <si>
    <t>Limit</t>
  </si>
  <si>
    <t>2-7 Days</t>
  </si>
  <si>
    <t>2-7 Days</t>
    <phoneticPr fontId="3" type="noConversion"/>
  </si>
  <si>
    <t>8 Days to &lt;1 month</t>
  </si>
  <si>
    <t>3 to &lt; 6 months</t>
  </si>
  <si>
    <t>Liquidity Gap Ratio</t>
    <phoneticPr fontId="3" type="noConversion"/>
  </si>
  <si>
    <t>1 to &lt; 3 months</t>
  </si>
  <si>
    <t>6 to &lt; 12 months</t>
  </si>
  <si>
    <t>1 to &lt; 3 years</t>
  </si>
  <si>
    <t>3 to &lt; 5 years</t>
  </si>
  <si>
    <t>5 to &lt; 10 years</t>
  </si>
  <si>
    <t>10+ years or No Maturity</t>
  </si>
  <si>
    <t>LCR Maturity Adj</t>
  </si>
  <si>
    <t xml:space="preserve">Liquidity Maturity Gap Management </t>
  </si>
  <si>
    <t>Liquidity Maturity</t>
  </si>
  <si>
    <t>Loan_Household</t>
    <phoneticPr fontId="3" type="noConversion"/>
  </si>
  <si>
    <t>HQLA_Australian State Government or Territory Central Borrowing Authorities</t>
  </si>
  <si>
    <t>HQLA_Issued or guaranteed by PSEs</t>
  </si>
  <si>
    <t>Australian State Government or Territory Central Borrowing Authorities</t>
  </si>
  <si>
    <t>Other_Asset (Lease)_</t>
  </si>
  <si>
    <t>Total Asset :</t>
    <phoneticPr fontId="3" type="noConversion"/>
  </si>
  <si>
    <t>Total Liability :</t>
    <phoneticPr fontId="3" type="noConversion"/>
  </si>
  <si>
    <t>Ratio (%)</t>
  </si>
  <si>
    <t>Reached ?
Y or N</t>
  </si>
  <si>
    <t>Breached ?
Y or N</t>
  </si>
  <si>
    <t>True
OR
False</t>
    <phoneticPr fontId="3" type="noConversion"/>
  </si>
  <si>
    <t>8 Days to 
&lt;1 month</t>
    <phoneticPr fontId="3" type="noConversion"/>
  </si>
  <si>
    <t>1 to 
&lt; 3 months</t>
    <phoneticPr fontId="3" type="noConversion"/>
  </si>
  <si>
    <t>3 to 
&lt; 6 months</t>
    <phoneticPr fontId="3" type="noConversion"/>
  </si>
  <si>
    <t>6 to 
&lt; 12 months</t>
    <phoneticPr fontId="3" type="noConversion"/>
  </si>
  <si>
    <t>1 to 
&lt; 3 years</t>
    <phoneticPr fontId="3" type="noConversion"/>
  </si>
  <si>
    <t>3 to 
&lt; 5 years</t>
    <phoneticPr fontId="3" type="noConversion"/>
  </si>
  <si>
    <t>5 to 
&lt; 10 years</t>
    <phoneticPr fontId="3" type="noConversion"/>
  </si>
  <si>
    <t>10+ years 
or No Maturity</t>
    <phoneticPr fontId="3" type="noConversion"/>
  </si>
  <si>
    <t>3M Liquidity Ratio (%)</t>
    <phoneticPr fontId="3" type="noConversion"/>
  </si>
  <si>
    <t>OL5904250000037</t>
  </si>
  <si>
    <t>OL5904250000038</t>
  </si>
  <si>
    <t>LCR (%)</t>
    <phoneticPr fontId="3" type="noConversion"/>
  </si>
  <si>
    <t>FM5904250000045</t>
  </si>
  <si>
    <t>ACCOUNT PAYABLE(Other Income tax withholding)</t>
  </si>
  <si>
    <t>DH5904AUD20970005</t>
  </si>
  <si>
    <t>FM5904250000047</t>
  </si>
  <si>
    <t>FM5904250000048</t>
  </si>
  <si>
    <t>AUSWIDE BANK LTD</t>
  </si>
  <si>
    <t>OL5904250000040</t>
  </si>
  <si>
    <t>OL5904250000041</t>
  </si>
  <si>
    <t>OL5904250000042</t>
  </si>
  <si>
    <t>FM5904250000051</t>
  </si>
  <si>
    <t>FM5904250000049</t>
  </si>
  <si>
    <t>FM5904250000050</t>
  </si>
  <si>
    <t>Tax Withholding for Income from Interests</t>
  </si>
  <si>
    <t>OT5904250000172</t>
  </si>
  <si>
    <t>OT5904250000173</t>
  </si>
  <si>
    <t>OL5904250000043</t>
  </si>
  <si>
    <t>OL5904250000044</t>
  </si>
  <si>
    <t>OL5904250000045</t>
  </si>
  <si>
    <t>OI5904250000009</t>
  </si>
  <si>
    <t>OI5904250000011</t>
  </si>
  <si>
    <t>OT5904250000179</t>
  </si>
  <si>
    <t>OT5904250000181</t>
  </si>
  <si>
    <t>OT5904260000004</t>
  </si>
  <si>
    <t>Net Income</t>
  </si>
  <si>
    <t>DH5904AUD28810019</t>
  </si>
  <si>
    <t>DH5904AUD28810019-1</t>
  </si>
  <si>
    <t>DH5904USD28810019</t>
  </si>
  <si>
    <t>DH5904AUD28900001-1</t>
  </si>
  <si>
    <t>FM5904260000002</t>
  </si>
  <si>
    <t>FM5904260000001</t>
  </si>
  <si>
    <t>OT5904260000006</t>
  </si>
  <si>
    <t>FM5904260000003</t>
  </si>
  <si>
    <t>FM5904260000004</t>
  </si>
  <si>
    <t>10999002</t>
  </si>
  <si>
    <t>SECURITY DEPOSIT</t>
  </si>
  <si>
    <t>OT5904260000008</t>
  </si>
  <si>
    <t>FA5904260000002</t>
  </si>
  <si>
    <t>FA5904260000003</t>
  </si>
  <si>
    <t>FM5904260000005</t>
  </si>
  <si>
    <t>OT5904260000011</t>
  </si>
  <si>
    <t>OT5904260000012</t>
  </si>
  <si>
    <t>Gap</t>
  </si>
  <si>
    <t>(-)Shortfall</t>
  </si>
  <si>
    <t>7 day</t>
    <phoneticPr fontId="3" type="noConversion"/>
  </si>
  <si>
    <t>1 month</t>
    <phoneticPr fontId="3" type="noConversion"/>
  </si>
  <si>
    <t>3 month</t>
    <phoneticPr fontId="3" type="noConversion"/>
  </si>
  <si>
    <t>Gap ratio</t>
  </si>
  <si>
    <t>Total Asset</t>
    <phoneticPr fontId="3" type="noConversion"/>
  </si>
  <si>
    <t>A.I.R ON OPERATION LOANS</t>
  </si>
  <si>
    <t>OT5904260000013</t>
  </si>
  <si>
    <t>FA5904260000004</t>
  </si>
  <si>
    <t>FA5904260000005</t>
  </si>
  <si>
    <t>OL5904260000003</t>
  </si>
  <si>
    <t>OL5904260000001</t>
  </si>
  <si>
    <t>OL5904260000002</t>
  </si>
  <si>
    <t>Liquidity Gap Ratio Forecast</t>
    <phoneticPr fontId="3" type="noConversion"/>
  </si>
  <si>
    <t>From</t>
    <phoneticPr fontId="3" type="noConversion"/>
  </si>
  <si>
    <t>Liquidity Coverage Ratio Management</t>
    <phoneticPr fontId="3" type="noConversion"/>
  </si>
  <si>
    <t>KRI</t>
    <phoneticPr fontId="3" type="noConversion"/>
  </si>
  <si>
    <t>Risk Dimension</t>
  </si>
  <si>
    <t>Qualitative Measure</t>
  </si>
  <si>
    <t>Monitoring Frequency</t>
  </si>
  <si>
    <t>Trigger 
Liability</t>
    <phoneticPr fontId="3" type="noConversion"/>
  </si>
  <si>
    <t>Limit
Liability</t>
    <phoneticPr fontId="3" type="noConversion"/>
  </si>
  <si>
    <t>Liquidity Gap Ratio</t>
  </si>
  <si>
    <t>Monthly</t>
  </si>
  <si>
    <t>Monthly Max Funding</t>
    <phoneticPr fontId="3" type="noConversion"/>
  </si>
  <si>
    <t xml:space="preserve">7 day </t>
    <phoneticPr fontId="3" type="noConversion"/>
  </si>
  <si>
    <t xml:space="preserve">Assets minus liabilities maturing in a time frame divided by the total assets where the marketable securities are considered maturing within 7 days.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</si>
</sst>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_-* #,##0_-;\-* #,##0_-;_-* &quot;-&quot;??_-;_-@_-"/>
    <numFmt numFmtId="177" formatCode="_-* #,##0.000_-;\-* #,##0.000_-;_-* &quot;-&quot;_-;_-@_-"/>
    <numFmt numFmtId="178" formatCode="d/mm/yyyy;@"/>
    <numFmt numFmtId="179" formatCode="0.0%"/>
    <numFmt numFmtId="180" formatCode="#,##0_ ;[Red]\-#,##0\ "/>
    <numFmt numFmtId="181" formatCode="#,##0_ "/>
    <numFmt numFmtId="182" formatCode="_-* #,##0.00000_-;\-* #,##0.00000_-;_-* &quot;-&quot;_-;_-@_-"/>
    <numFmt numFmtId="183" formatCode="_-* #,##0.00000_-;\-* #,##0.00000_-;_-* &quot;-&quot;??_-;_-@_-"/>
    <numFmt numFmtId="184" formatCode="_-* #,##0.00_-;\-* #,##0.00_-;_-* &quot;-&quot;_-;_-@_-"/>
    <numFmt numFmtId="185" formatCode="[$-2]\ #,##0.00_);\([$-2]#,##0\)"/>
    <numFmt numFmtId="186" formatCode="_-* #,##0.0000_-;\-* #,##0.0000_-;_-* &quot;-&quot;_-;_-@_-"/>
    <numFmt numFmtId="187" formatCode="[$-2]0\);\([$-2]0\)"/>
    <numFmt numFmtId="188" formatCode="0.000%"/>
    <numFmt numFmtId="189" formatCode="_-* #,##0.0_-;\-* #,##0.0_-;_-* &quot;-&quot;_-;_-@_-"/>
    <numFmt numFmtId="190" formatCode="0.00000"/>
    <numFmt numFmtId="191" formatCode="_-* #,##0.0000000000000_-;\-* #,##0.0000000000000_-;_-* &quot;-&quot;??_-;_-@_-"/>
    <numFmt numFmtId="192" formatCode="0.0"/>
    <numFmt numFmtId="193" formatCode="#,##0.00_);[Red]\(#,##0.00\)"/>
    <numFmt numFmtId="194" formatCode="_-* #,##0.0_-;\-* #,##0.0_-;_-* &quot;-&quot;?_-;_-@_-"/>
    <numFmt numFmtId="195" formatCode="_-* #,##0.0_-;\-* #,##0.0_-;_-* &quot;-&quot;??_-;_-@_-"/>
    <numFmt numFmtId="196" formatCode="[$-409]mmmm&quot;-&quot;yy;@"/>
    <numFmt numFmtId="197" formatCode="yyyy/mm/dd;@"/>
  </numFmts>
  <fonts count="131">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b/>
      <sz val="11"/>
      <color indexed="8"/>
      <name val="맑은 고딕"/>
      <family val="3"/>
      <charset val="129"/>
      <scheme val="minor"/>
    </font>
    <font>
      <b/>
      <sz val="11"/>
      <color indexed="8"/>
      <name val="맑은 고딕"/>
      <family val="2"/>
      <scheme val="minor"/>
    </font>
    <font>
      <b/>
      <sz val="11"/>
      <color rgb="FFFF0000"/>
      <name val="맑은 고딕"/>
      <family val="2"/>
      <scheme val="minor"/>
    </font>
    <font>
      <b/>
      <sz val="16"/>
      <color indexed="8"/>
      <name val="맑은 고딕"/>
      <family val="2"/>
      <scheme val="minor"/>
    </font>
    <font>
      <b/>
      <sz val="26"/>
      <color rgb="FFFF0000"/>
      <name val="맑은 고딕"/>
      <family val="2"/>
      <scheme val="minor"/>
    </font>
    <font>
      <b/>
      <sz val="11"/>
      <name val="맑은 고딕"/>
      <family val="2"/>
      <scheme val="minor"/>
    </font>
    <font>
      <sz val="11"/>
      <color rgb="FFFFFFFF"/>
      <name val="맑은 고딕"/>
      <family val="3"/>
      <charset val="129"/>
      <scheme val="minor"/>
    </font>
    <font>
      <b/>
      <sz val="9"/>
      <color indexed="8"/>
      <name val="나눔고딕"/>
      <family val="3"/>
      <charset val="129"/>
    </font>
    <font>
      <b/>
      <sz val="11"/>
      <name val="맑은 고딕"/>
      <family val="3"/>
      <charset val="129"/>
      <scheme val="minor"/>
    </font>
    <font>
      <b/>
      <sz val="11"/>
      <color rgb="FFFF0000"/>
      <name val="맑은 고딕"/>
      <family val="3"/>
      <charset val="129"/>
      <scheme val="minor"/>
    </font>
    <font>
      <b/>
      <sz val="28"/>
      <color indexed="8"/>
      <name val="맑은 고딕"/>
      <family val="2"/>
      <scheme val="minor"/>
    </font>
    <font>
      <b/>
      <sz val="18"/>
      <name val="맑은 고딕"/>
      <family val="2"/>
      <scheme val="minor"/>
    </font>
    <font>
      <b/>
      <sz val="9"/>
      <color theme="1"/>
      <name val="굴림체"/>
      <family val="3"/>
      <charset val="129"/>
    </font>
    <font>
      <sz val="11"/>
      <name val="맑은 고딕"/>
      <family val="2"/>
      <scheme val="minor"/>
    </font>
    <font>
      <b/>
      <sz val="11"/>
      <color rgb="FF00B050"/>
      <name val="맑은 고딕"/>
      <family val="2"/>
      <scheme val="minor"/>
    </font>
    <font>
      <b/>
      <sz val="11"/>
      <color rgb="FF0070C0"/>
      <name val="맑은 고딕"/>
      <family val="2"/>
      <scheme val="minor"/>
    </font>
    <font>
      <b/>
      <sz val="11"/>
      <color theme="1"/>
      <name val="맑은 고딕"/>
      <family val="2"/>
      <scheme val="minor"/>
    </font>
    <font>
      <sz val="11"/>
      <color rgb="FFFF0000"/>
      <name val="맑은 고딕"/>
      <family val="2"/>
      <scheme val="minor"/>
    </font>
    <font>
      <sz val="9"/>
      <color rgb="FFFFFFFF"/>
      <name val="Arial"/>
      <family val="2"/>
    </font>
    <font>
      <sz val="9"/>
      <color rgb="FF000000"/>
      <name val="Arial"/>
      <family val="2"/>
    </font>
    <font>
      <b/>
      <sz val="11"/>
      <color rgb="FF7030A0"/>
      <name val="맑은 고딕"/>
      <family val="2"/>
      <scheme val="minor"/>
    </font>
    <font>
      <b/>
      <sz val="9"/>
      <name val="Arial"/>
      <family val="2"/>
    </font>
    <font>
      <b/>
      <sz val="9"/>
      <color theme="1"/>
      <name val="Arial"/>
      <family val="2"/>
    </font>
    <font>
      <b/>
      <sz val="11"/>
      <color rgb="FF7030A0"/>
      <name val="맑은 고딕"/>
      <family val="3"/>
      <charset val="129"/>
      <scheme val="minor"/>
    </font>
    <font>
      <sz val="11"/>
      <color rgb="FF000000"/>
      <name val="Tahoma"/>
      <family val="2"/>
    </font>
    <font>
      <b/>
      <sz val="26"/>
      <color rgb="FFFF0000"/>
      <name val="맑은 고딕"/>
      <family val="3"/>
      <charset val="129"/>
    </font>
    <font>
      <b/>
      <sz val="10"/>
      <color rgb="FFFF0000"/>
      <name val="Arial"/>
      <family val="2"/>
    </font>
    <font>
      <b/>
      <sz val="10"/>
      <color theme="0"/>
      <name val="Arial"/>
      <family val="2"/>
    </font>
    <font>
      <b/>
      <sz val="10"/>
      <color rgb="FF000000"/>
      <name val="Arial"/>
      <family val="2"/>
    </font>
    <font>
      <b/>
      <sz val="11"/>
      <color rgb="FFFFFFFF"/>
      <name val="Arial"/>
      <family val="2"/>
    </font>
    <font>
      <b/>
      <sz val="8"/>
      <name val="맑은 고딕"/>
      <family val="2"/>
      <scheme val="minor"/>
    </font>
    <font>
      <sz val="8"/>
      <color indexed="81"/>
      <name val="Tahoma"/>
      <family val="2"/>
    </font>
    <font>
      <b/>
      <sz val="8"/>
      <color indexed="81"/>
      <name val="Tahoma"/>
      <family val="2"/>
    </font>
    <font>
      <b/>
      <sz val="11"/>
      <color rgb="FFFF0000"/>
      <name val="맑은 고딕"/>
      <family val="3"/>
      <charset val="129"/>
    </font>
    <font>
      <b/>
      <sz val="16"/>
      <color rgb="FFFF0000"/>
      <name val="맑은 고딕"/>
      <family val="3"/>
      <charset val="129"/>
      <scheme val="minor"/>
    </font>
    <font>
      <b/>
      <sz val="11"/>
      <color rgb="FF00B050"/>
      <name val="맑은 고딕"/>
      <family val="3"/>
      <charset val="129"/>
      <scheme val="minor"/>
    </font>
    <font>
      <b/>
      <sz val="11"/>
      <color rgb="FFFF0000"/>
      <name val="Tahoma"/>
      <family val="2"/>
    </font>
    <font>
      <b/>
      <sz val="11"/>
      <color rgb="FF0070C0"/>
      <name val="맑은 고딕"/>
      <family val="3"/>
      <charset val="129"/>
      <scheme val="minor"/>
    </font>
    <font>
      <i/>
      <sz val="11"/>
      <color rgb="FFFF0000"/>
      <name val="맑은 고딕"/>
      <family val="3"/>
      <charset val="129"/>
      <scheme val="minor"/>
    </font>
    <font>
      <sz val="11"/>
      <color rgb="FFFF0000"/>
      <name val="맑은 고딕"/>
      <family val="3"/>
      <charset val="129"/>
      <scheme val="minor"/>
    </font>
    <font>
      <b/>
      <u/>
      <sz val="11"/>
      <color theme="1"/>
      <name val="맑은 고딕"/>
      <family val="3"/>
      <charset val="129"/>
      <scheme val="minor"/>
    </font>
    <font>
      <b/>
      <sz val="12"/>
      <color rgb="FF00B050"/>
      <name val="맑은 고딕"/>
      <family val="2"/>
      <scheme val="minor"/>
    </font>
    <font>
      <b/>
      <sz val="12"/>
      <color rgb="FF00B050"/>
      <name val="맑은 고딕"/>
      <family val="3"/>
      <charset val="129"/>
      <scheme val="minor"/>
    </font>
    <font>
      <b/>
      <sz val="11"/>
      <color theme="0" tint="-0.499984740745262"/>
      <name val="맑은 고딕"/>
      <family val="3"/>
      <charset val="129"/>
      <scheme val="minor"/>
    </font>
    <font>
      <sz val="11"/>
      <color rgb="FFFF0000"/>
      <name val="맑은 고딕"/>
      <family val="2"/>
      <charset val="129"/>
      <scheme val="minor"/>
    </font>
    <font>
      <b/>
      <sz val="10"/>
      <color theme="1"/>
      <name val="Arial"/>
      <family val="2"/>
    </font>
    <font>
      <b/>
      <sz val="14"/>
      <color theme="1"/>
      <name val="맑은 고딕"/>
      <family val="3"/>
      <charset val="129"/>
      <scheme val="minor"/>
    </font>
    <font>
      <b/>
      <sz val="14"/>
      <color indexed="8"/>
      <name val="맑은 고딕"/>
      <family val="3"/>
      <charset val="129"/>
      <scheme val="minor"/>
    </font>
    <font>
      <b/>
      <sz val="10"/>
      <color rgb="FFFF0000"/>
      <name val="맑은 고딕"/>
      <family val="2"/>
      <scheme val="minor"/>
    </font>
    <font>
      <b/>
      <sz val="9"/>
      <color rgb="FFFF0000"/>
      <name val="나눔고딕"/>
      <family val="3"/>
      <charset val="129"/>
    </font>
    <font>
      <b/>
      <sz val="9"/>
      <color rgb="FF0070C0"/>
      <name val="나눔고딕"/>
      <family val="3"/>
      <charset val="129"/>
    </font>
    <font>
      <b/>
      <i/>
      <sz val="11"/>
      <color theme="1"/>
      <name val="맑은 고딕"/>
      <family val="3"/>
      <charset val="129"/>
      <scheme val="minor"/>
    </font>
    <font>
      <b/>
      <i/>
      <u/>
      <sz val="11"/>
      <color theme="1"/>
      <name val="맑은 고딕"/>
      <family val="3"/>
      <charset val="129"/>
      <scheme val="minor"/>
    </font>
    <font>
      <sz val="11"/>
      <color rgb="FF0070C0"/>
      <name val="맑은 고딕"/>
      <family val="2"/>
      <charset val="129"/>
      <scheme val="minor"/>
    </font>
    <font>
      <b/>
      <i/>
      <u/>
      <sz val="11"/>
      <name val="맑은 고딕"/>
      <family val="3"/>
      <charset val="129"/>
      <scheme val="minor"/>
    </font>
    <font>
      <i/>
      <sz val="11"/>
      <color theme="1"/>
      <name val="맑은 고딕"/>
      <family val="3"/>
      <charset val="129"/>
      <scheme val="minor"/>
    </font>
    <font>
      <b/>
      <i/>
      <sz val="11"/>
      <color theme="1"/>
      <name val="맑은 고딕"/>
      <family val="3"/>
      <charset val="129"/>
    </font>
    <font>
      <b/>
      <sz val="10"/>
      <color rgb="FFFF0000"/>
      <name val="맑은 고딕"/>
      <family val="3"/>
      <charset val="129"/>
      <scheme val="minor"/>
    </font>
    <font>
      <sz val="10"/>
      <color theme="1"/>
      <name val="맑은 고딕"/>
      <family val="3"/>
      <charset val="129"/>
      <scheme val="minor"/>
    </font>
    <font>
      <b/>
      <sz val="10"/>
      <color rgb="FF0070C0"/>
      <name val="맑은 고딕"/>
      <family val="3"/>
      <charset val="129"/>
      <scheme val="minor"/>
    </font>
    <font>
      <b/>
      <sz val="10"/>
      <color theme="1"/>
      <name val="맑은 고딕"/>
      <family val="3"/>
      <charset val="129"/>
      <scheme val="minor"/>
    </font>
    <font>
      <i/>
      <sz val="11"/>
      <color theme="1"/>
      <name val="맑은 고딕"/>
      <family val="3"/>
      <charset val="129"/>
    </font>
    <font>
      <b/>
      <sz val="10"/>
      <name val="맑은 고딕"/>
      <family val="3"/>
      <charset val="129"/>
      <scheme val="minor"/>
    </font>
    <font>
      <sz val="9"/>
      <color theme="1"/>
      <name val="맑은 고딕"/>
      <family val="3"/>
      <charset val="129"/>
      <scheme val="minor"/>
    </font>
    <font>
      <sz val="9"/>
      <color indexed="8"/>
      <name val="맑은 고딕"/>
      <family val="3"/>
      <charset val="129"/>
      <scheme val="minor"/>
    </font>
    <font>
      <sz val="11"/>
      <color rgb="FF7030A0"/>
      <name val="맑은 고딕"/>
      <family val="2"/>
      <charset val="129"/>
      <scheme val="minor"/>
    </font>
    <font>
      <sz val="11"/>
      <color rgb="FFFF0000"/>
      <name val="Tahoma"/>
      <family val="2"/>
    </font>
    <font>
      <u/>
      <sz val="11"/>
      <color theme="10"/>
      <name val="맑은 고딕"/>
      <family val="2"/>
      <charset val="129"/>
      <scheme val="minor"/>
    </font>
    <font>
      <sz val="11"/>
      <name val="돋움"/>
      <family val="3"/>
      <charset val="129"/>
    </font>
    <font>
      <b/>
      <sz val="20"/>
      <name val="Arial"/>
      <family val="2"/>
    </font>
    <font>
      <sz val="11"/>
      <color theme="1"/>
      <name val="Trebuchet MS"/>
      <family val="2"/>
    </font>
    <font>
      <sz val="11"/>
      <color theme="1"/>
      <name val="돋움"/>
      <family val="3"/>
      <charset val="129"/>
    </font>
    <font>
      <sz val="16"/>
      <name val="Arial"/>
      <family val="2"/>
    </font>
    <font>
      <sz val="11"/>
      <color theme="1"/>
      <name val="Arial"/>
      <family val="2"/>
    </font>
    <font>
      <b/>
      <sz val="11"/>
      <color rgb="FFFF0000"/>
      <name val="Arial"/>
      <family val="2"/>
    </font>
    <font>
      <sz val="10"/>
      <color theme="1"/>
      <name val="맑은 고딕"/>
      <family val="2"/>
      <scheme val="minor"/>
    </font>
    <font>
      <sz val="11"/>
      <color rgb="FFFF0000"/>
      <name val="Arial"/>
      <family val="2"/>
    </font>
    <font>
      <b/>
      <sz val="11"/>
      <color theme="1"/>
      <name val="Arial"/>
      <family val="2"/>
    </font>
    <font>
      <sz val="8"/>
      <name val="돋움"/>
      <family val="3"/>
      <charset val="129"/>
    </font>
    <font>
      <sz val="11"/>
      <color rgb="FF000000"/>
      <name val="Arial"/>
      <family val="2"/>
    </font>
    <font>
      <sz val="11"/>
      <name val="Arial"/>
      <family val="2"/>
    </font>
    <font>
      <b/>
      <sz val="11"/>
      <color rgb="FF000000"/>
      <name val="Arial"/>
      <family val="2"/>
    </font>
    <font>
      <b/>
      <sz val="12"/>
      <color theme="1"/>
      <name val="Arial"/>
      <family val="2"/>
    </font>
    <font>
      <b/>
      <sz val="11"/>
      <name val="Arial"/>
      <family val="2"/>
    </font>
    <font>
      <b/>
      <sz val="11"/>
      <color rgb="FF0070C0"/>
      <name val="Arial"/>
      <family val="2"/>
    </font>
    <font>
      <b/>
      <sz val="14"/>
      <color theme="1"/>
      <name val="Arial"/>
      <family val="2"/>
    </font>
    <font>
      <b/>
      <u/>
      <sz val="11"/>
      <color rgb="FFFF0000"/>
      <name val="맑은 고딕"/>
      <family val="3"/>
      <charset val="129"/>
      <scheme val="minor"/>
    </font>
    <font>
      <b/>
      <sz val="13"/>
      <color rgb="FF000000"/>
      <name val="Times New Roman"/>
      <family val="1"/>
    </font>
    <font>
      <b/>
      <sz val="14"/>
      <color rgb="FFFF0000"/>
      <name val="맑은 고딕"/>
      <family val="3"/>
      <charset val="129"/>
      <scheme val="minor"/>
    </font>
    <font>
      <b/>
      <sz val="14"/>
      <color rgb="FF0070C0"/>
      <name val="맑은 고딕"/>
      <family val="3"/>
      <charset val="129"/>
      <scheme val="minor"/>
    </font>
    <font>
      <b/>
      <sz val="9"/>
      <color rgb="FF7030A0"/>
      <name val="나눔고딕"/>
      <family val="3"/>
      <charset val="129"/>
    </font>
    <font>
      <b/>
      <sz val="20"/>
      <color rgb="FFFF0000"/>
      <name val="Arial"/>
      <family val="2"/>
    </font>
    <font>
      <b/>
      <sz val="18"/>
      <color rgb="FFFF0000"/>
      <name val="Arial"/>
      <family val="2"/>
    </font>
    <font>
      <b/>
      <sz val="36"/>
      <color rgb="FFFF0000"/>
      <name val="Arial"/>
      <family val="2"/>
    </font>
    <font>
      <b/>
      <sz val="9"/>
      <color theme="1"/>
      <name val="맑은 고딕"/>
      <family val="3"/>
      <charset val="129"/>
      <scheme val="minor"/>
    </font>
    <font>
      <b/>
      <sz val="16"/>
      <color theme="1"/>
      <name val="맑은 고딕"/>
      <family val="2"/>
      <scheme val="minor"/>
    </font>
    <font>
      <b/>
      <sz val="9"/>
      <color indexed="81"/>
      <name val="Tahoma"/>
      <family val="2"/>
    </font>
    <font>
      <b/>
      <sz val="9"/>
      <color indexed="81"/>
      <name val="돋움"/>
      <family val="3"/>
      <charset val="129"/>
    </font>
    <font>
      <sz val="11"/>
      <color theme="1"/>
      <name val="맑은 고딕"/>
      <family val="2"/>
      <scheme val="minor"/>
    </font>
    <font>
      <sz val="11"/>
      <color indexed="8"/>
      <name val="맑은 고딕"/>
      <family val="3"/>
      <charset val="129"/>
      <scheme val="minor"/>
    </font>
    <font>
      <sz val="11"/>
      <color rgb="FF000000"/>
      <name val="맑은 고딕"/>
      <family val="3"/>
      <charset val="129"/>
      <scheme val="minor"/>
    </font>
    <font>
      <sz val="11"/>
      <color rgb="FF000000"/>
      <name val="Tahoma"/>
      <family val="2"/>
    </font>
    <font>
      <b/>
      <i/>
      <u/>
      <sz val="11"/>
      <color rgb="FFFF0000"/>
      <name val="맑은 고딕"/>
      <family val="3"/>
      <charset val="129"/>
      <scheme val="minor"/>
    </font>
    <font>
      <b/>
      <sz val="12"/>
      <color indexed="8"/>
      <name val="맑은 고딕"/>
      <family val="3"/>
      <charset val="129"/>
      <scheme val="minor"/>
    </font>
    <font>
      <b/>
      <sz val="12"/>
      <name val="맑은 고딕"/>
      <family val="3"/>
      <charset val="129"/>
      <scheme val="minor"/>
    </font>
    <font>
      <b/>
      <sz val="12"/>
      <color theme="0"/>
      <name val="맑은 고딕"/>
      <family val="3"/>
      <charset val="129"/>
      <scheme val="minor"/>
    </font>
    <font>
      <b/>
      <sz val="11"/>
      <color rgb="FF000000"/>
      <name val="Times New Roman"/>
      <family val="1"/>
    </font>
    <font>
      <b/>
      <sz val="18"/>
      <color rgb="FFFF0000"/>
      <name val="맑은 고딕"/>
      <family val="2"/>
      <scheme val="minor"/>
    </font>
    <font>
      <sz val="11"/>
      <name val="맑은 고딕"/>
      <family val="2"/>
      <charset val="129"/>
      <scheme val="minor"/>
    </font>
    <font>
      <b/>
      <sz val="12"/>
      <color rgb="FF000000"/>
      <name val="Calibri"/>
      <family val="2"/>
    </font>
    <font>
      <b/>
      <sz val="12"/>
      <color rgb="FFFF0000"/>
      <name val="Calibri"/>
      <family val="2"/>
    </font>
    <font>
      <sz val="12"/>
      <color rgb="FFFF0000"/>
      <name val="Calibri"/>
      <family val="2"/>
    </font>
    <font>
      <b/>
      <i/>
      <sz val="12"/>
      <color indexed="8"/>
      <name val="맑은 고딕"/>
      <family val="3"/>
      <charset val="129"/>
      <scheme val="minor"/>
    </font>
    <font>
      <b/>
      <sz val="24"/>
      <color rgb="FFFF0000"/>
      <name val="맑은 고딕"/>
      <family val="2"/>
      <scheme val="minor"/>
    </font>
    <font>
      <b/>
      <sz val="16"/>
      <color rgb="FF000000"/>
      <name val="Times New Roman"/>
      <family val="1"/>
    </font>
    <font>
      <b/>
      <sz val="20"/>
      <color indexed="8"/>
      <name val="맑은 고딕"/>
      <family val="3"/>
      <charset val="129"/>
      <scheme val="minor"/>
    </font>
    <font>
      <b/>
      <sz val="22"/>
      <color indexed="8"/>
      <name val="맑은 고딕"/>
      <family val="3"/>
      <charset val="129"/>
      <scheme val="minor"/>
    </font>
    <font>
      <b/>
      <sz val="20"/>
      <color rgb="FF000000"/>
      <name val="맑은 고딕"/>
      <family val="3"/>
      <charset val="129"/>
      <scheme val="minor"/>
    </font>
    <font>
      <sz val="9"/>
      <color indexed="81"/>
      <name val="Tahoma"/>
      <family val="2"/>
    </font>
    <font>
      <b/>
      <sz val="11"/>
      <color rgb="FF000000"/>
      <name val="맑은 고딕"/>
      <family val="3"/>
      <charset val="129"/>
      <scheme val="minor"/>
    </font>
    <font>
      <b/>
      <sz val="16"/>
      <color rgb="FF000000"/>
      <name val="Calibri"/>
      <family val="2"/>
    </font>
    <font>
      <b/>
      <sz val="11"/>
      <color theme="0"/>
      <name val="Franklin Gothic Book"/>
      <family val="2"/>
    </font>
    <font>
      <b/>
      <sz val="11"/>
      <color rgb="FFFFFFFF"/>
      <name val="Franklin Gothic Book"/>
      <family val="2"/>
    </font>
    <font>
      <sz val="11"/>
      <color theme="1"/>
      <name val="Franklin Gothic Book"/>
      <family val="2"/>
    </font>
    <font>
      <b/>
      <sz val="11"/>
      <color theme="1"/>
      <name val="Franklin Gothic Book"/>
      <family val="2"/>
    </font>
    <font>
      <b/>
      <sz val="11"/>
      <color rgb="FFFF0000"/>
      <name val="Franklin Gothic Book"/>
      <family val="2"/>
    </font>
    <font>
      <b/>
      <sz val="11"/>
      <color theme="1"/>
      <name val="맑은 고딕"/>
      <family val="3"/>
      <charset val="129"/>
      <scheme val="minor"/>
    </font>
  </fonts>
  <fills count="3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889DBA"/>
      </patternFill>
    </fill>
    <fill>
      <patternFill patternType="solid">
        <fgColor theme="0" tint="-0.249977111117893"/>
        <bgColor indexed="64"/>
      </patternFill>
    </fill>
    <fill>
      <patternFill patternType="solid">
        <fgColor indexed="9"/>
      </patternFill>
    </fill>
    <fill>
      <patternFill patternType="solid">
        <fgColor rgb="FF8BFFBF"/>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D2D2D2"/>
        <bgColor indexed="64"/>
      </patternFill>
    </fill>
    <fill>
      <patternFill patternType="solid">
        <fgColor rgb="FFFFFFFF"/>
      </patternFill>
    </fill>
    <fill>
      <patternFill patternType="solid">
        <fgColor indexed="2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rgb="FFA6A6A6"/>
        <bgColor rgb="FF000000"/>
      </patternFill>
    </fill>
    <fill>
      <patternFill patternType="solid">
        <fgColor rgb="FFA6A6A6"/>
        <bgColor indexed="64"/>
      </patternFill>
    </fill>
    <fill>
      <patternFill patternType="solid">
        <fgColor theme="6" tint="0.79998168889431442"/>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1F3864"/>
        <bgColor indexed="64"/>
      </patternFill>
    </fill>
  </fills>
  <borders count="298">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right style="thin">
        <color indexed="8"/>
      </right>
      <top style="medium">
        <color auto="1"/>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auto="1"/>
      </top>
      <bottom style="thin">
        <color indexed="8"/>
      </bottom>
      <diagonal/>
    </border>
    <border>
      <left style="thin">
        <color auto="1"/>
      </left>
      <right/>
      <top style="thin">
        <color auto="1"/>
      </top>
      <bottom style="thin">
        <color auto="1"/>
      </bottom>
      <diagonal/>
    </border>
    <border>
      <left style="thick">
        <color indexed="8"/>
      </left>
      <right/>
      <top style="thick">
        <color indexed="8"/>
      </top>
      <bottom/>
      <diagonal/>
    </border>
    <border>
      <left/>
      <right/>
      <top style="thick">
        <color indexed="8"/>
      </top>
      <bottom/>
      <diagonal/>
    </border>
    <border>
      <left style="thick">
        <color indexed="8"/>
      </left>
      <right style="thin">
        <color indexed="8"/>
      </right>
      <top style="medium">
        <color auto="1"/>
      </top>
      <bottom style="thin">
        <color indexed="8"/>
      </bottom>
      <diagonal/>
    </border>
    <border>
      <left style="thick">
        <color indexed="8"/>
      </left>
      <right style="thin">
        <color indexed="8"/>
      </right>
      <top style="thin">
        <color indexed="8"/>
      </top>
      <bottom style="thin">
        <color indexed="8"/>
      </bottom>
      <diagonal/>
    </border>
    <border>
      <left style="medium">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00B050"/>
      </right>
      <top style="thin">
        <color indexed="64"/>
      </top>
      <bottom/>
      <diagonal/>
    </border>
    <border>
      <left style="thin">
        <color indexed="64"/>
      </left>
      <right style="thin">
        <color indexed="64"/>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right style="thin">
        <color indexed="64"/>
      </right>
      <top style="thin">
        <color indexed="64"/>
      </top>
      <bottom style="thin">
        <color indexed="64"/>
      </bottom>
      <diagonal/>
    </border>
    <border>
      <left style="thick">
        <color rgb="FF00B050"/>
      </left>
      <right/>
      <top style="thin">
        <color indexed="64"/>
      </top>
      <bottom style="thin">
        <color indexed="64"/>
      </bottom>
      <diagonal/>
    </border>
    <border>
      <left/>
      <right style="thin">
        <color indexed="64"/>
      </right>
      <top style="thin">
        <color indexed="64"/>
      </top>
      <bottom/>
      <diagonal/>
    </border>
    <border>
      <left style="thick">
        <color rgb="FF00B050"/>
      </left>
      <right/>
      <top style="thin">
        <color indexed="64"/>
      </top>
      <bottom style="thick">
        <color rgb="FF00B050"/>
      </bottom>
      <diagonal/>
    </border>
    <border>
      <left style="thick">
        <color rgb="FF00B050"/>
      </left>
      <right/>
      <top style="thin">
        <color indexed="64"/>
      </top>
      <bottom/>
      <diagonal/>
    </border>
    <border>
      <left style="thin">
        <color indexed="8"/>
      </left>
      <right style="thin">
        <color indexed="8"/>
      </right>
      <top style="thin">
        <color indexed="8"/>
      </top>
      <bottom style="thin">
        <color indexed="8"/>
      </bottom>
      <diagonal/>
    </border>
    <border>
      <left style="thick">
        <color rgb="FF00B050"/>
      </left>
      <right style="thick">
        <color rgb="FF00B050"/>
      </right>
      <top style="thick">
        <color rgb="FF00B050"/>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top/>
      <bottom/>
      <diagonal/>
    </border>
    <border>
      <left/>
      <right style="thick">
        <color auto="1"/>
      </right>
      <top/>
      <bottom/>
      <diagonal/>
    </border>
    <border>
      <left/>
      <right style="thin">
        <color indexed="64"/>
      </right>
      <top/>
      <bottom/>
      <diagonal/>
    </border>
    <border>
      <left/>
      <right style="thin">
        <color auto="1"/>
      </right>
      <top style="thick">
        <color indexed="64"/>
      </top>
      <bottom/>
      <diagonal/>
    </border>
    <border>
      <left style="thin">
        <color auto="1"/>
      </left>
      <right style="thin">
        <color auto="1"/>
      </right>
      <top style="thick">
        <color indexed="64"/>
      </top>
      <bottom style="thin">
        <color indexed="64"/>
      </bottom>
      <diagonal/>
    </border>
    <border>
      <left style="thin">
        <color auto="1"/>
      </left>
      <right style="thin">
        <color auto="1"/>
      </right>
      <top style="thin">
        <color indexed="64"/>
      </top>
      <bottom style="thick">
        <color indexed="64"/>
      </bottom>
      <diagonal/>
    </border>
    <border>
      <left style="thin">
        <color auto="1"/>
      </left>
      <right style="thin">
        <color auto="1"/>
      </right>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style="thick">
        <color indexed="64"/>
      </left>
      <right/>
      <top/>
      <bottom/>
      <diagonal/>
    </border>
    <border>
      <left style="medium">
        <color indexed="64"/>
      </left>
      <right style="thick">
        <color indexed="64"/>
      </right>
      <top style="medium">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rgb="FFFF0000"/>
      </left>
      <right style="medium">
        <color rgb="FFFF0000"/>
      </right>
      <top style="medium">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n">
        <color indexed="64"/>
      </bottom>
      <diagonal/>
    </border>
    <border>
      <left style="medium">
        <color rgb="FFFF0000"/>
      </left>
      <right style="medium">
        <color rgb="FFFF0000"/>
      </right>
      <top style="thin">
        <color rgb="FFFF0000"/>
      </top>
      <bottom style="medium">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medium">
        <color rgb="FFFF0000"/>
      </right>
      <top/>
      <bottom style="medium">
        <color rgb="FFFF0000"/>
      </bottom>
      <diagonal/>
    </border>
    <border>
      <left/>
      <right style="thin">
        <color indexed="64"/>
      </right>
      <top/>
      <bottom style="thick">
        <color rgb="FFFF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style="thick">
        <color indexed="64"/>
      </right>
      <top style="thin">
        <color indexed="64"/>
      </top>
      <bottom style="thick">
        <color indexed="64"/>
      </bottom>
      <diagonal/>
    </border>
    <border>
      <left style="thick">
        <color indexed="8"/>
      </left>
      <right/>
      <top style="thick">
        <color indexed="8"/>
      </top>
      <bottom style="medium">
        <color auto="1"/>
      </bottom>
      <diagonal/>
    </border>
    <border>
      <left/>
      <right/>
      <top style="thick">
        <color indexed="8"/>
      </top>
      <bottom style="medium">
        <color auto="1"/>
      </bottom>
      <diagonal/>
    </border>
    <border>
      <left/>
      <right style="thick">
        <color indexed="64"/>
      </right>
      <top style="thick">
        <color indexed="8"/>
      </top>
      <bottom/>
      <diagonal/>
    </border>
    <border>
      <left/>
      <right style="thin">
        <color indexed="8"/>
      </right>
      <top style="thin">
        <color indexed="8"/>
      </top>
      <bottom style="thin">
        <color indexed="8"/>
      </bottom>
      <diagonal/>
    </border>
    <border>
      <left style="thick">
        <color theme="1"/>
      </left>
      <right style="thin">
        <color theme="1"/>
      </right>
      <top style="thin">
        <color indexed="8"/>
      </top>
      <bottom style="thin">
        <color indexed="8"/>
      </bottom>
      <diagonal/>
    </border>
    <border>
      <left style="thick">
        <color theme="1"/>
      </left>
      <right style="thin">
        <color theme="1"/>
      </right>
      <top style="thin">
        <color theme="1"/>
      </top>
      <bottom style="thin">
        <color indexed="8"/>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medium">
        <color indexed="64"/>
      </right>
      <top style="medium">
        <color indexed="64"/>
      </top>
      <bottom style="medium">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ck">
        <color rgb="FFFF0000"/>
      </right>
      <top style="thick">
        <color rgb="FFFF0000"/>
      </top>
      <bottom/>
      <diagonal/>
    </border>
    <border>
      <left style="thick">
        <color rgb="FF00B050"/>
      </left>
      <right style="thick">
        <color rgb="FF00B050"/>
      </right>
      <top style="thick">
        <color rgb="FF00B050"/>
      </top>
      <bottom style="thick">
        <color rgb="FF00B050"/>
      </bottom>
      <diagonal/>
    </border>
    <border>
      <left style="thick">
        <color rgb="FF0070C0"/>
      </left>
      <right style="thick">
        <color rgb="FF0070C0"/>
      </right>
      <top style="thick">
        <color rgb="FF0070C0"/>
      </top>
      <bottom style="thin">
        <color indexed="64"/>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style="thin">
        <color indexed="64"/>
      </bottom>
      <diagonal/>
    </border>
    <border>
      <left style="thick">
        <color rgb="FFFF0000"/>
      </left>
      <right style="thick">
        <color rgb="FFFF0000"/>
      </right>
      <top style="thin">
        <color indexed="64"/>
      </top>
      <bottom style="thick">
        <color rgb="FFFF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rgb="FFFF0000"/>
      </left>
      <right style="thin">
        <color indexed="64"/>
      </right>
      <top style="thin">
        <color indexed="64"/>
      </top>
      <bottom/>
      <diagonal/>
    </border>
    <border>
      <left style="thin">
        <color indexed="64"/>
      </left>
      <right style="thick">
        <color rgb="FFFF0000"/>
      </right>
      <top style="thin">
        <color indexed="64"/>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right style="thick">
        <color rgb="FF00B050"/>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style="thick">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ck">
        <color indexed="8"/>
      </bottom>
      <diagonal/>
    </border>
    <border>
      <left style="thick">
        <color theme="1"/>
      </left>
      <right style="thin">
        <color theme="1"/>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ck">
        <color indexed="8"/>
      </bottom>
      <diagonal/>
    </border>
    <border>
      <left style="thick">
        <color indexed="64"/>
      </left>
      <right style="thin">
        <color indexed="64"/>
      </right>
      <top style="thin">
        <color indexed="64"/>
      </top>
      <bottom style="thick">
        <color indexed="8"/>
      </bottom>
      <diagonal/>
    </border>
    <border>
      <left style="thin">
        <color indexed="64"/>
      </left>
      <right/>
      <top style="thin">
        <color indexed="64"/>
      </top>
      <bottom style="thick">
        <color indexed="8"/>
      </bottom>
      <diagonal/>
    </border>
    <border>
      <left style="thin">
        <color indexed="64"/>
      </left>
      <right style="medium">
        <color indexed="64"/>
      </right>
      <top style="thin">
        <color indexed="64"/>
      </top>
      <bottom style="thick">
        <color indexed="8"/>
      </bottom>
      <diagonal/>
    </border>
    <border>
      <left style="thin">
        <color indexed="8"/>
      </left>
      <right/>
      <top style="thin">
        <color indexed="8"/>
      </top>
      <bottom style="thin">
        <color indexed="8"/>
      </bottom>
      <diagonal/>
    </border>
    <border>
      <left/>
      <right/>
      <top style="thick">
        <color rgb="FFFF0000"/>
      </top>
      <bottom/>
      <diagonal/>
    </border>
    <border>
      <left style="thick">
        <color rgb="FFFF0000"/>
      </left>
      <right style="thin">
        <color auto="1"/>
      </right>
      <top style="thin">
        <color auto="1"/>
      </top>
      <bottom style="thin">
        <color auto="1"/>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right/>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diagonal/>
    </border>
    <border>
      <left style="thick">
        <color rgb="FFFF0000"/>
      </left>
      <right/>
      <top/>
      <bottom/>
      <diagonal/>
    </border>
    <border>
      <left style="thick">
        <color rgb="FFFF0000"/>
      </left>
      <right/>
      <top/>
      <bottom style="thick">
        <color rgb="FFFF0000"/>
      </bottom>
      <diagonal/>
    </border>
    <border>
      <left style="thin">
        <color auto="1"/>
      </left>
      <right style="thin">
        <color auto="1"/>
      </right>
      <top style="thin">
        <color auto="1"/>
      </top>
      <bottom style="thin">
        <color auto="1"/>
      </bottom>
      <diagonal/>
    </border>
    <border>
      <left style="thick">
        <color rgb="FFFF0000"/>
      </left>
      <right/>
      <top style="thick">
        <color rgb="FFFF0000"/>
      </top>
      <bottom style="thin">
        <color indexed="64"/>
      </bottom>
      <diagonal/>
    </border>
    <border>
      <left style="thick">
        <color rgb="FFFF0000"/>
      </left>
      <right/>
      <top style="thin">
        <color indexed="64"/>
      </top>
      <bottom style="thick">
        <color rgb="FFFF0000"/>
      </bottom>
      <diagonal/>
    </border>
    <border>
      <left style="thick">
        <color rgb="FFFF0000"/>
      </left>
      <right style="thick">
        <color rgb="FFFF0000"/>
      </right>
      <top/>
      <bottom style="thick">
        <color rgb="FFFF0000"/>
      </bottom>
      <diagonal/>
    </border>
    <border>
      <left style="medium">
        <color indexed="64"/>
      </left>
      <right style="medium">
        <color indexed="64"/>
      </right>
      <top/>
      <bottom/>
      <diagonal/>
    </border>
    <border>
      <left style="thick">
        <color rgb="FFFF0000"/>
      </left>
      <right style="thick">
        <color rgb="FFFF0000"/>
      </right>
      <top style="thick">
        <color rgb="FFFF0000"/>
      </top>
      <bottom style="medium">
        <color indexed="64"/>
      </bottom>
      <diagonal/>
    </border>
    <border>
      <left style="thick">
        <color rgb="FFFF0000"/>
      </left>
      <right style="thick">
        <color rgb="FFFF0000"/>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rgb="FF00B050"/>
      </left>
      <right style="thick">
        <color rgb="FF00B050"/>
      </right>
      <top style="thin">
        <color indexed="64"/>
      </top>
      <bottom style="thin">
        <color indexed="64"/>
      </bottom>
      <diagonal/>
    </border>
    <border>
      <left style="thick">
        <color rgb="FF00B050"/>
      </left>
      <right style="thick">
        <color rgb="FF00B050"/>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ck">
        <color rgb="FF00B050"/>
      </left>
      <right style="thick">
        <color rgb="FF00B050"/>
      </right>
      <top style="thin">
        <color indexed="64"/>
      </top>
      <bottom style="thick">
        <color rgb="FF00B05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ck">
        <color rgb="FFFF0000"/>
      </bottom>
      <diagonal/>
    </border>
    <border>
      <left style="thick">
        <color rgb="FFFF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thick">
        <color rgb="FFFF0000"/>
      </left>
      <right/>
      <top style="thin">
        <color rgb="FFFF0000"/>
      </top>
      <bottom style="thick">
        <color rgb="FFFF0000"/>
      </bottom>
      <diagonal/>
    </border>
    <border>
      <left/>
      <right style="thick">
        <color rgb="FFFF0000"/>
      </right>
      <top style="thick">
        <color rgb="FFFF0000"/>
      </top>
      <bottom/>
      <diagonal/>
    </border>
    <border>
      <left/>
      <right style="thick">
        <color rgb="FFFF0000"/>
      </right>
      <top style="thin">
        <color rgb="FFFF0000"/>
      </top>
      <bottom style="thick">
        <color rgb="FFFF0000"/>
      </bottom>
      <diagonal/>
    </border>
    <border>
      <left style="thin">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diagonal/>
    </border>
    <border>
      <left style="thick">
        <color rgb="FFFF0000"/>
      </left>
      <right style="thin">
        <color rgb="FFFF0000"/>
      </right>
      <top style="thick">
        <color rgb="FFFF0000"/>
      </top>
      <bottom style="thin">
        <color rgb="FFFF0000"/>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ck">
        <color rgb="FFFF0000"/>
      </right>
      <top style="thin">
        <color rgb="FFFF0000"/>
      </top>
      <bottom style="thick">
        <color rgb="FFFF0000"/>
      </bottom>
      <diagonal/>
    </border>
    <border>
      <left style="thin">
        <color rgb="FFFF0000"/>
      </left>
      <right style="thick">
        <color rgb="FFFF0000"/>
      </right>
      <top style="thick">
        <color rgb="FFFF0000"/>
      </top>
      <bottom/>
      <diagonal/>
    </border>
    <border>
      <left style="thick">
        <color rgb="FFFF0000"/>
      </left>
      <right style="thin">
        <color indexed="64"/>
      </right>
      <top style="thin">
        <color indexed="64"/>
      </top>
      <bottom style="thin">
        <color indexed="64"/>
      </bottom>
      <diagonal/>
    </border>
    <border>
      <left style="thin">
        <color indexed="8"/>
      </left>
      <right/>
      <top style="medium">
        <color auto="1"/>
      </top>
      <bottom style="thin">
        <color indexed="8"/>
      </bottom>
      <diagonal/>
    </border>
    <border>
      <left style="thin">
        <color indexed="8"/>
      </left>
      <right/>
      <top style="thin">
        <color indexed="8"/>
      </top>
      <bottom style="thick">
        <color indexed="8"/>
      </bottom>
      <diagonal/>
    </border>
    <border>
      <left style="thin">
        <color auto="1"/>
      </left>
      <right style="thick">
        <color theme="1"/>
      </right>
      <top style="medium">
        <color auto="1"/>
      </top>
      <bottom style="thin">
        <color indexed="8"/>
      </bottom>
      <diagonal/>
    </border>
    <border>
      <left style="thin">
        <color auto="1"/>
      </left>
      <right style="thick">
        <color theme="1"/>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auto="1"/>
      </left>
      <right style="thick">
        <color theme="1"/>
      </right>
      <top style="thin">
        <color indexed="64"/>
      </top>
      <bottom style="thick">
        <color indexed="8"/>
      </bottom>
      <diagonal/>
    </border>
    <border>
      <left style="medium">
        <color auto="1"/>
      </left>
      <right/>
      <top style="thick">
        <color indexed="64"/>
      </top>
      <bottom style="medium">
        <color indexed="64"/>
      </bottom>
      <diagonal/>
    </border>
    <border>
      <left/>
      <right/>
      <top style="thin">
        <color indexed="64"/>
      </top>
      <bottom style="thin">
        <color indexed="64"/>
      </bottom>
      <diagonal/>
    </border>
    <border>
      <left/>
      <right/>
      <top style="thin">
        <color indexed="64"/>
      </top>
      <bottom style="thick">
        <color indexed="8"/>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indexed="64"/>
      </left>
      <right style="thick">
        <color theme="1"/>
      </right>
      <top style="medium">
        <color auto="1"/>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medium">
        <color auto="1"/>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right/>
      <top/>
      <bottom style="double">
        <color rgb="FFFF0000"/>
      </bottom>
      <diagonal/>
    </border>
    <border>
      <left style="thick">
        <color indexed="64"/>
      </left>
      <right style="medium">
        <color indexed="64"/>
      </right>
      <top style="thick">
        <color indexed="64"/>
      </top>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auto="1"/>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double">
        <color indexed="64"/>
      </bottom>
      <diagonal/>
    </border>
    <border>
      <left/>
      <right style="thin">
        <color indexed="64"/>
      </right>
      <top style="double">
        <color indexed="64"/>
      </top>
      <bottom/>
      <diagonal/>
    </border>
    <border>
      <left style="thick">
        <color indexed="64"/>
      </left>
      <right style="thin">
        <color indexed="64"/>
      </right>
      <top style="double">
        <color indexed="64"/>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style="medium">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right/>
      <top style="thin">
        <color indexed="64"/>
      </top>
      <bottom style="double">
        <color indexed="64"/>
      </bottom>
      <diagonal/>
    </border>
  </borders>
  <cellStyleXfs count="15">
    <xf numFmtId="0" fontId="0"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43" fontId="2" fillId="0" borderId="0" applyFont="0" applyFill="0" applyBorder="0" applyAlignment="0" applyProtection="0"/>
    <xf numFmtId="41" fontId="2" fillId="0" borderId="0" applyFont="0" applyFill="0" applyBorder="0" applyAlignment="0" applyProtection="0">
      <alignment vertical="center"/>
    </xf>
    <xf numFmtId="9" fontId="2" fillId="0" borderId="0" applyFont="0" applyFill="0" applyBorder="0" applyAlignment="0" applyProtection="0"/>
    <xf numFmtId="0" fontId="72" fillId="0" borderId="0">
      <alignment vertical="center"/>
    </xf>
    <xf numFmtId="0" fontId="71" fillId="0" borderId="0" applyNumberFormat="0" applyFill="0" applyBorder="0" applyAlignment="0" applyProtection="0"/>
    <xf numFmtId="9" fontId="72" fillId="0" borderId="0" applyFont="0" applyFill="0" applyBorder="0" applyAlignment="0" applyProtection="0"/>
    <xf numFmtId="0" fontId="102" fillId="0" borderId="0"/>
    <xf numFmtId="41" fontId="2" fillId="0" borderId="0" applyFont="0" applyFill="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cellStyleXfs>
  <cellXfs count="1080">
    <xf numFmtId="0" fontId="0" fillId="0" borderId="0" xfId="0">
      <alignment vertical="center"/>
    </xf>
    <xf numFmtId="0" fontId="2" fillId="0" borderId="0" xfId="3"/>
    <xf numFmtId="0" fontId="4" fillId="0" borderId="0" xfId="3" applyFont="1" applyAlignment="1">
      <alignment horizontal="center"/>
    </xf>
    <xf numFmtId="176" fontId="0" fillId="0" borderId="0" xfId="4" applyNumberFormat="1" applyFont="1"/>
    <xf numFmtId="0" fontId="5" fillId="0" borderId="0" xfId="3" applyFont="1" applyFill="1" applyAlignment="1">
      <alignment horizontal="center"/>
    </xf>
    <xf numFmtId="0" fontId="5" fillId="0" borderId="0" xfId="3" applyFont="1" applyAlignment="1">
      <alignment horizontal="right"/>
    </xf>
    <xf numFmtId="177" fontId="5" fillId="0" borderId="0" xfId="1" applyNumberFormat="1" applyFont="1" applyFill="1" applyAlignment="1">
      <alignment horizontal="center"/>
    </xf>
    <xf numFmtId="0" fontId="5" fillId="0" borderId="0" xfId="3" applyFont="1" applyFill="1" applyAlignment="1">
      <alignment horizontal="right"/>
    </xf>
    <xf numFmtId="177" fontId="4" fillId="0" borderId="0" xfId="1" applyNumberFormat="1" applyFont="1" applyFill="1" applyAlignment="1">
      <alignment horizontal="center"/>
    </xf>
    <xf numFmtId="0" fontId="6" fillId="0" borderId="0" xfId="3" applyFont="1" applyAlignment="1">
      <alignment wrapText="1"/>
    </xf>
    <xf numFmtId="0" fontId="10" fillId="5" borderId="1" xfId="3" applyFont="1" applyFill="1" applyBorder="1" applyAlignment="1">
      <alignment horizontal="center"/>
    </xf>
    <xf numFmtId="14" fontId="5" fillId="3" borderId="11" xfId="3" applyNumberFormat="1" applyFont="1" applyFill="1" applyBorder="1" applyAlignment="1">
      <alignment horizontal="right"/>
    </xf>
    <xf numFmtId="176" fontId="5" fillId="3" borderId="12" xfId="3" applyNumberFormat="1" applyFont="1" applyFill="1" applyBorder="1" applyAlignment="1">
      <alignment horizontal="center"/>
    </xf>
    <xf numFmtId="176" fontId="5" fillId="3" borderId="13" xfId="3" applyNumberFormat="1" applyFont="1" applyFill="1" applyBorder="1" applyAlignment="1">
      <alignment horizontal="right"/>
    </xf>
    <xf numFmtId="0" fontId="2" fillId="0" borderId="0" xfId="3" applyFill="1"/>
    <xf numFmtId="0" fontId="4" fillId="0" borderId="0" xfId="3" applyFont="1" applyFill="1" applyAlignment="1">
      <alignment horizontal="center"/>
    </xf>
    <xf numFmtId="176" fontId="0" fillId="0" borderId="0" xfId="4" applyNumberFormat="1" applyFont="1" applyFill="1"/>
    <xf numFmtId="176" fontId="5" fillId="0" borderId="0" xfId="3" applyNumberFormat="1" applyFont="1" applyFill="1" applyAlignment="1">
      <alignment horizontal="right"/>
    </xf>
    <xf numFmtId="43" fontId="0" fillId="0" borderId="0" xfId="4" applyNumberFormat="1" applyFont="1" applyFill="1"/>
    <xf numFmtId="179" fontId="5" fillId="0" borderId="0" xfId="3" applyNumberFormat="1" applyFont="1" applyFill="1" applyAlignment="1">
      <alignment horizontal="right"/>
    </xf>
    <xf numFmtId="0" fontId="11" fillId="4" borderId="7" xfId="0" applyFont="1" applyFill="1" applyBorder="1" applyAlignment="1">
      <alignment horizontal="center" vertical="center"/>
    </xf>
    <xf numFmtId="0" fontId="11" fillId="4" borderId="18" xfId="0" applyFont="1" applyFill="1" applyBorder="1" applyAlignment="1">
      <alignment horizontal="center" vertical="center" wrapText="1"/>
    </xf>
    <xf numFmtId="0" fontId="11" fillId="4" borderId="18" xfId="0" applyFont="1" applyFill="1" applyBorder="1" applyAlignment="1">
      <alignment horizontal="center" vertical="center"/>
    </xf>
    <xf numFmtId="14" fontId="11" fillId="8" borderId="14" xfId="0" applyNumberFormat="1" applyFont="1" applyFill="1" applyBorder="1" applyAlignment="1">
      <alignment horizontal="center" vertical="center"/>
    </xf>
    <xf numFmtId="180" fontId="5" fillId="8" borderId="17" xfId="4" applyNumberFormat="1" applyFont="1" applyFill="1" applyBorder="1" applyAlignment="1">
      <alignment horizontal="right"/>
    </xf>
    <xf numFmtId="0" fontId="5" fillId="0" borderId="17" xfId="0" applyFont="1" applyFill="1" applyBorder="1" applyAlignment="1">
      <alignment horizontal="left"/>
    </xf>
    <xf numFmtId="0" fontId="5" fillId="9" borderId="17" xfId="0" applyFont="1" applyFill="1" applyBorder="1" applyAlignment="1">
      <alignment horizontal="center"/>
    </xf>
    <xf numFmtId="0" fontId="5" fillId="7" borderId="17" xfId="0" applyFont="1" applyFill="1" applyBorder="1" applyAlignment="1">
      <alignment horizontal="left"/>
    </xf>
    <xf numFmtId="0" fontId="11" fillId="4" borderId="22" xfId="0" applyFont="1" applyFill="1" applyBorder="1" applyAlignment="1">
      <alignment horizontal="center" vertical="center"/>
    </xf>
    <xf numFmtId="0" fontId="5" fillId="0" borderId="23" xfId="0" applyFont="1" applyFill="1" applyBorder="1" applyAlignment="1">
      <alignment horizontal="left"/>
    </xf>
    <xf numFmtId="0" fontId="11" fillId="3" borderId="9" xfId="0" applyNumberFormat="1" applyFont="1" applyFill="1" applyBorder="1" applyAlignment="1">
      <alignment horizontal="center" vertical="center" wrapText="1"/>
    </xf>
    <xf numFmtId="0" fontId="11" fillId="3" borderId="10" xfId="0" applyNumberFormat="1" applyFont="1" applyFill="1" applyBorder="1" applyAlignment="1">
      <alignment horizontal="center" vertical="center" wrapText="1"/>
    </xf>
    <xf numFmtId="0" fontId="11" fillId="3" borderId="25" xfId="0" applyNumberFormat="1" applyFont="1" applyFill="1" applyBorder="1" applyAlignment="1">
      <alignment horizontal="center" vertical="center" wrapText="1"/>
    </xf>
    <xf numFmtId="0" fontId="18" fillId="0" borderId="29" xfId="3" applyFont="1" applyFill="1" applyBorder="1"/>
    <xf numFmtId="0" fontId="18" fillId="0" borderId="14" xfId="3" applyFont="1" applyFill="1" applyBorder="1"/>
    <xf numFmtId="0" fontId="18" fillId="0" borderId="30" xfId="3" applyFont="1" applyFill="1" applyBorder="1"/>
    <xf numFmtId="0" fontId="9" fillId="0" borderId="29" xfId="3" applyFont="1" applyFill="1" applyBorder="1"/>
    <xf numFmtId="0" fontId="9" fillId="0" borderId="14" xfId="3" applyFont="1" applyFill="1" applyBorder="1"/>
    <xf numFmtId="0" fontId="19" fillId="0" borderId="30" xfId="3" applyFont="1" applyFill="1" applyBorder="1"/>
    <xf numFmtId="49" fontId="9" fillId="0" borderId="29" xfId="3" applyNumberFormat="1" applyFont="1" applyFill="1" applyBorder="1" applyAlignment="1" applyProtection="1">
      <alignment horizontal="left" vertical="center"/>
      <protection locked="0"/>
    </xf>
    <xf numFmtId="49" fontId="9" fillId="0" borderId="14" xfId="3" applyNumberFormat="1" applyFont="1" applyFill="1" applyBorder="1" applyAlignment="1" applyProtection="1">
      <alignment horizontal="left" vertical="center"/>
      <protection locked="0"/>
    </xf>
    <xf numFmtId="0" fontId="6" fillId="0" borderId="30" xfId="3" applyFont="1" applyFill="1" applyBorder="1"/>
    <xf numFmtId="0" fontId="19" fillId="0" borderId="0" xfId="3" applyFont="1" applyFill="1"/>
    <xf numFmtId="0" fontId="19" fillId="0" borderId="0" xfId="3" applyFont="1"/>
    <xf numFmtId="0" fontId="20" fillId="0" borderId="0" xfId="3" applyFont="1"/>
    <xf numFmtId="0" fontId="9" fillId="0" borderId="29" xfId="3" applyFont="1" applyFill="1" applyBorder="1" applyAlignment="1">
      <alignment vertical="center"/>
    </xf>
    <xf numFmtId="0" fontId="9" fillId="0" borderId="14" xfId="3" applyFont="1" applyFill="1" applyBorder="1" applyAlignment="1">
      <alignment vertical="center"/>
    </xf>
    <xf numFmtId="0" fontId="6" fillId="0" borderId="30" xfId="3" applyFont="1" applyFill="1" applyBorder="1" applyAlignment="1">
      <alignment vertical="center"/>
    </xf>
    <xf numFmtId="0" fontId="9" fillId="0" borderId="31" xfId="3" applyFont="1" applyFill="1" applyBorder="1"/>
    <xf numFmtId="0" fontId="6" fillId="0" borderId="33" xfId="3" applyFont="1" applyFill="1" applyBorder="1"/>
    <xf numFmtId="0" fontId="17" fillId="0" borderId="0" xfId="3" applyFont="1"/>
    <xf numFmtId="0" fontId="22" fillId="5" borderId="14" xfId="0" applyFont="1" applyFill="1" applyBorder="1" applyAlignment="1">
      <alignment horizontal="center"/>
    </xf>
    <xf numFmtId="0" fontId="23" fillId="12" borderId="14" xfId="0" applyFont="1" applyFill="1" applyBorder="1" applyAlignment="1">
      <alignment horizontal="center"/>
    </xf>
    <xf numFmtId="0" fontId="23" fillId="12" borderId="14" xfId="0" applyFont="1" applyFill="1" applyBorder="1" applyAlignment="1">
      <alignment horizontal="left"/>
    </xf>
    <xf numFmtId="0" fontId="24" fillId="0" borderId="30" xfId="3" applyFont="1" applyFill="1" applyBorder="1"/>
    <xf numFmtId="0" fontId="9" fillId="0" borderId="37" xfId="3" applyFont="1" applyFill="1" applyBorder="1"/>
    <xf numFmtId="49" fontId="9" fillId="0" borderId="37" xfId="3" applyNumberFormat="1" applyFont="1" applyFill="1" applyBorder="1" applyAlignment="1" applyProtection="1">
      <alignment horizontal="left" vertical="center"/>
      <protection locked="0"/>
    </xf>
    <xf numFmtId="0" fontId="23" fillId="0" borderId="14" xfId="0" applyFont="1" applyFill="1" applyBorder="1" applyAlignment="1">
      <alignment horizontal="left"/>
    </xf>
    <xf numFmtId="0" fontId="12" fillId="0" borderId="14" xfId="3" applyFont="1" applyFill="1" applyBorder="1"/>
    <xf numFmtId="49" fontId="25" fillId="11" borderId="26" xfId="3" applyNumberFormat="1" applyFont="1" applyFill="1" applyBorder="1" applyAlignment="1">
      <alignment horizontal="center" vertical="center" wrapText="1"/>
    </xf>
    <xf numFmtId="49" fontId="25" fillId="11" borderId="27" xfId="3" applyNumberFormat="1" applyFont="1" applyFill="1" applyBorder="1" applyAlignment="1">
      <alignment horizontal="center" vertical="center" wrapText="1"/>
    </xf>
    <xf numFmtId="49" fontId="26" fillId="11" borderId="28" xfId="3" applyNumberFormat="1" applyFont="1" applyFill="1" applyBorder="1" applyAlignment="1">
      <alignment horizontal="center" vertical="center" wrapText="1"/>
    </xf>
    <xf numFmtId="0" fontId="9" fillId="0" borderId="39" xfId="3" applyFont="1" applyFill="1" applyBorder="1"/>
    <xf numFmtId="0" fontId="9" fillId="0" borderId="40" xfId="3" applyFont="1" applyFill="1" applyBorder="1"/>
    <xf numFmtId="0" fontId="12" fillId="0" borderId="32" xfId="3" applyFont="1" applyFill="1" applyBorder="1"/>
    <xf numFmtId="49" fontId="21" fillId="0" borderId="0" xfId="3" applyNumberFormat="1" applyFont="1" applyFill="1" applyBorder="1" applyAlignment="1" applyProtection="1">
      <alignment horizontal="left" vertical="center"/>
      <protection locked="0"/>
    </xf>
    <xf numFmtId="0" fontId="11" fillId="13" borderId="41" xfId="3" applyFont="1" applyFill="1" applyBorder="1" applyAlignment="1">
      <alignment horizontal="center" vertical="center"/>
    </xf>
    <xf numFmtId="49" fontId="16" fillId="6" borderId="42" xfId="3" applyNumberFormat="1" applyFont="1" applyFill="1" applyBorder="1" applyAlignment="1">
      <alignment horizontal="center" vertical="center" wrapText="1"/>
    </xf>
    <xf numFmtId="0" fontId="2" fillId="7" borderId="41" xfId="3" applyFill="1" applyBorder="1" applyAlignment="1">
      <alignment horizontal="left"/>
    </xf>
    <xf numFmtId="0" fontId="2" fillId="7" borderId="43" xfId="3" applyFill="1" applyBorder="1" applyAlignment="1">
      <alignment horizontal="left"/>
    </xf>
    <xf numFmtId="49" fontId="16" fillId="11" borderId="14" xfId="3" applyNumberFormat="1" applyFont="1" applyFill="1" applyBorder="1" applyAlignment="1">
      <alignment horizontal="center" vertical="center" wrapText="1"/>
    </xf>
    <xf numFmtId="0" fontId="20" fillId="14" borderId="14" xfId="3" applyFont="1" applyFill="1" applyBorder="1"/>
    <xf numFmtId="0" fontId="2" fillId="14" borderId="19" xfId="3" applyFill="1" applyBorder="1"/>
    <xf numFmtId="0" fontId="20" fillId="0" borderId="14" xfId="3" applyFont="1" applyBorder="1"/>
    <xf numFmtId="0" fontId="6" fillId="0" borderId="19" xfId="3" applyFont="1" applyBorder="1"/>
    <xf numFmtId="0" fontId="19" fillId="0" borderId="36" xfId="3" applyFont="1" applyFill="1" applyBorder="1" applyAlignment="1">
      <alignment horizontal="center"/>
    </xf>
    <xf numFmtId="0" fontId="20" fillId="0" borderId="32" xfId="3" applyFont="1" applyBorder="1"/>
    <xf numFmtId="0" fontId="2" fillId="0" borderId="44" xfId="3" applyBorder="1"/>
    <xf numFmtId="0" fontId="19" fillId="0" borderId="38" xfId="3" applyFont="1" applyFill="1" applyBorder="1" applyAlignment="1">
      <alignment horizontal="center"/>
    </xf>
    <xf numFmtId="49" fontId="9" fillId="0" borderId="45" xfId="3" applyNumberFormat="1" applyFont="1" applyBorder="1" applyAlignment="1" applyProtection="1">
      <alignment horizontal="left" vertical="center"/>
      <protection locked="0"/>
    </xf>
    <xf numFmtId="49" fontId="21" fillId="0" borderId="46" xfId="3" applyNumberFormat="1" applyFont="1" applyFill="1" applyBorder="1" applyAlignment="1" applyProtection="1">
      <alignment horizontal="left" vertical="center"/>
      <protection locked="0"/>
    </xf>
    <xf numFmtId="0" fontId="19" fillId="0" borderId="47" xfId="3" applyFont="1" applyFill="1" applyBorder="1" applyAlignment="1">
      <alignment horizontal="center"/>
    </xf>
    <xf numFmtId="49" fontId="9" fillId="0" borderId="8" xfId="3" applyNumberFormat="1" applyFont="1" applyBorder="1" applyAlignment="1" applyProtection="1">
      <alignment horizontal="left" vertical="center"/>
      <protection locked="0"/>
    </xf>
    <xf numFmtId="49" fontId="21" fillId="0" borderId="9" xfId="3" applyNumberFormat="1" applyFont="1" applyFill="1" applyBorder="1" applyAlignment="1" applyProtection="1">
      <alignment horizontal="left" vertical="center"/>
      <protection locked="0"/>
    </xf>
    <xf numFmtId="0" fontId="19" fillId="0" borderId="48" xfId="3" applyFont="1" applyFill="1" applyBorder="1" applyAlignment="1">
      <alignment horizontal="center"/>
    </xf>
    <xf numFmtId="49" fontId="9" fillId="0" borderId="11" xfId="3" applyNumberFormat="1" applyFont="1" applyBorder="1" applyAlignment="1" applyProtection="1">
      <alignment horizontal="left" vertical="center"/>
      <protection locked="0"/>
    </xf>
    <xf numFmtId="49" fontId="21" fillId="0" borderId="19" xfId="3" applyNumberFormat="1" applyFont="1" applyFill="1" applyBorder="1" applyAlignment="1" applyProtection="1">
      <alignment horizontal="left" vertical="center"/>
      <protection locked="0"/>
    </xf>
    <xf numFmtId="0" fontId="19" fillId="0" borderId="49" xfId="3" applyFont="1" applyFill="1" applyBorder="1" applyAlignment="1">
      <alignment horizontal="center"/>
    </xf>
    <xf numFmtId="0" fontId="21" fillId="0" borderId="19" xfId="3" applyFont="1" applyBorder="1"/>
    <xf numFmtId="49" fontId="9" fillId="0" borderId="15" xfId="3" applyNumberFormat="1" applyFont="1" applyBorder="1" applyAlignment="1" applyProtection="1">
      <alignment horizontal="left" vertical="center"/>
      <protection locked="0"/>
    </xf>
    <xf numFmtId="49" fontId="21" fillId="0" borderId="16" xfId="3" applyNumberFormat="1" applyFont="1" applyFill="1" applyBorder="1" applyAlignment="1" applyProtection="1">
      <alignment horizontal="left" vertical="center"/>
      <protection locked="0"/>
    </xf>
    <xf numFmtId="0" fontId="19" fillId="0" borderId="50" xfId="3" applyFont="1" applyFill="1" applyBorder="1" applyAlignment="1">
      <alignment horizontal="center"/>
    </xf>
    <xf numFmtId="0" fontId="20" fillId="0" borderId="51" xfId="3" applyFont="1" applyBorder="1"/>
    <xf numFmtId="0" fontId="2" fillId="0" borderId="9" xfId="3" applyBorder="1"/>
    <xf numFmtId="0" fontId="19" fillId="0" borderId="52" xfId="3" applyFont="1" applyFill="1" applyBorder="1" applyAlignment="1">
      <alignment horizontal="center"/>
    </xf>
    <xf numFmtId="0" fontId="2" fillId="0" borderId="19" xfId="3" applyBorder="1"/>
    <xf numFmtId="0" fontId="2" fillId="0" borderId="19" xfId="3" applyFont="1" applyBorder="1"/>
    <xf numFmtId="0" fontId="6" fillId="0" borderId="47" xfId="3" applyFont="1" applyBorder="1" applyAlignment="1">
      <alignment horizontal="center"/>
    </xf>
    <xf numFmtId="0" fontId="6" fillId="0" borderId="48" xfId="3" applyFont="1" applyBorder="1" applyAlignment="1">
      <alignment horizontal="center"/>
    </xf>
    <xf numFmtId="0" fontId="6" fillId="0" borderId="49" xfId="3" applyFont="1" applyBorder="1" applyAlignment="1">
      <alignment horizontal="center"/>
    </xf>
    <xf numFmtId="0" fontId="6" fillId="0" borderId="54" xfId="3" applyFont="1" applyBorder="1" applyAlignment="1">
      <alignment horizontal="center"/>
    </xf>
    <xf numFmtId="0" fontId="6" fillId="0" borderId="50" xfId="3" applyFont="1" applyBorder="1" applyAlignment="1">
      <alignment horizontal="center"/>
    </xf>
    <xf numFmtId="49" fontId="9" fillId="0" borderId="51" xfId="3" applyNumberFormat="1" applyFont="1" applyBorder="1" applyAlignment="1" applyProtection="1">
      <alignment horizontal="left" vertical="center"/>
      <protection locked="0"/>
    </xf>
    <xf numFmtId="0" fontId="2" fillId="0" borderId="9" xfId="3" applyFont="1" applyBorder="1"/>
    <xf numFmtId="0" fontId="6" fillId="0" borderId="52" xfId="3" applyFont="1" applyBorder="1" applyAlignment="1">
      <alignment horizontal="center"/>
    </xf>
    <xf numFmtId="0" fontId="5" fillId="0" borderId="14" xfId="3" applyFont="1" applyBorder="1"/>
    <xf numFmtId="0" fontId="6" fillId="0" borderId="36" xfId="3" applyFont="1" applyBorder="1" applyAlignment="1">
      <alignment horizontal="center"/>
    </xf>
    <xf numFmtId="0" fontId="19" fillId="0" borderId="19" xfId="3" applyFont="1" applyFill="1" applyBorder="1"/>
    <xf numFmtId="0" fontId="5" fillId="0" borderId="14" xfId="3" applyFont="1" applyFill="1" applyBorder="1"/>
    <xf numFmtId="0" fontId="2" fillId="0" borderId="19" xfId="3" applyFill="1" applyBorder="1"/>
    <xf numFmtId="0" fontId="5" fillId="0" borderId="14" xfId="3" applyFont="1" applyBorder="1" applyAlignment="1">
      <alignment vertical="center"/>
    </xf>
    <xf numFmtId="0" fontId="5" fillId="0" borderId="32" xfId="3" applyFont="1" applyBorder="1" applyAlignment="1">
      <alignment vertical="center"/>
    </xf>
    <xf numFmtId="0" fontId="6" fillId="0" borderId="38" xfId="3" applyFont="1" applyBorder="1" applyAlignment="1">
      <alignment horizontal="center"/>
    </xf>
    <xf numFmtId="0" fontId="5" fillId="0" borderId="45" xfId="3" applyFont="1" applyBorder="1"/>
    <xf numFmtId="0" fontId="21" fillId="0" borderId="46" xfId="3" applyFont="1" applyBorder="1"/>
    <xf numFmtId="0" fontId="5" fillId="0" borderId="55" xfId="3" applyFont="1" applyBorder="1"/>
    <xf numFmtId="0" fontId="21" fillId="0" borderId="56" xfId="3" applyFont="1" applyBorder="1"/>
    <xf numFmtId="0" fontId="6" fillId="0" borderId="57" xfId="3" applyFont="1" applyBorder="1" applyAlignment="1">
      <alignment horizontal="center"/>
    </xf>
    <xf numFmtId="0" fontId="5" fillId="0" borderId="15" xfId="3" applyFont="1" applyBorder="1"/>
    <xf numFmtId="0" fontId="21" fillId="0" borderId="16" xfId="3" applyFont="1" applyBorder="1"/>
    <xf numFmtId="0" fontId="5" fillId="0" borderId="58" xfId="3" applyFont="1" applyBorder="1"/>
    <xf numFmtId="0" fontId="2" fillId="0" borderId="0" xfId="3" applyAlignment="1">
      <alignment horizontal="center"/>
    </xf>
    <xf numFmtId="0" fontId="2" fillId="10" borderId="19" xfId="3" applyFill="1" applyBorder="1"/>
    <xf numFmtId="0" fontId="2" fillId="10" borderId="44" xfId="3" applyFill="1" applyBorder="1"/>
    <xf numFmtId="0" fontId="2" fillId="10" borderId="46" xfId="3" applyFill="1" applyBorder="1"/>
    <xf numFmtId="0" fontId="2" fillId="10" borderId="9" xfId="3" applyFill="1" applyBorder="1"/>
    <xf numFmtId="0" fontId="2" fillId="10" borderId="16" xfId="3" applyFill="1" applyBorder="1"/>
    <xf numFmtId="0" fontId="2" fillId="10" borderId="56" xfId="3" applyFill="1" applyBorder="1"/>
    <xf numFmtId="0" fontId="6" fillId="0" borderId="59" xfId="3" applyFont="1" applyBorder="1" applyAlignment="1">
      <alignment horizontal="center"/>
    </xf>
    <xf numFmtId="9" fontId="20" fillId="14" borderId="14" xfId="6" applyFont="1" applyFill="1" applyBorder="1"/>
    <xf numFmtId="9" fontId="19" fillId="0" borderId="14" xfId="3" applyNumberFormat="1" applyFont="1" applyFill="1" applyBorder="1"/>
    <xf numFmtId="9" fontId="19" fillId="0" borderId="32" xfId="3" applyNumberFormat="1" applyFont="1" applyFill="1" applyBorder="1"/>
    <xf numFmtId="9" fontId="19" fillId="0" borderId="60" xfId="3" applyNumberFormat="1" applyFont="1" applyFill="1" applyBorder="1"/>
    <xf numFmtId="9" fontId="19" fillId="0" borderId="51" xfId="3" applyNumberFormat="1" applyFont="1" applyFill="1" applyBorder="1"/>
    <xf numFmtId="9" fontId="19" fillId="0" borderId="61" xfId="3" applyNumberFormat="1" applyFont="1" applyFill="1" applyBorder="1"/>
    <xf numFmtId="9" fontId="6" fillId="0" borderId="60" xfId="3" applyNumberFormat="1" applyFont="1" applyBorder="1"/>
    <xf numFmtId="9" fontId="6" fillId="0" borderId="51" xfId="3" applyNumberFormat="1" applyFont="1" applyBorder="1"/>
    <xf numFmtId="9" fontId="6" fillId="0" borderId="14" xfId="3" applyNumberFormat="1" applyFont="1" applyBorder="1"/>
    <xf numFmtId="9" fontId="6" fillId="0" borderId="61" xfId="3" applyNumberFormat="1" applyFont="1" applyBorder="1"/>
    <xf numFmtId="9" fontId="6" fillId="0" borderId="14" xfId="3" applyNumberFormat="1" applyFont="1" applyBorder="1" applyAlignment="1">
      <alignment horizontal="right" vertical="center"/>
    </xf>
    <xf numFmtId="9" fontId="6" fillId="0" borderId="32" xfId="3" applyNumberFormat="1" applyFont="1" applyBorder="1" applyAlignment="1">
      <alignment horizontal="right" vertical="center"/>
    </xf>
    <xf numFmtId="9" fontId="6" fillId="0" borderId="60" xfId="3" applyNumberFormat="1" applyFont="1" applyBorder="1" applyAlignment="1">
      <alignment horizontal="right" vertical="center"/>
    </xf>
    <xf numFmtId="9" fontId="6" fillId="0" borderId="62" xfId="3" applyNumberFormat="1" applyFont="1" applyBorder="1" applyAlignment="1">
      <alignment horizontal="right" vertical="center"/>
    </xf>
    <xf numFmtId="9" fontId="6" fillId="0" borderId="61" xfId="3" applyNumberFormat="1" applyFont="1" applyBorder="1" applyAlignment="1">
      <alignment horizontal="right" vertical="center"/>
    </xf>
    <xf numFmtId="0" fontId="21" fillId="0" borderId="14" xfId="3" applyFont="1" applyBorder="1"/>
    <xf numFmtId="0" fontId="2" fillId="10" borderId="14" xfId="3" applyFill="1" applyBorder="1"/>
    <xf numFmtId="0" fontId="6" fillId="0" borderId="14" xfId="3" applyFont="1" applyBorder="1" applyAlignment="1">
      <alignment horizontal="center"/>
    </xf>
    <xf numFmtId="49" fontId="9" fillId="0" borderId="53" xfId="3" applyNumberFormat="1" applyFont="1" applyFill="1" applyBorder="1" applyAlignment="1" applyProtection="1">
      <alignment horizontal="left" vertical="center"/>
      <protection locked="0"/>
    </xf>
    <xf numFmtId="49" fontId="21" fillId="0" borderId="44" xfId="3" applyNumberFormat="1" applyFont="1" applyFill="1" applyBorder="1" applyAlignment="1" applyProtection="1">
      <alignment horizontal="left" vertical="center"/>
      <protection locked="0"/>
    </xf>
    <xf numFmtId="14" fontId="18" fillId="0" borderId="0" xfId="3" applyNumberFormat="1" applyFont="1" applyFill="1" applyBorder="1" applyAlignment="1">
      <alignment horizontal="left"/>
    </xf>
    <xf numFmtId="0" fontId="24" fillId="0" borderId="52" xfId="3" applyFont="1" applyFill="1" applyBorder="1" applyAlignment="1">
      <alignment horizontal="center"/>
    </xf>
    <xf numFmtId="0" fontId="12" fillId="0" borderId="34" xfId="3" applyFont="1" applyFill="1" applyBorder="1"/>
    <xf numFmtId="0" fontId="9" fillId="0" borderId="32" xfId="3" applyFont="1" applyFill="1" applyBorder="1"/>
    <xf numFmtId="0" fontId="6" fillId="0" borderId="35" xfId="3" applyFont="1" applyFill="1" applyBorder="1"/>
    <xf numFmtId="0" fontId="19" fillId="0" borderId="33" xfId="3" applyFont="1" applyFill="1" applyBorder="1"/>
    <xf numFmtId="0" fontId="20" fillId="17" borderId="14" xfId="3" applyFont="1" applyFill="1" applyBorder="1"/>
    <xf numFmtId="0" fontId="2" fillId="17" borderId="19" xfId="3" applyFill="1" applyBorder="1"/>
    <xf numFmtId="0" fontId="2" fillId="17" borderId="19" xfId="3" applyFont="1" applyFill="1" applyBorder="1"/>
    <xf numFmtId="9" fontId="19" fillId="17" borderId="14" xfId="3" applyNumberFormat="1" applyFont="1" applyFill="1" applyBorder="1"/>
    <xf numFmtId="0" fontId="19" fillId="17" borderId="36" xfId="3" applyFont="1" applyFill="1" applyBorder="1" applyAlignment="1">
      <alignment horizontal="center"/>
    </xf>
    <xf numFmtId="9" fontId="6" fillId="17" borderId="14" xfId="3" applyNumberFormat="1" applyFont="1" applyFill="1" applyBorder="1" applyAlignment="1">
      <alignment horizontal="right" vertical="center"/>
    </xf>
    <xf numFmtId="0" fontId="6" fillId="17" borderId="14" xfId="3" applyFont="1" applyFill="1" applyBorder="1" applyAlignment="1">
      <alignment horizontal="center"/>
    </xf>
    <xf numFmtId="9" fontId="6" fillId="17" borderId="14" xfId="3" applyNumberFormat="1" applyFont="1" applyFill="1" applyBorder="1" applyAlignment="1">
      <alignment horizontal="right"/>
    </xf>
    <xf numFmtId="0" fontId="5" fillId="17" borderId="14" xfId="3" applyFont="1" applyFill="1" applyBorder="1"/>
    <xf numFmtId="0" fontId="21" fillId="17" borderId="14" xfId="3" applyFont="1" applyFill="1" applyBorder="1"/>
    <xf numFmtId="0" fontId="2" fillId="17" borderId="14" xfId="3" applyFill="1" applyBorder="1"/>
    <xf numFmtId="9" fontId="27" fillId="0" borderId="51" xfId="3" applyNumberFormat="1" applyFont="1" applyFill="1" applyBorder="1"/>
    <xf numFmtId="0" fontId="27" fillId="0" borderId="52" xfId="3" applyFont="1" applyFill="1" applyBorder="1" applyAlignment="1">
      <alignment horizontal="center"/>
    </xf>
    <xf numFmtId="9" fontId="27" fillId="0" borderId="14" xfId="3" applyNumberFormat="1" applyFont="1" applyFill="1" applyBorder="1"/>
    <xf numFmtId="9" fontId="24" fillId="0" borderId="14" xfId="3" applyNumberFormat="1" applyFont="1" applyFill="1" applyBorder="1"/>
    <xf numFmtId="9" fontId="27" fillId="0" borderId="14" xfId="3" applyNumberFormat="1" applyFont="1" applyBorder="1" applyAlignment="1">
      <alignment horizontal="right" vertical="center"/>
    </xf>
    <xf numFmtId="0" fontId="28" fillId="12" borderId="14" xfId="0" applyFont="1" applyFill="1" applyBorder="1" applyAlignment="1">
      <alignment horizontal="center"/>
    </xf>
    <xf numFmtId="178" fontId="5" fillId="0" borderId="0" xfId="3" applyNumberFormat="1" applyFont="1" applyFill="1" applyAlignment="1">
      <alignment horizontal="center"/>
    </xf>
    <xf numFmtId="178" fontId="2" fillId="0" borderId="0" xfId="3" applyNumberFormat="1"/>
    <xf numFmtId="178" fontId="2" fillId="0" borderId="0" xfId="3" applyNumberFormat="1" applyFill="1"/>
    <xf numFmtId="0" fontId="22" fillId="0" borderId="0" xfId="0" applyFont="1" applyFill="1" applyBorder="1" applyAlignment="1">
      <alignment horizontal="center"/>
    </xf>
    <xf numFmtId="0" fontId="2" fillId="0" borderId="0" xfId="3" applyBorder="1"/>
    <xf numFmtId="0" fontId="8" fillId="0" borderId="0" xfId="3" applyFont="1" applyFill="1" applyAlignment="1">
      <alignment horizontal="right"/>
    </xf>
    <xf numFmtId="180" fontId="5" fillId="8" borderId="43" xfId="4" applyNumberFormat="1" applyFont="1" applyFill="1" applyBorder="1" applyAlignment="1">
      <alignment horizontal="right"/>
    </xf>
    <xf numFmtId="178" fontId="10" fillId="18" borderId="6" xfId="3" applyNumberFormat="1" applyFont="1" applyFill="1" applyBorder="1" applyAlignment="1">
      <alignment horizontal="center"/>
    </xf>
    <xf numFmtId="178" fontId="10" fillId="18" borderId="1" xfId="3" applyNumberFormat="1" applyFont="1" applyFill="1" applyBorder="1" applyAlignment="1">
      <alignment horizontal="center"/>
    </xf>
    <xf numFmtId="178" fontId="10" fillId="18" borderId="19" xfId="3" applyNumberFormat="1" applyFont="1" applyFill="1" applyBorder="1" applyAlignment="1">
      <alignment horizontal="center"/>
    </xf>
    <xf numFmtId="14" fontId="2" fillId="0" borderId="0" xfId="3" applyNumberFormat="1"/>
    <xf numFmtId="0" fontId="23" fillId="12" borderId="11" xfId="0" applyFont="1" applyFill="1" applyBorder="1" applyAlignment="1">
      <alignment horizontal="center"/>
    </xf>
    <xf numFmtId="14" fontId="30" fillId="15" borderId="64" xfId="3" applyNumberFormat="1" applyFont="1" applyFill="1" applyBorder="1" applyAlignment="1">
      <alignment horizontal="right"/>
    </xf>
    <xf numFmtId="14" fontId="31" fillId="19" borderId="64" xfId="0" applyNumberFormat="1" applyFont="1" applyFill="1" applyBorder="1" applyAlignment="1">
      <alignment horizontal="right"/>
    </xf>
    <xf numFmtId="14" fontId="32" fillId="20" borderId="64" xfId="0" applyNumberFormat="1" applyFont="1" applyFill="1" applyBorder="1" applyAlignment="1">
      <alignment horizontal="right"/>
    </xf>
    <xf numFmtId="0" fontId="23" fillId="12" borderId="15" xfId="0" applyFont="1" applyFill="1" applyBorder="1" applyAlignment="1">
      <alignment horizontal="center"/>
    </xf>
    <xf numFmtId="0" fontId="23" fillId="12" borderId="61" xfId="0" applyFont="1" applyFill="1" applyBorder="1" applyAlignment="1">
      <alignment horizontal="left"/>
    </xf>
    <xf numFmtId="14" fontId="30" fillId="15" borderId="65" xfId="3" applyNumberFormat="1" applyFont="1" applyFill="1" applyBorder="1" applyAlignment="1">
      <alignment horizontal="right"/>
    </xf>
    <xf numFmtId="180" fontId="5" fillId="8" borderId="41" xfId="4" applyNumberFormat="1" applyFont="1" applyFill="1" applyBorder="1" applyAlignment="1">
      <alignment horizontal="right"/>
    </xf>
    <xf numFmtId="14" fontId="33" fillId="5" borderId="63" xfId="0" applyNumberFormat="1" applyFont="1" applyFill="1" applyBorder="1" applyAlignment="1">
      <alignment horizontal="center" vertical="center" wrapText="1"/>
    </xf>
    <xf numFmtId="0" fontId="33" fillId="5" borderId="45" xfId="0" applyFont="1" applyFill="1" applyBorder="1" applyAlignment="1">
      <alignment horizontal="center" vertical="center"/>
    </xf>
    <xf numFmtId="0" fontId="33" fillId="5" borderId="60" xfId="0" applyFont="1" applyFill="1" applyBorder="1" applyAlignment="1">
      <alignment horizontal="center" vertical="center"/>
    </xf>
    <xf numFmtId="176" fontId="5" fillId="3" borderId="13" xfId="0" applyNumberFormat="1" applyFont="1" applyFill="1" applyBorder="1" applyAlignment="1">
      <alignment horizontal="right"/>
    </xf>
    <xf numFmtId="176" fontId="11" fillId="8" borderId="12" xfId="4" applyNumberFormat="1" applyFont="1" applyFill="1" applyBorder="1" applyAlignment="1">
      <alignment horizontal="center" vertical="center" wrapText="1"/>
    </xf>
    <xf numFmtId="176" fontId="5" fillId="8" borderId="12" xfId="4" applyNumberFormat="1" applyFont="1" applyFill="1" applyBorder="1" applyAlignment="1">
      <alignment horizontal="right"/>
    </xf>
    <xf numFmtId="0" fontId="11" fillId="3" borderId="71" xfId="0" applyNumberFormat="1" applyFont="1" applyFill="1" applyBorder="1" applyAlignment="1">
      <alignment horizontal="center" vertical="center" wrapText="1"/>
    </xf>
    <xf numFmtId="0" fontId="23" fillId="12" borderId="12" xfId="0" applyFont="1" applyFill="1" applyBorder="1" applyAlignment="1">
      <alignment horizontal="left"/>
    </xf>
    <xf numFmtId="0" fontId="24" fillId="0" borderId="0" xfId="3" applyFont="1" applyFill="1" applyBorder="1"/>
    <xf numFmtId="0" fontId="19" fillId="0" borderId="0" xfId="3" applyFont="1" applyFill="1" applyBorder="1"/>
    <xf numFmtId="0" fontId="6" fillId="0" borderId="0" xfId="3" applyFont="1" applyFill="1" applyBorder="1"/>
    <xf numFmtId="14" fontId="32" fillId="0" borderId="64" xfId="0" applyNumberFormat="1" applyFont="1" applyFill="1" applyBorder="1" applyAlignment="1">
      <alignment horizontal="right"/>
    </xf>
    <xf numFmtId="0" fontId="33" fillId="5" borderId="72" xfId="0" applyFont="1" applyFill="1" applyBorder="1" applyAlignment="1">
      <alignment horizontal="center" vertical="center"/>
    </xf>
    <xf numFmtId="0" fontId="33" fillId="5" borderId="73" xfId="0" applyFont="1" applyFill="1" applyBorder="1" applyAlignment="1">
      <alignment horizontal="center" vertical="center"/>
    </xf>
    <xf numFmtId="14" fontId="33" fillId="5" borderId="74" xfId="0" applyNumberFormat="1" applyFont="1" applyFill="1" applyBorder="1" applyAlignment="1">
      <alignment horizontal="center" vertical="center" wrapText="1"/>
    </xf>
    <xf numFmtId="14" fontId="32" fillId="0" borderId="65" xfId="0" applyNumberFormat="1" applyFont="1" applyFill="1" applyBorder="1" applyAlignment="1">
      <alignment horizontal="right"/>
    </xf>
    <xf numFmtId="176" fontId="5" fillId="3" borderId="12" xfId="0" applyNumberFormat="1" applyFont="1" applyFill="1" applyBorder="1" applyAlignment="1">
      <alignment horizontal="center"/>
    </xf>
    <xf numFmtId="0" fontId="11" fillId="3" borderId="29" xfId="0" applyNumberFormat="1" applyFont="1" applyFill="1" applyBorder="1" applyAlignment="1">
      <alignment horizontal="center" vertical="center" wrapText="1"/>
    </xf>
    <xf numFmtId="176" fontId="5" fillId="3" borderId="29" xfId="3" applyNumberFormat="1" applyFont="1" applyFill="1" applyBorder="1" applyAlignment="1">
      <alignment horizontal="center"/>
    </xf>
    <xf numFmtId="176" fontId="5" fillId="21" borderId="29" xfId="3" applyNumberFormat="1" applyFont="1" applyFill="1" applyBorder="1" applyAlignment="1">
      <alignment horizontal="center"/>
    </xf>
    <xf numFmtId="180" fontId="5" fillId="0" borderId="0" xfId="0" quotePrefix="1" applyNumberFormat="1" applyFont="1" applyAlignment="1">
      <alignment horizontal="center"/>
    </xf>
    <xf numFmtId="14" fontId="5" fillId="0" borderId="0" xfId="3" applyNumberFormat="1" applyFont="1"/>
    <xf numFmtId="0" fontId="6" fillId="0" borderId="0" xfId="3" applyFont="1" applyAlignment="1">
      <alignment horizontal="center"/>
    </xf>
    <xf numFmtId="0" fontId="19" fillId="0" borderId="0" xfId="3" applyFont="1" applyAlignment="1">
      <alignment horizontal="center"/>
    </xf>
    <xf numFmtId="176" fontId="2" fillId="0" borderId="0" xfId="3" applyNumberFormat="1"/>
    <xf numFmtId="176" fontId="5" fillId="8" borderId="75" xfId="4" applyNumberFormat="1" applyFont="1" applyFill="1" applyBorder="1"/>
    <xf numFmtId="176" fontId="5" fillId="8" borderId="76" xfId="4" applyNumberFormat="1" applyFont="1" applyFill="1" applyBorder="1"/>
    <xf numFmtId="0" fontId="2" fillId="0" borderId="0" xfId="3" applyAlignment="1">
      <alignment horizontal="right"/>
    </xf>
    <xf numFmtId="14" fontId="6" fillId="2" borderId="77" xfId="3" applyNumberFormat="1" applyFont="1" applyFill="1" applyBorder="1" applyAlignment="1">
      <alignment horizontal="center" vertical="center"/>
    </xf>
    <xf numFmtId="176" fontId="6" fillId="2" borderId="78" xfId="4" applyNumberFormat="1" applyFont="1" applyFill="1" applyBorder="1" applyAlignment="1">
      <alignment vertical="center"/>
    </xf>
    <xf numFmtId="176" fontId="6" fillId="2" borderId="79" xfId="4" applyNumberFormat="1" applyFont="1" applyFill="1" applyBorder="1" applyAlignment="1">
      <alignment vertical="center"/>
    </xf>
    <xf numFmtId="14" fontId="6" fillId="2" borderId="80" xfId="3" applyNumberFormat="1" applyFont="1" applyFill="1" applyBorder="1" applyAlignment="1">
      <alignment horizontal="center" vertical="center"/>
    </xf>
    <xf numFmtId="176" fontId="6" fillId="2" borderId="81" xfId="4" applyNumberFormat="1" applyFont="1" applyFill="1" applyBorder="1" applyAlignment="1">
      <alignment vertical="center"/>
    </xf>
    <xf numFmtId="176" fontId="6" fillId="2" borderId="82" xfId="4" applyNumberFormat="1" applyFont="1" applyFill="1" applyBorder="1" applyAlignment="1">
      <alignment vertical="center"/>
    </xf>
    <xf numFmtId="14" fontId="6" fillId="2" borderId="87" xfId="3" applyNumberFormat="1" applyFont="1" applyFill="1" applyBorder="1" applyAlignment="1">
      <alignment horizontal="center" vertical="center"/>
    </xf>
    <xf numFmtId="176" fontId="6" fillId="2" borderId="88" xfId="4" applyNumberFormat="1" applyFont="1" applyFill="1" applyBorder="1" applyAlignment="1">
      <alignment vertical="center"/>
    </xf>
    <xf numFmtId="176" fontId="6" fillId="2" borderId="89" xfId="4" applyNumberFormat="1" applyFont="1" applyFill="1" applyBorder="1" applyAlignment="1">
      <alignment vertical="center"/>
    </xf>
    <xf numFmtId="0" fontId="17" fillId="8" borderId="14" xfId="3" applyFont="1" applyFill="1" applyBorder="1" applyAlignment="1">
      <alignment horizontal="center" vertical="center"/>
    </xf>
    <xf numFmtId="0" fontId="17" fillId="8" borderId="12" xfId="3" applyFont="1" applyFill="1" applyBorder="1" applyAlignment="1">
      <alignment horizontal="center" wrapText="1"/>
    </xf>
    <xf numFmtId="0" fontId="17" fillId="8" borderId="91" xfId="3" applyFont="1" applyFill="1" applyBorder="1" applyAlignment="1">
      <alignment horizontal="center" vertical="center"/>
    </xf>
    <xf numFmtId="0" fontId="34" fillId="8" borderId="19" xfId="3" applyFont="1" applyFill="1" applyBorder="1" applyAlignment="1">
      <alignment vertical="center" wrapText="1"/>
    </xf>
    <xf numFmtId="0" fontId="2" fillId="0" borderId="12" xfId="3" applyBorder="1" applyAlignment="1">
      <alignment vertical="center"/>
    </xf>
    <xf numFmtId="14" fontId="6" fillId="2" borderId="2" xfId="3" applyNumberFormat="1" applyFont="1" applyFill="1" applyBorder="1" applyAlignment="1">
      <alignment horizontal="center"/>
    </xf>
    <xf numFmtId="176" fontId="5" fillId="9" borderId="91" xfId="4" applyNumberFormat="1" applyFont="1" applyFill="1" applyBorder="1"/>
    <xf numFmtId="176" fontId="2" fillId="8" borderId="14" xfId="3" applyNumberFormat="1" applyFont="1" applyFill="1" applyBorder="1"/>
    <xf numFmtId="176" fontId="2" fillId="0" borderId="14" xfId="3" applyNumberFormat="1" applyFont="1" applyBorder="1"/>
    <xf numFmtId="176" fontId="2" fillId="0" borderId="12" xfId="3" applyNumberFormat="1" applyFont="1" applyBorder="1"/>
    <xf numFmtId="176" fontId="2" fillId="8" borderId="91" xfId="3" applyNumberFormat="1" applyFont="1" applyFill="1" applyBorder="1"/>
    <xf numFmtId="176" fontId="5" fillId="0" borderId="92" xfId="3" applyNumberFormat="1" applyFont="1" applyBorder="1"/>
    <xf numFmtId="14" fontId="6" fillId="22" borderId="94" xfId="3" applyNumberFormat="1" applyFont="1" applyFill="1" applyBorder="1"/>
    <xf numFmtId="176" fontId="0" fillId="8" borderId="0" xfId="4" applyNumberFormat="1" applyFont="1" applyFill="1"/>
    <xf numFmtId="176" fontId="2" fillId="8" borderId="0" xfId="4" applyNumberFormat="1" applyFont="1" applyFill="1"/>
    <xf numFmtId="0" fontId="2" fillId="0" borderId="14" xfId="3" applyBorder="1"/>
    <xf numFmtId="14" fontId="2" fillId="0" borderId="9" xfId="3" applyNumberFormat="1" applyBorder="1" applyAlignment="1">
      <alignment horizontal="center"/>
    </xf>
    <xf numFmtId="176" fontId="2" fillId="0" borderId="14" xfId="3" applyNumberFormat="1" applyBorder="1"/>
    <xf numFmtId="14" fontId="2" fillId="0" borderId="0" xfId="3" applyNumberFormat="1" applyFill="1"/>
    <xf numFmtId="14" fontId="2" fillId="0" borderId="12" xfId="3" applyNumberFormat="1" applyBorder="1" applyAlignment="1">
      <alignment horizontal="center"/>
    </xf>
    <xf numFmtId="179" fontId="2" fillId="0" borderId="0" xfId="3" applyNumberFormat="1"/>
    <xf numFmtId="9" fontId="5" fillId="8" borderId="100" xfId="2" applyFont="1" applyFill="1" applyBorder="1" applyAlignment="1">
      <alignment horizontal="center"/>
    </xf>
    <xf numFmtId="0" fontId="11" fillId="8" borderId="101" xfId="0" applyFont="1" applyFill="1" applyBorder="1" applyAlignment="1">
      <alignment horizontal="center" vertical="center" wrapText="1"/>
    </xf>
    <xf numFmtId="0" fontId="6" fillId="0" borderId="0" xfId="0" applyFont="1" applyAlignment="1"/>
    <xf numFmtId="0" fontId="0" fillId="0" borderId="0" xfId="0" applyAlignment="1"/>
    <xf numFmtId="0" fontId="5" fillId="0" borderId="0" xfId="0" applyFont="1" applyAlignment="1"/>
    <xf numFmtId="0" fontId="9" fillId="8" borderId="108" xfId="0" applyFont="1" applyFill="1" applyBorder="1" applyAlignment="1">
      <alignment horizontal="center"/>
    </xf>
    <xf numFmtId="0" fontId="9" fillId="8" borderId="14" xfId="0" applyFont="1" applyFill="1" applyBorder="1" applyAlignment="1">
      <alignment horizontal="center"/>
    </xf>
    <xf numFmtId="176" fontId="5" fillId="8" borderId="109" xfId="0" applyNumberFormat="1" applyFont="1" applyFill="1" applyBorder="1" applyAlignment="1">
      <alignment vertical="center"/>
    </xf>
    <xf numFmtId="176" fontId="5" fillId="8" borderId="110" xfId="0" applyNumberFormat="1" applyFont="1" applyFill="1" applyBorder="1" applyAlignment="1">
      <alignment vertical="center"/>
    </xf>
    <xf numFmtId="14" fontId="5" fillId="2" borderId="114" xfId="0" applyNumberFormat="1" applyFont="1" applyFill="1" applyBorder="1" applyAlignment="1">
      <alignment horizontal="center"/>
    </xf>
    <xf numFmtId="9" fontId="2" fillId="0" borderId="0" xfId="2" applyFont="1" applyAlignment="1"/>
    <xf numFmtId="0" fontId="13" fillId="0" borderId="0" xfId="3" applyFont="1"/>
    <xf numFmtId="0" fontId="40" fillId="23" borderId="109" xfId="0" applyFont="1" applyFill="1" applyBorder="1" applyAlignment="1">
      <alignment horizontal="center"/>
    </xf>
    <xf numFmtId="0" fontId="2" fillId="0" borderId="58" xfId="3" applyBorder="1"/>
    <xf numFmtId="0" fontId="20" fillId="0" borderId="58" xfId="3" applyFont="1" applyBorder="1"/>
    <xf numFmtId="0" fontId="42" fillId="0" borderId="58" xfId="3" applyFont="1" applyBorder="1"/>
    <xf numFmtId="0" fontId="2" fillId="0" borderId="52" xfId="3" applyBorder="1"/>
    <xf numFmtId="0" fontId="43" fillId="16" borderId="14" xfId="3" applyFont="1" applyFill="1" applyBorder="1" applyAlignment="1">
      <alignment horizontal="center" wrapText="1"/>
    </xf>
    <xf numFmtId="0" fontId="13" fillId="0" borderId="0" xfId="3" applyFont="1" applyBorder="1" applyAlignment="1">
      <alignment horizontal="center" wrapText="1"/>
    </xf>
    <xf numFmtId="0" fontId="0" fillId="0" borderId="0" xfId="0" applyBorder="1" applyAlignment="1"/>
    <xf numFmtId="176" fontId="5" fillId="0" borderId="119" xfId="3" applyNumberFormat="1" applyFont="1" applyBorder="1"/>
    <xf numFmtId="176" fontId="5" fillId="0" borderId="120" xfId="3" applyNumberFormat="1" applyFont="1" applyBorder="1"/>
    <xf numFmtId="0" fontId="19" fillId="8" borderId="118" xfId="3" applyFont="1" applyFill="1" applyBorder="1" applyAlignment="1">
      <alignment horizontal="center" vertical="center"/>
    </xf>
    <xf numFmtId="0" fontId="6" fillId="8" borderId="121" xfId="3" applyFont="1" applyFill="1" applyBorder="1" applyAlignment="1">
      <alignment horizontal="center" vertical="center"/>
    </xf>
    <xf numFmtId="176" fontId="5" fillId="0" borderId="122" xfId="3" applyNumberFormat="1" applyFont="1" applyBorder="1"/>
    <xf numFmtId="176" fontId="5" fillId="0" borderId="123" xfId="3" applyNumberFormat="1" applyFont="1" applyBorder="1"/>
    <xf numFmtId="179" fontId="39" fillId="0" borderId="93" xfId="6" applyNumberFormat="1" applyFont="1" applyBorder="1"/>
    <xf numFmtId="179" fontId="39" fillId="0" borderId="95" xfId="6" applyNumberFormat="1" applyFont="1" applyBorder="1"/>
    <xf numFmtId="179" fontId="18" fillId="0" borderId="117" xfId="3" applyNumberFormat="1" applyFont="1" applyBorder="1" applyAlignment="1">
      <alignment horizontal="right"/>
    </xf>
    <xf numFmtId="0" fontId="44" fillId="0" borderId="124" xfId="0" applyFont="1" applyBorder="1" applyAlignment="1"/>
    <xf numFmtId="0" fontId="0" fillId="0" borderId="125" xfId="0" applyBorder="1" applyAlignment="1"/>
    <xf numFmtId="0" fontId="2" fillId="0" borderId="126" xfId="3" applyBorder="1"/>
    <xf numFmtId="0" fontId="0" fillId="0" borderId="127" xfId="0" applyBorder="1" applyAlignment="1"/>
    <xf numFmtId="0" fontId="2" fillId="0" borderId="128" xfId="3" applyBorder="1"/>
    <xf numFmtId="0" fontId="2" fillId="0" borderId="127" xfId="3" applyBorder="1"/>
    <xf numFmtId="0" fontId="37" fillId="0" borderId="127" xfId="3" applyFont="1" applyBorder="1" applyAlignment="1">
      <alignment horizontal="right"/>
    </xf>
    <xf numFmtId="0" fontId="13" fillId="0" borderId="127" xfId="3" applyFont="1" applyBorder="1" applyAlignment="1">
      <alignment horizontal="right"/>
    </xf>
    <xf numFmtId="0" fontId="13" fillId="0" borderId="129" xfId="3" applyFont="1" applyBorder="1" applyAlignment="1">
      <alignment horizontal="right"/>
    </xf>
    <xf numFmtId="0" fontId="6" fillId="8" borderId="14" xfId="0" applyFont="1" applyFill="1" applyBorder="1" applyAlignment="1">
      <alignment horizontal="center"/>
    </xf>
    <xf numFmtId="176" fontId="13" fillId="8" borderId="110" xfId="0" applyNumberFormat="1" applyFont="1" applyFill="1" applyBorder="1" applyAlignment="1">
      <alignment vertical="center"/>
    </xf>
    <xf numFmtId="0" fontId="19" fillId="8" borderId="14" xfId="0" applyFont="1" applyFill="1" applyBorder="1" applyAlignment="1">
      <alignment horizontal="center"/>
    </xf>
    <xf numFmtId="176" fontId="41" fillId="8" borderId="110" xfId="0" applyNumberFormat="1" applyFont="1" applyFill="1" applyBorder="1" applyAlignment="1">
      <alignment vertical="center"/>
    </xf>
    <xf numFmtId="0" fontId="12" fillId="8" borderId="113" xfId="0" applyFont="1" applyFill="1" applyBorder="1" applyAlignment="1">
      <alignment horizontal="center"/>
    </xf>
    <xf numFmtId="0" fontId="10" fillId="5" borderId="106" xfId="3" applyFont="1" applyFill="1" applyBorder="1" applyAlignment="1">
      <alignment horizontal="center"/>
    </xf>
    <xf numFmtId="0" fontId="10" fillId="5" borderId="112" xfId="3" applyFont="1" applyFill="1" applyBorder="1" applyAlignment="1">
      <alignment horizontal="center"/>
    </xf>
    <xf numFmtId="0" fontId="40" fillId="23" borderId="108" xfId="0" applyFont="1" applyFill="1" applyBorder="1" applyAlignment="1">
      <alignment horizontal="center"/>
    </xf>
    <xf numFmtId="0" fontId="24" fillId="15" borderId="113" xfId="3" applyFont="1" applyFill="1" applyBorder="1"/>
    <xf numFmtId="0" fontId="24" fillId="15" borderId="115" xfId="3" applyFont="1" applyFill="1" applyBorder="1"/>
    <xf numFmtId="0" fontId="40" fillId="23" borderId="132" xfId="0" applyFont="1" applyFill="1" applyBorder="1" applyAlignment="1">
      <alignment horizontal="center"/>
    </xf>
    <xf numFmtId="0" fontId="24" fillId="15" borderId="133" xfId="3" applyFont="1" applyFill="1" applyBorder="1"/>
    <xf numFmtId="181" fontId="18" fillId="16" borderId="134" xfId="4" applyNumberFormat="1" applyFont="1" applyFill="1" applyBorder="1" applyAlignment="1">
      <alignment vertical="top"/>
    </xf>
    <xf numFmtId="0" fontId="39" fillId="0" borderId="0" xfId="3" applyFont="1" applyAlignment="1">
      <alignment horizontal="right"/>
    </xf>
    <xf numFmtId="0" fontId="39" fillId="0" borderId="0" xfId="3" applyFont="1"/>
    <xf numFmtId="41" fontId="39" fillId="0" borderId="0" xfId="1" applyNumberFormat="1" applyFont="1" applyAlignment="1">
      <alignment horizontal="right"/>
    </xf>
    <xf numFmtId="179" fontId="39" fillId="0" borderId="135" xfId="3" applyNumberFormat="1" applyFont="1" applyBorder="1" applyAlignment="1">
      <alignment wrapText="1"/>
    </xf>
    <xf numFmtId="0" fontId="51" fillId="0" borderId="14" xfId="3" applyFont="1" applyBorder="1" applyAlignment="1">
      <alignment horizontal="center"/>
    </xf>
    <xf numFmtId="0" fontId="19" fillId="0" borderId="14" xfId="3" applyFont="1" applyFill="1" applyBorder="1" applyAlignment="1">
      <alignment horizontal="center"/>
    </xf>
    <xf numFmtId="49" fontId="9" fillId="0" borderId="14" xfId="3" applyNumberFormat="1" applyFont="1" applyBorder="1" applyAlignment="1" applyProtection="1">
      <alignment horizontal="left" vertical="center"/>
      <protection locked="0"/>
    </xf>
    <xf numFmtId="0" fontId="27" fillId="0" borderId="14" xfId="3" applyFont="1" applyFill="1" applyBorder="1" applyAlignment="1">
      <alignment horizontal="center"/>
    </xf>
    <xf numFmtId="0" fontId="50" fillId="0" borderId="14" xfId="0" applyFont="1" applyBorder="1" applyAlignment="1">
      <alignment horizontal="center" vertical="center"/>
    </xf>
    <xf numFmtId="0" fontId="2" fillId="0" borderId="14" xfId="3" applyFill="1" applyBorder="1"/>
    <xf numFmtId="0" fontId="20" fillId="0" borderId="14" xfId="3" applyFont="1" applyFill="1" applyBorder="1"/>
    <xf numFmtId="0" fontId="2" fillId="0" borderId="14" xfId="3" applyFont="1" applyFill="1" applyBorder="1"/>
    <xf numFmtId="0" fontId="21" fillId="0" borderId="14" xfId="3" applyFont="1" applyFill="1" applyBorder="1"/>
    <xf numFmtId="0" fontId="50" fillId="0" borderId="62" xfId="0" applyFont="1" applyBorder="1" applyAlignment="1">
      <alignment horizontal="center" vertical="center"/>
    </xf>
    <xf numFmtId="9" fontId="6" fillId="0" borderId="14" xfId="3" applyNumberFormat="1" applyFont="1" applyFill="1" applyBorder="1"/>
    <xf numFmtId="0" fontId="6" fillId="0" borderId="14" xfId="3" applyFont="1" applyFill="1" applyBorder="1" applyAlignment="1">
      <alignment horizontal="center"/>
    </xf>
    <xf numFmtId="9" fontId="27" fillId="0" borderId="14" xfId="3" applyNumberFormat="1" applyFont="1" applyFill="1" applyBorder="1" applyAlignment="1">
      <alignment horizontal="right" vertical="center"/>
    </xf>
    <xf numFmtId="9" fontId="6" fillId="0" borderId="14" xfId="3" applyNumberFormat="1" applyFont="1" applyFill="1" applyBorder="1" applyAlignment="1">
      <alignment horizontal="right" vertical="center"/>
    </xf>
    <xf numFmtId="0" fontId="0" fillId="0" borderId="0" xfId="0" applyAlignment="1">
      <alignment horizontal="center" vertical="center"/>
    </xf>
    <xf numFmtId="178" fontId="52" fillId="16" borderId="85" xfId="4" applyNumberFormat="1" applyFont="1" applyFill="1" applyBorder="1" applyAlignment="1">
      <alignment horizontal="center" vertical="center"/>
    </xf>
    <xf numFmtId="49" fontId="49" fillId="20" borderId="45" xfId="3" applyNumberFormat="1" applyFont="1" applyFill="1" applyBorder="1" applyAlignment="1">
      <alignment horizontal="center" vertical="center" wrapText="1"/>
    </xf>
    <xf numFmtId="49" fontId="49" fillId="20" borderId="60" xfId="3" applyNumberFormat="1" applyFont="1" applyFill="1" applyBorder="1" applyAlignment="1">
      <alignment horizontal="center" vertical="center" wrapText="1"/>
    </xf>
    <xf numFmtId="176" fontId="11" fillId="8" borderId="46" xfId="4" applyNumberFormat="1" applyFont="1" applyFill="1" applyBorder="1" applyAlignment="1">
      <alignment horizontal="center" vertical="center" wrapText="1"/>
    </xf>
    <xf numFmtId="0" fontId="51" fillId="0" borderId="11" xfId="3" applyFont="1" applyBorder="1" applyAlignment="1">
      <alignment horizontal="center"/>
    </xf>
    <xf numFmtId="0" fontId="50" fillId="0" borderId="137" xfId="0" applyFont="1" applyBorder="1" applyAlignment="1">
      <alignment horizontal="center" vertical="center"/>
    </xf>
    <xf numFmtId="0" fontId="5" fillId="0" borderId="61" xfId="3" applyFont="1" applyFill="1" applyBorder="1"/>
    <xf numFmtId="0" fontId="2" fillId="0" borderId="61" xfId="3" applyFill="1" applyBorder="1"/>
    <xf numFmtId="0" fontId="2" fillId="10" borderId="61" xfId="3" applyFill="1" applyBorder="1"/>
    <xf numFmtId="9" fontId="6" fillId="0" borderId="61" xfId="3" applyNumberFormat="1" applyFont="1" applyFill="1" applyBorder="1" applyAlignment="1">
      <alignment horizontal="right"/>
    </xf>
    <xf numFmtId="0" fontId="6" fillId="0" borderId="61" xfId="3" applyFont="1" applyFill="1" applyBorder="1" applyAlignment="1">
      <alignment horizontal="center"/>
    </xf>
    <xf numFmtId="0" fontId="56" fillId="0" borderId="60" xfId="0" applyFont="1" applyBorder="1" applyAlignment="1">
      <alignment horizontal="center" vertical="center"/>
    </xf>
    <xf numFmtId="0" fontId="56" fillId="0" borderId="63" xfId="0" applyFont="1" applyBorder="1" applyAlignment="1">
      <alignment horizontal="center" vertical="center"/>
    </xf>
    <xf numFmtId="0" fontId="51" fillId="0" borderId="14" xfId="3" applyFont="1" applyFill="1" applyBorder="1" applyAlignment="1">
      <alignment horizontal="center"/>
    </xf>
    <xf numFmtId="0" fontId="50" fillId="0" borderId="14" xfId="0" applyFont="1" applyFill="1" applyBorder="1" applyAlignment="1">
      <alignment horizontal="center" vertical="center"/>
    </xf>
    <xf numFmtId="0" fontId="5" fillId="0" borderId="14" xfId="3" applyFont="1" applyFill="1" applyBorder="1" applyAlignment="1">
      <alignment vertical="center"/>
    </xf>
    <xf numFmtId="41" fontId="54" fillId="8" borderId="19" xfId="1" applyFont="1" applyFill="1" applyBorder="1" applyAlignment="1">
      <alignment horizontal="center" vertical="center" wrapText="1"/>
    </xf>
    <xf numFmtId="41" fontId="53" fillId="8" borderId="19" xfId="1" applyFont="1" applyFill="1" applyBorder="1" applyAlignment="1">
      <alignment horizontal="center" vertical="center" wrapText="1"/>
    </xf>
    <xf numFmtId="41" fontId="57" fillId="0" borderId="14" xfId="1" applyFont="1" applyBorder="1">
      <alignment vertical="center"/>
    </xf>
    <xf numFmtId="41" fontId="57" fillId="0" borderId="64" xfId="1" applyFont="1" applyBorder="1">
      <alignment vertical="center"/>
    </xf>
    <xf numFmtId="41" fontId="48" fillId="0" borderId="14" xfId="1" applyFont="1" applyBorder="1">
      <alignment vertical="center"/>
    </xf>
    <xf numFmtId="41" fontId="48" fillId="0" borderId="64" xfId="1" applyFont="1" applyBorder="1">
      <alignment vertical="center"/>
    </xf>
    <xf numFmtId="41" fontId="48" fillId="0" borderId="61" xfId="1" applyFont="1" applyBorder="1">
      <alignment vertical="center"/>
    </xf>
    <xf numFmtId="41" fontId="48" fillId="0" borderId="65" xfId="1" applyFont="1" applyBorder="1">
      <alignment vertical="center"/>
    </xf>
    <xf numFmtId="178" fontId="58" fillId="20" borderId="3" xfId="3" applyNumberFormat="1" applyFont="1" applyFill="1" applyBorder="1" applyAlignment="1">
      <alignment horizontal="center"/>
    </xf>
    <xf numFmtId="0" fontId="56" fillId="20" borderId="105" xfId="0" applyFont="1" applyFill="1" applyBorder="1">
      <alignment vertical="center"/>
    </xf>
    <xf numFmtId="0" fontId="61" fillId="0" borderId="14" xfId="3" applyFont="1" applyFill="1" applyBorder="1" applyAlignment="1">
      <alignment horizontal="center"/>
    </xf>
    <xf numFmtId="41" fontId="61" fillId="0" borderId="14" xfId="1" applyFont="1" applyFill="1" applyBorder="1" applyAlignment="1">
      <alignment horizontal="center" vertical="center" wrapText="1"/>
    </xf>
    <xf numFmtId="0" fontId="62" fillId="0" borderId="14" xfId="0" applyFont="1" applyBorder="1">
      <alignment vertical="center"/>
    </xf>
    <xf numFmtId="41" fontId="61" fillId="8" borderId="14" xfId="1" applyFont="1" applyFill="1" applyBorder="1" applyAlignment="1">
      <alignment horizontal="center" vertical="center" wrapText="1"/>
    </xf>
    <xf numFmtId="0" fontId="63" fillId="0" borderId="14" xfId="3" applyFont="1" applyFill="1" applyBorder="1" applyAlignment="1">
      <alignment horizontal="center"/>
    </xf>
    <xf numFmtId="41" fontId="63" fillId="0" borderId="14" xfId="1" applyFont="1" applyFill="1" applyBorder="1" applyAlignment="1">
      <alignment horizontal="center" vertical="center" wrapText="1"/>
    </xf>
    <xf numFmtId="41" fontId="63" fillId="8" borderId="14" xfId="1" applyFont="1" applyFill="1" applyBorder="1" applyAlignment="1">
      <alignment horizontal="center" vertical="center" wrapText="1"/>
    </xf>
    <xf numFmtId="41" fontId="66" fillId="8" borderId="14" xfId="1" applyFont="1" applyFill="1" applyBorder="1" applyAlignment="1">
      <alignment horizontal="center" vertical="center" wrapText="1"/>
    </xf>
    <xf numFmtId="0" fontId="62" fillId="0" borderId="0" xfId="0" applyFont="1" applyBorder="1">
      <alignment vertical="center"/>
    </xf>
    <xf numFmtId="0" fontId="0" fillId="0" borderId="0" xfId="0" applyBorder="1">
      <alignment vertical="center"/>
    </xf>
    <xf numFmtId="0" fontId="59" fillId="0" borderId="0" xfId="0" applyFont="1" applyBorder="1">
      <alignment vertical="center"/>
    </xf>
    <xf numFmtId="0" fontId="60" fillId="0" borderId="0" xfId="0" applyFont="1" applyBorder="1">
      <alignment vertical="center"/>
    </xf>
    <xf numFmtId="0" fontId="65" fillId="0" borderId="0" xfId="0" applyFont="1" applyBorder="1">
      <alignment vertical="center"/>
    </xf>
    <xf numFmtId="0" fontId="0" fillId="0" borderId="138" xfId="0" applyBorder="1">
      <alignment vertical="center"/>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0" borderId="142" xfId="0" applyBorder="1">
      <alignment vertical="center"/>
    </xf>
    <xf numFmtId="0" fontId="0" fillId="0" borderId="143" xfId="0" applyBorder="1">
      <alignment vertical="center"/>
    </xf>
    <xf numFmtId="0" fontId="62" fillId="0" borderId="144" xfId="0" applyFont="1" applyBorder="1">
      <alignment vertical="center"/>
    </xf>
    <xf numFmtId="0" fontId="0" fillId="0" borderId="144" xfId="0" applyBorder="1">
      <alignment vertical="center"/>
    </xf>
    <xf numFmtId="0" fontId="0" fillId="0" borderId="145" xfId="0" applyBorder="1">
      <alignment vertical="center"/>
    </xf>
    <xf numFmtId="0" fontId="62" fillId="0" borderId="139" xfId="0" applyFont="1" applyBorder="1">
      <alignment vertical="center"/>
    </xf>
    <xf numFmtId="10" fontId="66" fillId="8" borderId="136" xfId="2" applyNumberFormat="1" applyFont="1" applyFill="1" applyBorder="1" applyAlignment="1">
      <alignment horizontal="right" vertical="center" wrapText="1"/>
    </xf>
    <xf numFmtId="41" fontId="68" fillId="0" borderId="0" xfId="1" applyFont="1" applyFill="1" applyBorder="1" applyAlignment="1">
      <alignment horizontal="left" vertical="center" wrapText="1"/>
    </xf>
    <xf numFmtId="0" fontId="55" fillId="0" borderId="0" xfId="0" applyFont="1" applyBorder="1" applyAlignment="1">
      <alignment vertical="center" wrapText="1"/>
    </xf>
    <xf numFmtId="0" fontId="67" fillId="0" borderId="144" xfId="0" applyFont="1" applyBorder="1" applyAlignment="1">
      <alignment horizontal="right" vertical="center"/>
    </xf>
    <xf numFmtId="0" fontId="64" fillId="0" borderId="0" xfId="0" applyFont="1" applyBorder="1">
      <alignment vertical="center"/>
    </xf>
    <xf numFmtId="41" fontId="5" fillId="0" borderId="0" xfId="1" applyFont="1" applyFill="1" applyAlignment="1">
      <alignment horizontal="center"/>
    </xf>
    <xf numFmtId="41" fontId="2" fillId="0" borderId="0" xfId="1" applyFill="1" applyAlignment="1"/>
    <xf numFmtId="182" fontId="5" fillId="0" borderId="0" xfId="1" applyNumberFormat="1" applyFont="1" applyFill="1" applyAlignment="1">
      <alignment horizontal="center"/>
    </xf>
    <xf numFmtId="183" fontId="0" fillId="0" borderId="0" xfId="4" applyNumberFormat="1" applyFont="1" applyFill="1"/>
    <xf numFmtId="178" fontId="52" fillId="16" borderId="14" xfId="4" applyNumberFormat="1" applyFont="1" applyFill="1" applyBorder="1" applyAlignment="1">
      <alignment horizontal="center" vertical="center"/>
    </xf>
    <xf numFmtId="0" fontId="56" fillId="0" borderId="14" xfId="0" applyFont="1" applyBorder="1" applyAlignment="1">
      <alignment horizontal="center" vertical="center"/>
    </xf>
    <xf numFmtId="41" fontId="57" fillId="6" borderId="14" xfId="1" applyFont="1" applyFill="1" applyBorder="1">
      <alignment vertical="center"/>
    </xf>
    <xf numFmtId="41" fontId="69" fillId="6" borderId="14" xfId="1" applyFont="1" applyFill="1" applyBorder="1">
      <alignment vertical="center"/>
    </xf>
    <xf numFmtId="41" fontId="48" fillId="6" borderId="14" xfId="1" applyFont="1" applyFill="1" applyBorder="1">
      <alignment vertical="center"/>
    </xf>
    <xf numFmtId="0" fontId="23" fillId="0" borderId="11" xfId="0" applyFont="1" applyFill="1" applyBorder="1" applyAlignment="1">
      <alignment horizontal="center"/>
    </xf>
    <xf numFmtId="43" fontId="62" fillId="0" borderId="14" xfId="0" applyNumberFormat="1" applyFont="1" applyFill="1" applyBorder="1">
      <alignment vertical="center"/>
    </xf>
    <xf numFmtId="0" fontId="59" fillId="0" borderId="0" xfId="0" applyFont="1" applyFill="1" applyBorder="1">
      <alignment vertical="center"/>
    </xf>
    <xf numFmtId="0" fontId="0" fillId="0" borderId="142" xfId="0" applyFill="1" applyBorder="1">
      <alignment vertical="center"/>
    </xf>
    <xf numFmtId="0" fontId="10" fillId="5" borderId="14" xfId="3" applyFont="1" applyFill="1" applyBorder="1" applyAlignment="1">
      <alignment horizontal="center"/>
    </xf>
    <xf numFmtId="0" fontId="2" fillId="7" borderId="146" xfId="3" applyFill="1" applyBorder="1" applyAlignment="1">
      <alignment horizontal="left"/>
    </xf>
    <xf numFmtId="0" fontId="23" fillId="12" borderId="147" xfId="0" applyFont="1" applyFill="1" applyBorder="1" applyAlignment="1">
      <alignment horizontal="left"/>
    </xf>
    <xf numFmtId="4" fontId="28" fillId="12" borderId="14" xfId="0" applyNumberFormat="1" applyFont="1" applyFill="1" applyBorder="1" applyAlignment="1">
      <alignment horizontal="right"/>
    </xf>
    <xf numFmtId="14" fontId="28" fillId="12" borderId="14" xfId="0" applyNumberFormat="1" applyFont="1" applyFill="1" applyBorder="1" applyAlignment="1">
      <alignment horizontal="right"/>
    </xf>
    <xf numFmtId="0" fontId="28" fillId="12" borderId="14" xfId="0" applyFont="1" applyFill="1" applyBorder="1" applyAlignment="1">
      <alignment horizontal="right"/>
    </xf>
    <xf numFmtId="0" fontId="2" fillId="15" borderId="14" xfId="3" applyFill="1" applyBorder="1"/>
    <xf numFmtId="41" fontId="57" fillId="0" borderId="14" xfId="1" applyFont="1" applyFill="1" applyBorder="1">
      <alignment vertical="center"/>
    </xf>
    <xf numFmtId="41" fontId="57" fillId="0" borderId="64" xfId="1" applyFont="1" applyFill="1" applyBorder="1">
      <alignment vertical="center"/>
    </xf>
    <xf numFmtId="0" fontId="0" fillId="0" borderId="0" xfId="0" applyFill="1">
      <alignment vertical="center"/>
    </xf>
    <xf numFmtId="0" fontId="72" fillId="25" borderId="0" xfId="7" applyFill="1" applyAlignment="1"/>
    <xf numFmtId="0" fontId="74" fillId="25" borderId="0" xfId="7" applyFont="1" applyFill="1" applyAlignment="1">
      <alignment vertical="center"/>
    </xf>
    <xf numFmtId="184" fontId="75" fillId="25" borderId="0" xfId="7" applyNumberFormat="1" applyFont="1" applyFill="1" applyAlignment="1"/>
    <xf numFmtId="0" fontId="75" fillId="25" borderId="0" xfId="7" applyFont="1" applyFill="1" applyAlignment="1"/>
    <xf numFmtId="0" fontId="76" fillId="25" borderId="0" xfId="7" applyNumberFormat="1" applyFont="1" applyFill="1" applyBorder="1" applyAlignment="1" applyProtection="1">
      <protection locked="0"/>
    </xf>
    <xf numFmtId="0" fontId="77" fillId="25" borderId="0" xfId="7" applyFont="1" applyFill="1" applyBorder="1" applyAlignment="1">
      <alignment vertical="center" wrapText="1"/>
    </xf>
    <xf numFmtId="184" fontId="77" fillId="25" borderId="0" xfId="7" applyNumberFormat="1" applyFont="1" applyFill="1" applyBorder="1" applyAlignment="1">
      <alignment horizontal="center" vertical="center" wrapText="1"/>
    </xf>
    <xf numFmtId="0" fontId="77" fillId="25" borderId="0" xfId="7" applyFont="1" applyFill="1" applyBorder="1" applyAlignment="1">
      <alignment horizontal="center" vertical="center" wrapText="1"/>
    </xf>
    <xf numFmtId="0" fontId="72" fillId="25" borderId="0" xfId="7" applyFont="1" applyFill="1" applyBorder="1" applyAlignment="1"/>
    <xf numFmtId="0" fontId="77" fillId="25" borderId="0" xfId="7" applyFont="1" applyFill="1" applyBorder="1" applyAlignment="1">
      <alignment vertical="center"/>
    </xf>
    <xf numFmtId="184" fontId="77" fillId="25" borderId="0" xfId="7" applyNumberFormat="1" applyFont="1" applyFill="1" applyBorder="1" applyAlignment="1">
      <alignment vertical="center" wrapText="1"/>
    </xf>
    <xf numFmtId="0" fontId="72" fillId="25" borderId="0" xfId="7" applyFont="1" applyFill="1" applyAlignment="1"/>
    <xf numFmtId="184" fontId="75" fillId="0" borderId="0" xfId="7" applyNumberFormat="1" applyFont="1" applyAlignment="1"/>
    <xf numFmtId="0" fontId="75" fillId="0" borderId="0" xfId="7" applyFont="1" applyAlignment="1"/>
    <xf numFmtId="0" fontId="79" fillId="0" borderId="0" xfId="7" applyFont="1" applyAlignment="1"/>
    <xf numFmtId="184" fontId="49" fillId="0" borderId="149" xfId="7" applyNumberFormat="1" applyFont="1" applyBorder="1" applyAlignment="1">
      <alignment horizontal="center" vertical="center" wrapText="1"/>
    </xf>
    <xf numFmtId="0" fontId="49" fillId="0" borderId="140" xfId="7" applyFont="1" applyBorder="1" applyAlignment="1">
      <alignment horizontal="center" vertical="center" wrapText="1"/>
    </xf>
    <xf numFmtId="185" fontId="49" fillId="0" borderId="150" xfId="7" applyNumberFormat="1" applyFont="1" applyBorder="1" applyAlignment="1">
      <alignment horizontal="center" vertical="center" wrapText="1"/>
    </xf>
    <xf numFmtId="185" fontId="49" fillId="0" borderId="145" xfId="7" applyNumberFormat="1" applyFont="1" applyBorder="1" applyAlignment="1">
      <alignment horizontal="center" vertical="center" wrapText="1"/>
    </xf>
    <xf numFmtId="0" fontId="77" fillId="0" borderId="0" xfId="7" applyFont="1" applyFill="1" applyAlignment="1">
      <alignment vertical="center"/>
    </xf>
    <xf numFmtId="184" fontId="77" fillId="26" borderId="150" xfId="8" applyNumberFormat="1" applyFont="1" applyFill="1" applyBorder="1" applyAlignment="1">
      <alignment horizontal="center" vertical="center"/>
    </xf>
    <xf numFmtId="0" fontId="77" fillId="0" borderId="145" xfId="7" applyFont="1" applyFill="1" applyBorder="1" applyAlignment="1">
      <alignment horizontal="center" vertical="center"/>
    </xf>
    <xf numFmtId="43" fontId="77" fillId="26" borderId="150" xfId="8" applyNumberFormat="1" applyFont="1" applyFill="1" applyBorder="1" applyAlignment="1">
      <alignment horizontal="right" vertical="center"/>
    </xf>
    <xf numFmtId="0" fontId="77" fillId="0" borderId="0" xfId="7" applyFont="1" applyFill="1" applyAlignment="1">
      <alignment horizontal="left" vertical="center" wrapText="1" indent="2"/>
    </xf>
    <xf numFmtId="0" fontId="77" fillId="26" borderId="145" xfId="8" applyFont="1" applyFill="1" applyBorder="1" applyAlignment="1">
      <alignment horizontal="center" vertical="center"/>
    </xf>
    <xf numFmtId="43" fontId="77" fillId="26" borderId="145" xfId="8" applyNumberFormat="1" applyFont="1" applyFill="1" applyBorder="1" applyAlignment="1">
      <alignment horizontal="right" vertical="center"/>
    </xf>
    <xf numFmtId="184" fontId="77" fillId="0" borderId="144" xfId="7" applyNumberFormat="1" applyFont="1" applyFill="1" applyBorder="1" applyAlignment="1">
      <alignment horizontal="center" vertical="center"/>
    </xf>
    <xf numFmtId="0" fontId="77" fillId="0" borderId="144" xfId="7" applyFont="1" applyFill="1" applyBorder="1" applyAlignment="1">
      <alignment horizontal="center" vertical="center"/>
    </xf>
    <xf numFmtId="43" fontId="77" fillId="0" borderId="144" xfId="7" applyNumberFormat="1" applyFont="1" applyFill="1" applyBorder="1" applyAlignment="1">
      <alignment horizontal="right" vertical="center"/>
    </xf>
    <xf numFmtId="0" fontId="77" fillId="0" borderId="0" xfId="7" applyFont="1" applyFill="1" applyAlignment="1">
      <alignment horizontal="left" vertical="center" wrapText="1" indent="4"/>
    </xf>
    <xf numFmtId="184" fontId="77" fillId="27" borderId="150" xfId="8" applyNumberFormat="1" applyFont="1" applyFill="1" applyBorder="1" applyAlignment="1">
      <alignment horizontal="center" vertical="center"/>
    </xf>
    <xf numFmtId="184" fontId="77" fillId="0" borderId="0" xfId="7" applyNumberFormat="1" applyFont="1" applyFill="1" applyAlignment="1">
      <alignment horizontal="center" vertical="center"/>
    </xf>
    <xf numFmtId="0" fontId="77" fillId="0" borderId="0" xfId="7" applyFont="1" applyFill="1" applyAlignment="1">
      <alignment horizontal="center" vertical="center"/>
    </xf>
    <xf numFmtId="43" fontId="77" fillId="0" borderId="0" xfId="7" applyNumberFormat="1" applyFont="1" applyFill="1" applyAlignment="1">
      <alignment horizontal="right" vertical="center"/>
    </xf>
    <xf numFmtId="0" fontId="77" fillId="26" borderId="105" xfId="8" applyFont="1" applyFill="1" applyBorder="1" applyAlignment="1">
      <alignment horizontal="center" vertical="center"/>
    </xf>
    <xf numFmtId="2" fontId="77" fillId="26" borderId="150" xfId="8" applyNumberFormat="1" applyFont="1" applyFill="1" applyBorder="1" applyAlignment="1">
      <alignment horizontal="center" vertical="center"/>
    </xf>
    <xf numFmtId="184" fontId="77" fillId="26" borderId="4" xfId="8" applyNumberFormat="1" applyFont="1" applyFill="1" applyBorder="1" applyAlignment="1">
      <alignment horizontal="center" vertical="center"/>
    </xf>
    <xf numFmtId="0" fontId="77" fillId="0" borderId="142" xfId="7" applyFont="1" applyFill="1" applyBorder="1" applyAlignment="1">
      <alignment horizontal="center" vertical="center"/>
    </xf>
    <xf numFmtId="43" fontId="77" fillId="27" borderId="145" xfId="8" applyNumberFormat="1" applyFont="1" applyFill="1" applyBorder="1" applyAlignment="1">
      <alignment horizontal="right" vertical="center"/>
    </xf>
    <xf numFmtId="0" fontId="77" fillId="0" borderId="0" xfId="7" applyFont="1" applyFill="1" applyAlignment="1">
      <alignment vertical="center" wrapText="1"/>
    </xf>
    <xf numFmtId="0" fontId="77" fillId="0" borderId="142" xfId="7" applyFont="1" applyFill="1" applyBorder="1" applyAlignment="1">
      <alignment horizontal="left" vertical="center" wrapText="1" indent="4"/>
    </xf>
    <xf numFmtId="184" fontId="77" fillId="27" borderId="145" xfId="8" applyNumberFormat="1" applyFont="1" applyFill="1" applyBorder="1" applyAlignment="1">
      <alignment horizontal="center" vertical="center"/>
    </xf>
    <xf numFmtId="0" fontId="77" fillId="0" borderId="0" xfId="7" applyFont="1" applyFill="1" applyAlignment="1">
      <alignment horizontal="left" vertical="center" indent="2"/>
    </xf>
    <xf numFmtId="184" fontId="77" fillId="0" borderId="0" xfId="7" applyNumberFormat="1" applyFont="1" applyFill="1" applyAlignment="1"/>
    <xf numFmtId="0" fontId="77" fillId="0" borderId="0" xfId="7" applyFont="1" applyFill="1" applyAlignment="1"/>
    <xf numFmtId="43" fontId="77" fillId="0" borderId="0" xfId="7" applyNumberFormat="1" applyFont="1" applyFill="1" applyAlignment="1">
      <alignment horizontal="right"/>
    </xf>
    <xf numFmtId="184" fontId="81" fillId="0" borderId="149" xfId="7" applyNumberFormat="1" applyFont="1" applyFill="1" applyBorder="1" applyAlignment="1">
      <alignment horizontal="center" vertical="center"/>
    </xf>
    <xf numFmtId="0" fontId="81" fillId="0" borderId="140" xfId="7" applyFont="1" applyFill="1" applyBorder="1" applyAlignment="1">
      <alignment horizontal="center" vertical="center"/>
    </xf>
    <xf numFmtId="43" fontId="81" fillId="0" borderId="140" xfId="7" applyNumberFormat="1" applyFont="1" applyFill="1" applyBorder="1" applyAlignment="1">
      <alignment horizontal="right" vertical="center" wrapText="1"/>
    </xf>
    <xf numFmtId="187" fontId="81" fillId="0" borderId="150" xfId="7" applyNumberFormat="1" applyFont="1" applyFill="1" applyBorder="1" applyAlignment="1">
      <alignment horizontal="center" vertical="center"/>
    </xf>
    <xf numFmtId="187" fontId="81" fillId="0" borderId="145" xfId="7" applyNumberFormat="1" applyFont="1" applyFill="1" applyBorder="1" applyAlignment="1">
      <alignment horizontal="center" vertical="center"/>
    </xf>
    <xf numFmtId="184" fontId="77" fillId="2" borderId="150" xfId="8" applyNumberFormat="1" applyFont="1" applyFill="1" applyBorder="1" applyAlignment="1">
      <alignment horizontal="center" vertical="center"/>
    </xf>
    <xf numFmtId="0" fontId="83" fillId="0" borderId="0" xfId="7" applyFont="1" applyFill="1" applyAlignment="1">
      <alignment vertical="center"/>
    </xf>
    <xf numFmtId="186" fontId="77" fillId="2" borderId="150" xfId="8" applyNumberFormat="1" applyFont="1" applyFill="1" applyBorder="1" applyAlignment="1">
      <alignment horizontal="center" vertical="center"/>
    </xf>
    <xf numFmtId="0" fontId="77" fillId="0" borderId="0" xfId="7" applyFont="1" applyFill="1" applyAlignment="1">
      <alignment horizontal="left" vertical="center" indent="4"/>
    </xf>
    <xf numFmtId="0" fontId="77" fillId="0" borderId="0" xfId="7" applyFont="1" applyFill="1" applyAlignment="1">
      <alignment horizontal="left" vertical="center" wrapText="1"/>
    </xf>
    <xf numFmtId="0" fontId="77" fillId="0" borderId="0" xfId="7" applyFont="1" applyFill="1" applyAlignment="1">
      <alignment horizontal="left" vertical="center"/>
    </xf>
    <xf numFmtId="0" fontId="83" fillId="0" borderId="0" xfId="7" applyFont="1" applyFill="1" applyAlignment="1">
      <alignment horizontal="left" vertical="center" indent="2"/>
    </xf>
    <xf numFmtId="0" fontId="77" fillId="27" borderId="145" xfId="8" applyFont="1" applyFill="1" applyBorder="1" applyAlignment="1">
      <alignment horizontal="center" vertical="center"/>
    </xf>
    <xf numFmtId="186" fontId="77" fillId="27" borderId="150" xfId="8" applyNumberFormat="1" applyFont="1" applyFill="1" applyBorder="1" applyAlignment="1">
      <alignment horizontal="center" vertical="center"/>
    </xf>
    <xf numFmtId="0" fontId="77" fillId="0" borderId="0" xfId="7" applyFont="1" applyFill="1" applyAlignment="1">
      <alignment horizontal="left" vertical="center" wrapText="1" indent="6"/>
    </xf>
    <xf numFmtId="0" fontId="77" fillId="0" borderId="0" xfId="7" applyFont="1" applyFill="1" applyAlignment="1">
      <alignment horizontal="left" vertical="center" indent="6"/>
    </xf>
    <xf numFmtId="0" fontId="83" fillId="0" borderId="0" xfId="7" applyFont="1" applyFill="1" applyAlignment="1">
      <alignment horizontal="left" vertical="center" indent="4"/>
    </xf>
    <xf numFmtId="0" fontId="83" fillId="0" borderId="0" xfId="7" applyFont="1" applyFill="1" applyAlignment="1">
      <alignment horizontal="left" vertical="center"/>
    </xf>
    <xf numFmtId="0" fontId="77" fillId="0" borderId="0" xfId="7" applyFont="1" applyFill="1" applyAlignment="1">
      <alignment horizontal="left" indent="2"/>
    </xf>
    <xf numFmtId="0" fontId="81" fillId="0" borderId="142" xfId="7" applyFont="1" applyFill="1" applyBorder="1" applyAlignment="1">
      <alignment horizontal="center" vertical="center"/>
    </xf>
    <xf numFmtId="187" fontId="81" fillId="0" borderId="142" xfId="7" applyNumberFormat="1" applyFont="1" applyFill="1" applyBorder="1" applyAlignment="1">
      <alignment horizontal="center" vertical="center"/>
    </xf>
    <xf numFmtId="0" fontId="84" fillId="0" borderId="0" xfId="7" applyFont="1" applyFill="1" applyAlignment="1">
      <alignment horizontal="left" indent="2"/>
    </xf>
    <xf numFmtId="0" fontId="84" fillId="0" borderId="0" xfId="7" applyFont="1" applyFill="1" applyAlignment="1">
      <alignment horizontal="left"/>
    </xf>
    <xf numFmtId="0" fontId="84" fillId="25" borderId="0" xfId="7" applyFont="1" applyFill="1" applyAlignment="1"/>
    <xf numFmtId="184" fontId="81" fillId="0" borderId="144" xfId="7" applyNumberFormat="1" applyFont="1" applyFill="1" applyBorder="1" applyAlignment="1">
      <alignment vertical="center"/>
    </xf>
    <xf numFmtId="0" fontId="81" fillId="0" borderId="144" xfId="7" applyFont="1" applyFill="1" applyBorder="1" applyAlignment="1">
      <alignment vertical="center"/>
    </xf>
    <xf numFmtId="0" fontId="84" fillId="25" borderId="149" xfId="7" applyFont="1" applyFill="1" applyBorder="1" applyAlignment="1"/>
    <xf numFmtId="184" fontId="81" fillId="0" borderId="140" xfId="7" applyNumberFormat="1" applyFont="1" applyFill="1" applyBorder="1" applyAlignment="1">
      <alignment horizontal="center" vertical="center"/>
    </xf>
    <xf numFmtId="187" fontId="85" fillId="0" borderId="150" xfId="7" applyNumberFormat="1" applyFont="1" applyBorder="1" applyAlignment="1">
      <alignment horizontal="center" vertical="center"/>
    </xf>
    <xf numFmtId="0" fontId="84" fillId="25" borderId="4" xfId="7" applyFont="1" applyFill="1" applyBorder="1" applyAlignment="1"/>
    <xf numFmtId="0" fontId="84" fillId="25" borderId="150" xfId="7" applyFont="1" applyFill="1" applyBorder="1" applyAlignment="1"/>
    <xf numFmtId="184" fontId="75" fillId="0" borderId="0" xfId="7" applyNumberFormat="1" applyFont="1" applyFill="1" applyAlignment="1"/>
    <xf numFmtId="0" fontId="75" fillId="0" borderId="0" xfId="7" applyFont="1" applyFill="1" applyAlignment="1"/>
    <xf numFmtId="49" fontId="49" fillId="20" borderId="151" xfId="3" applyNumberFormat="1" applyFont="1" applyFill="1" applyBorder="1" applyAlignment="1">
      <alignment horizontal="center" vertical="center" wrapText="1"/>
    </xf>
    <xf numFmtId="41" fontId="53" fillId="8" borderId="61" xfId="1" applyFont="1" applyFill="1" applyBorder="1" applyAlignment="1">
      <alignment horizontal="center" vertical="center" wrapText="1"/>
    </xf>
    <xf numFmtId="189" fontId="19" fillId="2" borderId="152" xfId="3" applyNumberFormat="1" applyFont="1" applyFill="1" applyBorder="1" applyAlignment="1">
      <alignment horizontal="center"/>
    </xf>
    <xf numFmtId="189" fontId="24" fillId="2" borderId="152" xfId="3" applyNumberFormat="1" applyFont="1" applyFill="1" applyBorder="1" applyAlignment="1">
      <alignment horizontal="center"/>
    </xf>
    <xf numFmtId="189" fontId="6" fillId="2" borderId="152" xfId="3" applyNumberFormat="1" applyFont="1" applyFill="1" applyBorder="1" applyAlignment="1">
      <alignment horizontal="center"/>
    </xf>
    <xf numFmtId="189" fontId="6" fillId="2" borderId="16" xfId="3" applyNumberFormat="1" applyFont="1" applyFill="1" applyBorder="1" applyAlignment="1">
      <alignment horizontal="center"/>
    </xf>
    <xf numFmtId="0" fontId="86" fillId="0" borderId="0" xfId="7" applyFont="1" applyAlignment="1">
      <alignment vertical="center" wrapText="1"/>
    </xf>
    <xf numFmtId="0" fontId="78" fillId="0" borderId="0" xfId="7" applyFont="1" applyFill="1" applyAlignment="1">
      <alignment vertical="center" wrapText="1"/>
    </xf>
    <xf numFmtId="0" fontId="88" fillId="0" borderId="0" xfId="7" applyFont="1" applyFill="1" applyAlignment="1">
      <alignment horizontal="left" vertical="center" wrapText="1"/>
    </xf>
    <xf numFmtId="0" fontId="81" fillId="0" borderId="0" xfId="7" applyFont="1" applyFill="1" applyAlignment="1">
      <alignment horizontal="left" vertical="center"/>
    </xf>
    <xf numFmtId="0" fontId="87" fillId="0" borderId="0" xfId="7" applyFont="1" applyFill="1" applyAlignment="1">
      <alignment horizontal="left"/>
    </xf>
    <xf numFmtId="43" fontId="77" fillId="26" borderId="4" xfId="8" applyNumberFormat="1" applyFont="1" applyFill="1" applyBorder="1" applyAlignment="1">
      <alignment horizontal="right" vertical="center"/>
    </xf>
    <xf numFmtId="9" fontId="5" fillId="8" borderId="154" xfId="2" applyFont="1" applyFill="1" applyBorder="1" applyAlignment="1">
      <alignment horizontal="center"/>
    </xf>
    <xf numFmtId="180" fontId="5" fillId="8" borderId="153" xfId="4" applyNumberFormat="1" applyFont="1" applyFill="1" applyBorder="1" applyAlignment="1">
      <alignment horizontal="right"/>
    </xf>
    <xf numFmtId="176" fontId="5" fillId="8" borderId="156" xfId="4" applyNumberFormat="1" applyFont="1" applyFill="1" applyBorder="1" applyAlignment="1">
      <alignment horizontal="right"/>
    </xf>
    <xf numFmtId="14" fontId="5" fillId="3" borderId="157" xfId="3" applyNumberFormat="1" applyFont="1" applyFill="1" applyBorder="1" applyAlignment="1">
      <alignment horizontal="right"/>
    </xf>
    <xf numFmtId="176" fontId="5" fillId="3" borderId="158" xfId="3" applyNumberFormat="1" applyFont="1" applyFill="1" applyBorder="1" applyAlignment="1">
      <alignment horizontal="center"/>
    </xf>
    <xf numFmtId="176" fontId="5" fillId="3" borderId="159" xfId="0" applyNumberFormat="1" applyFont="1" applyFill="1" applyBorder="1" applyAlignment="1">
      <alignment horizontal="right"/>
    </xf>
    <xf numFmtId="176" fontId="5" fillId="3" borderId="159" xfId="3" applyNumberFormat="1" applyFont="1" applyFill="1" applyBorder="1" applyAlignment="1">
      <alignment horizontal="right"/>
    </xf>
    <xf numFmtId="0" fontId="70" fillId="12" borderId="14" xfId="0" applyFont="1" applyFill="1" applyBorder="1" applyAlignment="1">
      <alignment horizontal="center"/>
    </xf>
    <xf numFmtId="0" fontId="70" fillId="12" borderId="14" xfId="0" applyFont="1" applyFill="1" applyBorder="1" applyAlignment="1">
      <alignment horizontal="left"/>
    </xf>
    <xf numFmtId="0" fontId="2" fillId="7" borderId="160" xfId="3" applyFill="1" applyBorder="1" applyAlignment="1">
      <alignment horizontal="left"/>
    </xf>
    <xf numFmtId="0" fontId="81" fillId="0" borderId="147" xfId="7" applyFont="1" applyFill="1" applyBorder="1" applyAlignment="1">
      <alignment horizontal="left" vertical="center" wrapText="1" indent="4"/>
    </xf>
    <xf numFmtId="0" fontId="43" fillId="0" borderId="147" xfId="0" applyFont="1" applyBorder="1">
      <alignment vertical="center"/>
    </xf>
    <xf numFmtId="0" fontId="81" fillId="0" borderId="107" xfId="7" applyFont="1" applyFill="1" applyBorder="1" applyAlignment="1">
      <alignment horizontal="left" vertical="center" wrapText="1" indent="4"/>
    </xf>
    <xf numFmtId="0" fontId="48" fillId="0" borderId="107" xfId="0" applyFont="1" applyBorder="1">
      <alignment vertical="center"/>
    </xf>
    <xf numFmtId="0" fontId="0" fillId="0" borderId="161" xfId="0" applyBorder="1">
      <alignment vertical="center"/>
    </xf>
    <xf numFmtId="0" fontId="81" fillId="0" borderId="165" xfId="7" applyFont="1" applyFill="1" applyBorder="1" applyAlignment="1">
      <alignment horizontal="left" vertical="center" wrapText="1" indent="4"/>
    </xf>
    <xf numFmtId="0" fontId="43" fillId="0" borderId="165" xfId="0" applyFont="1" applyBorder="1">
      <alignment vertical="center"/>
    </xf>
    <xf numFmtId="0" fontId="0" fillId="0" borderId="166" xfId="0" applyBorder="1">
      <alignment vertical="center"/>
    </xf>
    <xf numFmtId="0" fontId="0" fillId="10" borderId="107" xfId="0" applyFill="1" applyBorder="1">
      <alignment vertical="center"/>
    </xf>
    <xf numFmtId="0" fontId="0" fillId="10" borderId="147" xfId="0" applyFill="1" applyBorder="1">
      <alignment vertical="center"/>
    </xf>
    <xf numFmtId="0" fontId="0" fillId="10" borderId="165" xfId="0" applyFill="1" applyBorder="1">
      <alignment vertical="center"/>
    </xf>
    <xf numFmtId="0" fontId="77" fillId="0" borderId="168" xfId="7" applyFont="1" applyFill="1" applyBorder="1" applyAlignment="1">
      <alignment horizontal="left" vertical="center" indent="2"/>
    </xf>
    <xf numFmtId="0" fontId="77" fillId="0" borderId="169" xfId="7" applyFont="1" applyFill="1" applyBorder="1" applyAlignment="1">
      <alignment horizontal="left" vertical="center" indent="2"/>
    </xf>
    <xf numFmtId="0" fontId="77" fillId="0" borderId="170" xfId="7" applyFont="1" applyFill="1" applyBorder="1" applyAlignment="1">
      <alignment horizontal="left" vertical="center" indent="2"/>
    </xf>
    <xf numFmtId="0" fontId="90" fillId="0" borderId="0" xfId="0" applyFont="1">
      <alignment vertical="center"/>
    </xf>
    <xf numFmtId="0" fontId="91" fillId="25" borderId="147" xfId="0" applyFont="1" applyFill="1" applyBorder="1" applyAlignment="1">
      <alignment horizontal="center" vertical="center"/>
    </xf>
    <xf numFmtId="189" fontId="6" fillId="3" borderId="112" xfId="3" applyNumberFormat="1" applyFont="1" applyFill="1" applyBorder="1" applyAlignment="1">
      <alignment horizontal="center"/>
    </xf>
    <xf numFmtId="189" fontId="6" fillId="3" borderId="163" xfId="3" applyNumberFormat="1" applyFont="1" applyFill="1" applyBorder="1" applyAlignment="1">
      <alignment horizontal="center"/>
    </xf>
    <xf numFmtId="189" fontId="6" fillId="3" borderId="167" xfId="3" applyNumberFormat="1" applyFont="1" applyFill="1" applyBorder="1" applyAlignment="1">
      <alignment horizontal="center"/>
    </xf>
    <xf numFmtId="177" fontId="80" fillId="3" borderId="4" xfId="8" applyNumberFormat="1" applyFont="1" applyFill="1" applyBorder="1" applyAlignment="1">
      <alignment horizontal="center" vertical="center"/>
    </xf>
    <xf numFmtId="9" fontId="6" fillId="23" borderId="14" xfId="3" applyNumberFormat="1" applyFont="1" applyFill="1" applyBorder="1"/>
    <xf numFmtId="0" fontId="87" fillId="0" borderId="0" xfId="7" applyFont="1" applyFill="1" applyAlignment="1">
      <alignment horizontal="left" vertical="center" indent="2"/>
    </xf>
    <xf numFmtId="0" fontId="50" fillId="0" borderId="62"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0" applyFont="1" applyBorder="1" applyAlignment="1">
      <alignment horizontal="center" vertical="center"/>
    </xf>
    <xf numFmtId="189" fontId="0" fillId="0" borderId="0" xfId="0" applyNumberFormat="1">
      <alignment vertical="center"/>
    </xf>
    <xf numFmtId="0" fontId="77" fillId="16" borderId="145" xfId="8" applyFont="1" applyFill="1" applyBorder="1" applyAlignment="1">
      <alignment horizontal="center" vertical="center"/>
    </xf>
    <xf numFmtId="43" fontId="77" fillId="28" borderId="145" xfId="8" applyNumberFormat="1" applyFont="1" applyFill="1" applyBorder="1" applyAlignment="1">
      <alignment horizontal="right" vertical="center"/>
    </xf>
    <xf numFmtId="0" fontId="23" fillId="0" borderId="14" xfId="0" applyFont="1" applyFill="1" applyBorder="1" applyAlignment="1">
      <alignment horizontal="center"/>
    </xf>
    <xf numFmtId="188" fontId="78" fillId="29" borderId="150" xfId="9" applyNumberFormat="1" applyFont="1" applyFill="1" applyBorder="1" applyAlignment="1">
      <alignment horizontal="right" vertical="center"/>
    </xf>
    <xf numFmtId="184" fontId="77" fillId="30" borderId="150" xfId="8" applyNumberFormat="1" applyFont="1" applyFill="1" applyBorder="1" applyAlignment="1">
      <alignment horizontal="center" vertical="center"/>
    </xf>
    <xf numFmtId="186" fontId="78" fillId="30" borderId="150" xfId="8" applyNumberFormat="1" applyFont="1" applyFill="1" applyBorder="1" applyAlignment="1">
      <alignment horizontal="center" vertical="center"/>
    </xf>
    <xf numFmtId="43" fontId="77" fillId="27" borderId="142" xfId="8" applyNumberFormat="1" applyFont="1" applyFill="1" applyBorder="1" applyAlignment="1">
      <alignment horizontal="right" vertical="center"/>
    </xf>
    <xf numFmtId="184" fontId="91" fillId="25" borderId="4" xfId="0" applyNumberFormat="1" applyFont="1" applyFill="1" applyBorder="1" applyAlignment="1">
      <alignment horizontal="center" vertical="center"/>
    </xf>
    <xf numFmtId="43" fontId="72" fillId="25" borderId="0" xfId="7" applyNumberFormat="1" applyFill="1" applyAlignment="1"/>
    <xf numFmtId="41" fontId="72" fillId="25" borderId="0" xfId="1" applyFont="1" applyFill="1" applyAlignment="1"/>
    <xf numFmtId="0" fontId="50"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189" fontId="6" fillId="2" borderId="172" xfId="3" applyNumberFormat="1" applyFont="1" applyFill="1" applyBorder="1" applyAlignment="1">
      <alignment horizontal="center"/>
    </xf>
    <xf numFmtId="189" fontId="53" fillId="8" borderId="112" xfId="1" applyNumberFormat="1" applyFont="1" applyFill="1" applyBorder="1" applyAlignment="1">
      <alignment horizontal="center" vertical="center" wrapText="1"/>
    </xf>
    <xf numFmtId="190" fontId="77" fillId="0" borderId="0" xfId="7" applyNumberFormat="1" applyFont="1" applyFill="1" applyAlignment="1">
      <alignment vertical="center"/>
    </xf>
    <xf numFmtId="184" fontId="6" fillId="2" borderId="172" xfId="3" applyNumberFormat="1" applyFont="1" applyFill="1" applyBorder="1" applyAlignment="1">
      <alignment horizontal="center"/>
    </xf>
    <xf numFmtId="43" fontId="78" fillId="26" borderId="145" xfId="8" applyNumberFormat="1" applyFont="1" applyFill="1" applyBorder="1" applyAlignment="1">
      <alignment horizontal="right" vertical="center"/>
    </xf>
    <xf numFmtId="49" fontId="49" fillId="20" borderId="8" xfId="3"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9" fontId="19" fillId="2" borderId="173" xfId="3" applyNumberFormat="1" applyFont="1" applyFill="1" applyBorder="1" applyAlignment="1">
      <alignment horizontal="center"/>
    </xf>
    <xf numFmtId="189" fontId="54" fillId="8" borderId="167" xfId="1" applyNumberFormat="1" applyFont="1" applyFill="1" applyBorder="1" applyAlignment="1">
      <alignment horizontal="center" vertical="center" wrapText="1"/>
    </xf>
    <xf numFmtId="0" fontId="57" fillId="0" borderId="0" xfId="0" applyFont="1">
      <alignment vertical="center"/>
    </xf>
    <xf numFmtId="0" fontId="57" fillId="0" borderId="0" xfId="0" applyFont="1" applyFill="1">
      <alignment vertical="center"/>
    </xf>
    <xf numFmtId="41" fontId="94" fillId="8" borderId="19" xfId="1" applyFont="1" applyFill="1" applyBorder="1" applyAlignment="1">
      <alignment horizontal="center" vertical="center" wrapText="1"/>
    </xf>
    <xf numFmtId="41" fontId="69" fillId="0" borderId="14" xfId="1" applyFont="1" applyBorder="1">
      <alignment vertical="center"/>
    </xf>
    <xf numFmtId="41" fontId="69" fillId="0" borderId="64" xfId="1" applyFont="1" applyBorder="1">
      <alignment vertical="center"/>
    </xf>
    <xf numFmtId="0" fontId="69" fillId="0" borderId="0" xfId="0" applyFont="1">
      <alignment vertical="center"/>
    </xf>
    <xf numFmtId="0" fontId="62" fillId="22" borderId="14" xfId="0" applyFont="1" applyFill="1" applyBorder="1">
      <alignment vertical="center"/>
    </xf>
    <xf numFmtId="184" fontId="77" fillId="0" borderId="142" xfId="7" applyNumberFormat="1" applyFont="1" applyFill="1" applyBorder="1" applyAlignment="1">
      <alignment horizontal="center" vertical="center"/>
    </xf>
    <xf numFmtId="184" fontId="77" fillId="2" borderId="145" xfId="8" applyNumberFormat="1" applyFont="1" applyFill="1" applyBorder="1" applyAlignment="1">
      <alignment horizontal="right" vertical="center"/>
    </xf>
    <xf numFmtId="43" fontId="77" fillId="26" borderId="150" xfId="8" applyNumberFormat="1" applyFont="1" applyFill="1" applyBorder="1" applyAlignment="1">
      <alignment horizontal="center" vertical="center"/>
    </xf>
    <xf numFmtId="43" fontId="77" fillId="0" borderId="142" xfId="7" applyNumberFormat="1" applyFont="1" applyFill="1" applyBorder="1" applyAlignment="1">
      <alignment horizontal="center" vertical="center"/>
    </xf>
    <xf numFmtId="43" fontId="77" fillId="2" borderId="150" xfId="8" applyNumberFormat="1" applyFont="1" applyFill="1" applyBorder="1" applyAlignment="1">
      <alignment horizontal="center" vertical="center"/>
    </xf>
    <xf numFmtId="43" fontId="77" fillId="2" borderId="145" xfId="8" applyNumberFormat="1" applyFont="1" applyFill="1" applyBorder="1" applyAlignment="1">
      <alignment horizontal="right" vertical="center"/>
    </xf>
    <xf numFmtId="43" fontId="77" fillId="27" borderId="150" xfId="8" applyNumberFormat="1" applyFont="1" applyFill="1" applyBorder="1" applyAlignment="1">
      <alignment horizontal="center" vertical="center"/>
    </xf>
    <xf numFmtId="0" fontId="6" fillId="0" borderId="14" xfId="3" applyFont="1" applyFill="1" applyBorder="1"/>
    <xf numFmtId="49" fontId="21" fillId="0" borderId="14" xfId="3" applyNumberFormat="1" applyFont="1" applyFill="1" applyBorder="1" applyAlignment="1" applyProtection="1">
      <alignment horizontal="left" vertical="center"/>
      <protection locked="0"/>
    </xf>
    <xf numFmtId="0" fontId="19" fillId="0" borderId="14" xfId="3" applyFont="1" applyFill="1" applyBorder="1"/>
    <xf numFmtId="0" fontId="73" fillId="25" borderId="0" xfId="7" applyFont="1" applyFill="1" applyAlignment="1"/>
    <xf numFmtId="0" fontId="73" fillId="25" borderId="0" xfId="7" applyFont="1" applyFill="1" applyAlignment="1">
      <alignment horizontal="right"/>
    </xf>
    <xf numFmtId="0" fontId="95" fillId="2" borderId="2" xfId="7" applyFont="1" applyFill="1" applyBorder="1" applyAlignment="1">
      <alignment horizontal="center"/>
    </xf>
    <xf numFmtId="0" fontId="77" fillId="0" borderId="0" xfId="0" applyFont="1" applyAlignment="1">
      <alignment horizontal="left" vertical="center" indent="2"/>
    </xf>
    <xf numFmtId="184" fontId="80" fillId="3" borderId="4" xfId="8" applyNumberFormat="1" applyFont="1" applyFill="1" applyBorder="1" applyAlignment="1">
      <alignment horizontal="center" vertical="center"/>
    </xf>
    <xf numFmtId="184" fontId="53" fillId="8" borderId="112" xfId="1" applyNumberFormat="1" applyFont="1" applyFill="1" applyBorder="1" applyAlignment="1">
      <alignment horizontal="center" vertical="center" wrapText="1"/>
    </xf>
    <xf numFmtId="184" fontId="19" fillId="2" borderId="173" xfId="3" applyNumberFormat="1" applyFont="1" applyFill="1" applyBorder="1" applyAlignment="1">
      <alignment horizontal="center"/>
    </xf>
    <xf numFmtId="184" fontId="54" fillId="8" borderId="167" xfId="1" applyNumberFormat="1" applyFont="1" applyFill="1" applyBorder="1" applyAlignment="1">
      <alignment horizontal="center" vertical="center" wrapText="1"/>
    </xf>
    <xf numFmtId="0" fontId="77" fillId="0" borderId="0" xfId="7" applyFont="1" applyFill="1" applyBorder="1" applyAlignment="1">
      <alignment horizontal="center" vertical="center"/>
    </xf>
    <xf numFmtId="188" fontId="78" fillId="29" borderId="176" xfId="9" applyNumberFormat="1" applyFont="1" applyFill="1" applyBorder="1" applyAlignment="1">
      <alignment horizontal="right" vertical="center"/>
    </xf>
    <xf numFmtId="188" fontId="78" fillId="29" borderId="177" xfId="9" applyNumberFormat="1" applyFont="1" applyFill="1" applyBorder="1" applyAlignment="1">
      <alignment horizontal="right" vertical="center"/>
    </xf>
    <xf numFmtId="188" fontId="78" fillId="29" borderId="174" xfId="9" applyNumberFormat="1" applyFont="1" applyFill="1" applyBorder="1" applyAlignment="1">
      <alignment horizontal="right" vertical="center"/>
    </xf>
    <xf numFmtId="0" fontId="96" fillId="2" borderId="2" xfId="7" applyFont="1" applyFill="1" applyBorder="1" applyAlignment="1">
      <alignment horizontal="center" vertical="center"/>
    </xf>
    <xf numFmtId="0" fontId="28" fillId="12" borderId="171" xfId="0" applyFont="1" applyFill="1" applyBorder="1" applyAlignment="1">
      <alignment horizontal="center"/>
    </xf>
    <xf numFmtId="4" fontId="28" fillId="12" borderId="171" xfId="0" applyNumberFormat="1" applyFont="1" applyFill="1" applyBorder="1" applyAlignment="1">
      <alignment horizontal="right"/>
    </xf>
    <xf numFmtId="0" fontId="28" fillId="12" borderId="171" xfId="0" applyFont="1" applyFill="1" applyBorder="1" applyAlignment="1">
      <alignment horizontal="right"/>
    </xf>
    <xf numFmtId="0" fontId="28" fillId="12" borderId="178" xfId="0" applyFont="1" applyFill="1" applyBorder="1" applyAlignment="1">
      <alignment horizontal="center"/>
    </xf>
    <xf numFmtId="0" fontId="28" fillId="12" borderId="179" xfId="0" applyFont="1" applyFill="1" applyBorder="1" applyAlignment="1">
      <alignment horizontal="center"/>
    </xf>
    <xf numFmtId="191" fontId="0" fillId="0" borderId="0" xfId="4" applyNumberFormat="1" applyFont="1"/>
    <xf numFmtId="41" fontId="6" fillId="2" borderId="152" xfId="1" applyFont="1" applyFill="1" applyBorder="1" applyAlignment="1">
      <alignment horizontal="center"/>
    </xf>
    <xf numFmtId="0" fontId="98" fillId="0" borderId="144" xfId="0" applyFont="1" applyBorder="1" applyAlignment="1">
      <alignment horizontal="right" vertical="center"/>
    </xf>
    <xf numFmtId="178" fontId="99" fillId="0" borderId="0" xfId="0" applyNumberFormat="1" applyFont="1" applyAlignment="1">
      <alignment horizontal="center" vertical="center"/>
    </xf>
    <xf numFmtId="0" fontId="17" fillId="24" borderId="91" xfId="3" applyFont="1" applyFill="1" applyBorder="1" applyAlignment="1">
      <alignment horizontal="center" vertical="center"/>
    </xf>
    <xf numFmtId="0" fontId="34" fillId="24" borderId="19" xfId="3" applyFont="1" applyFill="1" applyBorder="1" applyAlignment="1">
      <alignment vertical="center" wrapText="1"/>
    </xf>
    <xf numFmtId="0" fontId="19" fillId="24" borderId="118" xfId="3" applyFont="1" applyFill="1" applyBorder="1" applyAlignment="1">
      <alignment horizontal="center" vertical="center"/>
    </xf>
    <xf numFmtId="176" fontId="2" fillId="24" borderId="91" xfId="3" applyNumberFormat="1" applyFont="1" applyFill="1" applyBorder="1"/>
    <xf numFmtId="0" fontId="28" fillId="0" borderId="181" xfId="0" applyFont="1" applyFill="1" applyBorder="1" applyAlignment="1">
      <alignment horizontal="center"/>
    </xf>
    <xf numFmtId="0" fontId="70" fillId="0" borderId="181" xfId="0" applyFont="1" applyFill="1" applyBorder="1" applyAlignment="1">
      <alignment horizontal="left"/>
    </xf>
    <xf numFmtId="0" fontId="70" fillId="0" borderId="181" xfId="0" applyFont="1" applyFill="1" applyBorder="1" applyAlignment="1">
      <alignment horizontal="center"/>
    </xf>
    <xf numFmtId="0" fontId="5" fillId="14" borderId="52" xfId="3" applyFont="1" applyFill="1" applyBorder="1" applyAlignment="1">
      <alignment horizontal="center"/>
    </xf>
    <xf numFmtId="14" fontId="6" fillId="0" borderId="182" xfId="3" applyNumberFormat="1" applyFont="1" applyFill="1" applyBorder="1" applyAlignment="1">
      <alignment horizontal="right"/>
    </xf>
    <xf numFmtId="0" fontId="23" fillId="0" borderId="181" xfId="0" applyFont="1" applyFill="1" applyBorder="1" applyAlignment="1">
      <alignment horizontal="center"/>
    </xf>
    <xf numFmtId="0" fontId="23" fillId="0" borderId="181" xfId="0" applyFont="1" applyFill="1" applyBorder="1" applyAlignment="1">
      <alignment horizontal="left"/>
    </xf>
    <xf numFmtId="0" fontId="70" fillId="12" borderId="181" xfId="0" applyFont="1" applyFill="1" applyBorder="1" applyAlignment="1">
      <alignment horizontal="center"/>
    </xf>
    <xf numFmtId="0" fontId="70" fillId="12" borderId="181" xfId="0" applyFont="1" applyFill="1" applyBorder="1" applyAlignment="1">
      <alignment horizontal="left"/>
    </xf>
    <xf numFmtId="14" fontId="6" fillId="0" borderId="183" xfId="3" applyNumberFormat="1" applyFont="1" applyFill="1" applyBorder="1" applyAlignment="1">
      <alignment horizontal="right"/>
    </xf>
    <xf numFmtId="0" fontId="2" fillId="7" borderId="184" xfId="3" applyFill="1" applyBorder="1" applyAlignment="1">
      <alignment horizontal="center"/>
    </xf>
    <xf numFmtId="0" fontId="2" fillId="7" borderId="185" xfId="3" applyFill="1" applyBorder="1" applyAlignment="1">
      <alignment horizontal="left"/>
    </xf>
    <xf numFmtId="14" fontId="18" fillId="0" borderId="183" xfId="3" applyNumberFormat="1" applyFont="1" applyFill="1" applyBorder="1" applyAlignment="1">
      <alignment horizontal="right"/>
    </xf>
    <xf numFmtId="14" fontId="18" fillId="0" borderId="182" xfId="3" applyNumberFormat="1" applyFont="1" applyFill="1" applyBorder="1" applyAlignment="1">
      <alignment horizontal="right"/>
    </xf>
    <xf numFmtId="14" fontId="6" fillId="0" borderId="186" xfId="3" applyNumberFormat="1" applyFont="1" applyFill="1" applyBorder="1" applyAlignment="1">
      <alignment horizontal="right"/>
    </xf>
    <xf numFmtId="0" fontId="28" fillId="12" borderId="187" xfId="0" applyFont="1" applyFill="1" applyBorder="1" applyAlignment="1">
      <alignment horizontal="center"/>
    </xf>
    <xf numFmtId="0" fontId="28" fillId="12" borderId="187" xfId="0" applyFont="1" applyFill="1" applyBorder="1" applyAlignment="1">
      <alignment horizontal="left"/>
    </xf>
    <xf numFmtId="0" fontId="103" fillId="7" borderId="43" xfId="3" applyFont="1" applyFill="1" applyBorder="1" applyAlignment="1">
      <alignment horizontal="left"/>
    </xf>
    <xf numFmtId="0" fontId="104" fillId="12" borderId="187" xfId="0" applyFont="1" applyFill="1" applyBorder="1" applyAlignment="1">
      <alignment horizontal="left"/>
    </xf>
    <xf numFmtId="0" fontId="105" fillId="12" borderId="187" xfId="0" applyFont="1" applyFill="1" applyBorder="1" applyAlignment="1">
      <alignment horizontal="center"/>
    </xf>
    <xf numFmtId="4" fontId="105" fillId="12" borderId="187" xfId="0" applyNumberFormat="1" applyFont="1" applyFill="1" applyBorder="1" applyAlignment="1">
      <alignment horizontal="right"/>
    </xf>
    <xf numFmtId="14" fontId="105" fillId="12" borderId="187" xfId="0" applyNumberFormat="1" applyFont="1" applyFill="1" applyBorder="1" applyAlignment="1">
      <alignment horizontal="right"/>
    </xf>
    <xf numFmtId="4" fontId="28" fillId="12" borderId="187" xfId="0" applyNumberFormat="1" applyFont="1" applyFill="1" applyBorder="1" applyAlignment="1">
      <alignment horizontal="right"/>
    </xf>
    <xf numFmtId="0" fontId="28" fillId="12" borderId="187" xfId="0" applyFont="1" applyFill="1" applyBorder="1" applyAlignment="1">
      <alignment horizontal="right"/>
    </xf>
    <xf numFmtId="14" fontId="28" fillId="12" borderId="187" xfId="0" applyNumberFormat="1" applyFont="1" applyFill="1" applyBorder="1" applyAlignment="1">
      <alignment horizontal="right"/>
    </xf>
    <xf numFmtId="14" fontId="39" fillId="0" borderId="187" xfId="6" applyNumberFormat="1" applyFont="1" applyBorder="1" applyAlignment="1">
      <alignment horizontal="center"/>
    </xf>
    <xf numFmtId="0" fontId="2" fillId="0" borderId="125" xfId="3" applyBorder="1"/>
    <xf numFmtId="43" fontId="2" fillId="0" borderId="0" xfId="3" applyNumberFormat="1" applyBorder="1"/>
    <xf numFmtId="179" fontId="39" fillId="0" borderId="131" xfId="3" applyNumberFormat="1" applyFont="1" applyBorder="1" applyAlignment="1">
      <alignment wrapText="1"/>
    </xf>
    <xf numFmtId="0" fontId="47" fillId="0" borderId="0" xfId="3" applyFont="1" applyBorder="1" applyAlignment="1">
      <alignment horizontal="left"/>
    </xf>
    <xf numFmtId="0" fontId="40" fillId="12" borderId="188" xfId="0" applyFont="1" applyFill="1" applyBorder="1" applyAlignment="1">
      <alignment horizontal="center"/>
    </xf>
    <xf numFmtId="0" fontId="106" fillId="2" borderId="0" xfId="3" applyFont="1" applyFill="1" applyBorder="1" applyAlignment="1">
      <alignment horizontal="right" vertical="top"/>
    </xf>
    <xf numFmtId="0" fontId="106" fillId="2" borderId="130" xfId="3" applyFont="1" applyFill="1" applyBorder="1" applyAlignment="1">
      <alignment horizontal="right" vertical="top"/>
    </xf>
    <xf numFmtId="176" fontId="5" fillId="8" borderId="189" xfId="0" applyNumberFormat="1" applyFont="1" applyFill="1" applyBorder="1" applyAlignment="1">
      <alignment vertical="center"/>
    </xf>
    <xf numFmtId="176" fontId="13" fillId="8" borderId="190" xfId="0" applyNumberFormat="1" applyFont="1" applyFill="1" applyBorder="1" applyAlignment="1">
      <alignment vertical="center"/>
    </xf>
    <xf numFmtId="176" fontId="41" fillId="8" borderId="190" xfId="0" applyNumberFormat="1" applyFont="1" applyFill="1" applyBorder="1" applyAlignment="1">
      <alignment vertical="center"/>
    </xf>
    <xf numFmtId="176" fontId="5" fillId="8" borderId="190" xfId="0" applyNumberFormat="1" applyFont="1" applyFill="1" applyBorder="1" applyAlignment="1">
      <alignment vertical="center"/>
    </xf>
    <xf numFmtId="179" fontId="12" fillId="8" borderId="191" xfId="0" applyNumberFormat="1" applyFont="1" applyFill="1" applyBorder="1" applyAlignment="1">
      <alignment horizontal="center" vertical="center"/>
    </xf>
    <xf numFmtId="0" fontId="0" fillId="0" borderId="124" xfId="0" applyBorder="1" applyAlignment="1"/>
    <xf numFmtId="0" fontId="80" fillId="0" borderId="0" xfId="7" applyFont="1" applyFill="1" applyAlignment="1">
      <alignment horizontal="left" vertical="center" indent="2"/>
    </xf>
    <xf numFmtId="184" fontId="77" fillId="23" borderId="150" xfId="8" applyNumberFormat="1" applyFont="1" applyFill="1" applyBorder="1" applyAlignment="1">
      <alignment horizontal="center" vertical="center"/>
    </xf>
    <xf numFmtId="41" fontId="62" fillId="0" borderId="14" xfId="1" applyFont="1" applyBorder="1">
      <alignment vertical="center"/>
    </xf>
    <xf numFmtId="0" fontId="13" fillId="0" borderId="0" xfId="3" applyFont="1" applyBorder="1" applyAlignment="1">
      <alignment horizontal="right" wrapText="1"/>
    </xf>
    <xf numFmtId="189" fontId="13" fillId="2" borderId="192" xfId="1" applyNumberFormat="1" applyFont="1" applyFill="1" applyBorder="1">
      <alignment vertical="center"/>
    </xf>
    <xf numFmtId="192" fontId="13" fillId="2" borderId="192" xfId="0" applyNumberFormat="1" applyFont="1" applyFill="1" applyBorder="1">
      <alignment vertical="center"/>
    </xf>
    <xf numFmtId="41" fontId="53" fillId="8" borderId="192" xfId="1" applyFont="1" applyFill="1" applyBorder="1" applyAlignment="1">
      <alignment horizontal="center" vertical="center" wrapText="1"/>
    </xf>
    <xf numFmtId="176" fontId="6" fillId="16" borderId="168" xfId="4" applyNumberFormat="1" applyFont="1" applyFill="1" applyBorder="1" applyAlignment="1">
      <alignment vertical="top"/>
    </xf>
    <xf numFmtId="14" fontId="6" fillId="16" borderId="193" xfId="3" applyNumberFormat="1" applyFont="1" applyFill="1" applyBorder="1" applyAlignment="1"/>
    <xf numFmtId="176" fontId="6" fillId="16" borderId="194" xfId="4" applyNumberFormat="1" applyFont="1" applyFill="1" applyBorder="1" applyAlignment="1">
      <alignment vertical="top"/>
    </xf>
    <xf numFmtId="14" fontId="6" fillId="16" borderId="195" xfId="3" applyNumberFormat="1" applyFont="1" applyFill="1" applyBorder="1" applyAlignment="1"/>
    <xf numFmtId="176" fontId="6" fillId="16" borderId="196" xfId="4" applyNumberFormat="1" applyFont="1" applyFill="1" applyBorder="1" applyAlignment="1">
      <alignment vertical="top"/>
    </xf>
    <xf numFmtId="14" fontId="6" fillId="16" borderId="188" xfId="3" applyNumberFormat="1" applyFont="1" applyFill="1" applyBorder="1" applyAlignment="1"/>
    <xf numFmtId="4" fontId="6" fillId="16" borderId="197" xfId="4" applyNumberFormat="1" applyFont="1" applyFill="1" applyBorder="1" applyAlignment="1">
      <alignment vertical="top"/>
    </xf>
    <xf numFmtId="0" fontId="13" fillId="16" borderId="192" xfId="3" applyFont="1" applyFill="1" applyBorder="1" applyAlignment="1">
      <alignment horizontal="right" wrapText="1"/>
    </xf>
    <xf numFmtId="0" fontId="13" fillId="16" borderId="192" xfId="0" applyFont="1" applyFill="1" applyBorder="1" applyAlignment="1">
      <alignment horizontal="center" vertical="center"/>
    </xf>
    <xf numFmtId="176" fontId="6" fillId="16" borderId="198" xfId="4" applyNumberFormat="1" applyFont="1" applyFill="1" applyBorder="1" applyAlignment="1">
      <alignment vertical="top"/>
    </xf>
    <xf numFmtId="176" fontId="6" fillId="16" borderId="199" xfId="4" applyNumberFormat="1" applyFont="1" applyFill="1" applyBorder="1" applyAlignment="1">
      <alignment vertical="top"/>
    </xf>
    <xf numFmtId="14" fontId="6" fillId="16" borderId="200" xfId="3" applyNumberFormat="1" applyFont="1" applyFill="1" applyBorder="1" applyAlignment="1"/>
    <xf numFmtId="14" fontId="6" fillId="16" borderId="201" xfId="3" applyNumberFormat="1" applyFont="1" applyFill="1" applyBorder="1" applyAlignment="1"/>
    <xf numFmtId="0" fontId="13" fillId="0" borderId="126" xfId="3" applyFont="1" applyBorder="1" applyAlignment="1">
      <alignment horizontal="center"/>
    </xf>
    <xf numFmtId="0" fontId="13" fillId="0" borderId="0" xfId="0" applyFont="1" applyAlignment="1">
      <alignment horizontal="left"/>
    </xf>
    <xf numFmtId="4" fontId="6" fillId="16" borderId="202" xfId="4" applyNumberFormat="1" applyFont="1" applyFill="1" applyBorder="1" applyAlignment="1">
      <alignment vertical="top"/>
    </xf>
    <xf numFmtId="0" fontId="14" fillId="4" borderId="21" xfId="0" applyFont="1" applyFill="1" applyBorder="1" applyAlignment="1">
      <alignment horizontal="center" vertical="center" wrapText="1"/>
    </xf>
    <xf numFmtId="176" fontId="6" fillId="3" borderId="29" xfId="3" applyNumberFormat="1" applyFont="1" applyFill="1" applyBorder="1" applyAlignment="1">
      <alignment horizontal="center"/>
    </xf>
    <xf numFmtId="176" fontId="13" fillId="3" borderId="29" xfId="3" applyNumberFormat="1" applyFont="1" applyFill="1" applyBorder="1" applyAlignment="1">
      <alignment horizontal="center"/>
    </xf>
    <xf numFmtId="0" fontId="9" fillId="30" borderId="29" xfId="3" applyFont="1" applyFill="1" applyBorder="1"/>
    <xf numFmtId="0" fontId="9" fillId="30" borderId="14" xfId="3" applyFont="1" applyFill="1" applyBorder="1"/>
    <xf numFmtId="0" fontId="11" fillId="4" borderId="204" xfId="0" applyFont="1" applyFill="1" applyBorder="1" applyAlignment="1">
      <alignment horizontal="center" vertical="center"/>
    </xf>
    <xf numFmtId="0" fontId="5" fillId="10" borderId="185" xfId="0" applyFont="1" applyFill="1" applyBorder="1" applyAlignment="1">
      <alignment horizontal="left"/>
    </xf>
    <xf numFmtId="0" fontId="5" fillId="10" borderId="205" xfId="0" applyFont="1" applyFill="1" applyBorder="1" applyAlignment="1">
      <alignment horizontal="left"/>
    </xf>
    <xf numFmtId="193" fontId="5" fillId="4" borderId="207" xfId="1" applyNumberFormat="1" applyFont="1" applyFill="1" applyBorder="1" applyAlignment="1">
      <alignment horizontal="right"/>
    </xf>
    <xf numFmtId="0" fontId="11" fillId="4" borderId="206" xfId="0" applyFont="1" applyFill="1" applyBorder="1" applyAlignment="1">
      <alignment horizontal="center" vertical="center" wrapText="1"/>
    </xf>
    <xf numFmtId="0" fontId="22" fillId="5" borderId="106" xfId="0" applyFont="1" applyFill="1" applyBorder="1" applyAlignment="1">
      <alignment horizontal="center"/>
    </xf>
    <xf numFmtId="0" fontId="22" fillId="5" borderId="112" xfId="0" applyFont="1" applyFill="1" applyBorder="1" applyAlignment="1">
      <alignment horizontal="center"/>
    </xf>
    <xf numFmtId="0" fontId="23" fillId="12" borderId="203" xfId="0" applyFont="1" applyFill="1" applyBorder="1" applyAlignment="1">
      <alignment horizontal="center"/>
    </xf>
    <xf numFmtId="0" fontId="23" fillId="12" borderId="208" xfId="0" applyFont="1" applyFill="1" applyBorder="1" applyAlignment="1">
      <alignment horizontal="left"/>
    </xf>
    <xf numFmtId="0" fontId="23" fillId="12" borderId="164" xfId="0" applyFont="1" applyFill="1" applyBorder="1" applyAlignment="1">
      <alignment horizontal="center"/>
    </xf>
    <xf numFmtId="0" fontId="23" fillId="12" borderId="167" xfId="0" applyFont="1" applyFill="1" applyBorder="1" applyAlignment="1">
      <alignment horizontal="left"/>
    </xf>
    <xf numFmtId="0" fontId="42" fillId="0" borderId="0" xfId="3" applyFont="1"/>
    <xf numFmtId="0" fontId="23" fillId="12" borderId="181" xfId="0" applyFont="1" applyFill="1" applyBorder="1" applyAlignment="1">
      <alignment horizontal="left"/>
    </xf>
    <xf numFmtId="0" fontId="23" fillId="10" borderId="203" xfId="0" applyFont="1" applyFill="1" applyBorder="1" applyAlignment="1">
      <alignment horizontal="center"/>
    </xf>
    <xf numFmtId="0" fontId="23" fillId="10" borderId="208" xfId="0" applyFont="1" applyFill="1" applyBorder="1" applyAlignment="1">
      <alignment horizontal="left"/>
    </xf>
    <xf numFmtId="176" fontId="5" fillId="31" borderId="29" xfId="3" applyNumberFormat="1" applyFont="1" applyFill="1" applyBorder="1" applyAlignment="1">
      <alignment horizontal="center"/>
    </xf>
    <xf numFmtId="0" fontId="23" fillId="12" borderId="180" xfId="0" applyFont="1" applyFill="1" applyBorder="1" applyAlignment="1">
      <alignment horizontal="center"/>
    </xf>
    <xf numFmtId="14" fontId="31" fillId="19" borderId="210" xfId="0" applyNumberFormat="1" applyFont="1" applyFill="1" applyBorder="1" applyAlignment="1">
      <alignment horizontal="right"/>
    </xf>
    <xf numFmtId="0" fontId="5" fillId="0" borderId="211" xfId="0" applyFont="1" applyFill="1" applyBorder="1" applyAlignment="1">
      <alignment horizontal="left"/>
    </xf>
    <xf numFmtId="0" fontId="5" fillId="0" borderId="212" xfId="0" applyFont="1" applyFill="1" applyBorder="1" applyAlignment="1">
      <alignment horizontal="left"/>
    </xf>
    <xf numFmtId="0" fontId="5" fillId="9" borderId="212" xfId="0" applyFont="1" applyFill="1" applyBorder="1" applyAlignment="1">
      <alignment horizontal="center"/>
    </xf>
    <xf numFmtId="0" fontId="5" fillId="7" borderId="212" xfId="0" applyFont="1" applyFill="1" applyBorder="1" applyAlignment="1">
      <alignment horizontal="left"/>
    </xf>
    <xf numFmtId="193" fontId="5" fillId="4" borderId="213" xfId="1" applyNumberFormat="1" applyFont="1" applyFill="1" applyBorder="1" applyAlignment="1">
      <alignment horizontal="right"/>
    </xf>
    <xf numFmtId="14" fontId="11" fillId="3" borderId="8" xfId="0" applyNumberFormat="1" applyFont="1" applyFill="1" applyBorder="1" applyAlignment="1">
      <alignment horizontal="center" vertical="center" wrapText="1"/>
    </xf>
    <xf numFmtId="0" fontId="107" fillId="3" borderId="67" xfId="3" applyFont="1" applyFill="1" applyBorder="1" applyAlignment="1">
      <alignment vertical="center"/>
    </xf>
    <xf numFmtId="0" fontId="107" fillId="3" borderId="3" xfId="3" applyFont="1" applyFill="1" applyBorder="1" applyAlignment="1">
      <alignment horizontal="right"/>
    </xf>
    <xf numFmtId="14" fontId="108" fillId="2" borderId="4" xfId="4" applyNumberFormat="1" applyFont="1" applyFill="1" applyBorder="1" applyAlignment="1">
      <alignment horizontal="center" vertical="center"/>
    </xf>
    <xf numFmtId="14" fontId="108" fillId="2" borderId="24" xfId="4" applyNumberFormat="1" applyFont="1" applyFill="1" applyBorder="1" applyAlignment="1">
      <alignment horizontal="center" vertical="center"/>
    </xf>
    <xf numFmtId="0" fontId="107" fillId="3" borderId="3" xfId="3" applyFont="1" applyFill="1" applyBorder="1" applyAlignment="1">
      <alignment horizontal="right" vertical="center"/>
    </xf>
    <xf numFmtId="14" fontId="108" fillId="2" borderId="3" xfId="4" applyNumberFormat="1" applyFont="1" applyFill="1" applyBorder="1" applyAlignment="1">
      <alignment horizontal="center" vertical="center"/>
    </xf>
    <xf numFmtId="176" fontId="5" fillId="3" borderId="215" xfId="3" applyNumberFormat="1" applyFont="1" applyFill="1" applyBorder="1" applyAlignment="1">
      <alignment horizontal="right"/>
    </xf>
    <xf numFmtId="176" fontId="5" fillId="3" borderId="216" xfId="3" applyNumberFormat="1" applyFont="1" applyFill="1" applyBorder="1" applyAlignment="1">
      <alignment horizontal="right"/>
    </xf>
    <xf numFmtId="14" fontId="109" fillId="32" borderId="24" xfId="4" applyNumberFormat="1" applyFont="1" applyFill="1" applyBorder="1" applyAlignment="1">
      <alignment horizontal="center" vertical="center"/>
    </xf>
    <xf numFmtId="184" fontId="110" fillId="25" borderId="218" xfId="0" applyNumberFormat="1" applyFont="1" applyFill="1" applyBorder="1" applyAlignment="1">
      <alignment horizontal="center" vertical="center"/>
    </xf>
    <xf numFmtId="184" fontId="110" fillId="25" borderId="219" xfId="0" applyNumberFormat="1" applyFont="1" applyFill="1" applyBorder="1" applyAlignment="1">
      <alignment horizontal="center" vertical="center"/>
    </xf>
    <xf numFmtId="14" fontId="5" fillId="0" borderId="0" xfId="3" applyNumberFormat="1" applyFont="1" applyFill="1" applyAlignment="1">
      <alignment horizontal="center"/>
    </xf>
    <xf numFmtId="14" fontId="11" fillId="8" borderId="91" xfId="0" applyNumberFormat="1" applyFont="1" applyFill="1" applyBorder="1" applyAlignment="1">
      <alignment horizontal="center" vertical="center"/>
    </xf>
    <xf numFmtId="14" fontId="5" fillId="8" borderId="99" xfId="0" applyNumberFormat="1" applyFont="1" applyFill="1" applyBorder="1" applyAlignment="1">
      <alignment horizontal="right"/>
    </xf>
    <xf numFmtId="14" fontId="5" fillId="8" borderId="155" xfId="0" applyNumberFormat="1" applyFont="1" applyFill="1" applyBorder="1" applyAlignment="1">
      <alignment horizontal="right"/>
    </xf>
    <xf numFmtId="14" fontId="5" fillId="0" borderId="0" xfId="3" applyNumberFormat="1" applyFont="1" applyFill="1" applyAlignment="1">
      <alignment horizontal="right"/>
    </xf>
    <xf numFmtId="41" fontId="0" fillId="0" borderId="0" xfId="0" applyNumberFormat="1">
      <alignment vertical="center"/>
    </xf>
    <xf numFmtId="43" fontId="0" fillId="0" borderId="0" xfId="0" applyNumberFormat="1">
      <alignment vertical="center"/>
    </xf>
    <xf numFmtId="9" fontId="0" fillId="0" borderId="0" xfId="2" applyFont="1">
      <alignment vertical="center"/>
    </xf>
    <xf numFmtId="10" fontId="0" fillId="0" borderId="0" xfId="2" applyNumberFormat="1" applyFont="1">
      <alignment vertical="center"/>
    </xf>
    <xf numFmtId="0" fontId="5" fillId="0" borderId="181" xfId="3" applyFont="1" applyFill="1" applyBorder="1"/>
    <xf numFmtId="0" fontId="2" fillId="0" borderId="181" xfId="3" applyFill="1" applyBorder="1"/>
    <xf numFmtId="0" fontId="2" fillId="15" borderId="181" xfId="3" applyFill="1" applyBorder="1"/>
    <xf numFmtId="0" fontId="2" fillId="0" borderId="220" xfId="3" applyFill="1" applyBorder="1"/>
    <xf numFmtId="0" fontId="2" fillId="15" borderId="220" xfId="3" applyFill="1" applyBorder="1"/>
    <xf numFmtId="178" fontId="111" fillId="2" borderId="2" xfId="4" applyNumberFormat="1" applyFont="1" applyFill="1" applyBorder="1" applyAlignment="1">
      <alignment horizontal="center" vertical="center"/>
    </xf>
    <xf numFmtId="49" fontId="49" fillId="20" borderId="225" xfId="3" applyNumberFormat="1" applyFont="1" applyFill="1" applyBorder="1" applyAlignment="1">
      <alignment horizontal="center" vertical="center" wrapText="1"/>
    </xf>
    <xf numFmtId="49" fontId="49" fillId="20" borderId="226" xfId="3" applyNumberFormat="1" applyFont="1" applyFill="1" applyBorder="1" applyAlignment="1">
      <alignment horizontal="center" vertical="center" wrapText="1"/>
    </xf>
    <xf numFmtId="0" fontId="20" fillId="0" borderId="181" xfId="3" applyFont="1" applyBorder="1"/>
    <xf numFmtId="0" fontId="6" fillId="0" borderId="181" xfId="3" applyFont="1" applyFill="1" applyBorder="1"/>
    <xf numFmtId="0" fontId="20" fillId="0" borderId="181" xfId="3" applyFont="1" applyFill="1" applyBorder="1"/>
    <xf numFmtId="49" fontId="9" fillId="0" borderId="181" xfId="3" applyNumberFormat="1" applyFont="1" applyBorder="1" applyAlignment="1" applyProtection="1">
      <alignment horizontal="left" vertical="center"/>
      <protection locked="0"/>
    </xf>
    <xf numFmtId="49" fontId="21" fillId="0" borderId="181" xfId="3" applyNumberFormat="1" applyFont="1" applyFill="1" applyBorder="1" applyAlignment="1" applyProtection="1">
      <alignment horizontal="left" vertical="center"/>
      <protection locked="0"/>
    </xf>
    <xf numFmtId="0" fontId="21" fillId="0" borderId="181" xfId="3" applyFont="1" applyFill="1" applyBorder="1"/>
    <xf numFmtId="49" fontId="9" fillId="0" borderId="181" xfId="3" applyNumberFormat="1" applyFont="1" applyFill="1" applyBorder="1" applyAlignment="1" applyProtection="1">
      <alignment horizontal="left" vertical="center"/>
      <protection locked="0"/>
    </xf>
    <xf numFmtId="0" fontId="2" fillId="0" borderId="181" xfId="3" applyFont="1" applyFill="1" applyBorder="1"/>
    <xf numFmtId="0" fontId="5" fillId="0" borderId="181" xfId="3" applyFont="1" applyBorder="1"/>
    <xf numFmtId="0" fontId="19" fillId="0" borderId="181" xfId="3" applyFont="1" applyFill="1" applyBorder="1"/>
    <xf numFmtId="0" fontId="2" fillId="10" borderId="181" xfId="3" applyFill="1" applyBorder="1"/>
    <xf numFmtId="0" fontId="20" fillId="0" borderId="220" xfId="3" applyFont="1" applyFill="1" applyBorder="1"/>
    <xf numFmtId="0" fontId="2" fillId="0" borderId="220" xfId="3" applyFont="1" applyFill="1" applyBorder="1"/>
    <xf numFmtId="49" fontId="9" fillId="0" borderId="230" xfId="3" applyNumberFormat="1" applyFont="1" applyBorder="1" applyAlignment="1" applyProtection="1">
      <alignment horizontal="left" vertical="center"/>
      <protection locked="0"/>
    </xf>
    <xf numFmtId="49" fontId="21" fillId="0" borderId="230" xfId="3" applyNumberFormat="1" applyFont="1" applyFill="1" applyBorder="1" applyAlignment="1" applyProtection="1">
      <alignment horizontal="left" vertical="center"/>
      <protection locked="0"/>
    </xf>
    <xf numFmtId="0" fontId="2" fillId="15" borderId="230" xfId="3" applyFill="1" applyBorder="1"/>
    <xf numFmtId="41" fontId="112" fillId="0" borderId="181" xfId="1" applyFont="1" applyBorder="1">
      <alignment vertical="center"/>
    </xf>
    <xf numFmtId="41" fontId="112" fillId="0" borderId="209" xfId="1" applyFont="1" applyBorder="1">
      <alignment vertical="center"/>
    </xf>
    <xf numFmtId="41" fontId="112" fillId="0" borderId="181" xfId="1" applyFont="1" applyFill="1" applyBorder="1">
      <alignment vertical="center"/>
    </xf>
    <xf numFmtId="41" fontId="112" fillId="0" borderId="209" xfId="1" applyFont="1" applyFill="1" applyBorder="1">
      <alignment vertical="center"/>
    </xf>
    <xf numFmtId="41" fontId="112" fillId="0" borderId="220" xfId="1" applyFont="1" applyBorder="1">
      <alignment vertical="center"/>
    </xf>
    <xf numFmtId="41" fontId="112" fillId="0" borderId="210" xfId="1" applyFont="1" applyBorder="1">
      <alignment vertical="center"/>
    </xf>
    <xf numFmtId="41" fontId="112" fillId="0" borderId="230" xfId="1" applyFont="1" applyBorder="1">
      <alignment vertical="center"/>
    </xf>
    <xf numFmtId="41" fontId="112" fillId="0" borderId="231" xfId="1" applyFont="1" applyBorder="1">
      <alignment vertical="center"/>
    </xf>
    <xf numFmtId="0" fontId="43" fillId="0" borderId="181" xfId="3" applyFont="1" applyFill="1" applyBorder="1"/>
    <xf numFmtId="41" fontId="12" fillId="33" borderId="236" xfId="1" applyFont="1" applyFill="1" applyBorder="1">
      <alignment vertical="center"/>
    </xf>
    <xf numFmtId="41" fontId="12" fillId="33" borderId="233" xfId="1" applyFont="1" applyFill="1" applyBorder="1">
      <alignment vertical="center"/>
    </xf>
    <xf numFmtId="41" fontId="50" fillId="33" borderId="234" xfId="0" applyNumberFormat="1" applyFont="1" applyFill="1" applyBorder="1" applyAlignment="1">
      <alignment horizontal="left" vertical="center"/>
    </xf>
    <xf numFmtId="41" fontId="12" fillId="33" borderId="235" xfId="1" applyFont="1" applyFill="1" applyBorder="1">
      <alignment vertical="center"/>
    </xf>
    <xf numFmtId="0" fontId="2" fillId="33" borderId="234" xfId="3" applyFill="1" applyBorder="1"/>
    <xf numFmtId="0" fontId="5" fillId="0" borderId="220" xfId="3" applyFont="1" applyBorder="1"/>
    <xf numFmtId="41" fontId="50" fillId="24" borderId="234" xfId="0" applyNumberFormat="1" applyFont="1" applyFill="1" applyBorder="1" applyAlignment="1">
      <alignment horizontal="left" vertical="center"/>
    </xf>
    <xf numFmtId="0" fontId="2" fillId="24" borderId="234" xfId="3" applyFill="1" applyBorder="1"/>
    <xf numFmtId="41" fontId="12" fillId="24" borderId="235" xfId="1" applyFont="1" applyFill="1" applyBorder="1">
      <alignment vertical="center"/>
    </xf>
    <xf numFmtId="41" fontId="12" fillId="24" borderId="236" xfId="1" applyFont="1" applyFill="1" applyBorder="1">
      <alignment vertical="center"/>
    </xf>
    <xf numFmtId="41" fontId="12" fillId="24" borderId="233" xfId="1" applyFont="1" applyFill="1" applyBorder="1">
      <alignment vertical="center"/>
    </xf>
    <xf numFmtId="0" fontId="113" fillId="34" borderId="237" xfId="0" applyFont="1" applyFill="1" applyBorder="1" applyAlignment="1">
      <alignment horizontal="center" vertical="center"/>
    </xf>
    <xf numFmtId="10" fontId="113" fillId="2" borderId="181" xfId="2" applyNumberFormat="1" applyFont="1" applyFill="1" applyBorder="1" applyAlignment="1">
      <alignment vertical="center"/>
    </xf>
    <xf numFmtId="10" fontId="115" fillId="34" borderId="181" xfId="2" applyNumberFormat="1" applyFont="1" applyFill="1" applyBorder="1" applyAlignment="1"/>
    <xf numFmtId="0" fontId="113" fillId="34" borderId="181" xfId="0" applyFont="1" applyFill="1" applyBorder="1" applyAlignment="1">
      <alignment horizontal="center"/>
    </xf>
    <xf numFmtId="0" fontId="113" fillId="34" borderId="238" xfId="0" applyFont="1" applyFill="1" applyBorder="1" applyAlignment="1">
      <alignment horizontal="center" vertical="center"/>
    </xf>
    <xf numFmtId="10" fontId="113" fillId="2" borderId="220" xfId="2" applyNumberFormat="1" applyFont="1" applyFill="1" applyBorder="1" applyAlignment="1">
      <alignment vertical="center"/>
    </xf>
    <xf numFmtId="10" fontId="115" fillId="34" borderId="220" xfId="2" applyNumberFormat="1" applyFont="1" applyFill="1" applyBorder="1" applyAlignment="1"/>
    <xf numFmtId="0" fontId="113" fillId="34" borderId="220" xfId="0" applyFont="1" applyFill="1" applyBorder="1" applyAlignment="1">
      <alignment horizontal="center"/>
    </xf>
    <xf numFmtId="0" fontId="6" fillId="16" borderId="181" xfId="3" applyFont="1" applyFill="1" applyBorder="1" applyAlignment="1">
      <alignment vertical="center"/>
    </xf>
    <xf numFmtId="0" fontId="42" fillId="16" borderId="181" xfId="3" applyFont="1" applyFill="1" applyBorder="1"/>
    <xf numFmtId="184" fontId="110" fillId="25" borderId="240" xfId="0" applyNumberFormat="1" applyFont="1" applyFill="1" applyBorder="1" applyAlignment="1">
      <alignment horizontal="center" vertical="center"/>
    </xf>
    <xf numFmtId="0" fontId="11" fillId="4" borderId="239" xfId="0" applyFont="1" applyFill="1" applyBorder="1" applyAlignment="1">
      <alignment horizontal="center" vertical="center" wrapText="1"/>
    </xf>
    <xf numFmtId="0" fontId="2" fillId="15" borderId="221" xfId="3" applyFill="1" applyBorder="1"/>
    <xf numFmtId="41" fontId="112" fillId="0" borderId="232" xfId="1" applyFont="1" applyBorder="1">
      <alignment vertical="center"/>
    </xf>
    <xf numFmtId="41" fontId="112" fillId="0" borderId="51" xfId="1" applyFont="1" applyBorder="1">
      <alignment vertical="center"/>
    </xf>
    <xf numFmtId="176" fontId="116" fillId="3" borderId="68" xfId="4" applyNumberFormat="1" applyFont="1" applyFill="1" applyBorder="1" applyAlignment="1">
      <alignment horizontal="center" vertical="center" wrapText="1"/>
    </xf>
    <xf numFmtId="176" fontId="116" fillId="3" borderId="68" xfId="4" applyNumberFormat="1" applyFont="1" applyFill="1" applyBorder="1" applyAlignment="1">
      <alignment horizontal="center" vertical="top" wrapText="1"/>
    </xf>
    <xf numFmtId="176" fontId="116" fillId="3" borderId="214" xfId="4" applyNumberFormat="1" applyFont="1" applyFill="1" applyBorder="1" applyAlignment="1">
      <alignment horizontal="center" vertical="top" wrapText="1"/>
    </xf>
    <xf numFmtId="176" fontId="116" fillId="3" borderId="69" xfId="4" applyNumberFormat="1" applyFont="1" applyFill="1" applyBorder="1" applyAlignment="1">
      <alignment horizontal="center" vertical="top" wrapText="1"/>
    </xf>
    <xf numFmtId="178" fontId="117" fillId="2" borderId="2" xfId="4" applyNumberFormat="1" applyFont="1" applyFill="1" applyBorder="1" applyAlignment="1">
      <alignment horizontal="center" vertical="center"/>
    </xf>
    <xf numFmtId="0" fontId="113" fillId="9" borderId="217" xfId="0" applyFont="1" applyFill="1" applyBorder="1" applyAlignment="1">
      <alignment horizontal="center" vertical="center" wrapText="1"/>
    </xf>
    <xf numFmtId="10" fontId="113" fillId="2" borderId="219" xfId="2" applyNumberFormat="1" applyFont="1" applyFill="1" applyBorder="1" applyAlignment="1">
      <alignment vertical="center"/>
    </xf>
    <xf numFmtId="0" fontId="113" fillId="9" borderId="224" xfId="0" applyFont="1" applyFill="1" applyBorder="1" applyAlignment="1">
      <alignment horizontal="center" vertical="center"/>
    </xf>
    <xf numFmtId="0" fontId="113" fillId="9" borderId="241" xfId="0" applyFont="1" applyFill="1" applyBorder="1" applyAlignment="1">
      <alignment horizontal="center" vertical="center"/>
    </xf>
    <xf numFmtId="0" fontId="113" fillId="9" borderId="225" xfId="0" applyFont="1" applyFill="1" applyBorder="1" applyAlignment="1">
      <alignment horizontal="center" vertical="center" wrapText="1"/>
    </xf>
    <xf numFmtId="0" fontId="114" fillId="9" borderId="225" xfId="0" applyFont="1" applyFill="1" applyBorder="1" applyAlignment="1">
      <alignment horizontal="center"/>
    </xf>
    <xf numFmtId="0" fontId="113" fillId="9" borderId="225" xfId="0" applyFont="1" applyFill="1" applyBorder="1" applyAlignment="1">
      <alignment horizontal="center" wrapText="1"/>
    </xf>
    <xf numFmtId="0" fontId="114" fillId="9" borderId="225" xfId="0" applyFont="1" applyFill="1" applyBorder="1" applyAlignment="1">
      <alignment horizontal="center" wrapText="1"/>
    </xf>
    <xf numFmtId="0" fontId="113" fillId="9" borderId="226" xfId="0" applyFont="1" applyFill="1" applyBorder="1" applyAlignment="1">
      <alignment horizontal="center" wrapText="1"/>
    </xf>
    <xf numFmtId="0" fontId="113" fillId="34" borderId="209" xfId="0" applyFont="1" applyFill="1" applyBorder="1" applyAlignment="1">
      <alignment horizontal="center"/>
    </xf>
    <xf numFmtId="0" fontId="113" fillId="34" borderId="210" xfId="0" applyFont="1" applyFill="1" applyBorder="1" applyAlignment="1">
      <alignment horizontal="center"/>
    </xf>
    <xf numFmtId="0" fontId="113" fillId="34" borderId="245" xfId="0" applyFont="1" applyFill="1" applyBorder="1" applyAlignment="1">
      <alignment horizontal="center" vertical="center"/>
    </xf>
    <xf numFmtId="10" fontId="113" fillId="2" borderId="227" xfId="2" applyNumberFormat="1" applyFont="1" applyFill="1" applyBorder="1" applyAlignment="1">
      <alignment vertical="center"/>
    </xf>
    <xf numFmtId="10" fontId="115" fillId="34" borderId="227" xfId="2" applyNumberFormat="1" applyFont="1" applyFill="1" applyBorder="1" applyAlignment="1"/>
    <xf numFmtId="0" fontId="113" fillId="34" borderId="227" xfId="0" applyFont="1" applyFill="1" applyBorder="1" applyAlignment="1">
      <alignment horizontal="center"/>
    </xf>
    <xf numFmtId="0" fontId="113" fillId="34" borderId="228" xfId="0" applyFont="1" applyFill="1" applyBorder="1" applyAlignment="1">
      <alignment horizontal="center"/>
    </xf>
    <xf numFmtId="43" fontId="0" fillId="0" borderId="0" xfId="0" applyNumberFormat="1" applyFill="1">
      <alignment vertical="center"/>
    </xf>
    <xf numFmtId="184" fontId="118" fillId="25" borderId="246" xfId="0" applyNumberFormat="1" applyFont="1" applyFill="1" applyBorder="1" applyAlignment="1">
      <alignment horizontal="center" vertical="center"/>
    </xf>
    <xf numFmtId="41" fontId="41" fillId="33" borderId="118" xfId="1" applyFont="1" applyFill="1" applyBorder="1">
      <alignment vertical="center"/>
    </xf>
    <xf numFmtId="41" fontId="41" fillId="33" borderId="120" xfId="1" applyFont="1" applyFill="1" applyBorder="1">
      <alignment vertical="center"/>
    </xf>
    <xf numFmtId="0" fontId="51" fillId="3" borderId="223" xfId="3" applyFont="1" applyFill="1" applyBorder="1" applyAlignment="1">
      <alignment horizontal="center"/>
    </xf>
    <xf numFmtId="0" fontId="50" fillId="3" borderId="137" xfId="0" applyFont="1" applyFill="1" applyBorder="1" applyAlignment="1">
      <alignment horizontal="center" vertical="center"/>
    </xf>
    <xf numFmtId="0" fontId="5" fillId="3" borderId="137" xfId="3" applyFont="1" applyFill="1" applyBorder="1"/>
    <xf numFmtId="0" fontId="2" fillId="3" borderId="137" xfId="3" applyFill="1" applyBorder="1"/>
    <xf numFmtId="41" fontId="112" fillId="3" borderId="137" xfId="1" applyFont="1" applyFill="1" applyBorder="1">
      <alignment vertical="center"/>
    </xf>
    <xf numFmtId="41" fontId="112" fillId="3" borderId="229" xfId="1" applyFont="1" applyFill="1" applyBorder="1">
      <alignment vertical="center"/>
    </xf>
    <xf numFmtId="0" fontId="50" fillId="16" borderId="225" xfId="0" applyFont="1" applyFill="1" applyBorder="1" applyAlignment="1">
      <alignment horizontal="center" vertical="center"/>
    </xf>
    <xf numFmtId="0" fontId="20" fillId="16" borderId="225" xfId="3" applyFont="1" applyFill="1" applyBorder="1"/>
    <xf numFmtId="0" fontId="2" fillId="16" borderId="225" xfId="3" applyFill="1" applyBorder="1"/>
    <xf numFmtId="41" fontId="112" fillId="16" borderId="225" xfId="1" applyFont="1" applyFill="1" applyBorder="1">
      <alignment vertical="center"/>
    </xf>
    <xf numFmtId="41" fontId="112" fillId="16" borderId="226" xfId="1" applyFont="1" applyFill="1" applyBorder="1">
      <alignment vertical="center"/>
    </xf>
    <xf numFmtId="0" fontId="20" fillId="16" borderId="181" xfId="3" applyFont="1" applyFill="1" applyBorder="1"/>
    <xf numFmtId="0" fontId="2" fillId="16" borderId="181" xfId="3" applyFill="1" applyBorder="1"/>
    <xf numFmtId="41" fontId="112" fillId="16" borderId="181" xfId="1" applyFont="1" applyFill="1" applyBorder="1">
      <alignment vertical="center"/>
    </xf>
    <xf numFmtId="41" fontId="112" fillId="16" borderId="209" xfId="1" applyFont="1" applyFill="1" applyBorder="1">
      <alignment vertical="center"/>
    </xf>
    <xf numFmtId="0" fontId="2" fillId="16" borderId="181" xfId="3" applyFont="1" applyFill="1" applyBorder="1"/>
    <xf numFmtId="0" fontId="5" fillId="16" borderId="181" xfId="3" applyFont="1" applyFill="1" applyBorder="1" applyAlignment="1">
      <alignment vertical="center"/>
    </xf>
    <xf numFmtId="0" fontId="5" fillId="16" borderId="181" xfId="3" applyFont="1" applyFill="1" applyBorder="1"/>
    <xf numFmtId="0" fontId="21" fillId="16" borderId="181" xfId="3" applyFont="1" applyFill="1" applyBorder="1"/>
    <xf numFmtId="0" fontId="50" fillId="16" borderId="137" xfId="0" applyFont="1" applyFill="1" applyBorder="1" applyAlignment="1">
      <alignment horizontal="center" vertical="center"/>
    </xf>
    <xf numFmtId="0" fontId="5" fillId="16" borderId="227" xfId="3" applyFont="1" applyFill="1" applyBorder="1"/>
    <xf numFmtId="0" fontId="2" fillId="16" borderId="227" xfId="3" applyFill="1" applyBorder="1"/>
    <xf numFmtId="41" fontId="112" fillId="16" borderId="227" xfId="1" applyFont="1" applyFill="1" applyBorder="1">
      <alignment vertical="center"/>
    </xf>
    <xf numFmtId="41" fontId="112" fillId="16" borderId="228" xfId="1" applyFont="1" applyFill="1" applyBorder="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77" fontId="0" fillId="0" borderId="0" xfId="0" applyNumberFormat="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41" fontId="0" fillId="0" borderId="0" xfId="0" applyNumberFormat="1" applyFill="1">
      <alignment vertical="center"/>
    </xf>
    <xf numFmtId="194" fontId="0" fillId="0" borderId="0" xfId="0" applyNumberFormat="1">
      <alignment vertical="center"/>
    </xf>
    <xf numFmtId="14" fontId="4" fillId="0" borderId="0" xfId="3" applyNumberFormat="1" applyFont="1"/>
    <xf numFmtId="0" fontId="2" fillId="0" borderId="0" xfId="3" applyNumberFormat="1"/>
    <xf numFmtId="14" fontId="103" fillId="0" borderId="0" xfId="3" applyNumberFormat="1" applyFont="1"/>
    <xf numFmtId="178" fontId="50" fillId="0" borderId="0" xfId="0" applyNumberFormat="1" applyFont="1">
      <alignment vertical="center"/>
    </xf>
    <xf numFmtId="43" fontId="77" fillId="26" borderId="105" xfId="8" applyNumberFormat="1" applyFont="1" applyFill="1" applyBorder="1" applyAlignment="1">
      <alignment horizontal="right" vertical="center"/>
    </xf>
    <xf numFmtId="195" fontId="77" fillId="26" borderId="145" xfId="8" applyNumberFormat="1" applyFont="1" applyFill="1" applyBorder="1" applyAlignment="1">
      <alignment horizontal="right" vertical="center"/>
    </xf>
    <xf numFmtId="184" fontId="77" fillId="26" borderId="145" xfId="8" applyNumberFormat="1" applyFont="1" applyFill="1" applyBorder="1" applyAlignment="1">
      <alignment horizontal="right" vertical="center"/>
    </xf>
    <xf numFmtId="179" fontId="12" fillId="8" borderId="115" xfId="0" applyNumberFormat="1" applyFont="1" applyFill="1" applyBorder="1" applyAlignment="1">
      <alignment horizontal="center" vertical="center"/>
    </xf>
    <xf numFmtId="195" fontId="77" fillId="28" borderId="175" xfId="9" applyNumberFormat="1" applyFont="1" applyFill="1" applyBorder="1" applyAlignment="1">
      <alignment horizontal="right" vertical="center"/>
    </xf>
    <xf numFmtId="195" fontId="77" fillId="28" borderId="150" xfId="9" applyNumberFormat="1" applyFont="1" applyFill="1" applyBorder="1" applyAlignment="1">
      <alignment horizontal="right" vertical="center"/>
    </xf>
    <xf numFmtId="0" fontId="23" fillId="12" borderId="187" xfId="0" applyFont="1" applyFill="1" applyBorder="1" applyAlignment="1">
      <alignment horizontal="center"/>
    </xf>
    <xf numFmtId="0" fontId="23" fillId="12" borderId="187" xfId="0" applyFont="1" applyFill="1" applyBorder="1" applyAlignment="1">
      <alignment horizontal="left"/>
    </xf>
    <xf numFmtId="0" fontId="2" fillId="25" borderId="0" xfId="3" applyFill="1"/>
    <xf numFmtId="14" fontId="9" fillId="2" borderId="4" xfId="4" applyNumberFormat="1" applyFont="1" applyFill="1" applyBorder="1" applyAlignment="1">
      <alignment horizontal="center" vertical="center"/>
    </xf>
    <xf numFmtId="14" fontId="9" fillId="2" borderId="24" xfId="4" applyNumberFormat="1" applyFont="1" applyFill="1" applyBorder="1" applyAlignment="1">
      <alignment horizontal="center" vertical="center"/>
    </xf>
    <xf numFmtId="0" fontId="5" fillId="0" borderId="0" xfId="0" applyFont="1" applyAlignment="1">
      <alignment horizontal="right"/>
    </xf>
    <xf numFmtId="0" fontId="6" fillId="0" borderId="0" xfId="0" applyFont="1" applyAlignment="1">
      <alignment horizontal="right"/>
    </xf>
    <xf numFmtId="9" fontId="6" fillId="0" borderId="249" xfId="0" applyNumberFormat="1" applyFont="1" applyBorder="1" applyAlignment="1">
      <alignment horizontal="center"/>
    </xf>
    <xf numFmtId="180" fontId="19" fillId="0" borderId="0" xfId="4" applyNumberFormat="1" applyFont="1" applyFill="1" applyAlignment="1">
      <alignment horizontal="right"/>
    </xf>
    <xf numFmtId="14" fontId="9" fillId="2" borderId="247" xfId="4" applyNumberFormat="1" applyFont="1" applyFill="1" applyBorder="1" applyAlignment="1">
      <alignment horizontal="center" vertical="center"/>
    </xf>
    <xf numFmtId="14" fontId="9" fillId="2" borderId="248" xfId="4" applyNumberFormat="1" applyFont="1" applyFill="1" applyBorder="1" applyAlignment="1">
      <alignment horizontal="center" vertical="center"/>
    </xf>
    <xf numFmtId="14" fontId="9" fillId="2" borderId="251" xfId="4" applyNumberFormat="1" applyFont="1" applyFill="1" applyBorder="1" applyAlignment="1">
      <alignment horizontal="center" vertical="center"/>
    </xf>
    <xf numFmtId="14" fontId="9" fillId="2" borderId="252" xfId="4" applyNumberFormat="1" applyFont="1" applyFill="1" applyBorder="1" applyAlignment="1">
      <alignment horizontal="center" vertical="center"/>
    </xf>
    <xf numFmtId="0" fontId="5" fillId="3" borderId="4" xfId="3" applyFont="1" applyFill="1" applyBorder="1" applyAlignment="1">
      <alignment horizontal="right"/>
    </xf>
    <xf numFmtId="0" fontId="5" fillId="3" borderId="251" xfId="3" applyFont="1" applyFill="1" applyBorder="1" applyAlignment="1">
      <alignment horizontal="right" vertical="center"/>
    </xf>
    <xf numFmtId="0" fontId="5" fillId="3" borderId="247" xfId="3" applyFont="1" applyFill="1" applyBorder="1" applyAlignment="1">
      <alignment horizontal="right"/>
    </xf>
    <xf numFmtId="176" fontId="5" fillId="0" borderId="187" xfId="4" applyNumberFormat="1" applyFont="1" applyBorder="1" applyAlignment="1">
      <alignment horizontal="center"/>
    </xf>
    <xf numFmtId="196" fontId="9" fillId="3" borderId="256" xfId="0" applyNumberFormat="1" applyFont="1" applyFill="1" applyBorder="1" applyAlignment="1">
      <alignment horizontal="center"/>
    </xf>
    <xf numFmtId="196" fontId="9" fillId="3" borderId="257" xfId="0" applyNumberFormat="1" applyFont="1" applyFill="1" applyBorder="1" applyAlignment="1">
      <alignment horizontal="center"/>
    </xf>
    <xf numFmtId="196" fontId="9" fillId="3" borderId="258" xfId="0" applyNumberFormat="1" applyFont="1" applyFill="1" applyBorder="1" applyAlignment="1">
      <alignment horizontal="center"/>
    </xf>
    <xf numFmtId="0" fontId="5" fillId="0" borderId="237" xfId="0" applyFont="1" applyBorder="1" applyAlignment="1">
      <alignment horizontal="right"/>
    </xf>
    <xf numFmtId="176" fontId="5" fillId="0" borderId="259" xfId="4" applyNumberFormat="1" applyFont="1" applyBorder="1" applyAlignment="1">
      <alignment horizontal="center"/>
    </xf>
    <xf numFmtId="0" fontId="113" fillId="34" borderId="242" xfId="0" applyFont="1" applyFill="1" applyBorder="1" applyAlignment="1">
      <alignment horizontal="center" vertical="center"/>
    </xf>
    <xf numFmtId="0" fontId="113" fillId="34" borderId="243" xfId="0" applyFont="1" applyFill="1" applyBorder="1" applyAlignment="1">
      <alignment horizontal="center" vertical="center"/>
    </xf>
    <xf numFmtId="0" fontId="113" fillId="34" borderId="244" xfId="0" applyFont="1" applyFill="1" applyBorder="1" applyAlignment="1">
      <alignment horizontal="center" vertical="center"/>
    </xf>
    <xf numFmtId="0" fontId="50" fillId="16" borderId="181" xfId="0" applyFont="1" applyFill="1" applyBorder="1" applyAlignment="1">
      <alignment horizontal="center" vertical="center"/>
    </xf>
    <xf numFmtId="0" fontId="50" fillId="16" borderId="222" xfId="0" applyFont="1" applyFill="1" applyBorder="1" applyAlignment="1">
      <alignment horizontal="center" vertical="center"/>
    </xf>
    <xf numFmtId="0" fontId="50" fillId="16" borderId="55" xfId="0" applyFont="1" applyFill="1" applyBorder="1" applyAlignment="1">
      <alignment horizontal="center" vertical="center"/>
    </xf>
    <xf numFmtId="0" fontId="50" fillId="16" borderId="223" xfId="0" applyFont="1" applyFill="1" applyBorder="1" applyAlignment="1">
      <alignment horizontal="center" vertical="center"/>
    </xf>
    <xf numFmtId="0" fontId="50" fillId="33" borderId="234" xfId="0" applyFont="1" applyFill="1" applyBorder="1" applyAlignment="1">
      <alignment horizontal="right" vertical="center"/>
    </xf>
    <xf numFmtId="0" fontId="50" fillId="24" borderId="234" xfId="0" applyFont="1" applyFill="1" applyBorder="1" applyAlignment="1">
      <alignment horizontal="right" vertical="center"/>
    </xf>
    <xf numFmtId="0" fontId="50" fillId="16" borderId="220" xfId="0" applyFont="1" applyFill="1" applyBorder="1" applyAlignment="1">
      <alignment horizontal="center" vertical="center"/>
    </xf>
    <xf numFmtId="0" fontId="50" fillId="16" borderId="62" xfId="0" applyFont="1" applyFill="1" applyBorder="1" applyAlignment="1">
      <alignment horizontal="center" vertical="center"/>
    </xf>
    <xf numFmtId="0" fontId="5" fillId="0" borderId="263" xfId="0" applyFont="1" applyBorder="1" applyAlignment="1">
      <alignment horizontal="right"/>
    </xf>
    <xf numFmtId="176" fontId="9" fillId="0" borderId="264" xfId="4" applyNumberFormat="1" applyFont="1" applyBorder="1" applyAlignment="1">
      <alignment horizontal="center"/>
    </xf>
    <xf numFmtId="176" fontId="5" fillId="0" borderId="264" xfId="4" applyNumberFormat="1" applyFont="1" applyBorder="1" applyAlignment="1">
      <alignment horizontal="center"/>
    </xf>
    <xf numFmtId="176" fontId="5" fillId="0" borderId="265" xfId="4" applyNumberFormat="1" applyFont="1" applyBorder="1" applyAlignment="1">
      <alignment horizontal="center"/>
    </xf>
    <xf numFmtId="0" fontId="5" fillId="0" borderId="266" xfId="0" applyFont="1" applyBorder="1" applyAlignment="1">
      <alignment horizontal="right"/>
    </xf>
    <xf numFmtId="176" fontId="5" fillId="0" borderId="51" xfId="4" applyNumberFormat="1" applyFont="1" applyFill="1" applyBorder="1" applyAlignment="1">
      <alignment horizontal="center"/>
    </xf>
    <xf numFmtId="176" fontId="5" fillId="16" borderId="51" xfId="4" applyNumberFormat="1" applyFont="1" applyFill="1" applyBorder="1" applyAlignment="1">
      <alignment horizontal="center"/>
    </xf>
    <xf numFmtId="176" fontId="5" fillId="16" borderId="10" xfId="4" applyNumberFormat="1" applyFont="1" applyFill="1" applyBorder="1" applyAlignment="1">
      <alignment horizontal="center"/>
    </xf>
    <xf numFmtId="0" fontId="5" fillId="0" borderId="267" xfId="0" applyFont="1" applyBorder="1" applyAlignment="1">
      <alignment horizontal="right"/>
    </xf>
    <xf numFmtId="176" fontId="5" fillId="0" borderId="236" xfId="4" applyNumberFormat="1" applyFont="1" applyBorder="1" applyAlignment="1">
      <alignment horizontal="center"/>
    </xf>
    <xf numFmtId="176" fontId="5" fillId="0" borderId="268" xfId="4" applyNumberFormat="1"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84" fontId="0" fillId="0" borderId="0" xfId="0" applyNumberFormat="1">
      <alignment vertical="center"/>
    </xf>
    <xf numFmtId="9" fontId="4" fillId="35" borderId="260" xfId="6" applyFont="1" applyFill="1" applyBorder="1" applyAlignment="1">
      <alignment horizontal="center"/>
    </xf>
    <xf numFmtId="9" fontId="4" fillId="35" borderId="261" xfId="6" applyFont="1" applyFill="1" applyBorder="1" applyAlignment="1">
      <alignment horizontal="center"/>
    </xf>
    <xf numFmtId="9" fontId="4" fillId="35" borderId="262" xfId="6" applyFont="1" applyFill="1" applyBorder="1" applyAlignment="1">
      <alignment horizontal="center"/>
    </xf>
    <xf numFmtId="9" fontId="5" fillId="35" borderId="260" xfId="6" applyFont="1" applyFill="1" applyBorder="1" applyAlignment="1">
      <alignment horizontal="center"/>
    </xf>
    <xf numFmtId="9" fontId="5" fillId="35" borderId="261" xfId="6" applyFont="1" applyFill="1" applyBorder="1" applyAlignment="1">
      <alignment horizontal="center"/>
    </xf>
    <xf numFmtId="9" fontId="5" fillId="35" borderId="262" xfId="6" applyFont="1" applyFill="1" applyBorder="1" applyAlignment="1">
      <alignment horizontal="center"/>
    </xf>
    <xf numFmtId="10" fontId="115" fillId="25" borderId="187" xfId="2" applyNumberFormat="1" applyFont="1" applyFill="1" applyBorder="1" applyAlignment="1">
      <alignment horizontal="center"/>
    </xf>
    <xf numFmtId="0" fontId="113" fillId="25" borderId="187" xfId="0" applyFont="1" applyFill="1" applyBorder="1" applyAlignment="1">
      <alignment horizontal="center"/>
    </xf>
    <xf numFmtId="0" fontId="113" fillId="25" borderId="259" xfId="0" applyFont="1" applyFill="1" applyBorder="1" applyAlignment="1">
      <alignment horizontal="center"/>
    </xf>
    <xf numFmtId="10" fontId="115" fillId="25" borderId="261" xfId="2" applyNumberFormat="1" applyFont="1" applyFill="1" applyBorder="1" applyAlignment="1">
      <alignment horizontal="center"/>
    </xf>
    <xf numFmtId="0" fontId="113" fillId="25" borderId="261" xfId="0" applyFont="1" applyFill="1" applyBorder="1" applyAlignment="1">
      <alignment horizontal="center"/>
    </xf>
    <xf numFmtId="0" fontId="113" fillId="25" borderId="262" xfId="0" applyFont="1" applyFill="1" applyBorder="1" applyAlignment="1">
      <alignment horizontal="center"/>
    </xf>
    <xf numFmtId="9" fontId="13" fillId="25" borderId="249" xfId="0" applyNumberFormat="1" applyFont="1" applyFill="1" applyBorder="1" applyAlignment="1">
      <alignment horizontal="center"/>
    </xf>
    <xf numFmtId="0" fontId="113" fillId="33" borderId="271" xfId="0" applyFont="1" applyFill="1" applyBorder="1" applyAlignment="1">
      <alignment horizontal="center" vertical="center" wrapText="1"/>
    </xf>
    <xf numFmtId="0" fontId="113" fillId="33" borderId="269" xfId="0" applyFont="1" applyFill="1" applyBorder="1" applyAlignment="1">
      <alignment horizontal="center" vertical="center" wrapText="1"/>
    </xf>
    <xf numFmtId="0" fontId="113" fillId="33" borderId="256" xfId="0" applyFont="1" applyFill="1" applyBorder="1" applyAlignment="1">
      <alignment horizontal="center" vertical="center"/>
    </xf>
    <xf numFmtId="0" fontId="113" fillId="33" borderId="257" xfId="0" applyFont="1" applyFill="1" applyBorder="1" applyAlignment="1">
      <alignment horizontal="center" vertical="center" wrapText="1"/>
    </xf>
    <xf numFmtId="0" fontId="114" fillId="33" borderId="257" xfId="0" applyFont="1" applyFill="1" applyBorder="1" applyAlignment="1">
      <alignment horizontal="center"/>
    </xf>
    <xf numFmtId="0" fontId="113" fillId="33" borderId="257" xfId="0" applyFont="1" applyFill="1" applyBorder="1" applyAlignment="1">
      <alignment horizontal="center" wrapText="1"/>
    </xf>
    <xf numFmtId="0" fontId="114" fillId="33" borderId="257" xfId="0" applyFont="1" applyFill="1" applyBorder="1" applyAlignment="1">
      <alignment horizontal="center" wrapText="1"/>
    </xf>
    <xf numFmtId="0" fontId="113" fillId="33" borderId="258" xfId="0" applyFont="1" applyFill="1" applyBorder="1" applyAlignment="1">
      <alignment horizontal="center" wrapText="1"/>
    </xf>
    <xf numFmtId="10" fontId="113" fillId="20" borderId="187" xfId="2" applyNumberFormat="1" applyFont="1" applyFill="1" applyBorder="1" applyAlignment="1">
      <alignment horizontal="center" vertical="center"/>
    </xf>
    <xf numFmtId="10" fontId="113" fillId="20" borderId="261" xfId="2" applyNumberFormat="1" applyFont="1" applyFill="1" applyBorder="1" applyAlignment="1">
      <alignment horizontal="center" vertical="center"/>
    </xf>
    <xf numFmtId="9" fontId="4" fillId="20" borderId="261" xfId="6" applyFont="1" applyFill="1" applyBorder="1" applyAlignment="1">
      <alignment horizontal="center"/>
    </xf>
    <xf numFmtId="0" fontId="113" fillId="33" borderId="237" xfId="0" applyFont="1" applyFill="1" applyBorder="1" applyAlignment="1">
      <alignment horizontal="center" vertical="center"/>
    </xf>
    <xf numFmtId="0" fontId="113" fillId="33" borderId="260" xfId="0" applyFont="1" applyFill="1" applyBorder="1" applyAlignment="1">
      <alignment horizontal="center" vertical="center"/>
    </xf>
    <xf numFmtId="9" fontId="4" fillId="33" borderId="260" xfId="6" applyFont="1" applyFill="1" applyBorder="1" applyAlignment="1">
      <alignment horizontal="center"/>
    </xf>
    <xf numFmtId="0" fontId="4" fillId="15" borderId="4" xfId="3" applyFont="1" applyFill="1" applyBorder="1" applyAlignment="1">
      <alignment horizontal="center"/>
    </xf>
    <xf numFmtId="14" fontId="12" fillId="15" borderId="4" xfId="4" applyNumberFormat="1" applyFont="1" applyFill="1" applyBorder="1" applyAlignment="1">
      <alignment horizontal="center" vertical="center"/>
    </xf>
    <xf numFmtId="14" fontId="12" fillId="15" borderId="24" xfId="4" applyNumberFormat="1" applyFont="1" applyFill="1" applyBorder="1" applyAlignment="1">
      <alignment horizontal="center" vertical="center"/>
    </xf>
    <xf numFmtId="0" fontId="4" fillId="15" borderId="251" xfId="3" applyFont="1" applyFill="1" applyBorder="1" applyAlignment="1">
      <alignment horizontal="center" vertical="center"/>
    </xf>
    <xf numFmtId="14" fontId="12" fillId="15" borderId="251" xfId="4" applyNumberFormat="1" applyFont="1" applyFill="1" applyBorder="1" applyAlignment="1">
      <alignment horizontal="center" vertical="center"/>
    </xf>
    <xf numFmtId="14" fontId="12" fillId="15" borderId="252" xfId="4" applyNumberFormat="1" applyFont="1" applyFill="1" applyBorder="1" applyAlignment="1">
      <alignment horizontal="center" vertical="center"/>
    </xf>
    <xf numFmtId="0" fontId="4" fillId="15" borderId="247" xfId="3" applyFont="1" applyFill="1" applyBorder="1" applyAlignment="1">
      <alignment horizontal="center"/>
    </xf>
    <xf numFmtId="14" fontId="12" fillId="15" borderId="247" xfId="4" applyNumberFormat="1" applyFont="1" applyFill="1" applyBorder="1" applyAlignment="1">
      <alignment horizontal="center" vertical="center"/>
    </xf>
    <xf numFmtId="14" fontId="12" fillId="15" borderId="248" xfId="4" applyNumberFormat="1" applyFont="1" applyFill="1" applyBorder="1" applyAlignment="1">
      <alignment horizontal="center" vertical="center"/>
    </xf>
    <xf numFmtId="10" fontId="113" fillId="20" borderId="270" xfId="2" applyNumberFormat="1" applyFont="1" applyFill="1" applyBorder="1" applyAlignment="1">
      <alignment horizontal="center" vertical="center"/>
    </xf>
    <xf numFmtId="179" fontId="113" fillId="20" borderId="272" xfId="2" applyNumberFormat="1" applyFont="1" applyFill="1" applyBorder="1" applyAlignment="1">
      <alignment horizontal="center" vertical="center"/>
    </xf>
    <xf numFmtId="197" fontId="124" fillId="33" borderId="4"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113" fillId="33" borderId="274" xfId="0" applyFont="1" applyFill="1" applyBorder="1" applyAlignment="1">
      <alignment horizontal="center" vertical="center"/>
    </xf>
    <xf numFmtId="10" fontId="115" fillId="25" borderId="275" xfId="2" applyNumberFormat="1" applyFont="1" applyFill="1" applyBorder="1" applyAlignment="1">
      <alignment horizontal="center"/>
    </xf>
    <xf numFmtId="0" fontId="113" fillId="25" borderId="275" xfId="0" applyFont="1" applyFill="1" applyBorder="1" applyAlignment="1">
      <alignment horizontal="center"/>
    </xf>
    <xf numFmtId="0" fontId="113" fillId="25" borderId="276" xfId="0" applyFont="1" applyFill="1" applyBorder="1" applyAlignment="1">
      <alignment horizontal="center"/>
    </xf>
    <xf numFmtId="0" fontId="4" fillId="25" borderId="0" xfId="0" applyFont="1" applyFill="1" applyBorder="1" applyAlignment="1">
      <alignment horizontal="center"/>
    </xf>
    <xf numFmtId="0" fontId="13" fillId="25" borderId="0" xfId="0" applyFont="1" applyFill="1" applyBorder="1" applyAlignment="1">
      <alignment horizontal="center"/>
    </xf>
    <xf numFmtId="14" fontId="4" fillId="25" borderId="0" xfId="3" applyNumberFormat="1" applyFont="1" applyFill="1" applyBorder="1" applyAlignment="1">
      <alignment horizontal="center"/>
    </xf>
    <xf numFmtId="0" fontId="4" fillId="25" borderId="0" xfId="3" applyFont="1" applyFill="1" applyBorder="1" applyAlignment="1">
      <alignment horizontal="center"/>
    </xf>
    <xf numFmtId="180" fontId="4" fillId="25" borderId="0" xfId="0" quotePrefix="1" applyNumberFormat="1" applyFont="1" applyFill="1" applyBorder="1" applyAlignment="1">
      <alignment horizontal="center"/>
    </xf>
    <xf numFmtId="0" fontId="0" fillId="25" borderId="277" xfId="0" applyFill="1" applyBorder="1" applyAlignment="1">
      <alignment horizontal="center" vertical="center"/>
    </xf>
    <xf numFmtId="0" fontId="0" fillId="25" borderId="278" xfId="0" applyFill="1" applyBorder="1" applyAlignment="1">
      <alignment horizontal="center" vertical="center"/>
    </xf>
    <xf numFmtId="0" fontId="0" fillId="25" borderId="279" xfId="0" applyFill="1" applyBorder="1" applyAlignment="1">
      <alignment horizontal="center" vertical="center"/>
    </xf>
    <xf numFmtId="0" fontId="0" fillId="25" borderId="280" xfId="0" applyFill="1" applyBorder="1" applyAlignment="1">
      <alignment horizontal="center" vertical="center"/>
    </xf>
    <xf numFmtId="0" fontId="0" fillId="25" borderId="281" xfId="0" applyFill="1" applyBorder="1" applyAlignment="1">
      <alignment horizontal="center" vertical="center"/>
    </xf>
    <xf numFmtId="0" fontId="0" fillId="6" borderId="0" xfId="0" applyFill="1" applyAlignment="1">
      <alignment horizontal="center" vertical="center"/>
    </xf>
    <xf numFmtId="0" fontId="50" fillId="0" borderId="282" xfId="3" applyFont="1" applyBorder="1" applyAlignment="1">
      <alignment horizontal="center" vertical="center"/>
    </xf>
    <xf numFmtId="0" fontId="50" fillId="0" borderId="283" xfId="3" applyFont="1" applyBorder="1" applyAlignment="1">
      <alignment horizontal="center" vertical="center"/>
    </xf>
    <xf numFmtId="0" fontId="50" fillId="0" borderId="52" xfId="3" applyFont="1" applyBorder="1" applyAlignment="1">
      <alignment horizontal="center" vertical="center"/>
    </xf>
    <xf numFmtId="0" fontId="51" fillId="0" borderId="282" xfId="3" applyFont="1" applyFill="1" applyBorder="1" applyAlignment="1">
      <alignment horizontal="center"/>
    </xf>
    <xf numFmtId="0" fontId="50" fillId="0" borderId="282" xfId="0" applyFont="1" applyBorder="1" applyAlignment="1">
      <alignment horizontal="center" vertical="center"/>
    </xf>
    <xf numFmtId="0" fontId="50" fillId="0" borderId="283" xfId="0" applyFont="1" applyFill="1" applyBorder="1" applyAlignment="1">
      <alignment horizontal="center" vertical="center"/>
    </xf>
    <xf numFmtId="0" fontId="50" fillId="0" borderId="58" xfId="0" applyFont="1" applyFill="1" applyBorder="1" applyAlignment="1">
      <alignment horizontal="center" vertical="center"/>
    </xf>
    <xf numFmtId="0" fontId="50" fillId="0" borderId="286" xfId="0" applyFont="1" applyBorder="1" applyAlignment="1">
      <alignment horizontal="center" vertical="center"/>
    </xf>
    <xf numFmtId="0" fontId="50" fillId="0" borderId="58" xfId="0" applyFont="1" applyBorder="1" applyAlignment="1">
      <alignment horizontal="center" vertical="center"/>
    </xf>
    <xf numFmtId="0" fontId="50" fillId="0" borderId="52" xfId="0" applyFont="1" applyBorder="1" applyAlignment="1">
      <alignment horizontal="center" vertical="center"/>
    </xf>
    <xf numFmtId="0" fontId="50" fillId="0" borderId="52" xfId="0" applyFont="1" applyFill="1" applyBorder="1" applyAlignment="1">
      <alignment horizontal="center" vertical="center"/>
    </xf>
    <xf numFmtId="0" fontId="50" fillId="0" borderId="283" xfId="0" applyFont="1" applyBorder="1" applyAlignment="1">
      <alignment horizontal="center" vertical="center"/>
    </xf>
    <xf numFmtId="0" fontId="50" fillId="0" borderId="282" xfId="0" applyFont="1" applyFill="1" applyBorder="1" applyAlignment="1">
      <alignment horizontal="center" vertical="center"/>
    </xf>
    <xf numFmtId="0" fontId="51" fillId="0" borderId="282" xfId="3"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0" fontId="125" fillId="36" borderId="288" xfId="0" applyFont="1" applyFill="1" applyBorder="1" applyAlignment="1">
      <alignment horizontal="center" vertical="center" wrapText="1"/>
    </xf>
    <xf numFmtId="0" fontId="126" fillId="36" borderId="289" xfId="0" applyFont="1" applyFill="1" applyBorder="1" applyAlignment="1">
      <alignment horizontal="center" vertical="center" wrapText="1"/>
    </xf>
    <xf numFmtId="0" fontId="126" fillId="36" borderId="290" xfId="0" applyFont="1" applyFill="1" applyBorder="1" applyAlignment="1">
      <alignment horizontal="center" vertical="center" wrapText="1"/>
    </xf>
    <xf numFmtId="0" fontId="126" fillId="36" borderId="250" xfId="0" applyFont="1" applyFill="1" applyBorder="1" applyAlignment="1">
      <alignment horizontal="center" vertical="center" wrapText="1"/>
    </xf>
    <xf numFmtId="0" fontId="126" fillId="36" borderId="253" xfId="0" applyFont="1" applyFill="1" applyBorder="1" applyAlignment="1">
      <alignment horizontal="center" vertical="center" wrapText="1"/>
    </xf>
    <xf numFmtId="0" fontId="127" fillId="0" borderId="105" xfId="0" applyFont="1" applyBorder="1" applyAlignment="1">
      <alignment horizontal="center" vertical="center" wrapText="1"/>
    </xf>
    <xf numFmtId="9" fontId="128" fillId="0" borderId="105" xfId="0" applyNumberFormat="1" applyFont="1" applyBorder="1" applyAlignment="1">
      <alignment horizontal="center" vertical="center" wrapText="1"/>
    </xf>
    <xf numFmtId="9" fontId="129" fillId="0" borderId="105" xfId="0" applyNumberFormat="1" applyFont="1" applyBorder="1" applyAlignment="1">
      <alignment horizontal="center" vertical="center" wrapText="1"/>
    </xf>
    <xf numFmtId="41" fontId="13" fillId="0" borderId="180" xfId="1" applyFont="1" applyBorder="1">
      <alignment vertical="center"/>
    </xf>
    <xf numFmtId="41" fontId="13" fillId="0" borderId="209" xfId="1" applyFont="1" applyBorder="1">
      <alignment vertical="center"/>
    </xf>
    <xf numFmtId="0" fontId="127" fillId="0" borderId="145" xfId="0" applyFont="1" applyBorder="1" applyAlignment="1">
      <alignment horizontal="center" vertical="center" wrapText="1"/>
    </xf>
    <xf numFmtId="9" fontId="128" fillId="0" borderId="145" xfId="0" applyNumberFormat="1" applyFont="1" applyBorder="1" applyAlignment="1">
      <alignment horizontal="center" vertical="center" wrapText="1"/>
    </xf>
    <xf numFmtId="9" fontId="129" fillId="0" borderId="145" xfId="0" applyNumberFormat="1" applyFont="1" applyBorder="1" applyAlignment="1">
      <alignment horizontal="center" vertical="center" wrapText="1"/>
    </xf>
    <xf numFmtId="0" fontId="127" fillId="0" borderId="294" xfId="0" applyFont="1" applyBorder="1" applyAlignment="1">
      <alignment horizontal="center" vertical="center" wrapText="1"/>
    </xf>
    <xf numFmtId="9" fontId="128" fillId="0" borderId="294" xfId="0" applyNumberFormat="1" applyFont="1" applyBorder="1" applyAlignment="1">
      <alignment horizontal="center" vertical="center" wrapText="1"/>
    </xf>
    <xf numFmtId="9" fontId="129" fillId="0" borderId="294" xfId="0" applyNumberFormat="1" applyFont="1" applyBorder="1" applyAlignment="1">
      <alignment horizontal="center" vertical="center" wrapText="1"/>
    </xf>
    <xf numFmtId="41" fontId="13" fillId="0" borderId="296" xfId="1" applyFont="1" applyBorder="1">
      <alignment vertical="center"/>
    </xf>
    <xf numFmtId="41" fontId="13" fillId="0" borderId="228" xfId="1" applyFont="1" applyBorder="1">
      <alignment vertical="center"/>
    </xf>
    <xf numFmtId="0" fontId="130" fillId="0" borderId="0" xfId="0" applyFont="1" applyAlignment="1">
      <alignment horizontal="right" vertical="center"/>
    </xf>
    <xf numFmtId="41" fontId="5" fillId="0" borderId="297" xfId="14" applyFont="1" applyFill="1" applyBorder="1" applyAlignment="1">
      <alignment horizontal="center"/>
    </xf>
    <xf numFmtId="0" fontId="56" fillId="0" borderId="0" xfId="0" applyFont="1" applyAlignment="1">
      <alignment horizontal="right" vertical="center"/>
    </xf>
    <xf numFmtId="41" fontId="130" fillId="0" borderId="297" xfId="5" applyFont="1" applyBorder="1" applyAlignment="1"/>
    <xf numFmtId="43" fontId="56" fillId="0" borderId="0" xfId="0" applyNumberFormat="1" applyFont="1">
      <alignment vertical="center"/>
    </xf>
    <xf numFmtId="0" fontId="4" fillId="33" borderId="250" xfId="0" applyFont="1" applyFill="1" applyBorder="1" applyAlignment="1">
      <alignment horizontal="center" vertical="center" wrapText="1"/>
    </xf>
    <xf numFmtId="0" fontId="4" fillId="33" borderId="244" xfId="0" applyFont="1" applyFill="1" applyBorder="1" applyAlignment="1">
      <alignment horizontal="center" vertical="center" wrapText="1"/>
    </xf>
    <xf numFmtId="0" fontId="124" fillId="33" borderId="3" xfId="0" applyFont="1" applyFill="1" applyBorder="1" applyAlignment="1">
      <alignment horizontal="center" vertical="center" wrapText="1"/>
    </xf>
    <xf numFmtId="0" fontId="124" fillId="33" borderId="148" xfId="0" applyFont="1" applyFill="1" applyBorder="1" applyAlignment="1">
      <alignment horizontal="center" vertical="center" wrapText="1"/>
    </xf>
    <xf numFmtId="0" fontId="113" fillId="33" borderId="273" xfId="0" applyFont="1" applyFill="1" applyBorder="1" applyAlignment="1">
      <alignment horizontal="center" vertical="center" wrapText="1"/>
    </xf>
    <xf numFmtId="0" fontId="113" fillId="33" borderId="175" xfId="0" applyFont="1" applyFill="1" applyBorder="1" applyAlignment="1">
      <alignment horizontal="center" vertical="center" wrapText="1"/>
    </xf>
    <xf numFmtId="0" fontId="113" fillId="33" borderId="150" xfId="0" applyFont="1" applyFill="1" applyBorder="1" applyAlignment="1">
      <alignment horizontal="center" vertical="center" wrapText="1"/>
    </xf>
    <xf numFmtId="14" fontId="123" fillId="33" borderId="66" xfId="3" applyNumberFormat="1" applyFont="1" applyFill="1" applyBorder="1" applyAlignment="1">
      <alignment horizontal="center" vertical="center" wrapText="1"/>
    </xf>
    <xf numFmtId="14" fontId="4" fillId="33" borderId="67" xfId="3" applyNumberFormat="1" applyFont="1" applyFill="1" applyBorder="1" applyAlignment="1">
      <alignment horizontal="center" vertical="center" wrapText="1"/>
    </xf>
    <xf numFmtId="14" fontId="4" fillId="33" borderId="253" xfId="3" applyNumberFormat="1" applyFont="1" applyFill="1" applyBorder="1" applyAlignment="1">
      <alignment horizontal="center" vertical="center" wrapText="1"/>
    </xf>
    <xf numFmtId="14" fontId="4" fillId="33" borderId="5" xfId="3" applyNumberFormat="1" applyFont="1" applyFill="1" applyBorder="1" applyAlignment="1">
      <alignment horizontal="center" vertical="center" wrapText="1"/>
    </xf>
    <xf numFmtId="14" fontId="4" fillId="33" borderId="144" xfId="3" applyNumberFormat="1" applyFont="1" applyFill="1" applyBorder="1" applyAlignment="1">
      <alignment horizontal="center" vertical="center" wrapText="1"/>
    </xf>
    <xf numFmtId="14" fontId="4" fillId="33" borderId="254" xfId="3" applyNumberFormat="1" applyFont="1" applyFill="1" applyBorder="1" applyAlignment="1">
      <alignment horizontal="center" vertical="center" wrapText="1"/>
    </xf>
    <xf numFmtId="0" fontId="4" fillId="33" borderId="255" xfId="0" applyFont="1" applyFill="1" applyBorder="1" applyAlignment="1">
      <alignment horizontal="center" vertical="center" wrapText="1"/>
    </xf>
    <xf numFmtId="0" fontId="50" fillId="33" borderId="284" xfId="3" applyFont="1" applyFill="1" applyBorder="1" applyAlignment="1">
      <alignment horizontal="center" vertical="center"/>
    </xf>
    <xf numFmtId="0" fontId="50" fillId="33" borderId="55" xfId="3" applyFont="1" applyFill="1" applyBorder="1" applyAlignment="1">
      <alignment horizontal="center" vertical="center"/>
    </xf>
    <xf numFmtId="0" fontId="50" fillId="33" borderId="285" xfId="3" applyFont="1" applyFill="1" applyBorder="1" applyAlignment="1">
      <alignment horizontal="center" vertical="center"/>
    </xf>
    <xf numFmtId="0" fontId="50" fillId="24" borderId="287" xfId="3" applyFont="1" applyFill="1" applyBorder="1" applyAlignment="1">
      <alignment horizontal="center" vertical="center"/>
    </xf>
    <xf numFmtId="0" fontId="50" fillId="24" borderId="55" xfId="3" applyFont="1" applyFill="1" applyBorder="1" applyAlignment="1">
      <alignment horizontal="center" vertical="center"/>
    </xf>
    <xf numFmtId="0" fontId="50" fillId="24" borderId="285" xfId="3" applyFont="1" applyFill="1" applyBorder="1" applyAlignment="1">
      <alignment horizontal="center" vertical="center"/>
    </xf>
    <xf numFmtId="0" fontId="14" fillId="4" borderId="96" xfId="0" applyFont="1" applyFill="1" applyBorder="1" applyAlignment="1">
      <alignment horizontal="center" vertical="center" wrapText="1"/>
    </xf>
    <xf numFmtId="0" fontId="14" fillId="4" borderId="97" xfId="0" applyFont="1" applyFill="1" applyBorder="1" applyAlignment="1">
      <alignment horizontal="center" vertical="center" wrapText="1"/>
    </xf>
    <xf numFmtId="14" fontId="15" fillId="8" borderId="20" xfId="0" applyNumberFormat="1" applyFont="1" applyFill="1" applyBorder="1" applyAlignment="1">
      <alignment horizontal="center" vertical="center"/>
    </xf>
    <xf numFmtId="14" fontId="15" fillId="8" borderId="21" xfId="0" applyNumberFormat="1" applyFont="1" applyFill="1" applyBorder="1" applyAlignment="1">
      <alignment horizontal="center" vertical="center"/>
    </xf>
    <xf numFmtId="14" fontId="15" fillId="8" borderId="98" xfId="0" applyNumberFormat="1" applyFont="1" applyFill="1" applyBorder="1" applyAlignment="1">
      <alignment horizontal="center" vertical="center"/>
    </xf>
    <xf numFmtId="14" fontId="121" fillId="3" borderId="66" xfId="3" applyNumberFormat="1" applyFont="1" applyFill="1" applyBorder="1" applyAlignment="1">
      <alignment horizontal="center" vertical="center" wrapText="1"/>
    </xf>
    <xf numFmtId="14" fontId="120" fillId="3" borderId="67" xfId="3" applyNumberFormat="1" applyFont="1" applyFill="1" applyBorder="1" applyAlignment="1">
      <alignment horizontal="center" vertical="center" wrapText="1"/>
    </xf>
    <xf numFmtId="14" fontId="120" fillId="3" borderId="253" xfId="3" applyNumberFormat="1" applyFont="1" applyFill="1" applyBorder="1" applyAlignment="1">
      <alignment horizontal="center" vertical="center" wrapText="1"/>
    </xf>
    <xf numFmtId="14" fontId="120" fillId="3" borderId="5" xfId="3" applyNumberFormat="1" applyFont="1" applyFill="1" applyBorder="1" applyAlignment="1">
      <alignment horizontal="center" vertical="center" wrapText="1"/>
    </xf>
    <xf numFmtId="14" fontId="120" fillId="3" borderId="144" xfId="3" applyNumberFormat="1" applyFont="1" applyFill="1" applyBorder="1" applyAlignment="1">
      <alignment horizontal="center" vertical="center" wrapText="1"/>
    </xf>
    <xf numFmtId="14" fontId="120" fillId="3" borderId="254" xfId="3" applyNumberFormat="1" applyFont="1" applyFill="1" applyBorder="1" applyAlignment="1">
      <alignment horizontal="center" vertical="center" wrapText="1"/>
    </xf>
    <xf numFmtId="0" fontId="119" fillId="3" borderId="255" xfId="0" applyFont="1" applyFill="1" applyBorder="1" applyAlignment="1">
      <alignment horizontal="center" vertical="center" wrapText="1"/>
    </xf>
    <xf numFmtId="0" fontId="119" fillId="3" borderId="244" xfId="0" applyFont="1" applyFill="1" applyBorder="1" applyAlignment="1">
      <alignment horizontal="center" vertical="center" wrapText="1"/>
    </xf>
    <xf numFmtId="0" fontId="119" fillId="3" borderId="250" xfId="0" applyFont="1" applyFill="1" applyBorder="1" applyAlignment="1">
      <alignment horizontal="center" vertical="center" wrapText="1"/>
    </xf>
    <xf numFmtId="0" fontId="127" fillId="0" borderId="255" xfId="0" applyFont="1" applyBorder="1" applyAlignment="1">
      <alignment horizontal="left" vertical="center" wrapText="1"/>
    </xf>
    <xf numFmtId="0" fontId="127" fillId="0" borderId="243" xfId="0" applyFont="1" applyBorder="1" applyAlignment="1">
      <alignment horizontal="left" vertical="center" wrapText="1"/>
    </xf>
    <xf numFmtId="0" fontId="127" fillId="0" borderId="244" xfId="0" applyFont="1" applyBorder="1" applyAlignment="1">
      <alignment horizontal="left" vertical="center" wrapText="1"/>
    </xf>
    <xf numFmtId="0" fontId="127" fillId="0" borderId="149" xfId="0" applyFont="1" applyBorder="1" applyAlignment="1">
      <alignment horizontal="left" vertical="center" wrapText="1"/>
    </xf>
    <xf numFmtId="0" fontId="127" fillId="0" borderId="175" xfId="0" applyFont="1" applyBorder="1" applyAlignment="1">
      <alignment horizontal="left" vertical="center" wrapText="1"/>
    </xf>
    <xf numFmtId="0" fontId="127" fillId="0" borderId="293" xfId="0" applyFont="1" applyBorder="1" applyAlignment="1">
      <alignment horizontal="left" vertical="center" wrapText="1"/>
    </xf>
    <xf numFmtId="0" fontId="127" fillId="0" borderId="291" xfId="0" applyFont="1" applyBorder="1" applyAlignment="1">
      <alignment horizontal="center" vertical="center" wrapText="1"/>
    </xf>
    <xf numFmtId="0" fontId="127" fillId="0" borderId="292" xfId="0" applyFont="1" applyBorder="1" applyAlignment="1">
      <alignment horizontal="center" vertical="center" wrapText="1"/>
    </xf>
    <xf numFmtId="0" fontId="127" fillId="0" borderId="295" xfId="0" applyFont="1" applyBorder="1" applyAlignment="1">
      <alignment horizontal="center" vertical="center" wrapText="1"/>
    </xf>
    <xf numFmtId="14" fontId="7" fillId="3" borderId="66" xfId="0" applyNumberFormat="1" applyFont="1" applyFill="1" applyBorder="1" applyAlignment="1">
      <alignment horizontal="center" vertical="center" wrapText="1"/>
    </xf>
    <xf numFmtId="14" fontId="7" fillId="3" borderId="70"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77" fillId="25" borderId="3" xfId="7" applyFont="1" applyFill="1" applyBorder="1" applyAlignment="1">
      <alignment horizontal="center" vertical="center" wrapText="1"/>
    </xf>
    <xf numFmtId="0" fontId="77" fillId="25" borderId="148" xfId="7" applyFont="1" applyFill="1" applyBorder="1" applyAlignment="1">
      <alignment horizontal="center" vertical="center" wrapText="1"/>
    </xf>
    <xf numFmtId="0" fontId="77" fillId="25" borderId="105" xfId="7" applyFont="1" applyFill="1" applyBorder="1" applyAlignment="1">
      <alignment horizontal="center" vertical="center" wrapText="1"/>
    </xf>
    <xf numFmtId="0" fontId="73" fillId="25" borderId="0" xfId="7" applyFont="1" applyFill="1" applyAlignment="1">
      <alignment horizontal="center"/>
    </xf>
    <xf numFmtId="10" fontId="77" fillId="25" borderId="3" xfId="7" applyNumberFormat="1" applyFont="1" applyFill="1" applyBorder="1" applyAlignment="1">
      <alignment horizontal="center" vertical="center" wrapText="1"/>
    </xf>
    <xf numFmtId="14" fontId="78" fillId="2" borderId="3" xfId="7" applyNumberFormat="1" applyFont="1" applyFill="1" applyBorder="1" applyAlignment="1">
      <alignment horizontal="center" vertical="center" wrapText="1"/>
    </xf>
    <xf numFmtId="14" fontId="78" fillId="2" borderId="148" xfId="7" applyNumberFormat="1" applyFont="1" applyFill="1" applyBorder="1" applyAlignment="1">
      <alignment horizontal="center" vertical="center" wrapText="1"/>
    </xf>
    <xf numFmtId="14" fontId="78" fillId="2" borderId="105" xfId="7" applyNumberFormat="1" applyFont="1" applyFill="1" applyBorder="1" applyAlignment="1">
      <alignment horizontal="center" vertical="center" wrapText="1"/>
    </xf>
    <xf numFmtId="0" fontId="50" fillId="0" borderId="11" xfId="0" applyFont="1" applyBorder="1" applyAlignment="1">
      <alignment horizontal="center" vertical="center"/>
    </xf>
    <xf numFmtId="0" fontId="50" fillId="0" borderId="14" xfId="0" applyFont="1" applyFill="1" applyBorder="1" applyAlignment="1">
      <alignment horizontal="center" vertical="center"/>
    </xf>
    <xf numFmtId="0" fontId="50" fillId="0" borderId="11" xfId="3" applyFont="1" applyBorder="1" applyAlignment="1">
      <alignment horizontal="center" vertical="center"/>
    </xf>
    <xf numFmtId="0" fontId="50" fillId="0" borderId="14" xfId="3" applyFont="1" applyBorder="1" applyAlignment="1">
      <alignment horizontal="center" vertical="center"/>
    </xf>
    <xf numFmtId="0" fontId="50" fillId="0" borderId="14" xfId="0" applyFont="1" applyBorder="1" applyAlignment="1">
      <alignment horizontal="center" vertical="center"/>
    </xf>
    <xf numFmtId="0" fontId="89" fillId="0" borderId="106" xfId="7" applyFont="1" applyFill="1" applyBorder="1" applyAlignment="1">
      <alignment horizontal="center" vertical="center"/>
    </xf>
    <xf numFmtId="0" fontId="89" fillId="0" borderId="162" xfId="7" applyFont="1" applyFill="1" applyBorder="1" applyAlignment="1">
      <alignment horizontal="center" vertical="center"/>
    </xf>
    <xf numFmtId="0" fontId="89" fillId="0" borderId="164" xfId="7" applyFont="1" applyFill="1" applyBorder="1" applyAlignment="1">
      <alignment horizontal="center" vertical="center"/>
    </xf>
    <xf numFmtId="0" fontId="89" fillId="0" borderId="107" xfId="7" applyFont="1" applyFill="1" applyBorder="1" applyAlignment="1">
      <alignment horizontal="center" vertical="center" wrapText="1"/>
    </xf>
    <xf numFmtId="0" fontId="89" fillId="0" borderId="147" xfId="7" applyFont="1" applyFill="1" applyBorder="1" applyAlignment="1">
      <alignment horizontal="center" vertical="center" wrapText="1"/>
    </xf>
    <xf numFmtId="0" fontId="89" fillId="0" borderId="165" xfId="7" applyFont="1" applyFill="1" applyBorder="1" applyAlignment="1">
      <alignment horizontal="center" vertical="center" wrapText="1"/>
    </xf>
    <xf numFmtId="0" fontId="50" fillId="0" borderId="85" xfId="0" applyFont="1" applyBorder="1" applyAlignment="1">
      <alignment horizontal="center" vertical="center"/>
    </xf>
    <xf numFmtId="0" fontId="50" fillId="0" borderId="62" xfId="0" applyFont="1" applyBorder="1" applyAlignment="1">
      <alignment horizontal="center" vertical="center"/>
    </xf>
    <xf numFmtId="0" fontId="50" fillId="0" borderId="51" xfId="0" applyFont="1" applyBorder="1" applyAlignment="1">
      <alignment horizontal="center" vertical="center"/>
    </xf>
    <xf numFmtId="0" fontId="50" fillId="0" borderId="85" xfId="0" applyFont="1" applyFill="1" applyBorder="1" applyAlignment="1">
      <alignment horizontal="center" vertical="center"/>
    </xf>
    <xf numFmtId="0" fontId="50" fillId="0" borderId="51" xfId="0" applyFont="1" applyFill="1" applyBorder="1" applyAlignment="1">
      <alignment horizontal="center" vertical="center"/>
    </xf>
    <xf numFmtId="0" fontId="50" fillId="0" borderId="62" xfId="0" applyFont="1" applyFill="1" applyBorder="1" applyAlignment="1">
      <alignment horizontal="center" vertical="center"/>
    </xf>
    <xf numFmtId="0" fontId="50" fillId="0" borderId="180" xfId="0" applyFont="1" applyBorder="1" applyAlignment="1">
      <alignment horizontal="center" vertical="center"/>
    </xf>
    <xf numFmtId="0" fontId="50" fillId="0" borderId="15" xfId="0" applyFont="1" applyBorder="1" applyAlignment="1">
      <alignment horizontal="center" vertical="center"/>
    </xf>
    <xf numFmtId="0" fontId="0" fillId="2" borderId="106" xfId="0" applyFill="1" applyBorder="1" applyAlignment="1">
      <alignment horizontal="center" vertical="center"/>
    </xf>
    <xf numFmtId="0" fontId="0" fillId="2" borderId="108" xfId="0" applyFill="1" applyBorder="1" applyAlignment="1">
      <alignment horizontal="center" vertical="center"/>
    </xf>
    <xf numFmtId="0" fontId="0" fillId="2" borderId="109" xfId="0" applyFill="1" applyBorder="1" applyAlignment="1">
      <alignment horizontal="center" vertical="center"/>
    </xf>
    <xf numFmtId="0" fontId="5" fillId="2" borderId="111" xfId="0" applyFont="1" applyFill="1" applyBorder="1" applyAlignment="1">
      <alignment horizontal="center" vertical="center"/>
    </xf>
    <xf numFmtId="0" fontId="5" fillId="2" borderId="12" xfId="0" applyFont="1" applyFill="1" applyBorder="1" applyAlignment="1">
      <alignment horizontal="center" vertical="center"/>
    </xf>
    <xf numFmtId="0" fontId="5" fillId="8" borderId="106" xfId="0" applyFont="1" applyFill="1" applyBorder="1" applyAlignment="1">
      <alignment horizontal="center" wrapText="1"/>
    </xf>
    <xf numFmtId="0" fontId="5" fillId="8" borderId="107" xfId="0" applyFont="1" applyFill="1" applyBorder="1" applyAlignment="1">
      <alignment horizontal="center" wrapText="1"/>
    </xf>
    <xf numFmtId="0" fontId="5" fillId="8" borderId="112" xfId="0" applyFont="1" applyFill="1" applyBorder="1" applyAlignment="1">
      <alignment horizontal="center" wrapText="1"/>
    </xf>
    <xf numFmtId="0" fontId="9" fillId="8" borderId="12" xfId="3" applyFont="1" applyFill="1" applyBorder="1" applyAlignment="1">
      <alignment horizontal="center" vertical="center" wrapText="1"/>
    </xf>
    <xf numFmtId="0" fontId="9" fillId="8" borderId="92" xfId="3" applyFont="1" applyFill="1" applyBorder="1" applyAlignment="1">
      <alignment horizontal="center" vertical="center" wrapText="1"/>
    </xf>
    <xf numFmtId="0" fontId="45" fillId="8" borderId="86" xfId="3" applyFont="1" applyFill="1" applyBorder="1" applyAlignment="1">
      <alignment horizontal="center" vertical="center" wrapText="1"/>
    </xf>
    <xf numFmtId="0" fontId="46" fillId="8" borderId="93" xfId="3" applyFont="1" applyFill="1" applyBorder="1" applyAlignment="1">
      <alignment horizontal="center" vertical="center"/>
    </xf>
    <xf numFmtId="0" fontId="5" fillId="8" borderId="3" xfId="3" applyFont="1" applyFill="1" applyBorder="1" applyAlignment="1">
      <alignment horizontal="center" vertical="center"/>
    </xf>
    <xf numFmtId="0" fontId="5" fillId="8" borderId="105" xfId="3" applyFont="1" applyFill="1" applyBorder="1" applyAlignment="1">
      <alignment horizontal="center" vertical="center"/>
    </xf>
    <xf numFmtId="0" fontId="5" fillId="0" borderId="83" xfId="3" applyFont="1" applyFill="1" applyBorder="1" applyAlignment="1">
      <alignment horizontal="center" vertical="center"/>
    </xf>
    <xf numFmtId="0" fontId="5" fillId="0" borderId="56" xfId="3" applyFont="1" applyFill="1" applyBorder="1" applyAlignment="1">
      <alignment horizontal="center" vertical="center"/>
    </xf>
    <xf numFmtId="0" fontId="5" fillId="0" borderId="9" xfId="3" applyFont="1" applyFill="1" applyBorder="1" applyAlignment="1">
      <alignment horizontal="center" vertical="center"/>
    </xf>
    <xf numFmtId="0" fontId="5" fillId="0" borderId="84" xfId="3" applyFont="1" applyFill="1" applyBorder="1" applyAlignment="1">
      <alignment horizontal="center" vertical="center"/>
    </xf>
    <xf numFmtId="0" fontId="5" fillId="0" borderId="58" xfId="3" applyFont="1" applyFill="1" applyBorder="1" applyAlignment="1">
      <alignment horizontal="center" vertical="center"/>
    </xf>
    <xf numFmtId="0" fontId="5" fillId="0" borderId="90" xfId="3" applyFont="1" applyFill="1" applyBorder="1" applyAlignment="1">
      <alignment horizontal="center" vertical="center"/>
    </xf>
    <xf numFmtId="0" fontId="5" fillId="8" borderId="14" xfId="3" applyFont="1" applyFill="1" applyBorder="1" applyAlignment="1">
      <alignment horizontal="center" wrapText="1"/>
    </xf>
    <xf numFmtId="0" fontId="5" fillId="8" borderId="85" xfId="3" applyFont="1" applyFill="1" applyBorder="1" applyAlignment="1">
      <alignment horizontal="center" wrapText="1"/>
    </xf>
    <xf numFmtId="0" fontId="9" fillId="8" borderId="14" xfId="3" applyFont="1" applyFill="1" applyBorder="1" applyAlignment="1">
      <alignment horizontal="center" vertical="center"/>
    </xf>
    <xf numFmtId="0" fontId="9" fillId="8" borderId="14" xfId="3" applyFont="1" applyFill="1" applyBorder="1" applyAlignment="1">
      <alignment horizontal="center"/>
    </xf>
    <xf numFmtId="0" fontId="9" fillId="8" borderId="85" xfId="3" applyFont="1" applyFill="1" applyBorder="1" applyAlignment="1">
      <alignment horizontal="center"/>
    </xf>
    <xf numFmtId="0" fontId="9" fillId="24" borderId="14" xfId="3" applyFont="1" applyFill="1" applyBorder="1" applyAlignment="1">
      <alignment horizontal="center" vertical="center"/>
    </xf>
    <xf numFmtId="0" fontId="9" fillId="24" borderId="85" xfId="3" applyFont="1" applyFill="1" applyBorder="1" applyAlignment="1">
      <alignment horizontal="center" vertical="center"/>
    </xf>
    <xf numFmtId="0" fontId="6" fillId="2" borderId="102" xfId="3" applyFont="1" applyFill="1" applyBorder="1" applyAlignment="1">
      <alignment horizontal="center" vertical="center" wrapText="1"/>
    </xf>
    <xf numFmtId="0" fontId="6" fillId="2" borderId="103" xfId="3" applyFont="1" applyFill="1" applyBorder="1" applyAlignment="1">
      <alignment horizontal="center" vertical="center" wrapText="1"/>
    </xf>
    <xf numFmtId="0" fontId="6" fillId="2" borderId="103" xfId="3" applyFont="1" applyFill="1" applyBorder="1" applyAlignment="1">
      <alignment horizontal="center" vertical="center"/>
    </xf>
    <xf numFmtId="0" fontId="6" fillId="2" borderId="104" xfId="3" applyFont="1" applyFill="1" applyBorder="1" applyAlignment="1">
      <alignment horizontal="center" vertical="center"/>
    </xf>
    <xf numFmtId="0" fontId="9" fillId="8" borderId="85" xfId="3" applyFont="1" applyFill="1" applyBorder="1" applyAlignment="1">
      <alignment horizontal="center" vertical="center"/>
    </xf>
    <xf numFmtId="0" fontId="97" fillId="2" borderId="116" xfId="7" applyFont="1" applyFill="1" applyBorder="1" applyAlignment="1">
      <alignment horizontal="center" vertical="center"/>
    </xf>
    <xf numFmtId="0" fontId="97" fillId="2" borderId="174" xfId="7" applyFont="1" applyFill="1" applyBorder="1" applyAlignment="1">
      <alignment horizontal="center" vertical="center"/>
    </xf>
  </cellXfs>
  <cellStyles count="15">
    <cellStyle name="백분율" xfId="2" builtinId="5"/>
    <cellStyle name="백분율 2" xfId="6" xr:uid="{00000000-0005-0000-0000-000001000000}"/>
    <cellStyle name="백분율 3" xfId="9" xr:uid="{00000000-0005-0000-0000-000002000000}"/>
    <cellStyle name="쉼표 [0]" xfId="1" builtinId="6"/>
    <cellStyle name="쉼표 [0] 2" xfId="5" xr:uid="{00000000-0005-0000-0000-000004000000}"/>
    <cellStyle name="쉼표 [0] 2 2" xfId="13" xr:uid="{C62C6488-16AB-4329-A33F-734F57D087C3}"/>
    <cellStyle name="쉼표 [0] 3" xfId="11" xr:uid="{49048BC9-CB31-43AB-BE9C-8009DA36CF56}"/>
    <cellStyle name="쉼표 [0] 4" xfId="14" xr:uid="{7B311C0C-A3A7-436D-846B-4995E0DAD988}"/>
    <cellStyle name="쉼표 2" xfId="4" xr:uid="{00000000-0005-0000-0000-000005000000}"/>
    <cellStyle name="쉼표 2 2" xfId="12" xr:uid="{D5E520E0-4E91-43DA-AB32-2E11026823D7}"/>
    <cellStyle name="표준" xfId="0" builtinId="0"/>
    <cellStyle name="표준 2" xfId="7" xr:uid="{00000000-0005-0000-0000-000007000000}"/>
    <cellStyle name="표준 3" xfId="10" xr:uid="{00000000-0005-0000-0000-000008000000}"/>
    <cellStyle name="표준 7" xfId="3" xr:uid="{00000000-0005-0000-0000-000009000000}"/>
    <cellStyle name="하이퍼링크 2" xfId="8" xr:uid="{00000000-0005-0000-0000-00000A000000}"/>
  </cellStyles>
  <dxfs count="72">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B1D8-C4FD-4E2E-A046-11A76F5A0B8F}">
  <sheetPr>
    <tabColor theme="4" tint="0.79998168889431442"/>
  </sheetPr>
  <dimension ref="A1:L31"/>
  <sheetViews>
    <sheetView workbookViewId="0">
      <selection activeCell="D19" sqref="D19"/>
    </sheetView>
  </sheetViews>
  <sheetFormatPr defaultColWidth="8.875" defaultRowHeight="16.5"/>
  <cols>
    <col min="1" max="1" width="3.875" style="931" customWidth="1"/>
    <col min="2" max="11" width="14.625" style="931" customWidth="1"/>
    <col min="12" max="16384" width="8.875" style="931"/>
  </cols>
  <sheetData>
    <row r="1" spans="1:12" ht="26.65" customHeight="1" thickBot="1">
      <c r="A1" s="926"/>
      <c r="B1" s="975" t="s">
        <v>1582</v>
      </c>
      <c r="C1" s="976"/>
      <c r="D1" s="976"/>
      <c r="E1" s="976"/>
      <c r="F1" s="976"/>
      <c r="G1" s="976"/>
      <c r="H1" s="976"/>
      <c r="I1" s="976"/>
      <c r="J1" s="976"/>
      <c r="K1" s="915">
        <f>BS_RE33!N4</f>
        <v>46058</v>
      </c>
      <c r="L1" s="927"/>
    </row>
    <row r="2" spans="1:12" ht="17.25" thickBot="1">
      <c r="A2" s="926"/>
      <c r="B2" s="916"/>
      <c r="C2" s="916"/>
      <c r="D2" s="916"/>
      <c r="E2" s="916"/>
      <c r="F2" s="916"/>
      <c r="G2" s="916"/>
      <c r="H2" s="916"/>
      <c r="I2" s="916"/>
      <c r="J2" s="916"/>
      <c r="K2" s="916"/>
      <c r="L2" s="927"/>
    </row>
    <row r="3" spans="1:12" ht="34.700000000000003" customHeight="1">
      <c r="A3" s="926"/>
      <c r="B3" s="890" t="s">
        <v>1524</v>
      </c>
      <c r="C3" s="891" t="s">
        <v>1521</v>
      </c>
      <c r="D3" s="916"/>
      <c r="E3" s="916"/>
      <c r="F3" s="916"/>
      <c r="G3" s="916"/>
      <c r="H3" s="916"/>
      <c r="I3" s="916"/>
      <c r="J3" s="916"/>
      <c r="K3" s="916"/>
      <c r="L3" s="927"/>
    </row>
    <row r="4" spans="1:12" ht="17.25" thickBot="1">
      <c r="A4" s="926"/>
      <c r="B4" s="914" t="e">
        <f>'30 days CF Table(ALL)'!$D$119</f>
        <v>#DIV/0!</v>
      </c>
      <c r="C4" s="913" t="e">
        <f>'Liquidity Maturity Gap'!Q73</f>
        <v>#DIV/0!</v>
      </c>
      <c r="D4" s="916"/>
      <c r="E4" s="916"/>
      <c r="F4" s="916"/>
      <c r="G4" s="916"/>
      <c r="H4" s="916"/>
      <c r="I4" s="916"/>
      <c r="J4" s="916"/>
      <c r="K4" s="916"/>
      <c r="L4" s="927"/>
    </row>
    <row r="5" spans="1:12" ht="17.25" thickBot="1">
      <c r="A5" s="926"/>
      <c r="B5" s="916"/>
      <c r="C5" s="916"/>
      <c r="D5" s="916"/>
      <c r="E5" s="916"/>
      <c r="F5" s="916"/>
      <c r="G5" s="916"/>
      <c r="H5" s="916"/>
      <c r="I5" s="916"/>
      <c r="J5" s="916"/>
      <c r="K5" s="916"/>
      <c r="L5" s="927"/>
    </row>
    <row r="6" spans="1:12" ht="31.5">
      <c r="A6" s="926"/>
      <c r="B6" s="892" t="s">
        <v>1486</v>
      </c>
      <c r="C6" s="892" t="s">
        <v>1486</v>
      </c>
      <c r="D6" s="893" t="s">
        <v>1509</v>
      </c>
      <c r="E6" s="894" t="s">
        <v>699</v>
      </c>
      <c r="F6" s="895" t="s">
        <v>1510</v>
      </c>
      <c r="G6" s="896" t="s">
        <v>1487</v>
      </c>
      <c r="H6" s="897" t="s">
        <v>1511</v>
      </c>
      <c r="I6" s="916"/>
      <c r="J6" s="916"/>
      <c r="K6" s="916"/>
      <c r="L6" s="927"/>
    </row>
    <row r="7" spans="1:12">
      <c r="A7" s="926"/>
      <c r="B7" s="977" t="s">
        <v>1492</v>
      </c>
      <c r="C7" s="901" t="s">
        <v>1483</v>
      </c>
      <c r="D7" s="898" t="e">
        <f>'Liquidity Maturity Gap'!J73</f>
        <v>#DIV/0!</v>
      </c>
      <c r="E7" s="883">
        <v>0</v>
      </c>
      <c r="F7" s="884" t="e">
        <f>IF(D7&lt;E7,"Y","N")</f>
        <v>#DIV/0!</v>
      </c>
      <c r="G7" s="883">
        <v>-0.05</v>
      </c>
      <c r="H7" s="885" t="e">
        <f>IF(D7&lt;G7,"Y","N")</f>
        <v>#DIV/0!</v>
      </c>
      <c r="I7" s="916"/>
      <c r="J7" s="916"/>
      <c r="K7" s="916"/>
      <c r="L7" s="927"/>
    </row>
    <row r="8" spans="1:12">
      <c r="A8" s="926"/>
      <c r="B8" s="978"/>
      <c r="C8" s="917" t="s">
        <v>1484</v>
      </c>
      <c r="D8" s="898" t="e">
        <f>'Liquidity Maturity Gap'!J74</f>
        <v>#DIV/0!</v>
      </c>
      <c r="E8" s="918">
        <v>-0.15</v>
      </c>
      <c r="F8" s="919" t="e">
        <f t="shared" ref="F8:F9" si="0">IF(D8&lt;E8,"Y","N")</f>
        <v>#DIV/0!</v>
      </c>
      <c r="G8" s="918">
        <v>-0.2</v>
      </c>
      <c r="H8" s="920" t="e">
        <f t="shared" ref="H8:H9" si="1">IF(D8&lt;G8,"Y","N")</f>
        <v>#DIV/0!</v>
      </c>
      <c r="I8" s="916"/>
      <c r="J8" s="916"/>
      <c r="K8" s="916"/>
      <c r="L8" s="927"/>
    </row>
    <row r="9" spans="1:12" ht="17.25" thickBot="1">
      <c r="A9" s="926"/>
      <c r="B9" s="979"/>
      <c r="C9" s="902" t="s">
        <v>1485</v>
      </c>
      <c r="D9" s="899" t="e">
        <f>'Liquidity Maturity Gap'!J75</f>
        <v>#DIV/0!</v>
      </c>
      <c r="E9" s="886">
        <v>-0.4</v>
      </c>
      <c r="F9" s="887" t="e">
        <f t="shared" si="0"/>
        <v>#DIV/0!</v>
      </c>
      <c r="G9" s="886">
        <v>-0.45</v>
      </c>
      <c r="H9" s="888" t="e">
        <f t="shared" si="1"/>
        <v>#DIV/0!</v>
      </c>
      <c r="I9" s="916"/>
      <c r="J9" s="916"/>
      <c r="K9" s="916"/>
      <c r="L9" s="927"/>
    </row>
    <row r="10" spans="1:12">
      <c r="A10" s="926"/>
      <c r="B10" s="916"/>
      <c r="C10" s="916"/>
      <c r="D10" s="916"/>
      <c r="E10" s="916"/>
      <c r="F10" s="916"/>
      <c r="G10" s="916"/>
      <c r="H10" s="916"/>
      <c r="I10" s="916"/>
      <c r="J10" s="916"/>
      <c r="K10" s="916"/>
      <c r="L10" s="927"/>
    </row>
    <row r="11" spans="1:12" ht="17.25" thickBot="1">
      <c r="A11" s="926"/>
      <c r="B11" s="916"/>
      <c r="C11" s="916"/>
      <c r="D11" s="916"/>
      <c r="E11" s="916"/>
      <c r="F11" s="916"/>
      <c r="G11" s="916"/>
      <c r="H11" s="916"/>
      <c r="I11" s="916"/>
      <c r="J11" s="916"/>
      <c r="K11" s="916"/>
      <c r="L11" s="927"/>
    </row>
    <row r="12" spans="1:12" ht="17.25" thickTop="1">
      <c r="A12" s="926"/>
      <c r="B12" s="980" t="s">
        <v>1580</v>
      </c>
      <c r="C12" s="981"/>
      <c r="D12" s="981"/>
      <c r="E12" s="981"/>
      <c r="F12" s="981"/>
      <c r="G12" s="981"/>
      <c r="H12" s="981"/>
      <c r="I12" s="981"/>
      <c r="J12" s="981"/>
      <c r="K12" s="982"/>
      <c r="L12" s="927"/>
    </row>
    <row r="13" spans="1:12" ht="17.25" thickBot="1">
      <c r="A13" s="926"/>
      <c r="B13" s="983"/>
      <c r="C13" s="984"/>
      <c r="D13" s="984"/>
      <c r="E13" s="984"/>
      <c r="F13" s="984"/>
      <c r="G13" s="984"/>
      <c r="H13" s="984"/>
      <c r="I13" s="984"/>
      <c r="J13" s="984"/>
      <c r="K13" s="985"/>
      <c r="L13" s="927"/>
    </row>
    <row r="14" spans="1:12" ht="17.25" thickBot="1">
      <c r="A14" s="926"/>
      <c r="B14" s="986" t="s">
        <v>1568</v>
      </c>
      <c r="C14" s="904" t="s">
        <v>2</v>
      </c>
      <c r="D14" s="905">
        <f>BS_RE33!AL9</f>
        <v>46081</v>
      </c>
      <c r="E14" s="905">
        <f t="shared" ref="E14:K14" si="2">EOMONTH(D14,1)</f>
        <v>46112</v>
      </c>
      <c r="F14" s="905">
        <f t="shared" si="2"/>
        <v>46142</v>
      </c>
      <c r="G14" s="905">
        <f t="shared" si="2"/>
        <v>46173</v>
      </c>
      <c r="H14" s="905">
        <f>EOMONTH(G14,1)</f>
        <v>46203</v>
      </c>
      <c r="I14" s="905">
        <f t="shared" si="2"/>
        <v>46234</v>
      </c>
      <c r="J14" s="905">
        <f t="shared" si="2"/>
        <v>46265</v>
      </c>
      <c r="K14" s="906">
        <f t="shared" si="2"/>
        <v>46295</v>
      </c>
      <c r="L14" s="927"/>
    </row>
    <row r="15" spans="1:12" ht="17.25" thickBot="1">
      <c r="A15" s="926"/>
      <c r="B15" s="974"/>
      <c r="C15" s="907" t="s">
        <v>3</v>
      </c>
      <c r="D15" s="908">
        <f t="shared" ref="D15:K15" si="3">D14+7</f>
        <v>46088</v>
      </c>
      <c r="E15" s="908">
        <f t="shared" si="3"/>
        <v>46119</v>
      </c>
      <c r="F15" s="908">
        <f t="shared" si="3"/>
        <v>46149</v>
      </c>
      <c r="G15" s="908">
        <f t="shared" si="3"/>
        <v>46180</v>
      </c>
      <c r="H15" s="908">
        <f t="shared" si="3"/>
        <v>46210</v>
      </c>
      <c r="I15" s="908">
        <f t="shared" si="3"/>
        <v>46241</v>
      </c>
      <c r="J15" s="908">
        <f t="shared" si="3"/>
        <v>46272</v>
      </c>
      <c r="K15" s="909">
        <f t="shared" si="3"/>
        <v>46302</v>
      </c>
      <c r="L15" s="927"/>
    </row>
    <row r="16" spans="1:12" ht="18" thickTop="1" thickBot="1">
      <c r="A16" s="926"/>
      <c r="B16" s="921"/>
      <c r="C16" s="903" t="s">
        <v>1571</v>
      </c>
      <c r="D16" s="900" t="e">
        <f>BS_RE33!AL17</f>
        <v>#DIV/0!</v>
      </c>
      <c r="E16" s="900" t="e">
        <f>BS_RE33!AM17</f>
        <v>#DIV/0!</v>
      </c>
      <c r="F16" s="900" t="e">
        <f>BS_RE33!AN17</f>
        <v>#DIV/0!</v>
      </c>
      <c r="G16" s="900" t="e">
        <f>BS_RE33!AO17</f>
        <v>#DIV/0!</v>
      </c>
      <c r="H16" s="900" t="e">
        <f>BS_RE33!AP17</f>
        <v>#DIV/0!</v>
      </c>
      <c r="I16" s="900" t="e">
        <f>BS_RE33!AQ17</f>
        <v>#DIV/0!</v>
      </c>
      <c r="J16" s="900" t="e">
        <f>BS_RE33!AR17</f>
        <v>#DIV/0!</v>
      </c>
      <c r="K16" s="900" t="e">
        <f>BS_RE33!AS17</f>
        <v>#DIV/0!</v>
      </c>
      <c r="L16" s="927"/>
    </row>
    <row r="17" spans="1:12" ht="17.25" thickBot="1">
      <c r="A17" s="926"/>
      <c r="B17" s="921"/>
      <c r="C17" s="922" t="s">
        <v>699</v>
      </c>
      <c r="D17" s="889">
        <v>0</v>
      </c>
      <c r="E17" s="889">
        <f t="shared" ref="E17:K17" si="4">D17</f>
        <v>0</v>
      </c>
      <c r="F17" s="889">
        <f t="shared" si="4"/>
        <v>0</v>
      </c>
      <c r="G17" s="889">
        <f t="shared" si="4"/>
        <v>0</v>
      </c>
      <c r="H17" s="889">
        <f t="shared" si="4"/>
        <v>0</v>
      </c>
      <c r="I17" s="889">
        <f t="shared" si="4"/>
        <v>0</v>
      </c>
      <c r="J17" s="889">
        <f t="shared" si="4"/>
        <v>0</v>
      </c>
      <c r="K17" s="889">
        <f t="shared" si="4"/>
        <v>0</v>
      </c>
      <c r="L17" s="927"/>
    </row>
    <row r="18" spans="1:12" ht="18" thickTop="1" thickBot="1">
      <c r="A18" s="926"/>
      <c r="B18" s="923"/>
      <c r="C18" s="924"/>
      <c r="D18" s="925"/>
      <c r="E18" s="925"/>
      <c r="F18" s="925"/>
      <c r="G18" s="925"/>
      <c r="H18" s="925"/>
      <c r="I18" s="925"/>
      <c r="J18" s="925"/>
      <c r="K18" s="925"/>
      <c r="L18" s="927"/>
    </row>
    <row r="19" spans="1:12" ht="18" thickTop="1" thickBot="1">
      <c r="A19" s="926"/>
      <c r="B19" s="973" t="s">
        <v>1569</v>
      </c>
      <c r="C19" s="910" t="s">
        <v>1581</v>
      </c>
      <c r="D19" s="911">
        <f>D14</f>
        <v>46081</v>
      </c>
      <c r="E19" s="911">
        <f t="shared" ref="E19:K19" si="5">EOMONTH(D19,1)</f>
        <v>46112</v>
      </c>
      <c r="F19" s="911">
        <f t="shared" si="5"/>
        <v>46142</v>
      </c>
      <c r="G19" s="911">
        <f t="shared" si="5"/>
        <v>46173</v>
      </c>
      <c r="H19" s="911">
        <f t="shared" si="5"/>
        <v>46203</v>
      </c>
      <c r="I19" s="911">
        <f t="shared" si="5"/>
        <v>46234</v>
      </c>
      <c r="J19" s="911">
        <f t="shared" si="5"/>
        <v>46265</v>
      </c>
      <c r="K19" s="912">
        <f t="shared" si="5"/>
        <v>46295</v>
      </c>
      <c r="L19" s="927"/>
    </row>
    <row r="20" spans="1:12" ht="17.25" thickBot="1">
      <c r="A20" s="926"/>
      <c r="B20" s="974"/>
      <c r="C20" s="907" t="s">
        <v>3</v>
      </c>
      <c r="D20" s="908">
        <f>EOMONTH(D19,1)</f>
        <v>46112</v>
      </c>
      <c r="E20" s="908">
        <f t="shared" ref="E20:K20" si="6">EOMONTH(E19,1)</f>
        <v>46142</v>
      </c>
      <c r="F20" s="908">
        <f t="shared" si="6"/>
        <v>46173</v>
      </c>
      <c r="G20" s="908">
        <f t="shared" si="6"/>
        <v>46203</v>
      </c>
      <c r="H20" s="908">
        <f t="shared" si="6"/>
        <v>46234</v>
      </c>
      <c r="I20" s="908">
        <f t="shared" si="6"/>
        <v>46265</v>
      </c>
      <c r="J20" s="908">
        <f t="shared" si="6"/>
        <v>46295</v>
      </c>
      <c r="K20" s="909">
        <f t="shared" si="6"/>
        <v>46326</v>
      </c>
      <c r="L20" s="927"/>
    </row>
    <row r="21" spans="1:12" ht="18" thickTop="1" thickBot="1">
      <c r="A21" s="926"/>
      <c r="B21" s="921"/>
      <c r="C21" s="903" t="s">
        <v>1571</v>
      </c>
      <c r="D21" s="900" t="e">
        <f>BS_RE33!AL29</f>
        <v>#DIV/0!</v>
      </c>
      <c r="E21" s="900" t="e">
        <f>BS_RE33!AM29</f>
        <v>#DIV/0!</v>
      </c>
      <c r="F21" s="900" t="e">
        <f>BS_RE33!AN29</f>
        <v>#DIV/0!</v>
      </c>
      <c r="G21" s="900" t="e">
        <f>BS_RE33!AO29</f>
        <v>#DIV/0!</v>
      </c>
      <c r="H21" s="900" t="e">
        <f>BS_RE33!AP29</f>
        <v>#DIV/0!</v>
      </c>
      <c r="I21" s="900" t="e">
        <f>BS_RE33!AQ29</f>
        <v>#DIV/0!</v>
      </c>
      <c r="J21" s="900" t="e">
        <f>BS_RE33!AR29</f>
        <v>#DIV/0!</v>
      </c>
      <c r="K21" s="900" t="e">
        <f>BS_RE33!AS29</f>
        <v>#DIV/0!</v>
      </c>
      <c r="L21" s="927"/>
    </row>
    <row r="22" spans="1:12" ht="17.25" thickBot="1">
      <c r="A22" s="926"/>
      <c r="B22" s="921"/>
      <c r="C22" s="922" t="s">
        <v>699</v>
      </c>
      <c r="D22" s="889">
        <v>-0.15</v>
      </c>
      <c r="E22" s="889">
        <f t="shared" ref="E22:K22" si="7">D22</f>
        <v>-0.15</v>
      </c>
      <c r="F22" s="889">
        <f t="shared" si="7"/>
        <v>-0.15</v>
      </c>
      <c r="G22" s="889">
        <f t="shared" si="7"/>
        <v>-0.15</v>
      </c>
      <c r="H22" s="889">
        <f t="shared" si="7"/>
        <v>-0.15</v>
      </c>
      <c r="I22" s="889">
        <f t="shared" si="7"/>
        <v>-0.15</v>
      </c>
      <c r="J22" s="889">
        <f t="shared" si="7"/>
        <v>-0.15</v>
      </c>
      <c r="K22" s="889">
        <f t="shared" si="7"/>
        <v>-0.15</v>
      </c>
      <c r="L22" s="927"/>
    </row>
    <row r="23" spans="1:12" ht="18" thickTop="1" thickBot="1">
      <c r="A23" s="926"/>
      <c r="B23" s="923"/>
      <c r="C23" s="924"/>
      <c r="D23" s="925"/>
      <c r="E23" s="925"/>
      <c r="F23" s="925"/>
      <c r="G23" s="925"/>
      <c r="H23" s="925"/>
      <c r="I23" s="925"/>
      <c r="J23" s="925"/>
      <c r="K23" s="925"/>
      <c r="L23" s="927"/>
    </row>
    <row r="24" spans="1:12" ht="18" thickTop="1" thickBot="1">
      <c r="A24" s="926"/>
      <c r="B24" s="973" t="s">
        <v>1570</v>
      </c>
      <c r="C24" s="910" t="s">
        <v>2</v>
      </c>
      <c r="D24" s="911">
        <f>D19</f>
        <v>46081</v>
      </c>
      <c r="E24" s="911">
        <f t="shared" ref="E24:K24" si="8">EOMONTH(D24,1)</f>
        <v>46112</v>
      </c>
      <c r="F24" s="911">
        <f t="shared" si="8"/>
        <v>46142</v>
      </c>
      <c r="G24" s="911">
        <f t="shared" si="8"/>
        <v>46173</v>
      </c>
      <c r="H24" s="911">
        <f t="shared" si="8"/>
        <v>46203</v>
      </c>
      <c r="I24" s="911">
        <f t="shared" si="8"/>
        <v>46234</v>
      </c>
      <c r="J24" s="911">
        <f t="shared" si="8"/>
        <v>46265</v>
      </c>
      <c r="K24" s="912">
        <f t="shared" si="8"/>
        <v>46295</v>
      </c>
      <c r="L24" s="927"/>
    </row>
    <row r="25" spans="1:12" ht="17.25" thickBot="1">
      <c r="A25" s="926"/>
      <c r="B25" s="974"/>
      <c r="C25" s="907" t="s">
        <v>3</v>
      </c>
      <c r="D25" s="908">
        <f t="shared" ref="D25:K25" si="9">EOMONTH(D24,3)</f>
        <v>46173</v>
      </c>
      <c r="E25" s="908">
        <f t="shared" si="9"/>
        <v>46203</v>
      </c>
      <c r="F25" s="908">
        <f t="shared" si="9"/>
        <v>46234</v>
      </c>
      <c r="G25" s="908">
        <f t="shared" si="9"/>
        <v>46265</v>
      </c>
      <c r="H25" s="908">
        <f t="shared" si="9"/>
        <v>46295</v>
      </c>
      <c r="I25" s="908">
        <f t="shared" si="9"/>
        <v>46326</v>
      </c>
      <c r="J25" s="908">
        <f t="shared" si="9"/>
        <v>46356</v>
      </c>
      <c r="K25" s="909">
        <f t="shared" si="9"/>
        <v>46387</v>
      </c>
      <c r="L25" s="927"/>
    </row>
    <row r="26" spans="1:12" ht="18" thickTop="1" thickBot="1">
      <c r="A26" s="926"/>
      <c r="B26" s="921"/>
      <c r="C26" s="903" t="s">
        <v>1571</v>
      </c>
      <c r="D26" s="900" t="e">
        <f>BS_RE33!AL41</f>
        <v>#DIV/0!</v>
      </c>
      <c r="E26" s="900" t="e">
        <f>BS_RE33!AM41</f>
        <v>#DIV/0!</v>
      </c>
      <c r="F26" s="900" t="e">
        <f>BS_RE33!AN41</f>
        <v>#DIV/0!</v>
      </c>
      <c r="G26" s="900" t="e">
        <f>BS_RE33!AO41</f>
        <v>#DIV/0!</v>
      </c>
      <c r="H26" s="900" t="e">
        <f>BS_RE33!AP41</f>
        <v>#DIV/0!</v>
      </c>
      <c r="I26" s="900" t="e">
        <f>BS_RE33!AQ41</f>
        <v>#DIV/0!</v>
      </c>
      <c r="J26" s="900" t="e">
        <f>BS_RE33!AR41</f>
        <v>#DIV/0!</v>
      </c>
      <c r="K26" s="900" t="e">
        <f>BS_RE33!AS41</f>
        <v>#DIV/0!</v>
      </c>
      <c r="L26" s="927"/>
    </row>
    <row r="27" spans="1:12" ht="17.25" thickBot="1">
      <c r="A27" s="926"/>
      <c r="B27" s="921"/>
      <c r="C27" s="922" t="s">
        <v>699</v>
      </c>
      <c r="D27" s="889">
        <v>-0.4</v>
      </c>
      <c r="E27" s="889">
        <f t="shared" ref="E27:K27" si="10">D27</f>
        <v>-0.4</v>
      </c>
      <c r="F27" s="889">
        <f t="shared" si="10"/>
        <v>-0.4</v>
      </c>
      <c r="G27" s="889">
        <f t="shared" si="10"/>
        <v>-0.4</v>
      </c>
      <c r="H27" s="889">
        <f t="shared" si="10"/>
        <v>-0.4</v>
      </c>
      <c r="I27" s="889">
        <f t="shared" si="10"/>
        <v>-0.4</v>
      </c>
      <c r="J27" s="889">
        <f t="shared" si="10"/>
        <v>-0.4</v>
      </c>
      <c r="K27" s="889">
        <f t="shared" si="10"/>
        <v>-0.4</v>
      </c>
      <c r="L27" s="927"/>
    </row>
    <row r="28" spans="1:12" ht="17.25" thickTop="1">
      <c r="A28" s="926"/>
      <c r="B28" s="916"/>
      <c r="C28" s="916"/>
      <c r="D28" s="916"/>
      <c r="E28" s="916"/>
      <c r="F28" s="916"/>
      <c r="G28" s="916"/>
      <c r="H28" s="916"/>
      <c r="I28" s="916"/>
      <c r="J28" s="916"/>
      <c r="K28" s="916"/>
      <c r="L28" s="927"/>
    </row>
    <row r="29" spans="1:12">
      <c r="A29" s="926"/>
      <c r="B29" s="916"/>
      <c r="C29" s="916"/>
      <c r="D29" s="916"/>
      <c r="E29" s="916"/>
      <c r="F29" s="916"/>
      <c r="G29" s="916"/>
      <c r="H29" s="916"/>
      <c r="I29" s="916"/>
      <c r="J29" s="916"/>
      <c r="K29" s="916"/>
      <c r="L29" s="927"/>
    </row>
    <row r="30" spans="1:12">
      <c r="A30" s="926"/>
      <c r="B30" s="916"/>
      <c r="C30" s="916"/>
      <c r="D30" s="916"/>
      <c r="E30" s="916"/>
      <c r="F30" s="916"/>
      <c r="G30" s="916"/>
      <c r="H30" s="916"/>
      <c r="I30" s="916"/>
      <c r="J30" s="916"/>
      <c r="K30" s="916"/>
      <c r="L30" s="927"/>
    </row>
    <row r="31" spans="1:12" ht="17.25" thickBot="1">
      <c r="A31" s="928"/>
      <c r="B31" s="929"/>
      <c r="C31" s="929"/>
      <c r="D31" s="929"/>
      <c r="E31" s="929"/>
      <c r="F31" s="929"/>
      <c r="G31" s="929"/>
      <c r="H31" s="929"/>
      <c r="I31" s="929"/>
      <c r="J31" s="929"/>
      <c r="K31" s="929"/>
      <c r="L31" s="930"/>
    </row>
  </sheetData>
  <mergeCells count="6">
    <mergeCell ref="B24:B25"/>
    <mergeCell ref="B1:J1"/>
    <mergeCell ref="B7:B9"/>
    <mergeCell ref="B12:K13"/>
    <mergeCell ref="B14:B15"/>
    <mergeCell ref="B19:B20"/>
  </mergeCells>
  <phoneticPr fontId="3" type="noConversion"/>
  <conditionalFormatting sqref="F7">
    <cfRule type="expression" dxfId="71" priority="27">
      <formula>#REF!="Y"</formula>
    </cfRule>
    <cfRule type="expression" dxfId="70" priority="28">
      <formula>#REF!="N"</formula>
    </cfRule>
  </conditionalFormatting>
  <conditionalFormatting sqref="F8:F9">
    <cfRule type="expression" dxfId="69" priority="3">
      <formula>$G$23="Y"</formula>
    </cfRule>
    <cfRule type="expression" dxfId="68" priority="4">
      <formula>$G$23="N"</formula>
    </cfRule>
  </conditionalFormatting>
  <conditionalFormatting sqref="H7">
    <cfRule type="expression" dxfId="67" priority="29">
      <formula>#REF!="Y"</formula>
    </cfRule>
    <cfRule type="expression" dxfId="66" priority="30">
      <formula>#REF!="N"</formula>
    </cfRule>
  </conditionalFormatting>
  <conditionalFormatting sqref="H8:H9">
    <cfRule type="expression" dxfId="65" priority="1">
      <formula>$I$23="Y"</formula>
    </cfRule>
    <cfRule type="expression" dxfId="64" priority="2">
      <formula>$I$23="N"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2090-EDF7-4F76-A574-7593A2E19EF7}">
  <sheetPr>
    <tabColor theme="9" tint="0.79998168889431442"/>
    <pageSetUpPr fitToPage="1"/>
  </sheetPr>
  <dimension ref="A1:U77"/>
  <sheetViews>
    <sheetView showGridLines="0" zoomScale="55" zoomScaleNormal="55" workbookViewId="0">
      <pane ySplit="3" topLeftCell="A7" activePane="bottomLeft" state="frozen"/>
      <selection activeCell="B1" sqref="B1"/>
      <selection pane="bottomLeft" activeCell="J75" sqref="J75"/>
    </sheetView>
  </sheetViews>
  <sheetFormatPr defaultRowHeight="16.5"/>
  <cols>
    <col min="1" max="2" width="2.375" customWidth="1"/>
    <col min="3" max="3" width="19.5" bestFit="1" customWidth="1"/>
    <col min="4" max="4" width="35.125" bestFit="1" customWidth="1"/>
    <col min="5" max="5" width="59.875" bestFit="1" customWidth="1"/>
    <col min="6" max="6" width="58.5" customWidth="1"/>
    <col min="7" max="7" width="52.875" customWidth="1"/>
    <col min="8" max="17" width="22.75" customWidth="1"/>
    <col min="18" max="18" width="10.5" bestFit="1" customWidth="1"/>
    <col min="19" max="19" width="13.25" bestFit="1" customWidth="1"/>
    <col min="20" max="20" width="16.625" bestFit="1" customWidth="1"/>
    <col min="21" max="21" width="14.25" bestFit="1" customWidth="1"/>
  </cols>
  <sheetData>
    <row r="1" spans="3:20" ht="17.25" thickBot="1"/>
    <row r="2" spans="3:20" ht="27.75" thickTop="1" thickBot="1">
      <c r="C2" s="704">
        <f>BS_RE33!N4</f>
        <v>46058</v>
      </c>
      <c r="D2" s="512" t="b">
        <f>ROUND((F24-F51),0)=ROUND(SUM(H52:Q52),0)</f>
        <v>1</v>
      </c>
      <c r="F2" s="811"/>
      <c r="H2" s="811"/>
    </row>
    <row r="3" spans="3:20" ht="17.25" thickTop="1">
      <c r="C3" s="541" t="s">
        <v>733</v>
      </c>
      <c r="D3" s="705" t="s">
        <v>734</v>
      </c>
      <c r="E3" s="705" t="s">
        <v>55</v>
      </c>
      <c r="F3" s="705" t="s">
        <v>56</v>
      </c>
      <c r="G3" s="705" t="s">
        <v>5</v>
      </c>
      <c r="H3" s="705" t="s">
        <v>1481</v>
      </c>
      <c r="I3" s="705" t="s">
        <v>1488</v>
      </c>
      <c r="J3" s="705" t="s">
        <v>1490</v>
      </c>
      <c r="K3" s="705" t="s">
        <v>1493</v>
      </c>
      <c r="L3" s="705" t="s">
        <v>1491</v>
      </c>
      <c r="M3" s="705" t="s">
        <v>1494</v>
      </c>
      <c r="N3" s="705" t="s">
        <v>1495</v>
      </c>
      <c r="O3" s="705" t="s">
        <v>1496</v>
      </c>
      <c r="P3" s="705" t="s">
        <v>1497</v>
      </c>
      <c r="Q3" s="706" t="s">
        <v>1498</v>
      </c>
    </row>
    <row r="4" spans="3:20" ht="17.45" customHeight="1">
      <c r="C4" s="987" t="s">
        <v>735</v>
      </c>
      <c r="D4" s="932" t="s">
        <v>736</v>
      </c>
      <c r="E4" s="707" t="s">
        <v>62</v>
      </c>
      <c r="F4" s="708"/>
      <c r="G4" s="701" t="s">
        <v>64</v>
      </c>
      <c r="H4" s="723">
        <f>SUMIF(BS_RE33!$P$7:$P$874,G4,BS_RE33!$X$7:$X$874)</f>
        <v>0</v>
      </c>
      <c r="I4" s="723">
        <f>SUMIF(BS_RE33!$P$7:$P$874,G4,BS_RE33!$Y$7:$Y$874)</f>
        <v>0</v>
      </c>
      <c r="J4" s="725">
        <f>SUMIF(BS_RE33!$P$7:$P$874,G4,BS_RE33!$Z$7:$Z$874)</f>
        <v>0</v>
      </c>
      <c r="K4" s="723">
        <f>SUMIF(BS_RE33!$P$7:$P$874,G4,BS_RE33!$AA$7:$AA$874)</f>
        <v>0</v>
      </c>
      <c r="L4" s="723">
        <f>SUMIF(BS_RE33!$P$7:$P$874,G4,BS_RE33!$AB$7:$AB$874)</f>
        <v>0</v>
      </c>
      <c r="M4" s="723">
        <f>SUMIF(BS_RE33!$P$7:$P$874,G4,BS_RE33!$AC$7:$AC$874)</f>
        <v>0</v>
      </c>
      <c r="N4" s="723">
        <f>SUMIF(BS_RE33!$P$7:$P$874,G4,BS_RE33!$AD$7:$AD$874)</f>
        <v>0</v>
      </c>
      <c r="O4" s="723">
        <f>SUMIF(BS_RE33!$P$7:$P$874,G4,BS_RE33!$AE$7:$AE$874)</f>
        <v>0</v>
      </c>
      <c r="P4" s="723">
        <f>SUMIF(BS_RE33!$P$7:$P$874,G4,BS_RE33!$AF$7:$AF$874)</f>
        <v>0</v>
      </c>
      <c r="Q4" s="724">
        <f>SUMIF(BS_RE33!$P$7:$P$874,G4,BS_RE33!$AG$7:$AG$874)</f>
        <v>0</v>
      </c>
    </row>
    <row r="5" spans="3:20" ht="18" customHeight="1" thickBot="1">
      <c r="C5" s="988"/>
      <c r="D5" s="932"/>
      <c r="E5" s="707" t="s">
        <v>61</v>
      </c>
      <c r="F5" s="700"/>
      <c r="G5" s="701" t="s">
        <v>496</v>
      </c>
      <c r="H5" s="727">
        <f>SUMIF(BS_RE33!$P$7:$P$874,G5,BS_RE33!$X$7:$X$874)</f>
        <v>0</v>
      </c>
      <c r="I5" s="723">
        <f>SUMIF(BS_RE33!$P$7:$P$874,G5,BS_RE33!$Y$7:$Y$874)</f>
        <v>0</v>
      </c>
      <c r="J5" s="723">
        <f>SUMIF(BS_RE33!$P$7:$P$874,G5,BS_RE33!$Z$7:$Z$874)</f>
        <v>0</v>
      </c>
      <c r="K5" s="723">
        <f>SUMIF(BS_RE33!$P$7:$P$874,G5,BS_RE33!$AA$7:$AA$874)</f>
        <v>0</v>
      </c>
      <c r="L5" s="723">
        <f>SUMIF(BS_RE33!$P$7:$P$874,G5,BS_RE33!$AB$7:$AB$874)</f>
        <v>0</v>
      </c>
      <c r="M5" s="723">
        <f>SUMIF(BS_RE33!$P$7:$P$874,G5,BS_RE33!$AC$7:$AC$874)</f>
        <v>0</v>
      </c>
      <c r="N5" s="723">
        <f>SUMIF(BS_RE33!$P$7:$P$874,G5,BS_RE33!$AD$7:$AD$874)</f>
        <v>0</v>
      </c>
      <c r="O5" s="723">
        <f>SUMIF(BS_RE33!$P$7:$P$874,G5,BS_RE33!$AE$7:$AE$874)</f>
        <v>0</v>
      </c>
      <c r="P5" s="723">
        <f>SUMIF(BS_RE33!$P$7:$P$874,G5,BS_RE33!$AF$7:$AF$874)</f>
        <v>0</v>
      </c>
      <c r="Q5" s="724">
        <f>SUMIF(BS_RE33!$P$7:$P$874,G5,BS_RE33!$AG$7:$AG$874)</f>
        <v>0</v>
      </c>
    </row>
    <row r="6" spans="3:20" ht="20.45" customHeight="1" thickTop="1">
      <c r="C6" s="988"/>
      <c r="D6" s="933" t="s">
        <v>60</v>
      </c>
      <c r="E6" s="707" t="s">
        <v>60</v>
      </c>
      <c r="F6" s="731" t="s">
        <v>1505</v>
      </c>
      <c r="G6" s="755" t="s">
        <v>1503</v>
      </c>
      <c r="H6" s="781">
        <f>SUMIF(BS_RE33!$P$7:$P$874,G6,BS_RE33!$X$7:$X$874)</f>
        <v>0</v>
      </c>
      <c r="I6" s="756">
        <f>SUMIF(BS_RE33!$P$7:$P$874,G6,BS_RE33!$Y$7:$Y$874)</f>
        <v>0</v>
      </c>
      <c r="J6" s="723">
        <f>SUMIF(BS_RE33!$P$7:$P$874,G6,BS_RE33!$Z$7:$Z$874)</f>
        <v>0</v>
      </c>
      <c r="K6" s="723">
        <f>SUMIF(BS_RE33!$P$7:$P$874,G6,BS_RE33!$AA$7:$AA$874)</f>
        <v>0</v>
      </c>
      <c r="L6" s="723">
        <f>SUMIF(BS_RE33!$P$7:$P$874,G6,BS_RE33!$AB$7:$AB$874)</f>
        <v>0</v>
      </c>
      <c r="M6" s="723">
        <f>SUMIF(BS_RE33!$P$7:$P$874,G6,BS_RE33!$AC$7:$AC$874)</f>
        <v>0</v>
      </c>
      <c r="N6" s="723">
        <f>SUMIF(BS_RE33!$P$7:$P$874,G6,BS_RE33!$AD$7:$AD$874)</f>
        <v>0</v>
      </c>
      <c r="O6" s="723">
        <f>SUMIF(BS_RE33!$P$7:$P$874,G6,BS_RE33!$AE$7:$AE$874)</f>
        <v>0</v>
      </c>
      <c r="P6" s="723">
        <f>SUMIF(BS_RE33!$P$7:$P$874,G6,BS_RE33!$AF$7:$AF$874)</f>
        <v>0</v>
      </c>
      <c r="Q6" s="724">
        <f>SUMIF(BS_RE33!$P$7:$P$874,G6,BS_RE33!$AG$7:$AG$874)</f>
        <v>0</v>
      </c>
    </row>
    <row r="7" spans="3:20" ht="20.45" customHeight="1" thickBot="1">
      <c r="C7" s="988"/>
      <c r="D7" s="934"/>
      <c r="E7" s="707" t="s">
        <v>60</v>
      </c>
      <c r="F7" s="731" t="s">
        <v>1274</v>
      </c>
      <c r="G7" s="755" t="s">
        <v>1504</v>
      </c>
      <c r="H7" s="782">
        <f>SUMIF(BS_RE33!$P$7:$P$874,G7,BS_RE33!$X$7:$X$874)</f>
        <v>0</v>
      </c>
      <c r="I7" s="756">
        <f>SUMIF(BS_RE33!$P$7:$P$874,G7,BS_RE33!$Y$7:$Y$874)</f>
        <v>0</v>
      </c>
      <c r="J7" s="723">
        <f>SUMIF(BS_RE33!$P$7:$P$874,G7,BS_RE33!$Z$7:$Z$874)</f>
        <v>0</v>
      </c>
      <c r="K7" s="723">
        <f>SUMIF(BS_RE33!$P$7:$P$874,G7,BS_RE33!$AA$7:$AA$874)</f>
        <v>0</v>
      </c>
      <c r="L7" s="723">
        <f>SUMIF(BS_RE33!$P$7:$P$874,G7,BS_RE33!$AB$7:$AB$874)</f>
        <v>0</v>
      </c>
      <c r="M7" s="723">
        <f>SUMIF(BS_RE33!$P$7:$P$874,G7,BS_RE33!$AC$7:$AC$874)</f>
        <v>0</v>
      </c>
      <c r="N7" s="723">
        <f>SUMIF(BS_RE33!$P$7:$P$874,G7,BS_RE33!$AD$7:$AD$874)</f>
        <v>0</v>
      </c>
      <c r="O7" s="723">
        <f>SUMIF(BS_RE33!$P$7:$P$874,G7,BS_RE33!$AE$7:$AE$874)</f>
        <v>0</v>
      </c>
      <c r="P7" s="723">
        <f>SUMIF(BS_RE33!$P$7:$P$874,G7,BS_RE33!$AF$7:$AF$874)</f>
        <v>0</v>
      </c>
      <c r="Q7" s="724">
        <f>SUMIF(BS_RE33!$P$7:$P$874,G7,BS_RE33!$AG$7:$AG$874)</f>
        <v>0</v>
      </c>
    </row>
    <row r="8" spans="3:20" ht="21" thickTop="1">
      <c r="C8" s="988"/>
      <c r="D8" s="935" t="s">
        <v>737</v>
      </c>
      <c r="E8" s="709" t="s">
        <v>546</v>
      </c>
      <c r="F8" s="700"/>
      <c r="G8" s="701" t="s">
        <v>547</v>
      </c>
      <c r="H8" s="757">
        <f>SUMIF(BS_RE33!$P$7:$P$874,G8,BS_RE33!$X$7:$X$874)</f>
        <v>0</v>
      </c>
      <c r="I8" s="723">
        <f>SUMIF(BS_RE33!$P$7:$P$874,G8,BS_RE33!$Y$7:$Y$874)</f>
        <v>0</v>
      </c>
      <c r="J8" s="723">
        <f>SUMIF(BS_RE33!$P$7:$P$874,G8,BS_RE33!$Z$7:$Z$874)</f>
        <v>0</v>
      </c>
      <c r="K8" s="723">
        <f>SUMIF(BS_RE33!$P$7:$P$874,G8,BS_RE33!$AA$7:$AA$874)</f>
        <v>0</v>
      </c>
      <c r="L8" s="723">
        <f>SUMIF(BS_RE33!$P$7:$P$874,G8,BS_RE33!$AB$7:$AB$874)</f>
        <v>0</v>
      </c>
      <c r="M8" s="723">
        <f>SUMIF(BS_RE33!$P$7:$P$874,G8,BS_RE33!$AC$7:$AC$874)</f>
        <v>0</v>
      </c>
      <c r="N8" s="723">
        <f>SUMIF(BS_RE33!$P$7:$P$874,G8,BS_RE33!$AD$7:$AD$874)</f>
        <v>0</v>
      </c>
      <c r="O8" s="723">
        <f>SUMIF(BS_RE33!$P$7:$P$874,G8,BS_RE33!$AE$7:$AE$874)</f>
        <v>0</v>
      </c>
      <c r="P8" s="723">
        <f>SUMIF(BS_RE33!$P$7:$P$874,G8,BS_RE33!$AF$7:$AF$874)</f>
        <v>0</v>
      </c>
      <c r="Q8" s="724">
        <f>SUMIF(BS_RE33!$P$7:$P$874,G8,BS_RE33!$AG$7:$AG$874)</f>
        <v>0</v>
      </c>
    </row>
    <row r="9" spans="3:20" ht="17.45" customHeight="1">
      <c r="C9" s="988"/>
      <c r="D9" s="932" t="s">
        <v>739</v>
      </c>
      <c r="E9" s="710" t="s">
        <v>69</v>
      </c>
      <c r="F9" s="711" t="s">
        <v>491</v>
      </c>
      <c r="G9" s="701" t="s">
        <v>1502</v>
      </c>
      <c r="H9" s="723">
        <f>SUMIF(BS_RE33!$P$7:$P$874,G9,BS_RE33!$X$7:$X$874)</f>
        <v>0</v>
      </c>
      <c r="I9" s="723">
        <f>SUMIF(BS_RE33!$P$7:$P$874,G9,BS_RE33!$Y$7:$Y$874)</f>
        <v>0</v>
      </c>
      <c r="J9" s="723">
        <f>SUMIF(BS_RE33!$P$7:$P$874,G9,BS_RE33!$Z$7:$Z$874)</f>
        <v>0</v>
      </c>
      <c r="K9" s="723">
        <f>SUMIF(BS_RE33!$P$7:$P$874,G9,BS_RE33!$AA$7:$AA$874)</f>
        <v>0</v>
      </c>
      <c r="L9" s="723">
        <f>SUMIF(BS_RE33!$P$7:$P$874,G9,BS_RE33!$AB$7:$AB$874)</f>
        <v>0</v>
      </c>
      <c r="M9" s="723">
        <f>SUMIF(BS_RE33!$P$7:$P$874,G9,BS_RE33!$AC$7:$AC$874)</f>
        <v>0</v>
      </c>
      <c r="N9" s="723">
        <f>SUMIF(BS_RE33!$P$7:$P$874,G9,BS_RE33!$AD$7:$AD$874)</f>
        <v>0</v>
      </c>
      <c r="O9" s="723">
        <f>SUMIF(BS_RE33!$P$7:$P$874,G9,BS_RE33!$AE$7:$AE$874)</f>
        <v>0</v>
      </c>
      <c r="P9" s="723">
        <f>SUMIF(BS_RE33!$P$7:$P$874,G9,BS_RE33!$AF$7:$AF$874)</f>
        <v>0</v>
      </c>
      <c r="Q9" s="724">
        <f>SUMIF(BS_RE33!$P$7:$P$874,G9,BS_RE33!$AG$7:$AG$874)</f>
        <v>0</v>
      </c>
    </row>
    <row r="10" spans="3:20" ht="17.45" customHeight="1">
      <c r="C10" s="988"/>
      <c r="D10" s="932"/>
      <c r="E10" s="710" t="s">
        <v>69</v>
      </c>
      <c r="F10" s="711" t="s">
        <v>490</v>
      </c>
      <c r="G10" s="701" t="s">
        <v>498</v>
      </c>
      <c r="H10" s="723">
        <f>SUMIF(BS_RE33!$P$7:$P$874,G10,BS_RE33!$X$7:$X$874)</f>
        <v>0</v>
      </c>
      <c r="I10" s="723">
        <f>SUMIF(BS_RE33!$P$7:$P$874,G10,BS_RE33!$Y$7:$Y$874)</f>
        <v>0</v>
      </c>
      <c r="J10" s="723">
        <f>SUMIF(BS_RE33!$P$7:$P$874,G10,BS_RE33!$Z$7:$Z$874)</f>
        <v>0</v>
      </c>
      <c r="K10" s="723">
        <f>SUMIF(BS_RE33!$P$7:$P$874,G10,BS_RE33!$AA$7:$AA$874)</f>
        <v>0</v>
      </c>
      <c r="L10" s="723">
        <f>SUMIF(BS_RE33!$P$7:$P$874,G10,BS_RE33!$AB$7:$AB$874)</f>
        <v>0</v>
      </c>
      <c r="M10" s="723">
        <f>SUMIF(BS_RE33!$P$7:$P$874,G10,BS_RE33!$AC$7:$AC$874)</f>
        <v>0</v>
      </c>
      <c r="N10" s="723">
        <f>SUMIF(BS_RE33!$P$7:$P$874,G10,BS_RE33!$AD$7:$AD$874)</f>
        <v>0</v>
      </c>
      <c r="O10" s="723">
        <f>SUMIF(BS_RE33!$P$7:$P$874,G10,BS_RE33!$AE$7:$AE$874)</f>
        <v>0</v>
      </c>
      <c r="P10" s="723">
        <f>SUMIF(BS_RE33!$P$7:$P$874,G10,BS_RE33!$AF$7:$AF$874)</f>
        <v>0</v>
      </c>
      <c r="Q10" s="724">
        <f>SUMIF(BS_RE33!$P$7:$P$874,G10,BS_RE33!$AG$7:$AG$874)</f>
        <v>0</v>
      </c>
    </row>
    <row r="11" spans="3:20" ht="17.45" customHeight="1">
      <c r="C11" s="988"/>
      <c r="D11" s="932"/>
      <c r="E11" s="710" t="s">
        <v>69</v>
      </c>
      <c r="F11" s="711" t="s">
        <v>489</v>
      </c>
      <c r="G11" s="701" t="s">
        <v>499</v>
      </c>
      <c r="H11" s="723">
        <f>SUMIF(BS_RE33!$P$7:$P$874,G11,BS_RE33!$X$7:$X$874)</f>
        <v>0</v>
      </c>
      <c r="I11" s="723">
        <f>SUMIF(BS_RE33!$P$7:$P$874,G11,BS_RE33!$Y$7:$Y$874)</f>
        <v>0</v>
      </c>
      <c r="J11" s="723">
        <f>SUMIF(BS_RE33!$P$7:$P$874,G11,BS_RE33!$Z$7:$Z$874)</f>
        <v>0</v>
      </c>
      <c r="K11" s="723">
        <f>SUMIF(BS_RE33!$P$7:$P$874,G11,BS_RE33!$AA$7:$AA$874)</f>
        <v>0</v>
      </c>
      <c r="L11" s="723">
        <f>SUMIF(BS_RE33!$P$7:$P$874,G11,BS_RE33!$AB$7:$AB$874)</f>
        <v>0</v>
      </c>
      <c r="M11" s="723">
        <f>SUMIF(BS_RE33!$P$7:$P$874,G11,BS_RE33!$AC$7:$AC$874)</f>
        <v>0</v>
      </c>
      <c r="N11" s="723">
        <f>SUMIF(BS_RE33!$P$7:$P$874,G11,BS_RE33!$AD$7:$AD$874)</f>
        <v>0</v>
      </c>
      <c r="O11" s="723">
        <f>SUMIF(BS_RE33!$P$7:$P$874,G11,BS_RE33!$AE$7:$AE$874)</f>
        <v>0</v>
      </c>
      <c r="P11" s="723">
        <f>SUMIF(BS_RE33!$P$7:$P$874,G11,BS_RE33!$AF$7:$AF$874)</f>
        <v>0</v>
      </c>
      <c r="Q11" s="724">
        <f>SUMIF(BS_RE33!$P$7:$P$874,G11,BS_RE33!$AG$7:$AG$874)</f>
        <v>0</v>
      </c>
    </row>
    <row r="12" spans="3:20" ht="17.45" customHeight="1">
      <c r="C12" s="988"/>
      <c r="D12" s="932"/>
      <c r="E12" s="710" t="s">
        <v>69</v>
      </c>
      <c r="F12" s="712" t="s">
        <v>500</v>
      </c>
      <c r="G12" s="701" t="s">
        <v>501</v>
      </c>
      <c r="H12" s="723">
        <f>SUMIF(BS_RE33!$P$7:$P$874,G12,BS_RE33!$X$7:$X$874)</f>
        <v>0</v>
      </c>
      <c r="I12" s="723">
        <f>SUMIF(BS_RE33!$P$7:$P$874,G12,BS_RE33!$Y$7:$Y$874)</f>
        <v>0</v>
      </c>
      <c r="J12" s="723">
        <f>SUMIF(BS_RE33!$P$7:$P$874,G12,BS_RE33!$Z$7:$Z$874)</f>
        <v>0</v>
      </c>
      <c r="K12" s="723">
        <f>SUMIF(BS_RE33!$P$7:$P$874,G12,BS_RE33!$AA$7:$AA$874)</f>
        <v>0</v>
      </c>
      <c r="L12" s="723">
        <f>SUMIF(BS_RE33!$P$7:$P$874,G12,BS_RE33!$AB$7:$AB$874)</f>
        <v>0</v>
      </c>
      <c r="M12" s="723">
        <f>SUMIF(BS_RE33!$P$7:$P$874,G12,BS_RE33!$AC$7:$AC$874)</f>
        <v>0</v>
      </c>
      <c r="N12" s="723">
        <f>SUMIF(BS_RE33!$P$7:$P$874,G12,BS_RE33!$AD$7:$AD$874)</f>
        <v>0</v>
      </c>
      <c r="O12" s="723">
        <f>SUMIF(BS_RE33!$P$7:$P$874,G12,BS_RE33!$AE$7:$AE$874)</f>
        <v>0</v>
      </c>
      <c r="P12" s="723">
        <f>SUMIF(BS_RE33!$P$7:$P$874,G12,BS_RE33!$AF$7:$AF$874)</f>
        <v>0</v>
      </c>
      <c r="Q12" s="724">
        <f>SUMIF(BS_RE33!$P$7:$P$874,G12,BS_RE33!$AG$7:$AG$874)</f>
        <v>0</v>
      </c>
      <c r="T12" s="695"/>
    </row>
    <row r="13" spans="3:20" ht="17.45" customHeight="1">
      <c r="C13" s="988"/>
      <c r="D13" s="932"/>
      <c r="E13" s="710" t="s">
        <v>69</v>
      </c>
      <c r="F13" s="712" t="s">
        <v>502</v>
      </c>
      <c r="G13" s="701" t="s">
        <v>503</v>
      </c>
      <c r="H13" s="723">
        <f>SUMIF(BS_RE33!$P$7:$P$874,G13,BS_RE33!$X$7:$X$874)</f>
        <v>0</v>
      </c>
      <c r="I13" s="723">
        <f>SUMIF(BS_RE33!$P$7:$P$874,G13,BS_RE33!$Y$7:$Y$874)</f>
        <v>0</v>
      </c>
      <c r="J13" s="723">
        <f>SUMIF(BS_RE33!$P$7:$P$874,G13,BS_RE33!$Z$7:$Z$874)</f>
        <v>0</v>
      </c>
      <c r="K13" s="723">
        <f>SUMIF(BS_RE33!$P$7:$P$874,G13,BS_RE33!$AA$7:$AA$874)</f>
        <v>0</v>
      </c>
      <c r="L13" s="723">
        <f>SUMIF(BS_RE33!$P$7:$P$874,G13,BS_RE33!$AB$7:$AB$874)</f>
        <v>0</v>
      </c>
      <c r="M13" s="723">
        <f>SUMIF(BS_RE33!$P$7:$P$874,G13,BS_RE33!$AC$7:$AC$874)</f>
        <v>0</v>
      </c>
      <c r="N13" s="723">
        <f>SUMIF(BS_RE33!$P$7:$P$874,G13,BS_RE33!$AD$7:$AD$874)</f>
        <v>0</v>
      </c>
      <c r="O13" s="723">
        <f>SUMIF(BS_RE33!$P$7:$P$874,G13,BS_RE33!$AE$7:$AE$874)</f>
        <v>0</v>
      </c>
      <c r="P13" s="723">
        <f>SUMIF(BS_RE33!$P$7:$P$874,G13,BS_RE33!$AF$7:$AF$874)</f>
        <v>0</v>
      </c>
      <c r="Q13" s="724">
        <f>SUMIF(BS_RE33!$P$7:$P$874,G13,BS_RE33!$AG$7:$AG$874)</f>
        <v>0</v>
      </c>
    </row>
    <row r="14" spans="3:20" s="395" customFormat="1" ht="17.45" customHeight="1">
      <c r="C14" s="988"/>
      <c r="D14" s="932"/>
      <c r="E14" s="710" t="s">
        <v>69</v>
      </c>
      <c r="F14" s="712" t="s">
        <v>504</v>
      </c>
      <c r="G14" s="701" t="s">
        <v>505</v>
      </c>
      <c r="H14" s="723">
        <f>SUMIF(BS_RE33!$P$7:$P$874,G14,BS_RE33!$X$7:$X$874)</f>
        <v>0</v>
      </c>
      <c r="I14" s="723">
        <f>SUMIF(BS_RE33!$P$7:$P$874,G14,BS_RE33!$Y$7:$Y$874)</f>
        <v>0</v>
      </c>
      <c r="J14" s="723">
        <f>SUMIF(BS_RE33!$P$7:$P$874,G14,BS_RE33!$Z$7:$Z$874)</f>
        <v>0</v>
      </c>
      <c r="K14" s="723">
        <f>SUMIF(BS_RE33!$P$7:$P$874,G14,BS_RE33!$AA$7:$AA$874)</f>
        <v>0</v>
      </c>
      <c r="L14" s="723">
        <f>SUMIF(BS_RE33!$P$7:$P$874,G14,BS_RE33!$AB$7:$AB$874)</f>
        <v>0</v>
      </c>
      <c r="M14" s="723">
        <f>SUMIF(BS_RE33!$P$7:$P$874,G14,BS_RE33!$AC$7:$AC$874)</f>
        <v>0</v>
      </c>
      <c r="N14" s="723">
        <f>SUMIF(BS_RE33!$P$7:$P$874,G14,BS_RE33!$AD$7:$AD$874)</f>
        <v>0</v>
      </c>
      <c r="O14" s="723">
        <f>SUMIF(BS_RE33!$P$7:$P$874,G14,BS_RE33!$AE$7:$AE$874)</f>
        <v>0</v>
      </c>
      <c r="P14" s="723">
        <f>SUMIF(BS_RE33!$P$7:$P$874,G14,BS_RE33!$AF$7:$AF$874)</f>
        <v>0</v>
      </c>
      <c r="Q14" s="724">
        <f>SUMIF(BS_RE33!$P$7:$P$874,G14,BS_RE33!$AG$7:$AG$874)</f>
        <v>0</v>
      </c>
      <c r="T14" s="816"/>
    </row>
    <row r="15" spans="3:20" s="395" customFormat="1" ht="17.45" customHeight="1">
      <c r="C15" s="988"/>
      <c r="D15" s="932"/>
      <c r="E15" s="713" t="s">
        <v>69</v>
      </c>
      <c r="F15" s="711" t="s">
        <v>493</v>
      </c>
      <c r="G15" s="701" t="s">
        <v>506</v>
      </c>
      <c r="H15" s="723">
        <f>SUMIF(BS_RE33!$P$7:$P$874,G15,BS_RE33!$X$7:$X$874)</f>
        <v>0</v>
      </c>
      <c r="I15" s="723">
        <f>SUMIF(BS_RE33!$P$7:$P$874,G15,BS_RE33!$Y$7:$Y$874)</f>
        <v>0</v>
      </c>
      <c r="J15" s="725">
        <f>SUMIF(BS_RE33!$P$7:$P$874,G15,BS_RE33!$Z$7:$Z$874)</f>
        <v>0</v>
      </c>
      <c r="K15" s="725">
        <f>SUMIF(BS_RE33!$P$7:$P$874,G15,BS_RE33!$AA$7:$AA$874)</f>
        <v>0</v>
      </c>
      <c r="L15" s="725">
        <f>SUMIF(BS_RE33!$P$7:$P$874,G15,BS_RE33!$AB$7:$AB$874)</f>
        <v>0</v>
      </c>
      <c r="M15" s="725">
        <f>SUMIF(BS_RE33!$P$7:$P$874,G15,BS_RE33!$AC$7:$AC$874)</f>
        <v>0</v>
      </c>
      <c r="N15" s="725">
        <f>SUMIF(BS_RE33!$P$7:$P$874,G15,BS_RE33!$AD$7:$AD$874)</f>
        <v>0</v>
      </c>
      <c r="O15" s="725">
        <f>SUMIF(BS_RE33!$P$7:$P$874,G15,BS_RE33!$AE$7:$AE$874)</f>
        <v>0</v>
      </c>
      <c r="P15" s="725">
        <f>SUMIF(BS_RE33!$P$7:$P$874,G15,BS_RE33!$AF$7:$AF$874)</f>
        <v>0</v>
      </c>
      <c r="Q15" s="726">
        <f>SUMIF(BS_RE33!$P$7:$P$874,G15,BS_RE33!$AG$7:$AG$874)</f>
        <v>0</v>
      </c>
    </row>
    <row r="16" spans="3:20" s="395" customFormat="1" ht="20.25">
      <c r="C16" s="988"/>
      <c r="D16" s="935" t="s">
        <v>740</v>
      </c>
      <c r="E16" s="709" t="s">
        <v>542</v>
      </c>
      <c r="F16" s="700"/>
      <c r="G16" s="701" t="s">
        <v>544</v>
      </c>
      <c r="H16" s="723">
        <f>SUMIF(BS_RE33!$P$7:$P$874,G16,BS_RE33!$X$7:$X$874)</f>
        <v>0</v>
      </c>
      <c r="I16" s="723">
        <f>SUMIF(BS_RE33!$P$7:$P$874,G16,BS_RE33!$Y$7:$Y$874)</f>
        <v>0</v>
      </c>
      <c r="J16" s="723">
        <f>SUMIF(BS_RE33!$P$7:$P$874,G16,BS_RE33!$Z$7:$Z$874)</f>
        <v>0</v>
      </c>
      <c r="K16" s="723">
        <f>SUMIF(BS_RE33!$P$7:$P$874,G16,BS_RE33!$AA$7:$AA$874)</f>
        <v>0</v>
      </c>
      <c r="L16" s="723">
        <f>SUMIF(BS_RE33!$P$7:$P$874,G16,BS_RE33!$AB$7:$AB$874)</f>
        <v>0</v>
      </c>
      <c r="M16" s="723">
        <f>SUMIF(BS_RE33!$P$7:$P$874,G16,BS_RE33!$AC$7:$AC$874)</f>
        <v>0</v>
      </c>
      <c r="N16" s="723">
        <f>SUMIF(BS_RE33!$P$7:$P$874,G16,BS_RE33!$AD$7:$AD$874)</f>
        <v>0</v>
      </c>
      <c r="O16" s="723">
        <f>SUMIF(BS_RE33!$P$7:$P$874,G16,BS_RE33!$AE$7:$AE$874)</f>
        <v>0</v>
      </c>
      <c r="P16" s="723">
        <f>SUMIF(BS_RE33!$P$7:$P$874,G16,BS_RE33!$AF$7:$AF$874)</f>
        <v>0</v>
      </c>
      <c r="Q16" s="724">
        <f>SUMIF(BS_RE33!$P$7:$P$874,G16,BS_RE33!$AG$7:$AG$874)</f>
        <v>0</v>
      </c>
      <c r="T16" s="779"/>
    </row>
    <row r="17" spans="1:20" s="395" customFormat="1" ht="17.45" customHeight="1">
      <c r="A17"/>
      <c r="B17"/>
      <c r="C17" s="988"/>
      <c r="D17" s="936" t="s">
        <v>741</v>
      </c>
      <c r="E17" s="707" t="s">
        <v>552</v>
      </c>
      <c r="F17" s="700"/>
      <c r="G17" s="701" t="s">
        <v>553</v>
      </c>
      <c r="H17" s="723">
        <f>SUMIF(BS_RE33!$P$7:$P$874,G17,BS_RE33!$X$7:$X$874)</f>
        <v>0</v>
      </c>
      <c r="I17" s="723">
        <f>SUMIF(BS_RE33!$P$7:$P$874,G17,BS_RE33!$Y$7:$Y$874)</f>
        <v>0</v>
      </c>
      <c r="J17" s="723">
        <f>SUMIF(BS_RE33!$P$7:$P$874,G17,BS_RE33!$Z$7:$Z$874)</f>
        <v>0</v>
      </c>
      <c r="K17" s="723">
        <f>SUMIF(BS_RE33!$P$7:$P$874,G17,BS_RE33!$AA$7:$AA$874)</f>
        <v>0</v>
      </c>
      <c r="L17" s="723">
        <f>SUMIF(BS_RE33!$P$7:$P$874,G17,BS_RE33!$AB$7:$AB$874)</f>
        <v>0</v>
      </c>
      <c r="M17" s="723">
        <f>SUMIF(BS_RE33!$P$7:$P$874,G17,BS_RE33!$AC$7:$AC$874)</f>
        <v>0</v>
      </c>
      <c r="N17" s="723">
        <f>SUMIF(BS_RE33!$P$7:$P$874,G17,BS_RE33!$AD$7:$AD$874)</f>
        <v>0</v>
      </c>
      <c r="O17" s="723">
        <f>SUMIF(BS_RE33!$P$7:$P$874,G17,BS_RE33!$AE$7:$AE$874)</f>
        <v>0</v>
      </c>
      <c r="P17" s="723">
        <f>SUMIF(BS_RE33!$P$7:$P$874,G17,BS_RE33!$AF$7:$AF$874)</f>
        <v>0</v>
      </c>
      <c r="Q17" s="724">
        <f>SUMIF(BS_RE33!$P$7:$P$874,G17,BS_RE33!$AG$7:$AG$874)</f>
        <v>0</v>
      </c>
    </row>
    <row r="18" spans="1:20" s="395" customFormat="1" ht="17.45" customHeight="1">
      <c r="A18"/>
      <c r="B18"/>
      <c r="C18" s="988"/>
      <c r="D18" s="936"/>
      <c r="E18" s="707" t="s">
        <v>554</v>
      </c>
      <c r="F18" s="700"/>
      <c r="G18" s="701" t="s">
        <v>555</v>
      </c>
      <c r="H18" s="723">
        <f>SUMIF(BS_RE33!$P$7:$P$874,G18,BS_RE33!$X$7:$X$874)</f>
        <v>0</v>
      </c>
      <c r="I18" s="723">
        <f>SUMIF(BS_RE33!$P$7:$P$874,G18,BS_RE33!$Y$7:$Y$874)</f>
        <v>0</v>
      </c>
      <c r="J18" s="723">
        <f>SUMIF(BS_RE33!$P$7:$P$874,G18,BS_RE33!$Z$7:$Z$874)</f>
        <v>0</v>
      </c>
      <c r="K18" s="723">
        <f>SUMIF(BS_RE33!$P$7:$P$874,G18,BS_RE33!$AA$7:$AA$874)</f>
        <v>0</v>
      </c>
      <c r="L18" s="723">
        <f>SUMIF(BS_RE33!$P$7:$P$874,G18,BS_RE33!$AB$7:$AB$874)</f>
        <v>0</v>
      </c>
      <c r="M18" s="723">
        <f>SUMIF(BS_RE33!$P$7:$P$874,G18,BS_RE33!$AC$7:$AC$874)</f>
        <v>0</v>
      </c>
      <c r="N18" s="723">
        <f>SUMIF(BS_RE33!$P$7:$P$874,G18,BS_RE33!$AD$7:$AD$874)</f>
        <v>0</v>
      </c>
      <c r="O18" s="723">
        <f>SUMIF(BS_RE33!$P$7:$P$874,G18,BS_RE33!$AE$7:$AE$874)</f>
        <v>0</v>
      </c>
      <c r="P18" s="723">
        <f>SUMIF(BS_RE33!$P$7:$P$874,G18,BS_RE33!$AF$7:$AF$874)</f>
        <v>0</v>
      </c>
      <c r="Q18" s="724">
        <f>SUMIF(BS_RE33!$P$7:$P$874,G18,BS_RE33!$AG$7:$AG$874)</f>
        <v>0</v>
      </c>
    </row>
    <row r="19" spans="1:20" s="395" customFormat="1" ht="16.5" customHeight="1">
      <c r="A19"/>
      <c r="B19"/>
      <c r="C19" s="988"/>
      <c r="D19" s="937" t="s">
        <v>744</v>
      </c>
      <c r="E19" s="709" t="s">
        <v>581</v>
      </c>
      <c r="F19" s="700"/>
      <c r="G19" s="701" t="s">
        <v>580</v>
      </c>
      <c r="H19" s="723">
        <f>SUMIF(BS_RE33!$P$7:$P$874,G19,BS_RE33!$X$7:$X$874)</f>
        <v>0</v>
      </c>
      <c r="I19" s="723">
        <f>SUMIF(BS_RE33!$P$7:$P$874,G19,BS_RE33!$Y$7:$Y$874)</f>
        <v>0</v>
      </c>
      <c r="J19" s="723">
        <f>SUMIF(BS_RE33!$P$7:$P$874,G19,BS_RE33!$Z$7:$Z$874)</f>
        <v>0</v>
      </c>
      <c r="K19" s="723">
        <f>SUMIF(BS_RE33!$P$7:$P$874,G19,BS_RE33!$AA$7:$AA$874)</f>
        <v>0</v>
      </c>
      <c r="L19" s="723">
        <f>SUMIF(BS_RE33!$P$7:$P$874,G19,BS_RE33!$AB$7:$AB$874)</f>
        <v>0</v>
      </c>
      <c r="M19" s="723">
        <f>SUMIF(BS_RE33!$P$7:$P$874,G19,BS_RE33!$AC$7:$AC$874)</f>
        <v>0</v>
      </c>
      <c r="N19" s="723">
        <f>SUMIF(BS_RE33!$P$7:$P$874,G19,BS_RE33!$AD$7:$AD$874)</f>
        <v>0</v>
      </c>
      <c r="O19" s="723">
        <f>SUMIF(BS_RE33!$P$7:$P$874,G19,BS_RE33!$AE$7:$AE$874)</f>
        <v>0</v>
      </c>
      <c r="P19" s="723">
        <f>SUMIF(BS_RE33!$P$7:$P$874,G19,BS_RE33!$AF$7:$AF$874)</f>
        <v>0</v>
      </c>
      <c r="Q19" s="724">
        <f>SUMIF(BS_RE33!$P$7:$P$874,G19,BS_RE33!$AG$7:$AG$874)</f>
        <v>0</v>
      </c>
    </row>
    <row r="20" spans="1:20" s="395" customFormat="1" ht="16.5" customHeight="1">
      <c r="A20"/>
      <c r="B20"/>
      <c r="C20" s="988"/>
      <c r="D20" s="938"/>
      <c r="E20" s="709" t="s">
        <v>572</v>
      </c>
      <c r="F20" s="714"/>
      <c r="G20" s="701" t="s">
        <v>574</v>
      </c>
      <c r="H20" s="723">
        <f>SUMIF(BS_RE33!$P$7:$P$874,G20,BS_RE33!$X$7:$X$874)</f>
        <v>0</v>
      </c>
      <c r="I20" s="723">
        <f>SUMIF(BS_RE33!$P$7:$P$874,G20,BS_RE33!$Y$7:$Y$874)</f>
        <v>0</v>
      </c>
      <c r="J20" s="723">
        <f>SUMIF(BS_RE33!$P$7:$P$874,G20,BS_RE33!$Z$7:$Z$874)</f>
        <v>0</v>
      </c>
      <c r="K20" s="723">
        <f>SUMIF(BS_RE33!$P$7:$P$874,G20,BS_RE33!$AA$7:$AA$874)</f>
        <v>0</v>
      </c>
      <c r="L20" s="723">
        <f>SUMIF(BS_RE33!$P$7:$P$874,G20,BS_RE33!$AB$7:$AB$874)</f>
        <v>0</v>
      </c>
      <c r="M20" s="723">
        <f>SUMIF(BS_RE33!$P$7:$P$874,G20,BS_RE33!$AC$7:$AC$874)</f>
        <v>0</v>
      </c>
      <c r="N20" s="723">
        <f>SUMIF(BS_RE33!$P$7:$P$874,G20,BS_RE33!$AD$7:$AD$874)</f>
        <v>0</v>
      </c>
      <c r="O20" s="723">
        <f>SUMIF(BS_RE33!$P$7:$P$874,G20,BS_RE33!$AE$7:$AE$874)</f>
        <v>0</v>
      </c>
      <c r="P20" s="723">
        <f>SUMIF(BS_RE33!$P$7:$P$874,G20,BS_RE33!$AF$7:$AF$874)</f>
        <v>0</v>
      </c>
      <c r="Q20" s="724">
        <f>SUMIF(BS_RE33!$P$7:$P$874,G20,BS_RE33!$AG$7:$AG$874)</f>
        <v>0</v>
      </c>
    </row>
    <row r="21" spans="1:20" ht="16.5" customHeight="1">
      <c r="C21" s="988"/>
      <c r="D21" s="938"/>
      <c r="E21" s="709" t="s">
        <v>71</v>
      </c>
      <c r="F21" s="700"/>
      <c r="G21" s="701" t="s">
        <v>507</v>
      </c>
      <c r="H21" s="723">
        <f>SUMIF(BS_RE33!$P$7:$P$874,G21,BS_RE33!$X$7:$X$874)</f>
        <v>0</v>
      </c>
      <c r="I21" s="723">
        <f>SUMIF(BS_RE33!$P$7:$P$874,G21,BS_RE33!$Y$7:$Y$874)</f>
        <v>0</v>
      </c>
      <c r="J21" s="723">
        <f>SUMIF(BS_RE33!$P$7:$P$874,G21,BS_RE33!$Z$7:$Z$874)</f>
        <v>0</v>
      </c>
      <c r="K21" s="723">
        <f>SUMIF(BS_RE33!$P$7:$P$874,G21,BS_RE33!$AA$7:$AA$874)</f>
        <v>0</v>
      </c>
      <c r="L21" s="723">
        <f>SUMIF(BS_RE33!$P$7:$P$874,G21,BS_RE33!$AB$7:$AB$874)</f>
        <v>0</v>
      </c>
      <c r="M21" s="723">
        <f>SUMIF(BS_RE33!$P$7:$P$874,G21,BS_RE33!$AC$7:$AC$874)</f>
        <v>0</v>
      </c>
      <c r="N21" s="723">
        <f>SUMIF(BS_RE33!$P$7:$P$874,G21,BS_RE33!$AD$7:$AD$874)</f>
        <v>0</v>
      </c>
      <c r="O21" s="723">
        <f>SUMIF(BS_RE33!$P$7:$P$874,G21,BS_RE33!$AE$7:$AE$874)</f>
        <v>0</v>
      </c>
      <c r="P21" s="723">
        <f>SUMIF(BS_RE33!$P$7:$P$874,G21,BS_RE33!$AF$7:$AF$874)</f>
        <v>0</v>
      </c>
      <c r="Q21" s="724">
        <f>SUMIF(BS_RE33!$P$7:$P$874,G21,BS_RE33!$AG$7:$AG$874)</f>
        <v>0</v>
      </c>
    </row>
    <row r="22" spans="1:20" ht="16.5" customHeight="1">
      <c r="C22" s="988"/>
      <c r="D22" s="938"/>
      <c r="E22" s="709" t="s">
        <v>73</v>
      </c>
      <c r="F22" s="714"/>
      <c r="G22" s="701" t="s">
        <v>508</v>
      </c>
      <c r="H22" s="723">
        <f>SUMIF(BS_RE33!$P$7:$P$874,G22,BS_RE33!$X$7:$X$874)</f>
        <v>0</v>
      </c>
      <c r="I22" s="723">
        <f>SUMIF(BS_RE33!$P$7:$P$874,G22,BS_RE33!$Y$7:$Y$874)</f>
        <v>0</v>
      </c>
      <c r="J22" s="723">
        <f>SUMIF(BS_RE33!$P$7:$P$874,G22,BS_RE33!$Z$7:$Z$874)</f>
        <v>0</v>
      </c>
      <c r="K22" s="723">
        <f>SUMIF(BS_RE33!$P$7:$P$874,G22,BS_RE33!$AA$7:$AA$874)</f>
        <v>0</v>
      </c>
      <c r="L22" s="723">
        <f>SUMIF(BS_RE33!$P$7:$P$874,G22,BS_RE33!$AB$7:$AB$874)</f>
        <v>0</v>
      </c>
      <c r="M22" s="723">
        <f>SUMIF(BS_RE33!$P$7:$P$874,G22,BS_RE33!$AC$7:$AC$874)</f>
        <v>0</v>
      </c>
      <c r="N22" s="723">
        <f>SUMIF(BS_RE33!$P$7:$P$874,G22,BS_RE33!$AD$7:$AD$874)</f>
        <v>0</v>
      </c>
      <c r="O22" s="723">
        <f>SUMIF(BS_RE33!$P$7:$P$874,G22,BS_RE33!$AE$7:$AE$874)</f>
        <v>0</v>
      </c>
      <c r="P22" s="723">
        <f>SUMIF(BS_RE33!$P$7:$P$874,G22,BS_RE33!$AF$7:$AF$874)</f>
        <v>0</v>
      </c>
      <c r="Q22" s="724">
        <f>SUMIF(BS_RE33!$P$7:$P$874,G22,BS_RE33!$AG$7:$AG$874)</f>
        <v>0</v>
      </c>
    </row>
    <row r="23" spans="1:20" ht="16.5" customHeight="1" thickBot="1">
      <c r="C23" s="988"/>
      <c r="D23" s="938"/>
      <c r="E23" s="718" t="s">
        <v>550</v>
      </c>
      <c r="F23" s="719"/>
      <c r="G23" s="703" t="s">
        <v>1506</v>
      </c>
      <c r="H23" s="727">
        <f>SUMIF(BS_RE33!$P$7:$P$874,G23,BS_RE33!$X$7:$X$874)</f>
        <v>0</v>
      </c>
      <c r="I23" s="727">
        <f>SUMIF(BS_RE33!$P$7:$P$874,G23,BS_RE33!$Y$7:$Y$874)</f>
        <v>0</v>
      </c>
      <c r="J23" s="727">
        <f>SUMIF(BS_RE33!$P$7:$P$874,G23,BS_RE33!$Z$7:$Z$874)</f>
        <v>0</v>
      </c>
      <c r="K23" s="727">
        <f>SUMIF(BS_RE33!$P$7:$P$874,G23,BS_RE33!$AA$7:$AA$874)</f>
        <v>0</v>
      </c>
      <c r="L23" s="727">
        <f>SUMIF(BS_RE33!$P$7:$P$874,G23,BS_RE33!$AB$7:$AB$874)</f>
        <v>0</v>
      </c>
      <c r="M23" s="727">
        <f>SUMIF(BS_RE33!$P$7:$P$874,G23,BS_RE33!$AC$7:$AC$874)</f>
        <v>0</v>
      </c>
      <c r="N23" s="727">
        <f>SUMIF(BS_RE33!$P$7:$P$874,G23,BS_RE33!$AD$7:$AD$874)</f>
        <v>0</v>
      </c>
      <c r="O23" s="727">
        <f>SUMIF(BS_RE33!$P$7:$P$874,G23,BS_RE33!$AE$7:$AE$874)</f>
        <v>0</v>
      </c>
      <c r="P23" s="727">
        <f>SUMIF(BS_RE33!$P$7:$P$874,G23,BS_RE33!$AF$7:$AF$874)</f>
        <v>0</v>
      </c>
      <c r="Q23" s="728">
        <f>SUMIF(BS_RE33!$P$7:$P$874,G23,BS_RE33!$AG$7:$AG$874)</f>
        <v>0</v>
      </c>
    </row>
    <row r="24" spans="1:20" ht="16.5" customHeight="1" thickTop="1" thickBot="1">
      <c r="C24" s="989"/>
      <c r="D24" s="857" t="s">
        <v>1507</v>
      </c>
      <c r="E24" s="857"/>
      <c r="F24" s="734">
        <f>SUM(H24:Q24)</f>
        <v>0</v>
      </c>
      <c r="G24" s="736"/>
      <c r="H24" s="735">
        <f>SUM(H4:H23)</f>
        <v>0</v>
      </c>
      <c r="I24" s="732">
        <f t="shared" ref="I24:Q24" si="0">SUM(I4:I23)</f>
        <v>0</v>
      </c>
      <c r="J24" s="732">
        <f t="shared" si="0"/>
        <v>0</v>
      </c>
      <c r="K24" s="732">
        <f t="shared" si="0"/>
        <v>0</v>
      </c>
      <c r="L24" s="732">
        <f t="shared" si="0"/>
        <v>0</v>
      </c>
      <c r="M24" s="732">
        <f t="shared" si="0"/>
        <v>0</v>
      </c>
      <c r="N24" s="732">
        <f t="shared" si="0"/>
        <v>0</v>
      </c>
      <c r="O24" s="732">
        <f t="shared" si="0"/>
        <v>0</v>
      </c>
      <c r="P24" s="732">
        <f t="shared" si="0"/>
        <v>0</v>
      </c>
      <c r="Q24" s="733">
        <f t="shared" si="0"/>
        <v>0</v>
      </c>
      <c r="T24" s="696"/>
    </row>
    <row r="25" spans="1:20" ht="18" customHeight="1" thickTop="1">
      <c r="C25" s="990" t="s">
        <v>810</v>
      </c>
      <c r="D25" s="939" t="s">
        <v>736</v>
      </c>
      <c r="E25" s="720" t="s">
        <v>79</v>
      </c>
      <c r="F25" s="721" t="s">
        <v>491</v>
      </c>
      <c r="G25" s="722" t="s">
        <v>512</v>
      </c>
      <c r="H25" s="729">
        <f>SUMIF(BS_RE33!$P$7:$P$874,G25,BS_RE33!$X$7:$X$874)</f>
        <v>0</v>
      </c>
      <c r="I25" s="729">
        <f>SUMIF(BS_RE33!$P$7:$P$874,G25,BS_RE33!$Y$7:$Y$874)</f>
        <v>0</v>
      </c>
      <c r="J25" s="729">
        <f>SUMIF(BS_RE33!$P$7:$P$874,G25,BS_RE33!$Z$7:$Z$874)</f>
        <v>0</v>
      </c>
      <c r="K25" s="729">
        <f>SUMIF(BS_RE33!$P$7:$P$874,G25,BS_RE33!$AA$7:$AA$874)</f>
        <v>0</v>
      </c>
      <c r="L25" s="729">
        <f>SUMIF(BS_RE33!$P$7:$P$874,G25,BS_RE33!$AB$7:$AB$874)</f>
        <v>0</v>
      </c>
      <c r="M25" s="729">
        <f>SUMIF(BS_RE33!$P$7:$P$874,G25,BS_RE33!$AC$7:$AC$874)</f>
        <v>0</v>
      </c>
      <c r="N25" s="729">
        <f>SUMIF(BS_RE33!$P$7:$P$874,G25,BS_RE33!$AD$7:$AD$874)</f>
        <v>0</v>
      </c>
      <c r="O25" s="729">
        <f>SUMIF(BS_RE33!$P$7:$P$874,G25,BS_RE33!$AE$7:$AE$874)</f>
        <v>0</v>
      </c>
      <c r="P25" s="729">
        <f>SUMIF(BS_RE33!$P$7:$P$874,G25,BS_RE33!$AF$7:$AF$874)</f>
        <v>0</v>
      </c>
      <c r="Q25" s="730">
        <f>SUMIF(BS_RE33!$P$7:$P$874,G25,BS_RE33!$AG$7:$AG$874)</f>
        <v>0</v>
      </c>
      <c r="T25" s="696"/>
    </row>
    <row r="26" spans="1:20" ht="17.45" customHeight="1">
      <c r="C26" s="991"/>
      <c r="D26" s="940"/>
      <c r="E26" s="710" t="s">
        <v>79</v>
      </c>
      <c r="F26" s="711" t="s">
        <v>490</v>
      </c>
      <c r="G26" s="701" t="s">
        <v>514</v>
      </c>
      <c r="H26" s="723">
        <f>SUMIF(BS_RE33!$P$7:$P$874,G26,BS_RE33!$X$7:$X$874)</f>
        <v>0</v>
      </c>
      <c r="I26" s="723">
        <f>SUMIF(BS_RE33!$P$7:$P$874,G26,BS_RE33!$Y$7:$Y$874)</f>
        <v>0</v>
      </c>
      <c r="J26" s="723">
        <f>SUMIF(BS_RE33!$P$7:$P$874,G26,BS_RE33!$Z$7:$Z$874)</f>
        <v>0</v>
      </c>
      <c r="K26" s="723">
        <f>SUMIF(BS_RE33!$P$7:$P$874,G26,BS_RE33!$AA$7:$AA$874)</f>
        <v>0</v>
      </c>
      <c r="L26" s="723">
        <f>SUMIF(BS_RE33!$P$7:$P$874,G26,BS_RE33!$AB$7:$AB$874)</f>
        <v>0</v>
      </c>
      <c r="M26" s="723">
        <f>SUMIF(BS_RE33!$P$7:$P$874,G26,BS_RE33!$AC$7:$AC$874)</f>
        <v>0</v>
      </c>
      <c r="N26" s="723">
        <f>SUMIF(BS_RE33!$P$7:$P$874,G26,BS_RE33!$AD$7:$AD$874)</f>
        <v>0</v>
      </c>
      <c r="O26" s="723">
        <f>SUMIF(BS_RE33!$P$7:$P$874,G26,BS_RE33!$AE$7:$AE$874)</f>
        <v>0</v>
      </c>
      <c r="P26" s="723">
        <f>SUMIF(BS_RE33!$P$7:$P$874,G26,BS_RE33!$AF$7:$AF$874)</f>
        <v>0</v>
      </c>
      <c r="Q26" s="724">
        <f>SUMIF(BS_RE33!$P$7:$P$874,G26,BS_RE33!$AG$7:$AG$874)</f>
        <v>0</v>
      </c>
    </row>
    <row r="27" spans="1:20" ht="17.45" customHeight="1">
      <c r="C27" s="991"/>
      <c r="D27" s="940"/>
      <c r="E27" s="710" t="s">
        <v>79</v>
      </c>
      <c r="F27" s="711" t="s">
        <v>489</v>
      </c>
      <c r="G27" s="701" t="s">
        <v>515</v>
      </c>
      <c r="H27" s="723">
        <f>SUMIF(BS_RE33!$P$7:$P$874,G27,BS_RE33!$X$7:$X$874)</f>
        <v>0</v>
      </c>
      <c r="I27" s="723">
        <f>SUMIF(BS_RE33!$P$7:$P$874,G27,BS_RE33!$Y$7:$Y$874)</f>
        <v>0</v>
      </c>
      <c r="J27" s="723">
        <f>SUMIF(BS_RE33!$P$7:$P$874,G27,BS_RE33!$Z$7:$Z$874)</f>
        <v>0</v>
      </c>
      <c r="K27" s="723">
        <f>SUMIF(BS_RE33!$P$7:$P$874,G27,BS_RE33!$AA$7:$AA$874)</f>
        <v>0</v>
      </c>
      <c r="L27" s="723">
        <f>SUMIF(BS_RE33!$P$7:$P$874,G27,BS_RE33!$AB$7:$AB$874)</f>
        <v>0</v>
      </c>
      <c r="M27" s="723">
        <f>SUMIF(BS_RE33!$P$7:$P$874,G27,BS_RE33!$AC$7:$AC$874)</f>
        <v>0</v>
      </c>
      <c r="N27" s="723">
        <f>SUMIF(BS_RE33!$P$7:$P$874,G27,BS_RE33!$AD$7:$AD$874)</f>
        <v>0</v>
      </c>
      <c r="O27" s="723">
        <f>SUMIF(BS_RE33!$P$7:$P$874,G27,BS_RE33!$AE$7:$AE$874)</f>
        <v>0</v>
      </c>
      <c r="P27" s="723">
        <f>SUMIF(BS_RE33!$P$7:$P$874,G27,BS_RE33!$AF$7:$AF$874)</f>
        <v>0</v>
      </c>
      <c r="Q27" s="724">
        <f>SUMIF(BS_RE33!$P$7:$P$874,G27,BS_RE33!$AG$7:$AG$874)</f>
        <v>0</v>
      </c>
    </row>
    <row r="28" spans="1:20" ht="17.45" customHeight="1">
      <c r="C28" s="991"/>
      <c r="D28" s="940"/>
      <c r="E28" s="713" t="s">
        <v>79</v>
      </c>
      <c r="F28" s="711" t="s">
        <v>492</v>
      </c>
      <c r="G28" s="701" t="s">
        <v>516</v>
      </c>
      <c r="H28" s="723">
        <f>SUMIF(BS_RE33!$P$7:$P$874,G28,BS_RE33!$X$7:$X$874)</f>
        <v>0</v>
      </c>
      <c r="I28" s="723">
        <f>SUMIF(BS_RE33!$P$7:$P$874,G28,BS_RE33!$Y$7:$Y$874)</f>
        <v>0</v>
      </c>
      <c r="J28" s="723">
        <f>SUMIF(BS_RE33!$P$7:$P$874,G28,BS_RE33!$Z$7:$Z$874)</f>
        <v>0</v>
      </c>
      <c r="K28" s="723">
        <f>SUMIF(BS_RE33!$P$7:$P$874,G28,BS_RE33!$AA$7:$AA$874)</f>
        <v>0</v>
      </c>
      <c r="L28" s="723">
        <f>SUMIF(BS_RE33!$P$7:$P$874,G28,BS_RE33!$AB$7:$AB$874)</f>
        <v>0</v>
      </c>
      <c r="M28" s="723">
        <f>SUMIF(BS_RE33!$P$7:$P$874,G28,BS_RE33!$AC$7:$AC$874)</f>
        <v>0</v>
      </c>
      <c r="N28" s="723">
        <f>SUMIF(BS_RE33!$P$7:$P$874,G28,BS_RE33!$AD$7:$AD$874)</f>
        <v>0</v>
      </c>
      <c r="O28" s="723">
        <f>SUMIF(BS_RE33!$P$7:$P$874,G28,BS_RE33!$AE$7:$AE$874)</f>
        <v>0</v>
      </c>
      <c r="P28" s="723">
        <f>SUMIF(BS_RE33!$P$7:$P$874,G28,BS_RE33!$AF$7:$AF$874)</f>
        <v>0</v>
      </c>
      <c r="Q28" s="724">
        <f>SUMIF(BS_RE33!$P$7:$P$874,G28,BS_RE33!$AG$7:$AG$874)</f>
        <v>0</v>
      </c>
    </row>
    <row r="29" spans="1:20" ht="17.45" customHeight="1">
      <c r="C29" s="991"/>
      <c r="D29" s="940"/>
      <c r="E29" s="710" t="s">
        <v>79</v>
      </c>
      <c r="F29" s="711" t="s">
        <v>493</v>
      </c>
      <c r="G29" s="701" t="s">
        <v>517</v>
      </c>
      <c r="H29" s="723">
        <f>SUMIF(BS_RE33!$P$7:$P$874,G29,BS_RE33!$X$7:$X$874)</f>
        <v>0</v>
      </c>
      <c r="I29" s="723">
        <f>SUMIF(BS_RE33!$P$7:$P$874,G29,BS_RE33!$Y$7:$Y$874)</f>
        <v>0</v>
      </c>
      <c r="J29" s="723">
        <f>SUMIF(BS_RE33!$P$7:$P$874,G29,BS_RE33!$Z$7:$Z$874)</f>
        <v>0</v>
      </c>
      <c r="K29" s="723">
        <f>SUMIF(BS_RE33!$P$7:$P$874,G29,BS_RE33!$AA$7:$AA$874)</f>
        <v>0</v>
      </c>
      <c r="L29" s="723">
        <f>SUMIF(BS_RE33!$P$7:$P$874,G29,BS_RE33!$AB$7:$AB$874)</f>
        <v>0</v>
      </c>
      <c r="M29" s="723">
        <f>SUMIF(BS_RE33!$P$7:$P$874,G29,BS_RE33!$AC$7:$AC$874)</f>
        <v>0</v>
      </c>
      <c r="N29" s="723">
        <f>SUMIF(BS_RE33!$P$7:$P$874,G29,BS_RE33!$AD$7:$AD$874)</f>
        <v>0</v>
      </c>
      <c r="O29" s="723">
        <f>SUMIF(BS_RE33!$P$7:$P$874,G29,BS_RE33!$AE$7:$AE$874)</f>
        <v>0</v>
      </c>
      <c r="P29" s="723">
        <f>SUMIF(BS_RE33!$P$7:$P$874,G29,BS_RE33!$AF$7:$AF$874)</f>
        <v>0</v>
      </c>
      <c r="Q29" s="724">
        <f>SUMIF(BS_RE33!$P$7:$P$874,G29,BS_RE33!$AG$7:$AG$874)</f>
        <v>0</v>
      </c>
    </row>
    <row r="30" spans="1:20" ht="17.45" customHeight="1">
      <c r="C30" s="991"/>
      <c r="D30" s="940"/>
      <c r="E30" s="710" t="s">
        <v>81</v>
      </c>
      <c r="F30" s="711" t="s">
        <v>491</v>
      </c>
      <c r="G30" s="701" t="s">
        <v>518</v>
      </c>
      <c r="H30" s="723">
        <f>SUMIF(BS_RE33!$P$7:$P$874,G30,BS_RE33!$X$7:$X$874)</f>
        <v>0</v>
      </c>
      <c r="I30" s="723">
        <f>SUMIF(BS_RE33!$P$7:$P$874,G30,BS_RE33!$Y$7:$Y$874)</f>
        <v>0</v>
      </c>
      <c r="J30" s="723">
        <f>SUMIF(BS_RE33!$P$7:$P$874,G30,BS_RE33!$Z$7:$Z$874)</f>
        <v>0</v>
      </c>
      <c r="K30" s="723">
        <f>SUMIF(BS_RE33!$P$7:$P$874,G30,BS_RE33!$AA$7:$AA$874)</f>
        <v>0</v>
      </c>
      <c r="L30" s="723">
        <f>SUMIF(BS_RE33!$P$7:$P$874,G30,BS_RE33!$AB$7:$AB$874)</f>
        <v>0</v>
      </c>
      <c r="M30" s="723">
        <f>SUMIF(BS_RE33!$P$7:$P$874,G30,BS_RE33!$AC$7:$AC$874)</f>
        <v>0</v>
      </c>
      <c r="N30" s="723">
        <f>SUMIF(BS_RE33!$P$7:$P$874,G30,BS_RE33!$AD$7:$AD$874)</f>
        <v>0</v>
      </c>
      <c r="O30" s="723">
        <f>SUMIF(BS_RE33!$P$7:$P$874,G30,BS_RE33!$AE$7:$AE$874)</f>
        <v>0</v>
      </c>
      <c r="P30" s="723">
        <f>SUMIF(BS_RE33!$P$7:$P$874,G30,BS_RE33!$AF$7:$AF$874)</f>
        <v>0</v>
      </c>
      <c r="Q30" s="724">
        <f>SUMIF(BS_RE33!$P$7:$P$874,G30,BS_RE33!$AG$7:$AG$874)</f>
        <v>0</v>
      </c>
      <c r="T30" s="696"/>
    </row>
    <row r="31" spans="1:20" ht="17.45" customHeight="1">
      <c r="C31" s="991"/>
      <c r="D31" s="940"/>
      <c r="E31" s="710" t="s">
        <v>81</v>
      </c>
      <c r="F31" s="711" t="s">
        <v>490</v>
      </c>
      <c r="G31" s="701" t="s">
        <v>519</v>
      </c>
      <c r="H31" s="723">
        <f>SUMIF(BS_RE33!$P$7:$P$874,G31,BS_RE33!$X$7:$X$874)</f>
        <v>0</v>
      </c>
      <c r="I31" s="723">
        <f>SUMIF(BS_RE33!$P$7:$P$874,G31,BS_RE33!$Y$7:$Y$874)</f>
        <v>0</v>
      </c>
      <c r="J31" s="723">
        <f>SUMIF(BS_RE33!$P$7:$P$874,G31,BS_RE33!$Z$7:$Z$874)</f>
        <v>0</v>
      </c>
      <c r="K31" s="723">
        <f>SUMIF(BS_RE33!$P$7:$P$874,G31,BS_RE33!$AA$7:$AA$874)</f>
        <v>0</v>
      </c>
      <c r="L31" s="723">
        <f>SUMIF(BS_RE33!$P$7:$P$874,G31,BS_RE33!$AB$7:$AB$874)</f>
        <v>0</v>
      </c>
      <c r="M31" s="723">
        <f>SUMIF(BS_RE33!$P$7:$P$874,G31,BS_RE33!$AC$7:$AC$874)</f>
        <v>0</v>
      </c>
      <c r="N31" s="723">
        <f>SUMIF(BS_RE33!$P$7:$P$874,G31,BS_RE33!$AD$7:$AD$874)</f>
        <v>0</v>
      </c>
      <c r="O31" s="723">
        <f>SUMIF(BS_RE33!$P$7:$P$874,G31,BS_RE33!$AE$7:$AE$874)</f>
        <v>0</v>
      </c>
      <c r="P31" s="723">
        <f>SUMIF(BS_RE33!$P$7:$P$874,G31,BS_RE33!$AF$7:$AF$874)</f>
        <v>0</v>
      </c>
      <c r="Q31" s="724">
        <f>SUMIF(BS_RE33!$P$7:$P$874,G31,BS_RE33!$AG$7:$AG$874)</f>
        <v>0</v>
      </c>
    </row>
    <row r="32" spans="1:20" ht="17.45" customHeight="1">
      <c r="C32" s="991"/>
      <c r="D32" s="940"/>
      <c r="E32" s="710" t="s">
        <v>81</v>
      </c>
      <c r="F32" s="711" t="s">
        <v>489</v>
      </c>
      <c r="G32" s="701" t="s">
        <v>520</v>
      </c>
      <c r="H32" s="723">
        <f>SUMIF(BS_RE33!$P$7:$P$874,G32,BS_RE33!$X$7:$X$874)</f>
        <v>0</v>
      </c>
      <c r="I32" s="723">
        <f>SUMIF(BS_RE33!$P$7:$P$874,G32,BS_RE33!$Y$7:$Y$874)</f>
        <v>0</v>
      </c>
      <c r="J32" s="723">
        <f>SUMIF(BS_RE33!$P$7:$P$874,G32,BS_RE33!$Z$7:$Z$874)</f>
        <v>0</v>
      </c>
      <c r="K32" s="723">
        <f>SUMIF(BS_RE33!$P$7:$P$874,G32,BS_RE33!$AA$7:$AA$874)</f>
        <v>0</v>
      </c>
      <c r="L32" s="723">
        <f>SUMIF(BS_RE33!$P$7:$P$874,G32,BS_RE33!$AB$7:$AB$874)</f>
        <v>0</v>
      </c>
      <c r="M32" s="723">
        <f>SUMIF(BS_RE33!$P$7:$P$874,G32,BS_RE33!$AC$7:$AC$874)</f>
        <v>0</v>
      </c>
      <c r="N32" s="723">
        <f>SUMIF(BS_RE33!$P$7:$P$874,G32,BS_RE33!$AD$7:$AD$874)</f>
        <v>0</v>
      </c>
      <c r="O32" s="723">
        <f>SUMIF(BS_RE33!$P$7:$P$874,G32,BS_RE33!$AE$7:$AE$874)</f>
        <v>0</v>
      </c>
      <c r="P32" s="723">
        <f>SUMIF(BS_RE33!$P$7:$P$874,G32,BS_RE33!$AF$7:$AF$874)</f>
        <v>0</v>
      </c>
      <c r="Q32" s="724">
        <f>SUMIF(BS_RE33!$P$7:$P$874,G32,BS_RE33!$AG$7:$AG$874)</f>
        <v>0</v>
      </c>
    </row>
    <row r="33" spans="3:21" ht="17.45" customHeight="1">
      <c r="C33" s="991"/>
      <c r="D33" s="940"/>
      <c r="E33" s="713" t="s">
        <v>81</v>
      </c>
      <c r="F33" s="711" t="s">
        <v>492</v>
      </c>
      <c r="G33" s="701" t="s">
        <v>521</v>
      </c>
      <c r="H33" s="723">
        <f>SUMIF(BS_RE33!$P$7:$P$874,G33,BS_RE33!$X$7:$X$874)</f>
        <v>0</v>
      </c>
      <c r="I33" s="723">
        <f>SUMIF(BS_RE33!$P$7:$P$874,G33,BS_RE33!$Y$7:$Y$874)</f>
        <v>0</v>
      </c>
      <c r="J33" s="723">
        <f>SUMIF(BS_RE33!$P$7:$P$874,G33,BS_RE33!$Z$7:$Z$874)</f>
        <v>0</v>
      </c>
      <c r="K33" s="723">
        <f>SUMIF(BS_RE33!$P$7:$P$874,G33,BS_RE33!$AA$7:$AA$874)</f>
        <v>0</v>
      </c>
      <c r="L33" s="723">
        <f>SUMIF(BS_RE33!$P$7:$P$874,G33,BS_RE33!$AB$7:$AB$874)</f>
        <v>0</v>
      </c>
      <c r="M33" s="723">
        <f>SUMIF(BS_RE33!$P$7:$P$874,G33,BS_RE33!$AC$7:$AC$874)</f>
        <v>0</v>
      </c>
      <c r="N33" s="723">
        <f>SUMIF(BS_RE33!$P$7:$P$874,G33,BS_RE33!$AD$7:$AD$874)</f>
        <v>0</v>
      </c>
      <c r="O33" s="723">
        <f>SUMIF(BS_RE33!$P$7:$P$874,G33,BS_RE33!$AE$7:$AE$874)</f>
        <v>0</v>
      </c>
      <c r="P33" s="723">
        <f>SUMIF(BS_RE33!$P$7:$P$874,G33,BS_RE33!$AF$7:$AF$874)</f>
        <v>0</v>
      </c>
      <c r="Q33" s="724">
        <f>SUMIF(BS_RE33!$P$7:$P$874,G33,BS_RE33!$AG$7:$AG$874)</f>
        <v>0</v>
      </c>
    </row>
    <row r="34" spans="3:21" ht="17.45" customHeight="1">
      <c r="C34" s="991"/>
      <c r="D34" s="941"/>
      <c r="E34" s="710" t="s">
        <v>81</v>
      </c>
      <c r="F34" s="711" t="s">
        <v>493</v>
      </c>
      <c r="G34" s="701" t="s">
        <v>522</v>
      </c>
      <c r="H34" s="723">
        <f>SUMIF(BS_RE33!$P$7:$P$874,G34,BS_RE33!$X$7:$X$874)</f>
        <v>0</v>
      </c>
      <c r="I34" s="723">
        <f>SUMIF(BS_RE33!$P$7:$P$874,G34,BS_RE33!$Y$7:$Y$874)</f>
        <v>0</v>
      </c>
      <c r="J34" s="723">
        <f>SUMIF(BS_RE33!$P$7:$P$874,G34,BS_RE33!$Z$7:$Z$874)</f>
        <v>0</v>
      </c>
      <c r="K34" s="723">
        <f>SUMIF(BS_RE33!$P$7:$P$874,G34,BS_RE33!$AA$7:$AA$874)</f>
        <v>0</v>
      </c>
      <c r="L34" s="723">
        <f>SUMIF(BS_RE33!$P$7:$P$874,G34,BS_RE33!$AB$7:$AB$874)</f>
        <v>0</v>
      </c>
      <c r="M34" s="723">
        <f>SUMIF(BS_RE33!$P$7:$P$874,G34,BS_RE33!$AC$7:$AC$874)</f>
        <v>0</v>
      </c>
      <c r="N34" s="723">
        <f>SUMIF(BS_RE33!$P$7:$P$874,G34,BS_RE33!$AD$7:$AD$874)</f>
        <v>0</v>
      </c>
      <c r="O34" s="723">
        <f>SUMIF(BS_RE33!$P$7:$P$874,G34,BS_RE33!$AE$7:$AE$874)</f>
        <v>0</v>
      </c>
      <c r="P34" s="723">
        <f>SUMIF(BS_RE33!$P$7:$P$874,G34,BS_RE33!$AF$7:$AF$874)</f>
        <v>0</v>
      </c>
      <c r="Q34" s="724">
        <f>SUMIF(BS_RE33!$P$7:$P$874,G34,BS_RE33!$AG$7:$AG$874)</f>
        <v>0</v>
      </c>
    </row>
    <row r="35" spans="3:21" ht="17.45" customHeight="1">
      <c r="C35" s="991"/>
      <c r="D35" s="937" t="s">
        <v>760</v>
      </c>
      <c r="E35" s="713" t="s">
        <v>759</v>
      </c>
      <c r="F35" s="714"/>
      <c r="G35" s="701" t="s">
        <v>523</v>
      </c>
      <c r="H35" s="723">
        <f>SUMIF(BS_RE33!$P$7:$P$874,G35,BS_RE33!$X$7:$X$874)</f>
        <v>0</v>
      </c>
      <c r="I35" s="723">
        <f>SUMIF(BS_RE33!$P$7:$P$874,G35,BS_RE33!$Y$7:$Y$874)</f>
        <v>0</v>
      </c>
      <c r="J35" s="723">
        <f>SUMIF(BS_RE33!$P$7:$P$874,G35,BS_RE33!$Z$7:$Z$874)</f>
        <v>0</v>
      </c>
      <c r="K35" s="723">
        <f>SUMIF(BS_RE33!$P$7:$P$874,G35,BS_RE33!$AA$7:$AA$874)</f>
        <v>0</v>
      </c>
      <c r="L35" s="723">
        <f>SUMIF(BS_RE33!$P$7:$P$874,G35,BS_RE33!$AB$7:$AB$874)</f>
        <v>0</v>
      </c>
      <c r="M35" s="723">
        <f>SUMIF(BS_RE33!$P$7:$P$874,G35,BS_RE33!$AC$7:$AC$874)</f>
        <v>0</v>
      </c>
      <c r="N35" s="723">
        <f>SUMIF(BS_RE33!$P$7:$P$874,G35,BS_RE33!$AD$7:$AD$874)</f>
        <v>0</v>
      </c>
      <c r="O35" s="723">
        <f>SUMIF(BS_RE33!$P$7:$P$874,G35,BS_RE33!$AE$7:$AE$874)</f>
        <v>0</v>
      </c>
      <c r="P35" s="723">
        <f>SUMIF(BS_RE33!$P$7:$P$874,G35,BS_RE33!$AF$7:$AF$874)</f>
        <v>0</v>
      </c>
      <c r="Q35" s="724">
        <f>SUMIF(BS_RE33!$P$7:$P$874,G35,BS_RE33!$AG$7:$AG$874)</f>
        <v>0</v>
      </c>
      <c r="T35" s="697"/>
    </row>
    <row r="36" spans="3:21" ht="17.45" customHeight="1">
      <c r="C36" s="991"/>
      <c r="D36" s="942"/>
      <c r="E36" s="713" t="s">
        <v>562</v>
      </c>
      <c r="F36" s="714"/>
      <c r="G36" s="701" t="s">
        <v>563</v>
      </c>
      <c r="H36" s="723">
        <f>SUMIF(BS_RE33!$P$7:$P$874,G36,BS_RE33!$X$7:$X$874)</f>
        <v>0</v>
      </c>
      <c r="I36" s="723">
        <f>SUMIF(BS_RE33!$P$7:$P$874,G36,BS_RE33!$Y$7:$Y$874)</f>
        <v>0</v>
      </c>
      <c r="J36" s="723">
        <f>SUMIF(BS_RE33!$P$7:$P$874,G36,BS_RE33!$Z$7:$Z$874)</f>
        <v>0</v>
      </c>
      <c r="K36" s="723">
        <f>SUMIF(BS_RE33!$P$7:$P$874,G36,BS_RE33!$AA$7:$AA$874)</f>
        <v>0</v>
      </c>
      <c r="L36" s="723">
        <f>SUMIF(BS_RE33!$P$7:$P$874,G36,BS_RE33!$AB$7:$AB$874)</f>
        <v>0</v>
      </c>
      <c r="M36" s="723">
        <f>SUMIF(BS_RE33!$P$7:$P$874,G36,BS_RE33!$AC$7:$AC$874)</f>
        <v>0</v>
      </c>
      <c r="N36" s="723">
        <f>SUMIF(BS_RE33!$P$7:$P$874,G36,BS_RE33!$AD$7:$AD$874)</f>
        <v>0</v>
      </c>
      <c r="O36" s="723">
        <f>SUMIF(BS_RE33!$P$7:$P$874,G36,BS_RE33!$AE$7:$AE$874)</f>
        <v>0</v>
      </c>
      <c r="P36" s="723">
        <f>SUMIF(BS_RE33!$P$7:$P$874,G36,BS_RE33!$AF$7:$AF$874)</f>
        <v>0</v>
      </c>
      <c r="Q36" s="724">
        <f>SUMIF(BS_RE33!$P$7:$P$874,G36,BS_RE33!$AG$7:$AG$874)</f>
        <v>0</v>
      </c>
      <c r="T36" s="522"/>
      <c r="U36" s="811"/>
    </row>
    <row r="37" spans="3:21" ht="17.45" customHeight="1">
      <c r="C37" s="991"/>
      <c r="D37" s="943" t="s">
        <v>762</v>
      </c>
      <c r="E37" s="715" t="s">
        <v>85</v>
      </c>
      <c r="F37" s="700"/>
      <c r="G37" s="701" t="s">
        <v>524</v>
      </c>
      <c r="H37" s="723">
        <f>SUMIF(BS_RE33!$P$7:$P$874,G37,BS_RE33!$X$7:$X$874)</f>
        <v>0</v>
      </c>
      <c r="I37" s="723">
        <f>SUMIF(BS_RE33!$P$7:$P$874,G37,BS_RE33!$Y$7:$Y$874)</f>
        <v>0</v>
      </c>
      <c r="J37" s="723">
        <f>SUMIF(BS_RE33!$P$7:$P$874,G37,BS_RE33!$Z$7:$Z$874)</f>
        <v>0</v>
      </c>
      <c r="K37" s="723">
        <f>SUMIF(BS_RE33!$P$7:$P$874,G37,BS_RE33!$AA$7:$AA$874)</f>
        <v>0</v>
      </c>
      <c r="L37" s="723">
        <f>SUMIF(BS_RE33!$P$7:$P$874,G37,BS_RE33!$AB$7:$AB$874)</f>
        <v>0</v>
      </c>
      <c r="M37" s="723">
        <f>SUMIF(BS_RE33!$P$7:$P$874,G37,BS_RE33!$AC$7:$AC$874)</f>
        <v>0</v>
      </c>
      <c r="N37" s="723">
        <f>SUMIF(BS_RE33!$P$7:$P$874,G37,BS_RE33!$AD$7:$AD$874)</f>
        <v>0</v>
      </c>
      <c r="O37" s="723">
        <f>SUMIF(BS_RE33!$P$7:$P$874,G37,BS_RE33!$AE$7:$AE$874)</f>
        <v>0</v>
      </c>
      <c r="P37" s="723">
        <f>SUMIF(BS_RE33!$P$7:$P$874,G37,BS_RE33!$AF$7:$AF$874)</f>
        <v>0</v>
      </c>
      <c r="Q37" s="724">
        <f>SUMIF(BS_RE33!$P$7:$P$874,G37,BS_RE33!$AG$7:$AG$874)</f>
        <v>0</v>
      </c>
      <c r="U37" s="811"/>
    </row>
    <row r="38" spans="3:21" ht="17.45" customHeight="1">
      <c r="C38" s="991"/>
      <c r="D38" s="941"/>
      <c r="E38" s="715" t="s">
        <v>556</v>
      </c>
      <c r="F38" s="700"/>
      <c r="G38" s="701" t="s">
        <v>557</v>
      </c>
      <c r="H38" s="723">
        <f>SUMIF(BS_RE33!$P$7:$P$874,G38,BS_RE33!$X$7:$X$874)</f>
        <v>0</v>
      </c>
      <c r="I38" s="723">
        <f>SUMIF(BS_RE33!$P$7:$P$874,G38,BS_RE33!$Y$7:$Y$874)</f>
        <v>0</v>
      </c>
      <c r="J38" s="723">
        <f>SUMIF(BS_RE33!$P$7:$P$874,G38,BS_RE33!$Z$7:$Z$874)</f>
        <v>0</v>
      </c>
      <c r="K38" s="723">
        <f>SUMIF(BS_RE33!$P$7:$P$874,G38,BS_RE33!$AA$7:$AA$874)</f>
        <v>0</v>
      </c>
      <c r="L38" s="723">
        <f>SUMIF(BS_RE33!$P$7:$P$874,G38,BS_RE33!$AB$7:$AB$874)</f>
        <v>0</v>
      </c>
      <c r="M38" s="723">
        <f>SUMIF(BS_RE33!$P$7:$P$874,G38,BS_RE33!$AC$7:$AC$874)</f>
        <v>0</v>
      </c>
      <c r="N38" s="723">
        <f>SUMIF(BS_RE33!$P$7:$P$874,G38,BS_RE33!$AD$7:$AD$874)</f>
        <v>0</v>
      </c>
      <c r="O38" s="723">
        <f>SUMIF(BS_RE33!$P$7:$P$874,G38,BS_RE33!$AE$7:$AE$874)</f>
        <v>0</v>
      </c>
      <c r="P38" s="723">
        <f>SUMIF(BS_RE33!$P$7:$P$874,G38,BS_RE33!$AF$7:$AF$874)</f>
        <v>0</v>
      </c>
      <c r="Q38" s="724">
        <f>SUMIF(BS_RE33!$P$7:$P$874,G38,BS_RE33!$AG$7:$AG$874)</f>
        <v>0</v>
      </c>
      <c r="T38" s="811"/>
      <c r="U38" s="811"/>
    </row>
    <row r="39" spans="3:21" ht="20.25">
      <c r="C39" s="991"/>
      <c r="D39" s="944" t="s">
        <v>763</v>
      </c>
      <c r="E39" s="699" t="s">
        <v>559</v>
      </c>
      <c r="F39" s="700"/>
      <c r="G39" s="701" t="s">
        <v>561</v>
      </c>
      <c r="H39" s="723">
        <f>SUMIF(BS_RE33!$P$7:$P$874,G39,BS_RE33!$X$7:$X$874)</f>
        <v>0</v>
      </c>
      <c r="I39" s="723">
        <f>SUMIF(BS_RE33!$P$7:$P$874,G39,BS_RE33!$Y$7:$Y$874)</f>
        <v>0</v>
      </c>
      <c r="J39" s="723">
        <f>SUMIF(BS_RE33!$P$7:$P$874,G39,BS_RE33!$Z$7:$Z$874)</f>
        <v>0</v>
      </c>
      <c r="K39" s="723">
        <f>SUMIF(BS_RE33!$P$7:$P$874,G39,BS_RE33!$AA$7:$AA$874)</f>
        <v>0</v>
      </c>
      <c r="L39" s="723">
        <f>SUMIF(BS_RE33!$P$7:$P$874,G39,BS_RE33!$AB$7:$AB$874)</f>
        <v>0</v>
      </c>
      <c r="M39" s="723">
        <f>SUMIF(BS_RE33!$P$7:$P$874,G39,BS_RE33!$AC$7:$AC$874)</f>
        <v>0</v>
      </c>
      <c r="N39" s="723">
        <f>SUMIF(BS_RE33!$P$7:$P$874,G39,BS_RE33!$AD$7:$AD$874)</f>
        <v>0</v>
      </c>
      <c r="O39" s="723">
        <f>SUMIF(BS_RE33!$P$7:$P$874,G39,BS_RE33!$AE$7:$AE$874)</f>
        <v>0</v>
      </c>
      <c r="P39" s="723">
        <f>SUMIF(BS_RE33!$P$7:$P$874,G39,BS_RE33!$AF$7:$AF$874)</f>
        <v>0</v>
      </c>
      <c r="Q39" s="724">
        <f>SUMIF(BS_RE33!$P$7:$P$874,G39,BS_RE33!$AG$7:$AG$874)</f>
        <v>0</v>
      </c>
    </row>
    <row r="40" spans="3:21" ht="20.25">
      <c r="C40" s="991"/>
      <c r="D40" s="945" t="s">
        <v>740</v>
      </c>
      <c r="E40" s="715" t="s">
        <v>585</v>
      </c>
      <c r="F40" s="700"/>
      <c r="G40" s="701" t="s">
        <v>588</v>
      </c>
      <c r="H40" s="723">
        <f>SUMIF(BS_RE33!$P$7:$P$874,G40,BS_RE33!$X$7:$X$874)</f>
        <v>0</v>
      </c>
      <c r="I40" s="723">
        <f>SUMIF(BS_RE33!$P$7:$P$874,G40,BS_RE33!$Y$7:$Y$874)</f>
        <v>0</v>
      </c>
      <c r="J40" s="723">
        <f>SUMIF(BS_RE33!$P$7:$P$874,G40,BS_RE33!$Z$7:$Z$874)</f>
        <v>0</v>
      </c>
      <c r="K40" s="723">
        <f>SUMIF(BS_RE33!$P$7:$P$874,G40,BS_RE33!$AA$7:$AA$874)</f>
        <v>0</v>
      </c>
      <c r="L40" s="723">
        <f>SUMIF(BS_RE33!$P$7:$P$874,G40,BS_RE33!$AB$7:$AB$874)</f>
        <v>0</v>
      </c>
      <c r="M40" s="723">
        <f>SUMIF(BS_RE33!$P$7:$P$874,G40,BS_RE33!$AC$7:$AC$874)</f>
        <v>0</v>
      </c>
      <c r="N40" s="723">
        <f>SUMIF(BS_RE33!$P$7:$P$874,G40,BS_RE33!$AD$7:$AD$874)</f>
        <v>0</v>
      </c>
      <c r="O40" s="723">
        <f>SUMIF(BS_RE33!$P$7:$P$874,G40,BS_RE33!$AE$7:$AE$874)</f>
        <v>0</v>
      </c>
      <c r="P40" s="723">
        <f>SUMIF(BS_RE33!$P$7:$P$874,G40,BS_RE33!$AF$7:$AF$874)</f>
        <v>0</v>
      </c>
      <c r="Q40" s="724">
        <f>SUMIF(BS_RE33!$P$7:$P$874,G40,BS_RE33!$AG$7:$AG$874)</f>
        <v>0</v>
      </c>
    </row>
    <row r="41" spans="3:21" ht="17.45" customHeight="1">
      <c r="C41" s="991"/>
      <c r="D41" s="937" t="s">
        <v>764</v>
      </c>
      <c r="E41" s="699" t="s">
        <v>87</v>
      </c>
      <c r="F41" s="700"/>
      <c r="G41" s="701" t="s">
        <v>525</v>
      </c>
      <c r="H41" s="723">
        <f>SUMIF(BS_RE33!$P$7:$P$874,G41,BS_RE33!$X$7:$X$874)</f>
        <v>0</v>
      </c>
      <c r="I41" s="723">
        <f>SUMIF(BS_RE33!$P$7:$P$874,G41,BS_RE33!$Y$7:$Y$874)</f>
        <v>0</v>
      </c>
      <c r="J41" s="723">
        <f>SUMIF(BS_RE33!$P$7:$P$874,G41,BS_RE33!$Z$7:$Z$874)</f>
        <v>0</v>
      </c>
      <c r="K41" s="723">
        <f>SUMIF(BS_RE33!$P$7:$P$874,G41,BS_RE33!$AA$7:$AA$874)</f>
        <v>0</v>
      </c>
      <c r="L41" s="723">
        <f>SUMIF(BS_RE33!$P$7:$P$874,G41,BS_RE33!$AB$7:$AB$874)</f>
        <v>0</v>
      </c>
      <c r="M41" s="723">
        <f>SUMIF(BS_RE33!$P$7:$P$874,G41,BS_RE33!$AC$7:$AC$874)</f>
        <v>0</v>
      </c>
      <c r="N41" s="723">
        <f>SUMIF(BS_RE33!$P$7:$P$874,G41,BS_RE33!$AD$7:$AD$874)</f>
        <v>0</v>
      </c>
      <c r="O41" s="723">
        <f>SUMIF(BS_RE33!$P$7:$P$874,G41,BS_RE33!$AE$7:$AE$874)</f>
        <v>0</v>
      </c>
      <c r="P41" s="723">
        <f>SUMIF(BS_RE33!$P$7:$P$874,G41,BS_RE33!$AF$7:$AF$874)</f>
        <v>0</v>
      </c>
      <c r="Q41" s="724">
        <f>SUMIF(BS_RE33!$P$7:$P$874,G41,BS_RE33!$AG$7:$AG$874)</f>
        <v>0</v>
      </c>
    </row>
    <row r="42" spans="3:21" ht="17.45" customHeight="1">
      <c r="C42" s="991"/>
      <c r="D42" s="938"/>
      <c r="E42" s="699" t="s">
        <v>564</v>
      </c>
      <c r="F42" s="716"/>
      <c r="G42" s="701" t="s">
        <v>565</v>
      </c>
      <c r="H42" s="723">
        <f>SUMIF(BS_RE33!$P$7:$P$874,G42,BS_RE33!$X$7:$X$874)</f>
        <v>0</v>
      </c>
      <c r="I42" s="723">
        <f>SUMIF(BS_RE33!$P$7:$P$874,G42,BS_RE33!$Y$7:$Y$874)</f>
        <v>0</v>
      </c>
      <c r="J42" s="723">
        <f>SUMIF(BS_RE33!$P$7:$P$874,G42,BS_RE33!$Z$7:$Z$874)</f>
        <v>0</v>
      </c>
      <c r="K42" s="723">
        <f>SUMIF(BS_RE33!$P$7:$P$874,G42,BS_RE33!$AA$7:$AA$874)</f>
        <v>0</v>
      </c>
      <c r="L42" s="723">
        <f>SUMIF(BS_RE33!$P$7:$P$874,G42,BS_RE33!$AB$7:$AB$874)</f>
        <v>0</v>
      </c>
      <c r="M42" s="723">
        <f>SUMIF(BS_RE33!$P$7:$P$874,G42,BS_RE33!$AC$7:$AC$874)</f>
        <v>0</v>
      </c>
      <c r="N42" s="723">
        <f>SUMIF(BS_RE33!$P$7:$P$874,G42,BS_RE33!$AD$7:$AD$874)</f>
        <v>0</v>
      </c>
      <c r="O42" s="723">
        <f>SUMIF(BS_RE33!$P$7:$P$874,G42,BS_RE33!$AE$7:$AE$874)</f>
        <v>0</v>
      </c>
      <c r="P42" s="723">
        <f>SUMIF(BS_RE33!$P$7:$P$874,G42,BS_RE33!$AF$7:$AF$874)</f>
        <v>0</v>
      </c>
      <c r="Q42" s="724">
        <f>SUMIF(BS_RE33!$P$7:$P$874,G42,BS_RE33!$AG$7:$AG$874)</f>
        <v>0</v>
      </c>
    </row>
    <row r="43" spans="3:21" ht="17.45" customHeight="1">
      <c r="C43" s="991"/>
      <c r="D43" s="942"/>
      <c r="E43" s="699" t="s">
        <v>88</v>
      </c>
      <c r="F43" s="700"/>
      <c r="G43" s="701" t="s">
        <v>526</v>
      </c>
      <c r="H43" s="723">
        <f>SUMIF(BS_RE33!$P$7:$P$874,G43,BS_RE33!$X$7:$X$874)</f>
        <v>0</v>
      </c>
      <c r="I43" s="723">
        <f>SUMIF(BS_RE33!$P$7:$P$874,G43,BS_RE33!$Y$7:$Y$874)</f>
        <v>0</v>
      </c>
      <c r="J43" s="723">
        <f>SUMIF(BS_RE33!$P$7:$P$874,G43,BS_RE33!$Z$7:$Z$874)</f>
        <v>0</v>
      </c>
      <c r="K43" s="723">
        <f>SUMIF(BS_RE33!$P$7:$P$874,G43,BS_RE33!$AA$7:$AA$874)</f>
        <v>0</v>
      </c>
      <c r="L43" s="723">
        <f>SUMIF(BS_RE33!$P$7:$P$874,G43,BS_RE33!$AB$7:$AB$874)</f>
        <v>0</v>
      </c>
      <c r="M43" s="723">
        <f>SUMIF(BS_RE33!$P$7:$P$874,G43,BS_RE33!$AC$7:$AC$874)</f>
        <v>0</v>
      </c>
      <c r="N43" s="723">
        <f>SUMIF(BS_RE33!$P$7:$P$874,G43,BS_RE33!$AD$7:$AD$874)</f>
        <v>0</v>
      </c>
      <c r="O43" s="723">
        <f>SUMIF(BS_RE33!$P$7:$P$874,G43,BS_RE33!$AE$7:$AE$874)</f>
        <v>0</v>
      </c>
      <c r="P43" s="723">
        <f>SUMIF(BS_RE33!$P$7:$P$874,G43,BS_RE33!$AF$7:$AF$874)</f>
        <v>0</v>
      </c>
      <c r="Q43" s="724">
        <f>SUMIF(BS_RE33!$P$7:$P$874,G43,BS_RE33!$AG$7:$AG$874)</f>
        <v>0</v>
      </c>
    </row>
    <row r="44" spans="3:21" ht="16.5" customHeight="1">
      <c r="C44" s="991"/>
      <c r="D44" s="943" t="s">
        <v>766</v>
      </c>
      <c r="E44" s="715" t="s">
        <v>582</v>
      </c>
      <c r="F44" s="700"/>
      <c r="G44" s="701" t="s">
        <v>587</v>
      </c>
      <c r="H44" s="723">
        <f>SUMIF(BS_RE33!$P$7:$P$874,G44,BS_RE33!$X$7:$X$874)</f>
        <v>0</v>
      </c>
      <c r="I44" s="723">
        <f>SUMIF(BS_RE33!$P$7:$P$874,G44,BS_RE33!$Y$7:$Y$874)</f>
        <v>0</v>
      </c>
      <c r="J44" s="723">
        <f>SUMIF(BS_RE33!$P$7:$P$874,G44,BS_RE33!$Z$7:$Z$874)</f>
        <v>0</v>
      </c>
      <c r="K44" s="723">
        <f>SUMIF(BS_RE33!$P$7:$P$874,G44,BS_RE33!$AA$7:$AA$874)</f>
        <v>0</v>
      </c>
      <c r="L44" s="723">
        <f>SUMIF(BS_RE33!$P$7:$P$874,G44,BS_RE33!$AB$7:$AB$874)</f>
        <v>0</v>
      </c>
      <c r="M44" s="723">
        <f>SUMIF(BS_RE33!$P$7:$P$874,G44,BS_RE33!$AC$7:$AC$874)</f>
        <v>0</v>
      </c>
      <c r="N44" s="723">
        <f>SUMIF(BS_RE33!$P$7:$P$874,G44,BS_RE33!$AD$7:$AD$874)</f>
        <v>0</v>
      </c>
      <c r="O44" s="723">
        <f>SUMIF(BS_RE33!$P$7:$P$874,G44,BS_RE33!$AE$7:$AE$874)</f>
        <v>0</v>
      </c>
      <c r="P44" s="723">
        <f>SUMIF(BS_RE33!$P$7:$P$874,G44,BS_RE33!$AF$7:$AF$874)</f>
        <v>0</v>
      </c>
      <c r="Q44" s="724">
        <f>SUMIF(BS_RE33!$P$7:$P$874,G44,BS_RE33!$AG$7:$AG$874)</f>
        <v>0</v>
      </c>
    </row>
    <row r="45" spans="3:21" ht="16.5" customHeight="1">
      <c r="C45" s="991"/>
      <c r="D45" s="940"/>
      <c r="E45" s="715" t="s">
        <v>569</v>
      </c>
      <c r="F45" s="700"/>
      <c r="G45" s="701" t="s">
        <v>571</v>
      </c>
      <c r="H45" s="723">
        <f>SUMIF(BS_RE33!$P$7:$P$874,G45,BS_RE33!$X$7:$X$874)</f>
        <v>0</v>
      </c>
      <c r="I45" s="723">
        <f>SUMIF(BS_RE33!$P$7:$P$874,G45,BS_RE33!$Y$7:$Y$874)</f>
        <v>0</v>
      </c>
      <c r="J45" s="723">
        <f>SUMIF(BS_RE33!$P$7:$P$874,G45,BS_RE33!$Z$7:$Z$874)</f>
        <v>0</v>
      </c>
      <c r="K45" s="723">
        <f>SUMIF(BS_RE33!$P$7:$P$874,G45,BS_RE33!$AA$7:$AA$874)</f>
        <v>0</v>
      </c>
      <c r="L45" s="723">
        <f>SUMIF(BS_RE33!$P$7:$P$874,G45,BS_RE33!$AB$7:$AB$874)</f>
        <v>0</v>
      </c>
      <c r="M45" s="723">
        <f>SUMIF(BS_RE33!$P$7:$P$874,G45,BS_RE33!$AC$7:$AC$874)</f>
        <v>0</v>
      </c>
      <c r="N45" s="723">
        <f>SUMIF(BS_RE33!$P$7:$P$874,G45,BS_RE33!$AD$7:$AD$874)</f>
        <v>0</v>
      </c>
      <c r="O45" s="723">
        <f>SUMIF(BS_RE33!$P$7:$P$874,G45,BS_RE33!$AE$7:$AE$874)</f>
        <v>0</v>
      </c>
      <c r="P45" s="723">
        <f>SUMIF(BS_RE33!$P$7:$P$874,G45,BS_RE33!$AF$7:$AF$874)</f>
        <v>0</v>
      </c>
      <c r="Q45" s="724">
        <f>SUMIF(BS_RE33!$P$7:$P$874,G45,BS_RE33!$AG$7:$AG$874)</f>
        <v>0</v>
      </c>
    </row>
    <row r="46" spans="3:21" ht="16.5" customHeight="1">
      <c r="C46" s="991"/>
      <c r="D46" s="940"/>
      <c r="E46" s="699" t="s">
        <v>90</v>
      </c>
      <c r="F46" s="700"/>
      <c r="G46" s="701" t="s">
        <v>527</v>
      </c>
      <c r="H46" s="723">
        <f>SUMIF(BS_RE33!$P$7:$P$874,G46,BS_RE33!$X$7:$X$874)</f>
        <v>0</v>
      </c>
      <c r="I46" s="723">
        <f>SUMIF(BS_RE33!$P$7:$P$874,G46,BS_RE33!$Y$7:$Y$874)</f>
        <v>0</v>
      </c>
      <c r="J46" s="723">
        <f>SUMIF(BS_RE33!$P$7:$P$874,G46,BS_RE33!$Z$7:$Z$874)</f>
        <v>0</v>
      </c>
      <c r="K46" s="723">
        <f>SUMIF(BS_RE33!$P$7:$P$874,G46,BS_RE33!$AA$7:$AA$874)</f>
        <v>0</v>
      </c>
      <c r="L46" s="723">
        <f>SUMIF(BS_RE33!$P$7:$P$874,G46,BS_RE33!$AB$7:$AB$874)</f>
        <v>0</v>
      </c>
      <c r="M46" s="723">
        <f>SUMIF(BS_RE33!$P$7:$P$874,G46,BS_RE33!$AC$7:$AC$874)</f>
        <v>0</v>
      </c>
      <c r="N46" s="723">
        <f>SUMIF(BS_RE33!$P$7:$P$874,G46,BS_RE33!$AD$7:$AD$874)</f>
        <v>0</v>
      </c>
      <c r="O46" s="723">
        <f>SUMIF(BS_RE33!$P$7:$P$874,G46,BS_RE33!$AE$7:$AE$874)</f>
        <v>0</v>
      </c>
      <c r="P46" s="723">
        <f>SUMIF(BS_RE33!$P$7:$P$874,G46,BS_RE33!$AF$7:$AF$874)</f>
        <v>0</v>
      </c>
      <c r="Q46" s="724">
        <f>SUMIF(BS_RE33!$P$7:$P$874,G46,BS_RE33!$AG$7:$AG$874)</f>
        <v>0</v>
      </c>
    </row>
    <row r="47" spans="3:21" ht="16.5" customHeight="1">
      <c r="C47" s="991"/>
      <c r="D47" s="940"/>
      <c r="E47" s="699" t="s">
        <v>577</v>
      </c>
      <c r="F47" s="700"/>
      <c r="G47" s="701" t="s">
        <v>578</v>
      </c>
      <c r="H47" s="723">
        <f>SUMIF(BS_RE33!$P$7:$P$874,G47,BS_RE33!$X$7:$X$874)</f>
        <v>0</v>
      </c>
      <c r="I47" s="723">
        <f>SUMIF(BS_RE33!$P$7:$P$874,G47,BS_RE33!$Y$7:$Y$874)</f>
        <v>0</v>
      </c>
      <c r="J47" s="723">
        <f>SUMIF(BS_RE33!$P$7:$P$874,G47,BS_RE33!$Z$7:$Z$874)</f>
        <v>0</v>
      </c>
      <c r="K47" s="723">
        <f>SUMIF(BS_RE33!$P$7:$P$874,G47,BS_RE33!$AA$7:$AA$874)</f>
        <v>0</v>
      </c>
      <c r="L47" s="723">
        <f>SUMIF(BS_RE33!$P$7:$P$874,G47,BS_RE33!$AB$7:$AB$874)</f>
        <v>0</v>
      </c>
      <c r="M47" s="723">
        <f>SUMIF(BS_RE33!$P$7:$P$874,G47,BS_RE33!$AC$7:$AC$874)</f>
        <v>0</v>
      </c>
      <c r="N47" s="723">
        <f>SUMIF(BS_RE33!$P$7:$P$874,G47,BS_RE33!$AD$7:$AD$874)</f>
        <v>0</v>
      </c>
      <c r="O47" s="723">
        <f>SUMIF(BS_RE33!$P$7:$P$874,G47,BS_RE33!$AE$7:$AE$874)</f>
        <v>0</v>
      </c>
      <c r="P47" s="723">
        <f>SUMIF(BS_RE33!$P$7:$P$874,G47,BS_RE33!$AF$7:$AF$874)</f>
        <v>0</v>
      </c>
      <c r="Q47" s="724">
        <f>SUMIF(BS_RE33!$P$7:$P$874,G47,BS_RE33!$AG$7:$AG$874)</f>
        <v>0</v>
      </c>
    </row>
    <row r="48" spans="3:21" ht="16.5" customHeight="1">
      <c r="C48" s="991"/>
      <c r="D48" s="940"/>
      <c r="E48" s="715" t="s">
        <v>567</v>
      </c>
      <c r="F48" s="700"/>
      <c r="G48" s="717" t="s">
        <v>568</v>
      </c>
      <c r="H48" s="723">
        <f>SUMIF(BS_RE33!$P$7:$P$874,G48,BS_RE33!$X$7:$X$874)</f>
        <v>0</v>
      </c>
      <c r="I48" s="723">
        <f>SUMIF(BS_RE33!$P$7:$P$874,G48,BS_RE33!$Y$7:$Y$874)</f>
        <v>0</v>
      </c>
      <c r="J48" s="723">
        <f>SUMIF(BS_RE33!$P$7:$P$874,G48,BS_RE33!$Z$7:$Z$874)</f>
        <v>0</v>
      </c>
      <c r="K48" s="723">
        <f>SUMIF(BS_RE33!$P$7:$P$874,G48,BS_RE33!$AA$7:$AA$874)</f>
        <v>0</v>
      </c>
      <c r="L48" s="723">
        <f>SUMIF(BS_RE33!$P$7:$P$874,G48,BS_RE33!$AB$7:$AB$874)</f>
        <v>0</v>
      </c>
      <c r="M48" s="723">
        <f>SUMIF(BS_RE33!$P$7:$P$874,G48,BS_RE33!$AC$7:$AC$874)</f>
        <v>0</v>
      </c>
      <c r="N48" s="723">
        <f>SUMIF(BS_RE33!$P$7:$P$874,G48,BS_RE33!$AD$7:$AD$874)</f>
        <v>0</v>
      </c>
      <c r="O48" s="723">
        <f>SUMIF(BS_RE33!$P$7:$P$874,G48,BS_RE33!$AE$7:$AE$874)</f>
        <v>0</v>
      </c>
      <c r="P48" s="723">
        <f>SUMIF(BS_RE33!$P$7:$P$874,G48,BS_RE33!$AF$7:$AF$874)</f>
        <v>0</v>
      </c>
      <c r="Q48" s="724">
        <f>SUMIF(BS_RE33!$P$7:$P$874,G48,BS_RE33!$AG$7:$AG$874)</f>
        <v>0</v>
      </c>
    </row>
    <row r="49" spans="3:20" ht="16.5" customHeight="1">
      <c r="C49" s="991"/>
      <c r="D49" s="940"/>
      <c r="E49" s="715" t="s">
        <v>91</v>
      </c>
      <c r="F49" s="700"/>
      <c r="G49" s="701" t="s">
        <v>528</v>
      </c>
      <c r="H49" s="723">
        <f>SUMIF(BS_RE33!$P$7:$P$874,G49,BS_RE33!$X$7:$X$874)</f>
        <v>0</v>
      </c>
      <c r="I49" s="723">
        <f>SUMIF(BS_RE33!$P$7:$P$874,G49,BS_RE33!$Y$7:$Y$874)</f>
        <v>0</v>
      </c>
      <c r="J49" s="723">
        <f>SUMIF(BS_RE33!$P$7:$P$874,G49,BS_RE33!$Z$7:$Z$874)</f>
        <v>0</v>
      </c>
      <c r="K49" s="723">
        <f>SUMIF(BS_RE33!$P$7:$P$874,G49,BS_RE33!$AA$7:$AA$874)</f>
        <v>0</v>
      </c>
      <c r="L49" s="723">
        <f>SUMIF(BS_RE33!$P$7:$P$874,G49,BS_RE33!$AB$7:$AB$874)</f>
        <v>0</v>
      </c>
      <c r="M49" s="723">
        <f>SUMIF(BS_RE33!$P$7:$P$874,G49,BS_RE33!$AC$7:$AC$874)</f>
        <v>0</v>
      </c>
      <c r="N49" s="723">
        <f>SUMIF(BS_RE33!$P$7:$P$874,G49,BS_RE33!$AD$7:$AD$874)</f>
        <v>0</v>
      </c>
      <c r="O49" s="723">
        <f>SUMIF(BS_RE33!$P$7:$P$874,G49,BS_RE33!$AE$7:$AE$874)</f>
        <v>0</v>
      </c>
      <c r="P49" s="723">
        <f>SUMIF(BS_RE33!$P$7:$P$874,G49,BS_RE33!$AF$7:$AF$874)</f>
        <v>0</v>
      </c>
      <c r="Q49" s="724">
        <f>SUMIF(BS_RE33!$P$7:$P$874,G49,BS_RE33!$AG$7:$AG$874)</f>
        <v>0</v>
      </c>
    </row>
    <row r="50" spans="3:20" ht="16.5" customHeight="1" thickBot="1">
      <c r="C50" s="991"/>
      <c r="D50" s="940"/>
      <c r="E50" s="737" t="s">
        <v>101</v>
      </c>
      <c r="F50" s="702"/>
      <c r="G50" s="703" t="s">
        <v>529</v>
      </c>
      <c r="H50" s="723">
        <f>SUMIF(BS_RE33!$P$7:$P$874,G50,BS_RE33!$X$7:$X$874)</f>
        <v>0</v>
      </c>
      <c r="I50" s="723">
        <f>SUMIF(BS_RE33!$P$7:$P$874,G50,BS_RE33!$Y$7:$Y$874)</f>
        <v>0</v>
      </c>
      <c r="J50" s="723">
        <f>SUMIF(BS_RE33!$P$7:$P$874,G50,BS_RE33!$Z$7:$Z$874)</f>
        <v>0</v>
      </c>
      <c r="K50" s="723">
        <f>SUMIF(BS_RE33!$P$7:$P$874,G50,BS_RE33!$AA$7:$AA$874)</f>
        <v>0</v>
      </c>
      <c r="L50" s="723">
        <f>SUMIF(BS_RE33!$P$7:$P$874,G50,BS_RE33!$AB$7:$AB$874)</f>
        <v>0</v>
      </c>
      <c r="M50" s="723">
        <f>SUMIF(BS_RE33!$P$7:$P$874,G50,BS_RE33!$AC$7:$AC$874)</f>
        <v>0</v>
      </c>
      <c r="N50" s="723">
        <f>SUMIF(BS_RE33!$P$7:$P$874,G50,BS_RE33!$AD$7:$AD$874)</f>
        <v>0</v>
      </c>
      <c r="O50" s="723">
        <f>SUMIF(BS_RE33!$P$7:$P$874,G50,BS_RE33!$AE$7:$AE$874)</f>
        <v>0</v>
      </c>
      <c r="P50" s="723">
        <f>SUMIF(BS_RE33!$P$7:$P$874,G50,BS_RE33!$AF$7:$AF$874)</f>
        <v>0</v>
      </c>
      <c r="Q50" s="724">
        <f>SUMIF(BS_RE33!$P$7:$P$874,G50,BS_RE33!$AG$7:$AG$874)</f>
        <v>0</v>
      </c>
    </row>
    <row r="51" spans="3:20" ht="17.45" customHeight="1" thickTop="1" thickBot="1">
      <c r="C51" s="992"/>
      <c r="D51" s="858" t="s">
        <v>1508</v>
      </c>
      <c r="E51" s="858"/>
      <c r="F51" s="738">
        <f>SUM(H51:Q51)</f>
        <v>0</v>
      </c>
      <c r="G51" s="739"/>
      <c r="H51" s="740">
        <f>SUM(H25:H50)</f>
        <v>0</v>
      </c>
      <c r="I51" s="741">
        <f t="shared" ref="I51:Q51" si="1">SUM(I25:I50)</f>
        <v>0</v>
      </c>
      <c r="J51" s="741">
        <f t="shared" si="1"/>
        <v>0</v>
      </c>
      <c r="K51" s="741">
        <f t="shared" si="1"/>
        <v>0</v>
      </c>
      <c r="L51" s="741">
        <f t="shared" si="1"/>
        <v>0</v>
      </c>
      <c r="M51" s="741">
        <f t="shared" si="1"/>
        <v>0</v>
      </c>
      <c r="N51" s="741">
        <f t="shared" si="1"/>
        <v>0</v>
      </c>
      <c r="O51" s="741">
        <f t="shared" si="1"/>
        <v>0</v>
      </c>
      <c r="P51" s="741">
        <f t="shared" si="1"/>
        <v>0</v>
      </c>
      <c r="Q51" s="742">
        <f t="shared" si="1"/>
        <v>0</v>
      </c>
      <c r="R51" s="695"/>
      <c r="S51" s="876"/>
      <c r="T51" s="876"/>
    </row>
    <row r="52" spans="3:20" ht="19.5" customHeight="1" thickTop="1" thickBot="1">
      <c r="C52" s="783" t="s">
        <v>92</v>
      </c>
      <c r="D52" s="784" t="s">
        <v>92</v>
      </c>
      <c r="E52" s="785" t="s">
        <v>92</v>
      </c>
      <c r="F52" s="786"/>
      <c r="G52" s="786" t="s">
        <v>530</v>
      </c>
      <c r="H52" s="787">
        <f>SUMIF(BS_RE33!$P$7:$P$874,G52,BS_RE33!$X$7:$X$874)</f>
        <v>0</v>
      </c>
      <c r="I52" s="787">
        <f>SUMIF(BS_RE33!$P$7:$P$874,G52,BS_RE33!$Y$7:$Y$874)</f>
        <v>0</v>
      </c>
      <c r="J52" s="787">
        <f>SUMIF(BS_RE33!$P$7:$P$874,G52,BS_RE33!$Z$7:$Z$874)</f>
        <v>0</v>
      </c>
      <c r="K52" s="787">
        <f>SUMIF(BS_RE33!$P$7:$P$874,G52,BS_RE33!$AA$7:$AA$874)</f>
        <v>0</v>
      </c>
      <c r="L52" s="787">
        <f>SUMIF(BS_RE33!$P$7:$P$874,G52,BS_RE33!$AB$7:$AB$874)</f>
        <v>0</v>
      </c>
      <c r="M52" s="787">
        <f>SUMIF(BS_RE33!$P$7:$P$874,G52,BS_RE33!$AC$7:$AC$874)</f>
        <v>0</v>
      </c>
      <c r="N52" s="787">
        <f>SUMIF(BS_RE33!$P$7:$P$874,G52,BS_RE33!$AD$7:$AD$874)</f>
        <v>0</v>
      </c>
      <c r="O52" s="787">
        <f>SUMIF(BS_RE33!$P$7:$P$874,G52,BS_RE33!$AE$7:$AE$874)</f>
        <v>0</v>
      </c>
      <c r="P52" s="787">
        <f>SUMIF(BS_RE33!$P$7:$P$874,G52,BS_RE33!$AF$7:$AF$874)</f>
        <v>0</v>
      </c>
      <c r="Q52" s="788">
        <f>SUMIF(BS_RE33!$P$7:$P$874,G52,BS_RE33!$AG$7:$AG$874)</f>
        <v>0</v>
      </c>
      <c r="R52" s="695"/>
      <c r="S52" s="876"/>
      <c r="T52" s="876"/>
    </row>
    <row r="53" spans="3:20" ht="18.95" customHeight="1" thickTop="1" thickBot="1">
      <c r="R53" s="695"/>
    </row>
    <row r="54" spans="3:20" ht="21" thickTop="1">
      <c r="C54" s="854" t="s">
        <v>747</v>
      </c>
      <c r="D54" s="789" t="s">
        <v>748</v>
      </c>
      <c r="E54" s="790" t="s">
        <v>749</v>
      </c>
      <c r="F54" s="791"/>
      <c r="G54" s="791" t="s">
        <v>509</v>
      </c>
      <c r="H54" s="792">
        <f>SUMIF(BS_RE33!$P$7:$P$874,G54,BS_RE33!$X$7:$X$874)</f>
        <v>0</v>
      </c>
      <c r="I54" s="792">
        <f>SUMIF(BS_RE33!$P$7:$P$874,G54,BS_RE33!$Y$7:$Y$874)</f>
        <v>0</v>
      </c>
      <c r="J54" s="792">
        <f>SUMIF(BS_RE33!$P$7:$P$874,G54,BS_RE33!$Z$7:$Z$874)</f>
        <v>0</v>
      </c>
      <c r="K54" s="792">
        <f>SUMIF(BS_RE33!$P$7:$P$874,G54,BS_RE33!$AA$7:$AA$874)</f>
        <v>0</v>
      </c>
      <c r="L54" s="792">
        <f>SUMIF(BS_RE33!$P$7:$P$874,G54,BS_RE33!$AB$7:$AB$874)</f>
        <v>0</v>
      </c>
      <c r="M54" s="792">
        <f>SUMIF(BS_RE33!$P$7:$P$874,G54,BS_RE33!$AC$7:$AC$874)</f>
        <v>0</v>
      </c>
      <c r="N54" s="792">
        <f>SUMIF(BS_RE33!$P$7:$P$874,G54,BS_RE33!$AD$7:$AD$874)</f>
        <v>0</v>
      </c>
      <c r="O54" s="792">
        <f>SUMIF(BS_RE33!$P$7:$P$874,G54,BS_RE33!$AE$7:$AE$874)</f>
        <v>0</v>
      </c>
      <c r="P54" s="792">
        <f>SUMIF(BS_RE33!$P$7:$P$874,G54,BS_RE33!$AF$7:$AF$874)</f>
        <v>0</v>
      </c>
      <c r="Q54" s="793">
        <f>SUMIF(BS_RE33!$P$7:$P$874,G54,BS_RE33!$AG$7:$AG$874)</f>
        <v>0</v>
      </c>
    </row>
    <row r="55" spans="3:20" ht="16.5" customHeight="1">
      <c r="C55" s="855"/>
      <c r="D55" s="853" t="s">
        <v>750</v>
      </c>
      <c r="E55" s="794" t="s">
        <v>76</v>
      </c>
      <c r="F55" s="795"/>
      <c r="G55" s="795" t="s">
        <v>510</v>
      </c>
      <c r="H55" s="796">
        <f>SUMIF(BS_RE33!$P$7:$P$874,G55,BS_RE33!$X$7:$X$874)</f>
        <v>0</v>
      </c>
      <c r="I55" s="796">
        <f>SUMIF(BS_RE33!$P$7:$P$874,G55,BS_RE33!$Y$7:$Y$874)</f>
        <v>0</v>
      </c>
      <c r="J55" s="796">
        <f>SUMIF(BS_RE33!$P$7:$P$874,G55,BS_RE33!$Z$7:$Z$874)</f>
        <v>0</v>
      </c>
      <c r="K55" s="796">
        <f>SUMIF(BS_RE33!$P$7:$P$874,G55,BS_RE33!$AA$7:$AA$874)</f>
        <v>0</v>
      </c>
      <c r="L55" s="796">
        <f>SUMIF(BS_RE33!$P$7:$P$874,G55,BS_RE33!$AB$7:$AB$874)</f>
        <v>0</v>
      </c>
      <c r="M55" s="796">
        <f>SUMIF(BS_RE33!$P$7:$P$874,G55,BS_RE33!$AC$7:$AC$874)</f>
        <v>0</v>
      </c>
      <c r="N55" s="796">
        <f>SUMIF(BS_RE33!$P$7:$P$874,G55,BS_RE33!$AD$7:$AD$874)</f>
        <v>0</v>
      </c>
      <c r="O55" s="796">
        <f>SUMIF(BS_RE33!$P$7:$P$874,G55,BS_RE33!$AE$7:$AE$874)</f>
        <v>0</v>
      </c>
      <c r="P55" s="796">
        <f>SUMIF(BS_RE33!$P$7:$P$874,G55,BS_RE33!$AF$7:$AF$874)</f>
        <v>0</v>
      </c>
      <c r="Q55" s="797">
        <f>SUMIF(BS_RE33!$P$7:$P$874,G55,BS_RE33!$AG$7:$AG$874)</f>
        <v>0</v>
      </c>
    </row>
    <row r="56" spans="3:20" ht="16.5" customHeight="1">
      <c r="C56" s="855"/>
      <c r="D56" s="853"/>
      <c r="E56" s="794" t="s">
        <v>77</v>
      </c>
      <c r="F56" s="798"/>
      <c r="G56" s="795" t="s">
        <v>511</v>
      </c>
      <c r="H56" s="796">
        <f>SUMIF(BS_RE33!$P$7:$P$874,G56,BS_RE33!$X$7:$X$874)</f>
        <v>0</v>
      </c>
      <c r="I56" s="796">
        <f>SUMIF(BS_RE33!$P$7:$P$874,G56,BS_RE33!$Y$7:$Y$874)</f>
        <v>0</v>
      </c>
      <c r="J56" s="796">
        <f>SUMIF(BS_RE33!$P$7:$P$874,G56,BS_RE33!$Z$7:$Z$874)</f>
        <v>0</v>
      </c>
      <c r="K56" s="796">
        <f>SUMIF(BS_RE33!$P$7:$P$874,G56,BS_RE33!$AA$7:$AA$874)</f>
        <v>0</v>
      </c>
      <c r="L56" s="796">
        <f>SUMIF(BS_RE33!$P$7:$P$874,G56,BS_RE33!$AB$7:$AB$874)</f>
        <v>0</v>
      </c>
      <c r="M56" s="796">
        <f>SUMIF(BS_RE33!$P$7:$P$874,G56,BS_RE33!$AC$7:$AC$874)</f>
        <v>0</v>
      </c>
      <c r="N56" s="796">
        <f>SUMIF(BS_RE33!$P$7:$P$874,G56,BS_RE33!$AD$7:$AD$874)</f>
        <v>0</v>
      </c>
      <c r="O56" s="796">
        <f>SUMIF(BS_RE33!$P$7:$P$874,G56,BS_RE33!$AE$7:$AE$874)</f>
        <v>0</v>
      </c>
      <c r="P56" s="796">
        <f>SUMIF(BS_RE33!$P$7:$P$874,G56,BS_RE33!$AF$7:$AF$874)</f>
        <v>0</v>
      </c>
      <c r="Q56" s="797">
        <f>SUMIF(BS_RE33!$P$7:$P$874,G56,BS_RE33!$AG$7:$AG$874)</f>
        <v>0</v>
      </c>
    </row>
    <row r="57" spans="3:20" ht="16.5" customHeight="1">
      <c r="C57" s="855"/>
      <c r="D57" s="859" t="s">
        <v>776</v>
      </c>
      <c r="E57" s="799" t="s">
        <v>93</v>
      </c>
      <c r="F57" s="795"/>
      <c r="G57" s="795" t="s">
        <v>531</v>
      </c>
      <c r="H57" s="796">
        <f>SUMIF(BS_RE33!$P$7:$P$874,G57,BS_RE33!$X$7:$X$874)</f>
        <v>0</v>
      </c>
      <c r="I57" s="796">
        <f>SUMIF(BS_RE33!$P$7:$P$874,G57,BS_RE33!$Y$7:$Y$874)</f>
        <v>0</v>
      </c>
      <c r="J57" s="796">
        <f>SUMIF(BS_RE33!$P$7:$P$874,G57,BS_RE33!$Z$7:$Z$874)</f>
        <v>0</v>
      </c>
      <c r="K57" s="796">
        <f>SUMIF(BS_RE33!$P$7:$P$874,G57,BS_RE33!$AA$7:$AA$874)</f>
        <v>0</v>
      </c>
      <c r="L57" s="796">
        <f>SUMIF(BS_RE33!$P$7:$P$874,G57,BS_RE33!$AB$7:$AB$874)</f>
        <v>0</v>
      </c>
      <c r="M57" s="796">
        <f>SUMIF(BS_RE33!$P$7:$P$874,G57,BS_RE33!$AC$7:$AC$874)</f>
        <v>0</v>
      </c>
      <c r="N57" s="796">
        <f>SUMIF(BS_RE33!$P$7:$P$874,G57,BS_RE33!$AD$7:$AD$874)</f>
        <v>0</v>
      </c>
      <c r="O57" s="796">
        <f>SUMIF(BS_RE33!$P$7:$P$874,G57,BS_RE33!$AE$7:$AE$874)</f>
        <v>0</v>
      </c>
      <c r="P57" s="796">
        <f>SUMIF(BS_RE33!$P$7:$P$874,G57,BS_RE33!$AF$7:$AF$874)</f>
        <v>0</v>
      </c>
      <c r="Q57" s="797">
        <f>SUMIF(BS_RE33!$P$7:$P$874,G57,BS_RE33!$AG$7:$AG$874)</f>
        <v>0</v>
      </c>
    </row>
    <row r="58" spans="3:20" ht="16.5" customHeight="1">
      <c r="C58" s="855"/>
      <c r="D58" s="860"/>
      <c r="E58" s="751" t="s">
        <v>94</v>
      </c>
      <c r="F58" s="752" t="s">
        <v>700</v>
      </c>
      <c r="G58" s="795" t="s">
        <v>532</v>
      </c>
      <c r="H58" s="796">
        <f>SUMIF(BS_RE33!$P$7:$P$874,G58,BS_RE33!$X$7:$X$874)</f>
        <v>0</v>
      </c>
      <c r="I58" s="796">
        <f>SUMIF(BS_RE33!$P$7:$P$874,G58,BS_RE33!$Y$7:$Y$874)</f>
        <v>0</v>
      </c>
      <c r="J58" s="796">
        <f>SUMIF(BS_RE33!$P$7:$P$874,G58,BS_RE33!$Z$7:$Z$874)</f>
        <v>0</v>
      </c>
      <c r="K58" s="796">
        <f>SUMIF(BS_RE33!$P$7:$P$874,G58,BS_RE33!$AA$7:$AA$874)</f>
        <v>0</v>
      </c>
      <c r="L58" s="796">
        <f>SUMIF(BS_RE33!$P$7:$P$874,G58,BS_RE33!$AB$7:$AB$874)</f>
        <v>0</v>
      </c>
      <c r="M58" s="796">
        <f>SUMIF(BS_RE33!$P$7:$P$874,G58,BS_RE33!$AC$7:$AC$874)</f>
        <v>0</v>
      </c>
      <c r="N58" s="796">
        <f>SUMIF(BS_RE33!$P$7:$P$874,G58,BS_RE33!$AD$7:$AD$874)</f>
        <v>0</v>
      </c>
      <c r="O58" s="796">
        <f>SUMIF(BS_RE33!$P$7:$P$874,G58,BS_RE33!$AE$7:$AE$874)</f>
        <v>0</v>
      </c>
      <c r="P58" s="796">
        <f>SUMIF(BS_RE33!$P$7:$P$874,G58,BS_RE33!$AF$7:$AF$874)</f>
        <v>0</v>
      </c>
      <c r="Q58" s="797">
        <f>SUMIF(BS_RE33!$P$7:$P$874,G58,BS_RE33!$AG$7:$AG$874)</f>
        <v>0</v>
      </c>
    </row>
    <row r="59" spans="3:20" ht="16.5" customHeight="1">
      <c r="C59" s="855"/>
      <c r="D59" s="860" t="s">
        <v>768</v>
      </c>
      <c r="E59" s="799" t="s">
        <v>767</v>
      </c>
      <c r="F59" s="795"/>
      <c r="G59" s="795" t="s">
        <v>533</v>
      </c>
      <c r="H59" s="796">
        <f>SUMIF(BS_RE33!$P$7:$P$874,G59,BS_RE33!$X$7:$X$874)</f>
        <v>0</v>
      </c>
      <c r="I59" s="796">
        <f>SUMIF(BS_RE33!$P$7:$P$874,G59,BS_RE33!$Y$7:$Y$874)</f>
        <v>0</v>
      </c>
      <c r="J59" s="796">
        <f>SUMIF(BS_RE33!$P$7:$P$874,G59,BS_RE33!$Z$7:$Z$874)</f>
        <v>0</v>
      </c>
      <c r="K59" s="796">
        <f>SUMIF(BS_RE33!$P$7:$P$874,G59,BS_RE33!$AA$7:$AA$874)</f>
        <v>0</v>
      </c>
      <c r="L59" s="796">
        <f>SUMIF(BS_RE33!$P$7:$P$874,G59,BS_RE33!$AB$7:$AB$874)</f>
        <v>0</v>
      </c>
      <c r="M59" s="796">
        <f>SUMIF(BS_RE33!$P$7:$P$874,G59,BS_RE33!$AC$7:$AC$874)</f>
        <v>0</v>
      </c>
      <c r="N59" s="796">
        <f>SUMIF(BS_RE33!$P$7:$P$874,G59,BS_RE33!$AD$7:$AD$874)</f>
        <v>0</v>
      </c>
      <c r="O59" s="796">
        <f>SUMIF(BS_RE33!$P$7:$P$874,G59,BS_RE33!$AE$7:$AE$874)</f>
        <v>0</v>
      </c>
      <c r="P59" s="796">
        <f>SUMIF(BS_RE33!$P$7:$P$874,G59,BS_RE33!$AF$7:$AF$874)</f>
        <v>0</v>
      </c>
      <c r="Q59" s="797">
        <f>SUMIF(BS_RE33!$P$7:$P$874,G59,BS_RE33!$AG$7:$AG$874)</f>
        <v>0</v>
      </c>
    </row>
    <row r="60" spans="3:20" ht="16.5" customHeight="1">
      <c r="C60" s="855"/>
      <c r="D60" s="860"/>
      <c r="E60" s="799" t="s">
        <v>95</v>
      </c>
      <c r="F60" s="795"/>
      <c r="G60" s="795" t="s">
        <v>533</v>
      </c>
      <c r="H60" s="796">
        <f>SUMIF(BS_RE33!$P$7:$P$874,G60,BS_RE33!$X$7:$X$874)</f>
        <v>0</v>
      </c>
      <c r="I60" s="796">
        <f>SUMIF(BS_RE33!$P$7:$P$874,G60,BS_RE33!$Y$7:$Y$874)</f>
        <v>0</v>
      </c>
      <c r="J60" s="796">
        <f>SUMIF(BS_RE33!$P$7:$P$874,G60,BS_RE33!$Z$7:$Z$874)</f>
        <v>0</v>
      </c>
      <c r="K60" s="796">
        <f>SUMIF(BS_RE33!$P$7:$P$874,G60,BS_RE33!$AA$7:$AA$874)</f>
        <v>0</v>
      </c>
      <c r="L60" s="796">
        <f>SUMIF(BS_RE33!$P$7:$P$874,G60,BS_RE33!$AB$7:$AB$874)</f>
        <v>0</v>
      </c>
      <c r="M60" s="796">
        <f>SUMIF(BS_RE33!$P$7:$P$874,G60,BS_RE33!$AC$7:$AC$874)</f>
        <v>0</v>
      </c>
      <c r="N60" s="796">
        <f>SUMIF(BS_RE33!$P$7:$P$874,G60,BS_RE33!$AD$7:$AD$874)</f>
        <v>0</v>
      </c>
      <c r="O60" s="796">
        <f>SUMIF(BS_RE33!$P$7:$P$874,G60,BS_RE33!$AE$7:$AE$874)</f>
        <v>0</v>
      </c>
      <c r="P60" s="796">
        <f>SUMIF(BS_RE33!$P$7:$P$874,G60,BS_RE33!$AF$7:$AF$874)</f>
        <v>0</v>
      </c>
      <c r="Q60" s="797">
        <f>SUMIF(BS_RE33!$P$7:$P$874,G60,BS_RE33!$AG$7:$AG$874)</f>
        <v>0</v>
      </c>
    </row>
    <row r="61" spans="3:20" ht="16.5" customHeight="1">
      <c r="C61" s="855"/>
      <c r="D61" s="860" t="s">
        <v>770</v>
      </c>
      <c r="E61" s="800" t="s">
        <v>769</v>
      </c>
      <c r="F61" s="801" t="s">
        <v>491</v>
      </c>
      <c r="G61" s="795" t="s">
        <v>534</v>
      </c>
      <c r="H61" s="796">
        <f>SUMIF(BS_RE33!$P$7:$P$874,G61,BS_RE33!$X$7:$X$874)</f>
        <v>0</v>
      </c>
      <c r="I61" s="796">
        <f>SUMIF(BS_RE33!$P$7:$P$874,G61,BS_RE33!$Y$7:$Y$874)</f>
        <v>0</v>
      </c>
      <c r="J61" s="796">
        <f>SUMIF(BS_RE33!$P$7:$P$874,G61,BS_RE33!$Z$7:$Z$874)</f>
        <v>0</v>
      </c>
      <c r="K61" s="796">
        <f>SUMIF(BS_RE33!$P$7:$P$874,G61,BS_RE33!$AA$7:$AA$874)</f>
        <v>0</v>
      </c>
      <c r="L61" s="796">
        <f>SUMIF(BS_RE33!$P$7:$P$874,G61,BS_RE33!$AB$7:$AB$874)</f>
        <v>0</v>
      </c>
      <c r="M61" s="796">
        <f>SUMIF(BS_RE33!$P$7:$P$874,G61,BS_RE33!$AC$7:$AC$874)</f>
        <v>0</v>
      </c>
      <c r="N61" s="796">
        <f>SUMIF(BS_RE33!$P$7:$P$874,G61,BS_RE33!$AD$7:$AD$874)</f>
        <v>0</v>
      </c>
      <c r="O61" s="796">
        <f>SUMIF(BS_RE33!$P$7:$P$874,G61,BS_RE33!$AE$7:$AE$874)</f>
        <v>0</v>
      </c>
      <c r="P61" s="796">
        <f>SUMIF(BS_RE33!$P$7:$P$874,G61,BS_RE33!$AF$7:$AF$874)</f>
        <v>0</v>
      </c>
      <c r="Q61" s="797">
        <f>SUMIF(BS_RE33!$P$7:$P$874,G61,BS_RE33!$AG$7:$AG$874)</f>
        <v>0</v>
      </c>
    </row>
    <row r="62" spans="3:20" ht="16.5" customHeight="1">
      <c r="C62" s="855"/>
      <c r="D62" s="860"/>
      <c r="E62" s="800" t="s">
        <v>96</v>
      </c>
      <c r="F62" s="801" t="s">
        <v>490</v>
      </c>
      <c r="G62" s="795" t="s">
        <v>535</v>
      </c>
      <c r="H62" s="796">
        <f>SUMIF(BS_RE33!$P$7:$P$874,G62,BS_RE33!$X$7:$X$874)</f>
        <v>0</v>
      </c>
      <c r="I62" s="796">
        <f>SUMIF(BS_RE33!$P$7:$P$874,G62,BS_RE33!$Y$7:$Y$874)</f>
        <v>0</v>
      </c>
      <c r="J62" s="796">
        <f>SUMIF(BS_RE33!$P$7:$P$874,G62,BS_RE33!$Z$7:$Z$874)</f>
        <v>0</v>
      </c>
      <c r="K62" s="796">
        <f>SUMIF(BS_RE33!$P$7:$P$874,G62,BS_RE33!$AA$7:$AA$874)</f>
        <v>0</v>
      </c>
      <c r="L62" s="796">
        <f>SUMIF(BS_RE33!$P$7:$P$874,G62,BS_RE33!$AB$7:$AB$874)</f>
        <v>0</v>
      </c>
      <c r="M62" s="796">
        <f>SUMIF(BS_RE33!$P$7:$P$874,G62,BS_RE33!$AC$7:$AC$874)</f>
        <v>0</v>
      </c>
      <c r="N62" s="796">
        <f>SUMIF(BS_RE33!$P$7:$P$874,G62,BS_RE33!$AD$7:$AD$874)</f>
        <v>0</v>
      </c>
      <c r="O62" s="796">
        <f>SUMIF(BS_RE33!$P$7:$P$874,G62,BS_RE33!$AE$7:$AE$874)</f>
        <v>0</v>
      </c>
      <c r="P62" s="796">
        <f>SUMIF(BS_RE33!$P$7:$P$874,G62,BS_RE33!$AF$7:$AF$874)</f>
        <v>0</v>
      </c>
      <c r="Q62" s="797">
        <f>SUMIF(BS_RE33!$P$7:$P$874,G62,BS_RE33!$AG$7:$AG$874)</f>
        <v>0</v>
      </c>
    </row>
    <row r="63" spans="3:20" ht="16.5" customHeight="1">
      <c r="C63" s="855"/>
      <c r="D63" s="860"/>
      <c r="E63" s="800" t="s">
        <v>96</v>
      </c>
      <c r="F63" s="801" t="s">
        <v>489</v>
      </c>
      <c r="G63" s="795" t="s">
        <v>536</v>
      </c>
      <c r="H63" s="796">
        <f>SUMIF(BS_RE33!$P$7:$P$874,G63,BS_RE33!$X$7:$X$874)</f>
        <v>0</v>
      </c>
      <c r="I63" s="796">
        <f>SUMIF(BS_RE33!$P$7:$P$874,G63,BS_RE33!$Y$7:$Y$874)</f>
        <v>0</v>
      </c>
      <c r="J63" s="796">
        <f>SUMIF(BS_RE33!$P$7:$P$874,G63,BS_RE33!$Z$7:$Z$874)</f>
        <v>0</v>
      </c>
      <c r="K63" s="796">
        <f>SUMIF(BS_RE33!$P$7:$P$874,G63,BS_RE33!$AA$7:$AA$874)</f>
        <v>0</v>
      </c>
      <c r="L63" s="796">
        <f>SUMIF(BS_RE33!$P$7:$P$874,G63,BS_RE33!$AB$7:$AB$874)</f>
        <v>0</v>
      </c>
      <c r="M63" s="796">
        <f>SUMIF(BS_RE33!$P$7:$P$874,G63,BS_RE33!$AC$7:$AC$874)</f>
        <v>0</v>
      </c>
      <c r="N63" s="796">
        <f>SUMIF(BS_RE33!$P$7:$P$874,G63,BS_RE33!$AD$7:$AD$874)</f>
        <v>0</v>
      </c>
      <c r="O63" s="796">
        <f>SUMIF(BS_RE33!$P$7:$P$874,G63,BS_RE33!$AE$7:$AE$874)</f>
        <v>0</v>
      </c>
      <c r="P63" s="796">
        <f>SUMIF(BS_RE33!$P$7:$P$874,G63,BS_RE33!$AF$7:$AF$874)</f>
        <v>0</v>
      </c>
      <c r="Q63" s="797">
        <f>SUMIF(BS_RE33!$P$7:$P$874,G63,BS_RE33!$AG$7:$AG$874)</f>
        <v>0</v>
      </c>
    </row>
    <row r="64" spans="3:20" ht="16.5" customHeight="1">
      <c r="C64" s="855"/>
      <c r="D64" s="860"/>
      <c r="E64" s="800" t="s">
        <v>96</v>
      </c>
      <c r="F64" s="801" t="s">
        <v>493</v>
      </c>
      <c r="G64" s="795" t="s">
        <v>1247</v>
      </c>
      <c r="H64" s="796">
        <f>SUMIF(BS_RE33!$P$7:$P$874,G64,BS_RE33!$X$7:$X$874)</f>
        <v>0</v>
      </c>
      <c r="I64" s="796">
        <f>SUMIF(BS_RE33!$P$7:$P$874,G64,BS_RE33!$Y$7:$Y$874)</f>
        <v>0</v>
      </c>
      <c r="J64" s="796">
        <f>SUMIF(BS_RE33!$P$7:$P$874,G64,BS_RE33!$Z$7:$Z$874)</f>
        <v>0</v>
      </c>
      <c r="K64" s="796">
        <f>SUMIF(BS_RE33!$P$7:$P$874,G64,BS_RE33!$AA$7:$AA$874)</f>
        <v>0</v>
      </c>
      <c r="L64" s="796">
        <f>SUMIF(BS_RE33!$P$7:$P$874,G64,BS_RE33!$AB$7:$AB$874)</f>
        <v>0</v>
      </c>
      <c r="M64" s="796">
        <f>SUMIF(BS_RE33!$P$7:$P$874,G64,BS_RE33!$AC$7:$AC$874)</f>
        <v>0</v>
      </c>
      <c r="N64" s="796">
        <f>SUMIF(BS_RE33!$P$7:$P$874,G64,BS_RE33!$AD$7:$AD$874)</f>
        <v>0</v>
      </c>
      <c r="O64" s="796">
        <f>SUMIF(BS_RE33!$P$7:$P$874,G64,BS_RE33!$AE$7:$AE$874)</f>
        <v>0</v>
      </c>
      <c r="P64" s="796">
        <f>SUMIF(BS_RE33!$P$7:$P$874,G64,BS_RE33!$AF$7:$AF$874)</f>
        <v>0</v>
      </c>
      <c r="Q64" s="797">
        <f>SUMIF(BS_RE33!$P$7:$P$874,G64,BS_RE33!$AG$7:$AG$874)</f>
        <v>0</v>
      </c>
    </row>
    <row r="65" spans="3:17" ht="20.25">
      <c r="C65" s="855"/>
      <c r="D65" s="853" t="s">
        <v>771</v>
      </c>
      <c r="E65" s="800" t="s">
        <v>98</v>
      </c>
      <c r="F65" s="801"/>
      <c r="G65" s="795" t="s">
        <v>537</v>
      </c>
      <c r="H65" s="796">
        <f>SUMIF(BS_RE33!$P$7:$P$874,G65,BS_RE33!$X$7:$X$874)</f>
        <v>0</v>
      </c>
      <c r="I65" s="796">
        <f>SUMIF(BS_RE33!$P$7:$P$874,G65,BS_RE33!$Y$7:$Y$874)</f>
        <v>0</v>
      </c>
      <c r="J65" s="796">
        <f>SUMIF(BS_RE33!$P$7:$P$874,G65,BS_RE33!$Z$7:$Z$874)</f>
        <v>0</v>
      </c>
      <c r="K65" s="796">
        <f>SUMIF(BS_RE33!$P$7:$P$874,G65,BS_RE33!$AA$7:$AA$874)</f>
        <v>0</v>
      </c>
      <c r="L65" s="796">
        <f>SUMIF(BS_RE33!$P$7:$P$874,G65,BS_RE33!$AB$7:$AB$874)</f>
        <v>0</v>
      </c>
      <c r="M65" s="796">
        <f>SUMIF(BS_RE33!$P$7:$P$874,G65,BS_RE33!$AC$7:$AC$874)</f>
        <v>0</v>
      </c>
      <c r="N65" s="796">
        <f>SUMIF(BS_RE33!$P$7:$P$874,G65,BS_RE33!$AD$7:$AD$874)</f>
        <v>0</v>
      </c>
      <c r="O65" s="796">
        <f>SUMIF(BS_RE33!$P$7:$P$874,G65,BS_RE33!$AE$7:$AE$874)</f>
        <v>0</v>
      </c>
      <c r="P65" s="796">
        <f>SUMIF(BS_RE33!$P$7:$P$874,G65,BS_RE33!$AF$7:$AF$874)</f>
        <v>0</v>
      </c>
      <c r="Q65" s="797">
        <f>SUMIF(BS_RE33!$P$7:$P$874,G65,BS_RE33!$AG$7:$AG$874)</f>
        <v>0</v>
      </c>
    </row>
    <row r="66" spans="3:17" ht="20.25">
      <c r="C66" s="855"/>
      <c r="D66" s="860" t="s">
        <v>773</v>
      </c>
      <c r="E66" s="800" t="s">
        <v>772</v>
      </c>
      <c r="F66" s="801"/>
      <c r="G66" s="795" t="s">
        <v>566</v>
      </c>
      <c r="H66" s="796">
        <f>SUMIF(BS_RE33!$P$7:$P$874,G66,BS_RE33!$X$7:$X$874)</f>
        <v>0</v>
      </c>
      <c r="I66" s="796">
        <f>SUMIF(BS_RE33!$P$7:$P$874,G66,BS_RE33!$Y$7:$Y$874)</f>
        <v>0</v>
      </c>
      <c r="J66" s="796">
        <f>SUMIF(BS_RE33!$P$7:$P$874,G66,BS_RE33!$Z$7:$Z$874)</f>
        <v>0</v>
      </c>
      <c r="K66" s="796">
        <f>SUMIF(BS_RE33!$P$7:$P$874,G66,BS_RE33!$AA$7:$AA$874)</f>
        <v>0</v>
      </c>
      <c r="L66" s="796">
        <f>SUMIF(BS_RE33!$P$7:$P$874,G66,BS_RE33!$AB$7:$AB$874)</f>
        <v>0</v>
      </c>
      <c r="M66" s="796">
        <f>SUMIF(BS_RE33!$P$7:$P$874,G66,BS_RE33!$AC$7:$AC$874)</f>
        <v>0</v>
      </c>
      <c r="N66" s="796">
        <f>SUMIF(BS_RE33!$P$7:$P$874,G66,BS_RE33!$AD$7:$AD$874)</f>
        <v>0</v>
      </c>
      <c r="O66" s="796">
        <f>SUMIF(BS_RE33!$P$7:$P$874,G66,BS_RE33!$AE$7:$AE$874)</f>
        <v>0</v>
      </c>
      <c r="P66" s="796">
        <f>SUMIF(BS_RE33!$P$7:$P$874,G66,BS_RE33!$AF$7:$AF$874)</f>
        <v>0</v>
      </c>
      <c r="Q66" s="797">
        <f>SUMIF(BS_RE33!$P$7:$P$874,G66,BS_RE33!$AG$7:$AG$874)</f>
        <v>0</v>
      </c>
    </row>
    <row r="67" spans="3:17" ht="16.5" customHeight="1">
      <c r="C67" s="855"/>
      <c r="D67" s="853" t="s">
        <v>774</v>
      </c>
      <c r="E67" s="800" t="s">
        <v>99</v>
      </c>
      <c r="F67" s="801"/>
      <c r="G67" s="795" t="s">
        <v>538</v>
      </c>
      <c r="H67" s="796">
        <f>SUMIF(BS_RE33!$P$7:$P$874,G67,BS_RE33!$X$7:$X$874)</f>
        <v>0</v>
      </c>
      <c r="I67" s="796">
        <f>SUMIF(BS_RE33!$P$7:$P$874,G67,BS_RE33!$Y$7:$Y$874)</f>
        <v>0</v>
      </c>
      <c r="J67" s="796">
        <f>SUMIF(BS_RE33!$P$7:$P$874,G67,BS_RE33!$Z$7:$Z$874)</f>
        <v>0</v>
      </c>
      <c r="K67" s="796">
        <f>SUMIF(BS_RE33!$P$7:$P$874,G67,BS_RE33!$AA$7:$AA$874)</f>
        <v>0</v>
      </c>
      <c r="L67" s="796">
        <f>SUMIF(BS_RE33!$P$7:$P$874,G67,BS_RE33!$AB$7:$AB$874)</f>
        <v>0</v>
      </c>
      <c r="M67" s="796">
        <f>SUMIF(BS_RE33!$P$7:$P$874,G67,BS_RE33!$AC$7:$AC$874)</f>
        <v>0</v>
      </c>
      <c r="N67" s="796">
        <f>SUMIF(BS_RE33!$P$7:$P$874,G67,BS_RE33!$AD$7:$AD$874)</f>
        <v>0</v>
      </c>
      <c r="O67" s="796">
        <f>SUMIF(BS_RE33!$P$7:$P$874,G67,BS_RE33!$AE$7:$AE$874)</f>
        <v>0</v>
      </c>
      <c r="P67" s="796">
        <f>SUMIF(BS_RE33!$P$7:$P$874,G67,BS_RE33!$AF$7:$AF$874)</f>
        <v>0</v>
      </c>
      <c r="Q67" s="797">
        <f>SUMIF(BS_RE33!$P$7:$P$874,G67,BS_RE33!$AG$7:$AG$874)</f>
        <v>0</v>
      </c>
    </row>
    <row r="68" spans="3:17" ht="16.5" customHeight="1">
      <c r="C68" s="855"/>
      <c r="D68" s="853"/>
      <c r="E68" s="800" t="s">
        <v>100</v>
      </c>
      <c r="F68" s="801"/>
      <c r="G68" s="795" t="s">
        <v>539</v>
      </c>
      <c r="H68" s="796">
        <f>SUMIF(BS_RE33!$P$7:$P$874,G68,BS_RE33!$X$7:$X$874)</f>
        <v>0</v>
      </c>
      <c r="I68" s="796">
        <f>SUMIF(BS_RE33!$P$7:$P$874,G68,BS_RE33!$Y$7:$Y$874)</f>
        <v>0</v>
      </c>
      <c r="J68" s="796">
        <f>SUMIF(BS_RE33!$P$7:$P$874,G68,BS_RE33!$Z$7:$Z$874)</f>
        <v>0</v>
      </c>
      <c r="K68" s="796">
        <f>SUMIF(BS_RE33!$P$7:$P$874,G68,BS_RE33!$AA$7:$AA$874)</f>
        <v>0</v>
      </c>
      <c r="L68" s="796">
        <f>SUMIF(BS_RE33!$P$7:$P$874,G68,BS_RE33!$AB$7:$AB$874)</f>
        <v>0</v>
      </c>
      <c r="M68" s="796">
        <f>SUMIF(BS_RE33!$P$7:$P$874,G68,BS_RE33!$AC$7:$AC$874)</f>
        <v>0</v>
      </c>
      <c r="N68" s="796">
        <f>SUMIF(BS_RE33!$P$7:$P$874,G68,BS_RE33!$AD$7:$AD$874)</f>
        <v>0</v>
      </c>
      <c r="O68" s="796">
        <f>SUMIF(BS_RE33!$P$7:$P$874,G68,BS_RE33!$AE$7:$AE$874)</f>
        <v>0</v>
      </c>
      <c r="P68" s="796">
        <f>SUMIF(BS_RE33!$P$7:$P$874,G68,BS_RE33!$AF$7:$AF$874)</f>
        <v>0</v>
      </c>
      <c r="Q68" s="797">
        <f>SUMIF(BS_RE33!$P$7:$P$874,G68,BS_RE33!$AG$7:$AG$874)</f>
        <v>0</v>
      </c>
    </row>
    <row r="69" spans="3:17" ht="21" thickBot="1">
      <c r="C69" s="856"/>
      <c r="D69" s="802" t="s">
        <v>775</v>
      </c>
      <c r="E69" s="803" t="s">
        <v>102</v>
      </c>
      <c r="F69" s="804"/>
      <c r="G69" s="804" t="s">
        <v>540</v>
      </c>
      <c r="H69" s="805">
        <f>SUMIF(BS_RE33!$P$7:$P$874,G69,BS_RE33!$X$7:$X$874)</f>
        <v>0</v>
      </c>
      <c r="I69" s="805">
        <f>SUMIF(BS_RE33!$P$7:$P$874,G69,BS_RE33!$Y$7:$Y$874)</f>
        <v>0</v>
      </c>
      <c r="J69" s="805">
        <f>SUMIF(BS_RE33!$P$7:$P$874,G69,BS_RE33!$Z$7:$Z$874)</f>
        <v>0</v>
      </c>
      <c r="K69" s="805">
        <f>SUMIF(BS_RE33!$P$7:$P$874,G69,BS_RE33!$AA$7:$AA$874)</f>
        <v>0</v>
      </c>
      <c r="L69" s="805">
        <f>SUMIF(BS_RE33!$P$7:$P$874,G69,BS_RE33!$AB$7:$AB$874)</f>
        <v>0</v>
      </c>
      <c r="M69" s="805">
        <f>SUMIF(BS_RE33!$P$7:$P$874,G69,BS_RE33!$AC$7:$AC$874)</f>
        <v>0</v>
      </c>
      <c r="N69" s="805">
        <f>SUMIF(BS_RE33!$P$7:$P$874,G69,BS_RE33!$AD$7:$AD$874)</f>
        <v>0</v>
      </c>
      <c r="O69" s="805">
        <f>SUMIF(BS_RE33!$P$7:$P$874,G69,BS_RE33!$AE$7:$AE$874)</f>
        <v>0</v>
      </c>
      <c r="P69" s="805">
        <f>SUMIF(BS_RE33!$P$7:$P$874,G69,BS_RE33!$AF$7:$AF$874)</f>
        <v>0</v>
      </c>
      <c r="Q69" s="806">
        <f>SUMIF(BS_RE33!$P$7:$P$874,G69,BS_RE33!$AG$7:$AG$874)</f>
        <v>0</v>
      </c>
    </row>
    <row r="70" spans="3:17" ht="17.25" thickTop="1"/>
    <row r="71" spans="3:17" ht="17.25" thickBot="1"/>
    <row r="72" spans="3:17" ht="32.25" thickTop="1">
      <c r="H72" s="765" t="s">
        <v>1486</v>
      </c>
      <c r="I72" s="766" t="s">
        <v>1486</v>
      </c>
      <c r="J72" s="767" t="s">
        <v>1509</v>
      </c>
      <c r="K72" s="768" t="s">
        <v>699</v>
      </c>
      <c r="L72" s="769" t="s">
        <v>1510</v>
      </c>
      <c r="M72" s="770" t="s">
        <v>1487</v>
      </c>
      <c r="N72" s="771" t="s">
        <v>1511</v>
      </c>
      <c r="P72" s="763" t="s">
        <v>1524</v>
      </c>
      <c r="Q72" s="763" t="s">
        <v>1521</v>
      </c>
    </row>
    <row r="73" spans="3:17" ht="17.25" thickBot="1">
      <c r="H73" s="850" t="s">
        <v>1492</v>
      </c>
      <c r="I73" s="743" t="s">
        <v>1483</v>
      </c>
      <c r="J73" s="744" t="e">
        <f>(SUM(H24:I24)-SUM(H51:I51)-SUM($H$58:$Q$58)*20%)/$F$24</f>
        <v>#DIV/0!</v>
      </c>
      <c r="K73" s="745">
        <v>0</v>
      </c>
      <c r="L73" s="746" t="e">
        <f>IF(J73&lt;K73,"Y","N")</f>
        <v>#DIV/0!</v>
      </c>
      <c r="M73" s="745">
        <v>-0.05</v>
      </c>
      <c r="N73" s="772" t="e">
        <f>IF(J73&lt;M73,"Y","N")</f>
        <v>#DIV/0!</v>
      </c>
      <c r="P73" s="764" t="e">
        <f>'30 days CF Table(ALL)'!$D$119</f>
        <v>#DIV/0!</v>
      </c>
      <c r="Q73" s="764" t="e">
        <f>SUM(H24:K24)/SUM(H51:K51)</f>
        <v>#DIV/0!</v>
      </c>
    </row>
    <row r="74" spans="3:17" ht="17.25" thickTop="1">
      <c r="H74" s="851"/>
      <c r="I74" s="747" t="s">
        <v>1484</v>
      </c>
      <c r="J74" s="748" t="e">
        <f>((SUM(H24:J24)-SUM(H51:J51)-SUM($H$58:$Q$58)*20%))/$F$24</f>
        <v>#DIV/0!</v>
      </c>
      <c r="K74" s="749">
        <v>-0.15</v>
      </c>
      <c r="L74" s="750" t="e">
        <f t="shared" ref="L74:L75" si="2">IF(J74&lt;K74,"Y","N")</f>
        <v>#DIV/0!</v>
      </c>
      <c r="M74" s="749">
        <v>-0.2</v>
      </c>
      <c r="N74" s="773" t="e">
        <f t="shared" ref="N74:N75" si="3">IF(J74&lt;M74,"Y","N")</f>
        <v>#DIV/0!</v>
      </c>
    </row>
    <row r="75" spans="3:17" ht="17.25" thickBot="1">
      <c r="H75" s="852"/>
      <c r="I75" s="774" t="s">
        <v>1485</v>
      </c>
      <c r="J75" s="775" t="e">
        <f>((SUM(H24:K24)-SUM(H51:K51)-SUM($H$58:$Q$58)*20%)/$F$24)</f>
        <v>#DIV/0!</v>
      </c>
      <c r="K75" s="776">
        <v>-0.4</v>
      </c>
      <c r="L75" s="777" t="e">
        <f t="shared" si="2"/>
        <v>#DIV/0!</v>
      </c>
      <c r="M75" s="776">
        <v>-0.45</v>
      </c>
      <c r="N75" s="778" t="e">
        <f t="shared" si="3"/>
        <v>#DIV/0!</v>
      </c>
    </row>
    <row r="76" spans="3:17" ht="17.25" thickTop="1"/>
    <row r="77" spans="3:17">
      <c r="K77" s="696"/>
    </row>
  </sheetData>
  <mergeCells count="2">
    <mergeCell ref="C4:C24"/>
    <mergeCell ref="C25:C51"/>
  </mergeCells>
  <phoneticPr fontId="3" type="noConversion"/>
  <conditionalFormatting sqref="D2">
    <cfRule type="containsText" dxfId="63" priority="13" operator="containsText" text="false">
      <formula>NOT(ISERROR(SEARCH("false",D2)))</formula>
    </cfRule>
    <cfRule type="containsText" dxfId="62" priority="14" operator="containsText" text="true">
      <formula>NOT(ISERROR(SEARCH("true",D2)))</formula>
    </cfRule>
  </conditionalFormatting>
  <conditionalFormatting sqref="L73">
    <cfRule type="expression" dxfId="61" priority="11">
      <formula>$H$39="Y"</formula>
    </cfRule>
    <cfRule type="expression" dxfId="60" priority="12">
      <formula>$H$39="N"</formula>
    </cfRule>
  </conditionalFormatting>
  <conditionalFormatting sqref="L74:L75">
    <cfRule type="expression" dxfId="59" priority="3">
      <formula>$H$40="Y"</formula>
    </cfRule>
    <cfRule type="expression" dxfId="58" priority="4">
      <formula>$H$40="N"</formula>
    </cfRule>
  </conditionalFormatting>
  <conditionalFormatting sqref="N73">
    <cfRule type="expression" dxfId="57" priority="7">
      <formula>$J$39="Y"</formula>
    </cfRule>
    <cfRule type="expression" dxfId="56" priority="8">
      <formula>$J$39="N"</formula>
    </cfRule>
  </conditionalFormatting>
  <conditionalFormatting sqref="N74:N75">
    <cfRule type="expression" dxfId="55" priority="1">
      <formula>$J$40="Y"</formula>
    </cfRule>
    <cfRule type="expression" dxfId="54" priority="2">
      <formula>$J$40="N"</formula>
    </cfRule>
  </conditionalFormatting>
  <pageMargins left="0.7" right="0.7" top="0.75" bottom="0.75" header="0.3" footer="0.3"/>
  <pageSetup paperSize="9" scale="13"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938"/>
  <sheetViews>
    <sheetView topLeftCell="X1" zoomScale="70" zoomScaleNormal="70" workbookViewId="0">
      <selection activeCell="AK44" sqref="AK44"/>
    </sheetView>
  </sheetViews>
  <sheetFormatPr defaultColWidth="9.125" defaultRowHeight="16.5"/>
  <cols>
    <col min="1" max="1" width="16.625" style="14" bestFit="1" customWidth="1"/>
    <col min="2" max="2" width="52.875" style="14" customWidth="1"/>
    <col min="3" max="3" width="21.5" style="14" customWidth="1"/>
    <col min="4" max="4" width="18.875" style="14" customWidth="1"/>
    <col min="5" max="5" width="60.25" style="14" customWidth="1"/>
    <col min="6" max="7" width="16.625" style="15" customWidth="1"/>
    <col min="8" max="8" width="24.875" style="16" customWidth="1"/>
    <col min="9" max="9" width="18.75" style="174" customWidth="1"/>
    <col min="10" max="11" width="18.75" style="172" customWidth="1"/>
    <col min="12" max="12" width="14.375" style="4" customWidth="1"/>
    <col min="13" max="13" width="44.125" style="4" customWidth="1"/>
    <col min="14" max="14" width="24.375" style="4" customWidth="1"/>
    <col min="15" max="15" width="32.125" style="4" customWidth="1"/>
    <col min="16" max="16" width="42.75" style="4" customWidth="1"/>
    <col min="17" max="17" width="15.625" style="4" bestFit="1" customWidth="1"/>
    <col min="18" max="18" width="20.875" style="4" customWidth="1"/>
    <col min="19" max="19" width="17.375" style="690" bestFit="1" customWidth="1"/>
    <col min="20" max="20" width="14.125" style="4" bestFit="1" customWidth="1"/>
    <col min="21" max="21" width="21.875" style="4" bestFit="1" customWidth="1"/>
    <col min="22" max="22" width="25.125" style="694" bestFit="1" customWidth="1"/>
    <col min="23" max="23" width="11" style="7" customWidth="1"/>
    <col min="24" max="32" width="15" style="7" customWidth="1"/>
    <col min="33" max="33" width="16.75" style="7" customWidth="1"/>
    <col min="34" max="34" width="10.5" style="14" customWidth="1"/>
    <col min="35" max="35" width="9.125" style="14"/>
    <col min="36" max="36" width="17.625" style="14" customWidth="1"/>
    <col min="37" max="37" width="11.5" style="14" customWidth="1"/>
    <col min="38" max="42" width="14.875" style="14" bestFit="1" customWidth="1"/>
    <col min="43" max="43" width="17.5" style="14" customWidth="1"/>
    <col min="44" max="44" width="22.625" style="14" customWidth="1"/>
    <col min="45" max="45" width="14.875" style="14" bestFit="1" customWidth="1"/>
    <col min="46" max="16384" width="9.125" style="14"/>
  </cols>
  <sheetData>
    <row r="1" spans="1:46" s="1" customFormat="1" ht="17.45" customHeight="1">
      <c r="F1" s="2"/>
      <c r="G1" s="2"/>
      <c r="H1" s="3"/>
      <c r="I1" s="173"/>
      <c r="J1" s="172"/>
      <c r="K1" s="172"/>
      <c r="L1" s="6"/>
      <c r="M1" s="6"/>
      <c r="N1" s="4"/>
      <c r="O1" s="6"/>
      <c r="P1" s="6"/>
      <c r="Q1" s="6"/>
      <c r="R1" s="4"/>
      <c r="S1" s="690"/>
      <c r="T1" s="4"/>
      <c r="U1" s="4"/>
      <c r="V1" s="694"/>
      <c r="W1" s="7"/>
      <c r="X1" s="211"/>
      <c r="Y1" s="211"/>
      <c r="Z1" s="211"/>
      <c r="AA1" s="211"/>
      <c r="AB1" s="211"/>
      <c r="AC1" s="211"/>
      <c r="AD1" s="211"/>
      <c r="AE1" s="211"/>
      <c r="AF1" s="211"/>
      <c r="AG1" s="211"/>
    </row>
    <row r="2" spans="1:46" s="1" customFormat="1" ht="17.45" customHeight="1" thickBot="1">
      <c r="F2" s="2"/>
      <c r="G2" s="2"/>
      <c r="H2" s="3"/>
      <c r="I2" s="173"/>
      <c r="J2" s="172"/>
      <c r="K2" s="172"/>
      <c r="L2" s="6"/>
      <c r="M2" s="6"/>
      <c r="N2" s="4"/>
      <c r="O2" s="6"/>
      <c r="P2" s="6"/>
      <c r="Q2" s="6"/>
      <c r="R2" s="4"/>
      <c r="S2" s="690"/>
      <c r="T2" s="4"/>
      <c r="U2" s="4"/>
      <c r="V2" s="694"/>
      <c r="W2" s="7"/>
      <c r="X2" s="211"/>
      <c r="Y2" s="211"/>
      <c r="Z2" s="211"/>
      <c r="AA2" s="211"/>
      <c r="AB2" s="211"/>
      <c r="AC2" s="211"/>
      <c r="AD2" s="211"/>
      <c r="AE2" s="211"/>
      <c r="AF2" s="211"/>
      <c r="AG2" s="211"/>
    </row>
    <row r="3" spans="1:46" s="1" customFormat="1" ht="38.450000000000003" customHeight="1" thickTop="1" thickBot="1">
      <c r="F3" s="2"/>
      <c r="G3" s="2"/>
      <c r="H3" s="3"/>
      <c r="I3" s="173"/>
      <c r="J3" s="172"/>
      <c r="K3" s="172"/>
      <c r="L3" s="6"/>
      <c r="M3" s="8"/>
      <c r="N3" s="8"/>
      <c r="O3" s="8"/>
      <c r="P3" s="8"/>
      <c r="Q3" s="8"/>
      <c r="R3" s="4"/>
      <c r="S3" s="690"/>
      <c r="T3" s="4"/>
      <c r="U3" s="4"/>
      <c r="V3" s="1016" t="s">
        <v>1500</v>
      </c>
      <c r="W3" s="679"/>
      <c r="X3" s="758" t="s">
        <v>1481</v>
      </c>
      <c r="Y3" s="758" t="s">
        <v>1489</v>
      </c>
      <c r="Z3" s="758" t="s">
        <v>1513</v>
      </c>
      <c r="AA3" s="758" t="s">
        <v>1514</v>
      </c>
      <c r="AB3" s="759" t="s">
        <v>1515</v>
      </c>
      <c r="AC3" s="759" t="s">
        <v>1516</v>
      </c>
      <c r="AD3" s="760" t="s">
        <v>1517</v>
      </c>
      <c r="AE3" s="760" t="s">
        <v>1518</v>
      </c>
      <c r="AF3" s="760" t="s">
        <v>1519</v>
      </c>
      <c r="AG3" s="761" t="s">
        <v>1520</v>
      </c>
    </row>
    <row r="4" spans="1:46" s="1" customFormat="1" ht="45" customHeight="1" thickTop="1" thickBot="1">
      <c r="F4" s="2"/>
      <c r="G4" s="2"/>
      <c r="H4" s="580"/>
      <c r="I4" s="375"/>
      <c r="J4" s="373"/>
      <c r="K4" s="373"/>
      <c r="L4" s="6"/>
      <c r="M4" s="177" t="s">
        <v>693</v>
      </c>
      <c r="N4" s="762">
        <v>46058</v>
      </c>
      <c r="O4" s="4"/>
      <c r="P4" s="4"/>
      <c r="Q4" s="4"/>
      <c r="R4" s="4"/>
      <c r="S4" s="690"/>
      <c r="T4" s="4"/>
      <c r="U4" s="4"/>
      <c r="V4" s="1017"/>
      <c r="W4" s="680" t="s">
        <v>2</v>
      </c>
      <c r="X4" s="681">
        <f>N4</f>
        <v>46058</v>
      </c>
      <c r="Y4" s="681">
        <f>X5+1</f>
        <v>46060</v>
      </c>
      <c r="Z4" s="681">
        <f t="shared" ref="Z4:AG4" si="0">Y5+1</f>
        <v>46066</v>
      </c>
      <c r="AA4" s="681">
        <f t="shared" si="0"/>
        <v>46087</v>
      </c>
      <c r="AB4" s="681">
        <f t="shared" si="0"/>
        <v>46148</v>
      </c>
      <c r="AC4" s="681">
        <f t="shared" si="0"/>
        <v>46240</v>
      </c>
      <c r="AD4" s="684">
        <f t="shared" si="0"/>
        <v>46424</v>
      </c>
      <c r="AE4" s="684">
        <f t="shared" si="0"/>
        <v>47155</v>
      </c>
      <c r="AF4" s="684">
        <f t="shared" si="0"/>
        <v>47885</v>
      </c>
      <c r="AG4" s="682">
        <f t="shared" si="0"/>
        <v>49711</v>
      </c>
      <c r="AT4" s="211"/>
    </row>
    <row r="5" spans="1:46" s="1" customFormat="1" ht="42.95" customHeight="1" thickTop="1" thickBot="1">
      <c r="A5" s="9">
        <v>10212001</v>
      </c>
      <c r="B5" s="9" t="s">
        <v>589</v>
      </c>
      <c r="C5" s="9" t="s">
        <v>9</v>
      </c>
      <c r="D5" s="9">
        <v>100000006</v>
      </c>
      <c r="E5" s="9" t="s">
        <v>10</v>
      </c>
      <c r="F5" s="2" t="s">
        <v>11</v>
      </c>
      <c r="G5" s="2">
        <v>19661.8</v>
      </c>
      <c r="H5" s="375">
        <v>19661.8</v>
      </c>
      <c r="I5" s="172"/>
      <c r="J5" s="172"/>
      <c r="K5" s="172"/>
      <c r="L5" s="993"/>
      <c r="M5" s="994"/>
      <c r="N5" s="994"/>
      <c r="O5" s="994"/>
      <c r="P5" s="994"/>
      <c r="Q5" s="650"/>
      <c r="R5" s="995" t="s">
        <v>708</v>
      </c>
      <c r="S5" s="996"/>
      <c r="T5" s="996"/>
      <c r="U5" s="997"/>
      <c r="V5" s="1018"/>
      <c r="W5" s="683" t="s">
        <v>3</v>
      </c>
      <c r="X5" s="681">
        <f>$X$4+1</f>
        <v>46059</v>
      </c>
      <c r="Y5" s="681">
        <f>$X$4+7</f>
        <v>46065</v>
      </c>
      <c r="Z5" s="681">
        <f>EDATE($X$4,1)</f>
        <v>46086</v>
      </c>
      <c r="AA5" s="681">
        <f>EDATE($X$4,3)</f>
        <v>46147</v>
      </c>
      <c r="AB5" s="681">
        <f>EDATE($X$4,6)</f>
        <v>46239</v>
      </c>
      <c r="AC5" s="681">
        <f>EDATE($X$4,12)</f>
        <v>46423</v>
      </c>
      <c r="AD5" s="684">
        <f>EDATE($X$4,36)</f>
        <v>47154</v>
      </c>
      <c r="AE5" s="684">
        <f>EDATE($X$4,60)</f>
        <v>47884</v>
      </c>
      <c r="AF5" s="684">
        <f>EDATE($X$4,120)</f>
        <v>49710</v>
      </c>
      <c r="AG5" s="687">
        <f>'Maturity Adjustment'!C6</f>
        <v>401768</v>
      </c>
      <c r="AH5" s="780" t="b">
        <f>AND(AH7:AH874)</f>
        <v>1</v>
      </c>
      <c r="AT5" s="211"/>
    </row>
    <row r="6" spans="1:46" s="1" customFormat="1" ht="49.5" customHeight="1" thickBot="1">
      <c r="A6" s="10">
        <v>10212001</v>
      </c>
      <c r="B6" s="10" t="s">
        <v>589</v>
      </c>
      <c r="C6" s="386" t="s">
        <v>12</v>
      </c>
      <c r="D6" s="386">
        <v>100000006</v>
      </c>
      <c r="E6" s="10" t="s">
        <v>10</v>
      </c>
      <c r="F6" s="10" t="s">
        <v>11</v>
      </c>
      <c r="G6" s="10">
        <v>4896.04</v>
      </c>
      <c r="H6" s="10">
        <v>4896.04</v>
      </c>
      <c r="I6" s="179"/>
      <c r="J6" s="180"/>
      <c r="K6" s="181"/>
      <c r="L6" s="28" t="s">
        <v>6</v>
      </c>
      <c r="M6" s="20" t="s">
        <v>55</v>
      </c>
      <c r="N6" s="21" t="s">
        <v>541</v>
      </c>
      <c r="O6" s="22" t="s">
        <v>56</v>
      </c>
      <c r="P6" s="655" t="s">
        <v>5</v>
      </c>
      <c r="Q6" s="659" t="s">
        <v>1476</v>
      </c>
      <c r="R6" s="250" t="s">
        <v>695</v>
      </c>
      <c r="S6" s="691" t="s">
        <v>57</v>
      </c>
      <c r="T6" s="23" t="s">
        <v>58</v>
      </c>
      <c r="U6" s="195" t="s">
        <v>59</v>
      </c>
      <c r="V6" s="678" t="s">
        <v>1501</v>
      </c>
      <c r="W6" s="30" t="s">
        <v>7</v>
      </c>
      <c r="X6" s="31" t="s">
        <v>1482</v>
      </c>
      <c r="Y6" s="32" t="s">
        <v>66</v>
      </c>
      <c r="Z6" s="32" t="s">
        <v>66</v>
      </c>
      <c r="AA6" s="32" t="s">
        <v>66</v>
      </c>
      <c r="AB6" s="32" t="s">
        <v>66</v>
      </c>
      <c r="AC6" s="32" t="s">
        <v>66</v>
      </c>
      <c r="AD6" s="32" t="s">
        <v>66</v>
      </c>
      <c r="AE6" s="32" t="s">
        <v>66</v>
      </c>
      <c r="AF6" s="32" t="s">
        <v>66</v>
      </c>
      <c r="AG6" s="197" t="s">
        <v>66</v>
      </c>
      <c r="AH6" s="754" t="s">
        <v>1512</v>
      </c>
      <c r="AT6" s="211"/>
    </row>
    <row r="7" spans="1:46" s="1" customFormat="1" ht="14.45" customHeight="1" thickTop="1">
      <c r="A7" s="946">
        <v>10212001</v>
      </c>
      <c r="B7" s="946" t="s">
        <v>589</v>
      </c>
      <c r="C7" s="946" t="s">
        <v>13</v>
      </c>
      <c r="D7" s="946">
        <v>100000006</v>
      </c>
      <c r="E7" s="946" t="s">
        <v>10</v>
      </c>
      <c r="F7" s="946" t="s">
        <v>11</v>
      </c>
      <c r="G7" s="947">
        <v>87377.23</v>
      </c>
      <c r="H7" s="947">
        <v>87377.23</v>
      </c>
      <c r="I7" s="948"/>
      <c r="J7" s="948"/>
      <c r="K7" s="948"/>
      <c r="L7" s="29" t="e">
        <f>VLOOKUP(A7,'Account Mapping'!$A$2:$E$216,3,0)</f>
        <v>#N/A</v>
      </c>
      <c r="M7" s="25" t="e">
        <f>VLOOKUP(A7,'Account Mapping'!$A$2:$E$216,4,0)</f>
        <v>#N/A</v>
      </c>
      <c r="N7" s="26" t="e">
        <f>IF(OR(C7='Account Mapping'!$H$4,C7='Account Mapping'!$H$5,C7='Account Mapping'!$H$6),'Account Mapping'!$I$4,VLOOKUP(A7,'Account Mapping'!$A$2:$E$216,5,0))</f>
        <v>#N/A</v>
      </c>
      <c r="O7" s="27" t="e">
        <f>IF(OR(L7="Loan",L7="Deposit_Liability",L7="OFF_Unused Loan Commitment",L7="HQLA"),VLOOKUP(D7,'Customer Type'!$A$3:$C$38,3,0),"")</f>
        <v>#N/A</v>
      </c>
      <c r="P7" s="656" t="e">
        <f>M7&amp;"_"&amp;O7</f>
        <v>#N/A</v>
      </c>
      <c r="Q7" s="658">
        <f>IF(COUNTIF('Account Mapping'!$H$12:$H$45,A7)&gt;0,-H7,H7)</f>
        <v>87377.23</v>
      </c>
      <c r="R7" s="249" t="e">
        <f>VLOOKUP(P7,Assumptions!$C$2:$D$64,2,0)</f>
        <v>#N/A</v>
      </c>
      <c r="S7" s="692" t="str">
        <f>IFERROR(VLOOKUP(A7,'Maturity Adjustment'!$A$3:$C$81,3,0),(IF(J7&lt;$N$4,"Tomorrow",J7)))</f>
        <v>Tomorrow</v>
      </c>
      <c r="T7" s="178">
        <f>IF(S7="Tomorrow",1,(S7-$N$4))</f>
        <v>1</v>
      </c>
      <c r="U7" s="196" t="e">
        <f>Q7*R7</f>
        <v>#N/A</v>
      </c>
      <c r="V7" s="11" t="str">
        <f>IFERROR(VLOOKUP(A7,'Maturity Adjustment'!$A$86:$C$91,3,0),S7)</f>
        <v>Tomorrow</v>
      </c>
      <c r="W7" s="207" t="e">
        <f>VLOOKUP(A7,'Account Mapping'!$A$2:$F$216,6,0)</f>
        <v>#N/A</v>
      </c>
      <c r="X7" s="194">
        <f t="shared" ref="X7:X38" si="1">IF(V7="Tomorrow",Q7,IF(AND(V7&gt;$X$4-1,V7&lt;$X$5),Q7,IF(V7=$X$5,Q7,0)))</f>
        <v>87377.23</v>
      </c>
      <c r="Y7" s="194">
        <f>IF(AND(V7&gt;$Y$4-1,V7&lt;$Y$5),Q7,IF(V7=$Y$5,Q7,0))</f>
        <v>0</v>
      </c>
      <c r="Z7" s="13">
        <f>IF(AND(V7&gt;$Z$4-1,V7&lt;$Z$5),Q7,IF(V7=$Z$5,Q7,0))</f>
        <v>0</v>
      </c>
      <c r="AA7" s="13">
        <f>IF(AND(V7&gt;$AA$4-1,V7&lt;$AA$5),Q7,IF(V7=$AA$5,Q7,0))</f>
        <v>0</v>
      </c>
      <c r="AB7" s="13">
        <f>IF(AND(V7&gt;$AB$4-1,V7&lt;$AB$5),Q7,IF(V7=$AB$5,Q7,0))</f>
        <v>0</v>
      </c>
      <c r="AC7" s="13">
        <f>IF(AND(V7&gt;$AC$4-1,V7&lt;$AC$5),Q7,IF(V7=$AC$5,Q7,0))</f>
        <v>0</v>
      </c>
      <c r="AD7" s="13">
        <f>IF(AND(V7&gt;$AD$4-1,V7&lt;$AD$5),Q7,IF(V7=$AD$5,Q7,0))</f>
        <v>0</v>
      </c>
      <c r="AE7" s="13">
        <f>IF(AND(V7&gt;$AE$4-1,V7&lt;$AE$5),Q7,IF(V7=$AE$5,Q7,0))</f>
        <v>0</v>
      </c>
      <c r="AF7" s="13">
        <f>IF(AND(V7&gt;$AF$4-1,V7&lt;$AF$5),Q7,IF(V7=$AF$5,Q7,0))</f>
        <v>0</v>
      </c>
      <c r="AG7" s="685">
        <f>IF(AND(V7&gt;$AG$4-1,V7&lt;$AG$5),Q7,IF(V7=$AG$5,Q7,0))</f>
        <v>0</v>
      </c>
      <c r="AH7" s="753" t="b">
        <f>Q7=SUM(X7:AG7)</f>
        <v>1</v>
      </c>
      <c r="AJ7" s="998" t="s">
        <v>1492</v>
      </c>
      <c r="AK7" s="999"/>
      <c r="AL7" s="999"/>
      <c r="AM7" s="999"/>
      <c r="AN7" s="999"/>
      <c r="AO7" s="999"/>
      <c r="AP7" s="999"/>
      <c r="AQ7" s="999"/>
      <c r="AR7" s="999"/>
      <c r="AS7" s="1000"/>
      <c r="AT7" s="211"/>
    </row>
    <row r="8" spans="1:46" s="1" customFormat="1" ht="15" customHeight="1" thickBot="1">
      <c r="A8" s="946">
        <v>10212001</v>
      </c>
      <c r="B8" s="946" t="s">
        <v>589</v>
      </c>
      <c r="C8" s="946" t="s">
        <v>14</v>
      </c>
      <c r="D8" s="946">
        <v>100000013</v>
      </c>
      <c r="E8" s="946" t="s">
        <v>15</v>
      </c>
      <c r="F8" s="946" t="s">
        <v>11</v>
      </c>
      <c r="G8" s="947">
        <v>4600972.0599999996</v>
      </c>
      <c r="H8" s="947">
        <v>4600972.0599999996</v>
      </c>
      <c r="I8" s="948"/>
      <c r="J8" s="948"/>
      <c r="K8" s="948"/>
      <c r="L8" s="29" t="e">
        <f>VLOOKUP(A8,'Account Mapping'!$A$2:$E$216,3,0)</f>
        <v>#N/A</v>
      </c>
      <c r="M8" s="25" t="e">
        <f>VLOOKUP(A8,'Account Mapping'!$A$2:$E$216,4,0)</f>
        <v>#N/A</v>
      </c>
      <c r="N8" s="26" t="e">
        <f>IF(OR(C8='Account Mapping'!$H$4,C8='Account Mapping'!$H$5,C8='Account Mapping'!$H$6),'Account Mapping'!$I$4,VLOOKUP(A8,'Account Mapping'!$A$2:$E$216,5,0))</f>
        <v>#N/A</v>
      </c>
      <c r="O8" s="27" t="e">
        <f>IF(OR(L8="Loan",L8="Deposit_Liability",L8="OFF_Unused Loan Commitment",L8="HQLA"),VLOOKUP(D8,'Customer Type'!$A$3:$C$38,3,0),"")</f>
        <v>#N/A</v>
      </c>
      <c r="P8" s="656" t="e">
        <f t="shared" ref="P8:P71" si="2">M8&amp;"_"&amp;O8</f>
        <v>#N/A</v>
      </c>
      <c r="Q8" s="658">
        <f>IF(COUNTIF('Account Mapping'!$H$12:$H$45,A8)&gt;0,-H8,H8)</f>
        <v>4600972.0599999996</v>
      </c>
      <c r="R8" s="249" t="e">
        <f>VLOOKUP(P8,Assumptions!$C$2:$D$64,2,0)</f>
        <v>#N/A</v>
      </c>
      <c r="S8" s="692" t="str">
        <f>IFERROR(VLOOKUP(A8,'Maturity Adjustment'!$A$3:$C$81,3,0),(IF(J8&lt;$N$4,"Tomorrow",J8)))</f>
        <v>Tomorrow</v>
      </c>
      <c r="T8" s="24">
        <f t="shared" ref="T8:T13" si="3">IF(S8="Tomorrow",1,(S8-$N$4))</f>
        <v>1</v>
      </c>
      <c r="U8" s="196" t="e">
        <f t="shared" ref="U8:U71" si="4">Q8*R8</f>
        <v>#N/A</v>
      </c>
      <c r="V8" s="11" t="str">
        <f>IFERROR(VLOOKUP(A8,'Maturity Adjustment'!$A$86:$C$91,3,0),S8)</f>
        <v>Tomorrow</v>
      </c>
      <c r="W8" s="207" t="e">
        <f>VLOOKUP(A8,'Account Mapping'!$A$2:$F$216,6,0)</f>
        <v>#N/A</v>
      </c>
      <c r="X8" s="194">
        <f t="shared" si="1"/>
        <v>4600972.0599999996</v>
      </c>
      <c r="Y8" s="194">
        <f t="shared" ref="Y8:Y71" si="5">IF(AND(V8&gt;$Y$4-1,V8&lt;$Y$5),Q8,IF(V8=$Y$5,Q8,0))</f>
        <v>0</v>
      </c>
      <c r="Z8" s="13">
        <f t="shared" ref="Z8:Z71" si="6">IF(AND(V8&gt;$Z$4-1,V8&lt;$Z$5),Q8,IF(V8=$Z$5,Q8,0))</f>
        <v>0</v>
      </c>
      <c r="AA8" s="13">
        <f t="shared" ref="AA8:AA71" si="7">IF(AND(V8&gt;$AA$4-1,V8&lt;$AA$5),Q8,IF(V8=$AA$5,Q8,0))</f>
        <v>0</v>
      </c>
      <c r="AB8" s="13">
        <f t="shared" ref="AB8:AB71" si="8">IF(AND(V8&gt;$AB$4-1,V8&lt;$AB$5),Q8,IF(V8=$AB$5,Q8,0))</f>
        <v>0</v>
      </c>
      <c r="AC8" s="13">
        <f t="shared" ref="AC8:AC71" si="9">IF(AND(V8&gt;$AC$4-1,V8&lt;$AC$5),Q8,IF(V8=$AC$5,Q8,0))</f>
        <v>0</v>
      </c>
      <c r="AD8" s="13">
        <f t="shared" ref="AD8:AD71" si="10">IF(AND(V8&gt;$AD$4-1,V8&lt;$AD$5),Q8,IF(V8=$AD$5,Q8,0))</f>
        <v>0</v>
      </c>
      <c r="AE8" s="13">
        <f t="shared" ref="AE8:AE71" si="11">IF(AND(V8&gt;$AE$4-1,V8&lt;$AE$5),Q8,IF(V8=$AE$5,Q8,0))</f>
        <v>0</v>
      </c>
      <c r="AF8" s="13">
        <f t="shared" ref="AF8:AF71" si="12">IF(AND(V8&gt;$AF$4-1,V8&lt;$AF$5),Q8,IF(V8=$AF$5,Q8,0))</f>
        <v>0</v>
      </c>
      <c r="AG8" s="685">
        <f t="shared" ref="AG8:AG71" si="13">IF(AND(V8&gt;$AG$4-1,V8&lt;$AG$5),Q8,IF(V8=$AG$5,Q8,0))</f>
        <v>0</v>
      </c>
      <c r="AH8" s="753" t="b">
        <f t="shared" ref="AH8:AH15" si="14">Q8=SUM(X8:AG8)</f>
        <v>1</v>
      </c>
      <c r="AJ8" s="1001"/>
      <c r="AK8" s="1002"/>
      <c r="AL8" s="1002"/>
      <c r="AM8" s="1002"/>
      <c r="AN8" s="1002"/>
      <c r="AO8" s="1002"/>
      <c r="AP8" s="1002"/>
      <c r="AQ8" s="1002"/>
      <c r="AR8" s="1002"/>
      <c r="AS8" s="1003"/>
      <c r="AT8" s="211"/>
    </row>
    <row r="9" spans="1:46" s="1" customFormat="1" ht="15" customHeight="1" thickBot="1">
      <c r="A9" s="946">
        <v>10212001</v>
      </c>
      <c r="B9" s="946" t="s">
        <v>589</v>
      </c>
      <c r="C9" s="946" t="s">
        <v>1449</v>
      </c>
      <c r="D9" s="946">
        <v>100000013</v>
      </c>
      <c r="E9" s="946" t="s">
        <v>15</v>
      </c>
      <c r="F9" s="946" t="s">
        <v>26</v>
      </c>
      <c r="G9" s="947">
        <v>1351406.14</v>
      </c>
      <c r="H9" s="947">
        <v>1923983.68</v>
      </c>
      <c r="I9" s="948"/>
      <c r="J9" s="948"/>
      <c r="K9" s="948"/>
      <c r="L9" s="29" t="e">
        <f>VLOOKUP(A9,'Account Mapping'!$A$2:$E$216,3,0)</f>
        <v>#N/A</v>
      </c>
      <c r="M9" s="25" t="e">
        <f>VLOOKUP(A9,'Account Mapping'!$A$2:$E$216,4,0)</f>
        <v>#N/A</v>
      </c>
      <c r="N9" s="26" t="e">
        <f>IF(OR(C9='Account Mapping'!$H$4,C9='Account Mapping'!$H$5,C9='Account Mapping'!$H$6),'Account Mapping'!$I$4,VLOOKUP(A9,'Account Mapping'!$A$2:$E$216,5,0))</f>
        <v>#N/A</v>
      </c>
      <c r="O9" s="27" t="e">
        <f>IF(OR(L9="Loan",L9="Deposit_Liability",L9="OFF_Unused Loan Commitment",L9="HQLA"),VLOOKUP(D9,'Customer Type'!$A$3:$C$38,3,0),"")</f>
        <v>#N/A</v>
      </c>
      <c r="P9" s="656" t="e">
        <f t="shared" si="2"/>
        <v>#N/A</v>
      </c>
      <c r="Q9" s="658">
        <f>IF(COUNTIF('Account Mapping'!$H$12:$H$45,A9)&gt;0,-H9,H9)</f>
        <v>1923983.68</v>
      </c>
      <c r="R9" s="249" t="e">
        <f>VLOOKUP(P9,Assumptions!$C$2:$D$64,2,0)</f>
        <v>#N/A</v>
      </c>
      <c r="S9" s="692" t="str">
        <f>IFERROR(VLOOKUP(A9,'Maturity Adjustment'!$A$3:$C$81,3,0),(IF(J9&lt;$N$4,"Tomorrow",J9)))</f>
        <v>Tomorrow</v>
      </c>
      <c r="T9" s="24">
        <f t="shared" si="3"/>
        <v>1</v>
      </c>
      <c r="U9" s="196" t="e">
        <f t="shared" si="4"/>
        <v>#N/A</v>
      </c>
      <c r="V9" s="11" t="str">
        <f>IFERROR(VLOOKUP(A9,'Maturity Adjustment'!$A$86:$C$91,3,0),S9)</f>
        <v>Tomorrow</v>
      </c>
      <c r="W9" s="207" t="e">
        <f>VLOOKUP(A9,'Account Mapping'!$A$2:$F$216,6,0)</f>
        <v>#N/A</v>
      </c>
      <c r="X9" s="194">
        <f t="shared" si="1"/>
        <v>1923983.68</v>
      </c>
      <c r="Y9" s="194">
        <f t="shared" si="5"/>
        <v>0</v>
      </c>
      <c r="Z9" s="13">
        <f t="shared" si="6"/>
        <v>0</v>
      </c>
      <c r="AA9" s="13">
        <f t="shared" si="7"/>
        <v>0</v>
      </c>
      <c r="AB9" s="13">
        <f t="shared" si="8"/>
        <v>0</v>
      </c>
      <c r="AC9" s="13">
        <f t="shared" si="9"/>
        <v>0</v>
      </c>
      <c r="AD9" s="13">
        <f t="shared" si="10"/>
        <v>0</v>
      </c>
      <c r="AE9" s="13">
        <f t="shared" si="11"/>
        <v>0</v>
      </c>
      <c r="AF9" s="13">
        <f t="shared" si="12"/>
        <v>0</v>
      </c>
      <c r="AG9" s="685">
        <f t="shared" si="13"/>
        <v>0</v>
      </c>
      <c r="AH9" s="753" t="b">
        <f t="shared" si="14"/>
        <v>1</v>
      </c>
      <c r="AJ9" s="1004" t="s">
        <v>1568</v>
      </c>
      <c r="AK9" s="841" t="s">
        <v>2</v>
      </c>
      <c r="AL9" s="831">
        <f>EOMONTH(N4,0)</f>
        <v>46081</v>
      </c>
      <c r="AM9" s="831">
        <f t="shared" ref="AM9:AS9" si="15">EOMONTH(AL9,1)</f>
        <v>46112</v>
      </c>
      <c r="AN9" s="831">
        <f t="shared" si="15"/>
        <v>46142</v>
      </c>
      <c r="AO9" s="831">
        <f t="shared" si="15"/>
        <v>46173</v>
      </c>
      <c r="AP9" s="831">
        <f>EOMONTH(AO9,1)</f>
        <v>46203</v>
      </c>
      <c r="AQ9" s="831">
        <f t="shared" si="15"/>
        <v>46234</v>
      </c>
      <c r="AR9" s="831">
        <f t="shared" si="15"/>
        <v>46265</v>
      </c>
      <c r="AS9" s="832">
        <f t="shared" si="15"/>
        <v>46295</v>
      </c>
      <c r="AT9" s="211"/>
    </row>
    <row r="10" spans="1:46" s="1" customFormat="1" ht="15" customHeight="1" thickBot="1">
      <c r="A10" s="946">
        <v>10212002</v>
      </c>
      <c r="B10" s="946" t="s">
        <v>590</v>
      </c>
      <c r="C10" s="946" t="s">
        <v>17</v>
      </c>
      <c r="D10" s="946">
        <v>100000016</v>
      </c>
      <c r="E10" s="946" t="s">
        <v>591</v>
      </c>
      <c r="F10" s="946" t="s">
        <v>26</v>
      </c>
      <c r="G10" s="947">
        <v>495563.29</v>
      </c>
      <c r="H10" s="947">
        <v>705528.6</v>
      </c>
      <c r="I10" s="948"/>
      <c r="J10" s="948"/>
      <c r="K10" s="948"/>
      <c r="L10" s="29" t="e">
        <f>VLOOKUP(A10,'Account Mapping'!$A$2:$E$216,3,0)</f>
        <v>#N/A</v>
      </c>
      <c r="M10" s="25" t="e">
        <f>VLOOKUP(A10,'Account Mapping'!$A$2:$E$216,4,0)</f>
        <v>#N/A</v>
      </c>
      <c r="N10" s="26" t="str">
        <f>IF(OR(C10='Account Mapping'!$H$4,C10='Account Mapping'!$H$5,C10='Account Mapping'!$H$6),'Account Mapping'!$I$4,VLOOKUP(A10,'Account Mapping'!$A$2:$E$216,5,0))</f>
        <v>Non Cash Flow</v>
      </c>
      <c r="O10" s="27" t="e">
        <f>IF(OR(L10="Loan",L10="Deposit_Liability",L10="OFF_Unused Loan Commitment",L10="HQLA"),VLOOKUP(D10,'Customer Type'!$A$3:$C$38,3,0),"")</f>
        <v>#N/A</v>
      </c>
      <c r="P10" s="656" t="e">
        <f t="shared" si="2"/>
        <v>#N/A</v>
      </c>
      <c r="Q10" s="658">
        <f>IF(COUNTIF('Account Mapping'!$H$12:$H$45,A10)&gt;0,-H10,H10)</f>
        <v>705528.6</v>
      </c>
      <c r="R10" s="249" t="e">
        <f>VLOOKUP(P10,Assumptions!$C$2:$D$64,2,0)</f>
        <v>#N/A</v>
      </c>
      <c r="S10" s="692" t="str">
        <f>IFERROR(VLOOKUP(A10,'Maturity Adjustment'!$A$3:$C$81,3,0),(IF(J10&lt;$N$4,"Tomorrow",J10)))</f>
        <v>Tomorrow</v>
      </c>
      <c r="T10" s="24">
        <f>IF(S10="Tomorrow",1,(S10-$N$4))</f>
        <v>1</v>
      </c>
      <c r="U10" s="196" t="e">
        <f t="shared" si="4"/>
        <v>#N/A</v>
      </c>
      <c r="V10" s="11" t="str">
        <f>IFERROR(VLOOKUP(A10,'Maturity Adjustment'!$A$86:$C$91,3,0),S10)</f>
        <v>Tomorrow</v>
      </c>
      <c r="W10" s="207" t="e">
        <f>VLOOKUP(A10,'Account Mapping'!$A$2:$F$216,6,0)</f>
        <v>#N/A</v>
      </c>
      <c r="X10" s="194">
        <f t="shared" si="1"/>
        <v>705528.6</v>
      </c>
      <c r="Y10" s="194">
        <f t="shared" si="5"/>
        <v>0</v>
      </c>
      <c r="Z10" s="13">
        <f t="shared" si="6"/>
        <v>0</v>
      </c>
      <c r="AA10" s="13">
        <f t="shared" si="7"/>
        <v>0</v>
      </c>
      <c r="AB10" s="13">
        <f t="shared" si="8"/>
        <v>0</v>
      </c>
      <c r="AC10" s="13">
        <f t="shared" si="9"/>
        <v>0</v>
      </c>
      <c r="AD10" s="13">
        <f t="shared" si="10"/>
        <v>0</v>
      </c>
      <c r="AE10" s="13">
        <f t="shared" si="11"/>
        <v>0</v>
      </c>
      <c r="AF10" s="13">
        <f t="shared" si="12"/>
        <v>0</v>
      </c>
      <c r="AG10" s="685">
        <f t="shared" si="13"/>
        <v>0</v>
      </c>
      <c r="AH10" s="753" t="b">
        <f t="shared" si="14"/>
        <v>1</v>
      </c>
      <c r="AJ10" s="1005"/>
      <c r="AK10" s="842" t="s">
        <v>3</v>
      </c>
      <c r="AL10" s="839">
        <f t="shared" ref="AL10:AS10" si="16">AL9+7</f>
        <v>46088</v>
      </c>
      <c r="AM10" s="839">
        <f t="shared" si="16"/>
        <v>46119</v>
      </c>
      <c r="AN10" s="839">
        <f t="shared" si="16"/>
        <v>46149</v>
      </c>
      <c r="AO10" s="839">
        <f t="shared" si="16"/>
        <v>46180</v>
      </c>
      <c r="AP10" s="839">
        <f t="shared" si="16"/>
        <v>46210</v>
      </c>
      <c r="AQ10" s="839">
        <f t="shared" si="16"/>
        <v>46241</v>
      </c>
      <c r="AR10" s="839">
        <f t="shared" si="16"/>
        <v>46272</v>
      </c>
      <c r="AS10" s="840">
        <f t="shared" si="16"/>
        <v>46302</v>
      </c>
      <c r="AT10" s="211"/>
    </row>
    <row r="11" spans="1:46" s="1" customFormat="1" ht="15" customHeight="1" thickTop="1" thickBot="1">
      <c r="A11" s="946">
        <v>10251002</v>
      </c>
      <c r="B11" s="946" t="s">
        <v>1429</v>
      </c>
      <c r="C11" s="946" t="s">
        <v>1534</v>
      </c>
      <c r="D11" s="946">
        <v>100000008</v>
      </c>
      <c r="E11" s="946" t="s">
        <v>685</v>
      </c>
      <c r="F11" s="946" t="s">
        <v>11</v>
      </c>
      <c r="G11" s="947">
        <v>10000000</v>
      </c>
      <c r="H11" s="947">
        <v>10000000</v>
      </c>
      <c r="I11" s="948">
        <v>46015</v>
      </c>
      <c r="J11" s="948">
        <v>46106</v>
      </c>
      <c r="K11" s="948">
        <v>46106</v>
      </c>
      <c r="L11" s="29" t="e">
        <f>VLOOKUP(A11,'Account Mapping'!$A$2:$E$216,3,0)</f>
        <v>#N/A</v>
      </c>
      <c r="M11" s="25" t="e">
        <f>VLOOKUP(A11,'Account Mapping'!$A$2:$E$216,4,0)</f>
        <v>#N/A</v>
      </c>
      <c r="N11" s="26" t="e">
        <f>IF(OR(C11='Account Mapping'!$H$4,C11='Account Mapping'!$H$5,C11='Account Mapping'!$H$6),'Account Mapping'!$I$4,VLOOKUP(A11,'Account Mapping'!$A$2:$E$216,5,0))</f>
        <v>#N/A</v>
      </c>
      <c r="O11" s="27" t="e">
        <f>IF(OR(L11="Loan",L11="Deposit_Liability",L11="OFF_Unused Loan Commitment",L11="HQLA"),VLOOKUP(D11,'Customer Type'!$A$3:$C$38,3,0),"")</f>
        <v>#N/A</v>
      </c>
      <c r="P11" s="656" t="e">
        <f t="shared" si="2"/>
        <v>#N/A</v>
      </c>
      <c r="Q11" s="658">
        <f>IF(COUNTIF('Account Mapping'!$H$12:$H$45,A11)&gt;0,-H11,H11)</f>
        <v>10000000</v>
      </c>
      <c r="R11" s="249" t="e">
        <f>VLOOKUP(P11,Assumptions!$C$2:$D$64,2,0)</f>
        <v>#N/A</v>
      </c>
      <c r="S11" s="692">
        <f>IFERROR(VLOOKUP(A11,'Maturity Adjustment'!$A$3:$C$81,3,0),(IF(J11&lt;$N$4,"Tomorrow",J11)))</f>
        <v>46106</v>
      </c>
      <c r="T11" s="24">
        <f t="shared" si="3"/>
        <v>48</v>
      </c>
      <c r="U11" s="196" t="e">
        <f t="shared" si="4"/>
        <v>#N/A</v>
      </c>
      <c r="V11" s="11">
        <f>IFERROR(VLOOKUP(A11,'Maturity Adjustment'!$A$86:$C$91,3,0),S11)</f>
        <v>46106</v>
      </c>
      <c r="W11" s="207" t="e">
        <f>VLOOKUP(A11,'Account Mapping'!$A$2:$F$216,6,0)</f>
        <v>#N/A</v>
      </c>
      <c r="X11" s="194">
        <f t="shared" si="1"/>
        <v>0</v>
      </c>
      <c r="Y11" s="194">
        <f t="shared" si="5"/>
        <v>0</v>
      </c>
      <c r="Z11" s="13">
        <f t="shared" si="6"/>
        <v>0</v>
      </c>
      <c r="AA11" s="13">
        <f t="shared" si="7"/>
        <v>10000000</v>
      </c>
      <c r="AB11" s="13">
        <f t="shared" si="8"/>
        <v>0</v>
      </c>
      <c r="AC11" s="13">
        <f t="shared" si="9"/>
        <v>0</v>
      </c>
      <c r="AD11" s="13">
        <f t="shared" si="10"/>
        <v>0</v>
      </c>
      <c r="AE11" s="13">
        <f t="shared" si="11"/>
        <v>0</v>
      </c>
      <c r="AF11" s="13">
        <f t="shared" si="12"/>
        <v>0</v>
      </c>
      <c r="AG11" s="685">
        <f t="shared" si="13"/>
        <v>0</v>
      </c>
      <c r="AH11" s="753" t="b">
        <f t="shared" si="14"/>
        <v>1</v>
      </c>
      <c r="AJ11" s="694"/>
      <c r="AK11" s="7"/>
      <c r="AL11" s="211"/>
      <c r="AM11" s="211"/>
      <c r="AN11" s="211"/>
      <c r="AO11" s="211"/>
      <c r="AP11" s="211"/>
      <c r="AQ11" s="211"/>
      <c r="AR11" s="211"/>
      <c r="AS11" s="211"/>
      <c r="AT11" s="211"/>
    </row>
    <row r="12" spans="1:46" s="1" customFormat="1">
      <c r="A12" s="946">
        <v>10251002</v>
      </c>
      <c r="B12" s="946" t="s">
        <v>1429</v>
      </c>
      <c r="C12" s="946" t="s">
        <v>1556</v>
      </c>
      <c r="D12" s="946">
        <v>100000008</v>
      </c>
      <c r="E12" s="946" t="s">
        <v>685</v>
      </c>
      <c r="F12" s="946" t="s">
        <v>11</v>
      </c>
      <c r="G12" s="947">
        <v>3000000</v>
      </c>
      <c r="H12" s="947">
        <v>3000000</v>
      </c>
      <c r="I12" s="948">
        <v>46035</v>
      </c>
      <c r="J12" s="948">
        <v>46090</v>
      </c>
      <c r="K12" s="948">
        <v>46090</v>
      </c>
      <c r="L12" s="29" t="e">
        <f>VLOOKUP(A12,'Account Mapping'!$A$2:$E$216,3,0)</f>
        <v>#N/A</v>
      </c>
      <c r="M12" s="25" t="e">
        <f>VLOOKUP(A12,'Account Mapping'!$A$2:$E$216,4,0)</f>
        <v>#N/A</v>
      </c>
      <c r="N12" s="26" t="e">
        <f>IF(OR(C12='Account Mapping'!$H$4,C12='Account Mapping'!$H$5,C12='Account Mapping'!$H$6),'Account Mapping'!$I$4,VLOOKUP(A12,'Account Mapping'!$A$2:$E$216,5,0))</f>
        <v>#N/A</v>
      </c>
      <c r="O12" s="27" t="e">
        <f>IF(OR(L12="Loan",L12="Deposit_Liability",L12="OFF_Unused Loan Commitment",L12="HQLA"),VLOOKUP(D12,'Customer Type'!$A$3:$C$38,3,0),"")</f>
        <v>#N/A</v>
      </c>
      <c r="P12" s="656" t="e">
        <f t="shared" si="2"/>
        <v>#N/A</v>
      </c>
      <c r="Q12" s="658">
        <f>IF(COUNTIF('Account Mapping'!$H$12:$H$45,A12)&gt;0,-H12,H12)</f>
        <v>3000000</v>
      </c>
      <c r="R12" s="249" t="e">
        <f>VLOOKUP(P12,Assumptions!$C$2:$D$64,2,0)</f>
        <v>#N/A</v>
      </c>
      <c r="S12" s="692">
        <f>IFERROR(VLOOKUP(A12,'Maturity Adjustment'!$A$3:$C$81,3,0),(IF(J12&lt;$N$4,"Tomorrow",J12)))</f>
        <v>46090</v>
      </c>
      <c r="T12" s="24">
        <f>IF(S12="Tomorrow",1,(S12-$N$4))</f>
        <v>32</v>
      </c>
      <c r="U12" s="196" t="e">
        <f t="shared" si="4"/>
        <v>#N/A</v>
      </c>
      <c r="V12" s="11">
        <f>IFERROR(VLOOKUP(A12,'Maturity Adjustment'!$A$86:$C$91,3,0),S12)</f>
        <v>46090</v>
      </c>
      <c r="W12" s="207" t="e">
        <f>VLOOKUP(A12,'Account Mapping'!$A$2:$F$216,6,0)</f>
        <v>#N/A</v>
      </c>
      <c r="X12" s="194">
        <f t="shared" si="1"/>
        <v>0</v>
      </c>
      <c r="Y12" s="194">
        <f t="shared" si="5"/>
        <v>0</v>
      </c>
      <c r="Z12" s="13">
        <f t="shared" si="6"/>
        <v>0</v>
      </c>
      <c r="AA12" s="13">
        <f t="shared" si="7"/>
        <v>3000000</v>
      </c>
      <c r="AB12" s="13">
        <f t="shared" si="8"/>
        <v>0</v>
      </c>
      <c r="AC12" s="13">
        <f t="shared" si="9"/>
        <v>0</v>
      </c>
      <c r="AD12" s="13">
        <f t="shared" si="10"/>
        <v>0</v>
      </c>
      <c r="AE12" s="13">
        <f t="shared" si="11"/>
        <v>0</v>
      </c>
      <c r="AF12" s="13">
        <f t="shared" si="12"/>
        <v>0</v>
      </c>
      <c r="AG12" s="685">
        <f t="shared" si="13"/>
        <v>0</v>
      </c>
      <c r="AH12" s="753" t="b">
        <f t="shared" si="14"/>
        <v>1</v>
      </c>
      <c r="AJ12" s="833"/>
      <c r="AK12" s="845"/>
      <c r="AL12" s="846">
        <f t="shared" ref="AL12:AS12" si="17">AL9</f>
        <v>46081</v>
      </c>
      <c r="AM12" s="846">
        <f t="shared" si="17"/>
        <v>46112</v>
      </c>
      <c r="AN12" s="846">
        <f t="shared" si="17"/>
        <v>46142</v>
      </c>
      <c r="AO12" s="846">
        <f t="shared" si="17"/>
        <v>46173</v>
      </c>
      <c r="AP12" s="846">
        <f t="shared" si="17"/>
        <v>46203</v>
      </c>
      <c r="AQ12" s="846">
        <f t="shared" si="17"/>
        <v>46234</v>
      </c>
      <c r="AR12" s="846">
        <f t="shared" si="17"/>
        <v>46265</v>
      </c>
      <c r="AS12" s="847">
        <f t="shared" si="17"/>
        <v>46295</v>
      </c>
      <c r="AT12" s="211"/>
    </row>
    <row r="13" spans="1:46" s="1" customFormat="1" ht="15" customHeight="1">
      <c r="A13" s="946">
        <v>10251002</v>
      </c>
      <c r="B13" s="946" t="s">
        <v>1429</v>
      </c>
      <c r="C13" s="946" t="s">
        <v>1557</v>
      </c>
      <c r="D13" s="946">
        <v>100000008</v>
      </c>
      <c r="E13" s="946" t="s">
        <v>685</v>
      </c>
      <c r="F13" s="946" t="s">
        <v>11</v>
      </c>
      <c r="G13" s="947">
        <v>4000000</v>
      </c>
      <c r="H13" s="947">
        <v>4000000</v>
      </c>
      <c r="I13" s="949">
        <v>46035</v>
      </c>
      <c r="J13" s="949">
        <v>46125</v>
      </c>
      <c r="K13" s="949">
        <v>46125</v>
      </c>
      <c r="L13" s="29" t="e">
        <f>VLOOKUP(A13,'Account Mapping'!$A$2:$E$216,3,0)</f>
        <v>#N/A</v>
      </c>
      <c r="M13" s="25" t="e">
        <f>VLOOKUP(A13,'Account Mapping'!$A$2:$E$216,4,0)</f>
        <v>#N/A</v>
      </c>
      <c r="N13" s="26" t="e">
        <f>IF(OR(C13='Account Mapping'!$H$4,C13='Account Mapping'!$H$5,C13='Account Mapping'!$H$6),'Account Mapping'!$I$4,VLOOKUP(A13,'Account Mapping'!$A$2:$E$216,5,0))</f>
        <v>#N/A</v>
      </c>
      <c r="O13" s="27" t="e">
        <f>IF(OR(L13="Loan",L13="Deposit_Liability",L13="OFF_Unused Loan Commitment",L13="HQLA"),VLOOKUP(D13,'Customer Type'!$A$3:$C$38,3,0),"")</f>
        <v>#N/A</v>
      </c>
      <c r="P13" s="656" t="e">
        <f t="shared" si="2"/>
        <v>#N/A</v>
      </c>
      <c r="Q13" s="658">
        <f>IF(COUNTIF('Account Mapping'!$H$12:$H$45,A13)&gt;0,-H13,H13)</f>
        <v>4000000</v>
      </c>
      <c r="R13" s="249" t="e">
        <f>VLOOKUP(P13,Assumptions!$C$2:$D$64,2,0)</f>
        <v>#N/A</v>
      </c>
      <c r="S13" s="692">
        <f>IFERROR(VLOOKUP(A13,'Maturity Adjustment'!$A$3:$C$81,3,0),(IF(J13&lt;$N$4,"Tomorrow",J13)))</f>
        <v>46125</v>
      </c>
      <c r="T13" s="24">
        <f t="shared" si="3"/>
        <v>67</v>
      </c>
      <c r="U13" s="196" t="e">
        <f t="shared" si="4"/>
        <v>#N/A</v>
      </c>
      <c r="V13" s="11">
        <f>IFERROR(VLOOKUP(A13,'Maturity Adjustment'!$A$86:$C$91,3,0),S13)</f>
        <v>46125</v>
      </c>
      <c r="W13" s="207" t="e">
        <f>VLOOKUP(A13,'Account Mapping'!$A$2:$F$216,6,0)</f>
        <v>#N/A</v>
      </c>
      <c r="X13" s="194">
        <f t="shared" si="1"/>
        <v>0</v>
      </c>
      <c r="Y13" s="194">
        <f t="shared" si="5"/>
        <v>0</v>
      </c>
      <c r="Z13" s="13">
        <f t="shared" si="6"/>
        <v>0</v>
      </c>
      <c r="AA13" s="13">
        <f t="shared" si="7"/>
        <v>4000000</v>
      </c>
      <c r="AB13" s="13">
        <f t="shared" si="8"/>
        <v>0</v>
      </c>
      <c r="AC13" s="13">
        <f t="shared" si="9"/>
        <v>0</v>
      </c>
      <c r="AD13" s="13">
        <f t="shared" si="10"/>
        <v>0</v>
      </c>
      <c r="AE13" s="13">
        <f t="shared" si="11"/>
        <v>0</v>
      </c>
      <c r="AF13" s="13">
        <f t="shared" si="12"/>
        <v>0</v>
      </c>
      <c r="AG13" s="685">
        <f t="shared" si="13"/>
        <v>0</v>
      </c>
      <c r="AH13" s="753" t="b">
        <f t="shared" si="14"/>
        <v>1</v>
      </c>
      <c r="AJ13" s="833"/>
      <c r="AK13" s="848" t="s">
        <v>0</v>
      </c>
      <c r="AL13" s="844">
        <f>SUMIFS($H$7:$H$874,$W$7:$W$874,AK13,$V$7:$V$874,"&gt;"&amp;AL9,$V$7:$V$874,"&lt;="&amp;AL10)+SUMIFS($H$7:$H$874,$W$7:$W$874,AK13,$V$7:$V$874,"Tomorrow")</f>
        <v>0</v>
      </c>
      <c r="AM13" s="844">
        <f>SUMIFS($H$7:$H$874,$W$7:$W$874,AK13,$V$7:$V$874,"&gt;"&amp;AM9,$V$7:$V$874,"&lt;="&amp;AM10)+SUMIFS($H$7:$H$874,$W$7:$W$874,AK13,$V$7:$V$874,"Tomorrow")</f>
        <v>0</v>
      </c>
      <c r="AN13" s="844">
        <f>SUMIFS($H$7:$H$874,$W$7:$W$874,AK13,$V$7:$V$874,"&gt;"&amp;AN9,$V$7:$V$874,"&lt;="&amp;AN10)+SUMIFS($H$7:$H$874,$W$7:$W$874,AK13,$V$7:$V$874,"Tomorrow")</f>
        <v>0</v>
      </c>
      <c r="AO13" s="844">
        <f>SUMIFS($H$7:$H$874,$W$7:$W$874,AK13,$V$7:$V$874,"&gt;"&amp;AO9,$V$7:$V$874,"&lt;="&amp;AO10)+SUMIFS($H$7:$H$874,$W$7:$W$874,AK13,$V$7:$V$874,"Tomorrow")</f>
        <v>0</v>
      </c>
      <c r="AP13" s="844">
        <f>SUMIFS($H$7:$H$874,$W$7:$W$874,AK13,$V$7:$V$874,"&gt;"&amp;AP9,$V$7:$V$874,"&lt;="&amp;AP10)+SUMIFS($H$7:$H$874,$W$7:$W$874,AK13,$V$7:$V$874,"Tomorrow")</f>
        <v>0</v>
      </c>
      <c r="AQ13" s="844">
        <f>SUMIFS($H$7:$H$874,$W$7:$W$874,AK13,$V$7:$V$874,"&gt;"&amp;AQ9,$V$7:$V$874,"&lt;="&amp;AQ10)+SUMIFS($H$7:$H$874,$W$7:$W$874,AK13,$V$7:$V$874,"Tomorrow")</f>
        <v>0</v>
      </c>
      <c r="AR13" s="844">
        <f>SUMIFS($H$7:$H$874,$W$7:$W$874,AK13,$V$7:$V$874,"&gt;"&amp;AR9,$V$7:$V$874,"&lt;="&amp;AR10)+SUMIFS($H$7:$H$874,$W$7:$W$874,AK13,$V$7:$V$874,"Tomorrow")</f>
        <v>0</v>
      </c>
      <c r="AS13" s="849">
        <f>SUMIFS($H$7:$H$874,$W$7:$W$874,AK13,$V$7:$V$874,"&gt;"&amp;AS9,$V$7:$V$874,"&lt;="&amp;AS10)+SUMIFS($H$7:$H$874,$W$7:$W$874,AK13,$V$7:$V$874,"Tomorrow")</f>
        <v>0</v>
      </c>
      <c r="AT13" s="211"/>
    </row>
    <row r="14" spans="1:46" s="1" customFormat="1" ht="15" customHeight="1" thickBot="1">
      <c r="A14" s="946">
        <v>10310002</v>
      </c>
      <c r="B14" s="946" t="s">
        <v>694</v>
      </c>
      <c r="C14" s="946" t="s">
        <v>1215</v>
      </c>
      <c r="D14" s="946">
        <v>100000027</v>
      </c>
      <c r="E14" s="946" t="s">
        <v>1217</v>
      </c>
      <c r="F14" s="946" t="s">
        <v>11</v>
      </c>
      <c r="G14" s="947">
        <v>5054150</v>
      </c>
      <c r="H14" s="947">
        <v>5054150</v>
      </c>
      <c r="I14" s="949">
        <v>45387</v>
      </c>
      <c r="J14" s="949">
        <v>46343</v>
      </c>
      <c r="K14" s="949">
        <v>46342</v>
      </c>
      <c r="L14" s="29" t="e">
        <f>VLOOKUP(A14,'Account Mapping'!$A$2:$E$216,3,0)</f>
        <v>#N/A</v>
      </c>
      <c r="M14" s="25" t="e">
        <f>VLOOKUP(A14,'Account Mapping'!$A$2:$E$216,4,0)</f>
        <v>#N/A</v>
      </c>
      <c r="N14" s="26" t="e">
        <f>IF(OR(C14='Account Mapping'!$H$4,C14='Account Mapping'!$H$5,C14='Account Mapping'!$H$6),'Account Mapping'!$I$4,VLOOKUP(A14,'Account Mapping'!$A$2:$E$216,5,0))</f>
        <v>#N/A</v>
      </c>
      <c r="O14" s="27" t="e">
        <f>IF(OR(L14="Loan",L14="Deposit_Liability",L14="OFF_Unused Loan Commitment",L14="HQLA"),VLOOKUP(D14,'Customer Type'!$A$3:$C$38,3,0),"")</f>
        <v>#N/A</v>
      </c>
      <c r="P14" s="656" t="e">
        <f t="shared" si="2"/>
        <v>#N/A</v>
      </c>
      <c r="Q14" s="658">
        <f>IF(COUNTIF('Account Mapping'!$H$12:$H$45,A14)&gt;0,-H14,H14)</f>
        <v>5054150</v>
      </c>
      <c r="R14" s="249" t="e">
        <f>VLOOKUP(P14,Assumptions!$C$2:$D$64,2,0)</f>
        <v>#N/A</v>
      </c>
      <c r="S14" s="692">
        <f>IFERROR(VLOOKUP(A14,'Maturity Adjustment'!$A$3:$C$81,3,0),(IF(J14&lt;$N$4,"Tomorrow",J14)))</f>
        <v>46343</v>
      </c>
      <c r="T14" s="24">
        <f>IF(S14="Tomorrow",1,(S14-$N$4))</f>
        <v>285</v>
      </c>
      <c r="U14" s="196" t="e">
        <f t="shared" si="4"/>
        <v>#N/A</v>
      </c>
      <c r="V14" s="11">
        <f>IFERROR(VLOOKUP(A14,'Maturity Adjustment'!$A$86:$C$91,3,0),S14)</f>
        <v>46343</v>
      </c>
      <c r="W14" s="207" t="e">
        <f>VLOOKUP(A14,'Account Mapping'!$A$2:$F$216,6,0)</f>
        <v>#N/A</v>
      </c>
      <c r="X14" s="194">
        <f t="shared" si="1"/>
        <v>0</v>
      </c>
      <c r="Y14" s="194">
        <f t="shared" si="5"/>
        <v>0</v>
      </c>
      <c r="Z14" s="13">
        <f t="shared" si="6"/>
        <v>0</v>
      </c>
      <c r="AA14" s="13">
        <f t="shared" si="7"/>
        <v>0</v>
      </c>
      <c r="AB14" s="13">
        <f t="shared" si="8"/>
        <v>0</v>
      </c>
      <c r="AC14" s="13">
        <f t="shared" si="9"/>
        <v>5054150</v>
      </c>
      <c r="AD14" s="13">
        <f t="shared" si="10"/>
        <v>0</v>
      </c>
      <c r="AE14" s="13">
        <f t="shared" si="11"/>
        <v>0</v>
      </c>
      <c r="AF14" s="13">
        <f t="shared" si="12"/>
        <v>0</v>
      </c>
      <c r="AG14" s="685">
        <f t="shared" si="13"/>
        <v>0</v>
      </c>
      <c r="AH14" s="753" t="b">
        <f t="shared" si="14"/>
        <v>1</v>
      </c>
      <c r="AJ14" s="833"/>
      <c r="AK14" s="861" t="s">
        <v>1</v>
      </c>
      <c r="AL14" s="862">
        <f>SUMIFS($H$7:$H$874,$W$7:$W$874,AK14,$V$7:$V$874,"&gt;"&amp;AL9,$V$7:$V$874,"&lt;="&amp;AL10)+SUMIFS($H$7:$H$874,$W$7:$W$874,AK14,$V$7:$V$874,"Tomorrow")</f>
        <v>0</v>
      </c>
      <c r="AM14" s="863">
        <f>SUMIFS($H$7:$H$874,$W$7:$W$874,AK14,$V$7:$V$874,"&gt;"&amp;AM9,$V$7:$V$874,"&lt;="&amp;AM10)+SUMIFS($H$7:$H$874,$W$7:$W$874,AK14,$V$7:$V$874,"Tomorrow")</f>
        <v>0</v>
      </c>
      <c r="AN14" s="863">
        <f>SUMIFS($H$7:$H$874,$W$7:$W$874,AK14,$V$7:$V$874,"&gt;"&amp;AN9,$V$7:$V$874,"&lt;="&amp;AN10)+SUMIFS($H$7:$H$874,$W$7:$W$874,AK14,$V$7:$V$874,"Tomorrow")</f>
        <v>0</v>
      </c>
      <c r="AO14" s="863">
        <f>SUMIFS($H$7:$H$874,$W$7:$W$874,AK14,$V$7:$V$874,"&gt;"&amp;AO9,$V$7:$V$874,"&lt;="&amp;AO10)+SUMIFS($H$7:$H$874,$W$7:$W$874,AK14,$V$7:$V$874,"Tomorrow")</f>
        <v>0</v>
      </c>
      <c r="AP14" s="863">
        <f>SUMIFS($H$7:$H$874,$W$7:$W$874,AK14,$V$7:$V$874,"&gt;"&amp;AP9,$V$7:$V$874,"&lt;="&amp;AP10)+SUMIFS($H$7:$H$874,$W$7:$W$874,AK14,$V$7:$V$874,"Tomorrow")</f>
        <v>0</v>
      </c>
      <c r="AQ14" s="863">
        <f>SUMIFS($H$7:$H$874,$W$7:$W$874,AK14,$V$7:$V$874,"&gt;"&amp;AQ9,$V$7:$V$874,"&lt;="&amp;AQ10)+SUMIFS($H$7:$H$874,$W$7:$W$874,AK14,$V$7:$V$874,"Tomorrow")</f>
        <v>0</v>
      </c>
      <c r="AR14" s="863">
        <f>SUMIFS($H$7:$H$874,$W$7:$W$874,AK14,$V$7:$V$874,"&gt;"&amp;AR9,$V$7:$V$874,"&lt;="&amp;AR10)+SUMIFS($H$7:$H$874,$W$7:$W$874,AK14,$V$7:$V$874,"Tomorrow")</f>
        <v>0</v>
      </c>
      <c r="AS14" s="864">
        <f>SUMIFS($H$7:$H$874,$W$7:$W$874,AK14,$V$7:$V$874,"&gt;"&amp;AS9,$V$7:$V$874,"&lt;="&amp;AS10)+SUMIFS($H$7:$H$874,$W$7:$W$874,AK14,$V$7:$V$874,"Tomorrow")</f>
        <v>0</v>
      </c>
      <c r="AT14" s="211"/>
    </row>
    <row r="15" spans="1:46" s="1" customFormat="1" ht="15" customHeight="1" thickTop="1" thickBot="1">
      <c r="A15" s="946">
        <v>10310002</v>
      </c>
      <c r="B15" s="946" t="s">
        <v>694</v>
      </c>
      <c r="C15" s="946" t="s">
        <v>1243</v>
      </c>
      <c r="D15" s="946">
        <v>100000034</v>
      </c>
      <c r="E15" s="946" t="s">
        <v>1245</v>
      </c>
      <c r="F15" s="946" t="s">
        <v>11</v>
      </c>
      <c r="G15" s="947">
        <v>4000353.88</v>
      </c>
      <c r="H15" s="947">
        <v>4000353.88</v>
      </c>
      <c r="I15" s="949">
        <v>45552</v>
      </c>
      <c r="J15" s="949">
        <v>46091</v>
      </c>
      <c r="K15" s="949">
        <v>46090</v>
      </c>
      <c r="L15" s="29" t="e">
        <f>VLOOKUP(A15,'Account Mapping'!$A$2:$E$216,3,0)</f>
        <v>#N/A</v>
      </c>
      <c r="M15" s="25" t="e">
        <f>VLOOKUP(A15,'Account Mapping'!$A$2:$E$216,4,0)</f>
        <v>#N/A</v>
      </c>
      <c r="N15" s="26" t="e">
        <f>IF(OR(C15='Account Mapping'!$H$4,C15='Account Mapping'!$H$5,C15='Account Mapping'!$H$6),'Account Mapping'!$I$4,VLOOKUP(A15,'Account Mapping'!$A$2:$E$216,5,0))</f>
        <v>#N/A</v>
      </c>
      <c r="O15" s="27" t="e">
        <f>IF(OR(L15="Loan",L15="Deposit_Liability",L15="OFF_Unused Loan Commitment",L15="HQLA"),VLOOKUP(D15,'Customer Type'!$A$3:$C$38,3,0),"")</f>
        <v>#N/A</v>
      </c>
      <c r="P15" s="656" t="e">
        <f t="shared" si="2"/>
        <v>#N/A</v>
      </c>
      <c r="Q15" s="658">
        <f>IF(COUNTIF('Account Mapping'!$H$12:$H$45,A15)&gt;0,-H15,H15)</f>
        <v>4000353.88</v>
      </c>
      <c r="R15" s="249" t="e">
        <f>VLOOKUP(P15,Assumptions!$C$2:$D$64,2,0)</f>
        <v>#N/A</v>
      </c>
      <c r="S15" s="692">
        <f>IFERROR(VLOOKUP(A15,'Maturity Adjustment'!$A$3:$C$81,3,0),(IF(J15&lt;$N$4,"Tomorrow",J15)))</f>
        <v>46091</v>
      </c>
      <c r="T15" s="24">
        <f t="shared" ref="T15:T95" si="18">IF(S15="Tomorrow",1,(S15-$N$4))</f>
        <v>33</v>
      </c>
      <c r="U15" s="196" t="e">
        <f t="shared" si="4"/>
        <v>#N/A</v>
      </c>
      <c r="V15" s="11">
        <f>IFERROR(VLOOKUP(A15,'Maturity Adjustment'!$A$86:$C$91,3,0),S15)</f>
        <v>46091</v>
      </c>
      <c r="W15" s="207" t="e">
        <f>VLOOKUP(A15,'Account Mapping'!$A$2:$F$216,6,0)</f>
        <v>#N/A</v>
      </c>
      <c r="X15" s="194">
        <f t="shared" si="1"/>
        <v>0</v>
      </c>
      <c r="Y15" s="194">
        <f t="shared" si="5"/>
        <v>0</v>
      </c>
      <c r="Z15" s="13">
        <f t="shared" si="6"/>
        <v>0</v>
      </c>
      <c r="AA15" s="13">
        <f t="shared" si="7"/>
        <v>4000353.88</v>
      </c>
      <c r="AB15" s="13">
        <f t="shared" si="8"/>
        <v>0</v>
      </c>
      <c r="AC15" s="13">
        <f t="shared" si="9"/>
        <v>0</v>
      </c>
      <c r="AD15" s="13">
        <f t="shared" si="10"/>
        <v>0</v>
      </c>
      <c r="AE15" s="13">
        <f t="shared" si="11"/>
        <v>0</v>
      </c>
      <c r="AF15" s="13">
        <f t="shared" si="12"/>
        <v>0</v>
      </c>
      <c r="AG15" s="685">
        <f t="shared" si="13"/>
        <v>0</v>
      </c>
      <c r="AH15" s="753" t="b">
        <f t="shared" si="14"/>
        <v>1</v>
      </c>
      <c r="AJ15" s="833"/>
      <c r="AK15" s="869" t="s">
        <v>1566</v>
      </c>
      <c r="AL15" s="870">
        <f>AL13-AL14</f>
        <v>0</v>
      </c>
      <c r="AM15" s="870">
        <f t="shared" ref="AM15:AR15" si="19">AM13-AM14</f>
        <v>0</v>
      </c>
      <c r="AN15" s="870">
        <f t="shared" si="19"/>
        <v>0</v>
      </c>
      <c r="AO15" s="870">
        <f t="shared" si="19"/>
        <v>0</v>
      </c>
      <c r="AP15" s="870">
        <f t="shared" si="19"/>
        <v>0</v>
      </c>
      <c r="AQ15" s="870">
        <f t="shared" si="19"/>
        <v>0</v>
      </c>
      <c r="AR15" s="870">
        <f t="shared" si="19"/>
        <v>0</v>
      </c>
      <c r="AS15" s="871">
        <f t="shared" ref="AS15" si="20">AS13-AS14</f>
        <v>0</v>
      </c>
      <c r="AT15" s="211"/>
    </row>
    <row r="16" spans="1:46" s="1" customFormat="1" ht="15" customHeight="1" thickTop="1">
      <c r="A16" s="946">
        <v>10310002</v>
      </c>
      <c r="B16" s="946" t="s">
        <v>694</v>
      </c>
      <c r="C16" s="946" t="s">
        <v>1423</v>
      </c>
      <c r="D16" s="946">
        <v>100000038</v>
      </c>
      <c r="E16" s="946" t="s">
        <v>1425</v>
      </c>
      <c r="F16" s="946" t="s">
        <v>11</v>
      </c>
      <c r="G16" s="947">
        <v>4891616.08</v>
      </c>
      <c r="H16" s="947">
        <v>4891616.08</v>
      </c>
      <c r="I16" s="949">
        <v>45755</v>
      </c>
      <c r="J16" s="949">
        <v>46776</v>
      </c>
      <c r="K16" s="949">
        <v>46775</v>
      </c>
      <c r="L16" s="29" t="e">
        <f>VLOOKUP(A16,'Account Mapping'!$A$2:$E$216,3,0)</f>
        <v>#N/A</v>
      </c>
      <c r="M16" s="25" t="e">
        <f>VLOOKUP(A16,'Account Mapping'!$A$2:$E$216,4,0)</f>
        <v>#N/A</v>
      </c>
      <c r="N16" s="26" t="e">
        <f>IF(OR(C16='Account Mapping'!$H$4,C16='Account Mapping'!$H$5,C16='Account Mapping'!$H$6),'Account Mapping'!$I$4,VLOOKUP(A16,'Account Mapping'!$A$2:$E$216,5,0))</f>
        <v>#N/A</v>
      </c>
      <c r="O16" s="27" t="e">
        <f>IF(OR(L16="Loan",L16="Deposit_Liability",L16="OFF_Unused Loan Commitment",L16="HQLA"),VLOOKUP(D16,'Customer Type'!$A$3:$C$38,3,0),"")</f>
        <v>#N/A</v>
      </c>
      <c r="P16" s="656" t="e">
        <f t="shared" si="2"/>
        <v>#N/A</v>
      </c>
      <c r="Q16" s="658">
        <f>IF(COUNTIF('Account Mapping'!$H$12:$H$45,A16)&gt;0,-H16,H16)</f>
        <v>4891616.08</v>
      </c>
      <c r="R16" s="249" t="e">
        <f>VLOOKUP(P16,Assumptions!$C$2:$D$64,2,0)</f>
        <v>#N/A</v>
      </c>
      <c r="S16" s="692">
        <f>IFERROR(VLOOKUP(A16,'Maturity Adjustment'!$A$3:$C$81,3,0),(IF(J16&lt;$N$4,"Tomorrow",J16)))</f>
        <v>46776</v>
      </c>
      <c r="T16" s="24">
        <f t="shared" si="18"/>
        <v>718</v>
      </c>
      <c r="U16" s="196" t="e">
        <f t="shared" si="4"/>
        <v>#N/A</v>
      </c>
      <c r="V16" s="11">
        <f>IFERROR(VLOOKUP(A16,'Maturity Adjustment'!$A$86:$C$91,3,0),S16)</f>
        <v>46776</v>
      </c>
      <c r="W16" s="207" t="e">
        <f>VLOOKUP(A16,'Account Mapping'!$A$2:$F$216,6,0)</f>
        <v>#N/A</v>
      </c>
      <c r="X16" s="194">
        <f t="shared" si="1"/>
        <v>0</v>
      </c>
      <c r="Y16" s="194">
        <f t="shared" si="5"/>
        <v>0</v>
      </c>
      <c r="Z16" s="13">
        <f t="shared" si="6"/>
        <v>0</v>
      </c>
      <c r="AA16" s="13">
        <f t="shared" si="7"/>
        <v>0</v>
      </c>
      <c r="AB16" s="13">
        <f t="shared" si="8"/>
        <v>0</v>
      </c>
      <c r="AC16" s="13">
        <f t="shared" si="9"/>
        <v>0</v>
      </c>
      <c r="AD16" s="13">
        <f t="shared" si="10"/>
        <v>4891616.08</v>
      </c>
      <c r="AE16" s="13">
        <f t="shared" si="11"/>
        <v>0</v>
      </c>
      <c r="AF16" s="13">
        <f t="shared" si="12"/>
        <v>0</v>
      </c>
      <c r="AG16" s="685">
        <f t="shared" si="13"/>
        <v>0</v>
      </c>
      <c r="AH16" s="688" t="b">
        <f t="shared" ref="AH16:AH71" si="21">Q16=SUM(X16:AG16)</f>
        <v>1</v>
      </c>
      <c r="AJ16" s="833"/>
      <c r="AK16" s="865" t="s">
        <v>1572</v>
      </c>
      <c r="AL16" s="866">
        <f>SUMIF($W$7:$W$874,AK13,$H$7:$H$874)</f>
        <v>0</v>
      </c>
      <c r="AM16" s="867">
        <f t="shared" ref="AM16:AS16" si="22">AL16</f>
        <v>0</v>
      </c>
      <c r="AN16" s="867">
        <f t="shared" si="22"/>
        <v>0</v>
      </c>
      <c r="AO16" s="867">
        <f t="shared" si="22"/>
        <v>0</v>
      </c>
      <c r="AP16" s="867">
        <f t="shared" si="22"/>
        <v>0</v>
      </c>
      <c r="AQ16" s="867">
        <f t="shared" si="22"/>
        <v>0</v>
      </c>
      <c r="AR16" s="867">
        <f t="shared" si="22"/>
        <v>0</v>
      </c>
      <c r="AS16" s="868">
        <f t="shared" si="22"/>
        <v>0</v>
      </c>
      <c r="AT16" s="211"/>
    </row>
    <row r="17" spans="1:46" s="1" customFormat="1" ht="20.65" customHeight="1" thickBot="1">
      <c r="A17" s="946">
        <v>10310003</v>
      </c>
      <c r="B17" s="946" t="s">
        <v>1270</v>
      </c>
      <c r="C17" s="946" t="s">
        <v>1271</v>
      </c>
      <c r="D17" s="946">
        <v>100000037</v>
      </c>
      <c r="E17" s="946" t="s">
        <v>1266</v>
      </c>
      <c r="F17" s="946" t="s">
        <v>26</v>
      </c>
      <c r="G17" s="947">
        <v>5027374.49</v>
      </c>
      <c r="H17" s="947">
        <v>7157423.8200000003</v>
      </c>
      <c r="I17" s="949">
        <v>45624</v>
      </c>
      <c r="J17" s="949">
        <v>46677</v>
      </c>
      <c r="K17" s="949">
        <v>46128</v>
      </c>
      <c r="L17" s="29" t="e">
        <f>VLOOKUP(A17,'Account Mapping'!$A$2:$E$216,3,0)</f>
        <v>#N/A</v>
      </c>
      <c r="M17" s="25" t="e">
        <f>VLOOKUP(A17,'Account Mapping'!$A$2:$E$216,4,0)</f>
        <v>#N/A</v>
      </c>
      <c r="N17" s="26" t="e">
        <f>IF(OR(C17='Account Mapping'!$H$4,C17='Account Mapping'!$H$5,C17='Account Mapping'!$H$6),'Account Mapping'!$I$4,VLOOKUP(A17,'Account Mapping'!$A$2:$E$216,5,0))</f>
        <v>#N/A</v>
      </c>
      <c r="O17" s="27" t="e">
        <f>IF(OR(L17="Loan",L17="Deposit_Liability",L17="OFF_Unused Loan Commitment",L17="HQLA"),VLOOKUP(D17,'Customer Type'!$A$3:$C$38,3,0),"")</f>
        <v>#N/A</v>
      </c>
      <c r="P17" s="656" t="e">
        <f t="shared" si="2"/>
        <v>#N/A</v>
      </c>
      <c r="Q17" s="658">
        <f>IF(COUNTIF('Account Mapping'!$H$12:$H$45,A17)&gt;0,-H17,H17)</f>
        <v>7157423.8200000003</v>
      </c>
      <c r="R17" s="249" t="e">
        <f>VLOOKUP(P17,Assumptions!$C$2:$D$64,2,0)</f>
        <v>#N/A</v>
      </c>
      <c r="S17" s="692">
        <f>IFERROR(VLOOKUP(A17,'Maturity Adjustment'!$A$3:$C$81,3,0),(IF(J17&lt;$N$4,"Tomorrow",J17)))</f>
        <v>46677</v>
      </c>
      <c r="T17" s="24">
        <f t="shared" si="18"/>
        <v>619</v>
      </c>
      <c r="U17" s="196" t="e">
        <f t="shared" si="4"/>
        <v>#N/A</v>
      </c>
      <c r="V17" s="11">
        <f>IFERROR(VLOOKUP(A17,'Maturity Adjustment'!$A$86:$C$91,3,0),S17)</f>
        <v>46677</v>
      </c>
      <c r="W17" s="207" t="e">
        <f>VLOOKUP(A17,'Account Mapping'!$A$2:$F$216,6,0)</f>
        <v>#N/A</v>
      </c>
      <c r="X17" s="194">
        <f t="shared" si="1"/>
        <v>0</v>
      </c>
      <c r="Y17" s="194">
        <f t="shared" si="5"/>
        <v>0</v>
      </c>
      <c r="Z17" s="13">
        <f t="shared" si="6"/>
        <v>0</v>
      </c>
      <c r="AA17" s="13">
        <f t="shared" si="7"/>
        <v>0</v>
      </c>
      <c r="AB17" s="13">
        <f t="shared" si="8"/>
        <v>0</v>
      </c>
      <c r="AC17" s="13">
        <f t="shared" si="9"/>
        <v>0</v>
      </c>
      <c r="AD17" s="13">
        <f t="shared" si="10"/>
        <v>7157423.8200000003</v>
      </c>
      <c r="AE17" s="13">
        <f t="shared" si="11"/>
        <v>0</v>
      </c>
      <c r="AF17" s="13">
        <f t="shared" si="12"/>
        <v>0</v>
      </c>
      <c r="AG17" s="685">
        <f t="shared" si="13"/>
        <v>0</v>
      </c>
      <c r="AH17" s="688" t="b">
        <f t="shared" si="21"/>
        <v>1</v>
      </c>
      <c r="AJ17" s="833"/>
      <c r="AK17" s="877" t="s">
        <v>1571</v>
      </c>
      <c r="AL17" s="878" t="e">
        <f t="shared" ref="AL17:AR17" si="23">AL15/AL16</f>
        <v>#DIV/0!</v>
      </c>
      <c r="AM17" s="878" t="e">
        <f t="shared" si="23"/>
        <v>#DIV/0!</v>
      </c>
      <c r="AN17" s="878" t="e">
        <f t="shared" si="23"/>
        <v>#DIV/0!</v>
      </c>
      <c r="AO17" s="878" t="e">
        <f t="shared" si="23"/>
        <v>#DIV/0!</v>
      </c>
      <c r="AP17" s="878" t="e">
        <f t="shared" si="23"/>
        <v>#DIV/0!</v>
      </c>
      <c r="AQ17" s="878" t="e">
        <f t="shared" si="23"/>
        <v>#DIV/0!</v>
      </c>
      <c r="AR17" s="878" t="e">
        <f t="shared" si="23"/>
        <v>#DIV/0!</v>
      </c>
      <c r="AS17" s="879" t="e">
        <f t="shared" ref="AS17" si="24">AS15/AS16</f>
        <v>#DIV/0!</v>
      </c>
      <c r="AT17" s="211"/>
    </row>
    <row r="18" spans="1:46" s="1" customFormat="1" ht="15" customHeight="1" thickBot="1">
      <c r="A18" s="946">
        <v>10310003</v>
      </c>
      <c r="B18" s="946" t="s">
        <v>1270</v>
      </c>
      <c r="C18" s="946" t="s">
        <v>1399</v>
      </c>
      <c r="D18" s="946">
        <v>100000037</v>
      </c>
      <c r="E18" s="946" t="s">
        <v>1266</v>
      </c>
      <c r="F18" s="946" t="s">
        <v>26</v>
      </c>
      <c r="G18" s="947">
        <v>-15.6</v>
      </c>
      <c r="H18" s="947">
        <v>-22.21</v>
      </c>
      <c r="I18" s="949">
        <v>45692</v>
      </c>
      <c r="J18" s="949">
        <v>46766</v>
      </c>
      <c r="K18" s="949"/>
      <c r="L18" s="29" t="e">
        <f>VLOOKUP(A18,'Account Mapping'!$A$2:$E$216,3,0)</f>
        <v>#N/A</v>
      </c>
      <c r="M18" s="25" t="e">
        <f>VLOOKUP(A18,'Account Mapping'!$A$2:$E$216,4,0)</f>
        <v>#N/A</v>
      </c>
      <c r="N18" s="26" t="e">
        <f>IF(OR(C18='Account Mapping'!$H$4,C18='Account Mapping'!$H$5,C18='Account Mapping'!$H$6),'Account Mapping'!$I$4,VLOOKUP(A18,'Account Mapping'!$A$2:$E$216,5,0))</f>
        <v>#N/A</v>
      </c>
      <c r="O18" s="27" t="e">
        <f>IF(OR(L18="Loan",L18="Deposit_Liability",L18="OFF_Unused Loan Commitment",L18="HQLA"),VLOOKUP(D18,'Customer Type'!$A$3:$C$38,3,0),"")</f>
        <v>#N/A</v>
      </c>
      <c r="P18" s="656" t="e">
        <f t="shared" si="2"/>
        <v>#N/A</v>
      </c>
      <c r="Q18" s="658">
        <f>IF(COUNTIF('Account Mapping'!$H$12:$H$45,A18)&gt;0,-H18,H18)</f>
        <v>-22.21</v>
      </c>
      <c r="R18" s="249" t="e">
        <f>VLOOKUP(P18,Assumptions!$C$2:$D$64,2,0)</f>
        <v>#N/A</v>
      </c>
      <c r="S18" s="692">
        <f>IFERROR(VLOOKUP(A18,'Maturity Adjustment'!$A$3:$C$81,3,0),(IF(J18&lt;$N$4,"Tomorrow",J18)))</f>
        <v>46766</v>
      </c>
      <c r="T18" s="24">
        <f>IF(S18="Tomorrow",1,(S18-$N$4))</f>
        <v>708</v>
      </c>
      <c r="U18" s="196" t="e">
        <f t="shared" si="4"/>
        <v>#N/A</v>
      </c>
      <c r="V18" s="11">
        <f>IFERROR(VLOOKUP(A18,'Maturity Adjustment'!$A$86:$C$91,3,0),S18)</f>
        <v>46766</v>
      </c>
      <c r="W18" s="207" t="e">
        <f>VLOOKUP(A18,'Account Mapping'!$A$2:$F$216,6,0)</f>
        <v>#N/A</v>
      </c>
      <c r="X18" s="194">
        <f t="shared" si="1"/>
        <v>0</v>
      </c>
      <c r="Y18" s="194">
        <f t="shared" si="5"/>
        <v>0</v>
      </c>
      <c r="Z18" s="13">
        <f t="shared" si="6"/>
        <v>0</v>
      </c>
      <c r="AA18" s="13">
        <f t="shared" si="7"/>
        <v>0</v>
      </c>
      <c r="AB18" s="13">
        <f t="shared" si="8"/>
        <v>0</v>
      </c>
      <c r="AC18" s="13">
        <f t="shared" si="9"/>
        <v>0</v>
      </c>
      <c r="AD18" s="13">
        <f t="shared" si="10"/>
        <v>-22.21</v>
      </c>
      <c r="AE18" s="13">
        <f t="shared" si="11"/>
        <v>0</v>
      </c>
      <c r="AF18" s="13">
        <f t="shared" si="12"/>
        <v>0</v>
      </c>
      <c r="AG18" s="685">
        <f t="shared" si="13"/>
        <v>0</v>
      </c>
      <c r="AH18" s="688" t="b">
        <f t="shared" si="21"/>
        <v>1</v>
      </c>
      <c r="AJ18" s="833"/>
      <c r="AK18" s="834" t="s">
        <v>699</v>
      </c>
      <c r="AL18" s="835">
        <v>0</v>
      </c>
      <c r="AM18" s="835">
        <f t="shared" ref="AM18:AS18" si="25">AL18</f>
        <v>0</v>
      </c>
      <c r="AN18" s="835">
        <f t="shared" si="25"/>
        <v>0</v>
      </c>
      <c r="AO18" s="835">
        <f t="shared" si="25"/>
        <v>0</v>
      </c>
      <c r="AP18" s="835">
        <f t="shared" si="25"/>
        <v>0</v>
      </c>
      <c r="AQ18" s="835">
        <f t="shared" si="25"/>
        <v>0</v>
      </c>
      <c r="AR18" s="835">
        <f t="shared" si="25"/>
        <v>0</v>
      </c>
      <c r="AS18" s="835">
        <f t="shared" si="25"/>
        <v>0</v>
      </c>
      <c r="AT18" s="211"/>
    </row>
    <row r="19" spans="1:46" s="1" customFormat="1" ht="15" customHeight="1" thickTop="1">
      <c r="A19" s="946">
        <v>10310003</v>
      </c>
      <c r="B19" s="946" t="s">
        <v>1270</v>
      </c>
      <c r="C19" s="946" t="s">
        <v>1401</v>
      </c>
      <c r="D19" s="946">
        <v>100000037</v>
      </c>
      <c r="E19" s="946" t="s">
        <v>1266</v>
      </c>
      <c r="F19" s="946" t="s">
        <v>26</v>
      </c>
      <c r="G19" s="947">
        <v>5076637.88</v>
      </c>
      <c r="H19" s="947">
        <v>7227559.6200000001</v>
      </c>
      <c r="I19" s="949">
        <v>45692</v>
      </c>
      <c r="J19" s="949">
        <v>46766</v>
      </c>
      <c r="K19" s="949">
        <v>46765</v>
      </c>
      <c r="L19" s="29" t="e">
        <f>VLOOKUP(A19,'Account Mapping'!$A$2:$E$216,3,0)</f>
        <v>#N/A</v>
      </c>
      <c r="M19" s="25" t="e">
        <f>VLOOKUP(A19,'Account Mapping'!$A$2:$E$216,4,0)</f>
        <v>#N/A</v>
      </c>
      <c r="N19" s="26" t="e">
        <f>IF(OR(C19='Account Mapping'!$H$4,C19='Account Mapping'!$H$5,C19='Account Mapping'!$H$6),'Account Mapping'!$I$4,VLOOKUP(A19,'Account Mapping'!$A$2:$E$216,5,0))</f>
        <v>#N/A</v>
      </c>
      <c r="O19" s="27" t="e">
        <f>IF(OR(L19="Loan",L19="Deposit_Liability",L19="OFF_Unused Loan Commitment",L19="HQLA"),VLOOKUP(D19,'Customer Type'!$A$3:$C$38,3,0),"")</f>
        <v>#N/A</v>
      </c>
      <c r="P19" s="656" t="e">
        <f t="shared" si="2"/>
        <v>#N/A</v>
      </c>
      <c r="Q19" s="658">
        <f>IF(COUNTIF('Account Mapping'!$H$12:$H$45,A19)&gt;0,-H19,H19)</f>
        <v>7227559.6200000001</v>
      </c>
      <c r="R19" s="249" t="e">
        <f>VLOOKUP(P19,Assumptions!$C$2:$D$64,2,0)</f>
        <v>#N/A</v>
      </c>
      <c r="S19" s="692">
        <f>IFERROR(VLOOKUP(A19,'Maturity Adjustment'!$A$3:$C$81,3,0),(IF(J19&lt;$N$4,"Tomorrow",J19)))</f>
        <v>46766</v>
      </c>
      <c r="T19" s="24">
        <f t="shared" si="18"/>
        <v>708</v>
      </c>
      <c r="U19" s="196" t="e">
        <f t="shared" si="4"/>
        <v>#N/A</v>
      </c>
      <c r="V19" s="11">
        <f>IFERROR(VLOOKUP(A19,'Maturity Adjustment'!$A$86:$C$91,3,0),S19)</f>
        <v>46766</v>
      </c>
      <c r="W19" s="207" t="e">
        <f>VLOOKUP(A19,'Account Mapping'!$A$2:$F$216,6,0)</f>
        <v>#N/A</v>
      </c>
      <c r="X19" s="194">
        <f t="shared" si="1"/>
        <v>0</v>
      </c>
      <c r="Y19" s="194">
        <f t="shared" si="5"/>
        <v>0</v>
      </c>
      <c r="Z19" s="13">
        <f t="shared" si="6"/>
        <v>0</v>
      </c>
      <c r="AA19" s="13">
        <f t="shared" si="7"/>
        <v>0</v>
      </c>
      <c r="AB19" s="13">
        <f t="shared" si="8"/>
        <v>0</v>
      </c>
      <c r="AC19" s="13">
        <f t="shared" si="9"/>
        <v>0</v>
      </c>
      <c r="AD19" s="13">
        <f t="shared" si="10"/>
        <v>7227559.6200000001</v>
      </c>
      <c r="AE19" s="13">
        <f t="shared" si="11"/>
        <v>0</v>
      </c>
      <c r="AF19" s="13">
        <f t="shared" si="12"/>
        <v>0</v>
      </c>
      <c r="AG19" s="685">
        <f t="shared" si="13"/>
        <v>0</v>
      </c>
      <c r="AH19" s="688" t="b">
        <f t="shared" si="21"/>
        <v>1</v>
      </c>
      <c r="AJ19" s="833"/>
      <c r="AK19" s="834" t="s">
        <v>1567</v>
      </c>
      <c r="AL19" s="836" t="e">
        <f t="shared" ref="AL19:AS19" si="26">-AL16*(AL18-AL17)</f>
        <v>#DIV/0!</v>
      </c>
      <c r="AM19" s="836" t="e">
        <f t="shared" si="26"/>
        <v>#DIV/0!</v>
      </c>
      <c r="AN19" s="836" t="e">
        <f t="shared" si="26"/>
        <v>#DIV/0!</v>
      </c>
      <c r="AO19" s="836" t="e">
        <f t="shared" si="26"/>
        <v>#DIV/0!</v>
      </c>
      <c r="AP19" s="836" t="e">
        <f t="shared" si="26"/>
        <v>#DIV/0!</v>
      </c>
      <c r="AQ19" s="836" t="e">
        <f t="shared" si="26"/>
        <v>#DIV/0!</v>
      </c>
      <c r="AR19" s="836" t="e">
        <f t="shared" si="26"/>
        <v>#DIV/0!</v>
      </c>
      <c r="AS19" s="836" t="e">
        <f t="shared" si="26"/>
        <v>#DIV/0!</v>
      </c>
      <c r="AT19" s="211"/>
    </row>
    <row r="20" spans="1:46" s="1" customFormat="1" ht="15" customHeight="1" thickBot="1">
      <c r="A20" s="946">
        <v>10310003</v>
      </c>
      <c r="B20" s="946" t="s">
        <v>1270</v>
      </c>
      <c r="C20" s="946" t="s">
        <v>1437</v>
      </c>
      <c r="D20" s="946">
        <v>100000037</v>
      </c>
      <c r="E20" s="946" t="s">
        <v>1266</v>
      </c>
      <c r="F20" s="946" t="s">
        <v>26</v>
      </c>
      <c r="G20" s="947">
        <v>3020995.29</v>
      </c>
      <c r="H20" s="947">
        <v>4300961.4000000004</v>
      </c>
      <c r="I20" s="949">
        <v>45818</v>
      </c>
      <c r="J20" s="949">
        <v>46645</v>
      </c>
      <c r="K20" s="948">
        <v>46644</v>
      </c>
      <c r="L20" s="29" t="e">
        <f>VLOOKUP(A20,'Account Mapping'!$A$2:$E$216,3,0)</f>
        <v>#N/A</v>
      </c>
      <c r="M20" s="25" t="e">
        <f>VLOOKUP(A20,'Account Mapping'!$A$2:$E$216,4,0)</f>
        <v>#N/A</v>
      </c>
      <c r="N20" s="26" t="e">
        <f>IF(OR(C20='Account Mapping'!$H$4,C20='Account Mapping'!$H$5,C20='Account Mapping'!$H$6),'Account Mapping'!$I$4,VLOOKUP(A20,'Account Mapping'!$A$2:$E$216,5,0))</f>
        <v>#N/A</v>
      </c>
      <c r="O20" s="27" t="e">
        <f>IF(OR(L20="Loan",L20="Deposit_Liability",L20="OFF_Unused Loan Commitment",L20="HQLA"),VLOOKUP(D20,'Customer Type'!$A$3:$C$38,3,0),"")</f>
        <v>#N/A</v>
      </c>
      <c r="P20" s="656" t="e">
        <f t="shared" si="2"/>
        <v>#N/A</v>
      </c>
      <c r="Q20" s="658">
        <f>IF(COUNTIF('Account Mapping'!$H$12:$H$45,A20)&gt;0,-H20,H20)</f>
        <v>4300961.4000000004</v>
      </c>
      <c r="R20" s="249" t="e">
        <f>VLOOKUP(P20,Assumptions!$C$2:$D$64,2,0)</f>
        <v>#N/A</v>
      </c>
      <c r="S20" s="692">
        <f>IFERROR(VLOOKUP(A20,'Maturity Adjustment'!$A$3:$C$81,3,0),(IF(J20&lt;$N$4,"Tomorrow",J20)))</f>
        <v>46645</v>
      </c>
      <c r="T20" s="24">
        <f t="shared" ref="T20:T23" si="27">IF(S20="Tomorrow",1,(S20-$N$4))</f>
        <v>587</v>
      </c>
      <c r="U20" s="196" t="e">
        <f t="shared" si="4"/>
        <v>#N/A</v>
      </c>
      <c r="V20" s="11">
        <f>IFERROR(VLOOKUP(A20,'Maturity Adjustment'!$A$86:$C$91,3,0),S20)</f>
        <v>46645</v>
      </c>
      <c r="W20" s="207" t="e">
        <f>VLOOKUP(A20,'Account Mapping'!$A$2:$F$216,6,0)</f>
        <v>#N/A</v>
      </c>
      <c r="X20" s="194">
        <f t="shared" si="1"/>
        <v>0</v>
      </c>
      <c r="Y20" s="194">
        <f t="shared" si="5"/>
        <v>0</v>
      </c>
      <c r="Z20" s="13">
        <f t="shared" si="6"/>
        <v>0</v>
      </c>
      <c r="AA20" s="13">
        <f t="shared" si="7"/>
        <v>0</v>
      </c>
      <c r="AB20" s="13">
        <f t="shared" si="8"/>
        <v>0</v>
      </c>
      <c r="AC20" s="13">
        <f t="shared" si="9"/>
        <v>0</v>
      </c>
      <c r="AD20" s="13">
        <f t="shared" si="10"/>
        <v>4300961.4000000004</v>
      </c>
      <c r="AE20" s="13">
        <f t="shared" si="11"/>
        <v>0</v>
      </c>
      <c r="AF20" s="13">
        <f t="shared" si="12"/>
        <v>0</v>
      </c>
      <c r="AG20" s="685">
        <f t="shared" si="13"/>
        <v>0</v>
      </c>
      <c r="AH20" s="688" t="b">
        <f t="shared" si="21"/>
        <v>1</v>
      </c>
      <c r="AJ20" s="694"/>
      <c r="AK20" s="7"/>
      <c r="AL20" s="211"/>
      <c r="AM20" s="211"/>
      <c r="AN20" s="211"/>
      <c r="AO20" s="211"/>
      <c r="AP20" s="211"/>
      <c r="AQ20" s="211"/>
      <c r="AR20" s="211"/>
      <c r="AS20" s="211"/>
      <c r="AT20" s="211"/>
    </row>
    <row r="21" spans="1:46" s="1" customFormat="1" ht="15" customHeight="1" thickTop="1" thickBot="1">
      <c r="A21" s="946">
        <v>10310003</v>
      </c>
      <c r="B21" s="946" t="s">
        <v>1270</v>
      </c>
      <c r="C21" s="946" t="s">
        <v>1402</v>
      </c>
      <c r="D21" s="946">
        <v>100000037</v>
      </c>
      <c r="E21" s="946" t="s">
        <v>1266</v>
      </c>
      <c r="F21" s="946" t="s">
        <v>26</v>
      </c>
      <c r="G21" s="947">
        <v>15.6</v>
      </c>
      <c r="H21" s="947">
        <v>22.21</v>
      </c>
      <c r="I21" s="949"/>
      <c r="J21" s="949"/>
      <c r="K21" s="949"/>
      <c r="L21" s="29" t="e">
        <f>VLOOKUP(A21,'Account Mapping'!$A$2:$E$216,3,0)</f>
        <v>#N/A</v>
      </c>
      <c r="M21" s="25" t="e">
        <f>VLOOKUP(A21,'Account Mapping'!$A$2:$E$216,4,0)</f>
        <v>#N/A</v>
      </c>
      <c r="N21" s="26" t="e">
        <f>IF(OR(C21='Account Mapping'!$H$4,C21='Account Mapping'!$H$5,C21='Account Mapping'!$H$6),'Account Mapping'!$I$4,VLOOKUP(A21,'Account Mapping'!$A$2:$E$216,5,0))</f>
        <v>#N/A</v>
      </c>
      <c r="O21" s="27" t="e">
        <f>IF(OR(L21="Loan",L21="Deposit_Liability",L21="OFF_Unused Loan Commitment",L21="HQLA"),VLOOKUP(D21,'Customer Type'!$A$3:$C$38,3,0),"")</f>
        <v>#N/A</v>
      </c>
      <c r="P21" s="656" t="e">
        <f t="shared" si="2"/>
        <v>#N/A</v>
      </c>
      <c r="Q21" s="658">
        <f>IF(COUNTIF('Account Mapping'!$H$12:$H$45,A21)&gt;0,-H21,H21)</f>
        <v>22.21</v>
      </c>
      <c r="R21" s="249" t="e">
        <f>VLOOKUP(P21,Assumptions!$C$2:$D$64,2,0)</f>
        <v>#N/A</v>
      </c>
      <c r="S21" s="692" t="str">
        <f>IFERROR(VLOOKUP(A21,'Maturity Adjustment'!$A$3:$C$81,3,0),(IF(J21&lt;$N$4,"Tomorrow",J21)))</f>
        <v>Tomorrow</v>
      </c>
      <c r="T21" s="24">
        <f t="shared" si="27"/>
        <v>1</v>
      </c>
      <c r="U21" s="196" t="e">
        <f t="shared" si="4"/>
        <v>#N/A</v>
      </c>
      <c r="V21" s="11" t="str">
        <f>IFERROR(VLOOKUP(A21,'Maturity Adjustment'!$A$86:$C$91,3,0),S21)</f>
        <v>Tomorrow</v>
      </c>
      <c r="W21" s="207" t="e">
        <f>VLOOKUP(A21,'Account Mapping'!$A$2:$F$216,6,0)</f>
        <v>#N/A</v>
      </c>
      <c r="X21" s="194">
        <f t="shared" si="1"/>
        <v>22.21</v>
      </c>
      <c r="Y21" s="194">
        <f t="shared" si="5"/>
        <v>0</v>
      </c>
      <c r="Z21" s="13">
        <f t="shared" si="6"/>
        <v>0</v>
      </c>
      <c r="AA21" s="13">
        <f t="shared" si="7"/>
        <v>0</v>
      </c>
      <c r="AB21" s="13">
        <f t="shared" si="8"/>
        <v>0</v>
      </c>
      <c r="AC21" s="13">
        <f t="shared" si="9"/>
        <v>0</v>
      </c>
      <c r="AD21" s="13">
        <f t="shared" si="10"/>
        <v>0</v>
      </c>
      <c r="AE21" s="13">
        <f t="shared" si="11"/>
        <v>0</v>
      </c>
      <c r="AF21" s="13">
        <f t="shared" si="12"/>
        <v>0</v>
      </c>
      <c r="AG21" s="685">
        <f t="shared" si="13"/>
        <v>0</v>
      </c>
      <c r="AH21" s="688" t="b">
        <f t="shared" si="21"/>
        <v>1</v>
      </c>
      <c r="AJ21" s="1006" t="s">
        <v>1569</v>
      </c>
      <c r="AK21" s="843" t="s">
        <v>2</v>
      </c>
      <c r="AL21" s="837">
        <f>AL9</f>
        <v>46081</v>
      </c>
      <c r="AM21" s="837">
        <f t="shared" ref="AM21" si="28">EOMONTH(AL21,1)</f>
        <v>46112</v>
      </c>
      <c r="AN21" s="837">
        <f t="shared" ref="AN21" si="29">EOMONTH(AM21,1)</f>
        <v>46142</v>
      </c>
      <c r="AO21" s="837">
        <f t="shared" ref="AO21" si="30">EOMONTH(AN21,1)</f>
        <v>46173</v>
      </c>
      <c r="AP21" s="837">
        <f t="shared" ref="AP21" si="31">EOMONTH(AO21,1)</f>
        <v>46203</v>
      </c>
      <c r="AQ21" s="837">
        <f t="shared" ref="AQ21" si="32">EOMONTH(AP21,1)</f>
        <v>46234</v>
      </c>
      <c r="AR21" s="837">
        <f t="shared" ref="AR21:AS21" si="33">EOMONTH(AQ21,1)</f>
        <v>46265</v>
      </c>
      <c r="AS21" s="838">
        <f t="shared" si="33"/>
        <v>46295</v>
      </c>
      <c r="AT21" s="211"/>
    </row>
    <row r="22" spans="1:46" s="1" customFormat="1" ht="17.25" thickBot="1">
      <c r="A22" s="946">
        <v>10610005</v>
      </c>
      <c r="B22" s="946" t="s">
        <v>593</v>
      </c>
      <c r="C22" s="946">
        <v>6115904000018</v>
      </c>
      <c r="D22" s="946">
        <v>100000003</v>
      </c>
      <c r="E22" s="946" t="s">
        <v>21</v>
      </c>
      <c r="F22" s="946" t="s">
        <v>11</v>
      </c>
      <c r="G22" s="947">
        <v>6000000</v>
      </c>
      <c r="H22" s="947">
        <v>6000000</v>
      </c>
      <c r="I22" s="949">
        <v>44859</v>
      </c>
      <c r="J22" s="949">
        <v>46318</v>
      </c>
      <c r="K22" s="949">
        <v>46136</v>
      </c>
      <c r="L22" s="29" t="e">
        <f>VLOOKUP(A22,'Account Mapping'!$A$2:$E$216,3,0)</f>
        <v>#N/A</v>
      </c>
      <c r="M22" s="25" t="e">
        <f>VLOOKUP(A22,'Account Mapping'!$A$2:$E$216,4,0)</f>
        <v>#N/A</v>
      </c>
      <c r="N22" s="26" t="e">
        <f>IF(OR(C22='Account Mapping'!$H$4,C22='Account Mapping'!$H$5,C22='Account Mapping'!$H$6),'Account Mapping'!$I$4,VLOOKUP(A22,'Account Mapping'!$A$2:$E$216,5,0))</f>
        <v>#N/A</v>
      </c>
      <c r="O22" s="27" t="e">
        <f>IF(OR(L22="Loan",L22="Deposit_Liability",L22="OFF_Unused Loan Commitment",L22="HQLA"),VLOOKUP(D22,'Customer Type'!$A$3:$C$38,3,0),"")</f>
        <v>#N/A</v>
      </c>
      <c r="P22" s="656" t="e">
        <f t="shared" si="2"/>
        <v>#N/A</v>
      </c>
      <c r="Q22" s="658">
        <f>IF(COUNTIF('Account Mapping'!$H$12:$H$45,A22)&gt;0,-H22,H22)</f>
        <v>6000000</v>
      </c>
      <c r="R22" s="249" t="e">
        <f>VLOOKUP(P22,Assumptions!$C$2:$D$64,2,0)</f>
        <v>#N/A</v>
      </c>
      <c r="S22" s="692">
        <f>IFERROR(VLOOKUP(A22,'Maturity Adjustment'!$A$3:$C$81,3,0),(IF(J22&lt;$N$4,"Tomorrow",J22)))</f>
        <v>46318</v>
      </c>
      <c r="T22" s="24">
        <f t="shared" si="27"/>
        <v>260</v>
      </c>
      <c r="U22" s="196" t="e">
        <f t="shared" si="4"/>
        <v>#N/A</v>
      </c>
      <c r="V22" s="11">
        <f>IFERROR(VLOOKUP(A22,'Maturity Adjustment'!$A$86:$C$91,3,0),S22)</f>
        <v>46318</v>
      </c>
      <c r="W22" s="207" t="e">
        <f>VLOOKUP(A22,'Account Mapping'!$A$2:$F$216,6,0)</f>
        <v>#N/A</v>
      </c>
      <c r="X22" s="194">
        <f t="shared" si="1"/>
        <v>0</v>
      </c>
      <c r="Y22" s="194">
        <f t="shared" si="5"/>
        <v>0</v>
      </c>
      <c r="Z22" s="13">
        <f t="shared" si="6"/>
        <v>0</v>
      </c>
      <c r="AA22" s="13">
        <f t="shared" si="7"/>
        <v>0</v>
      </c>
      <c r="AB22" s="13">
        <f t="shared" si="8"/>
        <v>0</v>
      </c>
      <c r="AC22" s="13">
        <f t="shared" si="9"/>
        <v>6000000</v>
      </c>
      <c r="AD22" s="13">
        <f t="shared" si="10"/>
        <v>0</v>
      </c>
      <c r="AE22" s="13">
        <f t="shared" si="11"/>
        <v>0</v>
      </c>
      <c r="AF22" s="13">
        <f t="shared" si="12"/>
        <v>0</v>
      </c>
      <c r="AG22" s="685">
        <f t="shared" si="13"/>
        <v>0</v>
      </c>
      <c r="AH22" s="688" t="b">
        <f t="shared" si="21"/>
        <v>1</v>
      </c>
      <c r="AJ22" s="1005"/>
      <c r="AK22" s="842" t="s">
        <v>3</v>
      </c>
      <c r="AL22" s="839">
        <f>EOMONTH(AL21,1)</f>
        <v>46112</v>
      </c>
      <c r="AM22" s="839">
        <f t="shared" ref="AM22:AS22" si="34">EOMONTH(AM21,1)</f>
        <v>46142</v>
      </c>
      <c r="AN22" s="839">
        <f t="shared" si="34"/>
        <v>46173</v>
      </c>
      <c r="AO22" s="839">
        <f t="shared" si="34"/>
        <v>46203</v>
      </c>
      <c r="AP22" s="839">
        <f t="shared" si="34"/>
        <v>46234</v>
      </c>
      <c r="AQ22" s="839">
        <f t="shared" si="34"/>
        <v>46265</v>
      </c>
      <c r="AR22" s="839">
        <f t="shared" si="34"/>
        <v>46295</v>
      </c>
      <c r="AS22" s="840">
        <f t="shared" si="34"/>
        <v>46326</v>
      </c>
      <c r="AT22" s="211"/>
    </row>
    <row r="23" spans="1:46" s="1" customFormat="1" ht="15.95" customHeight="1" thickTop="1" thickBot="1">
      <c r="A23" s="946">
        <v>10620001</v>
      </c>
      <c r="B23" s="946" t="s">
        <v>855</v>
      </c>
      <c r="C23" s="946">
        <v>6115904000139</v>
      </c>
      <c r="D23" s="946">
        <v>100000020</v>
      </c>
      <c r="E23" s="946" t="s">
        <v>857</v>
      </c>
      <c r="F23" s="946" t="s">
        <v>11</v>
      </c>
      <c r="G23" s="947">
        <v>8000000</v>
      </c>
      <c r="H23" s="947">
        <v>8000000</v>
      </c>
      <c r="I23" s="948">
        <v>45240</v>
      </c>
      <c r="J23" s="948">
        <v>48883</v>
      </c>
      <c r="K23" s="948">
        <v>46153</v>
      </c>
      <c r="L23" s="29" t="e">
        <f>VLOOKUP(A23,'Account Mapping'!$A$2:$E$216,3,0)</f>
        <v>#N/A</v>
      </c>
      <c r="M23" s="25" t="e">
        <f>VLOOKUP(A23,'Account Mapping'!$A$2:$E$216,4,0)</f>
        <v>#N/A</v>
      </c>
      <c r="N23" s="26" t="e">
        <f>IF(OR(C23='Account Mapping'!$H$4,C23='Account Mapping'!$H$5,C23='Account Mapping'!$H$6),'Account Mapping'!$I$4,VLOOKUP(A23,'Account Mapping'!$A$2:$E$216,5,0))</f>
        <v>#N/A</v>
      </c>
      <c r="O23" s="27" t="e">
        <f>IF(OR(L23="Loan",L23="Deposit_Liability",L23="OFF_Unused Loan Commitment",L23="HQLA"),VLOOKUP(D23,'Customer Type'!$A$3:$C$38,3,0),"")</f>
        <v>#N/A</v>
      </c>
      <c r="P23" s="656" t="e">
        <f t="shared" si="2"/>
        <v>#N/A</v>
      </c>
      <c r="Q23" s="658">
        <f>IF(COUNTIF('Account Mapping'!$H$12:$H$45,A23)&gt;0,-H23,H23)</f>
        <v>8000000</v>
      </c>
      <c r="R23" s="249" t="e">
        <f>VLOOKUP(P23,Assumptions!$C$2:$D$64,2,0)</f>
        <v>#N/A</v>
      </c>
      <c r="S23" s="692">
        <f>IFERROR(VLOOKUP(A23,'Maturity Adjustment'!$A$3:$C$81,3,0),(IF(J23&lt;$N$4,"Tomorrow",J23)))</f>
        <v>48883</v>
      </c>
      <c r="T23" s="24">
        <f t="shared" si="27"/>
        <v>2825</v>
      </c>
      <c r="U23" s="196" t="e">
        <f t="shared" si="4"/>
        <v>#N/A</v>
      </c>
      <c r="V23" s="11">
        <f>IFERROR(VLOOKUP(A23,'Maturity Adjustment'!$A$86:$C$91,3,0),S23)</f>
        <v>48883</v>
      </c>
      <c r="W23" s="207" t="e">
        <f>VLOOKUP(A23,'Account Mapping'!$A$2:$F$216,6,0)</f>
        <v>#N/A</v>
      </c>
      <c r="X23" s="194">
        <f t="shared" si="1"/>
        <v>0</v>
      </c>
      <c r="Y23" s="194">
        <f t="shared" si="5"/>
        <v>0</v>
      </c>
      <c r="Z23" s="13">
        <f t="shared" si="6"/>
        <v>0</v>
      </c>
      <c r="AA23" s="13">
        <f t="shared" si="7"/>
        <v>0</v>
      </c>
      <c r="AB23" s="13">
        <f t="shared" si="8"/>
        <v>0</v>
      </c>
      <c r="AC23" s="13">
        <f t="shared" si="9"/>
        <v>0</v>
      </c>
      <c r="AD23" s="13">
        <f t="shared" si="10"/>
        <v>0</v>
      </c>
      <c r="AE23" s="13">
        <f t="shared" si="11"/>
        <v>0</v>
      </c>
      <c r="AF23" s="13">
        <f t="shared" si="12"/>
        <v>8000000</v>
      </c>
      <c r="AG23" s="685">
        <f t="shared" si="13"/>
        <v>0</v>
      </c>
      <c r="AH23" s="688" t="b">
        <f t="shared" si="21"/>
        <v>1</v>
      </c>
      <c r="AJ23" s="694"/>
      <c r="AK23" s="7"/>
      <c r="AL23" s="211"/>
      <c r="AM23" s="211"/>
      <c r="AN23" s="211"/>
      <c r="AO23" s="211"/>
      <c r="AP23" s="211"/>
      <c r="AQ23" s="211"/>
      <c r="AR23" s="211"/>
      <c r="AS23" s="211"/>
      <c r="AT23" s="211"/>
    </row>
    <row r="24" spans="1:46" s="1" customFormat="1" ht="15" customHeight="1">
      <c r="A24" s="946">
        <v>10620001</v>
      </c>
      <c r="B24" s="946" t="s">
        <v>855</v>
      </c>
      <c r="C24" s="946">
        <v>6115904000300</v>
      </c>
      <c r="D24" s="946">
        <v>100000031</v>
      </c>
      <c r="E24" s="946" t="s">
        <v>1233</v>
      </c>
      <c r="F24" s="946" t="s">
        <v>11</v>
      </c>
      <c r="G24" s="947">
        <v>10000000</v>
      </c>
      <c r="H24" s="947">
        <v>10000000</v>
      </c>
      <c r="I24" s="949">
        <v>45463</v>
      </c>
      <c r="J24" s="949">
        <v>48005</v>
      </c>
      <c r="K24" s="949">
        <v>46195</v>
      </c>
      <c r="L24" s="29" t="e">
        <f>VLOOKUP(A24,'Account Mapping'!$A$2:$E$216,3,0)</f>
        <v>#N/A</v>
      </c>
      <c r="M24" s="25" t="e">
        <f>VLOOKUP(A24,'Account Mapping'!$A$2:$E$216,4,0)</f>
        <v>#N/A</v>
      </c>
      <c r="N24" s="26" t="e">
        <f>IF(OR(C24='Account Mapping'!$H$4,C24='Account Mapping'!$H$5,C24='Account Mapping'!$H$6),'Account Mapping'!$I$4,VLOOKUP(A24,'Account Mapping'!$A$2:$E$216,5,0))</f>
        <v>#N/A</v>
      </c>
      <c r="O24" s="27" t="e">
        <f>IF(OR(L24="Loan",L24="Deposit_Liability",L24="OFF_Unused Loan Commitment",L24="HQLA"),VLOOKUP(D24,'Customer Type'!$A$3:$C$38,3,0),"")</f>
        <v>#N/A</v>
      </c>
      <c r="P24" s="656" t="e">
        <f t="shared" si="2"/>
        <v>#N/A</v>
      </c>
      <c r="Q24" s="658">
        <f>IF(COUNTIF('Account Mapping'!$H$12:$H$45,A24)&gt;0,-H24,H24)</f>
        <v>10000000</v>
      </c>
      <c r="R24" s="249" t="e">
        <f>VLOOKUP(P24,Assumptions!$C$2:$D$64,2,0)</f>
        <v>#N/A</v>
      </c>
      <c r="S24" s="692">
        <f>IFERROR(VLOOKUP(A24,'Maturity Adjustment'!$A$3:$C$81,3,0),(IF(J24&lt;$N$4,"Tomorrow",J24)))</f>
        <v>48005</v>
      </c>
      <c r="T24" s="24">
        <f t="shared" ref="T24:T27" si="35">IF(S24="Tomorrow",1,(S24-$N$4))</f>
        <v>1947</v>
      </c>
      <c r="U24" s="196" t="e">
        <f t="shared" si="4"/>
        <v>#N/A</v>
      </c>
      <c r="V24" s="11">
        <f>IFERROR(VLOOKUP(A24,'Maturity Adjustment'!$A$86:$C$91,3,0),S24)</f>
        <v>48005</v>
      </c>
      <c r="W24" s="207" t="e">
        <f>VLOOKUP(A24,'Account Mapping'!$A$2:$F$216,6,0)</f>
        <v>#N/A</v>
      </c>
      <c r="X24" s="194">
        <f t="shared" si="1"/>
        <v>0</v>
      </c>
      <c r="Y24" s="194">
        <f t="shared" si="5"/>
        <v>0</v>
      </c>
      <c r="Z24" s="13">
        <f t="shared" si="6"/>
        <v>0</v>
      </c>
      <c r="AA24" s="13">
        <f t="shared" si="7"/>
        <v>0</v>
      </c>
      <c r="AB24" s="13">
        <f t="shared" si="8"/>
        <v>0</v>
      </c>
      <c r="AC24" s="13">
        <f t="shared" si="9"/>
        <v>0</v>
      </c>
      <c r="AD24" s="13">
        <f t="shared" si="10"/>
        <v>0</v>
      </c>
      <c r="AE24" s="13">
        <f t="shared" si="11"/>
        <v>0</v>
      </c>
      <c r="AF24" s="13">
        <f t="shared" si="12"/>
        <v>10000000</v>
      </c>
      <c r="AG24" s="685">
        <f t="shared" si="13"/>
        <v>0</v>
      </c>
      <c r="AH24" s="688" t="b">
        <f t="shared" si="21"/>
        <v>1</v>
      </c>
      <c r="AJ24" s="833"/>
      <c r="AK24" s="845"/>
      <c r="AL24" s="846">
        <f>AL12</f>
        <v>46081</v>
      </c>
      <c r="AM24" s="846">
        <f t="shared" ref="AM24:AS24" si="36">AM12</f>
        <v>46112</v>
      </c>
      <c r="AN24" s="846">
        <f t="shared" si="36"/>
        <v>46142</v>
      </c>
      <c r="AO24" s="846">
        <f t="shared" si="36"/>
        <v>46173</v>
      </c>
      <c r="AP24" s="846">
        <f t="shared" si="36"/>
        <v>46203</v>
      </c>
      <c r="AQ24" s="846">
        <f t="shared" si="36"/>
        <v>46234</v>
      </c>
      <c r="AR24" s="846">
        <f t="shared" si="36"/>
        <v>46265</v>
      </c>
      <c r="AS24" s="847">
        <f t="shared" si="36"/>
        <v>46295</v>
      </c>
      <c r="AT24" s="211"/>
    </row>
    <row r="25" spans="1:46" s="1" customFormat="1" ht="15" customHeight="1">
      <c r="A25" s="946">
        <v>10620001</v>
      </c>
      <c r="B25" s="946" t="s">
        <v>855</v>
      </c>
      <c r="C25" s="946">
        <v>6115904000395</v>
      </c>
      <c r="D25" s="946">
        <v>100000033</v>
      </c>
      <c r="E25" s="946" t="s">
        <v>1254</v>
      </c>
      <c r="F25" s="946" t="s">
        <v>26</v>
      </c>
      <c r="G25" s="947">
        <v>30000000</v>
      </c>
      <c r="H25" s="947">
        <v>42710706.149999999</v>
      </c>
      <c r="I25" s="949">
        <v>45565</v>
      </c>
      <c r="J25" s="949">
        <v>48136</v>
      </c>
      <c r="K25" s="949">
        <v>46107</v>
      </c>
      <c r="L25" s="29" t="e">
        <f>VLOOKUP(A25,'Account Mapping'!$A$2:$E$216,3,0)</f>
        <v>#N/A</v>
      </c>
      <c r="M25" s="25" t="e">
        <f>VLOOKUP(A25,'Account Mapping'!$A$2:$E$216,4,0)</f>
        <v>#N/A</v>
      </c>
      <c r="N25" s="26" t="e">
        <f>IF(OR(C25='Account Mapping'!$H$4,C25='Account Mapping'!$H$5,C25='Account Mapping'!$H$6),'Account Mapping'!$I$4,VLOOKUP(A25,'Account Mapping'!$A$2:$E$216,5,0))</f>
        <v>#N/A</v>
      </c>
      <c r="O25" s="27" t="e">
        <f>IF(OR(L25="Loan",L25="Deposit_Liability",L25="OFF_Unused Loan Commitment",L25="HQLA"),VLOOKUP(D25,'Customer Type'!$A$3:$C$38,3,0),"")</f>
        <v>#N/A</v>
      </c>
      <c r="P25" s="656" t="e">
        <f t="shared" si="2"/>
        <v>#N/A</v>
      </c>
      <c r="Q25" s="658">
        <f>IF(COUNTIF('Account Mapping'!$H$12:$H$45,A25)&gt;0,-H25,H25)</f>
        <v>42710706.149999999</v>
      </c>
      <c r="R25" s="249" t="e">
        <f>VLOOKUP(P25,Assumptions!$C$2:$D$64,2,0)</f>
        <v>#N/A</v>
      </c>
      <c r="S25" s="692">
        <f>IFERROR(VLOOKUP(A25,'Maturity Adjustment'!$A$3:$C$81,3,0),(IF(J25&lt;$N$4,"Tomorrow",J25)))</f>
        <v>48136</v>
      </c>
      <c r="T25" s="24">
        <f t="shared" si="35"/>
        <v>2078</v>
      </c>
      <c r="U25" s="196" t="e">
        <f t="shared" si="4"/>
        <v>#N/A</v>
      </c>
      <c r="V25" s="11">
        <f>IFERROR(VLOOKUP(A25,'Maturity Adjustment'!$A$86:$C$91,3,0),S25)</f>
        <v>48136</v>
      </c>
      <c r="W25" s="207" t="e">
        <f>VLOOKUP(A25,'Account Mapping'!$A$2:$F$216,6,0)</f>
        <v>#N/A</v>
      </c>
      <c r="X25" s="194">
        <f t="shared" si="1"/>
        <v>0</v>
      </c>
      <c r="Y25" s="194">
        <f t="shared" si="5"/>
        <v>0</v>
      </c>
      <c r="Z25" s="13">
        <f t="shared" si="6"/>
        <v>0</v>
      </c>
      <c r="AA25" s="13">
        <f t="shared" si="7"/>
        <v>0</v>
      </c>
      <c r="AB25" s="13">
        <f t="shared" si="8"/>
        <v>0</v>
      </c>
      <c r="AC25" s="13">
        <f t="shared" si="9"/>
        <v>0</v>
      </c>
      <c r="AD25" s="13">
        <f t="shared" si="10"/>
        <v>0</v>
      </c>
      <c r="AE25" s="13">
        <f t="shared" si="11"/>
        <v>0</v>
      </c>
      <c r="AF25" s="13">
        <f t="shared" si="12"/>
        <v>42710706.149999999</v>
      </c>
      <c r="AG25" s="685">
        <f t="shared" si="13"/>
        <v>0</v>
      </c>
      <c r="AH25" s="688" t="b">
        <f t="shared" si="21"/>
        <v>1</v>
      </c>
      <c r="AJ25" s="833"/>
      <c r="AK25" s="848" t="s">
        <v>0</v>
      </c>
      <c r="AL25" s="844">
        <f>SUMIFS($H$7:$H$874,$W$7:$W$874,AK25,$V$7:$V$874,"&gt;"&amp;AL21,$V$7:$V$874,"&lt;="&amp;AL22)+SUMIFS($H$7:$H$874,$W$7:$W$874,AK25,$V$7:$V$874,"Tomorrow")</f>
        <v>0</v>
      </c>
      <c r="AM25" s="844">
        <f>SUMIFS($H$7:$H$874,$W$7:$W$874,AK25,$V$7:$V$874,"&gt;"&amp;AM21,$V$7:$V$874,"&lt;="&amp;AM22)+SUMIFS($H$7:$H$874,$W$7:$W$874,AK25,$V$7:$V$874,"Tomorrow")</f>
        <v>0</v>
      </c>
      <c r="AN25" s="844">
        <f>SUMIFS($H$7:$H$874,$W$7:$W$874,AK25,$V$7:$V$874,"&gt;"&amp;AN21,$V$7:$V$874,"&lt;="&amp;AN22)+SUMIFS($H$7:$H$874,$W$7:$W$874,AK25,$V$7:$V$874,"Tomorrow")</f>
        <v>0</v>
      </c>
      <c r="AO25" s="844">
        <f>SUMIFS($H$7:$H$874,$W$7:$W$874,AK25,$V$7:$V$874,"&gt;"&amp;AO21,$V$7:$V$874,"&lt;="&amp;AO22)+SUMIFS($H$7:$H$874,$W$7:$W$874,AK25,$V$7:$V$874,"Tomorrow")</f>
        <v>0</v>
      </c>
      <c r="AP25" s="844">
        <f>SUMIFS($H$7:$H$874,$W$7:$W$874,AK25,$V$7:$V$874,"&gt;"&amp;AP21,$V$7:$V$874,"&lt;="&amp;AP22)+SUMIFS($H$7:$H$874,$W$7:$W$874,AK25,$V$7:$V$874,"Tomorrow")</f>
        <v>0</v>
      </c>
      <c r="AQ25" s="844">
        <f>SUMIFS($H$7:$H$874,$W$7:$W$874,AK25,$V$7:$V$874,"&gt;"&amp;AQ21,$V$7:$V$874,"&lt;="&amp;AQ22)+SUMIFS($H$7:$H$874,$W$7:$W$874,AK25,$V$7:$V$874,"Tomorrow")</f>
        <v>0</v>
      </c>
      <c r="AR25" s="844">
        <f>SUMIFS($H$7:$H$874,$W$7:$W$874,AK25,$V$7:$V$874,"&gt;"&amp;AR21,$V$7:$V$874,"&lt;="&amp;AR22)+SUMIFS($H$7:$H$874,$W$7:$W$874,AK25,$V$7:$V$874,"Tomorrow")</f>
        <v>0</v>
      </c>
      <c r="AS25" s="849">
        <f>SUMIFS($H$7:$H$874,$W$7:$W$874,AK25,$V$7:$V$874,"&gt;"&amp;AS21,$V$7:$V$874,"&lt;="&amp;AS22)+SUMIFS($H$7:$H$874,$W$7:$W$874,AK25,$V$7:$V$874,"Tomorrow")</f>
        <v>0</v>
      </c>
      <c r="AT25" s="211"/>
    </row>
    <row r="26" spans="1:46" s="1" customFormat="1" ht="15" customHeight="1" thickBot="1">
      <c r="A26" s="946">
        <v>10620001</v>
      </c>
      <c r="B26" s="946" t="s">
        <v>855</v>
      </c>
      <c r="C26" s="946">
        <v>6115904000452</v>
      </c>
      <c r="D26" s="946">
        <v>100000035</v>
      </c>
      <c r="E26" s="946" t="s">
        <v>1277</v>
      </c>
      <c r="F26" s="946" t="s">
        <v>11</v>
      </c>
      <c r="G26" s="947">
        <v>20000000</v>
      </c>
      <c r="H26" s="947">
        <v>20000000</v>
      </c>
      <c r="I26" s="949">
        <v>45629</v>
      </c>
      <c r="J26" s="949">
        <v>48185</v>
      </c>
      <c r="K26" s="949">
        <v>46084</v>
      </c>
      <c r="L26" s="29" t="e">
        <f>VLOOKUP(A26,'Account Mapping'!$A$2:$E$216,3,0)</f>
        <v>#N/A</v>
      </c>
      <c r="M26" s="25" t="e">
        <f>VLOOKUP(A26,'Account Mapping'!$A$2:$E$216,4,0)</f>
        <v>#N/A</v>
      </c>
      <c r="N26" s="26" t="e">
        <f>IF(OR(C26='Account Mapping'!$H$4,C26='Account Mapping'!$H$5,C26='Account Mapping'!$H$6),'Account Mapping'!$I$4,VLOOKUP(A26,'Account Mapping'!$A$2:$E$216,5,0))</f>
        <v>#N/A</v>
      </c>
      <c r="O26" s="27" t="e">
        <f>IF(OR(L26="Loan",L26="Deposit_Liability",L26="OFF_Unused Loan Commitment",L26="HQLA"),VLOOKUP(D26,'Customer Type'!$A$3:$C$38,3,0),"")</f>
        <v>#N/A</v>
      </c>
      <c r="P26" s="656" t="e">
        <f t="shared" si="2"/>
        <v>#N/A</v>
      </c>
      <c r="Q26" s="658">
        <f>IF(COUNTIF('Account Mapping'!$H$12:$H$45,A26)&gt;0,-H26,H26)</f>
        <v>20000000</v>
      </c>
      <c r="R26" s="249" t="e">
        <f>VLOOKUP(P26,Assumptions!$C$2:$D$64,2,0)</f>
        <v>#N/A</v>
      </c>
      <c r="S26" s="692">
        <f>IFERROR(VLOOKUP(A26,'Maturity Adjustment'!$A$3:$C$81,3,0),(IF(J26&lt;$N$4,"Tomorrow",J26)))</f>
        <v>48185</v>
      </c>
      <c r="T26" s="24">
        <f t="shared" si="35"/>
        <v>2127</v>
      </c>
      <c r="U26" s="196" t="e">
        <f t="shared" si="4"/>
        <v>#N/A</v>
      </c>
      <c r="V26" s="11">
        <f>IFERROR(VLOOKUP(A26,'Maturity Adjustment'!$A$86:$C$91,3,0),S26)</f>
        <v>48185</v>
      </c>
      <c r="W26" s="207" t="e">
        <f>VLOOKUP(A26,'Account Mapping'!$A$2:$F$216,6,0)</f>
        <v>#N/A</v>
      </c>
      <c r="X26" s="194">
        <f t="shared" si="1"/>
        <v>0</v>
      </c>
      <c r="Y26" s="194">
        <f t="shared" si="5"/>
        <v>0</v>
      </c>
      <c r="Z26" s="13">
        <f t="shared" si="6"/>
        <v>0</v>
      </c>
      <c r="AA26" s="13">
        <f t="shared" si="7"/>
        <v>0</v>
      </c>
      <c r="AB26" s="13">
        <f t="shared" si="8"/>
        <v>0</v>
      </c>
      <c r="AC26" s="13">
        <f t="shared" si="9"/>
        <v>0</v>
      </c>
      <c r="AD26" s="13">
        <f t="shared" si="10"/>
        <v>0</v>
      </c>
      <c r="AE26" s="13">
        <f t="shared" si="11"/>
        <v>0</v>
      </c>
      <c r="AF26" s="13">
        <f t="shared" si="12"/>
        <v>20000000</v>
      </c>
      <c r="AG26" s="685">
        <f t="shared" si="13"/>
        <v>0</v>
      </c>
      <c r="AH26" s="688" t="b">
        <f t="shared" si="21"/>
        <v>1</v>
      </c>
      <c r="AJ26" s="833"/>
      <c r="AK26" s="861" t="s">
        <v>1</v>
      </c>
      <c r="AL26" s="862">
        <f>SUMIFS($H$7:$H$874,$W$7:$W$874,AK26,$V$7:$V$874,"&gt;"&amp;AL21,$V$7:$V$874,"&lt;="&amp;AL22)+SUMIFS($H$7:$H$874,$W$7:$W$874,AK26,$V$7:$V$874,"Tomorrow")</f>
        <v>0</v>
      </c>
      <c r="AM26" s="863">
        <f>SUMIFS($H$7:$H$874,$W$7:$W$874,AK26,$V$7:$V$874,"&gt;"&amp;AM21,$V$7:$V$874,"&lt;="&amp;AM22)+SUMIFS($H$7:$H$874,$W$7:$W$874,AK26,$V$7:$V$874,"Tomorrow")</f>
        <v>0</v>
      </c>
      <c r="AN26" s="863">
        <f>SUMIFS($H$7:$H$874,$W$7:$W$874,AK26,$V$7:$V$874,"&gt;"&amp;AN21,$V$7:$V$874,"&lt;="&amp;AN22)+SUMIFS($H$7:$H$874,$W$7:$W$874,AK26,$V$7:$V$874,"Tomorrow")</f>
        <v>0</v>
      </c>
      <c r="AO26" s="863">
        <f>SUMIFS($H$7:$H$874,$W$7:$W$874,AK26,$V$7:$V$874,"&gt;"&amp;AO21,$V$7:$V$874,"&lt;="&amp;AO22)+SUMIFS($H$7:$H$874,$W$7:$W$874,AK26,$V$7:$V$874,"Tomorrow")</f>
        <v>0</v>
      </c>
      <c r="AP26" s="863">
        <f>SUMIFS($H$7:$H$874,$W$7:$W$874,AK26,$V$7:$V$874,"&gt;"&amp;AP21,$V$7:$V$874,"&lt;="&amp;AP22)+SUMIFS($H$7:$H$874,$W$7:$W$874,AK26,$V$7:$V$874,"Tomorrow")</f>
        <v>0</v>
      </c>
      <c r="AQ26" s="863">
        <f>SUMIFS($H$7:$H$874,$W$7:$W$874,AK26,$V$7:$V$874,"&gt;"&amp;AQ21,$V$7:$V$874,"&lt;="&amp;AQ22)+SUMIFS($H$7:$H$874,$W$7:$W$874,AK26,$V$7:$V$874,"Tomorrow")</f>
        <v>0</v>
      </c>
      <c r="AR26" s="863">
        <f>SUMIFS($H$7:$H$874,$W$7:$W$874,AK26,$V$7:$V$874,"&gt;"&amp;AR21,$V$7:$V$874,"&lt;="&amp;AR22)+SUMIFS($H$7:$H$874,$W$7:$W$874,AK26,$V$7:$V$874,"Tomorrow")</f>
        <v>0</v>
      </c>
      <c r="AS26" s="864">
        <f>SUMIFS($H$7:$H$874,$W$7:$W$874,AK26,$V$7:$V$874,"&gt;"&amp;AS21,$V$7:$V$874,"&lt;="&amp;AS22)+SUMIFS($H$7:$H$874,$W$7:$W$874,AK26,$V$7:$V$874,"Tomorrow")</f>
        <v>0</v>
      </c>
      <c r="AT26" s="211"/>
    </row>
    <row r="27" spans="1:46" s="1" customFormat="1" ht="15" customHeight="1" thickTop="1" thickBot="1">
      <c r="A27" s="946">
        <v>10620001</v>
      </c>
      <c r="B27" s="946" t="s">
        <v>855</v>
      </c>
      <c r="C27" s="946">
        <v>6115904000573</v>
      </c>
      <c r="D27" s="946">
        <v>100000039</v>
      </c>
      <c r="E27" s="946" t="s">
        <v>1431</v>
      </c>
      <c r="F27" s="946" t="s">
        <v>11</v>
      </c>
      <c r="G27" s="947">
        <v>5000000</v>
      </c>
      <c r="H27" s="947">
        <v>5000000</v>
      </c>
      <c r="I27" s="949">
        <v>45791</v>
      </c>
      <c r="J27" s="949">
        <v>48341</v>
      </c>
      <c r="K27" s="949">
        <v>46066</v>
      </c>
      <c r="L27" s="29" t="e">
        <f>VLOOKUP(A27,'Account Mapping'!$A$2:$E$216,3,0)</f>
        <v>#N/A</v>
      </c>
      <c r="M27" s="25" t="e">
        <f>VLOOKUP(A27,'Account Mapping'!$A$2:$E$216,4,0)</f>
        <v>#N/A</v>
      </c>
      <c r="N27" s="26" t="e">
        <f>IF(OR(C27='Account Mapping'!$H$4,C27='Account Mapping'!$H$5,C27='Account Mapping'!$H$6),'Account Mapping'!$I$4,VLOOKUP(A27,'Account Mapping'!$A$2:$E$216,5,0))</f>
        <v>#N/A</v>
      </c>
      <c r="O27" s="27" t="e">
        <f>IF(OR(L27="Loan",L27="Deposit_Liability",L27="OFF_Unused Loan Commitment",L27="HQLA"),VLOOKUP(D27,'Customer Type'!$A$3:$C$38,3,0),"")</f>
        <v>#N/A</v>
      </c>
      <c r="P27" s="656" t="e">
        <f t="shared" si="2"/>
        <v>#N/A</v>
      </c>
      <c r="Q27" s="658">
        <f>IF(COUNTIF('Account Mapping'!$H$12:$H$45,A27)&gt;0,-H27,H27)</f>
        <v>5000000</v>
      </c>
      <c r="R27" s="249" t="e">
        <f>VLOOKUP(P27,Assumptions!$C$2:$D$64,2,0)</f>
        <v>#N/A</v>
      </c>
      <c r="S27" s="692">
        <f>IFERROR(VLOOKUP(A27,'Maturity Adjustment'!$A$3:$C$81,3,0),(IF(J27&lt;$N$4,"Tomorrow",J27)))</f>
        <v>48341</v>
      </c>
      <c r="T27" s="24">
        <f t="shared" si="35"/>
        <v>2283</v>
      </c>
      <c r="U27" s="196" t="e">
        <f t="shared" si="4"/>
        <v>#N/A</v>
      </c>
      <c r="V27" s="11">
        <f>IFERROR(VLOOKUP(A27,'Maturity Adjustment'!$A$86:$C$91,3,0),S27)</f>
        <v>48341</v>
      </c>
      <c r="W27" s="207" t="e">
        <f>VLOOKUP(A27,'Account Mapping'!$A$2:$F$216,6,0)</f>
        <v>#N/A</v>
      </c>
      <c r="X27" s="194">
        <f t="shared" si="1"/>
        <v>0</v>
      </c>
      <c r="Y27" s="194">
        <f t="shared" si="5"/>
        <v>0</v>
      </c>
      <c r="Z27" s="13">
        <f t="shared" si="6"/>
        <v>0</v>
      </c>
      <c r="AA27" s="13">
        <f t="shared" si="7"/>
        <v>0</v>
      </c>
      <c r="AB27" s="13">
        <f t="shared" si="8"/>
        <v>0</v>
      </c>
      <c r="AC27" s="13">
        <f t="shared" si="9"/>
        <v>0</v>
      </c>
      <c r="AD27" s="13">
        <f t="shared" si="10"/>
        <v>0</v>
      </c>
      <c r="AE27" s="13">
        <f t="shared" si="11"/>
        <v>0</v>
      </c>
      <c r="AF27" s="13">
        <f t="shared" si="12"/>
        <v>5000000</v>
      </c>
      <c r="AG27" s="685">
        <f t="shared" si="13"/>
        <v>0</v>
      </c>
      <c r="AH27" s="688" t="b">
        <f t="shared" si="21"/>
        <v>1</v>
      </c>
      <c r="AJ27" s="833"/>
      <c r="AK27" s="869" t="s">
        <v>1566</v>
      </c>
      <c r="AL27" s="870">
        <f>AL25-AL26</f>
        <v>0</v>
      </c>
      <c r="AM27" s="870">
        <f t="shared" ref="AM27:AR27" si="37">AM25-AM26</f>
        <v>0</v>
      </c>
      <c r="AN27" s="870">
        <f t="shared" si="37"/>
        <v>0</v>
      </c>
      <c r="AO27" s="870">
        <f t="shared" si="37"/>
        <v>0</v>
      </c>
      <c r="AP27" s="870">
        <f t="shared" si="37"/>
        <v>0</v>
      </c>
      <c r="AQ27" s="870">
        <f t="shared" si="37"/>
        <v>0</v>
      </c>
      <c r="AR27" s="870">
        <f t="shared" si="37"/>
        <v>0</v>
      </c>
      <c r="AS27" s="871">
        <f t="shared" ref="AS27" si="38">AS25-AS26</f>
        <v>0</v>
      </c>
      <c r="AT27" s="211"/>
    </row>
    <row r="28" spans="1:46" s="1" customFormat="1" ht="14.65" customHeight="1" thickTop="1">
      <c r="A28" s="946">
        <v>10620001</v>
      </c>
      <c r="B28" s="946" t="s">
        <v>855</v>
      </c>
      <c r="C28" s="946">
        <v>6115904000609</v>
      </c>
      <c r="D28" s="946">
        <v>100000040</v>
      </c>
      <c r="E28" s="946" t="s">
        <v>1441</v>
      </c>
      <c r="F28" s="946" t="s">
        <v>11</v>
      </c>
      <c r="G28" s="947">
        <v>35000000</v>
      </c>
      <c r="H28" s="947">
        <v>35000000</v>
      </c>
      <c r="I28" s="949">
        <v>45828</v>
      </c>
      <c r="J28" s="949">
        <v>48383</v>
      </c>
      <c r="K28" s="949">
        <v>46080</v>
      </c>
      <c r="L28" s="29" t="e">
        <f>VLOOKUP(A28,'Account Mapping'!$A$2:$E$216,3,0)</f>
        <v>#N/A</v>
      </c>
      <c r="M28" s="25" t="e">
        <f>VLOOKUP(A28,'Account Mapping'!$A$2:$E$216,4,0)</f>
        <v>#N/A</v>
      </c>
      <c r="N28" s="26" t="e">
        <f>IF(OR(C28='Account Mapping'!$H$4,C28='Account Mapping'!$H$5,C28='Account Mapping'!$H$6),'Account Mapping'!$I$4,VLOOKUP(A28,'Account Mapping'!$A$2:$E$216,5,0))</f>
        <v>#N/A</v>
      </c>
      <c r="O28" s="27" t="e">
        <f>IF(OR(L28="Loan",L28="Deposit_Liability",L28="OFF_Unused Loan Commitment",L28="HQLA"),VLOOKUP(D28,'Customer Type'!$A$3:$C$38,3,0),"")</f>
        <v>#N/A</v>
      </c>
      <c r="P28" s="656" t="e">
        <f t="shared" si="2"/>
        <v>#N/A</v>
      </c>
      <c r="Q28" s="658">
        <f>IF(COUNTIF('Account Mapping'!$H$12:$H$45,A28)&gt;0,-H28,H28)</f>
        <v>35000000</v>
      </c>
      <c r="R28" s="249" t="e">
        <f>VLOOKUP(P28,Assumptions!$C$2:$D$64,2,0)</f>
        <v>#N/A</v>
      </c>
      <c r="S28" s="692">
        <f>IFERROR(VLOOKUP(A28,'Maturity Adjustment'!$A$3:$C$81,3,0),(IF(J28&lt;$N$4,"Tomorrow",J28)))</f>
        <v>48383</v>
      </c>
      <c r="T28" s="24">
        <f t="shared" si="18"/>
        <v>2325</v>
      </c>
      <c r="U28" s="196" t="e">
        <f t="shared" si="4"/>
        <v>#N/A</v>
      </c>
      <c r="V28" s="11">
        <f>IFERROR(VLOOKUP(A28,'Maturity Adjustment'!$A$86:$C$91,3,0),S28)</f>
        <v>48383</v>
      </c>
      <c r="W28" s="207" t="e">
        <f>VLOOKUP(A28,'Account Mapping'!$A$2:$F$216,6,0)</f>
        <v>#N/A</v>
      </c>
      <c r="X28" s="194">
        <f t="shared" si="1"/>
        <v>0</v>
      </c>
      <c r="Y28" s="194">
        <f t="shared" si="5"/>
        <v>0</v>
      </c>
      <c r="Z28" s="13">
        <f t="shared" si="6"/>
        <v>0</v>
      </c>
      <c r="AA28" s="13">
        <f t="shared" si="7"/>
        <v>0</v>
      </c>
      <c r="AB28" s="13">
        <f t="shared" si="8"/>
        <v>0</v>
      </c>
      <c r="AC28" s="13">
        <f t="shared" si="9"/>
        <v>0</v>
      </c>
      <c r="AD28" s="13">
        <f t="shared" si="10"/>
        <v>0</v>
      </c>
      <c r="AE28" s="13">
        <f t="shared" si="11"/>
        <v>0</v>
      </c>
      <c r="AF28" s="13">
        <f t="shared" si="12"/>
        <v>35000000</v>
      </c>
      <c r="AG28" s="685">
        <f t="shared" si="13"/>
        <v>0</v>
      </c>
      <c r="AH28" s="688" t="b">
        <f t="shared" si="21"/>
        <v>1</v>
      </c>
      <c r="AJ28" s="833"/>
      <c r="AK28" s="865" t="s">
        <v>1572</v>
      </c>
      <c r="AL28" s="866">
        <f>AL16</f>
        <v>0</v>
      </c>
      <c r="AM28" s="867">
        <f t="shared" ref="AM28" si="39">AL28</f>
        <v>0</v>
      </c>
      <c r="AN28" s="867">
        <f t="shared" ref="AN28" si="40">AM28</f>
        <v>0</v>
      </c>
      <c r="AO28" s="867">
        <f t="shared" ref="AO28" si="41">AN28</f>
        <v>0</v>
      </c>
      <c r="AP28" s="867">
        <f t="shared" ref="AP28" si="42">AO28</f>
        <v>0</v>
      </c>
      <c r="AQ28" s="867">
        <f t="shared" ref="AQ28" si="43">AP28</f>
        <v>0</v>
      </c>
      <c r="AR28" s="867">
        <f t="shared" ref="AR28:AS28" si="44">AQ28</f>
        <v>0</v>
      </c>
      <c r="AS28" s="868">
        <f t="shared" si="44"/>
        <v>0</v>
      </c>
      <c r="AT28" s="211"/>
    </row>
    <row r="29" spans="1:46" ht="20.100000000000001" customHeight="1" thickBot="1">
      <c r="A29" s="946">
        <v>10620001</v>
      </c>
      <c r="B29" s="946" t="s">
        <v>855</v>
      </c>
      <c r="C29" s="946">
        <v>6115904000623</v>
      </c>
      <c r="D29" s="946">
        <v>100000020</v>
      </c>
      <c r="E29" s="946" t="s">
        <v>857</v>
      </c>
      <c r="F29" s="946" t="s">
        <v>11</v>
      </c>
      <c r="G29" s="947">
        <v>20000000</v>
      </c>
      <c r="H29" s="947">
        <v>20000000</v>
      </c>
      <c r="I29" s="949">
        <v>45833</v>
      </c>
      <c r="J29" s="949">
        <v>48426</v>
      </c>
      <c r="K29" s="949">
        <v>46153</v>
      </c>
      <c r="L29" s="29" t="e">
        <f>VLOOKUP(A29,'Account Mapping'!$A$2:$E$216,3,0)</f>
        <v>#N/A</v>
      </c>
      <c r="M29" s="25" t="e">
        <f>VLOOKUP(A29,'Account Mapping'!$A$2:$E$216,4,0)</f>
        <v>#N/A</v>
      </c>
      <c r="N29" s="26" t="e">
        <f>IF(OR(C29='Account Mapping'!$H$4,C29='Account Mapping'!$H$5,C29='Account Mapping'!$H$6),'Account Mapping'!$I$4,VLOOKUP(A29,'Account Mapping'!$A$2:$E$216,5,0))</f>
        <v>#N/A</v>
      </c>
      <c r="O29" s="25" t="e">
        <f>IF(OR(L29="Loan",L29="Deposit_Liability",L29="OFF_Unused Loan Commitment",L29="HQLA"),VLOOKUP(D29,'Customer Type'!$A$3:$C$38,3,0),"")</f>
        <v>#N/A</v>
      </c>
      <c r="P29" s="656" t="e">
        <f t="shared" si="2"/>
        <v>#N/A</v>
      </c>
      <c r="Q29" s="658">
        <f>IF(COUNTIF('Account Mapping'!$H$12:$H$45,A29)&gt;0,-H29,H29)</f>
        <v>20000000</v>
      </c>
      <c r="R29" s="249" t="e">
        <f>VLOOKUP(P29,Assumptions!$C$2:$D$64,2,0)</f>
        <v>#N/A</v>
      </c>
      <c r="S29" s="692">
        <f>IFERROR(VLOOKUP(A29,'Maturity Adjustment'!$A$3:$C$81,3,0),(IF(J29&lt;$N$4,"Tomorrow",J29)))</f>
        <v>48426</v>
      </c>
      <c r="T29" s="24">
        <f t="shared" si="18"/>
        <v>2368</v>
      </c>
      <c r="U29" s="196" t="e">
        <f t="shared" si="4"/>
        <v>#N/A</v>
      </c>
      <c r="V29" s="11">
        <f>IFERROR(VLOOKUP(A29,'Maturity Adjustment'!$A$86:$C$91,3,0),S29)</f>
        <v>48426</v>
      </c>
      <c r="W29" s="207" t="e">
        <f>VLOOKUP(A29,'Account Mapping'!$A$2:$F$216,6,0)</f>
        <v>#N/A</v>
      </c>
      <c r="X29" s="194">
        <f t="shared" si="1"/>
        <v>0</v>
      </c>
      <c r="Y29" s="194">
        <f t="shared" si="5"/>
        <v>0</v>
      </c>
      <c r="Z29" s="13">
        <f t="shared" si="6"/>
        <v>0</v>
      </c>
      <c r="AA29" s="13">
        <f t="shared" si="7"/>
        <v>0</v>
      </c>
      <c r="AB29" s="13">
        <f t="shared" si="8"/>
        <v>0</v>
      </c>
      <c r="AC29" s="13">
        <f t="shared" si="9"/>
        <v>0</v>
      </c>
      <c r="AD29" s="13">
        <f t="shared" si="10"/>
        <v>0</v>
      </c>
      <c r="AE29" s="13">
        <f t="shared" si="11"/>
        <v>0</v>
      </c>
      <c r="AF29" s="13">
        <f t="shared" si="12"/>
        <v>20000000</v>
      </c>
      <c r="AG29" s="685">
        <f t="shared" si="13"/>
        <v>0</v>
      </c>
      <c r="AH29" s="688" t="b">
        <f t="shared" si="21"/>
        <v>1</v>
      </c>
      <c r="AJ29" s="833"/>
      <c r="AK29" s="880" t="s">
        <v>1571</v>
      </c>
      <c r="AL29" s="881" t="e">
        <f t="shared" ref="AL29:AR29" si="45">AL27/AL28</f>
        <v>#DIV/0!</v>
      </c>
      <c r="AM29" s="881" t="e">
        <f t="shared" si="45"/>
        <v>#DIV/0!</v>
      </c>
      <c r="AN29" s="881" t="e">
        <f t="shared" si="45"/>
        <v>#DIV/0!</v>
      </c>
      <c r="AO29" s="881" t="e">
        <f t="shared" si="45"/>
        <v>#DIV/0!</v>
      </c>
      <c r="AP29" s="881" t="e">
        <f t="shared" si="45"/>
        <v>#DIV/0!</v>
      </c>
      <c r="AQ29" s="881" t="e">
        <f t="shared" si="45"/>
        <v>#DIV/0!</v>
      </c>
      <c r="AR29" s="881" t="e">
        <f t="shared" si="45"/>
        <v>#DIV/0!</v>
      </c>
      <c r="AS29" s="882" t="e">
        <f t="shared" ref="AS29" si="46">AS27/AS28</f>
        <v>#DIV/0!</v>
      </c>
      <c r="AT29" s="211"/>
    </row>
    <row r="30" spans="1:46" s="1" customFormat="1" ht="17.25" thickBot="1">
      <c r="A30" s="946">
        <v>10620001</v>
      </c>
      <c r="B30" s="946" t="s">
        <v>855</v>
      </c>
      <c r="C30" s="946">
        <v>6115904000705</v>
      </c>
      <c r="D30" s="946">
        <v>100000039</v>
      </c>
      <c r="E30" s="946" t="s">
        <v>1431</v>
      </c>
      <c r="F30" s="946" t="s">
        <v>11</v>
      </c>
      <c r="G30" s="947">
        <v>5000000</v>
      </c>
      <c r="H30" s="947">
        <v>5000000</v>
      </c>
      <c r="I30" s="949">
        <v>45924</v>
      </c>
      <c r="J30" s="949">
        <v>48487</v>
      </c>
      <c r="K30" s="949">
        <v>46105</v>
      </c>
      <c r="L30" s="29" t="e">
        <f>VLOOKUP(A30,'Account Mapping'!$A$2:$E$216,3,0)</f>
        <v>#N/A</v>
      </c>
      <c r="M30" s="25" t="e">
        <f>VLOOKUP(A30,'Account Mapping'!$A$2:$E$216,4,0)</f>
        <v>#N/A</v>
      </c>
      <c r="N30" s="26" t="e">
        <f>IF(OR(C30='Account Mapping'!$H$4,C30='Account Mapping'!$H$5,C30='Account Mapping'!$H$6),'Account Mapping'!$I$4,VLOOKUP(A30,'Account Mapping'!$A$2:$E$216,5,0))</f>
        <v>#N/A</v>
      </c>
      <c r="O30" s="27" t="e">
        <f>IF(OR(L30="Loan",L30="Deposit_Liability",L30="OFF_Unused Loan Commitment",L30="HQLA"),VLOOKUP(D30,'Customer Type'!$A$3:$C$38,3,0),"")</f>
        <v>#N/A</v>
      </c>
      <c r="P30" s="656" t="e">
        <f t="shared" si="2"/>
        <v>#N/A</v>
      </c>
      <c r="Q30" s="658">
        <f>IF(COUNTIF('Account Mapping'!$H$12:$H$45,A30)&gt;0,-H30,H30)</f>
        <v>5000000</v>
      </c>
      <c r="R30" s="249" t="e">
        <f>VLOOKUP(P30,Assumptions!$C$2:$D$64,2,0)</f>
        <v>#N/A</v>
      </c>
      <c r="S30" s="692">
        <f>IFERROR(VLOOKUP(A30,'Maturity Adjustment'!$A$3:$C$81,3,0),(IF(J30&lt;$N$4,"Tomorrow",J30)))</f>
        <v>48487</v>
      </c>
      <c r="T30" s="24">
        <f t="shared" si="18"/>
        <v>2429</v>
      </c>
      <c r="U30" s="196" t="e">
        <f t="shared" si="4"/>
        <v>#N/A</v>
      </c>
      <c r="V30" s="11">
        <f>IFERROR(VLOOKUP(A30,'Maturity Adjustment'!$A$86:$C$91,3,0),S30)</f>
        <v>48487</v>
      </c>
      <c r="W30" s="207" t="e">
        <f>VLOOKUP(A30,'Account Mapping'!$A$2:$F$216,6,0)</f>
        <v>#N/A</v>
      </c>
      <c r="X30" s="194">
        <f t="shared" si="1"/>
        <v>0</v>
      </c>
      <c r="Y30" s="194">
        <f t="shared" si="5"/>
        <v>0</v>
      </c>
      <c r="Z30" s="13">
        <f t="shared" si="6"/>
        <v>0</v>
      </c>
      <c r="AA30" s="13">
        <f t="shared" si="7"/>
        <v>0</v>
      </c>
      <c r="AB30" s="13">
        <f t="shared" si="8"/>
        <v>0</v>
      </c>
      <c r="AC30" s="13">
        <f t="shared" si="9"/>
        <v>0</v>
      </c>
      <c r="AD30" s="13">
        <f t="shared" si="10"/>
        <v>0</v>
      </c>
      <c r="AE30" s="13">
        <f t="shared" si="11"/>
        <v>0</v>
      </c>
      <c r="AF30" s="13">
        <f t="shared" si="12"/>
        <v>5000000</v>
      </c>
      <c r="AG30" s="685">
        <f t="shared" si="13"/>
        <v>0</v>
      </c>
      <c r="AH30" s="688" t="b">
        <f t="shared" si="21"/>
        <v>1</v>
      </c>
      <c r="AJ30" s="833"/>
      <c r="AK30" s="834" t="s">
        <v>699</v>
      </c>
      <c r="AL30" s="835">
        <v>-0.15</v>
      </c>
      <c r="AM30" s="835">
        <f t="shared" ref="AM30" si="47">AL30</f>
        <v>-0.15</v>
      </c>
      <c r="AN30" s="835">
        <f t="shared" ref="AN30" si="48">AM30</f>
        <v>-0.15</v>
      </c>
      <c r="AO30" s="835">
        <f t="shared" ref="AO30" si="49">AN30</f>
        <v>-0.15</v>
      </c>
      <c r="AP30" s="835">
        <f t="shared" ref="AP30" si="50">AO30</f>
        <v>-0.15</v>
      </c>
      <c r="AQ30" s="835">
        <f t="shared" ref="AQ30" si="51">AP30</f>
        <v>-0.15</v>
      </c>
      <c r="AR30" s="835">
        <f t="shared" ref="AR30:AS30" si="52">AQ30</f>
        <v>-0.15</v>
      </c>
      <c r="AS30" s="835">
        <f t="shared" si="52"/>
        <v>-0.15</v>
      </c>
      <c r="AT30" s="211"/>
    </row>
    <row r="31" spans="1:46" s="1" customFormat="1" ht="15" customHeight="1" thickTop="1">
      <c r="A31" s="946">
        <v>10620001</v>
      </c>
      <c r="B31" s="946" t="s">
        <v>855</v>
      </c>
      <c r="C31" s="946">
        <v>6115904000744</v>
      </c>
      <c r="D31" s="946">
        <v>100000033</v>
      </c>
      <c r="E31" s="946" t="s">
        <v>1254</v>
      </c>
      <c r="F31" s="946" t="s">
        <v>26</v>
      </c>
      <c r="G31" s="947">
        <v>10000000</v>
      </c>
      <c r="H31" s="947">
        <v>14236902.050000001</v>
      </c>
      <c r="I31" s="949">
        <v>45974</v>
      </c>
      <c r="J31" s="949">
        <v>48136</v>
      </c>
      <c r="K31" s="949">
        <v>46066</v>
      </c>
      <c r="L31" s="29" t="e">
        <f>VLOOKUP(A31,'Account Mapping'!$A$2:$E$216,3,0)</f>
        <v>#N/A</v>
      </c>
      <c r="M31" s="25" t="e">
        <f>VLOOKUP(A31,'Account Mapping'!$A$2:$E$216,4,0)</f>
        <v>#N/A</v>
      </c>
      <c r="N31" s="26" t="e">
        <f>IF(OR(C31='Account Mapping'!$H$4,C31='Account Mapping'!$H$5,C31='Account Mapping'!$H$6),'Account Mapping'!$I$4,VLOOKUP(A31,'Account Mapping'!$A$2:$E$216,5,0))</f>
        <v>#N/A</v>
      </c>
      <c r="O31" s="27" t="e">
        <f>IF(OR(L31="Loan",L31="Deposit_Liability",L31="OFF_Unused Loan Commitment",L31="HQLA"),VLOOKUP(D31,'Customer Type'!$A$3:$C$38,3,0),"")</f>
        <v>#N/A</v>
      </c>
      <c r="P31" s="656" t="e">
        <f t="shared" si="2"/>
        <v>#N/A</v>
      </c>
      <c r="Q31" s="658">
        <f>IF(COUNTIF('Account Mapping'!$H$12:$H$45,A31)&gt;0,-H31,H31)</f>
        <v>14236902.050000001</v>
      </c>
      <c r="R31" s="249" t="e">
        <f>VLOOKUP(P31,Assumptions!$C$2:$D$64,2,0)</f>
        <v>#N/A</v>
      </c>
      <c r="S31" s="692">
        <f>IFERROR(VLOOKUP(A31,'Maturity Adjustment'!$A$3:$C$81,3,0),(IF(J31&lt;$N$4,"Tomorrow",J31)))</f>
        <v>48136</v>
      </c>
      <c r="T31" s="24">
        <f>IF(S31="Tomorrow",1,(S31-$N$4))</f>
        <v>2078</v>
      </c>
      <c r="U31" s="196" t="e">
        <f t="shared" si="4"/>
        <v>#N/A</v>
      </c>
      <c r="V31" s="11">
        <f>IFERROR(VLOOKUP(A31,'Maturity Adjustment'!$A$86:$C$91,3,0),S31)</f>
        <v>48136</v>
      </c>
      <c r="W31" s="207" t="e">
        <f>VLOOKUP(A31,'Account Mapping'!$A$2:$F$216,6,0)</f>
        <v>#N/A</v>
      </c>
      <c r="X31" s="194">
        <f t="shared" si="1"/>
        <v>0</v>
      </c>
      <c r="Y31" s="194">
        <f t="shared" si="5"/>
        <v>0</v>
      </c>
      <c r="Z31" s="13">
        <f t="shared" si="6"/>
        <v>0</v>
      </c>
      <c r="AA31" s="13">
        <f t="shared" si="7"/>
        <v>0</v>
      </c>
      <c r="AB31" s="13">
        <f t="shared" si="8"/>
        <v>0</v>
      </c>
      <c r="AC31" s="13">
        <f t="shared" si="9"/>
        <v>0</v>
      </c>
      <c r="AD31" s="13">
        <f t="shared" si="10"/>
        <v>0</v>
      </c>
      <c r="AE31" s="13">
        <f t="shared" si="11"/>
        <v>0</v>
      </c>
      <c r="AF31" s="13">
        <f t="shared" si="12"/>
        <v>14236902.050000001</v>
      </c>
      <c r="AG31" s="685">
        <f t="shared" si="13"/>
        <v>0</v>
      </c>
      <c r="AH31" s="688" t="b">
        <f t="shared" si="21"/>
        <v>1</v>
      </c>
      <c r="AJ31" s="833"/>
      <c r="AK31" s="834" t="s">
        <v>1567</v>
      </c>
      <c r="AL31" s="836" t="e">
        <f t="shared" ref="AL31:AR31" si="53">-AL28*(AL30-AL29)</f>
        <v>#DIV/0!</v>
      </c>
      <c r="AM31" s="836" t="e">
        <f t="shared" si="53"/>
        <v>#DIV/0!</v>
      </c>
      <c r="AN31" s="836" t="e">
        <f t="shared" si="53"/>
        <v>#DIV/0!</v>
      </c>
      <c r="AO31" s="836" t="e">
        <f t="shared" si="53"/>
        <v>#DIV/0!</v>
      </c>
      <c r="AP31" s="836" t="e">
        <f t="shared" si="53"/>
        <v>#DIV/0!</v>
      </c>
      <c r="AQ31" s="836" t="e">
        <f t="shared" si="53"/>
        <v>#DIV/0!</v>
      </c>
      <c r="AR31" s="836" t="e">
        <f t="shared" si="53"/>
        <v>#DIV/0!</v>
      </c>
      <c r="AS31" s="836" t="e">
        <f t="shared" ref="AS31" si="54">-AS28*(AS30-AS29)</f>
        <v>#DIV/0!</v>
      </c>
      <c r="AT31" s="211"/>
    </row>
    <row r="32" spans="1:46" s="1" customFormat="1" ht="15" customHeight="1" thickBot="1">
      <c r="A32" s="946">
        <v>10630001</v>
      </c>
      <c r="B32" s="946" t="s">
        <v>595</v>
      </c>
      <c r="C32" s="946">
        <v>6115904000025</v>
      </c>
      <c r="D32" s="946">
        <v>100000014</v>
      </c>
      <c r="E32" s="946" t="s">
        <v>23</v>
      </c>
      <c r="F32" s="946" t="s">
        <v>26</v>
      </c>
      <c r="G32" s="947">
        <v>7591891.9500000002</v>
      </c>
      <c r="H32" s="947">
        <v>10808502.210000001</v>
      </c>
      <c r="I32" s="949">
        <v>45106</v>
      </c>
      <c r="J32" s="949">
        <v>47579</v>
      </c>
      <c r="K32" s="949">
        <v>46058</v>
      </c>
      <c r="L32" s="29" t="e">
        <f>VLOOKUP(A32,'Account Mapping'!$A$2:$E$216,3,0)</f>
        <v>#N/A</v>
      </c>
      <c r="M32" s="25" t="e">
        <f>VLOOKUP(A32,'Account Mapping'!$A$2:$E$216,4,0)</f>
        <v>#N/A</v>
      </c>
      <c r="N32" s="26" t="e">
        <f>IF(OR(C32='Account Mapping'!$H$4,C32='Account Mapping'!$H$5,C32='Account Mapping'!$H$6),'Account Mapping'!$I$4,VLOOKUP(A32,'Account Mapping'!$A$2:$E$216,5,0))</f>
        <v>#N/A</v>
      </c>
      <c r="O32" s="27" t="e">
        <f>IF(OR(L32="Loan",L32="Deposit_Liability",L32="OFF_Unused Loan Commitment",L32="HQLA"),VLOOKUP(D32,'Customer Type'!$A$3:$C$38,3,0),"")</f>
        <v>#N/A</v>
      </c>
      <c r="P32" s="656" t="e">
        <f t="shared" si="2"/>
        <v>#N/A</v>
      </c>
      <c r="Q32" s="658">
        <f>IF(COUNTIF('Account Mapping'!$H$12:$H$45,A32)&gt;0,-H32,H32)</f>
        <v>10808502.210000001</v>
      </c>
      <c r="R32" s="249" t="e">
        <f>VLOOKUP(P32,Assumptions!$C$2:$D$64,2,0)</f>
        <v>#N/A</v>
      </c>
      <c r="S32" s="692">
        <f>IFERROR(VLOOKUP(A32,'Maturity Adjustment'!$A$3:$C$81,3,0),(IF(J32&lt;$N$4,"Tomorrow",J32)))</f>
        <v>47579</v>
      </c>
      <c r="T32" s="24">
        <f>IF(S32="Tomorrow",1,(S32-$N$4))</f>
        <v>1521</v>
      </c>
      <c r="U32" s="196" t="e">
        <f t="shared" si="4"/>
        <v>#N/A</v>
      </c>
      <c r="V32" s="11">
        <f>IFERROR(VLOOKUP(A32,'Maturity Adjustment'!$A$86:$C$91,3,0),S32)</f>
        <v>47579</v>
      </c>
      <c r="W32" s="207" t="e">
        <f>VLOOKUP(A32,'Account Mapping'!$A$2:$F$216,6,0)</f>
        <v>#N/A</v>
      </c>
      <c r="X32" s="194">
        <f t="shared" si="1"/>
        <v>0</v>
      </c>
      <c r="Y32" s="194">
        <f t="shared" si="5"/>
        <v>0</v>
      </c>
      <c r="Z32" s="13">
        <f t="shared" si="6"/>
        <v>0</v>
      </c>
      <c r="AA32" s="13">
        <f t="shared" si="7"/>
        <v>0</v>
      </c>
      <c r="AB32" s="13">
        <f t="shared" si="8"/>
        <v>0</v>
      </c>
      <c r="AC32" s="13">
        <f t="shared" si="9"/>
        <v>0</v>
      </c>
      <c r="AD32" s="13">
        <f t="shared" si="10"/>
        <v>0</v>
      </c>
      <c r="AE32" s="13">
        <f t="shared" si="11"/>
        <v>10808502.210000001</v>
      </c>
      <c r="AF32" s="13">
        <f t="shared" si="12"/>
        <v>0</v>
      </c>
      <c r="AG32" s="685">
        <f t="shared" si="13"/>
        <v>0</v>
      </c>
      <c r="AH32" s="688" t="b">
        <f t="shared" si="21"/>
        <v>1</v>
      </c>
      <c r="AJ32" s="694"/>
      <c r="AK32" s="7"/>
      <c r="AL32" s="211"/>
      <c r="AM32" s="211"/>
      <c r="AN32" s="211"/>
      <c r="AO32" s="211"/>
      <c r="AP32" s="211"/>
      <c r="AQ32" s="211"/>
      <c r="AR32" s="211"/>
      <c r="AS32" s="211"/>
      <c r="AT32" s="211"/>
    </row>
    <row r="33" spans="1:46" s="1" customFormat="1" ht="15" customHeight="1" thickTop="1" thickBot="1">
      <c r="A33" s="946">
        <v>10630001</v>
      </c>
      <c r="B33" s="946" t="s">
        <v>595</v>
      </c>
      <c r="C33" s="946">
        <v>6115904000032</v>
      </c>
      <c r="D33" s="946">
        <v>100000014</v>
      </c>
      <c r="E33" s="946" t="s">
        <v>23</v>
      </c>
      <c r="F33" s="946" t="s">
        <v>26</v>
      </c>
      <c r="G33" s="947">
        <v>129689.8</v>
      </c>
      <c r="H33" s="947">
        <v>184638.1</v>
      </c>
      <c r="I33" s="949">
        <v>45107</v>
      </c>
      <c r="J33" s="949">
        <v>47579</v>
      </c>
      <c r="K33" s="949">
        <v>46058</v>
      </c>
      <c r="L33" s="29" t="e">
        <f>VLOOKUP(A33,'Account Mapping'!$A$2:$E$216,3,0)</f>
        <v>#N/A</v>
      </c>
      <c r="M33" s="25" t="e">
        <f>VLOOKUP(A33,'Account Mapping'!$A$2:$E$216,4,0)</f>
        <v>#N/A</v>
      </c>
      <c r="N33" s="26" t="e">
        <f>IF(OR(C33='Account Mapping'!$H$4,C33='Account Mapping'!$H$5,C33='Account Mapping'!$H$6),'Account Mapping'!$I$4,VLOOKUP(A33,'Account Mapping'!$A$2:$E$216,5,0))</f>
        <v>#N/A</v>
      </c>
      <c r="O33" s="27" t="e">
        <f>IF(OR(L33="Loan",L33="Deposit_Liability",L33="OFF_Unused Loan Commitment",L33="HQLA"),VLOOKUP(D33,'Customer Type'!$A$3:$C$38,3,0),"")</f>
        <v>#N/A</v>
      </c>
      <c r="P33" s="656" t="e">
        <f t="shared" si="2"/>
        <v>#N/A</v>
      </c>
      <c r="Q33" s="658">
        <f>IF(COUNTIF('Account Mapping'!$H$12:$H$45,A33)&gt;0,-H33,H33)</f>
        <v>184638.1</v>
      </c>
      <c r="R33" s="249" t="e">
        <f>VLOOKUP(P33,Assumptions!$C$2:$D$64,2,0)</f>
        <v>#N/A</v>
      </c>
      <c r="S33" s="692">
        <f>IFERROR(VLOOKUP(A33,'Maturity Adjustment'!$A$3:$C$81,3,0),(IF(J33&lt;$N$4,"Tomorrow",J33)))</f>
        <v>47579</v>
      </c>
      <c r="T33" s="24">
        <f>IF(S33="Tomorrow",1,(S33-$N$4))</f>
        <v>1521</v>
      </c>
      <c r="U33" s="196" t="e">
        <f t="shared" si="4"/>
        <v>#N/A</v>
      </c>
      <c r="V33" s="11">
        <f>IFERROR(VLOOKUP(A33,'Maturity Adjustment'!$A$86:$C$91,3,0),S33)</f>
        <v>47579</v>
      </c>
      <c r="W33" s="207" t="e">
        <f>VLOOKUP(A33,'Account Mapping'!$A$2:$F$216,6,0)</f>
        <v>#N/A</v>
      </c>
      <c r="X33" s="194">
        <f t="shared" si="1"/>
        <v>0</v>
      </c>
      <c r="Y33" s="194">
        <f t="shared" si="5"/>
        <v>0</v>
      </c>
      <c r="Z33" s="13">
        <f t="shared" si="6"/>
        <v>0</v>
      </c>
      <c r="AA33" s="13">
        <f t="shared" si="7"/>
        <v>0</v>
      </c>
      <c r="AB33" s="13">
        <f t="shared" si="8"/>
        <v>0</v>
      </c>
      <c r="AC33" s="13">
        <f t="shared" si="9"/>
        <v>0</v>
      </c>
      <c r="AD33" s="13">
        <f t="shared" si="10"/>
        <v>0</v>
      </c>
      <c r="AE33" s="13">
        <f t="shared" si="11"/>
        <v>184638.1</v>
      </c>
      <c r="AF33" s="13">
        <f t="shared" si="12"/>
        <v>0</v>
      </c>
      <c r="AG33" s="685">
        <f t="shared" si="13"/>
        <v>0</v>
      </c>
      <c r="AH33" s="688" t="b">
        <f t="shared" si="21"/>
        <v>1</v>
      </c>
      <c r="AJ33" s="1006" t="s">
        <v>1570</v>
      </c>
      <c r="AK33" s="843" t="s">
        <v>2</v>
      </c>
      <c r="AL33" s="837">
        <f>AL21</f>
        <v>46081</v>
      </c>
      <c r="AM33" s="837">
        <f t="shared" ref="AM33" si="55">EOMONTH(AL33,1)</f>
        <v>46112</v>
      </c>
      <c r="AN33" s="837">
        <f t="shared" ref="AN33" si="56">EOMONTH(AM33,1)</f>
        <v>46142</v>
      </c>
      <c r="AO33" s="837">
        <f t="shared" ref="AO33" si="57">EOMONTH(AN33,1)</f>
        <v>46173</v>
      </c>
      <c r="AP33" s="837">
        <f t="shared" ref="AP33" si="58">EOMONTH(AO33,1)</f>
        <v>46203</v>
      </c>
      <c r="AQ33" s="837">
        <f t="shared" ref="AQ33" si="59">EOMONTH(AP33,1)</f>
        <v>46234</v>
      </c>
      <c r="AR33" s="837">
        <f t="shared" ref="AR33:AS33" si="60">EOMONTH(AQ33,1)</f>
        <v>46265</v>
      </c>
      <c r="AS33" s="838">
        <f t="shared" si="60"/>
        <v>46295</v>
      </c>
      <c r="AT33" s="211"/>
    </row>
    <row r="34" spans="1:46" s="1" customFormat="1" ht="15" customHeight="1" thickBot="1">
      <c r="A34" s="946">
        <v>10630001</v>
      </c>
      <c r="B34" s="946" t="s">
        <v>595</v>
      </c>
      <c r="C34" s="946">
        <v>6115904000040</v>
      </c>
      <c r="D34" s="946">
        <v>100000014</v>
      </c>
      <c r="E34" s="946" t="s">
        <v>23</v>
      </c>
      <c r="F34" s="946" t="s">
        <v>26</v>
      </c>
      <c r="G34" s="947">
        <v>1787648.61</v>
      </c>
      <c r="H34" s="947">
        <v>2545057.8199999998</v>
      </c>
      <c r="I34" s="949">
        <v>45138</v>
      </c>
      <c r="J34" s="949">
        <v>47579</v>
      </c>
      <c r="K34" s="949">
        <v>46058</v>
      </c>
      <c r="L34" s="29" t="e">
        <f>VLOOKUP(A34,'Account Mapping'!$A$2:$E$216,3,0)</f>
        <v>#N/A</v>
      </c>
      <c r="M34" s="25" t="e">
        <f>VLOOKUP(A34,'Account Mapping'!$A$2:$E$216,4,0)</f>
        <v>#N/A</v>
      </c>
      <c r="N34" s="26" t="e">
        <f>IF(OR(C34='Account Mapping'!$H$4,C34='Account Mapping'!$H$5,C34='Account Mapping'!$H$6),'Account Mapping'!$I$4,VLOOKUP(A34,'Account Mapping'!$A$2:$E$216,5,0))</f>
        <v>#N/A</v>
      </c>
      <c r="O34" s="27" t="e">
        <f>IF(OR(L34="Loan",L34="Deposit_Liability",L34="OFF_Unused Loan Commitment",L34="HQLA"),VLOOKUP(D34,'Customer Type'!$A$3:$C$38,3,0),"")</f>
        <v>#N/A</v>
      </c>
      <c r="P34" s="656" t="e">
        <f t="shared" si="2"/>
        <v>#N/A</v>
      </c>
      <c r="Q34" s="658">
        <f>IF(COUNTIF('Account Mapping'!$H$12:$H$45,A34)&gt;0,-H34,H34)</f>
        <v>2545057.8199999998</v>
      </c>
      <c r="R34" s="249" t="e">
        <f>VLOOKUP(P34,Assumptions!$C$2:$D$64,2,0)</f>
        <v>#N/A</v>
      </c>
      <c r="S34" s="692">
        <f>IFERROR(VLOOKUP(A34,'Maturity Adjustment'!$A$3:$C$81,3,0),(IF(J34&lt;$N$4,"Tomorrow",J34)))</f>
        <v>47579</v>
      </c>
      <c r="T34" s="24">
        <f>IF(S34="Tomorrow",1,(S34-$N$4))</f>
        <v>1521</v>
      </c>
      <c r="U34" s="196" t="e">
        <f t="shared" si="4"/>
        <v>#N/A</v>
      </c>
      <c r="V34" s="11">
        <f>IFERROR(VLOOKUP(A34,'Maturity Adjustment'!$A$86:$C$91,3,0),S34)</f>
        <v>47579</v>
      </c>
      <c r="W34" s="207" t="e">
        <f>VLOOKUP(A34,'Account Mapping'!$A$2:$F$216,6,0)</f>
        <v>#N/A</v>
      </c>
      <c r="X34" s="194">
        <f t="shared" si="1"/>
        <v>0</v>
      </c>
      <c r="Y34" s="194">
        <f t="shared" si="5"/>
        <v>0</v>
      </c>
      <c r="Z34" s="13">
        <f t="shared" si="6"/>
        <v>0</v>
      </c>
      <c r="AA34" s="13">
        <f t="shared" si="7"/>
        <v>0</v>
      </c>
      <c r="AB34" s="13">
        <f t="shared" si="8"/>
        <v>0</v>
      </c>
      <c r="AC34" s="13">
        <f t="shared" si="9"/>
        <v>0</v>
      </c>
      <c r="AD34" s="13">
        <f t="shared" si="10"/>
        <v>0</v>
      </c>
      <c r="AE34" s="13">
        <f t="shared" si="11"/>
        <v>2545057.8199999998</v>
      </c>
      <c r="AF34" s="13">
        <f t="shared" si="12"/>
        <v>0</v>
      </c>
      <c r="AG34" s="685">
        <f t="shared" si="13"/>
        <v>0</v>
      </c>
      <c r="AH34" s="688" t="b">
        <f t="shared" si="21"/>
        <v>1</v>
      </c>
      <c r="AJ34" s="1005"/>
      <c r="AK34" s="842" t="s">
        <v>3</v>
      </c>
      <c r="AL34" s="839">
        <f t="shared" ref="AL34:AR34" si="61">EOMONTH(AL33,3)</f>
        <v>46173</v>
      </c>
      <c r="AM34" s="839">
        <f t="shared" si="61"/>
        <v>46203</v>
      </c>
      <c r="AN34" s="839">
        <f t="shared" si="61"/>
        <v>46234</v>
      </c>
      <c r="AO34" s="839">
        <f t="shared" si="61"/>
        <v>46265</v>
      </c>
      <c r="AP34" s="839">
        <f t="shared" si="61"/>
        <v>46295</v>
      </c>
      <c r="AQ34" s="839">
        <f t="shared" si="61"/>
        <v>46326</v>
      </c>
      <c r="AR34" s="839">
        <f t="shared" si="61"/>
        <v>46356</v>
      </c>
      <c r="AS34" s="840">
        <f t="shared" ref="AS34" si="62">EOMONTH(AS33,3)</f>
        <v>46387</v>
      </c>
      <c r="AT34" s="211"/>
    </row>
    <row r="35" spans="1:46" s="1" customFormat="1" ht="15" customHeight="1" thickTop="1" thickBot="1">
      <c r="A35" s="946">
        <v>10630001</v>
      </c>
      <c r="B35" s="946" t="s">
        <v>595</v>
      </c>
      <c r="C35" s="946">
        <v>6115904000057</v>
      </c>
      <c r="D35" s="946">
        <v>100000014</v>
      </c>
      <c r="E35" s="946" t="s">
        <v>23</v>
      </c>
      <c r="F35" s="946" t="s">
        <v>26</v>
      </c>
      <c r="G35" s="947">
        <v>98518.15</v>
      </c>
      <c r="H35" s="947">
        <v>140259.32999999999</v>
      </c>
      <c r="I35" s="949">
        <v>45138</v>
      </c>
      <c r="J35" s="949">
        <v>47579</v>
      </c>
      <c r="K35" s="949">
        <v>46058</v>
      </c>
      <c r="L35" s="29" t="e">
        <f>VLOOKUP(A35,'Account Mapping'!$A$2:$E$216,3,0)</f>
        <v>#N/A</v>
      </c>
      <c r="M35" s="25" t="e">
        <f>VLOOKUP(A35,'Account Mapping'!$A$2:$E$216,4,0)</f>
        <v>#N/A</v>
      </c>
      <c r="N35" s="26" t="e">
        <f>IF(OR(C35='Account Mapping'!$H$4,C35='Account Mapping'!$H$5,C35='Account Mapping'!$H$6),'Account Mapping'!$I$4,VLOOKUP(A35,'Account Mapping'!$A$2:$E$216,5,0))</f>
        <v>#N/A</v>
      </c>
      <c r="O35" s="27" t="e">
        <f>IF(OR(L35="Loan",L35="Deposit_Liability",L35="OFF_Unused Loan Commitment",L35="HQLA"),VLOOKUP(D35,'Customer Type'!$A$3:$C$38,3,0),"")</f>
        <v>#N/A</v>
      </c>
      <c r="P35" s="656" t="e">
        <f t="shared" si="2"/>
        <v>#N/A</v>
      </c>
      <c r="Q35" s="658">
        <f>IF(COUNTIF('Account Mapping'!$H$12:$H$45,A35)&gt;0,-H35,H35)</f>
        <v>140259.32999999999</v>
      </c>
      <c r="R35" s="249" t="e">
        <f>VLOOKUP(P35,Assumptions!$C$2:$D$64,2,0)</f>
        <v>#N/A</v>
      </c>
      <c r="S35" s="692">
        <f>IFERROR(VLOOKUP(A35,'Maturity Adjustment'!$A$3:$C$81,3,0),(IF(J35&lt;$N$4,"Tomorrow",J35)))</f>
        <v>47579</v>
      </c>
      <c r="T35" s="24">
        <f>IF(S35="Tomorrow",1,(S35-$N$4))</f>
        <v>1521</v>
      </c>
      <c r="U35" s="196" t="e">
        <f t="shared" si="4"/>
        <v>#N/A</v>
      </c>
      <c r="V35" s="11">
        <f>IFERROR(VLOOKUP(A35,'Maturity Adjustment'!$A$86:$C$91,3,0),S35)</f>
        <v>47579</v>
      </c>
      <c r="W35" s="207" t="e">
        <f>VLOOKUP(A35,'Account Mapping'!$A$2:$F$216,6,0)</f>
        <v>#N/A</v>
      </c>
      <c r="X35" s="194">
        <f t="shared" si="1"/>
        <v>0</v>
      </c>
      <c r="Y35" s="194">
        <f t="shared" si="5"/>
        <v>0</v>
      </c>
      <c r="Z35" s="13">
        <f t="shared" si="6"/>
        <v>0</v>
      </c>
      <c r="AA35" s="13">
        <f t="shared" si="7"/>
        <v>0</v>
      </c>
      <c r="AB35" s="13">
        <f t="shared" si="8"/>
        <v>0</v>
      </c>
      <c r="AC35" s="13">
        <f t="shared" si="9"/>
        <v>0</v>
      </c>
      <c r="AD35" s="13">
        <f t="shared" si="10"/>
        <v>0</v>
      </c>
      <c r="AE35" s="13">
        <f t="shared" si="11"/>
        <v>140259.32999999999</v>
      </c>
      <c r="AF35" s="13">
        <f t="shared" si="12"/>
        <v>0</v>
      </c>
      <c r="AG35" s="685">
        <f t="shared" si="13"/>
        <v>0</v>
      </c>
      <c r="AH35" s="688" t="b">
        <f t="shared" si="21"/>
        <v>1</v>
      </c>
      <c r="AJ35" s="694"/>
      <c r="AK35" s="7"/>
      <c r="AL35" s="211"/>
      <c r="AM35" s="211"/>
      <c r="AN35" s="211"/>
      <c r="AO35" s="211"/>
      <c r="AP35" s="211"/>
      <c r="AQ35" s="211"/>
      <c r="AR35" s="211"/>
      <c r="AS35" s="211"/>
      <c r="AT35" s="211"/>
    </row>
    <row r="36" spans="1:46" s="1" customFormat="1" ht="15" customHeight="1">
      <c r="A36" s="946">
        <v>10630001</v>
      </c>
      <c r="B36" s="946" t="s">
        <v>595</v>
      </c>
      <c r="C36" s="946">
        <v>6115904000064</v>
      </c>
      <c r="D36" s="946">
        <v>100000014</v>
      </c>
      <c r="E36" s="946" t="s">
        <v>23</v>
      </c>
      <c r="F36" s="946" t="s">
        <v>26</v>
      </c>
      <c r="G36" s="947">
        <v>468658.73</v>
      </c>
      <c r="H36" s="947">
        <v>667224.84</v>
      </c>
      <c r="I36" s="949">
        <v>45169</v>
      </c>
      <c r="J36" s="949">
        <v>47579</v>
      </c>
      <c r="K36" s="949">
        <v>46058</v>
      </c>
      <c r="L36" s="29" t="e">
        <f>VLOOKUP(A36,'Account Mapping'!$A$2:$E$216,3,0)</f>
        <v>#N/A</v>
      </c>
      <c r="M36" s="25" t="e">
        <f>VLOOKUP(A36,'Account Mapping'!$A$2:$E$216,4,0)</f>
        <v>#N/A</v>
      </c>
      <c r="N36" s="26" t="e">
        <f>IF(OR(C36='Account Mapping'!$H$4,C36='Account Mapping'!$H$5,C36='Account Mapping'!$H$6),'Account Mapping'!$I$4,VLOOKUP(A36,'Account Mapping'!$A$2:$E$216,5,0))</f>
        <v>#N/A</v>
      </c>
      <c r="O36" s="27" t="e">
        <f>IF(OR(L36="Loan",L36="Deposit_Liability",L36="OFF_Unused Loan Commitment",L36="HQLA"),VLOOKUP(D36,'Customer Type'!$A$3:$C$38,3,0),"")</f>
        <v>#N/A</v>
      </c>
      <c r="P36" s="656" t="e">
        <f t="shared" si="2"/>
        <v>#N/A</v>
      </c>
      <c r="Q36" s="658">
        <f>IF(COUNTIF('Account Mapping'!$H$12:$H$45,A36)&gt;0,-H36,H36)</f>
        <v>667224.84</v>
      </c>
      <c r="R36" s="249" t="e">
        <f>VLOOKUP(P36,Assumptions!$C$2:$D$64,2,0)</f>
        <v>#N/A</v>
      </c>
      <c r="S36" s="692">
        <f>IFERROR(VLOOKUP(A36,'Maturity Adjustment'!$A$3:$C$81,3,0),(IF(J36&lt;$N$4,"Tomorrow",J36)))</f>
        <v>47579</v>
      </c>
      <c r="T36" s="24">
        <f t="shared" si="18"/>
        <v>1521</v>
      </c>
      <c r="U36" s="196" t="e">
        <f t="shared" si="4"/>
        <v>#N/A</v>
      </c>
      <c r="V36" s="11">
        <f>IFERROR(VLOOKUP(A36,'Maturity Adjustment'!$A$86:$C$91,3,0),S36)</f>
        <v>47579</v>
      </c>
      <c r="W36" s="207" t="e">
        <f>VLOOKUP(A36,'Account Mapping'!$A$2:$F$216,6,0)</f>
        <v>#N/A</v>
      </c>
      <c r="X36" s="194">
        <f t="shared" si="1"/>
        <v>0</v>
      </c>
      <c r="Y36" s="194">
        <f t="shared" si="5"/>
        <v>0</v>
      </c>
      <c r="Z36" s="13">
        <f t="shared" si="6"/>
        <v>0</v>
      </c>
      <c r="AA36" s="13">
        <f t="shared" si="7"/>
        <v>0</v>
      </c>
      <c r="AB36" s="13">
        <f t="shared" si="8"/>
        <v>0</v>
      </c>
      <c r="AC36" s="13">
        <f t="shared" si="9"/>
        <v>0</v>
      </c>
      <c r="AD36" s="13">
        <f t="shared" si="10"/>
        <v>0</v>
      </c>
      <c r="AE36" s="13">
        <f t="shared" si="11"/>
        <v>667224.84</v>
      </c>
      <c r="AF36" s="13">
        <f t="shared" si="12"/>
        <v>0</v>
      </c>
      <c r="AG36" s="685">
        <f t="shared" si="13"/>
        <v>0</v>
      </c>
      <c r="AH36" s="688" t="b">
        <f t="shared" si="21"/>
        <v>1</v>
      </c>
      <c r="AJ36" s="833"/>
      <c r="AK36" s="845"/>
      <c r="AL36" s="846">
        <f>AL24</f>
        <v>46081</v>
      </c>
      <c r="AM36" s="846">
        <f t="shared" ref="AM36:AS36" si="63">AM24</f>
        <v>46112</v>
      </c>
      <c r="AN36" s="846">
        <f t="shared" si="63"/>
        <v>46142</v>
      </c>
      <c r="AO36" s="846">
        <f t="shared" si="63"/>
        <v>46173</v>
      </c>
      <c r="AP36" s="846">
        <f t="shared" si="63"/>
        <v>46203</v>
      </c>
      <c r="AQ36" s="846">
        <f t="shared" si="63"/>
        <v>46234</v>
      </c>
      <c r="AR36" s="846">
        <f t="shared" si="63"/>
        <v>46265</v>
      </c>
      <c r="AS36" s="847">
        <f t="shared" si="63"/>
        <v>46295</v>
      </c>
      <c r="AT36" s="211"/>
    </row>
    <row r="37" spans="1:46" s="1" customFormat="1" ht="15" customHeight="1">
      <c r="A37" s="946">
        <v>10630001</v>
      </c>
      <c r="B37" s="946" t="s">
        <v>595</v>
      </c>
      <c r="C37" s="946">
        <v>6115904000071</v>
      </c>
      <c r="D37" s="946">
        <v>100000014</v>
      </c>
      <c r="E37" s="946" t="s">
        <v>23</v>
      </c>
      <c r="F37" s="946" t="s">
        <v>26</v>
      </c>
      <c r="G37" s="947">
        <v>111261.33</v>
      </c>
      <c r="H37" s="947">
        <v>158401.67000000001</v>
      </c>
      <c r="I37" s="949">
        <v>45169</v>
      </c>
      <c r="J37" s="949">
        <v>47579</v>
      </c>
      <c r="K37" s="949">
        <v>46058</v>
      </c>
      <c r="L37" s="29" t="e">
        <f>VLOOKUP(A37,'Account Mapping'!$A$2:$E$216,3,0)</f>
        <v>#N/A</v>
      </c>
      <c r="M37" s="25" t="e">
        <f>VLOOKUP(A37,'Account Mapping'!$A$2:$E$216,4,0)</f>
        <v>#N/A</v>
      </c>
      <c r="N37" s="26" t="e">
        <f>IF(OR(C37='Account Mapping'!$H$4,C37='Account Mapping'!$H$5,C37='Account Mapping'!$H$6),'Account Mapping'!$I$4,VLOOKUP(A37,'Account Mapping'!$A$2:$E$216,5,0))</f>
        <v>#N/A</v>
      </c>
      <c r="O37" s="27" t="e">
        <f>IF(OR(L37="Loan",L37="Deposit_Liability",L37="OFF_Unused Loan Commitment",L37="HQLA"),VLOOKUP(D37,'Customer Type'!$A$3:$C$38,3,0),"")</f>
        <v>#N/A</v>
      </c>
      <c r="P37" s="656" t="e">
        <f t="shared" si="2"/>
        <v>#N/A</v>
      </c>
      <c r="Q37" s="658">
        <f>IF(COUNTIF('Account Mapping'!$H$12:$H$45,A37)&gt;0,-H37,H37)</f>
        <v>158401.67000000001</v>
      </c>
      <c r="R37" s="249" t="e">
        <f>VLOOKUP(P37,Assumptions!$C$2:$D$64,2,0)</f>
        <v>#N/A</v>
      </c>
      <c r="S37" s="692">
        <f>IFERROR(VLOOKUP(A37,'Maturity Adjustment'!$A$3:$C$81,3,0),(IF(J37&lt;$N$4,"Tomorrow",J37)))</f>
        <v>47579</v>
      </c>
      <c r="T37" s="24">
        <f t="shared" si="18"/>
        <v>1521</v>
      </c>
      <c r="U37" s="196" t="e">
        <f t="shared" si="4"/>
        <v>#N/A</v>
      </c>
      <c r="V37" s="11">
        <f>IFERROR(VLOOKUP(A37,'Maturity Adjustment'!$A$86:$C$91,3,0),S37)</f>
        <v>47579</v>
      </c>
      <c r="W37" s="207" t="e">
        <f>VLOOKUP(A37,'Account Mapping'!$A$2:$F$216,6,0)</f>
        <v>#N/A</v>
      </c>
      <c r="X37" s="194">
        <f t="shared" si="1"/>
        <v>0</v>
      </c>
      <c r="Y37" s="194">
        <f t="shared" si="5"/>
        <v>0</v>
      </c>
      <c r="Z37" s="13">
        <f t="shared" si="6"/>
        <v>0</v>
      </c>
      <c r="AA37" s="13">
        <f t="shared" si="7"/>
        <v>0</v>
      </c>
      <c r="AB37" s="13">
        <f t="shared" si="8"/>
        <v>0</v>
      </c>
      <c r="AC37" s="13">
        <f t="shared" si="9"/>
        <v>0</v>
      </c>
      <c r="AD37" s="13">
        <f t="shared" si="10"/>
        <v>0</v>
      </c>
      <c r="AE37" s="13">
        <f t="shared" si="11"/>
        <v>158401.67000000001</v>
      </c>
      <c r="AF37" s="13">
        <f t="shared" si="12"/>
        <v>0</v>
      </c>
      <c r="AG37" s="685">
        <f t="shared" si="13"/>
        <v>0</v>
      </c>
      <c r="AH37" s="688" t="b">
        <f t="shared" si="21"/>
        <v>1</v>
      </c>
      <c r="AJ37" s="833"/>
      <c r="AK37" s="848" t="s">
        <v>0</v>
      </c>
      <c r="AL37" s="844">
        <f>SUMIFS($H$7:$H$874,$W$7:$W$874,AK37,$V$7:$V$874,"&gt;"&amp;AL33,$V$7:$V$874,"&lt;="&amp;AL34)+SUMIFS($H$7:$H$874,$W$7:$W$874,AK37,$V$7:$V$874,"Tomorrow")</f>
        <v>0</v>
      </c>
      <c r="AM37" s="844">
        <f>SUMIFS($H$7:$H$874,$W$7:$W$874,AK37,$V$7:$V$874,"&gt;"&amp;AM33,$V$7:$V$874,"&lt;="&amp;AM34)+SUMIFS($H$7:$H$874,$W$7:$W$874,AK37,$V$7:$V$874,"Tomorrow")</f>
        <v>0</v>
      </c>
      <c r="AN37" s="844">
        <f>SUMIFS($H$7:$H$874,$W$7:$W$874,AK37,$V$7:$V$874,"&gt;"&amp;AN33,$V$7:$V$874,"&lt;="&amp;AN34)+SUMIFS($H$7:$H$874,$W$7:$W$874,AK37,$V$7:$V$874,"Tomorrow")</f>
        <v>0</v>
      </c>
      <c r="AO37" s="844">
        <f>SUMIFS($H$7:$H$874,$W$7:$W$874,AK37,$V$7:$V$874,"&gt;"&amp;AO33,$V$7:$V$874,"&lt;="&amp;AO34)+SUMIFS($H$7:$H$874,$W$7:$W$874,AK37,$V$7:$V$874,"Tomorrow")</f>
        <v>0</v>
      </c>
      <c r="AP37" s="844">
        <f>SUMIFS($H$7:$H$874,$W$7:$W$874,AK37,$V$7:$V$874,"&gt;"&amp;AP33,$V$7:$V$874,"&lt;="&amp;AP34)+SUMIFS($H$7:$H$874,$W$7:$W$874,AK37,$V$7:$V$874,"Tomorrow")</f>
        <v>0</v>
      </c>
      <c r="AQ37" s="844">
        <f>SUMIFS($H$7:$H$874,$W$7:$W$874,AK37,$V$7:$V$874,"&gt;"&amp;AQ33,$V$7:$V$874,"&lt;="&amp;AQ34)+SUMIFS($H$7:$H$874,$W$7:$W$874,AK37,$V$7:$V$874,"Tomorrow")</f>
        <v>0</v>
      </c>
      <c r="AR37" s="844">
        <f>SUMIFS($H$7:$H$874,$W$7:$W$874,AK37,$V$7:$V$874,"&gt;"&amp;AR33,$V$7:$V$874,"&lt;="&amp;AR34)+SUMIFS($H$7:$H$874,$W$7:$W$874,AK37,$V$7:$V$874,"Tomorrow")</f>
        <v>0</v>
      </c>
      <c r="AS37" s="849">
        <f>SUMIFS($H$7:$H$874,$W$7:$W$874,AK37,$V$7:$V$874,"&gt;"&amp;AS33,$V$7:$V$874,"&lt;="&amp;AS34)+SUMIFS($H$7:$H$874,$W$7:$W$874,AK37,$V$7:$V$874,"Tomorrow")</f>
        <v>0</v>
      </c>
      <c r="AT37" s="211"/>
    </row>
    <row r="38" spans="1:46" s="1" customFormat="1" ht="15" customHeight="1" thickBot="1">
      <c r="A38" s="946">
        <v>10630001</v>
      </c>
      <c r="B38" s="946" t="s">
        <v>595</v>
      </c>
      <c r="C38" s="946">
        <v>6115904000089</v>
      </c>
      <c r="D38" s="946">
        <v>100000014</v>
      </c>
      <c r="E38" s="946" t="s">
        <v>23</v>
      </c>
      <c r="F38" s="946" t="s">
        <v>26</v>
      </c>
      <c r="G38" s="947">
        <v>1607793.1</v>
      </c>
      <c r="H38" s="947">
        <v>2288999.29</v>
      </c>
      <c r="I38" s="949">
        <v>45190</v>
      </c>
      <c r="J38" s="949">
        <v>47579</v>
      </c>
      <c r="K38" s="949">
        <v>46058</v>
      </c>
      <c r="L38" s="29" t="e">
        <f>VLOOKUP(A38,'Account Mapping'!$A$2:$E$216,3,0)</f>
        <v>#N/A</v>
      </c>
      <c r="M38" s="25" t="e">
        <f>VLOOKUP(A38,'Account Mapping'!$A$2:$E$216,4,0)</f>
        <v>#N/A</v>
      </c>
      <c r="N38" s="26" t="e">
        <f>IF(OR(C38='Account Mapping'!$H$4,C38='Account Mapping'!$H$5,C38='Account Mapping'!$H$6),'Account Mapping'!$I$4,VLOOKUP(A38,'Account Mapping'!$A$2:$E$216,5,0))</f>
        <v>#N/A</v>
      </c>
      <c r="O38" s="27" t="e">
        <f>IF(OR(L38="Loan",L38="Deposit_Liability",L38="OFF_Unused Loan Commitment",L38="HQLA"),VLOOKUP(D38,'Customer Type'!$A$3:$C$38,3,0),"")</f>
        <v>#N/A</v>
      </c>
      <c r="P38" s="656" t="e">
        <f t="shared" si="2"/>
        <v>#N/A</v>
      </c>
      <c r="Q38" s="658">
        <f>IF(COUNTIF('Account Mapping'!$H$12:$H$45,A38)&gt;0,-H38,H38)</f>
        <v>2288999.29</v>
      </c>
      <c r="R38" s="249" t="e">
        <f>VLOOKUP(P38,Assumptions!$C$2:$D$64,2,0)</f>
        <v>#N/A</v>
      </c>
      <c r="S38" s="692">
        <f>IFERROR(VLOOKUP(A38,'Maturity Adjustment'!$A$3:$C$81,3,0),(IF(J38&lt;$N$4,"Tomorrow",J38)))</f>
        <v>47579</v>
      </c>
      <c r="T38" s="24">
        <f t="shared" si="18"/>
        <v>1521</v>
      </c>
      <c r="U38" s="196" t="e">
        <f t="shared" si="4"/>
        <v>#N/A</v>
      </c>
      <c r="V38" s="11">
        <f>IFERROR(VLOOKUP(A38,'Maturity Adjustment'!$A$86:$C$91,3,0),S38)</f>
        <v>47579</v>
      </c>
      <c r="W38" s="207" t="e">
        <f>VLOOKUP(A38,'Account Mapping'!$A$2:$F$216,6,0)</f>
        <v>#N/A</v>
      </c>
      <c r="X38" s="194">
        <f t="shared" si="1"/>
        <v>0</v>
      </c>
      <c r="Y38" s="194">
        <f t="shared" si="5"/>
        <v>0</v>
      </c>
      <c r="Z38" s="13">
        <f t="shared" si="6"/>
        <v>0</v>
      </c>
      <c r="AA38" s="13">
        <f t="shared" si="7"/>
        <v>0</v>
      </c>
      <c r="AB38" s="13">
        <f t="shared" si="8"/>
        <v>0</v>
      </c>
      <c r="AC38" s="13">
        <f t="shared" si="9"/>
        <v>0</v>
      </c>
      <c r="AD38" s="13">
        <f t="shared" si="10"/>
        <v>0</v>
      </c>
      <c r="AE38" s="13">
        <f t="shared" si="11"/>
        <v>2288999.29</v>
      </c>
      <c r="AF38" s="13">
        <f t="shared" si="12"/>
        <v>0</v>
      </c>
      <c r="AG38" s="685">
        <f t="shared" si="13"/>
        <v>0</v>
      </c>
      <c r="AH38" s="688" t="b">
        <f t="shared" si="21"/>
        <v>1</v>
      </c>
      <c r="AJ38" s="833"/>
      <c r="AK38" s="861" t="s">
        <v>1</v>
      </c>
      <c r="AL38" s="862">
        <f>SUMIFS($H$7:$H$874,$W$7:$W$874,AK38,$V$7:$V$874,"&gt;"&amp;AL33,$V$7:$V$874,"&lt;="&amp;AL34)+SUMIFS($H$7:$H$874,$W$7:$W$874,AK38,$V$7:$V$874,"Tomorrow")</f>
        <v>0</v>
      </c>
      <c r="AM38" s="863">
        <f>SUMIFS($H$7:$H$874,$W$7:$W$874,AK38,$V$7:$V$874,"&gt;"&amp;AM33,$V$7:$V$874,"&lt;="&amp;AM34)+SUMIFS($H$7:$H$874,$W$7:$W$874,AK38,$V$7:$V$874,"Tomorrow")</f>
        <v>0</v>
      </c>
      <c r="AN38" s="863">
        <f>SUMIFS($H$7:$H$874,$W$7:$W$874,AK38,$V$7:$V$874,"&gt;"&amp;AN33,$V$7:$V$874,"&lt;="&amp;AN34)+SUMIFS($H$7:$H$874,$W$7:$W$874,AK38,$V$7:$V$874,"Tomorrow")</f>
        <v>0</v>
      </c>
      <c r="AO38" s="863">
        <f>SUMIFS($H$7:$H$874,$W$7:$W$874,AK38,$V$7:$V$874,"&gt;"&amp;AO33,$V$7:$V$874,"&lt;="&amp;AO34)+SUMIFS($H$7:$H$874,$W$7:$W$874,AK38,$V$7:$V$874,"Tomorrow")</f>
        <v>0</v>
      </c>
      <c r="AP38" s="863">
        <f>SUMIFS($H$7:$H$874,$W$7:$W$874,AK38,$V$7:$V$874,"&gt;"&amp;AP33,$V$7:$V$874,"&lt;="&amp;AP34)+SUMIFS($H$7:$H$874,$W$7:$W$874,AK38,$V$7:$V$874,"Tomorrow")</f>
        <v>0</v>
      </c>
      <c r="AQ38" s="863">
        <f>SUMIFS($H$7:$H$874,$W$7:$W$874,AK38,$V$7:$V$874,"&gt;"&amp;AQ33,$V$7:$V$874,"&lt;="&amp;AQ34)+SUMIFS($H$7:$H$874,$W$7:$W$874,AK38,$V$7:$V$874,"Tomorrow")</f>
        <v>0</v>
      </c>
      <c r="AR38" s="863">
        <f>SUMIFS($H$7:$H$874,$W$7:$W$874,AK38,$V$7:$V$874,"&gt;"&amp;AR33,$V$7:$V$874,"&lt;="&amp;AR34)+SUMIFS($H$7:$H$874,$W$7:$W$874,AK38,$V$7:$V$874,"Tomorrow")</f>
        <v>0</v>
      </c>
      <c r="AS38" s="864">
        <f>SUMIFS($H$7:$H$874,$W$7:$W$874,AK38,$V$7:$V$874,"&gt;"&amp;AS33,$V$7:$V$874,"&lt;="&amp;AS34)+SUMIFS($H$7:$H$874,$W$7:$W$874,AK38,$V$7:$V$874,"Tomorrow")</f>
        <v>0</v>
      </c>
      <c r="AT38" s="211"/>
    </row>
    <row r="39" spans="1:46" s="1" customFormat="1" ht="15" customHeight="1" thickTop="1" thickBot="1">
      <c r="A39" s="946">
        <v>10630001</v>
      </c>
      <c r="B39" s="946" t="s">
        <v>595</v>
      </c>
      <c r="C39" s="946">
        <v>6115904000096</v>
      </c>
      <c r="D39" s="946">
        <v>100000014</v>
      </c>
      <c r="E39" s="946" t="s">
        <v>23</v>
      </c>
      <c r="F39" s="946" t="s">
        <v>26</v>
      </c>
      <c r="G39" s="947">
        <v>103568.68</v>
      </c>
      <c r="H39" s="947">
        <v>147449.72</v>
      </c>
      <c r="I39" s="949">
        <v>45197</v>
      </c>
      <c r="J39" s="949">
        <v>47579</v>
      </c>
      <c r="K39" s="949">
        <v>46058</v>
      </c>
      <c r="L39" s="29" t="e">
        <f>VLOOKUP(A39,'Account Mapping'!$A$2:$E$216,3,0)</f>
        <v>#N/A</v>
      </c>
      <c r="M39" s="25" t="e">
        <f>VLOOKUP(A39,'Account Mapping'!$A$2:$E$216,4,0)</f>
        <v>#N/A</v>
      </c>
      <c r="N39" s="26" t="e">
        <f>IF(OR(C39='Account Mapping'!$H$4,C39='Account Mapping'!$H$5,C39='Account Mapping'!$H$6),'Account Mapping'!$I$4,VLOOKUP(A39,'Account Mapping'!$A$2:$E$216,5,0))</f>
        <v>#N/A</v>
      </c>
      <c r="O39" s="27" t="e">
        <f>IF(OR(L39="Loan",L39="Deposit_Liability",L39="OFF_Unused Loan Commitment",L39="HQLA"),VLOOKUP(D39,'Customer Type'!$A$3:$C$38,3,0),"")</f>
        <v>#N/A</v>
      </c>
      <c r="P39" s="656" t="e">
        <f t="shared" si="2"/>
        <v>#N/A</v>
      </c>
      <c r="Q39" s="658">
        <f>IF(COUNTIF('Account Mapping'!$H$12:$H$45,A39)&gt;0,-H39,H39)</f>
        <v>147449.72</v>
      </c>
      <c r="R39" s="249" t="e">
        <f>VLOOKUP(P39,Assumptions!$C$2:$D$64,2,0)</f>
        <v>#N/A</v>
      </c>
      <c r="S39" s="692">
        <f>IFERROR(VLOOKUP(A39,'Maturity Adjustment'!$A$3:$C$81,3,0),(IF(J39&lt;$N$4,"Tomorrow",J39)))</f>
        <v>47579</v>
      </c>
      <c r="T39" s="24">
        <f t="shared" si="18"/>
        <v>1521</v>
      </c>
      <c r="U39" s="196" t="e">
        <f t="shared" si="4"/>
        <v>#N/A</v>
      </c>
      <c r="V39" s="11">
        <f>IFERROR(VLOOKUP(A39,'Maturity Adjustment'!$A$86:$C$91,3,0),S39)</f>
        <v>47579</v>
      </c>
      <c r="W39" s="207" t="e">
        <f>VLOOKUP(A39,'Account Mapping'!$A$2:$F$216,6,0)</f>
        <v>#N/A</v>
      </c>
      <c r="X39" s="194">
        <f t="shared" ref="X39:X71" si="64">IF(V39="Tomorrow",Q39,IF(AND(V39&gt;$X$4-1,V39&lt;$X$5),Q39,IF(V39=$X$5,Q39,0)))</f>
        <v>0</v>
      </c>
      <c r="Y39" s="194">
        <f t="shared" si="5"/>
        <v>0</v>
      </c>
      <c r="Z39" s="13">
        <f t="shared" si="6"/>
        <v>0</v>
      </c>
      <c r="AA39" s="13">
        <f t="shared" si="7"/>
        <v>0</v>
      </c>
      <c r="AB39" s="13">
        <f t="shared" si="8"/>
        <v>0</v>
      </c>
      <c r="AC39" s="13">
        <f t="shared" si="9"/>
        <v>0</v>
      </c>
      <c r="AD39" s="13">
        <f t="shared" si="10"/>
        <v>0</v>
      </c>
      <c r="AE39" s="13">
        <f t="shared" si="11"/>
        <v>147449.72</v>
      </c>
      <c r="AF39" s="13">
        <f t="shared" si="12"/>
        <v>0</v>
      </c>
      <c r="AG39" s="685">
        <f t="shared" si="13"/>
        <v>0</v>
      </c>
      <c r="AH39" s="688" t="b">
        <f t="shared" si="21"/>
        <v>1</v>
      </c>
      <c r="AJ39" s="833"/>
      <c r="AK39" s="869" t="s">
        <v>1566</v>
      </c>
      <c r="AL39" s="870">
        <f>AL37-AL38</f>
        <v>0</v>
      </c>
      <c r="AM39" s="870">
        <f t="shared" ref="AM39:AR39" si="65">AM37-AM38</f>
        <v>0</v>
      </c>
      <c r="AN39" s="870">
        <f t="shared" si="65"/>
        <v>0</v>
      </c>
      <c r="AO39" s="870">
        <f t="shared" si="65"/>
        <v>0</v>
      </c>
      <c r="AP39" s="870">
        <f t="shared" si="65"/>
        <v>0</v>
      </c>
      <c r="AQ39" s="870">
        <f t="shared" si="65"/>
        <v>0</v>
      </c>
      <c r="AR39" s="870">
        <f t="shared" si="65"/>
        <v>0</v>
      </c>
      <c r="AS39" s="871">
        <f t="shared" ref="AS39" si="66">AS37-AS38</f>
        <v>0</v>
      </c>
    </row>
    <row r="40" spans="1:46" s="1" customFormat="1" ht="15" customHeight="1" thickTop="1">
      <c r="A40" s="946">
        <v>10630001</v>
      </c>
      <c r="B40" s="946" t="s">
        <v>595</v>
      </c>
      <c r="C40" s="946">
        <v>6115904000107</v>
      </c>
      <c r="D40" s="946">
        <v>100000014</v>
      </c>
      <c r="E40" s="946" t="s">
        <v>23</v>
      </c>
      <c r="F40" s="946" t="s">
        <v>26</v>
      </c>
      <c r="G40" s="947">
        <v>120567.47</v>
      </c>
      <c r="H40" s="947">
        <v>171650.73</v>
      </c>
      <c r="I40" s="949">
        <v>45226</v>
      </c>
      <c r="J40" s="949">
        <v>47579</v>
      </c>
      <c r="K40" s="949">
        <v>46058</v>
      </c>
      <c r="L40" s="29" t="e">
        <f>VLOOKUP(A40,'Account Mapping'!$A$2:$E$216,3,0)</f>
        <v>#N/A</v>
      </c>
      <c r="M40" s="25" t="e">
        <f>VLOOKUP(A40,'Account Mapping'!$A$2:$E$216,4,0)</f>
        <v>#N/A</v>
      </c>
      <c r="N40" s="26" t="e">
        <f>IF(OR(C40='Account Mapping'!$H$4,C40='Account Mapping'!$H$5,C40='Account Mapping'!$H$6),'Account Mapping'!$I$4,VLOOKUP(A40,'Account Mapping'!$A$2:$E$216,5,0))</f>
        <v>#N/A</v>
      </c>
      <c r="O40" s="27" t="e">
        <f>IF(OR(L40="Loan",L40="Deposit_Liability",L40="OFF_Unused Loan Commitment",L40="HQLA"),VLOOKUP(D40,'Customer Type'!$A$3:$C$38,3,0),"")</f>
        <v>#N/A</v>
      </c>
      <c r="P40" s="656" t="e">
        <f t="shared" si="2"/>
        <v>#N/A</v>
      </c>
      <c r="Q40" s="658">
        <f>IF(COUNTIF('Account Mapping'!$H$12:$H$45,A40)&gt;0,-H40,H40)</f>
        <v>171650.73</v>
      </c>
      <c r="R40" s="249" t="e">
        <f>VLOOKUP(P40,Assumptions!$C$2:$D$64,2,0)</f>
        <v>#N/A</v>
      </c>
      <c r="S40" s="692">
        <f>IFERROR(VLOOKUP(A40,'Maturity Adjustment'!$A$3:$C$81,3,0),(IF(J40&lt;$N$4,"Tomorrow",J40)))</f>
        <v>47579</v>
      </c>
      <c r="T40" s="24">
        <f t="shared" si="18"/>
        <v>1521</v>
      </c>
      <c r="U40" s="196" t="e">
        <f t="shared" si="4"/>
        <v>#N/A</v>
      </c>
      <c r="V40" s="11">
        <f>IFERROR(VLOOKUP(A40,'Maturity Adjustment'!$A$86:$C$91,3,0),S40)</f>
        <v>47579</v>
      </c>
      <c r="W40" s="207" t="e">
        <f>VLOOKUP(A40,'Account Mapping'!$A$2:$F$216,6,0)</f>
        <v>#N/A</v>
      </c>
      <c r="X40" s="194">
        <f t="shared" si="64"/>
        <v>0</v>
      </c>
      <c r="Y40" s="194">
        <f t="shared" si="5"/>
        <v>0</v>
      </c>
      <c r="Z40" s="13">
        <f t="shared" si="6"/>
        <v>0</v>
      </c>
      <c r="AA40" s="13">
        <f t="shared" si="7"/>
        <v>0</v>
      </c>
      <c r="AB40" s="13">
        <f t="shared" si="8"/>
        <v>0</v>
      </c>
      <c r="AC40" s="13">
        <f t="shared" si="9"/>
        <v>0</v>
      </c>
      <c r="AD40" s="13">
        <f t="shared" si="10"/>
        <v>0</v>
      </c>
      <c r="AE40" s="13">
        <f t="shared" si="11"/>
        <v>171650.73</v>
      </c>
      <c r="AF40" s="13">
        <f t="shared" si="12"/>
        <v>0</v>
      </c>
      <c r="AG40" s="685">
        <f t="shared" si="13"/>
        <v>0</v>
      </c>
      <c r="AH40" s="688" t="b">
        <f t="shared" si="21"/>
        <v>1</v>
      </c>
      <c r="AJ40" s="833"/>
      <c r="AK40" s="865" t="s">
        <v>1572</v>
      </c>
      <c r="AL40" s="866">
        <f>AL16</f>
        <v>0</v>
      </c>
      <c r="AM40" s="867">
        <f t="shared" ref="AM40" si="67">AL40</f>
        <v>0</v>
      </c>
      <c r="AN40" s="867">
        <f t="shared" ref="AN40" si="68">AM40</f>
        <v>0</v>
      </c>
      <c r="AO40" s="867">
        <f t="shared" ref="AO40" si="69">AN40</f>
        <v>0</v>
      </c>
      <c r="AP40" s="867">
        <f t="shared" ref="AP40" si="70">AO40</f>
        <v>0</v>
      </c>
      <c r="AQ40" s="867">
        <f t="shared" ref="AQ40" si="71">AP40</f>
        <v>0</v>
      </c>
      <c r="AR40" s="867">
        <f t="shared" ref="AR40:AS40" si="72">AQ40</f>
        <v>0</v>
      </c>
      <c r="AS40" s="868">
        <f t="shared" si="72"/>
        <v>0</v>
      </c>
    </row>
    <row r="41" spans="1:46" s="1" customFormat="1" ht="19.350000000000001" customHeight="1" thickBot="1">
      <c r="A41" s="946">
        <v>10630001</v>
      </c>
      <c r="B41" s="946" t="s">
        <v>595</v>
      </c>
      <c r="C41" s="946">
        <v>6115904000114</v>
      </c>
      <c r="D41" s="946">
        <v>100000014</v>
      </c>
      <c r="E41" s="946" t="s">
        <v>23</v>
      </c>
      <c r="F41" s="946" t="s">
        <v>26</v>
      </c>
      <c r="G41" s="947">
        <v>1107550.1200000001</v>
      </c>
      <c r="H41" s="947">
        <v>1576808.26</v>
      </c>
      <c r="I41" s="949">
        <v>45230</v>
      </c>
      <c r="J41" s="949">
        <v>47579</v>
      </c>
      <c r="K41" s="949">
        <v>46058</v>
      </c>
      <c r="L41" s="29" t="e">
        <f>VLOOKUP(A41,'Account Mapping'!$A$2:$E$216,3,0)</f>
        <v>#N/A</v>
      </c>
      <c r="M41" s="25" t="e">
        <f>VLOOKUP(A41,'Account Mapping'!$A$2:$E$216,4,0)</f>
        <v>#N/A</v>
      </c>
      <c r="N41" s="26" t="e">
        <f>IF(OR(C41='Account Mapping'!$H$4,C41='Account Mapping'!$H$5,C41='Account Mapping'!$H$6),'Account Mapping'!$I$4,VLOOKUP(A41,'Account Mapping'!$A$2:$E$216,5,0))</f>
        <v>#N/A</v>
      </c>
      <c r="O41" s="27" t="e">
        <f>IF(OR(L41="Loan",L41="Deposit_Liability",L41="OFF_Unused Loan Commitment",L41="HQLA"),VLOOKUP(D41,'Customer Type'!$A$3:$C$38,3,0),"")</f>
        <v>#N/A</v>
      </c>
      <c r="P41" s="656" t="e">
        <f t="shared" si="2"/>
        <v>#N/A</v>
      </c>
      <c r="Q41" s="658">
        <f>IF(COUNTIF('Account Mapping'!$H$12:$H$45,A41)&gt;0,-H41,H41)</f>
        <v>1576808.26</v>
      </c>
      <c r="R41" s="249" t="e">
        <f>VLOOKUP(P41,Assumptions!$C$2:$D$64,2,0)</f>
        <v>#N/A</v>
      </c>
      <c r="S41" s="692">
        <f>IFERROR(VLOOKUP(A41,'Maturity Adjustment'!$A$3:$C$81,3,0),(IF(J41&lt;$N$4,"Tomorrow",J41)))</f>
        <v>47579</v>
      </c>
      <c r="T41" s="24">
        <f t="shared" si="18"/>
        <v>1521</v>
      </c>
      <c r="U41" s="196" t="e">
        <f t="shared" si="4"/>
        <v>#N/A</v>
      </c>
      <c r="V41" s="11">
        <f>IFERROR(VLOOKUP(A41,'Maturity Adjustment'!$A$86:$C$91,3,0),S41)</f>
        <v>47579</v>
      </c>
      <c r="W41" s="207" t="e">
        <f>VLOOKUP(A41,'Account Mapping'!$A$2:$F$216,6,0)</f>
        <v>#N/A</v>
      </c>
      <c r="X41" s="194">
        <f t="shared" si="64"/>
        <v>0</v>
      </c>
      <c r="Y41" s="194">
        <f t="shared" si="5"/>
        <v>0</v>
      </c>
      <c r="Z41" s="13">
        <f t="shared" si="6"/>
        <v>0</v>
      </c>
      <c r="AA41" s="13">
        <f t="shared" si="7"/>
        <v>0</v>
      </c>
      <c r="AB41" s="13">
        <f t="shared" si="8"/>
        <v>0</v>
      </c>
      <c r="AC41" s="13">
        <f t="shared" si="9"/>
        <v>0</v>
      </c>
      <c r="AD41" s="13">
        <f t="shared" si="10"/>
        <v>0</v>
      </c>
      <c r="AE41" s="13">
        <f t="shared" si="11"/>
        <v>1576808.26</v>
      </c>
      <c r="AF41" s="13">
        <f t="shared" si="12"/>
        <v>0</v>
      </c>
      <c r="AG41" s="685">
        <f t="shared" si="13"/>
        <v>0</v>
      </c>
      <c r="AH41" s="688" t="b">
        <f t="shared" si="21"/>
        <v>1</v>
      </c>
      <c r="AJ41" s="833"/>
      <c r="AK41" s="880" t="s">
        <v>1571</v>
      </c>
      <c r="AL41" s="881" t="e">
        <f t="shared" ref="AL41:AR41" si="73">AL39/AL40</f>
        <v>#DIV/0!</v>
      </c>
      <c r="AM41" s="881" t="e">
        <f t="shared" si="73"/>
        <v>#DIV/0!</v>
      </c>
      <c r="AN41" s="881" t="e">
        <f t="shared" si="73"/>
        <v>#DIV/0!</v>
      </c>
      <c r="AO41" s="881" t="e">
        <f t="shared" si="73"/>
        <v>#DIV/0!</v>
      </c>
      <c r="AP41" s="881" t="e">
        <f t="shared" si="73"/>
        <v>#DIV/0!</v>
      </c>
      <c r="AQ41" s="881" t="e">
        <f t="shared" si="73"/>
        <v>#DIV/0!</v>
      </c>
      <c r="AR41" s="881" t="e">
        <f t="shared" si="73"/>
        <v>#DIV/0!</v>
      </c>
      <c r="AS41" s="882" t="e">
        <f t="shared" ref="AS41" si="74">AS39/AS40</f>
        <v>#DIV/0!</v>
      </c>
    </row>
    <row r="42" spans="1:46" s="1" customFormat="1" ht="15" customHeight="1" thickBot="1">
      <c r="A42" s="946">
        <v>10630001</v>
      </c>
      <c r="B42" s="946" t="s">
        <v>595</v>
      </c>
      <c r="C42" s="946">
        <v>6115904000146</v>
      </c>
      <c r="D42" s="946">
        <v>100000014</v>
      </c>
      <c r="E42" s="946" t="s">
        <v>23</v>
      </c>
      <c r="F42" s="946" t="s">
        <v>26</v>
      </c>
      <c r="G42" s="947">
        <v>132635.54</v>
      </c>
      <c r="H42" s="947">
        <v>188831.92</v>
      </c>
      <c r="I42" s="949">
        <v>45257</v>
      </c>
      <c r="J42" s="949">
        <v>47579</v>
      </c>
      <c r="K42" s="949">
        <v>46058</v>
      </c>
      <c r="L42" s="29" t="e">
        <f>VLOOKUP(A42,'Account Mapping'!$A$2:$E$216,3,0)</f>
        <v>#N/A</v>
      </c>
      <c r="M42" s="25" t="e">
        <f>VLOOKUP(A42,'Account Mapping'!$A$2:$E$216,4,0)</f>
        <v>#N/A</v>
      </c>
      <c r="N42" s="26" t="e">
        <f>IF(OR(C42='Account Mapping'!$H$4,C42='Account Mapping'!$H$5,C42='Account Mapping'!$H$6),'Account Mapping'!$I$4,VLOOKUP(A42,'Account Mapping'!$A$2:$E$216,5,0))</f>
        <v>#N/A</v>
      </c>
      <c r="O42" s="27" t="e">
        <f>IF(OR(L42="Loan",L42="Deposit_Liability",L42="OFF_Unused Loan Commitment",L42="HQLA"),VLOOKUP(D42,'Customer Type'!$A$3:$C$38,3,0),"")</f>
        <v>#N/A</v>
      </c>
      <c r="P42" s="656" t="e">
        <f t="shared" si="2"/>
        <v>#N/A</v>
      </c>
      <c r="Q42" s="658">
        <f>IF(COUNTIF('Account Mapping'!$H$12:$H$45,A42)&gt;0,-H42,H42)</f>
        <v>188831.92</v>
      </c>
      <c r="R42" s="249" t="e">
        <f>VLOOKUP(P42,Assumptions!$C$2:$D$64,2,0)</f>
        <v>#N/A</v>
      </c>
      <c r="S42" s="692">
        <f>IFERROR(VLOOKUP(A42,'Maturity Adjustment'!$A$3:$C$81,3,0),(IF(J42&lt;$N$4,"Tomorrow",J42)))</f>
        <v>47579</v>
      </c>
      <c r="T42" s="24">
        <f t="shared" si="18"/>
        <v>1521</v>
      </c>
      <c r="U42" s="196" t="e">
        <f t="shared" si="4"/>
        <v>#N/A</v>
      </c>
      <c r="V42" s="11">
        <f>IFERROR(VLOOKUP(A42,'Maturity Adjustment'!$A$86:$C$91,3,0),S42)</f>
        <v>47579</v>
      </c>
      <c r="W42" s="207" t="e">
        <f>VLOOKUP(A42,'Account Mapping'!$A$2:$F$216,6,0)</f>
        <v>#N/A</v>
      </c>
      <c r="X42" s="194">
        <f t="shared" si="64"/>
        <v>0</v>
      </c>
      <c r="Y42" s="194">
        <f t="shared" si="5"/>
        <v>0</v>
      </c>
      <c r="Z42" s="13">
        <f t="shared" si="6"/>
        <v>0</v>
      </c>
      <c r="AA42" s="13">
        <f t="shared" si="7"/>
        <v>0</v>
      </c>
      <c r="AB42" s="13">
        <f t="shared" si="8"/>
        <v>0</v>
      </c>
      <c r="AC42" s="13">
        <f t="shared" si="9"/>
        <v>0</v>
      </c>
      <c r="AD42" s="13">
        <f t="shared" si="10"/>
        <v>0</v>
      </c>
      <c r="AE42" s="13">
        <f t="shared" si="11"/>
        <v>188831.92</v>
      </c>
      <c r="AF42" s="13">
        <f t="shared" si="12"/>
        <v>0</v>
      </c>
      <c r="AG42" s="685">
        <f t="shared" si="13"/>
        <v>0</v>
      </c>
      <c r="AH42" s="688" t="b">
        <f t="shared" si="21"/>
        <v>1</v>
      </c>
      <c r="AJ42" s="833"/>
      <c r="AK42" s="834" t="s">
        <v>699</v>
      </c>
      <c r="AL42" s="835">
        <v>-0.4</v>
      </c>
      <c r="AM42" s="835">
        <f t="shared" ref="AM42" si="75">AL42</f>
        <v>-0.4</v>
      </c>
      <c r="AN42" s="835">
        <f t="shared" ref="AN42" si="76">AM42</f>
        <v>-0.4</v>
      </c>
      <c r="AO42" s="835">
        <f t="shared" ref="AO42" si="77">AN42</f>
        <v>-0.4</v>
      </c>
      <c r="AP42" s="835">
        <f t="shared" ref="AP42" si="78">AO42</f>
        <v>-0.4</v>
      </c>
      <c r="AQ42" s="835">
        <f t="shared" ref="AQ42" si="79">AP42</f>
        <v>-0.4</v>
      </c>
      <c r="AR42" s="835">
        <f t="shared" ref="AR42:AS42" si="80">AQ42</f>
        <v>-0.4</v>
      </c>
      <c r="AS42" s="835">
        <f t="shared" si="80"/>
        <v>-0.4</v>
      </c>
    </row>
    <row r="43" spans="1:46" s="1" customFormat="1" ht="15" customHeight="1" thickTop="1">
      <c r="A43" s="946">
        <v>10630001</v>
      </c>
      <c r="B43" s="946" t="s">
        <v>595</v>
      </c>
      <c r="C43" s="946">
        <v>6115904000153</v>
      </c>
      <c r="D43" s="946">
        <v>100000014</v>
      </c>
      <c r="E43" s="946" t="s">
        <v>23</v>
      </c>
      <c r="F43" s="946" t="s">
        <v>26</v>
      </c>
      <c r="G43" s="947">
        <v>233477.42</v>
      </c>
      <c r="H43" s="947">
        <v>332399.52</v>
      </c>
      <c r="I43" s="949">
        <v>45260</v>
      </c>
      <c r="J43" s="949">
        <v>47579</v>
      </c>
      <c r="K43" s="949">
        <v>46058</v>
      </c>
      <c r="L43" s="29" t="e">
        <f>VLOOKUP(A43,'Account Mapping'!$A$2:$E$216,3,0)</f>
        <v>#N/A</v>
      </c>
      <c r="M43" s="25" t="e">
        <f>VLOOKUP(A43,'Account Mapping'!$A$2:$E$216,4,0)</f>
        <v>#N/A</v>
      </c>
      <c r="N43" s="26" t="e">
        <f>IF(OR(C43='Account Mapping'!$H$4,C43='Account Mapping'!$H$5,C43='Account Mapping'!$H$6),'Account Mapping'!$I$4,VLOOKUP(A43,'Account Mapping'!$A$2:$E$216,5,0))</f>
        <v>#N/A</v>
      </c>
      <c r="O43" s="27" t="e">
        <f>IF(OR(L43="Loan",L43="Deposit_Liability",L43="OFF_Unused Loan Commitment",L43="HQLA"),VLOOKUP(D43,'Customer Type'!$A$3:$C$38,3,0),"")</f>
        <v>#N/A</v>
      </c>
      <c r="P43" s="656" t="e">
        <f t="shared" si="2"/>
        <v>#N/A</v>
      </c>
      <c r="Q43" s="658">
        <f>IF(COUNTIF('Account Mapping'!$H$12:$H$45,A43)&gt;0,-H43,H43)</f>
        <v>332399.52</v>
      </c>
      <c r="R43" s="249" t="e">
        <f>VLOOKUP(P43,Assumptions!$C$2:$D$64,2,0)</f>
        <v>#N/A</v>
      </c>
      <c r="S43" s="692">
        <f>IFERROR(VLOOKUP(A43,'Maturity Adjustment'!$A$3:$C$81,3,0),(IF(J43&lt;$N$4,"Tomorrow",J43)))</f>
        <v>47579</v>
      </c>
      <c r="T43" s="24">
        <f t="shared" si="18"/>
        <v>1521</v>
      </c>
      <c r="U43" s="196" t="e">
        <f t="shared" si="4"/>
        <v>#N/A</v>
      </c>
      <c r="V43" s="11">
        <f>IFERROR(VLOOKUP(A43,'Maturity Adjustment'!$A$86:$C$91,3,0),S43)</f>
        <v>47579</v>
      </c>
      <c r="W43" s="207" t="e">
        <f>VLOOKUP(A43,'Account Mapping'!$A$2:$F$216,6,0)</f>
        <v>#N/A</v>
      </c>
      <c r="X43" s="194">
        <f t="shared" si="64"/>
        <v>0</v>
      </c>
      <c r="Y43" s="194">
        <f t="shared" si="5"/>
        <v>0</v>
      </c>
      <c r="Z43" s="13">
        <f t="shared" si="6"/>
        <v>0</v>
      </c>
      <c r="AA43" s="13">
        <f t="shared" si="7"/>
        <v>0</v>
      </c>
      <c r="AB43" s="13">
        <f t="shared" si="8"/>
        <v>0</v>
      </c>
      <c r="AC43" s="13">
        <f t="shared" si="9"/>
        <v>0</v>
      </c>
      <c r="AD43" s="13">
        <f t="shared" si="10"/>
        <v>0</v>
      </c>
      <c r="AE43" s="13">
        <f t="shared" si="11"/>
        <v>332399.52</v>
      </c>
      <c r="AF43" s="13">
        <f t="shared" si="12"/>
        <v>0</v>
      </c>
      <c r="AG43" s="685">
        <f t="shared" si="13"/>
        <v>0</v>
      </c>
      <c r="AH43" s="688" t="b">
        <f t="shared" si="21"/>
        <v>1</v>
      </c>
      <c r="AJ43" s="833"/>
      <c r="AK43" s="834" t="s">
        <v>1567</v>
      </c>
      <c r="AL43" s="836" t="e">
        <f t="shared" ref="AL43:AR43" si="81">-AL40*(AL42-AL41)</f>
        <v>#DIV/0!</v>
      </c>
      <c r="AM43" s="836" t="e">
        <f t="shared" si="81"/>
        <v>#DIV/0!</v>
      </c>
      <c r="AN43" s="836" t="e">
        <f t="shared" si="81"/>
        <v>#DIV/0!</v>
      </c>
      <c r="AO43" s="836" t="e">
        <f t="shared" si="81"/>
        <v>#DIV/0!</v>
      </c>
      <c r="AP43" s="836" t="e">
        <f t="shared" si="81"/>
        <v>#DIV/0!</v>
      </c>
      <c r="AQ43" s="836" t="e">
        <f t="shared" si="81"/>
        <v>#DIV/0!</v>
      </c>
      <c r="AR43" s="836" t="e">
        <f t="shared" si="81"/>
        <v>#DIV/0!</v>
      </c>
      <c r="AS43" s="836" t="e">
        <f t="shared" ref="AS43" si="82">-AS40*(AS42-AS41)</f>
        <v>#DIV/0!</v>
      </c>
    </row>
    <row r="44" spans="1:46" s="1" customFormat="1" ht="15" customHeight="1">
      <c r="A44" s="946">
        <v>10630001</v>
      </c>
      <c r="B44" s="946" t="s">
        <v>595</v>
      </c>
      <c r="C44" s="946">
        <v>6115904000160</v>
      </c>
      <c r="D44" s="946">
        <v>100000014</v>
      </c>
      <c r="E44" s="946" t="s">
        <v>23</v>
      </c>
      <c r="F44" s="946" t="s">
        <v>26</v>
      </c>
      <c r="G44" s="947">
        <v>131409.16</v>
      </c>
      <c r="H44" s="947">
        <v>187085.93</v>
      </c>
      <c r="I44" s="949">
        <v>45287</v>
      </c>
      <c r="J44" s="949">
        <v>47579</v>
      </c>
      <c r="K44" s="949">
        <v>46058</v>
      </c>
      <c r="L44" s="29" t="e">
        <f>VLOOKUP(A44,'Account Mapping'!$A$2:$E$216,3,0)</f>
        <v>#N/A</v>
      </c>
      <c r="M44" s="25" t="e">
        <f>VLOOKUP(A44,'Account Mapping'!$A$2:$E$216,4,0)</f>
        <v>#N/A</v>
      </c>
      <c r="N44" s="26" t="e">
        <f>IF(OR(C44='Account Mapping'!$H$4,C44='Account Mapping'!$H$5,C44='Account Mapping'!$H$6),'Account Mapping'!$I$4,VLOOKUP(A44,'Account Mapping'!$A$2:$E$216,5,0))</f>
        <v>#N/A</v>
      </c>
      <c r="O44" s="27" t="e">
        <f>IF(OR(L44="Loan",L44="Deposit_Liability",L44="OFF_Unused Loan Commitment",L44="HQLA"),VLOOKUP(D44,'Customer Type'!$A$3:$C$38,3,0),"")</f>
        <v>#N/A</v>
      </c>
      <c r="P44" s="656" t="e">
        <f t="shared" si="2"/>
        <v>#N/A</v>
      </c>
      <c r="Q44" s="658">
        <f>IF(COUNTIF('Account Mapping'!$H$12:$H$45,A44)&gt;0,-H44,H44)</f>
        <v>187085.93</v>
      </c>
      <c r="R44" s="249" t="e">
        <f>VLOOKUP(P44,Assumptions!$C$2:$D$64,2,0)</f>
        <v>#N/A</v>
      </c>
      <c r="S44" s="692">
        <f>IFERROR(VLOOKUP(A44,'Maturity Adjustment'!$A$3:$C$81,3,0),(IF(J44&lt;$N$4,"Tomorrow",J44)))</f>
        <v>47579</v>
      </c>
      <c r="T44" s="24">
        <f t="shared" si="18"/>
        <v>1521</v>
      </c>
      <c r="U44" s="196" t="e">
        <f t="shared" si="4"/>
        <v>#N/A</v>
      </c>
      <c r="V44" s="11">
        <f>IFERROR(VLOOKUP(A44,'Maturity Adjustment'!$A$86:$C$91,3,0),S44)</f>
        <v>47579</v>
      </c>
      <c r="W44" s="207" t="e">
        <f>VLOOKUP(A44,'Account Mapping'!$A$2:$F$216,6,0)</f>
        <v>#N/A</v>
      </c>
      <c r="X44" s="194">
        <f t="shared" si="64"/>
        <v>0</v>
      </c>
      <c r="Y44" s="194">
        <f t="shared" si="5"/>
        <v>0</v>
      </c>
      <c r="Z44" s="13">
        <f t="shared" si="6"/>
        <v>0</v>
      </c>
      <c r="AA44" s="13">
        <f t="shared" si="7"/>
        <v>0</v>
      </c>
      <c r="AB44" s="13">
        <f t="shared" si="8"/>
        <v>0</v>
      </c>
      <c r="AC44" s="13">
        <f t="shared" si="9"/>
        <v>0</v>
      </c>
      <c r="AD44" s="13">
        <f t="shared" si="10"/>
        <v>0</v>
      </c>
      <c r="AE44" s="13">
        <f t="shared" si="11"/>
        <v>187085.93</v>
      </c>
      <c r="AF44" s="13">
        <f t="shared" si="12"/>
        <v>0</v>
      </c>
      <c r="AG44" s="685">
        <f t="shared" si="13"/>
        <v>0</v>
      </c>
      <c r="AH44" s="688" t="b">
        <f t="shared" si="21"/>
        <v>1</v>
      </c>
    </row>
    <row r="45" spans="1:46" s="1" customFormat="1" ht="15" customHeight="1">
      <c r="A45" s="946">
        <v>10630001</v>
      </c>
      <c r="B45" s="946" t="s">
        <v>595</v>
      </c>
      <c r="C45" s="946">
        <v>6115904000178</v>
      </c>
      <c r="D45" s="946">
        <v>100000014</v>
      </c>
      <c r="E45" s="946" t="s">
        <v>23</v>
      </c>
      <c r="F45" s="946" t="s">
        <v>26</v>
      </c>
      <c r="G45" s="947">
        <v>967741.94</v>
      </c>
      <c r="H45" s="947">
        <v>1377764.72</v>
      </c>
      <c r="I45" s="949">
        <v>45289</v>
      </c>
      <c r="J45" s="949">
        <v>47579</v>
      </c>
      <c r="K45" s="949">
        <v>46058</v>
      </c>
      <c r="L45" s="29" t="e">
        <f>VLOOKUP(A45,'Account Mapping'!$A$2:$E$216,3,0)</f>
        <v>#N/A</v>
      </c>
      <c r="M45" s="25" t="e">
        <f>VLOOKUP(A45,'Account Mapping'!$A$2:$E$216,4,0)</f>
        <v>#N/A</v>
      </c>
      <c r="N45" s="26" t="e">
        <f>IF(OR(C45='Account Mapping'!$H$4,C45='Account Mapping'!$H$5,C45='Account Mapping'!$H$6),'Account Mapping'!$I$4,VLOOKUP(A45,'Account Mapping'!$A$2:$E$216,5,0))</f>
        <v>#N/A</v>
      </c>
      <c r="O45" s="27" t="e">
        <f>IF(OR(L45="Loan",L45="Deposit_Liability",L45="OFF_Unused Loan Commitment",L45="HQLA"),VLOOKUP(D45,'Customer Type'!$A$3:$C$38,3,0),"")</f>
        <v>#N/A</v>
      </c>
      <c r="P45" s="656" t="e">
        <f t="shared" si="2"/>
        <v>#N/A</v>
      </c>
      <c r="Q45" s="658">
        <f>IF(COUNTIF('Account Mapping'!$H$12:$H$45,A45)&gt;0,-H45,H45)</f>
        <v>1377764.72</v>
      </c>
      <c r="R45" s="249" t="e">
        <f>VLOOKUP(P45,Assumptions!$C$2:$D$64,2,0)</f>
        <v>#N/A</v>
      </c>
      <c r="S45" s="692">
        <f>IFERROR(VLOOKUP(A45,'Maturity Adjustment'!$A$3:$C$81,3,0),(IF(J45&lt;$N$4,"Tomorrow",J45)))</f>
        <v>47579</v>
      </c>
      <c r="T45" s="24">
        <f>IF(S45="Tomorrow",1,(S45-$N$4))</f>
        <v>1521</v>
      </c>
      <c r="U45" s="196" t="e">
        <f t="shared" si="4"/>
        <v>#N/A</v>
      </c>
      <c r="V45" s="11">
        <f>IFERROR(VLOOKUP(A45,'Maturity Adjustment'!$A$86:$C$91,3,0),S45)</f>
        <v>47579</v>
      </c>
      <c r="W45" s="207" t="e">
        <f>VLOOKUP(A45,'Account Mapping'!$A$2:$F$216,6,0)</f>
        <v>#N/A</v>
      </c>
      <c r="X45" s="194">
        <f t="shared" si="64"/>
        <v>0</v>
      </c>
      <c r="Y45" s="194">
        <f t="shared" si="5"/>
        <v>0</v>
      </c>
      <c r="Z45" s="13">
        <f t="shared" si="6"/>
        <v>0</v>
      </c>
      <c r="AA45" s="13">
        <f t="shared" si="7"/>
        <v>0</v>
      </c>
      <c r="AB45" s="13">
        <f t="shared" si="8"/>
        <v>0</v>
      </c>
      <c r="AC45" s="13">
        <f t="shared" si="9"/>
        <v>0</v>
      </c>
      <c r="AD45" s="13">
        <f t="shared" si="10"/>
        <v>0</v>
      </c>
      <c r="AE45" s="13">
        <f t="shared" si="11"/>
        <v>1377764.72</v>
      </c>
      <c r="AF45" s="13">
        <f t="shared" si="12"/>
        <v>0</v>
      </c>
      <c r="AG45" s="685">
        <f t="shared" si="13"/>
        <v>0</v>
      </c>
      <c r="AH45" s="688" t="b">
        <f t="shared" si="21"/>
        <v>1</v>
      </c>
    </row>
    <row r="46" spans="1:46" s="1" customFormat="1" ht="15" customHeight="1">
      <c r="A46" s="946">
        <v>10630001</v>
      </c>
      <c r="B46" s="946" t="s">
        <v>595</v>
      </c>
      <c r="C46" s="946">
        <v>6115904000185</v>
      </c>
      <c r="D46" s="946">
        <v>100000014</v>
      </c>
      <c r="E46" s="946" t="s">
        <v>23</v>
      </c>
      <c r="F46" s="946" t="s">
        <v>26</v>
      </c>
      <c r="G46" s="947">
        <v>133263.53</v>
      </c>
      <c r="H46" s="947">
        <v>189725.98</v>
      </c>
      <c r="I46" s="949">
        <v>45316</v>
      </c>
      <c r="J46" s="949">
        <v>47579</v>
      </c>
      <c r="K46" s="949">
        <v>46058</v>
      </c>
      <c r="L46" s="29" t="e">
        <f>VLOOKUP(A46,'Account Mapping'!$A$2:$E$216,3,0)</f>
        <v>#N/A</v>
      </c>
      <c r="M46" s="25" t="e">
        <f>VLOOKUP(A46,'Account Mapping'!$A$2:$E$216,4,0)</f>
        <v>#N/A</v>
      </c>
      <c r="N46" s="26" t="e">
        <f>IF(OR(C46='Account Mapping'!$H$4,C46='Account Mapping'!$H$5,C46='Account Mapping'!$H$6),'Account Mapping'!$I$4,VLOOKUP(A46,'Account Mapping'!$A$2:$E$216,5,0))</f>
        <v>#N/A</v>
      </c>
      <c r="O46" s="27" t="e">
        <f>IF(OR(L46="Loan",L46="Deposit_Liability",L46="OFF_Unused Loan Commitment",L46="HQLA"),VLOOKUP(D46,'Customer Type'!$A$3:$C$38,3,0),"")</f>
        <v>#N/A</v>
      </c>
      <c r="P46" s="656" t="e">
        <f t="shared" si="2"/>
        <v>#N/A</v>
      </c>
      <c r="Q46" s="658">
        <f>IF(COUNTIF('Account Mapping'!$H$12:$H$45,A46)&gt;0,-H46,H46)</f>
        <v>189725.98</v>
      </c>
      <c r="R46" s="249" t="e">
        <f>VLOOKUP(P46,Assumptions!$C$2:$D$64,2,0)</f>
        <v>#N/A</v>
      </c>
      <c r="S46" s="692">
        <f>IFERROR(VLOOKUP(A46,'Maturity Adjustment'!$A$3:$C$81,3,0),(IF(J46&lt;$N$4,"Tomorrow",J46)))</f>
        <v>47579</v>
      </c>
      <c r="T46" s="24">
        <f t="shared" si="18"/>
        <v>1521</v>
      </c>
      <c r="U46" s="196" t="e">
        <f t="shared" si="4"/>
        <v>#N/A</v>
      </c>
      <c r="V46" s="11">
        <f>IFERROR(VLOOKUP(A46,'Maturity Adjustment'!$A$86:$C$91,3,0),S46)</f>
        <v>47579</v>
      </c>
      <c r="W46" s="207" t="e">
        <f>VLOOKUP(A46,'Account Mapping'!$A$2:$F$216,6,0)</f>
        <v>#N/A</v>
      </c>
      <c r="X46" s="194">
        <f t="shared" si="64"/>
        <v>0</v>
      </c>
      <c r="Y46" s="194">
        <f t="shared" si="5"/>
        <v>0</v>
      </c>
      <c r="Z46" s="13">
        <f t="shared" si="6"/>
        <v>0</v>
      </c>
      <c r="AA46" s="13">
        <f t="shared" si="7"/>
        <v>0</v>
      </c>
      <c r="AB46" s="13">
        <f t="shared" si="8"/>
        <v>0</v>
      </c>
      <c r="AC46" s="13">
        <f t="shared" si="9"/>
        <v>0</v>
      </c>
      <c r="AD46" s="13">
        <f t="shared" si="10"/>
        <v>0</v>
      </c>
      <c r="AE46" s="13">
        <f t="shared" si="11"/>
        <v>189725.98</v>
      </c>
      <c r="AF46" s="13">
        <f t="shared" si="12"/>
        <v>0</v>
      </c>
      <c r="AG46" s="685">
        <f t="shared" si="13"/>
        <v>0</v>
      </c>
      <c r="AH46" s="688" t="b">
        <f t="shared" si="21"/>
        <v>1</v>
      </c>
    </row>
    <row r="47" spans="1:46" s="1" customFormat="1" ht="15" customHeight="1" thickBot="1">
      <c r="A47" s="946">
        <v>10630001</v>
      </c>
      <c r="B47" s="946" t="s">
        <v>595</v>
      </c>
      <c r="C47" s="946">
        <v>6115904000192</v>
      </c>
      <c r="D47" s="946">
        <v>100000014</v>
      </c>
      <c r="E47" s="946" t="s">
        <v>23</v>
      </c>
      <c r="F47" s="946" t="s">
        <v>26</v>
      </c>
      <c r="G47" s="947">
        <v>1666666.67</v>
      </c>
      <c r="H47" s="947">
        <v>2372817.0099999998</v>
      </c>
      <c r="I47" s="949">
        <v>45321</v>
      </c>
      <c r="J47" s="949">
        <v>47579</v>
      </c>
      <c r="K47" s="949">
        <v>46058</v>
      </c>
      <c r="L47" s="29" t="e">
        <f>VLOOKUP(A47,'Account Mapping'!$A$2:$E$216,3,0)</f>
        <v>#N/A</v>
      </c>
      <c r="M47" s="25" t="e">
        <f>VLOOKUP(A47,'Account Mapping'!$A$2:$E$216,4,0)</f>
        <v>#N/A</v>
      </c>
      <c r="N47" s="26" t="e">
        <f>IF(OR(C47='Account Mapping'!$H$4,C47='Account Mapping'!$H$5,C47='Account Mapping'!$H$6),'Account Mapping'!$I$4,VLOOKUP(A47,'Account Mapping'!$A$2:$E$216,5,0))</f>
        <v>#N/A</v>
      </c>
      <c r="O47" s="27" t="e">
        <f>IF(OR(L47="Loan",L47="Deposit_Liability",L47="OFF_Unused Loan Commitment",L47="HQLA"),VLOOKUP(D47,'Customer Type'!$A$3:$C$38,3,0),"")</f>
        <v>#N/A</v>
      </c>
      <c r="P47" s="656" t="e">
        <f t="shared" si="2"/>
        <v>#N/A</v>
      </c>
      <c r="Q47" s="658">
        <f>IF(COUNTIF('Account Mapping'!$H$12:$H$45,A47)&gt;0,-H47,H47)</f>
        <v>2372817.0099999998</v>
      </c>
      <c r="R47" s="249" t="e">
        <f>VLOOKUP(P47,Assumptions!$C$2:$D$64,2,0)</f>
        <v>#N/A</v>
      </c>
      <c r="S47" s="692">
        <f>IFERROR(VLOOKUP(A47,'Maturity Adjustment'!$A$3:$C$81,3,0),(IF(J47&lt;$N$4,"Tomorrow",J47)))</f>
        <v>47579</v>
      </c>
      <c r="T47" s="24">
        <f t="shared" si="18"/>
        <v>1521</v>
      </c>
      <c r="U47" s="196" t="e">
        <f t="shared" si="4"/>
        <v>#N/A</v>
      </c>
      <c r="V47" s="11">
        <f>IFERROR(VLOOKUP(A47,'Maturity Adjustment'!$A$86:$C$91,3,0),S47)</f>
        <v>47579</v>
      </c>
      <c r="W47" s="207" t="e">
        <f>VLOOKUP(A47,'Account Mapping'!$A$2:$F$216,6,0)</f>
        <v>#N/A</v>
      </c>
      <c r="X47" s="194">
        <f t="shared" si="64"/>
        <v>0</v>
      </c>
      <c r="Y47" s="194">
        <f t="shared" si="5"/>
        <v>0</v>
      </c>
      <c r="Z47" s="13">
        <f t="shared" si="6"/>
        <v>0</v>
      </c>
      <c r="AA47" s="13">
        <f t="shared" si="7"/>
        <v>0</v>
      </c>
      <c r="AB47" s="13">
        <f t="shared" si="8"/>
        <v>0</v>
      </c>
      <c r="AC47" s="13">
        <f t="shared" si="9"/>
        <v>0</v>
      </c>
      <c r="AD47" s="13">
        <f t="shared" si="10"/>
        <v>0</v>
      </c>
      <c r="AE47" s="13">
        <f t="shared" si="11"/>
        <v>2372817.0099999998</v>
      </c>
      <c r="AF47" s="13">
        <f t="shared" si="12"/>
        <v>0</v>
      </c>
      <c r="AG47" s="685">
        <f t="shared" si="13"/>
        <v>0</v>
      </c>
      <c r="AH47" s="688" t="b">
        <f t="shared" si="21"/>
        <v>1</v>
      </c>
    </row>
    <row r="48" spans="1:46" s="1" customFormat="1" ht="15" customHeight="1" thickTop="1" thickBot="1">
      <c r="A48" s="946">
        <v>10630001</v>
      </c>
      <c r="B48" s="946" t="s">
        <v>595</v>
      </c>
      <c r="C48" s="946">
        <v>6115904000210</v>
      </c>
      <c r="D48" s="946">
        <v>100000014</v>
      </c>
      <c r="E48" s="946" t="s">
        <v>23</v>
      </c>
      <c r="F48" s="946" t="s">
        <v>26</v>
      </c>
      <c r="G48" s="947">
        <v>894131.86</v>
      </c>
      <c r="H48" s="947">
        <v>1272966.77</v>
      </c>
      <c r="I48" s="949">
        <v>45344</v>
      </c>
      <c r="J48" s="949">
        <v>47579</v>
      </c>
      <c r="K48" s="949">
        <v>46058</v>
      </c>
      <c r="L48" s="29" t="e">
        <f>VLOOKUP(A48,'Account Mapping'!$A$2:$E$216,3,0)</f>
        <v>#N/A</v>
      </c>
      <c r="M48" s="25" t="e">
        <f>VLOOKUP(A48,'Account Mapping'!$A$2:$E$216,4,0)</f>
        <v>#N/A</v>
      </c>
      <c r="N48" s="26" t="e">
        <f>IF(OR(C48='Account Mapping'!$H$4,C48='Account Mapping'!$H$5,C48='Account Mapping'!$H$6),'Account Mapping'!$I$4,VLOOKUP(A48,'Account Mapping'!$A$2:$E$216,5,0))</f>
        <v>#N/A</v>
      </c>
      <c r="O48" s="27" t="e">
        <f>IF(OR(L48="Loan",L48="Deposit_Liability",L48="OFF_Unused Loan Commitment",L48="HQLA"),VLOOKUP(D48,'Customer Type'!$A$3:$C$38,3,0),"")</f>
        <v>#N/A</v>
      </c>
      <c r="P48" s="656" t="e">
        <f t="shared" si="2"/>
        <v>#N/A</v>
      </c>
      <c r="Q48" s="658">
        <f>IF(COUNTIF('Account Mapping'!$H$12:$H$45,A48)&gt;0,-H48,H48)</f>
        <v>1272966.77</v>
      </c>
      <c r="R48" s="249" t="e">
        <f>VLOOKUP(P48,Assumptions!$C$2:$D$64,2,0)</f>
        <v>#N/A</v>
      </c>
      <c r="S48" s="692">
        <f>IFERROR(VLOOKUP(A48,'Maturity Adjustment'!$A$3:$C$81,3,0),(IF(J48&lt;$N$4,"Tomorrow",J48)))</f>
        <v>47579</v>
      </c>
      <c r="T48" s="24">
        <f t="shared" si="18"/>
        <v>1521</v>
      </c>
      <c r="U48" s="196" t="e">
        <f t="shared" si="4"/>
        <v>#N/A</v>
      </c>
      <c r="V48" s="11">
        <f>IFERROR(VLOOKUP(A48,'Maturity Adjustment'!$A$86:$C$91,3,0),S48)</f>
        <v>47579</v>
      </c>
      <c r="W48" s="207" t="e">
        <f>VLOOKUP(A48,'Account Mapping'!$A$2:$F$216,6,0)</f>
        <v>#N/A</v>
      </c>
      <c r="X48" s="194">
        <f t="shared" si="64"/>
        <v>0</v>
      </c>
      <c r="Y48" s="194">
        <f t="shared" si="5"/>
        <v>0</v>
      </c>
      <c r="Z48" s="13">
        <f t="shared" si="6"/>
        <v>0</v>
      </c>
      <c r="AA48" s="13">
        <f t="shared" si="7"/>
        <v>0</v>
      </c>
      <c r="AB48" s="13">
        <f t="shared" si="8"/>
        <v>0</v>
      </c>
      <c r="AC48" s="13">
        <f t="shared" si="9"/>
        <v>0</v>
      </c>
      <c r="AD48" s="13">
        <f t="shared" si="10"/>
        <v>0</v>
      </c>
      <c r="AE48" s="13">
        <f t="shared" si="11"/>
        <v>1272966.77</v>
      </c>
      <c r="AF48" s="13">
        <f t="shared" si="12"/>
        <v>0</v>
      </c>
      <c r="AG48" s="685">
        <f t="shared" si="13"/>
        <v>0</v>
      </c>
      <c r="AH48" s="688" t="b">
        <f t="shared" si="21"/>
        <v>1</v>
      </c>
      <c r="AJ48" s="950" t="s">
        <v>1583</v>
      </c>
      <c r="AK48" s="951" t="s">
        <v>1584</v>
      </c>
      <c r="AL48" s="951" t="s">
        <v>1585</v>
      </c>
      <c r="AM48" s="951" t="s">
        <v>699</v>
      </c>
      <c r="AN48" s="951" t="s">
        <v>1487</v>
      </c>
      <c r="AO48" s="952" t="s">
        <v>1586</v>
      </c>
      <c r="AP48"/>
      <c r="AQ48" s="953" t="s">
        <v>1587</v>
      </c>
      <c r="AR48" s="954" t="s">
        <v>1588</v>
      </c>
      <c r="AS48" s="215"/>
    </row>
    <row r="49" spans="1:44" s="1" customFormat="1" ht="15.4" customHeight="1" thickBot="1">
      <c r="A49" s="946">
        <v>10630001</v>
      </c>
      <c r="B49" s="946" t="s">
        <v>595</v>
      </c>
      <c r="C49" s="946">
        <v>6115904000228</v>
      </c>
      <c r="D49" s="946">
        <v>100000014</v>
      </c>
      <c r="E49" s="946" t="s">
        <v>23</v>
      </c>
      <c r="F49" s="946" t="s">
        <v>26</v>
      </c>
      <c r="G49" s="947">
        <v>142201.57999999999</v>
      </c>
      <c r="H49" s="947">
        <v>202451</v>
      </c>
      <c r="I49" s="949">
        <v>45345</v>
      </c>
      <c r="J49" s="949">
        <v>47579</v>
      </c>
      <c r="K49" s="949">
        <v>46058</v>
      </c>
      <c r="L49" s="29" t="e">
        <f>VLOOKUP(A49,'Account Mapping'!$A$2:$E$216,3,0)</f>
        <v>#N/A</v>
      </c>
      <c r="M49" s="25" t="e">
        <f>VLOOKUP(A49,'Account Mapping'!$A$2:$E$216,4,0)</f>
        <v>#N/A</v>
      </c>
      <c r="N49" s="26" t="e">
        <f>IF(OR(C49='Account Mapping'!$H$4,C49='Account Mapping'!$H$5,C49='Account Mapping'!$H$6),'Account Mapping'!$I$4,VLOOKUP(A49,'Account Mapping'!$A$2:$E$216,5,0))</f>
        <v>#N/A</v>
      </c>
      <c r="O49" s="27" t="e">
        <f>IF(OR(L49="Loan",L49="Deposit_Liability",L49="OFF_Unused Loan Commitment",L49="HQLA"),VLOOKUP(D49,'Customer Type'!$A$3:$C$38,3,0),"")</f>
        <v>#N/A</v>
      </c>
      <c r="P49" s="656" t="e">
        <f t="shared" si="2"/>
        <v>#N/A</v>
      </c>
      <c r="Q49" s="658">
        <f>IF(COUNTIF('Account Mapping'!$H$12:$H$45,A49)&gt;0,-H49,H49)</f>
        <v>202451</v>
      </c>
      <c r="R49" s="249" t="e">
        <f>VLOOKUP(P49,Assumptions!$C$2:$D$64,2,0)</f>
        <v>#N/A</v>
      </c>
      <c r="S49" s="692">
        <f>IFERROR(VLOOKUP(A49,'Maturity Adjustment'!$A$3:$C$81,3,0),(IF(J49&lt;$N$4,"Tomorrow",J49)))</f>
        <v>47579</v>
      </c>
      <c r="T49" s="24">
        <f t="shared" si="18"/>
        <v>1521</v>
      </c>
      <c r="U49" s="196" t="e">
        <f t="shared" si="4"/>
        <v>#N/A</v>
      </c>
      <c r="V49" s="11">
        <f>IFERROR(VLOOKUP(A49,'Maturity Adjustment'!$A$86:$C$91,3,0),S49)</f>
        <v>47579</v>
      </c>
      <c r="W49" s="207" t="e">
        <f>VLOOKUP(A49,'Account Mapping'!$A$2:$F$216,6,0)</f>
        <v>#N/A</v>
      </c>
      <c r="X49" s="194">
        <f t="shared" si="64"/>
        <v>0</v>
      </c>
      <c r="Y49" s="194">
        <f t="shared" si="5"/>
        <v>0</v>
      </c>
      <c r="Z49" s="13">
        <f t="shared" si="6"/>
        <v>0</v>
      </c>
      <c r="AA49" s="13">
        <f t="shared" si="7"/>
        <v>0</v>
      </c>
      <c r="AB49" s="13">
        <f t="shared" si="8"/>
        <v>0</v>
      </c>
      <c r="AC49" s="13">
        <f t="shared" si="9"/>
        <v>0</v>
      </c>
      <c r="AD49" s="13">
        <f t="shared" si="10"/>
        <v>0</v>
      </c>
      <c r="AE49" s="13">
        <f t="shared" si="11"/>
        <v>202451</v>
      </c>
      <c r="AF49" s="13">
        <f t="shared" si="12"/>
        <v>0</v>
      </c>
      <c r="AG49" s="685">
        <f t="shared" si="13"/>
        <v>0</v>
      </c>
      <c r="AH49" s="688" t="b">
        <f t="shared" si="21"/>
        <v>1</v>
      </c>
      <c r="AJ49" s="1007" t="s">
        <v>1589</v>
      </c>
      <c r="AK49" s="1010" t="s">
        <v>1593</v>
      </c>
      <c r="AL49" s="955" t="s">
        <v>1592</v>
      </c>
      <c r="AM49" s="956">
        <v>0</v>
      </c>
      <c r="AN49" s="957">
        <v>-0.05</v>
      </c>
      <c r="AO49" s="1013" t="s">
        <v>1590</v>
      </c>
      <c r="AP49"/>
      <c r="AQ49" s="958">
        <f>-(AM49*AN53-AN54)</f>
        <v>0</v>
      </c>
      <c r="AR49" s="959">
        <f>-(AN49*AN53-AN54)</f>
        <v>0</v>
      </c>
    </row>
    <row r="50" spans="1:44" s="1" customFormat="1" ht="16.7" customHeight="1" thickBot="1">
      <c r="A50" s="946">
        <v>10630001</v>
      </c>
      <c r="B50" s="946" t="s">
        <v>595</v>
      </c>
      <c r="C50" s="946">
        <v>6115904000235</v>
      </c>
      <c r="D50" s="946">
        <v>100000014</v>
      </c>
      <c r="E50" s="946" t="s">
        <v>23</v>
      </c>
      <c r="F50" s="946" t="s">
        <v>26</v>
      </c>
      <c r="G50" s="947">
        <v>144932.94</v>
      </c>
      <c r="H50" s="947">
        <v>206339.61</v>
      </c>
      <c r="I50" s="949">
        <v>45373</v>
      </c>
      <c r="J50" s="949">
        <v>47579</v>
      </c>
      <c r="K50" s="949">
        <v>46058</v>
      </c>
      <c r="L50" s="29" t="e">
        <f>VLOOKUP(A50,'Account Mapping'!$A$2:$E$216,3,0)</f>
        <v>#N/A</v>
      </c>
      <c r="M50" s="25" t="e">
        <f>VLOOKUP(A50,'Account Mapping'!$A$2:$E$216,4,0)</f>
        <v>#N/A</v>
      </c>
      <c r="N50" s="26" t="e">
        <f>IF(OR(C50='Account Mapping'!$H$4,C50='Account Mapping'!$H$5,C50='Account Mapping'!$H$6),'Account Mapping'!$I$4,VLOOKUP(A50,'Account Mapping'!$A$2:$E$216,5,0))</f>
        <v>#N/A</v>
      </c>
      <c r="O50" s="27" t="e">
        <f>IF(OR(L50="Loan",L50="Deposit_Liability",L50="OFF_Unused Loan Commitment",L50="HQLA"),VLOOKUP(D50,'Customer Type'!$A$3:$C$38,3,0),"")</f>
        <v>#N/A</v>
      </c>
      <c r="P50" s="656" t="e">
        <f t="shared" si="2"/>
        <v>#N/A</v>
      </c>
      <c r="Q50" s="658">
        <f>IF(COUNTIF('Account Mapping'!$H$12:$H$45,A50)&gt;0,-H50,H50)</f>
        <v>206339.61</v>
      </c>
      <c r="R50" s="249" t="e">
        <f>VLOOKUP(P50,Assumptions!$C$2:$D$64,2,0)</f>
        <v>#N/A</v>
      </c>
      <c r="S50" s="692">
        <f>IFERROR(VLOOKUP(A50,'Maturity Adjustment'!$A$3:$C$81,3,0),(IF(J50&lt;$N$4,"Tomorrow",J50)))</f>
        <v>47579</v>
      </c>
      <c r="T50" s="24">
        <f t="shared" si="18"/>
        <v>1521</v>
      </c>
      <c r="U50" s="196" t="e">
        <f t="shared" si="4"/>
        <v>#N/A</v>
      </c>
      <c r="V50" s="11">
        <f>IFERROR(VLOOKUP(A50,'Maturity Adjustment'!$A$86:$C$91,3,0),S50)</f>
        <v>47579</v>
      </c>
      <c r="W50" s="207" t="e">
        <f>VLOOKUP(A50,'Account Mapping'!$A$2:$F$216,6,0)</f>
        <v>#N/A</v>
      </c>
      <c r="X50" s="194">
        <f t="shared" si="64"/>
        <v>0</v>
      </c>
      <c r="Y50" s="194">
        <f t="shared" si="5"/>
        <v>0</v>
      </c>
      <c r="Z50" s="13">
        <f t="shared" si="6"/>
        <v>0</v>
      </c>
      <c r="AA50" s="13">
        <f t="shared" si="7"/>
        <v>0</v>
      </c>
      <c r="AB50" s="13">
        <f t="shared" si="8"/>
        <v>0</v>
      </c>
      <c r="AC50" s="13">
        <f t="shared" si="9"/>
        <v>0</v>
      </c>
      <c r="AD50" s="13">
        <f t="shared" si="10"/>
        <v>0</v>
      </c>
      <c r="AE50" s="13">
        <f t="shared" si="11"/>
        <v>206339.61</v>
      </c>
      <c r="AF50" s="13">
        <f t="shared" si="12"/>
        <v>0</v>
      </c>
      <c r="AG50" s="685">
        <f t="shared" si="13"/>
        <v>0</v>
      </c>
      <c r="AH50" s="688" t="b">
        <f t="shared" si="21"/>
        <v>1</v>
      </c>
      <c r="AJ50" s="1008"/>
      <c r="AK50" s="1011"/>
      <c r="AL50" s="960" t="s">
        <v>1569</v>
      </c>
      <c r="AM50" s="961">
        <v>-0.15</v>
      </c>
      <c r="AN50" s="962">
        <v>-0.2</v>
      </c>
      <c r="AO50" s="1014"/>
      <c r="AP50"/>
      <c r="AQ50" s="958">
        <f>-(AM50*AN53-AN54)</f>
        <v>0</v>
      </c>
      <c r="AR50" s="959">
        <f>-(AN50*AN53-AN54)</f>
        <v>0</v>
      </c>
    </row>
    <row r="51" spans="1:44" s="1" customFormat="1" ht="15" customHeight="1" thickBot="1">
      <c r="A51" s="946">
        <v>10630001</v>
      </c>
      <c r="B51" s="946" t="s">
        <v>595</v>
      </c>
      <c r="C51" s="946">
        <v>6115904000242</v>
      </c>
      <c r="D51" s="946">
        <v>100000014</v>
      </c>
      <c r="E51" s="946" t="s">
        <v>23</v>
      </c>
      <c r="F51" s="946" t="s">
        <v>26</v>
      </c>
      <c r="G51" s="947">
        <v>731182.8</v>
      </c>
      <c r="H51" s="947">
        <v>1040977.79</v>
      </c>
      <c r="I51" s="949">
        <v>45379</v>
      </c>
      <c r="J51" s="949">
        <v>47579</v>
      </c>
      <c r="K51" s="949">
        <v>46058</v>
      </c>
      <c r="L51" s="29" t="e">
        <f>VLOOKUP(A51,'Account Mapping'!$A$2:$E$216,3,0)</f>
        <v>#N/A</v>
      </c>
      <c r="M51" s="25" t="e">
        <f>VLOOKUP(A51,'Account Mapping'!$A$2:$E$216,4,0)</f>
        <v>#N/A</v>
      </c>
      <c r="N51" s="26" t="e">
        <f>IF(OR(C51='Account Mapping'!$H$4,C51='Account Mapping'!$H$5,C51='Account Mapping'!$H$6),'Account Mapping'!$I$4,VLOOKUP(A51,'Account Mapping'!$A$2:$E$216,5,0))</f>
        <v>#N/A</v>
      </c>
      <c r="O51" s="27" t="e">
        <f>IF(OR(L51="Loan",L51="Deposit_Liability",L51="OFF_Unused Loan Commitment",L51="HQLA"),VLOOKUP(D51,'Customer Type'!$A$3:$C$38,3,0),"")</f>
        <v>#N/A</v>
      </c>
      <c r="P51" s="656" t="e">
        <f t="shared" si="2"/>
        <v>#N/A</v>
      </c>
      <c r="Q51" s="658">
        <f>IF(COUNTIF('Account Mapping'!$H$12:$H$45,A51)&gt;0,-H51,H51)</f>
        <v>1040977.79</v>
      </c>
      <c r="R51" s="249" t="e">
        <f>VLOOKUP(P51,Assumptions!$C$2:$D$64,2,0)</f>
        <v>#N/A</v>
      </c>
      <c r="S51" s="692">
        <f>IFERROR(VLOOKUP(A51,'Maturity Adjustment'!$A$3:$C$81,3,0),(IF(J51&lt;$N$4,"Tomorrow",J51)))</f>
        <v>47579</v>
      </c>
      <c r="T51" s="24">
        <f t="shared" si="18"/>
        <v>1521</v>
      </c>
      <c r="U51" s="196" t="e">
        <f t="shared" si="4"/>
        <v>#N/A</v>
      </c>
      <c r="V51" s="11">
        <f>IFERROR(VLOOKUP(A51,'Maturity Adjustment'!$A$86:$C$91,3,0),S51)</f>
        <v>47579</v>
      </c>
      <c r="W51" s="207" t="e">
        <f>VLOOKUP(A51,'Account Mapping'!$A$2:$F$216,6,0)</f>
        <v>#N/A</v>
      </c>
      <c r="X51" s="194">
        <f t="shared" si="64"/>
        <v>0</v>
      </c>
      <c r="Y51" s="194">
        <f t="shared" si="5"/>
        <v>0</v>
      </c>
      <c r="Z51" s="13">
        <f t="shared" si="6"/>
        <v>0</v>
      </c>
      <c r="AA51" s="13">
        <f t="shared" si="7"/>
        <v>0</v>
      </c>
      <c r="AB51" s="13">
        <f t="shared" si="8"/>
        <v>0</v>
      </c>
      <c r="AC51" s="13">
        <f t="shared" si="9"/>
        <v>0</v>
      </c>
      <c r="AD51" s="13">
        <f t="shared" si="10"/>
        <v>0</v>
      </c>
      <c r="AE51" s="13">
        <f t="shared" si="11"/>
        <v>1040977.79</v>
      </c>
      <c r="AF51" s="13">
        <f t="shared" si="12"/>
        <v>0</v>
      </c>
      <c r="AG51" s="685">
        <f t="shared" si="13"/>
        <v>0</v>
      </c>
      <c r="AH51" s="688" t="b">
        <f t="shared" si="21"/>
        <v>1</v>
      </c>
      <c r="AJ51" s="1009"/>
      <c r="AK51" s="1012"/>
      <c r="AL51" s="963" t="s">
        <v>1570</v>
      </c>
      <c r="AM51" s="964">
        <v>-0.4</v>
      </c>
      <c r="AN51" s="965">
        <v>-0.45</v>
      </c>
      <c r="AO51" s="1015"/>
      <c r="AP51"/>
      <c r="AQ51" s="966">
        <f>-(AM51*AN53-AN54)</f>
        <v>0</v>
      </c>
      <c r="AR51" s="967">
        <f>-(AN51*AN53-AN54)</f>
        <v>0</v>
      </c>
    </row>
    <row r="52" spans="1:44" s="1" customFormat="1" ht="15" customHeight="1" thickTop="1">
      <c r="A52" s="946">
        <v>10630001</v>
      </c>
      <c r="B52" s="946" t="s">
        <v>595</v>
      </c>
      <c r="C52" s="946">
        <v>6115904000250</v>
      </c>
      <c r="D52" s="946">
        <v>100000014</v>
      </c>
      <c r="E52" s="946" t="s">
        <v>23</v>
      </c>
      <c r="F52" s="946" t="s">
        <v>26</v>
      </c>
      <c r="G52" s="947">
        <v>164959.99</v>
      </c>
      <c r="H52" s="947">
        <v>234851.92</v>
      </c>
      <c r="I52" s="949">
        <v>45404</v>
      </c>
      <c r="J52" s="949">
        <v>47579</v>
      </c>
      <c r="K52" s="949">
        <v>46058</v>
      </c>
      <c r="L52" s="29" t="e">
        <f>VLOOKUP(A52,'Account Mapping'!$A$2:$E$216,3,0)</f>
        <v>#N/A</v>
      </c>
      <c r="M52" s="25" t="e">
        <f>VLOOKUP(A52,'Account Mapping'!$A$2:$E$216,4,0)</f>
        <v>#N/A</v>
      </c>
      <c r="N52" s="26" t="e">
        <f>IF(OR(C52='Account Mapping'!$H$4,C52='Account Mapping'!$H$5,C52='Account Mapping'!$H$6),'Account Mapping'!$I$4,VLOOKUP(A52,'Account Mapping'!$A$2:$E$216,5,0))</f>
        <v>#N/A</v>
      </c>
      <c r="O52" s="27" t="e">
        <f>IF(OR(L52="Loan",L52="Deposit_Liability",L52="OFF_Unused Loan Commitment",L52="HQLA"),VLOOKUP(D52,'Customer Type'!$A$3:$C$38,3,0),"")</f>
        <v>#N/A</v>
      </c>
      <c r="P52" s="656" t="e">
        <f t="shared" si="2"/>
        <v>#N/A</v>
      </c>
      <c r="Q52" s="658">
        <f>IF(COUNTIF('Account Mapping'!$H$12:$H$45,A52)&gt;0,-H52,H52)</f>
        <v>234851.92</v>
      </c>
      <c r="R52" s="249" t="e">
        <f>VLOOKUP(P52,Assumptions!$C$2:$D$64,2,0)</f>
        <v>#N/A</v>
      </c>
      <c r="S52" s="692">
        <f>IFERROR(VLOOKUP(A52,'Maturity Adjustment'!$A$3:$C$81,3,0),(IF(J52&lt;$N$4,"Tomorrow",J52)))</f>
        <v>47579</v>
      </c>
      <c r="T52" s="24">
        <f t="shared" si="18"/>
        <v>1521</v>
      </c>
      <c r="U52" s="196" t="e">
        <f t="shared" si="4"/>
        <v>#N/A</v>
      </c>
      <c r="V52" s="11">
        <f>IFERROR(VLOOKUP(A52,'Maturity Adjustment'!$A$86:$C$91,3,0),S52)</f>
        <v>47579</v>
      </c>
      <c r="W52" s="207" t="e">
        <f>VLOOKUP(A52,'Account Mapping'!$A$2:$F$216,6,0)</f>
        <v>#N/A</v>
      </c>
      <c r="X52" s="194">
        <f t="shared" si="64"/>
        <v>0</v>
      </c>
      <c r="Y52" s="194">
        <f t="shared" si="5"/>
        <v>0</v>
      </c>
      <c r="Z52" s="13">
        <f t="shared" si="6"/>
        <v>0</v>
      </c>
      <c r="AA52" s="13">
        <f t="shared" si="7"/>
        <v>0</v>
      </c>
      <c r="AB52" s="13">
        <f t="shared" si="8"/>
        <v>0</v>
      </c>
      <c r="AC52" s="13">
        <f t="shared" si="9"/>
        <v>0</v>
      </c>
      <c r="AD52" s="13">
        <f t="shared" si="10"/>
        <v>0</v>
      </c>
      <c r="AE52" s="13">
        <f t="shared" si="11"/>
        <v>234851.92</v>
      </c>
      <c r="AF52" s="13">
        <f t="shared" si="12"/>
        <v>0</v>
      </c>
      <c r="AG52" s="685">
        <f t="shared" si="13"/>
        <v>0</v>
      </c>
      <c r="AH52" s="688" t="b">
        <f t="shared" si="21"/>
        <v>1</v>
      </c>
      <c r="AJ52"/>
      <c r="AK52"/>
      <c r="AL52"/>
      <c r="AM52"/>
      <c r="AN52"/>
      <c r="AO52"/>
      <c r="AP52"/>
      <c r="AQ52"/>
      <c r="AR52"/>
    </row>
    <row r="53" spans="1:44" s="1" customFormat="1" ht="15" customHeight="1" thickBot="1">
      <c r="A53" s="946">
        <v>10630001</v>
      </c>
      <c r="B53" s="946" t="s">
        <v>595</v>
      </c>
      <c r="C53" s="946">
        <v>6115904000267</v>
      </c>
      <c r="D53" s="946">
        <v>100000014</v>
      </c>
      <c r="E53" s="946" t="s">
        <v>23</v>
      </c>
      <c r="F53" s="946" t="s">
        <v>26</v>
      </c>
      <c r="G53" s="947">
        <v>258064.52</v>
      </c>
      <c r="H53" s="947">
        <v>367403.93</v>
      </c>
      <c r="I53" s="949">
        <v>45412</v>
      </c>
      <c r="J53" s="949">
        <v>47579</v>
      </c>
      <c r="K53" s="949">
        <v>46058</v>
      </c>
      <c r="L53" s="29" t="e">
        <f>VLOOKUP(A53,'Account Mapping'!$A$2:$E$216,3,0)</f>
        <v>#N/A</v>
      </c>
      <c r="M53" s="25" t="e">
        <f>VLOOKUP(A53,'Account Mapping'!$A$2:$E$216,4,0)</f>
        <v>#N/A</v>
      </c>
      <c r="N53" s="26" t="e">
        <f>IF(OR(C53='Account Mapping'!$H$4,C53='Account Mapping'!$H$5,C53='Account Mapping'!$H$6),'Account Mapping'!$I$4,VLOOKUP(A53,'Account Mapping'!$A$2:$E$216,5,0))</f>
        <v>#N/A</v>
      </c>
      <c r="O53" s="27" t="e">
        <f>IF(OR(L53="Loan",L53="Deposit_Liability",L53="OFF_Unused Loan Commitment",L53="HQLA"),VLOOKUP(D53,'Customer Type'!$A$3:$C$38,3,0),"")</f>
        <v>#N/A</v>
      </c>
      <c r="P53" s="656" t="e">
        <f t="shared" si="2"/>
        <v>#N/A</v>
      </c>
      <c r="Q53" s="658">
        <f>IF(COUNTIF('Account Mapping'!$H$12:$H$45,A53)&gt;0,-H53,H53)</f>
        <v>367403.93</v>
      </c>
      <c r="R53" s="249" t="e">
        <f>VLOOKUP(P53,Assumptions!$C$2:$D$64,2,0)</f>
        <v>#N/A</v>
      </c>
      <c r="S53" s="692">
        <f>IFERROR(VLOOKUP(A53,'Maturity Adjustment'!$A$3:$C$81,3,0),(IF(J53&lt;$N$4,"Tomorrow",J53)))</f>
        <v>47579</v>
      </c>
      <c r="T53" s="24">
        <f>IF(S53="Tomorrow",1,(S53-$N$4))</f>
        <v>1521</v>
      </c>
      <c r="U53" s="196" t="e">
        <f t="shared" si="4"/>
        <v>#N/A</v>
      </c>
      <c r="V53" s="11">
        <f>IFERROR(VLOOKUP(A53,'Maturity Adjustment'!$A$86:$C$91,3,0),S53)</f>
        <v>47579</v>
      </c>
      <c r="W53" s="207" t="e">
        <f>VLOOKUP(A53,'Account Mapping'!$A$2:$F$216,6,0)</f>
        <v>#N/A</v>
      </c>
      <c r="X53" s="194">
        <f t="shared" si="64"/>
        <v>0</v>
      </c>
      <c r="Y53" s="194">
        <f t="shared" si="5"/>
        <v>0</v>
      </c>
      <c r="Z53" s="13">
        <f t="shared" si="6"/>
        <v>0</v>
      </c>
      <c r="AA53" s="13">
        <f t="shared" si="7"/>
        <v>0</v>
      </c>
      <c r="AB53" s="13">
        <f t="shared" si="8"/>
        <v>0</v>
      </c>
      <c r="AC53" s="13">
        <f t="shared" si="9"/>
        <v>0</v>
      </c>
      <c r="AD53" s="13">
        <f t="shared" si="10"/>
        <v>0</v>
      </c>
      <c r="AE53" s="13">
        <f t="shared" si="11"/>
        <v>367403.93</v>
      </c>
      <c r="AF53" s="13">
        <f t="shared" si="12"/>
        <v>0</v>
      </c>
      <c r="AG53" s="685">
        <f t="shared" si="13"/>
        <v>0</v>
      </c>
      <c r="AH53" s="688" t="b">
        <f t="shared" si="21"/>
        <v>1</v>
      </c>
      <c r="AJ53"/>
      <c r="AK53"/>
      <c r="AL53"/>
      <c r="AM53" s="968" t="s">
        <v>1572</v>
      </c>
      <c r="AN53" s="969">
        <f>SUMIF($W$7:$W$874,AK13,$H$7:$H$874)</f>
        <v>0</v>
      </c>
      <c r="AO53"/>
      <c r="AP53"/>
      <c r="AQ53" s="970" t="s">
        <v>1591</v>
      </c>
      <c r="AR53" s="970" t="s">
        <v>1591</v>
      </c>
    </row>
    <row r="54" spans="1:44" s="1" customFormat="1" ht="15" customHeight="1" thickTop="1" thickBot="1">
      <c r="A54" s="946">
        <v>10630001</v>
      </c>
      <c r="B54" s="946" t="s">
        <v>595</v>
      </c>
      <c r="C54" s="946">
        <v>6115904000274</v>
      </c>
      <c r="D54" s="946">
        <v>100000014</v>
      </c>
      <c r="E54" s="946" t="s">
        <v>23</v>
      </c>
      <c r="F54" s="946" t="s">
        <v>26</v>
      </c>
      <c r="G54" s="947">
        <v>612903.23</v>
      </c>
      <c r="H54" s="947">
        <v>872584.33</v>
      </c>
      <c r="I54" s="949">
        <v>45434</v>
      </c>
      <c r="J54" s="949">
        <v>47579</v>
      </c>
      <c r="K54" s="949">
        <v>46058</v>
      </c>
      <c r="L54" s="29" t="e">
        <f>VLOOKUP(A54,'Account Mapping'!$A$2:$E$216,3,0)</f>
        <v>#N/A</v>
      </c>
      <c r="M54" s="25" t="e">
        <f>VLOOKUP(A54,'Account Mapping'!$A$2:$E$216,4,0)</f>
        <v>#N/A</v>
      </c>
      <c r="N54" s="26" t="e">
        <f>IF(OR(C54='Account Mapping'!$H$4,C54='Account Mapping'!$H$5,C54='Account Mapping'!$H$6),'Account Mapping'!$I$4,VLOOKUP(A54,'Account Mapping'!$A$2:$E$216,5,0))</f>
        <v>#N/A</v>
      </c>
      <c r="O54" s="27" t="e">
        <f>IF(OR(L54="Loan",L54="Deposit_Liability",L54="OFF_Unused Loan Commitment",L54="HQLA"),VLOOKUP(D54,'Customer Type'!$A$3:$C$38,3,0),"")</f>
        <v>#N/A</v>
      </c>
      <c r="P54" s="656" t="e">
        <f t="shared" si="2"/>
        <v>#N/A</v>
      </c>
      <c r="Q54" s="658">
        <f>IF(COUNTIF('Account Mapping'!$H$12:$H$45,A54)&gt;0,-H54,H54)</f>
        <v>872584.33</v>
      </c>
      <c r="R54" s="249" t="e">
        <f>VLOOKUP(P54,Assumptions!$C$2:$D$64,2,0)</f>
        <v>#N/A</v>
      </c>
      <c r="S54" s="692">
        <f>IFERROR(VLOOKUP(A54,'Maturity Adjustment'!$A$3:$C$81,3,0),(IF(J54&lt;$N$4,"Tomorrow",J54)))</f>
        <v>47579</v>
      </c>
      <c r="T54" s="24">
        <f>IF(S54="Tomorrow",1,(S54-$N$4))</f>
        <v>1521</v>
      </c>
      <c r="U54" s="196" t="e">
        <f t="shared" si="4"/>
        <v>#N/A</v>
      </c>
      <c r="V54" s="11">
        <f>IFERROR(VLOOKUP(A54,'Maturity Adjustment'!$A$86:$C$91,3,0),S54)</f>
        <v>47579</v>
      </c>
      <c r="W54" s="207" t="e">
        <f>VLOOKUP(A54,'Account Mapping'!$A$2:$F$216,6,0)</f>
        <v>#N/A</v>
      </c>
      <c r="X54" s="194">
        <f t="shared" si="64"/>
        <v>0</v>
      </c>
      <c r="Y54" s="194">
        <f t="shared" si="5"/>
        <v>0</v>
      </c>
      <c r="Z54" s="13">
        <f t="shared" si="6"/>
        <v>0</v>
      </c>
      <c r="AA54" s="13">
        <f t="shared" si="7"/>
        <v>0</v>
      </c>
      <c r="AB54" s="13">
        <f t="shared" si="8"/>
        <v>0</v>
      </c>
      <c r="AC54" s="13">
        <f t="shared" si="9"/>
        <v>0</v>
      </c>
      <c r="AD54" s="13">
        <f t="shared" si="10"/>
        <v>0</v>
      </c>
      <c r="AE54" s="13">
        <f t="shared" si="11"/>
        <v>872584.33</v>
      </c>
      <c r="AF54" s="13">
        <f t="shared" si="12"/>
        <v>0</v>
      </c>
      <c r="AG54" s="685">
        <f t="shared" si="13"/>
        <v>0</v>
      </c>
      <c r="AH54" s="688" t="b">
        <f t="shared" si="21"/>
        <v>1</v>
      </c>
      <c r="AJ54"/>
      <c r="AK54"/>
      <c r="AL54"/>
      <c r="AM54" s="833" t="s">
        <v>60</v>
      </c>
      <c r="AN54" s="971">
        <f>'30 days CF Table(ALL)'!$D$117</f>
        <v>0</v>
      </c>
      <c r="AO54"/>
      <c r="AP54"/>
      <c r="AQ54" s="972">
        <f>AQ51/3</f>
        <v>0</v>
      </c>
      <c r="AR54" s="972">
        <f>AR51/3</f>
        <v>0</v>
      </c>
    </row>
    <row r="55" spans="1:44" s="1" customFormat="1" ht="15" customHeight="1" thickTop="1">
      <c r="A55" s="946">
        <v>10630001</v>
      </c>
      <c r="B55" s="946" t="s">
        <v>595</v>
      </c>
      <c r="C55" s="946">
        <v>6115904000281</v>
      </c>
      <c r="D55" s="946">
        <v>100000014</v>
      </c>
      <c r="E55" s="946" t="s">
        <v>23</v>
      </c>
      <c r="F55" s="946" t="s">
        <v>26</v>
      </c>
      <c r="G55" s="947">
        <v>162547.93</v>
      </c>
      <c r="H55" s="947">
        <v>231417.9</v>
      </c>
      <c r="I55" s="949">
        <v>45434</v>
      </c>
      <c r="J55" s="949">
        <v>47579</v>
      </c>
      <c r="K55" s="949">
        <v>46058</v>
      </c>
      <c r="L55" s="29" t="e">
        <f>VLOOKUP(A55,'Account Mapping'!$A$2:$E$216,3,0)</f>
        <v>#N/A</v>
      </c>
      <c r="M55" s="25" t="e">
        <f>VLOOKUP(A55,'Account Mapping'!$A$2:$E$216,4,0)</f>
        <v>#N/A</v>
      </c>
      <c r="N55" s="26" t="e">
        <f>IF(OR(C55='Account Mapping'!$H$4,C55='Account Mapping'!$H$5,C55='Account Mapping'!$H$6),'Account Mapping'!$I$4,VLOOKUP(A55,'Account Mapping'!$A$2:$E$216,5,0))</f>
        <v>#N/A</v>
      </c>
      <c r="O55" s="27" t="e">
        <f>IF(OR(L55="Loan",L55="Deposit_Liability",L55="OFF_Unused Loan Commitment",L55="HQLA"),VLOOKUP(D55,'Customer Type'!$A$3:$C$38,3,0),"")</f>
        <v>#N/A</v>
      </c>
      <c r="P55" s="656" t="e">
        <f t="shared" si="2"/>
        <v>#N/A</v>
      </c>
      <c r="Q55" s="658">
        <f>IF(COUNTIF('Account Mapping'!$H$12:$H$45,A55)&gt;0,-H55,H55)</f>
        <v>231417.9</v>
      </c>
      <c r="R55" s="249" t="e">
        <f>VLOOKUP(P55,Assumptions!$C$2:$D$64,2,0)</f>
        <v>#N/A</v>
      </c>
      <c r="S55" s="692">
        <f>IFERROR(VLOOKUP(A55,'Maturity Adjustment'!$A$3:$C$81,3,0),(IF(J55&lt;$N$4,"Tomorrow",J55)))</f>
        <v>47579</v>
      </c>
      <c r="T55" s="24">
        <f t="shared" si="18"/>
        <v>1521</v>
      </c>
      <c r="U55" s="196" t="e">
        <f t="shared" si="4"/>
        <v>#N/A</v>
      </c>
      <c r="V55" s="11">
        <f>IFERROR(VLOOKUP(A55,'Maturity Adjustment'!$A$86:$C$91,3,0),S55)</f>
        <v>47579</v>
      </c>
      <c r="W55" s="207" t="e">
        <f>VLOOKUP(A55,'Account Mapping'!$A$2:$F$216,6,0)</f>
        <v>#N/A</v>
      </c>
      <c r="X55" s="194">
        <f t="shared" si="64"/>
        <v>0</v>
      </c>
      <c r="Y55" s="194">
        <f t="shared" si="5"/>
        <v>0</v>
      </c>
      <c r="Z55" s="13">
        <f t="shared" si="6"/>
        <v>0</v>
      </c>
      <c r="AA55" s="13">
        <f t="shared" si="7"/>
        <v>0</v>
      </c>
      <c r="AB55" s="13">
        <f t="shared" si="8"/>
        <v>0</v>
      </c>
      <c r="AC55" s="13">
        <f t="shared" si="9"/>
        <v>0</v>
      </c>
      <c r="AD55" s="13">
        <f t="shared" si="10"/>
        <v>0</v>
      </c>
      <c r="AE55" s="13">
        <f t="shared" si="11"/>
        <v>231417.9</v>
      </c>
      <c r="AF55" s="13">
        <f t="shared" si="12"/>
        <v>0</v>
      </c>
      <c r="AG55" s="685">
        <f t="shared" si="13"/>
        <v>0</v>
      </c>
      <c r="AH55" s="688" t="b">
        <f t="shared" si="21"/>
        <v>1</v>
      </c>
      <c r="AJ55"/>
      <c r="AK55"/>
      <c r="AL55"/>
      <c r="AM55"/>
      <c r="AN55"/>
      <c r="AO55"/>
      <c r="AP55"/>
      <c r="AQ55"/>
      <c r="AR55"/>
    </row>
    <row r="56" spans="1:44" s="1" customFormat="1" ht="15" customHeight="1">
      <c r="A56" s="946">
        <v>10630001</v>
      </c>
      <c r="B56" s="946" t="s">
        <v>595</v>
      </c>
      <c r="C56" s="946">
        <v>6115904000317</v>
      </c>
      <c r="D56" s="946">
        <v>100000014</v>
      </c>
      <c r="E56" s="946" t="s">
        <v>23</v>
      </c>
      <c r="F56" s="946" t="s">
        <v>26</v>
      </c>
      <c r="G56" s="947">
        <v>623655.91</v>
      </c>
      <c r="H56" s="947">
        <v>887892.81</v>
      </c>
      <c r="I56" s="949">
        <v>45464</v>
      </c>
      <c r="J56" s="949">
        <v>47579</v>
      </c>
      <c r="K56" s="949">
        <v>46058</v>
      </c>
      <c r="L56" s="29" t="e">
        <f>VLOOKUP(A56,'Account Mapping'!$A$2:$E$216,3,0)</f>
        <v>#N/A</v>
      </c>
      <c r="M56" s="25" t="e">
        <f>VLOOKUP(A56,'Account Mapping'!$A$2:$E$216,4,0)</f>
        <v>#N/A</v>
      </c>
      <c r="N56" s="26" t="e">
        <f>IF(OR(C56='Account Mapping'!$H$4,C56='Account Mapping'!$H$5,C56='Account Mapping'!$H$6),'Account Mapping'!$I$4,VLOOKUP(A56,'Account Mapping'!$A$2:$E$216,5,0))</f>
        <v>#N/A</v>
      </c>
      <c r="O56" s="27" t="e">
        <f>IF(OR(L56="Loan",L56="Deposit_Liability",L56="OFF_Unused Loan Commitment",L56="HQLA"),VLOOKUP(D56,'Customer Type'!$A$3:$C$38,3,0),"")</f>
        <v>#N/A</v>
      </c>
      <c r="P56" s="656" t="e">
        <f t="shared" si="2"/>
        <v>#N/A</v>
      </c>
      <c r="Q56" s="658">
        <f>IF(COUNTIF('Account Mapping'!$H$12:$H$45,A56)&gt;0,-H56,H56)</f>
        <v>887892.81</v>
      </c>
      <c r="R56" s="249" t="e">
        <f>VLOOKUP(P56,Assumptions!$C$2:$D$64,2,0)</f>
        <v>#N/A</v>
      </c>
      <c r="S56" s="692">
        <f>IFERROR(VLOOKUP(A56,'Maturity Adjustment'!$A$3:$C$81,3,0),(IF(J56&lt;$N$4,"Tomorrow",J56)))</f>
        <v>47579</v>
      </c>
      <c r="T56" s="24">
        <f t="shared" si="18"/>
        <v>1521</v>
      </c>
      <c r="U56" s="196" t="e">
        <f t="shared" si="4"/>
        <v>#N/A</v>
      </c>
      <c r="V56" s="11">
        <f>IFERROR(VLOOKUP(A56,'Maturity Adjustment'!$A$86:$C$91,3,0),S56)</f>
        <v>47579</v>
      </c>
      <c r="W56" s="207" t="e">
        <f>VLOOKUP(A56,'Account Mapping'!$A$2:$F$216,6,0)</f>
        <v>#N/A</v>
      </c>
      <c r="X56" s="194">
        <f t="shared" si="64"/>
        <v>0</v>
      </c>
      <c r="Y56" s="194">
        <f t="shared" si="5"/>
        <v>0</v>
      </c>
      <c r="Z56" s="13">
        <f t="shared" si="6"/>
        <v>0</v>
      </c>
      <c r="AA56" s="13">
        <f t="shared" si="7"/>
        <v>0</v>
      </c>
      <c r="AB56" s="13">
        <f t="shared" si="8"/>
        <v>0</v>
      </c>
      <c r="AC56" s="13">
        <f t="shared" si="9"/>
        <v>0</v>
      </c>
      <c r="AD56" s="13">
        <f t="shared" si="10"/>
        <v>0</v>
      </c>
      <c r="AE56" s="13">
        <f t="shared" si="11"/>
        <v>887892.81</v>
      </c>
      <c r="AF56" s="13">
        <f t="shared" si="12"/>
        <v>0</v>
      </c>
      <c r="AG56" s="685">
        <f t="shared" si="13"/>
        <v>0</v>
      </c>
      <c r="AH56" s="688" t="b">
        <f t="shared" si="21"/>
        <v>1</v>
      </c>
    </row>
    <row r="57" spans="1:44" s="1" customFormat="1" ht="15" customHeight="1">
      <c r="A57" s="946">
        <v>10630001</v>
      </c>
      <c r="B57" s="946" t="s">
        <v>595</v>
      </c>
      <c r="C57" s="946">
        <v>6115904000324</v>
      </c>
      <c r="D57" s="946">
        <v>100000014</v>
      </c>
      <c r="E57" s="946" t="s">
        <v>23</v>
      </c>
      <c r="F57" s="946" t="s">
        <v>26</v>
      </c>
      <c r="G57" s="947">
        <v>167780.4</v>
      </c>
      <c r="H57" s="947">
        <v>238867.31</v>
      </c>
      <c r="I57" s="949">
        <v>45464</v>
      </c>
      <c r="J57" s="949">
        <v>47579</v>
      </c>
      <c r="K57" s="949">
        <v>46058</v>
      </c>
      <c r="L57" s="29" t="e">
        <f>VLOOKUP(A57,'Account Mapping'!$A$2:$E$216,3,0)</f>
        <v>#N/A</v>
      </c>
      <c r="M57" s="25" t="e">
        <f>VLOOKUP(A57,'Account Mapping'!$A$2:$E$216,4,0)</f>
        <v>#N/A</v>
      </c>
      <c r="N57" s="26" t="e">
        <f>IF(OR(C57='Account Mapping'!$H$4,C57='Account Mapping'!$H$5,C57='Account Mapping'!$H$6),'Account Mapping'!$I$4,VLOOKUP(A57,'Account Mapping'!$A$2:$E$216,5,0))</f>
        <v>#N/A</v>
      </c>
      <c r="O57" s="27" t="e">
        <f>IF(OR(L57="Loan",L57="Deposit_Liability",L57="OFF_Unused Loan Commitment",L57="HQLA"),VLOOKUP(D57,'Customer Type'!$A$3:$C$38,3,0),"")</f>
        <v>#N/A</v>
      </c>
      <c r="P57" s="656" t="e">
        <f t="shared" si="2"/>
        <v>#N/A</v>
      </c>
      <c r="Q57" s="658">
        <f>IF(COUNTIF('Account Mapping'!$H$12:$H$45,A57)&gt;0,-H57,H57)</f>
        <v>238867.31</v>
      </c>
      <c r="R57" s="249" t="e">
        <f>VLOOKUP(P57,Assumptions!$C$2:$D$64,2,0)</f>
        <v>#N/A</v>
      </c>
      <c r="S57" s="692">
        <f>IFERROR(VLOOKUP(A57,'Maturity Adjustment'!$A$3:$C$81,3,0),(IF(J57&lt;$N$4,"Tomorrow",J57)))</f>
        <v>47579</v>
      </c>
      <c r="T57" s="24">
        <f t="shared" si="18"/>
        <v>1521</v>
      </c>
      <c r="U57" s="196" t="e">
        <f t="shared" si="4"/>
        <v>#N/A</v>
      </c>
      <c r="V57" s="11">
        <f>IFERROR(VLOOKUP(A57,'Maturity Adjustment'!$A$86:$C$91,3,0),S57)</f>
        <v>47579</v>
      </c>
      <c r="W57" s="207" t="e">
        <f>VLOOKUP(A57,'Account Mapping'!$A$2:$F$216,6,0)</f>
        <v>#N/A</v>
      </c>
      <c r="X57" s="194">
        <f t="shared" si="64"/>
        <v>0</v>
      </c>
      <c r="Y57" s="194">
        <f t="shared" si="5"/>
        <v>0</v>
      </c>
      <c r="Z57" s="13">
        <f t="shared" si="6"/>
        <v>0</v>
      </c>
      <c r="AA57" s="13">
        <f t="shared" si="7"/>
        <v>0</v>
      </c>
      <c r="AB57" s="13">
        <f t="shared" si="8"/>
        <v>0</v>
      </c>
      <c r="AC57" s="13">
        <f t="shared" si="9"/>
        <v>0</v>
      </c>
      <c r="AD57" s="13">
        <f t="shared" si="10"/>
        <v>0</v>
      </c>
      <c r="AE57" s="13">
        <f t="shared" si="11"/>
        <v>238867.31</v>
      </c>
      <c r="AF57" s="13">
        <f t="shared" si="12"/>
        <v>0</v>
      </c>
      <c r="AG57" s="685">
        <f t="shared" si="13"/>
        <v>0</v>
      </c>
      <c r="AH57" s="688" t="b">
        <f t="shared" si="21"/>
        <v>1</v>
      </c>
    </row>
    <row r="58" spans="1:44" s="1" customFormat="1" ht="15" customHeight="1">
      <c r="A58" s="946">
        <v>10630001</v>
      </c>
      <c r="B58" s="946" t="s">
        <v>595</v>
      </c>
      <c r="C58" s="946">
        <v>6115904000331</v>
      </c>
      <c r="D58" s="946">
        <v>100000014</v>
      </c>
      <c r="E58" s="946" t="s">
        <v>23</v>
      </c>
      <c r="F58" s="946" t="s">
        <v>26</v>
      </c>
      <c r="G58" s="947">
        <v>161159.10999999999</v>
      </c>
      <c r="H58" s="947">
        <v>229440.65</v>
      </c>
      <c r="I58" s="949">
        <v>45492</v>
      </c>
      <c r="J58" s="949">
        <v>47579</v>
      </c>
      <c r="K58" s="949">
        <v>46058</v>
      </c>
      <c r="L58" s="29" t="e">
        <f>VLOOKUP(A58,'Account Mapping'!$A$2:$E$216,3,0)</f>
        <v>#N/A</v>
      </c>
      <c r="M58" s="25" t="e">
        <f>VLOOKUP(A58,'Account Mapping'!$A$2:$E$216,4,0)</f>
        <v>#N/A</v>
      </c>
      <c r="N58" s="26" t="e">
        <f>IF(OR(C58='Account Mapping'!$H$4,C58='Account Mapping'!$H$5,C58='Account Mapping'!$H$6),'Account Mapping'!$I$4,VLOOKUP(A58,'Account Mapping'!$A$2:$E$216,5,0))</f>
        <v>#N/A</v>
      </c>
      <c r="O58" s="27" t="e">
        <f>IF(OR(L58="Loan",L58="Deposit_Liability",L58="OFF_Unused Loan Commitment",L58="HQLA"),VLOOKUP(D58,'Customer Type'!$A$3:$C$38,3,0),"")</f>
        <v>#N/A</v>
      </c>
      <c r="P58" s="656" t="e">
        <f t="shared" si="2"/>
        <v>#N/A</v>
      </c>
      <c r="Q58" s="658">
        <f>IF(COUNTIF('Account Mapping'!$H$12:$H$45,A58)&gt;0,-H58,H58)</f>
        <v>229440.65</v>
      </c>
      <c r="R58" s="249" t="e">
        <f>VLOOKUP(P58,Assumptions!$C$2:$D$64,2,0)</f>
        <v>#N/A</v>
      </c>
      <c r="S58" s="692">
        <f>IFERROR(VLOOKUP(A58,'Maturity Adjustment'!$A$3:$C$81,3,0),(IF(J58&lt;$N$4,"Tomorrow",J58)))</f>
        <v>47579</v>
      </c>
      <c r="T58" s="24">
        <f t="shared" si="18"/>
        <v>1521</v>
      </c>
      <c r="U58" s="196" t="e">
        <f t="shared" si="4"/>
        <v>#N/A</v>
      </c>
      <c r="V58" s="11">
        <f>IFERROR(VLOOKUP(A58,'Maturity Adjustment'!$A$86:$C$91,3,0),S58)</f>
        <v>47579</v>
      </c>
      <c r="W58" s="207" t="e">
        <f>VLOOKUP(A58,'Account Mapping'!$A$2:$F$216,6,0)</f>
        <v>#N/A</v>
      </c>
      <c r="X58" s="194">
        <f t="shared" si="64"/>
        <v>0</v>
      </c>
      <c r="Y58" s="194">
        <f t="shared" si="5"/>
        <v>0</v>
      </c>
      <c r="Z58" s="13">
        <f t="shared" si="6"/>
        <v>0</v>
      </c>
      <c r="AA58" s="13">
        <f t="shared" si="7"/>
        <v>0</v>
      </c>
      <c r="AB58" s="13">
        <f t="shared" si="8"/>
        <v>0</v>
      </c>
      <c r="AC58" s="13">
        <f t="shared" si="9"/>
        <v>0</v>
      </c>
      <c r="AD58" s="13">
        <f t="shared" si="10"/>
        <v>0</v>
      </c>
      <c r="AE58" s="13">
        <f t="shared" si="11"/>
        <v>229440.65</v>
      </c>
      <c r="AF58" s="13">
        <f t="shared" si="12"/>
        <v>0</v>
      </c>
      <c r="AG58" s="685">
        <f t="shared" si="13"/>
        <v>0</v>
      </c>
      <c r="AH58" s="688" t="b">
        <f t="shared" si="21"/>
        <v>1</v>
      </c>
    </row>
    <row r="59" spans="1:44" s="1" customFormat="1" ht="15" customHeight="1">
      <c r="A59" s="946">
        <v>10630001</v>
      </c>
      <c r="B59" s="946" t="s">
        <v>595</v>
      </c>
      <c r="C59" s="946">
        <v>6115904000349</v>
      </c>
      <c r="D59" s="946">
        <v>100000014</v>
      </c>
      <c r="E59" s="946" t="s">
        <v>23</v>
      </c>
      <c r="F59" s="946" t="s">
        <v>26</v>
      </c>
      <c r="G59" s="947">
        <v>655913.98</v>
      </c>
      <c r="H59" s="947">
        <v>933818.31</v>
      </c>
      <c r="I59" s="949">
        <v>45504</v>
      </c>
      <c r="J59" s="949">
        <v>47579</v>
      </c>
      <c r="K59" s="949">
        <v>46058</v>
      </c>
      <c r="L59" s="29" t="e">
        <f>VLOOKUP(A59,'Account Mapping'!$A$2:$E$216,3,0)</f>
        <v>#N/A</v>
      </c>
      <c r="M59" s="25" t="e">
        <f>VLOOKUP(A59,'Account Mapping'!$A$2:$E$216,4,0)</f>
        <v>#N/A</v>
      </c>
      <c r="N59" s="26" t="e">
        <f>IF(OR(C59='Account Mapping'!$H$4,C59='Account Mapping'!$H$5,C59='Account Mapping'!$H$6),'Account Mapping'!$I$4,VLOOKUP(A59,'Account Mapping'!$A$2:$E$216,5,0))</f>
        <v>#N/A</v>
      </c>
      <c r="O59" s="27" t="e">
        <f>IF(OR(L59="Loan",L59="Deposit_Liability",L59="OFF_Unused Loan Commitment",L59="HQLA"),VLOOKUP(D59,'Customer Type'!$A$3:$C$38,3,0),"")</f>
        <v>#N/A</v>
      </c>
      <c r="P59" s="656" t="e">
        <f t="shared" si="2"/>
        <v>#N/A</v>
      </c>
      <c r="Q59" s="658">
        <f>IF(COUNTIF('Account Mapping'!$H$12:$H$45,A59)&gt;0,-H59,H59)</f>
        <v>933818.31</v>
      </c>
      <c r="R59" s="249" t="e">
        <f>VLOOKUP(P59,Assumptions!$C$2:$D$64,2,0)</f>
        <v>#N/A</v>
      </c>
      <c r="S59" s="692">
        <f>IFERROR(VLOOKUP(A59,'Maturity Adjustment'!$A$3:$C$81,3,0),(IF(J59&lt;$N$4,"Tomorrow",J59)))</f>
        <v>47579</v>
      </c>
      <c r="T59" s="24">
        <f t="shared" si="18"/>
        <v>1521</v>
      </c>
      <c r="U59" s="196" t="e">
        <f t="shared" si="4"/>
        <v>#N/A</v>
      </c>
      <c r="V59" s="11">
        <f>IFERROR(VLOOKUP(A59,'Maturity Adjustment'!$A$86:$C$91,3,0),S59)</f>
        <v>47579</v>
      </c>
      <c r="W59" s="207" t="e">
        <f>VLOOKUP(A59,'Account Mapping'!$A$2:$F$216,6,0)</f>
        <v>#N/A</v>
      </c>
      <c r="X59" s="194">
        <f t="shared" si="64"/>
        <v>0</v>
      </c>
      <c r="Y59" s="194">
        <f t="shared" si="5"/>
        <v>0</v>
      </c>
      <c r="Z59" s="13">
        <f t="shared" si="6"/>
        <v>0</v>
      </c>
      <c r="AA59" s="13">
        <f t="shared" si="7"/>
        <v>0</v>
      </c>
      <c r="AB59" s="13">
        <f t="shared" si="8"/>
        <v>0</v>
      </c>
      <c r="AC59" s="13">
        <f t="shared" si="9"/>
        <v>0</v>
      </c>
      <c r="AD59" s="13">
        <f t="shared" si="10"/>
        <v>0</v>
      </c>
      <c r="AE59" s="13">
        <f t="shared" si="11"/>
        <v>933818.31</v>
      </c>
      <c r="AF59" s="13">
        <f t="shared" si="12"/>
        <v>0</v>
      </c>
      <c r="AG59" s="685">
        <f t="shared" si="13"/>
        <v>0</v>
      </c>
      <c r="AH59" s="688" t="b">
        <f t="shared" si="21"/>
        <v>1</v>
      </c>
    </row>
    <row r="60" spans="1:44" s="1" customFormat="1" ht="15" customHeight="1">
      <c r="A60" s="946">
        <v>10630001</v>
      </c>
      <c r="B60" s="946" t="s">
        <v>595</v>
      </c>
      <c r="C60" s="946">
        <v>6115904000356</v>
      </c>
      <c r="D60" s="946">
        <v>100000014</v>
      </c>
      <c r="E60" s="946" t="s">
        <v>23</v>
      </c>
      <c r="F60" s="946" t="s">
        <v>26</v>
      </c>
      <c r="G60" s="947">
        <v>182210.15</v>
      </c>
      <c r="H60" s="947">
        <v>259410.81</v>
      </c>
      <c r="I60" s="949">
        <v>45523</v>
      </c>
      <c r="J60" s="949">
        <v>47579</v>
      </c>
      <c r="K60" s="949">
        <v>46058</v>
      </c>
      <c r="L60" s="29" t="e">
        <f>VLOOKUP(A60,'Account Mapping'!$A$2:$E$216,3,0)</f>
        <v>#N/A</v>
      </c>
      <c r="M60" s="25" t="e">
        <f>VLOOKUP(A60,'Account Mapping'!$A$2:$E$216,4,0)</f>
        <v>#N/A</v>
      </c>
      <c r="N60" s="26" t="e">
        <f>IF(OR(C60='Account Mapping'!$H$4,C60='Account Mapping'!$H$5,C60='Account Mapping'!$H$6),'Account Mapping'!$I$4,VLOOKUP(A60,'Account Mapping'!$A$2:$E$216,5,0))</f>
        <v>#N/A</v>
      </c>
      <c r="O60" s="27" t="e">
        <f>IF(OR(L60="Loan",L60="Deposit_Liability",L60="OFF_Unused Loan Commitment",L60="HQLA"),VLOOKUP(D60,'Customer Type'!$A$3:$C$38,3,0),"")</f>
        <v>#N/A</v>
      </c>
      <c r="P60" s="656" t="e">
        <f t="shared" si="2"/>
        <v>#N/A</v>
      </c>
      <c r="Q60" s="658">
        <f>IF(COUNTIF('Account Mapping'!$H$12:$H$45,A60)&gt;0,-H60,H60)</f>
        <v>259410.81</v>
      </c>
      <c r="R60" s="249" t="e">
        <f>VLOOKUP(P60,Assumptions!$C$2:$D$64,2,0)</f>
        <v>#N/A</v>
      </c>
      <c r="S60" s="692">
        <f>IFERROR(VLOOKUP(A60,'Maturity Adjustment'!$A$3:$C$81,3,0),(IF(J60&lt;$N$4,"Tomorrow",J60)))</f>
        <v>47579</v>
      </c>
      <c r="T60" s="24">
        <f t="shared" si="18"/>
        <v>1521</v>
      </c>
      <c r="U60" s="196" t="e">
        <f t="shared" si="4"/>
        <v>#N/A</v>
      </c>
      <c r="V60" s="11">
        <f>IFERROR(VLOOKUP(A60,'Maturity Adjustment'!$A$86:$C$91,3,0),S60)</f>
        <v>47579</v>
      </c>
      <c r="W60" s="207" t="e">
        <f>VLOOKUP(A60,'Account Mapping'!$A$2:$F$216,6,0)</f>
        <v>#N/A</v>
      </c>
      <c r="X60" s="194">
        <f t="shared" si="64"/>
        <v>0</v>
      </c>
      <c r="Y60" s="194">
        <f t="shared" si="5"/>
        <v>0</v>
      </c>
      <c r="Z60" s="13">
        <f t="shared" si="6"/>
        <v>0</v>
      </c>
      <c r="AA60" s="13">
        <f t="shared" si="7"/>
        <v>0</v>
      </c>
      <c r="AB60" s="13">
        <f t="shared" si="8"/>
        <v>0</v>
      </c>
      <c r="AC60" s="13">
        <f t="shared" si="9"/>
        <v>0</v>
      </c>
      <c r="AD60" s="13">
        <f t="shared" si="10"/>
        <v>0</v>
      </c>
      <c r="AE60" s="13">
        <f t="shared" si="11"/>
        <v>259410.81</v>
      </c>
      <c r="AF60" s="13">
        <f t="shared" si="12"/>
        <v>0</v>
      </c>
      <c r="AG60" s="685">
        <f t="shared" si="13"/>
        <v>0</v>
      </c>
      <c r="AH60" s="688" t="b">
        <f t="shared" si="21"/>
        <v>1</v>
      </c>
    </row>
    <row r="61" spans="1:44" s="1" customFormat="1" ht="15" customHeight="1">
      <c r="A61" s="946">
        <v>10630001</v>
      </c>
      <c r="B61" s="946" t="s">
        <v>595</v>
      </c>
      <c r="C61" s="946">
        <v>6115904000363</v>
      </c>
      <c r="D61" s="946">
        <v>100000014</v>
      </c>
      <c r="E61" s="946" t="s">
        <v>23</v>
      </c>
      <c r="F61" s="946" t="s">
        <v>26</v>
      </c>
      <c r="G61" s="947">
        <v>1354838.71</v>
      </c>
      <c r="H61" s="947">
        <v>1928870.6</v>
      </c>
      <c r="I61" s="949">
        <v>45534</v>
      </c>
      <c r="J61" s="949">
        <v>47579</v>
      </c>
      <c r="K61" s="949">
        <v>46058</v>
      </c>
      <c r="L61" s="29" t="e">
        <f>VLOOKUP(A61,'Account Mapping'!$A$2:$E$216,3,0)</f>
        <v>#N/A</v>
      </c>
      <c r="M61" s="25" t="e">
        <f>VLOOKUP(A61,'Account Mapping'!$A$2:$E$216,4,0)</f>
        <v>#N/A</v>
      </c>
      <c r="N61" s="26" t="e">
        <f>IF(OR(C61='Account Mapping'!$H$4,C61='Account Mapping'!$H$5,C61='Account Mapping'!$H$6),'Account Mapping'!$I$4,VLOOKUP(A61,'Account Mapping'!$A$2:$E$216,5,0))</f>
        <v>#N/A</v>
      </c>
      <c r="O61" s="27" t="e">
        <f>IF(OR(L61="Loan",L61="Deposit_Liability",L61="OFF_Unused Loan Commitment",L61="HQLA"),VLOOKUP(D61,'Customer Type'!$A$3:$C$38,3,0),"")</f>
        <v>#N/A</v>
      </c>
      <c r="P61" s="656" t="e">
        <f t="shared" si="2"/>
        <v>#N/A</v>
      </c>
      <c r="Q61" s="658">
        <f>IF(COUNTIF('Account Mapping'!$H$12:$H$45,A61)&gt;0,-H61,H61)</f>
        <v>1928870.6</v>
      </c>
      <c r="R61" s="249" t="e">
        <f>VLOOKUP(P61,Assumptions!$C$2:$D$64,2,0)</f>
        <v>#N/A</v>
      </c>
      <c r="S61" s="692">
        <f>IFERROR(VLOOKUP(A61,'Maturity Adjustment'!$A$3:$C$81,3,0),(IF(J61&lt;$N$4,"Tomorrow",J61)))</f>
        <v>47579</v>
      </c>
      <c r="T61" s="24">
        <f t="shared" si="18"/>
        <v>1521</v>
      </c>
      <c r="U61" s="196" t="e">
        <f t="shared" si="4"/>
        <v>#N/A</v>
      </c>
      <c r="V61" s="11">
        <f>IFERROR(VLOOKUP(A61,'Maturity Adjustment'!$A$86:$C$91,3,0),S61)</f>
        <v>47579</v>
      </c>
      <c r="W61" s="207" t="e">
        <f>VLOOKUP(A61,'Account Mapping'!$A$2:$F$216,6,0)</f>
        <v>#N/A</v>
      </c>
      <c r="X61" s="194">
        <f t="shared" si="64"/>
        <v>0</v>
      </c>
      <c r="Y61" s="194">
        <f t="shared" si="5"/>
        <v>0</v>
      </c>
      <c r="Z61" s="13">
        <f t="shared" si="6"/>
        <v>0</v>
      </c>
      <c r="AA61" s="13">
        <f t="shared" si="7"/>
        <v>0</v>
      </c>
      <c r="AB61" s="13">
        <f t="shared" si="8"/>
        <v>0</v>
      </c>
      <c r="AC61" s="13">
        <f t="shared" si="9"/>
        <v>0</v>
      </c>
      <c r="AD61" s="13">
        <f t="shared" si="10"/>
        <v>0</v>
      </c>
      <c r="AE61" s="13">
        <f t="shared" si="11"/>
        <v>1928870.6</v>
      </c>
      <c r="AF61" s="13">
        <f t="shared" si="12"/>
        <v>0</v>
      </c>
      <c r="AG61" s="685">
        <f t="shared" si="13"/>
        <v>0</v>
      </c>
      <c r="AH61" s="688" t="b">
        <f t="shared" si="21"/>
        <v>1</v>
      </c>
    </row>
    <row r="62" spans="1:44" s="1" customFormat="1" ht="15" customHeight="1">
      <c r="A62" s="946">
        <v>10630001</v>
      </c>
      <c r="B62" s="946" t="s">
        <v>595</v>
      </c>
      <c r="C62" s="946">
        <v>6115904000370</v>
      </c>
      <c r="D62" s="946">
        <v>100000014</v>
      </c>
      <c r="E62" s="946" t="s">
        <v>23</v>
      </c>
      <c r="F62" s="946" t="s">
        <v>26</v>
      </c>
      <c r="G62" s="947">
        <v>190219.59</v>
      </c>
      <c r="H62" s="947">
        <v>270813.77</v>
      </c>
      <c r="I62" s="949">
        <v>45554</v>
      </c>
      <c r="J62" s="949">
        <v>47579</v>
      </c>
      <c r="K62" s="949">
        <v>46058</v>
      </c>
      <c r="L62" s="29" t="e">
        <f>VLOOKUP(A62,'Account Mapping'!$A$2:$E$216,3,0)</f>
        <v>#N/A</v>
      </c>
      <c r="M62" s="25" t="e">
        <f>VLOOKUP(A62,'Account Mapping'!$A$2:$E$216,4,0)</f>
        <v>#N/A</v>
      </c>
      <c r="N62" s="26" t="e">
        <f>IF(OR(C62='Account Mapping'!$H$4,C62='Account Mapping'!$H$5,C62='Account Mapping'!$H$6),'Account Mapping'!$I$4,VLOOKUP(A62,'Account Mapping'!$A$2:$E$216,5,0))</f>
        <v>#N/A</v>
      </c>
      <c r="O62" s="27" t="e">
        <f>IF(OR(L62="Loan",L62="Deposit_Liability",L62="OFF_Unused Loan Commitment",L62="HQLA"),VLOOKUP(D62,'Customer Type'!$A$3:$C$38,3,0),"")</f>
        <v>#N/A</v>
      </c>
      <c r="P62" s="656" t="e">
        <f t="shared" si="2"/>
        <v>#N/A</v>
      </c>
      <c r="Q62" s="658">
        <f>IF(COUNTIF('Account Mapping'!$H$12:$H$45,A62)&gt;0,-H62,H62)</f>
        <v>270813.77</v>
      </c>
      <c r="R62" s="249" t="e">
        <f>VLOOKUP(P62,Assumptions!$C$2:$D$64,2,0)</f>
        <v>#N/A</v>
      </c>
      <c r="S62" s="692">
        <f>IFERROR(VLOOKUP(A62,'Maturity Adjustment'!$A$3:$C$81,3,0),(IF(J62&lt;$N$4,"Tomorrow",J62)))</f>
        <v>47579</v>
      </c>
      <c r="T62" s="24">
        <f t="shared" si="18"/>
        <v>1521</v>
      </c>
      <c r="U62" s="196" t="e">
        <f t="shared" si="4"/>
        <v>#N/A</v>
      </c>
      <c r="V62" s="11">
        <f>IFERROR(VLOOKUP(A62,'Maturity Adjustment'!$A$86:$C$91,3,0),S62)</f>
        <v>47579</v>
      </c>
      <c r="W62" s="207" t="e">
        <f>VLOOKUP(A62,'Account Mapping'!$A$2:$F$216,6,0)</f>
        <v>#N/A</v>
      </c>
      <c r="X62" s="194">
        <f t="shared" si="64"/>
        <v>0</v>
      </c>
      <c r="Y62" s="194">
        <f t="shared" si="5"/>
        <v>0</v>
      </c>
      <c r="Z62" s="13">
        <f t="shared" si="6"/>
        <v>0</v>
      </c>
      <c r="AA62" s="13">
        <f t="shared" si="7"/>
        <v>0</v>
      </c>
      <c r="AB62" s="13">
        <f t="shared" si="8"/>
        <v>0</v>
      </c>
      <c r="AC62" s="13">
        <f t="shared" si="9"/>
        <v>0</v>
      </c>
      <c r="AD62" s="13">
        <f t="shared" si="10"/>
        <v>0</v>
      </c>
      <c r="AE62" s="13">
        <f t="shared" si="11"/>
        <v>270813.77</v>
      </c>
      <c r="AF62" s="13">
        <f t="shared" si="12"/>
        <v>0</v>
      </c>
      <c r="AG62" s="685">
        <f t="shared" si="13"/>
        <v>0</v>
      </c>
      <c r="AH62" s="688" t="b">
        <f t="shared" si="21"/>
        <v>1</v>
      </c>
    </row>
    <row r="63" spans="1:44" s="1" customFormat="1" ht="15" customHeight="1">
      <c r="A63" s="946">
        <v>10630001</v>
      </c>
      <c r="B63" s="946" t="s">
        <v>595</v>
      </c>
      <c r="C63" s="946">
        <v>6115904000388</v>
      </c>
      <c r="D63" s="946">
        <v>100000014</v>
      </c>
      <c r="E63" s="946" t="s">
        <v>23</v>
      </c>
      <c r="F63" s="946" t="s">
        <v>26</v>
      </c>
      <c r="G63" s="947">
        <v>1053763.44</v>
      </c>
      <c r="H63" s="947">
        <v>1500232.69</v>
      </c>
      <c r="I63" s="949">
        <v>45565</v>
      </c>
      <c r="J63" s="949">
        <v>47579</v>
      </c>
      <c r="K63" s="949">
        <v>46058</v>
      </c>
      <c r="L63" s="29" t="e">
        <f>VLOOKUP(A63,'Account Mapping'!$A$2:$E$216,3,0)</f>
        <v>#N/A</v>
      </c>
      <c r="M63" s="25" t="e">
        <f>VLOOKUP(A63,'Account Mapping'!$A$2:$E$216,4,0)</f>
        <v>#N/A</v>
      </c>
      <c r="N63" s="26" t="e">
        <f>IF(OR(C63='Account Mapping'!$H$4,C63='Account Mapping'!$H$5,C63='Account Mapping'!$H$6),'Account Mapping'!$I$4,VLOOKUP(A63,'Account Mapping'!$A$2:$E$216,5,0))</f>
        <v>#N/A</v>
      </c>
      <c r="O63" s="27" t="e">
        <f>IF(OR(L63="Loan",L63="Deposit_Liability",L63="OFF_Unused Loan Commitment",L63="HQLA"),VLOOKUP(D63,'Customer Type'!$A$3:$C$38,3,0),"")</f>
        <v>#N/A</v>
      </c>
      <c r="P63" s="656" t="e">
        <f t="shared" si="2"/>
        <v>#N/A</v>
      </c>
      <c r="Q63" s="658">
        <f>IF(COUNTIF('Account Mapping'!$H$12:$H$45,A63)&gt;0,-H63,H63)</f>
        <v>1500232.69</v>
      </c>
      <c r="R63" s="249" t="e">
        <f>VLOOKUP(P63,Assumptions!$C$2:$D$64,2,0)</f>
        <v>#N/A</v>
      </c>
      <c r="S63" s="692">
        <f>IFERROR(VLOOKUP(A63,'Maturity Adjustment'!$A$3:$C$81,3,0),(IF(J63&lt;$N$4,"Tomorrow",J63)))</f>
        <v>47579</v>
      </c>
      <c r="T63" s="24">
        <f>IF(S63="Tomorrow",1,(S63-$N$4))</f>
        <v>1521</v>
      </c>
      <c r="U63" s="196" t="e">
        <f t="shared" si="4"/>
        <v>#N/A</v>
      </c>
      <c r="V63" s="11">
        <f>IFERROR(VLOOKUP(A63,'Maturity Adjustment'!$A$86:$C$91,3,0),S63)</f>
        <v>47579</v>
      </c>
      <c r="W63" s="207" t="e">
        <f>VLOOKUP(A63,'Account Mapping'!$A$2:$F$216,6,0)</f>
        <v>#N/A</v>
      </c>
      <c r="X63" s="194">
        <f t="shared" si="64"/>
        <v>0</v>
      </c>
      <c r="Y63" s="194">
        <f t="shared" si="5"/>
        <v>0</v>
      </c>
      <c r="Z63" s="13">
        <f t="shared" si="6"/>
        <v>0</v>
      </c>
      <c r="AA63" s="13">
        <f t="shared" si="7"/>
        <v>0</v>
      </c>
      <c r="AB63" s="13">
        <f t="shared" si="8"/>
        <v>0</v>
      </c>
      <c r="AC63" s="13">
        <f t="shared" si="9"/>
        <v>0</v>
      </c>
      <c r="AD63" s="13">
        <f t="shared" si="10"/>
        <v>0</v>
      </c>
      <c r="AE63" s="13">
        <f t="shared" si="11"/>
        <v>1500232.69</v>
      </c>
      <c r="AF63" s="13">
        <f t="shared" si="12"/>
        <v>0</v>
      </c>
      <c r="AG63" s="685">
        <f t="shared" si="13"/>
        <v>0</v>
      </c>
      <c r="AH63" s="688" t="b">
        <f t="shared" si="21"/>
        <v>1</v>
      </c>
    </row>
    <row r="64" spans="1:44" s="1" customFormat="1" ht="15" customHeight="1">
      <c r="A64" s="946">
        <v>10630001</v>
      </c>
      <c r="B64" s="946" t="s">
        <v>595</v>
      </c>
      <c r="C64" s="946">
        <v>6115904000420</v>
      </c>
      <c r="D64" s="946">
        <v>100000014</v>
      </c>
      <c r="E64" s="946" t="s">
        <v>23</v>
      </c>
      <c r="F64" s="946" t="s">
        <v>26</v>
      </c>
      <c r="G64" s="947">
        <v>178768.75</v>
      </c>
      <c r="H64" s="947">
        <v>254511.32</v>
      </c>
      <c r="I64" s="949">
        <v>45583</v>
      </c>
      <c r="J64" s="949">
        <v>47579</v>
      </c>
      <c r="K64" s="949">
        <v>46058</v>
      </c>
      <c r="L64" s="29" t="e">
        <f>VLOOKUP(A64,'Account Mapping'!$A$2:$E$216,3,0)</f>
        <v>#N/A</v>
      </c>
      <c r="M64" s="25" t="e">
        <f>VLOOKUP(A64,'Account Mapping'!$A$2:$E$216,4,0)</f>
        <v>#N/A</v>
      </c>
      <c r="N64" s="26" t="e">
        <f>IF(OR(C64='Account Mapping'!$H$4,C64='Account Mapping'!$H$5,C64='Account Mapping'!$H$6),'Account Mapping'!$I$4,VLOOKUP(A64,'Account Mapping'!$A$2:$E$216,5,0))</f>
        <v>#N/A</v>
      </c>
      <c r="O64" s="27" t="e">
        <f>IF(OR(L64="Loan",L64="Deposit_Liability",L64="OFF_Unused Loan Commitment",L64="HQLA"),VLOOKUP(D64,'Customer Type'!$A$3:$C$38,3,0),"")</f>
        <v>#N/A</v>
      </c>
      <c r="P64" s="656" t="e">
        <f t="shared" si="2"/>
        <v>#N/A</v>
      </c>
      <c r="Q64" s="658">
        <f>IF(COUNTIF('Account Mapping'!$H$12:$H$45,A64)&gt;0,-H64,H64)</f>
        <v>254511.32</v>
      </c>
      <c r="R64" s="249" t="e">
        <f>VLOOKUP(P64,Assumptions!$C$2:$D$64,2,0)</f>
        <v>#N/A</v>
      </c>
      <c r="S64" s="692">
        <f>IFERROR(VLOOKUP(A64,'Maturity Adjustment'!$A$3:$C$81,3,0),(IF(J64&lt;$N$4,"Tomorrow",J64)))</f>
        <v>47579</v>
      </c>
      <c r="T64" s="24">
        <f t="shared" si="18"/>
        <v>1521</v>
      </c>
      <c r="U64" s="196" t="e">
        <f t="shared" si="4"/>
        <v>#N/A</v>
      </c>
      <c r="V64" s="11">
        <f>IFERROR(VLOOKUP(A64,'Maturity Adjustment'!$A$86:$C$91,3,0),S64)</f>
        <v>47579</v>
      </c>
      <c r="W64" s="207" t="e">
        <f>VLOOKUP(A64,'Account Mapping'!$A$2:$F$216,6,0)</f>
        <v>#N/A</v>
      </c>
      <c r="X64" s="194">
        <f t="shared" si="64"/>
        <v>0</v>
      </c>
      <c r="Y64" s="194">
        <f t="shared" si="5"/>
        <v>0</v>
      </c>
      <c r="Z64" s="13">
        <f t="shared" si="6"/>
        <v>0</v>
      </c>
      <c r="AA64" s="13">
        <f t="shared" si="7"/>
        <v>0</v>
      </c>
      <c r="AB64" s="13">
        <f t="shared" si="8"/>
        <v>0</v>
      </c>
      <c r="AC64" s="13">
        <f t="shared" si="9"/>
        <v>0</v>
      </c>
      <c r="AD64" s="13">
        <f t="shared" si="10"/>
        <v>0</v>
      </c>
      <c r="AE64" s="13">
        <f t="shared" si="11"/>
        <v>254511.32</v>
      </c>
      <c r="AF64" s="13">
        <f t="shared" si="12"/>
        <v>0</v>
      </c>
      <c r="AG64" s="685">
        <f t="shared" si="13"/>
        <v>0</v>
      </c>
      <c r="AH64" s="688" t="b">
        <f t="shared" si="21"/>
        <v>1</v>
      </c>
    </row>
    <row r="65" spans="1:34" s="1" customFormat="1" ht="15" customHeight="1">
      <c r="A65" s="946">
        <v>10630001</v>
      </c>
      <c r="B65" s="946" t="s">
        <v>595</v>
      </c>
      <c r="C65" s="946">
        <v>6115904000438</v>
      </c>
      <c r="D65" s="946">
        <v>100000014</v>
      </c>
      <c r="E65" s="946" t="s">
        <v>23</v>
      </c>
      <c r="F65" s="946" t="s">
        <v>26</v>
      </c>
      <c r="G65" s="947">
        <v>173203.83</v>
      </c>
      <c r="H65" s="947">
        <v>246588.6</v>
      </c>
      <c r="I65" s="949">
        <v>45611</v>
      </c>
      <c r="J65" s="949">
        <v>47579</v>
      </c>
      <c r="K65" s="949">
        <v>46058</v>
      </c>
      <c r="L65" s="29" t="e">
        <f>VLOOKUP(A65,'Account Mapping'!$A$2:$E$216,3,0)</f>
        <v>#N/A</v>
      </c>
      <c r="M65" s="25" t="e">
        <f>VLOOKUP(A65,'Account Mapping'!$A$2:$E$216,4,0)</f>
        <v>#N/A</v>
      </c>
      <c r="N65" s="26" t="e">
        <f>IF(OR(C65='Account Mapping'!$H$4,C65='Account Mapping'!$H$5,C65='Account Mapping'!$H$6),'Account Mapping'!$I$4,VLOOKUP(A65,'Account Mapping'!$A$2:$E$216,5,0))</f>
        <v>#N/A</v>
      </c>
      <c r="O65" s="27" t="e">
        <f>IF(OR(L65="Loan",L65="Deposit_Liability",L65="OFF_Unused Loan Commitment",L65="HQLA"),VLOOKUP(D65,'Customer Type'!$A$3:$C$38,3,0),"")</f>
        <v>#N/A</v>
      </c>
      <c r="P65" s="656" t="e">
        <f t="shared" si="2"/>
        <v>#N/A</v>
      </c>
      <c r="Q65" s="658">
        <f>IF(COUNTIF('Account Mapping'!$H$12:$H$45,A65)&gt;0,-H65,H65)</f>
        <v>246588.6</v>
      </c>
      <c r="R65" s="249" t="e">
        <f>VLOOKUP(P65,Assumptions!$C$2:$D$64,2,0)</f>
        <v>#N/A</v>
      </c>
      <c r="S65" s="692">
        <f>IFERROR(VLOOKUP(A65,'Maturity Adjustment'!$A$3:$C$81,3,0),(IF(J65&lt;$N$4,"Tomorrow",J65)))</f>
        <v>47579</v>
      </c>
      <c r="T65" s="24">
        <f>IF(S65="Tomorrow",1,(S65-$N$4))</f>
        <v>1521</v>
      </c>
      <c r="U65" s="196" t="e">
        <f t="shared" si="4"/>
        <v>#N/A</v>
      </c>
      <c r="V65" s="11">
        <f>IFERROR(VLOOKUP(A65,'Maturity Adjustment'!$A$86:$C$91,3,0),S65)</f>
        <v>47579</v>
      </c>
      <c r="W65" s="207" t="e">
        <f>VLOOKUP(A65,'Account Mapping'!$A$2:$F$216,6,0)</f>
        <v>#N/A</v>
      </c>
      <c r="X65" s="194">
        <f t="shared" si="64"/>
        <v>0</v>
      </c>
      <c r="Y65" s="194">
        <f t="shared" si="5"/>
        <v>0</v>
      </c>
      <c r="Z65" s="13">
        <f t="shared" si="6"/>
        <v>0</v>
      </c>
      <c r="AA65" s="13">
        <f t="shared" si="7"/>
        <v>0</v>
      </c>
      <c r="AB65" s="13">
        <f t="shared" si="8"/>
        <v>0</v>
      </c>
      <c r="AC65" s="13">
        <f t="shared" si="9"/>
        <v>0</v>
      </c>
      <c r="AD65" s="13">
        <f t="shared" si="10"/>
        <v>0</v>
      </c>
      <c r="AE65" s="13">
        <f t="shared" si="11"/>
        <v>246588.6</v>
      </c>
      <c r="AF65" s="13">
        <f t="shared" si="12"/>
        <v>0</v>
      </c>
      <c r="AG65" s="685">
        <f t="shared" si="13"/>
        <v>0</v>
      </c>
      <c r="AH65" s="688" t="b">
        <f t="shared" si="21"/>
        <v>1</v>
      </c>
    </row>
    <row r="66" spans="1:34" s="1" customFormat="1" ht="15" customHeight="1">
      <c r="A66" s="946">
        <v>10630001</v>
      </c>
      <c r="B66" s="946" t="s">
        <v>595</v>
      </c>
      <c r="C66" s="946">
        <v>6115904000445</v>
      </c>
      <c r="D66" s="946">
        <v>100000014</v>
      </c>
      <c r="E66" s="946" t="s">
        <v>23</v>
      </c>
      <c r="F66" s="946" t="s">
        <v>26</v>
      </c>
      <c r="G66" s="947">
        <v>301075.27</v>
      </c>
      <c r="H66" s="947">
        <v>428637.91</v>
      </c>
      <c r="I66" s="949">
        <v>45625</v>
      </c>
      <c r="J66" s="949">
        <v>47579</v>
      </c>
      <c r="K66" s="949">
        <v>46058</v>
      </c>
      <c r="L66" s="29" t="e">
        <f>VLOOKUP(A66,'Account Mapping'!$A$2:$E$216,3,0)</f>
        <v>#N/A</v>
      </c>
      <c r="M66" s="25" t="e">
        <f>VLOOKUP(A66,'Account Mapping'!$A$2:$E$216,4,0)</f>
        <v>#N/A</v>
      </c>
      <c r="N66" s="26" t="e">
        <f>IF(OR(C66='Account Mapping'!$H$4,C66='Account Mapping'!$H$5,C66='Account Mapping'!$H$6),'Account Mapping'!$I$4,VLOOKUP(A66,'Account Mapping'!$A$2:$E$216,5,0))</f>
        <v>#N/A</v>
      </c>
      <c r="O66" s="27" t="e">
        <f>IF(OR(L66="Loan",L66="Deposit_Liability",L66="OFF_Unused Loan Commitment",L66="HQLA"),VLOOKUP(D66,'Customer Type'!$A$3:$C$38,3,0),"")</f>
        <v>#N/A</v>
      </c>
      <c r="P66" s="656" t="e">
        <f t="shared" si="2"/>
        <v>#N/A</v>
      </c>
      <c r="Q66" s="658">
        <f>IF(COUNTIF('Account Mapping'!$H$12:$H$45,A66)&gt;0,-H66,H66)</f>
        <v>428637.91</v>
      </c>
      <c r="R66" s="249" t="e">
        <f>VLOOKUP(P66,Assumptions!$C$2:$D$64,2,0)</f>
        <v>#N/A</v>
      </c>
      <c r="S66" s="692">
        <f>IFERROR(VLOOKUP(A66,'Maturity Adjustment'!$A$3:$C$81,3,0),(IF(J66&lt;$N$4,"Tomorrow",J66)))</f>
        <v>47579</v>
      </c>
      <c r="T66" s="24">
        <f t="shared" si="18"/>
        <v>1521</v>
      </c>
      <c r="U66" s="196" t="e">
        <f t="shared" si="4"/>
        <v>#N/A</v>
      </c>
      <c r="V66" s="11">
        <f>IFERROR(VLOOKUP(A66,'Maturity Adjustment'!$A$86:$C$91,3,0),S66)</f>
        <v>47579</v>
      </c>
      <c r="W66" s="207" t="e">
        <f>VLOOKUP(A66,'Account Mapping'!$A$2:$F$216,6,0)</f>
        <v>#N/A</v>
      </c>
      <c r="X66" s="194">
        <f t="shared" si="64"/>
        <v>0</v>
      </c>
      <c r="Y66" s="194">
        <f t="shared" si="5"/>
        <v>0</v>
      </c>
      <c r="Z66" s="13">
        <f t="shared" si="6"/>
        <v>0</v>
      </c>
      <c r="AA66" s="13">
        <f t="shared" si="7"/>
        <v>0</v>
      </c>
      <c r="AB66" s="13">
        <f t="shared" si="8"/>
        <v>0</v>
      </c>
      <c r="AC66" s="13">
        <f t="shared" si="9"/>
        <v>0</v>
      </c>
      <c r="AD66" s="13">
        <f t="shared" si="10"/>
        <v>0</v>
      </c>
      <c r="AE66" s="13">
        <f t="shared" si="11"/>
        <v>428637.91</v>
      </c>
      <c r="AF66" s="13">
        <f t="shared" si="12"/>
        <v>0</v>
      </c>
      <c r="AG66" s="685">
        <f t="shared" si="13"/>
        <v>0</v>
      </c>
      <c r="AH66" s="688" t="b">
        <f t="shared" si="21"/>
        <v>1</v>
      </c>
    </row>
    <row r="67" spans="1:34" s="1" customFormat="1" ht="15" customHeight="1">
      <c r="A67" s="946">
        <v>10630001</v>
      </c>
      <c r="B67" s="946" t="s">
        <v>595</v>
      </c>
      <c r="C67" s="946">
        <v>6115904000460</v>
      </c>
      <c r="D67" s="946">
        <v>100000014</v>
      </c>
      <c r="E67" s="946" t="s">
        <v>23</v>
      </c>
      <c r="F67" s="946" t="s">
        <v>26</v>
      </c>
      <c r="G67" s="947">
        <v>170579.18</v>
      </c>
      <c r="H67" s="947">
        <v>242851.91</v>
      </c>
      <c r="I67" s="949">
        <v>45639</v>
      </c>
      <c r="J67" s="949">
        <v>47579</v>
      </c>
      <c r="K67" s="949">
        <v>46058</v>
      </c>
      <c r="L67" s="29" t="e">
        <f>VLOOKUP(A67,'Account Mapping'!$A$2:$E$216,3,0)</f>
        <v>#N/A</v>
      </c>
      <c r="M67" s="25" t="e">
        <f>VLOOKUP(A67,'Account Mapping'!$A$2:$E$216,4,0)</f>
        <v>#N/A</v>
      </c>
      <c r="N67" s="26" t="e">
        <f>IF(OR(C67='Account Mapping'!$H$4,C67='Account Mapping'!$H$5,C67='Account Mapping'!$H$6),'Account Mapping'!$I$4,VLOOKUP(A67,'Account Mapping'!$A$2:$E$216,5,0))</f>
        <v>#N/A</v>
      </c>
      <c r="O67" s="27" t="e">
        <f>IF(OR(L67="Loan",L67="Deposit_Liability",L67="OFF_Unused Loan Commitment",L67="HQLA"),VLOOKUP(D67,'Customer Type'!$A$3:$C$38,3,0),"")</f>
        <v>#N/A</v>
      </c>
      <c r="P67" s="656" t="e">
        <f t="shared" si="2"/>
        <v>#N/A</v>
      </c>
      <c r="Q67" s="658">
        <f>IF(COUNTIF('Account Mapping'!$H$12:$H$45,A67)&gt;0,-H67,H67)</f>
        <v>242851.91</v>
      </c>
      <c r="R67" s="249" t="e">
        <f>VLOOKUP(P67,Assumptions!$C$2:$D$64,2,0)</f>
        <v>#N/A</v>
      </c>
      <c r="S67" s="692">
        <f>IFERROR(VLOOKUP(A67,'Maturity Adjustment'!$A$3:$C$81,3,0),(IF(J67&lt;$N$4,"Tomorrow",J67)))</f>
        <v>47579</v>
      </c>
      <c r="T67" s="24">
        <f t="shared" si="18"/>
        <v>1521</v>
      </c>
      <c r="U67" s="196" t="e">
        <f t="shared" si="4"/>
        <v>#N/A</v>
      </c>
      <c r="V67" s="11">
        <f>IFERROR(VLOOKUP(A67,'Maturity Adjustment'!$A$86:$C$91,3,0),S67)</f>
        <v>47579</v>
      </c>
      <c r="W67" s="207" t="e">
        <f>VLOOKUP(A67,'Account Mapping'!$A$2:$F$216,6,0)</f>
        <v>#N/A</v>
      </c>
      <c r="X67" s="194">
        <f t="shared" si="64"/>
        <v>0</v>
      </c>
      <c r="Y67" s="194">
        <f t="shared" si="5"/>
        <v>0</v>
      </c>
      <c r="Z67" s="13">
        <f t="shared" si="6"/>
        <v>0</v>
      </c>
      <c r="AA67" s="13">
        <f t="shared" si="7"/>
        <v>0</v>
      </c>
      <c r="AB67" s="13">
        <f t="shared" si="8"/>
        <v>0</v>
      </c>
      <c r="AC67" s="13">
        <f t="shared" si="9"/>
        <v>0</v>
      </c>
      <c r="AD67" s="13">
        <f t="shared" si="10"/>
        <v>0</v>
      </c>
      <c r="AE67" s="13">
        <f t="shared" si="11"/>
        <v>242851.91</v>
      </c>
      <c r="AF67" s="13">
        <f t="shared" si="12"/>
        <v>0</v>
      </c>
      <c r="AG67" s="685">
        <f t="shared" si="13"/>
        <v>0</v>
      </c>
      <c r="AH67" s="688" t="b">
        <f t="shared" si="21"/>
        <v>1</v>
      </c>
    </row>
    <row r="68" spans="1:34" s="1" customFormat="1" ht="15" customHeight="1">
      <c r="A68" s="946">
        <v>10630001</v>
      </c>
      <c r="B68" s="946" t="s">
        <v>595</v>
      </c>
      <c r="C68" s="946">
        <v>6115904000477</v>
      </c>
      <c r="D68" s="946">
        <v>100000014</v>
      </c>
      <c r="E68" s="946" t="s">
        <v>23</v>
      </c>
      <c r="F68" s="946" t="s">
        <v>26</v>
      </c>
      <c r="G68" s="947">
        <v>967741.94</v>
      </c>
      <c r="H68" s="947">
        <v>1377764.72</v>
      </c>
      <c r="I68" s="949">
        <v>45656</v>
      </c>
      <c r="J68" s="949">
        <v>47579</v>
      </c>
      <c r="K68" s="949">
        <v>46058</v>
      </c>
      <c r="L68" s="29" t="e">
        <f>VLOOKUP(A68,'Account Mapping'!$A$2:$E$216,3,0)</f>
        <v>#N/A</v>
      </c>
      <c r="M68" s="25" t="e">
        <f>VLOOKUP(A68,'Account Mapping'!$A$2:$E$216,4,0)</f>
        <v>#N/A</v>
      </c>
      <c r="N68" s="26" t="e">
        <f>IF(OR(C68='Account Mapping'!$H$4,C68='Account Mapping'!$H$5,C68='Account Mapping'!$H$6),'Account Mapping'!$I$4,VLOOKUP(A68,'Account Mapping'!$A$2:$E$216,5,0))</f>
        <v>#N/A</v>
      </c>
      <c r="O68" s="27" t="e">
        <f>IF(OR(L68="Loan",L68="Deposit_Liability",L68="OFF_Unused Loan Commitment",L68="HQLA"),VLOOKUP(D68,'Customer Type'!$A$3:$C$38,3,0),"")</f>
        <v>#N/A</v>
      </c>
      <c r="P68" s="656" t="e">
        <f t="shared" si="2"/>
        <v>#N/A</v>
      </c>
      <c r="Q68" s="658">
        <f>IF(COUNTIF('Account Mapping'!$H$12:$H$45,A68)&gt;0,-H68,H68)</f>
        <v>1377764.72</v>
      </c>
      <c r="R68" s="249" t="e">
        <f>VLOOKUP(P68,Assumptions!$C$2:$D$64,2,0)</f>
        <v>#N/A</v>
      </c>
      <c r="S68" s="692">
        <f>IFERROR(VLOOKUP(A68,'Maturity Adjustment'!$A$3:$C$81,3,0),(IF(J68&lt;$N$4,"Tomorrow",J68)))</f>
        <v>47579</v>
      </c>
      <c r="T68" s="24">
        <f t="shared" si="18"/>
        <v>1521</v>
      </c>
      <c r="U68" s="196" t="e">
        <f t="shared" si="4"/>
        <v>#N/A</v>
      </c>
      <c r="V68" s="11">
        <f>IFERROR(VLOOKUP(A68,'Maturity Adjustment'!$A$86:$C$91,3,0),S68)</f>
        <v>47579</v>
      </c>
      <c r="W68" s="207" t="e">
        <f>VLOOKUP(A68,'Account Mapping'!$A$2:$F$216,6,0)</f>
        <v>#N/A</v>
      </c>
      <c r="X68" s="194">
        <f t="shared" si="64"/>
        <v>0</v>
      </c>
      <c r="Y68" s="194">
        <f t="shared" si="5"/>
        <v>0</v>
      </c>
      <c r="Z68" s="13">
        <f t="shared" si="6"/>
        <v>0</v>
      </c>
      <c r="AA68" s="13">
        <f t="shared" si="7"/>
        <v>0</v>
      </c>
      <c r="AB68" s="13">
        <f t="shared" si="8"/>
        <v>0</v>
      </c>
      <c r="AC68" s="13">
        <f t="shared" si="9"/>
        <v>0</v>
      </c>
      <c r="AD68" s="13">
        <f t="shared" si="10"/>
        <v>0</v>
      </c>
      <c r="AE68" s="13">
        <f t="shared" si="11"/>
        <v>1377764.72</v>
      </c>
      <c r="AF68" s="13">
        <f t="shared" si="12"/>
        <v>0</v>
      </c>
      <c r="AG68" s="685">
        <f t="shared" si="13"/>
        <v>0</v>
      </c>
      <c r="AH68" s="688" t="b">
        <f t="shared" si="21"/>
        <v>1</v>
      </c>
    </row>
    <row r="69" spans="1:34" s="1" customFormat="1" ht="15" customHeight="1">
      <c r="A69" s="946">
        <v>10630001</v>
      </c>
      <c r="B69" s="946" t="s">
        <v>595</v>
      </c>
      <c r="C69" s="946">
        <v>6115904000484</v>
      </c>
      <c r="D69" s="946">
        <v>100000014</v>
      </c>
      <c r="E69" s="946" t="s">
        <v>23</v>
      </c>
      <c r="F69" s="946" t="s">
        <v>26</v>
      </c>
      <c r="G69" s="947">
        <v>190415.75</v>
      </c>
      <c r="H69" s="947">
        <v>271093.03999999998</v>
      </c>
      <c r="I69" s="949">
        <v>45670</v>
      </c>
      <c r="J69" s="949">
        <v>47579</v>
      </c>
      <c r="K69" s="949">
        <v>46058</v>
      </c>
      <c r="L69" s="29" t="e">
        <f>VLOOKUP(A69,'Account Mapping'!$A$2:$E$216,3,0)</f>
        <v>#N/A</v>
      </c>
      <c r="M69" s="25" t="e">
        <f>VLOOKUP(A69,'Account Mapping'!$A$2:$E$216,4,0)</f>
        <v>#N/A</v>
      </c>
      <c r="N69" s="26" t="e">
        <f>IF(OR(C69='Account Mapping'!$H$4,C69='Account Mapping'!$H$5,C69='Account Mapping'!$H$6),'Account Mapping'!$I$4,VLOOKUP(A69,'Account Mapping'!$A$2:$E$216,5,0))</f>
        <v>#N/A</v>
      </c>
      <c r="O69" s="27" t="e">
        <f>IF(OR(L69="Loan",L69="Deposit_Liability",L69="OFF_Unused Loan Commitment",L69="HQLA"),VLOOKUP(D69,'Customer Type'!$A$3:$C$38,3,0),"")</f>
        <v>#N/A</v>
      </c>
      <c r="P69" s="656" t="e">
        <f t="shared" si="2"/>
        <v>#N/A</v>
      </c>
      <c r="Q69" s="658">
        <f>IF(COUNTIF('Account Mapping'!$H$12:$H$45,A69)&gt;0,-H69,H69)</f>
        <v>271093.03999999998</v>
      </c>
      <c r="R69" s="249" t="e">
        <f>VLOOKUP(P69,Assumptions!$C$2:$D$64,2,0)</f>
        <v>#N/A</v>
      </c>
      <c r="S69" s="692">
        <f>IFERROR(VLOOKUP(A69,'Maturity Adjustment'!$A$3:$C$81,3,0),(IF(J69&lt;$N$4,"Tomorrow",J69)))</f>
        <v>47579</v>
      </c>
      <c r="T69" s="24">
        <f t="shared" si="18"/>
        <v>1521</v>
      </c>
      <c r="U69" s="196" t="e">
        <f t="shared" si="4"/>
        <v>#N/A</v>
      </c>
      <c r="V69" s="11">
        <f>IFERROR(VLOOKUP(A69,'Maturity Adjustment'!$A$86:$C$91,3,0),S69)</f>
        <v>47579</v>
      </c>
      <c r="W69" s="207" t="e">
        <f>VLOOKUP(A69,'Account Mapping'!$A$2:$F$216,6,0)</f>
        <v>#N/A</v>
      </c>
      <c r="X69" s="194">
        <f t="shared" si="64"/>
        <v>0</v>
      </c>
      <c r="Y69" s="194">
        <f t="shared" si="5"/>
        <v>0</v>
      </c>
      <c r="Z69" s="13">
        <f t="shared" si="6"/>
        <v>0</v>
      </c>
      <c r="AA69" s="13">
        <f t="shared" si="7"/>
        <v>0</v>
      </c>
      <c r="AB69" s="13">
        <f t="shared" si="8"/>
        <v>0</v>
      </c>
      <c r="AC69" s="13">
        <f t="shared" si="9"/>
        <v>0</v>
      </c>
      <c r="AD69" s="13">
        <f t="shared" si="10"/>
        <v>0</v>
      </c>
      <c r="AE69" s="13">
        <f t="shared" si="11"/>
        <v>271093.03999999998</v>
      </c>
      <c r="AF69" s="13">
        <f t="shared" si="12"/>
        <v>0</v>
      </c>
      <c r="AG69" s="685">
        <f t="shared" si="13"/>
        <v>0</v>
      </c>
      <c r="AH69" s="688" t="b">
        <f t="shared" si="21"/>
        <v>1</v>
      </c>
    </row>
    <row r="70" spans="1:34" s="1" customFormat="1" ht="15" customHeight="1">
      <c r="A70" s="946">
        <v>10630001</v>
      </c>
      <c r="B70" s="946" t="s">
        <v>595</v>
      </c>
      <c r="C70" s="946">
        <v>6115904000491</v>
      </c>
      <c r="D70" s="946">
        <v>100000014</v>
      </c>
      <c r="E70" s="946" t="s">
        <v>23</v>
      </c>
      <c r="F70" s="946" t="s">
        <v>26</v>
      </c>
      <c r="G70" s="947">
        <v>838709.68</v>
      </c>
      <c r="H70" s="947">
        <v>1194062.76</v>
      </c>
      <c r="I70" s="949">
        <v>45679</v>
      </c>
      <c r="J70" s="949">
        <v>47579</v>
      </c>
      <c r="K70" s="949">
        <v>46058</v>
      </c>
      <c r="L70" s="29" t="e">
        <f>VLOOKUP(A70,'Account Mapping'!$A$2:$E$216,3,0)</f>
        <v>#N/A</v>
      </c>
      <c r="M70" s="25" t="e">
        <f>VLOOKUP(A70,'Account Mapping'!$A$2:$E$216,4,0)</f>
        <v>#N/A</v>
      </c>
      <c r="N70" s="26" t="e">
        <f>IF(OR(C70='Account Mapping'!$H$4,C70='Account Mapping'!$H$5,C70='Account Mapping'!$H$6),'Account Mapping'!$I$4,VLOOKUP(A70,'Account Mapping'!$A$2:$E$216,5,0))</f>
        <v>#N/A</v>
      </c>
      <c r="O70" s="27" t="e">
        <f>IF(OR(L70="Loan",L70="Deposit_Liability",L70="OFF_Unused Loan Commitment",L70="HQLA"),VLOOKUP(D70,'Customer Type'!$A$3:$C$38,3,0),"")</f>
        <v>#N/A</v>
      </c>
      <c r="P70" s="656" t="e">
        <f t="shared" si="2"/>
        <v>#N/A</v>
      </c>
      <c r="Q70" s="658">
        <f>IF(COUNTIF('Account Mapping'!$H$12:$H$45,A70)&gt;0,-H70,H70)</f>
        <v>1194062.76</v>
      </c>
      <c r="R70" s="249" t="e">
        <f>VLOOKUP(P70,Assumptions!$C$2:$D$64,2,0)</f>
        <v>#N/A</v>
      </c>
      <c r="S70" s="692">
        <f>IFERROR(VLOOKUP(A70,'Maturity Adjustment'!$A$3:$C$81,3,0),(IF(J70&lt;$N$4,"Tomorrow",J70)))</f>
        <v>47579</v>
      </c>
      <c r="T70" s="24">
        <f t="shared" si="18"/>
        <v>1521</v>
      </c>
      <c r="U70" s="196" t="e">
        <f t="shared" si="4"/>
        <v>#N/A</v>
      </c>
      <c r="V70" s="11">
        <f>IFERROR(VLOOKUP(A70,'Maturity Adjustment'!$A$86:$C$91,3,0),S70)</f>
        <v>47579</v>
      </c>
      <c r="W70" s="207" t="e">
        <f>VLOOKUP(A70,'Account Mapping'!$A$2:$F$216,6,0)</f>
        <v>#N/A</v>
      </c>
      <c r="X70" s="194">
        <f t="shared" si="64"/>
        <v>0</v>
      </c>
      <c r="Y70" s="194">
        <f t="shared" si="5"/>
        <v>0</v>
      </c>
      <c r="Z70" s="13">
        <f t="shared" si="6"/>
        <v>0</v>
      </c>
      <c r="AA70" s="13">
        <f t="shared" si="7"/>
        <v>0</v>
      </c>
      <c r="AB70" s="13">
        <f t="shared" si="8"/>
        <v>0</v>
      </c>
      <c r="AC70" s="13">
        <f t="shared" si="9"/>
        <v>0</v>
      </c>
      <c r="AD70" s="13">
        <f t="shared" si="10"/>
        <v>0</v>
      </c>
      <c r="AE70" s="13">
        <f t="shared" si="11"/>
        <v>1194062.76</v>
      </c>
      <c r="AF70" s="13">
        <f t="shared" si="12"/>
        <v>0</v>
      </c>
      <c r="AG70" s="685">
        <f t="shared" si="13"/>
        <v>0</v>
      </c>
      <c r="AH70" s="688" t="b">
        <f t="shared" si="21"/>
        <v>1</v>
      </c>
    </row>
    <row r="71" spans="1:34" s="1" customFormat="1" ht="15" customHeight="1">
      <c r="A71" s="946">
        <v>10630001</v>
      </c>
      <c r="B71" s="946" t="s">
        <v>595</v>
      </c>
      <c r="C71" s="946">
        <v>6115904000502</v>
      </c>
      <c r="D71" s="946">
        <v>100000014</v>
      </c>
      <c r="E71" s="946" t="s">
        <v>23</v>
      </c>
      <c r="F71" s="946" t="s">
        <v>26</v>
      </c>
      <c r="G71" s="947">
        <v>193896.47</v>
      </c>
      <c r="H71" s="947">
        <v>276048.51</v>
      </c>
      <c r="I71" s="949">
        <v>45701</v>
      </c>
      <c r="J71" s="949">
        <v>47579</v>
      </c>
      <c r="K71" s="949">
        <v>46058</v>
      </c>
      <c r="L71" s="29" t="e">
        <f>VLOOKUP(A71,'Account Mapping'!$A$2:$E$216,3,0)</f>
        <v>#N/A</v>
      </c>
      <c r="M71" s="25" t="e">
        <f>VLOOKUP(A71,'Account Mapping'!$A$2:$E$216,4,0)</f>
        <v>#N/A</v>
      </c>
      <c r="N71" s="26" t="e">
        <f>IF(OR(C71='Account Mapping'!$H$4,C71='Account Mapping'!$H$5,C71='Account Mapping'!$H$6),'Account Mapping'!$I$4,VLOOKUP(A71,'Account Mapping'!$A$2:$E$216,5,0))</f>
        <v>#N/A</v>
      </c>
      <c r="O71" s="27" t="e">
        <f>IF(OR(L71="Loan",L71="Deposit_Liability",L71="OFF_Unused Loan Commitment",L71="HQLA"),VLOOKUP(D71,'Customer Type'!$A$3:$C$38,3,0),"")</f>
        <v>#N/A</v>
      </c>
      <c r="P71" s="656" t="e">
        <f t="shared" si="2"/>
        <v>#N/A</v>
      </c>
      <c r="Q71" s="658">
        <f>IF(COUNTIF('Account Mapping'!$H$12:$H$45,A71)&gt;0,-H71,H71)</f>
        <v>276048.51</v>
      </c>
      <c r="R71" s="249" t="e">
        <f>VLOOKUP(P71,Assumptions!$C$2:$D$64,2,0)</f>
        <v>#N/A</v>
      </c>
      <c r="S71" s="692">
        <f>IFERROR(VLOOKUP(A71,'Maturity Adjustment'!$A$3:$C$81,3,0),(IF(J71&lt;$N$4,"Tomorrow",J71)))</f>
        <v>47579</v>
      </c>
      <c r="T71" s="24">
        <f t="shared" si="18"/>
        <v>1521</v>
      </c>
      <c r="U71" s="196" t="e">
        <f t="shared" si="4"/>
        <v>#N/A</v>
      </c>
      <c r="V71" s="11">
        <f>IFERROR(VLOOKUP(A71,'Maturity Adjustment'!$A$86:$C$91,3,0),S71)</f>
        <v>47579</v>
      </c>
      <c r="W71" s="207" t="e">
        <f>VLOOKUP(A71,'Account Mapping'!$A$2:$F$216,6,0)</f>
        <v>#N/A</v>
      </c>
      <c r="X71" s="194">
        <f t="shared" si="64"/>
        <v>0</v>
      </c>
      <c r="Y71" s="194">
        <f t="shared" si="5"/>
        <v>0</v>
      </c>
      <c r="Z71" s="13">
        <f t="shared" si="6"/>
        <v>0</v>
      </c>
      <c r="AA71" s="13">
        <f t="shared" si="7"/>
        <v>0</v>
      </c>
      <c r="AB71" s="13">
        <f t="shared" si="8"/>
        <v>0</v>
      </c>
      <c r="AC71" s="13">
        <f t="shared" si="9"/>
        <v>0</v>
      </c>
      <c r="AD71" s="13">
        <f t="shared" si="10"/>
        <v>0</v>
      </c>
      <c r="AE71" s="13">
        <f t="shared" si="11"/>
        <v>276048.51</v>
      </c>
      <c r="AF71" s="13">
        <f t="shared" si="12"/>
        <v>0</v>
      </c>
      <c r="AG71" s="685">
        <f t="shared" si="13"/>
        <v>0</v>
      </c>
      <c r="AH71" s="688" t="b">
        <f t="shared" si="21"/>
        <v>1</v>
      </c>
    </row>
    <row r="72" spans="1:34" s="1" customFormat="1" ht="15" customHeight="1">
      <c r="A72" s="946">
        <v>10630001</v>
      </c>
      <c r="B72" s="946" t="s">
        <v>595</v>
      </c>
      <c r="C72" s="946">
        <v>6115904000510</v>
      </c>
      <c r="D72" s="946">
        <v>100000014</v>
      </c>
      <c r="E72" s="946" t="s">
        <v>23</v>
      </c>
      <c r="F72" s="946" t="s">
        <v>26</v>
      </c>
      <c r="G72" s="947">
        <v>1612903.23</v>
      </c>
      <c r="H72" s="947">
        <v>2296274.5299999998</v>
      </c>
      <c r="I72" s="949">
        <v>45715</v>
      </c>
      <c r="J72" s="949">
        <v>47579</v>
      </c>
      <c r="K72" s="949">
        <v>46058</v>
      </c>
      <c r="L72" s="29" t="e">
        <f>VLOOKUP(A72,'Account Mapping'!$A$2:$E$216,3,0)</f>
        <v>#N/A</v>
      </c>
      <c r="M72" s="25" t="e">
        <f>VLOOKUP(A72,'Account Mapping'!$A$2:$E$216,4,0)</f>
        <v>#N/A</v>
      </c>
      <c r="N72" s="26" t="e">
        <f>IF(OR(C72='Account Mapping'!$H$4,C72='Account Mapping'!$H$5,C72='Account Mapping'!$H$6),'Account Mapping'!$I$4,VLOOKUP(A72,'Account Mapping'!$A$2:$E$216,5,0))</f>
        <v>#N/A</v>
      </c>
      <c r="O72" s="27" t="e">
        <f>IF(OR(L72="Loan",L72="Deposit_Liability",L72="OFF_Unused Loan Commitment",L72="HQLA"),VLOOKUP(D72,'Customer Type'!$A$3:$C$38,3,0),"")</f>
        <v>#N/A</v>
      </c>
      <c r="P72" s="656" t="e">
        <f t="shared" ref="P72:P135" si="83">M72&amp;"_"&amp;O72</f>
        <v>#N/A</v>
      </c>
      <c r="Q72" s="658">
        <f>IF(COUNTIF('Account Mapping'!$H$12:$H$45,A72)&gt;0,-H72,H72)</f>
        <v>2296274.5299999998</v>
      </c>
      <c r="R72" s="249" t="e">
        <f>VLOOKUP(P72,Assumptions!$C$2:$D$64,2,0)</f>
        <v>#N/A</v>
      </c>
      <c r="S72" s="692">
        <f>IFERROR(VLOOKUP(A72,'Maturity Adjustment'!$A$3:$C$81,3,0),(IF(J72&lt;$N$4,"Tomorrow",J72)))</f>
        <v>47579</v>
      </c>
      <c r="T72" s="24">
        <f t="shared" si="18"/>
        <v>1521</v>
      </c>
      <c r="U72" s="196" t="e">
        <f t="shared" ref="U72:U135" si="84">Q72*R72</f>
        <v>#N/A</v>
      </c>
      <c r="V72" s="11">
        <f>IFERROR(VLOOKUP(A72,'Maturity Adjustment'!$A$86:$C$91,3,0),S72)</f>
        <v>47579</v>
      </c>
      <c r="W72" s="207" t="e">
        <f>VLOOKUP(A72,'Account Mapping'!$A$2:$F$216,6,0)</f>
        <v>#N/A</v>
      </c>
      <c r="X72" s="194">
        <f t="shared" ref="X72:X135" si="85">IF(V72="Tomorrow",Q72,IF(AND(V72&gt;$X$4-1,V72&lt;$X$5),Q72,IF(V72=$X$5,Q72,0)))</f>
        <v>0</v>
      </c>
      <c r="Y72" s="194">
        <f t="shared" ref="Y72:Y135" si="86">IF(AND(V72&gt;$Y$4-1,V72&lt;$Y$5),Q72,IF(V72=$Y$5,Q72,0))</f>
        <v>0</v>
      </c>
      <c r="Z72" s="13">
        <f t="shared" ref="Z72:Z135" si="87">IF(AND(V72&gt;$Z$4-1,V72&lt;$Z$5),Q72,IF(V72=$Z$5,Q72,0))</f>
        <v>0</v>
      </c>
      <c r="AA72" s="13">
        <f t="shared" ref="AA72:AA135" si="88">IF(AND(V72&gt;$AA$4-1,V72&lt;$AA$5),Q72,IF(V72=$AA$5,Q72,0))</f>
        <v>0</v>
      </c>
      <c r="AB72" s="13">
        <f t="shared" ref="AB72:AB135" si="89">IF(AND(V72&gt;$AB$4-1,V72&lt;$AB$5),Q72,IF(V72=$AB$5,Q72,0))</f>
        <v>0</v>
      </c>
      <c r="AC72" s="13">
        <f t="shared" ref="AC72:AC135" si="90">IF(AND(V72&gt;$AC$4-1,V72&lt;$AC$5),Q72,IF(V72=$AC$5,Q72,0))</f>
        <v>0</v>
      </c>
      <c r="AD72" s="13">
        <f t="shared" ref="AD72:AD135" si="91">IF(AND(V72&gt;$AD$4-1,V72&lt;$AD$5),Q72,IF(V72=$AD$5,Q72,0))</f>
        <v>0</v>
      </c>
      <c r="AE72" s="13">
        <f t="shared" ref="AE72:AE135" si="92">IF(AND(V72&gt;$AE$4-1,V72&lt;$AE$5),Q72,IF(V72=$AE$5,Q72,0))</f>
        <v>2296274.5299999998</v>
      </c>
      <c r="AF72" s="13">
        <f t="shared" ref="AF72:AF135" si="93">IF(AND(V72&gt;$AF$4-1,V72&lt;$AF$5),Q72,IF(V72=$AF$5,Q72,0))</f>
        <v>0</v>
      </c>
      <c r="AG72" s="685">
        <f t="shared" ref="AG72:AG135" si="94">IF(AND(V72&gt;$AG$4-1,V72&lt;$AG$5),Q72,IF(V72=$AG$5,Q72,0))</f>
        <v>0</v>
      </c>
      <c r="AH72" s="688" t="b">
        <f t="shared" ref="AH72:AH135" si="95">Q72=SUM(X72:AG72)</f>
        <v>1</v>
      </c>
    </row>
    <row r="73" spans="1:34" s="1" customFormat="1">
      <c r="A73" s="946">
        <v>10630001</v>
      </c>
      <c r="B73" s="946" t="s">
        <v>595</v>
      </c>
      <c r="C73" s="946">
        <v>6115904000527</v>
      </c>
      <c r="D73" s="946">
        <v>100000014</v>
      </c>
      <c r="E73" s="946" t="s">
        <v>23</v>
      </c>
      <c r="F73" s="946" t="s">
        <v>26</v>
      </c>
      <c r="G73" s="947">
        <v>181759.33</v>
      </c>
      <c r="H73" s="947">
        <v>258768.98</v>
      </c>
      <c r="I73" s="949">
        <v>45729</v>
      </c>
      <c r="J73" s="949">
        <v>47579</v>
      </c>
      <c r="K73" s="949">
        <v>46058</v>
      </c>
      <c r="L73" s="29" t="e">
        <f>VLOOKUP(A73,'Account Mapping'!$A$2:$E$216,3,0)</f>
        <v>#N/A</v>
      </c>
      <c r="M73" s="25" t="e">
        <f>VLOOKUP(A73,'Account Mapping'!$A$2:$E$216,4,0)</f>
        <v>#N/A</v>
      </c>
      <c r="N73" s="26" t="e">
        <f>IF(OR(C73='Account Mapping'!$H$4,C73='Account Mapping'!$H$5,C73='Account Mapping'!$H$6),'Account Mapping'!$I$4,VLOOKUP(A73,'Account Mapping'!$A$2:$E$216,5,0))</f>
        <v>#N/A</v>
      </c>
      <c r="O73" s="27" t="e">
        <f>IF(OR(L73="Loan",L73="Deposit_Liability",L73="OFF_Unused Loan Commitment",L73="HQLA"),VLOOKUP(D73,'Customer Type'!$A$3:$C$38,3,0),"")</f>
        <v>#N/A</v>
      </c>
      <c r="P73" s="656" t="e">
        <f t="shared" si="83"/>
        <v>#N/A</v>
      </c>
      <c r="Q73" s="658">
        <f>IF(COUNTIF('Account Mapping'!$H$12:$H$45,A73)&gt;0,-H73,H73)</f>
        <v>258768.98</v>
      </c>
      <c r="R73" s="249" t="e">
        <f>VLOOKUP(P73,Assumptions!$C$2:$D$64,2,0)</f>
        <v>#N/A</v>
      </c>
      <c r="S73" s="692">
        <f>IFERROR(VLOOKUP(A73,'Maturity Adjustment'!$A$3:$C$81,3,0),(IF(J73&lt;$N$4,"Tomorrow",J73)))</f>
        <v>47579</v>
      </c>
      <c r="T73" s="24">
        <f t="shared" si="18"/>
        <v>1521</v>
      </c>
      <c r="U73" s="196" t="e">
        <f t="shared" si="84"/>
        <v>#N/A</v>
      </c>
      <c r="V73" s="11">
        <f>IFERROR(VLOOKUP(A73,'Maturity Adjustment'!$A$86:$C$91,3,0),S73)</f>
        <v>47579</v>
      </c>
      <c r="W73" s="207" t="e">
        <f>VLOOKUP(A73,'Account Mapping'!$A$2:$F$216,6,0)</f>
        <v>#N/A</v>
      </c>
      <c r="X73" s="194">
        <f t="shared" si="85"/>
        <v>0</v>
      </c>
      <c r="Y73" s="194">
        <f t="shared" si="86"/>
        <v>0</v>
      </c>
      <c r="Z73" s="13">
        <f t="shared" si="87"/>
        <v>0</v>
      </c>
      <c r="AA73" s="13">
        <f t="shared" si="88"/>
        <v>0</v>
      </c>
      <c r="AB73" s="13">
        <f t="shared" si="89"/>
        <v>0</v>
      </c>
      <c r="AC73" s="13">
        <f t="shared" si="90"/>
        <v>0</v>
      </c>
      <c r="AD73" s="13">
        <f t="shared" si="91"/>
        <v>0</v>
      </c>
      <c r="AE73" s="13">
        <f t="shared" si="92"/>
        <v>258768.98</v>
      </c>
      <c r="AF73" s="13">
        <f t="shared" si="93"/>
        <v>0</v>
      </c>
      <c r="AG73" s="685">
        <f t="shared" si="94"/>
        <v>0</v>
      </c>
      <c r="AH73" s="688" t="b">
        <f t="shared" si="95"/>
        <v>1</v>
      </c>
    </row>
    <row r="74" spans="1:34" s="1" customFormat="1" ht="15" customHeight="1">
      <c r="A74" s="946">
        <v>10630001</v>
      </c>
      <c r="B74" s="946" t="s">
        <v>595</v>
      </c>
      <c r="C74" s="946">
        <v>6115904000534</v>
      </c>
      <c r="D74" s="946">
        <v>100000014</v>
      </c>
      <c r="E74" s="946" t="s">
        <v>23</v>
      </c>
      <c r="F74" s="946" t="s">
        <v>26</v>
      </c>
      <c r="G74" s="947">
        <v>881720.43</v>
      </c>
      <c r="H74" s="947">
        <v>1255296.74</v>
      </c>
      <c r="I74" s="949">
        <v>45747</v>
      </c>
      <c r="J74" s="949">
        <v>47579</v>
      </c>
      <c r="K74" s="949">
        <v>46058</v>
      </c>
      <c r="L74" s="29" t="e">
        <f>VLOOKUP(A74,'Account Mapping'!$A$2:$E$216,3,0)</f>
        <v>#N/A</v>
      </c>
      <c r="M74" s="25" t="e">
        <f>VLOOKUP(A74,'Account Mapping'!$A$2:$E$216,4,0)</f>
        <v>#N/A</v>
      </c>
      <c r="N74" s="26" t="e">
        <f>IF(OR(C74='Account Mapping'!$H$4,C74='Account Mapping'!$H$5,C74='Account Mapping'!$H$6),'Account Mapping'!$I$4,VLOOKUP(A74,'Account Mapping'!$A$2:$E$216,5,0))</f>
        <v>#N/A</v>
      </c>
      <c r="O74" s="27" t="e">
        <f>IF(OR(L74="Loan",L74="Deposit_Liability",L74="OFF_Unused Loan Commitment",L74="HQLA"),VLOOKUP(D74,'Customer Type'!$A$3:$C$38,3,0),"")</f>
        <v>#N/A</v>
      </c>
      <c r="P74" s="656" t="e">
        <f t="shared" si="83"/>
        <v>#N/A</v>
      </c>
      <c r="Q74" s="658">
        <f>IF(COUNTIF('Account Mapping'!$H$12:$H$45,A74)&gt;0,-H74,H74)</f>
        <v>1255296.74</v>
      </c>
      <c r="R74" s="249" t="e">
        <f>VLOOKUP(P74,Assumptions!$C$2:$D$64,2,0)</f>
        <v>#N/A</v>
      </c>
      <c r="S74" s="692">
        <f>IFERROR(VLOOKUP(A74,'Maturity Adjustment'!$A$3:$C$81,3,0),(IF(J74&lt;$N$4,"Tomorrow",J74)))</f>
        <v>47579</v>
      </c>
      <c r="T74" s="24">
        <f t="shared" si="18"/>
        <v>1521</v>
      </c>
      <c r="U74" s="196" t="e">
        <f t="shared" si="84"/>
        <v>#N/A</v>
      </c>
      <c r="V74" s="11">
        <f>IFERROR(VLOOKUP(A74,'Maturity Adjustment'!$A$86:$C$91,3,0),S74)</f>
        <v>47579</v>
      </c>
      <c r="W74" s="207" t="e">
        <f>VLOOKUP(A74,'Account Mapping'!$A$2:$F$216,6,0)</f>
        <v>#N/A</v>
      </c>
      <c r="X74" s="194">
        <f t="shared" si="85"/>
        <v>0</v>
      </c>
      <c r="Y74" s="194">
        <f t="shared" si="86"/>
        <v>0</v>
      </c>
      <c r="Z74" s="13">
        <f t="shared" si="87"/>
        <v>0</v>
      </c>
      <c r="AA74" s="13">
        <f t="shared" si="88"/>
        <v>0</v>
      </c>
      <c r="AB74" s="13">
        <f t="shared" si="89"/>
        <v>0</v>
      </c>
      <c r="AC74" s="13">
        <f t="shared" si="90"/>
        <v>0</v>
      </c>
      <c r="AD74" s="13">
        <f t="shared" si="91"/>
        <v>0</v>
      </c>
      <c r="AE74" s="13">
        <f t="shared" si="92"/>
        <v>1255296.74</v>
      </c>
      <c r="AF74" s="13">
        <f t="shared" si="93"/>
        <v>0</v>
      </c>
      <c r="AG74" s="685">
        <f t="shared" si="94"/>
        <v>0</v>
      </c>
      <c r="AH74" s="688" t="b">
        <f t="shared" si="95"/>
        <v>1</v>
      </c>
    </row>
    <row r="75" spans="1:34" s="1" customFormat="1" ht="15" customHeight="1">
      <c r="A75" s="946">
        <v>10630001</v>
      </c>
      <c r="B75" s="946" t="s">
        <v>595</v>
      </c>
      <c r="C75" s="946">
        <v>6115904000541</v>
      </c>
      <c r="D75" s="946">
        <v>100000014</v>
      </c>
      <c r="E75" s="946" t="s">
        <v>23</v>
      </c>
      <c r="F75" s="946" t="s">
        <v>26</v>
      </c>
      <c r="G75" s="947">
        <v>194565.68</v>
      </c>
      <c r="H75" s="947">
        <v>277001.25</v>
      </c>
      <c r="I75" s="949">
        <v>45758</v>
      </c>
      <c r="J75" s="949">
        <v>47579</v>
      </c>
      <c r="K75" s="949">
        <v>46058</v>
      </c>
      <c r="L75" s="29" t="e">
        <f>VLOOKUP(A75,'Account Mapping'!$A$2:$E$216,3,0)</f>
        <v>#N/A</v>
      </c>
      <c r="M75" s="25" t="e">
        <f>VLOOKUP(A75,'Account Mapping'!$A$2:$E$216,4,0)</f>
        <v>#N/A</v>
      </c>
      <c r="N75" s="26" t="e">
        <f>IF(OR(C75='Account Mapping'!$H$4,C75='Account Mapping'!$H$5,C75='Account Mapping'!$H$6),'Account Mapping'!$I$4,VLOOKUP(A75,'Account Mapping'!$A$2:$E$216,5,0))</f>
        <v>#N/A</v>
      </c>
      <c r="O75" s="27" t="e">
        <f>IF(OR(L75="Loan",L75="Deposit_Liability",L75="OFF_Unused Loan Commitment",L75="HQLA"),VLOOKUP(D75,'Customer Type'!$A$3:$C$38,3,0),"")</f>
        <v>#N/A</v>
      </c>
      <c r="P75" s="656" t="e">
        <f t="shared" si="83"/>
        <v>#N/A</v>
      </c>
      <c r="Q75" s="658">
        <f>IF(COUNTIF('Account Mapping'!$H$12:$H$45,A75)&gt;0,-H75,H75)</f>
        <v>277001.25</v>
      </c>
      <c r="R75" s="249" t="e">
        <f>VLOOKUP(P75,Assumptions!$C$2:$D$64,2,0)</f>
        <v>#N/A</v>
      </c>
      <c r="S75" s="692">
        <f>IFERROR(VLOOKUP(A75,'Maturity Adjustment'!$A$3:$C$81,3,0),(IF(J75&lt;$N$4,"Tomorrow",J75)))</f>
        <v>47579</v>
      </c>
      <c r="T75" s="24">
        <f t="shared" si="18"/>
        <v>1521</v>
      </c>
      <c r="U75" s="196" t="e">
        <f t="shared" si="84"/>
        <v>#N/A</v>
      </c>
      <c r="V75" s="11">
        <f>IFERROR(VLOOKUP(A75,'Maturity Adjustment'!$A$86:$C$91,3,0),S75)</f>
        <v>47579</v>
      </c>
      <c r="W75" s="207" t="e">
        <f>VLOOKUP(A75,'Account Mapping'!$A$2:$F$216,6,0)</f>
        <v>#N/A</v>
      </c>
      <c r="X75" s="194">
        <f t="shared" si="85"/>
        <v>0</v>
      </c>
      <c r="Y75" s="194">
        <f t="shared" si="86"/>
        <v>0</v>
      </c>
      <c r="Z75" s="13">
        <f t="shared" si="87"/>
        <v>0</v>
      </c>
      <c r="AA75" s="13">
        <f t="shared" si="88"/>
        <v>0</v>
      </c>
      <c r="AB75" s="13">
        <f t="shared" si="89"/>
        <v>0</v>
      </c>
      <c r="AC75" s="13">
        <f t="shared" si="90"/>
        <v>0</v>
      </c>
      <c r="AD75" s="13">
        <f t="shared" si="91"/>
        <v>0</v>
      </c>
      <c r="AE75" s="13">
        <f t="shared" si="92"/>
        <v>277001.25</v>
      </c>
      <c r="AF75" s="13">
        <f t="shared" si="93"/>
        <v>0</v>
      </c>
      <c r="AG75" s="685">
        <f t="shared" si="94"/>
        <v>0</v>
      </c>
      <c r="AH75" s="688" t="b">
        <f t="shared" si="95"/>
        <v>1</v>
      </c>
    </row>
    <row r="76" spans="1:34" s="1" customFormat="1" ht="15" customHeight="1">
      <c r="A76" s="946">
        <v>10630001</v>
      </c>
      <c r="B76" s="946" t="s">
        <v>595</v>
      </c>
      <c r="C76" s="946">
        <v>6115904000559</v>
      </c>
      <c r="D76" s="946">
        <v>100000014</v>
      </c>
      <c r="E76" s="946" t="s">
        <v>23</v>
      </c>
      <c r="F76" s="946" t="s">
        <v>26</v>
      </c>
      <c r="G76" s="947">
        <v>3096774.19</v>
      </c>
      <c r="H76" s="947">
        <v>4408847.08</v>
      </c>
      <c r="I76" s="949">
        <v>45769</v>
      </c>
      <c r="J76" s="949">
        <v>47579</v>
      </c>
      <c r="K76" s="949">
        <v>46058</v>
      </c>
      <c r="L76" s="29" t="e">
        <f>VLOOKUP(A76,'Account Mapping'!$A$2:$E$216,3,0)</f>
        <v>#N/A</v>
      </c>
      <c r="M76" s="25" t="e">
        <f>VLOOKUP(A76,'Account Mapping'!$A$2:$E$216,4,0)</f>
        <v>#N/A</v>
      </c>
      <c r="N76" s="26" t="e">
        <f>IF(OR(C76='Account Mapping'!$H$4,C76='Account Mapping'!$H$5,C76='Account Mapping'!$H$6),'Account Mapping'!$I$4,VLOOKUP(A76,'Account Mapping'!$A$2:$E$216,5,0))</f>
        <v>#N/A</v>
      </c>
      <c r="O76" s="27" t="e">
        <f>IF(OR(L76="Loan",L76="Deposit_Liability",L76="OFF_Unused Loan Commitment",L76="HQLA"),VLOOKUP(D76,'Customer Type'!$A$3:$C$38,3,0),"")</f>
        <v>#N/A</v>
      </c>
      <c r="P76" s="656" t="e">
        <f t="shared" si="83"/>
        <v>#N/A</v>
      </c>
      <c r="Q76" s="658">
        <f>IF(COUNTIF('Account Mapping'!$H$12:$H$45,A76)&gt;0,-H76,H76)</f>
        <v>4408847.08</v>
      </c>
      <c r="R76" s="249" t="e">
        <f>VLOOKUP(P76,Assumptions!$C$2:$D$64,2,0)</f>
        <v>#N/A</v>
      </c>
      <c r="S76" s="692">
        <f>IFERROR(VLOOKUP(A76,'Maturity Adjustment'!$A$3:$C$81,3,0),(IF(J76&lt;$N$4,"Tomorrow",J76)))</f>
        <v>47579</v>
      </c>
      <c r="T76" s="24">
        <f t="shared" si="18"/>
        <v>1521</v>
      </c>
      <c r="U76" s="196" t="e">
        <f t="shared" si="84"/>
        <v>#N/A</v>
      </c>
      <c r="V76" s="11">
        <f>IFERROR(VLOOKUP(A76,'Maturity Adjustment'!$A$86:$C$91,3,0),S76)</f>
        <v>47579</v>
      </c>
      <c r="W76" s="207" t="e">
        <f>VLOOKUP(A76,'Account Mapping'!$A$2:$F$216,6,0)</f>
        <v>#N/A</v>
      </c>
      <c r="X76" s="194">
        <f t="shared" si="85"/>
        <v>0</v>
      </c>
      <c r="Y76" s="194">
        <f t="shared" si="86"/>
        <v>0</v>
      </c>
      <c r="Z76" s="13">
        <f t="shared" si="87"/>
        <v>0</v>
      </c>
      <c r="AA76" s="13">
        <f t="shared" si="88"/>
        <v>0</v>
      </c>
      <c r="AB76" s="13">
        <f t="shared" si="89"/>
        <v>0</v>
      </c>
      <c r="AC76" s="13">
        <f t="shared" si="90"/>
        <v>0</v>
      </c>
      <c r="AD76" s="13">
        <f t="shared" si="91"/>
        <v>0</v>
      </c>
      <c r="AE76" s="13">
        <f t="shared" si="92"/>
        <v>4408847.08</v>
      </c>
      <c r="AF76" s="13">
        <f t="shared" si="93"/>
        <v>0</v>
      </c>
      <c r="AG76" s="685">
        <f t="shared" si="94"/>
        <v>0</v>
      </c>
      <c r="AH76" s="688" t="b">
        <f t="shared" si="95"/>
        <v>1</v>
      </c>
    </row>
    <row r="77" spans="1:34" s="1" customFormat="1" ht="15" customHeight="1">
      <c r="A77" s="946">
        <v>10630001</v>
      </c>
      <c r="B77" s="946" t="s">
        <v>595</v>
      </c>
      <c r="C77" s="946">
        <v>6115904000566</v>
      </c>
      <c r="D77" s="946">
        <v>100000014</v>
      </c>
      <c r="E77" s="946" t="s">
        <v>23</v>
      </c>
      <c r="F77" s="946" t="s">
        <v>26</v>
      </c>
      <c r="G77" s="947">
        <v>200948.8</v>
      </c>
      <c r="H77" s="947">
        <v>286088.84000000003</v>
      </c>
      <c r="I77" s="949">
        <v>45786</v>
      </c>
      <c r="J77" s="949">
        <v>47579</v>
      </c>
      <c r="K77" s="949">
        <v>46058</v>
      </c>
      <c r="L77" s="29" t="e">
        <f>VLOOKUP(A77,'Account Mapping'!$A$2:$E$216,3,0)</f>
        <v>#N/A</v>
      </c>
      <c r="M77" s="25" t="e">
        <f>VLOOKUP(A77,'Account Mapping'!$A$2:$E$216,4,0)</f>
        <v>#N/A</v>
      </c>
      <c r="N77" s="26" t="e">
        <f>IF(OR(C77='Account Mapping'!$H$4,C77='Account Mapping'!$H$5,C77='Account Mapping'!$H$6),'Account Mapping'!$I$4,VLOOKUP(A77,'Account Mapping'!$A$2:$E$216,5,0))</f>
        <v>#N/A</v>
      </c>
      <c r="O77" s="27" t="e">
        <f>IF(OR(L77="Loan",L77="Deposit_Liability",L77="OFF_Unused Loan Commitment",L77="HQLA"),VLOOKUP(D77,'Customer Type'!$A$3:$C$38,3,0),"")</f>
        <v>#N/A</v>
      </c>
      <c r="P77" s="656" t="e">
        <f t="shared" si="83"/>
        <v>#N/A</v>
      </c>
      <c r="Q77" s="658">
        <f>IF(COUNTIF('Account Mapping'!$H$12:$H$45,A77)&gt;0,-H77,H77)</f>
        <v>286088.84000000003</v>
      </c>
      <c r="R77" s="249" t="e">
        <f>VLOOKUP(P77,Assumptions!$C$2:$D$64,2,0)</f>
        <v>#N/A</v>
      </c>
      <c r="S77" s="692">
        <f>IFERROR(VLOOKUP(A77,'Maturity Adjustment'!$A$3:$C$81,3,0),(IF(J77&lt;$N$4,"Tomorrow",J77)))</f>
        <v>47579</v>
      </c>
      <c r="T77" s="24">
        <f t="shared" si="18"/>
        <v>1521</v>
      </c>
      <c r="U77" s="196" t="e">
        <f t="shared" si="84"/>
        <v>#N/A</v>
      </c>
      <c r="V77" s="11">
        <f>IFERROR(VLOOKUP(A77,'Maturity Adjustment'!$A$86:$C$91,3,0),S77)</f>
        <v>47579</v>
      </c>
      <c r="W77" s="207" t="e">
        <f>VLOOKUP(A77,'Account Mapping'!$A$2:$F$216,6,0)</f>
        <v>#N/A</v>
      </c>
      <c r="X77" s="194">
        <f t="shared" si="85"/>
        <v>0</v>
      </c>
      <c r="Y77" s="194">
        <f t="shared" si="86"/>
        <v>0</v>
      </c>
      <c r="Z77" s="13">
        <f t="shared" si="87"/>
        <v>0</v>
      </c>
      <c r="AA77" s="13">
        <f t="shared" si="88"/>
        <v>0</v>
      </c>
      <c r="AB77" s="13">
        <f t="shared" si="89"/>
        <v>0</v>
      </c>
      <c r="AC77" s="13">
        <f t="shared" si="90"/>
        <v>0</v>
      </c>
      <c r="AD77" s="13">
        <f t="shared" si="91"/>
        <v>0</v>
      </c>
      <c r="AE77" s="13">
        <f t="shared" si="92"/>
        <v>286088.84000000003</v>
      </c>
      <c r="AF77" s="13">
        <f t="shared" si="93"/>
        <v>0</v>
      </c>
      <c r="AG77" s="685">
        <f t="shared" si="94"/>
        <v>0</v>
      </c>
      <c r="AH77" s="688" t="b">
        <f t="shared" si="95"/>
        <v>1</v>
      </c>
    </row>
    <row r="78" spans="1:34" s="1" customFormat="1" ht="15" customHeight="1">
      <c r="A78" s="946">
        <v>10630001</v>
      </c>
      <c r="B78" s="946" t="s">
        <v>595</v>
      </c>
      <c r="C78" s="946">
        <v>6115904000580</v>
      </c>
      <c r="D78" s="946">
        <v>100000014</v>
      </c>
      <c r="E78" s="946" t="s">
        <v>23</v>
      </c>
      <c r="F78" s="946" t="s">
        <v>26</v>
      </c>
      <c r="G78" s="947">
        <v>2043010.75</v>
      </c>
      <c r="H78" s="947">
        <v>2908614.39</v>
      </c>
      <c r="I78" s="949">
        <v>45799</v>
      </c>
      <c r="J78" s="949">
        <v>47579</v>
      </c>
      <c r="K78" s="949">
        <v>46058</v>
      </c>
      <c r="L78" s="29" t="e">
        <f>VLOOKUP(A78,'Account Mapping'!$A$2:$E$216,3,0)</f>
        <v>#N/A</v>
      </c>
      <c r="M78" s="25" t="e">
        <f>VLOOKUP(A78,'Account Mapping'!$A$2:$E$216,4,0)</f>
        <v>#N/A</v>
      </c>
      <c r="N78" s="26" t="e">
        <f>IF(OR(C78='Account Mapping'!$H$4,C78='Account Mapping'!$H$5,C78='Account Mapping'!$H$6),'Account Mapping'!$I$4,VLOOKUP(A78,'Account Mapping'!$A$2:$E$216,5,0))</f>
        <v>#N/A</v>
      </c>
      <c r="O78" s="27" t="e">
        <f>IF(OR(L78="Loan",L78="Deposit_Liability",L78="OFF_Unused Loan Commitment",L78="HQLA"),VLOOKUP(D78,'Customer Type'!$A$3:$C$38,3,0),"")</f>
        <v>#N/A</v>
      </c>
      <c r="P78" s="656" t="e">
        <f t="shared" si="83"/>
        <v>#N/A</v>
      </c>
      <c r="Q78" s="658">
        <f>IF(COUNTIF('Account Mapping'!$H$12:$H$45,A78)&gt;0,-H78,H78)</f>
        <v>2908614.39</v>
      </c>
      <c r="R78" s="249" t="e">
        <f>VLOOKUP(P78,Assumptions!$C$2:$D$64,2,0)</f>
        <v>#N/A</v>
      </c>
      <c r="S78" s="692">
        <f>IFERROR(VLOOKUP(A78,'Maturity Adjustment'!$A$3:$C$81,3,0),(IF(J78&lt;$N$4,"Tomorrow",J78)))</f>
        <v>47579</v>
      </c>
      <c r="T78" s="24">
        <f t="shared" si="18"/>
        <v>1521</v>
      </c>
      <c r="U78" s="196" t="e">
        <f t="shared" si="84"/>
        <v>#N/A</v>
      </c>
      <c r="V78" s="11">
        <f>IFERROR(VLOOKUP(A78,'Maturity Adjustment'!$A$86:$C$91,3,0),S78)</f>
        <v>47579</v>
      </c>
      <c r="W78" s="207" t="e">
        <f>VLOOKUP(A78,'Account Mapping'!$A$2:$F$216,6,0)</f>
        <v>#N/A</v>
      </c>
      <c r="X78" s="194">
        <f t="shared" si="85"/>
        <v>0</v>
      </c>
      <c r="Y78" s="194">
        <f t="shared" si="86"/>
        <v>0</v>
      </c>
      <c r="Z78" s="13">
        <f t="shared" si="87"/>
        <v>0</v>
      </c>
      <c r="AA78" s="13">
        <f t="shared" si="88"/>
        <v>0</v>
      </c>
      <c r="AB78" s="13">
        <f t="shared" si="89"/>
        <v>0</v>
      </c>
      <c r="AC78" s="13">
        <f t="shared" si="90"/>
        <v>0</v>
      </c>
      <c r="AD78" s="13">
        <f t="shared" si="91"/>
        <v>0</v>
      </c>
      <c r="AE78" s="13">
        <f t="shared" si="92"/>
        <v>2908614.39</v>
      </c>
      <c r="AF78" s="13">
        <f t="shared" si="93"/>
        <v>0</v>
      </c>
      <c r="AG78" s="685">
        <f t="shared" si="94"/>
        <v>0</v>
      </c>
      <c r="AH78" s="688" t="b">
        <f t="shared" si="95"/>
        <v>1</v>
      </c>
    </row>
    <row r="79" spans="1:34" s="1" customFormat="1" ht="15" customHeight="1">
      <c r="A79" s="946">
        <v>10630001</v>
      </c>
      <c r="B79" s="946" t="s">
        <v>595</v>
      </c>
      <c r="C79" s="946">
        <v>6115904000598</v>
      </c>
      <c r="D79" s="946">
        <v>100000014</v>
      </c>
      <c r="E79" s="946" t="s">
        <v>23</v>
      </c>
      <c r="F79" s="946" t="s">
        <v>26</v>
      </c>
      <c r="G79" s="947">
        <v>243134.07999999999</v>
      </c>
      <c r="H79" s="947">
        <v>346147.61</v>
      </c>
      <c r="I79" s="949">
        <v>45818</v>
      </c>
      <c r="J79" s="949">
        <v>47579</v>
      </c>
      <c r="K79" s="949">
        <v>46058</v>
      </c>
      <c r="L79" s="29" t="e">
        <f>VLOOKUP(A79,'Account Mapping'!$A$2:$E$216,3,0)</f>
        <v>#N/A</v>
      </c>
      <c r="M79" s="25" t="e">
        <f>VLOOKUP(A79,'Account Mapping'!$A$2:$E$216,4,0)</f>
        <v>#N/A</v>
      </c>
      <c r="N79" s="26" t="e">
        <f>IF(OR(C79='Account Mapping'!$H$4,C79='Account Mapping'!$H$5,C79='Account Mapping'!$H$6),'Account Mapping'!$I$4,VLOOKUP(A79,'Account Mapping'!$A$2:$E$216,5,0))</f>
        <v>#N/A</v>
      </c>
      <c r="O79" s="27" t="e">
        <f>IF(OR(L79="Loan",L79="Deposit_Liability",L79="OFF_Unused Loan Commitment",L79="HQLA"),VLOOKUP(D79,'Customer Type'!$A$3:$C$38,3,0),"")</f>
        <v>#N/A</v>
      </c>
      <c r="P79" s="656" t="e">
        <f t="shared" si="83"/>
        <v>#N/A</v>
      </c>
      <c r="Q79" s="658">
        <f>IF(COUNTIF('Account Mapping'!$H$12:$H$45,A79)&gt;0,-H79,H79)</f>
        <v>346147.61</v>
      </c>
      <c r="R79" s="249" t="e">
        <f>VLOOKUP(P79,Assumptions!$C$2:$D$64,2,0)</f>
        <v>#N/A</v>
      </c>
      <c r="S79" s="692">
        <f>IFERROR(VLOOKUP(A79,'Maturity Adjustment'!$A$3:$C$81,3,0),(IF(J79&lt;$N$4,"Tomorrow",J79)))</f>
        <v>47579</v>
      </c>
      <c r="T79" s="24">
        <f t="shared" si="18"/>
        <v>1521</v>
      </c>
      <c r="U79" s="196" t="e">
        <f t="shared" si="84"/>
        <v>#N/A</v>
      </c>
      <c r="V79" s="11">
        <f>IFERROR(VLOOKUP(A79,'Maturity Adjustment'!$A$86:$C$91,3,0),S79)</f>
        <v>47579</v>
      </c>
      <c r="W79" s="207" t="e">
        <f>VLOOKUP(A79,'Account Mapping'!$A$2:$F$216,6,0)</f>
        <v>#N/A</v>
      </c>
      <c r="X79" s="194">
        <f t="shared" si="85"/>
        <v>0</v>
      </c>
      <c r="Y79" s="194">
        <f t="shared" si="86"/>
        <v>0</v>
      </c>
      <c r="Z79" s="13">
        <f t="shared" si="87"/>
        <v>0</v>
      </c>
      <c r="AA79" s="13">
        <f t="shared" si="88"/>
        <v>0</v>
      </c>
      <c r="AB79" s="13">
        <f t="shared" si="89"/>
        <v>0</v>
      </c>
      <c r="AC79" s="13">
        <f t="shared" si="90"/>
        <v>0</v>
      </c>
      <c r="AD79" s="13">
        <f t="shared" si="91"/>
        <v>0</v>
      </c>
      <c r="AE79" s="13">
        <f t="shared" si="92"/>
        <v>346147.61</v>
      </c>
      <c r="AF79" s="13">
        <f t="shared" si="93"/>
        <v>0</v>
      </c>
      <c r="AG79" s="685">
        <f t="shared" si="94"/>
        <v>0</v>
      </c>
      <c r="AH79" s="688" t="b">
        <f t="shared" si="95"/>
        <v>1</v>
      </c>
    </row>
    <row r="80" spans="1:34" s="1" customFormat="1" ht="15" customHeight="1">
      <c r="A80" s="946">
        <v>10630001</v>
      </c>
      <c r="B80" s="946" t="s">
        <v>595</v>
      </c>
      <c r="C80" s="946">
        <v>6115904000616</v>
      </c>
      <c r="D80" s="946">
        <v>100000014</v>
      </c>
      <c r="E80" s="946" t="s">
        <v>23</v>
      </c>
      <c r="F80" s="946" t="s">
        <v>26</v>
      </c>
      <c r="G80" s="947">
        <v>1526881.72</v>
      </c>
      <c r="H80" s="947">
        <v>2173806.5499999998</v>
      </c>
      <c r="I80" s="949">
        <v>45831</v>
      </c>
      <c r="J80" s="949">
        <v>47579</v>
      </c>
      <c r="K80" s="949">
        <v>46058</v>
      </c>
      <c r="L80" s="29" t="e">
        <f>VLOOKUP(A80,'Account Mapping'!$A$2:$E$216,3,0)</f>
        <v>#N/A</v>
      </c>
      <c r="M80" s="25" t="e">
        <f>VLOOKUP(A80,'Account Mapping'!$A$2:$E$216,4,0)</f>
        <v>#N/A</v>
      </c>
      <c r="N80" s="26" t="e">
        <f>IF(OR(C80='Account Mapping'!$H$4,C80='Account Mapping'!$H$5,C80='Account Mapping'!$H$6),'Account Mapping'!$I$4,VLOOKUP(A80,'Account Mapping'!$A$2:$E$216,5,0))</f>
        <v>#N/A</v>
      </c>
      <c r="O80" s="27" t="e">
        <f>IF(OR(L80="Loan",L80="Deposit_Liability",L80="OFF_Unused Loan Commitment",L80="HQLA"),VLOOKUP(D80,'Customer Type'!$A$3:$C$38,3,0),"")</f>
        <v>#N/A</v>
      </c>
      <c r="P80" s="656" t="e">
        <f t="shared" si="83"/>
        <v>#N/A</v>
      </c>
      <c r="Q80" s="658">
        <f>IF(COUNTIF('Account Mapping'!$H$12:$H$45,A80)&gt;0,-H80,H80)</f>
        <v>2173806.5499999998</v>
      </c>
      <c r="R80" s="249" t="e">
        <f>VLOOKUP(P80,Assumptions!$C$2:$D$64,2,0)</f>
        <v>#N/A</v>
      </c>
      <c r="S80" s="692">
        <f>IFERROR(VLOOKUP(A80,'Maturity Adjustment'!$A$3:$C$81,3,0),(IF(J80&lt;$N$4,"Tomorrow",J80)))</f>
        <v>47579</v>
      </c>
      <c r="T80" s="24">
        <f t="shared" si="18"/>
        <v>1521</v>
      </c>
      <c r="U80" s="196" t="e">
        <f t="shared" si="84"/>
        <v>#N/A</v>
      </c>
      <c r="V80" s="11">
        <f>IFERROR(VLOOKUP(A80,'Maturity Adjustment'!$A$86:$C$91,3,0),S80)</f>
        <v>47579</v>
      </c>
      <c r="W80" s="207" t="e">
        <f>VLOOKUP(A80,'Account Mapping'!$A$2:$F$216,6,0)</f>
        <v>#N/A</v>
      </c>
      <c r="X80" s="194">
        <f t="shared" si="85"/>
        <v>0</v>
      </c>
      <c r="Y80" s="194">
        <f t="shared" si="86"/>
        <v>0</v>
      </c>
      <c r="Z80" s="13">
        <f t="shared" si="87"/>
        <v>0</v>
      </c>
      <c r="AA80" s="13">
        <f t="shared" si="88"/>
        <v>0</v>
      </c>
      <c r="AB80" s="13">
        <f t="shared" si="89"/>
        <v>0</v>
      </c>
      <c r="AC80" s="13">
        <f t="shared" si="90"/>
        <v>0</v>
      </c>
      <c r="AD80" s="13">
        <f t="shared" si="91"/>
        <v>0</v>
      </c>
      <c r="AE80" s="13">
        <f t="shared" si="92"/>
        <v>2173806.5499999998</v>
      </c>
      <c r="AF80" s="13">
        <f t="shared" si="93"/>
        <v>0</v>
      </c>
      <c r="AG80" s="685">
        <f t="shared" si="94"/>
        <v>0</v>
      </c>
      <c r="AH80" s="688" t="b">
        <f t="shared" si="95"/>
        <v>1</v>
      </c>
    </row>
    <row r="81" spans="1:34" s="1" customFormat="1" ht="15" customHeight="1">
      <c r="A81" s="946">
        <v>10630001</v>
      </c>
      <c r="B81" s="946" t="s">
        <v>595</v>
      </c>
      <c r="C81" s="946">
        <v>6115904000630</v>
      </c>
      <c r="D81" s="946">
        <v>100000014</v>
      </c>
      <c r="E81" s="946" t="s">
        <v>23</v>
      </c>
      <c r="F81" s="946" t="s">
        <v>26</v>
      </c>
      <c r="G81" s="947">
        <v>230276.69</v>
      </c>
      <c r="H81" s="947">
        <v>327842.67</v>
      </c>
      <c r="I81" s="949">
        <v>45847</v>
      </c>
      <c r="J81" s="949">
        <v>47579</v>
      </c>
      <c r="K81" s="949">
        <v>46058</v>
      </c>
      <c r="L81" s="29" t="e">
        <f>VLOOKUP(A81,'Account Mapping'!$A$2:$E$216,3,0)</f>
        <v>#N/A</v>
      </c>
      <c r="M81" s="25" t="e">
        <f>VLOOKUP(A81,'Account Mapping'!$A$2:$E$216,4,0)</f>
        <v>#N/A</v>
      </c>
      <c r="N81" s="26" t="e">
        <f>IF(OR(C81='Account Mapping'!$H$4,C81='Account Mapping'!$H$5,C81='Account Mapping'!$H$6),'Account Mapping'!$I$4,VLOOKUP(A81,'Account Mapping'!$A$2:$E$216,5,0))</f>
        <v>#N/A</v>
      </c>
      <c r="O81" s="27" t="e">
        <f>IF(OR(L81="Loan",L81="Deposit_Liability",L81="OFF_Unused Loan Commitment",L81="HQLA"),VLOOKUP(D81,'Customer Type'!$A$3:$C$38,3,0),"")</f>
        <v>#N/A</v>
      </c>
      <c r="P81" s="656" t="e">
        <f t="shared" si="83"/>
        <v>#N/A</v>
      </c>
      <c r="Q81" s="658">
        <f>IF(COUNTIF('Account Mapping'!$H$12:$H$45,A81)&gt;0,-H81,H81)</f>
        <v>327842.67</v>
      </c>
      <c r="R81" s="249" t="e">
        <f>VLOOKUP(P81,Assumptions!$C$2:$D$64,2,0)</f>
        <v>#N/A</v>
      </c>
      <c r="S81" s="692">
        <f>IFERROR(VLOOKUP(A81,'Maturity Adjustment'!$A$3:$C$81,3,0),(IF(J81&lt;$N$4,"Tomorrow",J81)))</f>
        <v>47579</v>
      </c>
      <c r="T81" s="24">
        <f t="shared" si="18"/>
        <v>1521</v>
      </c>
      <c r="U81" s="196" t="e">
        <f t="shared" si="84"/>
        <v>#N/A</v>
      </c>
      <c r="V81" s="11">
        <f>IFERROR(VLOOKUP(A81,'Maturity Adjustment'!$A$86:$C$91,3,0),S81)</f>
        <v>47579</v>
      </c>
      <c r="W81" s="207" t="e">
        <f>VLOOKUP(A81,'Account Mapping'!$A$2:$F$216,6,0)</f>
        <v>#N/A</v>
      </c>
      <c r="X81" s="194">
        <f t="shared" si="85"/>
        <v>0</v>
      </c>
      <c r="Y81" s="194">
        <f t="shared" si="86"/>
        <v>0</v>
      </c>
      <c r="Z81" s="13">
        <f t="shared" si="87"/>
        <v>0</v>
      </c>
      <c r="AA81" s="13">
        <f t="shared" si="88"/>
        <v>0</v>
      </c>
      <c r="AB81" s="13">
        <f t="shared" si="89"/>
        <v>0</v>
      </c>
      <c r="AC81" s="13">
        <f t="shared" si="90"/>
        <v>0</v>
      </c>
      <c r="AD81" s="13">
        <f t="shared" si="91"/>
        <v>0</v>
      </c>
      <c r="AE81" s="13">
        <f t="shared" si="92"/>
        <v>327842.67</v>
      </c>
      <c r="AF81" s="13">
        <f t="shared" si="93"/>
        <v>0</v>
      </c>
      <c r="AG81" s="685">
        <f t="shared" si="94"/>
        <v>0</v>
      </c>
      <c r="AH81" s="688" t="b">
        <f t="shared" si="95"/>
        <v>1</v>
      </c>
    </row>
    <row r="82" spans="1:34" s="1" customFormat="1" ht="15" customHeight="1">
      <c r="A82" s="946">
        <v>10630001</v>
      </c>
      <c r="B82" s="946" t="s">
        <v>595</v>
      </c>
      <c r="C82" s="946">
        <v>6115904000648</v>
      </c>
      <c r="D82" s="946">
        <v>100000014</v>
      </c>
      <c r="E82" s="946" t="s">
        <v>23</v>
      </c>
      <c r="F82" s="946" t="s">
        <v>26</v>
      </c>
      <c r="G82" s="947">
        <v>2236559.14</v>
      </c>
      <c r="H82" s="947">
        <v>3184167.34</v>
      </c>
      <c r="I82" s="949">
        <v>45862</v>
      </c>
      <c r="J82" s="949">
        <v>47579</v>
      </c>
      <c r="K82" s="949">
        <v>46058</v>
      </c>
      <c r="L82" s="29" t="e">
        <f>VLOOKUP(A82,'Account Mapping'!$A$2:$E$216,3,0)</f>
        <v>#N/A</v>
      </c>
      <c r="M82" s="25" t="e">
        <f>VLOOKUP(A82,'Account Mapping'!$A$2:$E$216,4,0)</f>
        <v>#N/A</v>
      </c>
      <c r="N82" s="26" t="e">
        <f>IF(OR(C82='Account Mapping'!$H$4,C82='Account Mapping'!$H$5,C82='Account Mapping'!$H$6),'Account Mapping'!$I$4,VLOOKUP(A82,'Account Mapping'!$A$2:$E$216,5,0))</f>
        <v>#N/A</v>
      </c>
      <c r="O82" s="27" t="e">
        <f>IF(OR(L82="Loan",L82="Deposit_Liability",L82="OFF_Unused Loan Commitment",L82="HQLA"),VLOOKUP(D82,'Customer Type'!$A$3:$C$38,3,0),"")</f>
        <v>#N/A</v>
      </c>
      <c r="P82" s="656" t="e">
        <f t="shared" si="83"/>
        <v>#N/A</v>
      </c>
      <c r="Q82" s="658">
        <f>IF(COUNTIF('Account Mapping'!$H$12:$H$45,A82)&gt;0,-H82,H82)</f>
        <v>3184167.34</v>
      </c>
      <c r="R82" s="249" t="e">
        <f>VLOOKUP(P82,Assumptions!$C$2:$D$64,2,0)</f>
        <v>#N/A</v>
      </c>
      <c r="S82" s="692">
        <f>IFERROR(VLOOKUP(A82,'Maturity Adjustment'!$A$3:$C$81,3,0),(IF(J82&lt;$N$4,"Tomorrow",J82)))</f>
        <v>47579</v>
      </c>
      <c r="T82" s="24">
        <f t="shared" si="18"/>
        <v>1521</v>
      </c>
      <c r="U82" s="196" t="e">
        <f t="shared" si="84"/>
        <v>#N/A</v>
      </c>
      <c r="V82" s="11">
        <f>IFERROR(VLOOKUP(A82,'Maturity Adjustment'!$A$86:$C$91,3,0),S82)</f>
        <v>47579</v>
      </c>
      <c r="W82" s="207" t="e">
        <f>VLOOKUP(A82,'Account Mapping'!$A$2:$F$216,6,0)</f>
        <v>#N/A</v>
      </c>
      <c r="X82" s="194">
        <f t="shared" si="85"/>
        <v>0</v>
      </c>
      <c r="Y82" s="194">
        <f t="shared" si="86"/>
        <v>0</v>
      </c>
      <c r="Z82" s="13">
        <f t="shared" si="87"/>
        <v>0</v>
      </c>
      <c r="AA82" s="13">
        <f t="shared" si="88"/>
        <v>0</v>
      </c>
      <c r="AB82" s="13">
        <f t="shared" si="89"/>
        <v>0</v>
      </c>
      <c r="AC82" s="13">
        <f t="shared" si="90"/>
        <v>0</v>
      </c>
      <c r="AD82" s="13">
        <f t="shared" si="91"/>
        <v>0</v>
      </c>
      <c r="AE82" s="13">
        <f t="shared" si="92"/>
        <v>3184167.34</v>
      </c>
      <c r="AF82" s="13">
        <f t="shared" si="93"/>
        <v>0</v>
      </c>
      <c r="AG82" s="685">
        <f t="shared" si="94"/>
        <v>0</v>
      </c>
      <c r="AH82" s="688" t="b">
        <f t="shared" si="95"/>
        <v>1</v>
      </c>
    </row>
    <row r="83" spans="1:34" s="1" customFormat="1" ht="15" customHeight="1">
      <c r="A83" s="946">
        <v>10630001</v>
      </c>
      <c r="B83" s="946" t="s">
        <v>595</v>
      </c>
      <c r="C83" s="946">
        <v>6115904000662</v>
      </c>
      <c r="D83" s="946">
        <v>100000014</v>
      </c>
      <c r="E83" s="946" t="s">
        <v>23</v>
      </c>
      <c r="F83" s="946" t="s">
        <v>26</v>
      </c>
      <c r="G83" s="947">
        <v>249359.62</v>
      </c>
      <c r="H83" s="947">
        <v>355010.85</v>
      </c>
      <c r="I83" s="949">
        <v>45877</v>
      </c>
      <c r="J83" s="949">
        <v>47579</v>
      </c>
      <c r="K83" s="949">
        <v>46058</v>
      </c>
      <c r="L83" s="29" t="e">
        <f>VLOOKUP(A83,'Account Mapping'!$A$2:$E$216,3,0)</f>
        <v>#N/A</v>
      </c>
      <c r="M83" s="25" t="e">
        <f>VLOOKUP(A83,'Account Mapping'!$A$2:$E$216,4,0)</f>
        <v>#N/A</v>
      </c>
      <c r="N83" s="26" t="e">
        <f>IF(OR(C83='Account Mapping'!$H$4,C83='Account Mapping'!$H$5,C83='Account Mapping'!$H$6),'Account Mapping'!$I$4,VLOOKUP(A83,'Account Mapping'!$A$2:$E$216,5,0))</f>
        <v>#N/A</v>
      </c>
      <c r="O83" s="27" t="e">
        <f>IF(OR(L83="Loan",L83="Deposit_Liability",L83="OFF_Unused Loan Commitment",L83="HQLA"),VLOOKUP(D83,'Customer Type'!$A$3:$C$38,3,0),"")</f>
        <v>#N/A</v>
      </c>
      <c r="P83" s="656" t="e">
        <f t="shared" si="83"/>
        <v>#N/A</v>
      </c>
      <c r="Q83" s="658">
        <f>IF(COUNTIF('Account Mapping'!$H$12:$H$45,A83)&gt;0,-H83,H83)</f>
        <v>355010.85</v>
      </c>
      <c r="R83" s="249" t="e">
        <f>VLOOKUP(P83,Assumptions!$C$2:$D$64,2,0)</f>
        <v>#N/A</v>
      </c>
      <c r="S83" s="692">
        <f>IFERROR(VLOOKUP(A83,'Maturity Adjustment'!$A$3:$C$81,3,0),(IF(J83&lt;$N$4,"Tomorrow",J83)))</f>
        <v>47579</v>
      </c>
      <c r="T83" s="24">
        <f t="shared" si="18"/>
        <v>1521</v>
      </c>
      <c r="U83" s="196" t="e">
        <f t="shared" si="84"/>
        <v>#N/A</v>
      </c>
      <c r="V83" s="11">
        <f>IFERROR(VLOOKUP(A83,'Maturity Adjustment'!$A$86:$C$91,3,0),S83)</f>
        <v>47579</v>
      </c>
      <c r="W83" s="207" t="e">
        <f>VLOOKUP(A83,'Account Mapping'!$A$2:$F$216,6,0)</f>
        <v>#N/A</v>
      </c>
      <c r="X83" s="194">
        <f t="shared" si="85"/>
        <v>0</v>
      </c>
      <c r="Y83" s="194">
        <f t="shared" si="86"/>
        <v>0</v>
      </c>
      <c r="Z83" s="13">
        <f t="shared" si="87"/>
        <v>0</v>
      </c>
      <c r="AA83" s="13">
        <f t="shared" si="88"/>
        <v>0</v>
      </c>
      <c r="AB83" s="13">
        <f t="shared" si="89"/>
        <v>0</v>
      </c>
      <c r="AC83" s="13">
        <f t="shared" si="90"/>
        <v>0</v>
      </c>
      <c r="AD83" s="13">
        <f t="shared" si="91"/>
        <v>0</v>
      </c>
      <c r="AE83" s="13">
        <f t="shared" si="92"/>
        <v>355010.85</v>
      </c>
      <c r="AF83" s="13">
        <f t="shared" si="93"/>
        <v>0</v>
      </c>
      <c r="AG83" s="685">
        <f t="shared" si="94"/>
        <v>0</v>
      </c>
      <c r="AH83" s="688" t="b">
        <f t="shared" si="95"/>
        <v>1</v>
      </c>
    </row>
    <row r="84" spans="1:34" s="1" customFormat="1" ht="15" customHeight="1">
      <c r="A84" s="946">
        <v>10630001</v>
      </c>
      <c r="B84" s="946" t="s">
        <v>595</v>
      </c>
      <c r="C84" s="946">
        <v>6115904000670</v>
      </c>
      <c r="D84" s="946">
        <v>100000014</v>
      </c>
      <c r="E84" s="946" t="s">
        <v>23</v>
      </c>
      <c r="F84" s="946" t="s">
        <v>26</v>
      </c>
      <c r="G84" s="947">
        <v>2537634.41</v>
      </c>
      <c r="H84" s="947">
        <v>3612805.25</v>
      </c>
      <c r="I84" s="949">
        <v>45891</v>
      </c>
      <c r="J84" s="949">
        <v>47579</v>
      </c>
      <c r="K84" s="949">
        <v>46058</v>
      </c>
      <c r="L84" s="29" t="e">
        <f>VLOOKUP(A84,'Account Mapping'!$A$2:$E$216,3,0)</f>
        <v>#N/A</v>
      </c>
      <c r="M84" s="25" t="e">
        <f>VLOOKUP(A84,'Account Mapping'!$A$2:$E$216,4,0)</f>
        <v>#N/A</v>
      </c>
      <c r="N84" s="26" t="e">
        <f>IF(OR(C84='Account Mapping'!$H$4,C84='Account Mapping'!$H$5,C84='Account Mapping'!$H$6),'Account Mapping'!$I$4,VLOOKUP(A84,'Account Mapping'!$A$2:$E$216,5,0))</f>
        <v>#N/A</v>
      </c>
      <c r="O84" s="27" t="e">
        <f>IF(OR(L84="Loan",L84="Deposit_Liability",L84="OFF_Unused Loan Commitment",L84="HQLA"),VLOOKUP(D84,'Customer Type'!$A$3:$C$38,3,0),"")</f>
        <v>#N/A</v>
      </c>
      <c r="P84" s="656" t="e">
        <f t="shared" si="83"/>
        <v>#N/A</v>
      </c>
      <c r="Q84" s="658">
        <f>IF(COUNTIF('Account Mapping'!$H$12:$H$45,A84)&gt;0,-H84,H84)</f>
        <v>3612805.25</v>
      </c>
      <c r="R84" s="249" t="e">
        <f>VLOOKUP(P84,Assumptions!$C$2:$D$64,2,0)</f>
        <v>#N/A</v>
      </c>
      <c r="S84" s="692">
        <f>IFERROR(VLOOKUP(A84,'Maturity Adjustment'!$A$3:$C$81,3,0),(IF(J84&lt;$N$4,"Tomorrow",J84)))</f>
        <v>47579</v>
      </c>
      <c r="T84" s="24">
        <f t="shared" si="18"/>
        <v>1521</v>
      </c>
      <c r="U84" s="196" t="e">
        <f t="shared" si="84"/>
        <v>#N/A</v>
      </c>
      <c r="V84" s="11">
        <f>IFERROR(VLOOKUP(A84,'Maturity Adjustment'!$A$86:$C$91,3,0),S84)</f>
        <v>47579</v>
      </c>
      <c r="W84" s="207" t="e">
        <f>VLOOKUP(A84,'Account Mapping'!$A$2:$F$216,6,0)</f>
        <v>#N/A</v>
      </c>
      <c r="X84" s="194">
        <f t="shared" si="85"/>
        <v>0</v>
      </c>
      <c r="Y84" s="194">
        <f t="shared" si="86"/>
        <v>0</v>
      </c>
      <c r="Z84" s="13">
        <f t="shared" si="87"/>
        <v>0</v>
      </c>
      <c r="AA84" s="13">
        <f t="shared" si="88"/>
        <v>0</v>
      </c>
      <c r="AB84" s="13">
        <f t="shared" si="89"/>
        <v>0</v>
      </c>
      <c r="AC84" s="13">
        <f t="shared" si="90"/>
        <v>0</v>
      </c>
      <c r="AD84" s="13">
        <f t="shared" si="91"/>
        <v>0</v>
      </c>
      <c r="AE84" s="13">
        <f t="shared" si="92"/>
        <v>3612805.25</v>
      </c>
      <c r="AF84" s="13">
        <f t="shared" si="93"/>
        <v>0</v>
      </c>
      <c r="AG84" s="685">
        <f t="shared" si="94"/>
        <v>0</v>
      </c>
      <c r="AH84" s="688" t="b">
        <f t="shared" si="95"/>
        <v>1</v>
      </c>
    </row>
    <row r="85" spans="1:34" s="1" customFormat="1" ht="15" customHeight="1">
      <c r="A85" s="946">
        <v>10630001</v>
      </c>
      <c r="B85" s="946" t="s">
        <v>595</v>
      </c>
      <c r="C85" s="946">
        <v>6115904000687</v>
      </c>
      <c r="D85" s="946">
        <v>100000014</v>
      </c>
      <c r="E85" s="946" t="s">
        <v>23</v>
      </c>
      <c r="F85" s="946" t="s">
        <v>26</v>
      </c>
      <c r="G85" s="947">
        <v>272972.78000000003</v>
      </c>
      <c r="H85" s="947">
        <v>388628.67</v>
      </c>
      <c r="I85" s="949">
        <v>45908</v>
      </c>
      <c r="J85" s="949">
        <v>47579</v>
      </c>
      <c r="K85" s="949">
        <v>46058</v>
      </c>
      <c r="L85" s="29" t="e">
        <f>VLOOKUP(A85,'Account Mapping'!$A$2:$E$216,3,0)</f>
        <v>#N/A</v>
      </c>
      <c r="M85" s="25" t="e">
        <f>VLOOKUP(A85,'Account Mapping'!$A$2:$E$216,4,0)</f>
        <v>#N/A</v>
      </c>
      <c r="N85" s="26" t="e">
        <f>IF(OR(C85='Account Mapping'!$H$4,C85='Account Mapping'!$H$5,C85='Account Mapping'!$H$6),'Account Mapping'!$I$4,VLOOKUP(A85,'Account Mapping'!$A$2:$E$216,5,0))</f>
        <v>#N/A</v>
      </c>
      <c r="O85" s="27" t="e">
        <f>IF(OR(L85="Loan",L85="Deposit_Liability",L85="OFF_Unused Loan Commitment",L85="HQLA"),VLOOKUP(D85,'Customer Type'!$A$3:$C$38,3,0),"")</f>
        <v>#N/A</v>
      </c>
      <c r="P85" s="656" t="e">
        <f t="shared" si="83"/>
        <v>#N/A</v>
      </c>
      <c r="Q85" s="658">
        <f>IF(COUNTIF('Account Mapping'!$H$12:$H$45,A85)&gt;0,-H85,H85)</f>
        <v>388628.67</v>
      </c>
      <c r="R85" s="249" t="e">
        <f>VLOOKUP(P85,Assumptions!$C$2:$D$64,2,0)</f>
        <v>#N/A</v>
      </c>
      <c r="S85" s="692">
        <f>IFERROR(VLOOKUP(A85,'Maturity Adjustment'!$A$3:$C$81,3,0),(IF(J85&lt;$N$4,"Tomorrow",J85)))</f>
        <v>47579</v>
      </c>
      <c r="T85" s="24">
        <f t="shared" si="18"/>
        <v>1521</v>
      </c>
      <c r="U85" s="196" t="e">
        <f t="shared" si="84"/>
        <v>#N/A</v>
      </c>
      <c r="V85" s="11">
        <f>IFERROR(VLOOKUP(A85,'Maturity Adjustment'!$A$86:$C$91,3,0),S85)</f>
        <v>47579</v>
      </c>
      <c r="W85" s="207" t="e">
        <f>VLOOKUP(A85,'Account Mapping'!$A$2:$F$216,6,0)</f>
        <v>#N/A</v>
      </c>
      <c r="X85" s="194">
        <f t="shared" si="85"/>
        <v>0</v>
      </c>
      <c r="Y85" s="194">
        <f t="shared" si="86"/>
        <v>0</v>
      </c>
      <c r="Z85" s="13">
        <f t="shared" si="87"/>
        <v>0</v>
      </c>
      <c r="AA85" s="13">
        <f t="shared" si="88"/>
        <v>0</v>
      </c>
      <c r="AB85" s="13">
        <f t="shared" si="89"/>
        <v>0</v>
      </c>
      <c r="AC85" s="13">
        <f t="shared" si="90"/>
        <v>0</v>
      </c>
      <c r="AD85" s="13">
        <f t="shared" si="91"/>
        <v>0</v>
      </c>
      <c r="AE85" s="13">
        <f t="shared" si="92"/>
        <v>388628.67</v>
      </c>
      <c r="AF85" s="13">
        <f t="shared" si="93"/>
        <v>0</v>
      </c>
      <c r="AG85" s="685">
        <f t="shared" si="94"/>
        <v>0</v>
      </c>
      <c r="AH85" s="688" t="b">
        <f t="shared" si="95"/>
        <v>1</v>
      </c>
    </row>
    <row r="86" spans="1:34" s="1" customFormat="1" ht="15" customHeight="1">
      <c r="A86" s="946">
        <v>10630001</v>
      </c>
      <c r="B86" s="946" t="s">
        <v>595</v>
      </c>
      <c r="C86" s="946">
        <v>6115904000694</v>
      </c>
      <c r="D86" s="946">
        <v>100000014</v>
      </c>
      <c r="E86" s="946" t="s">
        <v>23</v>
      </c>
      <c r="F86" s="946" t="s">
        <v>26</v>
      </c>
      <c r="G86" s="947">
        <v>795698.92</v>
      </c>
      <c r="H86" s="947">
        <v>1132828.76</v>
      </c>
      <c r="I86" s="949">
        <v>45924</v>
      </c>
      <c r="J86" s="949">
        <v>47579</v>
      </c>
      <c r="K86" s="949">
        <v>46058</v>
      </c>
      <c r="L86" s="29" t="e">
        <f>VLOOKUP(A86,'Account Mapping'!$A$2:$E$216,3,0)</f>
        <v>#N/A</v>
      </c>
      <c r="M86" s="25" t="e">
        <f>VLOOKUP(A86,'Account Mapping'!$A$2:$E$216,4,0)</f>
        <v>#N/A</v>
      </c>
      <c r="N86" s="26" t="e">
        <f>IF(OR(C86='Account Mapping'!$H$4,C86='Account Mapping'!$H$5,C86='Account Mapping'!$H$6),'Account Mapping'!$I$4,VLOOKUP(A86,'Account Mapping'!$A$2:$E$216,5,0))</f>
        <v>#N/A</v>
      </c>
      <c r="O86" s="27" t="e">
        <f>IF(OR(L86="Loan",L86="Deposit_Liability",L86="OFF_Unused Loan Commitment",L86="HQLA"),VLOOKUP(D86,'Customer Type'!$A$3:$C$38,3,0),"")</f>
        <v>#N/A</v>
      </c>
      <c r="P86" s="656" t="e">
        <f t="shared" si="83"/>
        <v>#N/A</v>
      </c>
      <c r="Q86" s="658">
        <f>IF(COUNTIF('Account Mapping'!$H$12:$H$45,A86)&gt;0,-H86,H86)</f>
        <v>1132828.76</v>
      </c>
      <c r="R86" s="249" t="e">
        <f>VLOOKUP(P86,Assumptions!$C$2:$D$64,2,0)</f>
        <v>#N/A</v>
      </c>
      <c r="S86" s="692">
        <f>IFERROR(VLOOKUP(A86,'Maturity Adjustment'!$A$3:$C$81,3,0),(IF(J86&lt;$N$4,"Tomorrow",J86)))</f>
        <v>47579</v>
      </c>
      <c r="T86" s="24">
        <f t="shared" si="18"/>
        <v>1521</v>
      </c>
      <c r="U86" s="196" t="e">
        <f t="shared" si="84"/>
        <v>#N/A</v>
      </c>
      <c r="V86" s="11">
        <f>IFERROR(VLOOKUP(A86,'Maturity Adjustment'!$A$86:$C$91,3,0),S86)</f>
        <v>47579</v>
      </c>
      <c r="W86" s="207" t="e">
        <f>VLOOKUP(A86,'Account Mapping'!$A$2:$F$216,6,0)</f>
        <v>#N/A</v>
      </c>
      <c r="X86" s="194">
        <f t="shared" si="85"/>
        <v>0</v>
      </c>
      <c r="Y86" s="194">
        <f t="shared" si="86"/>
        <v>0</v>
      </c>
      <c r="Z86" s="13">
        <f t="shared" si="87"/>
        <v>0</v>
      </c>
      <c r="AA86" s="13">
        <f t="shared" si="88"/>
        <v>0</v>
      </c>
      <c r="AB86" s="13">
        <f t="shared" si="89"/>
        <v>0</v>
      </c>
      <c r="AC86" s="13">
        <f t="shared" si="90"/>
        <v>0</v>
      </c>
      <c r="AD86" s="13">
        <f t="shared" si="91"/>
        <v>0</v>
      </c>
      <c r="AE86" s="13">
        <f t="shared" si="92"/>
        <v>1132828.76</v>
      </c>
      <c r="AF86" s="13">
        <f t="shared" si="93"/>
        <v>0</v>
      </c>
      <c r="AG86" s="685">
        <f t="shared" si="94"/>
        <v>0</v>
      </c>
      <c r="AH86" s="688" t="b">
        <f t="shared" si="95"/>
        <v>1</v>
      </c>
    </row>
    <row r="87" spans="1:34" s="1" customFormat="1" ht="15" customHeight="1">
      <c r="A87" s="946">
        <v>10630001</v>
      </c>
      <c r="B87" s="946" t="s">
        <v>595</v>
      </c>
      <c r="C87" s="946">
        <v>6115904000712</v>
      </c>
      <c r="D87" s="946">
        <v>100000014</v>
      </c>
      <c r="E87" s="946" t="s">
        <v>23</v>
      </c>
      <c r="F87" s="946" t="s">
        <v>26</v>
      </c>
      <c r="G87" s="947">
        <v>271692.7</v>
      </c>
      <c r="H87" s="947">
        <v>386806.24</v>
      </c>
      <c r="I87" s="949">
        <v>45938</v>
      </c>
      <c r="J87" s="949">
        <v>47579</v>
      </c>
      <c r="K87" s="949">
        <v>46058</v>
      </c>
      <c r="L87" s="29" t="e">
        <f>VLOOKUP(A87,'Account Mapping'!$A$2:$E$216,3,0)</f>
        <v>#N/A</v>
      </c>
      <c r="M87" s="25" t="e">
        <f>VLOOKUP(A87,'Account Mapping'!$A$2:$E$216,4,0)</f>
        <v>#N/A</v>
      </c>
      <c r="N87" s="26" t="e">
        <f>IF(OR(C87='Account Mapping'!$H$4,C87='Account Mapping'!$H$5,C87='Account Mapping'!$H$6),'Account Mapping'!$I$4,VLOOKUP(A87,'Account Mapping'!$A$2:$E$216,5,0))</f>
        <v>#N/A</v>
      </c>
      <c r="O87" s="27" t="e">
        <f>IF(OR(L87="Loan",L87="Deposit_Liability",L87="OFF_Unused Loan Commitment",L87="HQLA"),VLOOKUP(D87,'Customer Type'!$A$3:$C$38,3,0),"")</f>
        <v>#N/A</v>
      </c>
      <c r="P87" s="656" t="e">
        <f t="shared" si="83"/>
        <v>#N/A</v>
      </c>
      <c r="Q87" s="658">
        <f>IF(COUNTIF('Account Mapping'!$H$12:$H$45,A87)&gt;0,-H87,H87)</f>
        <v>386806.24</v>
      </c>
      <c r="R87" s="249" t="e">
        <f>VLOOKUP(P87,Assumptions!$C$2:$D$64,2,0)</f>
        <v>#N/A</v>
      </c>
      <c r="S87" s="692">
        <f>IFERROR(VLOOKUP(A87,'Maturity Adjustment'!$A$3:$C$81,3,0),(IF(J87&lt;$N$4,"Tomorrow",J87)))</f>
        <v>47579</v>
      </c>
      <c r="T87" s="24">
        <f t="shared" si="18"/>
        <v>1521</v>
      </c>
      <c r="U87" s="196" t="e">
        <f t="shared" si="84"/>
        <v>#N/A</v>
      </c>
      <c r="V87" s="11">
        <f>IFERROR(VLOOKUP(A87,'Maturity Adjustment'!$A$86:$C$91,3,0),S87)</f>
        <v>47579</v>
      </c>
      <c r="W87" s="207" t="e">
        <f>VLOOKUP(A87,'Account Mapping'!$A$2:$F$216,6,0)</f>
        <v>#N/A</v>
      </c>
      <c r="X87" s="194">
        <f t="shared" si="85"/>
        <v>0</v>
      </c>
      <c r="Y87" s="194">
        <f t="shared" si="86"/>
        <v>0</v>
      </c>
      <c r="Z87" s="13">
        <f t="shared" si="87"/>
        <v>0</v>
      </c>
      <c r="AA87" s="13">
        <f t="shared" si="88"/>
        <v>0</v>
      </c>
      <c r="AB87" s="13">
        <f t="shared" si="89"/>
        <v>0</v>
      </c>
      <c r="AC87" s="13">
        <f t="shared" si="90"/>
        <v>0</v>
      </c>
      <c r="AD87" s="13">
        <f t="shared" si="91"/>
        <v>0</v>
      </c>
      <c r="AE87" s="13">
        <f t="shared" si="92"/>
        <v>386806.24</v>
      </c>
      <c r="AF87" s="13">
        <f t="shared" si="93"/>
        <v>0</v>
      </c>
      <c r="AG87" s="685">
        <f t="shared" si="94"/>
        <v>0</v>
      </c>
      <c r="AH87" s="688" t="b">
        <f t="shared" si="95"/>
        <v>1</v>
      </c>
    </row>
    <row r="88" spans="1:34" s="1" customFormat="1" ht="15" customHeight="1">
      <c r="A88" s="946">
        <v>10630001</v>
      </c>
      <c r="B88" s="946" t="s">
        <v>595</v>
      </c>
      <c r="C88" s="946">
        <v>6115904000720</v>
      </c>
      <c r="D88" s="946">
        <v>100000014</v>
      </c>
      <c r="E88" s="946" t="s">
        <v>23</v>
      </c>
      <c r="F88" s="946" t="s">
        <v>26</v>
      </c>
      <c r="G88" s="947">
        <v>731182.8</v>
      </c>
      <c r="H88" s="947">
        <v>1040977.79</v>
      </c>
      <c r="I88" s="949">
        <v>45961</v>
      </c>
      <c r="J88" s="949">
        <v>47579</v>
      </c>
      <c r="K88" s="949">
        <v>46058</v>
      </c>
      <c r="L88" s="29" t="e">
        <f>VLOOKUP(A88,'Account Mapping'!$A$2:$E$216,3,0)</f>
        <v>#N/A</v>
      </c>
      <c r="M88" s="25" t="e">
        <f>VLOOKUP(A88,'Account Mapping'!$A$2:$E$216,4,0)</f>
        <v>#N/A</v>
      </c>
      <c r="N88" s="26" t="e">
        <f>IF(OR(C88='Account Mapping'!$H$4,C88='Account Mapping'!$H$5,C88='Account Mapping'!$H$6),'Account Mapping'!$I$4,VLOOKUP(A88,'Account Mapping'!$A$2:$E$216,5,0))</f>
        <v>#N/A</v>
      </c>
      <c r="O88" s="27" t="e">
        <f>IF(OR(L88="Loan",L88="Deposit_Liability",L88="OFF_Unused Loan Commitment",L88="HQLA"),VLOOKUP(D88,'Customer Type'!$A$3:$C$38,3,0),"")</f>
        <v>#N/A</v>
      </c>
      <c r="P88" s="656" t="e">
        <f t="shared" si="83"/>
        <v>#N/A</v>
      </c>
      <c r="Q88" s="658">
        <f>IF(COUNTIF('Account Mapping'!$H$12:$H$45,A88)&gt;0,-H88,H88)</f>
        <v>1040977.79</v>
      </c>
      <c r="R88" s="249" t="e">
        <f>VLOOKUP(P88,Assumptions!$C$2:$D$64,2,0)</f>
        <v>#N/A</v>
      </c>
      <c r="S88" s="692">
        <f>IFERROR(VLOOKUP(A88,'Maturity Adjustment'!$A$3:$C$81,3,0),(IF(J88&lt;$N$4,"Tomorrow",J88)))</f>
        <v>47579</v>
      </c>
      <c r="T88" s="24">
        <f t="shared" si="18"/>
        <v>1521</v>
      </c>
      <c r="U88" s="196" t="e">
        <f t="shared" si="84"/>
        <v>#N/A</v>
      </c>
      <c r="V88" s="11">
        <f>IFERROR(VLOOKUP(A88,'Maturity Adjustment'!$A$86:$C$91,3,0),S88)</f>
        <v>47579</v>
      </c>
      <c r="W88" s="207" t="e">
        <f>VLOOKUP(A88,'Account Mapping'!$A$2:$F$216,6,0)</f>
        <v>#N/A</v>
      </c>
      <c r="X88" s="194">
        <f t="shared" si="85"/>
        <v>0</v>
      </c>
      <c r="Y88" s="194">
        <f t="shared" si="86"/>
        <v>0</v>
      </c>
      <c r="Z88" s="13">
        <f t="shared" si="87"/>
        <v>0</v>
      </c>
      <c r="AA88" s="13">
        <f t="shared" si="88"/>
        <v>0</v>
      </c>
      <c r="AB88" s="13">
        <f t="shared" si="89"/>
        <v>0</v>
      </c>
      <c r="AC88" s="13">
        <f t="shared" si="90"/>
        <v>0</v>
      </c>
      <c r="AD88" s="13">
        <f t="shared" si="91"/>
        <v>0</v>
      </c>
      <c r="AE88" s="13">
        <f t="shared" si="92"/>
        <v>1040977.79</v>
      </c>
      <c r="AF88" s="13">
        <f t="shared" si="93"/>
        <v>0</v>
      </c>
      <c r="AG88" s="685">
        <f t="shared" si="94"/>
        <v>0</v>
      </c>
      <c r="AH88" s="688" t="b">
        <f t="shared" si="95"/>
        <v>1</v>
      </c>
    </row>
    <row r="89" spans="1:34" s="1" customFormat="1" ht="15" customHeight="1">
      <c r="A89" s="946">
        <v>10630001</v>
      </c>
      <c r="B89" s="946" t="s">
        <v>595</v>
      </c>
      <c r="C89" s="946">
        <v>6115904000737</v>
      </c>
      <c r="D89" s="946">
        <v>100000014</v>
      </c>
      <c r="E89" s="946" t="s">
        <v>23</v>
      </c>
      <c r="F89" s="946" t="s">
        <v>26</v>
      </c>
      <c r="G89" s="947">
        <v>272492.62</v>
      </c>
      <c r="H89" s="947">
        <v>387945.07</v>
      </c>
      <c r="I89" s="949">
        <v>45968</v>
      </c>
      <c r="J89" s="949">
        <v>47579</v>
      </c>
      <c r="K89" s="949">
        <v>46058</v>
      </c>
      <c r="L89" s="29" t="e">
        <f>VLOOKUP(A89,'Account Mapping'!$A$2:$E$216,3,0)</f>
        <v>#N/A</v>
      </c>
      <c r="M89" s="25" t="e">
        <f>VLOOKUP(A89,'Account Mapping'!$A$2:$E$216,4,0)</f>
        <v>#N/A</v>
      </c>
      <c r="N89" s="26" t="e">
        <f>IF(OR(C89='Account Mapping'!$H$4,C89='Account Mapping'!$H$5,C89='Account Mapping'!$H$6),'Account Mapping'!$I$4,VLOOKUP(A89,'Account Mapping'!$A$2:$E$216,5,0))</f>
        <v>#N/A</v>
      </c>
      <c r="O89" s="27" t="e">
        <f>IF(OR(L89="Loan",L89="Deposit_Liability",L89="OFF_Unused Loan Commitment",L89="HQLA"),VLOOKUP(D89,'Customer Type'!$A$3:$C$38,3,0),"")</f>
        <v>#N/A</v>
      </c>
      <c r="P89" s="656" t="e">
        <f t="shared" si="83"/>
        <v>#N/A</v>
      </c>
      <c r="Q89" s="658">
        <f>IF(COUNTIF('Account Mapping'!$H$12:$H$45,A89)&gt;0,-H89,H89)</f>
        <v>387945.07</v>
      </c>
      <c r="R89" s="249" t="e">
        <f>VLOOKUP(P89,Assumptions!$C$2:$D$64,2,0)</f>
        <v>#N/A</v>
      </c>
      <c r="S89" s="692">
        <f>IFERROR(VLOOKUP(A89,'Maturity Adjustment'!$A$3:$C$81,3,0),(IF(J89&lt;$N$4,"Tomorrow",J89)))</f>
        <v>47579</v>
      </c>
      <c r="T89" s="24">
        <f t="shared" si="18"/>
        <v>1521</v>
      </c>
      <c r="U89" s="196" t="e">
        <f t="shared" si="84"/>
        <v>#N/A</v>
      </c>
      <c r="V89" s="11">
        <f>IFERROR(VLOOKUP(A89,'Maturity Adjustment'!$A$86:$C$91,3,0),S89)</f>
        <v>47579</v>
      </c>
      <c r="W89" s="207" t="e">
        <f>VLOOKUP(A89,'Account Mapping'!$A$2:$F$216,6,0)</f>
        <v>#N/A</v>
      </c>
      <c r="X89" s="194">
        <f t="shared" si="85"/>
        <v>0</v>
      </c>
      <c r="Y89" s="194">
        <f t="shared" si="86"/>
        <v>0</v>
      </c>
      <c r="Z89" s="13">
        <f t="shared" si="87"/>
        <v>0</v>
      </c>
      <c r="AA89" s="13">
        <f t="shared" si="88"/>
        <v>0</v>
      </c>
      <c r="AB89" s="13">
        <f t="shared" si="89"/>
        <v>0</v>
      </c>
      <c r="AC89" s="13">
        <f t="shared" si="90"/>
        <v>0</v>
      </c>
      <c r="AD89" s="13">
        <f t="shared" si="91"/>
        <v>0</v>
      </c>
      <c r="AE89" s="13">
        <f t="shared" si="92"/>
        <v>387945.07</v>
      </c>
      <c r="AF89" s="13">
        <f t="shared" si="93"/>
        <v>0</v>
      </c>
      <c r="AG89" s="685">
        <f t="shared" si="94"/>
        <v>0</v>
      </c>
      <c r="AH89" s="688" t="b">
        <f t="shared" si="95"/>
        <v>1</v>
      </c>
    </row>
    <row r="90" spans="1:34" s="1" customFormat="1" ht="15" customHeight="1">
      <c r="A90" s="946">
        <v>10630001</v>
      </c>
      <c r="B90" s="946" t="s">
        <v>595</v>
      </c>
      <c r="C90" s="946">
        <v>6115904000751</v>
      </c>
      <c r="D90" s="946">
        <v>100000014</v>
      </c>
      <c r="E90" s="946" t="s">
        <v>23</v>
      </c>
      <c r="F90" s="946" t="s">
        <v>26</v>
      </c>
      <c r="G90" s="947">
        <v>602150.54</v>
      </c>
      <c r="H90" s="947">
        <v>857275.83</v>
      </c>
      <c r="I90" s="949">
        <v>45989</v>
      </c>
      <c r="J90" s="949">
        <v>47579</v>
      </c>
      <c r="K90" s="949">
        <v>46058</v>
      </c>
      <c r="L90" s="29" t="e">
        <f>VLOOKUP(A90,'Account Mapping'!$A$2:$E$216,3,0)</f>
        <v>#N/A</v>
      </c>
      <c r="M90" s="25" t="e">
        <f>VLOOKUP(A90,'Account Mapping'!$A$2:$E$216,4,0)</f>
        <v>#N/A</v>
      </c>
      <c r="N90" s="26" t="e">
        <f>IF(OR(C90='Account Mapping'!$H$4,C90='Account Mapping'!$H$5,C90='Account Mapping'!$H$6),'Account Mapping'!$I$4,VLOOKUP(A90,'Account Mapping'!$A$2:$E$216,5,0))</f>
        <v>#N/A</v>
      </c>
      <c r="O90" s="27" t="e">
        <f>IF(OR(L90="Loan",L90="Deposit_Liability",L90="OFF_Unused Loan Commitment",L90="HQLA"),VLOOKUP(D90,'Customer Type'!$A$3:$C$38,3,0),"")</f>
        <v>#N/A</v>
      </c>
      <c r="P90" s="656" t="e">
        <f t="shared" si="83"/>
        <v>#N/A</v>
      </c>
      <c r="Q90" s="658">
        <f>IF(COUNTIF('Account Mapping'!$H$12:$H$45,A90)&gt;0,-H90,H90)</f>
        <v>857275.83</v>
      </c>
      <c r="R90" s="249" t="e">
        <f>VLOOKUP(P90,Assumptions!$C$2:$D$64,2,0)</f>
        <v>#N/A</v>
      </c>
      <c r="S90" s="692">
        <f>IFERROR(VLOOKUP(A90,'Maturity Adjustment'!$A$3:$C$81,3,0),(IF(J90&lt;$N$4,"Tomorrow",J90)))</f>
        <v>47579</v>
      </c>
      <c r="T90" s="24">
        <f t="shared" si="18"/>
        <v>1521</v>
      </c>
      <c r="U90" s="196" t="e">
        <f t="shared" si="84"/>
        <v>#N/A</v>
      </c>
      <c r="V90" s="11">
        <f>IFERROR(VLOOKUP(A90,'Maturity Adjustment'!$A$86:$C$91,3,0),S90)</f>
        <v>47579</v>
      </c>
      <c r="W90" s="207" t="e">
        <f>VLOOKUP(A90,'Account Mapping'!$A$2:$F$216,6,0)</f>
        <v>#N/A</v>
      </c>
      <c r="X90" s="194">
        <f t="shared" si="85"/>
        <v>0</v>
      </c>
      <c r="Y90" s="194">
        <f t="shared" si="86"/>
        <v>0</v>
      </c>
      <c r="Z90" s="13">
        <f t="shared" si="87"/>
        <v>0</v>
      </c>
      <c r="AA90" s="13">
        <f t="shared" si="88"/>
        <v>0</v>
      </c>
      <c r="AB90" s="13">
        <f t="shared" si="89"/>
        <v>0</v>
      </c>
      <c r="AC90" s="13">
        <f t="shared" si="90"/>
        <v>0</v>
      </c>
      <c r="AD90" s="13">
        <f t="shared" si="91"/>
        <v>0</v>
      </c>
      <c r="AE90" s="13">
        <f t="shared" si="92"/>
        <v>857275.83</v>
      </c>
      <c r="AF90" s="13">
        <f t="shared" si="93"/>
        <v>0</v>
      </c>
      <c r="AG90" s="685">
        <f t="shared" si="94"/>
        <v>0</v>
      </c>
      <c r="AH90" s="688" t="b">
        <f t="shared" si="95"/>
        <v>1</v>
      </c>
    </row>
    <row r="91" spans="1:34" s="1" customFormat="1" ht="15" customHeight="1">
      <c r="A91" s="946">
        <v>10630001</v>
      </c>
      <c r="B91" s="946" t="s">
        <v>595</v>
      </c>
      <c r="C91" s="946">
        <v>6115904000769</v>
      </c>
      <c r="D91" s="946">
        <v>100000014</v>
      </c>
      <c r="E91" s="946" t="s">
        <v>23</v>
      </c>
      <c r="F91" s="946" t="s">
        <v>26</v>
      </c>
      <c r="G91" s="947">
        <v>251877.67</v>
      </c>
      <c r="H91" s="947">
        <v>358595.77</v>
      </c>
      <c r="I91" s="949">
        <v>45996</v>
      </c>
      <c r="J91" s="949">
        <v>47579</v>
      </c>
      <c r="K91" s="949">
        <v>46058</v>
      </c>
      <c r="L91" s="29" t="e">
        <f>VLOOKUP(A91,'Account Mapping'!$A$2:$E$216,3,0)</f>
        <v>#N/A</v>
      </c>
      <c r="M91" s="25" t="e">
        <f>VLOOKUP(A91,'Account Mapping'!$A$2:$E$216,4,0)</f>
        <v>#N/A</v>
      </c>
      <c r="N91" s="26" t="e">
        <f>IF(OR(C91='Account Mapping'!$H$4,C91='Account Mapping'!$H$5,C91='Account Mapping'!$H$6),'Account Mapping'!$I$4,VLOOKUP(A91,'Account Mapping'!$A$2:$E$216,5,0))</f>
        <v>#N/A</v>
      </c>
      <c r="O91" s="27" t="e">
        <f>IF(OR(L91="Loan",L91="Deposit_Liability",L91="OFF_Unused Loan Commitment",L91="HQLA"),VLOOKUP(D91,'Customer Type'!$A$3:$C$38,3,0),"")</f>
        <v>#N/A</v>
      </c>
      <c r="P91" s="656" t="e">
        <f t="shared" si="83"/>
        <v>#N/A</v>
      </c>
      <c r="Q91" s="658">
        <f>IF(COUNTIF('Account Mapping'!$H$12:$H$45,A91)&gt;0,-H91,H91)</f>
        <v>358595.77</v>
      </c>
      <c r="R91" s="249" t="e">
        <f>VLOOKUP(P91,Assumptions!$C$2:$D$64,2,0)</f>
        <v>#N/A</v>
      </c>
      <c r="S91" s="692">
        <f>IFERROR(VLOOKUP(A91,'Maturity Adjustment'!$A$3:$C$81,3,0),(IF(J91&lt;$N$4,"Tomorrow",J91)))</f>
        <v>47579</v>
      </c>
      <c r="T91" s="24">
        <f>IF(S91="Tomorrow",1,(S91-$N$4))</f>
        <v>1521</v>
      </c>
      <c r="U91" s="196" t="e">
        <f t="shared" si="84"/>
        <v>#N/A</v>
      </c>
      <c r="V91" s="11">
        <f>IFERROR(VLOOKUP(A91,'Maturity Adjustment'!$A$86:$C$91,3,0),S91)</f>
        <v>47579</v>
      </c>
      <c r="W91" s="207" t="e">
        <f>VLOOKUP(A91,'Account Mapping'!$A$2:$F$216,6,0)</f>
        <v>#N/A</v>
      </c>
      <c r="X91" s="194">
        <f t="shared" si="85"/>
        <v>0</v>
      </c>
      <c r="Y91" s="194">
        <f t="shared" si="86"/>
        <v>0</v>
      </c>
      <c r="Z91" s="13">
        <f t="shared" si="87"/>
        <v>0</v>
      </c>
      <c r="AA91" s="13">
        <f t="shared" si="88"/>
        <v>0</v>
      </c>
      <c r="AB91" s="13">
        <f t="shared" si="89"/>
        <v>0</v>
      </c>
      <c r="AC91" s="13">
        <f t="shared" si="90"/>
        <v>0</v>
      </c>
      <c r="AD91" s="13">
        <f t="shared" si="91"/>
        <v>0</v>
      </c>
      <c r="AE91" s="13">
        <f t="shared" si="92"/>
        <v>358595.77</v>
      </c>
      <c r="AF91" s="13">
        <f t="shared" si="93"/>
        <v>0</v>
      </c>
      <c r="AG91" s="685">
        <f t="shared" si="94"/>
        <v>0</v>
      </c>
      <c r="AH91" s="688" t="b">
        <f t="shared" si="95"/>
        <v>1</v>
      </c>
    </row>
    <row r="92" spans="1:34" s="1" customFormat="1" ht="15" customHeight="1">
      <c r="A92" s="946">
        <v>10630001</v>
      </c>
      <c r="B92" s="946" t="s">
        <v>595</v>
      </c>
      <c r="C92" s="946">
        <v>6115904000776</v>
      </c>
      <c r="D92" s="946">
        <v>100000014</v>
      </c>
      <c r="E92" s="946" t="s">
        <v>23</v>
      </c>
      <c r="F92" s="946" t="s">
        <v>26</v>
      </c>
      <c r="G92" s="947">
        <v>623655.91</v>
      </c>
      <c r="H92" s="947">
        <v>887892.81</v>
      </c>
      <c r="I92" s="949">
        <v>46021</v>
      </c>
      <c r="J92" s="949">
        <v>47579</v>
      </c>
      <c r="K92" s="949">
        <v>46058</v>
      </c>
      <c r="L92" s="29" t="e">
        <f>VLOOKUP(A92,'Account Mapping'!$A$2:$E$216,3,0)</f>
        <v>#N/A</v>
      </c>
      <c r="M92" s="25" t="e">
        <f>VLOOKUP(A92,'Account Mapping'!$A$2:$E$216,4,0)</f>
        <v>#N/A</v>
      </c>
      <c r="N92" s="26" t="e">
        <f>IF(OR(C92='Account Mapping'!$H$4,C92='Account Mapping'!$H$5,C92='Account Mapping'!$H$6),'Account Mapping'!$I$4,VLOOKUP(A92,'Account Mapping'!$A$2:$E$216,5,0))</f>
        <v>#N/A</v>
      </c>
      <c r="O92" s="27" t="e">
        <f>IF(OR(L92="Loan",L92="Deposit_Liability",L92="OFF_Unused Loan Commitment",L92="HQLA"),VLOOKUP(D92,'Customer Type'!$A$3:$C$38,3,0),"")</f>
        <v>#N/A</v>
      </c>
      <c r="P92" s="656" t="e">
        <f t="shared" si="83"/>
        <v>#N/A</v>
      </c>
      <c r="Q92" s="658">
        <f>IF(COUNTIF('Account Mapping'!$H$12:$H$45,A92)&gt;0,-H92,H92)</f>
        <v>887892.81</v>
      </c>
      <c r="R92" s="249" t="e">
        <f>VLOOKUP(P92,Assumptions!$C$2:$D$64,2,0)</f>
        <v>#N/A</v>
      </c>
      <c r="S92" s="692">
        <f>IFERROR(VLOOKUP(A92,'Maturity Adjustment'!$A$3:$C$81,3,0),(IF(J92&lt;$N$4,"Tomorrow",J92)))</f>
        <v>47579</v>
      </c>
      <c r="T92" s="24">
        <f t="shared" si="18"/>
        <v>1521</v>
      </c>
      <c r="U92" s="196" t="e">
        <f t="shared" si="84"/>
        <v>#N/A</v>
      </c>
      <c r="V92" s="11">
        <f>IFERROR(VLOOKUP(A92,'Maturity Adjustment'!$A$86:$C$91,3,0),S92)</f>
        <v>47579</v>
      </c>
      <c r="W92" s="207" t="e">
        <f>VLOOKUP(A92,'Account Mapping'!$A$2:$F$216,6,0)</f>
        <v>#N/A</v>
      </c>
      <c r="X92" s="194">
        <f t="shared" si="85"/>
        <v>0</v>
      </c>
      <c r="Y92" s="194">
        <f t="shared" si="86"/>
        <v>0</v>
      </c>
      <c r="Z92" s="13">
        <f t="shared" si="87"/>
        <v>0</v>
      </c>
      <c r="AA92" s="13">
        <f t="shared" si="88"/>
        <v>0</v>
      </c>
      <c r="AB92" s="13">
        <f t="shared" si="89"/>
        <v>0</v>
      </c>
      <c r="AC92" s="13">
        <f t="shared" si="90"/>
        <v>0</v>
      </c>
      <c r="AD92" s="13">
        <f t="shared" si="91"/>
        <v>0</v>
      </c>
      <c r="AE92" s="13">
        <f t="shared" si="92"/>
        <v>887892.81</v>
      </c>
      <c r="AF92" s="13">
        <f t="shared" si="93"/>
        <v>0</v>
      </c>
      <c r="AG92" s="685">
        <f t="shared" si="94"/>
        <v>0</v>
      </c>
      <c r="AH92" s="688" t="b">
        <f t="shared" si="95"/>
        <v>1</v>
      </c>
    </row>
    <row r="93" spans="1:34" s="1" customFormat="1" ht="15" customHeight="1">
      <c r="A93" s="946">
        <v>10630001</v>
      </c>
      <c r="B93" s="946" t="s">
        <v>595</v>
      </c>
      <c r="C93" s="946">
        <v>6115904000783</v>
      </c>
      <c r="D93" s="946">
        <v>100000014</v>
      </c>
      <c r="E93" s="946" t="s">
        <v>23</v>
      </c>
      <c r="F93" s="946" t="s">
        <v>26</v>
      </c>
      <c r="G93" s="947">
        <v>275889.40999999997</v>
      </c>
      <c r="H93" s="947">
        <v>392781.05</v>
      </c>
      <c r="I93" s="949">
        <v>46027</v>
      </c>
      <c r="J93" s="949">
        <v>47579</v>
      </c>
      <c r="K93" s="949">
        <v>46058</v>
      </c>
      <c r="L93" s="29" t="e">
        <f>VLOOKUP(A93,'Account Mapping'!$A$2:$E$216,3,0)</f>
        <v>#N/A</v>
      </c>
      <c r="M93" s="25" t="e">
        <f>VLOOKUP(A93,'Account Mapping'!$A$2:$E$216,4,0)</f>
        <v>#N/A</v>
      </c>
      <c r="N93" s="26" t="e">
        <f>IF(OR(C93='Account Mapping'!$H$4,C93='Account Mapping'!$H$5,C93='Account Mapping'!$H$6),'Account Mapping'!$I$4,VLOOKUP(A93,'Account Mapping'!$A$2:$E$216,5,0))</f>
        <v>#N/A</v>
      </c>
      <c r="O93" s="27" t="e">
        <f>IF(OR(L93="Loan",L93="Deposit_Liability",L93="OFF_Unused Loan Commitment",L93="HQLA"),VLOOKUP(D93,'Customer Type'!$A$3:$C$38,3,0),"")</f>
        <v>#N/A</v>
      </c>
      <c r="P93" s="656" t="e">
        <f t="shared" si="83"/>
        <v>#N/A</v>
      </c>
      <c r="Q93" s="658">
        <f>IF(COUNTIF('Account Mapping'!$H$12:$H$45,A93)&gt;0,-H93,H93)</f>
        <v>392781.05</v>
      </c>
      <c r="R93" s="249" t="e">
        <f>VLOOKUP(P93,Assumptions!$C$2:$D$64,2,0)</f>
        <v>#N/A</v>
      </c>
      <c r="S93" s="692">
        <f>IFERROR(VLOOKUP(A93,'Maturity Adjustment'!$A$3:$C$81,3,0),(IF(J93&lt;$N$4,"Tomorrow",J93)))</f>
        <v>47579</v>
      </c>
      <c r="T93" s="24">
        <f t="shared" si="18"/>
        <v>1521</v>
      </c>
      <c r="U93" s="196" t="e">
        <f t="shared" si="84"/>
        <v>#N/A</v>
      </c>
      <c r="V93" s="11">
        <f>IFERROR(VLOOKUP(A93,'Maturity Adjustment'!$A$86:$C$91,3,0),S93)</f>
        <v>47579</v>
      </c>
      <c r="W93" s="207" t="e">
        <f>VLOOKUP(A93,'Account Mapping'!$A$2:$F$216,6,0)</f>
        <v>#N/A</v>
      </c>
      <c r="X93" s="194">
        <f t="shared" si="85"/>
        <v>0</v>
      </c>
      <c r="Y93" s="194">
        <f t="shared" si="86"/>
        <v>0</v>
      </c>
      <c r="Z93" s="13">
        <f t="shared" si="87"/>
        <v>0</v>
      </c>
      <c r="AA93" s="13">
        <f t="shared" si="88"/>
        <v>0</v>
      </c>
      <c r="AB93" s="13">
        <f t="shared" si="89"/>
        <v>0</v>
      </c>
      <c r="AC93" s="13">
        <f t="shared" si="90"/>
        <v>0</v>
      </c>
      <c r="AD93" s="13">
        <f t="shared" si="91"/>
        <v>0</v>
      </c>
      <c r="AE93" s="13">
        <f t="shared" si="92"/>
        <v>392781.05</v>
      </c>
      <c r="AF93" s="13">
        <f t="shared" si="93"/>
        <v>0</v>
      </c>
      <c r="AG93" s="685">
        <f t="shared" si="94"/>
        <v>0</v>
      </c>
      <c r="AH93" s="688" t="b">
        <f t="shared" si="95"/>
        <v>1</v>
      </c>
    </row>
    <row r="94" spans="1:34" s="1" customFormat="1" ht="15" customHeight="1">
      <c r="A94" s="946">
        <v>10690001</v>
      </c>
      <c r="B94" s="946" t="s">
        <v>597</v>
      </c>
      <c r="C94" s="946" t="s">
        <v>1264</v>
      </c>
      <c r="D94" s="946">
        <v>100000003</v>
      </c>
      <c r="E94" s="946" t="s">
        <v>21</v>
      </c>
      <c r="F94" s="946" t="s">
        <v>11</v>
      </c>
      <c r="G94" s="947">
        <v>-66801.600000000006</v>
      </c>
      <c r="H94" s="947">
        <v>-66801.600000000006</v>
      </c>
      <c r="I94" s="949"/>
      <c r="J94" s="949"/>
      <c r="K94" s="949"/>
      <c r="L94" s="29" t="e">
        <f>VLOOKUP(A94,'Account Mapping'!$A$2:$E$216,3,0)</f>
        <v>#N/A</v>
      </c>
      <c r="M94" s="25" t="e">
        <f>VLOOKUP(A94,'Account Mapping'!$A$2:$E$216,4,0)</f>
        <v>#N/A</v>
      </c>
      <c r="N94" s="26" t="e">
        <f>IF(OR(C94='Account Mapping'!$H$4,C94='Account Mapping'!$H$5,C94='Account Mapping'!$H$6),'Account Mapping'!$I$4,VLOOKUP(A94,'Account Mapping'!$A$2:$E$216,5,0))</f>
        <v>#N/A</v>
      </c>
      <c r="O94" s="27" t="e">
        <f>IF(OR(L94="Loan",L94="Deposit_Liability",L94="OFF_Unused Loan Commitment",L94="HQLA"),VLOOKUP(D94,'Customer Type'!$A$3:$C$38,3,0),"")</f>
        <v>#N/A</v>
      </c>
      <c r="P94" s="656" t="e">
        <f t="shared" si="83"/>
        <v>#N/A</v>
      </c>
      <c r="Q94" s="658">
        <f>IF(COUNTIF('Account Mapping'!$H$12:$H$45,A94)&gt;0,-H94,H94)</f>
        <v>66801.600000000006</v>
      </c>
      <c r="R94" s="249" t="e">
        <f>VLOOKUP(P94,Assumptions!$C$2:$D$64,2,0)</f>
        <v>#N/A</v>
      </c>
      <c r="S94" s="692" t="str">
        <f>IFERROR(VLOOKUP(A94,'Maturity Adjustment'!$A$3:$C$81,3,0),(IF(J94&lt;$N$4,"Tomorrow",J94)))</f>
        <v>Tomorrow</v>
      </c>
      <c r="T94" s="24">
        <f t="shared" si="18"/>
        <v>1</v>
      </c>
      <c r="U94" s="196" t="e">
        <f t="shared" si="84"/>
        <v>#N/A</v>
      </c>
      <c r="V94" s="11" t="str">
        <f>IFERROR(VLOOKUP(A94,'Maturity Adjustment'!$A$86:$C$91,3,0),S94)</f>
        <v>Tomorrow</v>
      </c>
      <c r="W94" s="207" t="e">
        <f>VLOOKUP(A94,'Account Mapping'!$A$2:$F$216,6,0)</f>
        <v>#N/A</v>
      </c>
      <c r="X94" s="194">
        <f t="shared" si="85"/>
        <v>66801.600000000006</v>
      </c>
      <c r="Y94" s="194">
        <f t="shared" si="86"/>
        <v>0</v>
      </c>
      <c r="Z94" s="13">
        <f t="shared" si="87"/>
        <v>0</v>
      </c>
      <c r="AA94" s="13">
        <f t="shared" si="88"/>
        <v>0</v>
      </c>
      <c r="AB94" s="13">
        <f t="shared" si="89"/>
        <v>0</v>
      </c>
      <c r="AC94" s="13">
        <f t="shared" si="90"/>
        <v>0</v>
      </c>
      <c r="AD94" s="13">
        <f t="shared" si="91"/>
        <v>0</v>
      </c>
      <c r="AE94" s="13">
        <f t="shared" si="92"/>
        <v>0</v>
      </c>
      <c r="AF94" s="13">
        <f t="shared" si="93"/>
        <v>0</v>
      </c>
      <c r="AG94" s="685">
        <f t="shared" si="94"/>
        <v>0</v>
      </c>
      <c r="AH94" s="688" t="b">
        <f t="shared" si="95"/>
        <v>1</v>
      </c>
    </row>
    <row r="95" spans="1:34" s="1" customFormat="1" ht="15" customHeight="1">
      <c r="A95" s="946">
        <v>10690001</v>
      </c>
      <c r="B95" s="946" t="s">
        <v>597</v>
      </c>
      <c r="C95" s="946" t="s">
        <v>25</v>
      </c>
      <c r="D95" s="946">
        <v>100000014</v>
      </c>
      <c r="E95" s="946" t="s">
        <v>23</v>
      </c>
      <c r="F95" s="946" t="s">
        <v>26</v>
      </c>
      <c r="G95" s="947">
        <v>-833.7</v>
      </c>
      <c r="H95" s="947">
        <v>-1186.93</v>
      </c>
      <c r="I95" s="949"/>
      <c r="J95" s="949"/>
      <c r="K95" s="949"/>
      <c r="L95" s="29" t="e">
        <f>VLOOKUP(A95,'Account Mapping'!$A$2:$E$216,3,0)</f>
        <v>#N/A</v>
      </c>
      <c r="M95" s="25" t="e">
        <f>VLOOKUP(A95,'Account Mapping'!$A$2:$E$216,4,0)</f>
        <v>#N/A</v>
      </c>
      <c r="N95" s="26" t="e">
        <f>IF(OR(C95='Account Mapping'!$H$4,C95='Account Mapping'!$H$5,C95='Account Mapping'!$H$6),'Account Mapping'!$I$4,VLOOKUP(A95,'Account Mapping'!$A$2:$E$216,5,0))</f>
        <v>#N/A</v>
      </c>
      <c r="O95" s="27" t="e">
        <f>IF(OR(L95="Loan",L95="Deposit_Liability",L95="OFF_Unused Loan Commitment",L95="HQLA"),VLOOKUP(D95,'Customer Type'!$A$3:$C$38,3,0),"")</f>
        <v>#N/A</v>
      </c>
      <c r="P95" s="656" t="e">
        <f t="shared" si="83"/>
        <v>#N/A</v>
      </c>
      <c r="Q95" s="658">
        <f>IF(COUNTIF('Account Mapping'!$H$12:$H$45,A95)&gt;0,-H95,H95)</f>
        <v>1186.93</v>
      </c>
      <c r="R95" s="249" t="e">
        <f>VLOOKUP(P95,Assumptions!$C$2:$D$64,2,0)</f>
        <v>#N/A</v>
      </c>
      <c r="S95" s="692" t="str">
        <f>IFERROR(VLOOKUP(A95,'Maturity Adjustment'!$A$3:$C$81,3,0),(IF(J95&lt;$N$4,"Tomorrow",J95)))</f>
        <v>Tomorrow</v>
      </c>
      <c r="T95" s="24">
        <f t="shared" si="18"/>
        <v>1</v>
      </c>
      <c r="U95" s="196" t="e">
        <f t="shared" si="84"/>
        <v>#N/A</v>
      </c>
      <c r="V95" s="11" t="str">
        <f>IFERROR(VLOOKUP(A95,'Maturity Adjustment'!$A$86:$C$91,3,0),S95)</f>
        <v>Tomorrow</v>
      </c>
      <c r="W95" s="207" t="e">
        <f>VLOOKUP(A95,'Account Mapping'!$A$2:$F$216,6,0)</f>
        <v>#N/A</v>
      </c>
      <c r="X95" s="194">
        <f t="shared" si="85"/>
        <v>1186.93</v>
      </c>
      <c r="Y95" s="194">
        <f t="shared" si="86"/>
        <v>0</v>
      </c>
      <c r="Z95" s="13">
        <f t="shared" si="87"/>
        <v>0</v>
      </c>
      <c r="AA95" s="13">
        <f t="shared" si="88"/>
        <v>0</v>
      </c>
      <c r="AB95" s="13">
        <f t="shared" si="89"/>
        <v>0</v>
      </c>
      <c r="AC95" s="13">
        <f t="shared" si="90"/>
        <v>0</v>
      </c>
      <c r="AD95" s="13">
        <f t="shared" si="91"/>
        <v>0</v>
      </c>
      <c r="AE95" s="13">
        <f t="shared" si="92"/>
        <v>0</v>
      </c>
      <c r="AF95" s="13">
        <f t="shared" si="93"/>
        <v>0</v>
      </c>
      <c r="AG95" s="685">
        <f t="shared" si="94"/>
        <v>0</v>
      </c>
      <c r="AH95" s="688" t="b">
        <f t="shared" si="95"/>
        <v>1</v>
      </c>
    </row>
    <row r="96" spans="1:34" s="1" customFormat="1" ht="15" customHeight="1">
      <c r="A96" s="946">
        <v>10690001</v>
      </c>
      <c r="B96" s="946" t="s">
        <v>597</v>
      </c>
      <c r="C96" s="946" t="s">
        <v>27</v>
      </c>
      <c r="D96" s="946">
        <v>100000014</v>
      </c>
      <c r="E96" s="946" t="s">
        <v>23</v>
      </c>
      <c r="F96" s="946" t="s">
        <v>26</v>
      </c>
      <c r="G96" s="947">
        <v>-48803.72</v>
      </c>
      <c r="H96" s="947">
        <v>-69481.38</v>
      </c>
      <c r="I96" s="948"/>
      <c r="J96" s="948"/>
      <c r="K96" s="948"/>
      <c r="L96" s="29" t="e">
        <f>VLOOKUP(A96,'Account Mapping'!$A$2:$E$216,3,0)</f>
        <v>#N/A</v>
      </c>
      <c r="M96" s="25" t="e">
        <f>VLOOKUP(A96,'Account Mapping'!$A$2:$E$216,4,0)</f>
        <v>#N/A</v>
      </c>
      <c r="N96" s="26" t="e">
        <f>IF(OR(C96='Account Mapping'!$H$4,C96='Account Mapping'!$H$5,C96='Account Mapping'!$H$6),'Account Mapping'!$I$4,VLOOKUP(A96,'Account Mapping'!$A$2:$E$216,5,0))</f>
        <v>#N/A</v>
      </c>
      <c r="O96" s="27" t="e">
        <f>IF(OR(L96="Loan",L96="Deposit_Liability",L96="OFF_Unused Loan Commitment",L96="HQLA"),VLOOKUP(D96,'Customer Type'!$A$3:$C$38,3,0),"")</f>
        <v>#N/A</v>
      </c>
      <c r="P96" s="656" t="e">
        <f t="shared" si="83"/>
        <v>#N/A</v>
      </c>
      <c r="Q96" s="658">
        <f>IF(COUNTIF('Account Mapping'!$H$12:$H$45,A96)&gt;0,-H96,H96)</f>
        <v>69481.38</v>
      </c>
      <c r="R96" s="249" t="e">
        <f>VLOOKUP(P96,Assumptions!$C$2:$D$64,2,0)</f>
        <v>#N/A</v>
      </c>
      <c r="S96" s="692" t="str">
        <f>IFERROR(VLOOKUP(A96,'Maturity Adjustment'!$A$3:$C$81,3,0),(IF(J96&lt;$N$4,"Tomorrow",J96)))</f>
        <v>Tomorrow</v>
      </c>
      <c r="T96" s="24">
        <f t="shared" ref="T96:T109" si="96">IF(S96="Tomorrow",1,(S96-$N$4))</f>
        <v>1</v>
      </c>
      <c r="U96" s="196" t="e">
        <f t="shared" si="84"/>
        <v>#N/A</v>
      </c>
      <c r="V96" s="11" t="str">
        <f>IFERROR(VLOOKUP(A96,'Maturity Adjustment'!$A$86:$C$91,3,0),S96)</f>
        <v>Tomorrow</v>
      </c>
      <c r="W96" s="207" t="e">
        <f>VLOOKUP(A96,'Account Mapping'!$A$2:$F$216,6,0)</f>
        <v>#N/A</v>
      </c>
      <c r="X96" s="194">
        <f t="shared" si="85"/>
        <v>69481.38</v>
      </c>
      <c r="Y96" s="194">
        <f t="shared" si="86"/>
        <v>0</v>
      </c>
      <c r="Z96" s="13">
        <f t="shared" si="87"/>
        <v>0</v>
      </c>
      <c r="AA96" s="13">
        <f t="shared" si="88"/>
        <v>0</v>
      </c>
      <c r="AB96" s="13">
        <f t="shared" si="89"/>
        <v>0</v>
      </c>
      <c r="AC96" s="13">
        <f t="shared" si="90"/>
        <v>0</v>
      </c>
      <c r="AD96" s="13">
        <f t="shared" si="91"/>
        <v>0</v>
      </c>
      <c r="AE96" s="13">
        <f t="shared" si="92"/>
        <v>0</v>
      </c>
      <c r="AF96" s="13">
        <f t="shared" si="93"/>
        <v>0</v>
      </c>
      <c r="AG96" s="685">
        <f t="shared" si="94"/>
        <v>0</v>
      </c>
      <c r="AH96" s="688" t="b">
        <f t="shared" si="95"/>
        <v>1</v>
      </c>
    </row>
    <row r="97" spans="1:34" s="1" customFormat="1" ht="15" customHeight="1">
      <c r="A97" s="946">
        <v>10690001</v>
      </c>
      <c r="B97" s="946" t="s">
        <v>597</v>
      </c>
      <c r="C97" s="946" t="s">
        <v>598</v>
      </c>
      <c r="D97" s="946">
        <v>100000014</v>
      </c>
      <c r="E97" s="946" t="s">
        <v>23</v>
      </c>
      <c r="F97" s="946" t="s">
        <v>26</v>
      </c>
      <c r="G97" s="947">
        <v>-633.30999999999995</v>
      </c>
      <c r="H97" s="947">
        <v>-901.64</v>
      </c>
      <c r="I97" s="948"/>
      <c r="J97" s="948"/>
      <c r="K97" s="948"/>
      <c r="L97" s="29" t="e">
        <f>VLOOKUP(A97,'Account Mapping'!$A$2:$E$216,3,0)</f>
        <v>#N/A</v>
      </c>
      <c r="M97" s="25" t="e">
        <f>VLOOKUP(A97,'Account Mapping'!$A$2:$E$216,4,0)</f>
        <v>#N/A</v>
      </c>
      <c r="N97" s="26" t="e">
        <f>IF(OR(C97='Account Mapping'!$H$4,C97='Account Mapping'!$H$5,C97='Account Mapping'!$H$6),'Account Mapping'!$I$4,VLOOKUP(A97,'Account Mapping'!$A$2:$E$216,5,0))</f>
        <v>#N/A</v>
      </c>
      <c r="O97" s="27" t="e">
        <f>IF(OR(L97="Loan",L97="Deposit_Liability",L97="OFF_Unused Loan Commitment",L97="HQLA"),VLOOKUP(D97,'Customer Type'!$A$3:$C$38,3,0),"")</f>
        <v>#N/A</v>
      </c>
      <c r="P97" s="656" t="e">
        <f t="shared" si="83"/>
        <v>#N/A</v>
      </c>
      <c r="Q97" s="658">
        <f>IF(COUNTIF('Account Mapping'!$H$12:$H$45,A97)&gt;0,-H97,H97)</f>
        <v>901.64</v>
      </c>
      <c r="R97" s="249" t="e">
        <f>VLOOKUP(P97,Assumptions!$C$2:$D$64,2,0)</f>
        <v>#N/A</v>
      </c>
      <c r="S97" s="692" t="str">
        <f>IFERROR(VLOOKUP(A97,'Maturity Adjustment'!$A$3:$C$81,3,0),(IF(J97&lt;$N$4,"Tomorrow",J97)))</f>
        <v>Tomorrow</v>
      </c>
      <c r="T97" s="24">
        <f t="shared" si="96"/>
        <v>1</v>
      </c>
      <c r="U97" s="196" t="e">
        <f t="shared" si="84"/>
        <v>#N/A</v>
      </c>
      <c r="V97" s="11" t="str">
        <f>IFERROR(VLOOKUP(A97,'Maturity Adjustment'!$A$86:$C$91,3,0),S97)</f>
        <v>Tomorrow</v>
      </c>
      <c r="W97" s="207" t="e">
        <f>VLOOKUP(A97,'Account Mapping'!$A$2:$F$216,6,0)</f>
        <v>#N/A</v>
      </c>
      <c r="X97" s="194">
        <f t="shared" si="85"/>
        <v>901.64</v>
      </c>
      <c r="Y97" s="194">
        <f t="shared" si="86"/>
        <v>0</v>
      </c>
      <c r="Z97" s="13">
        <f t="shared" si="87"/>
        <v>0</v>
      </c>
      <c r="AA97" s="13">
        <f t="shared" si="88"/>
        <v>0</v>
      </c>
      <c r="AB97" s="13">
        <f t="shared" si="89"/>
        <v>0</v>
      </c>
      <c r="AC97" s="13">
        <f t="shared" si="90"/>
        <v>0</v>
      </c>
      <c r="AD97" s="13">
        <f t="shared" si="91"/>
        <v>0</v>
      </c>
      <c r="AE97" s="13">
        <f t="shared" si="92"/>
        <v>0</v>
      </c>
      <c r="AF97" s="13">
        <f t="shared" si="93"/>
        <v>0</v>
      </c>
      <c r="AG97" s="685">
        <f t="shared" si="94"/>
        <v>0</v>
      </c>
      <c r="AH97" s="688" t="b">
        <f t="shared" si="95"/>
        <v>1</v>
      </c>
    </row>
    <row r="98" spans="1:34" s="1" customFormat="1" ht="15" customHeight="1">
      <c r="A98" s="946">
        <v>10690001</v>
      </c>
      <c r="B98" s="946" t="s">
        <v>597</v>
      </c>
      <c r="C98" s="946" t="s">
        <v>599</v>
      </c>
      <c r="D98" s="946">
        <v>100000014</v>
      </c>
      <c r="E98" s="946" t="s">
        <v>23</v>
      </c>
      <c r="F98" s="946" t="s">
        <v>26</v>
      </c>
      <c r="G98" s="947">
        <v>-11491.72</v>
      </c>
      <c r="H98" s="947">
        <v>-16360.65</v>
      </c>
      <c r="I98" s="948"/>
      <c r="J98" s="948"/>
      <c r="K98" s="948"/>
      <c r="L98" s="29" t="e">
        <f>VLOOKUP(A98,'Account Mapping'!$A$2:$E$216,3,0)</f>
        <v>#N/A</v>
      </c>
      <c r="M98" s="25" t="e">
        <f>VLOOKUP(A98,'Account Mapping'!$A$2:$E$216,4,0)</f>
        <v>#N/A</v>
      </c>
      <c r="N98" s="26" t="e">
        <f>IF(OR(C98='Account Mapping'!$H$4,C98='Account Mapping'!$H$5,C98='Account Mapping'!$H$6),'Account Mapping'!$I$4,VLOOKUP(A98,'Account Mapping'!$A$2:$E$216,5,0))</f>
        <v>#N/A</v>
      </c>
      <c r="O98" s="27" t="e">
        <f>IF(OR(L98="Loan",L98="Deposit_Liability",L98="OFF_Unused Loan Commitment",L98="HQLA"),VLOOKUP(D98,'Customer Type'!$A$3:$C$38,3,0),"")</f>
        <v>#N/A</v>
      </c>
      <c r="P98" s="656" t="e">
        <f t="shared" si="83"/>
        <v>#N/A</v>
      </c>
      <c r="Q98" s="658">
        <f>IF(COUNTIF('Account Mapping'!$H$12:$H$45,A98)&gt;0,-H98,H98)</f>
        <v>16360.65</v>
      </c>
      <c r="R98" s="249" t="e">
        <f>VLOOKUP(P98,Assumptions!$C$2:$D$64,2,0)</f>
        <v>#N/A</v>
      </c>
      <c r="S98" s="692" t="str">
        <f>IFERROR(VLOOKUP(A98,'Maturity Adjustment'!$A$3:$C$81,3,0),(IF(J98&lt;$N$4,"Tomorrow",J98)))</f>
        <v>Tomorrow</v>
      </c>
      <c r="T98" s="24">
        <f t="shared" si="96"/>
        <v>1</v>
      </c>
      <c r="U98" s="196" t="e">
        <f t="shared" si="84"/>
        <v>#N/A</v>
      </c>
      <c r="V98" s="11" t="str">
        <f>IFERROR(VLOOKUP(A98,'Maturity Adjustment'!$A$86:$C$91,3,0),S98)</f>
        <v>Tomorrow</v>
      </c>
      <c r="W98" s="207" t="e">
        <f>VLOOKUP(A98,'Account Mapping'!$A$2:$F$216,6,0)</f>
        <v>#N/A</v>
      </c>
      <c r="X98" s="194">
        <f t="shared" si="85"/>
        <v>16360.65</v>
      </c>
      <c r="Y98" s="194">
        <f t="shared" si="86"/>
        <v>0</v>
      </c>
      <c r="Z98" s="13">
        <f t="shared" si="87"/>
        <v>0</v>
      </c>
      <c r="AA98" s="13">
        <f t="shared" si="88"/>
        <v>0</v>
      </c>
      <c r="AB98" s="13">
        <f t="shared" si="89"/>
        <v>0</v>
      </c>
      <c r="AC98" s="13">
        <f t="shared" si="90"/>
        <v>0</v>
      </c>
      <c r="AD98" s="13">
        <f t="shared" si="91"/>
        <v>0</v>
      </c>
      <c r="AE98" s="13">
        <f t="shared" si="92"/>
        <v>0</v>
      </c>
      <c r="AF98" s="13">
        <f t="shared" si="93"/>
        <v>0</v>
      </c>
      <c r="AG98" s="685">
        <f t="shared" si="94"/>
        <v>0</v>
      </c>
      <c r="AH98" s="688" t="b">
        <f t="shared" si="95"/>
        <v>1</v>
      </c>
    </row>
    <row r="99" spans="1:34" s="1" customFormat="1" ht="15" customHeight="1">
      <c r="A99" s="946">
        <v>10690001</v>
      </c>
      <c r="B99" s="946" t="s">
        <v>597</v>
      </c>
      <c r="C99" s="946" t="s">
        <v>686</v>
      </c>
      <c r="D99" s="946">
        <v>100000014</v>
      </c>
      <c r="E99" s="946" t="s">
        <v>23</v>
      </c>
      <c r="F99" s="946" t="s">
        <v>26</v>
      </c>
      <c r="G99" s="947">
        <v>-715.23</v>
      </c>
      <c r="H99" s="947">
        <v>-1018.27</v>
      </c>
      <c r="I99" s="948"/>
      <c r="J99" s="948"/>
      <c r="K99" s="948"/>
      <c r="L99" s="29" t="e">
        <f>VLOOKUP(A99,'Account Mapping'!$A$2:$E$216,3,0)</f>
        <v>#N/A</v>
      </c>
      <c r="M99" s="25" t="e">
        <f>VLOOKUP(A99,'Account Mapping'!$A$2:$E$216,4,0)</f>
        <v>#N/A</v>
      </c>
      <c r="N99" s="26" t="e">
        <f>IF(OR(C99='Account Mapping'!$H$4,C99='Account Mapping'!$H$5,C99='Account Mapping'!$H$6),'Account Mapping'!$I$4,VLOOKUP(A99,'Account Mapping'!$A$2:$E$216,5,0))</f>
        <v>#N/A</v>
      </c>
      <c r="O99" s="27" t="e">
        <f>IF(OR(L99="Loan",L99="Deposit_Liability",L99="OFF_Unused Loan Commitment",L99="HQLA"),VLOOKUP(D99,'Customer Type'!$A$3:$C$38,3,0),"")</f>
        <v>#N/A</v>
      </c>
      <c r="P99" s="656" t="e">
        <f t="shared" si="83"/>
        <v>#N/A</v>
      </c>
      <c r="Q99" s="658">
        <f>IF(COUNTIF('Account Mapping'!$H$12:$H$45,A99)&gt;0,-H99,H99)</f>
        <v>1018.27</v>
      </c>
      <c r="R99" s="249" t="e">
        <f>VLOOKUP(P99,Assumptions!$C$2:$D$64,2,0)</f>
        <v>#N/A</v>
      </c>
      <c r="S99" s="692" t="str">
        <f>IFERROR(VLOOKUP(A99,'Maturity Adjustment'!$A$3:$C$81,3,0),(IF(J99&lt;$N$4,"Tomorrow",J99)))</f>
        <v>Tomorrow</v>
      </c>
      <c r="T99" s="24">
        <f t="shared" si="96"/>
        <v>1</v>
      </c>
      <c r="U99" s="196" t="e">
        <f t="shared" si="84"/>
        <v>#N/A</v>
      </c>
      <c r="V99" s="11" t="str">
        <f>IFERROR(VLOOKUP(A99,'Maturity Adjustment'!$A$86:$C$91,3,0),S99)</f>
        <v>Tomorrow</v>
      </c>
      <c r="W99" s="207" t="e">
        <f>VLOOKUP(A99,'Account Mapping'!$A$2:$F$216,6,0)</f>
        <v>#N/A</v>
      </c>
      <c r="X99" s="194">
        <f t="shared" si="85"/>
        <v>1018.27</v>
      </c>
      <c r="Y99" s="194">
        <f t="shared" si="86"/>
        <v>0</v>
      </c>
      <c r="Z99" s="13">
        <f t="shared" si="87"/>
        <v>0</v>
      </c>
      <c r="AA99" s="13">
        <f t="shared" si="88"/>
        <v>0</v>
      </c>
      <c r="AB99" s="13">
        <f t="shared" si="89"/>
        <v>0</v>
      </c>
      <c r="AC99" s="13">
        <f t="shared" si="90"/>
        <v>0</v>
      </c>
      <c r="AD99" s="13">
        <f t="shared" si="91"/>
        <v>0</v>
      </c>
      <c r="AE99" s="13">
        <f t="shared" si="92"/>
        <v>0</v>
      </c>
      <c r="AF99" s="13">
        <f t="shared" si="93"/>
        <v>0</v>
      </c>
      <c r="AG99" s="685">
        <f t="shared" si="94"/>
        <v>0</v>
      </c>
      <c r="AH99" s="688" t="b">
        <f t="shared" si="95"/>
        <v>1</v>
      </c>
    </row>
    <row r="100" spans="1:34" s="1" customFormat="1" ht="15" customHeight="1">
      <c r="A100" s="946">
        <v>10690001</v>
      </c>
      <c r="B100" s="946" t="s">
        <v>597</v>
      </c>
      <c r="C100" s="946" t="s">
        <v>687</v>
      </c>
      <c r="D100" s="946">
        <v>100000014</v>
      </c>
      <c r="E100" s="946" t="s">
        <v>23</v>
      </c>
      <c r="F100" s="946" t="s">
        <v>26</v>
      </c>
      <c r="G100" s="947">
        <v>-3012.73</v>
      </c>
      <c r="H100" s="947">
        <v>-4289.1899999999996</v>
      </c>
      <c r="I100" s="948"/>
      <c r="J100" s="948"/>
      <c r="K100" s="948"/>
      <c r="L100" s="29" t="e">
        <f>VLOOKUP(A100,'Account Mapping'!$A$2:$E$216,3,0)</f>
        <v>#N/A</v>
      </c>
      <c r="M100" s="25" t="e">
        <f>VLOOKUP(A100,'Account Mapping'!$A$2:$E$216,4,0)</f>
        <v>#N/A</v>
      </c>
      <c r="N100" s="26" t="e">
        <f>IF(OR(C100='Account Mapping'!$H$4,C100='Account Mapping'!$H$5,C100='Account Mapping'!$H$6),'Account Mapping'!$I$4,VLOOKUP(A100,'Account Mapping'!$A$2:$E$216,5,0))</f>
        <v>#N/A</v>
      </c>
      <c r="O100" s="27" t="e">
        <f>IF(OR(L100="Loan",L100="Deposit_Liability",L100="OFF_Unused Loan Commitment",L100="HQLA"),VLOOKUP(D100,'Customer Type'!$A$3:$C$38,3,0),"")</f>
        <v>#N/A</v>
      </c>
      <c r="P100" s="656" t="e">
        <f t="shared" si="83"/>
        <v>#N/A</v>
      </c>
      <c r="Q100" s="658">
        <f>IF(COUNTIF('Account Mapping'!$H$12:$H$45,A100)&gt;0,-H100,H100)</f>
        <v>4289.1899999999996</v>
      </c>
      <c r="R100" s="249" t="e">
        <f>VLOOKUP(P100,Assumptions!$C$2:$D$64,2,0)</f>
        <v>#N/A</v>
      </c>
      <c r="S100" s="692" t="str">
        <f>IFERROR(VLOOKUP(A100,'Maturity Adjustment'!$A$3:$C$81,3,0),(IF(J100&lt;$N$4,"Tomorrow",J100)))</f>
        <v>Tomorrow</v>
      </c>
      <c r="T100" s="24">
        <f t="shared" si="96"/>
        <v>1</v>
      </c>
      <c r="U100" s="196" t="e">
        <f t="shared" si="84"/>
        <v>#N/A</v>
      </c>
      <c r="V100" s="11" t="str">
        <f>IFERROR(VLOOKUP(A100,'Maturity Adjustment'!$A$86:$C$91,3,0),S100)</f>
        <v>Tomorrow</v>
      </c>
      <c r="W100" s="207" t="e">
        <f>VLOOKUP(A100,'Account Mapping'!$A$2:$F$216,6,0)</f>
        <v>#N/A</v>
      </c>
      <c r="X100" s="194">
        <f t="shared" si="85"/>
        <v>4289.1899999999996</v>
      </c>
      <c r="Y100" s="194">
        <f t="shared" si="86"/>
        <v>0</v>
      </c>
      <c r="Z100" s="13">
        <f t="shared" si="87"/>
        <v>0</v>
      </c>
      <c r="AA100" s="13">
        <f t="shared" si="88"/>
        <v>0</v>
      </c>
      <c r="AB100" s="13">
        <f t="shared" si="89"/>
        <v>0</v>
      </c>
      <c r="AC100" s="13">
        <f t="shared" si="90"/>
        <v>0</v>
      </c>
      <c r="AD100" s="13">
        <f t="shared" si="91"/>
        <v>0</v>
      </c>
      <c r="AE100" s="13">
        <f t="shared" si="92"/>
        <v>0</v>
      </c>
      <c r="AF100" s="13">
        <f t="shared" si="93"/>
        <v>0</v>
      </c>
      <c r="AG100" s="685">
        <f t="shared" si="94"/>
        <v>0</v>
      </c>
      <c r="AH100" s="688" t="b">
        <f t="shared" si="95"/>
        <v>1</v>
      </c>
    </row>
    <row r="101" spans="1:34" s="1" customFormat="1" ht="15" customHeight="1">
      <c r="A101" s="946">
        <v>10690001</v>
      </c>
      <c r="B101" s="946" t="s">
        <v>597</v>
      </c>
      <c r="C101" s="946" t="s">
        <v>843</v>
      </c>
      <c r="D101" s="946">
        <v>100000014</v>
      </c>
      <c r="E101" s="946" t="s">
        <v>23</v>
      </c>
      <c r="F101" s="946" t="s">
        <v>26</v>
      </c>
      <c r="G101" s="947">
        <v>-10335.540000000001</v>
      </c>
      <c r="H101" s="947">
        <v>-14714.61</v>
      </c>
      <c r="I101" s="948"/>
      <c r="J101" s="948"/>
      <c r="K101" s="948"/>
      <c r="L101" s="29" t="e">
        <f>VLOOKUP(A101,'Account Mapping'!$A$2:$E$216,3,0)</f>
        <v>#N/A</v>
      </c>
      <c r="M101" s="25" t="e">
        <f>VLOOKUP(A101,'Account Mapping'!$A$2:$E$216,4,0)</f>
        <v>#N/A</v>
      </c>
      <c r="N101" s="26" t="e">
        <f>IF(OR(C101='Account Mapping'!$H$4,C101='Account Mapping'!$H$5,C101='Account Mapping'!$H$6),'Account Mapping'!$I$4,VLOOKUP(A101,'Account Mapping'!$A$2:$E$216,5,0))</f>
        <v>#N/A</v>
      </c>
      <c r="O101" s="27" t="e">
        <f>IF(OR(L101="Loan",L101="Deposit_Liability",L101="OFF_Unused Loan Commitment",L101="HQLA"),VLOOKUP(D101,'Customer Type'!$A$3:$C$38,3,0),"")</f>
        <v>#N/A</v>
      </c>
      <c r="P101" s="656" t="e">
        <f t="shared" si="83"/>
        <v>#N/A</v>
      </c>
      <c r="Q101" s="658">
        <f>IF(COUNTIF('Account Mapping'!$H$12:$H$45,A101)&gt;0,-H101,H101)</f>
        <v>14714.61</v>
      </c>
      <c r="R101" s="249" t="e">
        <f>VLOOKUP(P101,Assumptions!$C$2:$D$64,2,0)</f>
        <v>#N/A</v>
      </c>
      <c r="S101" s="692" t="str">
        <f>IFERROR(VLOOKUP(A101,'Maturity Adjustment'!$A$3:$C$81,3,0),(IF(J101&lt;$N$4,"Tomorrow",J101)))</f>
        <v>Tomorrow</v>
      </c>
      <c r="T101" s="24">
        <f t="shared" si="96"/>
        <v>1</v>
      </c>
      <c r="U101" s="196" t="e">
        <f t="shared" si="84"/>
        <v>#N/A</v>
      </c>
      <c r="V101" s="11" t="str">
        <f>IFERROR(VLOOKUP(A101,'Maturity Adjustment'!$A$86:$C$91,3,0),S101)</f>
        <v>Tomorrow</v>
      </c>
      <c r="W101" s="207" t="e">
        <f>VLOOKUP(A101,'Account Mapping'!$A$2:$F$216,6,0)</f>
        <v>#N/A</v>
      </c>
      <c r="X101" s="194">
        <f t="shared" si="85"/>
        <v>14714.61</v>
      </c>
      <c r="Y101" s="194">
        <f t="shared" si="86"/>
        <v>0</v>
      </c>
      <c r="Z101" s="13">
        <f t="shared" si="87"/>
        <v>0</v>
      </c>
      <c r="AA101" s="13">
        <f t="shared" si="88"/>
        <v>0</v>
      </c>
      <c r="AB101" s="13">
        <f t="shared" si="89"/>
        <v>0</v>
      </c>
      <c r="AC101" s="13">
        <f t="shared" si="90"/>
        <v>0</v>
      </c>
      <c r="AD101" s="13">
        <f t="shared" si="91"/>
        <v>0</v>
      </c>
      <c r="AE101" s="13">
        <f t="shared" si="92"/>
        <v>0</v>
      </c>
      <c r="AF101" s="13">
        <f t="shared" si="93"/>
        <v>0</v>
      </c>
      <c r="AG101" s="685">
        <f t="shared" si="94"/>
        <v>0</v>
      </c>
      <c r="AH101" s="688" t="b">
        <f t="shared" si="95"/>
        <v>1</v>
      </c>
    </row>
    <row r="102" spans="1:34" s="1" customFormat="1" ht="15" customHeight="1">
      <c r="A102" s="946">
        <v>10690001</v>
      </c>
      <c r="B102" s="946" t="s">
        <v>597</v>
      </c>
      <c r="C102" s="946" t="s">
        <v>844</v>
      </c>
      <c r="D102" s="946">
        <v>100000014</v>
      </c>
      <c r="E102" s="946" t="s">
        <v>23</v>
      </c>
      <c r="F102" s="946" t="s">
        <v>26</v>
      </c>
      <c r="G102" s="947">
        <v>-665.78</v>
      </c>
      <c r="H102" s="947">
        <v>-947.86</v>
      </c>
      <c r="I102" s="948"/>
      <c r="J102" s="948"/>
      <c r="K102" s="948"/>
      <c r="L102" s="29" t="e">
        <f>VLOOKUP(A102,'Account Mapping'!$A$2:$E$216,3,0)</f>
        <v>#N/A</v>
      </c>
      <c r="M102" s="25" t="e">
        <f>VLOOKUP(A102,'Account Mapping'!$A$2:$E$216,4,0)</f>
        <v>#N/A</v>
      </c>
      <c r="N102" s="26" t="e">
        <f>IF(OR(C102='Account Mapping'!$H$4,C102='Account Mapping'!$H$5,C102='Account Mapping'!$H$6),'Account Mapping'!$I$4,VLOOKUP(A102,'Account Mapping'!$A$2:$E$216,5,0))</f>
        <v>#N/A</v>
      </c>
      <c r="O102" s="27" t="e">
        <f>IF(OR(L102="Loan",L102="Deposit_Liability",L102="OFF_Unused Loan Commitment",L102="HQLA"),VLOOKUP(D102,'Customer Type'!$A$3:$C$38,3,0),"")</f>
        <v>#N/A</v>
      </c>
      <c r="P102" s="656" t="e">
        <f t="shared" si="83"/>
        <v>#N/A</v>
      </c>
      <c r="Q102" s="658">
        <f>IF(COUNTIF('Account Mapping'!$H$12:$H$45,A102)&gt;0,-H102,H102)</f>
        <v>947.86</v>
      </c>
      <c r="R102" s="249" t="e">
        <f>VLOOKUP(P102,Assumptions!$C$2:$D$64,2,0)</f>
        <v>#N/A</v>
      </c>
      <c r="S102" s="692" t="str">
        <f>IFERROR(VLOOKUP(A102,'Maturity Adjustment'!$A$3:$C$81,3,0),(IF(J102&lt;$N$4,"Tomorrow",J102)))</f>
        <v>Tomorrow</v>
      </c>
      <c r="T102" s="24">
        <f>IF(S102="Tomorrow",1,(S102-$N$4))</f>
        <v>1</v>
      </c>
      <c r="U102" s="196" t="e">
        <f t="shared" si="84"/>
        <v>#N/A</v>
      </c>
      <c r="V102" s="11" t="str">
        <f>IFERROR(VLOOKUP(A102,'Maturity Adjustment'!$A$86:$C$91,3,0),S102)</f>
        <v>Tomorrow</v>
      </c>
      <c r="W102" s="207" t="e">
        <f>VLOOKUP(A102,'Account Mapping'!$A$2:$F$216,6,0)</f>
        <v>#N/A</v>
      </c>
      <c r="X102" s="194">
        <f t="shared" si="85"/>
        <v>947.86</v>
      </c>
      <c r="Y102" s="194">
        <f t="shared" si="86"/>
        <v>0</v>
      </c>
      <c r="Z102" s="13">
        <f t="shared" si="87"/>
        <v>0</v>
      </c>
      <c r="AA102" s="13">
        <f t="shared" si="88"/>
        <v>0</v>
      </c>
      <c r="AB102" s="13">
        <f t="shared" si="89"/>
        <v>0</v>
      </c>
      <c r="AC102" s="13">
        <f t="shared" si="90"/>
        <v>0</v>
      </c>
      <c r="AD102" s="13">
        <f t="shared" si="91"/>
        <v>0</v>
      </c>
      <c r="AE102" s="13">
        <f t="shared" si="92"/>
        <v>0</v>
      </c>
      <c r="AF102" s="13">
        <f t="shared" si="93"/>
        <v>0</v>
      </c>
      <c r="AG102" s="685">
        <f t="shared" si="94"/>
        <v>0</v>
      </c>
      <c r="AH102" s="688" t="b">
        <f t="shared" si="95"/>
        <v>1</v>
      </c>
    </row>
    <row r="103" spans="1:34" s="1" customFormat="1" ht="15" customHeight="1">
      <c r="A103" s="946">
        <v>10690001</v>
      </c>
      <c r="B103" s="946" t="s">
        <v>597</v>
      </c>
      <c r="C103" s="946" t="s">
        <v>850</v>
      </c>
      <c r="D103" s="946">
        <v>100000014</v>
      </c>
      <c r="E103" s="946" t="s">
        <v>23</v>
      </c>
      <c r="F103" s="946" t="s">
        <v>26</v>
      </c>
      <c r="G103" s="947">
        <v>-7119.78</v>
      </c>
      <c r="H103" s="947">
        <v>-10136.36</v>
      </c>
      <c r="I103" s="948"/>
      <c r="J103" s="948"/>
      <c r="K103" s="948"/>
      <c r="L103" s="29" t="e">
        <f>VLOOKUP(A103,'Account Mapping'!$A$2:$E$216,3,0)</f>
        <v>#N/A</v>
      </c>
      <c r="M103" s="25" t="e">
        <f>VLOOKUP(A103,'Account Mapping'!$A$2:$E$216,4,0)</f>
        <v>#N/A</v>
      </c>
      <c r="N103" s="26" t="e">
        <f>IF(OR(C103='Account Mapping'!$H$4,C103='Account Mapping'!$H$5,C103='Account Mapping'!$H$6),'Account Mapping'!$I$4,VLOOKUP(A103,'Account Mapping'!$A$2:$E$216,5,0))</f>
        <v>#N/A</v>
      </c>
      <c r="O103" s="27" t="e">
        <f>IF(OR(L103="Loan",L103="Deposit_Liability",L103="OFF_Unused Loan Commitment",L103="HQLA"),VLOOKUP(D103,'Customer Type'!$A$3:$C$38,3,0),"")</f>
        <v>#N/A</v>
      </c>
      <c r="P103" s="656" t="e">
        <f t="shared" si="83"/>
        <v>#N/A</v>
      </c>
      <c r="Q103" s="658">
        <f>IF(COUNTIF('Account Mapping'!$H$12:$H$45,A103)&gt;0,-H103,H103)</f>
        <v>10136.36</v>
      </c>
      <c r="R103" s="249" t="e">
        <f>VLOOKUP(P103,Assumptions!$C$2:$D$64,2,0)</f>
        <v>#N/A</v>
      </c>
      <c r="S103" s="692" t="str">
        <f>IFERROR(VLOOKUP(A103,'Maturity Adjustment'!$A$3:$C$81,3,0),(IF(J103&lt;$N$4,"Tomorrow",J103)))</f>
        <v>Tomorrow</v>
      </c>
      <c r="T103" s="24">
        <f>IF(S103="Tomorrow",1,(S103-$N$4))</f>
        <v>1</v>
      </c>
      <c r="U103" s="196" t="e">
        <f t="shared" si="84"/>
        <v>#N/A</v>
      </c>
      <c r="V103" s="11" t="str">
        <f>IFERROR(VLOOKUP(A103,'Maturity Adjustment'!$A$86:$C$91,3,0),S103)</f>
        <v>Tomorrow</v>
      </c>
      <c r="W103" s="207" t="e">
        <f>VLOOKUP(A103,'Account Mapping'!$A$2:$F$216,6,0)</f>
        <v>#N/A</v>
      </c>
      <c r="X103" s="194">
        <f t="shared" si="85"/>
        <v>10136.36</v>
      </c>
      <c r="Y103" s="194">
        <f t="shared" si="86"/>
        <v>0</v>
      </c>
      <c r="Z103" s="13">
        <f t="shared" si="87"/>
        <v>0</v>
      </c>
      <c r="AA103" s="13">
        <f t="shared" si="88"/>
        <v>0</v>
      </c>
      <c r="AB103" s="13">
        <f t="shared" si="89"/>
        <v>0</v>
      </c>
      <c r="AC103" s="13">
        <f t="shared" si="90"/>
        <v>0</v>
      </c>
      <c r="AD103" s="13">
        <f t="shared" si="91"/>
        <v>0</v>
      </c>
      <c r="AE103" s="13">
        <f t="shared" si="92"/>
        <v>0</v>
      </c>
      <c r="AF103" s="13">
        <f t="shared" si="93"/>
        <v>0</v>
      </c>
      <c r="AG103" s="685">
        <f t="shared" si="94"/>
        <v>0</v>
      </c>
      <c r="AH103" s="688" t="b">
        <f t="shared" si="95"/>
        <v>1</v>
      </c>
    </row>
    <row r="104" spans="1:34" s="1" customFormat="1" ht="15" customHeight="1">
      <c r="A104" s="946">
        <v>10690001</v>
      </c>
      <c r="B104" s="946" t="s">
        <v>597</v>
      </c>
      <c r="C104" s="946" t="s">
        <v>851</v>
      </c>
      <c r="D104" s="946">
        <v>100000014</v>
      </c>
      <c r="E104" s="946" t="s">
        <v>23</v>
      </c>
      <c r="F104" s="946" t="s">
        <v>26</v>
      </c>
      <c r="G104" s="947">
        <v>-775.06</v>
      </c>
      <c r="H104" s="947">
        <v>-1103.45</v>
      </c>
      <c r="I104" s="948"/>
      <c r="J104" s="948"/>
      <c r="K104" s="948"/>
      <c r="L104" s="29" t="e">
        <f>VLOOKUP(A104,'Account Mapping'!$A$2:$E$216,3,0)</f>
        <v>#N/A</v>
      </c>
      <c r="M104" s="25" t="e">
        <f>VLOOKUP(A104,'Account Mapping'!$A$2:$E$216,4,0)</f>
        <v>#N/A</v>
      </c>
      <c r="N104" s="26" t="e">
        <f>IF(OR(C104='Account Mapping'!$H$4,C104='Account Mapping'!$H$5,C104='Account Mapping'!$H$6),'Account Mapping'!$I$4,VLOOKUP(A104,'Account Mapping'!$A$2:$E$216,5,0))</f>
        <v>#N/A</v>
      </c>
      <c r="O104" s="27" t="e">
        <f>IF(OR(L104="Loan",L104="Deposit_Liability",L104="OFF_Unused Loan Commitment",L104="HQLA"),VLOOKUP(D104,'Customer Type'!$A$3:$C$38,3,0),"")</f>
        <v>#N/A</v>
      </c>
      <c r="P104" s="656" t="e">
        <f t="shared" si="83"/>
        <v>#N/A</v>
      </c>
      <c r="Q104" s="658">
        <f>IF(COUNTIF('Account Mapping'!$H$12:$H$45,A104)&gt;0,-H104,H104)</f>
        <v>1103.45</v>
      </c>
      <c r="R104" s="249" t="e">
        <f>VLOOKUP(P104,Assumptions!$C$2:$D$64,2,0)</f>
        <v>#N/A</v>
      </c>
      <c r="S104" s="692" t="str">
        <f>IFERROR(VLOOKUP(A104,'Maturity Adjustment'!$A$3:$C$81,3,0),(IF(J104&lt;$N$4,"Tomorrow",J104)))</f>
        <v>Tomorrow</v>
      </c>
      <c r="T104" s="24">
        <f>IF(S104="Tomorrow",1,(S104-$N$4))</f>
        <v>1</v>
      </c>
      <c r="U104" s="196" t="e">
        <f t="shared" si="84"/>
        <v>#N/A</v>
      </c>
      <c r="V104" s="11" t="str">
        <f>IFERROR(VLOOKUP(A104,'Maturity Adjustment'!$A$86:$C$91,3,0),S104)</f>
        <v>Tomorrow</v>
      </c>
      <c r="W104" s="207" t="e">
        <f>VLOOKUP(A104,'Account Mapping'!$A$2:$F$216,6,0)</f>
        <v>#N/A</v>
      </c>
      <c r="X104" s="194">
        <f t="shared" si="85"/>
        <v>1103.45</v>
      </c>
      <c r="Y104" s="194">
        <f t="shared" si="86"/>
        <v>0</v>
      </c>
      <c r="Z104" s="13">
        <f t="shared" si="87"/>
        <v>0</v>
      </c>
      <c r="AA104" s="13">
        <f t="shared" si="88"/>
        <v>0</v>
      </c>
      <c r="AB104" s="13">
        <f t="shared" si="89"/>
        <v>0</v>
      </c>
      <c r="AC104" s="13">
        <f t="shared" si="90"/>
        <v>0</v>
      </c>
      <c r="AD104" s="13">
        <f t="shared" si="91"/>
        <v>0</v>
      </c>
      <c r="AE104" s="13">
        <f t="shared" si="92"/>
        <v>0</v>
      </c>
      <c r="AF104" s="13">
        <f t="shared" si="93"/>
        <v>0</v>
      </c>
      <c r="AG104" s="685">
        <f t="shared" si="94"/>
        <v>0</v>
      </c>
      <c r="AH104" s="688" t="b">
        <f t="shared" si="95"/>
        <v>1</v>
      </c>
    </row>
    <row r="105" spans="1:34" s="1" customFormat="1" ht="15" customHeight="1">
      <c r="A105" s="946">
        <v>10690001</v>
      </c>
      <c r="B105" s="946" t="s">
        <v>597</v>
      </c>
      <c r="C105" s="946" t="s">
        <v>860</v>
      </c>
      <c r="D105" s="946">
        <v>100000020</v>
      </c>
      <c r="E105" s="946" t="s">
        <v>857</v>
      </c>
      <c r="F105" s="946" t="s">
        <v>11</v>
      </c>
      <c r="G105" s="947">
        <v>-17200.8</v>
      </c>
      <c r="H105" s="947">
        <v>-17200.8</v>
      </c>
      <c r="I105" s="948"/>
      <c r="J105" s="948"/>
      <c r="K105" s="948"/>
      <c r="L105" s="29" t="e">
        <f>VLOOKUP(A105,'Account Mapping'!$A$2:$E$216,3,0)</f>
        <v>#N/A</v>
      </c>
      <c r="M105" s="25" t="e">
        <f>VLOOKUP(A105,'Account Mapping'!$A$2:$E$216,4,0)</f>
        <v>#N/A</v>
      </c>
      <c r="N105" s="26" t="e">
        <f>IF(OR(C105='Account Mapping'!$H$4,C105='Account Mapping'!$H$5,C105='Account Mapping'!$H$6),'Account Mapping'!$I$4,VLOOKUP(A105,'Account Mapping'!$A$2:$E$216,5,0))</f>
        <v>#N/A</v>
      </c>
      <c r="O105" s="27" t="e">
        <f>IF(OR(L105="Loan",L105="Deposit_Liability",L105="OFF_Unused Loan Commitment",L105="HQLA"),VLOOKUP(D105,'Customer Type'!$A$3:$C$38,3,0),"")</f>
        <v>#N/A</v>
      </c>
      <c r="P105" s="656" t="e">
        <f t="shared" si="83"/>
        <v>#N/A</v>
      </c>
      <c r="Q105" s="658">
        <f>IF(COUNTIF('Account Mapping'!$H$12:$H$45,A105)&gt;0,-H105,H105)</f>
        <v>17200.8</v>
      </c>
      <c r="R105" s="249" t="e">
        <f>VLOOKUP(P105,Assumptions!$C$2:$D$64,2,0)</f>
        <v>#N/A</v>
      </c>
      <c r="S105" s="692" t="str">
        <f>IFERROR(VLOOKUP(A105,'Maturity Adjustment'!$A$3:$C$81,3,0),(IF(J105&lt;$N$4,"Tomorrow",J105)))</f>
        <v>Tomorrow</v>
      </c>
      <c r="T105" s="24">
        <f>IF(S105="Tomorrow",1,(S105-$N$4))</f>
        <v>1</v>
      </c>
      <c r="U105" s="196" t="e">
        <f t="shared" si="84"/>
        <v>#N/A</v>
      </c>
      <c r="V105" s="11" t="str">
        <f>IFERROR(VLOOKUP(A105,'Maturity Adjustment'!$A$86:$C$91,3,0),S105)</f>
        <v>Tomorrow</v>
      </c>
      <c r="W105" s="207" t="e">
        <f>VLOOKUP(A105,'Account Mapping'!$A$2:$F$216,6,0)</f>
        <v>#N/A</v>
      </c>
      <c r="X105" s="194">
        <f t="shared" si="85"/>
        <v>17200.8</v>
      </c>
      <c r="Y105" s="194">
        <f t="shared" si="86"/>
        <v>0</v>
      </c>
      <c r="Z105" s="13">
        <f t="shared" si="87"/>
        <v>0</v>
      </c>
      <c r="AA105" s="13">
        <f t="shared" si="88"/>
        <v>0</v>
      </c>
      <c r="AB105" s="13">
        <f t="shared" si="89"/>
        <v>0</v>
      </c>
      <c r="AC105" s="13">
        <f t="shared" si="90"/>
        <v>0</v>
      </c>
      <c r="AD105" s="13">
        <f t="shared" si="91"/>
        <v>0</v>
      </c>
      <c r="AE105" s="13">
        <f t="shared" si="92"/>
        <v>0</v>
      </c>
      <c r="AF105" s="13">
        <f t="shared" si="93"/>
        <v>0</v>
      </c>
      <c r="AG105" s="685">
        <f t="shared" si="94"/>
        <v>0</v>
      </c>
      <c r="AH105" s="688" t="b">
        <f t="shared" si="95"/>
        <v>1</v>
      </c>
    </row>
    <row r="106" spans="1:34" s="1" customFormat="1" ht="15" customHeight="1">
      <c r="A106" s="946">
        <v>10690001</v>
      </c>
      <c r="B106" s="946" t="s">
        <v>597</v>
      </c>
      <c r="C106" s="946" t="s">
        <v>861</v>
      </c>
      <c r="D106" s="946">
        <v>100000014</v>
      </c>
      <c r="E106" s="946" t="s">
        <v>23</v>
      </c>
      <c r="F106" s="946" t="s">
        <v>26</v>
      </c>
      <c r="G106" s="947">
        <v>-852.63</v>
      </c>
      <c r="H106" s="947">
        <v>-1213.8800000000001</v>
      </c>
      <c r="I106" s="948"/>
      <c r="J106" s="948"/>
      <c r="K106" s="948"/>
      <c r="L106" s="29" t="e">
        <f>VLOOKUP(A106,'Account Mapping'!$A$2:$E$216,3,0)</f>
        <v>#N/A</v>
      </c>
      <c r="M106" s="25" t="e">
        <f>VLOOKUP(A106,'Account Mapping'!$A$2:$E$216,4,0)</f>
        <v>#N/A</v>
      </c>
      <c r="N106" s="26" t="e">
        <f>IF(OR(C106='Account Mapping'!$H$4,C106='Account Mapping'!$H$5,C106='Account Mapping'!$H$6),'Account Mapping'!$I$4,VLOOKUP(A106,'Account Mapping'!$A$2:$E$216,5,0))</f>
        <v>#N/A</v>
      </c>
      <c r="O106" s="27" t="e">
        <f>IF(OR(L106="Loan",L106="Deposit_Liability",L106="OFF_Unused Loan Commitment",L106="HQLA"),VLOOKUP(D106,'Customer Type'!$A$3:$C$38,3,0),"")</f>
        <v>#N/A</v>
      </c>
      <c r="P106" s="656" t="e">
        <f t="shared" si="83"/>
        <v>#N/A</v>
      </c>
      <c r="Q106" s="658">
        <f>IF(COUNTIF('Account Mapping'!$H$12:$H$45,A106)&gt;0,-H106,H106)</f>
        <v>1213.8800000000001</v>
      </c>
      <c r="R106" s="249" t="e">
        <f>VLOOKUP(P106,Assumptions!$C$2:$D$64,2,0)</f>
        <v>#N/A</v>
      </c>
      <c r="S106" s="692" t="str">
        <f>IFERROR(VLOOKUP(A106,'Maturity Adjustment'!$A$3:$C$81,3,0),(IF(J106&lt;$N$4,"Tomorrow",J106)))</f>
        <v>Tomorrow</v>
      </c>
      <c r="T106" s="24">
        <f t="shared" si="96"/>
        <v>1</v>
      </c>
      <c r="U106" s="196" t="e">
        <f t="shared" si="84"/>
        <v>#N/A</v>
      </c>
      <c r="V106" s="11" t="str">
        <f>IFERROR(VLOOKUP(A106,'Maturity Adjustment'!$A$86:$C$91,3,0),S106)</f>
        <v>Tomorrow</v>
      </c>
      <c r="W106" s="207" t="e">
        <f>VLOOKUP(A106,'Account Mapping'!$A$2:$F$216,6,0)</f>
        <v>#N/A</v>
      </c>
      <c r="X106" s="194">
        <f t="shared" si="85"/>
        <v>1213.8800000000001</v>
      </c>
      <c r="Y106" s="194">
        <f t="shared" si="86"/>
        <v>0</v>
      </c>
      <c r="Z106" s="13">
        <f t="shared" si="87"/>
        <v>0</v>
      </c>
      <c r="AA106" s="13">
        <f t="shared" si="88"/>
        <v>0</v>
      </c>
      <c r="AB106" s="13">
        <f t="shared" si="89"/>
        <v>0</v>
      </c>
      <c r="AC106" s="13">
        <f t="shared" si="90"/>
        <v>0</v>
      </c>
      <c r="AD106" s="13">
        <f t="shared" si="91"/>
        <v>0</v>
      </c>
      <c r="AE106" s="13">
        <f t="shared" si="92"/>
        <v>0</v>
      </c>
      <c r="AF106" s="13">
        <f t="shared" si="93"/>
        <v>0</v>
      </c>
      <c r="AG106" s="685">
        <f t="shared" si="94"/>
        <v>0</v>
      </c>
      <c r="AH106" s="688" t="b">
        <f t="shared" si="95"/>
        <v>1</v>
      </c>
    </row>
    <row r="107" spans="1:34" s="1" customFormat="1" ht="15" customHeight="1">
      <c r="A107" s="946">
        <v>10690001</v>
      </c>
      <c r="B107" s="946" t="s">
        <v>597</v>
      </c>
      <c r="C107" s="946" t="s">
        <v>862</v>
      </c>
      <c r="D107" s="946">
        <v>100000014</v>
      </c>
      <c r="E107" s="946" t="s">
        <v>23</v>
      </c>
      <c r="F107" s="946" t="s">
        <v>26</v>
      </c>
      <c r="G107" s="947">
        <v>-1500.89</v>
      </c>
      <c r="H107" s="947">
        <v>-2136.8000000000002</v>
      </c>
      <c r="I107" s="948"/>
      <c r="J107" s="948"/>
      <c r="K107" s="948"/>
      <c r="L107" s="29" t="e">
        <f>VLOOKUP(A107,'Account Mapping'!$A$2:$E$216,3,0)</f>
        <v>#N/A</v>
      </c>
      <c r="M107" s="25" t="e">
        <f>VLOOKUP(A107,'Account Mapping'!$A$2:$E$216,4,0)</f>
        <v>#N/A</v>
      </c>
      <c r="N107" s="26" t="e">
        <f>IF(OR(C107='Account Mapping'!$H$4,C107='Account Mapping'!$H$5,C107='Account Mapping'!$H$6),'Account Mapping'!$I$4,VLOOKUP(A107,'Account Mapping'!$A$2:$E$216,5,0))</f>
        <v>#N/A</v>
      </c>
      <c r="O107" s="27" t="e">
        <f>IF(OR(L107="Loan",L107="Deposit_Liability",L107="OFF_Unused Loan Commitment",L107="HQLA"),VLOOKUP(D107,'Customer Type'!$A$3:$C$38,3,0),"")</f>
        <v>#N/A</v>
      </c>
      <c r="P107" s="656" t="e">
        <f t="shared" si="83"/>
        <v>#N/A</v>
      </c>
      <c r="Q107" s="658">
        <f>IF(COUNTIF('Account Mapping'!$H$12:$H$45,A107)&gt;0,-H107,H107)</f>
        <v>2136.8000000000002</v>
      </c>
      <c r="R107" s="249" t="e">
        <f>VLOOKUP(P107,Assumptions!$C$2:$D$64,2,0)</f>
        <v>#N/A</v>
      </c>
      <c r="S107" s="692" t="str">
        <f>IFERROR(VLOOKUP(A107,'Maturity Adjustment'!$A$3:$C$81,3,0),(IF(J107&lt;$N$4,"Tomorrow",J107)))</f>
        <v>Tomorrow</v>
      </c>
      <c r="T107" s="24">
        <f t="shared" si="96"/>
        <v>1</v>
      </c>
      <c r="U107" s="196" t="e">
        <f t="shared" si="84"/>
        <v>#N/A</v>
      </c>
      <c r="V107" s="11" t="str">
        <f>IFERROR(VLOOKUP(A107,'Maturity Adjustment'!$A$86:$C$91,3,0),S107)</f>
        <v>Tomorrow</v>
      </c>
      <c r="W107" s="207" t="e">
        <f>VLOOKUP(A107,'Account Mapping'!$A$2:$F$216,6,0)</f>
        <v>#N/A</v>
      </c>
      <c r="X107" s="194">
        <f t="shared" si="85"/>
        <v>2136.8000000000002</v>
      </c>
      <c r="Y107" s="194">
        <f t="shared" si="86"/>
        <v>0</v>
      </c>
      <c r="Z107" s="13">
        <f t="shared" si="87"/>
        <v>0</v>
      </c>
      <c r="AA107" s="13">
        <f t="shared" si="88"/>
        <v>0</v>
      </c>
      <c r="AB107" s="13">
        <f t="shared" si="89"/>
        <v>0</v>
      </c>
      <c r="AC107" s="13">
        <f t="shared" si="90"/>
        <v>0</v>
      </c>
      <c r="AD107" s="13">
        <f t="shared" si="91"/>
        <v>0</v>
      </c>
      <c r="AE107" s="13">
        <f t="shared" si="92"/>
        <v>0</v>
      </c>
      <c r="AF107" s="13">
        <f t="shared" si="93"/>
        <v>0</v>
      </c>
      <c r="AG107" s="685">
        <f t="shared" si="94"/>
        <v>0</v>
      </c>
      <c r="AH107" s="688" t="b">
        <f t="shared" si="95"/>
        <v>1</v>
      </c>
    </row>
    <row r="108" spans="1:34" s="1" customFormat="1" ht="15" customHeight="1">
      <c r="A108" s="946">
        <v>10690001</v>
      </c>
      <c r="B108" s="946" t="s">
        <v>597</v>
      </c>
      <c r="C108" s="946" t="s">
        <v>865</v>
      </c>
      <c r="D108" s="946">
        <v>100000014</v>
      </c>
      <c r="E108" s="946" t="s">
        <v>23</v>
      </c>
      <c r="F108" s="946" t="s">
        <v>26</v>
      </c>
      <c r="G108" s="947">
        <v>-6221.03</v>
      </c>
      <c r="H108" s="947">
        <v>-8856.82</v>
      </c>
      <c r="I108" s="948"/>
      <c r="J108" s="948"/>
      <c r="K108" s="948"/>
      <c r="L108" s="29" t="e">
        <f>VLOOKUP(A108,'Account Mapping'!$A$2:$E$216,3,0)</f>
        <v>#N/A</v>
      </c>
      <c r="M108" s="25" t="e">
        <f>VLOOKUP(A108,'Account Mapping'!$A$2:$E$216,4,0)</f>
        <v>#N/A</v>
      </c>
      <c r="N108" s="26" t="e">
        <f>IF(OR(C108='Account Mapping'!$H$4,C108='Account Mapping'!$H$5,C108='Account Mapping'!$H$6),'Account Mapping'!$I$4,VLOOKUP(A108,'Account Mapping'!$A$2:$E$216,5,0))</f>
        <v>#N/A</v>
      </c>
      <c r="O108" s="27" t="e">
        <f>IF(OR(L108="Loan",L108="Deposit_Liability",L108="OFF_Unused Loan Commitment",L108="HQLA"),VLOOKUP(D108,'Customer Type'!$A$3:$C$38,3,0),"")</f>
        <v>#N/A</v>
      </c>
      <c r="P108" s="656" t="e">
        <f t="shared" si="83"/>
        <v>#N/A</v>
      </c>
      <c r="Q108" s="658">
        <f>IF(COUNTIF('Account Mapping'!$H$12:$H$45,A108)&gt;0,-H108,H108)</f>
        <v>8856.82</v>
      </c>
      <c r="R108" s="249" t="e">
        <f>VLOOKUP(P108,Assumptions!$C$2:$D$64,2,0)</f>
        <v>#N/A</v>
      </c>
      <c r="S108" s="692" t="str">
        <f>IFERROR(VLOOKUP(A108,'Maturity Adjustment'!$A$3:$C$81,3,0),(IF(J108&lt;$N$4,"Tomorrow",J108)))</f>
        <v>Tomorrow</v>
      </c>
      <c r="T108" s="24">
        <f t="shared" si="96"/>
        <v>1</v>
      </c>
      <c r="U108" s="196" t="e">
        <f t="shared" si="84"/>
        <v>#N/A</v>
      </c>
      <c r="V108" s="11" t="str">
        <f>IFERROR(VLOOKUP(A108,'Maturity Adjustment'!$A$86:$C$91,3,0),S108)</f>
        <v>Tomorrow</v>
      </c>
      <c r="W108" s="207" t="e">
        <f>VLOOKUP(A108,'Account Mapping'!$A$2:$F$216,6,0)</f>
        <v>#N/A</v>
      </c>
      <c r="X108" s="194">
        <f t="shared" si="85"/>
        <v>8856.82</v>
      </c>
      <c r="Y108" s="194">
        <f t="shared" si="86"/>
        <v>0</v>
      </c>
      <c r="Z108" s="13">
        <f t="shared" si="87"/>
        <v>0</v>
      </c>
      <c r="AA108" s="13">
        <f t="shared" si="88"/>
        <v>0</v>
      </c>
      <c r="AB108" s="13">
        <f t="shared" si="89"/>
        <v>0</v>
      </c>
      <c r="AC108" s="13">
        <f t="shared" si="90"/>
        <v>0</v>
      </c>
      <c r="AD108" s="13">
        <f t="shared" si="91"/>
        <v>0</v>
      </c>
      <c r="AE108" s="13">
        <f t="shared" si="92"/>
        <v>0</v>
      </c>
      <c r="AF108" s="13">
        <f t="shared" si="93"/>
        <v>0</v>
      </c>
      <c r="AG108" s="685">
        <f t="shared" si="94"/>
        <v>0</v>
      </c>
      <c r="AH108" s="688" t="b">
        <f t="shared" si="95"/>
        <v>1</v>
      </c>
    </row>
    <row r="109" spans="1:34" s="1" customFormat="1" ht="15" customHeight="1">
      <c r="A109" s="946">
        <v>10690001</v>
      </c>
      <c r="B109" s="946" t="s">
        <v>597</v>
      </c>
      <c r="C109" s="946" t="s">
        <v>866</v>
      </c>
      <c r="D109" s="946">
        <v>100000014</v>
      </c>
      <c r="E109" s="946" t="s">
        <v>23</v>
      </c>
      <c r="F109" s="946" t="s">
        <v>26</v>
      </c>
      <c r="G109" s="947">
        <v>-844.75</v>
      </c>
      <c r="H109" s="947">
        <v>-1202.6600000000001</v>
      </c>
      <c r="I109" s="948"/>
      <c r="J109" s="948"/>
      <c r="K109" s="948"/>
      <c r="L109" s="29" t="e">
        <f>VLOOKUP(A109,'Account Mapping'!$A$2:$E$216,3,0)</f>
        <v>#N/A</v>
      </c>
      <c r="M109" s="25" t="e">
        <f>VLOOKUP(A109,'Account Mapping'!$A$2:$E$216,4,0)</f>
        <v>#N/A</v>
      </c>
      <c r="N109" s="26" t="e">
        <f>IF(OR(C109='Account Mapping'!$H$4,C109='Account Mapping'!$H$5,C109='Account Mapping'!$H$6),'Account Mapping'!$I$4,VLOOKUP(A109,'Account Mapping'!$A$2:$E$216,5,0))</f>
        <v>#N/A</v>
      </c>
      <c r="O109" s="27" t="e">
        <f>IF(OR(L109="Loan",L109="Deposit_Liability",L109="OFF_Unused Loan Commitment",L109="HQLA"),VLOOKUP(D109,'Customer Type'!$A$3:$C$38,3,0),"")</f>
        <v>#N/A</v>
      </c>
      <c r="P109" s="656" t="e">
        <f t="shared" si="83"/>
        <v>#N/A</v>
      </c>
      <c r="Q109" s="658">
        <f>IF(COUNTIF('Account Mapping'!$H$12:$H$45,A109)&gt;0,-H109,H109)</f>
        <v>1202.6600000000001</v>
      </c>
      <c r="R109" s="249" t="e">
        <f>VLOOKUP(P109,Assumptions!$C$2:$D$64,2,0)</f>
        <v>#N/A</v>
      </c>
      <c r="S109" s="692" t="str">
        <f>IFERROR(VLOOKUP(A109,'Maturity Adjustment'!$A$3:$C$81,3,0),(IF(J109&lt;$N$4,"Tomorrow",J109)))</f>
        <v>Tomorrow</v>
      </c>
      <c r="T109" s="24">
        <f t="shared" si="96"/>
        <v>1</v>
      </c>
      <c r="U109" s="196" t="e">
        <f t="shared" si="84"/>
        <v>#N/A</v>
      </c>
      <c r="V109" s="11" t="str">
        <f>IFERROR(VLOOKUP(A109,'Maturity Adjustment'!$A$86:$C$91,3,0),S109)</f>
        <v>Tomorrow</v>
      </c>
      <c r="W109" s="207" t="e">
        <f>VLOOKUP(A109,'Account Mapping'!$A$2:$F$216,6,0)</f>
        <v>#N/A</v>
      </c>
      <c r="X109" s="194">
        <f t="shared" si="85"/>
        <v>1202.6600000000001</v>
      </c>
      <c r="Y109" s="194">
        <f t="shared" si="86"/>
        <v>0</v>
      </c>
      <c r="Z109" s="13">
        <f t="shared" si="87"/>
        <v>0</v>
      </c>
      <c r="AA109" s="13">
        <f t="shared" si="88"/>
        <v>0</v>
      </c>
      <c r="AB109" s="13">
        <f t="shared" si="89"/>
        <v>0</v>
      </c>
      <c r="AC109" s="13">
        <f t="shared" si="90"/>
        <v>0</v>
      </c>
      <c r="AD109" s="13">
        <f t="shared" si="91"/>
        <v>0</v>
      </c>
      <c r="AE109" s="13">
        <f t="shared" si="92"/>
        <v>0</v>
      </c>
      <c r="AF109" s="13">
        <f t="shared" si="93"/>
        <v>0</v>
      </c>
      <c r="AG109" s="685">
        <f t="shared" si="94"/>
        <v>0</v>
      </c>
      <c r="AH109" s="688" t="b">
        <f t="shared" si="95"/>
        <v>1</v>
      </c>
    </row>
    <row r="110" spans="1:34" s="1" customFormat="1" ht="15" customHeight="1">
      <c r="A110" s="946">
        <v>10690001</v>
      </c>
      <c r="B110" s="946" t="s">
        <v>597</v>
      </c>
      <c r="C110" s="946" t="s">
        <v>875</v>
      </c>
      <c r="D110" s="946">
        <v>100000014</v>
      </c>
      <c r="E110" s="946" t="s">
        <v>23</v>
      </c>
      <c r="F110" s="946" t="s">
        <v>26</v>
      </c>
      <c r="G110" s="947">
        <v>-10719.5</v>
      </c>
      <c r="H110" s="947">
        <v>-15261.25</v>
      </c>
      <c r="I110" s="948"/>
      <c r="J110" s="948"/>
      <c r="K110" s="948"/>
      <c r="L110" s="29" t="e">
        <f>VLOOKUP(A110,'Account Mapping'!$A$2:$E$216,3,0)</f>
        <v>#N/A</v>
      </c>
      <c r="M110" s="25" t="e">
        <f>VLOOKUP(A110,'Account Mapping'!$A$2:$E$216,4,0)</f>
        <v>#N/A</v>
      </c>
      <c r="N110" s="26" t="e">
        <f>IF(OR(C110='Account Mapping'!$H$4,C110='Account Mapping'!$H$5,C110='Account Mapping'!$H$6),'Account Mapping'!$I$4,VLOOKUP(A110,'Account Mapping'!$A$2:$E$216,5,0))</f>
        <v>#N/A</v>
      </c>
      <c r="O110" s="27" t="e">
        <f>IF(OR(L110="Loan",L110="Deposit_Liability",L110="OFF_Unused Loan Commitment",L110="HQLA"),VLOOKUP(D110,'Customer Type'!$A$3:$C$38,3,0),"")</f>
        <v>#N/A</v>
      </c>
      <c r="P110" s="656" t="e">
        <f t="shared" si="83"/>
        <v>#N/A</v>
      </c>
      <c r="Q110" s="658">
        <f>IF(COUNTIF('Account Mapping'!$H$12:$H$45,A110)&gt;0,-H110,H110)</f>
        <v>15261.25</v>
      </c>
      <c r="R110" s="249" t="e">
        <f>VLOOKUP(P110,Assumptions!$C$2:$D$64,2,0)</f>
        <v>#N/A</v>
      </c>
      <c r="S110" s="692" t="str">
        <f>IFERROR(VLOOKUP(A110,'Maturity Adjustment'!$A$3:$C$81,3,0),(IF(J110&lt;$N$4,"Tomorrow",J110)))</f>
        <v>Tomorrow</v>
      </c>
      <c r="T110" s="24">
        <f t="shared" ref="T110:T171" si="97">IF(S110="Tomorrow",1,(S110-$N$4))</f>
        <v>1</v>
      </c>
      <c r="U110" s="196" t="e">
        <f t="shared" si="84"/>
        <v>#N/A</v>
      </c>
      <c r="V110" s="11" t="str">
        <f>IFERROR(VLOOKUP(A110,'Maturity Adjustment'!$A$86:$C$91,3,0),S110)</f>
        <v>Tomorrow</v>
      </c>
      <c r="W110" s="207" t="e">
        <f>VLOOKUP(A110,'Account Mapping'!$A$2:$F$216,6,0)</f>
        <v>#N/A</v>
      </c>
      <c r="X110" s="194">
        <f t="shared" si="85"/>
        <v>15261.25</v>
      </c>
      <c r="Y110" s="194">
        <f t="shared" si="86"/>
        <v>0</v>
      </c>
      <c r="Z110" s="13">
        <f t="shared" si="87"/>
        <v>0</v>
      </c>
      <c r="AA110" s="13">
        <f t="shared" si="88"/>
        <v>0</v>
      </c>
      <c r="AB110" s="13">
        <f t="shared" si="89"/>
        <v>0</v>
      </c>
      <c r="AC110" s="13">
        <f t="shared" si="90"/>
        <v>0</v>
      </c>
      <c r="AD110" s="13">
        <f t="shared" si="91"/>
        <v>0</v>
      </c>
      <c r="AE110" s="13">
        <f t="shared" si="92"/>
        <v>0</v>
      </c>
      <c r="AF110" s="13">
        <f t="shared" si="93"/>
        <v>0</v>
      </c>
      <c r="AG110" s="685">
        <f t="shared" si="94"/>
        <v>0</v>
      </c>
      <c r="AH110" s="688" t="b">
        <f t="shared" si="95"/>
        <v>1</v>
      </c>
    </row>
    <row r="111" spans="1:34" s="1" customFormat="1" ht="15" customHeight="1">
      <c r="A111" s="946">
        <v>10690001</v>
      </c>
      <c r="B111" s="946" t="s">
        <v>597</v>
      </c>
      <c r="C111" s="946" t="s">
        <v>876</v>
      </c>
      <c r="D111" s="946">
        <v>100000014</v>
      </c>
      <c r="E111" s="946" t="s">
        <v>23</v>
      </c>
      <c r="F111" s="946" t="s">
        <v>26</v>
      </c>
      <c r="G111" s="947">
        <v>-856.67</v>
      </c>
      <c r="H111" s="947">
        <v>-1219.6300000000001</v>
      </c>
      <c r="I111" s="948"/>
      <c r="J111" s="948"/>
      <c r="K111" s="948"/>
      <c r="L111" s="29" t="e">
        <f>VLOOKUP(A111,'Account Mapping'!$A$2:$E$216,3,0)</f>
        <v>#N/A</v>
      </c>
      <c r="M111" s="25" t="e">
        <f>VLOOKUP(A111,'Account Mapping'!$A$2:$E$216,4,0)</f>
        <v>#N/A</v>
      </c>
      <c r="N111" s="26" t="e">
        <f>IF(OR(C111='Account Mapping'!$H$4,C111='Account Mapping'!$H$5,C111='Account Mapping'!$H$6),'Account Mapping'!$I$4,VLOOKUP(A111,'Account Mapping'!$A$2:$E$216,5,0))</f>
        <v>#N/A</v>
      </c>
      <c r="O111" s="27" t="e">
        <f>IF(OR(L111="Loan",L111="Deposit_Liability",L111="OFF_Unused Loan Commitment",L111="HQLA"),VLOOKUP(D111,'Customer Type'!$A$3:$C$38,3,0),"")</f>
        <v>#N/A</v>
      </c>
      <c r="P111" s="656" t="e">
        <f t="shared" si="83"/>
        <v>#N/A</v>
      </c>
      <c r="Q111" s="658">
        <f>IF(COUNTIF('Account Mapping'!$H$12:$H$45,A111)&gt;0,-H111,H111)</f>
        <v>1219.6300000000001</v>
      </c>
      <c r="R111" s="249" t="e">
        <f>VLOOKUP(P111,Assumptions!$C$2:$D$64,2,0)</f>
        <v>#N/A</v>
      </c>
      <c r="S111" s="692" t="str">
        <f>IFERROR(VLOOKUP(A111,'Maturity Adjustment'!$A$3:$C$81,3,0),(IF(J111&lt;$N$4,"Tomorrow",J111)))</f>
        <v>Tomorrow</v>
      </c>
      <c r="T111" s="24">
        <f t="shared" si="97"/>
        <v>1</v>
      </c>
      <c r="U111" s="196" t="e">
        <f t="shared" si="84"/>
        <v>#N/A</v>
      </c>
      <c r="V111" s="11" t="str">
        <f>IFERROR(VLOOKUP(A111,'Maturity Adjustment'!$A$86:$C$91,3,0),S111)</f>
        <v>Tomorrow</v>
      </c>
      <c r="W111" s="207" t="e">
        <f>VLOOKUP(A111,'Account Mapping'!$A$2:$F$216,6,0)</f>
        <v>#N/A</v>
      </c>
      <c r="X111" s="194">
        <f t="shared" si="85"/>
        <v>1219.6300000000001</v>
      </c>
      <c r="Y111" s="194">
        <f t="shared" si="86"/>
        <v>0</v>
      </c>
      <c r="Z111" s="13">
        <f t="shared" si="87"/>
        <v>0</v>
      </c>
      <c r="AA111" s="13">
        <f t="shared" si="88"/>
        <v>0</v>
      </c>
      <c r="AB111" s="13">
        <f t="shared" si="89"/>
        <v>0</v>
      </c>
      <c r="AC111" s="13">
        <f t="shared" si="90"/>
        <v>0</v>
      </c>
      <c r="AD111" s="13">
        <f t="shared" si="91"/>
        <v>0</v>
      </c>
      <c r="AE111" s="13">
        <f t="shared" si="92"/>
        <v>0</v>
      </c>
      <c r="AF111" s="13">
        <f t="shared" si="93"/>
        <v>0</v>
      </c>
      <c r="AG111" s="685">
        <f t="shared" si="94"/>
        <v>0</v>
      </c>
      <c r="AH111" s="688" t="b">
        <f t="shared" si="95"/>
        <v>1</v>
      </c>
    </row>
    <row r="112" spans="1:34" s="1" customFormat="1" ht="15" customHeight="1">
      <c r="A112" s="946">
        <v>10690001</v>
      </c>
      <c r="B112" s="946" t="s">
        <v>597</v>
      </c>
      <c r="C112" s="946" t="s">
        <v>1211</v>
      </c>
      <c r="D112" s="946">
        <v>100000014</v>
      </c>
      <c r="E112" s="946" t="s">
        <v>23</v>
      </c>
      <c r="F112" s="946" t="s">
        <v>26</v>
      </c>
      <c r="G112" s="947">
        <v>-914.6</v>
      </c>
      <c r="H112" s="947">
        <v>-1302.1099999999999</v>
      </c>
      <c r="I112" s="948"/>
      <c r="J112" s="948"/>
      <c r="K112" s="948"/>
      <c r="L112" s="29" t="e">
        <f>VLOOKUP(A112,'Account Mapping'!$A$2:$E$216,3,0)</f>
        <v>#N/A</v>
      </c>
      <c r="M112" s="25" t="e">
        <f>VLOOKUP(A112,'Account Mapping'!$A$2:$E$216,4,0)</f>
        <v>#N/A</v>
      </c>
      <c r="N112" s="26" t="e">
        <f>IF(OR(C112='Account Mapping'!$H$4,C112='Account Mapping'!$H$5,C112='Account Mapping'!$H$6),'Account Mapping'!$I$4,VLOOKUP(A112,'Account Mapping'!$A$2:$E$216,5,0))</f>
        <v>#N/A</v>
      </c>
      <c r="O112" s="27" t="e">
        <f>IF(OR(L112="Loan",L112="Deposit_Liability",L112="OFF_Unused Loan Commitment",L112="HQLA"),VLOOKUP(D112,'Customer Type'!$A$3:$C$38,3,0),"")</f>
        <v>#N/A</v>
      </c>
      <c r="P112" s="656" t="e">
        <f t="shared" si="83"/>
        <v>#N/A</v>
      </c>
      <c r="Q112" s="658">
        <f>IF(COUNTIF('Account Mapping'!$H$12:$H$45,A112)&gt;0,-H112,H112)</f>
        <v>1302.1099999999999</v>
      </c>
      <c r="R112" s="249" t="e">
        <f>VLOOKUP(P112,Assumptions!$C$2:$D$64,2,0)</f>
        <v>#N/A</v>
      </c>
      <c r="S112" s="692" t="str">
        <f>IFERROR(VLOOKUP(A112,'Maturity Adjustment'!$A$3:$C$81,3,0),(IF(J112&lt;$N$4,"Tomorrow",J112)))</f>
        <v>Tomorrow</v>
      </c>
      <c r="T112" s="24">
        <f t="shared" si="97"/>
        <v>1</v>
      </c>
      <c r="U112" s="196" t="e">
        <f t="shared" si="84"/>
        <v>#N/A</v>
      </c>
      <c r="V112" s="11" t="str">
        <f>IFERROR(VLOOKUP(A112,'Maturity Adjustment'!$A$86:$C$91,3,0),S112)</f>
        <v>Tomorrow</v>
      </c>
      <c r="W112" s="207" t="e">
        <f>VLOOKUP(A112,'Account Mapping'!$A$2:$F$216,6,0)</f>
        <v>#N/A</v>
      </c>
      <c r="X112" s="194">
        <f t="shared" si="85"/>
        <v>1302.1099999999999</v>
      </c>
      <c r="Y112" s="194">
        <f t="shared" si="86"/>
        <v>0</v>
      </c>
      <c r="Z112" s="13">
        <f t="shared" si="87"/>
        <v>0</v>
      </c>
      <c r="AA112" s="13">
        <f t="shared" si="88"/>
        <v>0</v>
      </c>
      <c r="AB112" s="13">
        <f t="shared" si="89"/>
        <v>0</v>
      </c>
      <c r="AC112" s="13">
        <f t="shared" si="90"/>
        <v>0</v>
      </c>
      <c r="AD112" s="13">
        <f t="shared" si="91"/>
        <v>0</v>
      </c>
      <c r="AE112" s="13">
        <f t="shared" si="92"/>
        <v>0</v>
      </c>
      <c r="AF112" s="13">
        <f t="shared" si="93"/>
        <v>0</v>
      </c>
      <c r="AG112" s="685">
        <f t="shared" si="94"/>
        <v>0</v>
      </c>
      <c r="AH112" s="688" t="b">
        <f t="shared" si="95"/>
        <v>1</v>
      </c>
    </row>
    <row r="113" spans="1:34" s="1" customFormat="1" ht="15" customHeight="1">
      <c r="A113" s="946">
        <v>10690001</v>
      </c>
      <c r="B113" s="946" t="s">
        <v>597</v>
      </c>
      <c r="C113" s="946" t="s">
        <v>1212</v>
      </c>
      <c r="D113" s="946">
        <v>100000014</v>
      </c>
      <c r="E113" s="946" t="s">
        <v>23</v>
      </c>
      <c r="F113" s="946" t="s">
        <v>26</v>
      </c>
      <c r="G113" s="947">
        <v>-5750.79</v>
      </c>
      <c r="H113" s="947">
        <v>-8187.34</v>
      </c>
      <c r="I113" s="948"/>
      <c r="J113" s="948"/>
      <c r="K113" s="948"/>
      <c r="L113" s="29" t="e">
        <f>VLOOKUP(A113,'Account Mapping'!$A$2:$E$216,3,0)</f>
        <v>#N/A</v>
      </c>
      <c r="M113" s="25" t="e">
        <f>VLOOKUP(A113,'Account Mapping'!$A$2:$E$216,4,0)</f>
        <v>#N/A</v>
      </c>
      <c r="N113" s="26" t="e">
        <f>IF(OR(C113='Account Mapping'!$H$4,C113='Account Mapping'!$H$5,C113='Account Mapping'!$H$6),'Account Mapping'!$I$4,VLOOKUP(A113,'Account Mapping'!$A$2:$E$216,5,0))</f>
        <v>#N/A</v>
      </c>
      <c r="O113" s="27" t="e">
        <f>IF(OR(L113="Loan",L113="Deposit_Liability",L113="OFF_Unused Loan Commitment",L113="HQLA"),VLOOKUP(D113,'Customer Type'!$A$3:$C$38,3,0),"")</f>
        <v>#N/A</v>
      </c>
      <c r="P113" s="656" t="e">
        <f t="shared" si="83"/>
        <v>#N/A</v>
      </c>
      <c r="Q113" s="658">
        <f>IF(COUNTIF('Account Mapping'!$H$12:$H$45,A113)&gt;0,-H113,H113)</f>
        <v>8187.34</v>
      </c>
      <c r="R113" s="249" t="e">
        <f>VLOOKUP(P113,Assumptions!$C$2:$D$64,2,0)</f>
        <v>#N/A</v>
      </c>
      <c r="S113" s="692" t="str">
        <f>IFERROR(VLOOKUP(A113,'Maturity Adjustment'!$A$3:$C$81,3,0),(IF(J113&lt;$N$4,"Tomorrow",J113)))</f>
        <v>Tomorrow</v>
      </c>
      <c r="T113" s="24">
        <f t="shared" si="97"/>
        <v>1</v>
      </c>
      <c r="U113" s="196" t="e">
        <f t="shared" si="84"/>
        <v>#N/A</v>
      </c>
      <c r="V113" s="11" t="str">
        <f>IFERROR(VLOOKUP(A113,'Maturity Adjustment'!$A$86:$C$91,3,0),S113)</f>
        <v>Tomorrow</v>
      </c>
      <c r="W113" s="207" t="e">
        <f>VLOOKUP(A113,'Account Mapping'!$A$2:$F$216,6,0)</f>
        <v>#N/A</v>
      </c>
      <c r="X113" s="194">
        <f t="shared" si="85"/>
        <v>8187.34</v>
      </c>
      <c r="Y113" s="194">
        <f t="shared" si="86"/>
        <v>0</v>
      </c>
      <c r="Z113" s="13">
        <f t="shared" si="87"/>
        <v>0</v>
      </c>
      <c r="AA113" s="13">
        <f t="shared" si="88"/>
        <v>0</v>
      </c>
      <c r="AB113" s="13">
        <f t="shared" si="89"/>
        <v>0</v>
      </c>
      <c r="AC113" s="13">
        <f t="shared" si="90"/>
        <v>0</v>
      </c>
      <c r="AD113" s="13">
        <f t="shared" si="91"/>
        <v>0</v>
      </c>
      <c r="AE113" s="13">
        <f t="shared" si="92"/>
        <v>0</v>
      </c>
      <c r="AF113" s="13">
        <f t="shared" si="93"/>
        <v>0</v>
      </c>
      <c r="AG113" s="685">
        <f t="shared" si="94"/>
        <v>0</v>
      </c>
      <c r="AH113" s="688" t="b">
        <f t="shared" si="95"/>
        <v>1</v>
      </c>
    </row>
    <row r="114" spans="1:34" s="1" customFormat="1" ht="15" customHeight="1">
      <c r="A114" s="946">
        <v>10690001</v>
      </c>
      <c r="B114" s="946" t="s">
        <v>597</v>
      </c>
      <c r="C114" s="946" t="s">
        <v>1213</v>
      </c>
      <c r="D114" s="946">
        <v>100000014</v>
      </c>
      <c r="E114" s="946" t="s">
        <v>23</v>
      </c>
      <c r="F114" s="946" t="s">
        <v>26</v>
      </c>
      <c r="G114" s="947">
        <v>-4702.75</v>
      </c>
      <c r="H114" s="947">
        <v>-6695.26</v>
      </c>
      <c r="I114" s="948"/>
      <c r="J114" s="948"/>
      <c r="K114" s="948"/>
      <c r="L114" s="29" t="e">
        <f>VLOOKUP(A114,'Account Mapping'!$A$2:$E$216,3,0)</f>
        <v>#N/A</v>
      </c>
      <c r="M114" s="25" t="e">
        <f>VLOOKUP(A114,'Account Mapping'!$A$2:$E$216,4,0)</f>
        <v>#N/A</v>
      </c>
      <c r="N114" s="26" t="e">
        <f>IF(OR(C114='Account Mapping'!$H$4,C114='Account Mapping'!$H$5,C114='Account Mapping'!$H$6),'Account Mapping'!$I$4,VLOOKUP(A114,'Account Mapping'!$A$2:$E$216,5,0))</f>
        <v>#N/A</v>
      </c>
      <c r="O114" s="27" t="e">
        <f>IF(OR(L114="Loan",L114="Deposit_Liability",L114="OFF_Unused Loan Commitment",L114="HQLA"),VLOOKUP(D114,'Customer Type'!$A$3:$C$38,3,0),"")</f>
        <v>#N/A</v>
      </c>
      <c r="P114" s="656" t="e">
        <f t="shared" si="83"/>
        <v>#N/A</v>
      </c>
      <c r="Q114" s="658">
        <f>IF(COUNTIF('Account Mapping'!$H$12:$H$45,A114)&gt;0,-H114,H114)</f>
        <v>6695.26</v>
      </c>
      <c r="R114" s="249" t="e">
        <f>VLOOKUP(P114,Assumptions!$C$2:$D$64,2,0)</f>
        <v>#N/A</v>
      </c>
      <c r="S114" s="692" t="str">
        <f>IFERROR(VLOOKUP(A114,'Maturity Adjustment'!$A$3:$C$81,3,0),(IF(J114&lt;$N$4,"Tomorrow",J114)))</f>
        <v>Tomorrow</v>
      </c>
      <c r="T114" s="24">
        <f t="shared" si="97"/>
        <v>1</v>
      </c>
      <c r="U114" s="196" t="e">
        <f t="shared" si="84"/>
        <v>#N/A</v>
      </c>
      <c r="V114" s="11" t="str">
        <f>IFERROR(VLOOKUP(A114,'Maturity Adjustment'!$A$86:$C$91,3,0),S114)</f>
        <v>Tomorrow</v>
      </c>
      <c r="W114" s="207" t="e">
        <f>VLOOKUP(A114,'Account Mapping'!$A$2:$F$216,6,0)</f>
        <v>#N/A</v>
      </c>
      <c r="X114" s="194">
        <f t="shared" si="85"/>
        <v>6695.26</v>
      </c>
      <c r="Y114" s="194">
        <f t="shared" si="86"/>
        <v>0</v>
      </c>
      <c r="Z114" s="13">
        <f t="shared" si="87"/>
        <v>0</v>
      </c>
      <c r="AA114" s="13">
        <f t="shared" si="88"/>
        <v>0</v>
      </c>
      <c r="AB114" s="13">
        <f t="shared" si="89"/>
        <v>0</v>
      </c>
      <c r="AC114" s="13">
        <f t="shared" si="90"/>
        <v>0</v>
      </c>
      <c r="AD114" s="13">
        <f t="shared" si="91"/>
        <v>0</v>
      </c>
      <c r="AE114" s="13">
        <f t="shared" si="92"/>
        <v>0</v>
      </c>
      <c r="AF114" s="13">
        <f t="shared" si="93"/>
        <v>0</v>
      </c>
      <c r="AG114" s="685">
        <f t="shared" si="94"/>
        <v>0</v>
      </c>
      <c r="AH114" s="688" t="b">
        <f t="shared" si="95"/>
        <v>1</v>
      </c>
    </row>
    <row r="115" spans="1:34" s="1" customFormat="1" ht="15" customHeight="1">
      <c r="A115" s="946">
        <v>10690001</v>
      </c>
      <c r="B115" s="946" t="s">
        <v>597</v>
      </c>
      <c r="C115" s="946" t="s">
        <v>1214</v>
      </c>
      <c r="D115" s="946">
        <v>100000014</v>
      </c>
      <c r="E115" s="946" t="s">
        <v>23</v>
      </c>
      <c r="F115" s="946" t="s">
        <v>26</v>
      </c>
      <c r="G115" s="947">
        <v>-932.17</v>
      </c>
      <c r="H115" s="947">
        <v>-1327.12</v>
      </c>
      <c r="I115" s="948"/>
      <c r="J115" s="948"/>
      <c r="K115" s="948"/>
      <c r="L115" s="29" t="e">
        <f>VLOOKUP(A115,'Account Mapping'!$A$2:$E$216,3,0)</f>
        <v>#N/A</v>
      </c>
      <c r="M115" s="25" t="e">
        <f>VLOOKUP(A115,'Account Mapping'!$A$2:$E$216,4,0)</f>
        <v>#N/A</v>
      </c>
      <c r="N115" s="26" t="e">
        <f>IF(OR(C115='Account Mapping'!$H$4,C115='Account Mapping'!$H$5,C115='Account Mapping'!$H$6),'Account Mapping'!$I$4,VLOOKUP(A115,'Account Mapping'!$A$2:$E$216,5,0))</f>
        <v>#N/A</v>
      </c>
      <c r="O115" s="27" t="e">
        <f>IF(OR(L115="Loan",L115="Deposit_Liability",L115="OFF_Unused Loan Commitment",L115="HQLA"),VLOOKUP(D115,'Customer Type'!$A$3:$C$38,3,0),"")</f>
        <v>#N/A</v>
      </c>
      <c r="P115" s="656" t="e">
        <f t="shared" si="83"/>
        <v>#N/A</v>
      </c>
      <c r="Q115" s="658">
        <f>IF(COUNTIF('Account Mapping'!$H$12:$H$45,A115)&gt;0,-H115,H115)</f>
        <v>1327.12</v>
      </c>
      <c r="R115" s="249" t="e">
        <f>VLOOKUP(P115,Assumptions!$C$2:$D$64,2,0)</f>
        <v>#N/A</v>
      </c>
      <c r="S115" s="692" t="str">
        <f>IFERROR(VLOOKUP(A115,'Maturity Adjustment'!$A$3:$C$81,3,0),(IF(J115&lt;$N$4,"Tomorrow",J115)))</f>
        <v>Tomorrow</v>
      </c>
      <c r="T115" s="24">
        <f t="shared" si="97"/>
        <v>1</v>
      </c>
      <c r="U115" s="196" t="e">
        <f t="shared" si="84"/>
        <v>#N/A</v>
      </c>
      <c r="V115" s="11" t="str">
        <f>IFERROR(VLOOKUP(A115,'Maturity Adjustment'!$A$86:$C$91,3,0),S115)</f>
        <v>Tomorrow</v>
      </c>
      <c r="W115" s="207" t="e">
        <f>VLOOKUP(A115,'Account Mapping'!$A$2:$F$216,6,0)</f>
        <v>#N/A</v>
      </c>
      <c r="X115" s="194">
        <f t="shared" si="85"/>
        <v>1327.12</v>
      </c>
      <c r="Y115" s="194">
        <f t="shared" si="86"/>
        <v>0</v>
      </c>
      <c r="Z115" s="13">
        <f t="shared" si="87"/>
        <v>0</v>
      </c>
      <c r="AA115" s="13">
        <f t="shared" si="88"/>
        <v>0</v>
      </c>
      <c r="AB115" s="13">
        <f t="shared" si="89"/>
        <v>0</v>
      </c>
      <c r="AC115" s="13">
        <f t="shared" si="90"/>
        <v>0</v>
      </c>
      <c r="AD115" s="13">
        <f t="shared" si="91"/>
        <v>0</v>
      </c>
      <c r="AE115" s="13">
        <f t="shared" si="92"/>
        <v>0</v>
      </c>
      <c r="AF115" s="13">
        <f t="shared" si="93"/>
        <v>0</v>
      </c>
      <c r="AG115" s="685">
        <f t="shared" si="94"/>
        <v>0</v>
      </c>
      <c r="AH115" s="688" t="b">
        <f t="shared" si="95"/>
        <v>1</v>
      </c>
    </row>
    <row r="116" spans="1:34" s="1" customFormat="1" ht="15" customHeight="1">
      <c r="A116" s="946">
        <v>10690001</v>
      </c>
      <c r="B116" s="946" t="s">
        <v>597</v>
      </c>
      <c r="C116" s="946" t="s">
        <v>1219</v>
      </c>
      <c r="D116" s="946">
        <v>100000014</v>
      </c>
      <c r="E116" s="946" t="s">
        <v>23</v>
      </c>
      <c r="F116" s="946" t="s">
        <v>26</v>
      </c>
      <c r="G116" s="947">
        <v>-1659.79</v>
      </c>
      <c r="H116" s="947">
        <v>-2363.0300000000002</v>
      </c>
      <c r="I116" s="948"/>
      <c r="J116" s="948"/>
      <c r="K116" s="948"/>
      <c r="L116" s="29" t="e">
        <f>VLOOKUP(A116,'Account Mapping'!$A$2:$E$216,3,0)</f>
        <v>#N/A</v>
      </c>
      <c r="M116" s="25" t="e">
        <f>VLOOKUP(A116,'Account Mapping'!$A$2:$E$216,4,0)</f>
        <v>#N/A</v>
      </c>
      <c r="N116" s="26" t="e">
        <f>IF(OR(C116='Account Mapping'!$H$4,C116='Account Mapping'!$H$5,C116='Account Mapping'!$H$6),'Account Mapping'!$I$4,VLOOKUP(A116,'Account Mapping'!$A$2:$E$216,5,0))</f>
        <v>#N/A</v>
      </c>
      <c r="O116" s="27" t="e">
        <f>IF(OR(L116="Loan",L116="Deposit_Liability",L116="OFF_Unused Loan Commitment",L116="HQLA"),VLOOKUP(D116,'Customer Type'!$A$3:$C$38,3,0),"")</f>
        <v>#N/A</v>
      </c>
      <c r="P116" s="656" t="e">
        <f t="shared" si="83"/>
        <v>#N/A</v>
      </c>
      <c r="Q116" s="658">
        <f>IF(COUNTIF('Account Mapping'!$H$12:$H$45,A116)&gt;0,-H116,H116)</f>
        <v>2363.0300000000002</v>
      </c>
      <c r="R116" s="249" t="e">
        <f>VLOOKUP(P116,Assumptions!$C$2:$D$64,2,0)</f>
        <v>#N/A</v>
      </c>
      <c r="S116" s="692" t="str">
        <f>IFERROR(VLOOKUP(A116,'Maturity Adjustment'!$A$3:$C$81,3,0),(IF(J116&lt;$N$4,"Tomorrow",J116)))</f>
        <v>Tomorrow</v>
      </c>
      <c r="T116" s="24">
        <f t="shared" si="97"/>
        <v>1</v>
      </c>
      <c r="U116" s="196" t="e">
        <f t="shared" si="84"/>
        <v>#N/A</v>
      </c>
      <c r="V116" s="11" t="str">
        <f>IFERROR(VLOOKUP(A116,'Maturity Adjustment'!$A$86:$C$91,3,0),S116)</f>
        <v>Tomorrow</v>
      </c>
      <c r="W116" s="207" t="e">
        <f>VLOOKUP(A116,'Account Mapping'!$A$2:$F$216,6,0)</f>
        <v>#N/A</v>
      </c>
      <c r="X116" s="194">
        <f t="shared" si="85"/>
        <v>2363.0300000000002</v>
      </c>
      <c r="Y116" s="194">
        <f t="shared" si="86"/>
        <v>0</v>
      </c>
      <c r="Z116" s="13">
        <f t="shared" si="87"/>
        <v>0</v>
      </c>
      <c r="AA116" s="13">
        <f t="shared" si="88"/>
        <v>0</v>
      </c>
      <c r="AB116" s="13">
        <f t="shared" si="89"/>
        <v>0</v>
      </c>
      <c r="AC116" s="13">
        <f t="shared" si="90"/>
        <v>0</v>
      </c>
      <c r="AD116" s="13">
        <f t="shared" si="91"/>
        <v>0</v>
      </c>
      <c r="AE116" s="13">
        <f t="shared" si="92"/>
        <v>0</v>
      </c>
      <c r="AF116" s="13">
        <f t="shared" si="93"/>
        <v>0</v>
      </c>
      <c r="AG116" s="685">
        <f t="shared" si="94"/>
        <v>0</v>
      </c>
      <c r="AH116" s="688" t="b">
        <f t="shared" si="95"/>
        <v>1</v>
      </c>
    </row>
    <row r="117" spans="1:34" s="1" customFormat="1" ht="15" customHeight="1">
      <c r="A117" s="946">
        <v>10690001</v>
      </c>
      <c r="B117" s="946" t="s">
        <v>597</v>
      </c>
      <c r="C117" s="946" t="s">
        <v>1220</v>
      </c>
      <c r="D117" s="946">
        <v>100000014</v>
      </c>
      <c r="E117" s="946" t="s">
        <v>23</v>
      </c>
      <c r="F117" s="946" t="s">
        <v>26</v>
      </c>
      <c r="G117" s="947">
        <v>-1060.97</v>
      </c>
      <c r="H117" s="947">
        <v>-1510.49</v>
      </c>
      <c r="I117" s="948"/>
      <c r="J117" s="948"/>
      <c r="K117" s="948"/>
      <c r="L117" s="29" t="e">
        <f>VLOOKUP(A117,'Account Mapping'!$A$2:$E$216,3,0)</f>
        <v>#N/A</v>
      </c>
      <c r="M117" s="25" t="e">
        <f>VLOOKUP(A117,'Account Mapping'!$A$2:$E$216,4,0)</f>
        <v>#N/A</v>
      </c>
      <c r="N117" s="26" t="e">
        <f>IF(OR(C117='Account Mapping'!$H$4,C117='Account Mapping'!$H$5,C117='Account Mapping'!$H$6),'Account Mapping'!$I$4,VLOOKUP(A117,'Account Mapping'!$A$2:$E$216,5,0))</f>
        <v>#N/A</v>
      </c>
      <c r="O117" s="27" t="e">
        <f>IF(OR(L117="Loan",L117="Deposit_Liability",L117="OFF_Unused Loan Commitment",L117="HQLA"),VLOOKUP(D117,'Customer Type'!$A$3:$C$38,3,0),"")</f>
        <v>#N/A</v>
      </c>
      <c r="P117" s="656" t="e">
        <f t="shared" si="83"/>
        <v>#N/A</v>
      </c>
      <c r="Q117" s="658">
        <f>IF(COUNTIF('Account Mapping'!$H$12:$H$45,A117)&gt;0,-H117,H117)</f>
        <v>1510.49</v>
      </c>
      <c r="R117" s="249" t="e">
        <f>VLOOKUP(P117,Assumptions!$C$2:$D$64,2,0)</f>
        <v>#N/A</v>
      </c>
      <c r="S117" s="692" t="str">
        <f>IFERROR(VLOOKUP(A117,'Maturity Adjustment'!$A$3:$C$81,3,0),(IF(J117&lt;$N$4,"Tomorrow",J117)))</f>
        <v>Tomorrow</v>
      </c>
      <c r="T117" s="24">
        <f t="shared" si="97"/>
        <v>1</v>
      </c>
      <c r="U117" s="196" t="e">
        <f t="shared" si="84"/>
        <v>#N/A</v>
      </c>
      <c r="V117" s="11" t="str">
        <f>IFERROR(VLOOKUP(A117,'Maturity Adjustment'!$A$86:$C$91,3,0),S117)</f>
        <v>Tomorrow</v>
      </c>
      <c r="W117" s="207" t="e">
        <f>VLOOKUP(A117,'Account Mapping'!$A$2:$F$216,6,0)</f>
        <v>#N/A</v>
      </c>
      <c r="X117" s="194">
        <f t="shared" si="85"/>
        <v>1510.49</v>
      </c>
      <c r="Y117" s="194">
        <f t="shared" si="86"/>
        <v>0</v>
      </c>
      <c r="Z117" s="13">
        <f t="shared" si="87"/>
        <v>0</v>
      </c>
      <c r="AA117" s="13">
        <f t="shared" si="88"/>
        <v>0</v>
      </c>
      <c r="AB117" s="13">
        <f t="shared" si="89"/>
        <v>0</v>
      </c>
      <c r="AC117" s="13">
        <f t="shared" si="90"/>
        <v>0</v>
      </c>
      <c r="AD117" s="13">
        <f t="shared" si="91"/>
        <v>0</v>
      </c>
      <c r="AE117" s="13">
        <f t="shared" si="92"/>
        <v>0</v>
      </c>
      <c r="AF117" s="13">
        <f t="shared" si="93"/>
        <v>0</v>
      </c>
      <c r="AG117" s="685">
        <f t="shared" si="94"/>
        <v>0</v>
      </c>
      <c r="AH117" s="688" t="b">
        <f t="shared" si="95"/>
        <v>1</v>
      </c>
    </row>
    <row r="118" spans="1:34" s="1" customFormat="1" ht="15" customHeight="1">
      <c r="A118" s="946">
        <v>10690001</v>
      </c>
      <c r="B118" s="946" t="s">
        <v>597</v>
      </c>
      <c r="C118" s="946" t="s">
        <v>1223</v>
      </c>
      <c r="D118" s="946">
        <v>100000014</v>
      </c>
      <c r="E118" s="946" t="s">
        <v>23</v>
      </c>
      <c r="F118" s="946" t="s">
        <v>26</v>
      </c>
      <c r="G118" s="947">
        <v>-1045.46</v>
      </c>
      <c r="H118" s="947">
        <v>-1488.41</v>
      </c>
      <c r="I118" s="948"/>
      <c r="J118" s="948"/>
      <c r="K118" s="948"/>
      <c r="L118" s="29" t="e">
        <f>VLOOKUP(A118,'Account Mapping'!$A$2:$E$216,3,0)</f>
        <v>#N/A</v>
      </c>
      <c r="M118" s="25" t="e">
        <f>VLOOKUP(A118,'Account Mapping'!$A$2:$E$216,4,0)</f>
        <v>#N/A</v>
      </c>
      <c r="N118" s="26" t="e">
        <f>IF(OR(C118='Account Mapping'!$H$4,C118='Account Mapping'!$H$5,C118='Account Mapping'!$H$6),'Account Mapping'!$I$4,VLOOKUP(A118,'Account Mapping'!$A$2:$E$216,5,0))</f>
        <v>#N/A</v>
      </c>
      <c r="O118" s="27" t="e">
        <f>IF(OR(L118="Loan",L118="Deposit_Liability",L118="OFF_Unused Loan Commitment",L118="HQLA"),VLOOKUP(D118,'Customer Type'!$A$3:$C$38,3,0),"")</f>
        <v>#N/A</v>
      </c>
      <c r="P118" s="656" t="e">
        <f t="shared" si="83"/>
        <v>#N/A</v>
      </c>
      <c r="Q118" s="658">
        <f>IF(COUNTIF('Account Mapping'!$H$12:$H$45,A118)&gt;0,-H118,H118)</f>
        <v>1488.41</v>
      </c>
      <c r="R118" s="249" t="e">
        <f>VLOOKUP(P118,Assumptions!$C$2:$D$64,2,0)</f>
        <v>#N/A</v>
      </c>
      <c r="S118" s="692" t="str">
        <f>IFERROR(VLOOKUP(A118,'Maturity Adjustment'!$A$3:$C$81,3,0),(IF(J118&lt;$N$4,"Tomorrow",J118)))</f>
        <v>Tomorrow</v>
      </c>
      <c r="T118" s="24">
        <f t="shared" si="97"/>
        <v>1</v>
      </c>
      <c r="U118" s="196" t="e">
        <f t="shared" si="84"/>
        <v>#N/A</v>
      </c>
      <c r="V118" s="11" t="str">
        <f>IFERROR(VLOOKUP(A118,'Maturity Adjustment'!$A$86:$C$91,3,0),S118)</f>
        <v>Tomorrow</v>
      </c>
      <c r="W118" s="207" t="e">
        <f>VLOOKUP(A118,'Account Mapping'!$A$2:$F$216,6,0)</f>
        <v>#N/A</v>
      </c>
      <c r="X118" s="194">
        <f t="shared" si="85"/>
        <v>1488.41</v>
      </c>
      <c r="Y118" s="194">
        <f t="shared" si="86"/>
        <v>0</v>
      </c>
      <c r="Z118" s="13">
        <f t="shared" si="87"/>
        <v>0</v>
      </c>
      <c r="AA118" s="13">
        <f t="shared" si="88"/>
        <v>0</v>
      </c>
      <c r="AB118" s="13">
        <f t="shared" si="89"/>
        <v>0</v>
      </c>
      <c r="AC118" s="13">
        <f t="shared" si="90"/>
        <v>0</v>
      </c>
      <c r="AD118" s="13">
        <f t="shared" si="91"/>
        <v>0</v>
      </c>
      <c r="AE118" s="13">
        <f t="shared" si="92"/>
        <v>0</v>
      </c>
      <c r="AF118" s="13">
        <f t="shared" si="93"/>
        <v>0</v>
      </c>
      <c r="AG118" s="685">
        <f t="shared" si="94"/>
        <v>0</v>
      </c>
      <c r="AH118" s="688" t="b">
        <f t="shared" si="95"/>
        <v>1</v>
      </c>
    </row>
    <row r="119" spans="1:34" s="1" customFormat="1" ht="15" customHeight="1">
      <c r="A119" s="946">
        <v>10690001</v>
      </c>
      <c r="B119" s="946" t="s">
        <v>597</v>
      </c>
      <c r="C119" s="946" t="s">
        <v>1224</v>
      </c>
      <c r="D119" s="946">
        <v>100000014</v>
      </c>
      <c r="E119" s="946" t="s">
        <v>23</v>
      </c>
      <c r="F119" s="946" t="s">
        <v>26</v>
      </c>
      <c r="G119" s="947">
        <v>-3942.01</v>
      </c>
      <c r="H119" s="947">
        <v>-5612.2</v>
      </c>
      <c r="I119" s="948"/>
      <c r="J119" s="948"/>
      <c r="K119" s="948"/>
      <c r="L119" s="29" t="e">
        <f>VLOOKUP(A119,'Account Mapping'!$A$2:$E$216,3,0)</f>
        <v>#N/A</v>
      </c>
      <c r="M119" s="25" t="e">
        <f>VLOOKUP(A119,'Account Mapping'!$A$2:$E$216,4,0)</f>
        <v>#N/A</v>
      </c>
      <c r="N119" s="26" t="e">
        <f>IF(OR(C119='Account Mapping'!$H$4,C119='Account Mapping'!$H$5,C119='Account Mapping'!$H$6),'Account Mapping'!$I$4,VLOOKUP(A119,'Account Mapping'!$A$2:$E$216,5,0))</f>
        <v>#N/A</v>
      </c>
      <c r="O119" s="27" t="e">
        <f>IF(OR(L119="Loan",L119="Deposit_Liability",L119="OFF_Unused Loan Commitment",L119="HQLA"),VLOOKUP(D119,'Customer Type'!$A$3:$C$38,3,0),"")</f>
        <v>#N/A</v>
      </c>
      <c r="P119" s="656" t="e">
        <f t="shared" si="83"/>
        <v>#N/A</v>
      </c>
      <c r="Q119" s="658">
        <f>IF(COUNTIF('Account Mapping'!$H$12:$H$45,A119)&gt;0,-H119,H119)</f>
        <v>5612.2</v>
      </c>
      <c r="R119" s="249" t="e">
        <f>VLOOKUP(P119,Assumptions!$C$2:$D$64,2,0)</f>
        <v>#N/A</v>
      </c>
      <c r="S119" s="692" t="str">
        <f>IFERROR(VLOOKUP(A119,'Maturity Adjustment'!$A$3:$C$81,3,0),(IF(J119&lt;$N$4,"Tomorrow",J119)))</f>
        <v>Tomorrow</v>
      </c>
      <c r="T119" s="24">
        <f t="shared" si="97"/>
        <v>1</v>
      </c>
      <c r="U119" s="196" t="e">
        <f t="shared" si="84"/>
        <v>#N/A</v>
      </c>
      <c r="V119" s="11" t="str">
        <f>IFERROR(VLOOKUP(A119,'Maturity Adjustment'!$A$86:$C$91,3,0),S119)</f>
        <v>Tomorrow</v>
      </c>
      <c r="W119" s="207" t="e">
        <f>VLOOKUP(A119,'Account Mapping'!$A$2:$F$216,6,0)</f>
        <v>#N/A</v>
      </c>
      <c r="X119" s="194">
        <f t="shared" si="85"/>
        <v>5612.2</v>
      </c>
      <c r="Y119" s="194">
        <f t="shared" si="86"/>
        <v>0</v>
      </c>
      <c r="Z119" s="13">
        <f t="shared" si="87"/>
        <v>0</v>
      </c>
      <c r="AA119" s="13">
        <f t="shared" si="88"/>
        <v>0</v>
      </c>
      <c r="AB119" s="13">
        <f t="shared" si="89"/>
        <v>0</v>
      </c>
      <c r="AC119" s="13">
        <f t="shared" si="90"/>
        <v>0</v>
      </c>
      <c r="AD119" s="13">
        <f t="shared" si="91"/>
        <v>0</v>
      </c>
      <c r="AE119" s="13">
        <f t="shared" si="92"/>
        <v>0</v>
      </c>
      <c r="AF119" s="13">
        <f t="shared" si="93"/>
        <v>0</v>
      </c>
      <c r="AG119" s="685">
        <f t="shared" si="94"/>
        <v>0</v>
      </c>
      <c r="AH119" s="688" t="b">
        <f t="shared" si="95"/>
        <v>1</v>
      </c>
    </row>
    <row r="120" spans="1:34" ht="15" customHeight="1">
      <c r="A120" s="946">
        <v>10690001</v>
      </c>
      <c r="B120" s="946" t="s">
        <v>597</v>
      </c>
      <c r="C120" s="946" t="s">
        <v>1235</v>
      </c>
      <c r="D120" s="946">
        <v>100000014</v>
      </c>
      <c r="E120" s="946" t="s">
        <v>23</v>
      </c>
      <c r="F120" s="946" t="s">
        <v>26</v>
      </c>
      <c r="G120" s="947">
        <v>-1078.56</v>
      </c>
      <c r="H120" s="947">
        <v>-1535.54</v>
      </c>
      <c r="I120" s="948"/>
      <c r="J120" s="948"/>
      <c r="K120" s="948"/>
      <c r="L120" s="29" t="e">
        <f>VLOOKUP(A120,'Account Mapping'!$A$2:$E$216,3,0)</f>
        <v>#N/A</v>
      </c>
      <c r="M120" s="25" t="e">
        <f>VLOOKUP(A120,'Account Mapping'!$A$2:$E$216,4,0)</f>
        <v>#N/A</v>
      </c>
      <c r="N120" s="26" t="e">
        <f>IF(OR(C120='Account Mapping'!$H$4,C120='Account Mapping'!$H$5,C120='Account Mapping'!$H$6),'Account Mapping'!$I$4,VLOOKUP(A120,'Account Mapping'!$A$2:$E$216,5,0))</f>
        <v>#N/A</v>
      </c>
      <c r="O120" s="27" t="e">
        <f>IF(OR(L120="Loan",L120="Deposit_Liability",L120="OFF_Unused Loan Commitment",L120="HQLA"),VLOOKUP(D120,'Customer Type'!$A$3:$C$38,3,0),"")</f>
        <v>#N/A</v>
      </c>
      <c r="P120" s="656" t="e">
        <f t="shared" si="83"/>
        <v>#N/A</v>
      </c>
      <c r="Q120" s="658">
        <f>IF(COUNTIF('Account Mapping'!$H$12:$H$45,A120)&gt;0,-H120,H120)</f>
        <v>1535.54</v>
      </c>
      <c r="R120" s="249" t="e">
        <f>VLOOKUP(P120,Assumptions!$C$2:$D$64,2,0)</f>
        <v>#N/A</v>
      </c>
      <c r="S120" s="692" t="str">
        <f>IFERROR(VLOOKUP(A120,'Maturity Adjustment'!$A$3:$C$81,3,0),(IF(J120&lt;$N$4,"Tomorrow",J120)))</f>
        <v>Tomorrow</v>
      </c>
      <c r="T120" s="24">
        <f t="shared" si="97"/>
        <v>1</v>
      </c>
      <c r="U120" s="196" t="e">
        <f t="shared" si="84"/>
        <v>#N/A</v>
      </c>
      <c r="V120" s="11" t="str">
        <f>IFERROR(VLOOKUP(A120,'Maturity Adjustment'!$A$86:$C$91,3,0),S120)</f>
        <v>Tomorrow</v>
      </c>
      <c r="W120" s="207" t="e">
        <f>VLOOKUP(A120,'Account Mapping'!$A$2:$F$216,6,0)</f>
        <v>#N/A</v>
      </c>
      <c r="X120" s="194">
        <f t="shared" si="85"/>
        <v>1535.54</v>
      </c>
      <c r="Y120" s="194">
        <f t="shared" si="86"/>
        <v>0</v>
      </c>
      <c r="Z120" s="13">
        <f t="shared" si="87"/>
        <v>0</v>
      </c>
      <c r="AA120" s="13">
        <f t="shared" si="88"/>
        <v>0</v>
      </c>
      <c r="AB120" s="13">
        <f t="shared" si="89"/>
        <v>0</v>
      </c>
      <c r="AC120" s="13">
        <f t="shared" si="90"/>
        <v>0</v>
      </c>
      <c r="AD120" s="13">
        <f t="shared" si="91"/>
        <v>0</v>
      </c>
      <c r="AE120" s="13">
        <f t="shared" si="92"/>
        <v>0</v>
      </c>
      <c r="AF120" s="13">
        <f t="shared" si="93"/>
        <v>0</v>
      </c>
      <c r="AG120" s="685">
        <f t="shared" si="94"/>
        <v>0</v>
      </c>
      <c r="AH120" s="688" t="b">
        <f t="shared" si="95"/>
        <v>1</v>
      </c>
    </row>
    <row r="121" spans="1:34" s="1" customFormat="1" ht="15" customHeight="1">
      <c r="A121" s="946">
        <v>10690001</v>
      </c>
      <c r="B121" s="946" t="s">
        <v>597</v>
      </c>
      <c r="C121" s="946" t="s">
        <v>1236</v>
      </c>
      <c r="D121" s="946">
        <v>100000014</v>
      </c>
      <c r="E121" s="946" t="s">
        <v>23</v>
      </c>
      <c r="F121" s="946" t="s">
        <v>26</v>
      </c>
      <c r="G121" s="947">
        <v>-4009.11</v>
      </c>
      <c r="H121" s="947">
        <v>-5707.73</v>
      </c>
      <c r="I121" s="948"/>
      <c r="J121" s="948"/>
      <c r="K121" s="948"/>
      <c r="L121" s="29" t="e">
        <f>VLOOKUP(A121,'Account Mapping'!$A$2:$E$216,3,0)</f>
        <v>#N/A</v>
      </c>
      <c r="M121" s="25" t="e">
        <f>VLOOKUP(A121,'Account Mapping'!$A$2:$E$216,4,0)</f>
        <v>#N/A</v>
      </c>
      <c r="N121" s="26" t="e">
        <f>IF(OR(C121='Account Mapping'!$H$4,C121='Account Mapping'!$H$5,C121='Account Mapping'!$H$6),'Account Mapping'!$I$4,VLOOKUP(A121,'Account Mapping'!$A$2:$E$216,5,0))</f>
        <v>#N/A</v>
      </c>
      <c r="O121" s="27" t="e">
        <f>IF(OR(L121="Loan",L121="Deposit_Liability",L121="OFF_Unused Loan Commitment",L121="HQLA"),VLOOKUP(D121,'Customer Type'!$A$3:$C$38,3,0),"")</f>
        <v>#N/A</v>
      </c>
      <c r="P121" s="656" t="e">
        <f t="shared" si="83"/>
        <v>#N/A</v>
      </c>
      <c r="Q121" s="658">
        <f>IF(COUNTIF('Account Mapping'!$H$12:$H$45,A121)&gt;0,-H121,H121)</f>
        <v>5707.73</v>
      </c>
      <c r="R121" s="249" t="e">
        <f>VLOOKUP(P121,Assumptions!$C$2:$D$64,2,0)</f>
        <v>#N/A</v>
      </c>
      <c r="S121" s="692" t="str">
        <f>IFERROR(VLOOKUP(A121,'Maturity Adjustment'!$A$3:$C$81,3,0),(IF(J121&lt;$N$4,"Tomorrow",J121)))</f>
        <v>Tomorrow</v>
      </c>
      <c r="T121" s="24">
        <f t="shared" si="97"/>
        <v>1</v>
      </c>
      <c r="U121" s="196" t="e">
        <f t="shared" si="84"/>
        <v>#N/A</v>
      </c>
      <c r="V121" s="11" t="str">
        <f>IFERROR(VLOOKUP(A121,'Maturity Adjustment'!$A$86:$C$91,3,0),S121)</f>
        <v>Tomorrow</v>
      </c>
      <c r="W121" s="207" t="e">
        <f>VLOOKUP(A121,'Account Mapping'!$A$2:$F$216,6,0)</f>
        <v>#N/A</v>
      </c>
      <c r="X121" s="194">
        <f t="shared" si="85"/>
        <v>5707.73</v>
      </c>
      <c r="Y121" s="194">
        <f t="shared" si="86"/>
        <v>0</v>
      </c>
      <c r="Z121" s="13">
        <f t="shared" si="87"/>
        <v>0</v>
      </c>
      <c r="AA121" s="13">
        <f t="shared" si="88"/>
        <v>0</v>
      </c>
      <c r="AB121" s="13">
        <f t="shared" si="89"/>
        <v>0</v>
      </c>
      <c r="AC121" s="13">
        <f t="shared" si="90"/>
        <v>0</v>
      </c>
      <c r="AD121" s="13">
        <f t="shared" si="91"/>
        <v>0</v>
      </c>
      <c r="AE121" s="13">
        <f t="shared" si="92"/>
        <v>0</v>
      </c>
      <c r="AF121" s="13">
        <f t="shared" si="93"/>
        <v>0</v>
      </c>
      <c r="AG121" s="685">
        <f t="shared" si="94"/>
        <v>0</v>
      </c>
      <c r="AH121" s="688" t="b">
        <f t="shared" si="95"/>
        <v>1</v>
      </c>
    </row>
    <row r="122" spans="1:34" s="1" customFormat="1" ht="15" customHeight="1">
      <c r="A122" s="946">
        <v>10690001</v>
      </c>
      <c r="B122" s="946" t="s">
        <v>597</v>
      </c>
      <c r="C122" s="946" t="s">
        <v>1237</v>
      </c>
      <c r="D122" s="946">
        <v>100000031</v>
      </c>
      <c r="E122" s="946" t="s">
        <v>1233</v>
      </c>
      <c r="F122" s="946" t="s">
        <v>11</v>
      </c>
      <c r="G122" s="947">
        <v>-21529</v>
      </c>
      <c r="H122" s="947">
        <v>-21529</v>
      </c>
      <c r="I122" s="948"/>
      <c r="J122" s="948"/>
      <c r="K122" s="948"/>
      <c r="L122" s="29" t="e">
        <f>VLOOKUP(A122,'Account Mapping'!$A$2:$E$216,3,0)</f>
        <v>#N/A</v>
      </c>
      <c r="M122" s="25" t="e">
        <f>VLOOKUP(A122,'Account Mapping'!$A$2:$E$216,4,0)</f>
        <v>#N/A</v>
      </c>
      <c r="N122" s="26" t="e">
        <f>IF(OR(C122='Account Mapping'!$H$4,C122='Account Mapping'!$H$5,C122='Account Mapping'!$H$6),'Account Mapping'!$I$4,VLOOKUP(A122,'Account Mapping'!$A$2:$E$216,5,0))</f>
        <v>#N/A</v>
      </c>
      <c r="O122" s="27" t="e">
        <f>IF(OR(L122="Loan",L122="Deposit_Liability",L122="OFF_Unused Loan Commitment",L122="HQLA"),VLOOKUP(D122,'Customer Type'!$A$3:$C$38,3,0),"")</f>
        <v>#N/A</v>
      </c>
      <c r="P122" s="656" t="e">
        <f t="shared" si="83"/>
        <v>#N/A</v>
      </c>
      <c r="Q122" s="658">
        <f>IF(COUNTIF('Account Mapping'!$H$12:$H$45,A122)&gt;0,-H122,H122)</f>
        <v>21529</v>
      </c>
      <c r="R122" s="249" t="e">
        <f>VLOOKUP(P122,Assumptions!$C$2:$D$64,2,0)</f>
        <v>#N/A</v>
      </c>
      <c r="S122" s="692" t="str">
        <f>IFERROR(VLOOKUP(A122,'Maturity Adjustment'!$A$3:$C$81,3,0),(IF(J122&lt;$N$4,"Tomorrow",J122)))</f>
        <v>Tomorrow</v>
      </c>
      <c r="T122" s="24">
        <f t="shared" si="97"/>
        <v>1</v>
      </c>
      <c r="U122" s="196" t="e">
        <f t="shared" si="84"/>
        <v>#N/A</v>
      </c>
      <c r="V122" s="11" t="str">
        <f>IFERROR(VLOOKUP(A122,'Maturity Adjustment'!$A$86:$C$91,3,0),S122)</f>
        <v>Tomorrow</v>
      </c>
      <c r="W122" s="207" t="e">
        <f>VLOOKUP(A122,'Account Mapping'!$A$2:$F$216,6,0)</f>
        <v>#N/A</v>
      </c>
      <c r="X122" s="194">
        <f t="shared" si="85"/>
        <v>21529</v>
      </c>
      <c r="Y122" s="194">
        <f t="shared" si="86"/>
        <v>0</v>
      </c>
      <c r="Z122" s="13">
        <f t="shared" si="87"/>
        <v>0</v>
      </c>
      <c r="AA122" s="13">
        <f t="shared" si="88"/>
        <v>0</v>
      </c>
      <c r="AB122" s="13">
        <f t="shared" si="89"/>
        <v>0</v>
      </c>
      <c r="AC122" s="13">
        <f t="shared" si="90"/>
        <v>0</v>
      </c>
      <c r="AD122" s="13">
        <f t="shared" si="91"/>
        <v>0</v>
      </c>
      <c r="AE122" s="13">
        <f t="shared" si="92"/>
        <v>0</v>
      </c>
      <c r="AF122" s="13">
        <f t="shared" si="93"/>
        <v>0</v>
      </c>
      <c r="AG122" s="685">
        <f t="shared" si="94"/>
        <v>0</v>
      </c>
      <c r="AH122" s="688" t="b">
        <f t="shared" si="95"/>
        <v>1</v>
      </c>
    </row>
    <row r="123" spans="1:34" s="1" customFormat="1" ht="15" customHeight="1">
      <c r="A123" s="946">
        <v>10690001</v>
      </c>
      <c r="B123" s="946" t="s">
        <v>597</v>
      </c>
      <c r="C123" s="946" t="s">
        <v>1238</v>
      </c>
      <c r="D123" s="946">
        <v>100000014</v>
      </c>
      <c r="E123" s="946" t="s">
        <v>23</v>
      </c>
      <c r="F123" s="946" t="s">
        <v>26</v>
      </c>
      <c r="G123" s="947">
        <v>-4218.6400000000003</v>
      </c>
      <c r="H123" s="947">
        <v>-6006.04</v>
      </c>
      <c r="I123" s="948"/>
      <c r="J123" s="948"/>
      <c r="K123" s="948"/>
      <c r="L123" s="29" t="e">
        <f>VLOOKUP(A123,'Account Mapping'!$A$2:$E$216,3,0)</f>
        <v>#N/A</v>
      </c>
      <c r="M123" s="25" t="e">
        <f>VLOOKUP(A123,'Account Mapping'!$A$2:$E$216,4,0)</f>
        <v>#N/A</v>
      </c>
      <c r="N123" s="26" t="e">
        <f>IF(OR(C123='Account Mapping'!$H$4,C123='Account Mapping'!$H$5,C123='Account Mapping'!$H$6),'Account Mapping'!$I$4,VLOOKUP(A123,'Account Mapping'!$A$2:$E$216,5,0))</f>
        <v>#N/A</v>
      </c>
      <c r="O123" s="27" t="e">
        <f>IF(OR(L123="Loan",L123="Deposit_Liability",L123="OFF_Unused Loan Commitment",L123="HQLA"),VLOOKUP(D123,'Customer Type'!$A$3:$C$38,3,0),"")</f>
        <v>#N/A</v>
      </c>
      <c r="P123" s="656" t="e">
        <f t="shared" si="83"/>
        <v>#N/A</v>
      </c>
      <c r="Q123" s="658">
        <f>IF(COUNTIF('Account Mapping'!$H$12:$H$45,A123)&gt;0,-H123,H123)</f>
        <v>6006.04</v>
      </c>
      <c r="R123" s="249" t="e">
        <f>VLOOKUP(P123,Assumptions!$C$2:$D$64,2,0)</f>
        <v>#N/A</v>
      </c>
      <c r="S123" s="692" t="str">
        <f>IFERROR(VLOOKUP(A123,'Maturity Adjustment'!$A$3:$C$81,3,0),(IF(J123&lt;$N$4,"Tomorrow",J123)))</f>
        <v>Tomorrow</v>
      </c>
      <c r="T123" s="24">
        <f t="shared" si="97"/>
        <v>1</v>
      </c>
      <c r="U123" s="196" t="e">
        <f t="shared" si="84"/>
        <v>#N/A</v>
      </c>
      <c r="V123" s="11" t="str">
        <f>IFERROR(VLOOKUP(A123,'Maturity Adjustment'!$A$86:$C$91,3,0),S123)</f>
        <v>Tomorrow</v>
      </c>
      <c r="W123" s="207" t="e">
        <f>VLOOKUP(A123,'Account Mapping'!$A$2:$F$216,6,0)</f>
        <v>#N/A</v>
      </c>
      <c r="X123" s="194">
        <f t="shared" si="85"/>
        <v>6006.04</v>
      </c>
      <c r="Y123" s="194">
        <f t="shared" si="86"/>
        <v>0</v>
      </c>
      <c r="Z123" s="13">
        <f t="shared" si="87"/>
        <v>0</v>
      </c>
      <c r="AA123" s="13">
        <f t="shared" si="88"/>
        <v>0</v>
      </c>
      <c r="AB123" s="13">
        <f t="shared" si="89"/>
        <v>0</v>
      </c>
      <c r="AC123" s="13">
        <f t="shared" si="90"/>
        <v>0</v>
      </c>
      <c r="AD123" s="13">
        <f t="shared" si="91"/>
        <v>0</v>
      </c>
      <c r="AE123" s="13">
        <f t="shared" si="92"/>
        <v>0</v>
      </c>
      <c r="AF123" s="13">
        <f t="shared" si="93"/>
        <v>0</v>
      </c>
      <c r="AG123" s="685">
        <f t="shared" si="94"/>
        <v>0</v>
      </c>
      <c r="AH123" s="688" t="b">
        <f t="shared" si="95"/>
        <v>1</v>
      </c>
    </row>
    <row r="124" spans="1:34" s="1" customFormat="1" ht="15" customHeight="1">
      <c r="A124" s="946">
        <v>10690001</v>
      </c>
      <c r="B124" s="946" t="s">
        <v>597</v>
      </c>
      <c r="C124" s="946" t="s">
        <v>1239</v>
      </c>
      <c r="D124" s="946">
        <v>100000014</v>
      </c>
      <c r="E124" s="946" t="s">
        <v>23</v>
      </c>
      <c r="F124" s="946" t="s">
        <v>26</v>
      </c>
      <c r="G124" s="947">
        <v>-1036.53</v>
      </c>
      <c r="H124" s="947">
        <v>-1475.7</v>
      </c>
      <c r="I124" s="948"/>
      <c r="J124" s="948"/>
      <c r="K124" s="948"/>
      <c r="L124" s="29" t="e">
        <f>VLOOKUP(A124,'Account Mapping'!$A$2:$E$216,3,0)</f>
        <v>#N/A</v>
      </c>
      <c r="M124" s="25" t="e">
        <f>VLOOKUP(A124,'Account Mapping'!$A$2:$E$216,4,0)</f>
        <v>#N/A</v>
      </c>
      <c r="N124" s="26" t="e">
        <f>IF(OR(C124='Account Mapping'!$H$4,C124='Account Mapping'!$H$5,C124='Account Mapping'!$H$6),'Account Mapping'!$I$4,VLOOKUP(A124,'Account Mapping'!$A$2:$E$216,5,0))</f>
        <v>#N/A</v>
      </c>
      <c r="O124" s="27" t="e">
        <f>IF(OR(L124="Loan",L124="Deposit_Liability",L124="OFF_Unused Loan Commitment",L124="HQLA"),VLOOKUP(D124,'Customer Type'!$A$3:$C$38,3,0),"")</f>
        <v>#N/A</v>
      </c>
      <c r="P124" s="656" t="e">
        <f t="shared" si="83"/>
        <v>#N/A</v>
      </c>
      <c r="Q124" s="658">
        <f>IF(COUNTIF('Account Mapping'!$H$12:$H$45,A124)&gt;0,-H124,H124)</f>
        <v>1475.7</v>
      </c>
      <c r="R124" s="249" t="e">
        <f>VLOOKUP(P124,Assumptions!$C$2:$D$64,2,0)</f>
        <v>#N/A</v>
      </c>
      <c r="S124" s="692" t="str">
        <f>IFERROR(VLOOKUP(A124,'Maturity Adjustment'!$A$3:$C$81,3,0),(IF(J124&lt;$N$4,"Tomorrow",J124)))</f>
        <v>Tomorrow</v>
      </c>
      <c r="T124" s="24">
        <f t="shared" si="97"/>
        <v>1</v>
      </c>
      <c r="U124" s="196" t="e">
        <f t="shared" si="84"/>
        <v>#N/A</v>
      </c>
      <c r="V124" s="11" t="str">
        <f>IFERROR(VLOOKUP(A124,'Maturity Adjustment'!$A$86:$C$91,3,0),S124)</f>
        <v>Tomorrow</v>
      </c>
      <c r="W124" s="207" t="e">
        <f>VLOOKUP(A124,'Account Mapping'!$A$2:$F$216,6,0)</f>
        <v>#N/A</v>
      </c>
      <c r="X124" s="194">
        <f t="shared" si="85"/>
        <v>1475.7</v>
      </c>
      <c r="Y124" s="194">
        <f t="shared" si="86"/>
        <v>0</v>
      </c>
      <c r="Z124" s="13">
        <f t="shared" si="87"/>
        <v>0</v>
      </c>
      <c r="AA124" s="13">
        <f t="shared" si="88"/>
        <v>0</v>
      </c>
      <c r="AB124" s="13">
        <f t="shared" si="89"/>
        <v>0</v>
      </c>
      <c r="AC124" s="13">
        <f t="shared" si="90"/>
        <v>0</v>
      </c>
      <c r="AD124" s="13">
        <f t="shared" si="91"/>
        <v>0</v>
      </c>
      <c r="AE124" s="13">
        <f t="shared" si="92"/>
        <v>0</v>
      </c>
      <c r="AF124" s="13">
        <f t="shared" si="93"/>
        <v>0</v>
      </c>
      <c r="AG124" s="685">
        <f t="shared" si="94"/>
        <v>0</v>
      </c>
      <c r="AH124" s="688" t="b">
        <f t="shared" si="95"/>
        <v>1</v>
      </c>
    </row>
    <row r="125" spans="1:34" s="1" customFormat="1" ht="15" customHeight="1">
      <c r="A125" s="946">
        <v>10690001</v>
      </c>
      <c r="B125" s="946" t="s">
        <v>597</v>
      </c>
      <c r="C125" s="946" t="s">
        <v>1240</v>
      </c>
      <c r="D125" s="946">
        <v>100000014</v>
      </c>
      <c r="E125" s="946" t="s">
        <v>23</v>
      </c>
      <c r="F125" s="946" t="s">
        <v>26</v>
      </c>
      <c r="G125" s="947">
        <v>-8711.75</v>
      </c>
      <c r="H125" s="947">
        <v>-12402.83</v>
      </c>
      <c r="I125" s="948"/>
      <c r="J125" s="948"/>
      <c r="K125" s="948"/>
      <c r="L125" s="29" t="e">
        <f>VLOOKUP(A125,'Account Mapping'!$A$2:$E$216,3,0)</f>
        <v>#N/A</v>
      </c>
      <c r="M125" s="25" t="e">
        <f>VLOOKUP(A125,'Account Mapping'!$A$2:$E$216,4,0)</f>
        <v>#N/A</v>
      </c>
      <c r="N125" s="26" t="e">
        <f>IF(OR(C125='Account Mapping'!$H$4,C125='Account Mapping'!$H$5,C125='Account Mapping'!$H$6),'Account Mapping'!$I$4,VLOOKUP(A125,'Account Mapping'!$A$2:$E$216,5,0))</f>
        <v>#N/A</v>
      </c>
      <c r="O125" s="27" t="e">
        <f>IF(OR(L125="Loan",L125="Deposit_Liability",L125="OFF_Unused Loan Commitment",L125="HQLA"),VLOOKUP(D125,'Customer Type'!$A$3:$C$38,3,0),"")</f>
        <v>#N/A</v>
      </c>
      <c r="P125" s="656" t="e">
        <f t="shared" si="83"/>
        <v>#N/A</v>
      </c>
      <c r="Q125" s="658">
        <f>IF(COUNTIF('Account Mapping'!$H$12:$H$45,A125)&gt;0,-H125,H125)</f>
        <v>12402.83</v>
      </c>
      <c r="R125" s="249" t="e">
        <f>VLOOKUP(P125,Assumptions!$C$2:$D$64,2,0)</f>
        <v>#N/A</v>
      </c>
      <c r="S125" s="692" t="str">
        <f>IFERROR(VLOOKUP(A125,'Maturity Adjustment'!$A$3:$C$81,3,0),(IF(J125&lt;$N$4,"Tomorrow",J125)))</f>
        <v>Tomorrow</v>
      </c>
      <c r="T125" s="24">
        <f t="shared" si="97"/>
        <v>1</v>
      </c>
      <c r="U125" s="196" t="e">
        <f t="shared" si="84"/>
        <v>#N/A</v>
      </c>
      <c r="V125" s="11" t="str">
        <f>IFERROR(VLOOKUP(A125,'Maturity Adjustment'!$A$86:$C$91,3,0),S125)</f>
        <v>Tomorrow</v>
      </c>
      <c r="W125" s="207" t="e">
        <f>VLOOKUP(A125,'Account Mapping'!$A$2:$F$216,6,0)</f>
        <v>#N/A</v>
      </c>
      <c r="X125" s="194">
        <f t="shared" si="85"/>
        <v>12402.83</v>
      </c>
      <c r="Y125" s="194">
        <f t="shared" si="86"/>
        <v>0</v>
      </c>
      <c r="Z125" s="13">
        <f t="shared" si="87"/>
        <v>0</v>
      </c>
      <c r="AA125" s="13">
        <f t="shared" si="88"/>
        <v>0</v>
      </c>
      <c r="AB125" s="13">
        <f t="shared" si="89"/>
        <v>0</v>
      </c>
      <c r="AC125" s="13">
        <f t="shared" si="90"/>
        <v>0</v>
      </c>
      <c r="AD125" s="13">
        <f t="shared" si="91"/>
        <v>0</v>
      </c>
      <c r="AE125" s="13">
        <f t="shared" si="92"/>
        <v>0</v>
      </c>
      <c r="AF125" s="13">
        <f t="shared" si="93"/>
        <v>0</v>
      </c>
      <c r="AG125" s="685">
        <f t="shared" si="94"/>
        <v>0</v>
      </c>
      <c r="AH125" s="688" t="b">
        <f t="shared" si="95"/>
        <v>1</v>
      </c>
    </row>
    <row r="126" spans="1:34" s="1" customFormat="1" ht="15" customHeight="1">
      <c r="A126" s="946">
        <v>10690001</v>
      </c>
      <c r="B126" s="946" t="s">
        <v>597</v>
      </c>
      <c r="C126" s="946" t="s">
        <v>1241</v>
      </c>
      <c r="D126" s="946">
        <v>100000014</v>
      </c>
      <c r="E126" s="946" t="s">
        <v>23</v>
      </c>
      <c r="F126" s="946" t="s">
        <v>26</v>
      </c>
      <c r="G126" s="947">
        <v>-1171.92</v>
      </c>
      <c r="H126" s="947">
        <v>-1668.45</v>
      </c>
      <c r="I126" s="948"/>
      <c r="J126" s="948"/>
      <c r="K126" s="948"/>
      <c r="L126" s="29" t="e">
        <f>VLOOKUP(A126,'Account Mapping'!$A$2:$E$216,3,0)</f>
        <v>#N/A</v>
      </c>
      <c r="M126" s="25" t="e">
        <f>VLOOKUP(A126,'Account Mapping'!$A$2:$E$216,4,0)</f>
        <v>#N/A</v>
      </c>
      <c r="N126" s="26" t="e">
        <f>IF(OR(C126='Account Mapping'!$H$4,C126='Account Mapping'!$H$5,C126='Account Mapping'!$H$6),'Account Mapping'!$I$4,VLOOKUP(A126,'Account Mapping'!$A$2:$E$216,5,0))</f>
        <v>#N/A</v>
      </c>
      <c r="O126" s="27" t="e">
        <f>IF(OR(L126="Loan",L126="Deposit_Liability",L126="OFF_Unused Loan Commitment",L126="HQLA"),VLOOKUP(D126,'Customer Type'!$A$3:$C$38,3,0),"")</f>
        <v>#N/A</v>
      </c>
      <c r="P126" s="656" t="e">
        <f t="shared" si="83"/>
        <v>#N/A</v>
      </c>
      <c r="Q126" s="658">
        <f>IF(COUNTIF('Account Mapping'!$H$12:$H$45,A126)&gt;0,-H126,H126)</f>
        <v>1668.45</v>
      </c>
      <c r="R126" s="249" t="e">
        <f>VLOOKUP(P126,Assumptions!$C$2:$D$64,2,0)</f>
        <v>#N/A</v>
      </c>
      <c r="S126" s="692" t="str">
        <f>IFERROR(VLOOKUP(A126,'Maturity Adjustment'!$A$3:$C$81,3,0),(IF(J126&lt;$N$4,"Tomorrow",J126)))</f>
        <v>Tomorrow</v>
      </c>
      <c r="T126" s="24">
        <f>IF(S126="Tomorrow",1,(S126-$N$4))</f>
        <v>1</v>
      </c>
      <c r="U126" s="196" t="e">
        <f t="shared" si="84"/>
        <v>#N/A</v>
      </c>
      <c r="V126" s="11" t="str">
        <f>IFERROR(VLOOKUP(A126,'Maturity Adjustment'!$A$86:$C$91,3,0),S126)</f>
        <v>Tomorrow</v>
      </c>
      <c r="W126" s="207" t="e">
        <f>VLOOKUP(A126,'Account Mapping'!$A$2:$F$216,6,0)</f>
        <v>#N/A</v>
      </c>
      <c r="X126" s="194">
        <f t="shared" si="85"/>
        <v>1668.45</v>
      </c>
      <c r="Y126" s="194">
        <f t="shared" si="86"/>
        <v>0</v>
      </c>
      <c r="Z126" s="13">
        <f t="shared" si="87"/>
        <v>0</v>
      </c>
      <c r="AA126" s="13">
        <f t="shared" si="88"/>
        <v>0</v>
      </c>
      <c r="AB126" s="13">
        <f t="shared" si="89"/>
        <v>0</v>
      </c>
      <c r="AC126" s="13">
        <f t="shared" si="90"/>
        <v>0</v>
      </c>
      <c r="AD126" s="13">
        <f t="shared" si="91"/>
        <v>0</v>
      </c>
      <c r="AE126" s="13">
        <f t="shared" si="92"/>
        <v>0</v>
      </c>
      <c r="AF126" s="13">
        <f t="shared" si="93"/>
        <v>0</v>
      </c>
      <c r="AG126" s="685">
        <f t="shared" si="94"/>
        <v>0</v>
      </c>
      <c r="AH126" s="688" t="b">
        <f t="shared" si="95"/>
        <v>1</v>
      </c>
    </row>
    <row r="127" spans="1:34" s="1" customFormat="1" ht="15" customHeight="1">
      <c r="A127" s="946">
        <v>10690001</v>
      </c>
      <c r="B127" s="946" t="s">
        <v>597</v>
      </c>
      <c r="C127" s="946" t="s">
        <v>1255</v>
      </c>
      <c r="D127" s="946">
        <v>100000033</v>
      </c>
      <c r="E127" s="946" t="s">
        <v>1254</v>
      </c>
      <c r="F127" s="946" t="s">
        <v>26</v>
      </c>
      <c r="G127" s="947">
        <v>-18687</v>
      </c>
      <c r="H127" s="947">
        <v>-26604.5</v>
      </c>
      <c r="I127" s="948"/>
      <c r="J127" s="948"/>
      <c r="K127" s="948"/>
      <c r="L127" s="29" t="e">
        <f>VLOOKUP(A127,'Account Mapping'!$A$2:$E$216,3,0)</f>
        <v>#N/A</v>
      </c>
      <c r="M127" s="25" t="e">
        <f>VLOOKUP(A127,'Account Mapping'!$A$2:$E$216,4,0)</f>
        <v>#N/A</v>
      </c>
      <c r="N127" s="26" t="e">
        <f>IF(OR(C127='Account Mapping'!$H$4,C127='Account Mapping'!$H$5,C127='Account Mapping'!$H$6),'Account Mapping'!$I$4,VLOOKUP(A127,'Account Mapping'!$A$2:$E$216,5,0))</f>
        <v>#N/A</v>
      </c>
      <c r="O127" s="27" t="e">
        <f>IF(OR(L127="Loan",L127="Deposit_Liability",L127="OFF_Unused Loan Commitment",L127="HQLA"),VLOOKUP(D127,'Customer Type'!$A$3:$C$38,3,0),"")</f>
        <v>#N/A</v>
      </c>
      <c r="P127" s="656" t="e">
        <f t="shared" si="83"/>
        <v>#N/A</v>
      </c>
      <c r="Q127" s="658">
        <f>IF(COUNTIF('Account Mapping'!$H$12:$H$45,A127)&gt;0,-H127,H127)</f>
        <v>26604.5</v>
      </c>
      <c r="R127" s="249" t="e">
        <f>VLOOKUP(P127,Assumptions!$C$2:$D$64,2,0)</f>
        <v>#N/A</v>
      </c>
      <c r="S127" s="692" t="str">
        <f>IFERROR(VLOOKUP(A127,'Maturity Adjustment'!$A$3:$C$81,3,0),(IF(J127&lt;$N$4,"Tomorrow",J127)))</f>
        <v>Tomorrow</v>
      </c>
      <c r="T127" s="24">
        <f t="shared" si="97"/>
        <v>1</v>
      </c>
      <c r="U127" s="196" t="e">
        <f t="shared" si="84"/>
        <v>#N/A</v>
      </c>
      <c r="V127" s="11" t="str">
        <f>IFERROR(VLOOKUP(A127,'Maturity Adjustment'!$A$86:$C$91,3,0),S127)</f>
        <v>Tomorrow</v>
      </c>
      <c r="W127" s="207" t="e">
        <f>VLOOKUP(A127,'Account Mapping'!$A$2:$F$216,6,0)</f>
        <v>#N/A</v>
      </c>
      <c r="X127" s="194">
        <f t="shared" si="85"/>
        <v>26604.5</v>
      </c>
      <c r="Y127" s="194">
        <f t="shared" si="86"/>
        <v>0</v>
      </c>
      <c r="Z127" s="13">
        <f t="shared" si="87"/>
        <v>0</v>
      </c>
      <c r="AA127" s="13">
        <f t="shared" si="88"/>
        <v>0</v>
      </c>
      <c r="AB127" s="13">
        <f t="shared" si="89"/>
        <v>0</v>
      </c>
      <c r="AC127" s="13">
        <f t="shared" si="90"/>
        <v>0</v>
      </c>
      <c r="AD127" s="13">
        <f t="shared" si="91"/>
        <v>0</v>
      </c>
      <c r="AE127" s="13">
        <f t="shared" si="92"/>
        <v>0</v>
      </c>
      <c r="AF127" s="13">
        <f t="shared" si="93"/>
        <v>0</v>
      </c>
      <c r="AG127" s="685">
        <f t="shared" si="94"/>
        <v>0</v>
      </c>
      <c r="AH127" s="688" t="b">
        <f t="shared" si="95"/>
        <v>1</v>
      </c>
    </row>
    <row r="128" spans="1:34" s="1" customFormat="1" ht="15" customHeight="1">
      <c r="A128" s="946">
        <v>10690001</v>
      </c>
      <c r="B128" s="946" t="s">
        <v>597</v>
      </c>
      <c r="C128" s="946" t="s">
        <v>1256</v>
      </c>
      <c r="D128" s="946">
        <v>100000014</v>
      </c>
      <c r="E128" s="946" t="s">
        <v>23</v>
      </c>
      <c r="F128" s="946" t="s">
        <v>26</v>
      </c>
      <c r="G128" s="947">
        <v>-6769.8</v>
      </c>
      <c r="H128" s="947">
        <v>-9638.1</v>
      </c>
      <c r="I128" s="948"/>
      <c r="J128" s="948"/>
      <c r="K128" s="948"/>
      <c r="L128" s="29" t="e">
        <f>VLOOKUP(A128,'Account Mapping'!$A$2:$E$216,3,0)</f>
        <v>#N/A</v>
      </c>
      <c r="M128" s="25" t="e">
        <f>VLOOKUP(A128,'Account Mapping'!$A$2:$E$216,4,0)</f>
        <v>#N/A</v>
      </c>
      <c r="N128" s="26" t="e">
        <f>IF(OR(C128='Account Mapping'!$H$4,C128='Account Mapping'!$H$5,C128='Account Mapping'!$H$6),'Account Mapping'!$I$4,VLOOKUP(A128,'Account Mapping'!$A$2:$E$216,5,0))</f>
        <v>#N/A</v>
      </c>
      <c r="O128" s="27" t="e">
        <f>IF(OR(L128="Loan",L128="Deposit_Liability",L128="OFF_Unused Loan Commitment",L128="HQLA"),VLOOKUP(D128,'Customer Type'!$A$3:$C$38,3,0),"")</f>
        <v>#N/A</v>
      </c>
      <c r="P128" s="656" t="e">
        <f t="shared" si="83"/>
        <v>#N/A</v>
      </c>
      <c r="Q128" s="658">
        <f>IF(COUNTIF('Account Mapping'!$H$12:$H$45,A128)&gt;0,-H128,H128)</f>
        <v>9638.1</v>
      </c>
      <c r="R128" s="249" t="e">
        <f>VLOOKUP(P128,Assumptions!$C$2:$D$64,2,0)</f>
        <v>#N/A</v>
      </c>
      <c r="S128" s="692" t="str">
        <f>IFERROR(VLOOKUP(A128,'Maturity Adjustment'!$A$3:$C$81,3,0),(IF(J128&lt;$N$4,"Tomorrow",J128)))</f>
        <v>Tomorrow</v>
      </c>
      <c r="T128" s="24">
        <f t="shared" si="97"/>
        <v>1</v>
      </c>
      <c r="U128" s="196" t="e">
        <f t="shared" si="84"/>
        <v>#N/A</v>
      </c>
      <c r="V128" s="11" t="str">
        <f>IFERROR(VLOOKUP(A128,'Maturity Adjustment'!$A$86:$C$91,3,0),S128)</f>
        <v>Tomorrow</v>
      </c>
      <c r="W128" s="207" t="e">
        <f>VLOOKUP(A128,'Account Mapping'!$A$2:$F$216,6,0)</f>
        <v>#N/A</v>
      </c>
      <c r="X128" s="194">
        <f t="shared" si="85"/>
        <v>9638.1</v>
      </c>
      <c r="Y128" s="194">
        <f t="shared" si="86"/>
        <v>0</v>
      </c>
      <c r="Z128" s="13">
        <f t="shared" si="87"/>
        <v>0</v>
      </c>
      <c r="AA128" s="13">
        <f t="shared" si="88"/>
        <v>0</v>
      </c>
      <c r="AB128" s="13">
        <f t="shared" si="89"/>
        <v>0</v>
      </c>
      <c r="AC128" s="13">
        <f t="shared" si="90"/>
        <v>0</v>
      </c>
      <c r="AD128" s="13">
        <f t="shared" si="91"/>
        <v>0</v>
      </c>
      <c r="AE128" s="13">
        <f t="shared" si="92"/>
        <v>0</v>
      </c>
      <c r="AF128" s="13">
        <f t="shared" si="93"/>
        <v>0</v>
      </c>
      <c r="AG128" s="685">
        <f t="shared" si="94"/>
        <v>0</v>
      </c>
      <c r="AH128" s="688" t="b">
        <f t="shared" si="95"/>
        <v>1</v>
      </c>
    </row>
    <row r="129" spans="1:34" s="1" customFormat="1" ht="15" customHeight="1">
      <c r="A129" s="946">
        <v>10690001</v>
      </c>
      <c r="B129" s="946" t="s">
        <v>597</v>
      </c>
      <c r="C129" s="946" t="s">
        <v>1257</v>
      </c>
      <c r="D129" s="946">
        <v>100000014</v>
      </c>
      <c r="E129" s="946" t="s">
        <v>23</v>
      </c>
      <c r="F129" s="946" t="s">
        <v>26</v>
      </c>
      <c r="G129" s="947">
        <v>-1222.3499999999999</v>
      </c>
      <c r="H129" s="947">
        <v>-1740.25</v>
      </c>
      <c r="I129" s="948"/>
      <c r="J129" s="948"/>
      <c r="K129" s="948"/>
      <c r="L129" s="29" t="e">
        <f>VLOOKUP(A129,'Account Mapping'!$A$2:$E$216,3,0)</f>
        <v>#N/A</v>
      </c>
      <c r="M129" s="25" t="e">
        <f>VLOOKUP(A129,'Account Mapping'!$A$2:$E$216,4,0)</f>
        <v>#N/A</v>
      </c>
      <c r="N129" s="26" t="e">
        <f>IF(OR(C129='Account Mapping'!$H$4,C129='Account Mapping'!$H$5,C129='Account Mapping'!$H$6),'Account Mapping'!$I$4,VLOOKUP(A129,'Account Mapping'!$A$2:$E$216,5,0))</f>
        <v>#N/A</v>
      </c>
      <c r="O129" s="27" t="e">
        <f>IF(OR(L129="Loan",L129="Deposit_Liability",L129="OFF_Unused Loan Commitment",L129="HQLA"),VLOOKUP(D129,'Customer Type'!$A$3:$C$38,3,0),"")</f>
        <v>#N/A</v>
      </c>
      <c r="P129" s="656" t="e">
        <f t="shared" si="83"/>
        <v>#N/A</v>
      </c>
      <c r="Q129" s="658">
        <f>IF(COUNTIF('Account Mapping'!$H$12:$H$45,A129)&gt;0,-H129,H129)</f>
        <v>1740.25</v>
      </c>
      <c r="R129" s="249" t="e">
        <f>VLOOKUP(P129,Assumptions!$C$2:$D$64,2,0)</f>
        <v>#N/A</v>
      </c>
      <c r="S129" s="692" t="str">
        <f>IFERROR(VLOOKUP(A129,'Maturity Adjustment'!$A$3:$C$81,3,0),(IF(J129&lt;$N$4,"Tomorrow",J129)))</f>
        <v>Tomorrow</v>
      </c>
      <c r="T129" s="24">
        <f t="shared" si="97"/>
        <v>1</v>
      </c>
      <c r="U129" s="196" t="e">
        <f t="shared" si="84"/>
        <v>#N/A</v>
      </c>
      <c r="V129" s="11" t="str">
        <f>IFERROR(VLOOKUP(A129,'Maturity Adjustment'!$A$86:$C$91,3,0),S129)</f>
        <v>Tomorrow</v>
      </c>
      <c r="W129" s="207" t="e">
        <f>VLOOKUP(A129,'Account Mapping'!$A$2:$F$216,6,0)</f>
        <v>#N/A</v>
      </c>
      <c r="X129" s="194">
        <f t="shared" si="85"/>
        <v>1740.25</v>
      </c>
      <c r="Y129" s="194">
        <f t="shared" si="86"/>
        <v>0</v>
      </c>
      <c r="Z129" s="13">
        <f t="shared" si="87"/>
        <v>0</v>
      </c>
      <c r="AA129" s="13">
        <f t="shared" si="88"/>
        <v>0</v>
      </c>
      <c r="AB129" s="13">
        <f t="shared" si="89"/>
        <v>0</v>
      </c>
      <c r="AC129" s="13">
        <f t="shared" si="90"/>
        <v>0</v>
      </c>
      <c r="AD129" s="13">
        <f t="shared" si="91"/>
        <v>0</v>
      </c>
      <c r="AE129" s="13">
        <f t="shared" si="92"/>
        <v>0</v>
      </c>
      <c r="AF129" s="13">
        <f t="shared" si="93"/>
        <v>0</v>
      </c>
      <c r="AG129" s="685">
        <f t="shared" si="94"/>
        <v>0</v>
      </c>
      <c r="AH129" s="688" t="b">
        <f t="shared" si="95"/>
        <v>1</v>
      </c>
    </row>
    <row r="130" spans="1:34" s="1" customFormat="1" ht="15" customHeight="1">
      <c r="A130" s="946">
        <v>10690001</v>
      </c>
      <c r="B130" s="946" t="s">
        <v>597</v>
      </c>
      <c r="C130" s="946" t="s">
        <v>1267</v>
      </c>
      <c r="D130" s="946">
        <v>100000014</v>
      </c>
      <c r="E130" s="946" t="s">
        <v>23</v>
      </c>
      <c r="F130" s="946" t="s">
        <v>26</v>
      </c>
      <c r="G130" s="947">
        <v>-1935.43</v>
      </c>
      <c r="H130" s="947">
        <v>-2755.45</v>
      </c>
      <c r="I130" s="948"/>
      <c r="J130" s="948"/>
      <c r="K130" s="948"/>
      <c r="L130" s="29" t="e">
        <f>VLOOKUP(A130,'Account Mapping'!$A$2:$E$216,3,0)</f>
        <v>#N/A</v>
      </c>
      <c r="M130" s="25" t="e">
        <f>VLOOKUP(A130,'Account Mapping'!$A$2:$E$216,4,0)</f>
        <v>#N/A</v>
      </c>
      <c r="N130" s="26" t="e">
        <f>IF(OR(C130='Account Mapping'!$H$4,C130='Account Mapping'!$H$5,C130='Account Mapping'!$H$6),'Account Mapping'!$I$4,VLOOKUP(A130,'Account Mapping'!$A$2:$E$216,5,0))</f>
        <v>#N/A</v>
      </c>
      <c r="O130" s="27" t="e">
        <f>IF(OR(L130="Loan",L130="Deposit_Liability",L130="OFF_Unused Loan Commitment",L130="HQLA"),VLOOKUP(D130,'Customer Type'!$A$3:$C$38,3,0),"")</f>
        <v>#N/A</v>
      </c>
      <c r="P130" s="656" t="e">
        <f t="shared" si="83"/>
        <v>#N/A</v>
      </c>
      <c r="Q130" s="658">
        <f>IF(COUNTIF('Account Mapping'!$H$12:$H$45,A130)&gt;0,-H130,H130)</f>
        <v>2755.45</v>
      </c>
      <c r="R130" s="249" t="e">
        <f>VLOOKUP(P130,Assumptions!$C$2:$D$64,2,0)</f>
        <v>#N/A</v>
      </c>
      <c r="S130" s="692" t="str">
        <f>IFERROR(VLOOKUP(A130,'Maturity Adjustment'!$A$3:$C$81,3,0),(IF(J130&lt;$N$4,"Tomorrow",J130)))</f>
        <v>Tomorrow</v>
      </c>
      <c r="T130" s="24">
        <f t="shared" si="97"/>
        <v>1</v>
      </c>
      <c r="U130" s="196" t="e">
        <f t="shared" si="84"/>
        <v>#N/A</v>
      </c>
      <c r="V130" s="11" t="str">
        <f>IFERROR(VLOOKUP(A130,'Maturity Adjustment'!$A$86:$C$91,3,0),S130)</f>
        <v>Tomorrow</v>
      </c>
      <c r="W130" s="207" t="e">
        <f>VLOOKUP(A130,'Account Mapping'!$A$2:$F$216,6,0)</f>
        <v>#N/A</v>
      </c>
      <c r="X130" s="194">
        <f t="shared" si="85"/>
        <v>2755.45</v>
      </c>
      <c r="Y130" s="194">
        <f t="shared" si="86"/>
        <v>0</v>
      </c>
      <c r="Z130" s="13">
        <f t="shared" si="87"/>
        <v>0</v>
      </c>
      <c r="AA130" s="13">
        <f t="shared" si="88"/>
        <v>0</v>
      </c>
      <c r="AB130" s="13">
        <f t="shared" si="89"/>
        <v>0</v>
      </c>
      <c r="AC130" s="13">
        <f t="shared" si="90"/>
        <v>0</v>
      </c>
      <c r="AD130" s="13">
        <f t="shared" si="91"/>
        <v>0</v>
      </c>
      <c r="AE130" s="13">
        <f t="shared" si="92"/>
        <v>0</v>
      </c>
      <c r="AF130" s="13">
        <f t="shared" si="93"/>
        <v>0</v>
      </c>
      <c r="AG130" s="685">
        <f t="shared" si="94"/>
        <v>0</v>
      </c>
      <c r="AH130" s="688" t="b">
        <f t="shared" si="95"/>
        <v>1</v>
      </c>
    </row>
    <row r="131" spans="1:34" s="1" customFormat="1" ht="15" customHeight="1">
      <c r="A131" s="946">
        <v>10690001</v>
      </c>
      <c r="B131" s="946" t="s">
        <v>597</v>
      </c>
      <c r="C131" s="946" t="s">
        <v>1268</v>
      </c>
      <c r="D131" s="946">
        <v>100000014</v>
      </c>
      <c r="E131" s="946" t="s">
        <v>23</v>
      </c>
      <c r="F131" s="946" t="s">
        <v>26</v>
      </c>
      <c r="G131" s="947">
        <v>-1112.02</v>
      </c>
      <c r="H131" s="947">
        <v>-1583.17</v>
      </c>
      <c r="I131" s="948"/>
      <c r="J131" s="948"/>
      <c r="K131" s="948"/>
      <c r="L131" s="29" t="e">
        <f>VLOOKUP(A131,'Account Mapping'!$A$2:$E$216,3,0)</f>
        <v>#N/A</v>
      </c>
      <c r="M131" s="25" t="e">
        <f>VLOOKUP(A131,'Account Mapping'!$A$2:$E$216,4,0)</f>
        <v>#N/A</v>
      </c>
      <c r="N131" s="26" t="e">
        <f>IF(OR(C131='Account Mapping'!$H$4,C131='Account Mapping'!$H$5,C131='Account Mapping'!$H$6),'Account Mapping'!$I$4,VLOOKUP(A131,'Account Mapping'!$A$2:$E$216,5,0))</f>
        <v>#N/A</v>
      </c>
      <c r="O131" s="27" t="e">
        <f>IF(OR(L131="Loan",L131="Deposit_Liability",L131="OFF_Unused Loan Commitment",L131="HQLA"),VLOOKUP(D131,'Customer Type'!$A$3:$C$38,3,0),"")</f>
        <v>#N/A</v>
      </c>
      <c r="P131" s="656" t="e">
        <f t="shared" si="83"/>
        <v>#N/A</v>
      </c>
      <c r="Q131" s="658">
        <f>IF(COUNTIF('Account Mapping'!$H$12:$H$45,A131)&gt;0,-H131,H131)</f>
        <v>1583.17</v>
      </c>
      <c r="R131" s="249" t="e">
        <f>VLOOKUP(P131,Assumptions!$C$2:$D$64,2,0)</f>
        <v>#N/A</v>
      </c>
      <c r="S131" s="692" t="str">
        <f>IFERROR(VLOOKUP(A131,'Maturity Adjustment'!$A$3:$C$81,3,0),(IF(J131&lt;$N$4,"Tomorrow",J131)))</f>
        <v>Tomorrow</v>
      </c>
      <c r="T131" s="24">
        <f t="shared" si="97"/>
        <v>1</v>
      </c>
      <c r="U131" s="196" t="e">
        <f t="shared" si="84"/>
        <v>#N/A</v>
      </c>
      <c r="V131" s="11" t="str">
        <f>IFERROR(VLOOKUP(A131,'Maturity Adjustment'!$A$86:$C$91,3,0),S131)</f>
        <v>Tomorrow</v>
      </c>
      <c r="W131" s="207" t="e">
        <f>VLOOKUP(A131,'Account Mapping'!$A$2:$F$216,6,0)</f>
        <v>#N/A</v>
      </c>
      <c r="X131" s="194">
        <f t="shared" si="85"/>
        <v>1583.17</v>
      </c>
      <c r="Y131" s="194">
        <f t="shared" si="86"/>
        <v>0</v>
      </c>
      <c r="Z131" s="13">
        <f t="shared" si="87"/>
        <v>0</v>
      </c>
      <c r="AA131" s="13">
        <f t="shared" si="88"/>
        <v>0</v>
      </c>
      <c r="AB131" s="13">
        <f t="shared" si="89"/>
        <v>0</v>
      </c>
      <c r="AC131" s="13">
        <f t="shared" si="90"/>
        <v>0</v>
      </c>
      <c r="AD131" s="13">
        <f t="shared" si="91"/>
        <v>0</v>
      </c>
      <c r="AE131" s="13">
        <f t="shared" si="92"/>
        <v>0</v>
      </c>
      <c r="AF131" s="13">
        <f t="shared" si="93"/>
        <v>0</v>
      </c>
      <c r="AG131" s="685">
        <f t="shared" si="94"/>
        <v>0</v>
      </c>
      <c r="AH131" s="688" t="b">
        <f t="shared" si="95"/>
        <v>1</v>
      </c>
    </row>
    <row r="132" spans="1:34" s="1" customFormat="1" ht="15" customHeight="1">
      <c r="A132" s="946">
        <v>10690001</v>
      </c>
      <c r="B132" s="946" t="s">
        <v>597</v>
      </c>
      <c r="C132" s="946" t="s">
        <v>1269</v>
      </c>
      <c r="D132" s="946">
        <v>100000014</v>
      </c>
      <c r="E132" s="946" t="s">
        <v>23</v>
      </c>
      <c r="F132" s="946" t="s">
        <v>26</v>
      </c>
      <c r="G132" s="947">
        <v>-1148.3399999999999</v>
      </c>
      <c r="H132" s="947">
        <v>-1634.88</v>
      </c>
      <c r="I132" s="948"/>
      <c r="J132" s="948"/>
      <c r="K132" s="948"/>
      <c r="L132" s="29" t="e">
        <f>VLOOKUP(A132,'Account Mapping'!$A$2:$E$216,3,0)</f>
        <v>#N/A</v>
      </c>
      <c r="M132" s="25" t="e">
        <f>VLOOKUP(A132,'Account Mapping'!$A$2:$E$216,4,0)</f>
        <v>#N/A</v>
      </c>
      <c r="N132" s="26" t="e">
        <f>IF(OR(C132='Account Mapping'!$H$4,C132='Account Mapping'!$H$5,C132='Account Mapping'!$H$6),'Account Mapping'!$I$4,VLOOKUP(A132,'Account Mapping'!$A$2:$E$216,5,0))</f>
        <v>#N/A</v>
      </c>
      <c r="O132" s="27" t="e">
        <f>IF(OR(L132="Loan",L132="Deposit_Liability",L132="OFF_Unused Loan Commitment",L132="HQLA"),VLOOKUP(D132,'Customer Type'!$A$3:$C$38,3,0),"")</f>
        <v>#N/A</v>
      </c>
      <c r="P132" s="656" t="e">
        <f t="shared" si="83"/>
        <v>#N/A</v>
      </c>
      <c r="Q132" s="658">
        <f>IF(COUNTIF('Account Mapping'!$H$12:$H$45,A132)&gt;0,-H132,H132)</f>
        <v>1634.88</v>
      </c>
      <c r="R132" s="249" t="e">
        <f>VLOOKUP(P132,Assumptions!$C$2:$D$64,2,0)</f>
        <v>#N/A</v>
      </c>
      <c r="S132" s="692" t="str">
        <f>IFERROR(VLOOKUP(A132,'Maturity Adjustment'!$A$3:$C$81,3,0),(IF(J132&lt;$N$4,"Tomorrow",J132)))</f>
        <v>Tomorrow</v>
      </c>
      <c r="T132" s="24">
        <f t="shared" si="97"/>
        <v>1</v>
      </c>
      <c r="U132" s="196" t="e">
        <f t="shared" si="84"/>
        <v>#N/A</v>
      </c>
      <c r="V132" s="11" t="str">
        <f>IFERROR(VLOOKUP(A132,'Maturity Adjustment'!$A$86:$C$91,3,0),S132)</f>
        <v>Tomorrow</v>
      </c>
      <c r="W132" s="207" t="e">
        <f>VLOOKUP(A132,'Account Mapping'!$A$2:$F$216,6,0)</f>
        <v>#N/A</v>
      </c>
      <c r="X132" s="194">
        <f t="shared" si="85"/>
        <v>1634.88</v>
      </c>
      <c r="Y132" s="194">
        <f t="shared" si="86"/>
        <v>0</v>
      </c>
      <c r="Z132" s="13">
        <f t="shared" si="87"/>
        <v>0</v>
      </c>
      <c r="AA132" s="13">
        <f t="shared" si="88"/>
        <v>0</v>
      </c>
      <c r="AB132" s="13">
        <f t="shared" si="89"/>
        <v>0</v>
      </c>
      <c r="AC132" s="13">
        <f t="shared" si="90"/>
        <v>0</v>
      </c>
      <c r="AD132" s="13">
        <f t="shared" si="91"/>
        <v>0</v>
      </c>
      <c r="AE132" s="13">
        <f t="shared" si="92"/>
        <v>0</v>
      </c>
      <c r="AF132" s="13">
        <f t="shared" si="93"/>
        <v>0</v>
      </c>
      <c r="AG132" s="685">
        <f t="shared" si="94"/>
        <v>0</v>
      </c>
      <c r="AH132" s="688" t="b">
        <f t="shared" si="95"/>
        <v>1</v>
      </c>
    </row>
    <row r="133" spans="1:34" s="1" customFormat="1" ht="15" customHeight="1">
      <c r="A133" s="946">
        <v>10690001</v>
      </c>
      <c r="B133" s="946" t="s">
        <v>597</v>
      </c>
      <c r="C133" s="946" t="s">
        <v>1279</v>
      </c>
      <c r="D133" s="946">
        <v>100000014</v>
      </c>
      <c r="E133" s="946" t="s">
        <v>23</v>
      </c>
      <c r="F133" s="946" t="s">
        <v>26</v>
      </c>
      <c r="G133" s="947">
        <v>-6221.03</v>
      </c>
      <c r="H133" s="947">
        <v>-8856.82</v>
      </c>
      <c r="I133" s="948"/>
      <c r="J133" s="948"/>
      <c r="K133" s="948"/>
      <c r="L133" s="29" t="e">
        <f>VLOOKUP(A133,'Account Mapping'!$A$2:$E$216,3,0)</f>
        <v>#N/A</v>
      </c>
      <c r="M133" s="25" t="e">
        <f>VLOOKUP(A133,'Account Mapping'!$A$2:$E$216,4,0)</f>
        <v>#N/A</v>
      </c>
      <c r="N133" s="26" t="e">
        <f>IF(OR(C133='Account Mapping'!$H$4,C133='Account Mapping'!$H$5,C133='Account Mapping'!$H$6),'Account Mapping'!$I$4,VLOOKUP(A133,'Account Mapping'!$A$2:$E$216,5,0))</f>
        <v>#N/A</v>
      </c>
      <c r="O133" s="27" t="e">
        <f>IF(OR(L133="Loan",L133="Deposit_Liability",L133="OFF_Unused Loan Commitment",L133="HQLA"),VLOOKUP(D133,'Customer Type'!$A$3:$C$38,3,0),"")</f>
        <v>#N/A</v>
      </c>
      <c r="P133" s="656" t="e">
        <f t="shared" si="83"/>
        <v>#N/A</v>
      </c>
      <c r="Q133" s="658">
        <f>IF(COUNTIF('Account Mapping'!$H$12:$H$45,A133)&gt;0,-H133,H133)</f>
        <v>8856.82</v>
      </c>
      <c r="R133" s="249" t="e">
        <f>VLOOKUP(P133,Assumptions!$C$2:$D$64,2,0)</f>
        <v>#N/A</v>
      </c>
      <c r="S133" s="692" t="str">
        <f>IFERROR(VLOOKUP(A133,'Maturity Adjustment'!$A$3:$C$81,3,0),(IF(J133&lt;$N$4,"Tomorrow",J133)))</f>
        <v>Tomorrow</v>
      </c>
      <c r="T133" s="24">
        <f t="shared" si="97"/>
        <v>1</v>
      </c>
      <c r="U133" s="196" t="e">
        <f t="shared" si="84"/>
        <v>#N/A</v>
      </c>
      <c r="V133" s="11" t="str">
        <f>IFERROR(VLOOKUP(A133,'Maturity Adjustment'!$A$86:$C$91,3,0),S133)</f>
        <v>Tomorrow</v>
      </c>
      <c r="W133" s="207" t="e">
        <f>VLOOKUP(A133,'Account Mapping'!$A$2:$F$216,6,0)</f>
        <v>#N/A</v>
      </c>
      <c r="X133" s="194">
        <f t="shared" si="85"/>
        <v>8856.82</v>
      </c>
      <c r="Y133" s="194">
        <f t="shared" si="86"/>
        <v>0</v>
      </c>
      <c r="Z133" s="13">
        <f t="shared" si="87"/>
        <v>0</v>
      </c>
      <c r="AA133" s="13">
        <f t="shared" si="88"/>
        <v>0</v>
      </c>
      <c r="AB133" s="13">
        <f t="shared" si="89"/>
        <v>0</v>
      </c>
      <c r="AC133" s="13">
        <f t="shared" si="90"/>
        <v>0</v>
      </c>
      <c r="AD133" s="13">
        <f t="shared" si="91"/>
        <v>0</v>
      </c>
      <c r="AE133" s="13">
        <f t="shared" si="92"/>
        <v>0</v>
      </c>
      <c r="AF133" s="13">
        <f t="shared" si="93"/>
        <v>0</v>
      </c>
      <c r="AG133" s="685">
        <f t="shared" si="94"/>
        <v>0</v>
      </c>
      <c r="AH133" s="688" t="b">
        <f t="shared" si="95"/>
        <v>1</v>
      </c>
    </row>
    <row r="134" spans="1:34" s="1" customFormat="1" ht="15" customHeight="1">
      <c r="A134" s="946">
        <v>10690001</v>
      </c>
      <c r="B134" s="946" t="s">
        <v>597</v>
      </c>
      <c r="C134" s="946" t="s">
        <v>1280</v>
      </c>
      <c r="D134" s="946">
        <v>100000014</v>
      </c>
      <c r="E134" s="946" t="s">
        <v>23</v>
      </c>
      <c r="F134" s="946" t="s">
        <v>26</v>
      </c>
      <c r="G134" s="947">
        <v>-1096.55</v>
      </c>
      <c r="H134" s="947">
        <v>-1561.15</v>
      </c>
      <c r="I134" s="948"/>
      <c r="J134" s="948"/>
      <c r="K134" s="948"/>
      <c r="L134" s="29" t="e">
        <f>VLOOKUP(A134,'Account Mapping'!$A$2:$E$216,3,0)</f>
        <v>#N/A</v>
      </c>
      <c r="M134" s="25" t="e">
        <f>VLOOKUP(A134,'Account Mapping'!$A$2:$E$216,4,0)</f>
        <v>#N/A</v>
      </c>
      <c r="N134" s="26" t="e">
        <f>IF(OR(C134='Account Mapping'!$H$4,C134='Account Mapping'!$H$5,C134='Account Mapping'!$H$6),'Account Mapping'!$I$4,VLOOKUP(A134,'Account Mapping'!$A$2:$E$216,5,0))</f>
        <v>#N/A</v>
      </c>
      <c r="O134" s="27" t="e">
        <f>IF(OR(L134="Loan",L134="Deposit_Liability",L134="OFF_Unused Loan Commitment",L134="HQLA"),VLOOKUP(D134,'Customer Type'!$A$3:$C$38,3,0),"")</f>
        <v>#N/A</v>
      </c>
      <c r="P134" s="656" t="e">
        <f t="shared" si="83"/>
        <v>#N/A</v>
      </c>
      <c r="Q134" s="658">
        <f>IF(COUNTIF('Account Mapping'!$H$12:$H$45,A134)&gt;0,-H134,H134)</f>
        <v>1561.15</v>
      </c>
      <c r="R134" s="249" t="e">
        <f>VLOOKUP(P134,Assumptions!$C$2:$D$64,2,0)</f>
        <v>#N/A</v>
      </c>
      <c r="S134" s="692" t="str">
        <f>IFERROR(VLOOKUP(A134,'Maturity Adjustment'!$A$3:$C$81,3,0),(IF(J134&lt;$N$4,"Tomorrow",J134)))</f>
        <v>Tomorrow</v>
      </c>
      <c r="T134" s="24">
        <f t="shared" si="97"/>
        <v>1</v>
      </c>
      <c r="U134" s="196" t="e">
        <f t="shared" si="84"/>
        <v>#N/A</v>
      </c>
      <c r="V134" s="11" t="str">
        <f>IFERROR(VLOOKUP(A134,'Maturity Adjustment'!$A$86:$C$91,3,0),S134)</f>
        <v>Tomorrow</v>
      </c>
      <c r="W134" s="207" t="e">
        <f>VLOOKUP(A134,'Account Mapping'!$A$2:$F$216,6,0)</f>
        <v>#N/A</v>
      </c>
      <c r="X134" s="194">
        <f t="shared" si="85"/>
        <v>1561.15</v>
      </c>
      <c r="Y134" s="194">
        <f t="shared" si="86"/>
        <v>0</v>
      </c>
      <c r="Z134" s="13">
        <f t="shared" si="87"/>
        <v>0</v>
      </c>
      <c r="AA134" s="13">
        <f t="shared" si="88"/>
        <v>0</v>
      </c>
      <c r="AB134" s="13">
        <f t="shared" si="89"/>
        <v>0</v>
      </c>
      <c r="AC134" s="13">
        <f t="shared" si="90"/>
        <v>0</v>
      </c>
      <c r="AD134" s="13">
        <f t="shared" si="91"/>
        <v>0</v>
      </c>
      <c r="AE134" s="13">
        <f t="shared" si="92"/>
        <v>0</v>
      </c>
      <c r="AF134" s="13">
        <f t="shared" si="93"/>
        <v>0</v>
      </c>
      <c r="AG134" s="685">
        <f t="shared" si="94"/>
        <v>0</v>
      </c>
      <c r="AH134" s="688" t="b">
        <f t="shared" si="95"/>
        <v>1</v>
      </c>
    </row>
    <row r="135" spans="1:34" s="1" customFormat="1" ht="15" customHeight="1">
      <c r="A135" s="946">
        <v>10690001</v>
      </c>
      <c r="B135" s="946" t="s">
        <v>597</v>
      </c>
      <c r="C135" s="946" t="s">
        <v>1281</v>
      </c>
      <c r="D135" s="946">
        <v>100000035</v>
      </c>
      <c r="E135" s="946" t="s">
        <v>1277</v>
      </c>
      <c r="F135" s="946" t="s">
        <v>11</v>
      </c>
      <c r="G135" s="947">
        <v>-43058</v>
      </c>
      <c r="H135" s="947">
        <v>-43058</v>
      </c>
      <c r="I135" s="948"/>
      <c r="J135" s="948"/>
      <c r="K135" s="948"/>
      <c r="L135" s="29" t="e">
        <f>VLOOKUP(A135,'Account Mapping'!$A$2:$E$216,3,0)</f>
        <v>#N/A</v>
      </c>
      <c r="M135" s="25" t="e">
        <f>VLOOKUP(A135,'Account Mapping'!$A$2:$E$216,4,0)</f>
        <v>#N/A</v>
      </c>
      <c r="N135" s="26" t="e">
        <f>IF(OR(C135='Account Mapping'!$H$4,C135='Account Mapping'!$H$5,C135='Account Mapping'!$H$6),'Account Mapping'!$I$4,VLOOKUP(A135,'Account Mapping'!$A$2:$E$216,5,0))</f>
        <v>#N/A</v>
      </c>
      <c r="O135" s="27" t="e">
        <f>IF(OR(L135="Loan",L135="Deposit_Liability",L135="OFF_Unused Loan Commitment",L135="HQLA"),VLOOKUP(D135,'Customer Type'!$A$3:$C$38,3,0),"")</f>
        <v>#N/A</v>
      </c>
      <c r="P135" s="656" t="e">
        <f t="shared" si="83"/>
        <v>#N/A</v>
      </c>
      <c r="Q135" s="658">
        <f>IF(COUNTIF('Account Mapping'!$H$12:$H$45,A135)&gt;0,-H135,H135)</f>
        <v>43058</v>
      </c>
      <c r="R135" s="249" t="e">
        <f>VLOOKUP(P135,Assumptions!$C$2:$D$64,2,0)</f>
        <v>#N/A</v>
      </c>
      <c r="S135" s="692" t="str">
        <f>IFERROR(VLOOKUP(A135,'Maturity Adjustment'!$A$3:$C$81,3,0),(IF(J135&lt;$N$4,"Tomorrow",J135)))</f>
        <v>Tomorrow</v>
      </c>
      <c r="T135" s="24">
        <f t="shared" si="97"/>
        <v>1</v>
      </c>
      <c r="U135" s="196" t="e">
        <f t="shared" si="84"/>
        <v>#N/A</v>
      </c>
      <c r="V135" s="11" t="str">
        <f>IFERROR(VLOOKUP(A135,'Maturity Adjustment'!$A$86:$C$91,3,0),S135)</f>
        <v>Tomorrow</v>
      </c>
      <c r="W135" s="207" t="e">
        <f>VLOOKUP(A135,'Account Mapping'!$A$2:$F$216,6,0)</f>
        <v>#N/A</v>
      </c>
      <c r="X135" s="194">
        <f t="shared" si="85"/>
        <v>43058</v>
      </c>
      <c r="Y135" s="194">
        <f t="shared" si="86"/>
        <v>0</v>
      </c>
      <c r="Z135" s="13">
        <f t="shared" si="87"/>
        <v>0</v>
      </c>
      <c r="AA135" s="13">
        <f t="shared" si="88"/>
        <v>0</v>
      </c>
      <c r="AB135" s="13">
        <f t="shared" si="89"/>
        <v>0</v>
      </c>
      <c r="AC135" s="13">
        <f t="shared" si="90"/>
        <v>0</v>
      </c>
      <c r="AD135" s="13">
        <f t="shared" si="91"/>
        <v>0</v>
      </c>
      <c r="AE135" s="13">
        <f t="shared" si="92"/>
        <v>0</v>
      </c>
      <c r="AF135" s="13">
        <f t="shared" si="93"/>
        <v>0</v>
      </c>
      <c r="AG135" s="685">
        <f t="shared" si="94"/>
        <v>0</v>
      </c>
      <c r="AH135" s="688" t="b">
        <f t="shared" si="95"/>
        <v>1</v>
      </c>
    </row>
    <row r="136" spans="1:34" s="1" customFormat="1" ht="15" customHeight="1">
      <c r="A136" s="946">
        <v>10690001</v>
      </c>
      <c r="B136" s="946" t="s">
        <v>597</v>
      </c>
      <c r="C136" s="946" t="s">
        <v>1325</v>
      </c>
      <c r="D136" s="946">
        <v>100000014</v>
      </c>
      <c r="E136" s="946" t="s">
        <v>23</v>
      </c>
      <c r="F136" s="946" t="s">
        <v>26</v>
      </c>
      <c r="G136" s="947">
        <v>-5391.56</v>
      </c>
      <c r="H136" s="947">
        <v>-7675.91</v>
      </c>
      <c r="I136" s="948"/>
      <c r="J136" s="948"/>
      <c r="K136" s="948"/>
      <c r="L136" s="29" t="e">
        <f>VLOOKUP(A136,'Account Mapping'!$A$2:$E$216,3,0)</f>
        <v>#N/A</v>
      </c>
      <c r="M136" s="25" t="e">
        <f>VLOOKUP(A136,'Account Mapping'!$A$2:$E$216,4,0)</f>
        <v>#N/A</v>
      </c>
      <c r="N136" s="26" t="e">
        <f>IF(OR(C136='Account Mapping'!$H$4,C136='Account Mapping'!$H$5,C136='Account Mapping'!$H$6),'Account Mapping'!$I$4,VLOOKUP(A136,'Account Mapping'!$A$2:$E$216,5,0))</f>
        <v>#N/A</v>
      </c>
      <c r="O136" s="27" t="e">
        <f>IF(OR(L136="Loan",L136="Deposit_Liability",L136="OFF_Unused Loan Commitment",L136="HQLA"),VLOOKUP(D136,'Customer Type'!$A$3:$C$38,3,0),"")</f>
        <v>#N/A</v>
      </c>
      <c r="P136" s="656" t="e">
        <f t="shared" ref="P136:P199" si="98">M136&amp;"_"&amp;O136</f>
        <v>#N/A</v>
      </c>
      <c r="Q136" s="658">
        <f>IF(COUNTIF('Account Mapping'!$H$12:$H$45,A136)&gt;0,-H136,H136)</f>
        <v>7675.91</v>
      </c>
      <c r="R136" s="249" t="e">
        <f>VLOOKUP(P136,Assumptions!$C$2:$D$64,2,0)</f>
        <v>#N/A</v>
      </c>
      <c r="S136" s="692" t="str">
        <f>IFERROR(VLOOKUP(A136,'Maturity Adjustment'!$A$3:$C$81,3,0),(IF(J136&lt;$N$4,"Tomorrow",J136)))</f>
        <v>Tomorrow</v>
      </c>
      <c r="T136" s="24">
        <f t="shared" si="97"/>
        <v>1</v>
      </c>
      <c r="U136" s="196" t="e">
        <f t="shared" ref="U136:U199" si="99">Q136*R136</f>
        <v>#N/A</v>
      </c>
      <c r="V136" s="11" t="str">
        <f>IFERROR(VLOOKUP(A136,'Maturity Adjustment'!$A$86:$C$91,3,0),S136)</f>
        <v>Tomorrow</v>
      </c>
      <c r="W136" s="207" t="e">
        <f>VLOOKUP(A136,'Account Mapping'!$A$2:$F$216,6,0)</f>
        <v>#N/A</v>
      </c>
      <c r="X136" s="194">
        <f t="shared" ref="X136:X199" si="100">IF(V136="Tomorrow",Q136,IF(AND(V136&gt;$X$4-1,V136&lt;$X$5),Q136,IF(V136=$X$5,Q136,0)))</f>
        <v>7675.91</v>
      </c>
      <c r="Y136" s="194">
        <f t="shared" ref="Y136:Y199" si="101">IF(AND(V136&gt;$Y$4-1,V136&lt;$Y$5),Q136,IF(V136=$Y$5,Q136,0))</f>
        <v>0</v>
      </c>
      <c r="Z136" s="13">
        <f t="shared" ref="Z136:Z199" si="102">IF(AND(V136&gt;$Z$4-1,V136&lt;$Z$5),Q136,IF(V136=$Z$5,Q136,0))</f>
        <v>0</v>
      </c>
      <c r="AA136" s="13">
        <f t="shared" ref="AA136:AA199" si="103">IF(AND(V136&gt;$AA$4-1,V136&lt;$AA$5),Q136,IF(V136=$AA$5,Q136,0))</f>
        <v>0</v>
      </c>
      <c r="AB136" s="13">
        <f t="shared" ref="AB136:AB199" si="104">IF(AND(V136&gt;$AB$4-1,V136&lt;$AB$5),Q136,IF(V136=$AB$5,Q136,0))</f>
        <v>0</v>
      </c>
      <c r="AC136" s="13">
        <f t="shared" ref="AC136:AC199" si="105">IF(AND(V136&gt;$AC$4-1,V136&lt;$AC$5),Q136,IF(V136=$AC$5,Q136,0))</f>
        <v>0</v>
      </c>
      <c r="AD136" s="13">
        <f t="shared" ref="AD136:AD199" si="106">IF(AND(V136&gt;$AD$4-1,V136&lt;$AD$5),Q136,IF(V136=$AD$5,Q136,0))</f>
        <v>0</v>
      </c>
      <c r="AE136" s="13">
        <f t="shared" ref="AE136:AE199" si="107">IF(AND(V136&gt;$AE$4-1,V136&lt;$AE$5),Q136,IF(V136=$AE$5,Q136,0))</f>
        <v>0</v>
      </c>
      <c r="AF136" s="13">
        <f t="shared" ref="AF136:AF199" si="108">IF(AND(V136&gt;$AF$4-1,V136&lt;$AF$5),Q136,IF(V136=$AF$5,Q136,0))</f>
        <v>0</v>
      </c>
      <c r="AG136" s="685">
        <f t="shared" ref="AG136:AG199" si="109">IF(AND(V136&gt;$AG$4-1,V136&lt;$AG$5),Q136,IF(V136=$AG$5,Q136,0))</f>
        <v>0</v>
      </c>
      <c r="AH136" s="688" t="b">
        <f t="shared" ref="AH136:AH199" si="110">Q136=SUM(X136:AG136)</f>
        <v>1</v>
      </c>
    </row>
    <row r="137" spans="1:34" s="1" customFormat="1" ht="15" customHeight="1">
      <c r="A137" s="946">
        <v>10690001</v>
      </c>
      <c r="B137" s="946" t="s">
        <v>597</v>
      </c>
      <c r="C137" s="946" t="s">
        <v>1326</v>
      </c>
      <c r="D137" s="946">
        <v>100000014</v>
      </c>
      <c r="E137" s="946" t="s">
        <v>23</v>
      </c>
      <c r="F137" s="946" t="s">
        <v>26</v>
      </c>
      <c r="G137" s="947">
        <v>-1224.07</v>
      </c>
      <c r="H137" s="947">
        <v>-1742.7</v>
      </c>
      <c r="I137" s="948"/>
      <c r="J137" s="948"/>
      <c r="K137" s="948"/>
      <c r="L137" s="29" t="e">
        <f>VLOOKUP(A137,'Account Mapping'!$A$2:$E$216,3,0)</f>
        <v>#N/A</v>
      </c>
      <c r="M137" s="25" t="e">
        <f>VLOOKUP(A137,'Account Mapping'!$A$2:$E$216,4,0)</f>
        <v>#N/A</v>
      </c>
      <c r="N137" s="26" t="e">
        <f>IF(OR(C137='Account Mapping'!$H$4,C137='Account Mapping'!$H$5,C137='Account Mapping'!$H$6),'Account Mapping'!$I$4,VLOOKUP(A137,'Account Mapping'!$A$2:$E$216,5,0))</f>
        <v>#N/A</v>
      </c>
      <c r="O137" s="27" t="e">
        <f>IF(OR(L137="Loan",L137="Deposit_Liability",L137="OFF_Unused Loan Commitment",L137="HQLA"),VLOOKUP(D137,'Customer Type'!$A$3:$C$38,3,0),"")</f>
        <v>#N/A</v>
      </c>
      <c r="P137" s="656" t="e">
        <f t="shared" si="98"/>
        <v>#N/A</v>
      </c>
      <c r="Q137" s="658">
        <f>IF(COUNTIF('Account Mapping'!$H$12:$H$45,A137)&gt;0,-H137,H137)</f>
        <v>1742.7</v>
      </c>
      <c r="R137" s="249" t="e">
        <f>VLOOKUP(P137,Assumptions!$C$2:$D$64,2,0)</f>
        <v>#N/A</v>
      </c>
      <c r="S137" s="692" t="str">
        <f>IFERROR(VLOOKUP(A137,'Maturity Adjustment'!$A$3:$C$81,3,0),(IF(J137&lt;$N$4,"Tomorrow",J137)))</f>
        <v>Tomorrow</v>
      </c>
      <c r="T137" s="24">
        <f t="shared" si="97"/>
        <v>1</v>
      </c>
      <c r="U137" s="196" t="e">
        <f t="shared" si="99"/>
        <v>#N/A</v>
      </c>
      <c r="V137" s="11" t="str">
        <f>IFERROR(VLOOKUP(A137,'Maturity Adjustment'!$A$86:$C$91,3,0),S137)</f>
        <v>Tomorrow</v>
      </c>
      <c r="W137" s="207" t="e">
        <f>VLOOKUP(A137,'Account Mapping'!$A$2:$F$216,6,0)</f>
        <v>#N/A</v>
      </c>
      <c r="X137" s="194">
        <f t="shared" si="100"/>
        <v>1742.7</v>
      </c>
      <c r="Y137" s="194">
        <f t="shared" si="101"/>
        <v>0</v>
      </c>
      <c r="Z137" s="13">
        <f t="shared" si="102"/>
        <v>0</v>
      </c>
      <c r="AA137" s="13">
        <f t="shared" si="103"/>
        <v>0</v>
      </c>
      <c r="AB137" s="13">
        <f t="shared" si="104"/>
        <v>0</v>
      </c>
      <c r="AC137" s="13">
        <f t="shared" si="105"/>
        <v>0</v>
      </c>
      <c r="AD137" s="13">
        <f t="shared" si="106"/>
        <v>0</v>
      </c>
      <c r="AE137" s="13">
        <f t="shared" si="107"/>
        <v>0</v>
      </c>
      <c r="AF137" s="13">
        <f t="shared" si="108"/>
        <v>0</v>
      </c>
      <c r="AG137" s="685">
        <f t="shared" si="109"/>
        <v>0</v>
      </c>
      <c r="AH137" s="688" t="b">
        <f t="shared" si="110"/>
        <v>1</v>
      </c>
    </row>
    <row r="138" spans="1:34" s="1" customFormat="1" ht="15" customHeight="1">
      <c r="A138" s="946">
        <v>10690001</v>
      </c>
      <c r="B138" s="946" t="s">
        <v>597</v>
      </c>
      <c r="C138" s="946" t="s">
        <v>1407</v>
      </c>
      <c r="D138" s="946">
        <v>100000014</v>
      </c>
      <c r="E138" s="946" t="s">
        <v>23</v>
      </c>
      <c r="F138" s="946" t="s">
        <v>26</v>
      </c>
      <c r="G138" s="947">
        <v>-10368.39</v>
      </c>
      <c r="H138" s="947">
        <v>-14761.38</v>
      </c>
      <c r="I138" s="948"/>
      <c r="J138" s="948"/>
      <c r="K138" s="948"/>
      <c r="L138" s="29" t="e">
        <f>VLOOKUP(A138,'Account Mapping'!$A$2:$E$216,3,0)</f>
        <v>#N/A</v>
      </c>
      <c r="M138" s="25" t="e">
        <f>VLOOKUP(A138,'Account Mapping'!$A$2:$E$216,4,0)</f>
        <v>#N/A</v>
      </c>
      <c r="N138" s="26" t="e">
        <f>IF(OR(C138='Account Mapping'!$H$4,C138='Account Mapping'!$H$5,C138='Account Mapping'!$H$6),'Account Mapping'!$I$4,VLOOKUP(A138,'Account Mapping'!$A$2:$E$216,5,0))</f>
        <v>#N/A</v>
      </c>
      <c r="O138" s="27" t="e">
        <f>IF(OR(L138="Loan",L138="Deposit_Liability",L138="OFF_Unused Loan Commitment",L138="HQLA"),VLOOKUP(D138,'Customer Type'!$A$3:$C$38,3,0),"")</f>
        <v>#N/A</v>
      </c>
      <c r="P138" s="656" t="e">
        <f t="shared" si="98"/>
        <v>#N/A</v>
      </c>
      <c r="Q138" s="658">
        <f>IF(COUNTIF('Account Mapping'!$H$12:$H$45,A138)&gt;0,-H138,H138)</f>
        <v>14761.38</v>
      </c>
      <c r="R138" s="249" t="e">
        <f>VLOOKUP(P138,Assumptions!$C$2:$D$64,2,0)</f>
        <v>#N/A</v>
      </c>
      <c r="S138" s="692" t="str">
        <f>IFERROR(VLOOKUP(A138,'Maturity Adjustment'!$A$3:$C$81,3,0),(IF(J138&lt;$N$4,"Tomorrow",J138)))</f>
        <v>Tomorrow</v>
      </c>
      <c r="T138" s="24">
        <f t="shared" si="97"/>
        <v>1</v>
      </c>
      <c r="U138" s="196" t="e">
        <f t="shared" si="99"/>
        <v>#N/A</v>
      </c>
      <c r="V138" s="11" t="str">
        <f>IFERROR(VLOOKUP(A138,'Maturity Adjustment'!$A$86:$C$91,3,0),S138)</f>
        <v>Tomorrow</v>
      </c>
      <c r="W138" s="207" t="e">
        <f>VLOOKUP(A138,'Account Mapping'!$A$2:$F$216,6,0)</f>
        <v>#N/A</v>
      </c>
      <c r="X138" s="194">
        <f t="shared" si="100"/>
        <v>14761.38</v>
      </c>
      <c r="Y138" s="194">
        <f t="shared" si="101"/>
        <v>0</v>
      </c>
      <c r="Z138" s="13">
        <f t="shared" si="102"/>
        <v>0</v>
      </c>
      <c r="AA138" s="13">
        <f t="shared" si="103"/>
        <v>0</v>
      </c>
      <c r="AB138" s="13">
        <f t="shared" si="104"/>
        <v>0</v>
      </c>
      <c r="AC138" s="13">
        <f t="shared" si="105"/>
        <v>0</v>
      </c>
      <c r="AD138" s="13">
        <f t="shared" si="106"/>
        <v>0</v>
      </c>
      <c r="AE138" s="13">
        <f t="shared" si="107"/>
        <v>0</v>
      </c>
      <c r="AF138" s="13">
        <f t="shared" si="108"/>
        <v>0</v>
      </c>
      <c r="AG138" s="685">
        <f t="shared" si="109"/>
        <v>0</v>
      </c>
      <c r="AH138" s="688" t="b">
        <f t="shared" si="110"/>
        <v>1</v>
      </c>
    </row>
    <row r="139" spans="1:34" s="1" customFormat="1" ht="15" customHeight="1">
      <c r="A139" s="946">
        <v>10690001</v>
      </c>
      <c r="B139" s="946" t="s">
        <v>597</v>
      </c>
      <c r="C139" s="946" t="s">
        <v>1408</v>
      </c>
      <c r="D139" s="946">
        <v>100000014</v>
      </c>
      <c r="E139" s="946" t="s">
        <v>23</v>
      </c>
      <c r="F139" s="946" t="s">
        <v>26</v>
      </c>
      <c r="G139" s="947">
        <v>-1246.44</v>
      </c>
      <c r="H139" s="947">
        <v>-1774.54</v>
      </c>
      <c r="I139" s="948"/>
      <c r="J139" s="948"/>
      <c r="K139" s="948"/>
      <c r="L139" s="29" t="e">
        <f>VLOOKUP(A139,'Account Mapping'!$A$2:$E$216,3,0)</f>
        <v>#N/A</v>
      </c>
      <c r="M139" s="25" t="e">
        <f>VLOOKUP(A139,'Account Mapping'!$A$2:$E$216,4,0)</f>
        <v>#N/A</v>
      </c>
      <c r="N139" s="26" t="e">
        <f>IF(OR(C139='Account Mapping'!$H$4,C139='Account Mapping'!$H$5,C139='Account Mapping'!$H$6),'Account Mapping'!$I$4,VLOOKUP(A139,'Account Mapping'!$A$2:$E$216,5,0))</f>
        <v>#N/A</v>
      </c>
      <c r="O139" s="27" t="e">
        <f>IF(OR(L139="Loan",L139="Deposit_Liability",L139="OFF_Unused Loan Commitment",L139="HQLA"),VLOOKUP(D139,'Customer Type'!$A$3:$C$38,3,0),"")</f>
        <v>#N/A</v>
      </c>
      <c r="P139" s="656" t="e">
        <f t="shared" si="98"/>
        <v>#N/A</v>
      </c>
      <c r="Q139" s="658">
        <f>IF(COUNTIF('Account Mapping'!$H$12:$H$45,A139)&gt;0,-H139,H139)</f>
        <v>1774.54</v>
      </c>
      <c r="R139" s="249" t="e">
        <f>VLOOKUP(P139,Assumptions!$C$2:$D$64,2,0)</f>
        <v>#N/A</v>
      </c>
      <c r="S139" s="692" t="str">
        <f>IFERROR(VLOOKUP(A139,'Maturity Adjustment'!$A$3:$C$81,3,0),(IF(J139&lt;$N$4,"Tomorrow",J139)))</f>
        <v>Tomorrow</v>
      </c>
      <c r="T139" s="24">
        <f t="shared" si="97"/>
        <v>1</v>
      </c>
      <c r="U139" s="196" t="e">
        <f t="shared" si="99"/>
        <v>#N/A</v>
      </c>
      <c r="V139" s="11" t="str">
        <f>IFERROR(VLOOKUP(A139,'Maturity Adjustment'!$A$86:$C$91,3,0),S139)</f>
        <v>Tomorrow</v>
      </c>
      <c r="W139" s="207" t="e">
        <f>VLOOKUP(A139,'Account Mapping'!$A$2:$F$216,6,0)</f>
        <v>#N/A</v>
      </c>
      <c r="X139" s="194">
        <f t="shared" si="100"/>
        <v>1774.54</v>
      </c>
      <c r="Y139" s="194">
        <f t="shared" si="101"/>
        <v>0</v>
      </c>
      <c r="Z139" s="13">
        <f t="shared" si="102"/>
        <v>0</v>
      </c>
      <c r="AA139" s="13">
        <f t="shared" si="103"/>
        <v>0</v>
      </c>
      <c r="AB139" s="13">
        <f t="shared" si="104"/>
        <v>0</v>
      </c>
      <c r="AC139" s="13">
        <f t="shared" si="105"/>
        <v>0</v>
      </c>
      <c r="AD139" s="13">
        <f t="shared" si="106"/>
        <v>0</v>
      </c>
      <c r="AE139" s="13">
        <f t="shared" si="107"/>
        <v>0</v>
      </c>
      <c r="AF139" s="13">
        <f t="shared" si="108"/>
        <v>0</v>
      </c>
      <c r="AG139" s="685">
        <f t="shared" si="109"/>
        <v>0</v>
      </c>
      <c r="AH139" s="688" t="b">
        <f t="shared" si="110"/>
        <v>1</v>
      </c>
    </row>
    <row r="140" spans="1:34" s="1" customFormat="1" ht="15" customHeight="1">
      <c r="A140" s="946">
        <v>10690001</v>
      </c>
      <c r="B140" s="946" t="s">
        <v>597</v>
      </c>
      <c r="C140" s="946" t="s">
        <v>1416</v>
      </c>
      <c r="D140" s="946">
        <v>100000014</v>
      </c>
      <c r="E140" s="946" t="s">
        <v>23</v>
      </c>
      <c r="F140" s="946" t="s">
        <v>26</v>
      </c>
      <c r="G140" s="947">
        <v>-5668.05</v>
      </c>
      <c r="H140" s="947">
        <v>-8069.55</v>
      </c>
      <c r="I140" s="948"/>
      <c r="J140" s="948"/>
      <c r="K140" s="948"/>
      <c r="L140" s="29" t="e">
        <f>VLOOKUP(A140,'Account Mapping'!$A$2:$E$216,3,0)</f>
        <v>#N/A</v>
      </c>
      <c r="M140" s="25" t="e">
        <f>VLOOKUP(A140,'Account Mapping'!$A$2:$E$216,4,0)</f>
        <v>#N/A</v>
      </c>
      <c r="N140" s="26" t="e">
        <f>IF(OR(C140='Account Mapping'!$H$4,C140='Account Mapping'!$H$5,C140='Account Mapping'!$H$6),'Account Mapping'!$I$4,VLOOKUP(A140,'Account Mapping'!$A$2:$E$216,5,0))</f>
        <v>#N/A</v>
      </c>
      <c r="O140" s="27" t="e">
        <f>IF(OR(L140="Loan",L140="Deposit_Liability",L140="OFF_Unused Loan Commitment",L140="HQLA"),VLOOKUP(D140,'Customer Type'!$A$3:$C$38,3,0),"")</f>
        <v>#N/A</v>
      </c>
      <c r="P140" s="656" t="e">
        <f t="shared" si="98"/>
        <v>#N/A</v>
      </c>
      <c r="Q140" s="658">
        <f>IF(COUNTIF('Account Mapping'!$H$12:$H$45,A140)&gt;0,-H140,H140)</f>
        <v>8069.55</v>
      </c>
      <c r="R140" s="249" t="e">
        <f>VLOOKUP(P140,Assumptions!$C$2:$D$64,2,0)</f>
        <v>#N/A</v>
      </c>
      <c r="S140" s="692" t="str">
        <f>IFERROR(VLOOKUP(A140,'Maturity Adjustment'!$A$3:$C$81,3,0),(IF(J140&lt;$N$4,"Tomorrow",J140)))</f>
        <v>Tomorrow</v>
      </c>
      <c r="T140" s="24">
        <f t="shared" si="97"/>
        <v>1</v>
      </c>
      <c r="U140" s="196" t="e">
        <f t="shared" si="99"/>
        <v>#N/A</v>
      </c>
      <c r="V140" s="11" t="str">
        <f>IFERROR(VLOOKUP(A140,'Maturity Adjustment'!$A$86:$C$91,3,0),S140)</f>
        <v>Tomorrow</v>
      </c>
      <c r="W140" s="207" t="e">
        <f>VLOOKUP(A140,'Account Mapping'!$A$2:$F$216,6,0)</f>
        <v>#N/A</v>
      </c>
      <c r="X140" s="194">
        <f t="shared" si="100"/>
        <v>8069.55</v>
      </c>
      <c r="Y140" s="194">
        <f t="shared" si="101"/>
        <v>0</v>
      </c>
      <c r="Z140" s="13">
        <f t="shared" si="102"/>
        <v>0</v>
      </c>
      <c r="AA140" s="13">
        <f t="shared" si="103"/>
        <v>0</v>
      </c>
      <c r="AB140" s="13">
        <f t="shared" si="104"/>
        <v>0</v>
      </c>
      <c r="AC140" s="13">
        <f t="shared" si="105"/>
        <v>0</v>
      </c>
      <c r="AD140" s="13">
        <f t="shared" si="106"/>
        <v>0</v>
      </c>
      <c r="AE140" s="13">
        <f t="shared" si="107"/>
        <v>0</v>
      </c>
      <c r="AF140" s="13">
        <f t="shared" si="108"/>
        <v>0</v>
      </c>
      <c r="AG140" s="685">
        <f t="shared" si="109"/>
        <v>0</v>
      </c>
      <c r="AH140" s="688" t="b">
        <f t="shared" si="110"/>
        <v>1</v>
      </c>
    </row>
    <row r="141" spans="1:34" s="1" customFormat="1" ht="15" customHeight="1">
      <c r="A141" s="946">
        <v>10690001</v>
      </c>
      <c r="B141" s="946" t="s">
        <v>597</v>
      </c>
      <c r="C141" s="946" t="s">
        <v>1417</v>
      </c>
      <c r="D141" s="946">
        <v>100000014</v>
      </c>
      <c r="E141" s="946" t="s">
        <v>23</v>
      </c>
      <c r="F141" s="946" t="s">
        <v>26</v>
      </c>
      <c r="G141" s="947">
        <v>-1168.42</v>
      </c>
      <c r="H141" s="947">
        <v>-1663.47</v>
      </c>
      <c r="I141" s="948"/>
      <c r="J141" s="948"/>
      <c r="K141" s="948"/>
      <c r="L141" s="29" t="e">
        <f>VLOOKUP(A141,'Account Mapping'!$A$2:$E$216,3,0)</f>
        <v>#N/A</v>
      </c>
      <c r="M141" s="25" t="e">
        <f>VLOOKUP(A141,'Account Mapping'!$A$2:$E$216,4,0)</f>
        <v>#N/A</v>
      </c>
      <c r="N141" s="26" t="e">
        <f>IF(OR(C141='Account Mapping'!$H$4,C141='Account Mapping'!$H$5,C141='Account Mapping'!$H$6),'Account Mapping'!$I$4,VLOOKUP(A141,'Account Mapping'!$A$2:$E$216,5,0))</f>
        <v>#N/A</v>
      </c>
      <c r="O141" s="27" t="e">
        <f>IF(OR(L141="Loan",L141="Deposit_Liability",L141="OFF_Unused Loan Commitment",L141="HQLA"),VLOOKUP(D141,'Customer Type'!$A$3:$C$38,3,0),"")</f>
        <v>#N/A</v>
      </c>
      <c r="P141" s="656" t="e">
        <f t="shared" si="98"/>
        <v>#N/A</v>
      </c>
      <c r="Q141" s="658">
        <f>IF(COUNTIF('Account Mapping'!$H$12:$H$45,A141)&gt;0,-H141,H141)</f>
        <v>1663.47</v>
      </c>
      <c r="R141" s="249" t="e">
        <f>VLOOKUP(P141,Assumptions!$C$2:$D$64,2,0)</f>
        <v>#N/A</v>
      </c>
      <c r="S141" s="692" t="str">
        <f>IFERROR(VLOOKUP(A141,'Maturity Adjustment'!$A$3:$C$81,3,0),(IF(J141&lt;$N$4,"Tomorrow",J141)))</f>
        <v>Tomorrow</v>
      </c>
      <c r="T141" s="24">
        <f t="shared" si="97"/>
        <v>1</v>
      </c>
      <c r="U141" s="196" t="e">
        <f t="shared" si="99"/>
        <v>#N/A</v>
      </c>
      <c r="V141" s="11" t="str">
        <f>IFERROR(VLOOKUP(A141,'Maturity Adjustment'!$A$86:$C$91,3,0),S141)</f>
        <v>Tomorrow</v>
      </c>
      <c r="W141" s="207" t="e">
        <f>VLOOKUP(A141,'Account Mapping'!$A$2:$F$216,6,0)</f>
        <v>#N/A</v>
      </c>
      <c r="X141" s="194">
        <f t="shared" si="100"/>
        <v>1663.47</v>
      </c>
      <c r="Y141" s="194">
        <f t="shared" si="101"/>
        <v>0</v>
      </c>
      <c r="Z141" s="13">
        <f t="shared" si="102"/>
        <v>0</v>
      </c>
      <c r="AA141" s="13">
        <f t="shared" si="103"/>
        <v>0</v>
      </c>
      <c r="AB141" s="13">
        <f t="shared" si="104"/>
        <v>0</v>
      </c>
      <c r="AC141" s="13">
        <f t="shared" si="105"/>
        <v>0</v>
      </c>
      <c r="AD141" s="13">
        <f t="shared" si="106"/>
        <v>0</v>
      </c>
      <c r="AE141" s="13">
        <f t="shared" si="107"/>
        <v>0</v>
      </c>
      <c r="AF141" s="13">
        <f t="shared" si="108"/>
        <v>0</v>
      </c>
      <c r="AG141" s="685">
        <f t="shared" si="109"/>
        <v>0</v>
      </c>
      <c r="AH141" s="688" t="b">
        <f t="shared" si="110"/>
        <v>1</v>
      </c>
    </row>
    <row r="142" spans="1:34" s="1" customFormat="1" ht="15" customHeight="1">
      <c r="A142" s="946">
        <v>10690001</v>
      </c>
      <c r="B142" s="946" t="s">
        <v>597</v>
      </c>
      <c r="C142" s="946" t="s">
        <v>1427</v>
      </c>
      <c r="D142" s="946">
        <v>100000014</v>
      </c>
      <c r="E142" s="946" t="s">
        <v>23</v>
      </c>
      <c r="F142" s="946" t="s">
        <v>26</v>
      </c>
      <c r="G142" s="947">
        <v>-19907.3</v>
      </c>
      <c r="H142" s="947">
        <v>-28341.83</v>
      </c>
      <c r="I142" s="948"/>
      <c r="J142" s="948"/>
      <c r="K142" s="948"/>
      <c r="L142" s="29" t="e">
        <f>VLOOKUP(A142,'Account Mapping'!$A$2:$E$216,3,0)</f>
        <v>#N/A</v>
      </c>
      <c r="M142" s="25" t="e">
        <f>VLOOKUP(A142,'Account Mapping'!$A$2:$E$216,4,0)</f>
        <v>#N/A</v>
      </c>
      <c r="N142" s="26" t="e">
        <f>IF(OR(C142='Account Mapping'!$H$4,C142='Account Mapping'!$H$5,C142='Account Mapping'!$H$6),'Account Mapping'!$I$4,VLOOKUP(A142,'Account Mapping'!$A$2:$E$216,5,0))</f>
        <v>#N/A</v>
      </c>
      <c r="O142" s="27" t="e">
        <f>IF(OR(L142="Loan",L142="Deposit_Liability",L142="OFF_Unused Loan Commitment",L142="HQLA"),VLOOKUP(D142,'Customer Type'!$A$3:$C$38,3,0),"")</f>
        <v>#N/A</v>
      </c>
      <c r="P142" s="656" t="e">
        <f t="shared" si="98"/>
        <v>#N/A</v>
      </c>
      <c r="Q142" s="658">
        <f>IF(COUNTIF('Account Mapping'!$H$12:$H$45,A142)&gt;0,-H142,H142)</f>
        <v>28341.83</v>
      </c>
      <c r="R142" s="249" t="e">
        <f>VLOOKUP(P142,Assumptions!$C$2:$D$64,2,0)</f>
        <v>#N/A</v>
      </c>
      <c r="S142" s="692" t="str">
        <f>IFERROR(VLOOKUP(A142,'Maturity Adjustment'!$A$3:$C$81,3,0),(IF(J142&lt;$N$4,"Tomorrow",J142)))</f>
        <v>Tomorrow</v>
      </c>
      <c r="T142" s="24">
        <f t="shared" si="97"/>
        <v>1</v>
      </c>
      <c r="U142" s="196" t="e">
        <f t="shared" si="99"/>
        <v>#N/A</v>
      </c>
      <c r="V142" s="11" t="str">
        <f>IFERROR(VLOOKUP(A142,'Maturity Adjustment'!$A$86:$C$91,3,0),S142)</f>
        <v>Tomorrow</v>
      </c>
      <c r="W142" s="207" t="e">
        <f>VLOOKUP(A142,'Account Mapping'!$A$2:$F$216,6,0)</f>
        <v>#N/A</v>
      </c>
      <c r="X142" s="194">
        <f t="shared" si="100"/>
        <v>28341.83</v>
      </c>
      <c r="Y142" s="194">
        <f t="shared" si="101"/>
        <v>0</v>
      </c>
      <c r="Z142" s="13">
        <f t="shared" si="102"/>
        <v>0</v>
      </c>
      <c r="AA142" s="13">
        <f t="shared" si="103"/>
        <v>0</v>
      </c>
      <c r="AB142" s="13">
        <f t="shared" si="104"/>
        <v>0</v>
      </c>
      <c r="AC142" s="13">
        <f t="shared" si="105"/>
        <v>0</v>
      </c>
      <c r="AD142" s="13">
        <f t="shared" si="106"/>
        <v>0</v>
      </c>
      <c r="AE142" s="13">
        <f t="shared" si="107"/>
        <v>0</v>
      </c>
      <c r="AF142" s="13">
        <f t="shared" si="108"/>
        <v>0</v>
      </c>
      <c r="AG142" s="685">
        <f t="shared" si="109"/>
        <v>0</v>
      </c>
      <c r="AH142" s="688" t="b">
        <f t="shared" si="110"/>
        <v>1</v>
      </c>
    </row>
    <row r="143" spans="1:34" s="1" customFormat="1" ht="15" customHeight="1">
      <c r="A143" s="946">
        <v>10690001</v>
      </c>
      <c r="B143" s="946" t="s">
        <v>597</v>
      </c>
      <c r="C143" s="946" t="s">
        <v>1428</v>
      </c>
      <c r="D143" s="946">
        <v>100000014</v>
      </c>
      <c r="E143" s="946" t="s">
        <v>23</v>
      </c>
      <c r="F143" s="946" t="s">
        <v>26</v>
      </c>
      <c r="G143" s="947">
        <v>-1250.75</v>
      </c>
      <c r="H143" s="947">
        <v>-1780.68</v>
      </c>
      <c r="I143" s="948"/>
      <c r="J143" s="948"/>
      <c r="K143" s="948"/>
      <c r="L143" s="29" t="e">
        <f>VLOOKUP(A143,'Account Mapping'!$A$2:$E$216,3,0)</f>
        <v>#N/A</v>
      </c>
      <c r="M143" s="25" t="e">
        <f>VLOOKUP(A143,'Account Mapping'!$A$2:$E$216,4,0)</f>
        <v>#N/A</v>
      </c>
      <c r="N143" s="26" t="e">
        <f>IF(OR(C143='Account Mapping'!$H$4,C143='Account Mapping'!$H$5,C143='Account Mapping'!$H$6),'Account Mapping'!$I$4,VLOOKUP(A143,'Account Mapping'!$A$2:$E$216,5,0))</f>
        <v>#N/A</v>
      </c>
      <c r="O143" s="27" t="e">
        <f>IF(OR(L143="Loan",L143="Deposit_Liability",L143="OFF_Unused Loan Commitment",L143="HQLA"),VLOOKUP(D143,'Customer Type'!$A$3:$C$38,3,0),"")</f>
        <v>#N/A</v>
      </c>
      <c r="P143" s="656" t="e">
        <f t="shared" si="98"/>
        <v>#N/A</v>
      </c>
      <c r="Q143" s="658">
        <f>IF(COUNTIF('Account Mapping'!$H$12:$H$45,A143)&gt;0,-H143,H143)</f>
        <v>1780.68</v>
      </c>
      <c r="R143" s="249" t="e">
        <f>VLOOKUP(P143,Assumptions!$C$2:$D$64,2,0)</f>
        <v>#N/A</v>
      </c>
      <c r="S143" s="692" t="str">
        <f>IFERROR(VLOOKUP(A143,'Maturity Adjustment'!$A$3:$C$81,3,0),(IF(J143&lt;$N$4,"Tomorrow",J143)))</f>
        <v>Tomorrow</v>
      </c>
      <c r="T143" s="24">
        <f t="shared" si="97"/>
        <v>1</v>
      </c>
      <c r="U143" s="196" t="e">
        <f t="shared" si="99"/>
        <v>#N/A</v>
      </c>
      <c r="V143" s="11" t="str">
        <f>IFERROR(VLOOKUP(A143,'Maturity Adjustment'!$A$86:$C$91,3,0),S143)</f>
        <v>Tomorrow</v>
      </c>
      <c r="W143" s="207" t="e">
        <f>VLOOKUP(A143,'Account Mapping'!$A$2:$F$216,6,0)</f>
        <v>#N/A</v>
      </c>
      <c r="X143" s="194">
        <f t="shared" si="100"/>
        <v>1780.68</v>
      </c>
      <c r="Y143" s="194">
        <f t="shared" si="101"/>
        <v>0</v>
      </c>
      <c r="Z143" s="13">
        <f t="shared" si="102"/>
        <v>0</v>
      </c>
      <c r="AA143" s="13">
        <f t="shared" si="103"/>
        <v>0</v>
      </c>
      <c r="AB143" s="13">
        <f t="shared" si="104"/>
        <v>0</v>
      </c>
      <c r="AC143" s="13">
        <f t="shared" si="105"/>
        <v>0</v>
      </c>
      <c r="AD143" s="13">
        <f t="shared" si="106"/>
        <v>0</v>
      </c>
      <c r="AE143" s="13">
        <f t="shared" si="107"/>
        <v>0</v>
      </c>
      <c r="AF143" s="13">
        <f t="shared" si="108"/>
        <v>0</v>
      </c>
      <c r="AG143" s="685">
        <f t="shared" si="109"/>
        <v>0</v>
      </c>
      <c r="AH143" s="688" t="b">
        <f t="shared" si="110"/>
        <v>1</v>
      </c>
    </row>
    <row r="144" spans="1:34" s="1" customFormat="1" ht="15" customHeight="1">
      <c r="A144" s="946">
        <v>10690001</v>
      </c>
      <c r="B144" s="946" t="s">
        <v>597</v>
      </c>
      <c r="C144" s="946" t="s">
        <v>1434</v>
      </c>
      <c r="D144" s="946">
        <v>100000014</v>
      </c>
      <c r="E144" s="946" t="s">
        <v>23</v>
      </c>
      <c r="F144" s="946" t="s">
        <v>26</v>
      </c>
      <c r="G144" s="947">
        <v>-13133.29</v>
      </c>
      <c r="H144" s="947">
        <v>-18697.740000000002</v>
      </c>
      <c r="I144" s="948"/>
      <c r="J144" s="948"/>
      <c r="K144" s="948"/>
      <c r="L144" s="29" t="e">
        <f>VLOOKUP(A144,'Account Mapping'!$A$2:$E$216,3,0)</f>
        <v>#N/A</v>
      </c>
      <c r="M144" s="25" t="e">
        <f>VLOOKUP(A144,'Account Mapping'!$A$2:$E$216,4,0)</f>
        <v>#N/A</v>
      </c>
      <c r="N144" s="26" t="e">
        <f>IF(OR(C144='Account Mapping'!$H$4,C144='Account Mapping'!$H$5,C144='Account Mapping'!$H$6),'Account Mapping'!$I$4,VLOOKUP(A144,'Account Mapping'!$A$2:$E$216,5,0))</f>
        <v>#N/A</v>
      </c>
      <c r="O144" s="27" t="e">
        <f>IF(OR(L144="Loan",L144="Deposit_Liability",L144="OFF_Unused Loan Commitment",L144="HQLA"),VLOOKUP(D144,'Customer Type'!$A$3:$C$38,3,0),"")</f>
        <v>#N/A</v>
      </c>
      <c r="P144" s="656" t="e">
        <f t="shared" si="98"/>
        <v>#N/A</v>
      </c>
      <c r="Q144" s="658">
        <f>IF(COUNTIF('Account Mapping'!$H$12:$H$45,A144)&gt;0,-H144,H144)</f>
        <v>18697.740000000002</v>
      </c>
      <c r="R144" s="249" t="e">
        <f>VLOOKUP(P144,Assumptions!$C$2:$D$64,2,0)</f>
        <v>#N/A</v>
      </c>
      <c r="S144" s="692" t="str">
        <f>IFERROR(VLOOKUP(A144,'Maturity Adjustment'!$A$3:$C$81,3,0),(IF(J144&lt;$N$4,"Tomorrow",J144)))</f>
        <v>Tomorrow</v>
      </c>
      <c r="T144" s="24">
        <f t="shared" si="97"/>
        <v>1</v>
      </c>
      <c r="U144" s="196" t="e">
        <f t="shared" si="99"/>
        <v>#N/A</v>
      </c>
      <c r="V144" s="11" t="str">
        <f>IFERROR(VLOOKUP(A144,'Maturity Adjustment'!$A$86:$C$91,3,0),S144)</f>
        <v>Tomorrow</v>
      </c>
      <c r="W144" s="207" t="e">
        <f>VLOOKUP(A144,'Account Mapping'!$A$2:$F$216,6,0)</f>
        <v>#N/A</v>
      </c>
      <c r="X144" s="194">
        <f t="shared" si="100"/>
        <v>18697.740000000002</v>
      </c>
      <c r="Y144" s="194">
        <f t="shared" si="101"/>
        <v>0</v>
      </c>
      <c r="Z144" s="13">
        <f t="shared" si="102"/>
        <v>0</v>
      </c>
      <c r="AA144" s="13">
        <f t="shared" si="103"/>
        <v>0</v>
      </c>
      <c r="AB144" s="13">
        <f t="shared" si="104"/>
        <v>0</v>
      </c>
      <c r="AC144" s="13">
        <f t="shared" si="105"/>
        <v>0</v>
      </c>
      <c r="AD144" s="13">
        <f t="shared" si="106"/>
        <v>0</v>
      </c>
      <c r="AE144" s="13">
        <f t="shared" si="107"/>
        <v>0</v>
      </c>
      <c r="AF144" s="13">
        <f t="shared" si="108"/>
        <v>0</v>
      </c>
      <c r="AG144" s="685">
        <f t="shared" si="109"/>
        <v>0</v>
      </c>
      <c r="AH144" s="688" t="b">
        <f t="shared" si="110"/>
        <v>1</v>
      </c>
    </row>
    <row r="145" spans="1:34" s="1" customFormat="1" ht="15" customHeight="1">
      <c r="A145" s="946">
        <v>10690001</v>
      </c>
      <c r="B145" s="946" t="s">
        <v>597</v>
      </c>
      <c r="C145" s="946" t="s">
        <v>1435</v>
      </c>
      <c r="D145" s="946">
        <v>100000039</v>
      </c>
      <c r="E145" s="946" t="s">
        <v>1431</v>
      </c>
      <c r="F145" s="946" t="s">
        <v>11</v>
      </c>
      <c r="G145" s="947">
        <v>-10752</v>
      </c>
      <c r="H145" s="947">
        <v>-10752</v>
      </c>
      <c r="I145" s="948"/>
      <c r="J145" s="948"/>
      <c r="K145" s="948"/>
      <c r="L145" s="29" t="e">
        <f>VLOOKUP(A145,'Account Mapping'!$A$2:$E$216,3,0)</f>
        <v>#N/A</v>
      </c>
      <c r="M145" s="25" t="e">
        <f>VLOOKUP(A145,'Account Mapping'!$A$2:$E$216,4,0)</f>
        <v>#N/A</v>
      </c>
      <c r="N145" s="26" t="e">
        <f>IF(OR(C145='Account Mapping'!$H$4,C145='Account Mapping'!$H$5,C145='Account Mapping'!$H$6),'Account Mapping'!$I$4,VLOOKUP(A145,'Account Mapping'!$A$2:$E$216,5,0))</f>
        <v>#N/A</v>
      </c>
      <c r="O145" s="27" t="e">
        <f>IF(OR(L145="Loan",L145="Deposit_Liability",L145="OFF_Unused Loan Commitment",L145="HQLA"),VLOOKUP(D145,'Customer Type'!$A$3:$C$38,3,0),"")</f>
        <v>#N/A</v>
      </c>
      <c r="P145" s="656" t="e">
        <f t="shared" si="98"/>
        <v>#N/A</v>
      </c>
      <c r="Q145" s="658">
        <f>IF(COUNTIF('Account Mapping'!$H$12:$H$45,A145)&gt;0,-H145,H145)</f>
        <v>10752</v>
      </c>
      <c r="R145" s="249" t="e">
        <f>VLOOKUP(P145,Assumptions!$C$2:$D$64,2,0)</f>
        <v>#N/A</v>
      </c>
      <c r="S145" s="692" t="str">
        <f>IFERROR(VLOOKUP(A145,'Maturity Adjustment'!$A$3:$C$81,3,0),(IF(J145&lt;$N$4,"Tomorrow",J145)))</f>
        <v>Tomorrow</v>
      </c>
      <c r="T145" s="24">
        <f t="shared" si="97"/>
        <v>1</v>
      </c>
      <c r="U145" s="196" t="e">
        <f t="shared" si="99"/>
        <v>#N/A</v>
      </c>
      <c r="V145" s="11" t="str">
        <f>IFERROR(VLOOKUP(A145,'Maturity Adjustment'!$A$86:$C$91,3,0),S145)</f>
        <v>Tomorrow</v>
      </c>
      <c r="W145" s="207" t="e">
        <f>VLOOKUP(A145,'Account Mapping'!$A$2:$F$216,6,0)</f>
        <v>#N/A</v>
      </c>
      <c r="X145" s="194">
        <f t="shared" si="100"/>
        <v>10752</v>
      </c>
      <c r="Y145" s="194">
        <f t="shared" si="101"/>
        <v>0</v>
      </c>
      <c r="Z145" s="13">
        <f t="shared" si="102"/>
        <v>0</v>
      </c>
      <c r="AA145" s="13">
        <f t="shared" si="103"/>
        <v>0</v>
      </c>
      <c r="AB145" s="13">
        <f t="shared" si="104"/>
        <v>0</v>
      </c>
      <c r="AC145" s="13">
        <f t="shared" si="105"/>
        <v>0</v>
      </c>
      <c r="AD145" s="13">
        <f t="shared" si="106"/>
        <v>0</v>
      </c>
      <c r="AE145" s="13">
        <f t="shared" si="107"/>
        <v>0</v>
      </c>
      <c r="AF145" s="13">
        <f t="shared" si="108"/>
        <v>0</v>
      </c>
      <c r="AG145" s="685">
        <f t="shared" si="109"/>
        <v>0</v>
      </c>
      <c r="AH145" s="688" t="b">
        <f t="shared" si="110"/>
        <v>1</v>
      </c>
    </row>
    <row r="146" spans="1:34" s="1" customFormat="1" ht="15" customHeight="1">
      <c r="A146" s="946">
        <v>10690001</v>
      </c>
      <c r="B146" s="946" t="s">
        <v>597</v>
      </c>
      <c r="C146" s="946" t="s">
        <v>1436</v>
      </c>
      <c r="D146" s="946">
        <v>100000014</v>
      </c>
      <c r="E146" s="946" t="s">
        <v>23</v>
      </c>
      <c r="F146" s="946" t="s">
        <v>26</v>
      </c>
      <c r="G146" s="947">
        <v>-1291.78</v>
      </c>
      <c r="H146" s="947">
        <v>-1839.09</v>
      </c>
      <c r="I146" s="948"/>
      <c r="J146" s="948"/>
      <c r="K146" s="948"/>
      <c r="L146" s="29" t="e">
        <f>VLOOKUP(A146,'Account Mapping'!$A$2:$E$216,3,0)</f>
        <v>#N/A</v>
      </c>
      <c r="M146" s="25" t="e">
        <f>VLOOKUP(A146,'Account Mapping'!$A$2:$E$216,4,0)</f>
        <v>#N/A</v>
      </c>
      <c r="N146" s="26" t="e">
        <f>IF(OR(C146='Account Mapping'!$H$4,C146='Account Mapping'!$H$5,C146='Account Mapping'!$H$6),'Account Mapping'!$I$4,VLOOKUP(A146,'Account Mapping'!$A$2:$E$216,5,0))</f>
        <v>#N/A</v>
      </c>
      <c r="O146" s="27" t="e">
        <f>IF(OR(L146="Loan",L146="Deposit_Liability",L146="OFF_Unused Loan Commitment",L146="HQLA"),VLOOKUP(D146,'Customer Type'!$A$3:$C$38,3,0),"")</f>
        <v>#N/A</v>
      </c>
      <c r="P146" s="656" t="e">
        <f t="shared" si="98"/>
        <v>#N/A</v>
      </c>
      <c r="Q146" s="658">
        <f>IF(COUNTIF('Account Mapping'!$H$12:$H$45,A146)&gt;0,-H146,H146)</f>
        <v>1839.09</v>
      </c>
      <c r="R146" s="249" t="e">
        <f>VLOOKUP(P146,Assumptions!$C$2:$D$64,2,0)</f>
        <v>#N/A</v>
      </c>
      <c r="S146" s="692" t="str">
        <f>IFERROR(VLOOKUP(A146,'Maturity Adjustment'!$A$3:$C$81,3,0),(IF(J146&lt;$N$4,"Tomorrow",J146)))</f>
        <v>Tomorrow</v>
      </c>
      <c r="T146" s="24">
        <f t="shared" si="97"/>
        <v>1</v>
      </c>
      <c r="U146" s="196" t="e">
        <f t="shared" si="99"/>
        <v>#N/A</v>
      </c>
      <c r="V146" s="11" t="str">
        <f>IFERROR(VLOOKUP(A146,'Maturity Adjustment'!$A$86:$C$91,3,0),S146)</f>
        <v>Tomorrow</v>
      </c>
      <c r="W146" s="207" t="e">
        <f>VLOOKUP(A146,'Account Mapping'!$A$2:$F$216,6,0)</f>
        <v>#N/A</v>
      </c>
      <c r="X146" s="194">
        <f t="shared" si="100"/>
        <v>1839.09</v>
      </c>
      <c r="Y146" s="194">
        <f t="shared" si="101"/>
        <v>0</v>
      </c>
      <c r="Z146" s="13">
        <f t="shared" si="102"/>
        <v>0</v>
      </c>
      <c r="AA146" s="13">
        <f t="shared" si="103"/>
        <v>0</v>
      </c>
      <c r="AB146" s="13">
        <f t="shared" si="104"/>
        <v>0</v>
      </c>
      <c r="AC146" s="13">
        <f t="shared" si="105"/>
        <v>0</v>
      </c>
      <c r="AD146" s="13">
        <f t="shared" si="106"/>
        <v>0</v>
      </c>
      <c r="AE146" s="13">
        <f t="shared" si="107"/>
        <v>0</v>
      </c>
      <c r="AF146" s="13">
        <f t="shared" si="108"/>
        <v>0</v>
      </c>
      <c r="AG146" s="685">
        <f t="shared" si="109"/>
        <v>0</v>
      </c>
      <c r="AH146" s="688" t="b">
        <f t="shared" si="110"/>
        <v>1</v>
      </c>
    </row>
    <row r="147" spans="1:34" s="1" customFormat="1" ht="15" customHeight="1">
      <c r="A147" s="946">
        <v>10690001</v>
      </c>
      <c r="B147" s="946" t="s">
        <v>597</v>
      </c>
      <c r="C147" s="946" t="s">
        <v>1444</v>
      </c>
      <c r="D147" s="946">
        <v>100000020</v>
      </c>
      <c r="E147" s="946" t="s">
        <v>857</v>
      </c>
      <c r="F147" s="946" t="s">
        <v>11</v>
      </c>
      <c r="G147" s="947">
        <v>-43080</v>
      </c>
      <c r="H147" s="947">
        <v>-43080</v>
      </c>
      <c r="I147" s="948"/>
      <c r="J147" s="948"/>
      <c r="K147" s="948"/>
      <c r="L147" s="29" t="e">
        <f>VLOOKUP(A147,'Account Mapping'!$A$2:$E$216,3,0)</f>
        <v>#N/A</v>
      </c>
      <c r="M147" s="25" t="e">
        <f>VLOOKUP(A147,'Account Mapping'!$A$2:$E$216,4,0)</f>
        <v>#N/A</v>
      </c>
      <c r="N147" s="26" t="e">
        <f>IF(OR(C147='Account Mapping'!$H$4,C147='Account Mapping'!$H$5,C147='Account Mapping'!$H$6),'Account Mapping'!$I$4,VLOOKUP(A147,'Account Mapping'!$A$2:$E$216,5,0))</f>
        <v>#N/A</v>
      </c>
      <c r="O147" s="27" t="e">
        <f>IF(OR(L147="Loan",L147="Deposit_Liability",L147="OFF_Unused Loan Commitment",L147="HQLA"),VLOOKUP(D147,'Customer Type'!$A$3:$C$38,3,0),"")</f>
        <v>#N/A</v>
      </c>
      <c r="P147" s="656" t="e">
        <f t="shared" si="98"/>
        <v>#N/A</v>
      </c>
      <c r="Q147" s="658">
        <f>IF(COUNTIF('Account Mapping'!$H$12:$H$45,A147)&gt;0,-H147,H147)</f>
        <v>43080</v>
      </c>
      <c r="R147" s="249" t="e">
        <f>VLOOKUP(P147,Assumptions!$C$2:$D$64,2,0)</f>
        <v>#N/A</v>
      </c>
      <c r="S147" s="692" t="str">
        <f>IFERROR(VLOOKUP(A147,'Maturity Adjustment'!$A$3:$C$81,3,0),(IF(J147&lt;$N$4,"Tomorrow",J147)))</f>
        <v>Tomorrow</v>
      </c>
      <c r="T147" s="24">
        <f t="shared" si="97"/>
        <v>1</v>
      </c>
      <c r="U147" s="196" t="e">
        <f t="shared" si="99"/>
        <v>#N/A</v>
      </c>
      <c r="V147" s="11" t="str">
        <f>IFERROR(VLOOKUP(A147,'Maturity Adjustment'!$A$86:$C$91,3,0),S147)</f>
        <v>Tomorrow</v>
      </c>
      <c r="W147" s="207" t="e">
        <f>VLOOKUP(A147,'Account Mapping'!$A$2:$F$216,6,0)</f>
        <v>#N/A</v>
      </c>
      <c r="X147" s="194">
        <f t="shared" si="100"/>
        <v>43080</v>
      </c>
      <c r="Y147" s="194">
        <f t="shared" si="101"/>
        <v>0</v>
      </c>
      <c r="Z147" s="13">
        <f t="shared" si="102"/>
        <v>0</v>
      </c>
      <c r="AA147" s="13">
        <f t="shared" si="103"/>
        <v>0</v>
      </c>
      <c r="AB147" s="13">
        <f t="shared" si="104"/>
        <v>0</v>
      </c>
      <c r="AC147" s="13">
        <f t="shared" si="105"/>
        <v>0</v>
      </c>
      <c r="AD147" s="13">
        <f t="shared" si="106"/>
        <v>0</v>
      </c>
      <c r="AE147" s="13">
        <f t="shared" si="107"/>
        <v>0</v>
      </c>
      <c r="AF147" s="13">
        <f t="shared" si="108"/>
        <v>0</v>
      </c>
      <c r="AG147" s="685">
        <f t="shared" si="109"/>
        <v>0</v>
      </c>
      <c r="AH147" s="688" t="b">
        <f t="shared" si="110"/>
        <v>1</v>
      </c>
    </row>
    <row r="148" spans="1:34" s="1" customFormat="1" ht="15" customHeight="1">
      <c r="A148" s="946">
        <v>10690001</v>
      </c>
      <c r="B148" s="946" t="s">
        <v>597</v>
      </c>
      <c r="C148" s="946" t="s">
        <v>1445</v>
      </c>
      <c r="D148" s="946">
        <v>100000014</v>
      </c>
      <c r="E148" s="946" t="s">
        <v>23</v>
      </c>
      <c r="F148" s="946" t="s">
        <v>26</v>
      </c>
      <c r="G148" s="947">
        <v>-9815.41</v>
      </c>
      <c r="H148" s="947">
        <v>-13974.1</v>
      </c>
      <c r="I148" s="948"/>
      <c r="J148" s="948"/>
      <c r="K148" s="948"/>
      <c r="L148" s="29" t="e">
        <f>VLOOKUP(A148,'Account Mapping'!$A$2:$E$216,3,0)</f>
        <v>#N/A</v>
      </c>
      <c r="M148" s="25" t="e">
        <f>VLOOKUP(A148,'Account Mapping'!$A$2:$E$216,4,0)</f>
        <v>#N/A</v>
      </c>
      <c r="N148" s="26" t="e">
        <f>IF(OR(C148='Account Mapping'!$H$4,C148='Account Mapping'!$H$5,C148='Account Mapping'!$H$6),'Account Mapping'!$I$4,VLOOKUP(A148,'Account Mapping'!$A$2:$E$216,5,0))</f>
        <v>#N/A</v>
      </c>
      <c r="O148" s="27" t="e">
        <f>IF(OR(L148="Loan",L148="Deposit_Liability",L148="OFF_Unused Loan Commitment",L148="HQLA"),VLOOKUP(D148,'Customer Type'!$A$3:$C$38,3,0),"")</f>
        <v>#N/A</v>
      </c>
      <c r="P148" s="656" t="e">
        <f t="shared" si="98"/>
        <v>#N/A</v>
      </c>
      <c r="Q148" s="658">
        <f>IF(COUNTIF('Account Mapping'!$H$12:$H$45,A148)&gt;0,-H148,H148)</f>
        <v>13974.1</v>
      </c>
      <c r="R148" s="249" t="e">
        <f>VLOOKUP(P148,Assumptions!$C$2:$D$64,2,0)</f>
        <v>#N/A</v>
      </c>
      <c r="S148" s="692" t="str">
        <f>IFERROR(VLOOKUP(A148,'Maturity Adjustment'!$A$3:$C$81,3,0),(IF(J148&lt;$N$4,"Tomorrow",J148)))</f>
        <v>Tomorrow</v>
      </c>
      <c r="T148" s="24">
        <f t="shared" si="97"/>
        <v>1</v>
      </c>
      <c r="U148" s="196" t="e">
        <f t="shared" si="99"/>
        <v>#N/A</v>
      </c>
      <c r="V148" s="11" t="str">
        <f>IFERROR(VLOOKUP(A148,'Maturity Adjustment'!$A$86:$C$91,3,0),S148)</f>
        <v>Tomorrow</v>
      </c>
      <c r="W148" s="207" t="e">
        <f>VLOOKUP(A148,'Account Mapping'!$A$2:$F$216,6,0)</f>
        <v>#N/A</v>
      </c>
      <c r="X148" s="194">
        <f t="shared" si="100"/>
        <v>13974.1</v>
      </c>
      <c r="Y148" s="194">
        <f t="shared" si="101"/>
        <v>0</v>
      </c>
      <c r="Z148" s="13">
        <f t="shared" si="102"/>
        <v>0</v>
      </c>
      <c r="AA148" s="13">
        <f t="shared" si="103"/>
        <v>0</v>
      </c>
      <c r="AB148" s="13">
        <f t="shared" si="104"/>
        <v>0</v>
      </c>
      <c r="AC148" s="13">
        <f t="shared" si="105"/>
        <v>0</v>
      </c>
      <c r="AD148" s="13">
        <f t="shared" si="106"/>
        <v>0</v>
      </c>
      <c r="AE148" s="13">
        <f t="shared" si="107"/>
        <v>0</v>
      </c>
      <c r="AF148" s="13">
        <f t="shared" si="108"/>
        <v>0</v>
      </c>
      <c r="AG148" s="685">
        <f t="shared" si="109"/>
        <v>0</v>
      </c>
      <c r="AH148" s="688" t="b">
        <f t="shared" si="110"/>
        <v>1</v>
      </c>
    </row>
    <row r="149" spans="1:34" s="1" customFormat="1" ht="15" customHeight="1">
      <c r="A149" s="946">
        <v>10690001</v>
      </c>
      <c r="B149" s="946" t="s">
        <v>597</v>
      </c>
      <c r="C149" s="946" t="s">
        <v>1446</v>
      </c>
      <c r="D149" s="946">
        <v>100000040</v>
      </c>
      <c r="E149" s="946" t="s">
        <v>1441</v>
      </c>
      <c r="F149" s="946" t="s">
        <v>11</v>
      </c>
      <c r="G149" s="947">
        <v>-75285</v>
      </c>
      <c r="H149" s="947">
        <v>-75285</v>
      </c>
      <c r="I149" s="948"/>
      <c r="J149" s="948"/>
      <c r="K149" s="948"/>
      <c r="L149" s="29" t="e">
        <f>VLOOKUP(A149,'Account Mapping'!$A$2:$E$216,3,0)</f>
        <v>#N/A</v>
      </c>
      <c r="M149" s="25" t="e">
        <f>VLOOKUP(A149,'Account Mapping'!$A$2:$E$216,4,0)</f>
        <v>#N/A</v>
      </c>
      <c r="N149" s="26" t="e">
        <f>IF(OR(C149='Account Mapping'!$H$4,C149='Account Mapping'!$H$5,C149='Account Mapping'!$H$6),'Account Mapping'!$I$4,VLOOKUP(A149,'Account Mapping'!$A$2:$E$216,5,0))</f>
        <v>#N/A</v>
      </c>
      <c r="O149" s="27" t="e">
        <f>IF(OR(L149="Loan",L149="Deposit_Liability",L149="OFF_Unused Loan Commitment",L149="HQLA"),VLOOKUP(D149,'Customer Type'!$A$3:$C$38,3,0),"")</f>
        <v>#N/A</v>
      </c>
      <c r="P149" s="656" t="e">
        <f t="shared" si="98"/>
        <v>#N/A</v>
      </c>
      <c r="Q149" s="658">
        <f>IF(COUNTIF('Account Mapping'!$H$12:$H$45,A149)&gt;0,-H149,H149)</f>
        <v>75285</v>
      </c>
      <c r="R149" s="249" t="e">
        <f>VLOOKUP(P149,Assumptions!$C$2:$D$64,2,0)</f>
        <v>#N/A</v>
      </c>
      <c r="S149" s="692" t="str">
        <f>IFERROR(VLOOKUP(A149,'Maturity Adjustment'!$A$3:$C$81,3,0),(IF(J149&lt;$N$4,"Tomorrow",J149)))</f>
        <v>Tomorrow</v>
      </c>
      <c r="T149" s="24">
        <f t="shared" si="97"/>
        <v>1</v>
      </c>
      <c r="U149" s="196" t="e">
        <f t="shared" si="99"/>
        <v>#N/A</v>
      </c>
      <c r="V149" s="11" t="str">
        <f>IFERROR(VLOOKUP(A149,'Maturity Adjustment'!$A$86:$C$91,3,0),S149)</f>
        <v>Tomorrow</v>
      </c>
      <c r="W149" s="207" t="e">
        <f>VLOOKUP(A149,'Account Mapping'!$A$2:$F$216,6,0)</f>
        <v>#N/A</v>
      </c>
      <c r="X149" s="194">
        <f t="shared" si="100"/>
        <v>75285</v>
      </c>
      <c r="Y149" s="194">
        <f t="shared" si="101"/>
        <v>0</v>
      </c>
      <c r="Z149" s="13">
        <f t="shared" si="102"/>
        <v>0</v>
      </c>
      <c r="AA149" s="13">
        <f t="shared" si="103"/>
        <v>0</v>
      </c>
      <c r="AB149" s="13">
        <f t="shared" si="104"/>
        <v>0</v>
      </c>
      <c r="AC149" s="13">
        <f t="shared" si="105"/>
        <v>0</v>
      </c>
      <c r="AD149" s="13">
        <f t="shared" si="106"/>
        <v>0</v>
      </c>
      <c r="AE149" s="13">
        <f t="shared" si="107"/>
        <v>0</v>
      </c>
      <c r="AF149" s="13">
        <f t="shared" si="108"/>
        <v>0</v>
      </c>
      <c r="AG149" s="685">
        <f t="shared" si="109"/>
        <v>0</v>
      </c>
      <c r="AH149" s="688" t="b">
        <f t="shared" si="110"/>
        <v>1</v>
      </c>
    </row>
    <row r="150" spans="1:34" s="1" customFormat="1" ht="15" customHeight="1">
      <c r="A150" s="946">
        <v>10690001</v>
      </c>
      <c r="B150" s="946" t="s">
        <v>597</v>
      </c>
      <c r="C150" s="946" t="s">
        <v>1447</v>
      </c>
      <c r="D150" s="946">
        <v>100000014</v>
      </c>
      <c r="E150" s="946" t="s">
        <v>23</v>
      </c>
      <c r="F150" s="946" t="s">
        <v>26</v>
      </c>
      <c r="G150" s="947">
        <v>-1562.96</v>
      </c>
      <c r="H150" s="947">
        <v>-2225.17</v>
      </c>
      <c r="I150" s="948"/>
      <c r="J150" s="948"/>
      <c r="K150" s="948"/>
      <c r="L150" s="29" t="e">
        <f>VLOOKUP(A150,'Account Mapping'!$A$2:$E$216,3,0)</f>
        <v>#N/A</v>
      </c>
      <c r="M150" s="25" t="e">
        <f>VLOOKUP(A150,'Account Mapping'!$A$2:$E$216,4,0)</f>
        <v>#N/A</v>
      </c>
      <c r="N150" s="26" t="e">
        <f>IF(OR(C150='Account Mapping'!$H$4,C150='Account Mapping'!$H$5,C150='Account Mapping'!$H$6),'Account Mapping'!$I$4,VLOOKUP(A150,'Account Mapping'!$A$2:$E$216,5,0))</f>
        <v>#N/A</v>
      </c>
      <c r="O150" s="27" t="e">
        <f>IF(OR(L150="Loan",L150="Deposit_Liability",L150="OFF_Unused Loan Commitment",L150="HQLA"),VLOOKUP(D150,'Customer Type'!$A$3:$C$38,3,0),"")</f>
        <v>#N/A</v>
      </c>
      <c r="P150" s="656" t="e">
        <f t="shared" si="98"/>
        <v>#N/A</v>
      </c>
      <c r="Q150" s="658">
        <f>IF(COUNTIF('Account Mapping'!$H$12:$H$45,A150)&gt;0,-H150,H150)</f>
        <v>2225.17</v>
      </c>
      <c r="R150" s="249" t="e">
        <f>VLOOKUP(P150,Assumptions!$C$2:$D$64,2,0)</f>
        <v>#N/A</v>
      </c>
      <c r="S150" s="692" t="str">
        <f>IFERROR(VLOOKUP(A150,'Maturity Adjustment'!$A$3:$C$81,3,0),(IF(J150&lt;$N$4,"Tomorrow",J150)))</f>
        <v>Tomorrow</v>
      </c>
      <c r="T150" s="24">
        <f t="shared" si="97"/>
        <v>1</v>
      </c>
      <c r="U150" s="196" t="e">
        <f t="shared" si="99"/>
        <v>#N/A</v>
      </c>
      <c r="V150" s="11" t="str">
        <f>IFERROR(VLOOKUP(A150,'Maturity Adjustment'!$A$86:$C$91,3,0),S150)</f>
        <v>Tomorrow</v>
      </c>
      <c r="W150" s="207" t="e">
        <f>VLOOKUP(A150,'Account Mapping'!$A$2:$F$216,6,0)</f>
        <v>#N/A</v>
      </c>
      <c r="X150" s="194">
        <f t="shared" si="100"/>
        <v>2225.17</v>
      </c>
      <c r="Y150" s="194">
        <f t="shared" si="101"/>
        <v>0</v>
      </c>
      <c r="Z150" s="13">
        <f t="shared" si="102"/>
        <v>0</v>
      </c>
      <c r="AA150" s="13">
        <f t="shared" si="103"/>
        <v>0</v>
      </c>
      <c r="AB150" s="13">
        <f t="shared" si="104"/>
        <v>0</v>
      </c>
      <c r="AC150" s="13">
        <f t="shared" si="105"/>
        <v>0</v>
      </c>
      <c r="AD150" s="13">
        <f t="shared" si="106"/>
        <v>0</v>
      </c>
      <c r="AE150" s="13">
        <f t="shared" si="107"/>
        <v>0</v>
      </c>
      <c r="AF150" s="13">
        <f t="shared" si="108"/>
        <v>0</v>
      </c>
      <c r="AG150" s="685">
        <f t="shared" si="109"/>
        <v>0</v>
      </c>
      <c r="AH150" s="688" t="b">
        <f t="shared" si="110"/>
        <v>1</v>
      </c>
    </row>
    <row r="151" spans="1:34" s="1" customFormat="1" ht="15" customHeight="1">
      <c r="A151" s="946">
        <v>10690001</v>
      </c>
      <c r="B151" s="946" t="s">
        <v>597</v>
      </c>
      <c r="C151" s="946" t="s">
        <v>1456</v>
      </c>
      <c r="D151" s="946">
        <v>100000014</v>
      </c>
      <c r="E151" s="946" t="s">
        <v>23</v>
      </c>
      <c r="F151" s="946" t="s">
        <v>26</v>
      </c>
      <c r="G151" s="947">
        <v>-14350.21</v>
      </c>
      <c r="H151" s="947">
        <v>-20430.25</v>
      </c>
      <c r="I151" s="948"/>
      <c r="J151" s="948"/>
      <c r="K151" s="948"/>
      <c r="L151" s="29" t="e">
        <f>VLOOKUP(A151,'Account Mapping'!$A$2:$E$216,3,0)</f>
        <v>#N/A</v>
      </c>
      <c r="M151" s="25" t="e">
        <f>VLOOKUP(A151,'Account Mapping'!$A$2:$E$216,4,0)</f>
        <v>#N/A</v>
      </c>
      <c r="N151" s="26" t="e">
        <f>IF(OR(C151='Account Mapping'!$H$4,C151='Account Mapping'!$H$5,C151='Account Mapping'!$H$6),'Account Mapping'!$I$4,VLOOKUP(A151,'Account Mapping'!$A$2:$E$216,5,0))</f>
        <v>#N/A</v>
      </c>
      <c r="O151" s="27" t="e">
        <f>IF(OR(L151="Loan",L151="Deposit_Liability",L151="OFF_Unused Loan Commitment",L151="HQLA"),VLOOKUP(D151,'Customer Type'!$A$3:$C$38,3,0),"")</f>
        <v>#N/A</v>
      </c>
      <c r="P151" s="656" t="e">
        <f t="shared" si="98"/>
        <v>#N/A</v>
      </c>
      <c r="Q151" s="658">
        <f>IF(COUNTIF('Account Mapping'!$H$12:$H$45,A151)&gt;0,-H151,H151)</f>
        <v>20430.25</v>
      </c>
      <c r="R151" s="249" t="e">
        <f>VLOOKUP(P151,Assumptions!$C$2:$D$64,2,0)</f>
        <v>#N/A</v>
      </c>
      <c r="S151" s="692" t="str">
        <f>IFERROR(VLOOKUP(A151,'Maturity Adjustment'!$A$3:$C$81,3,0),(IF(J151&lt;$N$4,"Tomorrow",J151)))</f>
        <v>Tomorrow</v>
      </c>
      <c r="T151" s="24">
        <f t="shared" si="97"/>
        <v>1</v>
      </c>
      <c r="U151" s="196" t="e">
        <f t="shared" si="99"/>
        <v>#N/A</v>
      </c>
      <c r="V151" s="11" t="str">
        <f>IFERROR(VLOOKUP(A151,'Maturity Adjustment'!$A$86:$C$91,3,0),S151)</f>
        <v>Tomorrow</v>
      </c>
      <c r="W151" s="207" t="e">
        <f>VLOOKUP(A151,'Account Mapping'!$A$2:$F$216,6,0)</f>
        <v>#N/A</v>
      </c>
      <c r="X151" s="194">
        <f t="shared" si="100"/>
        <v>20430.25</v>
      </c>
      <c r="Y151" s="194">
        <f t="shared" si="101"/>
        <v>0</v>
      </c>
      <c r="Z151" s="13">
        <f t="shared" si="102"/>
        <v>0</v>
      </c>
      <c r="AA151" s="13">
        <f t="shared" si="103"/>
        <v>0</v>
      </c>
      <c r="AB151" s="13">
        <f t="shared" si="104"/>
        <v>0</v>
      </c>
      <c r="AC151" s="13">
        <f t="shared" si="105"/>
        <v>0</v>
      </c>
      <c r="AD151" s="13">
        <f t="shared" si="106"/>
        <v>0</v>
      </c>
      <c r="AE151" s="13">
        <f t="shared" si="107"/>
        <v>0</v>
      </c>
      <c r="AF151" s="13">
        <f t="shared" si="108"/>
        <v>0</v>
      </c>
      <c r="AG151" s="685">
        <f t="shared" si="109"/>
        <v>0</v>
      </c>
      <c r="AH151" s="688" t="b">
        <f t="shared" si="110"/>
        <v>1</v>
      </c>
    </row>
    <row r="152" spans="1:34" s="1" customFormat="1" ht="15" customHeight="1">
      <c r="A152" s="946">
        <v>10690001</v>
      </c>
      <c r="B152" s="946" t="s">
        <v>597</v>
      </c>
      <c r="C152" s="946" t="s">
        <v>1457</v>
      </c>
      <c r="D152" s="946">
        <v>100000014</v>
      </c>
      <c r="E152" s="946" t="s">
        <v>23</v>
      </c>
      <c r="F152" s="946" t="s">
        <v>26</v>
      </c>
      <c r="G152" s="947">
        <v>-1477.5</v>
      </c>
      <c r="H152" s="947">
        <v>-2103.5</v>
      </c>
      <c r="I152" s="948"/>
      <c r="J152" s="948"/>
      <c r="K152" s="948"/>
      <c r="L152" s="29" t="e">
        <f>VLOOKUP(A152,'Account Mapping'!$A$2:$E$216,3,0)</f>
        <v>#N/A</v>
      </c>
      <c r="M152" s="25" t="e">
        <f>VLOOKUP(A152,'Account Mapping'!$A$2:$E$216,4,0)</f>
        <v>#N/A</v>
      </c>
      <c r="N152" s="26" t="e">
        <f>IF(OR(C152='Account Mapping'!$H$4,C152='Account Mapping'!$H$5,C152='Account Mapping'!$H$6),'Account Mapping'!$I$4,VLOOKUP(A152,'Account Mapping'!$A$2:$E$216,5,0))</f>
        <v>#N/A</v>
      </c>
      <c r="O152" s="27" t="e">
        <f>IF(OR(L152="Loan",L152="Deposit_Liability",L152="OFF_Unused Loan Commitment",L152="HQLA"),VLOOKUP(D152,'Customer Type'!$A$3:$C$38,3,0),"")</f>
        <v>#N/A</v>
      </c>
      <c r="P152" s="656" t="e">
        <f t="shared" si="98"/>
        <v>#N/A</v>
      </c>
      <c r="Q152" s="658">
        <f>IF(COUNTIF('Account Mapping'!$H$12:$H$45,A152)&gt;0,-H152,H152)</f>
        <v>2103.5</v>
      </c>
      <c r="R152" s="249" t="e">
        <f>VLOOKUP(P152,Assumptions!$C$2:$D$64,2,0)</f>
        <v>#N/A</v>
      </c>
      <c r="S152" s="692" t="str">
        <f>IFERROR(VLOOKUP(A152,'Maturity Adjustment'!$A$3:$C$81,3,0),(IF(J152&lt;$N$4,"Tomorrow",J152)))</f>
        <v>Tomorrow</v>
      </c>
      <c r="T152" s="24">
        <f t="shared" si="97"/>
        <v>1</v>
      </c>
      <c r="U152" s="196" t="e">
        <f t="shared" si="99"/>
        <v>#N/A</v>
      </c>
      <c r="V152" s="11" t="str">
        <f>IFERROR(VLOOKUP(A152,'Maturity Adjustment'!$A$86:$C$91,3,0),S152)</f>
        <v>Tomorrow</v>
      </c>
      <c r="W152" s="207" t="e">
        <f>VLOOKUP(A152,'Account Mapping'!$A$2:$F$216,6,0)</f>
        <v>#N/A</v>
      </c>
      <c r="X152" s="194">
        <f t="shared" si="100"/>
        <v>2103.5</v>
      </c>
      <c r="Y152" s="194">
        <f t="shared" si="101"/>
        <v>0</v>
      </c>
      <c r="Z152" s="13">
        <f t="shared" si="102"/>
        <v>0</v>
      </c>
      <c r="AA152" s="13">
        <f t="shared" si="103"/>
        <v>0</v>
      </c>
      <c r="AB152" s="13">
        <f t="shared" si="104"/>
        <v>0</v>
      </c>
      <c r="AC152" s="13">
        <f t="shared" si="105"/>
        <v>0</v>
      </c>
      <c r="AD152" s="13">
        <f t="shared" si="106"/>
        <v>0</v>
      </c>
      <c r="AE152" s="13">
        <f t="shared" si="107"/>
        <v>0</v>
      </c>
      <c r="AF152" s="13">
        <f t="shared" si="108"/>
        <v>0</v>
      </c>
      <c r="AG152" s="685">
        <f t="shared" si="109"/>
        <v>0</v>
      </c>
      <c r="AH152" s="688" t="b">
        <f t="shared" si="110"/>
        <v>1</v>
      </c>
    </row>
    <row r="153" spans="1:34" s="1" customFormat="1" ht="15" customHeight="1">
      <c r="A153" s="946">
        <v>10690001</v>
      </c>
      <c r="B153" s="946" t="s">
        <v>597</v>
      </c>
      <c r="C153" s="946" t="s">
        <v>1461</v>
      </c>
      <c r="D153" s="946">
        <v>100000014</v>
      </c>
      <c r="E153" s="946" t="s">
        <v>23</v>
      </c>
      <c r="F153" s="946" t="s">
        <v>26</v>
      </c>
      <c r="G153" s="947">
        <v>-16281.97</v>
      </c>
      <c r="H153" s="947">
        <v>-23180.48</v>
      </c>
      <c r="I153" s="948"/>
      <c r="J153" s="948"/>
      <c r="K153" s="948"/>
      <c r="L153" s="29" t="e">
        <f>VLOOKUP(A153,'Account Mapping'!$A$2:$E$216,3,0)</f>
        <v>#N/A</v>
      </c>
      <c r="M153" s="25" t="e">
        <f>VLOOKUP(A153,'Account Mapping'!$A$2:$E$216,4,0)</f>
        <v>#N/A</v>
      </c>
      <c r="N153" s="26" t="e">
        <f>IF(OR(C153='Account Mapping'!$H$4,C153='Account Mapping'!$H$5,C153='Account Mapping'!$H$6),'Account Mapping'!$I$4,VLOOKUP(A153,'Account Mapping'!$A$2:$E$216,5,0))</f>
        <v>#N/A</v>
      </c>
      <c r="O153" s="27" t="e">
        <f>IF(OR(L153="Loan",L153="Deposit_Liability",L153="OFF_Unused Loan Commitment",L153="HQLA"),VLOOKUP(D153,'Customer Type'!$A$3:$C$38,3,0),"")</f>
        <v>#N/A</v>
      </c>
      <c r="P153" s="656" t="e">
        <f t="shared" si="98"/>
        <v>#N/A</v>
      </c>
      <c r="Q153" s="658">
        <f>IF(COUNTIF('Account Mapping'!$H$12:$H$45,A153)&gt;0,-H153,H153)</f>
        <v>23180.48</v>
      </c>
      <c r="R153" s="249" t="e">
        <f>VLOOKUP(P153,Assumptions!$C$2:$D$64,2,0)</f>
        <v>#N/A</v>
      </c>
      <c r="S153" s="692" t="str">
        <f>IFERROR(VLOOKUP(A153,'Maturity Adjustment'!$A$3:$C$81,3,0),(IF(J153&lt;$N$4,"Tomorrow",J153)))</f>
        <v>Tomorrow</v>
      </c>
      <c r="T153" s="24">
        <f t="shared" si="97"/>
        <v>1</v>
      </c>
      <c r="U153" s="196" t="e">
        <f t="shared" si="99"/>
        <v>#N/A</v>
      </c>
      <c r="V153" s="11" t="str">
        <f>IFERROR(VLOOKUP(A153,'Maturity Adjustment'!$A$86:$C$91,3,0),S153)</f>
        <v>Tomorrow</v>
      </c>
      <c r="W153" s="207" t="e">
        <f>VLOOKUP(A153,'Account Mapping'!$A$2:$F$216,6,0)</f>
        <v>#N/A</v>
      </c>
      <c r="X153" s="194">
        <f t="shared" si="100"/>
        <v>23180.48</v>
      </c>
      <c r="Y153" s="194">
        <f t="shared" si="101"/>
        <v>0</v>
      </c>
      <c r="Z153" s="13">
        <f t="shared" si="102"/>
        <v>0</v>
      </c>
      <c r="AA153" s="13">
        <f t="shared" si="103"/>
        <v>0</v>
      </c>
      <c r="AB153" s="13">
        <f t="shared" si="104"/>
        <v>0</v>
      </c>
      <c r="AC153" s="13">
        <f t="shared" si="105"/>
        <v>0</v>
      </c>
      <c r="AD153" s="13">
        <f t="shared" si="106"/>
        <v>0</v>
      </c>
      <c r="AE153" s="13">
        <f t="shared" si="107"/>
        <v>0</v>
      </c>
      <c r="AF153" s="13">
        <f t="shared" si="108"/>
        <v>0</v>
      </c>
      <c r="AG153" s="685">
        <f t="shared" si="109"/>
        <v>0</v>
      </c>
      <c r="AH153" s="688" t="b">
        <f t="shared" si="110"/>
        <v>1</v>
      </c>
    </row>
    <row r="154" spans="1:34" s="1" customFormat="1" ht="15" customHeight="1">
      <c r="A154" s="946">
        <v>10690001</v>
      </c>
      <c r="B154" s="946" t="s">
        <v>597</v>
      </c>
      <c r="C154" s="946" t="s">
        <v>1462</v>
      </c>
      <c r="D154" s="946">
        <v>100000014</v>
      </c>
      <c r="E154" s="946" t="s">
        <v>23</v>
      </c>
      <c r="F154" s="946" t="s">
        <v>26</v>
      </c>
      <c r="G154" s="947">
        <v>-1602.98</v>
      </c>
      <c r="H154" s="947">
        <v>-2282.15</v>
      </c>
      <c r="I154" s="948"/>
      <c r="J154" s="948"/>
      <c r="K154" s="948"/>
      <c r="L154" s="29" t="e">
        <f>VLOOKUP(A154,'Account Mapping'!$A$2:$E$216,3,0)</f>
        <v>#N/A</v>
      </c>
      <c r="M154" s="25" t="e">
        <f>VLOOKUP(A154,'Account Mapping'!$A$2:$E$216,4,0)</f>
        <v>#N/A</v>
      </c>
      <c r="N154" s="26" t="e">
        <f>IF(OR(C154='Account Mapping'!$H$4,C154='Account Mapping'!$H$5,C154='Account Mapping'!$H$6),'Account Mapping'!$I$4,VLOOKUP(A154,'Account Mapping'!$A$2:$E$216,5,0))</f>
        <v>#N/A</v>
      </c>
      <c r="O154" s="27" t="e">
        <f>IF(OR(L154="Loan",L154="Deposit_Liability",L154="OFF_Unused Loan Commitment",L154="HQLA"),VLOOKUP(D154,'Customer Type'!$A$3:$C$38,3,0),"")</f>
        <v>#N/A</v>
      </c>
      <c r="P154" s="656" t="e">
        <f t="shared" si="98"/>
        <v>#N/A</v>
      </c>
      <c r="Q154" s="658">
        <f>IF(COUNTIF('Account Mapping'!$H$12:$H$45,A154)&gt;0,-H154,H154)</f>
        <v>2282.15</v>
      </c>
      <c r="R154" s="249" t="e">
        <f>VLOOKUP(P154,Assumptions!$C$2:$D$64,2,0)</f>
        <v>#N/A</v>
      </c>
      <c r="S154" s="692" t="str">
        <f>IFERROR(VLOOKUP(A154,'Maturity Adjustment'!$A$3:$C$81,3,0),(IF(J154&lt;$N$4,"Tomorrow",J154)))</f>
        <v>Tomorrow</v>
      </c>
      <c r="T154" s="24">
        <f t="shared" si="97"/>
        <v>1</v>
      </c>
      <c r="U154" s="196" t="e">
        <f t="shared" si="99"/>
        <v>#N/A</v>
      </c>
      <c r="V154" s="11" t="str">
        <f>IFERROR(VLOOKUP(A154,'Maturity Adjustment'!$A$86:$C$91,3,0),S154)</f>
        <v>Tomorrow</v>
      </c>
      <c r="W154" s="207" t="e">
        <f>VLOOKUP(A154,'Account Mapping'!$A$2:$F$216,6,0)</f>
        <v>#N/A</v>
      </c>
      <c r="X154" s="194">
        <f t="shared" si="100"/>
        <v>2282.15</v>
      </c>
      <c r="Y154" s="194">
        <f t="shared" si="101"/>
        <v>0</v>
      </c>
      <c r="Z154" s="13">
        <f t="shared" si="102"/>
        <v>0</v>
      </c>
      <c r="AA154" s="13">
        <f t="shared" si="103"/>
        <v>0</v>
      </c>
      <c r="AB154" s="13">
        <f t="shared" si="104"/>
        <v>0</v>
      </c>
      <c r="AC154" s="13">
        <f t="shared" si="105"/>
        <v>0</v>
      </c>
      <c r="AD154" s="13">
        <f t="shared" si="106"/>
        <v>0</v>
      </c>
      <c r="AE154" s="13">
        <f t="shared" si="107"/>
        <v>0</v>
      </c>
      <c r="AF154" s="13">
        <f t="shared" si="108"/>
        <v>0</v>
      </c>
      <c r="AG154" s="685">
        <f t="shared" si="109"/>
        <v>0</v>
      </c>
      <c r="AH154" s="688" t="b">
        <f t="shared" si="110"/>
        <v>1</v>
      </c>
    </row>
    <row r="155" spans="1:34" s="1" customFormat="1" ht="15" customHeight="1">
      <c r="A155" s="946">
        <v>10690001</v>
      </c>
      <c r="B155" s="946" t="s">
        <v>597</v>
      </c>
      <c r="C155" s="946" t="s">
        <v>1464</v>
      </c>
      <c r="D155" s="946">
        <v>100000039</v>
      </c>
      <c r="E155" s="946" t="s">
        <v>1431</v>
      </c>
      <c r="F155" s="946" t="s">
        <v>11</v>
      </c>
      <c r="G155" s="947">
        <v>-10749.5</v>
      </c>
      <c r="H155" s="947">
        <v>-10749.5</v>
      </c>
      <c r="I155" s="948"/>
      <c r="J155" s="948"/>
      <c r="K155" s="948"/>
      <c r="L155" s="29" t="e">
        <f>VLOOKUP(A155,'Account Mapping'!$A$2:$E$216,3,0)</f>
        <v>#N/A</v>
      </c>
      <c r="M155" s="25" t="e">
        <f>VLOOKUP(A155,'Account Mapping'!$A$2:$E$216,4,0)</f>
        <v>#N/A</v>
      </c>
      <c r="N155" s="26" t="e">
        <f>IF(OR(C155='Account Mapping'!$H$4,C155='Account Mapping'!$H$5,C155='Account Mapping'!$H$6),'Account Mapping'!$I$4,VLOOKUP(A155,'Account Mapping'!$A$2:$E$216,5,0))</f>
        <v>#N/A</v>
      </c>
      <c r="O155" s="27" t="e">
        <f>IF(OR(L155="Loan",L155="Deposit_Liability",L155="OFF_Unused Loan Commitment",L155="HQLA"),VLOOKUP(D155,'Customer Type'!$A$3:$C$38,3,0),"")</f>
        <v>#N/A</v>
      </c>
      <c r="P155" s="656" t="e">
        <f t="shared" si="98"/>
        <v>#N/A</v>
      </c>
      <c r="Q155" s="658">
        <f>IF(COUNTIF('Account Mapping'!$H$12:$H$45,A155)&gt;0,-H155,H155)</f>
        <v>10749.5</v>
      </c>
      <c r="R155" s="249" t="e">
        <f>VLOOKUP(P155,Assumptions!$C$2:$D$64,2,0)</f>
        <v>#N/A</v>
      </c>
      <c r="S155" s="692" t="str">
        <f>IFERROR(VLOOKUP(A155,'Maturity Adjustment'!$A$3:$C$81,3,0),(IF(J155&lt;$N$4,"Tomorrow",J155)))</f>
        <v>Tomorrow</v>
      </c>
      <c r="T155" s="24">
        <f t="shared" ref="T155:T161" si="111">IF(S155="Tomorrow",1,(S155-$N$4))</f>
        <v>1</v>
      </c>
      <c r="U155" s="196" t="e">
        <f t="shared" si="99"/>
        <v>#N/A</v>
      </c>
      <c r="V155" s="11" t="str">
        <f>IFERROR(VLOOKUP(A155,'Maturity Adjustment'!$A$86:$C$91,3,0),S155)</f>
        <v>Tomorrow</v>
      </c>
      <c r="W155" s="207" t="e">
        <f>VLOOKUP(A155,'Account Mapping'!$A$2:$F$216,6,0)</f>
        <v>#N/A</v>
      </c>
      <c r="X155" s="194">
        <f t="shared" si="100"/>
        <v>10749.5</v>
      </c>
      <c r="Y155" s="194">
        <f t="shared" si="101"/>
        <v>0</v>
      </c>
      <c r="Z155" s="13">
        <f t="shared" si="102"/>
        <v>0</v>
      </c>
      <c r="AA155" s="13">
        <f t="shared" si="103"/>
        <v>0</v>
      </c>
      <c r="AB155" s="13">
        <f t="shared" si="104"/>
        <v>0</v>
      </c>
      <c r="AC155" s="13">
        <f t="shared" si="105"/>
        <v>0</v>
      </c>
      <c r="AD155" s="13">
        <f t="shared" si="106"/>
        <v>0</v>
      </c>
      <c r="AE155" s="13">
        <f t="shared" si="107"/>
        <v>0</v>
      </c>
      <c r="AF155" s="13">
        <f t="shared" si="108"/>
        <v>0</v>
      </c>
      <c r="AG155" s="685">
        <f t="shared" si="109"/>
        <v>0</v>
      </c>
      <c r="AH155" s="688" t="b">
        <f t="shared" si="110"/>
        <v>1</v>
      </c>
    </row>
    <row r="156" spans="1:34" s="1" customFormat="1" ht="15" customHeight="1">
      <c r="A156" s="946">
        <v>10690001</v>
      </c>
      <c r="B156" s="946" t="s">
        <v>597</v>
      </c>
      <c r="C156" s="946" t="s">
        <v>1465</v>
      </c>
      <c r="D156" s="946">
        <v>100000014</v>
      </c>
      <c r="E156" s="946" t="s">
        <v>23</v>
      </c>
      <c r="F156" s="946" t="s">
        <v>26</v>
      </c>
      <c r="G156" s="947">
        <v>-5102.74</v>
      </c>
      <c r="H156" s="947">
        <v>-7264.72</v>
      </c>
      <c r="I156" s="948"/>
      <c r="J156" s="948"/>
      <c r="K156" s="948"/>
      <c r="L156" s="29" t="e">
        <f>VLOOKUP(A156,'Account Mapping'!$A$2:$E$216,3,0)</f>
        <v>#N/A</v>
      </c>
      <c r="M156" s="25" t="e">
        <f>VLOOKUP(A156,'Account Mapping'!$A$2:$E$216,4,0)</f>
        <v>#N/A</v>
      </c>
      <c r="N156" s="26" t="e">
        <f>IF(OR(C156='Account Mapping'!$H$4,C156='Account Mapping'!$H$5,C156='Account Mapping'!$H$6),'Account Mapping'!$I$4,VLOOKUP(A156,'Account Mapping'!$A$2:$E$216,5,0))</f>
        <v>#N/A</v>
      </c>
      <c r="O156" s="27" t="e">
        <f>IF(OR(L156="Loan",L156="Deposit_Liability",L156="OFF_Unused Loan Commitment",L156="HQLA"),VLOOKUP(D156,'Customer Type'!$A$3:$C$38,3,0),"")</f>
        <v>#N/A</v>
      </c>
      <c r="P156" s="656" t="e">
        <f t="shared" si="98"/>
        <v>#N/A</v>
      </c>
      <c r="Q156" s="658">
        <f>IF(COUNTIF('Account Mapping'!$H$12:$H$45,A156)&gt;0,-H156,H156)</f>
        <v>7264.72</v>
      </c>
      <c r="R156" s="249" t="e">
        <f>VLOOKUP(P156,Assumptions!$C$2:$D$64,2,0)</f>
        <v>#N/A</v>
      </c>
      <c r="S156" s="692" t="str">
        <f>IFERROR(VLOOKUP(A156,'Maturity Adjustment'!$A$3:$C$81,3,0),(IF(J156&lt;$N$4,"Tomorrow",J156)))</f>
        <v>Tomorrow</v>
      </c>
      <c r="T156" s="24">
        <f t="shared" si="111"/>
        <v>1</v>
      </c>
      <c r="U156" s="196" t="e">
        <f t="shared" si="99"/>
        <v>#N/A</v>
      </c>
      <c r="V156" s="11" t="str">
        <f>IFERROR(VLOOKUP(A156,'Maturity Adjustment'!$A$86:$C$91,3,0),S156)</f>
        <v>Tomorrow</v>
      </c>
      <c r="W156" s="207" t="e">
        <f>VLOOKUP(A156,'Account Mapping'!$A$2:$F$216,6,0)</f>
        <v>#N/A</v>
      </c>
      <c r="X156" s="194">
        <f t="shared" si="100"/>
        <v>7264.72</v>
      </c>
      <c r="Y156" s="194">
        <f t="shared" si="101"/>
        <v>0</v>
      </c>
      <c r="Z156" s="13">
        <f t="shared" si="102"/>
        <v>0</v>
      </c>
      <c r="AA156" s="13">
        <f t="shared" si="103"/>
        <v>0</v>
      </c>
      <c r="AB156" s="13">
        <f t="shared" si="104"/>
        <v>0</v>
      </c>
      <c r="AC156" s="13">
        <f t="shared" si="105"/>
        <v>0</v>
      </c>
      <c r="AD156" s="13">
        <f t="shared" si="106"/>
        <v>0</v>
      </c>
      <c r="AE156" s="13">
        <f t="shared" si="107"/>
        <v>0</v>
      </c>
      <c r="AF156" s="13">
        <f t="shared" si="108"/>
        <v>0</v>
      </c>
      <c r="AG156" s="685">
        <f t="shared" si="109"/>
        <v>0</v>
      </c>
      <c r="AH156" s="688" t="b">
        <f t="shared" si="110"/>
        <v>1</v>
      </c>
    </row>
    <row r="157" spans="1:34" s="1" customFormat="1" ht="15" customHeight="1">
      <c r="A157" s="946">
        <v>10690001</v>
      </c>
      <c r="B157" s="946" t="s">
        <v>597</v>
      </c>
      <c r="C157" s="946" t="s">
        <v>1466</v>
      </c>
      <c r="D157" s="946">
        <v>100000014</v>
      </c>
      <c r="E157" s="946" t="s">
        <v>23</v>
      </c>
      <c r="F157" s="946" t="s">
        <v>26</v>
      </c>
      <c r="G157" s="947">
        <v>-1751.01</v>
      </c>
      <c r="H157" s="947">
        <v>-2492.9</v>
      </c>
      <c r="I157" s="948"/>
      <c r="J157" s="948"/>
      <c r="K157" s="948"/>
      <c r="L157" s="29" t="e">
        <f>VLOOKUP(A157,'Account Mapping'!$A$2:$E$216,3,0)</f>
        <v>#N/A</v>
      </c>
      <c r="M157" s="25" t="e">
        <f>VLOOKUP(A157,'Account Mapping'!$A$2:$E$216,4,0)</f>
        <v>#N/A</v>
      </c>
      <c r="N157" s="26" t="e">
        <f>IF(OR(C157='Account Mapping'!$H$4,C157='Account Mapping'!$H$5,C157='Account Mapping'!$H$6),'Account Mapping'!$I$4,VLOOKUP(A157,'Account Mapping'!$A$2:$E$216,5,0))</f>
        <v>#N/A</v>
      </c>
      <c r="O157" s="27" t="e">
        <f>IF(OR(L157="Loan",L157="Deposit_Liability",L157="OFF_Unused Loan Commitment",L157="HQLA"),VLOOKUP(D157,'Customer Type'!$A$3:$C$38,3,0),"")</f>
        <v>#N/A</v>
      </c>
      <c r="P157" s="656" t="e">
        <f t="shared" si="98"/>
        <v>#N/A</v>
      </c>
      <c r="Q157" s="658">
        <f>IF(COUNTIF('Account Mapping'!$H$12:$H$45,A157)&gt;0,-H157,H157)</f>
        <v>2492.9</v>
      </c>
      <c r="R157" s="249" t="e">
        <f>VLOOKUP(P157,Assumptions!$C$2:$D$64,2,0)</f>
        <v>#N/A</v>
      </c>
      <c r="S157" s="692" t="str">
        <f>IFERROR(VLOOKUP(A157,'Maturity Adjustment'!$A$3:$C$81,3,0),(IF(J157&lt;$N$4,"Tomorrow",J157)))</f>
        <v>Tomorrow</v>
      </c>
      <c r="T157" s="24">
        <f t="shared" si="111"/>
        <v>1</v>
      </c>
      <c r="U157" s="196" t="e">
        <f t="shared" si="99"/>
        <v>#N/A</v>
      </c>
      <c r="V157" s="11" t="str">
        <f>IFERROR(VLOOKUP(A157,'Maturity Adjustment'!$A$86:$C$91,3,0),S157)</f>
        <v>Tomorrow</v>
      </c>
      <c r="W157" s="207" t="e">
        <f>VLOOKUP(A157,'Account Mapping'!$A$2:$F$216,6,0)</f>
        <v>#N/A</v>
      </c>
      <c r="X157" s="194">
        <f t="shared" si="100"/>
        <v>2492.9</v>
      </c>
      <c r="Y157" s="194">
        <f t="shared" si="101"/>
        <v>0</v>
      </c>
      <c r="Z157" s="13">
        <f t="shared" si="102"/>
        <v>0</v>
      </c>
      <c r="AA157" s="13">
        <f t="shared" si="103"/>
        <v>0</v>
      </c>
      <c r="AB157" s="13">
        <f t="shared" si="104"/>
        <v>0</v>
      </c>
      <c r="AC157" s="13">
        <f t="shared" si="105"/>
        <v>0</v>
      </c>
      <c r="AD157" s="13">
        <f t="shared" si="106"/>
        <v>0</v>
      </c>
      <c r="AE157" s="13">
        <f t="shared" si="107"/>
        <v>0</v>
      </c>
      <c r="AF157" s="13">
        <f t="shared" si="108"/>
        <v>0</v>
      </c>
      <c r="AG157" s="685">
        <f t="shared" si="109"/>
        <v>0</v>
      </c>
      <c r="AH157" s="688" t="b">
        <f t="shared" si="110"/>
        <v>1</v>
      </c>
    </row>
    <row r="158" spans="1:34" s="1" customFormat="1" ht="15" customHeight="1">
      <c r="A158" s="946">
        <v>10690001</v>
      </c>
      <c r="B158" s="946" t="s">
        <v>597</v>
      </c>
      <c r="C158" s="946" t="s">
        <v>1522</v>
      </c>
      <c r="D158" s="946">
        <v>100000014</v>
      </c>
      <c r="E158" s="946" t="s">
        <v>23</v>
      </c>
      <c r="F158" s="946" t="s">
        <v>26</v>
      </c>
      <c r="G158" s="947">
        <v>-4687.25</v>
      </c>
      <c r="H158" s="947">
        <v>-6673.19</v>
      </c>
      <c r="I158" s="948"/>
      <c r="J158" s="948"/>
      <c r="K158" s="948"/>
      <c r="L158" s="29" t="e">
        <f>VLOOKUP(A158,'Account Mapping'!$A$2:$E$216,3,0)</f>
        <v>#N/A</v>
      </c>
      <c r="M158" s="25" t="e">
        <f>VLOOKUP(A158,'Account Mapping'!$A$2:$E$216,4,0)</f>
        <v>#N/A</v>
      </c>
      <c r="N158" s="26" t="e">
        <f>IF(OR(C158='Account Mapping'!$H$4,C158='Account Mapping'!$H$5,C158='Account Mapping'!$H$6),'Account Mapping'!$I$4,VLOOKUP(A158,'Account Mapping'!$A$2:$E$216,5,0))</f>
        <v>#N/A</v>
      </c>
      <c r="O158" s="27" t="e">
        <f>IF(OR(L158="Loan",L158="Deposit_Liability",L158="OFF_Unused Loan Commitment",L158="HQLA"),VLOOKUP(D158,'Customer Type'!$A$3:$C$38,3,0),"")</f>
        <v>#N/A</v>
      </c>
      <c r="P158" s="656" t="e">
        <f t="shared" si="98"/>
        <v>#N/A</v>
      </c>
      <c r="Q158" s="658">
        <f>IF(COUNTIF('Account Mapping'!$H$12:$H$45,A158)&gt;0,-H158,H158)</f>
        <v>6673.19</v>
      </c>
      <c r="R158" s="249" t="e">
        <f>VLOOKUP(P158,Assumptions!$C$2:$D$64,2,0)</f>
        <v>#N/A</v>
      </c>
      <c r="S158" s="692" t="str">
        <f>IFERROR(VLOOKUP(A158,'Maturity Adjustment'!$A$3:$C$81,3,0),(IF(J158&lt;$N$4,"Tomorrow",J158)))</f>
        <v>Tomorrow</v>
      </c>
      <c r="T158" s="24">
        <f t="shared" si="111"/>
        <v>1</v>
      </c>
      <c r="U158" s="196" t="e">
        <f t="shared" si="99"/>
        <v>#N/A</v>
      </c>
      <c r="V158" s="11" t="str">
        <f>IFERROR(VLOOKUP(A158,'Maturity Adjustment'!$A$86:$C$91,3,0),S158)</f>
        <v>Tomorrow</v>
      </c>
      <c r="W158" s="207" t="e">
        <f>VLOOKUP(A158,'Account Mapping'!$A$2:$F$216,6,0)</f>
        <v>#N/A</v>
      </c>
      <c r="X158" s="194">
        <f t="shared" si="100"/>
        <v>6673.19</v>
      </c>
      <c r="Y158" s="194">
        <f t="shared" si="101"/>
        <v>0</v>
      </c>
      <c r="Z158" s="13">
        <f t="shared" si="102"/>
        <v>0</v>
      </c>
      <c r="AA158" s="13">
        <f t="shared" si="103"/>
        <v>0</v>
      </c>
      <c r="AB158" s="13">
        <f t="shared" si="104"/>
        <v>0</v>
      </c>
      <c r="AC158" s="13">
        <f t="shared" si="105"/>
        <v>0</v>
      </c>
      <c r="AD158" s="13">
        <f t="shared" si="106"/>
        <v>0</v>
      </c>
      <c r="AE158" s="13">
        <f t="shared" si="107"/>
        <v>0</v>
      </c>
      <c r="AF158" s="13">
        <f t="shared" si="108"/>
        <v>0</v>
      </c>
      <c r="AG158" s="685">
        <f t="shared" si="109"/>
        <v>0</v>
      </c>
      <c r="AH158" s="688" t="b">
        <f t="shared" si="110"/>
        <v>1</v>
      </c>
    </row>
    <row r="159" spans="1:34" s="1" customFormat="1" ht="15" customHeight="1">
      <c r="A159" s="946">
        <v>10690001</v>
      </c>
      <c r="B159" s="946" t="s">
        <v>597</v>
      </c>
      <c r="C159" s="946" t="s">
        <v>1523</v>
      </c>
      <c r="D159" s="946">
        <v>100000014</v>
      </c>
      <c r="E159" s="946" t="s">
        <v>23</v>
      </c>
      <c r="F159" s="946" t="s">
        <v>26</v>
      </c>
      <c r="G159" s="947">
        <v>-1742.12</v>
      </c>
      <c r="H159" s="947">
        <v>-2480.2399999999998</v>
      </c>
      <c r="I159" s="948"/>
      <c r="J159" s="948"/>
      <c r="K159" s="948"/>
      <c r="L159" s="29" t="e">
        <f>VLOOKUP(A159,'Account Mapping'!$A$2:$E$216,3,0)</f>
        <v>#N/A</v>
      </c>
      <c r="M159" s="25" t="e">
        <f>VLOOKUP(A159,'Account Mapping'!$A$2:$E$216,4,0)</f>
        <v>#N/A</v>
      </c>
      <c r="N159" s="26" t="e">
        <f>IF(OR(C159='Account Mapping'!$H$4,C159='Account Mapping'!$H$5,C159='Account Mapping'!$H$6),'Account Mapping'!$I$4,VLOOKUP(A159,'Account Mapping'!$A$2:$E$216,5,0))</f>
        <v>#N/A</v>
      </c>
      <c r="O159" s="27" t="e">
        <f>IF(OR(L159="Loan",L159="Deposit_Liability",L159="OFF_Unused Loan Commitment",L159="HQLA"),VLOOKUP(D159,'Customer Type'!$A$3:$C$38,3,0),"")</f>
        <v>#N/A</v>
      </c>
      <c r="P159" s="656" t="e">
        <f t="shared" si="98"/>
        <v>#N/A</v>
      </c>
      <c r="Q159" s="658">
        <f>IF(COUNTIF('Account Mapping'!$H$12:$H$45,A159)&gt;0,-H159,H159)</f>
        <v>2480.2399999999998</v>
      </c>
      <c r="R159" s="249" t="e">
        <f>VLOOKUP(P159,Assumptions!$C$2:$D$64,2,0)</f>
        <v>#N/A</v>
      </c>
      <c r="S159" s="692" t="str">
        <f>IFERROR(VLOOKUP(A159,'Maturity Adjustment'!$A$3:$C$81,3,0),(IF(J159&lt;$N$4,"Tomorrow",J159)))</f>
        <v>Tomorrow</v>
      </c>
      <c r="T159" s="24">
        <f t="shared" si="111"/>
        <v>1</v>
      </c>
      <c r="U159" s="196" t="e">
        <f t="shared" si="99"/>
        <v>#N/A</v>
      </c>
      <c r="V159" s="11" t="str">
        <f>IFERROR(VLOOKUP(A159,'Maturity Adjustment'!$A$86:$C$91,3,0),S159)</f>
        <v>Tomorrow</v>
      </c>
      <c r="W159" s="207" t="e">
        <f>VLOOKUP(A159,'Account Mapping'!$A$2:$F$216,6,0)</f>
        <v>#N/A</v>
      </c>
      <c r="X159" s="194">
        <f t="shared" si="100"/>
        <v>2480.2399999999998</v>
      </c>
      <c r="Y159" s="194">
        <f t="shared" si="101"/>
        <v>0</v>
      </c>
      <c r="Z159" s="13">
        <f t="shared" si="102"/>
        <v>0</v>
      </c>
      <c r="AA159" s="13">
        <f t="shared" si="103"/>
        <v>0</v>
      </c>
      <c r="AB159" s="13">
        <f t="shared" si="104"/>
        <v>0</v>
      </c>
      <c r="AC159" s="13">
        <f t="shared" si="105"/>
        <v>0</v>
      </c>
      <c r="AD159" s="13">
        <f t="shared" si="106"/>
        <v>0</v>
      </c>
      <c r="AE159" s="13">
        <f t="shared" si="107"/>
        <v>0</v>
      </c>
      <c r="AF159" s="13">
        <f t="shared" si="108"/>
        <v>0</v>
      </c>
      <c r="AG159" s="685">
        <f t="shared" si="109"/>
        <v>0</v>
      </c>
      <c r="AH159" s="688" t="b">
        <f t="shared" si="110"/>
        <v>1</v>
      </c>
    </row>
    <row r="160" spans="1:34" s="1" customFormat="1" ht="15" customHeight="1">
      <c r="A160" s="946">
        <v>10690001</v>
      </c>
      <c r="B160" s="946" t="s">
        <v>597</v>
      </c>
      <c r="C160" s="946" t="s">
        <v>1531</v>
      </c>
      <c r="D160" s="946">
        <v>100000014</v>
      </c>
      <c r="E160" s="946" t="s">
        <v>23</v>
      </c>
      <c r="F160" s="946" t="s">
        <v>26</v>
      </c>
      <c r="G160" s="947">
        <v>-3859.39</v>
      </c>
      <c r="H160" s="947">
        <v>-5494.58</v>
      </c>
      <c r="I160" s="948"/>
      <c r="J160" s="948"/>
      <c r="K160" s="948"/>
      <c r="L160" s="29" t="e">
        <f>VLOOKUP(A160,'Account Mapping'!$A$2:$E$216,3,0)</f>
        <v>#N/A</v>
      </c>
      <c r="M160" s="25" t="e">
        <f>VLOOKUP(A160,'Account Mapping'!$A$2:$E$216,4,0)</f>
        <v>#N/A</v>
      </c>
      <c r="N160" s="26" t="e">
        <f>IF(OR(C160='Account Mapping'!$H$4,C160='Account Mapping'!$H$5,C160='Account Mapping'!$H$6),'Account Mapping'!$I$4,VLOOKUP(A160,'Account Mapping'!$A$2:$E$216,5,0))</f>
        <v>#N/A</v>
      </c>
      <c r="O160" s="27" t="e">
        <f>IF(OR(L160="Loan",L160="Deposit_Liability",L160="OFF_Unused Loan Commitment",L160="HQLA"),VLOOKUP(D160,'Customer Type'!$A$3:$C$38,3,0),"")</f>
        <v>#N/A</v>
      </c>
      <c r="P160" s="656" t="e">
        <f t="shared" si="98"/>
        <v>#N/A</v>
      </c>
      <c r="Q160" s="658">
        <f>IF(COUNTIF('Account Mapping'!$H$12:$H$45,A160)&gt;0,-H160,H160)</f>
        <v>5494.58</v>
      </c>
      <c r="R160" s="249" t="e">
        <f>VLOOKUP(P160,Assumptions!$C$2:$D$64,2,0)</f>
        <v>#N/A</v>
      </c>
      <c r="S160" s="692" t="str">
        <f>IFERROR(VLOOKUP(A160,'Maturity Adjustment'!$A$3:$C$81,3,0),(IF(J160&lt;$N$4,"Tomorrow",J160)))</f>
        <v>Tomorrow</v>
      </c>
      <c r="T160" s="24">
        <f t="shared" si="111"/>
        <v>1</v>
      </c>
      <c r="U160" s="196" t="e">
        <f t="shared" si="99"/>
        <v>#N/A</v>
      </c>
      <c r="V160" s="11" t="str">
        <f>IFERROR(VLOOKUP(A160,'Maturity Adjustment'!$A$86:$C$91,3,0),S160)</f>
        <v>Tomorrow</v>
      </c>
      <c r="W160" s="207" t="e">
        <f>VLOOKUP(A160,'Account Mapping'!$A$2:$F$216,6,0)</f>
        <v>#N/A</v>
      </c>
      <c r="X160" s="194">
        <f t="shared" si="100"/>
        <v>5494.58</v>
      </c>
      <c r="Y160" s="194">
        <f t="shared" si="101"/>
        <v>0</v>
      </c>
      <c r="Z160" s="13">
        <f t="shared" si="102"/>
        <v>0</v>
      </c>
      <c r="AA160" s="13">
        <f t="shared" si="103"/>
        <v>0</v>
      </c>
      <c r="AB160" s="13">
        <f t="shared" si="104"/>
        <v>0</v>
      </c>
      <c r="AC160" s="13">
        <f t="shared" si="105"/>
        <v>0</v>
      </c>
      <c r="AD160" s="13">
        <f t="shared" si="106"/>
        <v>0</v>
      </c>
      <c r="AE160" s="13">
        <f t="shared" si="107"/>
        <v>0</v>
      </c>
      <c r="AF160" s="13">
        <f t="shared" si="108"/>
        <v>0</v>
      </c>
      <c r="AG160" s="685">
        <f t="shared" si="109"/>
        <v>0</v>
      </c>
      <c r="AH160" s="688" t="b">
        <f t="shared" si="110"/>
        <v>1</v>
      </c>
    </row>
    <row r="161" spans="1:34" s="1" customFormat="1" ht="15" customHeight="1">
      <c r="A161" s="946">
        <v>10690001</v>
      </c>
      <c r="B161" s="946" t="s">
        <v>597</v>
      </c>
      <c r="C161" s="946" t="s">
        <v>1532</v>
      </c>
      <c r="D161" s="946">
        <v>100000033</v>
      </c>
      <c r="E161" s="946" t="s">
        <v>1254</v>
      </c>
      <c r="F161" s="946" t="s">
        <v>26</v>
      </c>
      <c r="G161" s="947">
        <v>-6223</v>
      </c>
      <c r="H161" s="947">
        <v>-8859.6200000000008</v>
      </c>
      <c r="I161" s="948"/>
      <c r="J161" s="948"/>
      <c r="K161" s="948"/>
      <c r="L161" s="29" t="e">
        <f>VLOOKUP(A161,'Account Mapping'!$A$2:$E$216,3,0)</f>
        <v>#N/A</v>
      </c>
      <c r="M161" s="25" t="e">
        <f>VLOOKUP(A161,'Account Mapping'!$A$2:$E$216,4,0)</f>
        <v>#N/A</v>
      </c>
      <c r="N161" s="26" t="e">
        <f>IF(OR(C161='Account Mapping'!$H$4,C161='Account Mapping'!$H$5,C161='Account Mapping'!$H$6),'Account Mapping'!$I$4,VLOOKUP(A161,'Account Mapping'!$A$2:$E$216,5,0))</f>
        <v>#N/A</v>
      </c>
      <c r="O161" s="27" t="e">
        <f>IF(OR(L161="Loan",L161="Deposit_Liability",L161="OFF_Unused Loan Commitment",L161="HQLA"),VLOOKUP(D161,'Customer Type'!$A$3:$C$38,3,0),"")</f>
        <v>#N/A</v>
      </c>
      <c r="P161" s="656" t="e">
        <f t="shared" si="98"/>
        <v>#N/A</v>
      </c>
      <c r="Q161" s="658">
        <f>IF(COUNTIF('Account Mapping'!$H$12:$H$45,A161)&gt;0,-H161,H161)</f>
        <v>8859.6200000000008</v>
      </c>
      <c r="R161" s="249" t="e">
        <f>VLOOKUP(P161,Assumptions!$C$2:$D$64,2,0)</f>
        <v>#N/A</v>
      </c>
      <c r="S161" s="692" t="str">
        <f>IFERROR(VLOOKUP(A161,'Maturity Adjustment'!$A$3:$C$81,3,0),(IF(J161&lt;$N$4,"Tomorrow",J161)))</f>
        <v>Tomorrow</v>
      </c>
      <c r="T161" s="24">
        <f t="shared" si="111"/>
        <v>1</v>
      </c>
      <c r="U161" s="196" t="e">
        <f t="shared" si="99"/>
        <v>#N/A</v>
      </c>
      <c r="V161" s="11" t="str">
        <f>IFERROR(VLOOKUP(A161,'Maturity Adjustment'!$A$86:$C$91,3,0),S161)</f>
        <v>Tomorrow</v>
      </c>
      <c r="W161" s="207" t="e">
        <f>VLOOKUP(A161,'Account Mapping'!$A$2:$F$216,6,0)</f>
        <v>#N/A</v>
      </c>
      <c r="X161" s="194">
        <f t="shared" si="100"/>
        <v>8859.6200000000008</v>
      </c>
      <c r="Y161" s="194">
        <f t="shared" si="101"/>
        <v>0</v>
      </c>
      <c r="Z161" s="13">
        <f t="shared" si="102"/>
        <v>0</v>
      </c>
      <c r="AA161" s="13">
        <f t="shared" si="103"/>
        <v>0</v>
      </c>
      <c r="AB161" s="13">
        <f t="shared" si="104"/>
        <v>0</v>
      </c>
      <c r="AC161" s="13">
        <f t="shared" si="105"/>
        <v>0</v>
      </c>
      <c r="AD161" s="13">
        <f t="shared" si="106"/>
        <v>0</v>
      </c>
      <c r="AE161" s="13">
        <f t="shared" si="107"/>
        <v>0</v>
      </c>
      <c r="AF161" s="13">
        <f t="shared" si="108"/>
        <v>0</v>
      </c>
      <c r="AG161" s="685">
        <f t="shared" si="109"/>
        <v>0</v>
      </c>
      <c r="AH161" s="688" t="b">
        <f t="shared" si="110"/>
        <v>1</v>
      </c>
    </row>
    <row r="162" spans="1:34" s="1" customFormat="1" ht="15" customHeight="1">
      <c r="A162" s="946">
        <v>10690001</v>
      </c>
      <c r="B162" s="946" t="s">
        <v>597</v>
      </c>
      <c r="C162" s="946" t="s">
        <v>1533</v>
      </c>
      <c r="D162" s="946">
        <v>100000014</v>
      </c>
      <c r="E162" s="946" t="s">
        <v>23</v>
      </c>
      <c r="F162" s="946" t="s">
        <v>26</v>
      </c>
      <c r="G162" s="947">
        <v>-1746.81</v>
      </c>
      <c r="H162" s="947">
        <v>-2486.92</v>
      </c>
      <c r="I162" s="948"/>
      <c r="J162" s="948"/>
      <c r="K162" s="948"/>
      <c r="L162" s="29" t="e">
        <f>VLOOKUP(A162,'Account Mapping'!$A$2:$E$216,3,0)</f>
        <v>#N/A</v>
      </c>
      <c r="M162" s="25" t="e">
        <f>VLOOKUP(A162,'Account Mapping'!$A$2:$E$216,4,0)</f>
        <v>#N/A</v>
      </c>
      <c r="N162" s="26" t="e">
        <f>IF(OR(C162='Account Mapping'!$H$4,C162='Account Mapping'!$H$5,C162='Account Mapping'!$H$6),'Account Mapping'!$I$4,VLOOKUP(A162,'Account Mapping'!$A$2:$E$216,5,0))</f>
        <v>#N/A</v>
      </c>
      <c r="O162" s="27" t="e">
        <f>IF(OR(L162="Loan",L162="Deposit_Liability",L162="OFF_Unused Loan Commitment",L162="HQLA"),VLOOKUP(D162,'Customer Type'!$A$3:$C$38,3,0),"")</f>
        <v>#N/A</v>
      </c>
      <c r="P162" s="656" t="e">
        <f t="shared" si="98"/>
        <v>#N/A</v>
      </c>
      <c r="Q162" s="658">
        <f>IF(COUNTIF('Account Mapping'!$H$12:$H$45,A162)&gt;0,-H162,H162)</f>
        <v>2486.92</v>
      </c>
      <c r="R162" s="249" t="e">
        <f>VLOOKUP(P162,Assumptions!$C$2:$D$64,2,0)</f>
        <v>#N/A</v>
      </c>
      <c r="S162" s="692" t="str">
        <f>IFERROR(VLOOKUP(A162,'Maturity Adjustment'!$A$3:$C$81,3,0),(IF(J162&lt;$N$4,"Tomorrow",J162)))</f>
        <v>Tomorrow</v>
      </c>
      <c r="T162" s="24">
        <f t="shared" si="97"/>
        <v>1</v>
      </c>
      <c r="U162" s="196" t="e">
        <f t="shared" si="99"/>
        <v>#N/A</v>
      </c>
      <c r="V162" s="11" t="str">
        <f>IFERROR(VLOOKUP(A162,'Maturity Adjustment'!$A$86:$C$91,3,0),S162)</f>
        <v>Tomorrow</v>
      </c>
      <c r="W162" s="207" t="e">
        <f>VLOOKUP(A162,'Account Mapping'!$A$2:$F$216,6,0)</f>
        <v>#N/A</v>
      </c>
      <c r="X162" s="194">
        <f t="shared" si="100"/>
        <v>2486.92</v>
      </c>
      <c r="Y162" s="194">
        <f t="shared" si="101"/>
        <v>0</v>
      </c>
      <c r="Z162" s="13">
        <f t="shared" si="102"/>
        <v>0</v>
      </c>
      <c r="AA162" s="13">
        <f t="shared" si="103"/>
        <v>0</v>
      </c>
      <c r="AB162" s="13">
        <f t="shared" si="104"/>
        <v>0</v>
      </c>
      <c r="AC162" s="13">
        <f t="shared" si="105"/>
        <v>0</v>
      </c>
      <c r="AD162" s="13">
        <f t="shared" si="106"/>
        <v>0</v>
      </c>
      <c r="AE162" s="13">
        <f t="shared" si="107"/>
        <v>0</v>
      </c>
      <c r="AF162" s="13">
        <f t="shared" si="108"/>
        <v>0</v>
      </c>
      <c r="AG162" s="685">
        <f t="shared" si="109"/>
        <v>0</v>
      </c>
      <c r="AH162" s="688" t="b">
        <f t="shared" si="110"/>
        <v>1</v>
      </c>
    </row>
    <row r="163" spans="1:34" s="1" customFormat="1" ht="15" customHeight="1">
      <c r="A163" s="946">
        <v>10690001</v>
      </c>
      <c r="B163" s="946" t="s">
        <v>597</v>
      </c>
      <c r="C163" s="946" t="s">
        <v>1540</v>
      </c>
      <c r="D163" s="946">
        <v>100000014</v>
      </c>
      <c r="E163" s="946" t="s">
        <v>23</v>
      </c>
      <c r="F163" s="946" t="s">
        <v>26</v>
      </c>
      <c r="G163" s="947">
        <v>-3995.39</v>
      </c>
      <c r="H163" s="947">
        <v>-5688.2</v>
      </c>
      <c r="I163" s="948"/>
      <c r="J163" s="948"/>
      <c r="K163" s="948"/>
      <c r="L163" s="29" t="e">
        <f>VLOOKUP(A163,'Account Mapping'!$A$2:$E$216,3,0)</f>
        <v>#N/A</v>
      </c>
      <c r="M163" s="25" t="e">
        <f>VLOOKUP(A163,'Account Mapping'!$A$2:$E$216,4,0)</f>
        <v>#N/A</v>
      </c>
      <c r="N163" s="26" t="e">
        <f>IF(OR(C163='Account Mapping'!$H$4,C163='Account Mapping'!$H$5,C163='Account Mapping'!$H$6),'Account Mapping'!$I$4,VLOOKUP(A163,'Account Mapping'!$A$2:$E$216,5,0))</f>
        <v>#N/A</v>
      </c>
      <c r="O163" s="27" t="e">
        <f>IF(OR(L163="Loan",L163="Deposit_Liability",L163="OFF_Unused Loan Commitment",L163="HQLA"),VLOOKUP(D163,'Customer Type'!$A$3:$C$38,3,0),"")</f>
        <v>#N/A</v>
      </c>
      <c r="P163" s="656" t="e">
        <f t="shared" si="98"/>
        <v>#N/A</v>
      </c>
      <c r="Q163" s="658">
        <f>IF(COUNTIF('Account Mapping'!$H$12:$H$45,A163)&gt;0,-H163,H163)</f>
        <v>5688.2</v>
      </c>
      <c r="R163" s="249" t="e">
        <f>VLOOKUP(P163,Assumptions!$C$2:$D$64,2,0)</f>
        <v>#N/A</v>
      </c>
      <c r="S163" s="692" t="str">
        <f>IFERROR(VLOOKUP(A163,'Maturity Adjustment'!$A$3:$C$81,3,0),(IF(J163&lt;$N$4,"Tomorrow",J163)))</f>
        <v>Tomorrow</v>
      </c>
      <c r="T163" s="24">
        <f t="shared" si="97"/>
        <v>1</v>
      </c>
      <c r="U163" s="196" t="e">
        <f t="shared" si="99"/>
        <v>#N/A</v>
      </c>
      <c r="V163" s="11" t="str">
        <f>IFERROR(VLOOKUP(A163,'Maturity Adjustment'!$A$86:$C$91,3,0),S163)</f>
        <v>Tomorrow</v>
      </c>
      <c r="W163" s="207" t="e">
        <f>VLOOKUP(A163,'Account Mapping'!$A$2:$F$216,6,0)</f>
        <v>#N/A</v>
      </c>
      <c r="X163" s="194">
        <f t="shared" si="100"/>
        <v>5688.2</v>
      </c>
      <c r="Y163" s="194">
        <f t="shared" si="101"/>
        <v>0</v>
      </c>
      <c r="Z163" s="13">
        <f t="shared" si="102"/>
        <v>0</v>
      </c>
      <c r="AA163" s="13">
        <f t="shared" si="103"/>
        <v>0</v>
      </c>
      <c r="AB163" s="13">
        <f t="shared" si="104"/>
        <v>0</v>
      </c>
      <c r="AC163" s="13">
        <f t="shared" si="105"/>
        <v>0</v>
      </c>
      <c r="AD163" s="13">
        <f t="shared" si="106"/>
        <v>0</v>
      </c>
      <c r="AE163" s="13">
        <f t="shared" si="107"/>
        <v>0</v>
      </c>
      <c r="AF163" s="13">
        <f t="shared" si="108"/>
        <v>0</v>
      </c>
      <c r="AG163" s="685">
        <f t="shared" si="109"/>
        <v>0</v>
      </c>
      <c r="AH163" s="688" t="b">
        <f t="shared" si="110"/>
        <v>1</v>
      </c>
    </row>
    <row r="164" spans="1:34" s="1" customFormat="1" ht="15" customHeight="1">
      <c r="A164" s="946">
        <v>10690001</v>
      </c>
      <c r="B164" s="946" t="s">
        <v>597</v>
      </c>
      <c r="C164" s="946" t="s">
        <v>1541</v>
      </c>
      <c r="D164" s="946">
        <v>100000014</v>
      </c>
      <c r="E164" s="946" t="s">
        <v>23</v>
      </c>
      <c r="F164" s="946" t="s">
        <v>26</v>
      </c>
      <c r="G164" s="947">
        <v>-1614.03</v>
      </c>
      <c r="H164" s="947">
        <v>-2297.88</v>
      </c>
      <c r="I164" s="948"/>
      <c r="J164" s="948"/>
      <c r="K164" s="948"/>
      <c r="L164" s="29" t="e">
        <f>VLOOKUP(A164,'Account Mapping'!$A$2:$E$216,3,0)</f>
        <v>#N/A</v>
      </c>
      <c r="M164" s="25" t="e">
        <f>VLOOKUP(A164,'Account Mapping'!$A$2:$E$216,4,0)</f>
        <v>#N/A</v>
      </c>
      <c r="N164" s="26" t="e">
        <f>IF(OR(C164='Account Mapping'!$H$4,C164='Account Mapping'!$H$5,C164='Account Mapping'!$H$6),'Account Mapping'!$I$4,VLOOKUP(A164,'Account Mapping'!$A$2:$E$216,5,0))</f>
        <v>#N/A</v>
      </c>
      <c r="O164" s="27" t="e">
        <f>IF(OR(L164="Loan",L164="Deposit_Liability",L164="OFF_Unused Loan Commitment",L164="HQLA"),VLOOKUP(D164,'Customer Type'!$A$3:$C$38,3,0),"")</f>
        <v>#N/A</v>
      </c>
      <c r="P164" s="656" t="e">
        <f t="shared" si="98"/>
        <v>#N/A</v>
      </c>
      <c r="Q164" s="658">
        <f>IF(COUNTIF('Account Mapping'!$H$12:$H$45,A164)&gt;0,-H164,H164)</f>
        <v>2297.88</v>
      </c>
      <c r="R164" s="249" t="e">
        <f>VLOOKUP(P164,Assumptions!$C$2:$D$64,2,0)</f>
        <v>#N/A</v>
      </c>
      <c r="S164" s="692" t="str">
        <f>IFERROR(VLOOKUP(A164,'Maturity Adjustment'!$A$3:$C$81,3,0),(IF(J164&lt;$N$4,"Tomorrow",J164)))</f>
        <v>Tomorrow</v>
      </c>
      <c r="T164" s="24">
        <f t="shared" si="97"/>
        <v>1</v>
      </c>
      <c r="U164" s="196" t="e">
        <f t="shared" si="99"/>
        <v>#N/A</v>
      </c>
      <c r="V164" s="11" t="str">
        <f>IFERROR(VLOOKUP(A164,'Maturity Adjustment'!$A$86:$C$91,3,0),S164)</f>
        <v>Tomorrow</v>
      </c>
      <c r="W164" s="207" t="e">
        <f>VLOOKUP(A164,'Account Mapping'!$A$2:$F$216,6,0)</f>
        <v>#N/A</v>
      </c>
      <c r="X164" s="194">
        <f t="shared" si="100"/>
        <v>2297.88</v>
      </c>
      <c r="Y164" s="194">
        <f t="shared" si="101"/>
        <v>0</v>
      </c>
      <c r="Z164" s="13">
        <f t="shared" si="102"/>
        <v>0</v>
      </c>
      <c r="AA164" s="13">
        <f t="shared" si="103"/>
        <v>0</v>
      </c>
      <c r="AB164" s="13">
        <f t="shared" si="104"/>
        <v>0</v>
      </c>
      <c r="AC164" s="13">
        <f t="shared" si="105"/>
        <v>0</v>
      </c>
      <c r="AD164" s="13">
        <f t="shared" si="106"/>
        <v>0</v>
      </c>
      <c r="AE164" s="13">
        <f t="shared" si="107"/>
        <v>0</v>
      </c>
      <c r="AF164" s="13">
        <f t="shared" si="108"/>
        <v>0</v>
      </c>
      <c r="AG164" s="685">
        <f t="shared" si="109"/>
        <v>0</v>
      </c>
      <c r="AH164" s="688" t="b">
        <f t="shared" si="110"/>
        <v>1</v>
      </c>
    </row>
    <row r="165" spans="1:34" s="1" customFormat="1" ht="15" customHeight="1">
      <c r="A165" s="946">
        <v>10690001</v>
      </c>
      <c r="B165" s="946" t="s">
        <v>597</v>
      </c>
      <c r="C165" s="946" t="s">
        <v>1577</v>
      </c>
      <c r="D165" s="946">
        <v>100000014</v>
      </c>
      <c r="E165" s="946" t="s">
        <v>23</v>
      </c>
      <c r="F165" s="946" t="s">
        <v>26</v>
      </c>
      <c r="G165" s="947">
        <v>-1767.46</v>
      </c>
      <c r="H165" s="947">
        <v>-2516.3200000000002</v>
      </c>
      <c r="I165" s="948"/>
      <c r="J165" s="948"/>
      <c r="K165" s="948"/>
      <c r="L165" s="29" t="e">
        <f>VLOOKUP(A165,'Account Mapping'!$A$2:$E$216,3,0)</f>
        <v>#N/A</v>
      </c>
      <c r="M165" s="25" t="e">
        <f>VLOOKUP(A165,'Account Mapping'!$A$2:$E$216,4,0)</f>
        <v>#N/A</v>
      </c>
      <c r="N165" s="26" t="e">
        <f>IF(OR(C165='Account Mapping'!$H$4,C165='Account Mapping'!$H$5,C165='Account Mapping'!$H$6),'Account Mapping'!$I$4,VLOOKUP(A165,'Account Mapping'!$A$2:$E$216,5,0))</f>
        <v>#N/A</v>
      </c>
      <c r="O165" s="27" t="e">
        <f>IF(OR(L165="Loan",L165="Deposit_Liability",L165="OFF_Unused Loan Commitment",L165="HQLA"),VLOOKUP(D165,'Customer Type'!$A$3:$C$38,3,0),"")</f>
        <v>#N/A</v>
      </c>
      <c r="P165" s="656" t="e">
        <f t="shared" si="98"/>
        <v>#N/A</v>
      </c>
      <c r="Q165" s="658">
        <f>IF(COUNTIF('Account Mapping'!$H$12:$H$45,A165)&gt;0,-H165,H165)</f>
        <v>2516.3200000000002</v>
      </c>
      <c r="R165" s="249" t="e">
        <f>VLOOKUP(P165,Assumptions!$C$2:$D$64,2,0)</f>
        <v>#N/A</v>
      </c>
      <c r="S165" s="692" t="str">
        <f>IFERROR(VLOOKUP(A165,'Maturity Adjustment'!$A$3:$C$81,3,0),(IF(J165&lt;$N$4,"Tomorrow",J165)))</f>
        <v>Tomorrow</v>
      </c>
      <c r="T165" s="24">
        <f t="shared" si="97"/>
        <v>1</v>
      </c>
      <c r="U165" s="196" t="e">
        <f t="shared" si="99"/>
        <v>#N/A</v>
      </c>
      <c r="V165" s="11" t="str">
        <f>IFERROR(VLOOKUP(A165,'Maturity Adjustment'!$A$86:$C$91,3,0),S165)</f>
        <v>Tomorrow</v>
      </c>
      <c r="W165" s="207" t="e">
        <f>VLOOKUP(A165,'Account Mapping'!$A$2:$F$216,6,0)</f>
        <v>#N/A</v>
      </c>
      <c r="X165" s="194">
        <f t="shared" si="100"/>
        <v>2516.3200000000002</v>
      </c>
      <c r="Y165" s="194">
        <f t="shared" si="101"/>
        <v>0</v>
      </c>
      <c r="Z165" s="13">
        <f t="shared" si="102"/>
        <v>0</v>
      </c>
      <c r="AA165" s="13">
        <f t="shared" si="103"/>
        <v>0</v>
      </c>
      <c r="AB165" s="13">
        <f t="shared" si="104"/>
        <v>0</v>
      </c>
      <c r="AC165" s="13">
        <f t="shared" si="105"/>
        <v>0</v>
      </c>
      <c r="AD165" s="13">
        <f t="shared" si="106"/>
        <v>0</v>
      </c>
      <c r="AE165" s="13">
        <f t="shared" si="107"/>
        <v>0</v>
      </c>
      <c r="AF165" s="13">
        <f t="shared" si="108"/>
        <v>0</v>
      </c>
      <c r="AG165" s="685">
        <f t="shared" si="109"/>
        <v>0</v>
      </c>
      <c r="AH165" s="688" t="b">
        <f t="shared" si="110"/>
        <v>1</v>
      </c>
    </row>
    <row r="166" spans="1:34" s="1" customFormat="1" ht="15" customHeight="1">
      <c r="A166" s="946">
        <v>10690007</v>
      </c>
      <c r="B166" s="946" t="s">
        <v>1282</v>
      </c>
      <c r="C166" s="946" t="s">
        <v>1542</v>
      </c>
      <c r="D166" s="946">
        <v>100000008</v>
      </c>
      <c r="E166" s="946" t="s">
        <v>685</v>
      </c>
      <c r="F166" s="946" t="s">
        <v>11</v>
      </c>
      <c r="G166" s="947">
        <v>-6260.75</v>
      </c>
      <c r="H166" s="947">
        <v>-6260.75</v>
      </c>
      <c r="I166" s="948"/>
      <c r="J166" s="948"/>
      <c r="K166" s="948"/>
      <c r="L166" s="29" t="e">
        <f>VLOOKUP(A166,'Account Mapping'!$A$2:$E$216,3,0)</f>
        <v>#N/A</v>
      </c>
      <c r="M166" s="25" t="e">
        <f>VLOOKUP(A166,'Account Mapping'!$A$2:$E$216,4,0)</f>
        <v>#N/A</v>
      </c>
      <c r="N166" s="26" t="e">
        <f>IF(OR(C166='Account Mapping'!$H$4,C166='Account Mapping'!$H$5,C166='Account Mapping'!$H$6),'Account Mapping'!$I$4,VLOOKUP(A166,'Account Mapping'!$A$2:$E$216,5,0))</f>
        <v>#N/A</v>
      </c>
      <c r="O166" s="27" t="e">
        <f>IF(OR(L166="Loan",L166="Deposit_Liability",L166="OFF_Unused Loan Commitment",L166="HQLA"),VLOOKUP(D166,'Customer Type'!$A$3:$C$38,3,0),"")</f>
        <v>#N/A</v>
      </c>
      <c r="P166" s="656" t="e">
        <f t="shared" si="98"/>
        <v>#N/A</v>
      </c>
      <c r="Q166" s="658">
        <f>IF(COUNTIF('Account Mapping'!$H$12:$H$45,A166)&gt;0,-H166,H166)</f>
        <v>6260.75</v>
      </c>
      <c r="R166" s="249" t="e">
        <f>VLOOKUP(P166,Assumptions!$C$2:$D$64,2,0)</f>
        <v>#N/A</v>
      </c>
      <c r="S166" s="692" t="str">
        <f>IFERROR(VLOOKUP(A166,'Maturity Adjustment'!$A$3:$C$81,3,0),(IF(J166&lt;$N$4,"Tomorrow",J166)))</f>
        <v>Tomorrow</v>
      </c>
      <c r="T166" s="24">
        <f t="shared" si="97"/>
        <v>1</v>
      </c>
      <c r="U166" s="196" t="e">
        <f t="shared" si="99"/>
        <v>#N/A</v>
      </c>
      <c r="V166" s="11" t="str">
        <f>IFERROR(VLOOKUP(A166,'Maturity Adjustment'!$A$86:$C$91,3,0),S166)</f>
        <v>Tomorrow</v>
      </c>
      <c r="W166" s="207" t="e">
        <f>VLOOKUP(A166,'Account Mapping'!$A$2:$F$216,6,0)</f>
        <v>#N/A</v>
      </c>
      <c r="X166" s="194">
        <f t="shared" si="100"/>
        <v>6260.75</v>
      </c>
      <c r="Y166" s="194">
        <f t="shared" si="101"/>
        <v>0</v>
      </c>
      <c r="Z166" s="13">
        <f t="shared" si="102"/>
        <v>0</v>
      </c>
      <c r="AA166" s="13">
        <f t="shared" si="103"/>
        <v>0</v>
      </c>
      <c r="AB166" s="13">
        <f t="shared" si="104"/>
        <v>0</v>
      </c>
      <c r="AC166" s="13">
        <f t="shared" si="105"/>
        <v>0</v>
      </c>
      <c r="AD166" s="13">
        <f t="shared" si="106"/>
        <v>0</v>
      </c>
      <c r="AE166" s="13">
        <f t="shared" si="107"/>
        <v>0</v>
      </c>
      <c r="AF166" s="13">
        <f t="shared" si="108"/>
        <v>0</v>
      </c>
      <c r="AG166" s="685">
        <f t="shared" si="109"/>
        <v>0</v>
      </c>
      <c r="AH166" s="688" t="b">
        <f t="shared" si="110"/>
        <v>1</v>
      </c>
    </row>
    <row r="167" spans="1:34" s="1" customFormat="1" ht="15" customHeight="1">
      <c r="A167" s="946">
        <v>10690007</v>
      </c>
      <c r="B167" s="946" t="s">
        <v>1282</v>
      </c>
      <c r="C167" s="946" t="s">
        <v>1578</v>
      </c>
      <c r="D167" s="946">
        <v>100000008</v>
      </c>
      <c r="E167" s="946" t="s">
        <v>685</v>
      </c>
      <c r="F167" s="946" t="s">
        <v>11</v>
      </c>
      <c r="G167" s="947">
        <v>-1878.23</v>
      </c>
      <c r="H167" s="947">
        <v>-1878.23</v>
      </c>
      <c r="I167" s="948"/>
      <c r="J167" s="948"/>
      <c r="K167" s="948"/>
      <c r="L167" s="29" t="e">
        <f>VLOOKUP(A167,'Account Mapping'!$A$2:$E$216,3,0)</f>
        <v>#N/A</v>
      </c>
      <c r="M167" s="25" t="e">
        <f>VLOOKUP(A167,'Account Mapping'!$A$2:$E$216,4,0)</f>
        <v>#N/A</v>
      </c>
      <c r="N167" s="26" t="e">
        <f>IF(OR(C167='Account Mapping'!$H$4,C167='Account Mapping'!$H$5,C167='Account Mapping'!$H$6),'Account Mapping'!$I$4,VLOOKUP(A167,'Account Mapping'!$A$2:$E$216,5,0))</f>
        <v>#N/A</v>
      </c>
      <c r="O167" s="27" t="e">
        <f>IF(OR(L167="Loan",L167="Deposit_Liability",L167="OFF_Unused Loan Commitment",L167="HQLA"),VLOOKUP(D167,'Customer Type'!$A$3:$C$38,3,0),"")</f>
        <v>#N/A</v>
      </c>
      <c r="P167" s="656" t="e">
        <f t="shared" si="98"/>
        <v>#N/A</v>
      </c>
      <c r="Q167" s="658">
        <f>IF(COUNTIF('Account Mapping'!$H$12:$H$45,A167)&gt;0,-H167,H167)</f>
        <v>1878.23</v>
      </c>
      <c r="R167" s="249" t="e">
        <f>VLOOKUP(P167,Assumptions!$C$2:$D$64,2,0)</f>
        <v>#N/A</v>
      </c>
      <c r="S167" s="692" t="str">
        <f>IFERROR(VLOOKUP(A167,'Maturity Adjustment'!$A$3:$C$81,3,0),(IF(J167&lt;$N$4,"Tomorrow",J167)))</f>
        <v>Tomorrow</v>
      </c>
      <c r="T167" s="24">
        <f t="shared" si="97"/>
        <v>1</v>
      </c>
      <c r="U167" s="196" t="e">
        <f t="shared" si="99"/>
        <v>#N/A</v>
      </c>
      <c r="V167" s="11" t="str">
        <f>IFERROR(VLOOKUP(A167,'Maturity Adjustment'!$A$86:$C$91,3,0),S167)</f>
        <v>Tomorrow</v>
      </c>
      <c r="W167" s="207" t="e">
        <f>VLOOKUP(A167,'Account Mapping'!$A$2:$F$216,6,0)</f>
        <v>#N/A</v>
      </c>
      <c r="X167" s="194">
        <f t="shared" si="100"/>
        <v>1878.23</v>
      </c>
      <c r="Y167" s="194">
        <f t="shared" si="101"/>
        <v>0</v>
      </c>
      <c r="Z167" s="13">
        <f t="shared" si="102"/>
        <v>0</v>
      </c>
      <c r="AA167" s="13">
        <f t="shared" si="103"/>
        <v>0</v>
      </c>
      <c r="AB167" s="13">
        <f t="shared" si="104"/>
        <v>0</v>
      </c>
      <c r="AC167" s="13">
        <f t="shared" si="105"/>
        <v>0</v>
      </c>
      <c r="AD167" s="13">
        <f t="shared" si="106"/>
        <v>0</v>
      </c>
      <c r="AE167" s="13">
        <f t="shared" si="107"/>
        <v>0</v>
      </c>
      <c r="AF167" s="13">
        <f t="shared" si="108"/>
        <v>0</v>
      </c>
      <c r="AG167" s="685">
        <f t="shared" si="109"/>
        <v>0</v>
      </c>
      <c r="AH167" s="688" t="b">
        <f t="shared" si="110"/>
        <v>1</v>
      </c>
    </row>
    <row r="168" spans="1:34" s="1" customFormat="1" ht="15" customHeight="1">
      <c r="A168" s="946">
        <v>10690007</v>
      </c>
      <c r="B168" s="946" t="s">
        <v>1282</v>
      </c>
      <c r="C168" s="946" t="s">
        <v>1579</v>
      </c>
      <c r="D168" s="946">
        <v>100000008</v>
      </c>
      <c r="E168" s="946" t="s">
        <v>685</v>
      </c>
      <c r="F168" s="946" t="s">
        <v>11</v>
      </c>
      <c r="G168" s="947">
        <v>-2504.3000000000002</v>
      </c>
      <c r="H168" s="947">
        <v>-2504.3000000000002</v>
      </c>
      <c r="I168" s="948"/>
      <c r="J168" s="948"/>
      <c r="K168" s="948"/>
      <c r="L168" s="29" t="e">
        <f>VLOOKUP(A168,'Account Mapping'!$A$2:$E$216,3,0)</f>
        <v>#N/A</v>
      </c>
      <c r="M168" s="25" t="e">
        <f>VLOOKUP(A168,'Account Mapping'!$A$2:$E$216,4,0)</f>
        <v>#N/A</v>
      </c>
      <c r="N168" s="26" t="e">
        <f>IF(OR(C168='Account Mapping'!$H$4,C168='Account Mapping'!$H$5,C168='Account Mapping'!$H$6),'Account Mapping'!$I$4,VLOOKUP(A168,'Account Mapping'!$A$2:$E$216,5,0))</f>
        <v>#N/A</v>
      </c>
      <c r="O168" s="27" t="e">
        <f>IF(OR(L168="Loan",L168="Deposit_Liability",L168="OFF_Unused Loan Commitment",L168="HQLA"),VLOOKUP(D168,'Customer Type'!$A$3:$C$38,3,0),"")</f>
        <v>#N/A</v>
      </c>
      <c r="P168" s="656" t="e">
        <f t="shared" si="98"/>
        <v>#N/A</v>
      </c>
      <c r="Q168" s="658">
        <f>IF(COUNTIF('Account Mapping'!$H$12:$H$45,A168)&gt;0,-H168,H168)</f>
        <v>2504.3000000000002</v>
      </c>
      <c r="R168" s="249" t="e">
        <f>VLOOKUP(P168,Assumptions!$C$2:$D$64,2,0)</f>
        <v>#N/A</v>
      </c>
      <c r="S168" s="692" t="str">
        <f>IFERROR(VLOOKUP(A168,'Maturity Adjustment'!$A$3:$C$81,3,0),(IF(J168&lt;$N$4,"Tomorrow",J168)))</f>
        <v>Tomorrow</v>
      </c>
      <c r="T168" s="24">
        <f t="shared" si="97"/>
        <v>1</v>
      </c>
      <c r="U168" s="196" t="e">
        <f t="shared" si="99"/>
        <v>#N/A</v>
      </c>
      <c r="V168" s="11" t="str">
        <f>IFERROR(VLOOKUP(A168,'Maturity Adjustment'!$A$86:$C$91,3,0),S168)</f>
        <v>Tomorrow</v>
      </c>
      <c r="W168" s="207" t="e">
        <f>VLOOKUP(A168,'Account Mapping'!$A$2:$F$216,6,0)</f>
        <v>#N/A</v>
      </c>
      <c r="X168" s="194">
        <f t="shared" si="100"/>
        <v>2504.3000000000002</v>
      </c>
      <c r="Y168" s="194">
        <f t="shared" si="101"/>
        <v>0</v>
      </c>
      <c r="Z168" s="13">
        <f t="shared" si="102"/>
        <v>0</v>
      </c>
      <c r="AA168" s="13">
        <f t="shared" si="103"/>
        <v>0</v>
      </c>
      <c r="AB168" s="13">
        <f t="shared" si="104"/>
        <v>0</v>
      </c>
      <c r="AC168" s="13">
        <f t="shared" si="105"/>
        <v>0</v>
      </c>
      <c r="AD168" s="13">
        <f t="shared" si="106"/>
        <v>0</v>
      </c>
      <c r="AE168" s="13">
        <f t="shared" si="107"/>
        <v>0</v>
      </c>
      <c r="AF168" s="13">
        <f t="shared" si="108"/>
        <v>0</v>
      </c>
      <c r="AG168" s="685">
        <f t="shared" si="109"/>
        <v>0</v>
      </c>
      <c r="AH168" s="688" t="b">
        <f t="shared" si="110"/>
        <v>1</v>
      </c>
    </row>
    <row r="169" spans="1:34" s="1" customFormat="1" ht="15" customHeight="1">
      <c r="A169" s="946">
        <v>10910003</v>
      </c>
      <c r="B169" s="946" t="s">
        <v>1573</v>
      </c>
      <c r="C169" s="946">
        <v>6115904000018</v>
      </c>
      <c r="D169" s="946">
        <v>100000003</v>
      </c>
      <c r="E169" s="946" t="s">
        <v>21</v>
      </c>
      <c r="F169" s="946" t="s">
        <v>11</v>
      </c>
      <c r="G169" s="947">
        <v>12116.71</v>
      </c>
      <c r="H169" s="947">
        <v>12116.71</v>
      </c>
      <c r="I169" s="948">
        <v>46046</v>
      </c>
      <c r="J169" s="948">
        <v>46136</v>
      </c>
      <c r="K169" s="948">
        <v>46136</v>
      </c>
      <c r="L169" s="29" t="e">
        <f>VLOOKUP(A169,'Account Mapping'!$A$2:$E$216,3,0)</f>
        <v>#N/A</v>
      </c>
      <c r="M169" s="25" t="e">
        <f>VLOOKUP(A169,'Account Mapping'!$A$2:$E$216,4,0)</f>
        <v>#N/A</v>
      </c>
      <c r="N169" s="26" t="e">
        <f>IF(OR(C169='Account Mapping'!$H$4,C169='Account Mapping'!$H$5,C169='Account Mapping'!$H$6),'Account Mapping'!$I$4,VLOOKUP(A169,'Account Mapping'!$A$2:$E$216,5,0))</f>
        <v>#N/A</v>
      </c>
      <c r="O169" s="27" t="e">
        <f>IF(OR(L169="Loan",L169="Deposit_Liability",L169="OFF_Unused Loan Commitment",L169="HQLA"),VLOOKUP(D169,'Customer Type'!$A$3:$C$38,3,0),"")</f>
        <v>#N/A</v>
      </c>
      <c r="P169" s="656" t="e">
        <f t="shared" si="98"/>
        <v>#N/A</v>
      </c>
      <c r="Q169" s="658">
        <f>IF(COUNTIF('Account Mapping'!$H$12:$H$45,A169)&gt;0,-H169,H169)</f>
        <v>12116.71</v>
      </c>
      <c r="R169" s="249" t="e">
        <f>VLOOKUP(P169,Assumptions!$C$2:$D$64,2,0)</f>
        <v>#N/A</v>
      </c>
      <c r="S169" s="692">
        <f>IFERROR(VLOOKUP(A169,'Maturity Adjustment'!$A$3:$C$81,3,0),(IF(J169&lt;$N$4,"Tomorrow",J169)))</f>
        <v>46136</v>
      </c>
      <c r="T169" s="24">
        <f t="shared" si="97"/>
        <v>78</v>
      </c>
      <c r="U169" s="196" t="e">
        <f t="shared" si="99"/>
        <v>#N/A</v>
      </c>
      <c r="V169" s="11">
        <f>IFERROR(VLOOKUP(A169,'Maturity Adjustment'!$A$86:$C$91,3,0),S169)</f>
        <v>46136</v>
      </c>
      <c r="W169" s="207" t="e">
        <f>VLOOKUP(A169,'Account Mapping'!$A$2:$F$216,6,0)</f>
        <v>#N/A</v>
      </c>
      <c r="X169" s="194">
        <f t="shared" si="100"/>
        <v>0</v>
      </c>
      <c r="Y169" s="194">
        <f t="shared" si="101"/>
        <v>0</v>
      </c>
      <c r="Z169" s="13">
        <f t="shared" si="102"/>
        <v>0</v>
      </c>
      <c r="AA169" s="13">
        <f t="shared" si="103"/>
        <v>12116.71</v>
      </c>
      <c r="AB169" s="13">
        <f t="shared" si="104"/>
        <v>0</v>
      </c>
      <c r="AC169" s="13">
        <f t="shared" si="105"/>
        <v>0</v>
      </c>
      <c r="AD169" s="13">
        <f t="shared" si="106"/>
        <v>0</v>
      </c>
      <c r="AE169" s="13">
        <f t="shared" si="107"/>
        <v>0</v>
      </c>
      <c r="AF169" s="13">
        <f t="shared" si="108"/>
        <v>0</v>
      </c>
      <c r="AG169" s="685">
        <f t="shared" si="109"/>
        <v>0</v>
      </c>
      <c r="AH169" s="688" t="b">
        <f t="shared" si="110"/>
        <v>1</v>
      </c>
    </row>
    <row r="170" spans="1:34" s="1" customFormat="1" ht="15" customHeight="1">
      <c r="A170" s="946">
        <v>10910006</v>
      </c>
      <c r="B170" s="946" t="s">
        <v>600</v>
      </c>
      <c r="C170" s="946">
        <v>6115904000025</v>
      </c>
      <c r="D170" s="946">
        <v>100000014</v>
      </c>
      <c r="E170" s="946" t="s">
        <v>23</v>
      </c>
      <c r="F170" s="946" t="s">
        <v>26</v>
      </c>
      <c r="G170" s="947">
        <v>45291.87</v>
      </c>
      <c r="H170" s="947">
        <v>64481.59</v>
      </c>
      <c r="I170" s="948">
        <v>46027</v>
      </c>
      <c r="J170" s="948">
        <v>46058</v>
      </c>
      <c r="K170" s="948">
        <v>46058</v>
      </c>
      <c r="L170" s="29" t="e">
        <f>VLOOKUP(A170,'Account Mapping'!$A$2:$E$216,3,0)</f>
        <v>#N/A</v>
      </c>
      <c r="M170" s="25" t="e">
        <f>VLOOKUP(A170,'Account Mapping'!$A$2:$E$216,4,0)</f>
        <v>#N/A</v>
      </c>
      <c r="N170" s="26" t="e">
        <f>IF(OR(C170='Account Mapping'!$H$4,C170='Account Mapping'!$H$5,C170='Account Mapping'!$H$6),'Account Mapping'!$I$4,VLOOKUP(A170,'Account Mapping'!$A$2:$E$216,5,0))</f>
        <v>#N/A</v>
      </c>
      <c r="O170" s="27" t="e">
        <f>IF(OR(L170="Loan",L170="Deposit_Liability",L170="OFF_Unused Loan Commitment",L170="HQLA"),VLOOKUP(D170,'Customer Type'!$A$3:$C$38,3,0),"")</f>
        <v>#N/A</v>
      </c>
      <c r="P170" s="656" t="e">
        <f t="shared" si="98"/>
        <v>#N/A</v>
      </c>
      <c r="Q170" s="658">
        <f>IF(COUNTIF('Account Mapping'!$H$12:$H$45,A170)&gt;0,-H170,H170)</f>
        <v>64481.59</v>
      </c>
      <c r="R170" s="249" t="e">
        <f>VLOOKUP(P170,Assumptions!$C$2:$D$64,2,0)</f>
        <v>#N/A</v>
      </c>
      <c r="S170" s="692">
        <f>IFERROR(VLOOKUP(A170,'Maturity Adjustment'!$A$3:$C$81,3,0),(IF(J170&lt;$N$4,"Tomorrow",J170)))</f>
        <v>46058</v>
      </c>
      <c r="T170" s="24">
        <f t="shared" si="97"/>
        <v>0</v>
      </c>
      <c r="U170" s="196" t="e">
        <f t="shared" si="99"/>
        <v>#N/A</v>
      </c>
      <c r="V170" s="11">
        <f>IFERROR(VLOOKUP(A170,'Maturity Adjustment'!$A$86:$C$91,3,0),S170)</f>
        <v>46058</v>
      </c>
      <c r="W170" s="207" t="e">
        <f>VLOOKUP(A170,'Account Mapping'!$A$2:$F$216,6,0)</f>
        <v>#N/A</v>
      </c>
      <c r="X170" s="194">
        <f t="shared" si="100"/>
        <v>64481.59</v>
      </c>
      <c r="Y170" s="194">
        <f t="shared" si="101"/>
        <v>0</v>
      </c>
      <c r="Z170" s="13">
        <f t="shared" si="102"/>
        <v>0</v>
      </c>
      <c r="AA170" s="13">
        <f t="shared" si="103"/>
        <v>0</v>
      </c>
      <c r="AB170" s="13">
        <f t="shared" si="104"/>
        <v>0</v>
      </c>
      <c r="AC170" s="13">
        <f t="shared" si="105"/>
        <v>0</v>
      </c>
      <c r="AD170" s="13">
        <f t="shared" si="106"/>
        <v>0</v>
      </c>
      <c r="AE170" s="13">
        <f t="shared" si="107"/>
        <v>0</v>
      </c>
      <c r="AF170" s="13">
        <f t="shared" si="108"/>
        <v>0</v>
      </c>
      <c r="AG170" s="685">
        <f t="shared" si="109"/>
        <v>0</v>
      </c>
      <c r="AH170" s="688" t="b">
        <f t="shared" si="110"/>
        <v>1</v>
      </c>
    </row>
    <row r="171" spans="1:34" s="1" customFormat="1" ht="15" customHeight="1">
      <c r="A171" s="946">
        <v>10910006</v>
      </c>
      <c r="B171" s="946" t="s">
        <v>600</v>
      </c>
      <c r="C171" s="946">
        <v>6115904000032</v>
      </c>
      <c r="D171" s="946">
        <v>100000014</v>
      </c>
      <c r="E171" s="946" t="s">
        <v>23</v>
      </c>
      <c r="F171" s="946" t="s">
        <v>26</v>
      </c>
      <c r="G171" s="947">
        <v>773.7</v>
      </c>
      <c r="H171" s="947">
        <v>1101.51</v>
      </c>
      <c r="I171" s="949">
        <v>46027</v>
      </c>
      <c r="J171" s="949">
        <v>46059</v>
      </c>
      <c r="K171" s="949">
        <v>46059</v>
      </c>
      <c r="L171" s="29" t="e">
        <f>VLOOKUP(A171,'Account Mapping'!$A$2:$E$216,3,0)</f>
        <v>#N/A</v>
      </c>
      <c r="M171" s="25" t="e">
        <f>VLOOKUP(A171,'Account Mapping'!$A$2:$E$216,4,0)</f>
        <v>#N/A</v>
      </c>
      <c r="N171" s="26" t="e">
        <f>IF(OR(C171='Account Mapping'!$H$4,C171='Account Mapping'!$H$5,C171='Account Mapping'!$H$6),'Account Mapping'!$I$4,VLOOKUP(A171,'Account Mapping'!$A$2:$E$216,5,0))</f>
        <v>#N/A</v>
      </c>
      <c r="O171" s="27" t="e">
        <f>IF(OR(L171="Loan",L171="Deposit_Liability",L171="OFF_Unused Loan Commitment",L171="HQLA"),VLOOKUP(D171,'Customer Type'!$A$3:$C$38,3,0),"")</f>
        <v>#N/A</v>
      </c>
      <c r="P171" s="656" t="e">
        <f t="shared" si="98"/>
        <v>#N/A</v>
      </c>
      <c r="Q171" s="658">
        <f>IF(COUNTIF('Account Mapping'!$H$12:$H$45,A171)&gt;0,-H171,H171)</f>
        <v>1101.51</v>
      </c>
      <c r="R171" s="249" t="e">
        <f>VLOOKUP(P171,Assumptions!$C$2:$D$64,2,0)</f>
        <v>#N/A</v>
      </c>
      <c r="S171" s="692">
        <f>IFERROR(VLOOKUP(A171,'Maturity Adjustment'!$A$3:$C$81,3,0),(IF(J171&lt;$N$4,"Tomorrow",J171)))</f>
        <v>46059</v>
      </c>
      <c r="T171" s="24">
        <f t="shared" si="97"/>
        <v>1</v>
      </c>
      <c r="U171" s="196" t="e">
        <f t="shared" si="99"/>
        <v>#N/A</v>
      </c>
      <c r="V171" s="11">
        <f>IFERROR(VLOOKUP(A171,'Maturity Adjustment'!$A$86:$C$91,3,0),S171)</f>
        <v>46059</v>
      </c>
      <c r="W171" s="207" t="e">
        <f>VLOOKUP(A171,'Account Mapping'!$A$2:$F$216,6,0)</f>
        <v>#N/A</v>
      </c>
      <c r="X171" s="194">
        <f t="shared" si="100"/>
        <v>1101.51</v>
      </c>
      <c r="Y171" s="194">
        <f t="shared" si="101"/>
        <v>0</v>
      </c>
      <c r="Z171" s="13">
        <f t="shared" si="102"/>
        <v>0</v>
      </c>
      <c r="AA171" s="13">
        <f t="shared" si="103"/>
        <v>0</v>
      </c>
      <c r="AB171" s="13">
        <f t="shared" si="104"/>
        <v>0</v>
      </c>
      <c r="AC171" s="13">
        <f t="shared" si="105"/>
        <v>0</v>
      </c>
      <c r="AD171" s="13">
        <f t="shared" si="106"/>
        <v>0</v>
      </c>
      <c r="AE171" s="13">
        <f t="shared" si="107"/>
        <v>0</v>
      </c>
      <c r="AF171" s="13">
        <f t="shared" si="108"/>
        <v>0</v>
      </c>
      <c r="AG171" s="685">
        <f t="shared" si="109"/>
        <v>0</v>
      </c>
      <c r="AH171" s="688" t="b">
        <f t="shared" si="110"/>
        <v>1</v>
      </c>
    </row>
    <row r="172" spans="1:34" s="1" customFormat="1" ht="15" customHeight="1">
      <c r="A172" s="946">
        <v>10910006</v>
      </c>
      <c r="B172" s="946" t="s">
        <v>600</v>
      </c>
      <c r="C172" s="946">
        <v>6115904000040</v>
      </c>
      <c r="D172" s="946">
        <v>100000014</v>
      </c>
      <c r="E172" s="946" t="s">
        <v>23</v>
      </c>
      <c r="F172" s="946" t="s">
        <v>26</v>
      </c>
      <c r="G172" s="947">
        <v>10664.79</v>
      </c>
      <c r="H172" s="947">
        <v>15183.36</v>
      </c>
      <c r="I172" s="949"/>
      <c r="J172" s="949"/>
      <c r="K172" s="949"/>
      <c r="L172" s="29" t="e">
        <f>VLOOKUP(A172,'Account Mapping'!$A$2:$E$216,3,0)</f>
        <v>#N/A</v>
      </c>
      <c r="M172" s="25" t="e">
        <f>VLOOKUP(A172,'Account Mapping'!$A$2:$E$216,4,0)</f>
        <v>#N/A</v>
      </c>
      <c r="N172" s="26" t="e">
        <f>IF(OR(C172='Account Mapping'!$H$4,C172='Account Mapping'!$H$5,C172='Account Mapping'!$H$6),'Account Mapping'!$I$4,VLOOKUP(A172,'Account Mapping'!$A$2:$E$216,5,0))</f>
        <v>#N/A</v>
      </c>
      <c r="O172" s="27" t="e">
        <f>IF(OR(L172="Loan",L172="Deposit_Liability",L172="OFF_Unused Loan Commitment",L172="HQLA"),VLOOKUP(D172,'Customer Type'!$A$3:$C$38,3,0),"")</f>
        <v>#N/A</v>
      </c>
      <c r="P172" s="656" t="e">
        <f t="shared" si="98"/>
        <v>#N/A</v>
      </c>
      <c r="Q172" s="658">
        <f>IF(COUNTIF('Account Mapping'!$H$12:$H$45,A172)&gt;0,-H172,H172)</f>
        <v>15183.36</v>
      </c>
      <c r="R172" s="249" t="e">
        <f>VLOOKUP(P172,Assumptions!$C$2:$D$64,2,0)</f>
        <v>#N/A</v>
      </c>
      <c r="S172" s="692" t="str">
        <f>IFERROR(VLOOKUP(A172,'Maturity Adjustment'!$A$3:$C$81,3,0),(IF(J172&lt;$N$4,"Tomorrow",J172)))</f>
        <v>Tomorrow</v>
      </c>
      <c r="T172" s="24">
        <f t="shared" ref="T172:T184" si="112">IF(S172="Tomorrow",1,(S172-$N$4))</f>
        <v>1</v>
      </c>
      <c r="U172" s="196" t="e">
        <f t="shared" si="99"/>
        <v>#N/A</v>
      </c>
      <c r="V172" s="11" t="str">
        <f>IFERROR(VLOOKUP(A172,'Maturity Adjustment'!$A$86:$C$91,3,0),S172)</f>
        <v>Tomorrow</v>
      </c>
      <c r="W172" s="207" t="e">
        <f>VLOOKUP(A172,'Account Mapping'!$A$2:$F$216,6,0)</f>
        <v>#N/A</v>
      </c>
      <c r="X172" s="194">
        <f t="shared" si="100"/>
        <v>15183.36</v>
      </c>
      <c r="Y172" s="194">
        <f t="shared" si="101"/>
        <v>0</v>
      </c>
      <c r="Z172" s="13">
        <f t="shared" si="102"/>
        <v>0</v>
      </c>
      <c r="AA172" s="13">
        <f t="shared" si="103"/>
        <v>0</v>
      </c>
      <c r="AB172" s="13">
        <f t="shared" si="104"/>
        <v>0</v>
      </c>
      <c r="AC172" s="13">
        <f t="shared" si="105"/>
        <v>0</v>
      </c>
      <c r="AD172" s="13">
        <f t="shared" si="106"/>
        <v>0</v>
      </c>
      <c r="AE172" s="13">
        <f t="shared" si="107"/>
        <v>0</v>
      </c>
      <c r="AF172" s="13">
        <f t="shared" si="108"/>
        <v>0</v>
      </c>
      <c r="AG172" s="685">
        <f t="shared" si="109"/>
        <v>0</v>
      </c>
      <c r="AH172" s="688" t="b">
        <f t="shared" si="110"/>
        <v>1</v>
      </c>
    </row>
    <row r="173" spans="1:34" s="1" customFormat="1" ht="15" customHeight="1">
      <c r="A173" s="946">
        <v>10910006</v>
      </c>
      <c r="B173" s="946" t="s">
        <v>600</v>
      </c>
      <c r="C173" s="946">
        <v>6115904000057</v>
      </c>
      <c r="D173" s="946">
        <v>100000014</v>
      </c>
      <c r="E173" s="946" t="s">
        <v>23</v>
      </c>
      <c r="F173" s="946" t="s">
        <v>26</v>
      </c>
      <c r="G173" s="947">
        <v>587.74</v>
      </c>
      <c r="H173" s="947">
        <v>836.76</v>
      </c>
      <c r="I173" s="949"/>
      <c r="J173" s="949"/>
      <c r="K173" s="949"/>
      <c r="L173" s="29" t="e">
        <f>VLOOKUP(A173,'Account Mapping'!$A$2:$E$216,3,0)</f>
        <v>#N/A</v>
      </c>
      <c r="M173" s="25" t="e">
        <f>VLOOKUP(A173,'Account Mapping'!$A$2:$E$216,4,0)</f>
        <v>#N/A</v>
      </c>
      <c r="N173" s="26" t="e">
        <f>IF(OR(C173='Account Mapping'!$H$4,C173='Account Mapping'!$H$5,C173='Account Mapping'!$H$6),'Account Mapping'!$I$4,VLOOKUP(A173,'Account Mapping'!$A$2:$E$216,5,0))</f>
        <v>#N/A</v>
      </c>
      <c r="O173" s="27" t="e">
        <f>IF(OR(L173="Loan",L173="Deposit_Liability",L173="OFF_Unused Loan Commitment",L173="HQLA"),VLOOKUP(D173,'Customer Type'!$A$3:$C$38,3,0),"")</f>
        <v>#N/A</v>
      </c>
      <c r="P173" s="656" t="e">
        <f t="shared" si="98"/>
        <v>#N/A</v>
      </c>
      <c r="Q173" s="658">
        <f>IF(COUNTIF('Account Mapping'!$H$12:$H$45,A173)&gt;0,-H173,H173)</f>
        <v>836.76</v>
      </c>
      <c r="R173" s="249" t="e">
        <f>VLOOKUP(P173,Assumptions!$C$2:$D$64,2,0)</f>
        <v>#N/A</v>
      </c>
      <c r="S173" s="692" t="str">
        <f>IFERROR(VLOOKUP(A173,'Maturity Adjustment'!$A$3:$C$81,3,0),(IF(J173&lt;$N$4,"Tomorrow",J173)))</f>
        <v>Tomorrow</v>
      </c>
      <c r="T173" s="24">
        <f t="shared" si="112"/>
        <v>1</v>
      </c>
      <c r="U173" s="196" t="e">
        <f t="shared" si="99"/>
        <v>#N/A</v>
      </c>
      <c r="V173" s="11" t="str">
        <f>IFERROR(VLOOKUP(A173,'Maturity Adjustment'!$A$86:$C$91,3,0),S173)</f>
        <v>Tomorrow</v>
      </c>
      <c r="W173" s="207" t="e">
        <f>VLOOKUP(A173,'Account Mapping'!$A$2:$F$216,6,0)</f>
        <v>#N/A</v>
      </c>
      <c r="X173" s="194">
        <f t="shared" si="100"/>
        <v>836.76</v>
      </c>
      <c r="Y173" s="194">
        <f t="shared" si="101"/>
        <v>0</v>
      </c>
      <c r="Z173" s="13">
        <f t="shared" si="102"/>
        <v>0</v>
      </c>
      <c r="AA173" s="13">
        <f t="shared" si="103"/>
        <v>0</v>
      </c>
      <c r="AB173" s="13">
        <f t="shared" si="104"/>
        <v>0</v>
      </c>
      <c r="AC173" s="13">
        <f t="shared" si="105"/>
        <v>0</v>
      </c>
      <c r="AD173" s="13">
        <f t="shared" si="106"/>
        <v>0</v>
      </c>
      <c r="AE173" s="13">
        <f t="shared" si="107"/>
        <v>0</v>
      </c>
      <c r="AF173" s="13">
        <f t="shared" si="108"/>
        <v>0</v>
      </c>
      <c r="AG173" s="685">
        <f t="shared" si="109"/>
        <v>0</v>
      </c>
      <c r="AH173" s="688" t="b">
        <f t="shared" si="110"/>
        <v>1</v>
      </c>
    </row>
    <row r="174" spans="1:34" s="1" customFormat="1" ht="15" customHeight="1">
      <c r="A174" s="946">
        <v>10910006</v>
      </c>
      <c r="B174" s="946" t="s">
        <v>600</v>
      </c>
      <c r="C174" s="946">
        <v>6115904000064</v>
      </c>
      <c r="D174" s="946">
        <v>100000014</v>
      </c>
      <c r="E174" s="946" t="s">
        <v>23</v>
      </c>
      <c r="F174" s="946" t="s">
        <v>26</v>
      </c>
      <c r="G174" s="947">
        <v>2795.93</v>
      </c>
      <c r="H174" s="947">
        <v>3980.54</v>
      </c>
      <c r="I174" s="948"/>
      <c r="J174" s="948"/>
      <c r="K174" s="948"/>
      <c r="L174" s="29" t="e">
        <f>VLOOKUP(A174,'Account Mapping'!$A$2:$E$216,3,0)</f>
        <v>#N/A</v>
      </c>
      <c r="M174" s="25" t="e">
        <f>VLOOKUP(A174,'Account Mapping'!$A$2:$E$216,4,0)</f>
        <v>#N/A</v>
      </c>
      <c r="N174" s="26" t="e">
        <f>IF(OR(C174='Account Mapping'!$H$4,C174='Account Mapping'!$H$5,C174='Account Mapping'!$H$6),'Account Mapping'!$I$4,VLOOKUP(A174,'Account Mapping'!$A$2:$E$216,5,0))</f>
        <v>#N/A</v>
      </c>
      <c r="O174" s="27" t="e">
        <f>IF(OR(L174="Loan",L174="Deposit_Liability",L174="OFF_Unused Loan Commitment",L174="HQLA"),VLOOKUP(D174,'Customer Type'!$A$3:$C$38,3,0),"")</f>
        <v>#N/A</v>
      </c>
      <c r="P174" s="656" t="e">
        <f t="shared" si="98"/>
        <v>#N/A</v>
      </c>
      <c r="Q174" s="658">
        <f>IF(COUNTIF('Account Mapping'!$H$12:$H$45,A174)&gt;0,-H174,H174)</f>
        <v>3980.54</v>
      </c>
      <c r="R174" s="249" t="e">
        <f>VLOOKUP(P174,Assumptions!$C$2:$D$64,2,0)</f>
        <v>#N/A</v>
      </c>
      <c r="S174" s="692" t="str">
        <f>IFERROR(VLOOKUP(A174,'Maturity Adjustment'!$A$3:$C$81,3,0),(IF(J174&lt;$N$4,"Tomorrow",J174)))</f>
        <v>Tomorrow</v>
      </c>
      <c r="T174" s="24">
        <f t="shared" si="112"/>
        <v>1</v>
      </c>
      <c r="U174" s="196" t="e">
        <f t="shared" si="99"/>
        <v>#N/A</v>
      </c>
      <c r="V174" s="11" t="str">
        <f>IFERROR(VLOOKUP(A174,'Maturity Adjustment'!$A$86:$C$91,3,0),S174)</f>
        <v>Tomorrow</v>
      </c>
      <c r="W174" s="207" t="e">
        <f>VLOOKUP(A174,'Account Mapping'!$A$2:$F$216,6,0)</f>
        <v>#N/A</v>
      </c>
      <c r="X174" s="194">
        <f t="shared" si="100"/>
        <v>3980.54</v>
      </c>
      <c r="Y174" s="194">
        <f t="shared" si="101"/>
        <v>0</v>
      </c>
      <c r="Z174" s="13">
        <f t="shared" si="102"/>
        <v>0</v>
      </c>
      <c r="AA174" s="13">
        <f t="shared" si="103"/>
        <v>0</v>
      </c>
      <c r="AB174" s="13">
        <f t="shared" si="104"/>
        <v>0</v>
      </c>
      <c r="AC174" s="13">
        <f t="shared" si="105"/>
        <v>0</v>
      </c>
      <c r="AD174" s="13">
        <f t="shared" si="106"/>
        <v>0</v>
      </c>
      <c r="AE174" s="13">
        <f t="shared" si="107"/>
        <v>0</v>
      </c>
      <c r="AF174" s="13">
        <f t="shared" si="108"/>
        <v>0</v>
      </c>
      <c r="AG174" s="685">
        <f t="shared" si="109"/>
        <v>0</v>
      </c>
      <c r="AH174" s="688" t="b">
        <f t="shared" si="110"/>
        <v>1</v>
      </c>
    </row>
    <row r="175" spans="1:34" s="1" customFormat="1" ht="15" customHeight="1">
      <c r="A175" s="946">
        <v>10910006</v>
      </c>
      <c r="B175" s="946" t="s">
        <v>600</v>
      </c>
      <c r="C175" s="946">
        <v>6115904000071</v>
      </c>
      <c r="D175" s="946">
        <v>100000014</v>
      </c>
      <c r="E175" s="946" t="s">
        <v>23</v>
      </c>
      <c r="F175" s="946" t="s">
        <v>26</v>
      </c>
      <c r="G175" s="947">
        <v>663.77</v>
      </c>
      <c r="H175" s="947">
        <v>945</v>
      </c>
      <c r="I175" s="948"/>
      <c r="J175" s="948"/>
      <c r="K175" s="948"/>
      <c r="L175" s="29" t="e">
        <f>VLOOKUP(A175,'Account Mapping'!$A$2:$E$216,3,0)</f>
        <v>#N/A</v>
      </c>
      <c r="M175" s="25" t="e">
        <f>VLOOKUP(A175,'Account Mapping'!$A$2:$E$216,4,0)</f>
        <v>#N/A</v>
      </c>
      <c r="N175" s="26" t="e">
        <f>IF(OR(C175='Account Mapping'!$H$4,C175='Account Mapping'!$H$5,C175='Account Mapping'!$H$6),'Account Mapping'!$I$4,VLOOKUP(A175,'Account Mapping'!$A$2:$E$216,5,0))</f>
        <v>#N/A</v>
      </c>
      <c r="O175" s="27" t="e">
        <f>IF(OR(L175="Loan",L175="Deposit_Liability",L175="OFF_Unused Loan Commitment",L175="HQLA"),VLOOKUP(D175,'Customer Type'!$A$3:$C$38,3,0),"")</f>
        <v>#N/A</v>
      </c>
      <c r="P175" s="656" t="e">
        <f t="shared" si="98"/>
        <v>#N/A</v>
      </c>
      <c r="Q175" s="658">
        <f>IF(COUNTIF('Account Mapping'!$H$12:$H$45,A175)&gt;0,-H175,H175)</f>
        <v>945</v>
      </c>
      <c r="R175" s="249" t="e">
        <f>VLOOKUP(P175,Assumptions!$C$2:$D$64,2,0)</f>
        <v>#N/A</v>
      </c>
      <c r="S175" s="692" t="str">
        <f>IFERROR(VLOOKUP(A175,'Maturity Adjustment'!$A$3:$C$81,3,0),(IF(J175&lt;$N$4,"Tomorrow",J175)))</f>
        <v>Tomorrow</v>
      </c>
      <c r="T175" s="24">
        <f t="shared" si="112"/>
        <v>1</v>
      </c>
      <c r="U175" s="196" t="e">
        <f t="shared" si="99"/>
        <v>#N/A</v>
      </c>
      <c r="V175" s="11" t="str">
        <f>IFERROR(VLOOKUP(A175,'Maturity Adjustment'!$A$86:$C$91,3,0),S175)</f>
        <v>Tomorrow</v>
      </c>
      <c r="W175" s="207" t="e">
        <f>VLOOKUP(A175,'Account Mapping'!$A$2:$F$216,6,0)</f>
        <v>#N/A</v>
      </c>
      <c r="X175" s="194">
        <f t="shared" si="100"/>
        <v>945</v>
      </c>
      <c r="Y175" s="194">
        <f t="shared" si="101"/>
        <v>0</v>
      </c>
      <c r="Z175" s="13">
        <f t="shared" si="102"/>
        <v>0</v>
      </c>
      <c r="AA175" s="13">
        <f t="shared" si="103"/>
        <v>0</v>
      </c>
      <c r="AB175" s="13">
        <f t="shared" si="104"/>
        <v>0</v>
      </c>
      <c r="AC175" s="13">
        <f t="shared" si="105"/>
        <v>0</v>
      </c>
      <c r="AD175" s="13">
        <f t="shared" si="106"/>
        <v>0</v>
      </c>
      <c r="AE175" s="13">
        <f t="shared" si="107"/>
        <v>0</v>
      </c>
      <c r="AF175" s="13">
        <f t="shared" si="108"/>
        <v>0</v>
      </c>
      <c r="AG175" s="685">
        <f t="shared" si="109"/>
        <v>0</v>
      </c>
      <c r="AH175" s="688" t="b">
        <f t="shared" si="110"/>
        <v>1</v>
      </c>
    </row>
    <row r="176" spans="1:34" s="1" customFormat="1" ht="15" customHeight="1">
      <c r="A176" s="946">
        <v>10910006</v>
      </c>
      <c r="B176" s="946" t="s">
        <v>600</v>
      </c>
      <c r="C176" s="946">
        <v>6115904000089</v>
      </c>
      <c r="D176" s="946">
        <v>100000014</v>
      </c>
      <c r="E176" s="946" t="s">
        <v>23</v>
      </c>
      <c r="F176" s="946" t="s">
        <v>26</v>
      </c>
      <c r="G176" s="947">
        <v>9591.81</v>
      </c>
      <c r="H176" s="947">
        <v>13655.77</v>
      </c>
      <c r="I176" s="948"/>
      <c r="J176" s="948"/>
      <c r="K176" s="948"/>
      <c r="L176" s="29" t="e">
        <f>VLOOKUP(A176,'Account Mapping'!$A$2:$E$216,3,0)</f>
        <v>#N/A</v>
      </c>
      <c r="M176" s="25" t="e">
        <f>VLOOKUP(A176,'Account Mapping'!$A$2:$E$216,4,0)</f>
        <v>#N/A</v>
      </c>
      <c r="N176" s="26" t="e">
        <f>IF(OR(C176='Account Mapping'!$H$4,C176='Account Mapping'!$H$5,C176='Account Mapping'!$H$6),'Account Mapping'!$I$4,VLOOKUP(A176,'Account Mapping'!$A$2:$E$216,5,0))</f>
        <v>#N/A</v>
      </c>
      <c r="O176" s="27" t="e">
        <f>IF(OR(L176="Loan",L176="Deposit_Liability",L176="OFF_Unused Loan Commitment",L176="HQLA"),VLOOKUP(D176,'Customer Type'!$A$3:$C$38,3,0),"")</f>
        <v>#N/A</v>
      </c>
      <c r="P176" s="656" t="e">
        <f t="shared" si="98"/>
        <v>#N/A</v>
      </c>
      <c r="Q176" s="658">
        <f>IF(COUNTIF('Account Mapping'!$H$12:$H$45,A176)&gt;0,-H176,H176)</f>
        <v>13655.77</v>
      </c>
      <c r="R176" s="249" t="e">
        <f>VLOOKUP(P176,Assumptions!$C$2:$D$64,2,0)</f>
        <v>#N/A</v>
      </c>
      <c r="S176" s="692" t="str">
        <f>IFERROR(VLOOKUP(A176,'Maturity Adjustment'!$A$3:$C$81,3,0),(IF(J176&lt;$N$4,"Tomorrow",J176)))</f>
        <v>Tomorrow</v>
      </c>
      <c r="T176" s="24">
        <f t="shared" si="112"/>
        <v>1</v>
      </c>
      <c r="U176" s="196" t="e">
        <f t="shared" si="99"/>
        <v>#N/A</v>
      </c>
      <c r="V176" s="11" t="str">
        <f>IFERROR(VLOOKUP(A176,'Maturity Adjustment'!$A$86:$C$91,3,0),S176)</f>
        <v>Tomorrow</v>
      </c>
      <c r="W176" s="207" t="e">
        <f>VLOOKUP(A176,'Account Mapping'!$A$2:$F$216,6,0)</f>
        <v>#N/A</v>
      </c>
      <c r="X176" s="194">
        <f t="shared" si="100"/>
        <v>13655.77</v>
      </c>
      <c r="Y176" s="194">
        <f t="shared" si="101"/>
        <v>0</v>
      </c>
      <c r="Z176" s="13">
        <f t="shared" si="102"/>
        <v>0</v>
      </c>
      <c r="AA176" s="13">
        <f t="shared" si="103"/>
        <v>0</v>
      </c>
      <c r="AB176" s="13">
        <f t="shared" si="104"/>
        <v>0</v>
      </c>
      <c r="AC176" s="13">
        <f t="shared" si="105"/>
        <v>0</v>
      </c>
      <c r="AD176" s="13">
        <f t="shared" si="106"/>
        <v>0</v>
      </c>
      <c r="AE176" s="13">
        <f t="shared" si="107"/>
        <v>0</v>
      </c>
      <c r="AF176" s="13">
        <f t="shared" si="108"/>
        <v>0</v>
      </c>
      <c r="AG176" s="685">
        <f t="shared" si="109"/>
        <v>0</v>
      </c>
      <c r="AH176" s="688" t="b">
        <f t="shared" si="110"/>
        <v>1</v>
      </c>
    </row>
    <row r="177" spans="1:34" s="1" customFormat="1" ht="15" customHeight="1">
      <c r="A177" s="946">
        <v>10910006</v>
      </c>
      <c r="B177" s="946" t="s">
        <v>600</v>
      </c>
      <c r="C177" s="946">
        <v>6115904000096</v>
      </c>
      <c r="D177" s="946">
        <v>100000014</v>
      </c>
      <c r="E177" s="946" t="s">
        <v>23</v>
      </c>
      <c r="F177" s="946" t="s">
        <v>26</v>
      </c>
      <c r="G177" s="947">
        <v>617.87</v>
      </c>
      <c r="H177" s="947">
        <v>879.66</v>
      </c>
      <c r="I177" s="948"/>
      <c r="J177" s="948"/>
      <c r="K177" s="948"/>
      <c r="L177" s="29" t="e">
        <f>VLOOKUP(A177,'Account Mapping'!$A$2:$E$216,3,0)</f>
        <v>#N/A</v>
      </c>
      <c r="M177" s="25" t="e">
        <f>VLOOKUP(A177,'Account Mapping'!$A$2:$E$216,4,0)</f>
        <v>#N/A</v>
      </c>
      <c r="N177" s="26" t="e">
        <f>IF(OR(C177='Account Mapping'!$H$4,C177='Account Mapping'!$H$5,C177='Account Mapping'!$H$6),'Account Mapping'!$I$4,VLOOKUP(A177,'Account Mapping'!$A$2:$E$216,5,0))</f>
        <v>#N/A</v>
      </c>
      <c r="O177" s="27" t="e">
        <f>IF(OR(L177="Loan",L177="Deposit_Liability",L177="OFF_Unused Loan Commitment",L177="HQLA"),VLOOKUP(D177,'Customer Type'!$A$3:$C$38,3,0),"")</f>
        <v>#N/A</v>
      </c>
      <c r="P177" s="656" t="e">
        <f t="shared" si="98"/>
        <v>#N/A</v>
      </c>
      <c r="Q177" s="658">
        <f>IF(COUNTIF('Account Mapping'!$H$12:$H$45,A177)&gt;0,-H177,H177)</f>
        <v>879.66</v>
      </c>
      <c r="R177" s="249" t="e">
        <f>VLOOKUP(P177,Assumptions!$C$2:$D$64,2,0)</f>
        <v>#N/A</v>
      </c>
      <c r="S177" s="692" t="str">
        <f>IFERROR(VLOOKUP(A177,'Maturity Adjustment'!$A$3:$C$81,3,0),(IF(J177&lt;$N$4,"Tomorrow",J177)))</f>
        <v>Tomorrow</v>
      </c>
      <c r="T177" s="24">
        <f t="shared" si="112"/>
        <v>1</v>
      </c>
      <c r="U177" s="196" t="e">
        <f t="shared" si="99"/>
        <v>#N/A</v>
      </c>
      <c r="V177" s="11" t="str">
        <f>IFERROR(VLOOKUP(A177,'Maturity Adjustment'!$A$86:$C$91,3,0),S177)</f>
        <v>Tomorrow</v>
      </c>
      <c r="W177" s="207" t="e">
        <f>VLOOKUP(A177,'Account Mapping'!$A$2:$F$216,6,0)</f>
        <v>#N/A</v>
      </c>
      <c r="X177" s="194">
        <f t="shared" si="100"/>
        <v>879.66</v>
      </c>
      <c r="Y177" s="194">
        <f t="shared" si="101"/>
        <v>0</v>
      </c>
      <c r="Z177" s="13">
        <f t="shared" si="102"/>
        <v>0</v>
      </c>
      <c r="AA177" s="13">
        <f t="shared" si="103"/>
        <v>0</v>
      </c>
      <c r="AB177" s="13">
        <f t="shared" si="104"/>
        <v>0</v>
      </c>
      <c r="AC177" s="13">
        <f t="shared" si="105"/>
        <v>0</v>
      </c>
      <c r="AD177" s="13">
        <f t="shared" si="106"/>
        <v>0</v>
      </c>
      <c r="AE177" s="13">
        <f t="shared" si="107"/>
        <v>0</v>
      </c>
      <c r="AF177" s="13">
        <f t="shared" si="108"/>
        <v>0</v>
      </c>
      <c r="AG177" s="685">
        <f t="shared" si="109"/>
        <v>0</v>
      </c>
      <c r="AH177" s="688" t="b">
        <f t="shared" si="110"/>
        <v>1</v>
      </c>
    </row>
    <row r="178" spans="1:34" s="1" customFormat="1" ht="15" customHeight="1">
      <c r="A178" s="946">
        <v>10910006</v>
      </c>
      <c r="B178" s="946" t="s">
        <v>600</v>
      </c>
      <c r="C178" s="946">
        <v>6115904000107</v>
      </c>
      <c r="D178" s="946">
        <v>100000014</v>
      </c>
      <c r="E178" s="946" t="s">
        <v>23</v>
      </c>
      <c r="F178" s="946" t="s">
        <v>26</v>
      </c>
      <c r="G178" s="947">
        <v>719.28</v>
      </c>
      <c r="H178" s="947">
        <v>1024.03</v>
      </c>
      <c r="I178" s="948">
        <v>46027</v>
      </c>
      <c r="J178" s="948">
        <v>46058</v>
      </c>
      <c r="K178" s="948">
        <v>46058</v>
      </c>
      <c r="L178" s="29" t="e">
        <f>VLOOKUP(A178,'Account Mapping'!$A$2:$E$216,3,0)</f>
        <v>#N/A</v>
      </c>
      <c r="M178" s="25" t="e">
        <f>VLOOKUP(A178,'Account Mapping'!$A$2:$E$216,4,0)</f>
        <v>#N/A</v>
      </c>
      <c r="N178" s="26" t="e">
        <f>IF(OR(C178='Account Mapping'!$H$4,C178='Account Mapping'!$H$5,C178='Account Mapping'!$H$6),'Account Mapping'!$I$4,VLOOKUP(A178,'Account Mapping'!$A$2:$E$216,5,0))</f>
        <v>#N/A</v>
      </c>
      <c r="O178" s="27" t="e">
        <f>IF(OR(L178="Loan",L178="Deposit_Liability",L178="OFF_Unused Loan Commitment",L178="HQLA"),VLOOKUP(D178,'Customer Type'!$A$3:$C$38,3,0),"")</f>
        <v>#N/A</v>
      </c>
      <c r="P178" s="656" t="e">
        <f t="shared" si="98"/>
        <v>#N/A</v>
      </c>
      <c r="Q178" s="658">
        <f>IF(COUNTIF('Account Mapping'!$H$12:$H$45,A178)&gt;0,-H178,H178)</f>
        <v>1024.03</v>
      </c>
      <c r="R178" s="249" t="e">
        <f>VLOOKUP(P178,Assumptions!$C$2:$D$64,2,0)</f>
        <v>#N/A</v>
      </c>
      <c r="S178" s="692">
        <f>IFERROR(VLOOKUP(A178,'Maturity Adjustment'!$A$3:$C$81,3,0),(IF(J178&lt;$N$4,"Tomorrow",J178)))</f>
        <v>46058</v>
      </c>
      <c r="T178" s="24">
        <f t="shared" si="112"/>
        <v>0</v>
      </c>
      <c r="U178" s="196" t="e">
        <f t="shared" si="99"/>
        <v>#N/A</v>
      </c>
      <c r="V178" s="11">
        <f>IFERROR(VLOOKUP(A178,'Maturity Adjustment'!$A$86:$C$91,3,0),S178)</f>
        <v>46058</v>
      </c>
      <c r="W178" s="207" t="e">
        <f>VLOOKUP(A178,'Account Mapping'!$A$2:$F$216,6,0)</f>
        <v>#N/A</v>
      </c>
      <c r="X178" s="194">
        <f t="shared" si="100"/>
        <v>1024.03</v>
      </c>
      <c r="Y178" s="194">
        <f t="shared" si="101"/>
        <v>0</v>
      </c>
      <c r="Z178" s="13">
        <f t="shared" si="102"/>
        <v>0</v>
      </c>
      <c r="AA178" s="13">
        <f t="shared" si="103"/>
        <v>0</v>
      </c>
      <c r="AB178" s="13">
        <f t="shared" si="104"/>
        <v>0</v>
      </c>
      <c r="AC178" s="13">
        <f t="shared" si="105"/>
        <v>0</v>
      </c>
      <c r="AD178" s="13">
        <f t="shared" si="106"/>
        <v>0</v>
      </c>
      <c r="AE178" s="13">
        <f t="shared" si="107"/>
        <v>0</v>
      </c>
      <c r="AF178" s="13">
        <f t="shared" si="108"/>
        <v>0</v>
      </c>
      <c r="AG178" s="685">
        <f t="shared" si="109"/>
        <v>0</v>
      </c>
      <c r="AH178" s="688" t="b">
        <f t="shared" si="110"/>
        <v>1</v>
      </c>
    </row>
    <row r="179" spans="1:34" s="1" customFormat="1" ht="15" customHeight="1">
      <c r="A179" s="946">
        <v>10910006</v>
      </c>
      <c r="B179" s="946" t="s">
        <v>600</v>
      </c>
      <c r="C179" s="946">
        <v>6115904000114</v>
      </c>
      <c r="D179" s="946">
        <v>100000014</v>
      </c>
      <c r="E179" s="946" t="s">
        <v>23</v>
      </c>
      <c r="F179" s="946" t="s">
        <v>26</v>
      </c>
      <c r="G179" s="947">
        <v>6607.45</v>
      </c>
      <c r="H179" s="947">
        <v>9406.9599999999991</v>
      </c>
      <c r="I179" s="948">
        <v>46027</v>
      </c>
      <c r="J179" s="948">
        <v>46058</v>
      </c>
      <c r="K179" s="948">
        <v>46058</v>
      </c>
      <c r="L179" s="29" t="e">
        <f>VLOOKUP(A179,'Account Mapping'!$A$2:$E$216,3,0)</f>
        <v>#N/A</v>
      </c>
      <c r="M179" s="25" t="e">
        <f>VLOOKUP(A179,'Account Mapping'!$A$2:$E$216,4,0)</f>
        <v>#N/A</v>
      </c>
      <c r="N179" s="26" t="e">
        <f>IF(OR(C179='Account Mapping'!$H$4,C179='Account Mapping'!$H$5,C179='Account Mapping'!$H$6),'Account Mapping'!$I$4,VLOOKUP(A179,'Account Mapping'!$A$2:$E$216,5,0))</f>
        <v>#N/A</v>
      </c>
      <c r="O179" s="27" t="e">
        <f>IF(OR(L179="Loan",L179="Deposit_Liability",L179="OFF_Unused Loan Commitment",L179="HQLA"),VLOOKUP(D179,'Customer Type'!$A$3:$C$38,3,0),"")</f>
        <v>#N/A</v>
      </c>
      <c r="P179" s="656" t="e">
        <f t="shared" si="98"/>
        <v>#N/A</v>
      </c>
      <c r="Q179" s="658">
        <f>IF(COUNTIF('Account Mapping'!$H$12:$H$45,A179)&gt;0,-H179,H179)</f>
        <v>9406.9599999999991</v>
      </c>
      <c r="R179" s="249" t="e">
        <f>VLOOKUP(P179,Assumptions!$C$2:$D$64,2,0)</f>
        <v>#N/A</v>
      </c>
      <c r="S179" s="692">
        <f>IFERROR(VLOOKUP(A179,'Maturity Adjustment'!$A$3:$C$81,3,0),(IF(J179&lt;$N$4,"Tomorrow",J179)))</f>
        <v>46058</v>
      </c>
      <c r="T179" s="24">
        <f t="shared" si="112"/>
        <v>0</v>
      </c>
      <c r="U179" s="196" t="e">
        <f t="shared" si="99"/>
        <v>#N/A</v>
      </c>
      <c r="V179" s="11">
        <f>IFERROR(VLOOKUP(A179,'Maturity Adjustment'!$A$86:$C$91,3,0),S179)</f>
        <v>46058</v>
      </c>
      <c r="W179" s="207" t="e">
        <f>VLOOKUP(A179,'Account Mapping'!$A$2:$F$216,6,0)</f>
        <v>#N/A</v>
      </c>
      <c r="X179" s="194">
        <f t="shared" si="100"/>
        <v>9406.9599999999991</v>
      </c>
      <c r="Y179" s="194">
        <f t="shared" si="101"/>
        <v>0</v>
      </c>
      <c r="Z179" s="13">
        <f t="shared" si="102"/>
        <v>0</v>
      </c>
      <c r="AA179" s="13">
        <f t="shared" si="103"/>
        <v>0</v>
      </c>
      <c r="AB179" s="13">
        <f t="shared" si="104"/>
        <v>0</v>
      </c>
      <c r="AC179" s="13">
        <f t="shared" si="105"/>
        <v>0</v>
      </c>
      <c r="AD179" s="13">
        <f t="shared" si="106"/>
        <v>0</v>
      </c>
      <c r="AE179" s="13">
        <f t="shared" si="107"/>
        <v>0</v>
      </c>
      <c r="AF179" s="13">
        <f t="shared" si="108"/>
        <v>0</v>
      </c>
      <c r="AG179" s="685">
        <f t="shared" si="109"/>
        <v>0</v>
      </c>
      <c r="AH179" s="688" t="b">
        <f t="shared" si="110"/>
        <v>1</v>
      </c>
    </row>
    <row r="180" spans="1:34" s="1" customFormat="1" ht="15" customHeight="1">
      <c r="A180" s="946">
        <v>10910006</v>
      </c>
      <c r="B180" s="946" t="s">
        <v>600</v>
      </c>
      <c r="C180" s="946">
        <v>6115904000139</v>
      </c>
      <c r="D180" s="946">
        <v>100000020</v>
      </c>
      <c r="E180" s="946" t="s">
        <v>857</v>
      </c>
      <c r="F180" s="946" t="s">
        <v>11</v>
      </c>
      <c r="G180" s="947">
        <v>111874.85</v>
      </c>
      <c r="H180" s="947">
        <v>111874.85</v>
      </c>
      <c r="I180" s="949">
        <v>45971</v>
      </c>
      <c r="J180" s="949">
        <v>46153</v>
      </c>
      <c r="K180" s="949">
        <v>46153</v>
      </c>
      <c r="L180" s="29" t="e">
        <f>VLOOKUP(A180,'Account Mapping'!$A$2:$E$216,3,0)</f>
        <v>#N/A</v>
      </c>
      <c r="M180" s="25" t="e">
        <f>VLOOKUP(A180,'Account Mapping'!$A$2:$E$216,4,0)</f>
        <v>#N/A</v>
      </c>
      <c r="N180" s="26" t="e">
        <f>IF(OR(C180='Account Mapping'!$H$4,C180='Account Mapping'!$H$5,C180='Account Mapping'!$H$6),'Account Mapping'!$I$4,VLOOKUP(A180,'Account Mapping'!$A$2:$E$216,5,0))</f>
        <v>#N/A</v>
      </c>
      <c r="O180" s="27" t="e">
        <f>IF(OR(L180="Loan",L180="Deposit_Liability",L180="OFF_Unused Loan Commitment",L180="HQLA"),VLOOKUP(D180,'Customer Type'!$A$3:$C$38,3,0),"")</f>
        <v>#N/A</v>
      </c>
      <c r="P180" s="656" t="e">
        <f t="shared" si="98"/>
        <v>#N/A</v>
      </c>
      <c r="Q180" s="658">
        <f>IF(COUNTIF('Account Mapping'!$H$12:$H$45,A180)&gt;0,-H180,H180)</f>
        <v>111874.85</v>
      </c>
      <c r="R180" s="249" t="e">
        <f>VLOOKUP(P180,Assumptions!$C$2:$D$64,2,0)</f>
        <v>#N/A</v>
      </c>
      <c r="S180" s="692">
        <f>IFERROR(VLOOKUP(A180,'Maturity Adjustment'!$A$3:$C$81,3,0),(IF(J180&lt;$N$4,"Tomorrow",J180)))</f>
        <v>46153</v>
      </c>
      <c r="T180" s="24">
        <f t="shared" si="112"/>
        <v>95</v>
      </c>
      <c r="U180" s="196" t="e">
        <f t="shared" si="99"/>
        <v>#N/A</v>
      </c>
      <c r="V180" s="11">
        <f>IFERROR(VLOOKUP(A180,'Maturity Adjustment'!$A$86:$C$91,3,0),S180)</f>
        <v>46153</v>
      </c>
      <c r="W180" s="207" t="e">
        <f>VLOOKUP(A180,'Account Mapping'!$A$2:$F$216,6,0)</f>
        <v>#N/A</v>
      </c>
      <c r="X180" s="194">
        <f t="shared" si="100"/>
        <v>0</v>
      </c>
      <c r="Y180" s="194">
        <f t="shared" si="101"/>
        <v>0</v>
      </c>
      <c r="Z180" s="13">
        <f t="shared" si="102"/>
        <v>0</v>
      </c>
      <c r="AA180" s="13">
        <f t="shared" si="103"/>
        <v>0</v>
      </c>
      <c r="AB180" s="13">
        <f t="shared" si="104"/>
        <v>111874.85</v>
      </c>
      <c r="AC180" s="13">
        <f t="shared" si="105"/>
        <v>0</v>
      </c>
      <c r="AD180" s="13">
        <f t="shared" si="106"/>
        <v>0</v>
      </c>
      <c r="AE180" s="13">
        <f t="shared" si="107"/>
        <v>0</v>
      </c>
      <c r="AF180" s="13">
        <f t="shared" si="108"/>
        <v>0</v>
      </c>
      <c r="AG180" s="685">
        <f t="shared" si="109"/>
        <v>0</v>
      </c>
      <c r="AH180" s="688" t="b">
        <f t="shared" si="110"/>
        <v>1</v>
      </c>
    </row>
    <row r="181" spans="1:34" s="1" customFormat="1" ht="15" customHeight="1">
      <c r="A181" s="946">
        <v>10910006</v>
      </c>
      <c r="B181" s="946" t="s">
        <v>600</v>
      </c>
      <c r="C181" s="946">
        <v>6115904000146</v>
      </c>
      <c r="D181" s="946">
        <v>100000014</v>
      </c>
      <c r="E181" s="946" t="s">
        <v>23</v>
      </c>
      <c r="F181" s="946" t="s">
        <v>26</v>
      </c>
      <c r="G181" s="947">
        <v>791.28</v>
      </c>
      <c r="H181" s="947">
        <v>1126.54</v>
      </c>
      <c r="I181" s="949"/>
      <c r="J181" s="949"/>
      <c r="K181" s="949"/>
      <c r="L181" s="29" t="e">
        <f>VLOOKUP(A181,'Account Mapping'!$A$2:$E$216,3,0)</f>
        <v>#N/A</v>
      </c>
      <c r="M181" s="25" t="e">
        <f>VLOOKUP(A181,'Account Mapping'!$A$2:$E$216,4,0)</f>
        <v>#N/A</v>
      </c>
      <c r="N181" s="26" t="e">
        <f>IF(OR(C181='Account Mapping'!$H$4,C181='Account Mapping'!$H$5,C181='Account Mapping'!$H$6),'Account Mapping'!$I$4,VLOOKUP(A181,'Account Mapping'!$A$2:$E$216,5,0))</f>
        <v>#N/A</v>
      </c>
      <c r="O181" s="27" t="e">
        <f>IF(OR(L181="Loan",L181="Deposit_Liability",L181="OFF_Unused Loan Commitment",L181="HQLA"),VLOOKUP(D181,'Customer Type'!$A$3:$C$38,3,0),"")</f>
        <v>#N/A</v>
      </c>
      <c r="P181" s="656" t="e">
        <f t="shared" si="98"/>
        <v>#N/A</v>
      </c>
      <c r="Q181" s="658">
        <f>IF(COUNTIF('Account Mapping'!$H$12:$H$45,A181)&gt;0,-H181,H181)</f>
        <v>1126.54</v>
      </c>
      <c r="R181" s="249" t="e">
        <f>VLOOKUP(P181,Assumptions!$C$2:$D$64,2,0)</f>
        <v>#N/A</v>
      </c>
      <c r="S181" s="692" t="str">
        <f>IFERROR(VLOOKUP(A181,'Maturity Adjustment'!$A$3:$C$81,3,0),(IF(J181&lt;$N$4,"Tomorrow",J181)))</f>
        <v>Tomorrow</v>
      </c>
      <c r="T181" s="24">
        <f t="shared" si="112"/>
        <v>1</v>
      </c>
      <c r="U181" s="196" t="e">
        <f t="shared" si="99"/>
        <v>#N/A</v>
      </c>
      <c r="V181" s="11" t="str">
        <f>IFERROR(VLOOKUP(A181,'Maturity Adjustment'!$A$86:$C$91,3,0),S181)</f>
        <v>Tomorrow</v>
      </c>
      <c r="W181" s="207" t="e">
        <f>VLOOKUP(A181,'Account Mapping'!$A$2:$F$216,6,0)</f>
        <v>#N/A</v>
      </c>
      <c r="X181" s="194">
        <f t="shared" si="100"/>
        <v>1126.54</v>
      </c>
      <c r="Y181" s="194">
        <f t="shared" si="101"/>
        <v>0</v>
      </c>
      <c r="Z181" s="13">
        <f t="shared" si="102"/>
        <v>0</v>
      </c>
      <c r="AA181" s="13">
        <f t="shared" si="103"/>
        <v>0</v>
      </c>
      <c r="AB181" s="13">
        <f t="shared" si="104"/>
        <v>0</v>
      </c>
      <c r="AC181" s="13">
        <f t="shared" si="105"/>
        <v>0</v>
      </c>
      <c r="AD181" s="13">
        <f t="shared" si="106"/>
        <v>0</v>
      </c>
      <c r="AE181" s="13">
        <f t="shared" si="107"/>
        <v>0</v>
      </c>
      <c r="AF181" s="13">
        <f t="shared" si="108"/>
        <v>0</v>
      </c>
      <c r="AG181" s="685">
        <f t="shared" si="109"/>
        <v>0</v>
      </c>
      <c r="AH181" s="688" t="b">
        <f t="shared" si="110"/>
        <v>1</v>
      </c>
    </row>
    <row r="182" spans="1:34" s="1" customFormat="1" ht="15" customHeight="1">
      <c r="A182" s="946">
        <v>10910006</v>
      </c>
      <c r="B182" s="946" t="s">
        <v>600</v>
      </c>
      <c r="C182" s="946">
        <v>6115904000153</v>
      </c>
      <c r="D182" s="946">
        <v>100000014</v>
      </c>
      <c r="E182" s="946" t="s">
        <v>23</v>
      </c>
      <c r="F182" s="946" t="s">
        <v>26</v>
      </c>
      <c r="G182" s="947">
        <v>1392.88</v>
      </c>
      <c r="H182" s="947">
        <v>1983.03</v>
      </c>
      <c r="I182" s="949"/>
      <c r="J182" s="949"/>
      <c r="K182" s="949"/>
      <c r="L182" s="29" t="e">
        <f>VLOOKUP(A182,'Account Mapping'!$A$2:$E$216,3,0)</f>
        <v>#N/A</v>
      </c>
      <c r="M182" s="25" t="e">
        <f>VLOOKUP(A182,'Account Mapping'!$A$2:$E$216,4,0)</f>
        <v>#N/A</v>
      </c>
      <c r="N182" s="26" t="e">
        <f>IF(OR(C182='Account Mapping'!$H$4,C182='Account Mapping'!$H$5,C182='Account Mapping'!$H$6),'Account Mapping'!$I$4,VLOOKUP(A182,'Account Mapping'!$A$2:$E$216,5,0))</f>
        <v>#N/A</v>
      </c>
      <c r="O182" s="27" t="e">
        <f>IF(OR(L182="Loan",L182="Deposit_Liability",L182="OFF_Unused Loan Commitment",L182="HQLA"),VLOOKUP(D182,'Customer Type'!$A$3:$C$38,3,0),"")</f>
        <v>#N/A</v>
      </c>
      <c r="P182" s="656" t="e">
        <f t="shared" si="98"/>
        <v>#N/A</v>
      </c>
      <c r="Q182" s="658">
        <f>IF(COUNTIF('Account Mapping'!$H$12:$H$45,A182)&gt;0,-H182,H182)</f>
        <v>1983.03</v>
      </c>
      <c r="R182" s="249" t="e">
        <f>VLOOKUP(P182,Assumptions!$C$2:$D$64,2,0)</f>
        <v>#N/A</v>
      </c>
      <c r="S182" s="692" t="str">
        <f>IFERROR(VLOOKUP(A182,'Maturity Adjustment'!$A$3:$C$81,3,0),(IF(J182&lt;$N$4,"Tomorrow",J182)))</f>
        <v>Tomorrow</v>
      </c>
      <c r="T182" s="24">
        <f t="shared" si="112"/>
        <v>1</v>
      </c>
      <c r="U182" s="196" t="e">
        <f t="shared" si="99"/>
        <v>#N/A</v>
      </c>
      <c r="V182" s="11" t="str">
        <f>IFERROR(VLOOKUP(A182,'Maturity Adjustment'!$A$86:$C$91,3,0),S182)</f>
        <v>Tomorrow</v>
      </c>
      <c r="W182" s="207" t="e">
        <f>VLOOKUP(A182,'Account Mapping'!$A$2:$F$216,6,0)</f>
        <v>#N/A</v>
      </c>
      <c r="X182" s="194">
        <f t="shared" si="100"/>
        <v>1983.03</v>
      </c>
      <c r="Y182" s="194">
        <f t="shared" si="101"/>
        <v>0</v>
      </c>
      <c r="Z182" s="13">
        <f t="shared" si="102"/>
        <v>0</v>
      </c>
      <c r="AA182" s="13">
        <f t="shared" si="103"/>
        <v>0</v>
      </c>
      <c r="AB182" s="13">
        <f t="shared" si="104"/>
        <v>0</v>
      </c>
      <c r="AC182" s="13">
        <f t="shared" si="105"/>
        <v>0</v>
      </c>
      <c r="AD182" s="13">
        <f t="shared" si="106"/>
        <v>0</v>
      </c>
      <c r="AE182" s="13">
        <f t="shared" si="107"/>
        <v>0</v>
      </c>
      <c r="AF182" s="13">
        <f t="shared" si="108"/>
        <v>0</v>
      </c>
      <c r="AG182" s="685">
        <f t="shared" si="109"/>
        <v>0</v>
      </c>
      <c r="AH182" s="688" t="b">
        <f t="shared" si="110"/>
        <v>1</v>
      </c>
    </row>
    <row r="183" spans="1:34" s="1" customFormat="1" ht="15" customHeight="1">
      <c r="A183" s="946">
        <v>10910006</v>
      </c>
      <c r="B183" s="946" t="s">
        <v>600</v>
      </c>
      <c r="C183" s="946">
        <v>6115904000160</v>
      </c>
      <c r="D183" s="946">
        <v>100000014</v>
      </c>
      <c r="E183" s="946" t="s">
        <v>23</v>
      </c>
      <c r="F183" s="946" t="s">
        <v>26</v>
      </c>
      <c r="G183" s="947">
        <v>783.96</v>
      </c>
      <c r="H183" s="947">
        <v>1116.1199999999999</v>
      </c>
      <c r="I183" s="948">
        <v>46027</v>
      </c>
      <c r="J183" s="948">
        <v>46058</v>
      </c>
      <c r="K183" s="948">
        <v>46058</v>
      </c>
      <c r="L183" s="29" t="e">
        <f>VLOOKUP(A183,'Account Mapping'!$A$2:$E$216,3,0)</f>
        <v>#N/A</v>
      </c>
      <c r="M183" s="25" t="e">
        <f>VLOOKUP(A183,'Account Mapping'!$A$2:$E$216,4,0)</f>
        <v>#N/A</v>
      </c>
      <c r="N183" s="26" t="e">
        <f>IF(OR(C183='Account Mapping'!$H$4,C183='Account Mapping'!$H$5,C183='Account Mapping'!$H$6),'Account Mapping'!$I$4,VLOOKUP(A183,'Account Mapping'!$A$2:$E$216,5,0))</f>
        <v>#N/A</v>
      </c>
      <c r="O183" s="27" t="e">
        <f>IF(OR(L183="Loan",L183="Deposit_Liability",L183="OFF_Unused Loan Commitment",L183="HQLA"),VLOOKUP(D183,'Customer Type'!$A$3:$C$38,3,0),"")</f>
        <v>#N/A</v>
      </c>
      <c r="P183" s="656" t="e">
        <f t="shared" si="98"/>
        <v>#N/A</v>
      </c>
      <c r="Q183" s="658">
        <f>IF(COUNTIF('Account Mapping'!$H$12:$H$45,A183)&gt;0,-H183,H183)</f>
        <v>1116.1199999999999</v>
      </c>
      <c r="R183" s="249" t="e">
        <f>VLOOKUP(P183,Assumptions!$C$2:$D$64,2,0)</f>
        <v>#N/A</v>
      </c>
      <c r="S183" s="692">
        <f>IFERROR(VLOOKUP(A183,'Maturity Adjustment'!$A$3:$C$81,3,0),(IF(J183&lt;$N$4,"Tomorrow",J183)))</f>
        <v>46058</v>
      </c>
      <c r="T183" s="24">
        <f t="shared" si="112"/>
        <v>0</v>
      </c>
      <c r="U183" s="196" t="e">
        <f t="shared" si="99"/>
        <v>#N/A</v>
      </c>
      <c r="V183" s="11">
        <f>IFERROR(VLOOKUP(A183,'Maturity Adjustment'!$A$86:$C$91,3,0),S183)</f>
        <v>46058</v>
      </c>
      <c r="W183" s="207" t="e">
        <f>VLOOKUP(A183,'Account Mapping'!$A$2:$F$216,6,0)</f>
        <v>#N/A</v>
      </c>
      <c r="X183" s="194">
        <f t="shared" si="100"/>
        <v>1116.1199999999999</v>
      </c>
      <c r="Y183" s="194">
        <f t="shared" si="101"/>
        <v>0</v>
      </c>
      <c r="Z183" s="13">
        <f t="shared" si="102"/>
        <v>0</v>
      </c>
      <c r="AA183" s="13">
        <f t="shared" si="103"/>
        <v>0</v>
      </c>
      <c r="AB183" s="13">
        <f t="shared" si="104"/>
        <v>0</v>
      </c>
      <c r="AC183" s="13">
        <f t="shared" si="105"/>
        <v>0</v>
      </c>
      <c r="AD183" s="13">
        <f t="shared" si="106"/>
        <v>0</v>
      </c>
      <c r="AE183" s="13">
        <f t="shared" si="107"/>
        <v>0</v>
      </c>
      <c r="AF183" s="13">
        <f t="shared" si="108"/>
        <v>0</v>
      </c>
      <c r="AG183" s="685">
        <f t="shared" si="109"/>
        <v>0</v>
      </c>
      <c r="AH183" s="688" t="b">
        <f t="shared" si="110"/>
        <v>1</v>
      </c>
    </row>
    <row r="184" spans="1:34" s="1" customFormat="1" ht="15" customHeight="1">
      <c r="A184" s="946">
        <v>10910006</v>
      </c>
      <c r="B184" s="946" t="s">
        <v>600</v>
      </c>
      <c r="C184" s="946">
        <v>6115904000178</v>
      </c>
      <c r="D184" s="946">
        <v>100000014</v>
      </c>
      <c r="E184" s="946" t="s">
        <v>23</v>
      </c>
      <c r="F184" s="946" t="s">
        <v>26</v>
      </c>
      <c r="G184" s="947">
        <v>5773.38</v>
      </c>
      <c r="H184" s="947">
        <v>8219.5</v>
      </c>
      <c r="I184" s="948"/>
      <c r="J184" s="948"/>
      <c r="K184" s="948"/>
      <c r="L184" s="29" t="e">
        <f>VLOOKUP(A184,'Account Mapping'!$A$2:$E$216,3,0)</f>
        <v>#N/A</v>
      </c>
      <c r="M184" s="25" t="e">
        <f>VLOOKUP(A184,'Account Mapping'!$A$2:$E$216,4,0)</f>
        <v>#N/A</v>
      </c>
      <c r="N184" s="26" t="e">
        <f>IF(OR(C184='Account Mapping'!$H$4,C184='Account Mapping'!$H$5,C184='Account Mapping'!$H$6),'Account Mapping'!$I$4,VLOOKUP(A184,'Account Mapping'!$A$2:$E$216,5,0))</f>
        <v>#N/A</v>
      </c>
      <c r="O184" s="27" t="e">
        <f>IF(OR(L184="Loan",L184="Deposit_Liability",L184="OFF_Unused Loan Commitment",L184="HQLA"),VLOOKUP(D184,'Customer Type'!$A$3:$C$38,3,0),"")</f>
        <v>#N/A</v>
      </c>
      <c r="P184" s="656" t="e">
        <f t="shared" si="98"/>
        <v>#N/A</v>
      </c>
      <c r="Q184" s="658">
        <f>IF(COUNTIF('Account Mapping'!$H$12:$H$45,A184)&gt;0,-H184,H184)</f>
        <v>8219.5</v>
      </c>
      <c r="R184" s="249" t="e">
        <f>VLOOKUP(P184,Assumptions!$C$2:$D$64,2,0)</f>
        <v>#N/A</v>
      </c>
      <c r="S184" s="692" t="str">
        <f>IFERROR(VLOOKUP(A184,'Maturity Adjustment'!$A$3:$C$81,3,0),(IF(J184&lt;$N$4,"Tomorrow",J184)))</f>
        <v>Tomorrow</v>
      </c>
      <c r="T184" s="24">
        <f t="shared" si="112"/>
        <v>1</v>
      </c>
      <c r="U184" s="196" t="e">
        <f t="shared" si="99"/>
        <v>#N/A</v>
      </c>
      <c r="V184" s="11" t="str">
        <f>IFERROR(VLOOKUP(A184,'Maturity Adjustment'!$A$86:$C$91,3,0),S184)</f>
        <v>Tomorrow</v>
      </c>
      <c r="W184" s="207" t="e">
        <f>VLOOKUP(A184,'Account Mapping'!$A$2:$F$216,6,0)</f>
        <v>#N/A</v>
      </c>
      <c r="X184" s="194">
        <f t="shared" si="100"/>
        <v>8219.5</v>
      </c>
      <c r="Y184" s="194">
        <f t="shared" si="101"/>
        <v>0</v>
      </c>
      <c r="Z184" s="13">
        <f t="shared" si="102"/>
        <v>0</v>
      </c>
      <c r="AA184" s="13">
        <f t="shared" si="103"/>
        <v>0</v>
      </c>
      <c r="AB184" s="13">
        <f t="shared" si="104"/>
        <v>0</v>
      </c>
      <c r="AC184" s="13">
        <f t="shared" si="105"/>
        <v>0</v>
      </c>
      <c r="AD184" s="13">
        <f t="shared" si="106"/>
        <v>0</v>
      </c>
      <c r="AE184" s="13">
        <f t="shared" si="107"/>
        <v>0</v>
      </c>
      <c r="AF184" s="13">
        <f t="shared" si="108"/>
        <v>0</v>
      </c>
      <c r="AG184" s="685">
        <f t="shared" si="109"/>
        <v>0</v>
      </c>
      <c r="AH184" s="688" t="b">
        <f t="shared" si="110"/>
        <v>1</v>
      </c>
    </row>
    <row r="185" spans="1:34" s="1" customFormat="1" ht="15" customHeight="1">
      <c r="A185" s="946">
        <v>10910006</v>
      </c>
      <c r="B185" s="946" t="s">
        <v>600</v>
      </c>
      <c r="C185" s="946">
        <v>6115904000185</v>
      </c>
      <c r="D185" s="946">
        <v>100000014</v>
      </c>
      <c r="E185" s="946" t="s">
        <v>23</v>
      </c>
      <c r="F185" s="946" t="s">
        <v>26</v>
      </c>
      <c r="G185" s="947">
        <v>795.03</v>
      </c>
      <c r="H185" s="947">
        <v>1131.8800000000001</v>
      </c>
      <c r="I185" s="949"/>
      <c r="J185" s="949"/>
      <c r="K185" s="949"/>
      <c r="L185" s="29" t="e">
        <f>VLOOKUP(A185,'Account Mapping'!$A$2:$E$216,3,0)</f>
        <v>#N/A</v>
      </c>
      <c r="M185" s="25" t="e">
        <f>VLOOKUP(A185,'Account Mapping'!$A$2:$E$216,4,0)</f>
        <v>#N/A</v>
      </c>
      <c r="N185" s="26" t="e">
        <f>IF(OR(C185='Account Mapping'!$H$4,C185='Account Mapping'!$H$5,C185='Account Mapping'!$H$6),'Account Mapping'!$I$4,VLOOKUP(A185,'Account Mapping'!$A$2:$E$216,5,0))</f>
        <v>#N/A</v>
      </c>
      <c r="O185" s="27" t="e">
        <f>IF(OR(L185="Loan",L185="Deposit_Liability",L185="OFF_Unused Loan Commitment",L185="HQLA"),VLOOKUP(D185,'Customer Type'!$A$3:$C$38,3,0),"")</f>
        <v>#N/A</v>
      </c>
      <c r="P185" s="656" t="e">
        <f t="shared" si="98"/>
        <v>#N/A</v>
      </c>
      <c r="Q185" s="658">
        <f>IF(COUNTIF('Account Mapping'!$H$12:$H$45,A185)&gt;0,-H185,H185)</f>
        <v>1131.8800000000001</v>
      </c>
      <c r="R185" s="249" t="e">
        <f>VLOOKUP(P185,Assumptions!$C$2:$D$64,2,0)</f>
        <v>#N/A</v>
      </c>
      <c r="S185" s="692" t="str">
        <f>IFERROR(VLOOKUP(A185,'Maturity Adjustment'!$A$3:$C$81,3,0),(IF(J185&lt;$N$4,"Tomorrow",J185)))</f>
        <v>Tomorrow</v>
      </c>
      <c r="T185" s="24">
        <f t="shared" ref="T185:T243" si="113">IF(S185="Tomorrow",1,(S185-$N$4))</f>
        <v>1</v>
      </c>
      <c r="U185" s="196" t="e">
        <f t="shared" si="99"/>
        <v>#N/A</v>
      </c>
      <c r="V185" s="11" t="str">
        <f>IFERROR(VLOOKUP(A185,'Maturity Adjustment'!$A$86:$C$91,3,0),S185)</f>
        <v>Tomorrow</v>
      </c>
      <c r="W185" s="207" t="e">
        <f>VLOOKUP(A185,'Account Mapping'!$A$2:$F$216,6,0)</f>
        <v>#N/A</v>
      </c>
      <c r="X185" s="194">
        <f t="shared" si="100"/>
        <v>1131.8800000000001</v>
      </c>
      <c r="Y185" s="194">
        <f t="shared" si="101"/>
        <v>0</v>
      </c>
      <c r="Z185" s="13">
        <f t="shared" si="102"/>
        <v>0</v>
      </c>
      <c r="AA185" s="13">
        <f t="shared" si="103"/>
        <v>0</v>
      </c>
      <c r="AB185" s="13">
        <f t="shared" si="104"/>
        <v>0</v>
      </c>
      <c r="AC185" s="13">
        <f t="shared" si="105"/>
        <v>0</v>
      </c>
      <c r="AD185" s="13">
        <f t="shared" si="106"/>
        <v>0</v>
      </c>
      <c r="AE185" s="13">
        <f t="shared" si="107"/>
        <v>0</v>
      </c>
      <c r="AF185" s="13">
        <f t="shared" si="108"/>
        <v>0</v>
      </c>
      <c r="AG185" s="685">
        <f t="shared" si="109"/>
        <v>0</v>
      </c>
      <c r="AH185" s="688" t="b">
        <f t="shared" si="110"/>
        <v>1</v>
      </c>
    </row>
    <row r="186" spans="1:34" s="1" customFormat="1" ht="15" customHeight="1">
      <c r="A186" s="946">
        <v>10910006</v>
      </c>
      <c r="B186" s="946" t="s">
        <v>600</v>
      </c>
      <c r="C186" s="946">
        <v>6115904000192</v>
      </c>
      <c r="D186" s="946">
        <v>100000014</v>
      </c>
      <c r="E186" s="946" t="s">
        <v>23</v>
      </c>
      <c r="F186" s="946" t="s">
        <v>26</v>
      </c>
      <c r="G186" s="947">
        <v>9943.0300000000007</v>
      </c>
      <c r="H186" s="947">
        <v>14155.79</v>
      </c>
      <c r="I186" s="948"/>
      <c r="J186" s="948"/>
      <c r="K186" s="948"/>
      <c r="L186" s="29" t="e">
        <f>VLOOKUP(A186,'Account Mapping'!$A$2:$E$216,3,0)</f>
        <v>#N/A</v>
      </c>
      <c r="M186" s="25" t="e">
        <f>VLOOKUP(A186,'Account Mapping'!$A$2:$E$216,4,0)</f>
        <v>#N/A</v>
      </c>
      <c r="N186" s="26" t="e">
        <f>IF(OR(C186='Account Mapping'!$H$4,C186='Account Mapping'!$H$5,C186='Account Mapping'!$H$6),'Account Mapping'!$I$4,VLOOKUP(A186,'Account Mapping'!$A$2:$E$216,5,0))</f>
        <v>#N/A</v>
      </c>
      <c r="O186" s="27" t="e">
        <f>IF(OR(L186="Loan",L186="Deposit_Liability",L186="OFF_Unused Loan Commitment",L186="HQLA"),VLOOKUP(D186,'Customer Type'!$A$3:$C$38,3,0),"")</f>
        <v>#N/A</v>
      </c>
      <c r="P186" s="656" t="e">
        <f t="shared" si="98"/>
        <v>#N/A</v>
      </c>
      <c r="Q186" s="658">
        <f>IF(COUNTIF('Account Mapping'!$H$12:$H$45,A186)&gt;0,-H186,H186)</f>
        <v>14155.79</v>
      </c>
      <c r="R186" s="249" t="e">
        <f>VLOOKUP(P186,Assumptions!$C$2:$D$64,2,0)</f>
        <v>#N/A</v>
      </c>
      <c r="S186" s="692" t="str">
        <f>IFERROR(VLOOKUP(A186,'Maturity Adjustment'!$A$3:$C$81,3,0),(IF(J186&lt;$N$4,"Tomorrow",J186)))</f>
        <v>Tomorrow</v>
      </c>
      <c r="T186" s="24">
        <f t="shared" si="113"/>
        <v>1</v>
      </c>
      <c r="U186" s="196" t="e">
        <f t="shared" si="99"/>
        <v>#N/A</v>
      </c>
      <c r="V186" s="11" t="str">
        <f>IFERROR(VLOOKUP(A186,'Maturity Adjustment'!$A$86:$C$91,3,0),S186)</f>
        <v>Tomorrow</v>
      </c>
      <c r="W186" s="207" t="e">
        <f>VLOOKUP(A186,'Account Mapping'!$A$2:$F$216,6,0)</f>
        <v>#N/A</v>
      </c>
      <c r="X186" s="194">
        <f t="shared" si="100"/>
        <v>14155.79</v>
      </c>
      <c r="Y186" s="194">
        <f t="shared" si="101"/>
        <v>0</v>
      </c>
      <c r="Z186" s="13">
        <f t="shared" si="102"/>
        <v>0</v>
      </c>
      <c r="AA186" s="13">
        <f t="shared" si="103"/>
        <v>0</v>
      </c>
      <c r="AB186" s="13">
        <f t="shared" si="104"/>
        <v>0</v>
      </c>
      <c r="AC186" s="13">
        <f t="shared" si="105"/>
        <v>0</v>
      </c>
      <c r="AD186" s="13">
        <f t="shared" si="106"/>
        <v>0</v>
      </c>
      <c r="AE186" s="13">
        <f t="shared" si="107"/>
        <v>0</v>
      </c>
      <c r="AF186" s="13">
        <f t="shared" si="108"/>
        <v>0</v>
      </c>
      <c r="AG186" s="685">
        <f t="shared" si="109"/>
        <v>0</v>
      </c>
      <c r="AH186" s="688" t="b">
        <f t="shared" si="110"/>
        <v>1</v>
      </c>
    </row>
    <row r="187" spans="1:34" s="1" customFormat="1" ht="15" customHeight="1">
      <c r="A187" s="946">
        <v>10910006</v>
      </c>
      <c r="B187" s="946" t="s">
        <v>600</v>
      </c>
      <c r="C187" s="946">
        <v>6115904000210</v>
      </c>
      <c r="D187" s="946">
        <v>100000014</v>
      </c>
      <c r="E187" s="946" t="s">
        <v>23</v>
      </c>
      <c r="F187" s="946" t="s">
        <v>26</v>
      </c>
      <c r="G187" s="947">
        <v>5334.23</v>
      </c>
      <c r="H187" s="947">
        <v>7594.29</v>
      </c>
      <c r="I187" s="948"/>
      <c r="J187" s="948"/>
      <c r="K187" s="948"/>
      <c r="L187" s="29" t="e">
        <f>VLOOKUP(A187,'Account Mapping'!$A$2:$E$216,3,0)</f>
        <v>#N/A</v>
      </c>
      <c r="M187" s="25" t="e">
        <f>VLOOKUP(A187,'Account Mapping'!$A$2:$E$216,4,0)</f>
        <v>#N/A</v>
      </c>
      <c r="N187" s="26" t="e">
        <f>IF(OR(C187='Account Mapping'!$H$4,C187='Account Mapping'!$H$5,C187='Account Mapping'!$H$6),'Account Mapping'!$I$4,VLOOKUP(A187,'Account Mapping'!$A$2:$E$216,5,0))</f>
        <v>#N/A</v>
      </c>
      <c r="O187" s="27" t="e">
        <f>IF(OR(L187="Loan",L187="Deposit_Liability",L187="OFF_Unused Loan Commitment",L187="HQLA"),VLOOKUP(D187,'Customer Type'!$A$3:$C$38,3,0),"")</f>
        <v>#N/A</v>
      </c>
      <c r="P187" s="656" t="e">
        <f t="shared" si="98"/>
        <v>#N/A</v>
      </c>
      <c r="Q187" s="658">
        <f>IF(COUNTIF('Account Mapping'!$H$12:$H$45,A187)&gt;0,-H187,H187)</f>
        <v>7594.29</v>
      </c>
      <c r="R187" s="249" t="e">
        <f>VLOOKUP(P187,Assumptions!$C$2:$D$64,2,0)</f>
        <v>#N/A</v>
      </c>
      <c r="S187" s="692" t="str">
        <f>IFERROR(VLOOKUP(A187,'Maturity Adjustment'!$A$3:$C$81,3,0),(IF(J187&lt;$N$4,"Tomorrow",J187)))</f>
        <v>Tomorrow</v>
      </c>
      <c r="T187" s="24">
        <f t="shared" si="113"/>
        <v>1</v>
      </c>
      <c r="U187" s="196" t="e">
        <f t="shared" si="99"/>
        <v>#N/A</v>
      </c>
      <c r="V187" s="11" t="str">
        <f>IFERROR(VLOOKUP(A187,'Maturity Adjustment'!$A$86:$C$91,3,0),S187)</f>
        <v>Tomorrow</v>
      </c>
      <c r="W187" s="207" t="e">
        <f>VLOOKUP(A187,'Account Mapping'!$A$2:$F$216,6,0)</f>
        <v>#N/A</v>
      </c>
      <c r="X187" s="194">
        <f t="shared" si="100"/>
        <v>7594.29</v>
      </c>
      <c r="Y187" s="194">
        <f t="shared" si="101"/>
        <v>0</v>
      </c>
      <c r="Z187" s="13">
        <f t="shared" si="102"/>
        <v>0</v>
      </c>
      <c r="AA187" s="13">
        <f t="shared" si="103"/>
        <v>0</v>
      </c>
      <c r="AB187" s="13">
        <f t="shared" si="104"/>
        <v>0</v>
      </c>
      <c r="AC187" s="13">
        <f t="shared" si="105"/>
        <v>0</v>
      </c>
      <c r="AD187" s="13">
        <f t="shared" si="106"/>
        <v>0</v>
      </c>
      <c r="AE187" s="13">
        <f t="shared" si="107"/>
        <v>0</v>
      </c>
      <c r="AF187" s="13">
        <f t="shared" si="108"/>
        <v>0</v>
      </c>
      <c r="AG187" s="685">
        <f t="shared" si="109"/>
        <v>0</v>
      </c>
      <c r="AH187" s="688" t="b">
        <f t="shared" si="110"/>
        <v>1</v>
      </c>
    </row>
    <row r="188" spans="1:34" s="1" customFormat="1" ht="15" customHeight="1">
      <c r="A188" s="946">
        <v>10910006</v>
      </c>
      <c r="B188" s="946" t="s">
        <v>600</v>
      </c>
      <c r="C188" s="946">
        <v>6115904000228</v>
      </c>
      <c r="D188" s="946">
        <v>100000014</v>
      </c>
      <c r="E188" s="946" t="s">
        <v>23</v>
      </c>
      <c r="F188" s="946" t="s">
        <v>26</v>
      </c>
      <c r="G188" s="947">
        <v>848.35</v>
      </c>
      <c r="H188" s="947">
        <v>1207.79</v>
      </c>
      <c r="I188" s="948"/>
      <c r="J188" s="948"/>
      <c r="K188" s="948"/>
      <c r="L188" s="29" t="e">
        <f>VLOOKUP(A188,'Account Mapping'!$A$2:$E$216,3,0)</f>
        <v>#N/A</v>
      </c>
      <c r="M188" s="25" t="e">
        <f>VLOOKUP(A188,'Account Mapping'!$A$2:$E$216,4,0)</f>
        <v>#N/A</v>
      </c>
      <c r="N188" s="26" t="e">
        <f>IF(OR(C188='Account Mapping'!$H$4,C188='Account Mapping'!$H$5,C188='Account Mapping'!$H$6),'Account Mapping'!$I$4,VLOOKUP(A188,'Account Mapping'!$A$2:$E$216,5,0))</f>
        <v>#N/A</v>
      </c>
      <c r="O188" s="27" t="e">
        <f>IF(OR(L188="Loan",L188="Deposit_Liability",L188="OFF_Unused Loan Commitment",L188="HQLA"),VLOOKUP(D188,'Customer Type'!$A$3:$C$38,3,0),"")</f>
        <v>#N/A</v>
      </c>
      <c r="P188" s="656" t="e">
        <f t="shared" si="98"/>
        <v>#N/A</v>
      </c>
      <c r="Q188" s="658">
        <f>IF(COUNTIF('Account Mapping'!$H$12:$H$45,A188)&gt;0,-H188,H188)</f>
        <v>1207.79</v>
      </c>
      <c r="R188" s="249" t="e">
        <f>VLOOKUP(P188,Assumptions!$C$2:$D$64,2,0)</f>
        <v>#N/A</v>
      </c>
      <c r="S188" s="692" t="str">
        <f>IFERROR(VLOOKUP(A188,'Maturity Adjustment'!$A$3:$C$81,3,0),(IF(J188&lt;$N$4,"Tomorrow",J188)))</f>
        <v>Tomorrow</v>
      </c>
      <c r="T188" s="24">
        <f t="shared" si="113"/>
        <v>1</v>
      </c>
      <c r="U188" s="196" t="e">
        <f t="shared" si="99"/>
        <v>#N/A</v>
      </c>
      <c r="V188" s="11" t="str">
        <f>IFERROR(VLOOKUP(A188,'Maturity Adjustment'!$A$86:$C$91,3,0),S188)</f>
        <v>Tomorrow</v>
      </c>
      <c r="W188" s="207" t="e">
        <f>VLOOKUP(A188,'Account Mapping'!$A$2:$F$216,6,0)</f>
        <v>#N/A</v>
      </c>
      <c r="X188" s="194">
        <f t="shared" si="100"/>
        <v>1207.79</v>
      </c>
      <c r="Y188" s="194">
        <f t="shared" si="101"/>
        <v>0</v>
      </c>
      <c r="Z188" s="13">
        <f t="shared" si="102"/>
        <v>0</v>
      </c>
      <c r="AA188" s="13">
        <f t="shared" si="103"/>
        <v>0</v>
      </c>
      <c r="AB188" s="13">
        <f t="shared" si="104"/>
        <v>0</v>
      </c>
      <c r="AC188" s="13">
        <f t="shared" si="105"/>
        <v>0</v>
      </c>
      <c r="AD188" s="13">
        <f t="shared" si="106"/>
        <v>0</v>
      </c>
      <c r="AE188" s="13">
        <f t="shared" si="107"/>
        <v>0</v>
      </c>
      <c r="AF188" s="13">
        <f t="shared" si="108"/>
        <v>0</v>
      </c>
      <c r="AG188" s="685">
        <f t="shared" si="109"/>
        <v>0</v>
      </c>
      <c r="AH188" s="688" t="b">
        <f t="shared" si="110"/>
        <v>1</v>
      </c>
    </row>
    <row r="189" spans="1:34" s="1" customFormat="1" ht="15" customHeight="1">
      <c r="A189" s="946">
        <v>10910006</v>
      </c>
      <c r="B189" s="946" t="s">
        <v>600</v>
      </c>
      <c r="C189" s="946">
        <v>6115904000235</v>
      </c>
      <c r="D189" s="946">
        <v>100000014</v>
      </c>
      <c r="E189" s="946" t="s">
        <v>23</v>
      </c>
      <c r="F189" s="946" t="s">
        <v>26</v>
      </c>
      <c r="G189" s="947">
        <v>864.64</v>
      </c>
      <c r="H189" s="947">
        <v>1230.98</v>
      </c>
      <c r="I189" s="948"/>
      <c r="J189" s="948"/>
      <c r="K189" s="948"/>
      <c r="L189" s="29" t="e">
        <f>VLOOKUP(A189,'Account Mapping'!$A$2:$E$216,3,0)</f>
        <v>#N/A</v>
      </c>
      <c r="M189" s="25" t="e">
        <f>VLOOKUP(A189,'Account Mapping'!$A$2:$E$216,4,0)</f>
        <v>#N/A</v>
      </c>
      <c r="N189" s="26" t="e">
        <f>IF(OR(C189='Account Mapping'!$H$4,C189='Account Mapping'!$H$5,C189='Account Mapping'!$H$6),'Account Mapping'!$I$4,VLOOKUP(A189,'Account Mapping'!$A$2:$E$216,5,0))</f>
        <v>#N/A</v>
      </c>
      <c r="O189" s="27" t="e">
        <f>IF(OR(L189="Loan",L189="Deposit_Liability",L189="OFF_Unused Loan Commitment",L189="HQLA"),VLOOKUP(D189,'Customer Type'!$A$3:$C$38,3,0),"")</f>
        <v>#N/A</v>
      </c>
      <c r="P189" s="656" t="e">
        <f t="shared" si="98"/>
        <v>#N/A</v>
      </c>
      <c r="Q189" s="658">
        <f>IF(COUNTIF('Account Mapping'!$H$12:$H$45,A189)&gt;0,-H189,H189)</f>
        <v>1230.98</v>
      </c>
      <c r="R189" s="249" t="e">
        <f>VLOOKUP(P189,Assumptions!$C$2:$D$64,2,0)</f>
        <v>#N/A</v>
      </c>
      <c r="S189" s="692" t="str">
        <f>IFERROR(VLOOKUP(A189,'Maturity Adjustment'!$A$3:$C$81,3,0),(IF(J189&lt;$N$4,"Tomorrow",J189)))</f>
        <v>Tomorrow</v>
      </c>
      <c r="T189" s="24">
        <f t="shared" si="113"/>
        <v>1</v>
      </c>
      <c r="U189" s="196" t="e">
        <f t="shared" si="99"/>
        <v>#N/A</v>
      </c>
      <c r="V189" s="11" t="str">
        <f>IFERROR(VLOOKUP(A189,'Maturity Adjustment'!$A$86:$C$91,3,0),S189)</f>
        <v>Tomorrow</v>
      </c>
      <c r="W189" s="207" t="e">
        <f>VLOOKUP(A189,'Account Mapping'!$A$2:$F$216,6,0)</f>
        <v>#N/A</v>
      </c>
      <c r="X189" s="194">
        <f t="shared" si="100"/>
        <v>1230.98</v>
      </c>
      <c r="Y189" s="194">
        <f t="shared" si="101"/>
        <v>0</v>
      </c>
      <c r="Z189" s="13">
        <f t="shared" si="102"/>
        <v>0</v>
      </c>
      <c r="AA189" s="13">
        <f t="shared" si="103"/>
        <v>0</v>
      </c>
      <c r="AB189" s="13">
        <f t="shared" si="104"/>
        <v>0</v>
      </c>
      <c r="AC189" s="13">
        <f t="shared" si="105"/>
        <v>0</v>
      </c>
      <c r="AD189" s="13">
        <f t="shared" si="106"/>
        <v>0</v>
      </c>
      <c r="AE189" s="13">
        <f t="shared" si="107"/>
        <v>0</v>
      </c>
      <c r="AF189" s="13">
        <f t="shared" si="108"/>
        <v>0</v>
      </c>
      <c r="AG189" s="685">
        <f t="shared" si="109"/>
        <v>0</v>
      </c>
      <c r="AH189" s="688" t="b">
        <f t="shared" si="110"/>
        <v>1</v>
      </c>
    </row>
    <row r="190" spans="1:34" s="1" customFormat="1" ht="15" customHeight="1">
      <c r="A190" s="946">
        <v>10910006</v>
      </c>
      <c r="B190" s="946" t="s">
        <v>600</v>
      </c>
      <c r="C190" s="946">
        <v>6115904000242</v>
      </c>
      <c r="D190" s="946">
        <v>100000014</v>
      </c>
      <c r="E190" s="946" t="s">
        <v>23</v>
      </c>
      <c r="F190" s="946" t="s">
        <v>26</v>
      </c>
      <c r="G190" s="947">
        <v>4362.1099999999997</v>
      </c>
      <c r="H190" s="947">
        <v>6210.29</v>
      </c>
      <c r="I190" s="948"/>
      <c r="J190" s="948"/>
      <c r="K190" s="948"/>
      <c r="L190" s="29" t="e">
        <f>VLOOKUP(A190,'Account Mapping'!$A$2:$E$216,3,0)</f>
        <v>#N/A</v>
      </c>
      <c r="M190" s="25" t="e">
        <f>VLOOKUP(A190,'Account Mapping'!$A$2:$E$216,4,0)</f>
        <v>#N/A</v>
      </c>
      <c r="N190" s="26" t="e">
        <f>IF(OR(C190='Account Mapping'!$H$4,C190='Account Mapping'!$H$5,C190='Account Mapping'!$H$6),'Account Mapping'!$I$4,VLOOKUP(A190,'Account Mapping'!$A$2:$E$216,5,0))</f>
        <v>#N/A</v>
      </c>
      <c r="O190" s="27" t="e">
        <f>IF(OR(L190="Loan",L190="Deposit_Liability",L190="OFF_Unused Loan Commitment",L190="HQLA"),VLOOKUP(D190,'Customer Type'!$A$3:$C$38,3,0),"")</f>
        <v>#N/A</v>
      </c>
      <c r="P190" s="656" t="e">
        <f t="shared" si="98"/>
        <v>#N/A</v>
      </c>
      <c r="Q190" s="658">
        <f>IF(COUNTIF('Account Mapping'!$H$12:$H$45,A190)&gt;0,-H190,H190)</f>
        <v>6210.29</v>
      </c>
      <c r="R190" s="249" t="e">
        <f>VLOOKUP(P190,Assumptions!$C$2:$D$64,2,0)</f>
        <v>#N/A</v>
      </c>
      <c r="S190" s="692" t="str">
        <f>IFERROR(VLOOKUP(A190,'Maturity Adjustment'!$A$3:$C$81,3,0),(IF(J190&lt;$N$4,"Tomorrow",J190)))</f>
        <v>Tomorrow</v>
      </c>
      <c r="T190" s="24">
        <f t="shared" si="113"/>
        <v>1</v>
      </c>
      <c r="U190" s="196" t="e">
        <f t="shared" si="99"/>
        <v>#N/A</v>
      </c>
      <c r="V190" s="11" t="str">
        <f>IFERROR(VLOOKUP(A190,'Maturity Adjustment'!$A$86:$C$91,3,0),S190)</f>
        <v>Tomorrow</v>
      </c>
      <c r="W190" s="207" t="e">
        <f>VLOOKUP(A190,'Account Mapping'!$A$2:$F$216,6,0)</f>
        <v>#N/A</v>
      </c>
      <c r="X190" s="194">
        <f t="shared" si="100"/>
        <v>6210.29</v>
      </c>
      <c r="Y190" s="194">
        <f t="shared" si="101"/>
        <v>0</v>
      </c>
      <c r="Z190" s="13">
        <f t="shared" si="102"/>
        <v>0</v>
      </c>
      <c r="AA190" s="13">
        <f t="shared" si="103"/>
        <v>0</v>
      </c>
      <c r="AB190" s="13">
        <f t="shared" si="104"/>
        <v>0</v>
      </c>
      <c r="AC190" s="13">
        <f t="shared" si="105"/>
        <v>0</v>
      </c>
      <c r="AD190" s="13">
        <f t="shared" si="106"/>
        <v>0</v>
      </c>
      <c r="AE190" s="13">
        <f t="shared" si="107"/>
        <v>0</v>
      </c>
      <c r="AF190" s="13">
        <f t="shared" si="108"/>
        <v>0</v>
      </c>
      <c r="AG190" s="685">
        <f t="shared" si="109"/>
        <v>0</v>
      </c>
      <c r="AH190" s="688" t="b">
        <f t="shared" si="110"/>
        <v>1</v>
      </c>
    </row>
    <row r="191" spans="1:34" s="1" customFormat="1" ht="15" customHeight="1">
      <c r="A191" s="946">
        <v>10910006</v>
      </c>
      <c r="B191" s="946" t="s">
        <v>600</v>
      </c>
      <c r="C191" s="946">
        <v>6115904000250</v>
      </c>
      <c r="D191" s="946">
        <v>100000014</v>
      </c>
      <c r="E191" s="946" t="s">
        <v>23</v>
      </c>
      <c r="F191" s="946" t="s">
        <v>26</v>
      </c>
      <c r="G191" s="947">
        <v>984.12</v>
      </c>
      <c r="H191" s="947">
        <v>1401.08</v>
      </c>
      <c r="I191" s="948"/>
      <c r="J191" s="948"/>
      <c r="K191" s="948"/>
      <c r="L191" s="29" t="e">
        <f>VLOOKUP(A191,'Account Mapping'!$A$2:$E$216,3,0)</f>
        <v>#N/A</v>
      </c>
      <c r="M191" s="25" t="e">
        <f>VLOOKUP(A191,'Account Mapping'!$A$2:$E$216,4,0)</f>
        <v>#N/A</v>
      </c>
      <c r="N191" s="26" t="e">
        <f>IF(OR(C191='Account Mapping'!$H$4,C191='Account Mapping'!$H$5,C191='Account Mapping'!$H$6),'Account Mapping'!$I$4,VLOOKUP(A191,'Account Mapping'!$A$2:$E$216,5,0))</f>
        <v>#N/A</v>
      </c>
      <c r="O191" s="27" t="e">
        <f>IF(OR(L191="Loan",L191="Deposit_Liability",L191="OFF_Unused Loan Commitment",L191="HQLA"),VLOOKUP(D191,'Customer Type'!$A$3:$C$38,3,0),"")</f>
        <v>#N/A</v>
      </c>
      <c r="P191" s="656" t="e">
        <f t="shared" si="98"/>
        <v>#N/A</v>
      </c>
      <c r="Q191" s="658">
        <f>IF(COUNTIF('Account Mapping'!$H$12:$H$45,A191)&gt;0,-H191,H191)</f>
        <v>1401.08</v>
      </c>
      <c r="R191" s="249" t="e">
        <f>VLOOKUP(P191,Assumptions!$C$2:$D$64,2,0)</f>
        <v>#N/A</v>
      </c>
      <c r="S191" s="692" t="str">
        <f>IFERROR(VLOOKUP(A191,'Maturity Adjustment'!$A$3:$C$81,3,0),(IF(J191&lt;$N$4,"Tomorrow",J191)))</f>
        <v>Tomorrow</v>
      </c>
      <c r="T191" s="24">
        <f t="shared" si="113"/>
        <v>1</v>
      </c>
      <c r="U191" s="196" t="e">
        <f t="shared" si="99"/>
        <v>#N/A</v>
      </c>
      <c r="V191" s="11" t="str">
        <f>IFERROR(VLOOKUP(A191,'Maturity Adjustment'!$A$86:$C$91,3,0),S191)</f>
        <v>Tomorrow</v>
      </c>
      <c r="W191" s="207" t="e">
        <f>VLOOKUP(A191,'Account Mapping'!$A$2:$F$216,6,0)</f>
        <v>#N/A</v>
      </c>
      <c r="X191" s="194">
        <f t="shared" si="100"/>
        <v>1401.08</v>
      </c>
      <c r="Y191" s="194">
        <f t="shared" si="101"/>
        <v>0</v>
      </c>
      <c r="Z191" s="13">
        <f t="shared" si="102"/>
        <v>0</v>
      </c>
      <c r="AA191" s="13">
        <f t="shared" si="103"/>
        <v>0</v>
      </c>
      <c r="AB191" s="13">
        <f t="shared" si="104"/>
        <v>0</v>
      </c>
      <c r="AC191" s="13">
        <f t="shared" si="105"/>
        <v>0</v>
      </c>
      <c r="AD191" s="13">
        <f t="shared" si="106"/>
        <v>0</v>
      </c>
      <c r="AE191" s="13">
        <f t="shared" si="107"/>
        <v>0</v>
      </c>
      <c r="AF191" s="13">
        <f t="shared" si="108"/>
        <v>0</v>
      </c>
      <c r="AG191" s="685">
        <f t="shared" si="109"/>
        <v>0</v>
      </c>
      <c r="AH191" s="688" t="b">
        <f t="shared" si="110"/>
        <v>1</v>
      </c>
    </row>
    <row r="192" spans="1:34" s="1" customFormat="1" ht="15" customHeight="1">
      <c r="A192" s="946">
        <v>10910006</v>
      </c>
      <c r="B192" s="946" t="s">
        <v>600</v>
      </c>
      <c r="C192" s="946">
        <v>6115904000267</v>
      </c>
      <c r="D192" s="946">
        <v>100000014</v>
      </c>
      <c r="E192" s="946" t="s">
        <v>23</v>
      </c>
      <c r="F192" s="946" t="s">
        <v>26</v>
      </c>
      <c r="G192" s="947">
        <v>1539.57</v>
      </c>
      <c r="H192" s="947">
        <v>2191.87</v>
      </c>
      <c r="I192" s="948">
        <v>46027</v>
      </c>
      <c r="J192" s="948">
        <v>46058</v>
      </c>
      <c r="K192" s="948">
        <v>46058</v>
      </c>
      <c r="L192" s="29" t="e">
        <f>VLOOKUP(A192,'Account Mapping'!$A$2:$E$216,3,0)</f>
        <v>#N/A</v>
      </c>
      <c r="M192" s="25" t="e">
        <f>VLOOKUP(A192,'Account Mapping'!$A$2:$E$216,4,0)</f>
        <v>#N/A</v>
      </c>
      <c r="N192" s="26" t="e">
        <f>IF(OR(C192='Account Mapping'!$H$4,C192='Account Mapping'!$H$5,C192='Account Mapping'!$H$6),'Account Mapping'!$I$4,VLOOKUP(A192,'Account Mapping'!$A$2:$E$216,5,0))</f>
        <v>#N/A</v>
      </c>
      <c r="O192" s="27" t="e">
        <f>IF(OR(L192="Loan",L192="Deposit_Liability",L192="OFF_Unused Loan Commitment",L192="HQLA"),VLOOKUP(D192,'Customer Type'!$A$3:$C$38,3,0),"")</f>
        <v>#N/A</v>
      </c>
      <c r="P192" s="656" t="e">
        <f t="shared" si="98"/>
        <v>#N/A</v>
      </c>
      <c r="Q192" s="658">
        <f>IF(COUNTIF('Account Mapping'!$H$12:$H$45,A192)&gt;0,-H192,H192)</f>
        <v>2191.87</v>
      </c>
      <c r="R192" s="249" t="e">
        <f>VLOOKUP(P192,Assumptions!$C$2:$D$64,2,0)</f>
        <v>#N/A</v>
      </c>
      <c r="S192" s="692">
        <f>IFERROR(VLOOKUP(A192,'Maturity Adjustment'!$A$3:$C$81,3,0),(IF(J192&lt;$N$4,"Tomorrow",J192)))</f>
        <v>46058</v>
      </c>
      <c r="T192" s="24">
        <f t="shared" si="113"/>
        <v>0</v>
      </c>
      <c r="U192" s="196" t="e">
        <f t="shared" si="99"/>
        <v>#N/A</v>
      </c>
      <c r="V192" s="11">
        <f>IFERROR(VLOOKUP(A192,'Maturity Adjustment'!$A$86:$C$91,3,0),S192)</f>
        <v>46058</v>
      </c>
      <c r="W192" s="207" t="e">
        <f>VLOOKUP(A192,'Account Mapping'!$A$2:$F$216,6,0)</f>
        <v>#N/A</v>
      </c>
      <c r="X192" s="194">
        <f t="shared" si="100"/>
        <v>2191.87</v>
      </c>
      <c r="Y192" s="194">
        <f t="shared" si="101"/>
        <v>0</v>
      </c>
      <c r="Z192" s="13">
        <f t="shared" si="102"/>
        <v>0</v>
      </c>
      <c r="AA192" s="13">
        <f t="shared" si="103"/>
        <v>0</v>
      </c>
      <c r="AB192" s="13">
        <f t="shared" si="104"/>
        <v>0</v>
      </c>
      <c r="AC192" s="13">
        <f t="shared" si="105"/>
        <v>0</v>
      </c>
      <c r="AD192" s="13">
        <f t="shared" si="106"/>
        <v>0</v>
      </c>
      <c r="AE192" s="13">
        <f t="shared" si="107"/>
        <v>0</v>
      </c>
      <c r="AF192" s="13">
        <f t="shared" si="108"/>
        <v>0</v>
      </c>
      <c r="AG192" s="685">
        <f t="shared" si="109"/>
        <v>0</v>
      </c>
      <c r="AH192" s="688" t="b">
        <f t="shared" si="110"/>
        <v>1</v>
      </c>
    </row>
    <row r="193" spans="1:34" s="1" customFormat="1" ht="15" customHeight="1">
      <c r="A193" s="946">
        <v>10910006</v>
      </c>
      <c r="B193" s="946" t="s">
        <v>600</v>
      </c>
      <c r="C193" s="946">
        <v>6115904000274</v>
      </c>
      <c r="D193" s="946">
        <v>100000014</v>
      </c>
      <c r="E193" s="946" t="s">
        <v>23</v>
      </c>
      <c r="F193" s="946" t="s">
        <v>26</v>
      </c>
      <c r="G193" s="947">
        <v>3656.47</v>
      </c>
      <c r="H193" s="947">
        <v>5205.68</v>
      </c>
      <c r="I193" s="948"/>
      <c r="J193" s="948"/>
      <c r="K193" s="948"/>
      <c r="L193" s="29" t="e">
        <f>VLOOKUP(A193,'Account Mapping'!$A$2:$E$216,3,0)</f>
        <v>#N/A</v>
      </c>
      <c r="M193" s="25" t="e">
        <f>VLOOKUP(A193,'Account Mapping'!$A$2:$E$216,4,0)</f>
        <v>#N/A</v>
      </c>
      <c r="N193" s="26" t="e">
        <f>IF(OR(C193='Account Mapping'!$H$4,C193='Account Mapping'!$H$5,C193='Account Mapping'!$H$6),'Account Mapping'!$I$4,VLOOKUP(A193,'Account Mapping'!$A$2:$E$216,5,0))</f>
        <v>#N/A</v>
      </c>
      <c r="O193" s="27" t="e">
        <f>IF(OR(L193="Loan",L193="Deposit_Liability",L193="OFF_Unused Loan Commitment",L193="HQLA"),VLOOKUP(D193,'Customer Type'!$A$3:$C$38,3,0),"")</f>
        <v>#N/A</v>
      </c>
      <c r="P193" s="656" t="e">
        <f t="shared" si="98"/>
        <v>#N/A</v>
      </c>
      <c r="Q193" s="658">
        <f>IF(COUNTIF('Account Mapping'!$H$12:$H$45,A193)&gt;0,-H193,H193)</f>
        <v>5205.68</v>
      </c>
      <c r="R193" s="249" t="e">
        <f>VLOOKUP(P193,Assumptions!$C$2:$D$64,2,0)</f>
        <v>#N/A</v>
      </c>
      <c r="S193" s="692" t="str">
        <f>IFERROR(VLOOKUP(A193,'Maturity Adjustment'!$A$3:$C$81,3,0),(IF(J193&lt;$N$4,"Tomorrow",J193)))</f>
        <v>Tomorrow</v>
      </c>
      <c r="T193" s="24">
        <f t="shared" si="113"/>
        <v>1</v>
      </c>
      <c r="U193" s="196" t="e">
        <f t="shared" si="99"/>
        <v>#N/A</v>
      </c>
      <c r="V193" s="11" t="str">
        <f>IFERROR(VLOOKUP(A193,'Maturity Adjustment'!$A$86:$C$91,3,0),S193)</f>
        <v>Tomorrow</v>
      </c>
      <c r="W193" s="207" t="e">
        <f>VLOOKUP(A193,'Account Mapping'!$A$2:$F$216,6,0)</f>
        <v>#N/A</v>
      </c>
      <c r="X193" s="194">
        <f t="shared" si="100"/>
        <v>5205.68</v>
      </c>
      <c r="Y193" s="194">
        <f t="shared" si="101"/>
        <v>0</v>
      </c>
      <c r="Z193" s="13">
        <f t="shared" si="102"/>
        <v>0</v>
      </c>
      <c r="AA193" s="13">
        <f t="shared" si="103"/>
        <v>0</v>
      </c>
      <c r="AB193" s="13">
        <f t="shared" si="104"/>
        <v>0</v>
      </c>
      <c r="AC193" s="13">
        <f t="shared" si="105"/>
        <v>0</v>
      </c>
      <c r="AD193" s="13">
        <f t="shared" si="106"/>
        <v>0</v>
      </c>
      <c r="AE193" s="13">
        <f t="shared" si="107"/>
        <v>0</v>
      </c>
      <c r="AF193" s="13">
        <f t="shared" si="108"/>
        <v>0</v>
      </c>
      <c r="AG193" s="685">
        <f t="shared" si="109"/>
        <v>0</v>
      </c>
      <c r="AH193" s="688" t="b">
        <f t="shared" si="110"/>
        <v>1</v>
      </c>
    </row>
    <row r="194" spans="1:34" s="1" customFormat="1" ht="15" customHeight="1">
      <c r="A194" s="946">
        <v>10910006</v>
      </c>
      <c r="B194" s="946" t="s">
        <v>600</v>
      </c>
      <c r="C194" s="946">
        <v>6115904000281</v>
      </c>
      <c r="D194" s="946">
        <v>100000014</v>
      </c>
      <c r="E194" s="946" t="s">
        <v>23</v>
      </c>
      <c r="F194" s="946" t="s">
        <v>26</v>
      </c>
      <c r="G194" s="947">
        <v>969.73</v>
      </c>
      <c r="H194" s="947">
        <v>1380.6</v>
      </c>
      <c r="I194" s="949"/>
      <c r="J194" s="949"/>
      <c r="K194" s="949"/>
      <c r="L194" s="29" t="e">
        <f>VLOOKUP(A194,'Account Mapping'!$A$2:$E$216,3,0)</f>
        <v>#N/A</v>
      </c>
      <c r="M194" s="25" t="e">
        <f>VLOOKUP(A194,'Account Mapping'!$A$2:$E$216,4,0)</f>
        <v>#N/A</v>
      </c>
      <c r="N194" s="26" t="e">
        <f>IF(OR(C194='Account Mapping'!$H$4,C194='Account Mapping'!$H$5,C194='Account Mapping'!$H$6),'Account Mapping'!$I$4,VLOOKUP(A194,'Account Mapping'!$A$2:$E$216,5,0))</f>
        <v>#N/A</v>
      </c>
      <c r="O194" s="27" t="e">
        <f>IF(OR(L194="Loan",L194="Deposit_Liability",L194="OFF_Unused Loan Commitment",L194="HQLA"),VLOOKUP(D194,'Customer Type'!$A$3:$C$38,3,0),"")</f>
        <v>#N/A</v>
      </c>
      <c r="P194" s="656" t="e">
        <f t="shared" si="98"/>
        <v>#N/A</v>
      </c>
      <c r="Q194" s="658">
        <f>IF(COUNTIF('Account Mapping'!$H$12:$H$45,A194)&gt;0,-H194,H194)</f>
        <v>1380.6</v>
      </c>
      <c r="R194" s="249" t="e">
        <f>VLOOKUP(P194,Assumptions!$C$2:$D$64,2,0)</f>
        <v>#N/A</v>
      </c>
      <c r="S194" s="692" t="str">
        <f>IFERROR(VLOOKUP(A194,'Maturity Adjustment'!$A$3:$C$81,3,0),(IF(J194&lt;$N$4,"Tomorrow",J194)))</f>
        <v>Tomorrow</v>
      </c>
      <c r="T194" s="24">
        <f t="shared" si="113"/>
        <v>1</v>
      </c>
      <c r="U194" s="196" t="e">
        <f t="shared" si="99"/>
        <v>#N/A</v>
      </c>
      <c r="V194" s="11" t="str">
        <f>IFERROR(VLOOKUP(A194,'Maturity Adjustment'!$A$86:$C$91,3,0),S194)</f>
        <v>Tomorrow</v>
      </c>
      <c r="W194" s="207" t="e">
        <f>VLOOKUP(A194,'Account Mapping'!$A$2:$F$216,6,0)</f>
        <v>#N/A</v>
      </c>
      <c r="X194" s="194">
        <f t="shared" si="100"/>
        <v>1380.6</v>
      </c>
      <c r="Y194" s="194">
        <f t="shared" si="101"/>
        <v>0</v>
      </c>
      <c r="Z194" s="13">
        <f t="shared" si="102"/>
        <v>0</v>
      </c>
      <c r="AA194" s="13">
        <f t="shared" si="103"/>
        <v>0</v>
      </c>
      <c r="AB194" s="13">
        <f t="shared" si="104"/>
        <v>0</v>
      </c>
      <c r="AC194" s="13">
        <f t="shared" si="105"/>
        <v>0</v>
      </c>
      <c r="AD194" s="13">
        <f t="shared" si="106"/>
        <v>0</v>
      </c>
      <c r="AE194" s="13">
        <f t="shared" si="107"/>
        <v>0</v>
      </c>
      <c r="AF194" s="13">
        <f t="shared" si="108"/>
        <v>0</v>
      </c>
      <c r="AG194" s="685">
        <f t="shared" si="109"/>
        <v>0</v>
      </c>
      <c r="AH194" s="688" t="b">
        <f t="shared" si="110"/>
        <v>1</v>
      </c>
    </row>
    <row r="195" spans="1:34" ht="15" customHeight="1">
      <c r="A195" s="946">
        <v>10910006</v>
      </c>
      <c r="B195" s="946" t="s">
        <v>600</v>
      </c>
      <c r="C195" s="946">
        <v>6115904000300</v>
      </c>
      <c r="D195" s="946">
        <v>100000031</v>
      </c>
      <c r="E195" s="946" t="s">
        <v>1233</v>
      </c>
      <c r="F195" s="946" t="s">
        <v>11</v>
      </c>
      <c r="G195" s="947">
        <v>70833.7</v>
      </c>
      <c r="H195" s="947">
        <v>70833.7</v>
      </c>
      <c r="I195" s="948">
        <v>46013</v>
      </c>
      <c r="J195" s="948">
        <v>46195</v>
      </c>
      <c r="K195" s="948">
        <v>46195</v>
      </c>
      <c r="L195" s="29" t="e">
        <f>VLOOKUP(A195,'Account Mapping'!$A$2:$E$216,3,0)</f>
        <v>#N/A</v>
      </c>
      <c r="M195" s="25" t="e">
        <f>VLOOKUP(A195,'Account Mapping'!$A$2:$E$216,4,0)</f>
        <v>#N/A</v>
      </c>
      <c r="N195" s="26" t="e">
        <f>IF(OR(C195='Account Mapping'!$H$4,C195='Account Mapping'!$H$5,C195='Account Mapping'!$H$6),'Account Mapping'!$I$4,VLOOKUP(A195,'Account Mapping'!$A$2:$E$216,5,0))</f>
        <v>#N/A</v>
      </c>
      <c r="O195" s="27" t="e">
        <f>IF(OR(L195="Loan",L195="Deposit_Liability",L195="OFF_Unused Loan Commitment",L195="HQLA"),VLOOKUP(D195,'Customer Type'!$A$3:$C$38,3,0),"")</f>
        <v>#N/A</v>
      </c>
      <c r="P195" s="656" t="e">
        <f t="shared" si="98"/>
        <v>#N/A</v>
      </c>
      <c r="Q195" s="658">
        <f>IF(COUNTIF('Account Mapping'!$H$12:$H$45,A195)&gt;0,-H195,H195)</f>
        <v>70833.7</v>
      </c>
      <c r="R195" s="249" t="e">
        <f>VLOOKUP(P195,Assumptions!$C$2:$D$64,2,0)</f>
        <v>#N/A</v>
      </c>
      <c r="S195" s="692">
        <f>IFERROR(VLOOKUP(A195,'Maturity Adjustment'!$A$3:$C$81,3,0),(IF(J195&lt;$N$4,"Tomorrow",J195)))</f>
        <v>46195</v>
      </c>
      <c r="T195" s="24">
        <f t="shared" si="113"/>
        <v>137</v>
      </c>
      <c r="U195" s="196" t="e">
        <f t="shared" si="99"/>
        <v>#N/A</v>
      </c>
      <c r="V195" s="11">
        <f>IFERROR(VLOOKUP(A195,'Maturity Adjustment'!$A$86:$C$91,3,0),S195)</f>
        <v>46195</v>
      </c>
      <c r="W195" s="207" t="e">
        <f>VLOOKUP(A195,'Account Mapping'!$A$2:$F$216,6,0)</f>
        <v>#N/A</v>
      </c>
      <c r="X195" s="194">
        <f t="shared" si="100"/>
        <v>0</v>
      </c>
      <c r="Y195" s="194">
        <f t="shared" si="101"/>
        <v>0</v>
      </c>
      <c r="Z195" s="13">
        <f t="shared" si="102"/>
        <v>0</v>
      </c>
      <c r="AA195" s="13">
        <f t="shared" si="103"/>
        <v>0</v>
      </c>
      <c r="AB195" s="13">
        <f t="shared" si="104"/>
        <v>70833.7</v>
      </c>
      <c r="AC195" s="13">
        <f t="shared" si="105"/>
        <v>0</v>
      </c>
      <c r="AD195" s="13">
        <f t="shared" si="106"/>
        <v>0</v>
      </c>
      <c r="AE195" s="13">
        <f t="shared" si="107"/>
        <v>0</v>
      </c>
      <c r="AF195" s="13">
        <f t="shared" si="108"/>
        <v>0</v>
      </c>
      <c r="AG195" s="685">
        <f t="shared" si="109"/>
        <v>0</v>
      </c>
      <c r="AH195" s="688" t="b">
        <f t="shared" si="110"/>
        <v>1</v>
      </c>
    </row>
    <row r="196" spans="1:34" s="1" customFormat="1" ht="15" customHeight="1">
      <c r="A196" s="946">
        <v>10910006</v>
      </c>
      <c r="B196" s="946" t="s">
        <v>600</v>
      </c>
      <c r="C196" s="946">
        <v>6115904000317</v>
      </c>
      <c r="D196" s="946">
        <v>100000014</v>
      </c>
      <c r="E196" s="946" t="s">
        <v>23</v>
      </c>
      <c r="F196" s="946" t="s">
        <v>26</v>
      </c>
      <c r="G196" s="947">
        <v>3720.62</v>
      </c>
      <c r="H196" s="947">
        <v>5297.01</v>
      </c>
      <c r="I196" s="948"/>
      <c r="J196" s="948"/>
      <c r="K196" s="948"/>
      <c r="L196" s="29" t="e">
        <f>VLOOKUP(A196,'Account Mapping'!$A$2:$E$216,3,0)</f>
        <v>#N/A</v>
      </c>
      <c r="M196" s="25" t="e">
        <f>VLOOKUP(A196,'Account Mapping'!$A$2:$E$216,4,0)</f>
        <v>#N/A</v>
      </c>
      <c r="N196" s="26" t="e">
        <f>IF(OR(C196='Account Mapping'!$H$4,C196='Account Mapping'!$H$5,C196='Account Mapping'!$H$6),'Account Mapping'!$I$4,VLOOKUP(A196,'Account Mapping'!$A$2:$E$216,5,0))</f>
        <v>#N/A</v>
      </c>
      <c r="O196" s="27" t="e">
        <f>IF(OR(L196="Loan",L196="Deposit_Liability",L196="OFF_Unused Loan Commitment",L196="HQLA"),VLOOKUP(D196,'Customer Type'!$A$3:$C$38,3,0),"")</f>
        <v>#N/A</v>
      </c>
      <c r="P196" s="656" t="e">
        <f t="shared" si="98"/>
        <v>#N/A</v>
      </c>
      <c r="Q196" s="658">
        <f>IF(COUNTIF('Account Mapping'!$H$12:$H$45,A196)&gt;0,-H196,H196)</f>
        <v>5297.01</v>
      </c>
      <c r="R196" s="249" t="e">
        <f>VLOOKUP(P196,Assumptions!$C$2:$D$64,2,0)</f>
        <v>#N/A</v>
      </c>
      <c r="S196" s="692" t="str">
        <f>IFERROR(VLOOKUP(A196,'Maturity Adjustment'!$A$3:$C$81,3,0),(IF(J196&lt;$N$4,"Tomorrow",J196)))</f>
        <v>Tomorrow</v>
      </c>
      <c r="T196" s="24">
        <f t="shared" si="113"/>
        <v>1</v>
      </c>
      <c r="U196" s="196" t="e">
        <f t="shared" si="99"/>
        <v>#N/A</v>
      </c>
      <c r="V196" s="11" t="str">
        <f>IFERROR(VLOOKUP(A196,'Maturity Adjustment'!$A$86:$C$91,3,0),S196)</f>
        <v>Tomorrow</v>
      </c>
      <c r="W196" s="207" t="e">
        <f>VLOOKUP(A196,'Account Mapping'!$A$2:$F$216,6,0)</f>
        <v>#N/A</v>
      </c>
      <c r="X196" s="194">
        <f t="shared" si="100"/>
        <v>5297.01</v>
      </c>
      <c r="Y196" s="194">
        <f t="shared" si="101"/>
        <v>0</v>
      </c>
      <c r="Z196" s="13">
        <f t="shared" si="102"/>
        <v>0</v>
      </c>
      <c r="AA196" s="13">
        <f t="shared" si="103"/>
        <v>0</v>
      </c>
      <c r="AB196" s="13">
        <f t="shared" si="104"/>
        <v>0</v>
      </c>
      <c r="AC196" s="13">
        <f t="shared" si="105"/>
        <v>0</v>
      </c>
      <c r="AD196" s="13">
        <f t="shared" si="106"/>
        <v>0</v>
      </c>
      <c r="AE196" s="13">
        <f t="shared" si="107"/>
        <v>0</v>
      </c>
      <c r="AF196" s="13">
        <f t="shared" si="108"/>
        <v>0</v>
      </c>
      <c r="AG196" s="685">
        <f t="shared" si="109"/>
        <v>0</v>
      </c>
      <c r="AH196" s="688" t="b">
        <f t="shared" si="110"/>
        <v>1</v>
      </c>
    </row>
    <row r="197" spans="1:34" s="1" customFormat="1" ht="15" customHeight="1">
      <c r="A197" s="946">
        <v>10910006</v>
      </c>
      <c r="B197" s="946" t="s">
        <v>600</v>
      </c>
      <c r="C197" s="946">
        <v>6115904000324</v>
      </c>
      <c r="D197" s="946">
        <v>100000014</v>
      </c>
      <c r="E197" s="946" t="s">
        <v>23</v>
      </c>
      <c r="F197" s="946" t="s">
        <v>26</v>
      </c>
      <c r="G197" s="947">
        <v>1000.95</v>
      </c>
      <c r="H197" s="947">
        <v>1425.04</v>
      </c>
      <c r="I197" s="949">
        <v>46027</v>
      </c>
      <c r="J197" s="949">
        <v>46058</v>
      </c>
      <c r="K197" s="949">
        <v>46058</v>
      </c>
      <c r="L197" s="29" t="e">
        <f>VLOOKUP(A197,'Account Mapping'!$A$2:$E$216,3,0)</f>
        <v>#N/A</v>
      </c>
      <c r="M197" s="25" t="e">
        <f>VLOOKUP(A197,'Account Mapping'!$A$2:$E$216,4,0)</f>
        <v>#N/A</v>
      </c>
      <c r="N197" s="26" t="e">
        <f>IF(OR(C197='Account Mapping'!$H$4,C197='Account Mapping'!$H$5,C197='Account Mapping'!$H$6),'Account Mapping'!$I$4,VLOOKUP(A197,'Account Mapping'!$A$2:$E$216,5,0))</f>
        <v>#N/A</v>
      </c>
      <c r="O197" s="27" t="e">
        <f>IF(OR(L197="Loan",L197="Deposit_Liability",L197="OFF_Unused Loan Commitment",L197="HQLA"),VLOOKUP(D197,'Customer Type'!$A$3:$C$38,3,0),"")</f>
        <v>#N/A</v>
      </c>
      <c r="P197" s="656" t="e">
        <f t="shared" si="98"/>
        <v>#N/A</v>
      </c>
      <c r="Q197" s="658">
        <f>IF(COUNTIF('Account Mapping'!$H$12:$H$45,A197)&gt;0,-H197,H197)</f>
        <v>1425.04</v>
      </c>
      <c r="R197" s="249" t="e">
        <f>VLOOKUP(P197,Assumptions!$C$2:$D$64,2,0)</f>
        <v>#N/A</v>
      </c>
      <c r="S197" s="692">
        <f>IFERROR(VLOOKUP(A197,'Maturity Adjustment'!$A$3:$C$81,3,0),(IF(J197&lt;$N$4,"Tomorrow",J197)))</f>
        <v>46058</v>
      </c>
      <c r="T197" s="24">
        <f t="shared" si="113"/>
        <v>0</v>
      </c>
      <c r="U197" s="196" t="e">
        <f t="shared" si="99"/>
        <v>#N/A</v>
      </c>
      <c r="V197" s="11">
        <f>IFERROR(VLOOKUP(A197,'Maturity Adjustment'!$A$86:$C$91,3,0),S197)</f>
        <v>46058</v>
      </c>
      <c r="W197" s="207" t="e">
        <f>VLOOKUP(A197,'Account Mapping'!$A$2:$F$216,6,0)</f>
        <v>#N/A</v>
      </c>
      <c r="X197" s="194">
        <f t="shared" si="100"/>
        <v>1425.04</v>
      </c>
      <c r="Y197" s="194">
        <f t="shared" si="101"/>
        <v>0</v>
      </c>
      <c r="Z197" s="13">
        <f t="shared" si="102"/>
        <v>0</v>
      </c>
      <c r="AA197" s="13">
        <f t="shared" si="103"/>
        <v>0</v>
      </c>
      <c r="AB197" s="13">
        <f t="shared" si="104"/>
        <v>0</v>
      </c>
      <c r="AC197" s="13">
        <f t="shared" si="105"/>
        <v>0</v>
      </c>
      <c r="AD197" s="13">
        <f t="shared" si="106"/>
        <v>0</v>
      </c>
      <c r="AE197" s="13">
        <f t="shared" si="107"/>
        <v>0</v>
      </c>
      <c r="AF197" s="13">
        <f t="shared" si="108"/>
        <v>0</v>
      </c>
      <c r="AG197" s="685">
        <f t="shared" si="109"/>
        <v>0</v>
      </c>
      <c r="AH197" s="688" t="b">
        <f t="shared" si="110"/>
        <v>1</v>
      </c>
    </row>
    <row r="198" spans="1:34" s="1" customFormat="1" ht="15" customHeight="1">
      <c r="A198" s="946">
        <v>10910006</v>
      </c>
      <c r="B198" s="946" t="s">
        <v>600</v>
      </c>
      <c r="C198" s="946">
        <v>6115904000331</v>
      </c>
      <c r="D198" s="946">
        <v>100000014</v>
      </c>
      <c r="E198" s="946" t="s">
        <v>23</v>
      </c>
      <c r="F198" s="946" t="s">
        <v>26</v>
      </c>
      <c r="G198" s="947">
        <v>961.45</v>
      </c>
      <c r="H198" s="947">
        <v>1368.81</v>
      </c>
      <c r="I198" s="948"/>
      <c r="J198" s="948"/>
      <c r="K198" s="948"/>
      <c r="L198" s="29" t="e">
        <f>VLOOKUP(A198,'Account Mapping'!$A$2:$E$216,3,0)</f>
        <v>#N/A</v>
      </c>
      <c r="M198" s="25" t="e">
        <f>VLOOKUP(A198,'Account Mapping'!$A$2:$E$216,4,0)</f>
        <v>#N/A</v>
      </c>
      <c r="N198" s="26" t="e">
        <f>IF(OR(C198='Account Mapping'!$H$4,C198='Account Mapping'!$H$5,C198='Account Mapping'!$H$6),'Account Mapping'!$I$4,VLOOKUP(A198,'Account Mapping'!$A$2:$E$216,5,0))</f>
        <v>#N/A</v>
      </c>
      <c r="O198" s="27" t="e">
        <f>IF(OR(L198="Loan",L198="Deposit_Liability",L198="OFF_Unused Loan Commitment",L198="HQLA"),VLOOKUP(D198,'Customer Type'!$A$3:$C$38,3,0),"")</f>
        <v>#N/A</v>
      </c>
      <c r="P198" s="656" t="e">
        <f t="shared" si="98"/>
        <v>#N/A</v>
      </c>
      <c r="Q198" s="658">
        <f>IF(COUNTIF('Account Mapping'!$H$12:$H$45,A198)&gt;0,-H198,H198)</f>
        <v>1368.81</v>
      </c>
      <c r="R198" s="249" t="e">
        <f>VLOOKUP(P198,Assumptions!$C$2:$D$64,2,0)</f>
        <v>#N/A</v>
      </c>
      <c r="S198" s="692" t="str">
        <f>IFERROR(VLOOKUP(A198,'Maturity Adjustment'!$A$3:$C$81,3,0),(IF(J198&lt;$N$4,"Tomorrow",J198)))</f>
        <v>Tomorrow</v>
      </c>
      <c r="T198" s="24">
        <f t="shared" si="113"/>
        <v>1</v>
      </c>
      <c r="U198" s="196" t="e">
        <f t="shared" si="99"/>
        <v>#N/A</v>
      </c>
      <c r="V198" s="11" t="str">
        <f>IFERROR(VLOOKUP(A198,'Maturity Adjustment'!$A$86:$C$91,3,0),S198)</f>
        <v>Tomorrow</v>
      </c>
      <c r="W198" s="207" t="e">
        <f>VLOOKUP(A198,'Account Mapping'!$A$2:$F$216,6,0)</f>
        <v>#N/A</v>
      </c>
      <c r="X198" s="194">
        <f t="shared" si="100"/>
        <v>1368.81</v>
      </c>
      <c r="Y198" s="194">
        <f t="shared" si="101"/>
        <v>0</v>
      </c>
      <c r="Z198" s="13">
        <f t="shared" si="102"/>
        <v>0</v>
      </c>
      <c r="AA198" s="13">
        <f t="shared" si="103"/>
        <v>0</v>
      </c>
      <c r="AB198" s="13">
        <f t="shared" si="104"/>
        <v>0</v>
      </c>
      <c r="AC198" s="13">
        <f t="shared" si="105"/>
        <v>0</v>
      </c>
      <c r="AD198" s="13">
        <f t="shared" si="106"/>
        <v>0</v>
      </c>
      <c r="AE198" s="13">
        <f t="shared" si="107"/>
        <v>0</v>
      </c>
      <c r="AF198" s="13">
        <f t="shared" si="108"/>
        <v>0</v>
      </c>
      <c r="AG198" s="685">
        <f t="shared" si="109"/>
        <v>0</v>
      </c>
      <c r="AH198" s="688" t="b">
        <f t="shared" si="110"/>
        <v>1</v>
      </c>
    </row>
    <row r="199" spans="1:34" s="1" customFormat="1" ht="15" customHeight="1">
      <c r="A199" s="946">
        <v>10910006</v>
      </c>
      <c r="B199" s="946" t="s">
        <v>600</v>
      </c>
      <c r="C199" s="946">
        <v>6115904000349</v>
      </c>
      <c r="D199" s="946">
        <v>100000014</v>
      </c>
      <c r="E199" s="946" t="s">
        <v>23</v>
      </c>
      <c r="F199" s="946" t="s">
        <v>26</v>
      </c>
      <c r="G199" s="947">
        <v>3913.07</v>
      </c>
      <c r="H199" s="947">
        <v>5571</v>
      </c>
      <c r="I199" s="949"/>
      <c r="J199" s="949"/>
      <c r="K199" s="949"/>
      <c r="L199" s="29" t="e">
        <f>VLOOKUP(A199,'Account Mapping'!$A$2:$E$216,3,0)</f>
        <v>#N/A</v>
      </c>
      <c r="M199" s="25" t="e">
        <f>VLOOKUP(A199,'Account Mapping'!$A$2:$E$216,4,0)</f>
        <v>#N/A</v>
      </c>
      <c r="N199" s="26" t="e">
        <f>IF(OR(C199='Account Mapping'!$H$4,C199='Account Mapping'!$H$5,C199='Account Mapping'!$H$6),'Account Mapping'!$I$4,VLOOKUP(A199,'Account Mapping'!$A$2:$E$216,5,0))</f>
        <v>#N/A</v>
      </c>
      <c r="O199" s="27" t="e">
        <f>IF(OR(L199="Loan",L199="Deposit_Liability",L199="OFF_Unused Loan Commitment",L199="HQLA"),VLOOKUP(D199,'Customer Type'!$A$3:$C$38,3,0),"")</f>
        <v>#N/A</v>
      </c>
      <c r="P199" s="656" t="e">
        <f t="shared" si="98"/>
        <v>#N/A</v>
      </c>
      <c r="Q199" s="658">
        <f>IF(COUNTIF('Account Mapping'!$H$12:$H$45,A199)&gt;0,-H199,H199)</f>
        <v>5571</v>
      </c>
      <c r="R199" s="249" t="e">
        <f>VLOOKUP(P199,Assumptions!$C$2:$D$64,2,0)</f>
        <v>#N/A</v>
      </c>
      <c r="S199" s="692" t="str">
        <f>IFERROR(VLOOKUP(A199,'Maturity Adjustment'!$A$3:$C$81,3,0),(IF(J199&lt;$N$4,"Tomorrow",J199)))</f>
        <v>Tomorrow</v>
      </c>
      <c r="T199" s="24">
        <f t="shared" si="113"/>
        <v>1</v>
      </c>
      <c r="U199" s="196" t="e">
        <f t="shared" si="99"/>
        <v>#N/A</v>
      </c>
      <c r="V199" s="11" t="str">
        <f>IFERROR(VLOOKUP(A199,'Maturity Adjustment'!$A$86:$C$91,3,0),S199)</f>
        <v>Tomorrow</v>
      </c>
      <c r="W199" s="207" t="e">
        <f>VLOOKUP(A199,'Account Mapping'!$A$2:$F$216,6,0)</f>
        <v>#N/A</v>
      </c>
      <c r="X199" s="194">
        <f t="shared" si="100"/>
        <v>5571</v>
      </c>
      <c r="Y199" s="194">
        <f t="shared" si="101"/>
        <v>0</v>
      </c>
      <c r="Z199" s="13">
        <f t="shared" si="102"/>
        <v>0</v>
      </c>
      <c r="AA199" s="13">
        <f t="shared" si="103"/>
        <v>0</v>
      </c>
      <c r="AB199" s="13">
        <f t="shared" si="104"/>
        <v>0</v>
      </c>
      <c r="AC199" s="13">
        <f t="shared" si="105"/>
        <v>0</v>
      </c>
      <c r="AD199" s="13">
        <f t="shared" si="106"/>
        <v>0</v>
      </c>
      <c r="AE199" s="13">
        <f t="shared" si="107"/>
        <v>0</v>
      </c>
      <c r="AF199" s="13">
        <f t="shared" si="108"/>
        <v>0</v>
      </c>
      <c r="AG199" s="685">
        <f t="shared" si="109"/>
        <v>0</v>
      </c>
      <c r="AH199" s="688" t="b">
        <f t="shared" si="110"/>
        <v>1</v>
      </c>
    </row>
    <row r="200" spans="1:34" s="1" customFormat="1" ht="15" customHeight="1">
      <c r="A200" s="946">
        <v>10910006</v>
      </c>
      <c r="B200" s="946" t="s">
        <v>600</v>
      </c>
      <c r="C200" s="946">
        <v>6115904000356</v>
      </c>
      <c r="D200" s="946">
        <v>100000014</v>
      </c>
      <c r="E200" s="946" t="s">
        <v>23</v>
      </c>
      <c r="F200" s="946" t="s">
        <v>26</v>
      </c>
      <c r="G200" s="947">
        <v>1087.03</v>
      </c>
      <c r="H200" s="947">
        <v>1547.59</v>
      </c>
      <c r="I200" s="948"/>
      <c r="J200" s="948"/>
      <c r="K200" s="948"/>
      <c r="L200" s="29" t="e">
        <f>VLOOKUP(A200,'Account Mapping'!$A$2:$E$216,3,0)</f>
        <v>#N/A</v>
      </c>
      <c r="M200" s="25" t="e">
        <f>VLOOKUP(A200,'Account Mapping'!$A$2:$E$216,4,0)</f>
        <v>#N/A</v>
      </c>
      <c r="N200" s="26" t="e">
        <f>IF(OR(C200='Account Mapping'!$H$4,C200='Account Mapping'!$H$5,C200='Account Mapping'!$H$6),'Account Mapping'!$I$4,VLOOKUP(A200,'Account Mapping'!$A$2:$E$216,5,0))</f>
        <v>#N/A</v>
      </c>
      <c r="O200" s="27" t="e">
        <f>IF(OR(L200="Loan",L200="Deposit_Liability",L200="OFF_Unused Loan Commitment",L200="HQLA"),VLOOKUP(D200,'Customer Type'!$A$3:$C$38,3,0),"")</f>
        <v>#N/A</v>
      </c>
      <c r="P200" s="656" t="e">
        <f t="shared" ref="P200:P263" si="114">M200&amp;"_"&amp;O200</f>
        <v>#N/A</v>
      </c>
      <c r="Q200" s="658">
        <f>IF(COUNTIF('Account Mapping'!$H$12:$H$45,A200)&gt;0,-H200,H200)</f>
        <v>1547.59</v>
      </c>
      <c r="R200" s="249" t="e">
        <f>VLOOKUP(P200,Assumptions!$C$2:$D$64,2,0)</f>
        <v>#N/A</v>
      </c>
      <c r="S200" s="692" t="str">
        <f>IFERROR(VLOOKUP(A200,'Maturity Adjustment'!$A$3:$C$81,3,0),(IF(J200&lt;$N$4,"Tomorrow",J200)))</f>
        <v>Tomorrow</v>
      </c>
      <c r="T200" s="24">
        <f t="shared" si="113"/>
        <v>1</v>
      </c>
      <c r="U200" s="196" t="e">
        <f t="shared" ref="U200:U263" si="115">Q200*R200</f>
        <v>#N/A</v>
      </c>
      <c r="V200" s="11" t="str">
        <f>IFERROR(VLOOKUP(A200,'Maturity Adjustment'!$A$86:$C$91,3,0),S200)</f>
        <v>Tomorrow</v>
      </c>
      <c r="W200" s="207" t="e">
        <f>VLOOKUP(A200,'Account Mapping'!$A$2:$F$216,6,0)</f>
        <v>#N/A</v>
      </c>
      <c r="X200" s="194">
        <f t="shared" ref="X200:X263" si="116">IF(V200="Tomorrow",Q200,IF(AND(V200&gt;$X$4-1,V200&lt;$X$5),Q200,IF(V200=$X$5,Q200,0)))</f>
        <v>1547.59</v>
      </c>
      <c r="Y200" s="194">
        <f t="shared" ref="Y200:Y263" si="117">IF(AND(V200&gt;$Y$4-1,V200&lt;$Y$5),Q200,IF(V200=$Y$5,Q200,0))</f>
        <v>0</v>
      </c>
      <c r="Z200" s="13">
        <f t="shared" ref="Z200:Z263" si="118">IF(AND(V200&gt;$Z$4-1,V200&lt;$Z$5),Q200,IF(V200=$Z$5,Q200,0))</f>
        <v>0</v>
      </c>
      <c r="AA200" s="13">
        <f t="shared" ref="AA200:AA263" si="119">IF(AND(V200&gt;$AA$4-1,V200&lt;$AA$5),Q200,IF(V200=$AA$5,Q200,0))</f>
        <v>0</v>
      </c>
      <c r="AB200" s="13">
        <f t="shared" ref="AB200:AB263" si="120">IF(AND(V200&gt;$AB$4-1,V200&lt;$AB$5),Q200,IF(V200=$AB$5,Q200,0))</f>
        <v>0</v>
      </c>
      <c r="AC200" s="13">
        <f t="shared" ref="AC200:AC263" si="121">IF(AND(V200&gt;$AC$4-1,V200&lt;$AC$5),Q200,IF(V200=$AC$5,Q200,0))</f>
        <v>0</v>
      </c>
      <c r="AD200" s="13">
        <f t="shared" ref="AD200:AD263" si="122">IF(AND(V200&gt;$AD$4-1,V200&lt;$AD$5),Q200,IF(V200=$AD$5,Q200,0))</f>
        <v>0</v>
      </c>
      <c r="AE200" s="13">
        <f t="shared" ref="AE200:AE263" si="123">IF(AND(V200&gt;$AE$4-1,V200&lt;$AE$5),Q200,IF(V200=$AE$5,Q200,0))</f>
        <v>0</v>
      </c>
      <c r="AF200" s="13">
        <f t="shared" ref="AF200:AF263" si="124">IF(AND(V200&gt;$AF$4-1,V200&lt;$AF$5),Q200,IF(V200=$AF$5,Q200,0))</f>
        <v>0</v>
      </c>
      <c r="AG200" s="685">
        <f t="shared" ref="AG200:AG263" si="125">IF(AND(V200&gt;$AG$4-1,V200&lt;$AG$5),Q200,IF(V200=$AG$5,Q200,0))</f>
        <v>0</v>
      </c>
      <c r="AH200" s="688" t="b">
        <f t="shared" ref="AH200:AH263" si="126">Q200=SUM(X200:AG200)</f>
        <v>1</v>
      </c>
    </row>
    <row r="201" spans="1:34" s="1" customFormat="1" ht="15" customHeight="1">
      <c r="A201" s="946">
        <v>10910006</v>
      </c>
      <c r="B201" s="946" t="s">
        <v>600</v>
      </c>
      <c r="C201" s="946">
        <v>6115904000363</v>
      </c>
      <c r="D201" s="946">
        <v>100000014</v>
      </c>
      <c r="E201" s="946" t="s">
        <v>23</v>
      </c>
      <c r="F201" s="946" t="s">
        <v>26</v>
      </c>
      <c r="G201" s="947">
        <v>8082.73</v>
      </c>
      <c r="H201" s="947">
        <v>11507.3</v>
      </c>
      <c r="I201" s="948"/>
      <c r="J201" s="948"/>
      <c r="K201" s="948"/>
      <c r="L201" s="29" t="e">
        <f>VLOOKUP(A201,'Account Mapping'!$A$2:$E$216,3,0)</f>
        <v>#N/A</v>
      </c>
      <c r="M201" s="25" t="e">
        <f>VLOOKUP(A201,'Account Mapping'!$A$2:$E$216,4,0)</f>
        <v>#N/A</v>
      </c>
      <c r="N201" s="26" t="e">
        <f>IF(OR(C201='Account Mapping'!$H$4,C201='Account Mapping'!$H$5,C201='Account Mapping'!$H$6),'Account Mapping'!$I$4,VLOOKUP(A201,'Account Mapping'!$A$2:$E$216,5,0))</f>
        <v>#N/A</v>
      </c>
      <c r="O201" s="27" t="e">
        <f>IF(OR(L201="Loan",L201="Deposit_Liability",L201="OFF_Unused Loan Commitment",L201="HQLA"),VLOOKUP(D201,'Customer Type'!$A$3:$C$38,3,0),"")</f>
        <v>#N/A</v>
      </c>
      <c r="P201" s="656" t="e">
        <f t="shared" si="114"/>
        <v>#N/A</v>
      </c>
      <c r="Q201" s="658">
        <f>IF(COUNTIF('Account Mapping'!$H$12:$H$45,A201)&gt;0,-H201,H201)</f>
        <v>11507.3</v>
      </c>
      <c r="R201" s="249" t="e">
        <f>VLOOKUP(P201,Assumptions!$C$2:$D$64,2,0)</f>
        <v>#N/A</v>
      </c>
      <c r="S201" s="692" t="str">
        <f>IFERROR(VLOOKUP(A201,'Maturity Adjustment'!$A$3:$C$81,3,0),(IF(J201&lt;$N$4,"Tomorrow",J201)))</f>
        <v>Tomorrow</v>
      </c>
      <c r="T201" s="24">
        <f t="shared" si="113"/>
        <v>1</v>
      </c>
      <c r="U201" s="196" t="e">
        <f t="shared" si="115"/>
        <v>#N/A</v>
      </c>
      <c r="V201" s="11" t="str">
        <f>IFERROR(VLOOKUP(A201,'Maturity Adjustment'!$A$86:$C$91,3,0),S201)</f>
        <v>Tomorrow</v>
      </c>
      <c r="W201" s="207" t="e">
        <f>VLOOKUP(A201,'Account Mapping'!$A$2:$F$216,6,0)</f>
        <v>#N/A</v>
      </c>
      <c r="X201" s="194">
        <f t="shared" si="116"/>
        <v>11507.3</v>
      </c>
      <c r="Y201" s="194">
        <f t="shared" si="117"/>
        <v>0</v>
      </c>
      <c r="Z201" s="13">
        <f t="shared" si="118"/>
        <v>0</v>
      </c>
      <c r="AA201" s="13">
        <f t="shared" si="119"/>
        <v>0</v>
      </c>
      <c r="AB201" s="13">
        <f t="shared" si="120"/>
        <v>0</v>
      </c>
      <c r="AC201" s="13">
        <f t="shared" si="121"/>
        <v>0</v>
      </c>
      <c r="AD201" s="13">
        <f t="shared" si="122"/>
        <v>0</v>
      </c>
      <c r="AE201" s="13">
        <f t="shared" si="123"/>
        <v>0</v>
      </c>
      <c r="AF201" s="13">
        <f t="shared" si="124"/>
        <v>0</v>
      </c>
      <c r="AG201" s="685">
        <f t="shared" si="125"/>
        <v>0</v>
      </c>
      <c r="AH201" s="688" t="b">
        <f t="shared" si="126"/>
        <v>1</v>
      </c>
    </row>
    <row r="202" spans="1:34" s="1" customFormat="1" ht="15" customHeight="1">
      <c r="A202" s="946">
        <v>10910006</v>
      </c>
      <c r="B202" s="946" t="s">
        <v>600</v>
      </c>
      <c r="C202" s="946">
        <v>6115904000370</v>
      </c>
      <c r="D202" s="946">
        <v>100000014</v>
      </c>
      <c r="E202" s="946" t="s">
        <v>23</v>
      </c>
      <c r="F202" s="946" t="s">
        <v>26</v>
      </c>
      <c r="G202" s="947">
        <v>1134.82</v>
      </c>
      <c r="H202" s="947">
        <v>1615.63</v>
      </c>
      <c r="I202" s="948"/>
      <c r="J202" s="948"/>
      <c r="K202" s="948"/>
      <c r="L202" s="29" t="e">
        <f>VLOOKUP(A202,'Account Mapping'!$A$2:$E$216,3,0)</f>
        <v>#N/A</v>
      </c>
      <c r="M202" s="25" t="e">
        <f>VLOOKUP(A202,'Account Mapping'!$A$2:$E$216,4,0)</f>
        <v>#N/A</v>
      </c>
      <c r="N202" s="26" t="e">
        <f>IF(OR(C202='Account Mapping'!$H$4,C202='Account Mapping'!$H$5,C202='Account Mapping'!$H$6),'Account Mapping'!$I$4,VLOOKUP(A202,'Account Mapping'!$A$2:$E$216,5,0))</f>
        <v>#N/A</v>
      </c>
      <c r="O202" s="27" t="e">
        <f>IF(OR(L202="Loan",L202="Deposit_Liability",L202="OFF_Unused Loan Commitment",L202="HQLA"),VLOOKUP(D202,'Customer Type'!$A$3:$C$38,3,0),"")</f>
        <v>#N/A</v>
      </c>
      <c r="P202" s="656" t="e">
        <f t="shared" si="114"/>
        <v>#N/A</v>
      </c>
      <c r="Q202" s="658">
        <f>IF(COUNTIF('Account Mapping'!$H$12:$H$45,A202)&gt;0,-H202,H202)</f>
        <v>1615.63</v>
      </c>
      <c r="R202" s="249" t="e">
        <f>VLOOKUP(P202,Assumptions!$C$2:$D$64,2,0)</f>
        <v>#N/A</v>
      </c>
      <c r="S202" s="692" t="str">
        <f>IFERROR(VLOOKUP(A202,'Maturity Adjustment'!$A$3:$C$81,3,0),(IF(J202&lt;$N$4,"Tomorrow",J202)))</f>
        <v>Tomorrow</v>
      </c>
      <c r="T202" s="24">
        <f t="shared" si="113"/>
        <v>1</v>
      </c>
      <c r="U202" s="196" t="e">
        <f t="shared" si="115"/>
        <v>#N/A</v>
      </c>
      <c r="V202" s="11" t="str">
        <f>IFERROR(VLOOKUP(A202,'Maturity Adjustment'!$A$86:$C$91,3,0),S202)</f>
        <v>Tomorrow</v>
      </c>
      <c r="W202" s="207" t="e">
        <f>VLOOKUP(A202,'Account Mapping'!$A$2:$F$216,6,0)</f>
        <v>#N/A</v>
      </c>
      <c r="X202" s="194">
        <f t="shared" si="116"/>
        <v>1615.63</v>
      </c>
      <c r="Y202" s="194">
        <f t="shared" si="117"/>
        <v>0</v>
      </c>
      <c r="Z202" s="13">
        <f t="shared" si="118"/>
        <v>0</v>
      </c>
      <c r="AA202" s="13">
        <f t="shared" si="119"/>
        <v>0</v>
      </c>
      <c r="AB202" s="13">
        <f t="shared" si="120"/>
        <v>0</v>
      </c>
      <c r="AC202" s="13">
        <f t="shared" si="121"/>
        <v>0</v>
      </c>
      <c r="AD202" s="13">
        <f t="shared" si="122"/>
        <v>0</v>
      </c>
      <c r="AE202" s="13">
        <f t="shared" si="123"/>
        <v>0</v>
      </c>
      <c r="AF202" s="13">
        <f t="shared" si="124"/>
        <v>0</v>
      </c>
      <c r="AG202" s="685">
        <f t="shared" si="125"/>
        <v>0</v>
      </c>
      <c r="AH202" s="688" t="b">
        <f t="shared" si="126"/>
        <v>1</v>
      </c>
    </row>
    <row r="203" spans="1:34" s="1" customFormat="1" ht="15" customHeight="1">
      <c r="A203" s="946">
        <v>10910006</v>
      </c>
      <c r="B203" s="946" t="s">
        <v>600</v>
      </c>
      <c r="C203" s="946">
        <v>6115904000388</v>
      </c>
      <c r="D203" s="946">
        <v>100000014</v>
      </c>
      <c r="E203" s="946" t="s">
        <v>23</v>
      </c>
      <c r="F203" s="946" t="s">
        <v>26</v>
      </c>
      <c r="G203" s="947">
        <v>6286.56</v>
      </c>
      <c r="H203" s="947">
        <v>8950.11</v>
      </c>
      <c r="I203" s="948"/>
      <c r="J203" s="948"/>
      <c r="K203" s="948"/>
      <c r="L203" s="29" t="e">
        <f>VLOOKUP(A203,'Account Mapping'!$A$2:$E$216,3,0)</f>
        <v>#N/A</v>
      </c>
      <c r="M203" s="25" t="e">
        <f>VLOOKUP(A203,'Account Mapping'!$A$2:$E$216,4,0)</f>
        <v>#N/A</v>
      </c>
      <c r="N203" s="26" t="e">
        <f>IF(OR(C203='Account Mapping'!$H$4,C203='Account Mapping'!$H$5,C203='Account Mapping'!$H$6),'Account Mapping'!$I$4,VLOOKUP(A203,'Account Mapping'!$A$2:$E$216,5,0))</f>
        <v>#N/A</v>
      </c>
      <c r="O203" s="27" t="e">
        <f>IF(OR(L203="Loan",L203="Deposit_Liability",L203="OFF_Unused Loan Commitment",L203="HQLA"),VLOOKUP(D203,'Customer Type'!$A$3:$C$38,3,0),"")</f>
        <v>#N/A</v>
      </c>
      <c r="P203" s="656" t="e">
        <f t="shared" si="114"/>
        <v>#N/A</v>
      </c>
      <c r="Q203" s="658">
        <f>IF(COUNTIF('Account Mapping'!$H$12:$H$45,A203)&gt;0,-H203,H203)</f>
        <v>8950.11</v>
      </c>
      <c r="R203" s="249" t="e">
        <f>VLOOKUP(P203,Assumptions!$C$2:$D$64,2,0)</f>
        <v>#N/A</v>
      </c>
      <c r="S203" s="692" t="str">
        <f>IFERROR(VLOOKUP(A203,'Maturity Adjustment'!$A$3:$C$81,3,0),(IF(J203&lt;$N$4,"Tomorrow",J203)))</f>
        <v>Tomorrow</v>
      </c>
      <c r="T203" s="24">
        <f t="shared" si="113"/>
        <v>1</v>
      </c>
      <c r="U203" s="196" t="e">
        <f t="shared" si="115"/>
        <v>#N/A</v>
      </c>
      <c r="V203" s="11" t="str">
        <f>IFERROR(VLOOKUP(A203,'Maturity Adjustment'!$A$86:$C$91,3,0),S203)</f>
        <v>Tomorrow</v>
      </c>
      <c r="W203" s="207" t="e">
        <f>VLOOKUP(A203,'Account Mapping'!$A$2:$F$216,6,0)</f>
        <v>#N/A</v>
      </c>
      <c r="X203" s="194">
        <f t="shared" si="116"/>
        <v>8950.11</v>
      </c>
      <c r="Y203" s="194">
        <f t="shared" si="117"/>
        <v>0</v>
      </c>
      <c r="Z203" s="13">
        <f t="shared" si="118"/>
        <v>0</v>
      </c>
      <c r="AA203" s="13">
        <f t="shared" si="119"/>
        <v>0</v>
      </c>
      <c r="AB203" s="13">
        <f t="shared" si="120"/>
        <v>0</v>
      </c>
      <c r="AC203" s="13">
        <f t="shared" si="121"/>
        <v>0</v>
      </c>
      <c r="AD203" s="13">
        <f t="shared" si="122"/>
        <v>0</v>
      </c>
      <c r="AE203" s="13">
        <f t="shared" si="123"/>
        <v>0</v>
      </c>
      <c r="AF203" s="13">
        <f t="shared" si="124"/>
        <v>0</v>
      </c>
      <c r="AG203" s="685">
        <f t="shared" si="125"/>
        <v>0</v>
      </c>
      <c r="AH203" s="688" t="b">
        <f t="shared" si="126"/>
        <v>1</v>
      </c>
    </row>
    <row r="204" spans="1:34" s="1" customFormat="1" ht="15" customHeight="1">
      <c r="A204" s="946">
        <v>10910006</v>
      </c>
      <c r="B204" s="946" t="s">
        <v>600</v>
      </c>
      <c r="C204" s="946">
        <v>6115904000395</v>
      </c>
      <c r="D204" s="946">
        <v>100000033</v>
      </c>
      <c r="E204" s="946" t="s">
        <v>1254</v>
      </c>
      <c r="F204" s="946" t="s">
        <v>26</v>
      </c>
      <c r="G204" s="947">
        <v>24917.5</v>
      </c>
      <c r="H204" s="947">
        <v>35474.800000000003</v>
      </c>
      <c r="I204" s="948">
        <v>46052</v>
      </c>
      <c r="J204" s="948">
        <v>46079</v>
      </c>
      <c r="K204" s="948">
        <v>46079</v>
      </c>
      <c r="L204" s="29" t="e">
        <f>VLOOKUP(A204,'Account Mapping'!$A$2:$E$216,3,0)</f>
        <v>#N/A</v>
      </c>
      <c r="M204" s="25" t="e">
        <f>VLOOKUP(A204,'Account Mapping'!$A$2:$E$216,4,0)</f>
        <v>#N/A</v>
      </c>
      <c r="N204" s="26" t="e">
        <f>IF(OR(C204='Account Mapping'!$H$4,C204='Account Mapping'!$H$5,C204='Account Mapping'!$H$6),'Account Mapping'!$I$4,VLOOKUP(A204,'Account Mapping'!$A$2:$E$216,5,0))</f>
        <v>#N/A</v>
      </c>
      <c r="O204" s="27" t="e">
        <f>IF(OR(L204="Loan",L204="Deposit_Liability",L204="OFF_Unused Loan Commitment",L204="HQLA"),VLOOKUP(D204,'Customer Type'!$A$3:$C$38,3,0),"")</f>
        <v>#N/A</v>
      </c>
      <c r="P204" s="656" t="e">
        <f t="shared" si="114"/>
        <v>#N/A</v>
      </c>
      <c r="Q204" s="658">
        <f>IF(COUNTIF('Account Mapping'!$H$12:$H$45,A204)&gt;0,-H204,H204)</f>
        <v>35474.800000000003</v>
      </c>
      <c r="R204" s="249" t="e">
        <f>VLOOKUP(P204,Assumptions!$C$2:$D$64,2,0)</f>
        <v>#N/A</v>
      </c>
      <c r="S204" s="692">
        <f>IFERROR(VLOOKUP(A204,'Maturity Adjustment'!$A$3:$C$81,3,0),(IF(J204&lt;$N$4,"Tomorrow",J204)))</f>
        <v>46079</v>
      </c>
      <c r="T204" s="24">
        <f t="shared" si="113"/>
        <v>21</v>
      </c>
      <c r="U204" s="196" t="e">
        <f t="shared" si="115"/>
        <v>#N/A</v>
      </c>
      <c r="V204" s="11">
        <f>IFERROR(VLOOKUP(A204,'Maturity Adjustment'!$A$86:$C$91,3,0),S204)</f>
        <v>46079</v>
      </c>
      <c r="W204" s="207" t="e">
        <f>VLOOKUP(A204,'Account Mapping'!$A$2:$F$216,6,0)</f>
        <v>#N/A</v>
      </c>
      <c r="X204" s="194">
        <f t="shared" si="116"/>
        <v>0</v>
      </c>
      <c r="Y204" s="194">
        <f t="shared" si="117"/>
        <v>0</v>
      </c>
      <c r="Z204" s="13">
        <f t="shared" si="118"/>
        <v>35474.800000000003</v>
      </c>
      <c r="AA204" s="13">
        <f t="shared" si="119"/>
        <v>0</v>
      </c>
      <c r="AB204" s="13">
        <f t="shared" si="120"/>
        <v>0</v>
      </c>
      <c r="AC204" s="13">
        <f t="shared" si="121"/>
        <v>0</v>
      </c>
      <c r="AD204" s="13">
        <f t="shared" si="122"/>
        <v>0</v>
      </c>
      <c r="AE204" s="13">
        <f t="shared" si="123"/>
        <v>0</v>
      </c>
      <c r="AF204" s="13">
        <f t="shared" si="124"/>
        <v>0</v>
      </c>
      <c r="AG204" s="685">
        <f t="shared" si="125"/>
        <v>0</v>
      </c>
      <c r="AH204" s="688" t="b">
        <f t="shared" si="126"/>
        <v>1</v>
      </c>
    </row>
    <row r="205" spans="1:34" s="1" customFormat="1" ht="15" customHeight="1">
      <c r="A205" s="946">
        <v>10910006</v>
      </c>
      <c r="B205" s="946" t="s">
        <v>600</v>
      </c>
      <c r="C205" s="946">
        <v>6115904000420</v>
      </c>
      <c r="D205" s="946">
        <v>100000014</v>
      </c>
      <c r="E205" s="946" t="s">
        <v>23</v>
      </c>
      <c r="F205" s="946" t="s">
        <v>26</v>
      </c>
      <c r="G205" s="947">
        <v>1066.5</v>
      </c>
      <c r="H205" s="947">
        <v>1518.37</v>
      </c>
      <c r="I205" s="948"/>
      <c r="J205" s="948"/>
      <c r="K205" s="948"/>
      <c r="L205" s="29" t="e">
        <f>VLOOKUP(A205,'Account Mapping'!$A$2:$E$216,3,0)</f>
        <v>#N/A</v>
      </c>
      <c r="M205" s="25" t="e">
        <f>VLOOKUP(A205,'Account Mapping'!$A$2:$E$216,4,0)</f>
        <v>#N/A</v>
      </c>
      <c r="N205" s="26" t="e">
        <f>IF(OR(C205='Account Mapping'!$H$4,C205='Account Mapping'!$H$5,C205='Account Mapping'!$H$6),'Account Mapping'!$I$4,VLOOKUP(A205,'Account Mapping'!$A$2:$E$216,5,0))</f>
        <v>#N/A</v>
      </c>
      <c r="O205" s="27" t="e">
        <f>IF(OR(L205="Loan",L205="Deposit_Liability",L205="OFF_Unused Loan Commitment",L205="HQLA"),VLOOKUP(D205,'Customer Type'!$A$3:$C$38,3,0),"")</f>
        <v>#N/A</v>
      </c>
      <c r="P205" s="656" t="e">
        <f t="shared" si="114"/>
        <v>#N/A</v>
      </c>
      <c r="Q205" s="658">
        <f>IF(COUNTIF('Account Mapping'!$H$12:$H$45,A205)&gt;0,-H205,H205)</f>
        <v>1518.37</v>
      </c>
      <c r="R205" s="249" t="e">
        <f>VLOOKUP(P205,Assumptions!$C$2:$D$64,2,0)</f>
        <v>#N/A</v>
      </c>
      <c r="S205" s="692" t="str">
        <f>IFERROR(VLOOKUP(A205,'Maturity Adjustment'!$A$3:$C$81,3,0),(IF(J205&lt;$N$4,"Tomorrow",J205)))</f>
        <v>Tomorrow</v>
      </c>
      <c r="T205" s="24">
        <f t="shared" si="113"/>
        <v>1</v>
      </c>
      <c r="U205" s="196" t="e">
        <f t="shared" si="115"/>
        <v>#N/A</v>
      </c>
      <c r="V205" s="11" t="str">
        <f>IFERROR(VLOOKUP(A205,'Maturity Adjustment'!$A$86:$C$91,3,0),S205)</f>
        <v>Tomorrow</v>
      </c>
      <c r="W205" s="207" t="e">
        <f>VLOOKUP(A205,'Account Mapping'!$A$2:$F$216,6,0)</f>
        <v>#N/A</v>
      </c>
      <c r="X205" s="194">
        <f t="shared" si="116"/>
        <v>1518.37</v>
      </c>
      <c r="Y205" s="194">
        <f t="shared" si="117"/>
        <v>0</v>
      </c>
      <c r="Z205" s="13">
        <f t="shared" si="118"/>
        <v>0</v>
      </c>
      <c r="AA205" s="13">
        <f t="shared" si="119"/>
        <v>0</v>
      </c>
      <c r="AB205" s="13">
        <f t="shared" si="120"/>
        <v>0</v>
      </c>
      <c r="AC205" s="13">
        <f t="shared" si="121"/>
        <v>0</v>
      </c>
      <c r="AD205" s="13">
        <f t="shared" si="122"/>
        <v>0</v>
      </c>
      <c r="AE205" s="13">
        <f t="shared" si="123"/>
        <v>0</v>
      </c>
      <c r="AF205" s="13">
        <f t="shared" si="124"/>
        <v>0</v>
      </c>
      <c r="AG205" s="685">
        <f t="shared" si="125"/>
        <v>0</v>
      </c>
      <c r="AH205" s="688" t="b">
        <f t="shared" si="126"/>
        <v>1</v>
      </c>
    </row>
    <row r="206" spans="1:34" s="1" customFormat="1" ht="15" customHeight="1">
      <c r="A206" s="946">
        <v>10910006</v>
      </c>
      <c r="B206" s="946" t="s">
        <v>600</v>
      </c>
      <c r="C206" s="946">
        <v>6115904000438</v>
      </c>
      <c r="D206" s="946">
        <v>100000014</v>
      </c>
      <c r="E206" s="946" t="s">
        <v>23</v>
      </c>
      <c r="F206" s="946" t="s">
        <v>26</v>
      </c>
      <c r="G206" s="947">
        <v>1033.3</v>
      </c>
      <c r="H206" s="947">
        <v>1471.1</v>
      </c>
      <c r="I206" s="949"/>
      <c r="J206" s="949"/>
      <c r="K206" s="949"/>
      <c r="L206" s="29" t="e">
        <f>VLOOKUP(A206,'Account Mapping'!$A$2:$E$216,3,0)</f>
        <v>#N/A</v>
      </c>
      <c r="M206" s="25" t="e">
        <f>VLOOKUP(A206,'Account Mapping'!$A$2:$E$216,4,0)</f>
        <v>#N/A</v>
      </c>
      <c r="N206" s="26" t="e">
        <f>IF(OR(C206='Account Mapping'!$H$4,C206='Account Mapping'!$H$5,C206='Account Mapping'!$H$6),'Account Mapping'!$I$4,VLOOKUP(A206,'Account Mapping'!$A$2:$E$216,5,0))</f>
        <v>#N/A</v>
      </c>
      <c r="O206" s="27" t="e">
        <f>IF(OR(L206="Loan",L206="Deposit_Liability",L206="OFF_Unused Loan Commitment",L206="HQLA"),VLOOKUP(D206,'Customer Type'!$A$3:$C$38,3,0),"")</f>
        <v>#N/A</v>
      </c>
      <c r="P206" s="656" t="e">
        <f t="shared" si="114"/>
        <v>#N/A</v>
      </c>
      <c r="Q206" s="658">
        <f>IF(COUNTIF('Account Mapping'!$H$12:$H$45,A206)&gt;0,-H206,H206)</f>
        <v>1471.1</v>
      </c>
      <c r="R206" s="249" t="e">
        <f>VLOOKUP(P206,Assumptions!$C$2:$D$64,2,0)</f>
        <v>#N/A</v>
      </c>
      <c r="S206" s="692" t="str">
        <f>IFERROR(VLOOKUP(A206,'Maturity Adjustment'!$A$3:$C$81,3,0),(IF(J206&lt;$N$4,"Tomorrow",J206)))</f>
        <v>Tomorrow</v>
      </c>
      <c r="T206" s="24">
        <f t="shared" si="113"/>
        <v>1</v>
      </c>
      <c r="U206" s="196" t="e">
        <f t="shared" si="115"/>
        <v>#N/A</v>
      </c>
      <c r="V206" s="11" t="str">
        <f>IFERROR(VLOOKUP(A206,'Maturity Adjustment'!$A$86:$C$91,3,0),S206)</f>
        <v>Tomorrow</v>
      </c>
      <c r="W206" s="207" t="e">
        <f>VLOOKUP(A206,'Account Mapping'!$A$2:$F$216,6,0)</f>
        <v>#N/A</v>
      </c>
      <c r="X206" s="194">
        <f t="shared" si="116"/>
        <v>1471.1</v>
      </c>
      <c r="Y206" s="194">
        <f t="shared" si="117"/>
        <v>0</v>
      </c>
      <c r="Z206" s="13">
        <f t="shared" si="118"/>
        <v>0</v>
      </c>
      <c r="AA206" s="13">
        <f t="shared" si="119"/>
        <v>0</v>
      </c>
      <c r="AB206" s="13">
        <f t="shared" si="120"/>
        <v>0</v>
      </c>
      <c r="AC206" s="13">
        <f t="shared" si="121"/>
        <v>0</v>
      </c>
      <c r="AD206" s="13">
        <f t="shared" si="122"/>
        <v>0</v>
      </c>
      <c r="AE206" s="13">
        <f t="shared" si="123"/>
        <v>0</v>
      </c>
      <c r="AF206" s="13">
        <f t="shared" si="124"/>
        <v>0</v>
      </c>
      <c r="AG206" s="685">
        <f t="shared" si="125"/>
        <v>0</v>
      </c>
      <c r="AH206" s="688" t="b">
        <f t="shared" si="126"/>
        <v>1</v>
      </c>
    </row>
    <row r="207" spans="1:34" s="1" customFormat="1" ht="15" customHeight="1">
      <c r="A207" s="946">
        <v>10910006</v>
      </c>
      <c r="B207" s="946" t="s">
        <v>600</v>
      </c>
      <c r="C207" s="946">
        <v>6115904000445</v>
      </c>
      <c r="D207" s="946">
        <v>100000014</v>
      </c>
      <c r="E207" s="946" t="s">
        <v>23</v>
      </c>
      <c r="F207" s="946" t="s">
        <v>26</v>
      </c>
      <c r="G207" s="947">
        <v>1796.16</v>
      </c>
      <c r="H207" s="947">
        <v>2557.1799999999998</v>
      </c>
      <c r="I207" s="948"/>
      <c r="J207" s="948"/>
      <c r="K207" s="948"/>
      <c r="L207" s="29" t="e">
        <f>VLOOKUP(A207,'Account Mapping'!$A$2:$E$216,3,0)</f>
        <v>#N/A</v>
      </c>
      <c r="M207" s="25" t="e">
        <f>VLOOKUP(A207,'Account Mapping'!$A$2:$E$216,4,0)</f>
        <v>#N/A</v>
      </c>
      <c r="N207" s="26" t="e">
        <f>IF(OR(C207='Account Mapping'!$H$4,C207='Account Mapping'!$H$5,C207='Account Mapping'!$H$6),'Account Mapping'!$I$4,VLOOKUP(A207,'Account Mapping'!$A$2:$E$216,5,0))</f>
        <v>#N/A</v>
      </c>
      <c r="O207" s="27" t="e">
        <f>IF(OR(L207="Loan",L207="Deposit_Liability",L207="OFF_Unused Loan Commitment",L207="HQLA"),VLOOKUP(D207,'Customer Type'!$A$3:$C$38,3,0),"")</f>
        <v>#N/A</v>
      </c>
      <c r="P207" s="656" t="e">
        <f t="shared" si="114"/>
        <v>#N/A</v>
      </c>
      <c r="Q207" s="658">
        <f>IF(COUNTIF('Account Mapping'!$H$12:$H$45,A207)&gt;0,-H207,H207)</f>
        <v>2557.1799999999998</v>
      </c>
      <c r="R207" s="249" t="e">
        <f>VLOOKUP(P207,Assumptions!$C$2:$D$64,2,0)</f>
        <v>#N/A</v>
      </c>
      <c r="S207" s="692" t="str">
        <f>IFERROR(VLOOKUP(A207,'Maturity Adjustment'!$A$3:$C$81,3,0),(IF(J207&lt;$N$4,"Tomorrow",J207)))</f>
        <v>Tomorrow</v>
      </c>
      <c r="T207" s="24">
        <f t="shared" si="113"/>
        <v>1</v>
      </c>
      <c r="U207" s="196" t="e">
        <f t="shared" si="115"/>
        <v>#N/A</v>
      </c>
      <c r="V207" s="11" t="str">
        <f>IFERROR(VLOOKUP(A207,'Maturity Adjustment'!$A$86:$C$91,3,0),S207)</f>
        <v>Tomorrow</v>
      </c>
      <c r="W207" s="207" t="e">
        <f>VLOOKUP(A207,'Account Mapping'!$A$2:$F$216,6,0)</f>
        <v>#N/A</v>
      </c>
      <c r="X207" s="194">
        <f t="shared" si="116"/>
        <v>2557.1799999999998</v>
      </c>
      <c r="Y207" s="194">
        <f t="shared" si="117"/>
        <v>0</v>
      </c>
      <c r="Z207" s="13">
        <f t="shared" si="118"/>
        <v>0</v>
      </c>
      <c r="AA207" s="13">
        <f t="shared" si="119"/>
        <v>0</v>
      </c>
      <c r="AB207" s="13">
        <f t="shared" si="120"/>
        <v>0</v>
      </c>
      <c r="AC207" s="13">
        <f t="shared" si="121"/>
        <v>0</v>
      </c>
      <c r="AD207" s="13">
        <f t="shared" si="122"/>
        <v>0</v>
      </c>
      <c r="AE207" s="13">
        <f t="shared" si="123"/>
        <v>0</v>
      </c>
      <c r="AF207" s="13">
        <f t="shared" si="124"/>
        <v>0</v>
      </c>
      <c r="AG207" s="685">
        <f t="shared" si="125"/>
        <v>0</v>
      </c>
      <c r="AH207" s="688" t="b">
        <f t="shared" si="126"/>
        <v>1</v>
      </c>
    </row>
    <row r="208" spans="1:34" s="1" customFormat="1" ht="15" customHeight="1">
      <c r="A208" s="946">
        <v>10910006</v>
      </c>
      <c r="B208" s="946" t="s">
        <v>600</v>
      </c>
      <c r="C208" s="946">
        <v>6115904000452</v>
      </c>
      <c r="D208" s="946">
        <v>100000035</v>
      </c>
      <c r="E208" s="946" t="s">
        <v>1277</v>
      </c>
      <c r="F208" s="946" t="s">
        <v>11</v>
      </c>
      <c r="G208" s="947">
        <v>191768.55</v>
      </c>
      <c r="H208" s="947">
        <v>191768.55</v>
      </c>
      <c r="I208" s="948">
        <v>45994</v>
      </c>
      <c r="J208" s="948">
        <v>46084</v>
      </c>
      <c r="K208" s="948">
        <v>46084</v>
      </c>
      <c r="L208" s="29" t="e">
        <f>VLOOKUP(A208,'Account Mapping'!$A$2:$E$216,3,0)</f>
        <v>#N/A</v>
      </c>
      <c r="M208" s="25" t="e">
        <f>VLOOKUP(A208,'Account Mapping'!$A$2:$E$216,4,0)</f>
        <v>#N/A</v>
      </c>
      <c r="N208" s="26" t="e">
        <f>IF(OR(C208='Account Mapping'!$H$4,C208='Account Mapping'!$H$5,C208='Account Mapping'!$H$6),'Account Mapping'!$I$4,VLOOKUP(A208,'Account Mapping'!$A$2:$E$216,5,0))</f>
        <v>#N/A</v>
      </c>
      <c r="O208" s="27" t="e">
        <f>IF(OR(L208="Loan",L208="Deposit_Liability",L208="OFF_Unused Loan Commitment",L208="HQLA"),VLOOKUP(D208,'Customer Type'!$A$3:$C$38,3,0),"")</f>
        <v>#N/A</v>
      </c>
      <c r="P208" s="656" t="e">
        <f t="shared" si="114"/>
        <v>#N/A</v>
      </c>
      <c r="Q208" s="658">
        <f>IF(COUNTIF('Account Mapping'!$H$12:$H$45,A208)&gt;0,-H208,H208)</f>
        <v>191768.55</v>
      </c>
      <c r="R208" s="249" t="e">
        <f>VLOOKUP(P208,Assumptions!$C$2:$D$64,2,0)</f>
        <v>#N/A</v>
      </c>
      <c r="S208" s="692">
        <f>IFERROR(VLOOKUP(A208,'Maturity Adjustment'!$A$3:$C$81,3,0),(IF(J208&lt;$N$4,"Tomorrow",J208)))</f>
        <v>46084</v>
      </c>
      <c r="T208" s="24">
        <f t="shared" si="113"/>
        <v>26</v>
      </c>
      <c r="U208" s="196" t="e">
        <f t="shared" si="115"/>
        <v>#N/A</v>
      </c>
      <c r="V208" s="11">
        <f>IFERROR(VLOOKUP(A208,'Maturity Adjustment'!$A$86:$C$91,3,0),S208)</f>
        <v>46084</v>
      </c>
      <c r="W208" s="207" t="e">
        <f>VLOOKUP(A208,'Account Mapping'!$A$2:$F$216,6,0)</f>
        <v>#N/A</v>
      </c>
      <c r="X208" s="194">
        <f t="shared" si="116"/>
        <v>0</v>
      </c>
      <c r="Y208" s="194">
        <f t="shared" si="117"/>
        <v>0</v>
      </c>
      <c r="Z208" s="13">
        <f t="shared" si="118"/>
        <v>191768.55</v>
      </c>
      <c r="AA208" s="13">
        <f t="shared" si="119"/>
        <v>0</v>
      </c>
      <c r="AB208" s="13">
        <f t="shared" si="120"/>
        <v>0</v>
      </c>
      <c r="AC208" s="13">
        <f t="shared" si="121"/>
        <v>0</v>
      </c>
      <c r="AD208" s="13">
        <f t="shared" si="122"/>
        <v>0</v>
      </c>
      <c r="AE208" s="13">
        <f t="shared" si="123"/>
        <v>0</v>
      </c>
      <c r="AF208" s="13">
        <f t="shared" si="124"/>
        <v>0</v>
      </c>
      <c r="AG208" s="685">
        <f t="shared" si="125"/>
        <v>0</v>
      </c>
      <c r="AH208" s="688" t="b">
        <f t="shared" si="126"/>
        <v>1</v>
      </c>
    </row>
    <row r="209" spans="1:34" s="1" customFormat="1" ht="15" customHeight="1">
      <c r="A209" s="946">
        <v>10910006</v>
      </c>
      <c r="B209" s="946" t="s">
        <v>600</v>
      </c>
      <c r="C209" s="946">
        <v>6115904000460</v>
      </c>
      <c r="D209" s="946">
        <v>100000014</v>
      </c>
      <c r="E209" s="946" t="s">
        <v>23</v>
      </c>
      <c r="F209" s="946" t="s">
        <v>26</v>
      </c>
      <c r="G209" s="947">
        <v>1017.64</v>
      </c>
      <c r="H209" s="947">
        <v>1448.8</v>
      </c>
      <c r="I209" s="948"/>
      <c r="J209" s="948"/>
      <c r="K209" s="948"/>
      <c r="L209" s="29" t="e">
        <f>VLOOKUP(A209,'Account Mapping'!$A$2:$E$216,3,0)</f>
        <v>#N/A</v>
      </c>
      <c r="M209" s="25" t="e">
        <f>VLOOKUP(A209,'Account Mapping'!$A$2:$E$216,4,0)</f>
        <v>#N/A</v>
      </c>
      <c r="N209" s="26" t="e">
        <f>IF(OR(C209='Account Mapping'!$H$4,C209='Account Mapping'!$H$5,C209='Account Mapping'!$H$6),'Account Mapping'!$I$4,VLOOKUP(A209,'Account Mapping'!$A$2:$E$216,5,0))</f>
        <v>#N/A</v>
      </c>
      <c r="O209" s="27" t="e">
        <f>IF(OR(L209="Loan",L209="Deposit_Liability",L209="OFF_Unused Loan Commitment",L209="HQLA"),VLOOKUP(D209,'Customer Type'!$A$3:$C$38,3,0),"")</f>
        <v>#N/A</v>
      </c>
      <c r="P209" s="656" t="e">
        <f t="shared" si="114"/>
        <v>#N/A</v>
      </c>
      <c r="Q209" s="658">
        <f>IF(COUNTIF('Account Mapping'!$H$12:$H$45,A209)&gt;0,-H209,H209)</f>
        <v>1448.8</v>
      </c>
      <c r="R209" s="249" t="e">
        <f>VLOOKUP(P209,Assumptions!$C$2:$D$64,2,0)</f>
        <v>#N/A</v>
      </c>
      <c r="S209" s="692" t="str">
        <f>IFERROR(VLOOKUP(A209,'Maturity Adjustment'!$A$3:$C$81,3,0),(IF(J209&lt;$N$4,"Tomorrow",J209)))</f>
        <v>Tomorrow</v>
      </c>
      <c r="T209" s="24">
        <f t="shared" si="113"/>
        <v>1</v>
      </c>
      <c r="U209" s="196" t="e">
        <f t="shared" si="115"/>
        <v>#N/A</v>
      </c>
      <c r="V209" s="11" t="str">
        <f>IFERROR(VLOOKUP(A209,'Maturity Adjustment'!$A$86:$C$91,3,0),S209)</f>
        <v>Tomorrow</v>
      </c>
      <c r="W209" s="207" t="e">
        <f>VLOOKUP(A209,'Account Mapping'!$A$2:$F$216,6,0)</f>
        <v>#N/A</v>
      </c>
      <c r="X209" s="194">
        <f t="shared" si="116"/>
        <v>1448.8</v>
      </c>
      <c r="Y209" s="194">
        <f t="shared" si="117"/>
        <v>0</v>
      </c>
      <c r="Z209" s="13">
        <f t="shared" si="118"/>
        <v>0</v>
      </c>
      <c r="AA209" s="13">
        <f t="shared" si="119"/>
        <v>0</v>
      </c>
      <c r="AB209" s="13">
        <f t="shared" si="120"/>
        <v>0</v>
      </c>
      <c r="AC209" s="13">
        <f t="shared" si="121"/>
        <v>0</v>
      </c>
      <c r="AD209" s="13">
        <f t="shared" si="122"/>
        <v>0</v>
      </c>
      <c r="AE209" s="13">
        <f t="shared" si="123"/>
        <v>0</v>
      </c>
      <c r="AF209" s="13">
        <f t="shared" si="124"/>
        <v>0</v>
      </c>
      <c r="AG209" s="685">
        <f t="shared" si="125"/>
        <v>0</v>
      </c>
      <c r="AH209" s="688" t="b">
        <f t="shared" si="126"/>
        <v>1</v>
      </c>
    </row>
    <row r="210" spans="1:34" s="1" customFormat="1" ht="15" customHeight="1">
      <c r="A210" s="946">
        <v>10910006</v>
      </c>
      <c r="B210" s="946" t="s">
        <v>600</v>
      </c>
      <c r="C210" s="946">
        <v>6115904000477</v>
      </c>
      <c r="D210" s="946">
        <v>100000014</v>
      </c>
      <c r="E210" s="946" t="s">
        <v>23</v>
      </c>
      <c r="F210" s="946" t="s">
        <v>26</v>
      </c>
      <c r="G210" s="947">
        <v>5773.38</v>
      </c>
      <c r="H210" s="947">
        <v>8219.5</v>
      </c>
      <c r="I210" s="949"/>
      <c r="J210" s="949"/>
      <c r="K210" s="949"/>
      <c r="L210" s="29" t="e">
        <f>VLOOKUP(A210,'Account Mapping'!$A$2:$E$216,3,0)</f>
        <v>#N/A</v>
      </c>
      <c r="M210" s="25" t="e">
        <f>VLOOKUP(A210,'Account Mapping'!$A$2:$E$216,4,0)</f>
        <v>#N/A</v>
      </c>
      <c r="N210" s="26" t="e">
        <f>IF(OR(C210='Account Mapping'!$H$4,C210='Account Mapping'!$H$5,C210='Account Mapping'!$H$6),'Account Mapping'!$I$4,VLOOKUP(A210,'Account Mapping'!$A$2:$E$216,5,0))</f>
        <v>#N/A</v>
      </c>
      <c r="O210" s="27" t="e">
        <f>IF(OR(L210="Loan",L210="Deposit_Liability",L210="OFF_Unused Loan Commitment",L210="HQLA"),VLOOKUP(D210,'Customer Type'!$A$3:$C$38,3,0),"")</f>
        <v>#N/A</v>
      </c>
      <c r="P210" s="656" t="e">
        <f t="shared" si="114"/>
        <v>#N/A</v>
      </c>
      <c r="Q210" s="658">
        <f>IF(COUNTIF('Account Mapping'!$H$12:$H$45,A210)&gt;0,-H210,H210)</f>
        <v>8219.5</v>
      </c>
      <c r="R210" s="249" t="e">
        <f>VLOOKUP(P210,Assumptions!$C$2:$D$64,2,0)</f>
        <v>#N/A</v>
      </c>
      <c r="S210" s="692" t="str">
        <f>IFERROR(VLOOKUP(A210,'Maturity Adjustment'!$A$3:$C$81,3,0),(IF(J210&lt;$N$4,"Tomorrow",J210)))</f>
        <v>Tomorrow</v>
      </c>
      <c r="T210" s="24">
        <f t="shared" si="113"/>
        <v>1</v>
      </c>
      <c r="U210" s="196" t="e">
        <f t="shared" si="115"/>
        <v>#N/A</v>
      </c>
      <c r="V210" s="11" t="str">
        <f>IFERROR(VLOOKUP(A210,'Maturity Adjustment'!$A$86:$C$91,3,0),S210)</f>
        <v>Tomorrow</v>
      </c>
      <c r="W210" s="207" t="e">
        <f>VLOOKUP(A210,'Account Mapping'!$A$2:$F$216,6,0)</f>
        <v>#N/A</v>
      </c>
      <c r="X210" s="194">
        <f t="shared" si="116"/>
        <v>8219.5</v>
      </c>
      <c r="Y210" s="194">
        <f t="shared" si="117"/>
        <v>0</v>
      </c>
      <c r="Z210" s="13">
        <f t="shared" si="118"/>
        <v>0</v>
      </c>
      <c r="AA210" s="13">
        <f t="shared" si="119"/>
        <v>0</v>
      </c>
      <c r="AB210" s="13">
        <f t="shared" si="120"/>
        <v>0</v>
      </c>
      <c r="AC210" s="13">
        <f t="shared" si="121"/>
        <v>0</v>
      </c>
      <c r="AD210" s="13">
        <f t="shared" si="122"/>
        <v>0</v>
      </c>
      <c r="AE210" s="13">
        <f t="shared" si="123"/>
        <v>0</v>
      </c>
      <c r="AF210" s="13">
        <f t="shared" si="124"/>
        <v>0</v>
      </c>
      <c r="AG210" s="685">
        <f t="shared" si="125"/>
        <v>0</v>
      </c>
      <c r="AH210" s="688" t="b">
        <f t="shared" si="126"/>
        <v>1</v>
      </c>
    </row>
    <row r="211" spans="1:34" s="1" customFormat="1" ht="15" customHeight="1">
      <c r="A211" s="946">
        <v>10910006</v>
      </c>
      <c r="B211" s="946" t="s">
        <v>600</v>
      </c>
      <c r="C211" s="946">
        <v>6115904000484</v>
      </c>
      <c r="D211" s="946">
        <v>100000014</v>
      </c>
      <c r="E211" s="946" t="s">
        <v>23</v>
      </c>
      <c r="F211" s="946" t="s">
        <v>26</v>
      </c>
      <c r="G211" s="947">
        <v>1135.99</v>
      </c>
      <c r="H211" s="947">
        <v>1617.3</v>
      </c>
      <c r="I211" s="948"/>
      <c r="J211" s="948"/>
      <c r="K211" s="948"/>
      <c r="L211" s="29" t="e">
        <f>VLOOKUP(A211,'Account Mapping'!$A$2:$E$216,3,0)</f>
        <v>#N/A</v>
      </c>
      <c r="M211" s="25" t="e">
        <f>VLOOKUP(A211,'Account Mapping'!$A$2:$E$216,4,0)</f>
        <v>#N/A</v>
      </c>
      <c r="N211" s="26" t="e">
        <f>IF(OR(C211='Account Mapping'!$H$4,C211='Account Mapping'!$H$5,C211='Account Mapping'!$H$6),'Account Mapping'!$I$4,VLOOKUP(A211,'Account Mapping'!$A$2:$E$216,5,0))</f>
        <v>#N/A</v>
      </c>
      <c r="O211" s="27" t="e">
        <f>IF(OR(L211="Loan",L211="Deposit_Liability",L211="OFF_Unused Loan Commitment",L211="HQLA"),VLOOKUP(D211,'Customer Type'!$A$3:$C$38,3,0),"")</f>
        <v>#N/A</v>
      </c>
      <c r="P211" s="656" t="e">
        <f t="shared" si="114"/>
        <v>#N/A</v>
      </c>
      <c r="Q211" s="658">
        <f>IF(COUNTIF('Account Mapping'!$H$12:$H$45,A211)&gt;0,-H211,H211)</f>
        <v>1617.3</v>
      </c>
      <c r="R211" s="249" t="e">
        <f>VLOOKUP(P211,Assumptions!$C$2:$D$64,2,0)</f>
        <v>#N/A</v>
      </c>
      <c r="S211" s="692" t="str">
        <f>IFERROR(VLOOKUP(A211,'Maturity Adjustment'!$A$3:$C$81,3,0),(IF(J211&lt;$N$4,"Tomorrow",J211)))</f>
        <v>Tomorrow</v>
      </c>
      <c r="T211" s="24">
        <f t="shared" si="113"/>
        <v>1</v>
      </c>
      <c r="U211" s="196" t="e">
        <f t="shared" si="115"/>
        <v>#N/A</v>
      </c>
      <c r="V211" s="11" t="str">
        <f>IFERROR(VLOOKUP(A211,'Maturity Adjustment'!$A$86:$C$91,3,0),S211)</f>
        <v>Tomorrow</v>
      </c>
      <c r="W211" s="207" t="e">
        <f>VLOOKUP(A211,'Account Mapping'!$A$2:$F$216,6,0)</f>
        <v>#N/A</v>
      </c>
      <c r="X211" s="194">
        <f t="shared" si="116"/>
        <v>1617.3</v>
      </c>
      <c r="Y211" s="194">
        <f t="shared" si="117"/>
        <v>0</v>
      </c>
      <c r="Z211" s="13">
        <f t="shared" si="118"/>
        <v>0</v>
      </c>
      <c r="AA211" s="13">
        <f t="shared" si="119"/>
        <v>0</v>
      </c>
      <c r="AB211" s="13">
        <f t="shared" si="120"/>
        <v>0</v>
      </c>
      <c r="AC211" s="13">
        <f t="shared" si="121"/>
        <v>0</v>
      </c>
      <c r="AD211" s="13">
        <f t="shared" si="122"/>
        <v>0</v>
      </c>
      <c r="AE211" s="13">
        <f t="shared" si="123"/>
        <v>0</v>
      </c>
      <c r="AF211" s="13">
        <f t="shared" si="124"/>
        <v>0</v>
      </c>
      <c r="AG211" s="685">
        <f t="shared" si="125"/>
        <v>0</v>
      </c>
      <c r="AH211" s="688" t="b">
        <f t="shared" si="126"/>
        <v>1</v>
      </c>
    </row>
    <row r="212" spans="1:34" s="1" customFormat="1" ht="15" customHeight="1">
      <c r="A212" s="946">
        <v>10910006</v>
      </c>
      <c r="B212" s="946" t="s">
        <v>600</v>
      </c>
      <c r="C212" s="946">
        <v>6115904000491</v>
      </c>
      <c r="D212" s="946">
        <v>100000014</v>
      </c>
      <c r="E212" s="946" t="s">
        <v>23</v>
      </c>
      <c r="F212" s="946" t="s">
        <v>26</v>
      </c>
      <c r="G212" s="947">
        <v>5003.59</v>
      </c>
      <c r="H212" s="947">
        <v>7123.56</v>
      </c>
      <c r="I212" s="948"/>
      <c r="J212" s="948"/>
      <c r="K212" s="948"/>
      <c r="L212" s="29" t="e">
        <f>VLOOKUP(A212,'Account Mapping'!$A$2:$E$216,3,0)</f>
        <v>#N/A</v>
      </c>
      <c r="M212" s="25" t="e">
        <f>VLOOKUP(A212,'Account Mapping'!$A$2:$E$216,4,0)</f>
        <v>#N/A</v>
      </c>
      <c r="N212" s="26" t="e">
        <f>IF(OR(C212='Account Mapping'!$H$4,C212='Account Mapping'!$H$5,C212='Account Mapping'!$H$6),'Account Mapping'!$I$4,VLOOKUP(A212,'Account Mapping'!$A$2:$E$216,5,0))</f>
        <v>#N/A</v>
      </c>
      <c r="O212" s="27" t="e">
        <f>IF(OR(L212="Loan",L212="Deposit_Liability",L212="OFF_Unused Loan Commitment",L212="HQLA"),VLOOKUP(D212,'Customer Type'!$A$3:$C$38,3,0),"")</f>
        <v>#N/A</v>
      </c>
      <c r="P212" s="656" t="e">
        <f t="shared" si="114"/>
        <v>#N/A</v>
      </c>
      <c r="Q212" s="658">
        <f>IF(COUNTIF('Account Mapping'!$H$12:$H$45,A212)&gt;0,-H212,H212)</f>
        <v>7123.56</v>
      </c>
      <c r="R212" s="249" t="e">
        <f>VLOOKUP(P212,Assumptions!$C$2:$D$64,2,0)</f>
        <v>#N/A</v>
      </c>
      <c r="S212" s="692" t="str">
        <f>IFERROR(VLOOKUP(A212,'Maturity Adjustment'!$A$3:$C$81,3,0),(IF(J212&lt;$N$4,"Tomorrow",J212)))</f>
        <v>Tomorrow</v>
      </c>
      <c r="T212" s="24">
        <f t="shared" si="113"/>
        <v>1</v>
      </c>
      <c r="U212" s="196" t="e">
        <f t="shared" si="115"/>
        <v>#N/A</v>
      </c>
      <c r="V212" s="11" t="str">
        <f>IFERROR(VLOOKUP(A212,'Maturity Adjustment'!$A$86:$C$91,3,0),S212)</f>
        <v>Tomorrow</v>
      </c>
      <c r="W212" s="207" t="e">
        <f>VLOOKUP(A212,'Account Mapping'!$A$2:$F$216,6,0)</f>
        <v>#N/A</v>
      </c>
      <c r="X212" s="194">
        <f t="shared" si="116"/>
        <v>7123.56</v>
      </c>
      <c r="Y212" s="194">
        <f t="shared" si="117"/>
        <v>0</v>
      </c>
      <c r="Z212" s="13">
        <f t="shared" si="118"/>
        <v>0</v>
      </c>
      <c r="AA212" s="13">
        <f t="shared" si="119"/>
        <v>0</v>
      </c>
      <c r="AB212" s="13">
        <f t="shared" si="120"/>
        <v>0</v>
      </c>
      <c r="AC212" s="13">
        <f t="shared" si="121"/>
        <v>0</v>
      </c>
      <c r="AD212" s="13">
        <f t="shared" si="122"/>
        <v>0</v>
      </c>
      <c r="AE212" s="13">
        <f t="shared" si="123"/>
        <v>0</v>
      </c>
      <c r="AF212" s="13">
        <f t="shared" si="124"/>
        <v>0</v>
      </c>
      <c r="AG212" s="685">
        <f t="shared" si="125"/>
        <v>0</v>
      </c>
      <c r="AH212" s="688" t="b">
        <f t="shared" si="126"/>
        <v>1</v>
      </c>
    </row>
    <row r="213" spans="1:34" s="1" customFormat="1" ht="15" customHeight="1">
      <c r="A213" s="946">
        <v>10910006</v>
      </c>
      <c r="B213" s="946" t="s">
        <v>600</v>
      </c>
      <c r="C213" s="946">
        <v>6115904000502</v>
      </c>
      <c r="D213" s="946">
        <v>100000014</v>
      </c>
      <c r="E213" s="946" t="s">
        <v>23</v>
      </c>
      <c r="F213" s="946" t="s">
        <v>26</v>
      </c>
      <c r="G213" s="947">
        <v>1156.75</v>
      </c>
      <c r="H213" s="947">
        <v>1646.85</v>
      </c>
      <c r="I213" s="948"/>
      <c r="J213" s="948"/>
      <c r="K213" s="948"/>
      <c r="L213" s="29" t="e">
        <f>VLOOKUP(A213,'Account Mapping'!$A$2:$E$216,3,0)</f>
        <v>#N/A</v>
      </c>
      <c r="M213" s="25" t="e">
        <f>VLOOKUP(A213,'Account Mapping'!$A$2:$E$216,4,0)</f>
        <v>#N/A</v>
      </c>
      <c r="N213" s="26" t="e">
        <f>IF(OR(C213='Account Mapping'!$H$4,C213='Account Mapping'!$H$5,C213='Account Mapping'!$H$6),'Account Mapping'!$I$4,VLOOKUP(A213,'Account Mapping'!$A$2:$E$216,5,0))</f>
        <v>#N/A</v>
      </c>
      <c r="O213" s="27" t="e">
        <f>IF(OR(L213="Loan",L213="Deposit_Liability",L213="OFF_Unused Loan Commitment",L213="HQLA"),VLOOKUP(D213,'Customer Type'!$A$3:$C$38,3,0),"")</f>
        <v>#N/A</v>
      </c>
      <c r="P213" s="656" t="e">
        <f t="shared" si="114"/>
        <v>#N/A</v>
      </c>
      <c r="Q213" s="658">
        <f>IF(COUNTIF('Account Mapping'!$H$12:$H$45,A213)&gt;0,-H213,H213)</f>
        <v>1646.85</v>
      </c>
      <c r="R213" s="249" t="e">
        <f>VLOOKUP(P213,Assumptions!$C$2:$D$64,2,0)</f>
        <v>#N/A</v>
      </c>
      <c r="S213" s="692" t="str">
        <f>IFERROR(VLOOKUP(A213,'Maturity Adjustment'!$A$3:$C$81,3,0),(IF(J213&lt;$N$4,"Tomorrow",J213)))</f>
        <v>Tomorrow</v>
      </c>
      <c r="T213" s="24">
        <f t="shared" si="113"/>
        <v>1</v>
      </c>
      <c r="U213" s="196" t="e">
        <f t="shared" si="115"/>
        <v>#N/A</v>
      </c>
      <c r="V213" s="11" t="str">
        <f>IFERROR(VLOOKUP(A213,'Maturity Adjustment'!$A$86:$C$91,3,0),S213)</f>
        <v>Tomorrow</v>
      </c>
      <c r="W213" s="207" t="e">
        <f>VLOOKUP(A213,'Account Mapping'!$A$2:$F$216,6,0)</f>
        <v>#N/A</v>
      </c>
      <c r="X213" s="194">
        <f t="shared" si="116"/>
        <v>1646.85</v>
      </c>
      <c r="Y213" s="194">
        <f t="shared" si="117"/>
        <v>0</v>
      </c>
      <c r="Z213" s="13">
        <f t="shared" si="118"/>
        <v>0</v>
      </c>
      <c r="AA213" s="13">
        <f t="shared" si="119"/>
        <v>0</v>
      </c>
      <c r="AB213" s="13">
        <f t="shared" si="120"/>
        <v>0</v>
      </c>
      <c r="AC213" s="13">
        <f t="shared" si="121"/>
        <v>0</v>
      </c>
      <c r="AD213" s="13">
        <f t="shared" si="122"/>
        <v>0</v>
      </c>
      <c r="AE213" s="13">
        <f t="shared" si="123"/>
        <v>0</v>
      </c>
      <c r="AF213" s="13">
        <f t="shared" si="124"/>
        <v>0</v>
      </c>
      <c r="AG213" s="685">
        <f t="shared" si="125"/>
        <v>0</v>
      </c>
      <c r="AH213" s="688" t="b">
        <f t="shared" si="126"/>
        <v>1</v>
      </c>
    </row>
    <row r="214" spans="1:34" s="1" customFormat="1" ht="15" customHeight="1">
      <c r="A214" s="946">
        <v>10910006</v>
      </c>
      <c r="B214" s="946" t="s">
        <v>600</v>
      </c>
      <c r="C214" s="946">
        <v>6115904000510</v>
      </c>
      <c r="D214" s="946">
        <v>100000014</v>
      </c>
      <c r="E214" s="946" t="s">
        <v>23</v>
      </c>
      <c r="F214" s="946" t="s">
        <v>26</v>
      </c>
      <c r="G214" s="947">
        <v>9622.2900000000009</v>
      </c>
      <c r="H214" s="947">
        <v>13699.16</v>
      </c>
      <c r="I214" s="948">
        <v>46027</v>
      </c>
      <c r="J214" s="948">
        <v>46058</v>
      </c>
      <c r="K214" s="948">
        <v>46058</v>
      </c>
      <c r="L214" s="29" t="e">
        <f>VLOOKUP(A214,'Account Mapping'!$A$2:$E$216,3,0)</f>
        <v>#N/A</v>
      </c>
      <c r="M214" s="25" t="e">
        <f>VLOOKUP(A214,'Account Mapping'!$A$2:$E$216,4,0)</f>
        <v>#N/A</v>
      </c>
      <c r="N214" s="26" t="e">
        <f>IF(OR(C214='Account Mapping'!$H$4,C214='Account Mapping'!$H$5,C214='Account Mapping'!$H$6),'Account Mapping'!$I$4,VLOOKUP(A214,'Account Mapping'!$A$2:$E$216,5,0))</f>
        <v>#N/A</v>
      </c>
      <c r="O214" s="27" t="e">
        <f>IF(OR(L214="Loan",L214="Deposit_Liability",L214="OFF_Unused Loan Commitment",L214="HQLA"),VLOOKUP(D214,'Customer Type'!$A$3:$C$38,3,0),"")</f>
        <v>#N/A</v>
      </c>
      <c r="P214" s="656" t="e">
        <f t="shared" si="114"/>
        <v>#N/A</v>
      </c>
      <c r="Q214" s="658">
        <f>IF(COUNTIF('Account Mapping'!$H$12:$H$45,A214)&gt;0,-H214,H214)</f>
        <v>13699.16</v>
      </c>
      <c r="R214" s="249" t="e">
        <f>VLOOKUP(P214,Assumptions!$C$2:$D$64,2,0)</f>
        <v>#N/A</v>
      </c>
      <c r="S214" s="692">
        <f>IFERROR(VLOOKUP(A214,'Maturity Adjustment'!$A$3:$C$81,3,0),(IF(J214&lt;$N$4,"Tomorrow",J214)))</f>
        <v>46058</v>
      </c>
      <c r="T214" s="24">
        <f t="shared" si="113"/>
        <v>0</v>
      </c>
      <c r="U214" s="196" t="e">
        <f t="shared" si="115"/>
        <v>#N/A</v>
      </c>
      <c r="V214" s="11">
        <f>IFERROR(VLOOKUP(A214,'Maturity Adjustment'!$A$86:$C$91,3,0),S214)</f>
        <v>46058</v>
      </c>
      <c r="W214" s="207" t="e">
        <f>VLOOKUP(A214,'Account Mapping'!$A$2:$F$216,6,0)</f>
        <v>#N/A</v>
      </c>
      <c r="X214" s="194">
        <f t="shared" si="116"/>
        <v>13699.16</v>
      </c>
      <c r="Y214" s="194">
        <f t="shared" si="117"/>
        <v>0</v>
      </c>
      <c r="Z214" s="13">
        <f t="shared" si="118"/>
        <v>0</v>
      </c>
      <c r="AA214" s="13">
        <f t="shared" si="119"/>
        <v>0</v>
      </c>
      <c r="AB214" s="13">
        <f t="shared" si="120"/>
        <v>0</v>
      </c>
      <c r="AC214" s="13">
        <f t="shared" si="121"/>
        <v>0</v>
      </c>
      <c r="AD214" s="13">
        <f t="shared" si="122"/>
        <v>0</v>
      </c>
      <c r="AE214" s="13">
        <f t="shared" si="123"/>
        <v>0</v>
      </c>
      <c r="AF214" s="13">
        <f t="shared" si="124"/>
        <v>0</v>
      </c>
      <c r="AG214" s="685">
        <f t="shared" si="125"/>
        <v>0</v>
      </c>
      <c r="AH214" s="688" t="b">
        <f t="shared" si="126"/>
        <v>1</v>
      </c>
    </row>
    <row r="215" spans="1:34" s="1" customFormat="1" ht="15" customHeight="1">
      <c r="A215" s="946">
        <v>10910006</v>
      </c>
      <c r="B215" s="946" t="s">
        <v>600</v>
      </c>
      <c r="C215" s="946">
        <v>6115904000527</v>
      </c>
      <c r="D215" s="946">
        <v>100000014</v>
      </c>
      <c r="E215" s="946" t="s">
        <v>23</v>
      </c>
      <c r="F215" s="946" t="s">
        <v>26</v>
      </c>
      <c r="G215" s="947">
        <v>1084.3399999999999</v>
      </c>
      <c r="H215" s="947">
        <v>1543.76</v>
      </c>
      <c r="I215" s="948"/>
      <c r="J215" s="948"/>
      <c r="K215" s="948"/>
      <c r="L215" s="29" t="e">
        <f>VLOOKUP(A215,'Account Mapping'!$A$2:$E$216,3,0)</f>
        <v>#N/A</v>
      </c>
      <c r="M215" s="25" t="e">
        <f>VLOOKUP(A215,'Account Mapping'!$A$2:$E$216,4,0)</f>
        <v>#N/A</v>
      </c>
      <c r="N215" s="26" t="e">
        <f>IF(OR(C215='Account Mapping'!$H$4,C215='Account Mapping'!$H$5,C215='Account Mapping'!$H$6),'Account Mapping'!$I$4,VLOOKUP(A215,'Account Mapping'!$A$2:$E$216,5,0))</f>
        <v>#N/A</v>
      </c>
      <c r="O215" s="27" t="e">
        <f>IF(OR(L215="Loan",L215="Deposit_Liability",L215="OFF_Unused Loan Commitment",L215="HQLA"),VLOOKUP(D215,'Customer Type'!$A$3:$C$38,3,0),"")</f>
        <v>#N/A</v>
      </c>
      <c r="P215" s="656" t="e">
        <f t="shared" si="114"/>
        <v>#N/A</v>
      </c>
      <c r="Q215" s="658">
        <f>IF(COUNTIF('Account Mapping'!$H$12:$H$45,A215)&gt;0,-H215,H215)</f>
        <v>1543.76</v>
      </c>
      <c r="R215" s="249" t="e">
        <f>VLOOKUP(P215,Assumptions!$C$2:$D$64,2,0)</f>
        <v>#N/A</v>
      </c>
      <c r="S215" s="692" t="str">
        <f>IFERROR(VLOOKUP(A215,'Maturity Adjustment'!$A$3:$C$81,3,0),(IF(J215&lt;$N$4,"Tomorrow",J215)))</f>
        <v>Tomorrow</v>
      </c>
      <c r="T215" s="24">
        <f t="shared" si="113"/>
        <v>1</v>
      </c>
      <c r="U215" s="196" t="e">
        <f t="shared" si="115"/>
        <v>#N/A</v>
      </c>
      <c r="V215" s="11" t="str">
        <f>IFERROR(VLOOKUP(A215,'Maturity Adjustment'!$A$86:$C$91,3,0),S215)</f>
        <v>Tomorrow</v>
      </c>
      <c r="W215" s="207" t="e">
        <f>VLOOKUP(A215,'Account Mapping'!$A$2:$F$216,6,0)</f>
        <v>#N/A</v>
      </c>
      <c r="X215" s="194">
        <f t="shared" si="116"/>
        <v>1543.76</v>
      </c>
      <c r="Y215" s="194">
        <f t="shared" si="117"/>
        <v>0</v>
      </c>
      <c r="Z215" s="13">
        <f t="shared" si="118"/>
        <v>0</v>
      </c>
      <c r="AA215" s="13">
        <f t="shared" si="119"/>
        <v>0</v>
      </c>
      <c r="AB215" s="13">
        <f t="shared" si="120"/>
        <v>0</v>
      </c>
      <c r="AC215" s="13">
        <f t="shared" si="121"/>
        <v>0</v>
      </c>
      <c r="AD215" s="13">
        <f t="shared" si="122"/>
        <v>0</v>
      </c>
      <c r="AE215" s="13">
        <f t="shared" si="123"/>
        <v>0</v>
      </c>
      <c r="AF215" s="13">
        <f t="shared" si="124"/>
        <v>0</v>
      </c>
      <c r="AG215" s="685">
        <f t="shared" si="125"/>
        <v>0</v>
      </c>
      <c r="AH215" s="688" t="b">
        <f t="shared" si="126"/>
        <v>1</v>
      </c>
    </row>
    <row r="216" spans="1:34" s="1" customFormat="1" ht="15" customHeight="1">
      <c r="A216" s="946">
        <v>10910006</v>
      </c>
      <c r="B216" s="946" t="s">
        <v>600</v>
      </c>
      <c r="C216" s="946">
        <v>6115904000534</v>
      </c>
      <c r="D216" s="946">
        <v>100000014</v>
      </c>
      <c r="E216" s="946" t="s">
        <v>23</v>
      </c>
      <c r="F216" s="946" t="s">
        <v>26</v>
      </c>
      <c r="G216" s="947">
        <v>5260.19</v>
      </c>
      <c r="H216" s="947">
        <v>7488.88</v>
      </c>
      <c r="I216" s="949">
        <v>46027</v>
      </c>
      <c r="J216" s="949">
        <v>46058</v>
      </c>
      <c r="K216" s="949">
        <v>46058</v>
      </c>
      <c r="L216" s="29" t="e">
        <f>VLOOKUP(A216,'Account Mapping'!$A$2:$E$216,3,0)</f>
        <v>#N/A</v>
      </c>
      <c r="M216" s="25" t="e">
        <f>VLOOKUP(A216,'Account Mapping'!$A$2:$E$216,4,0)</f>
        <v>#N/A</v>
      </c>
      <c r="N216" s="26" t="e">
        <f>IF(OR(C216='Account Mapping'!$H$4,C216='Account Mapping'!$H$5,C216='Account Mapping'!$H$6),'Account Mapping'!$I$4,VLOOKUP(A216,'Account Mapping'!$A$2:$E$216,5,0))</f>
        <v>#N/A</v>
      </c>
      <c r="O216" s="27" t="e">
        <f>IF(OR(L216="Loan",L216="Deposit_Liability",L216="OFF_Unused Loan Commitment",L216="HQLA"),VLOOKUP(D216,'Customer Type'!$A$3:$C$38,3,0),"")</f>
        <v>#N/A</v>
      </c>
      <c r="P216" s="656" t="e">
        <f t="shared" si="114"/>
        <v>#N/A</v>
      </c>
      <c r="Q216" s="658">
        <f>IF(COUNTIF('Account Mapping'!$H$12:$H$45,A216)&gt;0,-H216,H216)</f>
        <v>7488.88</v>
      </c>
      <c r="R216" s="249" t="e">
        <f>VLOOKUP(P216,Assumptions!$C$2:$D$64,2,0)</f>
        <v>#N/A</v>
      </c>
      <c r="S216" s="692">
        <f>IFERROR(VLOOKUP(A216,'Maturity Adjustment'!$A$3:$C$81,3,0),(IF(J216&lt;$N$4,"Tomorrow",J216)))</f>
        <v>46058</v>
      </c>
      <c r="T216" s="24">
        <f t="shared" si="113"/>
        <v>0</v>
      </c>
      <c r="U216" s="196" t="e">
        <f t="shared" si="115"/>
        <v>#N/A</v>
      </c>
      <c r="V216" s="11">
        <f>IFERROR(VLOOKUP(A216,'Maturity Adjustment'!$A$86:$C$91,3,0),S216)</f>
        <v>46058</v>
      </c>
      <c r="W216" s="207" t="e">
        <f>VLOOKUP(A216,'Account Mapping'!$A$2:$F$216,6,0)</f>
        <v>#N/A</v>
      </c>
      <c r="X216" s="194">
        <f t="shared" si="116"/>
        <v>7488.88</v>
      </c>
      <c r="Y216" s="194">
        <f t="shared" si="117"/>
        <v>0</v>
      </c>
      <c r="Z216" s="13">
        <f t="shared" si="118"/>
        <v>0</v>
      </c>
      <c r="AA216" s="13">
        <f t="shared" si="119"/>
        <v>0</v>
      </c>
      <c r="AB216" s="13">
        <f t="shared" si="120"/>
        <v>0</v>
      </c>
      <c r="AC216" s="13">
        <f t="shared" si="121"/>
        <v>0</v>
      </c>
      <c r="AD216" s="13">
        <f t="shared" si="122"/>
        <v>0</v>
      </c>
      <c r="AE216" s="13">
        <f t="shared" si="123"/>
        <v>0</v>
      </c>
      <c r="AF216" s="13">
        <f t="shared" si="124"/>
        <v>0</v>
      </c>
      <c r="AG216" s="685">
        <f t="shared" si="125"/>
        <v>0</v>
      </c>
      <c r="AH216" s="688" t="b">
        <f t="shared" si="126"/>
        <v>1</v>
      </c>
    </row>
    <row r="217" spans="1:34" s="1" customFormat="1" ht="15" customHeight="1">
      <c r="A217" s="946">
        <v>10910006</v>
      </c>
      <c r="B217" s="946" t="s">
        <v>600</v>
      </c>
      <c r="C217" s="946">
        <v>6115904000541</v>
      </c>
      <c r="D217" s="946">
        <v>100000014</v>
      </c>
      <c r="E217" s="946" t="s">
        <v>23</v>
      </c>
      <c r="F217" s="946" t="s">
        <v>26</v>
      </c>
      <c r="G217" s="947">
        <v>1160.74</v>
      </c>
      <c r="H217" s="947">
        <v>1652.53</v>
      </c>
      <c r="I217" s="948"/>
      <c r="J217" s="948"/>
      <c r="K217" s="948"/>
      <c r="L217" s="29" t="e">
        <f>VLOOKUP(A217,'Account Mapping'!$A$2:$E$216,3,0)</f>
        <v>#N/A</v>
      </c>
      <c r="M217" s="25" t="e">
        <f>VLOOKUP(A217,'Account Mapping'!$A$2:$E$216,4,0)</f>
        <v>#N/A</v>
      </c>
      <c r="N217" s="26" t="e">
        <f>IF(OR(C217='Account Mapping'!$H$4,C217='Account Mapping'!$H$5,C217='Account Mapping'!$H$6),'Account Mapping'!$I$4,VLOOKUP(A217,'Account Mapping'!$A$2:$E$216,5,0))</f>
        <v>#N/A</v>
      </c>
      <c r="O217" s="27" t="e">
        <f>IF(OR(L217="Loan",L217="Deposit_Liability",L217="OFF_Unused Loan Commitment",L217="HQLA"),VLOOKUP(D217,'Customer Type'!$A$3:$C$38,3,0),"")</f>
        <v>#N/A</v>
      </c>
      <c r="P217" s="656" t="e">
        <f t="shared" si="114"/>
        <v>#N/A</v>
      </c>
      <c r="Q217" s="658">
        <f>IF(COUNTIF('Account Mapping'!$H$12:$H$45,A217)&gt;0,-H217,H217)</f>
        <v>1652.53</v>
      </c>
      <c r="R217" s="249" t="e">
        <f>VLOOKUP(P217,Assumptions!$C$2:$D$64,2,0)</f>
        <v>#N/A</v>
      </c>
      <c r="S217" s="692" t="str">
        <f>IFERROR(VLOOKUP(A217,'Maturity Adjustment'!$A$3:$C$81,3,0),(IF(J217&lt;$N$4,"Tomorrow",J217)))</f>
        <v>Tomorrow</v>
      </c>
      <c r="T217" s="24">
        <f t="shared" si="113"/>
        <v>1</v>
      </c>
      <c r="U217" s="196" t="e">
        <f t="shared" si="115"/>
        <v>#N/A</v>
      </c>
      <c r="V217" s="11" t="str">
        <f>IFERROR(VLOOKUP(A217,'Maturity Adjustment'!$A$86:$C$91,3,0),S217)</f>
        <v>Tomorrow</v>
      </c>
      <c r="W217" s="207" t="e">
        <f>VLOOKUP(A217,'Account Mapping'!$A$2:$F$216,6,0)</f>
        <v>#N/A</v>
      </c>
      <c r="X217" s="194">
        <f t="shared" si="116"/>
        <v>1652.53</v>
      </c>
      <c r="Y217" s="194">
        <f t="shared" si="117"/>
        <v>0</v>
      </c>
      <c r="Z217" s="13">
        <f t="shared" si="118"/>
        <v>0</v>
      </c>
      <c r="AA217" s="13">
        <f t="shared" si="119"/>
        <v>0</v>
      </c>
      <c r="AB217" s="13">
        <f t="shared" si="120"/>
        <v>0</v>
      </c>
      <c r="AC217" s="13">
        <f t="shared" si="121"/>
        <v>0</v>
      </c>
      <c r="AD217" s="13">
        <f t="shared" si="122"/>
        <v>0</v>
      </c>
      <c r="AE217" s="13">
        <f t="shared" si="123"/>
        <v>0</v>
      </c>
      <c r="AF217" s="13">
        <f t="shared" si="124"/>
        <v>0</v>
      </c>
      <c r="AG217" s="685">
        <f t="shared" si="125"/>
        <v>0</v>
      </c>
      <c r="AH217" s="688" t="b">
        <f t="shared" si="126"/>
        <v>1</v>
      </c>
    </row>
    <row r="218" spans="1:34" s="1" customFormat="1" ht="15" customHeight="1">
      <c r="A218" s="946">
        <v>10910006</v>
      </c>
      <c r="B218" s="946" t="s">
        <v>600</v>
      </c>
      <c r="C218" s="946">
        <v>6115904000559</v>
      </c>
      <c r="D218" s="946">
        <v>100000014</v>
      </c>
      <c r="E218" s="946" t="s">
        <v>23</v>
      </c>
      <c r="F218" s="946" t="s">
        <v>26</v>
      </c>
      <c r="G218" s="947">
        <v>18474.8</v>
      </c>
      <c r="H218" s="947">
        <v>26302.39</v>
      </c>
      <c r="I218" s="949"/>
      <c r="J218" s="949"/>
      <c r="K218" s="949"/>
      <c r="L218" s="29" t="e">
        <f>VLOOKUP(A218,'Account Mapping'!$A$2:$E$216,3,0)</f>
        <v>#N/A</v>
      </c>
      <c r="M218" s="25" t="e">
        <f>VLOOKUP(A218,'Account Mapping'!$A$2:$E$216,4,0)</f>
        <v>#N/A</v>
      </c>
      <c r="N218" s="26" t="e">
        <f>IF(OR(C218='Account Mapping'!$H$4,C218='Account Mapping'!$H$5,C218='Account Mapping'!$H$6),'Account Mapping'!$I$4,VLOOKUP(A218,'Account Mapping'!$A$2:$E$216,5,0))</f>
        <v>#N/A</v>
      </c>
      <c r="O218" s="27" t="e">
        <f>IF(OR(L218="Loan",L218="Deposit_Liability",L218="OFF_Unused Loan Commitment",L218="HQLA"),VLOOKUP(D218,'Customer Type'!$A$3:$C$38,3,0),"")</f>
        <v>#N/A</v>
      </c>
      <c r="P218" s="656" t="e">
        <f t="shared" si="114"/>
        <v>#N/A</v>
      </c>
      <c r="Q218" s="658">
        <f>IF(COUNTIF('Account Mapping'!$H$12:$H$45,A218)&gt;0,-H218,H218)</f>
        <v>26302.39</v>
      </c>
      <c r="R218" s="249" t="e">
        <f>VLOOKUP(P218,Assumptions!$C$2:$D$64,2,0)</f>
        <v>#N/A</v>
      </c>
      <c r="S218" s="692" t="str">
        <f>IFERROR(VLOOKUP(A218,'Maturity Adjustment'!$A$3:$C$81,3,0),(IF(J218&lt;$N$4,"Tomorrow",J218)))</f>
        <v>Tomorrow</v>
      </c>
      <c r="T218" s="24">
        <f t="shared" si="113"/>
        <v>1</v>
      </c>
      <c r="U218" s="196" t="e">
        <f t="shared" si="115"/>
        <v>#N/A</v>
      </c>
      <c r="V218" s="11" t="str">
        <f>IFERROR(VLOOKUP(A218,'Maturity Adjustment'!$A$86:$C$91,3,0),S218)</f>
        <v>Tomorrow</v>
      </c>
      <c r="W218" s="207" t="e">
        <f>VLOOKUP(A218,'Account Mapping'!$A$2:$F$216,6,0)</f>
        <v>#N/A</v>
      </c>
      <c r="X218" s="194">
        <f t="shared" si="116"/>
        <v>26302.39</v>
      </c>
      <c r="Y218" s="194">
        <f t="shared" si="117"/>
        <v>0</v>
      </c>
      <c r="Z218" s="13">
        <f t="shared" si="118"/>
        <v>0</v>
      </c>
      <c r="AA218" s="13">
        <f t="shared" si="119"/>
        <v>0</v>
      </c>
      <c r="AB218" s="13">
        <f t="shared" si="120"/>
        <v>0</v>
      </c>
      <c r="AC218" s="13">
        <f t="shared" si="121"/>
        <v>0</v>
      </c>
      <c r="AD218" s="13">
        <f t="shared" si="122"/>
        <v>0</v>
      </c>
      <c r="AE218" s="13">
        <f t="shared" si="123"/>
        <v>0</v>
      </c>
      <c r="AF218" s="13">
        <f t="shared" si="124"/>
        <v>0</v>
      </c>
      <c r="AG218" s="685">
        <f t="shared" si="125"/>
        <v>0</v>
      </c>
      <c r="AH218" s="688" t="b">
        <f t="shared" si="126"/>
        <v>1</v>
      </c>
    </row>
    <row r="219" spans="1:34" s="1" customFormat="1" ht="15" customHeight="1">
      <c r="A219" s="946">
        <v>10910006</v>
      </c>
      <c r="B219" s="946" t="s">
        <v>600</v>
      </c>
      <c r="C219" s="946">
        <v>6115904000566</v>
      </c>
      <c r="D219" s="946">
        <v>100000014</v>
      </c>
      <c r="E219" s="946" t="s">
        <v>23</v>
      </c>
      <c r="F219" s="946" t="s">
        <v>26</v>
      </c>
      <c r="G219" s="947">
        <v>1198.82</v>
      </c>
      <c r="H219" s="947">
        <v>1706.75</v>
      </c>
      <c r="I219" s="948">
        <v>46027</v>
      </c>
      <c r="J219" s="948">
        <v>46058</v>
      </c>
      <c r="K219" s="948">
        <v>46058</v>
      </c>
      <c r="L219" s="29" t="e">
        <f>VLOOKUP(A219,'Account Mapping'!$A$2:$E$216,3,0)</f>
        <v>#N/A</v>
      </c>
      <c r="M219" s="25" t="e">
        <f>VLOOKUP(A219,'Account Mapping'!$A$2:$E$216,4,0)</f>
        <v>#N/A</v>
      </c>
      <c r="N219" s="26" t="e">
        <f>IF(OR(C219='Account Mapping'!$H$4,C219='Account Mapping'!$H$5,C219='Account Mapping'!$H$6),'Account Mapping'!$I$4,VLOOKUP(A219,'Account Mapping'!$A$2:$E$216,5,0))</f>
        <v>#N/A</v>
      </c>
      <c r="O219" s="27" t="e">
        <f>IF(OR(L219="Loan",L219="Deposit_Liability",L219="OFF_Unused Loan Commitment",L219="HQLA"),VLOOKUP(D219,'Customer Type'!$A$3:$C$38,3,0),"")</f>
        <v>#N/A</v>
      </c>
      <c r="P219" s="656" t="e">
        <f t="shared" si="114"/>
        <v>#N/A</v>
      </c>
      <c r="Q219" s="658">
        <f>IF(COUNTIF('Account Mapping'!$H$12:$H$45,A219)&gt;0,-H219,H219)</f>
        <v>1706.75</v>
      </c>
      <c r="R219" s="249" t="e">
        <f>VLOOKUP(P219,Assumptions!$C$2:$D$64,2,0)</f>
        <v>#N/A</v>
      </c>
      <c r="S219" s="692">
        <f>IFERROR(VLOOKUP(A219,'Maturity Adjustment'!$A$3:$C$81,3,0),(IF(J219&lt;$N$4,"Tomorrow",J219)))</f>
        <v>46058</v>
      </c>
      <c r="T219" s="24">
        <f t="shared" si="113"/>
        <v>0</v>
      </c>
      <c r="U219" s="196" t="e">
        <f t="shared" si="115"/>
        <v>#N/A</v>
      </c>
      <c r="V219" s="11">
        <f>IFERROR(VLOOKUP(A219,'Maturity Adjustment'!$A$86:$C$91,3,0),S219)</f>
        <v>46058</v>
      </c>
      <c r="W219" s="207" t="e">
        <f>VLOOKUP(A219,'Account Mapping'!$A$2:$F$216,6,0)</f>
        <v>#N/A</v>
      </c>
      <c r="X219" s="194">
        <f t="shared" si="116"/>
        <v>1706.75</v>
      </c>
      <c r="Y219" s="194">
        <f t="shared" si="117"/>
        <v>0</v>
      </c>
      <c r="Z219" s="13">
        <f t="shared" si="118"/>
        <v>0</v>
      </c>
      <c r="AA219" s="13">
        <f t="shared" si="119"/>
        <v>0</v>
      </c>
      <c r="AB219" s="13">
        <f t="shared" si="120"/>
        <v>0</v>
      </c>
      <c r="AC219" s="13">
        <f t="shared" si="121"/>
        <v>0</v>
      </c>
      <c r="AD219" s="13">
        <f t="shared" si="122"/>
        <v>0</v>
      </c>
      <c r="AE219" s="13">
        <f t="shared" si="123"/>
        <v>0</v>
      </c>
      <c r="AF219" s="13">
        <f t="shared" si="124"/>
        <v>0</v>
      </c>
      <c r="AG219" s="685">
        <f t="shared" si="125"/>
        <v>0</v>
      </c>
      <c r="AH219" s="688" t="b">
        <f t="shared" si="126"/>
        <v>1</v>
      </c>
    </row>
    <row r="220" spans="1:34" s="1" customFormat="1" ht="15" customHeight="1">
      <c r="A220" s="946">
        <v>10910006</v>
      </c>
      <c r="B220" s="946" t="s">
        <v>600</v>
      </c>
      <c r="C220" s="946">
        <v>6115904000573</v>
      </c>
      <c r="D220" s="946">
        <v>100000039</v>
      </c>
      <c r="E220" s="946" t="s">
        <v>1431</v>
      </c>
      <c r="F220" s="946" t="s">
        <v>11</v>
      </c>
      <c r="G220" s="947">
        <v>58610.5</v>
      </c>
      <c r="H220" s="947">
        <v>58610.5</v>
      </c>
      <c r="I220" s="948">
        <v>45975</v>
      </c>
      <c r="J220" s="948">
        <v>46066</v>
      </c>
      <c r="K220" s="948">
        <v>46066</v>
      </c>
      <c r="L220" s="29" t="e">
        <f>VLOOKUP(A220,'Account Mapping'!$A$2:$E$216,3,0)</f>
        <v>#N/A</v>
      </c>
      <c r="M220" s="25" t="e">
        <f>VLOOKUP(A220,'Account Mapping'!$A$2:$E$216,4,0)</f>
        <v>#N/A</v>
      </c>
      <c r="N220" s="26" t="e">
        <f>IF(OR(C220='Account Mapping'!$H$4,C220='Account Mapping'!$H$5,C220='Account Mapping'!$H$6),'Account Mapping'!$I$4,VLOOKUP(A220,'Account Mapping'!$A$2:$E$216,5,0))</f>
        <v>#N/A</v>
      </c>
      <c r="O220" s="27" t="e">
        <f>IF(OR(L220="Loan",L220="Deposit_Liability",L220="OFF_Unused Loan Commitment",L220="HQLA"),VLOOKUP(D220,'Customer Type'!$A$3:$C$38,3,0),"")</f>
        <v>#N/A</v>
      </c>
      <c r="P220" s="656" t="e">
        <f t="shared" si="114"/>
        <v>#N/A</v>
      </c>
      <c r="Q220" s="658">
        <f>IF(COUNTIF('Account Mapping'!$H$12:$H$45,A220)&gt;0,-H220,H220)</f>
        <v>58610.5</v>
      </c>
      <c r="R220" s="249" t="e">
        <f>VLOOKUP(P220,Assumptions!$C$2:$D$64,2,0)</f>
        <v>#N/A</v>
      </c>
      <c r="S220" s="692">
        <f>IFERROR(VLOOKUP(A220,'Maturity Adjustment'!$A$3:$C$81,3,0),(IF(J220&lt;$N$4,"Tomorrow",J220)))</f>
        <v>46066</v>
      </c>
      <c r="T220" s="24">
        <f t="shared" si="113"/>
        <v>8</v>
      </c>
      <c r="U220" s="196" t="e">
        <f t="shared" si="115"/>
        <v>#N/A</v>
      </c>
      <c r="V220" s="11">
        <f>IFERROR(VLOOKUP(A220,'Maturity Adjustment'!$A$86:$C$91,3,0),S220)</f>
        <v>46066</v>
      </c>
      <c r="W220" s="207" t="e">
        <f>VLOOKUP(A220,'Account Mapping'!$A$2:$F$216,6,0)</f>
        <v>#N/A</v>
      </c>
      <c r="X220" s="194">
        <f t="shared" si="116"/>
        <v>0</v>
      </c>
      <c r="Y220" s="194">
        <f t="shared" si="117"/>
        <v>0</v>
      </c>
      <c r="Z220" s="13">
        <f t="shared" si="118"/>
        <v>58610.5</v>
      </c>
      <c r="AA220" s="13">
        <f t="shared" si="119"/>
        <v>0</v>
      </c>
      <c r="AB220" s="13">
        <f t="shared" si="120"/>
        <v>0</v>
      </c>
      <c r="AC220" s="13">
        <f t="shared" si="121"/>
        <v>0</v>
      </c>
      <c r="AD220" s="13">
        <f t="shared" si="122"/>
        <v>0</v>
      </c>
      <c r="AE220" s="13">
        <f t="shared" si="123"/>
        <v>0</v>
      </c>
      <c r="AF220" s="13">
        <f t="shared" si="124"/>
        <v>0</v>
      </c>
      <c r="AG220" s="685">
        <f t="shared" si="125"/>
        <v>0</v>
      </c>
      <c r="AH220" s="688" t="b">
        <f t="shared" si="126"/>
        <v>1</v>
      </c>
    </row>
    <row r="221" spans="1:34" s="1" customFormat="1" ht="15" customHeight="1">
      <c r="A221" s="946">
        <v>10910006</v>
      </c>
      <c r="B221" s="946" t="s">
        <v>600</v>
      </c>
      <c r="C221" s="946">
        <v>6115904000580</v>
      </c>
      <c r="D221" s="946">
        <v>100000014</v>
      </c>
      <c r="E221" s="946" t="s">
        <v>23</v>
      </c>
      <c r="F221" s="946" t="s">
        <v>26</v>
      </c>
      <c r="G221" s="947">
        <v>12188.24</v>
      </c>
      <c r="H221" s="947">
        <v>17352.28</v>
      </c>
      <c r="I221" s="949"/>
      <c r="J221" s="949"/>
      <c r="K221" s="949"/>
      <c r="L221" s="29" t="e">
        <f>VLOOKUP(A221,'Account Mapping'!$A$2:$E$216,3,0)</f>
        <v>#N/A</v>
      </c>
      <c r="M221" s="25" t="e">
        <f>VLOOKUP(A221,'Account Mapping'!$A$2:$E$216,4,0)</f>
        <v>#N/A</v>
      </c>
      <c r="N221" s="26" t="e">
        <f>IF(OR(C221='Account Mapping'!$H$4,C221='Account Mapping'!$H$5,C221='Account Mapping'!$H$6),'Account Mapping'!$I$4,VLOOKUP(A221,'Account Mapping'!$A$2:$E$216,5,0))</f>
        <v>#N/A</v>
      </c>
      <c r="O221" s="27" t="e">
        <f>IF(OR(L221="Loan",L221="Deposit_Liability",L221="OFF_Unused Loan Commitment",L221="HQLA"),VLOOKUP(D221,'Customer Type'!$A$3:$C$38,3,0),"")</f>
        <v>#N/A</v>
      </c>
      <c r="P221" s="656" t="e">
        <f t="shared" si="114"/>
        <v>#N/A</v>
      </c>
      <c r="Q221" s="658">
        <f>IF(COUNTIF('Account Mapping'!$H$12:$H$45,A221)&gt;0,-H221,H221)</f>
        <v>17352.28</v>
      </c>
      <c r="R221" s="249" t="e">
        <f>VLOOKUP(P221,Assumptions!$C$2:$D$64,2,0)</f>
        <v>#N/A</v>
      </c>
      <c r="S221" s="692" t="str">
        <f>IFERROR(VLOOKUP(A221,'Maturity Adjustment'!$A$3:$C$81,3,0),(IF(J221&lt;$N$4,"Tomorrow",J221)))</f>
        <v>Tomorrow</v>
      </c>
      <c r="T221" s="24">
        <f t="shared" si="113"/>
        <v>1</v>
      </c>
      <c r="U221" s="196" t="e">
        <f t="shared" si="115"/>
        <v>#N/A</v>
      </c>
      <c r="V221" s="11" t="str">
        <f>IFERROR(VLOOKUP(A221,'Maturity Adjustment'!$A$86:$C$91,3,0),S221)</f>
        <v>Tomorrow</v>
      </c>
      <c r="W221" s="207" t="e">
        <f>VLOOKUP(A221,'Account Mapping'!$A$2:$F$216,6,0)</f>
        <v>#N/A</v>
      </c>
      <c r="X221" s="194">
        <f t="shared" si="116"/>
        <v>17352.28</v>
      </c>
      <c r="Y221" s="194">
        <f t="shared" si="117"/>
        <v>0</v>
      </c>
      <c r="Z221" s="13">
        <f t="shared" si="118"/>
        <v>0</v>
      </c>
      <c r="AA221" s="13">
        <f t="shared" si="119"/>
        <v>0</v>
      </c>
      <c r="AB221" s="13">
        <f t="shared" si="120"/>
        <v>0</v>
      </c>
      <c r="AC221" s="13">
        <f t="shared" si="121"/>
        <v>0</v>
      </c>
      <c r="AD221" s="13">
        <f t="shared" si="122"/>
        <v>0</v>
      </c>
      <c r="AE221" s="13">
        <f t="shared" si="123"/>
        <v>0</v>
      </c>
      <c r="AF221" s="13">
        <f t="shared" si="124"/>
        <v>0</v>
      </c>
      <c r="AG221" s="685">
        <f t="shared" si="125"/>
        <v>0</v>
      </c>
      <c r="AH221" s="688" t="b">
        <f t="shared" si="126"/>
        <v>1</v>
      </c>
    </row>
    <row r="222" spans="1:34" s="1" customFormat="1" ht="15" customHeight="1">
      <c r="A222" s="946">
        <v>10910006</v>
      </c>
      <c r="B222" s="946" t="s">
        <v>600</v>
      </c>
      <c r="C222" s="946">
        <v>6115904000598</v>
      </c>
      <c r="D222" s="946">
        <v>100000014</v>
      </c>
      <c r="E222" s="946" t="s">
        <v>23</v>
      </c>
      <c r="F222" s="946" t="s">
        <v>26</v>
      </c>
      <c r="G222" s="947">
        <v>1450.49</v>
      </c>
      <c r="H222" s="947">
        <v>2065.0500000000002</v>
      </c>
      <c r="I222" s="949"/>
      <c r="J222" s="949"/>
      <c r="K222" s="949"/>
      <c r="L222" s="29" t="e">
        <f>VLOOKUP(A222,'Account Mapping'!$A$2:$E$216,3,0)</f>
        <v>#N/A</v>
      </c>
      <c r="M222" s="25" t="e">
        <f>VLOOKUP(A222,'Account Mapping'!$A$2:$E$216,4,0)</f>
        <v>#N/A</v>
      </c>
      <c r="N222" s="26" t="e">
        <f>IF(OR(C222='Account Mapping'!$H$4,C222='Account Mapping'!$H$5,C222='Account Mapping'!$H$6),'Account Mapping'!$I$4,VLOOKUP(A222,'Account Mapping'!$A$2:$E$216,5,0))</f>
        <v>#N/A</v>
      </c>
      <c r="O222" s="27" t="e">
        <f>IF(OR(L222="Loan",L222="Deposit_Liability",L222="OFF_Unused Loan Commitment",L222="HQLA"),VLOOKUP(D222,'Customer Type'!$A$3:$C$38,3,0),"")</f>
        <v>#N/A</v>
      </c>
      <c r="P222" s="656" t="e">
        <f t="shared" si="114"/>
        <v>#N/A</v>
      </c>
      <c r="Q222" s="658">
        <f>IF(COUNTIF('Account Mapping'!$H$12:$H$45,A222)&gt;0,-H222,H222)</f>
        <v>2065.0500000000002</v>
      </c>
      <c r="R222" s="249" t="e">
        <f>VLOOKUP(P222,Assumptions!$C$2:$D$64,2,0)</f>
        <v>#N/A</v>
      </c>
      <c r="S222" s="692" t="str">
        <f>IFERROR(VLOOKUP(A222,'Maturity Adjustment'!$A$3:$C$81,3,0),(IF(J222&lt;$N$4,"Tomorrow",J222)))</f>
        <v>Tomorrow</v>
      </c>
      <c r="T222" s="24">
        <f t="shared" si="113"/>
        <v>1</v>
      </c>
      <c r="U222" s="196" t="e">
        <f t="shared" si="115"/>
        <v>#N/A</v>
      </c>
      <c r="V222" s="11" t="str">
        <f>IFERROR(VLOOKUP(A222,'Maturity Adjustment'!$A$86:$C$91,3,0),S222)</f>
        <v>Tomorrow</v>
      </c>
      <c r="W222" s="207" t="e">
        <f>VLOOKUP(A222,'Account Mapping'!$A$2:$F$216,6,0)</f>
        <v>#N/A</v>
      </c>
      <c r="X222" s="194">
        <f t="shared" si="116"/>
        <v>2065.0500000000002</v>
      </c>
      <c r="Y222" s="194">
        <f t="shared" si="117"/>
        <v>0</v>
      </c>
      <c r="Z222" s="13">
        <f t="shared" si="118"/>
        <v>0</v>
      </c>
      <c r="AA222" s="13">
        <f t="shared" si="119"/>
        <v>0</v>
      </c>
      <c r="AB222" s="13">
        <f t="shared" si="120"/>
        <v>0</v>
      </c>
      <c r="AC222" s="13">
        <f t="shared" si="121"/>
        <v>0</v>
      </c>
      <c r="AD222" s="13">
        <f t="shared" si="122"/>
        <v>0</v>
      </c>
      <c r="AE222" s="13">
        <f t="shared" si="123"/>
        <v>0</v>
      </c>
      <c r="AF222" s="13">
        <f t="shared" si="124"/>
        <v>0</v>
      </c>
      <c r="AG222" s="685">
        <f t="shared" si="125"/>
        <v>0</v>
      </c>
      <c r="AH222" s="688" t="b">
        <f t="shared" si="126"/>
        <v>1</v>
      </c>
    </row>
    <row r="223" spans="1:34" s="1" customFormat="1" ht="15" customHeight="1">
      <c r="A223" s="946">
        <v>10910006</v>
      </c>
      <c r="B223" s="946" t="s">
        <v>600</v>
      </c>
      <c r="C223" s="946">
        <v>6115904000609</v>
      </c>
      <c r="D223" s="946">
        <v>100000040</v>
      </c>
      <c r="E223" s="946" t="s">
        <v>1441</v>
      </c>
      <c r="F223" s="946" t="s">
        <v>11</v>
      </c>
      <c r="G223" s="947">
        <v>45998.63</v>
      </c>
      <c r="H223" s="947">
        <v>45998.63</v>
      </c>
      <c r="I223" s="948">
        <v>46049</v>
      </c>
      <c r="J223" s="948">
        <v>46080</v>
      </c>
      <c r="K223" s="948">
        <v>46080</v>
      </c>
      <c r="L223" s="29" t="e">
        <f>VLOOKUP(A223,'Account Mapping'!$A$2:$E$216,3,0)</f>
        <v>#N/A</v>
      </c>
      <c r="M223" s="25" t="e">
        <f>VLOOKUP(A223,'Account Mapping'!$A$2:$E$216,4,0)</f>
        <v>#N/A</v>
      </c>
      <c r="N223" s="26" t="e">
        <f>IF(OR(C223='Account Mapping'!$H$4,C223='Account Mapping'!$H$5,C223='Account Mapping'!$H$6),'Account Mapping'!$I$4,VLOOKUP(A223,'Account Mapping'!$A$2:$E$216,5,0))</f>
        <v>#N/A</v>
      </c>
      <c r="O223" s="27" t="e">
        <f>IF(OR(L223="Loan",L223="Deposit_Liability",L223="OFF_Unused Loan Commitment",L223="HQLA"),VLOOKUP(D223,'Customer Type'!$A$3:$C$38,3,0),"")</f>
        <v>#N/A</v>
      </c>
      <c r="P223" s="656" t="e">
        <f t="shared" si="114"/>
        <v>#N/A</v>
      </c>
      <c r="Q223" s="658">
        <f>IF(COUNTIF('Account Mapping'!$H$12:$H$45,A223)&gt;0,-H223,H223)</f>
        <v>45998.63</v>
      </c>
      <c r="R223" s="249" t="e">
        <f>VLOOKUP(P223,Assumptions!$C$2:$D$64,2,0)</f>
        <v>#N/A</v>
      </c>
      <c r="S223" s="692">
        <f>IFERROR(VLOOKUP(A223,'Maturity Adjustment'!$A$3:$C$81,3,0),(IF(J223&lt;$N$4,"Tomorrow",J223)))</f>
        <v>46080</v>
      </c>
      <c r="T223" s="24">
        <f t="shared" si="113"/>
        <v>22</v>
      </c>
      <c r="U223" s="196" t="e">
        <f t="shared" si="115"/>
        <v>#N/A</v>
      </c>
      <c r="V223" s="11">
        <f>IFERROR(VLOOKUP(A223,'Maturity Adjustment'!$A$86:$C$91,3,0),S223)</f>
        <v>46080</v>
      </c>
      <c r="W223" s="207" t="e">
        <f>VLOOKUP(A223,'Account Mapping'!$A$2:$F$216,6,0)</f>
        <v>#N/A</v>
      </c>
      <c r="X223" s="194">
        <f t="shared" si="116"/>
        <v>0</v>
      </c>
      <c r="Y223" s="194">
        <f t="shared" si="117"/>
        <v>0</v>
      </c>
      <c r="Z223" s="13">
        <f t="shared" si="118"/>
        <v>45998.63</v>
      </c>
      <c r="AA223" s="13">
        <f t="shared" si="119"/>
        <v>0</v>
      </c>
      <c r="AB223" s="13">
        <f t="shared" si="120"/>
        <v>0</v>
      </c>
      <c r="AC223" s="13">
        <f t="shared" si="121"/>
        <v>0</v>
      </c>
      <c r="AD223" s="13">
        <f t="shared" si="122"/>
        <v>0</v>
      </c>
      <c r="AE223" s="13">
        <f t="shared" si="123"/>
        <v>0</v>
      </c>
      <c r="AF223" s="13">
        <f t="shared" si="124"/>
        <v>0</v>
      </c>
      <c r="AG223" s="685">
        <f t="shared" si="125"/>
        <v>0</v>
      </c>
      <c r="AH223" s="688" t="b">
        <f t="shared" si="126"/>
        <v>1</v>
      </c>
    </row>
    <row r="224" spans="1:34" s="1" customFormat="1" ht="15" customHeight="1">
      <c r="A224" s="946">
        <v>10910006</v>
      </c>
      <c r="B224" s="946" t="s">
        <v>600</v>
      </c>
      <c r="C224" s="946">
        <v>6115904000616</v>
      </c>
      <c r="D224" s="946">
        <v>100000014</v>
      </c>
      <c r="E224" s="946" t="s">
        <v>23</v>
      </c>
      <c r="F224" s="946" t="s">
        <v>26</v>
      </c>
      <c r="G224" s="947">
        <v>9109.1</v>
      </c>
      <c r="H224" s="947">
        <v>12968.54</v>
      </c>
      <c r="I224" s="948"/>
      <c r="J224" s="948"/>
      <c r="K224" s="948"/>
      <c r="L224" s="29" t="e">
        <f>VLOOKUP(A224,'Account Mapping'!$A$2:$E$216,3,0)</f>
        <v>#N/A</v>
      </c>
      <c r="M224" s="25" t="e">
        <f>VLOOKUP(A224,'Account Mapping'!$A$2:$E$216,4,0)</f>
        <v>#N/A</v>
      </c>
      <c r="N224" s="26" t="e">
        <f>IF(OR(C224='Account Mapping'!$H$4,C224='Account Mapping'!$H$5,C224='Account Mapping'!$H$6),'Account Mapping'!$I$4,VLOOKUP(A224,'Account Mapping'!$A$2:$E$216,5,0))</f>
        <v>#N/A</v>
      </c>
      <c r="O224" s="27" t="e">
        <f>IF(OR(L224="Loan",L224="Deposit_Liability",L224="OFF_Unused Loan Commitment",L224="HQLA"),VLOOKUP(D224,'Customer Type'!$A$3:$C$38,3,0),"")</f>
        <v>#N/A</v>
      </c>
      <c r="P224" s="656" t="e">
        <f t="shared" si="114"/>
        <v>#N/A</v>
      </c>
      <c r="Q224" s="658">
        <f>IF(COUNTIF('Account Mapping'!$H$12:$H$45,A224)&gt;0,-H224,H224)</f>
        <v>12968.54</v>
      </c>
      <c r="R224" s="249" t="e">
        <f>VLOOKUP(P224,Assumptions!$C$2:$D$64,2,0)</f>
        <v>#N/A</v>
      </c>
      <c r="S224" s="692" t="str">
        <f>IFERROR(VLOOKUP(A224,'Maturity Adjustment'!$A$3:$C$81,3,0),(IF(J224&lt;$N$4,"Tomorrow",J224)))</f>
        <v>Tomorrow</v>
      </c>
      <c r="T224" s="24">
        <f t="shared" si="113"/>
        <v>1</v>
      </c>
      <c r="U224" s="196" t="e">
        <f t="shared" si="115"/>
        <v>#N/A</v>
      </c>
      <c r="V224" s="11" t="str">
        <f>IFERROR(VLOOKUP(A224,'Maturity Adjustment'!$A$86:$C$91,3,0),S224)</f>
        <v>Tomorrow</v>
      </c>
      <c r="W224" s="207" t="e">
        <f>VLOOKUP(A224,'Account Mapping'!$A$2:$F$216,6,0)</f>
        <v>#N/A</v>
      </c>
      <c r="X224" s="194">
        <f t="shared" si="116"/>
        <v>12968.54</v>
      </c>
      <c r="Y224" s="194">
        <f t="shared" si="117"/>
        <v>0</v>
      </c>
      <c r="Z224" s="13">
        <f t="shared" si="118"/>
        <v>0</v>
      </c>
      <c r="AA224" s="13">
        <f t="shared" si="119"/>
        <v>0</v>
      </c>
      <c r="AB224" s="13">
        <f t="shared" si="120"/>
        <v>0</v>
      </c>
      <c r="AC224" s="13">
        <f t="shared" si="121"/>
        <v>0</v>
      </c>
      <c r="AD224" s="13">
        <f t="shared" si="122"/>
        <v>0</v>
      </c>
      <c r="AE224" s="13">
        <f t="shared" si="123"/>
        <v>0</v>
      </c>
      <c r="AF224" s="13">
        <f t="shared" si="124"/>
        <v>0</v>
      </c>
      <c r="AG224" s="685">
        <f t="shared" si="125"/>
        <v>0</v>
      </c>
      <c r="AH224" s="688" t="b">
        <f t="shared" si="126"/>
        <v>1</v>
      </c>
    </row>
    <row r="225" spans="1:34" s="1" customFormat="1" ht="15" customHeight="1">
      <c r="A225" s="946">
        <v>10910006</v>
      </c>
      <c r="B225" s="946" t="s">
        <v>600</v>
      </c>
      <c r="C225" s="946">
        <v>6115904000623</v>
      </c>
      <c r="D225" s="946">
        <v>100000020</v>
      </c>
      <c r="E225" s="946" t="s">
        <v>857</v>
      </c>
      <c r="F225" s="946" t="s">
        <v>11</v>
      </c>
      <c r="G225" s="947">
        <v>253467.95</v>
      </c>
      <c r="H225" s="947">
        <v>253467.95</v>
      </c>
      <c r="I225" s="949">
        <v>45971</v>
      </c>
      <c r="J225" s="949">
        <v>46153</v>
      </c>
      <c r="K225" s="949">
        <v>46153</v>
      </c>
      <c r="L225" s="29" t="e">
        <f>VLOOKUP(A225,'Account Mapping'!$A$2:$E$216,3,0)</f>
        <v>#N/A</v>
      </c>
      <c r="M225" s="25" t="e">
        <f>VLOOKUP(A225,'Account Mapping'!$A$2:$E$216,4,0)</f>
        <v>#N/A</v>
      </c>
      <c r="N225" s="26" t="e">
        <f>IF(OR(C225='Account Mapping'!$H$4,C225='Account Mapping'!$H$5,C225='Account Mapping'!$H$6),'Account Mapping'!$I$4,VLOOKUP(A225,'Account Mapping'!$A$2:$E$216,5,0))</f>
        <v>#N/A</v>
      </c>
      <c r="O225" s="27" t="e">
        <f>IF(OR(L225="Loan",L225="Deposit_Liability",L225="OFF_Unused Loan Commitment",L225="HQLA"),VLOOKUP(D225,'Customer Type'!$A$3:$C$38,3,0),"")</f>
        <v>#N/A</v>
      </c>
      <c r="P225" s="656" t="e">
        <f t="shared" si="114"/>
        <v>#N/A</v>
      </c>
      <c r="Q225" s="658">
        <f>IF(COUNTIF('Account Mapping'!$H$12:$H$45,A225)&gt;0,-H225,H225)</f>
        <v>253467.95</v>
      </c>
      <c r="R225" s="249" t="e">
        <f>VLOOKUP(P225,Assumptions!$C$2:$D$64,2,0)</f>
        <v>#N/A</v>
      </c>
      <c r="S225" s="692">
        <f>IFERROR(VLOOKUP(A225,'Maturity Adjustment'!$A$3:$C$81,3,0),(IF(J225&lt;$N$4,"Tomorrow",J225)))</f>
        <v>46153</v>
      </c>
      <c r="T225" s="24">
        <f t="shared" si="113"/>
        <v>95</v>
      </c>
      <c r="U225" s="196" t="e">
        <f t="shared" si="115"/>
        <v>#N/A</v>
      </c>
      <c r="V225" s="11">
        <f>IFERROR(VLOOKUP(A225,'Maturity Adjustment'!$A$86:$C$91,3,0),S225)</f>
        <v>46153</v>
      </c>
      <c r="W225" s="207" t="e">
        <f>VLOOKUP(A225,'Account Mapping'!$A$2:$F$216,6,0)</f>
        <v>#N/A</v>
      </c>
      <c r="X225" s="194">
        <f t="shared" si="116"/>
        <v>0</v>
      </c>
      <c r="Y225" s="194">
        <f t="shared" si="117"/>
        <v>0</v>
      </c>
      <c r="Z225" s="13">
        <f t="shared" si="118"/>
        <v>0</v>
      </c>
      <c r="AA225" s="13">
        <f t="shared" si="119"/>
        <v>0</v>
      </c>
      <c r="AB225" s="13">
        <f t="shared" si="120"/>
        <v>253467.95</v>
      </c>
      <c r="AC225" s="13">
        <f t="shared" si="121"/>
        <v>0</v>
      </c>
      <c r="AD225" s="13">
        <f t="shared" si="122"/>
        <v>0</v>
      </c>
      <c r="AE225" s="13">
        <f t="shared" si="123"/>
        <v>0</v>
      </c>
      <c r="AF225" s="13">
        <f t="shared" si="124"/>
        <v>0</v>
      </c>
      <c r="AG225" s="685">
        <f t="shared" si="125"/>
        <v>0</v>
      </c>
      <c r="AH225" s="688" t="b">
        <f t="shared" si="126"/>
        <v>1</v>
      </c>
    </row>
    <row r="226" spans="1:34" s="1" customFormat="1" ht="15" customHeight="1">
      <c r="A226" s="946">
        <v>10910006</v>
      </c>
      <c r="B226" s="946" t="s">
        <v>600</v>
      </c>
      <c r="C226" s="946">
        <v>6115904000630</v>
      </c>
      <c r="D226" s="946">
        <v>100000014</v>
      </c>
      <c r="E226" s="946" t="s">
        <v>23</v>
      </c>
      <c r="F226" s="946" t="s">
        <v>26</v>
      </c>
      <c r="G226" s="947">
        <v>1373.79</v>
      </c>
      <c r="H226" s="947">
        <v>1955.85</v>
      </c>
      <c r="I226" s="948"/>
      <c r="J226" s="948"/>
      <c r="K226" s="948"/>
      <c r="L226" s="29" t="e">
        <f>VLOOKUP(A226,'Account Mapping'!$A$2:$E$216,3,0)</f>
        <v>#N/A</v>
      </c>
      <c r="M226" s="25" t="e">
        <f>VLOOKUP(A226,'Account Mapping'!$A$2:$E$216,4,0)</f>
        <v>#N/A</v>
      </c>
      <c r="N226" s="26" t="e">
        <f>IF(OR(C226='Account Mapping'!$H$4,C226='Account Mapping'!$H$5,C226='Account Mapping'!$H$6),'Account Mapping'!$I$4,VLOOKUP(A226,'Account Mapping'!$A$2:$E$216,5,0))</f>
        <v>#N/A</v>
      </c>
      <c r="O226" s="27" t="e">
        <f>IF(OR(L226="Loan",L226="Deposit_Liability",L226="OFF_Unused Loan Commitment",L226="HQLA"),VLOOKUP(D226,'Customer Type'!$A$3:$C$38,3,0),"")</f>
        <v>#N/A</v>
      </c>
      <c r="P226" s="656" t="e">
        <f t="shared" si="114"/>
        <v>#N/A</v>
      </c>
      <c r="Q226" s="658">
        <f>IF(COUNTIF('Account Mapping'!$H$12:$H$45,A226)&gt;0,-H226,H226)</f>
        <v>1955.85</v>
      </c>
      <c r="R226" s="249" t="e">
        <f>VLOOKUP(P226,Assumptions!$C$2:$D$64,2,0)</f>
        <v>#N/A</v>
      </c>
      <c r="S226" s="692" t="str">
        <f>IFERROR(VLOOKUP(A226,'Maturity Adjustment'!$A$3:$C$81,3,0),(IF(J226&lt;$N$4,"Tomorrow",J226)))</f>
        <v>Tomorrow</v>
      </c>
      <c r="T226" s="24">
        <f t="shared" si="113"/>
        <v>1</v>
      </c>
      <c r="U226" s="196" t="e">
        <f t="shared" si="115"/>
        <v>#N/A</v>
      </c>
      <c r="V226" s="11" t="str">
        <f>IFERROR(VLOOKUP(A226,'Maturity Adjustment'!$A$86:$C$91,3,0),S226)</f>
        <v>Tomorrow</v>
      </c>
      <c r="W226" s="207" t="e">
        <f>VLOOKUP(A226,'Account Mapping'!$A$2:$F$216,6,0)</f>
        <v>#N/A</v>
      </c>
      <c r="X226" s="194">
        <f t="shared" si="116"/>
        <v>1955.85</v>
      </c>
      <c r="Y226" s="194">
        <f t="shared" si="117"/>
        <v>0</v>
      </c>
      <c r="Z226" s="13">
        <f t="shared" si="118"/>
        <v>0</v>
      </c>
      <c r="AA226" s="13">
        <f t="shared" si="119"/>
        <v>0</v>
      </c>
      <c r="AB226" s="13">
        <f t="shared" si="120"/>
        <v>0</v>
      </c>
      <c r="AC226" s="13">
        <f t="shared" si="121"/>
        <v>0</v>
      </c>
      <c r="AD226" s="13">
        <f t="shared" si="122"/>
        <v>0</v>
      </c>
      <c r="AE226" s="13">
        <f t="shared" si="123"/>
        <v>0</v>
      </c>
      <c r="AF226" s="13">
        <f t="shared" si="124"/>
        <v>0</v>
      </c>
      <c r="AG226" s="685">
        <f t="shared" si="125"/>
        <v>0</v>
      </c>
      <c r="AH226" s="688" t="b">
        <f t="shared" si="126"/>
        <v>1</v>
      </c>
    </row>
    <row r="227" spans="1:34" s="1" customFormat="1" ht="15" customHeight="1">
      <c r="A227" s="946">
        <v>10910006</v>
      </c>
      <c r="B227" s="946" t="s">
        <v>600</v>
      </c>
      <c r="C227" s="946">
        <v>6115904000648</v>
      </c>
      <c r="D227" s="946">
        <v>100000014</v>
      </c>
      <c r="E227" s="946" t="s">
        <v>23</v>
      </c>
      <c r="F227" s="946" t="s">
        <v>26</v>
      </c>
      <c r="G227" s="947">
        <v>13342.91</v>
      </c>
      <c r="H227" s="947">
        <v>18996.169999999998</v>
      </c>
      <c r="I227" s="949"/>
      <c r="J227" s="949"/>
      <c r="K227" s="949"/>
      <c r="L227" s="29" t="e">
        <f>VLOOKUP(A227,'Account Mapping'!$A$2:$E$216,3,0)</f>
        <v>#N/A</v>
      </c>
      <c r="M227" s="25" t="e">
        <f>VLOOKUP(A227,'Account Mapping'!$A$2:$E$216,4,0)</f>
        <v>#N/A</v>
      </c>
      <c r="N227" s="26" t="e">
        <f>IF(OR(C227='Account Mapping'!$H$4,C227='Account Mapping'!$H$5,C227='Account Mapping'!$H$6),'Account Mapping'!$I$4,VLOOKUP(A227,'Account Mapping'!$A$2:$E$216,5,0))</f>
        <v>#N/A</v>
      </c>
      <c r="O227" s="27" t="e">
        <f>IF(OR(L227="Loan",L227="Deposit_Liability",L227="OFF_Unused Loan Commitment",L227="HQLA"),VLOOKUP(D227,'Customer Type'!$A$3:$C$38,3,0),"")</f>
        <v>#N/A</v>
      </c>
      <c r="P227" s="656" t="e">
        <f t="shared" si="114"/>
        <v>#N/A</v>
      </c>
      <c r="Q227" s="658">
        <f>IF(COUNTIF('Account Mapping'!$H$12:$H$45,A227)&gt;0,-H227,H227)</f>
        <v>18996.169999999998</v>
      </c>
      <c r="R227" s="249" t="e">
        <f>VLOOKUP(P227,Assumptions!$C$2:$D$64,2,0)</f>
        <v>#N/A</v>
      </c>
      <c r="S227" s="692" t="str">
        <f>IFERROR(VLOOKUP(A227,'Maturity Adjustment'!$A$3:$C$81,3,0),(IF(J227&lt;$N$4,"Tomorrow",J227)))</f>
        <v>Tomorrow</v>
      </c>
      <c r="T227" s="24">
        <f t="shared" si="113"/>
        <v>1</v>
      </c>
      <c r="U227" s="196" t="e">
        <f t="shared" si="115"/>
        <v>#N/A</v>
      </c>
      <c r="V227" s="11" t="str">
        <f>IFERROR(VLOOKUP(A227,'Maturity Adjustment'!$A$86:$C$91,3,0),S227)</f>
        <v>Tomorrow</v>
      </c>
      <c r="W227" s="207" t="e">
        <f>VLOOKUP(A227,'Account Mapping'!$A$2:$F$216,6,0)</f>
        <v>#N/A</v>
      </c>
      <c r="X227" s="194">
        <f t="shared" si="116"/>
        <v>18996.169999999998</v>
      </c>
      <c r="Y227" s="194">
        <f t="shared" si="117"/>
        <v>0</v>
      </c>
      <c r="Z227" s="13">
        <f t="shared" si="118"/>
        <v>0</v>
      </c>
      <c r="AA227" s="13">
        <f t="shared" si="119"/>
        <v>0</v>
      </c>
      <c r="AB227" s="13">
        <f t="shared" si="120"/>
        <v>0</v>
      </c>
      <c r="AC227" s="13">
        <f t="shared" si="121"/>
        <v>0</v>
      </c>
      <c r="AD227" s="13">
        <f t="shared" si="122"/>
        <v>0</v>
      </c>
      <c r="AE227" s="13">
        <f t="shared" si="123"/>
        <v>0</v>
      </c>
      <c r="AF227" s="13">
        <f t="shared" si="124"/>
        <v>0</v>
      </c>
      <c r="AG227" s="685">
        <f t="shared" si="125"/>
        <v>0</v>
      </c>
      <c r="AH227" s="688" t="b">
        <f t="shared" si="126"/>
        <v>1</v>
      </c>
    </row>
    <row r="228" spans="1:34" s="1" customFormat="1" ht="15" customHeight="1">
      <c r="A228" s="946">
        <v>10910006</v>
      </c>
      <c r="B228" s="946" t="s">
        <v>600</v>
      </c>
      <c r="C228" s="946">
        <v>6115904000662</v>
      </c>
      <c r="D228" s="946">
        <v>100000014</v>
      </c>
      <c r="E228" s="946" t="s">
        <v>23</v>
      </c>
      <c r="F228" s="946" t="s">
        <v>26</v>
      </c>
      <c r="G228" s="947">
        <v>1487.63</v>
      </c>
      <c r="H228" s="947">
        <v>2117.92</v>
      </c>
      <c r="I228" s="948"/>
      <c r="J228" s="948"/>
      <c r="K228" s="948"/>
      <c r="L228" s="29" t="e">
        <f>VLOOKUP(A228,'Account Mapping'!$A$2:$E$216,3,0)</f>
        <v>#N/A</v>
      </c>
      <c r="M228" s="25" t="e">
        <f>VLOOKUP(A228,'Account Mapping'!$A$2:$E$216,4,0)</f>
        <v>#N/A</v>
      </c>
      <c r="N228" s="26" t="e">
        <f>IF(OR(C228='Account Mapping'!$H$4,C228='Account Mapping'!$H$5,C228='Account Mapping'!$H$6),'Account Mapping'!$I$4,VLOOKUP(A228,'Account Mapping'!$A$2:$E$216,5,0))</f>
        <v>#N/A</v>
      </c>
      <c r="O228" s="27" t="e">
        <f>IF(OR(L228="Loan",L228="Deposit_Liability",L228="OFF_Unused Loan Commitment",L228="HQLA"),VLOOKUP(D228,'Customer Type'!$A$3:$C$38,3,0),"")</f>
        <v>#N/A</v>
      </c>
      <c r="P228" s="656" t="e">
        <f t="shared" si="114"/>
        <v>#N/A</v>
      </c>
      <c r="Q228" s="658">
        <f>IF(COUNTIF('Account Mapping'!$H$12:$H$45,A228)&gt;0,-H228,H228)</f>
        <v>2117.92</v>
      </c>
      <c r="R228" s="249" t="e">
        <f>VLOOKUP(P228,Assumptions!$C$2:$D$64,2,0)</f>
        <v>#N/A</v>
      </c>
      <c r="S228" s="692" t="str">
        <f>IFERROR(VLOOKUP(A228,'Maturity Adjustment'!$A$3:$C$81,3,0),(IF(J228&lt;$N$4,"Tomorrow",J228)))</f>
        <v>Tomorrow</v>
      </c>
      <c r="T228" s="24">
        <f t="shared" si="113"/>
        <v>1</v>
      </c>
      <c r="U228" s="196" t="e">
        <f t="shared" si="115"/>
        <v>#N/A</v>
      </c>
      <c r="V228" s="11" t="str">
        <f>IFERROR(VLOOKUP(A228,'Maturity Adjustment'!$A$86:$C$91,3,0),S228)</f>
        <v>Tomorrow</v>
      </c>
      <c r="W228" s="207" t="e">
        <f>VLOOKUP(A228,'Account Mapping'!$A$2:$F$216,6,0)</f>
        <v>#N/A</v>
      </c>
      <c r="X228" s="194">
        <f t="shared" si="116"/>
        <v>2117.92</v>
      </c>
      <c r="Y228" s="194">
        <f t="shared" si="117"/>
        <v>0</v>
      </c>
      <c r="Z228" s="13">
        <f t="shared" si="118"/>
        <v>0</v>
      </c>
      <c r="AA228" s="13">
        <f t="shared" si="119"/>
        <v>0</v>
      </c>
      <c r="AB228" s="13">
        <f t="shared" si="120"/>
        <v>0</v>
      </c>
      <c r="AC228" s="13">
        <f t="shared" si="121"/>
        <v>0</v>
      </c>
      <c r="AD228" s="13">
        <f t="shared" si="122"/>
        <v>0</v>
      </c>
      <c r="AE228" s="13">
        <f t="shared" si="123"/>
        <v>0</v>
      </c>
      <c r="AF228" s="13">
        <f t="shared" si="124"/>
        <v>0</v>
      </c>
      <c r="AG228" s="685">
        <f t="shared" si="125"/>
        <v>0</v>
      </c>
      <c r="AH228" s="688" t="b">
        <f t="shared" si="126"/>
        <v>1</v>
      </c>
    </row>
    <row r="229" spans="1:34" s="1" customFormat="1" ht="15" customHeight="1">
      <c r="A229" s="946">
        <v>10910006</v>
      </c>
      <c r="B229" s="946" t="s">
        <v>600</v>
      </c>
      <c r="C229" s="946">
        <v>6115904000670</v>
      </c>
      <c r="D229" s="946">
        <v>100000014</v>
      </c>
      <c r="E229" s="946" t="s">
        <v>23</v>
      </c>
      <c r="F229" s="946" t="s">
        <v>26</v>
      </c>
      <c r="G229" s="947">
        <v>15139.07</v>
      </c>
      <c r="H229" s="947">
        <v>21553.35</v>
      </c>
      <c r="I229" s="948"/>
      <c r="J229" s="948"/>
      <c r="K229" s="948"/>
      <c r="L229" s="29" t="e">
        <f>VLOOKUP(A229,'Account Mapping'!$A$2:$E$216,3,0)</f>
        <v>#N/A</v>
      </c>
      <c r="M229" s="25" t="e">
        <f>VLOOKUP(A229,'Account Mapping'!$A$2:$E$216,4,0)</f>
        <v>#N/A</v>
      </c>
      <c r="N229" s="26" t="e">
        <f>IF(OR(C229='Account Mapping'!$H$4,C229='Account Mapping'!$H$5,C229='Account Mapping'!$H$6),'Account Mapping'!$I$4,VLOOKUP(A229,'Account Mapping'!$A$2:$E$216,5,0))</f>
        <v>#N/A</v>
      </c>
      <c r="O229" s="27" t="e">
        <f>IF(OR(L229="Loan",L229="Deposit_Liability",L229="OFF_Unused Loan Commitment",L229="HQLA"),VLOOKUP(D229,'Customer Type'!$A$3:$C$38,3,0),"")</f>
        <v>#N/A</v>
      </c>
      <c r="P229" s="656" t="e">
        <f t="shared" si="114"/>
        <v>#N/A</v>
      </c>
      <c r="Q229" s="658">
        <f>IF(COUNTIF('Account Mapping'!$H$12:$H$45,A229)&gt;0,-H229,H229)</f>
        <v>21553.35</v>
      </c>
      <c r="R229" s="249" t="e">
        <f>VLOOKUP(P229,Assumptions!$C$2:$D$64,2,0)</f>
        <v>#N/A</v>
      </c>
      <c r="S229" s="692" t="str">
        <f>IFERROR(VLOOKUP(A229,'Maturity Adjustment'!$A$3:$C$81,3,0),(IF(J229&lt;$N$4,"Tomorrow",J229)))</f>
        <v>Tomorrow</v>
      </c>
      <c r="T229" s="24">
        <f t="shared" si="113"/>
        <v>1</v>
      </c>
      <c r="U229" s="196" t="e">
        <f t="shared" si="115"/>
        <v>#N/A</v>
      </c>
      <c r="V229" s="11" t="str">
        <f>IFERROR(VLOOKUP(A229,'Maturity Adjustment'!$A$86:$C$91,3,0),S229)</f>
        <v>Tomorrow</v>
      </c>
      <c r="W229" s="207" t="e">
        <f>VLOOKUP(A229,'Account Mapping'!$A$2:$F$216,6,0)</f>
        <v>#N/A</v>
      </c>
      <c r="X229" s="194">
        <f t="shared" si="116"/>
        <v>21553.35</v>
      </c>
      <c r="Y229" s="194">
        <f t="shared" si="117"/>
        <v>0</v>
      </c>
      <c r="Z229" s="13">
        <f t="shared" si="118"/>
        <v>0</v>
      </c>
      <c r="AA229" s="13">
        <f t="shared" si="119"/>
        <v>0</v>
      </c>
      <c r="AB229" s="13">
        <f t="shared" si="120"/>
        <v>0</v>
      </c>
      <c r="AC229" s="13">
        <f t="shared" si="121"/>
        <v>0</v>
      </c>
      <c r="AD229" s="13">
        <f t="shared" si="122"/>
        <v>0</v>
      </c>
      <c r="AE229" s="13">
        <f t="shared" si="123"/>
        <v>0</v>
      </c>
      <c r="AF229" s="13">
        <f t="shared" si="124"/>
        <v>0</v>
      </c>
      <c r="AG229" s="685">
        <f t="shared" si="125"/>
        <v>0</v>
      </c>
      <c r="AH229" s="688" t="b">
        <f t="shared" si="126"/>
        <v>1</v>
      </c>
    </row>
    <row r="230" spans="1:34" s="1" customFormat="1" ht="15" customHeight="1">
      <c r="A230" s="946">
        <v>10910006</v>
      </c>
      <c r="B230" s="946" t="s">
        <v>600</v>
      </c>
      <c r="C230" s="946">
        <v>6115904000687</v>
      </c>
      <c r="D230" s="946">
        <v>100000014</v>
      </c>
      <c r="E230" s="946" t="s">
        <v>23</v>
      </c>
      <c r="F230" s="946" t="s">
        <v>26</v>
      </c>
      <c r="G230" s="947">
        <v>1628.51</v>
      </c>
      <c r="H230" s="947">
        <v>2318.4899999999998</v>
      </c>
      <c r="I230" s="948"/>
      <c r="J230" s="948"/>
      <c r="K230" s="948"/>
      <c r="L230" s="29" t="e">
        <f>VLOOKUP(A230,'Account Mapping'!$A$2:$E$216,3,0)</f>
        <v>#N/A</v>
      </c>
      <c r="M230" s="25" t="e">
        <f>VLOOKUP(A230,'Account Mapping'!$A$2:$E$216,4,0)</f>
        <v>#N/A</v>
      </c>
      <c r="N230" s="26" t="e">
        <f>IF(OR(C230='Account Mapping'!$H$4,C230='Account Mapping'!$H$5,C230='Account Mapping'!$H$6),'Account Mapping'!$I$4,VLOOKUP(A230,'Account Mapping'!$A$2:$E$216,5,0))</f>
        <v>#N/A</v>
      </c>
      <c r="O230" s="27" t="e">
        <f>IF(OR(L230="Loan",L230="Deposit_Liability",L230="OFF_Unused Loan Commitment",L230="HQLA"),VLOOKUP(D230,'Customer Type'!$A$3:$C$38,3,0),"")</f>
        <v>#N/A</v>
      </c>
      <c r="P230" s="656" t="e">
        <f t="shared" si="114"/>
        <v>#N/A</v>
      </c>
      <c r="Q230" s="658">
        <f>IF(COUNTIF('Account Mapping'!$H$12:$H$45,A230)&gt;0,-H230,H230)</f>
        <v>2318.4899999999998</v>
      </c>
      <c r="R230" s="249" t="e">
        <f>VLOOKUP(P230,Assumptions!$C$2:$D$64,2,0)</f>
        <v>#N/A</v>
      </c>
      <c r="S230" s="692" t="str">
        <f>IFERROR(VLOOKUP(A230,'Maturity Adjustment'!$A$3:$C$81,3,0),(IF(J230&lt;$N$4,"Tomorrow",J230)))</f>
        <v>Tomorrow</v>
      </c>
      <c r="T230" s="24">
        <f t="shared" si="113"/>
        <v>1</v>
      </c>
      <c r="U230" s="196" t="e">
        <f t="shared" si="115"/>
        <v>#N/A</v>
      </c>
      <c r="V230" s="11" t="str">
        <f>IFERROR(VLOOKUP(A230,'Maturity Adjustment'!$A$86:$C$91,3,0),S230)</f>
        <v>Tomorrow</v>
      </c>
      <c r="W230" s="207" t="e">
        <f>VLOOKUP(A230,'Account Mapping'!$A$2:$F$216,6,0)</f>
        <v>#N/A</v>
      </c>
      <c r="X230" s="194">
        <f t="shared" si="116"/>
        <v>2318.4899999999998</v>
      </c>
      <c r="Y230" s="194">
        <f t="shared" si="117"/>
        <v>0</v>
      </c>
      <c r="Z230" s="13">
        <f t="shared" si="118"/>
        <v>0</v>
      </c>
      <c r="AA230" s="13">
        <f t="shared" si="119"/>
        <v>0</v>
      </c>
      <c r="AB230" s="13">
        <f t="shared" si="120"/>
        <v>0</v>
      </c>
      <c r="AC230" s="13">
        <f t="shared" si="121"/>
        <v>0</v>
      </c>
      <c r="AD230" s="13">
        <f t="shared" si="122"/>
        <v>0</v>
      </c>
      <c r="AE230" s="13">
        <f t="shared" si="123"/>
        <v>0</v>
      </c>
      <c r="AF230" s="13">
        <f t="shared" si="124"/>
        <v>0</v>
      </c>
      <c r="AG230" s="685">
        <f t="shared" si="125"/>
        <v>0</v>
      </c>
      <c r="AH230" s="688" t="b">
        <f t="shared" si="126"/>
        <v>1</v>
      </c>
    </row>
    <row r="231" spans="1:34" s="1" customFormat="1" ht="15" customHeight="1">
      <c r="A231" s="946">
        <v>10910006</v>
      </c>
      <c r="B231" s="946" t="s">
        <v>600</v>
      </c>
      <c r="C231" s="946">
        <v>6115904000694</v>
      </c>
      <c r="D231" s="946">
        <v>100000014</v>
      </c>
      <c r="E231" s="946" t="s">
        <v>23</v>
      </c>
      <c r="F231" s="946" t="s">
        <v>26</v>
      </c>
      <c r="G231" s="947">
        <v>4747</v>
      </c>
      <c r="H231" s="947">
        <v>6758.26</v>
      </c>
      <c r="I231" s="948"/>
      <c r="J231" s="948"/>
      <c r="K231" s="948"/>
      <c r="L231" s="29" t="e">
        <f>VLOOKUP(A231,'Account Mapping'!$A$2:$E$216,3,0)</f>
        <v>#N/A</v>
      </c>
      <c r="M231" s="25" t="e">
        <f>VLOOKUP(A231,'Account Mapping'!$A$2:$E$216,4,0)</f>
        <v>#N/A</v>
      </c>
      <c r="N231" s="26" t="e">
        <f>IF(OR(C231='Account Mapping'!$H$4,C231='Account Mapping'!$H$5,C231='Account Mapping'!$H$6),'Account Mapping'!$I$4,VLOOKUP(A231,'Account Mapping'!$A$2:$E$216,5,0))</f>
        <v>#N/A</v>
      </c>
      <c r="O231" s="27" t="e">
        <f>IF(OR(L231="Loan",L231="Deposit_Liability",L231="OFF_Unused Loan Commitment",L231="HQLA"),VLOOKUP(D231,'Customer Type'!$A$3:$C$38,3,0),"")</f>
        <v>#N/A</v>
      </c>
      <c r="P231" s="656" t="e">
        <f t="shared" si="114"/>
        <v>#N/A</v>
      </c>
      <c r="Q231" s="658">
        <f>IF(COUNTIF('Account Mapping'!$H$12:$H$45,A231)&gt;0,-H231,H231)</f>
        <v>6758.26</v>
      </c>
      <c r="R231" s="249" t="e">
        <f>VLOOKUP(P231,Assumptions!$C$2:$D$64,2,0)</f>
        <v>#N/A</v>
      </c>
      <c r="S231" s="692" t="str">
        <f>IFERROR(VLOOKUP(A231,'Maturity Adjustment'!$A$3:$C$81,3,0),(IF(J231&lt;$N$4,"Tomorrow",J231)))</f>
        <v>Tomorrow</v>
      </c>
      <c r="T231" s="24">
        <f t="shared" si="113"/>
        <v>1</v>
      </c>
      <c r="U231" s="196" t="e">
        <f t="shared" si="115"/>
        <v>#N/A</v>
      </c>
      <c r="V231" s="11" t="str">
        <f>IFERROR(VLOOKUP(A231,'Maturity Adjustment'!$A$86:$C$91,3,0),S231)</f>
        <v>Tomorrow</v>
      </c>
      <c r="W231" s="207" t="e">
        <f>VLOOKUP(A231,'Account Mapping'!$A$2:$F$216,6,0)</f>
        <v>#N/A</v>
      </c>
      <c r="X231" s="194">
        <f t="shared" si="116"/>
        <v>6758.26</v>
      </c>
      <c r="Y231" s="194">
        <f t="shared" si="117"/>
        <v>0</v>
      </c>
      <c r="Z231" s="13">
        <f t="shared" si="118"/>
        <v>0</v>
      </c>
      <c r="AA231" s="13">
        <f t="shared" si="119"/>
        <v>0</v>
      </c>
      <c r="AB231" s="13">
        <f t="shared" si="120"/>
        <v>0</v>
      </c>
      <c r="AC231" s="13">
        <f t="shared" si="121"/>
        <v>0</v>
      </c>
      <c r="AD231" s="13">
        <f t="shared" si="122"/>
        <v>0</v>
      </c>
      <c r="AE231" s="13">
        <f t="shared" si="123"/>
        <v>0</v>
      </c>
      <c r="AF231" s="13">
        <f t="shared" si="124"/>
        <v>0</v>
      </c>
      <c r="AG231" s="685">
        <f t="shared" si="125"/>
        <v>0</v>
      </c>
      <c r="AH231" s="688" t="b">
        <f t="shared" si="126"/>
        <v>1</v>
      </c>
    </row>
    <row r="232" spans="1:34" s="1" customFormat="1" ht="15" customHeight="1">
      <c r="A232" s="946">
        <v>10910006</v>
      </c>
      <c r="B232" s="946" t="s">
        <v>600</v>
      </c>
      <c r="C232" s="946">
        <v>6115904000705</v>
      </c>
      <c r="D232" s="946">
        <v>100000039</v>
      </c>
      <c r="E232" s="946" t="s">
        <v>1431</v>
      </c>
      <c r="F232" s="946" t="s">
        <v>11</v>
      </c>
      <c r="G232" s="947">
        <v>30806.85</v>
      </c>
      <c r="H232" s="947">
        <v>30806.85</v>
      </c>
      <c r="I232" s="948">
        <v>46015</v>
      </c>
      <c r="J232" s="948">
        <v>46105</v>
      </c>
      <c r="K232" s="948">
        <v>46105</v>
      </c>
      <c r="L232" s="29" t="e">
        <f>VLOOKUP(A232,'Account Mapping'!$A$2:$E$216,3,0)</f>
        <v>#N/A</v>
      </c>
      <c r="M232" s="25" t="e">
        <f>VLOOKUP(A232,'Account Mapping'!$A$2:$E$216,4,0)</f>
        <v>#N/A</v>
      </c>
      <c r="N232" s="26" t="e">
        <f>IF(OR(C232='Account Mapping'!$H$4,C232='Account Mapping'!$H$5,C232='Account Mapping'!$H$6),'Account Mapping'!$I$4,VLOOKUP(A232,'Account Mapping'!$A$2:$E$216,5,0))</f>
        <v>#N/A</v>
      </c>
      <c r="O232" s="27" t="e">
        <f>IF(OR(L232="Loan",L232="Deposit_Liability",L232="OFF_Unused Loan Commitment",L232="HQLA"),VLOOKUP(D232,'Customer Type'!$A$3:$C$38,3,0),"")</f>
        <v>#N/A</v>
      </c>
      <c r="P232" s="656" t="e">
        <f t="shared" si="114"/>
        <v>#N/A</v>
      </c>
      <c r="Q232" s="658">
        <f>IF(COUNTIF('Account Mapping'!$H$12:$H$45,A232)&gt;0,-H232,H232)</f>
        <v>30806.85</v>
      </c>
      <c r="R232" s="249" t="e">
        <f>VLOOKUP(P232,Assumptions!$C$2:$D$64,2,0)</f>
        <v>#N/A</v>
      </c>
      <c r="S232" s="692">
        <f>IFERROR(VLOOKUP(A232,'Maturity Adjustment'!$A$3:$C$81,3,0),(IF(J232&lt;$N$4,"Tomorrow",J232)))</f>
        <v>46105</v>
      </c>
      <c r="T232" s="24">
        <f t="shared" si="113"/>
        <v>47</v>
      </c>
      <c r="U232" s="196" t="e">
        <f t="shared" si="115"/>
        <v>#N/A</v>
      </c>
      <c r="V232" s="11">
        <f>IFERROR(VLOOKUP(A232,'Maturity Adjustment'!$A$86:$C$91,3,0),S232)</f>
        <v>46105</v>
      </c>
      <c r="W232" s="207" t="e">
        <f>VLOOKUP(A232,'Account Mapping'!$A$2:$F$216,6,0)</f>
        <v>#N/A</v>
      </c>
      <c r="X232" s="194">
        <f t="shared" si="116"/>
        <v>0</v>
      </c>
      <c r="Y232" s="194">
        <f t="shared" si="117"/>
        <v>0</v>
      </c>
      <c r="Z232" s="13">
        <f t="shared" si="118"/>
        <v>0</v>
      </c>
      <c r="AA232" s="13">
        <f t="shared" si="119"/>
        <v>30806.85</v>
      </c>
      <c r="AB232" s="13">
        <f t="shared" si="120"/>
        <v>0</v>
      </c>
      <c r="AC232" s="13">
        <f t="shared" si="121"/>
        <v>0</v>
      </c>
      <c r="AD232" s="13">
        <f t="shared" si="122"/>
        <v>0</v>
      </c>
      <c r="AE232" s="13">
        <f t="shared" si="123"/>
        <v>0</v>
      </c>
      <c r="AF232" s="13">
        <f t="shared" si="124"/>
        <v>0</v>
      </c>
      <c r="AG232" s="685">
        <f t="shared" si="125"/>
        <v>0</v>
      </c>
      <c r="AH232" s="688" t="b">
        <f t="shared" si="126"/>
        <v>1</v>
      </c>
    </row>
    <row r="233" spans="1:34" s="1" customFormat="1" ht="15" customHeight="1">
      <c r="A233" s="946">
        <v>10910006</v>
      </c>
      <c r="B233" s="946" t="s">
        <v>600</v>
      </c>
      <c r="C233" s="946">
        <v>6115904000712</v>
      </c>
      <c r="D233" s="946">
        <v>100000014</v>
      </c>
      <c r="E233" s="946" t="s">
        <v>23</v>
      </c>
      <c r="F233" s="946" t="s">
        <v>26</v>
      </c>
      <c r="G233" s="947">
        <v>1620.87</v>
      </c>
      <c r="H233" s="947">
        <v>2307.62</v>
      </c>
      <c r="I233" s="948"/>
      <c r="J233" s="948"/>
      <c r="K233" s="948"/>
      <c r="L233" s="29" t="e">
        <f>VLOOKUP(A233,'Account Mapping'!$A$2:$E$216,3,0)</f>
        <v>#N/A</v>
      </c>
      <c r="M233" s="25" t="e">
        <f>VLOOKUP(A233,'Account Mapping'!$A$2:$E$216,4,0)</f>
        <v>#N/A</v>
      </c>
      <c r="N233" s="26" t="e">
        <f>IF(OR(C233='Account Mapping'!$H$4,C233='Account Mapping'!$H$5,C233='Account Mapping'!$H$6),'Account Mapping'!$I$4,VLOOKUP(A233,'Account Mapping'!$A$2:$E$216,5,0))</f>
        <v>#N/A</v>
      </c>
      <c r="O233" s="27" t="e">
        <f>IF(OR(L233="Loan",L233="Deposit_Liability",L233="OFF_Unused Loan Commitment",L233="HQLA"),VLOOKUP(D233,'Customer Type'!$A$3:$C$38,3,0),"")</f>
        <v>#N/A</v>
      </c>
      <c r="P233" s="656" t="e">
        <f t="shared" si="114"/>
        <v>#N/A</v>
      </c>
      <c r="Q233" s="658">
        <f>IF(COUNTIF('Account Mapping'!$H$12:$H$45,A233)&gt;0,-H233,H233)</f>
        <v>2307.62</v>
      </c>
      <c r="R233" s="249" t="e">
        <f>VLOOKUP(P233,Assumptions!$C$2:$D$64,2,0)</f>
        <v>#N/A</v>
      </c>
      <c r="S233" s="692" t="str">
        <f>IFERROR(VLOOKUP(A233,'Maturity Adjustment'!$A$3:$C$81,3,0),(IF(J233&lt;$N$4,"Tomorrow",J233)))</f>
        <v>Tomorrow</v>
      </c>
      <c r="T233" s="24">
        <f t="shared" si="113"/>
        <v>1</v>
      </c>
      <c r="U233" s="196" t="e">
        <f t="shared" si="115"/>
        <v>#N/A</v>
      </c>
      <c r="V233" s="11" t="str">
        <f>IFERROR(VLOOKUP(A233,'Maturity Adjustment'!$A$86:$C$91,3,0),S233)</f>
        <v>Tomorrow</v>
      </c>
      <c r="W233" s="207" t="e">
        <f>VLOOKUP(A233,'Account Mapping'!$A$2:$F$216,6,0)</f>
        <v>#N/A</v>
      </c>
      <c r="X233" s="194">
        <f t="shared" si="116"/>
        <v>2307.62</v>
      </c>
      <c r="Y233" s="194">
        <f t="shared" si="117"/>
        <v>0</v>
      </c>
      <c r="Z233" s="13">
        <f t="shared" si="118"/>
        <v>0</v>
      </c>
      <c r="AA233" s="13">
        <f t="shared" si="119"/>
        <v>0</v>
      </c>
      <c r="AB233" s="13">
        <f t="shared" si="120"/>
        <v>0</v>
      </c>
      <c r="AC233" s="13">
        <f t="shared" si="121"/>
        <v>0</v>
      </c>
      <c r="AD233" s="13">
        <f t="shared" si="122"/>
        <v>0</v>
      </c>
      <c r="AE233" s="13">
        <f t="shared" si="123"/>
        <v>0</v>
      </c>
      <c r="AF233" s="13">
        <f t="shared" si="124"/>
        <v>0</v>
      </c>
      <c r="AG233" s="685">
        <f t="shared" si="125"/>
        <v>0</v>
      </c>
      <c r="AH233" s="688" t="b">
        <f t="shared" si="126"/>
        <v>1</v>
      </c>
    </row>
    <row r="234" spans="1:34" s="1" customFormat="1" ht="15" customHeight="1">
      <c r="A234" s="946">
        <v>10910006</v>
      </c>
      <c r="B234" s="946" t="s">
        <v>600</v>
      </c>
      <c r="C234" s="946">
        <v>6115904000720</v>
      </c>
      <c r="D234" s="946">
        <v>100000014</v>
      </c>
      <c r="E234" s="946" t="s">
        <v>23</v>
      </c>
      <c r="F234" s="946" t="s">
        <v>26</v>
      </c>
      <c r="G234" s="947">
        <v>4362.1099999999997</v>
      </c>
      <c r="H234" s="947">
        <v>6210.29</v>
      </c>
      <c r="I234" s="949"/>
      <c r="J234" s="949"/>
      <c r="K234" s="949"/>
      <c r="L234" s="29" t="e">
        <f>VLOOKUP(A234,'Account Mapping'!$A$2:$E$216,3,0)</f>
        <v>#N/A</v>
      </c>
      <c r="M234" s="25" t="e">
        <f>VLOOKUP(A234,'Account Mapping'!$A$2:$E$216,4,0)</f>
        <v>#N/A</v>
      </c>
      <c r="N234" s="26" t="e">
        <f>IF(OR(C234='Account Mapping'!$H$4,C234='Account Mapping'!$H$5,C234='Account Mapping'!$H$6),'Account Mapping'!$I$4,VLOOKUP(A234,'Account Mapping'!$A$2:$E$216,5,0))</f>
        <v>#N/A</v>
      </c>
      <c r="O234" s="27" t="e">
        <f>IF(OR(L234="Loan",L234="Deposit_Liability",L234="OFF_Unused Loan Commitment",L234="HQLA"),VLOOKUP(D234,'Customer Type'!$A$3:$C$38,3,0),"")</f>
        <v>#N/A</v>
      </c>
      <c r="P234" s="656" t="e">
        <f t="shared" si="114"/>
        <v>#N/A</v>
      </c>
      <c r="Q234" s="658">
        <f>IF(COUNTIF('Account Mapping'!$H$12:$H$45,A234)&gt;0,-H234,H234)</f>
        <v>6210.29</v>
      </c>
      <c r="R234" s="249" t="e">
        <f>VLOOKUP(P234,Assumptions!$C$2:$D$64,2,0)</f>
        <v>#N/A</v>
      </c>
      <c r="S234" s="692" t="str">
        <f>IFERROR(VLOOKUP(A234,'Maturity Adjustment'!$A$3:$C$81,3,0),(IF(J234&lt;$N$4,"Tomorrow",J234)))</f>
        <v>Tomorrow</v>
      </c>
      <c r="T234" s="24">
        <f t="shared" si="113"/>
        <v>1</v>
      </c>
      <c r="U234" s="196" t="e">
        <f t="shared" si="115"/>
        <v>#N/A</v>
      </c>
      <c r="V234" s="11" t="str">
        <f>IFERROR(VLOOKUP(A234,'Maturity Adjustment'!$A$86:$C$91,3,0),S234)</f>
        <v>Tomorrow</v>
      </c>
      <c r="W234" s="207" t="e">
        <f>VLOOKUP(A234,'Account Mapping'!$A$2:$F$216,6,0)</f>
        <v>#N/A</v>
      </c>
      <c r="X234" s="194">
        <f t="shared" si="116"/>
        <v>6210.29</v>
      </c>
      <c r="Y234" s="194">
        <f t="shared" si="117"/>
        <v>0</v>
      </c>
      <c r="Z234" s="13">
        <f t="shared" si="118"/>
        <v>0</v>
      </c>
      <c r="AA234" s="13">
        <f t="shared" si="119"/>
        <v>0</v>
      </c>
      <c r="AB234" s="13">
        <f t="shared" si="120"/>
        <v>0</v>
      </c>
      <c r="AC234" s="13">
        <f t="shared" si="121"/>
        <v>0</v>
      </c>
      <c r="AD234" s="13">
        <f t="shared" si="122"/>
        <v>0</v>
      </c>
      <c r="AE234" s="13">
        <f t="shared" si="123"/>
        <v>0</v>
      </c>
      <c r="AF234" s="13">
        <f t="shared" si="124"/>
        <v>0</v>
      </c>
      <c r="AG234" s="685">
        <f t="shared" si="125"/>
        <v>0</v>
      </c>
      <c r="AH234" s="688" t="b">
        <f t="shared" si="126"/>
        <v>1</v>
      </c>
    </row>
    <row r="235" spans="1:34" s="1" customFormat="1" ht="15" customHeight="1">
      <c r="A235" s="946">
        <v>10910006</v>
      </c>
      <c r="B235" s="946" t="s">
        <v>600</v>
      </c>
      <c r="C235" s="946">
        <v>6115904000737</v>
      </c>
      <c r="D235" s="946">
        <v>100000014</v>
      </c>
      <c r="E235" s="946" t="s">
        <v>23</v>
      </c>
      <c r="F235" s="946" t="s">
        <v>26</v>
      </c>
      <c r="G235" s="947">
        <v>1625.64</v>
      </c>
      <c r="H235" s="947">
        <v>2314.41</v>
      </c>
      <c r="I235" s="948"/>
      <c r="J235" s="948"/>
      <c r="K235" s="948"/>
      <c r="L235" s="29" t="e">
        <f>VLOOKUP(A235,'Account Mapping'!$A$2:$E$216,3,0)</f>
        <v>#N/A</v>
      </c>
      <c r="M235" s="25" t="e">
        <f>VLOOKUP(A235,'Account Mapping'!$A$2:$E$216,4,0)</f>
        <v>#N/A</v>
      </c>
      <c r="N235" s="26" t="e">
        <f>IF(OR(C235='Account Mapping'!$H$4,C235='Account Mapping'!$H$5,C235='Account Mapping'!$H$6),'Account Mapping'!$I$4,VLOOKUP(A235,'Account Mapping'!$A$2:$E$216,5,0))</f>
        <v>#N/A</v>
      </c>
      <c r="O235" s="27" t="e">
        <f>IF(OR(L235="Loan",L235="Deposit_Liability",L235="OFF_Unused Loan Commitment",L235="HQLA"),VLOOKUP(D235,'Customer Type'!$A$3:$C$38,3,0),"")</f>
        <v>#N/A</v>
      </c>
      <c r="P235" s="656" t="e">
        <f t="shared" si="114"/>
        <v>#N/A</v>
      </c>
      <c r="Q235" s="658">
        <f>IF(COUNTIF('Account Mapping'!$H$12:$H$45,A235)&gt;0,-H235,H235)</f>
        <v>2314.41</v>
      </c>
      <c r="R235" s="249" t="e">
        <f>VLOOKUP(P235,Assumptions!$C$2:$D$64,2,0)</f>
        <v>#N/A</v>
      </c>
      <c r="S235" s="692" t="str">
        <f>IFERROR(VLOOKUP(A235,'Maturity Adjustment'!$A$3:$C$81,3,0),(IF(J235&lt;$N$4,"Tomorrow",J235)))</f>
        <v>Tomorrow</v>
      </c>
      <c r="T235" s="24">
        <f t="shared" si="113"/>
        <v>1</v>
      </c>
      <c r="U235" s="196" t="e">
        <f t="shared" si="115"/>
        <v>#N/A</v>
      </c>
      <c r="V235" s="11" t="str">
        <f>IFERROR(VLOOKUP(A235,'Maturity Adjustment'!$A$86:$C$91,3,0),S235)</f>
        <v>Tomorrow</v>
      </c>
      <c r="W235" s="207" t="e">
        <f>VLOOKUP(A235,'Account Mapping'!$A$2:$F$216,6,0)</f>
        <v>#N/A</v>
      </c>
      <c r="X235" s="194">
        <f t="shared" si="116"/>
        <v>2314.41</v>
      </c>
      <c r="Y235" s="194">
        <f t="shared" si="117"/>
        <v>0</v>
      </c>
      <c r="Z235" s="13">
        <f t="shared" si="118"/>
        <v>0</v>
      </c>
      <c r="AA235" s="13">
        <f t="shared" si="119"/>
        <v>0</v>
      </c>
      <c r="AB235" s="13">
        <f t="shared" si="120"/>
        <v>0</v>
      </c>
      <c r="AC235" s="13">
        <f t="shared" si="121"/>
        <v>0</v>
      </c>
      <c r="AD235" s="13">
        <f t="shared" si="122"/>
        <v>0</v>
      </c>
      <c r="AE235" s="13">
        <f t="shared" si="123"/>
        <v>0</v>
      </c>
      <c r="AF235" s="13">
        <f t="shared" si="124"/>
        <v>0</v>
      </c>
      <c r="AG235" s="685">
        <f t="shared" si="125"/>
        <v>0</v>
      </c>
      <c r="AH235" s="688" t="b">
        <f t="shared" si="126"/>
        <v>1</v>
      </c>
    </row>
    <row r="236" spans="1:34" s="1" customFormat="1" ht="15" customHeight="1">
      <c r="A236" s="946">
        <v>10910006</v>
      </c>
      <c r="B236" s="946" t="s">
        <v>600</v>
      </c>
      <c r="C236" s="946">
        <v>6115904000744</v>
      </c>
      <c r="D236" s="946">
        <v>100000033</v>
      </c>
      <c r="E236" s="946" t="s">
        <v>1254</v>
      </c>
      <c r="F236" s="946" t="s">
        <v>26</v>
      </c>
      <c r="G236" s="947">
        <v>32120.78</v>
      </c>
      <c r="H236" s="947">
        <v>45730.04</v>
      </c>
      <c r="I236" s="948">
        <v>46035</v>
      </c>
      <c r="J236" s="948">
        <v>46066</v>
      </c>
      <c r="K236" s="948">
        <v>46066</v>
      </c>
      <c r="L236" s="29" t="e">
        <f>VLOOKUP(A236,'Account Mapping'!$A$2:$E$216,3,0)</f>
        <v>#N/A</v>
      </c>
      <c r="M236" s="25" t="e">
        <f>VLOOKUP(A236,'Account Mapping'!$A$2:$E$216,4,0)</f>
        <v>#N/A</v>
      </c>
      <c r="N236" s="26" t="e">
        <f>IF(OR(C236='Account Mapping'!$H$4,C236='Account Mapping'!$H$5,C236='Account Mapping'!$H$6),'Account Mapping'!$I$4,VLOOKUP(A236,'Account Mapping'!$A$2:$E$216,5,0))</f>
        <v>#N/A</v>
      </c>
      <c r="O236" s="27" t="e">
        <f>IF(OR(L236="Loan",L236="Deposit_Liability",L236="OFF_Unused Loan Commitment",L236="HQLA"),VLOOKUP(D236,'Customer Type'!$A$3:$C$38,3,0),"")</f>
        <v>#N/A</v>
      </c>
      <c r="P236" s="656" t="e">
        <f t="shared" si="114"/>
        <v>#N/A</v>
      </c>
      <c r="Q236" s="658">
        <f>IF(COUNTIF('Account Mapping'!$H$12:$H$45,A236)&gt;0,-H236,H236)</f>
        <v>45730.04</v>
      </c>
      <c r="R236" s="249" t="e">
        <f>VLOOKUP(P236,Assumptions!$C$2:$D$64,2,0)</f>
        <v>#N/A</v>
      </c>
      <c r="S236" s="692">
        <f>IFERROR(VLOOKUP(A236,'Maturity Adjustment'!$A$3:$C$81,3,0),(IF(J236&lt;$N$4,"Tomorrow",J236)))</f>
        <v>46066</v>
      </c>
      <c r="T236" s="24">
        <f t="shared" si="113"/>
        <v>8</v>
      </c>
      <c r="U236" s="196" t="e">
        <f t="shared" si="115"/>
        <v>#N/A</v>
      </c>
      <c r="V236" s="11">
        <f>IFERROR(VLOOKUP(A236,'Maturity Adjustment'!$A$86:$C$91,3,0),S236)</f>
        <v>46066</v>
      </c>
      <c r="W236" s="207" t="e">
        <f>VLOOKUP(A236,'Account Mapping'!$A$2:$F$216,6,0)</f>
        <v>#N/A</v>
      </c>
      <c r="X236" s="194">
        <f t="shared" si="116"/>
        <v>0</v>
      </c>
      <c r="Y236" s="194">
        <f t="shared" si="117"/>
        <v>0</v>
      </c>
      <c r="Z236" s="13">
        <f t="shared" si="118"/>
        <v>45730.04</v>
      </c>
      <c r="AA236" s="13">
        <f t="shared" si="119"/>
        <v>0</v>
      </c>
      <c r="AB236" s="13">
        <f t="shared" si="120"/>
        <v>0</v>
      </c>
      <c r="AC236" s="13">
        <f t="shared" si="121"/>
        <v>0</v>
      </c>
      <c r="AD236" s="13">
        <f t="shared" si="122"/>
        <v>0</v>
      </c>
      <c r="AE236" s="13">
        <f t="shared" si="123"/>
        <v>0</v>
      </c>
      <c r="AF236" s="13">
        <f t="shared" si="124"/>
        <v>0</v>
      </c>
      <c r="AG236" s="685">
        <f t="shared" si="125"/>
        <v>0</v>
      </c>
      <c r="AH236" s="688" t="b">
        <f t="shared" si="126"/>
        <v>1</v>
      </c>
    </row>
    <row r="237" spans="1:34" s="1" customFormat="1" ht="15" customHeight="1">
      <c r="A237" s="946">
        <v>10910006</v>
      </c>
      <c r="B237" s="946" t="s">
        <v>600</v>
      </c>
      <c r="C237" s="946">
        <v>6115904000751</v>
      </c>
      <c r="D237" s="946">
        <v>100000014</v>
      </c>
      <c r="E237" s="946" t="s">
        <v>23</v>
      </c>
      <c r="F237" s="946" t="s">
        <v>26</v>
      </c>
      <c r="G237" s="947">
        <v>3592.32</v>
      </c>
      <c r="H237" s="947">
        <v>5114.3500000000004</v>
      </c>
      <c r="I237" s="948"/>
      <c r="J237" s="948"/>
      <c r="K237" s="948"/>
      <c r="L237" s="29" t="e">
        <f>VLOOKUP(A237,'Account Mapping'!$A$2:$E$216,3,0)</f>
        <v>#N/A</v>
      </c>
      <c r="M237" s="25" t="e">
        <f>VLOOKUP(A237,'Account Mapping'!$A$2:$E$216,4,0)</f>
        <v>#N/A</v>
      </c>
      <c r="N237" s="26" t="e">
        <f>IF(OR(C237='Account Mapping'!$H$4,C237='Account Mapping'!$H$5,C237='Account Mapping'!$H$6),'Account Mapping'!$I$4,VLOOKUP(A237,'Account Mapping'!$A$2:$E$216,5,0))</f>
        <v>#N/A</v>
      </c>
      <c r="O237" s="27" t="e">
        <f>IF(OR(L237="Loan",L237="Deposit_Liability",L237="OFF_Unused Loan Commitment",L237="HQLA"),VLOOKUP(D237,'Customer Type'!$A$3:$C$38,3,0),"")</f>
        <v>#N/A</v>
      </c>
      <c r="P237" s="656" t="e">
        <f t="shared" si="114"/>
        <v>#N/A</v>
      </c>
      <c r="Q237" s="658">
        <f>IF(COUNTIF('Account Mapping'!$H$12:$H$45,A237)&gt;0,-H237,H237)</f>
        <v>5114.3500000000004</v>
      </c>
      <c r="R237" s="249" t="e">
        <f>VLOOKUP(P237,Assumptions!$C$2:$D$64,2,0)</f>
        <v>#N/A</v>
      </c>
      <c r="S237" s="692" t="str">
        <f>IFERROR(VLOOKUP(A237,'Maturity Adjustment'!$A$3:$C$81,3,0),(IF(J237&lt;$N$4,"Tomorrow",J237)))</f>
        <v>Tomorrow</v>
      </c>
      <c r="T237" s="24">
        <f t="shared" si="113"/>
        <v>1</v>
      </c>
      <c r="U237" s="196" t="e">
        <f t="shared" si="115"/>
        <v>#N/A</v>
      </c>
      <c r="V237" s="11" t="str">
        <f>IFERROR(VLOOKUP(A237,'Maturity Adjustment'!$A$86:$C$91,3,0),S237)</f>
        <v>Tomorrow</v>
      </c>
      <c r="W237" s="207" t="e">
        <f>VLOOKUP(A237,'Account Mapping'!$A$2:$F$216,6,0)</f>
        <v>#N/A</v>
      </c>
      <c r="X237" s="194">
        <f t="shared" si="116"/>
        <v>5114.3500000000004</v>
      </c>
      <c r="Y237" s="194">
        <f t="shared" si="117"/>
        <v>0</v>
      </c>
      <c r="Z237" s="13">
        <f t="shared" si="118"/>
        <v>0</v>
      </c>
      <c r="AA237" s="13">
        <f t="shared" si="119"/>
        <v>0</v>
      </c>
      <c r="AB237" s="13">
        <f t="shared" si="120"/>
        <v>0</v>
      </c>
      <c r="AC237" s="13">
        <f t="shared" si="121"/>
        <v>0</v>
      </c>
      <c r="AD237" s="13">
        <f t="shared" si="122"/>
        <v>0</v>
      </c>
      <c r="AE237" s="13">
        <f t="shared" si="123"/>
        <v>0</v>
      </c>
      <c r="AF237" s="13">
        <f t="shared" si="124"/>
        <v>0</v>
      </c>
      <c r="AG237" s="685">
        <f t="shared" si="125"/>
        <v>0</v>
      </c>
      <c r="AH237" s="688" t="b">
        <f t="shared" si="126"/>
        <v>1</v>
      </c>
    </row>
    <row r="238" spans="1:34" s="1" customFormat="1" ht="15" customHeight="1">
      <c r="A238" s="946">
        <v>10910006</v>
      </c>
      <c r="B238" s="946" t="s">
        <v>600</v>
      </c>
      <c r="C238" s="946">
        <v>6115904000769</v>
      </c>
      <c r="D238" s="946">
        <v>100000014</v>
      </c>
      <c r="E238" s="946" t="s">
        <v>23</v>
      </c>
      <c r="F238" s="946" t="s">
        <v>26</v>
      </c>
      <c r="G238" s="947">
        <v>1502.66</v>
      </c>
      <c r="H238" s="947">
        <v>2139.3200000000002</v>
      </c>
      <c r="I238" s="949"/>
      <c r="J238" s="949"/>
      <c r="K238" s="949"/>
      <c r="L238" s="29" t="e">
        <f>VLOOKUP(A238,'Account Mapping'!$A$2:$E$216,3,0)</f>
        <v>#N/A</v>
      </c>
      <c r="M238" s="25" t="e">
        <f>VLOOKUP(A238,'Account Mapping'!$A$2:$E$216,4,0)</f>
        <v>#N/A</v>
      </c>
      <c r="N238" s="26" t="e">
        <f>IF(OR(C238='Account Mapping'!$H$4,C238='Account Mapping'!$H$5,C238='Account Mapping'!$H$6),'Account Mapping'!$I$4,VLOOKUP(A238,'Account Mapping'!$A$2:$E$216,5,0))</f>
        <v>#N/A</v>
      </c>
      <c r="O238" s="27" t="e">
        <f>IF(OR(L238="Loan",L238="Deposit_Liability",L238="OFF_Unused Loan Commitment",L238="HQLA"),VLOOKUP(D238,'Customer Type'!$A$3:$C$38,3,0),"")</f>
        <v>#N/A</v>
      </c>
      <c r="P238" s="656" t="e">
        <f t="shared" si="114"/>
        <v>#N/A</v>
      </c>
      <c r="Q238" s="658">
        <f>IF(COUNTIF('Account Mapping'!$H$12:$H$45,A238)&gt;0,-H238,H238)</f>
        <v>2139.3200000000002</v>
      </c>
      <c r="R238" s="249" t="e">
        <f>VLOOKUP(P238,Assumptions!$C$2:$D$64,2,0)</f>
        <v>#N/A</v>
      </c>
      <c r="S238" s="692" t="str">
        <f>IFERROR(VLOOKUP(A238,'Maturity Adjustment'!$A$3:$C$81,3,0),(IF(J238&lt;$N$4,"Tomorrow",J238)))</f>
        <v>Tomorrow</v>
      </c>
      <c r="T238" s="24">
        <f t="shared" si="113"/>
        <v>1</v>
      </c>
      <c r="U238" s="196" t="e">
        <f t="shared" si="115"/>
        <v>#N/A</v>
      </c>
      <c r="V238" s="11" t="str">
        <f>IFERROR(VLOOKUP(A238,'Maturity Adjustment'!$A$86:$C$91,3,0),S238)</f>
        <v>Tomorrow</v>
      </c>
      <c r="W238" s="207" t="e">
        <f>VLOOKUP(A238,'Account Mapping'!$A$2:$F$216,6,0)</f>
        <v>#N/A</v>
      </c>
      <c r="X238" s="194">
        <f t="shared" si="116"/>
        <v>2139.3200000000002</v>
      </c>
      <c r="Y238" s="194">
        <f t="shared" si="117"/>
        <v>0</v>
      </c>
      <c r="Z238" s="13">
        <f t="shared" si="118"/>
        <v>0</v>
      </c>
      <c r="AA238" s="13">
        <f t="shared" si="119"/>
        <v>0</v>
      </c>
      <c r="AB238" s="13">
        <f t="shared" si="120"/>
        <v>0</v>
      </c>
      <c r="AC238" s="13">
        <f t="shared" si="121"/>
        <v>0</v>
      </c>
      <c r="AD238" s="13">
        <f t="shared" si="122"/>
        <v>0</v>
      </c>
      <c r="AE238" s="13">
        <f t="shared" si="123"/>
        <v>0</v>
      </c>
      <c r="AF238" s="13">
        <f t="shared" si="124"/>
        <v>0</v>
      </c>
      <c r="AG238" s="685">
        <f t="shared" si="125"/>
        <v>0</v>
      </c>
      <c r="AH238" s="688" t="b">
        <f t="shared" si="126"/>
        <v>1</v>
      </c>
    </row>
    <row r="239" spans="1:34" s="1" customFormat="1" ht="15" customHeight="1">
      <c r="A239" s="946">
        <v>10910006</v>
      </c>
      <c r="B239" s="946" t="s">
        <v>600</v>
      </c>
      <c r="C239" s="946">
        <v>6115904000776</v>
      </c>
      <c r="D239" s="946">
        <v>100000014</v>
      </c>
      <c r="E239" s="946" t="s">
        <v>23</v>
      </c>
      <c r="F239" s="946" t="s">
        <v>26</v>
      </c>
      <c r="G239" s="947">
        <v>3640.31</v>
      </c>
      <c r="H239" s="947">
        <v>5182.67</v>
      </c>
      <c r="I239" s="948"/>
      <c r="J239" s="948"/>
      <c r="K239" s="948"/>
      <c r="L239" s="29" t="e">
        <f>VLOOKUP(A239,'Account Mapping'!$A$2:$E$216,3,0)</f>
        <v>#N/A</v>
      </c>
      <c r="M239" s="25" t="e">
        <f>VLOOKUP(A239,'Account Mapping'!$A$2:$E$216,4,0)</f>
        <v>#N/A</v>
      </c>
      <c r="N239" s="26" t="e">
        <f>IF(OR(C239='Account Mapping'!$H$4,C239='Account Mapping'!$H$5,C239='Account Mapping'!$H$6),'Account Mapping'!$I$4,VLOOKUP(A239,'Account Mapping'!$A$2:$E$216,5,0))</f>
        <v>#N/A</v>
      </c>
      <c r="O239" s="27" t="e">
        <f>IF(OR(L239="Loan",L239="Deposit_Liability",L239="OFF_Unused Loan Commitment",L239="HQLA"),VLOOKUP(D239,'Customer Type'!$A$3:$C$38,3,0),"")</f>
        <v>#N/A</v>
      </c>
      <c r="P239" s="656" t="e">
        <f t="shared" si="114"/>
        <v>#N/A</v>
      </c>
      <c r="Q239" s="658">
        <f>IF(COUNTIF('Account Mapping'!$H$12:$H$45,A239)&gt;0,-H239,H239)</f>
        <v>5182.67</v>
      </c>
      <c r="R239" s="249" t="e">
        <f>VLOOKUP(P239,Assumptions!$C$2:$D$64,2,0)</f>
        <v>#N/A</v>
      </c>
      <c r="S239" s="692" t="str">
        <f>IFERROR(VLOOKUP(A239,'Maturity Adjustment'!$A$3:$C$81,3,0),(IF(J239&lt;$N$4,"Tomorrow",J239)))</f>
        <v>Tomorrow</v>
      </c>
      <c r="T239" s="24">
        <f t="shared" si="113"/>
        <v>1</v>
      </c>
      <c r="U239" s="196" t="e">
        <f t="shared" si="115"/>
        <v>#N/A</v>
      </c>
      <c r="V239" s="11" t="str">
        <f>IFERROR(VLOOKUP(A239,'Maturity Adjustment'!$A$86:$C$91,3,0),S239)</f>
        <v>Tomorrow</v>
      </c>
      <c r="W239" s="207" t="e">
        <f>VLOOKUP(A239,'Account Mapping'!$A$2:$F$216,6,0)</f>
        <v>#N/A</v>
      </c>
      <c r="X239" s="194">
        <f t="shared" si="116"/>
        <v>5182.67</v>
      </c>
      <c r="Y239" s="194">
        <f t="shared" si="117"/>
        <v>0</v>
      </c>
      <c r="Z239" s="13">
        <f t="shared" si="118"/>
        <v>0</v>
      </c>
      <c r="AA239" s="13">
        <f t="shared" si="119"/>
        <v>0</v>
      </c>
      <c r="AB239" s="13">
        <f t="shared" si="120"/>
        <v>0</v>
      </c>
      <c r="AC239" s="13">
        <f t="shared" si="121"/>
        <v>0</v>
      </c>
      <c r="AD239" s="13">
        <f t="shared" si="122"/>
        <v>0</v>
      </c>
      <c r="AE239" s="13">
        <f t="shared" si="123"/>
        <v>0</v>
      </c>
      <c r="AF239" s="13">
        <f t="shared" si="124"/>
        <v>0</v>
      </c>
      <c r="AG239" s="685">
        <f t="shared" si="125"/>
        <v>0</v>
      </c>
      <c r="AH239" s="688" t="b">
        <f t="shared" si="126"/>
        <v>1</v>
      </c>
    </row>
    <row r="240" spans="1:34" s="1" customFormat="1" ht="15" customHeight="1">
      <c r="A240" s="946">
        <v>10910006</v>
      </c>
      <c r="B240" s="946" t="s">
        <v>600</v>
      </c>
      <c r="C240" s="946">
        <v>6115904000783</v>
      </c>
      <c r="D240" s="946">
        <v>100000014</v>
      </c>
      <c r="E240" s="946" t="s">
        <v>23</v>
      </c>
      <c r="F240" s="946" t="s">
        <v>26</v>
      </c>
      <c r="G240" s="947">
        <v>1614.75</v>
      </c>
      <c r="H240" s="947">
        <v>2298.9</v>
      </c>
      <c r="I240" s="948"/>
      <c r="J240" s="948"/>
      <c r="K240" s="948"/>
      <c r="L240" s="29" t="e">
        <f>VLOOKUP(A240,'Account Mapping'!$A$2:$E$216,3,0)</f>
        <v>#N/A</v>
      </c>
      <c r="M240" s="25" t="e">
        <f>VLOOKUP(A240,'Account Mapping'!$A$2:$E$216,4,0)</f>
        <v>#N/A</v>
      </c>
      <c r="N240" s="26" t="e">
        <f>IF(OR(C240='Account Mapping'!$H$4,C240='Account Mapping'!$H$5,C240='Account Mapping'!$H$6),'Account Mapping'!$I$4,VLOOKUP(A240,'Account Mapping'!$A$2:$E$216,5,0))</f>
        <v>#N/A</v>
      </c>
      <c r="O240" s="27" t="e">
        <f>IF(OR(L240="Loan",L240="Deposit_Liability",L240="OFF_Unused Loan Commitment",L240="HQLA"),VLOOKUP(D240,'Customer Type'!$A$3:$C$38,3,0),"")</f>
        <v>#N/A</v>
      </c>
      <c r="P240" s="656" t="e">
        <f t="shared" si="114"/>
        <v>#N/A</v>
      </c>
      <c r="Q240" s="658">
        <f>IF(COUNTIF('Account Mapping'!$H$12:$H$45,A240)&gt;0,-H240,H240)</f>
        <v>2298.9</v>
      </c>
      <c r="R240" s="249" t="e">
        <f>VLOOKUP(P240,Assumptions!$C$2:$D$64,2,0)</f>
        <v>#N/A</v>
      </c>
      <c r="S240" s="692" t="str">
        <f>IFERROR(VLOOKUP(A240,'Maturity Adjustment'!$A$3:$C$81,3,0),(IF(J240&lt;$N$4,"Tomorrow",J240)))</f>
        <v>Tomorrow</v>
      </c>
      <c r="T240" s="24">
        <f t="shared" si="113"/>
        <v>1</v>
      </c>
      <c r="U240" s="196" t="e">
        <f t="shared" si="115"/>
        <v>#N/A</v>
      </c>
      <c r="V240" s="11" t="str">
        <f>IFERROR(VLOOKUP(A240,'Maturity Adjustment'!$A$86:$C$91,3,0),S240)</f>
        <v>Tomorrow</v>
      </c>
      <c r="W240" s="207" t="e">
        <f>VLOOKUP(A240,'Account Mapping'!$A$2:$F$216,6,0)</f>
        <v>#N/A</v>
      </c>
      <c r="X240" s="194">
        <f t="shared" si="116"/>
        <v>2298.9</v>
      </c>
      <c r="Y240" s="194">
        <f t="shared" si="117"/>
        <v>0</v>
      </c>
      <c r="Z240" s="13">
        <f t="shared" si="118"/>
        <v>0</v>
      </c>
      <c r="AA240" s="13">
        <f t="shared" si="119"/>
        <v>0</v>
      </c>
      <c r="AB240" s="13">
        <f t="shared" si="120"/>
        <v>0</v>
      </c>
      <c r="AC240" s="13">
        <f t="shared" si="121"/>
        <v>0</v>
      </c>
      <c r="AD240" s="13">
        <f t="shared" si="122"/>
        <v>0</v>
      </c>
      <c r="AE240" s="13">
        <f t="shared" si="123"/>
        <v>0</v>
      </c>
      <c r="AF240" s="13">
        <f t="shared" si="124"/>
        <v>0</v>
      </c>
      <c r="AG240" s="685">
        <f t="shared" si="125"/>
        <v>0</v>
      </c>
      <c r="AH240" s="688" t="b">
        <f t="shared" si="126"/>
        <v>1</v>
      </c>
    </row>
    <row r="241" spans="1:34" s="1" customFormat="1" ht="15" customHeight="1">
      <c r="A241" s="946">
        <v>10910012</v>
      </c>
      <c r="B241" s="946" t="s">
        <v>1283</v>
      </c>
      <c r="C241" s="946" t="s">
        <v>1215</v>
      </c>
      <c r="D241" s="946">
        <v>100000027</v>
      </c>
      <c r="E241" s="946" t="s">
        <v>1217</v>
      </c>
      <c r="F241" s="946" t="s">
        <v>11</v>
      </c>
      <c r="G241" s="947">
        <v>60773.48</v>
      </c>
      <c r="H241" s="947">
        <v>60773.48</v>
      </c>
      <c r="I241" s="948">
        <v>45978</v>
      </c>
      <c r="J241" s="948">
        <v>46159</v>
      </c>
      <c r="K241" s="948">
        <v>46159</v>
      </c>
      <c r="L241" s="29" t="e">
        <f>VLOOKUP(A241,'Account Mapping'!$A$2:$E$216,3,0)</f>
        <v>#N/A</v>
      </c>
      <c r="M241" s="25" t="e">
        <f>VLOOKUP(A241,'Account Mapping'!$A$2:$E$216,4,0)</f>
        <v>#N/A</v>
      </c>
      <c r="N241" s="26" t="e">
        <f>IF(OR(C241='Account Mapping'!$H$4,C241='Account Mapping'!$H$5,C241='Account Mapping'!$H$6),'Account Mapping'!$I$4,VLOOKUP(A241,'Account Mapping'!$A$2:$E$216,5,0))</f>
        <v>#N/A</v>
      </c>
      <c r="O241" s="27" t="e">
        <f>IF(OR(L241="Loan",L241="Deposit_Liability",L241="OFF_Unused Loan Commitment",L241="HQLA"),VLOOKUP(D241,'Customer Type'!$A$3:$C$38,3,0),"")</f>
        <v>#N/A</v>
      </c>
      <c r="P241" s="656" t="e">
        <f t="shared" si="114"/>
        <v>#N/A</v>
      </c>
      <c r="Q241" s="658">
        <f>IF(COUNTIF('Account Mapping'!$H$12:$H$45,A241)&gt;0,-H241,H241)</f>
        <v>60773.48</v>
      </c>
      <c r="R241" s="249" t="e">
        <f>VLOOKUP(P241,Assumptions!$C$2:$D$64,2,0)</f>
        <v>#N/A</v>
      </c>
      <c r="S241" s="692">
        <f>IFERROR(VLOOKUP(A241,'Maturity Adjustment'!$A$3:$C$81,3,0),(IF(J241&lt;$N$4,"Tomorrow",J241)))</f>
        <v>46159</v>
      </c>
      <c r="T241" s="24">
        <f t="shared" si="113"/>
        <v>101</v>
      </c>
      <c r="U241" s="196" t="e">
        <f t="shared" si="115"/>
        <v>#N/A</v>
      </c>
      <c r="V241" s="11">
        <f>IFERROR(VLOOKUP(A241,'Maturity Adjustment'!$A$86:$C$91,3,0),S241)</f>
        <v>46159</v>
      </c>
      <c r="W241" s="207" t="e">
        <f>VLOOKUP(A241,'Account Mapping'!$A$2:$F$216,6,0)</f>
        <v>#N/A</v>
      </c>
      <c r="X241" s="194">
        <f t="shared" si="116"/>
        <v>0</v>
      </c>
      <c r="Y241" s="194">
        <f t="shared" si="117"/>
        <v>0</v>
      </c>
      <c r="Z241" s="13">
        <f t="shared" si="118"/>
        <v>0</v>
      </c>
      <c r="AA241" s="13">
        <f t="shared" si="119"/>
        <v>0</v>
      </c>
      <c r="AB241" s="13">
        <f t="shared" si="120"/>
        <v>60773.48</v>
      </c>
      <c r="AC241" s="13">
        <f t="shared" si="121"/>
        <v>0</v>
      </c>
      <c r="AD241" s="13">
        <f t="shared" si="122"/>
        <v>0</v>
      </c>
      <c r="AE241" s="13">
        <f t="shared" si="123"/>
        <v>0</v>
      </c>
      <c r="AF241" s="13">
        <f t="shared" si="124"/>
        <v>0</v>
      </c>
      <c r="AG241" s="685">
        <f t="shared" si="125"/>
        <v>0</v>
      </c>
      <c r="AH241" s="688" t="b">
        <f t="shared" si="126"/>
        <v>1</v>
      </c>
    </row>
    <row r="242" spans="1:34" s="1" customFormat="1" ht="15" customHeight="1">
      <c r="A242" s="946">
        <v>10910012</v>
      </c>
      <c r="B242" s="946" t="s">
        <v>1283</v>
      </c>
      <c r="C242" s="946" t="s">
        <v>1243</v>
      </c>
      <c r="D242" s="946">
        <v>100000034</v>
      </c>
      <c r="E242" s="946" t="s">
        <v>1245</v>
      </c>
      <c r="F242" s="946" t="s">
        <v>11</v>
      </c>
      <c r="G242" s="947">
        <v>23948.75</v>
      </c>
      <c r="H242" s="947">
        <v>23948.75</v>
      </c>
      <c r="I242" s="948">
        <v>46001</v>
      </c>
      <c r="J242" s="948">
        <v>46091</v>
      </c>
      <c r="K242" s="948">
        <v>46091</v>
      </c>
      <c r="L242" s="29" t="e">
        <f>VLOOKUP(A242,'Account Mapping'!$A$2:$E$216,3,0)</f>
        <v>#N/A</v>
      </c>
      <c r="M242" s="25" t="e">
        <f>VLOOKUP(A242,'Account Mapping'!$A$2:$E$216,4,0)</f>
        <v>#N/A</v>
      </c>
      <c r="N242" s="26" t="e">
        <f>IF(OR(C242='Account Mapping'!$H$4,C242='Account Mapping'!$H$5,C242='Account Mapping'!$H$6),'Account Mapping'!$I$4,VLOOKUP(A242,'Account Mapping'!$A$2:$E$216,5,0))</f>
        <v>#N/A</v>
      </c>
      <c r="O242" s="27" t="e">
        <f>IF(OR(L242="Loan",L242="Deposit_Liability",L242="OFF_Unused Loan Commitment",L242="HQLA"),VLOOKUP(D242,'Customer Type'!$A$3:$C$38,3,0),"")</f>
        <v>#N/A</v>
      </c>
      <c r="P242" s="656" t="e">
        <f t="shared" si="114"/>
        <v>#N/A</v>
      </c>
      <c r="Q242" s="658">
        <f>IF(COUNTIF('Account Mapping'!$H$12:$H$45,A242)&gt;0,-H242,H242)</f>
        <v>23948.75</v>
      </c>
      <c r="R242" s="249" t="e">
        <f>VLOOKUP(P242,Assumptions!$C$2:$D$64,2,0)</f>
        <v>#N/A</v>
      </c>
      <c r="S242" s="692">
        <f>IFERROR(VLOOKUP(A242,'Maturity Adjustment'!$A$3:$C$81,3,0),(IF(J242&lt;$N$4,"Tomorrow",J242)))</f>
        <v>46091</v>
      </c>
      <c r="T242" s="24">
        <f t="shared" si="113"/>
        <v>33</v>
      </c>
      <c r="U242" s="196" t="e">
        <f t="shared" si="115"/>
        <v>#N/A</v>
      </c>
      <c r="V242" s="11">
        <f>IFERROR(VLOOKUP(A242,'Maturity Adjustment'!$A$86:$C$91,3,0),S242)</f>
        <v>46091</v>
      </c>
      <c r="W242" s="207" t="e">
        <f>VLOOKUP(A242,'Account Mapping'!$A$2:$F$216,6,0)</f>
        <v>#N/A</v>
      </c>
      <c r="X242" s="194">
        <f t="shared" si="116"/>
        <v>0</v>
      </c>
      <c r="Y242" s="194">
        <f t="shared" si="117"/>
        <v>0</v>
      </c>
      <c r="Z242" s="13">
        <f t="shared" si="118"/>
        <v>0</v>
      </c>
      <c r="AA242" s="13">
        <f t="shared" si="119"/>
        <v>23948.75</v>
      </c>
      <c r="AB242" s="13">
        <f t="shared" si="120"/>
        <v>0</v>
      </c>
      <c r="AC242" s="13">
        <f t="shared" si="121"/>
        <v>0</v>
      </c>
      <c r="AD242" s="13">
        <f t="shared" si="122"/>
        <v>0</v>
      </c>
      <c r="AE242" s="13">
        <f t="shared" si="123"/>
        <v>0</v>
      </c>
      <c r="AF242" s="13">
        <f t="shared" si="124"/>
        <v>0</v>
      </c>
      <c r="AG242" s="685">
        <f t="shared" si="125"/>
        <v>0</v>
      </c>
      <c r="AH242" s="688" t="b">
        <f t="shared" si="126"/>
        <v>1</v>
      </c>
    </row>
    <row r="243" spans="1:34" s="1" customFormat="1" ht="15" customHeight="1">
      <c r="A243" s="946">
        <v>10910012</v>
      </c>
      <c r="B243" s="946" t="s">
        <v>1283</v>
      </c>
      <c r="C243" s="946" t="s">
        <v>1423</v>
      </c>
      <c r="D243" s="946">
        <v>100000038</v>
      </c>
      <c r="E243" s="946" t="s">
        <v>1425</v>
      </c>
      <c r="F243" s="946" t="s">
        <v>11</v>
      </c>
      <c r="G243" s="947">
        <v>5386.74</v>
      </c>
      <c r="H243" s="947">
        <v>5386.74</v>
      </c>
      <c r="I243" s="949">
        <v>46046</v>
      </c>
      <c r="J243" s="949">
        <v>46227</v>
      </c>
      <c r="K243" s="949">
        <v>46227</v>
      </c>
      <c r="L243" s="29" t="e">
        <f>VLOOKUP(A243,'Account Mapping'!$A$2:$E$216,3,0)</f>
        <v>#N/A</v>
      </c>
      <c r="M243" s="25" t="e">
        <f>VLOOKUP(A243,'Account Mapping'!$A$2:$E$216,4,0)</f>
        <v>#N/A</v>
      </c>
      <c r="N243" s="26" t="e">
        <f>IF(OR(C243='Account Mapping'!$H$4,C243='Account Mapping'!$H$5,C243='Account Mapping'!$H$6),'Account Mapping'!$I$4,VLOOKUP(A243,'Account Mapping'!$A$2:$E$216,5,0))</f>
        <v>#N/A</v>
      </c>
      <c r="O243" s="27" t="e">
        <f>IF(OR(L243="Loan",L243="Deposit_Liability",L243="OFF_Unused Loan Commitment",L243="HQLA"),VLOOKUP(D243,'Customer Type'!$A$3:$C$38,3,0),"")</f>
        <v>#N/A</v>
      </c>
      <c r="P243" s="656" t="e">
        <f t="shared" si="114"/>
        <v>#N/A</v>
      </c>
      <c r="Q243" s="658">
        <f>IF(COUNTIF('Account Mapping'!$H$12:$H$45,A243)&gt;0,-H243,H243)</f>
        <v>5386.74</v>
      </c>
      <c r="R243" s="249" t="e">
        <f>VLOOKUP(P243,Assumptions!$C$2:$D$64,2,0)</f>
        <v>#N/A</v>
      </c>
      <c r="S243" s="692">
        <f>IFERROR(VLOOKUP(A243,'Maturity Adjustment'!$A$3:$C$81,3,0),(IF(J243&lt;$N$4,"Tomorrow",J243)))</f>
        <v>46227</v>
      </c>
      <c r="T243" s="24">
        <f t="shared" si="113"/>
        <v>169</v>
      </c>
      <c r="U243" s="196" t="e">
        <f t="shared" si="115"/>
        <v>#N/A</v>
      </c>
      <c r="V243" s="11">
        <f>IFERROR(VLOOKUP(A243,'Maturity Adjustment'!$A$86:$C$91,3,0),S243)</f>
        <v>46227</v>
      </c>
      <c r="W243" s="207" t="e">
        <f>VLOOKUP(A243,'Account Mapping'!$A$2:$F$216,6,0)</f>
        <v>#N/A</v>
      </c>
      <c r="X243" s="194">
        <f t="shared" si="116"/>
        <v>0</v>
      </c>
      <c r="Y243" s="194">
        <f t="shared" si="117"/>
        <v>0</v>
      </c>
      <c r="Z243" s="13">
        <f t="shared" si="118"/>
        <v>0</v>
      </c>
      <c r="AA243" s="13">
        <f t="shared" si="119"/>
        <v>0</v>
      </c>
      <c r="AB243" s="13">
        <f t="shared" si="120"/>
        <v>5386.74</v>
      </c>
      <c r="AC243" s="13">
        <f t="shared" si="121"/>
        <v>0</v>
      </c>
      <c r="AD243" s="13">
        <f t="shared" si="122"/>
        <v>0</v>
      </c>
      <c r="AE243" s="13">
        <f t="shared" si="123"/>
        <v>0</v>
      </c>
      <c r="AF243" s="13">
        <f t="shared" si="124"/>
        <v>0</v>
      </c>
      <c r="AG243" s="685">
        <f t="shared" si="125"/>
        <v>0</v>
      </c>
      <c r="AH243" s="688" t="b">
        <f t="shared" si="126"/>
        <v>1</v>
      </c>
    </row>
    <row r="244" spans="1:34" s="1" customFormat="1" ht="15" customHeight="1">
      <c r="A244" s="946">
        <v>10910013</v>
      </c>
      <c r="B244" s="946" t="s">
        <v>1284</v>
      </c>
      <c r="C244" s="946" t="s">
        <v>1271</v>
      </c>
      <c r="D244" s="946">
        <v>100000037</v>
      </c>
      <c r="E244" s="946" t="s">
        <v>1266</v>
      </c>
      <c r="F244" s="946" t="s">
        <v>26</v>
      </c>
      <c r="G244" s="947">
        <v>61875</v>
      </c>
      <c r="H244" s="947">
        <v>88090.83</v>
      </c>
      <c r="I244" s="949">
        <v>45947</v>
      </c>
      <c r="J244" s="949">
        <v>46129</v>
      </c>
      <c r="K244" s="949">
        <v>46129</v>
      </c>
      <c r="L244" s="29" t="e">
        <f>VLOOKUP(A244,'Account Mapping'!$A$2:$E$216,3,0)</f>
        <v>#N/A</v>
      </c>
      <c r="M244" s="25" t="e">
        <f>VLOOKUP(A244,'Account Mapping'!$A$2:$E$216,4,0)</f>
        <v>#N/A</v>
      </c>
      <c r="N244" s="26" t="e">
        <f>IF(OR(C244='Account Mapping'!$H$4,C244='Account Mapping'!$H$5,C244='Account Mapping'!$H$6),'Account Mapping'!$I$4,VLOOKUP(A244,'Account Mapping'!$A$2:$E$216,5,0))</f>
        <v>#N/A</v>
      </c>
      <c r="O244" s="27" t="e">
        <f>IF(OR(L244="Loan",L244="Deposit_Liability",L244="OFF_Unused Loan Commitment",L244="HQLA"),VLOOKUP(D244,'Customer Type'!$A$3:$C$38,3,0),"")</f>
        <v>#N/A</v>
      </c>
      <c r="P244" s="656" t="e">
        <f t="shared" si="114"/>
        <v>#N/A</v>
      </c>
      <c r="Q244" s="658">
        <f>IF(COUNTIF('Account Mapping'!$H$12:$H$45,A244)&gt;0,-H244,H244)</f>
        <v>88090.83</v>
      </c>
      <c r="R244" s="249" t="e">
        <f>VLOOKUP(P244,Assumptions!$C$2:$D$64,2,0)</f>
        <v>#N/A</v>
      </c>
      <c r="S244" s="692">
        <f>IFERROR(VLOOKUP(A244,'Maturity Adjustment'!$A$3:$C$81,3,0),(IF(J244&lt;$N$4,"Tomorrow",J244)))</f>
        <v>46129</v>
      </c>
      <c r="T244" s="24">
        <f t="shared" ref="T244:T302" si="127">IF(S244="Tomorrow",1,(S244-$N$4))</f>
        <v>71</v>
      </c>
      <c r="U244" s="196" t="e">
        <f t="shared" si="115"/>
        <v>#N/A</v>
      </c>
      <c r="V244" s="11">
        <f>IFERROR(VLOOKUP(A244,'Maturity Adjustment'!$A$86:$C$91,3,0),S244)</f>
        <v>46129</v>
      </c>
      <c r="W244" s="207" t="e">
        <f>VLOOKUP(A244,'Account Mapping'!$A$2:$F$216,6,0)</f>
        <v>#N/A</v>
      </c>
      <c r="X244" s="194">
        <f t="shared" si="116"/>
        <v>0</v>
      </c>
      <c r="Y244" s="194">
        <f t="shared" si="117"/>
        <v>0</v>
      </c>
      <c r="Z244" s="13">
        <f t="shared" si="118"/>
        <v>0</v>
      </c>
      <c r="AA244" s="13">
        <f t="shared" si="119"/>
        <v>88090.83</v>
      </c>
      <c r="AB244" s="13">
        <f t="shared" si="120"/>
        <v>0</v>
      </c>
      <c r="AC244" s="13">
        <f t="shared" si="121"/>
        <v>0</v>
      </c>
      <c r="AD244" s="13">
        <f t="shared" si="122"/>
        <v>0</v>
      </c>
      <c r="AE244" s="13">
        <f t="shared" si="123"/>
        <v>0</v>
      </c>
      <c r="AF244" s="13">
        <f t="shared" si="124"/>
        <v>0</v>
      </c>
      <c r="AG244" s="685">
        <f t="shared" si="125"/>
        <v>0</v>
      </c>
      <c r="AH244" s="688" t="b">
        <f t="shared" si="126"/>
        <v>1</v>
      </c>
    </row>
    <row r="245" spans="1:34" s="1" customFormat="1" ht="15" customHeight="1">
      <c r="A245" s="946">
        <v>10910013</v>
      </c>
      <c r="B245" s="946" t="s">
        <v>1284</v>
      </c>
      <c r="C245" s="946" t="s">
        <v>1401</v>
      </c>
      <c r="D245" s="946">
        <v>100000037</v>
      </c>
      <c r="E245" s="946" t="s">
        <v>1266</v>
      </c>
      <c r="F245" s="946" t="s">
        <v>26</v>
      </c>
      <c r="G245" s="947">
        <v>13489.58</v>
      </c>
      <c r="H245" s="947">
        <v>19204.98</v>
      </c>
      <c r="I245" s="949">
        <v>46036</v>
      </c>
      <c r="J245" s="949">
        <v>46217</v>
      </c>
      <c r="K245" s="949">
        <v>46217</v>
      </c>
      <c r="L245" s="29" t="e">
        <f>VLOOKUP(A245,'Account Mapping'!$A$2:$E$216,3,0)</f>
        <v>#N/A</v>
      </c>
      <c r="M245" s="25" t="e">
        <f>VLOOKUP(A245,'Account Mapping'!$A$2:$E$216,4,0)</f>
        <v>#N/A</v>
      </c>
      <c r="N245" s="26" t="e">
        <f>IF(OR(C245='Account Mapping'!$H$4,C245='Account Mapping'!$H$5,C245='Account Mapping'!$H$6),'Account Mapping'!$I$4,VLOOKUP(A245,'Account Mapping'!$A$2:$E$216,5,0))</f>
        <v>#N/A</v>
      </c>
      <c r="O245" s="27" t="e">
        <f>IF(OR(L245="Loan",L245="Deposit_Liability",L245="OFF_Unused Loan Commitment",L245="HQLA"),VLOOKUP(D245,'Customer Type'!$A$3:$C$38,3,0),"")</f>
        <v>#N/A</v>
      </c>
      <c r="P245" s="656" t="e">
        <f t="shared" si="114"/>
        <v>#N/A</v>
      </c>
      <c r="Q245" s="658">
        <f>IF(COUNTIF('Account Mapping'!$H$12:$H$45,A245)&gt;0,-H245,H245)</f>
        <v>19204.98</v>
      </c>
      <c r="R245" s="249" t="e">
        <f>VLOOKUP(P245,Assumptions!$C$2:$D$64,2,0)</f>
        <v>#N/A</v>
      </c>
      <c r="S245" s="692">
        <f>IFERROR(VLOOKUP(A245,'Maturity Adjustment'!$A$3:$C$81,3,0),(IF(J245&lt;$N$4,"Tomorrow",J245)))</f>
        <v>46217</v>
      </c>
      <c r="T245" s="24">
        <f t="shared" si="127"/>
        <v>159</v>
      </c>
      <c r="U245" s="196" t="e">
        <f t="shared" si="115"/>
        <v>#N/A</v>
      </c>
      <c r="V245" s="11">
        <f>IFERROR(VLOOKUP(A245,'Maturity Adjustment'!$A$86:$C$91,3,0),S245)</f>
        <v>46217</v>
      </c>
      <c r="W245" s="207" t="e">
        <f>VLOOKUP(A245,'Account Mapping'!$A$2:$F$216,6,0)</f>
        <v>#N/A</v>
      </c>
      <c r="X245" s="194">
        <f t="shared" si="116"/>
        <v>0</v>
      </c>
      <c r="Y245" s="194">
        <f t="shared" si="117"/>
        <v>0</v>
      </c>
      <c r="Z245" s="13">
        <f t="shared" si="118"/>
        <v>0</v>
      </c>
      <c r="AA245" s="13">
        <f t="shared" si="119"/>
        <v>0</v>
      </c>
      <c r="AB245" s="13">
        <f t="shared" si="120"/>
        <v>19204.98</v>
      </c>
      <c r="AC245" s="13">
        <f t="shared" si="121"/>
        <v>0</v>
      </c>
      <c r="AD245" s="13">
        <f t="shared" si="122"/>
        <v>0</v>
      </c>
      <c r="AE245" s="13">
        <f t="shared" si="123"/>
        <v>0</v>
      </c>
      <c r="AF245" s="13">
        <f t="shared" si="124"/>
        <v>0</v>
      </c>
      <c r="AG245" s="685">
        <f t="shared" si="125"/>
        <v>0</v>
      </c>
      <c r="AH245" s="688" t="b">
        <f t="shared" si="126"/>
        <v>1</v>
      </c>
    </row>
    <row r="246" spans="1:34" s="1" customFormat="1" ht="15" customHeight="1">
      <c r="A246" s="946">
        <v>10910013</v>
      </c>
      <c r="B246" s="946" t="s">
        <v>1284</v>
      </c>
      <c r="C246" s="946" t="s">
        <v>1437</v>
      </c>
      <c r="D246" s="946">
        <v>100000037</v>
      </c>
      <c r="E246" s="946" t="s">
        <v>1266</v>
      </c>
      <c r="F246" s="946" t="s">
        <v>26</v>
      </c>
      <c r="G246" s="947">
        <v>49583.33</v>
      </c>
      <c r="H246" s="947">
        <v>70591.3</v>
      </c>
      <c r="I246" s="949">
        <v>45915</v>
      </c>
      <c r="J246" s="949">
        <v>46096</v>
      </c>
      <c r="K246" s="949">
        <v>46096</v>
      </c>
      <c r="L246" s="29" t="e">
        <f>VLOOKUP(A246,'Account Mapping'!$A$2:$E$216,3,0)</f>
        <v>#N/A</v>
      </c>
      <c r="M246" s="25" t="e">
        <f>VLOOKUP(A246,'Account Mapping'!$A$2:$E$216,4,0)</f>
        <v>#N/A</v>
      </c>
      <c r="N246" s="26" t="e">
        <f>IF(OR(C246='Account Mapping'!$H$4,C246='Account Mapping'!$H$5,C246='Account Mapping'!$H$6),'Account Mapping'!$I$4,VLOOKUP(A246,'Account Mapping'!$A$2:$E$216,5,0))</f>
        <v>#N/A</v>
      </c>
      <c r="O246" s="27" t="e">
        <f>IF(OR(L246="Loan",L246="Deposit_Liability",L246="OFF_Unused Loan Commitment",L246="HQLA"),VLOOKUP(D246,'Customer Type'!$A$3:$C$38,3,0),"")</f>
        <v>#N/A</v>
      </c>
      <c r="P246" s="656" t="e">
        <f t="shared" si="114"/>
        <v>#N/A</v>
      </c>
      <c r="Q246" s="658">
        <f>IF(COUNTIF('Account Mapping'!$H$12:$H$45,A246)&gt;0,-H246,H246)</f>
        <v>70591.3</v>
      </c>
      <c r="R246" s="249" t="e">
        <f>VLOOKUP(P246,Assumptions!$C$2:$D$64,2,0)</f>
        <v>#N/A</v>
      </c>
      <c r="S246" s="692">
        <f>IFERROR(VLOOKUP(A246,'Maturity Adjustment'!$A$3:$C$81,3,0),(IF(J246&lt;$N$4,"Tomorrow",J246)))</f>
        <v>46096</v>
      </c>
      <c r="T246" s="24">
        <f t="shared" si="127"/>
        <v>38</v>
      </c>
      <c r="U246" s="196" t="e">
        <f t="shared" si="115"/>
        <v>#N/A</v>
      </c>
      <c r="V246" s="11">
        <f>IFERROR(VLOOKUP(A246,'Maturity Adjustment'!$A$86:$C$91,3,0),S246)</f>
        <v>46096</v>
      </c>
      <c r="W246" s="207" t="e">
        <f>VLOOKUP(A246,'Account Mapping'!$A$2:$F$216,6,0)</f>
        <v>#N/A</v>
      </c>
      <c r="X246" s="194">
        <f t="shared" si="116"/>
        <v>0</v>
      </c>
      <c r="Y246" s="194">
        <f t="shared" si="117"/>
        <v>0</v>
      </c>
      <c r="Z246" s="13">
        <f t="shared" si="118"/>
        <v>0</v>
      </c>
      <c r="AA246" s="13">
        <f t="shared" si="119"/>
        <v>70591.3</v>
      </c>
      <c r="AB246" s="13">
        <f t="shared" si="120"/>
        <v>0</v>
      </c>
      <c r="AC246" s="13">
        <f t="shared" si="121"/>
        <v>0</v>
      </c>
      <c r="AD246" s="13">
        <f t="shared" si="122"/>
        <v>0</v>
      </c>
      <c r="AE246" s="13">
        <f t="shared" si="123"/>
        <v>0</v>
      </c>
      <c r="AF246" s="13">
        <f t="shared" si="124"/>
        <v>0</v>
      </c>
      <c r="AG246" s="685">
        <f t="shared" si="125"/>
        <v>0</v>
      </c>
      <c r="AH246" s="688" t="b">
        <f t="shared" si="126"/>
        <v>1</v>
      </c>
    </row>
    <row r="247" spans="1:34" s="1" customFormat="1" ht="15" customHeight="1">
      <c r="A247" s="946">
        <v>10910021</v>
      </c>
      <c r="B247" s="946" t="s">
        <v>1285</v>
      </c>
      <c r="C247" s="946" t="s">
        <v>1534</v>
      </c>
      <c r="D247" s="946">
        <v>100000008</v>
      </c>
      <c r="E247" s="946" t="s">
        <v>685</v>
      </c>
      <c r="F247" s="946" t="s">
        <v>11</v>
      </c>
      <c r="G247" s="947">
        <v>49361.64</v>
      </c>
      <c r="H247" s="947">
        <v>49361.64</v>
      </c>
      <c r="I247" s="949">
        <v>46015</v>
      </c>
      <c r="J247" s="949">
        <v>46106</v>
      </c>
      <c r="K247" s="949">
        <v>46106</v>
      </c>
      <c r="L247" s="29" t="e">
        <f>VLOOKUP(A247,'Account Mapping'!$A$2:$E$216,3,0)</f>
        <v>#N/A</v>
      </c>
      <c r="M247" s="25" t="e">
        <f>VLOOKUP(A247,'Account Mapping'!$A$2:$E$216,4,0)</f>
        <v>#N/A</v>
      </c>
      <c r="N247" s="26" t="e">
        <f>IF(OR(C247='Account Mapping'!$H$4,C247='Account Mapping'!$H$5,C247='Account Mapping'!$H$6),'Account Mapping'!$I$4,VLOOKUP(A247,'Account Mapping'!$A$2:$E$216,5,0))</f>
        <v>#N/A</v>
      </c>
      <c r="O247" s="27" t="e">
        <f>IF(OR(L247="Loan",L247="Deposit_Liability",L247="OFF_Unused Loan Commitment",L247="HQLA"),VLOOKUP(D247,'Customer Type'!$A$3:$C$38,3,0),"")</f>
        <v>#N/A</v>
      </c>
      <c r="P247" s="656" t="e">
        <f t="shared" si="114"/>
        <v>#N/A</v>
      </c>
      <c r="Q247" s="658">
        <f>IF(COUNTIF('Account Mapping'!$H$12:$H$45,A247)&gt;0,-H247,H247)</f>
        <v>49361.64</v>
      </c>
      <c r="R247" s="249" t="e">
        <f>VLOOKUP(P247,Assumptions!$C$2:$D$64,2,0)</f>
        <v>#N/A</v>
      </c>
      <c r="S247" s="692">
        <f>IFERROR(VLOOKUP(A247,'Maturity Adjustment'!$A$3:$C$81,3,0),(IF(J247&lt;$N$4,"Tomorrow",J247)))</f>
        <v>46106</v>
      </c>
      <c r="T247" s="24">
        <f t="shared" si="127"/>
        <v>48</v>
      </c>
      <c r="U247" s="196" t="e">
        <f t="shared" si="115"/>
        <v>#N/A</v>
      </c>
      <c r="V247" s="11">
        <f>IFERROR(VLOOKUP(A247,'Maturity Adjustment'!$A$86:$C$91,3,0),S247)</f>
        <v>46106</v>
      </c>
      <c r="W247" s="207" t="e">
        <f>VLOOKUP(A247,'Account Mapping'!$A$2:$F$216,6,0)</f>
        <v>#N/A</v>
      </c>
      <c r="X247" s="194">
        <f t="shared" si="116"/>
        <v>0</v>
      </c>
      <c r="Y247" s="194">
        <f t="shared" si="117"/>
        <v>0</v>
      </c>
      <c r="Z247" s="13">
        <f t="shared" si="118"/>
        <v>0</v>
      </c>
      <c r="AA247" s="13">
        <f t="shared" si="119"/>
        <v>49361.64</v>
      </c>
      <c r="AB247" s="13">
        <f t="shared" si="120"/>
        <v>0</v>
      </c>
      <c r="AC247" s="13">
        <f t="shared" si="121"/>
        <v>0</v>
      </c>
      <c r="AD247" s="13">
        <f t="shared" si="122"/>
        <v>0</v>
      </c>
      <c r="AE247" s="13">
        <f t="shared" si="123"/>
        <v>0</v>
      </c>
      <c r="AF247" s="13">
        <f t="shared" si="124"/>
        <v>0</v>
      </c>
      <c r="AG247" s="685">
        <f t="shared" si="125"/>
        <v>0</v>
      </c>
      <c r="AH247" s="688" t="b">
        <f t="shared" si="126"/>
        <v>1</v>
      </c>
    </row>
    <row r="248" spans="1:34" s="1" customFormat="1" ht="15" customHeight="1">
      <c r="A248" s="946">
        <v>10910021</v>
      </c>
      <c r="B248" s="946" t="s">
        <v>1285</v>
      </c>
      <c r="C248" s="946" t="s">
        <v>1556</v>
      </c>
      <c r="D248" s="946">
        <v>100000008</v>
      </c>
      <c r="E248" s="946" t="s">
        <v>685</v>
      </c>
      <c r="F248" s="946" t="s">
        <v>11</v>
      </c>
      <c r="G248" s="947">
        <v>7807.4</v>
      </c>
      <c r="H248" s="947">
        <v>7807.4</v>
      </c>
      <c r="I248" s="949">
        <v>46035</v>
      </c>
      <c r="J248" s="949">
        <v>46090</v>
      </c>
      <c r="K248" s="949">
        <v>46090</v>
      </c>
      <c r="L248" s="29" t="e">
        <f>VLOOKUP(A248,'Account Mapping'!$A$2:$E$216,3,0)</f>
        <v>#N/A</v>
      </c>
      <c r="M248" s="25" t="e">
        <f>VLOOKUP(A248,'Account Mapping'!$A$2:$E$216,4,0)</f>
        <v>#N/A</v>
      </c>
      <c r="N248" s="26" t="e">
        <f>IF(OR(C248='Account Mapping'!$H$4,C248='Account Mapping'!$H$5,C248='Account Mapping'!$H$6),'Account Mapping'!$I$4,VLOOKUP(A248,'Account Mapping'!$A$2:$E$216,5,0))</f>
        <v>#N/A</v>
      </c>
      <c r="O248" s="27" t="e">
        <f>IF(OR(L248="Loan",L248="Deposit_Liability",L248="OFF_Unused Loan Commitment",L248="HQLA"),VLOOKUP(D248,'Customer Type'!$A$3:$C$38,3,0),"")</f>
        <v>#N/A</v>
      </c>
      <c r="P248" s="656" t="e">
        <f t="shared" si="114"/>
        <v>#N/A</v>
      </c>
      <c r="Q248" s="658">
        <f>IF(COUNTIF('Account Mapping'!$H$12:$H$45,A248)&gt;0,-H248,H248)</f>
        <v>7807.4</v>
      </c>
      <c r="R248" s="249" t="e">
        <f>VLOOKUP(P248,Assumptions!$C$2:$D$64,2,0)</f>
        <v>#N/A</v>
      </c>
      <c r="S248" s="692">
        <f>IFERROR(VLOOKUP(A248,'Maturity Adjustment'!$A$3:$C$81,3,0),(IF(J248&lt;$N$4,"Tomorrow",J248)))</f>
        <v>46090</v>
      </c>
      <c r="T248" s="24">
        <f t="shared" si="127"/>
        <v>32</v>
      </c>
      <c r="U248" s="196" t="e">
        <f t="shared" si="115"/>
        <v>#N/A</v>
      </c>
      <c r="V248" s="11">
        <f>IFERROR(VLOOKUP(A248,'Maturity Adjustment'!$A$86:$C$91,3,0),S248)</f>
        <v>46090</v>
      </c>
      <c r="W248" s="207" t="e">
        <f>VLOOKUP(A248,'Account Mapping'!$A$2:$F$216,6,0)</f>
        <v>#N/A</v>
      </c>
      <c r="X248" s="194">
        <f t="shared" si="116"/>
        <v>0</v>
      </c>
      <c r="Y248" s="194">
        <f t="shared" si="117"/>
        <v>0</v>
      </c>
      <c r="Z248" s="13">
        <f t="shared" si="118"/>
        <v>0</v>
      </c>
      <c r="AA248" s="13">
        <f t="shared" si="119"/>
        <v>7807.4</v>
      </c>
      <c r="AB248" s="13">
        <f t="shared" si="120"/>
        <v>0</v>
      </c>
      <c r="AC248" s="13">
        <f t="shared" si="121"/>
        <v>0</v>
      </c>
      <c r="AD248" s="13">
        <f t="shared" si="122"/>
        <v>0</v>
      </c>
      <c r="AE248" s="13">
        <f t="shared" si="123"/>
        <v>0</v>
      </c>
      <c r="AF248" s="13">
        <f t="shared" si="124"/>
        <v>0</v>
      </c>
      <c r="AG248" s="685">
        <f t="shared" si="125"/>
        <v>0</v>
      </c>
      <c r="AH248" s="688" t="b">
        <f t="shared" si="126"/>
        <v>1</v>
      </c>
    </row>
    <row r="249" spans="1:34" s="1" customFormat="1" ht="15" customHeight="1">
      <c r="A249" s="946">
        <v>10910021</v>
      </c>
      <c r="B249" s="946" t="s">
        <v>1285</v>
      </c>
      <c r="C249" s="946" t="s">
        <v>1557</v>
      </c>
      <c r="D249" s="946">
        <v>100000008</v>
      </c>
      <c r="E249" s="946" t="s">
        <v>685</v>
      </c>
      <c r="F249" s="946" t="s">
        <v>11</v>
      </c>
      <c r="G249" s="947">
        <v>10687.12</v>
      </c>
      <c r="H249" s="947">
        <v>10687.12</v>
      </c>
      <c r="I249" s="949">
        <v>46035</v>
      </c>
      <c r="J249" s="949">
        <v>46125</v>
      </c>
      <c r="K249" s="949">
        <v>46125</v>
      </c>
      <c r="L249" s="29" t="e">
        <f>VLOOKUP(A249,'Account Mapping'!$A$2:$E$216,3,0)</f>
        <v>#N/A</v>
      </c>
      <c r="M249" s="25" t="e">
        <f>VLOOKUP(A249,'Account Mapping'!$A$2:$E$216,4,0)</f>
        <v>#N/A</v>
      </c>
      <c r="N249" s="26" t="e">
        <f>IF(OR(C249='Account Mapping'!$H$4,C249='Account Mapping'!$H$5,C249='Account Mapping'!$H$6),'Account Mapping'!$I$4,VLOOKUP(A249,'Account Mapping'!$A$2:$E$216,5,0))</f>
        <v>#N/A</v>
      </c>
      <c r="O249" s="27" t="e">
        <f>IF(OR(L249="Loan",L249="Deposit_Liability",L249="OFF_Unused Loan Commitment",L249="HQLA"),VLOOKUP(D249,'Customer Type'!$A$3:$C$38,3,0),"")</f>
        <v>#N/A</v>
      </c>
      <c r="P249" s="656" t="e">
        <f t="shared" si="114"/>
        <v>#N/A</v>
      </c>
      <c r="Q249" s="658">
        <f>IF(COUNTIF('Account Mapping'!$H$12:$H$45,A249)&gt;0,-H249,H249)</f>
        <v>10687.12</v>
      </c>
      <c r="R249" s="249" t="e">
        <f>VLOOKUP(P249,Assumptions!$C$2:$D$64,2,0)</f>
        <v>#N/A</v>
      </c>
      <c r="S249" s="692">
        <f>IFERROR(VLOOKUP(A249,'Maturity Adjustment'!$A$3:$C$81,3,0),(IF(J249&lt;$N$4,"Tomorrow",J249)))</f>
        <v>46125</v>
      </c>
      <c r="T249" s="24">
        <f t="shared" si="127"/>
        <v>67</v>
      </c>
      <c r="U249" s="196" t="e">
        <f t="shared" si="115"/>
        <v>#N/A</v>
      </c>
      <c r="V249" s="11">
        <f>IFERROR(VLOOKUP(A249,'Maturity Adjustment'!$A$86:$C$91,3,0),S249)</f>
        <v>46125</v>
      </c>
      <c r="W249" s="207" t="e">
        <f>VLOOKUP(A249,'Account Mapping'!$A$2:$F$216,6,0)</f>
        <v>#N/A</v>
      </c>
      <c r="X249" s="194">
        <f t="shared" si="116"/>
        <v>0</v>
      </c>
      <c r="Y249" s="194">
        <f t="shared" si="117"/>
        <v>0</v>
      </c>
      <c r="Z249" s="13">
        <f t="shared" si="118"/>
        <v>0</v>
      </c>
      <c r="AA249" s="13">
        <f t="shared" si="119"/>
        <v>10687.12</v>
      </c>
      <c r="AB249" s="13">
        <f t="shared" si="120"/>
        <v>0</v>
      </c>
      <c r="AC249" s="13">
        <f t="shared" si="121"/>
        <v>0</v>
      </c>
      <c r="AD249" s="13">
        <f t="shared" si="122"/>
        <v>0</v>
      </c>
      <c r="AE249" s="13">
        <f t="shared" si="123"/>
        <v>0</v>
      </c>
      <c r="AF249" s="13">
        <f t="shared" si="124"/>
        <v>0</v>
      </c>
      <c r="AG249" s="685">
        <f t="shared" si="125"/>
        <v>0</v>
      </c>
      <c r="AH249" s="688" t="b">
        <f t="shared" si="126"/>
        <v>1</v>
      </c>
    </row>
    <row r="250" spans="1:34" s="1" customFormat="1" ht="15" customHeight="1">
      <c r="A250" s="946">
        <v>10920011</v>
      </c>
      <c r="B250" s="946" t="s">
        <v>1286</v>
      </c>
      <c r="C250" s="946" t="s">
        <v>1287</v>
      </c>
      <c r="D250" s="946">
        <v>100000001</v>
      </c>
      <c r="E250" s="946" t="s">
        <v>33</v>
      </c>
      <c r="F250" s="946" t="s">
        <v>11</v>
      </c>
      <c r="G250" s="947">
        <v>70.98</v>
      </c>
      <c r="H250" s="947">
        <v>70.98</v>
      </c>
      <c r="I250" s="949"/>
      <c r="J250" s="949"/>
      <c r="K250" s="949"/>
      <c r="L250" s="29" t="e">
        <f>VLOOKUP(A250,'Account Mapping'!$A$2:$E$216,3,0)</f>
        <v>#N/A</v>
      </c>
      <c r="M250" s="25" t="e">
        <f>VLOOKUP(A250,'Account Mapping'!$A$2:$E$216,4,0)</f>
        <v>#N/A</v>
      </c>
      <c r="N250" s="26" t="e">
        <f>IF(OR(C250='Account Mapping'!$H$4,C250='Account Mapping'!$H$5,C250='Account Mapping'!$H$6),'Account Mapping'!$I$4,VLOOKUP(A250,'Account Mapping'!$A$2:$E$216,5,0))</f>
        <v>#N/A</v>
      </c>
      <c r="O250" s="27" t="e">
        <f>IF(OR(L250="Loan",L250="Deposit_Liability",L250="OFF_Unused Loan Commitment",L250="HQLA"),VLOOKUP(D250,'Customer Type'!$A$3:$C$38,3,0),"")</f>
        <v>#N/A</v>
      </c>
      <c r="P250" s="656" t="e">
        <f t="shared" si="114"/>
        <v>#N/A</v>
      </c>
      <c r="Q250" s="658">
        <f>IF(COUNTIF('Account Mapping'!$H$12:$H$45,A250)&gt;0,-H250,H250)</f>
        <v>70.98</v>
      </c>
      <c r="R250" s="249" t="e">
        <f>VLOOKUP(P250,Assumptions!$C$2:$D$64,2,0)</f>
        <v>#N/A</v>
      </c>
      <c r="S250" s="692" t="str">
        <f>IFERROR(VLOOKUP(A250,'Maturity Adjustment'!$A$3:$C$81,3,0),(IF(J250&lt;$N$4,"Tomorrow",J250)))</f>
        <v>Tomorrow</v>
      </c>
      <c r="T250" s="24">
        <f t="shared" si="127"/>
        <v>1</v>
      </c>
      <c r="U250" s="196" t="e">
        <f t="shared" si="115"/>
        <v>#N/A</v>
      </c>
      <c r="V250" s="11" t="str">
        <f>IFERROR(VLOOKUP(A250,'Maturity Adjustment'!$A$86:$C$91,3,0),S250)</f>
        <v>Tomorrow</v>
      </c>
      <c r="W250" s="207" t="e">
        <f>VLOOKUP(A250,'Account Mapping'!$A$2:$F$216,6,0)</f>
        <v>#N/A</v>
      </c>
      <c r="X250" s="194">
        <f t="shared" si="116"/>
        <v>70.98</v>
      </c>
      <c r="Y250" s="194">
        <f t="shared" si="117"/>
        <v>0</v>
      </c>
      <c r="Z250" s="13">
        <f t="shared" si="118"/>
        <v>0</v>
      </c>
      <c r="AA250" s="13">
        <f t="shared" si="119"/>
        <v>0</v>
      </c>
      <c r="AB250" s="13">
        <f t="shared" si="120"/>
        <v>0</v>
      </c>
      <c r="AC250" s="13">
        <f t="shared" si="121"/>
        <v>0</v>
      </c>
      <c r="AD250" s="13">
        <f t="shared" si="122"/>
        <v>0</v>
      </c>
      <c r="AE250" s="13">
        <f t="shared" si="123"/>
        <v>0</v>
      </c>
      <c r="AF250" s="13">
        <f t="shared" si="124"/>
        <v>0</v>
      </c>
      <c r="AG250" s="685">
        <f t="shared" si="125"/>
        <v>0</v>
      </c>
      <c r="AH250" s="688" t="b">
        <f t="shared" si="126"/>
        <v>1</v>
      </c>
    </row>
    <row r="251" spans="1:34" s="1" customFormat="1" ht="15" customHeight="1">
      <c r="A251" s="946">
        <v>10920011</v>
      </c>
      <c r="B251" s="946" t="s">
        <v>1286</v>
      </c>
      <c r="C251" s="946" t="s">
        <v>1288</v>
      </c>
      <c r="D251" s="946">
        <v>100000001</v>
      </c>
      <c r="E251" s="946" t="s">
        <v>33</v>
      </c>
      <c r="F251" s="946" t="s">
        <v>11</v>
      </c>
      <c r="G251" s="947">
        <v>51.78</v>
      </c>
      <c r="H251" s="947">
        <v>51.78</v>
      </c>
      <c r="I251" s="949"/>
      <c r="J251" s="949"/>
      <c r="K251" s="949"/>
      <c r="L251" s="29" t="e">
        <f>VLOOKUP(A251,'Account Mapping'!$A$2:$E$216,3,0)</f>
        <v>#N/A</v>
      </c>
      <c r="M251" s="25" t="e">
        <f>VLOOKUP(A251,'Account Mapping'!$A$2:$E$216,4,0)</f>
        <v>#N/A</v>
      </c>
      <c r="N251" s="26" t="e">
        <f>IF(OR(C251='Account Mapping'!$H$4,C251='Account Mapping'!$H$5,C251='Account Mapping'!$H$6),'Account Mapping'!$I$4,VLOOKUP(A251,'Account Mapping'!$A$2:$E$216,5,0))</f>
        <v>#N/A</v>
      </c>
      <c r="O251" s="27" t="e">
        <f>IF(OR(L251="Loan",L251="Deposit_Liability",L251="OFF_Unused Loan Commitment",L251="HQLA"),VLOOKUP(D251,'Customer Type'!$A$3:$C$38,3,0),"")</f>
        <v>#N/A</v>
      </c>
      <c r="P251" s="656" t="e">
        <f t="shared" si="114"/>
        <v>#N/A</v>
      </c>
      <c r="Q251" s="658">
        <f>IF(COUNTIF('Account Mapping'!$H$12:$H$45,A251)&gt;0,-H251,H251)</f>
        <v>51.78</v>
      </c>
      <c r="R251" s="249" t="e">
        <f>VLOOKUP(P251,Assumptions!$C$2:$D$64,2,0)</f>
        <v>#N/A</v>
      </c>
      <c r="S251" s="692" t="str">
        <f>IFERROR(VLOOKUP(A251,'Maturity Adjustment'!$A$3:$C$81,3,0),(IF(J251&lt;$N$4,"Tomorrow",J251)))</f>
        <v>Tomorrow</v>
      </c>
      <c r="T251" s="24">
        <f t="shared" si="127"/>
        <v>1</v>
      </c>
      <c r="U251" s="196" t="e">
        <f t="shared" si="115"/>
        <v>#N/A</v>
      </c>
      <c r="V251" s="11" t="str">
        <f>IFERROR(VLOOKUP(A251,'Maturity Adjustment'!$A$86:$C$91,3,0),S251)</f>
        <v>Tomorrow</v>
      </c>
      <c r="W251" s="207" t="e">
        <f>VLOOKUP(A251,'Account Mapping'!$A$2:$F$216,6,0)</f>
        <v>#N/A</v>
      </c>
      <c r="X251" s="194">
        <f t="shared" si="116"/>
        <v>51.78</v>
      </c>
      <c r="Y251" s="194">
        <f t="shared" si="117"/>
        <v>0</v>
      </c>
      <c r="Z251" s="13">
        <f t="shared" si="118"/>
        <v>0</v>
      </c>
      <c r="AA251" s="13">
        <f t="shared" si="119"/>
        <v>0</v>
      </c>
      <c r="AB251" s="13">
        <f t="shared" si="120"/>
        <v>0</v>
      </c>
      <c r="AC251" s="13">
        <f t="shared" si="121"/>
        <v>0</v>
      </c>
      <c r="AD251" s="13">
        <f t="shared" si="122"/>
        <v>0</v>
      </c>
      <c r="AE251" s="13">
        <f t="shared" si="123"/>
        <v>0</v>
      </c>
      <c r="AF251" s="13">
        <f t="shared" si="124"/>
        <v>0</v>
      </c>
      <c r="AG251" s="685">
        <f t="shared" si="125"/>
        <v>0</v>
      </c>
      <c r="AH251" s="688" t="b">
        <f t="shared" si="126"/>
        <v>1</v>
      </c>
    </row>
    <row r="252" spans="1:34" s="1" customFormat="1" ht="15" customHeight="1">
      <c r="A252" s="946">
        <v>10920011</v>
      </c>
      <c r="B252" s="946" t="s">
        <v>1286</v>
      </c>
      <c r="C252" s="946" t="s">
        <v>1289</v>
      </c>
      <c r="D252" s="946">
        <v>100000001</v>
      </c>
      <c r="E252" s="946" t="s">
        <v>33</v>
      </c>
      <c r="F252" s="946" t="s">
        <v>11</v>
      </c>
      <c r="G252" s="947">
        <v>51.52</v>
      </c>
      <c r="H252" s="947">
        <v>51.52</v>
      </c>
      <c r="I252" s="948"/>
      <c r="J252" s="948"/>
      <c r="K252" s="948"/>
      <c r="L252" s="29" t="e">
        <f>VLOOKUP(A252,'Account Mapping'!$A$2:$E$216,3,0)</f>
        <v>#N/A</v>
      </c>
      <c r="M252" s="25" t="e">
        <f>VLOOKUP(A252,'Account Mapping'!$A$2:$E$216,4,0)</f>
        <v>#N/A</v>
      </c>
      <c r="N252" s="26" t="e">
        <f>IF(OR(C252='Account Mapping'!$H$4,C252='Account Mapping'!$H$5,C252='Account Mapping'!$H$6),'Account Mapping'!$I$4,VLOOKUP(A252,'Account Mapping'!$A$2:$E$216,5,0))</f>
        <v>#N/A</v>
      </c>
      <c r="O252" s="27" t="e">
        <f>IF(OR(L252="Loan",L252="Deposit_Liability",L252="OFF_Unused Loan Commitment",L252="HQLA"),VLOOKUP(D252,'Customer Type'!$A$3:$C$38,3,0),"")</f>
        <v>#N/A</v>
      </c>
      <c r="P252" s="656" t="e">
        <f t="shared" si="114"/>
        <v>#N/A</v>
      </c>
      <c r="Q252" s="658">
        <f>IF(COUNTIF('Account Mapping'!$H$12:$H$45,A252)&gt;0,-H252,H252)</f>
        <v>51.52</v>
      </c>
      <c r="R252" s="249" t="e">
        <f>VLOOKUP(P252,Assumptions!$C$2:$D$64,2,0)</f>
        <v>#N/A</v>
      </c>
      <c r="S252" s="692" t="str">
        <f>IFERROR(VLOOKUP(A252,'Maturity Adjustment'!$A$3:$C$81,3,0),(IF(J252&lt;$N$4,"Tomorrow",J252)))</f>
        <v>Tomorrow</v>
      </c>
      <c r="T252" s="24">
        <f t="shared" si="127"/>
        <v>1</v>
      </c>
      <c r="U252" s="196" t="e">
        <f t="shared" si="115"/>
        <v>#N/A</v>
      </c>
      <c r="V252" s="11" t="str">
        <f>IFERROR(VLOOKUP(A252,'Maturity Adjustment'!$A$86:$C$91,3,0),S252)</f>
        <v>Tomorrow</v>
      </c>
      <c r="W252" s="207" t="e">
        <f>VLOOKUP(A252,'Account Mapping'!$A$2:$F$216,6,0)</f>
        <v>#N/A</v>
      </c>
      <c r="X252" s="194">
        <f t="shared" si="116"/>
        <v>51.52</v>
      </c>
      <c r="Y252" s="194">
        <f t="shared" si="117"/>
        <v>0</v>
      </c>
      <c r="Z252" s="13">
        <f t="shared" si="118"/>
        <v>0</v>
      </c>
      <c r="AA252" s="13">
        <f t="shared" si="119"/>
        <v>0</v>
      </c>
      <c r="AB252" s="13">
        <f t="shared" si="120"/>
        <v>0</v>
      </c>
      <c r="AC252" s="13">
        <f t="shared" si="121"/>
        <v>0</v>
      </c>
      <c r="AD252" s="13">
        <f t="shared" si="122"/>
        <v>0</v>
      </c>
      <c r="AE252" s="13">
        <f t="shared" si="123"/>
        <v>0</v>
      </c>
      <c r="AF252" s="13">
        <f t="shared" si="124"/>
        <v>0</v>
      </c>
      <c r="AG252" s="685">
        <f t="shared" si="125"/>
        <v>0</v>
      </c>
      <c r="AH252" s="688" t="b">
        <f t="shared" si="126"/>
        <v>1</v>
      </c>
    </row>
    <row r="253" spans="1:34" s="1" customFormat="1" ht="15" customHeight="1">
      <c r="A253" s="946">
        <v>10920011</v>
      </c>
      <c r="B253" s="946" t="s">
        <v>1286</v>
      </c>
      <c r="C253" s="946" t="s">
        <v>1290</v>
      </c>
      <c r="D253" s="946">
        <v>100000001</v>
      </c>
      <c r="E253" s="946" t="s">
        <v>33</v>
      </c>
      <c r="F253" s="946" t="s">
        <v>11</v>
      </c>
      <c r="G253" s="947">
        <v>70.38</v>
      </c>
      <c r="H253" s="947">
        <v>70.38</v>
      </c>
      <c r="I253" s="948"/>
      <c r="J253" s="948"/>
      <c r="K253" s="948"/>
      <c r="L253" s="29" t="e">
        <f>VLOOKUP(A253,'Account Mapping'!$A$2:$E$216,3,0)</f>
        <v>#N/A</v>
      </c>
      <c r="M253" s="25" t="e">
        <f>VLOOKUP(A253,'Account Mapping'!$A$2:$E$216,4,0)</f>
        <v>#N/A</v>
      </c>
      <c r="N253" s="26" t="e">
        <f>IF(OR(C253='Account Mapping'!$H$4,C253='Account Mapping'!$H$5,C253='Account Mapping'!$H$6),'Account Mapping'!$I$4,VLOOKUP(A253,'Account Mapping'!$A$2:$E$216,5,0))</f>
        <v>#N/A</v>
      </c>
      <c r="O253" s="27" t="e">
        <f>IF(OR(L253="Loan",L253="Deposit_Liability",L253="OFF_Unused Loan Commitment",L253="HQLA"),VLOOKUP(D253,'Customer Type'!$A$3:$C$38,3,0),"")</f>
        <v>#N/A</v>
      </c>
      <c r="P253" s="656" t="e">
        <f t="shared" si="114"/>
        <v>#N/A</v>
      </c>
      <c r="Q253" s="658">
        <f>IF(COUNTIF('Account Mapping'!$H$12:$H$45,A253)&gt;0,-H253,H253)</f>
        <v>70.38</v>
      </c>
      <c r="R253" s="249" t="e">
        <f>VLOOKUP(P253,Assumptions!$C$2:$D$64,2,0)</f>
        <v>#N/A</v>
      </c>
      <c r="S253" s="692" t="str">
        <f>IFERROR(VLOOKUP(A253,'Maturity Adjustment'!$A$3:$C$81,3,0),(IF(J253&lt;$N$4,"Tomorrow",J253)))</f>
        <v>Tomorrow</v>
      </c>
      <c r="T253" s="24">
        <f t="shared" si="127"/>
        <v>1</v>
      </c>
      <c r="U253" s="196" t="e">
        <f t="shared" si="115"/>
        <v>#N/A</v>
      </c>
      <c r="V253" s="11" t="str">
        <f>IFERROR(VLOOKUP(A253,'Maturity Adjustment'!$A$86:$C$91,3,0),S253)</f>
        <v>Tomorrow</v>
      </c>
      <c r="W253" s="207" t="e">
        <f>VLOOKUP(A253,'Account Mapping'!$A$2:$F$216,6,0)</f>
        <v>#N/A</v>
      </c>
      <c r="X253" s="194">
        <f t="shared" si="116"/>
        <v>70.38</v>
      </c>
      <c r="Y253" s="194">
        <f t="shared" si="117"/>
        <v>0</v>
      </c>
      <c r="Z253" s="13">
        <f t="shared" si="118"/>
        <v>0</v>
      </c>
      <c r="AA253" s="13">
        <f t="shared" si="119"/>
        <v>0</v>
      </c>
      <c r="AB253" s="13">
        <f t="shared" si="120"/>
        <v>0</v>
      </c>
      <c r="AC253" s="13">
        <f t="shared" si="121"/>
        <v>0</v>
      </c>
      <c r="AD253" s="13">
        <f t="shared" si="122"/>
        <v>0</v>
      </c>
      <c r="AE253" s="13">
        <f t="shared" si="123"/>
        <v>0</v>
      </c>
      <c r="AF253" s="13">
        <f t="shared" si="124"/>
        <v>0</v>
      </c>
      <c r="AG253" s="685">
        <f t="shared" si="125"/>
        <v>0</v>
      </c>
      <c r="AH253" s="688" t="b">
        <f t="shared" si="126"/>
        <v>1</v>
      </c>
    </row>
    <row r="254" spans="1:34" s="1" customFormat="1" ht="15" customHeight="1">
      <c r="A254" s="946">
        <v>10920011</v>
      </c>
      <c r="B254" s="946" t="s">
        <v>1286</v>
      </c>
      <c r="C254" s="946" t="s">
        <v>1291</v>
      </c>
      <c r="D254" s="946">
        <v>100000001</v>
      </c>
      <c r="E254" s="946" t="s">
        <v>33</v>
      </c>
      <c r="F254" s="946" t="s">
        <v>11</v>
      </c>
      <c r="G254" s="947">
        <v>1424.8</v>
      </c>
      <c r="H254" s="947">
        <v>1424.8</v>
      </c>
      <c r="I254" s="948"/>
      <c r="J254" s="948"/>
      <c r="K254" s="948"/>
      <c r="L254" s="29" t="e">
        <f>VLOOKUP(A254,'Account Mapping'!$A$2:$E$216,3,0)</f>
        <v>#N/A</v>
      </c>
      <c r="M254" s="25" t="e">
        <f>VLOOKUP(A254,'Account Mapping'!$A$2:$E$216,4,0)</f>
        <v>#N/A</v>
      </c>
      <c r="N254" s="26" t="e">
        <f>IF(OR(C254='Account Mapping'!$H$4,C254='Account Mapping'!$H$5,C254='Account Mapping'!$H$6),'Account Mapping'!$I$4,VLOOKUP(A254,'Account Mapping'!$A$2:$E$216,5,0))</f>
        <v>#N/A</v>
      </c>
      <c r="O254" s="27" t="e">
        <f>IF(OR(L254="Loan",L254="Deposit_Liability",L254="OFF_Unused Loan Commitment",L254="HQLA"),VLOOKUP(D254,'Customer Type'!$A$3:$C$38,3,0),"")</f>
        <v>#N/A</v>
      </c>
      <c r="P254" s="656" t="e">
        <f t="shared" si="114"/>
        <v>#N/A</v>
      </c>
      <c r="Q254" s="658">
        <f>IF(COUNTIF('Account Mapping'!$H$12:$H$45,A254)&gt;0,-H254,H254)</f>
        <v>1424.8</v>
      </c>
      <c r="R254" s="249" t="e">
        <f>VLOOKUP(P254,Assumptions!$C$2:$D$64,2,0)</f>
        <v>#N/A</v>
      </c>
      <c r="S254" s="692" t="str">
        <f>IFERROR(VLOOKUP(A254,'Maturity Adjustment'!$A$3:$C$81,3,0),(IF(J254&lt;$N$4,"Tomorrow",J254)))</f>
        <v>Tomorrow</v>
      </c>
      <c r="T254" s="24">
        <f t="shared" si="127"/>
        <v>1</v>
      </c>
      <c r="U254" s="196" t="e">
        <f t="shared" si="115"/>
        <v>#N/A</v>
      </c>
      <c r="V254" s="11" t="str">
        <f>IFERROR(VLOOKUP(A254,'Maturity Adjustment'!$A$86:$C$91,3,0),S254)</f>
        <v>Tomorrow</v>
      </c>
      <c r="W254" s="207" t="e">
        <f>VLOOKUP(A254,'Account Mapping'!$A$2:$F$216,6,0)</f>
        <v>#N/A</v>
      </c>
      <c r="X254" s="194">
        <f t="shared" si="116"/>
        <v>1424.8</v>
      </c>
      <c r="Y254" s="194">
        <f t="shared" si="117"/>
        <v>0</v>
      </c>
      <c r="Z254" s="13">
        <f t="shared" si="118"/>
        <v>0</v>
      </c>
      <c r="AA254" s="13">
        <f t="shared" si="119"/>
        <v>0</v>
      </c>
      <c r="AB254" s="13">
        <f t="shared" si="120"/>
        <v>0</v>
      </c>
      <c r="AC254" s="13">
        <f t="shared" si="121"/>
        <v>0</v>
      </c>
      <c r="AD254" s="13">
        <f t="shared" si="122"/>
        <v>0</v>
      </c>
      <c r="AE254" s="13">
        <f t="shared" si="123"/>
        <v>0</v>
      </c>
      <c r="AF254" s="13">
        <f t="shared" si="124"/>
        <v>0</v>
      </c>
      <c r="AG254" s="685">
        <f t="shared" si="125"/>
        <v>0</v>
      </c>
      <c r="AH254" s="688" t="b">
        <f t="shared" si="126"/>
        <v>1</v>
      </c>
    </row>
    <row r="255" spans="1:34" s="1" customFormat="1" ht="15" customHeight="1">
      <c r="A255" s="946">
        <v>10920011</v>
      </c>
      <c r="B255" s="946" t="s">
        <v>1286</v>
      </c>
      <c r="C255" s="946" t="s">
        <v>1292</v>
      </c>
      <c r="D255" s="946">
        <v>100000001</v>
      </c>
      <c r="E255" s="946" t="s">
        <v>33</v>
      </c>
      <c r="F255" s="946" t="s">
        <v>11</v>
      </c>
      <c r="G255" s="947">
        <v>83.5</v>
      </c>
      <c r="H255" s="947">
        <v>83.5</v>
      </c>
      <c r="I255" s="948"/>
      <c r="J255" s="948"/>
      <c r="K255" s="948"/>
      <c r="L255" s="29" t="e">
        <f>VLOOKUP(A255,'Account Mapping'!$A$2:$E$216,3,0)</f>
        <v>#N/A</v>
      </c>
      <c r="M255" s="25" t="e">
        <f>VLOOKUP(A255,'Account Mapping'!$A$2:$E$216,4,0)</f>
        <v>#N/A</v>
      </c>
      <c r="N255" s="26" t="e">
        <f>IF(OR(C255='Account Mapping'!$H$4,C255='Account Mapping'!$H$5,C255='Account Mapping'!$H$6),'Account Mapping'!$I$4,VLOOKUP(A255,'Account Mapping'!$A$2:$E$216,5,0))</f>
        <v>#N/A</v>
      </c>
      <c r="O255" s="27" t="e">
        <f>IF(OR(L255="Loan",L255="Deposit_Liability",L255="OFF_Unused Loan Commitment",L255="HQLA"),VLOOKUP(D255,'Customer Type'!$A$3:$C$38,3,0),"")</f>
        <v>#N/A</v>
      </c>
      <c r="P255" s="656" t="e">
        <f t="shared" si="114"/>
        <v>#N/A</v>
      </c>
      <c r="Q255" s="658">
        <f>IF(COUNTIF('Account Mapping'!$H$12:$H$45,A255)&gt;0,-H255,H255)</f>
        <v>83.5</v>
      </c>
      <c r="R255" s="249" t="e">
        <f>VLOOKUP(P255,Assumptions!$C$2:$D$64,2,0)</f>
        <v>#N/A</v>
      </c>
      <c r="S255" s="692" t="str">
        <f>IFERROR(VLOOKUP(A255,'Maturity Adjustment'!$A$3:$C$81,3,0),(IF(J255&lt;$N$4,"Tomorrow",J255)))</f>
        <v>Tomorrow</v>
      </c>
      <c r="T255" s="24">
        <f t="shared" si="127"/>
        <v>1</v>
      </c>
      <c r="U255" s="196" t="e">
        <f t="shared" si="115"/>
        <v>#N/A</v>
      </c>
      <c r="V255" s="11" t="str">
        <f>IFERROR(VLOOKUP(A255,'Maturity Adjustment'!$A$86:$C$91,3,0),S255)</f>
        <v>Tomorrow</v>
      </c>
      <c r="W255" s="207" t="e">
        <f>VLOOKUP(A255,'Account Mapping'!$A$2:$F$216,6,0)</f>
        <v>#N/A</v>
      </c>
      <c r="X255" s="194">
        <f t="shared" si="116"/>
        <v>83.5</v>
      </c>
      <c r="Y255" s="194">
        <f t="shared" si="117"/>
        <v>0</v>
      </c>
      <c r="Z255" s="13">
        <f t="shared" si="118"/>
        <v>0</v>
      </c>
      <c r="AA255" s="13">
        <f t="shared" si="119"/>
        <v>0</v>
      </c>
      <c r="AB255" s="13">
        <f t="shared" si="120"/>
        <v>0</v>
      </c>
      <c r="AC255" s="13">
        <f t="shared" si="121"/>
        <v>0</v>
      </c>
      <c r="AD255" s="13">
        <f t="shared" si="122"/>
        <v>0</v>
      </c>
      <c r="AE255" s="13">
        <f t="shared" si="123"/>
        <v>0</v>
      </c>
      <c r="AF255" s="13">
        <f t="shared" si="124"/>
        <v>0</v>
      </c>
      <c r="AG255" s="685">
        <f t="shared" si="125"/>
        <v>0</v>
      </c>
      <c r="AH255" s="688" t="b">
        <f t="shared" si="126"/>
        <v>1</v>
      </c>
    </row>
    <row r="256" spans="1:34" s="1" customFormat="1" ht="15" customHeight="1">
      <c r="A256" s="946">
        <v>10920011</v>
      </c>
      <c r="B256" s="946" t="s">
        <v>1286</v>
      </c>
      <c r="C256" s="946" t="s">
        <v>1293</v>
      </c>
      <c r="D256" s="946">
        <v>100000001</v>
      </c>
      <c r="E256" s="946" t="s">
        <v>33</v>
      </c>
      <c r="F256" s="946" t="s">
        <v>11</v>
      </c>
      <c r="G256" s="947">
        <v>4</v>
      </c>
      <c r="H256" s="947">
        <v>4</v>
      </c>
      <c r="I256" s="948"/>
      <c r="J256" s="948"/>
      <c r="K256" s="948"/>
      <c r="L256" s="29" t="e">
        <f>VLOOKUP(A256,'Account Mapping'!$A$2:$E$216,3,0)</f>
        <v>#N/A</v>
      </c>
      <c r="M256" s="25" t="e">
        <f>VLOOKUP(A256,'Account Mapping'!$A$2:$E$216,4,0)</f>
        <v>#N/A</v>
      </c>
      <c r="N256" s="26" t="e">
        <f>IF(OR(C256='Account Mapping'!$H$4,C256='Account Mapping'!$H$5,C256='Account Mapping'!$H$6),'Account Mapping'!$I$4,VLOOKUP(A256,'Account Mapping'!$A$2:$E$216,5,0))</f>
        <v>#N/A</v>
      </c>
      <c r="O256" s="27" t="e">
        <f>IF(OR(L256="Loan",L256="Deposit_Liability",L256="OFF_Unused Loan Commitment",L256="HQLA"),VLOOKUP(D256,'Customer Type'!$A$3:$C$38,3,0),"")</f>
        <v>#N/A</v>
      </c>
      <c r="P256" s="656" t="e">
        <f t="shared" si="114"/>
        <v>#N/A</v>
      </c>
      <c r="Q256" s="658">
        <f>IF(COUNTIF('Account Mapping'!$H$12:$H$45,A256)&gt;0,-H256,H256)</f>
        <v>4</v>
      </c>
      <c r="R256" s="249" t="e">
        <f>VLOOKUP(P256,Assumptions!$C$2:$D$64,2,0)</f>
        <v>#N/A</v>
      </c>
      <c r="S256" s="692" t="str">
        <f>IFERROR(VLOOKUP(A256,'Maturity Adjustment'!$A$3:$C$81,3,0),(IF(J256&lt;$N$4,"Tomorrow",J256)))</f>
        <v>Tomorrow</v>
      </c>
      <c r="T256" s="24">
        <f t="shared" si="127"/>
        <v>1</v>
      </c>
      <c r="U256" s="196" t="e">
        <f t="shared" si="115"/>
        <v>#N/A</v>
      </c>
      <c r="V256" s="11" t="str">
        <f>IFERROR(VLOOKUP(A256,'Maturity Adjustment'!$A$86:$C$91,3,0),S256)</f>
        <v>Tomorrow</v>
      </c>
      <c r="W256" s="207" t="e">
        <f>VLOOKUP(A256,'Account Mapping'!$A$2:$F$216,6,0)</f>
        <v>#N/A</v>
      </c>
      <c r="X256" s="194">
        <f t="shared" si="116"/>
        <v>4</v>
      </c>
      <c r="Y256" s="194">
        <f t="shared" si="117"/>
        <v>0</v>
      </c>
      <c r="Z256" s="13">
        <f t="shared" si="118"/>
        <v>0</v>
      </c>
      <c r="AA256" s="13">
        <f t="shared" si="119"/>
        <v>0</v>
      </c>
      <c r="AB256" s="13">
        <f t="shared" si="120"/>
        <v>0</v>
      </c>
      <c r="AC256" s="13">
        <f t="shared" si="121"/>
        <v>0</v>
      </c>
      <c r="AD256" s="13">
        <f t="shared" si="122"/>
        <v>0</v>
      </c>
      <c r="AE256" s="13">
        <f t="shared" si="123"/>
        <v>0</v>
      </c>
      <c r="AF256" s="13">
        <f t="shared" si="124"/>
        <v>0</v>
      </c>
      <c r="AG256" s="685">
        <f t="shared" si="125"/>
        <v>0</v>
      </c>
      <c r="AH256" s="688" t="b">
        <f t="shared" si="126"/>
        <v>1</v>
      </c>
    </row>
    <row r="257" spans="1:34" s="1" customFormat="1" ht="15" customHeight="1">
      <c r="A257" s="946">
        <v>10920011</v>
      </c>
      <c r="B257" s="946" t="s">
        <v>1286</v>
      </c>
      <c r="C257" s="946" t="s">
        <v>1294</v>
      </c>
      <c r="D257" s="946">
        <v>100000001</v>
      </c>
      <c r="E257" s="946" t="s">
        <v>33</v>
      </c>
      <c r="F257" s="946" t="s">
        <v>11</v>
      </c>
      <c r="G257" s="947">
        <v>1721.03</v>
      </c>
      <c r="H257" s="947">
        <v>1721.03</v>
      </c>
      <c r="I257" s="948"/>
      <c r="J257" s="948"/>
      <c r="K257" s="948"/>
      <c r="L257" s="29" t="e">
        <f>VLOOKUP(A257,'Account Mapping'!$A$2:$E$216,3,0)</f>
        <v>#N/A</v>
      </c>
      <c r="M257" s="25" t="e">
        <f>VLOOKUP(A257,'Account Mapping'!$A$2:$E$216,4,0)</f>
        <v>#N/A</v>
      </c>
      <c r="N257" s="26" t="e">
        <f>IF(OR(C257='Account Mapping'!$H$4,C257='Account Mapping'!$H$5,C257='Account Mapping'!$H$6),'Account Mapping'!$I$4,VLOOKUP(A257,'Account Mapping'!$A$2:$E$216,5,0))</f>
        <v>#N/A</v>
      </c>
      <c r="O257" s="27" t="e">
        <f>IF(OR(L257="Loan",L257="Deposit_Liability",L257="OFF_Unused Loan Commitment",L257="HQLA"),VLOOKUP(D257,'Customer Type'!$A$3:$C$38,3,0),"")</f>
        <v>#N/A</v>
      </c>
      <c r="P257" s="656" t="e">
        <f t="shared" si="114"/>
        <v>#N/A</v>
      </c>
      <c r="Q257" s="658">
        <f>IF(COUNTIF('Account Mapping'!$H$12:$H$45,A257)&gt;0,-H257,H257)</f>
        <v>1721.03</v>
      </c>
      <c r="R257" s="249" t="e">
        <f>VLOOKUP(P257,Assumptions!$C$2:$D$64,2,0)</f>
        <v>#N/A</v>
      </c>
      <c r="S257" s="692" t="str">
        <f>IFERROR(VLOOKUP(A257,'Maturity Adjustment'!$A$3:$C$81,3,0),(IF(J257&lt;$N$4,"Tomorrow",J257)))</f>
        <v>Tomorrow</v>
      </c>
      <c r="T257" s="24">
        <f t="shared" si="127"/>
        <v>1</v>
      </c>
      <c r="U257" s="196" t="e">
        <f t="shared" si="115"/>
        <v>#N/A</v>
      </c>
      <c r="V257" s="11" t="str">
        <f>IFERROR(VLOOKUP(A257,'Maturity Adjustment'!$A$86:$C$91,3,0),S257)</f>
        <v>Tomorrow</v>
      </c>
      <c r="W257" s="207" t="e">
        <f>VLOOKUP(A257,'Account Mapping'!$A$2:$F$216,6,0)</f>
        <v>#N/A</v>
      </c>
      <c r="X257" s="194">
        <f t="shared" si="116"/>
        <v>1721.03</v>
      </c>
      <c r="Y257" s="194">
        <f t="shared" si="117"/>
        <v>0</v>
      </c>
      <c r="Z257" s="13">
        <f t="shared" si="118"/>
        <v>0</v>
      </c>
      <c r="AA257" s="13">
        <f t="shared" si="119"/>
        <v>0</v>
      </c>
      <c r="AB257" s="13">
        <f t="shared" si="120"/>
        <v>0</v>
      </c>
      <c r="AC257" s="13">
        <f t="shared" si="121"/>
        <v>0</v>
      </c>
      <c r="AD257" s="13">
        <f t="shared" si="122"/>
        <v>0</v>
      </c>
      <c r="AE257" s="13">
        <f t="shared" si="123"/>
        <v>0</v>
      </c>
      <c r="AF257" s="13">
        <f t="shared" si="124"/>
        <v>0</v>
      </c>
      <c r="AG257" s="685">
        <f t="shared" si="125"/>
        <v>0</v>
      </c>
      <c r="AH257" s="688" t="b">
        <f t="shared" si="126"/>
        <v>1</v>
      </c>
    </row>
    <row r="258" spans="1:34" s="1" customFormat="1" ht="15" customHeight="1">
      <c r="A258" s="946">
        <v>10920011</v>
      </c>
      <c r="B258" s="946" t="s">
        <v>1286</v>
      </c>
      <c r="C258" s="946" t="s">
        <v>1295</v>
      </c>
      <c r="D258" s="946">
        <v>100000001</v>
      </c>
      <c r="E258" s="946" t="s">
        <v>33</v>
      </c>
      <c r="F258" s="946" t="s">
        <v>11</v>
      </c>
      <c r="G258" s="947">
        <v>44.31</v>
      </c>
      <c r="H258" s="947">
        <v>44.31</v>
      </c>
      <c r="I258" s="948"/>
      <c r="J258" s="948"/>
      <c r="K258" s="948"/>
      <c r="L258" s="29" t="e">
        <f>VLOOKUP(A258,'Account Mapping'!$A$2:$E$216,3,0)</f>
        <v>#N/A</v>
      </c>
      <c r="M258" s="25" t="e">
        <f>VLOOKUP(A258,'Account Mapping'!$A$2:$E$216,4,0)</f>
        <v>#N/A</v>
      </c>
      <c r="N258" s="26" t="e">
        <f>IF(OR(C258='Account Mapping'!$H$4,C258='Account Mapping'!$H$5,C258='Account Mapping'!$H$6),'Account Mapping'!$I$4,VLOOKUP(A258,'Account Mapping'!$A$2:$E$216,5,0))</f>
        <v>#N/A</v>
      </c>
      <c r="O258" s="27" t="e">
        <f>IF(OR(L258="Loan",L258="Deposit_Liability",L258="OFF_Unused Loan Commitment",L258="HQLA"),VLOOKUP(D258,'Customer Type'!$A$3:$C$38,3,0),"")</f>
        <v>#N/A</v>
      </c>
      <c r="P258" s="656" t="e">
        <f t="shared" si="114"/>
        <v>#N/A</v>
      </c>
      <c r="Q258" s="658">
        <f>IF(COUNTIF('Account Mapping'!$H$12:$H$45,A258)&gt;0,-H258,H258)</f>
        <v>44.31</v>
      </c>
      <c r="R258" s="249" t="e">
        <f>VLOOKUP(P258,Assumptions!$C$2:$D$64,2,0)</f>
        <v>#N/A</v>
      </c>
      <c r="S258" s="692" t="str">
        <f>IFERROR(VLOOKUP(A258,'Maturity Adjustment'!$A$3:$C$81,3,0),(IF(J258&lt;$N$4,"Tomorrow",J258)))</f>
        <v>Tomorrow</v>
      </c>
      <c r="T258" s="24">
        <f t="shared" si="127"/>
        <v>1</v>
      </c>
      <c r="U258" s="196" t="e">
        <f t="shared" si="115"/>
        <v>#N/A</v>
      </c>
      <c r="V258" s="11" t="str">
        <f>IFERROR(VLOOKUP(A258,'Maturity Adjustment'!$A$86:$C$91,3,0),S258)</f>
        <v>Tomorrow</v>
      </c>
      <c r="W258" s="207" t="e">
        <f>VLOOKUP(A258,'Account Mapping'!$A$2:$F$216,6,0)</f>
        <v>#N/A</v>
      </c>
      <c r="X258" s="194">
        <f t="shared" si="116"/>
        <v>44.31</v>
      </c>
      <c r="Y258" s="194">
        <f t="shared" si="117"/>
        <v>0</v>
      </c>
      <c r="Z258" s="13">
        <f t="shared" si="118"/>
        <v>0</v>
      </c>
      <c r="AA258" s="13">
        <f t="shared" si="119"/>
        <v>0</v>
      </c>
      <c r="AB258" s="13">
        <f t="shared" si="120"/>
        <v>0</v>
      </c>
      <c r="AC258" s="13">
        <f t="shared" si="121"/>
        <v>0</v>
      </c>
      <c r="AD258" s="13">
        <f t="shared" si="122"/>
        <v>0</v>
      </c>
      <c r="AE258" s="13">
        <f t="shared" si="123"/>
        <v>0</v>
      </c>
      <c r="AF258" s="13">
        <f t="shared" si="124"/>
        <v>0</v>
      </c>
      <c r="AG258" s="685">
        <f t="shared" si="125"/>
        <v>0</v>
      </c>
      <c r="AH258" s="688" t="b">
        <f t="shared" si="126"/>
        <v>1</v>
      </c>
    </row>
    <row r="259" spans="1:34" s="1" customFormat="1" ht="15" customHeight="1">
      <c r="A259" s="946">
        <v>10920011</v>
      </c>
      <c r="B259" s="946" t="s">
        <v>1286</v>
      </c>
      <c r="C259" s="946" t="s">
        <v>1296</v>
      </c>
      <c r="D259" s="946">
        <v>100000001</v>
      </c>
      <c r="E259" s="946" t="s">
        <v>33</v>
      </c>
      <c r="F259" s="946" t="s">
        <v>11</v>
      </c>
      <c r="G259" s="947">
        <v>526.87</v>
      </c>
      <c r="H259" s="947">
        <v>526.87</v>
      </c>
      <c r="I259" s="948"/>
      <c r="J259" s="948"/>
      <c r="K259" s="948"/>
      <c r="L259" s="29" t="e">
        <f>VLOOKUP(A259,'Account Mapping'!$A$2:$E$216,3,0)</f>
        <v>#N/A</v>
      </c>
      <c r="M259" s="25" t="e">
        <f>VLOOKUP(A259,'Account Mapping'!$A$2:$E$216,4,0)</f>
        <v>#N/A</v>
      </c>
      <c r="N259" s="26" t="e">
        <f>IF(OR(C259='Account Mapping'!$H$4,C259='Account Mapping'!$H$5,C259='Account Mapping'!$H$6),'Account Mapping'!$I$4,VLOOKUP(A259,'Account Mapping'!$A$2:$E$216,5,0))</f>
        <v>#N/A</v>
      </c>
      <c r="O259" s="27" t="e">
        <f>IF(OR(L259="Loan",L259="Deposit_Liability",L259="OFF_Unused Loan Commitment",L259="HQLA"),VLOOKUP(D259,'Customer Type'!$A$3:$C$38,3,0),"")</f>
        <v>#N/A</v>
      </c>
      <c r="P259" s="656" t="e">
        <f t="shared" si="114"/>
        <v>#N/A</v>
      </c>
      <c r="Q259" s="658">
        <f>IF(COUNTIF('Account Mapping'!$H$12:$H$45,A259)&gt;0,-H259,H259)</f>
        <v>526.87</v>
      </c>
      <c r="R259" s="249" t="e">
        <f>VLOOKUP(P259,Assumptions!$C$2:$D$64,2,0)</f>
        <v>#N/A</v>
      </c>
      <c r="S259" s="692" t="str">
        <f>IFERROR(VLOOKUP(A259,'Maturity Adjustment'!$A$3:$C$81,3,0),(IF(J259&lt;$N$4,"Tomorrow",J259)))</f>
        <v>Tomorrow</v>
      </c>
      <c r="T259" s="24">
        <f t="shared" si="127"/>
        <v>1</v>
      </c>
      <c r="U259" s="196" t="e">
        <f t="shared" si="115"/>
        <v>#N/A</v>
      </c>
      <c r="V259" s="11" t="str">
        <f>IFERROR(VLOOKUP(A259,'Maturity Adjustment'!$A$86:$C$91,3,0),S259)</f>
        <v>Tomorrow</v>
      </c>
      <c r="W259" s="207" t="e">
        <f>VLOOKUP(A259,'Account Mapping'!$A$2:$F$216,6,0)</f>
        <v>#N/A</v>
      </c>
      <c r="X259" s="194">
        <f t="shared" si="116"/>
        <v>526.87</v>
      </c>
      <c r="Y259" s="194">
        <f t="shared" si="117"/>
        <v>0</v>
      </c>
      <c r="Z259" s="13">
        <f t="shared" si="118"/>
        <v>0</v>
      </c>
      <c r="AA259" s="13">
        <f t="shared" si="119"/>
        <v>0</v>
      </c>
      <c r="AB259" s="13">
        <f t="shared" si="120"/>
        <v>0</v>
      </c>
      <c r="AC259" s="13">
        <f t="shared" si="121"/>
        <v>0</v>
      </c>
      <c r="AD259" s="13">
        <f t="shared" si="122"/>
        <v>0</v>
      </c>
      <c r="AE259" s="13">
        <f t="shared" si="123"/>
        <v>0</v>
      </c>
      <c r="AF259" s="13">
        <f t="shared" si="124"/>
        <v>0</v>
      </c>
      <c r="AG259" s="685">
        <f t="shared" si="125"/>
        <v>0</v>
      </c>
      <c r="AH259" s="688" t="b">
        <f t="shared" si="126"/>
        <v>1</v>
      </c>
    </row>
    <row r="260" spans="1:34" s="1" customFormat="1" ht="15" customHeight="1">
      <c r="A260" s="946">
        <v>10920011</v>
      </c>
      <c r="B260" s="946" t="s">
        <v>1286</v>
      </c>
      <c r="C260" s="946" t="s">
        <v>1297</v>
      </c>
      <c r="D260" s="946">
        <v>100000001</v>
      </c>
      <c r="E260" s="946" t="s">
        <v>33</v>
      </c>
      <c r="F260" s="946" t="s">
        <v>11</v>
      </c>
      <c r="G260" s="947">
        <v>508.28</v>
      </c>
      <c r="H260" s="947">
        <v>508.28</v>
      </c>
      <c r="I260" s="948"/>
      <c r="J260" s="948"/>
      <c r="K260" s="948"/>
      <c r="L260" s="29" t="e">
        <f>VLOOKUP(A260,'Account Mapping'!$A$2:$E$216,3,0)</f>
        <v>#N/A</v>
      </c>
      <c r="M260" s="25" t="e">
        <f>VLOOKUP(A260,'Account Mapping'!$A$2:$E$216,4,0)</f>
        <v>#N/A</v>
      </c>
      <c r="N260" s="26" t="e">
        <f>IF(OR(C260='Account Mapping'!$H$4,C260='Account Mapping'!$H$5,C260='Account Mapping'!$H$6),'Account Mapping'!$I$4,VLOOKUP(A260,'Account Mapping'!$A$2:$E$216,5,0))</f>
        <v>#N/A</v>
      </c>
      <c r="O260" s="27" t="e">
        <f>IF(OR(L260="Loan",L260="Deposit_Liability",L260="OFF_Unused Loan Commitment",L260="HQLA"),VLOOKUP(D260,'Customer Type'!$A$3:$C$38,3,0),"")</f>
        <v>#N/A</v>
      </c>
      <c r="P260" s="656" t="e">
        <f t="shared" si="114"/>
        <v>#N/A</v>
      </c>
      <c r="Q260" s="658">
        <f>IF(COUNTIF('Account Mapping'!$H$12:$H$45,A260)&gt;0,-H260,H260)</f>
        <v>508.28</v>
      </c>
      <c r="R260" s="249" t="e">
        <f>VLOOKUP(P260,Assumptions!$C$2:$D$64,2,0)</f>
        <v>#N/A</v>
      </c>
      <c r="S260" s="692" t="str">
        <f>IFERROR(VLOOKUP(A260,'Maturity Adjustment'!$A$3:$C$81,3,0),(IF(J260&lt;$N$4,"Tomorrow",J260)))</f>
        <v>Tomorrow</v>
      </c>
      <c r="T260" s="24">
        <f t="shared" si="127"/>
        <v>1</v>
      </c>
      <c r="U260" s="196" t="e">
        <f t="shared" si="115"/>
        <v>#N/A</v>
      </c>
      <c r="V260" s="11" t="str">
        <f>IFERROR(VLOOKUP(A260,'Maturity Adjustment'!$A$86:$C$91,3,0),S260)</f>
        <v>Tomorrow</v>
      </c>
      <c r="W260" s="207" t="e">
        <f>VLOOKUP(A260,'Account Mapping'!$A$2:$F$216,6,0)</f>
        <v>#N/A</v>
      </c>
      <c r="X260" s="194">
        <f t="shared" si="116"/>
        <v>508.28</v>
      </c>
      <c r="Y260" s="194">
        <f t="shared" si="117"/>
        <v>0</v>
      </c>
      <c r="Z260" s="13">
        <f t="shared" si="118"/>
        <v>0</v>
      </c>
      <c r="AA260" s="13">
        <f t="shared" si="119"/>
        <v>0</v>
      </c>
      <c r="AB260" s="13">
        <f t="shared" si="120"/>
        <v>0</v>
      </c>
      <c r="AC260" s="13">
        <f t="shared" si="121"/>
        <v>0</v>
      </c>
      <c r="AD260" s="13">
        <f t="shared" si="122"/>
        <v>0</v>
      </c>
      <c r="AE260" s="13">
        <f t="shared" si="123"/>
        <v>0</v>
      </c>
      <c r="AF260" s="13">
        <f t="shared" si="124"/>
        <v>0</v>
      </c>
      <c r="AG260" s="685">
        <f t="shared" si="125"/>
        <v>0</v>
      </c>
      <c r="AH260" s="688" t="b">
        <f t="shared" si="126"/>
        <v>1</v>
      </c>
    </row>
    <row r="261" spans="1:34" s="1" customFormat="1" ht="15" customHeight="1">
      <c r="A261" s="946">
        <v>10920011</v>
      </c>
      <c r="B261" s="946" t="s">
        <v>1286</v>
      </c>
      <c r="C261" s="946" t="s">
        <v>1298</v>
      </c>
      <c r="D261" s="946">
        <v>100000001</v>
      </c>
      <c r="E261" s="946" t="s">
        <v>33</v>
      </c>
      <c r="F261" s="946" t="s">
        <v>11</v>
      </c>
      <c r="G261" s="947">
        <v>23817.31</v>
      </c>
      <c r="H261" s="947">
        <v>23817.31</v>
      </c>
      <c r="I261" s="948"/>
      <c r="J261" s="948"/>
      <c r="K261" s="948"/>
      <c r="L261" s="29" t="e">
        <f>VLOOKUP(A261,'Account Mapping'!$A$2:$E$216,3,0)</f>
        <v>#N/A</v>
      </c>
      <c r="M261" s="25" t="e">
        <f>VLOOKUP(A261,'Account Mapping'!$A$2:$E$216,4,0)</f>
        <v>#N/A</v>
      </c>
      <c r="N261" s="26" t="e">
        <f>IF(OR(C261='Account Mapping'!$H$4,C261='Account Mapping'!$H$5,C261='Account Mapping'!$H$6),'Account Mapping'!$I$4,VLOOKUP(A261,'Account Mapping'!$A$2:$E$216,5,0))</f>
        <v>#N/A</v>
      </c>
      <c r="O261" s="27" t="e">
        <f>IF(OR(L261="Loan",L261="Deposit_Liability",L261="OFF_Unused Loan Commitment",L261="HQLA"),VLOOKUP(D261,'Customer Type'!$A$3:$C$38,3,0),"")</f>
        <v>#N/A</v>
      </c>
      <c r="P261" s="656" t="e">
        <f t="shared" si="114"/>
        <v>#N/A</v>
      </c>
      <c r="Q261" s="658">
        <f>IF(COUNTIF('Account Mapping'!$H$12:$H$45,A261)&gt;0,-H261,H261)</f>
        <v>23817.31</v>
      </c>
      <c r="R261" s="249" t="e">
        <f>VLOOKUP(P261,Assumptions!$C$2:$D$64,2,0)</f>
        <v>#N/A</v>
      </c>
      <c r="S261" s="692" t="str">
        <f>IFERROR(VLOOKUP(A261,'Maturity Adjustment'!$A$3:$C$81,3,0),(IF(J261&lt;$N$4,"Tomorrow",J261)))</f>
        <v>Tomorrow</v>
      </c>
      <c r="T261" s="24">
        <f t="shared" si="127"/>
        <v>1</v>
      </c>
      <c r="U261" s="196" t="e">
        <f t="shared" si="115"/>
        <v>#N/A</v>
      </c>
      <c r="V261" s="11" t="str">
        <f>IFERROR(VLOOKUP(A261,'Maturity Adjustment'!$A$86:$C$91,3,0),S261)</f>
        <v>Tomorrow</v>
      </c>
      <c r="W261" s="207" t="e">
        <f>VLOOKUP(A261,'Account Mapping'!$A$2:$F$216,6,0)</f>
        <v>#N/A</v>
      </c>
      <c r="X261" s="194">
        <f t="shared" si="116"/>
        <v>23817.31</v>
      </c>
      <c r="Y261" s="194">
        <f t="shared" si="117"/>
        <v>0</v>
      </c>
      <c r="Z261" s="13">
        <f t="shared" si="118"/>
        <v>0</v>
      </c>
      <c r="AA261" s="13">
        <f t="shared" si="119"/>
        <v>0</v>
      </c>
      <c r="AB261" s="13">
        <f t="shared" si="120"/>
        <v>0</v>
      </c>
      <c r="AC261" s="13">
        <f t="shared" si="121"/>
        <v>0</v>
      </c>
      <c r="AD261" s="13">
        <f t="shared" si="122"/>
        <v>0</v>
      </c>
      <c r="AE261" s="13">
        <f t="shared" si="123"/>
        <v>0</v>
      </c>
      <c r="AF261" s="13">
        <f t="shared" si="124"/>
        <v>0</v>
      </c>
      <c r="AG261" s="685">
        <f t="shared" si="125"/>
        <v>0</v>
      </c>
      <c r="AH261" s="688" t="b">
        <f t="shared" si="126"/>
        <v>1</v>
      </c>
    </row>
    <row r="262" spans="1:34" s="1" customFormat="1" ht="15" customHeight="1">
      <c r="A262" s="946">
        <v>10920011</v>
      </c>
      <c r="B262" s="946" t="s">
        <v>1286</v>
      </c>
      <c r="C262" s="946" t="s">
        <v>1299</v>
      </c>
      <c r="D262" s="946">
        <v>100000001</v>
      </c>
      <c r="E262" s="946" t="s">
        <v>33</v>
      </c>
      <c r="F262" s="946" t="s">
        <v>11</v>
      </c>
      <c r="G262" s="947">
        <v>1.36</v>
      </c>
      <c r="H262" s="947">
        <v>1.36</v>
      </c>
      <c r="I262" s="948"/>
      <c r="J262" s="948"/>
      <c r="K262" s="948"/>
      <c r="L262" s="29" t="e">
        <f>VLOOKUP(A262,'Account Mapping'!$A$2:$E$216,3,0)</f>
        <v>#N/A</v>
      </c>
      <c r="M262" s="25" t="e">
        <f>VLOOKUP(A262,'Account Mapping'!$A$2:$E$216,4,0)</f>
        <v>#N/A</v>
      </c>
      <c r="N262" s="26" t="e">
        <f>IF(OR(C262='Account Mapping'!$H$4,C262='Account Mapping'!$H$5,C262='Account Mapping'!$H$6),'Account Mapping'!$I$4,VLOOKUP(A262,'Account Mapping'!$A$2:$E$216,5,0))</f>
        <v>#N/A</v>
      </c>
      <c r="O262" s="27" t="e">
        <f>IF(OR(L262="Loan",L262="Deposit_Liability",L262="OFF_Unused Loan Commitment",L262="HQLA"),VLOOKUP(D262,'Customer Type'!$A$3:$C$38,3,0),"")</f>
        <v>#N/A</v>
      </c>
      <c r="P262" s="656" t="e">
        <f t="shared" si="114"/>
        <v>#N/A</v>
      </c>
      <c r="Q262" s="658">
        <f>IF(COUNTIF('Account Mapping'!$H$12:$H$45,A262)&gt;0,-H262,H262)</f>
        <v>1.36</v>
      </c>
      <c r="R262" s="249" t="e">
        <f>VLOOKUP(P262,Assumptions!$C$2:$D$64,2,0)</f>
        <v>#N/A</v>
      </c>
      <c r="S262" s="692" t="str">
        <f>IFERROR(VLOOKUP(A262,'Maturity Adjustment'!$A$3:$C$81,3,0),(IF(J262&lt;$N$4,"Tomorrow",J262)))</f>
        <v>Tomorrow</v>
      </c>
      <c r="T262" s="24">
        <f t="shared" si="127"/>
        <v>1</v>
      </c>
      <c r="U262" s="196" t="e">
        <f t="shared" si="115"/>
        <v>#N/A</v>
      </c>
      <c r="V262" s="11" t="str">
        <f>IFERROR(VLOOKUP(A262,'Maturity Adjustment'!$A$86:$C$91,3,0),S262)</f>
        <v>Tomorrow</v>
      </c>
      <c r="W262" s="207" t="e">
        <f>VLOOKUP(A262,'Account Mapping'!$A$2:$F$216,6,0)</f>
        <v>#N/A</v>
      </c>
      <c r="X262" s="194">
        <f t="shared" si="116"/>
        <v>1.36</v>
      </c>
      <c r="Y262" s="194">
        <f t="shared" si="117"/>
        <v>0</v>
      </c>
      <c r="Z262" s="13">
        <f t="shared" si="118"/>
        <v>0</v>
      </c>
      <c r="AA262" s="13">
        <f t="shared" si="119"/>
        <v>0</v>
      </c>
      <c r="AB262" s="13">
        <f t="shared" si="120"/>
        <v>0</v>
      </c>
      <c r="AC262" s="13">
        <f t="shared" si="121"/>
        <v>0</v>
      </c>
      <c r="AD262" s="13">
        <f t="shared" si="122"/>
        <v>0</v>
      </c>
      <c r="AE262" s="13">
        <f t="shared" si="123"/>
        <v>0</v>
      </c>
      <c r="AF262" s="13">
        <f t="shared" si="124"/>
        <v>0</v>
      </c>
      <c r="AG262" s="685">
        <f t="shared" si="125"/>
        <v>0</v>
      </c>
      <c r="AH262" s="688" t="b">
        <f t="shared" si="126"/>
        <v>1</v>
      </c>
    </row>
    <row r="263" spans="1:34" s="1" customFormat="1" ht="15" customHeight="1">
      <c r="A263" s="946">
        <v>10920011</v>
      </c>
      <c r="B263" s="946" t="s">
        <v>1286</v>
      </c>
      <c r="C263" s="946" t="s">
        <v>1300</v>
      </c>
      <c r="D263" s="946">
        <v>100000001</v>
      </c>
      <c r="E263" s="946" t="s">
        <v>33</v>
      </c>
      <c r="F263" s="946" t="s">
        <v>11</v>
      </c>
      <c r="G263" s="947">
        <v>9616.2199999999993</v>
      </c>
      <c r="H263" s="947">
        <v>9616.2199999999993</v>
      </c>
      <c r="I263" s="948"/>
      <c r="J263" s="948"/>
      <c r="K263" s="948"/>
      <c r="L263" s="29" t="e">
        <f>VLOOKUP(A263,'Account Mapping'!$A$2:$E$216,3,0)</f>
        <v>#N/A</v>
      </c>
      <c r="M263" s="25" t="e">
        <f>VLOOKUP(A263,'Account Mapping'!$A$2:$E$216,4,0)</f>
        <v>#N/A</v>
      </c>
      <c r="N263" s="26" t="e">
        <f>IF(OR(C263='Account Mapping'!$H$4,C263='Account Mapping'!$H$5,C263='Account Mapping'!$H$6),'Account Mapping'!$I$4,VLOOKUP(A263,'Account Mapping'!$A$2:$E$216,5,0))</f>
        <v>#N/A</v>
      </c>
      <c r="O263" s="27" t="e">
        <f>IF(OR(L263="Loan",L263="Deposit_Liability",L263="OFF_Unused Loan Commitment",L263="HQLA"),VLOOKUP(D263,'Customer Type'!$A$3:$C$38,3,0),"")</f>
        <v>#N/A</v>
      </c>
      <c r="P263" s="656" t="e">
        <f t="shared" si="114"/>
        <v>#N/A</v>
      </c>
      <c r="Q263" s="658">
        <f>IF(COUNTIF('Account Mapping'!$H$12:$H$45,A263)&gt;0,-H263,H263)</f>
        <v>9616.2199999999993</v>
      </c>
      <c r="R263" s="249" t="e">
        <f>VLOOKUP(P263,Assumptions!$C$2:$D$64,2,0)</f>
        <v>#N/A</v>
      </c>
      <c r="S263" s="692" t="str">
        <f>IFERROR(VLOOKUP(A263,'Maturity Adjustment'!$A$3:$C$81,3,0),(IF(J263&lt;$N$4,"Tomorrow",J263)))</f>
        <v>Tomorrow</v>
      </c>
      <c r="T263" s="24">
        <f t="shared" si="127"/>
        <v>1</v>
      </c>
      <c r="U263" s="196" t="e">
        <f t="shared" si="115"/>
        <v>#N/A</v>
      </c>
      <c r="V263" s="11" t="str">
        <f>IFERROR(VLOOKUP(A263,'Maturity Adjustment'!$A$86:$C$91,3,0),S263)</f>
        <v>Tomorrow</v>
      </c>
      <c r="W263" s="207" t="e">
        <f>VLOOKUP(A263,'Account Mapping'!$A$2:$F$216,6,0)</f>
        <v>#N/A</v>
      </c>
      <c r="X263" s="194">
        <f t="shared" si="116"/>
        <v>9616.2199999999993</v>
      </c>
      <c r="Y263" s="194">
        <f t="shared" si="117"/>
        <v>0</v>
      </c>
      <c r="Z263" s="13">
        <f t="shared" si="118"/>
        <v>0</v>
      </c>
      <c r="AA263" s="13">
        <f t="shared" si="119"/>
        <v>0</v>
      </c>
      <c r="AB263" s="13">
        <f t="shared" si="120"/>
        <v>0</v>
      </c>
      <c r="AC263" s="13">
        <f t="shared" si="121"/>
        <v>0</v>
      </c>
      <c r="AD263" s="13">
        <f t="shared" si="122"/>
        <v>0</v>
      </c>
      <c r="AE263" s="13">
        <f t="shared" si="123"/>
        <v>0</v>
      </c>
      <c r="AF263" s="13">
        <f t="shared" si="124"/>
        <v>0</v>
      </c>
      <c r="AG263" s="685">
        <f t="shared" si="125"/>
        <v>0</v>
      </c>
      <c r="AH263" s="688" t="b">
        <f t="shared" si="126"/>
        <v>1</v>
      </c>
    </row>
    <row r="264" spans="1:34" s="1" customFormat="1" ht="15" customHeight="1">
      <c r="A264" s="946">
        <v>10920011</v>
      </c>
      <c r="B264" s="946" t="s">
        <v>1286</v>
      </c>
      <c r="C264" s="946" t="s">
        <v>1301</v>
      </c>
      <c r="D264" s="946">
        <v>100000001</v>
      </c>
      <c r="E264" s="946" t="s">
        <v>33</v>
      </c>
      <c r="F264" s="946" t="s">
        <v>11</v>
      </c>
      <c r="G264" s="947">
        <v>69.33</v>
      </c>
      <c r="H264" s="947">
        <v>69.33</v>
      </c>
      <c r="I264" s="948"/>
      <c r="J264" s="948"/>
      <c r="K264" s="948"/>
      <c r="L264" s="29" t="e">
        <f>VLOOKUP(A264,'Account Mapping'!$A$2:$E$216,3,0)</f>
        <v>#N/A</v>
      </c>
      <c r="M264" s="25" t="e">
        <f>VLOOKUP(A264,'Account Mapping'!$A$2:$E$216,4,0)</f>
        <v>#N/A</v>
      </c>
      <c r="N264" s="26" t="e">
        <f>IF(OR(C264='Account Mapping'!$H$4,C264='Account Mapping'!$H$5,C264='Account Mapping'!$H$6),'Account Mapping'!$I$4,VLOOKUP(A264,'Account Mapping'!$A$2:$E$216,5,0))</f>
        <v>#N/A</v>
      </c>
      <c r="O264" s="27" t="e">
        <f>IF(OR(L264="Loan",L264="Deposit_Liability",L264="OFF_Unused Loan Commitment",L264="HQLA"),VLOOKUP(D264,'Customer Type'!$A$3:$C$38,3,0),"")</f>
        <v>#N/A</v>
      </c>
      <c r="P264" s="656" t="e">
        <f t="shared" ref="P264:P327" si="128">M264&amp;"_"&amp;O264</f>
        <v>#N/A</v>
      </c>
      <c r="Q264" s="658">
        <f>IF(COUNTIF('Account Mapping'!$H$12:$H$45,A264)&gt;0,-H264,H264)</f>
        <v>69.33</v>
      </c>
      <c r="R264" s="249" t="e">
        <f>VLOOKUP(P264,Assumptions!$C$2:$D$64,2,0)</f>
        <v>#N/A</v>
      </c>
      <c r="S264" s="692" t="str">
        <f>IFERROR(VLOOKUP(A264,'Maturity Adjustment'!$A$3:$C$81,3,0),(IF(J264&lt;$N$4,"Tomorrow",J264)))</f>
        <v>Tomorrow</v>
      </c>
      <c r="T264" s="24">
        <f t="shared" si="127"/>
        <v>1</v>
      </c>
      <c r="U264" s="196" t="e">
        <f t="shared" ref="U264:U327" si="129">Q264*R264</f>
        <v>#N/A</v>
      </c>
      <c r="V264" s="11" t="str">
        <f>IFERROR(VLOOKUP(A264,'Maturity Adjustment'!$A$86:$C$91,3,0),S264)</f>
        <v>Tomorrow</v>
      </c>
      <c r="W264" s="207" t="e">
        <f>VLOOKUP(A264,'Account Mapping'!$A$2:$F$216,6,0)</f>
        <v>#N/A</v>
      </c>
      <c r="X264" s="194">
        <f t="shared" ref="X264:X327" si="130">IF(V264="Tomorrow",Q264,IF(AND(V264&gt;$X$4-1,V264&lt;$X$5),Q264,IF(V264=$X$5,Q264,0)))</f>
        <v>69.33</v>
      </c>
      <c r="Y264" s="194">
        <f t="shared" ref="Y264:Y327" si="131">IF(AND(V264&gt;$Y$4-1,V264&lt;$Y$5),Q264,IF(V264=$Y$5,Q264,0))</f>
        <v>0</v>
      </c>
      <c r="Z264" s="13">
        <f t="shared" ref="Z264:Z327" si="132">IF(AND(V264&gt;$Z$4-1,V264&lt;$Z$5),Q264,IF(V264=$Z$5,Q264,0))</f>
        <v>0</v>
      </c>
      <c r="AA264" s="13">
        <f t="shared" ref="AA264:AA327" si="133">IF(AND(V264&gt;$AA$4-1,V264&lt;$AA$5),Q264,IF(V264=$AA$5,Q264,0))</f>
        <v>0</v>
      </c>
      <c r="AB264" s="13">
        <f t="shared" ref="AB264:AB327" si="134">IF(AND(V264&gt;$AB$4-1,V264&lt;$AB$5),Q264,IF(V264=$AB$5,Q264,0))</f>
        <v>0</v>
      </c>
      <c r="AC264" s="13">
        <f t="shared" ref="AC264:AC327" si="135">IF(AND(V264&gt;$AC$4-1,V264&lt;$AC$5),Q264,IF(V264=$AC$5,Q264,0))</f>
        <v>0</v>
      </c>
      <c r="AD264" s="13">
        <f t="shared" ref="AD264:AD327" si="136">IF(AND(V264&gt;$AD$4-1,V264&lt;$AD$5),Q264,IF(V264=$AD$5,Q264,0))</f>
        <v>0</v>
      </c>
      <c r="AE264" s="13">
        <f t="shared" ref="AE264:AE327" si="137">IF(AND(V264&gt;$AE$4-1,V264&lt;$AE$5),Q264,IF(V264=$AE$5,Q264,0))</f>
        <v>0</v>
      </c>
      <c r="AF264" s="13">
        <f t="shared" ref="AF264:AF327" si="138">IF(AND(V264&gt;$AF$4-1,V264&lt;$AF$5),Q264,IF(V264=$AF$5,Q264,0))</f>
        <v>0</v>
      </c>
      <c r="AG264" s="685">
        <f t="shared" ref="AG264:AG327" si="139">IF(AND(V264&gt;$AG$4-1,V264&lt;$AG$5),Q264,IF(V264=$AG$5,Q264,0))</f>
        <v>0</v>
      </c>
      <c r="AH264" s="688" t="b">
        <f t="shared" ref="AH264:AH327" si="140">Q264=SUM(X264:AG264)</f>
        <v>1</v>
      </c>
    </row>
    <row r="265" spans="1:34" s="1" customFormat="1" ht="15" customHeight="1">
      <c r="A265" s="946">
        <v>10920011</v>
      </c>
      <c r="B265" s="946" t="s">
        <v>1286</v>
      </c>
      <c r="C265" s="946" t="s">
        <v>1302</v>
      </c>
      <c r="D265" s="946">
        <v>100000001</v>
      </c>
      <c r="E265" s="946" t="s">
        <v>33</v>
      </c>
      <c r="F265" s="946" t="s">
        <v>11</v>
      </c>
      <c r="G265" s="947">
        <v>34.14</v>
      </c>
      <c r="H265" s="947">
        <v>34.14</v>
      </c>
      <c r="I265" s="948"/>
      <c r="J265" s="948"/>
      <c r="K265" s="948"/>
      <c r="L265" s="29" t="e">
        <f>VLOOKUP(A265,'Account Mapping'!$A$2:$E$216,3,0)</f>
        <v>#N/A</v>
      </c>
      <c r="M265" s="25" t="e">
        <f>VLOOKUP(A265,'Account Mapping'!$A$2:$E$216,4,0)</f>
        <v>#N/A</v>
      </c>
      <c r="N265" s="26" t="e">
        <f>IF(OR(C265='Account Mapping'!$H$4,C265='Account Mapping'!$H$5,C265='Account Mapping'!$H$6),'Account Mapping'!$I$4,VLOOKUP(A265,'Account Mapping'!$A$2:$E$216,5,0))</f>
        <v>#N/A</v>
      </c>
      <c r="O265" s="27" t="e">
        <f>IF(OR(L265="Loan",L265="Deposit_Liability",L265="OFF_Unused Loan Commitment",L265="HQLA"),VLOOKUP(D265,'Customer Type'!$A$3:$C$38,3,0),"")</f>
        <v>#N/A</v>
      </c>
      <c r="P265" s="656" t="e">
        <f t="shared" si="128"/>
        <v>#N/A</v>
      </c>
      <c r="Q265" s="658">
        <f>IF(COUNTIF('Account Mapping'!$H$12:$H$45,A265)&gt;0,-H265,H265)</f>
        <v>34.14</v>
      </c>
      <c r="R265" s="249" t="e">
        <f>VLOOKUP(P265,Assumptions!$C$2:$D$64,2,0)</f>
        <v>#N/A</v>
      </c>
      <c r="S265" s="692" t="str">
        <f>IFERROR(VLOOKUP(A265,'Maturity Adjustment'!$A$3:$C$81,3,0),(IF(J265&lt;$N$4,"Tomorrow",J265)))</f>
        <v>Tomorrow</v>
      </c>
      <c r="T265" s="24">
        <f t="shared" si="127"/>
        <v>1</v>
      </c>
      <c r="U265" s="196" t="e">
        <f t="shared" si="129"/>
        <v>#N/A</v>
      </c>
      <c r="V265" s="11" t="str">
        <f>IFERROR(VLOOKUP(A265,'Maturity Adjustment'!$A$86:$C$91,3,0),S265)</f>
        <v>Tomorrow</v>
      </c>
      <c r="W265" s="207" t="e">
        <f>VLOOKUP(A265,'Account Mapping'!$A$2:$F$216,6,0)</f>
        <v>#N/A</v>
      </c>
      <c r="X265" s="194">
        <f t="shared" si="130"/>
        <v>34.14</v>
      </c>
      <c r="Y265" s="194">
        <f t="shared" si="131"/>
        <v>0</v>
      </c>
      <c r="Z265" s="13">
        <f t="shared" si="132"/>
        <v>0</v>
      </c>
      <c r="AA265" s="13">
        <f t="shared" si="133"/>
        <v>0</v>
      </c>
      <c r="AB265" s="13">
        <f t="shared" si="134"/>
        <v>0</v>
      </c>
      <c r="AC265" s="13">
        <f t="shared" si="135"/>
        <v>0</v>
      </c>
      <c r="AD265" s="13">
        <f t="shared" si="136"/>
        <v>0</v>
      </c>
      <c r="AE265" s="13">
        <f t="shared" si="137"/>
        <v>0</v>
      </c>
      <c r="AF265" s="13">
        <f t="shared" si="138"/>
        <v>0</v>
      </c>
      <c r="AG265" s="685">
        <f t="shared" si="139"/>
        <v>0</v>
      </c>
      <c r="AH265" s="688" t="b">
        <f t="shared" si="140"/>
        <v>1</v>
      </c>
    </row>
    <row r="266" spans="1:34" s="1" customFormat="1" ht="15" customHeight="1">
      <c r="A266" s="946">
        <v>10920011</v>
      </c>
      <c r="B266" s="946" t="s">
        <v>1286</v>
      </c>
      <c r="C266" s="946" t="s">
        <v>1303</v>
      </c>
      <c r="D266" s="946">
        <v>100000001</v>
      </c>
      <c r="E266" s="946" t="s">
        <v>33</v>
      </c>
      <c r="F266" s="946" t="s">
        <v>11</v>
      </c>
      <c r="G266" s="947">
        <v>62.17</v>
      </c>
      <c r="H266" s="947">
        <v>62.17</v>
      </c>
      <c r="I266" s="948"/>
      <c r="J266" s="948"/>
      <c r="K266" s="948"/>
      <c r="L266" s="29" t="e">
        <f>VLOOKUP(A266,'Account Mapping'!$A$2:$E$216,3,0)</f>
        <v>#N/A</v>
      </c>
      <c r="M266" s="25" t="e">
        <f>VLOOKUP(A266,'Account Mapping'!$A$2:$E$216,4,0)</f>
        <v>#N/A</v>
      </c>
      <c r="N266" s="26" t="e">
        <f>IF(OR(C266='Account Mapping'!$H$4,C266='Account Mapping'!$H$5,C266='Account Mapping'!$H$6),'Account Mapping'!$I$4,VLOOKUP(A266,'Account Mapping'!$A$2:$E$216,5,0))</f>
        <v>#N/A</v>
      </c>
      <c r="O266" s="27" t="e">
        <f>IF(OR(L266="Loan",L266="Deposit_Liability",L266="OFF_Unused Loan Commitment",L266="HQLA"),VLOOKUP(D266,'Customer Type'!$A$3:$C$38,3,0),"")</f>
        <v>#N/A</v>
      </c>
      <c r="P266" s="656" t="e">
        <f t="shared" si="128"/>
        <v>#N/A</v>
      </c>
      <c r="Q266" s="658">
        <f>IF(COUNTIF('Account Mapping'!$H$12:$H$45,A266)&gt;0,-H266,H266)</f>
        <v>62.17</v>
      </c>
      <c r="R266" s="249" t="e">
        <f>VLOOKUP(P266,Assumptions!$C$2:$D$64,2,0)</f>
        <v>#N/A</v>
      </c>
      <c r="S266" s="692" t="str">
        <f>IFERROR(VLOOKUP(A266,'Maturity Adjustment'!$A$3:$C$81,3,0),(IF(J266&lt;$N$4,"Tomorrow",J266)))</f>
        <v>Tomorrow</v>
      </c>
      <c r="T266" s="24">
        <f t="shared" si="127"/>
        <v>1</v>
      </c>
      <c r="U266" s="196" t="e">
        <f t="shared" si="129"/>
        <v>#N/A</v>
      </c>
      <c r="V266" s="11" t="str">
        <f>IFERROR(VLOOKUP(A266,'Maturity Adjustment'!$A$86:$C$91,3,0),S266)</f>
        <v>Tomorrow</v>
      </c>
      <c r="W266" s="207" t="e">
        <f>VLOOKUP(A266,'Account Mapping'!$A$2:$F$216,6,0)</f>
        <v>#N/A</v>
      </c>
      <c r="X266" s="194">
        <f t="shared" si="130"/>
        <v>62.17</v>
      </c>
      <c r="Y266" s="194">
        <f t="shared" si="131"/>
        <v>0</v>
      </c>
      <c r="Z266" s="13">
        <f t="shared" si="132"/>
        <v>0</v>
      </c>
      <c r="AA266" s="13">
        <f t="shared" si="133"/>
        <v>0</v>
      </c>
      <c r="AB266" s="13">
        <f t="shared" si="134"/>
        <v>0</v>
      </c>
      <c r="AC266" s="13">
        <f t="shared" si="135"/>
        <v>0</v>
      </c>
      <c r="AD266" s="13">
        <f t="shared" si="136"/>
        <v>0</v>
      </c>
      <c r="AE266" s="13">
        <f t="shared" si="137"/>
        <v>0</v>
      </c>
      <c r="AF266" s="13">
        <f t="shared" si="138"/>
        <v>0</v>
      </c>
      <c r="AG266" s="685">
        <f t="shared" si="139"/>
        <v>0</v>
      </c>
      <c r="AH266" s="688" t="b">
        <f t="shared" si="140"/>
        <v>1</v>
      </c>
    </row>
    <row r="267" spans="1:34" s="1" customFormat="1" ht="15" customHeight="1">
      <c r="A267" s="946">
        <v>10920011</v>
      </c>
      <c r="B267" s="946" t="s">
        <v>1286</v>
      </c>
      <c r="C267" s="946" t="s">
        <v>1304</v>
      </c>
      <c r="D267" s="946">
        <v>100000001</v>
      </c>
      <c r="E267" s="946" t="s">
        <v>33</v>
      </c>
      <c r="F267" s="946" t="s">
        <v>11</v>
      </c>
      <c r="G267" s="947">
        <v>61196</v>
      </c>
      <c r="H267" s="947">
        <v>61196</v>
      </c>
      <c r="I267" s="948"/>
      <c r="J267" s="948"/>
      <c r="K267" s="948"/>
      <c r="L267" s="29" t="e">
        <f>VLOOKUP(A267,'Account Mapping'!$A$2:$E$216,3,0)</f>
        <v>#N/A</v>
      </c>
      <c r="M267" s="25" t="e">
        <f>VLOOKUP(A267,'Account Mapping'!$A$2:$E$216,4,0)</f>
        <v>#N/A</v>
      </c>
      <c r="N267" s="26" t="e">
        <f>IF(OR(C267='Account Mapping'!$H$4,C267='Account Mapping'!$H$5,C267='Account Mapping'!$H$6),'Account Mapping'!$I$4,VLOOKUP(A267,'Account Mapping'!$A$2:$E$216,5,0))</f>
        <v>#N/A</v>
      </c>
      <c r="O267" s="27" t="e">
        <f>IF(OR(L267="Loan",L267="Deposit_Liability",L267="OFF_Unused Loan Commitment",L267="HQLA"),VLOOKUP(D267,'Customer Type'!$A$3:$C$38,3,0),"")</f>
        <v>#N/A</v>
      </c>
      <c r="P267" s="656" t="e">
        <f t="shared" si="128"/>
        <v>#N/A</v>
      </c>
      <c r="Q267" s="658">
        <f>IF(COUNTIF('Account Mapping'!$H$12:$H$45,A267)&gt;0,-H267,H267)</f>
        <v>61196</v>
      </c>
      <c r="R267" s="249" t="e">
        <f>VLOOKUP(P267,Assumptions!$C$2:$D$64,2,0)</f>
        <v>#N/A</v>
      </c>
      <c r="S267" s="692" t="str">
        <f>IFERROR(VLOOKUP(A267,'Maturity Adjustment'!$A$3:$C$81,3,0),(IF(J267&lt;$N$4,"Tomorrow",J267)))</f>
        <v>Tomorrow</v>
      </c>
      <c r="T267" s="24">
        <f t="shared" si="127"/>
        <v>1</v>
      </c>
      <c r="U267" s="196" t="e">
        <f t="shared" si="129"/>
        <v>#N/A</v>
      </c>
      <c r="V267" s="11" t="str">
        <f>IFERROR(VLOOKUP(A267,'Maturity Adjustment'!$A$86:$C$91,3,0),S267)</f>
        <v>Tomorrow</v>
      </c>
      <c r="W267" s="207" t="e">
        <f>VLOOKUP(A267,'Account Mapping'!$A$2:$F$216,6,0)</f>
        <v>#N/A</v>
      </c>
      <c r="X267" s="194">
        <f t="shared" si="130"/>
        <v>61196</v>
      </c>
      <c r="Y267" s="194">
        <f t="shared" si="131"/>
        <v>0</v>
      </c>
      <c r="Z267" s="13">
        <f t="shared" si="132"/>
        <v>0</v>
      </c>
      <c r="AA267" s="13">
        <f t="shared" si="133"/>
        <v>0</v>
      </c>
      <c r="AB267" s="13">
        <f t="shared" si="134"/>
        <v>0</v>
      </c>
      <c r="AC267" s="13">
        <f t="shared" si="135"/>
        <v>0</v>
      </c>
      <c r="AD267" s="13">
        <f t="shared" si="136"/>
        <v>0</v>
      </c>
      <c r="AE267" s="13">
        <f t="shared" si="137"/>
        <v>0</v>
      </c>
      <c r="AF267" s="13">
        <f t="shared" si="138"/>
        <v>0</v>
      </c>
      <c r="AG267" s="685">
        <f t="shared" si="139"/>
        <v>0</v>
      </c>
      <c r="AH267" s="688" t="b">
        <f t="shared" si="140"/>
        <v>1</v>
      </c>
    </row>
    <row r="268" spans="1:34" s="1" customFormat="1" ht="15" customHeight="1">
      <c r="A268" s="946">
        <v>10920011</v>
      </c>
      <c r="B268" s="946" t="s">
        <v>1286</v>
      </c>
      <c r="C268" s="946" t="s">
        <v>1305</v>
      </c>
      <c r="D268" s="946">
        <v>100000001</v>
      </c>
      <c r="E268" s="946" t="s">
        <v>33</v>
      </c>
      <c r="F268" s="946" t="s">
        <v>11</v>
      </c>
      <c r="G268" s="947">
        <v>234</v>
      </c>
      <c r="H268" s="947">
        <v>234</v>
      </c>
      <c r="I268" s="948"/>
      <c r="J268" s="948"/>
      <c r="K268" s="948"/>
      <c r="L268" s="29" t="e">
        <f>VLOOKUP(A268,'Account Mapping'!$A$2:$E$216,3,0)</f>
        <v>#N/A</v>
      </c>
      <c r="M268" s="25" t="e">
        <f>VLOOKUP(A268,'Account Mapping'!$A$2:$E$216,4,0)</f>
        <v>#N/A</v>
      </c>
      <c r="N268" s="26" t="e">
        <f>IF(OR(C268='Account Mapping'!$H$4,C268='Account Mapping'!$H$5,C268='Account Mapping'!$H$6),'Account Mapping'!$I$4,VLOOKUP(A268,'Account Mapping'!$A$2:$E$216,5,0))</f>
        <v>#N/A</v>
      </c>
      <c r="O268" s="27" t="e">
        <f>IF(OR(L268="Loan",L268="Deposit_Liability",L268="OFF_Unused Loan Commitment",L268="HQLA"),VLOOKUP(D268,'Customer Type'!$A$3:$C$38,3,0),"")</f>
        <v>#N/A</v>
      </c>
      <c r="P268" s="656" t="e">
        <f t="shared" si="128"/>
        <v>#N/A</v>
      </c>
      <c r="Q268" s="658">
        <f>IF(COUNTIF('Account Mapping'!$H$12:$H$45,A268)&gt;0,-H268,H268)</f>
        <v>234</v>
      </c>
      <c r="R268" s="249" t="e">
        <f>VLOOKUP(P268,Assumptions!$C$2:$D$64,2,0)</f>
        <v>#N/A</v>
      </c>
      <c r="S268" s="692" t="str">
        <f>IFERROR(VLOOKUP(A268,'Maturity Adjustment'!$A$3:$C$81,3,0),(IF(J268&lt;$N$4,"Tomorrow",J268)))</f>
        <v>Tomorrow</v>
      </c>
      <c r="T268" s="24">
        <f t="shared" si="127"/>
        <v>1</v>
      </c>
      <c r="U268" s="196" t="e">
        <f t="shared" si="129"/>
        <v>#N/A</v>
      </c>
      <c r="V268" s="11" t="str">
        <f>IFERROR(VLOOKUP(A268,'Maturity Adjustment'!$A$86:$C$91,3,0),S268)</f>
        <v>Tomorrow</v>
      </c>
      <c r="W268" s="207" t="e">
        <f>VLOOKUP(A268,'Account Mapping'!$A$2:$F$216,6,0)</f>
        <v>#N/A</v>
      </c>
      <c r="X268" s="194">
        <f t="shared" si="130"/>
        <v>234</v>
      </c>
      <c r="Y268" s="194">
        <f t="shared" si="131"/>
        <v>0</v>
      </c>
      <c r="Z268" s="13">
        <f t="shared" si="132"/>
        <v>0</v>
      </c>
      <c r="AA268" s="13">
        <f t="shared" si="133"/>
        <v>0</v>
      </c>
      <c r="AB268" s="13">
        <f t="shared" si="134"/>
        <v>0</v>
      </c>
      <c r="AC268" s="13">
        <f t="shared" si="135"/>
        <v>0</v>
      </c>
      <c r="AD268" s="13">
        <f t="shared" si="136"/>
        <v>0</v>
      </c>
      <c r="AE268" s="13">
        <f t="shared" si="137"/>
        <v>0</v>
      </c>
      <c r="AF268" s="13">
        <f t="shared" si="138"/>
        <v>0</v>
      </c>
      <c r="AG268" s="685">
        <f t="shared" si="139"/>
        <v>0</v>
      </c>
      <c r="AH268" s="688" t="b">
        <f t="shared" si="140"/>
        <v>1</v>
      </c>
    </row>
    <row r="269" spans="1:34" s="1" customFormat="1" ht="15" customHeight="1">
      <c r="A269" s="946">
        <v>10920011</v>
      </c>
      <c r="B269" s="946" t="s">
        <v>1286</v>
      </c>
      <c r="C269" s="946" t="s">
        <v>1306</v>
      </c>
      <c r="D269" s="946">
        <v>100000001</v>
      </c>
      <c r="E269" s="946" t="s">
        <v>33</v>
      </c>
      <c r="F269" s="946" t="s">
        <v>11</v>
      </c>
      <c r="G269" s="947">
        <v>-3038</v>
      </c>
      <c r="H269" s="947">
        <v>-3038</v>
      </c>
      <c r="I269" s="948"/>
      <c r="J269" s="948"/>
      <c r="K269" s="948"/>
      <c r="L269" s="29" t="e">
        <f>VLOOKUP(A269,'Account Mapping'!$A$2:$E$216,3,0)</f>
        <v>#N/A</v>
      </c>
      <c r="M269" s="25" t="e">
        <f>VLOOKUP(A269,'Account Mapping'!$A$2:$E$216,4,0)</f>
        <v>#N/A</v>
      </c>
      <c r="N269" s="26" t="e">
        <f>IF(OR(C269='Account Mapping'!$H$4,C269='Account Mapping'!$H$5,C269='Account Mapping'!$H$6),'Account Mapping'!$I$4,VLOOKUP(A269,'Account Mapping'!$A$2:$E$216,5,0))</f>
        <v>#N/A</v>
      </c>
      <c r="O269" s="27" t="e">
        <f>IF(OR(L269="Loan",L269="Deposit_Liability",L269="OFF_Unused Loan Commitment",L269="HQLA"),VLOOKUP(D269,'Customer Type'!$A$3:$C$38,3,0),"")</f>
        <v>#N/A</v>
      </c>
      <c r="P269" s="656" t="e">
        <f t="shared" si="128"/>
        <v>#N/A</v>
      </c>
      <c r="Q269" s="658">
        <f>IF(COUNTIF('Account Mapping'!$H$12:$H$45,A269)&gt;0,-H269,H269)</f>
        <v>-3038</v>
      </c>
      <c r="R269" s="249" t="e">
        <f>VLOOKUP(P269,Assumptions!$C$2:$D$64,2,0)</f>
        <v>#N/A</v>
      </c>
      <c r="S269" s="692" t="str">
        <f>IFERROR(VLOOKUP(A269,'Maturity Adjustment'!$A$3:$C$81,3,0),(IF(J269&lt;$N$4,"Tomorrow",J269)))</f>
        <v>Tomorrow</v>
      </c>
      <c r="T269" s="24">
        <f t="shared" si="127"/>
        <v>1</v>
      </c>
      <c r="U269" s="196" t="e">
        <f t="shared" si="129"/>
        <v>#N/A</v>
      </c>
      <c r="V269" s="11" t="str">
        <f>IFERROR(VLOOKUP(A269,'Maturity Adjustment'!$A$86:$C$91,3,0),S269)</f>
        <v>Tomorrow</v>
      </c>
      <c r="W269" s="207" t="e">
        <f>VLOOKUP(A269,'Account Mapping'!$A$2:$F$216,6,0)</f>
        <v>#N/A</v>
      </c>
      <c r="X269" s="194">
        <f t="shared" si="130"/>
        <v>-3038</v>
      </c>
      <c r="Y269" s="194">
        <f t="shared" si="131"/>
        <v>0</v>
      </c>
      <c r="Z269" s="13">
        <f t="shared" si="132"/>
        <v>0</v>
      </c>
      <c r="AA269" s="13">
        <f t="shared" si="133"/>
        <v>0</v>
      </c>
      <c r="AB269" s="13">
        <f t="shared" si="134"/>
        <v>0</v>
      </c>
      <c r="AC269" s="13">
        <f t="shared" si="135"/>
        <v>0</v>
      </c>
      <c r="AD269" s="13">
        <f t="shared" si="136"/>
        <v>0</v>
      </c>
      <c r="AE269" s="13">
        <f t="shared" si="137"/>
        <v>0</v>
      </c>
      <c r="AF269" s="13">
        <f t="shared" si="138"/>
        <v>0</v>
      </c>
      <c r="AG269" s="685">
        <f t="shared" si="139"/>
        <v>0</v>
      </c>
      <c r="AH269" s="688" t="b">
        <f t="shared" si="140"/>
        <v>1</v>
      </c>
    </row>
    <row r="270" spans="1:34" s="1" customFormat="1" ht="15" customHeight="1">
      <c r="A270" s="946">
        <v>10920011</v>
      </c>
      <c r="B270" s="946" t="s">
        <v>1286</v>
      </c>
      <c r="C270" s="946" t="s">
        <v>1307</v>
      </c>
      <c r="D270" s="946">
        <v>100000001</v>
      </c>
      <c r="E270" s="946" t="s">
        <v>33</v>
      </c>
      <c r="F270" s="946" t="s">
        <v>11</v>
      </c>
      <c r="G270" s="947">
        <v>-27735</v>
      </c>
      <c r="H270" s="947">
        <v>-27735</v>
      </c>
      <c r="I270" s="948"/>
      <c r="J270" s="948"/>
      <c r="K270" s="948"/>
      <c r="L270" s="29" t="e">
        <f>VLOOKUP(A270,'Account Mapping'!$A$2:$E$216,3,0)</f>
        <v>#N/A</v>
      </c>
      <c r="M270" s="25" t="e">
        <f>VLOOKUP(A270,'Account Mapping'!$A$2:$E$216,4,0)</f>
        <v>#N/A</v>
      </c>
      <c r="N270" s="26" t="e">
        <f>IF(OR(C270='Account Mapping'!$H$4,C270='Account Mapping'!$H$5,C270='Account Mapping'!$H$6),'Account Mapping'!$I$4,VLOOKUP(A270,'Account Mapping'!$A$2:$E$216,5,0))</f>
        <v>#N/A</v>
      </c>
      <c r="O270" s="27" t="e">
        <f>IF(OR(L270="Loan",L270="Deposit_Liability",L270="OFF_Unused Loan Commitment",L270="HQLA"),VLOOKUP(D270,'Customer Type'!$A$3:$C$38,3,0),"")</f>
        <v>#N/A</v>
      </c>
      <c r="P270" s="656" t="e">
        <f t="shared" si="128"/>
        <v>#N/A</v>
      </c>
      <c r="Q270" s="658">
        <f>IF(COUNTIF('Account Mapping'!$H$12:$H$45,A270)&gt;0,-H270,H270)</f>
        <v>-27735</v>
      </c>
      <c r="R270" s="249" t="e">
        <f>VLOOKUP(P270,Assumptions!$C$2:$D$64,2,0)</f>
        <v>#N/A</v>
      </c>
      <c r="S270" s="692" t="str">
        <f>IFERROR(VLOOKUP(A270,'Maturity Adjustment'!$A$3:$C$81,3,0),(IF(J270&lt;$N$4,"Tomorrow",J270)))</f>
        <v>Tomorrow</v>
      </c>
      <c r="T270" s="24">
        <f t="shared" si="127"/>
        <v>1</v>
      </c>
      <c r="U270" s="196" t="e">
        <f t="shared" si="129"/>
        <v>#N/A</v>
      </c>
      <c r="V270" s="11" t="str">
        <f>IFERROR(VLOOKUP(A270,'Maturity Adjustment'!$A$86:$C$91,3,0),S270)</f>
        <v>Tomorrow</v>
      </c>
      <c r="W270" s="207" t="e">
        <f>VLOOKUP(A270,'Account Mapping'!$A$2:$F$216,6,0)</f>
        <v>#N/A</v>
      </c>
      <c r="X270" s="194">
        <f t="shared" si="130"/>
        <v>-27735</v>
      </c>
      <c r="Y270" s="194">
        <f t="shared" si="131"/>
        <v>0</v>
      </c>
      <c r="Z270" s="13">
        <f t="shared" si="132"/>
        <v>0</v>
      </c>
      <c r="AA270" s="13">
        <f t="shared" si="133"/>
        <v>0</v>
      </c>
      <c r="AB270" s="13">
        <f t="shared" si="134"/>
        <v>0</v>
      </c>
      <c r="AC270" s="13">
        <f t="shared" si="135"/>
        <v>0</v>
      </c>
      <c r="AD270" s="13">
        <f t="shared" si="136"/>
        <v>0</v>
      </c>
      <c r="AE270" s="13">
        <f t="shared" si="137"/>
        <v>0</v>
      </c>
      <c r="AF270" s="13">
        <f t="shared" si="138"/>
        <v>0</v>
      </c>
      <c r="AG270" s="685">
        <f t="shared" si="139"/>
        <v>0</v>
      </c>
      <c r="AH270" s="688" t="b">
        <f t="shared" si="140"/>
        <v>1</v>
      </c>
    </row>
    <row r="271" spans="1:34" s="1" customFormat="1" ht="15" customHeight="1">
      <c r="A271" s="946">
        <v>10920011</v>
      </c>
      <c r="B271" s="946" t="s">
        <v>1286</v>
      </c>
      <c r="C271" s="946" t="s">
        <v>1308</v>
      </c>
      <c r="D271" s="946">
        <v>100000001</v>
      </c>
      <c r="E271" s="946" t="s">
        <v>33</v>
      </c>
      <c r="F271" s="946" t="s">
        <v>11</v>
      </c>
      <c r="G271" s="947">
        <v>-15051</v>
      </c>
      <c r="H271" s="947">
        <v>-15051</v>
      </c>
      <c r="I271" s="948"/>
      <c r="J271" s="948"/>
      <c r="K271" s="948"/>
      <c r="L271" s="29" t="e">
        <f>VLOOKUP(A271,'Account Mapping'!$A$2:$E$216,3,0)</f>
        <v>#N/A</v>
      </c>
      <c r="M271" s="25" t="e">
        <f>VLOOKUP(A271,'Account Mapping'!$A$2:$E$216,4,0)</f>
        <v>#N/A</v>
      </c>
      <c r="N271" s="26" t="e">
        <f>IF(OR(C271='Account Mapping'!$H$4,C271='Account Mapping'!$H$5,C271='Account Mapping'!$H$6),'Account Mapping'!$I$4,VLOOKUP(A271,'Account Mapping'!$A$2:$E$216,5,0))</f>
        <v>#N/A</v>
      </c>
      <c r="O271" s="27" t="e">
        <f>IF(OR(L271="Loan",L271="Deposit_Liability",L271="OFF_Unused Loan Commitment",L271="HQLA"),VLOOKUP(D271,'Customer Type'!$A$3:$C$38,3,0),"")</f>
        <v>#N/A</v>
      </c>
      <c r="P271" s="656" t="e">
        <f t="shared" si="128"/>
        <v>#N/A</v>
      </c>
      <c r="Q271" s="658">
        <f>IF(COUNTIF('Account Mapping'!$H$12:$H$45,A271)&gt;0,-H271,H271)</f>
        <v>-15051</v>
      </c>
      <c r="R271" s="249" t="e">
        <f>VLOOKUP(P271,Assumptions!$C$2:$D$64,2,0)</f>
        <v>#N/A</v>
      </c>
      <c r="S271" s="692" t="str">
        <f>IFERROR(VLOOKUP(A271,'Maturity Adjustment'!$A$3:$C$81,3,0),(IF(J271&lt;$N$4,"Tomorrow",J271)))</f>
        <v>Tomorrow</v>
      </c>
      <c r="T271" s="24">
        <f t="shared" si="127"/>
        <v>1</v>
      </c>
      <c r="U271" s="196" t="e">
        <f t="shared" si="129"/>
        <v>#N/A</v>
      </c>
      <c r="V271" s="11" t="str">
        <f>IFERROR(VLOOKUP(A271,'Maturity Adjustment'!$A$86:$C$91,3,0),S271)</f>
        <v>Tomorrow</v>
      </c>
      <c r="W271" s="207" t="e">
        <f>VLOOKUP(A271,'Account Mapping'!$A$2:$F$216,6,0)</f>
        <v>#N/A</v>
      </c>
      <c r="X271" s="194">
        <f t="shared" si="130"/>
        <v>-15051</v>
      </c>
      <c r="Y271" s="194">
        <f t="shared" si="131"/>
        <v>0</v>
      </c>
      <c r="Z271" s="13">
        <f t="shared" si="132"/>
        <v>0</v>
      </c>
      <c r="AA271" s="13">
        <f t="shared" si="133"/>
        <v>0</v>
      </c>
      <c r="AB271" s="13">
        <f t="shared" si="134"/>
        <v>0</v>
      </c>
      <c r="AC271" s="13">
        <f t="shared" si="135"/>
        <v>0</v>
      </c>
      <c r="AD271" s="13">
        <f t="shared" si="136"/>
        <v>0</v>
      </c>
      <c r="AE271" s="13">
        <f t="shared" si="137"/>
        <v>0</v>
      </c>
      <c r="AF271" s="13">
        <f t="shared" si="138"/>
        <v>0</v>
      </c>
      <c r="AG271" s="685">
        <f t="shared" si="139"/>
        <v>0</v>
      </c>
      <c r="AH271" s="688" t="b">
        <f t="shared" si="140"/>
        <v>1</v>
      </c>
    </row>
    <row r="272" spans="1:34" s="1" customFormat="1" ht="15" customHeight="1">
      <c r="A272" s="946">
        <v>10920011</v>
      </c>
      <c r="B272" s="946" t="s">
        <v>1286</v>
      </c>
      <c r="C272" s="946" t="s">
        <v>1309</v>
      </c>
      <c r="D272" s="946">
        <v>100000001</v>
      </c>
      <c r="E272" s="946" t="s">
        <v>33</v>
      </c>
      <c r="F272" s="946" t="s">
        <v>11</v>
      </c>
      <c r="G272" s="947">
        <v>-1311.14</v>
      </c>
      <c r="H272" s="947">
        <v>-1311.14</v>
      </c>
      <c r="I272" s="948"/>
      <c r="J272" s="948"/>
      <c r="K272" s="948"/>
      <c r="L272" s="29" t="e">
        <f>VLOOKUP(A272,'Account Mapping'!$A$2:$E$216,3,0)</f>
        <v>#N/A</v>
      </c>
      <c r="M272" s="25" t="e">
        <f>VLOOKUP(A272,'Account Mapping'!$A$2:$E$216,4,0)</f>
        <v>#N/A</v>
      </c>
      <c r="N272" s="26" t="e">
        <f>IF(OR(C272='Account Mapping'!$H$4,C272='Account Mapping'!$H$5,C272='Account Mapping'!$H$6),'Account Mapping'!$I$4,VLOOKUP(A272,'Account Mapping'!$A$2:$E$216,5,0))</f>
        <v>#N/A</v>
      </c>
      <c r="O272" s="27" t="e">
        <f>IF(OR(L272="Loan",L272="Deposit_Liability",L272="OFF_Unused Loan Commitment",L272="HQLA"),VLOOKUP(D272,'Customer Type'!$A$3:$C$38,3,0),"")</f>
        <v>#N/A</v>
      </c>
      <c r="P272" s="656" t="e">
        <f t="shared" si="128"/>
        <v>#N/A</v>
      </c>
      <c r="Q272" s="658">
        <f>IF(COUNTIF('Account Mapping'!$H$12:$H$45,A272)&gt;0,-H272,H272)</f>
        <v>-1311.14</v>
      </c>
      <c r="R272" s="249" t="e">
        <f>VLOOKUP(P272,Assumptions!$C$2:$D$64,2,0)</f>
        <v>#N/A</v>
      </c>
      <c r="S272" s="692" t="str">
        <f>IFERROR(VLOOKUP(A272,'Maturity Adjustment'!$A$3:$C$81,3,0),(IF(J272&lt;$N$4,"Tomorrow",J272)))</f>
        <v>Tomorrow</v>
      </c>
      <c r="T272" s="24">
        <f t="shared" si="127"/>
        <v>1</v>
      </c>
      <c r="U272" s="196" t="e">
        <f t="shared" si="129"/>
        <v>#N/A</v>
      </c>
      <c r="V272" s="11" t="str">
        <f>IFERROR(VLOOKUP(A272,'Maturity Adjustment'!$A$86:$C$91,3,0),S272)</f>
        <v>Tomorrow</v>
      </c>
      <c r="W272" s="207" t="e">
        <f>VLOOKUP(A272,'Account Mapping'!$A$2:$F$216,6,0)</f>
        <v>#N/A</v>
      </c>
      <c r="X272" s="194">
        <f t="shared" si="130"/>
        <v>-1311.14</v>
      </c>
      <c r="Y272" s="194">
        <f t="shared" si="131"/>
        <v>0</v>
      </c>
      <c r="Z272" s="13">
        <f t="shared" si="132"/>
        <v>0</v>
      </c>
      <c r="AA272" s="13">
        <f t="shared" si="133"/>
        <v>0</v>
      </c>
      <c r="AB272" s="13">
        <f t="shared" si="134"/>
        <v>0</v>
      </c>
      <c r="AC272" s="13">
        <f t="shared" si="135"/>
        <v>0</v>
      </c>
      <c r="AD272" s="13">
        <f t="shared" si="136"/>
        <v>0</v>
      </c>
      <c r="AE272" s="13">
        <f t="shared" si="137"/>
        <v>0</v>
      </c>
      <c r="AF272" s="13">
        <f t="shared" si="138"/>
        <v>0</v>
      </c>
      <c r="AG272" s="685">
        <f t="shared" si="139"/>
        <v>0</v>
      </c>
      <c r="AH272" s="688" t="b">
        <f t="shared" si="140"/>
        <v>1</v>
      </c>
    </row>
    <row r="273" spans="1:34" s="1" customFormat="1" ht="15" customHeight="1">
      <c r="A273" s="946">
        <v>10920011</v>
      </c>
      <c r="B273" s="946" t="s">
        <v>1286</v>
      </c>
      <c r="C273" s="946" t="s">
        <v>1310</v>
      </c>
      <c r="D273" s="946">
        <v>100000001</v>
      </c>
      <c r="E273" s="946" t="s">
        <v>33</v>
      </c>
      <c r="F273" s="946" t="s">
        <v>11</v>
      </c>
      <c r="G273" s="947">
        <v>-151.99</v>
      </c>
      <c r="H273" s="947">
        <v>-151.99</v>
      </c>
      <c r="I273" s="948"/>
      <c r="J273" s="948"/>
      <c r="K273" s="948"/>
      <c r="L273" s="29" t="e">
        <f>VLOOKUP(A273,'Account Mapping'!$A$2:$E$216,3,0)</f>
        <v>#N/A</v>
      </c>
      <c r="M273" s="25" t="e">
        <f>VLOOKUP(A273,'Account Mapping'!$A$2:$E$216,4,0)</f>
        <v>#N/A</v>
      </c>
      <c r="N273" s="26" t="e">
        <f>IF(OR(C273='Account Mapping'!$H$4,C273='Account Mapping'!$H$5,C273='Account Mapping'!$H$6),'Account Mapping'!$I$4,VLOOKUP(A273,'Account Mapping'!$A$2:$E$216,5,0))</f>
        <v>#N/A</v>
      </c>
      <c r="O273" s="27" t="e">
        <f>IF(OR(L273="Loan",L273="Deposit_Liability",L273="OFF_Unused Loan Commitment",L273="HQLA"),VLOOKUP(D273,'Customer Type'!$A$3:$C$38,3,0),"")</f>
        <v>#N/A</v>
      </c>
      <c r="P273" s="656" t="e">
        <f t="shared" si="128"/>
        <v>#N/A</v>
      </c>
      <c r="Q273" s="658">
        <f>IF(COUNTIF('Account Mapping'!$H$12:$H$45,A273)&gt;0,-H273,H273)</f>
        <v>-151.99</v>
      </c>
      <c r="R273" s="249" t="e">
        <f>VLOOKUP(P273,Assumptions!$C$2:$D$64,2,0)</f>
        <v>#N/A</v>
      </c>
      <c r="S273" s="692" t="str">
        <f>IFERROR(VLOOKUP(A273,'Maturity Adjustment'!$A$3:$C$81,3,0),(IF(J273&lt;$N$4,"Tomorrow",J273)))</f>
        <v>Tomorrow</v>
      </c>
      <c r="T273" s="24">
        <f t="shared" si="127"/>
        <v>1</v>
      </c>
      <c r="U273" s="196" t="e">
        <f t="shared" si="129"/>
        <v>#N/A</v>
      </c>
      <c r="V273" s="11" t="str">
        <f>IFERROR(VLOOKUP(A273,'Maturity Adjustment'!$A$86:$C$91,3,0),S273)</f>
        <v>Tomorrow</v>
      </c>
      <c r="W273" s="207" t="e">
        <f>VLOOKUP(A273,'Account Mapping'!$A$2:$F$216,6,0)</f>
        <v>#N/A</v>
      </c>
      <c r="X273" s="194">
        <f t="shared" si="130"/>
        <v>-151.99</v>
      </c>
      <c r="Y273" s="194">
        <f t="shared" si="131"/>
        <v>0</v>
      </c>
      <c r="Z273" s="13">
        <f t="shared" si="132"/>
        <v>0</v>
      </c>
      <c r="AA273" s="13">
        <f t="shared" si="133"/>
        <v>0</v>
      </c>
      <c r="AB273" s="13">
        <f t="shared" si="134"/>
        <v>0</v>
      </c>
      <c r="AC273" s="13">
        <f t="shared" si="135"/>
        <v>0</v>
      </c>
      <c r="AD273" s="13">
        <f t="shared" si="136"/>
        <v>0</v>
      </c>
      <c r="AE273" s="13">
        <f t="shared" si="137"/>
        <v>0</v>
      </c>
      <c r="AF273" s="13">
        <f t="shared" si="138"/>
        <v>0</v>
      </c>
      <c r="AG273" s="685">
        <f t="shared" si="139"/>
        <v>0</v>
      </c>
      <c r="AH273" s="688" t="b">
        <f t="shared" si="140"/>
        <v>1</v>
      </c>
    </row>
    <row r="274" spans="1:34" s="1" customFormat="1" ht="15" customHeight="1">
      <c r="A274" s="946">
        <v>10920011</v>
      </c>
      <c r="B274" s="946" t="s">
        <v>1286</v>
      </c>
      <c r="C274" s="946" t="s">
        <v>1311</v>
      </c>
      <c r="D274" s="946">
        <v>100000001</v>
      </c>
      <c r="E274" s="946" t="s">
        <v>33</v>
      </c>
      <c r="F274" s="946" t="s">
        <v>11</v>
      </c>
      <c r="G274" s="947">
        <v>-114.76</v>
      </c>
      <c r="H274" s="947">
        <v>-114.76</v>
      </c>
      <c r="I274" s="948"/>
      <c r="J274" s="948"/>
      <c r="K274" s="948"/>
      <c r="L274" s="29" t="e">
        <f>VLOOKUP(A274,'Account Mapping'!$A$2:$E$216,3,0)</f>
        <v>#N/A</v>
      </c>
      <c r="M274" s="25" t="e">
        <f>VLOOKUP(A274,'Account Mapping'!$A$2:$E$216,4,0)</f>
        <v>#N/A</v>
      </c>
      <c r="N274" s="26" t="e">
        <f>IF(OR(C274='Account Mapping'!$H$4,C274='Account Mapping'!$H$5,C274='Account Mapping'!$H$6),'Account Mapping'!$I$4,VLOOKUP(A274,'Account Mapping'!$A$2:$E$216,5,0))</f>
        <v>#N/A</v>
      </c>
      <c r="O274" s="27" t="e">
        <f>IF(OR(L274="Loan",L274="Deposit_Liability",L274="OFF_Unused Loan Commitment",L274="HQLA"),VLOOKUP(D274,'Customer Type'!$A$3:$C$38,3,0),"")</f>
        <v>#N/A</v>
      </c>
      <c r="P274" s="656" t="e">
        <f t="shared" si="128"/>
        <v>#N/A</v>
      </c>
      <c r="Q274" s="658">
        <f>IF(COUNTIF('Account Mapping'!$H$12:$H$45,A274)&gt;0,-H274,H274)</f>
        <v>-114.76</v>
      </c>
      <c r="R274" s="249" t="e">
        <f>VLOOKUP(P274,Assumptions!$C$2:$D$64,2,0)</f>
        <v>#N/A</v>
      </c>
      <c r="S274" s="692" t="str">
        <f>IFERROR(VLOOKUP(A274,'Maturity Adjustment'!$A$3:$C$81,3,0),(IF(J274&lt;$N$4,"Tomorrow",J274)))</f>
        <v>Tomorrow</v>
      </c>
      <c r="T274" s="24">
        <f t="shared" si="127"/>
        <v>1</v>
      </c>
      <c r="U274" s="196" t="e">
        <f t="shared" si="129"/>
        <v>#N/A</v>
      </c>
      <c r="V274" s="11" t="str">
        <f>IFERROR(VLOOKUP(A274,'Maturity Adjustment'!$A$86:$C$91,3,0),S274)</f>
        <v>Tomorrow</v>
      </c>
      <c r="W274" s="207" t="e">
        <f>VLOOKUP(A274,'Account Mapping'!$A$2:$F$216,6,0)</f>
        <v>#N/A</v>
      </c>
      <c r="X274" s="194">
        <f t="shared" si="130"/>
        <v>-114.76</v>
      </c>
      <c r="Y274" s="194">
        <f t="shared" si="131"/>
        <v>0</v>
      </c>
      <c r="Z274" s="13">
        <f t="shared" si="132"/>
        <v>0</v>
      </c>
      <c r="AA274" s="13">
        <f t="shared" si="133"/>
        <v>0</v>
      </c>
      <c r="AB274" s="13">
        <f t="shared" si="134"/>
        <v>0</v>
      </c>
      <c r="AC274" s="13">
        <f t="shared" si="135"/>
        <v>0</v>
      </c>
      <c r="AD274" s="13">
        <f t="shared" si="136"/>
        <v>0</v>
      </c>
      <c r="AE274" s="13">
        <f t="shared" si="137"/>
        <v>0</v>
      </c>
      <c r="AF274" s="13">
        <f t="shared" si="138"/>
        <v>0</v>
      </c>
      <c r="AG274" s="685">
        <f t="shared" si="139"/>
        <v>0</v>
      </c>
      <c r="AH274" s="688" t="b">
        <f t="shared" si="140"/>
        <v>1</v>
      </c>
    </row>
    <row r="275" spans="1:34" s="1" customFormat="1" ht="15" customHeight="1">
      <c r="A275" s="946">
        <v>10920011</v>
      </c>
      <c r="B275" s="946" t="s">
        <v>1286</v>
      </c>
      <c r="C275" s="946" t="s">
        <v>1312</v>
      </c>
      <c r="D275" s="946">
        <v>100000001</v>
      </c>
      <c r="E275" s="946" t="s">
        <v>33</v>
      </c>
      <c r="F275" s="946" t="s">
        <v>11</v>
      </c>
      <c r="G275" s="947">
        <v>-63.17</v>
      </c>
      <c r="H275" s="947">
        <v>-63.17</v>
      </c>
      <c r="I275" s="948"/>
      <c r="J275" s="948"/>
      <c r="K275" s="948"/>
      <c r="L275" s="29" t="e">
        <f>VLOOKUP(A275,'Account Mapping'!$A$2:$E$216,3,0)</f>
        <v>#N/A</v>
      </c>
      <c r="M275" s="25" t="e">
        <f>VLOOKUP(A275,'Account Mapping'!$A$2:$E$216,4,0)</f>
        <v>#N/A</v>
      </c>
      <c r="N275" s="26" t="e">
        <f>IF(OR(C275='Account Mapping'!$H$4,C275='Account Mapping'!$H$5,C275='Account Mapping'!$H$6),'Account Mapping'!$I$4,VLOOKUP(A275,'Account Mapping'!$A$2:$E$216,5,0))</f>
        <v>#N/A</v>
      </c>
      <c r="O275" s="27" t="e">
        <f>IF(OR(L275="Loan",L275="Deposit_Liability",L275="OFF_Unused Loan Commitment",L275="HQLA"),VLOOKUP(D275,'Customer Type'!$A$3:$C$38,3,0),"")</f>
        <v>#N/A</v>
      </c>
      <c r="P275" s="656" t="e">
        <f t="shared" si="128"/>
        <v>#N/A</v>
      </c>
      <c r="Q275" s="658">
        <f>IF(COUNTIF('Account Mapping'!$H$12:$H$45,A275)&gt;0,-H275,H275)</f>
        <v>-63.17</v>
      </c>
      <c r="R275" s="249" t="e">
        <f>VLOOKUP(P275,Assumptions!$C$2:$D$64,2,0)</f>
        <v>#N/A</v>
      </c>
      <c r="S275" s="692" t="str">
        <f>IFERROR(VLOOKUP(A275,'Maturity Adjustment'!$A$3:$C$81,3,0),(IF(J275&lt;$N$4,"Tomorrow",J275)))</f>
        <v>Tomorrow</v>
      </c>
      <c r="T275" s="24">
        <f t="shared" si="127"/>
        <v>1</v>
      </c>
      <c r="U275" s="196" t="e">
        <f t="shared" si="129"/>
        <v>#N/A</v>
      </c>
      <c r="V275" s="11" t="str">
        <f>IFERROR(VLOOKUP(A275,'Maturity Adjustment'!$A$86:$C$91,3,0),S275)</f>
        <v>Tomorrow</v>
      </c>
      <c r="W275" s="207" t="e">
        <f>VLOOKUP(A275,'Account Mapping'!$A$2:$F$216,6,0)</f>
        <v>#N/A</v>
      </c>
      <c r="X275" s="194">
        <f t="shared" si="130"/>
        <v>-63.17</v>
      </c>
      <c r="Y275" s="194">
        <f t="shared" si="131"/>
        <v>0</v>
      </c>
      <c r="Z275" s="13">
        <f t="shared" si="132"/>
        <v>0</v>
      </c>
      <c r="AA275" s="13">
        <f t="shared" si="133"/>
        <v>0</v>
      </c>
      <c r="AB275" s="13">
        <f t="shared" si="134"/>
        <v>0</v>
      </c>
      <c r="AC275" s="13">
        <f t="shared" si="135"/>
        <v>0</v>
      </c>
      <c r="AD275" s="13">
        <f t="shared" si="136"/>
        <v>0</v>
      </c>
      <c r="AE275" s="13">
        <f t="shared" si="137"/>
        <v>0</v>
      </c>
      <c r="AF275" s="13">
        <f t="shared" si="138"/>
        <v>0</v>
      </c>
      <c r="AG275" s="685">
        <f t="shared" si="139"/>
        <v>0</v>
      </c>
      <c r="AH275" s="688" t="b">
        <f t="shared" si="140"/>
        <v>1</v>
      </c>
    </row>
    <row r="276" spans="1:34" s="1" customFormat="1" ht="15" customHeight="1">
      <c r="A276" s="946">
        <v>10920011</v>
      </c>
      <c r="B276" s="946" t="s">
        <v>1286</v>
      </c>
      <c r="C276" s="946" t="s">
        <v>1313</v>
      </c>
      <c r="D276" s="946">
        <v>100000001</v>
      </c>
      <c r="E276" s="946" t="s">
        <v>33</v>
      </c>
      <c r="F276" s="946" t="s">
        <v>11</v>
      </c>
      <c r="G276" s="947">
        <v>-119.26</v>
      </c>
      <c r="H276" s="947">
        <v>-119.26</v>
      </c>
      <c r="I276" s="948"/>
      <c r="J276" s="948"/>
      <c r="K276" s="948"/>
      <c r="L276" s="29" t="e">
        <f>VLOOKUP(A276,'Account Mapping'!$A$2:$E$216,3,0)</f>
        <v>#N/A</v>
      </c>
      <c r="M276" s="25" t="e">
        <f>VLOOKUP(A276,'Account Mapping'!$A$2:$E$216,4,0)</f>
        <v>#N/A</v>
      </c>
      <c r="N276" s="26" t="e">
        <f>IF(OR(C276='Account Mapping'!$H$4,C276='Account Mapping'!$H$5,C276='Account Mapping'!$H$6),'Account Mapping'!$I$4,VLOOKUP(A276,'Account Mapping'!$A$2:$E$216,5,0))</f>
        <v>#N/A</v>
      </c>
      <c r="O276" s="27" t="e">
        <f>IF(OR(L276="Loan",L276="Deposit_Liability",L276="OFF_Unused Loan Commitment",L276="HQLA"),VLOOKUP(D276,'Customer Type'!$A$3:$C$38,3,0),"")</f>
        <v>#N/A</v>
      </c>
      <c r="P276" s="656" t="e">
        <f t="shared" si="128"/>
        <v>#N/A</v>
      </c>
      <c r="Q276" s="658">
        <f>IF(COUNTIF('Account Mapping'!$H$12:$H$45,A276)&gt;0,-H276,H276)</f>
        <v>-119.26</v>
      </c>
      <c r="R276" s="249" t="e">
        <f>VLOOKUP(P276,Assumptions!$C$2:$D$64,2,0)</f>
        <v>#N/A</v>
      </c>
      <c r="S276" s="692" t="str">
        <f>IFERROR(VLOOKUP(A276,'Maturity Adjustment'!$A$3:$C$81,3,0),(IF(J276&lt;$N$4,"Tomorrow",J276)))</f>
        <v>Tomorrow</v>
      </c>
      <c r="T276" s="24">
        <f t="shared" si="127"/>
        <v>1</v>
      </c>
      <c r="U276" s="196" t="e">
        <f t="shared" si="129"/>
        <v>#N/A</v>
      </c>
      <c r="V276" s="11" t="str">
        <f>IFERROR(VLOOKUP(A276,'Maturity Adjustment'!$A$86:$C$91,3,0),S276)</f>
        <v>Tomorrow</v>
      </c>
      <c r="W276" s="207" t="e">
        <f>VLOOKUP(A276,'Account Mapping'!$A$2:$F$216,6,0)</f>
        <v>#N/A</v>
      </c>
      <c r="X276" s="194">
        <f t="shared" si="130"/>
        <v>-119.26</v>
      </c>
      <c r="Y276" s="194">
        <f t="shared" si="131"/>
        <v>0</v>
      </c>
      <c r="Z276" s="13">
        <f t="shared" si="132"/>
        <v>0</v>
      </c>
      <c r="AA276" s="13">
        <f t="shared" si="133"/>
        <v>0</v>
      </c>
      <c r="AB276" s="13">
        <f t="shared" si="134"/>
        <v>0</v>
      </c>
      <c r="AC276" s="13">
        <f t="shared" si="135"/>
        <v>0</v>
      </c>
      <c r="AD276" s="13">
        <f t="shared" si="136"/>
        <v>0</v>
      </c>
      <c r="AE276" s="13">
        <f t="shared" si="137"/>
        <v>0</v>
      </c>
      <c r="AF276" s="13">
        <f t="shared" si="138"/>
        <v>0</v>
      </c>
      <c r="AG276" s="685">
        <f t="shared" si="139"/>
        <v>0</v>
      </c>
      <c r="AH276" s="688" t="b">
        <f t="shared" si="140"/>
        <v>1</v>
      </c>
    </row>
    <row r="277" spans="1:34" s="1" customFormat="1" ht="15" customHeight="1">
      <c r="A277" s="946">
        <v>10920011</v>
      </c>
      <c r="B277" s="946" t="s">
        <v>1286</v>
      </c>
      <c r="C277" s="946" t="s">
        <v>1314</v>
      </c>
      <c r="D277" s="946">
        <v>100000001</v>
      </c>
      <c r="E277" s="946" t="s">
        <v>33</v>
      </c>
      <c r="F277" s="946" t="s">
        <v>11</v>
      </c>
      <c r="G277" s="947">
        <v>-44.67</v>
      </c>
      <c r="H277" s="947">
        <v>-44.67</v>
      </c>
      <c r="I277" s="948"/>
      <c r="J277" s="948"/>
      <c r="K277" s="948"/>
      <c r="L277" s="29" t="e">
        <f>VLOOKUP(A277,'Account Mapping'!$A$2:$E$216,3,0)</f>
        <v>#N/A</v>
      </c>
      <c r="M277" s="25" t="e">
        <f>VLOOKUP(A277,'Account Mapping'!$A$2:$E$216,4,0)</f>
        <v>#N/A</v>
      </c>
      <c r="N277" s="26" t="e">
        <f>IF(OR(C277='Account Mapping'!$H$4,C277='Account Mapping'!$H$5,C277='Account Mapping'!$H$6),'Account Mapping'!$I$4,VLOOKUP(A277,'Account Mapping'!$A$2:$E$216,5,0))</f>
        <v>#N/A</v>
      </c>
      <c r="O277" s="27" t="e">
        <f>IF(OR(L277="Loan",L277="Deposit_Liability",L277="OFF_Unused Loan Commitment",L277="HQLA"),VLOOKUP(D277,'Customer Type'!$A$3:$C$38,3,0),"")</f>
        <v>#N/A</v>
      </c>
      <c r="P277" s="656" t="e">
        <f t="shared" si="128"/>
        <v>#N/A</v>
      </c>
      <c r="Q277" s="658">
        <f>IF(COUNTIF('Account Mapping'!$H$12:$H$45,A277)&gt;0,-H277,H277)</f>
        <v>-44.67</v>
      </c>
      <c r="R277" s="249" t="e">
        <f>VLOOKUP(P277,Assumptions!$C$2:$D$64,2,0)</f>
        <v>#N/A</v>
      </c>
      <c r="S277" s="692" t="str">
        <f>IFERROR(VLOOKUP(A277,'Maturity Adjustment'!$A$3:$C$81,3,0),(IF(J277&lt;$N$4,"Tomorrow",J277)))</f>
        <v>Tomorrow</v>
      </c>
      <c r="T277" s="24">
        <f t="shared" si="127"/>
        <v>1</v>
      </c>
      <c r="U277" s="196" t="e">
        <f t="shared" si="129"/>
        <v>#N/A</v>
      </c>
      <c r="V277" s="11" t="str">
        <f>IFERROR(VLOOKUP(A277,'Maturity Adjustment'!$A$86:$C$91,3,0),S277)</f>
        <v>Tomorrow</v>
      </c>
      <c r="W277" s="207" t="e">
        <f>VLOOKUP(A277,'Account Mapping'!$A$2:$F$216,6,0)</f>
        <v>#N/A</v>
      </c>
      <c r="X277" s="194">
        <f t="shared" si="130"/>
        <v>-44.67</v>
      </c>
      <c r="Y277" s="194">
        <f t="shared" si="131"/>
        <v>0</v>
      </c>
      <c r="Z277" s="13">
        <f t="shared" si="132"/>
        <v>0</v>
      </c>
      <c r="AA277" s="13">
        <f t="shared" si="133"/>
        <v>0</v>
      </c>
      <c r="AB277" s="13">
        <f t="shared" si="134"/>
        <v>0</v>
      </c>
      <c r="AC277" s="13">
        <f t="shared" si="135"/>
        <v>0</v>
      </c>
      <c r="AD277" s="13">
        <f t="shared" si="136"/>
        <v>0</v>
      </c>
      <c r="AE277" s="13">
        <f t="shared" si="137"/>
        <v>0</v>
      </c>
      <c r="AF277" s="13">
        <f t="shared" si="138"/>
        <v>0</v>
      </c>
      <c r="AG277" s="685">
        <f t="shared" si="139"/>
        <v>0</v>
      </c>
      <c r="AH277" s="688" t="b">
        <f t="shared" si="140"/>
        <v>1</v>
      </c>
    </row>
    <row r="278" spans="1:34" s="1" customFormat="1" ht="15" customHeight="1">
      <c r="A278" s="946">
        <v>10920011</v>
      </c>
      <c r="B278" s="946" t="s">
        <v>1286</v>
      </c>
      <c r="C278" s="946" t="s">
        <v>1315</v>
      </c>
      <c r="D278" s="946">
        <v>100000001</v>
      </c>
      <c r="E278" s="946" t="s">
        <v>33</v>
      </c>
      <c r="F278" s="946" t="s">
        <v>11</v>
      </c>
      <c r="G278" s="947">
        <v>-17861.439999999999</v>
      </c>
      <c r="H278" s="947">
        <v>-17861.439999999999</v>
      </c>
      <c r="I278" s="948"/>
      <c r="J278" s="948"/>
      <c r="K278" s="948"/>
      <c r="L278" s="29" t="e">
        <f>VLOOKUP(A278,'Account Mapping'!$A$2:$E$216,3,0)</f>
        <v>#N/A</v>
      </c>
      <c r="M278" s="25" t="e">
        <f>VLOOKUP(A278,'Account Mapping'!$A$2:$E$216,4,0)</f>
        <v>#N/A</v>
      </c>
      <c r="N278" s="26" t="e">
        <f>IF(OR(C278='Account Mapping'!$H$4,C278='Account Mapping'!$H$5,C278='Account Mapping'!$H$6),'Account Mapping'!$I$4,VLOOKUP(A278,'Account Mapping'!$A$2:$E$216,5,0))</f>
        <v>#N/A</v>
      </c>
      <c r="O278" s="27" t="e">
        <f>IF(OR(L278="Loan",L278="Deposit_Liability",L278="OFF_Unused Loan Commitment",L278="HQLA"),VLOOKUP(D278,'Customer Type'!$A$3:$C$38,3,0),"")</f>
        <v>#N/A</v>
      </c>
      <c r="P278" s="656" t="e">
        <f t="shared" si="128"/>
        <v>#N/A</v>
      </c>
      <c r="Q278" s="658">
        <f>IF(COUNTIF('Account Mapping'!$H$12:$H$45,A278)&gt;0,-H278,H278)</f>
        <v>-17861.439999999999</v>
      </c>
      <c r="R278" s="249" t="e">
        <f>VLOOKUP(P278,Assumptions!$C$2:$D$64,2,0)</f>
        <v>#N/A</v>
      </c>
      <c r="S278" s="692" t="str">
        <f>IFERROR(VLOOKUP(A278,'Maturity Adjustment'!$A$3:$C$81,3,0),(IF(J278&lt;$N$4,"Tomorrow",J278)))</f>
        <v>Tomorrow</v>
      </c>
      <c r="T278" s="24">
        <f t="shared" si="127"/>
        <v>1</v>
      </c>
      <c r="U278" s="196" t="e">
        <f t="shared" si="129"/>
        <v>#N/A</v>
      </c>
      <c r="V278" s="11" t="str">
        <f>IFERROR(VLOOKUP(A278,'Maturity Adjustment'!$A$86:$C$91,3,0),S278)</f>
        <v>Tomorrow</v>
      </c>
      <c r="W278" s="207" t="e">
        <f>VLOOKUP(A278,'Account Mapping'!$A$2:$F$216,6,0)</f>
        <v>#N/A</v>
      </c>
      <c r="X278" s="194">
        <f t="shared" si="130"/>
        <v>-17861.439999999999</v>
      </c>
      <c r="Y278" s="194">
        <f t="shared" si="131"/>
        <v>0</v>
      </c>
      <c r="Z278" s="13">
        <f t="shared" si="132"/>
        <v>0</v>
      </c>
      <c r="AA278" s="13">
        <f t="shared" si="133"/>
        <v>0</v>
      </c>
      <c r="AB278" s="13">
        <f t="shared" si="134"/>
        <v>0</v>
      </c>
      <c r="AC278" s="13">
        <f t="shared" si="135"/>
        <v>0</v>
      </c>
      <c r="AD278" s="13">
        <f t="shared" si="136"/>
        <v>0</v>
      </c>
      <c r="AE278" s="13">
        <f t="shared" si="137"/>
        <v>0</v>
      </c>
      <c r="AF278" s="13">
        <f t="shared" si="138"/>
        <v>0</v>
      </c>
      <c r="AG278" s="685">
        <f t="shared" si="139"/>
        <v>0</v>
      </c>
      <c r="AH278" s="688" t="b">
        <f t="shared" si="140"/>
        <v>1</v>
      </c>
    </row>
    <row r="279" spans="1:34" s="1" customFormat="1" ht="15" customHeight="1">
      <c r="A279" s="946">
        <v>10920011</v>
      </c>
      <c r="B279" s="946" t="s">
        <v>1286</v>
      </c>
      <c r="C279" s="946" t="s">
        <v>1316</v>
      </c>
      <c r="D279" s="946">
        <v>100000001</v>
      </c>
      <c r="E279" s="946" t="s">
        <v>33</v>
      </c>
      <c r="F279" s="946" t="s">
        <v>11</v>
      </c>
      <c r="G279" s="947">
        <v>-2954</v>
      </c>
      <c r="H279" s="947">
        <v>-2954</v>
      </c>
      <c r="I279" s="948"/>
      <c r="J279" s="948"/>
      <c r="K279" s="948"/>
      <c r="L279" s="29" t="e">
        <f>VLOOKUP(A279,'Account Mapping'!$A$2:$E$216,3,0)</f>
        <v>#N/A</v>
      </c>
      <c r="M279" s="25" t="e">
        <f>VLOOKUP(A279,'Account Mapping'!$A$2:$E$216,4,0)</f>
        <v>#N/A</v>
      </c>
      <c r="N279" s="26" t="e">
        <f>IF(OR(C279='Account Mapping'!$H$4,C279='Account Mapping'!$H$5,C279='Account Mapping'!$H$6),'Account Mapping'!$I$4,VLOOKUP(A279,'Account Mapping'!$A$2:$E$216,5,0))</f>
        <v>#N/A</v>
      </c>
      <c r="O279" s="27" t="e">
        <f>IF(OR(L279="Loan",L279="Deposit_Liability",L279="OFF_Unused Loan Commitment",L279="HQLA"),VLOOKUP(D279,'Customer Type'!$A$3:$C$38,3,0),"")</f>
        <v>#N/A</v>
      </c>
      <c r="P279" s="656" t="e">
        <f t="shared" si="128"/>
        <v>#N/A</v>
      </c>
      <c r="Q279" s="658">
        <f>IF(COUNTIF('Account Mapping'!$H$12:$H$45,A279)&gt;0,-H279,H279)</f>
        <v>-2954</v>
      </c>
      <c r="R279" s="249" t="e">
        <f>VLOOKUP(P279,Assumptions!$C$2:$D$64,2,0)</f>
        <v>#N/A</v>
      </c>
      <c r="S279" s="692" t="str">
        <f>IFERROR(VLOOKUP(A279,'Maturity Adjustment'!$A$3:$C$81,3,0),(IF(J279&lt;$N$4,"Tomorrow",J279)))</f>
        <v>Tomorrow</v>
      </c>
      <c r="T279" s="24">
        <f t="shared" si="127"/>
        <v>1</v>
      </c>
      <c r="U279" s="196" t="e">
        <f t="shared" si="129"/>
        <v>#N/A</v>
      </c>
      <c r="V279" s="11" t="str">
        <f>IFERROR(VLOOKUP(A279,'Maturity Adjustment'!$A$86:$C$91,3,0),S279)</f>
        <v>Tomorrow</v>
      </c>
      <c r="W279" s="207" t="e">
        <f>VLOOKUP(A279,'Account Mapping'!$A$2:$F$216,6,0)</f>
        <v>#N/A</v>
      </c>
      <c r="X279" s="194">
        <f t="shared" si="130"/>
        <v>-2954</v>
      </c>
      <c r="Y279" s="194">
        <f t="shared" si="131"/>
        <v>0</v>
      </c>
      <c r="Z279" s="13">
        <f t="shared" si="132"/>
        <v>0</v>
      </c>
      <c r="AA279" s="13">
        <f t="shared" si="133"/>
        <v>0</v>
      </c>
      <c r="AB279" s="13">
        <f t="shared" si="134"/>
        <v>0</v>
      </c>
      <c r="AC279" s="13">
        <f t="shared" si="135"/>
        <v>0</v>
      </c>
      <c r="AD279" s="13">
        <f t="shared" si="136"/>
        <v>0</v>
      </c>
      <c r="AE279" s="13">
        <f t="shared" si="137"/>
        <v>0</v>
      </c>
      <c r="AF279" s="13">
        <f t="shared" si="138"/>
        <v>0</v>
      </c>
      <c r="AG279" s="685">
        <f t="shared" si="139"/>
        <v>0</v>
      </c>
      <c r="AH279" s="688" t="b">
        <f t="shared" si="140"/>
        <v>1</v>
      </c>
    </row>
    <row r="280" spans="1:34" s="1" customFormat="1" ht="15" customHeight="1">
      <c r="A280" s="946">
        <v>10920011</v>
      </c>
      <c r="B280" s="946" t="s">
        <v>1286</v>
      </c>
      <c r="C280" s="946" t="s">
        <v>1317</v>
      </c>
      <c r="D280" s="946">
        <v>100000001</v>
      </c>
      <c r="E280" s="946" t="s">
        <v>33</v>
      </c>
      <c r="F280" s="946" t="s">
        <v>11</v>
      </c>
      <c r="G280" s="947">
        <v>-69.09</v>
      </c>
      <c r="H280" s="947">
        <v>-69.09</v>
      </c>
      <c r="I280" s="948"/>
      <c r="J280" s="948"/>
      <c r="K280" s="948"/>
      <c r="L280" s="29" t="e">
        <f>VLOOKUP(A280,'Account Mapping'!$A$2:$E$216,3,0)</f>
        <v>#N/A</v>
      </c>
      <c r="M280" s="25" t="e">
        <f>VLOOKUP(A280,'Account Mapping'!$A$2:$E$216,4,0)</f>
        <v>#N/A</v>
      </c>
      <c r="N280" s="26" t="e">
        <f>IF(OR(C280='Account Mapping'!$H$4,C280='Account Mapping'!$H$5,C280='Account Mapping'!$H$6),'Account Mapping'!$I$4,VLOOKUP(A280,'Account Mapping'!$A$2:$E$216,5,0))</f>
        <v>#N/A</v>
      </c>
      <c r="O280" s="27" t="e">
        <f>IF(OR(L280="Loan",L280="Deposit_Liability",L280="OFF_Unused Loan Commitment",L280="HQLA"),VLOOKUP(D280,'Customer Type'!$A$3:$C$38,3,0),"")</f>
        <v>#N/A</v>
      </c>
      <c r="P280" s="656" t="e">
        <f t="shared" si="128"/>
        <v>#N/A</v>
      </c>
      <c r="Q280" s="658">
        <f>IF(COUNTIF('Account Mapping'!$H$12:$H$45,A280)&gt;0,-H280,H280)</f>
        <v>-69.09</v>
      </c>
      <c r="R280" s="249" t="e">
        <f>VLOOKUP(P280,Assumptions!$C$2:$D$64,2,0)</f>
        <v>#N/A</v>
      </c>
      <c r="S280" s="692" t="str">
        <f>IFERROR(VLOOKUP(A280,'Maturity Adjustment'!$A$3:$C$81,3,0),(IF(J280&lt;$N$4,"Tomorrow",J280)))</f>
        <v>Tomorrow</v>
      </c>
      <c r="T280" s="24">
        <f t="shared" si="127"/>
        <v>1</v>
      </c>
      <c r="U280" s="196" t="e">
        <f t="shared" si="129"/>
        <v>#N/A</v>
      </c>
      <c r="V280" s="11" t="str">
        <f>IFERROR(VLOOKUP(A280,'Maturity Adjustment'!$A$86:$C$91,3,0),S280)</f>
        <v>Tomorrow</v>
      </c>
      <c r="W280" s="207" t="e">
        <f>VLOOKUP(A280,'Account Mapping'!$A$2:$F$216,6,0)</f>
        <v>#N/A</v>
      </c>
      <c r="X280" s="194">
        <f t="shared" si="130"/>
        <v>-69.09</v>
      </c>
      <c r="Y280" s="194">
        <f t="shared" si="131"/>
        <v>0</v>
      </c>
      <c r="Z280" s="13">
        <f t="shared" si="132"/>
        <v>0</v>
      </c>
      <c r="AA280" s="13">
        <f t="shared" si="133"/>
        <v>0</v>
      </c>
      <c r="AB280" s="13">
        <f t="shared" si="134"/>
        <v>0</v>
      </c>
      <c r="AC280" s="13">
        <f t="shared" si="135"/>
        <v>0</v>
      </c>
      <c r="AD280" s="13">
        <f t="shared" si="136"/>
        <v>0</v>
      </c>
      <c r="AE280" s="13">
        <f t="shared" si="137"/>
        <v>0</v>
      </c>
      <c r="AF280" s="13">
        <f t="shared" si="138"/>
        <v>0</v>
      </c>
      <c r="AG280" s="685">
        <f t="shared" si="139"/>
        <v>0</v>
      </c>
      <c r="AH280" s="688" t="b">
        <f t="shared" si="140"/>
        <v>1</v>
      </c>
    </row>
    <row r="281" spans="1:34" s="1" customFormat="1" ht="15" customHeight="1">
      <c r="A281" s="946">
        <v>10920011</v>
      </c>
      <c r="B281" s="946" t="s">
        <v>1286</v>
      </c>
      <c r="C281" s="946" t="s">
        <v>1318</v>
      </c>
      <c r="D281" s="946">
        <v>100000001</v>
      </c>
      <c r="E281" s="946" t="s">
        <v>33</v>
      </c>
      <c r="F281" s="946" t="s">
        <v>11</v>
      </c>
      <c r="G281" s="947">
        <v>-135.88</v>
      </c>
      <c r="H281" s="947">
        <v>-135.88</v>
      </c>
      <c r="I281" s="948"/>
      <c r="J281" s="948"/>
      <c r="K281" s="948"/>
      <c r="L281" s="29" t="e">
        <f>VLOOKUP(A281,'Account Mapping'!$A$2:$E$216,3,0)</f>
        <v>#N/A</v>
      </c>
      <c r="M281" s="25" t="e">
        <f>VLOOKUP(A281,'Account Mapping'!$A$2:$E$216,4,0)</f>
        <v>#N/A</v>
      </c>
      <c r="N281" s="26" t="e">
        <f>IF(OR(C281='Account Mapping'!$H$4,C281='Account Mapping'!$H$5,C281='Account Mapping'!$H$6),'Account Mapping'!$I$4,VLOOKUP(A281,'Account Mapping'!$A$2:$E$216,5,0))</f>
        <v>#N/A</v>
      </c>
      <c r="O281" s="27" t="e">
        <f>IF(OR(L281="Loan",L281="Deposit_Liability",L281="OFF_Unused Loan Commitment",L281="HQLA"),VLOOKUP(D281,'Customer Type'!$A$3:$C$38,3,0),"")</f>
        <v>#N/A</v>
      </c>
      <c r="P281" s="656" t="e">
        <f t="shared" si="128"/>
        <v>#N/A</v>
      </c>
      <c r="Q281" s="658">
        <f>IF(COUNTIF('Account Mapping'!$H$12:$H$45,A281)&gt;0,-H281,H281)</f>
        <v>-135.88</v>
      </c>
      <c r="R281" s="249" t="e">
        <f>VLOOKUP(P281,Assumptions!$C$2:$D$64,2,0)</f>
        <v>#N/A</v>
      </c>
      <c r="S281" s="692" t="str">
        <f>IFERROR(VLOOKUP(A281,'Maturity Adjustment'!$A$3:$C$81,3,0),(IF(J281&lt;$N$4,"Tomorrow",J281)))</f>
        <v>Tomorrow</v>
      </c>
      <c r="T281" s="24">
        <f t="shared" si="127"/>
        <v>1</v>
      </c>
      <c r="U281" s="196" t="e">
        <f t="shared" si="129"/>
        <v>#N/A</v>
      </c>
      <c r="V281" s="11" t="str">
        <f>IFERROR(VLOOKUP(A281,'Maturity Adjustment'!$A$86:$C$91,3,0),S281)</f>
        <v>Tomorrow</v>
      </c>
      <c r="W281" s="207" t="e">
        <f>VLOOKUP(A281,'Account Mapping'!$A$2:$F$216,6,0)</f>
        <v>#N/A</v>
      </c>
      <c r="X281" s="194">
        <f t="shared" si="130"/>
        <v>-135.88</v>
      </c>
      <c r="Y281" s="194">
        <f t="shared" si="131"/>
        <v>0</v>
      </c>
      <c r="Z281" s="13">
        <f t="shared" si="132"/>
        <v>0</v>
      </c>
      <c r="AA281" s="13">
        <f t="shared" si="133"/>
        <v>0</v>
      </c>
      <c r="AB281" s="13">
        <f t="shared" si="134"/>
        <v>0</v>
      </c>
      <c r="AC281" s="13">
        <f t="shared" si="135"/>
        <v>0</v>
      </c>
      <c r="AD281" s="13">
        <f t="shared" si="136"/>
        <v>0</v>
      </c>
      <c r="AE281" s="13">
        <f t="shared" si="137"/>
        <v>0</v>
      </c>
      <c r="AF281" s="13">
        <f t="shared" si="138"/>
        <v>0</v>
      </c>
      <c r="AG281" s="685">
        <f t="shared" si="139"/>
        <v>0</v>
      </c>
      <c r="AH281" s="688" t="b">
        <f t="shared" si="140"/>
        <v>1</v>
      </c>
    </row>
    <row r="282" spans="1:34" s="1" customFormat="1" ht="15" customHeight="1">
      <c r="A282" s="946">
        <v>10920011</v>
      </c>
      <c r="B282" s="946" t="s">
        <v>1286</v>
      </c>
      <c r="C282" s="946" t="s">
        <v>1319</v>
      </c>
      <c r="D282" s="946">
        <v>100000001</v>
      </c>
      <c r="E282" s="946" t="s">
        <v>33</v>
      </c>
      <c r="F282" s="946" t="s">
        <v>11</v>
      </c>
      <c r="G282" s="947">
        <v>-704.07</v>
      </c>
      <c r="H282" s="947">
        <v>-704.07</v>
      </c>
      <c r="I282" s="948"/>
      <c r="J282" s="948"/>
      <c r="K282" s="948"/>
      <c r="L282" s="29" t="e">
        <f>VLOOKUP(A282,'Account Mapping'!$A$2:$E$216,3,0)</f>
        <v>#N/A</v>
      </c>
      <c r="M282" s="25" t="e">
        <f>VLOOKUP(A282,'Account Mapping'!$A$2:$E$216,4,0)</f>
        <v>#N/A</v>
      </c>
      <c r="N282" s="26" t="e">
        <f>IF(OR(C282='Account Mapping'!$H$4,C282='Account Mapping'!$H$5,C282='Account Mapping'!$H$6),'Account Mapping'!$I$4,VLOOKUP(A282,'Account Mapping'!$A$2:$E$216,5,0))</f>
        <v>#N/A</v>
      </c>
      <c r="O282" s="27" t="e">
        <f>IF(OR(L282="Loan",L282="Deposit_Liability",L282="OFF_Unused Loan Commitment",L282="HQLA"),VLOOKUP(D282,'Customer Type'!$A$3:$C$38,3,0),"")</f>
        <v>#N/A</v>
      </c>
      <c r="P282" s="656" t="e">
        <f t="shared" si="128"/>
        <v>#N/A</v>
      </c>
      <c r="Q282" s="658">
        <f>IF(COUNTIF('Account Mapping'!$H$12:$H$45,A282)&gt;0,-H282,H282)</f>
        <v>-704.07</v>
      </c>
      <c r="R282" s="249" t="e">
        <f>VLOOKUP(P282,Assumptions!$C$2:$D$64,2,0)</f>
        <v>#N/A</v>
      </c>
      <c r="S282" s="692" t="str">
        <f>IFERROR(VLOOKUP(A282,'Maturity Adjustment'!$A$3:$C$81,3,0),(IF(J282&lt;$N$4,"Tomorrow",J282)))</f>
        <v>Tomorrow</v>
      </c>
      <c r="T282" s="24">
        <f t="shared" si="127"/>
        <v>1</v>
      </c>
      <c r="U282" s="196" t="e">
        <f t="shared" si="129"/>
        <v>#N/A</v>
      </c>
      <c r="V282" s="11" t="str">
        <f>IFERROR(VLOOKUP(A282,'Maturity Adjustment'!$A$86:$C$91,3,0),S282)</f>
        <v>Tomorrow</v>
      </c>
      <c r="W282" s="207" t="e">
        <f>VLOOKUP(A282,'Account Mapping'!$A$2:$F$216,6,0)</f>
        <v>#N/A</v>
      </c>
      <c r="X282" s="194">
        <f t="shared" si="130"/>
        <v>-704.07</v>
      </c>
      <c r="Y282" s="194">
        <f t="shared" si="131"/>
        <v>0</v>
      </c>
      <c r="Z282" s="13">
        <f t="shared" si="132"/>
        <v>0</v>
      </c>
      <c r="AA282" s="13">
        <f t="shared" si="133"/>
        <v>0</v>
      </c>
      <c r="AB282" s="13">
        <f t="shared" si="134"/>
        <v>0</v>
      </c>
      <c r="AC282" s="13">
        <f t="shared" si="135"/>
        <v>0</v>
      </c>
      <c r="AD282" s="13">
        <f t="shared" si="136"/>
        <v>0</v>
      </c>
      <c r="AE282" s="13">
        <f t="shared" si="137"/>
        <v>0</v>
      </c>
      <c r="AF282" s="13">
        <f t="shared" si="138"/>
        <v>0</v>
      </c>
      <c r="AG282" s="685">
        <f t="shared" si="139"/>
        <v>0</v>
      </c>
      <c r="AH282" s="688" t="b">
        <f t="shared" si="140"/>
        <v>1</v>
      </c>
    </row>
    <row r="283" spans="1:34" s="1" customFormat="1" ht="15" customHeight="1">
      <c r="A283" s="946">
        <v>10920011</v>
      </c>
      <c r="B283" s="946" t="s">
        <v>1286</v>
      </c>
      <c r="C283" s="946" t="s">
        <v>1320</v>
      </c>
      <c r="D283" s="946">
        <v>100000001</v>
      </c>
      <c r="E283" s="946" t="s">
        <v>33</v>
      </c>
      <c r="F283" s="946" t="s">
        <v>11</v>
      </c>
      <c r="G283" s="947">
        <v>-9</v>
      </c>
      <c r="H283" s="947">
        <v>-9</v>
      </c>
      <c r="I283" s="948"/>
      <c r="J283" s="948"/>
      <c r="K283" s="948"/>
      <c r="L283" s="29" t="e">
        <f>VLOOKUP(A283,'Account Mapping'!$A$2:$E$216,3,0)</f>
        <v>#N/A</v>
      </c>
      <c r="M283" s="25" t="e">
        <f>VLOOKUP(A283,'Account Mapping'!$A$2:$E$216,4,0)</f>
        <v>#N/A</v>
      </c>
      <c r="N283" s="26" t="e">
        <f>IF(OR(C283='Account Mapping'!$H$4,C283='Account Mapping'!$H$5,C283='Account Mapping'!$H$6),'Account Mapping'!$I$4,VLOOKUP(A283,'Account Mapping'!$A$2:$E$216,5,0))</f>
        <v>#N/A</v>
      </c>
      <c r="O283" s="27" t="e">
        <f>IF(OR(L283="Loan",L283="Deposit_Liability",L283="OFF_Unused Loan Commitment",L283="HQLA"),VLOOKUP(D283,'Customer Type'!$A$3:$C$38,3,0),"")</f>
        <v>#N/A</v>
      </c>
      <c r="P283" s="656" t="e">
        <f t="shared" si="128"/>
        <v>#N/A</v>
      </c>
      <c r="Q283" s="658">
        <f>IF(COUNTIF('Account Mapping'!$H$12:$H$45,A283)&gt;0,-H283,H283)</f>
        <v>-9</v>
      </c>
      <c r="R283" s="249" t="e">
        <f>VLOOKUP(P283,Assumptions!$C$2:$D$64,2,0)</f>
        <v>#N/A</v>
      </c>
      <c r="S283" s="692" t="str">
        <f>IFERROR(VLOOKUP(A283,'Maturity Adjustment'!$A$3:$C$81,3,0),(IF(J283&lt;$N$4,"Tomorrow",J283)))</f>
        <v>Tomorrow</v>
      </c>
      <c r="T283" s="24">
        <f t="shared" si="127"/>
        <v>1</v>
      </c>
      <c r="U283" s="196" t="e">
        <f t="shared" si="129"/>
        <v>#N/A</v>
      </c>
      <c r="V283" s="11" t="str">
        <f>IFERROR(VLOOKUP(A283,'Maturity Adjustment'!$A$86:$C$91,3,0),S283)</f>
        <v>Tomorrow</v>
      </c>
      <c r="W283" s="207" t="e">
        <f>VLOOKUP(A283,'Account Mapping'!$A$2:$F$216,6,0)</f>
        <v>#N/A</v>
      </c>
      <c r="X283" s="194">
        <f t="shared" si="130"/>
        <v>-9</v>
      </c>
      <c r="Y283" s="194">
        <f t="shared" si="131"/>
        <v>0</v>
      </c>
      <c r="Z283" s="13">
        <f t="shared" si="132"/>
        <v>0</v>
      </c>
      <c r="AA283" s="13">
        <f t="shared" si="133"/>
        <v>0</v>
      </c>
      <c r="AB283" s="13">
        <f t="shared" si="134"/>
        <v>0</v>
      </c>
      <c r="AC283" s="13">
        <f t="shared" si="135"/>
        <v>0</v>
      </c>
      <c r="AD283" s="13">
        <f t="shared" si="136"/>
        <v>0</v>
      </c>
      <c r="AE283" s="13">
        <f t="shared" si="137"/>
        <v>0</v>
      </c>
      <c r="AF283" s="13">
        <f t="shared" si="138"/>
        <v>0</v>
      </c>
      <c r="AG283" s="685">
        <f t="shared" si="139"/>
        <v>0</v>
      </c>
      <c r="AH283" s="688" t="b">
        <f t="shared" si="140"/>
        <v>1</v>
      </c>
    </row>
    <row r="284" spans="1:34" s="1" customFormat="1" ht="15" customHeight="1">
      <c r="A284" s="946">
        <v>10920011</v>
      </c>
      <c r="B284" s="946" t="s">
        <v>1286</v>
      </c>
      <c r="C284" s="946" t="s">
        <v>1321</v>
      </c>
      <c r="D284" s="946">
        <v>100000001</v>
      </c>
      <c r="E284" s="946" t="s">
        <v>33</v>
      </c>
      <c r="F284" s="946" t="s">
        <v>11</v>
      </c>
      <c r="G284" s="947">
        <v>143</v>
      </c>
      <c r="H284" s="947">
        <v>143</v>
      </c>
      <c r="I284" s="948"/>
      <c r="J284" s="948"/>
      <c r="K284" s="948"/>
      <c r="L284" s="29" t="e">
        <f>VLOOKUP(A284,'Account Mapping'!$A$2:$E$216,3,0)</f>
        <v>#N/A</v>
      </c>
      <c r="M284" s="25" t="e">
        <f>VLOOKUP(A284,'Account Mapping'!$A$2:$E$216,4,0)</f>
        <v>#N/A</v>
      </c>
      <c r="N284" s="26" t="e">
        <f>IF(OR(C284='Account Mapping'!$H$4,C284='Account Mapping'!$H$5,C284='Account Mapping'!$H$6),'Account Mapping'!$I$4,VLOOKUP(A284,'Account Mapping'!$A$2:$E$216,5,0))</f>
        <v>#N/A</v>
      </c>
      <c r="O284" s="27" t="e">
        <f>IF(OR(L284="Loan",L284="Deposit_Liability",L284="OFF_Unused Loan Commitment",L284="HQLA"),VLOOKUP(D284,'Customer Type'!$A$3:$C$38,3,0),"")</f>
        <v>#N/A</v>
      </c>
      <c r="P284" s="656" t="e">
        <f t="shared" si="128"/>
        <v>#N/A</v>
      </c>
      <c r="Q284" s="658">
        <f>IF(COUNTIF('Account Mapping'!$H$12:$H$45,A284)&gt;0,-H284,H284)</f>
        <v>143</v>
      </c>
      <c r="R284" s="249" t="e">
        <f>VLOOKUP(P284,Assumptions!$C$2:$D$64,2,0)</f>
        <v>#N/A</v>
      </c>
      <c r="S284" s="692" t="str">
        <f>IFERROR(VLOOKUP(A284,'Maturity Adjustment'!$A$3:$C$81,3,0),(IF(J284&lt;$N$4,"Tomorrow",J284)))</f>
        <v>Tomorrow</v>
      </c>
      <c r="T284" s="24">
        <f t="shared" si="127"/>
        <v>1</v>
      </c>
      <c r="U284" s="196" t="e">
        <f t="shared" si="129"/>
        <v>#N/A</v>
      </c>
      <c r="V284" s="11" t="str">
        <f>IFERROR(VLOOKUP(A284,'Maturity Adjustment'!$A$86:$C$91,3,0),S284)</f>
        <v>Tomorrow</v>
      </c>
      <c r="W284" s="207" t="e">
        <f>VLOOKUP(A284,'Account Mapping'!$A$2:$F$216,6,0)</f>
        <v>#N/A</v>
      </c>
      <c r="X284" s="194">
        <f t="shared" si="130"/>
        <v>143</v>
      </c>
      <c r="Y284" s="194">
        <f t="shared" si="131"/>
        <v>0</v>
      </c>
      <c r="Z284" s="13">
        <f t="shared" si="132"/>
        <v>0</v>
      </c>
      <c r="AA284" s="13">
        <f t="shared" si="133"/>
        <v>0</v>
      </c>
      <c r="AB284" s="13">
        <f t="shared" si="134"/>
        <v>0</v>
      </c>
      <c r="AC284" s="13">
        <f t="shared" si="135"/>
        <v>0</v>
      </c>
      <c r="AD284" s="13">
        <f t="shared" si="136"/>
        <v>0</v>
      </c>
      <c r="AE284" s="13">
        <f t="shared" si="137"/>
        <v>0</v>
      </c>
      <c r="AF284" s="13">
        <f t="shared" si="138"/>
        <v>0</v>
      </c>
      <c r="AG284" s="685">
        <f t="shared" si="139"/>
        <v>0</v>
      </c>
      <c r="AH284" s="688" t="b">
        <f t="shared" si="140"/>
        <v>1</v>
      </c>
    </row>
    <row r="285" spans="1:34" s="1" customFormat="1" ht="15" customHeight="1">
      <c r="A285" s="946">
        <v>10920011</v>
      </c>
      <c r="B285" s="946" t="s">
        <v>1286</v>
      </c>
      <c r="C285" s="946" t="s">
        <v>1322</v>
      </c>
      <c r="D285" s="946">
        <v>100000001</v>
      </c>
      <c r="E285" s="946" t="s">
        <v>33</v>
      </c>
      <c r="F285" s="946" t="s">
        <v>11</v>
      </c>
      <c r="G285" s="947">
        <v>-3277.3</v>
      </c>
      <c r="H285" s="947">
        <v>-3277.3</v>
      </c>
      <c r="I285" s="948"/>
      <c r="J285" s="948"/>
      <c r="K285" s="948"/>
      <c r="L285" s="29" t="e">
        <f>VLOOKUP(A285,'Account Mapping'!$A$2:$E$216,3,0)</f>
        <v>#N/A</v>
      </c>
      <c r="M285" s="25" t="e">
        <f>VLOOKUP(A285,'Account Mapping'!$A$2:$E$216,4,0)</f>
        <v>#N/A</v>
      </c>
      <c r="N285" s="26" t="e">
        <f>IF(OR(C285='Account Mapping'!$H$4,C285='Account Mapping'!$H$5,C285='Account Mapping'!$H$6),'Account Mapping'!$I$4,VLOOKUP(A285,'Account Mapping'!$A$2:$E$216,5,0))</f>
        <v>#N/A</v>
      </c>
      <c r="O285" s="27" t="e">
        <f>IF(OR(L285="Loan",L285="Deposit_Liability",L285="OFF_Unused Loan Commitment",L285="HQLA"),VLOOKUP(D285,'Customer Type'!$A$3:$C$38,3,0),"")</f>
        <v>#N/A</v>
      </c>
      <c r="P285" s="656" t="e">
        <f t="shared" si="128"/>
        <v>#N/A</v>
      </c>
      <c r="Q285" s="658">
        <f>IF(COUNTIF('Account Mapping'!$H$12:$H$45,A285)&gt;0,-H285,H285)</f>
        <v>-3277.3</v>
      </c>
      <c r="R285" s="249" t="e">
        <f>VLOOKUP(P285,Assumptions!$C$2:$D$64,2,0)</f>
        <v>#N/A</v>
      </c>
      <c r="S285" s="692" t="str">
        <f>IFERROR(VLOOKUP(A285,'Maturity Adjustment'!$A$3:$C$81,3,0),(IF(J285&lt;$N$4,"Tomorrow",J285)))</f>
        <v>Tomorrow</v>
      </c>
      <c r="T285" s="24">
        <f t="shared" si="127"/>
        <v>1</v>
      </c>
      <c r="U285" s="196" t="e">
        <f t="shared" si="129"/>
        <v>#N/A</v>
      </c>
      <c r="V285" s="11" t="str">
        <f>IFERROR(VLOOKUP(A285,'Maturity Adjustment'!$A$86:$C$91,3,0),S285)</f>
        <v>Tomorrow</v>
      </c>
      <c r="W285" s="207" t="e">
        <f>VLOOKUP(A285,'Account Mapping'!$A$2:$F$216,6,0)</f>
        <v>#N/A</v>
      </c>
      <c r="X285" s="194">
        <f t="shared" si="130"/>
        <v>-3277.3</v>
      </c>
      <c r="Y285" s="194">
        <f t="shared" si="131"/>
        <v>0</v>
      </c>
      <c r="Z285" s="13">
        <f t="shared" si="132"/>
        <v>0</v>
      </c>
      <c r="AA285" s="13">
        <f t="shared" si="133"/>
        <v>0</v>
      </c>
      <c r="AB285" s="13">
        <f t="shared" si="134"/>
        <v>0</v>
      </c>
      <c r="AC285" s="13">
        <f t="shared" si="135"/>
        <v>0</v>
      </c>
      <c r="AD285" s="13">
        <f t="shared" si="136"/>
        <v>0</v>
      </c>
      <c r="AE285" s="13">
        <f t="shared" si="137"/>
        <v>0</v>
      </c>
      <c r="AF285" s="13">
        <f t="shared" si="138"/>
        <v>0</v>
      </c>
      <c r="AG285" s="685">
        <f t="shared" si="139"/>
        <v>0</v>
      </c>
      <c r="AH285" s="688" t="b">
        <f t="shared" si="140"/>
        <v>1</v>
      </c>
    </row>
    <row r="286" spans="1:34" s="1" customFormat="1" ht="15" customHeight="1">
      <c r="A286" s="946">
        <v>10920011</v>
      </c>
      <c r="B286" s="946" t="s">
        <v>1286</v>
      </c>
      <c r="C286" s="946" t="s">
        <v>601</v>
      </c>
      <c r="D286" s="946">
        <v>100000001</v>
      </c>
      <c r="E286" s="946" t="s">
        <v>33</v>
      </c>
      <c r="F286" s="946" t="s">
        <v>11</v>
      </c>
      <c r="G286" s="947">
        <v>15681.52</v>
      </c>
      <c r="H286" s="947">
        <v>15681.52</v>
      </c>
      <c r="I286" s="948"/>
      <c r="J286" s="948"/>
      <c r="K286" s="948"/>
      <c r="L286" s="29" t="e">
        <f>VLOOKUP(A286,'Account Mapping'!$A$2:$E$216,3,0)</f>
        <v>#N/A</v>
      </c>
      <c r="M286" s="25" t="e">
        <f>VLOOKUP(A286,'Account Mapping'!$A$2:$E$216,4,0)</f>
        <v>#N/A</v>
      </c>
      <c r="N286" s="26" t="e">
        <f>IF(OR(C286='Account Mapping'!$H$4,C286='Account Mapping'!$H$5,C286='Account Mapping'!$H$6),'Account Mapping'!$I$4,VLOOKUP(A286,'Account Mapping'!$A$2:$E$216,5,0))</f>
        <v>#N/A</v>
      </c>
      <c r="O286" s="27" t="e">
        <f>IF(OR(L286="Loan",L286="Deposit_Liability",L286="OFF_Unused Loan Commitment",L286="HQLA"),VLOOKUP(D286,'Customer Type'!$A$3:$C$38,3,0),"")</f>
        <v>#N/A</v>
      </c>
      <c r="P286" s="656" t="e">
        <f t="shared" si="128"/>
        <v>#N/A</v>
      </c>
      <c r="Q286" s="658">
        <f>IF(COUNTIF('Account Mapping'!$H$12:$H$45,A286)&gt;0,-H286,H286)</f>
        <v>15681.52</v>
      </c>
      <c r="R286" s="249" t="e">
        <f>VLOOKUP(P286,Assumptions!$C$2:$D$64,2,0)</f>
        <v>#N/A</v>
      </c>
      <c r="S286" s="692" t="str">
        <f>IFERROR(VLOOKUP(A286,'Maturity Adjustment'!$A$3:$C$81,3,0),(IF(J286&lt;$N$4,"Tomorrow",J286)))</f>
        <v>Tomorrow</v>
      </c>
      <c r="T286" s="24">
        <f t="shared" si="127"/>
        <v>1</v>
      </c>
      <c r="U286" s="196" t="e">
        <f t="shared" si="129"/>
        <v>#N/A</v>
      </c>
      <c r="V286" s="11" t="str">
        <f>IFERROR(VLOOKUP(A286,'Maturity Adjustment'!$A$86:$C$91,3,0),S286)</f>
        <v>Tomorrow</v>
      </c>
      <c r="W286" s="207" t="e">
        <f>VLOOKUP(A286,'Account Mapping'!$A$2:$F$216,6,0)</f>
        <v>#N/A</v>
      </c>
      <c r="X286" s="194">
        <f t="shared" si="130"/>
        <v>15681.52</v>
      </c>
      <c r="Y286" s="194">
        <f t="shared" si="131"/>
        <v>0</v>
      </c>
      <c r="Z286" s="13">
        <f t="shared" si="132"/>
        <v>0</v>
      </c>
      <c r="AA286" s="13">
        <f t="shared" si="133"/>
        <v>0</v>
      </c>
      <c r="AB286" s="13">
        <f t="shared" si="134"/>
        <v>0</v>
      </c>
      <c r="AC286" s="13">
        <f t="shared" si="135"/>
        <v>0</v>
      </c>
      <c r="AD286" s="13">
        <f t="shared" si="136"/>
        <v>0</v>
      </c>
      <c r="AE286" s="13">
        <f t="shared" si="137"/>
        <v>0</v>
      </c>
      <c r="AF286" s="13">
        <f t="shared" si="138"/>
        <v>0</v>
      </c>
      <c r="AG286" s="685">
        <f t="shared" si="139"/>
        <v>0</v>
      </c>
      <c r="AH286" s="688" t="b">
        <f t="shared" si="140"/>
        <v>1</v>
      </c>
    </row>
    <row r="287" spans="1:34" s="1" customFormat="1" ht="14.45" customHeight="1">
      <c r="A287" s="946">
        <v>10920011</v>
      </c>
      <c r="B287" s="946" t="s">
        <v>1286</v>
      </c>
      <c r="C287" s="946" t="s">
        <v>1323</v>
      </c>
      <c r="D287" s="946">
        <v>100000001</v>
      </c>
      <c r="E287" s="946" t="s">
        <v>33</v>
      </c>
      <c r="F287" s="946" t="s">
        <v>11</v>
      </c>
      <c r="G287" s="947">
        <v>4214.3900000000003</v>
      </c>
      <c r="H287" s="947">
        <v>4214.3900000000003</v>
      </c>
      <c r="I287" s="948"/>
      <c r="J287" s="948"/>
      <c r="K287" s="948"/>
      <c r="L287" s="29" t="e">
        <f>VLOOKUP(A287,'Account Mapping'!$A$2:$E$216,3,0)</f>
        <v>#N/A</v>
      </c>
      <c r="M287" s="25" t="e">
        <f>VLOOKUP(A287,'Account Mapping'!$A$2:$E$216,4,0)</f>
        <v>#N/A</v>
      </c>
      <c r="N287" s="26" t="e">
        <f>IF(OR(C287='Account Mapping'!$H$4,C287='Account Mapping'!$H$5,C287='Account Mapping'!$H$6),'Account Mapping'!$I$4,VLOOKUP(A287,'Account Mapping'!$A$2:$E$216,5,0))</f>
        <v>#N/A</v>
      </c>
      <c r="O287" s="27" t="e">
        <f>IF(OR(L287="Loan",L287="Deposit_Liability",L287="OFF_Unused Loan Commitment",L287="HQLA"),VLOOKUP(D287,'Customer Type'!$A$3:$C$38,3,0),"")</f>
        <v>#N/A</v>
      </c>
      <c r="P287" s="656" t="e">
        <f t="shared" si="128"/>
        <v>#N/A</v>
      </c>
      <c r="Q287" s="658">
        <f>IF(COUNTIF('Account Mapping'!$H$12:$H$45,A287)&gt;0,-H287,H287)</f>
        <v>4214.3900000000003</v>
      </c>
      <c r="R287" s="249" t="e">
        <f>VLOOKUP(P287,Assumptions!$C$2:$D$64,2,0)</f>
        <v>#N/A</v>
      </c>
      <c r="S287" s="692" t="str">
        <f>IFERROR(VLOOKUP(A287,'Maturity Adjustment'!$A$3:$C$81,3,0),(IF(J287&lt;$N$4,"Tomorrow",J287)))</f>
        <v>Tomorrow</v>
      </c>
      <c r="T287" s="24">
        <f t="shared" si="127"/>
        <v>1</v>
      </c>
      <c r="U287" s="196" t="e">
        <f t="shared" si="129"/>
        <v>#N/A</v>
      </c>
      <c r="V287" s="11" t="str">
        <f>IFERROR(VLOOKUP(A287,'Maturity Adjustment'!$A$86:$C$91,3,0),S287)</f>
        <v>Tomorrow</v>
      </c>
      <c r="W287" s="207" t="e">
        <f>VLOOKUP(A287,'Account Mapping'!$A$2:$F$216,6,0)</f>
        <v>#N/A</v>
      </c>
      <c r="X287" s="194">
        <f t="shared" si="130"/>
        <v>4214.3900000000003</v>
      </c>
      <c r="Y287" s="194">
        <f t="shared" si="131"/>
        <v>0</v>
      </c>
      <c r="Z287" s="13">
        <f t="shared" si="132"/>
        <v>0</v>
      </c>
      <c r="AA287" s="13">
        <f t="shared" si="133"/>
        <v>0</v>
      </c>
      <c r="AB287" s="13">
        <f t="shared" si="134"/>
        <v>0</v>
      </c>
      <c r="AC287" s="13">
        <f t="shared" si="135"/>
        <v>0</v>
      </c>
      <c r="AD287" s="13">
        <f t="shared" si="136"/>
        <v>0</v>
      </c>
      <c r="AE287" s="13">
        <f t="shared" si="137"/>
        <v>0</v>
      </c>
      <c r="AF287" s="13">
        <f t="shared" si="138"/>
        <v>0</v>
      </c>
      <c r="AG287" s="685">
        <f t="shared" si="139"/>
        <v>0</v>
      </c>
      <c r="AH287" s="688" t="b">
        <f t="shared" si="140"/>
        <v>1</v>
      </c>
    </row>
    <row r="288" spans="1:34" s="1" customFormat="1" ht="15" customHeight="1">
      <c r="A288" s="946">
        <v>10920011</v>
      </c>
      <c r="B288" s="946" t="s">
        <v>1286</v>
      </c>
      <c r="C288" s="946" t="s">
        <v>602</v>
      </c>
      <c r="D288" s="946">
        <v>100000001</v>
      </c>
      <c r="E288" s="946" t="s">
        <v>33</v>
      </c>
      <c r="F288" s="946" t="s">
        <v>11</v>
      </c>
      <c r="G288" s="947">
        <v>-83824.42</v>
      </c>
      <c r="H288" s="947">
        <v>-83824.42</v>
      </c>
      <c r="I288" s="948"/>
      <c r="J288" s="948"/>
      <c r="K288" s="948"/>
      <c r="L288" s="29" t="e">
        <f>VLOOKUP(A288,'Account Mapping'!$A$2:$E$216,3,0)</f>
        <v>#N/A</v>
      </c>
      <c r="M288" s="25" t="e">
        <f>VLOOKUP(A288,'Account Mapping'!$A$2:$E$216,4,0)</f>
        <v>#N/A</v>
      </c>
      <c r="N288" s="26" t="e">
        <f>IF(OR(C288='Account Mapping'!$H$4,C288='Account Mapping'!$H$5,C288='Account Mapping'!$H$6),'Account Mapping'!$I$4,VLOOKUP(A288,'Account Mapping'!$A$2:$E$216,5,0))</f>
        <v>#N/A</v>
      </c>
      <c r="O288" s="27" t="e">
        <f>IF(OR(L288="Loan",L288="Deposit_Liability",L288="OFF_Unused Loan Commitment",L288="HQLA"),VLOOKUP(D288,'Customer Type'!$A$3:$C$38,3,0),"")</f>
        <v>#N/A</v>
      </c>
      <c r="P288" s="656" t="e">
        <f t="shared" si="128"/>
        <v>#N/A</v>
      </c>
      <c r="Q288" s="658">
        <f>IF(COUNTIF('Account Mapping'!$H$12:$H$45,A288)&gt;0,-H288,H288)</f>
        <v>-83824.42</v>
      </c>
      <c r="R288" s="249" t="e">
        <f>VLOOKUP(P288,Assumptions!$C$2:$D$64,2,0)</f>
        <v>#N/A</v>
      </c>
      <c r="S288" s="692" t="str">
        <f>IFERROR(VLOOKUP(A288,'Maturity Adjustment'!$A$3:$C$81,3,0),(IF(J288&lt;$N$4,"Tomorrow",J288)))</f>
        <v>Tomorrow</v>
      </c>
      <c r="T288" s="24">
        <f t="shared" si="127"/>
        <v>1</v>
      </c>
      <c r="U288" s="196" t="e">
        <f t="shared" si="129"/>
        <v>#N/A</v>
      </c>
      <c r="V288" s="11" t="str">
        <f>IFERROR(VLOOKUP(A288,'Maturity Adjustment'!$A$86:$C$91,3,0),S288)</f>
        <v>Tomorrow</v>
      </c>
      <c r="W288" s="207" t="e">
        <f>VLOOKUP(A288,'Account Mapping'!$A$2:$F$216,6,0)</f>
        <v>#N/A</v>
      </c>
      <c r="X288" s="194">
        <f t="shared" si="130"/>
        <v>-83824.42</v>
      </c>
      <c r="Y288" s="194">
        <f t="shared" si="131"/>
        <v>0</v>
      </c>
      <c r="Z288" s="13">
        <f t="shared" si="132"/>
        <v>0</v>
      </c>
      <c r="AA288" s="13">
        <f t="shared" si="133"/>
        <v>0</v>
      </c>
      <c r="AB288" s="13">
        <f t="shared" si="134"/>
        <v>0</v>
      </c>
      <c r="AC288" s="13">
        <f t="shared" si="135"/>
        <v>0</v>
      </c>
      <c r="AD288" s="13">
        <f t="shared" si="136"/>
        <v>0</v>
      </c>
      <c r="AE288" s="13">
        <f t="shared" si="137"/>
        <v>0</v>
      </c>
      <c r="AF288" s="13">
        <f t="shared" si="138"/>
        <v>0</v>
      </c>
      <c r="AG288" s="685">
        <f t="shared" si="139"/>
        <v>0</v>
      </c>
      <c r="AH288" s="688" t="b">
        <f t="shared" si="140"/>
        <v>1</v>
      </c>
    </row>
    <row r="289" spans="1:34" s="1" customFormat="1" ht="15" customHeight="1">
      <c r="A289" s="946">
        <v>10920011</v>
      </c>
      <c r="B289" s="946" t="s">
        <v>1286</v>
      </c>
      <c r="C289" s="946" t="s">
        <v>602</v>
      </c>
      <c r="D289" s="946">
        <v>100000001</v>
      </c>
      <c r="E289" s="946" t="s">
        <v>33</v>
      </c>
      <c r="F289" s="946" t="s">
        <v>11</v>
      </c>
      <c r="G289" s="947">
        <v>514.58000000000004</v>
      </c>
      <c r="H289" s="947">
        <v>514.58000000000004</v>
      </c>
      <c r="I289" s="948"/>
      <c r="J289" s="948"/>
      <c r="K289" s="948"/>
      <c r="L289" s="29" t="e">
        <f>VLOOKUP(A289,'Account Mapping'!$A$2:$E$216,3,0)</f>
        <v>#N/A</v>
      </c>
      <c r="M289" s="25" t="e">
        <f>VLOOKUP(A289,'Account Mapping'!$A$2:$E$216,4,0)</f>
        <v>#N/A</v>
      </c>
      <c r="N289" s="26" t="e">
        <f>IF(OR(C289='Account Mapping'!$H$4,C289='Account Mapping'!$H$5,C289='Account Mapping'!$H$6),'Account Mapping'!$I$4,VLOOKUP(A289,'Account Mapping'!$A$2:$E$216,5,0))</f>
        <v>#N/A</v>
      </c>
      <c r="O289" s="27" t="e">
        <f>IF(OR(L289="Loan",L289="Deposit_Liability",L289="OFF_Unused Loan Commitment",L289="HQLA"),VLOOKUP(D289,'Customer Type'!$A$3:$C$38,3,0),"")</f>
        <v>#N/A</v>
      </c>
      <c r="P289" s="656" t="e">
        <f t="shared" si="128"/>
        <v>#N/A</v>
      </c>
      <c r="Q289" s="658">
        <f>IF(COUNTIF('Account Mapping'!$H$12:$H$45,A289)&gt;0,-H289,H289)</f>
        <v>514.58000000000004</v>
      </c>
      <c r="R289" s="249" t="e">
        <f>VLOOKUP(P289,Assumptions!$C$2:$D$64,2,0)</f>
        <v>#N/A</v>
      </c>
      <c r="S289" s="692" t="str">
        <f>IFERROR(VLOOKUP(A289,'Maturity Adjustment'!$A$3:$C$81,3,0),(IF(J289&lt;$N$4,"Tomorrow",J289)))</f>
        <v>Tomorrow</v>
      </c>
      <c r="T289" s="24">
        <f t="shared" si="127"/>
        <v>1</v>
      </c>
      <c r="U289" s="196" t="e">
        <f t="shared" si="129"/>
        <v>#N/A</v>
      </c>
      <c r="V289" s="11" t="str">
        <f>IFERROR(VLOOKUP(A289,'Maturity Adjustment'!$A$86:$C$91,3,0),S289)</f>
        <v>Tomorrow</v>
      </c>
      <c r="W289" s="207" t="e">
        <f>VLOOKUP(A289,'Account Mapping'!$A$2:$F$216,6,0)</f>
        <v>#N/A</v>
      </c>
      <c r="X289" s="194">
        <f t="shared" si="130"/>
        <v>514.58000000000004</v>
      </c>
      <c r="Y289" s="194">
        <f t="shared" si="131"/>
        <v>0</v>
      </c>
      <c r="Z289" s="13">
        <f t="shared" si="132"/>
        <v>0</v>
      </c>
      <c r="AA289" s="13">
        <f t="shared" si="133"/>
        <v>0</v>
      </c>
      <c r="AB289" s="13">
        <f t="shared" si="134"/>
        <v>0</v>
      </c>
      <c r="AC289" s="13">
        <f t="shared" si="135"/>
        <v>0</v>
      </c>
      <c r="AD289" s="13">
        <f t="shared" si="136"/>
        <v>0</v>
      </c>
      <c r="AE289" s="13">
        <f t="shared" si="137"/>
        <v>0</v>
      </c>
      <c r="AF289" s="13">
        <f t="shared" si="138"/>
        <v>0</v>
      </c>
      <c r="AG289" s="685">
        <f t="shared" si="139"/>
        <v>0</v>
      </c>
      <c r="AH289" s="688" t="b">
        <f t="shared" si="140"/>
        <v>1</v>
      </c>
    </row>
    <row r="290" spans="1:34" s="1" customFormat="1" ht="15" customHeight="1">
      <c r="A290" s="946">
        <v>10920011</v>
      </c>
      <c r="B290" s="946" t="s">
        <v>1286</v>
      </c>
      <c r="C290" s="946" t="s">
        <v>602</v>
      </c>
      <c r="D290" s="946">
        <v>100000001</v>
      </c>
      <c r="E290" s="946" t="s">
        <v>33</v>
      </c>
      <c r="F290" s="946" t="s">
        <v>11</v>
      </c>
      <c r="G290" s="947">
        <v>36297.01</v>
      </c>
      <c r="H290" s="947">
        <v>36297.01</v>
      </c>
      <c r="I290" s="948"/>
      <c r="J290" s="948"/>
      <c r="K290" s="948"/>
      <c r="L290" s="29" t="e">
        <f>VLOOKUP(A290,'Account Mapping'!$A$2:$E$216,3,0)</f>
        <v>#N/A</v>
      </c>
      <c r="M290" s="25" t="e">
        <f>VLOOKUP(A290,'Account Mapping'!$A$2:$E$216,4,0)</f>
        <v>#N/A</v>
      </c>
      <c r="N290" s="26" t="e">
        <f>IF(OR(C290='Account Mapping'!$H$4,C290='Account Mapping'!$H$5,C290='Account Mapping'!$H$6),'Account Mapping'!$I$4,VLOOKUP(A290,'Account Mapping'!$A$2:$E$216,5,0))</f>
        <v>#N/A</v>
      </c>
      <c r="O290" s="27" t="e">
        <f>IF(OR(L290="Loan",L290="Deposit_Liability",L290="OFF_Unused Loan Commitment",L290="HQLA"),VLOOKUP(D290,'Customer Type'!$A$3:$C$38,3,0),"")</f>
        <v>#N/A</v>
      </c>
      <c r="P290" s="656" t="e">
        <f t="shared" si="128"/>
        <v>#N/A</v>
      </c>
      <c r="Q290" s="658">
        <f>IF(COUNTIF('Account Mapping'!$H$12:$H$45,A290)&gt;0,-H290,H290)</f>
        <v>36297.01</v>
      </c>
      <c r="R290" s="249" t="e">
        <f>VLOOKUP(P290,Assumptions!$C$2:$D$64,2,0)</f>
        <v>#N/A</v>
      </c>
      <c r="S290" s="692" t="str">
        <f>IFERROR(VLOOKUP(A290,'Maturity Adjustment'!$A$3:$C$81,3,0),(IF(J290&lt;$N$4,"Tomorrow",J290)))</f>
        <v>Tomorrow</v>
      </c>
      <c r="T290" s="24">
        <f t="shared" si="127"/>
        <v>1</v>
      </c>
      <c r="U290" s="196" t="e">
        <f t="shared" si="129"/>
        <v>#N/A</v>
      </c>
      <c r="V290" s="11" t="str">
        <f>IFERROR(VLOOKUP(A290,'Maturity Adjustment'!$A$86:$C$91,3,0),S290)</f>
        <v>Tomorrow</v>
      </c>
      <c r="W290" s="207" t="e">
        <f>VLOOKUP(A290,'Account Mapping'!$A$2:$F$216,6,0)</f>
        <v>#N/A</v>
      </c>
      <c r="X290" s="194">
        <f t="shared" si="130"/>
        <v>36297.01</v>
      </c>
      <c r="Y290" s="194">
        <f t="shared" si="131"/>
        <v>0</v>
      </c>
      <c r="Z290" s="13">
        <f t="shared" si="132"/>
        <v>0</v>
      </c>
      <c r="AA290" s="13">
        <f t="shared" si="133"/>
        <v>0</v>
      </c>
      <c r="AB290" s="13">
        <f t="shared" si="134"/>
        <v>0</v>
      </c>
      <c r="AC290" s="13">
        <f t="shared" si="135"/>
        <v>0</v>
      </c>
      <c r="AD290" s="13">
        <f t="shared" si="136"/>
        <v>0</v>
      </c>
      <c r="AE290" s="13">
        <f t="shared" si="137"/>
        <v>0</v>
      </c>
      <c r="AF290" s="13">
        <f t="shared" si="138"/>
        <v>0</v>
      </c>
      <c r="AG290" s="685">
        <f t="shared" si="139"/>
        <v>0</v>
      </c>
      <c r="AH290" s="688" t="b">
        <f t="shared" si="140"/>
        <v>1</v>
      </c>
    </row>
    <row r="291" spans="1:34" s="1" customFormat="1" ht="15" customHeight="1">
      <c r="A291" s="946">
        <v>10920011</v>
      </c>
      <c r="B291" s="946" t="s">
        <v>1286</v>
      </c>
      <c r="C291" s="946" t="s">
        <v>1324</v>
      </c>
      <c r="D291" s="946">
        <v>100000001</v>
      </c>
      <c r="E291" s="946" t="s">
        <v>33</v>
      </c>
      <c r="F291" s="946" t="s">
        <v>11</v>
      </c>
      <c r="G291" s="947">
        <v>25.71</v>
      </c>
      <c r="H291" s="947">
        <v>25.71</v>
      </c>
      <c r="I291" s="948"/>
      <c r="J291" s="948"/>
      <c r="K291" s="948"/>
      <c r="L291" s="29" t="e">
        <f>VLOOKUP(A291,'Account Mapping'!$A$2:$E$216,3,0)</f>
        <v>#N/A</v>
      </c>
      <c r="M291" s="25" t="e">
        <f>VLOOKUP(A291,'Account Mapping'!$A$2:$E$216,4,0)</f>
        <v>#N/A</v>
      </c>
      <c r="N291" s="26" t="e">
        <f>IF(OR(C291='Account Mapping'!$H$4,C291='Account Mapping'!$H$5,C291='Account Mapping'!$H$6),'Account Mapping'!$I$4,VLOOKUP(A291,'Account Mapping'!$A$2:$E$216,5,0))</f>
        <v>#N/A</v>
      </c>
      <c r="O291" s="27" t="e">
        <f>IF(OR(L291="Loan",L291="Deposit_Liability",L291="OFF_Unused Loan Commitment",L291="HQLA"),VLOOKUP(D291,'Customer Type'!$A$3:$C$38,3,0),"")</f>
        <v>#N/A</v>
      </c>
      <c r="P291" s="656" t="e">
        <f t="shared" si="128"/>
        <v>#N/A</v>
      </c>
      <c r="Q291" s="658">
        <f>IF(COUNTIF('Account Mapping'!$H$12:$H$45,A291)&gt;0,-H291,H291)</f>
        <v>25.71</v>
      </c>
      <c r="R291" s="249" t="e">
        <f>VLOOKUP(P291,Assumptions!$C$2:$D$64,2,0)</f>
        <v>#N/A</v>
      </c>
      <c r="S291" s="692" t="str">
        <f>IFERROR(VLOOKUP(A291,'Maturity Adjustment'!$A$3:$C$81,3,0),(IF(J291&lt;$N$4,"Tomorrow",J291)))</f>
        <v>Tomorrow</v>
      </c>
      <c r="T291" s="24">
        <f t="shared" si="127"/>
        <v>1</v>
      </c>
      <c r="U291" s="196" t="e">
        <f t="shared" si="129"/>
        <v>#N/A</v>
      </c>
      <c r="V291" s="11" t="str">
        <f>IFERROR(VLOOKUP(A291,'Maturity Adjustment'!$A$86:$C$91,3,0),S291)</f>
        <v>Tomorrow</v>
      </c>
      <c r="W291" s="207" t="e">
        <f>VLOOKUP(A291,'Account Mapping'!$A$2:$F$216,6,0)</f>
        <v>#N/A</v>
      </c>
      <c r="X291" s="194">
        <f t="shared" si="130"/>
        <v>25.71</v>
      </c>
      <c r="Y291" s="194">
        <f t="shared" si="131"/>
        <v>0</v>
      </c>
      <c r="Z291" s="13">
        <f t="shared" si="132"/>
        <v>0</v>
      </c>
      <c r="AA291" s="13">
        <f t="shared" si="133"/>
        <v>0</v>
      </c>
      <c r="AB291" s="13">
        <f t="shared" si="134"/>
        <v>0</v>
      </c>
      <c r="AC291" s="13">
        <f t="shared" si="135"/>
        <v>0</v>
      </c>
      <c r="AD291" s="13">
        <f t="shared" si="136"/>
        <v>0</v>
      </c>
      <c r="AE291" s="13">
        <f t="shared" si="137"/>
        <v>0</v>
      </c>
      <c r="AF291" s="13">
        <f t="shared" si="138"/>
        <v>0</v>
      </c>
      <c r="AG291" s="685">
        <f t="shared" si="139"/>
        <v>0</v>
      </c>
      <c r="AH291" s="688" t="b">
        <f t="shared" si="140"/>
        <v>1</v>
      </c>
    </row>
    <row r="292" spans="1:34" s="830" customFormat="1" ht="15" customHeight="1">
      <c r="A292" s="946">
        <v>10999002</v>
      </c>
      <c r="B292" s="946" t="s">
        <v>1559</v>
      </c>
      <c r="C292" s="946" t="s">
        <v>1560</v>
      </c>
      <c r="D292" s="946">
        <v>100000001</v>
      </c>
      <c r="E292" s="946" t="s">
        <v>33</v>
      </c>
      <c r="F292" s="946" t="s">
        <v>11</v>
      </c>
      <c r="G292" s="947">
        <v>4140</v>
      </c>
      <c r="H292" s="947">
        <v>4140</v>
      </c>
      <c r="I292" s="948"/>
      <c r="J292" s="948"/>
      <c r="K292" s="948"/>
      <c r="L292" s="29" t="e">
        <f>VLOOKUP(A292,'Account Mapping'!$A$2:$E$216,3,0)</f>
        <v>#N/A</v>
      </c>
      <c r="M292" s="25" t="e">
        <f>VLOOKUP(A292,'Account Mapping'!$A$2:$E$216,4,0)</f>
        <v>#N/A</v>
      </c>
      <c r="N292" s="26" t="e">
        <f>IF(OR(C292='Account Mapping'!$H$4,C292='Account Mapping'!$H$5,C292='Account Mapping'!$H$6),'Account Mapping'!$I$4,VLOOKUP(A292,'Account Mapping'!$A$2:$E$216,5,0))</f>
        <v>#N/A</v>
      </c>
      <c r="O292" s="27" t="e">
        <f>IF(OR(L292="Loan",L292="Deposit_Liability",L292="OFF_Unused Loan Commitment",L292="HQLA"),VLOOKUP(D292,'Customer Type'!$A$3:$C$38,3,0),"")</f>
        <v>#N/A</v>
      </c>
      <c r="P292" s="656" t="e">
        <f t="shared" si="128"/>
        <v>#N/A</v>
      </c>
      <c r="Q292" s="658">
        <f>IF(COUNTIF('Account Mapping'!$H$12:$H$45,A292)&gt;0,-H292,H292)</f>
        <v>4140</v>
      </c>
      <c r="R292" s="249" t="e">
        <f>VLOOKUP(P292,Assumptions!$C$2:$D$64,2,0)</f>
        <v>#N/A</v>
      </c>
      <c r="S292" s="692" t="str">
        <f>IFERROR(VLOOKUP(A292,'Maturity Adjustment'!$A$3:$C$81,3,0),(IF(J292&lt;$N$4,"Tomorrow",J292)))</f>
        <v>Tomorrow</v>
      </c>
      <c r="T292" s="24">
        <f t="shared" si="127"/>
        <v>1</v>
      </c>
      <c r="U292" s="196" t="e">
        <f t="shared" si="129"/>
        <v>#N/A</v>
      </c>
      <c r="V292" s="11" t="str">
        <f>IFERROR(VLOOKUP(A292,'Maturity Adjustment'!$A$86:$C$91,3,0),S292)</f>
        <v>Tomorrow</v>
      </c>
      <c r="W292" s="207" t="e">
        <f>VLOOKUP(A292,'Account Mapping'!$A$2:$F$216,6,0)</f>
        <v>#N/A</v>
      </c>
      <c r="X292" s="194">
        <f t="shared" si="130"/>
        <v>4140</v>
      </c>
      <c r="Y292" s="194">
        <f t="shared" si="131"/>
        <v>0</v>
      </c>
      <c r="Z292" s="13">
        <f t="shared" si="132"/>
        <v>0</v>
      </c>
      <c r="AA292" s="13">
        <f t="shared" si="133"/>
        <v>0</v>
      </c>
      <c r="AB292" s="13">
        <f t="shared" si="134"/>
        <v>0</v>
      </c>
      <c r="AC292" s="13">
        <f t="shared" si="135"/>
        <v>0</v>
      </c>
      <c r="AD292" s="13">
        <f t="shared" si="136"/>
        <v>0</v>
      </c>
      <c r="AE292" s="13">
        <f t="shared" si="137"/>
        <v>0</v>
      </c>
      <c r="AF292" s="13">
        <f t="shared" si="138"/>
        <v>0</v>
      </c>
      <c r="AG292" s="685">
        <f t="shared" si="139"/>
        <v>0</v>
      </c>
      <c r="AH292" s="688" t="b">
        <f t="shared" si="140"/>
        <v>1</v>
      </c>
    </row>
    <row r="293" spans="1:34" s="1" customFormat="1" ht="15" customHeight="1">
      <c r="A293" s="946">
        <v>10999002</v>
      </c>
      <c r="B293" s="946" t="s">
        <v>1559</v>
      </c>
      <c r="C293" s="946" t="s">
        <v>1574</v>
      </c>
      <c r="D293" s="946">
        <v>100000001</v>
      </c>
      <c r="E293" s="946" t="s">
        <v>33</v>
      </c>
      <c r="F293" s="946" t="s">
        <v>11</v>
      </c>
      <c r="G293" s="947">
        <v>4600</v>
      </c>
      <c r="H293" s="947">
        <v>4600</v>
      </c>
      <c r="I293" s="948"/>
      <c r="J293" s="948"/>
      <c r="K293" s="948"/>
      <c r="L293" s="29" t="e">
        <f>VLOOKUP(A293,'Account Mapping'!$A$2:$E$216,3,0)</f>
        <v>#N/A</v>
      </c>
      <c r="M293" s="25" t="e">
        <f>VLOOKUP(A293,'Account Mapping'!$A$2:$E$216,4,0)</f>
        <v>#N/A</v>
      </c>
      <c r="N293" s="26" t="e">
        <f>IF(OR(C293='Account Mapping'!$H$4,C293='Account Mapping'!$H$5,C293='Account Mapping'!$H$6),'Account Mapping'!$I$4,VLOOKUP(A293,'Account Mapping'!$A$2:$E$216,5,0))</f>
        <v>#N/A</v>
      </c>
      <c r="O293" s="27" t="e">
        <f>IF(OR(L293="Loan",L293="Deposit_Liability",L293="OFF_Unused Loan Commitment",L293="HQLA"),VLOOKUP(D293,'Customer Type'!$A$3:$C$38,3,0),"")</f>
        <v>#N/A</v>
      </c>
      <c r="P293" s="656" t="e">
        <f t="shared" si="128"/>
        <v>#N/A</v>
      </c>
      <c r="Q293" s="658">
        <f>IF(COUNTIF('Account Mapping'!$H$12:$H$45,A293)&gt;0,-H293,H293)</f>
        <v>4600</v>
      </c>
      <c r="R293" s="249" t="e">
        <f>VLOOKUP(P293,Assumptions!$C$2:$D$64,2,0)</f>
        <v>#N/A</v>
      </c>
      <c r="S293" s="692" t="str">
        <f>IFERROR(VLOOKUP(A293,'Maturity Adjustment'!$A$3:$C$81,3,0),(IF(J293&lt;$N$4,"Tomorrow",J293)))</f>
        <v>Tomorrow</v>
      </c>
      <c r="T293" s="24">
        <f t="shared" si="127"/>
        <v>1</v>
      </c>
      <c r="U293" s="196" t="e">
        <f t="shared" si="129"/>
        <v>#N/A</v>
      </c>
      <c r="V293" s="11" t="str">
        <f>IFERROR(VLOOKUP(A293,'Maturity Adjustment'!$A$86:$C$91,3,0),S293)</f>
        <v>Tomorrow</v>
      </c>
      <c r="W293" s="207" t="e">
        <f>VLOOKUP(A293,'Account Mapping'!$A$2:$F$216,6,0)</f>
        <v>#N/A</v>
      </c>
      <c r="X293" s="194">
        <f t="shared" si="130"/>
        <v>4600</v>
      </c>
      <c r="Y293" s="194">
        <f t="shared" si="131"/>
        <v>0</v>
      </c>
      <c r="Z293" s="13">
        <f t="shared" si="132"/>
        <v>0</v>
      </c>
      <c r="AA293" s="13">
        <f t="shared" si="133"/>
        <v>0</v>
      </c>
      <c r="AB293" s="13">
        <f t="shared" si="134"/>
        <v>0</v>
      </c>
      <c r="AC293" s="13">
        <f t="shared" si="135"/>
        <v>0</v>
      </c>
      <c r="AD293" s="13">
        <f t="shared" si="136"/>
        <v>0</v>
      </c>
      <c r="AE293" s="13">
        <f t="shared" si="137"/>
        <v>0</v>
      </c>
      <c r="AF293" s="13">
        <f t="shared" si="138"/>
        <v>0</v>
      </c>
      <c r="AG293" s="685">
        <f t="shared" si="139"/>
        <v>0</v>
      </c>
      <c r="AH293" s="688" t="b">
        <f t="shared" si="140"/>
        <v>1</v>
      </c>
    </row>
    <row r="294" spans="1:34" s="1" customFormat="1" ht="15" customHeight="1">
      <c r="A294" s="946">
        <v>12110002</v>
      </c>
      <c r="B294" s="946" t="s">
        <v>603</v>
      </c>
      <c r="C294" s="946" t="s">
        <v>604</v>
      </c>
      <c r="D294" s="946">
        <v>100000001</v>
      </c>
      <c r="E294" s="946" t="s">
        <v>33</v>
      </c>
      <c r="F294" s="946" t="s">
        <v>11</v>
      </c>
      <c r="G294" s="947">
        <v>2512.96</v>
      </c>
      <c r="H294" s="947">
        <v>2512.96</v>
      </c>
      <c r="I294" s="948">
        <v>44621</v>
      </c>
      <c r="J294" s="948">
        <v>45961</v>
      </c>
      <c r="K294" s="948"/>
      <c r="L294" s="29" t="e">
        <f>VLOOKUP(A294,'Account Mapping'!$A$2:$E$216,3,0)</f>
        <v>#N/A</v>
      </c>
      <c r="M294" s="25" t="e">
        <f>VLOOKUP(A294,'Account Mapping'!$A$2:$E$216,4,0)</f>
        <v>#N/A</v>
      </c>
      <c r="N294" s="26" t="e">
        <f>IF(OR(C294='Account Mapping'!$H$4,C294='Account Mapping'!$H$5,C294='Account Mapping'!$H$6),'Account Mapping'!$I$4,VLOOKUP(A294,'Account Mapping'!$A$2:$E$216,5,0))</f>
        <v>#N/A</v>
      </c>
      <c r="O294" s="27" t="e">
        <f>IF(OR(L294="Loan",L294="Deposit_Liability",L294="OFF_Unused Loan Commitment",L294="HQLA"),VLOOKUP(D294,'Customer Type'!$A$3:$C$38,3,0),"")</f>
        <v>#N/A</v>
      </c>
      <c r="P294" s="656" t="e">
        <f t="shared" si="128"/>
        <v>#N/A</v>
      </c>
      <c r="Q294" s="658">
        <f>IF(COUNTIF('Account Mapping'!$H$12:$H$45,A294)&gt;0,-H294,H294)</f>
        <v>2512.96</v>
      </c>
      <c r="R294" s="249" t="e">
        <f>VLOOKUP(P294,Assumptions!$C$2:$D$64,2,0)</f>
        <v>#N/A</v>
      </c>
      <c r="S294" s="692" t="str">
        <f>IFERROR(VLOOKUP(A294,'Maturity Adjustment'!$A$3:$C$81,3,0),(IF(J294&lt;$N$4,"Tomorrow",J294)))</f>
        <v>Tomorrow</v>
      </c>
      <c r="T294" s="24">
        <f t="shared" si="127"/>
        <v>1</v>
      </c>
      <c r="U294" s="196" t="e">
        <f t="shared" si="129"/>
        <v>#N/A</v>
      </c>
      <c r="V294" s="11" t="str">
        <f>IFERROR(VLOOKUP(A294,'Maturity Adjustment'!$A$86:$C$91,3,0),S294)</f>
        <v>Tomorrow</v>
      </c>
      <c r="W294" s="207" t="e">
        <f>VLOOKUP(A294,'Account Mapping'!$A$2:$F$216,6,0)</f>
        <v>#N/A</v>
      </c>
      <c r="X294" s="194">
        <f t="shared" si="130"/>
        <v>2512.96</v>
      </c>
      <c r="Y294" s="194">
        <f t="shared" si="131"/>
        <v>0</v>
      </c>
      <c r="Z294" s="13">
        <f t="shared" si="132"/>
        <v>0</v>
      </c>
      <c r="AA294" s="13">
        <f t="shared" si="133"/>
        <v>0</v>
      </c>
      <c r="AB294" s="13">
        <f t="shared" si="134"/>
        <v>0</v>
      </c>
      <c r="AC294" s="13">
        <f t="shared" si="135"/>
        <v>0</v>
      </c>
      <c r="AD294" s="13">
        <f t="shared" si="136"/>
        <v>0</v>
      </c>
      <c r="AE294" s="13">
        <f t="shared" si="137"/>
        <v>0</v>
      </c>
      <c r="AF294" s="13">
        <f t="shared" si="138"/>
        <v>0</v>
      </c>
      <c r="AG294" s="685">
        <f t="shared" si="139"/>
        <v>0</v>
      </c>
      <c r="AH294" s="688" t="b">
        <f t="shared" si="140"/>
        <v>1</v>
      </c>
    </row>
    <row r="295" spans="1:34" s="1" customFormat="1" ht="15" customHeight="1">
      <c r="A295" s="946">
        <v>12110002</v>
      </c>
      <c r="B295" s="946" t="s">
        <v>603</v>
      </c>
      <c r="C295" s="946" t="s">
        <v>605</v>
      </c>
      <c r="D295" s="946">
        <v>100000001</v>
      </c>
      <c r="E295" s="946" t="s">
        <v>33</v>
      </c>
      <c r="F295" s="946" t="s">
        <v>11</v>
      </c>
      <c r="G295" s="947">
        <v>1396.32</v>
      </c>
      <c r="H295" s="947">
        <v>1396.32</v>
      </c>
      <c r="I295" s="948">
        <v>44621</v>
      </c>
      <c r="J295" s="948">
        <v>45961</v>
      </c>
      <c r="K295" s="948"/>
      <c r="L295" s="29" t="e">
        <f>VLOOKUP(A295,'Account Mapping'!$A$2:$E$216,3,0)</f>
        <v>#N/A</v>
      </c>
      <c r="M295" s="25" t="e">
        <f>VLOOKUP(A295,'Account Mapping'!$A$2:$E$216,4,0)</f>
        <v>#N/A</v>
      </c>
      <c r="N295" s="26" t="e">
        <f>IF(OR(C295='Account Mapping'!$H$4,C295='Account Mapping'!$H$5,C295='Account Mapping'!$H$6),'Account Mapping'!$I$4,VLOOKUP(A295,'Account Mapping'!$A$2:$E$216,5,0))</f>
        <v>#N/A</v>
      </c>
      <c r="O295" s="27" t="e">
        <f>IF(OR(L295="Loan",L295="Deposit_Liability",L295="OFF_Unused Loan Commitment",L295="HQLA"),VLOOKUP(D295,'Customer Type'!$A$3:$C$38,3,0),"")</f>
        <v>#N/A</v>
      </c>
      <c r="P295" s="656" t="e">
        <f t="shared" si="128"/>
        <v>#N/A</v>
      </c>
      <c r="Q295" s="658">
        <f>IF(COUNTIF('Account Mapping'!$H$12:$H$45,A295)&gt;0,-H295,H295)</f>
        <v>1396.32</v>
      </c>
      <c r="R295" s="249" t="e">
        <f>VLOOKUP(P295,Assumptions!$C$2:$D$64,2,0)</f>
        <v>#N/A</v>
      </c>
      <c r="S295" s="692" t="str">
        <f>IFERROR(VLOOKUP(A295,'Maturity Adjustment'!$A$3:$C$81,3,0),(IF(J295&lt;$N$4,"Tomorrow",J295)))</f>
        <v>Tomorrow</v>
      </c>
      <c r="T295" s="24">
        <f t="shared" si="127"/>
        <v>1</v>
      </c>
      <c r="U295" s="196" t="e">
        <f t="shared" si="129"/>
        <v>#N/A</v>
      </c>
      <c r="V295" s="11" t="str">
        <f>IFERROR(VLOOKUP(A295,'Maturity Adjustment'!$A$86:$C$91,3,0),S295)</f>
        <v>Tomorrow</v>
      </c>
      <c r="W295" s="207" t="e">
        <f>VLOOKUP(A295,'Account Mapping'!$A$2:$F$216,6,0)</f>
        <v>#N/A</v>
      </c>
      <c r="X295" s="194">
        <f t="shared" si="130"/>
        <v>1396.32</v>
      </c>
      <c r="Y295" s="194">
        <f t="shared" si="131"/>
        <v>0</v>
      </c>
      <c r="Z295" s="13">
        <f t="shared" si="132"/>
        <v>0</v>
      </c>
      <c r="AA295" s="13">
        <f t="shared" si="133"/>
        <v>0</v>
      </c>
      <c r="AB295" s="13">
        <f t="shared" si="134"/>
        <v>0</v>
      </c>
      <c r="AC295" s="13">
        <f t="shared" si="135"/>
        <v>0</v>
      </c>
      <c r="AD295" s="13">
        <f t="shared" si="136"/>
        <v>0</v>
      </c>
      <c r="AE295" s="13">
        <f t="shared" si="137"/>
        <v>0</v>
      </c>
      <c r="AF295" s="13">
        <f t="shared" si="138"/>
        <v>0</v>
      </c>
      <c r="AG295" s="685">
        <f t="shared" si="139"/>
        <v>0</v>
      </c>
      <c r="AH295" s="688" t="b">
        <f t="shared" si="140"/>
        <v>1</v>
      </c>
    </row>
    <row r="296" spans="1:34" s="1" customFormat="1" ht="15" customHeight="1">
      <c r="A296" s="946">
        <v>12110002</v>
      </c>
      <c r="B296" s="946" t="s">
        <v>603</v>
      </c>
      <c r="C296" s="946" t="s">
        <v>606</v>
      </c>
      <c r="D296" s="946">
        <v>100000001</v>
      </c>
      <c r="E296" s="946" t="s">
        <v>33</v>
      </c>
      <c r="F296" s="946" t="s">
        <v>11</v>
      </c>
      <c r="G296" s="947">
        <v>9939.6</v>
      </c>
      <c r="H296" s="947">
        <v>9939.6</v>
      </c>
      <c r="I296" s="949">
        <v>44621</v>
      </c>
      <c r="J296" s="949">
        <v>45961</v>
      </c>
      <c r="K296" s="948"/>
      <c r="L296" s="29" t="e">
        <f>VLOOKUP(A296,'Account Mapping'!$A$2:$E$216,3,0)</f>
        <v>#N/A</v>
      </c>
      <c r="M296" s="25" t="e">
        <f>VLOOKUP(A296,'Account Mapping'!$A$2:$E$216,4,0)</f>
        <v>#N/A</v>
      </c>
      <c r="N296" s="26" t="e">
        <f>IF(OR(C296='Account Mapping'!$H$4,C296='Account Mapping'!$H$5,C296='Account Mapping'!$H$6),'Account Mapping'!$I$4,VLOOKUP(A296,'Account Mapping'!$A$2:$E$216,5,0))</f>
        <v>#N/A</v>
      </c>
      <c r="O296" s="27" t="e">
        <f>IF(OR(L296="Loan",L296="Deposit_Liability",L296="OFF_Unused Loan Commitment",L296="HQLA"),VLOOKUP(D296,'Customer Type'!$A$3:$C$38,3,0),"")</f>
        <v>#N/A</v>
      </c>
      <c r="P296" s="656" t="e">
        <f t="shared" si="128"/>
        <v>#N/A</v>
      </c>
      <c r="Q296" s="658">
        <f>IF(COUNTIF('Account Mapping'!$H$12:$H$45,A296)&gt;0,-H296,H296)</f>
        <v>9939.6</v>
      </c>
      <c r="R296" s="249" t="e">
        <f>VLOOKUP(P296,Assumptions!$C$2:$D$64,2,0)</f>
        <v>#N/A</v>
      </c>
      <c r="S296" s="692" t="str">
        <f>IFERROR(VLOOKUP(A296,'Maturity Adjustment'!$A$3:$C$81,3,0),(IF(J296&lt;$N$4,"Tomorrow",J296)))</f>
        <v>Tomorrow</v>
      </c>
      <c r="T296" s="24">
        <f t="shared" si="127"/>
        <v>1</v>
      </c>
      <c r="U296" s="196" t="e">
        <f t="shared" si="129"/>
        <v>#N/A</v>
      </c>
      <c r="V296" s="11" t="str">
        <f>IFERROR(VLOOKUP(A296,'Maturity Adjustment'!$A$86:$C$91,3,0),S296)</f>
        <v>Tomorrow</v>
      </c>
      <c r="W296" s="207" t="e">
        <f>VLOOKUP(A296,'Account Mapping'!$A$2:$F$216,6,0)</f>
        <v>#N/A</v>
      </c>
      <c r="X296" s="194">
        <f t="shared" si="130"/>
        <v>9939.6</v>
      </c>
      <c r="Y296" s="194">
        <f t="shared" si="131"/>
        <v>0</v>
      </c>
      <c r="Z296" s="13">
        <f t="shared" si="132"/>
        <v>0</v>
      </c>
      <c r="AA296" s="13">
        <f t="shared" si="133"/>
        <v>0</v>
      </c>
      <c r="AB296" s="13">
        <f t="shared" si="134"/>
        <v>0</v>
      </c>
      <c r="AC296" s="13">
        <f t="shared" si="135"/>
        <v>0</v>
      </c>
      <c r="AD296" s="13">
        <f t="shared" si="136"/>
        <v>0</v>
      </c>
      <c r="AE296" s="13">
        <f t="shared" si="137"/>
        <v>0</v>
      </c>
      <c r="AF296" s="13">
        <f t="shared" si="138"/>
        <v>0</v>
      </c>
      <c r="AG296" s="685">
        <f t="shared" si="139"/>
        <v>0</v>
      </c>
      <c r="AH296" s="688" t="b">
        <f t="shared" si="140"/>
        <v>1</v>
      </c>
    </row>
    <row r="297" spans="1:34" s="1" customFormat="1" ht="15" customHeight="1">
      <c r="A297" s="946">
        <v>12110002</v>
      </c>
      <c r="B297" s="946" t="s">
        <v>603</v>
      </c>
      <c r="C297" s="946" t="s">
        <v>607</v>
      </c>
      <c r="D297" s="946">
        <v>100000001</v>
      </c>
      <c r="E297" s="946" t="s">
        <v>33</v>
      </c>
      <c r="F297" s="946" t="s">
        <v>11</v>
      </c>
      <c r="G297" s="947">
        <v>2588.4299999999998</v>
      </c>
      <c r="H297" s="947">
        <v>2588.4299999999998</v>
      </c>
      <c r="I297" s="949">
        <v>44621</v>
      </c>
      <c r="J297" s="949">
        <v>45961</v>
      </c>
      <c r="K297" s="948"/>
      <c r="L297" s="29" t="e">
        <f>VLOOKUP(A297,'Account Mapping'!$A$2:$E$216,3,0)</f>
        <v>#N/A</v>
      </c>
      <c r="M297" s="25" t="e">
        <f>VLOOKUP(A297,'Account Mapping'!$A$2:$E$216,4,0)</f>
        <v>#N/A</v>
      </c>
      <c r="N297" s="26" t="e">
        <f>IF(OR(C297='Account Mapping'!$H$4,C297='Account Mapping'!$H$5,C297='Account Mapping'!$H$6),'Account Mapping'!$I$4,VLOOKUP(A297,'Account Mapping'!$A$2:$E$216,5,0))</f>
        <v>#N/A</v>
      </c>
      <c r="O297" s="27" t="e">
        <f>IF(OR(L297="Loan",L297="Deposit_Liability",L297="OFF_Unused Loan Commitment",L297="HQLA"),VLOOKUP(D297,'Customer Type'!$A$3:$C$38,3,0),"")</f>
        <v>#N/A</v>
      </c>
      <c r="P297" s="656" t="e">
        <f t="shared" si="128"/>
        <v>#N/A</v>
      </c>
      <c r="Q297" s="658">
        <f>IF(COUNTIF('Account Mapping'!$H$12:$H$45,A297)&gt;0,-H297,H297)</f>
        <v>2588.4299999999998</v>
      </c>
      <c r="R297" s="249" t="e">
        <f>VLOOKUP(P297,Assumptions!$C$2:$D$64,2,0)</f>
        <v>#N/A</v>
      </c>
      <c r="S297" s="692" t="str">
        <f>IFERROR(VLOOKUP(A297,'Maturity Adjustment'!$A$3:$C$81,3,0),(IF(J297&lt;$N$4,"Tomorrow",J297)))</f>
        <v>Tomorrow</v>
      </c>
      <c r="T297" s="24">
        <f t="shared" si="127"/>
        <v>1</v>
      </c>
      <c r="U297" s="196" t="e">
        <f t="shared" si="129"/>
        <v>#N/A</v>
      </c>
      <c r="V297" s="11" t="str">
        <f>IFERROR(VLOOKUP(A297,'Maturity Adjustment'!$A$86:$C$91,3,0),S297)</f>
        <v>Tomorrow</v>
      </c>
      <c r="W297" s="207" t="e">
        <f>VLOOKUP(A297,'Account Mapping'!$A$2:$F$216,6,0)</f>
        <v>#N/A</v>
      </c>
      <c r="X297" s="194">
        <f t="shared" si="130"/>
        <v>2588.4299999999998</v>
      </c>
      <c r="Y297" s="194">
        <f t="shared" si="131"/>
        <v>0</v>
      </c>
      <c r="Z297" s="13">
        <f t="shared" si="132"/>
        <v>0</v>
      </c>
      <c r="AA297" s="13">
        <f t="shared" si="133"/>
        <v>0</v>
      </c>
      <c r="AB297" s="13">
        <f t="shared" si="134"/>
        <v>0</v>
      </c>
      <c r="AC297" s="13">
        <f t="shared" si="135"/>
        <v>0</v>
      </c>
      <c r="AD297" s="13">
        <f t="shared" si="136"/>
        <v>0</v>
      </c>
      <c r="AE297" s="13">
        <f t="shared" si="137"/>
        <v>0</v>
      </c>
      <c r="AF297" s="13">
        <f t="shared" si="138"/>
        <v>0</v>
      </c>
      <c r="AG297" s="685">
        <f t="shared" si="139"/>
        <v>0</v>
      </c>
      <c r="AH297" s="688" t="b">
        <f t="shared" si="140"/>
        <v>1</v>
      </c>
    </row>
    <row r="298" spans="1:34" s="1" customFormat="1" ht="15" customHeight="1">
      <c r="A298" s="946">
        <v>12110002</v>
      </c>
      <c r="B298" s="946" t="s">
        <v>603</v>
      </c>
      <c r="C298" s="946" t="s">
        <v>608</v>
      </c>
      <c r="D298" s="946">
        <v>100000001</v>
      </c>
      <c r="E298" s="946" t="s">
        <v>33</v>
      </c>
      <c r="F298" s="946" t="s">
        <v>11</v>
      </c>
      <c r="G298" s="947">
        <v>2019.88</v>
      </c>
      <c r="H298" s="947">
        <v>2019.88</v>
      </c>
      <c r="I298" s="949">
        <v>44621</v>
      </c>
      <c r="J298" s="949">
        <v>45961</v>
      </c>
      <c r="K298" s="948"/>
      <c r="L298" s="29" t="e">
        <f>VLOOKUP(A298,'Account Mapping'!$A$2:$E$216,3,0)</f>
        <v>#N/A</v>
      </c>
      <c r="M298" s="25" t="e">
        <f>VLOOKUP(A298,'Account Mapping'!$A$2:$E$216,4,0)</f>
        <v>#N/A</v>
      </c>
      <c r="N298" s="26" t="e">
        <f>IF(OR(C298='Account Mapping'!$H$4,C298='Account Mapping'!$H$5,C298='Account Mapping'!$H$6),'Account Mapping'!$I$4,VLOOKUP(A298,'Account Mapping'!$A$2:$E$216,5,0))</f>
        <v>#N/A</v>
      </c>
      <c r="O298" s="27" t="e">
        <f>IF(OR(L298="Loan",L298="Deposit_Liability",L298="OFF_Unused Loan Commitment",L298="HQLA"),VLOOKUP(D298,'Customer Type'!$A$3:$C$38,3,0),"")</f>
        <v>#N/A</v>
      </c>
      <c r="P298" s="656" t="e">
        <f t="shared" si="128"/>
        <v>#N/A</v>
      </c>
      <c r="Q298" s="658">
        <f>IF(COUNTIF('Account Mapping'!$H$12:$H$45,A298)&gt;0,-H298,H298)</f>
        <v>2019.88</v>
      </c>
      <c r="R298" s="249" t="e">
        <f>VLOOKUP(P298,Assumptions!$C$2:$D$64,2,0)</f>
        <v>#N/A</v>
      </c>
      <c r="S298" s="692" t="str">
        <f>IFERROR(VLOOKUP(A298,'Maturity Adjustment'!$A$3:$C$81,3,0),(IF(J298&lt;$N$4,"Tomorrow",J298)))</f>
        <v>Tomorrow</v>
      </c>
      <c r="T298" s="24">
        <f t="shared" si="127"/>
        <v>1</v>
      </c>
      <c r="U298" s="196" t="e">
        <f t="shared" si="129"/>
        <v>#N/A</v>
      </c>
      <c r="V298" s="11" t="str">
        <f>IFERROR(VLOOKUP(A298,'Maturity Adjustment'!$A$86:$C$91,3,0),S298)</f>
        <v>Tomorrow</v>
      </c>
      <c r="W298" s="207" t="e">
        <f>VLOOKUP(A298,'Account Mapping'!$A$2:$F$216,6,0)</f>
        <v>#N/A</v>
      </c>
      <c r="X298" s="194">
        <f t="shared" si="130"/>
        <v>2019.88</v>
      </c>
      <c r="Y298" s="194">
        <f t="shared" si="131"/>
        <v>0</v>
      </c>
      <c r="Z298" s="13">
        <f t="shared" si="132"/>
        <v>0</v>
      </c>
      <c r="AA298" s="13">
        <f t="shared" si="133"/>
        <v>0</v>
      </c>
      <c r="AB298" s="13">
        <f t="shared" si="134"/>
        <v>0</v>
      </c>
      <c r="AC298" s="13">
        <f t="shared" si="135"/>
        <v>0</v>
      </c>
      <c r="AD298" s="13">
        <f t="shared" si="136"/>
        <v>0</v>
      </c>
      <c r="AE298" s="13">
        <f t="shared" si="137"/>
        <v>0</v>
      </c>
      <c r="AF298" s="13">
        <f t="shared" si="138"/>
        <v>0</v>
      </c>
      <c r="AG298" s="685">
        <f t="shared" si="139"/>
        <v>0</v>
      </c>
      <c r="AH298" s="688" t="b">
        <f t="shared" si="140"/>
        <v>1</v>
      </c>
    </row>
    <row r="299" spans="1:34" s="1" customFormat="1" ht="15" customHeight="1">
      <c r="A299" s="946">
        <v>12110002</v>
      </c>
      <c r="B299" s="946" t="s">
        <v>603</v>
      </c>
      <c r="C299" s="946" t="s">
        <v>609</v>
      </c>
      <c r="D299" s="946">
        <v>100000001</v>
      </c>
      <c r="E299" s="946" t="s">
        <v>33</v>
      </c>
      <c r="F299" s="946" t="s">
        <v>11</v>
      </c>
      <c r="G299" s="947">
        <v>3457.21</v>
      </c>
      <c r="H299" s="947">
        <v>3457.21</v>
      </c>
      <c r="I299" s="949">
        <v>44621</v>
      </c>
      <c r="J299" s="949">
        <v>46387</v>
      </c>
      <c r="K299" s="948"/>
      <c r="L299" s="29" t="e">
        <f>VLOOKUP(A299,'Account Mapping'!$A$2:$E$216,3,0)</f>
        <v>#N/A</v>
      </c>
      <c r="M299" s="25" t="e">
        <f>VLOOKUP(A299,'Account Mapping'!$A$2:$E$216,4,0)</f>
        <v>#N/A</v>
      </c>
      <c r="N299" s="26" t="e">
        <f>IF(OR(C299='Account Mapping'!$H$4,C299='Account Mapping'!$H$5,C299='Account Mapping'!$H$6),'Account Mapping'!$I$4,VLOOKUP(A299,'Account Mapping'!$A$2:$E$216,5,0))</f>
        <v>#N/A</v>
      </c>
      <c r="O299" s="27" t="e">
        <f>IF(OR(L299="Loan",L299="Deposit_Liability",L299="OFF_Unused Loan Commitment",L299="HQLA"),VLOOKUP(D299,'Customer Type'!$A$3:$C$38,3,0),"")</f>
        <v>#N/A</v>
      </c>
      <c r="P299" s="656" t="e">
        <f t="shared" si="128"/>
        <v>#N/A</v>
      </c>
      <c r="Q299" s="658">
        <f>IF(COUNTIF('Account Mapping'!$H$12:$H$45,A299)&gt;0,-H299,H299)</f>
        <v>3457.21</v>
      </c>
      <c r="R299" s="249" t="e">
        <f>VLOOKUP(P299,Assumptions!$C$2:$D$64,2,0)</f>
        <v>#N/A</v>
      </c>
      <c r="S299" s="692">
        <f>IFERROR(VLOOKUP(A299,'Maturity Adjustment'!$A$3:$C$81,3,0),(IF(J299&lt;$N$4,"Tomorrow",J299)))</f>
        <v>46387</v>
      </c>
      <c r="T299" s="24">
        <f t="shared" si="127"/>
        <v>329</v>
      </c>
      <c r="U299" s="196" t="e">
        <f t="shared" si="129"/>
        <v>#N/A</v>
      </c>
      <c r="V299" s="11">
        <f>IFERROR(VLOOKUP(A299,'Maturity Adjustment'!$A$86:$C$91,3,0),S299)</f>
        <v>46387</v>
      </c>
      <c r="W299" s="207" t="e">
        <f>VLOOKUP(A299,'Account Mapping'!$A$2:$F$216,6,0)</f>
        <v>#N/A</v>
      </c>
      <c r="X299" s="194">
        <f t="shared" si="130"/>
        <v>0</v>
      </c>
      <c r="Y299" s="194">
        <f t="shared" si="131"/>
        <v>0</v>
      </c>
      <c r="Z299" s="13">
        <f t="shared" si="132"/>
        <v>0</v>
      </c>
      <c r="AA299" s="13">
        <f t="shared" si="133"/>
        <v>0</v>
      </c>
      <c r="AB299" s="13">
        <f t="shared" si="134"/>
        <v>0</v>
      </c>
      <c r="AC299" s="13">
        <f t="shared" si="135"/>
        <v>3457.21</v>
      </c>
      <c r="AD299" s="13">
        <f t="shared" si="136"/>
        <v>0</v>
      </c>
      <c r="AE299" s="13">
        <f t="shared" si="137"/>
        <v>0</v>
      </c>
      <c r="AF299" s="13">
        <f t="shared" si="138"/>
        <v>0</v>
      </c>
      <c r="AG299" s="685">
        <f t="shared" si="139"/>
        <v>0</v>
      </c>
      <c r="AH299" s="688" t="b">
        <f t="shared" si="140"/>
        <v>1</v>
      </c>
    </row>
    <row r="300" spans="1:34" s="1" customFormat="1" ht="15" customHeight="1">
      <c r="A300" s="946">
        <v>12110002</v>
      </c>
      <c r="B300" s="946" t="s">
        <v>603</v>
      </c>
      <c r="C300" s="946" t="s">
        <v>610</v>
      </c>
      <c r="D300" s="946">
        <v>100000001</v>
      </c>
      <c r="E300" s="946" t="s">
        <v>33</v>
      </c>
      <c r="F300" s="946" t="s">
        <v>11</v>
      </c>
      <c r="G300" s="947">
        <v>411.68</v>
      </c>
      <c r="H300" s="947">
        <v>411.68</v>
      </c>
      <c r="I300" s="949">
        <v>44621</v>
      </c>
      <c r="J300" s="949">
        <v>45961</v>
      </c>
      <c r="K300" s="948"/>
      <c r="L300" s="29" t="e">
        <f>VLOOKUP(A300,'Account Mapping'!$A$2:$E$216,3,0)</f>
        <v>#N/A</v>
      </c>
      <c r="M300" s="25" t="e">
        <f>VLOOKUP(A300,'Account Mapping'!$A$2:$E$216,4,0)</f>
        <v>#N/A</v>
      </c>
      <c r="N300" s="26" t="e">
        <f>IF(OR(C300='Account Mapping'!$H$4,C300='Account Mapping'!$H$5,C300='Account Mapping'!$H$6),'Account Mapping'!$I$4,VLOOKUP(A300,'Account Mapping'!$A$2:$E$216,5,0))</f>
        <v>#N/A</v>
      </c>
      <c r="O300" s="27" t="e">
        <f>IF(OR(L300="Loan",L300="Deposit_Liability",L300="OFF_Unused Loan Commitment",L300="HQLA"),VLOOKUP(D300,'Customer Type'!$A$3:$C$38,3,0),"")</f>
        <v>#N/A</v>
      </c>
      <c r="P300" s="656" t="e">
        <f t="shared" si="128"/>
        <v>#N/A</v>
      </c>
      <c r="Q300" s="658">
        <f>IF(COUNTIF('Account Mapping'!$H$12:$H$45,A300)&gt;0,-H300,H300)</f>
        <v>411.68</v>
      </c>
      <c r="R300" s="249" t="e">
        <f>VLOOKUP(P300,Assumptions!$C$2:$D$64,2,0)</f>
        <v>#N/A</v>
      </c>
      <c r="S300" s="692" t="str">
        <f>IFERROR(VLOOKUP(A300,'Maturity Adjustment'!$A$3:$C$81,3,0),(IF(J300&lt;$N$4,"Tomorrow",J300)))</f>
        <v>Tomorrow</v>
      </c>
      <c r="T300" s="24">
        <f t="shared" si="127"/>
        <v>1</v>
      </c>
      <c r="U300" s="196" t="e">
        <f t="shared" si="129"/>
        <v>#N/A</v>
      </c>
      <c r="V300" s="11" t="str">
        <f>IFERROR(VLOOKUP(A300,'Maturity Adjustment'!$A$86:$C$91,3,0),S300)</f>
        <v>Tomorrow</v>
      </c>
      <c r="W300" s="207" t="e">
        <f>VLOOKUP(A300,'Account Mapping'!$A$2:$F$216,6,0)</f>
        <v>#N/A</v>
      </c>
      <c r="X300" s="194">
        <f t="shared" si="130"/>
        <v>411.68</v>
      </c>
      <c r="Y300" s="194">
        <f t="shared" si="131"/>
        <v>0</v>
      </c>
      <c r="Z300" s="13">
        <f t="shared" si="132"/>
        <v>0</v>
      </c>
      <c r="AA300" s="13">
        <f t="shared" si="133"/>
        <v>0</v>
      </c>
      <c r="AB300" s="13">
        <f t="shared" si="134"/>
        <v>0</v>
      </c>
      <c r="AC300" s="13">
        <f t="shared" si="135"/>
        <v>0</v>
      </c>
      <c r="AD300" s="13">
        <f t="shared" si="136"/>
        <v>0</v>
      </c>
      <c r="AE300" s="13">
        <f t="shared" si="137"/>
        <v>0</v>
      </c>
      <c r="AF300" s="13">
        <f t="shared" si="138"/>
        <v>0</v>
      </c>
      <c r="AG300" s="685">
        <f t="shared" si="139"/>
        <v>0</v>
      </c>
      <c r="AH300" s="688" t="b">
        <f t="shared" si="140"/>
        <v>1</v>
      </c>
    </row>
    <row r="301" spans="1:34" s="1" customFormat="1" ht="15" customHeight="1">
      <c r="A301" s="946">
        <v>12110002</v>
      </c>
      <c r="B301" s="946" t="s">
        <v>603</v>
      </c>
      <c r="C301" s="946" t="s">
        <v>611</v>
      </c>
      <c r="D301" s="946">
        <v>100000001</v>
      </c>
      <c r="E301" s="946" t="s">
        <v>33</v>
      </c>
      <c r="F301" s="946" t="s">
        <v>11</v>
      </c>
      <c r="G301" s="947">
        <v>20530.54</v>
      </c>
      <c r="H301" s="947">
        <v>20530.54</v>
      </c>
      <c r="I301" s="949">
        <v>44621</v>
      </c>
      <c r="J301" s="949">
        <v>46387</v>
      </c>
      <c r="K301" s="948"/>
      <c r="L301" s="29" t="e">
        <f>VLOOKUP(A301,'Account Mapping'!$A$2:$E$216,3,0)</f>
        <v>#N/A</v>
      </c>
      <c r="M301" s="25" t="e">
        <f>VLOOKUP(A301,'Account Mapping'!$A$2:$E$216,4,0)</f>
        <v>#N/A</v>
      </c>
      <c r="N301" s="26" t="e">
        <f>IF(OR(C301='Account Mapping'!$H$4,C301='Account Mapping'!$H$5,C301='Account Mapping'!$H$6),'Account Mapping'!$I$4,VLOOKUP(A301,'Account Mapping'!$A$2:$E$216,5,0))</f>
        <v>#N/A</v>
      </c>
      <c r="O301" s="27" t="e">
        <f>IF(OR(L301="Loan",L301="Deposit_Liability",L301="OFF_Unused Loan Commitment",L301="HQLA"),VLOOKUP(D301,'Customer Type'!$A$3:$C$38,3,0),"")</f>
        <v>#N/A</v>
      </c>
      <c r="P301" s="656" t="e">
        <f t="shared" si="128"/>
        <v>#N/A</v>
      </c>
      <c r="Q301" s="658">
        <f>IF(COUNTIF('Account Mapping'!$H$12:$H$45,A301)&gt;0,-H301,H301)</f>
        <v>20530.54</v>
      </c>
      <c r="R301" s="249" t="e">
        <f>VLOOKUP(P301,Assumptions!$C$2:$D$64,2,0)</f>
        <v>#N/A</v>
      </c>
      <c r="S301" s="692">
        <f>IFERROR(VLOOKUP(A301,'Maturity Adjustment'!$A$3:$C$81,3,0),(IF(J301&lt;$N$4,"Tomorrow",J301)))</f>
        <v>46387</v>
      </c>
      <c r="T301" s="24">
        <f t="shared" si="127"/>
        <v>329</v>
      </c>
      <c r="U301" s="196" t="e">
        <f t="shared" si="129"/>
        <v>#N/A</v>
      </c>
      <c r="V301" s="11">
        <f>IFERROR(VLOOKUP(A301,'Maturity Adjustment'!$A$86:$C$91,3,0),S301)</f>
        <v>46387</v>
      </c>
      <c r="W301" s="207" t="e">
        <f>VLOOKUP(A301,'Account Mapping'!$A$2:$F$216,6,0)</f>
        <v>#N/A</v>
      </c>
      <c r="X301" s="194">
        <f t="shared" si="130"/>
        <v>0</v>
      </c>
      <c r="Y301" s="194">
        <f t="shared" si="131"/>
        <v>0</v>
      </c>
      <c r="Z301" s="13">
        <f t="shared" si="132"/>
        <v>0</v>
      </c>
      <c r="AA301" s="13">
        <f t="shared" si="133"/>
        <v>0</v>
      </c>
      <c r="AB301" s="13">
        <f t="shared" si="134"/>
        <v>0</v>
      </c>
      <c r="AC301" s="13">
        <f t="shared" si="135"/>
        <v>20530.54</v>
      </c>
      <c r="AD301" s="13">
        <f t="shared" si="136"/>
        <v>0</v>
      </c>
      <c r="AE301" s="13">
        <f t="shared" si="137"/>
        <v>0</v>
      </c>
      <c r="AF301" s="13">
        <f t="shared" si="138"/>
        <v>0</v>
      </c>
      <c r="AG301" s="685">
        <f t="shared" si="139"/>
        <v>0</v>
      </c>
      <c r="AH301" s="688" t="b">
        <f t="shared" si="140"/>
        <v>1</v>
      </c>
    </row>
    <row r="302" spans="1:34" s="1" customFormat="1" ht="15" customHeight="1">
      <c r="A302" s="946">
        <v>12110002</v>
      </c>
      <c r="B302" s="946" t="s">
        <v>603</v>
      </c>
      <c r="C302" s="946" t="s">
        <v>612</v>
      </c>
      <c r="D302" s="946">
        <v>100000001</v>
      </c>
      <c r="E302" s="946" t="s">
        <v>33</v>
      </c>
      <c r="F302" s="946" t="s">
        <v>11</v>
      </c>
      <c r="G302" s="947">
        <v>1217.8399999999999</v>
      </c>
      <c r="H302" s="947">
        <v>1217.8399999999999</v>
      </c>
      <c r="I302" s="949">
        <v>44621</v>
      </c>
      <c r="J302" s="949">
        <v>45961</v>
      </c>
      <c r="K302" s="948"/>
      <c r="L302" s="29" t="e">
        <f>VLOOKUP(A302,'Account Mapping'!$A$2:$E$216,3,0)</f>
        <v>#N/A</v>
      </c>
      <c r="M302" s="25" t="e">
        <f>VLOOKUP(A302,'Account Mapping'!$A$2:$E$216,4,0)</f>
        <v>#N/A</v>
      </c>
      <c r="N302" s="26" t="e">
        <f>IF(OR(C302='Account Mapping'!$H$4,C302='Account Mapping'!$H$5,C302='Account Mapping'!$H$6),'Account Mapping'!$I$4,VLOOKUP(A302,'Account Mapping'!$A$2:$E$216,5,0))</f>
        <v>#N/A</v>
      </c>
      <c r="O302" s="27" t="e">
        <f>IF(OR(L302="Loan",L302="Deposit_Liability",L302="OFF_Unused Loan Commitment",L302="HQLA"),VLOOKUP(D302,'Customer Type'!$A$3:$C$38,3,0),"")</f>
        <v>#N/A</v>
      </c>
      <c r="P302" s="656" t="e">
        <f t="shared" si="128"/>
        <v>#N/A</v>
      </c>
      <c r="Q302" s="658">
        <f>IF(COUNTIF('Account Mapping'!$H$12:$H$45,A302)&gt;0,-H302,H302)</f>
        <v>1217.8399999999999</v>
      </c>
      <c r="R302" s="249" t="e">
        <f>VLOOKUP(P302,Assumptions!$C$2:$D$64,2,0)</f>
        <v>#N/A</v>
      </c>
      <c r="S302" s="692" t="str">
        <f>IFERROR(VLOOKUP(A302,'Maturity Adjustment'!$A$3:$C$81,3,0),(IF(J302&lt;$N$4,"Tomorrow",J302)))</f>
        <v>Tomorrow</v>
      </c>
      <c r="T302" s="24">
        <f t="shared" si="127"/>
        <v>1</v>
      </c>
      <c r="U302" s="196" t="e">
        <f t="shared" si="129"/>
        <v>#N/A</v>
      </c>
      <c r="V302" s="11" t="str">
        <f>IFERROR(VLOOKUP(A302,'Maturity Adjustment'!$A$86:$C$91,3,0),S302)</f>
        <v>Tomorrow</v>
      </c>
      <c r="W302" s="207" t="e">
        <f>VLOOKUP(A302,'Account Mapping'!$A$2:$F$216,6,0)</f>
        <v>#N/A</v>
      </c>
      <c r="X302" s="194">
        <f t="shared" si="130"/>
        <v>1217.8399999999999</v>
      </c>
      <c r="Y302" s="194">
        <f t="shared" si="131"/>
        <v>0</v>
      </c>
      <c r="Z302" s="13">
        <f t="shared" si="132"/>
        <v>0</v>
      </c>
      <c r="AA302" s="13">
        <f t="shared" si="133"/>
        <v>0</v>
      </c>
      <c r="AB302" s="13">
        <f t="shared" si="134"/>
        <v>0</v>
      </c>
      <c r="AC302" s="13">
        <f t="shared" si="135"/>
        <v>0</v>
      </c>
      <c r="AD302" s="13">
        <f t="shared" si="136"/>
        <v>0</v>
      </c>
      <c r="AE302" s="13">
        <f t="shared" si="137"/>
        <v>0</v>
      </c>
      <c r="AF302" s="13">
        <f t="shared" si="138"/>
        <v>0</v>
      </c>
      <c r="AG302" s="685">
        <f t="shared" si="139"/>
        <v>0</v>
      </c>
      <c r="AH302" s="688" t="b">
        <f t="shared" si="140"/>
        <v>1</v>
      </c>
    </row>
    <row r="303" spans="1:34" s="1" customFormat="1" ht="15" customHeight="1">
      <c r="A303" s="946">
        <v>12110002</v>
      </c>
      <c r="B303" s="946" t="s">
        <v>603</v>
      </c>
      <c r="C303" s="946" t="s">
        <v>613</v>
      </c>
      <c r="D303" s="946">
        <v>100000001</v>
      </c>
      <c r="E303" s="946" t="s">
        <v>33</v>
      </c>
      <c r="F303" s="946" t="s">
        <v>11</v>
      </c>
      <c r="G303" s="947">
        <v>446.28</v>
      </c>
      <c r="H303" s="947">
        <v>446.28</v>
      </c>
      <c r="I303" s="949">
        <v>44621</v>
      </c>
      <c r="J303" s="949">
        <v>46387</v>
      </c>
      <c r="K303" s="948"/>
      <c r="L303" s="29" t="e">
        <f>VLOOKUP(A303,'Account Mapping'!$A$2:$E$216,3,0)</f>
        <v>#N/A</v>
      </c>
      <c r="M303" s="25" t="e">
        <f>VLOOKUP(A303,'Account Mapping'!$A$2:$E$216,4,0)</f>
        <v>#N/A</v>
      </c>
      <c r="N303" s="26" t="e">
        <f>IF(OR(C303='Account Mapping'!$H$4,C303='Account Mapping'!$H$5,C303='Account Mapping'!$H$6),'Account Mapping'!$I$4,VLOOKUP(A303,'Account Mapping'!$A$2:$E$216,5,0))</f>
        <v>#N/A</v>
      </c>
      <c r="O303" s="27" t="e">
        <f>IF(OR(L303="Loan",L303="Deposit_Liability",L303="OFF_Unused Loan Commitment",L303="HQLA"),VLOOKUP(D303,'Customer Type'!$A$3:$C$38,3,0),"")</f>
        <v>#N/A</v>
      </c>
      <c r="P303" s="656" t="e">
        <f t="shared" si="128"/>
        <v>#N/A</v>
      </c>
      <c r="Q303" s="658">
        <f>IF(COUNTIF('Account Mapping'!$H$12:$H$45,A303)&gt;0,-H303,H303)</f>
        <v>446.28</v>
      </c>
      <c r="R303" s="249" t="e">
        <f>VLOOKUP(P303,Assumptions!$C$2:$D$64,2,0)</f>
        <v>#N/A</v>
      </c>
      <c r="S303" s="692">
        <f>IFERROR(VLOOKUP(A303,'Maturity Adjustment'!$A$3:$C$81,3,0),(IF(J303&lt;$N$4,"Tomorrow",J303)))</f>
        <v>46387</v>
      </c>
      <c r="T303" s="24">
        <f t="shared" ref="T303:T363" si="141">IF(S303="Tomorrow",1,(S303-$N$4))</f>
        <v>329</v>
      </c>
      <c r="U303" s="196" t="e">
        <f t="shared" si="129"/>
        <v>#N/A</v>
      </c>
      <c r="V303" s="11">
        <f>IFERROR(VLOOKUP(A303,'Maturity Adjustment'!$A$86:$C$91,3,0),S303)</f>
        <v>46387</v>
      </c>
      <c r="W303" s="207" t="e">
        <f>VLOOKUP(A303,'Account Mapping'!$A$2:$F$216,6,0)</f>
        <v>#N/A</v>
      </c>
      <c r="X303" s="194">
        <f t="shared" si="130"/>
        <v>0</v>
      </c>
      <c r="Y303" s="194">
        <f t="shared" si="131"/>
        <v>0</v>
      </c>
      <c r="Z303" s="13">
        <f t="shared" si="132"/>
        <v>0</v>
      </c>
      <c r="AA303" s="13">
        <f t="shared" si="133"/>
        <v>0</v>
      </c>
      <c r="AB303" s="13">
        <f t="shared" si="134"/>
        <v>0</v>
      </c>
      <c r="AC303" s="13">
        <f t="shared" si="135"/>
        <v>446.28</v>
      </c>
      <c r="AD303" s="13">
        <f t="shared" si="136"/>
        <v>0</v>
      </c>
      <c r="AE303" s="13">
        <f t="shared" si="137"/>
        <v>0</v>
      </c>
      <c r="AF303" s="13">
        <f t="shared" si="138"/>
        <v>0</v>
      </c>
      <c r="AG303" s="685">
        <f t="shared" si="139"/>
        <v>0</v>
      </c>
      <c r="AH303" s="688" t="b">
        <f t="shared" si="140"/>
        <v>1</v>
      </c>
    </row>
    <row r="304" spans="1:34" s="1" customFormat="1" ht="15" customHeight="1">
      <c r="A304" s="946">
        <v>12110002</v>
      </c>
      <c r="B304" s="946" t="s">
        <v>603</v>
      </c>
      <c r="C304" s="946" t="s">
        <v>614</v>
      </c>
      <c r="D304" s="946">
        <v>100000001</v>
      </c>
      <c r="E304" s="946" t="s">
        <v>33</v>
      </c>
      <c r="F304" s="946" t="s">
        <v>11</v>
      </c>
      <c r="G304" s="947">
        <v>3984.87</v>
      </c>
      <c r="H304" s="947">
        <v>3984.87</v>
      </c>
      <c r="I304" s="949">
        <v>44621</v>
      </c>
      <c r="J304" s="949">
        <v>46387</v>
      </c>
      <c r="K304" s="948"/>
      <c r="L304" s="29" t="e">
        <f>VLOOKUP(A304,'Account Mapping'!$A$2:$E$216,3,0)</f>
        <v>#N/A</v>
      </c>
      <c r="M304" s="25" t="e">
        <f>VLOOKUP(A304,'Account Mapping'!$A$2:$E$216,4,0)</f>
        <v>#N/A</v>
      </c>
      <c r="N304" s="26" t="e">
        <f>IF(OR(C304='Account Mapping'!$H$4,C304='Account Mapping'!$H$5,C304='Account Mapping'!$H$6),'Account Mapping'!$I$4,VLOOKUP(A304,'Account Mapping'!$A$2:$E$216,5,0))</f>
        <v>#N/A</v>
      </c>
      <c r="O304" s="27" t="e">
        <f>IF(OR(L304="Loan",L304="Deposit_Liability",L304="OFF_Unused Loan Commitment",L304="HQLA"),VLOOKUP(D304,'Customer Type'!$A$3:$C$38,3,0),"")</f>
        <v>#N/A</v>
      </c>
      <c r="P304" s="656" t="e">
        <f t="shared" si="128"/>
        <v>#N/A</v>
      </c>
      <c r="Q304" s="658">
        <f>IF(COUNTIF('Account Mapping'!$H$12:$H$45,A304)&gt;0,-H304,H304)</f>
        <v>3984.87</v>
      </c>
      <c r="R304" s="249" t="e">
        <f>VLOOKUP(P304,Assumptions!$C$2:$D$64,2,0)</f>
        <v>#N/A</v>
      </c>
      <c r="S304" s="692">
        <f>IFERROR(VLOOKUP(A304,'Maturity Adjustment'!$A$3:$C$81,3,0),(IF(J304&lt;$N$4,"Tomorrow",J304)))</f>
        <v>46387</v>
      </c>
      <c r="T304" s="24">
        <f t="shared" si="141"/>
        <v>329</v>
      </c>
      <c r="U304" s="196" t="e">
        <f t="shared" si="129"/>
        <v>#N/A</v>
      </c>
      <c r="V304" s="11">
        <f>IFERROR(VLOOKUP(A304,'Maturity Adjustment'!$A$86:$C$91,3,0),S304)</f>
        <v>46387</v>
      </c>
      <c r="W304" s="207" t="e">
        <f>VLOOKUP(A304,'Account Mapping'!$A$2:$F$216,6,0)</f>
        <v>#N/A</v>
      </c>
      <c r="X304" s="194">
        <f t="shared" si="130"/>
        <v>0</v>
      </c>
      <c r="Y304" s="194">
        <f t="shared" si="131"/>
        <v>0</v>
      </c>
      <c r="Z304" s="13">
        <f t="shared" si="132"/>
        <v>0</v>
      </c>
      <c r="AA304" s="13">
        <f t="shared" si="133"/>
        <v>0</v>
      </c>
      <c r="AB304" s="13">
        <f t="shared" si="134"/>
        <v>0</v>
      </c>
      <c r="AC304" s="13">
        <f t="shared" si="135"/>
        <v>3984.87</v>
      </c>
      <c r="AD304" s="13">
        <f t="shared" si="136"/>
        <v>0</v>
      </c>
      <c r="AE304" s="13">
        <f t="shared" si="137"/>
        <v>0</v>
      </c>
      <c r="AF304" s="13">
        <f t="shared" si="138"/>
        <v>0</v>
      </c>
      <c r="AG304" s="685">
        <f t="shared" si="139"/>
        <v>0</v>
      </c>
      <c r="AH304" s="688" t="b">
        <f t="shared" si="140"/>
        <v>1</v>
      </c>
    </row>
    <row r="305" spans="1:34" s="1" customFormat="1" ht="15" customHeight="1">
      <c r="A305" s="946">
        <v>12110002</v>
      </c>
      <c r="B305" s="946" t="s">
        <v>603</v>
      </c>
      <c r="C305" s="946" t="s">
        <v>615</v>
      </c>
      <c r="D305" s="946">
        <v>100000001</v>
      </c>
      <c r="E305" s="946" t="s">
        <v>33</v>
      </c>
      <c r="F305" s="946" t="s">
        <v>11</v>
      </c>
      <c r="G305" s="947">
        <v>88233.69</v>
      </c>
      <c r="H305" s="947">
        <v>88233.69</v>
      </c>
      <c r="I305" s="949">
        <v>44621</v>
      </c>
      <c r="J305" s="949">
        <v>46387</v>
      </c>
      <c r="K305" s="948"/>
      <c r="L305" s="29" t="e">
        <f>VLOOKUP(A305,'Account Mapping'!$A$2:$E$216,3,0)</f>
        <v>#N/A</v>
      </c>
      <c r="M305" s="25" t="e">
        <f>VLOOKUP(A305,'Account Mapping'!$A$2:$E$216,4,0)</f>
        <v>#N/A</v>
      </c>
      <c r="N305" s="26" t="e">
        <f>IF(OR(C305='Account Mapping'!$H$4,C305='Account Mapping'!$H$5,C305='Account Mapping'!$H$6),'Account Mapping'!$I$4,VLOOKUP(A305,'Account Mapping'!$A$2:$E$216,5,0))</f>
        <v>#N/A</v>
      </c>
      <c r="O305" s="27" t="e">
        <f>IF(OR(L305="Loan",L305="Deposit_Liability",L305="OFF_Unused Loan Commitment",L305="HQLA"),VLOOKUP(D305,'Customer Type'!$A$3:$C$38,3,0),"")</f>
        <v>#N/A</v>
      </c>
      <c r="P305" s="656" t="e">
        <f t="shared" si="128"/>
        <v>#N/A</v>
      </c>
      <c r="Q305" s="658">
        <f>IF(COUNTIF('Account Mapping'!$H$12:$H$45,A305)&gt;0,-H305,H305)</f>
        <v>88233.69</v>
      </c>
      <c r="R305" s="249" t="e">
        <f>VLOOKUP(P305,Assumptions!$C$2:$D$64,2,0)</f>
        <v>#N/A</v>
      </c>
      <c r="S305" s="692">
        <f>IFERROR(VLOOKUP(A305,'Maturity Adjustment'!$A$3:$C$81,3,0),(IF(J305&lt;$N$4,"Tomorrow",J305)))</f>
        <v>46387</v>
      </c>
      <c r="T305" s="24">
        <f t="shared" si="141"/>
        <v>329</v>
      </c>
      <c r="U305" s="196" t="e">
        <f t="shared" si="129"/>
        <v>#N/A</v>
      </c>
      <c r="V305" s="11">
        <f>IFERROR(VLOOKUP(A305,'Maturity Adjustment'!$A$86:$C$91,3,0),S305)</f>
        <v>46387</v>
      </c>
      <c r="W305" s="207" t="e">
        <f>VLOOKUP(A305,'Account Mapping'!$A$2:$F$216,6,0)</f>
        <v>#N/A</v>
      </c>
      <c r="X305" s="194">
        <f t="shared" si="130"/>
        <v>0</v>
      </c>
      <c r="Y305" s="194">
        <f t="shared" si="131"/>
        <v>0</v>
      </c>
      <c r="Z305" s="13">
        <f t="shared" si="132"/>
        <v>0</v>
      </c>
      <c r="AA305" s="13">
        <f t="shared" si="133"/>
        <v>0</v>
      </c>
      <c r="AB305" s="13">
        <f t="shared" si="134"/>
        <v>0</v>
      </c>
      <c r="AC305" s="13">
        <f t="shared" si="135"/>
        <v>88233.69</v>
      </c>
      <c r="AD305" s="13">
        <f t="shared" si="136"/>
        <v>0</v>
      </c>
      <c r="AE305" s="13">
        <f t="shared" si="137"/>
        <v>0</v>
      </c>
      <c r="AF305" s="13">
        <f t="shared" si="138"/>
        <v>0</v>
      </c>
      <c r="AG305" s="685">
        <f t="shared" si="139"/>
        <v>0</v>
      </c>
      <c r="AH305" s="688" t="b">
        <f t="shared" si="140"/>
        <v>1</v>
      </c>
    </row>
    <row r="306" spans="1:34" s="1" customFormat="1" ht="15" customHeight="1">
      <c r="A306" s="946">
        <v>12110002</v>
      </c>
      <c r="B306" s="946" t="s">
        <v>603</v>
      </c>
      <c r="C306" s="946" t="s">
        <v>616</v>
      </c>
      <c r="D306" s="946">
        <v>100000001</v>
      </c>
      <c r="E306" s="946" t="s">
        <v>33</v>
      </c>
      <c r="F306" s="946" t="s">
        <v>11</v>
      </c>
      <c r="G306" s="947">
        <v>3212.96</v>
      </c>
      <c r="H306" s="947">
        <v>3212.96</v>
      </c>
      <c r="I306" s="949">
        <v>44621</v>
      </c>
      <c r="J306" s="949">
        <v>45961</v>
      </c>
      <c r="K306" s="948"/>
      <c r="L306" s="29" t="e">
        <f>VLOOKUP(A306,'Account Mapping'!$A$2:$E$216,3,0)</f>
        <v>#N/A</v>
      </c>
      <c r="M306" s="25" t="e">
        <f>VLOOKUP(A306,'Account Mapping'!$A$2:$E$216,4,0)</f>
        <v>#N/A</v>
      </c>
      <c r="N306" s="26" t="e">
        <f>IF(OR(C306='Account Mapping'!$H$4,C306='Account Mapping'!$H$5,C306='Account Mapping'!$H$6),'Account Mapping'!$I$4,VLOOKUP(A306,'Account Mapping'!$A$2:$E$216,5,0))</f>
        <v>#N/A</v>
      </c>
      <c r="O306" s="27" t="e">
        <f>IF(OR(L306="Loan",L306="Deposit_Liability",L306="OFF_Unused Loan Commitment",L306="HQLA"),VLOOKUP(D306,'Customer Type'!$A$3:$C$38,3,0),"")</f>
        <v>#N/A</v>
      </c>
      <c r="P306" s="656" t="e">
        <f t="shared" si="128"/>
        <v>#N/A</v>
      </c>
      <c r="Q306" s="658">
        <f>IF(COUNTIF('Account Mapping'!$H$12:$H$45,A306)&gt;0,-H306,H306)</f>
        <v>3212.96</v>
      </c>
      <c r="R306" s="249" t="e">
        <f>VLOOKUP(P306,Assumptions!$C$2:$D$64,2,0)</f>
        <v>#N/A</v>
      </c>
      <c r="S306" s="692" t="str">
        <f>IFERROR(VLOOKUP(A306,'Maturity Adjustment'!$A$3:$C$81,3,0),(IF(J306&lt;$N$4,"Tomorrow",J306)))</f>
        <v>Tomorrow</v>
      </c>
      <c r="T306" s="24">
        <f t="shared" si="141"/>
        <v>1</v>
      </c>
      <c r="U306" s="196" t="e">
        <f t="shared" si="129"/>
        <v>#N/A</v>
      </c>
      <c r="V306" s="11" t="str">
        <f>IFERROR(VLOOKUP(A306,'Maturity Adjustment'!$A$86:$C$91,3,0),S306)</f>
        <v>Tomorrow</v>
      </c>
      <c r="W306" s="207" t="e">
        <f>VLOOKUP(A306,'Account Mapping'!$A$2:$F$216,6,0)</f>
        <v>#N/A</v>
      </c>
      <c r="X306" s="194">
        <f t="shared" si="130"/>
        <v>3212.96</v>
      </c>
      <c r="Y306" s="194">
        <f t="shared" si="131"/>
        <v>0</v>
      </c>
      <c r="Z306" s="13">
        <f t="shared" si="132"/>
        <v>0</v>
      </c>
      <c r="AA306" s="13">
        <f t="shared" si="133"/>
        <v>0</v>
      </c>
      <c r="AB306" s="13">
        <f t="shared" si="134"/>
        <v>0</v>
      </c>
      <c r="AC306" s="13">
        <f t="shared" si="135"/>
        <v>0</v>
      </c>
      <c r="AD306" s="13">
        <f t="shared" si="136"/>
        <v>0</v>
      </c>
      <c r="AE306" s="13">
        <f t="shared" si="137"/>
        <v>0</v>
      </c>
      <c r="AF306" s="13">
        <f t="shared" si="138"/>
        <v>0</v>
      </c>
      <c r="AG306" s="685">
        <f t="shared" si="139"/>
        <v>0</v>
      </c>
      <c r="AH306" s="688" t="b">
        <f t="shared" si="140"/>
        <v>1</v>
      </c>
    </row>
    <row r="307" spans="1:34" s="1" customFormat="1" ht="15" customHeight="1">
      <c r="A307" s="946">
        <v>12110002</v>
      </c>
      <c r="B307" s="946" t="s">
        <v>603</v>
      </c>
      <c r="C307" s="946" t="s">
        <v>617</v>
      </c>
      <c r="D307" s="946">
        <v>100000001</v>
      </c>
      <c r="E307" s="946" t="s">
        <v>33</v>
      </c>
      <c r="F307" s="946" t="s">
        <v>11</v>
      </c>
      <c r="G307" s="947">
        <v>2545.13</v>
      </c>
      <c r="H307" s="947">
        <v>2545.13</v>
      </c>
      <c r="I307" s="949">
        <v>44621</v>
      </c>
      <c r="J307" s="949">
        <v>46022</v>
      </c>
      <c r="K307" s="948"/>
      <c r="L307" s="29" t="e">
        <f>VLOOKUP(A307,'Account Mapping'!$A$2:$E$216,3,0)</f>
        <v>#N/A</v>
      </c>
      <c r="M307" s="25" t="e">
        <f>VLOOKUP(A307,'Account Mapping'!$A$2:$E$216,4,0)</f>
        <v>#N/A</v>
      </c>
      <c r="N307" s="26" t="e">
        <f>IF(OR(C307='Account Mapping'!$H$4,C307='Account Mapping'!$H$5,C307='Account Mapping'!$H$6),'Account Mapping'!$I$4,VLOOKUP(A307,'Account Mapping'!$A$2:$E$216,5,0))</f>
        <v>#N/A</v>
      </c>
      <c r="O307" s="27" t="e">
        <f>IF(OR(L307="Loan",L307="Deposit_Liability",L307="OFF_Unused Loan Commitment",L307="HQLA"),VLOOKUP(D307,'Customer Type'!$A$3:$C$38,3,0),"")</f>
        <v>#N/A</v>
      </c>
      <c r="P307" s="656" t="e">
        <f t="shared" si="128"/>
        <v>#N/A</v>
      </c>
      <c r="Q307" s="658">
        <f>IF(COUNTIF('Account Mapping'!$H$12:$H$45,A307)&gt;0,-H307,H307)</f>
        <v>2545.13</v>
      </c>
      <c r="R307" s="249" t="e">
        <f>VLOOKUP(P307,Assumptions!$C$2:$D$64,2,0)</f>
        <v>#N/A</v>
      </c>
      <c r="S307" s="692" t="str">
        <f>IFERROR(VLOOKUP(A307,'Maturity Adjustment'!$A$3:$C$81,3,0),(IF(J307&lt;$N$4,"Tomorrow",J307)))</f>
        <v>Tomorrow</v>
      </c>
      <c r="T307" s="24">
        <f t="shared" si="141"/>
        <v>1</v>
      </c>
      <c r="U307" s="196" t="e">
        <f t="shared" si="129"/>
        <v>#N/A</v>
      </c>
      <c r="V307" s="11" t="str">
        <f>IFERROR(VLOOKUP(A307,'Maturity Adjustment'!$A$86:$C$91,3,0),S307)</f>
        <v>Tomorrow</v>
      </c>
      <c r="W307" s="207" t="e">
        <f>VLOOKUP(A307,'Account Mapping'!$A$2:$F$216,6,0)</f>
        <v>#N/A</v>
      </c>
      <c r="X307" s="194">
        <f t="shared" si="130"/>
        <v>2545.13</v>
      </c>
      <c r="Y307" s="194">
        <f t="shared" si="131"/>
        <v>0</v>
      </c>
      <c r="Z307" s="13">
        <f t="shared" si="132"/>
        <v>0</v>
      </c>
      <c r="AA307" s="13">
        <f t="shared" si="133"/>
        <v>0</v>
      </c>
      <c r="AB307" s="13">
        <f t="shared" si="134"/>
        <v>0</v>
      </c>
      <c r="AC307" s="13">
        <f t="shared" si="135"/>
        <v>0</v>
      </c>
      <c r="AD307" s="13">
        <f t="shared" si="136"/>
        <v>0</v>
      </c>
      <c r="AE307" s="13">
        <f t="shared" si="137"/>
        <v>0</v>
      </c>
      <c r="AF307" s="13">
        <f t="shared" si="138"/>
        <v>0</v>
      </c>
      <c r="AG307" s="685">
        <f t="shared" si="139"/>
        <v>0</v>
      </c>
      <c r="AH307" s="688" t="b">
        <f t="shared" si="140"/>
        <v>1</v>
      </c>
    </row>
    <row r="308" spans="1:34" s="1" customFormat="1" ht="15" customHeight="1">
      <c r="A308" s="946">
        <v>12110002</v>
      </c>
      <c r="B308" s="946" t="s">
        <v>603</v>
      </c>
      <c r="C308" s="946" t="s">
        <v>618</v>
      </c>
      <c r="D308" s="946">
        <v>100000001</v>
      </c>
      <c r="E308" s="946" t="s">
        <v>33</v>
      </c>
      <c r="F308" s="946" t="s">
        <v>11</v>
      </c>
      <c r="G308" s="947">
        <v>4749.42</v>
      </c>
      <c r="H308" s="947">
        <v>4749.42</v>
      </c>
      <c r="I308" s="949">
        <v>44621</v>
      </c>
      <c r="J308" s="949">
        <v>46387</v>
      </c>
      <c r="K308" s="948"/>
      <c r="L308" s="29" t="e">
        <f>VLOOKUP(A308,'Account Mapping'!$A$2:$E$216,3,0)</f>
        <v>#N/A</v>
      </c>
      <c r="M308" s="25" t="e">
        <f>VLOOKUP(A308,'Account Mapping'!$A$2:$E$216,4,0)</f>
        <v>#N/A</v>
      </c>
      <c r="N308" s="26" t="e">
        <f>IF(OR(C308='Account Mapping'!$H$4,C308='Account Mapping'!$H$5,C308='Account Mapping'!$H$6),'Account Mapping'!$I$4,VLOOKUP(A308,'Account Mapping'!$A$2:$E$216,5,0))</f>
        <v>#N/A</v>
      </c>
      <c r="O308" s="27" t="e">
        <f>IF(OR(L308="Loan",L308="Deposit_Liability",L308="OFF_Unused Loan Commitment",L308="HQLA"),VLOOKUP(D308,'Customer Type'!$A$3:$C$38,3,0),"")</f>
        <v>#N/A</v>
      </c>
      <c r="P308" s="656" t="e">
        <f t="shared" si="128"/>
        <v>#N/A</v>
      </c>
      <c r="Q308" s="658">
        <f>IF(COUNTIF('Account Mapping'!$H$12:$H$45,A308)&gt;0,-H308,H308)</f>
        <v>4749.42</v>
      </c>
      <c r="R308" s="249" t="e">
        <f>VLOOKUP(P308,Assumptions!$C$2:$D$64,2,0)</f>
        <v>#N/A</v>
      </c>
      <c r="S308" s="692">
        <f>IFERROR(VLOOKUP(A308,'Maturity Adjustment'!$A$3:$C$81,3,0),(IF(J308&lt;$N$4,"Tomorrow",J308)))</f>
        <v>46387</v>
      </c>
      <c r="T308" s="24">
        <f t="shared" si="141"/>
        <v>329</v>
      </c>
      <c r="U308" s="196" t="e">
        <f t="shared" si="129"/>
        <v>#N/A</v>
      </c>
      <c r="V308" s="11">
        <f>IFERROR(VLOOKUP(A308,'Maturity Adjustment'!$A$86:$C$91,3,0),S308)</f>
        <v>46387</v>
      </c>
      <c r="W308" s="207" t="e">
        <f>VLOOKUP(A308,'Account Mapping'!$A$2:$F$216,6,0)</f>
        <v>#N/A</v>
      </c>
      <c r="X308" s="194">
        <f t="shared" si="130"/>
        <v>0</v>
      </c>
      <c r="Y308" s="194">
        <f t="shared" si="131"/>
        <v>0</v>
      </c>
      <c r="Z308" s="13">
        <f t="shared" si="132"/>
        <v>0</v>
      </c>
      <c r="AA308" s="13">
        <f t="shared" si="133"/>
        <v>0</v>
      </c>
      <c r="AB308" s="13">
        <f t="shared" si="134"/>
        <v>0</v>
      </c>
      <c r="AC308" s="13">
        <f t="shared" si="135"/>
        <v>4749.42</v>
      </c>
      <c r="AD308" s="13">
        <f t="shared" si="136"/>
        <v>0</v>
      </c>
      <c r="AE308" s="13">
        <f t="shared" si="137"/>
        <v>0</v>
      </c>
      <c r="AF308" s="13">
        <f t="shared" si="138"/>
        <v>0</v>
      </c>
      <c r="AG308" s="685">
        <f t="shared" si="139"/>
        <v>0</v>
      </c>
      <c r="AH308" s="688" t="b">
        <f t="shared" si="140"/>
        <v>1</v>
      </c>
    </row>
    <row r="309" spans="1:34" s="1" customFormat="1" ht="15" customHeight="1">
      <c r="A309" s="946">
        <v>12110002</v>
      </c>
      <c r="B309" s="946" t="s">
        <v>603</v>
      </c>
      <c r="C309" s="946" t="s">
        <v>619</v>
      </c>
      <c r="D309" s="946">
        <v>100000001</v>
      </c>
      <c r="E309" s="946" t="s">
        <v>33</v>
      </c>
      <c r="F309" s="946" t="s">
        <v>11</v>
      </c>
      <c r="G309" s="947">
        <v>2640.6</v>
      </c>
      <c r="H309" s="947">
        <v>2640.6</v>
      </c>
      <c r="I309" s="949">
        <v>44621</v>
      </c>
      <c r="J309" s="949">
        <v>45657</v>
      </c>
      <c r="K309" s="948"/>
      <c r="L309" s="29" t="e">
        <f>VLOOKUP(A309,'Account Mapping'!$A$2:$E$216,3,0)</f>
        <v>#N/A</v>
      </c>
      <c r="M309" s="25" t="e">
        <f>VLOOKUP(A309,'Account Mapping'!$A$2:$E$216,4,0)</f>
        <v>#N/A</v>
      </c>
      <c r="N309" s="26" t="e">
        <f>IF(OR(C309='Account Mapping'!$H$4,C309='Account Mapping'!$H$5,C309='Account Mapping'!$H$6),'Account Mapping'!$I$4,VLOOKUP(A309,'Account Mapping'!$A$2:$E$216,5,0))</f>
        <v>#N/A</v>
      </c>
      <c r="O309" s="27" t="e">
        <f>IF(OR(L309="Loan",L309="Deposit_Liability",L309="OFF_Unused Loan Commitment",L309="HQLA"),VLOOKUP(D309,'Customer Type'!$A$3:$C$38,3,0),"")</f>
        <v>#N/A</v>
      </c>
      <c r="P309" s="656" t="e">
        <f t="shared" si="128"/>
        <v>#N/A</v>
      </c>
      <c r="Q309" s="658">
        <f>IF(COUNTIF('Account Mapping'!$H$12:$H$45,A309)&gt;0,-H309,H309)</f>
        <v>2640.6</v>
      </c>
      <c r="R309" s="249" t="e">
        <f>VLOOKUP(P309,Assumptions!$C$2:$D$64,2,0)</f>
        <v>#N/A</v>
      </c>
      <c r="S309" s="692" t="str">
        <f>IFERROR(VLOOKUP(A309,'Maturity Adjustment'!$A$3:$C$81,3,0),(IF(J309&lt;$N$4,"Tomorrow",J309)))</f>
        <v>Tomorrow</v>
      </c>
      <c r="T309" s="24">
        <f t="shared" si="141"/>
        <v>1</v>
      </c>
      <c r="U309" s="196" t="e">
        <f t="shared" si="129"/>
        <v>#N/A</v>
      </c>
      <c r="V309" s="11" t="str">
        <f>IFERROR(VLOOKUP(A309,'Maturity Adjustment'!$A$86:$C$91,3,0),S309)</f>
        <v>Tomorrow</v>
      </c>
      <c r="W309" s="207" t="e">
        <f>VLOOKUP(A309,'Account Mapping'!$A$2:$F$216,6,0)</f>
        <v>#N/A</v>
      </c>
      <c r="X309" s="194">
        <f t="shared" si="130"/>
        <v>2640.6</v>
      </c>
      <c r="Y309" s="194">
        <f t="shared" si="131"/>
        <v>0</v>
      </c>
      <c r="Z309" s="13">
        <f t="shared" si="132"/>
        <v>0</v>
      </c>
      <c r="AA309" s="13">
        <f t="shared" si="133"/>
        <v>0</v>
      </c>
      <c r="AB309" s="13">
        <f t="shared" si="134"/>
        <v>0</v>
      </c>
      <c r="AC309" s="13">
        <f t="shared" si="135"/>
        <v>0</v>
      </c>
      <c r="AD309" s="13">
        <f t="shared" si="136"/>
        <v>0</v>
      </c>
      <c r="AE309" s="13">
        <f t="shared" si="137"/>
        <v>0</v>
      </c>
      <c r="AF309" s="13">
        <f t="shared" si="138"/>
        <v>0</v>
      </c>
      <c r="AG309" s="685">
        <f t="shared" si="139"/>
        <v>0</v>
      </c>
      <c r="AH309" s="688" t="b">
        <f t="shared" si="140"/>
        <v>1</v>
      </c>
    </row>
    <row r="310" spans="1:34" s="1" customFormat="1" ht="15" customHeight="1">
      <c r="A310" s="946">
        <v>12110002</v>
      </c>
      <c r="B310" s="946" t="s">
        <v>603</v>
      </c>
      <c r="C310" s="946" t="s">
        <v>620</v>
      </c>
      <c r="D310" s="946">
        <v>100000001</v>
      </c>
      <c r="E310" s="946" t="s">
        <v>33</v>
      </c>
      <c r="F310" s="946" t="s">
        <v>11</v>
      </c>
      <c r="G310" s="947">
        <v>13815.1</v>
      </c>
      <c r="H310" s="947">
        <v>13815.1</v>
      </c>
      <c r="I310" s="949">
        <v>44621</v>
      </c>
      <c r="J310" s="949">
        <v>46387</v>
      </c>
      <c r="K310" s="948"/>
      <c r="L310" s="29" t="e">
        <f>VLOOKUP(A310,'Account Mapping'!$A$2:$E$216,3,0)</f>
        <v>#N/A</v>
      </c>
      <c r="M310" s="25" t="e">
        <f>VLOOKUP(A310,'Account Mapping'!$A$2:$E$216,4,0)</f>
        <v>#N/A</v>
      </c>
      <c r="N310" s="26" t="e">
        <f>IF(OR(C310='Account Mapping'!$H$4,C310='Account Mapping'!$H$5,C310='Account Mapping'!$H$6),'Account Mapping'!$I$4,VLOOKUP(A310,'Account Mapping'!$A$2:$E$216,5,0))</f>
        <v>#N/A</v>
      </c>
      <c r="O310" s="27" t="e">
        <f>IF(OR(L310="Loan",L310="Deposit_Liability",L310="OFF_Unused Loan Commitment",L310="HQLA"),VLOOKUP(D310,'Customer Type'!$A$3:$C$38,3,0),"")</f>
        <v>#N/A</v>
      </c>
      <c r="P310" s="656" t="e">
        <f t="shared" si="128"/>
        <v>#N/A</v>
      </c>
      <c r="Q310" s="658">
        <f>IF(COUNTIF('Account Mapping'!$H$12:$H$45,A310)&gt;0,-H310,H310)</f>
        <v>13815.1</v>
      </c>
      <c r="R310" s="249" t="e">
        <f>VLOOKUP(P310,Assumptions!$C$2:$D$64,2,0)</f>
        <v>#N/A</v>
      </c>
      <c r="S310" s="692">
        <f>IFERROR(VLOOKUP(A310,'Maturity Adjustment'!$A$3:$C$81,3,0),(IF(J310&lt;$N$4,"Tomorrow",J310)))</f>
        <v>46387</v>
      </c>
      <c r="T310" s="24">
        <f t="shared" si="141"/>
        <v>329</v>
      </c>
      <c r="U310" s="196" t="e">
        <f t="shared" si="129"/>
        <v>#N/A</v>
      </c>
      <c r="V310" s="11">
        <f>IFERROR(VLOOKUP(A310,'Maturity Adjustment'!$A$86:$C$91,3,0),S310)</f>
        <v>46387</v>
      </c>
      <c r="W310" s="207" t="e">
        <f>VLOOKUP(A310,'Account Mapping'!$A$2:$F$216,6,0)</f>
        <v>#N/A</v>
      </c>
      <c r="X310" s="194">
        <f t="shared" si="130"/>
        <v>0</v>
      </c>
      <c r="Y310" s="194">
        <f t="shared" si="131"/>
        <v>0</v>
      </c>
      <c r="Z310" s="13">
        <f t="shared" si="132"/>
        <v>0</v>
      </c>
      <c r="AA310" s="13">
        <f t="shared" si="133"/>
        <v>0</v>
      </c>
      <c r="AB310" s="13">
        <f t="shared" si="134"/>
        <v>0</v>
      </c>
      <c r="AC310" s="13">
        <f t="shared" si="135"/>
        <v>13815.1</v>
      </c>
      <c r="AD310" s="13">
        <f t="shared" si="136"/>
        <v>0</v>
      </c>
      <c r="AE310" s="13">
        <f t="shared" si="137"/>
        <v>0</v>
      </c>
      <c r="AF310" s="13">
        <f t="shared" si="138"/>
        <v>0</v>
      </c>
      <c r="AG310" s="685">
        <f t="shared" si="139"/>
        <v>0</v>
      </c>
      <c r="AH310" s="688" t="b">
        <f t="shared" si="140"/>
        <v>1</v>
      </c>
    </row>
    <row r="311" spans="1:34" s="1" customFormat="1" ht="15" customHeight="1">
      <c r="A311" s="946">
        <v>12110002</v>
      </c>
      <c r="B311" s="946" t="s">
        <v>603</v>
      </c>
      <c r="C311" s="946" t="s">
        <v>621</v>
      </c>
      <c r="D311" s="946">
        <v>100000001</v>
      </c>
      <c r="E311" s="946" t="s">
        <v>33</v>
      </c>
      <c r="F311" s="946" t="s">
        <v>11</v>
      </c>
      <c r="G311" s="947">
        <v>2912.34</v>
      </c>
      <c r="H311" s="947">
        <v>2912.34</v>
      </c>
      <c r="I311" s="949">
        <v>44621</v>
      </c>
      <c r="J311" s="949">
        <v>46022</v>
      </c>
      <c r="K311" s="948"/>
      <c r="L311" s="29" t="e">
        <f>VLOOKUP(A311,'Account Mapping'!$A$2:$E$216,3,0)</f>
        <v>#N/A</v>
      </c>
      <c r="M311" s="25" t="e">
        <f>VLOOKUP(A311,'Account Mapping'!$A$2:$E$216,4,0)</f>
        <v>#N/A</v>
      </c>
      <c r="N311" s="26" t="e">
        <f>IF(OR(C311='Account Mapping'!$H$4,C311='Account Mapping'!$H$5,C311='Account Mapping'!$H$6),'Account Mapping'!$I$4,VLOOKUP(A311,'Account Mapping'!$A$2:$E$216,5,0))</f>
        <v>#N/A</v>
      </c>
      <c r="O311" s="27" t="e">
        <f>IF(OR(L311="Loan",L311="Deposit_Liability",L311="OFF_Unused Loan Commitment",L311="HQLA"),VLOOKUP(D311,'Customer Type'!$A$3:$C$38,3,0),"")</f>
        <v>#N/A</v>
      </c>
      <c r="P311" s="656" t="e">
        <f t="shared" si="128"/>
        <v>#N/A</v>
      </c>
      <c r="Q311" s="658">
        <f>IF(COUNTIF('Account Mapping'!$H$12:$H$45,A311)&gt;0,-H311,H311)</f>
        <v>2912.34</v>
      </c>
      <c r="R311" s="249" t="e">
        <f>VLOOKUP(P311,Assumptions!$C$2:$D$64,2,0)</f>
        <v>#N/A</v>
      </c>
      <c r="S311" s="692" t="str">
        <f>IFERROR(VLOOKUP(A311,'Maturity Adjustment'!$A$3:$C$81,3,0),(IF(J311&lt;$N$4,"Tomorrow",J311)))</f>
        <v>Tomorrow</v>
      </c>
      <c r="T311" s="24">
        <f t="shared" si="141"/>
        <v>1</v>
      </c>
      <c r="U311" s="196" t="e">
        <f t="shared" si="129"/>
        <v>#N/A</v>
      </c>
      <c r="V311" s="11" t="str">
        <f>IFERROR(VLOOKUP(A311,'Maturity Adjustment'!$A$86:$C$91,3,0),S311)</f>
        <v>Tomorrow</v>
      </c>
      <c r="W311" s="207" t="e">
        <f>VLOOKUP(A311,'Account Mapping'!$A$2:$F$216,6,0)</f>
        <v>#N/A</v>
      </c>
      <c r="X311" s="194">
        <f t="shared" si="130"/>
        <v>2912.34</v>
      </c>
      <c r="Y311" s="194">
        <f t="shared" si="131"/>
        <v>0</v>
      </c>
      <c r="Z311" s="13">
        <f t="shared" si="132"/>
        <v>0</v>
      </c>
      <c r="AA311" s="13">
        <f t="shared" si="133"/>
        <v>0</v>
      </c>
      <c r="AB311" s="13">
        <f t="shared" si="134"/>
        <v>0</v>
      </c>
      <c r="AC311" s="13">
        <f t="shared" si="135"/>
        <v>0</v>
      </c>
      <c r="AD311" s="13">
        <f t="shared" si="136"/>
        <v>0</v>
      </c>
      <c r="AE311" s="13">
        <f t="shared" si="137"/>
        <v>0</v>
      </c>
      <c r="AF311" s="13">
        <f t="shared" si="138"/>
        <v>0</v>
      </c>
      <c r="AG311" s="685">
        <f t="shared" si="139"/>
        <v>0</v>
      </c>
      <c r="AH311" s="688" t="b">
        <f t="shared" si="140"/>
        <v>1</v>
      </c>
    </row>
    <row r="312" spans="1:34" s="1" customFormat="1" ht="15" customHeight="1">
      <c r="A312" s="946">
        <v>12110002</v>
      </c>
      <c r="B312" s="946" t="s">
        <v>603</v>
      </c>
      <c r="C312" s="946" t="s">
        <v>622</v>
      </c>
      <c r="D312" s="946">
        <v>100000001</v>
      </c>
      <c r="E312" s="946" t="s">
        <v>33</v>
      </c>
      <c r="F312" s="946" t="s">
        <v>11</v>
      </c>
      <c r="G312" s="947">
        <v>5044.05</v>
      </c>
      <c r="H312" s="947">
        <v>5044.05</v>
      </c>
      <c r="I312" s="949">
        <v>44621</v>
      </c>
      <c r="J312" s="949">
        <v>46022</v>
      </c>
      <c r="K312" s="948"/>
      <c r="L312" s="29" t="e">
        <f>VLOOKUP(A312,'Account Mapping'!$A$2:$E$216,3,0)</f>
        <v>#N/A</v>
      </c>
      <c r="M312" s="25" t="e">
        <f>VLOOKUP(A312,'Account Mapping'!$A$2:$E$216,4,0)</f>
        <v>#N/A</v>
      </c>
      <c r="N312" s="26" t="e">
        <f>IF(OR(C312='Account Mapping'!$H$4,C312='Account Mapping'!$H$5,C312='Account Mapping'!$H$6),'Account Mapping'!$I$4,VLOOKUP(A312,'Account Mapping'!$A$2:$E$216,5,0))</f>
        <v>#N/A</v>
      </c>
      <c r="O312" s="27" t="e">
        <f>IF(OR(L312="Loan",L312="Deposit_Liability",L312="OFF_Unused Loan Commitment",L312="HQLA"),VLOOKUP(D312,'Customer Type'!$A$3:$C$38,3,0),"")</f>
        <v>#N/A</v>
      </c>
      <c r="P312" s="656" t="e">
        <f t="shared" si="128"/>
        <v>#N/A</v>
      </c>
      <c r="Q312" s="658">
        <f>IF(COUNTIF('Account Mapping'!$H$12:$H$45,A312)&gt;0,-H312,H312)</f>
        <v>5044.05</v>
      </c>
      <c r="R312" s="249" t="e">
        <f>VLOOKUP(P312,Assumptions!$C$2:$D$64,2,0)</f>
        <v>#N/A</v>
      </c>
      <c r="S312" s="692" t="str">
        <f>IFERROR(VLOOKUP(A312,'Maturity Adjustment'!$A$3:$C$81,3,0),(IF(J312&lt;$N$4,"Tomorrow",J312)))</f>
        <v>Tomorrow</v>
      </c>
      <c r="T312" s="24">
        <f t="shared" si="141"/>
        <v>1</v>
      </c>
      <c r="U312" s="196" t="e">
        <f t="shared" si="129"/>
        <v>#N/A</v>
      </c>
      <c r="V312" s="11" t="str">
        <f>IFERROR(VLOOKUP(A312,'Maturity Adjustment'!$A$86:$C$91,3,0),S312)</f>
        <v>Tomorrow</v>
      </c>
      <c r="W312" s="207" t="e">
        <f>VLOOKUP(A312,'Account Mapping'!$A$2:$F$216,6,0)</f>
        <v>#N/A</v>
      </c>
      <c r="X312" s="194">
        <f t="shared" si="130"/>
        <v>5044.05</v>
      </c>
      <c r="Y312" s="194">
        <f t="shared" si="131"/>
        <v>0</v>
      </c>
      <c r="Z312" s="13">
        <f t="shared" si="132"/>
        <v>0</v>
      </c>
      <c r="AA312" s="13">
        <f t="shared" si="133"/>
        <v>0</v>
      </c>
      <c r="AB312" s="13">
        <f t="shared" si="134"/>
        <v>0</v>
      </c>
      <c r="AC312" s="13">
        <f t="shared" si="135"/>
        <v>0</v>
      </c>
      <c r="AD312" s="13">
        <f t="shared" si="136"/>
        <v>0</v>
      </c>
      <c r="AE312" s="13">
        <f t="shared" si="137"/>
        <v>0</v>
      </c>
      <c r="AF312" s="13">
        <f t="shared" si="138"/>
        <v>0</v>
      </c>
      <c r="AG312" s="685">
        <f t="shared" si="139"/>
        <v>0</v>
      </c>
      <c r="AH312" s="688" t="b">
        <f t="shared" si="140"/>
        <v>1</v>
      </c>
    </row>
    <row r="313" spans="1:34" s="1" customFormat="1" ht="15" customHeight="1">
      <c r="A313" s="946">
        <v>12110002</v>
      </c>
      <c r="B313" s="946" t="s">
        <v>603</v>
      </c>
      <c r="C313" s="946" t="s">
        <v>623</v>
      </c>
      <c r="D313" s="946">
        <v>100000001</v>
      </c>
      <c r="E313" s="946" t="s">
        <v>33</v>
      </c>
      <c r="F313" s="946" t="s">
        <v>11</v>
      </c>
      <c r="G313" s="947">
        <v>5392.42</v>
      </c>
      <c r="H313" s="947">
        <v>5392.42</v>
      </c>
      <c r="I313" s="949">
        <v>44621</v>
      </c>
      <c r="J313" s="949">
        <v>45991</v>
      </c>
      <c r="K313" s="948"/>
      <c r="L313" s="29" t="e">
        <f>VLOOKUP(A313,'Account Mapping'!$A$2:$E$216,3,0)</f>
        <v>#N/A</v>
      </c>
      <c r="M313" s="25" t="e">
        <f>VLOOKUP(A313,'Account Mapping'!$A$2:$E$216,4,0)</f>
        <v>#N/A</v>
      </c>
      <c r="N313" s="26" t="e">
        <f>IF(OR(C313='Account Mapping'!$H$4,C313='Account Mapping'!$H$5,C313='Account Mapping'!$H$6),'Account Mapping'!$I$4,VLOOKUP(A313,'Account Mapping'!$A$2:$E$216,5,0))</f>
        <v>#N/A</v>
      </c>
      <c r="O313" s="27" t="e">
        <f>IF(OR(L313="Loan",L313="Deposit_Liability",L313="OFF_Unused Loan Commitment",L313="HQLA"),VLOOKUP(D313,'Customer Type'!$A$3:$C$38,3,0),"")</f>
        <v>#N/A</v>
      </c>
      <c r="P313" s="656" t="e">
        <f t="shared" si="128"/>
        <v>#N/A</v>
      </c>
      <c r="Q313" s="658">
        <f>IF(COUNTIF('Account Mapping'!$H$12:$H$45,A313)&gt;0,-H313,H313)</f>
        <v>5392.42</v>
      </c>
      <c r="R313" s="249" t="e">
        <f>VLOOKUP(P313,Assumptions!$C$2:$D$64,2,0)</f>
        <v>#N/A</v>
      </c>
      <c r="S313" s="692" t="str">
        <f>IFERROR(VLOOKUP(A313,'Maturity Adjustment'!$A$3:$C$81,3,0),(IF(J313&lt;$N$4,"Tomorrow",J313)))</f>
        <v>Tomorrow</v>
      </c>
      <c r="T313" s="24">
        <f t="shared" si="141"/>
        <v>1</v>
      </c>
      <c r="U313" s="196" t="e">
        <f t="shared" si="129"/>
        <v>#N/A</v>
      </c>
      <c r="V313" s="11" t="str">
        <f>IFERROR(VLOOKUP(A313,'Maturity Adjustment'!$A$86:$C$91,3,0),S313)</f>
        <v>Tomorrow</v>
      </c>
      <c r="W313" s="207" t="e">
        <f>VLOOKUP(A313,'Account Mapping'!$A$2:$F$216,6,0)</f>
        <v>#N/A</v>
      </c>
      <c r="X313" s="194">
        <f t="shared" si="130"/>
        <v>5392.42</v>
      </c>
      <c r="Y313" s="194">
        <f t="shared" si="131"/>
        <v>0</v>
      </c>
      <c r="Z313" s="13">
        <f t="shared" si="132"/>
        <v>0</v>
      </c>
      <c r="AA313" s="13">
        <f t="shared" si="133"/>
        <v>0</v>
      </c>
      <c r="AB313" s="13">
        <f t="shared" si="134"/>
        <v>0</v>
      </c>
      <c r="AC313" s="13">
        <f t="shared" si="135"/>
        <v>0</v>
      </c>
      <c r="AD313" s="13">
        <f t="shared" si="136"/>
        <v>0</v>
      </c>
      <c r="AE313" s="13">
        <f t="shared" si="137"/>
        <v>0</v>
      </c>
      <c r="AF313" s="13">
        <f t="shared" si="138"/>
        <v>0</v>
      </c>
      <c r="AG313" s="685">
        <f t="shared" si="139"/>
        <v>0</v>
      </c>
      <c r="AH313" s="688" t="b">
        <f t="shared" si="140"/>
        <v>1</v>
      </c>
    </row>
    <row r="314" spans="1:34" s="1" customFormat="1" ht="15" customHeight="1">
      <c r="A314" s="946">
        <v>12110002</v>
      </c>
      <c r="B314" s="946" t="s">
        <v>603</v>
      </c>
      <c r="C314" s="946" t="s">
        <v>624</v>
      </c>
      <c r="D314" s="946">
        <v>100000001</v>
      </c>
      <c r="E314" s="946" t="s">
        <v>33</v>
      </c>
      <c r="F314" s="946" t="s">
        <v>11</v>
      </c>
      <c r="G314" s="947">
        <v>8051.1</v>
      </c>
      <c r="H314" s="947">
        <v>8051.1</v>
      </c>
      <c r="I314" s="949">
        <v>44621</v>
      </c>
      <c r="J314" s="949">
        <v>46022</v>
      </c>
      <c r="K314" s="948"/>
      <c r="L314" s="29" t="e">
        <f>VLOOKUP(A314,'Account Mapping'!$A$2:$E$216,3,0)</f>
        <v>#N/A</v>
      </c>
      <c r="M314" s="25" t="e">
        <f>VLOOKUP(A314,'Account Mapping'!$A$2:$E$216,4,0)</f>
        <v>#N/A</v>
      </c>
      <c r="N314" s="26" t="e">
        <f>IF(OR(C314='Account Mapping'!$H$4,C314='Account Mapping'!$H$5,C314='Account Mapping'!$H$6),'Account Mapping'!$I$4,VLOOKUP(A314,'Account Mapping'!$A$2:$E$216,5,0))</f>
        <v>#N/A</v>
      </c>
      <c r="O314" s="27" t="e">
        <f>IF(OR(L314="Loan",L314="Deposit_Liability",L314="OFF_Unused Loan Commitment",L314="HQLA"),VLOOKUP(D314,'Customer Type'!$A$3:$C$38,3,0),"")</f>
        <v>#N/A</v>
      </c>
      <c r="P314" s="656" t="e">
        <f t="shared" si="128"/>
        <v>#N/A</v>
      </c>
      <c r="Q314" s="658">
        <f>IF(COUNTIF('Account Mapping'!$H$12:$H$45,A314)&gt;0,-H314,H314)</f>
        <v>8051.1</v>
      </c>
      <c r="R314" s="249" t="e">
        <f>VLOOKUP(P314,Assumptions!$C$2:$D$64,2,0)</f>
        <v>#N/A</v>
      </c>
      <c r="S314" s="692" t="str">
        <f>IFERROR(VLOOKUP(A314,'Maturity Adjustment'!$A$3:$C$81,3,0),(IF(J314&lt;$N$4,"Tomorrow",J314)))</f>
        <v>Tomorrow</v>
      </c>
      <c r="T314" s="24">
        <f t="shared" si="141"/>
        <v>1</v>
      </c>
      <c r="U314" s="196" t="e">
        <f t="shared" si="129"/>
        <v>#N/A</v>
      </c>
      <c r="V314" s="11" t="str">
        <f>IFERROR(VLOOKUP(A314,'Maturity Adjustment'!$A$86:$C$91,3,0),S314)</f>
        <v>Tomorrow</v>
      </c>
      <c r="W314" s="207" t="e">
        <f>VLOOKUP(A314,'Account Mapping'!$A$2:$F$216,6,0)</f>
        <v>#N/A</v>
      </c>
      <c r="X314" s="194">
        <f t="shared" si="130"/>
        <v>8051.1</v>
      </c>
      <c r="Y314" s="194">
        <f t="shared" si="131"/>
        <v>0</v>
      </c>
      <c r="Z314" s="13">
        <f t="shared" si="132"/>
        <v>0</v>
      </c>
      <c r="AA314" s="13">
        <f t="shared" si="133"/>
        <v>0</v>
      </c>
      <c r="AB314" s="13">
        <f t="shared" si="134"/>
        <v>0</v>
      </c>
      <c r="AC314" s="13">
        <f t="shared" si="135"/>
        <v>0</v>
      </c>
      <c r="AD314" s="13">
        <f t="shared" si="136"/>
        <v>0</v>
      </c>
      <c r="AE314" s="13">
        <f t="shared" si="137"/>
        <v>0</v>
      </c>
      <c r="AF314" s="13">
        <f t="shared" si="138"/>
        <v>0</v>
      </c>
      <c r="AG314" s="685">
        <f t="shared" si="139"/>
        <v>0</v>
      </c>
      <c r="AH314" s="688" t="b">
        <f t="shared" si="140"/>
        <v>1</v>
      </c>
    </row>
    <row r="315" spans="1:34" s="1" customFormat="1" ht="15" customHeight="1">
      <c r="A315" s="946">
        <v>12110002</v>
      </c>
      <c r="B315" s="946" t="s">
        <v>603</v>
      </c>
      <c r="C315" s="946" t="s">
        <v>625</v>
      </c>
      <c r="D315" s="946">
        <v>100000001</v>
      </c>
      <c r="E315" s="946" t="s">
        <v>33</v>
      </c>
      <c r="F315" s="946" t="s">
        <v>11</v>
      </c>
      <c r="G315" s="947">
        <v>4278.83</v>
      </c>
      <c r="H315" s="947">
        <v>4278.83</v>
      </c>
      <c r="I315" s="949">
        <v>44621</v>
      </c>
      <c r="J315" s="949">
        <v>45991</v>
      </c>
      <c r="K315" s="948"/>
      <c r="L315" s="29" t="e">
        <f>VLOOKUP(A315,'Account Mapping'!$A$2:$E$216,3,0)</f>
        <v>#N/A</v>
      </c>
      <c r="M315" s="25" t="e">
        <f>VLOOKUP(A315,'Account Mapping'!$A$2:$E$216,4,0)</f>
        <v>#N/A</v>
      </c>
      <c r="N315" s="26" t="e">
        <f>IF(OR(C315='Account Mapping'!$H$4,C315='Account Mapping'!$H$5,C315='Account Mapping'!$H$6),'Account Mapping'!$I$4,VLOOKUP(A315,'Account Mapping'!$A$2:$E$216,5,0))</f>
        <v>#N/A</v>
      </c>
      <c r="O315" s="27" t="e">
        <f>IF(OR(L315="Loan",L315="Deposit_Liability",L315="OFF_Unused Loan Commitment",L315="HQLA"),VLOOKUP(D315,'Customer Type'!$A$3:$C$38,3,0),"")</f>
        <v>#N/A</v>
      </c>
      <c r="P315" s="656" t="e">
        <f t="shared" si="128"/>
        <v>#N/A</v>
      </c>
      <c r="Q315" s="658">
        <f>IF(COUNTIF('Account Mapping'!$H$12:$H$45,A315)&gt;0,-H315,H315)</f>
        <v>4278.83</v>
      </c>
      <c r="R315" s="249" t="e">
        <f>VLOOKUP(P315,Assumptions!$C$2:$D$64,2,0)</f>
        <v>#N/A</v>
      </c>
      <c r="S315" s="692" t="str">
        <f>IFERROR(VLOOKUP(A315,'Maturity Adjustment'!$A$3:$C$81,3,0),(IF(J315&lt;$N$4,"Tomorrow",J315)))</f>
        <v>Tomorrow</v>
      </c>
      <c r="T315" s="24">
        <f t="shared" si="141"/>
        <v>1</v>
      </c>
      <c r="U315" s="196" t="e">
        <f t="shared" si="129"/>
        <v>#N/A</v>
      </c>
      <c r="V315" s="11" t="str">
        <f>IFERROR(VLOOKUP(A315,'Maturity Adjustment'!$A$86:$C$91,3,0),S315)</f>
        <v>Tomorrow</v>
      </c>
      <c r="W315" s="207" t="e">
        <f>VLOOKUP(A315,'Account Mapping'!$A$2:$F$216,6,0)</f>
        <v>#N/A</v>
      </c>
      <c r="X315" s="194">
        <f t="shared" si="130"/>
        <v>4278.83</v>
      </c>
      <c r="Y315" s="194">
        <f t="shared" si="131"/>
        <v>0</v>
      </c>
      <c r="Z315" s="13">
        <f t="shared" si="132"/>
        <v>0</v>
      </c>
      <c r="AA315" s="13">
        <f t="shared" si="133"/>
        <v>0</v>
      </c>
      <c r="AB315" s="13">
        <f t="shared" si="134"/>
        <v>0</v>
      </c>
      <c r="AC315" s="13">
        <f t="shared" si="135"/>
        <v>0</v>
      </c>
      <c r="AD315" s="13">
        <f t="shared" si="136"/>
        <v>0</v>
      </c>
      <c r="AE315" s="13">
        <f t="shared" si="137"/>
        <v>0</v>
      </c>
      <c r="AF315" s="13">
        <f t="shared" si="138"/>
        <v>0</v>
      </c>
      <c r="AG315" s="685">
        <f t="shared" si="139"/>
        <v>0</v>
      </c>
      <c r="AH315" s="688" t="b">
        <f t="shared" si="140"/>
        <v>1</v>
      </c>
    </row>
    <row r="316" spans="1:34" s="1" customFormat="1" ht="15" customHeight="1">
      <c r="A316" s="946">
        <v>12110002</v>
      </c>
      <c r="B316" s="946" t="s">
        <v>603</v>
      </c>
      <c r="C316" s="946" t="s">
        <v>626</v>
      </c>
      <c r="D316" s="946">
        <v>100000001</v>
      </c>
      <c r="E316" s="946" t="s">
        <v>33</v>
      </c>
      <c r="F316" s="946" t="s">
        <v>11</v>
      </c>
      <c r="G316" s="947">
        <v>24837.119999999999</v>
      </c>
      <c r="H316" s="947">
        <v>24837.119999999999</v>
      </c>
      <c r="I316" s="949">
        <v>44621</v>
      </c>
      <c r="J316" s="949">
        <v>45991</v>
      </c>
      <c r="K316" s="948"/>
      <c r="L316" s="29" t="e">
        <f>VLOOKUP(A316,'Account Mapping'!$A$2:$E$216,3,0)</f>
        <v>#N/A</v>
      </c>
      <c r="M316" s="25" t="e">
        <f>VLOOKUP(A316,'Account Mapping'!$A$2:$E$216,4,0)</f>
        <v>#N/A</v>
      </c>
      <c r="N316" s="26" t="e">
        <f>IF(OR(C316='Account Mapping'!$H$4,C316='Account Mapping'!$H$5,C316='Account Mapping'!$H$6),'Account Mapping'!$I$4,VLOOKUP(A316,'Account Mapping'!$A$2:$E$216,5,0))</f>
        <v>#N/A</v>
      </c>
      <c r="O316" s="27" t="e">
        <f>IF(OR(L316="Loan",L316="Deposit_Liability",L316="OFF_Unused Loan Commitment",L316="HQLA"),VLOOKUP(D316,'Customer Type'!$A$3:$C$38,3,0),"")</f>
        <v>#N/A</v>
      </c>
      <c r="P316" s="656" t="e">
        <f t="shared" si="128"/>
        <v>#N/A</v>
      </c>
      <c r="Q316" s="658">
        <f>IF(COUNTIF('Account Mapping'!$H$12:$H$45,A316)&gt;0,-H316,H316)</f>
        <v>24837.119999999999</v>
      </c>
      <c r="R316" s="249" t="e">
        <f>VLOOKUP(P316,Assumptions!$C$2:$D$64,2,0)</f>
        <v>#N/A</v>
      </c>
      <c r="S316" s="692" t="str">
        <f>IFERROR(VLOOKUP(A316,'Maturity Adjustment'!$A$3:$C$81,3,0),(IF(J316&lt;$N$4,"Tomorrow",J316)))</f>
        <v>Tomorrow</v>
      </c>
      <c r="T316" s="24">
        <f t="shared" si="141"/>
        <v>1</v>
      </c>
      <c r="U316" s="196" t="e">
        <f t="shared" si="129"/>
        <v>#N/A</v>
      </c>
      <c r="V316" s="11" t="str">
        <f>IFERROR(VLOOKUP(A316,'Maturity Adjustment'!$A$86:$C$91,3,0),S316)</f>
        <v>Tomorrow</v>
      </c>
      <c r="W316" s="207" t="e">
        <f>VLOOKUP(A316,'Account Mapping'!$A$2:$F$216,6,0)</f>
        <v>#N/A</v>
      </c>
      <c r="X316" s="194">
        <f t="shared" si="130"/>
        <v>24837.119999999999</v>
      </c>
      <c r="Y316" s="194">
        <f t="shared" si="131"/>
        <v>0</v>
      </c>
      <c r="Z316" s="13">
        <f t="shared" si="132"/>
        <v>0</v>
      </c>
      <c r="AA316" s="13">
        <f t="shared" si="133"/>
        <v>0</v>
      </c>
      <c r="AB316" s="13">
        <f t="shared" si="134"/>
        <v>0</v>
      </c>
      <c r="AC316" s="13">
        <f t="shared" si="135"/>
        <v>0</v>
      </c>
      <c r="AD316" s="13">
        <f t="shared" si="136"/>
        <v>0</v>
      </c>
      <c r="AE316" s="13">
        <f t="shared" si="137"/>
        <v>0</v>
      </c>
      <c r="AF316" s="13">
        <f t="shared" si="138"/>
        <v>0</v>
      </c>
      <c r="AG316" s="685">
        <f t="shared" si="139"/>
        <v>0</v>
      </c>
      <c r="AH316" s="688" t="b">
        <f t="shared" si="140"/>
        <v>1</v>
      </c>
    </row>
    <row r="317" spans="1:34" s="1" customFormat="1" ht="15" customHeight="1">
      <c r="A317" s="946">
        <v>12110002</v>
      </c>
      <c r="B317" s="946" t="s">
        <v>603</v>
      </c>
      <c r="C317" s="946" t="s">
        <v>627</v>
      </c>
      <c r="D317" s="946">
        <v>100000001</v>
      </c>
      <c r="E317" s="946" t="s">
        <v>33</v>
      </c>
      <c r="F317" s="946" t="s">
        <v>11</v>
      </c>
      <c r="G317" s="947">
        <v>189.47</v>
      </c>
      <c r="H317" s="947">
        <v>189.47</v>
      </c>
      <c r="I317" s="949">
        <v>44621</v>
      </c>
      <c r="J317" s="949">
        <v>45991</v>
      </c>
      <c r="K317" s="948"/>
      <c r="L317" s="29" t="e">
        <f>VLOOKUP(A317,'Account Mapping'!$A$2:$E$216,3,0)</f>
        <v>#N/A</v>
      </c>
      <c r="M317" s="25" t="e">
        <f>VLOOKUP(A317,'Account Mapping'!$A$2:$E$216,4,0)</f>
        <v>#N/A</v>
      </c>
      <c r="N317" s="26" t="e">
        <f>IF(OR(C317='Account Mapping'!$H$4,C317='Account Mapping'!$H$5,C317='Account Mapping'!$H$6),'Account Mapping'!$I$4,VLOOKUP(A317,'Account Mapping'!$A$2:$E$216,5,0))</f>
        <v>#N/A</v>
      </c>
      <c r="O317" s="27" t="e">
        <f>IF(OR(L317="Loan",L317="Deposit_Liability",L317="OFF_Unused Loan Commitment",L317="HQLA"),VLOOKUP(D317,'Customer Type'!$A$3:$C$38,3,0),"")</f>
        <v>#N/A</v>
      </c>
      <c r="P317" s="656" t="e">
        <f t="shared" si="128"/>
        <v>#N/A</v>
      </c>
      <c r="Q317" s="658">
        <f>IF(COUNTIF('Account Mapping'!$H$12:$H$45,A317)&gt;0,-H317,H317)</f>
        <v>189.47</v>
      </c>
      <c r="R317" s="249" t="e">
        <f>VLOOKUP(P317,Assumptions!$C$2:$D$64,2,0)</f>
        <v>#N/A</v>
      </c>
      <c r="S317" s="692" t="str">
        <f>IFERROR(VLOOKUP(A317,'Maturity Adjustment'!$A$3:$C$81,3,0),(IF(J317&lt;$N$4,"Tomorrow",J317)))</f>
        <v>Tomorrow</v>
      </c>
      <c r="T317" s="24">
        <f t="shared" si="141"/>
        <v>1</v>
      </c>
      <c r="U317" s="196" t="e">
        <f t="shared" si="129"/>
        <v>#N/A</v>
      </c>
      <c r="V317" s="11" t="str">
        <f>IFERROR(VLOOKUP(A317,'Maturity Adjustment'!$A$86:$C$91,3,0),S317)</f>
        <v>Tomorrow</v>
      </c>
      <c r="W317" s="207" t="e">
        <f>VLOOKUP(A317,'Account Mapping'!$A$2:$F$216,6,0)</f>
        <v>#N/A</v>
      </c>
      <c r="X317" s="194">
        <f t="shared" si="130"/>
        <v>189.47</v>
      </c>
      <c r="Y317" s="194">
        <f t="shared" si="131"/>
        <v>0</v>
      </c>
      <c r="Z317" s="13">
        <f t="shared" si="132"/>
        <v>0</v>
      </c>
      <c r="AA317" s="13">
        <f t="shared" si="133"/>
        <v>0</v>
      </c>
      <c r="AB317" s="13">
        <f t="shared" si="134"/>
        <v>0</v>
      </c>
      <c r="AC317" s="13">
        <f t="shared" si="135"/>
        <v>0</v>
      </c>
      <c r="AD317" s="13">
        <f t="shared" si="136"/>
        <v>0</v>
      </c>
      <c r="AE317" s="13">
        <f t="shared" si="137"/>
        <v>0</v>
      </c>
      <c r="AF317" s="13">
        <f t="shared" si="138"/>
        <v>0</v>
      </c>
      <c r="AG317" s="685">
        <f t="shared" si="139"/>
        <v>0</v>
      </c>
      <c r="AH317" s="688" t="b">
        <f t="shared" si="140"/>
        <v>1</v>
      </c>
    </row>
    <row r="318" spans="1:34" s="1" customFormat="1" ht="15" customHeight="1">
      <c r="A318" s="946">
        <v>12110002</v>
      </c>
      <c r="B318" s="946" t="s">
        <v>603</v>
      </c>
      <c r="C318" s="946" t="s">
        <v>628</v>
      </c>
      <c r="D318" s="946">
        <v>100000001</v>
      </c>
      <c r="E318" s="946" t="s">
        <v>33</v>
      </c>
      <c r="F318" s="946" t="s">
        <v>11</v>
      </c>
      <c r="G318" s="947">
        <v>23817.32</v>
      </c>
      <c r="H318" s="947">
        <v>23817.32</v>
      </c>
      <c r="I318" s="949">
        <v>44621</v>
      </c>
      <c r="J318" s="949">
        <v>45991</v>
      </c>
      <c r="K318" s="948"/>
      <c r="L318" s="29" t="e">
        <f>VLOOKUP(A318,'Account Mapping'!$A$2:$E$216,3,0)</f>
        <v>#N/A</v>
      </c>
      <c r="M318" s="25" t="e">
        <f>VLOOKUP(A318,'Account Mapping'!$A$2:$E$216,4,0)</f>
        <v>#N/A</v>
      </c>
      <c r="N318" s="26" t="e">
        <f>IF(OR(C318='Account Mapping'!$H$4,C318='Account Mapping'!$H$5,C318='Account Mapping'!$H$6),'Account Mapping'!$I$4,VLOOKUP(A318,'Account Mapping'!$A$2:$E$216,5,0))</f>
        <v>#N/A</v>
      </c>
      <c r="O318" s="27" t="e">
        <f>IF(OR(L318="Loan",L318="Deposit_Liability",L318="OFF_Unused Loan Commitment",L318="HQLA"),VLOOKUP(D318,'Customer Type'!$A$3:$C$38,3,0),"")</f>
        <v>#N/A</v>
      </c>
      <c r="P318" s="656" t="e">
        <f t="shared" si="128"/>
        <v>#N/A</v>
      </c>
      <c r="Q318" s="658">
        <f>IF(COUNTIF('Account Mapping'!$H$12:$H$45,A318)&gt;0,-H318,H318)</f>
        <v>23817.32</v>
      </c>
      <c r="R318" s="249" t="e">
        <f>VLOOKUP(P318,Assumptions!$C$2:$D$64,2,0)</f>
        <v>#N/A</v>
      </c>
      <c r="S318" s="692" t="str">
        <f>IFERROR(VLOOKUP(A318,'Maturity Adjustment'!$A$3:$C$81,3,0),(IF(J318&lt;$N$4,"Tomorrow",J318)))</f>
        <v>Tomorrow</v>
      </c>
      <c r="T318" s="24">
        <f t="shared" si="141"/>
        <v>1</v>
      </c>
      <c r="U318" s="196" t="e">
        <f t="shared" si="129"/>
        <v>#N/A</v>
      </c>
      <c r="V318" s="11" t="str">
        <f>IFERROR(VLOOKUP(A318,'Maturity Adjustment'!$A$86:$C$91,3,0),S318)</f>
        <v>Tomorrow</v>
      </c>
      <c r="W318" s="207" t="e">
        <f>VLOOKUP(A318,'Account Mapping'!$A$2:$F$216,6,0)</f>
        <v>#N/A</v>
      </c>
      <c r="X318" s="194">
        <f t="shared" si="130"/>
        <v>23817.32</v>
      </c>
      <c r="Y318" s="194">
        <f t="shared" si="131"/>
        <v>0</v>
      </c>
      <c r="Z318" s="13">
        <f t="shared" si="132"/>
        <v>0</v>
      </c>
      <c r="AA318" s="13">
        <f t="shared" si="133"/>
        <v>0</v>
      </c>
      <c r="AB318" s="13">
        <f t="shared" si="134"/>
        <v>0</v>
      </c>
      <c r="AC318" s="13">
        <f t="shared" si="135"/>
        <v>0</v>
      </c>
      <c r="AD318" s="13">
        <f t="shared" si="136"/>
        <v>0</v>
      </c>
      <c r="AE318" s="13">
        <f t="shared" si="137"/>
        <v>0</v>
      </c>
      <c r="AF318" s="13">
        <f t="shared" si="138"/>
        <v>0</v>
      </c>
      <c r="AG318" s="685">
        <f t="shared" si="139"/>
        <v>0</v>
      </c>
      <c r="AH318" s="688" t="b">
        <f t="shared" si="140"/>
        <v>1</v>
      </c>
    </row>
    <row r="319" spans="1:34" s="1" customFormat="1" ht="15" customHeight="1">
      <c r="A319" s="946">
        <v>12110002</v>
      </c>
      <c r="B319" s="946" t="s">
        <v>603</v>
      </c>
      <c r="C319" s="946" t="s">
        <v>629</v>
      </c>
      <c r="D319" s="946">
        <v>100000001</v>
      </c>
      <c r="E319" s="946" t="s">
        <v>33</v>
      </c>
      <c r="F319" s="946" t="s">
        <v>11</v>
      </c>
      <c r="G319" s="947">
        <v>1202.76</v>
      </c>
      <c r="H319" s="947">
        <v>1202.76</v>
      </c>
      <c r="I319" s="949">
        <v>44621</v>
      </c>
      <c r="J319" s="949">
        <v>45991</v>
      </c>
      <c r="K319" s="948"/>
      <c r="L319" s="29" t="e">
        <f>VLOOKUP(A319,'Account Mapping'!$A$2:$E$216,3,0)</f>
        <v>#N/A</v>
      </c>
      <c r="M319" s="25" t="e">
        <f>VLOOKUP(A319,'Account Mapping'!$A$2:$E$216,4,0)</f>
        <v>#N/A</v>
      </c>
      <c r="N319" s="26" t="e">
        <f>IF(OR(C319='Account Mapping'!$H$4,C319='Account Mapping'!$H$5,C319='Account Mapping'!$H$6),'Account Mapping'!$I$4,VLOOKUP(A319,'Account Mapping'!$A$2:$E$216,5,0))</f>
        <v>#N/A</v>
      </c>
      <c r="O319" s="27" t="e">
        <f>IF(OR(L319="Loan",L319="Deposit_Liability",L319="OFF_Unused Loan Commitment",L319="HQLA"),VLOOKUP(D319,'Customer Type'!$A$3:$C$38,3,0),"")</f>
        <v>#N/A</v>
      </c>
      <c r="P319" s="656" t="e">
        <f t="shared" si="128"/>
        <v>#N/A</v>
      </c>
      <c r="Q319" s="658">
        <f>IF(COUNTIF('Account Mapping'!$H$12:$H$45,A319)&gt;0,-H319,H319)</f>
        <v>1202.76</v>
      </c>
      <c r="R319" s="249" t="e">
        <f>VLOOKUP(P319,Assumptions!$C$2:$D$64,2,0)</f>
        <v>#N/A</v>
      </c>
      <c r="S319" s="692" t="str">
        <f>IFERROR(VLOOKUP(A319,'Maturity Adjustment'!$A$3:$C$81,3,0),(IF(J319&lt;$N$4,"Tomorrow",J319)))</f>
        <v>Tomorrow</v>
      </c>
      <c r="T319" s="24">
        <f t="shared" si="141"/>
        <v>1</v>
      </c>
      <c r="U319" s="196" t="e">
        <f t="shared" si="129"/>
        <v>#N/A</v>
      </c>
      <c r="V319" s="11" t="str">
        <f>IFERROR(VLOOKUP(A319,'Maturity Adjustment'!$A$86:$C$91,3,0),S319)</f>
        <v>Tomorrow</v>
      </c>
      <c r="W319" s="207" t="e">
        <f>VLOOKUP(A319,'Account Mapping'!$A$2:$F$216,6,0)</f>
        <v>#N/A</v>
      </c>
      <c r="X319" s="194">
        <f t="shared" si="130"/>
        <v>1202.76</v>
      </c>
      <c r="Y319" s="194">
        <f t="shared" si="131"/>
        <v>0</v>
      </c>
      <c r="Z319" s="13">
        <f t="shared" si="132"/>
        <v>0</v>
      </c>
      <c r="AA319" s="13">
        <f t="shared" si="133"/>
        <v>0</v>
      </c>
      <c r="AB319" s="13">
        <f t="shared" si="134"/>
        <v>0</v>
      </c>
      <c r="AC319" s="13">
        <f t="shared" si="135"/>
        <v>0</v>
      </c>
      <c r="AD319" s="13">
        <f t="shared" si="136"/>
        <v>0</v>
      </c>
      <c r="AE319" s="13">
        <f t="shared" si="137"/>
        <v>0</v>
      </c>
      <c r="AF319" s="13">
        <f t="shared" si="138"/>
        <v>0</v>
      </c>
      <c r="AG319" s="685">
        <f t="shared" si="139"/>
        <v>0</v>
      </c>
      <c r="AH319" s="688" t="b">
        <f t="shared" si="140"/>
        <v>1</v>
      </c>
    </row>
    <row r="320" spans="1:34" s="1" customFormat="1" ht="15" customHeight="1">
      <c r="A320" s="946">
        <v>12110002</v>
      </c>
      <c r="B320" s="946" t="s">
        <v>603</v>
      </c>
      <c r="C320" s="946" t="s">
        <v>630</v>
      </c>
      <c r="D320" s="946">
        <v>100000001</v>
      </c>
      <c r="E320" s="946" t="s">
        <v>33</v>
      </c>
      <c r="F320" s="946" t="s">
        <v>11</v>
      </c>
      <c r="G320" s="947">
        <v>3640.76</v>
      </c>
      <c r="H320" s="947">
        <v>3640.76</v>
      </c>
      <c r="I320" s="949">
        <v>44621</v>
      </c>
      <c r="J320" s="949">
        <v>45991</v>
      </c>
      <c r="K320" s="948"/>
      <c r="L320" s="29" t="e">
        <f>VLOOKUP(A320,'Account Mapping'!$A$2:$E$216,3,0)</f>
        <v>#N/A</v>
      </c>
      <c r="M320" s="25" t="e">
        <f>VLOOKUP(A320,'Account Mapping'!$A$2:$E$216,4,0)</f>
        <v>#N/A</v>
      </c>
      <c r="N320" s="26" t="e">
        <f>IF(OR(C320='Account Mapping'!$H$4,C320='Account Mapping'!$H$5,C320='Account Mapping'!$H$6),'Account Mapping'!$I$4,VLOOKUP(A320,'Account Mapping'!$A$2:$E$216,5,0))</f>
        <v>#N/A</v>
      </c>
      <c r="O320" s="27" t="e">
        <f>IF(OR(L320="Loan",L320="Deposit_Liability",L320="OFF_Unused Loan Commitment",L320="HQLA"),VLOOKUP(D320,'Customer Type'!$A$3:$C$38,3,0),"")</f>
        <v>#N/A</v>
      </c>
      <c r="P320" s="656" t="e">
        <f t="shared" si="128"/>
        <v>#N/A</v>
      </c>
      <c r="Q320" s="658">
        <f>IF(COUNTIF('Account Mapping'!$H$12:$H$45,A320)&gt;0,-H320,H320)</f>
        <v>3640.76</v>
      </c>
      <c r="R320" s="249" t="e">
        <f>VLOOKUP(P320,Assumptions!$C$2:$D$64,2,0)</f>
        <v>#N/A</v>
      </c>
      <c r="S320" s="692" t="str">
        <f>IFERROR(VLOOKUP(A320,'Maturity Adjustment'!$A$3:$C$81,3,0),(IF(J320&lt;$N$4,"Tomorrow",J320)))</f>
        <v>Tomorrow</v>
      </c>
      <c r="T320" s="24">
        <f t="shared" si="141"/>
        <v>1</v>
      </c>
      <c r="U320" s="196" t="e">
        <f t="shared" si="129"/>
        <v>#N/A</v>
      </c>
      <c r="V320" s="11" t="str">
        <f>IFERROR(VLOOKUP(A320,'Maturity Adjustment'!$A$86:$C$91,3,0),S320)</f>
        <v>Tomorrow</v>
      </c>
      <c r="W320" s="207" t="e">
        <f>VLOOKUP(A320,'Account Mapping'!$A$2:$F$216,6,0)</f>
        <v>#N/A</v>
      </c>
      <c r="X320" s="194">
        <f t="shared" si="130"/>
        <v>3640.76</v>
      </c>
      <c r="Y320" s="194">
        <f t="shared" si="131"/>
        <v>0</v>
      </c>
      <c r="Z320" s="13">
        <f t="shared" si="132"/>
        <v>0</v>
      </c>
      <c r="AA320" s="13">
        <f t="shared" si="133"/>
        <v>0</v>
      </c>
      <c r="AB320" s="13">
        <f t="shared" si="134"/>
        <v>0</v>
      </c>
      <c r="AC320" s="13">
        <f t="shared" si="135"/>
        <v>0</v>
      </c>
      <c r="AD320" s="13">
        <f t="shared" si="136"/>
        <v>0</v>
      </c>
      <c r="AE320" s="13">
        <f t="shared" si="137"/>
        <v>0</v>
      </c>
      <c r="AF320" s="13">
        <f t="shared" si="138"/>
        <v>0</v>
      </c>
      <c r="AG320" s="685">
        <f t="shared" si="139"/>
        <v>0</v>
      </c>
      <c r="AH320" s="688" t="b">
        <f t="shared" si="140"/>
        <v>1</v>
      </c>
    </row>
    <row r="321" spans="1:34" s="1" customFormat="1" ht="15" customHeight="1">
      <c r="A321" s="946">
        <v>12110002</v>
      </c>
      <c r="B321" s="946" t="s">
        <v>603</v>
      </c>
      <c r="C321" s="946" t="s">
        <v>631</v>
      </c>
      <c r="D321" s="946">
        <v>100000001</v>
      </c>
      <c r="E321" s="946" t="s">
        <v>33</v>
      </c>
      <c r="F321" s="946" t="s">
        <v>11</v>
      </c>
      <c r="G321" s="947">
        <v>27735</v>
      </c>
      <c r="H321" s="947">
        <v>27735</v>
      </c>
      <c r="I321" s="949">
        <v>44621</v>
      </c>
      <c r="J321" s="949">
        <v>46477</v>
      </c>
      <c r="K321" s="948"/>
      <c r="L321" s="29" t="e">
        <f>VLOOKUP(A321,'Account Mapping'!$A$2:$E$216,3,0)</f>
        <v>#N/A</v>
      </c>
      <c r="M321" s="25" t="e">
        <f>VLOOKUP(A321,'Account Mapping'!$A$2:$E$216,4,0)</f>
        <v>#N/A</v>
      </c>
      <c r="N321" s="26" t="e">
        <f>IF(OR(C321='Account Mapping'!$H$4,C321='Account Mapping'!$H$5,C321='Account Mapping'!$H$6),'Account Mapping'!$I$4,VLOOKUP(A321,'Account Mapping'!$A$2:$E$216,5,0))</f>
        <v>#N/A</v>
      </c>
      <c r="O321" s="27" t="e">
        <f>IF(OR(L321="Loan",L321="Deposit_Liability",L321="OFF_Unused Loan Commitment",L321="HQLA"),VLOOKUP(D321,'Customer Type'!$A$3:$C$38,3,0),"")</f>
        <v>#N/A</v>
      </c>
      <c r="P321" s="656" t="e">
        <f t="shared" si="128"/>
        <v>#N/A</v>
      </c>
      <c r="Q321" s="658">
        <f>IF(COUNTIF('Account Mapping'!$H$12:$H$45,A321)&gt;0,-H321,H321)</f>
        <v>27735</v>
      </c>
      <c r="R321" s="249" t="e">
        <f>VLOOKUP(P321,Assumptions!$C$2:$D$64,2,0)</f>
        <v>#N/A</v>
      </c>
      <c r="S321" s="692">
        <f>IFERROR(VLOOKUP(A321,'Maturity Adjustment'!$A$3:$C$81,3,0),(IF(J321&lt;$N$4,"Tomorrow",J321)))</f>
        <v>46477</v>
      </c>
      <c r="T321" s="24">
        <f t="shared" si="141"/>
        <v>419</v>
      </c>
      <c r="U321" s="196" t="e">
        <f t="shared" si="129"/>
        <v>#N/A</v>
      </c>
      <c r="V321" s="11">
        <f>IFERROR(VLOOKUP(A321,'Maturity Adjustment'!$A$86:$C$91,3,0),S321)</f>
        <v>46477</v>
      </c>
      <c r="W321" s="207" t="e">
        <f>VLOOKUP(A321,'Account Mapping'!$A$2:$F$216,6,0)</f>
        <v>#N/A</v>
      </c>
      <c r="X321" s="194">
        <f t="shared" si="130"/>
        <v>0</v>
      </c>
      <c r="Y321" s="194">
        <f t="shared" si="131"/>
        <v>0</v>
      </c>
      <c r="Z321" s="13">
        <f t="shared" si="132"/>
        <v>0</v>
      </c>
      <c r="AA321" s="13">
        <f t="shared" si="133"/>
        <v>0</v>
      </c>
      <c r="AB321" s="13">
        <f t="shared" si="134"/>
        <v>0</v>
      </c>
      <c r="AC321" s="13">
        <f t="shared" si="135"/>
        <v>0</v>
      </c>
      <c r="AD321" s="13">
        <f t="shared" si="136"/>
        <v>27735</v>
      </c>
      <c r="AE321" s="13">
        <f t="shared" si="137"/>
        <v>0</v>
      </c>
      <c r="AF321" s="13">
        <f t="shared" si="138"/>
        <v>0</v>
      </c>
      <c r="AG321" s="685">
        <f t="shared" si="139"/>
        <v>0</v>
      </c>
      <c r="AH321" s="688" t="b">
        <f t="shared" si="140"/>
        <v>1</v>
      </c>
    </row>
    <row r="322" spans="1:34" s="1" customFormat="1" ht="15" customHeight="1">
      <c r="A322" s="946">
        <v>12110002</v>
      </c>
      <c r="B322" s="946" t="s">
        <v>603</v>
      </c>
      <c r="C322" s="946" t="s">
        <v>632</v>
      </c>
      <c r="D322" s="946">
        <v>100000001</v>
      </c>
      <c r="E322" s="946" t="s">
        <v>33</v>
      </c>
      <c r="F322" s="946" t="s">
        <v>11</v>
      </c>
      <c r="G322" s="947">
        <v>4665</v>
      </c>
      <c r="H322" s="947">
        <v>4665</v>
      </c>
      <c r="I322" s="949">
        <v>44805</v>
      </c>
      <c r="J322" s="949">
        <v>46265</v>
      </c>
      <c r="K322" s="948"/>
      <c r="L322" s="29" t="e">
        <f>VLOOKUP(A322,'Account Mapping'!$A$2:$E$216,3,0)</f>
        <v>#N/A</v>
      </c>
      <c r="M322" s="25" t="e">
        <f>VLOOKUP(A322,'Account Mapping'!$A$2:$E$216,4,0)</f>
        <v>#N/A</v>
      </c>
      <c r="N322" s="26" t="e">
        <f>IF(OR(C322='Account Mapping'!$H$4,C322='Account Mapping'!$H$5,C322='Account Mapping'!$H$6),'Account Mapping'!$I$4,VLOOKUP(A322,'Account Mapping'!$A$2:$E$216,5,0))</f>
        <v>#N/A</v>
      </c>
      <c r="O322" s="27" t="e">
        <f>IF(OR(L322="Loan",L322="Deposit_Liability",L322="OFF_Unused Loan Commitment",L322="HQLA"),VLOOKUP(D322,'Customer Type'!$A$3:$C$38,3,0),"")</f>
        <v>#N/A</v>
      </c>
      <c r="P322" s="656" t="e">
        <f t="shared" si="128"/>
        <v>#N/A</v>
      </c>
      <c r="Q322" s="658">
        <f>IF(COUNTIF('Account Mapping'!$H$12:$H$45,A322)&gt;0,-H322,H322)</f>
        <v>4665</v>
      </c>
      <c r="R322" s="249" t="e">
        <f>VLOOKUP(P322,Assumptions!$C$2:$D$64,2,0)</f>
        <v>#N/A</v>
      </c>
      <c r="S322" s="692">
        <f>IFERROR(VLOOKUP(A322,'Maturity Adjustment'!$A$3:$C$81,3,0),(IF(J322&lt;$N$4,"Tomorrow",J322)))</f>
        <v>46265</v>
      </c>
      <c r="T322" s="24">
        <f t="shared" si="141"/>
        <v>207</v>
      </c>
      <c r="U322" s="196" t="e">
        <f t="shared" si="129"/>
        <v>#N/A</v>
      </c>
      <c r="V322" s="11">
        <f>IFERROR(VLOOKUP(A322,'Maturity Adjustment'!$A$86:$C$91,3,0),S322)</f>
        <v>46265</v>
      </c>
      <c r="W322" s="207" t="e">
        <f>VLOOKUP(A322,'Account Mapping'!$A$2:$F$216,6,0)</f>
        <v>#N/A</v>
      </c>
      <c r="X322" s="194">
        <f t="shared" si="130"/>
        <v>0</v>
      </c>
      <c r="Y322" s="194">
        <f t="shared" si="131"/>
        <v>0</v>
      </c>
      <c r="Z322" s="13">
        <f t="shared" si="132"/>
        <v>0</v>
      </c>
      <c r="AA322" s="13">
        <f t="shared" si="133"/>
        <v>0</v>
      </c>
      <c r="AB322" s="13">
        <f t="shared" si="134"/>
        <v>0</v>
      </c>
      <c r="AC322" s="13">
        <f t="shared" si="135"/>
        <v>4665</v>
      </c>
      <c r="AD322" s="13">
        <f t="shared" si="136"/>
        <v>0</v>
      </c>
      <c r="AE322" s="13">
        <f t="shared" si="137"/>
        <v>0</v>
      </c>
      <c r="AF322" s="13">
        <f t="shared" si="138"/>
        <v>0</v>
      </c>
      <c r="AG322" s="685">
        <f t="shared" si="139"/>
        <v>0</v>
      </c>
      <c r="AH322" s="688" t="b">
        <f t="shared" si="140"/>
        <v>1</v>
      </c>
    </row>
    <row r="323" spans="1:34" s="1" customFormat="1" ht="15" customHeight="1">
      <c r="A323" s="946">
        <v>12110002</v>
      </c>
      <c r="B323" s="946" t="s">
        <v>603</v>
      </c>
      <c r="C323" s="946" t="s">
        <v>633</v>
      </c>
      <c r="D323" s="946">
        <v>100000001</v>
      </c>
      <c r="E323" s="946" t="s">
        <v>33</v>
      </c>
      <c r="F323" s="946" t="s">
        <v>11</v>
      </c>
      <c r="G323" s="947">
        <v>3297</v>
      </c>
      <c r="H323" s="947">
        <v>3297</v>
      </c>
      <c r="I323" s="949">
        <v>45098</v>
      </c>
      <c r="J323" s="949">
        <v>46568</v>
      </c>
      <c r="K323" s="948"/>
      <c r="L323" s="29" t="e">
        <f>VLOOKUP(A323,'Account Mapping'!$A$2:$E$216,3,0)</f>
        <v>#N/A</v>
      </c>
      <c r="M323" s="25" t="e">
        <f>VLOOKUP(A323,'Account Mapping'!$A$2:$E$216,4,0)</f>
        <v>#N/A</v>
      </c>
      <c r="N323" s="26" t="e">
        <f>IF(OR(C323='Account Mapping'!$H$4,C323='Account Mapping'!$H$5,C323='Account Mapping'!$H$6),'Account Mapping'!$I$4,VLOOKUP(A323,'Account Mapping'!$A$2:$E$216,5,0))</f>
        <v>#N/A</v>
      </c>
      <c r="O323" s="27" t="e">
        <f>IF(OR(L323="Loan",L323="Deposit_Liability",L323="OFF_Unused Loan Commitment",L323="HQLA"),VLOOKUP(D323,'Customer Type'!$A$3:$C$38,3,0),"")</f>
        <v>#N/A</v>
      </c>
      <c r="P323" s="656" t="e">
        <f t="shared" si="128"/>
        <v>#N/A</v>
      </c>
      <c r="Q323" s="658">
        <f>IF(COUNTIF('Account Mapping'!$H$12:$H$45,A323)&gt;0,-H323,H323)</f>
        <v>3297</v>
      </c>
      <c r="R323" s="249" t="e">
        <f>VLOOKUP(P323,Assumptions!$C$2:$D$64,2,0)</f>
        <v>#N/A</v>
      </c>
      <c r="S323" s="692">
        <f>IFERROR(VLOOKUP(A323,'Maturity Adjustment'!$A$3:$C$81,3,0),(IF(J323&lt;$N$4,"Tomorrow",J323)))</f>
        <v>46568</v>
      </c>
      <c r="T323" s="24">
        <f t="shared" si="141"/>
        <v>510</v>
      </c>
      <c r="U323" s="196" t="e">
        <f t="shared" si="129"/>
        <v>#N/A</v>
      </c>
      <c r="V323" s="11">
        <f>IFERROR(VLOOKUP(A323,'Maturity Adjustment'!$A$86:$C$91,3,0),S323)</f>
        <v>46568</v>
      </c>
      <c r="W323" s="207" t="e">
        <f>VLOOKUP(A323,'Account Mapping'!$A$2:$F$216,6,0)</f>
        <v>#N/A</v>
      </c>
      <c r="X323" s="194">
        <f t="shared" si="130"/>
        <v>0</v>
      </c>
      <c r="Y323" s="194">
        <f t="shared" si="131"/>
        <v>0</v>
      </c>
      <c r="Z323" s="13">
        <f t="shared" si="132"/>
        <v>0</v>
      </c>
      <c r="AA323" s="13">
        <f t="shared" si="133"/>
        <v>0</v>
      </c>
      <c r="AB323" s="13">
        <f t="shared" si="134"/>
        <v>0</v>
      </c>
      <c r="AC323" s="13">
        <f t="shared" si="135"/>
        <v>0</v>
      </c>
      <c r="AD323" s="13">
        <f t="shared" si="136"/>
        <v>3297</v>
      </c>
      <c r="AE323" s="13">
        <f t="shared" si="137"/>
        <v>0</v>
      </c>
      <c r="AF323" s="13">
        <f t="shared" si="138"/>
        <v>0</v>
      </c>
      <c r="AG323" s="685">
        <f t="shared" si="139"/>
        <v>0</v>
      </c>
      <c r="AH323" s="688" t="b">
        <f t="shared" si="140"/>
        <v>1</v>
      </c>
    </row>
    <row r="324" spans="1:34" s="1" customFormat="1" ht="15" customHeight="1">
      <c r="A324" s="946">
        <v>12110002</v>
      </c>
      <c r="B324" s="946" t="s">
        <v>603</v>
      </c>
      <c r="C324" s="946" t="s">
        <v>845</v>
      </c>
      <c r="D324" s="946">
        <v>100000001</v>
      </c>
      <c r="E324" s="946" t="s">
        <v>33</v>
      </c>
      <c r="F324" s="946" t="s">
        <v>11</v>
      </c>
      <c r="G324" s="947">
        <v>2962.05</v>
      </c>
      <c r="H324" s="947">
        <v>2962.05</v>
      </c>
      <c r="I324" s="949">
        <v>45226</v>
      </c>
      <c r="J324" s="949">
        <v>45808</v>
      </c>
      <c r="K324" s="948"/>
      <c r="L324" s="29" t="e">
        <f>VLOOKUP(A324,'Account Mapping'!$A$2:$E$216,3,0)</f>
        <v>#N/A</v>
      </c>
      <c r="M324" s="25" t="e">
        <f>VLOOKUP(A324,'Account Mapping'!$A$2:$E$216,4,0)</f>
        <v>#N/A</v>
      </c>
      <c r="N324" s="26" t="e">
        <f>IF(OR(C324='Account Mapping'!$H$4,C324='Account Mapping'!$H$5,C324='Account Mapping'!$H$6),'Account Mapping'!$I$4,VLOOKUP(A324,'Account Mapping'!$A$2:$E$216,5,0))</f>
        <v>#N/A</v>
      </c>
      <c r="O324" s="27" t="e">
        <f>IF(OR(L324="Loan",L324="Deposit_Liability",L324="OFF_Unused Loan Commitment",L324="HQLA"),VLOOKUP(D324,'Customer Type'!$A$3:$C$38,3,0),"")</f>
        <v>#N/A</v>
      </c>
      <c r="P324" s="656" t="e">
        <f t="shared" si="128"/>
        <v>#N/A</v>
      </c>
      <c r="Q324" s="658">
        <f>IF(COUNTIF('Account Mapping'!$H$12:$H$45,A324)&gt;0,-H324,H324)</f>
        <v>2962.05</v>
      </c>
      <c r="R324" s="249" t="e">
        <f>VLOOKUP(P324,Assumptions!$C$2:$D$64,2,0)</f>
        <v>#N/A</v>
      </c>
      <c r="S324" s="692" t="str">
        <f>IFERROR(VLOOKUP(A324,'Maturity Adjustment'!$A$3:$C$81,3,0),(IF(J324&lt;$N$4,"Tomorrow",J324)))</f>
        <v>Tomorrow</v>
      </c>
      <c r="T324" s="24">
        <f t="shared" si="141"/>
        <v>1</v>
      </c>
      <c r="U324" s="196" t="e">
        <f t="shared" si="129"/>
        <v>#N/A</v>
      </c>
      <c r="V324" s="11" t="str">
        <f>IFERROR(VLOOKUP(A324,'Maturity Adjustment'!$A$86:$C$91,3,0),S324)</f>
        <v>Tomorrow</v>
      </c>
      <c r="W324" s="207" t="e">
        <f>VLOOKUP(A324,'Account Mapping'!$A$2:$F$216,6,0)</f>
        <v>#N/A</v>
      </c>
      <c r="X324" s="194">
        <f t="shared" si="130"/>
        <v>2962.05</v>
      </c>
      <c r="Y324" s="194">
        <f t="shared" si="131"/>
        <v>0</v>
      </c>
      <c r="Z324" s="13">
        <f t="shared" si="132"/>
        <v>0</v>
      </c>
      <c r="AA324" s="13">
        <f t="shared" si="133"/>
        <v>0</v>
      </c>
      <c r="AB324" s="13">
        <f t="shared" si="134"/>
        <v>0</v>
      </c>
      <c r="AC324" s="13">
        <f t="shared" si="135"/>
        <v>0</v>
      </c>
      <c r="AD324" s="13">
        <f t="shared" si="136"/>
        <v>0</v>
      </c>
      <c r="AE324" s="13">
        <f t="shared" si="137"/>
        <v>0</v>
      </c>
      <c r="AF324" s="13">
        <f t="shared" si="138"/>
        <v>0</v>
      </c>
      <c r="AG324" s="685">
        <f t="shared" si="139"/>
        <v>0</v>
      </c>
      <c r="AH324" s="688" t="b">
        <f t="shared" si="140"/>
        <v>1</v>
      </c>
    </row>
    <row r="325" spans="1:34" s="1" customFormat="1" ht="15" customHeight="1">
      <c r="A325" s="946">
        <v>12110002</v>
      </c>
      <c r="B325" s="946" t="s">
        <v>603</v>
      </c>
      <c r="C325" s="946" t="s">
        <v>846</v>
      </c>
      <c r="D325" s="946">
        <v>100000001</v>
      </c>
      <c r="E325" s="946" t="s">
        <v>33</v>
      </c>
      <c r="F325" s="946" t="s">
        <v>11</v>
      </c>
      <c r="G325" s="947">
        <v>353.88</v>
      </c>
      <c r="H325" s="947">
        <v>353.88</v>
      </c>
      <c r="I325" s="949">
        <v>45226</v>
      </c>
      <c r="J325" s="949">
        <v>45808</v>
      </c>
      <c r="K325" s="948"/>
      <c r="L325" s="29" t="e">
        <f>VLOOKUP(A325,'Account Mapping'!$A$2:$E$216,3,0)</f>
        <v>#N/A</v>
      </c>
      <c r="M325" s="25" t="e">
        <f>VLOOKUP(A325,'Account Mapping'!$A$2:$E$216,4,0)</f>
        <v>#N/A</v>
      </c>
      <c r="N325" s="26" t="e">
        <f>IF(OR(C325='Account Mapping'!$H$4,C325='Account Mapping'!$H$5,C325='Account Mapping'!$H$6),'Account Mapping'!$I$4,VLOOKUP(A325,'Account Mapping'!$A$2:$E$216,5,0))</f>
        <v>#N/A</v>
      </c>
      <c r="O325" s="27" t="e">
        <f>IF(OR(L325="Loan",L325="Deposit_Liability",L325="OFF_Unused Loan Commitment",L325="HQLA"),VLOOKUP(D325,'Customer Type'!$A$3:$C$38,3,0),"")</f>
        <v>#N/A</v>
      </c>
      <c r="P325" s="656" t="e">
        <f t="shared" si="128"/>
        <v>#N/A</v>
      </c>
      <c r="Q325" s="658">
        <f>IF(COUNTIF('Account Mapping'!$H$12:$H$45,A325)&gt;0,-H325,H325)</f>
        <v>353.88</v>
      </c>
      <c r="R325" s="249" t="e">
        <f>VLOOKUP(P325,Assumptions!$C$2:$D$64,2,0)</f>
        <v>#N/A</v>
      </c>
      <c r="S325" s="692" t="str">
        <f>IFERROR(VLOOKUP(A325,'Maturity Adjustment'!$A$3:$C$81,3,0),(IF(J325&lt;$N$4,"Tomorrow",J325)))</f>
        <v>Tomorrow</v>
      </c>
      <c r="T325" s="24">
        <f t="shared" si="141"/>
        <v>1</v>
      </c>
      <c r="U325" s="196" t="e">
        <f t="shared" si="129"/>
        <v>#N/A</v>
      </c>
      <c r="V325" s="11" t="str">
        <f>IFERROR(VLOOKUP(A325,'Maturity Adjustment'!$A$86:$C$91,3,0),S325)</f>
        <v>Tomorrow</v>
      </c>
      <c r="W325" s="207" t="e">
        <f>VLOOKUP(A325,'Account Mapping'!$A$2:$F$216,6,0)</f>
        <v>#N/A</v>
      </c>
      <c r="X325" s="194">
        <f t="shared" si="130"/>
        <v>353.88</v>
      </c>
      <c r="Y325" s="194">
        <f t="shared" si="131"/>
        <v>0</v>
      </c>
      <c r="Z325" s="13">
        <f t="shared" si="132"/>
        <v>0</v>
      </c>
      <c r="AA325" s="13">
        <f t="shared" si="133"/>
        <v>0</v>
      </c>
      <c r="AB325" s="13">
        <f t="shared" si="134"/>
        <v>0</v>
      </c>
      <c r="AC325" s="13">
        <f t="shared" si="135"/>
        <v>0</v>
      </c>
      <c r="AD325" s="13">
        <f t="shared" si="136"/>
        <v>0</v>
      </c>
      <c r="AE325" s="13">
        <f t="shared" si="137"/>
        <v>0</v>
      </c>
      <c r="AF325" s="13">
        <f t="shared" si="138"/>
        <v>0</v>
      </c>
      <c r="AG325" s="685">
        <f t="shared" si="139"/>
        <v>0</v>
      </c>
      <c r="AH325" s="688" t="b">
        <f t="shared" si="140"/>
        <v>1</v>
      </c>
    </row>
    <row r="326" spans="1:34" s="1" customFormat="1" ht="15" customHeight="1">
      <c r="A326" s="946">
        <v>12110002</v>
      </c>
      <c r="B326" s="946" t="s">
        <v>603</v>
      </c>
      <c r="C326" s="946" t="s">
        <v>847</v>
      </c>
      <c r="D326" s="946">
        <v>100000001</v>
      </c>
      <c r="E326" s="946" t="s">
        <v>33</v>
      </c>
      <c r="F326" s="946" t="s">
        <v>11</v>
      </c>
      <c r="G326" s="947">
        <v>58.97</v>
      </c>
      <c r="H326" s="947">
        <v>58.97</v>
      </c>
      <c r="I326" s="949">
        <v>45226</v>
      </c>
      <c r="J326" s="949">
        <v>45808</v>
      </c>
      <c r="K326" s="948"/>
      <c r="L326" s="29" t="e">
        <f>VLOOKUP(A326,'Account Mapping'!$A$2:$E$216,3,0)</f>
        <v>#N/A</v>
      </c>
      <c r="M326" s="25" t="e">
        <f>VLOOKUP(A326,'Account Mapping'!$A$2:$E$216,4,0)</f>
        <v>#N/A</v>
      </c>
      <c r="N326" s="26" t="e">
        <f>IF(OR(C326='Account Mapping'!$H$4,C326='Account Mapping'!$H$5,C326='Account Mapping'!$H$6),'Account Mapping'!$I$4,VLOOKUP(A326,'Account Mapping'!$A$2:$E$216,5,0))</f>
        <v>#N/A</v>
      </c>
      <c r="O326" s="27" t="e">
        <f>IF(OR(L326="Loan",L326="Deposit_Liability",L326="OFF_Unused Loan Commitment",L326="HQLA"),VLOOKUP(D326,'Customer Type'!$A$3:$C$38,3,0),"")</f>
        <v>#N/A</v>
      </c>
      <c r="P326" s="656" t="e">
        <f t="shared" si="128"/>
        <v>#N/A</v>
      </c>
      <c r="Q326" s="658">
        <f>IF(COUNTIF('Account Mapping'!$H$12:$H$45,A326)&gt;0,-H326,H326)</f>
        <v>58.97</v>
      </c>
      <c r="R326" s="249" t="e">
        <f>VLOOKUP(P326,Assumptions!$C$2:$D$64,2,0)</f>
        <v>#N/A</v>
      </c>
      <c r="S326" s="692" t="str">
        <f>IFERROR(VLOOKUP(A326,'Maturity Adjustment'!$A$3:$C$81,3,0),(IF(J326&lt;$N$4,"Tomorrow",J326)))</f>
        <v>Tomorrow</v>
      </c>
      <c r="T326" s="24">
        <f t="shared" si="141"/>
        <v>1</v>
      </c>
      <c r="U326" s="196" t="e">
        <f t="shared" si="129"/>
        <v>#N/A</v>
      </c>
      <c r="V326" s="11" t="str">
        <f>IFERROR(VLOOKUP(A326,'Maturity Adjustment'!$A$86:$C$91,3,0),S326)</f>
        <v>Tomorrow</v>
      </c>
      <c r="W326" s="207" t="e">
        <f>VLOOKUP(A326,'Account Mapping'!$A$2:$F$216,6,0)</f>
        <v>#N/A</v>
      </c>
      <c r="X326" s="194">
        <f t="shared" si="130"/>
        <v>58.97</v>
      </c>
      <c r="Y326" s="194">
        <f t="shared" si="131"/>
        <v>0</v>
      </c>
      <c r="Z326" s="13">
        <f t="shared" si="132"/>
        <v>0</v>
      </c>
      <c r="AA326" s="13">
        <f t="shared" si="133"/>
        <v>0</v>
      </c>
      <c r="AB326" s="13">
        <f t="shared" si="134"/>
        <v>0</v>
      </c>
      <c r="AC326" s="13">
        <f t="shared" si="135"/>
        <v>0</v>
      </c>
      <c r="AD326" s="13">
        <f t="shared" si="136"/>
        <v>0</v>
      </c>
      <c r="AE326" s="13">
        <f t="shared" si="137"/>
        <v>0</v>
      </c>
      <c r="AF326" s="13">
        <f t="shared" si="138"/>
        <v>0</v>
      </c>
      <c r="AG326" s="685">
        <f t="shared" si="139"/>
        <v>0</v>
      </c>
      <c r="AH326" s="688" t="b">
        <f t="shared" si="140"/>
        <v>1</v>
      </c>
    </row>
    <row r="327" spans="1:34" s="1" customFormat="1" ht="15" customHeight="1">
      <c r="A327" s="946">
        <v>12110002</v>
      </c>
      <c r="B327" s="946" t="s">
        <v>603</v>
      </c>
      <c r="C327" s="946" t="s">
        <v>848</v>
      </c>
      <c r="D327" s="946">
        <v>100000001</v>
      </c>
      <c r="E327" s="946" t="s">
        <v>33</v>
      </c>
      <c r="F327" s="946" t="s">
        <v>11</v>
      </c>
      <c r="G327" s="947">
        <v>227.6</v>
      </c>
      <c r="H327" s="947">
        <v>227.6</v>
      </c>
      <c r="I327" s="949">
        <v>45226</v>
      </c>
      <c r="J327" s="949">
        <v>45808</v>
      </c>
      <c r="K327" s="948"/>
      <c r="L327" s="29" t="e">
        <f>VLOOKUP(A327,'Account Mapping'!$A$2:$E$216,3,0)</f>
        <v>#N/A</v>
      </c>
      <c r="M327" s="25" t="e">
        <f>VLOOKUP(A327,'Account Mapping'!$A$2:$E$216,4,0)</f>
        <v>#N/A</v>
      </c>
      <c r="N327" s="26" t="e">
        <f>IF(OR(C327='Account Mapping'!$H$4,C327='Account Mapping'!$H$5,C327='Account Mapping'!$H$6),'Account Mapping'!$I$4,VLOOKUP(A327,'Account Mapping'!$A$2:$E$216,5,0))</f>
        <v>#N/A</v>
      </c>
      <c r="O327" s="27" t="e">
        <f>IF(OR(L327="Loan",L327="Deposit_Liability",L327="OFF_Unused Loan Commitment",L327="HQLA"),VLOOKUP(D327,'Customer Type'!$A$3:$C$38,3,0),"")</f>
        <v>#N/A</v>
      </c>
      <c r="P327" s="656" t="e">
        <f t="shared" si="128"/>
        <v>#N/A</v>
      </c>
      <c r="Q327" s="658">
        <f>IF(COUNTIF('Account Mapping'!$H$12:$H$45,A327)&gt;0,-H327,H327)</f>
        <v>227.6</v>
      </c>
      <c r="R327" s="249" t="e">
        <f>VLOOKUP(P327,Assumptions!$C$2:$D$64,2,0)</f>
        <v>#N/A</v>
      </c>
      <c r="S327" s="692" t="str">
        <f>IFERROR(VLOOKUP(A327,'Maturity Adjustment'!$A$3:$C$81,3,0),(IF(J327&lt;$N$4,"Tomorrow",J327)))</f>
        <v>Tomorrow</v>
      </c>
      <c r="T327" s="24">
        <f t="shared" si="141"/>
        <v>1</v>
      </c>
      <c r="U327" s="196" t="e">
        <f t="shared" si="129"/>
        <v>#N/A</v>
      </c>
      <c r="V327" s="11" t="str">
        <f>IFERROR(VLOOKUP(A327,'Maturity Adjustment'!$A$86:$C$91,3,0),S327)</f>
        <v>Tomorrow</v>
      </c>
      <c r="W327" s="207" t="e">
        <f>VLOOKUP(A327,'Account Mapping'!$A$2:$F$216,6,0)</f>
        <v>#N/A</v>
      </c>
      <c r="X327" s="194">
        <f t="shared" si="130"/>
        <v>227.6</v>
      </c>
      <c r="Y327" s="194">
        <f t="shared" si="131"/>
        <v>0</v>
      </c>
      <c r="Z327" s="13">
        <f t="shared" si="132"/>
        <v>0</v>
      </c>
      <c r="AA327" s="13">
        <f t="shared" si="133"/>
        <v>0</v>
      </c>
      <c r="AB327" s="13">
        <f t="shared" si="134"/>
        <v>0</v>
      </c>
      <c r="AC327" s="13">
        <f t="shared" si="135"/>
        <v>0</v>
      </c>
      <c r="AD327" s="13">
        <f t="shared" si="136"/>
        <v>0</v>
      </c>
      <c r="AE327" s="13">
        <f t="shared" si="137"/>
        <v>0</v>
      </c>
      <c r="AF327" s="13">
        <f t="shared" si="138"/>
        <v>0</v>
      </c>
      <c r="AG327" s="685">
        <f t="shared" si="139"/>
        <v>0</v>
      </c>
      <c r="AH327" s="688" t="b">
        <f t="shared" si="140"/>
        <v>1</v>
      </c>
    </row>
    <row r="328" spans="1:34" s="1" customFormat="1" ht="15" customHeight="1">
      <c r="A328" s="946">
        <v>12110002</v>
      </c>
      <c r="B328" s="946" t="s">
        <v>603</v>
      </c>
      <c r="C328" s="946" t="s">
        <v>859</v>
      </c>
      <c r="D328" s="946">
        <v>100000001</v>
      </c>
      <c r="E328" s="946" t="s">
        <v>33</v>
      </c>
      <c r="F328" s="946" t="s">
        <v>11</v>
      </c>
      <c r="G328" s="947">
        <v>6054.95</v>
      </c>
      <c r="H328" s="947">
        <v>6054.95</v>
      </c>
      <c r="I328" s="949">
        <v>45259</v>
      </c>
      <c r="J328" s="949">
        <v>46721</v>
      </c>
      <c r="K328" s="948"/>
      <c r="L328" s="29" t="e">
        <f>VLOOKUP(A328,'Account Mapping'!$A$2:$E$216,3,0)</f>
        <v>#N/A</v>
      </c>
      <c r="M328" s="25" t="e">
        <f>VLOOKUP(A328,'Account Mapping'!$A$2:$E$216,4,0)</f>
        <v>#N/A</v>
      </c>
      <c r="N328" s="26" t="e">
        <f>IF(OR(C328='Account Mapping'!$H$4,C328='Account Mapping'!$H$5,C328='Account Mapping'!$H$6),'Account Mapping'!$I$4,VLOOKUP(A328,'Account Mapping'!$A$2:$E$216,5,0))</f>
        <v>#N/A</v>
      </c>
      <c r="O328" s="27" t="e">
        <f>IF(OR(L328="Loan",L328="Deposit_Liability",L328="OFF_Unused Loan Commitment",L328="HQLA"),VLOOKUP(D328,'Customer Type'!$A$3:$C$38,3,0),"")</f>
        <v>#N/A</v>
      </c>
      <c r="P328" s="656" t="e">
        <f t="shared" ref="P328:P391" si="142">M328&amp;"_"&amp;O328</f>
        <v>#N/A</v>
      </c>
      <c r="Q328" s="658">
        <f>IF(COUNTIF('Account Mapping'!$H$12:$H$45,A328)&gt;0,-H328,H328)</f>
        <v>6054.95</v>
      </c>
      <c r="R328" s="249" t="e">
        <f>VLOOKUP(P328,Assumptions!$C$2:$D$64,2,0)</f>
        <v>#N/A</v>
      </c>
      <c r="S328" s="692">
        <f>IFERROR(VLOOKUP(A328,'Maturity Adjustment'!$A$3:$C$81,3,0),(IF(J328&lt;$N$4,"Tomorrow",J328)))</f>
        <v>46721</v>
      </c>
      <c r="T328" s="24">
        <f t="shared" si="141"/>
        <v>663</v>
      </c>
      <c r="U328" s="196" t="e">
        <f t="shared" ref="U328:U391" si="143">Q328*R328</f>
        <v>#N/A</v>
      </c>
      <c r="V328" s="11">
        <f>IFERROR(VLOOKUP(A328,'Maturity Adjustment'!$A$86:$C$91,3,0),S328)</f>
        <v>46721</v>
      </c>
      <c r="W328" s="207" t="e">
        <f>VLOOKUP(A328,'Account Mapping'!$A$2:$F$216,6,0)</f>
        <v>#N/A</v>
      </c>
      <c r="X328" s="194">
        <f t="shared" ref="X328:X391" si="144">IF(V328="Tomorrow",Q328,IF(AND(V328&gt;$X$4-1,V328&lt;$X$5),Q328,IF(V328=$X$5,Q328,0)))</f>
        <v>0</v>
      </c>
      <c r="Y328" s="194">
        <f t="shared" ref="Y328:Y391" si="145">IF(AND(V328&gt;$Y$4-1,V328&lt;$Y$5),Q328,IF(V328=$Y$5,Q328,0))</f>
        <v>0</v>
      </c>
      <c r="Z328" s="13">
        <f t="shared" ref="Z328:Z391" si="146">IF(AND(V328&gt;$Z$4-1,V328&lt;$Z$5),Q328,IF(V328=$Z$5,Q328,0))</f>
        <v>0</v>
      </c>
      <c r="AA328" s="13">
        <f t="shared" ref="AA328:AA391" si="147">IF(AND(V328&gt;$AA$4-1,V328&lt;$AA$5),Q328,IF(V328=$AA$5,Q328,0))</f>
        <v>0</v>
      </c>
      <c r="AB328" s="13">
        <f t="shared" ref="AB328:AB391" si="148">IF(AND(V328&gt;$AB$4-1,V328&lt;$AB$5),Q328,IF(V328=$AB$5,Q328,0))</f>
        <v>0</v>
      </c>
      <c r="AC328" s="13">
        <f t="shared" ref="AC328:AC391" si="149">IF(AND(V328&gt;$AC$4-1,V328&lt;$AC$5),Q328,IF(V328=$AC$5,Q328,0))</f>
        <v>0</v>
      </c>
      <c r="AD328" s="13">
        <f t="shared" ref="AD328:AD391" si="150">IF(AND(V328&gt;$AD$4-1,V328&lt;$AD$5),Q328,IF(V328=$AD$5,Q328,0))</f>
        <v>6054.95</v>
      </c>
      <c r="AE328" s="13">
        <f t="shared" ref="AE328:AE391" si="151">IF(AND(V328&gt;$AE$4-1,V328&lt;$AE$5),Q328,IF(V328=$AE$5,Q328,0))</f>
        <v>0</v>
      </c>
      <c r="AF328" s="13">
        <f t="shared" ref="AF328:AF391" si="152">IF(AND(V328&gt;$AF$4-1,V328&lt;$AF$5),Q328,IF(V328=$AF$5,Q328,0))</f>
        <v>0</v>
      </c>
      <c r="AG328" s="685">
        <f t="shared" ref="AG328:AG391" si="153">IF(AND(V328&gt;$AG$4-1,V328&lt;$AG$5),Q328,IF(V328=$AG$5,Q328,0))</f>
        <v>0</v>
      </c>
      <c r="AH328" s="688" t="b">
        <f t="shared" ref="AH328:AH391" si="154">Q328=SUM(X328:AG328)</f>
        <v>1</v>
      </c>
    </row>
    <row r="329" spans="1:34" s="1" customFormat="1" ht="15" customHeight="1">
      <c r="A329" s="946">
        <v>12110002</v>
      </c>
      <c r="B329" s="946" t="s">
        <v>603</v>
      </c>
      <c r="C329" s="946" t="s">
        <v>1225</v>
      </c>
      <c r="D329" s="946">
        <v>100000001</v>
      </c>
      <c r="E329" s="946" t="s">
        <v>33</v>
      </c>
      <c r="F329" s="946" t="s">
        <v>11</v>
      </c>
      <c r="G329" s="947">
        <v>636</v>
      </c>
      <c r="H329" s="947">
        <v>636</v>
      </c>
      <c r="I329" s="949">
        <v>45443</v>
      </c>
      <c r="J329" s="949">
        <v>46904</v>
      </c>
      <c r="K329" s="948"/>
      <c r="L329" s="29" t="e">
        <f>VLOOKUP(A329,'Account Mapping'!$A$2:$E$216,3,0)</f>
        <v>#N/A</v>
      </c>
      <c r="M329" s="25" t="e">
        <f>VLOOKUP(A329,'Account Mapping'!$A$2:$E$216,4,0)</f>
        <v>#N/A</v>
      </c>
      <c r="N329" s="26" t="e">
        <f>IF(OR(C329='Account Mapping'!$H$4,C329='Account Mapping'!$H$5,C329='Account Mapping'!$H$6),'Account Mapping'!$I$4,VLOOKUP(A329,'Account Mapping'!$A$2:$E$216,5,0))</f>
        <v>#N/A</v>
      </c>
      <c r="O329" s="27" t="e">
        <f>IF(OR(L329="Loan",L329="Deposit_Liability",L329="OFF_Unused Loan Commitment",L329="HQLA"),VLOOKUP(D329,'Customer Type'!$A$3:$C$38,3,0),"")</f>
        <v>#N/A</v>
      </c>
      <c r="P329" s="656" t="e">
        <f t="shared" si="142"/>
        <v>#N/A</v>
      </c>
      <c r="Q329" s="658">
        <f>IF(COUNTIF('Account Mapping'!$H$12:$H$45,A329)&gt;0,-H329,H329)</f>
        <v>636</v>
      </c>
      <c r="R329" s="249" t="e">
        <f>VLOOKUP(P329,Assumptions!$C$2:$D$64,2,0)</f>
        <v>#N/A</v>
      </c>
      <c r="S329" s="692">
        <f>IFERROR(VLOOKUP(A329,'Maturity Adjustment'!$A$3:$C$81,3,0),(IF(J329&lt;$N$4,"Tomorrow",J329)))</f>
        <v>46904</v>
      </c>
      <c r="T329" s="24">
        <f t="shared" si="141"/>
        <v>846</v>
      </c>
      <c r="U329" s="196" t="e">
        <f t="shared" si="143"/>
        <v>#N/A</v>
      </c>
      <c r="V329" s="11">
        <f>IFERROR(VLOOKUP(A329,'Maturity Adjustment'!$A$86:$C$91,3,0),S329)</f>
        <v>46904</v>
      </c>
      <c r="W329" s="207" t="e">
        <f>VLOOKUP(A329,'Account Mapping'!$A$2:$F$216,6,0)</f>
        <v>#N/A</v>
      </c>
      <c r="X329" s="194">
        <f t="shared" si="144"/>
        <v>0</v>
      </c>
      <c r="Y329" s="194">
        <f t="shared" si="145"/>
        <v>0</v>
      </c>
      <c r="Z329" s="13">
        <f t="shared" si="146"/>
        <v>0</v>
      </c>
      <c r="AA329" s="13">
        <f t="shared" si="147"/>
        <v>0</v>
      </c>
      <c r="AB329" s="13">
        <f t="shared" si="148"/>
        <v>0</v>
      </c>
      <c r="AC329" s="13">
        <f t="shared" si="149"/>
        <v>0</v>
      </c>
      <c r="AD329" s="13">
        <f t="shared" si="150"/>
        <v>636</v>
      </c>
      <c r="AE329" s="13">
        <f t="shared" si="151"/>
        <v>0</v>
      </c>
      <c r="AF329" s="13">
        <f t="shared" si="152"/>
        <v>0</v>
      </c>
      <c r="AG329" s="685">
        <f t="shared" si="153"/>
        <v>0</v>
      </c>
      <c r="AH329" s="688" t="b">
        <f t="shared" si="154"/>
        <v>1</v>
      </c>
    </row>
    <row r="330" spans="1:34" s="1" customFormat="1" ht="15" customHeight="1">
      <c r="A330" s="946">
        <v>12110002</v>
      </c>
      <c r="B330" s="946" t="s">
        <v>603</v>
      </c>
      <c r="C330" s="946" t="s">
        <v>1410</v>
      </c>
      <c r="D330" s="946">
        <v>100000001</v>
      </c>
      <c r="E330" s="946" t="s">
        <v>33</v>
      </c>
      <c r="F330" s="946" t="s">
        <v>11</v>
      </c>
      <c r="G330" s="947">
        <v>300</v>
      </c>
      <c r="H330" s="947">
        <v>300</v>
      </c>
      <c r="I330" s="949">
        <v>45700</v>
      </c>
      <c r="J330" s="949">
        <v>47514</v>
      </c>
      <c r="K330" s="948"/>
      <c r="L330" s="29" t="e">
        <f>VLOOKUP(A330,'Account Mapping'!$A$2:$E$216,3,0)</f>
        <v>#N/A</v>
      </c>
      <c r="M330" s="25" t="e">
        <f>VLOOKUP(A330,'Account Mapping'!$A$2:$E$216,4,0)</f>
        <v>#N/A</v>
      </c>
      <c r="N330" s="26" t="e">
        <f>IF(OR(C330='Account Mapping'!$H$4,C330='Account Mapping'!$H$5,C330='Account Mapping'!$H$6),'Account Mapping'!$I$4,VLOOKUP(A330,'Account Mapping'!$A$2:$E$216,5,0))</f>
        <v>#N/A</v>
      </c>
      <c r="O330" s="27" t="e">
        <f>IF(OR(L330="Loan",L330="Deposit_Liability",L330="OFF_Unused Loan Commitment",L330="HQLA"),VLOOKUP(D330,'Customer Type'!$A$3:$C$38,3,0),"")</f>
        <v>#N/A</v>
      </c>
      <c r="P330" s="656" t="e">
        <f t="shared" si="142"/>
        <v>#N/A</v>
      </c>
      <c r="Q330" s="658">
        <f>IF(COUNTIF('Account Mapping'!$H$12:$H$45,A330)&gt;0,-H330,H330)</f>
        <v>300</v>
      </c>
      <c r="R330" s="249" t="e">
        <f>VLOOKUP(P330,Assumptions!$C$2:$D$64,2,0)</f>
        <v>#N/A</v>
      </c>
      <c r="S330" s="692">
        <f>IFERROR(VLOOKUP(A330,'Maturity Adjustment'!$A$3:$C$81,3,0),(IF(J330&lt;$N$4,"Tomorrow",J330)))</f>
        <v>47514</v>
      </c>
      <c r="T330" s="24">
        <f t="shared" si="141"/>
        <v>1456</v>
      </c>
      <c r="U330" s="196" t="e">
        <f t="shared" si="143"/>
        <v>#N/A</v>
      </c>
      <c r="V330" s="11">
        <f>IFERROR(VLOOKUP(A330,'Maturity Adjustment'!$A$86:$C$91,3,0),S330)</f>
        <v>47514</v>
      </c>
      <c r="W330" s="207" t="e">
        <f>VLOOKUP(A330,'Account Mapping'!$A$2:$F$216,6,0)</f>
        <v>#N/A</v>
      </c>
      <c r="X330" s="194">
        <f t="shared" si="144"/>
        <v>0</v>
      </c>
      <c r="Y330" s="194">
        <f t="shared" si="145"/>
        <v>0</v>
      </c>
      <c r="Z330" s="13">
        <f t="shared" si="146"/>
        <v>0</v>
      </c>
      <c r="AA330" s="13">
        <f t="shared" si="147"/>
        <v>0</v>
      </c>
      <c r="AB330" s="13">
        <f t="shared" si="148"/>
        <v>0</v>
      </c>
      <c r="AC330" s="13">
        <f t="shared" si="149"/>
        <v>0</v>
      </c>
      <c r="AD330" s="13">
        <f t="shared" si="150"/>
        <v>0</v>
      </c>
      <c r="AE330" s="13">
        <f t="shared" si="151"/>
        <v>300</v>
      </c>
      <c r="AF330" s="13">
        <f t="shared" si="152"/>
        <v>0</v>
      </c>
      <c r="AG330" s="685">
        <f t="shared" si="153"/>
        <v>0</v>
      </c>
      <c r="AH330" s="688" t="b">
        <f t="shared" si="154"/>
        <v>1</v>
      </c>
    </row>
    <row r="331" spans="1:34" s="1" customFormat="1" ht="15" customHeight="1">
      <c r="A331" s="946">
        <v>12110002</v>
      </c>
      <c r="B331" s="946" t="s">
        <v>603</v>
      </c>
      <c r="C331" s="946" t="s">
        <v>1411</v>
      </c>
      <c r="D331" s="946">
        <v>100000001</v>
      </c>
      <c r="E331" s="946" t="s">
        <v>33</v>
      </c>
      <c r="F331" s="946" t="s">
        <v>11</v>
      </c>
      <c r="G331" s="947">
        <v>858</v>
      </c>
      <c r="H331" s="947">
        <v>858</v>
      </c>
      <c r="I331" s="949">
        <v>45727</v>
      </c>
      <c r="J331" s="949">
        <v>47177</v>
      </c>
      <c r="K331" s="948"/>
      <c r="L331" s="29" t="e">
        <f>VLOOKUP(A331,'Account Mapping'!$A$2:$E$216,3,0)</f>
        <v>#N/A</v>
      </c>
      <c r="M331" s="25" t="e">
        <f>VLOOKUP(A331,'Account Mapping'!$A$2:$E$216,4,0)</f>
        <v>#N/A</v>
      </c>
      <c r="N331" s="26" t="e">
        <f>IF(OR(C331='Account Mapping'!$H$4,C331='Account Mapping'!$H$5,C331='Account Mapping'!$H$6),'Account Mapping'!$I$4,VLOOKUP(A331,'Account Mapping'!$A$2:$E$216,5,0))</f>
        <v>#N/A</v>
      </c>
      <c r="O331" s="27" t="e">
        <f>IF(OR(L331="Loan",L331="Deposit_Liability",L331="OFF_Unused Loan Commitment",L331="HQLA"),VLOOKUP(D331,'Customer Type'!$A$3:$C$38,3,0),"")</f>
        <v>#N/A</v>
      </c>
      <c r="P331" s="656" t="e">
        <f t="shared" si="142"/>
        <v>#N/A</v>
      </c>
      <c r="Q331" s="658">
        <f>IF(COUNTIF('Account Mapping'!$H$12:$H$45,A331)&gt;0,-H331,H331)</f>
        <v>858</v>
      </c>
      <c r="R331" s="249" t="e">
        <f>VLOOKUP(P331,Assumptions!$C$2:$D$64,2,0)</f>
        <v>#N/A</v>
      </c>
      <c r="S331" s="692">
        <f>IFERROR(VLOOKUP(A331,'Maturity Adjustment'!$A$3:$C$81,3,0),(IF(J331&lt;$N$4,"Tomorrow",J331)))</f>
        <v>47177</v>
      </c>
      <c r="T331" s="24">
        <f t="shared" si="141"/>
        <v>1119</v>
      </c>
      <c r="U331" s="196" t="e">
        <f t="shared" si="143"/>
        <v>#N/A</v>
      </c>
      <c r="V331" s="11">
        <f>IFERROR(VLOOKUP(A331,'Maturity Adjustment'!$A$86:$C$91,3,0),S331)</f>
        <v>47177</v>
      </c>
      <c r="W331" s="207" t="e">
        <f>VLOOKUP(A331,'Account Mapping'!$A$2:$F$216,6,0)</f>
        <v>#N/A</v>
      </c>
      <c r="X331" s="194">
        <f t="shared" si="144"/>
        <v>0</v>
      </c>
      <c r="Y331" s="194">
        <f t="shared" si="145"/>
        <v>0</v>
      </c>
      <c r="Z331" s="13">
        <f t="shared" si="146"/>
        <v>0</v>
      </c>
      <c r="AA331" s="13">
        <f t="shared" si="147"/>
        <v>0</v>
      </c>
      <c r="AB331" s="13">
        <f t="shared" si="148"/>
        <v>0</v>
      </c>
      <c r="AC331" s="13">
        <f t="shared" si="149"/>
        <v>0</v>
      </c>
      <c r="AD331" s="13">
        <f t="shared" si="150"/>
        <v>0</v>
      </c>
      <c r="AE331" s="13">
        <f t="shared" si="151"/>
        <v>858</v>
      </c>
      <c r="AF331" s="13">
        <f t="shared" si="152"/>
        <v>0</v>
      </c>
      <c r="AG331" s="685">
        <f t="shared" si="153"/>
        <v>0</v>
      </c>
      <c r="AH331" s="688" t="b">
        <f t="shared" si="154"/>
        <v>1</v>
      </c>
    </row>
    <row r="332" spans="1:34" s="1" customFormat="1" ht="15" customHeight="1">
      <c r="A332" s="946">
        <v>12110002</v>
      </c>
      <c r="B332" s="946" t="s">
        <v>603</v>
      </c>
      <c r="C332" s="946" t="s">
        <v>1412</v>
      </c>
      <c r="D332" s="946">
        <v>100000001</v>
      </c>
      <c r="E332" s="946" t="s">
        <v>33</v>
      </c>
      <c r="F332" s="946" t="s">
        <v>11</v>
      </c>
      <c r="G332" s="947">
        <v>1917</v>
      </c>
      <c r="H332" s="947">
        <v>1917</v>
      </c>
      <c r="I332" s="949">
        <v>45727</v>
      </c>
      <c r="J332" s="949">
        <v>47177</v>
      </c>
      <c r="K332" s="948"/>
      <c r="L332" s="29" t="e">
        <f>VLOOKUP(A332,'Account Mapping'!$A$2:$E$216,3,0)</f>
        <v>#N/A</v>
      </c>
      <c r="M332" s="25" t="e">
        <f>VLOOKUP(A332,'Account Mapping'!$A$2:$E$216,4,0)</f>
        <v>#N/A</v>
      </c>
      <c r="N332" s="26" t="e">
        <f>IF(OR(C332='Account Mapping'!$H$4,C332='Account Mapping'!$H$5,C332='Account Mapping'!$H$6),'Account Mapping'!$I$4,VLOOKUP(A332,'Account Mapping'!$A$2:$E$216,5,0))</f>
        <v>#N/A</v>
      </c>
      <c r="O332" s="27" t="e">
        <f>IF(OR(L332="Loan",L332="Deposit_Liability",L332="OFF_Unused Loan Commitment",L332="HQLA"),VLOOKUP(D332,'Customer Type'!$A$3:$C$38,3,0),"")</f>
        <v>#N/A</v>
      </c>
      <c r="P332" s="656" t="e">
        <f t="shared" si="142"/>
        <v>#N/A</v>
      </c>
      <c r="Q332" s="658">
        <f>IF(COUNTIF('Account Mapping'!$H$12:$H$45,A332)&gt;0,-H332,H332)</f>
        <v>1917</v>
      </c>
      <c r="R332" s="249" t="e">
        <f>VLOOKUP(P332,Assumptions!$C$2:$D$64,2,0)</f>
        <v>#N/A</v>
      </c>
      <c r="S332" s="692">
        <f>IFERROR(VLOOKUP(A332,'Maturity Adjustment'!$A$3:$C$81,3,0),(IF(J332&lt;$N$4,"Tomorrow",J332)))</f>
        <v>47177</v>
      </c>
      <c r="T332" s="24">
        <f t="shared" si="141"/>
        <v>1119</v>
      </c>
      <c r="U332" s="196" t="e">
        <f t="shared" si="143"/>
        <v>#N/A</v>
      </c>
      <c r="V332" s="11">
        <f>IFERROR(VLOOKUP(A332,'Maturity Adjustment'!$A$86:$C$91,3,0),S332)</f>
        <v>47177</v>
      </c>
      <c r="W332" s="207" t="e">
        <f>VLOOKUP(A332,'Account Mapping'!$A$2:$F$216,6,0)</f>
        <v>#N/A</v>
      </c>
      <c r="X332" s="194">
        <f t="shared" si="144"/>
        <v>0</v>
      </c>
      <c r="Y332" s="194">
        <f t="shared" si="145"/>
        <v>0</v>
      </c>
      <c r="Z332" s="13">
        <f t="shared" si="146"/>
        <v>0</v>
      </c>
      <c r="AA332" s="13">
        <f t="shared" si="147"/>
        <v>0</v>
      </c>
      <c r="AB332" s="13">
        <f t="shared" si="148"/>
        <v>0</v>
      </c>
      <c r="AC332" s="13">
        <f t="shared" si="149"/>
        <v>0</v>
      </c>
      <c r="AD332" s="13">
        <f t="shared" si="150"/>
        <v>0</v>
      </c>
      <c r="AE332" s="13">
        <f t="shared" si="151"/>
        <v>1917</v>
      </c>
      <c r="AF332" s="13">
        <f t="shared" si="152"/>
        <v>0</v>
      </c>
      <c r="AG332" s="685">
        <f t="shared" si="153"/>
        <v>0</v>
      </c>
      <c r="AH332" s="688" t="b">
        <f t="shared" si="154"/>
        <v>1</v>
      </c>
    </row>
    <row r="333" spans="1:34" s="1" customFormat="1" ht="15" customHeight="1">
      <c r="A333" s="946">
        <v>12110002</v>
      </c>
      <c r="B333" s="946" t="s">
        <v>603</v>
      </c>
      <c r="C333" s="946" t="s">
        <v>1413</v>
      </c>
      <c r="D333" s="946">
        <v>100000001</v>
      </c>
      <c r="E333" s="946" t="s">
        <v>33</v>
      </c>
      <c r="F333" s="946" t="s">
        <v>11</v>
      </c>
      <c r="G333" s="947">
        <v>1699</v>
      </c>
      <c r="H333" s="947">
        <v>1699</v>
      </c>
      <c r="I333" s="949">
        <v>45727</v>
      </c>
      <c r="J333" s="949">
        <v>47177</v>
      </c>
      <c r="K333" s="948"/>
      <c r="L333" s="29" t="e">
        <f>VLOOKUP(A333,'Account Mapping'!$A$2:$E$216,3,0)</f>
        <v>#N/A</v>
      </c>
      <c r="M333" s="25" t="e">
        <f>VLOOKUP(A333,'Account Mapping'!$A$2:$E$216,4,0)</f>
        <v>#N/A</v>
      </c>
      <c r="N333" s="26" t="e">
        <f>IF(OR(C333='Account Mapping'!$H$4,C333='Account Mapping'!$H$5,C333='Account Mapping'!$H$6),'Account Mapping'!$I$4,VLOOKUP(A333,'Account Mapping'!$A$2:$E$216,5,0))</f>
        <v>#N/A</v>
      </c>
      <c r="O333" s="27" t="e">
        <f>IF(OR(L333="Loan",L333="Deposit_Liability",L333="OFF_Unused Loan Commitment",L333="HQLA"),VLOOKUP(D333,'Customer Type'!$A$3:$C$38,3,0),"")</f>
        <v>#N/A</v>
      </c>
      <c r="P333" s="656" t="e">
        <f t="shared" si="142"/>
        <v>#N/A</v>
      </c>
      <c r="Q333" s="658">
        <f>IF(COUNTIF('Account Mapping'!$H$12:$H$45,A333)&gt;0,-H333,H333)</f>
        <v>1699</v>
      </c>
      <c r="R333" s="249" t="e">
        <f>VLOOKUP(P333,Assumptions!$C$2:$D$64,2,0)</f>
        <v>#N/A</v>
      </c>
      <c r="S333" s="692">
        <f>IFERROR(VLOOKUP(A333,'Maturity Adjustment'!$A$3:$C$81,3,0),(IF(J333&lt;$N$4,"Tomorrow",J333)))</f>
        <v>47177</v>
      </c>
      <c r="T333" s="24">
        <f t="shared" si="141"/>
        <v>1119</v>
      </c>
      <c r="U333" s="196" t="e">
        <f t="shared" si="143"/>
        <v>#N/A</v>
      </c>
      <c r="V333" s="11">
        <f>IFERROR(VLOOKUP(A333,'Maturity Adjustment'!$A$86:$C$91,3,0),S333)</f>
        <v>47177</v>
      </c>
      <c r="W333" s="207" t="e">
        <f>VLOOKUP(A333,'Account Mapping'!$A$2:$F$216,6,0)</f>
        <v>#N/A</v>
      </c>
      <c r="X333" s="194">
        <f t="shared" si="144"/>
        <v>0</v>
      </c>
      <c r="Y333" s="194">
        <f t="shared" si="145"/>
        <v>0</v>
      </c>
      <c r="Z333" s="13">
        <f t="shared" si="146"/>
        <v>0</v>
      </c>
      <c r="AA333" s="13">
        <f t="shared" si="147"/>
        <v>0</v>
      </c>
      <c r="AB333" s="13">
        <f t="shared" si="148"/>
        <v>0</v>
      </c>
      <c r="AC333" s="13">
        <f t="shared" si="149"/>
        <v>0</v>
      </c>
      <c r="AD333" s="13">
        <f t="shared" si="150"/>
        <v>0</v>
      </c>
      <c r="AE333" s="13">
        <f t="shared" si="151"/>
        <v>1699</v>
      </c>
      <c r="AF333" s="13">
        <f t="shared" si="152"/>
        <v>0</v>
      </c>
      <c r="AG333" s="685">
        <f t="shared" si="153"/>
        <v>0</v>
      </c>
      <c r="AH333" s="688" t="b">
        <f t="shared" si="154"/>
        <v>1</v>
      </c>
    </row>
    <row r="334" spans="1:34" s="1" customFormat="1" ht="15" customHeight="1">
      <c r="A334" s="946">
        <v>12110002</v>
      </c>
      <c r="B334" s="946" t="s">
        <v>603</v>
      </c>
      <c r="C334" s="946" t="s">
        <v>1414</v>
      </c>
      <c r="D334" s="946">
        <v>100000001</v>
      </c>
      <c r="E334" s="946" t="s">
        <v>33</v>
      </c>
      <c r="F334" s="946" t="s">
        <v>11</v>
      </c>
      <c r="G334" s="947">
        <v>1698.99</v>
      </c>
      <c r="H334" s="947">
        <v>1698.99</v>
      </c>
      <c r="I334" s="949">
        <v>45727</v>
      </c>
      <c r="J334" s="949">
        <v>47177</v>
      </c>
      <c r="K334" s="948"/>
      <c r="L334" s="29" t="e">
        <f>VLOOKUP(A334,'Account Mapping'!$A$2:$E$216,3,0)</f>
        <v>#N/A</v>
      </c>
      <c r="M334" s="25" t="e">
        <f>VLOOKUP(A334,'Account Mapping'!$A$2:$E$216,4,0)</f>
        <v>#N/A</v>
      </c>
      <c r="N334" s="26" t="e">
        <f>IF(OR(C334='Account Mapping'!$H$4,C334='Account Mapping'!$H$5,C334='Account Mapping'!$H$6),'Account Mapping'!$I$4,VLOOKUP(A334,'Account Mapping'!$A$2:$E$216,5,0))</f>
        <v>#N/A</v>
      </c>
      <c r="O334" s="27" t="e">
        <f>IF(OR(L334="Loan",L334="Deposit_Liability",L334="OFF_Unused Loan Commitment",L334="HQLA"),VLOOKUP(D334,'Customer Type'!$A$3:$C$38,3,0),"")</f>
        <v>#N/A</v>
      </c>
      <c r="P334" s="656" t="e">
        <f t="shared" si="142"/>
        <v>#N/A</v>
      </c>
      <c r="Q334" s="658">
        <f>IF(COUNTIF('Account Mapping'!$H$12:$H$45,A334)&gt;0,-H334,H334)</f>
        <v>1698.99</v>
      </c>
      <c r="R334" s="249" t="e">
        <f>VLOOKUP(P334,Assumptions!$C$2:$D$64,2,0)</f>
        <v>#N/A</v>
      </c>
      <c r="S334" s="692">
        <f>IFERROR(VLOOKUP(A334,'Maturity Adjustment'!$A$3:$C$81,3,0),(IF(J334&lt;$N$4,"Tomorrow",J334)))</f>
        <v>47177</v>
      </c>
      <c r="T334" s="24">
        <f t="shared" si="141"/>
        <v>1119</v>
      </c>
      <c r="U334" s="196" t="e">
        <f t="shared" si="143"/>
        <v>#N/A</v>
      </c>
      <c r="V334" s="11">
        <f>IFERROR(VLOOKUP(A334,'Maturity Adjustment'!$A$86:$C$91,3,0),S334)</f>
        <v>47177</v>
      </c>
      <c r="W334" s="207" t="e">
        <f>VLOOKUP(A334,'Account Mapping'!$A$2:$F$216,6,0)</f>
        <v>#N/A</v>
      </c>
      <c r="X334" s="194">
        <f t="shared" si="144"/>
        <v>0</v>
      </c>
      <c r="Y334" s="194">
        <f t="shared" si="145"/>
        <v>0</v>
      </c>
      <c r="Z334" s="13">
        <f t="shared" si="146"/>
        <v>0</v>
      </c>
      <c r="AA334" s="13">
        <f t="shared" si="147"/>
        <v>0</v>
      </c>
      <c r="AB334" s="13">
        <f t="shared" si="148"/>
        <v>0</v>
      </c>
      <c r="AC334" s="13">
        <f t="shared" si="149"/>
        <v>0</v>
      </c>
      <c r="AD334" s="13">
        <f t="shared" si="150"/>
        <v>0</v>
      </c>
      <c r="AE334" s="13">
        <f t="shared" si="151"/>
        <v>1698.99</v>
      </c>
      <c r="AF334" s="13">
        <f t="shared" si="152"/>
        <v>0</v>
      </c>
      <c r="AG334" s="685">
        <f t="shared" si="153"/>
        <v>0</v>
      </c>
      <c r="AH334" s="688" t="b">
        <f t="shared" si="154"/>
        <v>1</v>
      </c>
    </row>
    <row r="335" spans="1:34" s="1" customFormat="1" ht="15" customHeight="1">
      <c r="A335" s="946">
        <v>12110002</v>
      </c>
      <c r="B335" s="946" t="s">
        <v>603</v>
      </c>
      <c r="C335" s="946" t="s">
        <v>602</v>
      </c>
      <c r="D335" s="946">
        <v>100000001</v>
      </c>
      <c r="E335" s="946" t="s">
        <v>33</v>
      </c>
      <c r="F335" s="946" t="s">
        <v>11</v>
      </c>
      <c r="G335" s="947">
        <v>-424.08</v>
      </c>
      <c r="H335" s="947">
        <v>-424.08</v>
      </c>
      <c r="I335" s="949"/>
      <c r="J335" s="949"/>
      <c r="K335" s="948"/>
      <c r="L335" s="29" t="e">
        <f>VLOOKUP(A335,'Account Mapping'!$A$2:$E$216,3,0)</f>
        <v>#N/A</v>
      </c>
      <c r="M335" s="25" t="e">
        <f>VLOOKUP(A335,'Account Mapping'!$A$2:$E$216,4,0)</f>
        <v>#N/A</v>
      </c>
      <c r="N335" s="26" t="e">
        <f>IF(OR(C335='Account Mapping'!$H$4,C335='Account Mapping'!$H$5,C335='Account Mapping'!$H$6),'Account Mapping'!$I$4,VLOOKUP(A335,'Account Mapping'!$A$2:$E$216,5,0))</f>
        <v>#N/A</v>
      </c>
      <c r="O335" s="27" t="e">
        <f>IF(OR(L335="Loan",L335="Deposit_Liability",L335="OFF_Unused Loan Commitment",L335="HQLA"),VLOOKUP(D335,'Customer Type'!$A$3:$C$38,3,0),"")</f>
        <v>#N/A</v>
      </c>
      <c r="P335" s="656" t="e">
        <f t="shared" si="142"/>
        <v>#N/A</v>
      </c>
      <c r="Q335" s="658">
        <f>IF(COUNTIF('Account Mapping'!$H$12:$H$45,A335)&gt;0,-H335,H335)</f>
        <v>-424.08</v>
      </c>
      <c r="R335" s="249" t="e">
        <f>VLOOKUP(P335,Assumptions!$C$2:$D$64,2,0)</f>
        <v>#N/A</v>
      </c>
      <c r="S335" s="692" t="str">
        <f>IFERROR(VLOOKUP(A335,'Maturity Adjustment'!$A$3:$C$81,3,0),(IF(J335&lt;$N$4,"Tomorrow",J335)))</f>
        <v>Tomorrow</v>
      </c>
      <c r="T335" s="24">
        <f t="shared" si="141"/>
        <v>1</v>
      </c>
      <c r="U335" s="196" t="e">
        <f t="shared" si="143"/>
        <v>#N/A</v>
      </c>
      <c r="V335" s="11" t="str">
        <f>IFERROR(VLOOKUP(A335,'Maturity Adjustment'!$A$86:$C$91,3,0),S335)</f>
        <v>Tomorrow</v>
      </c>
      <c r="W335" s="207" t="e">
        <f>VLOOKUP(A335,'Account Mapping'!$A$2:$F$216,6,0)</f>
        <v>#N/A</v>
      </c>
      <c r="X335" s="194">
        <f t="shared" si="144"/>
        <v>-424.08</v>
      </c>
      <c r="Y335" s="194">
        <f t="shared" si="145"/>
        <v>0</v>
      </c>
      <c r="Z335" s="13">
        <f t="shared" si="146"/>
        <v>0</v>
      </c>
      <c r="AA335" s="13">
        <f t="shared" si="147"/>
        <v>0</v>
      </c>
      <c r="AB335" s="13">
        <f t="shared" si="148"/>
        <v>0</v>
      </c>
      <c r="AC335" s="13">
        <f t="shared" si="149"/>
        <v>0</v>
      </c>
      <c r="AD335" s="13">
        <f t="shared" si="150"/>
        <v>0</v>
      </c>
      <c r="AE335" s="13">
        <f t="shared" si="151"/>
        <v>0</v>
      </c>
      <c r="AF335" s="13">
        <f t="shared" si="152"/>
        <v>0</v>
      </c>
      <c r="AG335" s="685">
        <f t="shared" si="153"/>
        <v>0</v>
      </c>
      <c r="AH335" s="688" t="b">
        <f t="shared" si="154"/>
        <v>1</v>
      </c>
    </row>
    <row r="336" spans="1:34" s="1" customFormat="1" ht="15" customHeight="1">
      <c r="A336" s="946">
        <v>12110004</v>
      </c>
      <c r="B336" s="946" t="s">
        <v>634</v>
      </c>
      <c r="C336" s="946" t="s">
        <v>635</v>
      </c>
      <c r="D336" s="946">
        <v>100000001</v>
      </c>
      <c r="E336" s="946" t="s">
        <v>33</v>
      </c>
      <c r="F336" s="946" t="s">
        <v>11</v>
      </c>
      <c r="G336" s="947">
        <v>3408</v>
      </c>
      <c r="H336" s="947">
        <v>3408</v>
      </c>
      <c r="I336" s="949">
        <v>44621</v>
      </c>
      <c r="J336" s="949">
        <v>46446</v>
      </c>
      <c r="K336" s="948"/>
      <c r="L336" s="29" t="e">
        <f>VLOOKUP(A336,'Account Mapping'!$A$2:$E$216,3,0)</f>
        <v>#N/A</v>
      </c>
      <c r="M336" s="25" t="e">
        <f>VLOOKUP(A336,'Account Mapping'!$A$2:$E$216,4,0)</f>
        <v>#N/A</v>
      </c>
      <c r="N336" s="26" t="e">
        <f>IF(OR(C336='Account Mapping'!$H$4,C336='Account Mapping'!$H$5,C336='Account Mapping'!$H$6),'Account Mapping'!$I$4,VLOOKUP(A336,'Account Mapping'!$A$2:$E$216,5,0))</f>
        <v>#N/A</v>
      </c>
      <c r="O336" s="27" t="e">
        <f>IF(OR(L336="Loan",L336="Deposit_Liability",L336="OFF_Unused Loan Commitment",L336="HQLA"),VLOOKUP(D336,'Customer Type'!$A$3:$C$38,3,0),"")</f>
        <v>#N/A</v>
      </c>
      <c r="P336" s="656" t="e">
        <f t="shared" si="142"/>
        <v>#N/A</v>
      </c>
      <c r="Q336" s="658">
        <f>IF(COUNTIF('Account Mapping'!$H$12:$H$45,A336)&gt;0,-H336,H336)</f>
        <v>3408</v>
      </c>
      <c r="R336" s="249" t="e">
        <f>VLOOKUP(P336,Assumptions!$C$2:$D$64,2,0)</f>
        <v>#N/A</v>
      </c>
      <c r="S336" s="692">
        <f>IFERROR(VLOOKUP(A336,'Maturity Adjustment'!$A$3:$C$81,3,0),(IF(J336&lt;$N$4,"Tomorrow",J336)))</f>
        <v>46446</v>
      </c>
      <c r="T336" s="24">
        <f t="shared" si="141"/>
        <v>388</v>
      </c>
      <c r="U336" s="196" t="e">
        <f t="shared" si="143"/>
        <v>#N/A</v>
      </c>
      <c r="V336" s="11">
        <f>IFERROR(VLOOKUP(A336,'Maturity Adjustment'!$A$86:$C$91,3,0),S336)</f>
        <v>46446</v>
      </c>
      <c r="W336" s="207" t="e">
        <f>VLOOKUP(A336,'Account Mapping'!$A$2:$F$216,6,0)</f>
        <v>#N/A</v>
      </c>
      <c r="X336" s="194">
        <f t="shared" si="144"/>
        <v>0</v>
      </c>
      <c r="Y336" s="194">
        <f t="shared" si="145"/>
        <v>0</v>
      </c>
      <c r="Z336" s="13">
        <f t="shared" si="146"/>
        <v>0</v>
      </c>
      <c r="AA336" s="13">
        <f t="shared" si="147"/>
        <v>0</v>
      </c>
      <c r="AB336" s="13">
        <f t="shared" si="148"/>
        <v>0</v>
      </c>
      <c r="AC336" s="13">
        <f t="shared" si="149"/>
        <v>0</v>
      </c>
      <c r="AD336" s="13">
        <f t="shared" si="150"/>
        <v>3408</v>
      </c>
      <c r="AE336" s="13">
        <f t="shared" si="151"/>
        <v>0</v>
      </c>
      <c r="AF336" s="13">
        <f t="shared" si="152"/>
        <v>0</v>
      </c>
      <c r="AG336" s="685">
        <f t="shared" si="153"/>
        <v>0</v>
      </c>
      <c r="AH336" s="688" t="b">
        <f t="shared" si="154"/>
        <v>1</v>
      </c>
    </row>
    <row r="337" spans="1:34" s="1" customFormat="1" ht="15" customHeight="1">
      <c r="A337" s="946">
        <v>12110004</v>
      </c>
      <c r="B337" s="946" t="s">
        <v>634</v>
      </c>
      <c r="C337" s="946" t="s">
        <v>636</v>
      </c>
      <c r="D337" s="946">
        <v>100000001</v>
      </c>
      <c r="E337" s="946" t="s">
        <v>33</v>
      </c>
      <c r="F337" s="946" t="s">
        <v>11</v>
      </c>
      <c r="G337" s="947">
        <v>985.68</v>
      </c>
      <c r="H337" s="947">
        <v>985.68</v>
      </c>
      <c r="I337" s="948">
        <v>44621</v>
      </c>
      <c r="J337" s="948">
        <v>46387</v>
      </c>
      <c r="K337" s="948"/>
      <c r="L337" s="29" t="e">
        <f>VLOOKUP(A337,'Account Mapping'!$A$2:$E$216,3,0)</f>
        <v>#N/A</v>
      </c>
      <c r="M337" s="25" t="e">
        <f>VLOOKUP(A337,'Account Mapping'!$A$2:$E$216,4,0)</f>
        <v>#N/A</v>
      </c>
      <c r="N337" s="26" t="e">
        <f>IF(OR(C337='Account Mapping'!$H$4,C337='Account Mapping'!$H$5,C337='Account Mapping'!$H$6),'Account Mapping'!$I$4,VLOOKUP(A337,'Account Mapping'!$A$2:$E$216,5,0))</f>
        <v>#N/A</v>
      </c>
      <c r="O337" s="27" t="e">
        <f>IF(OR(L337="Loan",L337="Deposit_Liability",L337="OFF_Unused Loan Commitment",L337="HQLA"),VLOOKUP(D337,'Customer Type'!$A$3:$C$38,3,0),"")</f>
        <v>#N/A</v>
      </c>
      <c r="P337" s="656" t="e">
        <f t="shared" si="142"/>
        <v>#N/A</v>
      </c>
      <c r="Q337" s="658">
        <f>IF(COUNTIF('Account Mapping'!$H$12:$H$45,A337)&gt;0,-H337,H337)</f>
        <v>985.68</v>
      </c>
      <c r="R337" s="249" t="e">
        <f>VLOOKUP(P337,Assumptions!$C$2:$D$64,2,0)</f>
        <v>#N/A</v>
      </c>
      <c r="S337" s="692">
        <f>IFERROR(VLOOKUP(A337,'Maturity Adjustment'!$A$3:$C$81,3,0),(IF(J337&lt;$N$4,"Tomorrow",J337)))</f>
        <v>46387</v>
      </c>
      <c r="T337" s="24">
        <f t="shared" si="141"/>
        <v>329</v>
      </c>
      <c r="U337" s="196" t="e">
        <f t="shared" si="143"/>
        <v>#N/A</v>
      </c>
      <c r="V337" s="11">
        <f>IFERROR(VLOOKUP(A337,'Maturity Adjustment'!$A$86:$C$91,3,0),S337)</f>
        <v>46387</v>
      </c>
      <c r="W337" s="207" t="e">
        <f>VLOOKUP(A337,'Account Mapping'!$A$2:$F$216,6,0)</f>
        <v>#N/A</v>
      </c>
      <c r="X337" s="194">
        <f t="shared" si="144"/>
        <v>0</v>
      </c>
      <c r="Y337" s="194">
        <f t="shared" si="145"/>
        <v>0</v>
      </c>
      <c r="Z337" s="13">
        <f t="shared" si="146"/>
        <v>0</v>
      </c>
      <c r="AA337" s="13">
        <f t="shared" si="147"/>
        <v>0</v>
      </c>
      <c r="AB337" s="13">
        <f t="shared" si="148"/>
        <v>0</v>
      </c>
      <c r="AC337" s="13">
        <f t="shared" si="149"/>
        <v>985.68</v>
      </c>
      <c r="AD337" s="13">
        <f t="shared" si="150"/>
        <v>0</v>
      </c>
      <c r="AE337" s="13">
        <f t="shared" si="151"/>
        <v>0</v>
      </c>
      <c r="AF337" s="13">
        <f t="shared" si="152"/>
        <v>0</v>
      </c>
      <c r="AG337" s="685">
        <f t="shared" si="153"/>
        <v>0</v>
      </c>
      <c r="AH337" s="688" t="b">
        <f t="shared" si="154"/>
        <v>1</v>
      </c>
    </row>
    <row r="338" spans="1:34" s="1" customFormat="1" ht="15" customHeight="1">
      <c r="A338" s="946">
        <v>12110004</v>
      </c>
      <c r="B338" s="946" t="s">
        <v>634</v>
      </c>
      <c r="C338" s="946" t="s">
        <v>637</v>
      </c>
      <c r="D338" s="946">
        <v>100000001</v>
      </c>
      <c r="E338" s="946" t="s">
        <v>33</v>
      </c>
      <c r="F338" s="946" t="s">
        <v>11</v>
      </c>
      <c r="G338" s="947">
        <v>2919.56</v>
      </c>
      <c r="H338" s="947">
        <v>2919.56</v>
      </c>
      <c r="I338" s="949">
        <v>44621</v>
      </c>
      <c r="J338" s="949">
        <v>46387</v>
      </c>
      <c r="K338" s="948"/>
      <c r="L338" s="29" t="e">
        <f>VLOOKUP(A338,'Account Mapping'!$A$2:$E$216,3,0)</f>
        <v>#N/A</v>
      </c>
      <c r="M338" s="25" t="e">
        <f>VLOOKUP(A338,'Account Mapping'!$A$2:$E$216,4,0)</f>
        <v>#N/A</v>
      </c>
      <c r="N338" s="26" t="e">
        <f>IF(OR(C338='Account Mapping'!$H$4,C338='Account Mapping'!$H$5,C338='Account Mapping'!$H$6),'Account Mapping'!$I$4,VLOOKUP(A338,'Account Mapping'!$A$2:$E$216,5,0))</f>
        <v>#N/A</v>
      </c>
      <c r="O338" s="27" t="e">
        <f>IF(OR(L338="Loan",L338="Deposit_Liability",L338="OFF_Unused Loan Commitment",L338="HQLA"),VLOOKUP(D338,'Customer Type'!$A$3:$C$38,3,0),"")</f>
        <v>#N/A</v>
      </c>
      <c r="P338" s="656" t="e">
        <f t="shared" si="142"/>
        <v>#N/A</v>
      </c>
      <c r="Q338" s="658">
        <f>IF(COUNTIF('Account Mapping'!$H$12:$H$45,A338)&gt;0,-H338,H338)</f>
        <v>2919.56</v>
      </c>
      <c r="R338" s="249" t="e">
        <f>VLOOKUP(P338,Assumptions!$C$2:$D$64,2,0)</f>
        <v>#N/A</v>
      </c>
      <c r="S338" s="692">
        <f>IFERROR(VLOOKUP(A338,'Maturity Adjustment'!$A$3:$C$81,3,0),(IF(J338&lt;$N$4,"Tomorrow",J338)))</f>
        <v>46387</v>
      </c>
      <c r="T338" s="24">
        <f t="shared" si="141"/>
        <v>329</v>
      </c>
      <c r="U338" s="196" t="e">
        <f t="shared" si="143"/>
        <v>#N/A</v>
      </c>
      <c r="V338" s="11">
        <f>IFERROR(VLOOKUP(A338,'Maturity Adjustment'!$A$86:$C$91,3,0),S338)</f>
        <v>46387</v>
      </c>
      <c r="W338" s="207" t="e">
        <f>VLOOKUP(A338,'Account Mapping'!$A$2:$F$216,6,0)</f>
        <v>#N/A</v>
      </c>
      <c r="X338" s="194">
        <f t="shared" si="144"/>
        <v>0</v>
      </c>
      <c r="Y338" s="194">
        <f t="shared" si="145"/>
        <v>0</v>
      </c>
      <c r="Z338" s="13">
        <f t="shared" si="146"/>
        <v>0</v>
      </c>
      <c r="AA338" s="13">
        <f t="shared" si="147"/>
        <v>0</v>
      </c>
      <c r="AB338" s="13">
        <f t="shared" si="148"/>
        <v>0</v>
      </c>
      <c r="AC338" s="13">
        <f t="shared" si="149"/>
        <v>2919.56</v>
      </c>
      <c r="AD338" s="13">
        <f t="shared" si="150"/>
        <v>0</v>
      </c>
      <c r="AE338" s="13">
        <f t="shared" si="151"/>
        <v>0</v>
      </c>
      <c r="AF338" s="13">
        <f t="shared" si="152"/>
        <v>0</v>
      </c>
      <c r="AG338" s="685">
        <f t="shared" si="153"/>
        <v>0</v>
      </c>
      <c r="AH338" s="688" t="b">
        <f t="shared" si="154"/>
        <v>1</v>
      </c>
    </row>
    <row r="339" spans="1:34" s="1" customFormat="1" ht="15" customHeight="1">
      <c r="A339" s="946">
        <v>12110004</v>
      </c>
      <c r="B339" s="946" t="s">
        <v>634</v>
      </c>
      <c r="C339" s="946" t="s">
        <v>638</v>
      </c>
      <c r="D339" s="946">
        <v>100000001</v>
      </c>
      <c r="E339" s="946" t="s">
        <v>33</v>
      </c>
      <c r="F339" s="946" t="s">
        <v>11</v>
      </c>
      <c r="G339" s="947">
        <v>15078.57</v>
      </c>
      <c r="H339" s="947">
        <v>15078.57</v>
      </c>
      <c r="I339" s="949">
        <v>44621</v>
      </c>
      <c r="J339" s="949">
        <v>46387</v>
      </c>
      <c r="K339" s="948"/>
      <c r="L339" s="29" t="e">
        <f>VLOOKUP(A339,'Account Mapping'!$A$2:$E$216,3,0)</f>
        <v>#N/A</v>
      </c>
      <c r="M339" s="25" t="e">
        <f>VLOOKUP(A339,'Account Mapping'!$A$2:$E$216,4,0)</f>
        <v>#N/A</v>
      </c>
      <c r="N339" s="26" t="e">
        <f>IF(OR(C339='Account Mapping'!$H$4,C339='Account Mapping'!$H$5,C339='Account Mapping'!$H$6),'Account Mapping'!$I$4,VLOOKUP(A339,'Account Mapping'!$A$2:$E$216,5,0))</f>
        <v>#N/A</v>
      </c>
      <c r="O339" s="27" t="e">
        <f>IF(OR(L339="Loan",L339="Deposit_Liability",L339="OFF_Unused Loan Commitment",L339="HQLA"),VLOOKUP(D339,'Customer Type'!$A$3:$C$38,3,0),"")</f>
        <v>#N/A</v>
      </c>
      <c r="P339" s="656" t="e">
        <f t="shared" si="142"/>
        <v>#N/A</v>
      </c>
      <c r="Q339" s="658">
        <f>IF(COUNTIF('Account Mapping'!$H$12:$H$45,A339)&gt;0,-H339,H339)</f>
        <v>15078.57</v>
      </c>
      <c r="R339" s="249" t="e">
        <f>VLOOKUP(P339,Assumptions!$C$2:$D$64,2,0)</f>
        <v>#N/A</v>
      </c>
      <c r="S339" s="692">
        <f>IFERROR(VLOOKUP(A339,'Maturity Adjustment'!$A$3:$C$81,3,0),(IF(J339&lt;$N$4,"Tomorrow",J339)))</f>
        <v>46387</v>
      </c>
      <c r="T339" s="24">
        <f t="shared" si="141"/>
        <v>329</v>
      </c>
      <c r="U339" s="196" t="e">
        <f t="shared" si="143"/>
        <v>#N/A</v>
      </c>
      <c r="V339" s="11">
        <f>IFERROR(VLOOKUP(A339,'Maturity Adjustment'!$A$86:$C$91,3,0),S339)</f>
        <v>46387</v>
      </c>
      <c r="W339" s="207" t="e">
        <f>VLOOKUP(A339,'Account Mapping'!$A$2:$F$216,6,0)</f>
        <v>#N/A</v>
      </c>
      <c r="X339" s="194">
        <f t="shared" si="144"/>
        <v>0</v>
      </c>
      <c r="Y339" s="194">
        <f t="shared" si="145"/>
        <v>0</v>
      </c>
      <c r="Z339" s="13">
        <f t="shared" si="146"/>
        <v>0</v>
      </c>
      <c r="AA339" s="13">
        <f t="shared" si="147"/>
        <v>0</v>
      </c>
      <c r="AB339" s="13">
        <f t="shared" si="148"/>
        <v>0</v>
      </c>
      <c r="AC339" s="13">
        <f t="shared" si="149"/>
        <v>15078.57</v>
      </c>
      <c r="AD339" s="13">
        <f t="shared" si="150"/>
        <v>0</v>
      </c>
      <c r="AE339" s="13">
        <f t="shared" si="151"/>
        <v>0</v>
      </c>
      <c r="AF339" s="13">
        <f t="shared" si="152"/>
        <v>0</v>
      </c>
      <c r="AG339" s="685">
        <f t="shared" si="153"/>
        <v>0</v>
      </c>
      <c r="AH339" s="688" t="b">
        <f t="shared" si="154"/>
        <v>1</v>
      </c>
    </row>
    <row r="340" spans="1:34" s="1" customFormat="1" ht="15" customHeight="1">
      <c r="A340" s="946">
        <v>12110004</v>
      </c>
      <c r="B340" s="946" t="s">
        <v>634</v>
      </c>
      <c r="C340" s="946" t="s">
        <v>858</v>
      </c>
      <c r="D340" s="946">
        <v>100000001</v>
      </c>
      <c r="E340" s="946" t="s">
        <v>33</v>
      </c>
      <c r="F340" s="946" t="s">
        <v>11</v>
      </c>
      <c r="G340" s="947">
        <v>19445.8</v>
      </c>
      <c r="H340" s="947">
        <v>19445.8</v>
      </c>
      <c r="I340" s="949">
        <v>45252</v>
      </c>
      <c r="J340" s="949">
        <v>47087</v>
      </c>
      <c r="K340" s="948"/>
      <c r="L340" s="29" t="e">
        <f>VLOOKUP(A340,'Account Mapping'!$A$2:$E$216,3,0)</f>
        <v>#N/A</v>
      </c>
      <c r="M340" s="25" t="e">
        <f>VLOOKUP(A340,'Account Mapping'!$A$2:$E$216,4,0)</f>
        <v>#N/A</v>
      </c>
      <c r="N340" s="26" t="e">
        <f>IF(OR(C340='Account Mapping'!$H$4,C340='Account Mapping'!$H$5,C340='Account Mapping'!$H$6),'Account Mapping'!$I$4,VLOOKUP(A340,'Account Mapping'!$A$2:$E$216,5,0))</f>
        <v>#N/A</v>
      </c>
      <c r="O340" s="27" t="e">
        <f>IF(OR(L340="Loan",L340="Deposit_Liability",L340="OFF_Unused Loan Commitment",L340="HQLA"),VLOOKUP(D340,'Customer Type'!$A$3:$C$38,3,0),"")</f>
        <v>#N/A</v>
      </c>
      <c r="P340" s="656" t="e">
        <f t="shared" si="142"/>
        <v>#N/A</v>
      </c>
      <c r="Q340" s="658">
        <f>IF(COUNTIF('Account Mapping'!$H$12:$H$45,A340)&gt;0,-H340,H340)</f>
        <v>19445.8</v>
      </c>
      <c r="R340" s="249" t="e">
        <f>VLOOKUP(P340,Assumptions!$C$2:$D$64,2,0)</f>
        <v>#N/A</v>
      </c>
      <c r="S340" s="692">
        <f>IFERROR(VLOOKUP(A340,'Maturity Adjustment'!$A$3:$C$81,3,0),(IF(J340&lt;$N$4,"Tomorrow",J340)))</f>
        <v>47087</v>
      </c>
      <c r="T340" s="24">
        <f t="shared" ref="T340:T346" si="155">IF(S340="Tomorrow",1,(S340-$N$4))</f>
        <v>1029</v>
      </c>
      <c r="U340" s="196" t="e">
        <f t="shared" si="143"/>
        <v>#N/A</v>
      </c>
      <c r="V340" s="11">
        <f>IFERROR(VLOOKUP(A340,'Maturity Adjustment'!$A$86:$C$91,3,0),S340)</f>
        <v>47087</v>
      </c>
      <c r="W340" s="207" t="e">
        <f>VLOOKUP(A340,'Account Mapping'!$A$2:$F$216,6,0)</f>
        <v>#N/A</v>
      </c>
      <c r="X340" s="194">
        <f t="shared" si="144"/>
        <v>0</v>
      </c>
      <c r="Y340" s="194">
        <f t="shared" si="145"/>
        <v>0</v>
      </c>
      <c r="Z340" s="13">
        <f t="shared" si="146"/>
        <v>0</v>
      </c>
      <c r="AA340" s="13">
        <f t="shared" si="147"/>
        <v>0</v>
      </c>
      <c r="AB340" s="13">
        <f t="shared" si="148"/>
        <v>0</v>
      </c>
      <c r="AC340" s="13">
        <f t="shared" si="149"/>
        <v>0</v>
      </c>
      <c r="AD340" s="13">
        <f t="shared" si="150"/>
        <v>19445.8</v>
      </c>
      <c r="AE340" s="13">
        <f t="shared" si="151"/>
        <v>0</v>
      </c>
      <c r="AF340" s="13">
        <f t="shared" si="152"/>
        <v>0</v>
      </c>
      <c r="AG340" s="685">
        <f t="shared" si="153"/>
        <v>0</v>
      </c>
      <c r="AH340" s="688" t="b">
        <f t="shared" si="154"/>
        <v>1</v>
      </c>
    </row>
    <row r="341" spans="1:34" s="1" customFormat="1" ht="15" customHeight="1">
      <c r="A341" s="946">
        <v>12110004</v>
      </c>
      <c r="B341" s="946" t="s">
        <v>634</v>
      </c>
      <c r="C341" s="946" t="s">
        <v>1418</v>
      </c>
      <c r="D341" s="946">
        <v>100000001</v>
      </c>
      <c r="E341" s="946" t="s">
        <v>33</v>
      </c>
      <c r="F341" s="946" t="s">
        <v>11</v>
      </c>
      <c r="G341" s="947">
        <v>1662</v>
      </c>
      <c r="H341" s="947">
        <v>1662</v>
      </c>
      <c r="I341" s="949">
        <v>45750</v>
      </c>
      <c r="J341" s="949">
        <v>47573</v>
      </c>
      <c r="K341" s="948"/>
      <c r="L341" s="29" t="e">
        <f>VLOOKUP(A341,'Account Mapping'!$A$2:$E$216,3,0)</f>
        <v>#N/A</v>
      </c>
      <c r="M341" s="25" t="e">
        <f>VLOOKUP(A341,'Account Mapping'!$A$2:$E$216,4,0)</f>
        <v>#N/A</v>
      </c>
      <c r="N341" s="26" t="e">
        <f>IF(OR(C341='Account Mapping'!$H$4,C341='Account Mapping'!$H$5,C341='Account Mapping'!$H$6),'Account Mapping'!$I$4,VLOOKUP(A341,'Account Mapping'!$A$2:$E$216,5,0))</f>
        <v>#N/A</v>
      </c>
      <c r="O341" s="27" t="e">
        <f>IF(OR(L341="Loan",L341="Deposit_Liability",L341="OFF_Unused Loan Commitment",L341="HQLA"),VLOOKUP(D341,'Customer Type'!$A$3:$C$38,3,0),"")</f>
        <v>#N/A</v>
      </c>
      <c r="P341" s="656" t="e">
        <f t="shared" si="142"/>
        <v>#N/A</v>
      </c>
      <c r="Q341" s="658">
        <f>IF(COUNTIF('Account Mapping'!$H$12:$H$45,A341)&gt;0,-H341,H341)</f>
        <v>1662</v>
      </c>
      <c r="R341" s="249" t="e">
        <f>VLOOKUP(P341,Assumptions!$C$2:$D$64,2,0)</f>
        <v>#N/A</v>
      </c>
      <c r="S341" s="692">
        <f>IFERROR(VLOOKUP(A341,'Maturity Adjustment'!$A$3:$C$81,3,0),(IF(J341&lt;$N$4,"Tomorrow",J341)))</f>
        <v>47573</v>
      </c>
      <c r="T341" s="24">
        <f t="shared" si="155"/>
        <v>1515</v>
      </c>
      <c r="U341" s="196" t="e">
        <f t="shared" si="143"/>
        <v>#N/A</v>
      </c>
      <c r="V341" s="11">
        <f>IFERROR(VLOOKUP(A341,'Maturity Adjustment'!$A$86:$C$91,3,0),S341)</f>
        <v>47573</v>
      </c>
      <c r="W341" s="207" t="e">
        <f>VLOOKUP(A341,'Account Mapping'!$A$2:$F$216,6,0)</f>
        <v>#N/A</v>
      </c>
      <c r="X341" s="194">
        <f t="shared" si="144"/>
        <v>0</v>
      </c>
      <c r="Y341" s="194">
        <f t="shared" si="145"/>
        <v>0</v>
      </c>
      <c r="Z341" s="13">
        <f t="shared" si="146"/>
        <v>0</v>
      </c>
      <c r="AA341" s="13">
        <f t="shared" si="147"/>
        <v>0</v>
      </c>
      <c r="AB341" s="13">
        <f t="shared" si="148"/>
        <v>0</v>
      </c>
      <c r="AC341" s="13">
        <f t="shared" si="149"/>
        <v>0</v>
      </c>
      <c r="AD341" s="13">
        <f t="shared" si="150"/>
        <v>0</v>
      </c>
      <c r="AE341" s="13">
        <f t="shared" si="151"/>
        <v>1662</v>
      </c>
      <c r="AF341" s="13">
        <f t="shared" si="152"/>
        <v>0</v>
      </c>
      <c r="AG341" s="685">
        <f t="shared" si="153"/>
        <v>0</v>
      </c>
      <c r="AH341" s="688" t="b">
        <f t="shared" si="154"/>
        <v>1</v>
      </c>
    </row>
    <row r="342" spans="1:34" s="1" customFormat="1" ht="15" customHeight="1">
      <c r="A342" s="946">
        <v>12110005</v>
      </c>
      <c r="B342" s="946" t="s">
        <v>639</v>
      </c>
      <c r="C342" s="946" t="s">
        <v>640</v>
      </c>
      <c r="D342" s="946">
        <v>100000001</v>
      </c>
      <c r="E342" s="946" t="s">
        <v>33</v>
      </c>
      <c r="F342" s="946" t="s">
        <v>11</v>
      </c>
      <c r="G342" s="947">
        <v>4180.1499999999996</v>
      </c>
      <c r="H342" s="947">
        <v>4180.1499999999996</v>
      </c>
      <c r="I342" s="949">
        <v>44621</v>
      </c>
      <c r="J342" s="949">
        <v>45961</v>
      </c>
      <c r="K342" s="948"/>
      <c r="L342" s="29" t="e">
        <f>VLOOKUP(A342,'Account Mapping'!$A$2:$E$216,3,0)</f>
        <v>#N/A</v>
      </c>
      <c r="M342" s="25" t="e">
        <f>VLOOKUP(A342,'Account Mapping'!$A$2:$E$216,4,0)</f>
        <v>#N/A</v>
      </c>
      <c r="N342" s="26" t="e">
        <f>IF(OR(C342='Account Mapping'!$H$4,C342='Account Mapping'!$H$5,C342='Account Mapping'!$H$6),'Account Mapping'!$I$4,VLOOKUP(A342,'Account Mapping'!$A$2:$E$216,5,0))</f>
        <v>#N/A</v>
      </c>
      <c r="O342" s="27" t="e">
        <f>IF(OR(L342="Loan",L342="Deposit_Liability",L342="OFF_Unused Loan Commitment",L342="HQLA"),VLOOKUP(D342,'Customer Type'!$A$3:$C$38,3,0),"")</f>
        <v>#N/A</v>
      </c>
      <c r="P342" s="656" t="e">
        <f t="shared" si="142"/>
        <v>#N/A</v>
      </c>
      <c r="Q342" s="658">
        <f>IF(COUNTIF('Account Mapping'!$H$12:$H$45,A342)&gt;0,-H342,H342)</f>
        <v>4180.1499999999996</v>
      </c>
      <c r="R342" s="249" t="e">
        <f>VLOOKUP(P342,Assumptions!$C$2:$D$64,2,0)</f>
        <v>#N/A</v>
      </c>
      <c r="S342" s="692" t="str">
        <f>IFERROR(VLOOKUP(A342,'Maturity Adjustment'!$A$3:$C$81,3,0),(IF(J342&lt;$N$4,"Tomorrow",J342)))</f>
        <v>Tomorrow</v>
      </c>
      <c r="T342" s="24">
        <f t="shared" si="155"/>
        <v>1</v>
      </c>
      <c r="U342" s="196" t="e">
        <f t="shared" si="143"/>
        <v>#N/A</v>
      </c>
      <c r="V342" s="11" t="str">
        <f>IFERROR(VLOOKUP(A342,'Maturity Adjustment'!$A$86:$C$91,3,0),S342)</f>
        <v>Tomorrow</v>
      </c>
      <c r="W342" s="207" t="e">
        <f>VLOOKUP(A342,'Account Mapping'!$A$2:$F$216,6,0)</f>
        <v>#N/A</v>
      </c>
      <c r="X342" s="194">
        <f t="shared" si="144"/>
        <v>4180.1499999999996</v>
      </c>
      <c r="Y342" s="194">
        <f t="shared" si="145"/>
        <v>0</v>
      </c>
      <c r="Z342" s="13">
        <f t="shared" si="146"/>
        <v>0</v>
      </c>
      <c r="AA342" s="13">
        <f t="shared" si="147"/>
        <v>0</v>
      </c>
      <c r="AB342" s="13">
        <f t="shared" si="148"/>
        <v>0</v>
      </c>
      <c r="AC342" s="13">
        <f t="shared" si="149"/>
        <v>0</v>
      </c>
      <c r="AD342" s="13">
        <f t="shared" si="150"/>
        <v>0</v>
      </c>
      <c r="AE342" s="13">
        <f t="shared" si="151"/>
        <v>0</v>
      </c>
      <c r="AF342" s="13">
        <f t="shared" si="152"/>
        <v>0</v>
      </c>
      <c r="AG342" s="685">
        <f t="shared" si="153"/>
        <v>0</v>
      </c>
      <c r="AH342" s="688" t="b">
        <f t="shared" si="154"/>
        <v>1</v>
      </c>
    </row>
    <row r="343" spans="1:34" s="1" customFormat="1" ht="15" customHeight="1">
      <c r="A343" s="946">
        <v>12110005</v>
      </c>
      <c r="B343" s="946" t="s">
        <v>639</v>
      </c>
      <c r="C343" s="946" t="s">
        <v>641</v>
      </c>
      <c r="D343" s="946">
        <v>100000001</v>
      </c>
      <c r="E343" s="946" t="s">
        <v>33</v>
      </c>
      <c r="F343" s="946" t="s">
        <v>11</v>
      </c>
      <c r="G343" s="947">
        <v>1156.4100000000001</v>
      </c>
      <c r="H343" s="947">
        <v>1156.4100000000001</v>
      </c>
      <c r="I343" s="949">
        <v>44621</v>
      </c>
      <c r="J343" s="949">
        <v>45961</v>
      </c>
      <c r="K343" s="948"/>
      <c r="L343" s="29" t="e">
        <f>VLOOKUP(A343,'Account Mapping'!$A$2:$E$216,3,0)</f>
        <v>#N/A</v>
      </c>
      <c r="M343" s="25" t="e">
        <f>VLOOKUP(A343,'Account Mapping'!$A$2:$E$216,4,0)</f>
        <v>#N/A</v>
      </c>
      <c r="N343" s="26" t="e">
        <f>IF(OR(C343='Account Mapping'!$H$4,C343='Account Mapping'!$H$5,C343='Account Mapping'!$H$6),'Account Mapping'!$I$4,VLOOKUP(A343,'Account Mapping'!$A$2:$E$216,5,0))</f>
        <v>#N/A</v>
      </c>
      <c r="O343" s="27" t="e">
        <f>IF(OR(L343="Loan",L343="Deposit_Liability",L343="OFF_Unused Loan Commitment",L343="HQLA"),VLOOKUP(D343,'Customer Type'!$A$3:$C$38,3,0),"")</f>
        <v>#N/A</v>
      </c>
      <c r="P343" s="656" t="e">
        <f t="shared" si="142"/>
        <v>#N/A</v>
      </c>
      <c r="Q343" s="658">
        <f>IF(COUNTIF('Account Mapping'!$H$12:$H$45,A343)&gt;0,-H343,H343)</f>
        <v>1156.4100000000001</v>
      </c>
      <c r="R343" s="249" t="e">
        <f>VLOOKUP(P343,Assumptions!$C$2:$D$64,2,0)</f>
        <v>#N/A</v>
      </c>
      <c r="S343" s="692" t="str">
        <f>IFERROR(VLOOKUP(A343,'Maturity Adjustment'!$A$3:$C$81,3,0),(IF(J343&lt;$N$4,"Tomorrow",J343)))</f>
        <v>Tomorrow</v>
      </c>
      <c r="T343" s="24">
        <f t="shared" si="155"/>
        <v>1</v>
      </c>
      <c r="U343" s="196" t="e">
        <f t="shared" si="143"/>
        <v>#N/A</v>
      </c>
      <c r="V343" s="11" t="str">
        <f>IFERROR(VLOOKUP(A343,'Maturity Adjustment'!$A$86:$C$91,3,0),S343)</f>
        <v>Tomorrow</v>
      </c>
      <c r="W343" s="207" t="e">
        <f>VLOOKUP(A343,'Account Mapping'!$A$2:$F$216,6,0)</f>
        <v>#N/A</v>
      </c>
      <c r="X343" s="194">
        <f t="shared" si="144"/>
        <v>1156.4100000000001</v>
      </c>
      <c r="Y343" s="194">
        <f t="shared" si="145"/>
        <v>0</v>
      </c>
      <c r="Z343" s="13">
        <f t="shared" si="146"/>
        <v>0</v>
      </c>
      <c r="AA343" s="13">
        <f t="shared" si="147"/>
        <v>0</v>
      </c>
      <c r="AB343" s="13">
        <f t="shared" si="148"/>
        <v>0</v>
      </c>
      <c r="AC343" s="13">
        <f t="shared" si="149"/>
        <v>0</v>
      </c>
      <c r="AD343" s="13">
        <f t="shared" si="150"/>
        <v>0</v>
      </c>
      <c r="AE343" s="13">
        <f t="shared" si="151"/>
        <v>0</v>
      </c>
      <c r="AF343" s="13">
        <f t="shared" si="152"/>
        <v>0</v>
      </c>
      <c r="AG343" s="685">
        <f t="shared" si="153"/>
        <v>0</v>
      </c>
      <c r="AH343" s="688" t="b">
        <f t="shared" si="154"/>
        <v>1</v>
      </c>
    </row>
    <row r="344" spans="1:34" s="1" customFormat="1" ht="15" customHeight="1">
      <c r="A344" s="946">
        <v>12110005</v>
      </c>
      <c r="B344" s="946" t="s">
        <v>639</v>
      </c>
      <c r="C344" s="946" t="s">
        <v>642</v>
      </c>
      <c r="D344" s="946">
        <v>100000001</v>
      </c>
      <c r="E344" s="946" t="s">
        <v>33</v>
      </c>
      <c r="F344" s="946" t="s">
        <v>11</v>
      </c>
      <c r="G344" s="947">
        <v>227.23</v>
      </c>
      <c r="H344" s="947">
        <v>227.23</v>
      </c>
      <c r="I344" s="949">
        <v>44621</v>
      </c>
      <c r="J344" s="949">
        <v>45961</v>
      </c>
      <c r="K344" s="948"/>
      <c r="L344" s="29" t="e">
        <f>VLOOKUP(A344,'Account Mapping'!$A$2:$E$216,3,0)</f>
        <v>#N/A</v>
      </c>
      <c r="M344" s="25" t="e">
        <f>VLOOKUP(A344,'Account Mapping'!$A$2:$E$216,4,0)</f>
        <v>#N/A</v>
      </c>
      <c r="N344" s="26" t="e">
        <f>IF(OR(C344='Account Mapping'!$H$4,C344='Account Mapping'!$H$5,C344='Account Mapping'!$H$6),'Account Mapping'!$I$4,VLOOKUP(A344,'Account Mapping'!$A$2:$E$216,5,0))</f>
        <v>#N/A</v>
      </c>
      <c r="O344" s="27" t="e">
        <f>IF(OR(L344="Loan",L344="Deposit_Liability",L344="OFF_Unused Loan Commitment",L344="HQLA"),VLOOKUP(D344,'Customer Type'!$A$3:$C$38,3,0),"")</f>
        <v>#N/A</v>
      </c>
      <c r="P344" s="656" t="e">
        <f t="shared" si="142"/>
        <v>#N/A</v>
      </c>
      <c r="Q344" s="658">
        <f>IF(COUNTIF('Account Mapping'!$H$12:$H$45,A344)&gt;0,-H344,H344)</f>
        <v>227.23</v>
      </c>
      <c r="R344" s="249" t="e">
        <f>VLOOKUP(P344,Assumptions!$C$2:$D$64,2,0)</f>
        <v>#N/A</v>
      </c>
      <c r="S344" s="692" t="str">
        <f>IFERROR(VLOOKUP(A344,'Maturity Adjustment'!$A$3:$C$81,3,0),(IF(J344&lt;$N$4,"Tomorrow",J344)))</f>
        <v>Tomorrow</v>
      </c>
      <c r="T344" s="24">
        <f t="shared" si="155"/>
        <v>1</v>
      </c>
      <c r="U344" s="196" t="e">
        <f t="shared" si="143"/>
        <v>#N/A</v>
      </c>
      <c r="V344" s="11" t="str">
        <f>IFERROR(VLOOKUP(A344,'Maturity Adjustment'!$A$86:$C$91,3,0),S344)</f>
        <v>Tomorrow</v>
      </c>
      <c r="W344" s="207" t="e">
        <f>VLOOKUP(A344,'Account Mapping'!$A$2:$F$216,6,0)</f>
        <v>#N/A</v>
      </c>
      <c r="X344" s="194">
        <f t="shared" si="144"/>
        <v>227.23</v>
      </c>
      <c r="Y344" s="194">
        <f t="shared" si="145"/>
        <v>0</v>
      </c>
      <c r="Z344" s="13">
        <f t="shared" si="146"/>
        <v>0</v>
      </c>
      <c r="AA344" s="13">
        <f t="shared" si="147"/>
        <v>0</v>
      </c>
      <c r="AB344" s="13">
        <f t="shared" si="148"/>
        <v>0</v>
      </c>
      <c r="AC344" s="13">
        <f t="shared" si="149"/>
        <v>0</v>
      </c>
      <c r="AD344" s="13">
        <f t="shared" si="150"/>
        <v>0</v>
      </c>
      <c r="AE344" s="13">
        <f t="shared" si="151"/>
        <v>0</v>
      </c>
      <c r="AF344" s="13">
        <f t="shared" si="152"/>
        <v>0</v>
      </c>
      <c r="AG344" s="685">
        <f t="shared" si="153"/>
        <v>0</v>
      </c>
      <c r="AH344" s="688" t="b">
        <f t="shared" si="154"/>
        <v>1</v>
      </c>
    </row>
    <row r="345" spans="1:34" s="1" customFormat="1" ht="15" customHeight="1">
      <c r="A345" s="946">
        <v>12110005</v>
      </c>
      <c r="B345" s="946" t="s">
        <v>639</v>
      </c>
      <c r="C345" s="946" t="s">
        <v>643</v>
      </c>
      <c r="D345" s="946">
        <v>100000001</v>
      </c>
      <c r="E345" s="946" t="s">
        <v>33</v>
      </c>
      <c r="F345" s="946" t="s">
        <v>11</v>
      </c>
      <c r="G345" s="947">
        <v>1156.4100000000001</v>
      </c>
      <c r="H345" s="947">
        <v>1156.4100000000001</v>
      </c>
      <c r="I345" s="949">
        <v>44621</v>
      </c>
      <c r="J345" s="949">
        <v>45961</v>
      </c>
      <c r="K345" s="948"/>
      <c r="L345" s="29" t="e">
        <f>VLOOKUP(A345,'Account Mapping'!$A$2:$E$216,3,0)</f>
        <v>#N/A</v>
      </c>
      <c r="M345" s="25" t="e">
        <f>VLOOKUP(A345,'Account Mapping'!$A$2:$E$216,4,0)</f>
        <v>#N/A</v>
      </c>
      <c r="N345" s="26" t="e">
        <f>IF(OR(C345='Account Mapping'!$H$4,C345='Account Mapping'!$H$5,C345='Account Mapping'!$H$6),'Account Mapping'!$I$4,VLOOKUP(A345,'Account Mapping'!$A$2:$E$216,5,0))</f>
        <v>#N/A</v>
      </c>
      <c r="O345" s="27" t="e">
        <f>IF(OR(L345="Loan",L345="Deposit_Liability",L345="OFF_Unused Loan Commitment",L345="HQLA"),VLOOKUP(D345,'Customer Type'!$A$3:$C$38,3,0),"")</f>
        <v>#N/A</v>
      </c>
      <c r="P345" s="656" t="e">
        <f t="shared" si="142"/>
        <v>#N/A</v>
      </c>
      <c r="Q345" s="658">
        <f>IF(COUNTIF('Account Mapping'!$H$12:$H$45,A345)&gt;0,-H345,H345)</f>
        <v>1156.4100000000001</v>
      </c>
      <c r="R345" s="249" t="e">
        <f>VLOOKUP(P345,Assumptions!$C$2:$D$64,2,0)</f>
        <v>#N/A</v>
      </c>
      <c r="S345" s="692" t="str">
        <f>IFERROR(VLOOKUP(A345,'Maturity Adjustment'!$A$3:$C$81,3,0),(IF(J345&lt;$N$4,"Tomorrow",J345)))</f>
        <v>Tomorrow</v>
      </c>
      <c r="T345" s="24">
        <f t="shared" si="155"/>
        <v>1</v>
      </c>
      <c r="U345" s="196" t="e">
        <f t="shared" si="143"/>
        <v>#N/A</v>
      </c>
      <c r="V345" s="11" t="str">
        <f>IFERROR(VLOOKUP(A345,'Maturity Adjustment'!$A$86:$C$91,3,0),S345)</f>
        <v>Tomorrow</v>
      </c>
      <c r="W345" s="207" t="e">
        <f>VLOOKUP(A345,'Account Mapping'!$A$2:$F$216,6,0)</f>
        <v>#N/A</v>
      </c>
      <c r="X345" s="194">
        <f t="shared" si="144"/>
        <v>1156.4100000000001</v>
      </c>
      <c r="Y345" s="194">
        <f t="shared" si="145"/>
        <v>0</v>
      </c>
      <c r="Z345" s="13">
        <f t="shared" si="146"/>
        <v>0</v>
      </c>
      <c r="AA345" s="13">
        <f t="shared" si="147"/>
        <v>0</v>
      </c>
      <c r="AB345" s="13">
        <f t="shared" si="148"/>
        <v>0</v>
      </c>
      <c r="AC345" s="13">
        <f t="shared" si="149"/>
        <v>0</v>
      </c>
      <c r="AD345" s="13">
        <f t="shared" si="150"/>
        <v>0</v>
      </c>
      <c r="AE345" s="13">
        <f t="shared" si="151"/>
        <v>0</v>
      </c>
      <c r="AF345" s="13">
        <f t="shared" si="152"/>
        <v>0</v>
      </c>
      <c r="AG345" s="685">
        <f t="shared" si="153"/>
        <v>0</v>
      </c>
      <c r="AH345" s="688" t="b">
        <f t="shared" si="154"/>
        <v>1</v>
      </c>
    </row>
    <row r="346" spans="1:34" s="1" customFormat="1" ht="15" customHeight="1">
      <c r="A346" s="946">
        <v>12110005</v>
      </c>
      <c r="B346" s="946" t="s">
        <v>639</v>
      </c>
      <c r="C346" s="946" t="s">
        <v>644</v>
      </c>
      <c r="D346" s="946">
        <v>100000001</v>
      </c>
      <c r="E346" s="946" t="s">
        <v>33</v>
      </c>
      <c r="F346" s="946" t="s">
        <v>11</v>
      </c>
      <c r="G346" s="947">
        <v>1251.56</v>
      </c>
      <c r="H346" s="947">
        <v>1251.56</v>
      </c>
      <c r="I346" s="949">
        <v>44621</v>
      </c>
      <c r="J346" s="949">
        <v>45961</v>
      </c>
      <c r="K346" s="948"/>
      <c r="L346" s="29" t="e">
        <f>VLOOKUP(A346,'Account Mapping'!$A$2:$E$216,3,0)</f>
        <v>#N/A</v>
      </c>
      <c r="M346" s="25" t="e">
        <f>VLOOKUP(A346,'Account Mapping'!$A$2:$E$216,4,0)</f>
        <v>#N/A</v>
      </c>
      <c r="N346" s="26" t="e">
        <f>IF(OR(C346='Account Mapping'!$H$4,C346='Account Mapping'!$H$5,C346='Account Mapping'!$H$6),'Account Mapping'!$I$4,VLOOKUP(A346,'Account Mapping'!$A$2:$E$216,5,0))</f>
        <v>#N/A</v>
      </c>
      <c r="O346" s="27" t="e">
        <f>IF(OR(L346="Loan",L346="Deposit_Liability",L346="OFF_Unused Loan Commitment",L346="HQLA"),VLOOKUP(D346,'Customer Type'!$A$3:$C$38,3,0),"")</f>
        <v>#N/A</v>
      </c>
      <c r="P346" s="656" t="e">
        <f t="shared" si="142"/>
        <v>#N/A</v>
      </c>
      <c r="Q346" s="658">
        <f>IF(COUNTIF('Account Mapping'!$H$12:$H$45,A346)&gt;0,-H346,H346)</f>
        <v>1251.56</v>
      </c>
      <c r="R346" s="249" t="e">
        <f>VLOOKUP(P346,Assumptions!$C$2:$D$64,2,0)</f>
        <v>#N/A</v>
      </c>
      <c r="S346" s="692" t="str">
        <f>IFERROR(VLOOKUP(A346,'Maturity Adjustment'!$A$3:$C$81,3,0),(IF(J346&lt;$N$4,"Tomorrow",J346)))</f>
        <v>Tomorrow</v>
      </c>
      <c r="T346" s="24">
        <f t="shared" si="155"/>
        <v>1</v>
      </c>
      <c r="U346" s="196" t="e">
        <f t="shared" si="143"/>
        <v>#N/A</v>
      </c>
      <c r="V346" s="11" t="str">
        <f>IFERROR(VLOOKUP(A346,'Maturity Adjustment'!$A$86:$C$91,3,0),S346)</f>
        <v>Tomorrow</v>
      </c>
      <c r="W346" s="207" t="e">
        <f>VLOOKUP(A346,'Account Mapping'!$A$2:$F$216,6,0)</f>
        <v>#N/A</v>
      </c>
      <c r="X346" s="194">
        <f t="shared" si="144"/>
        <v>1251.56</v>
      </c>
      <c r="Y346" s="194">
        <f t="shared" si="145"/>
        <v>0</v>
      </c>
      <c r="Z346" s="13">
        <f t="shared" si="146"/>
        <v>0</v>
      </c>
      <c r="AA346" s="13">
        <f t="shared" si="147"/>
        <v>0</v>
      </c>
      <c r="AB346" s="13">
        <f t="shared" si="148"/>
        <v>0</v>
      </c>
      <c r="AC346" s="13">
        <f t="shared" si="149"/>
        <v>0</v>
      </c>
      <c r="AD346" s="13">
        <f t="shared" si="150"/>
        <v>0</v>
      </c>
      <c r="AE346" s="13">
        <f t="shared" si="151"/>
        <v>0</v>
      </c>
      <c r="AF346" s="13">
        <f t="shared" si="152"/>
        <v>0</v>
      </c>
      <c r="AG346" s="685">
        <f t="shared" si="153"/>
        <v>0</v>
      </c>
      <c r="AH346" s="688" t="b">
        <f t="shared" si="154"/>
        <v>1</v>
      </c>
    </row>
    <row r="347" spans="1:34" s="1" customFormat="1" ht="15" customHeight="1">
      <c r="A347" s="946">
        <v>12110005</v>
      </c>
      <c r="B347" s="946" t="s">
        <v>639</v>
      </c>
      <c r="C347" s="946" t="s">
        <v>645</v>
      </c>
      <c r="D347" s="946">
        <v>100000001</v>
      </c>
      <c r="E347" s="946" t="s">
        <v>33</v>
      </c>
      <c r="F347" s="946" t="s">
        <v>11</v>
      </c>
      <c r="G347" s="947">
        <v>3634.89</v>
      </c>
      <c r="H347" s="947">
        <v>3634.89</v>
      </c>
      <c r="I347" s="949">
        <v>44621</v>
      </c>
      <c r="J347" s="949">
        <v>45961</v>
      </c>
      <c r="K347" s="948"/>
      <c r="L347" s="29" t="e">
        <f>VLOOKUP(A347,'Account Mapping'!$A$2:$E$216,3,0)</f>
        <v>#N/A</v>
      </c>
      <c r="M347" s="25" t="e">
        <f>VLOOKUP(A347,'Account Mapping'!$A$2:$E$216,4,0)</f>
        <v>#N/A</v>
      </c>
      <c r="N347" s="26" t="e">
        <f>IF(OR(C347='Account Mapping'!$H$4,C347='Account Mapping'!$H$5,C347='Account Mapping'!$H$6),'Account Mapping'!$I$4,VLOOKUP(A347,'Account Mapping'!$A$2:$E$216,5,0))</f>
        <v>#N/A</v>
      </c>
      <c r="O347" s="27" t="e">
        <f>IF(OR(L347="Loan",L347="Deposit_Liability",L347="OFF_Unused Loan Commitment",L347="HQLA"),VLOOKUP(D347,'Customer Type'!$A$3:$C$38,3,0),"")</f>
        <v>#N/A</v>
      </c>
      <c r="P347" s="656" t="e">
        <f t="shared" si="142"/>
        <v>#N/A</v>
      </c>
      <c r="Q347" s="658">
        <f>IF(COUNTIF('Account Mapping'!$H$12:$H$45,A347)&gt;0,-H347,H347)</f>
        <v>3634.89</v>
      </c>
      <c r="R347" s="249" t="e">
        <f>VLOOKUP(P347,Assumptions!$C$2:$D$64,2,0)</f>
        <v>#N/A</v>
      </c>
      <c r="S347" s="692" t="str">
        <f>IFERROR(VLOOKUP(A347,'Maturity Adjustment'!$A$3:$C$81,3,0),(IF(J347&lt;$N$4,"Tomorrow",J347)))</f>
        <v>Tomorrow</v>
      </c>
      <c r="T347" s="24">
        <f>IF(S347="Tomorrow",1,(S347-$N$4))</f>
        <v>1</v>
      </c>
      <c r="U347" s="196" t="e">
        <f t="shared" si="143"/>
        <v>#N/A</v>
      </c>
      <c r="V347" s="11" t="str">
        <f>IFERROR(VLOOKUP(A347,'Maturity Adjustment'!$A$86:$C$91,3,0),S347)</f>
        <v>Tomorrow</v>
      </c>
      <c r="W347" s="207" t="e">
        <f>VLOOKUP(A347,'Account Mapping'!$A$2:$F$216,6,0)</f>
        <v>#N/A</v>
      </c>
      <c r="X347" s="194">
        <f t="shared" si="144"/>
        <v>3634.89</v>
      </c>
      <c r="Y347" s="194">
        <f t="shared" si="145"/>
        <v>0</v>
      </c>
      <c r="Z347" s="13">
        <f t="shared" si="146"/>
        <v>0</v>
      </c>
      <c r="AA347" s="13">
        <f t="shared" si="147"/>
        <v>0</v>
      </c>
      <c r="AB347" s="13">
        <f t="shared" si="148"/>
        <v>0</v>
      </c>
      <c r="AC347" s="13">
        <f t="shared" si="149"/>
        <v>0</v>
      </c>
      <c r="AD347" s="13">
        <f t="shared" si="150"/>
        <v>0</v>
      </c>
      <c r="AE347" s="13">
        <f t="shared" si="151"/>
        <v>0</v>
      </c>
      <c r="AF347" s="13">
        <f t="shared" si="152"/>
        <v>0</v>
      </c>
      <c r="AG347" s="685">
        <f t="shared" si="153"/>
        <v>0</v>
      </c>
      <c r="AH347" s="688" t="b">
        <f t="shared" si="154"/>
        <v>1</v>
      </c>
    </row>
    <row r="348" spans="1:34" s="1" customFormat="1" ht="15" customHeight="1">
      <c r="A348" s="946">
        <v>12110005</v>
      </c>
      <c r="B348" s="946" t="s">
        <v>639</v>
      </c>
      <c r="C348" s="946" t="s">
        <v>646</v>
      </c>
      <c r="D348" s="946">
        <v>100000001</v>
      </c>
      <c r="E348" s="946" t="s">
        <v>33</v>
      </c>
      <c r="F348" s="946" t="s">
        <v>11</v>
      </c>
      <c r="G348" s="947">
        <v>1608.76</v>
      </c>
      <c r="H348" s="947">
        <v>1608.76</v>
      </c>
      <c r="I348" s="949">
        <v>44621</v>
      </c>
      <c r="J348" s="949">
        <v>45961</v>
      </c>
      <c r="K348" s="948"/>
      <c r="L348" s="29" t="e">
        <f>VLOOKUP(A348,'Account Mapping'!$A$2:$E$216,3,0)</f>
        <v>#N/A</v>
      </c>
      <c r="M348" s="25" t="e">
        <f>VLOOKUP(A348,'Account Mapping'!$A$2:$E$216,4,0)</f>
        <v>#N/A</v>
      </c>
      <c r="N348" s="26" t="e">
        <f>IF(OR(C348='Account Mapping'!$H$4,C348='Account Mapping'!$H$5,C348='Account Mapping'!$H$6),'Account Mapping'!$I$4,VLOOKUP(A348,'Account Mapping'!$A$2:$E$216,5,0))</f>
        <v>#N/A</v>
      </c>
      <c r="O348" s="27" t="e">
        <f>IF(OR(L348="Loan",L348="Deposit_Liability",L348="OFF_Unused Loan Commitment",L348="HQLA"),VLOOKUP(D348,'Customer Type'!$A$3:$C$38,3,0),"")</f>
        <v>#N/A</v>
      </c>
      <c r="P348" s="656" t="e">
        <f t="shared" si="142"/>
        <v>#N/A</v>
      </c>
      <c r="Q348" s="658">
        <f>IF(COUNTIF('Account Mapping'!$H$12:$H$45,A348)&gt;0,-H348,H348)</f>
        <v>1608.76</v>
      </c>
      <c r="R348" s="249" t="e">
        <f>VLOOKUP(P348,Assumptions!$C$2:$D$64,2,0)</f>
        <v>#N/A</v>
      </c>
      <c r="S348" s="692" t="str">
        <f>IFERROR(VLOOKUP(A348,'Maturity Adjustment'!$A$3:$C$81,3,0),(IF(J348&lt;$N$4,"Tomorrow",J348)))</f>
        <v>Tomorrow</v>
      </c>
      <c r="T348" s="24">
        <f>IF(S348="Tomorrow",1,(S348-$N$4))</f>
        <v>1</v>
      </c>
      <c r="U348" s="196" t="e">
        <f t="shared" si="143"/>
        <v>#N/A</v>
      </c>
      <c r="V348" s="11" t="str">
        <f>IFERROR(VLOOKUP(A348,'Maturity Adjustment'!$A$86:$C$91,3,0),S348)</f>
        <v>Tomorrow</v>
      </c>
      <c r="W348" s="12" t="e">
        <f>VLOOKUP(A348,'Account Mapping'!$A$2:$F$216,6,0)</f>
        <v>#N/A</v>
      </c>
      <c r="X348" s="194">
        <f t="shared" si="144"/>
        <v>1608.76</v>
      </c>
      <c r="Y348" s="194">
        <f t="shared" si="145"/>
        <v>0</v>
      </c>
      <c r="Z348" s="13">
        <f t="shared" si="146"/>
        <v>0</v>
      </c>
      <c r="AA348" s="13">
        <f t="shared" si="147"/>
        <v>0</v>
      </c>
      <c r="AB348" s="13">
        <f t="shared" si="148"/>
        <v>0</v>
      </c>
      <c r="AC348" s="13">
        <f t="shared" si="149"/>
        <v>0</v>
      </c>
      <c r="AD348" s="13">
        <f t="shared" si="150"/>
        <v>0</v>
      </c>
      <c r="AE348" s="13">
        <f t="shared" si="151"/>
        <v>0</v>
      </c>
      <c r="AF348" s="13">
        <f t="shared" si="152"/>
        <v>0</v>
      </c>
      <c r="AG348" s="685">
        <f t="shared" si="153"/>
        <v>0</v>
      </c>
      <c r="AH348" s="688" t="b">
        <f t="shared" si="154"/>
        <v>1</v>
      </c>
    </row>
    <row r="349" spans="1:34" s="1" customFormat="1" ht="15" customHeight="1">
      <c r="A349" s="946">
        <v>12110005</v>
      </c>
      <c r="B349" s="946" t="s">
        <v>639</v>
      </c>
      <c r="C349" s="946" t="s">
        <v>647</v>
      </c>
      <c r="D349" s="946">
        <v>100000001</v>
      </c>
      <c r="E349" s="946" t="s">
        <v>33</v>
      </c>
      <c r="F349" s="946" t="s">
        <v>11</v>
      </c>
      <c r="G349" s="947">
        <v>331.75</v>
      </c>
      <c r="H349" s="947">
        <v>331.75</v>
      </c>
      <c r="I349" s="949">
        <v>44621</v>
      </c>
      <c r="J349" s="949">
        <v>45961</v>
      </c>
      <c r="K349" s="948"/>
      <c r="L349" s="29" t="e">
        <f>VLOOKUP(A349,'Account Mapping'!$A$2:$E$216,3,0)</f>
        <v>#N/A</v>
      </c>
      <c r="M349" s="25" t="e">
        <f>VLOOKUP(A349,'Account Mapping'!$A$2:$E$216,4,0)</f>
        <v>#N/A</v>
      </c>
      <c r="N349" s="26" t="e">
        <f>IF(OR(C349='Account Mapping'!$H$4,C349='Account Mapping'!$H$5,C349='Account Mapping'!$H$6),'Account Mapping'!$I$4,VLOOKUP(A349,'Account Mapping'!$A$2:$E$216,5,0))</f>
        <v>#N/A</v>
      </c>
      <c r="O349" s="27" t="e">
        <f>IF(OR(L349="Loan",L349="Deposit_Liability",L349="OFF_Unused Loan Commitment",L349="HQLA"),VLOOKUP(D349,'Customer Type'!$A$3:$C$38,3,0),"")</f>
        <v>#N/A</v>
      </c>
      <c r="P349" s="656" t="e">
        <f t="shared" si="142"/>
        <v>#N/A</v>
      </c>
      <c r="Q349" s="658">
        <f>IF(COUNTIF('Account Mapping'!$H$12:$H$45,A349)&gt;0,-H349,H349)</f>
        <v>331.75</v>
      </c>
      <c r="R349" s="249" t="e">
        <f>VLOOKUP(P349,Assumptions!$C$2:$D$64,2,0)</f>
        <v>#N/A</v>
      </c>
      <c r="S349" s="692" t="str">
        <f>IFERROR(VLOOKUP(A349,'Maturity Adjustment'!$A$3:$C$81,3,0),(IF(J349&lt;$N$4,"Tomorrow",J349)))</f>
        <v>Tomorrow</v>
      </c>
      <c r="T349" s="24">
        <f>IF(S349="Tomorrow",1,(S349-$N$4))</f>
        <v>1</v>
      </c>
      <c r="U349" s="196" t="e">
        <f t="shared" si="143"/>
        <v>#N/A</v>
      </c>
      <c r="V349" s="11" t="str">
        <f>IFERROR(VLOOKUP(A349,'Maturity Adjustment'!$A$86:$C$91,3,0),S349)</f>
        <v>Tomorrow</v>
      </c>
      <c r="W349" s="12" t="e">
        <f>VLOOKUP(A349,'Account Mapping'!$A$2:$F$216,6,0)</f>
        <v>#N/A</v>
      </c>
      <c r="X349" s="194">
        <f t="shared" si="144"/>
        <v>331.75</v>
      </c>
      <c r="Y349" s="194">
        <f t="shared" si="145"/>
        <v>0</v>
      </c>
      <c r="Z349" s="13">
        <f t="shared" si="146"/>
        <v>0</v>
      </c>
      <c r="AA349" s="13">
        <f t="shared" si="147"/>
        <v>0</v>
      </c>
      <c r="AB349" s="13">
        <f t="shared" si="148"/>
        <v>0</v>
      </c>
      <c r="AC349" s="13">
        <f t="shared" si="149"/>
        <v>0</v>
      </c>
      <c r="AD349" s="13">
        <f t="shared" si="150"/>
        <v>0</v>
      </c>
      <c r="AE349" s="13">
        <f t="shared" si="151"/>
        <v>0</v>
      </c>
      <c r="AF349" s="13">
        <f t="shared" si="152"/>
        <v>0</v>
      </c>
      <c r="AG349" s="685">
        <f t="shared" si="153"/>
        <v>0</v>
      </c>
      <c r="AH349" s="688" t="b">
        <f t="shared" si="154"/>
        <v>1</v>
      </c>
    </row>
    <row r="350" spans="1:34" s="1" customFormat="1" ht="15" customHeight="1">
      <c r="A350" s="946">
        <v>12110005</v>
      </c>
      <c r="B350" s="946" t="s">
        <v>639</v>
      </c>
      <c r="C350" s="946" t="s">
        <v>648</v>
      </c>
      <c r="D350" s="946">
        <v>100000001</v>
      </c>
      <c r="E350" s="946" t="s">
        <v>33</v>
      </c>
      <c r="F350" s="946" t="s">
        <v>11</v>
      </c>
      <c r="G350" s="947">
        <v>636.23</v>
      </c>
      <c r="H350" s="947">
        <v>636.23</v>
      </c>
      <c r="I350" s="949">
        <v>44621</v>
      </c>
      <c r="J350" s="949">
        <v>45961</v>
      </c>
      <c r="K350" s="948"/>
      <c r="L350" s="29" t="e">
        <f>VLOOKUP(A350,'Account Mapping'!$A$2:$E$216,3,0)</f>
        <v>#N/A</v>
      </c>
      <c r="M350" s="25" t="e">
        <f>VLOOKUP(A350,'Account Mapping'!$A$2:$E$216,4,0)</f>
        <v>#N/A</v>
      </c>
      <c r="N350" s="26" t="e">
        <f>IF(OR(C350='Account Mapping'!$H$4,C350='Account Mapping'!$H$5,C350='Account Mapping'!$H$6),'Account Mapping'!$I$4,VLOOKUP(A350,'Account Mapping'!$A$2:$E$216,5,0))</f>
        <v>#N/A</v>
      </c>
      <c r="O350" s="27" t="e">
        <f>IF(OR(L350="Loan",L350="Deposit_Liability",L350="OFF_Unused Loan Commitment",L350="HQLA"),VLOOKUP(D350,'Customer Type'!$A$3:$C$38,3,0),"")</f>
        <v>#N/A</v>
      </c>
      <c r="P350" s="656" t="e">
        <f t="shared" si="142"/>
        <v>#N/A</v>
      </c>
      <c r="Q350" s="658">
        <f>IF(COUNTIF('Account Mapping'!$H$12:$H$45,A350)&gt;0,-H350,H350)</f>
        <v>636.23</v>
      </c>
      <c r="R350" s="249" t="e">
        <f>VLOOKUP(P350,Assumptions!$C$2:$D$64,2,0)</f>
        <v>#N/A</v>
      </c>
      <c r="S350" s="692" t="str">
        <f>IFERROR(VLOOKUP(A350,'Maturity Adjustment'!$A$3:$C$81,3,0),(IF(J350&lt;$N$4,"Tomorrow",J350)))</f>
        <v>Tomorrow</v>
      </c>
      <c r="T350" s="24">
        <f t="shared" si="141"/>
        <v>1</v>
      </c>
      <c r="U350" s="196" t="e">
        <f t="shared" si="143"/>
        <v>#N/A</v>
      </c>
      <c r="V350" s="11" t="str">
        <f>IFERROR(VLOOKUP(A350,'Maturity Adjustment'!$A$86:$C$91,3,0),S350)</f>
        <v>Tomorrow</v>
      </c>
      <c r="W350" s="207" t="e">
        <f>VLOOKUP(A350,'Account Mapping'!$A$2:$F$216,6,0)</f>
        <v>#N/A</v>
      </c>
      <c r="X350" s="194">
        <f t="shared" si="144"/>
        <v>636.23</v>
      </c>
      <c r="Y350" s="194">
        <f t="shared" si="145"/>
        <v>0</v>
      </c>
      <c r="Z350" s="13">
        <f t="shared" si="146"/>
        <v>0</v>
      </c>
      <c r="AA350" s="13">
        <f t="shared" si="147"/>
        <v>0</v>
      </c>
      <c r="AB350" s="13">
        <f t="shared" si="148"/>
        <v>0</v>
      </c>
      <c r="AC350" s="13">
        <f t="shared" si="149"/>
        <v>0</v>
      </c>
      <c r="AD350" s="13">
        <f t="shared" si="150"/>
        <v>0</v>
      </c>
      <c r="AE350" s="13">
        <f t="shared" si="151"/>
        <v>0</v>
      </c>
      <c r="AF350" s="13">
        <f t="shared" si="152"/>
        <v>0</v>
      </c>
      <c r="AG350" s="685">
        <f t="shared" si="153"/>
        <v>0</v>
      </c>
      <c r="AH350" s="688" t="b">
        <f t="shared" si="154"/>
        <v>1</v>
      </c>
    </row>
    <row r="351" spans="1:34" s="1" customFormat="1" ht="15" customHeight="1">
      <c r="A351" s="946">
        <v>12110005</v>
      </c>
      <c r="B351" s="946" t="s">
        <v>639</v>
      </c>
      <c r="C351" s="946" t="s">
        <v>649</v>
      </c>
      <c r="D351" s="946">
        <v>100000001</v>
      </c>
      <c r="E351" s="946" t="s">
        <v>33</v>
      </c>
      <c r="F351" s="946" t="s">
        <v>11</v>
      </c>
      <c r="G351" s="947">
        <v>2513.12</v>
      </c>
      <c r="H351" s="947">
        <v>2513.12</v>
      </c>
      <c r="I351" s="949">
        <v>44621</v>
      </c>
      <c r="J351" s="949">
        <v>45961</v>
      </c>
      <c r="K351" s="948"/>
      <c r="L351" s="29" t="e">
        <f>VLOOKUP(A351,'Account Mapping'!$A$2:$E$216,3,0)</f>
        <v>#N/A</v>
      </c>
      <c r="M351" s="25" t="e">
        <f>VLOOKUP(A351,'Account Mapping'!$A$2:$E$216,4,0)</f>
        <v>#N/A</v>
      </c>
      <c r="N351" s="26" t="e">
        <f>IF(OR(C351='Account Mapping'!$H$4,C351='Account Mapping'!$H$5,C351='Account Mapping'!$H$6),'Account Mapping'!$I$4,VLOOKUP(A351,'Account Mapping'!$A$2:$E$216,5,0))</f>
        <v>#N/A</v>
      </c>
      <c r="O351" s="27" t="e">
        <f>IF(OR(L351="Loan",L351="Deposit_Liability",L351="OFF_Unused Loan Commitment",L351="HQLA"),VLOOKUP(D351,'Customer Type'!$A$3:$C$38,3,0),"")</f>
        <v>#N/A</v>
      </c>
      <c r="P351" s="656" t="e">
        <f t="shared" si="142"/>
        <v>#N/A</v>
      </c>
      <c r="Q351" s="658">
        <f>IF(COUNTIF('Account Mapping'!$H$12:$H$45,A351)&gt;0,-H351,H351)</f>
        <v>2513.12</v>
      </c>
      <c r="R351" s="249" t="e">
        <f>VLOOKUP(P351,Assumptions!$C$2:$D$64,2,0)</f>
        <v>#N/A</v>
      </c>
      <c r="S351" s="692" t="str">
        <f>IFERROR(VLOOKUP(A351,'Maturity Adjustment'!$A$3:$C$81,3,0),(IF(J351&lt;$N$4,"Tomorrow",J351)))</f>
        <v>Tomorrow</v>
      </c>
      <c r="T351" s="24">
        <f>IF(S351="Tomorrow",1,(S351-$N$4))</f>
        <v>1</v>
      </c>
      <c r="U351" s="196" t="e">
        <f t="shared" si="143"/>
        <v>#N/A</v>
      </c>
      <c r="V351" s="11" t="str">
        <f>IFERROR(VLOOKUP(A351,'Maturity Adjustment'!$A$86:$C$91,3,0),S351)</f>
        <v>Tomorrow</v>
      </c>
      <c r="W351" s="207" t="e">
        <f>VLOOKUP(A351,'Account Mapping'!$A$2:$F$216,6,0)</f>
        <v>#N/A</v>
      </c>
      <c r="X351" s="194">
        <f t="shared" si="144"/>
        <v>2513.12</v>
      </c>
      <c r="Y351" s="194">
        <f t="shared" si="145"/>
        <v>0</v>
      </c>
      <c r="Z351" s="13">
        <f t="shared" si="146"/>
        <v>0</v>
      </c>
      <c r="AA351" s="13">
        <f t="shared" si="147"/>
        <v>0</v>
      </c>
      <c r="AB351" s="13">
        <f t="shared" si="148"/>
        <v>0</v>
      </c>
      <c r="AC351" s="13">
        <f t="shared" si="149"/>
        <v>0</v>
      </c>
      <c r="AD351" s="13">
        <f t="shared" si="150"/>
        <v>0</v>
      </c>
      <c r="AE351" s="13">
        <f t="shared" si="151"/>
        <v>0</v>
      </c>
      <c r="AF351" s="13">
        <f t="shared" si="152"/>
        <v>0</v>
      </c>
      <c r="AG351" s="685">
        <f t="shared" si="153"/>
        <v>0</v>
      </c>
      <c r="AH351" s="688" t="b">
        <f t="shared" si="154"/>
        <v>1</v>
      </c>
    </row>
    <row r="352" spans="1:34" s="1" customFormat="1" ht="15" customHeight="1">
      <c r="A352" s="946">
        <v>12110005</v>
      </c>
      <c r="B352" s="946" t="s">
        <v>639</v>
      </c>
      <c r="C352" s="946" t="s">
        <v>650</v>
      </c>
      <c r="D352" s="946">
        <v>100000001</v>
      </c>
      <c r="E352" s="946" t="s">
        <v>33</v>
      </c>
      <c r="F352" s="946" t="s">
        <v>11</v>
      </c>
      <c r="G352" s="947">
        <v>272.67</v>
      </c>
      <c r="H352" s="947">
        <v>272.67</v>
      </c>
      <c r="I352" s="949">
        <v>44621</v>
      </c>
      <c r="J352" s="949">
        <v>45961</v>
      </c>
      <c r="K352" s="948"/>
      <c r="L352" s="29" t="e">
        <f>VLOOKUP(A352,'Account Mapping'!$A$2:$E$216,3,0)</f>
        <v>#N/A</v>
      </c>
      <c r="M352" s="25" t="e">
        <f>VLOOKUP(A352,'Account Mapping'!$A$2:$E$216,4,0)</f>
        <v>#N/A</v>
      </c>
      <c r="N352" s="26" t="e">
        <f>IF(OR(C352='Account Mapping'!$H$4,C352='Account Mapping'!$H$5,C352='Account Mapping'!$H$6),'Account Mapping'!$I$4,VLOOKUP(A352,'Account Mapping'!$A$2:$E$216,5,0))</f>
        <v>#N/A</v>
      </c>
      <c r="O352" s="27" t="e">
        <f>IF(OR(L352="Loan",L352="Deposit_Liability",L352="OFF_Unused Loan Commitment",L352="HQLA"),VLOOKUP(D352,'Customer Type'!$A$3:$C$38,3,0),"")</f>
        <v>#N/A</v>
      </c>
      <c r="P352" s="656" t="e">
        <f t="shared" si="142"/>
        <v>#N/A</v>
      </c>
      <c r="Q352" s="658">
        <f>IF(COUNTIF('Account Mapping'!$H$12:$H$45,A352)&gt;0,-H352,H352)</f>
        <v>272.67</v>
      </c>
      <c r="R352" s="249" t="e">
        <f>VLOOKUP(P352,Assumptions!$C$2:$D$64,2,0)</f>
        <v>#N/A</v>
      </c>
      <c r="S352" s="692" t="str">
        <f>IFERROR(VLOOKUP(A352,'Maturity Adjustment'!$A$3:$C$81,3,0),(IF(J352&lt;$N$4,"Tomorrow",J352)))</f>
        <v>Tomorrow</v>
      </c>
      <c r="T352" s="24">
        <f>IF(S352="Tomorrow",1,(S352-$N$4))</f>
        <v>1</v>
      </c>
      <c r="U352" s="196" t="e">
        <f t="shared" si="143"/>
        <v>#N/A</v>
      </c>
      <c r="V352" s="11" t="str">
        <f>IFERROR(VLOOKUP(A352,'Maturity Adjustment'!$A$86:$C$91,3,0),S352)</f>
        <v>Tomorrow</v>
      </c>
      <c r="W352" s="207" t="e">
        <f>VLOOKUP(A352,'Account Mapping'!$A$2:$F$216,6,0)</f>
        <v>#N/A</v>
      </c>
      <c r="X352" s="194">
        <f t="shared" si="144"/>
        <v>272.67</v>
      </c>
      <c r="Y352" s="194">
        <f t="shared" si="145"/>
        <v>0</v>
      </c>
      <c r="Z352" s="13">
        <f t="shared" si="146"/>
        <v>0</v>
      </c>
      <c r="AA352" s="13">
        <f t="shared" si="147"/>
        <v>0</v>
      </c>
      <c r="AB352" s="13">
        <f t="shared" si="148"/>
        <v>0</v>
      </c>
      <c r="AC352" s="13">
        <f t="shared" si="149"/>
        <v>0</v>
      </c>
      <c r="AD352" s="13">
        <f t="shared" si="150"/>
        <v>0</v>
      </c>
      <c r="AE352" s="13">
        <f t="shared" si="151"/>
        <v>0</v>
      </c>
      <c r="AF352" s="13">
        <f t="shared" si="152"/>
        <v>0</v>
      </c>
      <c r="AG352" s="685">
        <f t="shared" si="153"/>
        <v>0</v>
      </c>
      <c r="AH352" s="688" t="b">
        <f t="shared" si="154"/>
        <v>1</v>
      </c>
    </row>
    <row r="353" spans="1:34" s="1" customFormat="1" ht="15" customHeight="1">
      <c r="A353" s="946">
        <v>12110005</v>
      </c>
      <c r="B353" s="946" t="s">
        <v>639</v>
      </c>
      <c r="C353" s="946" t="s">
        <v>651</v>
      </c>
      <c r="D353" s="946">
        <v>100000001</v>
      </c>
      <c r="E353" s="946" t="s">
        <v>33</v>
      </c>
      <c r="F353" s="946" t="s">
        <v>11</v>
      </c>
      <c r="G353" s="947">
        <v>409.01</v>
      </c>
      <c r="H353" s="947">
        <v>409.01</v>
      </c>
      <c r="I353" s="949">
        <v>44621</v>
      </c>
      <c r="J353" s="949">
        <v>45961</v>
      </c>
      <c r="K353" s="948"/>
      <c r="L353" s="29" t="e">
        <f>VLOOKUP(A353,'Account Mapping'!$A$2:$E$216,3,0)</f>
        <v>#N/A</v>
      </c>
      <c r="M353" s="25" t="e">
        <f>VLOOKUP(A353,'Account Mapping'!$A$2:$E$216,4,0)</f>
        <v>#N/A</v>
      </c>
      <c r="N353" s="26" t="e">
        <f>IF(OR(C353='Account Mapping'!$H$4,C353='Account Mapping'!$H$5,C353='Account Mapping'!$H$6),'Account Mapping'!$I$4,VLOOKUP(A353,'Account Mapping'!$A$2:$E$216,5,0))</f>
        <v>#N/A</v>
      </c>
      <c r="O353" s="27" t="e">
        <f>IF(OR(L353="Loan",L353="Deposit_Liability",L353="OFF_Unused Loan Commitment",L353="HQLA"),VLOOKUP(D353,'Customer Type'!$A$3:$C$38,3,0),"")</f>
        <v>#N/A</v>
      </c>
      <c r="P353" s="656" t="e">
        <f t="shared" si="142"/>
        <v>#N/A</v>
      </c>
      <c r="Q353" s="658">
        <f>IF(COUNTIF('Account Mapping'!$H$12:$H$45,A353)&gt;0,-H353,H353)</f>
        <v>409.01</v>
      </c>
      <c r="R353" s="249" t="e">
        <f>VLOOKUP(P353,Assumptions!$C$2:$D$64,2,0)</f>
        <v>#N/A</v>
      </c>
      <c r="S353" s="692" t="str">
        <f>IFERROR(VLOOKUP(A353,'Maturity Adjustment'!$A$3:$C$81,3,0),(IF(J353&lt;$N$4,"Tomorrow",J353)))</f>
        <v>Tomorrow</v>
      </c>
      <c r="T353" s="24">
        <f t="shared" si="141"/>
        <v>1</v>
      </c>
      <c r="U353" s="196" t="e">
        <f t="shared" si="143"/>
        <v>#N/A</v>
      </c>
      <c r="V353" s="11" t="str">
        <f>IFERROR(VLOOKUP(A353,'Maturity Adjustment'!$A$86:$C$91,3,0),S353)</f>
        <v>Tomorrow</v>
      </c>
      <c r="W353" s="207" t="e">
        <f>VLOOKUP(A353,'Account Mapping'!$A$2:$F$216,6,0)</f>
        <v>#N/A</v>
      </c>
      <c r="X353" s="194">
        <f t="shared" si="144"/>
        <v>409.01</v>
      </c>
      <c r="Y353" s="194">
        <f t="shared" si="145"/>
        <v>0</v>
      </c>
      <c r="Z353" s="13">
        <f t="shared" si="146"/>
        <v>0</v>
      </c>
      <c r="AA353" s="13">
        <f t="shared" si="147"/>
        <v>0</v>
      </c>
      <c r="AB353" s="13">
        <f t="shared" si="148"/>
        <v>0</v>
      </c>
      <c r="AC353" s="13">
        <f t="shared" si="149"/>
        <v>0</v>
      </c>
      <c r="AD353" s="13">
        <f t="shared" si="150"/>
        <v>0</v>
      </c>
      <c r="AE353" s="13">
        <f t="shared" si="151"/>
        <v>0</v>
      </c>
      <c r="AF353" s="13">
        <f t="shared" si="152"/>
        <v>0</v>
      </c>
      <c r="AG353" s="685">
        <f t="shared" si="153"/>
        <v>0</v>
      </c>
      <c r="AH353" s="688" t="b">
        <f t="shared" si="154"/>
        <v>1</v>
      </c>
    </row>
    <row r="354" spans="1:34" s="1" customFormat="1" ht="15" customHeight="1">
      <c r="A354" s="946">
        <v>12110005</v>
      </c>
      <c r="B354" s="946" t="s">
        <v>639</v>
      </c>
      <c r="C354" s="946" t="s">
        <v>652</v>
      </c>
      <c r="D354" s="946">
        <v>100000001</v>
      </c>
      <c r="E354" s="946" t="s">
        <v>33</v>
      </c>
      <c r="F354" s="946" t="s">
        <v>11</v>
      </c>
      <c r="G354" s="947">
        <v>518.55999999999995</v>
      </c>
      <c r="H354" s="947">
        <v>518.55999999999995</v>
      </c>
      <c r="I354" s="949">
        <v>44621</v>
      </c>
      <c r="J354" s="949">
        <v>45991</v>
      </c>
      <c r="K354" s="948"/>
      <c r="L354" s="29" t="e">
        <f>VLOOKUP(A354,'Account Mapping'!$A$2:$E$216,3,0)</f>
        <v>#N/A</v>
      </c>
      <c r="M354" s="25" t="e">
        <f>VLOOKUP(A354,'Account Mapping'!$A$2:$E$216,4,0)</f>
        <v>#N/A</v>
      </c>
      <c r="N354" s="26" t="e">
        <f>IF(OR(C354='Account Mapping'!$H$4,C354='Account Mapping'!$H$5,C354='Account Mapping'!$H$6),'Account Mapping'!$I$4,VLOOKUP(A354,'Account Mapping'!$A$2:$E$216,5,0))</f>
        <v>#N/A</v>
      </c>
      <c r="O354" s="27" t="e">
        <f>IF(OR(L354="Loan",L354="Deposit_Liability",L354="OFF_Unused Loan Commitment",L354="HQLA"),VLOOKUP(D354,'Customer Type'!$A$3:$C$38,3,0),"")</f>
        <v>#N/A</v>
      </c>
      <c r="P354" s="656" t="e">
        <f t="shared" si="142"/>
        <v>#N/A</v>
      </c>
      <c r="Q354" s="658">
        <f>IF(COUNTIF('Account Mapping'!$H$12:$H$45,A354)&gt;0,-H354,H354)</f>
        <v>518.55999999999995</v>
      </c>
      <c r="R354" s="249" t="e">
        <f>VLOOKUP(P354,Assumptions!$C$2:$D$64,2,0)</f>
        <v>#N/A</v>
      </c>
      <c r="S354" s="692" t="str">
        <f>IFERROR(VLOOKUP(A354,'Maturity Adjustment'!$A$3:$C$81,3,0),(IF(J354&lt;$N$4,"Tomorrow",J354)))</f>
        <v>Tomorrow</v>
      </c>
      <c r="T354" s="24">
        <f>IF(S354="Tomorrow",1,(S354-$N$4))</f>
        <v>1</v>
      </c>
      <c r="U354" s="196" t="e">
        <f t="shared" si="143"/>
        <v>#N/A</v>
      </c>
      <c r="V354" s="11" t="str">
        <f>IFERROR(VLOOKUP(A354,'Maturity Adjustment'!$A$86:$C$91,3,0),S354)</f>
        <v>Tomorrow</v>
      </c>
      <c r="W354" s="207" t="e">
        <f>VLOOKUP(A354,'Account Mapping'!$A$2:$F$216,6,0)</f>
        <v>#N/A</v>
      </c>
      <c r="X354" s="194">
        <f t="shared" si="144"/>
        <v>518.55999999999995</v>
      </c>
      <c r="Y354" s="194">
        <f t="shared" si="145"/>
        <v>0</v>
      </c>
      <c r="Z354" s="13">
        <f t="shared" si="146"/>
        <v>0</v>
      </c>
      <c r="AA354" s="13">
        <f t="shared" si="147"/>
        <v>0</v>
      </c>
      <c r="AB354" s="13">
        <f t="shared" si="148"/>
        <v>0</v>
      </c>
      <c r="AC354" s="13">
        <f t="shared" si="149"/>
        <v>0</v>
      </c>
      <c r="AD354" s="13">
        <f t="shared" si="150"/>
        <v>0</v>
      </c>
      <c r="AE354" s="13">
        <f t="shared" si="151"/>
        <v>0</v>
      </c>
      <c r="AF354" s="13">
        <f t="shared" si="152"/>
        <v>0</v>
      </c>
      <c r="AG354" s="685">
        <f t="shared" si="153"/>
        <v>0</v>
      </c>
      <c r="AH354" s="688" t="b">
        <f t="shared" si="154"/>
        <v>1</v>
      </c>
    </row>
    <row r="355" spans="1:34" s="1" customFormat="1" ht="15" customHeight="1">
      <c r="A355" s="946">
        <v>12110005</v>
      </c>
      <c r="B355" s="946" t="s">
        <v>639</v>
      </c>
      <c r="C355" s="946" t="s">
        <v>653</v>
      </c>
      <c r="D355" s="946">
        <v>100000001</v>
      </c>
      <c r="E355" s="946" t="s">
        <v>33</v>
      </c>
      <c r="F355" s="946" t="s">
        <v>11</v>
      </c>
      <c r="G355" s="947">
        <v>431.37</v>
      </c>
      <c r="H355" s="947">
        <v>431.37</v>
      </c>
      <c r="I355" s="949">
        <v>44621</v>
      </c>
      <c r="J355" s="949">
        <v>45991</v>
      </c>
      <c r="K355" s="948"/>
      <c r="L355" s="29" t="e">
        <f>VLOOKUP(A355,'Account Mapping'!$A$2:$E$216,3,0)</f>
        <v>#N/A</v>
      </c>
      <c r="M355" s="25" t="e">
        <f>VLOOKUP(A355,'Account Mapping'!$A$2:$E$216,4,0)</f>
        <v>#N/A</v>
      </c>
      <c r="N355" s="26" t="e">
        <f>IF(OR(C355='Account Mapping'!$H$4,C355='Account Mapping'!$H$5,C355='Account Mapping'!$H$6),'Account Mapping'!$I$4,VLOOKUP(A355,'Account Mapping'!$A$2:$E$216,5,0))</f>
        <v>#N/A</v>
      </c>
      <c r="O355" s="27" t="e">
        <f>IF(OR(L355="Loan",L355="Deposit_Liability",L355="OFF_Unused Loan Commitment",L355="HQLA"),VLOOKUP(D355,'Customer Type'!$A$3:$C$38,3,0),"")</f>
        <v>#N/A</v>
      </c>
      <c r="P355" s="656" t="e">
        <f t="shared" si="142"/>
        <v>#N/A</v>
      </c>
      <c r="Q355" s="658">
        <f>IF(COUNTIF('Account Mapping'!$H$12:$H$45,A355)&gt;0,-H355,H355)</f>
        <v>431.37</v>
      </c>
      <c r="R355" s="249" t="e">
        <f>VLOOKUP(P355,Assumptions!$C$2:$D$64,2,0)</f>
        <v>#N/A</v>
      </c>
      <c r="S355" s="692" t="str">
        <f>IFERROR(VLOOKUP(A355,'Maturity Adjustment'!$A$3:$C$81,3,0),(IF(J355&lt;$N$4,"Tomorrow",J355)))</f>
        <v>Tomorrow</v>
      </c>
      <c r="T355" s="24">
        <f t="shared" si="141"/>
        <v>1</v>
      </c>
      <c r="U355" s="196" t="e">
        <f t="shared" si="143"/>
        <v>#N/A</v>
      </c>
      <c r="V355" s="11" t="str">
        <f>IFERROR(VLOOKUP(A355,'Maturity Adjustment'!$A$86:$C$91,3,0),S355)</f>
        <v>Tomorrow</v>
      </c>
      <c r="W355" s="207" t="e">
        <f>VLOOKUP(A355,'Account Mapping'!$A$2:$F$216,6,0)</f>
        <v>#N/A</v>
      </c>
      <c r="X355" s="194">
        <f t="shared" si="144"/>
        <v>431.37</v>
      </c>
      <c r="Y355" s="194">
        <f t="shared" si="145"/>
        <v>0</v>
      </c>
      <c r="Z355" s="13">
        <f t="shared" si="146"/>
        <v>0</v>
      </c>
      <c r="AA355" s="13">
        <f t="shared" si="147"/>
        <v>0</v>
      </c>
      <c r="AB355" s="13">
        <f t="shared" si="148"/>
        <v>0</v>
      </c>
      <c r="AC355" s="13">
        <f t="shared" si="149"/>
        <v>0</v>
      </c>
      <c r="AD355" s="13">
        <f t="shared" si="150"/>
        <v>0</v>
      </c>
      <c r="AE355" s="13">
        <f t="shared" si="151"/>
        <v>0</v>
      </c>
      <c r="AF355" s="13">
        <f t="shared" si="152"/>
        <v>0</v>
      </c>
      <c r="AG355" s="685">
        <f t="shared" si="153"/>
        <v>0</v>
      </c>
      <c r="AH355" s="688" t="b">
        <f t="shared" si="154"/>
        <v>1</v>
      </c>
    </row>
    <row r="356" spans="1:34" s="1" customFormat="1" ht="15" customHeight="1">
      <c r="A356" s="946">
        <v>12110005</v>
      </c>
      <c r="B356" s="946" t="s">
        <v>639</v>
      </c>
      <c r="C356" s="946" t="s">
        <v>654</v>
      </c>
      <c r="D356" s="946">
        <v>100000001</v>
      </c>
      <c r="E356" s="946" t="s">
        <v>33</v>
      </c>
      <c r="F356" s="946" t="s">
        <v>11</v>
      </c>
      <c r="G356" s="947">
        <v>1330.8</v>
      </c>
      <c r="H356" s="947">
        <v>1330.8</v>
      </c>
      <c r="I356" s="949">
        <v>44621</v>
      </c>
      <c r="J356" s="949">
        <v>45991</v>
      </c>
      <c r="K356" s="948"/>
      <c r="L356" s="29" t="e">
        <f>VLOOKUP(A356,'Account Mapping'!$A$2:$E$216,3,0)</f>
        <v>#N/A</v>
      </c>
      <c r="M356" s="25" t="e">
        <f>VLOOKUP(A356,'Account Mapping'!$A$2:$E$216,4,0)</f>
        <v>#N/A</v>
      </c>
      <c r="N356" s="26" t="e">
        <f>IF(OR(C356='Account Mapping'!$H$4,C356='Account Mapping'!$H$5,C356='Account Mapping'!$H$6),'Account Mapping'!$I$4,VLOOKUP(A356,'Account Mapping'!$A$2:$E$216,5,0))</f>
        <v>#N/A</v>
      </c>
      <c r="O356" s="27" t="e">
        <f>IF(OR(L356="Loan",L356="Deposit_Liability",L356="OFF_Unused Loan Commitment",L356="HQLA"),VLOOKUP(D356,'Customer Type'!$A$3:$C$38,3,0),"")</f>
        <v>#N/A</v>
      </c>
      <c r="P356" s="656" t="e">
        <f t="shared" si="142"/>
        <v>#N/A</v>
      </c>
      <c r="Q356" s="658">
        <f>IF(COUNTIF('Account Mapping'!$H$12:$H$45,A356)&gt;0,-H356,H356)</f>
        <v>1330.8</v>
      </c>
      <c r="R356" s="249" t="e">
        <f>VLOOKUP(P356,Assumptions!$C$2:$D$64,2,0)</f>
        <v>#N/A</v>
      </c>
      <c r="S356" s="692" t="str">
        <f>IFERROR(VLOOKUP(A356,'Maturity Adjustment'!$A$3:$C$81,3,0),(IF(J356&lt;$N$4,"Tomorrow",J356)))</f>
        <v>Tomorrow</v>
      </c>
      <c r="T356" s="24">
        <f t="shared" si="141"/>
        <v>1</v>
      </c>
      <c r="U356" s="196" t="e">
        <f t="shared" si="143"/>
        <v>#N/A</v>
      </c>
      <c r="V356" s="11" t="str">
        <f>IFERROR(VLOOKUP(A356,'Maturity Adjustment'!$A$86:$C$91,3,0),S356)</f>
        <v>Tomorrow</v>
      </c>
      <c r="W356" s="207" t="e">
        <f>VLOOKUP(A356,'Account Mapping'!$A$2:$F$216,6,0)</f>
        <v>#N/A</v>
      </c>
      <c r="X356" s="194">
        <f t="shared" si="144"/>
        <v>1330.8</v>
      </c>
      <c r="Y356" s="194">
        <f t="shared" si="145"/>
        <v>0</v>
      </c>
      <c r="Z356" s="13">
        <f t="shared" si="146"/>
        <v>0</v>
      </c>
      <c r="AA356" s="13">
        <f t="shared" si="147"/>
        <v>0</v>
      </c>
      <c r="AB356" s="13">
        <f t="shared" si="148"/>
        <v>0</v>
      </c>
      <c r="AC356" s="13">
        <f t="shared" si="149"/>
        <v>0</v>
      </c>
      <c r="AD356" s="13">
        <f t="shared" si="150"/>
        <v>0</v>
      </c>
      <c r="AE356" s="13">
        <f t="shared" si="151"/>
        <v>0</v>
      </c>
      <c r="AF356" s="13">
        <f t="shared" si="152"/>
        <v>0</v>
      </c>
      <c r="AG356" s="685">
        <f t="shared" si="153"/>
        <v>0</v>
      </c>
      <c r="AH356" s="688" t="b">
        <f t="shared" si="154"/>
        <v>1</v>
      </c>
    </row>
    <row r="357" spans="1:34" s="1" customFormat="1" ht="15" customHeight="1">
      <c r="A357" s="946">
        <v>12110005</v>
      </c>
      <c r="B357" s="946" t="s">
        <v>639</v>
      </c>
      <c r="C357" s="946" t="s">
        <v>655</v>
      </c>
      <c r="D357" s="946">
        <v>100000001</v>
      </c>
      <c r="E357" s="946" t="s">
        <v>33</v>
      </c>
      <c r="F357" s="946" t="s">
        <v>11</v>
      </c>
      <c r="G357" s="947">
        <v>1725.48</v>
      </c>
      <c r="H357" s="947">
        <v>1725.48</v>
      </c>
      <c r="I357" s="949">
        <v>44621</v>
      </c>
      <c r="J357" s="949">
        <v>45991</v>
      </c>
      <c r="K357" s="948"/>
      <c r="L357" s="29" t="e">
        <f>VLOOKUP(A357,'Account Mapping'!$A$2:$E$216,3,0)</f>
        <v>#N/A</v>
      </c>
      <c r="M357" s="25" t="e">
        <f>VLOOKUP(A357,'Account Mapping'!$A$2:$E$216,4,0)</f>
        <v>#N/A</v>
      </c>
      <c r="N357" s="26" t="e">
        <f>IF(OR(C357='Account Mapping'!$H$4,C357='Account Mapping'!$H$5,C357='Account Mapping'!$H$6),'Account Mapping'!$I$4,VLOOKUP(A357,'Account Mapping'!$A$2:$E$216,5,0))</f>
        <v>#N/A</v>
      </c>
      <c r="O357" s="27" t="e">
        <f>IF(OR(L357="Loan",L357="Deposit_Liability",L357="OFF_Unused Loan Commitment",L357="HQLA"),VLOOKUP(D357,'Customer Type'!$A$3:$C$38,3,0),"")</f>
        <v>#N/A</v>
      </c>
      <c r="P357" s="656" t="e">
        <f t="shared" si="142"/>
        <v>#N/A</v>
      </c>
      <c r="Q357" s="658">
        <f>IF(COUNTIF('Account Mapping'!$H$12:$H$45,A357)&gt;0,-H357,H357)</f>
        <v>1725.48</v>
      </c>
      <c r="R357" s="249" t="e">
        <f>VLOOKUP(P357,Assumptions!$C$2:$D$64,2,0)</f>
        <v>#N/A</v>
      </c>
      <c r="S357" s="692" t="str">
        <f>IFERROR(VLOOKUP(A357,'Maturity Adjustment'!$A$3:$C$81,3,0),(IF(J357&lt;$N$4,"Tomorrow",J357)))</f>
        <v>Tomorrow</v>
      </c>
      <c r="T357" s="24">
        <f>IF(S357="Tomorrow",1,(S357-$N$4))</f>
        <v>1</v>
      </c>
      <c r="U357" s="196" t="e">
        <f t="shared" si="143"/>
        <v>#N/A</v>
      </c>
      <c r="V357" s="11" t="str">
        <f>IFERROR(VLOOKUP(A357,'Maturity Adjustment'!$A$86:$C$91,3,0),S357)</f>
        <v>Tomorrow</v>
      </c>
      <c r="W357" s="207" t="e">
        <f>VLOOKUP(A357,'Account Mapping'!$A$2:$F$216,6,0)</f>
        <v>#N/A</v>
      </c>
      <c r="X357" s="194">
        <f t="shared" si="144"/>
        <v>1725.48</v>
      </c>
      <c r="Y357" s="194">
        <f t="shared" si="145"/>
        <v>0</v>
      </c>
      <c r="Z357" s="13">
        <f t="shared" si="146"/>
        <v>0</v>
      </c>
      <c r="AA357" s="13">
        <f t="shared" si="147"/>
        <v>0</v>
      </c>
      <c r="AB357" s="13">
        <f t="shared" si="148"/>
        <v>0</v>
      </c>
      <c r="AC357" s="13">
        <f t="shared" si="149"/>
        <v>0</v>
      </c>
      <c r="AD357" s="13">
        <f t="shared" si="150"/>
        <v>0</v>
      </c>
      <c r="AE357" s="13">
        <f t="shared" si="151"/>
        <v>0</v>
      </c>
      <c r="AF357" s="13">
        <f t="shared" si="152"/>
        <v>0</v>
      </c>
      <c r="AG357" s="685">
        <f t="shared" si="153"/>
        <v>0</v>
      </c>
      <c r="AH357" s="688" t="b">
        <f t="shared" si="154"/>
        <v>1</v>
      </c>
    </row>
    <row r="358" spans="1:34" s="1" customFormat="1" ht="15" customHeight="1">
      <c r="A358" s="946">
        <v>12110005</v>
      </c>
      <c r="B358" s="946" t="s">
        <v>639</v>
      </c>
      <c r="C358" s="946" t="s">
        <v>656</v>
      </c>
      <c r="D358" s="946">
        <v>100000001</v>
      </c>
      <c r="E358" s="946" t="s">
        <v>33</v>
      </c>
      <c r="F358" s="946" t="s">
        <v>11</v>
      </c>
      <c r="G358" s="947">
        <v>1206.1099999999999</v>
      </c>
      <c r="H358" s="947">
        <v>1206.1099999999999</v>
      </c>
      <c r="I358" s="949">
        <v>44621</v>
      </c>
      <c r="J358" s="949">
        <v>45961</v>
      </c>
      <c r="K358" s="948"/>
      <c r="L358" s="29" t="e">
        <f>VLOOKUP(A358,'Account Mapping'!$A$2:$E$216,3,0)</f>
        <v>#N/A</v>
      </c>
      <c r="M358" s="25" t="e">
        <f>VLOOKUP(A358,'Account Mapping'!$A$2:$E$216,4,0)</f>
        <v>#N/A</v>
      </c>
      <c r="N358" s="26" t="e">
        <f>IF(OR(C358='Account Mapping'!$H$4,C358='Account Mapping'!$H$5,C358='Account Mapping'!$H$6),'Account Mapping'!$I$4,VLOOKUP(A358,'Account Mapping'!$A$2:$E$216,5,0))</f>
        <v>#N/A</v>
      </c>
      <c r="O358" s="27" t="e">
        <f>IF(OR(L358="Loan",L358="Deposit_Liability",L358="OFF_Unused Loan Commitment",L358="HQLA"),VLOOKUP(D358,'Customer Type'!$A$3:$C$38,3,0),"")</f>
        <v>#N/A</v>
      </c>
      <c r="P358" s="656" t="e">
        <f t="shared" si="142"/>
        <v>#N/A</v>
      </c>
      <c r="Q358" s="658">
        <f>IF(COUNTIF('Account Mapping'!$H$12:$H$45,A358)&gt;0,-H358,H358)</f>
        <v>1206.1099999999999</v>
      </c>
      <c r="R358" s="249" t="e">
        <f>VLOOKUP(P358,Assumptions!$C$2:$D$64,2,0)</f>
        <v>#N/A</v>
      </c>
      <c r="S358" s="692" t="str">
        <f>IFERROR(VLOOKUP(A358,'Maturity Adjustment'!$A$3:$C$81,3,0),(IF(J358&lt;$N$4,"Tomorrow",J358)))</f>
        <v>Tomorrow</v>
      </c>
      <c r="T358" s="24">
        <f>IF(S358="Tomorrow",1,(S358-$N$4))</f>
        <v>1</v>
      </c>
      <c r="U358" s="196" t="e">
        <f t="shared" si="143"/>
        <v>#N/A</v>
      </c>
      <c r="V358" s="11" t="str">
        <f>IFERROR(VLOOKUP(A358,'Maturity Adjustment'!$A$86:$C$91,3,0),S358)</f>
        <v>Tomorrow</v>
      </c>
      <c r="W358" s="207" t="e">
        <f>VLOOKUP(A358,'Account Mapping'!$A$2:$F$216,6,0)</f>
        <v>#N/A</v>
      </c>
      <c r="X358" s="194">
        <f t="shared" si="144"/>
        <v>1206.1099999999999</v>
      </c>
      <c r="Y358" s="194">
        <f t="shared" si="145"/>
        <v>0</v>
      </c>
      <c r="Z358" s="13">
        <f t="shared" si="146"/>
        <v>0</v>
      </c>
      <c r="AA358" s="13">
        <f t="shared" si="147"/>
        <v>0</v>
      </c>
      <c r="AB358" s="13">
        <f t="shared" si="148"/>
        <v>0</v>
      </c>
      <c r="AC358" s="13">
        <f t="shared" si="149"/>
        <v>0</v>
      </c>
      <c r="AD358" s="13">
        <f t="shared" si="150"/>
        <v>0</v>
      </c>
      <c r="AE358" s="13">
        <f t="shared" si="151"/>
        <v>0</v>
      </c>
      <c r="AF358" s="13">
        <f t="shared" si="152"/>
        <v>0</v>
      </c>
      <c r="AG358" s="685">
        <f t="shared" si="153"/>
        <v>0</v>
      </c>
      <c r="AH358" s="688" t="b">
        <f t="shared" si="154"/>
        <v>1</v>
      </c>
    </row>
    <row r="359" spans="1:34" s="1" customFormat="1" ht="15" customHeight="1">
      <c r="A359" s="946">
        <v>12110005</v>
      </c>
      <c r="B359" s="946" t="s">
        <v>639</v>
      </c>
      <c r="C359" s="946" t="s">
        <v>657</v>
      </c>
      <c r="D359" s="946">
        <v>100000001</v>
      </c>
      <c r="E359" s="946" t="s">
        <v>33</v>
      </c>
      <c r="F359" s="946" t="s">
        <v>11</v>
      </c>
      <c r="G359" s="947">
        <v>995.5</v>
      </c>
      <c r="H359" s="947">
        <v>995.5</v>
      </c>
      <c r="I359" s="949">
        <v>44806</v>
      </c>
      <c r="J359" s="949">
        <v>46265</v>
      </c>
      <c r="K359" s="948"/>
      <c r="L359" s="29" t="e">
        <f>VLOOKUP(A359,'Account Mapping'!$A$2:$E$216,3,0)</f>
        <v>#N/A</v>
      </c>
      <c r="M359" s="25" t="e">
        <f>VLOOKUP(A359,'Account Mapping'!$A$2:$E$216,4,0)</f>
        <v>#N/A</v>
      </c>
      <c r="N359" s="26" t="e">
        <f>IF(OR(C359='Account Mapping'!$H$4,C359='Account Mapping'!$H$5,C359='Account Mapping'!$H$6),'Account Mapping'!$I$4,VLOOKUP(A359,'Account Mapping'!$A$2:$E$216,5,0))</f>
        <v>#N/A</v>
      </c>
      <c r="O359" s="27" t="e">
        <f>IF(OR(L359="Loan",L359="Deposit_Liability",L359="OFF_Unused Loan Commitment",L359="HQLA"),VLOOKUP(D359,'Customer Type'!$A$3:$C$38,3,0),"")</f>
        <v>#N/A</v>
      </c>
      <c r="P359" s="656" t="e">
        <f t="shared" si="142"/>
        <v>#N/A</v>
      </c>
      <c r="Q359" s="658">
        <f>IF(COUNTIF('Account Mapping'!$H$12:$H$45,A359)&gt;0,-H359,H359)</f>
        <v>995.5</v>
      </c>
      <c r="R359" s="249" t="e">
        <f>VLOOKUP(P359,Assumptions!$C$2:$D$64,2,0)</f>
        <v>#N/A</v>
      </c>
      <c r="S359" s="692">
        <f>IFERROR(VLOOKUP(A359,'Maturity Adjustment'!$A$3:$C$81,3,0),(IF(J359&lt;$N$4,"Tomorrow",J359)))</f>
        <v>46265</v>
      </c>
      <c r="T359" s="24">
        <f>IF(S359="Tomorrow",1,(S359-$N$4))</f>
        <v>207</v>
      </c>
      <c r="U359" s="196" t="e">
        <f t="shared" si="143"/>
        <v>#N/A</v>
      </c>
      <c r="V359" s="11">
        <f>IFERROR(VLOOKUP(A359,'Maturity Adjustment'!$A$86:$C$91,3,0),S359)</f>
        <v>46265</v>
      </c>
      <c r="W359" s="207" t="e">
        <f>VLOOKUP(A359,'Account Mapping'!$A$2:$F$216,6,0)</f>
        <v>#N/A</v>
      </c>
      <c r="X359" s="194">
        <f t="shared" si="144"/>
        <v>0</v>
      </c>
      <c r="Y359" s="194">
        <f t="shared" si="145"/>
        <v>0</v>
      </c>
      <c r="Z359" s="13">
        <f t="shared" si="146"/>
        <v>0</v>
      </c>
      <c r="AA359" s="13">
        <f t="shared" si="147"/>
        <v>0</v>
      </c>
      <c r="AB359" s="13">
        <f t="shared" si="148"/>
        <v>0</v>
      </c>
      <c r="AC359" s="13">
        <f t="shared" si="149"/>
        <v>995.5</v>
      </c>
      <c r="AD359" s="13">
        <f t="shared" si="150"/>
        <v>0</v>
      </c>
      <c r="AE359" s="13">
        <f t="shared" si="151"/>
        <v>0</v>
      </c>
      <c r="AF359" s="13">
        <f t="shared" si="152"/>
        <v>0</v>
      </c>
      <c r="AG359" s="685">
        <f t="shared" si="153"/>
        <v>0</v>
      </c>
      <c r="AH359" s="688" t="b">
        <f t="shared" si="154"/>
        <v>1</v>
      </c>
    </row>
    <row r="360" spans="1:34" s="1" customFormat="1" ht="15" customHeight="1">
      <c r="A360" s="946">
        <v>12110005</v>
      </c>
      <c r="B360" s="946" t="s">
        <v>639</v>
      </c>
      <c r="C360" s="946" t="s">
        <v>602</v>
      </c>
      <c r="D360" s="946">
        <v>100000001</v>
      </c>
      <c r="E360" s="946" t="s">
        <v>33</v>
      </c>
      <c r="F360" s="946" t="s">
        <v>11</v>
      </c>
      <c r="G360" s="947">
        <v>-90.5</v>
      </c>
      <c r="H360" s="947">
        <v>-90.5</v>
      </c>
      <c r="I360" s="949"/>
      <c r="J360" s="949"/>
      <c r="K360" s="948"/>
      <c r="L360" s="29" t="e">
        <f>VLOOKUP(A360,'Account Mapping'!$A$2:$E$216,3,0)</f>
        <v>#N/A</v>
      </c>
      <c r="M360" s="25" t="e">
        <f>VLOOKUP(A360,'Account Mapping'!$A$2:$E$216,4,0)</f>
        <v>#N/A</v>
      </c>
      <c r="N360" s="26" t="e">
        <f>IF(OR(C360='Account Mapping'!$H$4,C360='Account Mapping'!$H$5,C360='Account Mapping'!$H$6),'Account Mapping'!$I$4,VLOOKUP(A360,'Account Mapping'!$A$2:$E$216,5,0))</f>
        <v>#N/A</v>
      </c>
      <c r="O360" s="27" t="e">
        <f>IF(OR(L360="Loan",L360="Deposit_Liability",L360="OFF_Unused Loan Commitment",L360="HQLA"),VLOOKUP(D360,'Customer Type'!$A$3:$C$38,3,0),"")</f>
        <v>#N/A</v>
      </c>
      <c r="P360" s="656" t="e">
        <f t="shared" si="142"/>
        <v>#N/A</v>
      </c>
      <c r="Q360" s="658">
        <f>IF(COUNTIF('Account Mapping'!$H$12:$H$45,A360)&gt;0,-H360,H360)</f>
        <v>-90.5</v>
      </c>
      <c r="R360" s="249" t="e">
        <f>VLOOKUP(P360,Assumptions!$C$2:$D$64,2,0)</f>
        <v>#N/A</v>
      </c>
      <c r="S360" s="692" t="str">
        <f>IFERROR(VLOOKUP(A360,'Maturity Adjustment'!$A$3:$C$81,3,0),(IF(J360&lt;$N$4,"Tomorrow",J360)))</f>
        <v>Tomorrow</v>
      </c>
      <c r="T360" s="24">
        <f>IF(S360="Tomorrow",1,(S360-$N$4))</f>
        <v>1</v>
      </c>
      <c r="U360" s="196" t="e">
        <f t="shared" si="143"/>
        <v>#N/A</v>
      </c>
      <c r="V360" s="11" t="str">
        <f>IFERROR(VLOOKUP(A360,'Maturity Adjustment'!$A$86:$C$91,3,0),S360)</f>
        <v>Tomorrow</v>
      </c>
      <c r="W360" s="12" t="e">
        <f>VLOOKUP(A360,'Account Mapping'!$A$2:$F$216,6,0)</f>
        <v>#N/A</v>
      </c>
      <c r="X360" s="194">
        <f t="shared" si="144"/>
        <v>-90.5</v>
      </c>
      <c r="Y360" s="194">
        <f t="shared" si="145"/>
        <v>0</v>
      </c>
      <c r="Z360" s="13">
        <f t="shared" si="146"/>
        <v>0</v>
      </c>
      <c r="AA360" s="13">
        <f t="shared" si="147"/>
        <v>0</v>
      </c>
      <c r="AB360" s="13">
        <f t="shared" si="148"/>
        <v>0</v>
      </c>
      <c r="AC360" s="13">
        <f t="shared" si="149"/>
        <v>0</v>
      </c>
      <c r="AD360" s="13">
        <f t="shared" si="150"/>
        <v>0</v>
      </c>
      <c r="AE360" s="13">
        <f t="shared" si="151"/>
        <v>0</v>
      </c>
      <c r="AF360" s="13">
        <f t="shared" si="152"/>
        <v>0</v>
      </c>
      <c r="AG360" s="685">
        <f t="shared" si="153"/>
        <v>0</v>
      </c>
      <c r="AH360" s="688" t="b">
        <f t="shared" si="154"/>
        <v>1</v>
      </c>
    </row>
    <row r="361" spans="1:34" s="1" customFormat="1" ht="15" customHeight="1">
      <c r="A361" s="946">
        <v>12130001</v>
      </c>
      <c r="B361" s="946" t="s">
        <v>658</v>
      </c>
      <c r="C361" s="946" t="s">
        <v>51</v>
      </c>
      <c r="D361" s="946">
        <v>100000001</v>
      </c>
      <c r="E361" s="946" t="s">
        <v>33</v>
      </c>
      <c r="F361" s="946" t="s">
        <v>11</v>
      </c>
      <c r="G361" s="947">
        <v>3462678</v>
      </c>
      <c r="H361" s="947">
        <v>3462678</v>
      </c>
      <c r="I361" s="949">
        <v>44621</v>
      </c>
      <c r="J361" s="949">
        <v>47057</v>
      </c>
      <c r="K361" s="948"/>
      <c r="L361" s="29" t="e">
        <f>VLOOKUP(A361,'Account Mapping'!$A$2:$E$216,3,0)</f>
        <v>#N/A</v>
      </c>
      <c r="M361" s="25" t="e">
        <f>VLOOKUP(A361,'Account Mapping'!$A$2:$E$216,4,0)</f>
        <v>#N/A</v>
      </c>
      <c r="N361" s="26" t="e">
        <f>IF(OR(C361='Account Mapping'!$H$4,C361='Account Mapping'!$H$5,C361='Account Mapping'!$H$6),'Account Mapping'!$I$4,VLOOKUP(A361,'Account Mapping'!$A$2:$E$216,5,0))</f>
        <v>#N/A</v>
      </c>
      <c r="O361" s="27" t="e">
        <f>IF(OR(L361="Loan",L361="Deposit_Liability",L361="OFF_Unused Loan Commitment",L361="HQLA"),VLOOKUP(D361,'Customer Type'!$A$3:$C$38,3,0),"")</f>
        <v>#N/A</v>
      </c>
      <c r="P361" s="656" t="e">
        <f t="shared" si="142"/>
        <v>#N/A</v>
      </c>
      <c r="Q361" s="658">
        <f>IF(COUNTIF('Account Mapping'!$H$12:$H$45,A361)&gt;0,-H361,H361)</f>
        <v>3462678</v>
      </c>
      <c r="R361" s="249" t="e">
        <f>VLOOKUP(P361,Assumptions!$C$2:$D$64,2,0)</f>
        <v>#N/A</v>
      </c>
      <c r="S361" s="692">
        <f>IFERROR(VLOOKUP(A361,'Maturity Adjustment'!$A$3:$C$81,3,0),(IF(J361&lt;$N$4,"Tomorrow",J361)))</f>
        <v>47057</v>
      </c>
      <c r="T361" s="24">
        <f>IF(S361="Tomorrow",1,(S361-$N$4))</f>
        <v>999</v>
      </c>
      <c r="U361" s="196" t="e">
        <f t="shared" si="143"/>
        <v>#N/A</v>
      </c>
      <c r="V361" s="11">
        <f>IFERROR(VLOOKUP(A361,'Maturity Adjustment'!$A$86:$C$91,3,0),S361)</f>
        <v>47057</v>
      </c>
      <c r="W361" s="12" t="e">
        <f>VLOOKUP(A361,'Account Mapping'!$A$2:$F$216,6,0)</f>
        <v>#N/A</v>
      </c>
      <c r="X361" s="194">
        <f t="shared" si="144"/>
        <v>0</v>
      </c>
      <c r="Y361" s="194">
        <f t="shared" si="145"/>
        <v>0</v>
      </c>
      <c r="Z361" s="13">
        <f t="shared" si="146"/>
        <v>0</v>
      </c>
      <c r="AA361" s="13">
        <f t="shared" si="147"/>
        <v>0</v>
      </c>
      <c r="AB361" s="13">
        <f t="shared" si="148"/>
        <v>0</v>
      </c>
      <c r="AC361" s="13">
        <f t="shared" si="149"/>
        <v>0</v>
      </c>
      <c r="AD361" s="13">
        <f t="shared" si="150"/>
        <v>3462678</v>
      </c>
      <c r="AE361" s="13">
        <f t="shared" si="151"/>
        <v>0</v>
      </c>
      <c r="AF361" s="13">
        <f t="shared" si="152"/>
        <v>0</v>
      </c>
      <c r="AG361" s="685">
        <f t="shared" si="153"/>
        <v>0</v>
      </c>
      <c r="AH361" s="688" t="b">
        <f t="shared" si="154"/>
        <v>1</v>
      </c>
    </row>
    <row r="362" spans="1:34" s="1" customFormat="1" ht="15" customHeight="1">
      <c r="A362" s="946">
        <v>12130001</v>
      </c>
      <c r="B362" s="946" t="s">
        <v>658</v>
      </c>
      <c r="C362" s="946" t="s">
        <v>1403</v>
      </c>
      <c r="D362" s="946">
        <v>100000001</v>
      </c>
      <c r="E362" s="946" t="s">
        <v>33</v>
      </c>
      <c r="F362" s="946" t="s">
        <v>11</v>
      </c>
      <c r="G362" s="947">
        <v>68966.19</v>
      </c>
      <c r="H362" s="947">
        <v>68966.19</v>
      </c>
      <c r="I362" s="948">
        <v>45692</v>
      </c>
      <c r="J362" s="948">
        <v>46421</v>
      </c>
      <c r="K362" s="948"/>
      <c r="L362" s="29" t="e">
        <f>VLOOKUP(A362,'Account Mapping'!$A$2:$E$216,3,0)</f>
        <v>#N/A</v>
      </c>
      <c r="M362" s="25" t="e">
        <f>VLOOKUP(A362,'Account Mapping'!$A$2:$E$216,4,0)</f>
        <v>#N/A</v>
      </c>
      <c r="N362" s="26" t="e">
        <f>IF(OR(C362='Account Mapping'!$H$4,C362='Account Mapping'!$H$5,C362='Account Mapping'!$H$6),'Account Mapping'!$I$4,VLOOKUP(A362,'Account Mapping'!$A$2:$E$216,5,0))</f>
        <v>#N/A</v>
      </c>
      <c r="O362" s="27" t="e">
        <f>IF(OR(L362="Loan",L362="Deposit_Liability",L362="OFF_Unused Loan Commitment",L362="HQLA"),VLOOKUP(D362,'Customer Type'!$A$3:$C$38,3,0),"")</f>
        <v>#N/A</v>
      </c>
      <c r="P362" s="656" t="e">
        <f t="shared" si="142"/>
        <v>#N/A</v>
      </c>
      <c r="Q362" s="658">
        <f>IF(COUNTIF('Account Mapping'!$H$12:$H$45,A362)&gt;0,-H362,H362)</f>
        <v>68966.19</v>
      </c>
      <c r="R362" s="249" t="e">
        <f>VLOOKUP(P362,Assumptions!$C$2:$D$64,2,0)</f>
        <v>#N/A</v>
      </c>
      <c r="S362" s="692">
        <f>IFERROR(VLOOKUP(A362,'Maturity Adjustment'!$A$3:$C$81,3,0),(IF(J362&lt;$N$4,"Tomorrow",J362)))</f>
        <v>46421</v>
      </c>
      <c r="T362" s="24">
        <f t="shared" si="141"/>
        <v>363</v>
      </c>
      <c r="U362" s="196" t="e">
        <f t="shared" si="143"/>
        <v>#N/A</v>
      </c>
      <c r="V362" s="11">
        <f>IFERROR(VLOOKUP(A362,'Maturity Adjustment'!$A$86:$C$91,3,0),S362)</f>
        <v>46421</v>
      </c>
      <c r="W362" s="207" t="e">
        <f>VLOOKUP(A362,'Account Mapping'!$A$2:$F$216,6,0)</f>
        <v>#N/A</v>
      </c>
      <c r="X362" s="194">
        <f t="shared" si="144"/>
        <v>0</v>
      </c>
      <c r="Y362" s="194">
        <f t="shared" si="145"/>
        <v>0</v>
      </c>
      <c r="Z362" s="13">
        <f t="shared" si="146"/>
        <v>0</v>
      </c>
      <c r="AA362" s="13">
        <f t="shared" si="147"/>
        <v>0</v>
      </c>
      <c r="AB362" s="13">
        <f t="shared" si="148"/>
        <v>0</v>
      </c>
      <c r="AC362" s="13">
        <f t="shared" si="149"/>
        <v>68966.19</v>
      </c>
      <c r="AD362" s="13">
        <f t="shared" si="150"/>
        <v>0</v>
      </c>
      <c r="AE362" s="13">
        <f t="shared" si="151"/>
        <v>0</v>
      </c>
      <c r="AF362" s="13">
        <f t="shared" si="152"/>
        <v>0</v>
      </c>
      <c r="AG362" s="685">
        <f t="shared" si="153"/>
        <v>0</v>
      </c>
      <c r="AH362" s="688" t="b">
        <f t="shared" si="154"/>
        <v>1</v>
      </c>
    </row>
    <row r="363" spans="1:34" s="1" customFormat="1" ht="15" customHeight="1">
      <c r="A363" s="946">
        <v>12130001</v>
      </c>
      <c r="B363" s="946" t="s">
        <v>658</v>
      </c>
      <c r="C363" s="946" t="s">
        <v>1561</v>
      </c>
      <c r="D363" s="946">
        <v>100000001</v>
      </c>
      <c r="E363" s="946" t="s">
        <v>33</v>
      </c>
      <c r="F363" s="946" t="s">
        <v>11</v>
      </c>
      <c r="G363" s="947">
        <v>53331.6</v>
      </c>
      <c r="H363" s="947">
        <v>53331.6</v>
      </c>
      <c r="I363" s="949">
        <v>46039</v>
      </c>
      <c r="J363" s="949">
        <v>46403</v>
      </c>
      <c r="K363" s="948"/>
      <c r="L363" s="29" t="e">
        <f>VLOOKUP(A363,'Account Mapping'!$A$2:$E$216,3,0)</f>
        <v>#N/A</v>
      </c>
      <c r="M363" s="25" t="e">
        <f>VLOOKUP(A363,'Account Mapping'!$A$2:$E$216,4,0)</f>
        <v>#N/A</v>
      </c>
      <c r="N363" s="26" t="e">
        <f>IF(OR(C363='Account Mapping'!$H$4,C363='Account Mapping'!$H$5,C363='Account Mapping'!$H$6),'Account Mapping'!$I$4,VLOOKUP(A363,'Account Mapping'!$A$2:$E$216,5,0))</f>
        <v>#N/A</v>
      </c>
      <c r="O363" s="27" t="e">
        <f>IF(OR(L363="Loan",L363="Deposit_Liability",L363="OFF_Unused Loan Commitment",L363="HQLA"),VLOOKUP(D363,'Customer Type'!$A$3:$C$38,3,0),"")</f>
        <v>#N/A</v>
      </c>
      <c r="P363" s="656" t="e">
        <f t="shared" si="142"/>
        <v>#N/A</v>
      </c>
      <c r="Q363" s="658">
        <f>IF(COUNTIF('Account Mapping'!$H$12:$H$45,A363)&gt;0,-H363,H363)</f>
        <v>53331.6</v>
      </c>
      <c r="R363" s="249" t="e">
        <f>VLOOKUP(P363,Assumptions!$C$2:$D$64,2,0)</f>
        <v>#N/A</v>
      </c>
      <c r="S363" s="692">
        <f>IFERROR(VLOOKUP(A363,'Maturity Adjustment'!$A$3:$C$81,3,0),(IF(J363&lt;$N$4,"Tomorrow",J363)))</f>
        <v>46403</v>
      </c>
      <c r="T363" s="24">
        <f t="shared" si="141"/>
        <v>345</v>
      </c>
      <c r="U363" s="196" t="e">
        <f t="shared" si="143"/>
        <v>#N/A</v>
      </c>
      <c r="V363" s="11">
        <f>IFERROR(VLOOKUP(A363,'Maturity Adjustment'!$A$86:$C$91,3,0),S363)</f>
        <v>46403</v>
      </c>
      <c r="W363" s="207" t="e">
        <f>VLOOKUP(A363,'Account Mapping'!$A$2:$F$216,6,0)</f>
        <v>#N/A</v>
      </c>
      <c r="X363" s="194">
        <f t="shared" si="144"/>
        <v>0</v>
      </c>
      <c r="Y363" s="194">
        <f t="shared" si="145"/>
        <v>0</v>
      </c>
      <c r="Z363" s="13">
        <f t="shared" si="146"/>
        <v>0</v>
      </c>
      <c r="AA363" s="13">
        <f t="shared" si="147"/>
        <v>0</v>
      </c>
      <c r="AB363" s="13">
        <f t="shared" si="148"/>
        <v>0</v>
      </c>
      <c r="AC363" s="13">
        <f t="shared" si="149"/>
        <v>53331.6</v>
      </c>
      <c r="AD363" s="13">
        <f t="shared" si="150"/>
        <v>0</v>
      </c>
      <c r="AE363" s="13">
        <f t="shared" si="151"/>
        <v>0</v>
      </c>
      <c r="AF363" s="13">
        <f t="shared" si="152"/>
        <v>0</v>
      </c>
      <c r="AG363" s="685">
        <f t="shared" si="153"/>
        <v>0</v>
      </c>
      <c r="AH363" s="688" t="b">
        <f t="shared" si="154"/>
        <v>1</v>
      </c>
    </row>
    <row r="364" spans="1:34" s="1" customFormat="1" ht="15" customHeight="1">
      <c r="A364" s="946">
        <v>12130001</v>
      </c>
      <c r="B364" s="946" t="s">
        <v>658</v>
      </c>
      <c r="C364" s="946" t="s">
        <v>1562</v>
      </c>
      <c r="D364" s="946">
        <v>100000001</v>
      </c>
      <c r="E364" s="946" t="s">
        <v>33</v>
      </c>
      <c r="F364" s="946" t="s">
        <v>11</v>
      </c>
      <c r="G364" s="947">
        <v>52975.57</v>
      </c>
      <c r="H364" s="947">
        <v>52975.57</v>
      </c>
      <c r="I364" s="949">
        <v>46040</v>
      </c>
      <c r="J364" s="949">
        <v>46368</v>
      </c>
      <c r="K364" s="948"/>
      <c r="L364" s="29" t="e">
        <f>VLOOKUP(A364,'Account Mapping'!$A$2:$E$216,3,0)</f>
        <v>#N/A</v>
      </c>
      <c r="M364" s="25" t="e">
        <f>VLOOKUP(A364,'Account Mapping'!$A$2:$E$216,4,0)</f>
        <v>#N/A</v>
      </c>
      <c r="N364" s="26" t="e">
        <f>IF(OR(C364='Account Mapping'!$H$4,C364='Account Mapping'!$H$5,C364='Account Mapping'!$H$6),'Account Mapping'!$I$4,VLOOKUP(A364,'Account Mapping'!$A$2:$E$216,5,0))</f>
        <v>#N/A</v>
      </c>
      <c r="O364" s="27" t="e">
        <f>IF(OR(L364="Loan",L364="Deposit_Liability",L364="OFF_Unused Loan Commitment",L364="HQLA"),VLOOKUP(D364,'Customer Type'!$A$3:$C$38,3,0),"")</f>
        <v>#N/A</v>
      </c>
      <c r="P364" s="656" t="e">
        <f t="shared" si="142"/>
        <v>#N/A</v>
      </c>
      <c r="Q364" s="658">
        <f>IF(COUNTIF('Account Mapping'!$H$12:$H$45,A364)&gt;0,-H364,H364)</f>
        <v>52975.57</v>
      </c>
      <c r="R364" s="249" t="e">
        <f>VLOOKUP(P364,Assumptions!$C$2:$D$64,2,0)</f>
        <v>#N/A</v>
      </c>
      <c r="S364" s="692">
        <f>IFERROR(VLOOKUP(A364,'Maturity Adjustment'!$A$3:$C$81,3,0),(IF(J364&lt;$N$4,"Tomorrow",J364)))</f>
        <v>46368</v>
      </c>
      <c r="T364" s="24">
        <f>IF(S364="Tomorrow",1,(S364-$N$4))</f>
        <v>310</v>
      </c>
      <c r="U364" s="196" t="e">
        <f t="shared" si="143"/>
        <v>#N/A</v>
      </c>
      <c r="V364" s="11">
        <f>IFERROR(VLOOKUP(A364,'Maturity Adjustment'!$A$86:$C$91,3,0),S364)</f>
        <v>46368</v>
      </c>
      <c r="W364" s="207" t="e">
        <f>VLOOKUP(A364,'Account Mapping'!$A$2:$F$216,6,0)</f>
        <v>#N/A</v>
      </c>
      <c r="X364" s="194">
        <f t="shared" si="144"/>
        <v>0</v>
      </c>
      <c r="Y364" s="194">
        <f t="shared" si="145"/>
        <v>0</v>
      </c>
      <c r="Z364" s="13">
        <f t="shared" si="146"/>
        <v>0</v>
      </c>
      <c r="AA364" s="13">
        <f t="shared" si="147"/>
        <v>0</v>
      </c>
      <c r="AB364" s="13">
        <f t="shared" si="148"/>
        <v>0</v>
      </c>
      <c r="AC364" s="13">
        <f t="shared" si="149"/>
        <v>52975.57</v>
      </c>
      <c r="AD364" s="13">
        <f t="shared" si="150"/>
        <v>0</v>
      </c>
      <c r="AE364" s="13">
        <f t="shared" si="151"/>
        <v>0</v>
      </c>
      <c r="AF364" s="13">
        <f t="shared" si="152"/>
        <v>0</v>
      </c>
      <c r="AG364" s="685">
        <f t="shared" si="153"/>
        <v>0</v>
      </c>
      <c r="AH364" s="688" t="b">
        <f t="shared" si="154"/>
        <v>1</v>
      </c>
    </row>
    <row r="365" spans="1:34" s="1" customFormat="1" ht="15" customHeight="1">
      <c r="A365" s="946">
        <v>12130001</v>
      </c>
      <c r="B365" s="946" t="s">
        <v>658</v>
      </c>
      <c r="C365" s="946" t="s">
        <v>1575</v>
      </c>
      <c r="D365" s="946">
        <v>100000001</v>
      </c>
      <c r="E365" s="946" t="s">
        <v>33</v>
      </c>
      <c r="F365" s="946" t="s">
        <v>11</v>
      </c>
      <c r="G365" s="947">
        <v>59206.33</v>
      </c>
      <c r="H365" s="947">
        <v>59206.33</v>
      </c>
      <c r="I365" s="949">
        <v>46049</v>
      </c>
      <c r="J365" s="949">
        <v>46413</v>
      </c>
      <c r="K365" s="948"/>
      <c r="L365" s="29" t="e">
        <f>VLOOKUP(A365,'Account Mapping'!$A$2:$E$216,3,0)</f>
        <v>#N/A</v>
      </c>
      <c r="M365" s="25" t="e">
        <f>VLOOKUP(A365,'Account Mapping'!$A$2:$E$216,4,0)</f>
        <v>#N/A</v>
      </c>
      <c r="N365" s="26" t="e">
        <f>IF(OR(C365='Account Mapping'!$H$4,C365='Account Mapping'!$H$5,C365='Account Mapping'!$H$6),'Account Mapping'!$I$4,VLOOKUP(A365,'Account Mapping'!$A$2:$E$216,5,0))</f>
        <v>#N/A</v>
      </c>
      <c r="O365" s="27" t="e">
        <f>IF(OR(L365="Loan",L365="Deposit_Liability",L365="OFF_Unused Loan Commitment",L365="HQLA"),VLOOKUP(D365,'Customer Type'!$A$3:$C$38,3,0),"")</f>
        <v>#N/A</v>
      </c>
      <c r="P365" s="656" t="e">
        <f t="shared" si="142"/>
        <v>#N/A</v>
      </c>
      <c r="Q365" s="658">
        <f>IF(COUNTIF('Account Mapping'!$H$12:$H$45,A365)&gt;0,-H365,H365)</f>
        <v>59206.33</v>
      </c>
      <c r="R365" s="249" t="e">
        <f>VLOOKUP(P365,Assumptions!$C$2:$D$64,2,0)</f>
        <v>#N/A</v>
      </c>
      <c r="S365" s="692">
        <f>IFERROR(VLOOKUP(A365,'Maturity Adjustment'!$A$3:$C$81,3,0),(IF(J365&lt;$N$4,"Tomorrow",J365)))</f>
        <v>46413</v>
      </c>
      <c r="T365" s="24">
        <f>IF(S365="Tomorrow",1,(S365-$N$4))</f>
        <v>355</v>
      </c>
      <c r="U365" s="196" t="e">
        <f t="shared" si="143"/>
        <v>#N/A</v>
      </c>
      <c r="V365" s="11">
        <f>IFERROR(VLOOKUP(A365,'Maturity Adjustment'!$A$86:$C$91,3,0),S365)</f>
        <v>46413</v>
      </c>
      <c r="W365" s="12" t="e">
        <f>VLOOKUP(A365,'Account Mapping'!$A$2:$F$216,6,0)</f>
        <v>#N/A</v>
      </c>
      <c r="X365" s="194">
        <f t="shared" si="144"/>
        <v>0</v>
      </c>
      <c r="Y365" s="194">
        <f t="shared" si="145"/>
        <v>0</v>
      </c>
      <c r="Z365" s="13">
        <f t="shared" si="146"/>
        <v>0</v>
      </c>
      <c r="AA365" s="13">
        <f t="shared" si="147"/>
        <v>0</v>
      </c>
      <c r="AB365" s="13">
        <f t="shared" si="148"/>
        <v>0</v>
      </c>
      <c r="AC365" s="13">
        <f t="shared" si="149"/>
        <v>59206.33</v>
      </c>
      <c r="AD365" s="13">
        <f t="shared" si="150"/>
        <v>0</v>
      </c>
      <c r="AE365" s="13">
        <f t="shared" si="151"/>
        <v>0</v>
      </c>
      <c r="AF365" s="13">
        <f t="shared" si="152"/>
        <v>0</v>
      </c>
      <c r="AG365" s="685">
        <f t="shared" si="153"/>
        <v>0</v>
      </c>
      <c r="AH365" s="688" t="b">
        <f t="shared" si="154"/>
        <v>1</v>
      </c>
    </row>
    <row r="366" spans="1:34" s="1" customFormat="1" ht="15" customHeight="1">
      <c r="A366" s="946">
        <v>12130001</v>
      </c>
      <c r="B366" s="946" t="s">
        <v>658</v>
      </c>
      <c r="C366" s="946" t="s">
        <v>1576</v>
      </c>
      <c r="D366" s="946">
        <v>100000001</v>
      </c>
      <c r="E366" s="946" t="s">
        <v>33</v>
      </c>
      <c r="F366" s="946" t="s">
        <v>11</v>
      </c>
      <c r="G366" s="947">
        <v>58640.68</v>
      </c>
      <c r="H366" s="947">
        <v>58640.68</v>
      </c>
      <c r="I366" s="949">
        <v>46046</v>
      </c>
      <c r="J366" s="949">
        <v>46410</v>
      </c>
      <c r="K366" s="948"/>
      <c r="L366" s="29" t="e">
        <f>VLOOKUP(A366,'Account Mapping'!$A$2:$E$216,3,0)</f>
        <v>#N/A</v>
      </c>
      <c r="M366" s="25" t="e">
        <f>VLOOKUP(A366,'Account Mapping'!$A$2:$E$216,4,0)</f>
        <v>#N/A</v>
      </c>
      <c r="N366" s="26" t="e">
        <f>IF(OR(C366='Account Mapping'!$H$4,C366='Account Mapping'!$H$5,C366='Account Mapping'!$H$6),'Account Mapping'!$I$4,VLOOKUP(A366,'Account Mapping'!$A$2:$E$216,5,0))</f>
        <v>#N/A</v>
      </c>
      <c r="O366" s="27" t="e">
        <f>IF(OR(L366="Loan",L366="Deposit_Liability",L366="OFF_Unused Loan Commitment",L366="HQLA"),VLOOKUP(D366,'Customer Type'!$A$3:$C$38,3,0),"")</f>
        <v>#N/A</v>
      </c>
      <c r="P366" s="656" t="e">
        <f t="shared" si="142"/>
        <v>#N/A</v>
      </c>
      <c r="Q366" s="658">
        <f>IF(COUNTIF('Account Mapping'!$H$12:$H$45,A366)&gt;0,-H366,H366)</f>
        <v>58640.68</v>
      </c>
      <c r="R366" s="249" t="e">
        <f>VLOOKUP(P366,Assumptions!$C$2:$D$64,2,0)</f>
        <v>#N/A</v>
      </c>
      <c r="S366" s="692">
        <f>IFERROR(VLOOKUP(A366,'Maturity Adjustment'!$A$3:$C$81,3,0),(IF(J366&lt;$N$4,"Tomorrow",J366)))</f>
        <v>46410</v>
      </c>
      <c r="T366" s="24">
        <f>IF(S366="Tomorrow",1,(S366-$N$4))</f>
        <v>352</v>
      </c>
      <c r="U366" s="196" t="e">
        <f t="shared" si="143"/>
        <v>#N/A</v>
      </c>
      <c r="V366" s="11">
        <f>IFERROR(VLOOKUP(A366,'Maturity Adjustment'!$A$86:$C$91,3,0),S366)</f>
        <v>46410</v>
      </c>
      <c r="W366" s="12" t="e">
        <f>VLOOKUP(A366,'Account Mapping'!$A$2:$F$216,6,0)</f>
        <v>#N/A</v>
      </c>
      <c r="X366" s="194">
        <f t="shared" si="144"/>
        <v>0</v>
      </c>
      <c r="Y366" s="194">
        <f t="shared" si="145"/>
        <v>0</v>
      </c>
      <c r="Z366" s="13">
        <f t="shared" si="146"/>
        <v>0</v>
      </c>
      <c r="AA366" s="13">
        <f t="shared" si="147"/>
        <v>0</v>
      </c>
      <c r="AB366" s="13">
        <f t="shared" si="148"/>
        <v>0</v>
      </c>
      <c r="AC366" s="13">
        <f t="shared" si="149"/>
        <v>58640.68</v>
      </c>
      <c r="AD366" s="13">
        <f t="shared" si="150"/>
        <v>0</v>
      </c>
      <c r="AE366" s="13">
        <f t="shared" si="151"/>
        <v>0</v>
      </c>
      <c r="AF366" s="13">
        <f t="shared" si="152"/>
        <v>0</v>
      </c>
      <c r="AG366" s="685">
        <f t="shared" si="153"/>
        <v>0</v>
      </c>
      <c r="AH366" s="688" t="b">
        <f t="shared" si="154"/>
        <v>1</v>
      </c>
    </row>
    <row r="367" spans="1:34" s="1" customFormat="1" ht="15" customHeight="1">
      <c r="A367" s="946">
        <v>12130001</v>
      </c>
      <c r="B367" s="946" t="s">
        <v>658</v>
      </c>
      <c r="C367" s="946" t="s">
        <v>659</v>
      </c>
      <c r="D367" s="946">
        <v>100000001</v>
      </c>
      <c r="E367" s="946" t="s">
        <v>33</v>
      </c>
      <c r="F367" s="946" t="s">
        <v>11</v>
      </c>
      <c r="G367" s="947">
        <v>3674</v>
      </c>
      <c r="H367" s="947">
        <v>3674</v>
      </c>
      <c r="I367" s="949"/>
      <c r="J367" s="949"/>
      <c r="K367" s="948"/>
      <c r="L367" s="29" t="e">
        <f>VLOOKUP(A367,'Account Mapping'!$A$2:$E$216,3,0)</f>
        <v>#N/A</v>
      </c>
      <c r="M367" s="25" t="e">
        <f>VLOOKUP(A367,'Account Mapping'!$A$2:$E$216,4,0)</f>
        <v>#N/A</v>
      </c>
      <c r="N367" s="26" t="e">
        <f>IF(OR(C367='Account Mapping'!$H$4,C367='Account Mapping'!$H$5,C367='Account Mapping'!$H$6),'Account Mapping'!$I$4,VLOOKUP(A367,'Account Mapping'!$A$2:$E$216,5,0))</f>
        <v>#N/A</v>
      </c>
      <c r="O367" s="27" t="e">
        <f>IF(OR(L367="Loan",L367="Deposit_Liability",L367="OFF_Unused Loan Commitment",L367="HQLA"),VLOOKUP(D367,'Customer Type'!$A$3:$C$38,3,0),"")</f>
        <v>#N/A</v>
      </c>
      <c r="P367" s="656" t="e">
        <f t="shared" si="142"/>
        <v>#N/A</v>
      </c>
      <c r="Q367" s="658">
        <f>IF(COUNTIF('Account Mapping'!$H$12:$H$45,A367)&gt;0,-H367,H367)</f>
        <v>3674</v>
      </c>
      <c r="R367" s="249" t="e">
        <f>VLOOKUP(P367,Assumptions!$C$2:$D$64,2,0)</f>
        <v>#N/A</v>
      </c>
      <c r="S367" s="692" t="str">
        <f>IFERROR(VLOOKUP(A367,'Maturity Adjustment'!$A$3:$C$81,3,0),(IF(J367&lt;$N$4,"Tomorrow",J367)))</f>
        <v>Tomorrow</v>
      </c>
      <c r="T367" s="190">
        <f t="shared" ref="T367:T374" si="156">IF(S367="Tomorrow",1,(S367-$N$4))</f>
        <v>1</v>
      </c>
      <c r="U367" s="196" t="e">
        <f t="shared" si="143"/>
        <v>#N/A</v>
      </c>
      <c r="V367" s="11" t="str">
        <f>IFERROR(VLOOKUP(A367,'Maturity Adjustment'!$A$86:$C$91,3,0),S367)</f>
        <v>Tomorrow</v>
      </c>
      <c r="W367" s="12" t="e">
        <f>VLOOKUP(A367,'Account Mapping'!$A$2:$F$216,6,0)</f>
        <v>#N/A</v>
      </c>
      <c r="X367" s="194">
        <f t="shared" si="144"/>
        <v>3674</v>
      </c>
      <c r="Y367" s="194">
        <f t="shared" si="145"/>
        <v>0</v>
      </c>
      <c r="Z367" s="13">
        <f t="shared" si="146"/>
        <v>0</v>
      </c>
      <c r="AA367" s="13">
        <f t="shared" si="147"/>
        <v>0</v>
      </c>
      <c r="AB367" s="13">
        <f t="shared" si="148"/>
        <v>0</v>
      </c>
      <c r="AC367" s="13">
        <f t="shared" si="149"/>
        <v>0</v>
      </c>
      <c r="AD367" s="13">
        <f t="shared" si="150"/>
        <v>0</v>
      </c>
      <c r="AE367" s="13">
        <f t="shared" si="151"/>
        <v>0</v>
      </c>
      <c r="AF367" s="13">
        <f t="shared" si="152"/>
        <v>0</v>
      </c>
      <c r="AG367" s="685">
        <f t="shared" si="153"/>
        <v>0</v>
      </c>
      <c r="AH367" s="688" t="b">
        <f t="shared" si="154"/>
        <v>1</v>
      </c>
    </row>
    <row r="368" spans="1:34" s="1" customFormat="1" ht="15" customHeight="1">
      <c r="A368" s="946">
        <v>12130001</v>
      </c>
      <c r="B368" s="946" t="s">
        <v>658</v>
      </c>
      <c r="C368" s="946" t="s">
        <v>660</v>
      </c>
      <c r="D368" s="946">
        <v>100000001</v>
      </c>
      <c r="E368" s="946" t="s">
        <v>33</v>
      </c>
      <c r="F368" s="946" t="s">
        <v>11</v>
      </c>
      <c r="G368" s="947">
        <v>12433</v>
      </c>
      <c r="H368" s="947">
        <v>12433</v>
      </c>
      <c r="I368" s="949"/>
      <c r="J368" s="949"/>
      <c r="K368" s="948"/>
      <c r="L368" s="29" t="e">
        <f>VLOOKUP(A368,'Account Mapping'!$A$2:$E$216,3,0)</f>
        <v>#N/A</v>
      </c>
      <c r="M368" s="25" t="e">
        <f>VLOOKUP(A368,'Account Mapping'!$A$2:$E$216,4,0)</f>
        <v>#N/A</v>
      </c>
      <c r="N368" s="26" t="e">
        <f>IF(OR(C368='Account Mapping'!$H$4,C368='Account Mapping'!$H$5,C368='Account Mapping'!$H$6),'Account Mapping'!$I$4,VLOOKUP(A368,'Account Mapping'!$A$2:$E$216,5,0))</f>
        <v>#N/A</v>
      </c>
      <c r="O368" s="27" t="e">
        <f>IF(OR(L368="Loan",L368="Deposit_Liability",L368="OFF_Unused Loan Commitment",L368="HQLA"),VLOOKUP(D368,'Customer Type'!$A$3:$C$38,3,0),"")</f>
        <v>#N/A</v>
      </c>
      <c r="P368" s="656" t="e">
        <f t="shared" si="142"/>
        <v>#N/A</v>
      </c>
      <c r="Q368" s="658">
        <f>IF(COUNTIF('Account Mapping'!$H$12:$H$45,A368)&gt;0,-H368,H368)</f>
        <v>12433</v>
      </c>
      <c r="R368" s="249" t="e">
        <f>VLOOKUP(P368,Assumptions!$C$2:$D$64,2,0)</f>
        <v>#N/A</v>
      </c>
      <c r="S368" s="692" t="str">
        <f>IFERROR(VLOOKUP(A368,'Maturity Adjustment'!$A$3:$C$81,3,0),(IF(J368&lt;$N$4,"Tomorrow",J368)))</f>
        <v>Tomorrow</v>
      </c>
      <c r="T368" s="190">
        <f>IF(S368="Tomorrow",1,(S368-$N$4))</f>
        <v>1</v>
      </c>
      <c r="U368" s="196" t="e">
        <f t="shared" si="143"/>
        <v>#N/A</v>
      </c>
      <c r="V368" s="11" t="str">
        <f>IFERROR(VLOOKUP(A368,'Maturity Adjustment'!$A$86:$C$91,3,0),S368)</f>
        <v>Tomorrow</v>
      </c>
      <c r="W368" s="12" t="e">
        <f>VLOOKUP(A368,'Account Mapping'!$A$2:$F$216,6,0)</f>
        <v>#N/A</v>
      </c>
      <c r="X368" s="194">
        <f t="shared" si="144"/>
        <v>12433</v>
      </c>
      <c r="Y368" s="194">
        <f t="shared" si="145"/>
        <v>0</v>
      </c>
      <c r="Z368" s="13">
        <f t="shared" si="146"/>
        <v>0</v>
      </c>
      <c r="AA368" s="13">
        <f t="shared" si="147"/>
        <v>0</v>
      </c>
      <c r="AB368" s="13">
        <f t="shared" si="148"/>
        <v>0</v>
      </c>
      <c r="AC368" s="13">
        <f t="shared" si="149"/>
        <v>0</v>
      </c>
      <c r="AD368" s="13">
        <f t="shared" si="150"/>
        <v>0</v>
      </c>
      <c r="AE368" s="13">
        <f t="shared" si="151"/>
        <v>0</v>
      </c>
      <c r="AF368" s="13">
        <f t="shared" si="152"/>
        <v>0</v>
      </c>
      <c r="AG368" s="685">
        <f t="shared" si="153"/>
        <v>0</v>
      </c>
      <c r="AH368" s="688" t="b">
        <f t="shared" si="154"/>
        <v>1</v>
      </c>
    </row>
    <row r="369" spans="1:34" s="1" customFormat="1" ht="15" customHeight="1">
      <c r="A369" s="946">
        <v>12130001</v>
      </c>
      <c r="B369" s="946" t="s">
        <v>658</v>
      </c>
      <c r="C369" s="946" t="s">
        <v>661</v>
      </c>
      <c r="D369" s="946">
        <v>100000001</v>
      </c>
      <c r="E369" s="946" t="s">
        <v>33</v>
      </c>
      <c r="F369" s="946" t="s">
        <v>11</v>
      </c>
      <c r="G369" s="947">
        <v>-3674</v>
      </c>
      <c r="H369" s="947">
        <v>-3674</v>
      </c>
      <c r="I369" s="948"/>
      <c r="J369" s="948"/>
      <c r="K369" s="948"/>
      <c r="L369" s="29" t="e">
        <f>VLOOKUP(A369,'Account Mapping'!$A$2:$E$216,3,0)</f>
        <v>#N/A</v>
      </c>
      <c r="M369" s="25" t="e">
        <f>VLOOKUP(A369,'Account Mapping'!$A$2:$E$216,4,0)</f>
        <v>#N/A</v>
      </c>
      <c r="N369" s="26" t="e">
        <f>IF(OR(C369='Account Mapping'!$H$4,C369='Account Mapping'!$H$5,C369='Account Mapping'!$H$6),'Account Mapping'!$I$4,VLOOKUP(A369,'Account Mapping'!$A$2:$E$216,5,0))</f>
        <v>#N/A</v>
      </c>
      <c r="O369" s="27" t="e">
        <f>IF(OR(L369="Loan",L369="Deposit_Liability",L369="OFF_Unused Loan Commitment",L369="HQLA"),VLOOKUP(D369,'Customer Type'!$A$3:$C$38,3,0),"")</f>
        <v>#N/A</v>
      </c>
      <c r="P369" s="656" t="e">
        <f t="shared" si="142"/>
        <v>#N/A</v>
      </c>
      <c r="Q369" s="658">
        <f>IF(COUNTIF('Account Mapping'!$H$12:$H$45,A369)&gt;0,-H369,H369)</f>
        <v>-3674</v>
      </c>
      <c r="R369" s="249" t="e">
        <f>VLOOKUP(P369,Assumptions!$C$2:$D$64,2,0)</f>
        <v>#N/A</v>
      </c>
      <c r="S369" s="692" t="str">
        <f>IFERROR(VLOOKUP(A369,'Maturity Adjustment'!$A$3:$C$81,3,0),(IF(J369&lt;$N$4,"Tomorrow",J369)))</f>
        <v>Tomorrow</v>
      </c>
      <c r="T369" s="190">
        <f>IF(S369="Tomorrow",1,(S369-$N$4))</f>
        <v>1</v>
      </c>
      <c r="U369" s="196" t="e">
        <f t="shared" si="143"/>
        <v>#N/A</v>
      </c>
      <c r="V369" s="11" t="str">
        <f>IFERROR(VLOOKUP(A369,'Maturity Adjustment'!$A$86:$C$91,3,0),S369)</f>
        <v>Tomorrow</v>
      </c>
      <c r="W369" s="12" t="e">
        <f>VLOOKUP(A369,'Account Mapping'!$A$2:$F$216,6,0)</f>
        <v>#N/A</v>
      </c>
      <c r="X369" s="194">
        <f t="shared" si="144"/>
        <v>-3674</v>
      </c>
      <c r="Y369" s="194">
        <f t="shared" si="145"/>
        <v>0</v>
      </c>
      <c r="Z369" s="13">
        <f t="shared" si="146"/>
        <v>0</v>
      </c>
      <c r="AA369" s="13">
        <f t="shared" si="147"/>
        <v>0</v>
      </c>
      <c r="AB369" s="13">
        <f t="shared" si="148"/>
        <v>0</v>
      </c>
      <c r="AC369" s="13">
        <f t="shared" si="149"/>
        <v>0</v>
      </c>
      <c r="AD369" s="13">
        <f t="shared" si="150"/>
        <v>0</v>
      </c>
      <c r="AE369" s="13">
        <f t="shared" si="151"/>
        <v>0</v>
      </c>
      <c r="AF369" s="13">
        <f t="shared" si="152"/>
        <v>0</v>
      </c>
      <c r="AG369" s="685">
        <f t="shared" si="153"/>
        <v>0</v>
      </c>
      <c r="AH369" s="688" t="b">
        <f t="shared" si="154"/>
        <v>1</v>
      </c>
    </row>
    <row r="370" spans="1:34" s="1" customFormat="1" ht="15" customHeight="1">
      <c r="A370" s="946">
        <v>12130001</v>
      </c>
      <c r="B370" s="946" t="s">
        <v>658</v>
      </c>
      <c r="C370" s="946" t="s">
        <v>662</v>
      </c>
      <c r="D370" s="946">
        <v>100000001</v>
      </c>
      <c r="E370" s="946" t="s">
        <v>33</v>
      </c>
      <c r="F370" s="946" t="s">
        <v>11</v>
      </c>
      <c r="G370" s="947">
        <v>-3707</v>
      </c>
      <c r="H370" s="947">
        <v>-3707</v>
      </c>
      <c r="I370" s="948"/>
      <c r="J370" s="948"/>
      <c r="K370" s="948"/>
      <c r="L370" s="29" t="e">
        <f>VLOOKUP(A370,'Account Mapping'!$A$2:$E$216,3,0)</f>
        <v>#N/A</v>
      </c>
      <c r="M370" s="25" t="e">
        <f>VLOOKUP(A370,'Account Mapping'!$A$2:$E$216,4,0)</f>
        <v>#N/A</v>
      </c>
      <c r="N370" s="26" t="e">
        <f>IF(OR(C370='Account Mapping'!$H$4,C370='Account Mapping'!$H$5,C370='Account Mapping'!$H$6),'Account Mapping'!$I$4,VLOOKUP(A370,'Account Mapping'!$A$2:$E$216,5,0))</f>
        <v>#N/A</v>
      </c>
      <c r="O370" s="27" t="e">
        <f>IF(OR(L370="Loan",L370="Deposit_Liability",L370="OFF_Unused Loan Commitment",L370="HQLA"),VLOOKUP(D370,'Customer Type'!$A$3:$C$38,3,0),"")</f>
        <v>#N/A</v>
      </c>
      <c r="P370" s="656" t="e">
        <f t="shared" si="142"/>
        <v>#N/A</v>
      </c>
      <c r="Q370" s="658">
        <f>IF(COUNTIF('Account Mapping'!$H$12:$H$45,A370)&gt;0,-H370,H370)</f>
        <v>-3707</v>
      </c>
      <c r="R370" s="249" t="e">
        <f>VLOOKUP(P370,Assumptions!$C$2:$D$64,2,0)</f>
        <v>#N/A</v>
      </c>
      <c r="S370" s="692" t="str">
        <f>IFERROR(VLOOKUP(A370,'Maturity Adjustment'!$A$3:$C$81,3,0),(IF(J370&lt;$N$4,"Tomorrow",J370)))</f>
        <v>Tomorrow</v>
      </c>
      <c r="T370" s="190">
        <f>IF(S370="Tomorrow",1,(S370-$N$4))</f>
        <v>1</v>
      </c>
      <c r="U370" s="196" t="e">
        <f t="shared" si="143"/>
        <v>#N/A</v>
      </c>
      <c r="V370" s="11" t="str">
        <f>IFERROR(VLOOKUP(A370,'Maturity Adjustment'!$A$86:$C$91,3,0),S370)</f>
        <v>Tomorrow</v>
      </c>
      <c r="W370" s="12" t="e">
        <f>VLOOKUP(A370,'Account Mapping'!$A$2:$F$216,6,0)</f>
        <v>#N/A</v>
      </c>
      <c r="X370" s="194">
        <f t="shared" si="144"/>
        <v>-3707</v>
      </c>
      <c r="Y370" s="194">
        <f t="shared" si="145"/>
        <v>0</v>
      </c>
      <c r="Z370" s="13">
        <f t="shared" si="146"/>
        <v>0</v>
      </c>
      <c r="AA370" s="13">
        <f t="shared" si="147"/>
        <v>0</v>
      </c>
      <c r="AB370" s="13">
        <f t="shared" si="148"/>
        <v>0</v>
      </c>
      <c r="AC370" s="13">
        <f t="shared" si="149"/>
        <v>0</v>
      </c>
      <c r="AD370" s="13">
        <f t="shared" si="150"/>
        <v>0</v>
      </c>
      <c r="AE370" s="13">
        <f t="shared" si="151"/>
        <v>0</v>
      </c>
      <c r="AF370" s="13">
        <f t="shared" si="152"/>
        <v>0</v>
      </c>
      <c r="AG370" s="685">
        <f t="shared" si="153"/>
        <v>0</v>
      </c>
      <c r="AH370" s="688" t="b">
        <f t="shared" si="154"/>
        <v>1</v>
      </c>
    </row>
    <row r="371" spans="1:34" s="1" customFormat="1" ht="15" customHeight="1">
      <c r="A371" s="946">
        <v>12130001</v>
      </c>
      <c r="B371" s="946" t="s">
        <v>658</v>
      </c>
      <c r="C371" s="946" t="s">
        <v>663</v>
      </c>
      <c r="D371" s="946">
        <v>100000001</v>
      </c>
      <c r="E371" s="946" t="s">
        <v>33</v>
      </c>
      <c r="F371" s="946" t="s">
        <v>11</v>
      </c>
      <c r="G371" s="947">
        <v>-925.82</v>
      </c>
      <c r="H371" s="947">
        <v>-925.82</v>
      </c>
      <c r="I371" s="948"/>
      <c r="J371" s="948"/>
      <c r="K371" s="948"/>
      <c r="L371" s="29" t="e">
        <f>VLOOKUP(A371,'Account Mapping'!$A$2:$E$216,3,0)</f>
        <v>#N/A</v>
      </c>
      <c r="M371" s="25" t="e">
        <f>VLOOKUP(A371,'Account Mapping'!$A$2:$E$216,4,0)</f>
        <v>#N/A</v>
      </c>
      <c r="N371" s="26" t="e">
        <f>IF(OR(C371='Account Mapping'!$H$4,C371='Account Mapping'!$H$5,C371='Account Mapping'!$H$6),'Account Mapping'!$I$4,VLOOKUP(A371,'Account Mapping'!$A$2:$E$216,5,0))</f>
        <v>#N/A</v>
      </c>
      <c r="O371" s="27" t="e">
        <f>IF(OR(L371="Loan",L371="Deposit_Liability",L371="OFF_Unused Loan Commitment",L371="HQLA"),VLOOKUP(D371,'Customer Type'!$A$3:$C$38,3,0),"")</f>
        <v>#N/A</v>
      </c>
      <c r="P371" s="656" t="e">
        <f t="shared" si="142"/>
        <v>#N/A</v>
      </c>
      <c r="Q371" s="658">
        <f>IF(COUNTIF('Account Mapping'!$H$12:$H$45,A371)&gt;0,-H371,H371)</f>
        <v>-925.82</v>
      </c>
      <c r="R371" s="249" t="e">
        <f>VLOOKUP(P371,Assumptions!$C$2:$D$64,2,0)</f>
        <v>#N/A</v>
      </c>
      <c r="S371" s="692" t="str">
        <f>IFERROR(VLOOKUP(A371,'Maturity Adjustment'!$A$3:$C$81,3,0),(IF(J371&lt;$N$4,"Tomorrow",J371)))</f>
        <v>Tomorrow</v>
      </c>
      <c r="T371" s="190">
        <f t="shared" si="156"/>
        <v>1</v>
      </c>
      <c r="U371" s="196" t="e">
        <f t="shared" si="143"/>
        <v>#N/A</v>
      </c>
      <c r="V371" s="11" t="str">
        <f>IFERROR(VLOOKUP(A371,'Maturity Adjustment'!$A$86:$C$91,3,0),S371)</f>
        <v>Tomorrow</v>
      </c>
      <c r="W371" s="12" t="e">
        <f>VLOOKUP(A371,'Account Mapping'!$A$2:$F$216,6,0)</f>
        <v>#N/A</v>
      </c>
      <c r="X371" s="194">
        <f t="shared" si="144"/>
        <v>-925.82</v>
      </c>
      <c r="Y371" s="194">
        <f t="shared" si="145"/>
        <v>0</v>
      </c>
      <c r="Z371" s="13">
        <f t="shared" si="146"/>
        <v>0</v>
      </c>
      <c r="AA371" s="13">
        <f t="shared" si="147"/>
        <v>0</v>
      </c>
      <c r="AB371" s="13">
        <f t="shared" si="148"/>
        <v>0</v>
      </c>
      <c r="AC371" s="13">
        <f t="shared" si="149"/>
        <v>0</v>
      </c>
      <c r="AD371" s="13">
        <f t="shared" si="150"/>
        <v>0</v>
      </c>
      <c r="AE371" s="13">
        <f t="shared" si="151"/>
        <v>0</v>
      </c>
      <c r="AF371" s="13">
        <f t="shared" si="152"/>
        <v>0</v>
      </c>
      <c r="AG371" s="685">
        <f t="shared" si="153"/>
        <v>0</v>
      </c>
      <c r="AH371" s="688" t="b">
        <f t="shared" si="154"/>
        <v>1</v>
      </c>
    </row>
    <row r="372" spans="1:34" s="1" customFormat="1" ht="15" customHeight="1">
      <c r="A372" s="946">
        <v>12130001</v>
      </c>
      <c r="B372" s="946" t="s">
        <v>658</v>
      </c>
      <c r="C372" s="946" t="s">
        <v>664</v>
      </c>
      <c r="D372" s="946">
        <v>100000001</v>
      </c>
      <c r="E372" s="946" t="s">
        <v>33</v>
      </c>
      <c r="F372" s="946" t="s">
        <v>11</v>
      </c>
      <c r="G372" s="947">
        <v>-1024</v>
      </c>
      <c r="H372" s="947">
        <v>-1024</v>
      </c>
      <c r="I372" s="948"/>
      <c r="J372" s="948"/>
      <c r="K372" s="948"/>
      <c r="L372" s="29" t="e">
        <f>VLOOKUP(A372,'Account Mapping'!$A$2:$E$216,3,0)</f>
        <v>#N/A</v>
      </c>
      <c r="M372" s="25" t="e">
        <f>VLOOKUP(A372,'Account Mapping'!$A$2:$E$216,4,0)</f>
        <v>#N/A</v>
      </c>
      <c r="N372" s="26" t="e">
        <f>IF(OR(C372='Account Mapping'!$H$4,C372='Account Mapping'!$H$5,C372='Account Mapping'!$H$6),'Account Mapping'!$I$4,VLOOKUP(A372,'Account Mapping'!$A$2:$E$216,5,0))</f>
        <v>#N/A</v>
      </c>
      <c r="O372" s="27" t="e">
        <f>IF(OR(L372="Loan",L372="Deposit_Liability",L372="OFF_Unused Loan Commitment",L372="HQLA"),VLOOKUP(D372,'Customer Type'!$A$3:$C$38,3,0),"")</f>
        <v>#N/A</v>
      </c>
      <c r="P372" s="656" t="e">
        <f t="shared" si="142"/>
        <v>#N/A</v>
      </c>
      <c r="Q372" s="658">
        <f>IF(COUNTIF('Account Mapping'!$H$12:$H$45,A372)&gt;0,-H372,H372)</f>
        <v>-1024</v>
      </c>
      <c r="R372" s="249" t="e">
        <f>VLOOKUP(P372,Assumptions!$C$2:$D$64,2,0)</f>
        <v>#N/A</v>
      </c>
      <c r="S372" s="692" t="str">
        <f>IFERROR(VLOOKUP(A372,'Maturity Adjustment'!$A$3:$C$81,3,0),(IF(J372&lt;$N$4,"Tomorrow",J372)))</f>
        <v>Tomorrow</v>
      </c>
      <c r="T372" s="190">
        <f>IF(S372="Tomorrow",1,(S372-$N$4))</f>
        <v>1</v>
      </c>
      <c r="U372" s="196" t="e">
        <f t="shared" si="143"/>
        <v>#N/A</v>
      </c>
      <c r="V372" s="11" t="str">
        <f>IFERROR(VLOOKUP(A372,'Maturity Adjustment'!$A$86:$C$91,3,0),S372)</f>
        <v>Tomorrow</v>
      </c>
      <c r="W372" s="12" t="e">
        <f>VLOOKUP(A372,'Account Mapping'!$A$2:$F$216,6,0)</f>
        <v>#N/A</v>
      </c>
      <c r="X372" s="194">
        <f t="shared" si="144"/>
        <v>-1024</v>
      </c>
      <c r="Y372" s="194">
        <f t="shared" si="145"/>
        <v>0</v>
      </c>
      <c r="Z372" s="13">
        <f t="shared" si="146"/>
        <v>0</v>
      </c>
      <c r="AA372" s="13">
        <f t="shared" si="147"/>
        <v>0</v>
      </c>
      <c r="AB372" s="13">
        <f t="shared" si="148"/>
        <v>0</v>
      </c>
      <c r="AC372" s="13">
        <f t="shared" si="149"/>
        <v>0</v>
      </c>
      <c r="AD372" s="13">
        <f t="shared" si="150"/>
        <v>0</v>
      </c>
      <c r="AE372" s="13">
        <f t="shared" si="151"/>
        <v>0</v>
      </c>
      <c r="AF372" s="13">
        <f t="shared" si="152"/>
        <v>0</v>
      </c>
      <c r="AG372" s="685">
        <f t="shared" si="153"/>
        <v>0</v>
      </c>
      <c r="AH372" s="688" t="b">
        <f t="shared" si="154"/>
        <v>1</v>
      </c>
    </row>
    <row r="373" spans="1:34" s="1" customFormat="1" ht="15" customHeight="1">
      <c r="A373" s="946">
        <v>12130001</v>
      </c>
      <c r="B373" s="946" t="s">
        <v>658</v>
      </c>
      <c r="C373" s="946" t="s">
        <v>665</v>
      </c>
      <c r="D373" s="946">
        <v>100000001</v>
      </c>
      <c r="E373" s="946" t="s">
        <v>33</v>
      </c>
      <c r="F373" s="946" t="s">
        <v>11</v>
      </c>
      <c r="G373" s="947">
        <v>-925.82</v>
      </c>
      <c r="H373" s="947">
        <v>-925.82</v>
      </c>
      <c r="I373" s="948"/>
      <c r="J373" s="948"/>
      <c r="K373" s="948"/>
      <c r="L373" s="29" t="e">
        <f>VLOOKUP(A373,'Account Mapping'!$A$2:$E$216,3,0)</f>
        <v>#N/A</v>
      </c>
      <c r="M373" s="25" t="e">
        <f>VLOOKUP(A373,'Account Mapping'!$A$2:$E$216,4,0)</f>
        <v>#N/A</v>
      </c>
      <c r="N373" s="26" t="e">
        <f>IF(OR(C373='Account Mapping'!$H$4,C373='Account Mapping'!$H$5,C373='Account Mapping'!$H$6),'Account Mapping'!$I$4,VLOOKUP(A373,'Account Mapping'!$A$2:$E$216,5,0))</f>
        <v>#N/A</v>
      </c>
      <c r="O373" s="27" t="e">
        <f>IF(OR(L373="Loan",L373="Deposit_Liability",L373="OFF_Unused Loan Commitment",L373="HQLA"),VLOOKUP(D373,'Customer Type'!$A$3:$C$38,3,0),"")</f>
        <v>#N/A</v>
      </c>
      <c r="P373" s="656" t="e">
        <f t="shared" si="142"/>
        <v>#N/A</v>
      </c>
      <c r="Q373" s="658">
        <f>IF(COUNTIF('Account Mapping'!$H$12:$H$45,A373)&gt;0,-H373,H373)</f>
        <v>-925.82</v>
      </c>
      <c r="R373" s="249" t="e">
        <f>VLOOKUP(P373,Assumptions!$C$2:$D$64,2,0)</f>
        <v>#N/A</v>
      </c>
      <c r="S373" s="692" t="str">
        <f>IFERROR(VLOOKUP(A373,'Maturity Adjustment'!$A$3:$C$81,3,0),(IF(J373&lt;$N$4,"Tomorrow",J373)))</f>
        <v>Tomorrow</v>
      </c>
      <c r="T373" s="190">
        <f t="shared" si="156"/>
        <v>1</v>
      </c>
      <c r="U373" s="196" t="e">
        <f t="shared" si="143"/>
        <v>#N/A</v>
      </c>
      <c r="V373" s="11" t="str">
        <f>IFERROR(VLOOKUP(A373,'Maturity Adjustment'!$A$86:$C$91,3,0),S373)</f>
        <v>Tomorrow</v>
      </c>
      <c r="W373" s="12" t="e">
        <f>VLOOKUP(A373,'Account Mapping'!$A$2:$F$216,6,0)</f>
        <v>#N/A</v>
      </c>
      <c r="X373" s="194">
        <f t="shared" si="144"/>
        <v>-925.82</v>
      </c>
      <c r="Y373" s="194">
        <f t="shared" si="145"/>
        <v>0</v>
      </c>
      <c r="Z373" s="13">
        <f t="shared" si="146"/>
        <v>0</v>
      </c>
      <c r="AA373" s="13">
        <f t="shared" si="147"/>
        <v>0</v>
      </c>
      <c r="AB373" s="13">
        <f t="shared" si="148"/>
        <v>0</v>
      </c>
      <c r="AC373" s="13">
        <f t="shared" si="149"/>
        <v>0</v>
      </c>
      <c r="AD373" s="13">
        <f t="shared" si="150"/>
        <v>0</v>
      </c>
      <c r="AE373" s="13">
        <f t="shared" si="151"/>
        <v>0</v>
      </c>
      <c r="AF373" s="13">
        <f t="shared" si="152"/>
        <v>0</v>
      </c>
      <c r="AG373" s="685">
        <f t="shared" si="153"/>
        <v>0</v>
      </c>
      <c r="AH373" s="688" t="b">
        <f t="shared" si="154"/>
        <v>1</v>
      </c>
    </row>
    <row r="374" spans="1:34" s="1" customFormat="1" ht="15" customHeight="1">
      <c r="A374" s="946">
        <v>12130001</v>
      </c>
      <c r="B374" s="946" t="s">
        <v>658</v>
      </c>
      <c r="C374" s="946" t="s">
        <v>666</v>
      </c>
      <c r="D374" s="946">
        <v>100000001</v>
      </c>
      <c r="E374" s="946" t="s">
        <v>33</v>
      </c>
      <c r="F374" s="946" t="s">
        <v>11</v>
      </c>
      <c r="G374" s="947">
        <v>-1023.9</v>
      </c>
      <c r="H374" s="947">
        <v>-1023.9</v>
      </c>
      <c r="I374" s="948"/>
      <c r="J374" s="948"/>
      <c r="K374" s="948"/>
      <c r="L374" s="29" t="e">
        <f>VLOOKUP(A374,'Account Mapping'!$A$2:$E$216,3,0)</f>
        <v>#N/A</v>
      </c>
      <c r="M374" s="25" t="e">
        <f>VLOOKUP(A374,'Account Mapping'!$A$2:$E$216,4,0)</f>
        <v>#N/A</v>
      </c>
      <c r="N374" s="26" t="e">
        <f>IF(OR(C374='Account Mapping'!$H$4,C374='Account Mapping'!$H$5,C374='Account Mapping'!$H$6),'Account Mapping'!$I$4,VLOOKUP(A374,'Account Mapping'!$A$2:$E$216,5,0))</f>
        <v>#N/A</v>
      </c>
      <c r="O374" s="27" t="e">
        <f>IF(OR(L374="Loan",L374="Deposit_Liability",L374="OFF_Unused Loan Commitment",L374="HQLA"),VLOOKUP(D374,'Customer Type'!$A$3:$C$38,3,0),"")</f>
        <v>#N/A</v>
      </c>
      <c r="P374" s="656" t="e">
        <f t="shared" si="142"/>
        <v>#N/A</v>
      </c>
      <c r="Q374" s="658">
        <f>IF(COUNTIF('Account Mapping'!$H$12:$H$45,A374)&gt;0,-H374,H374)</f>
        <v>-1023.9</v>
      </c>
      <c r="R374" s="249" t="e">
        <f>VLOOKUP(P374,Assumptions!$C$2:$D$64,2,0)</f>
        <v>#N/A</v>
      </c>
      <c r="S374" s="692" t="str">
        <f>IFERROR(VLOOKUP(A374,'Maturity Adjustment'!$A$3:$C$81,3,0),(IF(J374&lt;$N$4,"Tomorrow",J374)))</f>
        <v>Tomorrow</v>
      </c>
      <c r="T374" s="190">
        <f t="shared" si="156"/>
        <v>1</v>
      </c>
      <c r="U374" s="196" t="e">
        <f t="shared" si="143"/>
        <v>#N/A</v>
      </c>
      <c r="V374" s="11" t="str">
        <f>IFERROR(VLOOKUP(A374,'Maturity Adjustment'!$A$86:$C$91,3,0),S374)</f>
        <v>Tomorrow</v>
      </c>
      <c r="W374" s="12" t="e">
        <f>VLOOKUP(A374,'Account Mapping'!$A$2:$F$216,6,0)</f>
        <v>#N/A</v>
      </c>
      <c r="X374" s="194">
        <f t="shared" si="144"/>
        <v>-1023.9</v>
      </c>
      <c r="Y374" s="194">
        <f t="shared" si="145"/>
        <v>0</v>
      </c>
      <c r="Z374" s="13">
        <f t="shared" si="146"/>
        <v>0</v>
      </c>
      <c r="AA374" s="13">
        <f t="shared" si="147"/>
        <v>0</v>
      </c>
      <c r="AB374" s="13">
        <f t="shared" si="148"/>
        <v>0</v>
      </c>
      <c r="AC374" s="13">
        <f t="shared" si="149"/>
        <v>0</v>
      </c>
      <c r="AD374" s="13">
        <f t="shared" si="150"/>
        <v>0</v>
      </c>
      <c r="AE374" s="13">
        <f t="shared" si="151"/>
        <v>0</v>
      </c>
      <c r="AF374" s="13">
        <f t="shared" si="152"/>
        <v>0</v>
      </c>
      <c r="AG374" s="685">
        <f t="shared" si="153"/>
        <v>0</v>
      </c>
      <c r="AH374" s="688" t="b">
        <f t="shared" si="154"/>
        <v>1</v>
      </c>
    </row>
    <row r="375" spans="1:34" s="1" customFormat="1" ht="15" customHeight="1">
      <c r="A375" s="946">
        <v>12130001</v>
      </c>
      <c r="B375" s="946" t="s">
        <v>658</v>
      </c>
      <c r="C375" s="946" t="s">
        <v>667</v>
      </c>
      <c r="D375" s="946">
        <v>100000001</v>
      </c>
      <c r="E375" s="946" t="s">
        <v>33</v>
      </c>
      <c r="F375" s="946" t="s">
        <v>11</v>
      </c>
      <c r="G375" s="947">
        <v>-925.82</v>
      </c>
      <c r="H375" s="947">
        <v>-925.82</v>
      </c>
      <c r="I375" s="948"/>
      <c r="J375" s="948"/>
      <c r="K375" s="948"/>
      <c r="L375" s="29" t="e">
        <f>VLOOKUP(A375,'Account Mapping'!$A$2:$E$216,3,0)</f>
        <v>#N/A</v>
      </c>
      <c r="M375" s="25" t="e">
        <f>VLOOKUP(A375,'Account Mapping'!$A$2:$E$216,4,0)</f>
        <v>#N/A</v>
      </c>
      <c r="N375" s="26" t="e">
        <f>IF(OR(C375='Account Mapping'!$H$4,C375='Account Mapping'!$H$5,C375='Account Mapping'!$H$6),'Account Mapping'!$I$4,VLOOKUP(A375,'Account Mapping'!$A$2:$E$216,5,0))</f>
        <v>#N/A</v>
      </c>
      <c r="O375" s="27" t="e">
        <f>IF(OR(L375="Loan",L375="Deposit_Liability",L375="OFF_Unused Loan Commitment",L375="HQLA"),VLOOKUP(D375,'Customer Type'!$A$3:$C$38,3,0),"")</f>
        <v>#N/A</v>
      </c>
      <c r="P375" s="656" t="e">
        <f t="shared" si="142"/>
        <v>#N/A</v>
      </c>
      <c r="Q375" s="658">
        <f>IF(COUNTIF('Account Mapping'!$H$12:$H$45,A375)&gt;0,-H375,H375)</f>
        <v>-925.82</v>
      </c>
      <c r="R375" s="249" t="e">
        <f>VLOOKUP(P375,Assumptions!$C$2:$D$64,2,0)</f>
        <v>#N/A</v>
      </c>
      <c r="S375" s="692" t="str">
        <f>IFERROR(VLOOKUP(A375,'Maturity Adjustment'!$A$3:$C$81,3,0),(IF(J375&lt;$N$4,"Tomorrow",J375)))</f>
        <v>Tomorrow</v>
      </c>
      <c r="T375" s="190">
        <f>IF(S375="Tomorrow",1,(S375-$N$4))</f>
        <v>1</v>
      </c>
      <c r="U375" s="196" t="e">
        <f t="shared" si="143"/>
        <v>#N/A</v>
      </c>
      <c r="V375" s="11" t="str">
        <f>IFERROR(VLOOKUP(A375,'Maturity Adjustment'!$A$86:$C$91,3,0),S375)</f>
        <v>Tomorrow</v>
      </c>
      <c r="W375" s="12" t="e">
        <f>VLOOKUP(A375,'Account Mapping'!$A$2:$F$216,6,0)</f>
        <v>#N/A</v>
      </c>
      <c r="X375" s="194">
        <f t="shared" si="144"/>
        <v>-925.82</v>
      </c>
      <c r="Y375" s="194">
        <f t="shared" si="145"/>
        <v>0</v>
      </c>
      <c r="Z375" s="13">
        <f t="shared" si="146"/>
        <v>0</v>
      </c>
      <c r="AA375" s="13">
        <f t="shared" si="147"/>
        <v>0</v>
      </c>
      <c r="AB375" s="13">
        <f t="shared" si="148"/>
        <v>0</v>
      </c>
      <c r="AC375" s="13">
        <f t="shared" si="149"/>
        <v>0</v>
      </c>
      <c r="AD375" s="13">
        <f t="shared" si="150"/>
        <v>0</v>
      </c>
      <c r="AE375" s="13">
        <f t="shared" si="151"/>
        <v>0</v>
      </c>
      <c r="AF375" s="13">
        <f t="shared" si="152"/>
        <v>0</v>
      </c>
      <c r="AG375" s="685">
        <f t="shared" si="153"/>
        <v>0</v>
      </c>
      <c r="AH375" s="688" t="b">
        <f t="shared" si="154"/>
        <v>1</v>
      </c>
    </row>
    <row r="376" spans="1:34" s="1" customFormat="1" ht="15" customHeight="1">
      <c r="A376" s="946">
        <v>12130001</v>
      </c>
      <c r="B376" s="946" t="s">
        <v>658</v>
      </c>
      <c r="C376" s="946" t="s">
        <v>668</v>
      </c>
      <c r="D376" s="946">
        <v>100000001</v>
      </c>
      <c r="E376" s="946" t="s">
        <v>33</v>
      </c>
      <c r="F376" s="946" t="s">
        <v>11</v>
      </c>
      <c r="G376" s="947">
        <v>-925.82</v>
      </c>
      <c r="H376" s="947">
        <v>-925.82</v>
      </c>
      <c r="I376" s="948"/>
      <c r="J376" s="948"/>
      <c r="K376" s="948"/>
      <c r="L376" s="29" t="e">
        <f>VLOOKUP(A376,'Account Mapping'!$A$2:$E$216,3,0)</f>
        <v>#N/A</v>
      </c>
      <c r="M376" s="25" t="e">
        <f>VLOOKUP(A376,'Account Mapping'!$A$2:$E$216,4,0)</f>
        <v>#N/A</v>
      </c>
      <c r="N376" s="26" t="e">
        <f>IF(OR(C376='Account Mapping'!$H$4,C376='Account Mapping'!$H$5,C376='Account Mapping'!$H$6),'Account Mapping'!$I$4,VLOOKUP(A376,'Account Mapping'!$A$2:$E$216,5,0))</f>
        <v>#N/A</v>
      </c>
      <c r="O376" s="27" t="e">
        <f>IF(OR(L376="Loan",L376="Deposit_Liability",L376="OFF_Unused Loan Commitment",L376="HQLA"),VLOOKUP(D376,'Customer Type'!$A$3:$C$38,3,0),"")</f>
        <v>#N/A</v>
      </c>
      <c r="P376" s="656" t="e">
        <f t="shared" si="142"/>
        <v>#N/A</v>
      </c>
      <c r="Q376" s="658">
        <f>IF(COUNTIF('Account Mapping'!$H$12:$H$45,A376)&gt;0,-H376,H376)</f>
        <v>-925.82</v>
      </c>
      <c r="R376" s="249" t="e">
        <f>VLOOKUP(P376,Assumptions!$C$2:$D$64,2,0)</f>
        <v>#N/A</v>
      </c>
      <c r="S376" s="692" t="str">
        <f>IFERROR(VLOOKUP(A376,'Maturity Adjustment'!$A$3:$C$81,3,0),(IF(J376&lt;$N$4,"Tomorrow",J376)))</f>
        <v>Tomorrow</v>
      </c>
      <c r="T376" s="190">
        <f>IF(S376="Tomorrow",1,(S376-$N$4))</f>
        <v>1</v>
      </c>
      <c r="U376" s="196" t="e">
        <f t="shared" si="143"/>
        <v>#N/A</v>
      </c>
      <c r="V376" s="11" t="str">
        <f>IFERROR(VLOOKUP(A376,'Maturity Adjustment'!$A$86:$C$91,3,0),S376)</f>
        <v>Tomorrow</v>
      </c>
      <c r="W376" s="12" t="e">
        <f>VLOOKUP(A376,'Account Mapping'!$A$2:$F$216,6,0)</f>
        <v>#N/A</v>
      </c>
      <c r="X376" s="194">
        <f t="shared" si="144"/>
        <v>-925.82</v>
      </c>
      <c r="Y376" s="194">
        <f t="shared" si="145"/>
        <v>0</v>
      </c>
      <c r="Z376" s="13">
        <f t="shared" si="146"/>
        <v>0</v>
      </c>
      <c r="AA376" s="13">
        <f t="shared" si="147"/>
        <v>0</v>
      </c>
      <c r="AB376" s="13">
        <f t="shared" si="148"/>
        <v>0</v>
      </c>
      <c r="AC376" s="13">
        <f t="shared" si="149"/>
        <v>0</v>
      </c>
      <c r="AD376" s="13">
        <f t="shared" si="150"/>
        <v>0</v>
      </c>
      <c r="AE376" s="13">
        <f t="shared" si="151"/>
        <v>0</v>
      </c>
      <c r="AF376" s="13">
        <f t="shared" si="152"/>
        <v>0</v>
      </c>
      <c r="AG376" s="685">
        <f t="shared" si="153"/>
        <v>0</v>
      </c>
      <c r="AH376" s="688" t="b">
        <f t="shared" si="154"/>
        <v>1</v>
      </c>
    </row>
    <row r="377" spans="1:34" s="1" customFormat="1" ht="15" customHeight="1">
      <c r="A377" s="946">
        <v>12130001</v>
      </c>
      <c r="B377" s="946" t="s">
        <v>658</v>
      </c>
      <c r="C377" s="946" t="s">
        <v>669</v>
      </c>
      <c r="D377" s="946">
        <v>100000001</v>
      </c>
      <c r="E377" s="946" t="s">
        <v>33</v>
      </c>
      <c r="F377" s="946" t="s">
        <v>11</v>
      </c>
      <c r="G377" s="947">
        <v>-1023.9</v>
      </c>
      <c r="H377" s="947">
        <v>-1023.9</v>
      </c>
      <c r="I377" s="948"/>
      <c r="J377" s="948"/>
      <c r="K377" s="948"/>
      <c r="L377" s="29" t="e">
        <f>VLOOKUP(A377,'Account Mapping'!$A$2:$E$216,3,0)</f>
        <v>#N/A</v>
      </c>
      <c r="M377" s="25" t="e">
        <f>VLOOKUP(A377,'Account Mapping'!$A$2:$E$216,4,0)</f>
        <v>#N/A</v>
      </c>
      <c r="N377" s="26" t="e">
        <f>IF(OR(C377='Account Mapping'!$H$4,C377='Account Mapping'!$H$5,C377='Account Mapping'!$H$6),'Account Mapping'!$I$4,VLOOKUP(A377,'Account Mapping'!$A$2:$E$216,5,0))</f>
        <v>#N/A</v>
      </c>
      <c r="O377" s="27" t="e">
        <f>IF(OR(L377="Loan",L377="Deposit_Liability",L377="OFF_Unused Loan Commitment",L377="HQLA"),VLOOKUP(D377,'Customer Type'!$A$3:$C$38,3,0),"")</f>
        <v>#N/A</v>
      </c>
      <c r="P377" s="656" t="e">
        <f t="shared" si="142"/>
        <v>#N/A</v>
      </c>
      <c r="Q377" s="658">
        <f>IF(COUNTIF('Account Mapping'!$H$12:$H$45,A377)&gt;0,-H377,H377)</f>
        <v>-1023.9</v>
      </c>
      <c r="R377" s="249" t="e">
        <f>VLOOKUP(P377,Assumptions!$C$2:$D$64,2,0)</f>
        <v>#N/A</v>
      </c>
      <c r="S377" s="692" t="str">
        <f>IFERROR(VLOOKUP(A377,'Maturity Adjustment'!$A$3:$C$81,3,0),(IF(J377&lt;$N$4,"Tomorrow",J377)))</f>
        <v>Tomorrow</v>
      </c>
      <c r="T377" s="190">
        <f>IF(S377="Tomorrow",1,(S377-$N$4))</f>
        <v>1</v>
      </c>
      <c r="U377" s="196" t="e">
        <f t="shared" si="143"/>
        <v>#N/A</v>
      </c>
      <c r="V377" s="11" t="str">
        <f>IFERROR(VLOOKUP(A377,'Maturity Adjustment'!$A$86:$C$91,3,0),S377)</f>
        <v>Tomorrow</v>
      </c>
      <c r="W377" s="12" t="e">
        <f>VLOOKUP(A377,'Account Mapping'!$A$2:$F$216,6,0)</f>
        <v>#N/A</v>
      </c>
      <c r="X377" s="194">
        <f t="shared" si="144"/>
        <v>-1023.9</v>
      </c>
      <c r="Y377" s="194">
        <f t="shared" si="145"/>
        <v>0</v>
      </c>
      <c r="Z377" s="13">
        <f t="shared" si="146"/>
        <v>0</v>
      </c>
      <c r="AA377" s="13">
        <f t="shared" si="147"/>
        <v>0</v>
      </c>
      <c r="AB377" s="13">
        <f t="shared" si="148"/>
        <v>0</v>
      </c>
      <c r="AC377" s="13">
        <f t="shared" si="149"/>
        <v>0</v>
      </c>
      <c r="AD377" s="13">
        <f t="shared" si="150"/>
        <v>0</v>
      </c>
      <c r="AE377" s="13">
        <f t="shared" si="151"/>
        <v>0</v>
      </c>
      <c r="AF377" s="13">
        <f t="shared" si="152"/>
        <v>0</v>
      </c>
      <c r="AG377" s="685">
        <f t="shared" si="153"/>
        <v>0</v>
      </c>
      <c r="AH377" s="688" t="b">
        <f t="shared" si="154"/>
        <v>1</v>
      </c>
    </row>
    <row r="378" spans="1:34" s="1" customFormat="1" ht="15" customHeight="1">
      <c r="A378" s="946">
        <v>12130001</v>
      </c>
      <c r="B378" s="946" t="s">
        <v>658</v>
      </c>
      <c r="C378" s="946" t="s">
        <v>670</v>
      </c>
      <c r="D378" s="946">
        <v>100000001</v>
      </c>
      <c r="E378" s="946" t="s">
        <v>33</v>
      </c>
      <c r="F378" s="946" t="s">
        <v>11</v>
      </c>
      <c r="G378" s="947">
        <v>-998.99</v>
      </c>
      <c r="H378" s="947">
        <v>-998.99</v>
      </c>
      <c r="I378" s="948"/>
      <c r="J378" s="948"/>
      <c r="K378" s="948"/>
      <c r="L378" s="29" t="e">
        <f>VLOOKUP(A378,'Account Mapping'!$A$2:$E$216,3,0)</f>
        <v>#N/A</v>
      </c>
      <c r="M378" s="25" t="e">
        <f>VLOOKUP(A378,'Account Mapping'!$A$2:$E$216,4,0)</f>
        <v>#N/A</v>
      </c>
      <c r="N378" s="26" t="e">
        <f>IF(OR(C378='Account Mapping'!$H$4,C378='Account Mapping'!$H$5,C378='Account Mapping'!$H$6),'Account Mapping'!$I$4,VLOOKUP(A378,'Account Mapping'!$A$2:$E$216,5,0))</f>
        <v>#N/A</v>
      </c>
      <c r="O378" s="27" t="e">
        <f>IF(OR(L378="Loan",L378="Deposit_Liability",L378="OFF_Unused Loan Commitment",L378="HQLA"),VLOOKUP(D378,'Customer Type'!$A$3:$C$38,3,0),"")</f>
        <v>#N/A</v>
      </c>
      <c r="P378" s="656" t="e">
        <f t="shared" si="142"/>
        <v>#N/A</v>
      </c>
      <c r="Q378" s="658">
        <f>IF(COUNTIF('Account Mapping'!$H$12:$H$45,A378)&gt;0,-H378,H378)</f>
        <v>-998.99</v>
      </c>
      <c r="R378" s="249" t="e">
        <f>VLOOKUP(P378,Assumptions!$C$2:$D$64,2,0)</f>
        <v>#N/A</v>
      </c>
      <c r="S378" s="692" t="str">
        <f>IFERROR(VLOOKUP(A378,'Maturity Adjustment'!$A$3:$C$81,3,0),(IF(J378&lt;$N$4,"Tomorrow",J378)))</f>
        <v>Tomorrow</v>
      </c>
      <c r="T378" s="190">
        <f>IF(S378="Tomorrow",1,(S378-$N$4))</f>
        <v>1</v>
      </c>
      <c r="U378" s="196" t="e">
        <f t="shared" si="143"/>
        <v>#N/A</v>
      </c>
      <c r="V378" s="11" t="str">
        <f>IFERROR(VLOOKUP(A378,'Maturity Adjustment'!$A$86:$C$91,3,0),S378)</f>
        <v>Tomorrow</v>
      </c>
      <c r="W378" s="12" t="e">
        <f>VLOOKUP(A378,'Account Mapping'!$A$2:$F$216,6,0)</f>
        <v>#N/A</v>
      </c>
      <c r="X378" s="194">
        <f t="shared" si="144"/>
        <v>-998.99</v>
      </c>
      <c r="Y378" s="194">
        <f t="shared" si="145"/>
        <v>0</v>
      </c>
      <c r="Z378" s="13">
        <f t="shared" si="146"/>
        <v>0</v>
      </c>
      <c r="AA378" s="13">
        <f t="shared" si="147"/>
        <v>0</v>
      </c>
      <c r="AB378" s="13">
        <f t="shared" si="148"/>
        <v>0</v>
      </c>
      <c r="AC378" s="13">
        <f t="shared" si="149"/>
        <v>0</v>
      </c>
      <c r="AD378" s="13">
        <f t="shared" si="150"/>
        <v>0</v>
      </c>
      <c r="AE378" s="13">
        <f t="shared" si="151"/>
        <v>0</v>
      </c>
      <c r="AF378" s="13">
        <f t="shared" si="152"/>
        <v>0</v>
      </c>
      <c r="AG378" s="685">
        <f t="shared" si="153"/>
        <v>0</v>
      </c>
      <c r="AH378" s="688" t="b">
        <f t="shared" si="154"/>
        <v>1</v>
      </c>
    </row>
    <row r="379" spans="1:34" s="1" customFormat="1" ht="15" customHeight="1">
      <c r="A379" s="946">
        <v>12130001</v>
      </c>
      <c r="B379" s="946" t="s">
        <v>658</v>
      </c>
      <c r="C379" s="946" t="s">
        <v>671</v>
      </c>
      <c r="D379" s="946">
        <v>100000001</v>
      </c>
      <c r="E379" s="946" t="s">
        <v>33</v>
      </c>
      <c r="F379" s="946" t="s">
        <v>11</v>
      </c>
      <c r="G379" s="947">
        <v>-951.93</v>
      </c>
      <c r="H379" s="947">
        <v>-951.93</v>
      </c>
      <c r="I379" s="948"/>
      <c r="J379" s="948"/>
      <c r="K379" s="948"/>
      <c r="L379" s="29" t="e">
        <f>VLOOKUP(A379,'Account Mapping'!$A$2:$E$216,3,0)</f>
        <v>#N/A</v>
      </c>
      <c r="M379" s="25" t="e">
        <f>VLOOKUP(A379,'Account Mapping'!$A$2:$E$216,4,0)</f>
        <v>#N/A</v>
      </c>
      <c r="N379" s="26" t="e">
        <f>IF(OR(C379='Account Mapping'!$H$4,C379='Account Mapping'!$H$5,C379='Account Mapping'!$H$6),'Account Mapping'!$I$4,VLOOKUP(A379,'Account Mapping'!$A$2:$E$216,5,0))</f>
        <v>#N/A</v>
      </c>
      <c r="O379" s="27" t="e">
        <f>IF(OR(L379="Loan",L379="Deposit_Liability",L379="OFF_Unused Loan Commitment",L379="HQLA"),VLOOKUP(D379,'Customer Type'!$A$3:$C$38,3,0),"")</f>
        <v>#N/A</v>
      </c>
      <c r="P379" s="656" t="e">
        <f t="shared" si="142"/>
        <v>#N/A</v>
      </c>
      <c r="Q379" s="658">
        <f>IF(COUNTIF('Account Mapping'!$H$12:$H$45,A379)&gt;0,-H379,H379)</f>
        <v>-951.93</v>
      </c>
      <c r="R379" s="249" t="e">
        <f>VLOOKUP(P379,Assumptions!$C$2:$D$64,2,0)</f>
        <v>#N/A</v>
      </c>
      <c r="S379" s="692" t="str">
        <f>IFERROR(VLOOKUP(A379,'Maturity Adjustment'!$A$3:$C$81,3,0),(IF(J379&lt;$N$4,"Tomorrow",J379)))</f>
        <v>Tomorrow</v>
      </c>
      <c r="T379" s="190">
        <f>IF(S379="Tomorrow",1,(S379-$N$4))</f>
        <v>1</v>
      </c>
      <c r="U379" s="196" t="e">
        <f t="shared" si="143"/>
        <v>#N/A</v>
      </c>
      <c r="V379" s="11" t="str">
        <f>IFERROR(VLOOKUP(A379,'Maturity Adjustment'!$A$86:$C$91,3,0),S379)</f>
        <v>Tomorrow</v>
      </c>
      <c r="W379" s="12" t="e">
        <f>VLOOKUP(A379,'Account Mapping'!$A$2:$F$216,6,0)</f>
        <v>#N/A</v>
      </c>
      <c r="X379" s="194">
        <f t="shared" si="144"/>
        <v>-951.93</v>
      </c>
      <c r="Y379" s="194">
        <f t="shared" si="145"/>
        <v>0</v>
      </c>
      <c r="Z379" s="13">
        <f t="shared" si="146"/>
        <v>0</v>
      </c>
      <c r="AA379" s="13">
        <f t="shared" si="147"/>
        <v>0</v>
      </c>
      <c r="AB379" s="13">
        <f t="shared" si="148"/>
        <v>0</v>
      </c>
      <c r="AC379" s="13">
        <f t="shared" si="149"/>
        <v>0</v>
      </c>
      <c r="AD379" s="13">
        <f t="shared" si="150"/>
        <v>0</v>
      </c>
      <c r="AE379" s="13">
        <f t="shared" si="151"/>
        <v>0</v>
      </c>
      <c r="AF379" s="13">
        <f t="shared" si="152"/>
        <v>0</v>
      </c>
      <c r="AG379" s="685">
        <f t="shared" si="153"/>
        <v>0</v>
      </c>
      <c r="AH379" s="688" t="b">
        <f t="shared" si="154"/>
        <v>1</v>
      </c>
    </row>
    <row r="380" spans="1:34" s="1" customFormat="1" ht="15" customHeight="1">
      <c r="A380" s="946">
        <v>12130001</v>
      </c>
      <c r="B380" s="946" t="s">
        <v>658</v>
      </c>
      <c r="C380" s="946" t="s">
        <v>672</v>
      </c>
      <c r="D380" s="946">
        <v>100000001</v>
      </c>
      <c r="E380" s="946" t="s">
        <v>33</v>
      </c>
      <c r="F380" s="946" t="s">
        <v>11</v>
      </c>
      <c r="G380" s="947">
        <v>-48277</v>
      </c>
      <c r="H380" s="947">
        <v>-48277</v>
      </c>
      <c r="I380" s="948"/>
      <c r="J380" s="948"/>
      <c r="K380" s="948"/>
      <c r="L380" s="29" t="e">
        <f>VLOOKUP(A380,'Account Mapping'!$A$2:$E$216,3,0)</f>
        <v>#N/A</v>
      </c>
      <c r="M380" s="25" t="e">
        <f>VLOOKUP(A380,'Account Mapping'!$A$2:$E$216,4,0)</f>
        <v>#N/A</v>
      </c>
      <c r="N380" s="26" t="e">
        <f>IF(OR(C380='Account Mapping'!$H$4,C380='Account Mapping'!$H$5,C380='Account Mapping'!$H$6),'Account Mapping'!$I$4,VLOOKUP(A380,'Account Mapping'!$A$2:$E$216,5,0))</f>
        <v>#N/A</v>
      </c>
      <c r="O380" s="27" t="e">
        <f>IF(OR(L380="Loan",L380="Deposit_Liability",L380="OFF_Unused Loan Commitment",L380="HQLA"),VLOOKUP(D380,'Customer Type'!$A$3:$C$38,3,0),"")</f>
        <v>#N/A</v>
      </c>
      <c r="P380" s="656" t="e">
        <f t="shared" si="142"/>
        <v>#N/A</v>
      </c>
      <c r="Q380" s="658">
        <f>IF(COUNTIF('Account Mapping'!$H$12:$H$45,A380)&gt;0,-H380,H380)</f>
        <v>-48277</v>
      </c>
      <c r="R380" s="249" t="e">
        <f>VLOOKUP(P380,Assumptions!$C$2:$D$64,2,0)</f>
        <v>#N/A</v>
      </c>
      <c r="S380" s="692" t="str">
        <f>IFERROR(VLOOKUP(A380,'Maturity Adjustment'!$A$3:$C$81,3,0),(IF(J380&lt;$N$4,"Tomorrow",J380)))</f>
        <v>Tomorrow</v>
      </c>
      <c r="T380" s="190">
        <f t="shared" ref="T380:T386" si="157">IF(S380="Tomorrow",1,(S380-$N$4))</f>
        <v>1</v>
      </c>
      <c r="U380" s="196" t="e">
        <f t="shared" si="143"/>
        <v>#N/A</v>
      </c>
      <c r="V380" s="11" t="str">
        <f>IFERROR(VLOOKUP(A380,'Maturity Adjustment'!$A$86:$C$91,3,0),S380)</f>
        <v>Tomorrow</v>
      </c>
      <c r="W380" s="12" t="e">
        <f>VLOOKUP(A380,'Account Mapping'!$A$2:$F$216,6,0)</f>
        <v>#N/A</v>
      </c>
      <c r="X380" s="194">
        <f t="shared" si="144"/>
        <v>-48277</v>
      </c>
      <c r="Y380" s="194">
        <f t="shared" si="145"/>
        <v>0</v>
      </c>
      <c r="Z380" s="13">
        <f t="shared" si="146"/>
        <v>0</v>
      </c>
      <c r="AA380" s="13">
        <f t="shared" si="147"/>
        <v>0</v>
      </c>
      <c r="AB380" s="13">
        <f t="shared" si="148"/>
        <v>0</v>
      </c>
      <c r="AC380" s="13">
        <f t="shared" si="149"/>
        <v>0</v>
      </c>
      <c r="AD380" s="13">
        <f t="shared" si="150"/>
        <v>0</v>
      </c>
      <c r="AE380" s="13">
        <f t="shared" si="151"/>
        <v>0</v>
      </c>
      <c r="AF380" s="13">
        <f t="shared" si="152"/>
        <v>0</v>
      </c>
      <c r="AG380" s="685">
        <f t="shared" si="153"/>
        <v>0</v>
      </c>
      <c r="AH380" s="688" t="b">
        <f t="shared" si="154"/>
        <v>1</v>
      </c>
    </row>
    <row r="381" spans="1:34" s="1" customFormat="1" ht="15" customHeight="1">
      <c r="A381" s="946">
        <v>12310002</v>
      </c>
      <c r="B381" s="946" t="s">
        <v>603</v>
      </c>
      <c r="C381" s="946" t="s">
        <v>604</v>
      </c>
      <c r="D381" s="946">
        <v>100000001</v>
      </c>
      <c r="E381" s="946" t="s">
        <v>33</v>
      </c>
      <c r="F381" s="946" t="s">
        <v>11</v>
      </c>
      <c r="G381" s="947">
        <v>-2512.84</v>
      </c>
      <c r="H381" s="947">
        <v>-2512.84</v>
      </c>
      <c r="I381" s="948">
        <v>44621</v>
      </c>
      <c r="J381" s="948">
        <v>45961</v>
      </c>
      <c r="K381" s="948"/>
      <c r="L381" s="29" t="e">
        <f>VLOOKUP(A381,'Account Mapping'!$A$2:$E$216,3,0)</f>
        <v>#N/A</v>
      </c>
      <c r="M381" s="25" t="e">
        <f>VLOOKUP(A381,'Account Mapping'!$A$2:$E$216,4,0)</f>
        <v>#N/A</v>
      </c>
      <c r="N381" s="26" t="e">
        <f>IF(OR(C381='Account Mapping'!$H$4,C381='Account Mapping'!$H$5,C381='Account Mapping'!$H$6),'Account Mapping'!$I$4,VLOOKUP(A381,'Account Mapping'!$A$2:$E$216,5,0))</f>
        <v>#N/A</v>
      </c>
      <c r="O381" s="27" t="e">
        <f>IF(OR(L381="Loan",L381="Deposit_Liability",L381="OFF_Unused Loan Commitment",L381="HQLA"),VLOOKUP(D381,'Customer Type'!$A$3:$C$38,3,0),"")</f>
        <v>#N/A</v>
      </c>
      <c r="P381" s="656" t="e">
        <f t="shared" si="142"/>
        <v>#N/A</v>
      </c>
      <c r="Q381" s="658">
        <f>IF(COUNTIF('Account Mapping'!$H$12:$H$45,A381)&gt;0,-H381,H381)</f>
        <v>-2512.84</v>
      </c>
      <c r="R381" s="249" t="e">
        <f>VLOOKUP(P381,Assumptions!$C$2:$D$64,2,0)</f>
        <v>#N/A</v>
      </c>
      <c r="S381" s="692" t="str">
        <f>IFERROR(VLOOKUP(A381,'Maturity Adjustment'!$A$3:$C$81,3,0),(IF(J381&lt;$N$4,"Tomorrow",J381)))</f>
        <v>Tomorrow</v>
      </c>
      <c r="T381" s="190">
        <f t="shared" si="157"/>
        <v>1</v>
      </c>
      <c r="U381" s="196" t="e">
        <f t="shared" si="143"/>
        <v>#N/A</v>
      </c>
      <c r="V381" s="11" t="str">
        <f>IFERROR(VLOOKUP(A381,'Maturity Adjustment'!$A$86:$C$91,3,0),S381)</f>
        <v>Tomorrow</v>
      </c>
      <c r="W381" s="12" t="e">
        <f>VLOOKUP(A381,'Account Mapping'!$A$2:$F$216,6,0)</f>
        <v>#N/A</v>
      </c>
      <c r="X381" s="194">
        <f t="shared" si="144"/>
        <v>-2512.84</v>
      </c>
      <c r="Y381" s="194">
        <f t="shared" si="145"/>
        <v>0</v>
      </c>
      <c r="Z381" s="13">
        <f t="shared" si="146"/>
        <v>0</v>
      </c>
      <c r="AA381" s="13">
        <f t="shared" si="147"/>
        <v>0</v>
      </c>
      <c r="AB381" s="13">
        <f t="shared" si="148"/>
        <v>0</v>
      </c>
      <c r="AC381" s="13">
        <f t="shared" si="149"/>
        <v>0</v>
      </c>
      <c r="AD381" s="13">
        <f t="shared" si="150"/>
        <v>0</v>
      </c>
      <c r="AE381" s="13">
        <f t="shared" si="151"/>
        <v>0</v>
      </c>
      <c r="AF381" s="13">
        <f t="shared" si="152"/>
        <v>0</v>
      </c>
      <c r="AG381" s="685">
        <f t="shared" si="153"/>
        <v>0</v>
      </c>
      <c r="AH381" s="688" t="b">
        <f t="shared" si="154"/>
        <v>1</v>
      </c>
    </row>
    <row r="382" spans="1:34" s="1" customFormat="1" ht="15" customHeight="1">
      <c r="A382" s="946">
        <v>12310002</v>
      </c>
      <c r="B382" s="946" t="s">
        <v>603</v>
      </c>
      <c r="C382" s="946" t="s">
        <v>605</v>
      </c>
      <c r="D382" s="946">
        <v>100000001</v>
      </c>
      <c r="E382" s="946" t="s">
        <v>33</v>
      </c>
      <c r="F382" s="946" t="s">
        <v>11</v>
      </c>
      <c r="G382" s="947">
        <v>-1396.12</v>
      </c>
      <c r="H382" s="947">
        <v>-1396.12</v>
      </c>
      <c r="I382" s="948">
        <v>44621</v>
      </c>
      <c r="J382" s="948">
        <v>45961</v>
      </c>
      <c r="K382" s="948"/>
      <c r="L382" s="29" t="e">
        <f>VLOOKUP(A382,'Account Mapping'!$A$2:$E$216,3,0)</f>
        <v>#N/A</v>
      </c>
      <c r="M382" s="25" t="e">
        <f>VLOOKUP(A382,'Account Mapping'!$A$2:$E$216,4,0)</f>
        <v>#N/A</v>
      </c>
      <c r="N382" s="26" t="e">
        <f>IF(OR(C382='Account Mapping'!$H$4,C382='Account Mapping'!$H$5,C382='Account Mapping'!$H$6),'Account Mapping'!$I$4,VLOOKUP(A382,'Account Mapping'!$A$2:$E$216,5,0))</f>
        <v>#N/A</v>
      </c>
      <c r="O382" s="27" t="e">
        <f>IF(OR(L382="Loan",L382="Deposit_Liability",L382="OFF_Unused Loan Commitment",L382="HQLA"),VLOOKUP(D382,'Customer Type'!$A$3:$C$38,3,0),"")</f>
        <v>#N/A</v>
      </c>
      <c r="P382" s="656" t="e">
        <f t="shared" si="142"/>
        <v>#N/A</v>
      </c>
      <c r="Q382" s="658">
        <f>IF(COUNTIF('Account Mapping'!$H$12:$H$45,A382)&gt;0,-H382,H382)</f>
        <v>-1396.12</v>
      </c>
      <c r="R382" s="249" t="e">
        <f>VLOOKUP(P382,Assumptions!$C$2:$D$64,2,0)</f>
        <v>#N/A</v>
      </c>
      <c r="S382" s="692" t="str">
        <f>IFERROR(VLOOKUP(A382,'Maturity Adjustment'!$A$3:$C$81,3,0),(IF(J382&lt;$N$4,"Tomorrow",J382)))</f>
        <v>Tomorrow</v>
      </c>
      <c r="T382" s="190">
        <f t="shared" si="157"/>
        <v>1</v>
      </c>
      <c r="U382" s="196" t="e">
        <f t="shared" si="143"/>
        <v>#N/A</v>
      </c>
      <c r="V382" s="11" t="str">
        <f>IFERROR(VLOOKUP(A382,'Maturity Adjustment'!$A$86:$C$91,3,0),S382)</f>
        <v>Tomorrow</v>
      </c>
      <c r="W382" s="12" t="e">
        <f>VLOOKUP(A382,'Account Mapping'!$A$2:$F$216,6,0)</f>
        <v>#N/A</v>
      </c>
      <c r="X382" s="194">
        <f t="shared" si="144"/>
        <v>-1396.12</v>
      </c>
      <c r="Y382" s="194">
        <f t="shared" si="145"/>
        <v>0</v>
      </c>
      <c r="Z382" s="13">
        <f t="shared" si="146"/>
        <v>0</v>
      </c>
      <c r="AA382" s="13">
        <f t="shared" si="147"/>
        <v>0</v>
      </c>
      <c r="AB382" s="13">
        <f t="shared" si="148"/>
        <v>0</v>
      </c>
      <c r="AC382" s="13">
        <f t="shared" si="149"/>
        <v>0</v>
      </c>
      <c r="AD382" s="13">
        <f t="shared" si="150"/>
        <v>0</v>
      </c>
      <c r="AE382" s="13">
        <f t="shared" si="151"/>
        <v>0</v>
      </c>
      <c r="AF382" s="13">
        <f t="shared" si="152"/>
        <v>0</v>
      </c>
      <c r="AG382" s="685">
        <f t="shared" si="153"/>
        <v>0</v>
      </c>
      <c r="AH382" s="688" t="b">
        <f t="shared" si="154"/>
        <v>1</v>
      </c>
    </row>
    <row r="383" spans="1:34" s="1" customFormat="1" ht="15" customHeight="1">
      <c r="A383" s="946">
        <v>12310002</v>
      </c>
      <c r="B383" s="946" t="s">
        <v>603</v>
      </c>
      <c r="C383" s="946" t="s">
        <v>606</v>
      </c>
      <c r="D383" s="946">
        <v>100000001</v>
      </c>
      <c r="E383" s="946" t="s">
        <v>33</v>
      </c>
      <c r="F383" s="946" t="s">
        <v>11</v>
      </c>
      <c r="G383" s="947">
        <v>-9939.6</v>
      </c>
      <c r="H383" s="947">
        <v>-9939.6</v>
      </c>
      <c r="I383" s="949">
        <v>44621</v>
      </c>
      <c r="J383" s="949">
        <v>45961</v>
      </c>
      <c r="K383" s="948"/>
      <c r="L383" s="29" t="e">
        <f>VLOOKUP(A383,'Account Mapping'!$A$2:$E$216,3,0)</f>
        <v>#N/A</v>
      </c>
      <c r="M383" s="25" t="e">
        <f>VLOOKUP(A383,'Account Mapping'!$A$2:$E$216,4,0)</f>
        <v>#N/A</v>
      </c>
      <c r="N383" s="26" t="e">
        <f>IF(OR(C383='Account Mapping'!$H$4,C383='Account Mapping'!$H$5,C383='Account Mapping'!$H$6),'Account Mapping'!$I$4,VLOOKUP(A383,'Account Mapping'!$A$2:$E$216,5,0))</f>
        <v>#N/A</v>
      </c>
      <c r="O383" s="27" t="e">
        <f>IF(OR(L383="Loan",L383="Deposit_Liability",L383="OFF_Unused Loan Commitment",L383="HQLA"),VLOOKUP(D383,'Customer Type'!$A$3:$C$38,3,0),"")</f>
        <v>#N/A</v>
      </c>
      <c r="P383" s="656" t="e">
        <f t="shared" si="142"/>
        <v>#N/A</v>
      </c>
      <c r="Q383" s="658">
        <f>IF(COUNTIF('Account Mapping'!$H$12:$H$45,A383)&gt;0,-H383,H383)</f>
        <v>-9939.6</v>
      </c>
      <c r="R383" s="249" t="e">
        <f>VLOOKUP(P383,Assumptions!$C$2:$D$64,2,0)</f>
        <v>#N/A</v>
      </c>
      <c r="S383" s="692" t="str">
        <f>IFERROR(VLOOKUP(A383,'Maturity Adjustment'!$A$3:$C$81,3,0),(IF(J383&lt;$N$4,"Tomorrow",J383)))</f>
        <v>Tomorrow</v>
      </c>
      <c r="T383" s="190">
        <f t="shared" si="157"/>
        <v>1</v>
      </c>
      <c r="U383" s="196" t="e">
        <f t="shared" si="143"/>
        <v>#N/A</v>
      </c>
      <c r="V383" s="11" t="str">
        <f>IFERROR(VLOOKUP(A383,'Maturity Adjustment'!$A$86:$C$91,3,0),S383)</f>
        <v>Tomorrow</v>
      </c>
      <c r="W383" s="12" t="e">
        <f>VLOOKUP(A383,'Account Mapping'!$A$2:$F$216,6,0)</f>
        <v>#N/A</v>
      </c>
      <c r="X383" s="194">
        <f t="shared" si="144"/>
        <v>-9939.6</v>
      </c>
      <c r="Y383" s="194">
        <f t="shared" si="145"/>
        <v>0</v>
      </c>
      <c r="Z383" s="13">
        <f t="shared" si="146"/>
        <v>0</v>
      </c>
      <c r="AA383" s="13">
        <f t="shared" si="147"/>
        <v>0</v>
      </c>
      <c r="AB383" s="13">
        <f t="shared" si="148"/>
        <v>0</v>
      </c>
      <c r="AC383" s="13">
        <f t="shared" si="149"/>
        <v>0</v>
      </c>
      <c r="AD383" s="13">
        <f t="shared" si="150"/>
        <v>0</v>
      </c>
      <c r="AE383" s="13">
        <f t="shared" si="151"/>
        <v>0</v>
      </c>
      <c r="AF383" s="13">
        <f t="shared" si="152"/>
        <v>0</v>
      </c>
      <c r="AG383" s="685">
        <f t="shared" si="153"/>
        <v>0</v>
      </c>
      <c r="AH383" s="688" t="b">
        <f t="shared" si="154"/>
        <v>1</v>
      </c>
    </row>
    <row r="384" spans="1:34" s="1" customFormat="1" ht="15" customHeight="1">
      <c r="A384" s="946">
        <v>12310002</v>
      </c>
      <c r="B384" s="946" t="s">
        <v>603</v>
      </c>
      <c r="C384" s="946" t="s">
        <v>607</v>
      </c>
      <c r="D384" s="946">
        <v>100000001</v>
      </c>
      <c r="E384" s="946" t="s">
        <v>33</v>
      </c>
      <c r="F384" s="946" t="s">
        <v>11</v>
      </c>
      <c r="G384" s="947">
        <v>-2588.4299999999998</v>
      </c>
      <c r="H384" s="947">
        <v>-2588.4299999999998</v>
      </c>
      <c r="I384" s="949">
        <v>44621</v>
      </c>
      <c r="J384" s="949">
        <v>45961</v>
      </c>
      <c r="K384" s="948"/>
      <c r="L384" s="29" t="e">
        <f>VLOOKUP(A384,'Account Mapping'!$A$2:$E$216,3,0)</f>
        <v>#N/A</v>
      </c>
      <c r="M384" s="25" t="e">
        <f>VLOOKUP(A384,'Account Mapping'!$A$2:$E$216,4,0)</f>
        <v>#N/A</v>
      </c>
      <c r="N384" s="26" t="e">
        <f>IF(OR(C384='Account Mapping'!$H$4,C384='Account Mapping'!$H$5,C384='Account Mapping'!$H$6),'Account Mapping'!$I$4,VLOOKUP(A384,'Account Mapping'!$A$2:$E$216,5,0))</f>
        <v>#N/A</v>
      </c>
      <c r="O384" s="27" t="e">
        <f>IF(OR(L384="Loan",L384="Deposit_Liability",L384="OFF_Unused Loan Commitment",L384="HQLA"),VLOOKUP(D384,'Customer Type'!$A$3:$C$38,3,0),"")</f>
        <v>#N/A</v>
      </c>
      <c r="P384" s="656" t="e">
        <f t="shared" si="142"/>
        <v>#N/A</v>
      </c>
      <c r="Q384" s="658">
        <f>IF(COUNTIF('Account Mapping'!$H$12:$H$45,A384)&gt;0,-H384,H384)</f>
        <v>-2588.4299999999998</v>
      </c>
      <c r="R384" s="249" t="e">
        <f>VLOOKUP(P384,Assumptions!$C$2:$D$64,2,0)</f>
        <v>#N/A</v>
      </c>
      <c r="S384" s="692" t="str">
        <f>IFERROR(VLOOKUP(A384,'Maturity Adjustment'!$A$3:$C$81,3,0),(IF(J384&lt;$N$4,"Tomorrow",J384)))</f>
        <v>Tomorrow</v>
      </c>
      <c r="T384" s="190">
        <f t="shared" si="157"/>
        <v>1</v>
      </c>
      <c r="U384" s="196" t="e">
        <f t="shared" si="143"/>
        <v>#N/A</v>
      </c>
      <c r="V384" s="11" t="str">
        <f>IFERROR(VLOOKUP(A384,'Maturity Adjustment'!$A$86:$C$91,3,0),S384)</f>
        <v>Tomorrow</v>
      </c>
      <c r="W384" s="12" t="e">
        <f>VLOOKUP(A384,'Account Mapping'!$A$2:$F$216,6,0)</f>
        <v>#N/A</v>
      </c>
      <c r="X384" s="194">
        <f t="shared" si="144"/>
        <v>-2588.4299999999998</v>
      </c>
      <c r="Y384" s="194">
        <f t="shared" si="145"/>
        <v>0</v>
      </c>
      <c r="Z384" s="13">
        <f t="shared" si="146"/>
        <v>0</v>
      </c>
      <c r="AA384" s="13">
        <f t="shared" si="147"/>
        <v>0</v>
      </c>
      <c r="AB384" s="13">
        <f t="shared" si="148"/>
        <v>0</v>
      </c>
      <c r="AC384" s="13">
        <f t="shared" si="149"/>
        <v>0</v>
      </c>
      <c r="AD384" s="13">
        <f t="shared" si="150"/>
        <v>0</v>
      </c>
      <c r="AE384" s="13">
        <f t="shared" si="151"/>
        <v>0</v>
      </c>
      <c r="AF384" s="13">
        <f t="shared" si="152"/>
        <v>0</v>
      </c>
      <c r="AG384" s="685">
        <f t="shared" si="153"/>
        <v>0</v>
      </c>
      <c r="AH384" s="688" t="b">
        <f t="shared" si="154"/>
        <v>1</v>
      </c>
    </row>
    <row r="385" spans="1:34" s="1" customFormat="1" ht="15" customHeight="1">
      <c r="A385" s="946">
        <v>12310002</v>
      </c>
      <c r="B385" s="946" t="s">
        <v>603</v>
      </c>
      <c r="C385" s="946" t="s">
        <v>608</v>
      </c>
      <c r="D385" s="946">
        <v>100000001</v>
      </c>
      <c r="E385" s="946" t="s">
        <v>33</v>
      </c>
      <c r="F385" s="946" t="s">
        <v>11</v>
      </c>
      <c r="G385" s="947">
        <v>-2019.88</v>
      </c>
      <c r="H385" s="947">
        <v>-2019.88</v>
      </c>
      <c r="I385" s="949">
        <v>44621</v>
      </c>
      <c r="J385" s="949">
        <v>45961</v>
      </c>
      <c r="K385" s="948"/>
      <c r="L385" s="29" t="e">
        <f>VLOOKUP(A385,'Account Mapping'!$A$2:$E$216,3,0)</f>
        <v>#N/A</v>
      </c>
      <c r="M385" s="25" t="e">
        <f>VLOOKUP(A385,'Account Mapping'!$A$2:$E$216,4,0)</f>
        <v>#N/A</v>
      </c>
      <c r="N385" s="26" t="e">
        <f>IF(OR(C385='Account Mapping'!$H$4,C385='Account Mapping'!$H$5,C385='Account Mapping'!$H$6),'Account Mapping'!$I$4,VLOOKUP(A385,'Account Mapping'!$A$2:$E$216,5,0))</f>
        <v>#N/A</v>
      </c>
      <c r="O385" s="27" t="e">
        <f>IF(OR(L385="Loan",L385="Deposit_Liability",L385="OFF_Unused Loan Commitment",L385="HQLA"),VLOOKUP(D385,'Customer Type'!$A$3:$C$38,3,0),"")</f>
        <v>#N/A</v>
      </c>
      <c r="P385" s="656" t="e">
        <f t="shared" si="142"/>
        <v>#N/A</v>
      </c>
      <c r="Q385" s="658">
        <f>IF(COUNTIF('Account Mapping'!$H$12:$H$45,A385)&gt;0,-H385,H385)</f>
        <v>-2019.88</v>
      </c>
      <c r="R385" s="249" t="e">
        <f>VLOOKUP(P385,Assumptions!$C$2:$D$64,2,0)</f>
        <v>#N/A</v>
      </c>
      <c r="S385" s="692" t="str">
        <f>IFERROR(VLOOKUP(A385,'Maturity Adjustment'!$A$3:$C$81,3,0),(IF(J385&lt;$N$4,"Tomorrow",J385)))</f>
        <v>Tomorrow</v>
      </c>
      <c r="T385" s="190">
        <f t="shared" si="157"/>
        <v>1</v>
      </c>
      <c r="U385" s="196" t="e">
        <f t="shared" si="143"/>
        <v>#N/A</v>
      </c>
      <c r="V385" s="11" t="str">
        <f>IFERROR(VLOOKUP(A385,'Maturity Adjustment'!$A$86:$C$91,3,0),S385)</f>
        <v>Tomorrow</v>
      </c>
      <c r="W385" s="12" t="e">
        <f>VLOOKUP(A385,'Account Mapping'!$A$2:$F$216,6,0)</f>
        <v>#N/A</v>
      </c>
      <c r="X385" s="194">
        <f t="shared" si="144"/>
        <v>-2019.88</v>
      </c>
      <c r="Y385" s="194">
        <f t="shared" si="145"/>
        <v>0</v>
      </c>
      <c r="Z385" s="13">
        <f t="shared" si="146"/>
        <v>0</v>
      </c>
      <c r="AA385" s="13">
        <f t="shared" si="147"/>
        <v>0</v>
      </c>
      <c r="AB385" s="13">
        <f t="shared" si="148"/>
        <v>0</v>
      </c>
      <c r="AC385" s="13">
        <f t="shared" si="149"/>
        <v>0</v>
      </c>
      <c r="AD385" s="13">
        <f t="shared" si="150"/>
        <v>0</v>
      </c>
      <c r="AE385" s="13">
        <f t="shared" si="151"/>
        <v>0</v>
      </c>
      <c r="AF385" s="13">
        <f t="shared" si="152"/>
        <v>0</v>
      </c>
      <c r="AG385" s="685">
        <f t="shared" si="153"/>
        <v>0</v>
      </c>
      <c r="AH385" s="688" t="b">
        <f t="shared" si="154"/>
        <v>1</v>
      </c>
    </row>
    <row r="386" spans="1:34" s="1" customFormat="1" ht="15" customHeight="1">
      <c r="A386" s="946">
        <v>12310002</v>
      </c>
      <c r="B386" s="946" t="s">
        <v>603</v>
      </c>
      <c r="C386" s="946" t="s">
        <v>609</v>
      </c>
      <c r="D386" s="946">
        <v>100000001</v>
      </c>
      <c r="E386" s="946" t="s">
        <v>33</v>
      </c>
      <c r="F386" s="946" t="s">
        <v>11</v>
      </c>
      <c r="G386" s="947">
        <v>-2801.67</v>
      </c>
      <c r="H386" s="947">
        <v>-2801.67</v>
      </c>
      <c r="I386" s="949">
        <v>44621</v>
      </c>
      <c r="J386" s="949">
        <v>46387</v>
      </c>
      <c r="K386" s="948"/>
      <c r="L386" s="29" t="e">
        <f>VLOOKUP(A386,'Account Mapping'!$A$2:$E$216,3,0)</f>
        <v>#N/A</v>
      </c>
      <c r="M386" s="25" t="e">
        <f>VLOOKUP(A386,'Account Mapping'!$A$2:$E$216,4,0)</f>
        <v>#N/A</v>
      </c>
      <c r="N386" s="26" t="e">
        <f>IF(OR(C386='Account Mapping'!$H$4,C386='Account Mapping'!$H$5,C386='Account Mapping'!$H$6),'Account Mapping'!$I$4,VLOOKUP(A386,'Account Mapping'!$A$2:$E$216,5,0))</f>
        <v>#N/A</v>
      </c>
      <c r="O386" s="27" t="e">
        <f>IF(OR(L386="Loan",L386="Deposit_Liability",L386="OFF_Unused Loan Commitment",L386="HQLA"),VLOOKUP(D386,'Customer Type'!$A$3:$C$38,3,0),"")</f>
        <v>#N/A</v>
      </c>
      <c r="P386" s="656" t="e">
        <f t="shared" si="142"/>
        <v>#N/A</v>
      </c>
      <c r="Q386" s="658">
        <f>IF(COUNTIF('Account Mapping'!$H$12:$H$45,A386)&gt;0,-H386,H386)</f>
        <v>-2801.67</v>
      </c>
      <c r="R386" s="249" t="e">
        <f>VLOOKUP(P386,Assumptions!$C$2:$D$64,2,0)</f>
        <v>#N/A</v>
      </c>
      <c r="S386" s="692">
        <f>IFERROR(VLOOKUP(A386,'Maturity Adjustment'!$A$3:$C$81,3,0),(IF(J386&lt;$N$4,"Tomorrow",J386)))</f>
        <v>46387</v>
      </c>
      <c r="T386" s="190">
        <f t="shared" si="157"/>
        <v>329</v>
      </c>
      <c r="U386" s="196" t="e">
        <f t="shared" si="143"/>
        <v>#N/A</v>
      </c>
      <c r="V386" s="11">
        <f>IFERROR(VLOOKUP(A386,'Maturity Adjustment'!$A$86:$C$91,3,0),S386)</f>
        <v>46387</v>
      </c>
      <c r="W386" s="12" t="e">
        <f>VLOOKUP(A386,'Account Mapping'!$A$2:$F$216,6,0)</f>
        <v>#N/A</v>
      </c>
      <c r="X386" s="194">
        <f t="shared" si="144"/>
        <v>0</v>
      </c>
      <c r="Y386" s="194">
        <f t="shared" si="145"/>
        <v>0</v>
      </c>
      <c r="Z386" s="13">
        <f t="shared" si="146"/>
        <v>0</v>
      </c>
      <c r="AA386" s="13">
        <f t="shared" si="147"/>
        <v>0</v>
      </c>
      <c r="AB386" s="13">
        <f t="shared" si="148"/>
        <v>0</v>
      </c>
      <c r="AC386" s="13">
        <f t="shared" si="149"/>
        <v>-2801.67</v>
      </c>
      <c r="AD386" s="13">
        <f t="shared" si="150"/>
        <v>0</v>
      </c>
      <c r="AE386" s="13">
        <f t="shared" si="151"/>
        <v>0</v>
      </c>
      <c r="AF386" s="13">
        <f t="shared" si="152"/>
        <v>0</v>
      </c>
      <c r="AG386" s="685">
        <f t="shared" si="153"/>
        <v>0</v>
      </c>
      <c r="AH386" s="688" t="b">
        <f t="shared" si="154"/>
        <v>1</v>
      </c>
    </row>
    <row r="387" spans="1:34" s="1" customFormat="1" ht="15" customHeight="1">
      <c r="A387" s="946">
        <v>12310002</v>
      </c>
      <c r="B387" s="946" t="s">
        <v>603</v>
      </c>
      <c r="C387" s="946" t="s">
        <v>609</v>
      </c>
      <c r="D387" s="946">
        <v>100000001</v>
      </c>
      <c r="E387" s="946" t="s">
        <v>33</v>
      </c>
      <c r="F387" s="946" t="s">
        <v>11</v>
      </c>
      <c r="G387" s="947">
        <v>-11.74</v>
      </c>
      <c r="H387" s="947">
        <v>-11.74</v>
      </c>
      <c r="I387" s="949">
        <v>44621</v>
      </c>
      <c r="J387" s="949">
        <v>46387</v>
      </c>
      <c r="K387" s="948"/>
      <c r="L387" s="29" t="e">
        <f>VLOOKUP(A387,'Account Mapping'!$A$2:$E$216,3,0)</f>
        <v>#N/A</v>
      </c>
      <c r="M387" s="25" t="e">
        <f>VLOOKUP(A387,'Account Mapping'!$A$2:$E$216,4,0)</f>
        <v>#N/A</v>
      </c>
      <c r="N387" s="26" t="e">
        <f>IF(OR(C387='Account Mapping'!$H$4,C387='Account Mapping'!$H$5,C387='Account Mapping'!$H$6),'Account Mapping'!$I$4,VLOOKUP(A387,'Account Mapping'!$A$2:$E$216,5,0))</f>
        <v>#N/A</v>
      </c>
      <c r="O387" s="27" t="e">
        <f>IF(OR(L387="Loan",L387="Deposit_Liability",L387="OFF_Unused Loan Commitment",L387="HQLA"),VLOOKUP(D387,'Customer Type'!$A$3:$C$38,3,0),"")</f>
        <v>#N/A</v>
      </c>
      <c r="P387" s="656" t="e">
        <f t="shared" si="142"/>
        <v>#N/A</v>
      </c>
      <c r="Q387" s="658">
        <f>IF(COUNTIF('Account Mapping'!$H$12:$H$45,A387)&gt;0,-H387,H387)</f>
        <v>-11.74</v>
      </c>
      <c r="R387" s="249" t="e">
        <f>VLOOKUP(P387,Assumptions!$C$2:$D$64,2,0)</f>
        <v>#N/A</v>
      </c>
      <c r="S387" s="692">
        <f>IFERROR(VLOOKUP(A387,'Maturity Adjustment'!$A$3:$C$81,3,0),(IF(J387&lt;$N$4,"Tomorrow",J387)))</f>
        <v>46387</v>
      </c>
      <c r="T387" s="190">
        <f t="shared" ref="T387:T396" si="158">IF(S387="Tomorrow",1,(S387-$N$4))</f>
        <v>329</v>
      </c>
      <c r="U387" s="196" t="e">
        <f t="shared" si="143"/>
        <v>#N/A</v>
      </c>
      <c r="V387" s="11">
        <f>IFERROR(VLOOKUP(A387,'Maturity Adjustment'!$A$86:$C$91,3,0),S387)</f>
        <v>46387</v>
      </c>
      <c r="W387" s="12" t="e">
        <f>VLOOKUP(A387,'Account Mapping'!$A$2:$F$216,6,0)</f>
        <v>#N/A</v>
      </c>
      <c r="X387" s="194">
        <f t="shared" si="144"/>
        <v>0</v>
      </c>
      <c r="Y387" s="194">
        <f t="shared" si="145"/>
        <v>0</v>
      </c>
      <c r="Z387" s="13">
        <f t="shared" si="146"/>
        <v>0</v>
      </c>
      <c r="AA387" s="13">
        <f t="shared" si="147"/>
        <v>0</v>
      </c>
      <c r="AB387" s="13">
        <f t="shared" si="148"/>
        <v>0</v>
      </c>
      <c r="AC387" s="13">
        <f t="shared" si="149"/>
        <v>-11.74</v>
      </c>
      <c r="AD387" s="13">
        <f t="shared" si="150"/>
        <v>0</v>
      </c>
      <c r="AE387" s="13">
        <f t="shared" si="151"/>
        <v>0</v>
      </c>
      <c r="AF387" s="13">
        <f t="shared" si="152"/>
        <v>0</v>
      </c>
      <c r="AG387" s="685">
        <f t="shared" si="153"/>
        <v>0</v>
      </c>
      <c r="AH387" s="688" t="b">
        <f t="shared" si="154"/>
        <v>1</v>
      </c>
    </row>
    <row r="388" spans="1:34" s="1" customFormat="1" ht="15" customHeight="1">
      <c r="A388" s="946">
        <v>12310002</v>
      </c>
      <c r="B388" s="946" t="s">
        <v>603</v>
      </c>
      <c r="C388" s="946" t="s">
        <v>610</v>
      </c>
      <c r="D388" s="946">
        <v>100000001</v>
      </c>
      <c r="E388" s="946" t="s">
        <v>33</v>
      </c>
      <c r="F388" s="946" t="s">
        <v>11</v>
      </c>
      <c r="G388" s="947">
        <v>-411.68</v>
      </c>
      <c r="H388" s="947">
        <v>-411.68</v>
      </c>
      <c r="I388" s="949">
        <v>44621</v>
      </c>
      <c r="J388" s="949">
        <v>45961</v>
      </c>
      <c r="K388" s="948"/>
      <c r="L388" s="29" t="e">
        <f>VLOOKUP(A388,'Account Mapping'!$A$2:$E$216,3,0)</f>
        <v>#N/A</v>
      </c>
      <c r="M388" s="25" t="e">
        <f>VLOOKUP(A388,'Account Mapping'!$A$2:$E$216,4,0)</f>
        <v>#N/A</v>
      </c>
      <c r="N388" s="26" t="e">
        <f>IF(OR(C388='Account Mapping'!$H$4,C388='Account Mapping'!$H$5,C388='Account Mapping'!$H$6),'Account Mapping'!$I$4,VLOOKUP(A388,'Account Mapping'!$A$2:$E$216,5,0))</f>
        <v>#N/A</v>
      </c>
      <c r="O388" s="27" t="e">
        <f>IF(OR(L388="Loan",L388="Deposit_Liability",L388="OFF_Unused Loan Commitment",L388="HQLA"),VLOOKUP(D388,'Customer Type'!$A$3:$C$38,3,0),"")</f>
        <v>#N/A</v>
      </c>
      <c r="P388" s="656" t="e">
        <f t="shared" si="142"/>
        <v>#N/A</v>
      </c>
      <c r="Q388" s="658">
        <f>IF(COUNTIF('Account Mapping'!$H$12:$H$45,A388)&gt;0,-H388,H388)</f>
        <v>-411.68</v>
      </c>
      <c r="R388" s="249" t="e">
        <f>VLOOKUP(P388,Assumptions!$C$2:$D$64,2,0)</f>
        <v>#N/A</v>
      </c>
      <c r="S388" s="692" t="str">
        <f>IFERROR(VLOOKUP(A388,'Maturity Adjustment'!$A$3:$C$81,3,0),(IF(J388&lt;$N$4,"Tomorrow",J388)))</f>
        <v>Tomorrow</v>
      </c>
      <c r="T388" s="190">
        <f t="shared" si="158"/>
        <v>1</v>
      </c>
      <c r="U388" s="196" t="e">
        <f t="shared" si="143"/>
        <v>#N/A</v>
      </c>
      <c r="V388" s="11" t="str">
        <f>IFERROR(VLOOKUP(A388,'Maturity Adjustment'!$A$86:$C$91,3,0),S388)</f>
        <v>Tomorrow</v>
      </c>
      <c r="W388" s="12" t="e">
        <f>VLOOKUP(A388,'Account Mapping'!$A$2:$F$216,6,0)</f>
        <v>#N/A</v>
      </c>
      <c r="X388" s="194">
        <f t="shared" si="144"/>
        <v>-411.68</v>
      </c>
      <c r="Y388" s="194">
        <f t="shared" si="145"/>
        <v>0</v>
      </c>
      <c r="Z388" s="13">
        <f t="shared" si="146"/>
        <v>0</v>
      </c>
      <c r="AA388" s="13">
        <f t="shared" si="147"/>
        <v>0</v>
      </c>
      <c r="AB388" s="13">
        <f t="shared" si="148"/>
        <v>0</v>
      </c>
      <c r="AC388" s="13">
        <f t="shared" si="149"/>
        <v>0</v>
      </c>
      <c r="AD388" s="13">
        <f t="shared" si="150"/>
        <v>0</v>
      </c>
      <c r="AE388" s="13">
        <f t="shared" si="151"/>
        <v>0</v>
      </c>
      <c r="AF388" s="13">
        <f t="shared" si="152"/>
        <v>0</v>
      </c>
      <c r="AG388" s="685">
        <f t="shared" si="153"/>
        <v>0</v>
      </c>
      <c r="AH388" s="688" t="b">
        <f t="shared" si="154"/>
        <v>1</v>
      </c>
    </row>
    <row r="389" spans="1:34" s="1" customFormat="1" ht="15" customHeight="1">
      <c r="A389" s="946">
        <v>12310002</v>
      </c>
      <c r="B389" s="946" t="s">
        <v>603</v>
      </c>
      <c r="C389" s="946" t="s">
        <v>611</v>
      </c>
      <c r="D389" s="946">
        <v>100000001</v>
      </c>
      <c r="E389" s="946" t="s">
        <v>33</v>
      </c>
      <c r="F389" s="946" t="s">
        <v>11</v>
      </c>
      <c r="G389" s="947">
        <v>-16636.59</v>
      </c>
      <c r="H389" s="947">
        <v>-16636.59</v>
      </c>
      <c r="I389" s="949">
        <v>44621</v>
      </c>
      <c r="J389" s="949">
        <v>46387</v>
      </c>
      <c r="K389" s="948"/>
      <c r="L389" s="29" t="e">
        <f>VLOOKUP(A389,'Account Mapping'!$A$2:$E$216,3,0)</f>
        <v>#N/A</v>
      </c>
      <c r="M389" s="25" t="e">
        <f>VLOOKUP(A389,'Account Mapping'!$A$2:$E$216,4,0)</f>
        <v>#N/A</v>
      </c>
      <c r="N389" s="26" t="e">
        <f>IF(OR(C389='Account Mapping'!$H$4,C389='Account Mapping'!$H$5,C389='Account Mapping'!$H$6),'Account Mapping'!$I$4,VLOOKUP(A389,'Account Mapping'!$A$2:$E$216,5,0))</f>
        <v>#N/A</v>
      </c>
      <c r="O389" s="27" t="e">
        <f>IF(OR(L389="Loan",L389="Deposit_Liability",L389="OFF_Unused Loan Commitment",L389="HQLA"),VLOOKUP(D389,'Customer Type'!$A$3:$C$38,3,0),"")</f>
        <v>#N/A</v>
      </c>
      <c r="P389" s="656" t="e">
        <f t="shared" si="142"/>
        <v>#N/A</v>
      </c>
      <c r="Q389" s="658">
        <f>IF(COUNTIF('Account Mapping'!$H$12:$H$45,A389)&gt;0,-H389,H389)</f>
        <v>-16636.59</v>
      </c>
      <c r="R389" s="249" t="e">
        <f>VLOOKUP(P389,Assumptions!$C$2:$D$64,2,0)</f>
        <v>#N/A</v>
      </c>
      <c r="S389" s="692">
        <f>IFERROR(VLOOKUP(A389,'Maturity Adjustment'!$A$3:$C$81,3,0),(IF(J389&lt;$N$4,"Tomorrow",J389)))</f>
        <v>46387</v>
      </c>
      <c r="T389" s="190">
        <f t="shared" si="158"/>
        <v>329</v>
      </c>
      <c r="U389" s="196" t="e">
        <f t="shared" si="143"/>
        <v>#N/A</v>
      </c>
      <c r="V389" s="11">
        <f>IFERROR(VLOOKUP(A389,'Maturity Adjustment'!$A$86:$C$91,3,0),S389)</f>
        <v>46387</v>
      </c>
      <c r="W389" s="12" t="e">
        <f>VLOOKUP(A389,'Account Mapping'!$A$2:$F$216,6,0)</f>
        <v>#N/A</v>
      </c>
      <c r="X389" s="194">
        <f t="shared" si="144"/>
        <v>0</v>
      </c>
      <c r="Y389" s="194">
        <f t="shared" si="145"/>
        <v>0</v>
      </c>
      <c r="Z389" s="13">
        <f t="shared" si="146"/>
        <v>0</v>
      </c>
      <c r="AA389" s="13">
        <f t="shared" si="147"/>
        <v>0</v>
      </c>
      <c r="AB389" s="13">
        <f t="shared" si="148"/>
        <v>0</v>
      </c>
      <c r="AC389" s="13">
        <f t="shared" si="149"/>
        <v>-16636.59</v>
      </c>
      <c r="AD389" s="13">
        <f t="shared" si="150"/>
        <v>0</v>
      </c>
      <c r="AE389" s="13">
        <f t="shared" si="151"/>
        <v>0</v>
      </c>
      <c r="AF389" s="13">
        <f t="shared" si="152"/>
        <v>0</v>
      </c>
      <c r="AG389" s="685">
        <f t="shared" si="153"/>
        <v>0</v>
      </c>
      <c r="AH389" s="688" t="b">
        <f t="shared" si="154"/>
        <v>1</v>
      </c>
    </row>
    <row r="390" spans="1:34" s="1" customFormat="1" ht="15" customHeight="1">
      <c r="A390" s="946">
        <v>12310002</v>
      </c>
      <c r="B390" s="946" t="s">
        <v>603</v>
      </c>
      <c r="C390" s="946" t="s">
        <v>611</v>
      </c>
      <c r="D390" s="946">
        <v>100000001</v>
      </c>
      <c r="E390" s="946" t="s">
        <v>33</v>
      </c>
      <c r="F390" s="946" t="s">
        <v>11</v>
      </c>
      <c r="G390" s="947">
        <v>-69.709999999999994</v>
      </c>
      <c r="H390" s="947">
        <v>-69.709999999999994</v>
      </c>
      <c r="I390" s="949">
        <v>44621</v>
      </c>
      <c r="J390" s="949">
        <v>46387</v>
      </c>
      <c r="K390" s="948"/>
      <c r="L390" s="29" t="e">
        <f>VLOOKUP(A390,'Account Mapping'!$A$2:$E$216,3,0)</f>
        <v>#N/A</v>
      </c>
      <c r="M390" s="25" t="e">
        <f>VLOOKUP(A390,'Account Mapping'!$A$2:$E$216,4,0)</f>
        <v>#N/A</v>
      </c>
      <c r="N390" s="26" t="e">
        <f>IF(OR(C390='Account Mapping'!$H$4,C390='Account Mapping'!$H$5,C390='Account Mapping'!$H$6),'Account Mapping'!$I$4,VLOOKUP(A390,'Account Mapping'!$A$2:$E$216,5,0))</f>
        <v>#N/A</v>
      </c>
      <c r="O390" s="27" t="e">
        <f>IF(OR(L390="Loan",L390="Deposit_Liability",L390="OFF_Unused Loan Commitment",L390="HQLA"),VLOOKUP(D390,'Customer Type'!$A$3:$C$38,3,0),"")</f>
        <v>#N/A</v>
      </c>
      <c r="P390" s="656" t="e">
        <f t="shared" si="142"/>
        <v>#N/A</v>
      </c>
      <c r="Q390" s="658">
        <f>IF(COUNTIF('Account Mapping'!$H$12:$H$45,A390)&gt;0,-H390,H390)</f>
        <v>-69.709999999999994</v>
      </c>
      <c r="R390" s="249" t="e">
        <f>VLOOKUP(P390,Assumptions!$C$2:$D$64,2,0)</f>
        <v>#N/A</v>
      </c>
      <c r="S390" s="692">
        <f>IFERROR(VLOOKUP(A390,'Maturity Adjustment'!$A$3:$C$81,3,0),(IF(J390&lt;$N$4,"Tomorrow",J390)))</f>
        <v>46387</v>
      </c>
      <c r="T390" s="190">
        <f t="shared" si="158"/>
        <v>329</v>
      </c>
      <c r="U390" s="196" t="e">
        <f t="shared" si="143"/>
        <v>#N/A</v>
      </c>
      <c r="V390" s="11">
        <f>IFERROR(VLOOKUP(A390,'Maturity Adjustment'!$A$86:$C$91,3,0),S390)</f>
        <v>46387</v>
      </c>
      <c r="W390" s="12" t="e">
        <f>VLOOKUP(A390,'Account Mapping'!$A$2:$F$216,6,0)</f>
        <v>#N/A</v>
      </c>
      <c r="X390" s="194">
        <f t="shared" si="144"/>
        <v>0</v>
      </c>
      <c r="Y390" s="194">
        <f t="shared" si="145"/>
        <v>0</v>
      </c>
      <c r="Z390" s="13">
        <f t="shared" si="146"/>
        <v>0</v>
      </c>
      <c r="AA390" s="13">
        <f t="shared" si="147"/>
        <v>0</v>
      </c>
      <c r="AB390" s="13">
        <f t="shared" si="148"/>
        <v>0</v>
      </c>
      <c r="AC390" s="13">
        <f t="shared" si="149"/>
        <v>-69.709999999999994</v>
      </c>
      <c r="AD390" s="13">
        <f t="shared" si="150"/>
        <v>0</v>
      </c>
      <c r="AE390" s="13">
        <f t="shared" si="151"/>
        <v>0</v>
      </c>
      <c r="AF390" s="13">
        <f t="shared" si="152"/>
        <v>0</v>
      </c>
      <c r="AG390" s="685">
        <f t="shared" si="153"/>
        <v>0</v>
      </c>
      <c r="AH390" s="688" t="b">
        <f t="shared" si="154"/>
        <v>1</v>
      </c>
    </row>
    <row r="391" spans="1:34" s="1" customFormat="1" ht="15" customHeight="1">
      <c r="A391" s="946">
        <v>12310002</v>
      </c>
      <c r="B391" s="946" t="s">
        <v>603</v>
      </c>
      <c r="C391" s="946" t="s">
        <v>612</v>
      </c>
      <c r="D391" s="946">
        <v>100000001</v>
      </c>
      <c r="E391" s="946" t="s">
        <v>33</v>
      </c>
      <c r="F391" s="946" t="s">
        <v>11</v>
      </c>
      <c r="G391" s="947">
        <v>-1217.8399999999999</v>
      </c>
      <c r="H391" s="947">
        <v>-1217.8399999999999</v>
      </c>
      <c r="I391" s="949">
        <v>44621</v>
      </c>
      <c r="J391" s="949">
        <v>45961</v>
      </c>
      <c r="K391" s="948"/>
      <c r="L391" s="29" t="e">
        <f>VLOOKUP(A391,'Account Mapping'!$A$2:$E$216,3,0)</f>
        <v>#N/A</v>
      </c>
      <c r="M391" s="25" t="e">
        <f>VLOOKUP(A391,'Account Mapping'!$A$2:$E$216,4,0)</f>
        <v>#N/A</v>
      </c>
      <c r="N391" s="26" t="e">
        <f>IF(OR(C391='Account Mapping'!$H$4,C391='Account Mapping'!$H$5,C391='Account Mapping'!$H$6),'Account Mapping'!$I$4,VLOOKUP(A391,'Account Mapping'!$A$2:$E$216,5,0))</f>
        <v>#N/A</v>
      </c>
      <c r="O391" s="27" t="e">
        <f>IF(OR(L391="Loan",L391="Deposit_Liability",L391="OFF_Unused Loan Commitment",L391="HQLA"),VLOOKUP(D391,'Customer Type'!$A$3:$C$38,3,0),"")</f>
        <v>#N/A</v>
      </c>
      <c r="P391" s="656" t="e">
        <f t="shared" si="142"/>
        <v>#N/A</v>
      </c>
      <c r="Q391" s="658">
        <f>IF(COUNTIF('Account Mapping'!$H$12:$H$45,A391)&gt;0,-H391,H391)</f>
        <v>-1217.8399999999999</v>
      </c>
      <c r="R391" s="249" t="e">
        <f>VLOOKUP(P391,Assumptions!$C$2:$D$64,2,0)</f>
        <v>#N/A</v>
      </c>
      <c r="S391" s="692" t="str">
        <f>IFERROR(VLOOKUP(A391,'Maturity Adjustment'!$A$3:$C$81,3,0),(IF(J391&lt;$N$4,"Tomorrow",J391)))</f>
        <v>Tomorrow</v>
      </c>
      <c r="T391" s="190">
        <f t="shared" si="158"/>
        <v>1</v>
      </c>
      <c r="U391" s="196" t="e">
        <f t="shared" si="143"/>
        <v>#N/A</v>
      </c>
      <c r="V391" s="11" t="str">
        <f>IFERROR(VLOOKUP(A391,'Maturity Adjustment'!$A$86:$C$91,3,0),S391)</f>
        <v>Tomorrow</v>
      </c>
      <c r="W391" s="12" t="e">
        <f>VLOOKUP(A391,'Account Mapping'!$A$2:$F$216,6,0)</f>
        <v>#N/A</v>
      </c>
      <c r="X391" s="194">
        <f t="shared" si="144"/>
        <v>-1217.8399999999999</v>
      </c>
      <c r="Y391" s="194">
        <f t="shared" si="145"/>
        <v>0</v>
      </c>
      <c r="Z391" s="13">
        <f t="shared" si="146"/>
        <v>0</v>
      </c>
      <c r="AA391" s="13">
        <f t="shared" si="147"/>
        <v>0</v>
      </c>
      <c r="AB391" s="13">
        <f t="shared" si="148"/>
        <v>0</v>
      </c>
      <c r="AC391" s="13">
        <f t="shared" si="149"/>
        <v>0</v>
      </c>
      <c r="AD391" s="13">
        <f t="shared" si="150"/>
        <v>0</v>
      </c>
      <c r="AE391" s="13">
        <f t="shared" si="151"/>
        <v>0</v>
      </c>
      <c r="AF391" s="13">
        <f t="shared" si="152"/>
        <v>0</v>
      </c>
      <c r="AG391" s="685">
        <f t="shared" si="153"/>
        <v>0</v>
      </c>
      <c r="AH391" s="688" t="b">
        <f t="shared" si="154"/>
        <v>1</v>
      </c>
    </row>
    <row r="392" spans="1:34" s="1" customFormat="1" ht="15" customHeight="1">
      <c r="A392" s="946">
        <v>12310002</v>
      </c>
      <c r="B392" s="946" t="s">
        <v>603</v>
      </c>
      <c r="C392" s="946" t="s">
        <v>613</v>
      </c>
      <c r="D392" s="946">
        <v>100000001</v>
      </c>
      <c r="E392" s="946" t="s">
        <v>33</v>
      </c>
      <c r="F392" s="946" t="s">
        <v>11</v>
      </c>
      <c r="G392" s="947">
        <v>-361.43</v>
      </c>
      <c r="H392" s="947">
        <v>-361.43</v>
      </c>
      <c r="I392" s="949">
        <v>44621</v>
      </c>
      <c r="J392" s="949">
        <v>46387</v>
      </c>
      <c r="K392" s="948"/>
      <c r="L392" s="29" t="e">
        <f>VLOOKUP(A392,'Account Mapping'!$A$2:$E$216,3,0)</f>
        <v>#N/A</v>
      </c>
      <c r="M392" s="25" t="e">
        <f>VLOOKUP(A392,'Account Mapping'!$A$2:$E$216,4,0)</f>
        <v>#N/A</v>
      </c>
      <c r="N392" s="26" t="e">
        <f>IF(OR(C392='Account Mapping'!$H$4,C392='Account Mapping'!$H$5,C392='Account Mapping'!$H$6),'Account Mapping'!$I$4,VLOOKUP(A392,'Account Mapping'!$A$2:$E$216,5,0))</f>
        <v>#N/A</v>
      </c>
      <c r="O392" s="27" t="e">
        <f>IF(OR(L392="Loan",L392="Deposit_Liability",L392="OFF_Unused Loan Commitment",L392="HQLA"),VLOOKUP(D392,'Customer Type'!$A$3:$C$38,3,0),"")</f>
        <v>#N/A</v>
      </c>
      <c r="P392" s="656" t="e">
        <f t="shared" ref="P392:P455" si="159">M392&amp;"_"&amp;O392</f>
        <v>#N/A</v>
      </c>
      <c r="Q392" s="658">
        <f>IF(COUNTIF('Account Mapping'!$H$12:$H$45,A392)&gt;0,-H392,H392)</f>
        <v>-361.43</v>
      </c>
      <c r="R392" s="249" t="e">
        <f>VLOOKUP(P392,Assumptions!$C$2:$D$64,2,0)</f>
        <v>#N/A</v>
      </c>
      <c r="S392" s="692">
        <f>IFERROR(VLOOKUP(A392,'Maturity Adjustment'!$A$3:$C$81,3,0),(IF(J392&lt;$N$4,"Tomorrow",J392)))</f>
        <v>46387</v>
      </c>
      <c r="T392" s="190">
        <f t="shared" si="158"/>
        <v>329</v>
      </c>
      <c r="U392" s="196" t="e">
        <f t="shared" ref="U392:U455" si="160">Q392*R392</f>
        <v>#N/A</v>
      </c>
      <c r="V392" s="11">
        <f>IFERROR(VLOOKUP(A392,'Maturity Adjustment'!$A$86:$C$91,3,0),S392)</f>
        <v>46387</v>
      </c>
      <c r="W392" s="12" t="e">
        <f>VLOOKUP(A392,'Account Mapping'!$A$2:$F$216,6,0)</f>
        <v>#N/A</v>
      </c>
      <c r="X392" s="194">
        <f t="shared" ref="X392:X455" si="161">IF(V392="Tomorrow",Q392,IF(AND(V392&gt;$X$4-1,V392&lt;$X$5),Q392,IF(V392=$X$5,Q392,0)))</f>
        <v>0</v>
      </c>
      <c r="Y392" s="194">
        <f t="shared" ref="Y392:Y455" si="162">IF(AND(V392&gt;$Y$4-1,V392&lt;$Y$5),Q392,IF(V392=$Y$5,Q392,0))</f>
        <v>0</v>
      </c>
      <c r="Z392" s="13">
        <f t="shared" ref="Z392:Z455" si="163">IF(AND(V392&gt;$Z$4-1,V392&lt;$Z$5),Q392,IF(V392=$Z$5,Q392,0))</f>
        <v>0</v>
      </c>
      <c r="AA392" s="13">
        <f t="shared" ref="AA392:AA455" si="164">IF(AND(V392&gt;$AA$4-1,V392&lt;$AA$5),Q392,IF(V392=$AA$5,Q392,0))</f>
        <v>0</v>
      </c>
      <c r="AB392" s="13">
        <f t="shared" ref="AB392:AB455" si="165">IF(AND(V392&gt;$AB$4-1,V392&lt;$AB$5),Q392,IF(V392=$AB$5,Q392,0))</f>
        <v>0</v>
      </c>
      <c r="AC392" s="13">
        <f t="shared" ref="AC392:AC455" si="166">IF(AND(V392&gt;$AC$4-1,V392&lt;$AC$5),Q392,IF(V392=$AC$5,Q392,0))</f>
        <v>-361.43</v>
      </c>
      <c r="AD392" s="13">
        <f t="shared" ref="AD392:AD455" si="167">IF(AND(V392&gt;$AD$4-1,V392&lt;$AD$5),Q392,IF(V392=$AD$5,Q392,0))</f>
        <v>0</v>
      </c>
      <c r="AE392" s="13">
        <f t="shared" ref="AE392:AE455" si="168">IF(AND(V392&gt;$AE$4-1,V392&lt;$AE$5),Q392,IF(V392=$AE$5,Q392,0))</f>
        <v>0</v>
      </c>
      <c r="AF392" s="13">
        <f t="shared" ref="AF392:AF455" si="169">IF(AND(V392&gt;$AF$4-1,V392&lt;$AF$5),Q392,IF(V392=$AF$5,Q392,0))</f>
        <v>0</v>
      </c>
      <c r="AG392" s="685">
        <f t="shared" ref="AG392:AG455" si="170">IF(AND(V392&gt;$AG$4-1,V392&lt;$AG$5),Q392,IF(V392=$AG$5,Q392,0))</f>
        <v>0</v>
      </c>
      <c r="AH392" s="688" t="b">
        <f t="shared" ref="AH392:AH455" si="171">Q392=SUM(X392:AG392)</f>
        <v>1</v>
      </c>
    </row>
    <row r="393" spans="1:34" s="1" customFormat="1" ht="15" customHeight="1">
      <c r="A393" s="946">
        <v>12310002</v>
      </c>
      <c r="B393" s="946" t="s">
        <v>603</v>
      </c>
      <c r="C393" s="946" t="s">
        <v>613</v>
      </c>
      <c r="D393" s="946">
        <v>100000001</v>
      </c>
      <c r="E393" s="946" t="s">
        <v>33</v>
      </c>
      <c r="F393" s="946" t="s">
        <v>11</v>
      </c>
      <c r="G393" s="947">
        <v>-1.51</v>
      </c>
      <c r="H393" s="947">
        <v>-1.51</v>
      </c>
      <c r="I393" s="949">
        <v>44621</v>
      </c>
      <c r="J393" s="949">
        <v>46387</v>
      </c>
      <c r="K393" s="948"/>
      <c r="L393" s="29" t="e">
        <f>VLOOKUP(A393,'Account Mapping'!$A$2:$E$216,3,0)</f>
        <v>#N/A</v>
      </c>
      <c r="M393" s="25" t="e">
        <f>VLOOKUP(A393,'Account Mapping'!$A$2:$E$216,4,0)</f>
        <v>#N/A</v>
      </c>
      <c r="N393" s="26" t="e">
        <f>IF(OR(C393='Account Mapping'!$H$4,C393='Account Mapping'!$H$5,C393='Account Mapping'!$H$6),'Account Mapping'!$I$4,VLOOKUP(A393,'Account Mapping'!$A$2:$E$216,5,0))</f>
        <v>#N/A</v>
      </c>
      <c r="O393" s="27" t="e">
        <f>IF(OR(L393="Loan",L393="Deposit_Liability",L393="OFF_Unused Loan Commitment",L393="HQLA"),VLOOKUP(D393,'Customer Type'!$A$3:$C$38,3,0),"")</f>
        <v>#N/A</v>
      </c>
      <c r="P393" s="656" t="e">
        <f t="shared" si="159"/>
        <v>#N/A</v>
      </c>
      <c r="Q393" s="658">
        <f>IF(COUNTIF('Account Mapping'!$H$12:$H$45,A393)&gt;0,-H393,H393)</f>
        <v>-1.51</v>
      </c>
      <c r="R393" s="249" t="e">
        <f>VLOOKUP(P393,Assumptions!$C$2:$D$64,2,0)</f>
        <v>#N/A</v>
      </c>
      <c r="S393" s="692">
        <f>IFERROR(VLOOKUP(A393,'Maturity Adjustment'!$A$3:$C$81,3,0),(IF(J393&lt;$N$4,"Tomorrow",J393)))</f>
        <v>46387</v>
      </c>
      <c r="T393" s="190">
        <f t="shared" si="158"/>
        <v>329</v>
      </c>
      <c r="U393" s="196" t="e">
        <f t="shared" si="160"/>
        <v>#N/A</v>
      </c>
      <c r="V393" s="11">
        <f>IFERROR(VLOOKUP(A393,'Maturity Adjustment'!$A$86:$C$91,3,0),S393)</f>
        <v>46387</v>
      </c>
      <c r="W393" s="12" t="e">
        <f>VLOOKUP(A393,'Account Mapping'!$A$2:$F$216,6,0)</f>
        <v>#N/A</v>
      </c>
      <c r="X393" s="194">
        <f t="shared" si="161"/>
        <v>0</v>
      </c>
      <c r="Y393" s="194">
        <f t="shared" si="162"/>
        <v>0</v>
      </c>
      <c r="Z393" s="13">
        <f t="shared" si="163"/>
        <v>0</v>
      </c>
      <c r="AA393" s="13">
        <f t="shared" si="164"/>
        <v>0</v>
      </c>
      <c r="AB393" s="13">
        <f t="shared" si="165"/>
        <v>0</v>
      </c>
      <c r="AC393" s="13">
        <f t="shared" si="166"/>
        <v>-1.51</v>
      </c>
      <c r="AD393" s="13">
        <f t="shared" si="167"/>
        <v>0</v>
      </c>
      <c r="AE393" s="13">
        <f t="shared" si="168"/>
        <v>0</v>
      </c>
      <c r="AF393" s="13">
        <f t="shared" si="169"/>
        <v>0</v>
      </c>
      <c r="AG393" s="685">
        <f t="shared" si="170"/>
        <v>0</v>
      </c>
      <c r="AH393" s="688" t="b">
        <f t="shared" si="171"/>
        <v>1</v>
      </c>
    </row>
    <row r="394" spans="1:34" s="1" customFormat="1" ht="15" customHeight="1">
      <c r="A394" s="946">
        <v>12310002</v>
      </c>
      <c r="B394" s="946" t="s">
        <v>603</v>
      </c>
      <c r="C394" s="946" t="s">
        <v>614</v>
      </c>
      <c r="D394" s="946">
        <v>100000001</v>
      </c>
      <c r="E394" s="946" t="s">
        <v>33</v>
      </c>
      <c r="F394" s="946" t="s">
        <v>11</v>
      </c>
      <c r="G394" s="947">
        <v>-3228.9</v>
      </c>
      <c r="H394" s="947">
        <v>-3228.9</v>
      </c>
      <c r="I394" s="949">
        <v>44621</v>
      </c>
      <c r="J394" s="949">
        <v>46387</v>
      </c>
      <c r="K394" s="948"/>
      <c r="L394" s="29" t="e">
        <f>VLOOKUP(A394,'Account Mapping'!$A$2:$E$216,3,0)</f>
        <v>#N/A</v>
      </c>
      <c r="M394" s="25" t="e">
        <f>VLOOKUP(A394,'Account Mapping'!$A$2:$E$216,4,0)</f>
        <v>#N/A</v>
      </c>
      <c r="N394" s="26" t="e">
        <f>IF(OR(C394='Account Mapping'!$H$4,C394='Account Mapping'!$H$5,C394='Account Mapping'!$H$6),'Account Mapping'!$I$4,VLOOKUP(A394,'Account Mapping'!$A$2:$E$216,5,0))</f>
        <v>#N/A</v>
      </c>
      <c r="O394" s="27" t="e">
        <f>IF(OR(L394="Loan",L394="Deposit_Liability",L394="OFF_Unused Loan Commitment",L394="HQLA"),VLOOKUP(D394,'Customer Type'!$A$3:$C$38,3,0),"")</f>
        <v>#N/A</v>
      </c>
      <c r="P394" s="656" t="e">
        <f t="shared" si="159"/>
        <v>#N/A</v>
      </c>
      <c r="Q394" s="658">
        <f>IF(COUNTIF('Account Mapping'!$H$12:$H$45,A394)&gt;0,-H394,H394)</f>
        <v>-3228.9</v>
      </c>
      <c r="R394" s="249" t="e">
        <f>VLOOKUP(P394,Assumptions!$C$2:$D$64,2,0)</f>
        <v>#N/A</v>
      </c>
      <c r="S394" s="692">
        <f>IFERROR(VLOOKUP(A394,'Maturity Adjustment'!$A$3:$C$81,3,0),(IF(J394&lt;$N$4,"Tomorrow",J394)))</f>
        <v>46387</v>
      </c>
      <c r="T394" s="190">
        <f t="shared" si="158"/>
        <v>329</v>
      </c>
      <c r="U394" s="196" t="e">
        <f t="shared" si="160"/>
        <v>#N/A</v>
      </c>
      <c r="V394" s="11">
        <f>IFERROR(VLOOKUP(A394,'Maturity Adjustment'!$A$86:$C$91,3,0),S394)</f>
        <v>46387</v>
      </c>
      <c r="W394" s="12" t="e">
        <f>VLOOKUP(A394,'Account Mapping'!$A$2:$F$216,6,0)</f>
        <v>#N/A</v>
      </c>
      <c r="X394" s="194">
        <f t="shared" si="161"/>
        <v>0</v>
      </c>
      <c r="Y394" s="194">
        <f t="shared" si="162"/>
        <v>0</v>
      </c>
      <c r="Z394" s="13">
        <f t="shared" si="163"/>
        <v>0</v>
      </c>
      <c r="AA394" s="13">
        <f t="shared" si="164"/>
        <v>0</v>
      </c>
      <c r="AB394" s="13">
        <f t="shared" si="165"/>
        <v>0</v>
      </c>
      <c r="AC394" s="13">
        <f t="shared" si="166"/>
        <v>-3228.9</v>
      </c>
      <c r="AD394" s="13">
        <f t="shared" si="167"/>
        <v>0</v>
      </c>
      <c r="AE394" s="13">
        <f t="shared" si="168"/>
        <v>0</v>
      </c>
      <c r="AF394" s="13">
        <f t="shared" si="169"/>
        <v>0</v>
      </c>
      <c r="AG394" s="685">
        <f t="shared" si="170"/>
        <v>0</v>
      </c>
      <c r="AH394" s="688" t="b">
        <f t="shared" si="171"/>
        <v>1</v>
      </c>
    </row>
    <row r="395" spans="1:34" s="1" customFormat="1" ht="15" customHeight="1">
      <c r="A395" s="946">
        <v>12310002</v>
      </c>
      <c r="B395" s="946" t="s">
        <v>603</v>
      </c>
      <c r="C395" s="946" t="s">
        <v>614</v>
      </c>
      <c r="D395" s="946">
        <v>100000001</v>
      </c>
      <c r="E395" s="946" t="s">
        <v>33</v>
      </c>
      <c r="F395" s="946" t="s">
        <v>11</v>
      </c>
      <c r="G395" s="947">
        <v>-13.53</v>
      </c>
      <c r="H395" s="947">
        <v>-13.53</v>
      </c>
      <c r="I395" s="949">
        <v>44621</v>
      </c>
      <c r="J395" s="949">
        <v>46387</v>
      </c>
      <c r="K395" s="948"/>
      <c r="L395" s="29" t="e">
        <f>VLOOKUP(A395,'Account Mapping'!$A$2:$E$216,3,0)</f>
        <v>#N/A</v>
      </c>
      <c r="M395" s="25" t="e">
        <f>VLOOKUP(A395,'Account Mapping'!$A$2:$E$216,4,0)</f>
        <v>#N/A</v>
      </c>
      <c r="N395" s="26" t="e">
        <f>IF(OR(C395='Account Mapping'!$H$4,C395='Account Mapping'!$H$5,C395='Account Mapping'!$H$6),'Account Mapping'!$I$4,VLOOKUP(A395,'Account Mapping'!$A$2:$E$216,5,0))</f>
        <v>#N/A</v>
      </c>
      <c r="O395" s="27" t="e">
        <f>IF(OR(L395="Loan",L395="Deposit_Liability",L395="OFF_Unused Loan Commitment",L395="HQLA"),VLOOKUP(D395,'Customer Type'!$A$3:$C$38,3,0),"")</f>
        <v>#N/A</v>
      </c>
      <c r="P395" s="656" t="e">
        <f t="shared" si="159"/>
        <v>#N/A</v>
      </c>
      <c r="Q395" s="658">
        <f>IF(COUNTIF('Account Mapping'!$H$12:$H$45,A395)&gt;0,-H395,H395)</f>
        <v>-13.53</v>
      </c>
      <c r="R395" s="249" t="e">
        <f>VLOOKUP(P395,Assumptions!$C$2:$D$64,2,0)</f>
        <v>#N/A</v>
      </c>
      <c r="S395" s="692">
        <f>IFERROR(VLOOKUP(A395,'Maturity Adjustment'!$A$3:$C$81,3,0),(IF(J395&lt;$N$4,"Tomorrow",J395)))</f>
        <v>46387</v>
      </c>
      <c r="T395" s="190">
        <f t="shared" si="158"/>
        <v>329</v>
      </c>
      <c r="U395" s="196" t="e">
        <f t="shared" si="160"/>
        <v>#N/A</v>
      </c>
      <c r="V395" s="11">
        <f>IFERROR(VLOOKUP(A395,'Maturity Adjustment'!$A$86:$C$91,3,0),S395)</f>
        <v>46387</v>
      </c>
      <c r="W395" s="12" t="e">
        <f>VLOOKUP(A395,'Account Mapping'!$A$2:$F$216,6,0)</f>
        <v>#N/A</v>
      </c>
      <c r="X395" s="194">
        <f t="shared" si="161"/>
        <v>0</v>
      </c>
      <c r="Y395" s="194">
        <f t="shared" si="162"/>
        <v>0</v>
      </c>
      <c r="Z395" s="13">
        <f t="shared" si="163"/>
        <v>0</v>
      </c>
      <c r="AA395" s="13">
        <f t="shared" si="164"/>
        <v>0</v>
      </c>
      <c r="AB395" s="13">
        <f t="shared" si="165"/>
        <v>0</v>
      </c>
      <c r="AC395" s="13">
        <f t="shared" si="166"/>
        <v>-13.53</v>
      </c>
      <c r="AD395" s="13">
        <f t="shared" si="167"/>
        <v>0</v>
      </c>
      <c r="AE395" s="13">
        <f t="shared" si="168"/>
        <v>0</v>
      </c>
      <c r="AF395" s="13">
        <f t="shared" si="169"/>
        <v>0</v>
      </c>
      <c r="AG395" s="685">
        <f t="shared" si="170"/>
        <v>0</v>
      </c>
      <c r="AH395" s="688" t="b">
        <f t="shared" si="171"/>
        <v>1</v>
      </c>
    </row>
    <row r="396" spans="1:34" s="1" customFormat="1" ht="15" customHeight="1">
      <c r="A396" s="946">
        <v>12310002</v>
      </c>
      <c r="B396" s="946" t="s">
        <v>603</v>
      </c>
      <c r="C396" s="946" t="s">
        <v>615</v>
      </c>
      <c r="D396" s="946">
        <v>100000001</v>
      </c>
      <c r="E396" s="946" t="s">
        <v>33</v>
      </c>
      <c r="F396" s="946" t="s">
        <v>11</v>
      </c>
      <c r="G396" s="947">
        <v>-299.60000000000002</v>
      </c>
      <c r="H396" s="947">
        <v>-299.60000000000002</v>
      </c>
      <c r="I396" s="949">
        <v>44621</v>
      </c>
      <c r="J396" s="949">
        <v>46387</v>
      </c>
      <c r="K396" s="948"/>
      <c r="L396" s="29" t="e">
        <f>VLOOKUP(A396,'Account Mapping'!$A$2:$E$216,3,0)</f>
        <v>#N/A</v>
      </c>
      <c r="M396" s="25" t="e">
        <f>VLOOKUP(A396,'Account Mapping'!$A$2:$E$216,4,0)</f>
        <v>#N/A</v>
      </c>
      <c r="N396" s="26" t="e">
        <f>IF(OR(C396='Account Mapping'!$H$4,C396='Account Mapping'!$H$5,C396='Account Mapping'!$H$6),'Account Mapping'!$I$4,VLOOKUP(A396,'Account Mapping'!$A$2:$E$216,5,0))</f>
        <v>#N/A</v>
      </c>
      <c r="O396" s="27" t="e">
        <f>IF(OR(L396="Loan",L396="Deposit_Liability",L396="OFF_Unused Loan Commitment",L396="HQLA"),VLOOKUP(D396,'Customer Type'!$A$3:$C$38,3,0),"")</f>
        <v>#N/A</v>
      </c>
      <c r="P396" s="656" t="e">
        <f t="shared" si="159"/>
        <v>#N/A</v>
      </c>
      <c r="Q396" s="658">
        <f>IF(COUNTIF('Account Mapping'!$H$12:$H$45,A396)&gt;0,-H396,H396)</f>
        <v>-299.60000000000002</v>
      </c>
      <c r="R396" s="249" t="e">
        <f>VLOOKUP(P396,Assumptions!$C$2:$D$64,2,0)</f>
        <v>#N/A</v>
      </c>
      <c r="S396" s="692">
        <f>IFERROR(VLOOKUP(A396,'Maturity Adjustment'!$A$3:$C$81,3,0),(IF(J396&lt;$N$4,"Tomorrow",J396)))</f>
        <v>46387</v>
      </c>
      <c r="T396" s="190">
        <f t="shared" si="158"/>
        <v>329</v>
      </c>
      <c r="U396" s="196" t="e">
        <f t="shared" si="160"/>
        <v>#N/A</v>
      </c>
      <c r="V396" s="11">
        <f>IFERROR(VLOOKUP(A396,'Maturity Adjustment'!$A$86:$C$91,3,0),S396)</f>
        <v>46387</v>
      </c>
      <c r="W396" s="12" t="e">
        <f>VLOOKUP(A396,'Account Mapping'!$A$2:$F$216,6,0)</f>
        <v>#N/A</v>
      </c>
      <c r="X396" s="194">
        <f t="shared" si="161"/>
        <v>0</v>
      </c>
      <c r="Y396" s="194">
        <f t="shared" si="162"/>
        <v>0</v>
      </c>
      <c r="Z396" s="13">
        <f t="shared" si="163"/>
        <v>0</v>
      </c>
      <c r="AA396" s="13">
        <f t="shared" si="164"/>
        <v>0</v>
      </c>
      <c r="AB396" s="13">
        <f t="shared" si="165"/>
        <v>0</v>
      </c>
      <c r="AC396" s="13">
        <f t="shared" si="166"/>
        <v>-299.60000000000002</v>
      </c>
      <c r="AD396" s="13">
        <f t="shared" si="167"/>
        <v>0</v>
      </c>
      <c r="AE396" s="13">
        <f t="shared" si="168"/>
        <v>0</v>
      </c>
      <c r="AF396" s="13">
        <f t="shared" si="169"/>
        <v>0</v>
      </c>
      <c r="AG396" s="685">
        <f t="shared" si="170"/>
        <v>0</v>
      </c>
      <c r="AH396" s="688" t="b">
        <f t="shared" si="171"/>
        <v>1</v>
      </c>
    </row>
    <row r="397" spans="1:34" s="1" customFormat="1" ht="15" customHeight="1">
      <c r="A397" s="946">
        <v>12310002</v>
      </c>
      <c r="B397" s="946" t="s">
        <v>603</v>
      </c>
      <c r="C397" s="946" t="s">
        <v>615</v>
      </c>
      <c r="D397" s="946">
        <v>100000001</v>
      </c>
      <c r="E397" s="946" t="s">
        <v>33</v>
      </c>
      <c r="F397" s="946" t="s">
        <v>11</v>
      </c>
      <c r="G397" s="947">
        <v>-71499.69</v>
      </c>
      <c r="H397" s="947">
        <v>-71499.69</v>
      </c>
      <c r="I397" s="949">
        <v>44621</v>
      </c>
      <c r="J397" s="949">
        <v>46387</v>
      </c>
      <c r="K397" s="948"/>
      <c r="L397" s="29" t="e">
        <f>VLOOKUP(A397,'Account Mapping'!$A$2:$E$216,3,0)</f>
        <v>#N/A</v>
      </c>
      <c r="M397" s="25" t="e">
        <f>VLOOKUP(A397,'Account Mapping'!$A$2:$E$216,4,0)</f>
        <v>#N/A</v>
      </c>
      <c r="N397" s="26" t="e">
        <f>IF(OR(C397='Account Mapping'!$H$4,C397='Account Mapping'!$H$5,C397='Account Mapping'!$H$6),'Account Mapping'!$I$4,VLOOKUP(A397,'Account Mapping'!$A$2:$E$216,5,0))</f>
        <v>#N/A</v>
      </c>
      <c r="O397" s="27" t="e">
        <f>IF(OR(L397="Loan",L397="Deposit_Liability",L397="OFF_Unused Loan Commitment",L397="HQLA"),VLOOKUP(D397,'Customer Type'!$A$3:$C$38,3,0),"")</f>
        <v>#N/A</v>
      </c>
      <c r="P397" s="656" t="e">
        <f t="shared" si="159"/>
        <v>#N/A</v>
      </c>
      <c r="Q397" s="658">
        <f>IF(COUNTIF('Account Mapping'!$H$12:$H$45,A397)&gt;0,-H397,H397)</f>
        <v>-71499.69</v>
      </c>
      <c r="R397" s="249" t="e">
        <f>VLOOKUP(P397,Assumptions!$C$2:$D$64,2,0)</f>
        <v>#N/A</v>
      </c>
      <c r="S397" s="692">
        <f>IFERROR(VLOOKUP(A397,'Maturity Adjustment'!$A$3:$C$81,3,0),(IF(J397&lt;$N$4,"Tomorrow",J397)))</f>
        <v>46387</v>
      </c>
      <c r="T397" s="190">
        <f t="shared" ref="T397:T430" si="172">IF(S397="Tomorrow",1,(S397-$N$4))</f>
        <v>329</v>
      </c>
      <c r="U397" s="196" t="e">
        <f t="shared" si="160"/>
        <v>#N/A</v>
      </c>
      <c r="V397" s="11">
        <f>IFERROR(VLOOKUP(A397,'Maturity Adjustment'!$A$86:$C$91,3,0),S397)</f>
        <v>46387</v>
      </c>
      <c r="W397" s="12" t="e">
        <f>VLOOKUP(A397,'Account Mapping'!$A$2:$F$216,6,0)</f>
        <v>#N/A</v>
      </c>
      <c r="X397" s="194">
        <f t="shared" si="161"/>
        <v>0</v>
      </c>
      <c r="Y397" s="194">
        <f t="shared" si="162"/>
        <v>0</v>
      </c>
      <c r="Z397" s="13">
        <f t="shared" si="163"/>
        <v>0</v>
      </c>
      <c r="AA397" s="13">
        <f t="shared" si="164"/>
        <v>0</v>
      </c>
      <c r="AB397" s="13">
        <f t="shared" si="165"/>
        <v>0</v>
      </c>
      <c r="AC397" s="13">
        <f t="shared" si="166"/>
        <v>-71499.69</v>
      </c>
      <c r="AD397" s="13">
        <f t="shared" si="167"/>
        <v>0</v>
      </c>
      <c r="AE397" s="13">
        <f t="shared" si="168"/>
        <v>0</v>
      </c>
      <c r="AF397" s="13">
        <f t="shared" si="169"/>
        <v>0</v>
      </c>
      <c r="AG397" s="685">
        <f t="shared" si="170"/>
        <v>0</v>
      </c>
      <c r="AH397" s="688" t="b">
        <f t="shared" si="171"/>
        <v>1</v>
      </c>
    </row>
    <row r="398" spans="1:34" s="1" customFormat="1" ht="15" customHeight="1">
      <c r="A398" s="946">
        <v>12310002</v>
      </c>
      <c r="B398" s="946" t="s">
        <v>603</v>
      </c>
      <c r="C398" s="946" t="s">
        <v>616</v>
      </c>
      <c r="D398" s="946">
        <v>100000001</v>
      </c>
      <c r="E398" s="946" t="s">
        <v>33</v>
      </c>
      <c r="F398" s="946" t="s">
        <v>11</v>
      </c>
      <c r="G398" s="947">
        <v>-3212.88</v>
      </c>
      <c r="H398" s="947">
        <v>-3212.88</v>
      </c>
      <c r="I398" s="949">
        <v>44621</v>
      </c>
      <c r="J398" s="949">
        <v>45961</v>
      </c>
      <c r="K398" s="948"/>
      <c r="L398" s="29" t="e">
        <f>VLOOKUP(A398,'Account Mapping'!$A$2:$E$216,3,0)</f>
        <v>#N/A</v>
      </c>
      <c r="M398" s="25" t="e">
        <f>VLOOKUP(A398,'Account Mapping'!$A$2:$E$216,4,0)</f>
        <v>#N/A</v>
      </c>
      <c r="N398" s="26" t="e">
        <f>IF(OR(C398='Account Mapping'!$H$4,C398='Account Mapping'!$H$5,C398='Account Mapping'!$H$6),'Account Mapping'!$I$4,VLOOKUP(A398,'Account Mapping'!$A$2:$E$216,5,0))</f>
        <v>#N/A</v>
      </c>
      <c r="O398" s="27" t="e">
        <f>IF(OR(L398="Loan",L398="Deposit_Liability",L398="OFF_Unused Loan Commitment",L398="HQLA"),VLOOKUP(D398,'Customer Type'!$A$3:$C$38,3,0),"")</f>
        <v>#N/A</v>
      </c>
      <c r="P398" s="656" t="e">
        <f t="shared" si="159"/>
        <v>#N/A</v>
      </c>
      <c r="Q398" s="658">
        <f>IF(COUNTIF('Account Mapping'!$H$12:$H$45,A398)&gt;0,-H398,H398)</f>
        <v>-3212.88</v>
      </c>
      <c r="R398" s="249" t="e">
        <f>VLOOKUP(P398,Assumptions!$C$2:$D$64,2,0)</f>
        <v>#N/A</v>
      </c>
      <c r="S398" s="692" t="str">
        <f>IFERROR(VLOOKUP(A398,'Maturity Adjustment'!$A$3:$C$81,3,0),(IF(J398&lt;$N$4,"Tomorrow",J398)))</f>
        <v>Tomorrow</v>
      </c>
      <c r="T398" s="190">
        <f t="shared" si="172"/>
        <v>1</v>
      </c>
      <c r="U398" s="196" t="e">
        <f t="shared" si="160"/>
        <v>#N/A</v>
      </c>
      <c r="V398" s="11" t="str">
        <f>IFERROR(VLOOKUP(A398,'Maturity Adjustment'!$A$86:$C$91,3,0),S398)</f>
        <v>Tomorrow</v>
      </c>
      <c r="W398" s="12" t="e">
        <f>VLOOKUP(A398,'Account Mapping'!$A$2:$F$216,6,0)</f>
        <v>#N/A</v>
      </c>
      <c r="X398" s="194">
        <f t="shared" si="161"/>
        <v>-3212.88</v>
      </c>
      <c r="Y398" s="194">
        <f t="shared" si="162"/>
        <v>0</v>
      </c>
      <c r="Z398" s="13">
        <f t="shared" si="163"/>
        <v>0</v>
      </c>
      <c r="AA398" s="13">
        <f t="shared" si="164"/>
        <v>0</v>
      </c>
      <c r="AB398" s="13">
        <f t="shared" si="165"/>
        <v>0</v>
      </c>
      <c r="AC398" s="13">
        <f t="shared" si="166"/>
        <v>0</v>
      </c>
      <c r="AD398" s="13">
        <f t="shared" si="167"/>
        <v>0</v>
      </c>
      <c r="AE398" s="13">
        <f t="shared" si="168"/>
        <v>0</v>
      </c>
      <c r="AF398" s="13">
        <f t="shared" si="169"/>
        <v>0</v>
      </c>
      <c r="AG398" s="685">
        <f t="shared" si="170"/>
        <v>0</v>
      </c>
      <c r="AH398" s="688" t="b">
        <f t="shared" si="171"/>
        <v>1</v>
      </c>
    </row>
    <row r="399" spans="1:34" s="1" customFormat="1" ht="15" customHeight="1">
      <c r="A399" s="946">
        <v>12310002</v>
      </c>
      <c r="B399" s="946" t="s">
        <v>603</v>
      </c>
      <c r="C399" s="946" t="s">
        <v>617</v>
      </c>
      <c r="D399" s="946">
        <v>100000001</v>
      </c>
      <c r="E399" s="946" t="s">
        <v>33</v>
      </c>
      <c r="F399" s="946" t="s">
        <v>11</v>
      </c>
      <c r="G399" s="947">
        <v>-2545.13</v>
      </c>
      <c r="H399" s="947">
        <v>-2545.13</v>
      </c>
      <c r="I399" s="949">
        <v>44621</v>
      </c>
      <c r="J399" s="949">
        <v>46022</v>
      </c>
      <c r="K399" s="948"/>
      <c r="L399" s="29" t="e">
        <f>VLOOKUP(A399,'Account Mapping'!$A$2:$E$216,3,0)</f>
        <v>#N/A</v>
      </c>
      <c r="M399" s="25" t="e">
        <f>VLOOKUP(A399,'Account Mapping'!$A$2:$E$216,4,0)</f>
        <v>#N/A</v>
      </c>
      <c r="N399" s="26" t="e">
        <f>IF(OR(C399='Account Mapping'!$H$4,C399='Account Mapping'!$H$5,C399='Account Mapping'!$H$6),'Account Mapping'!$I$4,VLOOKUP(A399,'Account Mapping'!$A$2:$E$216,5,0))</f>
        <v>#N/A</v>
      </c>
      <c r="O399" s="27" t="e">
        <f>IF(OR(L399="Loan",L399="Deposit_Liability",L399="OFF_Unused Loan Commitment",L399="HQLA"),VLOOKUP(D399,'Customer Type'!$A$3:$C$38,3,0),"")</f>
        <v>#N/A</v>
      </c>
      <c r="P399" s="656" t="e">
        <f t="shared" si="159"/>
        <v>#N/A</v>
      </c>
      <c r="Q399" s="658">
        <f>IF(COUNTIF('Account Mapping'!$H$12:$H$45,A399)&gt;0,-H399,H399)</f>
        <v>-2545.13</v>
      </c>
      <c r="R399" s="249" t="e">
        <f>VLOOKUP(P399,Assumptions!$C$2:$D$64,2,0)</f>
        <v>#N/A</v>
      </c>
      <c r="S399" s="692" t="str">
        <f>IFERROR(VLOOKUP(A399,'Maturity Adjustment'!$A$3:$C$81,3,0),(IF(J399&lt;$N$4,"Tomorrow",J399)))</f>
        <v>Tomorrow</v>
      </c>
      <c r="T399" s="190">
        <f t="shared" si="172"/>
        <v>1</v>
      </c>
      <c r="U399" s="196" t="e">
        <f t="shared" si="160"/>
        <v>#N/A</v>
      </c>
      <c r="V399" s="11" t="str">
        <f>IFERROR(VLOOKUP(A399,'Maturity Adjustment'!$A$86:$C$91,3,0),S399)</f>
        <v>Tomorrow</v>
      </c>
      <c r="W399" s="12" t="e">
        <f>VLOOKUP(A399,'Account Mapping'!$A$2:$F$216,6,0)</f>
        <v>#N/A</v>
      </c>
      <c r="X399" s="194">
        <f t="shared" si="161"/>
        <v>-2545.13</v>
      </c>
      <c r="Y399" s="194">
        <f t="shared" si="162"/>
        <v>0</v>
      </c>
      <c r="Z399" s="13">
        <f t="shared" si="163"/>
        <v>0</v>
      </c>
      <c r="AA399" s="13">
        <f t="shared" si="164"/>
        <v>0</v>
      </c>
      <c r="AB399" s="13">
        <f t="shared" si="165"/>
        <v>0</v>
      </c>
      <c r="AC399" s="13">
        <f t="shared" si="166"/>
        <v>0</v>
      </c>
      <c r="AD399" s="13">
        <f t="shared" si="167"/>
        <v>0</v>
      </c>
      <c r="AE399" s="13">
        <f t="shared" si="168"/>
        <v>0</v>
      </c>
      <c r="AF399" s="13">
        <f t="shared" si="169"/>
        <v>0</v>
      </c>
      <c r="AG399" s="685">
        <f t="shared" si="170"/>
        <v>0</v>
      </c>
      <c r="AH399" s="688" t="b">
        <f t="shared" si="171"/>
        <v>1</v>
      </c>
    </row>
    <row r="400" spans="1:34" s="1" customFormat="1" ht="15" customHeight="1">
      <c r="A400" s="946">
        <v>12310002</v>
      </c>
      <c r="B400" s="946" t="s">
        <v>603</v>
      </c>
      <c r="C400" s="946" t="s">
        <v>618</v>
      </c>
      <c r="D400" s="946">
        <v>100000001</v>
      </c>
      <c r="E400" s="946" t="s">
        <v>33</v>
      </c>
      <c r="F400" s="946" t="s">
        <v>11</v>
      </c>
      <c r="G400" s="947">
        <v>-3848.83</v>
      </c>
      <c r="H400" s="947">
        <v>-3848.83</v>
      </c>
      <c r="I400" s="949">
        <v>44621</v>
      </c>
      <c r="J400" s="949">
        <v>46387</v>
      </c>
      <c r="K400" s="948"/>
      <c r="L400" s="29" t="e">
        <f>VLOOKUP(A400,'Account Mapping'!$A$2:$E$216,3,0)</f>
        <v>#N/A</v>
      </c>
      <c r="M400" s="25" t="e">
        <f>VLOOKUP(A400,'Account Mapping'!$A$2:$E$216,4,0)</f>
        <v>#N/A</v>
      </c>
      <c r="N400" s="26" t="e">
        <f>IF(OR(C400='Account Mapping'!$H$4,C400='Account Mapping'!$H$5,C400='Account Mapping'!$H$6),'Account Mapping'!$I$4,VLOOKUP(A400,'Account Mapping'!$A$2:$E$216,5,0))</f>
        <v>#N/A</v>
      </c>
      <c r="O400" s="27" t="e">
        <f>IF(OR(L400="Loan",L400="Deposit_Liability",L400="OFF_Unused Loan Commitment",L400="HQLA"),VLOOKUP(D400,'Customer Type'!$A$3:$C$38,3,0),"")</f>
        <v>#N/A</v>
      </c>
      <c r="P400" s="656" t="e">
        <f t="shared" si="159"/>
        <v>#N/A</v>
      </c>
      <c r="Q400" s="658">
        <f>IF(COUNTIF('Account Mapping'!$H$12:$H$45,A400)&gt;0,-H400,H400)</f>
        <v>-3848.83</v>
      </c>
      <c r="R400" s="249" t="e">
        <f>VLOOKUP(P400,Assumptions!$C$2:$D$64,2,0)</f>
        <v>#N/A</v>
      </c>
      <c r="S400" s="692">
        <f>IFERROR(VLOOKUP(A400,'Maturity Adjustment'!$A$3:$C$81,3,0),(IF(J400&lt;$N$4,"Tomorrow",J400)))</f>
        <v>46387</v>
      </c>
      <c r="T400" s="190">
        <f t="shared" si="172"/>
        <v>329</v>
      </c>
      <c r="U400" s="196" t="e">
        <f t="shared" si="160"/>
        <v>#N/A</v>
      </c>
      <c r="V400" s="11">
        <f>IFERROR(VLOOKUP(A400,'Maturity Adjustment'!$A$86:$C$91,3,0),S400)</f>
        <v>46387</v>
      </c>
      <c r="W400" s="12" t="e">
        <f>VLOOKUP(A400,'Account Mapping'!$A$2:$F$216,6,0)</f>
        <v>#N/A</v>
      </c>
      <c r="X400" s="194">
        <f t="shared" si="161"/>
        <v>0</v>
      </c>
      <c r="Y400" s="194">
        <f t="shared" si="162"/>
        <v>0</v>
      </c>
      <c r="Z400" s="13">
        <f t="shared" si="163"/>
        <v>0</v>
      </c>
      <c r="AA400" s="13">
        <f t="shared" si="164"/>
        <v>0</v>
      </c>
      <c r="AB400" s="13">
        <f t="shared" si="165"/>
        <v>0</v>
      </c>
      <c r="AC400" s="13">
        <f t="shared" si="166"/>
        <v>-3848.83</v>
      </c>
      <c r="AD400" s="13">
        <f t="shared" si="167"/>
        <v>0</v>
      </c>
      <c r="AE400" s="13">
        <f t="shared" si="168"/>
        <v>0</v>
      </c>
      <c r="AF400" s="13">
        <f t="shared" si="169"/>
        <v>0</v>
      </c>
      <c r="AG400" s="685">
        <f t="shared" si="170"/>
        <v>0</v>
      </c>
      <c r="AH400" s="688" t="b">
        <f t="shared" si="171"/>
        <v>1</v>
      </c>
    </row>
    <row r="401" spans="1:34" s="1" customFormat="1" ht="15" customHeight="1">
      <c r="A401" s="946">
        <v>12310002</v>
      </c>
      <c r="B401" s="946" t="s">
        <v>603</v>
      </c>
      <c r="C401" s="946" t="s">
        <v>618</v>
      </c>
      <c r="D401" s="946">
        <v>100000001</v>
      </c>
      <c r="E401" s="946" t="s">
        <v>33</v>
      </c>
      <c r="F401" s="946" t="s">
        <v>11</v>
      </c>
      <c r="G401" s="947">
        <v>-16.13</v>
      </c>
      <c r="H401" s="947">
        <v>-16.13</v>
      </c>
      <c r="I401" s="949">
        <v>44621</v>
      </c>
      <c r="J401" s="949">
        <v>46387</v>
      </c>
      <c r="K401" s="948"/>
      <c r="L401" s="29" t="e">
        <f>VLOOKUP(A401,'Account Mapping'!$A$2:$E$216,3,0)</f>
        <v>#N/A</v>
      </c>
      <c r="M401" s="25" t="e">
        <f>VLOOKUP(A401,'Account Mapping'!$A$2:$E$216,4,0)</f>
        <v>#N/A</v>
      </c>
      <c r="N401" s="26" t="e">
        <f>IF(OR(C401='Account Mapping'!$H$4,C401='Account Mapping'!$H$5,C401='Account Mapping'!$H$6),'Account Mapping'!$I$4,VLOOKUP(A401,'Account Mapping'!$A$2:$E$216,5,0))</f>
        <v>#N/A</v>
      </c>
      <c r="O401" s="27" t="e">
        <f>IF(OR(L401="Loan",L401="Deposit_Liability",L401="OFF_Unused Loan Commitment",L401="HQLA"),VLOOKUP(D401,'Customer Type'!$A$3:$C$38,3,0),"")</f>
        <v>#N/A</v>
      </c>
      <c r="P401" s="656" t="e">
        <f t="shared" si="159"/>
        <v>#N/A</v>
      </c>
      <c r="Q401" s="658">
        <f>IF(COUNTIF('Account Mapping'!$H$12:$H$45,A401)&gt;0,-H401,H401)</f>
        <v>-16.13</v>
      </c>
      <c r="R401" s="249" t="e">
        <f>VLOOKUP(P401,Assumptions!$C$2:$D$64,2,0)</f>
        <v>#N/A</v>
      </c>
      <c r="S401" s="692">
        <f>IFERROR(VLOOKUP(A401,'Maturity Adjustment'!$A$3:$C$81,3,0),(IF(J401&lt;$N$4,"Tomorrow",J401)))</f>
        <v>46387</v>
      </c>
      <c r="T401" s="190">
        <f t="shared" si="172"/>
        <v>329</v>
      </c>
      <c r="U401" s="196" t="e">
        <f t="shared" si="160"/>
        <v>#N/A</v>
      </c>
      <c r="V401" s="11">
        <f>IFERROR(VLOOKUP(A401,'Maturity Adjustment'!$A$86:$C$91,3,0),S401)</f>
        <v>46387</v>
      </c>
      <c r="W401" s="12" t="e">
        <f>VLOOKUP(A401,'Account Mapping'!$A$2:$F$216,6,0)</f>
        <v>#N/A</v>
      </c>
      <c r="X401" s="194">
        <f t="shared" si="161"/>
        <v>0</v>
      </c>
      <c r="Y401" s="194">
        <f t="shared" si="162"/>
        <v>0</v>
      </c>
      <c r="Z401" s="13">
        <f t="shared" si="163"/>
        <v>0</v>
      </c>
      <c r="AA401" s="13">
        <f t="shared" si="164"/>
        <v>0</v>
      </c>
      <c r="AB401" s="13">
        <f t="shared" si="165"/>
        <v>0</v>
      </c>
      <c r="AC401" s="13">
        <f t="shared" si="166"/>
        <v>-16.13</v>
      </c>
      <c r="AD401" s="13">
        <f t="shared" si="167"/>
        <v>0</v>
      </c>
      <c r="AE401" s="13">
        <f t="shared" si="168"/>
        <v>0</v>
      </c>
      <c r="AF401" s="13">
        <f t="shared" si="169"/>
        <v>0</v>
      </c>
      <c r="AG401" s="685">
        <f t="shared" si="170"/>
        <v>0</v>
      </c>
      <c r="AH401" s="688" t="b">
        <f t="shared" si="171"/>
        <v>1</v>
      </c>
    </row>
    <row r="402" spans="1:34" s="1" customFormat="1" ht="15" customHeight="1">
      <c r="A402" s="946">
        <v>12310002</v>
      </c>
      <c r="B402" s="946" t="s">
        <v>603</v>
      </c>
      <c r="C402" s="946" t="s">
        <v>619</v>
      </c>
      <c r="D402" s="946">
        <v>100000001</v>
      </c>
      <c r="E402" s="946" t="s">
        <v>33</v>
      </c>
      <c r="F402" s="946" t="s">
        <v>11</v>
      </c>
      <c r="G402" s="947">
        <v>-2640.44</v>
      </c>
      <c r="H402" s="947">
        <v>-2640.44</v>
      </c>
      <c r="I402" s="949">
        <v>44621</v>
      </c>
      <c r="J402" s="949">
        <v>45657</v>
      </c>
      <c r="K402" s="948"/>
      <c r="L402" s="29" t="e">
        <f>VLOOKUP(A402,'Account Mapping'!$A$2:$E$216,3,0)</f>
        <v>#N/A</v>
      </c>
      <c r="M402" s="25" t="e">
        <f>VLOOKUP(A402,'Account Mapping'!$A$2:$E$216,4,0)</f>
        <v>#N/A</v>
      </c>
      <c r="N402" s="26" t="e">
        <f>IF(OR(C402='Account Mapping'!$H$4,C402='Account Mapping'!$H$5,C402='Account Mapping'!$H$6),'Account Mapping'!$I$4,VLOOKUP(A402,'Account Mapping'!$A$2:$E$216,5,0))</f>
        <v>#N/A</v>
      </c>
      <c r="O402" s="27" t="e">
        <f>IF(OR(L402="Loan",L402="Deposit_Liability",L402="OFF_Unused Loan Commitment",L402="HQLA"),VLOOKUP(D402,'Customer Type'!$A$3:$C$38,3,0),"")</f>
        <v>#N/A</v>
      </c>
      <c r="P402" s="656" t="e">
        <f t="shared" si="159"/>
        <v>#N/A</v>
      </c>
      <c r="Q402" s="658">
        <f>IF(COUNTIF('Account Mapping'!$H$12:$H$45,A402)&gt;0,-H402,H402)</f>
        <v>-2640.44</v>
      </c>
      <c r="R402" s="249" t="e">
        <f>VLOOKUP(P402,Assumptions!$C$2:$D$64,2,0)</f>
        <v>#N/A</v>
      </c>
      <c r="S402" s="692" t="str">
        <f>IFERROR(VLOOKUP(A402,'Maturity Adjustment'!$A$3:$C$81,3,0),(IF(J402&lt;$N$4,"Tomorrow",J402)))</f>
        <v>Tomorrow</v>
      </c>
      <c r="T402" s="190">
        <f t="shared" si="172"/>
        <v>1</v>
      </c>
      <c r="U402" s="196" t="e">
        <f t="shared" si="160"/>
        <v>#N/A</v>
      </c>
      <c r="V402" s="11" t="str">
        <f>IFERROR(VLOOKUP(A402,'Maturity Adjustment'!$A$86:$C$91,3,0),S402)</f>
        <v>Tomorrow</v>
      </c>
      <c r="W402" s="12" t="e">
        <f>VLOOKUP(A402,'Account Mapping'!$A$2:$F$216,6,0)</f>
        <v>#N/A</v>
      </c>
      <c r="X402" s="194">
        <f t="shared" si="161"/>
        <v>-2640.44</v>
      </c>
      <c r="Y402" s="194">
        <f t="shared" si="162"/>
        <v>0</v>
      </c>
      <c r="Z402" s="13">
        <f t="shared" si="163"/>
        <v>0</v>
      </c>
      <c r="AA402" s="13">
        <f t="shared" si="164"/>
        <v>0</v>
      </c>
      <c r="AB402" s="13">
        <f t="shared" si="165"/>
        <v>0</v>
      </c>
      <c r="AC402" s="13">
        <f t="shared" si="166"/>
        <v>0</v>
      </c>
      <c r="AD402" s="13">
        <f t="shared" si="167"/>
        <v>0</v>
      </c>
      <c r="AE402" s="13">
        <f t="shared" si="168"/>
        <v>0</v>
      </c>
      <c r="AF402" s="13">
        <f t="shared" si="169"/>
        <v>0</v>
      </c>
      <c r="AG402" s="685">
        <f t="shared" si="170"/>
        <v>0</v>
      </c>
      <c r="AH402" s="688" t="b">
        <f t="shared" si="171"/>
        <v>1</v>
      </c>
    </row>
    <row r="403" spans="1:34" s="1" customFormat="1" ht="15" customHeight="1">
      <c r="A403" s="946">
        <v>12310002</v>
      </c>
      <c r="B403" s="946" t="s">
        <v>603</v>
      </c>
      <c r="C403" s="946" t="s">
        <v>620</v>
      </c>
      <c r="D403" s="946">
        <v>100000001</v>
      </c>
      <c r="E403" s="946" t="s">
        <v>33</v>
      </c>
      <c r="F403" s="946" t="s">
        <v>11</v>
      </c>
      <c r="G403" s="947">
        <v>-11194.93</v>
      </c>
      <c r="H403" s="947">
        <v>-11194.93</v>
      </c>
      <c r="I403" s="949">
        <v>44621</v>
      </c>
      <c r="J403" s="949">
        <v>46387</v>
      </c>
      <c r="K403" s="948"/>
      <c r="L403" s="29" t="e">
        <f>VLOOKUP(A403,'Account Mapping'!$A$2:$E$216,3,0)</f>
        <v>#N/A</v>
      </c>
      <c r="M403" s="25" t="e">
        <f>VLOOKUP(A403,'Account Mapping'!$A$2:$E$216,4,0)</f>
        <v>#N/A</v>
      </c>
      <c r="N403" s="26" t="e">
        <f>IF(OR(C403='Account Mapping'!$H$4,C403='Account Mapping'!$H$5,C403='Account Mapping'!$H$6),'Account Mapping'!$I$4,VLOOKUP(A403,'Account Mapping'!$A$2:$E$216,5,0))</f>
        <v>#N/A</v>
      </c>
      <c r="O403" s="27" t="e">
        <f>IF(OR(L403="Loan",L403="Deposit_Liability",L403="OFF_Unused Loan Commitment",L403="HQLA"),VLOOKUP(D403,'Customer Type'!$A$3:$C$38,3,0),"")</f>
        <v>#N/A</v>
      </c>
      <c r="P403" s="656" t="e">
        <f t="shared" si="159"/>
        <v>#N/A</v>
      </c>
      <c r="Q403" s="658">
        <f>IF(COUNTIF('Account Mapping'!$H$12:$H$45,A403)&gt;0,-H403,H403)</f>
        <v>-11194.93</v>
      </c>
      <c r="R403" s="249" t="e">
        <f>VLOOKUP(P403,Assumptions!$C$2:$D$64,2,0)</f>
        <v>#N/A</v>
      </c>
      <c r="S403" s="692">
        <f>IFERROR(VLOOKUP(A403,'Maturity Adjustment'!$A$3:$C$81,3,0),(IF(J403&lt;$N$4,"Tomorrow",J403)))</f>
        <v>46387</v>
      </c>
      <c r="T403" s="190">
        <f t="shared" si="172"/>
        <v>329</v>
      </c>
      <c r="U403" s="196" t="e">
        <f t="shared" si="160"/>
        <v>#N/A</v>
      </c>
      <c r="V403" s="11">
        <f>IFERROR(VLOOKUP(A403,'Maturity Adjustment'!$A$86:$C$91,3,0),S403)</f>
        <v>46387</v>
      </c>
      <c r="W403" s="12" t="e">
        <f>VLOOKUP(A403,'Account Mapping'!$A$2:$F$216,6,0)</f>
        <v>#N/A</v>
      </c>
      <c r="X403" s="194">
        <f t="shared" si="161"/>
        <v>0</v>
      </c>
      <c r="Y403" s="194">
        <f t="shared" si="162"/>
        <v>0</v>
      </c>
      <c r="Z403" s="13">
        <f t="shared" si="163"/>
        <v>0</v>
      </c>
      <c r="AA403" s="13">
        <f t="shared" si="164"/>
        <v>0</v>
      </c>
      <c r="AB403" s="13">
        <f t="shared" si="165"/>
        <v>0</v>
      </c>
      <c r="AC403" s="13">
        <f t="shared" si="166"/>
        <v>-11194.93</v>
      </c>
      <c r="AD403" s="13">
        <f t="shared" si="167"/>
        <v>0</v>
      </c>
      <c r="AE403" s="13">
        <f t="shared" si="168"/>
        <v>0</v>
      </c>
      <c r="AF403" s="13">
        <f t="shared" si="169"/>
        <v>0</v>
      </c>
      <c r="AG403" s="685">
        <f t="shared" si="170"/>
        <v>0</v>
      </c>
      <c r="AH403" s="688" t="b">
        <f t="shared" si="171"/>
        <v>1</v>
      </c>
    </row>
    <row r="404" spans="1:34" s="1" customFormat="1" ht="15" customHeight="1">
      <c r="A404" s="946">
        <v>12310002</v>
      </c>
      <c r="B404" s="946" t="s">
        <v>603</v>
      </c>
      <c r="C404" s="946" t="s">
        <v>620</v>
      </c>
      <c r="D404" s="946">
        <v>100000001</v>
      </c>
      <c r="E404" s="946" t="s">
        <v>33</v>
      </c>
      <c r="F404" s="946" t="s">
        <v>11</v>
      </c>
      <c r="G404" s="947">
        <v>-46.91</v>
      </c>
      <c r="H404" s="947">
        <v>-46.91</v>
      </c>
      <c r="I404" s="949">
        <v>44621</v>
      </c>
      <c r="J404" s="949">
        <v>46387</v>
      </c>
      <c r="K404" s="948"/>
      <c r="L404" s="29" t="e">
        <f>VLOOKUP(A404,'Account Mapping'!$A$2:$E$216,3,0)</f>
        <v>#N/A</v>
      </c>
      <c r="M404" s="25" t="e">
        <f>VLOOKUP(A404,'Account Mapping'!$A$2:$E$216,4,0)</f>
        <v>#N/A</v>
      </c>
      <c r="N404" s="26" t="e">
        <f>IF(OR(C404='Account Mapping'!$H$4,C404='Account Mapping'!$H$5,C404='Account Mapping'!$H$6),'Account Mapping'!$I$4,VLOOKUP(A404,'Account Mapping'!$A$2:$E$216,5,0))</f>
        <v>#N/A</v>
      </c>
      <c r="O404" s="27" t="e">
        <f>IF(OR(L404="Loan",L404="Deposit_Liability",L404="OFF_Unused Loan Commitment",L404="HQLA"),VLOOKUP(D404,'Customer Type'!$A$3:$C$38,3,0),"")</f>
        <v>#N/A</v>
      </c>
      <c r="P404" s="656" t="e">
        <f t="shared" si="159"/>
        <v>#N/A</v>
      </c>
      <c r="Q404" s="658">
        <f>IF(COUNTIF('Account Mapping'!$H$12:$H$45,A404)&gt;0,-H404,H404)</f>
        <v>-46.91</v>
      </c>
      <c r="R404" s="249" t="e">
        <f>VLOOKUP(P404,Assumptions!$C$2:$D$64,2,0)</f>
        <v>#N/A</v>
      </c>
      <c r="S404" s="692">
        <f>IFERROR(VLOOKUP(A404,'Maturity Adjustment'!$A$3:$C$81,3,0),(IF(J404&lt;$N$4,"Tomorrow",J404)))</f>
        <v>46387</v>
      </c>
      <c r="T404" s="190">
        <f t="shared" si="172"/>
        <v>329</v>
      </c>
      <c r="U404" s="196" t="e">
        <f t="shared" si="160"/>
        <v>#N/A</v>
      </c>
      <c r="V404" s="11">
        <f>IFERROR(VLOOKUP(A404,'Maturity Adjustment'!$A$86:$C$91,3,0),S404)</f>
        <v>46387</v>
      </c>
      <c r="W404" s="12" t="e">
        <f>VLOOKUP(A404,'Account Mapping'!$A$2:$F$216,6,0)</f>
        <v>#N/A</v>
      </c>
      <c r="X404" s="194">
        <f t="shared" si="161"/>
        <v>0</v>
      </c>
      <c r="Y404" s="194">
        <f t="shared" si="162"/>
        <v>0</v>
      </c>
      <c r="Z404" s="13">
        <f t="shared" si="163"/>
        <v>0</v>
      </c>
      <c r="AA404" s="13">
        <f t="shared" si="164"/>
        <v>0</v>
      </c>
      <c r="AB404" s="13">
        <f t="shared" si="165"/>
        <v>0</v>
      </c>
      <c r="AC404" s="13">
        <f t="shared" si="166"/>
        <v>-46.91</v>
      </c>
      <c r="AD404" s="13">
        <f t="shared" si="167"/>
        <v>0</v>
      </c>
      <c r="AE404" s="13">
        <f t="shared" si="168"/>
        <v>0</v>
      </c>
      <c r="AF404" s="13">
        <f t="shared" si="169"/>
        <v>0</v>
      </c>
      <c r="AG404" s="685">
        <f t="shared" si="170"/>
        <v>0</v>
      </c>
      <c r="AH404" s="688" t="b">
        <f t="shared" si="171"/>
        <v>1</v>
      </c>
    </row>
    <row r="405" spans="1:34" s="1" customFormat="1" ht="15" customHeight="1">
      <c r="A405" s="946">
        <v>12310002</v>
      </c>
      <c r="B405" s="946" t="s">
        <v>603</v>
      </c>
      <c r="C405" s="946" t="s">
        <v>621</v>
      </c>
      <c r="D405" s="946">
        <v>100000001</v>
      </c>
      <c r="E405" s="946" t="s">
        <v>33</v>
      </c>
      <c r="F405" s="946" t="s">
        <v>11</v>
      </c>
      <c r="G405" s="947">
        <v>-2912.26</v>
      </c>
      <c r="H405" s="947">
        <v>-2912.26</v>
      </c>
      <c r="I405" s="949">
        <v>44621</v>
      </c>
      <c r="J405" s="949">
        <v>46022</v>
      </c>
      <c r="K405" s="948"/>
      <c r="L405" s="29" t="e">
        <f>VLOOKUP(A405,'Account Mapping'!$A$2:$E$216,3,0)</f>
        <v>#N/A</v>
      </c>
      <c r="M405" s="25" t="e">
        <f>VLOOKUP(A405,'Account Mapping'!$A$2:$E$216,4,0)</f>
        <v>#N/A</v>
      </c>
      <c r="N405" s="26" t="e">
        <f>IF(OR(C405='Account Mapping'!$H$4,C405='Account Mapping'!$H$5,C405='Account Mapping'!$H$6),'Account Mapping'!$I$4,VLOOKUP(A405,'Account Mapping'!$A$2:$E$216,5,0))</f>
        <v>#N/A</v>
      </c>
      <c r="O405" s="27" t="e">
        <f>IF(OR(L405="Loan",L405="Deposit_Liability",L405="OFF_Unused Loan Commitment",L405="HQLA"),VLOOKUP(D405,'Customer Type'!$A$3:$C$38,3,0),"")</f>
        <v>#N/A</v>
      </c>
      <c r="P405" s="656" t="e">
        <f t="shared" si="159"/>
        <v>#N/A</v>
      </c>
      <c r="Q405" s="658">
        <f>IF(COUNTIF('Account Mapping'!$H$12:$H$45,A405)&gt;0,-H405,H405)</f>
        <v>-2912.26</v>
      </c>
      <c r="R405" s="249" t="e">
        <f>VLOOKUP(P405,Assumptions!$C$2:$D$64,2,0)</f>
        <v>#N/A</v>
      </c>
      <c r="S405" s="692" t="str">
        <f>IFERROR(VLOOKUP(A405,'Maturity Adjustment'!$A$3:$C$81,3,0),(IF(J405&lt;$N$4,"Tomorrow",J405)))</f>
        <v>Tomorrow</v>
      </c>
      <c r="T405" s="190">
        <f t="shared" si="172"/>
        <v>1</v>
      </c>
      <c r="U405" s="196" t="e">
        <f t="shared" si="160"/>
        <v>#N/A</v>
      </c>
      <c r="V405" s="11" t="str">
        <f>IFERROR(VLOOKUP(A405,'Maturity Adjustment'!$A$86:$C$91,3,0),S405)</f>
        <v>Tomorrow</v>
      </c>
      <c r="W405" s="12" t="e">
        <f>VLOOKUP(A405,'Account Mapping'!$A$2:$F$216,6,0)</f>
        <v>#N/A</v>
      </c>
      <c r="X405" s="194">
        <f t="shared" si="161"/>
        <v>-2912.26</v>
      </c>
      <c r="Y405" s="194">
        <f t="shared" si="162"/>
        <v>0</v>
      </c>
      <c r="Z405" s="13">
        <f t="shared" si="163"/>
        <v>0</v>
      </c>
      <c r="AA405" s="13">
        <f t="shared" si="164"/>
        <v>0</v>
      </c>
      <c r="AB405" s="13">
        <f t="shared" si="165"/>
        <v>0</v>
      </c>
      <c r="AC405" s="13">
        <f t="shared" si="166"/>
        <v>0</v>
      </c>
      <c r="AD405" s="13">
        <f t="shared" si="167"/>
        <v>0</v>
      </c>
      <c r="AE405" s="13">
        <f t="shared" si="168"/>
        <v>0</v>
      </c>
      <c r="AF405" s="13">
        <f t="shared" si="169"/>
        <v>0</v>
      </c>
      <c r="AG405" s="685">
        <f t="shared" si="170"/>
        <v>0</v>
      </c>
      <c r="AH405" s="688" t="b">
        <f t="shared" si="171"/>
        <v>1</v>
      </c>
    </row>
    <row r="406" spans="1:34" s="1" customFormat="1" ht="15" customHeight="1">
      <c r="A406" s="946">
        <v>12310002</v>
      </c>
      <c r="B406" s="946" t="s">
        <v>603</v>
      </c>
      <c r="C406" s="946" t="s">
        <v>622</v>
      </c>
      <c r="D406" s="946">
        <v>100000001</v>
      </c>
      <c r="E406" s="946" t="s">
        <v>33</v>
      </c>
      <c r="F406" s="946" t="s">
        <v>11</v>
      </c>
      <c r="G406" s="947">
        <v>-5043.8999999999996</v>
      </c>
      <c r="H406" s="947">
        <v>-5043.8999999999996</v>
      </c>
      <c r="I406" s="949">
        <v>44621</v>
      </c>
      <c r="J406" s="949">
        <v>46022</v>
      </c>
      <c r="K406" s="948"/>
      <c r="L406" s="29" t="e">
        <f>VLOOKUP(A406,'Account Mapping'!$A$2:$E$216,3,0)</f>
        <v>#N/A</v>
      </c>
      <c r="M406" s="25" t="e">
        <f>VLOOKUP(A406,'Account Mapping'!$A$2:$E$216,4,0)</f>
        <v>#N/A</v>
      </c>
      <c r="N406" s="26" t="e">
        <f>IF(OR(C406='Account Mapping'!$H$4,C406='Account Mapping'!$H$5,C406='Account Mapping'!$H$6),'Account Mapping'!$I$4,VLOOKUP(A406,'Account Mapping'!$A$2:$E$216,5,0))</f>
        <v>#N/A</v>
      </c>
      <c r="O406" s="27" t="e">
        <f>IF(OR(L406="Loan",L406="Deposit_Liability",L406="OFF_Unused Loan Commitment",L406="HQLA"),VLOOKUP(D406,'Customer Type'!$A$3:$C$38,3,0),"")</f>
        <v>#N/A</v>
      </c>
      <c r="P406" s="656" t="e">
        <f t="shared" si="159"/>
        <v>#N/A</v>
      </c>
      <c r="Q406" s="658">
        <f>IF(COUNTIF('Account Mapping'!$H$12:$H$45,A406)&gt;0,-H406,H406)</f>
        <v>-5043.8999999999996</v>
      </c>
      <c r="R406" s="249" t="e">
        <f>VLOOKUP(P406,Assumptions!$C$2:$D$64,2,0)</f>
        <v>#N/A</v>
      </c>
      <c r="S406" s="692" t="str">
        <f>IFERROR(VLOOKUP(A406,'Maturity Adjustment'!$A$3:$C$81,3,0),(IF(J406&lt;$N$4,"Tomorrow",J406)))</f>
        <v>Tomorrow</v>
      </c>
      <c r="T406" s="190">
        <f t="shared" si="172"/>
        <v>1</v>
      </c>
      <c r="U406" s="196" t="e">
        <f t="shared" si="160"/>
        <v>#N/A</v>
      </c>
      <c r="V406" s="11" t="str">
        <f>IFERROR(VLOOKUP(A406,'Maturity Adjustment'!$A$86:$C$91,3,0),S406)</f>
        <v>Tomorrow</v>
      </c>
      <c r="W406" s="12" t="e">
        <f>VLOOKUP(A406,'Account Mapping'!$A$2:$F$216,6,0)</f>
        <v>#N/A</v>
      </c>
      <c r="X406" s="194">
        <f t="shared" si="161"/>
        <v>-5043.8999999999996</v>
      </c>
      <c r="Y406" s="194">
        <f t="shared" si="162"/>
        <v>0</v>
      </c>
      <c r="Z406" s="13">
        <f t="shared" si="163"/>
        <v>0</v>
      </c>
      <c r="AA406" s="13">
        <f t="shared" si="164"/>
        <v>0</v>
      </c>
      <c r="AB406" s="13">
        <f t="shared" si="165"/>
        <v>0</v>
      </c>
      <c r="AC406" s="13">
        <f t="shared" si="166"/>
        <v>0</v>
      </c>
      <c r="AD406" s="13">
        <f t="shared" si="167"/>
        <v>0</v>
      </c>
      <c r="AE406" s="13">
        <f t="shared" si="168"/>
        <v>0</v>
      </c>
      <c r="AF406" s="13">
        <f t="shared" si="169"/>
        <v>0</v>
      </c>
      <c r="AG406" s="685">
        <f t="shared" si="170"/>
        <v>0</v>
      </c>
      <c r="AH406" s="688" t="b">
        <f t="shared" si="171"/>
        <v>1</v>
      </c>
    </row>
    <row r="407" spans="1:34" s="1" customFormat="1" ht="15" customHeight="1">
      <c r="A407" s="946">
        <v>12310002</v>
      </c>
      <c r="B407" s="946" t="s">
        <v>603</v>
      </c>
      <c r="C407" s="946" t="s">
        <v>623</v>
      </c>
      <c r="D407" s="946">
        <v>100000001</v>
      </c>
      <c r="E407" s="946" t="s">
        <v>33</v>
      </c>
      <c r="F407" s="946" t="s">
        <v>11</v>
      </c>
      <c r="G407" s="947">
        <v>-5392.35</v>
      </c>
      <c r="H407" s="947">
        <v>-5392.35</v>
      </c>
      <c r="I407" s="949">
        <v>44621</v>
      </c>
      <c r="J407" s="949">
        <v>45991</v>
      </c>
      <c r="K407" s="948"/>
      <c r="L407" s="29" t="e">
        <f>VLOOKUP(A407,'Account Mapping'!$A$2:$E$216,3,0)</f>
        <v>#N/A</v>
      </c>
      <c r="M407" s="25" t="e">
        <f>VLOOKUP(A407,'Account Mapping'!$A$2:$E$216,4,0)</f>
        <v>#N/A</v>
      </c>
      <c r="N407" s="26" t="e">
        <f>IF(OR(C407='Account Mapping'!$H$4,C407='Account Mapping'!$H$5,C407='Account Mapping'!$H$6),'Account Mapping'!$I$4,VLOOKUP(A407,'Account Mapping'!$A$2:$E$216,5,0))</f>
        <v>#N/A</v>
      </c>
      <c r="O407" s="27" t="e">
        <f>IF(OR(L407="Loan",L407="Deposit_Liability",L407="OFF_Unused Loan Commitment",L407="HQLA"),VLOOKUP(D407,'Customer Type'!$A$3:$C$38,3,0),"")</f>
        <v>#N/A</v>
      </c>
      <c r="P407" s="656" t="e">
        <f t="shared" si="159"/>
        <v>#N/A</v>
      </c>
      <c r="Q407" s="658">
        <f>IF(COUNTIF('Account Mapping'!$H$12:$H$45,A407)&gt;0,-H407,H407)</f>
        <v>-5392.35</v>
      </c>
      <c r="R407" s="249" t="e">
        <f>VLOOKUP(P407,Assumptions!$C$2:$D$64,2,0)</f>
        <v>#N/A</v>
      </c>
      <c r="S407" s="692" t="str">
        <f>IFERROR(VLOOKUP(A407,'Maturity Adjustment'!$A$3:$C$81,3,0),(IF(J407&lt;$N$4,"Tomorrow",J407)))</f>
        <v>Tomorrow</v>
      </c>
      <c r="T407" s="190">
        <f t="shared" si="172"/>
        <v>1</v>
      </c>
      <c r="U407" s="196" t="e">
        <f t="shared" si="160"/>
        <v>#N/A</v>
      </c>
      <c r="V407" s="11" t="str">
        <f>IFERROR(VLOOKUP(A407,'Maturity Adjustment'!$A$86:$C$91,3,0),S407)</f>
        <v>Tomorrow</v>
      </c>
      <c r="W407" s="12" t="e">
        <f>VLOOKUP(A407,'Account Mapping'!$A$2:$F$216,6,0)</f>
        <v>#N/A</v>
      </c>
      <c r="X407" s="194">
        <f t="shared" si="161"/>
        <v>-5392.35</v>
      </c>
      <c r="Y407" s="194">
        <f t="shared" si="162"/>
        <v>0</v>
      </c>
      <c r="Z407" s="13">
        <f t="shared" si="163"/>
        <v>0</v>
      </c>
      <c r="AA407" s="13">
        <f t="shared" si="164"/>
        <v>0</v>
      </c>
      <c r="AB407" s="13">
        <f t="shared" si="165"/>
        <v>0</v>
      </c>
      <c r="AC407" s="13">
        <f t="shared" si="166"/>
        <v>0</v>
      </c>
      <c r="AD407" s="13">
        <f t="shared" si="167"/>
        <v>0</v>
      </c>
      <c r="AE407" s="13">
        <f t="shared" si="168"/>
        <v>0</v>
      </c>
      <c r="AF407" s="13">
        <f t="shared" si="169"/>
        <v>0</v>
      </c>
      <c r="AG407" s="685">
        <f t="shared" si="170"/>
        <v>0</v>
      </c>
      <c r="AH407" s="688" t="b">
        <f t="shared" si="171"/>
        <v>1</v>
      </c>
    </row>
    <row r="408" spans="1:34" s="1" customFormat="1" ht="15" customHeight="1">
      <c r="A408" s="946">
        <v>12310002</v>
      </c>
      <c r="B408" s="946" t="s">
        <v>603</v>
      </c>
      <c r="C408" s="946" t="s">
        <v>624</v>
      </c>
      <c r="D408" s="946">
        <v>100000001</v>
      </c>
      <c r="E408" s="946" t="s">
        <v>33</v>
      </c>
      <c r="F408" s="946" t="s">
        <v>11</v>
      </c>
      <c r="G408" s="947">
        <v>-8050.92</v>
      </c>
      <c r="H408" s="947">
        <v>-8050.92</v>
      </c>
      <c r="I408" s="949">
        <v>44621</v>
      </c>
      <c r="J408" s="949">
        <v>46022</v>
      </c>
      <c r="K408" s="948"/>
      <c r="L408" s="29" t="e">
        <f>VLOOKUP(A408,'Account Mapping'!$A$2:$E$216,3,0)</f>
        <v>#N/A</v>
      </c>
      <c r="M408" s="25" t="e">
        <f>VLOOKUP(A408,'Account Mapping'!$A$2:$E$216,4,0)</f>
        <v>#N/A</v>
      </c>
      <c r="N408" s="26" t="e">
        <f>IF(OR(C408='Account Mapping'!$H$4,C408='Account Mapping'!$H$5,C408='Account Mapping'!$H$6),'Account Mapping'!$I$4,VLOOKUP(A408,'Account Mapping'!$A$2:$E$216,5,0))</f>
        <v>#N/A</v>
      </c>
      <c r="O408" s="27" t="e">
        <f>IF(OR(L408="Loan",L408="Deposit_Liability",L408="OFF_Unused Loan Commitment",L408="HQLA"),VLOOKUP(D408,'Customer Type'!$A$3:$C$38,3,0),"")</f>
        <v>#N/A</v>
      </c>
      <c r="P408" s="656" t="e">
        <f t="shared" si="159"/>
        <v>#N/A</v>
      </c>
      <c r="Q408" s="658">
        <f>IF(COUNTIF('Account Mapping'!$H$12:$H$45,A408)&gt;0,-H408,H408)</f>
        <v>-8050.92</v>
      </c>
      <c r="R408" s="249" t="e">
        <f>VLOOKUP(P408,Assumptions!$C$2:$D$64,2,0)</f>
        <v>#N/A</v>
      </c>
      <c r="S408" s="692" t="str">
        <f>IFERROR(VLOOKUP(A408,'Maturity Adjustment'!$A$3:$C$81,3,0),(IF(J408&lt;$N$4,"Tomorrow",J408)))</f>
        <v>Tomorrow</v>
      </c>
      <c r="T408" s="190">
        <f t="shared" si="172"/>
        <v>1</v>
      </c>
      <c r="U408" s="196" t="e">
        <f t="shared" si="160"/>
        <v>#N/A</v>
      </c>
      <c r="V408" s="11" t="str">
        <f>IFERROR(VLOOKUP(A408,'Maturity Adjustment'!$A$86:$C$91,3,0),S408)</f>
        <v>Tomorrow</v>
      </c>
      <c r="W408" s="12" t="e">
        <f>VLOOKUP(A408,'Account Mapping'!$A$2:$F$216,6,0)</f>
        <v>#N/A</v>
      </c>
      <c r="X408" s="194">
        <f t="shared" si="161"/>
        <v>-8050.92</v>
      </c>
      <c r="Y408" s="194">
        <f t="shared" si="162"/>
        <v>0</v>
      </c>
      <c r="Z408" s="13">
        <f t="shared" si="163"/>
        <v>0</v>
      </c>
      <c r="AA408" s="13">
        <f t="shared" si="164"/>
        <v>0</v>
      </c>
      <c r="AB408" s="13">
        <f t="shared" si="165"/>
        <v>0</v>
      </c>
      <c r="AC408" s="13">
        <f t="shared" si="166"/>
        <v>0</v>
      </c>
      <c r="AD408" s="13">
        <f t="shared" si="167"/>
        <v>0</v>
      </c>
      <c r="AE408" s="13">
        <f t="shared" si="168"/>
        <v>0</v>
      </c>
      <c r="AF408" s="13">
        <f t="shared" si="169"/>
        <v>0</v>
      </c>
      <c r="AG408" s="685">
        <f t="shared" si="170"/>
        <v>0</v>
      </c>
      <c r="AH408" s="688" t="b">
        <f t="shared" si="171"/>
        <v>1</v>
      </c>
    </row>
    <row r="409" spans="1:34" s="1" customFormat="1" ht="15" customHeight="1">
      <c r="A409" s="946">
        <v>12310002</v>
      </c>
      <c r="B409" s="946" t="s">
        <v>603</v>
      </c>
      <c r="C409" s="946" t="s">
        <v>625</v>
      </c>
      <c r="D409" s="946">
        <v>100000001</v>
      </c>
      <c r="E409" s="946" t="s">
        <v>33</v>
      </c>
      <c r="F409" s="946" t="s">
        <v>11</v>
      </c>
      <c r="G409" s="947">
        <v>-4278.83</v>
      </c>
      <c r="H409" s="947">
        <v>-4278.83</v>
      </c>
      <c r="I409" s="949">
        <v>44621</v>
      </c>
      <c r="J409" s="949">
        <v>45991</v>
      </c>
      <c r="K409" s="948"/>
      <c r="L409" s="29" t="e">
        <f>VLOOKUP(A409,'Account Mapping'!$A$2:$E$216,3,0)</f>
        <v>#N/A</v>
      </c>
      <c r="M409" s="25" t="e">
        <f>VLOOKUP(A409,'Account Mapping'!$A$2:$E$216,4,0)</f>
        <v>#N/A</v>
      </c>
      <c r="N409" s="26" t="e">
        <f>IF(OR(C409='Account Mapping'!$H$4,C409='Account Mapping'!$H$5,C409='Account Mapping'!$H$6),'Account Mapping'!$I$4,VLOOKUP(A409,'Account Mapping'!$A$2:$E$216,5,0))</f>
        <v>#N/A</v>
      </c>
      <c r="O409" s="27" t="e">
        <f>IF(OR(L409="Loan",L409="Deposit_Liability",L409="OFF_Unused Loan Commitment",L409="HQLA"),VLOOKUP(D409,'Customer Type'!$A$3:$C$38,3,0),"")</f>
        <v>#N/A</v>
      </c>
      <c r="P409" s="656" t="e">
        <f t="shared" si="159"/>
        <v>#N/A</v>
      </c>
      <c r="Q409" s="658">
        <f>IF(COUNTIF('Account Mapping'!$H$12:$H$45,A409)&gt;0,-H409,H409)</f>
        <v>-4278.83</v>
      </c>
      <c r="R409" s="249" t="e">
        <f>VLOOKUP(P409,Assumptions!$C$2:$D$64,2,0)</f>
        <v>#N/A</v>
      </c>
      <c r="S409" s="692" t="str">
        <f>IFERROR(VLOOKUP(A409,'Maturity Adjustment'!$A$3:$C$81,3,0),(IF(J409&lt;$N$4,"Tomorrow",J409)))</f>
        <v>Tomorrow</v>
      </c>
      <c r="T409" s="190">
        <f t="shared" si="172"/>
        <v>1</v>
      </c>
      <c r="U409" s="196" t="e">
        <f t="shared" si="160"/>
        <v>#N/A</v>
      </c>
      <c r="V409" s="11" t="str">
        <f>IFERROR(VLOOKUP(A409,'Maturity Adjustment'!$A$86:$C$91,3,0),S409)</f>
        <v>Tomorrow</v>
      </c>
      <c r="W409" s="12" t="e">
        <f>VLOOKUP(A409,'Account Mapping'!$A$2:$F$216,6,0)</f>
        <v>#N/A</v>
      </c>
      <c r="X409" s="194">
        <f t="shared" si="161"/>
        <v>-4278.83</v>
      </c>
      <c r="Y409" s="194">
        <f t="shared" si="162"/>
        <v>0</v>
      </c>
      <c r="Z409" s="13">
        <f t="shared" si="163"/>
        <v>0</v>
      </c>
      <c r="AA409" s="13">
        <f t="shared" si="164"/>
        <v>0</v>
      </c>
      <c r="AB409" s="13">
        <f t="shared" si="165"/>
        <v>0</v>
      </c>
      <c r="AC409" s="13">
        <f t="shared" si="166"/>
        <v>0</v>
      </c>
      <c r="AD409" s="13">
        <f t="shared" si="167"/>
        <v>0</v>
      </c>
      <c r="AE409" s="13">
        <f t="shared" si="168"/>
        <v>0</v>
      </c>
      <c r="AF409" s="13">
        <f t="shared" si="169"/>
        <v>0</v>
      </c>
      <c r="AG409" s="685">
        <f t="shared" si="170"/>
        <v>0</v>
      </c>
      <c r="AH409" s="688" t="b">
        <f t="shared" si="171"/>
        <v>1</v>
      </c>
    </row>
    <row r="410" spans="1:34" s="1" customFormat="1" ht="15" customHeight="1">
      <c r="A410" s="946">
        <v>12310002</v>
      </c>
      <c r="B410" s="946" t="s">
        <v>603</v>
      </c>
      <c r="C410" s="946" t="s">
        <v>626</v>
      </c>
      <c r="D410" s="946">
        <v>100000001</v>
      </c>
      <c r="E410" s="946" t="s">
        <v>33</v>
      </c>
      <c r="F410" s="946" t="s">
        <v>11</v>
      </c>
      <c r="G410" s="947">
        <v>-24837.119999999999</v>
      </c>
      <c r="H410" s="947">
        <v>-24837.119999999999</v>
      </c>
      <c r="I410" s="949">
        <v>44621</v>
      </c>
      <c r="J410" s="949">
        <v>45991</v>
      </c>
      <c r="K410" s="948"/>
      <c r="L410" s="29" t="e">
        <f>VLOOKUP(A410,'Account Mapping'!$A$2:$E$216,3,0)</f>
        <v>#N/A</v>
      </c>
      <c r="M410" s="25" t="e">
        <f>VLOOKUP(A410,'Account Mapping'!$A$2:$E$216,4,0)</f>
        <v>#N/A</v>
      </c>
      <c r="N410" s="26" t="e">
        <f>IF(OR(C410='Account Mapping'!$H$4,C410='Account Mapping'!$H$5,C410='Account Mapping'!$H$6),'Account Mapping'!$I$4,VLOOKUP(A410,'Account Mapping'!$A$2:$E$216,5,0))</f>
        <v>#N/A</v>
      </c>
      <c r="O410" s="27" t="e">
        <f>IF(OR(L410="Loan",L410="Deposit_Liability",L410="OFF_Unused Loan Commitment",L410="HQLA"),VLOOKUP(D410,'Customer Type'!$A$3:$C$38,3,0),"")</f>
        <v>#N/A</v>
      </c>
      <c r="P410" s="656" t="e">
        <f t="shared" si="159"/>
        <v>#N/A</v>
      </c>
      <c r="Q410" s="658">
        <f>IF(COUNTIF('Account Mapping'!$H$12:$H$45,A410)&gt;0,-H410,H410)</f>
        <v>-24837.119999999999</v>
      </c>
      <c r="R410" s="249" t="e">
        <f>VLOOKUP(P410,Assumptions!$C$2:$D$64,2,0)</f>
        <v>#N/A</v>
      </c>
      <c r="S410" s="692" t="str">
        <f>IFERROR(VLOOKUP(A410,'Maturity Adjustment'!$A$3:$C$81,3,0),(IF(J410&lt;$N$4,"Tomorrow",J410)))</f>
        <v>Tomorrow</v>
      </c>
      <c r="T410" s="190">
        <f t="shared" si="172"/>
        <v>1</v>
      </c>
      <c r="U410" s="196" t="e">
        <f t="shared" si="160"/>
        <v>#N/A</v>
      </c>
      <c r="V410" s="11" t="str">
        <f>IFERROR(VLOOKUP(A410,'Maturity Adjustment'!$A$86:$C$91,3,0),S410)</f>
        <v>Tomorrow</v>
      </c>
      <c r="W410" s="12" t="e">
        <f>VLOOKUP(A410,'Account Mapping'!$A$2:$F$216,6,0)</f>
        <v>#N/A</v>
      </c>
      <c r="X410" s="194">
        <f t="shared" si="161"/>
        <v>-24837.119999999999</v>
      </c>
      <c r="Y410" s="194">
        <f t="shared" si="162"/>
        <v>0</v>
      </c>
      <c r="Z410" s="13">
        <f t="shared" si="163"/>
        <v>0</v>
      </c>
      <c r="AA410" s="13">
        <f t="shared" si="164"/>
        <v>0</v>
      </c>
      <c r="AB410" s="13">
        <f t="shared" si="165"/>
        <v>0</v>
      </c>
      <c r="AC410" s="13">
        <f t="shared" si="166"/>
        <v>0</v>
      </c>
      <c r="AD410" s="13">
        <f t="shared" si="167"/>
        <v>0</v>
      </c>
      <c r="AE410" s="13">
        <f t="shared" si="168"/>
        <v>0</v>
      </c>
      <c r="AF410" s="13">
        <f t="shared" si="169"/>
        <v>0</v>
      </c>
      <c r="AG410" s="685">
        <f t="shared" si="170"/>
        <v>0</v>
      </c>
      <c r="AH410" s="688" t="b">
        <f t="shared" si="171"/>
        <v>1</v>
      </c>
    </row>
    <row r="411" spans="1:34" s="1" customFormat="1" ht="15" customHeight="1">
      <c r="A411" s="946">
        <v>12310002</v>
      </c>
      <c r="B411" s="946" t="s">
        <v>603</v>
      </c>
      <c r="C411" s="946" t="s">
        <v>627</v>
      </c>
      <c r="D411" s="946">
        <v>100000001</v>
      </c>
      <c r="E411" s="946" t="s">
        <v>33</v>
      </c>
      <c r="F411" s="946" t="s">
        <v>11</v>
      </c>
      <c r="G411" s="947">
        <v>-189.45</v>
      </c>
      <c r="H411" s="947">
        <v>-189.45</v>
      </c>
      <c r="I411" s="949">
        <v>44621</v>
      </c>
      <c r="J411" s="949">
        <v>45991</v>
      </c>
      <c r="K411" s="948"/>
      <c r="L411" s="29" t="e">
        <f>VLOOKUP(A411,'Account Mapping'!$A$2:$E$216,3,0)</f>
        <v>#N/A</v>
      </c>
      <c r="M411" s="25" t="e">
        <f>VLOOKUP(A411,'Account Mapping'!$A$2:$E$216,4,0)</f>
        <v>#N/A</v>
      </c>
      <c r="N411" s="26" t="e">
        <f>IF(OR(C411='Account Mapping'!$H$4,C411='Account Mapping'!$H$5,C411='Account Mapping'!$H$6),'Account Mapping'!$I$4,VLOOKUP(A411,'Account Mapping'!$A$2:$E$216,5,0))</f>
        <v>#N/A</v>
      </c>
      <c r="O411" s="27" t="e">
        <f>IF(OR(L411="Loan",L411="Deposit_Liability",L411="OFF_Unused Loan Commitment",L411="HQLA"),VLOOKUP(D411,'Customer Type'!$A$3:$C$38,3,0),"")</f>
        <v>#N/A</v>
      </c>
      <c r="P411" s="656" t="e">
        <f t="shared" si="159"/>
        <v>#N/A</v>
      </c>
      <c r="Q411" s="658">
        <f>IF(COUNTIF('Account Mapping'!$H$12:$H$45,A411)&gt;0,-H411,H411)</f>
        <v>-189.45</v>
      </c>
      <c r="R411" s="249" t="e">
        <f>VLOOKUP(P411,Assumptions!$C$2:$D$64,2,0)</f>
        <v>#N/A</v>
      </c>
      <c r="S411" s="692" t="str">
        <f>IFERROR(VLOOKUP(A411,'Maturity Adjustment'!$A$3:$C$81,3,0),(IF(J411&lt;$N$4,"Tomorrow",J411)))</f>
        <v>Tomorrow</v>
      </c>
      <c r="T411" s="190">
        <f t="shared" si="172"/>
        <v>1</v>
      </c>
      <c r="U411" s="196" t="e">
        <f t="shared" si="160"/>
        <v>#N/A</v>
      </c>
      <c r="V411" s="11" t="str">
        <f>IFERROR(VLOOKUP(A411,'Maturity Adjustment'!$A$86:$C$91,3,0),S411)</f>
        <v>Tomorrow</v>
      </c>
      <c r="W411" s="12" t="e">
        <f>VLOOKUP(A411,'Account Mapping'!$A$2:$F$216,6,0)</f>
        <v>#N/A</v>
      </c>
      <c r="X411" s="194">
        <f t="shared" si="161"/>
        <v>-189.45</v>
      </c>
      <c r="Y411" s="194">
        <f t="shared" si="162"/>
        <v>0</v>
      </c>
      <c r="Z411" s="13">
        <f t="shared" si="163"/>
        <v>0</v>
      </c>
      <c r="AA411" s="13">
        <f t="shared" si="164"/>
        <v>0</v>
      </c>
      <c r="AB411" s="13">
        <f t="shared" si="165"/>
        <v>0</v>
      </c>
      <c r="AC411" s="13">
        <f t="shared" si="166"/>
        <v>0</v>
      </c>
      <c r="AD411" s="13">
        <f t="shared" si="167"/>
        <v>0</v>
      </c>
      <c r="AE411" s="13">
        <f t="shared" si="168"/>
        <v>0</v>
      </c>
      <c r="AF411" s="13">
        <f t="shared" si="169"/>
        <v>0</v>
      </c>
      <c r="AG411" s="685">
        <f t="shared" si="170"/>
        <v>0</v>
      </c>
      <c r="AH411" s="688" t="b">
        <f t="shared" si="171"/>
        <v>1</v>
      </c>
    </row>
    <row r="412" spans="1:34" s="1" customFormat="1" ht="15" customHeight="1">
      <c r="A412" s="946">
        <v>12310002</v>
      </c>
      <c r="B412" s="946" t="s">
        <v>603</v>
      </c>
      <c r="C412" s="946" t="s">
        <v>628</v>
      </c>
      <c r="D412" s="946">
        <v>100000001</v>
      </c>
      <c r="E412" s="946" t="s">
        <v>33</v>
      </c>
      <c r="F412" s="946" t="s">
        <v>11</v>
      </c>
      <c r="G412" s="947">
        <v>-23817.15</v>
      </c>
      <c r="H412" s="947">
        <v>-23817.15</v>
      </c>
      <c r="I412" s="949">
        <v>44621</v>
      </c>
      <c r="J412" s="949">
        <v>45991</v>
      </c>
      <c r="K412" s="948"/>
      <c r="L412" s="29" t="e">
        <f>VLOOKUP(A412,'Account Mapping'!$A$2:$E$216,3,0)</f>
        <v>#N/A</v>
      </c>
      <c r="M412" s="25" t="e">
        <f>VLOOKUP(A412,'Account Mapping'!$A$2:$E$216,4,0)</f>
        <v>#N/A</v>
      </c>
      <c r="N412" s="26" t="e">
        <f>IF(OR(C412='Account Mapping'!$H$4,C412='Account Mapping'!$H$5,C412='Account Mapping'!$H$6),'Account Mapping'!$I$4,VLOOKUP(A412,'Account Mapping'!$A$2:$E$216,5,0))</f>
        <v>#N/A</v>
      </c>
      <c r="O412" s="27" t="e">
        <f>IF(OR(L412="Loan",L412="Deposit_Liability",L412="OFF_Unused Loan Commitment",L412="HQLA"),VLOOKUP(D412,'Customer Type'!$A$3:$C$38,3,0),"")</f>
        <v>#N/A</v>
      </c>
      <c r="P412" s="656" t="e">
        <f t="shared" si="159"/>
        <v>#N/A</v>
      </c>
      <c r="Q412" s="658">
        <f>IF(COUNTIF('Account Mapping'!$H$12:$H$45,A412)&gt;0,-H412,H412)</f>
        <v>-23817.15</v>
      </c>
      <c r="R412" s="249" t="e">
        <f>VLOOKUP(P412,Assumptions!$C$2:$D$64,2,0)</f>
        <v>#N/A</v>
      </c>
      <c r="S412" s="692" t="str">
        <f>IFERROR(VLOOKUP(A412,'Maturity Adjustment'!$A$3:$C$81,3,0),(IF(J412&lt;$N$4,"Tomorrow",J412)))</f>
        <v>Tomorrow</v>
      </c>
      <c r="T412" s="190">
        <f t="shared" si="172"/>
        <v>1</v>
      </c>
      <c r="U412" s="196" t="e">
        <f t="shared" si="160"/>
        <v>#N/A</v>
      </c>
      <c r="V412" s="11" t="str">
        <f>IFERROR(VLOOKUP(A412,'Maturity Adjustment'!$A$86:$C$91,3,0),S412)</f>
        <v>Tomorrow</v>
      </c>
      <c r="W412" s="12" t="e">
        <f>VLOOKUP(A412,'Account Mapping'!$A$2:$F$216,6,0)</f>
        <v>#N/A</v>
      </c>
      <c r="X412" s="194">
        <f t="shared" si="161"/>
        <v>-23817.15</v>
      </c>
      <c r="Y412" s="194">
        <f t="shared" si="162"/>
        <v>0</v>
      </c>
      <c r="Z412" s="13">
        <f t="shared" si="163"/>
        <v>0</v>
      </c>
      <c r="AA412" s="13">
        <f t="shared" si="164"/>
        <v>0</v>
      </c>
      <c r="AB412" s="13">
        <f t="shared" si="165"/>
        <v>0</v>
      </c>
      <c r="AC412" s="13">
        <f t="shared" si="166"/>
        <v>0</v>
      </c>
      <c r="AD412" s="13">
        <f t="shared" si="167"/>
        <v>0</v>
      </c>
      <c r="AE412" s="13">
        <f t="shared" si="168"/>
        <v>0</v>
      </c>
      <c r="AF412" s="13">
        <f t="shared" si="169"/>
        <v>0</v>
      </c>
      <c r="AG412" s="685">
        <f t="shared" si="170"/>
        <v>0</v>
      </c>
      <c r="AH412" s="688" t="b">
        <f t="shared" si="171"/>
        <v>1</v>
      </c>
    </row>
    <row r="413" spans="1:34" s="1" customFormat="1" ht="15" customHeight="1">
      <c r="A413" s="946">
        <v>12310002</v>
      </c>
      <c r="B413" s="946" t="s">
        <v>603</v>
      </c>
      <c r="C413" s="946" t="s">
        <v>629</v>
      </c>
      <c r="D413" s="946">
        <v>100000001</v>
      </c>
      <c r="E413" s="946" t="s">
        <v>33</v>
      </c>
      <c r="F413" s="946" t="s">
        <v>11</v>
      </c>
      <c r="G413" s="947">
        <v>-1202.76</v>
      </c>
      <c r="H413" s="947">
        <v>-1202.76</v>
      </c>
      <c r="I413" s="949">
        <v>44621</v>
      </c>
      <c r="J413" s="949">
        <v>45991</v>
      </c>
      <c r="K413" s="948"/>
      <c r="L413" s="29" t="e">
        <f>VLOOKUP(A413,'Account Mapping'!$A$2:$E$216,3,0)</f>
        <v>#N/A</v>
      </c>
      <c r="M413" s="25" t="e">
        <f>VLOOKUP(A413,'Account Mapping'!$A$2:$E$216,4,0)</f>
        <v>#N/A</v>
      </c>
      <c r="N413" s="26" t="e">
        <f>IF(OR(C413='Account Mapping'!$H$4,C413='Account Mapping'!$H$5,C413='Account Mapping'!$H$6),'Account Mapping'!$I$4,VLOOKUP(A413,'Account Mapping'!$A$2:$E$216,5,0))</f>
        <v>#N/A</v>
      </c>
      <c r="O413" s="27" t="e">
        <f>IF(OR(L413="Loan",L413="Deposit_Liability",L413="OFF_Unused Loan Commitment",L413="HQLA"),VLOOKUP(D413,'Customer Type'!$A$3:$C$38,3,0),"")</f>
        <v>#N/A</v>
      </c>
      <c r="P413" s="656" t="e">
        <f t="shared" si="159"/>
        <v>#N/A</v>
      </c>
      <c r="Q413" s="658">
        <f>IF(COUNTIF('Account Mapping'!$H$12:$H$45,A413)&gt;0,-H413,H413)</f>
        <v>-1202.76</v>
      </c>
      <c r="R413" s="249" t="e">
        <f>VLOOKUP(P413,Assumptions!$C$2:$D$64,2,0)</f>
        <v>#N/A</v>
      </c>
      <c r="S413" s="692" t="str">
        <f>IFERROR(VLOOKUP(A413,'Maturity Adjustment'!$A$3:$C$81,3,0),(IF(J413&lt;$N$4,"Tomorrow",J413)))</f>
        <v>Tomorrow</v>
      </c>
      <c r="T413" s="190">
        <f t="shared" si="172"/>
        <v>1</v>
      </c>
      <c r="U413" s="196" t="e">
        <f t="shared" si="160"/>
        <v>#N/A</v>
      </c>
      <c r="V413" s="11" t="str">
        <f>IFERROR(VLOOKUP(A413,'Maturity Adjustment'!$A$86:$C$91,3,0),S413)</f>
        <v>Tomorrow</v>
      </c>
      <c r="W413" s="12" t="e">
        <f>VLOOKUP(A413,'Account Mapping'!$A$2:$F$216,6,0)</f>
        <v>#N/A</v>
      </c>
      <c r="X413" s="194">
        <f t="shared" si="161"/>
        <v>-1202.76</v>
      </c>
      <c r="Y413" s="194">
        <f t="shared" si="162"/>
        <v>0</v>
      </c>
      <c r="Z413" s="13">
        <f t="shared" si="163"/>
        <v>0</v>
      </c>
      <c r="AA413" s="13">
        <f t="shared" si="164"/>
        <v>0</v>
      </c>
      <c r="AB413" s="13">
        <f t="shared" si="165"/>
        <v>0</v>
      </c>
      <c r="AC413" s="13">
        <f t="shared" si="166"/>
        <v>0</v>
      </c>
      <c r="AD413" s="13">
        <f t="shared" si="167"/>
        <v>0</v>
      </c>
      <c r="AE413" s="13">
        <f t="shared" si="168"/>
        <v>0</v>
      </c>
      <c r="AF413" s="13">
        <f t="shared" si="169"/>
        <v>0</v>
      </c>
      <c r="AG413" s="685">
        <f t="shared" si="170"/>
        <v>0</v>
      </c>
      <c r="AH413" s="688" t="b">
        <f t="shared" si="171"/>
        <v>1</v>
      </c>
    </row>
    <row r="414" spans="1:34" s="1" customFormat="1" ht="15" customHeight="1">
      <c r="A414" s="946">
        <v>12310002</v>
      </c>
      <c r="B414" s="946" t="s">
        <v>603</v>
      </c>
      <c r="C414" s="946" t="s">
        <v>630</v>
      </c>
      <c r="D414" s="946">
        <v>100000001</v>
      </c>
      <c r="E414" s="946" t="s">
        <v>33</v>
      </c>
      <c r="F414" s="946" t="s">
        <v>11</v>
      </c>
      <c r="G414" s="947">
        <v>-3640.76</v>
      </c>
      <c r="H414" s="947">
        <v>-3640.76</v>
      </c>
      <c r="I414" s="949">
        <v>44621</v>
      </c>
      <c r="J414" s="949">
        <v>45991</v>
      </c>
      <c r="K414" s="948"/>
      <c r="L414" s="29" t="e">
        <f>VLOOKUP(A414,'Account Mapping'!$A$2:$E$216,3,0)</f>
        <v>#N/A</v>
      </c>
      <c r="M414" s="25" t="e">
        <f>VLOOKUP(A414,'Account Mapping'!$A$2:$E$216,4,0)</f>
        <v>#N/A</v>
      </c>
      <c r="N414" s="26" t="e">
        <f>IF(OR(C414='Account Mapping'!$H$4,C414='Account Mapping'!$H$5,C414='Account Mapping'!$H$6),'Account Mapping'!$I$4,VLOOKUP(A414,'Account Mapping'!$A$2:$E$216,5,0))</f>
        <v>#N/A</v>
      </c>
      <c r="O414" s="27" t="e">
        <f>IF(OR(L414="Loan",L414="Deposit_Liability",L414="OFF_Unused Loan Commitment",L414="HQLA"),VLOOKUP(D414,'Customer Type'!$A$3:$C$38,3,0),"")</f>
        <v>#N/A</v>
      </c>
      <c r="P414" s="656" t="e">
        <f t="shared" si="159"/>
        <v>#N/A</v>
      </c>
      <c r="Q414" s="658">
        <f>IF(COUNTIF('Account Mapping'!$H$12:$H$45,A414)&gt;0,-H414,H414)</f>
        <v>-3640.76</v>
      </c>
      <c r="R414" s="249" t="e">
        <f>VLOOKUP(P414,Assumptions!$C$2:$D$64,2,0)</f>
        <v>#N/A</v>
      </c>
      <c r="S414" s="692" t="str">
        <f>IFERROR(VLOOKUP(A414,'Maturity Adjustment'!$A$3:$C$81,3,0),(IF(J414&lt;$N$4,"Tomorrow",J414)))</f>
        <v>Tomorrow</v>
      </c>
      <c r="T414" s="190">
        <f t="shared" si="172"/>
        <v>1</v>
      </c>
      <c r="U414" s="196" t="e">
        <f t="shared" si="160"/>
        <v>#N/A</v>
      </c>
      <c r="V414" s="11" t="str">
        <f>IFERROR(VLOOKUP(A414,'Maturity Adjustment'!$A$86:$C$91,3,0),S414)</f>
        <v>Tomorrow</v>
      </c>
      <c r="W414" s="12" t="e">
        <f>VLOOKUP(A414,'Account Mapping'!$A$2:$F$216,6,0)</f>
        <v>#N/A</v>
      </c>
      <c r="X414" s="194">
        <f t="shared" si="161"/>
        <v>-3640.76</v>
      </c>
      <c r="Y414" s="194">
        <f t="shared" si="162"/>
        <v>0</v>
      </c>
      <c r="Z414" s="13">
        <f t="shared" si="163"/>
        <v>0</v>
      </c>
      <c r="AA414" s="13">
        <f t="shared" si="164"/>
        <v>0</v>
      </c>
      <c r="AB414" s="13">
        <f t="shared" si="165"/>
        <v>0</v>
      </c>
      <c r="AC414" s="13">
        <f t="shared" si="166"/>
        <v>0</v>
      </c>
      <c r="AD414" s="13">
        <f t="shared" si="167"/>
        <v>0</v>
      </c>
      <c r="AE414" s="13">
        <f t="shared" si="168"/>
        <v>0</v>
      </c>
      <c r="AF414" s="13">
        <f t="shared" si="169"/>
        <v>0</v>
      </c>
      <c r="AG414" s="685">
        <f t="shared" si="170"/>
        <v>0</v>
      </c>
      <c r="AH414" s="688" t="b">
        <f t="shared" si="171"/>
        <v>1</v>
      </c>
    </row>
    <row r="415" spans="1:34" s="1" customFormat="1" ht="15" customHeight="1">
      <c r="A415" s="946">
        <v>12310002</v>
      </c>
      <c r="B415" s="946" t="s">
        <v>603</v>
      </c>
      <c r="C415" s="946" t="s">
        <v>631</v>
      </c>
      <c r="D415" s="946">
        <v>100000001</v>
      </c>
      <c r="E415" s="946" t="s">
        <v>33</v>
      </c>
      <c r="F415" s="946" t="s">
        <v>11</v>
      </c>
      <c r="G415" s="947">
        <v>-21369.49</v>
      </c>
      <c r="H415" s="947">
        <v>-21369.49</v>
      </c>
      <c r="I415" s="949">
        <v>44621</v>
      </c>
      <c r="J415" s="949">
        <v>46477</v>
      </c>
      <c r="K415" s="948"/>
      <c r="L415" s="29" t="e">
        <f>VLOOKUP(A415,'Account Mapping'!$A$2:$E$216,3,0)</f>
        <v>#N/A</v>
      </c>
      <c r="M415" s="25" t="e">
        <f>VLOOKUP(A415,'Account Mapping'!$A$2:$E$216,4,0)</f>
        <v>#N/A</v>
      </c>
      <c r="N415" s="26" t="e">
        <f>IF(OR(C415='Account Mapping'!$H$4,C415='Account Mapping'!$H$5,C415='Account Mapping'!$H$6),'Account Mapping'!$I$4,VLOOKUP(A415,'Account Mapping'!$A$2:$E$216,5,0))</f>
        <v>#N/A</v>
      </c>
      <c r="O415" s="27" t="e">
        <f>IF(OR(L415="Loan",L415="Deposit_Liability",L415="OFF_Unused Loan Commitment",L415="HQLA"),VLOOKUP(D415,'Customer Type'!$A$3:$C$38,3,0),"")</f>
        <v>#N/A</v>
      </c>
      <c r="P415" s="656" t="e">
        <f t="shared" si="159"/>
        <v>#N/A</v>
      </c>
      <c r="Q415" s="658">
        <f>IF(COUNTIF('Account Mapping'!$H$12:$H$45,A415)&gt;0,-H415,H415)</f>
        <v>-21369.49</v>
      </c>
      <c r="R415" s="249" t="e">
        <f>VLOOKUP(P415,Assumptions!$C$2:$D$64,2,0)</f>
        <v>#N/A</v>
      </c>
      <c r="S415" s="692">
        <f>IFERROR(VLOOKUP(A415,'Maturity Adjustment'!$A$3:$C$81,3,0),(IF(J415&lt;$N$4,"Tomorrow",J415)))</f>
        <v>46477</v>
      </c>
      <c r="T415" s="190">
        <f t="shared" si="172"/>
        <v>419</v>
      </c>
      <c r="U415" s="196" t="e">
        <f t="shared" si="160"/>
        <v>#N/A</v>
      </c>
      <c r="V415" s="11">
        <f>IFERROR(VLOOKUP(A415,'Maturity Adjustment'!$A$86:$C$91,3,0),S415)</f>
        <v>46477</v>
      </c>
      <c r="W415" s="12" t="e">
        <f>VLOOKUP(A415,'Account Mapping'!$A$2:$F$216,6,0)</f>
        <v>#N/A</v>
      </c>
      <c r="X415" s="194">
        <f t="shared" si="161"/>
        <v>0</v>
      </c>
      <c r="Y415" s="194">
        <f t="shared" si="162"/>
        <v>0</v>
      </c>
      <c r="Z415" s="13">
        <f t="shared" si="163"/>
        <v>0</v>
      </c>
      <c r="AA415" s="13">
        <f t="shared" si="164"/>
        <v>0</v>
      </c>
      <c r="AB415" s="13">
        <f t="shared" si="165"/>
        <v>0</v>
      </c>
      <c r="AC415" s="13">
        <f t="shared" si="166"/>
        <v>0</v>
      </c>
      <c r="AD415" s="13">
        <f t="shared" si="167"/>
        <v>-21369.49</v>
      </c>
      <c r="AE415" s="13">
        <f t="shared" si="168"/>
        <v>0</v>
      </c>
      <c r="AF415" s="13">
        <f t="shared" si="169"/>
        <v>0</v>
      </c>
      <c r="AG415" s="685">
        <f t="shared" si="170"/>
        <v>0</v>
      </c>
      <c r="AH415" s="688" t="b">
        <f t="shared" si="171"/>
        <v>1</v>
      </c>
    </row>
    <row r="416" spans="1:34" s="1" customFormat="1" ht="15" customHeight="1">
      <c r="A416" s="946">
        <v>12310002</v>
      </c>
      <c r="B416" s="946" t="s">
        <v>603</v>
      </c>
      <c r="C416" s="946" t="s">
        <v>631</v>
      </c>
      <c r="D416" s="946">
        <v>100000001</v>
      </c>
      <c r="E416" s="946" t="s">
        <v>33</v>
      </c>
      <c r="F416" s="946" t="s">
        <v>11</v>
      </c>
      <c r="G416" s="947">
        <v>-89.61</v>
      </c>
      <c r="H416" s="947">
        <v>-89.61</v>
      </c>
      <c r="I416" s="949">
        <v>44621</v>
      </c>
      <c r="J416" s="949">
        <v>46477</v>
      </c>
      <c r="K416" s="948"/>
      <c r="L416" s="29" t="e">
        <f>VLOOKUP(A416,'Account Mapping'!$A$2:$E$216,3,0)</f>
        <v>#N/A</v>
      </c>
      <c r="M416" s="25" t="e">
        <f>VLOOKUP(A416,'Account Mapping'!$A$2:$E$216,4,0)</f>
        <v>#N/A</v>
      </c>
      <c r="N416" s="26" t="e">
        <f>IF(OR(C416='Account Mapping'!$H$4,C416='Account Mapping'!$H$5,C416='Account Mapping'!$H$6),'Account Mapping'!$I$4,VLOOKUP(A416,'Account Mapping'!$A$2:$E$216,5,0))</f>
        <v>#N/A</v>
      </c>
      <c r="O416" s="27" t="e">
        <f>IF(OR(L416="Loan",L416="Deposit_Liability",L416="OFF_Unused Loan Commitment",L416="HQLA"),VLOOKUP(D416,'Customer Type'!$A$3:$C$38,3,0),"")</f>
        <v>#N/A</v>
      </c>
      <c r="P416" s="656" t="e">
        <f t="shared" si="159"/>
        <v>#N/A</v>
      </c>
      <c r="Q416" s="658">
        <f>IF(COUNTIF('Account Mapping'!$H$12:$H$45,A416)&gt;0,-H416,H416)</f>
        <v>-89.61</v>
      </c>
      <c r="R416" s="249" t="e">
        <f>VLOOKUP(P416,Assumptions!$C$2:$D$64,2,0)</f>
        <v>#N/A</v>
      </c>
      <c r="S416" s="692">
        <f>IFERROR(VLOOKUP(A416,'Maturity Adjustment'!$A$3:$C$81,3,0),(IF(J416&lt;$N$4,"Tomorrow",J416)))</f>
        <v>46477</v>
      </c>
      <c r="T416" s="190">
        <f t="shared" si="172"/>
        <v>419</v>
      </c>
      <c r="U416" s="196" t="e">
        <f t="shared" si="160"/>
        <v>#N/A</v>
      </c>
      <c r="V416" s="11">
        <f>IFERROR(VLOOKUP(A416,'Maturity Adjustment'!$A$86:$C$91,3,0),S416)</f>
        <v>46477</v>
      </c>
      <c r="W416" s="12" t="e">
        <f>VLOOKUP(A416,'Account Mapping'!$A$2:$F$216,6,0)</f>
        <v>#N/A</v>
      </c>
      <c r="X416" s="194">
        <f t="shared" si="161"/>
        <v>0</v>
      </c>
      <c r="Y416" s="194">
        <f t="shared" si="162"/>
        <v>0</v>
      </c>
      <c r="Z416" s="13">
        <f t="shared" si="163"/>
        <v>0</v>
      </c>
      <c r="AA416" s="13">
        <f t="shared" si="164"/>
        <v>0</v>
      </c>
      <c r="AB416" s="13">
        <f t="shared" si="165"/>
        <v>0</v>
      </c>
      <c r="AC416" s="13">
        <f t="shared" si="166"/>
        <v>0</v>
      </c>
      <c r="AD416" s="13">
        <f t="shared" si="167"/>
        <v>-89.61</v>
      </c>
      <c r="AE416" s="13">
        <f t="shared" si="168"/>
        <v>0</v>
      </c>
      <c r="AF416" s="13">
        <f t="shared" si="169"/>
        <v>0</v>
      </c>
      <c r="AG416" s="685">
        <f t="shared" si="170"/>
        <v>0</v>
      </c>
      <c r="AH416" s="688" t="b">
        <f t="shared" si="171"/>
        <v>1</v>
      </c>
    </row>
    <row r="417" spans="1:34" s="1" customFormat="1" ht="15" customHeight="1">
      <c r="A417" s="946">
        <v>12310002</v>
      </c>
      <c r="B417" s="946" t="s">
        <v>603</v>
      </c>
      <c r="C417" s="946" t="s">
        <v>632</v>
      </c>
      <c r="D417" s="946">
        <v>100000001</v>
      </c>
      <c r="E417" s="946" t="s">
        <v>33</v>
      </c>
      <c r="F417" s="946" t="s">
        <v>11</v>
      </c>
      <c r="G417" s="947">
        <v>-19.16</v>
      </c>
      <c r="H417" s="947">
        <v>-19.16</v>
      </c>
      <c r="I417" s="949">
        <v>44805</v>
      </c>
      <c r="J417" s="949">
        <v>46265</v>
      </c>
      <c r="K417" s="948"/>
      <c r="L417" s="29" t="e">
        <f>VLOOKUP(A417,'Account Mapping'!$A$2:$E$216,3,0)</f>
        <v>#N/A</v>
      </c>
      <c r="M417" s="25" t="e">
        <f>VLOOKUP(A417,'Account Mapping'!$A$2:$E$216,4,0)</f>
        <v>#N/A</v>
      </c>
      <c r="N417" s="26" t="e">
        <f>IF(OR(C417='Account Mapping'!$H$4,C417='Account Mapping'!$H$5,C417='Account Mapping'!$H$6),'Account Mapping'!$I$4,VLOOKUP(A417,'Account Mapping'!$A$2:$E$216,5,0))</f>
        <v>#N/A</v>
      </c>
      <c r="O417" s="27" t="e">
        <f>IF(OR(L417="Loan",L417="Deposit_Liability",L417="OFF_Unused Loan Commitment",L417="HQLA"),VLOOKUP(D417,'Customer Type'!$A$3:$C$38,3,0),"")</f>
        <v>#N/A</v>
      </c>
      <c r="P417" s="656" t="e">
        <f t="shared" si="159"/>
        <v>#N/A</v>
      </c>
      <c r="Q417" s="658">
        <f>IF(COUNTIF('Account Mapping'!$H$12:$H$45,A417)&gt;0,-H417,H417)</f>
        <v>-19.16</v>
      </c>
      <c r="R417" s="249" t="e">
        <f>VLOOKUP(P417,Assumptions!$C$2:$D$64,2,0)</f>
        <v>#N/A</v>
      </c>
      <c r="S417" s="692">
        <f>IFERROR(VLOOKUP(A417,'Maturity Adjustment'!$A$3:$C$81,3,0),(IF(J417&lt;$N$4,"Tomorrow",J417)))</f>
        <v>46265</v>
      </c>
      <c r="T417" s="190">
        <f t="shared" si="172"/>
        <v>207</v>
      </c>
      <c r="U417" s="196" t="e">
        <f t="shared" si="160"/>
        <v>#N/A</v>
      </c>
      <c r="V417" s="11">
        <f>IFERROR(VLOOKUP(A417,'Maturity Adjustment'!$A$86:$C$91,3,0),S417)</f>
        <v>46265</v>
      </c>
      <c r="W417" s="12" t="e">
        <f>VLOOKUP(A417,'Account Mapping'!$A$2:$F$216,6,0)</f>
        <v>#N/A</v>
      </c>
      <c r="X417" s="194">
        <f t="shared" si="161"/>
        <v>0</v>
      </c>
      <c r="Y417" s="194">
        <f t="shared" si="162"/>
        <v>0</v>
      </c>
      <c r="Z417" s="13">
        <f t="shared" si="163"/>
        <v>0</v>
      </c>
      <c r="AA417" s="13">
        <f t="shared" si="164"/>
        <v>0</v>
      </c>
      <c r="AB417" s="13">
        <f t="shared" si="165"/>
        <v>0</v>
      </c>
      <c r="AC417" s="13">
        <f t="shared" si="166"/>
        <v>-19.16</v>
      </c>
      <c r="AD417" s="13">
        <f t="shared" si="167"/>
        <v>0</v>
      </c>
      <c r="AE417" s="13">
        <f t="shared" si="168"/>
        <v>0</v>
      </c>
      <c r="AF417" s="13">
        <f t="shared" si="169"/>
        <v>0</v>
      </c>
      <c r="AG417" s="685">
        <f t="shared" si="170"/>
        <v>0</v>
      </c>
      <c r="AH417" s="688" t="b">
        <f t="shared" si="171"/>
        <v>1</v>
      </c>
    </row>
    <row r="418" spans="1:34" s="1" customFormat="1" ht="15" customHeight="1">
      <c r="A418" s="946">
        <v>12310002</v>
      </c>
      <c r="B418" s="946" t="s">
        <v>603</v>
      </c>
      <c r="C418" s="946" t="s">
        <v>632</v>
      </c>
      <c r="D418" s="946">
        <v>100000001</v>
      </c>
      <c r="E418" s="946" t="s">
        <v>33</v>
      </c>
      <c r="F418" s="946" t="s">
        <v>11</v>
      </c>
      <c r="G418" s="947">
        <v>-3984.79</v>
      </c>
      <c r="H418" s="947">
        <v>-3984.79</v>
      </c>
      <c r="I418" s="949">
        <v>44805</v>
      </c>
      <c r="J418" s="949">
        <v>46265</v>
      </c>
      <c r="K418" s="948"/>
      <c r="L418" s="29" t="e">
        <f>VLOOKUP(A418,'Account Mapping'!$A$2:$E$216,3,0)</f>
        <v>#N/A</v>
      </c>
      <c r="M418" s="25" t="e">
        <f>VLOOKUP(A418,'Account Mapping'!$A$2:$E$216,4,0)</f>
        <v>#N/A</v>
      </c>
      <c r="N418" s="26" t="e">
        <f>IF(OR(C418='Account Mapping'!$H$4,C418='Account Mapping'!$H$5,C418='Account Mapping'!$H$6),'Account Mapping'!$I$4,VLOOKUP(A418,'Account Mapping'!$A$2:$E$216,5,0))</f>
        <v>#N/A</v>
      </c>
      <c r="O418" s="27" t="e">
        <f>IF(OR(L418="Loan",L418="Deposit_Liability",L418="OFF_Unused Loan Commitment",L418="HQLA"),VLOOKUP(D418,'Customer Type'!$A$3:$C$38,3,0),"")</f>
        <v>#N/A</v>
      </c>
      <c r="P418" s="656" t="e">
        <f t="shared" si="159"/>
        <v>#N/A</v>
      </c>
      <c r="Q418" s="658">
        <f>IF(COUNTIF('Account Mapping'!$H$12:$H$45,A418)&gt;0,-H418,H418)</f>
        <v>-3984.79</v>
      </c>
      <c r="R418" s="249" t="e">
        <f>VLOOKUP(P418,Assumptions!$C$2:$D$64,2,0)</f>
        <v>#N/A</v>
      </c>
      <c r="S418" s="692">
        <f>IFERROR(VLOOKUP(A418,'Maturity Adjustment'!$A$3:$C$81,3,0),(IF(J418&lt;$N$4,"Tomorrow",J418)))</f>
        <v>46265</v>
      </c>
      <c r="T418" s="190">
        <f t="shared" si="172"/>
        <v>207</v>
      </c>
      <c r="U418" s="196" t="e">
        <f t="shared" si="160"/>
        <v>#N/A</v>
      </c>
      <c r="V418" s="11">
        <f>IFERROR(VLOOKUP(A418,'Maturity Adjustment'!$A$86:$C$91,3,0),S418)</f>
        <v>46265</v>
      </c>
      <c r="W418" s="12" t="e">
        <f>VLOOKUP(A418,'Account Mapping'!$A$2:$F$216,6,0)</f>
        <v>#N/A</v>
      </c>
      <c r="X418" s="194">
        <f t="shared" si="161"/>
        <v>0</v>
      </c>
      <c r="Y418" s="194">
        <f t="shared" si="162"/>
        <v>0</v>
      </c>
      <c r="Z418" s="13">
        <f t="shared" si="163"/>
        <v>0</v>
      </c>
      <c r="AA418" s="13">
        <f t="shared" si="164"/>
        <v>0</v>
      </c>
      <c r="AB418" s="13">
        <f t="shared" si="165"/>
        <v>0</v>
      </c>
      <c r="AC418" s="13">
        <f t="shared" si="166"/>
        <v>-3984.79</v>
      </c>
      <c r="AD418" s="13">
        <f t="shared" si="167"/>
        <v>0</v>
      </c>
      <c r="AE418" s="13">
        <f t="shared" si="168"/>
        <v>0</v>
      </c>
      <c r="AF418" s="13">
        <f t="shared" si="169"/>
        <v>0</v>
      </c>
      <c r="AG418" s="685">
        <f t="shared" si="170"/>
        <v>0</v>
      </c>
      <c r="AH418" s="688" t="b">
        <f t="shared" si="171"/>
        <v>1</v>
      </c>
    </row>
    <row r="419" spans="1:34" s="1" customFormat="1" ht="15" customHeight="1">
      <c r="A419" s="946">
        <v>12310002</v>
      </c>
      <c r="B419" s="946" t="s">
        <v>603</v>
      </c>
      <c r="C419" s="946" t="s">
        <v>633</v>
      </c>
      <c r="D419" s="946">
        <v>100000001</v>
      </c>
      <c r="E419" s="946" t="s">
        <v>33</v>
      </c>
      <c r="F419" s="946" t="s">
        <v>11</v>
      </c>
      <c r="G419" s="947">
        <v>-2198.08</v>
      </c>
      <c r="H419" s="947">
        <v>-2198.08</v>
      </c>
      <c r="I419" s="949">
        <v>45098</v>
      </c>
      <c r="J419" s="949">
        <v>46568</v>
      </c>
      <c r="K419" s="948"/>
      <c r="L419" s="29" t="e">
        <f>VLOOKUP(A419,'Account Mapping'!$A$2:$E$216,3,0)</f>
        <v>#N/A</v>
      </c>
      <c r="M419" s="25" t="e">
        <f>VLOOKUP(A419,'Account Mapping'!$A$2:$E$216,4,0)</f>
        <v>#N/A</v>
      </c>
      <c r="N419" s="26" t="e">
        <f>IF(OR(C419='Account Mapping'!$H$4,C419='Account Mapping'!$H$5,C419='Account Mapping'!$H$6),'Account Mapping'!$I$4,VLOOKUP(A419,'Account Mapping'!$A$2:$E$216,5,0))</f>
        <v>#N/A</v>
      </c>
      <c r="O419" s="27" t="e">
        <f>IF(OR(L419="Loan",L419="Deposit_Liability",L419="OFF_Unused Loan Commitment",L419="HQLA"),VLOOKUP(D419,'Customer Type'!$A$3:$C$38,3,0),"")</f>
        <v>#N/A</v>
      </c>
      <c r="P419" s="656" t="e">
        <f t="shared" si="159"/>
        <v>#N/A</v>
      </c>
      <c r="Q419" s="658">
        <f>IF(COUNTIF('Account Mapping'!$H$12:$H$45,A419)&gt;0,-H419,H419)</f>
        <v>-2198.08</v>
      </c>
      <c r="R419" s="249" t="e">
        <f>VLOOKUP(P419,Assumptions!$C$2:$D$64,2,0)</f>
        <v>#N/A</v>
      </c>
      <c r="S419" s="692">
        <f>IFERROR(VLOOKUP(A419,'Maturity Adjustment'!$A$3:$C$81,3,0),(IF(J419&lt;$N$4,"Tomorrow",J419)))</f>
        <v>46568</v>
      </c>
      <c r="T419" s="190">
        <f t="shared" si="172"/>
        <v>510</v>
      </c>
      <c r="U419" s="196" t="e">
        <f t="shared" si="160"/>
        <v>#N/A</v>
      </c>
      <c r="V419" s="11">
        <f>IFERROR(VLOOKUP(A419,'Maturity Adjustment'!$A$86:$C$91,3,0),S419)</f>
        <v>46568</v>
      </c>
      <c r="W419" s="12" t="e">
        <f>VLOOKUP(A419,'Account Mapping'!$A$2:$F$216,6,0)</f>
        <v>#N/A</v>
      </c>
      <c r="X419" s="194">
        <f t="shared" si="161"/>
        <v>0</v>
      </c>
      <c r="Y419" s="194">
        <f t="shared" si="162"/>
        <v>0</v>
      </c>
      <c r="Z419" s="13">
        <f t="shared" si="163"/>
        <v>0</v>
      </c>
      <c r="AA419" s="13">
        <f t="shared" si="164"/>
        <v>0</v>
      </c>
      <c r="AB419" s="13">
        <f t="shared" si="165"/>
        <v>0</v>
      </c>
      <c r="AC419" s="13">
        <f t="shared" si="166"/>
        <v>0</v>
      </c>
      <c r="AD419" s="13">
        <f t="shared" si="167"/>
        <v>-2198.08</v>
      </c>
      <c r="AE419" s="13">
        <f t="shared" si="168"/>
        <v>0</v>
      </c>
      <c r="AF419" s="13">
        <f t="shared" si="169"/>
        <v>0</v>
      </c>
      <c r="AG419" s="685">
        <f t="shared" si="170"/>
        <v>0</v>
      </c>
      <c r="AH419" s="688" t="b">
        <f t="shared" si="171"/>
        <v>1</v>
      </c>
    </row>
    <row r="420" spans="1:34" s="1" customFormat="1" ht="15" customHeight="1">
      <c r="A420" s="946">
        <v>12310002</v>
      </c>
      <c r="B420" s="946" t="s">
        <v>603</v>
      </c>
      <c r="C420" s="946" t="s">
        <v>633</v>
      </c>
      <c r="D420" s="946">
        <v>100000001</v>
      </c>
      <c r="E420" s="946" t="s">
        <v>33</v>
      </c>
      <c r="F420" s="946" t="s">
        <v>11</v>
      </c>
      <c r="G420" s="947">
        <v>-13.45</v>
      </c>
      <c r="H420" s="947">
        <v>-13.45</v>
      </c>
      <c r="I420" s="949">
        <v>45098</v>
      </c>
      <c r="J420" s="949">
        <v>46568</v>
      </c>
      <c r="K420" s="948"/>
      <c r="L420" s="29" t="e">
        <f>VLOOKUP(A420,'Account Mapping'!$A$2:$E$216,3,0)</f>
        <v>#N/A</v>
      </c>
      <c r="M420" s="25" t="e">
        <f>VLOOKUP(A420,'Account Mapping'!$A$2:$E$216,4,0)</f>
        <v>#N/A</v>
      </c>
      <c r="N420" s="26" t="e">
        <f>IF(OR(C420='Account Mapping'!$H$4,C420='Account Mapping'!$H$5,C420='Account Mapping'!$H$6),'Account Mapping'!$I$4,VLOOKUP(A420,'Account Mapping'!$A$2:$E$216,5,0))</f>
        <v>#N/A</v>
      </c>
      <c r="O420" s="27" t="e">
        <f>IF(OR(L420="Loan",L420="Deposit_Liability",L420="OFF_Unused Loan Commitment",L420="HQLA"),VLOOKUP(D420,'Customer Type'!$A$3:$C$38,3,0),"")</f>
        <v>#N/A</v>
      </c>
      <c r="P420" s="656" t="e">
        <f t="shared" si="159"/>
        <v>#N/A</v>
      </c>
      <c r="Q420" s="658">
        <f>IF(COUNTIF('Account Mapping'!$H$12:$H$45,A420)&gt;0,-H420,H420)</f>
        <v>-13.45</v>
      </c>
      <c r="R420" s="249" t="e">
        <f>VLOOKUP(P420,Assumptions!$C$2:$D$64,2,0)</f>
        <v>#N/A</v>
      </c>
      <c r="S420" s="692">
        <f>IFERROR(VLOOKUP(A420,'Maturity Adjustment'!$A$3:$C$81,3,0),(IF(J420&lt;$N$4,"Tomorrow",J420)))</f>
        <v>46568</v>
      </c>
      <c r="T420" s="190">
        <f t="shared" si="172"/>
        <v>510</v>
      </c>
      <c r="U420" s="196" t="e">
        <f t="shared" si="160"/>
        <v>#N/A</v>
      </c>
      <c r="V420" s="11">
        <f>IFERROR(VLOOKUP(A420,'Maturity Adjustment'!$A$86:$C$91,3,0),S420)</f>
        <v>46568</v>
      </c>
      <c r="W420" s="12" t="e">
        <f>VLOOKUP(A420,'Account Mapping'!$A$2:$F$216,6,0)</f>
        <v>#N/A</v>
      </c>
      <c r="X420" s="194">
        <f t="shared" si="161"/>
        <v>0</v>
      </c>
      <c r="Y420" s="194">
        <f t="shared" si="162"/>
        <v>0</v>
      </c>
      <c r="Z420" s="13">
        <f t="shared" si="163"/>
        <v>0</v>
      </c>
      <c r="AA420" s="13">
        <f t="shared" si="164"/>
        <v>0</v>
      </c>
      <c r="AB420" s="13">
        <f t="shared" si="165"/>
        <v>0</v>
      </c>
      <c r="AC420" s="13">
        <f t="shared" si="166"/>
        <v>0</v>
      </c>
      <c r="AD420" s="13">
        <f t="shared" si="167"/>
        <v>-13.45</v>
      </c>
      <c r="AE420" s="13">
        <f t="shared" si="168"/>
        <v>0</v>
      </c>
      <c r="AF420" s="13">
        <f t="shared" si="169"/>
        <v>0</v>
      </c>
      <c r="AG420" s="685">
        <f t="shared" si="170"/>
        <v>0</v>
      </c>
      <c r="AH420" s="688" t="b">
        <f t="shared" si="171"/>
        <v>1</v>
      </c>
    </row>
    <row r="421" spans="1:34" s="1" customFormat="1" ht="15" customHeight="1">
      <c r="A421" s="946">
        <v>12310002</v>
      </c>
      <c r="B421" s="946" t="s">
        <v>603</v>
      </c>
      <c r="C421" s="946" t="s">
        <v>845</v>
      </c>
      <c r="D421" s="946">
        <v>100000001</v>
      </c>
      <c r="E421" s="946" t="s">
        <v>33</v>
      </c>
      <c r="F421" s="946" t="s">
        <v>11</v>
      </c>
      <c r="G421" s="947">
        <v>-2962.05</v>
      </c>
      <c r="H421" s="947">
        <v>-2962.05</v>
      </c>
      <c r="I421" s="949">
        <v>45226</v>
      </c>
      <c r="J421" s="949">
        <v>45808</v>
      </c>
      <c r="K421" s="948"/>
      <c r="L421" s="29" t="e">
        <f>VLOOKUP(A421,'Account Mapping'!$A$2:$E$216,3,0)</f>
        <v>#N/A</v>
      </c>
      <c r="M421" s="25" t="e">
        <f>VLOOKUP(A421,'Account Mapping'!$A$2:$E$216,4,0)</f>
        <v>#N/A</v>
      </c>
      <c r="N421" s="26" t="e">
        <f>IF(OR(C421='Account Mapping'!$H$4,C421='Account Mapping'!$H$5,C421='Account Mapping'!$H$6),'Account Mapping'!$I$4,VLOOKUP(A421,'Account Mapping'!$A$2:$E$216,5,0))</f>
        <v>#N/A</v>
      </c>
      <c r="O421" s="27" t="e">
        <f>IF(OR(L421="Loan",L421="Deposit_Liability",L421="OFF_Unused Loan Commitment",L421="HQLA"),VLOOKUP(D421,'Customer Type'!$A$3:$C$38,3,0),"")</f>
        <v>#N/A</v>
      </c>
      <c r="P421" s="656" t="e">
        <f t="shared" si="159"/>
        <v>#N/A</v>
      </c>
      <c r="Q421" s="658">
        <f>IF(COUNTIF('Account Mapping'!$H$12:$H$45,A421)&gt;0,-H421,H421)</f>
        <v>-2962.05</v>
      </c>
      <c r="R421" s="249" t="e">
        <f>VLOOKUP(P421,Assumptions!$C$2:$D$64,2,0)</f>
        <v>#N/A</v>
      </c>
      <c r="S421" s="692" t="str">
        <f>IFERROR(VLOOKUP(A421,'Maturity Adjustment'!$A$3:$C$81,3,0),(IF(J421&lt;$N$4,"Tomorrow",J421)))</f>
        <v>Tomorrow</v>
      </c>
      <c r="T421" s="190">
        <f t="shared" si="172"/>
        <v>1</v>
      </c>
      <c r="U421" s="196" t="e">
        <f t="shared" si="160"/>
        <v>#N/A</v>
      </c>
      <c r="V421" s="11" t="str">
        <f>IFERROR(VLOOKUP(A421,'Maturity Adjustment'!$A$86:$C$91,3,0),S421)</f>
        <v>Tomorrow</v>
      </c>
      <c r="W421" s="12" t="e">
        <f>VLOOKUP(A421,'Account Mapping'!$A$2:$F$216,6,0)</f>
        <v>#N/A</v>
      </c>
      <c r="X421" s="194">
        <f t="shared" si="161"/>
        <v>-2962.05</v>
      </c>
      <c r="Y421" s="194">
        <f t="shared" si="162"/>
        <v>0</v>
      </c>
      <c r="Z421" s="13">
        <f t="shared" si="163"/>
        <v>0</v>
      </c>
      <c r="AA421" s="13">
        <f t="shared" si="164"/>
        <v>0</v>
      </c>
      <c r="AB421" s="13">
        <f t="shared" si="165"/>
        <v>0</v>
      </c>
      <c r="AC421" s="13">
        <f t="shared" si="166"/>
        <v>0</v>
      </c>
      <c r="AD421" s="13">
        <f t="shared" si="167"/>
        <v>0</v>
      </c>
      <c r="AE421" s="13">
        <f t="shared" si="168"/>
        <v>0</v>
      </c>
      <c r="AF421" s="13">
        <f t="shared" si="169"/>
        <v>0</v>
      </c>
      <c r="AG421" s="685">
        <f t="shared" si="170"/>
        <v>0</v>
      </c>
      <c r="AH421" s="688" t="b">
        <f t="shared" si="171"/>
        <v>1</v>
      </c>
    </row>
    <row r="422" spans="1:34" s="1" customFormat="1" ht="15" customHeight="1">
      <c r="A422" s="946">
        <v>12310002</v>
      </c>
      <c r="B422" s="946" t="s">
        <v>603</v>
      </c>
      <c r="C422" s="946" t="s">
        <v>845</v>
      </c>
      <c r="D422" s="946">
        <v>100000001</v>
      </c>
      <c r="E422" s="946" t="s">
        <v>33</v>
      </c>
      <c r="F422" s="946" t="s">
        <v>11</v>
      </c>
      <c r="G422" s="947">
        <v>-162.58000000000001</v>
      </c>
      <c r="H422" s="947">
        <v>-162.58000000000001</v>
      </c>
      <c r="I422" s="949">
        <v>45226</v>
      </c>
      <c r="J422" s="949">
        <v>45808</v>
      </c>
      <c r="K422" s="948"/>
      <c r="L422" s="29" t="e">
        <f>VLOOKUP(A422,'Account Mapping'!$A$2:$E$216,3,0)</f>
        <v>#N/A</v>
      </c>
      <c r="M422" s="25" t="e">
        <f>VLOOKUP(A422,'Account Mapping'!$A$2:$E$216,4,0)</f>
        <v>#N/A</v>
      </c>
      <c r="N422" s="26" t="e">
        <f>IF(OR(C422='Account Mapping'!$H$4,C422='Account Mapping'!$H$5,C422='Account Mapping'!$H$6),'Account Mapping'!$I$4,VLOOKUP(A422,'Account Mapping'!$A$2:$E$216,5,0))</f>
        <v>#N/A</v>
      </c>
      <c r="O422" s="27" t="e">
        <f>IF(OR(L422="Loan",L422="Deposit_Liability",L422="OFF_Unused Loan Commitment",L422="HQLA"),VLOOKUP(D422,'Customer Type'!$A$3:$C$38,3,0),"")</f>
        <v>#N/A</v>
      </c>
      <c r="P422" s="656" t="e">
        <f t="shared" si="159"/>
        <v>#N/A</v>
      </c>
      <c r="Q422" s="658">
        <f>IF(COUNTIF('Account Mapping'!$H$12:$H$45,A422)&gt;0,-H422,H422)</f>
        <v>-162.58000000000001</v>
      </c>
      <c r="R422" s="249" t="e">
        <f>VLOOKUP(P422,Assumptions!$C$2:$D$64,2,0)</f>
        <v>#N/A</v>
      </c>
      <c r="S422" s="692" t="str">
        <f>IFERROR(VLOOKUP(A422,'Maturity Adjustment'!$A$3:$C$81,3,0),(IF(J422&lt;$N$4,"Tomorrow",J422)))</f>
        <v>Tomorrow</v>
      </c>
      <c r="T422" s="190">
        <f t="shared" si="172"/>
        <v>1</v>
      </c>
      <c r="U422" s="196" t="e">
        <f t="shared" si="160"/>
        <v>#N/A</v>
      </c>
      <c r="V422" s="11" t="str">
        <f>IFERROR(VLOOKUP(A422,'Maturity Adjustment'!$A$86:$C$91,3,0),S422)</f>
        <v>Tomorrow</v>
      </c>
      <c r="W422" s="12" t="e">
        <f>VLOOKUP(A422,'Account Mapping'!$A$2:$F$216,6,0)</f>
        <v>#N/A</v>
      </c>
      <c r="X422" s="194">
        <f t="shared" si="161"/>
        <v>-162.58000000000001</v>
      </c>
      <c r="Y422" s="194">
        <f t="shared" si="162"/>
        <v>0</v>
      </c>
      <c r="Z422" s="13">
        <f t="shared" si="163"/>
        <v>0</v>
      </c>
      <c r="AA422" s="13">
        <f t="shared" si="164"/>
        <v>0</v>
      </c>
      <c r="AB422" s="13">
        <f t="shared" si="165"/>
        <v>0</v>
      </c>
      <c r="AC422" s="13">
        <f t="shared" si="166"/>
        <v>0</v>
      </c>
      <c r="AD422" s="13">
        <f t="shared" si="167"/>
        <v>0</v>
      </c>
      <c r="AE422" s="13">
        <f t="shared" si="168"/>
        <v>0</v>
      </c>
      <c r="AF422" s="13">
        <f t="shared" si="169"/>
        <v>0</v>
      </c>
      <c r="AG422" s="685">
        <f t="shared" si="170"/>
        <v>0</v>
      </c>
      <c r="AH422" s="688" t="b">
        <f t="shared" si="171"/>
        <v>1</v>
      </c>
    </row>
    <row r="423" spans="1:34" s="1" customFormat="1" ht="15" customHeight="1">
      <c r="A423" s="946">
        <v>12310002</v>
      </c>
      <c r="B423" s="946" t="s">
        <v>603</v>
      </c>
      <c r="C423" s="946" t="s">
        <v>846</v>
      </c>
      <c r="D423" s="946">
        <v>100000001</v>
      </c>
      <c r="E423" s="946" t="s">
        <v>33</v>
      </c>
      <c r="F423" s="946" t="s">
        <v>11</v>
      </c>
      <c r="G423" s="947">
        <v>-353.88</v>
      </c>
      <c r="H423" s="947">
        <v>-353.88</v>
      </c>
      <c r="I423" s="949">
        <v>45226</v>
      </c>
      <c r="J423" s="949">
        <v>45808</v>
      </c>
      <c r="K423" s="948"/>
      <c r="L423" s="29" t="e">
        <f>VLOOKUP(A423,'Account Mapping'!$A$2:$E$216,3,0)</f>
        <v>#N/A</v>
      </c>
      <c r="M423" s="25" t="e">
        <f>VLOOKUP(A423,'Account Mapping'!$A$2:$E$216,4,0)</f>
        <v>#N/A</v>
      </c>
      <c r="N423" s="26" t="e">
        <f>IF(OR(C423='Account Mapping'!$H$4,C423='Account Mapping'!$H$5,C423='Account Mapping'!$H$6),'Account Mapping'!$I$4,VLOOKUP(A423,'Account Mapping'!$A$2:$E$216,5,0))</f>
        <v>#N/A</v>
      </c>
      <c r="O423" s="27" t="e">
        <f>IF(OR(L423="Loan",L423="Deposit_Liability",L423="OFF_Unused Loan Commitment",L423="HQLA"),VLOOKUP(D423,'Customer Type'!$A$3:$C$38,3,0),"")</f>
        <v>#N/A</v>
      </c>
      <c r="P423" s="656" t="e">
        <f t="shared" si="159"/>
        <v>#N/A</v>
      </c>
      <c r="Q423" s="658">
        <f>IF(COUNTIF('Account Mapping'!$H$12:$H$45,A423)&gt;0,-H423,H423)</f>
        <v>-353.88</v>
      </c>
      <c r="R423" s="249" t="e">
        <f>VLOOKUP(P423,Assumptions!$C$2:$D$64,2,0)</f>
        <v>#N/A</v>
      </c>
      <c r="S423" s="692" t="str">
        <f>IFERROR(VLOOKUP(A423,'Maturity Adjustment'!$A$3:$C$81,3,0),(IF(J423&lt;$N$4,"Tomorrow",J423)))</f>
        <v>Tomorrow</v>
      </c>
      <c r="T423" s="190">
        <f t="shared" si="172"/>
        <v>1</v>
      </c>
      <c r="U423" s="196" t="e">
        <f t="shared" si="160"/>
        <v>#N/A</v>
      </c>
      <c r="V423" s="11" t="str">
        <f>IFERROR(VLOOKUP(A423,'Maturity Adjustment'!$A$86:$C$91,3,0),S423)</f>
        <v>Tomorrow</v>
      </c>
      <c r="W423" s="12" t="e">
        <f>VLOOKUP(A423,'Account Mapping'!$A$2:$F$216,6,0)</f>
        <v>#N/A</v>
      </c>
      <c r="X423" s="194">
        <f t="shared" si="161"/>
        <v>-353.88</v>
      </c>
      <c r="Y423" s="194">
        <f t="shared" si="162"/>
        <v>0</v>
      </c>
      <c r="Z423" s="13">
        <f t="shared" si="163"/>
        <v>0</v>
      </c>
      <c r="AA423" s="13">
        <f t="shared" si="164"/>
        <v>0</v>
      </c>
      <c r="AB423" s="13">
        <f t="shared" si="165"/>
        <v>0</v>
      </c>
      <c r="AC423" s="13">
        <f t="shared" si="166"/>
        <v>0</v>
      </c>
      <c r="AD423" s="13">
        <f t="shared" si="167"/>
        <v>0</v>
      </c>
      <c r="AE423" s="13">
        <f t="shared" si="168"/>
        <v>0</v>
      </c>
      <c r="AF423" s="13">
        <f t="shared" si="169"/>
        <v>0</v>
      </c>
      <c r="AG423" s="685">
        <f t="shared" si="170"/>
        <v>0</v>
      </c>
      <c r="AH423" s="688" t="b">
        <f t="shared" si="171"/>
        <v>1</v>
      </c>
    </row>
    <row r="424" spans="1:34" s="1" customFormat="1" ht="15" customHeight="1">
      <c r="A424" s="946">
        <v>12310002</v>
      </c>
      <c r="B424" s="946" t="s">
        <v>603</v>
      </c>
      <c r="C424" s="946" t="s">
        <v>846</v>
      </c>
      <c r="D424" s="946">
        <v>100000001</v>
      </c>
      <c r="E424" s="946" t="s">
        <v>33</v>
      </c>
      <c r="F424" s="946" t="s">
        <v>11</v>
      </c>
      <c r="G424" s="947">
        <v>-19.420000000000002</v>
      </c>
      <c r="H424" s="947">
        <v>-19.420000000000002</v>
      </c>
      <c r="I424" s="949">
        <v>45226</v>
      </c>
      <c r="J424" s="949">
        <v>45808</v>
      </c>
      <c r="K424" s="948"/>
      <c r="L424" s="29" t="e">
        <f>VLOOKUP(A424,'Account Mapping'!$A$2:$E$216,3,0)</f>
        <v>#N/A</v>
      </c>
      <c r="M424" s="25" t="e">
        <f>VLOOKUP(A424,'Account Mapping'!$A$2:$E$216,4,0)</f>
        <v>#N/A</v>
      </c>
      <c r="N424" s="26" t="e">
        <f>IF(OR(C424='Account Mapping'!$H$4,C424='Account Mapping'!$H$5,C424='Account Mapping'!$H$6),'Account Mapping'!$I$4,VLOOKUP(A424,'Account Mapping'!$A$2:$E$216,5,0))</f>
        <v>#N/A</v>
      </c>
      <c r="O424" s="27" t="e">
        <f>IF(OR(L424="Loan",L424="Deposit_Liability",L424="OFF_Unused Loan Commitment",L424="HQLA"),VLOOKUP(D424,'Customer Type'!$A$3:$C$38,3,0),"")</f>
        <v>#N/A</v>
      </c>
      <c r="P424" s="656" t="e">
        <f t="shared" si="159"/>
        <v>#N/A</v>
      </c>
      <c r="Q424" s="658">
        <f>IF(COUNTIF('Account Mapping'!$H$12:$H$45,A424)&gt;0,-H424,H424)</f>
        <v>-19.420000000000002</v>
      </c>
      <c r="R424" s="249" t="e">
        <f>VLOOKUP(P424,Assumptions!$C$2:$D$64,2,0)</f>
        <v>#N/A</v>
      </c>
      <c r="S424" s="692" t="str">
        <f>IFERROR(VLOOKUP(A424,'Maturity Adjustment'!$A$3:$C$81,3,0),(IF(J424&lt;$N$4,"Tomorrow",J424)))</f>
        <v>Tomorrow</v>
      </c>
      <c r="T424" s="190">
        <f t="shared" si="172"/>
        <v>1</v>
      </c>
      <c r="U424" s="196" t="e">
        <f t="shared" si="160"/>
        <v>#N/A</v>
      </c>
      <c r="V424" s="11" t="str">
        <f>IFERROR(VLOOKUP(A424,'Maturity Adjustment'!$A$86:$C$91,3,0),S424)</f>
        <v>Tomorrow</v>
      </c>
      <c r="W424" s="12" t="e">
        <f>VLOOKUP(A424,'Account Mapping'!$A$2:$F$216,6,0)</f>
        <v>#N/A</v>
      </c>
      <c r="X424" s="194">
        <f t="shared" si="161"/>
        <v>-19.420000000000002</v>
      </c>
      <c r="Y424" s="194">
        <f t="shared" si="162"/>
        <v>0</v>
      </c>
      <c r="Z424" s="13">
        <f t="shared" si="163"/>
        <v>0</v>
      </c>
      <c r="AA424" s="13">
        <f t="shared" si="164"/>
        <v>0</v>
      </c>
      <c r="AB424" s="13">
        <f t="shared" si="165"/>
        <v>0</v>
      </c>
      <c r="AC424" s="13">
        <f t="shared" si="166"/>
        <v>0</v>
      </c>
      <c r="AD424" s="13">
        <f t="shared" si="167"/>
        <v>0</v>
      </c>
      <c r="AE424" s="13">
        <f t="shared" si="168"/>
        <v>0</v>
      </c>
      <c r="AF424" s="13">
        <f t="shared" si="169"/>
        <v>0</v>
      </c>
      <c r="AG424" s="685">
        <f t="shared" si="170"/>
        <v>0</v>
      </c>
      <c r="AH424" s="688" t="b">
        <f t="shared" si="171"/>
        <v>1</v>
      </c>
    </row>
    <row r="425" spans="1:34" s="1" customFormat="1" ht="15" customHeight="1">
      <c r="A425" s="946">
        <v>12310002</v>
      </c>
      <c r="B425" s="946" t="s">
        <v>603</v>
      </c>
      <c r="C425" s="946" t="s">
        <v>847</v>
      </c>
      <c r="D425" s="946">
        <v>100000001</v>
      </c>
      <c r="E425" s="946" t="s">
        <v>33</v>
      </c>
      <c r="F425" s="946" t="s">
        <v>11</v>
      </c>
      <c r="G425" s="947">
        <v>-58.97</v>
      </c>
      <c r="H425" s="947">
        <v>-58.97</v>
      </c>
      <c r="I425" s="949">
        <v>45226</v>
      </c>
      <c r="J425" s="949">
        <v>45808</v>
      </c>
      <c r="K425" s="948"/>
      <c r="L425" s="29" t="e">
        <f>VLOOKUP(A425,'Account Mapping'!$A$2:$E$216,3,0)</f>
        <v>#N/A</v>
      </c>
      <c r="M425" s="25" t="e">
        <f>VLOOKUP(A425,'Account Mapping'!$A$2:$E$216,4,0)</f>
        <v>#N/A</v>
      </c>
      <c r="N425" s="26" t="e">
        <f>IF(OR(C425='Account Mapping'!$H$4,C425='Account Mapping'!$H$5,C425='Account Mapping'!$H$6),'Account Mapping'!$I$4,VLOOKUP(A425,'Account Mapping'!$A$2:$E$216,5,0))</f>
        <v>#N/A</v>
      </c>
      <c r="O425" s="27" t="e">
        <f>IF(OR(L425="Loan",L425="Deposit_Liability",L425="OFF_Unused Loan Commitment",L425="HQLA"),VLOOKUP(D425,'Customer Type'!$A$3:$C$38,3,0),"")</f>
        <v>#N/A</v>
      </c>
      <c r="P425" s="656" t="e">
        <f t="shared" si="159"/>
        <v>#N/A</v>
      </c>
      <c r="Q425" s="658">
        <f>IF(COUNTIF('Account Mapping'!$H$12:$H$45,A425)&gt;0,-H425,H425)</f>
        <v>-58.97</v>
      </c>
      <c r="R425" s="249" t="e">
        <f>VLOOKUP(P425,Assumptions!$C$2:$D$64,2,0)</f>
        <v>#N/A</v>
      </c>
      <c r="S425" s="692" t="str">
        <f>IFERROR(VLOOKUP(A425,'Maturity Adjustment'!$A$3:$C$81,3,0),(IF(J425&lt;$N$4,"Tomorrow",J425)))</f>
        <v>Tomorrow</v>
      </c>
      <c r="T425" s="190">
        <f t="shared" si="172"/>
        <v>1</v>
      </c>
      <c r="U425" s="196" t="e">
        <f t="shared" si="160"/>
        <v>#N/A</v>
      </c>
      <c r="V425" s="11" t="str">
        <f>IFERROR(VLOOKUP(A425,'Maturity Adjustment'!$A$86:$C$91,3,0),S425)</f>
        <v>Tomorrow</v>
      </c>
      <c r="W425" s="12" t="e">
        <f>VLOOKUP(A425,'Account Mapping'!$A$2:$F$216,6,0)</f>
        <v>#N/A</v>
      </c>
      <c r="X425" s="194">
        <f t="shared" si="161"/>
        <v>-58.97</v>
      </c>
      <c r="Y425" s="194">
        <f t="shared" si="162"/>
        <v>0</v>
      </c>
      <c r="Z425" s="13">
        <f t="shared" si="163"/>
        <v>0</v>
      </c>
      <c r="AA425" s="13">
        <f t="shared" si="164"/>
        <v>0</v>
      </c>
      <c r="AB425" s="13">
        <f t="shared" si="165"/>
        <v>0</v>
      </c>
      <c r="AC425" s="13">
        <f t="shared" si="166"/>
        <v>0</v>
      </c>
      <c r="AD425" s="13">
        <f t="shared" si="167"/>
        <v>0</v>
      </c>
      <c r="AE425" s="13">
        <f t="shared" si="168"/>
        <v>0</v>
      </c>
      <c r="AF425" s="13">
        <f t="shared" si="169"/>
        <v>0</v>
      </c>
      <c r="AG425" s="685">
        <f t="shared" si="170"/>
        <v>0</v>
      </c>
      <c r="AH425" s="688" t="b">
        <f t="shared" si="171"/>
        <v>1</v>
      </c>
    </row>
    <row r="426" spans="1:34" s="1" customFormat="1" ht="15" customHeight="1">
      <c r="A426" s="946">
        <v>12310002</v>
      </c>
      <c r="B426" s="946" t="s">
        <v>603</v>
      </c>
      <c r="C426" s="946" t="s">
        <v>848</v>
      </c>
      <c r="D426" s="946">
        <v>100000001</v>
      </c>
      <c r="E426" s="946" t="s">
        <v>33</v>
      </c>
      <c r="F426" s="946" t="s">
        <v>11</v>
      </c>
      <c r="G426" s="947">
        <v>-12.49</v>
      </c>
      <c r="H426" s="947">
        <v>-12.49</v>
      </c>
      <c r="I426" s="949">
        <v>45226</v>
      </c>
      <c r="J426" s="949">
        <v>45808</v>
      </c>
      <c r="K426" s="948"/>
      <c r="L426" s="29" t="e">
        <f>VLOOKUP(A426,'Account Mapping'!$A$2:$E$216,3,0)</f>
        <v>#N/A</v>
      </c>
      <c r="M426" s="25" t="e">
        <f>VLOOKUP(A426,'Account Mapping'!$A$2:$E$216,4,0)</f>
        <v>#N/A</v>
      </c>
      <c r="N426" s="26" t="e">
        <f>IF(OR(C426='Account Mapping'!$H$4,C426='Account Mapping'!$H$5,C426='Account Mapping'!$H$6),'Account Mapping'!$I$4,VLOOKUP(A426,'Account Mapping'!$A$2:$E$216,5,0))</f>
        <v>#N/A</v>
      </c>
      <c r="O426" s="27" t="e">
        <f>IF(OR(L426="Loan",L426="Deposit_Liability",L426="OFF_Unused Loan Commitment",L426="HQLA"),VLOOKUP(D426,'Customer Type'!$A$3:$C$38,3,0),"")</f>
        <v>#N/A</v>
      </c>
      <c r="P426" s="656" t="e">
        <f t="shared" si="159"/>
        <v>#N/A</v>
      </c>
      <c r="Q426" s="658">
        <f>IF(COUNTIF('Account Mapping'!$H$12:$H$45,A426)&gt;0,-H426,H426)</f>
        <v>-12.49</v>
      </c>
      <c r="R426" s="249" t="e">
        <f>VLOOKUP(P426,Assumptions!$C$2:$D$64,2,0)</f>
        <v>#N/A</v>
      </c>
      <c r="S426" s="692" t="str">
        <f>IFERROR(VLOOKUP(A426,'Maturity Adjustment'!$A$3:$C$81,3,0),(IF(J426&lt;$N$4,"Tomorrow",J426)))</f>
        <v>Tomorrow</v>
      </c>
      <c r="T426" s="190">
        <f t="shared" si="172"/>
        <v>1</v>
      </c>
      <c r="U426" s="196" t="e">
        <f t="shared" si="160"/>
        <v>#N/A</v>
      </c>
      <c r="V426" s="11" t="str">
        <f>IFERROR(VLOOKUP(A426,'Maturity Adjustment'!$A$86:$C$91,3,0),S426)</f>
        <v>Tomorrow</v>
      </c>
      <c r="W426" s="12" t="e">
        <f>VLOOKUP(A426,'Account Mapping'!$A$2:$F$216,6,0)</f>
        <v>#N/A</v>
      </c>
      <c r="X426" s="194">
        <f t="shared" si="161"/>
        <v>-12.49</v>
      </c>
      <c r="Y426" s="194">
        <f t="shared" si="162"/>
        <v>0</v>
      </c>
      <c r="Z426" s="13">
        <f t="shared" si="163"/>
        <v>0</v>
      </c>
      <c r="AA426" s="13">
        <f t="shared" si="164"/>
        <v>0</v>
      </c>
      <c r="AB426" s="13">
        <f t="shared" si="165"/>
        <v>0</v>
      </c>
      <c r="AC426" s="13">
        <f t="shared" si="166"/>
        <v>0</v>
      </c>
      <c r="AD426" s="13">
        <f t="shared" si="167"/>
        <v>0</v>
      </c>
      <c r="AE426" s="13">
        <f t="shared" si="168"/>
        <v>0</v>
      </c>
      <c r="AF426" s="13">
        <f t="shared" si="169"/>
        <v>0</v>
      </c>
      <c r="AG426" s="685">
        <f t="shared" si="170"/>
        <v>0</v>
      </c>
      <c r="AH426" s="688" t="b">
        <f t="shared" si="171"/>
        <v>1</v>
      </c>
    </row>
    <row r="427" spans="1:34" s="1" customFormat="1" ht="15" customHeight="1">
      <c r="A427" s="946">
        <v>12310002</v>
      </c>
      <c r="B427" s="946" t="s">
        <v>603</v>
      </c>
      <c r="C427" s="946" t="s">
        <v>848</v>
      </c>
      <c r="D427" s="946">
        <v>100000001</v>
      </c>
      <c r="E427" s="946" t="s">
        <v>33</v>
      </c>
      <c r="F427" s="946" t="s">
        <v>11</v>
      </c>
      <c r="G427" s="947">
        <v>-227.6</v>
      </c>
      <c r="H427" s="947">
        <v>-227.6</v>
      </c>
      <c r="I427" s="949">
        <v>45226</v>
      </c>
      <c r="J427" s="949">
        <v>45808</v>
      </c>
      <c r="K427" s="948"/>
      <c r="L427" s="29" t="e">
        <f>VLOOKUP(A427,'Account Mapping'!$A$2:$E$216,3,0)</f>
        <v>#N/A</v>
      </c>
      <c r="M427" s="25" t="e">
        <f>VLOOKUP(A427,'Account Mapping'!$A$2:$E$216,4,0)</f>
        <v>#N/A</v>
      </c>
      <c r="N427" s="26" t="e">
        <f>IF(OR(C427='Account Mapping'!$H$4,C427='Account Mapping'!$H$5,C427='Account Mapping'!$H$6),'Account Mapping'!$I$4,VLOOKUP(A427,'Account Mapping'!$A$2:$E$216,5,0))</f>
        <v>#N/A</v>
      </c>
      <c r="O427" s="27" t="e">
        <f>IF(OR(L427="Loan",L427="Deposit_Liability",L427="OFF_Unused Loan Commitment",L427="HQLA"),VLOOKUP(D427,'Customer Type'!$A$3:$C$38,3,0),"")</f>
        <v>#N/A</v>
      </c>
      <c r="P427" s="656" t="e">
        <f t="shared" si="159"/>
        <v>#N/A</v>
      </c>
      <c r="Q427" s="658">
        <f>IF(COUNTIF('Account Mapping'!$H$12:$H$45,A427)&gt;0,-H427,H427)</f>
        <v>-227.6</v>
      </c>
      <c r="R427" s="249" t="e">
        <f>VLOOKUP(P427,Assumptions!$C$2:$D$64,2,0)</f>
        <v>#N/A</v>
      </c>
      <c r="S427" s="692" t="str">
        <f>IFERROR(VLOOKUP(A427,'Maturity Adjustment'!$A$3:$C$81,3,0),(IF(J427&lt;$N$4,"Tomorrow",J427)))</f>
        <v>Tomorrow</v>
      </c>
      <c r="T427" s="190">
        <f t="shared" si="172"/>
        <v>1</v>
      </c>
      <c r="U427" s="196" t="e">
        <f t="shared" si="160"/>
        <v>#N/A</v>
      </c>
      <c r="V427" s="11" t="str">
        <f>IFERROR(VLOOKUP(A427,'Maturity Adjustment'!$A$86:$C$91,3,0),S427)</f>
        <v>Tomorrow</v>
      </c>
      <c r="W427" s="12" t="e">
        <f>VLOOKUP(A427,'Account Mapping'!$A$2:$F$216,6,0)</f>
        <v>#N/A</v>
      </c>
      <c r="X427" s="194">
        <f t="shared" si="161"/>
        <v>-227.6</v>
      </c>
      <c r="Y427" s="194">
        <f t="shared" si="162"/>
        <v>0</v>
      </c>
      <c r="Z427" s="13">
        <f t="shared" si="163"/>
        <v>0</v>
      </c>
      <c r="AA427" s="13">
        <f t="shared" si="164"/>
        <v>0</v>
      </c>
      <c r="AB427" s="13">
        <f t="shared" si="165"/>
        <v>0</v>
      </c>
      <c r="AC427" s="13">
        <f t="shared" si="166"/>
        <v>0</v>
      </c>
      <c r="AD427" s="13">
        <f t="shared" si="167"/>
        <v>0</v>
      </c>
      <c r="AE427" s="13">
        <f t="shared" si="168"/>
        <v>0</v>
      </c>
      <c r="AF427" s="13">
        <f t="shared" si="169"/>
        <v>0</v>
      </c>
      <c r="AG427" s="685">
        <f t="shared" si="170"/>
        <v>0</v>
      </c>
      <c r="AH427" s="688" t="b">
        <f t="shared" si="171"/>
        <v>1</v>
      </c>
    </row>
    <row r="428" spans="1:34" s="1" customFormat="1" ht="15" customHeight="1">
      <c r="A428" s="946">
        <v>12310002</v>
      </c>
      <c r="B428" s="946" t="s">
        <v>603</v>
      </c>
      <c r="C428" s="946" t="s">
        <v>859</v>
      </c>
      <c r="D428" s="946">
        <v>100000001</v>
      </c>
      <c r="E428" s="946" t="s">
        <v>33</v>
      </c>
      <c r="F428" s="946" t="s">
        <v>11</v>
      </c>
      <c r="G428" s="947">
        <v>-3405.78</v>
      </c>
      <c r="H428" s="947">
        <v>-3405.78</v>
      </c>
      <c r="I428" s="949">
        <v>45259</v>
      </c>
      <c r="J428" s="949">
        <v>46721</v>
      </c>
      <c r="K428" s="948"/>
      <c r="L428" s="29" t="e">
        <f>VLOOKUP(A428,'Account Mapping'!$A$2:$E$216,3,0)</f>
        <v>#N/A</v>
      </c>
      <c r="M428" s="25" t="e">
        <f>VLOOKUP(A428,'Account Mapping'!$A$2:$E$216,4,0)</f>
        <v>#N/A</v>
      </c>
      <c r="N428" s="26" t="e">
        <f>IF(OR(C428='Account Mapping'!$H$4,C428='Account Mapping'!$H$5,C428='Account Mapping'!$H$6),'Account Mapping'!$I$4,VLOOKUP(A428,'Account Mapping'!$A$2:$E$216,5,0))</f>
        <v>#N/A</v>
      </c>
      <c r="O428" s="27" t="e">
        <f>IF(OR(L428="Loan",L428="Deposit_Liability",L428="OFF_Unused Loan Commitment",L428="HQLA"),VLOOKUP(D428,'Customer Type'!$A$3:$C$38,3,0),"")</f>
        <v>#N/A</v>
      </c>
      <c r="P428" s="656" t="e">
        <f t="shared" si="159"/>
        <v>#N/A</v>
      </c>
      <c r="Q428" s="658">
        <f>IF(COUNTIF('Account Mapping'!$H$12:$H$45,A428)&gt;0,-H428,H428)</f>
        <v>-3405.78</v>
      </c>
      <c r="R428" s="249" t="e">
        <f>VLOOKUP(P428,Assumptions!$C$2:$D$64,2,0)</f>
        <v>#N/A</v>
      </c>
      <c r="S428" s="692">
        <f>IFERROR(VLOOKUP(A428,'Maturity Adjustment'!$A$3:$C$81,3,0),(IF(J428&lt;$N$4,"Tomorrow",J428)))</f>
        <v>46721</v>
      </c>
      <c r="T428" s="190">
        <f t="shared" si="172"/>
        <v>663</v>
      </c>
      <c r="U428" s="196" t="e">
        <f t="shared" si="160"/>
        <v>#N/A</v>
      </c>
      <c r="V428" s="11">
        <f>IFERROR(VLOOKUP(A428,'Maturity Adjustment'!$A$86:$C$91,3,0),S428)</f>
        <v>46721</v>
      </c>
      <c r="W428" s="12" t="e">
        <f>VLOOKUP(A428,'Account Mapping'!$A$2:$F$216,6,0)</f>
        <v>#N/A</v>
      </c>
      <c r="X428" s="194">
        <f t="shared" si="161"/>
        <v>0</v>
      </c>
      <c r="Y428" s="194">
        <f t="shared" si="162"/>
        <v>0</v>
      </c>
      <c r="Z428" s="13">
        <f t="shared" si="163"/>
        <v>0</v>
      </c>
      <c r="AA428" s="13">
        <f t="shared" si="164"/>
        <v>0</v>
      </c>
      <c r="AB428" s="13">
        <f t="shared" si="165"/>
        <v>0</v>
      </c>
      <c r="AC428" s="13">
        <f t="shared" si="166"/>
        <v>0</v>
      </c>
      <c r="AD428" s="13">
        <f t="shared" si="167"/>
        <v>-3405.78</v>
      </c>
      <c r="AE428" s="13">
        <f t="shared" si="168"/>
        <v>0</v>
      </c>
      <c r="AF428" s="13">
        <f t="shared" si="169"/>
        <v>0</v>
      </c>
      <c r="AG428" s="685">
        <f t="shared" si="170"/>
        <v>0</v>
      </c>
      <c r="AH428" s="688" t="b">
        <f t="shared" si="171"/>
        <v>1</v>
      </c>
    </row>
    <row r="429" spans="1:34" s="1" customFormat="1" ht="15" customHeight="1">
      <c r="A429" s="946">
        <v>12310002</v>
      </c>
      <c r="B429" s="946" t="s">
        <v>603</v>
      </c>
      <c r="C429" s="946" t="s">
        <v>859</v>
      </c>
      <c r="D429" s="946">
        <v>100000001</v>
      </c>
      <c r="E429" s="946" t="s">
        <v>33</v>
      </c>
      <c r="F429" s="946" t="s">
        <v>11</v>
      </c>
      <c r="G429" s="947">
        <v>-24.83</v>
      </c>
      <c r="H429" s="947">
        <v>-24.83</v>
      </c>
      <c r="I429" s="949">
        <v>45259</v>
      </c>
      <c r="J429" s="949">
        <v>46721</v>
      </c>
      <c r="K429" s="948"/>
      <c r="L429" s="29" t="e">
        <f>VLOOKUP(A429,'Account Mapping'!$A$2:$E$216,3,0)</f>
        <v>#N/A</v>
      </c>
      <c r="M429" s="25" t="e">
        <f>VLOOKUP(A429,'Account Mapping'!$A$2:$E$216,4,0)</f>
        <v>#N/A</v>
      </c>
      <c r="N429" s="26" t="e">
        <f>IF(OR(C429='Account Mapping'!$H$4,C429='Account Mapping'!$H$5,C429='Account Mapping'!$H$6),'Account Mapping'!$I$4,VLOOKUP(A429,'Account Mapping'!$A$2:$E$216,5,0))</f>
        <v>#N/A</v>
      </c>
      <c r="O429" s="27" t="e">
        <f>IF(OR(L429="Loan",L429="Deposit_Liability",L429="OFF_Unused Loan Commitment",L429="HQLA"),VLOOKUP(D429,'Customer Type'!$A$3:$C$38,3,0),"")</f>
        <v>#N/A</v>
      </c>
      <c r="P429" s="656" t="e">
        <f t="shared" si="159"/>
        <v>#N/A</v>
      </c>
      <c r="Q429" s="658">
        <f>IF(COUNTIF('Account Mapping'!$H$12:$H$45,A429)&gt;0,-H429,H429)</f>
        <v>-24.83</v>
      </c>
      <c r="R429" s="249" t="e">
        <f>VLOOKUP(P429,Assumptions!$C$2:$D$64,2,0)</f>
        <v>#N/A</v>
      </c>
      <c r="S429" s="692">
        <f>IFERROR(VLOOKUP(A429,'Maturity Adjustment'!$A$3:$C$81,3,0),(IF(J429&lt;$N$4,"Tomorrow",J429)))</f>
        <v>46721</v>
      </c>
      <c r="T429" s="190">
        <f t="shared" si="172"/>
        <v>663</v>
      </c>
      <c r="U429" s="196" t="e">
        <f t="shared" si="160"/>
        <v>#N/A</v>
      </c>
      <c r="V429" s="11">
        <f>IFERROR(VLOOKUP(A429,'Maturity Adjustment'!$A$86:$C$91,3,0),S429)</f>
        <v>46721</v>
      </c>
      <c r="W429" s="12" t="e">
        <f>VLOOKUP(A429,'Account Mapping'!$A$2:$F$216,6,0)</f>
        <v>#N/A</v>
      </c>
      <c r="X429" s="194">
        <f t="shared" si="161"/>
        <v>0</v>
      </c>
      <c r="Y429" s="194">
        <f t="shared" si="162"/>
        <v>0</v>
      </c>
      <c r="Z429" s="13">
        <f t="shared" si="163"/>
        <v>0</v>
      </c>
      <c r="AA429" s="13">
        <f t="shared" si="164"/>
        <v>0</v>
      </c>
      <c r="AB429" s="13">
        <f t="shared" si="165"/>
        <v>0</v>
      </c>
      <c r="AC429" s="13">
        <f t="shared" si="166"/>
        <v>0</v>
      </c>
      <c r="AD429" s="13">
        <f t="shared" si="167"/>
        <v>-24.83</v>
      </c>
      <c r="AE429" s="13">
        <f t="shared" si="168"/>
        <v>0</v>
      </c>
      <c r="AF429" s="13">
        <f t="shared" si="169"/>
        <v>0</v>
      </c>
      <c r="AG429" s="685">
        <f t="shared" si="170"/>
        <v>0</v>
      </c>
      <c r="AH429" s="688" t="b">
        <f t="shared" si="171"/>
        <v>1</v>
      </c>
    </row>
    <row r="430" spans="1:34" s="1" customFormat="1" ht="15" customHeight="1">
      <c r="A430" s="946">
        <v>12310002</v>
      </c>
      <c r="B430" s="946" t="s">
        <v>603</v>
      </c>
      <c r="C430" s="946" t="s">
        <v>1225</v>
      </c>
      <c r="D430" s="946">
        <v>100000001</v>
      </c>
      <c r="E430" s="946" t="s">
        <v>33</v>
      </c>
      <c r="F430" s="946" t="s">
        <v>11</v>
      </c>
      <c r="G430" s="947">
        <v>-265</v>
      </c>
      <c r="H430" s="947">
        <v>-265</v>
      </c>
      <c r="I430" s="949">
        <v>45443</v>
      </c>
      <c r="J430" s="949">
        <v>46904</v>
      </c>
      <c r="K430" s="948"/>
      <c r="L430" s="29" t="e">
        <f>VLOOKUP(A430,'Account Mapping'!$A$2:$E$216,3,0)</f>
        <v>#N/A</v>
      </c>
      <c r="M430" s="25" t="e">
        <f>VLOOKUP(A430,'Account Mapping'!$A$2:$E$216,4,0)</f>
        <v>#N/A</v>
      </c>
      <c r="N430" s="26" t="e">
        <f>IF(OR(C430='Account Mapping'!$H$4,C430='Account Mapping'!$H$5,C430='Account Mapping'!$H$6),'Account Mapping'!$I$4,VLOOKUP(A430,'Account Mapping'!$A$2:$E$216,5,0))</f>
        <v>#N/A</v>
      </c>
      <c r="O430" s="27" t="e">
        <f>IF(OR(L430="Loan",L430="Deposit_Liability",L430="OFF_Unused Loan Commitment",L430="HQLA"),VLOOKUP(D430,'Customer Type'!$A$3:$C$38,3,0),"")</f>
        <v>#N/A</v>
      </c>
      <c r="P430" s="656" t="e">
        <f t="shared" si="159"/>
        <v>#N/A</v>
      </c>
      <c r="Q430" s="658">
        <f>IF(COUNTIF('Account Mapping'!$H$12:$H$45,A430)&gt;0,-H430,H430)</f>
        <v>-265</v>
      </c>
      <c r="R430" s="249" t="e">
        <f>VLOOKUP(P430,Assumptions!$C$2:$D$64,2,0)</f>
        <v>#N/A</v>
      </c>
      <c r="S430" s="692">
        <f>IFERROR(VLOOKUP(A430,'Maturity Adjustment'!$A$3:$C$81,3,0),(IF(J430&lt;$N$4,"Tomorrow",J430)))</f>
        <v>46904</v>
      </c>
      <c r="T430" s="190">
        <f t="shared" si="172"/>
        <v>846</v>
      </c>
      <c r="U430" s="196" t="e">
        <f t="shared" si="160"/>
        <v>#N/A</v>
      </c>
      <c r="V430" s="11">
        <f>IFERROR(VLOOKUP(A430,'Maturity Adjustment'!$A$86:$C$91,3,0),S430)</f>
        <v>46904</v>
      </c>
      <c r="W430" s="12" t="e">
        <f>VLOOKUP(A430,'Account Mapping'!$A$2:$F$216,6,0)</f>
        <v>#N/A</v>
      </c>
      <c r="X430" s="194">
        <f t="shared" si="161"/>
        <v>0</v>
      </c>
      <c r="Y430" s="194">
        <f t="shared" si="162"/>
        <v>0</v>
      </c>
      <c r="Z430" s="13">
        <f t="shared" si="163"/>
        <v>0</v>
      </c>
      <c r="AA430" s="13">
        <f t="shared" si="164"/>
        <v>0</v>
      </c>
      <c r="AB430" s="13">
        <f t="shared" si="165"/>
        <v>0</v>
      </c>
      <c r="AC430" s="13">
        <f t="shared" si="166"/>
        <v>0</v>
      </c>
      <c r="AD430" s="13">
        <f t="shared" si="167"/>
        <v>-265</v>
      </c>
      <c r="AE430" s="13">
        <f t="shared" si="168"/>
        <v>0</v>
      </c>
      <c r="AF430" s="13">
        <f t="shared" si="169"/>
        <v>0</v>
      </c>
      <c r="AG430" s="685">
        <f t="shared" si="170"/>
        <v>0</v>
      </c>
      <c r="AH430" s="688" t="b">
        <f t="shared" si="171"/>
        <v>1</v>
      </c>
    </row>
    <row r="431" spans="1:34" ht="15" customHeight="1">
      <c r="A431" s="946">
        <v>12310002</v>
      </c>
      <c r="B431" s="946" t="s">
        <v>603</v>
      </c>
      <c r="C431" s="946" t="s">
        <v>1225</v>
      </c>
      <c r="D431" s="946">
        <v>100000001</v>
      </c>
      <c r="E431" s="946" t="s">
        <v>33</v>
      </c>
      <c r="F431" s="946" t="s">
        <v>11</v>
      </c>
      <c r="G431" s="947">
        <v>-2.61</v>
      </c>
      <c r="H431" s="947">
        <v>-2.61</v>
      </c>
      <c r="I431" s="949">
        <v>45443</v>
      </c>
      <c r="J431" s="949">
        <v>46904</v>
      </c>
      <c r="K431" s="948"/>
      <c r="L431" s="29" t="e">
        <f>VLOOKUP(A431,'Account Mapping'!$A$2:$E$216,3,0)</f>
        <v>#N/A</v>
      </c>
      <c r="M431" s="25" t="e">
        <f>VLOOKUP(A431,'Account Mapping'!$A$2:$E$216,4,0)</f>
        <v>#N/A</v>
      </c>
      <c r="N431" s="26" t="e">
        <f>IF(OR(C431='Account Mapping'!$H$4,C431='Account Mapping'!$H$5,C431='Account Mapping'!$H$6),'Account Mapping'!$I$4,VLOOKUP(A431,'Account Mapping'!$A$2:$E$216,5,0))</f>
        <v>#N/A</v>
      </c>
      <c r="O431" s="27" t="e">
        <f>IF(OR(L431="Loan",L431="Deposit_Liability",L431="OFF_Unused Loan Commitment",L431="HQLA"),VLOOKUP(D431,'Customer Type'!$A$3:$C$38,3,0),"")</f>
        <v>#N/A</v>
      </c>
      <c r="P431" s="656" t="e">
        <f t="shared" si="159"/>
        <v>#N/A</v>
      </c>
      <c r="Q431" s="658">
        <f>IF(COUNTIF('Account Mapping'!$H$12:$H$45,A431)&gt;0,-H431,H431)</f>
        <v>-2.61</v>
      </c>
      <c r="R431" s="249" t="e">
        <f>VLOOKUP(P431,Assumptions!$C$2:$D$64,2,0)</f>
        <v>#N/A</v>
      </c>
      <c r="S431" s="692">
        <f>IFERROR(VLOOKUP(A431,'Maturity Adjustment'!$A$3:$C$81,3,0),(IF(J431&lt;$N$4,"Tomorrow",J431)))</f>
        <v>46904</v>
      </c>
      <c r="T431" s="190">
        <f t="shared" ref="T431:T444" si="173">IF(S431="Tomorrow",1,(S431-$N$4))</f>
        <v>846</v>
      </c>
      <c r="U431" s="196" t="e">
        <f t="shared" si="160"/>
        <v>#N/A</v>
      </c>
      <c r="V431" s="11">
        <f>IFERROR(VLOOKUP(A431,'Maturity Adjustment'!$A$86:$C$91,3,0),S431)</f>
        <v>46904</v>
      </c>
      <c r="W431" s="12" t="e">
        <f>VLOOKUP(A431,'Account Mapping'!$A$2:$F$216,6,0)</f>
        <v>#N/A</v>
      </c>
      <c r="X431" s="194">
        <f t="shared" si="161"/>
        <v>0</v>
      </c>
      <c r="Y431" s="194">
        <f t="shared" si="162"/>
        <v>0</v>
      </c>
      <c r="Z431" s="13">
        <f t="shared" si="163"/>
        <v>0</v>
      </c>
      <c r="AA431" s="13">
        <f t="shared" si="164"/>
        <v>0</v>
      </c>
      <c r="AB431" s="13">
        <f t="shared" si="165"/>
        <v>0</v>
      </c>
      <c r="AC431" s="13">
        <f t="shared" si="166"/>
        <v>0</v>
      </c>
      <c r="AD431" s="13">
        <f t="shared" si="167"/>
        <v>-2.61</v>
      </c>
      <c r="AE431" s="13">
        <f t="shared" si="168"/>
        <v>0</v>
      </c>
      <c r="AF431" s="13">
        <f t="shared" si="169"/>
        <v>0</v>
      </c>
      <c r="AG431" s="685">
        <f t="shared" si="170"/>
        <v>0</v>
      </c>
      <c r="AH431" s="688" t="b">
        <f t="shared" si="171"/>
        <v>1</v>
      </c>
    </row>
    <row r="432" spans="1:34" s="1" customFormat="1" ht="15" customHeight="1">
      <c r="A432" s="946">
        <v>12310002</v>
      </c>
      <c r="B432" s="946" t="s">
        <v>603</v>
      </c>
      <c r="C432" s="946" t="s">
        <v>1410</v>
      </c>
      <c r="D432" s="946">
        <v>100000001</v>
      </c>
      <c r="E432" s="946" t="s">
        <v>33</v>
      </c>
      <c r="F432" s="946" t="s">
        <v>11</v>
      </c>
      <c r="G432" s="947">
        <v>-60.96</v>
      </c>
      <c r="H432" s="947">
        <v>-60.96</v>
      </c>
      <c r="I432" s="949">
        <v>45700</v>
      </c>
      <c r="J432" s="949">
        <v>47514</v>
      </c>
      <c r="K432" s="948"/>
      <c r="L432" s="29" t="e">
        <f>VLOOKUP(A432,'Account Mapping'!$A$2:$E$216,3,0)</f>
        <v>#N/A</v>
      </c>
      <c r="M432" s="25" t="e">
        <f>VLOOKUP(A432,'Account Mapping'!$A$2:$E$216,4,0)</f>
        <v>#N/A</v>
      </c>
      <c r="N432" s="26" t="e">
        <f>IF(OR(C432='Account Mapping'!$H$4,C432='Account Mapping'!$H$5,C432='Account Mapping'!$H$6),'Account Mapping'!$I$4,VLOOKUP(A432,'Account Mapping'!$A$2:$E$216,5,0))</f>
        <v>#N/A</v>
      </c>
      <c r="O432" s="27" t="e">
        <f>IF(OR(L432="Loan",L432="Deposit_Liability",L432="OFF_Unused Loan Commitment",L432="HQLA"),VLOOKUP(D432,'Customer Type'!$A$3:$C$38,3,0),"")</f>
        <v>#N/A</v>
      </c>
      <c r="P432" s="656" t="e">
        <f t="shared" si="159"/>
        <v>#N/A</v>
      </c>
      <c r="Q432" s="658">
        <f>IF(COUNTIF('Account Mapping'!$H$12:$H$45,A432)&gt;0,-H432,H432)</f>
        <v>-60.96</v>
      </c>
      <c r="R432" s="249" t="e">
        <f>VLOOKUP(P432,Assumptions!$C$2:$D$64,2,0)</f>
        <v>#N/A</v>
      </c>
      <c r="S432" s="692">
        <f>IFERROR(VLOOKUP(A432,'Maturity Adjustment'!$A$3:$C$81,3,0),(IF(J432&lt;$N$4,"Tomorrow",J432)))</f>
        <v>47514</v>
      </c>
      <c r="T432" s="190">
        <f t="shared" si="173"/>
        <v>1456</v>
      </c>
      <c r="U432" s="196" t="e">
        <f t="shared" si="160"/>
        <v>#N/A</v>
      </c>
      <c r="V432" s="11">
        <f>IFERROR(VLOOKUP(A432,'Maturity Adjustment'!$A$86:$C$91,3,0),S432)</f>
        <v>47514</v>
      </c>
      <c r="W432" s="12" t="e">
        <f>VLOOKUP(A432,'Account Mapping'!$A$2:$F$216,6,0)</f>
        <v>#N/A</v>
      </c>
      <c r="X432" s="194">
        <f t="shared" si="161"/>
        <v>0</v>
      </c>
      <c r="Y432" s="194">
        <f t="shared" si="162"/>
        <v>0</v>
      </c>
      <c r="Z432" s="13">
        <f t="shared" si="163"/>
        <v>0</v>
      </c>
      <c r="AA432" s="13">
        <f t="shared" si="164"/>
        <v>0</v>
      </c>
      <c r="AB432" s="13">
        <f t="shared" si="165"/>
        <v>0</v>
      </c>
      <c r="AC432" s="13">
        <f t="shared" si="166"/>
        <v>0</v>
      </c>
      <c r="AD432" s="13">
        <f t="shared" si="167"/>
        <v>0</v>
      </c>
      <c r="AE432" s="13">
        <f t="shared" si="168"/>
        <v>-60.96</v>
      </c>
      <c r="AF432" s="13">
        <f t="shared" si="169"/>
        <v>0</v>
      </c>
      <c r="AG432" s="685">
        <f t="shared" si="170"/>
        <v>0</v>
      </c>
      <c r="AH432" s="688" t="b">
        <f t="shared" si="171"/>
        <v>1</v>
      </c>
    </row>
    <row r="433" spans="1:34" s="1" customFormat="1" ht="15" customHeight="1">
      <c r="A433" s="946">
        <v>12310002</v>
      </c>
      <c r="B433" s="946" t="s">
        <v>603</v>
      </c>
      <c r="C433" s="946" t="s">
        <v>1410</v>
      </c>
      <c r="D433" s="946">
        <v>100000001</v>
      </c>
      <c r="E433" s="946" t="s">
        <v>33</v>
      </c>
      <c r="F433" s="946" t="s">
        <v>11</v>
      </c>
      <c r="G433" s="947">
        <v>-0.99</v>
      </c>
      <c r="H433" s="947">
        <v>-0.99</v>
      </c>
      <c r="I433" s="949">
        <v>45700</v>
      </c>
      <c r="J433" s="949">
        <v>47514</v>
      </c>
      <c r="K433" s="948"/>
      <c r="L433" s="29" t="e">
        <f>VLOOKUP(A433,'Account Mapping'!$A$2:$E$216,3,0)</f>
        <v>#N/A</v>
      </c>
      <c r="M433" s="25" t="e">
        <f>VLOOKUP(A433,'Account Mapping'!$A$2:$E$216,4,0)</f>
        <v>#N/A</v>
      </c>
      <c r="N433" s="26" t="e">
        <f>IF(OR(C433='Account Mapping'!$H$4,C433='Account Mapping'!$H$5,C433='Account Mapping'!$H$6),'Account Mapping'!$I$4,VLOOKUP(A433,'Account Mapping'!$A$2:$E$216,5,0))</f>
        <v>#N/A</v>
      </c>
      <c r="O433" s="27" t="e">
        <f>IF(OR(L433="Loan",L433="Deposit_Liability",L433="OFF_Unused Loan Commitment",L433="HQLA"),VLOOKUP(D433,'Customer Type'!$A$3:$C$38,3,0),"")</f>
        <v>#N/A</v>
      </c>
      <c r="P433" s="656" t="e">
        <f t="shared" si="159"/>
        <v>#N/A</v>
      </c>
      <c r="Q433" s="658">
        <f>IF(COUNTIF('Account Mapping'!$H$12:$H$45,A433)&gt;0,-H433,H433)</f>
        <v>-0.99</v>
      </c>
      <c r="R433" s="249" t="e">
        <f>VLOOKUP(P433,Assumptions!$C$2:$D$64,2,0)</f>
        <v>#N/A</v>
      </c>
      <c r="S433" s="692">
        <f>IFERROR(VLOOKUP(A433,'Maturity Adjustment'!$A$3:$C$81,3,0),(IF(J433&lt;$N$4,"Tomorrow",J433)))</f>
        <v>47514</v>
      </c>
      <c r="T433" s="190">
        <f t="shared" si="173"/>
        <v>1456</v>
      </c>
      <c r="U433" s="196" t="e">
        <f t="shared" si="160"/>
        <v>#N/A</v>
      </c>
      <c r="V433" s="11">
        <f>IFERROR(VLOOKUP(A433,'Maturity Adjustment'!$A$86:$C$91,3,0),S433)</f>
        <v>47514</v>
      </c>
      <c r="W433" s="12" t="e">
        <f>VLOOKUP(A433,'Account Mapping'!$A$2:$F$216,6,0)</f>
        <v>#N/A</v>
      </c>
      <c r="X433" s="194">
        <f t="shared" si="161"/>
        <v>0</v>
      </c>
      <c r="Y433" s="194">
        <f t="shared" si="162"/>
        <v>0</v>
      </c>
      <c r="Z433" s="13">
        <f t="shared" si="163"/>
        <v>0</v>
      </c>
      <c r="AA433" s="13">
        <f t="shared" si="164"/>
        <v>0</v>
      </c>
      <c r="AB433" s="13">
        <f t="shared" si="165"/>
        <v>0</v>
      </c>
      <c r="AC433" s="13">
        <f t="shared" si="166"/>
        <v>0</v>
      </c>
      <c r="AD433" s="13">
        <f t="shared" si="167"/>
        <v>0</v>
      </c>
      <c r="AE433" s="13">
        <f t="shared" si="168"/>
        <v>-0.99</v>
      </c>
      <c r="AF433" s="13">
        <f t="shared" si="169"/>
        <v>0</v>
      </c>
      <c r="AG433" s="685">
        <f t="shared" si="170"/>
        <v>0</v>
      </c>
      <c r="AH433" s="688" t="b">
        <f t="shared" si="171"/>
        <v>1</v>
      </c>
    </row>
    <row r="434" spans="1:34" s="1" customFormat="1" ht="15" customHeight="1">
      <c r="A434" s="946">
        <v>12310002</v>
      </c>
      <c r="B434" s="946" t="s">
        <v>603</v>
      </c>
      <c r="C434" s="946" t="s">
        <v>1411</v>
      </c>
      <c r="D434" s="946">
        <v>100000001</v>
      </c>
      <c r="E434" s="946" t="s">
        <v>33</v>
      </c>
      <c r="F434" s="946" t="s">
        <v>11</v>
      </c>
      <c r="G434" s="947">
        <v>-3.55</v>
      </c>
      <c r="H434" s="947">
        <v>-3.55</v>
      </c>
      <c r="I434" s="949">
        <v>45727</v>
      </c>
      <c r="J434" s="949">
        <v>47177</v>
      </c>
      <c r="K434" s="948"/>
      <c r="L434" s="29" t="e">
        <f>VLOOKUP(A434,'Account Mapping'!$A$2:$E$216,3,0)</f>
        <v>#N/A</v>
      </c>
      <c r="M434" s="25" t="e">
        <f>VLOOKUP(A434,'Account Mapping'!$A$2:$E$216,4,0)</f>
        <v>#N/A</v>
      </c>
      <c r="N434" s="26" t="e">
        <f>IF(OR(C434='Account Mapping'!$H$4,C434='Account Mapping'!$H$5,C434='Account Mapping'!$H$6),'Account Mapping'!$I$4,VLOOKUP(A434,'Account Mapping'!$A$2:$E$216,5,0))</f>
        <v>#N/A</v>
      </c>
      <c r="O434" s="27" t="e">
        <f>IF(OR(L434="Loan",L434="Deposit_Liability",L434="OFF_Unused Loan Commitment",L434="HQLA"),VLOOKUP(D434,'Customer Type'!$A$3:$C$38,3,0),"")</f>
        <v>#N/A</v>
      </c>
      <c r="P434" s="656" t="e">
        <f t="shared" si="159"/>
        <v>#N/A</v>
      </c>
      <c r="Q434" s="658">
        <f>IF(COUNTIF('Account Mapping'!$H$12:$H$45,A434)&gt;0,-H434,H434)</f>
        <v>-3.55</v>
      </c>
      <c r="R434" s="249" t="e">
        <f>VLOOKUP(P434,Assumptions!$C$2:$D$64,2,0)</f>
        <v>#N/A</v>
      </c>
      <c r="S434" s="692">
        <f>IFERROR(VLOOKUP(A434,'Maturity Adjustment'!$A$3:$C$81,3,0),(IF(J434&lt;$N$4,"Tomorrow",J434)))</f>
        <v>47177</v>
      </c>
      <c r="T434" s="190">
        <f t="shared" si="173"/>
        <v>1119</v>
      </c>
      <c r="U434" s="196" t="e">
        <f t="shared" si="160"/>
        <v>#N/A</v>
      </c>
      <c r="V434" s="11">
        <f>IFERROR(VLOOKUP(A434,'Maturity Adjustment'!$A$86:$C$91,3,0),S434)</f>
        <v>47177</v>
      </c>
      <c r="W434" s="12" t="e">
        <f>VLOOKUP(A434,'Account Mapping'!$A$2:$F$216,6,0)</f>
        <v>#N/A</v>
      </c>
      <c r="X434" s="194">
        <f t="shared" si="161"/>
        <v>0</v>
      </c>
      <c r="Y434" s="194">
        <f t="shared" si="162"/>
        <v>0</v>
      </c>
      <c r="Z434" s="13">
        <f t="shared" si="163"/>
        <v>0</v>
      </c>
      <c r="AA434" s="13">
        <f t="shared" si="164"/>
        <v>0</v>
      </c>
      <c r="AB434" s="13">
        <f t="shared" si="165"/>
        <v>0</v>
      </c>
      <c r="AC434" s="13">
        <f t="shared" si="166"/>
        <v>0</v>
      </c>
      <c r="AD434" s="13">
        <f t="shared" si="167"/>
        <v>0</v>
      </c>
      <c r="AE434" s="13">
        <f t="shared" si="168"/>
        <v>-3.55</v>
      </c>
      <c r="AF434" s="13">
        <f t="shared" si="169"/>
        <v>0</v>
      </c>
      <c r="AG434" s="685">
        <f t="shared" si="170"/>
        <v>0</v>
      </c>
      <c r="AH434" s="688" t="b">
        <f t="shared" si="171"/>
        <v>1</v>
      </c>
    </row>
    <row r="435" spans="1:34" s="1" customFormat="1" ht="15" customHeight="1">
      <c r="A435" s="946">
        <v>12310002</v>
      </c>
      <c r="B435" s="946" t="s">
        <v>603</v>
      </c>
      <c r="C435" s="946" t="s">
        <v>1411</v>
      </c>
      <c r="D435" s="946">
        <v>100000001</v>
      </c>
      <c r="E435" s="946" t="s">
        <v>33</v>
      </c>
      <c r="F435" s="946" t="s">
        <v>11</v>
      </c>
      <c r="G435" s="947">
        <v>-200.86</v>
      </c>
      <c r="H435" s="947">
        <v>-200.86</v>
      </c>
      <c r="I435" s="949">
        <v>45727</v>
      </c>
      <c r="J435" s="949">
        <v>47177</v>
      </c>
      <c r="K435" s="948"/>
      <c r="L435" s="29" t="e">
        <f>VLOOKUP(A435,'Account Mapping'!$A$2:$E$216,3,0)</f>
        <v>#N/A</v>
      </c>
      <c r="M435" s="25" t="e">
        <f>VLOOKUP(A435,'Account Mapping'!$A$2:$E$216,4,0)</f>
        <v>#N/A</v>
      </c>
      <c r="N435" s="26" t="e">
        <f>IF(OR(C435='Account Mapping'!$H$4,C435='Account Mapping'!$H$5,C435='Account Mapping'!$H$6),'Account Mapping'!$I$4,VLOOKUP(A435,'Account Mapping'!$A$2:$E$216,5,0))</f>
        <v>#N/A</v>
      </c>
      <c r="O435" s="27" t="e">
        <f>IF(OR(L435="Loan",L435="Deposit_Liability",L435="OFF_Unused Loan Commitment",L435="HQLA"),VLOOKUP(D435,'Customer Type'!$A$3:$C$38,3,0),"")</f>
        <v>#N/A</v>
      </c>
      <c r="P435" s="656" t="e">
        <f t="shared" si="159"/>
        <v>#N/A</v>
      </c>
      <c r="Q435" s="658">
        <f>IF(COUNTIF('Account Mapping'!$H$12:$H$45,A435)&gt;0,-H435,H435)</f>
        <v>-200.86</v>
      </c>
      <c r="R435" s="249" t="e">
        <f>VLOOKUP(P435,Assumptions!$C$2:$D$64,2,0)</f>
        <v>#N/A</v>
      </c>
      <c r="S435" s="692">
        <f>IFERROR(VLOOKUP(A435,'Maturity Adjustment'!$A$3:$C$81,3,0),(IF(J435&lt;$N$4,"Tomorrow",J435)))</f>
        <v>47177</v>
      </c>
      <c r="T435" s="190">
        <f t="shared" si="173"/>
        <v>1119</v>
      </c>
      <c r="U435" s="196" t="e">
        <f t="shared" si="160"/>
        <v>#N/A</v>
      </c>
      <c r="V435" s="11">
        <f>IFERROR(VLOOKUP(A435,'Maturity Adjustment'!$A$86:$C$91,3,0),S435)</f>
        <v>47177</v>
      </c>
      <c r="W435" s="12" t="e">
        <f>VLOOKUP(A435,'Account Mapping'!$A$2:$F$216,6,0)</f>
        <v>#N/A</v>
      </c>
      <c r="X435" s="194">
        <f t="shared" si="161"/>
        <v>0</v>
      </c>
      <c r="Y435" s="194">
        <f t="shared" si="162"/>
        <v>0</v>
      </c>
      <c r="Z435" s="13">
        <f t="shared" si="163"/>
        <v>0</v>
      </c>
      <c r="AA435" s="13">
        <f t="shared" si="164"/>
        <v>0</v>
      </c>
      <c r="AB435" s="13">
        <f t="shared" si="165"/>
        <v>0</v>
      </c>
      <c r="AC435" s="13">
        <f t="shared" si="166"/>
        <v>0</v>
      </c>
      <c r="AD435" s="13">
        <f t="shared" si="167"/>
        <v>0</v>
      </c>
      <c r="AE435" s="13">
        <f t="shared" si="168"/>
        <v>-200.86</v>
      </c>
      <c r="AF435" s="13">
        <f t="shared" si="169"/>
        <v>0</v>
      </c>
      <c r="AG435" s="685">
        <f t="shared" si="170"/>
        <v>0</v>
      </c>
      <c r="AH435" s="688" t="b">
        <f t="shared" si="171"/>
        <v>1</v>
      </c>
    </row>
    <row r="436" spans="1:34" s="1" customFormat="1" ht="15" customHeight="1">
      <c r="A436" s="946">
        <v>12310002</v>
      </c>
      <c r="B436" s="946" t="s">
        <v>603</v>
      </c>
      <c r="C436" s="946" t="s">
        <v>1412</v>
      </c>
      <c r="D436" s="946">
        <v>100000001</v>
      </c>
      <c r="E436" s="946" t="s">
        <v>33</v>
      </c>
      <c r="F436" s="946" t="s">
        <v>11</v>
      </c>
      <c r="G436" s="947">
        <v>-448.69</v>
      </c>
      <c r="H436" s="947">
        <v>-448.69</v>
      </c>
      <c r="I436" s="949">
        <v>45727</v>
      </c>
      <c r="J436" s="949">
        <v>47177</v>
      </c>
      <c r="K436" s="948"/>
      <c r="L436" s="29" t="e">
        <f>VLOOKUP(A436,'Account Mapping'!$A$2:$E$216,3,0)</f>
        <v>#N/A</v>
      </c>
      <c r="M436" s="25" t="e">
        <f>VLOOKUP(A436,'Account Mapping'!$A$2:$E$216,4,0)</f>
        <v>#N/A</v>
      </c>
      <c r="N436" s="26" t="e">
        <f>IF(OR(C436='Account Mapping'!$H$4,C436='Account Mapping'!$H$5,C436='Account Mapping'!$H$6),'Account Mapping'!$I$4,VLOOKUP(A436,'Account Mapping'!$A$2:$E$216,5,0))</f>
        <v>#N/A</v>
      </c>
      <c r="O436" s="27" t="e">
        <f>IF(OR(L436="Loan",L436="Deposit_Liability",L436="OFF_Unused Loan Commitment",L436="HQLA"),VLOOKUP(D436,'Customer Type'!$A$3:$C$38,3,0),"")</f>
        <v>#N/A</v>
      </c>
      <c r="P436" s="656" t="e">
        <f t="shared" si="159"/>
        <v>#N/A</v>
      </c>
      <c r="Q436" s="658">
        <f>IF(COUNTIF('Account Mapping'!$H$12:$H$45,A436)&gt;0,-H436,H436)</f>
        <v>-448.69</v>
      </c>
      <c r="R436" s="249" t="e">
        <f>VLOOKUP(P436,Assumptions!$C$2:$D$64,2,0)</f>
        <v>#N/A</v>
      </c>
      <c r="S436" s="692">
        <f>IFERROR(VLOOKUP(A436,'Maturity Adjustment'!$A$3:$C$81,3,0),(IF(J436&lt;$N$4,"Tomorrow",J436)))</f>
        <v>47177</v>
      </c>
      <c r="T436" s="190">
        <f t="shared" si="173"/>
        <v>1119</v>
      </c>
      <c r="U436" s="196" t="e">
        <f t="shared" si="160"/>
        <v>#N/A</v>
      </c>
      <c r="V436" s="11">
        <f>IFERROR(VLOOKUP(A436,'Maturity Adjustment'!$A$86:$C$91,3,0),S436)</f>
        <v>47177</v>
      </c>
      <c r="W436" s="12" t="e">
        <f>VLOOKUP(A436,'Account Mapping'!$A$2:$F$216,6,0)</f>
        <v>#N/A</v>
      </c>
      <c r="X436" s="194">
        <f t="shared" si="161"/>
        <v>0</v>
      </c>
      <c r="Y436" s="194">
        <f t="shared" si="162"/>
        <v>0</v>
      </c>
      <c r="Z436" s="13">
        <f t="shared" si="163"/>
        <v>0</v>
      </c>
      <c r="AA436" s="13">
        <f t="shared" si="164"/>
        <v>0</v>
      </c>
      <c r="AB436" s="13">
        <f t="shared" si="165"/>
        <v>0</v>
      </c>
      <c r="AC436" s="13">
        <f t="shared" si="166"/>
        <v>0</v>
      </c>
      <c r="AD436" s="13">
        <f t="shared" si="167"/>
        <v>0</v>
      </c>
      <c r="AE436" s="13">
        <f t="shared" si="168"/>
        <v>-448.69</v>
      </c>
      <c r="AF436" s="13">
        <f t="shared" si="169"/>
        <v>0</v>
      </c>
      <c r="AG436" s="685">
        <f t="shared" si="170"/>
        <v>0</v>
      </c>
      <c r="AH436" s="688" t="b">
        <f t="shared" si="171"/>
        <v>1</v>
      </c>
    </row>
    <row r="437" spans="1:34" s="1" customFormat="1" ht="15" customHeight="1">
      <c r="A437" s="946">
        <v>12310002</v>
      </c>
      <c r="B437" s="946" t="s">
        <v>603</v>
      </c>
      <c r="C437" s="946" t="s">
        <v>1412</v>
      </c>
      <c r="D437" s="946">
        <v>100000001</v>
      </c>
      <c r="E437" s="946" t="s">
        <v>33</v>
      </c>
      <c r="F437" s="946" t="s">
        <v>11</v>
      </c>
      <c r="G437" s="947">
        <v>-7.92</v>
      </c>
      <c r="H437" s="947">
        <v>-7.92</v>
      </c>
      <c r="I437" s="949">
        <v>45727</v>
      </c>
      <c r="J437" s="949">
        <v>47177</v>
      </c>
      <c r="K437" s="948"/>
      <c r="L437" s="29" t="e">
        <f>VLOOKUP(A437,'Account Mapping'!$A$2:$E$216,3,0)</f>
        <v>#N/A</v>
      </c>
      <c r="M437" s="25" t="e">
        <f>VLOOKUP(A437,'Account Mapping'!$A$2:$E$216,4,0)</f>
        <v>#N/A</v>
      </c>
      <c r="N437" s="26" t="e">
        <f>IF(OR(C437='Account Mapping'!$H$4,C437='Account Mapping'!$H$5,C437='Account Mapping'!$H$6),'Account Mapping'!$I$4,VLOOKUP(A437,'Account Mapping'!$A$2:$E$216,5,0))</f>
        <v>#N/A</v>
      </c>
      <c r="O437" s="27" t="e">
        <f>IF(OR(L437="Loan",L437="Deposit_Liability",L437="OFF_Unused Loan Commitment",L437="HQLA"),VLOOKUP(D437,'Customer Type'!$A$3:$C$38,3,0),"")</f>
        <v>#N/A</v>
      </c>
      <c r="P437" s="656" t="e">
        <f t="shared" si="159"/>
        <v>#N/A</v>
      </c>
      <c r="Q437" s="658">
        <f>IF(COUNTIF('Account Mapping'!$H$12:$H$45,A437)&gt;0,-H437,H437)</f>
        <v>-7.92</v>
      </c>
      <c r="R437" s="249" t="e">
        <f>VLOOKUP(P437,Assumptions!$C$2:$D$64,2,0)</f>
        <v>#N/A</v>
      </c>
      <c r="S437" s="692">
        <f>IFERROR(VLOOKUP(A437,'Maturity Adjustment'!$A$3:$C$81,3,0),(IF(J437&lt;$N$4,"Tomorrow",J437)))</f>
        <v>47177</v>
      </c>
      <c r="T437" s="190">
        <f t="shared" si="173"/>
        <v>1119</v>
      </c>
      <c r="U437" s="196" t="e">
        <f t="shared" si="160"/>
        <v>#N/A</v>
      </c>
      <c r="V437" s="11">
        <f>IFERROR(VLOOKUP(A437,'Maturity Adjustment'!$A$86:$C$91,3,0),S437)</f>
        <v>47177</v>
      </c>
      <c r="W437" s="12" t="e">
        <f>VLOOKUP(A437,'Account Mapping'!$A$2:$F$216,6,0)</f>
        <v>#N/A</v>
      </c>
      <c r="X437" s="194">
        <f t="shared" si="161"/>
        <v>0</v>
      </c>
      <c r="Y437" s="194">
        <f t="shared" si="162"/>
        <v>0</v>
      </c>
      <c r="Z437" s="13">
        <f t="shared" si="163"/>
        <v>0</v>
      </c>
      <c r="AA437" s="13">
        <f t="shared" si="164"/>
        <v>0</v>
      </c>
      <c r="AB437" s="13">
        <f t="shared" si="165"/>
        <v>0</v>
      </c>
      <c r="AC437" s="13">
        <f t="shared" si="166"/>
        <v>0</v>
      </c>
      <c r="AD437" s="13">
        <f t="shared" si="167"/>
        <v>0</v>
      </c>
      <c r="AE437" s="13">
        <f t="shared" si="168"/>
        <v>-7.92</v>
      </c>
      <c r="AF437" s="13">
        <f t="shared" si="169"/>
        <v>0</v>
      </c>
      <c r="AG437" s="685">
        <f t="shared" si="170"/>
        <v>0</v>
      </c>
      <c r="AH437" s="688" t="b">
        <f t="shared" si="171"/>
        <v>1</v>
      </c>
    </row>
    <row r="438" spans="1:34" s="1" customFormat="1" ht="15" customHeight="1">
      <c r="A438" s="946">
        <v>12310002</v>
      </c>
      <c r="B438" s="946" t="s">
        <v>603</v>
      </c>
      <c r="C438" s="946" t="s">
        <v>1413</v>
      </c>
      <c r="D438" s="946">
        <v>100000001</v>
      </c>
      <c r="E438" s="946" t="s">
        <v>33</v>
      </c>
      <c r="F438" s="946" t="s">
        <v>11</v>
      </c>
      <c r="G438" s="947">
        <v>-397.65</v>
      </c>
      <c r="H438" s="947">
        <v>-397.65</v>
      </c>
      <c r="I438" s="949">
        <v>45727</v>
      </c>
      <c r="J438" s="949">
        <v>47177</v>
      </c>
      <c r="K438" s="948"/>
      <c r="L438" s="29" t="e">
        <f>VLOOKUP(A438,'Account Mapping'!$A$2:$E$216,3,0)</f>
        <v>#N/A</v>
      </c>
      <c r="M438" s="25" t="e">
        <f>VLOOKUP(A438,'Account Mapping'!$A$2:$E$216,4,0)</f>
        <v>#N/A</v>
      </c>
      <c r="N438" s="26" t="e">
        <f>IF(OR(C438='Account Mapping'!$H$4,C438='Account Mapping'!$H$5,C438='Account Mapping'!$H$6),'Account Mapping'!$I$4,VLOOKUP(A438,'Account Mapping'!$A$2:$E$216,5,0))</f>
        <v>#N/A</v>
      </c>
      <c r="O438" s="27" t="e">
        <f>IF(OR(L438="Loan",L438="Deposit_Liability",L438="OFF_Unused Loan Commitment",L438="HQLA"),VLOOKUP(D438,'Customer Type'!$A$3:$C$38,3,0),"")</f>
        <v>#N/A</v>
      </c>
      <c r="P438" s="656" t="e">
        <f t="shared" si="159"/>
        <v>#N/A</v>
      </c>
      <c r="Q438" s="658">
        <f>IF(COUNTIF('Account Mapping'!$H$12:$H$45,A438)&gt;0,-H438,H438)</f>
        <v>-397.65</v>
      </c>
      <c r="R438" s="249" t="e">
        <f>VLOOKUP(P438,Assumptions!$C$2:$D$64,2,0)</f>
        <v>#N/A</v>
      </c>
      <c r="S438" s="692">
        <f>IFERROR(VLOOKUP(A438,'Maturity Adjustment'!$A$3:$C$81,3,0),(IF(J438&lt;$N$4,"Tomorrow",J438)))</f>
        <v>47177</v>
      </c>
      <c r="T438" s="190">
        <f t="shared" si="173"/>
        <v>1119</v>
      </c>
      <c r="U438" s="196" t="e">
        <f t="shared" si="160"/>
        <v>#N/A</v>
      </c>
      <c r="V438" s="11">
        <f>IFERROR(VLOOKUP(A438,'Maturity Adjustment'!$A$86:$C$91,3,0),S438)</f>
        <v>47177</v>
      </c>
      <c r="W438" s="12" t="e">
        <f>VLOOKUP(A438,'Account Mapping'!$A$2:$F$216,6,0)</f>
        <v>#N/A</v>
      </c>
      <c r="X438" s="194">
        <f t="shared" si="161"/>
        <v>0</v>
      </c>
      <c r="Y438" s="194">
        <f t="shared" si="162"/>
        <v>0</v>
      </c>
      <c r="Z438" s="13">
        <f t="shared" si="163"/>
        <v>0</v>
      </c>
      <c r="AA438" s="13">
        <f t="shared" si="164"/>
        <v>0</v>
      </c>
      <c r="AB438" s="13">
        <f t="shared" si="165"/>
        <v>0</v>
      </c>
      <c r="AC438" s="13">
        <f t="shared" si="166"/>
        <v>0</v>
      </c>
      <c r="AD438" s="13">
        <f t="shared" si="167"/>
        <v>0</v>
      </c>
      <c r="AE438" s="13">
        <f t="shared" si="168"/>
        <v>-397.65</v>
      </c>
      <c r="AF438" s="13">
        <f t="shared" si="169"/>
        <v>0</v>
      </c>
      <c r="AG438" s="685">
        <f t="shared" si="170"/>
        <v>0</v>
      </c>
      <c r="AH438" s="688" t="b">
        <f t="shared" si="171"/>
        <v>1</v>
      </c>
    </row>
    <row r="439" spans="1:34" s="1" customFormat="1" ht="15" customHeight="1">
      <c r="A439" s="946">
        <v>12310002</v>
      </c>
      <c r="B439" s="946" t="s">
        <v>603</v>
      </c>
      <c r="C439" s="946" t="s">
        <v>1413</v>
      </c>
      <c r="D439" s="946">
        <v>100000001</v>
      </c>
      <c r="E439" s="946" t="s">
        <v>33</v>
      </c>
      <c r="F439" s="946" t="s">
        <v>11</v>
      </c>
      <c r="G439" s="947">
        <v>-7.02</v>
      </c>
      <c r="H439" s="947">
        <v>-7.02</v>
      </c>
      <c r="I439" s="949">
        <v>45727</v>
      </c>
      <c r="J439" s="949">
        <v>47177</v>
      </c>
      <c r="K439" s="948"/>
      <c r="L439" s="29" t="e">
        <f>VLOOKUP(A439,'Account Mapping'!$A$2:$E$216,3,0)</f>
        <v>#N/A</v>
      </c>
      <c r="M439" s="25" t="e">
        <f>VLOOKUP(A439,'Account Mapping'!$A$2:$E$216,4,0)</f>
        <v>#N/A</v>
      </c>
      <c r="N439" s="26" t="e">
        <f>IF(OR(C439='Account Mapping'!$H$4,C439='Account Mapping'!$H$5,C439='Account Mapping'!$H$6),'Account Mapping'!$I$4,VLOOKUP(A439,'Account Mapping'!$A$2:$E$216,5,0))</f>
        <v>#N/A</v>
      </c>
      <c r="O439" s="27" t="e">
        <f>IF(OR(L439="Loan",L439="Deposit_Liability",L439="OFF_Unused Loan Commitment",L439="HQLA"),VLOOKUP(D439,'Customer Type'!$A$3:$C$38,3,0),"")</f>
        <v>#N/A</v>
      </c>
      <c r="P439" s="656" t="e">
        <f t="shared" si="159"/>
        <v>#N/A</v>
      </c>
      <c r="Q439" s="658">
        <f>IF(COUNTIF('Account Mapping'!$H$12:$H$45,A439)&gt;0,-H439,H439)</f>
        <v>-7.02</v>
      </c>
      <c r="R439" s="249" t="e">
        <f>VLOOKUP(P439,Assumptions!$C$2:$D$64,2,0)</f>
        <v>#N/A</v>
      </c>
      <c r="S439" s="692">
        <f>IFERROR(VLOOKUP(A439,'Maturity Adjustment'!$A$3:$C$81,3,0),(IF(J439&lt;$N$4,"Tomorrow",J439)))</f>
        <v>47177</v>
      </c>
      <c r="T439" s="190">
        <f t="shared" si="173"/>
        <v>1119</v>
      </c>
      <c r="U439" s="196" t="e">
        <f t="shared" si="160"/>
        <v>#N/A</v>
      </c>
      <c r="V439" s="11">
        <f>IFERROR(VLOOKUP(A439,'Maturity Adjustment'!$A$86:$C$91,3,0),S439)</f>
        <v>47177</v>
      </c>
      <c r="W439" s="12" t="e">
        <f>VLOOKUP(A439,'Account Mapping'!$A$2:$F$216,6,0)</f>
        <v>#N/A</v>
      </c>
      <c r="X439" s="194">
        <f t="shared" si="161"/>
        <v>0</v>
      </c>
      <c r="Y439" s="194">
        <f t="shared" si="162"/>
        <v>0</v>
      </c>
      <c r="Z439" s="13">
        <f t="shared" si="163"/>
        <v>0</v>
      </c>
      <c r="AA439" s="13">
        <f t="shared" si="164"/>
        <v>0</v>
      </c>
      <c r="AB439" s="13">
        <f t="shared" si="165"/>
        <v>0</v>
      </c>
      <c r="AC439" s="13">
        <f t="shared" si="166"/>
        <v>0</v>
      </c>
      <c r="AD439" s="13">
        <f t="shared" si="167"/>
        <v>0</v>
      </c>
      <c r="AE439" s="13">
        <f t="shared" si="168"/>
        <v>-7.02</v>
      </c>
      <c r="AF439" s="13">
        <f t="shared" si="169"/>
        <v>0</v>
      </c>
      <c r="AG439" s="685">
        <f t="shared" si="170"/>
        <v>0</v>
      </c>
      <c r="AH439" s="688" t="b">
        <f t="shared" si="171"/>
        <v>1</v>
      </c>
    </row>
    <row r="440" spans="1:34" s="1" customFormat="1" ht="15" customHeight="1">
      <c r="A440" s="946">
        <v>12310002</v>
      </c>
      <c r="B440" s="946" t="s">
        <v>603</v>
      </c>
      <c r="C440" s="946" t="s">
        <v>1414</v>
      </c>
      <c r="D440" s="946">
        <v>100000001</v>
      </c>
      <c r="E440" s="946" t="s">
        <v>33</v>
      </c>
      <c r="F440" s="946" t="s">
        <v>11</v>
      </c>
      <c r="G440" s="947">
        <v>-397.65</v>
      </c>
      <c r="H440" s="947">
        <v>-397.65</v>
      </c>
      <c r="I440" s="949">
        <v>45727</v>
      </c>
      <c r="J440" s="949">
        <v>47177</v>
      </c>
      <c r="K440" s="948"/>
      <c r="L440" s="29" t="e">
        <f>VLOOKUP(A440,'Account Mapping'!$A$2:$E$216,3,0)</f>
        <v>#N/A</v>
      </c>
      <c r="M440" s="25" t="e">
        <f>VLOOKUP(A440,'Account Mapping'!$A$2:$E$216,4,0)</f>
        <v>#N/A</v>
      </c>
      <c r="N440" s="26" t="e">
        <f>IF(OR(C440='Account Mapping'!$H$4,C440='Account Mapping'!$H$5,C440='Account Mapping'!$H$6),'Account Mapping'!$I$4,VLOOKUP(A440,'Account Mapping'!$A$2:$E$216,5,0))</f>
        <v>#N/A</v>
      </c>
      <c r="O440" s="27" t="e">
        <f>IF(OR(L440="Loan",L440="Deposit_Liability",L440="OFF_Unused Loan Commitment",L440="HQLA"),VLOOKUP(D440,'Customer Type'!$A$3:$C$38,3,0),"")</f>
        <v>#N/A</v>
      </c>
      <c r="P440" s="656" t="e">
        <f t="shared" si="159"/>
        <v>#N/A</v>
      </c>
      <c r="Q440" s="658">
        <f>IF(COUNTIF('Account Mapping'!$H$12:$H$45,A440)&gt;0,-H440,H440)</f>
        <v>-397.65</v>
      </c>
      <c r="R440" s="249" t="e">
        <f>VLOOKUP(P440,Assumptions!$C$2:$D$64,2,0)</f>
        <v>#N/A</v>
      </c>
      <c r="S440" s="692">
        <f>IFERROR(VLOOKUP(A440,'Maturity Adjustment'!$A$3:$C$81,3,0),(IF(J440&lt;$N$4,"Tomorrow",J440)))</f>
        <v>47177</v>
      </c>
      <c r="T440" s="190">
        <f t="shared" si="173"/>
        <v>1119</v>
      </c>
      <c r="U440" s="196" t="e">
        <f t="shared" si="160"/>
        <v>#N/A</v>
      </c>
      <c r="V440" s="11">
        <f>IFERROR(VLOOKUP(A440,'Maturity Adjustment'!$A$86:$C$91,3,0),S440)</f>
        <v>47177</v>
      </c>
      <c r="W440" s="12" t="e">
        <f>VLOOKUP(A440,'Account Mapping'!$A$2:$F$216,6,0)</f>
        <v>#N/A</v>
      </c>
      <c r="X440" s="194">
        <f t="shared" si="161"/>
        <v>0</v>
      </c>
      <c r="Y440" s="194">
        <f t="shared" si="162"/>
        <v>0</v>
      </c>
      <c r="Z440" s="13">
        <f t="shared" si="163"/>
        <v>0</v>
      </c>
      <c r="AA440" s="13">
        <f t="shared" si="164"/>
        <v>0</v>
      </c>
      <c r="AB440" s="13">
        <f t="shared" si="165"/>
        <v>0</v>
      </c>
      <c r="AC440" s="13">
        <f t="shared" si="166"/>
        <v>0</v>
      </c>
      <c r="AD440" s="13">
        <f t="shared" si="167"/>
        <v>0</v>
      </c>
      <c r="AE440" s="13">
        <f t="shared" si="168"/>
        <v>-397.65</v>
      </c>
      <c r="AF440" s="13">
        <f t="shared" si="169"/>
        <v>0</v>
      </c>
      <c r="AG440" s="685">
        <f t="shared" si="170"/>
        <v>0</v>
      </c>
      <c r="AH440" s="688" t="b">
        <f t="shared" si="171"/>
        <v>1</v>
      </c>
    </row>
    <row r="441" spans="1:34" s="1" customFormat="1" ht="15" customHeight="1">
      <c r="A441" s="946">
        <v>12310002</v>
      </c>
      <c r="B441" s="946" t="s">
        <v>603</v>
      </c>
      <c r="C441" s="946" t="s">
        <v>1414</v>
      </c>
      <c r="D441" s="946">
        <v>100000001</v>
      </c>
      <c r="E441" s="946" t="s">
        <v>33</v>
      </c>
      <c r="F441" s="946" t="s">
        <v>11</v>
      </c>
      <c r="G441" s="947">
        <v>-7.02</v>
      </c>
      <c r="H441" s="947">
        <v>-7.02</v>
      </c>
      <c r="I441" s="949">
        <v>45727</v>
      </c>
      <c r="J441" s="949">
        <v>47177</v>
      </c>
      <c r="K441" s="948"/>
      <c r="L441" s="29" t="e">
        <f>VLOOKUP(A441,'Account Mapping'!$A$2:$E$216,3,0)</f>
        <v>#N/A</v>
      </c>
      <c r="M441" s="25" t="e">
        <f>VLOOKUP(A441,'Account Mapping'!$A$2:$E$216,4,0)</f>
        <v>#N/A</v>
      </c>
      <c r="N441" s="26" t="e">
        <f>IF(OR(C441='Account Mapping'!$H$4,C441='Account Mapping'!$H$5,C441='Account Mapping'!$H$6),'Account Mapping'!$I$4,VLOOKUP(A441,'Account Mapping'!$A$2:$E$216,5,0))</f>
        <v>#N/A</v>
      </c>
      <c r="O441" s="27" t="e">
        <f>IF(OR(L441="Loan",L441="Deposit_Liability",L441="OFF_Unused Loan Commitment",L441="HQLA"),VLOOKUP(D441,'Customer Type'!$A$3:$C$38,3,0),"")</f>
        <v>#N/A</v>
      </c>
      <c r="P441" s="656" t="e">
        <f t="shared" si="159"/>
        <v>#N/A</v>
      </c>
      <c r="Q441" s="658">
        <f>IF(COUNTIF('Account Mapping'!$H$12:$H$45,A441)&gt;0,-H441,H441)</f>
        <v>-7.02</v>
      </c>
      <c r="R441" s="249" t="e">
        <f>VLOOKUP(P441,Assumptions!$C$2:$D$64,2,0)</f>
        <v>#N/A</v>
      </c>
      <c r="S441" s="692">
        <f>IFERROR(VLOOKUP(A441,'Maturity Adjustment'!$A$3:$C$81,3,0),(IF(J441&lt;$N$4,"Tomorrow",J441)))</f>
        <v>47177</v>
      </c>
      <c r="T441" s="190">
        <f t="shared" si="173"/>
        <v>1119</v>
      </c>
      <c r="U441" s="196" t="e">
        <f t="shared" si="160"/>
        <v>#N/A</v>
      </c>
      <c r="V441" s="11">
        <f>IFERROR(VLOOKUP(A441,'Maturity Adjustment'!$A$86:$C$91,3,0),S441)</f>
        <v>47177</v>
      </c>
      <c r="W441" s="12" t="e">
        <f>VLOOKUP(A441,'Account Mapping'!$A$2:$F$216,6,0)</f>
        <v>#N/A</v>
      </c>
      <c r="X441" s="194">
        <f t="shared" si="161"/>
        <v>0</v>
      </c>
      <c r="Y441" s="194">
        <f t="shared" si="162"/>
        <v>0</v>
      </c>
      <c r="Z441" s="13">
        <f t="shared" si="163"/>
        <v>0</v>
      </c>
      <c r="AA441" s="13">
        <f t="shared" si="164"/>
        <v>0</v>
      </c>
      <c r="AB441" s="13">
        <f t="shared" si="165"/>
        <v>0</v>
      </c>
      <c r="AC441" s="13">
        <f t="shared" si="166"/>
        <v>0</v>
      </c>
      <c r="AD441" s="13">
        <f t="shared" si="167"/>
        <v>0</v>
      </c>
      <c r="AE441" s="13">
        <f t="shared" si="168"/>
        <v>-7.02</v>
      </c>
      <c r="AF441" s="13">
        <f t="shared" si="169"/>
        <v>0</v>
      </c>
      <c r="AG441" s="685">
        <f t="shared" si="170"/>
        <v>0</v>
      </c>
      <c r="AH441" s="688" t="b">
        <f t="shared" si="171"/>
        <v>1</v>
      </c>
    </row>
    <row r="442" spans="1:34" s="1" customFormat="1" ht="15" customHeight="1">
      <c r="A442" s="946">
        <v>12310004</v>
      </c>
      <c r="B442" s="946" t="s">
        <v>634</v>
      </c>
      <c r="C442" s="946" t="s">
        <v>635</v>
      </c>
      <c r="D442" s="946">
        <v>100000001</v>
      </c>
      <c r="E442" s="946" t="s">
        <v>33</v>
      </c>
      <c r="F442" s="946" t="s">
        <v>11</v>
      </c>
      <c r="G442" s="947">
        <v>-2669.6</v>
      </c>
      <c r="H442" s="947">
        <v>-2669.6</v>
      </c>
      <c r="I442" s="949">
        <v>44621</v>
      </c>
      <c r="J442" s="949">
        <v>46446</v>
      </c>
      <c r="K442" s="948"/>
      <c r="L442" s="29" t="e">
        <f>VLOOKUP(A442,'Account Mapping'!$A$2:$E$216,3,0)</f>
        <v>#N/A</v>
      </c>
      <c r="M442" s="25" t="e">
        <f>VLOOKUP(A442,'Account Mapping'!$A$2:$E$216,4,0)</f>
        <v>#N/A</v>
      </c>
      <c r="N442" s="26" t="e">
        <f>IF(OR(C442='Account Mapping'!$H$4,C442='Account Mapping'!$H$5,C442='Account Mapping'!$H$6),'Account Mapping'!$I$4,VLOOKUP(A442,'Account Mapping'!$A$2:$E$216,5,0))</f>
        <v>#N/A</v>
      </c>
      <c r="O442" s="27" t="e">
        <f>IF(OR(L442="Loan",L442="Deposit_Liability",L442="OFF_Unused Loan Commitment",L442="HQLA"),VLOOKUP(D442,'Customer Type'!$A$3:$C$38,3,0),"")</f>
        <v>#N/A</v>
      </c>
      <c r="P442" s="656" t="e">
        <f t="shared" si="159"/>
        <v>#N/A</v>
      </c>
      <c r="Q442" s="658">
        <f>IF(COUNTIF('Account Mapping'!$H$12:$H$45,A442)&gt;0,-H442,H442)</f>
        <v>-2669.6</v>
      </c>
      <c r="R442" s="249" t="e">
        <f>VLOOKUP(P442,Assumptions!$C$2:$D$64,2,0)</f>
        <v>#N/A</v>
      </c>
      <c r="S442" s="692">
        <f>IFERROR(VLOOKUP(A442,'Maturity Adjustment'!$A$3:$C$81,3,0),(IF(J442&lt;$N$4,"Tomorrow",J442)))</f>
        <v>46446</v>
      </c>
      <c r="T442" s="190">
        <f t="shared" si="173"/>
        <v>388</v>
      </c>
      <c r="U442" s="196" t="e">
        <f t="shared" si="160"/>
        <v>#N/A</v>
      </c>
      <c r="V442" s="11">
        <f>IFERROR(VLOOKUP(A442,'Maturity Adjustment'!$A$86:$C$91,3,0),S442)</f>
        <v>46446</v>
      </c>
      <c r="W442" s="12" t="e">
        <f>VLOOKUP(A442,'Account Mapping'!$A$2:$F$216,6,0)</f>
        <v>#N/A</v>
      </c>
      <c r="X442" s="194">
        <f t="shared" si="161"/>
        <v>0</v>
      </c>
      <c r="Y442" s="194">
        <f t="shared" si="162"/>
        <v>0</v>
      </c>
      <c r="Z442" s="13">
        <f t="shared" si="163"/>
        <v>0</v>
      </c>
      <c r="AA442" s="13">
        <f t="shared" si="164"/>
        <v>0</v>
      </c>
      <c r="AB442" s="13">
        <f t="shared" si="165"/>
        <v>0</v>
      </c>
      <c r="AC442" s="13">
        <f t="shared" si="166"/>
        <v>0</v>
      </c>
      <c r="AD442" s="13">
        <f t="shared" si="167"/>
        <v>-2669.6</v>
      </c>
      <c r="AE442" s="13">
        <f t="shared" si="168"/>
        <v>0</v>
      </c>
      <c r="AF442" s="13">
        <f t="shared" si="169"/>
        <v>0</v>
      </c>
      <c r="AG442" s="685">
        <f t="shared" si="170"/>
        <v>0</v>
      </c>
      <c r="AH442" s="688" t="b">
        <f t="shared" si="171"/>
        <v>1</v>
      </c>
    </row>
    <row r="443" spans="1:34" s="1" customFormat="1" ht="15" customHeight="1">
      <c r="A443" s="946">
        <v>12310004</v>
      </c>
      <c r="B443" s="946" t="s">
        <v>634</v>
      </c>
      <c r="C443" s="946" t="s">
        <v>635</v>
      </c>
      <c r="D443" s="946">
        <v>100000001</v>
      </c>
      <c r="E443" s="946" t="s">
        <v>33</v>
      </c>
      <c r="F443" s="946" t="s">
        <v>11</v>
      </c>
      <c r="G443" s="947">
        <v>-11.2</v>
      </c>
      <c r="H443" s="947">
        <v>-11.2</v>
      </c>
      <c r="I443" s="949">
        <v>44621</v>
      </c>
      <c r="J443" s="949">
        <v>46446</v>
      </c>
      <c r="K443" s="948"/>
      <c r="L443" s="29" t="e">
        <f>VLOOKUP(A443,'Account Mapping'!$A$2:$E$216,3,0)</f>
        <v>#N/A</v>
      </c>
      <c r="M443" s="25" t="e">
        <f>VLOOKUP(A443,'Account Mapping'!$A$2:$E$216,4,0)</f>
        <v>#N/A</v>
      </c>
      <c r="N443" s="26" t="e">
        <f>IF(OR(C443='Account Mapping'!$H$4,C443='Account Mapping'!$H$5,C443='Account Mapping'!$H$6),'Account Mapping'!$I$4,VLOOKUP(A443,'Account Mapping'!$A$2:$E$216,5,0))</f>
        <v>#N/A</v>
      </c>
      <c r="O443" s="27" t="e">
        <f>IF(OR(L443="Loan",L443="Deposit_Liability",L443="OFF_Unused Loan Commitment",L443="HQLA"),VLOOKUP(D443,'Customer Type'!$A$3:$C$38,3,0),"")</f>
        <v>#N/A</v>
      </c>
      <c r="P443" s="656" t="e">
        <f t="shared" si="159"/>
        <v>#N/A</v>
      </c>
      <c r="Q443" s="658">
        <f>IF(COUNTIF('Account Mapping'!$H$12:$H$45,A443)&gt;0,-H443,H443)</f>
        <v>-11.2</v>
      </c>
      <c r="R443" s="249" t="e">
        <f>VLOOKUP(P443,Assumptions!$C$2:$D$64,2,0)</f>
        <v>#N/A</v>
      </c>
      <c r="S443" s="692">
        <f>IFERROR(VLOOKUP(A443,'Maturity Adjustment'!$A$3:$C$81,3,0),(IF(J443&lt;$N$4,"Tomorrow",J443)))</f>
        <v>46446</v>
      </c>
      <c r="T443" s="190">
        <f t="shared" si="173"/>
        <v>388</v>
      </c>
      <c r="U443" s="196" t="e">
        <f t="shared" si="160"/>
        <v>#N/A</v>
      </c>
      <c r="V443" s="11">
        <f>IFERROR(VLOOKUP(A443,'Maturity Adjustment'!$A$86:$C$91,3,0),S443)</f>
        <v>46446</v>
      </c>
      <c r="W443" s="12" t="e">
        <f>VLOOKUP(A443,'Account Mapping'!$A$2:$F$216,6,0)</f>
        <v>#N/A</v>
      </c>
      <c r="X443" s="194">
        <f t="shared" si="161"/>
        <v>0</v>
      </c>
      <c r="Y443" s="194">
        <f t="shared" si="162"/>
        <v>0</v>
      </c>
      <c r="Z443" s="13">
        <f t="shared" si="163"/>
        <v>0</v>
      </c>
      <c r="AA443" s="13">
        <f t="shared" si="164"/>
        <v>0</v>
      </c>
      <c r="AB443" s="13">
        <f t="shared" si="165"/>
        <v>0</v>
      </c>
      <c r="AC443" s="13">
        <f t="shared" si="166"/>
        <v>0</v>
      </c>
      <c r="AD443" s="13">
        <f t="shared" si="167"/>
        <v>-11.2</v>
      </c>
      <c r="AE443" s="13">
        <f t="shared" si="168"/>
        <v>0</v>
      </c>
      <c r="AF443" s="13">
        <f t="shared" si="169"/>
        <v>0</v>
      </c>
      <c r="AG443" s="685">
        <f t="shared" si="170"/>
        <v>0</v>
      </c>
      <c r="AH443" s="688" t="b">
        <f t="shared" si="171"/>
        <v>1</v>
      </c>
    </row>
    <row r="444" spans="1:34" s="1" customFormat="1" ht="15" customHeight="1">
      <c r="A444" s="946">
        <v>12310004</v>
      </c>
      <c r="B444" s="946" t="s">
        <v>634</v>
      </c>
      <c r="C444" s="946" t="s">
        <v>636</v>
      </c>
      <c r="D444" s="946">
        <v>100000001</v>
      </c>
      <c r="E444" s="946" t="s">
        <v>33</v>
      </c>
      <c r="F444" s="946" t="s">
        <v>11</v>
      </c>
      <c r="G444" s="947">
        <v>-3.35</v>
      </c>
      <c r="H444" s="947">
        <v>-3.35</v>
      </c>
      <c r="I444" s="949">
        <v>44621</v>
      </c>
      <c r="J444" s="949">
        <v>46387</v>
      </c>
      <c r="K444" s="948"/>
      <c r="L444" s="29" t="e">
        <f>VLOOKUP(A444,'Account Mapping'!$A$2:$E$216,3,0)</f>
        <v>#N/A</v>
      </c>
      <c r="M444" s="25" t="e">
        <f>VLOOKUP(A444,'Account Mapping'!$A$2:$E$216,4,0)</f>
        <v>#N/A</v>
      </c>
      <c r="N444" s="26" t="e">
        <f>IF(OR(C444='Account Mapping'!$H$4,C444='Account Mapping'!$H$5,C444='Account Mapping'!$H$6),'Account Mapping'!$I$4,VLOOKUP(A444,'Account Mapping'!$A$2:$E$216,5,0))</f>
        <v>#N/A</v>
      </c>
      <c r="O444" s="27" t="e">
        <f>IF(OR(L444="Loan",L444="Deposit_Liability",L444="OFF_Unused Loan Commitment",L444="HQLA"),VLOOKUP(D444,'Customer Type'!$A$3:$C$38,3,0),"")</f>
        <v>#N/A</v>
      </c>
      <c r="P444" s="656" t="e">
        <f t="shared" si="159"/>
        <v>#N/A</v>
      </c>
      <c r="Q444" s="658">
        <f>IF(COUNTIF('Account Mapping'!$H$12:$H$45,A444)&gt;0,-H444,H444)</f>
        <v>-3.35</v>
      </c>
      <c r="R444" s="249" t="e">
        <f>VLOOKUP(P444,Assumptions!$C$2:$D$64,2,0)</f>
        <v>#N/A</v>
      </c>
      <c r="S444" s="692">
        <f>IFERROR(VLOOKUP(A444,'Maturity Adjustment'!$A$3:$C$81,3,0),(IF(J444&lt;$N$4,"Tomorrow",J444)))</f>
        <v>46387</v>
      </c>
      <c r="T444" s="190">
        <f t="shared" si="173"/>
        <v>329</v>
      </c>
      <c r="U444" s="196" t="e">
        <f t="shared" si="160"/>
        <v>#N/A</v>
      </c>
      <c r="V444" s="11">
        <f>IFERROR(VLOOKUP(A444,'Maturity Adjustment'!$A$86:$C$91,3,0),S444)</f>
        <v>46387</v>
      </c>
      <c r="W444" s="12" t="e">
        <f>VLOOKUP(A444,'Account Mapping'!$A$2:$F$216,6,0)</f>
        <v>#N/A</v>
      </c>
      <c r="X444" s="194">
        <f t="shared" si="161"/>
        <v>0</v>
      </c>
      <c r="Y444" s="194">
        <f t="shared" si="162"/>
        <v>0</v>
      </c>
      <c r="Z444" s="13">
        <f t="shared" si="163"/>
        <v>0</v>
      </c>
      <c r="AA444" s="13">
        <f t="shared" si="164"/>
        <v>0</v>
      </c>
      <c r="AB444" s="13">
        <f t="shared" si="165"/>
        <v>0</v>
      </c>
      <c r="AC444" s="13">
        <f t="shared" si="166"/>
        <v>-3.35</v>
      </c>
      <c r="AD444" s="13">
        <f t="shared" si="167"/>
        <v>0</v>
      </c>
      <c r="AE444" s="13">
        <f t="shared" si="168"/>
        <v>0</v>
      </c>
      <c r="AF444" s="13">
        <f t="shared" si="169"/>
        <v>0</v>
      </c>
      <c r="AG444" s="685">
        <f t="shared" si="170"/>
        <v>0</v>
      </c>
      <c r="AH444" s="688" t="b">
        <f t="shared" si="171"/>
        <v>1</v>
      </c>
    </row>
    <row r="445" spans="1:34" s="1" customFormat="1" ht="15" customHeight="1">
      <c r="A445" s="946">
        <v>12310004</v>
      </c>
      <c r="B445" s="946" t="s">
        <v>634</v>
      </c>
      <c r="C445" s="946" t="s">
        <v>636</v>
      </c>
      <c r="D445" s="946">
        <v>100000001</v>
      </c>
      <c r="E445" s="946" t="s">
        <v>33</v>
      </c>
      <c r="F445" s="946" t="s">
        <v>11</v>
      </c>
      <c r="G445" s="947">
        <v>-798.53</v>
      </c>
      <c r="H445" s="947">
        <v>-798.53</v>
      </c>
      <c r="I445" s="949">
        <v>44621</v>
      </c>
      <c r="J445" s="949">
        <v>46387</v>
      </c>
      <c r="K445" s="948"/>
      <c r="L445" s="29" t="e">
        <f>VLOOKUP(A445,'Account Mapping'!$A$2:$E$216,3,0)</f>
        <v>#N/A</v>
      </c>
      <c r="M445" s="25" t="e">
        <f>VLOOKUP(A445,'Account Mapping'!$A$2:$E$216,4,0)</f>
        <v>#N/A</v>
      </c>
      <c r="N445" s="26" t="e">
        <f>IF(OR(C445='Account Mapping'!$H$4,C445='Account Mapping'!$H$5,C445='Account Mapping'!$H$6),'Account Mapping'!$I$4,VLOOKUP(A445,'Account Mapping'!$A$2:$E$216,5,0))</f>
        <v>#N/A</v>
      </c>
      <c r="O445" s="27" t="e">
        <f>IF(OR(L445="Loan",L445="Deposit_Liability",L445="OFF_Unused Loan Commitment",L445="HQLA"),VLOOKUP(D445,'Customer Type'!$A$3:$C$38,3,0),"")</f>
        <v>#N/A</v>
      </c>
      <c r="P445" s="656" t="e">
        <f t="shared" si="159"/>
        <v>#N/A</v>
      </c>
      <c r="Q445" s="658">
        <f>IF(COUNTIF('Account Mapping'!$H$12:$H$45,A445)&gt;0,-H445,H445)</f>
        <v>-798.53</v>
      </c>
      <c r="R445" s="249" t="e">
        <f>VLOOKUP(P445,Assumptions!$C$2:$D$64,2,0)</f>
        <v>#N/A</v>
      </c>
      <c r="S445" s="692">
        <f>IFERROR(VLOOKUP(A445,'Maturity Adjustment'!$A$3:$C$81,3,0),(IF(J445&lt;$N$4,"Tomorrow",J445)))</f>
        <v>46387</v>
      </c>
      <c r="T445" s="190">
        <f t="shared" ref="T445:T480" si="174">IF(S445="Tomorrow",1,(S445-$N$4))</f>
        <v>329</v>
      </c>
      <c r="U445" s="196" t="e">
        <f t="shared" si="160"/>
        <v>#N/A</v>
      </c>
      <c r="V445" s="11">
        <f>IFERROR(VLOOKUP(A445,'Maturity Adjustment'!$A$86:$C$91,3,0),S445)</f>
        <v>46387</v>
      </c>
      <c r="W445" s="12" t="e">
        <f>VLOOKUP(A445,'Account Mapping'!$A$2:$F$216,6,0)</f>
        <v>#N/A</v>
      </c>
      <c r="X445" s="194">
        <f t="shared" si="161"/>
        <v>0</v>
      </c>
      <c r="Y445" s="194">
        <f t="shared" si="162"/>
        <v>0</v>
      </c>
      <c r="Z445" s="13">
        <f t="shared" si="163"/>
        <v>0</v>
      </c>
      <c r="AA445" s="13">
        <f t="shared" si="164"/>
        <v>0</v>
      </c>
      <c r="AB445" s="13">
        <f t="shared" si="165"/>
        <v>0</v>
      </c>
      <c r="AC445" s="13">
        <f t="shared" si="166"/>
        <v>-798.53</v>
      </c>
      <c r="AD445" s="13">
        <f t="shared" si="167"/>
        <v>0</v>
      </c>
      <c r="AE445" s="13">
        <f t="shared" si="168"/>
        <v>0</v>
      </c>
      <c r="AF445" s="13">
        <f t="shared" si="169"/>
        <v>0</v>
      </c>
      <c r="AG445" s="685">
        <f t="shared" si="170"/>
        <v>0</v>
      </c>
      <c r="AH445" s="688" t="b">
        <f t="shared" si="171"/>
        <v>1</v>
      </c>
    </row>
    <row r="446" spans="1:34" s="1" customFormat="1" ht="15" customHeight="1">
      <c r="A446" s="946">
        <v>12310004</v>
      </c>
      <c r="B446" s="946" t="s">
        <v>634</v>
      </c>
      <c r="C446" s="946" t="s">
        <v>637</v>
      </c>
      <c r="D446" s="946">
        <v>100000001</v>
      </c>
      <c r="E446" s="946" t="s">
        <v>33</v>
      </c>
      <c r="F446" s="946" t="s">
        <v>11</v>
      </c>
      <c r="G446" s="947">
        <v>-2365.98</v>
      </c>
      <c r="H446" s="947">
        <v>-2365.98</v>
      </c>
      <c r="I446" s="949">
        <v>44621</v>
      </c>
      <c r="J446" s="949">
        <v>46387</v>
      </c>
      <c r="K446" s="948"/>
      <c r="L446" s="29" t="e">
        <f>VLOOKUP(A446,'Account Mapping'!$A$2:$E$216,3,0)</f>
        <v>#N/A</v>
      </c>
      <c r="M446" s="25" t="e">
        <f>VLOOKUP(A446,'Account Mapping'!$A$2:$E$216,4,0)</f>
        <v>#N/A</v>
      </c>
      <c r="N446" s="26" t="e">
        <f>IF(OR(C446='Account Mapping'!$H$4,C446='Account Mapping'!$H$5,C446='Account Mapping'!$H$6),'Account Mapping'!$I$4,VLOOKUP(A446,'Account Mapping'!$A$2:$E$216,5,0))</f>
        <v>#N/A</v>
      </c>
      <c r="O446" s="27" t="e">
        <f>IF(OR(L446="Loan",L446="Deposit_Liability",L446="OFF_Unused Loan Commitment",L446="HQLA"),VLOOKUP(D446,'Customer Type'!$A$3:$C$38,3,0),"")</f>
        <v>#N/A</v>
      </c>
      <c r="P446" s="656" t="e">
        <f t="shared" si="159"/>
        <v>#N/A</v>
      </c>
      <c r="Q446" s="658">
        <f>IF(COUNTIF('Account Mapping'!$H$12:$H$45,A446)&gt;0,-H446,H446)</f>
        <v>-2365.98</v>
      </c>
      <c r="R446" s="249" t="e">
        <f>VLOOKUP(P446,Assumptions!$C$2:$D$64,2,0)</f>
        <v>#N/A</v>
      </c>
      <c r="S446" s="692">
        <f>IFERROR(VLOOKUP(A446,'Maturity Adjustment'!$A$3:$C$81,3,0),(IF(J446&lt;$N$4,"Tomorrow",J446)))</f>
        <v>46387</v>
      </c>
      <c r="T446" s="190">
        <f t="shared" ref="T446:T478" si="175">IF(S446="Tomorrow",1,(S446-$N$4))</f>
        <v>329</v>
      </c>
      <c r="U446" s="196" t="e">
        <f t="shared" si="160"/>
        <v>#N/A</v>
      </c>
      <c r="V446" s="11">
        <f>IFERROR(VLOOKUP(A446,'Maturity Adjustment'!$A$86:$C$91,3,0),S446)</f>
        <v>46387</v>
      </c>
      <c r="W446" s="12" t="e">
        <f>VLOOKUP(A446,'Account Mapping'!$A$2:$F$216,6,0)</f>
        <v>#N/A</v>
      </c>
      <c r="X446" s="194">
        <f t="shared" si="161"/>
        <v>0</v>
      </c>
      <c r="Y446" s="194">
        <f t="shared" si="162"/>
        <v>0</v>
      </c>
      <c r="Z446" s="13">
        <f t="shared" si="163"/>
        <v>0</v>
      </c>
      <c r="AA446" s="13">
        <f t="shared" si="164"/>
        <v>0</v>
      </c>
      <c r="AB446" s="13">
        <f t="shared" si="165"/>
        <v>0</v>
      </c>
      <c r="AC446" s="13">
        <f t="shared" si="166"/>
        <v>-2365.98</v>
      </c>
      <c r="AD446" s="13">
        <f t="shared" si="167"/>
        <v>0</v>
      </c>
      <c r="AE446" s="13">
        <f t="shared" si="168"/>
        <v>0</v>
      </c>
      <c r="AF446" s="13">
        <f t="shared" si="169"/>
        <v>0</v>
      </c>
      <c r="AG446" s="685">
        <f t="shared" si="170"/>
        <v>0</v>
      </c>
      <c r="AH446" s="688" t="b">
        <f t="shared" si="171"/>
        <v>1</v>
      </c>
    </row>
    <row r="447" spans="1:34" s="1" customFormat="1" ht="15" customHeight="1">
      <c r="A447" s="946">
        <v>12310004</v>
      </c>
      <c r="B447" s="946" t="s">
        <v>634</v>
      </c>
      <c r="C447" s="946" t="s">
        <v>637</v>
      </c>
      <c r="D447" s="946">
        <v>100000001</v>
      </c>
      <c r="E447" s="946" t="s">
        <v>33</v>
      </c>
      <c r="F447" s="946" t="s">
        <v>11</v>
      </c>
      <c r="G447" s="947">
        <v>-9.91</v>
      </c>
      <c r="H447" s="947">
        <v>-9.91</v>
      </c>
      <c r="I447" s="949">
        <v>44621</v>
      </c>
      <c r="J447" s="949">
        <v>46387</v>
      </c>
      <c r="K447" s="948"/>
      <c r="L447" s="29" t="e">
        <f>VLOOKUP(A447,'Account Mapping'!$A$2:$E$216,3,0)</f>
        <v>#N/A</v>
      </c>
      <c r="M447" s="25" t="e">
        <f>VLOOKUP(A447,'Account Mapping'!$A$2:$E$216,4,0)</f>
        <v>#N/A</v>
      </c>
      <c r="N447" s="26" t="e">
        <f>IF(OR(C447='Account Mapping'!$H$4,C447='Account Mapping'!$H$5,C447='Account Mapping'!$H$6),'Account Mapping'!$I$4,VLOOKUP(A447,'Account Mapping'!$A$2:$E$216,5,0))</f>
        <v>#N/A</v>
      </c>
      <c r="O447" s="27" t="e">
        <f>IF(OR(L447="Loan",L447="Deposit_Liability",L447="OFF_Unused Loan Commitment",L447="HQLA"),VLOOKUP(D447,'Customer Type'!$A$3:$C$38,3,0),"")</f>
        <v>#N/A</v>
      </c>
      <c r="P447" s="656" t="e">
        <f t="shared" si="159"/>
        <v>#N/A</v>
      </c>
      <c r="Q447" s="658">
        <f>IF(COUNTIF('Account Mapping'!$H$12:$H$45,A447)&gt;0,-H447,H447)</f>
        <v>-9.91</v>
      </c>
      <c r="R447" s="249" t="e">
        <f>VLOOKUP(P447,Assumptions!$C$2:$D$64,2,0)</f>
        <v>#N/A</v>
      </c>
      <c r="S447" s="692">
        <f>IFERROR(VLOOKUP(A447,'Maturity Adjustment'!$A$3:$C$81,3,0),(IF(J447&lt;$N$4,"Tomorrow",J447)))</f>
        <v>46387</v>
      </c>
      <c r="T447" s="190">
        <f t="shared" si="175"/>
        <v>329</v>
      </c>
      <c r="U447" s="196" t="e">
        <f t="shared" si="160"/>
        <v>#N/A</v>
      </c>
      <c r="V447" s="11">
        <f>IFERROR(VLOOKUP(A447,'Maturity Adjustment'!$A$86:$C$91,3,0),S447)</f>
        <v>46387</v>
      </c>
      <c r="W447" s="12" t="e">
        <f>VLOOKUP(A447,'Account Mapping'!$A$2:$F$216,6,0)</f>
        <v>#N/A</v>
      </c>
      <c r="X447" s="194">
        <f t="shared" si="161"/>
        <v>0</v>
      </c>
      <c r="Y447" s="194">
        <f t="shared" si="162"/>
        <v>0</v>
      </c>
      <c r="Z447" s="13">
        <f t="shared" si="163"/>
        <v>0</v>
      </c>
      <c r="AA447" s="13">
        <f t="shared" si="164"/>
        <v>0</v>
      </c>
      <c r="AB447" s="13">
        <f t="shared" si="165"/>
        <v>0</v>
      </c>
      <c r="AC447" s="13">
        <f t="shared" si="166"/>
        <v>-9.91</v>
      </c>
      <c r="AD447" s="13">
        <f t="shared" si="167"/>
        <v>0</v>
      </c>
      <c r="AE447" s="13">
        <f t="shared" si="168"/>
        <v>0</v>
      </c>
      <c r="AF447" s="13">
        <f t="shared" si="169"/>
        <v>0</v>
      </c>
      <c r="AG447" s="685">
        <f t="shared" si="170"/>
        <v>0</v>
      </c>
      <c r="AH447" s="688" t="b">
        <f t="shared" si="171"/>
        <v>1</v>
      </c>
    </row>
    <row r="448" spans="1:34" s="1" customFormat="1" ht="15" customHeight="1">
      <c r="A448" s="946">
        <v>12310004</v>
      </c>
      <c r="B448" s="946" t="s">
        <v>634</v>
      </c>
      <c r="C448" s="946" t="s">
        <v>638</v>
      </c>
      <c r="D448" s="946">
        <v>100000001</v>
      </c>
      <c r="E448" s="946" t="s">
        <v>33</v>
      </c>
      <c r="F448" s="946" t="s">
        <v>11</v>
      </c>
      <c r="G448" s="947">
        <v>-12219.06</v>
      </c>
      <c r="H448" s="947">
        <v>-12219.06</v>
      </c>
      <c r="I448" s="949">
        <v>44621</v>
      </c>
      <c r="J448" s="949">
        <v>46387</v>
      </c>
      <c r="K448" s="948"/>
      <c r="L448" s="29" t="e">
        <f>VLOOKUP(A448,'Account Mapping'!$A$2:$E$216,3,0)</f>
        <v>#N/A</v>
      </c>
      <c r="M448" s="25" t="e">
        <f>VLOOKUP(A448,'Account Mapping'!$A$2:$E$216,4,0)</f>
        <v>#N/A</v>
      </c>
      <c r="N448" s="26" t="e">
        <f>IF(OR(C448='Account Mapping'!$H$4,C448='Account Mapping'!$H$5,C448='Account Mapping'!$H$6),'Account Mapping'!$I$4,VLOOKUP(A448,'Account Mapping'!$A$2:$E$216,5,0))</f>
        <v>#N/A</v>
      </c>
      <c r="O448" s="27" t="e">
        <f>IF(OR(L448="Loan",L448="Deposit_Liability",L448="OFF_Unused Loan Commitment",L448="HQLA"),VLOOKUP(D448,'Customer Type'!$A$3:$C$38,3,0),"")</f>
        <v>#N/A</v>
      </c>
      <c r="P448" s="656" t="e">
        <f t="shared" si="159"/>
        <v>#N/A</v>
      </c>
      <c r="Q448" s="658">
        <f>IF(COUNTIF('Account Mapping'!$H$12:$H$45,A448)&gt;0,-H448,H448)</f>
        <v>-12219.06</v>
      </c>
      <c r="R448" s="249" t="e">
        <f>VLOOKUP(P448,Assumptions!$C$2:$D$64,2,0)</f>
        <v>#N/A</v>
      </c>
      <c r="S448" s="692">
        <f>IFERROR(VLOOKUP(A448,'Maturity Adjustment'!$A$3:$C$81,3,0),(IF(J448&lt;$N$4,"Tomorrow",J448)))</f>
        <v>46387</v>
      </c>
      <c r="T448" s="190">
        <f t="shared" si="175"/>
        <v>329</v>
      </c>
      <c r="U448" s="196" t="e">
        <f t="shared" si="160"/>
        <v>#N/A</v>
      </c>
      <c r="V448" s="11">
        <f>IFERROR(VLOOKUP(A448,'Maturity Adjustment'!$A$86:$C$91,3,0),S448)</f>
        <v>46387</v>
      </c>
      <c r="W448" s="12" t="e">
        <f>VLOOKUP(A448,'Account Mapping'!$A$2:$F$216,6,0)</f>
        <v>#N/A</v>
      </c>
      <c r="X448" s="194">
        <f t="shared" si="161"/>
        <v>0</v>
      </c>
      <c r="Y448" s="194">
        <f t="shared" si="162"/>
        <v>0</v>
      </c>
      <c r="Z448" s="13">
        <f t="shared" si="163"/>
        <v>0</v>
      </c>
      <c r="AA448" s="13">
        <f t="shared" si="164"/>
        <v>0</v>
      </c>
      <c r="AB448" s="13">
        <f t="shared" si="165"/>
        <v>0</v>
      </c>
      <c r="AC448" s="13">
        <f t="shared" si="166"/>
        <v>-12219.06</v>
      </c>
      <c r="AD448" s="13">
        <f t="shared" si="167"/>
        <v>0</v>
      </c>
      <c r="AE448" s="13">
        <f t="shared" si="168"/>
        <v>0</v>
      </c>
      <c r="AF448" s="13">
        <f t="shared" si="169"/>
        <v>0</v>
      </c>
      <c r="AG448" s="685">
        <f t="shared" si="170"/>
        <v>0</v>
      </c>
      <c r="AH448" s="688" t="b">
        <f t="shared" si="171"/>
        <v>1</v>
      </c>
    </row>
    <row r="449" spans="1:34" s="1" customFormat="1" ht="15" customHeight="1">
      <c r="A449" s="946">
        <v>12310004</v>
      </c>
      <c r="B449" s="946" t="s">
        <v>634</v>
      </c>
      <c r="C449" s="946" t="s">
        <v>638</v>
      </c>
      <c r="D449" s="946">
        <v>100000001</v>
      </c>
      <c r="E449" s="946" t="s">
        <v>33</v>
      </c>
      <c r="F449" s="946" t="s">
        <v>11</v>
      </c>
      <c r="G449" s="947">
        <v>-51.2</v>
      </c>
      <c r="H449" s="947">
        <v>-51.2</v>
      </c>
      <c r="I449" s="949">
        <v>44621</v>
      </c>
      <c r="J449" s="949">
        <v>46387</v>
      </c>
      <c r="K449" s="948"/>
      <c r="L449" s="29" t="e">
        <f>VLOOKUP(A449,'Account Mapping'!$A$2:$E$216,3,0)</f>
        <v>#N/A</v>
      </c>
      <c r="M449" s="25" t="e">
        <f>VLOOKUP(A449,'Account Mapping'!$A$2:$E$216,4,0)</f>
        <v>#N/A</v>
      </c>
      <c r="N449" s="26" t="e">
        <f>IF(OR(C449='Account Mapping'!$H$4,C449='Account Mapping'!$H$5,C449='Account Mapping'!$H$6),'Account Mapping'!$I$4,VLOOKUP(A449,'Account Mapping'!$A$2:$E$216,5,0))</f>
        <v>#N/A</v>
      </c>
      <c r="O449" s="27" t="e">
        <f>IF(OR(L449="Loan",L449="Deposit_Liability",L449="OFF_Unused Loan Commitment",L449="HQLA"),VLOOKUP(D449,'Customer Type'!$A$3:$C$38,3,0),"")</f>
        <v>#N/A</v>
      </c>
      <c r="P449" s="656" t="e">
        <f t="shared" si="159"/>
        <v>#N/A</v>
      </c>
      <c r="Q449" s="658">
        <f>IF(COUNTIF('Account Mapping'!$H$12:$H$45,A449)&gt;0,-H449,H449)</f>
        <v>-51.2</v>
      </c>
      <c r="R449" s="249" t="e">
        <f>VLOOKUP(P449,Assumptions!$C$2:$D$64,2,0)</f>
        <v>#N/A</v>
      </c>
      <c r="S449" s="692">
        <f>IFERROR(VLOOKUP(A449,'Maturity Adjustment'!$A$3:$C$81,3,0),(IF(J449&lt;$N$4,"Tomorrow",J449)))</f>
        <v>46387</v>
      </c>
      <c r="T449" s="190">
        <f t="shared" si="175"/>
        <v>329</v>
      </c>
      <c r="U449" s="196" t="e">
        <f t="shared" si="160"/>
        <v>#N/A</v>
      </c>
      <c r="V449" s="11">
        <f>IFERROR(VLOOKUP(A449,'Maturity Adjustment'!$A$86:$C$91,3,0),S449)</f>
        <v>46387</v>
      </c>
      <c r="W449" s="12" t="e">
        <f>VLOOKUP(A449,'Account Mapping'!$A$2:$F$216,6,0)</f>
        <v>#N/A</v>
      </c>
      <c r="X449" s="194">
        <f t="shared" si="161"/>
        <v>0</v>
      </c>
      <c r="Y449" s="194">
        <f t="shared" si="162"/>
        <v>0</v>
      </c>
      <c r="Z449" s="13">
        <f t="shared" si="163"/>
        <v>0</v>
      </c>
      <c r="AA449" s="13">
        <f t="shared" si="164"/>
        <v>0</v>
      </c>
      <c r="AB449" s="13">
        <f t="shared" si="165"/>
        <v>0</v>
      </c>
      <c r="AC449" s="13">
        <f t="shared" si="166"/>
        <v>-51.2</v>
      </c>
      <c r="AD449" s="13">
        <f t="shared" si="167"/>
        <v>0</v>
      </c>
      <c r="AE449" s="13">
        <f t="shared" si="168"/>
        <v>0</v>
      </c>
      <c r="AF449" s="13">
        <f t="shared" si="169"/>
        <v>0</v>
      </c>
      <c r="AG449" s="685">
        <f t="shared" si="170"/>
        <v>0</v>
      </c>
      <c r="AH449" s="688" t="b">
        <f t="shared" si="171"/>
        <v>1</v>
      </c>
    </row>
    <row r="450" spans="1:34" s="1" customFormat="1" ht="15" customHeight="1">
      <c r="A450" s="946">
        <v>12310004</v>
      </c>
      <c r="B450" s="946" t="s">
        <v>634</v>
      </c>
      <c r="C450" s="946" t="s">
        <v>858</v>
      </c>
      <c r="D450" s="946">
        <v>100000001</v>
      </c>
      <c r="E450" s="946" t="s">
        <v>33</v>
      </c>
      <c r="F450" s="946" t="s">
        <v>11</v>
      </c>
      <c r="G450" s="947">
        <v>-8750.7000000000007</v>
      </c>
      <c r="H450" s="947">
        <v>-8750.7000000000007</v>
      </c>
      <c r="I450" s="949">
        <v>45252</v>
      </c>
      <c r="J450" s="949">
        <v>47087</v>
      </c>
      <c r="K450" s="948"/>
      <c r="L450" s="29" t="e">
        <f>VLOOKUP(A450,'Account Mapping'!$A$2:$E$216,3,0)</f>
        <v>#N/A</v>
      </c>
      <c r="M450" s="25" t="e">
        <f>VLOOKUP(A450,'Account Mapping'!$A$2:$E$216,4,0)</f>
        <v>#N/A</v>
      </c>
      <c r="N450" s="26" t="e">
        <f>IF(OR(C450='Account Mapping'!$H$4,C450='Account Mapping'!$H$5,C450='Account Mapping'!$H$6),'Account Mapping'!$I$4,VLOOKUP(A450,'Account Mapping'!$A$2:$E$216,5,0))</f>
        <v>#N/A</v>
      </c>
      <c r="O450" s="27" t="e">
        <f>IF(OR(L450="Loan",L450="Deposit_Liability",L450="OFF_Unused Loan Commitment",L450="HQLA"),VLOOKUP(D450,'Customer Type'!$A$3:$C$38,3,0),"")</f>
        <v>#N/A</v>
      </c>
      <c r="P450" s="656" t="e">
        <f t="shared" si="159"/>
        <v>#N/A</v>
      </c>
      <c r="Q450" s="658">
        <f>IF(COUNTIF('Account Mapping'!$H$12:$H$45,A450)&gt;0,-H450,H450)</f>
        <v>-8750.7000000000007</v>
      </c>
      <c r="R450" s="249" t="e">
        <f>VLOOKUP(P450,Assumptions!$C$2:$D$64,2,0)</f>
        <v>#N/A</v>
      </c>
      <c r="S450" s="692">
        <f>IFERROR(VLOOKUP(A450,'Maturity Adjustment'!$A$3:$C$81,3,0),(IF(J450&lt;$N$4,"Tomorrow",J450)))</f>
        <v>47087</v>
      </c>
      <c r="T450" s="190">
        <f t="shared" si="175"/>
        <v>1029</v>
      </c>
      <c r="U450" s="196" t="e">
        <f t="shared" si="160"/>
        <v>#N/A</v>
      </c>
      <c r="V450" s="11">
        <f>IFERROR(VLOOKUP(A450,'Maturity Adjustment'!$A$86:$C$91,3,0),S450)</f>
        <v>47087</v>
      </c>
      <c r="W450" s="12" t="e">
        <f>VLOOKUP(A450,'Account Mapping'!$A$2:$F$216,6,0)</f>
        <v>#N/A</v>
      </c>
      <c r="X450" s="194">
        <f t="shared" si="161"/>
        <v>0</v>
      </c>
      <c r="Y450" s="194">
        <f t="shared" si="162"/>
        <v>0</v>
      </c>
      <c r="Z450" s="13">
        <f t="shared" si="163"/>
        <v>0</v>
      </c>
      <c r="AA450" s="13">
        <f t="shared" si="164"/>
        <v>0</v>
      </c>
      <c r="AB450" s="13">
        <f t="shared" si="165"/>
        <v>0</v>
      </c>
      <c r="AC450" s="13">
        <f t="shared" si="166"/>
        <v>0</v>
      </c>
      <c r="AD450" s="13">
        <f t="shared" si="167"/>
        <v>-8750.7000000000007</v>
      </c>
      <c r="AE450" s="13">
        <f t="shared" si="168"/>
        <v>0</v>
      </c>
      <c r="AF450" s="13">
        <f t="shared" si="169"/>
        <v>0</v>
      </c>
      <c r="AG450" s="685">
        <f t="shared" si="170"/>
        <v>0</v>
      </c>
      <c r="AH450" s="688" t="b">
        <f t="shared" si="171"/>
        <v>1</v>
      </c>
    </row>
    <row r="451" spans="1:34" s="1" customFormat="1" ht="15" customHeight="1">
      <c r="A451" s="946">
        <v>12310004</v>
      </c>
      <c r="B451" s="946" t="s">
        <v>634</v>
      </c>
      <c r="C451" s="946" t="s">
        <v>858</v>
      </c>
      <c r="D451" s="946">
        <v>100000001</v>
      </c>
      <c r="E451" s="946" t="s">
        <v>33</v>
      </c>
      <c r="F451" s="946" t="s">
        <v>11</v>
      </c>
      <c r="G451" s="947">
        <v>-63.54</v>
      </c>
      <c r="H451" s="947">
        <v>-63.54</v>
      </c>
      <c r="I451" s="949">
        <v>45252</v>
      </c>
      <c r="J451" s="949">
        <v>47087</v>
      </c>
      <c r="K451" s="948"/>
      <c r="L451" s="29" t="e">
        <f>VLOOKUP(A451,'Account Mapping'!$A$2:$E$216,3,0)</f>
        <v>#N/A</v>
      </c>
      <c r="M451" s="25" t="e">
        <f>VLOOKUP(A451,'Account Mapping'!$A$2:$E$216,4,0)</f>
        <v>#N/A</v>
      </c>
      <c r="N451" s="26" t="e">
        <f>IF(OR(C451='Account Mapping'!$H$4,C451='Account Mapping'!$H$5,C451='Account Mapping'!$H$6),'Account Mapping'!$I$4,VLOOKUP(A451,'Account Mapping'!$A$2:$E$216,5,0))</f>
        <v>#N/A</v>
      </c>
      <c r="O451" s="27" t="e">
        <f>IF(OR(L451="Loan",L451="Deposit_Liability",L451="OFF_Unused Loan Commitment",L451="HQLA"),VLOOKUP(D451,'Customer Type'!$A$3:$C$38,3,0),"")</f>
        <v>#N/A</v>
      </c>
      <c r="P451" s="656" t="e">
        <f t="shared" si="159"/>
        <v>#N/A</v>
      </c>
      <c r="Q451" s="658">
        <f>IF(COUNTIF('Account Mapping'!$H$12:$H$45,A451)&gt;0,-H451,H451)</f>
        <v>-63.54</v>
      </c>
      <c r="R451" s="249" t="e">
        <f>VLOOKUP(P451,Assumptions!$C$2:$D$64,2,0)</f>
        <v>#N/A</v>
      </c>
      <c r="S451" s="692">
        <f>IFERROR(VLOOKUP(A451,'Maturity Adjustment'!$A$3:$C$81,3,0),(IF(J451&lt;$N$4,"Tomorrow",J451)))</f>
        <v>47087</v>
      </c>
      <c r="T451" s="190">
        <f t="shared" si="175"/>
        <v>1029</v>
      </c>
      <c r="U451" s="196" t="e">
        <f t="shared" si="160"/>
        <v>#N/A</v>
      </c>
      <c r="V451" s="11">
        <f>IFERROR(VLOOKUP(A451,'Maturity Adjustment'!$A$86:$C$91,3,0),S451)</f>
        <v>47087</v>
      </c>
      <c r="W451" s="12" t="e">
        <f>VLOOKUP(A451,'Account Mapping'!$A$2:$F$216,6,0)</f>
        <v>#N/A</v>
      </c>
      <c r="X451" s="194">
        <f t="shared" si="161"/>
        <v>0</v>
      </c>
      <c r="Y451" s="194">
        <f t="shared" si="162"/>
        <v>0</v>
      </c>
      <c r="Z451" s="13">
        <f t="shared" si="163"/>
        <v>0</v>
      </c>
      <c r="AA451" s="13">
        <f t="shared" si="164"/>
        <v>0</v>
      </c>
      <c r="AB451" s="13">
        <f t="shared" si="165"/>
        <v>0</v>
      </c>
      <c r="AC451" s="13">
        <f t="shared" si="166"/>
        <v>0</v>
      </c>
      <c r="AD451" s="13">
        <f t="shared" si="167"/>
        <v>-63.54</v>
      </c>
      <c r="AE451" s="13">
        <f t="shared" si="168"/>
        <v>0</v>
      </c>
      <c r="AF451" s="13">
        <f t="shared" si="169"/>
        <v>0</v>
      </c>
      <c r="AG451" s="685">
        <f t="shared" si="170"/>
        <v>0</v>
      </c>
      <c r="AH451" s="688" t="b">
        <f t="shared" si="171"/>
        <v>1</v>
      </c>
    </row>
    <row r="452" spans="1:34" s="1" customFormat="1" ht="15" customHeight="1">
      <c r="A452" s="946">
        <v>12310004</v>
      </c>
      <c r="B452" s="946" t="s">
        <v>634</v>
      </c>
      <c r="C452" s="946" t="s">
        <v>1418</v>
      </c>
      <c r="D452" s="946">
        <v>100000001</v>
      </c>
      <c r="E452" s="946" t="s">
        <v>33</v>
      </c>
      <c r="F452" s="946" t="s">
        <v>11</v>
      </c>
      <c r="G452" s="947">
        <v>-281.7</v>
      </c>
      <c r="H452" s="947">
        <v>-281.7</v>
      </c>
      <c r="I452" s="949">
        <v>45750</v>
      </c>
      <c r="J452" s="949">
        <v>47573</v>
      </c>
      <c r="K452" s="948"/>
      <c r="L452" s="29" t="e">
        <f>VLOOKUP(A452,'Account Mapping'!$A$2:$E$216,3,0)</f>
        <v>#N/A</v>
      </c>
      <c r="M452" s="25" t="e">
        <f>VLOOKUP(A452,'Account Mapping'!$A$2:$E$216,4,0)</f>
        <v>#N/A</v>
      </c>
      <c r="N452" s="26" t="e">
        <f>IF(OR(C452='Account Mapping'!$H$4,C452='Account Mapping'!$H$5,C452='Account Mapping'!$H$6),'Account Mapping'!$I$4,VLOOKUP(A452,'Account Mapping'!$A$2:$E$216,5,0))</f>
        <v>#N/A</v>
      </c>
      <c r="O452" s="27" t="e">
        <f>IF(OR(L452="Loan",L452="Deposit_Liability",L452="OFF_Unused Loan Commitment",L452="HQLA"),VLOOKUP(D452,'Customer Type'!$A$3:$C$38,3,0),"")</f>
        <v>#N/A</v>
      </c>
      <c r="P452" s="656" t="e">
        <f t="shared" si="159"/>
        <v>#N/A</v>
      </c>
      <c r="Q452" s="658">
        <f>IF(COUNTIF('Account Mapping'!$H$12:$H$45,A452)&gt;0,-H452,H452)</f>
        <v>-281.7</v>
      </c>
      <c r="R452" s="249" t="e">
        <f>VLOOKUP(P452,Assumptions!$C$2:$D$64,2,0)</f>
        <v>#N/A</v>
      </c>
      <c r="S452" s="692">
        <f>IFERROR(VLOOKUP(A452,'Maturity Adjustment'!$A$3:$C$81,3,0),(IF(J452&lt;$N$4,"Tomorrow",J452)))</f>
        <v>47573</v>
      </c>
      <c r="T452" s="190">
        <f t="shared" si="175"/>
        <v>1515</v>
      </c>
      <c r="U452" s="196" t="e">
        <f t="shared" si="160"/>
        <v>#N/A</v>
      </c>
      <c r="V452" s="11">
        <f>IFERROR(VLOOKUP(A452,'Maturity Adjustment'!$A$86:$C$91,3,0),S452)</f>
        <v>47573</v>
      </c>
      <c r="W452" s="12" t="e">
        <f>VLOOKUP(A452,'Account Mapping'!$A$2:$F$216,6,0)</f>
        <v>#N/A</v>
      </c>
      <c r="X452" s="194">
        <f t="shared" si="161"/>
        <v>0</v>
      </c>
      <c r="Y452" s="194">
        <f t="shared" si="162"/>
        <v>0</v>
      </c>
      <c r="Z452" s="13">
        <f t="shared" si="163"/>
        <v>0</v>
      </c>
      <c r="AA452" s="13">
        <f t="shared" si="164"/>
        <v>0</v>
      </c>
      <c r="AB452" s="13">
        <f t="shared" si="165"/>
        <v>0</v>
      </c>
      <c r="AC452" s="13">
        <f t="shared" si="166"/>
        <v>0</v>
      </c>
      <c r="AD452" s="13">
        <f t="shared" si="167"/>
        <v>0</v>
      </c>
      <c r="AE452" s="13">
        <f t="shared" si="168"/>
        <v>-281.7</v>
      </c>
      <c r="AF452" s="13">
        <f t="shared" si="169"/>
        <v>0</v>
      </c>
      <c r="AG452" s="685">
        <f t="shared" si="170"/>
        <v>0</v>
      </c>
      <c r="AH452" s="688" t="b">
        <f t="shared" si="171"/>
        <v>1</v>
      </c>
    </row>
    <row r="453" spans="1:34" s="1" customFormat="1" ht="15" customHeight="1">
      <c r="A453" s="946">
        <v>12310004</v>
      </c>
      <c r="B453" s="946" t="s">
        <v>634</v>
      </c>
      <c r="C453" s="946" t="s">
        <v>1418</v>
      </c>
      <c r="D453" s="946">
        <v>100000001</v>
      </c>
      <c r="E453" s="946" t="s">
        <v>33</v>
      </c>
      <c r="F453" s="946" t="s">
        <v>11</v>
      </c>
      <c r="G453" s="947">
        <v>-5.46</v>
      </c>
      <c r="H453" s="947">
        <v>-5.46</v>
      </c>
      <c r="I453" s="949">
        <v>45750</v>
      </c>
      <c r="J453" s="949">
        <v>47573</v>
      </c>
      <c r="K453" s="948"/>
      <c r="L453" s="29" t="e">
        <f>VLOOKUP(A453,'Account Mapping'!$A$2:$E$216,3,0)</f>
        <v>#N/A</v>
      </c>
      <c r="M453" s="25" t="e">
        <f>VLOOKUP(A453,'Account Mapping'!$A$2:$E$216,4,0)</f>
        <v>#N/A</v>
      </c>
      <c r="N453" s="26" t="e">
        <f>IF(OR(C453='Account Mapping'!$H$4,C453='Account Mapping'!$H$5,C453='Account Mapping'!$H$6),'Account Mapping'!$I$4,VLOOKUP(A453,'Account Mapping'!$A$2:$E$216,5,0))</f>
        <v>#N/A</v>
      </c>
      <c r="O453" s="27" t="e">
        <f>IF(OR(L453="Loan",L453="Deposit_Liability",L453="OFF_Unused Loan Commitment",L453="HQLA"),VLOOKUP(D453,'Customer Type'!$A$3:$C$38,3,0),"")</f>
        <v>#N/A</v>
      </c>
      <c r="P453" s="656" t="e">
        <f t="shared" si="159"/>
        <v>#N/A</v>
      </c>
      <c r="Q453" s="658">
        <f>IF(COUNTIF('Account Mapping'!$H$12:$H$45,A453)&gt;0,-H453,H453)</f>
        <v>-5.46</v>
      </c>
      <c r="R453" s="249" t="e">
        <f>VLOOKUP(P453,Assumptions!$C$2:$D$64,2,0)</f>
        <v>#N/A</v>
      </c>
      <c r="S453" s="692">
        <f>IFERROR(VLOOKUP(A453,'Maturity Adjustment'!$A$3:$C$81,3,0),(IF(J453&lt;$N$4,"Tomorrow",J453)))</f>
        <v>47573</v>
      </c>
      <c r="T453" s="190">
        <f t="shared" si="175"/>
        <v>1515</v>
      </c>
      <c r="U453" s="196" t="e">
        <f t="shared" si="160"/>
        <v>#N/A</v>
      </c>
      <c r="V453" s="11">
        <f>IFERROR(VLOOKUP(A453,'Maturity Adjustment'!$A$86:$C$91,3,0),S453)</f>
        <v>47573</v>
      </c>
      <c r="W453" s="12" t="e">
        <f>VLOOKUP(A453,'Account Mapping'!$A$2:$F$216,6,0)</f>
        <v>#N/A</v>
      </c>
      <c r="X453" s="194">
        <f t="shared" si="161"/>
        <v>0</v>
      </c>
      <c r="Y453" s="194">
        <f t="shared" si="162"/>
        <v>0</v>
      </c>
      <c r="Z453" s="13">
        <f t="shared" si="163"/>
        <v>0</v>
      </c>
      <c r="AA453" s="13">
        <f t="shared" si="164"/>
        <v>0</v>
      </c>
      <c r="AB453" s="13">
        <f t="shared" si="165"/>
        <v>0</v>
      </c>
      <c r="AC453" s="13">
        <f t="shared" si="166"/>
        <v>0</v>
      </c>
      <c r="AD453" s="13">
        <f t="shared" si="167"/>
        <v>0</v>
      </c>
      <c r="AE453" s="13">
        <f t="shared" si="168"/>
        <v>-5.46</v>
      </c>
      <c r="AF453" s="13">
        <f t="shared" si="169"/>
        <v>0</v>
      </c>
      <c r="AG453" s="685">
        <f t="shared" si="170"/>
        <v>0</v>
      </c>
      <c r="AH453" s="688" t="b">
        <f t="shared" si="171"/>
        <v>1</v>
      </c>
    </row>
    <row r="454" spans="1:34" s="1" customFormat="1" ht="15" customHeight="1">
      <c r="A454" s="946">
        <v>12310005</v>
      </c>
      <c r="B454" s="946" t="s">
        <v>639</v>
      </c>
      <c r="C454" s="946" t="s">
        <v>640</v>
      </c>
      <c r="D454" s="946">
        <v>100000001</v>
      </c>
      <c r="E454" s="946" t="s">
        <v>33</v>
      </c>
      <c r="F454" s="946" t="s">
        <v>11</v>
      </c>
      <c r="G454" s="947">
        <v>-4180</v>
      </c>
      <c r="H454" s="947">
        <v>-4180</v>
      </c>
      <c r="I454" s="949">
        <v>44621</v>
      </c>
      <c r="J454" s="949">
        <v>45961</v>
      </c>
      <c r="K454" s="948"/>
      <c r="L454" s="29" t="e">
        <f>VLOOKUP(A454,'Account Mapping'!$A$2:$E$216,3,0)</f>
        <v>#N/A</v>
      </c>
      <c r="M454" s="25" t="e">
        <f>VLOOKUP(A454,'Account Mapping'!$A$2:$E$216,4,0)</f>
        <v>#N/A</v>
      </c>
      <c r="N454" s="26" t="e">
        <f>IF(OR(C454='Account Mapping'!$H$4,C454='Account Mapping'!$H$5,C454='Account Mapping'!$H$6),'Account Mapping'!$I$4,VLOOKUP(A454,'Account Mapping'!$A$2:$E$216,5,0))</f>
        <v>#N/A</v>
      </c>
      <c r="O454" s="27" t="e">
        <f>IF(OR(L454="Loan",L454="Deposit_Liability",L454="OFF_Unused Loan Commitment",L454="HQLA"),VLOOKUP(D454,'Customer Type'!$A$3:$C$38,3,0),"")</f>
        <v>#N/A</v>
      </c>
      <c r="P454" s="656" t="e">
        <f t="shared" si="159"/>
        <v>#N/A</v>
      </c>
      <c r="Q454" s="658">
        <f>IF(COUNTIF('Account Mapping'!$H$12:$H$45,A454)&gt;0,-H454,H454)</f>
        <v>-4180</v>
      </c>
      <c r="R454" s="249" t="e">
        <f>VLOOKUP(P454,Assumptions!$C$2:$D$64,2,0)</f>
        <v>#N/A</v>
      </c>
      <c r="S454" s="692" t="str">
        <f>IFERROR(VLOOKUP(A454,'Maturity Adjustment'!$A$3:$C$81,3,0),(IF(J454&lt;$N$4,"Tomorrow",J454)))</f>
        <v>Tomorrow</v>
      </c>
      <c r="T454" s="190">
        <f t="shared" si="175"/>
        <v>1</v>
      </c>
      <c r="U454" s="196" t="e">
        <f t="shared" si="160"/>
        <v>#N/A</v>
      </c>
      <c r="V454" s="11" t="str">
        <f>IFERROR(VLOOKUP(A454,'Maturity Adjustment'!$A$86:$C$91,3,0),S454)</f>
        <v>Tomorrow</v>
      </c>
      <c r="W454" s="12" t="e">
        <f>VLOOKUP(A454,'Account Mapping'!$A$2:$F$216,6,0)</f>
        <v>#N/A</v>
      </c>
      <c r="X454" s="194">
        <f t="shared" si="161"/>
        <v>-4180</v>
      </c>
      <c r="Y454" s="194">
        <f t="shared" si="162"/>
        <v>0</v>
      </c>
      <c r="Z454" s="13">
        <f t="shared" si="163"/>
        <v>0</v>
      </c>
      <c r="AA454" s="13">
        <f t="shared" si="164"/>
        <v>0</v>
      </c>
      <c r="AB454" s="13">
        <f t="shared" si="165"/>
        <v>0</v>
      </c>
      <c r="AC454" s="13">
        <f t="shared" si="166"/>
        <v>0</v>
      </c>
      <c r="AD454" s="13">
        <f t="shared" si="167"/>
        <v>0</v>
      </c>
      <c r="AE454" s="13">
        <f t="shared" si="168"/>
        <v>0</v>
      </c>
      <c r="AF454" s="13">
        <f t="shared" si="169"/>
        <v>0</v>
      </c>
      <c r="AG454" s="685">
        <f t="shared" si="170"/>
        <v>0</v>
      </c>
      <c r="AH454" s="688" t="b">
        <f t="shared" si="171"/>
        <v>1</v>
      </c>
    </row>
    <row r="455" spans="1:34" s="1" customFormat="1" ht="15" customHeight="1">
      <c r="A455" s="946">
        <v>12310005</v>
      </c>
      <c r="B455" s="946" t="s">
        <v>639</v>
      </c>
      <c r="C455" s="946" t="s">
        <v>641</v>
      </c>
      <c r="D455" s="946">
        <v>100000001</v>
      </c>
      <c r="E455" s="946" t="s">
        <v>33</v>
      </c>
      <c r="F455" s="946" t="s">
        <v>11</v>
      </c>
      <c r="G455" s="947">
        <v>-1156.32</v>
      </c>
      <c r="H455" s="947">
        <v>-1156.32</v>
      </c>
      <c r="I455" s="949">
        <v>44621</v>
      </c>
      <c r="J455" s="949">
        <v>45961</v>
      </c>
      <c r="K455" s="948"/>
      <c r="L455" s="29" t="e">
        <f>VLOOKUP(A455,'Account Mapping'!$A$2:$E$216,3,0)</f>
        <v>#N/A</v>
      </c>
      <c r="M455" s="25" t="e">
        <f>VLOOKUP(A455,'Account Mapping'!$A$2:$E$216,4,0)</f>
        <v>#N/A</v>
      </c>
      <c r="N455" s="26" t="e">
        <f>IF(OR(C455='Account Mapping'!$H$4,C455='Account Mapping'!$H$5,C455='Account Mapping'!$H$6),'Account Mapping'!$I$4,VLOOKUP(A455,'Account Mapping'!$A$2:$E$216,5,0))</f>
        <v>#N/A</v>
      </c>
      <c r="O455" s="27" t="e">
        <f>IF(OR(L455="Loan",L455="Deposit_Liability",L455="OFF_Unused Loan Commitment",L455="HQLA"),VLOOKUP(D455,'Customer Type'!$A$3:$C$38,3,0),"")</f>
        <v>#N/A</v>
      </c>
      <c r="P455" s="656" t="e">
        <f t="shared" si="159"/>
        <v>#N/A</v>
      </c>
      <c r="Q455" s="658">
        <f>IF(COUNTIF('Account Mapping'!$H$12:$H$45,A455)&gt;0,-H455,H455)</f>
        <v>-1156.32</v>
      </c>
      <c r="R455" s="249" t="e">
        <f>VLOOKUP(P455,Assumptions!$C$2:$D$64,2,0)</f>
        <v>#N/A</v>
      </c>
      <c r="S455" s="692" t="str">
        <f>IFERROR(VLOOKUP(A455,'Maturity Adjustment'!$A$3:$C$81,3,0),(IF(J455&lt;$N$4,"Tomorrow",J455)))</f>
        <v>Tomorrow</v>
      </c>
      <c r="T455" s="190">
        <f t="shared" si="175"/>
        <v>1</v>
      </c>
      <c r="U455" s="196" t="e">
        <f t="shared" si="160"/>
        <v>#N/A</v>
      </c>
      <c r="V455" s="11" t="str">
        <f>IFERROR(VLOOKUP(A455,'Maturity Adjustment'!$A$86:$C$91,3,0),S455)</f>
        <v>Tomorrow</v>
      </c>
      <c r="W455" s="12" t="e">
        <f>VLOOKUP(A455,'Account Mapping'!$A$2:$F$216,6,0)</f>
        <v>#N/A</v>
      </c>
      <c r="X455" s="194">
        <f t="shared" si="161"/>
        <v>-1156.32</v>
      </c>
      <c r="Y455" s="194">
        <f t="shared" si="162"/>
        <v>0</v>
      </c>
      <c r="Z455" s="13">
        <f t="shared" si="163"/>
        <v>0</v>
      </c>
      <c r="AA455" s="13">
        <f t="shared" si="164"/>
        <v>0</v>
      </c>
      <c r="AB455" s="13">
        <f t="shared" si="165"/>
        <v>0</v>
      </c>
      <c r="AC455" s="13">
        <f t="shared" si="166"/>
        <v>0</v>
      </c>
      <c r="AD455" s="13">
        <f t="shared" si="167"/>
        <v>0</v>
      </c>
      <c r="AE455" s="13">
        <f t="shared" si="168"/>
        <v>0</v>
      </c>
      <c r="AF455" s="13">
        <f t="shared" si="169"/>
        <v>0</v>
      </c>
      <c r="AG455" s="685">
        <f t="shared" si="170"/>
        <v>0</v>
      </c>
      <c r="AH455" s="688" t="b">
        <f t="shared" si="171"/>
        <v>1</v>
      </c>
    </row>
    <row r="456" spans="1:34" s="1" customFormat="1" ht="15" customHeight="1">
      <c r="A456" s="946">
        <v>12310005</v>
      </c>
      <c r="B456" s="946" t="s">
        <v>639</v>
      </c>
      <c r="C456" s="946" t="s">
        <v>642</v>
      </c>
      <c r="D456" s="946">
        <v>100000001</v>
      </c>
      <c r="E456" s="946" t="s">
        <v>33</v>
      </c>
      <c r="F456" s="946" t="s">
        <v>11</v>
      </c>
      <c r="G456" s="947">
        <v>-227.04</v>
      </c>
      <c r="H456" s="947">
        <v>-227.04</v>
      </c>
      <c r="I456" s="949">
        <v>44621</v>
      </c>
      <c r="J456" s="949">
        <v>45961</v>
      </c>
      <c r="K456" s="948"/>
      <c r="L456" s="29" t="e">
        <f>VLOOKUP(A456,'Account Mapping'!$A$2:$E$216,3,0)</f>
        <v>#N/A</v>
      </c>
      <c r="M456" s="25" t="e">
        <f>VLOOKUP(A456,'Account Mapping'!$A$2:$E$216,4,0)</f>
        <v>#N/A</v>
      </c>
      <c r="N456" s="26" t="e">
        <f>IF(OR(C456='Account Mapping'!$H$4,C456='Account Mapping'!$H$5,C456='Account Mapping'!$H$6),'Account Mapping'!$I$4,VLOOKUP(A456,'Account Mapping'!$A$2:$E$216,5,0))</f>
        <v>#N/A</v>
      </c>
      <c r="O456" s="27" t="e">
        <f>IF(OR(L456="Loan",L456="Deposit_Liability",L456="OFF_Unused Loan Commitment",L456="HQLA"),VLOOKUP(D456,'Customer Type'!$A$3:$C$38,3,0),"")</f>
        <v>#N/A</v>
      </c>
      <c r="P456" s="656" t="e">
        <f t="shared" ref="P456:P519" si="176">M456&amp;"_"&amp;O456</f>
        <v>#N/A</v>
      </c>
      <c r="Q456" s="658">
        <f>IF(COUNTIF('Account Mapping'!$H$12:$H$45,A456)&gt;0,-H456,H456)</f>
        <v>-227.04</v>
      </c>
      <c r="R456" s="249" t="e">
        <f>VLOOKUP(P456,Assumptions!$C$2:$D$64,2,0)</f>
        <v>#N/A</v>
      </c>
      <c r="S456" s="692" t="str">
        <f>IFERROR(VLOOKUP(A456,'Maturity Adjustment'!$A$3:$C$81,3,0),(IF(J456&lt;$N$4,"Tomorrow",J456)))</f>
        <v>Tomorrow</v>
      </c>
      <c r="T456" s="190">
        <f t="shared" si="175"/>
        <v>1</v>
      </c>
      <c r="U456" s="196" t="e">
        <f t="shared" ref="U456:U519" si="177">Q456*R456</f>
        <v>#N/A</v>
      </c>
      <c r="V456" s="11" t="str">
        <f>IFERROR(VLOOKUP(A456,'Maturity Adjustment'!$A$86:$C$91,3,0),S456)</f>
        <v>Tomorrow</v>
      </c>
      <c r="W456" s="12" t="e">
        <f>VLOOKUP(A456,'Account Mapping'!$A$2:$F$216,6,0)</f>
        <v>#N/A</v>
      </c>
      <c r="X456" s="194">
        <f t="shared" ref="X456:X519" si="178">IF(V456="Tomorrow",Q456,IF(AND(V456&gt;$X$4-1,V456&lt;$X$5),Q456,IF(V456=$X$5,Q456,0)))</f>
        <v>-227.04</v>
      </c>
      <c r="Y456" s="194">
        <f t="shared" ref="Y456:Y519" si="179">IF(AND(V456&gt;$Y$4-1,V456&lt;$Y$5),Q456,IF(V456=$Y$5,Q456,0))</f>
        <v>0</v>
      </c>
      <c r="Z456" s="13">
        <f t="shared" ref="Z456:Z519" si="180">IF(AND(V456&gt;$Z$4-1,V456&lt;$Z$5),Q456,IF(V456=$Z$5,Q456,0))</f>
        <v>0</v>
      </c>
      <c r="AA456" s="13">
        <f t="shared" ref="AA456:AA519" si="181">IF(AND(V456&gt;$AA$4-1,V456&lt;$AA$5),Q456,IF(V456=$AA$5,Q456,0))</f>
        <v>0</v>
      </c>
      <c r="AB456" s="13">
        <f t="shared" ref="AB456:AB519" si="182">IF(AND(V456&gt;$AB$4-1,V456&lt;$AB$5),Q456,IF(V456=$AB$5,Q456,0))</f>
        <v>0</v>
      </c>
      <c r="AC456" s="13">
        <f t="shared" ref="AC456:AC519" si="183">IF(AND(V456&gt;$AC$4-1,V456&lt;$AC$5),Q456,IF(V456=$AC$5,Q456,0))</f>
        <v>0</v>
      </c>
      <c r="AD456" s="13">
        <f t="shared" ref="AD456:AD519" si="184">IF(AND(V456&gt;$AD$4-1,V456&lt;$AD$5),Q456,IF(V456=$AD$5,Q456,0))</f>
        <v>0</v>
      </c>
      <c r="AE456" s="13">
        <f t="shared" ref="AE456:AE519" si="185">IF(AND(V456&gt;$AE$4-1,V456&lt;$AE$5),Q456,IF(V456=$AE$5,Q456,0))</f>
        <v>0</v>
      </c>
      <c r="AF456" s="13">
        <f t="shared" ref="AF456:AF519" si="186">IF(AND(V456&gt;$AF$4-1,V456&lt;$AF$5),Q456,IF(V456=$AF$5,Q456,0))</f>
        <v>0</v>
      </c>
      <c r="AG456" s="685">
        <f t="shared" ref="AG456:AG519" si="187">IF(AND(V456&gt;$AG$4-1,V456&lt;$AG$5),Q456,IF(V456=$AG$5,Q456,0))</f>
        <v>0</v>
      </c>
      <c r="AH456" s="688" t="b">
        <f t="shared" ref="AH456:AH519" si="188">Q456=SUM(X456:AG456)</f>
        <v>1</v>
      </c>
    </row>
    <row r="457" spans="1:34" s="1" customFormat="1" ht="15" customHeight="1">
      <c r="A457" s="946">
        <v>12310005</v>
      </c>
      <c r="B457" s="946" t="s">
        <v>639</v>
      </c>
      <c r="C457" s="946" t="s">
        <v>643</v>
      </c>
      <c r="D457" s="946">
        <v>100000001</v>
      </c>
      <c r="E457" s="946" t="s">
        <v>33</v>
      </c>
      <c r="F457" s="946" t="s">
        <v>11</v>
      </c>
      <c r="G457" s="947">
        <v>-1156.32</v>
      </c>
      <c r="H457" s="947">
        <v>-1156.32</v>
      </c>
      <c r="I457" s="949">
        <v>44621</v>
      </c>
      <c r="J457" s="949">
        <v>45961</v>
      </c>
      <c r="K457" s="948"/>
      <c r="L457" s="29" t="e">
        <f>VLOOKUP(A457,'Account Mapping'!$A$2:$E$216,3,0)</f>
        <v>#N/A</v>
      </c>
      <c r="M457" s="25" t="e">
        <f>VLOOKUP(A457,'Account Mapping'!$A$2:$E$216,4,0)</f>
        <v>#N/A</v>
      </c>
      <c r="N457" s="26" t="e">
        <f>IF(OR(C457='Account Mapping'!$H$4,C457='Account Mapping'!$H$5,C457='Account Mapping'!$H$6),'Account Mapping'!$I$4,VLOOKUP(A457,'Account Mapping'!$A$2:$E$216,5,0))</f>
        <v>#N/A</v>
      </c>
      <c r="O457" s="27" t="e">
        <f>IF(OR(L457="Loan",L457="Deposit_Liability",L457="OFF_Unused Loan Commitment",L457="HQLA"),VLOOKUP(D457,'Customer Type'!$A$3:$C$38,3,0),"")</f>
        <v>#N/A</v>
      </c>
      <c r="P457" s="656" t="e">
        <f t="shared" si="176"/>
        <v>#N/A</v>
      </c>
      <c r="Q457" s="658">
        <f>IF(COUNTIF('Account Mapping'!$H$12:$H$45,A457)&gt;0,-H457,H457)</f>
        <v>-1156.32</v>
      </c>
      <c r="R457" s="249" t="e">
        <f>VLOOKUP(P457,Assumptions!$C$2:$D$64,2,0)</f>
        <v>#N/A</v>
      </c>
      <c r="S457" s="692" t="str">
        <f>IFERROR(VLOOKUP(A457,'Maturity Adjustment'!$A$3:$C$81,3,0),(IF(J457&lt;$N$4,"Tomorrow",J457)))</f>
        <v>Tomorrow</v>
      </c>
      <c r="T457" s="190">
        <f t="shared" si="175"/>
        <v>1</v>
      </c>
      <c r="U457" s="196" t="e">
        <f t="shared" si="177"/>
        <v>#N/A</v>
      </c>
      <c r="V457" s="11" t="str">
        <f>IFERROR(VLOOKUP(A457,'Maturity Adjustment'!$A$86:$C$91,3,0),S457)</f>
        <v>Tomorrow</v>
      </c>
      <c r="W457" s="12" t="e">
        <f>VLOOKUP(A457,'Account Mapping'!$A$2:$F$216,6,0)</f>
        <v>#N/A</v>
      </c>
      <c r="X457" s="194">
        <f t="shared" si="178"/>
        <v>-1156.32</v>
      </c>
      <c r="Y457" s="194">
        <f t="shared" si="179"/>
        <v>0</v>
      </c>
      <c r="Z457" s="13">
        <f t="shared" si="180"/>
        <v>0</v>
      </c>
      <c r="AA457" s="13">
        <f t="shared" si="181"/>
        <v>0</v>
      </c>
      <c r="AB457" s="13">
        <f t="shared" si="182"/>
        <v>0</v>
      </c>
      <c r="AC457" s="13">
        <f t="shared" si="183"/>
        <v>0</v>
      </c>
      <c r="AD457" s="13">
        <f t="shared" si="184"/>
        <v>0</v>
      </c>
      <c r="AE457" s="13">
        <f t="shared" si="185"/>
        <v>0</v>
      </c>
      <c r="AF457" s="13">
        <f t="shared" si="186"/>
        <v>0</v>
      </c>
      <c r="AG457" s="685">
        <f t="shared" si="187"/>
        <v>0</v>
      </c>
      <c r="AH457" s="688" t="b">
        <f t="shared" si="188"/>
        <v>1</v>
      </c>
    </row>
    <row r="458" spans="1:34" s="1" customFormat="1" ht="15" customHeight="1">
      <c r="A458" s="946">
        <v>12310005</v>
      </c>
      <c r="B458" s="946" t="s">
        <v>639</v>
      </c>
      <c r="C458" s="946" t="s">
        <v>644</v>
      </c>
      <c r="D458" s="946">
        <v>100000001</v>
      </c>
      <c r="E458" s="946" t="s">
        <v>33</v>
      </c>
      <c r="F458" s="946" t="s">
        <v>11</v>
      </c>
      <c r="G458" s="947">
        <v>-1251.3599999999999</v>
      </c>
      <c r="H458" s="947">
        <v>-1251.3599999999999</v>
      </c>
      <c r="I458" s="949">
        <v>44621</v>
      </c>
      <c r="J458" s="949">
        <v>45961</v>
      </c>
      <c r="K458" s="948"/>
      <c r="L458" s="29" t="e">
        <f>VLOOKUP(A458,'Account Mapping'!$A$2:$E$216,3,0)</f>
        <v>#N/A</v>
      </c>
      <c r="M458" s="25" t="e">
        <f>VLOOKUP(A458,'Account Mapping'!$A$2:$E$216,4,0)</f>
        <v>#N/A</v>
      </c>
      <c r="N458" s="26" t="e">
        <f>IF(OR(C458='Account Mapping'!$H$4,C458='Account Mapping'!$H$5,C458='Account Mapping'!$H$6),'Account Mapping'!$I$4,VLOOKUP(A458,'Account Mapping'!$A$2:$E$216,5,0))</f>
        <v>#N/A</v>
      </c>
      <c r="O458" s="27" t="e">
        <f>IF(OR(L458="Loan",L458="Deposit_Liability",L458="OFF_Unused Loan Commitment",L458="HQLA"),VLOOKUP(D458,'Customer Type'!$A$3:$C$38,3,0),"")</f>
        <v>#N/A</v>
      </c>
      <c r="P458" s="656" t="e">
        <f t="shared" si="176"/>
        <v>#N/A</v>
      </c>
      <c r="Q458" s="658">
        <f>IF(COUNTIF('Account Mapping'!$H$12:$H$45,A458)&gt;0,-H458,H458)</f>
        <v>-1251.3599999999999</v>
      </c>
      <c r="R458" s="249" t="e">
        <f>VLOOKUP(P458,Assumptions!$C$2:$D$64,2,0)</f>
        <v>#N/A</v>
      </c>
      <c r="S458" s="692" t="str">
        <f>IFERROR(VLOOKUP(A458,'Maturity Adjustment'!$A$3:$C$81,3,0),(IF(J458&lt;$N$4,"Tomorrow",J458)))</f>
        <v>Tomorrow</v>
      </c>
      <c r="T458" s="190">
        <f t="shared" si="175"/>
        <v>1</v>
      </c>
      <c r="U458" s="196" t="e">
        <f t="shared" si="177"/>
        <v>#N/A</v>
      </c>
      <c r="V458" s="11" t="str">
        <f>IFERROR(VLOOKUP(A458,'Maturity Adjustment'!$A$86:$C$91,3,0),S458)</f>
        <v>Tomorrow</v>
      </c>
      <c r="W458" s="12" t="e">
        <f>VLOOKUP(A458,'Account Mapping'!$A$2:$F$216,6,0)</f>
        <v>#N/A</v>
      </c>
      <c r="X458" s="194">
        <f t="shared" si="178"/>
        <v>-1251.3599999999999</v>
      </c>
      <c r="Y458" s="194">
        <f t="shared" si="179"/>
        <v>0</v>
      </c>
      <c r="Z458" s="13">
        <f t="shared" si="180"/>
        <v>0</v>
      </c>
      <c r="AA458" s="13">
        <f t="shared" si="181"/>
        <v>0</v>
      </c>
      <c r="AB458" s="13">
        <f t="shared" si="182"/>
        <v>0</v>
      </c>
      <c r="AC458" s="13">
        <f t="shared" si="183"/>
        <v>0</v>
      </c>
      <c r="AD458" s="13">
        <f t="shared" si="184"/>
        <v>0</v>
      </c>
      <c r="AE458" s="13">
        <f t="shared" si="185"/>
        <v>0</v>
      </c>
      <c r="AF458" s="13">
        <f t="shared" si="186"/>
        <v>0</v>
      </c>
      <c r="AG458" s="685">
        <f t="shared" si="187"/>
        <v>0</v>
      </c>
      <c r="AH458" s="688" t="b">
        <f t="shared" si="188"/>
        <v>1</v>
      </c>
    </row>
    <row r="459" spans="1:34" s="1" customFormat="1" ht="15" customHeight="1">
      <c r="A459" s="946">
        <v>12310005</v>
      </c>
      <c r="B459" s="946" t="s">
        <v>639</v>
      </c>
      <c r="C459" s="946" t="s">
        <v>645</v>
      </c>
      <c r="D459" s="946">
        <v>100000001</v>
      </c>
      <c r="E459" s="946" t="s">
        <v>33</v>
      </c>
      <c r="F459" s="946" t="s">
        <v>11</v>
      </c>
      <c r="G459" s="947">
        <v>-3634.84</v>
      </c>
      <c r="H459" s="947">
        <v>-3634.84</v>
      </c>
      <c r="I459" s="949">
        <v>44621</v>
      </c>
      <c r="J459" s="949">
        <v>45961</v>
      </c>
      <c r="K459" s="948"/>
      <c r="L459" s="29" t="e">
        <f>VLOOKUP(A459,'Account Mapping'!$A$2:$E$216,3,0)</f>
        <v>#N/A</v>
      </c>
      <c r="M459" s="25" t="e">
        <f>VLOOKUP(A459,'Account Mapping'!$A$2:$E$216,4,0)</f>
        <v>#N/A</v>
      </c>
      <c r="N459" s="26" t="e">
        <f>IF(OR(C459='Account Mapping'!$H$4,C459='Account Mapping'!$H$5,C459='Account Mapping'!$H$6),'Account Mapping'!$I$4,VLOOKUP(A459,'Account Mapping'!$A$2:$E$216,5,0))</f>
        <v>#N/A</v>
      </c>
      <c r="O459" s="27" t="e">
        <f>IF(OR(L459="Loan",L459="Deposit_Liability",L459="OFF_Unused Loan Commitment",L459="HQLA"),VLOOKUP(D459,'Customer Type'!$A$3:$C$38,3,0),"")</f>
        <v>#N/A</v>
      </c>
      <c r="P459" s="656" t="e">
        <f t="shared" si="176"/>
        <v>#N/A</v>
      </c>
      <c r="Q459" s="658">
        <f>IF(COUNTIF('Account Mapping'!$H$12:$H$45,A459)&gt;0,-H459,H459)</f>
        <v>-3634.84</v>
      </c>
      <c r="R459" s="249" t="e">
        <f>VLOOKUP(P459,Assumptions!$C$2:$D$64,2,0)</f>
        <v>#N/A</v>
      </c>
      <c r="S459" s="692" t="str">
        <f>IFERROR(VLOOKUP(A459,'Maturity Adjustment'!$A$3:$C$81,3,0),(IF(J459&lt;$N$4,"Tomorrow",J459)))</f>
        <v>Tomorrow</v>
      </c>
      <c r="T459" s="190">
        <f t="shared" si="175"/>
        <v>1</v>
      </c>
      <c r="U459" s="196" t="e">
        <f t="shared" si="177"/>
        <v>#N/A</v>
      </c>
      <c r="V459" s="11" t="str">
        <f>IFERROR(VLOOKUP(A459,'Maturity Adjustment'!$A$86:$C$91,3,0),S459)</f>
        <v>Tomorrow</v>
      </c>
      <c r="W459" s="12" t="e">
        <f>VLOOKUP(A459,'Account Mapping'!$A$2:$F$216,6,0)</f>
        <v>#N/A</v>
      </c>
      <c r="X459" s="194">
        <f t="shared" si="178"/>
        <v>-3634.84</v>
      </c>
      <c r="Y459" s="194">
        <f t="shared" si="179"/>
        <v>0</v>
      </c>
      <c r="Z459" s="13">
        <f t="shared" si="180"/>
        <v>0</v>
      </c>
      <c r="AA459" s="13">
        <f t="shared" si="181"/>
        <v>0</v>
      </c>
      <c r="AB459" s="13">
        <f t="shared" si="182"/>
        <v>0</v>
      </c>
      <c r="AC459" s="13">
        <f t="shared" si="183"/>
        <v>0</v>
      </c>
      <c r="AD459" s="13">
        <f t="shared" si="184"/>
        <v>0</v>
      </c>
      <c r="AE459" s="13">
        <f t="shared" si="185"/>
        <v>0</v>
      </c>
      <c r="AF459" s="13">
        <f t="shared" si="186"/>
        <v>0</v>
      </c>
      <c r="AG459" s="685">
        <f t="shared" si="187"/>
        <v>0</v>
      </c>
      <c r="AH459" s="688" t="b">
        <f t="shared" si="188"/>
        <v>1</v>
      </c>
    </row>
    <row r="460" spans="1:34" s="1" customFormat="1" ht="15" customHeight="1">
      <c r="A460" s="946">
        <v>12310005</v>
      </c>
      <c r="B460" s="946" t="s">
        <v>639</v>
      </c>
      <c r="C460" s="946" t="s">
        <v>646</v>
      </c>
      <c r="D460" s="946">
        <v>100000001</v>
      </c>
      <c r="E460" s="946" t="s">
        <v>33</v>
      </c>
      <c r="F460" s="946" t="s">
        <v>11</v>
      </c>
      <c r="G460" s="947">
        <v>-1608.64</v>
      </c>
      <c r="H460" s="947">
        <v>-1608.64</v>
      </c>
      <c r="I460" s="949">
        <v>44621</v>
      </c>
      <c r="J460" s="949">
        <v>45961</v>
      </c>
      <c r="K460" s="948"/>
      <c r="L460" s="29" t="e">
        <f>VLOOKUP(A460,'Account Mapping'!$A$2:$E$216,3,0)</f>
        <v>#N/A</v>
      </c>
      <c r="M460" s="25" t="e">
        <f>VLOOKUP(A460,'Account Mapping'!$A$2:$E$216,4,0)</f>
        <v>#N/A</v>
      </c>
      <c r="N460" s="26" t="e">
        <f>IF(OR(C460='Account Mapping'!$H$4,C460='Account Mapping'!$H$5,C460='Account Mapping'!$H$6),'Account Mapping'!$I$4,VLOOKUP(A460,'Account Mapping'!$A$2:$E$216,5,0))</f>
        <v>#N/A</v>
      </c>
      <c r="O460" s="27" t="e">
        <f>IF(OR(L460="Loan",L460="Deposit_Liability",L460="OFF_Unused Loan Commitment",L460="HQLA"),VLOOKUP(D460,'Customer Type'!$A$3:$C$38,3,0),"")</f>
        <v>#N/A</v>
      </c>
      <c r="P460" s="656" t="e">
        <f t="shared" si="176"/>
        <v>#N/A</v>
      </c>
      <c r="Q460" s="658">
        <f>IF(COUNTIF('Account Mapping'!$H$12:$H$45,A460)&gt;0,-H460,H460)</f>
        <v>-1608.64</v>
      </c>
      <c r="R460" s="249" t="e">
        <f>VLOOKUP(P460,Assumptions!$C$2:$D$64,2,0)</f>
        <v>#N/A</v>
      </c>
      <c r="S460" s="692" t="str">
        <f>IFERROR(VLOOKUP(A460,'Maturity Adjustment'!$A$3:$C$81,3,0),(IF(J460&lt;$N$4,"Tomorrow",J460)))</f>
        <v>Tomorrow</v>
      </c>
      <c r="T460" s="190">
        <f t="shared" si="175"/>
        <v>1</v>
      </c>
      <c r="U460" s="196" t="e">
        <f t="shared" si="177"/>
        <v>#N/A</v>
      </c>
      <c r="V460" s="11" t="str">
        <f>IFERROR(VLOOKUP(A460,'Maturity Adjustment'!$A$86:$C$91,3,0),S460)</f>
        <v>Tomorrow</v>
      </c>
      <c r="W460" s="12" t="e">
        <f>VLOOKUP(A460,'Account Mapping'!$A$2:$F$216,6,0)</f>
        <v>#N/A</v>
      </c>
      <c r="X460" s="194">
        <f t="shared" si="178"/>
        <v>-1608.64</v>
      </c>
      <c r="Y460" s="194">
        <f t="shared" si="179"/>
        <v>0</v>
      </c>
      <c r="Z460" s="13">
        <f t="shared" si="180"/>
        <v>0</v>
      </c>
      <c r="AA460" s="13">
        <f t="shared" si="181"/>
        <v>0</v>
      </c>
      <c r="AB460" s="13">
        <f t="shared" si="182"/>
        <v>0</v>
      </c>
      <c r="AC460" s="13">
        <f t="shared" si="183"/>
        <v>0</v>
      </c>
      <c r="AD460" s="13">
        <f t="shared" si="184"/>
        <v>0</v>
      </c>
      <c r="AE460" s="13">
        <f t="shared" si="185"/>
        <v>0</v>
      </c>
      <c r="AF460" s="13">
        <f t="shared" si="186"/>
        <v>0</v>
      </c>
      <c r="AG460" s="685">
        <f t="shared" si="187"/>
        <v>0</v>
      </c>
      <c r="AH460" s="688" t="b">
        <f t="shared" si="188"/>
        <v>1</v>
      </c>
    </row>
    <row r="461" spans="1:34" s="1" customFormat="1" ht="15" customHeight="1">
      <c r="A461" s="946">
        <v>12310005</v>
      </c>
      <c r="B461" s="946" t="s">
        <v>639</v>
      </c>
      <c r="C461" s="946" t="s">
        <v>647</v>
      </c>
      <c r="D461" s="946">
        <v>100000001</v>
      </c>
      <c r="E461" s="946" t="s">
        <v>33</v>
      </c>
      <c r="F461" s="946" t="s">
        <v>11</v>
      </c>
      <c r="G461" s="947">
        <v>-331.75</v>
      </c>
      <c r="H461" s="947">
        <v>-331.75</v>
      </c>
      <c r="I461" s="949">
        <v>44621</v>
      </c>
      <c r="J461" s="949">
        <v>45961</v>
      </c>
      <c r="K461" s="948"/>
      <c r="L461" s="29" t="e">
        <f>VLOOKUP(A461,'Account Mapping'!$A$2:$E$216,3,0)</f>
        <v>#N/A</v>
      </c>
      <c r="M461" s="25" t="e">
        <f>VLOOKUP(A461,'Account Mapping'!$A$2:$E$216,4,0)</f>
        <v>#N/A</v>
      </c>
      <c r="N461" s="26" t="e">
        <f>IF(OR(C461='Account Mapping'!$H$4,C461='Account Mapping'!$H$5,C461='Account Mapping'!$H$6),'Account Mapping'!$I$4,VLOOKUP(A461,'Account Mapping'!$A$2:$E$216,5,0))</f>
        <v>#N/A</v>
      </c>
      <c r="O461" s="27" t="e">
        <f>IF(OR(L461="Loan",L461="Deposit_Liability",L461="OFF_Unused Loan Commitment",L461="HQLA"),VLOOKUP(D461,'Customer Type'!$A$3:$C$38,3,0),"")</f>
        <v>#N/A</v>
      </c>
      <c r="P461" s="656" t="e">
        <f t="shared" si="176"/>
        <v>#N/A</v>
      </c>
      <c r="Q461" s="658">
        <f>IF(COUNTIF('Account Mapping'!$H$12:$H$45,A461)&gt;0,-H461,H461)</f>
        <v>-331.75</v>
      </c>
      <c r="R461" s="249" t="e">
        <f>VLOOKUP(P461,Assumptions!$C$2:$D$64,2,0)</f>
        <v>#N/A</v>
      </c>
      <c r="S461" s="692" t="str">
        <f>IFERROR(VLOOKUP(A461,'Maturity Adjustment'!$A$3:$C$81,3,0),(IF(J461&lt;$N$4,"Tomorrow",J461)))</f>
        <v>Tomorrow</v>
      </c>
      <c r="T461" s="190">
        <f t="shared" si="175"/>
        <v>1</v>
      </c>
      <c r="U461" s="196" t="e">
        <f t="shared" si="177"/>
        <v>#N/A</v>
      </c>
      <c r="V461" s="11" t="str">
        <f>IFERROR(VLOOKUP(A461,'Maturity Adjustment'!$A$86:$C$91,3,0),S461)</f>
        <v>Tomorrow</v>
      </c>
      <c r="W461" s="12" t="e">
        <f>VLOOKUP(A461,'Account Mapping'!$A$2:$F$216,6,0)</f>
        <v>#N/A</v>
      </c>
      <c r="X461" s="194">
        <f t="shared" si="178"/>
        <v>-331.75</v>
      </c>
      <c r="Y461" s="194">
        <f t="shared" si="179"/>
        <v>0</v>
      </c>
      <c r="Z461" s="13">
        <f t="shared" si="180"/>
        <v>0</v>
      </c>
      <c r="AA461" s="13">
        <f t="shared" si="181"/>
        <v>0</v>
      </c>
      <c r="AB461" s="13">
        <f t="shared" si="182"/>
        <v>0</v>
      </c>
      <c r="AC461" s="13">
        <f t="shared" si="183"/>
        <v>0</v>
      </c>
      <c r="AD461" s="13">
        <f t="shared" si="184"/>
        <v>0</v>
      </c>
      <c r="AE461" s="13">
        <f t="shared" si="185"/>
        <v>0</v>
      </c>
      <c r="AF461" s="13">
        <f t="shared" si="186"/>
        <v>0</v>
      </c>
      <c r="AG461" s="685">
        <f t="shared" si="187"/>
        <v>0</v>
      </c>
      <c r="AH461" s="688" t="b">
        <f t="shared" si="188"/>
        <v>1</v>
      </c>
    </row>
    <row r="462" spans="1:34" s="1" customFormat="1" ht="15" customHeight="1">
      <c r="A462" s="946">
        <v>12310005</v>
      </c>
      <c r="B462" s="946" t="s">
        <v>639</v>
      </c>
      <c r="C462" s="946" t="s">
        <v>648</v>
      </c>
      <c r="D462" s="946">
        <v>100000001</v>
      </c>
      <c r="E462" s="946" t="s">
        <v>33</v>
      </c>
      <c r="F462" s="946" t="s">
        <v>11</v>
      </c>
      <c r="G462" s="947">
        <v>-636.23</v>
      </c>
      <c r="H462" s="947">
        <v>-636.23</v>
      </c>
      <c r="I462" s="949">
        <v>44621</v>
      </c>
      <c r="J462" s="949">
        <v>45961</v>
      </c>
      <c r="K462" s="948"/>
      <c r="L462" s="29" t="e">
        <f>VLOOKUP(A462,'Account Mapping'!$A$2:$E$216,3,0)</f>
        <v>#N/A</v>
      </c>
      <c r="M462" s="25" t="e">
        <f>VLOOKUP(A462,'Account Mapping'!$A$2:$E$216,4,0)</f>
        <v>#N/A</v>
      </c>
      <c r="N462" s="26" t="e">
        <f>IF(OR(C462='Account Mapping'!$H$4,C462='Account Mapping'!$H$5,C462='Account Mapping'!$H$6),'Account Mapping'!$I$4,VLOOKUP(A462,'Account Mapping'!$A$2:$E$216,5,0))</f>
        <v>#N/A</v>
      </c>
      <c r="O462" s="27" t="e">
        <f>IF(OR(L462="Loan",L462="Deposit_Liability",L462="OFF_Unused Loan Commitment",L462="HQLA"),VLOOKUP(D462,'Customer Type'!$A$3:$C$38,3,0),"")</f>
        <v>#N/A</v>
      </c>
      <c r="P462" s="656" t="e">
        <f t="shared" si="176"/>
        <v>#N/A</v>
      </c>
      <c r="Q462" s="658">
        <f>IF(COUNTIF('Account Mapping'!$H$12:$H$45,A462)&gt;0,-H462,H462)</f>
        <v>-636.23</v>
      </c>
      <c r="R462" s="249" t="e">
        <f>VLOOKUP(P462,Assumptions!$C$2:$D$64,2,0)</f>
        <v>#N/A</v>
      </c>
      <c r="S462" s="692" t="str">
        <f>IFERROR(VLOOKUP(A462,'Maturity Adjustment'!$A$3:$C$81,3,0),(IF(J462&lt;$N$4,"Tomorrow",J462)))</f>
        <v>Tomorrow</v>
      </c>
      <c r="T462" s="190">
        <f t="shared" si="175"/>
        <v>1</v>
      </c>
      <c r="U462" s="196" t="e">
        <f t="shared" si="177"/>
        <v>#N/A</v>
      </c>
      <c r="V462" s="11" t="str">
        <f>IFERROR(VLOOKUP(A462,'Maturity Adjustment'!$A$86:$C$91,3,0),S462)</f>
        <v>Tomorrow</v>
      </c>
      <c r="W462" s="12" t="e">
        <f>VLOOKUP(A462,'Account Mapping'!$A$2:$F$216,6,0)</f>
        <v>#N/A</v>
      </c>
      <c r="X462" s="194">
        <f t="shared" si="178"/>
        <v>-636.23</v>
      </c>
      <c r="Y462" s="194">
        <f t="shared" si="179"/>
        <v>0</v>
      </c>
      <c r="Z462" s="13">
        <f t="shared" si="180"/>
        <v>0</v>
      </c>
      <c r="AA462" s="13">
        <f t="shared" si="181"/>
        <v>0</v>
      </c>
      <c r="AB462" s="13">
        <f t="shared" si="182"/>
        <v>0</v>
      </c>
      <c r="AC462" s="13">
        <f t="shared" si="183"/>
        <v>0</v>
      </c>
      <c r="AD462" s="13">
        <f t="shared" si="184"/>
        <v>0</v>
      </c>
      <c r="AE462" s="13">
        <f t="shared" si="185"/>
        <v>0</v>
      </c>
      <c r="AF462" s="13">
        <f t="shared" si="186"/>
        <v>0</v>
      </c>
      <c r="AG462" s="685">
        <f t="shared" si="187"/>
        <v>0</v>
      </c>
      <c r="AH462" s="688" t="b">
        <f t="shared" si="188"/>
        <v>1</v>
      </c>
    </row>
    <row r="463" spans="1:34" s="1" customFormat="1" ht="15" customHeight="1">
      <c r="A463" s="946">
        <v>12310005</v>
      </c>
      <c r="B463" s="946" t="s">
        <v>639</v>
      </c>
      <c r="C463" s="946" t="s">
        <v>649</v>
      </c>
      <c r="D463" s="946">
        <v>100000001</v>
      </c>
      <c r="E463" s="946" t="s">
        <v>33</v>
      </c>
      <c r="F463" s="946" t="s">
        <v>11</v>
      </c>
      <c r="G463" s="947">
        <v>-2513.12</v>
      </c>
      <c r="H463" s="947">
        <v>-2513.12</v>
      </c>
      <c r="I463" s="949">
        <v>44621</v>
      </c>
      <c r="J463" s="949">
        <v>45961</v>
      </c>
      <c r="K463" s="948"/>
      <c r="L463" s="29" t="e">
        <f>VLOOKUP(A463,'Account Mapping'!$A$2:$E$216,3,0)</f>
        <v>#N/A</v>
      </c>
      <c r="M463" s="25" t="e">
        <f>VLOOKUP(A463,'Account Mapping'!$A$2:$E$216,4,0)</f>
        <v>#N/A</v>
      </c>
      <c r="N463" s="26" t="e">
        <f>IF(OR(C463='Account Mapping'!$H$4,C463='Account Mapping'!$H$5,C463='Account Mapping'!$H$6),'Account Mapping'!$I$4,VLOOKUP(A463,'Account Mapping'!$A$2:$E$216,5,0))</f>
        <v>#N/A</v>
      </c>
      <c r="O463" s="27" t="e">
        <f>IF(OR(L463="Loan",L463="Deposit_Liability",L463="OFF_Unused Loan Commitment",L463="HQLA"),VLOOKUP(D463,'Customer Type'!$A$3:$C$38,3,0),"")</f>
        <v>#N/A</v>
      </c>
      <c r="P463" s="656" t="e">
        <f t="shared" si="176"/>
        <v>#N/A</v>
      </c>
      <c r="Q463" s="658">
        <f>IF(COUNTIF('Account Mapping'!$H$12:$H$45,A463)&gt;0,-H463,H463)</f>
        <v>-2513.12</v>
      </c>
      <c r="R463" s="249" t="e">
        <f>VLOOKUP(P463,Assumptions!$C$2:$D$64,2,0)</f>
        <v>#N/A</v>
      </c>
      <c r="S463" s="692" t="str">
        <f>IFERROR(VLOOKUP(A463,'Maturity Adjustment'!$A$3:$C$81,3,0),(IF(J463&lt;$N$4,"Tomorrow",J463)))</f>
        <v>Tomorrow</v>
      </c>
      <c r="T463" s="190">
        <f t="shared" si="175"/>
        <v>1</v>
      </c>
      <c r="U463" s="196" t="e">
        <f t="shared" si="177"/>
        <v>#N/A</v>
      </c>
      <c r="V463" s="11" t="str">
        <f>IFERROR(VLOOKUP(A463,'Maturity Adjustment'!$A$86:$C$91,3,0),S463)</f>
        <v>Tomorrow</v>
      </c>
      <c r="W463" s="12" t="e">
        <f>VLOOKUP(A463,'Account Mapping'!$A$2:$F$216,6,0)</f>
        <v>#N/A</v>
      </c>
      <c r="X463" s="194">
        <f t="shared" si="178"/>
        <v>-2513.12</v>
      </c>
      <c r="Y463" s="194">
        <f t="shared" si="179"/>
        <v>0</v>
      </c>
      <c r="Z463" s="13">
        <f t="shared" si="180"/>
        <v>0</v>
      </c>
      <c r="AA463" s="13">
        <f t="shared" si="181"/>
        <v>0</v>
      </c>
      <c r="AB463" s="13">
        <f t="shared" si="182"/>
        <v>0</v>
      </c>
      <c r="AC463" s="13">
        <f t="shared" si="183"/>
        <v>0</v>
      </c>
      <c r="AD463" s="13">
        <f t="shared" si="184"/>
        <v>0</v>
      </c>
      <c r="AE463" s="13">
        <f t="shared" si="185"/>
        <v>0</v>
      </c>
      <c r="AF463" s="13">
        <f t="shared" si="186"/>
        <v>0</v>
      </c>
      <c r="AG463" s="685">
        <f t="shared" si="187"/>
        <v>0</v>
      </c>
      <c r="AH463" s="688" t="b">
        <f t="shared" si="188"/>
        <v>1</v>
      </c>
    </row>
    <row r="464" spans="1:34" s="1" customFormat="1" ht="15" customHeight="1">
      <c r="A464" s="946">
        <v>12310005</v>
      </c>
      <c r="B464" s="946" t="s">
        <v>639</v>
      </c>
      <c r="C464" s="946" t="s">
        <v>650</v>
      </c>
      <c r="D464" s="946">
        <v>100000001</v>
      </c>
      <c r="E464" s="946" t="s">
        <v>33</v>
      </c>
      <c r="F464" s="946" t="s">
        <v>11</v>
      </c>
      <c r="G464" s="947">
        <v>-272.67</v>
      </c>
      <c r="H464" s="947">
        <v>-272.67</v>
      </c>
      <c r="I464" s="949">
        <v>44621</v>
      </c>
      <c r="J464" s="949">
        <v>45961</v>
      </c>
      <c r="K464" s="948"/>
      <c r="L464" s="29" t="e">
        <f>VLOOKUP(A464,'Account Mapping'!$A$2:$E$216,3,0)</f>
        <v>#N/A</v>
      </c>
      <c r="M464" s="25" t="e">
        <f>VLOOKUP(A464,'Account Mapping'!$A$2:$E$216,4,0)</f>
        <v>#N/A</v>
      </c>
      <c r="N464" s="26" t="e">
        <f>IF(OR(C464='Account Mapping'!$H$4,C464='Account Mapping'!$H$5,C464='Account Mapping'!$H$6),'Account Mapping'!$I$4,VLOOKUP(A464,'Account Mapping'!$A$2:$E$216,5,0))</f>
        <v>#N/A</v>
      </c>
      <c r="O464" s="27" t="e">
        <f>IF(OR(L464="Loan",L464="Deposit_Liability",L464="OFF_Unused Loan Commitment",L464="HQLA"),VLOOKUP(D464,'Customer Type'!$A$3:$C$38,3,0),"")</f>
        <v>#N/A</v>
      </c>
      <c r="P464" s="656" t="e">
        <f t="shared" si="176"/>
        <v>#N/A</v>
      </c>
      <c r="Q464" s="658">
        <f>IF(COUNTIF('Account Mapping'!$H$12:$H$45,A464)&gt;0,-H464,H464)</f>
        <v>-272.67</v>
      </c>
      <c r="R464" s="249" t="e">
        <f>VLOOKUP(P464,Assumptions!$C$2:$D$64,2,0)</f>
        <v>#N/A</v>
      </c>
      <c r="S464" s="692" t="str">
        <f>IFERROR(VLOOKUP(A464,'Maturity Adjustment'!$A$3:$C$81,3,0),(IF(J464&lt;$N$4,"Tomorrow",J464)))</f>
        <v>Tomorrow</v>
      </c>
      <c r="T464" s="190">
        <f t="shared" si="175"/>
        <v>1</v>
      </c>
      <c r="U464" s="196" t="e">
        <f t="shared" si="177"/>
        <v>#N/A</v>
      </c>
      <c r="V464" s="11" t="str">
        <f>IFERROR(VLOOKUP(A464,'Maturity Adjustment'!$A$86:$C$91,3,0),S464)</f>
        <v>Tomorrow</v>
      </c>
      <c r="W464" s="12" t="e">
        <f>VLOOKUP(A464,'Account Mapping'!$A$2:$F$216,6,0)</f>
        <v>#N/A</v>
      </c>
      <c r="X464" s="194">
        <f t="shared" si="178"/>
        <v>-272.67</v>
      </c>
      <c r="Y464" s="194">
        <f t="shared" si="179"/>
        <v>0</v>
      </c>
      <c r="Z464" s="13">
        <f t="shared" si="180"/>
        <v>0</v>
      </c>
      <c r="AA464" s="13">
        <f t="shared" si="181"/>
        <v>0</v>
      </c>
      <c r="AB464" s="13">
        <f t="shared" si="182"/>
        <v>0</v>
      </c>
      <c r="AC464" s="13">
        <f t="shared" si="183"/>
        <v>0</v>
      </c>
      <c r="AD464" s="13">
        <f t="shared" si="184"/>
        <v>0</v>
      </c>
      <c r="AE464" s="13">
        <f t="shared" si="185"/>
        <v>0</v>
      </c>
      <c r="AF464" s="13">
        <f t="shared" si="186"/>
        <v>0</v>
      </c>
      <c r="AG464" s="685">
        <f t="shared" si="187"/>
        <v>0</v>
      </c>
      <c r="AH464" s="688" t="b">
        <f t="shared" si="188"/>
        <v>1</v>
      </c>
    </row>
    <row r="465" spans="1:34" s="1" customFormat="1" ht="15" customHeight="1">
      <c r="A465" s="946">
        <v>12310005</v>
      </c>
      <c r="B465" s="946" t="s">
        <v>639</v>
      </c>
      <c r="C465" s="946" t="s">
        <v>651</v>
      </c>
      <c r="D465" s="946">
        <v>100000001</v>
      </c>
      <c r="E465" s="946" t="s">
        <v>33</v>
      </c>
      <c r="F465" s="946" t="s">
        <v>11</v>
      </c>
      <c r="G465" s="947">
        <v>-409.01</v>
      </c>
      <c r="H465" s="947">
        <v>-409.01</v>
      </c>
      <c r="I465" s="949">
        <v>44621</v>
      </c>
      <c r="J465" s="949">
        <v>45961</v>
      </c>
      <c r="K465" s="948"/>
      <c r="L465" s="29" t="e">
        <f>VLOOKUP(A465,'Account Mapping'!$A$2:$E$216,3,0)</f>
        <v>#N/A</v>
      </c>
      <c r="M465" s="25" t="e">
        <f>VLOOKUP(A465,'Account Mapping'!$A$2:$E$216,4,0)</f>
        <v>#N/A</v>
      </c>
      <c r="N465" s="26" t="e">
        <f>IF(OR(C465='Account Mapping'!$H$4,C465='Account Mapping'!$H$5,C465='Account Mapping'!$H$6),'Account Mapping'!$I$4,VLOOKUP(A465,'Account Mapping'!$A$2:$E$216,5,0))</f>
        <v>#N/A</v>
      </c>
      <c r="O465" s="27" t="e">
        <f>IF(OR(L465="Loan",L465="Deposit_Liability",L465="OFF_Unused Loan Commitment",L465="HQLA"),VLOOKUP(D465,'Customer Type'!$A$3:$C$38,3,0),"")</f>
        <v>#N/A</v>
      </c>
      <c r="P465" s="656" t="e">
        <f t="shared" si="176"/>
        <v>#N/A</v>
      </c>
      <c r="Q465" s="658">
        <f>IF(COUNTIF('Account Mapping'!$H$12:$H$45,A465)&gt;0,-H465,H465)</f>
        <v>-409.01</v>
      </c>
      <c r="R465" s="249" t="e">
        <f>VLOOKUP(P465,Assumptions!$C$2:$D$64,2,0)</f>
        <v>#N/A</v>
      </c>
      <c r="S465" s="692" t="str">
        <f>IFERROR(VLOOKUP(A465,'Maturity Adjustment'!$A$3:$C$81,3,0),(IF(J465&lt;$N$4,"Tomorrow",J465)))</f>
        <v>Tomorrow</v>
      </c>
      <c r="T465" s="190">
        <f t="shared" si="175"/>
        <v>1</v>
      </c>
      <c r="U465" s="196" t="e">
        <f t="shared" si="177"/>
        <v>#N/A</v>
      </c>
      <c r="V465" s="11" t="str">
        <f>IFERROR(VLOOKUP(A465,'Maturity Adjustment'!$A$86:$C$91,3,0),S465)</f>
        <v>Tomorrow</v>
      </c>
      <c r="W465" s="12" t="e">
        <f>VLOOKUP(A465,'Account Mapping'!$A$2:$F$216,6,0)</f>
        <v>#N/A</v>
      </c>
      <c r="X465" s="194">
        <f t="shared" si="178"/>
        <v>-409.01</v>
      </c>
      <c r="Y465" s="194">
        <f t="shared" si="179"/>
        <v>0</v>
      </c>
      <c r="Z465" s="13">
        <f t="shared" si="180"/>
        <v>0</v>
      </c>
      <c r="AA465" s="13">
        <f t="shared" si="181"/>
        <v>0</v>
      </c>
      <c r="AB465" s="13">
        <f t="shared" si="182"/>
        <v>0</v>
      </c>
      <c r="AC465" s="13">
        <f t="shared" si="183"/>
        <v>0</v>
      </c>
      <c r="AD465" s="13">
        <f t="shared" si="184"/>
        <v>0</v>
      </c>
      <c r="AE465" s="13">
        <f t="shared" si="185"/>
        <v>0</v>
      </c>
      <c r="AF465" s="13">
        <f t="shared" si="186"/>
        <v>0</v>
      </c>
      <c r="AG465" s="685">
        <f t="shared" si="187"/>
        <v>0</v>
      </c>
      <c r="AH465" s="688" t="b">
        <f t="shared" si="188"/>
        <v>1</v>
      </c>
    </row>
    <row r="466" spans="1:34" s="1" customFormat="1" ht="15" customHeight="1">
      <c r="A466" s="946">
        <v>12310005</v>
      </c>
      <c r="B466" s="946" t="s">
        <v>639</v>
      </c>
      <c r="C466" s="946" t="s">
        <v>652</v>
      </c>
      <c r="D466" s="946">
        <v>100000001</v>
      </c>
      <c r="E466" s="946" t="s">
        <v>33</v>
      </c>
      <c r="F466" s="946" t="s">
        <v>11</v>
      </c>
      <c r="G466" s="947">
        <v>-518.4</v>
      </c>
      <c r="H466" s="947">
        <v>-518.4</v>
      </c>
      <c r="I466" s="949">
        <v>44621</v>
      </c>
      <c r="J466" s="949">
        <v>45991</v>
      </c>
      <c r="K466" s="948"/>
      <c r="L466" s="29" t="e">
        <f>VLOOKUP(A466,'Account Mapping'!$A$2:$E$216,3,0)</f>
        <v>#N/A</v>
      </c>
      <c r="M466" s="25" t="e">
        <f>VLOOKUP(A466,'Account Mapping'!$A$2:$E$216,4,0)</f>
        <v>#N/A</v>
      </c>
      <c r="N466" s="26" t="e">
        <f>IF(OR(C466='Account Mapping'!$H$4,C466='Account Mapping'!$H$5,C466='Account Mapping'!$H$6),'Account Mapping'!$I$4,VLOOKUP(A466,'Account Mapping'!$A$2:$E$216,5,0))</f>
        <v>#N/A</v>
      </c>
      <c r="O466" s="27" t="e">
        <f>IF(OR(L466="Loan",L466="Deposit_Liability",L466="OFF_Unused Loan Commitment",L466="HQLA"),VLOOKUP(D466,'Customer Type'!$A$3:$C$38,3,0),"")</f>
        <v>#N/A</v>
      </c>
      <c r="P466" s="656" t="e">
        <f t="shared" si="176"/>
        <v>#N/A</v>
      </c>
      <c r="Q466" s="658">
        <f>IF(COUNTIF('Account Mapping'!$H$12:$H$45,A466)&gt;0,-H466,H466)</f>
        <v>-518.4</v>
      </c>
      <c r="R466" s="249" t="e">
        <f>VLOOKUP(P466,Assumptions!$C$2:$D$64,2,0)</f>
        <v>#N/A</v>
      </c>
      <c r="S466" s="692" t="str">
        <f>IFERROR(VLOOKUP(A466,'Maturity Adjustment'!$A$3:$C$81,3,0),(IF(J466&lt;$N$4,"Tomorrow",J466)))</f>
        <v>Tomorrow</v>
      </c>
      <c r="T466" s="190">
        <f t="shared" si="175"/>
        <v>1</v>
      </c>
      <c r="U466" s="196" t="e">
        <f t="shared" si="177"/>
        <v>#N/A</v>
      </c>
      <c r="V466" s="11" t="str">
        <f>IFERROR(VLOOKUP(A466,'Maturity Adjustment'!$A$86:$C$91,3,0),S466)</f>
        <v>Tomorrow</v>
      </c>
      <c r="W466" s="12" t="e">
        <f>VLOOKUP(A466,'Account Mapping'!$A$2:$F$216,6,0)</f>
        <v>#N/A</v>
      </c>
      <c r="X466" s="194">
        <f t="shared" si="178"/>
        <v>-518.4</v>
      </c>
      <c r="Y466" s="194">
        <f t="shared" si="179"/>
        <v>0</v>
      </c>
      <c r="Z466" s="13">
        <f t="shared" si="180"/>
        <v>0</v>
      </c>
      <c r="AA466" s="13">
        <f t="shared" si="181"/>
        <v>0</v>
      </c>
      <c r="AB466" s="13">
        <f t="shared" si="182"/>
        <v>0</v>
      </c>
      <c r="AC466" s="13">
        <f t="shared" si="183"/>
        <v>0</v>
      </c>
      <c r="AD466" s="13">
        <f t="shared" si="184"/>
        <v>0</v>
      </c>
      <c r="AE466" s="13">
        <f t="shared" si="185"/>
        <v>0</v>
      </c>
      <c r="AF466" s="13">
        <f t="shared" si="186"/>
        <v>0</v>
      </c>
      <c r="AG466" s="685">
        <f t="shared" si="187"/>
        <v>0</v>
      </c>
      <c r="AH466" s="688" t="b">
        <f t="shared" si="188"/>
        <v>1</v>
      </c>
    </row>
    <row r="467" spans="1:34" s="1" customFormat="1" ht="15" customHeight="1">
      <c r="A467" s="946">
        <v>12310005</v>
      </c>
      <c r="B467" s="946" t="s">
        <v>639</v>
      </c>
      <c r="C467" s="946" t="s">
        <v>653</v>
      </c>
      <c r="D467" s="946">
        <v>100000001</v>
      </c>
      <c r="E467" s="946" t="s">
        <v>33</v>
      </c>
      <c r="F467" s="946" t="s">
        <v>11</v>
      </c>
      <c r="G467" s="947">
        <v>-431.37</v>
      </c>
      <c r="H467" s="947">
        <v>-431.37</v>
      </c>
      <c r="I467" s="949">
        <v>44621</v>
      </c>
      <c r="J467" s="949">
        <v>45991</v>
      </c>
      <c r="K467" s="948"/>
      <c r="L467" s="29" t="e">
        <f>VLOOKUP(A467,'Account Mapping'!$A$2:$E$216,3,0)</f>
        <v>#N/A</v>
      </c>
      <c r="M467" s="25" t="e">
        <f>VLOOKUP(A467,'Account Mapping'!$A$2:$E$216,4,0)</f>
        <v>#N/A</v>
      </c>
      <c r="N467" s="26" t="e">
        <f>IF(OR(C467='Account Mapping'!$H$4,C467='Account Mapping'!$H$5,C467='Account Mapping'!$H$6),'Account Mapping'!$I$4,VLOOKUP(A467,'Account Mapping'!$A$2:$E$216,5,0))</f>
        <v>#N/A</v>
      </c>
      <c r="O467" s="27" t="e">
        <f>IF(OR(L467="Loan",L467="Deposit_Liability",L467="OFF_Unused Loan Commitment",L467="HQLA"),VLOOKUP(D467,'Customer Type'!$A$3:$C$38,3,0),"")</f>
        <v>#N/A</v>
      </c>
      <c r="P467" s="656" t="e">
        <f t="shared" si="176"/>
        <v>#N/A</v>
      </c>
      <c r="Q467" s="658">
        <f>IF(COUNTIF('Account Mapping'!$H$12:$H$45,A467)&gt;0,-H467,H467)</f>
        <v>-431.37</v>
      </c>
      <c r="R467" s="249" t="e">
        <f>VLOOKUP(P467,Assumptions!$C$2:$D$64,2,0)</f>
        <v>#N/A</v>
      </c>
      <c r="S467" s="692" t="str">
        <f>IFERROR(VLOOKUP(A467,'Maturity Adjustment'!$A$3:$C$81,3,0),(IF(J467&lt;$N$4,"Tomorrow",J467)))</f>
        <v>Tomorrow</v>
      </c>
      <c r="T467" s="190">
        <f t="shared" si="175"/>
        <v>1</v>
      </c>
      <c r="U467" s="196" t="e">
        <f t="shared" si="177"/>
        <v>#N/A</v>
      </c>
      <c r="V467" s="11" t="str">
        <f>IFERROR(VLOOKUP(A467,'Maturity Adjustment'!$A$86:$C$91,3,0),S467)</f>
        <v>Tomorrow</v>
      </c>
      <c r="W467" s="12" t="e">
        <f>VLOOKUP(A467,'Account Mapping'!$A$2:$F$216,6,0)</f>
        <v>#N/A</v>
      </c>
      <c r="X467" s="194">
        <f t="shared" si="178"/>
        <v>-431.37</v>
      </c>
      <c r="Y467" s="194">
        <f t="shared" si="179"/>
        <v>0</v>
      </c>
      <c r="Z467" s="13">
        <f t="shared" si="180"/>
        <v>0</v>
      </c>
      <c r="AA467" s="13">
        <f t="shared" si="181"/>
        <v>0</v>
      </c>
      <c r="AB467" s="13">
        <f t="shared" si="182"/>
        <v>0</v>
      </c>
      <c r="AC467" s="13">
        <f t="shared" si="183"/>
        <v>0</v>
      </c>
      <c r="AD467" s="13">
        <f t="shared" si="184"/>
        <v>0</v>
      </c>
      <c r="AE467" s="13">
        <f t="shared" si="185"/>
        <v>0</v>
      </c>
      <c r="AF467" s="13">
        <f t="shared" si="186"/>
        <v>0</v>
      </c>
      <c r="AG467" s="685">
        <f t="shared" si="187"/>
        <v>0</v>
      </c>
      <c r="AH467" s="688" t="b">
        <f t="shared" si="188"/>
        <v>1</v>
      </c>
    </row>
    <row r="468" spans="1:34" s="1" customFormat="1" ht="15" customHeight="1">
      <c r="A468" s="946">
        <v>12310005</v>
      </c>
      <c r="B468" s="946" t="s">
        <v>639</v>
      </c>
      <c r="C468" s="946" t="s">
        <v>654</v>
      </c>
      <c r="D468" s="946">
        <v>100000001</v>
      </c>
      <c r="E468" s="946" t="s">
        <v>33</v>
      </c>
      <c r="F468" s="946" t="s">
        <v>11</v>
      </c>
      <c r="G468" s="947">
        <v>-1330.65</v>
      </c>
      <c r="H468" s="947">
        <v>-1330.65</v>
      </c>
      <c r="I468" s="949">
        <v>44621</v>
      </c>
      <c r="J468" s="949">
        <v>45991</v>
      </c>
      <c r="K468" s="948"/>
      <c r="L468" s="29" t="e">
        <f>VLOOKUP(A468,'Account Mapping'!$A$2:$E$216,3,0)</f>
        <v>#N/A</v>
      </c>
      <c r="M468" s="25" t="e">
        <f>VLOOKUP(A468,'Account Mapping'!$A$2:$E$216,4,0)</f>
        <v>#N/A</v>
      </c>
      <c r="N468" s="26" t="e">
        <f>IF(OR(C468='Account Mapping'!$H$4,C468='Account Mapping'!$H$5,C468='Account Mapping'!$H$6),'Account Mapping'!$I$4,VLOOKUP(A468,'Account Mapping'!$A$2:$E$216,5,0))</f>
        <v>#N/A</v>
      </c>
      <c r="O468" s="27" t="e">
        <f>IF(OR(L468="Loan",L468="Deposit_Liability",L468="OFF_Unused Loan Commitment",L468="HQLA"),VLOOKUP(D468,'Customer Type'!$A$3:$C$38,3,0),"")</f>
        <v>#N/A</v>
      </c>
      <c r="P468" s="656" t="e">
        <f t="shared" si="176"/>
        <v>#N/A</v>
      </c>
      <c r="Q468" s="658">
        <f>IF(COUNTIF('Account Mapping'!$H$12:$H$45,A468)&gt;0,-H468,H468)</f>
        <v>-1330.65</v>
      </c>
      <c r="R468" s="249" t="e">
        <f>VLOOKUP(P468,Assumptions!$C$2:$D$64,2,0)</f>
        <v>#N/A</v>
      </c>
      <c r="S468" s="692" t="str">
        <f>IFERROR(VLOOKUP(A468,'Maturity Adjustment'!$A$3:$C$81,3,0),(IF(J468&lt;$N$4,"Tomorrow",J468)))</f>
        <v>Tomorrow</v>
      </c>
      <c r="T468" s="190">
        <f t="shared" si="175"/>
        <v>1</v>
      </c>
      <c r="U468" s="196" t="e">
        <f t="shared" si="177"/>
        <v>#N/A</v>
      </c>
      <c r="V468" s="11" t="str">
        <f>IFERROR(VLOOKUP(A468,'Maturity Adjustment'!$A$86:$C$91,3,0),S468)</f>
        <v>Tomorrow</v>
      </c>
      <c r="W468" s="12" t="e">
        <f>VLOOKUP(A468,'Account Mapping'!$A$2:$F$216,6,0)</f>
        <v>#N/A</v>
      </c>
      <c r="X468" s="194">
        <f t="shared" si="178"/>
        <v>-1330.65</v>
      </c>
      <c r="Y468" s="194">
        <f t="shared" si="179"/>
        <v>0</v>
      </c>
      <c r="Z468" s="13">
        <f t="shared" si="180"/>
        <v>0</v>
      </c>
      <c r="AA468" s="13">
        <f t="shared" si="181"/>
        <v>0</v>
      </c>
      <c r="AB468" s="13">
        <f t="shared" si="182"/>
        <v>0</v>
      </c>
      <c r="AC468" s="13">
        <f t="shared" si="183"/>
        <v>0</v>
      </c>
      <c r="AD468" s="13">
        <f t="shared" si="184"/>
        <v>0</v>
      </c>
      <c r="AE468" s="13">
        <f t="shared" si="185"/>
        <v>0</v>
      </c>
      <c r="AF468" s="13">
        <f t="shared" si="186"/>
        <v>0</v>
      </c>
      <c r="AG468" s="685">
        <f t="shared" si="187"/>
        <v>0</v>
      </c>
      <c r="AH468" s="688" t="b">
        <f t="shared" si="188"/>
        <v>1</v>
      </c>
    </row>
    <row r="469" spans="1:34" s="1" customFormat="1" ht="15" customHeight="1">
      <c r="A469" s="946">
        <v>12310005</v>
      </c>
      <c r="B469" s="946" t="s">
        <v>639</v>
      </c>
      <c r="C469" s="946" t="s">
        <v>655</v>
      </c>
      <c r="D469" s="946">
        <v>100000001</v>
      </c>
      <c r="E469" s="946" t="s">
        <v>33</v>
      </c>
      <c r="F469" s="946" t="s">
        <v>11</v>
      </c>
      <c r="G469" s="947">
        <v>-1725.3</v>
      </c>
      <c r="H469" s="947">
        <v>-1725.3</v>
      </c>
      <c r="I469" s="949">
        <v>44621</v>
      </c>
      <c r="J469" s="949">
        <v>45991</v>
      </c>
      <c r="K469" s="948"/>
      <c r="L469" s="29" t="e">
        <f>VLOOKUP(A469,'Account Mapping'!$A$2:$E$216,3,0)</f>
        <v>#N/A</v>
      </c>
      <c r="M469" s="25" t="e">
        <f>VLOOKUP(A469,'Account Mapping'!$A$2:$E$216,4,0)</f>
        <v>#N/A</v>
      </c>
      <c r="N469" s="26" t="e">
        <f>IF(OR(C469='Account Mapping'!$H$4,C469='Account Mapping'!$H$5,C469='Account Mapping'!$H$6),'Account Mapping'!$I$4,VLOOKUP(A469,'Account Mapping'!$A$2:$E$216,5,0))</f>
        <v>#N/A</v>
      </c>
      <c r="O469" s="27" t="e">
        <f>IF(OR(L469="Loan",L469="Deposit_Liability",L469="OFF_Unused Loan Commitment",L469="HQLA"),VLOOKUP(D469,'Customer Type'!$A$3:$C$38,3,0),"")</f>
        <v>#N/A</v>
      </c>
      <c r="P469" s="656" t="e">
        <f t="shared" si="176"/>
        <v>#N/A</v>
      </c>
      <c r="Q469" s="658">
        <f>IF(COUNTIF('Account Mapping'!$H$12:$H$45,A469)&gt;0,-H469,H469)</f>
        <v>-1725.3</v>
      </c>
      <c r="R469" s="249" t="e">
        <f>VLOOKUP(P469,Assumptions!$C$2:$D$64,2,0)</f>
        <v>#N/A</v>
      </c>
      <c r="S469" s="692" t="str">
        <f>IFERROR(VLOOKUP(A469,'Maturity Adjustment'!$A$3:$C$81,3,0),(IF(J469&lt;$N$4,"Tomorrow",J469)))</f>
        <v>Tomorrow</v>
      </c>
      <c r="T469" s="190">
        <f t="shared" si="175"/>
        <v>1</v>
      </c>
      <c r="U469" s="196" t="e">
        <f t="shared" si="177"/>
        <v>#N/A</v>
      </c>
      <c r="V469" s="11" t="str">
        <f>IFERROR(VLOOKUP(A469,'Maturity Adjustment'!$A$86:$C$91,3,0),S469)</f>
        <v>Tomorrow</v>
      </c>
      <c r="W469" s="12" t="e">
        <f>VLOOKUP(A469,'Account Mapping'!$A$2:$F$216,6,0)</f>
        <v>#N/A</v>
      </c>
      <c r="X469" s="194">
        <f t="shared" si="178"/>
        <v>-1725.3</v>
      </c>
      <c r="Y469" s="194">
        <f t="shared" si="179"/>
        <v>0</v>
      </c>
      <c r="Z469" s="13">
        <f t="shared" si="180"/>
        <v>0</v>
      </c>
      <c r="AA469" s="13">
        <f t="shared" si="181"/>
        <v>0</v>
      </c>
      <c r="AB469" s="13">
        <f t="shared" si="182"/>
        <v>0</v>
      </c>
      <c r="AC469" s="13">
        <f t="shared" si="183"/>
        <v>0</v>
      </c>
      <c r="AD469" s="13">
        <f t="shared" si="184"/>
        <v>0</v>
      </c>
      <c r="AE469" s="13">
        <f t="shared" si="185"/>
        <v>0</v>
      </c>
      <c r="AF469" s="13">
        <f t="shared" si="186"/>
        <v>0</v>
      </c>
      <c r="AG469" s="685">
        <f t="shared" si="187"/>
        <v>0</v>
      </c>
      <c r="AH469" s="688" t="b">
        <f t="shared" si="188"/>
        <v>1</v>
      </c>
    </row>
    <row r="470" spans="1:34" s="1" customFormat="1" ht="15" customHeight="1">
      <c r="A470" s="946">
        <v>12310005</v>
      </c>
      <c r="B470" s="946" t="s">
        <v>639</v>
      </c>
      <c r="C470" s="946" t="s">
        <v>656</v>
      </c>
      <c r="D470" s="946">
        <v>100000001</v>
      </c>
      <c r="E470" s="946" t="s">
        <v>33</v>
      </c>
      <c r="F470" s="946" t="s">
        <v>11</v>
      </c>
      <c r="G470" s="947">
        <v>-1206.04</v>
      </c>
      <c r="H470" s="947">
        <v>-1206.04</v>
      </c>
      <c r="I470" s="949">
        <v>44621</v>
      </c>
      <c r="J470" s="949">
        <v>45961</v>
      </c>
      <c r="K470" s="948"/>
      <c r="L470" s="29" t="e">
        <f>VLOOKUP(A470,'Account Mapping'!$A$2:$E$216,3,0)</f>
        <v>#N/A</v>
      </c>
      <c r="M470" s="25" t="e">
        <f>VLOOKUP(A470,'Account Mapping'!$A$2:$E$216,4,0)</f>
        <v>#N/A</v>
      </c>
      <c r="N470" s="26" t="e">
        <f>IF(OR(C470='Account Mapping'!$H$4,C470='Account Mapping'!$H$5,C470='Account Mapping'!$H$6),'Account Mapping'!$I$4,VLOOKUP(A470,'Account Mapping'!$A$2:$E$216,5,0))</f>
        <v>#N/A</v>
      </c>
      <c r="O470" s="27" t="e">
        <f>IF(OR(L470="Loan",L470="Deposit_Liability",L470="OFF_Unused Loan Commitment",L470="HQLA"),VLOOKUP(D470,'Customer Type'!$A$3:$C$38,3,0),"")</f>
        <v>#N/A</v>
      </c>
      <c r="P470" s="656" t="e">
        <f t="shared" si="176"/>
        <v>#N/A</v>
      </c>
      <c r="Q470" s="658">
        <f>IF(COUNTIF('Account Mapping'!$H$12:$H$45,A470)&gt;0,-H470,H470)</f>
        <v>-1206.04</v>
      </c>
      <c r="R470" s="249" t="e">
        <f>VLOOKUP(P470,Assumptions!$C$2:$D$64,2,0)</f>
        <v>#N/A</v>
      </c>
      <c r="S470" s="692" t="str">
        <f>IFERROR(VLOOKUP(A470,'Maturity Adjustment'!$A$3:$C$81,3,0),(IF(J470&lt;$N$4,"Tomorrow",J470)))</f>
        <v>Tomorrow</v>
      </c>
      <c r="T470" s="190">
        <f t="shared" si="175"/>
        <v>1</v>
      </c>
      <c r="U470" s="196" t="e">
        <f t="shared" si="177"/>
        <v>#N/A</v>
      </c>
      <c r="V470" s="11" t="str">
        <f>IFERROR(VLOOKUP(A470,'Maturity Adjustment'!$A$86:$C$91,3,0),S470)</f>
        <v>Tomorrow</v>
      </c>
      <c r="W470" s="12" t="e">
        <f>VLOOKUP(A470,'Account Mapping'!$A$2:$F$216,6,0)</f>
        <v>#N/A</v>
      </c>
      <c r="X470" s="194">
        <f t="shared" si="178"/>
        <v>-1206.04</v>
      </c>
      <c r="Y470" s="194">
        <f t="shared" si="179"/>
        <v>0</v>
      </c>
      <c r="Z470" s="13">
        <f t="shared" si="180"/>
        <v>0</v>
      </c>
      <c r="AA470" s="13">
        <f t="shared" si="181"/>
        <v>0</v>
      </c>
      <c r="AB470" s="13">
        <f t="shared" si="182"/>
        <v>0</v>
      </c>
      <c r="AC470" s="13">
        <f t="shared" si="183"/>
        <v>0</v>
      </c>
      <c r="AD470" s="13">
        <f t="shared" si="184"/>
        <v>0</v>
      </c>
      <c r="AE470" s="13">
        <f t="shared" si="185"/>
        <v>0</v>
      </c>
      <c r="AF470" s="13">
        <f t="shared" si="186"/>
        <v>0</v>
      </c>
      <c r="AG470" s="685">
        <f t="shared" si="187"/>
        <v>0</v>
      </c>
      <c r="AH470" s="688" t="b">
        <f t="shared" si="188"/>
        <v>1</v>
      </c>
    </row>
    <row r="471" spans="1:34" s="1" customFormat="1" ht="15" customHeight="1">
      <c r="A471" s="946">
        <v>12310005</v>
      </c>
      <c r="B471" s="946" t="s">
        <v>639</v>
      </c>
      <c r="C471" s="946" t="s">
        <v>657</v>
      </c>
      <c r="D471" s="946">
        <v>100000001</v>
      </c>
      <c r="E471" s="946" t="s">
        <v>33</v>
      </c>
      <c r="F471" s="946" t="s">
        <v>11</v>
      </c>
      <c r="G471" s="947">
        <v>-868.38</v>
      </c>
      <c r="H471" s="947">
        <v>-868.38</v>
      </c>
      <c r="I471" s="949">
        <v>44806</v>
      </c>
      <c r="J471" s="949">
        <v>46265</v>
      </c>
      <c r="K471" s="948"/>
      <c r="L471" s="29" t="e">
        <f>VLOOKUP(A471,'Account Mapping'!$A$2:$E$216,3,0)</f>
        <v>#N/A</v>
      </c>
      <c r="M471" s="25" t="e">
        <f>VLOOKUP(A471,'Account Mapping'!$A$2:$E$216,4,0)</f>
        <v>#N/A</v>
      </c>
      <c r="N471" s="26" t="e">
        <f>IF(OR(C471='Account Mapping'!$H$4,C471='Account Mapping'!$H$5,C471='Account Mapping'!$H$6),'Account Mapping'!$I$4,VLOOKUP(A471,'Account Mapping'!$A$2:$E$216,5,0))</f>
        <v>#N/A</v>
      </c>
      <c r="O471" s="27" t="e">
        <f>IF(OR(L471="Loan",L471="Deposit_Liability",L471="OFF_Unused Loan Commitment",L471="HQLA"),VLOOKUP(D471,'Customer Type'!$A$3:$C$38,3,0),"")</f>
        <v>#N/A</v>
      </c>
      <c r="P471" s="656" t="e">
        <f t="shared" si="176"/>
        <v>#N/A</v>
      </c>
      <c r="Q471" s="658">
        <f>IF(COUNTIF('Account Mapping'!$H$12:$H$45,A471)&gt;0,-H471,H471)</f>
        <v>-868.38</v>
      </c>
      <c r="R471" s="249" t="e">
        <f>VLOOKUP(P471,Assumptions!$C$2:$D$64,2,0)</f>
        <v>#N/A</v>
      </c>
      <c r="S471" s="692">
        <f>IFERROR(VLOOKUP(A471,'Maturity Adjustment'!$A$3:$C$81,3,0),(IF(J471&lt;$N$4,"Tomorrow",J471)))</f>
        <v>46265</v>
      </c>
      <c r="T471" s="190">
        <f t="shared" si="175"/>
        <v>207</v>
      </c>
      <c r="U471" s="196" t="e">
        <f t="shared" si="177"/>
        <v>#N/A</v>
      </c>
      <c r="V471" s="11">
        <f>IFERROR(VLOOKUP(A471,'Maturity Adjustment'!$A$86:$C$91,3,0),S471)</f>
        <v>46265</v>
      </c>
      <c r="W471" s="12" t="e">
        <f>VLOOKUP(A471,'Account Mapping'!$A$2:$F$216,6,0)</f>
        <v>#N/A</v>
      </c>
      <c r="X471" s="194">
        <f t="shared" si="178"/>
        <v>0</v>
      </c>
      <c r="Y471" s="194">
        <f t="shared" si="179"/>
        <v>0</v>
      </c>
      <c r="Z471" s="13">
        <f t="shared" si="180"/>
        <v>0</v>
      </c>
      <c r="AA471" s="13">
        <f t="shared" si="181"/>
        <v>0</v>
      </c>
      <c r="AB471" s="13">
        <f t="shared" si="182"/>
        <v>0</v>
      </c>
      <c r="AC471" s="13">
        <f t="shared" si="183"/>
        <v>-868.38</v>
      </c>
      <c r="AD471" s="13">
        <f t="shared" si="184"/>
        <v>0</v>
      </c>
      <c r="AE471" s="13">
        <f t="shared" si="185"/>
        <v>0</v>
      </c>
      <c r="AF471" s="13">
        <f t="shared" si="186"/>
        <v>0</v>
      </c>
      <c r="AG471" s="685">
        <f t="shared" si="187"/>
        <v>0</v>
      </c>
      <c r="AH471" s="688" t="b">
        <f t="shared" si="188"/>
        <v>1</v>
      </c>
    </row>
    <row r="472" spans="1:34" s="1" customFormat="1" ht="15" customHeight="1">
      <c r="A472" s="946">
        <v>12310005</v>
      </c>
      <c r="B472" s="946" t="s">
        <v>639</v>
      </c>
      <c r="C472" s="946" t="s">
        <v>657</v>
      </c>
      <c r="D472" s="946">
        <v>100000001</v>
      </c>
      <c r="E472" s="946" t="s">
        <v>33</v>
      </c>
      <c r="F472" s="946" t="s">
        <v>11</v>
      </c>
      <c r="G472" s="947">
        <v>-4.0999999999999996</v>
      </c>
      <c r="H472" s="947">
        <v>-4.0999999999999996</v>
      </c>
      <c r="I472" s="949">
        <v>44806</v>
      </c>
      <c r="J472" s="949">
        <v>46265</v>
      </c>
      <c r="K472" s="948"/>
      <c r="L472" s="29" t="e">
        <f>VLOOKUP(A472,'Account Mapping'!$A$2:$E$216,3,0)</f>
        <v>#N/A</v>
      </c>
      <c r="M472" s="25" t="e">
        <f>VLOOKUP(A472,'Account Mapping'!$A$2:$E$216,4,0)</f>
        <v>#N/A</v>
      </c>
      <c r="N472" s="26" t="e">
        <f>IF(OR(C472='Account Mapping'!$H$4,C472='Account Mapping'!$H$5,C472='Account Mapping'!$H$6),'Account Mapping'!$I$4,VLOOKUP(A472,'Account Mapping'!$A$2:$E$216,5,0))</f>
        <v>#N/A</v>
      </c>
      <c r="O472" s="27" t="e">
        <f>IF(OR(L472="Loan",L472="Deposit_Liability",L472="OFF_Unused Loan Commitment",L472="HQLA"),VLOOKUP(D472,'Customer Type'!$A$3:$C$38,3,0),"")</f>
        <v>#N/A</v>
      </c>
      <c r="P472" s="656" t="e">
        <f t="shared" si="176"/>
        <v>#N/A</v>
      </c>
      <c r="Q472" s="658">
        <f>IF(COUNTIF('Account Mapping'!$H$12:$H$45,A472)&gt;0,-H472,H472)</f>
        <v>-4.0999999999999996</v>
      </c>
      <c r="R472" s="249" t="e">
        <f>VLOOKUP(P472,Assumptions!$C$2:$D$64,2,0)</f>
        <v>#N/A</v>
      </c>
      <c r="S472" s="692">
        <f>IFERROR(VLOOKUP(A472,'Maturity Adjustment'!$A$3:$C$81,3,0),(IF(J472&lt;$N$4,"Tomorrow",J472)))</f>
        <v>46265</v>
      </c>
      <c r="T472" s="190">
        <f t="shared" si="175"/>
        <v>207</v>
      </c>
      <c r="U472" s="196" t="e">
        <f t="shared" si="177"/>
        <v>#N/A</v>
      </c>
      <c r="V472" s="11">
        <f>IFERROR(VLOOKUP(A472,'Maturity Adjustment'!$A$86:$C$91,3,0),S472)</f>
        <v>46265</v>
      </c>
      <c r="W472" s="12" t="e">
        <f>VLOOKUP(A472,'Account Mapping'!$A$2:$F$216,6,0)</f>
        <v>#N/A</v>
      </c>
      <c r="X472" s="194">
        <f t="shared" si="178"/>
        <v>0</v>
      </c>
      <c r="Y472" s="194">
        <f t="shared" si="179"/>
        <v>0</v>
      </c>
      <c r="Z472" s="13">
        <f t="shared" si="180"/>
        <v>0</v>
      </c>
      <c r="AA472" s="13">
        <f t="shared" si="181"/>
        <v>0</v>
      </c>
      <c r="AB472" s="13">
        <f t="shared" si="182"/>
        <v>0</v>
      </c>
      <c r="AC472" s="13">
        <f t="shared" si="183"/>
        <v>-4.0999999999999996</v>
      </c>
      <c r="AD472" s="13">
        <f t="shared" si="184"/>
        <v>0</v>
      </c>
      <c r="AE472" s="13">
        <f t="shared" si="185"/>
        <v>0</v>
      </c>
      <c r="AF472" s="13">
        <f t="shared" si="186"/>
        <v>0</v>
      </c>
      <c r="AG472" s="685">
        <f t="shared" si="187"/>
        <v>0</v>
      </c>
      <c r="AH472" s="688" t="b">
        <f t="shared" si="188"/>
        <v>1</v>
      </c>
    </row>
    <row r="473" spans="1:34" s="1" customFormat="1" ht="15" customHeight="1">
      <c r="A473" s="946">
        <v>12330001</v>
      </c>
      <c r="B473" s="946" t="s">
        <v>658</v>
      </c>
      <c r="C473" s="946" t="s">
        <v>673</v>
      </c>
      <c r="D473" s="946">
        <v>100000001</v>
      </c>
      <c r="E473" s="946" t="s">
        <v>33</v>
      </c>
      <c r="F473" s="946" t="s">
        <v>11</v>
      </c>
      <c r="G473" s="947">
        <v>-2056973.59</v>
      </c>
      <c r="H473" s="947">
        <v>-2056973.59</v>
      </c>
      <c r="I473" s="949"/>
      <c r="J473" s="949"/>
      <c r="K473" s="948"/>
      <c r="L473" s="29" t="e">
        <f>VLOOKUP(A473,'Account Mapping'!$A$2:$E$216,3,0)</f>
        <v>#N/A</v>
      </c>
      <c r="M473" s="25" t="e">
        <f>VLOOKUP(A473,'Account Mapping'!$A$2:$E$216,4,0)</f>
        <v>#N/A</v>
      </c>
      <c r="N473" s="26" t="e">
        <f>IF(OR(C473='Account Mapping'!$H$4,C473='Account Mapping'!$H$5,C473='Account Mapping'!$H$6),'Account Mapping'!$I$4,VLOOKUP(A473,'Account Mapping'!$A$2:$E$216,5,0))</f>
        <v>#N/A</v>
      </c>
      <c r="O473" s="27" t="e">
        <f>IF(OR(L473="Loan",L473="Deposit_Liability",L473="OFF_Unused Loan Commitment",L473="HQLA"),VLOOKUP(D473,'Customer Type'!$A$3:$C$38,3,0),"")</f>
        <v>#N/A</v>
      </c>
      <c r="P473" s="656" t="e">
        <f t="shared" si="176"/>
        <v>#N/A</v>
      </c>
      <c r="Q473" s="658">
        <f>IF(COUNTIF('Account Mapping'!$H$12:$H$45,A473)&gt;0,-H473,H473)</f>
        <v>-2056973.59</v>
      </c>
      <c r="R473" s="249" t="e">
        <f>VLOOKUP(P473,Assumptions!$C$2:$D$64,2,0)</f>
        <v>#N/A</v>
      </c>
      <c r="S473" s="692" t="str">
        <f>IFERROR(VLOOKUP(A473,'Maturity Adjustment'!$A$3:$C$81,3,0),(IF(J473&lt;$N$4,"Tomorrow",J473)))</f>
        <v>Tomorrow</v>
      </c>
      <c r="T473" s="190">
        <f t="shared" si="175"/>
        <v>1</v>
      </c>
      <c r="U473" s="196" t="e">
        <f t="shared" si="177"/>
        <v>#N/A</v>
      </c>
      <c r="V473" s="11" t="str">
        <f>IFERROR(VLOOKUP(A473,'Maturity Adjustment'!$A$86:$C$91,3,0),S473)</f>
        <v>Tomorrow</v>
      </c>
      <c r="W473" s="12" t="e">
        <f>VLOOKUP(A473,'Account Mapping'!$A$2:$F$216,6,0)</f>
        <v>#N/A</v>
      </c>
      <c r="X473" s="194">
        <f t="shared" si="178"/>
        <v>-2056973.59</v>
      </c>
      <c r="Y473" s="194">
        <f t="shared" si="179"/>
        <v>0</v>
      </c>
      <c r="Z473" s="13">
        <f t="shared" si="180"/>
        <v>0</v>
      </c>
      <c r="AA473" s="13">
        <f t="shared" si="181"/>
        <v>0</v>
      </c>
      <c r="AB473" s="13">
        <f t="shared" si="182"/>
        <v>0</v>
      </c>
      <c r="AC473" s="13">
        <f t="shared" si="183"/>
        <v>0</v>
      </c>
      <c r="AD473" s="13">
        <f t="shared" si="184"/>
        <v>0</v>
      </c>
      <c r="AE473" s="13">
        <f t="shared" si="185"/>
        <v>0</v>
      </c>
      <c r="AF473" s="13">
        <f t="shared" si="186"/>
        <v>0</v>
      </c>
      <c r="AG473" s="685">
        <f t="shared" si="187"/>
        <v>0</v>
      </c>
      <c r="AH473" s="688" t="b">
        <f t="shared" si="188"/>
        <v>1</v>
      </c>
    </row>
    <row r="474" spans="1:34" s="1" customFormat="1" ht="15" customHeight="1">
      <c r="A474" s="946">
        <v>13101001</v>
      </c>
      <c r="B474" s="946" t="s">
        <v>674</v>
      </c>
      <c r="C474" s="946" t="s">
        <v>38</v>
      </c>
      <c r="D474" s="946">
        <v>100000001</v>
      </c>
      <c r="E474" s="946" t="s">
        <v>33</v>
      </c>
      <c r="F474" s="946" t="s">
        <v>11</v>
      </c>
      <c r="G474" s="947">
        <v>1306153.18</v>
      </c>
      <c r="H474" s="947">
        <v>1306153.18</v>
      </c>
      <c r="I474" s="949"/>
      <c r="J474" s="949"/>
      <c r="K474" s="948"/>
      <c r="L474" s="29" t="e">
        <f>VLOOKUP(A474,'Account Mapping'!$A$2:$E$216,3,0)</f>
        <v>#N/A</v>
      </c>
      <c r="M474" s="25" t="e">
        <f>VLOOKUP(A474,'Account Mapping'!$A$2:$E$216,4,0)</f>
        <v>#N/A</v>
      </c>
      <c r="N474" s="26" t="e">
        <f>IF(OR(C474='Account Mapping'!$H$4,C474='Account Mapping'!$H$5,C474='Account Mapping'!$H$6),'Account Mapping'!$I$4,VLOOKUP(A474,'Account Mapping'!$A$2:$E$216,5,0))</f>
        <v>#N/A</v>
      </c>
      <c r="O474" s="27" t="e">
        <f>IF(OR(L474="Loan",L474="Deposit_Liability",L474="OFF_Unused Loan Commitment",L474="HQLA"),VLOOKUP(D474,'Customer Type'!$A$3:$C$38,3,0),"")</f>
        <v>#N/A</v>
      </c>
      <c r="P474" s="656" t="e">
        <f t="shared" si="176"/>
        <v>#N/A</v>
      </c>
      <c r="Q474" s="658">
        <f>IF(COUNTIF('Account Mapping'!$H$12:$H$45,A474)&gt;0,-H474,H474)</f>
        <v>1306153.18</v>
      </c>
      <c r="R474" s="249" t="e">
        <f>VLOOKUP(P474,Assumptions!$C$2:$D$64,2,0)</f>
        <v>#N/A</v>
      </c>
      <c r="S474" s="692" t="str">
        <f>IFERROR(VLOOKUP(A474,'Maturity Adjustment'!$A$3:$C$81,3,0),(IF(J474&lt;$N$4,"Tomorrow",J474)))</f>
        <v>Tomorrow</v>
      </c>
      <c r="T474" s="190">
        <f t="shared" si="175"/>
        <v>1</v>
      </c>
      <c r="U474" s="196" t="e">
        <f t="shared" si="177"/>
        <v>#N/A</v>
      </c>
      <c r="V474" s="11" t="str">
        <f>IFERROR(VLOOKUP(A474,'Maturity Adjustment'!$A$86:$C$91,3,0),S474)</f>
        <v>Tomorrow</v>
      </c>
      <c r="W474" s="12" t="e">
        <f>VLOOKUP(A474,'Account Mapping'!$A$2:$F$216,6,0)</f>
        <v>#N/A</v>
      </c>
      <c r="X474" s="194">
        <f t="shared" si="178"/>
        <v>1306153.18</v>
      </c>
      <c r="Y474" s="194">
        <f t="shared" si="179"/>
        <v>0</v>
      </c>
      <c r="Z474" s="13">
        <f t="shared" si="180"/>
        <v>0</v>
      </c>
      <c r="AA474" s="13">
        <f t="shared" si="181"/>
        <v>0</v>
      </c>
      <c r="AB474" s="13">
        <f t="shared" si="182"/>
        <v>0</v>
      </c>
      <c r="AC474" s="13">
        <f t="shared" si="183"/>
        <v>0</v>
      </c>
      <c r="AD474" s="13">
        <f t="shared" si="184"/>
        <v>0</v>
      </c>
      <c r="AE474" s="13">
        <f t="shared" si="185"/>
        <v>0</v>
      </c>
      <c r="AF474" s="13">
        <f t="shared" si="186"/>
        <v>0</v>
      </c>
      <c r="AG474" s="685">
        <f t="shared" si="187"/>
        <v>0</v>
      </c>
      <c r="AH474" s="688" t="b">
        <f t="shared" si="188"/>
        <v>1</v>
      </c>
    </row>
    <row r="475" spans="1:34" s="1" customFormat="1" ht="15" customHeight="1">
      <c r="A475" s="946">
        <v>15100002</v>
      </c>
      <c r="B475" s="946" t="s">
        <v>675</v>
      </c>
      <c r="C475" s="946" t="s">
        <v>688</v>
      </c>
      <c r="D475" s="946">
        <v>100000002</v>
      </c>
      <c r="E475" s="946" t="s">
        <v>40</v>
      </c>
      <c r="F475" s="946" t="s">
        <v>26</v>
      </c>
      <c r="G475" s="947">
        <v>156781.26</v>
      </c>
      <c r="H475" s="947">
        <v>223207.94</v>
      </c>
      <c r="I475" s="948"/>
      <c r="J475" s="948"/>
      <c r="K475" s="948"/>
      <c r="L475" s="29" t="e">
        <f>VLOOKUP(A475,'Account Mapping'!$A$2:$E$216,3,0)</f>
        <v>#N/A</v>
      </c>
      <c r="M475" s="25" t="e">
        <f>VLOOKUP(A475,'Account Mapping'!$A$2:$E$216,4,0)</f>
        <v>#N/A</v>
      </c>
      <c r="N475" s="26" t="e">
        <f>IF(OR(C475='Account Mapping'!$H$4,C475='Account Mapping'!$H$5,C475='Account Mapping'!$H$6),'Account Mapping'!$I$4,VLOOKUP(A475,'Account Mapping'!$A$2:$E$216,5,0))</f>
        <v>#N/A</v>
      </c>
      <c r="O475" s="27" t="e">
        <f>IF(OR(L475="Loan",L475="Deposit_Liability",L475="OFF_Unused Loan Commitment",L475="HQLA"),VLOOKUP(D475,'Customer Type'!$A$3:$C$38,3,0),"")</f>
        <v>#N/A</v>
      </c>
      <c r="P475" s="656" t="e">
        <f t="shared" si="176"/>
        <v>#N/A</v>
      </c>
      <c r="Q475" s="658">
        <f>IF(COUNTIF('Account Mapping'!$H$12:$H$45,A475)&gt;0,-H475,H475)</f>
        <v>223207.94</v>
      </c>
      <c r="R475" s="249" t="e">
        <f>VLOOKUP(P475,Assumptions!$C$2:$D$64,2,0)</f>
        <v>#N/A</v>
      </c>
      <c r="S475" s="692" t="str">
        <f>IFERROR(VLOOKUP(A475,'Maturity Adjustment'!$A$3:$C$81,3,0),(IF(J475&lt;$N$4,"Tomorrow",J475)))</f>
        <v>Tomorrow</v>
      </c>
      <c r="T475" s="190">
        <f t="shared" si="175"/>
        <v>1</v>
      </c>
      <c r="U475" s="196" t="e">
        <f t="shared" si="177"/>
        <v>#N/A</v>
      </c>
      <c r="V475" s="11" t="str">
        <f>IFERROR(VLOOKUP(A475,'Maturity Adjustment'!$A$86:$C$91,3,0),S475)</f>
        <v>Tomorrow</v>
      </c>
      <c r="W475" s="12" t="e">
        <f>VLOOKUP(A475,'Account Mapping'!$A$2:$F$216,6,0)</f>
        <v>#N/A</v>
      </c>
      <c r="X475" s="194">
        <f t="shared" si="178"/>
        <v>223207.94</v>
      </c>
      <c r="Y475" s="194">
        <f t="shared" si="179"/>
        <v>0</v>
      </c>
      <c r="Z475" s="13">
        <f t="shared" si="180"/>
        <v>0</v>
      </c>
      <c r="AA475" s="13">
        <f t="shared" si="181"/>
        <v>0</v>
      </c>
      <c r="AB475" s="13">
        <f t="shared" si="182"/>
        <v>0</v>
      </c>
      <c r="AC475" s="13">
        <f t="shared" si="183"/>
        <v>0</v>
      </c>
      <c r="AD475" s="13">
        <f t="shared" si="184"/>
        <v>0</v>
      </c>
      <c r="AE475" s="13">
        <f t="shared" si="185"/>
        <v>0</v>
      </c>
      <c r="AF475" s="13">
        <f t="shared" si="186"/>
        <v>0</v>
      </c>
      <c r="AG475" s="685">
        <f t="shared" si="187"/>
        <v>0</v>
      </c>
      <c r="AH475" s="688" t="b">
        <f t="shared" si="188"/>
        <v>1</v>
      </c>
    </row>
    <row r="476" spans="1:34" s="1" customFormat="1" ht="15" customHeight="1">
      <c r="A476" s="946">
        <v>20122001</v>
      </c>
      <c r="B476" s="946" t="s">
        <v>1226</v>
      </c>
      <c r="C476" s="946">
        <v>6025904000107</v>
      </c>
      <c r="D476" s="946">
        <v>100000041</v>
      </c>
      <c r="E476" s="946" t="s">
        <v>1439</v>
      </c>
      <c r="F476" s="946" t="s">
        <v>11</v>
      </c>
      <c r="G476" s="947">
        <v>20100000</v>
      </c>
      <c r="H476" s="947">
        <v>20100000</v>
      </c>
      <c r="I476" s="948">
        <v>45825</v>
      </c>
      <c r="J476" s="948">
        <v>46098</v>
      </c>
      <c r="K476" s="948">
        <v>46098</v>
      </c>
      <c r="L476" s="29" t="e">
        <f>VLOOKUP(A476,'Account Mapping'!$A$2:$E$216,3,0)</f>
        <v>#N/A</v>
      </c>
      <c r="M476" s="25" t="e">
        <f>VLOOKUP(A476,'Account Mapping'!$A$2:$E$216,4,0)</f>
        <v>#N/A</v>
      </c>
      <c r="N476" s="26" t="e">
        <f>IF(OR(C476='Account Mapping'!$H$4,C476='Account Mapping'!$H$5,C476='Account Mapping'!$H$6),'Account Mapping'!$I$4,VLOOKUP(A476,'Account Mapping'!$A$2:$E$216,5,0))</f>
        <v>#N/A</v>
      </c>
      <c r="O476" s="27" t="e">
        <f>IF(OR(L476="Loan",L476="Deposit_Liability",L476="OFF_Unused Loan Commitment",L476="HQLA"),VLOOKUP(D476,'Customer Type'!$A$3:$C$38,3,0),"")</f>
        <v>#N/A</v>
      </c>
      <c r="P476" s="656" t="e">
        <f t="shared" si="176"/>
        <v>#N/A</v>
      </c>
      <c r="Q476" s="658">
        <f>IF(COUNTIF('Account Mapping'!$H$12:$H$45,A476)&gt;0,-H476,H476)</f>
        <v>20100000</v>
      </c>
      <c r="R476" s="249" t="e">
        <f>VLOOKUP(P476,Assumptions!$C$2:$D$64,2,0)</f>
        <v>#N/A</v>
      </c>
      <c r="S476" s="692">
        <f>IFERROR(VLOOKUP(A476,'Maturity Adjustment'!$A$3:$C$81,3,0),(IF(J476&lt;$N$4,"Tomorrow",J476)))</f>
        <v>46098</v>
      </c>
      <c r="T476" s="190">
        <f t="shared" si="175"/>
        <v>40</v>
      </c>
      <c r="U476" s="196" t="e">
        <f t="shared" si="177"/>
        <v>#N/A</v>
      </c>
      <c r="V476" s="11">
        <f>IFERROR(VLOOKUP(A476,'Maturity Adjustment'!$A$86:$C$91,3,0),S476)</f>
        <v>46098</v>
      </c>
      <c r="W476" s="12" t="e">
        <f>VLOOKUP(A476,'Account Mapping'!$A$2:$F$216,6,0)</f>
        <v>#N/A</v>
      </c>
      <c r="X476" s="194">
        <f t="shared" si="178"/>
        <v>0</v>
      </c>
      <c r="Y476" s="194">
        <f t="shared" si="179"/>
        <v>0</v>
      </c>
      <c r="Z476" s="13">
        <f t="shared" si="180"/>
        <v>0</v>
      </c>
      <c r="AA476" s="13">
        <f t="shared" si="181"/>
        <v>20100000</v>
      </c>
      <c r="AB476" s="13">
        <f t="shared" si="182"/>
        <v>0</v>
      </c>
      <c r="AC476" s="13">
        <f t="shared" si="183"/>
        <v>0</v>
      </c>
      <c r="AD476" s="13">
        <f t="shared" si="184"/>
        <v>0</v>
      </c>
      <c r="AE476" s="13">
        <f t="shared" si="185"/>
        <v>0</v>
      </c>
      <c r="AF476" s="13">
        <f t="shared" si="186"/>
        <v>0</v>
      </c>
      <c r="AG476" s="685">
        <f t="shared" si="187"/>
        <v>0</v>
      </c>
      <c r="AH476" s="688" t="b">
        <f t="shared" si="188"/>
        <v>1</v>
      </c>
    </row>
    <row r="477" spans="1:34" s="1" customFormat="1" ht="15" customHeight="1">
      <c r="A477" s="946">
        <v>20122001</v>
      </c>
      <c r="B477" s="946" t="s">
        <v>1226</v>
      </c>
      <c r="C477" s="946">
        <v>6025904000121</v>
      </c>
      <c r="D477" s="946">
        <v>100000032</v>
      </c>
      <c r="E477" s="946" t="s">
        <v>1231</v>
      </c>
      <c r="F477" s="946" t="s">
        <v>11</v>
      </c>
      <c r="G477" s="947">
        <v>5000000</v>
      </c>
      <c r="H477" s="947">
        <v>5000000</v>
      </c>
      <c r="I477" s="948">
        <v>46015</v>
      </c>
      <c r="J477" s="948">
        <v>46106</v>
      </c>
      <c r="K477" s="948">
        <v>46106</v>
      </c>
      <c r="L477" s="29" t="e">
        <f>VLOOKUP(A477,'Account Mapping'!$A$2:$E$216,3,0)</f>
        <v>#N/A</v>
      </c>
      <c r="M477" s="25" t="e">
        <f>VLOOKUP(A477,'Account Mapping'!$A$2:$E$216,4,0)</f>
        <v>#N/A</v>
      </c>
      <c r="N477" s="26" t="e">
        <f>IF(OR(C477='Account Mapping'!$H$4,C477='Account Mapping'!$H$5,C477='Account Mapping'!$H$6),'Account Mapping'!$I$4,VLOOKUP(A477,'Account Mapping'!$A$2:$E$216,5,0))</f>
        <v>#N/A</v>
      </c>
      <c r="O477" s="27" t="e">
        <f>IF(OR(L477="Loan",L477="Deposit_Liability",L477="OFF_Unused Loan Commitment",L477="HQLA"),VLOOKUP(D477,'Customer Type'!$A$3:$C$38,3,0),"")</f>
        <v>#N/A</v>
      </c>
      <c r="P477" s="656" t="e">
        <f t="shared" si="176"/>
        <v>#N/A</v>
      </c>
      <c r="Q477" s="658">
        <f>IF(COUNTIF('Account Mapping'!$H$12:$H$45,A477)&gt;0,-H477,H477)</f>
        <v>5000000</v>
      </c>
      <c r="R477" s="249" t="e">
        <f>VLOOKUP(P477,Assumptions!$C$2:$D$64,2,0)</f>
        <v>#N/A</v>
      </c>
      <c r="S477" s="692">
        <f>IFERROR(VLOOKUP(A477,'Maturity Adjustment'!$A$3:$C$81,3,0),(IF(J477&lt;$N$4,"Tomorrow",J477)))</f>
        <v>46106</v>
      </c>
      <c r="T477" s="190">
        <f t="shared" si="175"/>
        <v>48</v>
      </c>
      <c r="U477" s="196" t="e">
        <f t="shared" si="177"/>
        <v>#N/A</v>
      </c>
      <c r="V477" s="11">
        <f>IFERROR(VLOOKUP(A477,'Maturity Adjustment'!$A$86:$C$91,3,0),S477)</f>
        <v>46106</v>
      </c>
      <c r="W477" s="12" t="e">
        <f>VLOOKUP(A477,'Account Mapping'!$A$2:$F$216,6,0)</f>
        <v>#N/A</v>
      </c>
      <c r="X477" s="194">
        <f t="shared" si="178"/>
        <v>0</v>
      </c>
      <c r="Y477" s="194">
        <f t="shared" si="179"/>
        <v>0</v>
      </c>
      <c r="Z477" s="13">
        <f t="shared" si="180"/>
        <v>0</v>
      </c>
      <c r="AA477" s="13">
        <f t="shared" si="181"/>
        <v>5000000</v>
      </c>
      <c r="AB477" s="13">
        <f t="shared" si="182"/>
        <v>0</v>
      </c>
      <c r="AC477" s="13">
        <f t="shared" si="183"/>
        <v>0</v>
      </c>
      <c r="AD477" s="13">
        <f t="shared" si="184"/>
        <v>0</v>
      </c>
      <c r="AE477" s="13">
        <f t="shared" si="185"/>
        <v>0</v>
      </c>
      <c r="AF477" s="13">
        <f t="shared" si="186"/>
        <v>0</v>
      </c>
      <c r="AG477" s="685">
        <f t="shared" si="187"/>
        <v>0</v>
      </c>
      <c r="AH477" s="688" t="b">
        <f t="shared" si="188"/>
        <v>1</v>
      </c>
    </row>
    <row r="478" spans="1:34" s="1" customFormat="1" ht="15" customHeight="1">
      <c r="A478" s="946">
        <v>20123001</v>
      </c>
      <c r="B478" s="946" t="s">
        <v>1419</v>
      </c>
      <c r="C478" s="946" t="s">
        <v>1528</v>
      </c>
      <c r="D478" s="946">
        <v>100000044</v>
      </c>
      <c r="E478" s="946" t="s">
        <v>1460</v>
      </c>
      <c r="F478" s="946" t="s">
        <v>11</v>
      </c>
      <c r="G478" s="947">
        <v>9902480.9100000001</v>
      </c>
      <c r="H478" s="947">
        <v>9902480.9100000001</v>
      </c>
      <c r="I478" s="949">
        <v>45985</v>
      </c>
      <c r="J478" s="949">
        <v>46076</v>
      </c>
      <c r="K478" s="949">
        <v>46076</v>
      </c>
      <c r="L478" s="29" t="e">
        <f>VLOOKUP(A478,'Account Mapping'!$A$2:$E$216,3,0)</f>
        <v>#N/A</v>
      </c>
      <c r="M478" s="25" t="e">
        <f>VLOOKUP(A478,'Account Mapping'!$A$2:$E$216,4,0)</f>
        <v>#N/A</v>
      </c>
      <c r="N478" s="26" t="e">
        <f>IF(OR(C478='Account Mapping'!$H$4,C478='Account Mapping'!$H$5,C478='Account Mapping'!$H$6),'Account Mapping'!$I$4,VLOOKUP(A478,'Account Mapping'!$A$2:$E$216,5,0))</f>
        <v>#N/A</v>
      </c>
      <c r="O478" s="27" t="e">
        <f>IF(OR(L478="Loan",L478="Deposit_Liability",L478="OFF_Unused Loan Commitment",L478="HQLA"),VLOOKUP(D478,'Customer Type'!$A$3:$C$38,3,0),"")</f>
        <v>#N/A</v>
      </c>
      <c r="P478" s="656" t="e">
        <f t="shared" si="176"/>
        <v>#N/A</v>
      </c>
      <c r="Q478" s="658">
        <f>IF(COUNTIF('Account Mapping'!$H$12:$H$45,A478)&gt;0,-H478,H478)</f>
        <v>9902480.9100000001</v>
      </c>
      <c r="R478" s="249" t="e">
        <f>VLOOKUP(P478,Assumptions!$C$2:$D$64,2,0)</f>
        <v>#N/A</v>
      </c>
      <c r="S478" s="692">
        <f>IFERROR(VLOOKUP(A478,'Maturity Adjustment'!$A$3:$C$81,3,0),(IF(J478&lt;$N$4,"Tomorrow",J478)))</f>
        <v>46076</v>
      </c>
      <c r="T478" s="190">
        <f t="shared" si="175"/>
        <v>18</v>
      </c>
      <c r="U478" s="196" t="e">
        <f t="shared" si="177"/>
        <v>#N/A</v>
      </c>
      <c r="V478" s="11">
        <f>IFERROR(VLOOKUP(A478,'Maturity Adjustment'!$A$86:$C$91,3,0),S478)</f>
        <v>46076</v>
      </c>
      <c r="W478" s="12" t="e">
        <f>VLOOKUP(A478,'Account Mapping'!$A$2:$F$216,6,0)</f>
        <v>#N/A</v>
      </c>
      <c r="X478" s="194">
        <f t="shared" si="178"/>
        <v>0</v>
      </c>
      <c r="Y478" s="194">
        <f t="shared" si="179"/>
        <v>0</v>
      </c>
      <c r="Z478" s="13">
        <f t="shared" si="180"/>
        <v>9902480.9100000001</v>
      </c>
      <c r="AA478" s="13">
        <f t="shared" si="181"/>
        <v>0</v>
      </c>
      <c r="AB478" s="13">
        <f t="shared" si="182"/>
        <v>0</v>
      </c>
      <c r="AC478" s="13">
        <f t="shared" si="183"/>
        <v>0</v>
      </c>
      <c r="AD478" s="13">
        <f t="shared" si="184"/>
        <v>0</v>
      </c>
      <c r="AE478" s="13">
        <f t="shared" si="185"/>
        <v>0</v>
      </c>
      <c r="AF478" s="13">
        <f t="shared" si="186"/>
        <v>0</v>
      </c>
      <c r="AG478" s="685">
        <f t="shared" si="187"/>
        <v>0</v>
      </c>
      <c r="AH478" s="688" t="b">
        <f t="shared" si="188"/>
        <v>1</v>
      </c>
    </row>
    <row r="479" spans="1:34" s="1" customFormat="1" ht="15" customHeight="1">
      <c r="A479" s="946">
        <v>20123001</v>
      </c>
      <c r="B479" s="946" t="s">
        <v>1419</v>
      </c>
      <c r="C479" s="946" t="s">
        <v>1529</v>
      </c>
      <c r="D479" s="946">
        <v>100000046</v>
      </c>
      <c r="E479" s="946" t="s">
        <v>1530</v>
      </c>
      <c r="F479" s="946" t="s">
        <v>11</v>
      </c>
      <c r="G479" s="947">
        <v>4950995.99</v>
      </c>
      <c r="H479" s="947">
        <v>4950995.99</v>
      </c>
      <c r="I479" s="949">
        <v>45988</v>
      </c>
      <c r="J479" s="949">
        <v>46079</v>
      </c>
      <c r="K479" s="949">
        <v>46079</v>
      </c>
      <c r="L479" s="29" t="e">
        <f>VLOOKUP(A479,'Account Mapping'!$A$2:$E$216,3,0)</f>
        <v>#N/A</v>
      </c>
      <c r="M479" s="25" t="e">
        <f>VLOOKUP(A479,'Account Mapping'!$A$2:$E$216,4,0)</f>
        <v>#N/A</v>
      </c>
      <c r="N479" s="26" t="e">
        <f>IF(OR(C479='Account Mapping'!$H$4,C479='Account Mapping'!$H$5,C479='Account Mapping'!$H$6),'Account Mapping'!$I$4,VLOOKUP(A479,'Account Mapping'!$A$2:$E$216,5,0))</f>
        <v>#N/A</v>
      </c>
      <c r="O479" s="27" t="e">
        <f>IF(OR(L479="Loan",L479="Deposit_Liability",L479="OFF_Unused Loan Commitment",L479="HQLA"),VLOOKUP(D479,'Customer Type'!$A$3:$C$38,3,0),"")</f>
        <v>#N/A</v>
      </c>
      <c r="P479" s="656" t="e">
        <f t="shared" si="176"/>
        <v>#N/A</v>
      </c>
      <c r="Q479" s="658">
        <f>IF(COUNTIF('Account Mapping'!$H$12:$H$45,A479)&gt;0,-H479,H479)</f>
        <v>4950995.99</v>
      </c>
      <c r="R479" s="249" t="e">
        <f>VLOOKUP(P479,Assumptions!$C$2:$D$64,2,0)</f>
        <v>#N/A</v>
      </c>
      <c r="S479" s="692">
        <f>IFERROR(VLOOKUP(A479,'Maturity Adjustment'!$A$3:$C$81,3,0),(IF(J479&lt;$N$4,"Tomorrow",J479)))</f>
        <v>46079</v>
      </c>
      <c r="T479" s="190">
        <f t="shared" si="174"/>
        <v>21</v>
      </c>
      <c r="U479" s="196" t="e">
        <f t="shared" si="177"/>
        <v>#N/A</v>
      </c>
      <c r="V479" s="11">
        <f>IFERROR(VLOOKUP(A479,'Maturity Adjustment'!$A$86:$C$91,3,0),S479)</f>
        <v>46079</v>
      </c>
      <c r="W479" s="12" t="e">
        <f>VLOOKUP(A479,'Account Mapping'!$A$2:$F$216,6,0)</f>
        <v>#N/A</v>
      </c>
      <c r="X479" s="194">
        <f t="shared" si="178"/>
        <v>0</v>
      </c>
      <c r="Y479" s="194">
        <f t="shared" si="179"/>
        <v>0</v>
      </c>
      <c r="Z479" s="13">
        <f t="shared" si="180"/>
        <v>4950995.99</v>
      </c>
      <c r="AA479" s="13">
        <f t="shared" si="181"/>
        <v>0</v>
      </c>
      <c r="AB479" s="13">
        <f t="shared" si="182"/>
        <v>0</v>
      </c>
      <c r="AC479" s="13">
        <f t="shared" si="183"/>
        <v>0</v>
      </c>
      <c r="AD479" s="13">
        <f t="shared" si="184"/>
        <v>0</v>
      </c>
      <c r="AE479" s="13">
        <f t="shared" si="185"/>
        <v>0</v>
      </c>
      <c r="AF479" s="13">
        <f t="shared" si="186"/>
        <v>0</v>
      </c>
      <c r="AG479" s="685">
        <f t="shared" si="187"/>
        <v>0</v>
      </c>
      <c r="AH479" s="688" t="b">
        <f t="shared" si="188"/>
        <v>1</v>
      </c>
    </row>
    <row r="480" spans="1:34" s="1" customFormat="1" ht="15" customHeight="1">
      <c r="A480" s="946">
        <v>20123001</v>
      </c>
      <c r="B480" s="946" t="s">
        <v>1419</v>
      </c>
      <c r="C480" s="946" t="s">
        <v>1553</v>
      </c>
      <c r="D480" s="946">
        <v>100000022</v>
      </c>
      <c r="E480" s="946" t="s">
        <v>1421</v>
      </c>
      <c r="F480" s="946" t="s">
        <v>11</v>
      </c>
      <c r="G480" s="947">
        <v>4950262.74</v>
      </c>
      <c r="H480" s="947">
        <v>4950262.74</v>
      </c>
      <c r="I480" s="949">
        <v>46028</v>
      </c>
      <c r="J480" s="949">
        <v>46119</v>
      </c>
      <c r="K480" s="949">
        <v>46119</v>
      </c>
      <c r="L480" s="29" t="e">
        <f>VLOOKUP(A480,'Account Mapping'!$A$2:$E$216,3,0)</f>
        <v>#N/A</v>
      </c>
      <c r="M480" s="25" t="e">
        <f>VLOOKUP(A480,'Account Mapping'!$A$2:$E$216,4,0)</f>
        <v>#N/A</v>
      </c>
      <c r="N480" s="26" t="e">
        <f>IF(OR(C480='Account Mapping'!$H$4,C480='Account Mapping'!$H$5,C480='Account Mapping'!$H$6),'Account Mapping'!$I$4,VLOOKUP(A480,'Account Mapping'!$A$2:$E$216,5,0))</f>
        <v>#N/A</v>
      </c>
      <c r="O480" s="27" t="e">
        <f>IF(OR(L480="Loan",L480="Deposit_Liability",L480="OFF_Unused Loan Commitment",L480="HQLA"),VLOOKUP(D480,'Customer Type'!$A$3:$C$38,3,0),"")</f>
        <v>#N/A</v>
      </c>
      <c r="P480" s="656" t="e">
        <f t="shared" si="176"/>
        <v>#N/A</v>
      </c>
      <c r="Q480" s="658">
        <f>IF(COUNTIF('Account Mapping'!$H$12:$H$45,A480)&gt;0,-H480,H480)</f>
        <v>4950262.74</v>
      </c>
      <c r="R480" s="249" t="e">
        <f>VLOOKUP(P480,Assumptions!$C$2:$D$64,2,0)</f>
        <v>#N/A</v>
      </c>
      <c r="S480" s="692">
        <f>IFERROR(VLOOKUP(A480,'Maturity Adjustment'!$A$3:$C$81,3,0),(IF(J480&lt;$N$4,"Tomorrow",J480)))</f>
        <v>46119</v>
      </c>
      <c r="T480" s="190">
        <f t="shared" si="174"/>
        <v>61</v>
      </c>
      <c r="U480" s="196" t="e">
        <f t="shared" si="177"/>
        <v>#N/A</v>
      </c>
      <c r="V480" s="11">
        <f>IFERROR(VLOOKUP(A480,'Maturity Adjustment'!$A$86:$C$91,3,0),S480)</f>
        <v>46119</v>
      </c>
      <c r="W480" s="12" t="e">
        <f>VLOOKUP(A480,'Account Mapping'!$A$2:$F$216,6,0)</f>
        <v>#N/A</v>
      </c>
      <c r="X480" s="194">
        <f t="shared" si="178"/>
        <v>0</v>
      </c>
      <c r="Y480" s="194">
        <f t="shared" si="179"/>
        <v>0</v>
      </c>
      <c r="Z480" s="13">
        <f t="shared" si="180"/>
        <v>0</v>
      </c>
      <c r="AA480" s="13">
        <f t="shared" si="181"/>
        <v>4950262.74</v>
      </c>
      <c r="AB480" s="13">
        <f t="shared" si="182"/>
        <v>0</v>
      </c>
      <c r="AC480" s="13">
        <f t="shared" si="183"/>
        <v>0</v>
      </c>
      <c r="AD480" s="13">
        <f t="shared" si="184"/>
        <v>0</v>
      </c>
      <c r="AE480" s="13">
        <f t="shared" si="185"/>
        <v>0</v>
      </c>
      <c r="AF480" s="13">
        <f t="shared" si="186"/>
        <v>0</v>
      </c>
      <c r="AG480" s="685">
        <f t="shared" si="187"/>
        <v>0</v>
      </c>
      <c r="AH480" s="688" t="b">
        <f t="shared" si="188"/>
        <v>1</v>
      </c>
    </row>
    <row r="481" spans="1:34" s="1" customFormat="1" ht="15" customHeight="1">
      <c r="A481" s="946">
        <v>20402003</v>
      </c>
      <c r="B481" s="946" t="s">
        <v>689</v>
      </c>
      <c r="C481" s="946" t="s">
        <v>1467</v>
      </c>
      <c r="D481" s="946">
        <v>100000018</v>
      </c>
      <c r="E481" s="946" t="s">
        <v>690</v>
      </c>
      <c r="F481" s="946" t="s">
        <v>26</v>
      </c>
      <c r="G481" s="947">
        <v>10000000</v>
      </c>
      <c r="H481" s="947">
        <v>14236902.050000001</v>
      </c>
      <c r="I481" s="949">
        <v>45923</v>
      </c>
      <c r="J481" s="949">
        <v>46288</v>
      </c>
      <c r="K481" s="949">
        <v>46105</v>
      </c>
      <c r="L481" s="29" t="e">
        <f>VLOOKUP(A481,'Account Mapping'!$A$2:$E$216,3,0)</f>
        <v>#N/A</v>
      </c>
      <c r="M481" s="25" t="e">
        <f>VLOOKUP(A481,'Account Mapping'!$A$2:$E$216,4,0)</f>
        <v>#N/A</v>
      </c>
      <c r="N481" s="26" t="e">
        <f>IF(OR(C481='Account Mapping'!$H$4,C481='Account Mapping'!$H$5,C481='Account Mapping'!$H$6),'Account Mapping'!$I$4,VLOOKUP(A481,'Account Mapping'!$A$2:$E$216,5,0))</f>
        <v>#N/A</v>
      </c>
      <c r="O481" s="27" t="e">
        <f>IF(OR(L481="Loan",L481="Deposit_Liability",L481="OFF_Unused Loan Commitment",L481="HQLA"),VLOOKUP(D481,'Customer Type'!$A$3:$C$38,3,0),"")</f>
        <v>#N/A</v>
      </c>
      <c r="P481" s="656" t="e">
        <f t="shared" si="176"/>
        <v>#N/A</v>
      </c>
      <c r="Q481" s="658">
        <f>IF(COUNTIF('Account Mapping'!$H$12:$H$45,A481)&gt;0,-H481,H481)</f>
        <v>14236902.050000001</v>
      </c>
      <c r="R481" s="249" t="e">
        <f>VLOOKUP(P481,Assumptions!$C$2:$D$64,2,0)</f>
        <v>#N/A</v>
      </c>
      <c r="S481" s="692">
        <f>IFERROR(VLOOKUP(A481,'Maturity Adjustment'!$A$3:$C$81,3,0),(IF(J481&lt;$N$4,"Tomorrow",J481)))</f>
        <v>46288</v>
      </c>
      <c r="T481" s="190">
        <f t="shared" ref="T481:T506" si="189">IF(S481="Tomorrow",1,(S481-$N$4))</f>
        <v>230</v>
      </c>
      <c r="U481" s="196" t="e">
        <f t="shared" si="177"/>
        <v>#N/A</v>
      </c>
      <c r="V481" s="11">
        <f>IFERROR(VLOOKUP(A481,'Maturity Adjustment'!$A$86:$C$91,3,0),S481)</f>
        <v>46288</v>
      </c>
      <c r="W481" s="12" t="e">
        <f>VLOOKUP(A481,'Account Mapping'!$A$2:$F$216,6,0)</f>
        <v>#N/A</v>
      </c>
      <c r="X481" s="194">
        <f t="shared" si="178"/>
        <v>0</v>
      </c>
      <c r="Y481" s="194">
        <f t="shared" si="179"/>
        <v>0</v>
      </c>
      <c r="Z481" s="13">
        <f t="shared" si="180"/>
        <v>0</v>
      </c>
      <c r="AA481" s="13">
        <f t="shared" si="181"/>
        <v>0</v>
      </c>
      <c r="AB481" s="13">
        <f t="shared" si="182"/>
        <v>0</v>
      </c>
      <c r="AC481" s="13">
        <f t="shared" si="183"/>
        <v>14236902.050000001</v>
      </c>
      <c r="AD481" s="13">
        <f t="shared" si="184"/>
        <v>0</v>
      </c>
      <c r="AE481" s="13">
        <f t="shared" si="185"/>
        <v>0</v>
      </c>
      <c r="AF481" s="13">
        <f t="shared" si="186"/>
        <v>0</v>
      </c>
      <c r="AG481" s="685">
        <f t="shared" si="187"/>
        <v>0</v>
      </c>
      <c r="AH481" s="688" t="b">
        <f t="shared" si="188"/>
        <v>1</v>
      </c>
    </row>
    <row r="482" spans="1:34" s="1" customFormat="1" ht="15" customHeight="1">
      <c r="A482" s="946">
        <v>20402003</v>
      </c>
      <c r="B482" s="946" t="s">
        <v>689</v>
      </c>
      <c r="C482" s="946" t="s">
        <v>1563</v>
      </c>
      <c r="D482" s="946">
        <v>100000018</v>
      </c>
      <c r="E482" s="946" t="s">
        <v>690</v>
      </c>
      <c r="F482" s="946" t="s">
        <v>26</v>
      </c>
      <c r="G482" s="947">
        <v>7000000</v>
      </c>
      <c r="H482" s="947">
        <v>9965831.4399999995</v>
      </c>
      <c r="I482" s="949">
        <v>46044</v>
      </c>
      <c r="J482" s="949">
        <v>46409</v>
      </c>
      <c r="K482" s="949">
        <v>46135</v>
      </c>
      <c r="L482" s="29" t="e">
        <f>VLOOKUP(A482,'Account Mapping'!$A$2:$E$216,3,0)</f>
        <v>#N/A</v>
      </c>
      <c r="M482" s="25" t="e">
        <f>VLOOKUP(A482,'Account Mapping'!$A$2:$E$216,4,0)</f>
        <v>#N/A</v>
      </c>
      <c r="N482" s="26" t="e">
        <f>IF(OR(C482='Account Mapping'!$H$4,C482='Account Mapping'!$H$5,C482='Account Mapping'!$H$6),'Account Mapping'!$I$4,VLOOKUP(A482,'Account Mapping'!$A$2:$E$216,5,0))</f>
        <v>#N/A</v>
      </c>
      <c r="O482" s="27" t="e">
        <f>IF(OR(L482="Loan",L482="Deposit_Liability",L482="OFF_Unused Loan Commitment",L482="HQLA"),VLOOKUP(D482,'Customer Type'!$A$3:$C$38,3,0),"")</f>
        <v>#N/A</v>
      </c>
      <c r="P482" s="656" t="e">
        <f t="shared" si="176"/>
        <v>#N/A</v>
      </c>
      <c r="Q482" s="658">
        <f>IF(COUNTIF('Account Mapping'!$H$12:$H$45,A482)&gt;0,-H482,H482)</f>
        <v>9965831.4399999995</v>
      </c>
      <c r="R482" s="249" t="e">
        <f>VLOOKUP(P482,Assumptions!$C$2:$D$64,2,0)</f>
        <v>#N/A</v>
      </c>
      <c r="S482" s="692">
        <f>IFERROR(VLOOKUP(A482,'Maturity Adjustment'!$A$3:$C$81,3,0),(IF(J482&lt;$N$4,"Tomorrow",J482)))</f>
        <v>46409</v>
      </c>
      <c r="T482" s="190">
        <f t="shared" si="189"/>
        <v>351</v>
      </c>
      <c r="U482" s="196" t="e">
        <f t="shared" si="177"/>
        <v>#N/A</v>
      </c>
      <c r="V482" s="11">
        <f>IFERROR(VLOOKUP(A482,'Maturity Adjustment'!$A$86:$C$91,3,0),S482)</f>
        <v>46409</v>
      </c>
      <c r="W482" s="12" t="e">
        <f>VLOOKUP(A482,'Account Mapping'!$A$2:$F$216,6,0)</f>
        <v>#N/A</v>
      </c>
      <c r="X482" s="194">
        <f t="shared" si="178"/>
        <v>0</v>
      </c>
      <c r="Y482" s="194">
        <f t="shared" si="179"/>
        <v>0</v>
      </c>
      <c r="Z482" s="13">
        <f t="shared" si="180"/>
        <v>0</v>
      </c>
      <c r="AA482" s="13">
        <f t="shared" si="181"/>
        <v>0</v>
      </c>
      <c r="AB482" s="13">
        <f t="shared" si="182"/>
        <v>0</v>
      </c>
      <c r="AC482" s="13">
        <f t="shared" si="183"/>
        <v>9965831.4399999995</v>
      </c>
      <c r="AD482" s="13">
        <f t="shared" si="184"/>
        <v>0</v>
      </c>
      <c r="AE482" s="13">
        <f t="shared" si="185"/>
        <v>0</v>
      </c>
      <c r="AF482" s="13">
        <f t="shared" si="186"/>
        <v>0</v>
      </c>
      <c r="AG482" s="685">
        <f t="shared" si="187"/>
        <v>0</v>
      </c>
      <c r="AH482" s="688" t="b">
        <f t="shared" si="188"/>
        <v>1</v>
      </c>
    </row>
    <row r="483" spans="1:34" s="1" customFormat="1" ht="15" customHeight="1">
      <c r="A483" s="946">
        <v>20406001</v>
      </c>
      <c r="B483" s="946" t="s">
        <v>1450</v>
      </c>
      <c r="C483" s="946" t="s">
        <v>1451</v>
      </c>
      <c r="D483" s="946">
        <v>100000043</v>
      </c>
      <c r="E483" s="946" t="s">
        <v>1452</v>
      </c>
      <c r="F483" s="946" t="s">
        <v>11</v>
      </c>
      <c r="G483" s="947">
        <v>50000000</v>
      </c>
      <c r="H483" s="947">
        <v>50000000</v>
      </c>
      <c r="I483" s="949">
        <v>45856</v>
      </c>
      <c r="J483" s="949">
        <v>46223</v>
      </c>
      <c r="K483" s="949">
        <v>46132</v>
      </c>
      <c r="L483" s="29" t="e">
        <f>VLOOKUP(A483,'Account Mapping'!$A$2:$E$216,3,0)</f>
        <v>#N/A</v>
      </c>
      <c r="M483" s="25" t="e">
        <f>VLOOKUP(A483,'Account Mapping'!$A$2:$E$216,4,0)</f>
        <v>#N/A</v>
      </c>
      <c r="N483" s="26" t="e">
        <f>IF(OR(C483='Account Mapping'!$H$4,C483='Account Mapping'!$H$5,C483='Account Mapping'!$H$6),'Account Mapping'!$I$4,VLOOKUP(A483,'Account Mapping'!$A$2:$E$216,5,0))</f>
        <v>#N/A</v>
      </c>
      <c r="O483" s="27" t="e">
        <f>IF(OR(L483="Loan",L483="Deposit_Liability",L483="OFF_Unused Loan Commitment",L483="HQLA"),VLOOKUP(D483,'Customer Type'!$A$3:$C$38,3,0),"")</f>
        <v>#N/A</v>
      </c>
      <c r="P483" s="656" t="e">
        <f t="shared" si="176"/>
        <v>#N/A</v>
      </c>
      <c r="Q483" s="658">
        <f>IF(COUNTIF('Account Mapping'!$H$12:$H$45,A483)&gt;0,-H483,H483)</f>
        <v>50000000</v>
      </c>
      <c r="R483" s="249" t="e">
        <f>VLOOKUP(P483,Assumptions!$C$2:$D$64,2,0)</f>
        <v>#N/A</v>
      </c>
      <c r="S483" s="692">
        <f>IFERROR(VLOOKUP(A483,'Maturity Adjustment'!$A$3:$C$81,3,0),(IF(J483&lt;$N$4,"Tomorrow",J483)))</f>
        <v>46223</v>
      </c>
      <c r="T483" s="190">
        <f t="shared" si="189"/>
        <v>165</v>
      </c>
      <c r="U483" s="196" t="e">
        <f t="shared" si="177"/>
        <v>#N/A</v>
      </c>
      <c r="V483" s="11">
        <f>IFERROR(VLOOKUP(A483,'Maturity Adjustment'!$A$86:$C$91,3,0),S483)</f>
        <v>46223</v>
      </c>
      <c r="W483" s="12" t="e">
        <f>VLOOKUP(A483,'Account Mapping'!$A$2:$F$216,6,0)</f>
        <v>#N/A</v>
      </c>
      <c r="X483" s="194">
        <f t="shared" si="178"/>
        <v>0</v>
      </c>
      <c r="Y483" s="194">
        <f t="shared" si="179"/>
        <v>0</v>
      </c>
      <c r="Z483" s="13">
        <f t="shared" si="180"/>
        <v>0</v>
      </c>
      <c r="AA483" s="13">
        <f t="shared" si="181"/>
        <v>0</v>
      </c>
      <c r="AB483" s="13">
        <f t="shared" si="182"/>
        <v>50000000</v>
      </c>
      <c r="AC483" s="13">
        <f t="shared" si="183"/>
        <v>0</v>
      </c>
      <c r="AD483" s="13">
        <f t="shared" si="184"/>
        <v>0</v>
      </c>
      <c r="AE483" s="13">
        <f t="shared" si="185"/>
        <v>0</v>
      </c>
      <c r="AF483" s="13">
        <f t="shared" si="186"/>
        <v>0</v>
      </c>
      <c r="AG483" s="685">
        <f t="shared" si="187"/>
        <v>0</v>
      </c>
      <c r="AH483" s="688" t="b">
        <f t="shared" si="188"/>
        <v>1</v>
      </c>
    </row>
    <row r="484" spans="1:34" s="1" customFormat="1" ht="15" customHeight="1">
      <c r="A484" s="946">
        <v>20910003</v>
      </c>
      <c r="B484" s="946" t="s">
        <v>1227</v>
      </c>
      <c r="C484" s="946">
        <v>6025904000107</v>
      </c>
      <c r="D484" s="946">
        <v>100000041</v>
      </c>
      <c r="E484" s="946" t="s">
        <v>1439</v>
      </c>
      <c r="F484" s="946" t="s">
        <v>11</v>
      </c>
      <c r="G484" s="947">
        <v>532484.79</v>
      </c>
      <c r="H484" s="947">
        <v>532484.79</v>
      </c>
      <c r="I484" s="949">
        <v>45825</v>
      </c>
      <c r="J484" s="949">
        <v>46098</v>
      </c>
      <c r="K484" s="949">
        <v>46098</v>
      </c>
      <c r="L484" s="29" t="e">
        <f>VLOOKUP(A484,'Account Mapping'!$A$2:$E$216,3,0)</f>
        <v>#N/A</v>
      </c>
      <c r="M484" s="25" t="e">
        <f>VLOOKUP(A484,'Account Mapping'!$A$2:$E$216,4,0)</f>
        <v>#N/A</v>
      </c>
      <c r="N484" s="26" t="e">
        <f>IF(OR(C484='Account Mapping'!$H$4,C484='Account Mapping'!$H$5,C484='Account Mapping'!$H$6),'Account Mapping'!$I$4,VLOOKUP(A484,'Account Mapping'!$A$2:$E$216,5,0))</f>
        <v>#N/A</v>
      </c>
      <c r="O484" s="27" t="e">
        <f>IF(OR(L484="Loan",L484="Deposit_Liability",L484="OFF_Unused Loan Commitment",L484="HQLA"),VLOOKUP(D484,'Customer Type'!$A$3:$C$38,3,0),"")</f>
        <v>#N/A</v>
      </c>
      <c r="P484" s="656" t="e">
        <f t="shared" si="176"/>
        <v>#N/A</v>
      </c>
      <c r="Q484" s="658">
        <f>IF(COUNTIF('Account Mapping'!$H$12:$H$45,A484)&gt;0,-H484,H484)</f>
        <v>532484.79</v>
      </c>
      <c r="R484" s="249" t="e">
        <f>VLOOKUP(P484,Assumptions!$C$2:$D$64,2,0)</f>
        <v>#N/A</v>
      </c>
      <c r="S484" s="692">
        <f>IFERROR(VLOOKUP(A484,'Maturity Adjustment'!$A$3:$C$81,3,0),(IF(J484&lt;$N$4,"Tomorrow",J484)))</f>
        <v>46098</v>
      </c>
      <c r="T484" s="190">
        <f t="shared" si="189"/>
        <v>40</v>
      </c>
      <c r="U484" s="196" t="e">
        <f t="shared" si="177"/>
        <v>#N/A</v>
      </c>
      <c r="V484" s="11">
        <f>IFERROR(VLOOKUP(A484,'Maturity Adjustment'!$A$86:$C$91,3,0),S484)</f>
        <v>46098</v>
      </c>
      <c r="W484" s="12" t="e">
        <f>VLOOKUP(A484,'Account Mapping'!$A$2:$F$216,6,0)</f>
        <v>#N/A</v>
      </c>
      <c r="X484" s="194">
        <f t="shared" si="178"/>
        <v>0</v>
      </c>
      <c r="Y484" s="194">
        <f t="shared" si="179"/>
        <v>0</v>
      </c>
      <c r="Z484" s="13">
        <f t="shared" si="180"/>
        <v>0</v>
      </c>
      <c r="AA484" s="13">
        <f t="shared" si="181"/>
        <v>532484.79</v>
      </c>
      <c r="AB484" s="13">
        <f t="shared" si="182"/>
        <v>0</v>
      </c>
      <c r="AC484" s="13">
        <f t="shared" si="183"/>
        <v>0</v>
      </c>
      <c r="AD484" s="13">
        <f t="shared" si="184"/>
        <v>0</v>
      </c>
      <c r="AE484" s="13">
        <f t="shared" si="185"/>
        <v>0</v>
      </c>
      <c r="AF484" s="13">
        <f t="shared" si="186"/>
        <v>0</v>
      </c>
      <c r="AG484" s="685">
        <f t="shared" si="187"/>
        <v>0</v>
      </c>
      <c r="AH484" s="688" t="b">
        <f t="shared" si="188"/>
        <v>1</v>
      </c>
    </row>
    <row r="485" spans="1:34" s="1" customFormat="1" ht="15" customHeight="1">
      <c r="A485" s="946">
        <v>20910003</v>
      </c>
      <c r="B485" s="946" t="s">
        <v>1227</v>
      </c>
      <c r="C485" s="946">
        <v>6025904000121</v>
      </c>
      <c r="D485" s="946">
        <v>100000032</v>
      </c>
      <c r="E485" s="946" t="s">
        <v>1231</v>
      </c>
      <c r="F485" s="946" t="s">
        <v>11</v>
      </c>
      <c r="G485" s="947">
        <v>23620.55</v>
      </c>
      <c r="H485" s="947">
        <v>23620.55</v>
      </c>
      <c r="I485" s="949">
        <v>46015</v>
      </c>
      <c r="J485" s="949">
        <v>46106</v>
      </c>
      <c r="K485" s="949">
        <v>46106</v>
      </c>
      <c r="L485" s="29" t="e">
        <f>VLOOKUP(A485,'Account Mapping'!$A$2:$E$216,3,0)</f>
        <v>#N/A</v>
      </c>
      <c r="M485" s="25" t="e">
        <f>VLOOKUP(A485,'Account Mapping'!$A$2:$E$216,4,0)</f>
        <v>#N/A</v>
      </c>
      <c r="N485" s="26" t="e">
        <f>IF(OR(C485='Account Mapping'!$H$4,C485='Account Mapping'!$H$5,C485='Account Mapping'!$H$6),'Account Mapping'!$I$4,VLOOKUP(A485,'Account Mapping'!$A$2:$E$216,5,0))</f>
        <v>#N/A</v>
      </c>
      <c r="O485" s="27" t="e">
        <f>IF(OR(L485="Loan",L485="Deposit_Liability",L485="OFF_Unused Loan Commitment",L485="HQLA"),VLOOKUP(D485,'Customer Type'!$A$3:$C$38,3,0),"")</f>
        <v>#N/A</v>
      </c>
      <c r="P485" s="656" t="e">
        <f t="shared" si="176"/>
        <v>#N/A</v>
      </c>
      <c r="Q485" s="658">
        <f>IF(COUNTIF('Account Mapping'!$H$12:$H$45,A485)&gt;0,-H485,H485)</f>
        <v>23620.55</v>
      </c>
      <c r="R485" s="249" t="e">
        <f>VLOOKUP(P485,Assumptions!$C$2:$D$64,2,0)</f>
        <v>#N/A</v>
      </c>
      <c r="S485" s="692">
        <f>IFERROR(VLOOKUP(A485,'Maturity Adjustment'!$A$3:$C$81,3,0),(IF(J485&lt;$N$4,"Tomorrow",J485)))</f>
        <v>46106</v>
      </c>
      <c r="T485" s="190">
        <f t="shared" si="189"/>
        <v>48</v>
      </c>
      <c r="U485" s="196" t="e">
        <f t="shared" si="177"/>
        <v>#N/A</v>
      </c>
      <c r="V485" s="11">
        <f>IFERROR(VLOOKUP(A485,'Maturity Adjustment'!$A$86:$C$91,3,0),S485)</f>
        <v>46106</v>
      </c>
      <c r="W485" s="12" t="e">
        <f>VLOOKUP(A485,'Account Mapping'!$A$2:$F$216,6,0)</f>
        <v>#N/A</v>
      </c>
      <c r="X485" s="194">
        <f t="shared" si="178"/>
        <v>0</v>
      </c>
      <c r="Y485" s="194">
        <f t="shared" si="179"/>
        <v>0</v>
      </c>
      <c r="Z485" s="13">
        <f t="shared" si="180"/>
        <v>0</v>
      </c>
      <c r="AA485" s="13">
        <f t="shared" si="181"/>
        <v>23620.55</v>
      </c>
      <c r="AB485" s="13">
        <f t="shared" si="182"/>
        <v>0</v>
      </c>
      <c r="AC485" s="13">
        <f t="shared" si="183"/>
        <v>0</v>
      </c>
      <c r="AD485" s="13">
        <f t="shared" si="184"/>
        <v>0</v>
      </c>
      <c r="AE485" s="13">
        <f t="shared" si="185"/>
        <v>0</v>
      </c>
      <c r="AF485" s="13">
        <f t="shared" si="186"/>
        <v>0</v>
      </c>
      <c r="AG485" s="685">
        <f t="shared" si="187"/>
        <v>0</v>
      </c>
      <c r="AH485" s="688" t="b">
        <f t="shared" si="188"/>
        <v>1</v>
      </c>
    </row>
    <row r="486" spans="1:34" s="1" customFormat="1" ht="15" customHeight="1">
      <c r="A486" s="946">
        <v>20910004</v>
      </c>
      <c r="B486" s="946" t="s">
        <v>1422</v>
      </c>
      <c r="C486" s="946" t="s">
        <v>1528</v>
      </c>
      <c r="D486" s="946">
        <v>100000044</v>
      </c>
      <c r="E486" s="946" t="s">
        <v>1460</v>
      </c>
      <c r="F486" s="946" t="s">
        <v>11</v>
      </c>
      <c r="G486" s="947">
        <v>78229.600000000006</v>
      </c>
      <c r="H486" s="947">
        <v>78229.600000000006</v>
      </c>
      <c r="I486" s="949">
        <v>45985</v>
      </c>
      <c r="J486" s="949">
        <v>46076</v>
      </c>
      <c r="K486" s="949">
        <v>46076</v>
      </c>
      <c r="L486" s="29" t="e">
        <f>VLOOKUP(A486,'Account Mapping'!$A$2:$E$216,3,0)</f>
        <v>#N/A</v>
      </c>
      <c r="M486" s="25" t="e">
        <f>VLOOKUP(A486,'Account Mapping'!$A$2:$E$216,4,0)</f>
        <v>#N/A</v>
      </c>
      <c r="N486" s="26" t="e">
        <f>IF(OR(C486='Account Mapping'!$H$4,C486='Account Mapping'!$H$5,C486='Account Mapping'!$H$6),'Account Mapping'!$I$4,VLOOKUP(A486,'Account Mapping'!$A$2:$E$216,5,0))</f>
        <v>#N/A</v>
      </c>
      <c r="O486" s="27" t="e">
        <f>IF(OR(L486="Loan",L486="Deposit_Liability",L486="OFF_Unused Loan Commitment",L486="HQLA"),VLOOKUP(D486,'Customer Type'!$A$3:$C$38,3,0),"")</f>
        <v>#N/A</v>
      </c>
      <c r="P486" s="656" t="e">
        <f t="shared" si="176"/>
        <v>#N/A</v>
      </c>
      <c r="Q486" s="658">
        <f>IF(COUNTIF('Account Mapping'!$H$12:$H$45,A486)&gt;0,-H486,H486)</f>
        <v>78229.600000000006</v>
      </c>
      <c r="R486" s="249" t="e">
        <f>VLOOKUP(P486,Assumptions!$C$2:$D$64,2,0)</f>
        <v>#N/A</v>
      </c>
      <c r="S486" s="692">
        <f>IFERROR(VLOOKUP(A486,'Maturity Adjustment'!$A$3:$C$81,3,0),(IF(J486&lt;$N$4,"Tomorrow",J486)))</f>
        <v>46076</v>
      </c>
      <c r="T486" s="190">
        <f t="shared" si="189"/>
        <v>18</v>
      </c>
      <c r="U486" s="196" t="e">
        <f t="shared" si="177"/>
        <v>#N/A</v>
      </c>
      <c r="V486" s="11">
        <f>IFERROR(VLOOKUP(A486,'Maturity Adjustment'!$A$86:$C$91,3,0),S486)</f>
        <v>46076</v>
      </c>
      <c r="W486" s="12" t="e">
        <f>VLOOKUP(A486,'Account Mapping'!$A$2:$F$216,6,0)</f>
        <v>#N/A</v>
      </c>
      <c r="X486" s="194">
        <f t="shared" si="178"/>
        <v>0</v>
      </c>
      <c r="Y486" s="194">
        <f t="shared" si="179"/>
        <v>0</v>
      </c>
      <c r="Z486" s="13">
        <f t="shared" si="180"/>
        <v>78229.600000000006</v>
      </c>
      <c r="AA486" s="13">
        <f t="shared" si="181"/>
        <v>0</v>
      </c>
      <c r="AB486" s="13">
        <f t="shared" si="182"/>
        <v>0</v>
      </c>
      <c r="AC486" s="13">
        <f t="shared" si="183"/>
        <v>0</v>
      </c>
      <c r="AD486" s="13">
        <f t="shared" si="184"/>
        <v>0</v>
      </c>
      <c r="AE486" s="13">
        <f t="shared" si="185"/>
        <v>0</v>
      </c>
      <c r="AF486" s="13">
        <f t="shared" si="186"/>
        <v>0</v>
      </c>
      <c r="AG486" s="685">
        <f t="shared" si="187"/>
        <v>0</v>
      </c>
      <c r="AH486" s="688" t="b">
        <f t="shared" si="188"/>
        <v>1</v>
      </c>
    </row>
    <row r="487" spans="1:34" s="1" customFormat="1" ht="15" customHeight="1">
      <c r="A487" s="946">
        <v>20910004</v>
      </c>
      <c r="B487" s="946" t="s">
        <v>1422</v>
      </c>
      <c r="C487" s="946" t="s">
        <v>1529</v>
      </c>
      <c r="D487" s="946">
        <v>100000046</v>
      </c>
      <c r="E487" s="946" t="s">
        <v>1530</v>
      </c>
      <c r="F487" s="946" t="s">
        <v>11</v>
      </c>
      <c r="G487" s="947">
        <v>37695.39</v>
      </c>
      <c r="H487" s="947">
        <v>37695.39</v>
      </c>
      <c r="I487" s="949">
        <v>45988</v>
      </c>
      <c r="J487" s="949">
        <v>46079</v>
      </c>
      <c r="K487" s="949">
        <v>46079</v>
      </c>
      <c r="L487" s="29" t="e">
        <f>VLOOKUP(A487,'Account Mapping'!$A$2:$E$216,3,0)</f>
        <v>#N/A</v>
      </c>
      <c r="M487" s="25" t="e">
        <f>VLOOKUP(A487,'Account Mapping'!$A$2:$E$216,4,0)</f>
        <v>#N/A</v>
      </c>
      <c r="N487" s="26" t="e">
        <f>IF(OR(C487='Account Mapping'!$H$4,C487='Account Mapping'!$H$5,C487='Account Mapping'!$H$6),'Account Mapping'!$I$4,VLOOKUP(A487,'Account Mapping'!$A$2:$E$216,5,0))</f>
        <v>#N/A</v>
      </c>
      <c r="O487" s="27" t="e">
        <f>IF(OR(L487="Loan",L487="Deposit_Liability",L487="OFF_Unused Loan Commitment",L487="HQLA"),VLOOKUP(D487,'Customer Type'!$A$3:$C$38,3,0),"")</f>
        <v>#N/A</v>
      </c>
      <c r="P487" s="656" t="e">
        <f t="shared" si="176"/>
        <v>#N/A</v>
      </c>
      <c r="Q487" s="658">
        <f>IF(COUNTIF('Account Mapping'!$H$12:$H$45,A487)&gt;0,-H487,H487)</f>
        <v>37695.39</v>
      </c>
      <c r="R487" s="249" t="e">
        <f>VLOOKUP(P487,Assumptions!$C$2:$D$64,2,0)</f>
        <v>#N/A</v>
      </c>
      <c r="S487" s="692">
        <f>IFERROR(VLOOKUP(A487,'Maturity Adjustment'!$A$3:$C$81,3,0),(IF(J487&lt;$N$4,"Tomorrow",J487)))</f>
        <v>46079</v>
      </c>
      <c r="T487" s="190">
        <f t="shared" si="189"/>
        <v>21</v>
      </c>
      <c r="U487" s="196" t="e">
        <f t="shared" si="177"/>
        <v>#N/A</v>
      </c>
      <c r="V487" s="11">
        <f>IFERROR(VLOOKUP(A487,'Maturity Adjustment'!$A$86:$C$91,3,0),S487)</f>
        <v>46079</v>
      </c>
      <c r="W487" s="12" t="e">
        <f>VLOOKUP(A487,'Account Mapping'!$A$2:$F$216,6,0)</f>
        <v>#N/A</v>
      </c>
      <c r="X487" s="194">
        <f t="shared" si="178"/>
        <v>0</v>
      </c>
      <c r="Y487" s="194">
        <f t="shared" si="179"/>
        <v>0</v>
      </c>
      <c r="Z487" s="13">
        <f t="shared" si="180"/>
        <v>37695.39</v>
      </c>
      <c r="AA487" s="13">
        <f t="shared" si="181"/>
        <v>0</v>
      </c>
      <c r="AB487" s="13">
        <f t="shared" si="182"/>
        <v>0</v>
      </c>
      <c r="AC487" s="13">
        <f t="shared" si="183"/>
        <v>0</v>
      </c>
      <c r="AD487" s="13">
        <f t="shared" si="184"/>
        <v>0</v>
      </c>
      <c r="AE487" s="13">
        <f t="shared" si="185"/>
        <v>0</v>
      </c>
      <c r="AF487" s="13">
        <f t="shared" si="186"/>
        <v>0</v>
      </c>
      <c r="AG487" s="685">
        <f t="shared" si="187"/>
        <v>0</v>
      </c>
      <c r="AH487" s="688" t="b">
        <f t="shared" si="188"/>
        <v>1</v>
      </c>
    </row>
    <row r="488" spans="1:34" s="1" customFormat="1" ht="15" customHeight="1">
      <c r="A488" s="946">
        <v>20910004</v>
      </c>
      <c r="B488" s="946" t="s">
        <v>1422</v>
      </c>
      <c r="C488" s="946" t="s">
        <v>1553</v>
      </c>
      <c r="D488" s="946">
        <v>100000022</v>
      </c>
      <c r="E488" s="946" t="s">
        <v>1421</v>
      </c>
      <c r="F488" s="946" t="s">
        <v>11</v>
      </c>
      <c r="G488" s="947">
        <v>16396.900000000001</v>
      </c>
      <c r="H488" s="947">
        <v>16396.900000000001</v>
      </c>
      <c r="I488" s="949">
        <v>46028</v>
      </c>
      <c r="J488" s="949">
        <v>46119</v>
      </c>
      <c r="K488" s="949">
        <v>46119</v>
      </c>
      <c r="L488" s="29" t="e">
        <f>VLOOKUP(A488,'Account Mapping'!$A$2:$E$216,3,0)</f>
        <v>#N/A</v>
      </c>
      <c r="M488" s="25" t="e">
        <f>VLOOKUP(A488,'Account Mapping'!$A$2:$E$216,4,0)</f>
        <v>#N/A</v>
      </c>
      <c r="N488" s="26" t="e">
        <f>IF(OR(C488='Account Mapping'!$H$4,C488='Account Mapping'!$H$5,C488='Account Mapping'!$H$6),'Account Mapping'!$I$4,VLOOKUP(A488,'Account Mapping'!$A$2:$E$216,5,0))</f>
        <v>#N/A</v>
      </c>
      <c r="O488" s="27" t="e">
        <f>IF(OR(L488="Loan",L488="Deposit_Liability",L488="OFF_Unused Loan Commitment",L488="HQLA"),VLOOKUP(D488,'Customer Type'!$A$3:$C$38,3,0),"")</f>
        <v>#N/A</v>
      </c>
      <c r="P488" s="656" t="e">
        <f t="shared" si="176"/>
        <v>#N/A</v>
      </c>
      <c r="Q488" s="658">
        <f>IF(COUNTIF('Account Mapping'!$H$12:$H$45,A488)&gt;0,-H488,H488)</f>
        <v>16396.900000000001</v>
      </c>
      <c r="R488" s="249" t="e">
        <f>VLOOKUP(P488,Assumptions!$C$2:$D$64,2,0)</f>
        <v>#N/A</v>
      </c>
      <c r="S488" s="692">
        <f>IFERROR(VLOOKUP(A488,'Maturity Adjustment'!$A$3:$C$81,3,0),(IF(J488&lt;$N$4,"Tomorrow",J488)))</f>
        <v>46119</v>
      </c>
      <c r="T488" s="190">
        <f t="shared" si="189"/>
        <v>61</v>
      </c>
      <c r="U488" s="196" t="e">
        <f t="shared" si="177"/>
        <v>#N/A</v>
      </c>
      <c r="V488" s="11">
        <f>IFERROR(VLOOKUP(A488,'Maturity Adjustment'!$A$86:$C$91,3,0),S488)</f>
        <v>46119</v>
      </c>
      <c r="W488" s="12" t="e">
        <f>VLOOKUP(A488,'Account Mapping'!$A$2:$F$216,6,0)</f>
        <v>#N/A</v>
      </c>
      <c r="X488" s="194">
        <f t="shared" si="178"/>
        <v>0</v>
      </c>
      <c r="Y488" s="194">
        <f t="shared" si="179"/>
        <v>0</v>
      </c>
      <c r="Z488" s="13">
        <f t="shared" si="180"/>
        <v>0</v>
      </c>
      <c r="AA488" s="13">
        <f t="shared" si="181"/>
        <v>16396.900000000001</v>
      </c>
      <c r="AB488" s="13">
        <f t="shared" si="182"/>
        <v>0</v>
      </c>
      <c r="AC488" s="13">
        <f t="shared" si="183"/>
        <v>0</v>
      </c>
      <c r="AD488" s="13">
        <f t="shared" si="184"/>
        <v>0</v>
      </c>
      <c r="AE488" s="13">
        <f t="shared" si="185"/>
        <v>0</v>
      </c>
      <c r="AF488" s="13">
        <f t="shared" si="186"/>
        <v>0</v>
      </c>
      <c r="AG488" s="685">
        <f t="shared" si="187"/>
        <v>0</v>
      </c>
      <c r="AH488" s="688" t="b">
        <f t="shared" si="188"/>
        <v>1</v>
      </c>
    </row>
    <row r="489" spans="1:34" s="1" customFormat="1" ht="15" customHeight="1">
      <c r="A489" s="946">
        <v>20910006</v>
      </c>
      <c r="B489" s="946" t="s">
        <v>677</v>
      </c>
      <c r="C489" s="946" t="s">
        <v>1467</v>
      </c>
      <c r="D489" s="946">
        <v>100000018</v>
      </c>
      <c r="E489" s="946" t="s">
        <v>690</v>
      </c>
      <c r="F489" s="946" t="s">
        <v>26</v>
      </c>
      <c r="G489" s="947">
        <v>50461.03</v>
      </c>
      <c r="H489" s="947">
        <v>71840.87</v>
      </c>
      <c r="I489" s="949">
        <v>46014</v>
      </c>
      <c r="J489" s="949">
        <v>46105</v>
      </c>
      <c r="K489" s="949">
        <v>46105</v>
      </c>
      <c r="L489" s="29" t="e">
        <f>VLOOKUP(A489,'Account Mapping'!$A$2:$E$216,3,0)</f>
        <v>#N/A</v>
      </c>
      <c r="M489" s="25" t="e">
        <f>VLOOKUP(A489,'Account Mapping'!$A$2:$E$216,4,0)</f>
        <v>#N/A</v>
      </c>
      <c r="N489" s="26" t="e">
        <f>IF(OR(C489='Account Mapping'!$H$4,C489='Account Mapping'!$H$5,C489='Account Mapping'!$H$6),'Account Mapping'!$I$4,VLOOKUP(A489,'Account Mapping'!$A$2:$E$216,5,0))</f>
        <v>#N/A</v>
      </c>
      <c r="O489" s="27" t="e">
        <f>IF(OR(L489="Loan",L489="Deposit_Liability",L489="OFF_Unused Loan Commitment",L489="HQLA"),VLOOKUP(D489,'Customer Type'!$A$3:$C$38,3,0),"")</f>
        <v>#N/A</v>
      </c>
      <c r="P489" s="656" t="e">
        <f t="shared" si="176"/>
        <v>#N/A</v>
      </c>
      <c r="Q489" s="658">
        <f>IF(COUNTIF('Account Mapping'!$H$12:$H$45,A489)&gt;0,-H489,H489)</f>
        <v>71840.87</v>
      </c>
      <c r="R489" s="249" t="e">
        <f>VLOOKUP(P489,Assumptions!$C$2:$D$64,2,0)</f>
        <v>#N/A</v>
      </c>
      <c r="S489" s="692">
        <f>IFERROR(VLOOKUP(A489,'Maturity Adjustment'!$A$3:$C$81,3,0),(IF(J489&lt;$N$4,"Tomorrow",J489)))</f>
        <v>46105</v>
      </c>
      <c r="T489" s="190">
        <f t="shared" si="189"/>
        <v>47</v>
      </c>
      <c r="U489" s="196" t="e">
        <f t="shared" si="177"/>
        <v>#N/A</v>
      </c>
      <c r="V489" s="11">
        <f>IFERROR(VLOOKUP(A489,'Maturity Adjustment'!$A$86:$C$91,3,0),S489)</f>
        <v>46105</v>
      </c>
      <c r="W489" s="12" t="e">
        <f>VLOOKUP(A489,'Account Mapping'!$A$2:$F$216,6,0)</f>
        <v>#N/A</v>
      </c>
      <c r="X489" s="194">
        <f t="shared" si="178"/>
        <v>0</v>
      </c>
      <c r="Y489" s="194">
        <f t="shared" si="179"/>
        <v>0</v>
      </c>
      <c r="Z489" s="13">
        <f t="shared" si="180"/>
        <v>0</v>
      </c>
      <c r="AA489" s="13">
        <f t="shared" si="181"/>
        <v>71840.87</v>
      </c>
      <c r="AB489" s="13">
        <f t="shared" si="182"/>
        <v>0</v>
      </c>
      <c r="AC489" s="13">
        <f t="shared" si="183"/>
        <v>0</v>
      </c>
      <c r="AD489" s="13">
        <f t="shared" si="184"/>
        <v>0</v>
      </c>
      <c r="AE489" s="13">
        <f t="shared" si="185"/>
        <v>0</v>
      </c>
      <c r="AF489" s="13">
        <f t="shared" si="186"/>
        <v>0</v>
      </c>
      <c r="AG489" s="685">
        <f t="shared" si="187"/>
        <v>0</v>
      </c>
      <c r="AH489" s="688" t="b">
        <f t="shared" si="188"/>
        <v>1</v>
      </c>
    </row>
    <row r="490" spans="1:34" s="1" customFormat="1" ht="15" customHeight="1">
      <c r="A490" s="946">
        <v>20910006</v>
      </c>
      <c r="B490" s="946" t="s">
        <v>677</v>
      </c>
      <c r="C490" s="946" t="s">
        <v>1563</v>
      </c>
      <c r="D490" s="946">
        <v>100000018</v>
      </c>
      <c r="E490" s="946" t="s">
        <v>690</v>
      </c>
      <c r="F490" s="946" t="s">
        <v>26</v>
      </c>
      <c r="G490" s="947">
        <v>11136.67</v>
      </c>
      <c r="H490" s="947">
        <v>15855.17</v>
      </c>
      <c r="I490" s="949">
        <v>46044</v>
      </c>
      <c r="J490" s="949">
        <v>46135</v>
      </c>
      <c r="K490" s="949">
        <v>46135</v>
      </c>
      <c r="L490" s="29" t="e">
        <f>VLOOKUP(A490,'Account Mapping'!$A$2:$E$216,3,0)</f>
        <v>#N/A</v>
      </c>
      <c r="M490" s="25" t="e">
        <f>VLOOKUP(A490,'Account Mapping'!$A$2:$E$216,4,0)</f>
        <v>#N/A</v>
      </c>
      <c r="N490" s="26" t="e">
        <f>IF(OR(C490='Account Mapping'!$H$4,C490='Account Mapping'!$H$5,C490='Account Mapping'!$H$6),'Account Mapping'!$I$4,VLOOKUP(A490,'Account Mapping'!$A$2:$E$216,5,0))</f>
        <v>#N/A</v>
      </c>
      <c r="O490" s="27" t="e">
        <f>IF(OR(L490="Loan",L490="Deposit_Liability",L490="OFF_Unused Loan Commitment",L490="HQLA"),VLOOKUP(D490,'Customer Type'!$A$3:$C$38,3,0),"")</f>
        <v>#N/A</v>
      </c>
      <c r="P490" s="656" t="e">
        <f t="shared" si="176"/>
        <v>#N/A</v>
      </c>
      <c r="Q490" s="658">
        <f>IF(COUNTIF('Account Mapping'!$H$12:$H$45,A490)&gt;0,-H490,H490)</f>
        <v>15855.17</v>
      </c>
      <c r="R490" s="249" t="e">
        <f>VLOOKUP(P490,Assumptions!$C$2:$D$64,2,0)</f>
        <v>#N/A</v>
      </c>
      <c r="S490" s="692">
        <f>IFERROR(VLOOKUP(A490,'Maturity Adjustment'!$A$3:$C$81,3,0),(IF(J490&lt;$N$4,"Tomorrow",J490)))</f>
        <v>46135</v>
      </c>
      <c r="T490" s="190">
        <f t="shared" si="189"/>
        <v>77</v>
      </c>
      <c r="U490" s="196" t="e">
        <f t="shared" si="177"/>
        <v>#N/A</v>
      </c>
      <c r="V490" s="11">
        <f>IFERROR(VLOOKUP(A490,'Maturity Adjustment'!$A$86:$C$91,3,0),S490)</f>
        <v>46135</v>
      </c>
      <c r="W490" s="12" t="e">
        <f>VLOOKUP(A490,'Account Mapping'!$A$2:$F$216,6,0)</f>
        <v>#N/A</v>
      </c>
      <c r="X490" s="194">
        <f t="shared" si="178"/>
        <v>0</v>
      </c>
      <c r="Y490" s="194">
        <f t="shared" si="179"/>
        <v>0</v>
      </c>
      <c r="Z490" s="13">
        <f t="shared" si="180"/>
        <v>0</v>
      </c>
      <c r="AA490" s="13">
        <f t="shared" si="181"/>
        <v>15855.17</v>
      </c>
      <c r="AB490" s="13">
        <f t="shared" si="182"/>
        <v>0</v>
      </c>
      <c r="AC490" s="13">
        <f t="shared" si="183"/>
        <v>0</v>
      </c>
      <c r="AD490" s="13">
        <f t="shared" si="184"/>
        <v>0</v>
      </c>
      <c r="AE490" s="13">
        <f t="shared" si="185"/>
        <v>0</v>
      </c>
      <c r="AF490" s="13">
        <f t="shared" si="186"/>
        <v>0</v>
      </c>
      <c r="AG490" s="685">
        <f t="shared" si="187"/>
        <v>0</v>
      </c>
      <c r="AH490" s="688" t="b">
        <f t="shared" si="188"/>
        <v>1</v>
      </c>
    </row>
    <row r="491" spans="1:34" s="1" customFormat="1" ht="15" customHeight="1">
      <c r="A491" s="946">
        <v>20910008</v>
      </c>
      <c r="B491" s="946" t="s">
        <v>877</v>
      </c>
      <c r="C491" s="946" t="s">
        <v>1400</v>
      </c>
      <c r="D491" s="946">
        <v>100000002</v>
      </c>
      <c r="E491" s="946" t="s">
        <v>40</v>
      </c>
      <c r="F491" s="946" t="s">
        <v>26</v>
      </c>
      <c r="G491" s="947">
        <v>518604.17</v>
      </c>
      <c r="H491" s="947">
        <v>738331.68</v>
      </c>
      <c r="I491" s="949">
        <v>45693</v>
      </c>
      <c r="J491" s="949">
        <v>46058</v>
      </c>
      <c r="K491" s="949">
        <v>46058</v>
      </c>
      <c r="L491" s="29" t="e">
        <f>VLOOKUP(A491,'Account Mapping'!$A$2:$E$216,3,0)</f>
        <v>#N/A</v>
      </c>
      <c r="M491" s="25" t="e">
        <f>VLOOKUP(A491,'Account Mapping'!$A$2:$E$216,4,0)</f>
        <v>#N/A</v>
      </c>
      <c r="N491" s="26" t="e">
        <f>IF(OR(C491='Account Mapping'!$H$4,C491='Account Mapping'!$H$5,C491='Account Mapping'!$H$6),'Account Mapping'!$I$4,VLOOKUP(A491,'Account Mapping'!$A$2:$E$216,5,0))</f>
        <v>#N/A</v>
      </c>
      <c r="O491" s="27" t="e">
        <f>IF(OR(L491="Loan",L491="Deposit_Liability",L491="OFF_Unused Loan Commitment",L491="HQLA"),VLOOKUP(D491,'Customer Type'!$A$3:$C$38,3,0),"")</f>
        <v>#N/A</v>
      </c>
      <c r="P491" s="656" t="e">
        <f t="shared" si="176"/>
        <v>#N/A</v>
      </c>
      <c r="Q491" s="658">
        <f>IF(COUNTIF('Account Mapping'!$H$12:$H$45,A491)&gt;0,-H491,H491)</f>
        <v>738331.68</v>
      </c>
      <c r="R491" s="249" t="e">
        <f>VLOOKUP(P491,Assumptions!$C$2:$D$64,2,0)</f>
        <v>#N/A</v>
      </c>
      <c r="S491" s="692">
        <f>IFERROR(VLOOKUP(A491,'Maturity Adjustment'!$A$3:$C$81,3,0),(IF(J491&lt;$N$4,"Tomorrow",J491)))</f>
        <v>46058</v>
      </c>
      <c r="T491" s="190">
        <f t="shared" si="189"/>
        <v>0</v>
      </c>
      <c r="U491" s="196" t="e">
        <f t="shared" si="177"/>
        <v>#N/A</v>
      </c>
      <c r="V491" s="11">
        <f>IFERROR(VLOOKUP(A491,'Maturity Adjustment'!$A$86:$C$91,3,0),S491)</f>
        <v>46058</v>
      </c>
      <c r="W491" s="12" t="e">
        <f>VLOOKUP(A491,'Account Mapping'!$A$2:$F$216,6,0)</f>
        <v>#N/A</v>
      </c>
      <c r="X491" s="194">
        <f t="shared" si="178"/>
        <v>738331.68</v>
      </c>
      <c r="Y491" s="194">
        <f t="shared" si="179"/>
        <v>0</v>
      </c>
      <c r="Z491" s="13">
        <f t="shared" si="180"/>
        <v>0</v>
      </c>
      <c r="AA491" s="13">
        <f t="shared" si="181"/>
        <v>0</v>
      </c>
      <c r="AB491" s="13">
        <f t="shared" si="182"/>
        <v>0</v>
      </c>
      <c r="AC491" s="13">
        <f t="shared" si="183"/>
        <v>0</v>
      </c>
      <c r="AD491" s="13">
        <f t="shared" si="184"/>
        <v>0</v>
      </c>
      <c r="AE491" s="13">
        <f t="shared" si="185"/>
        <v>0</v>
      </c>
      <c r="AF491" s="13">
        <f t="shared" si="186"/>
        <v>0</v>
      </c>
      <c r="AG491" s="685">
        <f t="shared" si="187"/>
        <v>0</v>
      </c>
      <c r="AH491" s="688" t="b">
        <f t="shared" si="188"/>
        <v>1</v>
      </c>
    </row>
    <row r="492" spans="1:34" s="1" customFormat="1" ht="15" customHeight="1">
      <c r="A492" s="946">
        <v>20910008</v>
      </c>
      <c r="B492" s="946" t="s">
        <v>877</v>
      </c>
      <c r="C492" s="946" t="s">
        <v>1448</v>
      </c>
      <c r="D492" s="946">
        <v>100000002</v>
      </c>
      <c r="E492" s="946" t="s">
        <v>40</v>
      </c>
      <c r="F492" s="946" t="s">
        <v>26</v>
      </c>
      <c r="G492" s="947">
        <v>234041.67</v>
      </c>
      <c r="H492" s="947">
        <v>333202.83</v>
      </c>
      <c r="I492" s="949">
        <v>45853</v>
      </c>
      <c r="J492" s="949">
        <v>46064</v>
      </c>
      <c r="K492" s="949">
        <v>46064</v>
      </c>
      <c r="L492" s="29" t="e">
        <f>VLOOKUP(A492,'Account Mapping'!$A$2:$E$216,3,0)</f>
        <v>#N/A</v>
      </c>
      <c r="M492" s="25" t="e">
        <f>VLOOKUP(A492,'Account Mapping'!$A$2:$E$216,4,0)</f>
        <v>#N/A</v>
      </c>
      <c r="N492" s="26" t="e">
        <f>IF(OR(C492='Account Mapping'!$H$4,C492='Account Mapping'!$H$5,C492='Account Mapping'!$H$6),'Account Mapping'!$I$4,VLOOKUP(A492,'Account Mapping'!$A$2:$E$216,5,0))</f>
        <v>#N/A</v>
      </c>
      <c r="O492" s="27" t="e">
        <f>IF(OR(L492="Loan",L492="Deposit_Liability",L492="OFF_Unused Loan Commitment",L492="HQLA"),VLOOKUP(D492,'Customer Type'!$A$3:$C$38,3,0),"")</f>
        <v>#N/A</v>
      </c>
      <c r="P492" s="656" t="e">
        <f t="shared" si="176"/>
        <v>#N/A</v>
      </c>
      <c r="Q492" s="658">
        <f>IF(COUNTIF('Account Mapping'!$H$12:$H$45,A492)&gt;0,-H492,H492)</f>
        <v>333202.83</v>
      </c>
      <c r="R492" s="249" t="e">
        <f>VLOOKUP(P492,Assumptions!$C$2:$D$64,2,0)</f>
        <v>#N/A</v>
      </c>
      <c r="S492" s="692">
        <f>IFERROR(VLOOKUP(A492,'Maturity Adjustment'!$A$3:$C$81,3,0),(IF(J492&lt;$N$4,"Tomorrow",J492)))</f>
        <v>46064</v>
      </c>
      <c r="T492" s="190">
        <f t="shared" si="189"/>
        <v>6</v>
      </c>
      <c r="U492" s="196" t="e">
        <f t="shared" si="177"/>
        <v>#N/A</v>
      </c>
      <c r="V492" s="11">
        <f>IFERROR(VLOOKUP(A492,'Maturity Adjustment'!$A$86:$C$91,3,0),S492)</f>
        <v>46064</v>
      </c>
      <c r="W492" s="12" t="e">
        <f>VLOOKUP(A492,'Account Mapping'!$A$2:$F$216,6,0)</f>
        <v>#N/A</v>
      </c>
      <c r="X492" s="194">
        <f t="shared" si="178"/>
        <v>0</v>
      </c>
      <c r="Y492" s="194">
        <f t="shared" si="179"/>
        <v>333202.83</v>
      </c>
      <c r="Z492" s="13">
        <f t="shared" si="180"/>
        <v>0</v>
      </c>
      <c r="AA492" s="13">
        <f t="shared" si="181"/>
        <v>0</v>
      </c>
      <c r="AB492" s="13">
        <f t="shared" si="182"/>
        <v>0</v>
      </c>
      <c r="AC492" s="13">
        <f t="shared" si="183"/>
        <v>0</v>
      </c>
      <c r="AD492" s="13">
        <f t="shared" si="184"/>
        <v>0</v>
      </c>
      <c r="AE492" s="13">
        <f t="shared" si="185"/>
        <v>0</v>
      </c>
      <c r="AF492" s="13">
        <f t="shared" si="186"/>
        <v>0</v>
      </c>
      <c r="AG492" s="685">
        <f t="shared" si="187"/>
        <v>0</v>
      </c>
      <c r="AH492" s="688" t="b">
        <f t="shared" si="188"/>
        <v>1</v>
      </c>
    </row>
    <row r="493" spans="1:34" s="1" customFormat="1" ht="15" customHeight="1">
      <c r="A493" s="946">
        <v>20910008</v>
      </c>
      <c r="B493" s="946" t="s">
        <v>877</v>
      </c>
      <c r="C493" s="946" t="s">
        <v>1455</v>
      </c>
      <c r="D493" s="946">
        <v>100000002</v>
      </c>
      <c r="E493" s="946" t="s">
        <v>40</v>
      </c>
      <c r="F493" s="946" t="s">
        <v>26</v>
      </c>
      <c r="G493" s="947">
        <v>112700</v>
      </c>
      <c r="H493" s="947">
        <v>160449.89000000001</v>
      </c>
      <c r="I493" s="949">
        <v>45862</v>
      </c>
      <c r="J493" s="949">
        <v>46072</v>
      </c>
      <c r="K493" s="949">
        <v>46072</v>
      </c>
      <c r="L493" s="29" t="e">
        <f>VLOOKUP(A493,'Account Mapping'!$A$2:$E$216,3,0)</f>
        <v>#N/A</v>
      </c>
      <c r="M493" s="25" t="e">
        <f>VLOOKUP(A493,'Account Mapping'!$A$2:$E$216,4,0)</f>
        <v>#N/A</v>
      </c>
      <c r="N493" s="26" t="e">
        <f>IF(OR(C493='Account Mapping'!$H$4,C493='Account Mapping'!$H$5,C493='Account Mapping'!$H$6),'Account Mapping'!$I$4,VLOOKUP(A493,'Account Mapping'!$A$2:$E$216,5,0))</f>
        <v>#N/A</v>
      </c>
      <c r="O493" s="27" t="e">
        <f>IF(OR(L493="Loan",L493="Deposit_Liability",L493="OFF_Unused Loan Commitment",L493="HQLA"),VLOOKUP(D493,'Customer Type'!$A$3:$C$38,3,0),"")</f>
        <v>#N/A</v>
      </c>
      <c r="P493" s="656" t="e">
        <f t="shared" si="176"/>
        <v>#N/A</v>
      </c>
      <c r="Q493" s="658">
        <f>IF(COUNTIF('Account Mapping'!$H$12:$H$45,A493)&gt;0,-H493,H493)</f>
        <v>160449.89000000001</v>
      </c>
      <c r="R493" s="249" t="e">
        <f>VLOOKUP(P493,Assumptions!$C$2:$D$64,2,0)</f>
        <v>#N/A</v>
      </c>
      <c r="S493" s="692">
        <f>IFERROR(VLOOKUP(A493,'Maturity Adjustment'!$A$3:$C$81,3,0),(IF(J493&lt;$N$4,"Tomorrow",J493)))</f>
        <v>46072</v>
      </c>
      <c r="T493" s="190">
        <f t="shared" si="189"/>
        <v>14</v>
      </c>
      <c r="U493" s="196" t="e">
        <f t="shared" si="177"/>
        <v>#N/A</v>
      </c>
      <c r="V493" s="11">
        <f>IFERROR(VLOOKUP(A493,'Maturity Adjustment'!$A$86:$C$91,3,0),S493)</f>
        <v>46072</v>
      </c>
      <c r="W493" s="12" t="e">
        <f>VLOOKUP(A493,'Account Mapping'!$A$2:$F$216,6,0)</f>
        <v>#N/A</v>
      </c>
      <c r="X493" s="194">
        <f t="shared" si="178"/>
        <v>0</v>
      </c>
      <c r="Y493" s="194">
        <f t="shared" si="179"/>
        <v>0</v>
      </c>
      <c r="Z493" s="13">
        <f t="shared" si="180"/>
        <v>160449.89000000001</v>
      </c>
      <c r="AA493" s="13">
        <f t="shared" si="181"/>
        <v>0</v>
      </c>
      <c r="AB493" s="13">
        <f t="shared" si="182"/>
        <v>0</v>
      </c>
      <c r="AC493" s="13">
        <f t="shared" si="183"/>
        <v>0</v>
      </c>
      <c r="AD493" s="13">
        <f t="shared" si="184"/>
        <v>0</v>
      </c>
      <c r="AE493" s="13">
        <f t="shared" si="185"/>
        <v>0</v>
      </c>
      <c r="AF493" s="13">
        <f t="shared" si="186"/>
        <v>0</v>
      </c>
      <c r="AG493" s="685">
        <f t="shared" si="187"/>
        <v>0</v>
      </c>
      <c r="AH493" s="688" t="b">
        <f t="shared" si="188"/>
        <v>1</v>
      </c>
    </row>
    <row r="494" spans="1:34" s="1" customFormat="1" ht="15" customHeight="1">
      <c r="A494" s="946">
        <v>20910008</v>
      </c>
      <c r="B494" s="946" t="s">
        <v>877</v>
      </c>
      <c r="C494" s="946" t="s">
        <v>1468</v>
      </c>
      <c r="D494" s="946">
        <v>100000002</v>
      </c>
      <c r="E494" s="946" t="s">
        <v>40</v>
      </c>
      <c r="F494" s="946" t="s">
        <v>26</v>
      </c>
      <c r="G494" s="947">
        <v>155588.89000000001</v>
      </c>
      <c r="H494" s="947">
        <v>221510.38</v>
      </c>
      <c r="I494" s="949">
        <v>45924</v>
      </c>
      <c r="J494" s="949">
        <v>46106</v>
      </c>
      <c r="K494" s="949">
        <v>46106</v>
      </c>
      <c r="L494" s="29" t="e">
        <f>VLOOKUP(A494,'Account Mapping'!$A$2:$E$216,3,0)</f>
        <v>#N/A</v>
      </c>
      <c r="M494" s="25" t="e">
        <f>VLOOKUP(A494,'Account Mapping'!$A$2:$E$216,4,0)</f>
        <v>#N/A</v>
      </c>
      <c r="N494" s="26" t="e">
        <f>IF(OR(C494='Account Mapping'!$H$4,C494='Account Mapping'!$H$5,C494='Account Mapping'!$H$6),'Account Mapping'!$I$4,VLOOKUP(A494,'Account Mapping'!$A$2:$E$216,5,0))</f>
        <v>#N/A</v>
      </c>
      <c r="O494" s="27" t="e">
        <f>IF(OR(L494="Loan",L494="Deposit_Liability",L494="OFF_Unused Loan Commitment",L494="HQLA"),VLOOKUP(D494,'Customer Type'!$A$3:$C$38,3,0),"")</f>
        <v>#N/A</v>
      </c>
      <c r="P494" s="656" t="e">
        <f t="shared" si="176"/>
        <v>#N/A</v>
      </c>
      <c r="Q494" s="658">
        <f>IF(COUNTIF('Account Mapping'!$H$12:$H$45,A494)&gt;0,-H494,H494)</f>
        <v>221510.38</v>
      </c>
      <c r="R494" s="249" t="e">
        <f>VLOOKUP(P494,Assumptions!$C$2:$D$64,2,0)</f>
        <v>#N/A</v>
      </c>
      <c r="S494" s="692">
        <f>IFERROR(VLOOKUP(A494,'Maturity Adjustment'!$A$3:$C$81,3,0),(IF(J494&lt;$N$4,"Tomorrow",J494)))</f>
        <v>46106</v>
      </c>
      <c r="T494" s="190">
        <f t="shared" si="189"/>
        <v>48</v>
      </c>
      <c r="U494" s="196" t="e">
        <f t="shared" si="177"/>
        <v>#N/A</v>
      </c>
      <c r="V494" s="11">
        <f>IFERROR(VLOOKUP(A494,'Maturity Adjustment'!$A$86:$C$91,3,0),S494)</f>
        <v>46106</v>
      </c>
      <c r="W494" s="12" t="e">
        <f>VLOOKUP(A494,'Account Mapping'!$A$2:$F$216,6,0)</f>
        <v>#N/A</v>
      </c>
      <c r="X494" s="194">
        <f t="shared" si="178"/>
        <v>0</v>
      </c>
      <c r="Y494" s="194">
        <f t="shared" si="179"/>
        <v>0</v>
      </c>
      <c r="Z494" s="13">
        <f t="shared" si="180"/>
        <v>0</v>
      </c>
      <c r="AA494" s="13">
        <f t="shared" si="181"/>
        <v>221510.38</v>
      </c>
      <c r="AB494" s="13">
        <f t="shared" si="182"/>
        <v>0</v>
      </c>
      <c r="AC494" s="13">
        <f t="shared" si="183"/>
        <v>0</v>
      </c>
      <c r="AD494" s="13">
        <f t="shared" si="184"/>
        <v>0</v>
      </c>
      <c r="AE494" s="13">
        <f t="shared" si="185"/>
        <v>0</v>
      </c>
      <c r="AF494" s="13">
        <f t="shared" si="186"/>
        <v>0</v>
      </c>
      <c r="AG494" s="685">
        <f t="shared" si="187"/>
        <v>0</v>
      </c>
      <c r="AH494" s="688" t="b">
        <f t="shared" si="188"/>
        <v>1</v>
      </c>
    </row>
    <row r="495" spans="1:34" s="1" customFormat="1" ht="15" customHeight="1">
      <c r="A495" s="946">
        <v>20910008</v>
      </c>
      <c r="B495" s="946" t="s">
        <v>877</v>
      </c>
      <c r="C495" s="946" t="s">
        <v>1471</v>
      </c>
      <c r="D495" s="946">
        <v>100000002</v>
      </c>
      <c r="E495" s="946" t="s">
        <v>40</v>
      </c>
      <c r="F495" s="946" t="s">
        <v>26</v>
      </c>
      <c r="G495" s="947">
        <v>191207.5</v>
      </c>
      <c r="H495" s="947">
        <v>272220.24</v>
      </c>
      <c r="I495" s="949">
        <v>45959</v>
      </c>
      <c r="J495" s="949">
        <v>46106</v>
      </c>
      <c r="K495" s="949">
        <v>46106</v>
      </c>
      <c r="L495" s="29" t="e">
        <f>VLOOKUP(A495,'Account Mapping'!$A$2:$E$216,3,0)</f>
        <v>#N/A</v>
      </c>
      <c r="M495" s="25" t="e">
        <f>VLOOKUP(A495,'Account Mapping'!$A$2:$E$216,4,0)</f>
        <v>#N/A</v>
      </c>
      <c r="N495" s="26" t="e">
        <f>IF(OR(C495='Account Mapping'!$H$4,C495='Account Mapping'!$H$5,C495='Account Mapping'!$H$6),'Account Mapping'!$I$4,VLOOKUP(A495,'Account Mapping'!$A$2:$E$216,5,0))</f>
        <v>#N/A</v>
      </c>
      <c r="O495" s="27" t="e">
        <f>IF(OR(L495="Loan",L495="Deposit_Liability",L495="OFF_Unused Loan Commitment",L495="HQLA"),VLOOKUP(D495,'Customer Type'!$A$3:$C$38,3,0),"")</f>
        <v>#N/A</v>
      </c>
      <c r="P495" s="656" t="e">
        <f t="shared" si="176"/>
        <v>#N/A</v>
      </c>
      <c r="Q495" s="658">
        <f>IF(COUNTIF('Account Mapping'!$H$12:$H$45,A495)&gt;0,-H495,H495)</f>
        <v>272220.24</v>
      </c>
      <c r="R495" s="249" t="e">
        <f>VLOOKUP(P495,Assumptions!$C$2:$D$64,2,0)</f>
        <v>#N/A</v>
      </c>
      <c r="S495" s="692">
        <f>IFERROR(VLOOKUP(A495,'Maturity Adjustment'!$A$3:$C$81,3,0),(IF(J495&lt;$N$4,"Tomorrow",J495)))</f>
        <v>46106</v>
      </c>
      <c r="T495" s="190">
        <f t="shared" si="189"/>
        <v>48</v>
      </c>
      <c r="U495" s="196" t="e">
        <f t="shared" si="177"/>
        <v>#N/A</v>
      </c>
      <c r="V495" s="11">
        <f>IFERROR(VLOOKUP(A495,'Maturity Adjustment'!$A$86:$C$91,3,0),S495)</f>
        <v>46106</v>
      </c>
      <c r="W495" s="12" t="e">
        <f>VLOOKUP(A495,'Account Mapping'!$A$2:$F$216,6,0)</f>
        <v>#N/A</v>
      </c>
      <c r="X495" s="194">
        <f t="shared" si="178"/>
        <v>0</v>
      </c>
      <c r="Y495" s="194">
        <f t="shared" si="179"/>
        <v>0</v>
      </c>
      <c r="Z495" s="13">
        <f t="shared" si="180"/>
        <v>0</v>
      </c>
      <c r="AA495" s="13">
        <f t="shared" si="181"/>
        <v>272220.24</v>
      </c>
      <c r="AB495" s="13">
        <f t="shared" si="182"/>
        <v>0</v>
      </c>
      <c r="AC495" s="13">
        <f t="shared" si="183"/>
        <v>0</v>
      </c>
      <c r="AD495" s="13">
        <f t="shared" si="184"/>
        <v>0</v>
      </c>
      <c r="AE495" s="13">
        <f t="shared" si="185"/>
        <v>0</v>
      </c>
      <c r="AF495" s="13">
        <f t="shared" si="186"/>
        <v>0</v>
      </c>
      <c r="AG495" s="685">
        <f t="shared" si="187"/>
        <v>0</v>
      </c>
      <c r="AH495" s="688" t="b">
        <f t="shared" si="188"/>
        <v>1</v>
      </c>
    </row>
    <row r="496" spans="1:34" s="1" customFormat="1" ht="15" customHeight="1">
      <c r="A496" s="946">
        <v>20910008</v>
      </c>
      <c r="B496" s="946" t="s">
        <v>877</v>
      </c>
      <c r="C496" s="946" t="s">
        <v>1525</v>
      </c>
      <c r="D496" s="946">
        <v>100000002</v>
      </c>
      <c r="E496" s="946" t="s">
        <v>40</v>
      </c>
      <c r="F496" s="946" t="s">
        <v>26</v>
      </c>
      <c r="G496" s="947">
        <v>94500</v>
      </c>
      <c r="H496" s="947">
        <v>134538.72</v>
      </c>
      <c r="I496" s="949">
        <v>45974</v>
      </c>
      <c r="J496" s="949">
        <v>46155</v>
      </c>
      <c r="K496" s="949">
        <v>46155</v>
      </c>
      <c r="L496" s="29" t="e">
        <f>VLOOKUP(A496,'Account Mapping'!$A$2:$E$216,3,0)</f>
        <v>#N/A</v>
      </c>
      <c r="M496" s="25" t="e">
        <f>VLOOKUP(A496,'Account Mapping'!$A$2:$E$216,4,0)</f>
        <v>#N/A</v>
      </c>
      <c r="N496" s="26" t="e">
        <f>IF(OR(C496='Account Mapping'!$H$4,C496='Account Mapping'!$H$5,C496='Account Mapping'!$H$6),'Account Mapping'!$I$4,VLOOKUP(A496,'Account Mapping'!$A$2:$E$216,5,0))</f>
        <v>#N/A</v>
      </c>
      <c r="O496" s="27" t="e">
        <f>IF(OR(L496="Loan",L496="Deposit_Liability",L496="OFF_Unused Loan Commitment",L496="HQLA"),VLOOKUP(D496,'Customer Type'!$A$3:$C$38,3,0),"")</f>
        <v>#N/A</v>
      </c>
      <c r="P496" s="656" t="e">
        <f t="shared" si="176"/>
        <v>#N/A</v>
      </c>
      <c r="Q496" s="658">
        <f>IF(COUNTIF('Account Mapping'!$H$12:$H$45,A496)&gt;0,-H496,H496)</f>
        <v>134538.72</v>
      </c>
      <c r="R496" s="249" t="e">
        <f>VLOOKUP(P496,Assumptions!$C$2:$D$64,2,0)</f>
        <v>#N/A</v>
      </c>
      <c r="S496" s="692">
        <f>IFERROR(VLOOKUP(A496,'Maturity Adjustment'!$A$3:$C$81,3,0),(IF(J496&lt;$N$4,"Tomorrow",J496)))</f>
        <v>46155</v>
      </c>
      <c r="T496" s="190">
        <f t="shared" si="189"/>
        <v>97</v>
      </c>
      <c r="U496" s="196" t="e">
        <f t="shared" si="177"/>
        <v>#N/A</v>
      </c>
      <c r="V496" s="11">
        <f>IFERROR(VLOOKUP(A496,'Maturity Adjustment'!$A$86:$C$91,3,0),S496)</f>
        <v>46155</v>
      </c>
      <c r="W496" s="12" t="e">
        <f>VLOOKUP(A496,'Account Mapping'!$A$2:$F$216,6,0)</f>
        <v>#N/A</v>
      </c>
      <c r="X496" s="194">
        <f t="shared" si="178"/>
        <v>0</v>
      </c>
      <c r="Y496" s="194">
        <f t="shared" si="179"/>
        <v>0</v>
      </c>
      <c r="Z496" s="13">
        <f t="shared" si="180"/>
        <v>0</v>
      </c>
      <c r="AA496" s="13">
        <f t="shared" si="181"/>
        <v>0</v>
      </c>
      <c r="AB496" s="13">
        <f t="shared" si="182"/>
        <v>134538.72</v>
      </c>
      <c r="AC496" s="13">
        <f t="shared" si="183"/>
        <v>0</v>
      </c>
      <c r="AD496" s="13">
        <f t="shared" si="184"/>
        <v>0</v>
      </c>
      <c r="AE496" s="13">
        <f t="shared" si="185"/>
        <v>0</v>
      </c>
      <c r="AF496" s="13">
        <f t="shared" si="186"/>
        <v>0</v>
      </c>
      <c r="AG496" s="685">
        <f t="shared" si="187"/>
        <v>0</v>
      </c>
      <c r="AH496" s="688" t="b">
        <f t="shared" si="188"/>
        <v>1</v>
      </c>
    </row>
    <row r="497" spans="1:34" s="1" customFormat="1" ht="15" customHeight="1">
      <c r="A497" s="946">
        <v>20910008</v>
      </c>
      <c r="B497" s="946" t="s">
        <v>877</v>
      </c>
      <c r="C497" s="946" t="s">
        <v>1535</v>
      </c>
      <c r="D497" s="946">
        <v>100000002</v>
      </c>
      <c r="E497" s="946" t="s">
        <v>40</v>
      </c>
      <c r="F497" s="946" t="s">
        <v>26</v>
      </c>
      <c r="G497" s="947">
        <v>34029.72</v>
      </c>
      <c r="H497" s="947">
        <v>48447.78</v>
      </c>
      <c r="I497" s="949">
        <v>46015</v>
      </c>
      <c r="J497" s="949">
        <v>46141</v>
      </c>
      <c r="K497" s="949">
        <v>46141</v>
      </c>
      <c r="L497" s="29" t="e">
        <f>VLOOKUP(A497,'Account Mapping'!$A$2:$E$216,3,0)</f>
        <v>#N/A</v>
      </c>
      <c r="M497" s="25" t="e">
        <f>VLOOKUP(A497,'Account Mapping'!$A$2:$E$216,4,0)</f>
        <v>#N/A</v>
      </c>
      <c r="N497" s="26" t="e">
        <f>IF(OR(C497='Account Mapping'!$H$4,C497='Account Mapping'!$H$5,C497='Account Mapping'!$H$6),'Account Mapping'!$I$4,VLOOKUP(A497,'Account Mapping'!$A$2:$E$216,5,0))</f>
        <v>#N/A</v>
      </c>
      <c r="O497" s="27" t="e">
        <f>IF(OR(L497="Loan",L497="Deposit_Liability",L497="OFF_Unused Loan Commitment",L497="HQLA"),VLOOKUP(D497,'Customer Type'!$A$3:$C$38,3,0),"")</f>
        <v>#N/A</v>
      </c>
      <c r="P497" s="656" t="e">
        <f t="shared" si="176"/>
        <v>#N/A</v>
      </c>
      <c r="Q497" s="658">
        <f>IF(COUNTIF('Account Mapping'!$H$12:$H$45,A497)&gt;0,-H497,H497)</f>
        <v>48447.78</v>
      </c>
      <c r="R497" s="249" t="e">
        <f>VLOOKUP(P497,Assumptions!$C$2:$D$64,2,0)</f>
        <v>#N/A</v>
      </c>
      <c r="S497" s="692">
        <f>IFERROR(VLOOKUP(A497,'Maturity Adjustment'!$A$3:$C$81,3,0),(IF(J497&lt;$N$4,"Tomorrow",J497)))</f>
        <v>46141</v>
      </c>
      <c r="T497" s="190">
        <f t="shared" si="189"/>
        <v>83</v>
      </c>
      <c r="U497" s="196" t="e">
        <f t="shared" si="177"/>
        <v>#N/A</v>
      </c>
      <c r="V497" s="11">
        <f>IFERROR(VLOOKUP(A497,'Maturity Adjustment'!$A$86:$C$91,3,0),S497)</f>
        <v>46141</v>
      </c>
      <c r="W497" s="12" t="e">
        <f>VLOOKUP(A497,'Account Mapping'!$A$2:$F$216,6,0)</f>
        <v>#N/A</v>
      </c>
      <c r="X497" s="194">
        <f t="shared" si="178"/>
        <v>0</v>
      </c>
      <c r="Y497" s="194">
        <f t="shared" si="179"/>
        <v>0</v>
      </c>
      <c r="Z497" s="13">
        <f t="shared" si="180"/>
        <v>0</v>
      </c>
      <c r="AA497" s="13">
        <f t="shared" si="181"/>
        <v>48447.78</v>
      </c>
      <c r="AB497" s="13">
        <f t="shared" si="182"/>
        <v>0</v>
      </c>
      <c r="AC497" s="13">
        <f t="shared" si="183"/>
        <v>0</v>
      </c>
      <c r="AD497" s="13">
        <f t="shared" si="184"/>
        <v>0</v>
      </c>
      <c r="AE497" s="13">
        <f t="shared" si="185"/>
        <v>0</v>
      </c>
      <c r="AF497" s="13">
        <f t="shared" si="186"/>
        <v>0</v>
      </c>
      <c r="AG497" s="685">
        <f t="shared" si="187"/>
        <v>0</v>
      </c>
      <c r="AH497" s="688" t="b">
        <f t="shared" si="188"/>
        <v>1</v>
      </c>
    </row>
    <row r="498" spans="1:34" s="1" customFormat="1" ht="15" customHeight="1">
      <c r="A498" s="946">
        <v>20910008</v>
      </c>
      <c r="B498" s="946" t="s">
        <v>877</v>
      </c>
      <c r="C498" s="946" t="s">
        <v>1536</v>
      </c>
      <c r="D498" s="946">
        <v>100000002</v>
      </c>
      <c r="E498" s="946" t="s">
        <v>40</v>
      </c>
      <c r="F498" s="946" t="s">
        <v>26</v>
      </c>
      <c r="G498" s="947">
        <v>24247.22</v>
      </c>
      <c r="H498" s="947">
        <v>34520.53</v>
      </c>
      <c r="I498" s="949">
        <v>46015</v>
      </c>
      <c r="J498" s="949">
        <v>46169</v>
      </c>
      <c r="K498" s="949">
        <v>46169</v>
      </c>
      <c r="L498" s="29" t="e">
        <f>VLOOKUP(A498,'Account Mapping'!$A$2:$E$216,3,0)</f>
        <v>#N/A</v>
      </c>
      <c r="M498" s="25" t="e">
        <f>VLOOKUP(A498,'Account Mapping'!$A$2:$E$216,4,0)</f>
        <v>#N/A</v>
      </c>
      <c r="N498" s="26" t="e">
        <f>IF(OR(C498='Account Mapping'!$H$4,C498='Account Mapping'!$H$5,C498='Account Mapping'!$H$6),'Account Mapping'!$I$4,VLOOKUP(A498,'Account Mapping'!$A$2:$E$216,5,0))</f>
        <v>#N/A</v>
      </c>
      <c r="O498" s="27" t="e">
        <f>IF(OR(L498="Loan",L498="Deposit_Liability",L498="OFF_Unused Loan Commitment",L498="HQLA"),VLOOKUP(D498,'Customer Type'!$A$3:$C$38,3,0),"")</f>
        <v>#N/A</v>
      </c>
      <c r="P498" s="656" t="e">
        <f t="shared" si="176"/>
        <v>#N/A</v>
      </c>
      <c r="Q498" s="658">
        <f>IF(COUNTIF('Account Mapping'!$H$12:$H$45,A498)&gt;0,-H498,H498)</f>
        <v>34520.53</v>
      </c>
      <c r="R498" s="249" t="e">
        <f>VLOOKUP(P498,Assumptions!$C$2:$D$64,2,0)</f>
        <v>#N/A</v>
      </c>
      <c r="S498" s="692">
        <f>IFERROR(VLOOKUP(A498,'Maturity Adjustment'!$A$3:$C$81,3,0),(IF(J498&lt;$N$4,"Tomorrow",J498)))</f>
        <v>46169</v>
      </c>
      <c r="T498" s="190">
        <f t="shared" si="189"/>
        <v>111</v>
      </c>
      <c r="U498" s="196" t="e">
        <f t="shared" si="177"/>
        <v>#N/A</v>
      </c>
      <c r="V498" s="11">
        <f>IFERROR(VLOOKUP(A498,'Maturity Adjustment'!$A$86:$C$91,3,0),S498)</f>
        <v>46169</v>
      </c>
      <c r="W498" s="12" t="e">
        <f>VLOOKUP(A498,'Account Mapping'!$A$2:$F$216,6,0)</f>
        <v>#N/A</v>
      </c>
      <c r="X498" s="194">
        <f t="shared" si="178"/>
        <v>0</v>
      </c>
      <c r="Y498" s="194">
        <f t="shared" si="179"/>
        <v>0</v>
      </c>
      <c r="Z498" s="13">
        <f t="shared" si="180"/>
        <v>0</v>
      </c>
      <c r="AA498" s="13">
        <f t="shared" si="181"/>
        <v>0</v>
      </c>
      <c r="AB498" s="13">
        <f t="shared" si="182"/>
        <v>34520.53</v>
      </c>
      <c r="AC498" s="13">
        <f t="shared" si="183"/>
        <v>0</v>
      </c>
      <c r="AD498" s="13">
        <f t="shared" si="184"/>
        <v>0</v>
      </c>
      <c r="AE498" s="13">
        <f t="shared" si="185"/>
        <v>0</v>
      </c>
      <c r="AF498" s="13">
        <f t="shared" si="186"/>
        <v>0</v>
      </c>
      <c r="AG498" s="685">
        <f t="shared" si="187"/>
        <v>0</v>
      </c>
      <c r="AH498" s="688" t="b">
        <f t="shared" si="188"/>
        <v>1</v>
      </c>
    </row>
    <row r="499" spans="1:34" s="1" customFormat="1" ht="15" customHeight="1">
      <c r="A499" s="946">
        <v>20910008</v>
      </c>
      <c r="B499" s="946" t="s">
        <v>877</v>
      </c>
      <c r="C499" s="946" t="s">
        <v>1554</v>
      </c>
      <c r="D499" s="946">
        <v>100000002</v>
      </c>
      <c r="E499" s="946" t="s">
        <v>40</v>
      </c>
      <c r="F499" s="946" t="s">
        <v>26</v>
      </c>
      <c r="G499" s="947">
        <v>22724.720000000001</v>
      </c>
      <c r="H499" s="947">
        <v>32352.959999999999</v>
      </c>
      <c r="I499" s="949">
        <v>46029</v>
      </c>
      <c r="J499" s="949">
        <v>46155</v>
      </c>
      <c r="K499" s="949">
        <v>46155</v>
      </c>
      <c r="L499" s="29" t="e">
        <f>VLOOKUP(A499,'Account Mapping'!$A$2:$E$216,3,0)</f>
        <v>#N/A</v>
      </c>
      <c r="M499" s="25" t="e">
        <f>VLOOKUP(A499,'Account Mapping'!$A$2:$E$216,4,0)</f>
        <v>#N/A</v>
      </c>
      <c r="N499" s="26" t="e">
        <f>IF(OR(C499='Account Mapping'!$H$4,C499='Account Mapping'!$H$5,C499='Account Mapping'!$H$6),'Account Mapping'!$I$4,VLOOKUP(A499,'Account Mapping'!$A$2:$E$216,5,0))</f>
        <v>#N/A</v>
      </c>
      <c r="O499" s="27" t="e">
        <f>IF(OR(L499="Loan",L499="Deposit_Liability",L499="OFF_Unused Loan Commitment",L499="HQLA"),VLOOKUP(D499,'Customer Type'!$A$3:$C$38,3,0),"")</f>
        <v>#N/A</v>
      </c>
      <c r="P499" s="656" t="e">
        <f t="shared" si="176"/>
        <v>#N/A</v>
      </c>
      <c r="Q499" s="658">
        <f>IF(COUNTIF('Account Mapping'!$H$12:$H$45,A499)&gt;0,-H499,H499)</f>
        <v>32352.959999999999</v>
      </c>
      <c r="R499" s="249" t="e">
        <f>VLOOKUP(P499,Assumptions!$C$2:$D$64,2,0)</f>
        <v>#N/A</v>
      </c>
      <c r="S499" s="692">
        <f>IFERROR(VLOOKUP(A499,'Maturity Adjustment'!$A$3:$C$81,3,0),(IF(J499&lt;$N$4,"Tomorrow",J499)))</f>
        <v>46155</v>
      </c>
      <c r="T499" s="190">
        <f t="shared" si="189"/>
        <v>97</v>
      </c>
      <c r="U499" s="196" t="e">
        <f t="shared" si="177"/>
        <v>#N/A</v>
      </c>
      <c r="V499" s="11">
        <f>IFERROR(VLOOKUP(A499,'Maturity Adjustment'!$A$86:$C$91,3,0),S499)</f>
        <v>46155</v>
      </c>
      <c r="W499" s="12" t="e">
        <f>VLOOKUP(A499,'Account Mapping'!$A$2:$F$216,6,0)</f>
        <v>#N/A</v>
      </c>
      <c r="X499" s="194">
        <f t="shared" si="178"/>
        <v>0</v>
      </c>
      <c r="Y499" s="194">
        <f t="shared" si="179"/>
        <v>0</v>
      </c>
      <c r="Z499" s="13">
        <f t="shared" si="180"/>
        <v>0</v>
      </c>
      <c r="AA499" s="13">
        <f t="shared" si="181"/>
        <v>0</v>
      </c>
      <c r="AB499" s="13">
        <f t="shared" si="182"/>
        <v>32352.959999999999</v>
      </c>
      <c r="AC499" s="13">
        <f t="shared" si="183"/>
        <v>0</v>
      </c>
      <c r="AD499" s="13">
        <f t="shared" si="184"/>
        <v>0</v>
      </c>
      <c r="AE499" s="13">
        <f t="shared" si="185"/>
        <v>0</v>
      </c>
      <c r="AF499" s="13">
        <f t="shared" si="186"/>
        <v>0</v>
      </c>
      <c r="AG499" s="685">
        <f t="shared" si="187"/>
        <v>0</v>
      </c>
      <c r="AH499" s="688" t="b">
        <f t="shared" si="188"/>
        <v>1</v>
      </c>
    </row>
    <row r="500" spans="1:34" s="1" customFormat="1" ht="15" customHeight="1">
      <c r="A500" s="946">
        <v>20910010</v>
      </c>
      <c r="B500" s="946" t="s">
        <v>1454</v>
      </c>
      <c r="C500" s="946" t="s">
        <v>1451</v>
      </c>
      <c r="D500" s="946">
        <v>100000043</v>
      </c>
      <c r="E500" s="946" t="s">
        <v>1452</v>
      </c>
      <c r="F500" s="946" t="s">
        <v>11</v>
      </c>
      <c r="G500" s="947">
        <v>94917.26</v>
      </c>
      <c r="H500" s="947">
        <v>94917.26</v>
      </c>
      <c r="I500" s="949">
        <v>46042</v>
      </c>
      <c r="J500" s="949">
        <v>46132</v>
      </c>
      <c r="K500" s="949">
        <v>46132</v>
      </c>
      <c r="L500" s="29" t="e">
        <f>VLOOKUP(A500,'Account Mapping'!$A$2:$E$216,3,0)</f>
        <v>#N/A</v>
      </c>
      <c r="M500" s="25" t="e">
        <f>VLOOKUP(A500,'Account Mapping'!$A$2:$E$216,4,0)</f>
        <v>#N/A</v>
      </c>
      <c r="N500" s="26" t="e">
        <f>IF(OR(C500='Account Mapping'!$H$4,C500='Account Mapping'!$H$5,C500='Account Mapping'!$H$6),'Account Mapping'!$I$4,VLOOKUP(A500,'Account Mapping'!$A$2:$E$216,5,0))</f>
        <v>#N/A</v>
      </c>
      <c r="O500" s="27" t="e">
        <f>IF(OR(L500="Loan",L500="Deposit_Liability",L500="OFF_Unused Loan Commitment",L500="HQLA"),VLOOKUP(D500,'Customer Type'!$A$3:$C$38,3,0),"")</f>
        <v>#N/A</v>
      </c>
      <c r="P500" s="656" t="e">
        <f t="shared" si="176"/>
        <v>#N/A</v>
      </c>
      <c r="Q500" s="658">
        <f>IF(COUNTIF('Account Mapping'!$H$12:$H$45,A500)&gt;0,-H500,H500)</f>
        <v>94917.26</v>
      </c>
      <c r="R500" s="249" t="e">
        <f>VLOOKUP(P500,Assumptions!$C$2:$D$64,2,0)</f>
        <v>#N/A</v>
      </c>
      <c r="S500" s="692">
        <f>IFERROR(VLOOKUP(A500,'Maturity Adjustment'!$A$3:$C$81,3,0),(IF(J500&lt;$N$4,"Tomorrow",J500)))</f>
        <v>46132</v>
      </c>
      <c r="T500" s="190">
        <f t="shared" si="189"/>
        <v>74</v>
      </c>
      <c r="U500" s="196" t="e">
        <f t="shared" si="177"/>
        <v>#N/A</v>
      </c>
      <c r="V500" s="11">
        <f>IFERROR(VLOOKUP(A500,'Maturity Adjustment'!$A$86:$C$91,3,0),S500)</f>
        <v>46132</v>
      </c>
      <c r="W500" s="12" t="e">
        <f>VLOOKUP(A500,'Account Mapping'!$A$2:$F$216,6,0)</f>
        <v>#N/A</v>
      </c>
      <c r="X500" s="194">
        <f t="shared" si="178"/>
        <v>0</v>
      </c>
      <c r="Y500" s="194">
        <f t="shared" si="179"/>
        <v>0</v>
      </c>
      <c r="Z500" s="13">
        <f t="shared" si="180"/>
        <v>0</v>
      </c>
      <c r="AA500" s="13">
        <f t="shared" si="181"/>
        <v>94917.26</v>
      </c>
      <c r="AB500" s="13">
        <f t="shared" si="182"/>
        <v>0</v>
      </c>
      <c r="AC500" s="13">
        <f t="shared" si="183"/>
        <v>0</v>
      </c>
      <c r="AD500" s="13">
        <f t="shared" si="184"/>
        <v>0</v>
      </c>
      <c r="AE500" s="13">
        <f t="shared" si="185"/>
        <v>0</v>
      </c>
      <c r="AF500" s="13">
        <f t="shared" si="186"/>
        <v>0</v>
      </c>
      <c r="AG500" s="685">
        <f t="shared" si="187"/>
        <v>0</v>
      </c>
      <c r="AH500" s="688" t="b">
        <f t="shared" si="188"/>
        <v>1</v>
      </c>
    </row>
    <row r="501" spans="1:34" s="1" customFormat="1" ht="15" customHeight="1">
      <c r="A501" s="946">
        <v>20920006</v>
      </c>
      <c r="B501" s="946" t="s">
        <v>678</v>
      </c>
      <c r="C501" s="946" t="s">
        <v>863</v>
      </c>
      <c r="D501" s="946">
        <v>100000020</v>
      </c>
      <c r="E501" s="946" t="s">
        <v>857</v>
      </c>
      <c r="F501" s="946" t="s">
        <v>11</v>
      </c>
      <c r="G501" s="947">
        <v>48885.4</v>
      </c>
      <c r="H501" s="947">
        <v>48885.4</v>
      </c>
      <c r="I501" s="949">
        <v>45240</v>
      </c>
      <c r="J501" s="949">
        <v>47787</v>
      </c>
      <c r="K501" s="949"/>
      <c r="L501" s="29" t="e">
        <f>VLOOKUP(A501,'Account Mapping'!$A$2:$E$216,3,0)</f>
        <v>#N/A</v>
      </c>
      <c r="M501" s="25" t="e">
        <f>VLOOKUP(A501,'Account Mapping'!$A$2:$E$216,4,0)</f>
        <v>#N/A</v>
      </c>
      <c r="N501" s="26" t="e">
        <f>IF(OR(C501='Account Mapping'!$H$4,C501='Account Mapping'!$H$5,C501='Account Mapping'!$H$6),'Account Mapping'!$I$4,VLOOKUP(A501,'Account Mapping'!$A$2:$E$216,5,0))</f>
        <v>#N/A</v>
      </c>
      <c r="O501" s="27" t="e">
        <f>IF(OR(L501="Loan",L501="Deposit_Liability",L501="OFF_Unused Loan Commitment",L501="HQLA"),VLOOKUP(D501,'Customer Type'!$A$3:$C$38,3,0),"")</f>
        <v>#N/A</v>
      </c>
      <c r="P501" s="656" t="e">
        <f t="shared" si="176"/>
        <v>#N/A</v>
      </c>
      <c r="Q501" s="658">
        <f>IF(COUNTIF('Account Mapping'!$H$12:$H$45,A501)&gt;0,-H501,H501)</f>
        <v>-48885.4</v>
      </c>
      <c r="R501" s="249" t="e">
        <f>VLOOKUP(P501,Assumptions!$C$2:$D$64,2,0)</f>
        <v>#N/A</v>
      </c>
      <c r="S501" s="692">
        <f>IFERROR(VLOOKUP(A501,'Maturity Adjustment'!$A$3:$C$81,3,0),(IF(J501&lt;$N$4,"Tomorrow",J501)))</f>
        <v>47787</v>
      </c>
      <c r="T501" s="190">
        <f t="shared" si="189"/>
        <v>1729</v>
      </c>
      <c r="U501" s="196" t="e">
        <f t="shared" si="177"/>
        <v>#N/A</v>
      </c>
      <c r="V501" s="11">
        <f>IFERROR(VLOOKUP(A501,'Maturity Adjustment'!$A$86:$C$91,3,0),S501)</f>
        <v>47787</v>
      </c>
      <c r="W501" s="12" t="e">
        <f>VLOOKUP(A501,'Account Mapping'!$A$2:$F$216,6,0)</f>
        <v>#N/A</v>
      </c>
      <c r="X501" s="194">
        <f t="shared" si="178"/>
        <v>0</v>
      </c>
      <c r="Y501" s="194">
        <f t="shared" si="179"/>
        <v>0</v>
      </c>
      <c r="Z501" s="13">
        <f t="shared" si="180"/>
        <v>0</v>
      </c>
      <c r="AA501" s="13">
        <f t="shared" si="181"/>
        <v>0</v>
      </c>
      <c r="AB501" s="13">
        <f t="shared" si="182"/>
        <v>0</v>
      </c>
      <c r="AC501" s="13">
        <f t="shared" si="183"/>
        <v>0</v>
      </c>
      <c r="AD501" s="13">
        <f t="shared" si="184"/>
        <v>0</v>
      </c>
      <c r="AE501" s="13">
        <f t="shared" si="185"/>
        <v>-48885.4</v>
      </c>
      <c r="AF501" s="13">
        <f t="shared" si="186"/>
        <v>0</v>
      </c>
      <c r="AG501" s="685">
        <f t="shared" si="187"/>
        <v>0</v>
      </c>
      <c r="AH501" s="688" t="b">
        <f t="shared" si="188"/>
        <v>1</v>
      </c>
    </row>
    <row r="502" spans="1:34" s="1" customFormat="1" ht="15" customHeight="1">
      <c r="A502" s="946">
        <v>20920006</v>
      </c>
      <c r="B502" s="946" t="s">
        <v>678</v>
      </c>
      <c r="C502" s="946" t="s">
        <v>864</v>
      </c>
      <c r="D502" s="946">
        <v>100000020</v>
      </c>
      <c r="E502" s="946" t="s">
        <v>857</v>
      </c>
      <c r="F502" s="946" t="s">
        <v>11</v>
      </c>
      <c r="G502" s="947">
        <v>55837.54</v>
      </c>
      <c r="H502" s="947">
        <v>55837.54</v>
      </c>
      <c r="I502" s="949">
        <v>45240</v>
      </c>
      <c r="J502" s="949">
        <v>48883</v>
      </c>
      <c r="K502" s="949"/>
      <c r="L502" s="29" t="e">
        <f>VLOOKUP(A502,'Account Mapping'!$A$2:$E$216,3,0)</f>
        <v>#N/A</v>
      </c>
      <c r="M502" s="25" t="e">
        <f>VLOOKUP(A502,'Account Mapping'!$A$2:$E$216,4,0)</f>
        <v>#N/A</v>
      </c>
      <c r="N502" s="26" t="e">
        <f>IF(OR(C502='Account Mapping'!$H$4,C502='Account Mapping'!$H$5,C502='Account Mapping'!$H$6),'Account Mapping'!$I$4,VLOOKUP(A502,'Account Mapping'!$A$2:$E$216,5,0))</f>
        <v>#N/A</v>
      </c>
      <c r="O502" s="27" t="e">
        <f>IF(OR(L502="Loan",L502="Deposit_Liability",L502="OFF_Unused Loan Commitment",L502="HQLA"),VLOOKUP(D502,'Customer Type'!$A$3:$C$38,3,0),"")</f>
        <v>#N/A</v>
      </c>
      <c r="P502" s="656" t="e">
        <f t="shared" si="176"/>
        <v>#N/A</v>
      </c>
      <c r="Q502" s="658">
        <f>IF(COUNTIF('Account Mapping'!$H$12:$H$45,A502)&gt;0,-H502,H502)</f>
        <v>-55837.54</v>
      </c>
      <c r="R502" s="249" t="e">
        <f>VLOOKUP(P502,Assumptions!$C$2:$D$64,2,0)</f>
        <v>#N/A</v>
      </c>
      <c r="S502" s="692">
        <f>IFERROR(VLOOKUP(A502,'Maturity Adjustment'!$A$3:$C$81,3,0),(IF(J502&lt;$N$4,"Tomorrow",J502)))</f>
        <v>48883</v>
      </c>
      <c r="T502" s="190">
        <f t="shared" si="189"/>
        <v>2825</v>
      </c>
      <c r="U502" s="196" t="e">
        <f t="shared" si="177"/>
        <v>#N/A</v>
      </c>
      <c r="V502" s="11">
        <f>IFERROR(VLOOKUP(A502,'Maturity Adjustment'!$A$86:$C$91,3,0),S502)</f>
        <v>48883</v>
      </c>
      <c r="W502" s="12" t="e">
        <f>VLOOKUP(A502,'Account Mapping'!$A$2:$F$216,6,0)</f>
        <v>#N/A</v>
      </c>
      <c r="X502" s="194">
        <f t="shared" si="178"/>
        <v>0</v>
      </c>
      <c r="Y502" s="194">
        <f t="shared" si="179"/>
        <v>0</v>
      </c>
      <c r="Z502" s="13">
        <f t="shared" si="180"/>
        <v>0</v>
      </c>
      <c r="AA502" s="13">
        <f t="shared" si="181"/>
        <v>0</v>
      </c>
      <c r="AB502" s="13">
        <f t="shared" si="182"/>
        <v>0</v>
      </c>
      <c r="AC502" s="13">
        <f t="shared" si="183"/>
        <v>0</v>
      </c>
      <c r="AD502" s="13">
        <f t="shared" si="184"/>
        <v>0</v>
      </c>
      <c r="AE502" s="13">
        <f t="shared" si="185"/>
        <v>0</v>
      </c>
      <c r="AF502" s="13">
        <f t="shared" si="186"/>
        <v>-55837.54</v>
      </c>
      <c r="AG502" s="685">
        <f t="shared" si="187"/>
        <v>0</v>
      </c>
      <c r="AH502" s="688" t="b">
        <f t="shared" si="188"/>
        <v>1</v>
      </c>
    </row>
    <row r="503" spans="1:34" s="1" customFormat="1" ht="15" customHeight="1">
      <c r="A503" s="946">
        <v>20920006</v>
      </c>
      <c r="B503" s="946" t="s">
        <v>678</v>
      </c>
      <c r="C503" s="946" t="s">
        <v>1278</v>
      </c>
      <c r="D503" s="946">
        <v>100000035</v>
      </c>
      <c r="E503" s="946" t="s">
        <v>1277</v>
      </c>
      <c r="F503" s="946" t="s">
        <v>11</v>
      </c>
      <c r="G503" s="947">
        <v>93209.23</v>
      </c>
      <c r="H503" s="947">
        <v>93209.23</v>
      </c>
      <c r="I503" s="949">
        <v>45629</v>
      </c>
      <c r="J503" s="949">
        <v>48185</v>
      </c>
      <c r="K503" s="948"/>
      <c r="L503" s="29" t="e">
        <f>VLOOKUP(A503,'Account Mapping'!$A$2:$E$216,3,0)</f>
        <v>#N/A</v>
      </c>
      <c r="M503" s="25" t="e">
        <f>VLOOKUP(A503,'Account Mapping'!$A$2:$E$216,4,0)</f>
        <v>#N/A</v>
      </c>
      <c r="N503" s="26" t="e">
        <f>IF(OR(C503='Account Mapping'!$H$4,C503='Account Mapping'!$H$5,C503='Account Mapping'!$H$6),'Account Mapping'!$I$4,VLOOKUP(A503,'Account Mapping'!$A$2:$E$216,5,0))</f>
        <v>#N/A</v>
      </c>
      <c r="O503" s="27" t="e">
        <f>IF(OR(L503="Loan",L503="Deposit_Liability",L503="OFF_Unused Loan Commitment",L503="HQLA"),VLOOKUP(D503,'Customer Type'!$A$3:$C$38,3,0),"")</f>
        <v>#N/A</v>
      </c>
      <c r="P503" s="656" t="e">
        <f t="shared" si="176"/>
        <v>#N/A</v>
      </c>
      <c r="Q503" s="658">
        <f>IF(COUNTIF('Account Mapping'!$H$12:$H$45,A503)&gt;0,-H503,H503)</f>
        <v>-93209.23</v>
      </c>
      <c r="R503" s="249" t="e">
        <f>VLOOKUP(P503,Assumptions!$C$2:$D$64,2,0)</f>
        <v>#N/A</v>
      </c>
      <c r="S503" s="692">
        <f>IFERROR(VLOOKUP(A503,'Maturity Adjustment'!$A$3:$C$81,3,0),(IF(J503&lt;$N$4,"Tomorrow",J503)))</f>
        <v>48185</v>
      </c>
      <c r="T503" s="190">
        <f t="shared" si="189"/>
        <v>2127</v>
      </c>
      <c r="U503" s="196" t="e">
        <f t="shared" si="177"/>
        <v>#N/A</v>
      </c>
      <c r="V503" s="11">
        <f>IFERROR(VLOOKUP(A503,'Maturity Adjustment'!$A$86:$C$91,3,0),S503)</f>
        <v>48185</v>
      </c>
      <c r="W503" s="12" t="e">
        <f>VLOOKUP(A503,'Account Mapping'!$A$2:$F$216,6,0)</f>
        <v>#N/A</v>
      </c>
      <c r="X503" s="194">
        <f t="shared" si="178"/>
        <v>0</v>
      </c>
      <c r="Y503" s="194">
        <f t="shared" si="179"/>
        <v>0</v>
      </c>
      <c r="Z503" s="13">
        <f t="shared" si="180"/>
        <v>0</v>
      </c>
      <c r="AA503" s="13">
        <f t="shared" si="181"/>
        <v>0</v>
      </c>
      <c r="AB503" s="13">
        <f t="shared" si="182"/>
        <v>0</v>
      </c>
      <c r="AC503" s="13">
        <f t="shared" si="183"/>
        <v>0</v>
      </c>
      <c r="AD503" s="13">
        <f t="shared" si="184"/>
        <v>0</v>
      </c>
      <c r="AE503" s="13">
        <f t="shared" si="185"/>
        <v>0</v>
      </c>
      <c r="AF503" s="13">
        <f t="shared" si="186"/>
        <v>-93209.23</v>
      </c>
      <c r="AG503" s="685">
        <f t="shared" si="187"/>
        <v>0</v>
      </c>
      <c r="AH503" s="688" t="b">
        <f t="shared" si="188"/>
        <v>1</v>
      </c>
    </row>
    <row r="504" spans="1:34" s="1" customFormat="1" ht="15" customHeight="1">
      <c r="A504" s="946">
        <v>20920006</v>
      </c>
      <c r="B504" s="946" t="s">
        <v>678</v>
      </c>
      <c r="C504" s="946" t="s">
        <v>1442</v>
      </c>
      <c r="D504" s="946">
        <v>100000040</v>
      </c>
      <c r="E504" s="946" t="s">
        <v>1441</v>
      </c>
      <c r="F504" s="946" t="s">
        <v>11</v>
      </c>
      <c r="G504" s="947">
        <v>222953.83</v>
      </c>
      <c r="H504" s="947">
        <v>222953.83</v>
      </c>
      <c r="I504" s="949">
        <v>45828</v>
      </c>
      <c r="J504" s="949">
        <v>48383</v>
      </c>
      <c r="K504" s="948"/>
      <c r="L504" s="29" t="e">
        <f>VLOOKUP(A504,'Account Mapping'!$A$2:$E$216,3,0)</f>
        <v>#N/A</v>
      </c>
      <c r="M504" s="25" t="e">
        <f>VLOOKUP(A504,'Account Mapping'!$A$2:$E$216,4,0)</f>
        <v>#N/A</v>
      </c>
      <c r="N504" s="26" t="e">
        <f>IF(OR(C504='Account Mapping'!$H$4,C504='Account Mapping'!$H$5,C504='Account Mapping'!$H$6),'Account Mapping'!$I$4,VLOOKUP(A504,'Account Mapping'!$A$2:$E$216,5,0))</f>
        <v>#N/A</v>
      </c>
      <c r="O504" s="27" t="e">
        <f>IF(OR(L504="Loan",L504="Deposit_Liability",L504="OFF_Unused Loan Commitment",L504="HQLA"),VLOOKUP(D504,'Customer Type'!$A$3:$C$38,3,0),"")</f>
        <v>#N/A</v>
      </c>
      <c r="P504" s="656" t="e">
        <f t="shared" si="176"/>
        <v>#N/A</v>
      </c>
      <c r="Q504" s="658">
        <f>IF(COUNTIF('Account Mapping'!$H$12:$H$45,A504)&gt;0,-H504,H504)</f>
        <v>-222953.83</v>
      </c>
      <c r="R504" s="249" t="e">
        <f>VLOOKUP(P504,Assumptions!$C$2:$D$64,2,0)</f>
        <v>#N/A</v>
      </c>
      <c r="S504" s="692">
        <f>IFERROR(VLOOKUP(A504,'Maturity Adjustment'!$A$3:$C$81,3,0),(IF(J504&lt;$N$4,"Tomorrow",J504)))</f>
        <v>48383</v>
      </c>
      <c r="T504" s="190">
        <f t="shared" si="189"/>
        <v>2325</v>
      </c>
      <c r="U504" s="196" t="e">
        <f t="shared" si="177"/>
        <v>#N/A</v>
      </c>
      <c r="V504" s="11">
        <f>IFERROR(VLOOKUP(A504,'Maturity Adjustment'!$A$86:$C$91,3,0),S504)</f>
        <v>48383</v>
      </c>
      <c r="W504" s="12" t="e">
        <f>VLOOKUP(A504,'Account Mapping'!$A$2:$F$216,6,0)</f>
        <v>#N/A</v>
      </c>
      <c r="X504" s="194">
        <f t="shared" si="178"/>
        <v>0</v>
      </c>
      <c r="Y504" s="194">
        <f t="shared" si="179"/>
        <v>0</v>
      </c>
      <c r="Z504" s="13">
        <f t="shared" si="180"/>
        <v>0</v>
      </c>
      <c r="AA504" s="13">
        <f t="shared" si="181"/>
        <v>0</v>
      </c>
      <c r="AB504" s="13">
        <f t="shared" si="182"/>
        <v>0</v>
      </c>
      <c r="AC504" s="13">
        <f t="shared" si="183"/>
        <v>0</v>
      </c>
      <c r="AD504" s="13">
        <f t="shared" si="184"/>
        <v>0</v>
      </c>
      <c r="AE504" s="13">
        <f t="shared" si="185"/>
        <v>0</v>
      </c>
      <c r="AF504" s="13">
        <f t="shared" si="186"/>
        <v>-222953.83</v>
      </c>
      <c r="AG504" s="685">
        <f t="shared" si="187"/>
        <v>0</v>
      </c>
      <c r="AH504" s="688" t="b">
        <f t="shared" si="188"/>
        <v>1</v>
      </c>
    </row>
    <row r="505" spans="1:34" s="1" customFormat="1" ht="15" customHeight="1">
      <c r="A505" s="946">
        <v>20920006</v>
      </c>
      <c r="B505" s="946" t="s">
        <v>678</v>
      </c>
      <c r="C505" s="946" t="s">
        <v>1443</v>
      </c>
      <c r="D505" s="946">
        <v>100000020</v>
      </c>
      <c r="E505" s="946" t="s">
        <v>857</v>
      </c>
      <c r="F505" s="946" t="s">
        <v>11</v>
      </c>
      <c r="G505" s="947">
        <v>63015.03</v>
      </c>
      <c r="H505" s="947">
        <v>63015.03</v>
      </c>
      <c r="I505" s="949">
        <v>45833</v>
      </c>
      <c r="J505" s="949">
        <v>48426</v>
      </c>
      <c r="K505" s="948"/>
      <c r="L505" s="29" t="e">
        <f>VLOOKUP(A505,'Account Mapping'!$A$2:$E$216,3,0)</f>
        <v>#N/A</v>
      </c>
      <c r="M505" s="25" t="e">
        <f>VLOOKUP(A505,'Account Mapping'!$A$2:$E$216,4,0)</f>
        <v>#N/A</v>
      </c>
      <c r="N505" s="26" t="e">
        <f>IF(OR(C505='Account Mapping'!$H$4,C505='Account Mapping'!$H$5,C505='Account Mapping'!$H$6),'Account Mapping'!$I$4,VLOOKUP(A505,'Account Mapping'!$A$2:$E$216,5,0))</f>
        <v>#N/A</v>
      </c>
      <c r="O505" s="27" t="e">
        <f>IF(OR(L505="Loan",L505="Deposit_Liability",L505="OFF_Unused Loan Commitment",L505="HQLA"),VLOOKUP(D505,'Customer Type'!$A$3:$C$38,3,0),"")</f>
        <v>#N/A</v>
      </c>
      <c r="P505" s="656" t="e">
        <f t="shared" si="176"/>
        <v>#N/A</v>
      </c>
      <c r="Q505" s="658">
        <f>IF(COUNTIF('Account Mapping'!$H$12:$H$45,A505)&gt;0,-H505,H505)</f>
        <v>-63015.03</v>
      </c>
      <c r="R505" s="249" t="e">
        <f>VLOOKUP(P505,Assumptions!$C$2:$D$64,2,0)</f>
        <v>#N/A</v>
      </c>
      <c r="S505" s="692">
        <f>IFERROR(VLOOKUP(A505,'Maturity Adjustment'!$A$3:$C$81,3,0),(IF(J505&lt;$N$4,"Tomorrow",J505)))</f>
        <v>48426</v>
      </c>
      <c r="T505" s="190">
        <f t="shared" si="189"/>
        <v>2368</v>
      </c>
      <c r="U505" s="196" t="e">
        <f t="shared" si="177"/>
        <v>#N/A</v>
      </c>
      <c r="V505" s="11">
        <f>IFERROR(VLOOKUP(A505,'Maturity Adjustment'!$A$86:$C$91,3,0),S505)</f>
        <v>48426</v>
      </c>
      <c r="W505" s="12" t="e">
        <f>VLOOKUP(A505,'Account Mapping'!$A$2:$F$216,6,0)</f>
        <v>#N/A</v>
      </c>
      <c r="X505" s="194">
        <f t="shared" si="178"/>
        <v>0</v>
      </c>
      <c r="Y505" s="194">
        <f t="shared" si="179"/>
        <v>0</v>
      </c>
      <c r="Z505" s="13">
        <f t="shared" si="180"/>
        <v>0</v>
      </c>
      <c r="AA505" s="13">
        <f t="shared" si="181"/>
        <v>0</v>
      </c>
      <c r="AB505" s="13">
        <f t="shared" si="182"/>
        <v>0</v>
      </c>
      <c r="AC505" s="13">
        <f t="shared" si="183"/>
        <v>0</v>
      </c>
      <c r="AD505" s="13">
        <f t="shared" si="184"/>
        <v>0</v>
      </c>
      <c r="AE505" s="13">
        <f t="shared" si="185"/>
        <v>0</v>
      </c>
      <c r="AF505" s="13">
        <f t="shared" si="186"/>
        <v>-63015.03</v>
      </c>
      <c r="AG505" s="685">
        <f t="shared" si="187"/>
        <v>0</v>
      </c>
      <c r="AH505" s="688" t="b">
        <f t="shared" si="188"/>
        <v>1</v>
      </c>
    </row>
    <row r="506" spans="1:34" s="1" customFormat="1" ht="15" customHeight="1">
      <c r="A506" s="946">
        <v>20920006</v>
      </c>
      <c r="B506" s="946" t="s">
        <v>678</v>
      </c>
      <c r="C506" s="946" t="s">
        <v>43</v>
      </c>
      <c r="D506" s="946">
        <v>100000014</v>
      </c>
      <c r="E506" s="946" t="s">
        <v>23</v>
      </c>
      <c r="F506" s="946" t="s">
        <v>26</v>
      </c>
      <c r="G506" s="947">
        <v>307599.03000000003</v>
      </c>
      <c r="H506" s="947">
        <v>437925.73</v>
      </c>
      <c r="I506" s="949">
        <v>45106</v>
      </c>
      <c r="J506" s="949">
        <v>47579</v>
      </c>
      <c r="K506" s="948"/>
      <c r="L506" s="29" t="e">
        <f>VLOOKUP(A506,'Account Mapping'!$A$2:$E$216,3,0)</f>
        <v>#N/A</v>
      </c>
      <c r="M506" s="25" t="e">
        <f>VLOOKUP(A506,'Account Mapping'!$A$2:$E$216,4,0)</f>
        <v>#N/A</v>
      </c>
      <c r="N506" s="26" t="e">
        <f>IF(OR(C506='Account Mapping'!$H$4,C506='Account Mapping'!$H$5,C506='Account Mapping'!$H$6),'Account Mapping'!$I$4,VLOOKUP(A506,'Account Mapping'!$A$2:$E$216,5,0))</f>
        <v>#N/A</v>
      </c>
      <c r="O506" s="27" t="e">
        <f>IF(OR(L506="Loan",L506="Deposit_Liability",L506="OFF_Unused Loan Commitment",L506="HQLA"),VLOOKUP(D506,'Customer Type'!$A$3:$C$38,3,0),"")</f>
        <v>#N/A</v>
      </c>
      <c r="P506" s="656" t="e">
        <f t="shared" si="176"/>
        <v>#N/A</v>
      </c>
      <c r="Q506" s="658">
        <f>IF(COUNTIF('Account Mapping'!$H$12:$H$45,A506)&gt;0,-H506,H506)</f>
        <v>-437925.73</v>
      </c>
      <c r="R506" s="249" t="e">
        <f>VLOOKUP(P506,Assumptions!$C$2:$D$64,2,0)</f>
        <v>#N/A</v>
      </c>
      <c r="S506" s="692">
        <f>IFERROR(VLOOKUP(A506,'Maturity Adjustment'!$A$3:$C$81,3,0),(IF(J506&lt;$N$4,"Tomorrow",J506)))</f>
        <v>47579</v>
      </c>
      <c r="T506" s="190">
        <f t="shared" si="189"/>
        <v>1521</v>
      </c>
      <c r="U506" s="196" t="e">
        <f t="shared" si="177"/>
        <v>#N/A</v>
      </c>
      <c r="V506" s="11">
        <f>IFERROR(VLOOKUP(A506,'Maturity Adjustment'!$A$86:$C$91,3,0),S506)</f>
        <v>47579</v>
      </c>
      <c r="W506" s="12" t="e">
        <f>VLOOKUP(A506,'Account Mapping'!$A$2:$F$216,6,0)</f>
        <v>#N/A</v>
      </c>
      <c r="X506" s="194">
        <f t="shared" si="178"/>
        <v>0</v>
      </c>
      <c r="Y506" s="194">
        <f t="shared" si="179"/>
        <v>0</v>
      </c>
      <c r="Z506" s="13">
        <f t="shared" si="180"/>
        <v>0</v>
      </c>
      <c r="AA506" s="13">
        <f t="shared" si="181"/>
        <v>0</v>
      </c>
      <c r="AB506" s="13">
        <f t="shared" si="182"/>
        <v>0</v>
      </c>
      <c r="AC506" s="13">
        <f t="shared" si="183"/>
        <v>0</v>
      </c>
      <c r="AD506" s="13">
        <f t="shared" si="184"/>
        <v>0</v>
      </c>
      <c r="AE506" s="13">
        <f t="shared" si="185"/>
        <v>-437925.73</v>
      </c>
      <c r="AF506" s="13">
        <f t="shared" si="186"/>
        <v>0</v>
      </c>
      <c r="AG506" s="685">
        <f t="shared" si="187"/>
        <v>0</v>
      </c>
      <c r="AH506" s="688" t="b">
        <f t="shared" si="188"/>
        <v>1</v>
      </c>
    </row>
    <row r="507" spans="1:34" s="1" customFormat="1" ht="15" customHeight="1">
      <c r="A507" s="946">
        <v>20920006</v>
      </c>
      <c r="B507" s="946" t="s">
        <v>678</v>
      </c>
      <c r="C507" s="946" t="s">
        <v>1234</v>
      </c>
      <c r="D507" s="946">
        <v>100000031</v>
      </c>
      <c r="E507" s="946" t="s">
        <v>1233</v>
      </c>
      <c r="F507" s="946" t="s">
        <v>11</v>
      </c>
      <c r="G507" s="947">
        <v>53621.71</v>
      </c>
      <c r="H507" s="947">
        <v>53621.71</v>
      </c>
      <c r="I507" s="949">
        <v>45463</v>
      </c>
      <c r="J507" s="949">
        <v>48005</v>
      </c>
      <c r="K507" s="948"/>
      <c r="L507" s="29" t="e">
        <f>VLOOKUP(A507,'Account Mapping'!$A$2:$E$216,3,0)</f>
        <v>#N/A</v>
      </c>
      <c r="M507" s="25" t="e">
        <f>VLOOKUP(A507,'Account Mapping'!$A$2:$E$216,4,0)</f>
        <v>#N/A</v>
      </c>
      <c r="N507" s="26" t="e">
        <f>IF(OR(C507='Account Mapping'!$H$4,C507='Account Mapping'!$H$5,C507='Account Mapping'!$H$6),'Account Mapping'!$I$4,VLOOKUP(A507,'Account Mapping'!$A$2:$E$216,5,0))</f>
        <v>#N/A</v>
      </c>
      <c r="O507" s="27" t="e">
        <f>IF(OR(L507="Loan",L507="Deposit_Liability",L507="OFF_Unused Loan Commitment",L507="HQLA"),VLOOKUP(D507,'Customer Type'!$A$3:$C$38,3,0),"")</f>
        <v>#N/A</v>
      </c>
      <c r="P507" s="656" t="e">
        <f t="shared" si="176"/>
        <v>#N/A</v>
      </c>
      <c r="Q507" s="658">
        <f>IF(COUNTIF('Account Mapping'!$H$12:$H$45,A507)&gt;0,-H507,H507)</f>
        <v>-53621.71</v>
      </c>
      <c r="R507" s="249" t="e">
        <f>VLOOKUP(P507,Assumptions!$C$2:$D$64,2,0)</f>
        <v>#N/A</v>
      </c>
      <c r="S507" s="692">
        <f>IFERROR(VLOOKUP(A507,'Maturity Adjustment'!$A$3:$C$81,3,0),(IF(J507&lt;$N$4,"Tomorrow",J507)))</f>
        <v>48005</v>
      </c>
      <c r="T507" s="190">
        <f t="shared" ref="T507:T510" si="190">IF(S507="Tomorrow",1,(S507-$N$4))</f>
        <v>1947</v>
      </c>
      <c r="U507" s="196" t="e">
        <f t="shared" si="177"/>
        <v>#N/A</v>
      </c>
      <c r="V507" s="11">
        <f>IFERROR(VLOOKUP(A507,'Maturity Adjustment'!$A$86:$C$91,3,0),S507)</f>
        <v>48005</v>
      </c>
      <c r="W507" s="12" t="e">
        <f>VLOOKUP(A507,'Account Mapping'!$A$2:$F$216,6,0)</f>
        <v>#N/A</v>
      </c>
      <c r="X507" s="194">
        <f t="shared" si="178"/>
        <v>0</v>
      </c>
      <c r="Y507" s="194">
        <f t="shared" si="179"/>
        <v>0</v>
      </c>
      <c r="Z507" s="13">
        <f t="shared" si="180"/>
        <v>0</v>
      </c>
      <c r="AA507" s="13">
        <f t="shared" si="181"/>
        <v>0</v>
      </c>
      <c r="AB507" s="13">
        <f t="shared" si="182"/>
        <v>0</v>
      </c>
      <c r="AC507" s="13">
        <f t="shared" si="183"/>
        <v>0</v>
      </c>
      <c r="AD507" s="13">
        <f t="shared" si="184"/>
        <v>0</v>
      </c>
      <c r="AE507" s="13">
        <f t="shared" si="185"/>
        <v>0</v>
      </c>
      <c r="AF507" s="13">
        <f t="shared" si="186"/>
        <v>-53621.71</v>
      </c>
      <c r="AG507" s="685">
        <f t="shared" si="187"/>
        <v>0</v>
      </c>
      <c r="AH507" s="688" t="b">
        <f t="shared" si="188"/>
        <v>1</v>
      </c>
    </row>
    <row r="508" spans="1:34" s="1" customFormat="1" ht="15" customHeight="1">
      <c r="A508" s="946">
        <v>20920006</v>
      </c>
      <c r="B508" s="946" t="s">
        <v>678</v>
      </c>
      <c r="C508" s="946" t="s">
        <v>1258</v>
      </c>
      <c r="D508" s="946">
        <v>100000033</v>
      </c>
      <c r="E508" s="946" t="s">
        <v>1254</v>
      </c>
      <c r="F508" s="946" t="s">
        <v>26</v>
      </c>
      <c r="G508" s="947">
        <v>133372.85999999999</v>
      </c>
      <c r="H508" s="947">
        <v>189881.63</v>
      </c>
      <c r="I508" s="949">
        <v>45565</v>
      </c>
      <c r="J508" s="949">
        <v>48136</v>
      </c>
      <c r="K508" s="948"/>
      <c r="L508" s="29" t="e">
        <f>VLOOKUP(A508,'Account Mapping'!$A$2:$E$216,3,0)</f>
        <v>#N/A</v>
      </c>
      <c r="M508" s="25" t="e">
        <f>VLOOKUP(A508,'Account Mapping'!$A$2:$E$216,4,0)</f>
        <v>#N/A</v>
      </c>
      <c r="N508" s="26" t="e">
        <f>IF(OR(C508='Account Mapping'!$H$4,C508='Account Mapping'!$H$5,C508='Account Mapping'!$H$6),'Account Mapping'!$I$4,VLOOKUP(A508,'Account Mapping'!$A$2:$E$216,5,0))</f>
        <v>#N/A</v>
      </c>
      <c r="O508" s="27" t="e">
        <f>IF(OR(L508="Loan",L508="Deposit_Liability",L508="OFF_Unused Loan Commitment",L508="HQLA"),VLOOKUP(D508,'Customer Type'!$A$3:$C$38,3,0),"")</f>
        <v>#N/A</v>
      </c>
      <c r="P508" s="656" t="e">
        <f t="shared" si="176"/>
        <v>#N/A</v>
      </c>
      <c r="Q508" s="658">
        <f>IF(COUNTIF('Account Mapping'!$H$12:$H$45,A508)&gt;0,-H508,H508)</f>
        <v>-189881.63</v>
      </c>
      <c r="R508" s="249" t="e">
        <f>VLOOKUP(P508,Assumptions!$C$2:$D$64,2,0)</f>
        <v>#N/A</v>
      </c>
      <c r="S508" s="692">
        <f>IFERROR(VLOOKUP(A508,'Maturity Adjustment'!$A$3:$C$81,3,0),(IF(J508&lt;$N$4,"Tomorrow",J508)))</f>
        <v>48136</v>
      </c>
      <c r="T508" s="190">
        <f t="shared" si="190"/>
        <v>2078</v>
      </c>
      <c r="U508" s="196" t="e">
        <f t="shared" si="177"/>
        <v>#N/A</v>
      </c>
      <c r="V508" s="11">
        <f>IFERROR(VLOOKUP(A508,'Maturity Adjustment'!$A$86:$C$91,3,0),S508)</f>
        <v>48136</v>
      </c>
      <c r="W508" s="12" t="e">
        <f>VLOOKUP(A508,'Account Mapping'!$A$2:$F$216,6,0)</f>
        <v>#N/A</v>
      </c>
      <c r="X508" s="194">
        <f t="shared" si="178"/>
        <v>0</v>
      </c>
      <c r="Y508" s="194">
        <f t="shared" si="179"/>
        <v>0</v>
      </c>
      <c r="Z508" s="13">
        <f t="shared" si="180"/>
        <v>0</v>
      </c>
      <c r="AA508" s="13">
        <f t="shared" si="181"/>
        <v>0</v>
      </c>
      <c r="AB508" s="13">
        <f t="shared" si="182"/>
        <v>0</v>
      </c>
      <c r="AC508" s="13">
        <f t="shared" si="183"/>
        <v>0</v>
      </c>
      <c r="AD508" s="13">
        <f t="shared" si="184"/>
        <v>0</v>
      </c>
      <c r="AE508" s="13">
        <f t="shared" si="185"/>
        <v>0</v>
      </c>
      <c r="AF508" s="13">
        <f t="shared" si="186"/>
        <v>-189881.63</v>
      </c>
      <c r="AG508" s="685">
        <f t="shared" si="187"/>
        <v>0</v>
      </c>
      <c r="AH508" s="688" t="b">
        <f t="shared" si="188"/>
        <v>1</v>
      </c>
    </row>
    <row r="509" spans="1:34" s="1" customFormat="1" ht="15" customHeight="1">
      <c r="A509" s="946">
        <v>20920006</v>
      </c>
      <c r="B509" s="946" t="s">
        <v>678</v>
      </c>
      <c r="C509" s="946" t="s">
        <v>1259</v>
      </c>
      <c r="D509" s="946">
        <v>100000033</v>
      </c>
      <c r="E509" s="946" t="s">
        <v>1254</v>
      </c>
      <c r="F509" s="946" t="s">
        <v>26</v>
      </c>
      <c r="G509" s="947">
        <v>44457.62</v>
      </c>
      <c r="H509" s="947">
        <v>63293.88</v>
      </c>
      <c r="I509" s="949">
        <v>45565</v>
      </c>
      <c r="J509" s="949">
        <v>48136</v>
      </c>
      <c r="K509" s="948"/>
      <c r="L509" s="29" t="e">
        <f>VLOOKUP(A509,'Account Mapping'!$A$2:$E$216,3,0)</f>
        <v>#N/A</v>
      </c>
      <c r="M509" s="25" t="e">
        <f>VLOOKUP(A509,'Account Mapping'!$A$2:$E$216,4,0)</f>
        <v>#N/A</v>
      </c>
      <c r="N509" s="26" t="e">
        <f>IF(OR(C509='Account Mapping'!$H$4,C509='Account Mapping'!$H$5,C509='Account Mapping'!$H$6),'Account Mapping'!$I$4,VLOOKUP(A509,'Account Mapping'!$A$2:$E$216,5,0))</f>
        <v>#N/A</v>
      </c>
      <c r="O509" s="27" t="e">
        <f>IF(OR(L509="Loan",L509="Deposit_Liability",L509="OFF_Unused Loan Commitment",L509="HQLA"),VLOOKUP(D509,'Customer Type'!$A$3:$C$38,3,0),"")</f>
        <v>#N/A</v>
      </c>
      <c r="P509" s="656" t="e">
        <f t="shared" si="176"/>
        <v>#N/A</v>
      </c>
      <c r="Q509" s="658">
        <f>IF(COUNTIF('Account Mapping'!$H$12:$H$45,A509)&gt;0,-H509,H509)</f>
        <v>-63293.88</v>
      </c>
      <c r="R509" s="249" t="e">
        <f>VLOOKUP(P509,Assumptions!$C$2:$D$64,2,0)</f>
        <v>#N/A</v>
      </c>
      <c r="S509" s="692">
        <f>IFERROR(VLOOKUP(A509,'Maturity Adjustment'!$A$3:$C$81,3,0),(IF(J509&lt;$N$4,"Tomorrow",J509)))</f>
        <v>48136</v>
      </c>
      <c r="T509" s="190">
        <f t="shared" si="190"/>
        <v>2078</v>
      </c>
      <c r="U509" s="196" t="e">
        <f t="shared" si="177"/>
        <v>#N/A</v>
      </c>
      <c r="V509" s="11">
        <f>IFERROR(VLOOKUP(A509,'Maturity Adjustment'!$A$86:$C$91,3,0),S509)</f>
        <v>48136</v>
      </c>
      <c r="W509" s="12" t="e">
        <f>VLOOKUP(A509,'Account Mapping'!$A$2:$F$216,6,0)</f>
        <v>#N/A</v>
      </c>
      <c r="X509" s="194">
        <f t="shared" si="178"/>
        <v>0</v>
      </c>
      <c r="Y509" s="194">
        <f t="shared" si="179"/>
        <v>0</v>
      </c>
      <c r="Z509" s="13">
        <f t="shared" si="180"/>
        <v>0</v>
      </c>
      <c r="AA509" s="13">
        <f t="shared" si="181"/>
        <v>0</v>
      </c>
      <c r="AB509" s="13">
        <f t="shared" si="182"/>
        <v>0</v>
      </c>
      <c r="AC509" s="13">
        <f t="shared" si="183"/>
        <v>0</v>
      </c>
      <c r="AD509" s="13">
        <f t="shared" si="184"/>
        <v>0</v>
      </c>
      <c r="AE509" s="13">
        <f t="shared" si="185"/>
        <v>0</v>
      </c>
      <c r="AF509" s="13">
        <f t="shared" si="186"/>
        <v>-63293.88</v>
      </c>
      <c r="AG509" s="685">
        <f t="shared" si="187"/>
        <v>0</v>
      </c>
      <c r="AH509" s="688" t="b">
        <f t="shared" si="188"/>
        <v>1</v>
      </c>
    </row>
    <row r="510" spans="1:34" s="1" customFormat="1" ht="15" customHeight="1">
      <c r="A510" s="946">
        <v>20920006</v>
      </c>
      <c r="B510" s="946" t="s">
        <v>678</v>
      </c>
      <c r="C510" s="946" t="s">
        <v>1432</v>
      </c>
      <c r="D510" s="946">
        <v>100000039</v>
      </c>
      <c r="E510" s="946" t="s">
        <v>1431</v>
      </c>
      <c r="F510" s="946" t="s">
        <v>11</v>
      </c>
      <c r="G510" s="947">
        <v>28203.06</v>
      </c>
      <c r="H510" s="947">
        <v>28203.06</v>
      </c>
      <c r="I510" s="949">
        <v>45791</v>
      </c>
      <c r="J510" s="949">
        <v>48341</v>
      </c>
      <c r="K510" s="948"/>
      <c r="L510" s="29" t="e">
        <f>VLOOKUP(A510,'Account Mapping'!$A$2:$E$216,3,0)</f>
        <v>#N/A</v>
      </c>
      <c r="M510" s="25" t="e">
        <f>VLOOKUP(A510,'Account Mapping'!$A$2:$E$216,4,0)</f>
        <v>#N/A</v>
      </c>
      <c r="N510" s="26" t="e">
        <f>IF(OR(C510='Account Mapping'!$H$4,C510='Account Mapping'!$H$5,C510='Account Mapping'!$H$6),'Account Mapping'!$I$4,VLOOKUP(A510,'Account Mapping'!$A$2:$E$216,5,0))</f>
        <v>#N/A</v>
      </c>
      <c r="O510" s="27" t="e">
        <f>IF(OR(L510="Loan",L510="Deposit_Liability",L510="OFF_Unused Loan Commitment",L510="HQLA"),VLOOKUP(D510,'Customer Type'!$A$3:$C$38,3,0),"")</f>
        <v>#N/A</v>
      </c>
      <c r="P510" s="656" t="e">
        <f t="shared" si="176"/>
        <v>#N/A</v>
      </c>
      <c r="Q510" s="658">
        <f>IF(COUNTIF('Account Mapping'!$H$12:$H$45,A510)&gt;0,-H510,H510)</f>
        <v>-28203.06</v>
      </c>
      <c r="R510" s="249" t="e">
        <f>VLOOKUP(P510,Assumptions!$C$2:$D$64,2,0)</f>
        <v>#N/A</v>
      </c>
      <c r="S510" s="692">
        <f>IFERROR(VLOOKUP(A510,'Maturity Adjustment'!$A$3:$C$81,3,0),(IF(J510&lt;$N$4,"Tomorrow",J510)))</f>
        <v>48341</v>
      </c>
      <c r="T510" s="190">
        <f t="shared" si="190"/>
        <v>2283</v>
      </c>
      <c r="U510" s="196" t="e">
        <f t="shared" si="177"/>
        <v>#N/A</v>
      </c>
      <c r="V510" s="11">
        <f>IFERROR(VLOOKUP(A510,'Maturity Adjustment'!$A$86:$C$91,3,0),S510)</f>
        <v>48341</v>
      </c>
      <c r="W510" s="12" t="e">
        <f>VLOOKUP(A510,'Account Mapping'!$A$2:$F$216,6,0)</f>
        <v>#N/A</v>
      </c>
      <c r="X510" s="194">
        <f t="shared" si="178"/>
        <v>0</v>
      </c>
      <c r="Y510" s="194">
        <f t="shared" si="179"/>
        <v>0</v>
      </c>
      <c r="Z510" s="13">
        <f t="shared" si="180"/>
        <v>0</v>
      </c>
      <c r="AA510" s="13">
        <f t="shared" si="181"/>
        <v>0</v>
      </c>
      <c r="AB510" s="13">
        <f t="shared" si="182"/>
        <v>0</v>
      </c>
      <c r="AC510" s="13">
        <f t="shared" si="183"/>
        <v>0</v>
      </c>
      <c r="AD510" s="13">
        <f t="shared" si="184"/>
        <v>0</v>
      </c>
      <c r="AE510" s="13">
        <f t="shared" si="185"/>
        <v>0</v>
      </c>
      <c r="AF510" s="13">
        <f t="shared" si="186"/>
        <v>-28203.06</v>
      </c>
      <c r="AG510" s="685">
        <f t="shared" si="187"/>
        <v>0</v>
      </c>
      <c r="AH510" s="688" t="b">
        <f t="shared" si="188"/>
        <v>1</v>
      </c>
    </row>
    <row r="511" spans="1:34" s="1" customFormat="1" ht="15" customHeight="1">
      <c r="A511" s="946">
        <v>20920006</v>
      </c>
      <c r="B511" s="946" t="s">
        <v>678</v>
      </c>
      <c r="C511" s="946" t="s">
        <v>1433</v>
      </c>
      <c r="D511" s="946">
        <v>100000039</v>
      </c>
      <c r="E511" s="946" t="s">
        <v>1431</v>
      </c>
      <c r="F511" s="946" t="s">
        <v>11</v>
      </c>
      <c r="G511" s="947">
        <v>28381.54</v>
      </c>
      <c r="H511" s="947">
        <v>28381.54</v>
      </c>
      <c r="I511" s="949">
        <v>45791</v>
      </c>
      <c r="J511" s="949">
        <v>48487</v>
      </c>
      <c r="K511" s="948"/>
      <c r="L511" s="29" t="e">
        <f>VLOOKUP(A511,'Account Mapping'!$A$2:$E$216,3,0)</f>
        <v>#N/A</v>
      </c>
      <c r="M511" s="25" t="e">
        <f>VLOOKUP(A511,'Account Mapping'!$A$2:$E$216,4,0)</f>
        <v>#N/A</v>
      </c>
      <c r="N511" s="26" t="e">
        <f>IF(OR(C511='Account Mapping'!$H$4,C511='Account Mapping'!$H$5,C511='Account Mapping'!$H$6),'Account Mapping'!$I$4,VLOOKUP(A511,'Account Mapping'!$A$2:$E$216,5,0))</f>
        <v>#N/A</v>
      </c>
      <c r="O511" s="27" t="e">
        <f>IF(OR(L511="Loan",L511="Deposit_Liability",L511="OFF_Unused Loan Commitment",L511="HQLA"),VLOOKUP(D511,'Customer Type'!$A$3:$C$38,3,0),"")</f>
        <v>#N/A</v>
      </c>
      <c r="P511" s="656" t="e">
        <f t="shared" si="176"/>
        <v>#N/A</v>
      </c>
      <c r="Q511" s="658">
        <f>IF(COUNTIF('Account Mapping'!$H$12:$H$45,A511)&gt;0,-H511,H511)</f>
        <v>-28381.54</v>
      </c>
      <c r="R511" s="249" t="e">
        <f>VLOOKUP(P511,Assumptions!$C$2:$D$64,2,0)</f>
        <v>#N/A</v>
      </c>
      <c r="S511" s="692">
        <f>IFERROR(VLOOKUP(A511,'Maturity Adjustment'!$A$3:$C$81,3,0),(IF(J511&lt;$N$4,"Tomorrow",J511)))</f>
        <v>48487</v>
      </c>
      <c r="T511" s="190">
        <f t="shared" ref="T511:T526" si="191">IF(S511="Tomorrow",1,(S511-$N$4))</f>
        <v>2429</v>
      </c>
      <c r="U511" s="196" t="e">
        <f t="shared" si="177"/>
        <v>#N/A</v>
      </c>
      <c r="V511" s="11">
        <f>IFERROR(VLOOKUP(A511,'Maturity Adjustment'!$A$86:$C$91,3,0),S511)</f>
        <v>48487</v>
      </c>
      <c r="W511" s="12" t="e">
        <f>VLOOKUP(A511,'Account Mapping'!$A$2:$F$216,6,0)</f>
        <v>#N/A</v>
      </c>
      <c r="X511" s="194">
        <f t="shared" si="178"/>
        <v>0</v>
      </c>
      <c r="Y511" s="194">
        <f t="shared" si="179"/>
        <v>0</v>
      </c>
      <c r="Z511" s="13">
        <f t="shared" si="180"/>
        <v>0</v>
      </c>
      <c r="AA511" s="13">
        <f t="shared" si="181"/>
        <v>0</v>
      </c>
      <c r="AB511" s="13">
        <f t="shared" si="182"/>
        <v>0</v>
      </c>
      <c r="AC511" s="13">
        <f t="shared" si="183"/>
        <v>0</v>
      </c>
      <c r="AD511" s="13">
        <f t="shared" si="184"/>
        <v>0</v>
      </c>
      <c r="AE511" s="13">
        <f t="shared" si="185"/>
        <v>0</v>
      </c>
      <c r="AF511" s="13">
        <f t="shared" si="186"/>
        <v>-28381.54</v>
      </c>
      <c r="AG511" s="685">
        <f t="shared" si="187"/>
        <v>0</v>
      </c>
      <c r="AH511" s="688" t="b">
        <f t="shared" si="188"/>
        <v>1</v>
      </c>
    </row>
    <row r="512" spans="1:34" s="1" customFormat="1" ht="15" customHeight="1">
      <c r="A512" s="946">
        <v>20920006</v>
      </c>
      <c r="B512" s="946" t="s">
        <v>678</v>
      </c>
      <c r="C512" s="946" t="s">
        <v>1463</v>
      </c>
      <c r="D512" s="946">
        <v>100000035</v>
      </c>
      <c r="E512" s="946" t="s">
        <v>1277</v>
      </c>
      <c r="F512" s="946" t="s">
        <v>11</v>
      </c>
      <c r="G512" s="947">
        <v>202221.06</v>
      </c>
      <c r="H512" s="947">
        <v>202221.06</v>
      </c>
      <c r="I512" s="949">
        <v>45903</v>
      </c>
      <c r="J512" s="949">
        <v>47820</v>
      </c>
      <c r="K512" s="948"/>
      <c r="L512" s="29" t="e">
        <f>VLOOKUP(A512,'Account Mapping'!$A$2:$E$216,3,0)</f>
        <v>#N/A</v>
      </c>
      <c r="M512" s="25" t="e">
        <f>VLOOKUP(A512,'Account Mapping'!$A$2:$E$216,4,0)</f>
        <v>#N/A</v>
      </c>
      <c r="N512" s="26" t="e">
        <f>IF(OR(C512='Account Mapping'!$H$4,C512='Account Mapping'!$H$5,C512='Account Mapping'!$H$6),'Account Mapping'!$I$4,VLOOKUP(A512,'Account Mapping'!$A$2:$E$216,5,0))</f>
        <v>#N/A</v>
      </c>
      <c r="O512" s="27" t="e">
        <f>IF(OR(L512="Loan",L512="Deposit_Liability",L512="OFF_Unused Loan Commitment",L512="HQLA"),VLOOKUP(D512,'Customer Type'!$A$3:$C$38,3,0),"")</f>
        <v>#N/A</v>
      </c>
      <c r="P512" s="656" t="e">
        <f t="shared" si="176"/>
        <v>#N/A</v>
      </c>
      <c r="Q512" s="658">
        <f>IF(COUNTIF('Account Mapping'!$H$12:$H$45,A512)&gt;0,-H512,H512)</f>
        <v>-202221.06</v>
      </c>
      <c r="R512" s="249" t="e">
        <f>VLOOKUP(P512,Assumptions!$C$2:$D$64,2,0)</f>
        <v>#N/A</v>
      </c>
      <c r="S512" s="692">
        <f>IFERROR(VLOOKUP(A512,'Maturity Adjustment'!$A$3:$C$81,3,0),(IF(J512&lt;$N$4,"Tomorrow",J512)))</f>
        <v>47820</v>
      </c>
      <c r="T512" s="190">
        <f t="shared" si="191"/>
        <v>1762</v>
      </c>
      <c r="U512" s="196" t="e">
        <f t="shared" si="177"/>
        <v>#N/A</v>
      </c>
      <c r="V512" s="11">
        <f>IFERROR(VLOOKUP(A512,'Maturity Adjustment'!$A$86:$C$91,3,0),S512)</f>
        <v>47820</v>
      </c>
      <c r="W512" s="12" t="e">
        <f>VLOOKUP(A512,'Account Mapping'!$A$2:$F$216,6,0)</f>
        <v>#N/A</v>
      </c>
      <c r="X512" s="194">
        <f t="shared" si="178"/>
        <v>0</v>
      </c>
      <c r="Y512" s="194">
        <f t="shared" si="179"/>
        <v>0</v>
      </c>
      <c r="Z512" s="13">
        <f t="shared" si="180"/>
        <v>0</v>
      </c>
      <c r="AA512" s="13">
        <f t="shared" si="181"/>
        <v>0</v>
      </c>
      <c r="AB512" s="13">
        <f t="shared" si="182"/>
        <v>0</v>
      </c>
      <c r="AC512" s="13">
        <f t="shared" si="183"/>
        <v>0</v>
      </c>
      <c r="AD512" s="13">
        <f t="shared" si="184"/>
        <v>0</v>
      </c>
      <c r="AE512" s="13">
        <f t="shared" si="185"/>
        <v>-202221.06</v>
      </c>
      <c r="AF512" s="13">
        <f t="shared" si="186"/>
        <v>0</v>
      </c>
      <c r="AG512" s="685">
        <f t="shared" si="187"/>
        <v>0</v>
      </c>
      <c r="AH512" s="688" t="b">
        <f t="shared" si="188"/>
        <v>1</v>
      </c>
    </row>
    <row r="513" spans="1:34" s="1" customFormat="1" ht="15" customHeight="1">
      <c r="A513" s="946">
        <v>20970003</v>
      </c>
      <c r="B513" s="946" t="s">
        <v>679</v>
      </c>
      <c r="C513" s="946" t="s">
        <v>601</v>
      </c>
      <c r="D513" s="946">
        <v>100000001</v>
      </c>
      <c r="E513" s="946" t="s">
        <v>33</v>
      </c>
      <c r="F513" s="946" t="s">
        <v>11</v>
      </c>
      <c r="G513" s="947">
        <v>126128.92</v>
      </c>
      <c r="H513" s="947">
        <v>126128.92</v>
      </c>
      <c r="I513" s="949"/>
      <c r="J513" s="949"/>
      <c r="K513" s="948"/>
      <c r="L513" s="29" t="e">
        <f>VLOOKUP(A513,'Account Mapping'!$A$2:$E$216,3,0)</f>
        <v>#N/A</v>
      </c>
      <c r="M513" s="25" t="e">
        <f>VLOOKUP(A513,'Account Mapping'!$A$2:$E$216,4,0)</f>
        <v>#N/A</v>
      </c>
      <c r="N513" s="26" t="e">
        <f>IF(OR(C513='Account Mapping'!$H$4,C513='Account Mapping'!$H$5,C513='Account Mapping'!$H$6),'Account Mapping'!$I$4,VLOOKUP(A513,'Account Mapping'!$A$2:$E$216,5,0))</f>
        <v>#N/A</v>
      </c>
      <c r="O513" s="27" t="e">
        <f>IF(OR(L513="Loan",L513="Deposit_Liability",L513="OFF_Unused Loan Commitment",L513="HQLA"),VLOOKUP(D513,'Customer Type'!$A$3:$C$38,3,0),"")</f>
        <v>#N/A</v>
      </c>
      <c r="P513" s="656" t="e">
        <f t="shared" si="176"/>
        <v>#N/A</v>
      </c>
      <c r="Q513" s="658">
        <f>IF(COUNTIF('Account Mapping'!$H$12:$H$45,A513)&gt;0,-H513,H513)</f>
        <v>126128.92</v>
      </c>
      <c r="R513" s="249" t="e">
        <f>VLOOKUP(P513,Assumptions!$C$2:$D$64,2,0)</f>
        <v>#N/A</v>
      </c>
      <c r="S513" s="692" t="str">
        <f>IFERROR(VLOOKUP(A513,'Maturity Adjustment'!$A$3:$C$81,3,0),(IF(J513&lt;$N$4,"Tomorrow",J513)))</f>
        <v>Tomorrow</v>
      </c>
      <c r="T513" s="190">
        <f t="shared" si="191"/>
        <v>1</v>
      </c>
      <c r="U513" s="196" t="e">
        <f t="shared" si="177"/>
        <v>#N/A</v>
      </c>
      <c r="V513" s="11" t="str">
        <f>IFERROR(VLOOKUP(A513,'Maturity Adjustment'!$A$86:$C$91,3,0),S513)</f>
        <v>Tomorrow</v>
      </c>
      <c r="W513" s="12" t="e">
        <f>VLOOKUP(A513,'Account Mapping'!$A$2:$F$216,6,0)</f>
        <v>#N/A</v>
      </c>
      <c r="X513" s="194">
        <f t="shared" si="178"/>
        <v>126128.92</v>
      </c>
      <c r="Y513" s="194">
        <f t="shared" si="179"/>
        <v>0</v>
      </c>
      <c r="Z513" s="13">
        <f t="shared" si="180"/>
        <v>0</v>
      </c>
      <c r="AA513" s="13">
        <f t="shared" si="181"/>
        <v>0</v>
      </c>
      <c r="AB513" s="13">
        <f t="shared" si="182"/>
        <v>0</v>
      </c>
      <c r="AC513" s="13">
        <f t="shared" si="183"/>
        <v>0</v>
      </c>
      <c r="AD513" s="13">
        <f t="shared" si="184"/>
        <v>0</v>
      </c>
      <c r="AE513" s="13">
        <f t="shared" si="185"/>
        <v>0</v>
      </c>
      <c r="AF513" s="13">
        <f t="shared" si="186"/>
        <v>0</v>
      </c>
      <c r="AG513" s="685">
        <f t="shared" si="187"/>
        <v>0</v>
      </c>
      <c r="AH513" s="688" t="b">
        <f t="shared" si="188"/>
        <v>1</v>
      </c>
    </row>
    <row r="514" spans="1:34" s="1" customFormat="1" ht="15" customHeight="1">
      <c r="A514" s="946">
        <v>20970004</v>
      </c>
      <c r="B514" s="946" t="s">
        <v>680</v>
      </c>
      <c r="C514" s="946" t="s">
        <v>681</v>
      </c>
      <c r="D514" s="946">
        <v>100000001</v>
      </c>
      <c r="E514" s="946" t="s">
        <v>33</v>
      </c>
      <c r="F514" s="946" t="s">
        <v>11</v>
      </c>
      <c r="G514" s="947">
        <v>39004.879999999997</v>
      </c>
      <c r="H514" s="947">
        <v>39004.879999999997</v>
      </c>
      <c r="I514" s="949"/>
      <c r="J514" s="949"/>
      <c r="K514" s="948"/>
      <c r="L514" s="29" t="e">
        <f>VLOOKUP(A514,'Account Mapping'!$A$2:$E$216,3,0)</f>
        <v>#N/A</v>
      </c>
      <c r="M514" s="25" t="e">
        <f>VLOOKUP(A514,'Account Mapping'!$A$2:$E$216,4,0)</f>
        <v>#N/A</v>
      </c>
      <c r="N514" s="26" t="e">
        <f>IF(OR(C514='Account Mapping'!$H$4,C514='Account Mapping'!$H$5,C514='Account Mapping'!$H$6),'Account Mapping'!$I$4,VLOOKUP(A514,'Account Mapping'!$A$2:$E$216,5,0))</f>
        <v>#N/A</v>
      </c>
      <c r="O514" s="27" t="e">
        <f>IF(OR(L514="Loan",L514="Deposit_Liability",L514="OFF_Unused Loan Commitment",L514="HQLA"),VLOOKUP(D514,'Customer Type'!$A$3:$C$38,3,0),"")</f>
        <v>#N/A</v>
      </c>
      <c r="P514" s="656" t="e">
        <f t="shared" si="176"/>
        <v>#N/A</v>
      </c>
      <c r="Q514" s="658">
        <f>IF(COUNTIF('Account Mapping'!$H$12:$H$45,A514)&gt;0,-H514,H514)</f>
        <v>39004.879999999997</v>
      </c>
      <c r="R514" s="249" t="e">
        <f>VLOOKUP(P514,Assumptions!$C$2:$D$64,2,0)</f>
        <v>#N/A</v>
      </c>
      <c r="S514" s="692" t="str">
        <f>IFERROR(VLOOKUP(A514,'Maturity Adjustment'!$A$3:$C$81,3,0),(IF(J514&lt;$N$4,"Tomorrow",J514)))</f>
        <v>Tomorrow</v>
      </c>
      <c r="T514" s="190">
        <f t="shared" si="191"/>
        <v>1</v>
      </c>
      <c r="U514" s="196" t="e">
        <f t="shared" si="177"/>
        <v>#N/A</v>
      </c>
      <c r="V514" s="11" t="str">
        <f>IFERROR(VLOOKUP(A514,'Maturity Adjustment'!$A$86:$C$91,3,0),S514)</f>
        <v>Tomorrow</v>
      </c>
      <c r="W514" s="12" t="e">
        <f>VLOOKUP(A514,'Account Mapping'!$A$2:$F$216,6,0)</f>
        <v>#N/A</v>
      </c>
      <c r="X514" s="194">
        <f t="shared" si="178"/>
        <v>39004.879999999997</v>
      </c>
      <c r="Y514" s="194">
        <f t="shared" si="179"/>
        <v>0</v>
      </c>
      <c r="Z514" s="13">
        <f t="shared" si="180"/>
        <v>0</v>
      </c>
      <c r="AA514" s="13">
        <f t="shared" si="181"/>
        <v>0</v>
      </c>
      <c r="AB514" s="13">
        <f t="shared" si="182"/>
        <v>0</v>
      </c>
      <c r="AC514" s="13">
        <f t="shared" si="183"/>
        <v>0</v>
      </c>
      <c r="AD514" s="13">
        <f t="shared" si="184"/>
        <v>0</v>
      </c>
      <c r="AE514" s="13">
        <f t="shared" si="185"/>
        <v>0</v>
      </c>
      <c r="AF514" s="13">
        <f t="shared" si="186"/>
        <v>0</v>
      </c>
      <c r="AG514" s="685">
        <f t="shared" si="187"/>
        <v>0</v>
      </c>
      <c r="AH514" s="688" t="b">
        <f t="shared" si="188"/>
        <v>1</v>
      </c>
    </row>
    <row r="515" spans="1:34" s="1" customFormat="1" ht="15" customHeight="1">
      <c r="A515" s="946">
        <v>20970005</v>
      </c>
      <c r="B515" s="946" t="s">
        <v>1526</v>
      </c>
      <c r="C515" s="946" t="s">
        <v>1527</v>
      </c>
      <c r="D515" s="946">
        <v>100000001</v>
      </c>
      <c r="E515" s="946" t="s">
        <v>33</v>
      </c>
      <c r="F515" s="946" t="s">
        <v>11</v>
      </c>
      <c r="G515" s="947">
        <v>132443</v>
      </c>
      <c r="H515" s="947">
        <v>132443</v>
      </c>
      <c r="I515" s="948"/>
      <c r="J515" s="948"/>
      <c r="K515" s="948"/>
      <c r="L515" s="29" t="e">
        <f>VLOOKUP(A515,'Account Mapping'!$A$2:$E$216,3,0)</f>
        <v>#N/A</v>
      </c>
      <c r="M515" s="25" t="e">
        <f>VLOOKUP(A515,'Account Mapping'!$A$2:$E$216,4,0)</f>
        <v>#N/A</v>
      </c>
      <c r="N515" s="26" t="e">
        <f>IF(OR(C515='Account Mapping'!$H$4,C515='Account Mapping'!$H$5,C515='Account Mapping'!$H$6),'Account Mapping'!$I$4,VLOOKUP(A515,'Account Mapping'!$A$2:$E$216,5,0))</f>
        <v>#N/A</v>
      </c>
      <c r="O515" s="27" t="e">
        <f>IF(OR(L515="Loan",L515="Deposit_Liability",L515="OFF_Unused Loan Commitment",L515="HQLA"),VLOOKUP(D515,'Customer Type'!$A$3:$C$38,3,0),"")</f>
        <v>#N/A</v>
      </c>
      <c r="P515" s="656" t="e">
        <f t="shared" si="176"/>
        <v>#N/A</v>
      </c>
      <c r="Q515" s="658">
        <f>IF(COUNTIF('Account Mapping'!$H$12:$H$45,A515)&gt;0,-H515,H515)</f>
        <v>132443</v>
      </c>
      <c r="R515" s="249" t="e">
        <f>VLOOKUP(P515,Assumptions!$C$2:$D$64,2,0)</f>
        <v>#N/A</v>
      </c>
      <c r="S515" s="692" t="str">
        <f>IFERROR(VLOOKUP(A515,'Maturity Adjustment'!$A$3:$C$81,3,0),(IF(J515&lt;$N$4,"Tomorrow",J515)))</f>
        <v>Tomorrow</v>
      </c>
      <c r="T515" s="190">
        <f t="shared" si="191"/>
        <v>1</v>
      </c>
      <c r="U515" s="196" t="e">
        <f t="shared" si="177"/>
        <v>#N/A</v>
      </c>
      <c r="V515" s="11" t="str">
        <f>IFERROR(VLOOKUP(A515,'Maturity Adjustment'!$A$86:$C$91,3,0),S515)</f>
        <v>Tomorrow</v>
      </c>
      <c r="W515" s="12" t="e">
        <f>VLOOKUP(A515,'Account Mapping'!$A$2:$F$216,6,0)</f>
        <v>#N/A</v>
      </c>
      <c r="X515" s="194">
        <f t="shared" si="178"/>
        <v>132443</v>
      </c>
      <c r="Y515" s="194">
        <f t="shared" si="179"/>
        <v>0</v>
      </c>
      <c r="Z515" s="13">
        <f t="shared" si="180"/>
        <v>0</v>
      </c>
      <c r="AA515" s="13">
        <f t="shared" si="181"/>
        <v>0</v>
      </c>
      <c r="AB515" s="13">
        <f t="shared" si="182"/>
        <v>0</v>
      </c>
      <c r="AC515" s="13">
        <f t="shared" si="183"/>
        <v>0</v>
      </c>
      <c r="AD515" s="13">
        <f t="shared" si="184"/>
        <v>0</v>
      </c>
      <c r="AE515" s="13">
        <f t="shared" si="185"/>
        <v>0</v>
      </c>
      <c r="AF515" s="13">
        <f t="shared" si="186"/>
        <v>0</v>
      </c>
      <c r="AG515" s="685">
        <f t="shared" si="187"/>
        <v>0</v>
      </c>
      <c r="AH515" s="688" t="b">
        <f t="shared" si="188"/>
        <v>1</v>
      </c>
    </row>
    <row r="516" spans="1:34" s="1" customFormat="1" ht="15" customHeight="1">
      <c r="A516" s="946">
        <v>20990013</v>
      </c>
      <c r="B516" s="946" t="s">
        <v>1537</v>
      </c>
      <c r="C516" s="946" t="s">
        <v>1538</v>
      </c>
      <c r="D516" s="946">
        <v>100000002</v>
      </c>
      <c r="E516" s="946" t="s">
        <v>40</v>
      </c>
      <c r="F516" s="946" t="s">
        <v>11</v>
      </c>
      <c r="G516" s="947">
        <v>12147</v>
      </c>
      <c r="H516" s="947">
        <v>12147</v>
      </c>
      <c r="I516" s="948"/>
      <c r="J516" s="948"/>
      <c r="K516" s="948"/>
      <c r="L516" s="29" t="e">
        <f>VLOOKUP(A516,'Account Mapping'!$A$2:$E$216,3,0)</f>
        <v>#N/A</v>
      </c>
      <c r="M516" s="25" t="e">
        <f>VLOOKUP(A516,'Account Mapping'!$A$2:$E$216,4,0)</f>
        <v>#N/A</v>
      </c>
      <c r="N516" s="26" t="e">
        <f>IF(OR(C516='Account Mapping'!$H$4,C516='Account Mapping'!$H$5,C516='Account Mapping'!$H$6),'Account Mapping'!$I$4,VLOOKUP(A516,'Account Mapping'!$A$2:$E$216,5,0))</f>
        <v>#N/A</v>
      </c>
      <c r="O516" s="27" t="e">
        <f>IF(OR(L516="Loan",L516="Deposit_Liability",L516="OFF_Unused Loan Commitment",L516="HQLA"),VLOOKUP(D516,'Customer Type'!$A$3:$C$38,3,0),"")</f>
        <v>#N/A</v>
      </c>
      <c r="P516" s="656" t="e">
        <f t="shared" si="176"/>
        <v>#N/A</v>
      </c>
      <c r="Q516" s="658">
        <f>IF(COUNTIF('Account Mapping'!$H$12:$H$45,A516)&gt;0,-H516,H516)</f>
        <v>12147</v>
      </c>
      <c r="R516" s="249" t="e">
        <f>VLOOKUP(P516,Assumptions!$C$2:$D$64,2,0)</f>
        <v>#N/A</v>
      </c>
      <c r="S516" s="692" t="str">
        <f>IFERROR(VLOOKUP(A516,'Maturity Adjustment'!$A$3:$C$81,3,0),(IF(J516&lt;$N$4,"Tomorrow",J516)))</f>
        <v>Tomorrow</v>
      </c>
      <c r="T516" s="190">
        <f t="shared" si="191"/>
        <v>1</v>
      </c>
      <c r="U516" s="196" t="e">
        <f t="shared" si="177"/>
        <v>#N/A</v>
      </c>
      <c r="V516" s="11" t="str">
        <f>IFERROR(VLOOKUP(A516,'Maturity Adjustment'!$A$86:$C$91,3,0),S516)</f>
        <v>Tomorrow</v>
      </c>
      <c r="W516" s="12" t="e">
        <f>VLOOKUP(A516,'Account Mapping'!$A$2:$F$216,6,0)</f>
        <v>#N/A</v>
      </c>
      <c r="X516" s="194">
        <f t="shared" si="178"/>
        <v>12147</v>
      </c>
      <c r="Y516" s="194">
        <f t="shared" si="179"/>
        <v>0</v>
      </c>
      <c r="Z516" s="13">
        <f t="shared" si="180"/>
        <v>0</v>
      </c>
      <c r="AA516" s="13">
        <f t="shared" si="181"/>
        <v>0</v>
      </c>
      <c r="AB516" s="13">
        <f t="shared" si="182"/>
        <v>0</v>
      </c>
      <c r="AC516" s="13">
        <f t="shared" si="183"/>
        <v>0</v>
      </c>
      <c r="AD516" s="13">
        <f t="shared" si="184"/>
        <v>0</v>
      </c>
      <c r="AE516" s="13">
        <f t="shared" si="185"/>
        <v>0</v>
      </c>
      <c r="AF516" s="13">
        <f t="shared" si="186"/>
        <v>0</v>
      </c>
      <c r="AG516" s="685">
        <f t="shared" si="187"/>
        <v>0</v>
      </c>
      <c r="AH516" s="688" t="b">
        <f t="shared" si="188"/>
        <v>1</v>
      </c>
    </row>
    <row r="517" spans="1:34" s="1" customFormat="1" ht="15" customHeight="1">
      <c r="A517" s="946">
        <v>20990013</v>
      </c>
      <c r="B517" s="946" t="s">
        <v>1537</v>
      </c>
      <c r="C517" s="946" t="s">
        <v>1539</v>
      </c>
      <c r="D517" s="946">
        <v>100000002</v>
      </c>
      <c r="E517" s="946" t="s">
        <v>40</v>
      </c>
      <c r="F517" s="946" t="s">
        <v>11</v>
      </c>
      <c r="G517" s="947">
        <v>7072</v>
      </c>
      <c r="H517" s="947">
        <v>7072</v>
      </c>
      <c r="I517" s="948"/>
      <c r="J517" s="948"/>
      <c r="K517" s="948"/>
      <c r="L517" s="29" t="e">
        <f>VLOOKUP(A517,'Account Mapping'!$A$2:$E$216,3,0)</f>
        <v>#N/A</v>
      </c>
      <c r="M517" s="25" t="e">
        <f>VLOOKUP(A517,'Account Mapping'!$A$2:$E$216,4,0)</f>
        <v>#N/A</v>
      </c>
      <c r="N517" s="26" t="e">
        <f>IF(OR(C517='Account Mapping'!$H$4,C517='Account Mapping'!$H$5,C517='Account Mapping'!$H$6),'Account Mapping'!$I$4,VLOOKUP(A517,'Account Mapping'!$A$2:$E$216,5,0))</f>
        <v>#N/A</v>
      </c>
      <c r="O517" s="27" t="e">
        <f>IF(OR(L517="Loan",L517="Deposit_Liability",L517="OFF_Unused Loan Commitment",L517="HQLA"),VLOOKUP(D517,'Customer Type'!$A$3:$C$38,3,0),"")</f>
        <v>#N/A</v>
      </c>
      <c r="P517" s="656" t="e">
        <f t="shared" si="176"/>
        <v>#N/A</v>
      </c>
      <c r="Q517" s="658">
        <f>IF(COUNTIF('Account Mapping'!$H$12:$H$45,A517)&gt;0,-H517,H517)</f>
        <v>7072</v>
      </c>
      <c r="R517" s="249" t="e">
        <f>VLOOKUP(P517,Assumptions!$C$2:$D$64,2,0)</f>
        <v>#N/A</v>
      </c>
      <c r="S517" s="692" t="str">
        <f>IFERROR(VLOOKUP(A517,'Maturity Adjustment'!$A$3:$C$81,3,0),(IF(J517&lt;$N$4,"Tomorrow",J517)))</f>
        <v>Tomorrow</v>
      </c>
      <c r="T517" s="190">
        <f t="shared" si="191"/>
        <v>1</v>
      </c>
      <c r="U517" s="196" t="e">
        <f t="shared" si="177"/>
        <v>#N/A</v>
      </c>
      <c r="V517" s="11" t="str">
        <f>IFERROR(VLOOKUP(A517,'Maturity Adjustment'!$A$86:$C$91,3,0),S517)</f>
        <v>Tomorrow</v>
      </c>
      <c r="W517" s="12" t="e">
        <f>VLOOKUP(A517,'Account Mapping'!$A$2:$F$216,6,0)</f>
        <v>#N/A</v>
      </c>
      <c r="X517" s="194">
        <f t="shared" si="178"/>
        <v>7072</v>
      </c>
      <c r="Y517" s="194">
        <f t="shared" si="179"/>
        <v>0</v>
      </c>
      <c r="Z517" s="13">
        <f t="shared" si="180"/>
        <v>0</v>
      </c>
      <c r="AA517" s="13">
        <f t="shared" si="181"/>
        <v>0</v>
      </c>
      <c r="AB517" s="13">
        <f t="shared" si="182"/>
        <v>0</v>
      </c>
      <c r="AC517" s="13">
        <f t="shared" si="183"/>
        <v>0</v>
      </c>
      <c r="AD517" s="13">
        <f t="shared" si="184"/>
        <v>0</v>
      </c>
      <c r="AE517" s="13">
        <f t="shared" si="185"/>
        <v>0</v>
      </c>
      <c r="AF517" s="13">
        <f t="shared" si="186"/>
        <v>0</v>
      </c>
      <c r="AG517" s="685">
        <f t="shared" si="187"/>
        <v>0</v>
      </c>
      <c r="AH517" s="688" t="b">
        <f t="shared" si="188"/>
        <v>1</v>
      </c>
    </row>
    <row r="518" spans="1:34" s="1" customFormat="1" ht="15" customHeight="1">
      <c r="A518" s="946">
        <v>20990013</v>
      </c>
      <c r="B518" s="946" t="s">
        <v>1537</v>
      </c>
      <c r="C518" s="946" t="s">
        <v>1547</v>
      </c>
      <c r="D518" s="946">
        <v>100000002</v>
      </c>
      <c r="E518" s="946" t="s">
        <v>40</v>
      </c>
      <c r="F518" s="946" t="s">
        <v>11</v>
      </c>
      <c r="G518" s="947">
        <v>8.61</v>
      </c>
      <c r="H518" s="947">
        <v>8.61</v>
      </c>
      <c r="I518" s="948"/>
      <c r="J518" s="948"/>
      <c r="K518" s="948"/>
      <c r="L518" s="29" t="e">
        <f>VLOOKUP(A518,'Account Mapping'!$A$2:$E$216,3,0)</f>
        <v>#N/A</v>
      </c>
      <c r="M518" s="25" t="e">
        <f>VLOOKUP(A518,'Account Mapping'!$A$2:$E$216,4,0)</f>
        <v>#N/A</v>
      </c>
      <c r="N518" s="26" t="e">
        <f>IF(OR(C518='Account Mapping'!$H$4,C518='Account Mapping'!$H$5,C518='Account Mapping'!$H$6),'Account Mapping'!$I$4,VLOOKUP(A518,'Account Mapping'!$A$2:$E$216,5,0))</f>
        <v>#N/A</v>
      </c>
      <c r="O518" s="27" t="e">
        <f>IF(OR(L518="Loan",L518="Deposit_Liability",L518="OFF_Unused Loan Commitment",L518="HQLA"),VLOOKUP(D518,'Customer Type'!$A$3:$C$38,3,0),"")</f>
        <v>#N/A</v>
      </c>
      <c r="P518" s="656" t="e">
        <f t="shared" si="176"/>
        <v>#N/A</v>
      </c>
      <c r="Q518" s="658">
        <f>IF(COUNTIF('Account Mapping'!$H$12:$H$45,A518)&gt;0,-H518,H518)</f>
        <v>8.61</v>
      </c>
      <c r="R518" s="249" t="e">
        <f>VLOOKUP(P518,Assumptions!$C$2:$D$64,2,0)</f>
        <v>#N/A</v>
      </c>
      <c r="S518" s="692" t="str">
        <f>IFERROR(VLOOKUP(A518,'Maturity Adjustment'!$A$3:$C$81,3,0),(IF(J518&lt;$N$4,"Tomorrow",J518)))</f>
        <v>Tomorrow</v>
      </c>
      <c r="T518" s="190">
        <f t="shared" si="191"/>
        <v>1</v>
      </c>
      <c r="U518" s="196" t="e">
        <f t="shared" si="177"/>
        <v>#N/A</v>
      </c>
      <c r="V518" s="11" t="str">
        <f>IFERROR(VLOOKUP(A518,'Maturity Adjustment'!$A$86:$C$91,3,0),S518)</f>
        <v>Tomorrow</v>
      </c>
      <c r="W518" s="12" t="e">
        <f>VLOOKUP(A518,'Account Mapping'!$A$2:$F$216,6,0)</f>
        <v>#N/A</v>
      </c>
      <c r="X518" s="194">
        <f t="shared" si="178"/>
        <v>8.61</v>
      </c>
      <c r="Y518" s="194">
        <f t="shared" si="179"/>
        <v>0</v>
      </c>
      <c r="Z518" s="13">
        <f t="shared" si="180"/>
        <v>0</v>
      </c>
      <c r="AA518" s="13">
        <f t="shared" si="181"/>
        <v>0</v>
      </c>
      <c r="AB518" s="13">
        <f t="shared" si="182"/>
        <v>0</v>
      </c>
      <c r="AC518" s="13">
        <f t="shared" si="183"/>
        <v>0</v>
      </c>
      <c r="AD518" s="13">
        <f t="shared" si="184"/>
        <v>0</v>
      </c>
      <c r="AE518" s="13">
        <f t="shared" si="185"/>
        <v>0</v>
      </c>
      <c r="AF518" s="13">
        <f t="shared" si="186"/>
        <v>0</v>
      </c>
      <c r="AG518" s="685">
        <f t="shared" si="187"/>
        <v>0</v>
      </c>
      <c r="AH518" s="688" t="b">
        <f t="shared" si="188"/>
        <v>1</v>
      </c>
    </row>
    <row r="519" spans="1:34" s="1" customFormat="1" ht="15" customHeight="1">
      <c r="A519" s="946">
        <v>20990013</v>
      </c>
      <c r="B519" s="946" t="s">
        <v>1537</v>
      </c>
      <c r="C519" s="946" t="s">
        <v>1555</v>
      </c>
      <c r="D519" s="946">
        <v>100000002</v>
      </c>
      <c r="E519" s="946" t="s">
        <v>40</v>
      </c>
      <c r="F519" s="946" t="s">
        <v>11</v>
      </c>
      <c r="G519" s="947">
        <v>11296</v>
      </c>
      <c r="H519" s="947">
        <v>11296</v>
      </c>
      <c r="I519" s="948"/>
      <c r="J519" s="948"/>
      <c r="K519" s="948"/>
      <c r="L519" s="29" t="e">
        <f>VLOOKUP(A519,'Account Mapping'!$A$2:$E$216,3,0)</f>
        <v>#N/A</v>
      </c>
      <c r="M519" s="25" t="e">
        <f>VLOOKUP(A519,'Account Mapping'!$A$2:$E$216,4,0)</f>
        <v>#N/A</v>
      </c>
      <c r="N519" s="26" t="e">
        <f>IF(OR(C519='Account Mapping'!$H$4,C519='Account Mapping'!$H$5,C519='Account Mapping'!$H$6),'Account Mapping'!$I$4,VLOOKUP(A519,'Account Mapping'!$A$2:$E$216,5,0))</f>
        <v>#N/A</v>
      </c>
      <c r="O519" s="27" t="e">
        <f>IF(OR(L519="Loan",L519="Deposit_Liability",L519="OFF_Unused Loan Commitment",L519="HQLA"),VLOOKUP(D519,'Customer Type'!$A$3:$C$38,3,0),"")</f>
        <v>#N/A</v>
      </c>
      <c r="P519" s="656" t="e">
        <f t="shared" si="176"/>
        <v>#N/A</v>
      </c>
      <c r="Q519" s="658">
        <f>IF(COUNTIF('Account Mapping'!$H$12:$H$45,A519)&gt;0,-H519,H519)</f>
        <v>11296</v>
      </c>
      <c r="R519" s="249" t="e">
        <f>VLOOKUP(P519,Assumptions!$C$2:$D$64,2,0)</f>
        <v>#N/A</v>
      </c>
      <c r="S519" s="692" t="str">
        <f>IFERROR(VLOOKUP(A519,'Maturity Adjustment'!$A$3:$C$81,3,0),(IF(J519&lt;$N$4,"Tomorrow",J519)))</f>
        <v>Tomorrow</v>
      </c>
      <c r="T519" s="190">
        <f t="shared" si="191"/>
        <v>1</v>
      </c>
      <c r="U519" s="196" t="e">
        <f t="shared" si="177"/>
        <v>#N/A</v>
      </c>
      <c r="V519" s="11" t="str">
        <f>IFERROR(VLOOKUP(A519,'Maturity Adjustment'!$A$86:$C$91,3,0),S519)</f>
        <v>Tomorrow</v>
      </c>
      <c r="W519" s="12" t="e">
        <f>VLOOKUP(A519,'Account Mapping'!$A$2:$F$216,6,0)</f>
        <v>#N/A</v>
      </c>
      <c r="X519" s="194">
        <f t="shared" si="178"/>
        <v>11296</v>
      </c>
      <c r="Y519" s="194">
        <f t="shared" si="179"/>
        <v>0</v>
      </c>
      <c r="Z519" s="13">
        <f t="shared" si="180"/>
        <v>0</v>
      </c>
      <c r="AA519" s="13">
        <f t="shared" si="181"/>
        <v>0</v>
      </c>
      <c r="AB519" s="13">
        <f t="shared" si="182"/>
        <v>0</v>
      </c>
      <c r="AC519" s="13">
        <f t="shared" si="183"/>
        <v>0</v>
      </c>
      <c r="AD519" s="13">
        <f t="shared" si="184"/>
        <v>0</v>
      </c>
      <c r="AE519" s="13">
        <f t="shared" si="185"/>
        <v>0</v>
      </c>
      <c r="AF519" s="13">
        <f t="shared" si="186"/>
        <v>0</v>
      </c>
      <c r="AG519" s="685">
        <f t="shared" si="187"/>
        <v>0</v>
      </c>
      <c r="AH519" s="688" t="b">
        <f t="shared" si="188"/>
        <v>1</v>
      </c>
    </row>
    <row r="520" spans="1:34" s="1" customFormat="1" ht="15" customHeight="1">
      <c r="A520" s="946">
        <v>20990013</v>
      </c>
      <c r="B520" s="946" t="s">
        <v>1537</v>
      </c>
      <c r="C520" s="946" t="s">
        <v>1564</v>
      </c>
      <c r="D520" s="946">
        <v>100000002</v>
      </c>
      <c r="E520" s="946" t="s">
        <v>40</v>
      </c>
      <c r="F520" s="946" t="s">
        <v>11</v>
      </c>
      <c r="G520" s="947">
        <v>10374</v>
      </c>
      <c r="H520" s="947">
        <v>10374</v>
      </c>
      <c r="I520" s="948"/>
      <c r="J520" s="948"/>
      <c r="K520" s="948"/>
      <c r="L520" s="29" t="e">
        <f>VLOOKUP(A520,'Account Mapping'!$A$2:$E$216,3,0)</f>
        <v>#N/A</v>
      </c>
      <c r="M520" s="25" t="e">
        <f>VLOOKUP(A520,'Account Mapping'!$A$2:$E$216,4,0)</f>
        <v>#N/A</v>
      </c>
      <c r="N520" s="26" t="e">
        <f>IF(OR(C520='Account Mapping'!$H$4,C520='Account Mapping'!$H$5,C520='Account Mapping'!$H$6),'Account Mapping'!$I$4,VLOOKUP(A520,'Account Mapping'!$A$2:$E$216,5,0))</f>
        <v>#N/A</v>
      </c>
      <c r="O520" s="27" t="e">
        <f>IF(OR(L520="Loan",L520="Deposit_Liability",L520="OFF_Unused Loan Commitment",L520="HQLA"),VLOOKUP(D520,'Customer Type'!$A$3:$C$38,3,0),"")</f>
        <v>#N/A</v>
      </c>
      <c r="P520" s="656" t="e">
        <f t="shared" ref="P520:P583" si="192">M520&amp;"_"&amp;O520</f>
        <v>#N/A</v>
      </c>
      <c r="Q520" s="658">
        <f>IF(COUNTIF('Account Mapping'!$H$12:$H$45,A520)&gt;0,-H520,H520)</f>
        <v>10374</v>
      </c>
      <c r="R520" s="249" t="e">
        <f>VLOOKUP(P520,Assumptions!$C$2:$D$64,2,0)</f>
        <v>#N/A</v>
      </c>
      <c r="S520" s="692" t="str">
        <f>IFERROR(VLOOKUP(A520,'Maturity Adjustment'!$A$3:$C$81,3,0),(IF(J520&lt;$N$4,"Tomorrow",J520)))</f>
        <v>Tomorrow</v>
      </c>
      <c r="T520" s="190">
        <f t="shared" si="191"/>
        <v>1</v>
      </c>
      <c r="U520" s="196" t="e">
        <f t="shared" ref="U520:U583" si="193">Q520*R520</f>
        <v>#N/A</v>
      </c>
      <c r="V520" s="11" t="str">
        <f>IFERROR(VLOOKUP(A520,'Maturity Adjustment'!$A$86:$C$91,3,0),S520)</f>
        <v>Tomorrow</v>
      </c>
      <c r="W520" s="12" t="e">
        <f>VLOOKUP(A520,'Account Mapping'!$A$2:$F$216,6,0)</f>
        <v>#N/A</v>
      </c>
      <c r="X520" s="194">
        <f t="shared" ref="X520:X583" si="194">IF(V520="Tomorrow",Q520,IF(AND(V520&gt;$X$4-1,V520&lt;$X$5),Q520,IF(V520=$X$5,Q520,0)))</f>
        <v>10374</v>
      </c>
      <c r="Y520" s="194">
        <f t="shared" ref="Y520:Y583" si="195">IF(AND(V520&gt;$Y$4-1,V520&lt;$Y$5),Q520,IF(V520=$Y$5,Q520,0))</f>
        <v>0</v>
      </c>
      <c r="Z520" s="13">
        <f t="shared" ref="Z520:Z583" si="196">IF(AND(V520&gt;$Z$4-1,V520&lt;$Z$5),Q520,IF(V520=$Z$5,Q520,0))</f>
        <v>0</v>
      </c>
      <c r="AA520" s="13">
        <f t="shared" ref="AA520:AA583" si="197">IF(AND(V520&gt;$AA$4-1,V520&lt;$AA$5),Q520,IF(V520=$AA$5,Q520,0))</f>
        <v>0</v>
      </c>
      <c r="AB520" s="13">
        <f t="shared" ref="AB520:AB583" si="198">IF(AND(V520&gt;$AB$4-1,V520&lt;$AB$5),Q520,IF(V520=$AB$5,Q520,0))</f>
        <v>0</v>
      </c>
      <c r="AC520" s="13">
        <f t="shared" ref="AC520:AC583" si="199">IF(AND(V520&gt;$AC$4-1,V520&lt;$AC$5),Q520,IF(V520=$AC$5,Q520,0))</f>
        <v>0</v>
      </c>
      <c r="AD520" s="13">
        <f t="shared" ref="AD520:AD583" si="200">IF(AND(V520&gt;$AD$4-1,V520&lt;$AD$5),Q520,IF(V520=$AD$5,Q520,0))</f>
        <v>0</v>
      </c>
      <c r="AE520" s="13">
        <f t="shared" ref="AE520:AE583" si="201">IF(AND(V520&gt;$AE$4-1,V520&lt;$AE$5),Q520,IF(V520=$AE$5,Q520,0))</f>
        <v>0</v>
      </c>
      <c r="AF520" s="13">
        <f t="shared" ref="AF520:AF583" si="202">IF(AND(V520&gt;$AF$4-1,V520&lt;$AF$5),Q520,IF(V520=$AF$5,Q520,0))</f>
        <v>0</v>
      </c>
      <c r="AG520" s="685">
        <f t="shared" ref="AG520:AG583" si="203">IF(AND(V520&gt;$AG$4-1,V520&lt;$AG$5),Q520,IF(V520=$AG$5,Q520,0))</f>
        <v>0</v>
      </c>
      <c r="AH520" s="688" t="b">
        <f t="shared" ref="AH520:AH583" si="204">Q520=SUM(X520:AG520)</f>
        <v>1</v>
      </c>
    </row>
    <row r="521" spans="1:34" s="1" customFormat="1" ht="15" customHeight="1">
      <c r="A521" s="946">
        <v>20990013</v>
      </c>
      <c r="B521" s="946" t="s">
        <v>1537</v>
      </c>
      <c r="C521" s="946" t="s">
        <v>1565</v>
      </c>
      <c r="D521" s="946">
        <v>100000002</v>
      </c>
      <c r="E521" s="946" t="s">
        <v>40</v>
      </c>
      <c r="F521" s="946" t="s">
        <v>11</v>
      </c>
      <c r="G521" s="947">
        <v>13906</v>
      </c>
      <c r="H521" s="947">
        <v>13906</v>
      </c>
      <c r="I521" s="948"/>
      <c r="J521" s="948"/>
      <c r="K521" s="948"/>
      <c r="L521" s="29" t="e">
        <f>VLOOKUP(A521,'Account Mapping'!$A$2:$E$216,3,0)</f>
        <v>#N/A</v>
      </c>
      <c r="M521" s="25" t="e">
        <f>VLOOKUP(A521,'Account Mapping'!$A$2:$E$216,4,0)</f>
        <v>#N/A</v>
      </c>
      <c r="N521" s="26" t="e">
        <f>IF(OR(C521='Account Mapping'!$H$4,C521='Account Mapping'!$H$5,C521='Account Mapping'!$H$6),'Account Mapping'!$I$4,VLOOKUP(A521,'Account Mapping'!$A$2:$E$216,5,0))</f>
        <v>#N/A</v>
      </c>
      <c r="O521" s="27" t="e">
        <f>IF(OR(L521="Loan",L521="Deposit_Liability",L521="OFF_Unused Loan Commitment",L521="HQLA"),VLOOKUP(D521,'Customer Type'!$A$3:$C$38,3,0),"")</f>
        <v>#N/A</v>
      </c>
      <c r="P521" s="656" t="e">
        <f t="shared" si="192"/>
        <v>#N/A</v>
      </c>
      <c r="Q521" s="658">
        <f>IF(COUNTIF('Account Mapping'!$H$12:$H$45,A521)&gt;0,-H521,H521)</f>
        <v>13906</v>
      </c>
      <c r="R521" s="249" t="e">
        <f>VLOOKUP(P521,Assumptions!$C$2:$D$64,2,0)</f>
        <v>#N/A</v>
      </c>
      <c r="S521" s="692" t="str">
        <f>IFERROR(VLOOKUP(A521,'Maturity Adjustment'!$A$3:$C$81,3,0),(IF(J521&lt;$N$4,"Tomorrow",J521)))</f>
        <v>Tomorrow</v>
      </c>
      <c r="T521" s="190">
        <f t="shared" si="191"/>
        <v>1</v>
      </c>
      <c r="U521" s="196" t="e">
        <f t="shared" si="193"/>
        <v>#N/A</v>
      </c>
      <c r="V521" s="11" t="str">
        <f>IFERROR(VLOOKUP(A521,'Maturity Adjustment'!$A$86:$C$91,3,0),S521)</f>
        <v>Tomorrow</v>
      </c>
      <c r="W521" s="12" t="e">
        <f>VLOOKUP(A521,'Account Mapping'!$A$2:$F$216,6,0)</f>
        <v>#N/A</v>
      </c>
      <c r="X521" s="194">
        <f t="shared" si="194"/>
        <v>13906</v>
      </c>
      <c r="Y521" s="194">
        <f t="shared" si="195"/>
        <v>0</v>
      </c>
      <c r="Z521" s="13">
        <f t="shared" si="196"/>
        <v>0</v>
      </c>
      <c r="AA521" s="13">
        <f t="shared" si="197"/>
        <v>0</v>
      </c>
      <c r="AB521" s="13">
        <f t="shared" si="198"/>
        <v>0</v>
      </c>
      <c r="AC521" s="13">
        <f t="shared" si="199"/>
        <v>0</v>
      </c>
      <c r="AD521" s="13">
        <f t="shared" si="200"/>
        <v>0</v>
      </c>
      <c r="AE521" s="13">
        <f t="shared" si="201"/>
        <v>0</v>
      </c>
      <c r="AF521" s="13">
        <f t="shared" si="202"/>
        <v>0</v>
      </c>
      <c r="AG521" s="685">
        <f t="shared" si="203"/>
        <v>0</v>
      </c>
      <c r="AH521" s="688" t="b">
        <f t="shared" si="204"/>
        <v>1</v>
      </c>
    </row>
    <row r="522" spans="1:34" s="1" customFormat="1" ht="15" customHeight="1">
      <c r="A522" s="946">
        <v>20990018</v>
      </c>
      <c r="B522" s="946" t="s">
        <v>868</v>
      </c>
      <c r="C522" s="946" t="s">
        <v>869</v>
      </c>
      <c r="D522" s="946">
        <v>100000014</v>
      </c>
      <c r="E522" s="946" t="s">
        <v>23</v>
      </c>
      <c r="F522" s="946" t="s">
        <v>26</v>
      </c>
      <c r="G522" s="947">
        <v>8036.65</v>
      </c>
      <c r="H522" s="947">
        <v>11441.7</v>
      </c>
      <c r="I522" s="948"/>
      <c r="J522" s="948"/>
      <c r="K522" s="948"/>
      <c r="L522" s="29" t="e">
        <f>VLOOKUP(A522,'Account Mapping'!$A$2:$E$216,3,0)</f>
        <v>#N/A</v>
      </c>
      <c r="M522" s="25" t="e">
        <f>VLOOKUP(A522,'Account Mapping'!$A$2:$E$216,4,0)</f>
        <v>#N/A</v>
      </c>
      <c r="N522" s="26" t="e">
        <f>IF(OR(C522='Account Mapping'!$H$4,C522='Account Mapping'!$H$5,C522='Account Mapping'!$H$6),'Account Mapping'!$I$4,VLOOKUP(A522,'Account Mapping'!$A$2:$E$216,5,0))</f>
        <v>#N/A</v>
      </c>
      <c r="O522" s="27" t="e">
        <f>IF(OR(L522="Loan",L522="Deposit_Liability",L522="OFF_Unused Loan Commitment",L522="HQLA"),VLOOKUP(D522,'Customer Type'!$A$3:$C$38,3,0),"")</f>
        <v>#N/A</v>
      </c>
      <c r="P522" s="656" t="e">
        <f t="shared" si="192"/>
        <v>#N/A</v>
      </c>
      <c r="Q522" s="658">
        <f>IF(COUNTIF('Account Mapping'!$H$12:$H$45,A522)&gt;0,-H522,H522)</f>
        <v>11441.7</v>
      </c>
      <c r="R522" s="249" t="e">
        <f>VLOOKUP(P522,Assumptions!$C$2:$D$64,2,0)</f>
        <v>#N/A</v>
      </c>
      <c r="S522" s="692" t="str">
        <f>IFERROR(VLOOKUP(A522,'Maturity Adjustment'!$A$3:$C$81,3,0),(IF(J522&lt;$N$4,"Tomorrow",J522)))</f>
        <v>Tomorrow</v>
      </c>
      <c r="T522" s="190">
        <f t="shared" si="191"/>
        <v>1</v>
      </c>
      <c r="U522" s="196" t="e">
        <f t="shared" si="193"/>
        <v>#N/A</v>
      </c>
      <c r="V522" s="11" t="str">
        <f>IFERROR(VLOOKUP(A522,'Maturity Adjustment'!$A$86:$C$91,3,0),S522)</f>
        <v>Tomorrow</v>
      </c>
      <c r="W522" s="12" t="e">
        <f>VLOOKUP(A522,'Account Mapping'!$A$2:$F$216,6,0)</f>
        <v>#N/A</v>
      </c>
      <c r="X522" s="194">
        <f t="shared" si="194"/>
        <v>11441.7</v>
      </c>
      <c r="Y522" s="194">
        <f t="shared" si="195"/>
        <v>0</v>
      </c>
      <c r="Z522" s="13">
        <f t="shared" si="196"/>
        <v>0</v>
      </c>
      <c r="AA522" s="13">
        <f t="shared" si="197"/>
        <v>0</v>
      </c>
      <c r="AB522" s="13">
        <f t="shared" si="198"/>
        <v>0</v>
      </c>
      <c r="AC522" s="13">
        <f t="shared" si="199"/>
        <v>0</v>
      </c>
      <c r="AD522" s="13">
        <f t="shared" si="200"/>
        <v>0</v>
      </c>
      <c r="AE522" s="13">
        <f t="shared" si="201"/>
        <v>0</v>
      </c>
      <c r="AF522" s="13">
        <f t="shared" si="202"/>
        <v>0</v>
      </c>
      <c r="AG522" s="685">
        <f t="shared" si="203"/>
        <v>0</v>
      </c>
      <c r="AH522" s="688" t="b">
        <f t="shared" si="204"/>
        <v>1</v>
      </c>
    </row>
    <row r="523" spans="1:34" s="1" customFormat="1" ht="15" customHeight="1">
      <c r="A523" s="946">
        <v>20990018</v>
      </c>
      <c r="B523" s="946" t="s">
        <v>868</v>
      </c>
      <c r="C523" s="946" t="s">
        <v>1469</v>
      </c>
      <c r="D523" s="946">
        <v>100000035</v>
      </c>
      <c r="E523" s="946" t="s">
        <v>1277</v>
      </c>
      <c r="F523" s="946" t="s">
        <v>11</v>
      </c>
      <c r="G523" s="947">
        <v>39726.5</v>
      </c>
      <c r="H523" s="947">
        <v>39726.5</v>
      </c>
      <c r="I523" s="948"/>
      <c r="J523" s="948"/>
      <c r="K523" s="948"/>
      <c r="L523" s="29" t="e">
        <f>VLOOKUP(A523,'Account Mapping'!$A$2:$E$216,3,0)</f>
        <v>#N/A</v>
      </c>
      <c r="M523" s="25" t="e">
        <f>VLOOKUP(A523,'Account Mapping'!$A$2:$E$216,4,0)</f>
        <v>#N/A</v>
      </c>
      <c r="N523" s="26" t="e">
        <f>IF(OR(C523='Account Mapping'!$H$4,C523='Account Mapping'!$H$5,C523='Account Mapping'!$H$6),'Account Mapping'!$I$4,VLOOKUP(A523,'Account Mapping'!$A$2:$E$216,5,0))</f>
        <v>#N/A</v>
      </c>
      <c r="O523" s="27" t="e">
        <f>IF(OR(L523="Loan",L523="Deposit_Liability",L523="OFF_Unused Loan Commitment",L523="HQLA"),VLOOKUP(D523,'Customer Type'!$A$3:$C$38,3,0),"")</f>
        <v>#N/A</v>
      </c>
      <c r="P523" s="656" t="e">
        <f t="shared" si="192"/>
        <v>#N/A</v>
      </c>
      <c r="Q523" s="658">
        <f>IF(COUNTIF('Account Mapping'!$H$12:$H$45,A523)&gt;0,-H523,H523)</f>
        <v>39726.5</v>
      </c>
      <c r="R523" s="249" t="e">
        <f>VLOOKUP(P523,Assumptions!$C$2:$D$64,2,0)</f>
        <v>#N/A</v>
      </c>
      <c r="S523" s="692" t="str">
        <f>IFERROR(VLOOKUP(A523,'Maturity Adjustment'!$A$3:$C$81,3,0),(IF(J523&lt;$N$4,"Tomorrow",J523)))</f>
        <v>Tomorrow</v>
      </c>
      <c r="T523" s="190">
        <f t="shared" si="191"/>
        <v>1</v>
      </c>
      <c r="U523" s="196" t="e">
        <f t="shared" si="193"/>
        <v>#N/A</v>
      </c>
      <c r="V523" s="11" t="str">
        <f>IFERROR(VLOOKUP(A523,'Maturity Adjustment'!$A$86:$C$91,3,0),S523)</f>
        <v>Tomorrow</v>
      </c>
      <c r="W523" s="12" t="e">
        <f>VLOOKUP(A523,'Account Mapping'!$A$2:$F$216,6,0)</f>
        <v>#N/A</v>
      </c>
      <c r="X523" s="194">
        <f t="shared" si="194"/>
        <v>39726.5</v>
      </c>
      <c r="Y523" s="194">
        <f t="shared" si="195"/>
        <v>0</v>
      </c>
      <c r="Z523" s="13">
        <f t="shared" si="196"/>
        <v>0</v>
      </c>
      <c r="AA523" s="13">
        <f t="shared" si="197"/>
        <v>0</v>
      </c>
      <c r="AB523" s="13">
        <f t="shared" si="198"/>
        <v>0</v>
      </c>
      <c r="AC523" s="13">
        <f t="shared" si="199"/>
        <v>0</v>
      </c>
      <c r="AD523" s="13">
        <f t="shared" si="200"/>
        <v>0</v>
      </c>
      <c r="AE523" s="13">
        <f t="shared" si="201"/>
        <v>0</v>
      </c>
      <c r="AF523" s="13">
        <f t="shared" si="202"/>
        <v>0</v>
      </c>
      <c r="AG523" s="685">
        <f t="shared" si="203"/>
        <v>0</v>
      </c>
      <c r="AH523" s="688" t="b">
        <f t="shared" si="204"/>
        <v>1</v>
      </c>
    </row>
    <row r="524" spans="1:34" s="1" customFormat="1" ht="15" customHeight="1">
      <c r="A524" s="946">
        <v>23200001</v>
      </c>
      <c r="B524" s="946" t="s">
        <v>1327</v>
      </c>
      <c r="C524" s="946" t="s">
        <v>51</v>
      </c>
      <c r="D524" s="946">
        <v>100000001</v>
      </c>
      <c r="E524" s="946" t="s">
        <v>33</v>
      </c>
      <c r="F524" s="946" t="s">
        <v>11</v>
      </c>
      <c r="G524" s="947">
        <v>1600470.82</v>
      </c>
      <c r="H524" s="947">
        <v>1600470.82</v>
      </c>
      <c r="I524" s="948">
        <v>44621</v>
      </c>
      <c r="J524" s="948">
        <v>47057</v>
      </c>
      <c r="K524" s="948"/>
      <c r="L524" s="29" t="e">
        <f>VLOOKUP(A524,'Account Mapping'!$A$2:$E$216,3,0)</f>
        <v>#N/A</v>
      </c>
      <c r="M524" s="25" t="e">
        <f>VLOOKUP(A524,'Account Mapping'!$A$2:$E$216,4,0)</f>
        <v>#N/A</v>
      </c>
      <c r="N524" s="26" t="e">
        <f>IF(OR(C524='Account Mapping'!$H$4,C524='Account Mapping'!$H$5,C524='Account Mapping'!$H$6),'Account Mapping'!$I$4,VLOOKUP(A524,'Account Mapping'!$A$2:$E$216,5,0))</f>
        <v>#N/A</v>
      </c>
      <c r="O524" s="27" t="e">
        <f>IF(OR(L524="Loan",L524="Deposit_Liability",L524="OFF_Unused Loan Commitment",L524="HQLA"),VLOOKUP(D524,'Customer Type'!$A$3:$C$38,3,0),"")</f>
        <v>#N/A</v>
      </c>
      <c r="P524" s="656" t="e">
        <f t="shared" si="192"/>
        <v>#N/A</v>
      </c>
      <c r="Q524" s="658">
        <f>IF(COUNTIF('Account Mapping'!$H$12:$H$45,A524)&gt;0,-H524,H524)</f>
        <v>1600470.82</v>
      </c>
      <c r="R524" s="249" t="e">
        <f>VLOOKUP(P524,Assumptions!$C$2:$D$64,2,0)</f>
        <v>#N/A</v>
      </c>
      <c r="S524" s="692">
        <f>IFERROR(VLOOKUP(A524,'Maturity Adjustment'!$A$3:$C$81,3,0),(IF(J524&lt;$N$4,"Tomorrow",J524)))</f>
        <v>47057</v>
      </c>
      <c r="T524" s="190">
        <f t="shared" si="191"/>
        <v>999</v>
      </c>
      <c r="U524" s="196" t="e">
        <f t="shared" si="193"/>
        <v>#N/A</v>
      </c>
      <c r="V524" s="11">
        <f>IFERROR(VLOOKUP(A524,'Maturity Adjustment'!$A$86:$C$91,3,0),S524)</f>
        <v>47057</v>
      </c>
      <c r="W524" s="12" t="e">
        <f>VLOOKUP(A524,'Account Mapping'!$A$2:$F$216,6,0)</f>
        <v>#N/A</v>
      </c>
      <c r="X524" s="194">
        <f t="shared" si="194"/>
        <v>0</v>
      </c>
      <c r="Y524" s="194">
        <f t="shared" si="195"/>
        <v>0</v>
      </c>
      <c r="Z524" s="13">
        <f t="shared" si="196"/>
        <v>0</v>
      </c>
      <c r="AA524" s="13">
        <f t="shared" si="197"/>
        <v>0</v>
      </c>
      <c r="AB524" s="13">
        <f t="shared" si="198"/>
        <v>0</v>
      </c>
      <c r="AC524" s="13">
        <f t="shared" si="199"/>
        <v>0</v>
      </c>
      <c r="AD524" s="13">
        <f t="shared" si="200"/>
        <v>1600470.82</v>
      </c>
      <c r="AE524" s="13">
        <f t="shared" si="201"/>
        <v>0</v>
      </c>
      <c r="AF524" s="13">
        <f t="shared" si="202"/>
        <v>0</v>
      </c>
      <c r="AG524" s="685">
        <f t="shared" si="203"/>
        <v>0</v>
      </c>
      <c r="AH524" s="688" t="b">
        <f t="shared" si="204"/>
        <v>1</v>
      </c>
    </row>
    <row r="525" spans="1:34" s="1" customFormat="1" ht="15" customHeight="1">
      <c r="A525" s="946">
        <v>23200001</v>
      </c>
      <c r="B525" s="946" t="s">
        <v>1327</v>
      </c>
      <c r="C525" s="946" t="s">
        <v>1403</v>
      </c>
      <c r="D525" s="946">
        <v>100000001</v>
      </c>
      <c r="E525" s="946" t="s">
        <v>33</v>
      </c>
      <c r="F525" s="946" t="s">
        <v>11</v>
      </c>
      <c r="G525" s="947">
        <v>34959.360000000001</v>
      </c>
      <c r="H525" s="947">
        <v>34959.360000000001</v>
      </c>
      <c r="I525" s="948">
        <v>45692</v>
      </c>
      <c r="J525" s="948">
        <v>46421</v>
      </c>
      <c r="K525" s="948"/>
      <c r="L525" s="29" t="e">
        <f>VLOOKUP(A525,'Account Mapping'!$A$2:$E$216,3,0)</f>
        <v>#N/A</v>
      </c>
      <c r="M525" s="25" t="e">
        <f>VLOOKUP(A525,'Account Mapping'!$A$2:$E$216,4,0)</f>
        <v>#N/A</v>
      </c>
      <c r="N525" s="26" t="e">
        <f>IF(OR(C525='Account Mapping'!$H$4,C525='Account Mapping'!$H$5,C525='Account Mapping'!$H$6),'Account Mapping'!$I$4,VLOOKUP(A525,'Account Mapping'!$A$2:$E$216,5,0))</f>
        <v>#N/A</v>
      </c>
      <c r="O525" s="27" t="e">
        <f>IF(OR(L525="Loan",L525="Deposit_Liability",L525="OFF_Unused Loan Commitment",L525="HQLA"),VLOOKUP(D525,'Customer Type'!$A$3:$C$38,3,0),"")</f>
        <v>#N/A</v>
      </c>
      <c r="P525" s="656" t="e">
        <f t="shared" si="192"/>
        <v>#N/A</v>
      </c>
      <c r="Q525" s="658">
        <f>IF(COUNTIF('Account Mapping'!$H$12:$H$45,A525)&gt;0,-H525,H525)</f>
        <v>34959.360000000001</v>
      </c>
      <c r="R525" s="249" t="e">
        <f>VLOOKUP(P525,Assumptions!$C$2:$D$64,2,0)</f>
        <v>#N/A</v>
      </c>
      <c r="S525" s="692">
        <f>IFERROR(VLOOKUP(A525,'Maturity Adjustment'!$A$3:$C$81,3,0),(IF(J525&lt;$N$4,"Tomorrow",J525)))</f>
        <v>46421</v>
      </c>
      <c r="T525" s="190">
        <f t="shared" si="191"/>
        <v>363</v>
      </c>
      <c r="U525" s="196" t="e">
        <f t="shared" si="193"/>
        <v>#N/A</v>
      </c>
      <c r="V525" s="11">
        <f>IFERROR(VLOOKUP(A525,'Maturity Adjustment'!$A$86:$C$91,3,0),S525)</f>
        <v>46421</v>
      </c>
      <c r="W525" s="12" t="e">
        <f>VLOOKUP(A525,'Account Mapping'!$A$2:$F$216,6,0)</f>
        <v>#N/A</v>
      </c>
      <c r="X525" s="194">
        <f t="shared" si="194"/>
        <v>0</v>
      </c>
      <c r="Y525" s="194">
        <f t="shared" si="195"/>
        <v>0</v>
      </c>
      <c r="Z525" s="13">
        <f t="shared" si="196"/>
        <v>0</v>
      </c>
      <c r="AA525" s="13">
        <f t="shared" si="197"/>
        <v>0</v>
      </c>
      <c r="AB525" s="13">
        <f t="shared" si="198"/>
        <v>0</v>
      </c>
      <c r="AC525" s="13">
        <f t="shared" si="199"/>
        <v>34959.360000000001</v>
      </c>
      <c r="AD525" s="13">
        <f t="shared" si="200"/>
        <v>0</v>
      </c>
      <c r="AE525" s="13">
        <f t="shared" si="201"/>
        <v>0</v>
      </c>
      <c r="AF525" s="13">
        <f t="shared" si="202"/>
        <v>0</v>
      </c>
      <c r="AG525" s="685">
        <f t="shared" si="203"/>
        <v>0</v>
      </c>
      <c r="AH525" s="688" t="b">
        <f t="shared" si="204"/>
        <v>1</v>
      </c>
    </row>
    <row r="526" spans="1:34" s="1" customFormat="1" ht="15" customHeight="1">
      <c r="A526" s="946">
        <v>23200001</v>
      </c>
      <c r="B526" s="946" t="s">
        <v>1327</v>
      </c>
      <c r="C526" s="946" t="s">
        <v>1561</v>
      </c>
      <c r="D526" s="946">
        <v>100000001</v>
      </c>
      <c r="E526" s="946" t="s">
        <v>33</v>
      </c>
      <c r="F526" s="946" t="s">
        <v>11</v>
      </c>
      <c r="G526" s="947">
        <v>48945.25</v>
      </c>
      <c r="H526" s="947">
        <v>48945.25</v>
      </c>
      <c r="I526" s="949">
        <v>46039</v>
      </c>
      <c r="J526" s="949">
        <v>46403</v>
      </c>
      <c r="K526" s="948"/>
      <c r="L526" s="29" t="e">
        <f>VLOOKUP(A526,'Account Mapping'!$A$2:$E$216,3,0)</f>
        <v>#N/A</v>
      </c>
      <c r="M526" s="25" t="e">
        <f>VLOOKUP(A526,'Account Mapping'!$A$2:$E$216,4,0)</f>
        <v>#N/A</v>
      </c>
      <c r="N526" s="26" t="e">
        <f>IF(OR(C526='Account Mapping'!$H$4,C526='Account Mapping'!$H$5,C526='Account Mapping'!$H$6),'Account Mapping'!$I$4,VLOOKUP(A526,'Account Mapping'!$A$2:$E$216,5,0))</f>
        <v>#N/A</v>
      </c>
      <c r="O526" s="27" t="e">
        <f>IF(OR(L526="Loan",L526="Deposit_Liability",L526="OFF_Unused Loan Commitment",L526="HQLA"),VLOOKUP(D526,'Customer Type'!$A$3:$C$38,3,0),"")</f>
        <v>#N/A</v>
      </c>
      <c r="P526" s="656" t="e">
        <f t="shared" si="192"/>
        <v>#N/A</v>
      </c>
      <c r="Q526" s="658">
        <f>IF(COUNTIF('Account Mapping'!$H$12:$H$45,A526)&gt;0,-H526,H526)</f>
        <v>48945.25</v>
      </c>
      <c r="R526" s="249" t="e">
        <f>VLOOKUP(P526,Assumptions!$C$2:$D$64,2,0)</f>
        <v>#N/A</v>
      </c>
      <c r="S526" s="692">
        <f>IFERROR(VLOOKUP(A526,'Maturity Adjustment'!$A$3:$C$81,3,0),(IF(J526&lt;$N$4,"Tomorrow",J526)))</f>
        <v>46403</v>
      </c>
      <c r="T526" s="190">
        <f t="shared" si="191"/>
        <v>345</v>
      </c>
      <c r="U526" s="196" t="e">
        <f t="shared" si="193"/>
        <v>#N/A</v>
      </c>
      <c r="V526" s="11">
        <f>IFERROR(VLOOKUP(A526,'Maturity Adjustment'!$A$86:$C$91,3,0),S526)</f>
        <v>46403</v>
      </c>
      <c r="W526" s="12" t="e">
        <f>VLOOKUP(A526,'Account Mapping'!$A$2:$F$216,6,0)</f>
        <v>#N/A</v>
      </c>
      <c r="X526" s="194">
        <f t="shared" si="194"/>
        <v>0</v>
      </c>
      <c r="Y526" s="194">
        <f t="shared" si="195"/>
        <v>0</v>
      </c>
      <c r="Z526" s="13">
        <f t="shared" si="196"/>
        <v>0</v>
      </c>
      <c r="AA526" s="13">
        <f t="shared" si="197"/>
        <v>0</v>
      </c>
      <c r="AB526" s="13">
        <f t="shared" si="198"/>
        <v>0</v>
      </c>
      <c r="AC526" s="13">
        <f t="shared" si="199"/>
        <v>48945.25</v>
      </c>
      <c r="AD526" s="13">
        <f t="shared" si="200"/>
        <v>0</v>
      </c>
      <c r="AE526" s="13">
        <f t="shared" si="201"/>
        <v>0</v>
      </c>
      <c r="AF526" s="13">
        <f t="shared" si="202"/>
        <v>0</v>
      </c>
      <c r="AG526" s="685">
        <f t="shared" si="203"/>
        <v>0</v>
      </c>
      <c r="AH526" s="688" t="b">
        <f t="shared" si="204"/>
        <v>1</v>
      </c>
    </row>
    <row r="527" spans="1:34" s="1" customFormat="1" ht="15" customHeight="1">
      <c r="A527" s="946">
        <v>23200001</v>
      </c>
      <c r="B527" s="946" t="s">
        <v>1327</v>
      </c>
      <c r="C527" s="946" t="s">
        <v>1562</v>
      </c>
      <c r="D527" s="946">
        <v>100000001</v>
      </c>
      <c r="E527" s="946" t="s">
        <v>33</v>
      </c>
      <c r="F527" s="946" t="s">
        <v>11</v>
      </c>
      <c r="G527" s="947">
        <v>48137.34</v>
      </c>
      <c r="H527" s="947">
        <v>48137.34</v>
      </c>
      <c r="I527" s="949">
        <v>46040</v>
      </c>
      <c r="J527" s="949">
        <v>46368</v>
      </c>
      <c r="K527" s="948"/>
      <c r="L527" s="29" t="e">
        <f>VLOOKUP(A527,'Account Mapping'!$A$2:$E$216,3,0)</f>
        <v>#N/A</v>
      </c>
      <c r="M527" s="25" t="e">
        <f>VLOOKUP(A527,'Account Mapping'!$A$2:$E$216,4,0)</f>
        <v>#N/A</v>
      </c>
      <c r="N527" s="26" t="e">
        <f>IF(OR(C527='Account Mapping'!$H$4,C527='Account Mapping'!$H$5,C527='Account Mapping'!$H$6),'Account Mapping'!$I$4,VLOOKUP(A527,'Account Mapping'!$A$2:$E$216,5,0))</f>
        <v>#N/A</v>
      </c>
      <c r="O527" s="27" t="e">
        <f>IF(OR(L527="Loan",L527="Deposit_Liability",L527="OFF_Unused Loan Commitment",L527="HQLA"),VLOOKUP(D527,'Customer Type'!$A$3:$C$38,3,0),"")</f>
        <v>#N/A</v>
      </c>
      <c r="P527" s="656" t="e">
        <f t="shared" si="192"/>
        <v>#N/A</v>
      </c>
      <c r="Q527" s="658">
        <f>IF(COUNTIF('Account Mapping'!$H$12:$H$45,A527)&gt;0,-H527,H527)</f>
        <v>48137.34</v>
      </c>
      <c r="R527" s="249" t="e">
        <f>VLOOKUP(P527,Assumptions!$C$2:$D$64,2,0)</f>
        <v>#N/A</v>
      </c>
      <c r="S527" s="692">
        <f>IFERROR(VLOOKUP(A527,'Maturity Adjustment'!$A$3:$C$81,3,0),(IF(J527&lt;$N$4,"Tomorrow",J527)))</f>
        <v>46368</v>
      </c>
      <c r="T527" s="190">
        <f t="shared" ref="T527:T547" si="205">IF(S527="Tomorrow",1,(S527-$N$4))</f>
        <v>310</v>
      </c>
      <c r="U527" s="196" t="e">
        <f t="shared" si="193"/>
        <v>#N/A</v>
      </c>
      <c r="V527" s="11">
        <f>IFERROR(VLOOKUP(A527,'Maturity Adjustment'!$A$86:$C$91,3,0),S527)</f>
        <v>46368</v>
      </c>
      <c r="W527" s="12" t="e">
        <f>VLOOKUP(A527,'Account Mapping'!$A$2:$F$216,6,0)</f>
        <v>#N/A</v>
      </c>
      <c r="X527" s="194">
        <f t="shared" si="194"/>
        <v>0</v>
      </c>
      <c r="Y527" s="194">
        <f t="shared" si="195"/>
        <v>0</v>
      </c>
      <c r="Z527" s="13">
        <f t="shared" si="196"/>
        <v>0</v>
      </c>
      <c r="AA527" s="13">
        <f t="shared" si="197"/>
        <v>0</v>
      </c>
      <c r="AB527" s="13">
        <f t="shared" si="198"/>
        <v>0</v>
      </c>
      <c r="AC527" s="13">
        <f t="shared" si="199"/>
        <v>48137.34</v>
      </c>
      <c r="AD527" s="13">
        <f t="shared" si="200"/>
        <v>0</v>
      </c>
      <c r="AE527" s="13">
        <f t="shared" si="201"/>
        <v>0</v>
      </c>
      <c r="AF527" s="13">
        <f t="shared" si="202"/>
        <v>0</v>
      </c>
      <c r="AG527" s="685">
        <f t="shared" si="203"/>
        <v>0</v>
      </c>
      <c r="AH527" s="688" t="b">
        <f t="shared" si="204"/>
        <v>1</v>
      </c>
    </row>
    <row r="528" spans="1:34" s="1" customFormat="1" ht="15" customHeight="1">
      <c r="A528" s="946">
        <v>23200001</v>
      </c>
      <c r="B528" s="946" t="s">
        <v>1327</v>
      </c>
      <c r="C528" s="946" t="s">
        <v>1575</v>
      </c>
      <c r="D528" s="946">
        <v>100000001</v>
      </c>
      <c r="E528" s="946" t="s">
        <v>33</v>
      </c>
      <c r="F528" s="946" t="s">
        <v>11</v>
      </c>
      <c r="G528" s="947">
        <v>54338.17</v>
      </c>
      <c r="H528" s="947">
        <v>54338.17</v>
      </c>
      <c r="I528" s="949">
        <v>46049</v>
      </c>
      <c r="J528" s="949">
        <v>46413</v>
      </c>
      <c r="K528" s="948"/>
      <c r="L528" s="29" t="e">
        <f>VLOOKUP(A528,'Account Mapping'!$A$2:$E$216,3,0)</f>
        <v>#N/A</v>
      </c>
      <c r="M528" s="25" t="e">
        <f>VLOOKUP(A528,'Account Mapping'!$A$2:$E$216,4,0)</f>
        <v>#N/A</v>
      </c>
      <c r="N528" s="26" t="e">
        <f>IF(OR(C528='Account Mapping'!$H$4,C528='Account Mapping'!$H$5,C528='Account Mapping'!$H$6),'Account Mapping'!$I$4,VLOOKUP(A528,'Account Mapping'!$A$2:$E$216,5,0))</f>
        <v>#N/A</v>
      </c>
      <c r="O528" s="27" t="e">
        <f>IF(OR(L528="Loan",L528="Deposit_Liability",L528="OFF_Unused Loan Commitment",L528="HQLA"),VLOOKUP(D528,'Customer Type'!$A$3:$C$38,3,0),"")</f>
        <v>#N/A</v>
      </c>
      <c r="P528" s="656" t="e">
        <f t="shared" si="192"/>
        <v>#N/A</v>
      </c>
      <c r="Q528" s="658">
        <f>IF(COUNTIF('Account Mapping'!$H$12:$H$45,A528)&gt;0,-H528,H528)</f>
        <v>54338.17</v>
      </c>
      <c r="R528" s="249" t="e">
        <f>VLOOKUP(P528,Assumptions!$C$2:$D$64,2,0)</f>
        <v>#N/A</v>
      </c>
      <c r="S528" s="692">
        <f>IFERROR(VLOOKUP(A528,'Maturity Adjustment'!$A$3:$C$81,3,0),(IF(J528&lt;$N$4,"Tomorrow",J528)))</f>
        <v>46413</v>
      </c>
      <c r="T528" s="190">
        <f t="shared" si="205"/>
        <v>355</v>
      </c>
      <c r="U528" s="196" t="e">
        <f t="shared" si="193"/>
        <v>#N/A</v>
      </c>
      <c r="V528" s="11">
        <f>IFERROR(VLOOKUP(A528,'Maturity Adjustment'!$A$86:$C$91,3,0),S528)</f>
        <v>46413</v>
      </c>
      <c r="W528" s="12" t="e">
        <f>VLOOKUP(A528,'Account Mapping'!$A$2:$F$216,6,0)</f>
        <v>#N/A</v>
      </c>
      <c r="X528" s="194">
        <f t="shared" si="194"/>
        <v>0</v>
      </c>
      <c r="Y528" s="194">
        <f t="shared" si="195"/>
        <v>0</v>
      </c>
      <c r="Z528" s="13">
        <f t="shared" si="196"/>
        <v>0</v>
      </c>
      <c r="AA528" s="13">
        <f t="shared" si="197"/>
        <v>0</v>
      </c>
      <c r="AB528" s="13">
        <f t="shared" si="198"/>
        <v>0</v>
      </c>
      <c r="AC528" s="13">
        <f t="shared" si="199"/>
        <v>54338.17</v>
      </c>
      <c r="AD528" s="13">
        <f t="shared" si="200"/>
        <v>0</v>
      </c>
      <c r="AE528" s="13">
        <f t="shared" si="201"/>
        <v>0</v>
      </c>
      <c r="AF528" s="13">
        <f t="shared" si="202"/>
        <v>0</v>
      </c>
      <c r="AG528" s="685">
        <f t="shared" si="203"/>
        <v>0</v>
      </c>
      <c r="AH528" s="688" t="b">
        <f t="shared" si="204"/>
        <v>1</v>
      </c>
    </row>
    <row r="529" spans="1:34" s="1" customFormat="1" ht="15" customHeight="1">
      <c r="A529" s="946">
        <v>23200001</v>
      </c>
      <c r="B529" s="946" t="s">
        <v>1327</v>
      </c>
      <c r="C529" s="946" t="s">
        <v>1576</v>
      </c>
      <c r="D529" s="946">
        <v>100000001</v>
      </c>
      <c r="E529" s="946" t="s">
        <v>33</v>
      </c>
      <c r="F529" s="946" t="s">
        <v>11</v>
      </c>
      <c r="G529" s="947">
        <v>53819.77</v>
      </c>
      <c r="H529" s="947">
        <v>53819.77</v>
      </c>
      <c r="I529" s="949">
        <v>46046</v>
      </c>
      <c r="J529" s="949">
        <v>46410</v>
      </c>
      <c r="K529" s="948"/>
      <c r="L529" s="29" t="e">
        <f>VLOOKUP(A529,'Account Mapping'!$A$2:$E$216,3,0)</f>
        <v>#N/A</v>
      </c>
      <c r="M529" s="25" t="e">
        <f>VLOOKUP(A529,'Account Mapping'!$A$2:$E$216,4,0)</f>
        <v>#N/A</v>
      </c>
      <c r="N529" s="26" t="e">
        <f>IF(OR(C529='Account Mapping'!$H$4,C529='Account Mapping'!$H$5,C529='Account Mapping'!$H$6),'Account Mapping'!$I$4,VLOOKUP(A529,'Account Mapping'!$A$2:$E$216,5,0))</f>
        <v>#N/A</v>
      </c>
      <c r="O529" s="27" t="e">
        <f>IF(OR(L529="Loan",L529="Deposit_Liability",L529="OFF_Unused Loan Commitment",L529="HQLA"),VLOOKUP(D529,'Customer Type'!$A$3:$C$38,3,0),"")</f>
        <v>#N/A</v>
      </c>
      <c r="P529" s="656" t="e">
        <f t="shared" si="192"/>
        <v>#N/A</v>
      </c>
      <c r="Q529" s="658">
        <f>IF(COUNTIF('Account Mapping'!$H$12:$H$45,A529)&gt;0,-H529,H529)</f>
        <v>53819.77</v>
      </c>
      <c r="R529" s="249" t="e">
        <f>VLOOKUP(P529,Assumptions!$C$2:$D$64,2,0)</f>
        <v>#N/A</v>
      </c>
      <c r="S529" s="692">
        <f>IFERROR(VLOOKUP(A529,'Maturity Adjustment'!$A$3:$C$81,3,0),(IF(J529&lt;$N$4,"Tomorrow",J529)))</f>
        <v>46410</v>
      </c>
      <c r="T529" s="190">
        <f t="shared" si="205"/>
        <v>352</v>
      </c>
      <c r="U529" s="196" t="e">
        <f t="shared" si="193"/>
        <v>#N/A</v>
      </c>
      <c r="V529" s="11">
        <f>IFERROR(VLOOKUP(A529,'Maturity Adjustment'!$A$86:$C$91,3,0),S529)</f>
        <v>46410</v>
      </c>
      <c r="W529" s="12" t="e">
        <f>VLOOKUP(A529,'Account Mapping'!$A$2:$F$216,6,0)</f>
        <v>#N/A</v>
      </c>
      <c r="X529" s="194">
        <f t="shared" si="194"/>
        <v>0</v>
      </c>
      <c r="Y529" s="194">
        <f t="shared" si="195"/>
        <v>0</v>
      </c>
      <c r="Z529" s="13">
        <f t="shared" si="196"/>
        <v>0</v>
      </c>
      <c r="AA529" s="13">
        <f t="shared" si="197"/>
        <v>0</v>
      </c>
      <c r="AB529" s="13">
        <f t="shared" si="198"/>
        <v>0</v>
      </c>
      <c r="AC529" s="13">
        <f t="shared" si="199"/>
        <v>53819.77</v>
      </c>
      <c r="AD529" s="13">
        <f t="shared" si="200"/>
        <v>0</v>
      </c>
      <c r="AE529" s="13">
        <f t="shared" si="201"/>
        <v>0</v>
      </c>
      <c r="AF529" s="13">
        <f t="shared" si="202"/>
        <v>0</v>
      </c>
      <c r="AG529" s="685">
        <f t="shared" si="203"/>
        <v>0</v>
      </c>
      <c r="AH529" s="688" t="b">
        <f t="shared" si="204"/>
        <v>1</v>
      </c>
    </row>
    <row r="530" spans="1:34" s="1" customFormat="1" ht="15" customHeight="1">
      <c r="A530" s="946">
        <v>23200001</v>
      </c>
      <c r="B530" s="946" t="s">
        <v>1327</v>
      </c>
      <c r="C530" s="946" t="s">
        <v>1328</v>
      </c>
      <c r="D530" s="946">
        <v>100000001</v>
      </c>
      <c r="E530" s="946" t="s">
        <v>33</v>
      </c>
      <c r="F530" s="946" t="s">
        <v>11</v>
      </c>
      <c r="G530" s="947">
        <v>6845.05</v>
      </c>
      <c r="H530" s="947">
        <v>6845.05</v>
      </c>
      <c r="I530" s="949"/>
      <c r="J530" s="949"/>
      <c r="K530" s="948"/>
      <c r="L530" s="29" t="e">
        <f>VLOOKUP(A530,'Account Mapping'!$A$2:$E$216,3,0)</f>
        <v>#N/A</v>
      </c>
      <c r="M530" s="25" t="e">
        <f>VLOOKUP(A530,'Account Mapping'!$A$2:$E$216,4,0)</f>
        <v>#N/A</v>
      </c>
      <c r="N530" s="26" t="e">
        <f>IF(OR(C530='Account Mapping'!$H$4,C530='Account Mapping'!$H$5,C530='Account Mapping'!$H$6),'Account Mapping'!$I$4,VLOOKUP(A530,'Account Mapping'!$A$2:$E$216,5,0))</f>
        <v>#N/A</v>
      </c>
      <c r="O530" s="27" t="e">
        <f>IF(OR(L530="Loan",L530="Deposit_Liability",L530="OFF_Unused Loan Commitment",L530="HQLA"),VLOOKUP(D530,'Customer Type'!$A$3:$C$38,3,0),"")</f>
        <v>#N/A</v>
      </c>
      <c r="P530" s="656" t="e">
        <f t="shared" si="192"/>
        <v>#N/A</v>
      </c>
      <c r="Q530" s="658">
        <f>IF(COUNTIF('Account Mapping'!$H$12:$H$45,A530)&gt;0,-H530,H530)</f>
        <v>6845.05</v>
      </c>
      <c r="R530" s="249" t="e">
        <f>VLOOKUP(P530,Assumptions!$C$2:$D$64,2,0)</f>
        <v>#N/A</v>
      </c>
      <c r="S530" s="692" t="str">
        <f>IFERROR(VLOOKUP(A530,'Maturity Adjustment'!$A$3:$C$81,3,0),(IF(J530&lt;$N$4,"Tomorrow",J530)))</f>
        <v>Tomorrow</v>
      </c>
      <c r="T530" s="190">
        <f t="shared" si="205"/>
        <v>1</v>
      </c>
      <c r="U530" s="196" t="e">
        <f t="shared" si="193"/>
        <v>#N/A</v>
      </c>
      <c r="V530" s="11" t="str">
        <f>IFERROR(VLOOKUP(A530,'Maturity Adjustment'!$A$86:$C$91,3,0),S530)</f>
        <v>Tomorrow</v>
      </c>
      <c r="W530" s="12" t="e">
        <f>VLOOKUP(A530,'Account Mapping'!$A$2:$F$216,6,0)</f>
        <v>#N/A</v>
      </c>
      <c r="X530" s="194">
        <f t="shared" si="194"/>
        <v>6845.05</v>
      </c>
      <c r="Y530" s="194">
        <f t="shared" si="195"/>
        <v>0</v>
      </c>
      <c r="Z530" s="13">
        <f t="shared" si="196"/>
        <v>0</v>
      </c>
      <c r="AA530" s="13">
        <f t="shared" si="197"/>
        <v>0</v>
      </c>
      <c r="AB530" s="13">
        <f t="shared" si="198"/>
        <v>0</v>
      </c>
      <c r="AC530" s="13">
        <f t="shared" si="199"/>
        <v>0</v>
      </c>
      <c r="AD530" s="13">
        <f t="shared" si="200"/>
        <v>0</v>
      </c>
      <c r="AE530" s="13">
        <f t="shared" si="201"/>
        <v>0</v>
      </c>
      <c r="AF530" s="13">
        <f t="shared" si="202"/>
        <v>0</v>
      </c>
      <c r="AG530" s="685">
        <f t="shared" si="203"/>
        <v>0</v>
      </c>
      <c r="AH530" s="688" t="b">
        <f t="shared" si="204"/>
        <v>1</v>
      </c>
    </row>
    <row r="531" spans="1:34" s="1" customFormat="1" ht="15" customHeight="1">
      <c r="A531" s="946">
        <v>23200001</v>
      </c>
      <c r="B531" s="946" t="s">
        <v>1327</v>
      </c>
      <c r="C531" s="946" t="s">
        <v>1329</v>
      </c>
      <c r="D531" s="946">
        <v>100000001</v>
      </c>
      <c r="E531" s="946" t="s">
        <v>33</v>
      </c>
      <c r="F531" s="946" t="s">
        <v>11</v>
      </c>
      <c r="G531" s="947">
        <v>72.22</v>
      </c>
      <c r="H531" s="947">
        <v>72.22</v>
      </c>
      <c r="I531" s="949"/>
      <c r="J531" s="949"/>
      <c r="K531" s="948"/>
      <c r="L531" s="29" t="e">
        <f>VLOOKUP(A531,'Account Mapping'!$A$2:$E$216,3,0)</f>
        <v>#N/A</v>
      </c>
      <c r="M531" s="25" t="e">
        <f>VLOOKUP(A531,'Account Mapping'!$A$2:$E$216,4,0)</f>
        <v>#N/A</v>
      </c>
      <c r="N531" s="26" t="e">
        <f>IF(OR(C531='Account Mapping'!$H$4,C531='Account Mapping'!$H$5,C531='Account Mapping'!$H$6),'Account Mapping'!$I$4,VLOOKUP(A531,'Account Mapping'!$A$2:$E$216,5,0))</f>
        <v>#N/A</v>
      </c>
      <c r="O531" s="27" t="e">
        <f>IF(OR(L531="Loan",L531="Deposit_Liability",L531="OFF_Unused Loan Commitment",L531="HQLA"),VLOOKUP(D531,'Customer Type'!$A$3:$C$38,3,0),"")</f>
        <v>#N/A</v>
      </c>
      <c r="P531" s="656" t="e">
        <f t="shared" si="192"/>
        <v>#N/A</v>
      </c>
      <c r="Q531" s="658">
        <f>IF(COUNTIF('Account Mapping'!$H$12:$H$45,A531)&gt;0,-H531,H531)</f>
        <v>72.22</v>
      </c>
      <c r="R531" s="249" t="e">
        <f>VLOOKUP(P531,Assumptions!$C$2:$D$64,2,0)</f>
        <v>#N/A</v>
      </c>
      <c r="S531" s="692" t="str">
        <f>IFERROR(VLOOKUP(A531,'Maturity Adjustment'!$A$3:$C$81,3,0),(IF(J531&lt;$N$4,"Tomorrow",J531)))</f>
        <v>Tomorrow</v>
      </c>
      <c r="T531" s="190">
        <f t="shared" si="205"/>
        <v>1</v>
      </c>
      <c r="U531" s="196" t="e">
        <f t="shared" si="193"/>
        <v>#N/A</v>
      </c>
      <c r="V531" s="11" t="str">
        <f>IFERROR(VLOOKUP(A531,'Maturity Adjustment'!$A$86:$C$91,3,0),S531)</f>
        <v>Tomorrow</v>
      </c>
      <c r="W531" s="12" t="e">
        <f>VLOOKUP(A531,'Account Mapping'!$A$2:$F$216,6,0)</f>
        <v>#N/A</v>
      </c>
      <c r="X531" s="194">
        <f t="shared" si="194"/>
        <v>72.22</v>
      </c>
      <c r="Y531" s="194">
        <f t="shared" si="195"/>
        <v>0</v>
      </c>
      <c r="Z531" s="13">
        <f t="shared" si="196"/>
        <v>0</v>
      </c>
      <c r="AA531" s="13">
        <f t="shared" si="197"/>
        <v>0</v>
      </c>
      <c r="AB531" s="13">
        <f t="shared" si="198"/>
        <v>0</v>
      </c>
      <c r="AC531" s="13">
        <f t="shared" si="199"/>
        <v>0</v>
      </c>
      <c r="AD531" s="13">
        <f t="shared" si="200"/>
        <v>0</v>
      </c>
      <c r="AE531" s="13">
        <f t="shared" si="201"/>
        <v>0</v>
      </c>
      <c r="AF531" s="13">
        <f t="shared" si="202"/>
        <v>0</v>
      </c>
      <c r="AG531" s="685">
        <f t="shared" si="203"/>
        <v>0</v>
      </c>
      <c r="AH531" s="688" t="b">
        <f t="shared" si="204"/>
        <v>1</v>
      </c>
    </row>
    <row r="532" spans="1:34" s="1" customFormat="1" ht="15" customHeight="1">
      <c r="A532" s="946">
        <v>23200001</v>
      </c>
      <c r="B532" s="946" t="s">
        <v>1327</v>
      </c>
      <c r="C532" s="946" t="s">
        <v>1330</v>
      </c>
      <c r="D532" s="946">
        <v>100000001</v>
      </c>
      <c r="E532" s="946" t="s">
        <v>33</v>
      </c>
      <c r="F532" s="946" t="s">
        <v>11</v>
      </c>
      <c r="G532" s="947">
        <v>39.39</v>
      </c>
      <c r="H532" s="947">
        <v>39.39</v>
      </c>
      <c r="I532" s="948"/>
      <c r="J532" s="948"/>
      <c r="K532" s="948"/>
      <c r="L532" s="29" t="e">
        <f>VLOOKUP(A532,'Account Mapping'!$A$2:$E$216,3,0)</f>
        <v>#N/A</v>
      </c>
      <c r="M532" s="25" t="e">
        <f>VLOOKUP(A532,'Account Mapping'!$A$2:$E$216,4,0)</f>
        <v>#N/A</v>
      </c>
      <c r="N532" s="26" t="e">
        <f>IF(OR(C532='Account Mapping'!$H$4,C532='Account Mapping'!$H$5,C532='Account Mapping'!$H$6),'Account Mapping'!$I$4,VLOOKUP(A532,'Account Mapping'!$A$2:$E$216,5,0))</f>
        <v>#N/A</v>
      </c>
      <c r="O532" s="27" t="e">
        <f>IF(OR(L532="Loan",L532="Deposit_Liability",L532="OFF_Unused Loan Commitment",L532="HQLA"),VLOOKUP(D532,'Customer Type'!$A$3:$C$38,3,0),"")</f>
        <v>#N/A</v>
      </c>
      <c r="P532" s="656" t="e">
        <f t="shared" si="192"/>
        <v>#N/A</v>
      </c>
      <c r="Q532" s="658">
        <f>IF(COUNTIF('Account Mapping'!$H$12:$H$45,A532)&gt;0,-H532,H532)</f>
        <v>39.39</v>
      </c>
      <c r="R532" s="249" t="e">
        <f>VLOOKUP(P532,Assumptions!$C$2:$D$64,2,0)</f>
        <v>#N/A</v>
      </c>
      <c r="S532" s="692" t="str">
        <f>IFERROR(VLOOKUP(A532,'Maturity Adjustment'!$A$3:$C$81,3,0),(IF(J532&lt;$N$4,"Tomorrow",J532)))</f>
        <v>Tomorrow</v>
      </c>
      <c r="T532" s="190">
        <f t="shared" si="205"/>
        <v>1</v>
      </c>
      <c r="U532" s="196" t="e">
        <f t="shared" si="193"/>
        <v>#N/A</v>
      </c>
      <c r="V532" s="11" t="str">
        <f>IFERROR(VLOOKUP(A532,'Maturity Adjustment'!$A$86:$C$91,3,0),S532)</f>
        <v>Tomorrow</v>
      </c>
      <c r="W532" s="12" t="e">
        <f>VLOOKUP(A532,'Account Mapping'!$A$2:$F$216,6,0)</f>
        <v>#N/A</v>
      </c>
      <c r="X532" s="194">
        <f t="shared" si="194"/>
        <v>39.39</v>
      </c>
      <c r="Y532" s="194">
        <f t="shared" si="195"/>
        <v>0</v>
      </c>
      <c r="Z532" s="13">
        <f t="shared" si="196"/>
        <v>0</v>
      </c>
      <c r="AA532" s="13">
        <f t="shared" si="197"/>
        <v>0</v>
      </c>
      <c r="AB532" s="13">
        <f t="shared" si="198"/>
        <v>0</v>
      </c>
      <c r="AC532" s="13">
        <f t="shared" si="199"/>
        <v>0</v>
      </c>
      <c r="AD532" s="13">
        <f t="shared" si="200"/>
        <v>0</v>
      </c>
      <c r="AE532" s="13">
        <f t="shared" si="201"/>
        <v>0</v>
      </c>
      <c r="AF532" s="13">
        <f t="shared" si="202"/>
        <v>0</v>
      </c>
      <c r="AG532" s="685">
        <f t="shared" si="203"/>
        <v>0</v>
      </c>
      <c r="AH532" s="688" t="b">
        <f t="shared" si="204"/>
        <v>1</v>
      </c>
    </row>
    <row r="533" spans="1:34" s="1" customFormat="1" ht="15" customHeight="1">
      <c r="A533" s="946">
        <v>23200001</v>
      </c>
      <c r="B533" s="946" t="s">
        <v>1327</v>
      </c>
      <c r="C533" s="946" t="s">
        <v>1331</v>
      </c>
      <c r="D533" s="946">
        <v>100000001</v>
      </c>
      <c r="E533" s="946" t="s">
        <v>33</v>
      </c>
      <c r="F533" s="946" t="s">
        <v>11</v>
      </c>
      <c r="G533" s="947">
        <v>52.86</v>
      </c>
      <c r="H533" s="947">
        <v>52.86</v>
      </c>
      <c r="I533" s="948"/>
      <c r="J533" s="948"/>
      <c r="K533" s="948"/>
      <c r="L533" s="29" t="e">
        <f>VLOOKUP(A533,'Account Mapping'!$A$2:$E$216,3,0)</f>
        <v>#N/A</v>
      </c>
      <c r="M533" s="25" t="e">
        <f>VLOOKUP(A533,'Account Mapping'!$A$2:$E$216,4,0)</f>
        <v>#N/A</v>
      </c>
      <c r="N533" s="26" t="e">
        <f>IF(OR(C533='Account Mapping'!$H$4,C533='Account Mapping'!$H$5,C533='Account Mapping'!$H$6),'Account Mapping'!$I$4,VLOOKUP(A533,'Account Mapping'!$A$2:$E$216,5,0))</f>
        <v>#N/A</v>
      </c>
      <c r="O533" s="27" t="e">
        <f>IF(OR(L533="Loan",L533="Deposit_Liability",L533="OFF_Unused Loan Commitment",L533="HQLA"),VLOOKUP(D533,'Customer Type'!$A$3:$C$38,3,0),"")</f>
        <v>#N/A</v>
      </c>
      <c r="P533" s="656" t="e">
        <f t="shared" si="192"/>
        <v>#N/A</v>
      </c>
      <c r="Q533" s="658">
        <f>IF(COUNTIF('Account Mapping'!$H$12:$H$45,A533)&gt;0,-H533,H533)</f>
        <v>52.86</v>
      </c>
      <c r="R533" s="249" t="e">
        <f>VLOOKUP(P533,Assumptions!$C$2:$D$64,2,0)</f>
        <v>#N/A</v>
      </c>
      <c r="S533" s="692" t="str">
        <f>IFERROR(VLOOKUP(A533,'Maturity Adjustment'!$A$3:$C$81,3,0),(IF(J533&lt;$N$4,"Tomorrow",J533)))</f>
        <v>Tomorrow</v>
      </c>
      <c r="T533" s="190">
        <f t="shared" si="205"/>
        <v>1</v>
      </c>
      <c r="U533" s="196" t="e">
        <f t="shared" si="193"/>
        <v>#N/A</v>
      </c>
      <c r="V533" s="11" t="str">
        <f>IFERROR(VLOOKUP(A533,'Maturity Adjustment'!$A$86:$C$91,3,0),S533)</f>
        <v>Tomorrow</v>
      </c>
      <c r="W533" s="12" t="e">
        <f>VLOOKUP(A533,'Account Mapping'!$A$2:$F$216,6,0)</f>
        <v>#N/A</v>
      </c>
      <c r="X533" s="194">
        <f t="shared" si="194"/>
        <v>52.86</v>
      </c>
      <c r="Y533" s="194">
        <f t="shared" si="195"/>
        <v>0</v>
      </c>
      <c r="Z533" s="13">
        <f t="shared" si="196"/>
        <v>0</v>
      </c>
      <c r="AA533" s="13">
        <f t="shared" si="197"/>
        <v>0</v>
      </c>
      <c r="AB533" s="13">
        <f t="shared" si="198"/>
        <v>0</v>
      </c>
      <c r="AC533" s="13">
        <f t="shared" si="199"/>
        <v>0</v>
      </c>
      <c r="AD533" s="13">
        <f t="shared" si="200"/>
        <v>0</v>
      </c>
      <c r="AE533" s="13">
        <f t="shared" si="201"/>
        <v>0</v>
      </c>
      <c r="AF533" s="13">
        <f t="shared" si="202"/>
        <v>0</v>
      </c>
      <c r="AG533" s="685">
        <f t="shared" si="203"/>
        <v>0</v>
      </c>
      <c r="AH533" s="688" t="b">
        <f t="shared" si="204"/>
        <v>1</v>
      </c>
    </row>
    <row r="534" spans="1:34" s="1" customFormat="1" ht="15" customHeight="1">
      <c r="A534" s="946">
        <v>23200001</v>
      </c>
      <c r="B534" s="946" t="s">
        <v>1327</v>
      </c>
      <c r="C534" s="946" t="s">
        <v>1332</v>
      </c>
      <c r="D534" s="946">
        <v>100000001</v>
      </c>
      <c r="E534" s="946" t="s">
        <v>33</v>
      </c>
      <c r="F534" s="946" t="s">
        <v>11</v>
      </c>
      <c r="G534" s="947">
        <v>71.150000000000006</v>
      </c>
      <c r="H534" s="947">
        <v>71.150000000000006</v>
      </c>
      <c r="I534" s="948"/>
      <c r="J534" s="948"/>
      <c r="K534" s="948"/>
      <c r="L534" s="29" t="e">
        <f>VLOOKUP(A534,'Account Mapping'!$A$2:$E$216,3,0)</f>
        <v>#N/A</v>
      </c>
      <c r="M534" s="25" t="e">
        <f>VLOOKUP(A534,'Account Mapping'!$A$2:$E$216,4,0)</f>
        <v>#N/A</v>
      </c>
      <c r="N534" s="26" t="e">
        <f>IF(OR(C534='Account Mapping'!$H$4,C534='Account Mapping'!$H$5,C534='Account Mapping'!$H$6),'Account Mapping'!$I$4,VLOOKUP(A534,'Account Mapping'!$A$2:$E$216,5,0))</f>
        <v>#N/A</v>
      </c>
      <c r="O534" s="27" t="e">
        <f>IF(OR(L534="Loan",L534="Deposit_Liability",L534="OFF_Unused Loan Commitment",L534="HQLA"),VLOOKUP(D534,'Customer Type'!$A$3:$C$38,3,0),"")</f>
        <v>#N/A</v>
      </c>
      <c r="P534" s="656" t="e">
        <f t="shared" si="192"/>
        <v>#N/A</v>
      </c>
      <c r="Q534" s="658">
        <f>IF(COUNTIF('Account Mapping'!$H$12:$H$45,A534)&gt;0,-H534,H534)</f>
        <v>71.150000000000006</v>
      </c>
      <c r="R534" s="249" t="e">
        <f>VLOOKUP(P534,Assumptions!$C$2:$D$64,2,0)</f>
        <v>#N/A</v>
      </c>
      <c r="S534" s="692" t="str">
        <f>IFERROR(VLOOKUP(A534,'Maturity Adjustment'!$A$3:$C$81,3,0),(IF(J534&lt;$N$4,"Tomorrow",J534)))</f>
        <v>Tomorrow</v>
      </c>
      <c r="T534" s="190">
        <f t="shared" si="205"/>
        <v>1</v>
      </c>
      <c r="U534" s="196" t="e">
        <f t="shared" si="193"/>
        <v>#N/A</v>
      </c>
      <c r="V534" s="11" t="str">
        <f>IFERROR(VLOOKUP(A534,'Maturity Adjustment'!$A$86:$C$91,3,0),S534)</f>
        <v>Tomorrow</v>
      </c>
      <c r="W534" s="12" t="e">
        <f>VLOOKUP(A534,'Account Mapping'!$A$2:$F$216,6,0)</f>
        <v>#N/A</v>
      </c>
      <c r="X534" s="194">
        <f t="shared" si="194"/>
        <v>71.150000000000006</v>
      </c>
      <c r="Y534" s="194">
        <f t="shared" si="195"/>
        <v>0</v>
      </c>
      <c r="Z534" s="13">
        <f t="shared" si="196"/>
        <v>0</v>
      </c>
      <c r="AA534" s="13">
        <f t="shared" si="197"/>
        <v>0</v>
      </c>
      <c r="AB534" s="13">
        <f t="shared" si="198"/>
        <v>0</v>
      </c>
      <c r="AC534" s="13">
        <f t="shared" si="199"/>
        <v>0</v>
      </c>
      <c r="AD534" s="13">
        <f t="shared" si="200"/>
        <v>0</v>
      </c>
      <c r="AE534" s="13">
        <f t="shared" si="201"/>
        <v>0</v>
      </c>
      <c r="AF534" s="13">
        <f t="shared" si="202"/>
        <v>0</v>
      </c>
      <c r="AG534" s="685">
        <f t="shared" si="203"/>
        <v>0</v>
      </c>
      <c r="AH534" s="688" t="b">
        <f t="shared" si="204"/>
        <v>1</v>
      </c>
    </row>
    <row r="535" spans="1:34" s="1" customFormat="1" ht="15" customHeight="1">
      <c r="A535" s="946">
        <v>23200001</v>
      </c>
      <c r="B535" s="946" t="s">
        <v>1327</v>
      </c>
      <c r="C535" s="946" t="s">
        <v>1333</v>
      </c>
      <c r="D535" s="946">
        <v>100000001</v>
      </c>
      <c r="E535" s="946" t="s">
        <v>33</v>
      </c>
      <c r="F535" s="946" t="s">
        <v>11</v>
      </c>
      <c r="G535" s="947">
        <v>6996.57</v>
      </c>
      <c r="H535" s="947">
        <v>6996.57</v>
      </c>
      <c r="I535" s="948"/>
      <c r="J535" s="948"/>
      <c r="K535" s="948"/>
      <c r="L535" s="29" t="e">
        <f>VLOOKUP(A535,'Account Mapping'!$A$2:$E$216,3,0)</f>
        <v>#N/A</v>
      </c>
      <c r="M535" s="25" t="e">
        <f>VLOOKUP(A535,'Account Mapping'!$A$2:$E$216,4,0)</f>
        <v>#N/A</v>
      </c>
      <c r="N535" s="26" t="e">
        <f>IF(OR(C535='Account Mapping'!$H$4,C535='Account Mapping'!$H$5,C535='Account Mapping'!$H$6),'Account Mapping'!$I$4,VLOOKUP(A535,'Account Mapping'!$A$2:$E$216,5,0))</f>
        <v>#N/A</v>
      </c>
      <c r="O535" s="27" t="e">
        <f>IF(OR(L535="Loan",L535="Deposit_Liability",L535="OFF_Unused Loan Commitment",L535="HQLA"),VLOOKUP(D535,'Customer Type'!$A$3:$C$38,3,0),"")</f>
        <v>#N/A</v>
      </c>
      <c r="P535" s="656" t="e">
        <f t="shared" si="192"/>
        <v>#N/A</v>
      </c>
      <c r="Q535" s="658">
        <f>IF(COUNTIF('Account Mapping'!$H$12:$H$45,A535)&gt;0,-H535,H535)</f>
        <v>6996.57</v>
      </c>
      <c r="R535" s="249" t="e">
        <f>VLOOKUP(P535,Assumptions!$C$2:$D$64,2,0)</f>
        <v>#N/A</v>
      </c>
      <c r="S535" s="692" t="str">
        <f>IFERROR(VLOOKUP(A535,'Maturity Adjustment'!$A$3:$C$81,3,0),(IF(J535&lt;$N$4,"Tomorrow",J535)))</f>
        <v>Tomorrow</v>
      </c>
      <c r="T535" s="190">
        <f t="shared" si="205"/>
        <v>1</v>
      </c>
      <c r="U535" s="196" t="e">
        <f t="shared" si="193"/>
        <v>#N/A</v>
      </c>
      <c r="V535" s="11" t="str">
        <f>IFERROR(VLOOKUP(A535,'Maturity Adjustment'!$A$86:$C$91,3,0),S535)</f>
        <v>Tomorrow</v>
      </c>
      <c r="W535" s="12" t="e">
        <f>VLOOKUP(A535,'Account Mapping'!$A$2:$F$216,6,0)</f>
        <v>#N/A</v>
      </c>
      <c r="X535" s="194">
        <f t="shared" si="194"/>
        <v>6996.57</v>
      </c>
      <c r="Y535" s="194">
        <f t="shared" si="195"/>
        <v>0</v>
      </c>
      <c r="Z535" s="13">
        <f t="shared" si="196"/>
        <v>0</v>
      </c>
      <c r="AA535" s="13">
        <f t="shared" si="197"/>
        <v>0</v>
      </c>
      <c r="AB535" s="13">
        <f t="shared" si="198"/>
        <v>0</v>
      </c>
      <c r="AC535" s="13">
        <f t="shared" si="199"/>
        <v>0</v>
      </c>
      <c r="AD535" s="13">
        <f t="shared" si="200"/>
        <v>0</v>
      </c>
      <c r="AE535" s="13">
        <f t="shared" si="201"/>
        <v>0</v>
      </c>
      <c r="AF535" s="13">
        <f t="shared" si="202"/>
        <v>0</v>
      </c>
      <c r="AG535" s="685">
        <f t="shared" si="203"/>
        <v>0</v>
      </c>
      <c r="AH535" s="688" t="b">
        <f t="shared" si="204"/>
        <v>1</v>
      </c>
    </row>
    <row r="536" spans="1:34" s="1" customFormat="1" ht="15" customHeight="1">
      <c r="A536" s="946">
        <v>23200001</v>
      </c>
      <c r="B536" s="946" t="s">
        <v>1327</v>
      </c>
      <c r="C536" s="946" t="s">
        <v>1334</v>
      </c>
      <c r="D536" s="946">
        <v>100000001</v>
      </c>
      <c r="E536" s="946" t="s">
        <v>33</v>
      </c>
      <c r="F536" s="946" t="s">
        <v>11</v>
      </c>
      <c r="G536" s="947">
        <v>66</v>
      </c>
      <c r="H536" s="947">
        <v>66</v>
      </c>
      <c r="I536" s="948"/>
      <c r="J536" s="948"/>
      <c r="K536" s="948"/>
      <c r="L536" s="29" t="e">
        <f>VLOOKUP(A536,'Account Mapping'!$A$2:$E$216,3,0)</f>
        <v>#N/A</v>
      </c>
      <c r="M536" s="25" t="e">
        <f>VLOOKUP(A536,'Account Mapping'!$A$2:$E$216,4,0)</f>
        <v>#N/A</v>
      </c>
      <c r="N536" s="26" t="e">
        <f>IF(OR(C536='Account Mapping'!$H$4,C536='Account Mapping'!$H$5,C536='Account Mapping'!$H$6),'Account Mapping'!$I$4,VLOOKUP(A536,'Account Mapping'!$A$2:$E$216,5,0))</f>
        <v>#N/A</v>
      </c>
      <c r="O536" s="27" t="e">
        <f>IF(OR(L536="Loan",L536="Deposit_Liability",L536="OFF_Unused Loan Commitment",L536="HQLA"),VLOOKUP(D536,'Customer Type'!$A$3:$C$38,3,0),"")</f>
        <v>#N/A</v>
      </c>
      <c r="P536" s="656" t="e">
        <f t="shared" si="192"/>
        <v>#N/A</v>
      </c>
      <c r="Q536" s="658">
        <f>IF(COUNTIF('Account Mapping'!$H$12:$H$45,A536)&gt;0,-H536,H536)</f>
        <v>66</v>
      </c>
      <c r="R536" s="249" t="e">
        <f>VLOOKUP(P536,Assumptions!$C$2:$D$64,2,0)</f>
        <v>#N/A</v>
      </c>
      <c r="S536" s="692" t="str">
        <f>IFERROR(VLOOKUP(A536,'Maturity Adjustment'!$A$3:$C$81,3,0),(IF(J536&lt;$N$4,"Tomorrow",J536)))</f>
        <v>Tomorrow</v>
      </c>
      <c r="T536" s="190">
        <f t="shared" si="205"/>
        <v>1</v>
      </c>
      <c r="U536" s="196" t="e">
        <f t="shared" si="193"/>
        <v>#N/A</v>
      </c>
      <c r="V536" s="11" t="str">
        <f>IFERROR(VLOOKUP(A536,'Maturity Adjustment'!$A$86:$C$91,3,0),S536)</f>
        <v>Tomorrow</v>
      </c>
      <c r="W536" s="12" t="e">
        <f>VLOOKUP(A536,'Account Mapping'!$A$2:$F$216,6,0)</f>
        <v>#N/A</v>
      </c>
      <c r="X536" s="194">
        <f t="shared" si="194"/>
        <v>66</v>
      </c>
      <c r="Y536" s="194">
        <f t="shared" si="195"/>
        <v>0</v>
      </c>
      <c r="Z536" s="13">
        <f t="shared" si="196"/>
        <v>0</v>
      </c>
      <c r="AA536" s="13">
        <f t="shared" si="197"/>
        <v>0</v>
      </c>
      <c r="AB536" s="13">
        <f t="shared" si="198"/>
        <v>0</v>
      </c>
      <c r="AC536" s="13">
        <f t="shared" si="199"/>
        <v>0</v>
      </c>
      <c r="AD536" s="13">
        <f t="shared" si="200"/>
        <v>0</v>
      </c>
      <c r="AE536" s="13">
        <f t="shared" si="201"/>
        <v>0</v>
      </c>
      <c r="AF536" s="13">
        <f t="shared" si="202"/>
        <v>0</v>
      </c>
      <c r="AG536" s="685">
        <f t="shared" si="203"/>
        <v>0</v>
      </c>
      <c r="AH536" s="688" t="b">
        <f t="shared" si="204"/>
        <v>1</v>
      </c>
    </row>
    <row r="537" spans="1:34" s="1" customFormat="1" ht="15" customHeight="1">
      <c r="A537" s="946">
        <v>23200001</v>
      </c>
      <c r="B537" s="946" t="s">
        <v>1327</v>
      </c>
      <c r="C537" s="946" t="s">
        <v>1335</v>
      </c>
      <c r="D537" s="946">
        <v>100000001</v>
      </c>
      <c r="E537" s="946" t="s">
        <v>33</v>
      </c>
      <c r="F537" s="946" t="s">
        <v>11</v>
      </c>
      <c r="G537" s="947">
        <v>60.73</v>
      </c>
      <c r="H537" s="947">
        <v>60.73</v>
      </c>
      <c r="I537" s="948"/>
      <c r="J537" s="948"/>
      <c r="K537" s="948"/>
      <c r="L537" s="29" t="e">
        <f>VLOOKUP(A537,'Account Mapping'!$A$2:$E$216,3,0)</f>
        <v>#N/A</v>
      </c>
      <c r="M537" s="25" t="e">
        <f>VLOOKUP(A537,'Account Mapping'!$A$2:$E$216,4,0)</f>
        <v>#N/A</v>
      </c>
      <c r="N537" s="26" t="e">
        <f>IF(OR(C537='Account Mapping'!$H$4,C537='Account Mapping'!$H$5,C537='Account Mapping'!$H$6),'Account Mapping'!$I$4,VLOOKUP(A537,'Account Mapping'!$A$2:$E$216,5,0))</f>
        <v>#N/A</v>
      </c>
      <c r="O537" s="27" t="e">
        <f>IF(OR(L537="Loan",L537="Deposit_Liability",L537="OFF_Unused Loan Commitment",L537="HQLA"),VLOOKUP(D537,'Customer Type'!$A$3:$C$38,3,0),"")</f>
        <v>#N/A</v>
      </c>
      <c r="P537" s="656" t="e">
        <f t="shared" si="192"/>
        <v>#N/A</v>
      </c>
      <c r="Q537" s="658">
        <f>IF(COUNTIF('Account Mapping'!$H$12:$H$45,A537)&gt;0,-H537,H537)</f>
        <v>60.73</v>
      </c>
      <c r="R537" s="249" t="e">
        <f>VLOOKUP(P537,Assumptions!$C$2:$D$64,2,0)</f>
        <v>#N/A</v>
      </c>
      <c r="S537" s="692" t="str">
        <f>IFERROR(VLOOKUP(A537,'Maturity Adjustment'!$A$3:$C$81,3,0),(IF(J537&lt;$N$4,"Tomorrow",J537)))</f>
        <v>Tomorrow</v>
      </c>
      <c r="T537" s="190">
        <f t="shared" si="205"/>
        <v>1</v>
      </c>
      <c r="U537" s="196" t="e">
        <f t="shared" si="193"/>
        <v>#N/A</v>
      </c>
      <c r="V537" s="11" t="str">
        <f>IFERROR(VLOOKUP(A537,'Maturity Adjustment'!$A$86:$C$91,3,0),S537)</f>
        <v>Tomorrow</v>
      </c>
      <c r="W537" s="12" t="e">
        <f>VLOOKUP(A537,'Account Mapping'!$A$2:$F$216,6,0)</f>
        <v>#N/A</v>
      </c>
      <c r="X537" s="194">
        <f t="shared" si="194"/>
        <v>60.73</v>
      </c>
      <c r="Y537" s="194">
        <f t="shared" si="195"/>
        <v>0</v>
      </c>
      <c r="Z537" s="13">
        <f t="shared" si="196"/>
        <v>0</v>
      </c>
      <c r="AA537" s="13">
        <f t="shared" si="197"/>
        <v>0</v>
      </c>
      <c r="AB537" s="13">
        <f t="shared" si="198"/>
        <v>0</v>
      </c>
      <c r="AC537" s="13">
        <f t="shared" si="199"/>
        <v>0</v>
      </c>
      <c r="AD537" s="13">
        <f t="shared" si="200"/>
        <v>0</v>
      </c>
      <c r="AE537" s="13">
        <f t="shared" si="201"/>
        <v>0</v>
      </c>
      <c r="AF537" s="13">
        <f t="shared" si="202"/>
        <v>0</v>
      </c>
      <c r="AG537" s="685">
        <f t="shared" si="203"/>
        <v>0</v>
      </c>
      <c r="AH537" s="688" t="b">
        <f t="shared" si="204"/>
        <v>1</v>
      </c>
    </row>
    <row r="538" spans="1:34" s="1" customFormat="1" ht="15" customHeight="1">
      <c r="A538" s="946">
        <v>23200001</v>
      </c>
      <c r="B538" s="946" t="s">
        <v>1327</v>
      </c>
      <c r="C538" s="946" t="s">
        <v>1336</v>
      </c>
      <c r="D538" s="946">
        <v>100000001</v>
      </c>
      <c r="E538" s="946" t="s">
        <v>33</v>
      </c>
      <c r="F538" s="946" t="s">
        <v>11</v>
      </c>
      <c r="G538" s="947">
        <v>34.909999999999997</v>
      </c>
      <c r="H538" s="947">
        <v>34.909999999999997</v>
      </c>
      <c r="I538" s="948"/>
      <c r="J538" s="948"/>
      <c r="K538" s="948"/>
      <c r="L538" s="29" t="e">
        <f>VLOOKUP(A538,'Account Mapping'!$A$2:$E$216,3,0)</f>
        <v>#N/A</v>
      </c>
      <c r="M538" s="25" t="e">
        <f>VLOOKUP(A538,'Account Mapping'!$A$2:$E$216,4,0)</f>
        <v>#N/A</v>
      </c>
      <c r="N538" s="26" t="e">
        <f>IF(OR(C538='Account Mapping'!$H$4,C538='Account Mapping'!$H$5,C538='Account Mapping'!$H$6),'Account Mapping'!$I$4,VLOOKUP(A538,'Account Mapping'!$A$2:$E$216,5,0))</f>
        <v>#N/A</v>
      </c>
      <c r="O538" s="27" t="e">
        <f>IF(OR(L538="Loan",L538="Deposit_Liability",L538="OFF_Unused Loan Commitment",L538="HQLA"),VLOOKUP(D538,'Customer Type'!$A$3:$C$38,3,0),"")</f>
        <v>#N/A</v>
      </c>
      <c r="P538" s="656" t="e">
        <f t="shared" si="192"/>
        <v>#N/A</v>
      </c>
      <c r="Q538" s="658">
        <f>IF(COUNTIF('Account Mapping'!$H$12:$H$45,A538)&gt;0,-H538,H538)</f>
        <v>34.909999999999997</v>
      </c>
      <c r="R538" s="249" t="e">
        <f>VLOOKUP(P538,Assumptions!$C$2:$D$64,2,0)</f>
        <v>#N/A</v>
      </c>
      <c r="S538" s="692" t="str">
        <f>IFERROR(VLOOKUP(A538,'Maturity Adjustment'!$A$3:$C$81,3,0),(IF(J538&lt;$N$4,"Tomorrow",J538)))</f>
        <v>Tomorrow</v>
      </c>
      <c r="T538" s="190">
        <f t="shared" si="205"/>
        <v>1</v>
      </c>
      <c r="U538" s="196" t="e">
        <f t="shared" si="193"/>
        <v>#N/A</v>
      </c>
      <c r="V538" s="11" t="str">
        <f>IFERROR(VLOOKUP(A538,'Maturity Adjustment'!$A$86:$C$91,3,0),S538)</f>
        <v>Tomorrow</v>
      </c>
      <c r="W538" s="12" t="e">
        <f>VLOOKUP(A538,'Account Mapping'!$A$2:$F$216,6,0)</f>
        <v>#N/A</v>
      </c>
      <c r="X538" s="194">
        <f t="shared" si="194"/>
        <v>34.909999999999997</v>
      </c>
      <c r="Y538" s="194">
        <f t="shared" si="195"/>
        <v>0</v>
      </c>
      <c r="Z538" s="13">
        <f t="shared" si="196"/>
        <v>0</v>
      </c>
      <c r="AA538" s="13">
        <f t="shared" si="197"/>
        <v>0</v>
      </c>
      <c r="AB538" s="13">
        <f t="shared" si="198"/>
        <v>0</v>
      </c>
      <c r="AC538" s="13">
        <f t="shared" si="199"/>
        <v>0</v>
      </c>
      <c r="AD538" s="13">
        <f t="shared" si="200"/>
        <v>0</v>
      </c>
      <c r="AE538" s="13">
        <f t="shared" si="201"/>
        <v>0</v>
      </c>
      <c r="AF538" s="13">
        <f t="shared" si="202"/>
        <v>0</v>
      </c>
      <c r="AG538" s="685">
        <f t="shared" si="203"/>
        <v>0</v>
      </c>
      <c r="AH538" s="688" t="b">
        <f t="shared" si="204"/>
        <v>1</v>
      </c>
    </row>
    <row r="539" spans="1:34" s="1" customFormat="1" ht="15" customHeight="1">
      <c r="A539" s="946">
        <v>23200001</v>
      </c>
      <c r="B539" s="946" t="s">
        <v>1327</v>
      </c>
      <c r="C539" s="946" t="s">
        <v>1337</v>
      </c>
      <c r="D539" s="946">
        <v>100000001</v>
      </c>
      <c r="E539" s="946" t="s">
        <v>33</v>
      </c>
      <c r="F539" s="946" t="s">
        <v>11</v>
      </c>
      <c r="G539" s="947">
        <v>48.59</v>
      </c>
      <c r="H539" s="947">
        <v>48.59</v>
      </c>
      <c r="I539" s="948"/>
      <c r="J539" s="948"/>
      <c r="K539" s="948"/>
      <c r="L539" s="29" t="e">
        <f>VLOOKUP(A539,'Account Mapping'!$A$2:$E$216,3,0)</f>
        <v>#N/A</v>
      </c>
      <c r="M539" s="25" t="e">
        <f>VLOOKUP(A539,'Account Mapping'!$A$2:$E$216,4,0)</f>
        <v>#N/A</v>
      </c>
      <c r="N539" s="26" t="e">
        <f>IF(OR(C539='Account Mapping'!$H$4,C539='Account Mapping'!$H$5,C539='Account Mapping'!$H$6),'Account Mapping'!$I$4,VLOOKUP(A539,'Account Mapping'!$A$2:$E$216,5,0))</f>
        <v>#N/A</v>
      </c>
      <c r="O539" s="27" t="e">
        <f>IF(OR(L539="Loan",L539="Deposit_Liability",L539="OFF_Unused Loan Commitment",L539="HQLA"),VLOOKUP(D539,'Customer Type'!$A$3:$C$38,3,0),"")</f>
        <v>#N/A</v>
      </c>
      <c r="P539" s="656" t="e">
        <f t="shared" si="192"/>
        <v>#N/A</v>
      </c>
      <c r="Q539" s="658">
        <f>IF(COUNTIF('Account Mapping'!$H$12:$H$45,A539)&gt;0,-H539,H539)</f>
        <v>48.59</v>
      </c>
      <c r="R539" s="249" t="e">
        <f>VLOOKUP(P539,Assumptions!$C$2:$D$64,2,0)</f>
        <v>#N/A</v>
      </c>
      <c r="S539" s="692" t="str">
        <f>IFERROR(VLOOKUP(A539,'Maturity Adjustment'!$A$3:$C$81,3,0),(IF(J539&lt;$N$4,"Tomorrow",J539)))</f>
        <v>Tomorrow</v>
      </c>
      <c r="T539" s="190">
        <f t="shared" si="205"/>
        <v>1</v>
      </c>
      <c r="U539" s="196" t="e">
        <f t="shared" si="193"/>
        <v>#N/A</v>
      </c>
      <c r="V539" s="11" t="str">
        <f>IFERROR(VLOOKUP(A539,'Maturity Adjustment'!$A$86:$C$91,3,0),S539)</f>
        <v>Tomorrow</v>
      </c>
      <c r="W539" s="12" t="e">
        <f>VLOOKUP(A539,'Account Mapping'!$A$2:$F$216,6,0)</f>
        <v>#N/A</v>
      </c>
      <c r="X539" s="194">
        <f t="shared" si="194"/>
        <v>48.59</v>
      </c>
      <c r="Y539" s="194">
        <f t="shared" si="195"/>
        <v>0</v>
      </c>
      <c r="Z539" s="13">
        <f t="shared" si="196"/>
        <v>0</v>
      </c>
      <c r="AA539" s="13">
        <f t="shared" si="197"/>
        <v>0</v>
      </c>
      <c r="AB539" s="13">
        <f t="shared" si="198"/>
        <v>0</v>
      </c>
      <c r="AC539" s="13">
        <f t="shared" si="199"/>
        <v>0</v>
      </c>
      <c r="AD539" s="13">
        <f t="shared" si="200"/>
        <v>0</v>
      </c>
      <c r="AE539" s="13">
        <f t="shared" si="201"/>
        <v>0</v>
      </c>
      <c r="AF539" s="13">
        <f t="shared" si="202"/>
        <v>0</v>
      </c>
      <c r="AG539" s="685">
        <f t="shared" si="203"/>
        <v>0</v>
      </c>
      <c r="AH539" s="688" t="b">
        <f t="shared" si="204"/>
        <v>1</v>
      </c>
    </row>
    <row r="540" spans="1:34" s="1" customFormat="1" ht="15" customHeight="1">
      <c r="A540" s="946">
        <v>23200001</v>
      </c>
      <c r="B540" s="946" t="s">
        <v>1327</v>
      </c>
      <c r="C540" s="946" t="s">
        <v>1338</v>
      </c>
      <c r="D540" s="946">
        <v>100000001</v>
      </c>
      <c r="E540" s="946" t="s">
        <v>33</v>
      </c>
      <c r="F540" s="946" t="s">
        <v>11</v>
      </c>
      <c r="G540" s="947">
        <v>57.06</v>
      </c>
      <c r="H540" s="947">
        <v>57.06</v>
      </c>
      <c r="I540" s="948"/>
      <c r="J540" s="948"/>
      <c r="K540" s="948"/>
      <c r="L540" s="29" t="e">
        <f>VLOOKUP(A540,'Account Mapping'!$A$2:$E$216,3,0)</f>
        <v>#N/A</v>
      </c>
      <c r="M540" s="25" t="e">
        <f>VLOOKUP(A540,'Account Mapping'!$A$2:$E$216,4,0)</f>
        <v>#N/A</v>
      </c>
      <c r="N540" s="26" t="e">
        <f>IF(OR(C540='Account Mapping'!$H$4,C540='Account Mapping'!$H$5,C540='Account Mapping'!$H$6),'Account Mapping'!$I$4,VLOOKUP(A540,'Account Mapping'!$A$2:$E$216,5,0))</f>
        <v>#N/A</v>
      </c>
      <c r="O540" s="27" t="e">
        <f>IF(OR(L540="Loan",L540="Deposit_Liability",L540="OFF_Unused Loan Commitment",L540="HQLA"),VLOOKUP(D540,'Customer Type'!$A$3:$C$38,3,0),"")</f>
        <v>#N/A</v>
      </c>
      <c r="P540" s="656" t="e">
        <f t="shared" si="192"/>
        <v>#N/A</v>
      </c>
      <c r="Q540" s="658">
        <f>IF(COUNTIF('Account Mapping'!$H$12:$H$45,A540)&gt;0,-H540,H540)</f>
        <v>57.06</v>
      </c>
      <c r="R540" s="249" t="e">
        <f>VLOOKUP(P540,Assumptions!$C$2:$D$64,2,0)</f>
        <v>#N/A</v>
      </c>
      <c r="S540" s="692" t="str">
        <f>IFERROR(VLOOKUP(A540,'Maturity Adjustment'!$A$3:$C$81,3,0),(IF(J540&lt;$N$4,"Tomorrow",J540)))</f>
        <v>Tomorrow</v>
      </c>
      <c r="T540" s="190">
        <f t="shared" si="205"/>
        <v>1</v>
      </c>
      <c r="U540" s="196" t="e">
        <f t="shared" si="193"/>
        <v>#N/A</v>
      </c>
      <c r="V540" s="11" t="str">
        <f>IFERROR(VLOOKUP(A540,'Maturity Adjustment'!$A$86:$C$91,3,0),S540)</f>
        <v>Tomorrow</v>
      </c>
      <c r="W540" s="12" t="e">
        <f>VLOOKUP(A540,'Account Mapping'!$A$2:$F$216,6,0)</f>
        <v>#N/A</v>
      </c>
      <c r="X540" s="194">
        <f t="shared" si="194"/>
        <v>57.06</v>
      </c>
      <c r="Y540" s="194">
        <f t="shared" si="195"/>
        <v>0</v>
      </c>
      <c r="Z540" s="13">
        <f t="shared" si="196"/>
        <v>0</v>
      </c>
      <c r="AA540" s="13">
        <f t="shared" si="197"/>
        <v>0</v>
      </c>
      <c r="AB540" s="13">
        <f t="shared" si="198"/>
        <v>0</v>
      </c>
      <c r="AC540" s="13">
        <f t="shared" si="199"/>
        <v>0</v>
      </c>
      <c r="AD540" s="13">
        <f t="shared" si="200"/>
        <v>0</v>
      </c>
      <c r="AE540" s="13">
        <f t="shared" si="201"/>
        <v>0</v>
      </c>
      <c r="AF540" s="13">
        <f t="shared" si="202"/>
        <v>0</v>
      </c>
      <c r="AG540" s="685">
        <f t="shared" si="203"/>
        <v>0</v>
      </c>
      <c r="AH540" s="688" t="b">
        <f t="shared" si="204"/>
        <v>1</v>
      </c>
    </row>
    <row r="541" spans="1:34" s="1" customFormat="1" ht="15" customHeight="1">
      <c r="A541" s="946">
        <v>23200001</v>
      </c>
      <c r="B541" s="946" t="s">
        <v>1327</v>
      </c>
      <c r="C541" s="946" t="s">
        <v>1339</v>
      </c>
      <c r="D541" s="946">
        <v>100000001</v>
      </c>
      <c r="E541" s="946" t="s">
        <v>33</v>
      </c>
      <c r="F541" s="946" t="s">
        <v>11</v>
      </c>
      <c r="G541" s="947">
        <v>52.76</v>
      </c>
      <c r="H541" s="947">
        <v>52.76</v>
      </c>
      <c r="I541" s="948"/>
      <c r="J541" s="948"/>
      <c r="K541" s="948"/>
      <c r="L541" s="29" t="e">
        <f>VLOOKUP(A541,'Account Mapping'!$A$2:$E$216,3,0)</f>
        <v>#N/A</v>
      </c>
      <c r="M541" s="25" t="e">
        <f>VLOOKUP(A541,'Account Mapping'!$A$2:$E$216,4,0)</f>
        <v>#N/A</v>
      </c>
      <c r="N541" s="26" t="e">
        <f>IF(OR(C541='Account Mapping'!$H$4,C541='Account Mapping'!$H$5,C541='Account Mapping'!$H$6),'Account Mapping'!$I$4,VLOOKUP(A541,'Account Mapping'!$A$2:$E$216,5,0))</f>
        <v>#N/A</v>
      </c>
      <c r="O541" s="27" t="e">
        <f>IF(OR(L541="Loan",L541="Deposit_Liability",L541="OFF_Unused Loan Commitment",L541="HQLA"),VLOOKUP(D541,'Customer Type'!$A$3:$C$38,3,0),"")</f>
        <v>#N/A</v>
      </c>
      <c r="P541" s="656" t="e">
        <f t="shared" si="192"/>
        <v>#N/A</v>
      </c>
      <c r="Q541" s="658">
        <f>IF(COUNTIF('Account Mapping'!$H$12:$H$45,A541)&gt;0,-H541,H541)</f>
        <v>52.76</v>
      </c>
      <c r="R541" s="249" t="e">
        <f>VLOOKUP(P541,Assumptions!$C$2:$D$64,2,0)</f>
        <v>#N/A</v>
      </c>
      <c r="S541" s="692" t="str">
        <f>IFERROR(VLOOKUP(A541,'Maturity Adjustment'!$A$3:$C$81,3,0),(IF(J541&lt;$N$4,"Tomorrow",J541)))</f>
        <v>Tomorrow</v>
      </c>
      <c r="T541" s="190">
        <f t="shared" si="205"/>
        <v>1</v>
      </c>
      <c r="U541" s="196" t="e">
        <f t="shared" si="193"/>
        <v>#N/A</v>
      </c>
      <c r="V541" s="11" t="str">
        <f>IFERROR(VLOOKUP(A541,'Maturity Adjustment'!$A$86:$C$91,3,0),S541)</f>
        <v>Tomorrow</v>
      </c>
      <c r="W541" s="12" t="e">
        <f>VLOOKUP(A541,'Account Mapping'!$A$2:$F$216,6,0)</f>
        <v>#N/A</v>
      </c>
      <c r="X541" s="194">
        <f t="shared" si="194"/>
        <v>52.76</v>
      </c>
      <c r="Y541" s="194">
        <f t="shared" si="195"/>
        <v>0</v>
      </c>
      <c r="Z541" s="13">
        <f t="shared" si="196"/>
        <v>0</v>
      </c>
      <c r="AA541" s="13">
        <f t="shared" si="197"/>
        <v>0</v>
      </c>
      <c r="AB541" s="13">
        <f t="shared" si="198"/>
        <v>0</v>
      </c>
      <c r="AC541" s="13">
        <f t="shared" si="199"/>
        <v>0</v>
      </c>
      <c r="AD541" s="13">
        <f t="shared" si="200"/>
        <v>0</v>
      </c>
      <c r="AE541" s="13">
        <f t="shared" si="201"/>
        <v>0</v>
      </c>
      <c r="AF541" s="13">
        <f t="shared" si="202"/>
        <v>0</v>
      </c>
      <c r="AG541" s="685">
        <f t="shared" si="203"/>
        <v>0</v>
      </c>
      <c r="AH541" s="688" t="b">
        <f t="shared" si="204"/>
        <v>1</v>
      </c>
    </row>
    <row r="542" spans="1:34" s="1" customFormat="1" ht="15" customHeight="1">
      <c r="A542" s="946">
        <v>23200001</v>
      </c>
      <c r="B542" s="946" t="s">
        <v>1327</v>
      </c>
      <c r="C542" s="946" t="s">
        <v>1340</v>
      </c>
      <c r="D542" s="946">
        <v>100000001</v>
      </c>
      <c r="E542" s="946" t="s">
        <v>33</v>
      </c>
      <c r="F542" s="946" t="s">
        <v>11</v>
      </c>
      <c r="G542" s="947">
        <v>28.17</v>
      </c>
      <c r="H542" s="947">
        <v>28.17</v>
      </c>
      <c r="I542" s="948"/>
      <c r="J542" s="948"/>
      <c r="K542" s="948"/>
      <c r="L542" s="29" t="e">
        <f>VLOOKUP(A542,'Account Mapping'!$A$2:$E$216,3,0)</f>
        <v>#N/A</v>
      </c>
      <c r="M542" s="25" t="e">
        <f>VLOOKUP(A542,'Account Mapping'!$A$2:$E$216,4,0)</f>
        <v>#N/A</v>
      </c>
      <c r="N542" s="26" t="e">
        <f>IF(OR(C542='Account Mapping'!$H$4,C542='Account Mapping'!$H$5,C542='Account Mapping'!$H$6),'Account Mapping'!$I$4,VLOOKUP(A542,'Account Mapping'!$A$2:$E$216,5,0))</f>
        <v>#N/A</v>
      </c>
      <c r="O542" s="27" t="e">
        <f>IF(OR(L542="Loan",L542="Deposit_Liability",L542="OFF_Unused Loan Commitment",L542="HQLA"),VLOOKUP(D542,'Customer Type'!$A$3:$C$38,3,0),"")</f>
        <v>#N/A</v>
      </c>
      <c r="P542" s="656" t="e">
        <f t="shared" si="192"/>
        <v>#N/A</v>
      </c>
      <c r="Q542" s="658">
        <f>IF(COUNTIF('Account Mapping'!$H$12:$H$45,A542)&gt;0,-H542,H542)</f>
        <v>28.17</v>
      </c>
      <c r="R542" s="249" t="e">
        <f>VLOOKUP(P542,Assumptions!$C$2:$D$64,2,0)</f>
        <v>#N/A</v>
      </c>
      <c r="S542" s="692" t="str">
        <f>IFERROR(VLOOKUP(A542,'Maturity Adjustment'!$A$3:$C$81,3,0),(IF(J542&lt;$N$4,"Tomorrow",J542)))</f>
        <v>Tomorrow</v>
      </c>
      <c r="T542" s="190">
        <f t="shared" si="205"/>
        <v>1</v>
      </c>
      <c r="U542" s="196" t="e">
        <f t="shared" si="193"/>
        <v>#N/A</v>
      </c>
      <c r="V542" s="11" t="str">
        <f>IFERROR(VLOOKUP(A542,'Maturity Adjustment'!$A$86:$C$91,3,0),S542)</f>
        <v>Tomorrow</v>
      </c>
      <c r="W542" s="12" t="e">
        <f>VLOOKUP(A542,'Account Mapping'!$A$2:$F$216,6,0)</f>
        <v>#N/A</v>
      </c>
      <c r="X542" s="194">
        <f t="shared" si="194"/>
        <v>28.17</v>
      </c>
      <c r="Y542" s="194">
        <f t="shared" si="195"/>
        <v>0</v>
      </c>
      <c r="Z542" s="13">
        <f t="shared" si="196"/>
        <v>0</v>
      </c>
      <c r="AA542" s="13">
        <f t="shared" si="197"/>
        <v>0</v>
      </c>
      <c r="AB542" s="13">
        <f t="shared" si="198"/>
        <v>0</v>
      </c>
      <c r="AC542" s="13">
        <f t="shared" si="199"/>
        <v>0</v>
      </c>
      <c r="AD542" s="13">
        <f t="shared" si="200"/>
        <v>0</v>
      </c>
      <c r="AE542" s="13">
        <f t="shared" si="201"/>
        <v>0</v>
      </c>
      <c r="AF542" s="13">
        <f t="shared" si="202"/>
        <v>0</v>
      </c>
      <c r="AG542" s="685">
        <f t="shared" si="203"/>
        <v>0</v>
      </c>
      <c r="AH542" s="688" t="b">
        <f t="shared" si="204"/>
        <v>1</v>
      </c>
    </row>
    <row r="543" spans="1:34" s="1" customFormat="1" ht="15" customHeight="1">
      <c r="A543" s="946">
        <v>23200001</v>
      </c>
      <c r="B543" s="946" t="s">
        <v>1327</v>
      </c>
      <c r="C543" s="946" t="s">
        <v>1341</v>
      </c>
      <c r="D543" s="946">
        <v>100000001</v>
      </c>
      <c r="E543" s="946" t="s">
        <v>33</v>
      </c>
      <c r="F543" s="946" t="s">
        <v>11</v>
      </c>
      <c r="G543" s="947">
        <v>41.18</v>
      </c>
      <c r="H543" s="947">
        <v>41.18</v>
      </c>
      <c r="I543" s="948"/>
      <c r="J543" s="948"/>
      <c r="K543" s="948"/>
      <c r="L543" s="29" t="e">
        <f>VLOOKUP(A543,'Account Mapping'!$A$2:$E$216,3,0)</f>
        <v>#N/A</v>
      </c>
      <c r="M543" s="25" t="e">
        <f>VLOOKUP(A543,'Account Mapping'!$A$2:$E$216,4,0)</f>
        <v>#N/A</v>
      </c>
      <c r="N543" s="26" t="e">
        <f>IF(OR(C543='Account Mapping'!$H$4,C543='Account Mapping'!$H$5,C543='Account Mapping'!$H$6),'Account Mapping'!$I$4,VLOOKUP(A543,'Account Mapping'!$A$2:$E$216,5,0))</f>
        <v>#N/A</v>
      </c>
      <c r="O543" s="27" t="e">
        <f>IF(OR(L543="Loan",L543="Deposit_Liability",L543="OFF_Unused Loan Commitment",L543="HQLA"),VLOOKUP(D543,'Customer Type'!$A$3:$C$38,3,0),"")</f>
        <v>#N/A</v>
      </c>
      <c r="P543" s="656" t="e">
        <f t="shared" si="192"/>
        <v>#N/A</v>
      </c>
      <c r="Q543" s="658">
        <f>IF(COUNTIF('Account Mapping'!$H$12:$H$45,A543)&gt;0,-H543,H543)</f>
        <v>41.18</v>
      </c>
      <c r="R543" s="249" t="e">
        <f>VLOOKUP(P543,Assumptions!$C$2:$D$64,2,0)</f>
        <v>#N/A</v>
      </c>
      <c r="S543" s="692" t="str">
        <f>IFERROR(VLOOKUP(A543,'Maturity Adjustment'!$A$3:$C$81,3,0),(IF(J543&lt;$N$4,"Tomorrow",J543)))</f>
        <v>Tomorrow</v>
      </c>
      <c r="T543" s="190">
        <f t="shared" si="205"/>
        <v>1</v>
      </c>
      <c r="U543" s="196" t="e">
        <f t="shared" si="193"/>
        <v>#N/A</v>
      </c>
      <c r="V543" s="11" t="str">
        <f>IFERROR(VLOOKUP(A543,'Maturity Adjustment'!$A$86:$C$91,3,0),S543)</f>
        <v>Tomorrow</v>
      </c>
      <c r="W543" s="12" t="e">
        <f>VLOOKUP(A543,'Account Mapping'!$A$2:$F$216,6,0)</f>
        <v>#N/A</v>
      </c>
      <c r="X543" s="194">
        <f t="shared" si="194"/>
        <v>41.18</v>
      </c>
      <c r="Y543" s="194">
        <f t="shared" si="195"/>
        <v>0</v>
      </c>
      <c r="Z543" s="13">
        <f t="shared" si="196"/>
        <v>0</v>
      </c>
      <c r="AA543" s="13">
        <f t="shared" si="197"/>
        <v>0</v>
      </c>
      <c r="AB543" s="13">
        <f t="shared" si="198"/>
        <v>0</v>
      </c>
      <c r="AC543" s="13">
        <f t="shared" si="199"/>
        <v>0</v>
      </c>
      <c r="AD543" s="13">
        <f t="shared" si="200"/>
        <v>0</v>
      </c>
      <c r="AE543" s="13">
        <f t="shared" si="201"/>
        <v>0</v>
      </c>
      <c r="AF543" s="13">
        <f t="shared" si="202"/>
        <v>0</v>
      </c>
      <c r="AG543" s="685">
        <f t="shared" si="203"/>
        <v>0</v>
      </c>
      <c r="AH543" s="688" t="b">
        <f t="shared" si="204"/>
        <v>1</v>
      </c>
    </row>
    <row r="544" spans="1:34" s="1" customFormat="1" ht="15" customHeight="1">
      <c r="A544" s="946">
        <v>23200001</v>
      </c>
      <c r="B544" s="946" t="s">
        <v>1327</v>
      </c>
      <c r="C544" s="946" t="s">
        <v>1342</v>
      </c>
      <c r="D544" s="946">
        <v>100000001</v>
      </c>
      <c r="E544" s="946" t="s">
        <v>33</v>
      </c>
      <c r="F544" s="946" t="s">
        <v>11</v>
      </c>
      <c r="G544" s="947">
        <v>6700.56</v>
      </c>
      <c r="H544" s="947">
        <v>6700.56</v>
      </c>
      <c r="I544" s="948"/>
      <c r="J544" s="948"/>
      <c r="K544" s="948"/>
      <c r="L544" s="29" t="e">
        <f>VLOOKUP(A544,'Account Mapping'!$A$2:$E$216,3,0)</f>
        <v>#N/A</v>
      </c>
      <c r="M544" s="25" t="e">
        <f>VLOOKUP(A544,'Account Mapping'!$A$2:$E$216,4,0)</f>
        <v>#N/A</v>
      </c>
      <c r="N544" s="26" t="e">
        <f>IF(OR(C544='Account Mapping'!$H$4,C544='Account Mapping'!$H$5,C544='Account Mapping'!$H$6),'Account Mapping'!$I$4,VLOOKUP(A544,'Account Mapping'!$A$2:$E$216,5,0))</f>
        <v>#N/A</v>
      </c>
      <c r="O544" s="27" t="e">
        <f>IF(OR(L544="Loan",L544="Deposit_Liability",L544="OFF_Unused Loan Commitment",L544="HQLA"),VLOOKUP(D544,'Customer Type'!$A$3:$C$38,3,0),"")</f>
        <v>#N/A</v>
      </c>
      <c r="P544" s="656" t="e">
        <f t="shared" si="192"/>
        <v>#N/A</v>
      </c>
      <c r="Q544" s="658">
        <f>IF(COUNTIF('Account Mapping'!$H$12:$H$45,A544)&gt;0,-H544,H544)</f>
        <v>6700.56</v>
      </c>
      <c r="R544" s="249" t="e">
        <f>VLOOKUP(P544,Assumptions!$C$2:$D$64,2,0)</f>
        <v>#N/A</v>
      </c>
      <c r="S544" s="692" t="str">
        <f>IFERROR(VLOOKUP(A544,'Maturity Adjustment'!$A$3:$C$81,3,0),(IF(J544&lt;$N$4,"Tomorrow",J544)))</f>
        <v>Tomorrow</v>
      </c>
      <c r="T544" s="190">
        <f t="shared" si="205"/>
        <v>1</v>
      </c>
      <c r="U544" s="196" t="e">
        <f t="shared" si="193"/>
        <v>#N/A</v>
      </c>
      <c r="V544" s="11" t="str">
        <f>IFERROR(VLOOKUP(A544,'Maturity Adjustment'!$A$86:$C$91,3,0),S544)</f>
        <v>Tomorrow</v>
      </c>
      <c r="W544" s="12" t="e">
        <f>VLOOKUP(A544,'Account Mapping'!$A$2:$F$216,6,0)</f>
        <v>#N/A</v>
      </c>
      <c r="X544" s="194">
        <f t="shared" si="194"/>
        <v>6700.56</v>
      </c>
      <c r="Y544" s="194">
        <f t="shared" si="195"/>
        <v>0</v>
      </c>
      <c r="Z544" s="13">
        <f t="shared" si="196"/>
        <v>0</v>
      </c>
      <c r="AA544" s="13">
        <f t="shared" si="197"/>
        <v>0</v>
      </c>
      <c r="AB544" s="13">
        <f t="shared" si="198"/>
        <v>0</v>
      </c>
      <c r="AC544" s="13">
        <f t="shared" si="199"/>
        <v>0</v>
      </c>
      <c r="AD544" s="13">
        <f t="shared" si="200"/>
        <v>0</v>
      </c>
      <c r="AE544" s="13">
        <f t="shared" si="201"/>
        <v>0</v>
      </c>
      <c r="AF544" s="13">
        <f t="shared" si="202"/>
        <v>0</v>
      </c>
      <c r="AG544" s="685">
        <f t="shared" si="203"/>
        <v>0</v>
      </c>
      <c r="AH544" s="688" t="b">
        <f t="shared" si="204"/>
        <v>1</v>
      </c>
    </row>
    <row r="545" spans="1:34" s="1" customFormat="1" ht="15" customHeight="1">
      <c r="A545" s="946">
        <v>23200001</v>
      </c>
      <c r="B545" s="946" t="s">
        <v>1327</v>
      </c>
      <c r="C545" s="946" t="s">
        <v>1343</v>
      </c>
      <c r="D545" s="946">
        <v>100000001</v>
      </c>
      <c r="E545" s="946" t="s">
        <v>33</v>
      </c>
      <c r="F545" s="946" t="s">
        <v>11</v>
      </c>
      <c r="G545" s="947">
        <v>6851.1</v>
      </c>
      <c r="H545" s="947">
        <v>6851.1</v>
      </c>
      <c r="I545" s="948"/>
      <c r="J545" s="948"/>
      <c r="K545" s="948"/>
      <c r="L545" s="29" t="e">
        <f>VLOOKUP(A545,'Account Mapping'!$A$2:$E$216,3,0)</f>
        <v>#N/A</v>
      </c>
      <c r="M545" s="25" t="e">
        <f>VLOOKUP(A545,'Account Mapping'!$A$2:$E$216,4,0)</f>
        <v>#N/A</v>
      </c>
      <c r="N545" s="26" t="e">
        <f>IF(OR(C545='Account Mapping'!$H$4,C545='Account Mapping'!$H$5,C545='Account Mapping'!$H$6),'Account Mapping'!$I$4,VLOOKUP(A545,'Account Mapping'!$A$2:$E$216,5,0))</f>
        <v>#N/A</v>
      </c>
      <c r="O545" s="27" t="e">
        <f>IF(OR(L545="Loan",L545="Deposit_Liability",L545="OFF_Unused Loan Commitment",L545="HQLA"),VLOOKUP(D545,'Customer Type'!$A$3:$C$38,3,0),"")</f>
        <v>#N/A</v>
      </c>
      <c r="P545" s="656" t="e">
        <f t="shared" si="192"/>
        <v>#N/A</v>
      </c>
      <c r="Q545" s="658">
        <f>IF(COUNTIF('Account Mapping'!$H$12:$H$45,A545)&gt;0,-H545,H545)</f>
        <v>6851.1</v>
      </c>
      <c r="R545" s="249" t="e">
        <f>VLOOKUP(P545,Assumptions!$C$2:$D$64,2,0)</f>
        <v>#N/A</v>
      </c>
      <c r="S545" s="692" t="str">
        <f>IFERROR(VLOOKUP(A545,'Maturity Adjustment'!$A$3:$C$81,3,0),(IF(J545&lt;$N$4,"Tomorrow",J545)))</f>
        <v>Tomorrow</v>
      </c>
      <c r="T545" s="190">
        <f t="shared" si="205"/>
        <v>1</v>
      </c>
      <c r="U545" s="196" t="e">
        <f t="shared" si="193"/>
        <v>#N/A</v>
      </c>
      <c r="V545" s="11" t="str">
        <f>IFERROR(VLOOKUP(A545,'Maturity Adjustment'!$A$86:$C$91,3,0),S545)</f>
        <v>Tomorrow</v>
      </c>
      <c r="W545" s="12" t="e">
        <f>VLOOKUP(A545,'Account Mapping'!$A$2:$F$216,6,0)</f>
        <v>#N/A</v>
      </c>
      <c r="X545" s="194">
        <f t="shared" si="194"/>
        <v>6851.1</v>
      </c>
      <c r="Y545" s="194">
        <f t="shared" si="195"/>
        <v>0</v>
      </c>
      <c r="Z545" s="13">
        <f t="shared" si="196"/>
        <v>0</v>
      </c>
      <c r="AA545" s="13">
        <f t="shared" si="197"/>
        <v>0</v>
      </c>
      <c r="AB545" s="13">
        <f t="shared" si="198"/>
        <v>0</v>
      </c>
      <c r="AC545" s="13">
        <f t="shared" si="199"/>
        <v>0</v>
      </c>
      <c r="AD545" s="13">
        <f t="shared" si="200"/>
        <v>0</v>
      </c>
      <c r="AE545" s="13">
        <f t="shared" si="201"/>
        <v>0</v>
      </c>
      <c r="AF545" s="13">
        <f t="shared" si="202"/>
        <v>0</v>
      </c>
      <c r="AG545" s="685">
        <f t="shared" si="203"/>
        <v>0</v>
      </c>
      <c r="AH545" s="688" t="b">
        <f t="shared" si="204"/>
        <v>1</v>
      </c>
    </row>
    <row r="546" spans="1:34" s="1" customFormat="1" ht="15" customHeight="1">
      <c r="A546" s="946">
        <v>23200001</v>
      </c>
      <c r="B546" s="946" t="s">
        <v>1327</v>
      </c>
      <c r="C546" s="946" t="s">
        <v>1344</v>
      </c>
      <c r="D546" s="946">
        <v>100000001</v>
      </c>
      <c r="E546" s="946" t="s">
        <v>33</v>
      </c>
      <c r="F546" s="946" t="s">
        <v>11</v>
      </c>
      <c r="G546" s="947">
        <v>51.67</v>
      </c>
      <c r="H546" s="947">
        <v>51.67</v>
      </c>
      <c r="I546" s="948"/>
      <c r="J546" s="948"/>
      <c r="K546" s="948"/>
      <c r="L546" s="29" t="e">
        <f>VLOOKUP(A546,'Account Mapping'!$A$2:$E$216,3,0)</f>
        <v>#N/A</v>
      </c>
      <c r="M546" s="25" t="e">
        <f>VLOOKUP(A546,'Account Mapping'!$A$2:$E$216,4,0)</f>
        <v>#N/A</v>
      </c>
      <c r="N546" s="26" t="e">
        <f>IF(OR(C546='Account Mapping'!$H$4,C546='Account Mapping'!$H$5,C546='Account Mapping'!$H$6),'Account Mapping'!$I$4,VLOOKUP(A546,'Account Mapping'!$A$2:$E$216,5,0))</f>
        <v>#N/A</v>
      </c>
      <c r="O546" s="27" t="e">
        <f>IF(OR(L546="Loan",L546="Deposit_Liability",L546="OFF_Unused Loan Commitment",L546="HQLA"),VLOOKUP(D546,'Customer Type'!$A$3:$C$38,3,0),"")</f>
        <v>#N/A</v>
      </c>
      <c r="P546" s="656" t="e">
        <f t="shared" si="192"/>
        <v>#N/A</v>
      </c>
      <c r="Q546" s="658">
        <f>IF(COUNTIF('Account Mapping'!$H$12:$H$45,A546)&gt;0,-H546,H546)</f>
        <v>51.67</v>
      </c>
      <c r="R546" s="249" t="e">
        <f>VLOOKUP(P546,Assumptions!$C$2:$D$64,2,0)</f>
        <v>#N/A</v>
      </c>
      <c r="S546" s="692" t="str">
        <f>IFERROR(VLOOKUP(A546,'Maturity Adjustment'!$A$3:$C$81,3,0),(IF(J546&lt;$N$4,"Tomorrow",J546)))</f>
        <v>Tomorrow</v>
      </c>
      <c r="T546" s="190">
        <f t="shared" si="205"/>
        <v>1</v>
      </c>
      <c r="U546" s="196" t="e">
        <f t="shared" si="193"/>
        <v>#N/A</v>
      </c>
      <c r="V546" s="11" t="str">
        <f>IFERROR(VLOOKUP(A546,'Maturity Adjustment'!$A$86:$C$91,3,0),S546)</f>
        <v>Tomorrow</v>
      </c>
      <c r="W546" s="12" t="e">
        <f>VLOOKUP(A546,'Account Mapping'!$A$2:$F$216,6,0)</f>
        <v>#N/A</v>
      </c>
      <c r="X546" s="194">
        <f t="shared" si="194"/>
        <v>51.67</v>
      </c>
      <c r="Y546" s="194">
        <f t="shared" si="195"/>
        <v>0</v>
      </c>
      <c r="Z546" s="13">
        <f t="shared" si="196"/>
        <v>0</v>
      </c>
      <c r="AA546" s="13">
        <f t="shared" si="197"/>
        <v>0</v>
      </c>
      <c r="AB546" s="13">
        <f t="shared" si="198"/>
        <v>0</v>
      </c>
      <c r="AC546" s="13">
        <f t="shared" si="199"/>
        <v>0</v>
      </c>
      <c r="AD546" s="13">
        <f t="shared" si="200"/>
        <v>0</v>
      </c>
      <c r="AE546" s="13">
        <f t="shared" si="201"/>
        <v>0</v>
      </c>
      <c r="AF546" s="13">
        <f t="shared" si="202"/>
        <v>0</v>
      </c>
      <c r="AG546" s="685">
        <f t="shared" si="203"/>
        <v>0</v>
      </c>
      <c r="AH546" s="688" t="b">
        <f t="shared" si="204"/>
        <v>1</v>
      </c>
    </row>
    <row r="547" spans="1:34" s="1" customFormat="1" ht="15" customHeight="1">
      <c r="A547" s="946">
        <v>23200001</v>
      </c>
      <c r="B547" s="946" t="s">
        <v>1327</v>
      </c>
      <c r="C547" s="946" t="s">
        <v>1345</v>
      </c>
      <c r="D547" s="946">
        <v>100000001</v>
      </c>
      <c r="E547" s="946" t="s">
        <v>33</v>
      </c>
      <c r="F547" s="946" t="s">
        <v>11</v>
      </c>
      <c r="G547" s="947">
        <v>48.32</v>
      </c>
      <c r="H547" s="947">
        <v>48.32</v>
      </c>
      <c r="I547" s="948"/>
      <c r="J547" s="948"/>
      <c r="K547" s="948"/>
      <c r="L547" s="29" t="e">
        <f>VLOOKUP(A547,'Account Mapping'!$A$2:$E$216,3,0)</f>
        <v>#N/A</v>
      </c>
      <c r="M547" s="25" t="e">
        <f>VLOOKUP(A547,'Account Mapping'!$A$2:$E$216,4,0)</f>
        <v>#N/A</v>
      </c>
      <c r="N547" s="26" t="e">
        <f>IF(OR(C547='Account Mapping'!$H$4,C547='Account Mapping'!$H$5,C547='Account Mapping'!$H$6),'Account Mapping'!$I$4,VLOOKUP(A547,'Account Mapping'!$A$2:$E$216,5,0))</f>
        <v>#N/A</v>
      </c>
      <c r="O547" s="27" t="e">
        <f>IF(OR(L547="Loan",L547="Deposit_Liability",L547="OFF_Unused Loan Commitment",L547="HQLA"),VLOOKUP(D547,'Customer Type'!$A$3:$C$38,3,0),"")</f>
        <v>#N/A</v>
      </c>
      <c r="P547" s="656" t="e">
        <f t="shared" si="192"/>
        <v>#N/A</v>
      </c>
      <c r="Q547" s="658">
        <f>IF(COUNTIF('Account Mapping'!$H$12:$H$45,A547)&gt;0,-H547,H547)</f>
        <v>48.32</v>
      </c>
      <c r="R547" s="249" t="e">
        <f>VLOOKUP(P547,Assumptions!$C$2:$D$64,2,0)</f>
        <v>#N/A</v>
      </c>
      <c r="S547" s="692" t="str">
        <f>IFERROR(VLOOKUP(A547,'Maturity Adjustment'!$A$3:$C$81,3,0),(IF(J547&lt;$N$4,"Tomorrow",J547)))</f>
        <v>Tomorrow</v>
      </c>
      <c r="T547" s="190">
        <f t="shared" si="205"/>
        <v>1</v>
      </c>
      <c r="U547" s="196" t="e">
        <f t="shared" si="193"/>
        <v>#N/A</v>
      </c>
      <c r="V547" s="11" t="str">
        <f>IFERROR(VLOOKUP(A547,'Maturity Adjustment'!$A$86:$C$91,3,0),S547)</f>
        <v>Tomorrow</v>
      </c>
      <c r="W547" s="12" t="e">
        <f>VLOOKUP(A547,'Account Mapping'!$A$2:$F$216,6,0)</f>
        <v>#N/A</v>
      </c>
      <c r="X547" s="194">
        <f t="shared" si="194"/>
        <v>48.32</v>
      </c>
      <c r="Y547" s="194">
        <f t="shared" si="195"/>
        <v>0</v>
      </c>
      <c r="Z547" s="13">
        <f t="shared" si="196"/>
        <v>0</v>
      </c>
      <c r="AA547" s="13">
        <f t="shared" si="197"/>
        <v>0</v>
      </c>
      <c r="AB547" s="13">
        <f t="shared" si="198"/>
        <v>0</v>
      </c>
      <c r="AC547" s="13">
        <f t="shared" si="199"/>
        <v>0</v>
      </c>
      <c r="AD547" s="13">
        <f t="shared" si="200"/>
        <v>0</v>
      </c>
      <c r="AE547" s="13">
        <f t="shared" si="201"/>
        <v>0</v>
      </c>
      <c r="AF547" s="13">
        <f t="shared" si="202"/>
        <v>0</v>
      </c>
      <c r="AG547" s="685">
        <f t="shared" si="203"/>
        <v>0</v>
      </c>
      <c r="AH547" s="688" t="b">
        <f t="shared" si="204"/>
        <v>1</v>
      </c>
    </row>
    <row r="548" spans="1:34" s="1" customFormat="1" ht="15" customHeight="1">
      <c r="A548" s="946">
        <v>23200001</v>
      </c>
      <c r="B548" s="946" t="s">
        <v>1327</v>
      </c>
      <c r="C548" s="946" t="s">
        <v>1346</v>
      </c>
      <c r="D548" s="946">
        <v>100000001</v>
      </c>
      <c r="E548" s="946" t="s">
        <v>33</v>
      </c>
      <c r="F548" s="946" t="s">
        <v>11</v>
      </c>
      <c r="G548" s="947">
        <v>23.31</v>
      </c>
      <c r="H548" s="947">
        <v>23.31</v>
      </c>
      <c r="I548" s="948"/>
      <c r="J548" s="948"/>
      <c r="K548" s="948"/>
      <c r="L548" s="29" t="e">
        <f>VLOOKUP(A548,'Account Mapping'!$A$2:$E$216,3,0)</f>
        <v>#N/A</v>
      </c>
      <c r="M548" s="25" t="e">
        <f>VLOOKUP(A548,'Account Mapping'!$A$2:$E$216,4,0)</f>
        <v>#N/A</v>
      </c>
      <c r="N548" s="26" t="e">
        <f>IF(OR(C548='Account Mapping'!$H$4,C548='Account Mapping'!$H$5,C548='Account Mapping'!$H$6),'Account Mapping'!$I$4,VLOOKUP(A548,'Account Mapping'!$A$2:$E$216,5,0))</f>
        <v>#N/A</v>
      </c>
      <c r="O548" s="27" t="e">
        <f>IF(OR(L548="Loan",L548="Deposit_Liability",L548="OFF_Unused Loan Commitment",L548="HQLA"),VLOOKUP(D548,'Customer Type'!$A$3:$C$38,3,0),"")</f>
        <v>#N/A</v>
      </c>
      <c r="P548" s="656" t="e">
        <f t="shared" si="192"/>
        <v>#N/A</v>
      </c>
      <c r="Q548" s="658">
        <f>IF(COUNTIF('Account Mapping'!$H$12:$H$45,A548)&gt;0,-H548,H548)</f>
        <v>23.31</v>
      </c>
      <c r="R548" s="249" t="e">
        <f>VLOOKUP(P548,Assumptions!$C$2:$D$64,2,0)</f>
        <v>#N/A</v>
      </c>
      <c r="S548" s="692" t="str">
        <f>IFERROR(VLOOKUP(A548,'Maturity Adjustment'!$A$3:$C$81,3,0),(IF(J548&lt;$N$4,"Tomorrow",J548)))</f>
        <v>Tomorrow</v>
      </c>
      <c r="T548" s="190">
        <f t="shared" ref="T548:T559" si="206">IF(S548="Tomorrow",1,(S548-$N$4))</f>
        <v>1</v>
      </c>
      <c r="U548" s="196" t="e">
        <f t="shared" si="193"/>
        <v>#N/A</v>
      </c>
      <c r="V548" s="11" t="str">
        <f>IFERROR(VLOOKUP(A548,'Maturity Adjustment'!$A$86:$C$91,3,0),S548)</f>
        <v>Tomorrow</v>
      </c>
      <c r="W548" s="12" t="e">
        <f>VLOOKUP(A548,'Account Mapping'!$A$2:$F$216,6,0)</f>
        <v>#N/A</v>
      </c>
      <c r="X548" s="194">
        <f t="shared" si="194"/>
        <v>23.31</v>
      </c>
      <c r="Y548" s="194">
        <f t="shared" si="195"/>
        <v>0</v>
      </c>
      <c r="Z548" s="13">
        <f t="shared" si="196"/>
        <v>0</v>
      </c>
      <c r="AA548" s="13">
        <f t="shared" si="197"/>
        <v>0</v>
      </c>
      <c r="AB548" s="13">
        <f t="shared" si="198"/>
        <v>0</v>
      </c>
      <c r="AC548" s="13">
        <f t="shared" si="199"/>
        <v>0</v>
      </c>
      <c r="AD548" s="13">
        <f t="shared" si="200"/>
        <v>0</v>
      </c>
      <c r="AE548" s="13">
        <f t="shared" si="201"/>
        <v>0</v>
      </c>
      <c r="AF548" s="13">
        <f t="shared" si="202"/>
        <v>0</v>
      </c>
      <c r="AG548" s="685">
        <f t="shared" si="203"/>
        <v>0</v>
      </c>
      <c r="AH548" s="688" t="b">
        <f t="shared" si="204"/>
        <v>1</v>
      </c>
    </row>
    <row r="549" spans="1:34" s="1" customFormat="1" ht="15" customHeight="1">
      <c r="A549" s="946">
        <v>23200001</v>
      </c>
      <c r="B549" s="946" t="s">
        <v>1327</v>
      </c>
      <c r="C549" s="946" t="s">
        <v>1347</v>
      </c>
      <c r="D549" s="946">
        <v>100000001</v>
      </c>
      <c r="E549" s="946" t="s">
        <v>33</v>
      </c>
      <c r="F549" s="946" t="s">
        <v>11</v>
      </c>
      <c r="G549" s="947">
        <v>36.5</v>
      </c>
      <c r="H549" s="947">
        <v>36.5</v>
      </c>
      <c r="I549" s="948"/>
      <c r="J549" s="948"/>
      <c r="K549" s="948"/>
      <c r="L549" s="29" t="e">
        <f>VLOOKUP(A549,'Account Mapping'!$A$2:$E$216,3,0)</f>
        <v>#N/A</v>
      </c>
      <c r="M549" s="25" t="e">
        <f>VLOOKUP(A549,'Account Mapping'!$A$2:$E$216,4,0)</f>
        <v>#N/A</v>
      </c>
      <c r="N549" s="26" t="e">
        <f>IF(OR(C549='Account Mapping'!$H$4,C549='Account Mapping'!$H$5,C549='Account Mapping'!$H$6),'Account Mapping'!$I$4,VLOOKUP(A549,'Account Mapping'!$A$2:$E$216,5,0))</f>
        <v>#N/A</v>
      </c>
      <c r="O549" s="27" t="e">
        <f>IF(OR(L549="Loan",L549="Deposit_Liability",L549="OFF_Unused Loan Commitment",L549="HQLA"),VLOOKUP(D549,'Customer Type'!$A$3:$C$38,3,0),"")</f>
        <v>#N/A</v>
      </c>
      <c r="P549" s="656" t="e">
        <f t="shared" si="192"/>
        <v>#N/A</v>
      </c>
      <c r="Q549" s="658">
        <f>IF(COUNTIF('Account Mapping'!$H$12:$H$45,A549)&gt;0,-H549,H549)</f>
        <v>36.5</v>
      </c>
      <c r="R549" s="249" t="e">
        <f>VLOOKUP(P549,Assumptions!$C$2:$D$64,2,0)</f>
        <v>#N/A</v>
      </c>
      <c r="S549" s="692" t="str">
        <f>IFERROR(VLOOKUP(A549,'Maturity Adjustment'!$A$3:$C$81,3,0),(IF(J549&lt;$N$4,"Tomorrow",J549)))</f>
        <v>Tomorrow</v>
      </c>
      <c r="T549" s="190">
        <f t="shared" si="206"/>
        <v>1</v>
      </c>
      <c r="U549" s="196" t="e">
        <f t="shared" si="193"/>
        <v>#N/A</v>
      </c>
      <c r="V549" s="11" t="str">
        <f>IFERROR(VLOOKUP(A549,'Maturity Adjustment'!$A$86:$C$91,3,0),S549)</f>
        <v>Tomorrow</v>
      </c>
      <c r="W549" s="12" t="e">
        <f>VLOOKUP(A549,'Account Mapping'!$A$2:$F$216,6,0)</f>
        <v>#N/A</v>
      </c>
      <c r="X549" s="194">
        <f t="shared" si="194"/>
        <v>36.5</v>
      </c>
      <c r="Y549" s="194">
        <f t="shared" si="195"/>
        <v>0</v>
      </c>
      <c r="Z549" s="13">
        <f t="shared" si="196"/>
        <v>0</v>
      </c>
      <c r="AA549" s="13">
        <f t="shared" si="197"/>
        <v>0</v>
      </c>
      <c r="AB549" s="13">
        <f t="shared" si="198"/>
        <v>0</v>
      </c>
      <c r="AC549" s="13">
        <f t="shared" si="199"/>
        <v>0</v>
      </c>
      <c r="AD549" s="13">
        <f t="shared" si="200"/>
        <v>0</v>
      </c>
      <c r="AE549" s="13">
        <f t="shared" si="201"/>
        <v>0</v>
      </c>
      <c r="AF549" s="13">
        <f t="shared" si="202"/>
        <v>0</v>
      </c>
      <c r="AG549" s="685">
        <f t="shared" si="203"/>
        <v>0</v>
      </c>
      <c r="AH549" s="688" t="b">
        <f t="shared" si="204"/>
        <v>1</v>
      </c>
    </row>
    <row r="550" spans="1:34" s="1" customFormat="1" ht="15" customHeight="1">
      <c r="A550" s="946">
        <v>23200001</v>
      </c>
      <c r="B550" s="946" t="s">
        <v>1327</v>
      </c>
      <c r="C550" s="946" t="s">
        <v>1348</v>
      </c>
      <c r="D550" s="946">
        <v>100000001</v>
      </c>
      <c r="E550" s="946" t="s">
        <v>33</v>
      </c>
      <c r="F550" s="946" t="s">
        <v>11</v>
      </c>
      <c r="G550" s="947">
        <v>83.49</v>
      </c>
      <c r="H550" s="947">
        <v>83.49</v>
      </c>
      <c r="I550" s="948"/>
      <c r="J550" s="948"/>
      <c r="K550" s="948"/>
      <c r="L550" s="29" t="e">
        <f>VLOOKUP(A550,'Account Mapping'!$A$2:$E$216,3,0)</f>
        <v>#N/A</v>
      </c>
      <c r="M550" s="25" t="e">
        <f>VLOOKUP(A550,'Account Mapping'!$A$2:$E$216,4,0)</f>
        <v>#N/A</v>
      </c>
      <c r="N550" s="26" t="e">
        <f>IF(OR(C550='Account Mapping'!$H$4,C550='Account Mapping'!$H$5,C550='Account Mapping'!$H$6),'Account Mapping'!$I$4,VLOOKUP(A550,'Account Mapping'!$A$2:$E$216,5,0))</f>
        <v>#N/A</v>
      </c>
      <c r="O550" s="27" t="e">
        <f>IF(OR(L550="Loan",L550="Deposit_Liability",L550="OFF_Unused Loan Commitment",L550="HQLA"),VLOOKUP(D550,'Customer Type'!$A$3:$C$38,3,0),"")</f>
        <v>#N/A</v>
      </c>
      <c r="P550" s="656" t="e">
        <f t="shared" si="192"/>
        <v>#N/A</v>
      </c>
      <c r="Q550" s="658">
        <f>IF(COUNTIF('Account Mapping'!$H$12:$H$45,A550)&gt;0,-H550,H550)</f>
        <v>83.49</v>
      </c>
      <c r="R550" s="249" t="e">
        <f>VLOOKUP(P550,Assumptions!$C$2:$D$64,2,0)</f>
        <v>#N/A</v>
      </c>
      <c r="S550" s="692" t="str">
        <f>IFERROR(VLOOKUP(A550,'Maturity Adjustment'!$A$3:$C$81,3,0),(IF(J550&lt;$N$4,"Tomorrow",J550)))</f>
        <v>Tomorrow</v>
      </c>
      <c r="T550" s="190">
        <f t="shared" si="206"/>
        <v>1</v>
      </c>
      <c r="U550" s="196" t="e">
        <f t="shared" si="193"/>
        <v>#N/A</v>
      </c>
      <c r="V550" s="11" t="str">
        <f>IFERROR(VLOOKUP(A550,'Maturity Adjustment'!$A$86:$C$91,3,0),S550)</f>
        <v>Tomorrow</v>
      </c>
      <c r="W550" s="12" t="e">
        <f>VLOOKUP(A550,'Account Mapping'!$A$2:$F$216,6,0)</f>
        <v>#N/A</v>
      </c>
      <c r="X550" s="194">
        <f t="shared" si="194"/>
        <v>83.49</v>
      </c>
      <c r="Y550" s="194">
        <f t="shared" si="195"/>
        <v>0</v>
      </c>
      <c r="Z550" s="13">
        <f t="shared" si="196"/>
        <v>0</v>
      </c>
      <c r="AA550" s="13">
        <f t="shared" si="197"/>
        <v>0</v>
      </c>
      <c r="AB550" s="13">
        <f t="shared" si="198"/>
        <v>0</v>
      </c>
      <c r="AC550" s="13">
        <f t="shared" si="199"/>
        <v>0</v>
      </c>
      <c r="AD550" s="13">
        <f t="shared" si="200"/>
        <v>0</v>
      </c>
      <c r="AE550" s="13">
        <f t="shared" si="201"/>
        <v>0</v>
      </c>
      <c r="AF550" s="13">
        <f t="shared" si="202"/>
        <v>0</v>
      </c>
      <c r="AG550" s="685">
        <f t="shared" si="203"/>
        <v>0</v>
      </c>
      <c r="AH550" s="688" t="b">
        <f t="shared" si="204"/>
        <v>1</v>
      </c>
    </row>
    <row r="551" spans="1:34" s="1" customFormat="1" ht="15" customHeight="1">
      <c r="A551" s="946">
        <v>23200001</v>
      </c>
      <c r="B551" s="946" t="s">
        <v>1327</v>
      </c>
      <c r="C551" s="946" t="s">
        <v>1349</v>
      </c>
      <c r="D551" s="946">
        <v>100000001</v>
      </c>
      <c r="E551" s="946" t="s">
        <v>33</v>
      </c>
      <c r="F551" s="946" t="s">
        <v>11</v>
      </c>
      <c r="G551" s="947">
        <v>6774.23</v>
      </c>
      <c r="H551" s="947">
        <v>6774.23</v>
      </c>
      <c r="I551" s="948"/>
      <c r="J551" s="948"/>
      <c r="K551" s="948"/>
      <c r="L551" s="29" t="e">
        <f>VLOOKUP(A551,'Account Mapping'!$A$2:$E$216,3,0)</f>
        <v>#N/A</v>
      </c>
      <c r="M551" s="25" t="e">
        <f>VLOOKUP(A551,'Account Mapping'!$A$2:$E$216,4,0)</f>
        <v>#N/A</v>
      </c>
      <c r="N551" s="26" t="e">
        <f>IF(OR(C551='Account Mapping'!$H$4,C551='Account Mapping'!$H$5,C551='Account Mapping'!$H$6),'Account Mapping'!$I$4,VLOOKUP(A551,'Account Mapping'!$A$2:$E$216,5,0))</f>
        <v>#N/A</v>
      </c>
      <c r="O551" s="27" t="e">
        <f>IF(OR(L551="Loan",L551="Deposit_Liability",L551="OFF_Unused Loan Commitment",L551="HQLA"),VLOOKUP(D551,'Customer Type'!$A$3:$C$38,3,0),"")</f>
        <v>#N/A</v>
      </c>
      <c r="P551" s="656" t="e">
        <f t="shared" si="192"/>
        <v>#N/A</v>
      </c>
      <c r="Q551" s="658">
        <f>IF(COUNTIF('Account Mapping'!$H$12:$H$45,A551)&gt;0,-H551,H551)</f>
        <v>6774.23</v>
      </c>
      <c r="R551" s="249" t="e">
        <f>VLOOKUP(P551,Assumptions!$C$2:$D$64,2,0)</f>
        <v>#N/A</v>
      </c>
      <c r="S551" s="692" t="str">
        <f>IFERROR(VLOOKUP(A551,'Maturity Adjustment'!$A$3:$C$81,3,0),(IF(J551&lt;$N$4,"Tomorrow",J551)))</f>
        <v>Tomorrow</v>
      </c>
      <c r="T551" s="190">
        <f t="shared" si="206"/>
        <v>1</v>
      </c>
      <c r="U551" s="196" t="e">
        <f t="shared" si="193"/>
        <v>#N/A</v>
      </c>
      <c r="V551" s="11" t="str">
        <f>IFERROR(VLOOKUP(A551,'Maturity Adjustment'!$A$86:$C$91,3,0),S551)</f>
        <v>Tomorrow</v>
      </c>
      <c r="W551" s="12" t="e">
        <f>VLOOKUP(A551,'Account Mapping'!$A$2:$F$216,6,0)</f>
        <v>#N/A</v>
      </c>
      <c r="X551" s="194">
        <f t="shared" si="194"/>
        <v>6774.23</v>
      </c>
      <c r="Y551" s="194">
        <f t="shared" si="195"/>
        <v>0</v>
      </c>
      <c r="Z551" s="13">
        <f t="shared" si="196"/>
        <v>0</v>
      </c>
      <c r="AA551" s="13">
        <f t="shared" si="197"/>
        <v>0</v>
      </c>
      <c r="AB551" s="13">
        <f t="shared" si="198"/>
        <v>0</v>
      </c>
      <c r="AC551" s="13">
        <f t="shared" si="199"/>
        <v>0</v>
      </c>
      <c r="AD551" s="13">
        <f t="shared" si="200"/>
        <v>0</v>
      </c>
      <c r="AE551" s="13">
        <f t="shared" si="201"/>
        <v>0</v>
      </c>
      <c r="AF551" s="13">
        <f t="shared" si="202"/>
        <v>0</v>
      </c>
      <c r="AG551" s="685">
        <f t="shared" si="203"/>
        <v>0</v>
      </c>
      <c r="AH551" s="688" t="b">
        <f t="shared" si="204"/>
        <v>1</v>
      </c>
    </row>
    <row r="552" spans="1:34" s="1" customFormat="1" ht="15" customHeight="1">
      <c r="A552" s="946">
        <v>23200001</v>
      </c>
      <c r="B552" s="946" t="s">
        <v>1327</v>
      </c>
      <c r="C552" s="946" t="s">
        <v>1350</v>
      </c>
      <c r="D552" s="946">
        <v>100000001</v>
      </c>
      <c r="E552" s="946" t="s">
        <v>33</v>
      </c>
      <c r="F552" s="946" t="s">
        <v>11</v>
      </c>
      <c r="G552" s="947">
        <v>137.44</v>
      </c>
      <c r="H552" s="947">
        <v>137.44</v>
      </c>
      <c r="I552" s="948"/>
      <c r="J552" s="948"/>
      <c r="K552" s="948"/>
      <c r="L552" s="29" t="e">
        <f>VLOOKUP(A552,'Account Mapping'!$A$2:$E$216,3,0)</f>
        <v>#N/A</v>
      </c>
      <c r="M552" s="25" t="e">
        <f>VLOOKUP(A552,'Account Mapping'!$A$2:$E$216,4,0)</f>
        <v>#N/A</v>
      </c>
      <c r="N552" s="26" t="e">
        <f>IF(OR(C552='Account Mapping'!$H$4,C552='Account Mapping'!$H$5,C552='Account Mapping'!$H$6),'Account Mapping'!$I$4,VLOOKUP(A552,'Account Mapping'!$A$2:$E$216,5,0))</f>
        <v>#N/A</v>
      </c>
      <c r="O552" s="27" t="e">
        <f>IF(OR(L552="Loan",L552="Deposit_Liability",L552="OFF_Unused Loan Commitment",L552="HQLA"),VLOOKUP(D552,'Customer Type'!$A$3:$C$38,3,0),"")</f>
        <v>#N/A</v>
      </c>
      <c r="P552" s="656" t="e">
        <f t="shared" si="192"/>
        <v>#N/A</v>
      </c>
      <c r="Q552" s="658">
        <f>IF(COUNTIF('Account Mapping'!$H$12:$H$45,A552)&gt;0,-H552,H552)</f>
        <v>137.44</v>
      </c>
      <c r="R552" s="249" t="e">
        <f>VLOOKUP(P552,Assumptions!$C$2:$D$64,2,0)</f>
        <v>#N/A</v>
      </c>
      <c r="S552" s="692" t="str">
        <f>IFERROR(VLOOKUP(A552,'Maturity Adjustment'!$A$3:$C$81,3,0),(IF(J552&lt;$N$4,"Tomorrow",J552)))</f>
        <v>Tomorrow</v>
      </c>
      <c r="T552" s="190">
        <f t="shared" si="206"/>
        <v>1</v>
      </c>
      <c r="U552" s="196" t="e">
        <f t="shared" si="193"/>
        <v>#N/A</v>
      </c>
      <c r="V552" s="11" t="str">
        <f>IFERROR(VLOOKUP(A552,'Maturity Adjustment'!$A$86:$C$91,3,0),S552)</f>
        <v>Tomorrow</v>
      </c>
      <c r="W552" s="12" t="e">
        <f>VLOOKUP(A552,'Account Mapping'!$A$2:$F$216,6,0)</f>
        <v>#N/A</v>
      </c>
      <c r="X552" s="194">
        <f t="shared" si="194"/>
        <v>137.44</v>
      </c>
      <c r="Y552" s="194">
        <f t="shared" si="195"/>
        <v>0</v>
      </c>
      <c r="Z552" s="13">
        <f t="shared" si="196"/>
        <v>0</v>
      </c>
      <c r="AA552" s="13">
        <f t="shared" si="197"/>
        <v>0</v>
      </c>
      <c r="AB552" s="13">
        <f t="shared" si="198"/>
        <v>0</v>
      </c>
      <c r="AC552" s="13">
        <f t="shared" si="199"/>
        <v>0</v>
      </c>
      <c r="AD552" s="13">
        <f t="shared" si="200"/>
        <v>0</v>
      </c>
      <c r="AE552" s="13">
        <f t="shared" si="201"/>
        <v>0</v>
      </c>
      <c r="AF552" s="13">
        <f t="shared" si="202"/>
        <v>0</v>
      </c>
      <c r="AG552" s="685">
        <f t="shared" si="203"/>
        <v>0</v>
      </c>
      <c r="AH552" s="688" t="b">
        <f t="shared" si="204"/>
        <v>1</v>
      </c>
    </row>
    <row r="553" spans="1:34" s="1" customFormat="1" ht="15" customHeight="1">
      <c r="A553" s="946">
        <v>23200001</v>
      </c>
      <c r="B553" s="946" t="s">
        <v>1327</v>
      </c>
      <c r="C553" s="946" t="s">
        <v>1351</v>
      </c>
      <c r="D553" s="946">
        <v>100000001</v>
      </c>
      <c r="E553" s="946" t="s">
        <v>33</v>
      </c>
      <c r="F553" s="946" t="s">
        <v>11</v>
      </c>
      <c r="G553" s="947">
        <v>44.38</v>
      </c>
      <c r="H553" s="947">
        <v>44.38</v>
      </c>
      <c r="I553" s="948"/>
      <c r="J553" s="948"/>
      <c r="K553" s="948"/>
      <c r="L553" s="29" t="e">
        <f>VLOOKUP(A553,'Account Mapping'!$A$2:$E$216,3,0)</f>
        <v>#N/A</v>
      </c>
      <c r="M553" s="25" t="e">
        <f>VLOOKUP(A553,'Account Mapping'!$A$2:$E$216,4,0)</f>
        <v>#N/A</v>
      </c>
      <c r="N553" s="26" t="e">
        <f>IF(OR(C553='Account Mapping'!$H$4,C553='Account Mapping'!$H$5,C553='Account Mapping'!$H$6),'Account Mapping'!$I$4,VLOOKUP(A553,'Account Mapping'!$A$2:$E$216,5,0))</f>
        <v>#N/A</v>
      </c>
      <c r="O553" s="27" t="e">
        <f>IF(OR(L553="Loan",L553="Deposit_Liability",L553="OFF_Unused Loan Commitment",L553="HQLA"),VLOOKUP(D553,'Customer Type'!$A$3:$C$38,3,0),"")</f>
        <v>#N/A</v>
      </c>
      <c r="P553" s="656" t="e">
        <f t="shared" si="192"/>
        <v>#N/A</v>
      </c>
      <c r="Q553" s="658">
        <f>IF(COUNTIF('Account Mapping'!$H$12:$H$45,A553)&gt;0,-H553,H553)</f>
        <v>44.38</v>
      </c>
      <c r="R553" s="249" t="e">
        <f>VLOOKUP(P553,Assumptions!$C$2:$D$64,2,0)</f>
        <v>#N/A</v>
      </c>
      <c r="S553" s="692" t="str">
        <f>IFERROR(VLOOKUP(A553,'Maturity Adjustment'!$A$3:$C$81,3,0),(IF(J553&lt;$N$4,"Tomorrow",J553)))</f>
        <v>Tomorrow</v>
      </c>
      <c r="T553" s="190">
        <f t="shared" si="206"/>
        <v>1</v>
      </c>
      <c r="U553" s="196" t="e">
        <f t="shared" si="193"/>
        <v>#N/A</v>
      </c>
      <c r="V553" s="11" t="str">
        <f>IFERROR(VLOOKUP(A553,'Maturity Adjustment'!$A$86:$C$91,3,0),S553)</f>
        <v>Tomorrow</v>
      </c>
      <c r="W553" s="12" t="e">
        <f>VLOOKUP(A553,'Account Mapping'!$A$2:$F$216,6,0)</f>
        <v>#N/A</v>
      </c>
      <c r="X553" s="194">
        <f t="shared" si="194"/>
        <v>44.38</v>
      </c>
      <c r="Y553" s="194">
        <f t="shared" si="195"/>
        <v>0</v>
      </c>
      <c r="Z553" s="13">
        <f t="shared" si="196"/>
        <v>0</v>
      </c>
      <c r="AA553" s="13">
        <f t="shared" si="197"/>
        <v>0</v>
      </c>
      <c r="AB553" s="13">
        <f t="shared" si="198"/>
        <v>0</v>
      </c>
      <c r="AC553" s="13">
        <f t="shared" si="199"/>
        <v>0</v>
      </c>
      <c r="AD553" s="13">
        <f t="shared" si="200"/>
        <v>0</v>
      </c>
      <c r="AE553" s="13">
        <f t="shared" si="201"/>
        <v>0</v>
      </c>
      <c r="AF553" s="13">
        <f t="shared" si="202"/>
        <v>0</v>
      </c>
      <c r="AG553" s="685">
        <f t="shared" si="203"/>
        <v>0</v>
      </c>
      <c r="AH553" s="688" t="b">
        <f t="shared" si="204"/>
        <v>1</v>
      </c>
    </row>
    <row r="554" spans="1:34" s="1" customFormat="1" ht="15" customHeight="1">
      <c r="A554" s="946">
        <v>23200001</v>
      </c>
      <c r="B554" s="946" t="s">
        <v>1327</v>
      </c>
      <c r="C554" s="946" t="s">
        <v>1352</v>
      </c>
      <c r="D554" s="946">
        <v>100000001</v>
      </c>
      <c r="E554" s="946" t="s">
        <v>33</v>
      </c>
      <c r="F554" s="946" t="s">
        <v>11</v>
      </c>
      <c r="G554" s="947">
        <v>42.01</v>
      </c>
      <c r="H554" s="947">
        <v>42.01</v>
      </c>
      <c r="I554" s="948"/>
      <c r="J554" s="948"/>
      <c r="K554" s="948"/>
      <c r="L554" s="29" t="e">
        <f>VLOOKUP(A554,'Account Mapping'!$A$2:$E$216,3,0)</f>
        <v>#N/A</v>
      </c>
      <c r="M554" s="25" t="e">
        <f>VLOOKUP(A554,'Account Mapping'!$A$2:$E$216,4,0)</f>
        <v>#N/A</v>
      </c>
      <c r="N554" s="26" t="e">
        <f>IF(OR(C554='Account Mapping'!$H$4,C554='Account Mapping'!$H$5,C554='Account Mapping'!$H$6),'Account Mapping'!$I$4,VLOOKUP(A554,'Account Mapping'!$A$2:$E$216,5,0))</f>
        <v>#N/A</v>
      </c>
      <c r="O554" s="27" t="e">
        <f>IF(OR(L554="Loan",L554="Deposit_Liability",L554="OFF_Unused Loan Commitment",L554="HQLA"),VLOOKUP(D554,'Customer Type'!$A$3:$C$38,3,0),"")</f>
        <v>#N/A</v>
      </c>
      <c r="P554" s="656" t="e">
        <f t="shared" si="192"/>
        <v>#N/A</v>
      </c>
      <c r="Q554" s="658">
        <f>IF(COUNTIF('Account Mapping'!$H$12:$H$45,A554)&gt;0,-H554,H554)</f>
        <v>42.01</v>
      </c>
      <c r="R554" s="249" t="e">
        <f>VLOOKUP(P554,Assumptions!$C$2:$D$64,2,0)</f>
        <v>#N/A</v>
      </c>
      <c r="S554" s="692" t="str">
        <f>IFERROR(VLOOKUP(A554,'Maturity Adjustment'!$A$3:$C$81,3,0),(IF(J554&lt;$N$4,"Tomorrow",J554)))</f>
        <v>Tomorrow</v>
      </c>
      <c r="T554" s="190">
        <f t="shared" si="206"/>
        <v>1</v>
      </c>
      <c r="U554" s="196" t="e">
        <f t="shared" si="193"/>
        <v>#N/A</v>
      </c>
      <c r="V554" s="11" t="str">
        <f>IFERROR(VLOOKUP(A554,'Maturity Adjustment'!$A$86:$C$91,3,0),S554)</f>
        <v>Tomorrow</v>
      </c>
      <c r="W554" s="12" t="e">
        <f>VLOOKUP(A554,'Account Mapping'!$A$2:$F$216,6,0)</f>
        <v>#N/A</v>
      </c>
      <c r="X554" s="194">
        <f t="shared" si="194"/>
        <v>42.01</v>
      </c>
      <c r="Y554" s="194">
        <f t="shared" si="195"/>
        <v>0</v>
      </c>
      <c r="Z554" s="13">
        <f t="shared" si="196"/>
        <v>0</v>
      </c>
      <c r="AA554" s="13">
        <f t="shared" si="197"/>
        <v>0</v>
      </c>
      <c r="AB554" s="13">
        <f t="shared" si="198"/>
        <v>0</v>
      </c>
      <c r="AC554" s="13">
        <f t="shared" si="199"/>
        <v>0</v>
      </c>
      <c r="AD554" s="13">
        <f t="shared" si="200"/>
        <v>0</v>
      </c>
      <c r="AE554" s="13">
        <f t="shared" si="201"/>
        <v>0</v>
      </c>
      <c r="AF554" s="13">
        <f t="shared" si="202"/>
        <v>0</v>
      </c>
      <c r="AG554" s="685">
        <f t="shared" si="203"/>
        <v>0</v>
      </c>
      <c r="AH554" s="688" t="b">
        <f t="shared" si="204"/>
        <v>1</v>
      </c>
    </row>
    <row r="555" spans="1:34" s="1" customFormat="1" ht="15" customHeight="1">
      <c r="A555" s="946">
        <v>23200001</v>
      </c>
      <c r="B555" s="946" t="s">
        <v>1327</v>
      </c>
      <c r="C555" s="946" t="s">
        <v>1353</v>
      </c>
      <c r="D555" s="946">
        <v>100000001</v>
      </c>
      <c r="E555" s="946" t="s">
        <v>33</v>
      </c>
      <c r="F555" s="946" t="s">
        <v>11</v>
      </c>
      <c r="G555" s="947">
        <v>17.489999999999998</v>
      </c>
      <c r="H555" s="947">
        <v>17.489999999999998</v>
      </c>
      <c r="I555" s="948"/>
      <c r="J555" s="948"/>
      <c r="K555" s="948"/>
      <c r="L555" s="29" t="e">
        <f>VLOOKUP(A555,'Account Mapping'!$A$2:$E$216,3,0)</f>
        <v>#N/A</v>
      </c>
      <c r="M555" s="25" t="e">
        <f>VLOOKUP(A555,'Account Mapping'!$A$2:$E$216,4,0)</f>
        <v>#N/A</v>
      </c>
      <c r="N555" s="26" t="e">
        <f>IF(OR(C555='Account Mapping'!$H$4,C555='Account Mapping'!$H$5,C555='Account Mapping'!$H$6),'Account Mapping'!$I$4,VLOOKUP(A555,'Account Mapping'!$A$2:$E$216,5,0))</f>
        <v>#N/A</v>
      </c>
      <c r="O555" s="27" t="e">
        <f>IF(OR(L555="Loan",L555="Deposit_Liability",L555="OFF_Unused Loan Commitment",L555="HQLA"),VLOOKUP(D555,'Customer Type'!$A$3:$C$38,3,0),"")</f>
        <v>#N/A</v>
      </c>
      <c r="P555" s="656" t="e">
        <f t="shared" si="192"/>
        <v>#N/A</v>
      </c>
      <c r="Q555" s="658">
        <f>IF(COUNTIF('Account Mapping'!$H$12:$H$45,A555)&gt;0,-H555,H555)</f>
        <v>17.489999999999998</v>
      </c>
      <c r="R555" s="249" t="e">
        <f>VLOOKUP(P555,Assumptions!$C$2:$D$64,2,0)</f>
        <v>#N/A</v>
      </c>
      <c r="S555" s="692" t="str">
        <f>IFERROR(VLOOKUP(A555,'Maturity Adjustment'!$A$3:$C$81,3,0),(IF(J555&lt;$N$4,"Tomorrow",J555)))</f>
        <v>Tomorrow</v>
      </c>
      <c r="T555" s="190">
        <f t="shared" si="206"/>
        <v>1</v>
      </c>
      <c r="U555" s="196" t="e">
        <f t="shared" si="193"/>
        <v>#N/A</v>
      </c>
      <c r="V555" s="11" t="str">
        <f>IFERROR(VLOOKUP(A555,'Maturity Adjustment'!$A$86:$C$91,3,0),S555)</f>
        <v>Tomorrow</v>
      </c>
      <c r="W555" s="12" t="e">
        <f>VLOOKUP(A555,'Account Mapping'!$A$2:$F$216,6,0)</f>
        <v>#N/A</v>
      </c>
      <c r="X555" s="194">
        <f t="shared" si="194"/>
        <v>17.489999999999998</v>
      </c>
      <c r="Y555" s="194">
        <f t="shared" si="195"/>
        <v>0</v>
      </c>
      <c r="Z555" s="13">
        <f t="shared" si="196"/>
        <v>0</v>
      </c>
      <c r="AA555" s="13">
        <f t="shared" si="197"/>
        <v>0</v>
      </c>
      <c r="AB555" s="13">
        <f t="shared" si="198"/>
        <v>0</v>
      </c>
      <c r="AC555" s="13">
        <f t="shared" si="199"/>
        <v>0</v>
      </c>
      <c r="AD555" s="13">
        <f t="shared" si="200"/>
        <v>0</v>
      </c>
      <c r="AE555" s="13">
        <f t="shared" si="201"/>
        <v>0</v>
      </c>
      <c r="AF555" s="13">
        <f t="shared" si="202"/>
        <v>0</v>
      </c>
      <c r="AG555" s="685">
        <f t="shared" si="203"/>
        <v>0</v>
      </c>
      <c r="AH555" s="688" t="b">
        <f t="shared" si="204"/>
        <v>1</v>
      </c>
    </row>
    <row r="556" spans="1:34" s="1" customFormat="1" ht="15" customHeight="1">
      <c r="A556" s="946">
        <v>23200001</v>
      </c>
      <c r="B556" s="946" t="s">
        <v>1327</v>
      </c>
      <c r="C556" s="946" t="s">
        <v>1354</v>
      </c>
      <c r="D556" s="946">
        <v>100000001</v>
      </c>
      <c r="E556" s="946" t="s">
        <v>33</v>
      </c>
      <c r="F556" s="946" t="s">
        <v>11</v>
      </c>
      <c r="G556" s="947">
        <v>30.44</v>
      </c>
      <c r="H556" s="947">
        <v>30.44</v>
      </c>
      <c r="I556" s="948"/>
      <c r="J556" s="948"/>
      <c r="K556" s="948"/>
      <c r="L556" s="29" t="e">
        <f>VLOOKUP(A556,'Account Mapping'!$A$2:$E$216,3,0)</f>
        <v>#N/A</v>
      </c>
      <c r="M556" s="25" t="e">
        <f>VLOOKUP(A556,'Account Mapping'!$A$2:$E$216,4,0)</f>
        <v>#N/A</v>
      </c>
      <c r="N556" s="26" t="e">
        <f>IF(OR(C556='Account Mapping'!$H$4,C556='Account Mapping'!$H$5,C556='Account Mapping'!$H$6),'Account Mapping'!$I$4,VLOOKUP(A556,'Account Mapping'!$A$2:$E$216,5,0))</f>
        <v>#N/A</v>
      </c>
      <c r="O556" s="27" t="e">
        <f>IF(OR(L556="Loan",L556="Deposit_Liability",L556="OFF_Unused Loan Commitment",L556="HQLA"),VLOOKUP(D556,'Customer Type'!$A$3:$C$38,3,0),"")</f>
        <v>#N/A</v>
      </c>
      <c r="P556" s="656" t="e">
        <f t="shared" si="192"/>
        <v>#N/A</v>
      </c>
      <c r="Q556" s="658">
        <f>IF(COUNTIF('Account Mapping'!$H$12:$H$45,A556)&gt;0,-H556,H556)</f>
        <v>30.44</v>
      </c>
      <c r="R556" s="249" t="e">
        <f>VLOOKUP(P556,Assumptions!$C$2:$D$64,2,0)</f>
        <v>#N/A</v>
      </c>
      <c r="S556" s="692" t="str">
        <f>IFERROR(VLOOKUP(A556,'Maturity Adjustment'!$A$3:$C$81,3,0),(IF(J556&lt;$N$4,"Tomorrow",J556)))</f>
        <v>Tomorrow</v>
      </c>
      <c r="T556" s="190">
        <f t="shared" si="206"/>
        <v>1</v>
      </c>
      <c r="U556" s="196" t="e">
        <f t="shared" si="193"/>
        <v>#N/A</v>
      </c>
      <c r="V556" s="11" t="str">
        <f>IFERROR(VLOOKUP(A556,'Maturity Adjustment'!$A$86:$C$91,3,0),S556)</f>
        <v>Tomorrow</v>
      </c>
      <c r="W556" s="12" t="e">
        <f>VLOOKUP(A556,'Account Mapping'!$A$2:$F$216,6,0)</f>
        <v>#N/A</v>
      </c>
      <c r="X556" s="194">
        <f t="shared" si="194"/>
        <v>30.44</v>
      </c>
      <c r="Y556" s="194">
        <f t="shared" si="195"/>
        <v>0</v>
      </c>
      <c r="Z556" s="13">
        <f t="shared" si="196"/>
        <v>0</v>
      </c>
      <c r="AA556" s="13">
        <f t="shared" si="197"/>
        <v>0</v>
      </c>
      <c r="AB556" s="13">
        <f t="shared" si="198"/>
        <v>0</v>
      </c>
      <c r="AC556" s="13">
        <f t="shared" si="199"/>
        <v>0</v>
      </c>
      <c r="AD556" s="13">
        <f t="shared" si="200"/>
        <v>0</v>
      </c>
      <c r="AE556" s="13">
        <f t="shared" si="201"/>
        <v>0</v>
      </c>
      <c r="AF556" s="13">
        <f t="shared" si="202"/>
        <v>0</v>
      </c>
      <c r="AG556" s="685">
        <f t="shared" si="203"/>
        <v>0</v>
      </c>
      <c r="AH556" s="688" t="b">
        <f t="shared" si="204"/>
        <v>1</v>
      </c>
    </row>
    <row r="557" spans="1:34" s="1" customFormat="1" ht="15" customHeight="1">
      <c r="A557" s="946">
        <v>23200001</v>
      </c>
      <c r="B557" s="946" t="s">
        <v>1327</v>
      </c>
      <c r="C557" s="946" t="s">
        <v>1355</v>
      </c>
      <c r="D557" s="946">
        <v>100000001</v>
      </c>
      <c r="E557" s="946" t="s">
        <v>33</v>
      </c>
      <c r="F557" s="946" t="s">
        <v>11</v>
      </c>
      <c r="G557" s="947">
        <v>2443.58</v>
      </c>
      <c r="H557" s="947">
        <v>2443.58</v>
      </c>
      <c r="I557" s="948"/>
      <c r="J557" s="948"/>
      <c r="K557" s="948"/>
      <c r="L557" s="29" t="e">
        <f>VLOOKUP(A557,'Account Mapping'!$A$2:$E$216,3,0)</f>
        <v>#N/A</v>
      </c>
      <c r="M557" s="25" t="e">
        <f>VLOOKUP(A557,'Account Mapping'!$A$2:$E$216,4,0)</f>
        <v>#N/A</v>
      </c>
      <c r="N557" s="26" t="e">
        <f>IF(OR(C557='Account Mapping'!$H$4,C557='Account Mapping'!$H$5,C557='Account Mapping'!$H$6),'Account Mapping'!$I$4,VLOOKUP(A557,'Account Mapping'!$A$2:$E$216,5,0))</f>
        <v>#N/A</v>
      </c>
      <c r="O557" s="27" t="e">
        <f>IF(OR(L557="Loan",L557="Deposit_Liability",L557="OFF_Unused Loan Commitment",L557="HQLA"),VLOOKUP(D557,'Customer Type'!$A$3:$C$38,3,0),"")</f>
        <v>#N/A</v>
      </c>
      <c r="P557" s="656" t="e">
        <f t="shared" si="192"/>
        <v>#N/A</v>
      </c>
      <c r="Q557" s="658">
        <f>IF(COUNTIF('Account Mapping'!$H$12:$H$45,A557)&gt;0,-H557,H557)</f>
        <v>2443.58</v>
      </c>
      <c r="R557" s="249" t="e">
        <f>VLOOKUP(P557,Assumptions!$C$2:$D$64,2,0)</f>
        <v>#N/A</v>
      </c>
      <c r="S557" s="692" t="str">
        <f>IFERROR(VLOOKUP(A557,'Maturity Adjustment'!$A$3:$C$81,3,0),(IF(J557&lt;$N$4,"Tomorrow",J557)))</f>
        <v>Tomorrow</v>
      </c>
      <c r="T557" s="190">
        <f t="shared" si="206"/>
        <v>1</v>
      </c>
      <c r="U557" s="196" t="e">
        <f t="shared" si="193"/>
        <v>#N/A</v>
      </c>
      <c r="V557" s="11" t="str">
        <f>IFERROR(VLOOKUP(A557,'Maturity Adjustment'!$A$86:$C$91,3,0),S557)</f>
        <v>Tomorrow</v>
      </c>
      <c r="W557" s="12" t="e">
        <f>VLOOKUP(A557,'Account Mapping'!$A$2:$F$216,6,0)</f>
        <v>#N/A</v>
      </c>
      <c r="X557" s="194">
        <f t="shared" si="194"/>
        <v>2443.58</v>
      </c>
      <c r="Y557" s="194">
        <f t="shared" si="195"/>
        <v>0</v>
      </c>
      <c r="Z557" s="13">
        <f t="shared" si="196"/>
        <v>0</v>
      </c>
      <c r="AA557" s="13">
        <f t="shared" si="197"/>
        <v>0</v>
      </c>
      <c r="AB557" s="13">
        <f t="shared" si="198"/>
        <v>0</v>
      </c>
      <c r="AC557" s="13">
        <f t="shared" si="199"/>
        <v>0</v>
      </c>
      <c r="AD557" s="13">
        <f t="shared" si="200"/>
        <v>0</v>
      </c>
      <c r="AE557" s="13">
        <f t="shared" si="201"/>
        <v>0</v>
      </c>
      <c r="AF557" s="13">
        <f t="shared" si="202"/>
        <v>0</v>
      </c>
      <c r="AG557" s="685">
        <f t="shared" si="203"/>
        <v>0</v>
      </c>
      <c r="AH557" s="688" t="b">
        <f t="shared" si="204"/>
        <v>1</v>
      </c>
    </row>
    <row r="558" spans="1:34" s="1" customFormat="1" ht="15" customHeight="1">
      <c r="A558" s="946">
        <v>23200001</v>
      </c>
      <c r="B558" s="946" t="s">
        <v>1327</v>
      </c>
      <c r="C558" s="946" t="s">
        <v>1356</v>
      </c>
      <c r="D558" s="946">
        <v>100000001</v>
      </c>
      <c r="E558" s="946" t="s">
        <v>33</v>
      </c>
      <c r="F558" s="946" t="s">
        <v>11</v>
      </c>
      <c r="G558" s="947">
        <v>137.72999999999999</v>
      </c>
      <c r="H558" s="947">
        <v>137.72999999999999</v>
      </c>
      <c r="I558" s="948"/>
      <c r="J558" s="948"/>
      <c r="K558" s="948"/>
      <c r="L558" s="29" t="e">
        <f>VLOOKUP(A558,'Account Mapping'!$A$2:$E$216,3,0)</f>
        <v>#N/A</v>
      </c>
      <c r="M558" s="25" t="e">
        <f>VLOOKUP(A558,'Account Mapping'!$A$2:$E$216,4,0)</f>
        <v>#N/A</v>
      </c>
      <c r="N558" s="26" t="e">
        <f>IF(OR(C558='Account Mapping'!$H$4,C558='Account Mapping'!$H$5,C558='Account Mapping'!$H$6),'Account Mapping'!$I$4,VLOOKUP(A558,'Account Mapping'!$A$2:$E$216,5,0))</f>
        <v>#N/A</v>
      </c>
      <c r="O558" s="27" t="e">
        <f>IF(OR(L558="Loan",L558="Deposit_Liability",L558="OFF_Unused Loan Commitment",L558="HQLA"),VLOOKUP(D558,'Customer Type'!$A$3:$C$38,3,0),"")</f>
        <v>#N/A</v>
      </c>
      <c r="P558" s="656" t="e">
        <f t="shared" si="192"/>
        <v>#N/A</v>
      </c>
      <c r="Q558" s="658">
        <f>IF(COUNTIF('Account Mapping'!$H$12:$H$45,A558)&gt;0,-H558,H558)</f>
        <v>137.72999999999999</v>
      </c>
      <c r="R558" s="249" t="e">
        <f>VLOOKUP(P558,Assumptions!$C$2:$D$64,2,0)</f>
        <v>#N/A</v>
      </c>
      <c r="S558" s="692" t="str">
        <f>IFERROR(VLOOKUP(A558,'Maturity Adjustment'!$A$3:$C$81,3,0),(IF(J558&lt;$N$4,"Tomorrow",J558)))</f>
        <v>Tomorrow</v>
      </c>
      <c r="T558" s="190">
        <f t="shared" si="206"/>
        <v>1</v>
      </c>
      <c r="U558" s="196" t="e">
        <f t="shared" si="193"/>
        <v>#N/A</v>
      </c>
      <c r="V558" s="11" t="str">
        <f>IFERROR(VLOOKUP(A558,'Maturity Adjustment'!$A$86:$C$91,3,0),S558)</f>
        <v>Tomorrow</v>
      </c>
      <c r="W558" s="12" t="e">
        <f>VLOOKUP(A558,'Account Mapping'!$A$2:$F$216,6,0)</f>
        <v>#N/A</v>
      </c>
      <c r="X558" s="194">
        <f t="shared" si="194"/>
        <v>137.72999999999999</v>
      </c>
      <c r="Y558" s="194">
        <f t="shared" si="195"/>
        <v>0</v>
      </c>
      <c r="Z558" s="13">
        <f t="shared" si="196"/>
        <v>0</v>
      </c>
      <c r="AA558" s="13">
        <f t="shared" si="197"/>
        <v>0</v>
      </c>
      <c r="AB558" s="13">
        <f t="shared" si="198"/>
        <v>0</v>
      </c>
      <c r="AC558" s="13">
        <f t="shared" si="199"/>
        <v>0</v>
      </c>
      <c r="AD558" s="13">
        <f t="shared" si="200"/>
        <v>0</v>
      </c>
      <c r="AE558" s="13">
        <f t="shared" si="201"/>
        <v>0</v>
      </c>
      <c r="AF558" s="13">
        <f t="shared" si="202"/>
        <v>0</v>
      </c>
      <c r="AG558" s="685">
        <f t="shared" si="203"/>
        <v>0</v>
      </c>
      <c r="AH558" s="688" t="b">
        <f t="shared" si="204"/>
        <v>1</v>
      </c>
    </row>
    <row r="559" spans="1:34" s="1" customFormat="1" ht="15" customHeight="1">
      <c r="A559" s="946">
        <v>23200001</v>
      </c>
      <c r="B559" s="946" t="s">
        <v>1327</v>
      </c>
      <c r="C559" s="946" t="s">
        <v>1357</v>
      </c>
      <c r="D559" s="946">
        <v>100000001</v>
      </c>
      <c r="E559" s="946" t="s">
        <v>33</v>
      </c>
      <c r="F559" s="946" t="s">
        <v>11</v>
      </c>
      <c r="G559" s="947">
        <v>36.24</v>
      </c>
      <c r="H559" s="947">
        <v>36.24</v>
      </c>
      <c r="I559" s="948"/>
      <c r="J559" s="948"/>
      <c r="K559" s="948"/>
      <c r="L559" s="29" t="e">
        <f>VLOOKUP(A559,'Account Mapping'!$A$2:$E$216,3,0)</f>
        <v>#N/A</v>
      </c>
      <c r="M559" s="25" t="e">
        <f>VLOOKUP(A559,'Account Mapping'!$A$2:$E$216,4,0)</f>
        <v>#N/A</v>
      </c>
      <c r="N559" s="26" t="e">
        <f>IF(OR(C559='Account Mapping'!$H$4,C559='Account Mapping'!$H$5,C559='Account Mapping'!$H$6),'Account Mapping'!$I$4,VLOOKUP(A559,'Account Mapping'!$A$2:$E$216,5,0))</f>
        <v>#N/A</v>
      </c>
      <c r="O559" s="27" t="e">
        <f>IF(OR(L559="Loan",L559="Deposit_Liability",L559="OFF_Unused Loan Commitment",L559="HQLA"),VLOOKUP(D559,'Customer Type'!$A$3:$C$38,3,0),"")</f>
        <v>#N/A</v>
      </c>
      <c r="P559" s="656" t="e">
        <f t="shared" si="192"/>
        <v>#N/A</v>
      </c>
      <c r="Q559" s="658">
        <f>IF(COUNTIF('Account Mapping'!$H$12:$H$45,A559)&gt;0,-H559,H559)</f>
        <v>36.24</v>
      </c>
      <c r="R559" s="249" t="e">
        <f>VLOOKUP(P559,Assumptions!$C$2:$D$64,2,0)</f>
        <v>#N/A</v>
      </c>
      <c r="S559" s="692" t="str">
        <f>IFERROR(VLOOKUP(A559,'Maturity Adjustment'!$A$3:$C$81,3,0),(IF(J559&lt;$N$4,"Tomorrow",J559)))</f>
        <v>Tomorrow</v>
      </c>
      <c r="T559" s="190">
        <f t="shared" si="206"/>
        <v>1</v>
      </c>
      <c r="U559" s="196" t="e">
        <f t="shared" si="193"/>
        <v>#N/A</v>
      </c>
      <c r="V559" s="11" t="str">
        <f>IFERROR(VLOOKUP(A559,'Maturity Adjustment'!$A$86:$C$91,3,0),S559)</f>
        <v>Tomorrow</v>
      </c>
      <c r="W559" s="12" t="e">
        <f>VLOOKUP(A559,'Account Mapping'!$A$2:$F$216,6,0)</f>
        <v>#N/A</v>
      </c>
      <c r="X559" s="194">
        <f t="shared" si="194"/>
        <v>36.24</v>
      </c>
      <c r="Y559" s="194">
        <f t="shared" si="195"/>
        <v>0</v>
      </c>
      <c r="Z559" s="13">
        <f t="shared" si="196"/>
        <v>0</v>
      </c>
      <c r="AA559" s="13">
        <f t="shared" si="197"/>
        <v>0</v>
      </c>
      <c r="AB559" s="13">
        <f t="shared" si="198"/>
        <v>0</v>
      </c>
      <c r="AC559" s="13">
        <f t="shared" si="199"/>
        <v>0</v>
      </c>
      <c r="AD559" s="13">
        <f t="shared" si="200"/>
        <v>0</v>
      </c>
      <c r="AE559" s="13">
        <f t="shared" si="201"/>
        <v>0</v>
      </c>
      <c r="AF559" s="13">
        <f t="shared" si="202"/>
        <v>0</v>
      </c>
      <c r="AG559" s="685">
        <f t="shared" si="203"/>
        <v>0</v>
      </c>
      <c r="AH559" s="688" t="b">
        <f t="shared" si="204"/>
        <v>1</v>
      </c>
    </row>
    <row r="560" spans="1:34" s="1" customFormat="1" ht="15" customHeight="1">
      <c r="A560" s="946">
        <v>23200001</v>
      </c>
      <c r="B560" s="946" t="s">
        <v>1327</v>
      </c>
      <c r="C560" s="946" t="s">
        <v>1358</v>
      </c>
      <c r="D560" s="946">
        <v>100000001</v>
      </c>
      <c r="E560" s="946" t="s">
        <v>33</v>
      </c>
      <c r="F560" s="946" t="s">
        <v>11</v>
      </c>
      <c r="G560" s="947">
        <v>34.57</v>
      </c>
      <c r="H560" s="947">
        <v>34.57</v>
      </c>
      <c r="I560" s="948"/>
      <c r="J560" s="948"/>
      <c r="K560" s="948"/>
      <c r="L560" s="29" t="e">
        <f>VLOOKUP(A560,'Account Mapping'!$A$2:$E$216,3,0)</f>
        <v>#N/A</v>
      </c>
      <c r="M560" s="25" t="e">
        <f>VLOOKUP(A560,'Account Mapping'!$A$2:$E$216,4,0)</f>
        <v>#N/A</v>
      </c>
      <c r="N560" s="26" t="e">
        <f>IF(OR(C560='Account Mapping'!$H$4,C560='Account Mapping'!$H$5,C560='Account Mapping'!$H$6),'Account Mapping'!$I$4,VLOOKUP(A560,'Account Mapping'!$A$2:$E$216,5,0))</f>
        <v>#N/A</v>
      </c>
      <c r="O560" s="27" t="e">
        <f>IF(OR(L560="Loan",L560="Deposit_Liability",L560="OFF_Unused Loan Commitment",L560="HQLA"),VLOOKUP(D560,'Customer Type'!$A$3:$C$38,3,0),"")</f>
        <v>#N/A</v>
      </c>
      <c r="P560" s="656" t="e">
        <f t="shared" si="192"/>
        <v>#N/A</v>
      </c>
      <c r="Q560" s="658">
        <f>IF(COUNTIF('Account Mapping'!$H$12:$H$45,A560)&gt;0,-H560,H560)</f>
        <v>34.57</v>
      </c>
      <c r="R560" s="249" t="e">
        <f>VLOOKUP(P560,Assumptions!$C$2:$D$64,2,0)</f>
        <v>#N/A</v>
      </c>
      <c r="S560" s="692" t="str">
        <f>IFERROR(VLOOKUP(A560,'Maturity Adjustment'!$A$3:$C$81,3,0),(IF(J560&lt;$N$4,"Tomorrow",J560)))</f>
        <v>Tomorrow</v>
      </c>
      <c r="T560" s="190">
        <f t="shared" ref="T560:T580" si="207">IF(S560="Tomorrow",1,(S560-$N$4))</f>
        <v>1</v>
      </c>
      <c r="U560" s="196" t="e">
        <f t="shared" si="193"/>
        <v>#N/A</v>
      </c>
      <c r="V560" s="11" t="str">
        <f>IFERROR(VLOOKUP(A560,'Maturity Adjustment'!$A$86:$C$91,3,0),S560)</f>
        <v>Tomorrow</v>
      </c>
      <c r="W560" s="12" t="e">
        <f>VLOOKUP(A560,'Account Mapping'!$A$2:$F$216,6,0)</f>
        <v>#N/A</v>
      </c>
      <c r="X560" s="194">
        <f t="shared" si="194"/>
        <v>34.57</v>
      </c>
      <c r="Y560" s="194">
        <f t="shared" si="195"/>
        <v>0</v>
      </c>
      <c r="Z560" s="13">
        <f t="shared" si="196"/>
        <v>0</v>
      </c>
      <c r="AA560" s="13">
        <f t="shared" si="197"/>
        <v>0</v>
      </c>
      <c r="AB560" s="13">
        <f t="shared" si="198"/>
        <v>0</v>
      </c>
      <c r="AC560" s="13">
        <f t="shared" si="199"/>
        <v>0</v>
      </c>
      <c r="AD560" s="13">
        <f t="shared" si="200"/>
        <v>0</v>
      </c>
      <c r="AE560" s="13">
        <f t="shared" si="201"/>
        <v>0</v>
      </c>
      <c r="AF560" s="13">
        <f t="shared" si="202"/>
        <v>0</v>
      </c>
      <c r="AG560" s="685">
        <f t="shared" si="203"/>
        <v>0</v>
      </c>
      <c r="AH560" s="688" t="b">
        <f t="shared" si="204"/>
        <v>1</v>
      </c>
    </row>
    <row r="561" spans="1:34" s="1" customFormat="1" ht="15" customHeight="1">
      <c r="A561" s="946">
        <v>23200001</v>
      </c>
      <c r="B561" s="946" t="s">
        <v>1327</v>
      </c>
      <c r="C561" s="946" t="s">
        <v>1359</v>
      </c>
      <c r="D561" s="946">
        <v>100000001</v>
      </c>
      <c r="E561" s="946" t="s">
        <v>33</v>
      </c>
      <c r="F561" s="946" t="s">
        <v>11</v>
      </c>
      <c r="G561" s="947">
        <v>11.29</v>
      </c>
      <c r="H561" s="947">
        <v>11.29</v>
      </c>
      <c r="I561" s="948"/>
      <c r="J561" s="948"/>
      <c r="K561" s="948"/>
      <c r="L561" s="29" t="e">
        <f>VLOOKUP(A561,'Account Mapping'!$A$2:$E$216,3,0)</f>
        <v>#N/A</v>
      </c>
      <c r="M561" s="25" t="e">
        <f>VLOOKUP(A561,'Account Mapping'!$A$2:$E$216,4,0)</f>
        <v>#N/A</v>
      </c>
      <c r="N561" s="26" t="e">
        <f>IF(OR(C561='Account Mapping'!$H$4,C561='Account Mapping'!$H$5,C561='Account Mapping'!$H$6),'Account Mapping'!$I$4,VLOOKUP(A561,'Account Mapping'!$A$2:$E$216,5,0))</f>
        <v>#N/A</v>
      </c>
      <c r="O561" s="27" t="e">
        <f>IF(OR(L561="Loan",L561="Deposit_Liability",L561="OFF_Unused Loan Commitment",L561="HQLA"),VLOOKUP(D561,'Customer Type'!$A$3:$C$38,3,0),"")</f>
        <v>#N/A</v>
      </c>
      <c r="P561" s="656" t="e">
        <f t="shared" si="192"/>
        <v>#N/A</v>
      </c>
      <c r="Q561" s="658">
        <f>IF(COUNTIF('Account Mapping'!$H$12:$H$45,A561)&gt;0,-H561,H561)</f>
        <v>11.29</v>
      </c>
      <c r="R561" s="249" t="e">
        <f>VLOOKUP(P561,Assumptions!$C$2:$D$64,2,0)</f>
        <v>#N/A</v>
      </c>
      <c r="S561" s="692" t="str">
        <f>IFERROR(VLOOKUP(A561,'Maturity Adjustment'!$A$3:$C$81,3,0),(IF(J561&lt;$N$4,"Tomorrow",J561)))</f>
        <v>Tomorrow</v>
      </c>
      <c r="T561" s="190">
        <f t="shared" si="207"/>
        <v>1</v>
      </c>
      <c r="U561" s="196" t="e">
        <f t="shared" si="193"/>
        <v>#N/A</v>
      </c>
      <c r="V561" s="11" t="str">
        <f>IFERROR(VLOOKUP(A561,'Maturity Adjustment'!$A$86:$C$91,3,0),S561)</f>
        <v>Tomorrow</v>
      </c>
      <c r="W561" s="12" t="e">
        <f>VLOOKUP(A561,'Account Mapping'!$A$2:$F$216,6,0)</f>
        <v>#N/A</v>
      </c>
      <c r="X561" s="194">
        <f t="shared" si="194"/>
        <v>11.29</v>
      </c>
      <c r="Y561" s="194">
        <f t="shared" si="195"/>
        <v>0</v>
      </c>
      <c r="Z561" s="13">
        <f t="shared" si="196"/>
        <v>0</v>
      </c>
      <c r="AA561" s="13">
        <f t="shared" si="197"/>
        <v>0</v>
      </c>
      <c r="AB561" s="13">
        <f t="shared" si="198"/>
        <v>0</v>
      </c>
      <c r="AC561" s="13">
        <f t="shared" si="199"/>
        <v>0</v>
      </c>
      <c r="AD561" s="13">
        <f t="shared" si="200"/>
        <v>0</v>
      </c>
      <c r="AE561" s="13">
        <f t="shared" si="201"/>
        <v>0</v>
      </c>
      <c r="AF561" s="13">
        <f t="shared" si="202"/>
        <v>0</v>
      </c>
      <c r="AG561" s="685">
        <f t="shared" si="203"/>
        <v>0</v>
      </c>
      <c r="AH561" s="688" t="b">
        <f t="shared" si="204"/>
        <v>1</v>
      </c>
    </row>
    <row r="562" spans="1:34" s="1" customFormat="1" ht="15" customHeight="1">
      <c r="A562" s="946">
        <v>23200001</v>
      </c>
      <c r="B562" s="946" t="s">
        <v>1327</v>
      </c>
      <c r="C562" s="946" t="s">
        <v>1360</v>
      </c>
      <c r="D562" s="946">
        <v>100000001</v>
      </c>
      <c r="E562" s="946" t="s">
        <v>33</v>
      </c>
      <c r="F562" s="946" t="s">
        <v>11</v>
      </c>
      <c r="G562" s="947">
        <v>23.59</v>
      </c>
      <c r="H562" s="947">
        <v>23.59</v>
      </c>
      <c r="I562" s="948"/>
      <c r="J562" s="948"/>
      <c r="K562" s="948"/>
      <c r="L562" s="29" t="e">
        <f>VLOOKUP(A562,'Account Mapping'!$A$2:$E$216,3,0)</f>
        <v>#N/A</v>
      </c>
      <c r="M562" s="25" t="e">
        <f>VLOOKUP(A562,'Account Mapping'!$A$2:$E$216,4,0)</f>
        <v>#N/A</v>
      </c>
      <c r="N562" s="26" t="e">
        <f>IF(OR(C562='Account Mapping'!$H$4,C562='Account Mapping'!$H$5,C562='Account Mapping'!$H$6),'Account Mapping'!$I$4,VLOOKUP(A562,'Account Mapping'!$A$2:$E$216,5,0))</f>
        <v>#N/A</v>
      </c>
      <c r="O562" s="27" t="e">
        <f>IF(OR(L562="Loan",L562="Deposit_Liability",L562="OFF_Unused Loan Commitment",L562="HQLA"),VLOOKUP(D562,'Customer Type'!$A$3:$C$38,3,0),"")</f>
        <v>#N/A</v>
      </c>
      <c r="P562" s="656" t="e">
        <f t="shared" si="192"/>
        <v>#N/A</v>
      </c>
      <c r="Q562" s="658">
        <f>IF(COUNTIF('Account Mapping'!$H$12:$H$45,A562)&gt;0,-H562,H562)</f>
        <v>23.59</v>
      </c>
      <c r="R562" s="249" t="e">
        <f>VLOOKUP(P562,Assumptions!$C$2:$D$64,2,0)</f>
        <v>#N/A</v>
      </c>
      <c r="S562" s="692" t="str">
        <f>IFERROR(VLOOKUP(A562,'Maturity Adjustment'!$A$3:$C$81,3,0),(IF(J562&lt;$N$4,"Tomorrow",J562)))</f>
        <v>Tomorrow</v>
      </c>
      <c r="T562" s="190">
        <f t="shared" si="207"/>
        <v>1</v>
      </c>
      <c r="U562" s="196" t="e">
        <f t="shared" si="193"/>
        <v>#N/A</v>
      </c>
      <c r="V562" s="11" t="str">
        <f>IFERROR(VLOOKUP(A562,'Maturity Adjustment'!$A$86:$C$91,3,0),S562)</f>
        <v>Tomorrow</v>
      </c>
      <c r="W562" s="12" t="e">
        <f>VLOOKUP(A562,'Account Mapping'!$A$2:$F$216,6,0)</f>
        <v>#N/A</v>
      </c>
      <c r="X562" s="194">
        <f t="shared" si="194"/>
        <v>23.59</v>
      </c>
      <c r="Y562" s="194">
        <f t="shared" si="195"/>
        <v>0</v>
      </c>
      <c r="Z562" s="13">
        <f t="shared" si="196"/>
        <v>0</v>
      </c>
      <c r="AA562" s="13">
        <f t="shared" si="197"/>
        <v>0</v>
      </c>
      <c r="AB562" s="13">
        <f t="shared" si="198"/>
        <v>0</v>
      </c>
      <c r="AC562" s="13">
        <f t="shared" si="199"/>
        <v>0</v>
      </c>
      <c r="AD562" s="13">
        <f t="shared" si="200"/>
        <v>0</v>
      </c>
      <c r="AE562" s="13">
        <f t="shared" si="201"/>
        <v>0</v>
      </c>
      <c r="AF562" s="13">
        <f t="shared" si="202"/>
        <v>0</v>
      </c>
      <c r="AG562" s="685">
        <f t="shared" si="203"/>
        <v>0</v>
      </c>
      <c r="AH562" s="688" t="b">
        <f t="shared" si="204"/>
        <v>1</v>
      </c>
    </row>
    <row r="563" spans="1:34" s="1" customFormat="1" ht="15" customHeight="1">
      <c r="A563" s="946">
        <v>23200001</v>
      </c>
      <c r="B563" s="946" t="s">
        <v>1327</v>
      </c>
      <c r="C563" s="946" t="s">
        <v>1361</v>
      </c>
      <c r="D563" s="946">
        <v>100000001</v>
      </c>
      <c r="E563" s="946" t="s">
        <v>33</v>
      </c>
      <c r="F563" s="946" t="s">
        <v>11</v>
      </c>
      <c r="G563" s="947">
        <v>5698.02</v>
      </c>
      <c r="H563" s="947">
        <v>5698.02</v>
      </c>
      <c r="I563" s="948"/>
      <c r="J563" s="948"/>
      <c r="K563" s="948"/>
      <c r="L563" s="29" t="e">
        <f>VLOOKUP(A563,'Account Mapping'!$A$2:$E$216,3,0)</f>
        <v>#N/A</v>
      </c>
      <c r="M563" s="25" t="e">
        <f>VLOOKUP(A563,'Account Mapping'!$A$2:$E$216,4,0)</f>
        <v>#N/A</v>
      </c>
      <c r="N563" s="26" t="e">
        <f>IF(OR(C563='Account Mapping'!$H$4,C563='Account Mapping'!$H$5,C563='Account Mapping'!$H$6),'Account Mapping'!$I$4,VLOOKUP(A563,'Account Mapping'!$A$2:$E$216,5,0))</f>
        <v>#N/A</v>
      </c>
      <c r="O563" s="27" t="e">
        <f>IF(OR(L563="Loan",L563="Deposit_Liability",L563="OFF_Unused Loan Commitment",L563="HQLA"),VLOOKUP(D563,'Customer Type'!$A$3:$C$38,3,0),"")</f>
        <v>#N/A</v>
      </c>
      <c r="P563" s="656" t="e">
        <f t="shared" si="192"/>
        <v>#N/A</v>
      </c>
      <c r="Q563" s="658">
        <f>IF(COUNTIF('Account Mapping'!$H$12:$H$45,A563)&gt;0,-H563,H563)</f>
        <v>5698.02</v>
      </c>
      <c r="R563" s="249" t="e">
        <f>VLOOKUP(P563,Assumptions!$C$2:$D$64,2,0)</f>
        <v>#N/A</v>
      </c>
      <c r="S563" s="692" t="str">
        <f>IFERROR(VLOOKUP(A563,'Maturity Adjustment'!$A$3:$C$81,3,0),(IF(J563&lt;$N$4,"Tomorrow",J563)))</f>
        <v>Tomorrow</v>
      </c>
      <c r="T563" s="190">
        <f t="shared" si="207"/>
        <v>1</v>
      </c>
      <c r="U563" s="196" t="e">
        <f t="shared" si="193"/>
        <v>#N/A</v>
      </c>
      <c r="V563" s="11" t="str">
        <f>IFERROR(VLOOKUP(A563,'Maturity Adjustment'!$A$86:$C$91,3,0),S563)</f>
        <v>Tomorrow</v>
      </c>
      <c r="W563" s="12" t="e">
        <f>VLOOKUP(A563,'Account Mapping'!$A$2:$F$216,6,0)</f>
        <v>#N/A</v>
      </c>
      <c r="X563" s="194">
        <f t="shared" si="194"/>
        <v>5698.02</v>
      </c>
      <c r="Y563" s="194">
        <f t="shared" si="195"/>
        <v>0</v>
      </c>
      <c r="Z563" s="13">
        <f t="shared" si="196"/>
        <v>0</v>
      </c>
      <c r="AA563" s="13">
        <f t="shared" si="197"/>
        <v>0</v>
      </c>
      <c r="AB563" s="13">
        <f t="shared" si="198"/>
        <v>0</v>
      </c>
      <c r="AC563" s="13">
        <f t="shared" si="199"/>
        <v>0</v>
      </c>
      <c r="AD563" s="13">
        <f t="shared" si="200"/>
        <v>0</v>
      </c>
      <c r="AE563" s="13">
        <f t="shared" si="201"/>
        <v>0</v>
      </c>
      <c r="AF563" s="13">
        <f t="shared" si="202"/>
        <v>0</v>
      </c>
      <c r="AG563" s="685">
        <f t="shared" si="203"/>
        <v>0</v>
      </c>
      <c r="AH563" s="688" t="b">
        <f t="shared" si="204"/>
        <v>1</v>
      </c>
    </row>
    <row r="564" spans="1:34" s="1" customFormat="1" ht="15" customHeight="1">
      <c r="A564" s="946">
        <v>23200001</v>
      </c>
      <c r="B564" s="946" t="s">
        <v>1327</v>
      </c>
      <c r="C564" s="946" t="s">
        <v>1362</v>
      </c>
      <c r="D564" s="946">
        <v>100000001</v>
      </c>
      <c r="E564" s="946" t="s">
        <v>33</v>
      </c>
      <c r="F564" s="946" t="s">
        <v>11</v>
      </c>
      <c r="G564" s="947">
        <v>5.84</v>
      </c>
      <c r="H564" s="947">
        <v>5.84</v>
      </c>
      <c r="I564" s="948"/>
      <c r="J564" s="948"/>
      <c r="K564" s="948"/>
      <c r="L564" s="29" t="e">
        <f>VLOOKUP(A564,'Account Mapping'!$A$2:$E$216,3,0)</f>
        <v>#N/A</v>
      </c>
      <c r="M564" s="25" t="e">
        <f>VLOOKUP(A564,'Account Mapping'!$A$2:$E$216,4,0)</f>
        <v>#N/A</v>
      </c>
      <c r="N564" s="26" t="e">
        <f>IF(OR(C564='Account Mapping'!$H$4,C564='Account Mapping'!$H$5,C564='Account Mapping'!$H$6),'Account Mapping'!$I$4,VLOOKUP(A564,'Account Mapping'!$A$2:$E$216,5,0))</f>
        <v>#N/A</v>
      </c>
      <c r="O564" s="27" t="e">
        <f>IF(OR(L564="Loan",L564="Deposit_Liability",L564="OFF_Unused Loan Commitment",L564="HQLA"),VLOOKUP(D564,'Customer Type'!$A$3:$C$38,3,0),"")</f>
        <v>#N/A</v>
      </c>
      <c r="P564" s="656" t="e">
        <f t="shared" si="192"/>
        <v>#N/A</v>
      </c>
      <c r="Q564" s="658">
        <f>IF(COUNTIF('Account Mapping'!$H$12:$H$45,A564)&gt;0,-H564,H564)</f>
        <v>5.84</v>
      </c>
      <c r="R564" s="249" t="e">
        <f>VLOOKUP(P564,Assumptions!$C$2:$D$64,2,0)</f>
        <v>#N/A</v>
      </c>
      <c r="S564" s="692" t="str">
        <f>IFERROR(VLOOKUP(A564,'Maturity Adjustment'!$A$3:$C$81,3,0),(IF(J564&lt;$N$4,"Tomorrow",J564)))</f>
        <v>Tomorrow</v>
      </c>
      <c r="T564" s="190">
        <f t="shared" si="207"/>
        <v>1</v>
      </c>
      <c r="U564" s="196" t="e">
        <f t="shared" si="193"/>
        <v>#N/A</v>
      </c>
      <c r="V564" s="11" t="str">
        <f>IFERROR(VLOOKUP(A564,'Maturity Adjustment'!$A$86:$C$91,3,0),S564)</f>
        <v>Tomorrow</v>
      </c>
      <c r="W564" s="12" t="e">
        <f>VLOOKUP(A564,'Account Mapping'!$A$2:$F$216,6,0)</f>
        <v>#N/A</v>
      </c>
      <c r="X564" s="194">
        <f t="shared" si="194"/>
        <v>5.84</v>
      </c>
      <c r="Y564" s="194">
        <f t="shared" si="195"/>
        <v>0</v>
      </c>
      <c r="Z564" s="13">
        <f t="shared" si="196"/>
        <v>0</v>
      </c>
      <c r="AA564" s="13">
        <f t="shared" si="197"/>
        <v>0</v>
      </c>
      <c r="AB564" s="13">
        <f t="shared" si="198"/>
        <v>0</v>
      </c>
      <c r="AC564" s="13">
        <f t="shared" si="199"/>
        <v>0</v>
      </c>
      <c r="AD564" s="13">
        <f t="shared" si="200"/>
        <v>0</v>
      </c>
      <c r="AE564" s="13">
        <f t="shared" si="201"/>
        <v>0</v>
      </c>
      <c r="AF564" s="13">
        <f t="shared" si="202"/>
        <v>0</v>
      </c>
      <c r="AG564" s="685">
        <f t="shared" si="203"/>
        <v>0</v>
      </c>
      <c r="AH564" s="688" t="b">
        <f t="shared" si="204"/>
        <v>1</v>
      </c>
    </row>
    <row r="565" spans="1:34" s="1" customFormat="1" ht="15" customHeight="1">
      <c r="A565" s="946">
        <v>23200001</v>
      </c>
      <c r="B565" s="946" t="s">
        <v>1327</v>
      </c>
      <c r="C565" s="946" t="s">
        <v>1363</v>
      </c>
      <c r="D565" s="946">
        <v>100000001</v>
      </c>
      <c r="E565" s="946" t="s">
        <v>33</v>
      </c>
      <c r="F565" s="946" t="s">
        <v>11</v>
      </c>
      <c r="G565" s="947">
        <v>18.29</v>
      </c>
      <c r="H565" s="947">
        <v>18.29</v>
      </c>
      <c r="I565" s="948"/>
      <c r="J565" s="948"/>
      <c r="K565" s="948"/>
      <c r="L565" s="29" t="e">
        <f>VLOOKUP(A565,'Account Mapping'!$A$2:$E$216,3,0)</f>
        <v>#N/A</v>
      </c>
      <c r="M565" s="25" t="e">
        <f>VLOOKUP(A565,'Account Mapping'!$A$2:$E$216,4,0)</f>
        <v>#N/A</v>
      </c>
      <c r="N565" s="26" t="e">
        <f>IF(OR(C565='Account Mapping'!$H$4,C565='Account Mapping'!$H$5,C565='Account Mapping'!$H$6),'Account Mapping'!$I$4,VLOOKUP(A565,'Account Mapping'!$A$2:$E$216,5,0))</f>
        <v>#N/A</v>
      </c>
      <c r="O565" s="27" t="e">
        <f>IF(OR(L565="Loan",L565="Deposit_Liability",L565="OFF_Unused Loan Commitment",L565="HQLA"),VLOOKUP(D565,'Customer Type'!$A$3:$C$38,3,0),"")</f>
        <v>#N/A</v>
      </c>
      <c r="P565" s="656" t="e">
        <f t="shared" si="192"/>
        <v>#N/A</v>
      </c>
      <c r="Q565" s="658">
        <f>IF(COUNTIF('Account Mapping'!$H$12:$H$45,A565)&gt;0,-H565,H565)</f>
        <v>18.29</v>
      </c>
      <c r="R565" s="249" t="e">
        <f>VLOOKUP(P565,Assumptions!$C$2:$D$64,2,0)</f>
        <v>#N/A</v>
      </c>
      <c r="S565" s="692" t="str">
        <f>IFERROR(VLOOKUP(A565,'Maturity Adjustment'!$A$3:$C$81,3,0),(IF(J565&lt;$N$4,"Tomorrow",J565)))</f>
        <v>Tomorrow</v>
      </c>
      <c r="T565" s="190">
        <f t="shared" si="207"/>
        <v>1</v>
      </c>
      <c r="U565" s="196" t="e">
        <f t="shared" si="193"/>
        <v>#N/A</v>
      </c>
      <c r="V565" s="11" t="str">
        <f>IFERROR(VLOOKUP(A565,'Maturity Adjustment'!$A$86:$C$91,3,0),S565)</f>
        <v>Tomorrow</v>
      </c>
      <c r="W565" s="12" t="e">
        <f>VLOOKUP(A565,'Account Mapping'!$A$2:$F$216,6,0)</f>
        <v>#N/A</v>
      </c>
      <c r="X565" s="194">
        <f t="shared" si="194"/>
        <v>18.29</v>
      </c>
      <c r="Y565" s="194">
        <f t="shared" si="195"/>
        <v>0</v>
      </c>
      <c r="Z565" s="13">
        <f t="shared" si="196"/>
        <v>0</v>
      </c>
      <c r="AA565" s="13">
        <f t="shared" si="197"/>
        <v>0</v>
      </c>
      <c r="AB565" s="13">
        <f t="shared" si="198"/>
        <v>0</v>
      </c>
      <c r="AC565" s="13">
        <f t="shared" si="199"/>
        <v>0</v>
      </c>
      <c r="AD565" s="13">
        <f t="shared" si="200"/>
        <v>0</v>
      </c>
      <c r="AE565" s="13">
        <f t="shared" si="201"/>
        <v>0</v>
      </c>
      <c r="AF565" s="13">
        <f t="shared" si="202"/>
        <v>0</v>
      </c>
      <c r="AG565" s="685">
        <f t="shared" si="203"/>
        <v>0</v>
      </c>
      <c r="AH565" s="688" t="b">
        <f t="shared" si="204"/>
        <v>1</v>
      </c>
    </row>
    <row r="566" spans="1:34" s="1" customFormat="1" ht="15" customHeight="1">
      <c r="A566" s="946">
        <v>23200001</v>
      </c>
      <c r="B566" s="946" t="s">
        <v>1327</v>
      </c>
      <c r="C566" s="946" t="s">
        <v>1364</v>
      </c>
      <c r="D566" s="946">
        <v>100000001</v>
      </c>
      <c r="E566" s="946" t="s">
        <v>33</v>
      </c>
      <c r="F566" s="946" t="s">
        <v>11</v>
      </c>
      <c r="G566" s="947">
        <v>78.37</v>
      </c>
      <c r="H566" s="947">
        <v>78.37</v>
      </c>
      <c r="I566" s="948"/>
      <c r="J566" s="948"/>
      <c r="K566" s="948"/>
      <c r="L566" s="29" t="e">
        <f>VLOOKUP(A566,'Account Mapping'!$A$2:$E$216,3,0)</f>
        <v>#N/A</v>
      </c>
      <c r="M566" s="25" t="e">
        <f>VLOOKUP(A566,'Account Mapping'!$A$2:$E$216,4,0)</f>
        <v>#N/A</v>
      </c>
      <c r="N566" s="26" t="e">
        <f>IF(OR(C566='Account Mapping'!$H$4,C566='Account Mapping'!$H$5,C566='Account Mapping'!$H$6),'Account Mapping'!$I$4,VLOOKUP(A566,'Account Mapping'!$A$2:$E$216,5,0))</f>
        <v>#N/A</v>
      </c>
      <c r="O566" s="27" t="e">
        <f>IF(OR(L566="Loan",L566="Deposit_Liability",L566="OFF_Unused Loan Commitment",L566="HQLA"),VLOOKUP(D566,'Customer Type'!$A$3:$C$38,3,0),"")</f>
        <v>#N/A</v>
      </c>
      <c r="P566" s="656" t="e">
        <f t="shared" si="192"/>
        <v>#N/A</v>
      </c>
      <c r="Q566" s="658">
        <f>IF(COUNTIF('Account Mapping'!$H$12:$H$45,A566)&gt;0,-H566,H566)</f>
        <v>78.37</v>
      </c>
      <c r="R566" s="249" t="e">
        <f>VLOOKUP(P566,Assumptions!$C$2:$D$64,2,0)</f>
        <v>#N/A</v>
      </c>
      <c r="S566" s="692" t="str">
        <f>IFERROR(VLOOKUP(A566,'Maturity Adjustment'!$A$3:$C$81,3,0),(IF(J566&lt;$N$4,"Tomorrow",J566)))</f>
        <v>Tomorrow</v>
      </c>
      <c r="T566" s="190">
        <f t="shared" si="207"/>
        <v>1</v>
      </c>
      <c r="U566" s="196" t="e">
        <f t="shared" si="193"/>
        <v>#N/A</v>
      </c>
      <c r="V566" s="11" t="str">
        <f>IFERROR(VLOOKUP(A566,'Maturity Adjustment'!$A$86:$C$91,3,0),S566)</f>
        <v>Tomorrow</v>
      </c>
      <c r="W566" s="12" t="e">
        <f>VLOOKUP(A566,'Account Mapping'!$A$2:$F$216,6,0)</f>
        <v>#N/A</v>
      </c>
      <c r="X566" s="194">
        <f t="shared" si="194"/>
        <v>78.37</v>
      </c>
      <c r="Y566" s="194">
        <f t="shared" si="195"/>
        <v>0</v>
      </c>
      <c r="Z566" s="13">
        <f t="shared" si="196"/>
        <v>0</v>
      </c>
      <c r="AA566" s="13">
        <f t="shared" si="197"/>
        <v>0</v>
      </c>
      <c r="AB566" s="13">
        <f t="shared" si="198"/>
        <v>0</v>
      </c>
      <c r="AC566" s="13">
        <f t="shared" si="199"/>
        <v>0</v>
      </c>
      <c r="AD566" s="13">
        <f t="shared" si="200"/>
        <v>0</v>
      </c>
      <c r="AE566" s="13">
        <f t="shared" si="201"/>
        <v>0</v>
      </c>
      <c r="AF566" s="13">
        <f t="shared" si="202"/>
        <v>0</v>
      </c>
      <c r="AG566" s="685">
        <f t="shared" si="203"/>
        <v>0</v>
      </c>
      <c r="AH566" s="688" t="b">
        <f t="shared" si="204"/>
        <v>1</v>
      </c>
    </row>
    <row r="567" spans="1:34" s="1" customFormat="1" ht="15" customHeight="1">
      <c r="A567" s="946">
        <v>23200001</v>
      </c>
      <c r="B567" s="946" t="s">
        <v>1327</v>
      </c>
      <c r="C567" s="946" t="s">
        <v>1365</v>
      </c>
      <c r="D567" s="946">
        <v>100000001</v>
      </c>
      <c r="E567" s="946" t="s">
        <v>33</v>
      </c>
      <c r="F567" s="946" t="s">
        <v>11</v>
      </c>
      <c r="G567" s="947">
        <v>44.44</v>
      </c>
      <c r="H567" s="947">
        <v>44.44</v>
      </c>
      <c r="I567" s="948"/>
      <c r="J567" s="948"/>
      <c r="K567" s="948"/>
      <c r="L567" s="29" t="e">
        <f>VLOOKUP(A567,'Account Mapping'!$A$2:$E$216,3,0)</f>
        <v>#N/A</v>
      </c>
      <c r="M567" s="25" t="e">
        <f>VLOOKUP(A567,'Account Mapping'!$A$2:$E$216,4,0)</f>
        <v>#N/A</v>
      </c>
      <c r="N567" s="26" t="e">
        <f>IF(OR(C567='Account Mapping'!$H$4,C567='Account Mapping'!$H$5,C567='Account Mapping'!$H$6),'Account Mapping'!$I$4,VLOOKUP(A567,'Account Mapping'!$A$2:$E$216,5,0))</f>
        <v>#N/A</v>
      </c>
      <c r="O567" s="27" t="e">
        <f>IF(OR(L567="Loan",L567="Deposit_Liability",L567="OFF_Unused Loan Commitment",L567="HQLA"),VLOOKUP(D567,'Customer Type'!$A$3:$C$38,3,0),"")</f>
        <v>#N/A</v>
      </c>
      <c r="P567" s="656" t="e">
        <f t="shared" si="192"/>
        <v>#N/A</v>
      </c>
      <c r="Q567" s="658">
        <f>IF(COUNTIF('Account Mapping'!$H$12:$H$45,A567)&gt;0,-H567,H567)</f>
        <v>44.44</v>
      </c>
      <c r="R567" s="249" t="e">
        <f>VLOOKUP(P567,Assumptions!$C$2:$D$64,2,0)</f>
        <v>#N/A</v>
      </c>
      <c r="S567" s="692" t="str">
        <f>IFERROR(VLOOKUP(A567,'Maturity Adjustment'!$A$3:$C$81,3,0),(IF(J567&lt;$N$4,"Tomorrow",J567)))</f>
        <v>Tomorrow</v>
      </c>
      <c r="T567" s="190">
        <f t="shared" si="207"/>
        <v>1</v>
      </c>
      <c r="U567" s="196" t="e">
        <f t="shared" si="193"/>
        <v>#N/A</v>
      </c>
      <c r="V567" s="11" t="str">
        <f>IFERROR(VLOOKUP(A567,'Maturity Adjustment'!$A$86:$C$91,3,0),S567)</f>
        <v>Tomorrow</v>
      </c>
      <c r="W567" s="12" t="e">
        <f>VLOOKUP(A567,'Account Mapping'!$A$2:$F$216,6,0)</f>
        <v>#N/A</v>
      </c>
      <c r="X567" s="194">
        <f t="shared" si="194"/>
        <v>44.44</v>
      </c>
      <c r="Y567" s="194">
        <f t="shared" si="195"/>
        <v>0</v>
      </c>
      <c r="Z567" s="13">
        <f t="shared" si="196"/>
        <v>0</v>
      </c>
      <c r="AA567" s="13">
        <f t="shared" si="197"/>
        <v>0</v>
      </c>
      <c r="AB567" s="13">
        <f t="shared" si="198"/>
        <v>0</v>
      </c>
      <c r="AC567" s="13">
        <f t="shared" si="199"/>
        <v>0</v>
      </c>
      <c r="AD567" s="13">
        <f t="shared" si="200"/>
        <v>0</v>
      </c>
      <c r="AE567" s="13">
        <f t="shared" si="201"/>
        <v>0</v>
      </c>
      <c r="AF567" s="13">
        <f t="shared" si="202"/>
        <v>0</v>
      </c>
      <c r="AG567" s="685">
        <f t="shared" si="203"/>
        <v>0</v>
      </c>
      <c r="AH567" s="688" t="b">
        <f t="shared" si="204"/>
        <v>1</v>
      </c>
    </row>
    <row r="568" spans="1:34" s="1" customFormat="1" ht="15" customHeight="1">
      <c r="A568" s="946">
        <v>23200001</v>
      </c>
      <c r="B568" s="946" t="s">
        <v>1327</v>
      </c>
      <c r="C568" s="946" t="s">
        <v>1366</v>
      </c>
      <c r="D568" s="946">
        <v>100000001</v>
      </c>
      <c r="E568" s="946" t="s">
        <v>33</v>
      </c>
      <c r="F568" s="946" t="s">
        <v>11</v>
      </c>
      <c r="G568" s="947">
        <v>131.41999999999999</v>
      </c>
      <c r="H568" s="947">
        <v>131.41999999999999</v>
      </c>
      <c r="I568" s="948"/>
      <c r="J568" s="948"/>
      <c r="K568" s="948"/>
      <c r="L568" s="29" t="e">
        <f>VLOOKUP(A568,'Account Mapping'!$A$2:$E$216,3,0)</f>
        <v>#N/A</v>
      </c>
      <c r="M568" s="25" t="e">
        <f>VLOOKUP(A568,'Account Mapping'!$A$2:$E$216,4,0)</f>
        <v>#N/A</v>
      </c>
      <c r="N568" s="26" t="e">
        <f>IF(OR(C568='Account Mapping'!$H$4,C568='Account Mapping'!$H$5,C568='Account Mapping'!$H$6),'Account Mapping'!$I$4,VLOOKUP(A568,'Account Mapping'!$A$2:$E$216,5,0))</f>
        <v>#N/A</v>
      </c>
      <c r="O568" s="27" t="e">
        <f>IF(OR(L568="Loan",L568="Deposit_Liability",L568="OFF_Unused Loan Commitment",L568="HQLA"),VLOOKUP(D568,'Customer Type'!$A$3:$C$38,3,0),"")</f>
        <v>#N/A</v>
      </c>
      <c r="P568" s="656" t="e">
        <f t="shared" si="192"/>
        <v>#N/A</v>
      </c>
      <c r="Q568" s="658">
        <f>IF(COUNTIF('Account Mapping'!$H$12:$H$45,A568)&gt;0,-H568,H568)</f>
        <v>131.41999999999999</v>
      </c>
      <c r="R568" s="249" t="e">
        <f>VLOOKUP(P568,Assumptions!$C$2:$D$64,2,0)</f>
        <v>#N/A</v>
      </c>
      <c r="S568" s="692" t="str">
        <f>IFERROR(VLOOKUP(A568,'Maturity Adjustment'!$A$3:$C$81,3,0),(IF(J568&lt;$N$4,"Tomorrow",J568)))</f>
        <v>Tomorrow</v>
      </c>
      <c r="T568" s="190">
        <f t="shared" si="207"/>
        <v>1</v>
      </c>
      <c r="U568" s="196" t="e">
        <f t="shared" si="193"/>
        <v>#N/A</v>
      </c>
      <c r="V568" s="11" t="str">
        <f>IFERROR(VLOOKUP(A568,'Maturity Adjustment'!$A$86:$C$91,3,0),S568)</f>
        <v>Tomorrow</v>
      </c>
      <c r="W568" s="12" t="e">
        <f>VLOOKUP(A568,'Account Mapping'!$A$2:$F$216,6,0)</f>
        <v>#N/A</v>
      </c>
      <c r="X568" s="194">
        <f t="shared" si="194"/>
        <v>131.41999999999999</v>
      </c>
      <c r="Y568" s="194">
        <f t="shared" si="195"/>
        <v>0</v>
      </c>
      <c r="Z568" s="13">
        <f t="shared" si="196"/>
        <v>0</v>
      </c>
      <c r="AA568" s="13">
        <f t="shared" si="197"/>
        <v>0</v>
      </c>
      <c r="AB568" s="13">
        <f t="shared" si="198"/>
        <v>0</v>
      </c>
      <c r="AC568" s="13">
        <f t="shared" si="199"/>
        <v>0</v>
      </c>
      <c r="AD568" s="13">
        <f t="shared" si="200"/>
        <v>0</v>
      </c>
      <c r="AE568" s="13">
        <f t="shared" si="201"/>
        <v>0</v>
      </c>
      <c r="AF568" s="13">
        <f t="shared" si="202"/>
        <v>0</v>
      </c>
      <c r="AG568" s="685">
        <f t="shared" si="203"/>
        <v>0</v>
      </c>
      <c r="AH568" s="688" t="b">
        <f t="shared" si="204"/>
        <v>1</v>
      </c>
    </row>
    <row r="569" spans="1:34" s="1" customFormat="1" ht="15" customHeight="1">
      <c r="A569" s="946">
        <v>23200001</v>
      </c>
      <c r="B569" s="946" t="s">
        <v>1327</v>
      </c>
      <c r="C569" s="946" t="s">
        <v>1367</v>
      </c>
      <c r="D569" s="946">
        <v>100000001</v>
      </c>
      <c r="E569" s="946" t="s">
        <v>33</v>
      </c>
      <c r="F569" s="946" t="s">
        <v>11</v>
      </c>
      <c r="G569" s="947">
        <v>-48277</v>
      </c>
      <c r="H569" s="947">
        <v>-48277</v>
      </c>
      <c r="I569" s="948"/>
      <c r="J569" s="948"/>
      <c r="K569" s="948"/>
      <c r="L569" s="29" t="e">
        <f>VLOOKUP(A569,'Account Mapping'!$A$2:$E$216,3,0)</f>
        <v>#N/A</v>
      </c>
      <c r="M569" s="25" t="e">
        <f>VLOOKUP(A569,'Account Mapping'!$A$2:$E$216,4,0)</f>
        <v>#N/A</v>
      </c>
      <c r="N569" s="26" t="e">
        <f>IF(OR(C569='Account Mapping'!$H$4,C569='Account Mapping'!$H$5,C569='Account Mapping'!$H$6),'Account Mapping'!$I$4,VLOOKUP(A569,'Account Mapping'!$A$2:$E$216,5,0))</f>
        <v>#N/A</v>
      </c>
      <c r="O569" s="27" t="e">
        <f>IF(OR(L569="Loan",L569="Deposit_Liability",L569="OFF_Unused Loan Commitment",L569="HQLA"),VLOOKUP(D569,'Customer Type'!$A$3:$C$38,3,0),"")</f>
        <v>#N/A</v>
      </c>
      <c r="P569" s="656" t="e">
        <f t="shared" si="192"/>
        <v>#N/A</v>
      </c>
      <c r="Q569" s="658">
        <f>IF(COUNTIF('Account Mapping'!$H$12:$H$45,A569)&gt;0,-H569,H569)</f>
        <v>-48277</v>
      </c>
      <c r="R569" s="249" t="e">
        <f>VLOOKUP(P569,Assumptions!$C$2:$D$64,2,0)</f>
        <v>#N/A</v>
      </c>
      <c r="S569" s="692" t="str">
        <f>IFERROR(VLOOKUP(A569,'Maturity Adjustment'!$A$3:$C$81,3,0),(IF(J569&lt;$N$4,"Tomorrow",J569)))</f>
        <v>Tomorrow</v>
      </c>
      <c r="T569" s="190">
        <f t="shared" si="207"/>
        <v>1</v>
      </c>
      <c r="U569" s="196" t="e">
        <f t="shared" si="193"/>
        <v>#N/A</v>
      </c>
      <c r="V569" s="11" t="str">
        <f>IFERROR(VLOOKUP(A569,'Maturity Adjustment'!$A$86:$C$91,3,0),S569)</f>
        <v>Tomorrow</v>
      </c>
      <c r="W569" s="12" t="e">
        <f>VLOOKUP(A569,'Account Mapping'!$A$2:$F$216,6,0)</f>
        <v>#N/A</v>
      </c>
      <c r="X569" s="194">
        <f t="shared" si="194"/>
        <v>-48277</v>
      </c>
      <c r="Y569" s="194">
        <f t="shared" si="195"/>
        <v>0</v>
      </c>
      <c r="Z569" s="13">
        <f t="shared" si="196"/>
        <v>0</v>
      </c>
      <c r="AA569" s="13">
        <f t="shared" si="197"/>
        <v>0</v>
      </c>
      <c r="AB569" s="13">
        <f t="shared" si="198"/>
        <v>0</v>
      </c>
      <c r="AC569" s="13">
        <f t="shared" si="199"/>
        <v>0</v>
      </c>
      <c r="AD569" s="13">
        <f t="shared" si="200"/>
        <v>0</v>
      </c>
      <c r="AE569" s="13">
        <f t="shared" si="201"/>
        <v>0</v>
      </c>
      <c r="AF569" s="13">
        <f t="shared" si="202"/>
        <v>0</v>
      </c>
      <c r="AG569" s="685">
        <f t="shared" si="203"/>
        <v>0</v>
      </c>
      <c r="AH569" s="688" t="b">
        <f t="shared" si="204"/>
        <v>1</v>
      </c>
    </row>
    <row r="570" spans="1:34" s="1" customFormat="1" ht="15" customHeight="1">
      <c r="A570" s="946">
        <v>23200001</v>
      </c>
      <c r="B570" s="946" t="s">
        <v>1327</v>
      </c>
      <c r="C570" s="946" t="s">
        <v>1368</v>
      </c>
      <c r="D570" s="946">
        <v>100000001</v>
      </c>
      <c r="E570" s="946" t="s">
        <v>33</v>
      </c>
      <c r="F570" s="946" t="s">
        <v>11</v>
      </c>
      <c r="G570" s="947">
        <v>-160.4</v>
      </c>
      <c r="H570" s="947">
        <v>-160.4</v>
      </c>
      <c r="I570" s="948"/>
      <c r="J570" s="948"/>
      <c r="K570" s="948"/>
      <c r="L570" s="29" t="e">
        <f>VLOOKUP(A570,'Account Mapping'!$A$2:$E$216,3,0)</f>
        <v>#N/A</v>
      </c>
      <c r="M570" s="25" t="e">
        <f>VLOOKUP(A570,'Account Mapping'!$A$2:$E$216,4,0)</f>
        <v>#N/A</v>
      </c>
      <c r="N570" s="26" t="e">
        <f>IF(OR(C570='Account Mapping'!$H$4,C570='Account Mapping'!$H$5,C570='Account Mapping'!$H$6),'Account Mapping'!$I$4,VLOOKUP(A570,'Account Mapping'!$A$2:$E$216,5,0))</f>
        <v>#N/A</v>
      </c>
      <c r="O570" s="27" t="e">
        <f>IF(OR(L570="Loan",L570="Deposit_Liability",L570="OFF_Unused Loan Commitment",L570="HQLA"),VLOOKUP(D570,'Customer Type'!$A$3:$C$38,3,0),"")</f>
        <v>#N/A</v>
      </c>
      <c r="P570" s="656" t="e">
        <f t="shared" si="192"/>
        <v>#N/A</v>
      </c>
      <c r="Q570" s="658">
        <f>IF(COUNTIF('Account Mapping'!$H$12:$H$45,A570)&gt;0,-H570,H570)</f>
        <v>-160.4</v>
      </c>
      <c r="R570" s="249" t="e">
        <f>VLOOKUP(P570,Assumptions!$C$2:$D$64,2,0)</f>
        <v>#N/A</v>
      </c>
      <c r="S570" s="692" t="str">
        <f>IFERROR(VLOOKUP(A570,'Maturity Adjustment'!$A$3:$C$81,3,0),(IF(J570&lt;$N$4,"Tomorrow",J570)))</f>
        <v>Tomorrow</v>
      </c>
      <c r="T570" s="190">
        <f t="shared" si="207"/>
        <v>1</v>
      </c>
      <c r="U570" s="196" t="e">
        <f t="shared" si="193"/>
        <v>#N/A</v>
      </c>
      <c r="V570" s="11" t="str">
        <f>IFERROR(VLOOKUP(A570,'Maturity Adjustment'!$A$86:$C$91,3,0),S570)</f>
        <v>Tomorrow</v>
      </c>
      <c r="W570" s="12" t="e">
        <f>VLOOKUP(A570,'Account Mapping'!$A$2:$F$216,6,0)</f>
        <v>#N/A</v>
      </c>
      <c r="X570" s="194">
        <f t="shared" si="194"/>
        <v>-160.4</v>
      </c>
      <c r="Y570" s="194">
        <f t="shared" si="195"/>
        <v>0</v>
      </c>
      <c r="Z570" s="13">
        <f t="shared" si="196"/>
        <v>0</v>
      </c>
      <c r="AA570" s="13">
        <f t="shared" si="197"/>
        <v>0</v>
      </c>
      <c r="AB570" s="13">
        <f t="shared" si="198"/>
        <v>0</v>
      </c>
      <c r="AC570" s="13">
        <f t="shared" si="199"/>
        <v>0</v>
      </c>
      <c r="AD570" s="13">
        <f t="shared" si="200"/>
        <v>0</v>
      </c>
      <c r="AE570" s="13">
        <f t="shared" si="201"/>
        <v>0</v>
      </c>
      <c r="AF570" s="13">
        <f t="shared" si="202"/>
        <v>0</v>
      </c>
      <c r="AG570" s="685">
        <f t="shared" si="203"/>
        <v>0</v>
      </c>
      <c r="AH570" s="688" t="b">
        <f t="shared" si="204"/>
        <v>1</v>
      </c>
    </row>
    <row r="571" spans="1:34" s="1" customFormat="1" ht="15" customHeight="1">
      <c r="A571" s="946">
        <v>23200001</v>
      </c>
      <c r="B571" s="946" t="s">
        <v>1327</v>
      </c>
      <c r="C571" s="946" t="s">
        <v>1369</v>
      </c>
      <c r="D571" s="946">
        <v>100000001</v>
      </c>
      <c r="E571" s="946" t="s">
        <v>33</v>
      </c>
      <c r="F571" s="946" t="s">
        <v>11</v>
      </c>
      <c r="G571" s="947">
        <v>-251.45</v>
      </c>
      <c r="H571" s="947">
        <v>-251.45</v>
      </c>
      <c r="I571" s="948"/>
      <c r="J571" s="948"/>
      <c r="K571" s="948"/>
      <c r="L571" s="29" t="e">
        <f>VLOOKUP(A571,'Account Mapping'!$A$2:$E$216,3,0)</f>
        <v>#N/A</v>
      </c>
      <c r="M571" s="25" t="e">
        <f>VLOOKUP(A571,'Account Mapping'!$A$2:$E$216,4,0)</f>
        <v>#N/A</v>
      </c>
      <c r="N571" s="26" t="e">
        <f>IF(OR(C571='Account Mapping'!$H$4,C571='Account Mapping'!$H$5,C571='Account Mapping'!$H$6),'Account Mapping'!$I$4,VLOOKUP(A571,'Account Mapping'!$A$2:$E$216,5,0))</f>
        <v>#N/A</v>
      </c>
      <c r="O571" s="27" t="e">
        <f>IF(OR(L571="Loan",L571="Deposit_Liability",L571="OFF_Unused Loan Commitment",L571="HQLA"),VLOOKUP(D571,'Customer Type'!$A$3:$C$38,3,0),"")</f>
        <v>#N/A</v>
      </c>
      <c r="P571" s="656" t="e">
        <f t="shared" si="192"/>
        <v>#N/A</v>
      </c>
      <c r="Q571" s="658">
        <f>IF(COUNTIF('Account Mapping'!$H$12:$H$45,A571)&gt;0,-H571,H571)</f>
        <v>-251.45</v>
      </c>
      <c r="R571" s="249" t="e">
        <f>VLOOKUP(P571,Assumptions!$C$2:$D$64,2,0)</f>
        <v>#N/A</v>
      </c>
      <c r="S571" s="692" t="str">
        <f>IFERROR(VLOOKUP(A571,'Maturity Adjustment'!$A$3:$C$81,3,0),(IF(J571&lt;$N$4,"Tomorrow",J571)))</f>
        <v>Tomorrow</v>
      </c>
      <c r="T571" s="190">
        <f t="shared" si="207"/>
        <v>1</v>
      </c>
      <c r="U571" s="196" t="e">
        <f t="shared" si="193"/>
        <v>#N/A</v>
      </c>
      <c r="V571" s="11" t="str">
        <f>IFERROR(VLOOKUP(A571,'Maturity Adjustment'!$A$86:$C$91,3,0),S571)</f>
        <v>Tomorrow</v>
      </c>
      <c r="W571" s="12" t="e">
        <f>VLOOKUP(A571,'Account Mapping'!$A$2:$F$216,6,0)</f>
        <v>#N/A</v>
      </c>
      <c r="X571" s="194">
        <f t="shared" si="194"/>
        <v>-251.45</v>
      </c>
      <c r="Y571" s="194">
        <f t="shared" si="195"/>
        <v>0</v>
      </c>
      <c r="Z571" s="13">
        <f t="shared" si="196"/>
        <v>0</v>
      </c>
      <c r="AA571" s="13">
        <f t="shared" si="197"/>
        <v>0</v>
      </c>
      <c r="AB571" s="13">
        <f t="shared" si="198"/>
        <v>0</v>
      </c>
      <c r="AC571" s="13">
        <f t="shared" si="199"/>
        <v>0</v>
      </c>
      <c r="AD571" s="13">
        <f t="shared" si="200"/>
        <v>0</v>
      </c>
      <c r="AE571" s="13">
        <f t="shared" si="201"/>
        <v>0</v>
      </c>
      <c r="AF571" s="13">
        <f t="shared" si="202"/>
        <v>0</v>
      </c>
      <c r="AG571" s="685">
        <f t="shared" si="203"/>
        <v>0</v>
      </c>
      <c r="AH571" s="688" t="b">
        <f t="shared" si="204"/>
        <v>1</v>
      </c>
    </row>
    <row r="572" spans="1:34" s="1" customFormat="1" ht="15" customHeight="1">
      <c r="A572" s="946">
        <v>23200001</v>
      </c>
      <c r="B572" s="946" t="s">
        <v>1327</v>
      </c>
      <c r="C572" s="946" t="s">
        <v>1370</v>
      </c>
      <c r="D572" s="946">
        <v>100000001</v>
      </c>
      <c r="E572" s="946" t="s">
        <v>33</v>
      </c>
      <c r="F572" s="946" t="s">
        <v>11</v>
      </c>
      <c r="G572" s="947">
        <v>-355.05</v>
      </c>
      <c r="H572" s="947">
        <v>-355.05</v>
      </c>
      <c r="I572" s="948"/>
      <c r="J572" s="948"/>
      <c r="K572" s="948"/>
      <c r="L572" s="29" t="e">
        <f>VLOOKUP(A572,'Account Mapping'!$A$2:$E$216,3,0)</f>
        <v>#N/A</v>
      </c>
      <c r="M572" s="25" t="e">
        <f>VLOOKUP(A572,'Account Mapping'!$A$2:$E$216,4,0)</f>
        <v>#N/A</v>
      </c>
      <c r="N572" s="26" t="e">
        <f>IF(OR(C572='Account Mapping'!$H$4,C572='Account Mapping'!$H$5,C572='Account Mapping'!$H$6),'Account Mapping'!$I$4,VLOOKUP(A572,'Account Mapping'!$A$2:$E$216,5,0))</f>
        <v>#N/A</v>
      </c>
      <c r="O572" s="27" t="e">
        <f>IF(OR(L572="Loan",L572="Deposit_Liability",L572="OFF_Unused Loan Commitment",L572="HQLA"),VLOOKUP(D572,'Customer Type'!$A$3:$C$38,3,0),"")</f>
        <v>#N/A</v>
      </c>
      <c r="P572" s="656" t="e">
        <f t="shared" si="192"/>
        <v>#N/A</v>
      </c>
      <c r="Q572" s="658">
        <f>IF(COUNTIF('Account Mapping'!$H$12:$H$45,A572)&gt;0,-H572,H572)</f>
        <v>-355.05</v>
      </c>
      <c r="R572" s="249" t="e">
        <f>VLOOKUP(P572,Assumptions!$C$2:$D$64,2,0)</f>
        <v>#N/A</v>
      </c>
      <c r="S572" s="692" t="str">
        <f>IFERROR(VLOOKUP(A572,'Maturity Adjustment'!$A$3:$C$81,3,0),(IF(J572&lt;$N$4,"Tomorrow",J572)))</f>
        <v>Tomorrow</v>
      </c>
      <c r="T572" s="190">
        <f t="shared" si="207"/>
        <v>1</v>
      </c>
      <c r="U572" s="196" t="e">
        <f t="shared" si="193"/>
        <v>#N/A</v>
      </c>
      <c r="V572" s="11" t="str">
        <f>IFERROR(VLOOKUP(A572,'Maturity Adjustment'!$A$86:$C$91,3,0),S572)</f>
        <v>Tomorrow</v>
      </c>
      <c r="W572" s="12" t="e">
        <f>VLOOKUP(A572,'Account Mapping'!$A$2:$F$216,6,0)</f>
        <v>#N/A</v>
      </c>
      <c r="X572" s="194">
        <f t="shared" si="194"/>
        <v>-355.05</v>
      </c>
      <c r="Y572" s="194">
        <f t="shared" si="195"/>
        <v>0</v>
      </c>
      <c r="Z572" s="13">
        <f t="shared" si="196"/>
        <v>0</v>
      </c>
      <c r="AA572" s="13">
        <f t="shared" si="197"/>
        <v>0</v>
      </c>
      <c r="AB572" s="13">
        <f t="shared" si="198"/>
        <v>0</v>
      </c>
      <c r="AC572" s="13">
        <f t="shared" si="199"/>
        <v>0</v>
      </c>
      <c r="AD572" s="13">
        <f t="shared" si="200"/>
        <v>0</v>
      </c>
      <c r="AE572" s="13">
        <f t="shared" si="201"/>
        <v>0</v>
      </c>
      <c r="AF572" s="13">
        <f t="shared" si="202"/>
        <v>0</v>
      </c>
      <c r="AG572" s="685">
        <f t="shared" si="203"/>
        <v>0</v>
      </c>
      <c r="AH572" s="688" t="b">
        <f t="shared" si="204"/>
        <v>1</v>
      </c>
    </row>
    <row r="573" spans="1:34" s="1" customFormat="1" ht="15" customHeight="1">
      <c r="A573" s="946">
        <v>23200001</v>
      </c>
      <c r="B573" s="946" t="s">
        <v>1327</v>
      </c>
      <c r="C573" s="946" t="s">
        <v>1371</v>
      </c>
      <c r="D573" s="946">
        <v>100000001</v>
      </c>
      <c r="E573" s="946" t="s">
        <v>33</v>
      </c>
      <c r="F573" s="946" t="s">
        <v>11</v>
      </c>
      <c r="G573" s="947">
        <v>-490.08</v>
      </c>
      <c r="H573" s="947">
        <v>-490.08</v>
      </c>
      <c r="I573" s="948"/>
      <c r="J573" s="948"/>
      <c r="K573" s="948"/>
      <c r="L573" s="29" t="e">
        <f>VLOOKUP(A573,'Account Mapping'!$A$2:$E$216,3,0)</f>
        <v>#N/A</v>
      </c>
      <c r="M573" s="25" t="e">
        <f>VLOOKUP(A573,'Account Mapping'!$A$2:$E$216,4,0)</f>
        <v>#N/A</v>
      </c>
      <c r="N573" s="26" t="e">
        <f>IF(OR(C573='Account Mapping'!$H$4,C573='Account Mapping'!$H$5,C573='Account Mapping'!$H$6),'Account Mapping'!$I$4,VLOOKUP(A573,'Account Mapping'!$A$2:$E$216,5,0))</f>
        <v>#N/A</v>
      </c>
      <c r="O573" s="27" t="e">
        <f>IF(OR(L573="Loan",L573="Deposit_Liability",L573="OFF_Unused Loan Commitment",L573="HQLA"),VLOOKUP(D573,'Customer Type'!$A$3:$C$38,3,0),"")</f>
        <v>#N/A</v>
      </c>
      <c r="P573" s="656" t="e">
        <f t="shared" si="192"/>
        <v>#N/A</v>
      </c>
      <c r="Q573" s="658">
        <f>IF(COUNTIF('Account Mapping'!$H$12:$H$45,A573)&gt;0,-H573,H573)</f>
        <v>-490.08</v>
      </c>
      <c r="R573" s="249" t="e">
        <f>VLOOKUP(P573,Assumptions!$C$2:$D$64,2,0)</f>
        <v>#N/A</v>
      </c>
      <c r="S573" s="692" t="str">
        <f>IFERROR(VLOOKUP(A573,'Maturity Adjustment'!$A$3:$C$81,3,0),(IF(J573&lt;$N$4,"Tomorrow",J573)))</f>
        <v>Tomorrow</v>
      </c>
      <c r="T573" s="190">
        <f t="shared" si="207"/>
        <v>1</v>
      </c>
      <c r="U573" s="196" t="e">
        <f t="shared" si="193"/>
        <v>#N/A</v>
      </c>
      <c r="V573" s="11" t="str">
        <f>IFERROR(VLOOKUP(A573,'Maturity Adjustment'!$A$86:$C$91,3,0),S573)</f>
        <v>Tomorrow</v>
      </c>
      <c r="W573" s="12" t="e">
        <f>VLOOKUP(A573,'Account Mapping'!$A$2:$F$216,6,0)</f>
        <v>#N/A</v>
      </c>
      <c r="X573" s="194">
        <f t="shared" si="194"/>
        <v>-490.08</v>
      </c>
      <c r="Y573" s="194">
        <f t="shared" si="195"/>
        <v>0</v>
      </c>
      <c r="Z573" s="13">
        <f t="shared" si="196"/>
        <v>0</v>
      </c>
      <c r="AA573" s="13">
        <f t="shared" si="197"/>
        <v>0</v>
      </c>
      <c r="AB573" s="13">
        <f t="shared" si="198"/>
        <v>0</v>
      </c>
      <c r="AC573" s="13">
        <f t="shared" si="199"/>
        <v>0</v>
      </c>
      <c r="AD573" s="13">
        <f t="shared" si="200"/>
        <v>0</v>
      </c>
      <c r="AE573" s="13">
        <f t="shared" si="201"/>
        <v>0</v>
      </c>
      <c r="AF573" s="13">
        <f t="shared" si="202"/>
        <v>0</v>
      </c>
      <c r="AG573" s="685">
        <f t="shared" si="203"/>
        <v>0</v>
      </c>
      <c r="AH573" s="688" t="b">
        <f t="shared" si="204"/>
        <v>1</v>
      </c>
    </row>
    <row r="574" spans="1:34" s="1" customFormat="1" ht="15" customHeight="1">
      <c r="A574" s="946">
        <v>23200001</v>
      </c>
      <c r="B574" s="946" t="s">
        <v>1327</v>
      </c>
      <c r="C574" s="946" t="s">
        <v>1372</v>
      </c>
      <c r="D574" s="946">
        <v>100000001</v>
      </c>
      <c r="E574" s="946" t="s">
        <v>33</v>
      </c>
      <c r="F574" s="946" t="s">
        <v>11</v>
      </c>
      <c r="G574" s="947">
        <v>-404.87</v>
      </c>
      <c r="H574" s="947">
        <v>-404.87</v>
      </c>
      <c r="I574" s="948"/>
      <c r="J574" s="948"/>
      <c r="K574" s="948"/>
      <c r="L574" s="29" t="e">
        <f>VLOOKUP(A574,'Account Mapping'!$A$2:$E$216,3,0)</f>
        <v>#N/A</v>
      </c>
      <c r="M574" s="25" t="e">
        <f>VLOOKUP(A574,'Account Mapping'!$A$2:$E$216,4,0)</f>
        <v>#N/A</v>
      </c>
      <c r="N574" s="26" t="e">
        <f>IF(OR(C574='Account Mapping'!$H$4,C574='Account Mapping'!$H$5,C574='Account Mapping'!$H$6),'Account Mapping'!$I$4,VLOOKUP(A574,'Account Mapping'!$A$2:$E$216,5,0))</f>
        <v>#N/A</v>
      </c>
      <c r="O574" s="27" t="e">
        <f>IF(OR(L574="Loan",L574="Deposit_Liability",L574="OFF_Unused Loan Commitment",L574="HQLA"),VLOOKUP(D574,'Customer Type'!$A$3:$C$38,3,0),"")</f>
        <v>#N/A</v>
      </c>
      <c r="P574" s="656" t="e">
        <f t="shared" si="192"/>
        <v>#N/A</v>
      </c>
      <c r="Q574" s="658">
        <f>IF(COUNTIF('Account Mapping'!$H$12:$H$45,A574)&gt;0,-H574,H574)</f>
        <v>-404.87</v>
      </c>
      <c r="R574" s="249" t="e">
        <f>VLOOKUP(P574,Assumptions!$C$2:$D$64,2,0)</f>
        <v>#N/A</v>
      </c>
      <c r="S574" s="692" t="str">
        <f>IFERROR(VLOOKUP(A574,'Maturity Adjustment'!$A$3:$C$81,3,0),(IF(J574&lt;$N$4,"Tomorrow",J574)))</f>
        <v>Tomorrow</v>
      </c>
      <c r="T574" s="190">
        <f t="shared" si="207"/>
        <v>1</v>
      </c>
      <c r="U574" s="196" t="e">
        <f t="shared" si="193"/>
        <v>#N/A</v>
      </c>
      <c r="V574" s="11" t="str">
        <f>IFERROR(VLOOKUP(A574,'Maturity Adjustment'!$A$86:$C$91,3,0),S574)</f>
        <v>Tomorrow</v>
      </c>
      <c r="W574" s="12" t="e">
        <f>VLOOKUP(A574,'Account Mapping'!$A$2:$F$216,6,0)</f>
        <v>#N/A</v>
      </c>
      <c r="X574" s="194">
        <f t="shared" si="194"/>
        <v>-404.87</v>
      </c>
      <c r="Y574" s="194">
        <f t="shared" si="195"/>
        <v>0</v>
      </c>
      <c r="Z574" s="13">
        <f t="shared" si="196"/>
        <v>0</v>
      </c>
      <c r="AA574" s="13">
        <f t="shared" si="197"/>
        <v>0</v>
      </c>
      <c r="AB574" s="13">
        <f t="shared" si="198"/>
        <v>0</v>
      </c>
      <c r="AC574" s="13">
        <f t="shared" si="199"/>
        <v>0</v>
      </c>
      <c r="AD574" s="13">
        <f t="shared" si="200"/>
        <v>0</v>
      </c>
      <c r="AE574" s="13">
        <f t="shared" si="201"/>
        <v>0</v>
      </c>
      <c r="AF574" s="13">
        <f t="shared" si="202"/>
        <v>0</v>
      </c>
      <c r="AG574" s="685">
        <f t="shared" si="203"/>
        <v>0</v>
      </c>
      <c r="AH574" s="688" t="b">
        <f t="shared" si="204"/>
        <v>1</v>
      </c>
    </row>
    <row r="575" spans="1:34" s="1" customFormat="1" ht="15" customHeight="1">
      <c r="A575" s="946">
        <v>23200001</v>
      </c>
      <c r="B575" s="946" t="s">
        <v>1327</v>
      </c>
      <c r="C575" s="946" t="s">
        <v>1373</v>
      </c>
      <c r="D575" s="946">
        <v>100000001</v>
      </c>
      <c r="E575" s="946" t="s">
        <v>33</v>
      </c>
      <c r="F575" s="946" t="s">
        <v>11</v>
      </c>
      <c r="G575" s="947">
        <v>-42309.11</v>
      </c>
      <c r="H575" s="947">
        <v>-42309.11</v>
      </c>
      <c r="I575" s="948"/>
      <c r="J575" s="948"/>
      <c r="K575" s="948"/>
      <c r="L575" s="29" t="e">
        <f>VLOOKUP(A575,'Account Mapping'!$A$2:$E$216,3,0)</f>
        <v>#N/A</v>
      </c>
      <c r="M575" s="25" t="e">
        <f>VLOOKUP(A575,'Account Mapping'!$A$2:$E$216,4,0)</f>
        <v>#N/A</v>
      </c>
      <c r="N575" s="26" t="e">
        <f>IF(OR(C575='Account Mapping'!$H$4,C575='Account Mapping'!$H$5,C575='Account Mapping'!$H$6),'Account Mapping'!$I$4,VLOOKUP(A575,'Account Mapping'!$A$2:$E$216,5,0))</f>
        <v>#N/A</v>
      </c>
      <c r="O575" s="27" t="e">
        <f>IF(OR(L575="Loan",L575="Deposit_Liability",L575="OFF_Unused Loan Commitment",L575="HQLA"),VLOOKUP(D575,'Customer Type'!$A$3:$C$38,3,0),"")</f>
        <v>#N/A</v>
      </c>
      <c r="P575" s="656" t="e">
        <f t="shared" si="192"/>
        <v>#N/A</v>
      </c>
      <c r="Q575" s="658">
        <f>IF(COUNTIF('Account Mapping'!$H$12:$H$45,A575)&gt;0,-H575,H575)</f>
        <v>-42309.11</v>
      </c>
      <c r="R575" s="249" t="e">
        <f>VLOOKUP(P575,Assumptions!$C$2:$D$64,2,0)</f>
        <v>#N/A</v>
      </c>
      <c r="S575" s="692" t="str">
        <f>IFERROR(VLOOKUP(A575,'Maturity Adjustment'!$A$3:$C$81,3,0),(IF(J575&lt;$N$4,"Tomorrow",J575)))</f>
        <v>Tomorrow</v>
      </c>
      <c r="T575" s="190">
        <f t="shared" si="207"/>
        <v>1</v>
      </c>
      <c r="U575" s="196" t="e">
        <f t="shared" si="193"/>
        <v>#N/A</v>
      </c>
      <c r="V575" s="11" t="str">
        <f>IFERROR(VLOOKUP(A575,'Maturity Adjustment'!$A$86:$C$91,3,0),S575)</f>
        <v>Tomorrow</v>
      </c>
      <c r="W575" s="12" t="e">
        <f>VLOOKUP(A575,'Account Mapping'!$A$2:$F$216,6,0)</f>
        <v>#N/A</v>
      </c>
      <c r="X575" s="194">
        <f t="shared" si="194"/>
        <v>-42309.11</v>
      </c>
      <c r="Y575" s="194">
        <f t="shared" si="195"/>
        <v>0</v>
      </c>
      <c r="Z575" s="13">
        <f t="shared" si="196"/>
        <v>0</v>
      </c>
      <c r="AA575" s="13">
        <f t="shared" si="197"/>
        <v>0</v>
      </c>
      <c r="AB575" s="13">
        <f t="shared" si="198"/>
        <v>0</v>
      </c>
      <c r="AC575" s="13">
        <f t="shared" si="199"/>
        <v>0</v>
      </c>
      <c r="AD575" s="13">
        <f t="shared" si="200"/>
        <v>0</v>
      </c>
      <c r="AE575" s="13">
        <f t="shared" si="201"/>
        <v>0</v>
      </c>
      <c r="AF575" s="13">
        <f t="shared" si="202"/>
        <v>0</v>
      </c>
      <c r="AG575" s="685">
        <f t="shared" si="203"/>
        <v>0</v>
      </c>
      <c r="AH575" s="688" t="b">
        <f t="shared" si="204"/>
        <v>1</v>
      </c>
    </row>
    <row r="576" spans="1:34" s="1" customFormat="1" ht="15" customHeight="1">
      <c r="A576" s="946">
        <v>23200001</v>
      </c>
      <c r="B576" s="946" t="s">
        <v>1327</v>
      </c>
      <c r="C576" s="946" t="s">
        <v>1374</v>
      </c>
      <c r="D576" s="946">
        <v>100000001</v>
      </c>
      <c r="E576" s="946" t="s">
        <v>33</v>
      </c>
      <c r="F576" s="946" t="s">
        <v>11</v>
      </c>
      <c r="G576" s="947">
        <v>-47.97</v>
      </c>
      <c r="H576" s="947">
        <v>-47.97</v>
      </c>
      <c r="I576" s="948"/>
      <c r="J576" s="948"/>
      <c r="K576" s="948"/>
      <c r="L576" s="29" t="e">
        <f>VLOOKUP(A576,'Account Mapping'!$A$2:$E$216,3,0)</f>
        <v>#N/A</v>
      </c>
      <c r="M576" s="25" t="e">
        <f>VLOOKUP(A576,'Account Mapping'!$A$2:$E$216,4,0)</f>
        <v>#N/A</v>
      </c>
      <c r="N576" s="26" t="e">
        <f>IF(OR(C576='Account Mapping'!$H$4,C576='Account Mapping'!$H$5,C576='Account Mapping'!$H$6),'Account Mapping'!$I$4,VLOOKUP(A576,'Account Mapping'!$A$2:$E$216,5,0))</f>
        <v>#N/A</v>
      </c>
      <c r="O576" s="27" t="e">
        <f>IF(OR(L576="Loan",L576="Deposit_Liability",L576="OFF_Unused Loan Commitment",L576="HQLA"),VLOOKUP(D576,'Customer Type'!$A$3:$C$38,3,0),"")</f>
        <v>#N/A</v>
      </c>
      <c r="P576" s="656" t="e">
        <f t="shared" si="192"/>
        <v>#N/A</v>
      </c>
      <c r="Q576" s="658">
        <f>IF(COUNTIF('Account Mapping'!$H$12:$H$45,A576)&gt;0,-H576,H576)</f>
        <v>-47.97</v>
      </c>
      <c r="R576" s="249" t="e">
        <f>VLOOKUP(P576,Assumptions!$C$2:$D$64,2,0)</f>
        <v>#N/A</v>
      </c>
      <c r="S576" s="692" t="str">
        <f>IFERROR(VLOOKUP(A576,'Maturity Adjustment'!$A$3:$C$81,3,0),(IF(J576&lt;$N$4,"Tomorrow",J576)))</f>
        <v>Tomorrow</v>
      </c>
      <c r="T576" s="190">
        <f t="shared" si="207"/>
        <v>1</v>
      </c>
      <c r="U576" s="196" t="e">
        <f t="shared" si="193"/>
        <v>#N/A</v>
      </c>
      <c r="V576" s="11" t="str">
        <f>IFERROR(VLOOKUP(A576,'Maturity Adjustment'!$A$86:$C$91,3,0),S576)</f>
        <v>Tomorrow</v>
      </c>
      <c r="W576" s="12" t="e">
        <f>VLOOKUP(A576,'Account Mapping'!$A$2:$F$216,6,0)</f>
        <v>#N/A</v>
      </c>
      <c r="X576" s="194">
        <f t="shared" si="194"/>
        <v>-47.97</v>
      </c>
      <c r="Y576" s="194">
        <f t="shared" si="195"/>
        <v>0</v>
      </c>
      <c r="Z576" s="13">
        <f t="shared" si="196"/>
        <v>0</v>
      </c>
      <c r="AA576" s="13">
        <f t="shared" si="197"/>
        <v>0</v>
      </c>
      <c r="AB576" s="13">
        <f t="shared" si="198"/>
        <v>0</v>
      </c>
      <c r="AC576" s="13">
        <f t="shared" si="199"/>
        <v>0</v>
      </c>
      <c r="AD576" s="13">
        <f t="shared" si="200"/>
        <v>0</v>
      </c>
      <c r="AE576" s="13">
        <f t="shared" si="201"/>
        <v>0</v>
      </c>
      <c r="AF576" s="13">
        <f t="shared" si="202"/>
        <v>0</v>
      </c>
      <c r="AG576" s="685">
        <f t="shared" si="203"/>
        <v>0</v>
      </c>
      <c r="AH576" s="688" t="b">
        <f t="shared" si="204"/>
        <v>1</v>
      </c>
    </row>
    <row r="577" spans="1:34" s="1" customFormat="1" ht="15" customHeight="1">
      <c r="A577" s="946">
        <v>23200001</v>
      </c>
      <c r="B577" s="946" t="s">
        <v>1327</v>
      </c>
      <c r="C577" s="946" t="s">
        <v>1375</v>
      </c>
      <c r="D577" s="946">
        <v>100000001</v>
      </c>
      <c r="E577" s="946" t="s">
        <v>33</v>
      </c>
      <c r="F577" s="946" t="s">
        <v>11</v>
      </c>
      <c r="G577" s="947">
        <v>47.97</v>
      </c>
      <c r="H577" s="947">
        <v>47.97</v>
      </c>
      <c r="I577" s="948"/>
      <c r="J577" s="948"/>
      <c r="K577" s="948"/>
      <c r="L577" s="29" t="e">
        <f>VLOOKUP(A577,'Account Mapping'!$A$2:$E$216,3,0)</f>
        <v>#N/A</v>
      </c>
      <c r="M577" s="25" t="e">
        <f>VLOOKUP(A577,'Account Mapping'!$A$2:$E$216,4,0)</f>
        <v>#N/A</v>
      </c>
      <c r="N577" s="26" t="e">
        <f>IF(OR(C577='Account Mapping'!$H$4,C577='Account Mapping'!$H$5,C577='Account Mapping'!$H$6),'Account Mapping'!$I$4,VLOOKUP(A577,'Account Mapping'!$A$2:$E$216,5,0))</f>
        <v>#N/A</v>
      </c>
      <c r="O577" s="27" t="e">
        <f>IF(OR(L577="Loan",L577="Deposit_Liability",L577="OFF_Unused Loan Commitment",L577="HQLA"),VLOOKUP(D577,'Customer Type'!$A$3:$C$38,3,0),"")</f>
        <v>#N/A</v>
      </c>
      <c r="P577" s="656" t="e">
        <f t="shared" si="192"/>
        <v>#N/A</v>
      </c>
      <c r="Q577" s="658">
        <f>IF(COUNTIF('Account Mapping'!$H$12:$H$45,A577)&gt;0,-H577,H577)</f>
        <v>47.97</v>
      </c>
      <c r="R577" s="249" t="e">
        <f>VLOOKUP(P577,Assumptions!$C$2:$D$64,2,0)</f>
        <v>#N/A</v>
      </c>
      <c r="S577" s="692" t="str">
        <f>IFERROR(VLOOKUP(A577,'Maturity Adjustment'!$A$3:$C$81,3,0),(IF(J577&lt;$N$4,"Tomorrow",J577)))</f>
        <v>Tomorrow</v>
      </c>
      <c r="T577" s="190">
        <f t="shared" si="207"/>
        <v>1</v>
      </c>
      <c r="U577" s="196" t="e">
        <f t="shared" si="193"/>
        <v>#N/A</v>
      </c>
      <c r="V577" s="11" t="str">
        <f>IFERROR(VLOOKUP(A577,'Maturity Adjustment'!$A$86:$C$91,3,0),S577)</f>
        <v>Tomorrow</v>
      </c>
      <c r="W577" s="12" t="e">
        <f>VLOOKUP(A577,'Account Mapping'!$A$2:$F$216,6,0)</f>
        <v>#N/A</v>
      </c>
      <c r="X577" s="194">
        <f t="shared" si="194"/>
        <v>47.97</v>
      </c>
      <c r="Y577" s="194">
        <f t="shared" si="195"/>
        <v>0</v>
      </c>
      <c r="Z577" s="13">
        <f t="shared" si="196"/>
        <v>0</v>
      </c>
      <c r="AA577" s="13">
        <f t="shared" si="197"/>
        <v>0</v>
      </c>
      <c r="AB577" s="13">
        <f t="shared" si="198"/>
        <v>0</v>
      </c>
      <c r="AC577" s="13">
        <f t="shared" si="199"/>
        <v>0</v>
      </c>
      <c r="AD577" s="13">
        <f t="shared" si="200"/>
        <v>0</v>
      </c>
      <c r="AE577" s="13">
        <f t="shared" si="201"/>
        <v>0</v>
      </c>
      <c r="AF577" s="13">
        <f t="shared" si="202"/>
        <v>0</v>
      </c>
      <c r="AG577" s="685">
        <f t="shared" si="203"/>
        <v>0</v>
      </c>
      <c r="AH577" s="688" t="b">
        <f t="shared" si="204"/>
        <v>1</v>
      </c>
    </row>
    <row r="578" spans="1:34" s="1" customFormat="1" ht="15" customHeight="1">
      <c r="A578" s="946">
        <v>25100001</v>
      </c>
      <c r="B578" s="946" t="s">
        <v>1376</v>
      </c>
      <c r="C578" s="946" t="s">
        <v>1377</v>
      </c>
      <c r="D578" s="946">
        <v>100000001</v>
      </c>
      <c r="E578" s="946" t="s">
        <v>33</v>
      </c>
      <c r="F578" s="946" t="s">
        <v>11</v>
      </c>
      <c r="G578" s="947">
        <v>5000000</v>
      </c>
      <c r="H578" s="947">
        <v>5000000</v>
      </c>
      <c r="I578" s="948"/>
      <c r="J578" s="948"/>
      <c r="K578" s="948"/>
      <c r="L578" s="29" t="e">
        <f>VLOOKUP(A578,'Account Mapping'!$A$2:$E$216,3,0)</f>
        <v>#N/A</v>
      </c>
      <c r="M578" s="25" t="e">
        <f>VLOOKUP(A578,'Account Mapping'!$A$2:$E$216,4,0)</f>
        <v>#N/A</v>
      </c>
      <c r="N578" s="26" t="e">
        <f>IF(OR(C578='Account Mapping'!$H$4,C578='Account Mapping'!$H$5,C578='Account Mapping'!$H$6),'Account Mapping'!$I$4,VLOOKUP(A578,'Account Mapping'!$A$2:$E$216,5,0))</f>
        <v>#N/A</v>
      </c>
      <c r="O578" s="27" t="e">
        <f>IF(OR(L578="Loan",L578="Deposit_Liability",L578="OFF_Unused Loan Commitment",L578="HQLA"),VLOOKUP(D578,'Customer Type'!$A$3:$C$38,3,0),"")</f>
        <v>#N/A</v>
      </c>
      <c r="P578" s="656" t="e">
        <f t="shared" si="192"/>
        <v>#N/A</v>
      </c>
      <c r="Q578" s="658">
        <f>IF(COUNTIF('Account Mapping'!$H$12:$H$45,A578)&gt;0,-H578,H578)</f>
        <v>5000000</v>
      </c>
      <c r="R578" s="249" t="e">
        <f>VLOOKUP(P578,Assumptions!$C$2:$D$64,2,0)</f>
        <v>#N/A</v>
      </c>
      <c r="S578" s="692" t="str">
        <f>IFERROR(VLOOKUP(A578,'Maturity Adjustment'!$A$3:$C$81,3,0),(IF(J578&lt;$N$4,"Tomorrow",J578)))</f>
        <v>Tomorrow</v>
      </c>
      <c r="T578" s="190">
        <f t="shared" si="207"/>
        <v>1</v>
      </c>
      <c r="U578" s="196" t="e">
        <f t="shared" si="193"/>
        <v>#N/A</v>
      </c>
      <c r="V578" s="11" t="str">
        <f>IFERROR(VLOOKUP(A578,'Maturity Adjustment'!$A$86:$C$91,3,0),S578)</f>
        <v>Tomorrow</v>
      </c>
      <c r="W578" s="12" t="e">
        <f>VLOOKUP(A578,'Account Mapping'!$A$2:$F$216,6,0)</f>
        <v>#N/A</v>
      </c>
      <c r="X578" s="194">
        <f t="shared" si="194"/>
        <v>5000000</v>
      </c>
      <c r="Y578" s="194">
        <f t="shared" si="195"/>
        <v>0</v>
      </c>
      <c r="Z578" s="13">
        <f t="shared" si="196"/>
        <v>0</v>
      </c>
      <c r="AA578" s="13">
        <f t="shared" si="197"/>
        <v>0</v>
      </c>
      <c r="AB578" s="13">
        <f t="shared" si="198"/>
        <v>0</v>
      </c>
      <c r="AC578" s="13">
        <f t="shared" si="199"/>
        <v>0</v>
      </c>
      <c r="AD578" s="13">
        <f t="shared" si="200"/>
        <v>0</v>
      </c>
      <c r="AE578" s="13">
        <f t="shared" si="201"/>
        <v>0</v>
      </c>
      <c r="AF578" s="13">
        <f t="shared" si="202"/>
        <v>0</v>
      </c>
      <c r="AG578" s="685">
        <f t="shared" si="203"/>
        <v>0</v>
      </c>
      <c r="AH578" s="688" t="b">
        <f t="shared" si="204"/>
        <v>1</v>
      </c>
    </row>
    <row r="579" spans="1:34" s="1" customFormat="1" ht="15" customHeight="1">
      <c r="A579" s="946">
        <v>25100001</v>
      </c>
      <c r="B579" s="946" t="s">
        <v>1376</v>
      </c>
      <c r="C579" s="946" t="s">
        <v>1378</v>
      </c>
      <c r="D579" s="946">
        <v>100000001</v>
      </c>
      <c r="E579" s="946" t="s">
        <v>33</v>
      </c>
      <c r="F579" s="946" t="s">
        <v>11</v>
      </c>
      <c r="G579" s="947">
        <v>25000000</v>
      </c>
      <c r="H579" s="947">
        <v>25000000</v>
      </c>
      <c r="I579" s="948"/>
      <c r="J579" s="948"/>
      <c r="K579" s="948"/>
      <c r="L579" s="29" t="e">
        <f>VLOOKUP(A579,'Account Mapping'!$A$2:$E$216,3,0)</f>
        <v>#N/A</v>
      </c>
      <c r="M579" s="25" t="e">
        <f>VLOOKUP(A579,'Account Mapping'!$A$2:$E$216,4,0)</f>
        <v>#N/A</v>
      </c>
      <c r="N579" s="26" t="e">
        <f>IF(OR(C579='Account Mapping'!$H$4,C579='Account Mapping'!$H$5,C579='Account Mapping'!$H$6),'Account Mapping'!$I$4,VLOOKUP(A579,'Account Mapping'!$A$2:$E$216,5,0))</f>
        <v>#N/A</v>
      </c>
      <c r="O579" s="27" t="e">
        <f>IF(OR(L579="Loan",L579="Deposit_Liability",L579="OFF_Unused Loan Commitment",L579="HQLA"),VLOOKUP(D579,'Customer Type'!$A$3:$C$38,3,0),"")</f>
        <v>#N/A</v>
      </c>
      <c r="P579" s="656" t="e">
        <f t="shared" si="192"/>
        <v>#N/A</v>
      </c>
      <c r="Q579" s="658">
        <f>IF(COUNTIF('Account Mapping'!$H$12:$H$45,A579)&gt;0,-H579,H579)</f>
        <v>25000000</v>
      </c>
      <c r="R579" s="249" t="e">
        <f>VLOOKUP(P579,Assumptions!$C$2:$D$64,2,0)</f>
        <v>#N/A</v>
      </c>
      <c r="S579" s="692" t="str">
        <f>IFERROR(VLOOKUP(A579,'Maturity Adjustment'!$A$3:$C$81,3,0),(IF(J579&lt;$N$4,"Tomorrow",J579)))</f>
        <v>Tomorrow</v>
      </c>
      <c r="T579" s="190">
        <f t="shared" si="207"/>
        <v>1</v>
      </c>
      <c r="U579" s="196" t="e">
        <f t="shared" si="193"/>
        <v>#N/A</v>
      </c>
      <c r="V579" s="11" t="str">
        <f>IFERROR(VLOOKUP(A579,'Maturity Adjustment'!$A$86:$C$91,3,0),S579)</f>
        <v>Tomorrow</v>
      </c>
      <c r="W579" s="12" t="e">
        <f>VLOOKUP(A579,'Account Mapping'!$A$2:$F$216,6,0)</f>
        <v>#N/A</v>
      </c>
      <c r="X579" s="194">
        <f t="shared" si="194"/>
        <v>25000000</v>
      </c>
      <c r="Y579" s="194">
        <f t="shared" si="195"/>
        <v>0</v>
      </c>
      <c r="Z579" s="13">
        <f t="shared" si="196"/>
        <v>0</v>
      </c>
      <c r="AA579" s="13">
        <f t="shared" si="197"/>
        <v>0</v>
      </c>
      <c r="AB579" s="13">
        <f t="shared" si="198"/>
        <v>0</v>
      </c>
      <c r="AC579" s="13">
        <f t="shared" si="199"/>
        <v>0</v>
      </c>
      <c r="AD579" s="13">
        <f t="shared" si="200"/>
        <v>0</v>
      </c>
      <c r="AE579" s="13">
        <f t="shared" si="201"/>
        <v>0</v>
      </c>
      <c r="AF579" s="13">
        <f t="shared" si="202"/>
        <v>0</v>
      </c>
      <c r="AG579" s="685">
        <f t="shared" si="203"/>
        <v>0</v>
      </c>
      <c r="AH579" s="688" t="b">
        <f t="shared" si="204"/>
        <v>1</v>
      </c>
    </row>
    <row r="580" spans="1:34" s="1" customFormat="1" ht="15" customHeight="1">
      <c r="A580" s="946">
        <v>25100001</v>
      </c>
      <c r="B580" s="946" t="s">
        <v>1376</v>
      </c>
      <c r="C580" s="946" t="s">
        <v>1379</v>
      </c>
      <c r="D580" s="946">
        <v>100000001</v>
      </c>
      <c r="E580" s="946" t="s">
        <v>33</v>
      </c>
      <c r="F580" s="946" t="s">
        <v>11</v>
      </c>
      <c r="G580" s="947">
        <v>20000000</v>
      </c>
      <c r="H580" s="947">
        <v>20000000</v>
      </c>
      <c r="I580" s="948"/>
      <c r="J580" s="948"/>
      <c r="K580" s="948"/>
      <c r="L580" s="29" t="e">
        <f>VLOOKUP(A580,'Account Mapping'!$A$2:$E$216,3,0)</f>
        <v>#N/A</v>
      </c>
      <c r="M580" s="25" t="e">
        <f>VLOOKUP(A580,'Account Mapping'!$A$2:$E$216,4,0)</f>
        <v>#N/A</v>
      </c>
      <c r="N580" s="26" t="e">
        <f>IF(OR(C580='Account Mapping'!$H$4,C580='Account Mapping'!$H$5,C580='Account Mapping'!$H$6),'Account Mapping'!$I$4,VLOOKUP(A580,'Account Mapping'!$A$2:$E$216,5,0))</f>
        <v>#N/A</v>
      </c>
      <c r="O580" s="27" t="e">
        <f>IF(OR(L580="Loan",L580="Deposit_Liability",L580="OFF_Unused Loan Commitment",L580="HQLA"),VLOOKUP(D580,'Customer Type'!$A$3:$C$38,3,0),"")</f>
        <v>#N/A</v>
      </c>
      <c r="P580" s="656" t="e">
        <f t="shared" si="192"/>
        <v>#N/A</v>
      </c>
      <c r="Q580" s="658">
        <f>IF(COUNTIF('Account Mapping'!$H$12:$H$45,A580)&gt;0,-H580,H580)</f>
        <v>20000000</v>
      </c>
      <c r="R580" s="249" t="e">
        <f>VLOOKUP(P580,Assumptions!$C$2:$D$64,2,0)</f>
        <v>#N/A</v>
      </c>
      <c r="S580" s="692" t="str">
        <f>IFERROR(VLOOKUP(A580,'Maturity Adjustment'!$A$3:$C$81,3,0),(IF(J580&lt;$N$4,"Tomorrow",J580)))</f>
        <v>Tomorrow</v>
      </c>
      <c r="T580" s="190">
        <f t="shared" si="207"/>
        <v>1</v>
      </c>
      <c r="U580" s="196" t="e">
        <f t="shared" si="193"/>
        <v>#N/A</v>
      </c>
      <c r="V580" s="11" t="str">
        <f>IFERROR(VLOOKUP(A580,'Maturity Adjustment'!$A$86:$C$91,3,0),S580)</f>
        <v>Tomorrow</v>
      </c>
      <c r="W580" s="12" t="e">
        <f>VLOOKUP(A580,'Account Mapping'!$A$2:$F$216,6,0)</f>
        <v>#N/A</v>
      </c>
      <c r="X580" s="194">
        <f t="shared" si="194"/>
        <v>20000000</v>
      </c>
      <c r="Y580" s="194">
        <f t="shared" si="195"/>
        <v>0</v>
      </c>
      <c r="Z580" s="13">
        <f t="shared" si="196"/>
        <v>0</v>
      </c>
      <c r="AA580" s="13">
        <f t="shared" si="197"/>
        <v>0</v>
      </c>
      <c r="AB580" s="13">
        <f t="shared" si="198"/>
        <v>0</v>
      </c>
      <c r="AC580" s="13">
        <f t="shared" si="199"/>
        <v>0</v>
      </c>
      <c r="AD580" s="13">
        <f t="shared" si="200"/>
        <v>0</v>
      </c>
      <c r="AE580" s="13">
        <f t="shared" si="201"/>
        <v>0</v>
      </c>
      <c r="AF580" s="13">
        <f t="shared" si="202"/>
        <v>0</v>
      </c>
      <c r="AG580" s="685">
        <f t="shared" si="203"/>
        <v>0</v>
      </c>
      <c r="AH580" s="688" t="b">
        <f t="shared" si="204"/>
        <v>1</v>
      </c>
    </row>
    <row r="581" spans="1:34" s="1" customFormat="1" ht="15" customHeight="1">
      <c r="A581" s="946">
        <v>25100003</v>
      </c>
      <c r="B581" s="946" t="s">
        <v>1380</v>
      </c>
      <c r="C581" s="946" t="s">
        <v>1400</v>
      </c>
      <c r="D581" s="946">
        <v>100000002</v>
      </c>
      <c r="E581" s="946" t="s">
        <v>40</v>
      </c>
      <c r="F581" s="946" t="s">
        <v>26</v>
      </c>
      <c r="G581" s="947">
        <v>11000000</v>
      </c>
      <c r="H581" s="947">
        <v>15660592.26</v>
      </c>
      <c r="I581" s="948">
        <v>45693</v>
      </c>
      <c r="J581" s="948">
        <v>46058</v>
      </c>
      <c r="K581" s="948">
        <v>46058</v>
      </c>
      <c r="L581" s="29" t="e">
        <f>VLOOKUP(A581,'Account Mapping'!$A$2:$E$216,3,0)</f>
        <v>#N/A</v>
      </c>
      <c r="M581" s="25" t="e">
        <f>VLOOKUP(A581,'Account Mapping'!$A$2:$E$216,4,0)</f>
        <v>#N/A</v>
      </c>
      <c r="N581" s="26" t="e">
        <f>IF(OR(C581='Account Mapping'!$H$4,C581='Account Mapping'!$H$5,C581='Account Mapping'!$H$6),'Account Mapping'!$I$4,VLOOKUP(A581,'Account Mapping'!$A$2:$E$216,5,0))</f>
        <v>#N/A</v>
      </c>
      <c r="O581" s="27" t="e">
        <f>IF(OR(L581="Loan",L581="Deposit_Liability",L581="OFF_Unused Loan Commitment",L581="HQLA"),VLOOKUP(D581,'Customer Type'!$A$3:$C$38,3,0),"")</f>
        <v>#N/A</v>
      </c>
      <c r="P581" s="656" t="e">
        <f t="shared" si="192"/>
        <v>#N/A</v>
      </c>
      <c r="Q581" s="658">
        <f>IF(COUNTIF('Account Mapping'!$H$12:$H$45,A581)&gt;0,-H581,H581)</f>
        <v>15660592.26</v>
      </c>
      <c r="R581" s="249" t="e">
        <f>VLOOKUP(P581,Assumptions!$C$2:$D$64,2,0)</f>
        <v>#N/A</v>
      </c>
      <c r="S581" s="692">
        <f>IFERROR(VLOOKUP(A581,'Maturity Adjustment'!$A$3:$C$81,3,0),(IF(J581&lt;$N$4,"Tomorrow",J581)))</f>
        <v>46058</v>
      </c>
      <c r="T581" s="190">
        <f t="shared" ref="T581:T589" si="208">IF(S581="Tomorrow",1,(S581-$N$4))</f>
        <v>0</v>
      </c>
      <c r="U581" s="196" t="e">
        <f t="shared" si="193"/>
        <v>#N/A</v>
      </c>
      <c r="V581" s="11">
        <f>IFERROR(VLOOKUP(A581,'Maturity Adjustment'!$A$86:$C$91,3,0),S581)</f>
        <v>46058</v>
      </c>
      <c r="W581" s="12" t="e">
        <f>VLOOKUP(A581,'Account Mapping'!$A$2:$F$216,6,0)</f>
        <v>#N/A</v>
      </c>
      <c r="X581" s="194">
        <f t="shared" si="194"/>
        <v>15660592.26</v>
      </c>
      <c r="Y581" s="194">
        <f t="shared" si="195"/>
        <v>0</v>
      </c>
      <c r="Z581" s="13">
        <f t="shared" si="196"/>
        <v>0</v>
      </c>
      <c r="AA581" s="13">
        <f t="shared" si="197"/>
        <v>0</v>
      </c>
      <c r="AB581" s="13">
        <f t="shared" si="198"/>
        <v>0</v>
      </c>
      <c r="AC581" s="13">
        <f t="shared" si="199"/>
        <v>0</v>
      </c>
      <c r="AD581" s="13">
        <f t="shared" si="200"/>
        <v>0</v>
      </c>
      <c r="AE581" s="13">
        <f t="shared" si="201"/>
        <v>0</v>
      </c>
      <c r="AF581" s="13">
        <f t="shared" si="202"/>
        <v>0</v>
      </c>
      <c r="AG581" s="685">
        <f t="shared" si="203"/>
        <v>0</v>
      </c>
      <c r="AH581" s="688" t="b">
        <f t="shared" si="204"/>
        <v>1</v>
      </c>
    </row>
    <row r="582" spans="1:34" s="1" customFormat="1" ht="15" customHeight="1">
      <c r="A582" s="946">
        <v>25100003</v>
      </c>
      <c r="B582" s="946" t="s">
        <v>1380</v>
      </c>
      <c r="C582" s="946" t="s">
        <v>1448</v>
      </c>
      <c r="D582" s="946">
        <v>100000002</v>
      </c>
      <c r="E582" s="946" t="s">
        <v>40</v>
      </c>
      <c r="F582" s="946" t="s">
        <v>26</v>
      </c>
      <c r="G582" s="947">
        <v>10000000</v>
      </c>
      <c r="H582" s="947">
        <v>14236902.050000001</v>
      </c>
      <c r="I582" s="948">
        <v>45853</v>
      </c>
      <c r="J582" s="948">
        <v>46064</v>
      </c>
      <c r="K582" s="948">
        <v>46064</v>
      </c>
      <c r="L582" s="29" t="e">
        <f>VLOOKUP(A582,'Account Mapping'!$A$2:$E$216,3,0)</f>
        <v>#N/A</v>
      </c>
      <c r="M582" s="25" t="e">
        <f>VLOOKUP(A582,'Account Mapping'!$A$2:$E$216,4,0)</f>
        <v>#N/A</v>
      </c>
      <c r="N582" s="26" t="e">
        <f>IF(OR(C582='Account Mapping'!$H$4,C582='Account Mapping'!$H$5,C582='Account Mapping'!$H$6),'Account Mapping'!$I$4,VLOOKUP(A582,'Account Mapping'!$A$2:$E$216,5,0))</f>
        <v>#N/A</v>
      </c>
      <c r="O582" s="27" t="e">
        <f>IF(OR(L582="Loan",L582="Deposit_Liability",L582="OFF_Unused Loan Commitment",L582="HQLA"),VLOOKUP(D582,'Customer Type'!$A$3:$C$38,3,0),"")</f>
        <v>#N/A</v>
      </c>
      <c r="P582" s="656" t="e">
        <f t="shared" si="192"/>
        <v>#N/A</v>
      </c>
      <c r="Q582" s="658">
        <f>IF(COUNTIF('Account Mapping'!$H$12:$H$45,A582)&gt;0,-H582,H582)</f>
        <v>14236902.050000001</v>
      </c>
      <c r="R582" s="249" t="e">
        <f>VLOOKUP(P582,Assumptions!$C$2:$D$64,2,0)</f>
        <v>#N/A</v>
      </c>
      <c r="S582" s="692">
        <f>IFERROR(VLOOKUP(A582,'Maturity Adjustment'!$A$3:$C$81,3,0),(IF(J582&lt;$N$4,"Tomorrow",J582)))</f>
        <v>46064</v>
      </c>
      <c r="T582" s="190">
        <f t="shared" si="208"/>
        <v>6</v>
      </c>
      <c r="U582" s="196" t="e">
        <f t="shared" si="193"/>
        <v>#N/A</v>
      </c>
      <c r="V582" s="11">
        <f>IFERROR(VLOOKUP(A582,'Maturity Adjustment'!$A$86:$C$91,3,0),S582)</f>
        <v>46064</v>
      </c>
      <c r="W582" s="12" t="e">
        <f>VLOOKUP(A582,'Account Mapping'!$A$2:$F$216,6,0)</f>
        <v>#N/A</v>
      </c>
      <c r="X582" s="194">
        <f t="shared" si="194"/>
        <v>0</v>
      </c>
      <c r="Y582" s="194">
        <f t="shared" si="195"/>
        <v>14236902.050000001</v>
      </c>
      <c r="Z582" s="13">
        <f t="shared" si="196"/>
        <v>0</v>
      </c>
      <c r="AA582" s="13">
        <f t="shared" si="197"/>
        <v>0</v>
      </c>
      <c r="AB582" s="13">
        <f t="shared" si="198"/>
        <v>0</v>
      </c>
      <c r="AC582" s="13">
        <f t="shared" si="199"/>
        <v>0</v>
      </c>
      <c r="AD582" s="13">
        <f t="shared" si="200"/>
        <v>0</v>
      </c>
      <c r="AE582" s="13">
        <f t="shared" si="201"/>
        <v>0</v>
      </c>
      <c r="AF582" s="13">
        <f t="shared" si="202"/>
        <v>0</v>
      </c>
      <c r="AG582" s="685">
        <f t="shared" si="203"/>
        <v>0</v>
      </c>
      <c r="AH582" s="688" t="b">
        <f t="shared" si="204"/>
        <v>1</v>
      </c>
    </row>
    <row r="583" spans="1:34" s="1" customFormat="1" ht="15" customHeight="1">
      <c r="A583" s="946">
        <v>25100003</v>
      </c>
      <c r="B583" s="946" t="s">
        <v>1380</v>
      </c>
      <c r="C583" s="946" t="s">
        <v>1455</v>
      </c>
      <c r="D583" s="946">
        <v>100000002</v>
      </c>
      <c r="E583" s="946" t="s">
        <v>40</v>
      </c>
      <c r="F583" s="946" t="s">
        <v>26</v>
      </c>
      <c r="G583" s="947">
        <v>5000000</v>
      </c>
      <c r="H583" s="947">
        <v>7118451.0300000003</v>
      </c>
      <c r="I583" s="949">
        <v>45862</v>
      </c>
      <c r="J583" s="949">
        <v>46072</v>
      </c>
      <c r="K583" s="949">
        <v>46072</v>
      </c>
      <c r="L583" s="29" t="e">
        <f>VLOOKUP(A583,'Account Mapping'!$A$2:$E$216,3,0)</f>
        <v>#N/A</v>
      </c>
      <c r="M583" s="25" t="e">
        <f>VLOOKUP(A583,'Account Mapping'!$A$2:$E$216,4,0)</f>
        <v>#N/A</v>
      </c>
      <c r="N583" s="26" t="e">
        <f>IF(OR(C583='Account Mapping'!$H$4,C583='Account Mapping'!$H$5,C583='Account Mapping'!$H$6),'Account Mapping'!$I$4,VLOOKUP(A583,'Account Mapping'!$A$2:$E$216,5,0))</f>
        <v>#N/A</v>
      </c>
      <c r="O583" s="27" t="e">
        <f>IF(OR(L583="Loan",L583="Deposit_Liability",L583="OFF_Unused Loan Commitment",L583="HQLA"),VLOOKUP(D583,'Customer Type'!$A$3:$C$38,3,0),"")</f>
        <v>#N/A</v>
      </c>
      <c r="P583" s="656" t="e">
        <f t="shared" si="192"/>
        <v>#N/A</v>
      </c>
      <c r="Q583" s="658">
        <f>IF(COUNTIF('Account Mapping'!$H$12:$H$45,A583)&gt;0,-H583,H583)</f>
        <v>7118451.0300000003</v>
      </c>
      <c r="R583" s="249" t="e">
        <f>VLOOKUP(P583,Assumptions!$C$2:$D$64,2,0)</f>
        <v>#N/A</v>
      </c>
      <c r="S583" s="692">
        <f>IFERROR(VLOOKUP(A583,'Maturity Adjustment'!$A$3:$C$81,3,0),(IF(J583&lt;$N$4,"Tomorrow",J583)))</f>
        <v>46072</v>
      </c>
      <c r="T583" s="190">
        <f t="shared" si="208"/>
        <v>14</v>
      </c>
      <c r="U583" s="196" t="e">
        <f t="shared" si="193"/>
        <v>#N/A</v>
      </c>
      <c r="V583" s="11">
        <f>IFERROR(VLOOKUP(A583,'Maturity Adjustment'!$A$86:$C$91,3,0),S583)</f>
        <v>46072</v>
      </c>
      <c r="W583" s="12" t="e">
        <f>VLOOKUP(A583,'Account Mapping'!$A$2:$F$216,6,0)</f>
        <v>#N/A</v>
      </c>
      <c r="X583" s="194">
        <f t="shared" si="194"/>
        <v>0</v>
      </c>
      <c r="Y583" s="194">
        <f t="shared" si="195"/>
        <v>0</v>
      </c>
      <c r="Z583" s="13">
        <f t="shared" si="196"/>
        <v>7118451.0300000003</v>
      </c>
      <c r="AA583" s="13">
        <f t="shared" si="197"/>
        <v>0</v>
      </c>
      <c r="AB583" s="13">
        <f t="shared" si="198"/>
        <v>0</v>
      </c>
      <c r="AC583" s="13">
        <f t="shared" si="199"/>
        <v>0</v>
      </c>
      <c r="AD583" s="13">
        <f t="shared" si="200"/>
        <v>0</v>
      </c>
      <c r="AE583" s="13">
        <f t="shared" si="201"/>
        <v>0</v>
      </c>
      <c r="AF583" s="13">
        <f t="shared" si="202"/>
        <v>0</v>
      </c>
      <c r="AG583" s="685">
        <f t="shared" si="203"/>
        <v>0</v>
      </c>
      <c r="AH583" s="688" t="b">
        <f t="shared" si="204"/>
        <v>1</v>
      </c>
    </row>
    <row r="584" spans="1:34" s="1" customFormat="1" ht="15" customHeight="1">
      <c r="A584" s="946">
        <v>25100003</v>
      </c>
      <c r="B584" s="946" t="s">
        <v>1380</v>
      </c>
      <c r="C584" s="946" t="s">
        <v>1468</v>
      </c>
      <c r="D584" s="946">
        <v>100000002</v>
      </c>
      <c r="E584" s="946" t="s">
        <v>40</v>
      </c>
      <c r="F584" s="946" t="s">
        <v>26</v>
      </c>
      <c r="G584" s="947">
        <v>10000000</v>
      </c>
      <c r="H584" s="947">
        <v>14236902.050000001</v>
      </c>
      <c r="I584" s="949">
        <v>45924</v>
      </c>
      <c r="J584" s="949">
        <v>46106</v>
      </c>
      <c r="K584" s="949">
        <v>46106</v>
      </c>
      <c r="L584" s="29" t="e">
        <f>VLOOKUP(A584,'Account Mapping'!$A$2:$E$216,3,0)</f>
        <v>#N/A</v>
      </c>
      <c r="M584" s="25" t="e">
        <f>VLOOKUP(A584,'Account Mapping'!$A$2:$E$216,4,0)</f>
        <v>#N/A</v>
      </c>
      <c r="N584" s="26" t="e">
        <f>IF(OR(C584='Account Mapping'!$H$4,C584='Account Mapping'!$H$5,C584='Account Mapping'!$H$6),'Account Mapping'!$I$4,VLOOKUP(A584,'Account Mapping'!$A$2:$E$216,5,0))</f>
        <v>#N/A</v>
      </c>
      <c r="O584" s="27" t="e">
        <f>IF(OR(L584="Loan",L584="Deposit_Liability",L584="OFF_Unused Loan Commitment",L584="HQLA"),VLOOKUP(D584,'Customer Type'!$A$3:$C$38,3,0),"")</f>
        <v>#N/A</v>
      </c>
      <c r="P584" s="656" t="e">
        <f t="shared" ref="P584:P589" si="209">M584&amp;"_"&amp;O584</f>
        <v>#N/A</v>
      </c>
      <c r="Q584" s="658">
        <f>IF(COUNTIF('Account Mapping'!$H$12:$H$45,A584)&gt;0,-H584,H584)</f>
        <v>14236902.050000001</v>
      </c>
      <c r="R584" s="249" t="e">
        <f>VLOOKUP(P584,Assumptions!$C$2:$D$64,2,0)</f>
        <v>#N/A</v>
      </c>
      <c r="S584" s="692">
        <f>IFERROR(VLOOKUP(A584,'Maturity Adjustment'!$A$3:$C$81,3,0),(IF(J584&lt;$N$4,"Tomorrow",J584)))</f>
        <v>46106</v>
      </c>
      <c r="T584" s="190">
        <f t="shared" si="208"/>
        <v>48</v>
      </c>
      <c r="U584" s="196" t="e">
        <f t="shared" ref="U584:U589" si="210">Q584*R584</f>
        <v>#N/A</v>
      </c>
      <c r="V584" s="11">
        <f>IFERROR(VLOOKUP(A584,'Maturity Adjustment'!$A$86:$C$91,3,0),S584)</f>
        <v>46106</v>
      </c>
      <c r="W584" s="12" t="e">
        <f>VLOOKUP(A584,'Account Mapping'!$A$2:$F$216,6,0)</f>
        <v>#N/A</v>
      </c>
      <c r="X584" s="194">
        <f t="shared" ref="X584:X589" si="211">IF(V584="Tomorrow",Q584,IF(AND(V584&gt;$X$4-1,V584&lt;$X$5),Q584,IF(V584=$X$5,Q584,0)))</f>
        <v>0</v>
      </c>
      <c r="Y584" s="194">
        <f t="shared" ref="Y584:Y589" si="212">IF(AND(V584&gt;$Y$4-1,V584&lt;$Y$5),Q584,IF(V584=$Y$5,Q584,0))</f>
        <v>0</v>
      </c>
      <c r="Z584" s="13">
        <f t="shared" ref="Z584:Z589" si="213">IF(AND(V584&gt;$Z$4-1,V584&lt;$Z$5),Q584,IF(V584=$Z$5,Q584,0))</f>
        <v>0</v>
      </c>
      <c r="AA584" s="13">
        <f t="shared" ref="AA584:AA589" si="214">IF(AND(V584&gt;$AA$4-1,V584&lt;$AA$5),Q584,IF(V584=$AA$5,Q584,0))</f>
        <v>14236902.050000001</v>
      </c>
      <c r="AB584" s="13">
        <f t="shared" ref="AB584:AB589" si="215">IF(AND(V584&gt;$AB$4-1,V584&lt;$AB$5),Q584,IF(V584=$AB$5,Q584,0))</f>
        <v>0</v>
      </c>
      <c r="AC584" s="13">
        <f t="shared" ref="AC584:AC589" si="216">IF(AND(V584&gt;$AC$4-1,V584&lt;$AC$5),Q584,IF(V584=$AC$5,Q584,0))</f>
        <v>0</v>
      </c>
      <c r="AD584" s="13">
        <f t="shared" ref="AD584:AD589" si="217">IF(AND(V584&gt;$AD$4-1,V584&lt;$AD$5),Q584,IF(V584=$AD$5,Q584,0))</f>
        <v>0</v>
      </c>
      <c r="AE584" s="13">
        <f t="shared" ref="AE584:AE589" si="218">IF(AND(V584&gt;$AE$4-1,V584&lt;$AE$5),Q584,IF(V584=$AE$5,Q584,0))</f>
        <v>0</v>
      </c>
      <c r="AF584" s="13">
        <f t="shared" ref="AF584:AF589" si="219">IF(AND(V584&gt;$AF$4-1,V584&lt;$AF$5),Q584,IF(V584=$AF$5,Q584,0))</f>
        <v>0</v>
      </c>
      <c r="AG584" s="685">
        <f t="shared" ref="AG584:AG589" si="220">IF(AND(V584&gt;$AG$4-1,V584&lt;$AG$5),Q584,IF(V584=$AG$5,Q584,0))</f>
        <v>0</v>
      </c>
      <c r="AH584" s="688" t="b">
        <f t="shared" ref="AH584:AH645" si="221">Q584=SUM(X584:AG584)</f>
        <v>1</v>
      </c>
    </row>
    <row r="585" spans="1:34" s="1" customFormat="1" ht="15" customHeight="1">
      <c r="A585" s="946">
        <v>25100003</v>
      </c>
      <c r="B585" s="946" t="s">
        <v>1380</v>
      </c>
      <c r="C585" s="946" t="s">
        <v>1471</v>
      </c>
      <c r="D585" s="946">
        <v>100000002</v>
      </c>
      <c r="E585" s="946" t="s">
        <v>40</v>
      </c>
      <c r="F585" s="946" t="s">
        <v>26</v>
      </c>
      <c r="G585" s="947">
        <v>17000000</v>
      </c>
      <c r="H585" s="947">
        <v>24202733.489999998</v>
      </c>
      <c r="I585" s="949">
        <v>45959</v>
      </c>
      <c r="J585" s="949">
        <v>46106</v>
      </c>
      <c r="K585" s="949">
        <v>46106</v>
      </c>
      <c r="L585" s="29" t="e">
        <f>VLOOKUP(A585,'Account Mapping'!$A$2:$E$216,3,0)</f>
        <v>#N/A</v>
      </c>
      <c r="M585" s="25" t="e">
        <f>VLOOKUP(A585,'Account Mapping'!$A$2:$E$216,4,0)</f>
        <v>#N/A</v>
      </c>
      <c r="N585" s="26" t="e">
        <f>IF(OR(C585='Account Mapping'!$H$4,C585='Account Mapping'!$H$5,C585='Account Mapping'!$H$6),'Account Mapping'!$I$4,VLOOKUP(A585,'Account Mapping'!$A$2:$E$216,5,0))</f>
        <v>#N/A</v>
      </c>
      <c r="O585" s="27" t="e">
        <f>IF(OR(L585="Loan",L585="Deposit_Liability",L585="OFF_Unused Loan Commitment",L585="HQLA"),VLOOKUP(D585,'Customer Type'!$A$3:$C$38,3,0),"")</f>
        <v>#N/A</v>
      </c>
      <c r="P585" s="656" t="e">
        <f t="shared" si="209"/>
        <v>#N/A</v>
      </c>
      <c r="Q585" s="658">
        <f>IF(COUNTIF('Account Mapping'!$H$12:$H$45,A585)&gt;0,-H585,H585)</f>
        <v>24202733.489999998</v>
      </c>
      <c r="R585" s="249" t="e">
        <f>VLOOKUP(P585,Assumptions!$C$2:$D$64,2,0)</f>
        <v>#N/A</v>
      </c>
      <c r="S585" s="692">
        <f>IFERROR(VLOOKUP(A585,'Maturity Adjustment'!$A$3:$C$81,3,0),(IF(J585&lt;$N$4,"Tomorrow",J585)))</f>
        <v>46106</v>
      </c>
      <c r="T585" s="190">
        <f t="shared" si="208"/>
        <v>48</v>
      </c>
      <c r="U585" s="196" t="e">
        <f t="shared" si="210"/>
        <v>#N/A</v>
      </c>
      <c r="V585" s="11">
        <f>IFERROR(VLOOKUP(A585,'Maturity Adjustment'!$A$86:$C$91,3,0),S585)</f>
        <v>46106</v>
      </c>
      <c r="W585" s="12" t="e">
        <f>VLOOKUP(A585,'Account Mapping'!$A$2:$F$216,6,0)</f>
        <v>#N/A</v>
      </c>
      <c r="X585" s="194">
        <f t="shared" si="211"/>
        <v>0</v>
      </c>
      <c r="Y585" s="194">
        <f t="shared" si="212"/>
        <v>0</v>
      </c>
      <c r="Z585" s="13">
        <f t="shared" si="213"/>
        <v>0</v>
      </c>
      <c r="AA585" s="13">
        <f t="shared" si="214"/>
        <v>24202733.489999998</v>
      </c>
      <c r="AB585" s="13">
        <f t="shared" si="215"/>
        <v>0</v>
      </c>
      <c r="AC585" s="13">
        <f t="shared" si="216"/>
        <v>0</v>
      </c>
      <c r="AD585" s="13">
        <f t="shared" si="217"/>
        <v>0</v>
      </c>
      <c r="AE585" s="13">
        <f t="shared" si="218"/>
        <v>0</v>
      </c>
      <c r="AF585" s="13">
        <f t="shared" si="219"/>
        <v>0</v>
      </c>
      <c r="AG585" s="685">
        <f t="shared" si="220"/>
        <v>0</v>
      </c>
      <c r="AH585" s="688" t="b">
        <f t="shared" si="221"/>
        <v>1</v>
      </c>
    </row>
    <row r="586" spans="1:34" s="1" customFormat="1" ht="15" customHeight="1">
      <c r="A586" s="946">
        <v>25100003</v>
      </c>
      <c r="B586" s="946" t="s">
        <v>1380</v>
      </c>
      <c r="C586" s="946" t="s">
        <v>1525</v>
      </c>
      <c r="D586" s="946">
        <v>100000002</v>
      </c>
      <c r="E586" s="946" t="s">
        <v>40</v>
      </c>
      <c r="F586" s="946" t="s">
        <v>26</v>
      </c>
      <c r="G586" s="947">
        <v>10000000</v>
      </c>
      <c r="H586" s="947">
        <v>14236902.050000001</v>
      </c>
      <c r="I586" s="949">
        <v>45974</v>
      </c>
      <c r="J586" s="949">
        <v>46155</v>
      </c>
      <c r="K586" s="949">
        <v>46155</v>
      </c>
      <c r="L586" s="29" t="e">
        <f>VLOOKUP(A586,'Account Mapping'!$A$2:$E$216,3,0)</f>
        <v>#N/A</v>
      </c>
      <c r="M586" s="25" t="e">
        <f>VLOOKUP(A586,'Account Mapping'!$A$2:$E$216,4,0)</f>
        <v>#N/A</v>
      </c>
      <c r="N586" s="26" t="e">
        <f>IF(OR(C586='Account Mapping'!$H$4,C586='Account Mapping'!$H$5,C586='Account Mapping'!$H$6),'Account Mapping'!$I$4,VLOOKUP(A586,'Account Mapping'!$A$2:$E$216,5,0))</f>
        <v>#N/A</v>
      </c>
      <c r="O586" s="27" t="e">
        <f>IF(OR(L586="Loan",L586="Deposit_Liability",L586="OFF_Unused Loan Commitment",L586="HQLA"),VLOOKUP(D586,'Customer Type'!$A$3:$C$38,3,0),"")</f>
        <v>#N/A</v>
      </c>
      <c r="P586" s="656" t="e">
        <f t="shared" si="209"/>
        <v>#N/A</v>
      </c>
      <c r="Q586" s="658">
        <f>IF(COUNTIF('Account Mapping'!$H$12:$H$45,A586)&gt;0,-H586,H586)</f>
        <v>14236902.050000001</v>
      </c>
      <c r="R586" s="249" t="e">
        <f>VLOOKUP(P586,Assumptions!$C$2:$D$64,2,0)</f>
        <v>#N/A</v>
      </c>
      <c r="S586" s="692">
        <f>IFERROR(VLOOKUP(A586,'Maturity Adjustment'!$A$3:$C$81,3,0),(IF(J586&lt;$N$4,"Tomorrow",J586)))</f>
        <v>46155</v>
      </c>
      <c r="T586" s="190">
        <f t="shared" si="208"/>
        <v>97</v>
      </c>
      <c r="U586" s="196" t="e">
        <f t="shared" si="210"/>
        <v>#N/A</v>
      </c>
      <c r="V586" s="11">
        <f>IFERROR(VLOOKUP(A586,'Maturity Adjustment'!$A$86:$C$91,3,0),S586)</f>
        <v>46155</v>
      </c>
      <c r="W586" s="12" t="e">
        <f>VLOOKUP(A586,'Account Mapping'!$A$2:$F$216,6,0)</f>
        <v>#N/A</v>
      </c>
      <c r="X586" s="194">
        <f t="shared" si="211"/>
        <v>0</v>
      </c>
      <c r="Y586" s="194">
        <f t="shared" si="212"/>
        <v>0</v>
      </c>
      <c r="Z586" s="13">
        <f t="shared" si="213"/>
        <v>0</v>
      </c>
      <c r="AA586" s="13">
        <f t="shared" si="214"/>
        <v>0</v>
      </c>
      <c r="AB586" s="13">
        <f t="shared" si="215"/>
        <v>14236902.050000001</v>
      </c>
      <c r="AC586" s="13">
        <f t="shared" si="216"/>
        <v>0</v>
      </c>
      <c r="AD586" s="13">
        <f t="shared" si="217"/>
        <v>0</v>
      </c>
      <c r="AE586" s="13">
        <f t="shared" si="218"/>
        <v>0</v>
      </c>
      <c r="AF586" s="13">
        <f t="shared" si="219"/>
        <v>0</v>
      </c>
      <c r="AG586" s="685">
        <f t="shared" si="220"/>
        <v>0</v>
      </c>
      <c r="AH586" s="688" t="b">
        <f t="shared" si="221"/>
        <v>1</v>
      </c>
    </row>
    <row r="587" spans="1:34" s="1" customFormat="1" ht="15" customHeight="1">
      <c r="A587" s="946">
        <v>25100003</v>
      </c>
      <c r="B587" s="946" t="s">
        <v>1380</v>
      </c>
      <c r="C587" s="946" t="s">
        <v>1535</v>
      </c>
      <c r="D587" s="946">
        <v>100000002</v>
      </c>
      <c r="E587" s="946" t="s">
        <v>40</v>
      </c>
      <c r="F587" s="946" t="s">
        <v>26</v>
      </c>
      <c r="G587" s="947">
        <v>7000000</v>
      </c>
      <c r="H587" s="947">
        <v>9965831.4399999995</v>
      </c>
      <c r="I587" s="949">
        <v>46015</v>
      </c>
      <c r="J587" s="949">
        <v>46141</v>
      </c>
      <c r="K587" s="949">
        <v>46141</v>
      </c>
      <c r="L587" s="29" t="e">
        <f>VLOOKUP(A587,'Account Mapping'!$A$2:$E$216,3,0)</f>
        <v>#N/A</v>
      </c>
      <c r="M587" s="25" t="e">
        <f>VLOOKUP(A587,'Account Mapping'!$A$2:$E$216,4,0)</f>
        <v>#N/A</v>
      </c>
      <c r="N587" s="26" t="e">
        <f>IF(OR(C587='Account Mapping'!$H$4,C587='Account Mapping'!$H$5,C587='Account Mapping'!$H$6),'Account Mapping'!$I$4,VLOOKUP(A587,'Account Mapping'!$A$2:$E$216,5,0))</f>
        <v>#N/A</v>
      </c>
      <c r="O587" s="27" t="e">
        <f>IF(OR(L587="Loan",L587="Deposit_Liability",L587="OFF_Unused Loan Commitment",L587="HQLA"),VLOOKUP(D587,'Customer Type'!$A$3:$C$38,3,0),"")</f>
        <v>#N/A</v>
      </c>
      <c r="P587" s="656" t="e">
        <f t="shared" si="209"/>
        <v>#N/A</v>
      </c>
      <c r="Q587" s="658">
        <f>IF(COUNTIF('Account Mapping'!$H$12:$H$45,A587)&gt;0,-H587,H587)</f>
        <v>9965831.4399999995</v>
      </c>
      <c r="R587" s="249" t="e">
        <f>VLOOKUP(P587,Assumptions!$C$2:$D$64,2,0)</f>
        <v>#N/A</v>
      </c>
      <c r="S587" s="692">
        <f>IFERROR(VLOOKUP(A587,'Maturity Adjustment'!$A$3:$C$81,3,0),(IF(J587&lt;$N$4,"Tomorrow",J587)))</f>
        <v>46141</v>
      </c>
      <c r="T587" s="190">
        <f t="shared" si="208"/>
        <v>83</v>
      </c>
      <c r="U587" s="196" t="e">
        <f t="shared" si="210"/>
        <v>#N/A</v>
      </c>
      <c r="V587" s="11">
        <f>IFERROR(VLOOKUP(A587,'Maturity Adjustment'!$A$86:$C$91,3,0),S587)</f>
        <v>46141</v>
      </c>
      <c r="W587" s="12" t="e">
        <f>VLOOKUP(A587,'Account Mapping'!$A$2:$F$216,6,0)</f>
        <v>#N/A</v>
      </c>
      <c r="X587" s="194">
        <f t="shared" si="211"/>
        <v>0</v>
      </c>
      <c r="Y587" s="194">
        <f t="shared" si="212"/>
        <v>0</v>
      </c>
      <c r="Z587" s="13">
        <f t="shared" si="213"/>
        <v>0</v>
      </c>
      <c r="AA587" s="13">
        <f t="shared" si="214"/>
        <v>9965831.4399999995</v>
      </c>
      <c r="AB587" s="13">
        <f t="shared" si="215"/>
        <v>0</v>
      </c>
      <c r="AC587" s="13">
        <f t="shared" si="216"/>
        <v>0</v>
      </c>
      <c r="AD587" s="13">
        <f t="shared" si="217"/>
        <v>0</v>
      </c>
      <c r="AE587" s="13">
        <f t="shared" si="218"/>
        <v>0</v>
      </c>
      <c r="AF587" s="13">
        <f t="shared" si="219"/>
        <v>0</v>
      </c>
      <c r="AG587" s="685">
        <f t="shared" si="220"/>
        <v>0</v>
      </c>
      <c r="AH587" s="688" t="b">
        <f t="shared" si="221"/>
        <v>1</v>
      </c>
    </row>
    <row r="588" spans="1:34" s="1" customFormat="1" ht="15" customHeight="1">
      <c r="A588" s="946">
        <v>25100003</v>
      </c>
      <c r="B588" s="946" t="s">
        <v>1380</v>
      </c>
      <c r="C588" s="946" t="s">
        <v>1536</v>
      </c>
      <c r="D588" s="946">
        <v>100000002</v>
      </c>
      <c r="E588" s="946" t="s">
        <v>40</v>
      </c>
      <c r="F588" s="946" t="s">
        <v>26</v>
      </c>
      <c r="G588" s="947">
        <v>5000000</v>
      </c>
      <c r="H588" s="947">
        <v>7118451.0300000003</v>
      </c>
      <c r="I588" s="949">
        <v>46015</v>
      </c>
      <c r="J588" s="949">
        <v>46169</v>
      </c>
      <c r="K588" s="949">
        <v>46169</v>
      </c>
      <c r="L588" s="29" t="e">
        <f>VLOOKUP(A588,'Account Mapping'!$A$2:$E$216,3,0)</f>
        <v>#N/A</v>
      </c>
      <c r="M588" s="25" t="e">
        <f>VLOOKUP(A588,'Account Mapping'!$A$2:$E$216,4,0)</f>
        <v>#N/A</v>
      </c>
      <c r="N588" s="26" t="e">
        <f>IF(OR(C588='Account Mapping'!$H$4,C588='Account Mapping'!$H$5,C588='Account Mapping'!$H$6),'Account Mapping'!$I$4,VLOOKUP(A588,'Account Mapping'!$A$2:$E$216,5,0))</f>
        <v>#N/A</v>
      </c>
      <c r="O588" s="27" t="e">
        <f>IF(OR(L588="Loan",L588="Deposit_Liability",L588="OFF_Unused Loan Commitment",L588="HQLA"),VLOOKUP(D588,'Customer Type'!$A$3:$C$38,3,0),"")</f>
        <v>#N/A</v>
      </c>
      <c r="P588" s="656" t="e">
        <f t="shared" si="209"/>
        <v>#N/A</v>
      </c>
      <c r="Q588" s="658">
        <f>IF(COUNTIF('Account Mapping'!$H$12:$H$45,A588)&gt;0,-H588,H588)</f>
        <v>7118451.0300000003</v>
      </c>
      <c r="R588" s="249" t="e">
        <f>VLOOKUP(P588,Assumptions!$C$2:$D$64,2,0)</f>
        <v>#N/A</v>
      </c>
      <c r="S588" s="692">
        <f>IFERROR(VLOOKUP(A588,'Maturity Adjustment'!$A$3:$C$81,3,0),(IF(J588&lt;$N$4,"Tomorrow",J588)))</f>
        <v>46169</v>
      </c>
      <c r="T588" s="190">
        <f t="shared" si="208"/>
        <v>111</v>
      </c>
      <c r="U588" s="196" t="e">
        <f t="shared" si="210"/>
        <v>#N/A</v>
      </c>
      <c r="V588" s="11">
        <f>IFERROR(VLOOKUP(A588,'Maturity Adjustment'!$A$86:$C$91,3,0),S588)</f>
        <v>46169</v>
      </c>
      <c r="W588" s="12" t="e">
        <f>VLOOKUP(A588,'Account Mapping'!$A$2:$F$216,6,0)</f>
        <v>#N/A</v>
      </c>
      <c r="X588" s="194">
        <f t="shared" si="211"/>
        <v>0</v>
      </c>
      <c r="Y588" s="194">
        <f t="shared" si="212"/>
        <v>0</v>
      </c>
      <c r="Z588" s="13">
        <f t="shared" si="213"/>
        <v>0</v>
      </c>
      <c r="AA588" s="13">
        <f t="shared" si="214"/>
        <v>0</v>
      </c>
      <c r="AB588" s="13">
        <f t="shared" si="215"/>
        <v>7118451.0300000003</v>
      </c>
      <c r="AC588" s="13">
        <f t="shared" si="216"/>
        <v>0</v>
      </c>
      <c r="AD588" s="13">
        <f t="shared" si="217"/>
        <v>0</v>
      </c>
      <c r="AE588" s="13">
        <f t="shared" si="218"/>
        <v>0</v>
      </c>
      <c r="AF588" s="13">
        <f t="shared" si="219"/>
        <v>0</v>
      </c>
      <c r="AG588" s="685">
        <f t="shared" si="220"/>
        <v>0</v>
      </c>
      <c r="AH588" s="688" t="b">
        <f t="shared" si="221"/>
        <v>1</v>
      </c>
    </row>
    <row r="589" spans="1:34" s="1" customFormat="1" ht="15" customHeight="1">
      <c r="A589" s="946">
        <v>25100003</v>
      </c>
      <c r="B589" s="946" t="s">
        <v>1380</v>
      </c>
      <c r="C589" s="946" t="s">
        <v>1554</v>
      </c>
      <c r="D589" s="946">
        <v>100000002</v>
      </c>
      <c r="E589" s="946" t="s">
        <v>40</v>
      </c>
      <c r="F589" s="946" t="s">
        <v>26</v>
      </c>
      <c r="G589" s="947">
        <v>7000000</v>
      </c>
      <c r="H589" s="947">
        <v>9965831.4399999995</v>
      </c>
      <c r="I589" s="949">
        <v>46029</v>
      </c>
      <c r="J589" s="949">
        <v>46155</v>
      </c>
      <c r="K589" s="949">
        <v>46155</v>
      </c>
      <c r="L589" s="29" t="e">
        <f>VLOOKUP(A589,'Account Mapping'!$A$2:$E$216,3,0)</f>
        <v>#N/A</v>
      </c>
      <c r="M589" s="25" t="e">
        <f>VLOOKUP(A589,'Account Mapping'!$A$2:$E$216,4,0)</f>
        <v>#N/A</v>
      </c>
      <c r="N589" s="26" t="e">
        <f>IF(OR(C589='Account Mapping'!$H$4,C589='Account Mapping'!$H$5,C589='Account Mapping'!$H$6),'Account Mapping'!$I$4,VLOOKUP(A589,'Account Mapping'!$A$2:$E$216,5,0))</f>
        <v>#N/A</v>
      </c>
      <c r="O589" s="27" t="e">
        <f>IF(OR(L589="Loan",L589="Deposit_Liability",L589="OFF_Unused Loan Commitment",L589="HQLA"),VLOOKUP(D589,'Customer Type'!$A$3:$C$38,3,0),"")</f>
        <v>#N/A</v>
      </c>
      <c r="P589" s="656" t="e">
        <f t="shared" si="209"/>
        <v>#N/A</v>
      </c>
      <c r="Q589" s="658">
        <f>IF(COUNTIF('Account Mapping'!$H$12:$H$45,A589)&gt;0,-H589,H589)</f>
        <v>9965831.4399999995</v>
      </c>
      <c r="R589" s="249" t="e">
        <f>VLOOKUP(P589,Assumptions!$C$2:$D$64,2,0)</f>
        <v>#N/A</v>
      </c>
      <c r="S589" s="692">
        <f>IFERROR(VLOOKUP(A589,'Maturity Adjustment'!$A$3:$C$81,3,0),(IF(J589&lt;$N$4,"Tomorrow",J589)))</f>
        <v>46155</v>
      </c>
      <c r="T589" s="190">
        <f t="shared" si="208"/>
        <v>97</v>
      </c>
      <c r="U589" s="196" t="e">
        <f t="shared" si="210"/>
        <v>#N/A</v>
      </c>
      <c r="V589" s="11">
        <f>IFERROR(VLOOKUP(A589,'Maturity Adjustment'!$A$86:$C$91,3,0),S589)</f>
        <v>46155</v>
      </c>
      <c r="W589" s="12" t="e">
        <f>VLOOKUP(A589,'Account Mapping'!$A$2:$F$216,6,0)</f>
        <v>#N/A</v>
      </c>
      <c r="X589" s="194">
        <f t="shared" si="211"/>
        <v>0</v>
      </c>
      <c r="Y589" s="194">
        <f t="shared" si="212"/>
        <v>0</v>
      </c>
      <c r="Z589" s="13">
        <f t="shared" si="213"/>
        <v>0</v>
      </c>
      <c r="AA589" s="13">
        <f t="shared" si="214"/>
        <v>0</v>
      </c>
      <c r="AB589" s="13">
        <f t="shared" si="215"/>
        <v>9965831.4399999995</v>
      </c>
      <c r="AC589" s="13">
        <f t="shared" si="216"/>
        <v>0</v>
      </c>
      <c r="AD589" s="13">
        <f t="shared" si="217"/>
        <v>0</v>
      </c>
      <c r="AE589" s="13">
        <f t="shared" si="218"/>
        <v>0</v>
      </c>
      <c r="AF589" s="13">
        <f t="shared" si="219"/>
        <v>0</v>
      </c>
      <c r="AG589" s="685">
        <f t="shared" si="220"/>
        <v>0</v>
      </c>
      <c r="AH589" s="688" t="b">
        <f t="shared" si="221"/>
        <v>1</v>
      </c>
    </row>
    <row r="590" spans="1:34" s="1" customFormat="1" ht="15" customHeight="1">
      <c r="A590" s="946">
        <v>28810002</v>
      </c>
      <c r="B590" s="946" t="s">
        <v>1381</v>
      </c>
      <c r="C590" s="946" t="s">
        <v>1382</v>
      </c>
      <c r="D590" s="946">
        <v>100000001</v>
      </c>
      <c r="E590" s="946" t="s">
        <v>33</v>
      </c>
      <c r="F590" s="946" t="s">
        <v>26</v>
      </c>
      <c r="G590" s="947">
        <v>312515.98</v>
      </c>
      <c r="H590" s="947">
        <v>444925.94</v>
      </c>
      <c r="I590" s="949"/>
      <c r="J590" s="949"/>
      <c r="K590" s="949"/>
      <c r="L590" s="29" t="e">
        <f>VLOOKUP(A590,'Account Mapping'!$A$2:$E$216,3,0)</f>
        <v>#N/A</v>
      </c>
      <c r="M590" s="25" t="e">
        <f>VLOOKUP(A590,'Account Mapping'!$A$2:$E$216,4,0)</f>
        <v>#N/A</v>
      </c>
      <c r="N590" s="26" t="e">
        <f>IF(OR(C590='Account Mapping'!$H$4,C590='Account Mapping'!$H$5,C590='Account Mapping'!$H$6),'Account Mapping'!$I$4,VLOOKUP(A590,'Account Mapping'!$A$2:$E$216,5,0))</f>
        <v>#N/A</v>
      </c>
      <c r="O590" s="27" t="e">
        <f>IF(OR(L590="Loan",L590="Deposit_Liability",L590="OFF_Unused Loan Commitment",L590="HQLA"),VLOOKUP(D590,'Customer Type'!$A$3:$C$38,3,0),"")</f>
        <v>#N/A</v>
      </c>
      <c r="P590" s="656" t="e">
        <f t="shared" ref="P590:P596" si="222">M590&amp;"_"&amp;O590</f>
        <v>#N/A</v>
      </c>
      <c r="Q590" s="658">
        <f>IF(COUNTIF('Account Mapping'!$H$12:$H$45,A590)&gt;0,-H590,H590)</f>
        <v>444925.94</v>
      </c>
      <c r="R590" s="249" t="e">
        <f>VLOOKUP(P590,Assumptions!$C$2:$D$64,2,0)</f>
        <v>#N/A</v>
      </c>
      <c r="S590" s="692" t="str">
        <f>IFERROR(VLOOKUP(A590,'Maturity Adjustment'!$A$3:$C$81,3,0),(IF(J590&lt;$N$4,"Tomorrow",J590)))</f>
        <v>Tomorrow</v>
      </c>
      <c r="T590" s="190">
        <f t="shared" ref="T590:T596" si="223">IF(S590="Tomorrow",1,(S590-$N$4))</f>
        <v>1</v>
      </c>
      <c r="U590" s="196" t="e">
        <f t="shared" ref="U590:U596" si="224">Q590*R590</f>
        <v>#N/A</v>
      </c>
      <c r="V590" s="11" t="str">
        <f>IFERROR(VLOOKUP(A590,'Maturity Adjustment'!$A$86:$C$91,3,0),S590)</f>
        <v>Tomorrow</v>
      </c>
      <c r="W590" s="12" t="e">
        <f>VLOOKUP(A590,'Account Mapping'!$A$2:$F$216,6,0)</f>
        <v>#N/A</v>
      </c>
      <c r="X590" s="194">
        <f t="shared" ref="X590:X596" si="225">IF(V590="Tomorrow",Q590,IF(AND(V590&gt;$X$4-1,V590&lt;$X$5),Q590,IF(V590=$X$5,Q590,0)))</f>
        <v>444925.94</v>
      </c>
      <c r="Y590" s="194">
        <f t="shared" ref="Y590:Y596" si="226">IF(AND(V590&gt;$Y$4-1,V590&lt;$Y$5),Q590,IF(V590=$Y$5,Q590,0))</f>
        <v>0</v>
      </c>
      <c r="Z590" s="13">
        <f t="shared" ref="Z590:Z596" si="227">IF(AND(V590&gt;$Z$4-1,V590&lt;$Z$5),Q590,IF(V590=$Z$5,Q590,0))</f>
        <v>0</v>
      </c>
      <c r="AA590" s="13">
        <f t="shared" ref="AA590:AA596" si="228">IF(AND(V590&gt;$AA$4-1,V590&lt;$AA$5),Q590,IF(V590=$AA$5,Q590,0))</f>
        <v>0</v>
      </c>
      <c r="AB590" s="13">
        <f t="shared" ref="AB590:AB596" si="229">IF(AND(V590&gt;$AB$4-1,V590&lt;$AB$5),Q590,IF(V590=$AB$5,Q590,0))</f>
        <v>0</v>
      </c>
      <c r="AC590" s="13">
        <f t="shared" ref="AC590:AC596" si="230">IF(AND(V590&gt;$AC$4-1,V590&lt;$AC$5),Q590,IF(V590=$AC$5,Q590,0))</f>
        <v>0</v>
      </c>
      <c r="AD590" s="13">
        <f t="shared" ref="AD590:AD596" si="231">IF(AND(V590&gt;$AD$4-1,V590&lt;$AD$5),Q590,IF(V590=$AD$5,Q590,0))</f>
        <v>0</v>
      </c>
      <c r="AE590" s="13">
        <f t="shared" ref="AE590:AE596" si="232">IF(AND(V590&gt;$AE$4-1,V590&lt;$AE$5),Q590,IF(V590=$AE$5,Q590,0))</f>
        <v>0</v>
      </c>
      <c r="AF590" s="13">
        <f t="shared" ref="AF590:AF596" si="233">IF(AND(V590&gt;$AF$4-1,V590&lt;$AF$5),Q590,IF(V590=$AF$5,Q590,0))</f>
        <v>0</v>
      </c>
      <c r="AG590" s="685">
        <f t="shared" ref="AG590:AG596" si="234">IF(AND(V590&gt;$AG$4-1,V590&lt;$AG$5),Q590,IF(V590=$AG$5,Q590,0))</f>
        <v>0</v>
      </c>
      <c r="AH590" s="688" t="b">
        <f t="shared" ref="AH590:AH596" si="235">Q590=SUM(X590:AG590)</f>
        <v>1</v>
      </c>
    </row>
    <row r="591" spans="1:34" s="1" customFormat="1" ht="15" customHeight="1">
      <c r="A591" s="946">
        <v>28810002</v>
      </c>
      <c r="B591" s="946" t="s">
        <v>1381</v>
      </c>
      <c r="C591" s="946" t="s">
        <v>1383</v>
      </c>
      <c r="D591" s="946">
        <v>100000001</v>
      </c>
      <c r="E591" s="946" t="s">
        <v>33</v>
      </c>
      <c r="F591" s="946" t="s">
        <v>26</v>
      </c>
      <c r="G591" s="947">
        <v>3808572.39</v>
      </c>
      <c r="H591" s="947">
        <v>5422227.21</v>
      </c>
      <c r="I591" s="949"/>
      <c r="J591" s="949"/>
      <c r="K591" s="949"/>
      <c r="L591" s="29" t="e">
        <f>VLOOKUP(A591,'Account Mapping'!$A$2:$E$216,3,0)</f>
        <v>#N/A</v>
      </c>
      <c r="M591" s="25" t="e">
        <f>VLOOKUP(A591,'Account Mapping'!$A$2:$E$216,4,0)</f>
        <v>#N/A</v>
      </c>
      <c r="N591" s="26" t="e">
        <f>IF(OR(C591='Account Mapping'!$H$4,C591='Account Mapping'!$H$5,C591='Account Mapping'!$H$6),'Account Mapping'!$I$4,VLOOKUP(A591,'Account Mapping'!$A$2:$E$216,5,0))</f>
        <v>#N/A</v>
      </c>
      <c r="O591" s="27" t="e">
        <f>IF(OR(L591="Loan",L591="Deposit_Liability",L591="OFF_Unused Loan Commitment",L591="HQLA"),VLOOKUP(D591,'Customer Type'!$A$3:$C$38,3,0),"")</f>
        <v>#N/A</v>
      </c>
      <c r="P591" s="656" t="e">
        <f t="shared" si="222"/>
        <v>#N/A</v>
      </c>
      <c r="Q591" s="658">
        <f>IF(COUNTIF('Account Mapping'!$H$12:$H$45,A591)&gt;0,-H591,H591)</f>
        <v>5422227.21</v>
      </c>
      <c r="R591" s="249" t="e">
        <f>VLOOKUP(P591,Assumptions!$C$2:$D$64,2,0)</f>
        <v>#N/A</v>
      </c>
      <c r="S591" s="692" t="str">
        <f>IFERROR(VLOOKUP(A591,'Maturity Adjustment'!$A$3:$C$81,3,0),(IF(J591&lt;$N$4,"Tomorrow",J591)))</f>
        <v>Tomorrow</v>
      </c>
      <c r="T591" s="190">
        <f t="shared" si="223"/>
        <v>1</v>
      </c>
      <c r="U591" s="196" t="e">
        <f t="shared" si="224"/>
        <v>#N/A</v>
      </c>
      <c r="V591" s="11" t="str">
        <f>IFERROR(VLOOKUP(A591,'Maturity Adjustment'!$A$86:$C$91,3,0),S591)</f>
        <v>Tomorrow</v>
      </c>
      <c r="W591" s="12" t="e">
        <f>VLOOKUP(A591,'Account Mapping'!$A$2:$F$216,6,0)</f>
        <v>#N/A</v>
      </c>
      <c r="X591" s="194">
        <f t="shared" si="225"/>
        <v>5422227.21</v>
      </c>
      <c r="Y591" s="194">
        <f t="shared" si="226"/>
        <v>0</v>
      </c>
      <c r="Z591" s="13">
        <f t="shared" si="227"/>
        <v>0</v>
      </c>
      <c r="AA591" s="13">
        <f t="shared" si="228"/>
        <v>0</v>
      </c>
      <c r="AB591" s="13">
        <f t="shared" si="229"/>
        <v>0</v>
      </c>
      <c r="AC591" s="13">
        <f t="shared" si="230"/>
        <v>0</v>
      </c>
      <c r="AD591" s="13">
        <f t="shared" si="231"/>
        <v>0</v>
      </c>
      <c r="AE591" s="13">
        <f t="shared" si="232"/>
        <v>0</v>
      </c>
      <c r="AF591" s="13">
        <f t="shared" si="233"/>
        <v>0</v>
      </c>
      <c r="AG591" s="685">
        <f t="shared" si="234"/>
        <v>0</v>
      </c>
      <c r="AH591" s="688" t="b">
        <f t="shared" si="235"/>
        <v>1</v>
      </c>
    </row>
    <row r="592" spans="1:34" s="1" customFormat="1" ht="15" customHeight="1">
      <c r="A592" s="946">
        <v>28810002</v>
      </c>
      <c r="B592" s="946" t="s">
        <v>1381</v>
      </c>
      <c r="C592" s="946" t="s">
        <v>1384</v>
      </c>
      <c r="D592" s="946">
        <v>100000001</v>
      </c>
      <c r="E592" s="946" t="s">
        <v>33</v>
      </c>
      <c r="F592" s="946" t="s">
        <v>11</v>
      </c>
      <c r="G592" s="947">
        <v>215804.71</v>
      </c>
      <c r="H592" s="947">
        <v>215804.71</v>
      </c>
      <c r="I592" s="948"/>
      <c r="J592" s="948"/>
      <c r="K592" s="948"/>
      <c r="L592" s="29" t="e">
        <f>VLOOKUP(A592,'Account Mapping'!$A$2:$E$216,3,0)</f>
        <v>#N/A</v>
      </c>
      <c r="M592" s="25" t="e">
        <f>VLOOKUP(A592,'Account Mapping'!$A$2:$E$216,4,0)</f>
        <v>#N/A</v>
      </c>
      <c r="N592" s="26" t="e">
        <f>IF(OR(C592='Account Mapping'!$H$4,C592='Account Mapping'!$H$5,C592='Account Mapping'!$H$6),'Account Mapping'!$I$4,VLOOKUP(A592,'Account Mapping'!$A$2:$E$216,5,0))</f>
        <v>#N/A</v>
      </c>
      <c r="O592" s="27" t="e">
        <f>IF(OR(L592="Loan",L592="Deposit_Liability",L592="OFF_Unused Loan Commitment",L592="HQLA"),VLOOKUP(D592,'Customer Type'!$A$3:$C$38,3,0),"")</f>
        <v>#N/A</v>
      </c>
      <c r="P592" s="656" t="e">
        <f t="shared" si="222"/>
        <v>#N/A</v>
      </c>
      <c r="Q592" s="658">
        <f>IF(COUNTIF('Account Mapping'!$H$12:$H$45,A592)&gt;0,-H592,H592)</f>
        <v>215804.71</v>
      </c>
      <c r="R592" s="249" t="e">
        <f>VLOOKUP(P592,Assumptions!$C$2:$D$64,2,0)</f>
        <v>#N/A</v>
      </c>
      <c r="S592" s="692" t="str">
        <f>IFERROR(VLOOKUP(A592,'Maturity Adjustment'!$A$3:$C$81,3,0),(IF(J592&lt;$N$4,"Tomorrow",J592)))</f>
        <v>Tomorrow</v>
      </c>
      <c r="T592" s="190">
        <f t="shared" si="223"/>
        <v>1</v>
      </c>
      <c r="U592" s="196" t="e">
        <f t="shared" si="224"/>
        <v>#N/A</v>
      </c>
      <c r="V592" s="11" t="str">
        <f>IFERROR(VLOOKUP(A592,'Maturity Adjustment'!$A$86:$C$91,3,0),S592)</f>
        <v>Tomorrow</v>
      </c>
      <c r="W592" s="12" t="e">
        <f>VLOOKUP(A592,'Account Mapping'!$A$2:$F$216,6,0)</f>
        <v>#N/A</v>
      </c>
      <c r="X592" s="194">
        <f t="shared" si="225"/>
        <v>215804.71</v>
      </c>
      <c r="Y592" s="194">
        <f t="shared" si="226"/>
        <v>0</v>
      </c>
      <c r="Z592" s="13">
        <f t="shared" si="227"/>
        <v>0</v>
      </c>
      <c r="AA592" s="13">
        <f t="shared" si="228"/>
        <v>0</v>
      </c>
      <c r="AB592" s="13">
        <f t="shared" si="229"/>
        <v>0</v>
      </c>
      <c r="AC592" s="13">
        <f t="shared" si="230"/>
        <v>0</v>
      </c>
      <c r="AD592" s="13">
        <f t="shared" si="231"/>
        <v>0</v>
      </c>
      <c r="AE592" s="13">
        <f t="shared" si="232"/>
        <v>0</v>
      </c>
      <c r="AF592" s="13">
        <f t="shared" si="233"/>
        <v>0</v>
      </c>
      <c r="AG592" s="685">
        <f t="shared" si="234"/>
        <v>0</v>
      </c>
      <c r="AH592" s="688" t="b">
        <f t="shared" si="235"/>
        <v>1</v>
      </c>
    </row>
    <row r="593" spans="1:34" s="1" customFormat="1" ht="15" customHeight="1">
      <c r="A593" s="946">
        <v>28810002</v>
      </c>
      <c r="B593" s="946" t="s">
        <v>1381</v>
      </c>
      <c r="C593" s="946" t="s">
        <v>1543</v>
      </c>
      <c r="D593" s="946">
        <v>100000001</v>
      </c>
      <c r="E593" s="946" t="s">
        <v>33</v>
      </c>
      <c r="F593" s="946" t="s">
        <v>26</v>
      </c>
      <c r="G593" s="947">
        <v>6423443.9500000002</v>
      </c>
      <c r="H593" s="947">
        <v>9144994.2300000004</v>
      </c>
      <c r="I593" s="948"/>
      <c r="J593" s="948"/>
      <c r="K593" s="948"/>
      <c r="L593" s="29" t="e">
        <f>VLOOKUP(A593,'Account Mapping'!$A$2:$E$216,3,0)</f>
        <v>#N/A</v>
      </c>
      <c r="M593" s="25" t="e">
        <f>VLOOKUP(A593,'Account Mapping'!$A$2:$E$216,4,0)</f>
        <v>#N/A</v>
      </c>
      <c r="N593" s="26" t="e">
        <f>IF(OR(C593='Account Mapping'!$H$4,C593='Account Mapping'!$H$5,C593='Account Mapping'!$H$6),'Account Mapping'!$I$4,VLOOKUP(A593,'Account Mapping'!$A$2:$E$216,5,0))</f>
        <v>#N/A</v>
      </c>
      <c r="O593" s="27" t="e">
        <f>IF(OR(L593="Loan",L593="Deposit_Liability",L593="OFF_Unused Loan Commitment",L593="HQLA"),VLOOKUP(D593,'Customer Type'!$A$3:$C$38,3,0),"")</f>
        <v>#N/A</v>
      </c>
      <c r="P593" s="656" t="e">
        <f t="shared" si="222"/>
        <v>#N/A</v>
      </c>
      <c r="Q593" s="658">
        <f>IF(COUNTIF('Account Mapping'!$H$12:$H$45,A593)&gt;0,-H593,H593)</f>
        <v>9144994.2300000004</v>
      </c>
      <c r="R593" s="249" t="e">
        <f>VLOOKUP(P593,Assumptions!$C$2:$D$64,2,0)</f>
        <v>#N/A</v>
      </c>
      <c r="S593" s="692" t="str">
        <f>IFERROR(VLOOKUP(A593,'Maturity Adjustment'!$A$3:$C$81,3,0),(IF(J593&lt;$N$4,"Tomorrow",J593)))</f>
        <v>Tomorrow</v>
      </c>
      <c r="T593" s="190">
        <f t="shared" si="223"/>
        <v>1</v>
      </c>
      <c r="U593" s="196" t="e">
        <f t="shared" si="224"/>
        <v>#N/A</v>
      </c>
      <c r="V593" s="11" t="str">
        <f>IFERROR(VLOOKUP(A593,'Maturity Adjustment'!$A$86:$C$91,3,0),S593)</f>
        <v>Tomorrow</v>
      </c>
      <c r="W593" s="12" t="e">
        <f>VLOOKUP(A593,'Account Mapping'!$A$2:$F$216,6,0)</f>
        <v>#N/A</v>
      </c>
      <c r="X593" s="194">
        <f t="shared" si="225"/>
        <v>9144994.2300000004</v>
      </c>
      <c r="Y593" s="194">
        <f t="shared" si="226"/>
        <v>0</v>
      </c>
      <c r="Z593" s="13">
        <f t="shared" si="227"/>
        <v>0</v>
      </c>
      <c r="AA593" s="13">
        <f t="shared" si="228"/>
        <v>0</v>
      </c>
      <c r="AB593" s="13">
        <f t="shared" si="229"/>
        <v>0</v>
      </c>
      <c r="AC593" s="13">
        <f t="shared" si="230"/>
        <v>0</v>
      </c>
      <c r="AD593" s="13">
        <f t="shared" si="231"/>
        <v>0</v>
      </c>
      <c r="AE593" s="13">
        <f t="shared" si="232"/>
        <v>0</v>
      </c>
      <c r="AF593" s="13">
        <f t="shared" si="233"/>
        <v>0</v>
      </c>
      <c r="AG593" s="685">
        <f t="shared" si="234"/>
        <v>0</v>
      </c>
      <c r="AH593" s="688" t="b">
        <f t="shared" si="235"/>
        <v>1</v>
      </c>
    </row>
    <row r="594" spans="1:34" s="1" customFormat="1" ht="15" customHeight="1">
      <c r="A594" s="946">
        <v>28810002</v>
      </c>
      <c r="B594" s="946" t="s">
        <v>1381</v>
      </c>
      <c r="C594" s="946" t="s">
        <v>1544</v>
      </c>
      <c r="D594" s="946">
        <v>100000001</v>
      </c>
      <c r="E594" s="946" t="s">
        <v>33</v>
      </c>
      <c r="F594" s="946" t="s">
        <v>11</v>
      </c>
      <c r="G594" s="947">
        <v>178.33</v>
      </c>
      <c r="H594" s="947">
        <v>178.33</v>
      </c>
      <c r="I594" s="948"/>
      <c r="J594" s="948"/>
      <c r="K594" s="948"/>
      <c r="L594" s="29" t="e">
        <f>VLOOKUP(A594,'Account Mapping'!$A$2:$E$216,3,0)</f>
        <v>#N/A</v>
      </c>
      <c r="M594" s="25" t="e">
        <f>VLOOKUP(A594,'Account Mapping'!$A$2:$E$216,4,0)</f>
        <v>#N/A</v>
      </c>
      <c r="N594" s="26" t="e">
        <f>IF(OR(C594='Account Mapping'!$H$4,C594='Account Mapping'!$H$5,C594='Account Mapping'!$H$6),'Account Mapping'!$I$4,VLOOKUP(A594,'Account Mapping'!$A$2:$E$216,5,0))</f>
        <v>#N/A</v>
      </c>
      <c r="O594" s="27" t="e">
        <f>IF(OR(L594="Loan",L594="Deposit_Liability",L594="OFF_Unused Loan Commitment",L594="HQLA"),VLOOKUP(D594,'Customer Type'!$A$3:$C$38,3,0),"")</f>
        <v>#N/A</v>
      </c>
      <c r="P594" s="656" t="e">
        <f t="shared" si="222"/>
        <v>#N/A</v>
      </c>
      <c r="Q594" s="658">
        <f>IF(COUNTIF('Account Mapping'!$H$12:$H$45,A594)&gt;0,-H594,H594)</f>
        <v>178.33</v>
      </c>
      <c r="R594" s="249" t="e">
        <f>VLOOKUP(P594,Assumptions!$C$2:$D$64,2,0)</f>
        <v>#N/A</v>
      </c>
      <c r="S594" s="692" t="str">
        <f>IFERROR(VLOOKUP(A594,'Maturity Adjustment'!$A$3:$C$81,3,0),(IF(J594&lt;$N$4,"Tomorrow",J594)))</f>
        <v>Tomorrow</v>
      </c>
      <c r="T594" s="190">
        <f t="shared" si="223"/>
        <v>1</v>
      </c>
      <c r="U594" s="196" t="e">
        <f t="shared" si="224"/>
        <v>#N/A</v>
      </c>
      <c r="V594" s="11" t="str">
        <f>IFERROR(VLOOKUP(A594,'Maturity Adjustment'!$A$86:$C$91,3,0),S594)</f>
        <v>Tomorrow</v>
      </c>
      <c r="W594" s="12" t="e">
        <f>VLOOKUP(A594,'Account Mapping'!$A$2:$F$216,6,0)</f>
        <v>#N/A</v>
      </c>
      <c r="X594" s="194">
        <f t="shared" si="225"/>
        <v>178.33</v>
      </c>
      <c r="Y594" s="194">
        <f t="shared" si="226"/>
        <v>0</v>
      </c>
      <c r="Z594" s="13">
        <f t="shared" si="227"/>
        <v>0</v>
      </c>
      <c r="AA594" s="13">
        <f t="shared" si="228"/>
        <v>0</v>
      </c>
      <c r="AB594" s="13">
        <f t="shared" si="229"/>
        <v>0</v>
      </c>
      <c r="AC594" s="13">
        <f t="shared" si="230"/>
        <v>0</v>
      </c>
      <c r="AD594" s="13">
        <f t="shared" si="231"/>
        <v>0</v>
      </c>
      <c r="AE594" s="13">
        <f t="shared" si="232"/>
        <v>0</v>
      </c>
      <c r="AF594" s="13">
        <f t="shared" si="233"/>
        <v>0</v>
      </c>
      <c r="AG594" s="685">
        <f t="shared" si="234"/>
        <v>0</v>
      </c>
      <c r="AH594" s="688" t="b">
        <f t="shared" si="235"/>
        <v>1</v>
      </c>
    </row>
    <row r="595" spans="1:34" s="1" customFormat="1" ht="15" customHeight="1">
      <c r="A595" s="946">
        <v>28810002</v>
      </c>
      <c r="B595" s="946" t="s">
        <v>1381</v>
      </c>
      <c r="C595" s="946" t="s">
        <v>1385</v>
      </c>
      <c r="D595" s="946">
        <v>100000001</v>
      </c>
      <c r="E595" s="946" t="s">
        <v>33</v>
      </c>
      <c r="F595" s="946" t="s">
        <v>26</v>
      </c>
      <c r="G595" s="947">
        <v>-312515.98</v>
      </c>
      <c r="H595" s="947">
        <v>-444925.94</v>
      </c>
      <c r="I595" s="948"/>
      <c r="J595" s="948"/>
      <c r="K595" s="948"/>
      <c r="L595" s="29" t="e">
        <f>VLOOKUP(A595,'Account Mapping'!$A$2:$E$216,3,0)</f>
        <v>#N/A</v>
      </c>
      <c r="M595" s="25" t="e">
        <f>VLOOKUP(A595,'Account Mapping'!$A$2:$E$216,4,0)</f>
        <v>#N/A</v>
      </c>
      <c r="N595" s="26" t="e">
        <f>IF(OR(C595='Account Mapping'!$H$4,C595='Account Mapping'!$H$5,C595='Account Mapping'!$H$6),'Account Mapping'!$I$4,VLOOKUP(A595,'Account Mapping'!$A$2:$E$216,5,0))</f>
        <v>#N/A</v>
      </c>
      <c r="O595" s="27" t="e">
        <f>IF(OR(L595="Loan",L595="Deposit_Liability",L595="OFF_Unused Loan Commitment",L595="HQLA"),VLOOKUP(D595,'Customer Type'!$A$3:$C$38,3,0),"")</f>
        <v>#N/A</v>
      </c>
      <c r="P595" s="656" t="e">
        <f t="shared" si="222"/>
        <v>#N/A</v>
      </c>
      <c r="Q595" s="658">
        <f>IF(COUNTIF('Account Mapping'!$H$12:$H$45,A595)&gt;0,-H595,H595)</f>
        <v>-444925.94</v>
      </c>
      <c r="R595" s="249" t="e">
        <f>VLOOKUP(P595,Assumptions!$C$2:$D$64,2,0)</f>
        <v>#N/A</v>
      </c>
      <c r="S595" s="692" t="str">
        <f>IFERROR(VLOOKUP(A595,'Maturity Adjustment'!$A$3:$C$81,3,0),(IF(J595&lt;$N$4,"Tomorrow",J595)))</f>
        <v>Tomorrow</v>
      </c>
      <c r="T595" s="190">
        <f t="shared" si="223"/>
        <v>1</v>
      </c>
      <c r="U595" s="196" t="e">
        <f t="shared" si="224"/>
        <v>#N/A</v>
      </c>
      <c r="V595" s="11" t="str">
        <f>IFERROR(VLOOKUP(A595,'Maturity Adjustment'!$A$86:$C$91,3,0),S595)</f>
        <v>Tomorrow</v>
      </c>
      <c r="W595" s="12" t="e">
        <f>VLOOKUP(A595,'Account Mapping'!$A$2:$F$216,6,0)</f>
        <v>#N/A</v>
      </c>
      <c r="X595" s="194">
        <f t="shared" si="225"/>
        <v>-444925.94</v>
      </c>
      <c r="Y595" s="194">
        <f t="shared" si="226"/>
        <v>0</v>
      </c>
      <c r="Z595" s="13">
        <f t="shared" si="227"/>
        <v>0</v>
      </c>
      <c r="AA595" s="13">
        <f t="shared" si="228"/>
        <v>0</v>
      </c>
      <c r="AB595" s="13">
        <f t="shared" si="229"/>
        <v>0</v>
      </c>
      <c r="AC595" s="13">
        <f t="shared" si="230"/>
        <v>0</v>
      </c>
      <c r="AD595" s="13">
        <f t="shared" si="231"/>
        <v>0</v>
      </c>
      <c r="AE595" s="13">
        <f t="shared" si="232"/>
        <v>0</v>
      </c>
      <c r="AF595" s="13">
        <f t="shared" si="233"/>
        <v>0</v>
      </c>
      <c r="AG595" s="685">
        <f t="shared" si="234"/>
        <v>0</v>
      </c>
      <c r="AH595" s="688" t="b">
        <f t="shared" si="235"/>
        <v>1</v>
      </c>
    </row>
    <row r="596" spans="1:34" s="1" customFormat="1" ht="15" customHeight="1">
      <c r="A596" s="946">
        <v>28810002</v>
      </c>
      <c r="B596" s="946" t="s">
        <v>1381</v>
      </c>
      <c r="C596" s="946" t="s">
        <v>1386</v>
      </c>
      <c r="D596" s="946">
        <v>100000001</v>
      </c>
      <c r="E596" s="946" t="s">
        <v>33</v>
      </c>
      <c r="F596" s="946" t="s">
        <v>26</v>
      </c>
      <c r="G596" s="947">
        <v>3808572.39</v>
      </c>
      <c r="H596" s="947">
        <v>5422227.21</v>
      </c>
      <c r="I596" s="948"/>
      <c r="J596" s="948"/>
      <c r="K596" s="948"/>
      <c r="L596" s="29" t="e">
        <f>VLOOKUP(A596,'Account Mapping'!$A$2:$E$216,3,0)</f>
        <v>#N/A</v>
      </c>
      <c r="M596" s="25" t="e">
        <f>VLOOKUP(A596,'Account Mapping'!$A$2:$E$216,4,0)</f>
        <v>#N/A</v>
      </c>
      <c r="N596" s="26" t="e">
        <f>IF(OR(C596='Account Mapping'!$H$4,C596='Account Mapping'!$H$5,C596='Account Mapping'!$H$6),'Account Mapping'!$I$4,VLOOKUP(A596,'Account Mapping'!$A$2:$E$216,5,0))</f>
        <v>#N/A</v>
      </c>
      <c r="O596" s="27" t="e">
        <f>IF(OR(L596="Loan",L596="Deposit_Liability",L596="OFF_Unused Loan Commitment",L596="HQLA"),VLOOKUP(D596,'Customer Type'!$A$3:$C$38,3,0),"")</f>
        <v>#N/A</v>
      </c>
      <c r="P596" s="656" t="e">
        <f t="shared" si="222"/>
        <v>#N/A</v>
      </c>
      <c r="Q596" s="658">
        <f>IF(COUNTIF('Account Mapping'!$H$12:$H$45,A596)&gt;0,-H596,H596)</f>
        <v>5422227.21</v>
      </c>
      <c r="R596" s="249" t="e">
        <f>VLOOKUP(P596,Assumptions!$C$2:$D$64,2,0)</f>
        <v>#N/A</v>
      </c>
      <c r="S596" s="692" t="str">
        <f>IFERROR(VLOOKUP(A596,'Maturity Adjustment'!$A$3:$C$81,3,0),(IF(J596&lt;$N$4,"Tomorrow",J596)))</f>
        <v>Tomorrow</v>
      </c>
      <c r="T596" s="190">
        <f t="shared" si="223"/>
        <v>1</v>
      </c>
      <c r="U596" s="196" t="e">
        <f t="shared" si="224"/>
        <v>#N/A</v>
      </c>
      <c r="V596" s="11" t="str">
        <f>IFERROR(VLOOKUP(A596,'Maturity Adjustment'!$A$86:$C$91,3,0),S596)</f>
        <v>Tomorrow</v>
      </c>
      <c r="W596" s="12" t="e">
        <f>VLOOKUP(A596,'Account Mapping'!$A$2:$F$216,6,0)</f>
        <v>#N/A</v>
      </c>
      <c r="X596" s="194">
        <f t="shared" si="225"/>
        <v>5422227.21</v>
      </c>
      <c r="Y596" s="194">
        <f t="shared" si="226"/>
        <v>0</v>
      </c>
      <c r="Z596" s="13">
        <f t="shared" si="227"/>
        <v>0</v>
      </c>
      <c r="AA596" s="13">
        <f t="shared" si="228"/>
        <v>0</v>
      </c>
      <c r="AB596" s="13">
        <f t="shared" si="229"/>
        <v>0</v>
      </c>
      <c r="AC596" s="13">
        <f t="shared" si="230"/>
        <v>0</v>
      </c>
      <c r="AD596" s="13">
        <f t="shared" si="231"/>
        <v>0</v>
      </c>
      <c r="AE596" s="13">
        <f t="shared" si="232"/>
        <v>0</v>
      </c>
      <c r="AF596" s="13">
        <f t="shared" si="233"/>
        <v>0</v>
      </c>
      <c r="AG596" s="685">
        <f t="shared" si="234"/>
        <v>0</v>
      </c>
      <c r="AH596" s="688" t="b">
        <f t="shared" si="235"/>
        <v>1</v>
      </c>
    </row>
    <row r="597" spans="1:34" s="1" customFormat="1" ht="15" customHeight="1">
      <c r="A597" s="946">
        <v>28810002</v>
      </c>
      <c r="B597" s="946" t="s">
        <v>1381</v>
      </c>
      <c r="C597" s="946" t="s">
        <v>1387</v>
      </c>
      <c r="D597" s="946">
        <v>100000001</v>
      </c>
      <c r="E597" s="946" t="s">
        <v>33</v>
      </c>
      <c r="F597" s="946" t="s">
        <v>26</v>
      </c>
      <c r="G597" s="947">
        <v>-7617144.7800000003</v>
      </c>
      <c r="H597" s="947">
        <v>-10844454.41</v>
      </c>
      <c r="I597" s="948"/>
      <c r="J597" s="948"/>
      <c r="K597" s="948"/>
      <c r="L597" s="29" t="e">
        <f>VLOOKUP(A597,'Account Mapping'!$A$2:$E$216,3,0)</f>
        <v>#N/A</v>
      </c>
      <c r="M597" s="25" t="e">
        <f>VLOOKUP(A597,'Account Mapping'!$A$2:$E$216,4,0)</f>
        <v>#N/A</v>
      </c>
      <c r="N597" s="26" t="e">
        <f>IF(OR(C597='Account Mapping'!$H$4,C597='Account Mapping'!$H$5,C597='Account Mapping'!$H$6),'Account Mapping'!$I$4,VLOOKUP(A597,'Account Mapping'!$A$2:$E$216,5,0))</f>
        <v>#N/A</v>
      </c>
      <c r="O597" s="27" t="e">
        <f>IF(OR(L597="Loan",L597="Deposit_Liability",L597="OFF_Unused Loan Commitment",L597="HQLA"),VLOOKUP(D597,'Customer Type'!$A$3:$C$38,3,0),"")</f>
        <v>#N/A</v>
      </c>
      <c r="P597" s="656" t="e">
        <f t="shared" ref="P597:P620" si="236">M597&amp;"_"&amp;O597</f>
        <v>#N/A</v>
      </c>
      <c r="Q597" s="658">
        <f>IF(COUNTIF('Account Mapping'!$H$12:$H$45,A597)&gt;0,-H597,H597)</f>
        <v>-10844454.41</v>
      </c>
      <c r="R597" s="249" t="e">
        <f>VLOOKUP(P597,Assumptions!$C$2:$D$64,2,0)</f>
        <v>#N/A</v>
      </c>
      <c r="S597" s="692" t="str">
        <f>IFERROR(VLOOKUP(A597,'Maturity Adjustment'!$A$3:$C$81,3,0),(IF(J597&lt;$N$4,"Tomorrow",J597)))</f>
        <v>Tomorrow</v>
      </c>
      <c r="T597" s="190">
        <f t="shared" ref="T597:T620" si="237">IF(S597="Tomorrow",1,(S597-$N$4))</f>
        <v>1</v>
      </c>
      <c r="U597" s="196" t="e">
        <f t="shared" ref="U597:U620" si="238">Q597*R597</f>
        <v>#N/A</v>
      </c>
      <c r="V597" s="11" t="str">
        <f>IFERROR(VLOOKUP(A597,'Maturity Adjustment'!$A$86:$C$91,3,0),S597)</f>
        <v>Tomorrow</v>
      </c>
      <c r="W597" s="12" t="e">
        <f>VLOOKUP(A597,'Account Mapping'!$A$2:$F$216,6,0)</f>
        <v>#N/A</v>
      </c>
      <c r="X597" s="194">
        <f t="shared" ref="X597:X620" si="239">IF(V597="Tomorrow",Q597,IF(AND(V597&gt;$X$4-1,V597&lt;$X$5),Q597,IF(V597=$X$5,Q597,0)))</f>
        <v>-10844454.41</v>
      </c>
      <c r="Y597" s="194">
        <f t="shared" ref="Y597:Y620" si="240">IF(AND(V597&gt;$Y$4-1,V597&lt;$Y$5),Q597,IF(V597=$Y$5,Q597,0))</f>
        <v>0</v>
      </c>
      <c r="Z597" s="13">
        <f t="shared" ref="Z597:Z620" si="241">IF(AND(V597&gt;$Z$4-1,V597&lt;$Z$5),Q597,IF(V597=$Z$5,Q597,0))</f>
        <v>0</v>
      </c>
      <c r="AA597" s="13">
        <f t="shared" ref="AA597:AA620" si="242">IF(AND(V597&gt;$AA$4-1,V597&lt;$AA$5),Q597,IF(V597=$AA$5,Q597,0))</f>
        <v>0</v>
      </c>
      <c r="AB597" s="13">
        <f t="shared" ref="AB597:AB620" si="243">IF(AND(V597&gt;$AB$4-1,V597&lt;$AB$5),Q597,IF(V597=$AB$5,Q597,0))</f>
        <v>0</v>
      </c>
      <c r="AC597" s="13">
        <f t="shared" ref="AC597:AC620" si="244">IF(AND(V597&gt;$AC$4-1,V597&lt;$AC$5),Q597,IF(V597=$AC$5,Q597,0))</f>
        <v>0</v>
      </c>
      <c r="AD597" s="13">
        <f t="shared" ref="AD597:AD620" si="245">IF(AND(V597&gt;$AD$4-1,V597&lt;$AD$5),Q597,IF(V597=$AD$5,Q597,0))</f>
        <v>0</v>
      </c>
      <c r="AE597" s="13">
        <f t="shared" ref="AE597:AE620" si="246">IF(AND(V597&gt;$AE$4-1,V597&lt;$AE$5),Q597,IF(V597=$AE$5,Q597,0))</f>
        <v>0</v>
      </c>
      <c r="AF597" s="13">
        <f t="shared" ref="AF597:AF620" si="247">IF(AND(V597&gt;$AF$4-1,V597&lt;$AF$5),Q597,IF(V597=$AF$5,Q597,0))</f>
        <v>0</v>
      </c>
      <c r="AG597" s="685">
        <f t="shared" ref="AG597:AG620" si="248">IF(AND(V597&gt;$AG$4-1,V597&lt;$AG$5),Q597,IF(V597=$AG$5,Q597,0))</f>
        <v>0</v>
      </c>
      <c r="AH597" s="688" t="b">
        <f t="shared" ref="AH597:AH620" si="249">Q597=SUM(X597:AG597)</f>
        <v>1</v>
      </c>
    </row>
    <row r="598" spans="1:34" s="1" customFormat="1" ht="15" customHeight="1">
      <c r="A598" s="946">
        <v>28810002</v>
      </c>
      <c r="B598" s="946" t="s">
        <v>1381</v>
      </c>
      <c r="C598" s="946" t="s">
        <v>1388</v>
      </c>
      <c r="D598" s="946">
        <v>100000001</v>
      </c>
      <c r="E598" s="946" t="s">
        <v>33</v>
      </c>
      <c r="F598" s="946" t="s">
        <v>11</v>
      </c>
      <c r="G598" s="947">
        <v>-215804.71</v>
      </c>
      <c r="H598" s="947">
        <v>-215804.71</v>
      </c>
      <c r="I598" s="948"/>
      <c r="J598" s="948"/>
      <c r="K598" s="948"/>
      <c r="L598" s="29" t="e">
        <f>VLOOKUP(A598,'Account Mapping'!$A$2:$E$216,3,0)</f>
        <v>#N/A</v>
      </c>
      <c r="M598" s="25" t="e">
        <f>VLOOKUP(A598,'Account Mapping'!$A$2:$E$216,4,0)</f>
        <v>#N/A</v>
      </c>
      <c r="N598" s="26" t="e">
        <f>IF(OR(C598='Account Mapping'!$H$4,C598='Account Mapping'!$H$5,C598='Account Mapping'!$H$6),'Account Mapping'!$I$4,VLOOKUP(A598,'Account Mapping'!$A$2:$E$216,5,0))</f>
        <v>#N/A</v>
      </c>
      <c r="O598" s="27" t="e">
        <f>IF(OR(L598="Loan",L598="Deposit_Liability",L598="OFF_Unused Loan Commitment",L598="HQLA"),VLOOKUP(D598,'Customer Type'!$A$3:$C$38,3,0),"")</f>
        <v>#N/A</v>
      </c>
      <c r="P598" s="656" t="e">
        <f t="shared" si="236"/>
        <v>#N/A</v>
      </c>
      <c r="Q598" s="658">
        <f>IF(COUNTIF('Account Mapping'!$H$12:$H$45,A598)&gt;0,-H598,H598)</f>
        <v>-215804.71</v>
      </c>
      <c r="R598" s="249" t="e">
        <f>VLOOKUP(P598,Assumptions!$C$2:$D$64,2,0)</f>
        <v>#N/A</v>
      </c>
      <c r="S598" s="692" t="str">
        <f>IFERROR(VLOOKUP(A598,'Maturity Adjustment'!$A$3:$C$81,3,0),(IF(J598&lt;$N$4,"Tomorrow",J598)))</f>
        <v>Tomorrow</v>
      </c>
      <c r="T598" s="190">
        <f t="shared" si="237"/>
        <v>1</v>
      </c>
      <c r="U598" s="196" t="e">
        <f t="shared" si="238"/>
        <v>#N/A</v>
      </c>
      <c r="V598" s="11" t="str">
        <f>IFERROR(VLOOKUP(A598,'Maturity Adjustment'!$A$86:$C$91,3,0),S598)</f>
        <v>Tomorrow</v>
      </c>
      <c r="W598" s="12" t="e">
        <f>VLOOKUP(A598,'Account Mapping'!$A$2:$F$216,6,0)</f>
        <v>#N/A</v>
      </c>
      <c r="X598" s="194">
        <f t="shared" si="239"/>
        <v>-215804.71</v>
      </c>
      <c r="Y598" s="194">
        <f t="shared" si="240"/>
        <v>0</v>
      </c>
      <c r="Z598" s="13">
        <f t="shared" si="241"/>
        <v>0</v>
      </c>
      <c r="AA598" s="13">
        <f t="shared" si="242"/>
        <v>0</v>
      </c>
      <c r="AB598" s="13">
        <f t="shared" si="243"/>
        <v>0</v>
      </c>
      <c r="AC598" s="13">
        <f t="shared" si="244"/>
        <v>0</v>
      </c>
      <c r="AD598" s="13">
        <f t="shared" si="245"/>
        <v>0</v>
      </c>
      <c r="AE598" s="13">
        <f t="shared" si="246"/>
        <v>0</v>
      </c>
      <c r="AF598" s="13">
        <f t="shared" si="247"/>
        <v>0</v>
      </c>
      <c r="AG598" s="685">
        <f t="shared" si="248"/>
        <v>0</v>
      </c>
      <c r="AH598" s="688" t="b">
        <f t="shared" si="249"/>
        <v>1</v>
      </c>
    </row>
    <row r="599" spans="1:34" s="1" customFormat="1" ht="15" customHeight="1">
      <c r="A599" s="946">
        <v>28810002</v>
      </c>
      <c r="B599" s="946" t="s">
        <v>1381</v>
      </c>
      <c r="C599" s="946" t="s">
        <v>1545</v>
      </c>
      <c r="D599" s="946">
        <v>100000001</v>
      </c>
      <c r="E599" s="946" t="s">
        <v>33</v>
      </c>
      <c r="F599" s="946" t="s">
        <v>11</v>
      </c>
      <c r="G599" s="947">
        <v>-178.33</v>
      </c>
      <c r="H599" s="947">
        <v>-178.33</v>
      </c>
      <c r="I599" s="948"/>
      <c r="J599" s="948"/>
      <c r="K599" s="948"/>
      <c r="L599" s="29" t="e">
        <f>VLOOKUP(A599,'Account Mapping'!$A$2:$E$216,3,0)</f>
        <v>#N/A</v>
      </c>
      <c r="M599" s="25" t="e">
        <f>VLOOKUP(A599,'Account Mapping'!$A$2:$E$216,4,0)</f>
        <v>#N/A</v>
      </c>
      <c r="N599" s="26" t="e">
        <f>IF(OR(C599='Account Mapping'!$H$4,C599='Account Mapping'!$H$5,C599='Account Mapping'!$H$6),'Account Mapping'!$I$4,VLOOKUP(A599,'Account Mapping'!$A$2:$E$216,5,0))</f>
        <v>#N/A</v>
      </c>
      <c r="O599" s="27" t="e">
        <f>IF(OR(L599="Loan",L599="Deposit_Liability",L599="OFF_Unused Loan Commitment",L599="HQLA"),VLOOKUP(D599,'Customer Type'!$A$3:$C$38,3,0),"")</f>
        <v>#N/A</v>
      </c>
      <c r="P599" s="656" t="e">
        <f t="shared" si="236"/>
        <v>#N/A</v>
      </c>
      <c r="Q599" s="658">
        <f>IF(COUNTIF('Account Mapping'!$H$12:$H$45,A599)&gt;0,-H599,H599)</f>
        <v>-178.33</v>
      </c>
      <c r="R599" s="249" t="e">
        <f>VLOOKUP(P599,Assumptions!$C$2:$D$64,2,0)</f>
        <v>#N/A</v>
      </c>
      <c r="S599" s="692" t="str">
        <f>IFERROR(VLOOKUP(A599,'Maturity Adjustment'!$A$3:$C$81,3,0),(IF(J599&lt;$N$4,"Tomorrow",J599)))</f>
        <v>Tomorrow</v>
      </c>
      <c r="T599" s="190">
        <f t="shared" si="237"/>
        <v>1</v>
      </c>
      <c r="U599" s="196" t="e">
        <f t="shared" si="238"/>
        <v>#N/A</v>
      </c>
      <c r="V599" s="11" t="str">
        <f>IFERROR(VLOOKUP(A599,'Maturity Adjustment'!$A$86:$C$91,3,0),S599)</f>
        <v>Tomorrow</v>
      </c>
      <c r="W599" s="12" t="e">
        <f>VLOOKUP(A599,'Account Mapping'!$A$2:$F$216,6,0)</f>
        <v>#N/A</v>
      </c>
      <c r="X599" s="194">
        <f t="shared" si="239"/>
        <v>-178.33</v>
      </c>
      <c r="Y599" s="194">
        <f t="shared" si="240"/>
        <v>0</v>
      </c>
      <c r="Z599" s="13">
        <f t="shared" si="241"/>
        <v>0</v>
      </c>
      <c r="AA599" s="13">
        <f t="shared" si="242"/>
        <v>0</v>
      </c>
      <c r="AB599" s="13">
        <f t="shared" si="243"/>
        <v>0</v>
      </c>
      <c r="AC599" s="13">
        <f t="shared" si="244"/>
        <v>0</v>
      </c>
      <c r="AD599" s="13">
        <f t="shared" si="245"/>
        <v>0</v>
      </c>
      <c r="AE599" s="13">
        <f t="shared" si="246"/>
        <v>0</v>
      </c>
      <c r="AF599" s="13">
        <f t="shared" si="247"/>
        <v>0</v>
      </c>
      <c r="AG599" s="685">
        <f t="shared" si="248"/>
        <v>0</v>
      </c>
      <c r="AH599" s="688" t="b">
        <f t="shared" si="249"/>
        <v>1</v>
      </c>
    </row>
    <row r="600" spans="1:34" s="1" customFormat="1" ht="15" customHeight="1">
      <c r="A600" s="946">
        <v>28810002</v>
      </c>
      <c r="B600" s="946" t="s">
        <v>1381</v>
      </c>
      <c r="C600" s="946" t="s">
        <v>1546</v>
      </c>
      <c r="D600" s="946">
        <v>100000001</v>
      </c>
      <c r="E600" s="946" t="s">
        <v>33</v>
      </c>
      <c r="F600" s="946" t="s">
        <v>26</v>
      </c>
      <c r="G600" s="947">
        <v>-6423443.9500000002</v>
      </c>
      <c r="H600" s="947">
        <v>-9144994.2300000004</v>
      </c>
      <c r="I600" s="948"/>
      <c r="J600" s="948"/>
      <c r="K600" s="948"/>
      <c r="L600" s="29" t="e">
        <f>VLOOKUP(A600,'Account Mapping'!$A$2:$E$216,3,0)</f>
        <v>#N/A</v>
      </c>
      <c r="M600" s="25" t="e">
        <f>VLOOKUP(A600,'Account Mapping'!$A$2:$E$216,4,0)</f>
        <v>#N/A</v>
      </c>
      <c r="N600" s="26" t="e">
        <f>IF(OR(C600='Account Mapping'!$H$4,C600='Account Mapping'!$H$5,C600='Account Mapping'!$H$6),'Account Mapping'!$I$4,VLOOKUP(A600,'Account Mapping'!$A$2:$E$216,5,0))</f>
        <v>#N/A</v>
      </c>
      <c r="O600" s="27" t="e">
        <f>IF(OR(L600="Loan",L600="Deposit_Liability",L600="OFF_Unused Loan Commitment",L600="HQLA"),VLOOKUP(D600,'Customer Type'!$A$3:$C$38,3,0),"")</f>
        <v>#N/A</v>
      </c>
      <c r="P600" s="656" t="e">
        <f t="shared" si="236"/>
        <v>#N/A</v>
      </c>
      <c r="Q600" s="658">
        <f>IF(COUNTIF('Account Mapping'!$H$12:$H$45,A600)&gt;0,-H600,H600)</f>
        <v>-9144994.2300000004</v>
      </c>
      <c r="R600" s="249" t="e">
        <f>VLOOKUP(P600,Assumptions!$C$2:$D$64,2,0)</f>
        <v>#N/A</v>
      </c>
      <c r="S600" s="692" t="str">
        <f>IFERROR(VLOOKUP(A600,'Maturity Adjustment'!$A$3:$C$81,3,0),(IF(J600&lt;$N$4,"Tomorrow",J600)))</f>
        <v>Tomorrow</v>
      </c>
      <c r="T600" s="190">
        <f t="shared" si="237"/>
        <v>1</v>
      </c>
      <c r="U600" s="196" t="e">
        <f t="shared" si="238"/>
        <v>#N/A</v>
      </c>
      <c r="V600" s="11" t="str">
        <f>IFERROR(VLOOKUP(A600,'Maturity Adjustment'!$A$86:$C$91,3,0),S600)</f>
        <v>Tomorrow</v>
      </c>
      <c r="W600" s="12" t="e">
        <f>VLOOKUP(A600,'Account Mapping'!$A$2:$F$216,6,0)</f>
        <v>#N/A</v>
      </c>
      <c r="X600" s="194">
        <f t="shared" si="239"/>
        <v>-9144994.2300000004</v>
      </c>
      <c r="Y600" s="194">
        <f t="shared" si="240"/>
        <v>0</v>
      </c>
      <c r="Z600" s="13">
        <f t="shared" si="241"/>
        <v>0</v>
      </c>
      <c r="AA600" s="13">
        <f t="shared" si="242"/>
        <v>0</v>
      </c>
      <c r="AB600" s="13">
        <f t="shared" si="243"/>
        <v>0</v>
      </c>
      <c r="AC600" s="13">
        <f t="shared" si="244"/>
        <v>0</v>
      </c>
      <c r="AD600" s="13">
        <f t="shared" si="245"/>
        <v>0</v>
      </c>
      <c r="AE600" s="13">
        <f t="shared" si="246"/>
        <v>0</v>
      </c>
      <c r="AF600" s="13">
        <f t="shared" si="247"/>
        <v>0</v>
      </c>
      <c r="AG600" s="685">
        <f t="shared" si="248"/>
        <v>0</v>
      </c>
      <c r="AH600" s="688" t="b">
        <f t="shared" si="249"/>
        <v>1</v>
      </c>
    </row>
    <row r="601" spans="1:34" s="1" customFormat="1" ht="15" customHeight="1">
      <c r="A601" s="946">
        <v>28810019</v>
      </c>
      <c r="B601" s="946" t="s">
        <v>1548</v>
      </c>
      <c r="C601" s="946" t="s">
        <v>1549</v>
      </c>
      <c r="D601" s="946">
        <v>100000001</v>
      </c>
      <c r="E601" s="946" t="s">
        <v>33</v>
      </c>
      <c r="F601" s="946" t="s">
        <v>11</v>
      </c>
      <c r="G601" s="947">
        <v>8762.94</v>
      </c>
      <c r="H601" s="947">
        <v>8762.94</v>
      </c>
      <c r="I601" s="948"/>
      <c r="J601" s="948"/>
      <c r="K601" s="948"/>
      <c r="L601" s="29" t="e">
        <f>VLOOKUP(A601,'Account Mapping'!$A$2:$E$216,3,0)</f>
        <v>#N/A</v>
      </c>
      <c r="M601" s="25" t="e">
        <f>VLOOKUP(A601,'Account Mapping'!$A$2:$E$216,4,0)</f>
        <v>#N/A</v>
      </c>
      <c r="N601" s="26" t="e">
        <f>IF(OR(C601='Account Mapping'!$H$4,C601='Account Mapping'!$H$5,C601='Account Mapping'!$H$6),'Account Mapping'!$I$4,VLOOKUP(A601,'Account Mapping'!$A$2:$E$216,5,0))</f>
        <v>#N/A</v>
      </c>
      <c r="O601" s="27" t="e">
        <f>IF(OR(L601="Loan",L601="Deposit_Liability",L601="OFF_Unused Loan Commitment",L601="HQLA"),VLOOKUP(D601,'Customer Type'!$A$3:$C$38,3,0),"")</f>
        <v>#N/A</v>
      </c>
      <c r="P601" s="656" t="e">
        <f t="shared" si="236"/>
        <v>#N/A</v>
      </c>
      <c r="Q601" s="658">
        <f>IF(COUNTIF('Account Mapping'!$H$12:$H$45,A601)&gt;0,-H601,H601)</f>
        <v>8762.94</v>
      </c>
      <c r="R601" s="249" t="e">
        <f>VLOOKUP(P601,Assumptions!$C$2:$D$64,2,0)</f>
        <v>#N/A</v>
      </c>
      <c r="S601" s="692" t="str">
        <f>IFERROR(VLOOKUP(A601,'Maturity Adjustment'!$A$3:$C$81,3,0),(IF(J601&lt;$N$4,"Tomorrow",J601)))</f>
        <v>Tomorrow</v>
      </c>
      <c r="T601" s="190">
        <f t="shared" si="237"/>
        <v>1</v>
      </c>
      <c r="U601" s="196" t="e">
        <f t="shared" si="238"/>
        <v>#N/A</v>
      </c>
      <c r="V601" s="11" t="str">
        <f>IFERROR(VLOOKUP(A601,'Maturity Adjustment'!$A$86:$C$91,3,0),S601)</f>
        <v>Tomorrow</v>
      </c>
      <c r="W601" s="12" t="e">
        <f>VLOOKUP(A601,'Account Mapping'!$A$2:$F$216,6,0)</f>
        <v>#N/A</v>
      </c>
      <c r="X601" s="194">
        <f t="shared" si="239"/>
        <v>8762.94</v>
      </c>
      <c r="Y601" s="194">
        <f t="shared" si="240"/>
        <v>0</v>
      </c>
      <c r="Z601" s="13">
        <f t="shared" si="241"/>
        <v>0</v>
      </c>
      <c r="AA601" s="13">
        <f t="shared" si="242"/>
        <v>0</v>
      </c>
      <c r="AB601" s="13">
        <f t="shared" si="243"/>
        <v>0</v>
      </c>
      <c r="AC601" s="13">
        <f t="shared" si="244"/>
        <v>0</v>
      </c>
      <c r="AD601" s="13">
        <f t="shared" si="245"/>
        <v>0</v>
      </c>
      <c r="AE601" s="13">
        <f t="shared" si="246"/>
        <v>0</v>
      </c>
      <c r="AF601" s="13">
        <f t="shared" si="247"/>
        <v>0</v>
      </c>
      <c r="AG601" s="685">
        <f t="shared" si="248"/>
        <v>0</v>
      </c>
      <c r="AH601" s="688" t="b">
        <f t="shared" si="249"/>
        <v>1</v>
      </c>
    </row>
    <row r="602" spans="1:34" s="1" customFormat="1" ht="15" customHeight="1">
      <c r="A602" s="946">
        <v>28810019</v>
      </c>
      <c r="B602" s="946" t="s">
        <v>1548</v>
      </c>
      <c r="C602" s="946" t="s">
        <v>1550</v>
      </c>
      <c r="D602" s="946">
        <v>100000001</v>
      </c>
      <c r="E602" s="946" t="s">
        <v>33</v>
      </c>
      <c r="F602" s="946" t="s">
        <v>11</v>
      </c>
      <c r="G602" s="947">
        <v>7318.12</v>
      </c>
      <c r="H602" s="947">
        <v>7318.12</v>
      </c>
      <c r="I602" s="948"/>
      <c r="J602" s="948"/>
      <c r="K602" s="948"/>
      <c r="L602" s="29" t="e">
        <f>VLOOKUP(A602,'Account Mapping'!$A$2:$E$216,3,0)</f>
        <v>#N/A</v>
      </c>
      <c r="M602" s="25" t="e">
        <f>VLOOKUP(A602,'Account Mapping'!$A$2:$E$216,4,0)</f>
        <v>#N/A</v>
      </c>
      <c r="N602" s="26" t="e">
        <f>IF(OR(C602='Account Mapping'!$H$4,C602='Account Mapping'!$H$5,C602='Account Mapping'!$H$6),'Account Mapping'!$I$4,VLOOKUP(A602,'Account Mapping'!$A$2:$E$216,5,0))</f>
        <v>#N/A</v>
      </c>
      <c r="O602" s="27" t="e">
        <f>IF(OR(L602="Loan",L602="Deposit_Liability",L602="OFF_Unused Loan Commitment",L602="HQLA"),VLOOKUP(D602,'Customer Type'!$A$3:$C$38,3,0),"")</f>
        <v>#N/A</v>
      </c>
      <c r="P602" s="656" t="e">
        <f t="shared" si="236"/>
        <v>#N/A</v>
      </c>
      <c r="Q602" s="658">
        <f>IF(COUNTIF('Account Mapping'!$H$12:$H$45,A602)&gt;0,-H602,H602)</f>
        <v>7318.12</v>
      </c>
      <c r="R602" s="249" t="e">
        <f>VLOOKUP(P602,Assumptions!$C$2:$D$64,2,0)</f>
        <v>#N/A</v>
      </c>
      <c r="S602" s="692" t="str">
        <f>IFERROR(VLOOKUP(A602,'Maturity Adjustment'!$A$3:$C$81,3,0),(IF(J602&lt;$N$4,"Tomorrow",J602)))</f>
        <v>Tomorrow</v>
      </c>
      <c r="T602" s="190">
        <f t="shared" si="237"/>
        <v>1</v>
      </c>
      <c r="U602" s="196" t="e">
        <f t="shared" si="238"/>
        <v>#N/A</v>
      </c>
      <c r="V602" s="11" t="str">
        <f>IFERROR(VLOOKUP(A602,'Maturity Adjustment'!$A$86:$C$91,3,0),S602)</f>
        <v>Tomorrow</v>
      </c>
      <c r="W602" s="12" t="e">
        <f>VLOOKUP(A602,'Account Mapping'!$A$2:$F$216,6,0)</f>
        <v>#N/A</v>
      </c>
      <c r="X602" s="194">
        <f t="shared" si="239"/>
        <v>7318.12</v>
      </c>
      <c r="Y602" s="194">
        <f t="shared" si="240"/>
        <v>0</v>
      </c>
      <c r="Z602" s="13">
        <f t="shared" si="241"/>
        <v>0</v>
      </c>
      <c r="AA602" s="13">
        <f t="shared" si="242"/>
        <v>0</v>
      </c>
      <c r="AB602" s="13">
        <f t="shared" si="243"/>
        <v>0</v>
      </c>
      <c r="AC602" s="13">
        <f t="shared" si="244"/>
        <v>0</v>
      </c>
      <c r="AD602" s="13">
        <f t="shared" si="245"/>
        <v>0</v>
      </c>
      <c r="AE602" s="13">
        <f t="shared" si="246"/>
        <v>0</v>
      </c>
      <c r="AF602" s="13">
        <f t="shared" si="247"/>
        <v>0</v>
      </c>
      <c r="AG602" s="685">
        <f t="shared" si="248"/>
        <v>0</v>
      </c>
      <c r="AH602" s="688" t="b">
        <f t="shared" si="249"/>
        <v>1</v>
      </c>
    </row>
    <row r="603" spans="1:34" s="1" customFormat="1" ht="15" customHeight="1">
      <c r="A603" s="946">
        <v>28810019</v>
      </c>
      <c r="B603" s="946" t="s">
        <v>1548</v>
      </c>
      <c r="C603" s="946" t="s">
        <v>1551</v>
      </c>
      <c r="D603" s="946">
        <v>100000001</v>
      </c>
      <c r="E603" s="946" t="s">
        <v>33</v>
      </c>
      <c r="F603" s="946" t="s">
        <v>26</v>
      </c>
      <c r="G603" s="947">
        <v>209698.47</v>
      </c>
      <c r="H603" s="947">
        <v>298545.65999999997</v>
      </c>
      <c r="I603" s="948"/>
      <c r="J603" s="948"/>
      <c r="K603" s="948"/>
      <c r="L603" s="29" t="e">
        <f>VLOOKUP(A603,'Account Mapping'!$A$2:$E$216,3,0)</f>
        <v>#N/A</v>
      </c>
      <c r="M603" s="25" t="e">
        <f>VLOOKUP(A603,'Account Mapping'!$A$2:$E$216,4,0)</f>
        <v>#N/A</v>
      </c>
      <c r="N603" s="26" t="e">
        <f>IF(OR(C603='Account Mapping'!$H$4,C603='Account Mapping'!$H$5,C603='Account Mapping'!$H$6),'Account Mapping'!$I$4,VLOOKUP(A603,'Account Mapping'!$A$2:$E$216,5,0))</f>
        <v>#N/A</v>
      </c>
      <c r="O603" s="27" t="e">
        <f>IF(OR(L603="Loan",L603="Deposit_Liability",L603="OFF_Unused Loan Commitment",L603="HQLA"),VLOOKUP(D603,'Customer Type'!$A$3:$C$38,3,0),"")</f>
        <v>#N/A</v>
      </c>
      <c r="P603" s="656" t="e">
        <f t="shared" si="236"/>
        <v>#N/A</v>
      </c>
      <c r="Q603" s="658">
        <f>IF(COUNTIF('Account Mapping'!$H$12:$H$45,A603)&gt;0,-H603,H603)</f>
        <v>298545.65999999997</v>
      </c>
      <c r="R603" s="249" t="e">
        <f>VLOOKUP(P603,Assumptions!$C$2:$D$64,2,0)</f>
        <v>#N/A</v>
      </c>
      <c r="S603" s="692" t="str">
        <f>IFERROR(VLOOKUP(A603,'Maturity Adjustment'!$A$3:$C$81,3,0),(IF(J603&lt;$N$4,"Tomorrow",J603)))</f>
        <v>Tomorrow</v>
      </c>
      <c r="T603" s="190">
        <f t="shared" si="237"/>
        <v>1</v>
      </c>
      <c r="U603" s="196" t="e">
        <f t="shared" si="238"/>
        <v>#N/A</v>
      </c>
      <c r="V603" s="11" t="str">
        <f>IFERROR(VLOOKUP(A603,'Maturity Adjustment'!$A$86:$C$91,3,0),S603)</f>
        <v>Tomorrow</v>
      </c>
      <c r="W603" s="12" t="e">
        <f>VLOOKUP(A603,'Account Mapping'!$A$2:$F$216,6,0)</f>
        <v>#N/A</v>
      </c>
      <c r="X603" s="194">
        <f t="shared" si="239"/>
        <v>298545.65999999997</v>
      </c>
      <c r="Y603" s="194">
        <f t="shared" si="240"/>
        <v>0</v>
      </c>
      <c r="Z603" s="13">
        <f t="shared" si="241"/>
        <v>0</v>
      </c>
      <c r="AA603" s="13">
        <f t="shared" si="242"/>
        <v>0</v>
      </c>
      <c r="AB603" s="13">
        <f t="shared" si="243"/>
        <v>0</v>
      </c>
      <c r="AC603" s="13">
        <f t="shared" si="244"/>
        <v>0</v>
      </c>
      <c r="AD603" s="13">
        <f t="shared" si="245"/>
        <v>0</v>
      </c>
      <c r="AE603" s="13">
        <f t="shared" si="246"/>
        <v>0</v>
      </c>
      <c r="AF603" s="13">
        <f t="shared" si="247"/>
        <v>0</v>
      </c>
      <c r="AG603" s="685">
        <f t="shared" si="248"/>
        <v>0</v>
      </c>
      <c r="AH603" s="688" t="b">
        <f t="shared" si="249"/>
        <v>1</v>
      </c>
    </row>
    <row r="604" spans="1:34" s="1" customFormat="1" ht="15" customHeight="1">
      <c r="A604" s="946">
        <v>28820001</v>
      </c>
      <c r="B604" s="946" t="s">
        <v>1389</v>
      </c>
      <c r="C604" s="946" t="s">
        <v>1215</v>
      </c>
      <c r="D604" s="946">
        <v>100000027</v>
      </c>
      <c r="E604" s="946" t="s">
        <v>1217</v>
      </c>
      <c r="F604" s="946" t="s">
        <v>11</v>
      </c>
      <c r="G604" s="947">
        <v>712.5</v>
      </c>
      <c r="H604" s="947">
        <v>712.5</v>
      </c>
      <c r="I604" s="948">
        <v>45387</v>
      </c>
      <c r="J604" s="948">
        <v>46343</v>
      </c>
      <c r="K604" s="948">
        <v>46342</v>
      </c>
      <c r="L604" s="29" t="e">
        <f>VLOOKUP(A604,'Account Mapping'!$A$2:$E$216,3,0)</f>
        <v>#N/A</v>
      </c>
      <c r="M604" s="25" t="e">
        <f>VLOOKUP(A604,'Account Mapping'!$A$2:$E$216,4,0)</f>
        <v>#N/A</v>
      </c>
      <c r="N604" s="26" t="e">
        <f>IF(OR(C604='Account Mapping'!$H$4,C604='Account Mapping'!$H$5,C604='Account Mapping'!$H$6),'Account Mapping'!$I$4,VLOOKUP(A604,'Account Mapping'!$A$2:$E$216,5,0))</f>
        <v>#N/A</v>
      </c>
      <c r="O604" s="27" t="e">
        <f>IF(OR(L604="Loan",L604="Deposit_Liability",L604="OFF_Unused Loan Commitment",L604="HQLA"),VLOOKUP(D604,'Customer Type'!$A$3:$C$38,3,0),"")</f>
        <v>#N/A</v>
      </c>
      <c r="P604" s="656" t="e">
        <f t="shared" si="236"/>
        <v>#N/A</v>
      </c>
      <c r="Q604" s="658">
        <f>IF(COUNTIF('Account Mapping'!$H$12:$H$45,A604)&gt;0,-H604,H604)</f>
        <v>712.5</v>
      </c>
      <c r="R604" s="249" t="e">
        <f>VLOOKUP(P604,Assumptions!$C$2:$D$64,2,0)</f>
        <v>#N/A</v>
      </c>
      <c r="S604" s="692">
        <f>IFERROR(VLOOKUP(A604,'Maturity Adjustment'!$A$3:$C$81,3,0),(IF(J604&lt;$N$4,"Tomorrow",J604)))</f>
        <v>46343</v>
      </c>
      <c r="T604" s="190">
        <f t="shared" si="237"/>
        <v>285</v>
      </c>
      <c r="U604" s="196" t="e">
        <f t="shared" si="238"/>
        <v>#N/A</v>
      </c>
      <c r="V604" s="11">
        <f>IFERROR(VLOOKUP(A604,'Maturity Adjustment'!$A$86:$C$91,3,0),S604)</f>
        <v>46343</v>
      </c>
      <c r="W604" s="12" t="e">
        <f>VLOOKUP(A604,'Account Mapping'!$A$2:$F$216,6,0)</f>
        <v>#N/A</v>
      </c>
      <c r="X604" s="194">
        <f t="shared" si="239"/>
        <v>0</v>
      </c>
      <c r="Y604" s="194">
        <f t="shared" si="240"/>
        <v>0</v>
      </c>
      <c r="Z604" s="13">
        <f t="shared" si="241"/>
        <v>0</v>
      </c>
      <c r="AA604" s="13">
        <f t="shared" si="242"/>
        <v>0</v>
      </c>
      <c r="AB604" s="13">
        <f t="shared" si="243"/>
        <v>0</v>
      </c>
      <c r="AC604" s="13">
        <f t="shared" si="244"/>
        <v>712.5</v>
      </c>
      <c r="AD604" s="13">
        <f t="shared" si="245"/>
        <v>0</v>
      </c>
      <c r="AE604" s="13">
        <f t="shared" si="246"/>
        <v>0</v>
      </c>
      <c r="AF604" s="13">
        <f t="shared" si="247"/>
        <v>0</v>
      </c>
      <c r="AG604" s="685">
        <f t="shared" si="248"/>
        <v>0</v>
      </c>
      <c r="AH604" s="688" t="b">
        <f t="shared" si="249"/>
        <v>1</v>
      </c>
    </row>
    <row r="605" spans="1:34" s="1" customFormat="1" ht="15" customHeight="1">
      <c r="A605" s="946">
        <v>28820001</v>
      </c>
      <c r="B605" s="946" t="s">
        <v>1389</v>
      </c>
      <c r="C605" s="946" t="s">
        <v>1243</v>
      </c>
      <c r="D605" s="946">
        <v>100000034</v>
      </c>
      <c r="E605" s="946" t="s">
        <v>1245</v>
      </c>
      <c r="F605" s="946" t="s">
        <v>11</v>
      </c>
      <c r="G605" s="947">
        <v>138.06</v>
      </c>
      <c r="H605" s="947">
        <v>138.06</v>
      </c>
      <c r="I605" s="948">
        <v>45552</v>
      </c>
      <c r="J605" s="948">
        <v>46091</v>
      </c>
      <c r="K605" s="948">
        <v>46090</v>
      </c>
      <c r="L605" s="29" t="e">
        <f>VLOOKUP(A605,'Account Mapping'!$A$2:$E$216,3,0)</f>
        <v>#N/A</v>
      </c>
      <c r="M605" s="25" t="e">
        <f>VLOOKUP(A605,'Account Mapping'!$A$2:$E$216,4,0)</f>
        <v>#N/A</v>
      </c>
      <c r="N605" s="26" t="e">
        <f>IF(OR(C605='Account Mapping'!$H$4,C605='Account Mapping'!$H$5,C605='Account Mapping'!$H$6),'Account Mapping'!$I$4,VLOOKUP(A605,'Account Mapping'!$A$2:$E$216,5,0))</f>
        <v>#N/A</v>
      </c>
      <c r="O605" s="27" t="e">
        <f>IF(OR(L605="Loan",L605="Deposit_Liability",L605="OFF_Unused Loan Commitment",L605="HQLA"),VLOOKUP(D605,'Customer Type'!$A$3:$C$38,3,0),"")</f>
        <v>#N/A</v>
      </c>
      <c r="P605" s="656" t="e">
        <f t="shared" si="236"/>
        <v>#N/A</v>
      </c>
      <c r="Q605" s="658">
        <f>IF(COUNTIF('Account Mapping'!$H$12:$H$45,A605)&gt;0,-H605,H605)</f>
        <v>138.06</v>
      </c>
      <c r="R605" s="249" t="e">
        <f>VLOOKUP(P605,Assumptions!$C$2:$D$64,2,0)</f>
        <v>#N/A</v>
      </c>
      <c r="S605" s="692">
        <f>IFERROR(VLOOKUP(A605,'Maturity Adjustment'!$A$3:$C$81,3,0),(IF(J605&lt;$N$4,"Tomorrow",J605)))</f>
        <v>46091</v>
      </c>
      <c r="T605" s="190">
        <f t="shared" si="237"/>
        <v>33</v>
      </c>
      <c r="U605" s="196" t="e">
        <f t="shared" si="238"/>
        <v>#N/A</v>
      </c>
      <c r="V605" s="11">
        <f>IFERROR(VLOOKUP(A605,'Maturity Adjustment'!$A$86:$C$91,3,0),S605)</f>
        <v>46091</v>
      </c>
      <c r="W605" s="12" t="e">
        <f>VLOOKUP(A605,'Account Mapping'!$A$2:$F$216,6,0)</f>
        <v>#N/A</v>
      </c>
      <c r="X605" s="194">
        <f t="shared" si="239"/>
        <v>0</v>
      </c>
      <c r="Y605" s="194">
        <f t="shared" si="240"/>
        <v>0</v>
      </c>
      <c r="Z605" s="13">
        <f t="shared" si="241"/>
        <v>0</v>
      </c>
      <c r="AA605" s="13">
        <f t="shared" si="242"/>
        <v>138.06</v>
      </c>
      <c r="AB605" s="13">
        <f t="shared" si="243"/>
        <v>0</v>
      </c>
      <c r="AC605" s="13">
        <f t="shared" si="244"/>
        <v>0</v>
      </c>
      <c r="AD605" s="13">
        <f t="shared" si="245"/>
        <v>0</v>
      </c>
      <c r="AE605" s="13">
        <f t="shared" si="246"/>
        <v>0</v>
      </c>
      <c r="AF605" s="13">
        <f t="shared" si="247"/>
        <v>0</v>
      </c>
      <c r="AG605" s="685">
        <f t="shared" si="248"/>
        <v>0</v>
      </c>
      <c r="AH605" s="688" t="b">
        <f t="shared" si="249"/>
        <v>1</v>
      </c>
    </row>
    <row r="606" spans="1:34" s="1" customFormat="1" ht="15" customHeight="1">
      <c r="A606" s="946">
        <v>28820001</v>
      </c>
      <c r="B606" s="946" t="s">
        <v>1389</v>
      </c>
      <c r="C606" s="946" t="s">
        <v>1271</v>
      </c>
      <c r="D606" s="946">
        <v>100000037</v>
      </c>
      <c r="E606" s="946" t="s">
        <v>1266</v>
      </c>
      <c r="F606" s="946" t="s">
        <v>26</v>
      </c>
      <c r="G606" s="947">
        <v>46828.87</v>
      </c>
      <c r="H606" s="947">
        <v>66669.8</v>
      </c>
      <c r="I606" s="949">
        <v>45624</v>
      </c>
      <c r="J606" s="949">
        <v>46677</v>
      </c>
      <c r="K606" s="949">
        <v>46128</v>
      </c>
      <c r="L606" s="29" t="e">
        <f>VLOOKUP(A606,'Account Mapping'!$A$2:$E$216,3,0)</f>
        <v>#N/A</v>
      </c>
      <c r="M606" s="25" t="e">
        <f>VLOOKUP(A606,'Account Mapping'!$A$2:$E$216,4,0)</f>
        <v>#N/A</v>
      </c>
      <c r="N606" s="26" t="e">
        <f>IF(OR(C606='Account Mapping'!$H$4,C606='Account Mapping'!$H$5,C606='Account Mapping'!$H$6),'Account Mapping'!$I$4,VLOOKUP(A606,'Account Mapping'!$A$2:$E$216,5,0))</f>
        <v>#N/A</v>
      </c>
      <c r="O606" s="27" t="e">
        <f>IF(OR(L606="Loan",L606="Deposit_Liability",L606="OFF_Unused Loan Commitment",L606="HQLA"),VLOOKUP(D606,'Customer Type'!$A$3:$C$38,3,0),"")</f>
        <v>#N/A</v>
      </c>
      <c r="P606" s="656" t="e">
        <f t="shared" si="236"/>
        <v>#N/A</v>
      </c>
      <c r="Q606" s="658">
        <f>IF(COUNTIF('Account Mapping'!$H$12:$H$45,A606)&gt;0,-H606,H606)</f>
        <v>66669.8</v>
      </c>
      <c r="R606" s="249" t="e">
        <f>VLOOKUP(P606,Assumptions!$C$2:$D$64,2,0)</f>
        <v>#N/A</v>
      </c>
      <c r="S606" s="692">
        <f>IFERROR(VLOOKUP(A606,'Maturity Adjustment'!$A$3:$C$81,3,0),(IF(J606&lt;$N$4,"Tomorrow",J606)))</f>
        <v>46677</v>
      </c>
      <c r="T606" s="190">
        <f t="shared" si="237"/>
        <v>619</v>
      </c>
      <c r="U606" s="196" t="e">
        <f t="shared" si="238"/>
        <v>#N/A</v>
      </c>
      <c r="V606" s="11">
        <f>IFERROR(VLOOKUP(A606,'Maturity Adjustment'!$A$86:$C$91,3,0),S606)</f>
        <v>46677</v>
      </c>
      <c r="W606" s="12" t="e">
        <f>VLOOKUP(A606,'Account Mapping'!$A$2:$F$216,6,0)</f>
        <v>#N/A</v>
      </c>
      <c r="X606" s="194">
        <f t="shared" si="239"/>
        <v>0</v>
      </c>
      <c r="Y606" s="194">
        <f t="shared" si="240"/>
        <v>0</v>
      </c>
      <c r="Z606" s="13">
        <f t="shared" si="241"/>
        <v>0</v>
      </c>
      <c r="AA606" s="13">
        <f t="shared" si="242"/>
        <v>0</v>
      </c>
      <c r="AB606" s="13">
        <f t="shared" si="243"/>
        <v>0</v>
      </c>
      <c r="AC606" s="13">
        <f t="shared" si="244"/>
        <v>0</v>
      </c>
      <c r="AD606" s="13">
        <f t="shared" si="245"/>
        <v>66669.8</v>
      </c>
      <c r="AE606" s="13">
        <f t="shared" si="246"/>
        <v>0</v>
      </c>
      <c r="AF606" s="13">
        <f t="shared" si="247"/>
        <v>0</v>
      </c>
      <c r="AG606" s="685">
        <f t="shared" si="248"/>
        <v>0</v>
      </c>
      <c r="AH606" s="688" t="b">
        <f t="shared" si="249"/>
        <v>1</v>
      </c>
    </row>
    <row r="607" spans="1:34" s="1" customFormat="1" ht="15" customHeight="1">
      <c r="A607" s="946">
        <v>28820001</v>
      </c>
      <c r="B607" s="946" t="s">
        <v>1389</v>
      </c>
      <c r="C607" s="946" t="s">
        <v>1401</v>
      </c>
      <c r="D607" s="946">
        <v>100000037</v>
      </c>
      <c r="E607" s="946" t="s">
        <v>1266</v>
      </c>
      <c r="F607" s="946" t="s">
        <v>26</v>
      </c>
      <c r="G607" s="947">
        <v>74481.69</v>
      </c>
      <c r="H607" s="947">
        <v>106038.85</v>
      </c>
      <c r="I607" s="949">
        <v>45692</v>
      </c>
      <c r="J607" s="949">
        <v>46766</v>
      </c>
      <c r="K607" s="949">
        <v>46765</v>
      </c>
      <c r="L607" s="29" t="e">
        <f>VLOOKUP(A607,'Account Mapping'!$A$2:$E$216,3,0)</f>
        <v>#N/A</v>
      </c>
      <c r="M607" s="25" t="e">
        <f>VLOOKUP(A607,'Account Mapping'!$A$2:$E$216,4,0)</f>
        <v>#N/A</v>
      </c>
      <c r="N607" s="26" t="e">
        <f>IF(OR(C607='Account Mapping'!$H$4,C607='Account Mapping'!$H$5,C607='Account Mapping'!$H$6),'Account Mapping'!$I$4,VLOOKUP(A607,'Account Mapping'!$A$2:$E$216,5,0))</f>
        <v>#N/A</v>
      </c>
      <c r="O607" s="27" t="e">
        <f>IF(OR(L607="Loan",L607="Deposit_Liability",L607="OFF_Unused Loan Commitment",L607="HQLA"),VLOOKUP(D607,'Customer Type'!$A$3:$C$38,3,0),"")</f>
        <v>#N/A</v>
      </c>
      <c r="P607" s="656" t="e">
        <f t="shared" si="236"/>
        <v>#N/A</v>
      </c>
      <c r="Q607" s="658">
        <f>IF(COUNTIF('Account Mapping'!$H$12:$H$45,A607)&gt;0,-H607,H607)</f>
        <v>106038.85</v>
      </c>
      <c r="R607" s="249" t="e">
        <f>VLOOKUP(P607,Assumptions!$C$2:$D$64,2,0)</f>
        <v>#N/A</v>
      </c>
      <c r="S607" s="692">
        <f>IFERROR(VLOOKUP(A607,'Maturity Adjustment'!$A$3:$C$81,3,0),(IF(J607&lt;$N$4,"Tomorrow",J607)))</f>
        <v>46766</v>
      </c>
      <c r="T607" s="190">
        <f t="shared" si="237"/>
        <v>708</v>
      </c>
      <c r="U607" s="196" t="e">
        <f t="shared" si="238"/>
        <v>#N/A</v>
      </c>
      <c r="V607" s="11">
        <f>IFERROR(VLOOKUP(A607,'Maturity Adjustment'!$A$86:$C$91,3,0),S607)</f>
        <v>46766</v>
      </c>
      <c r="W607" s="12" t="e">
        <f>VLOOKUP(A607,'Account Mapping'!$A$2:$F$216,6,0)</f>
        <v>#N/A</v>
      </c>
      <c r="X607" s="194">
        <f t="shared" si="239"/>
        <v>0</v>
      </c>
      <c r="Y607" s="194">
        <f t="shared" si="240"/>
        <v>0</v>
      </c>
      <c r="Z607" s="13">
        <f t="shared" si="241"/>
        <v>0</v>
      </c>
      <c r="AA607" s="13">
        <f t="shared" si="242"/>
        <v>0</v>
      </c>
      <c r="AB607" s="13">
        <f t="shared" si="243"/>
        <v>0</v>
      </c>
      <c r="AC607" s="13">
        <f t="shared" si="244"/>
        <v>0</v>
      </c>
      <c r="AD607" s="13">
        <f t="shared" si="245"/>
        <v>106038.85</v>
      </c>
      <c r="AE607" s="13">
        <f t="shared" si="246"/>
        <v>0</v>
      </c>
      <c r="AF607" s="13">
        <f t="shared" si="247"/>
        <v>0</v>
      </c>
      <c r="AG607" s="685">
        <f t="shared" si="248"/>
        <v>0</v>
      </c>
      <c r="AH607" s="688" t="b">
        <f t="shared" si="249"/>
        <v>1</v>
      </c>
    </row>
    <row r="608" spans="1:34" s="1" customFormat="1" ht="15" customHeight="1">
      <c r="A608" s="946">
        <v>28820001</v>
      </c>
      <c r="B608" s="946" t="s">
        <v>1389</v>
      </c>
      <c r="C608" s="946" t="s">
        <v>1437</v>
      </c>
      <c r="D608" s="946">
        <v>100000037</v>
      </c>
      <c r="E608" s="946" t="s">
        <v>1266</v>
      </c>
      <c r="F608" s="946" t="s">
        <v>26</v>
      </c>
      <c r="G608" s="947">
        <v>26938.49</v>
      </c>
      <c r="H608" s="947">
        <v>38352.06</v>
      </c>
      <c r="I608" s="949">
        <v>45818</v>
      </c>
      <c r="J608" s="949">
        <v>46645</v>
      </c>
      <c r="K608" s="949">
        <v>46644</v>
      </c>
      <c r="L608" s="29" t="e">
        <f>VLOOKUP(A608,'Account Mapping'!$A$2:$E$216,3,0)</f>
        <v>#N/A</v>
      </c>
      <c r="M608" s="25" t="e">
        <f>VLOOKUP(A608,'Account Mapping'!$A$2:$E$216,4,0)</f>
        <v>#N/A</v>
      </c>
      <c r="N608" s="26" t="e">
        <f>IF(OR(C608='Account Mapping'!$H$4,C608='Account Mapping'!$H$5,C608='Account Mapping'!$H$6),'Account Mapping'!$I$4,VLOOKUP(A608,'Account Mapping'!$A$2:$E$216,5,0))</f>
        <v>#N/A</v>
      </c>
      <c r="O608" s="27" t="e">
        <f>IF(OR(L608="Loan",L608="Deposit_Liability",L608="OFF_Unused Loan Commitment",L608="HQLA"),VLOOKUP(D608,'Customer Type'!$A$3:$C$38,3,0),"")</f>
        <v>#N/A</v>
      </c>
      <c r="P608" s="656" t="e">
        <f t="shared" si="236"/>
        <v>#N/A</v>
      </c>
      <c r="Q608" s="658">
        <f>IF(COUNTIF('Account Mapping'!$H$12:$H$45,A608)&gt;0,-H608,H608)</f>
        <v>38352.06</v>
      </c>
      <c r="R608" s="249" t="e">
        <f>VLOOKUP(P608,Assumptions!$C$2:$D$64,2,0)</f>
        <v>#N/A</v>
      </c>
      <c r="S608" s="692">
        <f>IFERROR(VLOOKUP(A608,'Maturity Adjustment'!$A$3:$C$81,3,0),(IF(J608&lt;$N$4,"Tomorrow",J608)))</f>
        <v>46645</v>
      </c>
      <c r="T608" s="190">
        <f t="shared" si="237"/>
        <v>587</v>
      </c>
      <c r="U608" s="196" t="e">
        <f t="shared" si="238"/>
        <v>#N/A</v>
      </c>
      <c r="V608" s="11">
        <f>IFERROR(VLOOKUP(A608,'Maturity Adjustment'!$A$86:$C$91,3,0),S608)</f>
        <v>46645</v>
      </c>
      <c r="W608" s="12" t="e">
        <f>VLOOKUP(A608,'Account Mapping'!$A$2:$F$216,6,0)</f>
        <v>#N/A</v>
      </c>
      <c r="X608" s="194">
        <f t="shared" si="239"/>
        <v>0</v>
      </c>
      <c r="Y608" s="194">
        <f t="shared" si="240"/>
        <v>0</v>
      </c>
      <c r="Z608" s="13">
        <f t="shared" si="241"/>
        <v>0</v>
      </c>
      <c r="AA608" s="13">
        <f t="shared" si="242"/>
        <v>0</v>
      </c>
      <c r="AB608" s="13">
        <f t="shared" si="243"/>
        <v>0</v>
      </c>
      <c r="AC608" s="13">
        <f t="shared" si="244"/>
        <v>0</v>
      </c>
      <c r="AD608" s="13">
        <f t="shared" si="245"/>
        <v>38352.06</v>
      </c>
      <c r="AE608" s="13">
        <f t="shared" si="246"/>
        <v>0</v>
      </c>
      <c r="AF608" s="13">
        <f t="shared" si="247"/>
        <v>0</v>
      </c>
      <c r="AG608" s="685">
        <f t="shared" si="248"/>
        <v>0</v>
      </c>
      <c r="AH608" s="688" t="b">
        <f t="shared" si="249"/>
        <v>1</v>
      </c>
    </row>
    <row r="609" spans="1:34" s="1" customFormat="1" ht="15" customHeight="1">
      <c r="A609" s="946">
        <v>28820002</v>
      </c>
      <c r="B609" s="946" t="s">
        <v>1458</v>
      </c>
      <c r="C609" s="946" t="s">
        <v>1423</v>
      </c>
      <c r="D609" s="946">
        <v>100000038</v>
      </c>
      <c r="E609" s="946" t="s">
        <v>1425</v>
      </c>
      <c r="F609" s="946" t="s">
        <v>11</v>
      </c>
      <c r="G609" s="947">
        <v>-78572.960000000006</v>
      </c>
      <c r="H609" s="947">
        <v>-78572.960000000006</v>
      </c>
      <c r="I609" s="949">
        <v>45755</v>
      </c>
      <c r="J609" s="949">
        <v>46776</v>
      </c>
      <c r="K609" s="949">
        <v>46775</v>
      </c>
      <c r="L609" s="29" t="e">
        <f>VLOOKUP(A609,'Account Mapping'!$A$2:$E$216,3,0)</f>
        <v>#N/A</v>
      </c>
      <c r="M609" s="25" t="e">
        <f>VLOOKUP(A609,'Account Mapping'!$A$2:$E$216,4,0)</f>
        <v>#N/A</v>
      </c>
      <c r="N609" s="26" t="e">
        <f>IF(OR(C609='Account Mapping'!$H$4,C609='Account Mapping'!$H$5,C609='Account Mapping'!$H$6),'Account Mapping'!$I$4,VLOOKUP(A609,'Account Mapping'!$A$2:$E$216,5,0))</f>
        <v>#N/A</v>
      </c>
      <c r="O609" s="27" t="e">
        <f>IF(OR(L609="Loan",L609="Deposit_Liability",L609="OFF_Unused Loan Commitment",L609="HQLA"),VLOOKUP(D609,'Customer Type'!$A$3:$C$38,3,0),"")</f>
        <v>#N/A</v>
      </c>
      <c r="P609" s="656" t="e">
        <f t="shared" si="236"/>
        <v>#N/A</v>
      </c>
      <c r="Q609" s="658">
        <f>IF(COUNTIF('Account Mapping'!$H$12:$H$45,A609)&gt;0,-H609,H609)</f>
        <v>-78572.960000000006</v>
      </c>
      <c r="R609" s="249" t="e">
        <f>VLOOKUP(P609,Assumptions!$C$2:$D$64,2,0)</f>
        <v>#N/A</v>
      </c>
      <c r="S609" s="692">
        <f>IFERROR(VLOOKUP(A609,'Maturity Adjustment'!$A$3:$C$81,3,0),(IF(J609&lt;$N$4,"Tomorrow",J609)))</f>
        <v>46776</v>
      </c>
      <c r="T609" s="190">
        <f t="shared" si="237"/>
        <v>718</v>
      </c>
      <c r="U609" s="196" t="e">
        <f t="shared" si="238"/>
        <v>#N/A</v>
      </c>
      <c r="V609" s="11">
        <f>IFERROR(VLOOKUP(A609,'Maturity Adjustment'!$A$86:$C$91,3,0),S609)</f>
        <v>46776</v>
      </c>
      <c r="W609" s="12" t="e">
        <f>VLOOKUP(A609,'Account Mapping'!$A$2:$F$216,6,0)</f>
        <v>#N/A</v>
      </c>
      <c r="X609" s="194">
        <f t="shared" si="239"/>
        <v>0</v>
      </c>
      <c r="Y609" s="194">
        <f t="shared" si="240"/>
        <v>0</v>
      </c>
      <c r="Z609" s="13">
        <f t="shared" si="241"/>
        <v>0</v>
      </c>
      <c r="AA609" s="13">
        <f t="shared" si="242"/>
        <v>0</v>
      </c>
      <c r="AB609" s="13">
        <f t="shared" si="243"/>
        <v>0</v>
      </c>
      <c r="AC609" s="13">
        <f t="shared" si="244"/>
        <v>0</v>
      </c>
      <c r="AD609" s="13">
        <f t="shared" si="245"/>
        <v>-78572.960000000006</v>
      </c>
      <c r="AE609" s="13">
        <f t="shared" si="246"/>
        <v>0</v>
      </c>
      <c r="AF609" s="13">
        <f t="shared" si="247"/>
        <v>0</v>
      </c>
      <c r="AG609" s="685">
        <f t="shared" si="248"/>
        <v>0</v>
      </c>
      <c r="AH609" s="688" t="b">
        <f t="shared" si="249"/>
        <v>1</v>
      </c>
    </row>
    <row r="610" spans="1:34" s="1" customFormat="1" ht="15" customHeight="1">
      <c r="A610" s="946">
        <v>28900001</v>
      </c>
      <c r="B610" s="946" t="s">
        <v>1390</v>
      </c>
      <c r="C610" s="946" t="s">
        <v>1391</v>
      </c>
      <c r="D610" s="946">
        <v>100000001</v>
      </c>
      <c r="E610" s="946" t="s">
        <v>33</v>
      </c>
      <c r="F610" s="946" t="s">
        <v>11</v>
      </c>
      <c r="G610" s="947">
        <v>-283314.17</v>
      </c>
      <c r="H610" s="947">
        <v>-283314.17</v>
      </c>
      <c r="I610" s="949"/>
      <c r="J610" s="949"/>
      <c r="K610" s="949"/>
      <c r="L610" s="29" t="e">
        <f>VLOOKUP(A610,'Account Mapping'!$A$2:$E$216,3,0)</f>
        <v>#N/A</v>
      </c>
      <c r="M610" s="25" t="e">
        <f>VLOOKUP(A610,'Account Mapping'!$A$2:$E$216,4,0)</f>
        <v>#N/A</v>
      </c>
      <c r="N610" s="26" t="e">
        <f>IF(OR(C610='Account Mapping'!$H$4,C610='Account Mapping'!$H$5,C610='Account Mapping'!$H$6),'Account Mapping'!$I$4,VLOOKUP(A610,'Account Mapping'!$A$2:$E$216,5,0))</f>
        <v>#N/A</v>
      </c>
      <c r="O610" s="27" t="e">
        <f>IF(OR(L610="Loan",L610="Deposit_Liability",L610="OFF_Unused Loan Commitment",L610="HQLA"),VLOOKUP(D610,'Customer Type'!$A$3:$C$38,3,0),"")</f>
        <v>#N/A</v>
      </c>
      <c r="P610" s="656" t="e">
        <f t="shared" si="236"/>
        <v>#N/A</v>
      </c>
      <c r="Q610" s="658">
        <f>IF(COUNTIF('Account Mapping'!$H$12:$H$45,A610)&gt;0,-H610,H610)</f>
        <v>-283314.17</v>
      </c>
      <c r="R610" s="249" t="e">
        <f>VLOOKUP(P610,Assumptions!$C$2:$D$64,2,0)</f>
        <v>#N/A</v>
      </c>
      <c r="S610" s="692" t="str">
        <f>IFERROR(VLOOKUP(A610,'Maturity Adjustment'!$A$3:$C$81,3,0),(IF(J610&lt;$N$4,"Tomorrow",J610)))</f>
        <v>Tomorrow</v>
      </c>
      <c r="T610" s="190">
        <f t="shared" si="237"/>
        <v>1</v>
      </c>
      <c r="U610" s="196" t="e">
        <f t="shared" si="238"/>
        <v>#N/A</v>
      </c>
      <c r="V610" s="11" t="str">
        <f>IFERROR(VLOOKUP(A610,'Maturity Adjustment'!$A$86:$C$91,3,0),S610)</f>
        <v>Tomorrow</v>
      </c>
      <c r="W610" s="12" t="e">
        <f>VLOOKUP(A610,'Account Mapping'!$A$2:$F$216,6,0)</f>
        <v>#N/A</v>
      </c>
      <c r="X610" s="194">
        <f t="shared" si="239"/>
        <v>-283314.17</v>
      </c>
      <c r="Y610" s="194">
        <f t="shared" si="240"/>
        <v>0</v>
      </c>
      <c r="Z610" s="13">
        <f t="shared" si="241"/>
        <v>0</v>
      </c>
      <c r="AA610" s="13">
        <f t="shared" si="242"/>
        <v>0</v>
      </c>
      <c r="AB610" s="13">
        <f t="shared" si="243"/>
        <v>0</v>
      </c>
      <c r="AC610" s="13">
        <f t="shared" si="244"/>
        <v>0</v>
      </c>
      <c r="AD610" s="13">
        <f t="shared" si="245"/>
        <v>0</v>
      </c>
      <c r="AE610" s="13">
        <f t="shared" si="246"/>
        <v>0</v>
      </c>
      <c r="AF610" s="13">
        <f t="shared" si="247"/>
        <v>0</v>
      </c>
      <c r="AG610" s="685">
        <f t="shared" si="248"/>
        <v>0</v>
      </c>
      <c r="AH610" s="688" t="b">
        <f t="shared" si="249"/>
        <v>1</v>
      </c>
    </row>
    <row r="611" spans="1:34" s="1" customFormat="1" ht="15" customHeight="1">
      <c r="A611" s="946">
        <v>28900001</v>
      </c>
      <c r="B611" s="946" t="s">
        <v>1390</v>
      </c>
      <c r="C611" s="946" t="s">
        <v>1552</v>
      </c>
      <c r="D611" s="946">
        <v>100000001</v>
      </c>
      <c r="E611" s="946" t="s">
        <v>33</v>
      </c>
      <c r="F611" s="946" t="s">
        <v>11</v>
      </c>
      <c r="G611" s="947">
        <v>-7318.12</v>
      </c>
      <c r="H611" s="947">
        <v>-7318.12</v>
      </c>
      <c r="I611" s="949"/>
      <c r="J611" s="949"/>
      <c r="K611" s="949"/>
      <c r="L611" s="29" t="e">
        <f>VLOOKUP(A611,'Account Mapping'!$A$2:$E$216,3,0)</f>
        <v>#N/A</v>
      </c>
      <c r="M611" s="25" t="e">
        <f>VLOOKUP(A611,'Account Mapping'!$A$2:$E$216,4,0)</f>
        <v>#N/A</v>
      </c>
      <c r="N611" s="26" t="e">
        <f>IF(OR(C611='Account Mapping'!$H$4,C611='Account Mapping'!$H$5,C611='Account Mapping'!$H$6),'Account Mapping'!$I$4,VLOOKUP(A611,'Account Mapping'!$A$2:$E$216,5,0))</f>
        <v>#N/A</v>
      </c>
      <c r="O611" s="27" t="e">
        <f>IF(OR(L611="Loan",L611="Deposit_Liability",L611="OFF_Unused Loan Commitment",L611="HQLA"),VLOOKUP(D611,'Customer Type'!$A$3:$C$38,3,0),"")</f>
        <v>#N/A</v>
      </c>
      <c r="P611" s="656" t="e">
        <f t="shared" si="236"/>
        <v>#N/A</v>
      </c>
      <c r="Q611" s="658">
        <f>IF(COUNTIF('Account Mapping'!$H$12:$H$45,A611)&gt;0,-H611,H611)</f>
        <v>-7318.12</v>
      </c>
      <c r="R611" s="249" t="e">
        <f>VLOOKUP(P611,Assumptions!$C$2:$D$64,2,0)</f>
        <v>#N/A</v>
      </c>
      <c r="S611" s="692" t="str">
        <f>IFERROR(VLOOKUP(A611,'Maturity Adjustment'!$A$3:$C$81,3,0),(IF(J611&lt;$N$4,"Tomorrow",J611)))</f>
        <v>Tomorrow</v>
      </c>
      <c r="T611" s="190">
        <f t="shared" si="237"/>
        <v>1</v>
      </c>
      <c r="U611" s="196" t="e">
        <f t="shared" si="238"/>
        <v>#N/A</v>
      </c>
      <c r="V611" s="11" t="str">
        <f>IFERROR(VLOOKUP(A611,'Maturity Adjustment'!$A$86:$C$91,3,0),S611)</f>
        <v>Tomorrow</v>
      </c>
      <c r="W611" s="12" t="e">
        <f>VLOOKUP(A611,'Account Mapping'!$A$2:$F$216,6,0)</f>
        <v>#N/A</v>
      </c>
      <c r="X611" s="194">
        <f t="shared" si="239"/>
        <v>-7318.12</v>
      </c>
      <c r="Y611" s="194">
        <f t="shared" si="240"/>
        <v>0</v>
      </c>
      <c r="Z611" s="13">
        <f t="shared" si="241"/>
        <v>0</v>
      </c>
      <c r="AA611" s="13">
        <f t="shared" si="242"/>
        <v>0</v>
      </c>
      <c r="AB611" s="13">
        <f t="shared" si="243"/>
        <v>0</v>
      </c>
      <c r="AC611" s="13">
        <f t="shared" si="244"/>
        <v>0</v>
      </c>
      <c r="AD611" s="13">
        <f t="shared" si="245"/>
        <v>0</v>
      </c>
      <c r="AE611" s="13">
        <f t="shared" si="246"/>
        <v>0</v>
      </c>
      <c r="AF611" s="13">
        <f t="shared" si="247"/>
        <v>0</v>
      </c>
      <c r="AG611" s="685">
        <f t="shared" si="248"/>
        <v>0</v>
      </c>
      <c r="AH611" s="688" t="b">
        <f t="shared" si="249"/>
        <v>1</v>
      </c>
    </row>
    <row r="612" spans="1:34" s="1" customFormat="1" ht="15" customHeight="1">
      <c r="A612" s="946">
        <v>28900001</v>
      </c>
      <c r="B612" s="946" t="s">
        <v>1390</v>
      </c>
      <c r="C612" s="946" t="s">
        <v>1392</v>
      </c>
      <c r="D612" s="946">
        <v>100000001</v>
      </c>
      <c r="E612" s="946" t="s">
        <v>33</v>
      </c>
      <c r="F612" s="946" t="s">
        <v>26</v>
      </c>
      <c r="G612" s="947">
        <v>204140.12</v>
      </c>
      <c r="H612" s="947">
        <v>290632.28999999998</v>
      </c>
      <c r="I612" s="948"/>
      <c r="J612" s="948"/>
      <c r="K612" s="948"/>
      <c r="L612" s="29" t="e">
        <f>VLOOKUP(A612,'Account Mapping'!$A$2:$E$216,3,0)</f>
        <v>#N/A</v>
      </c>
      <c r="M612" s="25" t="e">
        <f>VLOOKUP(A612,'Account Mapping'!$A$2:$E$216,4,0)</f>
        <v>#N/A</v>
      </c>
      <c r="N612" s="26" t="e">
        <f>IF(OR(C612='Account Mapping'!$H$4,C612='Account Mapping'!$H$5,C612='Account Mapping'!$H$6),'Account Mapping'!$I$4,VLOOKUP(A612,'Account Mapping'!$A$2:$E$216,5,0))</f>
        <v>#N/A</v>
      </c>
      <c r="O612" s="27" t="e">
        <f>IF(OR(L612="Loan",L612="Deposit_Liability",L612="OFF_Unused Loan Commitment",L612="HQLA"),VLOOKUP(D612,'Customer Type'!$A$3:$C$38,3,0),"")</f>
        <v>#N/A</v>
      </c>
      <c r="P612" s="656" t="e">
        <f t="shared" si="236"/>
        <v>#N/A</v>
      </c>
      <c r="Q612" s="658">
        <f>IF(COUNTIF('Account Mapping'!$H$12:$H$45,A612)&gt;0,-H612,H612)</f>
        <v>290632.28999999998</v>
      </c>
      <c r="R612" s="249" t="e">
        <f>VLOOKUP(P612,Assumptions!$C$2:$D$64,2,0)</f>
        <v>#N/A</v>
      </c>
      <c r="S612" s="692" t="str">
        <f>IFERROR(VLOOKUP(A612,'Maturity Adjustment'!$A$3:$C$81,3,0),(IF(J612&lt;$N$4,"Tomorrow",J612)))</f>
        <v>Tomorrow</v>
      </c>
      <c r="T612" s="190">
        <f t="shared" si="237"/>
        <v>1</v>
      </c>
      <c r="U612" s="196" t="e">
        <f t="shared" si="238"/>
        <v>#N/A</v>
      </c>
      <c r="V612" s="11" t="str">
        <f>IFERROR(VLOOKUP(A612,'Maturity Adjustment'!$A$86:$C$91,3,0),S612)</f>
        <v>Tomorrow</v>
      </c>
      <c r="W612" s="12" t="e">
        <f>VLOOKUP(A612,'Account Mapping'!$A$2:$F$216,6,0)</f>
        <v>#N/A</v>
      </c>
      <c r="X612" s="194">
        <f t="shared" si="239"/>
        <v>290632.28999999998</v>
      </c>
      <c r="Y612" s="194">
        <f t="shared" si="240"/>
        <v>0</v>
      </c>
      <c r="Z612" s="13">
        <f t="shared" si="241"/>
        <v>0</v>
      </c>
      <c r="AA612" s="13">
        <f t="shared" si="242"/>
        <v>0</v>
      </c>
      <c r="AB612" s="13">
        <f t="shared" si="243"/>
        <v>0</v>
      </c>
      <c r="AC612" s="13">
        <f t="shared" si="244"/>
        <v>0</v>
      </c>
      <c r="AD612" s="13">
        <f t="shared" si="245"/>
        <v>0</v>
      </c>
      <c r="AE612" s="13">
        <f t="shared" si="246"/>
        <v>0</v>
      </c>
      <c r="AF612" s="13">
        <f t="shared" si="247"/>
        <v>0</v>
      </c>
      <c r="AG612" s="685">
        <f t="shared" si="248"/>
        <v>0</v>
      </c>
      <c r="AH612" s="688" t="b">
        <f t="shared" si="249"/>
        <v>1</v>
      </c>
    </row>
    <row r="613" spans="1:34" s="1" customFormat="1" ht="15" customHeight="1">
      <c r="A613" s="946">
        <v>30000001</v>
      </c>
      <c r="B613" s="946" t="s">
        <v>683</v>
      </c>
      <c r="C613" s="946" t="s">
        <v>1393</v>
      </c>
      <c r="D613" s="946">
        <v>100000001</v>
      </c>
      <c r="E613" s="946" t="s">
        <v>33</v>
      </c>
      <c r="F613" s="946" t="s">
        <v>11</v>
      </c>
      <c r="G613" s="947">
        <v>5000000</v>
      </c>
      <c r="H613" s="947">
        <v>5000000</v>
      </c>
      <c r="I613" s="948"/>
      <c r="J613" s="948"/>
      <c r="K613" s="948"/>
      <c r="L613" s="29" t="e">
        <f>VLOOKUP(A613,'Account Mapping'!$A$2:$E$216,3,0)</f>
        <v>#N/A</v>
      </c>
      <c r="M613" s="25" t="e">
        <f>VLOOKUP(A613,'Account Mapping'!$A$2:$E$216,4,0)</f>
        <v>#N/A</v>
      </c>
      <c r="N613" s="26" t="e">
        <f>IF(OR(C613='Account Mapping'!$H$4,C613='Account Mapping'!$H$5,C613='Account Mapping'!$H$6),'Account Mapping'!$I$4,VLOOKUP(A613,'Account Mapping'!$A$2:$E$216,5,0))</f>
        <v>#N/A</v>
      </c>
      <c r="O613" s="27" t="e">
        <f>IF(OR(L613="Loan",L613="Deposit_Liability",L613="OFF_Unused Loan Commitment",L613="HQLA"),VLOOKUP(D613,'Customer Type'!$A$3:$C$38,3,0),"")</f>
        <v>#N/A</v>
      </c>
      <c r="P613" s="656" t="e">
        <f t="shared" si="236"/>
        <v>#N/A</v>
      </c>
      <c r="Q613" s="658">
        <f>IF(COUNTIF('Account Mapping'!$H$12:$H$45,A613)&gt;0,-H613,H613)</f>
        <v>5000000</v>
      </c>
      <c r="R613" s="249" t="e">
        <f>VLOOKUP(P613,Assumptions!$C$2:$D$64,2,0)</f>
        <v>#N/A</v>
      </c>
      <c r="S613" s="692" t="str">
        <f>IFERROR(VLOOKUP(A613,'Maturity Adjustment'!$A$3:$C$81,3,0),(IF(J613&lt;$N$4,"Tomorrow",J613)))</f>
        <v>Tomorrow</v>
      </c>
      <c r="T613" s="190">
        <f t="shared" si="237"/>
        <v>1</v>
      </c>
      <c r="U613" s="196" t="e">
        <f t="shared" si="238"/>
        <v>#N/A</v>
      </c>
      <c r="V613" s="11" t="str">
        <f>IFERROR(VLOOKUP(A613,'Maturity Adjustment'!$A$86:$C$91,3,0),S613)</f>
        <v>Tomorrow</v>
      </c>
      <c r="W613" s="12" t="e">
        <f>VLOOKUP(A613,'Account Mapping'!$A$2:$F$216,6,0)</f>
        <v>#N/A</v>
      </c>
      <c r="X613" s="194">
        <f t="shared" si="239"/>
        <v>5000000</v>
      </c>
      <c r="Y613" s="194">
        <f t="shared" si="240"/>
        <v>0</v>
      </c>
      <c r="Z613" s="13">
        <f t="shared" si="241"/>
        <v>0</v>
      </c>
      <c r="AA613" s="13">
        <f t="shared" si="242"/>
        <v>0</v>
      </c>
      <c r="AB613" s="13">
        <f t="shared" si="243"/>
        <v>0</v>
      </c>
      <c r="AC613" s="13">
        <f t="shared" si="244"/>
        <v>0</v>
      </c>
      <c r="AD613" s="13">
        <f t="shared" si="245"/>
        <v>0</v>
      </c>
      <c r="AE613" s="13">
        <f t="shared" si="246"/>
        <v>0</v>
      </c>
      <c r="AF613" s="13">
        <f t="shared" si="247"/>
        <v>0</v>
      </c>
      <c r="AG613" s="685">
        <f t="shared" si="248"/>
        <v>0</v>
      </c>
      <c r="AH613" s="688" t="b">
        <f t="shared" si="249"/>
        <v>1</v>
      </c>
    </row>
    <row r="614" spans="1:34" s="1" customFormat="1" ht="15" customHeight="1">
      <c r="A614" s="946">
        <v>30000001</v>
      </c>
      <c r="B614" s="946" t="s">
        <v>683</v>
      </c>
      <c r="C614" s="946" t="s">
        <v>1394</v>
      </c>
      <c r="D614" s="946">
        <v>100000001</v>
      </c>
      <c r="E614" s="946" t="s">
        <v>33</v>
      </c>
      <c r="F614" s="946" t="s">
        <v>11</v>
      </c>
      <c r="G614" s="947">
        <v>25000000</v>
      </c>
      <c r="H614" s="947">
        <v>25000000</v>
      </c>
      <c r="I614" s="948"/>
      <c r="J614" s="948"/>
      <c r="K614" s="948"/>
      <c r="L614" s="29" t="e">
        <f>VLOOKUP(A614,'Account Mapping'!$A$2:$E$216,3,0)</f>
        <v>#N/A</v>
      </c>
      <c r="M614" s="25" t="e">
        <f>VLOOKUP(A614,'Account Mapping'!$A$2:$E$216,4,0)</f>
        <v>#N/A</v>
      </c>
      <c r="N614" s="26" t="e">
        <f>IF(OR(C614='Account Mapping'!$H$4,C614='Account Mapping'!$H$5,C614='Account Mapping'!$H$6),'Account Mapping'!$I$4,VLOOKUP(A614,'Account Mapping'!$A$2:$E$216,5,0))</f>
        <v>#N/A</v>
      </c>
      <c r="O614" s="27" t="e">
        <f>IF(OR(L614="Loan",L614="Deposit_Liability",L614="OFF_Unused Loan Commitment",L614="HQLA"),VLOOKUP(D614,'Customer Type'!$A$3:$C$38,3,0),"")</f>
        <v>#N/A</v>
      </c>
      <c r="P614" s="656" t="e">
        <f t="shared" si="236"/>
        <v>#N/A</v>
      </c>
      <c r="Q614" s="658">
        <f>IF(COUNTIF('Account Mapping'!$H$12:$H$45,A614)&gt;0,-H614,H614)</f>
        <v>25000000</v>
      </c>
      <c r="R614" s="249" t="e">
        <f>VLOOKUP(P614,Assumptions!$C$2:$D$64,2,0)</f>
        <v>#N/A</v>
      </c>
      <c r="S614" s="692" t="str">
        <f>IFERROR(VLOOKUP(A614,'Maturity Adjustment'!$A$3:$C$81,3,0),(IF(J614&lt;$N$4,"Tomorrow",J614)))</f>
        <v>Tomorrow</v>
      </c>
      <c r="T614" s="190">
        <f t="shared" si="237"/>
        <v>1</v>
      </c>
      <c r="U614" s="196" t="e">
        <f t="shared" si="238"/>
        <v>#N/A</v>
      </c>
      <c r="V614" s="11" t="str">
        <f>IFERROR(VLOOKUP(A614,'Maturity Adjustment'!$A$86:$C$91,3,0),S614)</f>
        <v>Tomorrow</v>
      </c>
      <c r="W614" s="12" t="e">
        <f>VLOOKUP(A614,'Account Mapping'!$A$2:$F$216,6,0)</f>
        <v>#N/A</v>
      </c>
      <c r="X614" s="194">
        <f t="shared" si="239"/>
        <v>25000000</v>
      </c>
      <c r="Y614" s="194">
        <f t="shared" si="240"/>
        <v>0</v>
      </c>
      <c r="Z614" s="13">
        <f t="shared" si="241"/>
        <v>0</v>
      </c>
      <c r="AA614" s="13">
        <f t="shared" si="242"/>
        <v>0</v>
      </c>
      <c r="AB614" s="13">
        <f t="shared" si="243"/>
        <v>0</v>
      </c>
      <c r="AC614" s="13">
        <f t="shared" si="244"/>
        <v>0</v>
      </c>
      <c r="AD614" s="13">
        <f t="shared" si="245"/>
        <v>0</v>
      </c>
      <c r="AE614" s="13">
        <f t="shared" si="246"/>
        <v>0</v>
      </c>
      <c r="AF614" s="13">
        <f t="shared" si="247"/>
        <v>0</v>
      </c>
      <c r="AG614" s="685">
        <f t="shared" si="248"/>
        <v>0</v>
      </c>
      <c r="AH614" s="688" t="b">
        <f t="shared" si="249"/>
        <v>1</v>
      </c>
    </row>
    <row r="615" spans="1:34" s="1" customFormat="1" ht="15" customHeight="1">
      <c r="A615" s="946">
        <v>30000001</v>
      </c>
      <c r="B615" s="946" t="s">
        <v>683</v>
      </c>
      <c r="C615" s="946" t="s">
        <v>1395</v>
      </c>
      <c r="D615" s="946">
        <v>100000001</v>
      </c>
      <c r="E615" s="946" t="s">
        <v>33</v>
      </c>
      <c r="F615" s="946" t="s">
        <v>11</v>
      </c>
      <c r="G615" s="947">
        <v>-5000000</v>
      </c>
      <c r="H615" s="947">
        <v>-5000000</v>
      </c>
      <c r="I615" s="948"/>
      <c r="J615" s="948"/>
      <c r="K615" s="948"/>
      <c r="L615" s="29" t="e">
        <f>VLOOKUP(A615,'Account Mapping'!$A$2:$E$216,3,0)</f>
        <v>#N/A</v>
      </c>
      <c r="M615" s="25" t="e">
        <f>VLOOKUP(A615,'Account Mapping'!$A$2:$E$216,4,0)</f>
        <v>#N/A</v>
      </c>
      <c r="N615" s="26" t="e">
        <f>IF(OR(C615='Account Mapping'!$H$4,C615='Account Mapping'!$H$5,C615='Account Mapping'!$H$6),'Account Mapping'!$I$4,VLOOKUP(A615,'Account Mapping'!$A$2:$E$216,5,0))</f>
        <v>#N/A</v>
      </c>
      <c r="O615" s="27" t="e">
        <f>IF(OR(L615="Loan",L615="Deposit_Liability",L615="OFF_Unused Loan Commitment",L615="HQLA"),VLOOKUP(D615,'Customer Type'!$A$3:$C$38,3,0),"")</f>
        <v>#N/A</v>
      </c>
      <c r="P615" s="656" t="e">
        <f t="shared" si="236"/>
        <v>#N/A</v>
      </c>
      <c r="Q615" s="658">
        <f>IF(COUNTIF('Account Mapping'!$H$12:$H$45,A615)&gt;0,-H615,H615)</f>
        <v>-5000000</v>
      </c>
      <c r="R615" s="249" t="e">
        <f>VLOOKUP(P615,Assumptions!$C$2:$D$64,2,0)</f>
        <v>#N/A</v>
      </c>
      <c r="S615" s="692" t="str">
        <f>IFERROR(VLOOKUP(A615,'Maturity Adjustment'!$A$3:$C$81,3,0),(IF(J615&lt;$N$4,"Tomorrow",J615)))</f>
        <v>Tomorrow</v>
      </c>
      <c r="T615" s="190">
        <f t="shared" si="237"/>
        <v>1</v>
      </c>
      <c r="U615" s="196" t="e">
        <f t="shared" si="238"/>
        <v>#N/A</v>
      </c>
      <c r="V615" s="11" t="str">
        <f>IFERROR(VLOOKUP(A615,'Maturity Adjustment'!$A$86:$C$91,3,0),S615)</f>
        <v>Tomorrow</v>
      </c>
      <c r="W615" s="12" t="e">
        <f>VLOOKUP(A615,'Account Mapping'!$A$2:$F$216,6,0)</f>
        <v>#N/A</v>
      </c>
      <c r="X615" s="194">
        <f t="shared" si="239"/>
        <v>-5000000</v>
      </c>
      <c r="Y615" s="194">
        <f t="shared" si="240"/>
        <v>0</v>
      </c>
      <c r="Z615" s="13">
        <f t="shared" si="241"/>
        <v>0</v>
      </c>
      <c r="AA615" s="13">
        <f t="shared" si="242"/>
        <v>0</v>
      </c>
      <c r="AB615" s="13">
        <f t="shared" si="243"/>
        <v>0</v>
      </c>
      <c r="AC615" s="13">
        <f t="shared" si="244"/>
        <v>0</v>
      </c>
      <c r="AD615" s="13">
        <f t="shared" si="245"/>
        <v>0</v>
      </c>
      <c r="AE615" s="13">
        <f t="shared" si="246"/>
        <v>0</v>
      </c>
      <c r="AF615" s="13">
        <f t="shared" si="247"/>
        <v>0</v>
      </c>
      <c r="AG615" s="685">
        <f t="shared" si="248"/>
        <v>0</v>
      </c>
      <c r="AH615" s="688" t="b">
        <f t="shared" si="249"/>
        <v>1</v>
      </c>
    </row>
    <row r="616" spans="1:34" s="1" customFormat="1" ht="15" customHeight="1">
      <c r="A616" s="946">
        <v>30000001</v>
      </c>
      <c r="B616" s="946" t="s">
        <v>683</v>
      </c>
      <c r="C616" s="946" t="s">
        <v>1396</v>
      </c>
      <c r="D616" s="946">
        <v>100000001</v>
      </c>
      <c r="E616" s="946" t="s">
        <v>33</v>
      </c>
      <c r="F616" s="946" t="s">
        <v>11</v>
      </c>
      <c r="G616" s="947">
        <v>-25000000</v>
      </c>
      <c r="H616" s="947">
        <v>-25000000</v>
      </c>
      <c r="I616" s="948"/>
      <c r="J616" s="948"/>
      <c r="K616" s="948"/>
      <c r="L616" s="29" t="e">
        <f>VLOOKUP(A616,'Account Mapping'!$A$2:$E$216,3,0)</f>
        <v>#N/A</v>
      </c>
      <c r="M616" s="25" t="e">
        <f>VLOOKUP(A616,'Account Mapping'!$A$2:$E$216,4,0)</f>
        <v>#N/A</v>
      </c>
      <c r="N616" s="26" t="e">
        <f>IF(OR(C616='Account Mapping'!$H$4,C616='Account Mapping'!$H$5,C616='Account Mapping'!$H$6),'Account Mapping'!$I$4,VLOOKUP(A616,'Account Mapping'!$A$2:$E$216,5,0))</f>
        <v>#N/A</v>
      </c>
      <c r="O616" s="27" t="e">
        <f>IF(OR(L616="Loan",L616="Deposit_Liability",L616="OFF_Unused Loan Commitment",L616="HQLA"),VLOOKUP(D616,'Customer Type'!$A$3:$C$38,3,0),"")</f>
        <v>#N/A</v>
      </c>
      <c r="P616" s="656" t="e">
        <f t="shared" si="236"/>
        <v>#N/A</v>
      </c>
      <c r="Q616" s="658">
        <f>IF(COUNTIF('Account Mapping'!$H$12:$H$45,A616)&gt;0,-H616,H616)</f>
        <v>-25000000</v>
      </c>
      <c r="R616" s="249" t="e">
        <f>VLOOKUP(P616,Assumptions!$C$2:$D$64,2,0)</f>
        <v>#N/A</v>
      </c>
      <c r="S616" s="692" t="str">
        <f>IFERROR(VLOOKUP(A616,'Maturity Adjustment'!$A$3:$C$81,3,0),(IF(J616&lt;$N$4,"Tomorrow",J616)))</f>
        <v>Tomorrow</v>
      </c>
      <c r="T616" s="190">
        <f t="shared" si="237"/>
        <v>1</v>
      </c>
      <c r="U616" s="196" t="e">
        <f t="shared" si="238"/>
        <v>#N/A</v>
      </c>
      <c r="V616" s="11" t="str">
        <f>IFERROR(VLOOKUP(A616,'Maturity Adjustment'!$A$86:$C$91,3,0),S616)</f>
        <v>Tomorrow</v>
      </c>
      <c r="W616" s="12" t="e">
        <f>VLOOKUP(A616,'Account Mapping'!$A$2:$F$216,6,0)</f>
        <v>#N/A</v>
      </c>
      <c r="X616" s="194">
        <f t="shared" si="239"/>
        <v>-25000000</v>
      </c>
      <c r="Y616" s="194">
        <f t="shared" si="240"/>
        <v>0</v>
      </c>
      <c r="Z616" s="13">
        <f t="shared" si="241"/>
        <v>0</v>
      </c>
      <c r="AA616" s="13">
        <f t="shared" si="242"/>
        <v>0</v>
      </c>
      <c r="AB616" s="13">
        <f t="shared" si="243"/>
        <v>0</v>
      </c>
      <c r="AC616" s="13">
        <f t="shared" si="244"/>
        <v>0</v>
      </c>
      <c r="AD616" s="13">
        <f t="shared" si="245"/>
        <v>0</v>
      </c>
      <c r="AE616" s="13">
        <f t="shared" si="246"/>
        <v>0</v>
      </c>
      <c r="AF616" s="13">
        <f t="shared" si="247"/>
        <v>0</v>
      </c>
      <c r="AG616" s="685">
        <f t="shared" si="248"/>
        <v>0</v>
      </c>
      <c r="AH616" s="688" t="b">
        <f t="shared" si="249"/>
        <v>1</v>
      </c>
    </row>
    <row r="617" spans="1:34" s="1" customFormat="1" ht="15" customHeight="1">
      <c r="A617" s="946">
        <v>62010002</v>
      </c>
      <c r="B617" s="946" t="s">
        <v>1397</v>
      </c>
      <c r="C617" s="946" t="s">
        <v>43</v>
      </c>
      <c r="D617" s="946">
        <v>100000014</v>
      </c>
      <c r="E617" s="946" t="s">
        <v>23</v>
      </c>
      <c r="F617" s="946" t="s">
        <v>26</v>
      </c>
      <c r="G617" s="947">
        <v>3759659.37</v>
      </c>
      <c r="H617" s="947">
        <v>5352590.22</v>
      </c>
      <c r="I617" s="948">
        <v>45106</v>
      </c>
      <c r="J617" s="948">
        <v>47579</v>
      </c>
      <c r="K617" s="948"/>
      <c r="L617" s="29" t="e">
        <f>VLOOKUP(A617,'Account Mapping'!$A$2:$E$216,3,0)</f>
        <v>#N/A</v>
      </c>
      <c r="M617" s="25" t="e">
        <f>VLOOKUP(A617,'Account Mapping'!$A$2:$E$216,4,0)</f>
        <v>#N/A</v>
      </c>
      <c r="N617" s="26" t="e">
        <f>IF(OR(C617='Account Mapping'!$H$4,C617='Account Mapping'!$H$5,C617='Account Mapping'!$H$6),'Account Mapping'!$I$4,VLOOKUP(A617,'Account Mapping'!$A$2:$E$216,5,0))</f>
        <v>#N/A</v>
      </c>
      <c r="O617" s="27" t="e">
        <f>IF(OR(L617="Loan",L617="Deposit_Liability",L617="OFF_Unused Loan Commitment",L617="HQLA"),VLOOKUP(D617,'Customer Type'!$A$3:$C$38,3,0),"")</f>
        <v>#N/A</v>
      </c>
      <c r="P617" s="656" t="e">
        <f t="shared" si="236"/>
        <v>#N/A</v>
      </c>
      <c r="Q617" s="658">
        <f>IF(COUNTIF('Account Mapping'!$H$12:$H$45,A617)&gt;0,-H617,H617)</f>
        <v>5352590.22</v>
      </c>
      <c r="R617" s="249" t="e">
        <f>VLOOKUP(P617,Assumptions!$C$2:$D$64,2,0)</f>
        <v>#N/A</v>
      </c>
      <c r="S617" s="692">
        <f>IFERROR(VLOOKUP(A617,'Maturity Adjustment'!$A$3:$C$81,3,0),(IF(J617&lt;$N$4,"Tomorrow",J617)))</f>
        <v>47579</v>
      </c>
      <c r="T617" s="190">
        <f t="shared" si="237"/>
        <v>1521</v>
      </c>
      <c r="U617" s="196" t="e">
        <f t="shared" si="238"/>
        <v>#N/A</v>
      </c>
      <c r="V617" s="11">
        <f>IFERROR(VLOOKUP(A617,'Maturity Adjustment'!$A$86:$C$91,3,0),S617)</f>
        <v>47579</v>
      </c>
      <c r="W617" s="12" t="e">
        <f>VLOOKUP(A617,'Account Mapping'!$A$2:$F$216,6,0)</f>
        <v>#N/A</v>
      </c>
      <c r="X617" s="194">
        <f t="shared" si="239"/>
        <v>0</v>
      </c>
      <c r="Y617" s="194">
        <f t="shared" si="240"/>
        <v>0</v>
      </c>
      <c r="Z617" s="13">
        <f t="shared" si="241"/>
        <v>0</v>
      </c>
      <c r="AA617" s="13">
        <f t="shared" si="242"/>
        <v>0</v>
      </c>
      <c r="AB617" s="13">
        <f t="shared" si="243"/>
        <v>0</v>
      </c>
      <c r="AC617" s="13">
        <f t="shared" si="244"/>
        <v>0</v>
      </c>
      <c r="AD617" s="13">
        <f t="shared" si="245"/>
        <v>0</v>
      </c>
      <c r="AE617" s="13">
        <f t="shared" si="246"/>
        <v>5352590.22</v>
      </c>
      <c r="AF617" s="13">
        <f t="shared" si="247"/>
        <v>0</v>
      </c>
      <c r="AG617" s="685">
        <f t="shared" si="248"/>
        <v>0</v>
      </c>
      <c r="AH617" s="688" t="b">
        <f t="shared" si="249"/>
        <v>1</v>
      </c>
    </row>
    <row r="618" spans="1:34" s="1" customFormat="1" ht="15" customHeight="1">
      <c r="A618" s="946">
        <v>62020002</v>
      </c>
      <c r="B618" s="946" t="s">
        <v>1398</v>
      </c>
      <c r="C618" s="946" t="s">
        <v>1463</v>
      </c>
      <c r="D618" s="946">
        <v>100000035</v>
      </c>
      <c r="E618" s="946" t="s">
        <v>1277</v>
      </c>
      <c r="F618" s="946" t="s">
        <v>11</v>
      </c>
      <c r="G618" s="947">
        <v>55000000</v>
      </c>
      <c r="H618" s="947">
        <v>55000000</v>
      </c>
      <c r="I618" s="948">
        <v>45903</v>
      </c>
      <c r="J618" s="948">
        <v>47820</v>
      </c>
      <c r="K618" s="948"/>
      <c r="L618" s="29" t="e">
        <f>VLOOKUP(A618,'Account Mapping'!$A$2:$E$216,3,0)</f>
        <v>#N/A</v>
      </c>
      <c r="M618" s="25" t="e">
        <f>VLOOKUP(A618,'Account Mapping'!$A$2:$E$216,4,0)</f>
        <v>#N/A</v>
      </c>
      <c r="N618" s="26" t="e">
        <f>IF(OR(C618='Account Mapping'!$H$4,C618='Account Mapping'!$H$5,C618='Account Mapping'!$H$6),'Account Mapping'!$I$4,VLOOKUP(A618,'Account Mapping'!$A$2:$E$216,5,0))</f>
        <v>#N/A</v>
      </c>
      <c r="O618" s="27" t="e">
        <f>IF(OR(L618="Loan",L618="Deposit_Liability",L618="OFF_Unused Loan Commitment",L618="HQLA"),VLOOKUP(D618,'Customer Type'!$A$3:$C$38,3,0),"")</f>
        <v>#N/A</v>
      </c>
      <c r="P618" s="656" t="e">
        <f t="shared" si="236"/>
        <v>#N/A</v>
      </c>
      <c r="Q618" s="658">
        <f>IF(COUNTIF('Account Mapping'!$H$12:$H$45,A618)&gt;0,-H618,H618)</f>
        <v>55000000</v>
      </c>
      <c r="R618" s="249" t="e">
        <f>VLOOKUP(P618,Assumptions!$C$2:$D$64,2,0)</f>
        <v>#N/A</v>
      </c>
      <c r="S618" s="692">
        <f>IFERROR(VLOOKUP(A618,'Maturity Adjustment'!$A$3:$C$81,3,0),(IF(J618&lt;$N$4,"Tomorrow",J618)))</f>
        <v>47820</v>
      </c>
      <c r="T618" s="190">
        <f t="shared" si="237"/>
        <v>1762</v>
      </c>
      <c r="U618" s="196" t="e">
        <f t="shared" si="238"/>
        <v>#N/A</v>
      </c>
      <c r="V618" s="11">
        <f>IFERROR(VLOOKUP(A618,'Maturity Adjustment'!$A$86:$C$91,3,0),S618)</f>
        <v>47820</v>
      </c>
      <c r="W618" s="12" t="e">
        <f>VLOOKUP(A618,'Account Mapping'!$A$2:$F$216,6,0)</f>
        <v>#N/A</v>
      </c>
      <c r="X618" s="194">
        <f t="shared" si="239"/>
        <v>0</v>
      </c>
      <c r="Y618" s="194">
        <f t="shared" si="240"/>
        <v>0</v>
      </c>
      <c r="Z618" s="13">
        <f t="shared" si="241"/>
        <v>0</v>
      </c>
      <c r="AA618" s="13">
        <f t="shared" si="242"/>
        <v>0</v>
      </c>
      <c r="AB618" s="13">
        <f t="shared" si="243"/>
        <v>0</v>
      </c>
      <c r="AC618" s="13">
        <f t="shared" si="244"/>
        <v>0</v>
      </c>
      <c r="AD618" s="13">
        <f t="shared" si="245"/>
        <v>0</v>
      </c>
      <c r="AE618" s="13">
        <f t="shared" si="246"/>
        <v>55000000</v>
      </c>
      <c r="AF618" s="13">
        <f t="shared" si="247"/>
        <v>0</v>
      </c>
      <c r="AG618" s="685">
        <f t="shared" si="248"/>
        <v>0</v>
      </c>
      <c r="AH618" s="688" t="b">
        <f t="shared" si="249"/>
        <v>1</v>
      </c>
    </row>
    <row r="619" spans="1:34" s="1" customFormat="1" ht="15" customHeight="1">
      <c r="A619" s="946"/>
      <c r="B619" s="946"/>
      <c r="C619" s="946"/>
      <c r="D619" s="946"/>
      <c r="E619" s="946"/>
      <c r="F619" s="946"/>
      <c r="G619" s="947"/>
      <c r="H619" s="947"/>
      <c r="I619" s="949"/>
      <c r="J619" s="949"/>
      <c r="K619" s="948"/>
      <c r="L619" s="29" t="e">
        <f>VLOOKUP(A619,'Account Mapping'!$A$2:$E$216,3,0)</f>
        <v>#N/A</v>
      </c>
      <c r="M619" s="25" t="e">
        <f>VLOOKUP(A619,'Account Mapping'!$A$2:$E$216,4,0)</f>
        <v>#N/A</v>
      </c>
      <c r="N619" s="26" t="e">
        <f>IF(OR(C619='Account Mapping'!$H$4,C619='Account Mapping'!$H$5,C619='Account Mapping'!$H$6),'Account Mapping'!$I$4,VLOOKUP(A619,'Account Mapping'!$A$2:$E$216,5,0))</f>
        <v>#N/A</v>
      </c>
      <c r="O619" s="27" t="e">
        <f>IF(OR(L619="Loan",L619="Deposit_Liability",L619="OFF_Unused Loan Commitment",L619="HQLA"),VLOOKUP(D619,'Customer Type'!$A$3:$C$38,3,0),"")</f>
        <v>#N/A</v>
      </c>
      <c r="P619" s="656" t="e">
        <f t="shared" si="236"/>
        <v>#N/A</v>
      </c>
      <c r="Q619" s="658">
        <f>IF(COUNTIF('Account Mapping'!$H$12:$H$45,A619)&gt;0,-H619,H619)</f>
        <v>0</v>
      </c>
      <c r="R619" s="249" t="e">
        <f>VLOOKUP(P619,Assumptions!$C$2:$D$64,2,0)</f>
        <v>#N/A</v>
      </c>
      <c r="S619" s="692" t="str">
        <f>IFERROR(VLOOKUP(A619,'Maturity Adjustment'!$A$3:$C$81,3,0),(IF(J619&lt;$N$4,"Tomorrow",J619)))</f>
        <v>Tomorrow</v>
      </c>
      <c r="T619" s="190">
        <f t="shared" si="237"/>
        <v>1</v>
      </c>
      <c r="U619" s="196" t="e">
        <f t="shared" si="238"/>
        <v>#N/A</v>
      </c>
      <c r="V619" s="11" t="str">
        <f>IFERROR(VLOOKUP(A619,'Maturity Adjustment'!$A$86:$C$91,3,0),S619)</f>
        <v>Tomorrow</v>
      </c>
      <c r="W619" s="12" t="e">
        <f>VLOOKUP(A619,'Account Mapping'!$A$2:$F$216,6,0)</f>
        <v>#N/A</v>
      </c>
      <c r="X619" s="194">
        <f t="shared" si="239"/>
        <v>0</v>
      </c>
      <c r="Y619" s="194">
        <f t="shared" si="240"/>
        <v>0</v>
      </c>
      <c r="Z619" s="13">
        <f t="shared" si="241"/>
        <v>0</v>
      </c>
      <c r="AA619" s="13">
        <f t="shared" si="242"/>
        <v>0</v>
      </c>
      <c r="AB619" s="13">
        <f t="shared" si="243"/>
        <v>0</v>
      </c>
      <c r="AC619" s="13">
        <f t="shared" si="244"/>
        <v>0</v>
      </c>
      <c r="AD619" s="13">
        <f t="shared" si="245"/>
        <v>0</v>
      </c>
      <c r="AE619" s="13">
        <f t="shared" si="246"/>
        <v>0</v>
      </c>
      <c r="AF619" s="13">
        <f t="shared" si="247"/>
        <v>0</v>
      </c>
      <c r="AG619" s="685">
        <f t="shared" si="248"/>
        <v>0</v>
      </c>
      <c r="AH619" s="688" t="b">
        <f t="shared" si="249"/>
        <v>1</v>
      </c>
    </row>
    <row r="620" spans="1:34" s="1" customFormat="1" ht="15" customHeight="1">
      <c r="A620" s="946"/>
      <c r="B620" s="946"/>
      <c r="C620" s="946"/>
      <c r="D620" s="946"/>
      <c r="E620" s="946"/>
      <c r="F620" s="946"/>
      <c r="G620" s="947"/>
      <c r="H620" s="947"/>
      <c r="I620" s="949"/>
      <c r="J620" s="949"/>
      <c r="K620" s="948"/>
      <c r="L620" s="29" t="e">
        <f>VLOOKUP(A620,'Account Mapping'!$A$2:$E$216,3,0)</f>
        <v>#N/A</v>
      </c>
      <c r="M620" s="25" t="e">
        <f>VLOOKUP(A620,'Account Mapping'!$A$2:$E$216,4,0)</f>
        <v>#N/A</v>
      </c>
      <c r="N620" s="26" t="e">
        <f>IF(OR(C620='Account Mapping'!$H$4,C620='Account Mapping'!$H$5,C620='Account Mapping'!$H$6),'Account Mapping'!$I$4,VLOOKUP(A620,'Account Mapping'!$A$2:$E$216,5,0))</f>
        <v>#N/A</v>
      </c>
      <c r="O620" s="27" t="e">
        <f>IF(OR(L620="Loan",L620="Deposit_Liability",L620="OFF_Unused Loan Commitment",L620="HQLA"),VLOOKUP(D620,'Customer Type'!$A$3:$C$38,3,0),"")</f>
        <v>#N/A</v>
      </c>
      <c r="P620" s="656" t="e">
        <f t="shared" si="236"/>
        <v>#N/A</v>
      </c>
      <c r="Q620" s="658">
        <f>IF(COUNTIF('Account Mapping'!$H$12:$H$45,A620)&gt;0,-H620,H620)</f>
        <v>0</v>
      </c>
      <c r="R620" s="249" t="e">
        <f>VLOOKUP(P620,Assumptions!$C$2:$D$64,2,0)</f>
        <v>#N/A</v>
      </c>
      <c r="S620" s="692" t="str">
        <f>IFERROR(VLOOKUP(A620,'Maturity Adjustment'!$A$3:$C$81,3,0),(IF(J620&lt;$N$4,"Tomorrow",J620)))</f>
        <v>Tomorrow</v>
      </c>
      <c r="T620" s="190">
        <f t="shared" si="237"/>
        <v>1</v>
      </c>
      <c r="U620" s="196" t="e">
        <f t="shared" si="238"/>
        <v>#N/A</v>
      </c>
      <c r="V620" s="11" t="str">
        <f>IFERROR(VLOOKUP(A620,'Maturity Adjustment'!$A$86:$C$91,3,0),S620)</f>
        <v>Tomorrow</v>
      </c>
      <c r="W620" s="12" t="e">
        <f>VLOOKUP(A620,'Account Mapping'!$A$2:$F$216,6,0)</f>
        <v>#N/A</v>
      </c>
      <c r="X620" s="194">
        <f t="shared" si="239"/>
        <v>0</v>
      </c>
      <c r="Y620" s="194">
        <f t="shared" si="240"/>
        <v>0</v>
      </c>
      <c r="Z620" s="13">
        <f t="shared" si="241"/>
        <v>0</v>
      </c>
      <c r="AA620" s="13">
        <f t="shared" si="242"/>
        <v>0</v>
      </c>
      <c r="AB620" s="13">
        <f t="shared" si="243"/>
        <v>0</v>
      </c>
      <c r="AC620" s="13">
        <f t="shared" si="244"/>
        <v>0</v>
      </c>
      <c r="AD620" s="13">
        <f t="shared" si="245"/>
        <v>0</v>
      </c>
      <c r="AE620" s="13">
        <f t="shared" si="246"/>
        <v>0</v>
      </c>
      <c r="AF620" s="13">
        <f t="shared" si="247"/>
        <v>0</v>
      </c>
      <c r="AG620" s="685">
        <f t="shared" si="248"/>
        <v>0</v>
      </c>
      <c r="AH620" s="688" t="b">
        <f t="shared" si="249"/>
        <v>1</v>
      </c>
    </row>
    <row r="621" spans="1:34" s="1" customFormat="1" ht="15" customHeight="1">
      <c r="A621" s="872"/>
      <c r="B621" s="872"/>
      <c r="C621" s="872"/>
      <c r="D621" s="872"/>
      <c r="E621" s="872"/>
      <c r="F621" s="872"/>
      <c r="G621" s="873"/>
      <c r="H621" s="873"/>
      <c r="I621" s="874"/>
      <c r="J621" s="874"/>
      <c r="K621" s="874"/>
      <c r="L621" s="29"/>
      <c r="M621" s="25"/>
      <c r="N621" s="26"/>
      <c r="O621" s="27"/>
      <c r="P621" s="656"/>
      <c r="Q621" s="658"/>
      <c r="R621" s="249"/>
      <c r="S621" s="692"/>
      <c r="T621" s="190"/>
      <c r="U621" s="196"/>
      <c r="V621" s="11"/>
      <c r="W621" s="12"/>
      <c r="X621" s="194"/>
      <c r="Y621" s="194"/>
      <c r="Z621" s="13"/>
      <c r="AA621" s="13"/>
      <c r="AB621" s="13"/>
      <c r="AC621" s="13"/>
      <c r="AD621" s="13"/>
      <c r="AE621" s="13"/>
      <c r="AF621" s="13"/>
      <c r="AG621" s="685"/>
      <c r="AH621" s="688" t="b">
        <f t="shared" ref="AH621" si="250">Q621=SUM(X621:AG621)</f>
        <v>1</v>
      </c>
    </row>
    <row r="622" spans="1:34" s="1" customFormat="1" ht="15" customHeight="1">
      <c r="A622" s="872"/>
      <c r="B622" s="872"/>
      <c r="C622" s="872"/>
      <c r="D622" s="872"/>
      <c r="E622" s="872"/>
      <c r="F622" s="872"/>
      <c r="G622" s="873"/>
      <c r="H622" s="873"/>
      <c r="I622" s="874"/>
      <c r="J622" s="874"/>
      <c r="K622" s="874"/>
      <c r="L622" s="29"/>
      <c r="M622" s="25"/>
      <c r="N622" s="26"/>
      <c r="O622" s="27"/>
      <c r="P622" s="656"/>
      <c r="Q622" s="658"/>
      <c r="R622" s="249"/>
      <c r="S622" s="692"/>
      <c r="T622" s="190"/>
      <c r="U622" s="196"/>
      <c r="V622" s="11"/>
      <c r="W622" s="12"/>
      <c r="X622" s="194"/>
      <c r="Y622" s="194"/>
      <c r="Z622" s="13"/>
      <c r="AA622" s="13"/>
      <c r="AB622" s="13"/>
      <c r="AC622" s="13"/>
      <c r="AD622" s="13"/>
      <c r="AE622" s="13"/>
      <c r="AF622" s="13"/>
      <c r="AG622" s="685"/>
      <c r="AH622" s="688" t="b">
        <f t="shared" ref="AH622:AH625" si="251">Q622=SUM(X622:AG622)</f>
        <v>1</v>
      </c>
    </row>
    <row r="623" spans="1:34" s="1" customFormat="1" ht="15" customHeight="1">
      <c r="A623" s="872"/>
      <c r="B623" s="872"/>
      <c r="C623" s="872"/>
      <c r="D623" s="872"/>
      <c r="E623" s="872"/>
      <c r="F623" s="872"/>
      <c r="G623" s="873"/>
      <c r="H623" s="873"/>
      <c r="I623" s="874"/>
      <c r="J623" s="874"/>
      <c r="K623" s="874"/>
      <c r="L623" s="29"/>
      <c r="M623" s="25"/>
      <c r="N623" s="26"/>
      <c r="O623" s="27"/>
      <c r="P623" s="656"/>
      <c r="Q623" s="658"/>
      <c r="R623" s="249"/>
      <c r="S623" s="692"/>
      <c r="T623" s="190"/>
      <c r="U623" s="196"/>
      <c r="V623" s="11"/>
      <c r="W623" s="12"/>
      <c r="X623" s="194"/>
      <c r="Y623" s="194"/>
      <c r="Z623" s="13"/>
      <c r="AA623" s="13"/>
      <c r="AB623" s="13"/>
      <c r="AC623" s="13"/>
      <c r="AD623" s="13"/>
      <c r="AE623" s="13"/>
      <c r="AF623" s="13"/>
      <c r="AG623" s="685"/>
      <c r="AH623" s="688" t="b">
        <f t="shared" si="251"/>
        <v>1</v>
      </c>
    </row>
    <row r="624" spans="1:34" s="1" customFormat="1" ht="15" customHeight="1">
      <c r="A624" s="872"/>
      <c r="B624" s="872"/>
      <c r="C624" s="872"/>
      <c r="D624" s="872"/>
      <c r="E624" s="872"/>
      <c r="F624" s="872"/>
      <c r="G624" s="873"/>
      <c r="H624" s="873"/>
      <c r="I624" s="875"/>
      <c r="J624" s="875"/>
      <c r="K624" s="874"/>
      <c r="L624" s="29"/>
      <c r="M624" s="25"/>
      <c r="N624" s="26"/>
      <c r="O624" s="27"/>
      <c r="P624" s="656"/>
      <c r="Q624" s="658"/>
      <c r="R624" s="249"/>
      <c r="S624" s="692"/>
      <c r="T624" s="190"/>
      <c r="U624" s="196"/>
      <c r="V624" s="11"/>
      <c r="W624" s="12"/>
      <c r="X624" s="194"/>
      <c r="Y624" s="194"/>
      <c r="Z624" s="13"/>
      <c r="AA624" s="13"/>
      <c r="AB624" s="13"/>
      <c r="AC624" s="13"/>
      <c r="AD624" s="13"/>
      <c r="AE624" s="13"/>
      <c r="AF624" s="13"/>
      <c r="AG624" s="685"/>
      <c r="AH624" s="688" t="b">
        <f t="shared" si="251"/>
        <v>1</v>
      </c>
    </row>
    <row r="625" spans="1:34" s="1" customFormat="1" ht="15" customHeight="1">
      <c r="A625" s="872"/>
      <c r="B625" s="872"/>
      <c r="C625" s="872"/>
      <c r="D625" s="872"/>
      <c r="E625" s="872"/>
      <c r="F625" s="872"/>
      <c r="G625" s="873"/>
      <c r="H625" s="873"/>
      <c r="I625" s="875"/>
      <c r="J625" s="875"/>
      <c r="K625" s="874"/>
      <c r="L625" s="29"/>
      <c r="M625" s="25"/>
      <c r="N625" s="26"/>
      <c r="O625" s="27"/>
      <c r="P625" s="656"/>
      <c r="Q625" s="658"/>
      <c r="R625" s="249"/>
      <c r="S625" s="692"/>
      <c r="T625" s="190"/>
      <c r="U625" s="196"/>
      <c r="V625" s="11"/>
      <c r="W625" s="12"/>
      <c r="X625" s="194"/>
      <c r="Y625" s="194"/>
      <c r="Z625" s="13"/>
      <c r="AA625" s="13"/>
      <c r="AB625" s="13"/>
      <c r="AC625" s="13"/>
      <c r="AD625" s="13"/>
      <c r="AE625" s="13"/>
      <c r="AF625" s="13"/>
      <c r="AG625" s="685"/>
      <c r="AH625" s="688" t="b">
        <f t="shared" si="251"/>
        <v>1</v>
      </c>
    </row>
    <row r="626" spans="1:34" s="1" customFormat="1" ht="15" customHeight="1">
      <c r="A626" s="812"/>
      <c r="B626" s="812"/>
      <c r="C626" s="812"/>
      <c r="D626" s="812"/>
      <c r="E626" s="812"/>
      <c r="F626" s="812"/>
      <c r="G626" s="813"/>
      <c r="H626" s="813"/>
      <c r="I626" s="815"/>
      <c r="J626" s="815"/>
      <c r="K626" s="814"/>
      <c r="L626" s="29"/>
      <c r="M626" s="25"/>
      <c r="N626" s="26"/>
      <c r="O626" s="27"/>
      <c r="P626" s="656"/>
      <c r="Q626" s="658"/>
      <c r="R626" s="249"/>
      <c r="S626" s="692"/>
      <c r="T626" s="190"/>
      <c r="U626" s="196"/>
      <c r="V626" s="11"/>
      <c r="W626" s="12"/>
      <c r="X626" s="194"/>
      <c r="Y626" s="194"/>
      <c r="Z626" s="13"/>
      <c r="AA626" s="13"/>
      <c r="AB626" s="13"/>
      <c r="AC626" s="13"/>
      <c r="AD626" s="13"/>
      <c r="AE626" s="13"/>
      <c r="AF626" s="13"/>
      <c r="AG626" s="685"/>
      <c r="AH626" s="688" t="b">
        <f t="shared" si="221"/>
        <v>1</v>
      </c>
    </row>
    <row r="627" spans="1:34" s="1" customFormat="1" ht="15" customHeight="1">
      <c r="A627" s="807"/>
      <c r="B627" s="807"/>
      <c r="C627" s="807"/>
      <c r="D627" s="807"/>
      <c r="E627" s="807"/>
      <c r="F627" s="807"/>
      <c r="G627" s="808"/>
      <c r="H627" s="808"/>
      <c r="I627" s="809"/>
      <c r="J627" s="809"/>
      <c r="K627" s="809"/>
      <c r="L627" s="29"/>
      <c r="M627" s="25"/>
      <c r="N627" s="26"/>
      <c r="O627" s="27"/>
      <c r="P627" s="656"/>
      <c r="Q627" s="658"/>
      <c r="R627" s="249"/>
      <c r="S627" s="692"/>
      <c r="T627" s="190"/>
      <c r="U627" s="196"/>
      <c r="V627" s="11"/>
      <c r="W627" s="12"/>
      <c r="X627" s="194"/>
      <c r="Y627" s="194"/>
      <c r="Z627" s="13"/>
      <c r="AA627" s="13"/>
      <c r="AB627" s="13"/>
      <c r="AC627" s="13"/>
      <c r="AD627" s="13"/>
      <c r="AE627" s="13"/>
      <c r="AF627" s="13"/>
      <c r="AG627" s="685"/>
      <c r="AH627" s="688" t="b">
        <f t="shared" ref="AH627:AH628" si="252">Q627=SUM(X627:AG627)</f>
        <v>1</v>
      </c>
    </row>
    <row r="628" spans="1:34" s="1" customFormat="1" ht="15" customHeight="1">
      <c r="A628" s="807"/>
      <c r="B628" s="807"/>
      <c r="C628" s="807"/>
      <c r="D628" s="807"/>
      <c r="E628" s="807"/>
      <c r="F628" s="807"/>
      <c r="G628" s="808"/>
      <c r="H628" s="808"/>
      <c r="I628" s="809"/>
      <c r="J628" s="809"/>
      <c r="K628" s="809"/>
      <c r="L628" s="29"/>
      <c r="M628" s="25"/>
      <c r="N628" s="26"/>
      <c r="O628" s="27"/>
      <c r="P628" s="656"/>
      <c r="Q628" s="658"/>
      <c r="R628" s="249"/>
      <c r="S628" s="692"/>
      <c r="T628" s="190"/>
      <c r="U628" s="196"/>
      <c r="V628" s="11"/>
      <c r="W628" s="12"/>
      <c r="X628" s="194"/>
      <c r="Y628" s="194"/>
      <c r="Z628" s="13"/>
      <c r="AA628" s="13"/>
      <c r="AB628" s="13"/>
      <c r="AC628" s="13"/>
      <c r="AD628" s="13"/>
      <c r="AE628" s="13"/>
      <c r="AF628" s="13"/>
      <c r="AG628" s="685"/>
      <c r="AH628" s="688" t="b">
        <f t="shared" si="252"/>
        <v>1</v>
      </c>
    </row>
    <row r="629" spans="1:34" s="1" customFormat="1" ht="15" customHeight="1">
      <c r="A629" s="807"/>
      <c r="B629" s="807"/>
      <c r="C629" s="807"/>
      <c r="D629" s="807"/>
      <c r="E629" s="807"/>
      <c r="F629" s="807"/>
      <c r="G629" s="808"/>
      <c r="H629" s="808"/>
      <c r="I629" s="810"/>
      <c r="J629" s="810"/>
      <c r="K629" s="809"/>
      <c r="L629" s="29"/>
      <c r="M629" s="25"/>
      <c r="N629" s="26"/>
      <c r="O629" s="27"/>
      <c r="P629" s="656"/>
      <c r="Q629" s="658"/>
      <c r="R629" s="249"/>
      <c r="S629" s="692"/>
      <c r="T629" s="190"/>
      <c r="U629" s="196"/>
      <c r="V629" s="11"/>
      <c r="W629" s="12"/>
      <c r="X629" s="194"/>
      <c r="Y629" s="194"/>
      <c r="Z629" s="13"/>
      <c r="AA629" s="13"/>
      <c r="AB629" s="13"/>
      <c r="AC629" s="13"/>
      <c r="AD629" s="13"/>
      <c r="AE629" s="13"/>
      <c r="AF629" s="13"/>
      <c r="AG629" s="685"/>
      <c r="AH629" s="688" t="b">
        <f t="shared" si="221"/>
        <v>1</v>
      </c>
    </row>
    <row r="630" spans="1:34" s="1" customFormat="1" ht="15" customHeight="1">
      <c r="A630" s="807"/>
      <c r="B630" s="807"/>
      <c r="C630" s="807"/>
      <c r="D630" s="807"/>
      <c r="E630" s="807"/>
      <c r="F630" s="807"/>
      <c r="G630" s="808"/>
      <c r="H630" s="808"/>
      <c r="I630" s="810"/>
      <c r="J630" s="810"/>
      <c r="K630" s="809"/>
      <c r="L630" s="29"/>
      <c r="M630" s="25"/>
      <c r="N630" s="26"/>
      <c r="O630" s="27"/>
      <c r="P630" s="656"/>
      <c r="Q630" s="658"/>
      <c r="R630" s="249"/>
      <c r="S630" s="692"/>
      <c r="T630" s="190"/>
      <c r="U630" s="196"/>
      <c r="V630" s="11"/>
      <c r="W630" s="12"/>
      <c r="X630" s="194"/>
      <c r="Y630" s="194"/>
      <c r="Z630" s="13"/>
      <c r="AA630" s="13"/>
      <c r="AB630" s="13"/>
      <c r="AC630" s="13"/>
      <c r="AD630" s="13"/>
      <c r="AE630" s="13"/>
      <c r="AF630" s="13"/>
      <c r="AG630" s="685"/>
      <c r="AH630" s="688" t="b">
        <f t="shared" si="221"/>
        <v>1</v>
      </c>
    </row>
    <row r="631" spans="1:34" s="1" customFormat="1" ht="15" customHeight="1">
      <c r="A631" s="603"/>
      <c r="B631" s="603"/>
      <c r="C631" s="603"/>
      <c r="D631" s="603"/>
      <c r="E631" s="603"/>
      <c r="F631" s="603"/>
      <c r="G631" s="610"/>
      <c r="H631" s="610"/>
      <c r="I631" s="612"/>
      <c r="J631" s="612"/>
      <c r="K631" s="612"/>
      <c r="L631" s="29"/>
      <c r="M631" s="25"/>
      <c r="N631" s="26"/>
      <c r="O631" s="27"/>
      <c r="P631" s="656"/>
      <c r="Q631" s="658"/>
      <c r="R631" s="249"/>
      <c r="S631" s="692"/>
      <c r="T631" s="190"/>
      <c r="U631" s="196"/>
      <c r="V631" s="11"/>
      <c r="W631" s="12"/>
      <c r="X631" s="194"/>
      <c r="Y631" s="194"/>
      <c r="Z631" s="13"/>
      <c r="AA631" s="13"/>
      <c r="AB631" s="13"/>
      <c r="AC631" s="13"/>
      <c r="AD631" s="13"/>
      <c r="AE631" s="13"/>
      <c r="AF631" s="13"/>
      <c r="AG631" s="685"/>
      <c r="AH631" s="688" t="b">
        <f t="shared" si="221"/>
        <v>1</v>
      </c>
    </row>
    <row r="632" spans="1:34" s="1" customFormat="1" ht="15" customHeight="1">
      <c r="A632" s="603"/>
      <c r="B632" s="603"/>
      <c r="C632" s="603"/>
      <c r="D632" s="603"/>
      <c r="E632" s="603"/>
      <c r="F632" s="603"/>
      <c r="G632" s="610"/>
      <c r="H632" s="610"/>
      <c r="I632" s="612"/>
      <c r="J632" s="612"/>
      <c r="K632" s="612"/>
      <c r="L632" s="29"/>
      <c r="M632" s="25"/>
      <c r="N632" s="26"/>
      <c r="O632" s="27"/>
      <c r="P632" s="656"/>
      <c r="Q632" s="658"/>
      <c r="R632" s="249"/>
      <c r="S632" s="692"/>
      <c r="T632" s="190"/>
      <c r="U632" s="196"/>
      <c r="V632" s="11"/>
      <c r="W632" s="12"/>
      <c r="X632" s="194"/>
      <c r="Y632" s="194"/>
      <c r="Z632" s="13"/>
      <c r="AA632" s="13"/>
      <c r="AB632" s="13"/>
      <c r="AC632" s="13"/>
      <c r="AD632" s="13"/>
      <c r="AE632" s="13"/>
      <c r="AF632" s="13"/>
      <c r="AG632" s="685"/>
      <c r="AH632" s="688" t="b">
        <f t="shared" si="221"/>
        <v>1</v>
      </c>
    </row>
    <row r="633" spans="1:34" s="1" customFormat="1" ht="15" customHeight="1">
      <c r="A633" s="603"/>
      <c r="B633" s="603"/>
      <c r="C633" s="603"/>
      <c r="D633" s="603"/>
      <c r="E633" s="603"/>
      <c r="F633" s="603"/>
      <c r="G633" s="610"/>
      <c r="H633" s="610"/>
      <c r="I633" s="612"/>
      <c r="J633" s="612"/>
      <c r="K633" s="612"/>
      <c r="L633" s="29"/>
      <c r="M633" s="25"/>
      <c r="N633" s="26"/>
      <c r="O633" s="27"/>
      <c r="P633" s="656"/>
      <c r="Q633" s="658"/>
      <c r="R633" s="249"/>
      <c r="S633" s="692"/>
      <c r="T633" s="190"/>
      <c r="U633" s="196"/>
      <c r="V633" s="11"/>
      <c r="W633" s="12"/>
      <c r="X633" s="194"/>
      <c r="Y633" s="194"/>
      <c r="Z633" s="13"/>
      <c r="AA633" s="13"/>
      <c r="AB633" s="13"/>
      <c r="AC633" s="13"/>
      <c r="AD633" s="13"/>
      <c r="AE633" s="13"/>
      <c r="AF633" s="13"/>
      <c r="AG633" s="685"/>
      <c r="AH633" s="688" t="b">
        <f t="shared" si="221"/>
        <v>1</v>
      </c>
    </row>
    <row r="634" spans="1:34" s="1" customFormat="1" ht="15" customHeight="1">
      <c r="A634" s="603"/>
      <c r="B634" s="603"/>
      <c r="C634" s="603"/>
      <c r="D634" s="603"/>
      <c r="E634" s="603"/>
      <c r="F634" s="603"/>
      <c r="G634" s="610"/>
      <c r="H634" s="610"/>
      <c r="I634" s="611"/>
      <c r="J634" s="611"/>
      <c r="K634" s="611"/>
      <c r="L634" s="29"/>
      <c r="M634" s="25"/>
      <c r="N634" s="26"/>
      <c r="O634" s="27"/>
      <c r="P634" s="656"/>
      <c r="Q634" s="658"/>
      <c r="R634" s="249"/>
      <c r="S634" s="692"/>
      <c r="T634" s="190"/>
      <c r="U634" s="196"/>
      <c r="V634" s="11"/>
      <c r="W634" s="12"/>
      <c r="X634" s="194"/>
      <c r="Y634" s="194"/>
      <c r="Z634" s="13"/>
      <c r="AA634" s="13"/>
      <c r="AB634" s="13"/>
      <c r="AC634" s="13"/>
      <c r="AD634" s="13"/>
      <c r="AE634" s="13"/>
      <c r="AF634" s="13"/>
      <c r="AG634" s="685"/>
      <c r="AH634" s="688" t="b">
        <f t="shared" si="221"/>
        <v>1</v>
      </c>
    </row>
    <row r="635" spans="1:34" s="1" customFormat="1" ht="15" customHeight="1">
      <c r="A635" s="603"/>
      <c r="B635" s="603"/>
      <c r="C635" s="603"/>
      <c r="D635" s="603"/>
      <c r="E635" s="603"/>
      <c r="F635" s="603"/>
      <c r="G635" s="610"/>
      <c r="H635" s="610"/>
      <c r="I635" s="611"/>
      <c r="J635" s="611"/>
      <c r="K635" s="611"/>
      <c r="L635" s="29"/>
      <c r="M635" s="25"/>
      <c r="N635" s="26"/>
      <c r="O635" s="27"/>
      <c r="P635" s="656"/>
      <c r="Q635" s="658"/>
      <c r="R635" s="249"/>
      <c r="S635" s="692"/>
      <c r="T635" s="190"/>
      <c r="U635" s="196"/>
      <c r="V635" s="11"/>
      <c r="W635" s="12"/>
      <c r="X635" s="194"/>
      <c r="Y635" s="194"/>
      <c r="Z635" s="13"/>
      <c r="AA635" s="13"/>
      <c r="AB635" s="13"/>
      <c r="AC635" s="13"/>
      <c r="AD635" s="13"/>
      <c r="AE635" s="13"/>
      <c r="AF635" s="13"/>
      <c r="AG635" s="685"/>
      <c r="AH635" s="688" t="b">
        <f t="shared" si="221"/>
        <v>1</v>
      </c>
    </row>
    <row r="636" spans="1:34" s="1" customFormat="1" ht="15" customHeight="1">
      <c r="A636" s="603"/>
      <c r="B636" s="603"/>
      <c r="C636" s="603"/>
      <c r="D636" s="603"/>
      <c r="E636" s="603"/>
      <c r="F636" s="603"/>
      <c r="G636" s="610"/>
      <c r="H636" s="610"/>
      <c r="I636" s="611"/>
      <c r="J636" s="611"/>
      <c r="K636" s="611"/>
      <c r="L636" s="29"/>
      <c r="M636" s="25"/>
      <c r="N636" s="26"/>
      <c r="O636" s="27"/>
      <c r="P636" s="656"/>
      <c r="Q636" s="658"/>
      <c r="R636" s="249"/>
      <c r="S636" s="692"/>
      <c r="T636" s="190"/>
      <c r="U636" s="196"/>
      <c r="V636" s="11"/>
      <c r="W636" s="12"/>
      <c r="X636" s="194"/>
      <c r="Y636" s="194"/>
      <c r="Z636" s="13"/>
      <c r="AA636" s="13"/>
      <c r="AB636" s="13"/>
      <c r="AC636" s="13"/>
      <c r="AD636" s="13"/>
      <c r="AE636" s="13"/>
      <c r="AF636" s="13"/>
      <c r="AG636" s="685"/>
      <c r="AH636" s="688" t="b">
        <f t="shared" si="221"/>
        <v>1</v>
      </c>
    </row>
    <row r="637" spans="1:34" s="1" customFormat="1" ht="15" customHeight="1">
      <c r="A637" s="603"/>
      <c r="B637" s="603"/>
      <c r="C637" s="603"/>
      <c r="D637" s="603"/>
      <c r="E637" s="603"/>
      <c r="F637" s="603"/>
      <c r="G637" s="610"/>
      <c r="H637" s="610"/>
      <c r="I637" s="611"/>
      <c r="J637" s="611"/>
      <c r="K637" s="611"/>
      <c r="L637" s="29"/>
      <c r="M637" s="25"/>
      <c r="N637" s="26"/>
      <c r="O637" s="27"/>
      <c r="P637" s="656"/>
      <c r="Q637" s="658"/>
      <c r="R637" s="249"/>
      <c r="S637" s="692"/>
      <c r="T637" s="190"/>
      <c r="U637" s="196"/>
      <c r="V637" s="11"/>
      <c r="W637" s="12"/>
      <c r="X637" s="194"/>
      <c r="Y637" s="194"/>
      <c r="Z637" s="13"/>
      <c r="AA637" s="13"/>
      <c r="AB637" s="13"/>
      <c r="AC637" s="13"/>
      <c r="AD637" s="13"/>
      <c r="AE637" s="13"/>
      <c r="AF637" s="13"/>
      <c r="AG637" s="685"/>
      <c r="AH637" s="688" t="b">
        <f t="shared" si="221"/>
        <v>1</v>
      </c>
    </row>
    <row r="638" spans="1:34" s="1" customFormat="1" ht="15" customHeight="1">
      <c r="A638" s="603"/>
      <c r="B638" s="603"/>
      <c r="C638" s="603"/>
      <c r="D638" s="603"/>
      <c r="E638" s="603"/>
      <c r="F638" s="603"/>
      <c r="G638" s="610"/>
      <c r="H638" s="610"/>
      <c r="I638" s="611"/>
      <c r="J638" s="611"/>
      <c r="K638" s="611"/>
      <c r="L638" s="29"/>
      <c r="M638" s="25"/>
      <c r="N638" s="26"/>
      <c r="O638" s="27"/>
      <c r="P638" s="656"/>
      <c r="Q638" s="658"/>
      <c r="R638" s="249"/>
      <c r="S638" s="692"/>
      <c r="T638" s="190"/>
      <c r="U638" s="196"/>
      <c r="V638" s="11"/>
      <c r="W638" s="12"/>
      <c r="X638" s="194"/>
      <c r="Y638" s="194"/>
      <c r="Z638" s="13"/>
      <c r="AA638" s="13"/>
      <c r="AB638" s="13"/>
      <c r="AC638" s="13"/>
      <c r="AD638" s="13"/>
      <c r="AE638" s="13"/>
      <c r="AF638" s="13"/>
      <c r="AG638" s="685"/>
      <c r="AH638" s="688" t="b">
        <f t="shared" si="221"/>
        <v>1</v>
      </c>
    </row>
    <row r="639" spans="1:34" s="1" customFormat="1" ht="15" customHeight="1">
      <c r="A639" s="603"/>
      <c r="B639" s="603"/>
      <c r="C639" s="603"/>
      <c r="D639" s="603"/>
      <c r="E639" s="603"/>
      <c r="F639" s="603"/>
      <c r="G639" s="610"/>
      <c r="H639" s="610"/>
      <c r="I639" s="611"/>
      <c r="J639" s="611"/>
      <c r="K639" s="611"/>
      <c r="L639" s="29"/>
      <c r="M639" s="25"/>
      <c r="N639" s="26"/>
      <c r="O639" s="27"/>
      <c r="P639" s="656"/>
      <c r="Q639" s="658"/>
      <c r="R639" s="249"/>
      <c r="S639" s="692"/>
      <c r="T639" s="190"/>
      <c r="U639" s="196"/>
      <c r="V639" s="11"/>
      <c r="W639" s="12"/>
      <c r="X639" s="194"/>
      <c r="Y639" s="194"/>
      <c r="Z639" s="13"/>
      <c r="AA639" s="13"/>
      <c r="AB639" s="13"/>
      <c r="AC639" s="13"/>
      <c r="AD639" s="13"/>
      <c r="AE639" s="13"/>
      <c r="AF639" s="13"/>
      <c r="AG639" s="685"/>
      <c r="AH639" s="688" t="b">
        <f t="shared" si="221"/>
        <v>1</v>
      </c>
    </row>
    <row r="640" spans="1:34" s="1" customFormat="1" ht="15" customHeight="1">
      <c r="A640" s="603"/>
      <c r="B640" s="603"/>
      <c r="C640" s="603"/>
      <c r="D640" s="603"/>
      <c r="E640" s="603"/>
      <c r="F640" s="603"/>
      <c r="G640" s="610"/>
      <c r="H640" s="610"/>
      <c r="I640" s="611"/>
      <c r="J640" s="611"/>
      <c r="K640" s="611"/>
      <c r="L640" s="29"/>
      <c r="M640" s="25"/>
      <c r="N640" s="26"/>
      <c r="O640" s="27"/>
      <c r="P640" s="656"/>
      <c r="Q640" s="658"/>
      <c r="R640" s="249"/>
      <c r="S640" s="692"/>
      <c r="T640" s="190"/>
      <c r="U640" s="196"/>
      <c r="V640" s="11"/>
      <c r="W640" s="12"/>
      <c r="X640" s="194"/>
      <c r="Y640" s="194"/>
      <c r="Z640" s="13"/>
      <c r="AA640" s="13"/>
      <c r="AB640" s="13"/>
      <c r="AC640" s="13"/>
      <c r="AD640" s="13"/>
      <c r="AE640" s="13"/>
      <c r="AF640" s="13"/>
      <c r="AG640" s="685"/>
      <c r="AH640" s="688" t="b">
        <f t="shared" si="221"/>
        <v>1</v>
      </c>
    </row>
    <row r="641" spans="1:34" s="1" customFormat="1" ht="15" customHeight="1">
      <c r="A641" s="603"/>
      <c r="B641" s="603"/>
      <c r="C641" s="603"/>
      <c r="D641" s="603"/>
      <c r="E641" s="603"/>
      <c r="F641" s="603"/>
      <c r="G641" s="610"/>
      <c r="H641" s="610"/>
      <c r="I641" s="612"/>
      <c r="J641" s="612"/>
      <c r="K641" s="611"/>
      <c r="L641" s="29"/>
      <c r="M641" s="25"/>
      <c r="N641" s="26"/>
      <c r="O641" s="27"/>
      <c r="P641" s="656"/>
      <c r="Q641" s="658"/>
      <c r="R641" s="249"/>
      <c r="S641" s="692"/>
      <c r="T641" s="190"/>
      <c r="U641" s="196"/>
      <c r="V641" s="11"/>
      <c r="W641" s="12"/>
      <c r="X641" s="194"/>
      <c r="Y641" s="194"/>
      <c r="Z641" s="13"/>
      <c r="AA641" s="13"/>
      <c r="AB641" s="13"/>
      <c r="AC641" s="13"/>
      <c r="AD641" s="13"/>
      <c r="AE641" s="13"/>
      <c r="AF641" s="13"/>
      <c r="AG641" s="685"/>
      <c r="AH641" s="688" t="b">
        <f t="shared" si="221"/>
        <v>1</v>
      </c>
    </row>
    <row r="642" spans="1:34" s="1" customFormat="1" ht="15" customHeight="1">
      <c r="A642" s="603"/>
      <c r="B642" s="603"/>
      <c r="C642" s="603"/>
      <c r="D642" s="603"/>
      <c r="E642" s="603"/>
      <c r="F642" s="603"/>
      <c r="G642" s="610"/>
      <c r="H642" s="610"/>
      <c r="I642" s="612"/>
      <c r="J642" s="612"/>
      <c r="K642" s="611"/>
      <c r="L642" s="29"/>
      <c r="M642" s="25"/>
      <c r="N642" s="26"/>
      <c r="O642" s="27"/>
      <c r="P642" s="656"/>
      <c r="Q642" s="658"/>
      <c r="R642" s="249"/>
      <c r="S642" s="692"/>
      <c r="T642" s="190"/>
      <c r="U642" s="196"/>
      <c r="V642" s="11"/>
      <c r="W642" s="12"/>
      <c r="X642" s="194"/>
      <c r="Y642" s="194"/>
      <c r="Z642" s="13"/>
      <c r="AA642" s="13"/>
      <c r="AB642" s="13"/>
      <c r="AC642" s="13"/>
      <c r="AD642" s="13"/>
      <c r="AE642" s="13"/>
      <c r="AF642" s="13"/>
      <c r="AG642" s="685"/>
      <c r="AH642" s="688" t="b">
        <f t="shared" si="221"/>
        <v>1</v>
      </c>
    </row>
    <row r="643" spans="1:34" s="1" customFormat="1" ht="15" customHeight="1">
      <c r="A643" s="603"/>
      <c r="B643" s="603"/>
      <c r="C643" s="603"/>
      <c r="D643" s="603"/>
      <c r="E643" s="603"/>
      <c r="F643" s="603"/>
      <c r="G643" s="610"/>
      <c r="H643" s="610"/>
      <c r="I643" s="612"/>
      <c r="J643" s="612"/>
      <c r="K643" s="611"/>
      <c r="L643" s="29"/>
      <c r="M643" s="25"/>
      <c r="N643" s="26"/>
      <c r="O643" s="27"/>
      <c r="P643" s="656"/>
      <c r="Q643" s="658"/>
      <c r="R643" s="249"/>
      <c r="S643" s="692"/>
      <c r="T643" s="190"/>
      <c r="U643" s="196"/>
      <c r="V643" s="11"/>
      <c r="W643" s="12"/>
      <c r="X643" s="194"/>
      <c r="Y643" s="194"/>
      <c r="Z643" s="13"/>
      <c r="AA643" s="13"/>
      <c r="AB643" s="13"/>
      <c r="AC643" s="13"/>
      <c r="AD643" s="13"/>
      <c r="AE643" s="13"/>
      <c r="AF643" s="13"/>
      <c r="AG643" s="685"/>
      <c r="AH643" s="688" t="b">
        <f t="shared" si="221"/>
        <v>1</v>
      </c>
    </row>
    <row r="644" spans="1:34" s="1" customFormat="1" ht="15" customHeight="1">
      <c r="A644" s="603"/>
      <c r="B644" s="603"/>
      <c r="C644" s="603"/>
      <c r="D644" s="603"/>
      <c r="E644" s="603"/>
      <c r="F644" s="603"/>
      <c r="G644" s="610"/>
      <c r="H644" s="610"/>
      <c r="I644" s="612"/>
      <c r="J644" s="612"/>
      <c r="K644" s="611"/>
      <c r="L644" s="29"/>
      <c r="M644" s="25"/>
      <c r="N644" s="26"/>
      <c r="O644" s="27"/>
      <c r="P644" s="656"/>
      <c r="Q644" s="658"/>
      <c r="R644" s="249"/>
      <c r="S644" s="692"/>
      <c r="T644" s="190"/>
      <c r="U644" s="196"/>
      <c r="V644" s="11"/>
      <c r="W644" s="12"/>
      <c r="X644" s="194"/>
      <c r="Y644" s="194"/>
      <c r="Z644" s="13"/>
      <c r="AA644" s="13"/>
      <c r="AB644" s="13"/>
      <c r="AC644" s="13"/>
      <c r="AD644" s="13"/>
      <c r="AE644" s="13"/>
      <c r="AF644" s="13"/>
      <c r="AG644" s="685"/>
      <c r="AH644" s="688" t="b">
        <f t="shared" si="221"/>
        <v>1</v>
      </c>
    </row>
    <row r="645" spans="1:34" s="1" customFormat="1" ht="15" customHeight="1">
      <c r="A645" s="603"/>
      <c r="B645" s="603"/>
      <c r="C645" s="603"/>
      <c r="D645" s="603"/>
      <c r="E645" s="603"/>
      <c r="F645" s="603"/>
      <c r="G645" s="610"/>
      <c r="H645" s="610"/>
      <c r="I645" s="612"/>
      <c r="J645" s="612"/>
      <c r="K645" s="611"/>
      <c r="L645" s="29"/>
      <c r="M645" s="25"/>
      <c r="N645" s="26"/>
      <c r="O645" s="27"/>
      <c r="P645" s="656"/>
      <c r="Q645" s="658"/>
      <c r="R645" s="249"/>
      <c r="S645" s="692"/>
      <c r="T645" s="190"/>
      <c r="U645" s="196"/>
      <c r="V645" s="11"/>
      <c r="W645" s="12"/>
      <c r="X645" s="194"/>
      <c r="Y645" s="194"/>
      <c r="Z645" s="13"/>
      <c r="AA645" s="13"/>
      <c r="AB645" s="13"/>
      <c r="AC645" s="13"/>
      <c r="AD645" s="13"/>
      <c r="AE645" s="13"/>
      <c r="AF645" s="13"/>
      <c r="AG645" s="685"/>
      <c r="AH645" s="688" t="b">
        <f t="shared" si="221"/>
        <v>1</v>
      </c>
    </row>
    <row r="646" spans="1:34" s="1" customFormat="1" ht="15" customHeight="1">
      <c r="A646" s="603"/>
      <c r="B646" s="603"/>
      <c r="C646" s="603"/>
      <c r="D646" s="603"/>
      <c r="E646" s="603"/>
      <c r="F646" s="603"/>
      <c r="G646" s="610"/>
      <c r="H646" s="610"/>
      <c r="I646" s="612"/>
      <c r="J646" s="612"/>
      <c r="K646" s="611"/>
      <c r="L646" s="29"/>
      <c r="M646" s="25"/>
      <c r="N646" s="26"/>
      <c r="O646" s="27"/>
      <c r="P646" s="656"/>
      <c r="Q646" s="658"/>
      <c r="R646" s="249"/>
      <c r="S646" s="692"/>
      <c r="T646" s="190"/>
      <c r="U646" s="196"/>
      <c r="V646" s="11"/>
      <c r="W646" s="12"/>
      <c r="X646" s="194"/>
      <c r="Y646" s="194"/>
      <c r="Z646" s="13"/>
      <c r="AA646" s="13"/>
      <c r="AB646" s="13"/>
      <c r="AC646" s="13"/>
      <c r="AD646" s="13"/>
      <c r="AE646" s="13"/>
      <c r="AF646" s="13"/>
      <c r="AG646" s="685"/>
      <c r="AH646" s="688" t="b">
        <f t="shared" ref="AH646:AH709" si="253">Q646=SUM(X646:AG646)</f>
        <v>1</v>
      </c>
    </row>
    <row r="647" spans="1:34" s="1" customFormat="1" ht="15" customHeight="1">
      <c r="A647" s="607"/>
      <c r="B647" s="607"/>
      <c r="C647" s="607"/>
      <c r="D647" s="607"/>
      <c r="E647" s="607"/>
      <c r="F647" s="607"/>
      <c r="G647" s="608"/>
      <c r="H647" s="608"/>
      <c r="I647" s="609"/>
      <c r="J647" s="609"/>
      <c r="K647" s="609"/>
      <c r="L647" s="29"/>
      <c r="M647" s="25"/>
      <c r="N647" s="26"/>
      <c r="O647" s="27"/>
      <c r="P647" s="656"/>
      <c r="Q647" s="658"/>
      <c r="R647" s="249"/>
      <c r="S647" s="692"/>
      <c r="T647" s="190"/>
      <c r="U647" s="196"/>
      <c r="V647" s="11"/>
      <c r="W647" s="12"/>
      <c r="X647" s="194"/>
      <c r="Y647" s="194"/>
      <c r="Z647" s="13"/>
      <c r="AA647" s="13"/>
      <c r="AB647" s="13"/>
      <c r="AC647" s="13"/>
      <c r="AD647" s="13"/>
      <c r="AE647" s="13"/>
      <c r="AF647" s="13"/>
      <c r="AG647" s="685"/>
      <c r="AH647" s="688" t="b">
        <f t="shared" si="253"/>
        <v>1</v>
      </c>
    </row>
    <row r="648" spans="1:34" s="1" customFormat="1" ht="15" customHeight="1">
      <c r="A648" s="607"/>
      <c r="B648" s="607"/>
      <c r="C648" s="607"/>
      <c r="D648" s="607"/>
      <c r="E648" s="607"/>
      <c r="F648" s="607"/>
      <c r="G648" s="608"/>
      <c r="H648" s="608"/>
      <c r="I648" s="609"/>
      <c r="J648" s="609"/>
      <c r="K648" s="609"/>
      <c r="L648" s="29"/>
      <c r="M648" s="25"/>
      <c r="N648" s="26"/>
      <c r="O648" s="27"/>
      <c r="P648" s="656"/>
      <c r="Q648" s="658"/>
      <c r="R648" s="249"/>
      <c r="S648" s="692"/>
      <c r="T648" s="190"/>
      <c r="U648" s="196"/>
      <c r="V648" s="11"/>
      <c r="W648" s="12"/>
      <c r="X648" s="194"/>
      <c r="Y648" s="194"/>
      <c r="Z648" s="13"/>
      <c r="AA648" s="13"/>
      <c r="AB648" s="13"/>
      <c r="AC648" s="13"/>
      <c r="AD648" s="13"/>
      <c r="AE648" s="13"/>
      <c r="AF648" s="13"/>
      <c r="AG648" s="685"/>
      <c r="AH648" s="688" t="b">
        <f t="shared" si="253"/>
        <v>1</v>
      </c>
    </row>
    <row r="649" spans="1:34" s="1" customFormat="1" ht="15" customHeight="1">
      <c r="A649" s="607"/>
      <c r="B649" s="607"/>
      <c r="C649" s="607"/>
      <c r="D649" s="607"/>
      <c r="E649" s="607"/>
      <c r="F649" s="607"/>
      <c r="G649" s="608"/>
      <c r="H649" s="608"/>
      <c r="I649" s="609"/>
      <c r="J649" s="609"/>
      <c r="K649" s="609"/>
      <c r="L649" s="29"/>
      <c r="M649" s="25"/>
      <c r="N649" s="26"/>
      <c r="O649" s="27"/>
      <c r="P649" s="656"/>
      <c r="Q649" s="658"/>
      <c r="R649" s="249"/>
      <c r="S649" s="692"/>
      <c r="T649" s="190"/>
      <c r="U649" s="196"/>
      <c r="V649" s="11"/>
      <c r="W649" s="12"/>
      <c r="X649" s="194"/>
      <c r="Y649" s="194"/>
      <c r="Z649" s="13"/>
      <c r="AA649" s="13"/>
      <c r="AB649" s="13"/>
      <c r="AC649" s="13"/>
      <c r="AD649" s="13"/>
      <c r="AE649" s="13"/>
      <c r="AF649" s="13"/>
      <c r="AG649" s="685"/>
      <c r="AH649" s="688" t="b">
        <f t="shared" si="253"/>
        <v>1</v>
      </c>
    </row>
    <row r="650" spans="1:34" s="1" customFormat="1" ht="15" customHeight="1">
      <c r="A650" s="607"/>
      <c r="B650" s="607"/>
      <c r="C650" s="607"/>
      <c r="D650" s="607"/>
      <c r="E650" s="607"/>
      <c r="F650" s="607"/>
      <c r="G650" s="608"/>
      <c r="H650" s="608"/>
      <c r="I650" s="609"/>
      <c r="J650" s="609"/>
      <c r="K650" s="609"/>
      <c r="L650" s="29"/>
      <c r="M650" s="25"/>
      <c r="N650" s="26"/>
      <c r="O650" s="27"/>
      <c r="P650" s="656"/>
      <c r="Q650" s="658"/>
      <c r="R650" s="249"/>
      <c r="S650" s="692"/>
      <c r="T650" s="190"/>
      <c r="U650" s="196"/>
      <c r="V650" s="11"/>
      <c r="W650" s="12"/>
      <c r="X650" s="194"/>
      <c r="Y650" s="194"/>
      <c r="Z650" s="13"/>
      <c r="AA650" s="13"/>
      <c r="AB650" s="13"/>
      <c r="AC650" s="13"/>
      <c r="AD650" s="13"/>
      <c r="AE650" s="13"/>
      <c r="AF650" s="13"/>
      <c r="AG650" s="685"/>
      <c r="AH650" s="688" t="b">
        <f t="shared" si="253"/>
        <v>1</v>
      </c>
    </row>
    <row r="651" spans="1:34" s="1" customFormat="1" ht="15" customHeight="1">
      <c r="A651" s="607"/>
      <c r="B651" s="607"/>
      <c r="C651" s="607"/>
      <c r="D651" s="607"/>
      <c r="E651" s="607"/>
      <c r="F651" s="607"/>
      <c r="G651" s="608"/>
      <c r="H651" s="608"/>
      <c r="I651" s="609"/>
      <c r="J651" s="609"/>
      <c r="K651" s="609"/>
      <c r="L651" s="29"/>
      <c r="M651" s="25"/>
      <c r="N651" s="26"/>
      <c r="O651" s="27"/>
      <c r="P651" s="656"/>
      <c r="Q651" s="658"/>
      <c r="R651" s="249"/>
      <c r="S651" s="692"/>
      <c r="T651" s="190"/>
      <c r="U651" s="196"/>
      <c r="V651" s="11"/>
      <c r="W651" s="12"/>
      <c r="X651" s="194"/>
      <c r="Y651" s="194"/>
      <c r="Z651" s="13"/>
      <c r="AA651" s="13"/>
      <c r="AB651" s="13"/>
      <c r="AC651" s="13"/>
      <c r="AD651" s="13"/>
      <c r="AE651" s="13"/>
      <c r="AF651" s="13"/>
      <c r="AG651" s="685"/>
      <c r="AH651" s="688" t="b">
        <f t="shared" si="253"/>
        <v>1</v>
      </c>
    </row>
    <row r="652" spans="1:34" s="1" customFormat="1" ht="15" customHeight="1">
      <c r="A652" s="607"/>
      <c r="B652" s="607"/>
      <c r="C652" s="607"/>
      <c r="D652" s="607"/>
      <c r="E652" s="607"/>
      <c r="F652" s="607"/>
      <c r="G652" s="608"/>
      <c r="H652" s="608"/>
      <c r="I652" s="609"/>
      <c r="J652" s="609"/>
      <c r="K652" s="609"/>
      <c r="L652" s="29"/>
      <c r="M652" s="25"/>
      <c r="N652" s="26"/>
      <c r="O652" s="27"/>
      <c r="P652" s="656"/>
      <c r="Q652" s="658"/>
      <c r="R652" s="249"/>
      <c r="S652" s="692"/>
      <c r="T652" s="190"/>
      <c r="U652" s="196"/>
      <c r="V652" s="11"/>
      <c r="W652" s="12"/>
      <c r="X652" s="194"/>
      <c r="Y652" s="194"/>
      <c r="Z652" s="13"/>
      <c r="AA652" s="13"/>
      <c r="AB652" s="13"/>
      <c r="AC652" s="13"/>
      <c r="AD652" s="13"/>
      <c r="AE652" s="13"/>
      <c r="AF652" s="13"/>
      <c r="AG652" s="685"/>
      <c r="AH652" s="688" t="b">
        <f t="shared" si="253"/>
        <v>1</v>
      </c>
    </row>
    <row r="653" spans="1:34" s="1" customFormat="1" ht="15" customHeight="1">
      <c r="A653" s="607"/>
      <c r="B653" s="607"/>
      <c r="C653" s="607"/>
      <c r="D653" s="607"/>
      <c r="E653" s="607"/>
      <c r="F653" s="607"/>
      <c r="G653" s="608"/>
      <c r="H653" s="608"/>
      <c r="I653" s="609"/>
      <c r="J653" s="609"/>
      <c r="K653" s="609"/>
      <c r="L653" s="29"/>
      <c r="M653" s="25"/>
      <c r="N653" s="26"/>
      <c r="O653" s="27"/>
      <c r="P653" s="656"/>
      <c r="Q653" s="658"/>
      <c r="R653" s="249"/>
      <c r="S653" s="692"/>
      <c r="T653" s="190"/>
      <c r="U653" s="196"/>
      <c r="V653" s="11"/>
      <c r="W653" s="12"/>
      <c r="X653" s="194"/>
      <c r="Y653" s="194"/>
      <c r="Z653" s="13"/>
      <c r="AA653" s="13"/>
      <c r="AB653" s="13"/>
      <c r="AC653" s="13"/>
      <c r="AD653" s="13"/>
      <c r="AE653" s="13"/>
      <c r="AF653" s="13"/>
      <c r="AG653" s="685"/>
      <c r="AH653" s="688" t="b">
        <f t="shared" si="253"/>
        <v>1</v>
      </c>
    </row>
    <row r="654" spans="1:34" s="1" customFormat="1" ht="15" customHeight="1">
      <c r="A654" s="607"/>
      <c r="B654" s="607"/>
      <c r="C654" s="607"/>
      <c r="D654" s="607"/>
      <c r="E654" s="607"/>
      <c r="F654" s="607"/>
      <c r="G654" s="608"/>
      <c r="H654" s="608"/>
      <c r="I654" s="609"/>
      <c r="J654" s="609"/>
      <c r="K654" s="609"/>
      <c r="L654" s="29"/>
      <c r="M654" s="25"/>
      <c r="N654" s="26"/>
      <c r="O654" s="27"/>
      <c r="P654" s="656"/>
      <c r="Q654" s="658"/>
      <c r="R654" s="249"/>
      <c r="S654" s="692"/>
      <c r="T654" s="190"/>
      <c r="U654" s="196"/>
      <c r="V654" s="11"/>
      <c r="W654" s="12"/>
      <c r="X654" s="194"/>
      <c r="Y654" s="194"/>
      <c r="Z654" s="13"/>
      <c r="AA654" s="13"/>
      <c r="AB654" s="13"/>
      <c r="AC654" s="13"/>
      <c r="AD654" s="13"/>
      <c r="AE654" s="13"/>
      <c r="AF654" s="13"/>
      <c r="AG654" s="685"/>
      <c r="AH654" s="688" t="b">
        <f t="shared" si="253"/>
        <v>1</v>
      </c>
    </row>
    <row r="655" spans="1:34" s="1" customFormat="1" ht="15" customHeight="1">
      <c r="A655" s="607"/>
      <c r="B655" s="607"/>
      <c r="C655" s="607"/>
      <c r="D655" s="607"/>
      <c r="E655" s="607"/>
      <c r="F655" s="607"/>
      <c r="G655" s="608"/>
      <c r="H655" s="608"/>
      <c r="I655" s="609"/>
      <c r="J655" s="609"/>
      <c r="K655" s="609"/>
      <c r="L655" s="29"/>
      <c r="M655" s="25"/>
      <c r="N655" s="26"/>
      <c r="O655" s="27"/>
      <c r="P655" s="656"/>
      <c r="Q655" s="658"/>
      <c r="R655" s="249"/>
      <c r="S655" s="692"/>
      <c r="T655" s="190"/>
      <c r="U655" s="196"/>
      <c r="V655" s="11"/>
      <c r="W655" s="12"/>
      <c r="X655" s="194"/>
      <c r="Y655" s="194"/>
      <c r="Z655" s="13"/>
      <c r="AA655" s="13"/>
      <c r="AB655" s="13"/>
      <c r="AC655" s="13"/>
      <c r="AD655" s="13"/>
      <c r="AE655" s="13"/>
      <c r="AF655" s="13"/>
      <c r="AG655" s="685"/>
      <c r="AH655" s="688" t="b">
        <f t="shared" si="253"/>
        <v>1</v>
      </c>
    </row>
    <row r="656" spans="1:34" s="1" customFormat="1" ht="15" customHeight="1">
      <c r="A656" s="607"/>
      <c r="B656" s="607"/>
      <c r="C656" s="607"/>
      <c r="D656" s="607"/>
      <c r="E656" s="607"/>
      <c r="F656" s="607"/>
      <c r="G656" s="608"/>
      <c r="H656" s="608"/>
      <c r="I656" s="609"/>
      <c r="J656" s="609"/>
      <c r="K656" s="609"/>
      <c r="L656" s="29"/>
      <c r="M656" s="25"/>
      <c r="N656" s="26"/>
      <c r="O656" s="27"/>
      <c r="P656" s="656"/>
      <c r="Q656" s="658"/>
      <c r="R656" s="249"/>
      <c r="S656" s="692"/>
      <c r="T656" s="190"/>
      <c r="U656" s="196"/>
      <c r="V656" s="11"/>
      <c r="W656" s="12"/>
      <c r="X656" s="194"/>
      <c r="Y656" s="194"/>
      <c r="Z656" s="13"/>
      <c r="AA656" s="13"/>
      <c r="AB656" s="13"/>
      <c r="AC656" s="13"/>
      <c r="AD656" s="13"/>
      <c r="AE656" s="13"/>
      <c r="AF656" s="13"/>
      <c r="AG656" s="685"/>
      <c r="AH656" s="688" t="b">
        <f t="shared" si="253"/>
        <v>1</v>
      </c>
    </row>
    <row r="657" spans="1:34" s="1" customFormat="1" ht="15" customHeight="1">
      <c r="A657" s="607"/>
      <c r="B657" s="607"/>
      <c r="C657" s="607"/>
      <c r="D657" s="607"/>
      <c r="E657" s="607"/>
      <c r="F657" s="607"/>
      <c r="G657" s="608"/>
      <c r="H657" s="608"/>
      <c r="I657" s="609"/>
      <c r="J657" s="609"/>
      <c r="K657" s="609"/>
      <c r="L657" s="29"/>
      <c r="M657" s="25"/>
      <c r="N657" s="26"/>
      <c r="O657" s="27"/>
      <c r="P657" s="656"/>
      <c r="Q657" s="658"/>
      <c r="R657" s="249"/>
      <c r="S657" s="692"/>
      <c r="T657" s="190"/>
      <c r="U657" s="196"/>
      <c r="V657" s="11"/>
      <c r="W657" s="12"/>
      <c r="X657" s="194"/>
      <c r="Y657" s="194"/>
      <c r="Z657" s="13"/>
      <c r="AA657" s="13"/>
      <c r="AB657" s="13"/>
      <c r="AC657" s="13"/>
      <c r="AD657" s="13"/>
      <c r="AE657" s="13"/>
      <c r="AF657" s="13"/>
      <c r="AG657" s="685"/>
      <c r="AH657" s="688" t="b">
        <f t="shared" si="253"/>
        <v>1</v>
      </c>
    </row>
    <row r="658" spans="1:34" s="1" customFormat="1" ht="15" customHeight="1">
      <c r="A658" s="607"/>
      <c r="B658" s="607"/>
      <c r="C658" s="607"/>
      <c r="D658" s="607"/>
      <c r="E658" s="607"/>
      <c r="F658" s="607"/>
      <c r="G658" s="608"/>
      <c r="H658" s="608"/>
      <c r="I658" s="609"/>
      <c r="J658" s="609"/>
      <c r="K658" s="609"/>
      <c r="L658" s="29"/>
      <c r="M658" s="25"/>
      <c r="N658" s="26"/>
      <c r="O658" s="27"/>
      <c r="P658" s="656"/>
      <c r="Q658" s="658"/>
      <c r="R658" s="249"/>
      <c r="S658" s="692"/>
      <c r="T658" s="190"/>
      <c r="U658" s="196"/>
      <c r="V658" s="11"/>
      <c r="W658" s="12"/>
      <c r="X658" s="194"/>
      <c r="Y658" s="194"/>
      <c r="Z658" s="13"/>
      <c r="AA658" s="13"/>
      <c r="AB658" s="13"/>
      <c r="AC658" s="13"/>
      <c r="AD658" s="13"/>
      <c r="AE658" s="13"/>
      <c r="AF658" s="13"/>
      <c r="AG658" s="685"/>
      <c r="AH658" s="688" t="b">
        <f t="shared" si="253"/>
        <v>1</v>
      </c>
    </row>
    <row r="659" spans="1:34" s="1" customFormat="1" ht="15" customHeight="1">
      <c r="A659" s="607"/>
      <c r="B659" s="607"/>
      <c r="C659" s="607"/>
      <c r="D659" s="607"/>
      <c r="E659" s="607"/>
      <c r="F659" s="607"/>
      <c r="G659" s="608"/>
      <c r="H659" s="608"/>
      <c r="I659" s="609"/>
      <c r="J659" s="609"/>
      <c r="K659" s="609"/>
      <c r="L659" s="29"/>
      <c r="M659" s="25"/>
      <c r="N659" s="26"/>
      <c r="O659" s="27"/>
      <c r="P659" s="656"/>
      <c r="Q659" s="658"/>
      <c r="R659" s="249"/>
      <c r="S659" s="692"/>
      <c r="T659" s="190"/>
      <c r="U659" s="196"/>
      <c r="V659" s="11"/>
      <c r="W659" s="12"/>
      <c r="X659" s="194"/>
      <c r="Y659" s="194"/>
      <c r="Z659" s="13"/>
      <c r="AA659" s="13"/>
      <c r="AB659" s="13"/>
      <c r="AC659" s="13"/>
      <c r="AD659" s="13"/>
      <c r="AE659" s="13"/>
      <c r="AF659" s="13"/>
      <c r="AG659" s="685"/>
      <c r="AH659" s="688" t="b">
        <f t="shared" si="253"/>
        <v>1</v>
      </c>
    </row>
    <row r="660" spans="1:34" s="1" customFormat="1" ht="15" customHeight="1">
      <c r="A660" s="607"/>
      <c r="B660" s="607"/>
      <c r="C660" s="607"/>
      <c r="D660" s="607"/>
      <c r="E660" s="607"/>
      <c r="F660" s="607"/>
      <c r="G660" s="608"/>
      <c r="H660" s="608"/>
      <c r="I660" s="609"/>
      <c r="J660" s="609"/>
      <c r="K660" s="609"/>
      <c r="L660" s="29"/>
      <c r="M660" s="25"/>
      <c r="N660" s="26"/>
      <c r="O660" s="27"/>
      <c r="P660" s="656"/>
      <c r="Q660" s="658"/>
      <c r="R660" s="249"/>
      <c r="S660" s="692"/>
      <c r="T660" s="190"/>
      <c r="U660" s="196"/>
      <c r="V660" s="11"/>
      <c r="W660" s="12"/>
      <c r="X660" s="194"/>
      <c r="Y660" s="194"/>
      <c r="Z660" s="13"/>
      <c r="AA660" s="13"/>
      <c r="AB660" s="13"/>
      <c r="AC660" s="13"/>
      <c r="AD660" s="13"/>
      <c r="AE660" s="13"/>
      <c r="AF660" s="13"/>
      <c r="AG660" s="685"/>
      <c r="AH660" s="688" t="b">
        <f t="shared" si="253"/>
        <v>1</v>
      </c>
    </row>
    <row r="661" spans="1:34" s="1" customFormat="1" ht="15" customHeight="1">
      <c r="A661" s="607"/>
      <c r="B661" s="607"/>
      <c r="C661" s="607"/>
      <c r="D661" s="607"/>
      <c r="E661" s="607"/>
      <c r="F661" s="607"/>
      <c r="G661" s="608"/>
      <c r="H661" s="608"/>
      <c r="I661" s="609"/>
      <c r="J661" s="609"/>
      <c r="K661" s="609"/>
      <c r="L661" s="29"/>
      <c r="M661" s="25"/>
      <c r="N661" s="26"/>
      <c r="O661" s="27"/>
      <c r="P661" s="656"/>
      <c r="Q661" s="658"/>
      <c r="R661" s="249"/>
      <c r="S661" s="692"/>
      <c r="T661" s="190"/>
      <c r="U661" s="196"/>
      <c r="V661" s="11"/>
      <c r="W661" s="12"/>
      <c r="X661" s="194"/>
      <c r="Y661" s="194"/>
      <c r="Z661" s="13"/>
      <c r="AA661" s="13"/>
      <c r="AB661" s="13"/>
      <c r="AC661" s="13"/>
      <c r="AD661" s="13"/>
      <c r="AE661" s="13"/>
      <c r="AF661" s="13"/>
      <c r="AG661" s="685"/>
      <c r="AH661" s="688" t="b">
        <f t="shared" si="253"/>
        <v>1</v>
      </c>
    </row>
    <row r="662" spans="1:34" s="1" customFormat="1" ht="15" customHeight="1">
      <c r="A662" s="607"/>
      <c r="B662" s="607"/>
      <c r="C662" s="607"/>
      <c r="D662" s="607"/>
      <c r="E662" s="607"/>
      <c r="F662" s="607"/>
      <c r="G662" s="608"/>
      <c r="H662" s="608"/>
      <c r="I662" s="609"/>
      <c r="J662" s="609"/>
      <c r="K662" s="609"/>
      <c r="L662" s="29"/>
      <c r="M662" s="25"/>
      <c r="N662" s="26"/>
      <c r="O662" s="27"/>
      <c r="P662" s="656"/>
      <c r="Q662" s="658"/>
      <c r="R662" s="249"/>
      <c r="S662" s="692"/>
      <c r="T662" s="190"/>
      <c r="U662" s="196"/>
      <c r="V662" s="11"/>
      <c r="W662" s="12"/>
      <c r="X662" s="194"/>
      <c r="Y662" s="194"/>
      <c r="Z662" s="13"/>
      <c r="AA662" s="13"/>
      <c r="AB662" s="13"/>
      <c r="AC662" s="13"/>
      <c r="AD662" s="13"/>
      <c r="AE662" s="13"/>
      <c r="AF662" s="13"/>
      <c r="AG662" s="685"/>
      <c r="AH662" s="688" t="b">
        <f t="shared" si="253"/>
        <v>1</v>
      </c>
    </row>
    <row r="663" spans="1:34" s="1" customFormat="1" ht="15" customHeight="1">
      <c r="A663" s="607"/>
      <c r="B663" s="607"/>
      <c r="C663" s="607"/>
      <c r="D663" s="607"/>
      <c r="E663" s="607"/>
      <c r="F663" s="607"/>
      <c r="G663" s="608"/>
      <c r="H663" s="608"/>
      <c r="I663" s="609"/>
      <c r="J663" s="609"/>
      <c r="K663" s="609"/>
      <c r="L663" s="29"/>
      <c r="M663" s="25"/>
      <c r="N663" s="26"/>
      <c r="O663" s="27"/>
      <c r="P663" s="656"/>
      <c r="Q663" s="658"/>
      <c r="R663" s="249"/>
      <c r="S663" s="692"/>
      <c r="T663" s="190"/>
      <c r="U663" s="196"/>
      <c r="V663" s="11"/>
      <c r="W663" s="12"/>
      <c r="X663" s="194"/>
      <c r="Y663" s="194"/>
      <c r="Z663" s="13"/>
      <c r="AA663" s="13"/>
      <c r="AB663" s="13"/>
      <c r="AC663" s="13"/>
      <c r="AD663" s="13"/>
      <c r="AE663" s="13"/>
      <c r="AF663" s="13"/>
      <c r="AG663" s="685"/>
      <c r="AH663" s="688" t="b">
        <f t="shared" si="253"/>
        <v>1</v>
      </c>
    </row>
    <row r="664" spans="1:34" s="1" customFormat="1" ht="15" customHeight="1">
      <c r="A664" s="607"/>
      <c r="B664" s="607"/>
      <c r="C664" s="607"/>
      <c r="D664" s="607"/>
      <c r="E664" s="607"/>
      <c r="F664" s="607"/>
      <c r="G664" s="608"/>
      <c r="H664" s="608"/>
      <c r="I664" s="609"/>
      <c r="J664" s="609"/>
      <c r="K664" s="609"/>
      <c r="L664" s="29"/>
      <c r="M664" s="25"/>
      <c r="N664" s="26"/>
      <c r="O664" s="27"/>
      <c r="P664" s="656"/>
      <c r="Q664" s="658"/>
      <c r="R664" s="249"/>
      <c r="S664" s="692"/>
      <c r="T664" s="190"/>
      <c r="U664" s="196"/>
      <c r="V664" s="11"/>
      <c r="W664" s="12"/>
      <c r="X664" s="194"/>
      <c r="Y664" s="194"/>
      <c r="Z664" s="13"/>
      <c r="AA664" s="13"/>
      <c r="AB664" s="13"/>
      <c r="AC664" s="13"/>
      <c r="AD664" s="13"/>
      <c r="AE664" s="13"/>
      <c r="AF664" s="13"/>
      <c r="AG664" s="685"/>
      <c r="AH664" s="688" t="b">
        <f t="shared" si="253"/>
        <v>1</v>
      </c>
    </row>
    <row r="665" spans="1:34" s="1" customFormat="1" ht="15" customHeight="1">
      <c r="A665" s="171"/>
      <c r="B665" s="171"/>
      <c r="C665" s="171"/>
      <c r="D665" s="171"/>
      <c r="E665" s="171"/>
      <c r="F665" s="171"/>
      <c r="G665" s="389"/>
      <c r="H665" s="389"/>
      <c r="I665" s="391"/>
      <c r="J665" s="391"/>
      <c r="K665" s="391"/>
      <c r="L665" s="29"/>
      <c r="M665" s="25"/>
      <c r="N665" s="26"/>
      <c r="O665" s="27"/>
      <c r="P665" s="656"/>
      <c r="Q665" s="658"/>
      <c r="R665" s="249"/>
      <c r="S665" s="692"/>
      <c r="T665" s="190"/>
      <c r="U665" s="196"/>
      <c r="V665" s="11"/>
      <c r="W665" s="12"/>
      <c r="X665" s="194"/>
      <c r="Y665" s="194"/>
      <c r="Z665" s="13"/>
      <c r="AA665" s="13"/>
      <c r="AB665" s="13"/>
      <c r="AC665" s="13"/>
      <c r="AD665" s="13"/>
      <c r="AE665" s="13"/>
      <c r="AF665" s="13"/>
      <c r="AG665" s="685"/>
      <c r="AH665" s="688" t="b">
        <f t="shared" si="253"/>
        <v>1</v>
      </c>
    </row>
    <row r="666" spans="1:34" s="1" customFormat="1" ht="15" customHeight="1">
      <c r="A666" s="171"/>
      <c r="B666" s="171"/>
      <c r="C666" s="171"/>
      <c r="D666" s="171"/>
      <c r="E666" s="171"/>
      <c r="F666" s="171"/>
      <c r="G666" s="389"/>
      <c r="H666" s="389"/>
      <c r="I666" s="391"/>
      <c r="J666" s="391"/>
      <c r="K666" s="391"/>
      <c r="L666" s="29"/>
      <c r="M666" s="25"/>
      <c r="N666" s="26"/>
      <c r="O666" s="27"/>
      <c r="P666" s="656"/>
      <c r="Q666" s="658"/>
      <c r="R666" s="249"/>
      <c r="S666" s="692"/>
      <c r="T666" s="190"/>
      <c r="U666" s="196"/>
      <c r="V666" s="11"/>
      <c r="W666" s="12"/>
      <c r="X666" s="194"/>
      <c r="Y666" s="194"/>
      <c r="Z666" s="13"/>
      <c r="AA666" s="13"/>
      <c r="AB666" s="13"/>
      <c r="AC666" s="13"/>
      <c r="AD666" s="13"/>
      <c r="AE666" s="13"/>
      <c r="AF666" s="13"/>
      <c r="AG666" s="685"/>
      <c r="AH666" s="688" t="b">
        <f t="shared" si="253"/>
        <v>1</v>
      </c>
    </row>
    <row r="667" spans="1:34" s="1" customFormat="1" ht="15" customHeight="1">
      <c r="A667" s="171"/>
      <c r="B667" s="171"/>
      <c r="C667" s="171"/>
      <c r="D667" s="171"/>
      <c r="E667" s="171"/>
      <c r="F667" s="171"/>
      <c r="G667" s="389"/>
      <c r="H667" s="389"/>
      <c r="I667" s="391"/>
      <c r="J667" s="391"/>
      <c r="K667" s="391"/>
      <c r="L667" s="29"/>
      <c r="M667" s="25"/>
      <c r="N667" s="26"/>
      <c r="O667" s="27"/>
      <c r="P667" s="656"/>
      <c r="Q667" s="658"/>
      <c r="R667" s="249"/>
      <c r="S667" s="692"/>
      <c r="T667" s="190"/>
      <c r="U667" s="196"/>
      <c r="V667" s="11"/>
      <c r="W667" s="12"/>
      <c r="X667" s="194"/>
      <c r="Y667" s="194"/>
      <c r="Z667" s="13"/>
      <c r="AA667" s="13"/>
      <c r="AB667" s="13"/>
      <c r="AC667" s="13"/>
      <c r="AD667" s="13"/>
      <c r="AE667" s="13"/>
      <c r="AF667" s="13"/>
      <c r="AG667" s="685"/>
      <c r="AH667" s="688" t="b">
        <f t="shared" si="253"/>
        <v>1</v>
      </c>
    </row>
    <row r="668" spans="1:34" s="1" customFormat="1" ht="15" customHeight="1">
      <c r="A668" s="171"/>
      <c r="B668" s="171"/>
      <c r="C668" s="171"/>
      <c r="D668" s="171"/>
      <c r="E668" s="171"/>
      <c r="F668" s="171"/>
      <c r="G668" s="389"/>
      <c r="H668" s="389"/>
      <c r="I668" s="391"/>
      <c r="J668" s="391"/>
      <c r="K668" s="391"/>
      <c r="L668" s="29"/>
      <c r="M668" s="25"/>
      <c r="N668" s="26"/>
      <c r="O668" s="27"/>
      <c r="P668" s="656"/>
      <c r="Q668" s="658"/>
      <c r="R668" s="249"/>
      <c r="S668" s="692"/>
      <c r="T668" s="190"/>
      <c r="U668" s="196"/>
      <c r="V668" s="11"/>
      <c r="W668" s="12"/>
      <c r="X668" s="194"/>
      <c r="Y668" s="194"/>
      <c r="Z668" s="13"/>
      <c r="AA668" s="13"/>
      <c r="AB668" s="13"/>
      <c r="AC668" s="13"/>
      <c r="AD668" s="13"/>
      <c r="AE668" s="13"/>
      <c r="AF668" s="13"/>
      <c r="AG668" s="685"/>
      <c r="AH668" s="688" t="b">
        <f t="shared" si="253"/>
        <v>1</v>
      </c>
    </row>
    <row r="669" spans="1:34" s="1" customFormat="1" ht="15" customHeight="1">
      <c r="A669" s="171"/>
      <c r="B669" s="171"/>
      <c r="C669" s="171"/>
      <c r="D669" s="171"/>
      <c r="E669" s="171"/>
      <c r="F669" s="171"/>
      <c r="G669" s="389"/>
      <c r="H669" s="389"/>
      <c r="I669" s="391"/>
      <c r="J669" s="391"/>
      <c r="K669" s="391"/>
      <c r="L669" s="29"/>
      <c r="M669" s="25"/>
      <c r="N669" s="26"/>
      <c r="O669" s="27"/>
      <c r="P669" s="656"/>
      <c r="Q669" s="658"/>
      <c r="R669" s="249"/>
      <c r="S669" s="692"/>
      <c r="T669" s="190"/>
      <c r="U669" s="196"/>
      <c r="V669" s="11"/>
      <c r="W669" s="12"/>
      <c r="X669" s="194"/>
      <c r="Y669" s="194"/>
      <c r="Z669" s="13"/>
      <c r="AA669" s="13"/>
      <c r="AB669" s="13"/>
      <c r="AC669" s="13"/>
      <c r="AD669" s="13"/>
      <c r="AE669" s="13"/>
      <c r="AF669" s="13"/>
      <c r="AG669" s="685"/>
      <c r="AH669" s="688" t="b">
        <f t="shared" si="253"/>
        <v>1</v>
      </c>
    </row>
    <row r="670" spans="1:34" s="1" customFormat="1" ht="15" customHeight="1">
      <c r="A670" s="171"/>
      <c r="B670" s="171"/>
      <c r="C670" s="171"/>
      <c r="D670" s="171"/>
      <c r="E670" s="171"/>
      <c r="F670" s="171"/>
      <c r="G670" s="389"/>
      <c r="H670" s="389"/>
      <c r="I670" s="391"/>
      <c r="J670" s="391"/>
      <c r="K670" s="391"/>
      <c r="L670" s="29"/>
      <c r="M670" s="25"/>
      <c r="N670" s="26"/>
      <c r="O670" s="27"/>
      <c r="P670" s="656"/>
      <c r="Q670" s="658"/>
      <c r="R670" s="249"/>
      <c r="S670" s="692"/>
      <c r="T670" s="190"/>
      <c r="U670" s="196"/>
      <c r="V670" s="11"/>
      <c r="W670" s="12"/>
      <c r="X670" s="194"/>
      <c r="Y670" s="194"/>
      <c r="Z670" s="13"/>
      <c r="AA670" s="13"/>
      <c r="AB670" s="13"/>
      <c r="AC670" s="13"/>
      <c r="AD670" s="13"/>
      <c r="AE670" s="13"/>
      <c r="AF670" s="13"/>
      <c r="AG670" s="685"/>
      <c r="AH670" s="688" t="b">
        <f t="shared" si="253"/>
        <v>1</v>
      </c>
    </row>
    <row r="671" spans="1:34" s="1" customFormat="1" ht="15" customHeight="1">
      <c r="A671" s="171"/>
      <c r="B671" s="171"/>
      <c r="C671" s="171"/>
      <c r="D671" s="171"/>
      <c r="E671" s="171"/>
      <c r="F671" s="171"/>
      <c r="G671" s="389"/>
      <c r="H671" s="389"/>
      <c r="I671" s="391"/>
      <c r="J671" s="391"/>
      <c r="K671" s="391"/>
      <c r="L671" s="29"/>
      <c r="M671" s="25"/>
      <c r="N671" s="26"/>
      <c r="O671" s="27"/>
      <c r="P671" s="656"/>
      <c r="Q671" s="658"/>
      <c r="R671" s="249"/>
      <c r="S671" s="692"/>
      <c r="T671" s="190"/>
      <c r="U671" s="196"/>
      <c r="V671" s="11"/>
      <c r="W671" s="12"/>
      <c r="X671" s="194"/>
      <c r="Y671" s="194"/>
      <c r="Z671" s="13"/>
      <c r="AA671" s="13"/>
      <c r="AB671" s="13"/>
      <c r="AC671" s="13"/>
      <c r="AD671" s="13"/>
      <c r="AE671" s="13"/>
      <c r="AF671" s="13"/>
      <c r="AG671" s="685"/>
      <c r="AH671" s="688" t="b">
        <f t="shared" si="253"/>
        <v>1</v>
      </c>
    </row>
    <row r="672" spans="1:34" s="1" customFormat="1" ht="15" customHeight="1">
      <c r="A672" s="171"/>
      <c r="B672" s="171"/>
      <c r="C672" s="171"/>
      <c r="D672" s="171"/>
      <c r="E672" s="171"/>
      <c r="F672" s="171"/>
      <c r="G672" s="389"/>
      <c r="H672" s="389"/>
      <c r="I672" s="391"/>
      <c r="J672" s="391"/>
      <c r="K672" s="391"/>
      <c r="L672" s="29"/>
      <c r="M672" s="25"/>
      <c r="N672" s="26"/>
      <c r="O672" s="27"/>
      <c r="P672" s="656"/>
      <c r="Q672" s="658"/>
      <c r="R672" s="249"/>
      <c r="S672" s="692"/>
      <c r="T672" s="190"/>
      <c r="U672" s="196"/>
      <c r="V672" s="11"/>
      <c r="W672" s="12"/>
      <c r="X672" s="194"/>
      <c r="Y672" s="194"/>
      <c r="Z672" s="13"/>
      <c r="AA672" s="13"/>
      <c r="AB672" s="13"/>
      <c r="AC672" s="13"/>
      <c r="AD672" s="13"/>
      <c r="AE672" s="13"/>
      <c r="AF672" s="13"/>
      <c r="AG672" s="685"/>
      <c r="AH672" s="688" t="b">
        <f t="shared" si="253"/>
        <v>1</v>
      </c>
    </row>
    <row r="673" spans="1:34" s="1" customFormat="1" ht="15" customHeight="1">
      <c r="A673" s="171"/>
      <c r="B673" s="171"/>
      <c r="C673" s="171"/>
      <c r="D673" s="171"/>
      <c r="E673" s="171"/>
      <c r="F673" s="171"/>
      <c r="G673" s="389"/>
      <c r="H673" s="389"/>
      <c r="I673" s="391"/>
      <c r="J673" s="391"/>
      <c r="K673" s="391"/>
      <c r="L673" s="29"/>
      <c r="M673" s="25"/>
      <c r="N673" s="26"/>
      <c r="O673" s="27"/>
      <c r="P673" s="656"/>
      <c r="Q673" s="658"/>
      <c r="R673" s="249"/>
      <c r="S673" s="692"/>
      <c r="T673" s="190"/>
      <c r="U673" s="196"/>
      <c r="V673" s="11"/>
      <c r="W673" s="12"/>
      <c r="X673" s="194"/>
      <c r="Y673" s="194"/>
      <c r="Z673" s="13"/>
      <c r="AA673" s="13"/>
      <c r="AB673" s="13"/>
      <c r="AC673" s="13"/>
      <c r="AD673" s="13"/>
      <c r="AE673" s="13"/>
      <c r="AF673" s="13"/>
      <c r="AG673" s="685"/>
      <c r="AH673" s="688" t="b">
        <f t="shared" si="253"/>
        <v>1</v>
      </c>
    </row>
    <row r="674" spans="1:34" s="1" customFormat="1" ht="15" customHeight="1">
      <c r="A674" s="171"/>
      <c r="B674" s="171"/>
      <c r="C674" s="171"/>
      <c r="D674" s="171"/>
      <c r="E674" s="171"/>
      <c r="F674" s="171"/>
      <c r="G674" s="389"/>
      <c r="H674" s="389"/>
      <c r="I674" s="391"/>
      <c r="J674" s="391"/>
      <c r="K674" s="391"/>
      <c r="L674" s="29"/>
      <c r="M674" s="25"/>
      <c r="N674" s="26"/>
      <c r="O674" s="27"/>
      <c r="P674" s="656"/>
      <c r="Q674" s="658"/>
      <c r="R674" s="249"/>
      <c r="S674" s="692"/>
      <c r="T674" s="190"/>
      <c r="U674" s="196"/>
      <c r="V674" s="11"/>
      <c r="W674" s="12"/>
      <c r="X674" s="194"/>
      <c r="Y674" s="194"/>
      <c r="Z674" s="13"/>
      <c r="AA674" s="13"/>
      <c r="AB674" s="13"/>
      <c r="AC674" s="13"/>
      <c r="AD674" s="13"/>
      <c r="AE674" s="13"/>
      <c r="AF674" s="13"/>
      <c r="AG674" s="685"/>
      <c r="AH674" s="688" t="b">
        <f t="shared" si="253"/>
        <v>1</v>
      </c>
    </row>
    <row r="675" spans="1:34" s="1" customFormat="1" ht="15" customHeight="1">
      <c r="A675" s="171"/>
      <c r="B675" s="171"/>
      <c r="C675" s="171"/>
      <c r="D675" s="171"/>
      <c r="E675" s="171"/>
      <c r="F675" s="171"/>
      <c r="G675" s="389"/>
      <c r="H675" s="389"/>
      <c r="I675" s="391"/>
      <c r="J675" s="391"/>
      <c r="K675" s="391"/>
      <c r="L675" s="29"/>
      <c r="M675" s="25"/>
      <c r="N675" s="26"/>
      <c r="O675" s="27"/>
      <c r="P675" s="656"/>
      <c r="Q675" s="658"/>
      <c r="R675" s="249"/>
      <c r="S675" s="692"/>
      <c r="T675" s="190"/>
      <c r="U675" s="196"/>
      <c r="V675" s="11"/>
      <c r="W675" s="12"/>
      <c r="X675" s="194"/>
      <c r="Y675" s="194"/>
      <c r="Z675" s="13"/>
      <c r="AA675" s="13"/>
      <c r="AB675" s="13"/>
      <c r="AC675" s="13"/>
      <c r="AD675" s="13"/>
      <c r="AE675" s="13"/>
      <c r="AF675" s="13"/>
      <c r="AG675" s="685"/>
      <c r="AH675" s="688" t="b">
        <f t="shared" si="253"/>
        <v>1</v>
      </c>
    </row>
    <row r="676" spans="1:34" s="1" customFormat="1" ht="15" customHeight="1">
      <c r="A676" s="171"/>
      <c r="B676" s="171"/>
      <c r="C676" s="171"/>
      <c r="D676" s="171"/>
      <c r="E676" s="171"/>
      <c r="F676" s="171"/>
      <c r="G676" s="389"/>
      <c r="H676" s="389"/>
      <c r="I676" s="391"/>
      <c r="J676" s="391"/>
      <c r="K676" s="391"/>
      <c r="L676" s="29"/>
      <c r="M676" s="25"/>
      <c r="N676" s="26"/>
      <c r="O676" s="27"/>
      <c r="P676" s="656"/>
      <c r="Q676" s="658"/>
      <c r="R676" s="249"/>
      <c r="S676" s="692"/>
      <c r="T676" s="190"/>
      <c r="U676" s="196"/>
      <c r="V676" s="11"/>
      <c r="W676" s="12"/>
      <c r="X676" s="194"/>
      <c r="Y676" s="194"/>
      <c r="Z676" s="13"/>
      <c r="AA676" s="13"/>
      <c r="AB676" s="13"/>
      <c r="AC676" s="13"/>
      <c r="AD676" s="13"/>
      <c r="AE676" s="13"/>
      <c r="AF676" s="13"/>
      <c r="AG676" s="685"/>
      <c r="AH676" s="688" t="b">
        <f t="shared" si="253"/>
        <v>1</v>
      </c>
    </row>
    <row r="677" spans="1:34" s="1" customFormat="1" ht="15" customHeight="1">
      <c r="A677" s="171"/>
      <c r="B677" s="171"/>
      <c r="C677" s="171"/>
      <c r="D677" s="171"/>
      <c r="E677" s="171"/>
      <c r="F677" s="171"/>
      <c r="G677" s="389"/>
      <c r="H677" s="389"/>
      <c r="I677" s="391"/>
      <c r="J677" s="391"/>
      <c r="K677" s="391"/>
      <c r="L677" s="29"/>
      <c r="M677" s="25"/>
      <c r="N677" s="26"/>
      <c r="O677" s="27"/>
      <c r="P677" s="656"/>
      <c r="Q677" s="658"/>
      <c r="R677" s="249"/>
      <c r="S677" s="692"/>
      <c r="T677" s="190"/>
      <c r="U677" s="196"/>
      <c r="V677" s="11"/>
      <c r="W677" s="12"/>
      <c r="X677" s="194"/>
      <c r="Y677" s="194"/>
      <c r="Z677" s="13"/>
      <c r="AA677" s="13"/>
      <c r="AB677" s="13"/>
      <c r="AC677" s="13"/>
      <c r="AD677" s="13"/>
      <c r="AE677" s="13"/>
      <c r="AF677" s="13"/>
      <c r="AG677" s="685"/>
      <c r="AH677" s="688" t="b">
        <f t="shared" si="253"/>
        <v>1</v>
      </c>
    </row>
    <row r="678" spans="1:34" s="1" customFormat="1" ht="15" customHeight="1">
      <c r="A678" s="171"/>
      <c r="B678" s="171"/>
      <c r="C678" s="171"/>
      <c r="D678" s="171"/>
      <c r="E678" s="171"/>
      <c r="F678" s="171"/>
      <c r="G678" s="389"/>
      <c r="H678" s="389"/>
      <c r="I678" s="391"/>
      <c r="J678" s="391"/>
      <c r="K678" s="391"/>
      <c r="L678" s="29"/>
      <c r="M678" s="25"/>
      <c r="N678" s="26"/>
      <c r="O678" s="27"/>
      <c r="P678" s="656"/>
      <c r="Q678" s="658"/>
      <c r="R678" s="249"/>
      <c r="S678" s="692"/>
      <c r="T678" s="190"/>
      <c r="U678" s="196"/>
      <c r="V678" s="11"/>
      <c r="W678" s="12"/>
      <c r="X678" s="194"/>
      <c r="Y678" s="194"/>
      <c r="Z678" s="13"/>
      <c r="AA678" s="13"/>
      <c r="AB678" s="13"/>
      <c r="AC678" s="13"/>
      <c r="AD678" s="13"/>
      <c r="AE678" s="13"/>
      <c r="AF678" s="13"/>
      <c r="AG678" s="685"/>
      <c r="AH678" s="688" t="b">
        <f t="shared" si="253"/>
        <v>1</v>
      </c>
    </row>
    <row r="679" spans="1:34" s="1" customFormat="1" ht="15" customHeight="1">
      <c r="A679" s="171"/>
      <c r="B679" s="171"/>
      <c r="C679" s="171"/>
      <c r="D679" s="171"/>
      <c r="E679" s="171"/>
      <c r="F679" s="171"/>
      <c r="G679" s="389"/>
      <c r="H679" s="389"/>
      <c r="I679" s="391"/>
      <c r="J679" s="391"/>
      <c r="K679" s="391"/>
      <c r="L679" s="29"/>
      <c r="M679" s="25"/>
      <c r="N679" s="26"/>
      <c r="O679" s="27"/>
      <c r="P679" s="656"/>
      <c r="Q679" s="658"/>
      <c r="R679" s="249"/>
      <c r="S679" s="692"/>
      <c r="T679" s="190"/>
      <c r="U679" s="196"/>
      <c r="V679" s="11"/>
      <c r="W679" s="12"/>
      <c r="X679" s="194"/>
      <c r="Y679" s="194"/>
      <c r="Z679" s="13"/>
      <c r="AA679" s="13"/>
      <c r="AB679" s="13"/>
      <c r="AC679" s="13"/>
      <c r="AD679" s="13"/>
      <c r="AE679" s="13"/>
      <c r="AF679" s="13"/>
      <c r="AG679" s="685"/>
      <c r="AH679" s="688" t="b">
        <f t="shared" si="253"/>
        <v>1</v>
      </c>
    </row>
    <row r="680" spans="1:34" s="1" customFormat="1" ht="15" customHeight="1">
      <c r="A680" s="171"/>
      <c r="B680" s="171"/>
      <c r="C680" s="171"/>
      <c r="D680" s="171"/>
      <c r="E680" s="171"/>
      <c r="F680" s="171"/>
      <c r="G680" s="389"/>
      <c r="H680" s="389"/>
      <c r="I680" s="391"/>
      <c r="J680" s="391"/>
      <c r="K680" s="391"/>
      <c r="L680" s="29"/>
      <c r="M680" s="25"/>
      <c r="N680" s="26"/>
      <c r="O680" s="27"/>
      <c r="P680" s="656"/>
      <c r="Q680" s="658"/>
      <c r="R680" s="249"/>
      <c r="S680" s="692"/>
      <c r="T680" s="190"/>
      <c r="U680" s="196"/>
      <c r="V680" s="11"/>
      <c r="W680" s="12"/>
      <c r="X680" s="194"/>
      <c r="Y680" s="194"/>
      <c r="Z680" s="13"/>
      <c r="AA680" s="13"/>
      <c r="AB680" s="13"/>
      <c r="AC680" s="13"/>
      <c r="AD680" s="13"/>
      <c r="AE680" s="13"/>
      <c r="AF680" s="13"/>
      <c r="AG680" s="685"/>
      <c r="AH680" s="688" t="b">
        <f t="shared" si="253"/>
        <v>1</v>
      </c>
    </row>
    <row r="681" spans="1:34" s="1" customFormat="1" ht="15" customHeight="1">
      <c r="A681" s="171"/>
      <c r="B681" s="171"/>
      <c r="C681" s="171"/>
      <c r="D681" s="171"/>
      <c r="E681" s="171"/>
      <c r="F681" s="171"/>
      <c r="G681" s="389"/>
      <c r="H681" s="389"/>
      <c r="I681" s="391"/>
      <c r="J681" s="391"/>
      <c r="K681" s="391"/>
      <c r="L681" s="29"/>
      <c r="M681" s="25"/>
      <c r="N681" s="26"/>
      <c r="O681" s="27"/>
      <c r="P681" s="656"/>
      <c r="Q681" s="658"/>
      <c r="R681" s="249"/>
      <c r="S681" s="692"/>
      <c r="T681" s="190"/>
      <c r="U681" s="196"/>
      <c r="V681" s="11"/>
      <c r="W681" s="12"/>
      <c r="X681" s="194"/>
      <c r="Y681" s="194"/>
      <c r="Z681" s="13"/>
      <c r="AA681" s="13"/>
      <c r="AB681" s="13"/>
      <c r="AC681" s="13"/>
      <c r="AD681" s="13"/>
      <c r="AE681" s="13"/>
      <c r="AF681" s="13"/>
      <c r="AG681" s="685"/>
      <c r="AH681" s="688" t="b">
        <f t="shared" si="253"/>
        <v>1</v>
      </c>
    </row>
    <row r="682" spans="1:34" s="1" customFormat="1" ht="15" customHeight="1">
      <c r="A682" s="171"/>
      <c r="B682" s="171"/>
      <c r="C682" s="171"/>
      <c r="D682" s="171"/>
      <c r="E682" s="171"/>
      <c r="F682" s="171"/>
      <c r="G682" s="389"/>
      <c r="H682" s="389"/>
      <c r="I682" s="391"/>
      <c r="J682" s="391"/>
      <c r="K682" s="391"/>
      <c r="L682" s="29"/>
      <c r="M682" s="25"/>
      <c r="N682" s="26"/>
      <c r="O682" s="27"/>
      <c r="P682" s="656"/>
      <c r="Q682" s="658"/>
      <c r="R682" s="249"/>
      <c r="S682" s="692"/>
      <c r="T682" s="190"/>
      <c r="U682" s="196"/>
      <c r="V682" s="11"/>
      <c r="W682" s="12"/>
      <c r="X682" s="194"/>
      <c r="Y682" s="194"/>
      <c r="Z682" s="13"/>
      <c r="AA682" s="13"/>
      <c r="AB682" s="13"/>
      <c r="AC682" s="13"/>
      <c r="AD682" s="13"/>
      <c r="AE682" s="13"/>
      <c r="AF682" s="13"/>
      <c r="AG682" s="685"/>
      <c r="AH682" s="688" t="b">
        <f t="shared" si="253"/>
        <v>1</v>
      </c>
    </row>
    <row r="683" spans="1:34" s="1" customFormat="1" ht="15" customHeight="1">
      <c r="A683" s="171"/>
      <c r="B683" s="171"/>
      <c r="C683" s="171"/>
      <c r="D683" s="171"/>
      <c r="E683" s="171"/>
      <c r="F683" s="171"/>
      <c r="G683" s="389"/>
      <c r="H683" s="389"/>
      <c r="I683" s="391"/>
      <c r="J683" s="391"/>
      <c r="K683" s="391"/>
      <c r="L683" s="29"/>
      <c r="M683" s="25"/>
      <c r="N683" s="26"/>
      <c r="O683" s="27"/>
      <c r="P683" s="656"/>
      <c r="Q683" s="658"/>
      <c r="R683" s="249"/>
      <c r="S683" s="692"/>
      <c r="T683" s="190"/>
      <c r="U683" s="196"/>
      <c r="V683" s="11"/>
      <c r="W683" s="12"/>
      <c r="X683" s="194"/>
      <c r="Y683" s="194"/>
      <c r="Z683" s="13"/>
      <c r="AA683" s="13"/>
      <c r="AB683" s="13"/>
      <c r="AC683" s="13"/>
      <c r="AD683" s="13"/>
      <c r="AE683" s="13"/>
      <c r="AF683" s="13"/>
      <c r="AG683" s="685"/>
      <c r="AH683" s="688" t="b">
        <f t="shared" si="253"/>
        <v>1</v>
      </c>
    </row>
    <row r="684" spans="1:34" s="1" customFormat="1" ht="15" customHeight="1">
      <c r="A684" s="171"/>
      <c r="B684" s="171"/>
      <c r="C684" s="171"/>
      <c r="D684" s="171"/>
      <c r="E684" s="171"/>
      <c r="F684" s="171"/>
      <c r="G684" s="389"/>
      <c r="H684" s="389"/>
      <c r="I684" s="391"/>
      <c r="J684" s="391"/>
      <c r="K684" s="391"/>
      <c r="L684" s="29"/>
      <c r="M684" s="25"/>
      <c r="N684" s="26"/>
      <c r="O684" s="27"/>
      <c r="P684" s="656"/>
      <c r="Q684" s="658"/>
      <c r="R684" s="249"/>
      <c r="S684" s="692"/>
      <c r="T684" s="190"/>
      <c r="U684" s="196"/>
      <c r="V684" s="11"/>
      <c r="W684" s="12"/>
      <c r="X684" s="194"/>
      <c r="Y684" s="194"/>
      <c r="Z684" s="13"/>
      <c r="AA684" s="13"/>
      <c r="AB684" s="13"/>
      <c r="AC684" s="13"/>
      <c r="AD684" s="13"/>
      <c r="AE684" s="13"/>
      <c r="AF684" s="13"/>
      <c r="AG684" s="685"/>
      <c r="AH684" s="688" t="b">
        <f t="shared" si="253"/>
        <v>1</v>
      </c>
    </row>
    <row r="685" spans="1:34" s="1" customFormat="1" ht="15" customHeight="1">
      <c r="A685" s="171"/>
      <c r="B685" s="171"/>
      <c r="C685" s="171"/>
      <c r="D685" s="171"/>
      <c r="E685" s="171"/>
      <c r="F685" s="171"/>
      <c r="G685" s="389"/>
      <c r="H685" s="389"/>
      <c r="I685" s="391"/>
      <c r="J685" s="391"/>
      <c r="K685" s="391"/>
      <c r="L685" s="29"/>
      <c r="M685" s="25"/>
      <c r="N685" s="26"/>
      <c r="O685" s="27"/>
      <c r="P685" s="656"/>
      <c r="Q685" s="658"/>
      <c r="R685" s="249"/>
      <c r="S685" s="692"/>
      <c r="T685" s="190"/>
      <c r="U685" s="196"/>
      <c r="V685" s="11"/>
      <c r="W685" s="12"/>
      <c r="X685" s="194"/>
      <c r="Y685" s="194"/>
      <c r="Z685" s="13"/>
      <c r="AA685" s="13"/>
      <c r="AB685" s="13"/>
      <c r="AC685" s="13"/>
      <c r="AD685" s="13"/>
      <c r="AE685" s="13"/>
      <c r="AF685" s="13"/>
      <c r="AG685" s="685"/>
      <c r="AH685" s="688" t="b">
        <f t="shared" si="253"/>
        <v>1</v>
      </c>
    </row>
    <row r="686" spans="1:34" s="1" customFormat="1" ht="15" customHeight="1">
      <c r="A686" s="171"/>
      <c r="B686" s="171"/>
      <c r="C686" s="171"/>
      <c r="D686" s="171"/>
      <c r="E686" s="171"/>
      <c r="F686" s="171"/>
      <c r="G686" s="389"/>
      <c r="H686" s="389"/>
      <c r="I686" s="391"/>
      <c r="J686" s="391"/>
      <c r="K686" s="391"/>
      <c r="L686" s="29"/>
      <c r="M686" s="25"/>
      <c r="N686" s="26"/>
      <c r="O686" s="27"/>
      <c r="P686" s="656"/>
      <c r="Q686" s="658"/>
      <c r="R686" s="249"/>
      <c r="S686" s="692"/>
      <c r="T686" s="190"/>
      <c r="U686" s="196"/>
      <c r="V686" s="11"/>
      <c r="W686" s="12"/>
      <c r="X686" s="194"/>
      <c r="Y686" s="194"/>
      <c r="Z686" s="13"/>
      <c r="AA686" s="13"/>
      <c r="AB686" s="13"/>
      <c r="AC686" s="13"/>
      <c r="AD686" s="13"/>
      <c r="AE686" s="13"/>
      <c r="AF686" s="13"/>
      <c r="AG686" s="685"/>
      <c r="AH686" s="688" t="b">
        <f t="shared" si="253"/>
        <v>1</v>
      </c>
    </row>
    <row r="687" spans="1:34" s="1" customFormat="1" ht="15" customHeight="1">
      <c r="A687" s="171"/>
      <c r="B687" s="171"/>
      <c r="C687" s="171"/>
      <c r="D687" s="171"/>
      <c r="E687" s="171"/>
      <c r="F687" s="171"/>
      <c r="G687" s="389"/>
      <c r="H687" s="389"/>
      <c r="I687" s="391"/>
      <c r="J687" s="391"/>
      <c r="K687" s="391"/>
      <c r="L687" s="29"/>
      <c r="M687" s="25"/>
      <c r="N687" s="26"/>
      <c r="O687" s="27"/>
      <c r="P687" s="656"/>
      <c r="Q687" s="658"/>
      <c r="R687" s="249"/>
      <c r="S687" s="692"/>
      <c r="T687" s="190"/>
      <c r="U687" s="196"/>
      <c r="V687" s="11"/>
      <c r="W687" s="12"/>
      <c r="X687" s="194"/>
      <c r="Y687" s="194"/>
      <c r="Z687" s="13"/>
      <c r="AA687" s="13"/>
      <c r="AB687" s="13"/>
      <c r="AC687" s="13"/>
      <c r="AD687" s="13"/>
      <c r="AE687" s="13"/>
      <c r="AF687" s="13"/>
      <c r="AG687" s="685"/>
      <c r="AH687" s="688" t="b">
        <f t="shared" si="253"/>
        <v>1</v>
      </c>
    </row>
    <row r="688" spans="1:34" s="1" customFormat="1" ht="15" customHeight="1">
      <c r="A688" s="171"/>
      <c r="B688" s="171"/>
      <c r="C688" s="171"/>
      <c r="D688" s="171"/>
      <c r="E688" s="171"/>
      <c r="F688" s="171"/>
      <c r="G688" s="389"/>
      <c r="H688" s="389"/>
      <c r="I688" s="391"/>
      <c r="J688" s="391"/>
      <c r="K688" s="391"/>
      <c r="L688" s="29"/>
      <c r="M688" s="25"/>
      <c r="N688" s="26"/>
      <c r="O688" s="27"/>
      <c r="P688" s="656"/>
      <c r="Q688" s="658"/>
      <c r="R688" s="249"/>
      <c r="S688" s="692"/>
      <c r="T688" s="190"/>
      <c r="U688" s="196"/>
      <c r="V688" s="11"/>
      <c r="W688" s="12"/>
      <c r="X688" s="194"/>
      <c r="Y688" s="194"/>
      <c r="Z688" s="13"/>
      <c r="AA688" s="13"/>
      <c r="AB688" s="13"/>
      <c r="AC688" s="13"/>
      <c r="AD688" s="13"/>
      <c r="AE688" s="13"/>
      <c r="AF688" s="13"/>
      <c r="AG688" s="685"/>
      <c r="AH688" s="688" t="b">
        <f t="shared" si="253"/>
        <v>1</v>
      </c>
    </row>
    <row r="689" spans="1:34" s="1" customFormat="1" ht="15" customHeight="1">
      <c r="A689" s="171"/>
      <c r="B689" s="171"/>
      <c r="C689" s="171"/>
      <c r="D689" s="171"/>
      <c r="E689" s="171"/>
      <c r="F689" s="171"/>
      <c r="G689" s="389"/>
      <c r="H689" s="389"/>
      <c r="I689" s="391"/>
      <c r="J689" s="391"/>
      <c r="K689" s="391"/>
      <c r="L689" s="29"/>
      <c r="M689" s="25"/>
      <c r="N689" s="26"/>
      <c r="O689" s="27"/>
      <c r="P689" s="656"/>
      <c r="Q689" s="658"/>
      <c r="R689" s="249"/>
      <c r="S689" s="692"/>
      <c r="T689" s="190"/>
      <c r="U689" s="196"/>
      <c r="V689" s="11"/>
      <c r="W689" s="12"/>
      <c r="X689" s="194"/>
      <c r="Y689" s="194"/>
      <c r="Z689" s="13"/>
      <c r="AA689" s="13"/>
      <c r="AB689" s="13"/>
      <c r="AC689" s="13"/>
      <c r="AD689" s="13"/>
      <c r="AE689" s="13"/>
      <c r="AF689" s="13"/>
      <c r="AG689" s="685"/>
      <c r="AH689" s="688" t="b">
        <f t="shared" si="253"/>
        <v>1</v>
      </c>
    </row>
    <row r="690" spans="1:34" s="1" customFormat="1" ht="15" customHeight="1">
      <c r="A690" s="171"/>
      <c r="B690" s="171"/>
      <c r="C690" s="171"/>
      <c r="D690" s="171"/>
      <c r="E690" s="171"/>
      <c r="F690" s="171"/>
      <c r="G690" s="389"/>
      <c r="H690" s="389"/>
      <c r="I690" s="391"/>
      <c r="J690" s="391"/>
      <c r="K690" s="391"/>
      <c r="L690" s="29"/>
      <c r="M690" s="25"/>
      <c r="N690" s="26"/>
      <c r="O690" s="27"/>
      <c r="P690" s="656"/>
      <c r="Q690" s="658"/>
      <c r="R690" s="249"/>
      <c r="S690" s="692"/>
      <c r="T690" s="190"/>
      <c r="U690" s="196"/>
      <c r="V690" s="11"/>
      <c r="W690" s="12"/>
      <c r="X690" s="194"/>
      <c r="Y690" s="194"/>
      <c r="Z690" s="13"/>
      <c r="AA690" s="13"/>
      <c r="AB690" s="13"/>
      <c r="AC690" s="13"/>
      <c r="AD690" s="13"/>
      <c r="AE690" s="13"/>
      <c r="AF690" s="13"/>
      <c r="AG690" s="685"/>
      <c r="AH690" s="688" t="b">
        <f t="shared" si="253"/>
        <v>1</v>
      </c>
    </row>
    <row r="691" spans="1:34" s="1" customFormat="1" ht="15" customHeight="1">
      <c r="A691" s="171"/>
      <c r="B691" s="171"/>
      <c r="C691" s="171"/>
      <c r="D691" s="171"/>
      <c r="E691" s="171"/>
      <c r="F691" s="171"/>
      <c r="G691" s="389"/>
      <c r="H691" s="389"/>
      <c r="I691" s="391"/>
      <c r="J691" s="391"/>
      <c r="K691" s="391"/>
      <c r="L691" s="29"/>
      <c r="M691" s="25"/>
      <c r="N691" s="26"/>
      <c r="O691" s="27"/>
      <c r="P691" s="656"/>
      <c r="Q691" s="658"/>
      <c r="R691" s="249"/>
      <c r="S691" s="692"/>
      <c r="T691" s="190"/>
      <c r="U691" s="196"/>
      <c r="V691" s="11"/>
      <c r="W691" s="12"/>
      <c r="X691" s="194"/>
      <c r="Y691" s="194"/>
      <c r="Z691" s="13"/>
      <c r="AA691" s="13"/>
      <c r="AB691" s="13"/>
      <c r="AC691" s="13"/>
      <c r="AD691" s="13"/>
      <c r="AE691" s="13"/>
      <c r="AF691" s="13"/>
      <c r="AG691" s="685"/>
      <c r="AH691" s="688" t="b">
        <f t="shared" si="253"/>
        <v>1</v>
      </c>
    </row>
    <row r="692" spans="1:34" s="1" customFormat="1" ht="15" customHeight="1">
      <c r="A692" s="171"/>
      <c r="B692" s="171"/>
      <c r="C692" s="171"/>
      <c r="D692" s="171"/>
      <c r="E692" s="171"/>
      <c r="F692" s="171"/>
      <c r="G692" s="389"/>
      <c r="H692" s="389"/>
      <c r="I692" s="391"/>
      <c r="J692" s="391"/>
      <c r="K692" s="391"/>
      <c r="L692" s="29"/>
      <c r="M692" s="25"/>
      <c r="N692" s="26"/>
      <c r="O692" s="27"/>
      <c r="P692" s="656"/>
      <c r="Q692" s="658"/>
      <c r="R692" s="249"/>
      <c r="S692" s="692"/>
      <c r="T692" s="190"/>
      <c r="U692" s="196"/>
      <c r="V692" s="11"/>
      <c r="W692" s="12"/>
      <c r="X692" s="194"/>
      <c r="Y692" s="194"/>
      <c r="Z692" s="13"/>
      <c r="AA692" s="13"/>
      <c r="AB692" s="13"/>
      <c r="AC692" s="13"/>
      <c r="AD692" s="13"/>
      <c r="AE692" s="13"/>
      <c r="AF692" s="13"/>
      <c r="AG692" s="685"/>
      <c r="AH692" s="688" t="b">
        <f t="shared" si="253"/>
        <v>1</v>
      </c>
    </row>
    <row r="693" spans="1:34" s="1" customFormat="1" ht="15" customHeight="1">
      <c r="A693" s="171"/>
      <c r="B693" s="171"/>
      <c r="C693" s="171"/>
      <c r="D693" s="171"/>
      <c r="E693" s="171"/>
      <c r="F693" s="171"/>
      <c r="G693" s="389"/>
      <c r="H693" s="389"/>
      <c r="I693" s="391"/>
      <c r="J693" s="391"/>
      <c r="K693" s="391"/>
      <c r="L693" s="29"/>
      <c r="M693" s="25"/>
      <c r="N693" s="26"/>
      <c r="O693" s="27"/>
      <c r="P693" s="656"/>
      <c r="Q693" s="658"/>
      <c r="R693" s="249"/>
      <c r="S693" s="692"/>
      <c r="T693" s="190"/>
      <c r="U693" s="196"/>
      <c r="V693" s="11"/>
      <c r="W693" s="12"/>
      <c r="X693" s="194"/>
      <c r="Y693" s="194"/>
      <c r="Z693" s="13"/>
      <c r="AA693" s="13"/>
      <c r="AB693" s="13"/>
      <c r="AC693" s="13"/>
      <c r="AD693" s="13"/>
      <c r="AE693" s="13"/>
      <c r="AF693" s="13"/>
      <c r="AG693" s="685"/>
      <c r="AH693" s="688" t="b">
        <f t="shared" si="253"/>
        <v>1</v>
      </c>
    </row>
    <row r="694" spans="1:34" s="1" customFormat="1" ht="15" customHeight="1">
      <c r="A694" s="171"/>
      <c r="B694" s="171"/>
      <c r="C694" s="171"/>
      <c r="D694" s="171"/>
      <c r="E694" s="171"/>
      <c r="F694" s="171"/>
      <c r="G694" s="389"/>
      <c r="H694" s="389"/>
      <c r="I694" s="391"/>
      <c r="J694" s="391"/>
      <c r="K694" s="391"/>
      <c r="L694" s="29"/>
      <c r="M694" s="25"/>
      <c r="N694" s="26"/>
      <c r="O694" s="27"/>
      <c r="P694" s="656"/>
      <c r="Q694" s="658"/>
      <c r="R694" s="249"/>
      <c r="S694" s="692"/>
      <c r="T694" s="190"/>
      <c r="U694" s="196"/>
      <c r="V694" s="11"/>
      <c r="W694" s="12"/>
      <c r="X694" s="194"/>
      <c r="Y694" s="194"/>
      <c r="Z694" s="13"/>
      <c r="AA694" s="13"/>
      <c r="AB694" s="13"/>
      <c r="AC694" s="13"/>
      <c r="AD694" s="13"/>
      <c r="AE694" s="13"/>
      <c r="AF694" s="13"/>
      <c r="AG694" s="685"/>
      <c r="AH694" s="688" t="b">
        <f t="shared" si="253"/>
        <v>1</v>
      </c>
    </row>
    <row r="695" spans="1:34" s="1" customFormat="1" ht="15" customHeight="1">
      <c r="A695" s="171"/>
      <c r="B695" s="171"/>
      <c r="C695" s="171"/>
      <c r="D695" s="171"/>
      <c r="E695" s="171"/>
      <c r="F695" s="171"/>
      <c r="G695" s="389"/>
      <c r="H695" s="389"/>
      <c r="I695" s="391"/>
      <c r="J695" s="391"/>
      <c r="K695" s="391"/>
      <c r="L695" s="29"/>
      <c r="M695" s="25"/>
      <c r="N695" s="26"/>
      <c r="O695" s="27"/>
      <c r="P695" s="656"/>
      <c r="Q695" s="658"/>
      <c r="R695" s="249"/>
      <c r="S695" s="692"/>
      <c r="T695" s="190"/>
      <c r="U695" s="196"/>
      <c r="V695" s="11"/>
      <c r="W695" s="12"/>
      <c r="X695" s="194"/>
      <c r="Y695" s="194"/>
      <c r="Z695" s="13"/>
      <c r="AA695" s="13"/>
      <c r="AB695" s="13"/>
      <c r="AC695" s="13"/>
      <c r="AD695" s="13"/>
      <c r="AE695" s="13"/>
      <c r="AF695" s="13"/>
      <c r="AG695" s="685"/>
      <c r="AH695" s="688" t="b">
        <f t="shared" si="253"/>
        <v>1</v>
      </c>
    </row>
    <row r="696" spans="1:34" s="1" customFormat="1" ht="15" customHeight="1">
      <c r="A696" s="171"/>
      <c r="B696" s="171"/>
      <c r="C696" s="171"/>
      <c r="D696" s="171"/>
      <c r="E696" s="171"/>
      <c r="F696" s="171"/>
      <c r="G696" s="389"/>
      <c r="H696" s="389"/>
      <c r="I696" s="391"/>
      <c r="J696" s="391"/>
      <c r="K696" s="391"/>
      <c r="L696" s="29"/>
      <c r="M696" s="25"/>
      <c r="N696" s="26"/>
      <c r="O696" s="27"/>
      <c r="P696" s="656"/>
      <c r="Q696" s="658"/>
      <c r="R696" s="249"/>
      <c r="S696" s="692"/>
      <c r="T696" s="190"/>
      <c r="U696" s="196"/>
      <c r="V696" s="11"/>
      <c r="W696" s="12"/>
      <c r="X696" s="194"/>
      <c r="Y696" s="194"/>
      <c r="Z696" s="13"/>
      <c r="AA696" s="13"/>
      <c r="AB696" s="13"/>
      <c r="AC696" s="13"/>
      <c r="AD696" s="13"/>
      <c r="AE696" s="13"/>
      <c r="AF696" s="13"/>
      <c r="AG696" s="685"/>
      <c r="AH696" s="688" t="b">
        <f t="shared" si="253"/>
        <v>1</v>
      </c>
    </row>
    <row r="697" spans="1:34" s="1" customFormat="1" ht="15" customHeight="1">
      <c r="A697" s="171"/>
      <c r="B697" s="171"/>
      <c r="C697" s="171"/>
      <c r="D697" s="171"/>
      <c r="E697" s="171"/>
      <c r="F697" s="171"/>
      <c r="G697" s="389"/>
      <c r="H697" s="389"/>
      <c r="I697" s="391"/>
      <c r="J697" s="391"/>
      <c r="K697" s="391"/>
      <c r="L697" s="29"/>
      <c r="M697" s="25"/>
      <c r="N697" s="26"/>
      <c r="O697" s="27"/>
      <c r="P697" s="656"/>
      <c r="Q697" s="658"/>
      <c r="R697" s="249"/>
      <c r="S697" s="692"/>
      <c r="T697" s="190"/>
      <c r="U697" s="196"/>
      <c r="V697" s="11"/>
      <c r="W697" s="12"/>
      <c r="X697" s="194"/>
      <c r="Y697" s="194"/>
      <c r="Z697" s="13"/>
      <c r="AA697" s="13"/>
      <c r="AB697" s="13"/>
      <c r="AC697" s="13"/>
      <c r="AD697" s="13"/>
      <c r="AE697" s="13"/>
      <c r="AF697" s="13"/>
      <c r="AG697" s="685"/>
      <c r="AH697" s="688" t="b">
        <f t="shared" si="253"/>
        <v>1</v>
      </c>
    </row>
    <row r="698" spans="1:34" s="1" customFormat="1" ht="15" customHeight="1">
      <c r="A698" s="171"/>
      <c r="B698" s="171"/>
      <c r="C698" s="171"/>
      <c r="D698" s="171"/>
      <c r="E698" s="171"/>
      <c r="F698" s="171"/>
      <c r="G698" s="389"/>
      <c r="H698" s="389"/>
      <c r="I698" s="391"/>
      <c r="J698" s="391"/>
      <c r="K698" s="391"/>
      <c r="L698" s="29"/>
      <c r="M698" s="25"/>
      <c r="N698" s="26"/>
      <c r="O698" s="27"/>
      <c r="P698" s="656"/>
      <c r="Q698" s="658"/>
      <c r="R698" s="249"/>
      <c r="S698" s="692"/>
      <c r="T698" s="190"/>
      <c r="U698" s="196"/>
      <c r="V698" s="11"/>
      <c r="W698" s="12"/>
      <c r="X698" s="194"/>
      <c r="Y698" s="194"/>
      <c r="Z698" s="13"/>
      <c r="AA698" s="13"/>
      <c r="AB698" s="13"/>
      <c r="AC698" s="13"/>
      <c r="AD698" s="13"/>
      <c r="AE698" s="13"/>
      <c r="AF698" s="13"/>
      <c r="AG698" s="685"/>
      <c r="AH698" s="688" t="b">
        <f t="shared" si="253"/>
        <v>1</v>
      </c>
    </row>
    <row r="699" spans="1:34" s="1" customFormat="1" ht="15" customHeight="1">
      <c r="A699" s="171"/>
      <c r="B699" s="171"/>
      <c r="C699" s="171"/>
      <c r="D699" s="171"/>
      <c r="E699" s="171"/>
      <c r="F699" s="171"/>
      <c r="G699" s="389"/>
      <c r="H699" s="389"/>
      <c r="I699" s="391"/>
      <c r="J699" s="391"/>
      <c r="K699" s="391"/>
      <c r="L699" s="29"/>
      <c r="M699" s="25"/>
      <c r="N699" s="26"/>
      <c r="O699" s="27"/>
      <c r="P699" s="656"/>
      <c r="Q699" s="658"/>
      <c r="R699" s="249"/>
      <c r="S699" s="692"/>
      <c r="T699" s="190"/>
      <c r="U699" s="196"/>
      <c r="V699" s="11"/>
      <c r="W699" s="12"/>
      <c r="X699" s="194"/>
      <c r="Y699" s="194"/>
      <c r="Z699" s="13"/>
      <c r="AA699" s="13"/>
      <c r="AB699" s="13"/>
      <c r="AC699" s="13"/>
      <c r="AD699" s="13"/>
      <c r="AE699" s="13"/>
      <c r="AF699" s="13"/>
      <c r="AG699" s="685"/>
      <c r="AH699" s="688" t="b">
        <f t="shared" si="253"/>
        <v>1</v>
      </c>
    </row>
    <row r="700" spans="1:34" s="1" customFormat="1" ht="15" customHeight="1">
      <c r="A700" s="171"/>
      <c r="B700" s="171"/>
      <c r="C700" s="171"/>
      <c r="D700" s="171"/>
      <c r="E700" s="171"/>
      <c r="F700" s="171"/>
      <c r="G700" s="389"/>
      <c r="H700" s="389"/>
      <c r="I700" s="391"/>
      <c r="J700" s="391"/>
      <c r="K700" s="391"/>
      <c r="L700" s="29"/>
      <c r="M700" s="25"/>
      <c r="N700" s="26"/>
      <c r="O700" s="27"/>
      <c r="P700" s="656"/>
      <c r="Q700" s="658"/>
      <c r="R700" s="249"/>
      <c r="S700" s="692"/>
      <c r="T700" s="190"/>
      <c r="U700" s="196"/>
      <c r="V700" s="11"/>
      <c r="W700" s="12"/>
      <c r="X700" s="194"/>
      <c r="Y700" s="194"/>
      <c r="Z700" s="13"/>
      <c r="AA700" s="13"/>
      <c r="AB700" s="13"/>
      <c r="AC700" s="13"/>
      <c r="AD700" s="13"/>
      <c r="AE700" s="13"/>
      <c r="AF700" s="13"/>
      <c r="AG700" s="685"/>
      <c r="AH700" s="688" t="b">
        <f t="shared" si="253"/>
        <v>1</v>
      </c>
    </row>
    <row r="701" spans="1:34" s="1" customFormat="1" ht="15" customHeight="1">
      <c r="A701" s="171"/>
      <c r="B701" s="171"/>
      <c r="C701" s="171"/>
      <c r="D701" s="171"/>
      <c r="E701" s="171"/>
      <c r="F701" s="171"/>
      <c r="G701" s="389"/>
      <c r="H701" s="389"/>
      <c r="I701" s="391"/>
      <c r="J701" s="391"/>
      <c r="K701" s="391"/>
      <c r="L701" s="29"/>
      <c r="M701" s="25"/>
      <c r="N701" s="26"/>
      <c r="O701" s="27"/>
      <c r="P701" s="656"/>
      <c r="Q701" s="658"/>
      <c r="R701" s="249"/>
      <c r="S701" s="692"/>
      <c r="T701" s="190"/>
      <c r="U701" s="196"/>
      <c r="V701" s="11"/>
      <c r="W701" s="12"/>
      <c r="X701" s="194"/>
      <c r="Y701" s="194"/>
      <c r="Z701" s="13"/>
      <c r="AA701" s="13"/>
      <c r="AB701" s="13"/>
      <c r="AC701" s="13"/>
      <c r="AD701" s="13"/>
      <c r="AE701" s="13"/>
      <c r="AF701" s="13"/>
      <c r="AG701" s="685"/>
      <c r="AH701" s="688" t="b">
        <f t="shared" si="253"/>
        <v>1</v>
      </c>
    </row>
    <row r="702" spans="1:34" s="1" customFormat="1" ht="15" customHeight="1">
      <c r="A702" s="171"/>
      <c r="B702" s="171"/>
      <c r="C702" s="171"/>
      <c r="D702" s="171"/>
      <c r="E702" s="171"/>
      <c r="F702" s="171"/>
      <c r="G702" s="389"/>
      <c r="H702" s="389"/>
      <c r="I702" s="391"/>
      <c r="J702" s="391"/>
      <c r="K702" s="391"/>
      <c r="L702" s="29"/>
      <c r="M702" s="25"/>
      <c r="N702" s="26"/>
      <c r="O702" s="27"/>
      <c r="P702" s="656"/>
      <c r="Q702" s="658"/>
      <c r="R702" s="249"/>
      <c r="S702" s="692"/>
      <c r="T702" s="190"/>
      <c r="U702" s="196"/>
      <c r="V702" s="11"/>
      <c r="W702" s="12"/>
      <c r="X702" s="194"/>
      <c r="Y702" s="194"/>
      <c r="Z702" s="13"/>
      <c r="AA702" s="13"/>
      <c r="AB702" s="13"/>
      <c r="AC702" s="13"/>
      <c r="AD702" s="13"/>
      <c r="AE702" s="13"/>
      <c r="AF702" s="13"/>
      <c r="AG702" s="685"/>
      <c r="AH702" s="688" t="b">
        <f t="shared" si="253"/>
        <v>1</v>
      </c>
    </row>
    <row r="703" spans="1:34" s="1" customFormat="1" ht="15" customHeight="1">
      <c r="A703" s="171"/>
      <c r="B703" s="171"/>
      <c r="C703" s="171"/>
      <c r="D703" s="171"/>
      <c r="E703" s="171"/>
      <c r="F703" s="171"/>
      <c r="G703" s="389"/>
      <c r="H703" s="389"/>
      <c r="I703" s="391"/>
      <c r="J703" s="391"/>
      <c r="K703" s="391"/>
      <c r="L703" s="29"/>
      <c r="M703" s="25"/>
      <c r="N703" s="26"/>
      <c r="O703" s="27"/>
      <c r="P703" s="656"/>
      <c r="Q703" s="658"/>
      <c r="R703" s="249"/>
      <c r="S703" s="692"/>
      <c r="T703" s="190"/>
      <c r="U703" s="196"/>
      <c r="V703" s="11"/>
      <c r="W703" s="12"/>
      <c r="X703" s="194"/>
      <c r="Y703" s="194"/>
      <c r="Z703" s="13"/>
      <c r="AA703" s="13"/>
      <c r="AB703" s="13"/>
      <c r="AC703" s="13"/>
      <c r="AD703" s="13"/>
      <c r="AE703" s="13"/>
      <c r="AF703" s="13"/>
      <c r="AG703" s="685"/>
      <c r="AH703" s="688" t="b">
        <f t="shared" si="253"/>
        <v>1</v>
      </c>
    </row>
    <row r="704" spans="1:34" s="1" customFormat="1" ht="15" customHeight="1">
      <c r="A704" s="171"/>
      <c r="B704" s="171"/>
      <c r="C704" s="171"/>
      <c r="D704" s="171"/>
      <c r="E704" s="171"/>
      <c r="F704" s="171"/>
      <c r="G704" s="389"/>
      <c r="H704" s="389"/>
      <c r="I704" s="391"/>
      <c r="J704" s="391"/>
      <c r="K704" s="391"/>
      <c r="L704" s="29"/>
      <c r="M704" s="25"/>
      <c r="N704" s="26"/>
      <c r="O704" s="27"/>
      <c r="P704" s="656"/>
      <c r="Q704" s="658"/>
      <c r="R704" s="249"/>
      <c r="S704" s="692"/>
      <c r="T704" s="190"/>
      <c r="U704" s="196"/>
      <c r="V704" s="11"/>
      <c r="W704" s="12"/>
      <c r="X704" s="194"/>
      <c r="Y704" s="194"/>
      <c r="Z704" s="13"/>
      <c r="AA704" s="13"/>
      <c r="AB704" s="13"/>
      <c r="AC704" s="13"/>
      <c r="AD704" s="13"/>
      <c r="AE704" s="13"/>
      <c r="AF704" s="13"/>
      <c r="AG704" s="685"/>
      <c r="AH704" s="688" t="b">
        <f t="shared" si="253"/>
        <v>1</v>
      </c>
    </row>
    <row r="705" spans="1:34" s="1" customFormat="1" ht="15" customHeight="1">
      <c r="A705" s="171"/>
      <c r="B705" s="171"/>
      <c r="C705" s="171"/>
      <c r="D705" s="171"/>
      <c r="E705" s="171"/>
      <c r="F705" s="171"/>
      <c r="G705" s="389"/>
      <c r="H705" s="389"/>
      <c r="I705" s="391"/>
      <c r="J705" s="391"/>
      <c r="K705" s="391"/>
      <c r="L705" s="29"/>
      <c r="M705" s="25"/>
      <c r="N705" s="26"/>
      <c r="O705" s="27"/>
      <c r="P705" s="656"/>
      <c r="Q705" s="658"/>
      <c r="R705" s="249"/>
      <c r="S705" s="692"/>
      <c r="T705" s="190"/>
      <c r="U705" s="196"/>
      <c r="V705" s="11"/>
      <c r="W705" s="12"/>
      <c r="X705" s="194"/>
      <c r="Y705" s="194"/>
      <c r="Z705" s="13"/>
      <c r="AA705" s="13"/>
      <c r="AB705" s="13"/>
      <c r="AC705" s="13"/>
      <c r="AD705" s="13"/>
      <c r="AE705" s="13"/>
      <c r="AF705" s="13"/>
      <c r="AG705" s="685"/>
      <c r="AH705" s="688" t="b">
        <f t="shared" si="253"/>
        <v>1</v>
      </c>
    </row>
    <row r="706" spans="1:34" s="1" customFormat="1" ht="15" customHeight="1">
      <c r="A706" s="171"/>
      <c r="B706" s="171"/>
      <c r="C706" s="171"/>
      <c r="D706" s="171"/>
      <c r="E706" s="171"/>
      <c r="F706" s="171"/>
      <c r="G706" s="389"/>
      <c r="H706" s="389"/>
      <c r="I706" s="391"/>
      <c r="J706" s="391"/>
      <c r="K706" s="391"/>
      <c r="L706" s="29"/>
      <c r="M706" s="25"/>
      <c r="N706" s="26"/>
      <c r="O706" s="27"/>
      <c r="P706" s="656"/>
      <c r="Q706" s="658"/>
      <c r="R706" s="249"/>
      <c r="S706" s="692"/>
      <c r="T706" s="190"/>
      <c r="U706" s="196"/>
      <c r="V706" s="11"/>
      <c r="W706" s="12"/>
      <c r="X706" s="194"/>
      <c r="Y706" s="194"/>
      <c r="Z706" s="13"/>
      <c r="AA706" s="13"/>
      <c r="AB706" s="13"/>
      <c r="AC706" s="13"/>
      <c r="AD706" s="13"/>
      <c r="AE706" s="13"/>
      <c r="AF706" s="13"/>
      <c r="AG706" s="685"/>
      <c r="AH706" s="688" t="b">
        <f t="shared" si="253"/>
        <v>1</v>
      </c>
    </row>
    <row r="707" spans="1:34" s="1" customFormat="1" ht="15" customHeight="1">
      <c r="A707" s="171"/>
      <c r="B707" s="171"/>
      <c r="C707" s="171"/>
      <c r="D707" s="171"/>
      <c r="E707" s="171"/>
      <c r="F707" s="171"/>
      <c r="G707" s="389"/>
      <c r="H707" s="389"/>
      <c r="I707" s="391"/>
      <c r="J707" s="391"/>
      <c r="K707" s="391"/>
      <c r="L707" s="29"/>
      <c r="M707" s="25"/>
      <c r="N707" s="26"/>
      <c r="O707" s="27"/>
      <c r="P707" s="656"/>
      <c r="Q707" s="658"/>
      <c r="R707" s="249"/>
      <c r="S707" s="692"/>
      <c r="T707" s="190"/>
      <c r="U707" s="196"/>
      <c r="V707" s="11"/>
      <c r="W707" s="12"/>
      <c r="X707" s="194"/>
      <c r="Y707" s="194"/>
      <c r="Z707" s="13"/>
      <c r="AA707" s="13"/>
      <c r="AB707" s="13"/>
      <c r="AC707" s="13"/>
      <c r="AD707" s="13"/>
      <c r="AE707" s="13"/>
      <c r="AF707" s="13"/>
      <c r="AG707" s="685"/>
      <c r="AH707" s="688" t="b">
        <f t="shared" si="253"/>
        <v>1</v>
      </c>
    </row>
    <row r="708" spans="1:34" s="1" customFormat="1" ht="15" customHeight="1">
      <c r="A708" s="171"/>
      <c r="B708" s="171"/>
      <c r="C708" s="171"/>
      <c r="D708" s="171"/>
      <c r="E708" s="171"/>
      <c r="F708" s="171"/>
      <c r="G708" s="389"/>
      <c r="H708" s="389"/>
      <c r="I708" s="391"/>
      <c r="J708" s="391"/>
      <c r="K708" s="391"/>
      <c r="L708" s="29"/>
      <c r="M708" s="25"/>
      <c r="N708" s="26"/>
      <c r="O708" s="27"/>
      <c r="P708" s="656"/>
      <c r="Q708" s="658"/>
      <c r="R708" s="249"/>
      <c r="S708" s="692"/>
      <c r="T708" s="190"/>
      <c r="U708" s="196"/>
      <c r="V708" s="11"/>
      <c r="W708" s="12"/>
      <c r="X708" s="194"/>
      <c r="Y708" s="194"/>
      <c r="Z708" s="13"/>
      <c r="AA708" s="13"/>
      <c r="AB708" s="13"/>
      <c r="AC708" s="13"/>
      <c r="AD708" s="13"/>
      <c r="AE708" s="13"/>
      <c r="AF708" s="13"/>
      <c r="AG708" s="685"/>
      <c r="AH708" s="688" t="b">
        <f t="shared" si="253"/>
        <v>1</v>
      </c>
    </row>
    <row r="709" spans="1:34" s="1" customFormat="1" ht="15" customHeight="1">
      <c r="A709" s="171"/>
      <c r="B709" s="171"/>
      <c r="C709" s="171"/>
      <c r="D709" s="171"/>
      <c r="E709" s="171"/>
      <c r="F709" s="171"/>
      <c r="G709" s="389"/>
      <c r="H709" s="389"/>
      <c r="I709" s="391"/>
      <c r="J709" s="391"/>
      <c r="K709" s="391"/>
      <c r="L709" s="29"/>
      <c r="M709" s="25"/>
      <c r="N709" s="26"/>
      <c r="O709" s="27"/>
      <c r="P709" s="656"/>
      <c r="Q709" s="658"/>
      <c r="R709" s="249"/>
      <c r="S709" s="692"/>
      <c r="T709" s="190"/>
      <c r="U709" s="196"/>
      <c r="V709" s="11"/>
      <c r="W709" s="12"/>
      <c r="X709" s="194"/>
      <c r="Y709" s="194"/>
      <c r="Z709" s="13"/>
      <c r="AA709" s="13"/>
      <c r="AB709" s="13"/>
      <c r="AC709" s="13"/>
      <c r="AD709" s="13"/>
      <c r="AE709" s="13"/>
      <c r="AF709" s="13"/>
      <c r="AG709" s="685"/>
      <c r="AH709" s="688" t="b">
        <f t="shared" si="253"/>
        <v>1</v>
      </c>
    </row>
    <row r="710" spans="1:34" s="1" customFormat="1" ht="15" customHeight="1">
      <c r="A710" s="171"/>
      <c r="B710" s="171"/>
      <c r="C710" s="171"/>
      <c r="D710" s="171"/>
      <c r="E710" s="171"/>
      <c r="F710" s="171"/>
      <c r="G710" s="389"/>
      <c r="H710" s="389"/>
      <c r="I710" s="391"/>
      <c r="J710" s="391"/>
      <c r="K710" s="391"/>
      <c r="L710" s="29"/>
      <c r="M710" s="25"/>
      <c r="N710" s="26"/>
      <c r="O710" s="27"/>
      <c r="P710" s="656"/>
      <c r="Q710" s="658"/>
      <c r="R710" s="249"/>
      <c r="S710" s="692"/>
      <c r="T710" s="190"/>
      <c r="U710" s="196"/>
      <c r="V710" s="11"/>
      <c r="W710" s="12"/>
      <c r="X710" s="194"/>
      <c r="Y710" s="194"/>
      <c r="Z710" s="13"/>
      <c r="AA710" s="13"/>
      <c r="AB710" s="13"/>
      <c r="AC710" s="13"/>
      <c r="AD710" s="13"/>
      <c r="AE710" s="13"/>
      <c r="AF710" s="13"/>
      <c r="AG710" s="685"/>
      <c r="AH710" s="688" t="b">
        <f t="shared" ref="AH710:AH773" si="254">Q710=SUM(X710:AG710)</f>
        <v>1</v>
      </c>
    </row>
    <row r="711" spans="1:34" s="1" customFormat="1" ht="15" customHeight="1">
      <c r="A711" s="171"/>
      <c r="B711" s="171"/>
      <c r="C711" s="171"/>
      <c r="D711" s="171"/>
      <c r="E711" s="171"/>
      <c r="F711" s="171"/>
      <c r="G711" s="389"/>
      <c r="H711" s="389"/>
      <c r="I711" s="391"/>
      <c r="J711" s="391"/>
      <c r="K711" s="391"/>
      <c r="L711" s="29"/>
      <c r="M711" s="25"/>
      <c r="N711" s="26"/>
      <c r="O711" s="27"/>
      <c r="P711" s="656"/>
      <c r="Q711" s="658"/>
      <c r="R711" s="249"/>
      <c r="S711" s="692"/>
      <c r="T711" s="190"/>
      <c r="U711" s="196"/>
      <c r="V711" s="11"/>
      <c r="W711" s="12"/>
      <c r="X711" s="194"/>
      <c r="Y711" s="194"/>
      <c r="Z711" s="13"/>
      <c r="AA711" s="13"/>
      <c r="AB711" s="13"/>
      <c r="AC711" s="13"/>
      <c r="AD711" s="13"/>
      <c r="AE711" s="13"/>
      <c r="AF711" s="13"/>
      <c r="AG711" s="685"/>
      <c r="AH711" s="688" t="b">
        <f t="shared" si="254"/>
        <v>1</v>
      </c>
    </row>
    <row r="712" spans="1:34" s="1" customFormat="1" ht="15" customHeight="1">
      <c r="A712" s="171"/>
      <c r="B712" s="171"/>
      <c r="C712" s="171"/>
      <c r="D712" s="171"/>
      <c r="E712" s="171"/>
      <c r="F712" s="171"/>
      <c r="G712" s="389"/>
      <c r="H712" s="389"/>
      <c r="I712" s="391"/>
      <c r="J712" s="391"/>
      <c r="K712" s="391"/>
      <c r="L712" s="29"/>
      <c r="M712" s="25"/>
      <c r="N712" s="26"/>
      <c r="O712" s="27"/>
      <c r="P712" s="656"/>
      <c r="Q712" s="658"/>
      <c r="R712" s="249"/>
      <c r="S712" s="692"/>
      <c r="T712" s="190"/>
      <c r="U712" s="196"/>
      <c r="V712" s="11"/>
      <c r="W712" s="12"/>
      <c r="X712" s="194"/>
      <c r="Y712" s="194"/>
      <c r="Z712" s="13"/>
      <c r="AA712" s="13"/>
      <c r="AB712" s="13"/>
      <c r="AC712" s="13"/>
      <c r="AD712" s="13"/>
      <c r="AE712" s="13"/>
      <c r="AF712" s="13"/>
      <c r="AG712" s="685"/>
      <c r="AH712" s="688" t="b">
        <f t="shared" si="254"/>
        <v>1</v>
      </c>
    </row>
    <row r="713" spans="1:34" s="1" customFormat="1" ht="15" customHeight="1">
      <c r="A713" s="171"/>
      <c r="B713" s="171"/>
      <c r="C713" s="171"/>
      <c r="D713" s="171"/>
      <c r="E713" s="171"/>
      <c r="F713" s="171"/>
      <c r="G713" s="389"/>
      <c r="H713" s="389"/>
      <c r="I713" s="391"/>
      <c r="J713" s="391"/>
      <c r="K713" s="391"/>
      <c r="L713" s="29"/>
      <c r="M713" s="25"/>
      <c r="N713" s="26"/>
      <c r="O713" s="27"/>
      <c r="P713" s="656"/>
      <c r="Q713" s="658"/>
      <c r="R713" s="249"/>
      <c r="S713" s="692"/>
      <c r="T713" s="190"/>
      <c r="U713" s="196"/>
      <c r="V713" s="11"/>
      <c r="W713" s="12"/>
      <c r="X713" s="194"/>
      <c r="Y713" s="194"/>
      <c r="Z713" s="13"/>
      <c r="AA713" s="13"/>
      <c r="AB713" s="13"/>
      <c r="AC713" s="13"/>
      <c r="AD713" s="13"/>
      <c r="AE713" s="13"/>
      <c r="AF713" s="13"/>
      <c r="AG713" s="685"/>
      <c r="AH713" s="688" t="b">
        <f t="shared" si="254"/>
        <v>1</v>
      </c>
    </row>
    <row r="714" spans="1:34" s="1" customFormat="1" ht="15" customHeight="1">
      <c r="A714" s="171"/>
      <c r="B714" s="171"/>
      <c r="C714" s="171"/>
      <c r="D714" s="171"/>
      <c r="E714" s="171"/>
      <c r="F714" s="171"/>
      <c r="G714" s="389"/>
      <c r="H714" s="389"/>
      <c r="I714" s="391"/>
      <c r="J714" s="391"/>
      <c r="K714" s="391"/>
      <c r="L714" s="29"/>
      <c r="M714" s="25"/>
      <c r="N714" s="26"/>
      <c r="O714" s="27"/>
      <c r="P714" s="656"/>
      <c r="Q714" s="658"/>
      <c r="R714" s="249"/>
      <c r="S714" s="692"/>
      <c r="T714" s="190"/>
      <c r="U714" s="196"/>
      <c r="V714" s="11"/>
      <c r="W714" s="12"/>
      <c r="X714" s="194"/>
      <c r="Y714" s="194"/>
      <c r="Z714" s="13"/>
      <c r="AA714" s="13"/>
      <c r="AB714" s="13"/>
      <c r="AC714" s="13"/>
      <c r="AD714" s="13"/>
      <c r="AE714" s="13"/>
      <c r="AF714" s="13"/>
      <c r="AG714" s="685"/>
      <c r="AH714" s="688" t="b">
        <f t="shared" si="254"/>
        <v>1</v>
      </c>
    </row>
    <row r="715" spans="1:34" s="1" customFormat="1" ht="15" customHeight="1">
      <c r="A715" s="171"/>
      <c r="B715" s="171"/>
      <c r="C715" s="171"/>
      <c r="D715" s="171"/>
      <c r="E715" s="171"/>
      <c r="F715" s="171"/>
      <c r="G715" s="389"/>
      <c r="H715" s="389"/>
      <c r="I715" s="391"/>
      <c r="J715" s="391"/>
      <c r="K715" s="391"/>
      <c r="L715" s="29"/>
      <c r="M715" s="25"/>
      <c r="N715" s="26"/>
      <c r="O715" s="27"/>
      <c r="P715" s="656"/>
      <c r="Q715" s="658"/>
      <c r="R715" s="249"/>
      <c r="S715" s="692"/>
      <c r="T715" s="190"/>
      <c r="U715" s="196"/>
      <c r="V715" s="11"/>
      <c r="W715" s="12"/>
      <c r="X715" s="194"/>
      <c r="Y715" s="194"/>
      <c r="Z715" s="13"/>
      <c r="AA715" s="13"/>
      <c r="AB715" s="13"/>
      <c r="AC715" s="13"/>
      <c r="AD715" s="13"/>
      <c r="AE715" s="13"/>
      <c r="AF715" s="13"/>
      <c r="AG715" s="685"/>
      <c r="AH715" s="688" t="b">
        <f t="shared" si="254"/>
        <v>1</v>
      </c>
    </row>
    <row r="716" spans="1:34" s="1" customFormat="1" ht="15" customHeight="1">
      <c r="A716" s="171"/>
      <c r="B716" s="171"/>
      <c r="C716" s="171"/>
      <c r="D716" s="171"/>
      <c r="E716" s="171"/>
      <c r="F716" s="171"/>
      <c r="G716" s="389"/>
      <c r="H716" s="389"/>
      <c r="I716" s="391"/>
      <c r="J716" s="391"/>
      <c r="K716" s="391"/>
      <c r="L716" s="29"/>
      <c r="M716" s="25"/>
      <c r="N716" s="26"/>
      <c r="O716" s="27"/>
      <c r="P716" s="656"/>
      <c r="Q716" s="658"/>
      <c r="R716" s="249"/>
      <c r="S716" s="692"/>
      <c r="T716" s="190"/>
      <c r="U716" s="196"/>
      <c r="V716" s="11"/>
      <c r="W716" s="12"/>
      <c r="X716" s="194"/>
      <c r="Y716" s="194"/>
      <c r="Z716" s="13"/>
      <c r="AA716" s="13"/>
      <c r="AB716" s="13"/>
      <c r="AC716" s="13"/>
      <c r="AD716" s="13"/>
      <c r="AE716" s="13"/>
      <c r="AF716" s="13"/>
      <c r="AG716" s="685"/>
      <c r="AH716" s="688" t="b">
        <f t="shared" si="254"/>
        <v>1</v>
      </c>
    </row>
    <row r="717" spans="1:34" s="1" customFormat="1" ht="15" customHeight="1">
      <c r="A717" s="171"/>
      <c r="B717" s="171"/>
      <c r="C717" s="171"/>
      <c r="D717" s="171"/>
      <c r="E717" s="171"/>
      <c r="F717" s="171"/>
      <c r="G717" s="389"/>
      <c r="H717" s="389"/>
      <c r="I717" s="391"/>
      <c r="J717" s="391"/>
      <c r="K717" s="391"/>
      <c r="L717" s="29"/>
      <c r="M717" s="25"/>
      <c r="N717" s="26"/>
      <c r="O717" s="27"/>
      <c r="P717" s="656"/>
      <c r="Q717" s="658"/>
      <c r="R717" s="249"/>
      <c r="S717" s="692"/>
      <c r="T717" s="190"/>
      <c r="U717" s="196"/>
      <c r="V717" s="11"/>
      <c r="W717" s="12"/>
      <c r="X717" s="194"/>
      <c r="Y717" s="194"/>
      <c r="Z717" s="13"/>
      <c r="AA717" s="13"/>
      <c r="AB717" s="13"/>
      <c r="AC717" s="13"/>
      <c r="AD717" s="13"/>
      <c r="AE717" s="13"/>
      <c r="AF717" s="13"/>
      <c r="AG717" s="685"/>
      <c r="AH717" s="688" t="b">
        <f t="shared" si="254"/>
        <v>1</v>
      </c>
    </row>
    <row r="718" spans="1:34" s="1" customFormat="1" ht="15" customHeight="1">
      <c r="A718" s="171"/>
      <c r="B718" s="171"/>
      <c r="C718" s="171"/>
      <c r="D718" s="171"/>
      <c r="E718" s="171"/>
      <c r="F718" s="171"/>
      <c r="G718" s="389"/>
      <c r="H718" s="389"/>
      <c r="I718" s="391"/>
      <c r="J718" s="391"/>
      <c r="K718" s="391"/>
      <c r="L718" s="29"/>
      <c r="M718" s="25"/>
      <c r="N718" s="26"/>
      <c r="O718" s="27"/>
      <c r="P718" s="656"/>
      <c r="Q718" s="658"/>
      <c r="R718" s="249"/>
      <c r="S718" s="692"/>
      <c r="T718" s="190"/>
      <c r="U718" s="196"/>
      <c r="V718" s="11"/>
      <c r="W718" s="12"/>
      <c r="X718" s="194"/>
      <c r="Y718" s="194"/>
      <c r="Z718" s="13"/>
      <c r="AA718" s="13"/>
      <c r="AB718" s="13"/>
      <c r="AC718" s="13"/>
      <c r="AD718" s="13"/>
      <c r="AE718" s="13"/>
      <c r="AF718" s="13"/>
      <c r="AG718" s="685"/>
      <c r="AH718" s="688" t="b">
        <f t="shared" si="254"/>
        <v>1</v>
      </c>
    </row>
    <row r="719" spans="1:34" s="1" customFormat="1" ht="15" customHeight="1">
      <c r="A719" s="171"/>
      <c r="B719" s="171"/>
      <c r="C719" s="171"/>
      <c r="D719" s="171"/>
      <c r="E719" s="171"/>
      <c r="F719" s="171"/>
      <c r="G719" s="389"/>
      <c r="H719" s="389"/>
      <c r="I719" s="391"/>
      <c r="J719" s="391"/>
      <c r="K719" s="391"/>
      <c r="L719" s="29"/>
      <c r="M719" s="25"/>
      <c r="N719" s="26"/>
      <c r="O719" s="27"/>
      <c r="P719" s="656"/>
      <c r="Q719" s="658"/>
      <c r="R719" s="249"/>
      <c r="S719" s="692"/>
      <c r="T719" s="190"/>
      <c r="U719" s="196"/>
      <c r="V719" s="11"/>
      <c r="W719" s="12"/>
      <c r="X719" s="194"/>
      <c r="Y719" s="194"/>
      <c r="Z719" s="13"/>
      <c r="AA719" s="13"/>
      <c r="AB719" s="13"/>
      <c r="AC719" s="13"/>
      <c r="AD719" s="13"/>
      <c r="AE719" s="13"/>
      <c r="AF719" s="13"/>
      <c r="AG719" s="685"/>
      <c r="AH719" s="688" t="b">
        <f t="shared" si="254"/>
        <v>1</v>
      </c>
    </row>
    <row r="720" spans="1:34" s="1" customFormat="1" ht="15" customHeight="1">
      <c r="A720" s="171"/>
      <c r="B720" s="171"/>
      <c r="C720" s="171"/>
      <c r="D720" s="171"/>
      <c r="E720" s="171"/>
      <c r="F720" s="171"/>
      <c r="G720" s="389"/>
      <c r="H720" s="389"/>
      <c r="I720" s="391"/>
      <c r="J720" s="391"/>
      <c r="K720" s="391"/>
      <c r="L720" s="29"/>
      <c r="M720" s="25"/>
      <c r="N720" s="26"/>
      <c r="O720" s="27"/>
      <c r="P720" s="656"/>
      <c r="Q720" s="658"/>
      <c r="R720" s="249"/>
      <c r="S720" s="692"/>
      <c r="T720" s="190"/>
      <c r="U720" s="196"/>
      <c r="V720" s="11"/>
      <c r="W720" s="12"/>
      <c r="X720" s="194"/>
      <c r="Y720" s="194"/>
      <c r="Z720" s="13"/>
      <c r="AA720" s="13"/>
      <c r="AB720" s="13"/>
      <c r="AC720" s="13"/>
      <c r="AD720" s="13"/>
      <c r="AE720" s="13"/>
      <c r="AF720" s="13"/>
      <c r="AG720" s="685"/>
      <c r="AH720" s="688" t="b">
        <f t="shared" si="254"/>
        <v>1</v>
      </c>
    </row>
    <row r="721" spans="1:34" s="1" customFormat="1" ht="15" customHeight="1">
      <c r="A721" s="171"/>
      <c r="B721" s="171"/>
      <c r="C721" s="171"/>
      <c r="D721" s="171"/>
      <c r="E721" s="171"/>
      <c r="F721" s="171"/>
      <c r="G721" s="389"/>
      <c r="H721" s="389"/>
      <c r="I721" s="391"/>
      <c r="J721" s="391"/>
      <c r="K721" s="391"/>
      <c r="L721" s="29"/>
      <c r="M721" s="25"/>
      <c r="N721" s="26"/>
      <c r="O721" s="27"/>
      <c r="P721" s="656"/>
      <c r="Q721" s="658"/>
      <c r="R721" s="249"/>
      <c r="S721" s="692"/>
      <c r="T721" s="190"/>
      <c r="U721" s="196"/>
      <c r="V721" s="11"/>
      <c r="W721" s="12"/>
      <c r="X721" s="194"/>
      <c r="Y721" s="194"/>
      <c r="Z721" s="13"/>
      <c r="AA721" s="13"/>
      <c r="AB721" s="13"/>
      <c r="AC721" s="13"/>
      <c r="AD721" s="13"/>
      <c r="AE721" s="13"/>
      <c r="AF721" s="13"/>
      <c r="AG721" s="685"/>
      <c r="AH721" s="688" t="b">
        <f t="shared" si="254"/>
        <v>1</v>
      </c>
    </row>
    <row r="722" spans="1:34" s="1" customFormat="1" ht="15" customHeight="1">
      <c r="A722" s="171"/>
      <c r="B722" s="171"/>
      <c r="C722" s="171"/>
      <c r="D722" s="171"/>
      <c r="E722" s="171"/>
      <c r="F722" s="171"/>
      <c r="G722" s="389"/>
      <c r="H722" s="389"/>
      <c r="I722" s="391"/>
      <c r="J722" s="391"/>
      <c r="K722" s="391"/>
      <c r="L722" s="29"/>
      <c r="M722" s="25"/>
      <c r="N722" s="26"/>
      <c r="O722" s="27"/>
      <c r="P722" s="656"/>
      <c r="Q722" s="658"/>
      <c r="R722" s="249"/>
      <c r="S722" s="692"/>
      <c r="T722" s="190"/>
      <c r="U722" s="196"/>
      <c r="V722" s="11"/>
      <c r="W722" s="12"/>
      <c r="X722" s="194"/>
      <c r="Y722" s="194"/>
      <c r="Z722" s="13"/>
      <c r="AA722" s="13"/>
      <c r="AB722" s="13"/>
      <c r="AC722" s="13"/>
      <c r="AD722" s="13"/>
      <c r="AE722" s="13"/>
      <c r="AF722" s="13"/>
      <c r="AG722" s="685"/>
      <c r="AH722" s="688" t="b">
        <f t="shared" si="254"/>
        <v>1</v>
      </c>
    </row>
    <row r="723" spans="1:34" s="1" customFormat="1" ht="15" customHeight="1">
      <c r="A723" s="171"/>
      <c r="B723" s="171"/>
      <c r="C723" s="171"/>
      <c r="D723" s="171"/>
      <c r="E723" s="171"/>
      <c r="F723" s="171"/>
      <c r="G723" s="389"/>
      <c r="H723" s="389"/>
      <c r="I723" s="391"/>
      <c r="J723" s="391"/>
      <c r="K723" s="391"/>
      <c r="L723" s="29"/>
      <c r="M723" s="25"/>
      <c r="N723" s="26"/>
      <c r="O723" s="27"/>
      <c r="P723" s="656"/>
      <c r="Q723" s="658"/>
      <c r="R723" s="249"/>
      <c r="S723" s="692"/>
      <c r="T723" s="190"/>
      <c r="U723" s="196"/>
      <c r="V723" s="11"/>
      <c r="W723" s="12"/>
      <c r="X723" s="194"/>
      <c r="Y723" s="194"/>
      <c r="Z723" s="13"/>
      <c r="AA723" s="13"/>
      <c r="AB723" s="13"/>
      <c r="AC723" s="13"/>
      <c r="AD723" s="13"/>
      <c r="AE723" s="13"/>
      <c r="AF723" s="13"/>
      <c r="AG723" s="685"/>
      <c r="AH723" s="688" t="b">
        <f t="shared" si="254"/>
        <v>1</v>
      </c>
    </row>
    <row r="724" spans="1:34" s="1" customFormat="1" ht="15" customHeight="1">
      <c r="A724" s="171"/>
      <c r="B724" s="171"/>
      <c r="C724" s="171"/>
      <c r="D724" s="171"/>
      <c r="E724" s="171"/>
      <c r="F724" s="171"/>
      <c r="G724" s="389"/>
      <c r="H724" s="389"/>
      <c r="I724" s="391"/>
      <c r="J724" s="391"/>
      <c r="K724" s="391"/>
      <c r="L724" s="29"/>
      <c r="M724" s="25"/>
      <c r="N724" s="26"/>
      <c r="O724" s="27"/>
      <c r="P724" s="656"/>
      <c r="Q724" s="658"/>
      <c r="R724" s="249"/>
      <c r="S724" s="692"/>
      <c r="T724" s="190"/>
      <c r="U724" s="196"/>
      <c r="V724" s="11"/>
      <c r="W724" s="12"/>
      <c r="X724" s="194"/>
      <c r="Y724" s="194"/>
      <c r="Z724" s="13"/>
      <c r="AA724" s="13"/>
      <c r="AB724" s="13"/>
      <c r="AC724" s="13"/>
      <c r="AD724" s="13"/>
      <c r="AE724" s="13"/>
      <c r="AF724" s="13"/>
      <c r="AG724" s="685"/>
      <c r="AH724" s="688" t="b">
        <f t="shared" si="254"/>
        <v>1</v>
      </c>
    </row>
    <row r="725" spans="1:34" s="1" customFormat="1" ht="15" customHeight="1">
      <c r="A725" s="171"/>
      <c r="B725" s="171"/>
      <c r="C725" s="171"/>
      <c r="D725" s="171"/>
      <c r="E725" s="171"/>
      <c r="F725" s="171"/>
      <c r="G725" s="389"/>
      <c r="H725" s="389"/>
      <c r="I725" s="391"/>
      <c r="J725" s="391"/>
      <c r="K725" s="391"/>
      <c r="L725" s="29"/>
      <c r="M725" s="25"/>
      <c r="N725" s="26"/>
      <c r="O725" s="27"/>
      <c r="P725" s="656"/>
      <c r="Q725" s="658"/>
      <c r="R725" s="249"/>
      <c r="S725" s="692"/>
      <c r="T725" s="190"/>
      <c r="U725" s="196"/>
      <c r="V725" s="11"/>
      <c r="W725" s="12"/>
      <c r="X725" s="194"/>
      <c r="Y725" s="194"/>
      <c r="Z725" s="13"/>
      <c r="AA725" s="13"/>
      <c r="AB725" s="13"/>
      <c r="AC725" s="13"/>
      <c r="AD725" s="13"/>
      <c r="AE725" s="13"/>
      <c r="AF725" s="13"/>
      <c r="AG725" s="685"/>
      <c r="AH725" s="688" t="b">
        <f t="shared" si="254"/>
        <v>1</v>
      </c>
    </row>
    <row r="726" spans="1:34" s="1" customFormat="1" ht="15" customHeight="1">
      <c r="A726" s="171"/>
      <c r="B726" s="171"/>
      <c r="C726" s="171"/>
      <c r="D726" s="171"/>
      <c r="E726" s="171"/>
      <c r="F726" s="171"/>
      <c r="G726" s="389"/>
      <c r="H726" s="389"/>
      <c r="I726" s="391"/>
      <c r="J726" s="391"/>
      <c r="K726" s="391"/>
      <c r="L726" s="29"/>
      <c r="M726" s="25"/>
      <c r="N726" s="26"/>
      <c r="O726" s="27"/>
      <c r="P726" s="656"/>
      <c r="Q726" s="658"/>
      <c r="R726" s="249"/>
      <c r="S726" s="692"/>
      <c r="T726" s="190"/>
      <c r="U726" s="196"/>
      <c r="V726" s="11"/>
      <c r="W726" s="12"/>
      <c r="X726" s="194"/>
      <c r="Y726" s="194"/>
      <c r="Z726" s="13"/>
      <c r="AA726" s="13"/>
      <c r="AB726" s="13"/>
      <c r="AC726" s="13"/>
      <c r="AD726" s="13"/>
      <c r="AE726" s="13"/>
      <c r="AF726" s="13"/>
      <c r="AG726" s="685"/>
      <c r="AH726" s="688" t="b">
        <f t="shared" si="254"/>
        <v>1</v>
      </c>
    </row>
    <row r="727" spans="1:34" s="1" customFormat="1" ht="15" customHeight="1">
      <c r="A727" s="171"/>
      <c r="B727" s="171"/>
      <c r="C727" s="171"/>
      <c r="D727" s="171"/>
      <c r="E727" s="171"/>
      <c r="F727" s="171"/>
      <c r="G727" s="389"/>
      <c r="H727" s="389"/>
      <c r="I727" s="391"/>
      <c r="J727" s="391"/>
      <c r="K727" s="391"/>
      <c r="L727" s="29"/>
      <c r="M727" s="25"/>
      <c r="N727" s="26"/>
      <c r="O727" s="27"/>
      <c r="P727" s="656"/>
      <c r="Q727" s="658"/>
      <c r="R727" s="249"/>
      <c r="S727" s="692"/>
      <c r="T727" s="190"/>
      <c r="U727" s="196"/>
      <c r="V727" s="11"/>
      <c r="W727" s="12"/>
      <c r="X727" s="194"/>
      <c r="Y727" s="194"/>
      <c r="Z727" s="13"/>
      <c r="AA727" s="13"/>
      <c r="AB727" s="13"/>
      <c r="AC727" s="13"/>
      <c r="AD727" s="13"/>
      <c r="AE727" s="13"/>
      <c r="AF727" s="13"/>
      <c r="AG727" s="685"/>
      <c r="AH727" s="688" t="b">
        <f t="shared" si="254"/>
        <v>1</v>
      </c>
    </row>
    <row r="728" spans="1:34" s="1" customFormat="1" ht="15" customHeight="1">
      <c r="A728" s="171"/>
      <c r="B728" s="171"/>
      <c r="C728" s="171"/>
      <c r="D728" s="171"/>
      <c r="E728" s="171"/>
      <c r="F728" s="171"/>
      <c r="G728" s="389"/>
      <c r="H728" s="389"/>
      <c r="I728" s="391"/>
      <c r="J728" s="391"/>
      <c r="K728" s="391"/>
      <c r="L728" s="29"/>
      <c r="M728" s="25"/>
      <c r="N728" s="26"/>
      <c r="O728" s="27"/>
      <c r="P728" s="656"/>
      <c r="Q728" s="658"/>
      <c r="R728" s="249"/>
      <c r="S728" s="692"/>
      <c r="T728" s="190"/>
      <c r="U728" s="196"/>
      <c r="V728" s="11"/>
      <c r="W728" s="12"/>
      <c r="X728" s="194"/>
      <c r="Y728" s="194"/>
      <c r="Z728" s="13"/>
      <c r="AA728" s="13"/>
      <c r="AB728" s="13"/>
      <c r="AC728" s="13"/>
      <c r="AD728" s="13"/>
      <c r="AE728" s="13"/>
      <c r="AF728" s="13"/>
      <c r="AG728" s="685"/>
      <c r="AH728" s="688" t="b">
        <f t="shared" si="254"/>
        <v>1</v>
      </c>
    </row>
    <row r="729" spans="1:34" s="1" customFormat="1" ht="15" customHeight="1">
      <c r="A729" s="171"/>
      <c r="B729" s="171"/>
      <c r="C729" s="171"/>
      <c r="D729" s="171"/>
      <c r="E729" s="171"/>
      <c r="F729" s="171"/>
      <c r="G729" s="389"/>
      <c r="H729" s="389"/>
      <c r="I729" s="391"/>
      <c r="J729" s="391"/>
      <c r="K729" s="391"/>
      <c r="L729" s="29"/>
      <c r="M729" s="25"/>
      <c r="N729" s="26"/>
      <c r="O729" s="27"/>
      <c r="P729" s="656"/>
      <c r="Q729" s="658"/>
      <c r="R729" s="249"/>
      <c r="S729" s="692"/>
      <c r="T729" s="190"/>
      <c r="U729" s="196"/>
      <c r="V729" s="11"/>
      <c r="W729" s="12"/>
      <c r="X729" s="194"/>
      <c r="Y729" s="194"/>
      <c r="Z729" s="13"/>
      <c r="AA729" s="13"/>
      <c r="AB729" s="13"/>
      <c r="AC729" s="13"/>
      <c r="AD729" s="13"/>
      <c r="AE729" s="13"/>
      <c r="AF729" s="13"/>
      <c r="AG729" s="685"/>
      <c r="AH729" s="688" t="b">
        <f t="shared" si="254"/>
        <v>1</v>
      </c>
    </row>
    <row r="730" spans="1:34" s="1" customFormat="1" ht="15" customHeight="1">
      <c r="A730" s="171"/>
      <c r="B730" s="171"/>
      <c r="C730" s="171"/>
      <c r="D730" s="171"/>
      <c r="E730" s="171"/>
      <c r="F730" s="171"/>
      <c r="G730" s="389"/>
      <c r="H730" s="389"/>
      <c r="I730" s="391"/>
      <c r="J730" s="391"/>
      <c r="K730" s="391"/>
      <c r="L730" s="29"/>
      <c r="M730" s="25"/>
      <c r="N730" s="26"/>
      <c r="O730" s="27"/>
      <c r="P730" s="656"/>
      <c r="Q730" s="658"/>
      <c r="R730" s="249"/>
      <c r="S730" s="692"/>
      <c r="T730" s="190"/>
      <c r="U730" s="196"/>
      <c r="V730" s="11"/>
      <c r="W730" s="12"/>
      <c r="X730" s="194"/>
      <c r="Y730" s="194"/>
      <c r="Z730" s="13"/>
      <c r="AA730" s="13"/>
      <c r="AB730" s="13"/>
      <c r="AC730" s="13"/>
      <c r="AD730" s="13"/>
      <c r="AE730" s="13"/>
      <c r="AF730" s="13"/>
      <c r="AG730" s="685"/>
      <c r="AH730" s="688" t="b">
        <f t="shared" si="254"/>
        <v>1</v>
      </c>
    </row>
    <row r="731" spans="1:34" s="1" customFormat="1" ht="15" customHeight="1">
      <c r="A731" s="171"/>
      <c r="B731" s="171"/>
      <c r="C731" s="171"/>
      <c r="D731" s="171"/>
      <c r="E731" s="171"/>
      <c r="F731" s="171"/>
      <c r="G731" s="389"/>
      <c r="H731" s="389"/>
      <c r="I731" s="391"/>
      <c r="J731" s="391"/>
      <c r="K731" s="391"/>
      <c r="L731" s="29"/>
      <c r="M731" s="25"/>
      <c r="N731" s="26"/>
      <c r="O731" s="27"/>
      <c r="P731" s="656"/>
      <c r="Q731" s="658"/>
      <c r="R731" s="249"/>
      <c r="S731" s="692"/>
      <c r="T731" s="190"/>
      <c r="U731" s="196"/>
      <c r="V731" s="11"/>
      <c r="W731" s="12"/>
      <c r="X731" s="194"/>
      <c r="Y731" s="194"/>
      <c r="Z731" s="13"/>
      <c r="AA731" s="13"/>
      <c r="AB731" s="13"/>
      <c r="AC731" s="13"/>
      <c r="AD731" s="13"/>
      <c r="AE731" s="13"/>
      <c r="AF731" s="13"/>
      <c r="AG731" s="685"/>
      <c r="AH731" s="688" t="b">
        <f t="shared" si="254"/>
        <v>1</v>
      </c>
    </row>
    <row r="732" spans="1:34" s="1" customFormat="1" ht="15" customHeight="1">
      <c r="A732" s="171"/>
      <c r="B732" s="171"/>
      <c r="C732" s="171"/>
      <c r="D732" s="171"/>
      <c r="E732" s="171"/>
      <c r="F732" s="171"/>
      <c r="G732" s="389"/>
      <c r="H732" s="389"/>
      <c r="I732" s="391"/>
      <c r="J732" s="391"/>
      <c r="K732" s="391"/>
      <c r="L732" s="29"/>
      <c r="M732" s="25"/>
      <c r="N732" s="26"/>
      <c r="O732" s="27"/>
      <c r="P732" s="656"/>
      <c r="Q732" s="658"/>
      <c r="R732" s="249"/>
      <c r="S732" s="692"/>
      <c r="T732" s="190"/>
      <c r="U732" s="196"/>
      <c r="V732" s="11"/>
      <c r="W732" s="12"/>
      <c r="X732" s="194"/>
      <c r="Y732" s="194"/>
      <c r="Z732" s="13"/>
      <c r="AA732" s="13"/>
      <c r="AB732" s="13"/>
      <c r="AC732" s="13"/>
      <c r="AD732" s="13"/>
      <c r="AE732" s="13"/>
      <c r="AF732" s="13"/>
      <c r="AG732" s="685"/>
      <c r="AH732" s="688" t="b">
        <f t="shared" si="254"/>
        <v>1</v>
      </c>
    </row>
    <row r="733" spans="1:34" s="1" customFormat="1" ht="15" customHeight="1">
      <c r="A733" s="171"/>
      <c r="B733" s="171"/>
      <c r="C733" s="171"/>
      <c r="D733" s="171"/>
      <c r="E733" s="171"/>
      <c r="F733" s="171"/>
      <c r="G733" s="389"/>
      <c r="H733" s="389"/>
      <c r="I733" s="391"/>
      <c r="J733" s="391"/>
      <c r="K733" s="391"/>
      <c r="L733" s="29"/>
      <c r="M733" s="25"/>
      <c r="N733" s="26"/>
      <c r="O733" s="27"/>
      <c r="P733" s="656"/>
      <c r="Q733" s="658"/>
      <c r="R733" s="249"/>
      <c r="S733" s="692"/>
      <c r="T733" s="190"/>
      <c r="U733" s="196"/>
      <c r="V733" s="11"/>
      <c r="W733" s="12"/>
      <c r="X733" s="194"/>
      <c r="Y733" s="194"/>
      <c r="Z733" s="13"/>
      <c r="AA733" s="13"/>
      <c r="AB733" s="13"/>
      <c r="AC733" s="13"/>
      <c r="AD733" s="13"/>
      <c r="AE733" s="13"/>
      <c r="AF733" s="13"/>
      <c r="AG733" s="685"/>
      <c r="AH733" s="688" t="b">
        <f t="shared" si="254"/>
        <v>1</v>
      </c>
    </row>
    <row r="734" spans="1:34" s="1" customFormat="1" ht="15" customHeight="1">
      <c r="A734" s="171"/>
      <c r="B734" s="171"/>
      <c r="C734" s="171"/>
      <c r="D734" s="171"/>
      <c r="E734" s="171"/>
      <c r="F734" s="171"/>
      <c r="G734" s="389"/>
      <c r="H734" s="389"/>
      <c r="I734" s="391"/>
      <c r="J734" s="391"/>
      <c r="K734" s="391"/>
      <c r="L734" s="29"/>
      <c r="M734" s="25"/>
      <c r="N734" s="26"/>
      <c r="O734" s="27"/>
      <c r="P734" s="656"/>
      <c r="Q734" s="658"/>
      <c r="R734" s="249"/>
      <c r="S734" s="692"/>
      <c r="T734" s="190"/>
      <c r="U734" s="196"/>
      <c r="V734" s="11"/>
      <c r="W734" s="12"/>
      <c r="X734" s="194"/>
      <c r="Y734" s="194"/>
      <c r="Z734" s="13"/>
      <c r="AA734" s="13"/>
      <c r="AB734" s="13"/>
      <c r="AC734" s="13"/>
      <c r="AD734" s="13"/>
      <c r="AE734" s="13"/>
      <c r="AF734" s="13"/>
      <c r="AG734" s="685"/>
      <c r="AH734" s="688" t="b">
        <f t="shared" si="254"/>
        <v>1</v>
      </c>
    </row>
    <row r="735" spans="1:34" s="1" customFormat="1" ht="15" customHeight="1">
      <c r="A735" s="171"/>
      <c r="B735" s="171"/>
      <c r="C735" s="171"/>
      <c r="D735" s="171"/>
      <c r="E735" s="171"/>
      <c r="F735" s="171"/>
      <c r="G735" s="389"/>
      <c r="H735" s="389"/>
      <c r="I735" s="391"/>
      <c r="J735" s="391"/>
      <c r="K735" s="391"/>
      <c r="L735" s="29"/>
      <c r="M735" s="25"/>
      <c r="N735" s="26"/>
      <c r="O735" s="27"/>
      <c r="P735" s="656"/>
      <c r="Q735" s="658"/>
      <c r="R735" s="249"/>
      <c r="S735" s="692"/>
      <c r="T735" s="190"/>
      <c r="U735" s="196"/>
      <c r="V735" s="11"/>
      <c r="W735" s="12"/>
      <c r="X735" s="194"/>
      <c r="Y735" s="194"/>
      <c r="Z735" s="13"/>
      <c r="AA735" s="13"/>
      <c r="AB735" s="13"/>
      <c r="AC735" s="13"/>
      <c r="AD735" s="13"/>
      <c r="AE735" s="13"/>
      <c r="AF735" s="13"/>
      <c r="AG735" s="685"/>
      <c r="AH735" s="688" t="b">
        <f t="shared" si="254"/>
        <v>1</v>
      </c>
    </row>
    <row r="736" spans="1:34" s="1" customFormat="1" ht="15" customHeight="1">
      <c r="A736" s="171"/>
      <c r="B736" s="171"/>
      <c r="C736" s="171"/>
      <c r="D736" s="171"/>
      <c r="E736" s="171"/>
      <c r="F736" s="171"/>
      <c r="G736" s="389"/>
      <c r="H736" s="389"/>
      <c r="I736" s="391"/>
      <c r="J736" s="391"/>
      <c r="K736" s="391"/>
      <c r="L736" s="29"/>
      <c r="M736" s="25"/>
      <c r="N736" s="26"/>
      <c r="O736" s="27"/>
      <c r="P736" s="656"/>
      <c r="Q736" s="658"/>
      <c r="R736" s="249"/>
      <c r="S736" s="692"/>
      <c r="T736" s="190"/>
      <c r="U736" s="196"/>
      <c r="V736" s="11"/>
      <c r="W736" s="12"/>
      <c r="X736" s="194"/>
      <c r="Y736" s="194"/>
      <c r="Z736" s="13"/>
      <c r="AA736" s="13"/>
      <c r="AB736" s="13"/>
      <c r="AC736" s="13"/>
      <c r="AD736" s="13"/>
      <c r="AE736" s="13"/>
      <c r="AF736" s="13"/>
      <c r="AG736" s="685"/>
      <c r="AH736" s="688" t="b">
        <f t="shared" si="254"/>
        <v>1</v>
      </c>
    </row>
    <row r="737" spans="1:34" s="1" customFormat="1" ht="15" customHeight="1">
      <c r="A737" s="171"/>
      <c r="B737" s="171"/>
      <c r="C737" s="171"/>
      <c r="D737" s="171"/>
      <c r="E737" s="171"/>
      <c r="F737" s="171"/>
      <c r="G737" s="389"/>
      <c r="H737" s="389"/>
      <c r="I737" s="391"/>
      <c r="J737" s="391"/>
      <c r="K737" s="391"/>
      <c r="L737" s="29"/>
      <c r="M737" s="25"/>
      <c r="N737" s="26"/>
      <c r="O737" s="27"/>
      <c r="P737" s="656"/>
      <c r="Q737" s="658"/>
      <c r="R737" s="249"/>
      <c r="S737" s="692"/>
      <c r="T737" s="190"/>
      <c r="U737" s="196"/>
      <c r="V737" s="11"/>
      <c r="W737" s="12"/>
      <c r="X737" s="194"/>
      <c r="Y737" s="194"/>
      <c r="Z737" s="13"/>
      <c r="AA737" s="13"/>
      <c r="AB737" s="13"/>
      <c r="AC737" s="13"/>
      <c r="AD737" s="13"/>
      <c r="AE737" s="13"/>
      <c r="AF737" s="13"/>
      <c r="AG737" s="685"/>
      <c r="AH737" s="688" t="b">
        <f t="shared" si="254"/>
        <v>1</v>
      </c>
    </row>
    <row r="738" spans="1:34" s="1" customFormat="1" ht="15" customHeight="1">
      <c r="A738" s="171"/>
      <c r="B738" s="171"/>
      <c r="C738" s="171"/>
      <c r="D738" s="171"/>
      <c r="E738" s="171"/>
      <c r="F738" s="171"/>
      <c r="G738" s="389"/>
      <c r="H738" s="389"/>
      <c r="I738" s="391"/>
      <c r="J738" s="391"/>
      <c r="K738" s="391"/>
      <c r="L738" s="29"/>
      <c r="M738" s="25"/>
      <c r="N738" s="26"/>
      <c r="O738" s="27"/>
      <c r="P738" s="656"/>
      <c r="Q738" s="658"/>
      <c r="R738" s="249"/>
      <c r="S738" s="692"/>
      <c r="T738" s="190"/>
      <c r="U738" s="196"/>
      <c r="V738" s="11"/>
      <c r="W738" s="12"/>
      <c r="X738" s="194"/>
      <c r="Y738" s="194"/>
      <c r="Z738" s="13"/>
      <c r="AA738" s="13"/>
      <c r="AB738" s="13"/>
      <c r="AC738" s="13"/>
      <c r="AD738" s="13"/>
      <c r="AE738" s="13"/>
      <c r="AF738" s="13"/>
      <c r="AG738" s="685"/>
      <c r="AH738" s="688" t="b">
        <f t="shared" si="254"/>
        <v>1</v>
      </c>
    </row>
    <row r="739" spans="1:34" s="1" customFormat="1" ht="15" customHeight="1">
      <c r="A739" s="171"/>
      <c r="B739" s="171"/>
      <c r="C739" s="171"/>
      <c r="D739" s="171"/>
      <c r="E739" s="171"/>
      <c r="F739" s="171"/>
      <c r="G739" s="389"/>
      <c r="H739" s="389"/>
      <c r="I739" s="391"/>
      <c r="J739" s="391"/>
      <c r="K739" s="391"/>
      <c r="L739" s="29"/>
      <c r="M739" s="25"/>
      <c r="N739" s="26"/>
      <c r="O739" s="27"/>
      <c r="P739" s="656"/>
      <c r="Q739" s="658"/>
      <c r="R739" s="249"/>
      <c r="S739" s="692"/>
      <c r="T739" s="190"/>
      <c r="U739" s="196"/>
      <c r="V739" s="11"/>
      <c r="W739" s="12"/>
      <c r="X739" s="194"/>
      <c r="Y739" s="194"/>
      <c r="Z739" s="13"/>
      <c r="AA739" s="13"/>
      <c r="AB739" s="13"/>
      <c r="AC739" s="13"/>
      <c r="AD739" s="13"/>
      <c r="AE739" s="13"/>
      <c r="AF739" s="13"/>
      <c r="AG739" s="685"/>
      <c r="AH739" s="688" t="b">
        <f t="shared" si="254"/>
        <v>1</v>
      </c>
    </row>
    <row r="740" spans="1:34" s="1" customFormat="1" ht="15" customHeight="1">
      <c r="A740" s="171"/>
      <c r="B740" s="171"/>
      <c r="C740" s="171"/>
      <c r="D740" s="171"/>
      <c r="E740" s="171"/>
      <c r="F740" s="171"/>
      <c r="G740" s="389"/>
      <c r="H740" s="389"/>
      <c r="I740" s="391"/>
      <c r="J740" s="391"/>
      <c r="K740" s="391"/>
      <c r="L740" s="29"/>
      <c r="M740" s="25"/>
      <c r="N740" s="26"/>
      <c r="O740" s="27"/>
      <c r="P740" s="656"/>
      <c r="Q740" s="658"/>
      <c r="R740" s="249"/>
      <c r="S740" s="692"/>
      <c r="T740" s="190"/>
      <c r="U740" s="196"/>
      <c r="V740" s="11"/>
      <c r="W740" s="12"/>
      <c r="X740" s="194"/>
      <c r="Y740" s="194"/>
      <c r="Z740" s="13"/>
      <c r="AA740" s="13"/>
      <c r="AB740" s="13"/>
      <c r="AC740" s="13"/>
      <c r="AD740" s="13"/>
      <c r="AE740" s="13"/>
      <c r="AF740" s="13"/>
      <c r="AG740" s="685"/>
      <c r="AH740" s="688" t="b">
        <f t="shared" si="254"/>
        <v>1</v>
      </c>
    </row>
    <row r="741" spans="1:34" s="1" customFormat="1" ht="15" customHeight="1">
      <c r="A741" s="171"/>
      <c r="B741" s="171"/>
      <c r="C741" s="171"/>
      <c r="D741" s="171"/>
      <c r="E741" s="171"/>
      <c r="F741" s="171"/>
      <c r="G741" s="389"/>
      <c r="H741" s="389"/>
      <c r="I741" s="391"/>
      <c r="J741" s="391"/>
      <c r="K741" s="391"/>
      <c r="L741" s="29"/>
      <c r="M741" s="25"/>
      <c r="N741" s="26"/>
      <c r="O741" s="27"/>
      <c r="P741" s="656"/>
      <c r="Q741" s="658"/>
      <c r="R741" s="249"/>
      <c r="S741" s="692"/>
      <c r="T741" s="190"/>
      <c r="U741" s="196"/>
      <c r="V741" s="11"/>
      <c r="W741" s="12"/>
      <c r="X741" s="194"/>
      <c r="Y741" s="194"/>
      <c r="Z741" s="13"/>
      <c r="AA741" s="13"/>
      <c r="AB741" s="13"/>
      <c r="AC741" s="13"/>
      <c r="AD741" s="13"/>
      <c r="AE741" s="13"/>
      <c r="AF741" s="13"/>
      <c r="AG741" s="685"/>
      <c r="AH741" s="688" t="b">
        <f t="shared" si="254"/>
        <v>1</v>
      </c>
    </row>
    <row r="742" spans="1:34" s="1" customFormat="1" ht="15" customHeight="1">
      <c r="A742" s="171"/>
      <c r="B742" s="171"/>
      <c r="C742" s="171"/>
      <c r="D742" s="171"/>
      <c r="E742" s="171"/>
      <c r="F742" s="171"/>
      <c r="G742" s="389"/>
      <c r="H742" s="389"/>
      <c r="I742" s="391"/>
      <c r="J742" s="391"/>
      <c r="K742" s="391"/>
      <c r="L742" s="29"/>
      <c r="M742" s="25"/>
      <c r="N742" s="26"/>
      <c r="O742" s="27"/>
      <c r="P742" s="656"/>
      <c r="Q742" s="658"/>
      <c r="R742" s="249"/>
      <c r="S742" s="692"/>
      <c r="T742" s="190"/>
      <c r="U742" s="196"/>
      <c r="V742" s="11"/>
      <c r="W742" s="12"/>
      <c r="X742" s="194"/>
      <c r="Y742" s="194"/>
      <c r="Z742" s="13"/>
      <c r="AA742" s="13"/>
      <c r="AB742" s="13"/>
      <c r="AC742" s="13"/>
      <c r="AD742" s="13"/>
      <c r="AE742" s="13"/>
      <c r="AF742" s="13"/>
      <c r="AG742" s="685"/>
      <c r="AH742" s="688" t="b">
        <f t="shared" si="254"/>
        <v>1</v>
      </c>
    </row>
    <row r="743" spans="1:34" s="1" customFormat="1" ht="15" customHeight="1">
      <c r="A743" s="171"/>
      <c r="B743" s="171"/>
      <c r="C743" s="171"/>
      <c r="D743" s="171"/>
      <c r="E743" s="171"/>
      <c r="F743" s="171"/>
      <c r="G743" s="389"/>
      <c r="H743" s="389"/>
      <c r="I743" s="391"/>
      <c r="J743" s="391"/>
      <c r="K743" s="391"/>
      <c r="L743" s="29"/>
      <c r="M743" s="25"/>
      <c r="N743" s="26"/>
      <c r="O743" s="27"/>
      <c r="P743" s="656"/>
      <c r="Q743" s="658"/>
      <c r="R743" s="249"/>
      <c r="S743" s="692"/>
      <c r="T743" s="190"/>
      <c r="U743" s="196"/>
      <c r="V743" s="11"/>
      <c r="W743" s="12"/>
      <c r="X743" s="194"/>
      <c r="Y743" s="194"/>
      <c r="Z743" s="13"/>
      <c r="AA743" s="13"/>
      <c r="AB743" s="13"/>
      <c r="AC743" s="13"/>
      <c r="AD743" s="13"/>
      <c r="AE743" s="13"/>
      <c r="AF743" s="13"/>
      <c r="AG743" s="685"/>
      <c r="AH743" s="688" t="b">
        <f t="shared" si="254"/>
        <v>1</v>
      </c>
    </row>
    <row r="744" spans="1:34" s="1" customFormat="1" ht="15" customHeight="1">
      <c r="A744" s="171"/>
      <c r="B744" s="171"/>
      <c r="C744" s="171"/>
      <c r="D744" s="171"/>
      <c r="E744" s="171"/>
      <c r="F744" s="171"/>
      <c r="G744" s="389"/>
      <c r="H744" s="389"/>
      <c r="I744" s="391"/>
      <c r="J744" s="391"/>
      <c r="K744" s="391"/>
      <c r="L744" s="29"/>
      <c r="M744" s="25"/>
      <c r="N744" s="26"/>
      <c r="O744" s="27"/>
      <c r="P744" s="656"/>
      <c r="Q744" s="658"/>
      <c r="R744" s="249"/>
      <c r="S744" s="692"/>
      <c r="T744" s="190"/>
      <c r="U744" s="196"/>
      <c r="V744" s="11"/>
      <c r="W744" s="12"/>
      <c r="X744" s="194"/>
      <c r="Y744" s="194"/>
      <c r="Z744" s="13"/>
      <c r="AA744" s="13"/>
      <c r="AB744" s="13"/>
      <c r="AC744" s="13"/>
      <c r="AD744" s="13"/>
      <c r="AE744" s="13"/>
      <c r="AF744" s="13"/>
      <c r="AG744" s="685"/>
      <c r="AH744" s="688" t="b">
        <f t="shared" si="254"/>
        <v>1</v>
      </c>
    </row>
    <row r="745" spans="1:34" s="1" customFormat="1" ht="15" customHeight="1">
      <c r="A745" s="171"/>
      <c r="B745" s="171"/>
      <c r="C745" s="171"/>
      <c r="D745" s="171"/>
      <c r="E745" s="171"/>
      <c r="F745" s="171"/>
      <c r="G745" s="389"/>
      <c r="H745" s="389"/>
      <c r="I745" s="391"/>
      <c r="J745" s="391"/>
      <c r="K745" s="391"/>
      <c r="L745" s="29"/>
      <c r="M745" s="25"/>
      <c r="N745" s="26"/>
      <c r="O745" s="27"/>
      <c r="P745" s="656"/>
      <c r="Q745" s="658"/>
      <c r="R745" s="249"/>
      <c r="S745" s="692"/>
      <c r="T745" s="190"/>
      <c r="U745" s="196"/>
      <c r="V745" s="11"/>
      <c r="W745" s="12"/>
      <c r="X745" s="194"/>
      <c r="Y745" s="194"/>
      <c r="Z745" s="13"/>
      <c r="AA745" s="13"/>
      <c r="AB745" s="13"/>
      <c r="AC745" s="13"/>
      <c r="AD745" s="13"/>
      <c r="AE745" s="13"/>
      <c r="AF745" s="13"/>
      <c r="AG745" s="685"/>
      <c r="AH745" s="688" t="b">
        <f t="shared" si="254"/>
        <v>1</v>
      </c>
    </row>
    <row r="746" spans="1:34" s="1" customFormat="1" ht="15" customHeight="1">
      <c r="A746" s="171"/>
      <c r="B746" s="171"/>
      <c r="C746" s="171"/>
      <c r="D746" s="171"/>
      <c r="E746" s="171"/>
      <c r="F746" s="171"/>
      <c r="G746" s="389"/>
      <c r="H746" s="389"/>
      <c r="I746" s="391"/>
      <c r="J746" s="391"/>
      <c r="K746" s="391"/>
      <c r="L746" s="29"/>
      <c r="M746" s="25"/>
      <c r="N746" s="26"/>
      <c r="O746" s="27"/>
      <c r="P746" s="656"/>
      <c r="Q746" s="658"/>
      <c r="R746" s="249"/>
      <c r="S746" s="692"/>
      <c r="T746" s="190"/>
      <c r="U746" s="196"/>
      <c r="V746" s="11"/>
      <c r="W746" s="12"/>
      <c r="X746" s="194"/>
      <c r="Y746" s="194"/>
      <c r="Z746" s="13"/>
      <c r="AA746" s="13"/>
      <c r="AB746" s="13"/>
      <c r="AC746" s="13"/>
      <c r="AD746" s="13"/>
      <c r="AE746" s="13"/>
      <c r="AF746" s="13"/>
      <c r="AG746" s="685"/>
      <c r="AH746" s="688" t="b">
        <f t="shared" si="254"/>
        <v>1</v>
      </c>
    </row>
    <row r="747" spans="1:34" s="1" customFormat="1" ht="15" customHeight="1">
      <c r="A747" s="171"/>
      <c r="B747" s="171"/>
      <c r="C747" s="171"/>
      <c r="D747" s="171"/>
      <c r="E747" s="171"/>
      <c r="F747" s="171"/>
      <c r="G747" s="389"/>
      <c r="H747" s="389"/>
      <c r="I747" s="391"/>
      <c r="J747" s="391"/>
      <c r="K747" s="391"/>
      <c r="L747" s="29"/>
      <c r="M747" s="25"/>
      <c r="N747" s="26"/>
      <c r="O747" s="27"/>
      <c r="P747" s="656"/>
      <c r="Q747" s="658"/>
      <c r="R747" s="249"/>
      <c r="S747" s="692"/>
      <c r="T747" s="190"/>
      <c r="U747" s="196"/>
      <c r="V747" s="11"/>
      <c r="W747" s="12"/>
      <c r="X747" s="194"/>
      <c r="Y747" s="194"/>
      <c r="Z747" s="13"/>
      <c r="AA747" s="13"/>
      <c r="AB747" s="13"/>
      <c r="AC747" s="13"/>
      <c r="AD747" s="13"/>
      <c r="AE747" s="13"/>
      <c r="AF747" s="13"/>
      <c r="AG747" s="685"/>
      <c r="AH747" s="688" t="b">
        <f t="shared" si="254"/>
        <v>1</v>
      </c>
    </row>
    <row r="748" spans="1:34" s="1" customFormat="1" ht="15" customHeight="1">
      <c r="A748" s="171"/>
      <c r="B748" s="171"/>
      <c r="C748" s="171"/>
      <c r="D748" s="171"/>
      <c r="E748" s="171"/>
      <c r="F748" s="171"/>
      <c r="G748" s="389"/>
      <c r="H748" s="389"/>
      <c r="I748" s="391"/>
      <c r="J748" s="391"/>
      <c r="K748" s="391"/>
      <c r="L748" s="29"/>
      <c r="M748" s="25"/>
      <c r="N748" s="26"/>
      <c r="O748" s="27"/>
      <c r="P748" s="656"/>
      <c r="Q748" s="658"/>
      <c r="R748" s="249"/>
      <c r="S748" s="692"/>
      <c r="T748" s="190"/>
      <c r="U748" s="196"/>
      <c r="V748" s="11"/>
      <c r="W748" s="12"/>
      <c r="X748" s="194"/>
      <c r="Y748" s="194"/>
      <c r="Z748" s="13"/>
      <c r="AA748" s="13"/>
      <c r="AB748" s="13"/>
      <c r="AC748" s="13"/>
      <c r="AD748" s="13"/>
      <c r="AE748" s="13"/>
      <c r="AF748" s="13"/>
      <c r="AG748" s="685"/>
      <c r="AH748" s="688" t="b">
        <f t="shared" si="254"/>
        <v>1</v>
      </c>
    </row>
    <row r="749" spans="1:34" s="1" customFormat="1" ht="15" customHeight="1">
      <c r="A749" s="171"/>
      <c r="B749" s="171"/>
      <c r="C749" s="171"/>
      <c r="D749" s="171"/>
      <c r="E749" s="171"/>
      <c r="F749" s="171"/>
      <c r="G749" s="389"/>
      <c r="H749" s="389"/>
      <c r="I749" s="391"/>
      <c r="J749" s="391"/>
      <c r="K749" s="391"/>
      <c r="L749" s="29"/>
      <c r="M749" s="25"/>
      <c r="N749" s="26"/>
      <c r="O749" s="27"/>
      <c r="P749" s="656"/>
      <c r="Q749" s="658"/>
      <c r="R749" s="249"/>
      <c r="S749" s="692"/>
      <c r="T749" s="190"/>
      <c r="U749" s="196"/>
      <c r="V749" s="11"/>
      <c r="W749" s="12"/>
      <c r="X749" s="194"/>
      <c r="Y749" s="194"/>
      <c r="Z749" s="13"/>
      <c r="AA749" s="13"/>
      <c r="AB749" s="13"/>
      <c r="AC749" s="13"/>
      <c r="AD749" s="13"/>
      <c r="AE749" s="13"/>
      <c r="AF749" s="13"/>
      <c r="AG749" s="685"/>
      <c r="AH749" s="688" t="b">
        <f t="shared" si="254"/>
        <v>1</v>
      </c>
    </row>
    <row r="750" spans="1:34" s="1" customFormat="1" ht="15" customHeight="1">
      <c r="A750" s="171"/>
      <c r="B750" s="171"/>
      <c r="C750" s="171"/>
      <c r="D750" s="171"/>
      <c r="E750" s="171"/>
      <c r="F750" s="171"/>
      <c r="G750" s="389"/>
      <c r="H750" s="389"/>
      <c r="I750" s="391"/>
      <c r="J750" s="391"/>
      <c r="K750" s="391"/>
      <c r="L750" s="29"/>
      <c r="M750" s="25"/>
      <c r="N750" s="26"/>
      <c r="O750" s="27"/>
      <c r="P750" s="656"/>
      <c r="Q750" s="658"/>
      <c r="R750" s="249"/>
      <c r="S750" s="692"/>
      <c r="T750" s="190"/>
      <c r="U750" s="196"/>
      <c r="V750" s="11"/>
      <c r="W750" s="12"/>
      <c r="X750" s="194"/>
      <c r="Y750" s="194"/>
      <c r="Z750" s="13"/>
      <c r="AA750" s="13"/>
      <c r="AB750" s="13"/>
      <c r="AC750" s="13"/>
      <c r="AD750" s="13"/>
      <c r="AE750" s="13"/>
      <c r="AF750" s="13"/>
      <c r="AG750" s="685"/>
      <c r="AH750" s="688" t="b">
        <f t="shared" si="254"/>
        <v>1</v>
      </c>
    </row>
    <row r="751" spans="1:34" s="1" customFormat="1" ht="15" customHeight="1">
      <c r="A751" s="171"/>
      <c r="B751" s="171"/>
      <c r="C751" s="171"/>
      <c r="D751" s="171"/>
      <c r="E751" s="171"/>
      <c r="F751" s="171"/>
      <c r="G751" s="389"/>
      <c r="H751" s="389"/>
      <c r="I751" s="391"/>
      <c r="J751" s="391"/>
      <c r="K751" s="391"/>
      <c r="L751" s="29"/>
      <c r="M751" s="25"/>
      <c r="N751" s="26"/>
      <c r="O751" s="27"/>
      <c r="P751" s="656"/>
      <c r="Q751" s="658"/>
      <c r="R751" s="249"/>
      <c r="S751" s="692"/>
      <c r="T751" s="190"/>
      <c r="U751" s="196"/>
      <c r="V751" s="11"/>
      <c r="W751" s="12"/>
      <c r="X751" s="194"/>
      <c r="Y751" s="194"/>
      <c r="Z751" s="13"/>
      <c r="AA751" s="13"/>
      <c r="AB751" s="13"/>
      <c r="AC751" s="13"/>
      <c r="AD751" s="13"/>
      <c r="AE751" s="13"/>
      <c r="AF751" s="13"/>
      <c r="AG751" s="685"/>
      <c r="AH751" s="688" t="b">
        <f t="shared" si="254"/>
        <v>1</v>
      </c>
    </row>
    <row r="752" spans="1:34" s="1" customFormat="1" ht="15" customHeight="1">
      <c r="A752" s="171"/>
      <c r="B752" s="171"/>
      <c r="C752" s="171"/>
      <c r="D752" s="171"/>
      <c r="E752" s="171"/>
      <c r="F752" s="171"/>
      <c r="G752" s="389"/>
      <c r="H752" s="389"/>
      <c r="I752" s="391"/>
      <c r="J752" s="391"/>
      <c r="K752" s="391"/>
      <c r="L752" s="29"/>
      <c r="M752" s="25"/>
      <c r="N752" s="26"/>
      <c r="O752" s="27"/>
      <c r="P752" s="656"/>
      <c r="Q752" s="658"/>
      <c r="R752" s="249"/>
      <c r="S752" s="692"/>
      <c r="T752" s="190"/>
      <c r="U752" s="196"/>
      <c r="V752" s="11"/>
      <c r="W752" s="12"/>
      <c r="X752" s="194"/>
      <c r="Y752" s="194"/>
      <c r="Z752" s="13"/>
      <c r="AA752" s="13"/>
      <c r="AB752" s="13"/>
      <c r="AC752" s="13"/>
      <c r="AD752" s="13"/>
      <c r="AE752" s="13"/>
      <c r="AF752" s="13"/>
      <c r="AG752" s="685"/>
      <c r="AH752" s="688" t="b">
        <f t="shared" si="254"/>
        <v>1</v>
      </c>
    </row>
    <row r="753" spans="1:34" s="1" customFormat="1" ht="15" customHeight="1">
      <c r="A753" s="171"/>
      <c r="B753" s="171"/>
      <c r="C753" s="171"/>
      <c r="D753" s="171"/>
      <c r="E753" s="171"/>
      <c r="F753" s="171"/>
      <c r="G753" s="389"/>
      <c r="H753" s="389"/>
      <c r="I753" s="391"/>
      <c r="J753" s="391"/>
      <c r="K753" s="391"/>
      <c r="L753" s="29"/>
      <c r="M753" s="25"/>
      <c r="N753" s="26"/>
      <c r="O753" s="27"/>
      <c r="P753" s="656"/>
      <c r="Q753" s="658"/>
      <c r="R753" s="249"/>
      <c r="S753" s="692"/>
      <c r="T753" s="190"/>
      <c r="U753" s="196"/>
      <c r="V753" s="11"/>
      <c r="W753" s="12"/>
      <c r="X753" s="194"/>
      <c r="Y753" s="194"/>
      <c r="Z753" s="13"/>
      <c r="AA753" s="13"/>
      <c r="AB753" s="13"/>
      <c r="AC753" s="13"/>
      <c r="AD753" s="13"/>
      <c r="AE753" s="13"/>
      <c r="AF753" s="13"/>
      <c r="AG753" s="685"/>
      <c r="AH753" s="688" t="b">
        <f t="shared" si="254"/>
        <v>1</v>
      </c>
    </row>
    <row r="754" spans="1:34" s="1" customFormat="1" ht="15" customHeight="1">
      <c r="A754" s="171"/>
      <c r="B754" s="171"/>
      <c r="C754" s="171"/>
      <c r="D754" s="171"/>
      <c r="E754" s="171"/>
      <c r="F754" s="171"/>
      <c r="G754" s="389"/>
      <c r="H754" s="389"/>
      <c r="I754" s="391"/>
      <c r="J754" s="391"/>
      <c r="K754" s="391"/>
      <c r="L754" s="29"/>
      <c r="M754" s="25"/>
      <c r="N754" s="26"/>
      <c r="O754" s="27"/>
      <c r="P754" s="656"/>
      <c r="Q754" s="658"/>
      <c r="R754" s="249"/>
      <c r="S754" s="692"/>
      <c r="T754" s="190"/>
      <c r="U754" s="196"/>
      <c r="V754" s="11"/>
      <c r="W754" s="12"/>
      <c r="X754" s="194"/>
      <c r="Y754" s="194"/>
      <c r="Z754" s="13"/>
      <c r="AA754" s="13"/>
      <c r="AB754" s="13"/>
      <c r="AC754" s="13"/>
      <c r="AD754" s="13"/>
      <c r="AE754" s="13"/>
      <c r="AF754" s="13"/>
      <c r="AG754" s="685"/>
      <c r="AH754" s="688" t="b">
        <f t="shared" si="254"/>
        <v>1</v>
      </c>
    </row>
    <row r="755" spans="1:34" s="1" customFormat="1" ht="15" customHeight="1">
      <c r="A755" s="171"/>
      <c r="B755" s="171"/>
      <c r="C755" s="171"/>
      <c r="D755" s="171"/>
      <c r="E755" s="171"/>
      <c r="F755" s="171"/>
      <c r="G755" s="389"/>
      <c r="H755" s="389"/>
      <c r="I755" s="391"/>
      <c r="J755" s="391"/>
      <c r="K755" s="391"/>
      <c r="L755" s="29"/>
      <c r="M755" s="25"/>
      <c r="N755" s="26"/>
      <c r="O755" s="27"/>
      <c r="P755" s="656"/>
      <c r="Q755" s="658"/>
      <c r="R755" s="249"/>
      <c r="S755" s="692"/>
      <c r="T755" s="190"/>
      <c r="U755" s="196"/>
      <c r="V755" s="11"/>
      <c r="W755" s="12"/>
      <c r="X755" s="194"/>
      <c r="Y755" s="194"/>
      <c r="Z755" s="13"/>
      <c r="AA755" s="13"/>
      <c r="AB755" s="13"/>
      <c r="AC755" s="13"/>
      <c r="AD755" s="13"/>
      <c r="AE755" s="13"/>
      <c r="AF755" s="13"/>
      <c r="AG755" s="685"/>
      <c r="AH755" s="688" t="b">
        <f t="shared" si="254"/>
        <v>1</v>
      </c>
    </row>
    <row r="756" spans="1:34" s="1" customFormat="1" ht="15" customHeight="1">
      <c r="A756" s="171"/>
      <c r="B756" s="171"/>
      <c r="C756" s="171"/>
      <c r="D756" s="171"/>
      <c r="E756" s="171"/>
      <c r="F756" s="171"/>
      <c r="G756" s="389"/>
      <c r="H756" s="389"/>
      <c r="I756" s="391"/>
      <c r="J756" s="391"/>
      <c r="K756" s="391"/>
      <c r="L756" s="29"/>
      <c r="M756" s="25"/>
      <c r="N756" s="26"/>
      <c r="O756" s="27"/>
      <c r="P756" s="656"/>
      <c r="Q756" s="658"/>
      <c r="R756" s="249"/>
      <c r="S756" s="692"/>
      <c r="T756" s="190"/>
      <c r="U756" s="196"/>
      <c r="V756" s="11"/>
      <c r="W756" s="12"/>
      <c r="X756" s="194"/>
      <c r="Y756" s="194"/>
      <c r="Z756" s="13"/>
      <c r="AA756" s="13"/>
      <c r="AB756" s="13"/>
      <c r="AC756" s="13"/>
      <c r="AD756" s="13"/>
      <c r="AE756" s="13"/>
      <c r="AF756" s="13"/>
      <c r="AG756" s="685"/>
      <c r="AH756" s="688" t="b">
        <f t="shared" si="254"/>
        <v>1</v>
      </c>
    </row>
    <row r="757" spans="1:34" s="1" customFormat="1" ht="15" customHeight="1">
      <c r="A757" s="171"/>
      <c r="B757" s="171"/>
      <c r="C757" s="171"/>
      <c r="D757" s="171"/>
      <c r="E757" s="171"/>
      <c r="F757" s="171"/>
      <c r="G757" s="389"/>
      <c r="H757" s="389"/>
      <c r="I757" s="391"/>
      <c r="J757" s="391"/>
      <c r="K757" s="391"/>
      <c r="L757" s="29"/>
      <c r="M757" s="25"/>
      <c r="N757" s="26"/>
      <c r="O757" s="27"/>
      <c r="P757" s="656"/>
      <c r="Q757" s="658"/>
      <c r="R757" s="249"/>
      <c r="S757" s="692"/>
      <c r="T757" s="190"/>
      <c r="U757" s="196"/>
      <c r="V757" s="11"/>
      <c r="W757" s="12"/>
      <c r="X757" s="194"/>
      <c r="Y757" s="194"/>
      <c r="Z757" s="13"/>
      <c r="AA757" s="13"/>
      <c r="AB757" s="13"/>
      <c r="AC757" s="13"/>
      <c r="AD757" s="13"/>
      <c r="AE757" s="13"/>
      <c r="AF757" s="13"/>
      <c r="AG757" s="685"/>
      <c r="AH757" s="688" t="b">
        <f t="shared" si="254"/>
        <v>1</v>
      </c>
    </row>
    <row r="758" spans="1:34" s="1" customFormat="1" ht="15" customHeight="1">
      <c r="A758" s="171"/>
      <c r="B758" s="171"/>
      <c r="C758" s="171"/>
      <c r="D758" s="171"/>
      <c r="E758" s="171"/>
      <c r="F758" s="171"/>
      <c r="G758" s="389"/>
      <c r="H758" s="389"/>
      <c r="I758" s="391"/>
      <c r="J758" s="391"/>
      <c r="K758" s="391"/>
      <c r="L758" s="29"/>
      <c r="M758" s="25"/>
      <c r="N758" s="26"/>
      <c r="O758" s="27"/>
      <c r="P758" s="656"/>
      <c r="Q758" s="658"/>
      <c r="R758" s="249"/>
      <c r="S758" s="692"/>
      <c r="T758" s="190"/>
      <c r="U758" s="196"/>
      <c r="V758" s="11"/>
      <c r="W758" s="12"/>
      <c r="X758" s="194"/>
      <c r="Y758" s="194"/>
      <c r="Z758" s="13"/>
      <c r="AA758" s="13"/>
      <c r="AB758" s="13"/>
      <c r="AC758" s="13"/>
      <c r="AD758" s="13"/>
      <c r="AE758" s="13"/>
      <c r="AF758" s="13"/>
      <c r="AG758" s="685"/>
      <c r="AH758" s="688" t="b">
        <f t="shared" si="254"/>
        <v>1</v>
      </c>
    </row>
    <row r="759" spans="1:34" s="1" customFormat="1" ht="15" customHeight="1">
      <c r="A759" s="171"/>
      <c r="B759" s="171"/>
      <c r="C759" s="171"/>
      <c r="D759" s="171"/>
      <c r="E759" s="171"/>
      <c r="F759" s="171"/>
      <c r="G759" s="389"/>
      <c r="H759" s="389"/>
      <c r="I759" s="391"/>
      <c r="J759" s="391"/>
      <c r="K759" s="391"/>
      <c r="L759" s="29"/>
      <c r="M759" s="25"/>
      <c r="N759" s="26"/>
      <c r="O759" s="27"/>
      <c r="P759" s="656"/>
      <c r="Q759" s="658"/>
      <c r="R759" s="249"/>
      <c r="S759" s="692"/>
      <c r="T759" s="190"/>
      <c r="U759" s="196"/>
      <c r="V759" s="11"/>
      <c r="W759" s="12"/>
      <c r="X759" s="194"/>
      <c r="Y759" s="194"/>
      <c r="Z759" s="13"/>
      <c r="AA759" s="13"/>
      <c r="AB759" s="13"/>
      <c r="AC759" s="13"/>
      <c r="AD759" s="13"/>
      <c r="AE759" s="13"/>
      <c r="AF759" s="13"/>
      <c r="AG759" s="685"/>
      <c r="AH759" s="688" t="b">
        <f t="shared" si="254"/>
        <v>1</v>
      </c>
    </row>
    <row r="760" spans="1:34" s="1" customFormat="1" ht="15" customHeight="1">
      <c r="A760" s="171"/>
      <c r="B760" s="171"/>
      <c r="C760" s="171"/>
      <c r="D760" s="171"/>
      <c r="E760" s="171"/>
      <c r="F760" s="171"/>
      <c r="G760" s="389"/>
      <c r="H760" s="389"/>
      <c r="I760" s="391"/>
      <c r="J760" s="391"/>
      <c r="K760" s="391"/>
      <c r="L760" s="29"/>
      <c r="M760" s="25"/>
      <c r="N760" s="26"/>
      <c r="O760" s="27"/>
      <c r="P760" s="656"/>
      <c r="Q760" s="658"/>
      <c r="R760" s="249"/>
      <c r="S760" s="692"/>
      <c r="T760" s="190"/>
      <c r="U760" s="196"/>
      <c r="V760" s="11"/>
      <c r="W760" s="12"/>
      <c r="X760" s="194"/>
      <c r="Y760" s="194"/>
      <c r="Z760" s="13"/>
      <c r="AA760" s="13"/>
      <c r="AB760" s="13"/>
      <c r="AC760" s="13"/>
      <c r="AD760" s="13"/>
      <c r="AE760" s="13"/>
      <c r="AF760" s="13"/>
      <c r="AG760" s="685"/>
      <c r="AH760" s="688" t="b">
        <f t="shared" si="254"/>
        <v>1</v>
      </c>
    </row>
    <row r="761" spans="1:34" s="1" customFormat="1" ht="15" customHeight="1">
      <c r="A761" s="171"/>
      <c r="B761" s="171"/>
      <c r="C761" s="171"/>
      <c r="D761" s="171"/>
      <c r="E761" s="171"/>
      <c r="F761" s="171"/>
      <c r="G761" s="389"/>
      <c r="H761" s="389"/>
      <c r="I761" s="391"/>
      <c r="J761" s="391"/>
      <c r="K761" s="391"/>
      <c r="L761" s="29"/>
      <c r="M761" s="25"/>
      <c r="N761" s="26"/>
      <c r="O761" s="27"/>
      <c r="P761" s="656"/>
      <c r="Q761" s="658"/>
      <c r="R761" s="249"/>
      <c r="S761" s="692"/>
      <c r="T761" s="190"/>
      <c r="U761" s="196"/>
      <c r="V761" s="11"/>
      <c r="W761" s="12"/>
      <c r="X761" s="194"/>
      <c r="Y761" s="194"/>
      <c r="Z761" s="13"/>
      <c r="AA761" s="13"/>
      <c r="AB761" s="13"/>
      <c r="AC761" s="13"/>
      <c r="AD761" s="13"/>
      <c r="AE761" s="13"/>
      <c r="AF761" s="13"/>
      <c r="AG761" s="685"/>
      <c r="AH761" s="688" t="b">
        <f t="shared" si="254"/>
        <v>1</v>
      </c>
    </row>
    <row r="762" spans="1:34" s="1" customFormat="1" ht="15" customHeight="1">
      <c r="A762" s="171"/>
      <c r="B762" s="171"/>
      <c r="C762" s="171"/>
      <c r="D762" s="171"/>
      <c r="E762" s="171"/>
      <c r="F762" s="171"/>
      <c r="G762" s="389"/>
      <c r="H762" s="389"/>
      <c r="I762" s="391"/>
      <c r="J762" s="391"/>
      <c r="K762" s="391"/>
      <c r="L762" s="29"/>
      <c r="M762" s="25"/>
      <c r="N762" s="26"/>
      <c r="O762" s="27"/>
      <c r="P762" s="656"/>
      <c r="Q762" s="658"/>
      <c r="R762" s="249"/>
      <c r="S762" s="692"/>
      <c r="T762" s="190"/>
      <c r="U762" s="196"/>
      <c r="V762" s="11"/>
      <c r="W762" s="12"/>
      <c r="X762" s="194"/>
      <c r="Y762" s="194"/>
      <c r="Z762" s="13"/>
      <c r="AA762" s="13"/>
      <c r="AB762" s="13"/>
      <c r="AC762" s="13"/>
      <c r="AD762" s="13"/>
      <c r="AE762" s="13"/>
      <c r="AF762" s="13"/>
      <c r="AG762" s="685"/>
      <c r="AH762" s="688" t="b">
        <f t="shared" si="254"/>
        <v>1</v>
      </c>
    </row>
    <row r="763" spans="1:34" s="1" customFormat="1" ht="15" customHeight="1">
      <c r="A763" s="171"/>
      <c r="B763" s="171"/>
      <c r="C763" s="171"/>
      <c r="D763" s="171"/>
      <c r="E763" s="171"/>
      <c r="F763" s="171"/>
      <c r="G763" s="389"/>
      <c r="H763" s="389"/>
      <c r="I763" s="391"/>
      <c r="J763" s="391"/>
      <c r="K763" s="391"/>
      <c r="L763" s="29"/>
      <c r="M763" s="25"/>
      <c r="N763" s="26"/>
      <c r="O763" s="27"/>
      <c r="P763" s="656"/>
      <c r="Q763" s="658"/>
      <c r="R763" s="249"/>
      <c r="S763" s="692"/>
      <c r="T763" s="190"/>
      <c r="U763" s="196"/>
      <c r="V763" s="11"/>
      <c r="W763" s="12"/>
      <c r="X763" s="194"/>
      <c r="Y763" s="194"/>
      <c r="Z763" s="13"/>
      <c r="AA763" s="13"/>
      <c r="AB763" s="13"/>
      <c r="AC763" s="13"/>
      <c r="AD763" s="13"/>
      <c r="AE763" s="13"/>
      <c r="AF763" s="13"/>
      <c r="AG763" s="685"/>
      <c r="AH763" s="688" t="b">
        <f t="shared" si="254"/>
        <v>1</v>
      </c>
    </row>
    <row r="764" spans="1:34" s="1" customFormat="1" ht="15" customHeight="1">
      <c r="A764" s="171"/>
      <c r="B764" s="171"/>
      <c r="C764" s="171"/>
      <c r="D764" s="171"/>
      <c r="E764" s="171"/>
      <c r="F764" s="171"/>
      <c r="G764" s="389"/>
      <c r="H764" s="389"/>
      <c r="I764" s="391"/>
      <c r="J764" s="391"/>
      <c r="K764" s="391"/>
      <c r="L764" s="29"/>
      <c r="M764" s="25"/>
      <c r="N764" s="26"/>
      <c r="O764" s="27"/>
      <c r="P764" s="656"/>
      <c r="Q764" s="658"/>
      <c r="R764" s="249"/>
      <c r="S764" s="692"/>
      <c r="T764" s="190"/>
      <c r="U764" s="196"/>
      <c r="V764" s="11"/>
      <c r="W764" s="12"/>
      <c r="X764" s="194"/>
      <c r="Y764" s="194"/>
      <c r="Z764" s="13"/>
      <c r="AA764" s="13"/>
      <c r="AB764" s="13"/>
      <c r="AC764" s="13"/>
      <c r="AD764" s="13"/>
      <c r="AE764" s="13"/>
      <c r="AF764" s="13"/>
      <c r="AG764" s="685"/>
      <c r="AH764" s="688" t="b">
        <f t="shared" si="254"/>
        <v>1</v>
      </c>
    </row>
    <row r="765" spans="1:34" s="1" customFormat="1" ht="15" customHeight="1">
      <c r="A765" s="171"/>
      <c r="B765" s="171"/>
      <c r="C765" s="171"/>
      <c r="D765" s="171"/>
      <c r="E765" s="171"/>
      <c r="F765" s="171"/>
      <c r="G765" s="389"/>
      <c r="H765" s="389"/>
      <c r="I765" s="391"/>
      <c r="J765" s="391"/>
      <c r="K765" s="391"/>
      <c r="L765" s="29"/>
      <c r="M765" s="25"/>
      <c r="N765" s="26"/>
      <c r="O765" s="27"/>
      <c r="P765" s="656"/>
      <c r="Q765" s="658"/>
      <c r="R765" s="249"/>
      <c r="S765" s="692"/>
      <c r="T765" s="190"/>
      <c r="U765" s="196"/>
      <c r="V765" s="11"/>
      <c r="W765" s="12"/>
      <c r="X765" s="194"/>
      <c r="Y765" s="194"/>
      <c r="Z765" s="13"/>
      <c r="AA765" s="13"/>
      <c r="AB765" s="13"/>
      <c r="AC765" s="13"/>
      <c r="AD765" s="13"/>
      <c r="AE765" s="13"/>
      <c r="AF765" s="13"/>
      <c r="AG765" s="685"/>
      <c r="AH765" s="688" t="b">
        <f t="shared" si="254"/>
        <v>1</v>
      </c>
    </row>
    <row r="766" spans="1:34" s="1" customFormat="1" ht="15" customHeight="1">
      <c r="A766" s="171"/>
      <c r="B766" s="171"/>
      <c r="C766" s="171"/>
      <c r="D766" s="171"/>
      <c r="E766" s="171"/>
      <c r="F766" s="171"/>
      <c r="G766" s="389"/>
      <c r="H766" s="389"/>
      <c r="I766" s="391"/>
      <c r="J766" s="391"/>
      <c r="K766" s="391"/>
      <c r="L766" s="29"/>
      <c r="M766" s="25"/>
      <c r="N766" s="26"/>
      <c r="O766" s="27"/>
      <c r="P766" s="656"/>
      <c r="Q766" s="658"/>
      <c r="R766" s="249"/>
      <c r="S766" s="692"/>
      <c r="T766" s="190"/>
      <c r="U766" s="196"/>
      <c r="V766" s="11"/>
      <c r="W766" s="12"/>
      <c r="X766" s="194"/>
      <c r="Y766" s="194"/>
      <c r="Z766" s="13"/>
      <c r="AA766" s="13"/>
      <c r="AB766" s="13"/>
      <c r="AC766" s="13"/>
      <c r="AD766" s="13"/>
      <c r="AE766" s="13"/>
      <c r="AF766" s="13"/>
      <c r="AG766" s="685"/>
      <c r="AH766" s="688" t="b">
        <f t="shared" si="254"/>
        <v>1</v>
      </c>
    </row>
    <row r="767" spans="1:34" s="1" customFormat="1" ht="15" customHeight="1">
      <c r="A767" s="171"/>
      <c r="B767" s="171"/>
      <c r="C767" s="171"/>
      <c r="D767" s="171"/>
      <c r="E767" s="171"/>
      <c r="F767" s="171"/>
      <c r="G767" s="389"/>
      <c r="H767" s="389"/>
      <c r="I767" s="391"/>
      <c r="J767" s="391"/>
      <c r="K767" s="391"/>
      <c r="L767" s="29"/>
      <c r="M767" s="25"/>
      <c r="N767" s="26"/>
      <c r="O767" s="27"/>
      <c r="P767" s="656"/>
      <c r="Q767" s="658"/>
      <c r="R767" s="249"/>
      <c r="S767" s="692"/>
      <c r="T767" s="190"/>
      <c r="U767" s="196"/>
      <c r="V767" s="11"/>
      <c r="W767" s="12"/>
      <c r="X767" s="194"/>
      <c r="Y767" s="194"/>
      <c r="Z767" s="13"/>
      <c r="AA767" s="13"/>
      <c r="AB767" s="13"/>
      <c r="AC767" s="13"/>
      <c r="AD767" s="13"/>
      <c r="AE767" s="13"/>
      <c r="AF767" s="13"/>
      <c r="AG767" s="685"/>
      <c r="AH767" s="688" t="b">
        <f t="shared" si="254"/>
        <v>1</v>
      </c>
    </row>
    <row r="768" spans="1:34" s="1" customFormat="1" ht="15" customHeight="1">
      <c r="A768" s="171"/>
      <c r="B768" s="171"/>
      <c r="C768" s="171"/>
      <c r="D768" s="171"/>
      <c r="E768" s="171"/>
      <c r="F768" s="171"/>
      <c r="G768" s="389"/>
      <c r="H768" s="389"/>
      <c r="I768" s="391"/>
      <c r="J768" s="391"/>
      <c r="K768" s="391"/>
      <c r="L768" s="29"/>
      <c r="M768" s="25"/>
      <c r="N768" s="26"/>
      <c r="O768" s="27"/>
      <c r="P768" s="656"/>
      <c r="Q768" s="658"/>
      <c r="R768" s="249"/>
      <c r="S768" s="692"/>
      <c r="T768" s="190"/>
      <c r="U768" s="196"/>
      <c r="V768" s="11"/>
      <c r="W768" s="12"/>
      <c r="X768" s="194"/>
      <c r="Y768" s="194"/>
      <c r="Z768" s="13"/>
      <c r="AA768" s="13"/>
      <c r="AB768" s="13"/>
      <c r="AC768" s="13"/>
      <c r="AD768" s="13"/>
      <c r="AE768" s="13"/>
      <c r="AF768" s="13"/>
      <c r="AG768" s="685"/>
      <c r="AH768" s="688" t="b">
        <f t="shared" si="254"/>
        <v>1</v>
      </c>
    </row>
    <row r="769" spans="1:34" s="1" customFormat="1" ht="15" customHeight="1">
      <c r="A769" s="171"/>
      <c r="B769" s="171"/>
      <c r="C769" s="171"/>
      <c r="D769" s="171"/>
      <c r="E769" s="171"/>
      <c r="F769" s="171"/>
      <c r="G769" s="389"/>
      <c r="H769" s="389"/>
      <c r="I769" s="391"/>
      <c r="J769" s="391"/>
      <c r="K769" s="391"/>
      <c r="L769" s="29"/>
      <c r="M769" s="25"/>
      <c r="N769" s="26"/>
      <c r="O769" s="27"/>
      <c r="P769" s="656"/>
      <c r="Q769" s="658"/>
      <c r="R769" s="249"/>
      <c r="S769" s="692"/>
      <c r="T769" s="190"/>
      <c r="U769" s="196"/>
      <c r="V769" s="11"/>
      <c r="W769" s="12"/>
      <c r="X769" s="194"/>
      <c r="Y769" s="194"/>
      <c r="Z769" s="13"/>
      <c r="AA769" s="13"/>
      <c r="AB769" s="13"/>
      <c r="AC769" s="13"/>
      <c r="AD769" s="13"/>
      <c r="AE769" s="13"/>
      <c r="AF769" s="13"/>
      <c r="AG769" s="685"/>
      <c r="AH769" s="688" t="b">
        <f t="shared" si="254"/>
        <v>1</v>
      </c>
    </row>
    <row r="770" spans="1:34" s="1" customFormat="1" ht="15" customHeight="1">
      <c r="A770" s="171"/>
      <c r="B770" s="171"/>
      <c r="C770" s="171"/>
      <c r="D770" s="171"/>
      <c r="E770" s="171"/>
      <c r="F770" s="171"/>
      <c r="G770" s="389"/>
      <c r="H770" s="389"/>
      <c r="I770" s="391"/>
      <c r="J770" s="391"/>
      <c r="K770" s="391"/>
      <c r="L770" s="29"/>
      <c r="M770" s="25"/>
      <c r="N770" s="26"/>
      <c r="O770" s="27"/>
      <c r="P770" s="656"/>
      <c r="Q770" s="658"/>
      <c r="R770" s="249"/>
      <c r="S770" s="692"/>
      <c r="T770" s="190"/>
      <c r="U770" s="196"/>
      <c r="V770" s="11"/>
      <c r="W770" s="12"/>
      <c r="X770" s="194"/>
      <c r="Y770" s="194"/>
      <c r="Z770" s="13"/>
      <c r="AA770" s="13"/>
      <c r="AB770" s="13"/>
      <c r="AC770" s="13"/>
      <c r="AD770" s="13"/>
      <c r="AE770" s="13"/>
      <c r="AF770" s="13"/>
      <c r="AG770" s="685"/>
      <c r="AH770" s="688" t="b">
        <f t="shared" si="254"/>
        <v>1</v>
      </c>
    </row>
    <row r="771" spans="1:34" s="1" customFormat="1" ht="15" customHeight="1">
      <c r="A771" s="171"/>
      <c r="B771" s="171"/>
      <c r="C771" s="171"/>
      <c r="D771" s="171"/>
      <c r="E771" s="171"/>
      <c r="F771" s="171"/>
      <c r="G771" s="389"/>
      <c r="H771" s="389"/>
      <c r="I771" s="391"/>
      <c r="J771" s="391"/>
      <c r="K771" s="391"/>
      <c r="L771" s="29"/>
      <c r="M771" s="25"/>
      <c r="N771" s="26"/>
      <c r="O771" s="27"/>
      <c r="P771" s="656"/>
      <c r="Q771" s="658"/>
      <c r="R771" s="249"/>
      <c r="S771" s="692"/>
      <c r="T771" s="190"/>
      <c r="U771" s="196"/>
      <c r="V771" s="11"/>
      <c r="W771" s="12"/>
      <c r="X771" s="194"/>
      <c r="Y771" s="194"/>
      <c r="Z771" s="13"/>
      <c r="AA771" s="13"/>
      <c r="AB771" s="13"/>
      <c r="AC771" s="13"/>
      <c r="AD771" s="13"/>
      <c r="AE771" s="13"/>
      <c r="AF771" s="13"/>
      <c r="AG771" s="685"/>
      <c r="AH771" s="688" t="b">
        <f t="shared" si="254"/>
        <v>1</v>
      </c>
    </row>
    <row r="772" spans="1:34" s="1" customFormat="1" ht="15" customHeight="1">
      <c r="A772" s="171"/>
      <c r="B772" s="171"/>
      <c r="C772" s="171"/>
      <c r="D772" s="171"/>
      <c r="E772" s="171"/>
      <c r="F772" s="171"/>
      <c r="G772" s="389"/>
      <c r="H772" s="389"/>
      <c r="I772" s="391"/>
      <c r="J772" s="391"/>
      <c r="K772" s="391"/>
      <c r="L772" s="29"/>
      <c r="M772" s="25"/>
      <c r="N772" s="26"/>
      <c r="O772" s="27"/>
      <c r="P772" s="656"/>
      <c r="Q772" s="658"/>
      <c r="R772" s="249"/>
      <c r="S772" s="692"/>
      <c r="T772" s="190"/>
      <c r="U772" s="196"/>
      <c r="V772" s="11"/>
      <c r="W772" s="12"/>
      <c r="X772" s="194"/>
      <c r="Y772" s="194"/>
      <c r="Z772" s="13"/>
      <c r="AA772" s="13"/>
      <c r="AB772" s="13"/>
      <c r="AC772" s="13"/>
      <c r="AD772" s="13"/>
      <c r="AE772" s="13"/>
      <c r="AF772" s="13"/>
      <c r="AG772" s="685"/>
      <c r="AH772" s="688" t="b">
        <f t="shared" si="254"/>
        <v>1</v>
      </c>
    </row>
    <row r="773" spans="1:34" s="1" customFormat="1" ht="15" customHeight="1">
      <c r="A773" s="171"/>
      <c r="B773" s="171"/>
      <c r="C773" s="171"/>
      <c r="D773" s="171"/>
      <c r="E773" s="171"/>
      <c r="F773" s="171"/>
      <c r="G773" s="389"/>
      <c r="H773" s="389"/>
      <c r="I773" s="391"/>
      <c r="J773" s="391"/>
      <c r="K773" s="391"/>
      <c r="L773" s="29"/>
      <c r="M773" s="25"/>
      <c r="N773" s="26"/>
      <c r="O773" s="27"/>
      <c r="P773" s="656"/>
      <c r="Q773" s="658"/>
      <c r="R773" s="249"/>
      <c r="S773" s="692"/>
      <c r="T773" s="190"/>
      <c r="U773" s="196"/>
      <c r="V773" s="11"/>
      <c r="W773" s="12"/>
      <c r="X773" s="194"/>
      <c r="Y773" s="194"/>
      <c r="Z773" s="13"/>
      <c r="AA773" s="13"/>
      <c r="AB773" s="13"/>
      <c r="AC773" s="13"/>
      <c r="AD773" s="13"/>
      <c r="AE773" s="13"/>
      <c r="AF773" s="13"/>
      <c r="AG773" s="685"/>
      <c r="AH773" s="688" t="b">
        <f t="shared" si="254"/>
        <v>1</v>
      </c>
    </row>
    <row r="774" spans="1:34" s="1" customFormat="1" ht="15" customHeight="1">
      <c r="A774" s="171"/>
      <c r="B774" s="171"/>
      <c r="C774" s="171"/>
      <c r="D774" s="171"/>
      <c r="E774" s="171"/>
      <c r="F774" s="171"/>
      <c r="G774" s="389"/>
      <c r="H774" s="389"/>
      <c r="I774" s="391"/>
      <c r="J774" s="391"/>
      <c r="K774" s="391"/>
      <c r="L774" s="29"/>
      <c r="M774" s="25"/>
      <c r="N774" s="26"/>
      <c r="O774" s="27"/>
      <c r="P774" s="656"/>
      <c r="Q774" s="658"/>
      <c r="R774" s="249"/>
      <c r="S774" s="692"/>
      <c r="T774" s="190"/>
      <c r="U774" s="196"/>
      <c r="V774" s="11"/>
      <c r="W774" s="12"/>
      <c r="X774" s="194"/>
      <c r="Y774" s="194"/>
      <c r="Z774" s="13"/>
      <c r="AA774" s="13"/>
      <c r="AB774" s="13"/>
      <c r="AC774" s="13"/>
      <c r="AD774" s="13"/>
      <c r="AE774" s="13"/>
      <c r="AF774" s="13"/>
      <c r="AG774" s="685"/>
      <c r="AH774" s="688" t="b">
        <f t="shared" ref="AH774:AH837" si="255">Q774=SUM(X774:AG774)</f>
        <v>1</v>
      </c>
    </row>
    <row r="775" spans="1:34" s="1" customFormat="1" ht="15" customHeight="1">
      <c r="A775" s="171"/>
      <c r="B775" s="171"/>
      <c r="C775" s="171"/>
      <c r="D775" s="171"/>
      <c r="E775" s="171"/>
      <c r="F775" s="171"/>
      <c r="G775" s="389"/>
      <c r="H775" s="389"/>
      <c r="I775" s="391"/>
      <c r="J775" s="391"/>
      <c r="K775" s="391"/>
      <c r="L775" s="29"/>
      <c r="M775" s="25"/>
      <c r="N775" s="26"/>
      <c r="O775" s="27"/>
      <c r="P775" s="656"/>
      <c r="Q775" s="658"/>
      <c r="R775" s="249"/>
      <c r="S775" s="692"/>
      <c r="T775" s="190"/>
      <c r="U775" s="196"/>
      <c r="V775" s="11"/>
      <c r="W775" s="12"/>
      <c r="X775" s="194"/>
      <c r="Y775" s="194"/>
      <c r="Z775" s="13"/>
      <c r="AA775" s="13"/>
      <c r="AB775" s="13"/>
      <c r="AC775" s="13"/>
      <c r="AD775" s="13"/>
      <c r="AE775" s="13"/>
      <c r="AF775" s="13"/>
      <c r="AG775" s="685"/>
      <c r="AH775" s="688" t="b">
        <f t="shared" si="255"/>
        <v>1</v>
      </c>
    </row>
    <row r="776" spans="1:34" s="1" customFormat="1" ht="15" customHeight="1">
      <c r="A776" s="171"/>
      <c r="B776" s="171"/>
      <c r="C776" s="171"/>
      <c r="D776" s="171"/>
      <c r="E776" s="171"/>
      <c r="F776" s="171"/>
      <c r="G776" s="389"/>
      <c r="H776" s="389"/>
      <c r="I776" s="391"/>
      <c r="J776" s="391"/>
      <c r="K776" s="391"/>
      <c r="L776" s="29"/>
      <c r="M776" s="25"/>
      <c r="N776" s="26"/>
      <c r="O776" s="27"/>
      <c r="P776" s="656"/>
      <c r="Q776" s="658"/>
      <c r="R776" s="249"/>
      <c r="S776" s="692"/>
      <c r="T776" s="190"/>
      <c r="U776" s="196"/>
      <c r="V776" s="11"/>
      <c r="W776" s="12"/>
      <c r="X776" s="194"/>
      <c r="Y776" s="194"/>
      <c r="Z776" s="13"/>
      <c r="AA776" s="13"/>
      <c r="AB776" s="13"/>
      <c r="AC776" s="13"/>
      <c r="AD776" s="13"/>
      <c r="AE776" s="13"/>
      <c r="AF776" s="13"/>
      <c r="AG776" s="685"/>
      <c r="AH776" s="688" t="b">
        <f t="shared" si="255"/>
        <v>1</v>
      </c>
    </row>
    <row r="777" spans="1:34" s="1" customFormat="1" ht="15" customHeight="1">
      <c r="A777" s="171"/>
      <c r="B777" s="171"/>
      <c r="C777" s="171"/>
      <c r="D777" s="171"/>
      <c r="E777" s="171"/>
      <c r="F777" s="171"/>
      <c r="G777" s="389"/>
      <c r="H777" s="389"/>
      <c r="I777" s="391"/>
      <c r="J777" s="391"/>
      <c r="K777" s="391"/>
      <c r="L777" s="29"/>
      <c r="M777" s="25"/>
      <c r="N777" s="26"/>
      <c r="O777" s="27"/>
      <c r="P777" s="656"/>
      <c r="Q777" s="658"/>
      <c r="R777" s="249"/>
      <c r="S777" s="692"/>
      <c r="T777" s="190"/>
      <c r="U777" s="196"/>
      <c r="V777" s="11"/>
      <c r="W777" s="12"/>
      <c r="X777" s="194"/>
      <c r="Y777" s="194"/>
      <c r="Z777" s="13"/>
      <c r="AA777" s="13"/>
      <c r="AB777" s="13"/>
      <c r="AC777" s="13"/>
      <c r="AD777" s="13"/>
      <c r="AE777" s="13"/>
      <c r="AF777" s="13"/>
      <c r="AG777" s="685"/>
      <c r="AH777" s="688" t="b">
        <f t="shared" si="255"/>
        <v>1</v>
      </c>
    </row>
    <row r="778" spans="1:34" s="1" customFormat="1" ht="15" customHeight="1">
      <c r="A778" s="171"/>
      <c r="B778" s="171"/>
      <c r="C778" s="171"/>
      <c r="D778" s="171"/>
      <c r="E778" s="171"/>
      <c r="F778" s="171"/>
      <c r="G778" s="389"/>
      <c r="H778" s="389"/>
      <c r="I778" s="391"/>
      <c r="J778" s="391"/>
      <c r="K778" s="391"/>
      <c r="L778" s="29"/>
      <c r="M778" s="25"/>
      <c r="N778" s="26"/>
      <c r="O778" s="27"/>
      <c r="P778" s="656"/>
      <c r="Q778" s="658"/>
      <c r="R778" s="249"/>
      <c r="S778" s="692"/>
      <c r="T778" s="190"/>
      <c r="U778" s="196"/>
      <c r="V778" s="11"/>
      <c r="W778" s="12"/>
      <c r="X778" s="194"/>
      <c r="Y778" s="194"/>
      <c r="Z778" s="13"/>
      <c r="AA778" s="13"/>
      <c r="AB778" s="13"/>
      <c r="AC778" s="13"/>
      <c r="AD778" s="13"/>
      <c r="AE778" s="13"/>
      <c r="AF778" s="13"/>
      <c r="AG778" s="685"/>
      <c r="AH778" s="688" t="b">
        <f t="shared" si="255"/>
        <v>1</v>
      </c>
    </row>
    <row r="779" spans="1:34" s="1" customFormat="1" ht="15" customHeight="1">
      <c r="A779" s="171"/>
      <c r="B779" s="171"/>
      <c r="C779" s="171"/>
      <c r="D779" s="171"/>
      <c r="E779" s="171"/>
      <c r="F779" s="171"/>
      <c r="G779" s="389"/>
      <c r="H779" s="389"/>
      <c r="I779" s="391"/>
      <c r="J779" s="391"/>
      <c r="K779" s="391"/>
      <c r="L779" s="29"/>
      <c r="M779" s="25"/>
      <c r="N779" s="26"/>
      <c r="O779" s="27"/>
      <c r="P779" s="656"/>
      <c r="Q779" s="658"/>
      <c r="R779" s="249"/>
      <c r="S779" s="692"/>
      <c r="T779" s="190"/>
      <c r="U779" s="196"/>
      <c r="V779" s="11"/>
      <c r="W779" s="12"/>
      <c r="X779" s="194"/>
      <c r="Y779" s="194"/>
      <c r="Z779" s="13"/>
      <c r="AA779" s="13"/>
      <c r="AB779" s="13"/>
      <c r="AC779" s="13"/>
      <c r="AD779" s="13"/>
      <c r="AE779" s="13"/>
      <c r="AF779" s="13"/>
      <c r="AG779" s="685"/>
      <c r="AH779" s="688" t="b">
        <f t="shared" si="255"/>
        <v>1</v>
      </c>
    </row>
    <row r="780" spans="1:34" s="1" customFormat="1" ht="15" customHeight="1">
      <c r="A780" s="171"/>
      <c r="B780" s="171"/>
      <c r="C780" s="171"/>
      <c r="D780" s="171"/>
      <c r="E780" s="171"/>
      <c r="F780" s="171"/>
      <c r="G780" s="389"/>
      <c r="H780" s="389"/>
      <c r="I780" s="391"/>
      <c r="J780" s="391"/>
      <c r="K780" s="391"/>
      <c r="L780" s="29"/>
      <c r="M780" s="25"/>
      <c r="N780" s="26"/>
      <c r="O780" s="27"/>
      <c r="P780" s="656"/>
      <c r="Q780" s="658"/>
      <c r="R780" s="249"/>
      <c r="S780" s="692"/>
      <c r="T780" s="190"/>
      <c r="U780" s="196"/>
      <c r="V780" s="11"/>
      <c r="W780" s="12"/>
      <c r="X780" s="194"/>
      <c r="Y780" s="194"/>
      <c r="Z780" s="13"/>
      <c r="AA780" s="13"/>
      <c r="AB780" s="13"/>
      <c r="AC780" s="13"/>
      <c r="AD780" s="13"/>
      <c r="AE780" s="13"/>
      <c r="AF780" s="13"/>
      <c r="AG780" s="685"/>
      <c r="AH780" s="688" t="b">
        <f t="shared" si="255"/>
        <v>1</v>
      </c>
    </row>
    <row r="781" spans="1:34" s="1" customFormat="1" ht="15" customHeight="1">
      <c r="A781" s="171"/>
      <c r="B781" s="171"/>
      <c r="C781" s="171"/>
      <c r="D781" s="171"/>
      <c r="E781" s="171"/>
      <c r="F781" s="171"/>
      <c r="G781" s="389"/>
      <c r="H781" s="389"/>
      <c r="I781" s="391"/>
      <c r="J781" s="391"/>
      <c r="K781" s="391"/>
      <c r="L781" s="29"/>
      <c r="M781" s="25"/>
      <c r="N781" s="26"/>
      <c r="O781" s="27"/>
      <c r="P781" s="656"/>
      <c r="Q781" s="658"/>
      <c r="R781" s="249"/>
      <c r="S781" s="692"/>
      <c r="T781" s="190"/>
      <c r="U781" s="196"/>
      <c r="V781" s="11"/>
      <c r="W781" s="12"/>
      <c r="X781" s="194"/>
      <c r="Y781" s="194"/>
      <c r="Z781" s="13"/>
      <c r="AA781" s="13"/>
      <c r="AB781" s="13"/>
      <c r="AC781" s="13"/>
      <c r="AD781" s="13"/>
      <c r="AE781" s="13"/>
      <c r="AF781" s="13"/>
      <c r="AG781" s="685"/>
      <c r="AH781" s="688" t="b">
        <f t="shared" si="255"/>
        <v>1</v>
      </c>
    </row>
    <row r="782" spans="1:34" s="1" customFormat="1" ht="15" customHeight="1">
      <c r="A782" s="171"/>
      <c r="B782" s="171"/>
      <c r="C782" s="171"/>
      <c r="D782" s="171"/>
      <c r="E782" s="171"/>
      <c r="F782" s="171"/>
      <c r="G782" s="389"/>
      <c r="H782" s="389"/>
      <c r="I782" s="391"/>
      <c r="J782" s="391"/>
      <c r="K782" s="391"/>
      <c r="L782" s="29"/>
      <c r="M782" s="25"/>
      <c r="N782" s="26"/>
      <c r="O782" s="27"/>
      <c r="P782" s="656"/>
      <c r="Q782" s="658"/>
      <c r="R782" s="249"/>
      <c r="S782" s="692"/>
      <c r="T782" s="190"/>
      <c r="U782" s="196"/>
      <c r="V782" s="11"/>
      <c r="W782" s="12"/>
      <c r="X782" s="194"/>
      <c r="Y782" s="194"/>
      <c r="Z782" s="13"/>
      <c r="AA782" s="13"/>
      <c r="AB782" s="13"/>
      <c r="AC782" s="13"/>
      <c r="AD782" s="13"/>
      <c r="AE782" s="13"/>
      <c r="AF782" s="13"/>
      <c r="AG782" s="685"/>
      <c r="AH782" s="688" t="b">
        <f t="shared" si="255"/>
        <v>1</v>
      </c>
    </row>
    <row r="783" spans="1:34" s="1" customFormat="1" ht="15" customHeight="1">
      <c r="A783" s="171"/>
      <c r="B783" s="171"/>
      <c r="C783" s="171"/>
      <c r="D783" s="171"/>
      <c r="E783" s="171"/>
      <c r="F783" s="171"/>
      <c r="G783" s="389"/>
      <c r="H783" s="389"/>
      <c r="I783" s="391"/>
      <c r="J783" s="391"/>
      <c r="K783" s="391"/>
      <c r="L783" s="29"/>
      <c r="M783" s="25"/>
      <c r="N783" s="26"/>
      <c r="O783" s="27"/>
      <c r="P783" s="656"/>
      <c r="Q783" s="658"/>
      <c r="R783" s="249"/>
      <c r="S783" s="692"/>
      <c r="T783" s="190"/>
      <c r="U783" s="196"/>
      <c r="V783" s="11"/>
      <c r="W783" s="12"/>
      <c r="X783" s="194"/>
      <c r="Y783" s="194"/>
      <c r="Z783" s="13"/>
      <c r="AA783" s="13"/>
      <c r="AB783" s="13"/>
      <c r="AC783" s="13"/>
      <c r="AD783" s="13"/>
      <c r="AE783" s="13"/>
      <c r="AF783" s="13"/>
      <c r="AG783" s="685"/>
      <c r="AH783" s="688" t="b">
        <f t="shared" si="255"/>
        <v>1</v>
      </c>
    </row>
    <row r="784" spans="1:34" s="1" customFormat="1" ht="15" customHeight="1">
      <c r="A784" s="171"/>
      <c r="B784" s="171"/>
      <c r="C784" s="171"/>
      <c r="D784" s="171"/>
      <c r="E784" s="171"/>
      <c r="F784" s="171"/>
      <c r="G784" s="389"/>
      <c r="H784" s="389"/>
      <c r="I784" s="391"/>
      <c r="J784" s="391"/>
      <c r="K784" s="391"/>
      <c r="L784" s="29"/>
      <c r="M784" s="25"/>
      <c r="N784" s="26"/>
      <c r="O784" s="27"/>
      <c r="P784" s="656"/>
      <c r="Q784" s="658"/>
      <c r="R784" s="249"/>
      <c r="S784" s="692"/>
      <c r="T784" s="190"/>
      <c r="U784" s="196"/>
      <c r="V784" s="11"/>
      <c r="W784" s="12"/>
      <c r="X784" s="194"/>
      <c r="Y784" s="194"/>
      <c r="Z784" s="13"/>
      <c r="AA784" s="13"/>
      <c r="AB784" s="13"/>
      <c r="AC784" s="13"/>
      <c r="AD784" s="13"/>
      <c r="AE784" s="13"/>
      <c r="AF784" s="13"/>
      <c r="AG784" s="685"/>
      <c r="AH784" s="688" t="b">
        <f t="shared" si="255"/>
        <v>1</v>
      </c>
    </row>
    <row r="785" spans="1:34" s="1" customFormat="1" ht="15" customHeight="1">
      <c r="A785" s="171"/>
      <c r="B785" s="171"/>
      <c r="C785" s="171"/>
      <c r="D785" s="171"/>
      <c r="E785" s="171"/>
      <c r="F785" s="171"/>
      <c r="G785" s="389"/>
      <c r="H785" s="389"/>
      <c r="I785" s="391"/>
      <c r="J785" s="391"/>
      <c r="K785" s="391"/>
      <c r="L785" s="29"/>
      <c r="M785" s="25"/>
      <c r="N785" s="26"/>
      <c r="O785" s="27"/>
      <c r="P785" s="656"/>
      <c r="Q785" s="658"/>
      <c r="R785" s="249"/>
      <c r="S785" s="692"/>
      <c r="T785" s="190"/>
      <c r="U785" s="196"/>
      <c r="V785" s="11"/>
      <c r="W785" s="12"/>
      <c r="X785" s="194"/>
      <c r="Y785" s="194"/>
      <c r="Z785" s="13"/>
      <c r="AA785" s="13"/>
      <c r="AB785" s="13"/>
      <c r="AC785" s="13"/>
      <c r="AD785" s="13"/>
      <c r="AE785" s="13"/>
      <c r="AF785" s="13"/>
      <c r="AG785" s="685"/>
      <c r="AH785" s="688" t="b">
        <f t="shared" si="255"/>
        <v>1</v>
      </c>
    </row>
    <row r="786" spans="1:34" s="1" customFormat="1" ht="15" customHeight="1">
      <c r="A786" s="171"/>
      <c r="B786" s="171"/>
      <c r="C786" s="171"/>
      <c r="D786" s="171"/>
      <c r="E786" s="171"/>
      <c r="F786" s="171"/>
      <c r="G786" s="389"/>
      <c r="H786" s="389"/>
      <c r="I786" s="391"/>
      <c r="J786" s="391"/>
      <c r="K786" s="391"/>
      <c r="L786" s="29"/>
      <c r="M786" s="25"/>
      <c r="N786" s="26"/>
      <c r="O786" s="27"/>
      <c r="P786" s="656"/>
      <c r="Q786" s="658"/>
      <c r="R786" s="249"/>
      <c r="S786" s="692"/>
      <c r="T786" s="190"/>
      <c r="U786" s="196"/>
      <c r="V786" s="11"/>
      <c r="W786" s="12"/>
      <c r="X786" s="194"/>
      <c r="Y786" s="194"/>
      <c r="Z786" s="13"/>
      <c r="AA786" s="13"/>
      <c r="AB786" s="13"/>
      <c r="AC786" s="13"/>
      <c r="AD786" s="13"/>
      <c r="AE786" s="13"/>
      <c r="AF786" s="13"/>
      <c r="AG786" s="685"/>
      <c r="AH786" s="688" t="b">
        <f t="shared" si="255"/>
        <v>1</v>
      </c>
    </row>
    <row r="787" spans="1:34" s="1" customFormat="1" ht="15" customHeight="1">
      <c r="A787" s="171"/>
      <c r="B787" s="171"/>
      <c r="C787" s="171"/>
      <c r="D787" s="171"/>
      <c r="E787" s="171"/>
      <c r="F787" s="171"/>
      <c r="G787" s="389"/>
      <c r="H787" s="389"/>
      <c r="I787" s="391"/>
      <c r="J787" s="391"/>
      <c r="K787" s="391"/>
      <c r="L787" s="29"/>
      <c r="M787" s="25"/>
      <c r="N787" s="26"/>
      <c r="O787" s="27"/>
      <c r="P787" s="656"/>
      <c r="Q787" s="658"/>
      <c r="R787" s="249"/>
      <c r="S787" s="692"/>
      <c r="T787" s="190"/>
      <c r="U787" s="196"/>
      <c r="V787" s="11"/>
      <c r="W787" s="12"/>
      <c r="X787" s="194"/>
      <c r="Y787" s="194"/>
      <c r="Z787" s="13"/>
      <c r="AA787" s="13"/>
      <c r="AB787" s="13"/>
      <c r="AC787" s="13"/>
      <c r="AD787" s="13"/>
      <c r="AE787" s="13"/>
      <c r="AF787" s="13"/>
      <c r="AG787" s="685"/>
      <c r="AH787" s="688" t="b">
        <f t="shared" si="255"/>
        <v>1</v>
      </c>
    </row>
    <row r="788" spans="1:34" s="1" customFormat="1" ht="15" customHeight="1">
      <c r="A788" s="171"/>
      <c r="B788" s="171"/>
      <c r="C788" s="171"/>
      <c r="D788" s="171"/>
      <c r="E788" s="171"/>
      <c r="F788" s="171"/>
      <c r="G788" s="389"/>
      <c r="H788" s="389"/>
      <c r="I788" s="391"/>
      <c r="J788" s="391"/>
      <c r="K788" s="391"/>
      <c r="L788" s="29"/>
      <c r="M788" s="25"/>
      <c r="N788" s="26"/>
      <c r="O788" s="27"/>
      <c r="P788" s="656"/>
      <c r="Q788" s="658"/>
      <c r="R788" s="249"/>
      <c r="S788" s="692"/>
      <c r="T788" s="190"/>
      <c r="U788" s="196"/>
      <c r="V788" s="11"/>
      <c r="W788" s="12"/>
      <c r="X788" s="194"/>
      <c r="Y788" s="194"/>
      <c r="Z788" s="13"/>
      <c r="AA788" s="13"/>
      <c r="AB788" s="13"/>
      <c r="AC788" s="13"/>
      <c r="AD788" s="13"/>
      <c r="AE788" s="13"/>
      <c r="AF788" s="13"/>
      <c r="AG788" s="685"/>
      <c r="AH788" s="688" t="b">
        <f t="shared" si="255"/>
        <v>1</v>
      </c>
    </row>
    <row r="789" spans="1:34" s="1" customFormat="1" ht="15" customHeight="1">
      <c r="A789" s="171"/>
      <c r="B789" s="171"/>
      <c r="C789" s="171"/>
      <c r="D789" s="171"/>
      <c r="E789" s="171"/>
      <c r="F789" s="171"/>
      <c r="G789" s="389"/>
      <c r="H789" s="389"/>
      <c r="I789" s="391"/>
      <c r="J789" s="391"/>
      <c r="K789" s="391"/>
      <c r="L789" s="29"/>
      <c r="M789" s="25"/>
      <c r="N789" s="26"/>
      <c r="O789" s="27"/>
      <c r="P789" s="656"/>
      <c r="Q789" s="658"/>
      <c r="R789" s="249"/>
      <c r="S789" s="692"/>
      <c r="T789" s="190"/>
      <c r="U789" s="196"/>
      <c r="V789" s="11"/>
      <c r="W789" s="12"/>
      <c r="X789" s="194"/>
      <c r="Y789" s="194"/>
      <c r="Z789" s="13"/>
      <c r="AA789" s="13"/>
      <c r="AB789" s="13"/>
      <c r="AC789" s="13"/>
      <c r="AD789" s="13"/>
      <c r="AE789" s="13"/>
      <c r="AF789" s="13"/>
      <c r="AG789" s="685"/>
      <c r="AH789" s="688" t="b">
        <f t="shared" si="255"/>
        <v>1</v>
      </c>
    </row>
    <row r="790" spans="1:34" s="1" customFormat="1" ht="15" customHeight="1">
      <c r="A790" s="171"/>
      <c r="B790" s="171"/>
      <c r="C790" s="171"/>
      <c r="D790" s="171"/>
      <c r="E790" s="171"/>
      <c r="F790" s="171"/>
      <c r="G790" s="389"/>
      <c r="H790" s="389"/>
      <c r="I790" s="391"/>
      <c r="J790" s="391"/>
      <c r="K790" s="391"/>
      <c r="L790" s="29"/>
      <c r="M790" s="25"/>
      <c r="N790" s="26"/>
      <c r="O790" s="27"/>
      <c r="P790" s="656"/>
      <c r="Q790" s="658"/>
      <c r="R790" s="249"/>
      <c r="S790" s="692"/>
      <c r="T790" s="190"/>
      <c r="U790" s="196"/>
      <c r="V790" s="11"/>
      <c r="W790" s="12"/>
      <c r="X790" s="194"/>
      <c r="Y790" s="194"/>
      <c r="Z790" s="13"/>
      <c r="AA790" s="13"/>
      <c r="AB790" s="13"/>
      <c r="AC790" s="13"/>
      <c r="AD790" s="13"/>
      <c r="AE790" s="13"/>
      <c r="AF790" s="13"/>
      <c r="AG790" s="685"/>
      <c r="AH790" s="688" t="b">
        <f t="shared" si="255"/>
        <v>1</v>
      </c>
    </row>
    <row r="791" spans="1:34" s="1" customFormat="1" ht="15" customHeight="1">
      <c r="A791" s="171"/>
      <c r="B791" s="171"/>
      <c r="C791" s="171"/>
      <c r="D791" s="171"/>
      <c r="E791" s="171"/>
      <c r="F791" s="171"/>
      <c r="G791" s="389"/>
      <c r="H791" s="389"/>
      <c r="I791" s="391"/>
      <c r="J791" s="391"/>
      <c r="K791" s="391"/>
      <c r="L791" s="29"/>
      <c r="M791" s="25"/>
      <c r="N791" s="26"/>
      <c r="O791" s="27"/>
      <c r="P791" s="656"/>
      <c r="Q791" s="658"/>
      <c r="R791" s="249"/>
      <c r="S791" s="692"/>
      <c r="T791" s="190"/>
      <c r="U791" s="196"/>
      <c r="V791" s="11"/>
      <c r="W791" s="12"/>
      <c r="X791" s="194"/>
      <c r="Y791" s="194"/>
      <c r="Z791" s="13"/>
      <c r="AA791" s="13"/>
      <c r="AB791" s="13"/>
      <c r="AC791" s="13"/>
      <c r="AD791" s="13"/>
      <c r="AE791" s="13"/>
      <c r="AF791" s="13"/>
      <c r="AG791" s="685"/>
      <c r="AH791" s="688" t="b">
        <f t="shared" si="255"/>
        <v>1</v>
      </c>
    </row>
    <row r="792" spans="1:34" s="1" customFormat="1" ht="15" customHeight="1">
      <c r="A792" s="171"/>
      <c r="B792" s="171"/>
      <c r="C792" s="171"/>
      <c r="D792" s="171"/>
      <c r="E792" s="171"/>
      <c r="F792" s="171"/>
      <c r="G792" s="389"/>
      <c r="H792" s="389"/>
      <c r="I792" s="391"/>
      <c r="J792" s="391"/>
      <c r="K792" s="391"/>
      <c r="L792" s="29"/>
      <c r="M792" s="25"/>
      <c r="N792" s="26"/>
      <c r="O792" s="27"/>
      <c r="P792" s="656"/>
      <c r="Q792" s="658"/>
      <c r="R792" s="249"/>
      <c r="S792" s="692"/>
      <c r="T792" s="190"/>
      <c r="U792" s="196"/>
      <c r="V792" s="11"/>
      <c r="W792" s="12"/>
      <c r="X792" s="194"/>
      <c r="Y792" s="194"/>
      <c r="Z792" s="13"/>
      <c r="AA792" s="13"/>
      <c r="AB792" s="13"/>
      <c r="AC792" s="13"/>
      <c r="AD792" s="13"/>
      <c r="AE792" s="13"/>
      <c r="AF792" s="13"/>
      <c r="AG792" s="685"/>
      <c r="AH792" s="688" t="b">
        <f t="shared" si="255"/>
        <v>1</v>
      </c>
    </row>
    <row r="793" spans="1:34" s="1" customFormat="1" ht="15" customHeight="1">
      <c r="A793" s="171"/>
      <c r="B793" s="171"/>
      <c r="C793" s="171"/>
      <c r="D793" s="171"/>
      <c r="E793" s="171"/>
      <c r="F793" s="171"/>
      <c r="G793" s="389"/>
      <c r="H793" s="389"/>
      <c r="I793" s="391"/>
      <c r="J793" s="391"/>
      <c r="K793" s="391"/>
      <c r="L793" s="29"/>
      <c r="M793" s="25"/>
      <c r="N793" s="26"/>
      <c r="O793" s="27"/>
      <c r="P793" s="656"/>
      <c r="Q793" s="658"/>
      <c r="R793" s="249"/>
      <c r="S793" s="692"/>
      <c r="T793" s="190"/>
      <c r="U793" s="196"/>
      <c r="V793" s="11"/>
      <c r="W793" s="12"/>
      <c r="X793" s="194"/>
      <c r="Y793" s="194"/>
      <c r="Z793" s="13"/>
      <c r="AA793" s="13"/>
      <c r="AB793" s="13"/>
      <c r="AC793" s="13"/>
      <c r="AD793" s="13"/>
      <c r="AE793" s="13"/>
      <c r="AF793" s="13"/>
      <c r="AG793" s="685"/>
      <c r="AH793" s="688" t="b">
        <f t="shared" si="255"/>
        <v>1</v>
      </c>
    </row>
    <row r="794" spans="1:34" s="1" customFormat="1" ht="15" customHeight="1">
      <c r="A794" s="171"/>
      <c r="B794" s="171"/>
      <c r="C794" s="171"/>
      <c r="D794" s="171"/>
      <c r="E794" s="171"/>
      <c r="F794" s="171"/>
      <c r="G794" s="389"/>
      <c r="H794" s="389"/>
      <c r="I794" s="391"/>
      <c r="J794" s="391"/>
      <c r="K794" s="391"/>
      <c r="L794" s="29"/>
      <c r="M794" s="25"/>
      <c r="N794" s="26"/>
      <c r="O794" s="27"/>
      <c r="P794" s="656"/>
      <c r="Q794" s="658"/>
      <c r="R794" s="249"/>
      <c r="S794" s="692"/>
      <c r="T794" s="190"/>
      <c r="U794" s="196"/>
      <c r="V794" s="11"/>
      <c r="W794" s="12"/>
      <c r="X794" s="194"/>
      <c r="Y794" s="194"/>
      <c r="Z794" s="13"/>
      <c r="AA794" s="13"/>
      <c r="AB794" s="13"/>
      <c r="AC794" s="13"/>
      <c r="AD794" s="13"/>
      <c r="AE794" s="13"/>
      <c r="AF794" s="13"/>
      <c r="AG794" s="685"/>
      <c r="AH794" s="688" t="b">
        <f t="shared" si="255"/>
        <v>1</v>
      </c>
    </row>
    <row r="795" spans="1:34" s="1" customFormat="1" ht="15" customHeight="1">
      <c r="A795" s="171"/>
      <c r="B795" s="171"/>
      <c r="C795" s="171"/>
      <c r="D795" s="171"/>
      <c r="E795" s="171"/>
      <c r="F795" s="171"/>
      <c r="G795" s="389"/>
      <c r="H795" s="389"/>
      <c r="I795" s="391"/>
      <c r="J795" s="391"/>
      <c r="K795" s="391"/>
      <c r="L795" s="29"/>
      <c r="M795" s="25"/>
      <c r="N795" s="26"/>
      <c r="O795" s="27"/>
      <c r="P795" s="656"/>
      <c r="Q795" s="658"/>
      <c r="R795" s="249"/>
      <c r="S795" s="692"/>
      <c r="T795" s="190"/>
      <c r="U795" s="196"/>
      <c r="V795" s="11"/>
      <c r="W795" s="12"/>
      <c r="X795" s="194"/>
      <c r="Y795" s="194"/>
      <c r="Z795" s="13"/>
      <c r="AA795" s="13"/>
      <c r="AB795" s="13"/>
      <c r="AC795" s="13"/>
      <c r="AD795" s="13"/>
      <c r="AE795" s="13"/>
      <c r="AF795" s="13"/>
      <c r="AG795" s="685"/>
      <c r="AH795" s="688" t="b">
        <f t="shared" si="255"/>
        <v>1</v>
      </c>
    </row>
    <row r="796" spans="1:34" s="1" customFormat="1" ht="15" customHeight="1">
      <c r="A796" s="171"/>
      <c r="B796" s="171"/>
      <c r="C796" s="171"/>
      <c r="D796" s="171"/>
      <c r="E796" s="171"/>
      <c r="F796" s="171"/>
      <c r="G796" s="389"/>
      <c r="H796" s="389"/>
      <c r="I796" s="391"/>
      <c r="J796" s="391"/>
      <c r="K796" s="391"/>
      <c r="L796" s="29"/>
      <c r="M796" s="25"/>
      <c r="N796" s="26"/>
      <c r="O796" s="27"/>
      <c r="P796" s="656"/>
      <c r="Q796" s="658"/>
      <c r="R796" s="249"/>
      <c r="S796" s="692"/>
      <c r="T796" s="190"/>
      <c r="U796" s="196"/>
      <c r="V796" s="11"/>
      <c r="W796" s="12"/>
      <c r="X796" s="194"/>
      <c r="Y796" s="194"/>
      <c r="Z796" s="13"/>
      <c r="AA796" s="13"/>
      <c r="AB796" s="13"/>
      <c r="AC796" s="13"/>
      <c r="AD796" s="13"/>
      <c r="AE796" s="13"/>
      <c r="AF796" s="13"/>
      <c r="AG796" s="685"/>
      <c r="AH796" s="688" t="b">
        <f t="shared" si="255"/>
        <v>1</v>
      </c>
    </row>
    <row r="797" spans="1:34" s="1" customFormat="1" ht="15" customHeight="1">
      <c r="A797" s="171"/>
      <c r="B797" s="171"/>
      <c r="C797" s="171"/>
      <c r="D797" s="171"/>
      <c r="E797" s="171"/>
      <c r="F797" s="171"/>
      <c r="G797" s="389"/>
      <c r="H797" s="389"/>
      <c r="I797" s="391"/>
      <c r="J797" s="391"/>
      <c r="K797" s="391"/>
      <c r="L797" s="29"/>
      <c r="M797" s="25"/>
      <c r="N797" s="26"/>
      <c r="O797" s="27"/>
      <c r="P797" s="656"/>
      <c r="Q797" s="658"/>
      <c r="R797" s="249"/>
      <c r="S797" s="692"/>
      <c r="T797" s="190"/>
      <c r="U797" s="196"/>
      <c r="V797" s="11"/>
      <c r="W797" s="12"/>
      <c r="X797" s="194"/>
      <c r="Y797" s="194"/>
      <c r="Z797" s="13"/>
      <c r="AA797" s="13"/>
      <c r="AB797" s="13"/>
      <c r="AC797" s="13"/>
      <c r="AD797" s="13"/>
      <c r="AE797" s="13"/>
      <c r="AF797" s="13"/>
      <c r="AG797" s="685"/>
      <c r="AH797" s="688" t="b">
        <f t="shared" si="255"/>
        <v>1</v>
      </c>
    </row>
    <row r="798" spans="1:34" s="1" customFormat="1" ht="15" customHeight="1">
      <c r="A798" s="171"/>
      <c r="B798" s="171"/>
      <c r="C798" s="171"/>
      <c r="D798" s="171"/>
      <c r="E798" s="171"/>
      <c r="F798" s="171"/>
      <c r="G798" s="389"/>
      <c r="H798" s="389"/>
      <c r="I798" s="391"/>
      <c r="J798" s="391"/>
      <c r="K798" s="391"/>
      <c r="L798" s="29"/>
      <c r="M798" s="25"/>
      <c r="N798" s="26"/>
      <c r="O798" s="27"/>
      <c r="P798" s="656"/>
      <c r="Q798" s="658"/>
      <c r="R798" s="249"/>
      <c r="S798" s="692"/>
      <c r="T798" s="190"/>
      <c r="U798" s="196"/>
      <c r="V798" s="11"/>
      <c r="W798" s="12"/>
      <c r="X798" s="194"/>
      <c r="Y798" s="194"/>
      <c r="Z798" s="13"/>
      <c r="AA798" s="13"/>
      <c r="AB798" s="13"/>
      <c r="AC798" s="13"/>
      <c r="AD798" s="13"/>
      <c r="AE798" s="13"/>
      <c r="AF798" s="13"/>
      <c r="AG798" s="685"/>
      <c r="AH798" s="688" t="b">
        <f t="shared" si="255"/>
        <v>1</v>
      </c>
    </row>
    <row r="799" spans="1:34" s="1" customFormat="1" ht="15" customHeight="1">
      <c r="A799" s="171"/>
      <c r="B799" s="171"/>
      <c r="C799" s="171"/>
      <c r="D799" s="171"/>
      <c r="E799" s="171"/>
      <c r="F799" s="171"/>
      <c r="G799" s="389"/>
      <c r="H799" s="389"/>
      <c r="I799" s="391"/>
      <c r="J799" s="391"/>
      <c r="K799" s="391"/>
      <c r="L799" s="29"/>
      <c r="M799" s="25"/>
      <c r="N799" s="26"/>
      <c r="O799" s="27"/>
      <c r="P799" s="656"/>
      <c r="Q799" s="658"/>
      <c r="R799" s="249"/>
      <c r="S799" s="692"/>
      <c r="T799" s="190"/>
      <c r="U799" s="196"/>
      <c r="V799" s="11"/>
      <c r="W799" s="12"/>
      <c r="X799" s="194"/>
      <c r="Y799" s="194"/>
      <c r="Z799" s="13"/>
      <c r="AA799" s="13"/>
      <c r="AB799" s="13"/>
      <c r="AC799" s="13"/>
      <c r="AD799" s="13"/>
      <c r="AE799" s="13"/>
      <c r="AF799" s="13"/>
      <c r="AG799" s="685"/>
      <c r="AH799" s="688" t="b">
        <f t="shared" si="255"/>
        <v>1</v>
      </c>
    </row>
    <row r="800" spans="1:34" s="1" customFormat="1" ht="15" customHeight="1">
      <c r="A800" s="171"/>
      <c r="B800" s="171"/>
      <c r="C800" s="171"/>
      <c r="D800" s="171"/>
      <c r="E800" s="171"/>
      <c r="F800" s="171"/>
      <c r="G800" s="389"/>
      <c r="H800" s="389"/>
      <c r="I800" s="391"/>
      <c r="J800" s="391"/>
      <c r="K800" s="391"/>
      <c r="L800" s="29"/>
      <c r="M800" s="25"/>
      <c r="N800" s="26"/>
      <c r="O800" s="27"/>
      <c r="P800" s="656"/>
      <c r="Q800" s="658"/>
      <c r="R800" s="249"/>
      <c r="S800" s="692"/>
      <c r="T800" s="190"/>
      <c r="U800" s="196"/>
      <c r="V800" s="11"/>
      <c r="W800" s="12"/>
      <c r="X800" s="194"/>
      <c r="Y800" s="194"/>
      <c r="Z800" s="13"/>
      <c r="AA800" s="13"/>
      <c r="AB800" s="13"/>
      <c r="AC800" s="13"/>
      <c r="AD800" s="13"/>
      <c r="AE800" s="13"/>
      <c r="AF800" s="13"/>
      <c r="AG800" s="685"/>
      <c r="AH800" s="688" t="b">
        <f t="shared" si="255"/>
        <v>1</v>
      </c>
    </row>
    <row r="801" spans="1:34" s="1" customFormat="1" ht="15" customHeight="1">
      <c r="A801" s="171"/>
      <c r="B801" s="171"/>
      <c r="C801" s="171"/>
      <c r="D801" s="171"/>
      <c r="E801" s="171"/>
      <c r="F801" s="171"/>
      <c r="G801" s="389"/>
      <c r="H801" s="389"/>
      <c r="I801" s="391"/>
      <c r="J801" s="391"/>
      <c r="K801" s="391"/>
      <c r="L801" s="29"/>
      <c r="M801" s="25"/>
      <c r="N801" s="26"/>
      <c r="O801" s="27"/>
      <c r="P801" s="656"/>
      <c r="Q801" s="658"/>
      <c r="R801" s="249"/>
      <c r="S801" s="692"/>
      <c r="T801" s="190"/>
      <c r="U801" s="196"/>
      <c r="V801" s="11"/>
      <c r="W801" s="12"/>
      <c r="X801" s="194"/>
      <c r="Y801" s="194"/>
      <c r="Z801" s="13"/>
      <c r="AA801" s="13"/>
      <c r="AB801" s="13"/>
      <c r="AC801" s="13"/>
      <c r="AD801" s="13"/>
      <c r="AE801" s="13"/>
      <c r="AF801" s="13"/>
      <c r="AG801" s="685"/>
      <c r="AH801" s="688" t="b">
        <f t="shared" si="255"/>
        <v>1</v>
      </c>
    </row>
    <row r="802" spans="1:34" s="1" customFormat="1" ht="15" customHeight="1">
      <c r="A802" s="171"/>
      <c r="B802" s="171"/>
      <c r="C802" s="171"/>
      <c r="D802" s="171"/>
      <c r="E802" s="171"/>
      <c r="F802" s="171"/>
      <c r="G802" s="389"/>
      <c r="H802" s="389"/>
      <c r="I802" s="391"/>
      <c r="J802" s="391"/>
      <c r="K802" s="391"/>
      <c r="L802" s="29"/>
      <c r="M802" s="25"/>
      <c r="N802" s="26"/>
      <c r="O802" s="27"/>
      <c r="P802" s="656"/>
      <c r="Q802" s="658"/>
      <c r="R802" s="249"/>
      <c r="S802" s="692"/>
      <c r="T802" s="190"/>
      <c r="U802" s="196"/>
      <c r="V802" s="11"/>
      <c r="W802" s="12"/>
      <c r="X802" s="194"/>
      <c r="Y802" s="194"/>
      <c r="Z802" s="13"/>
      <c r="AA802" s="13"/>
      <c r="AB802" s="13"/>
      <c r="AC802" s="13"/>
      <c r="AD802" s="13"/>
      <c r="AE802" s="13"/>
      <c r="AF802" s="13"/>
      <c r="AG802" s="685"/>
      <c r="AH802" s="688" t="b">
        <f t="shared" si="255"/>
        <v>1</v>
      </c>
    </row>
    <row r="803" spans="1:34" s="1" customFormat="1" ht="15" customHeight="1">
      <c r="A803" s="171"/>
      <c r="B803" s="171"/>
      <c r="C803" s="171"/>
      <c r="D803" s="171"/>
      <c r="E803" s="171"/>
      <c r="F803" s="171"/>
      <c r="G803" s="389"/>
      <c r="H803" s="389"/>
      <c r="I803" s="391"/>
      <c r="J803" s="391"/>
      <c r="K803" s="391"/>
      <c r="L803" s="29"/>
      <c r="M803" s="25"/>
      <c r="N803" s="26"/>
      <c r="O803" s="27"/>
      <c r="P803" s="656"/>
      <c r="Q803" s="658"/>
      <c r="R803" s="249"/>
      <c r="S803" s="692"/>
      <c r="T803" s="190"/>
      <c r="U803" s="196"/>
      <c r="V803" s="11"/>
      <c r="W803" s="12"/>
      <c r="X803" s="194"/>
      <c r="Y803" s="194"/>
      <c r="Z803" s="13"/>
      <c r="AA803" s="13"/>
      <c r="AB803" s="13"/>
      <c r="AC803" s="13"/>
      <c r="AD803" s="13"/>
      <c r="AE803" s="13"/>
      <c r="AF803" s="13"/>
      <c r="AG803" s="685"/>
      <c r="AH803" s="688" t="b">
        <f t="shared" si="255"/>
        <v>1</v>
      </c>
    </row>
    <row r="804" spans="1:34" s="1" customFormat="1" ht="15" customHeight="1">
      <c r="A804" s="171"/>
      <c r="B804" s="171"/>
      <c r="C804" s="171"/>
      <c r="D804" s="171"/>
      <c r="E804" s="171"/>
      <c r="F804" s="171"/>
      <c r="G804" s="389"/>
      <c r="H804" s="389"/>
      <c r="I804" s="391"/>
      <c r="J804" s="391"/>
      <c r="K804" s="391"/>
      <c r="L804" s="29"/>
      <c r="M804" s="25"/>
      <c r="N804" s="26"/>
      <c r="O804" s="27"/>
      <c r="P804" s="656"/>
      <c r="Q804" s="658"/>
      <c r="R804" s="249"/>
      <c r="S804" s="692"/>
      <c r="T804" s="190"/>
      <c r="U804" s="196"/>
      <c r="V804" s="11"/>
      <c r="W804" s="12"/>
      <c r="X804" s="194"/>
      <c r="Y804" s="194"/>
      <c r="Z804" s="13"/>
      <c r="AA804" s="13"/>
      <c r="AB804" s="13"/>
      <c r="AC804" s="13"/>
      <c r="AD804" s="13"/>
      <c r="AE804" s="13"/>
      <c r="AF804" s="13"/>
      <c r="AG804" s="685"/>
      <c r="AH804" s="688" t="b">
        <f t="shared" si="255"/>
        <v>1</v>
      </c>
    </row>
    <row r="805" spans="1:34" s="1" customFormat="1" ht="15" customHeight="1">
      <c r="A805" s="171"/>
      <c r="B805" s="171"/>
      <c r="C805" s="171"/>
      <c r="D805" s="171"/>
      <c r="E805" s="171"/>
      <c r="F805" s="171"/>
      <c r="G805" s="389"/>
      <c r="H805" s="389"/>
      <c r="I805" s="391"/>
      <c r="J805" s="391"/>
      <c r="K805" s="391"/>
      <c r="L805" s="29"/>
      <c r="M805" s="25"/>
      <c r="N805" s="26"/>
      <c r="O805" s="27"/>
      <c r="P805" s="656"/>
      <c r="Q805" s="658"/>
      <c r="R805" s="249"/>
      <c r="S805" s="692"/>
      <c r="T805" s="190"/>
      <c r="U805" s="196"/>
      <c r="V805" s="11"/>
      <c r="W805" s="12"/>
      <c r="X805" s="194"/>
      <c r="Y805" s="194"/>
      <c r="Z805" s="13"/>
      <c r="AA805" s="13"/>
      <c r="AB805" s="13"/>
      <c r="AC805" s="13"/>
      <c r="AD805" s="13"/>
      <c r="AE805" s="13"/>
      <c r="AF805" s="13"/>
      <c r="AG805" s="685"/>
      <c r="AH805" s="688" t="b">
        <f t="shared" si="255"/>
        <v>1</v>
      </c>
    </row>
    <row r="806" spans="1:34" s="1" customFormat="1" ht="15" customHeight="1">
      <c r="A806" s="171"/>
      <c r="B806" s="171"/>
      <c r="C806" s="171"/>
      <c r="D806" s="171"/>
      <c r="E806" s="171"/>
      <c r="F806" s="171"/>
      <c r="G806" s="389"/>
      <c r="H806" s="389"/>
      <c r="I806" s="391"/>
      <c r="J806" s="391"/>
      <c r="K806" s="391"/>
      <c r="L806" s="29"/>
      <c r="M806" s="25"/>
      <c r="N806" s="26"/>
      <c r="O806" s="27"/>
      <c r="P806" s="656"/>
      <c r="Q806" s="658"/>
      <c r="R806" s="249"/>
      <c r="S806" s="692"/>
      <c r="T806" s="190"/>
      <c r="U806" s="196"/>
      <c r="V806" s="11"/>
      <c r="W806" s="12"/>
      <c r="X806" s="194"/>
      <c r="Y806" s="194"/>
      <c r="Z806" s="13"/>
      <c r="AA806" s="13"/>
      <c r="AB806" s="13"/>
      <c r="AC806" s="13"/>
      <c r="AD806" s="13"/>
      <c r="AE806" s="13"/>
      <c r="AF806" s="13"/>
      <c r="AG806" s="685"/>
      <c r="AH806" s="688" t="b">
        <f t="shared" si="255"/>
        <v>1</v>
      </c>
    </row>
    <row r="807" spans="1:34" s="1" customFormat="1" ht="15" customHeight="1">
      <c r="A807" s="171"/>
      <c r="B807" s="171"/>
      <c r="C807" s="171"/>
      <c r="D807" s="171"/>
      <c r="E807" s="171"/>
      <c r="F807" s="171"/>
      <c r="G807" s="389"/>
      <c r="H807" s="389"/>
      <c r="I807" s="391"/>
      <c r="J807" s="391"/>
      <c r="K807" s="391"/>
      <c r="L807" s="29"/>
      <c r="M807" s="25"/>
      <c r="N807" s="26"/>
      <c r="O807" s="27"/>
      <c r="P807" s="656"/>
      <c r="Q807" s="658"/>
      <c r="R807" s="249"/>
      <c r="S807" s="692"/>
      <c r="T807" s="190"/>
      <c r="U807" s="196"/>
      <c r="V807" s="11"/>
      <c r="W807" s="12"/>
      <c r="X807" s="194"/>
      <c r="Y807" s="194"/>
      <c r="Z807" s="13"/>
      <c r="AA807" s="13"/>
      <c r="AB807" s="13"/>
      <c r="AC807" s="13"/>
      <c r="AD807" s="13"/>
      <c r="AE807" s="13"/>
      <c r="AF807" s="13"/>
      <c r="AG807" s="685"/>
      <c r="AH807" s="688" t="b">
        <f t="shared" si="255"/>
        <v>1</v>
      </c>
    </row>
    <row r="808" spans="1:34" s="1" customFormat="1" ht="15" customHeight="1">
      <c r="A808" s="171"/>
      <c r="B808" s="171"/>
      <c r="C808" s="171"/>
      <c r="D808" s="171"/>
      <c r="E808" s="171"/>
      <c r="F808" s="171"/>
      <c r="G808" s="389"/>
      <c r="H808" s="389"/>
      <c r="I808" s="391"/>
      <c r="J808" s="391"/>
      <c r="K808" s="391"/>
      <c r="L808" s="29"/>
      <c r="M808" s="25"/>
      <c r="N808" s="26"/>
      <c r="O808" s="27"/>
      <c r="P808" s="656"/>
      <c r="Q808" s="658"/>
      <c r="R808" s="249"/>
      <c r="S808" s="692"/>
      <c r="T808" s="190"/>
      <c r="U808" s="196"/>
      <c r="V808" s="11"/>
      <c r="W808" s="12"/>
      <c r="X808" s="194"/>
      <c r="Y808" s="194"/>
      <c r="Z808" s="13"/>
      <c r="AA808" s="13"/>
      <c r="AB808" s="13"/>
      <c r="AC808" s="13"/>
      <c r="AD808" s="13"/>
      <c r="AE808" s="13"/>
      <c r="AF808" s="13"/>
      <c r="AG808" s="685"/>
      <c r="AH808" s="688" t="b">
        <f t="shared" si="255"/>
        <v>1</v>
      </c>
    </row>
    <row r="809" spans="1:34" s="1" customFormat="1" ht="15" customHeight="1">
      <c r="A809" s="171"/>
      <c r="B809" s="171"/>
      <c r="C809" s="171"/>
      <c r="D809" s="171"/>
      <c r="E809" s="171"/>
      <c r="F809" s="171"/>
      <c r="G809" s="389"/>
      <c r="H809" s="389"/>
      <c r="I809" s="391"/>
      <c r="J809" s="391"/>
      <c r="K809" s="391"/>
      <c r="L809" s="29"/>
      <c r="M809" s="25"/>
      <c r="N809" s="26"/>
      <c r="O809" s="27"/>
      <c r="P809" s="656"/>
      <c r="Q809" s="658"/>
      <c r="R809" s="249"/>
      <c r="S809" s="692"/>
      <c r="T809" s="190"/>
      <c r="U809" s="196"/>
      <c r="V809" s="11"/>
      <c r="W809" s="12"/>
      <c r="X809" s="194"/>
      <c r="Y809" s="194"/>
      <c r="Z809" s="13"/>
      <c r="AA809" s="13"/>
      <c r="AB809" s="13"/>
      <c r="AC809" s="13"/>
      <c r="AD809" s="13"/>
      <c r="AE809" s="13"/>
      <c r="AF809" s="13"/>
      <c r="AG809" s="685"/>
      <c r="AH809" s="688" t="b">
        <f t="shared" si="255"/>
        <v>1</v>
      </c>
    </row>
    <row r="810" spans="1:34" s="1" customFormat="1" ht="15" customHeight="1">
      <c r="A810" s="171"/>
      <c r="B810" s="171"/>
      <c r="C810" s="171"/>
      <c r="D810" s="171"/>
      <c r="E810" s="171"/>
      <c r="F810" s="171"/>
      <c r="G810" s="389"/>
      <c r="H810" s="389"/>
      <c r="I810" s="391"/>
      <c r="J810" s="391"/>
      <c r="K810" s="391"/>
      <c r="L810" s="29"/>
      <c r="M810" s="25"/>
      <c r="N810" s="26"/>
      <c r="O810" s="27"/>
      <c r="P810" s="656"/>
      <c r="Q810" s="658"/>
      <c r="R810" s="249"/>
      <c r="S810" s="692"/>
      <c r="T810" s="190"/>
      <c r="U810" s="196"/>
      <c r="V810" s="11"/>
      <c r="W810" s="12"/>
      <c r="X810" s="194"/>
      <c r="Y810" s="194"/>
      <c r="Z810" s="13"/>
      <c r="AA810" s="13"/>
      <c r="AB810" s="13"/>
      <c r="AC810" s="13"/>
      <c r="AD810" s="13"/>
      <c r="AE810" s="13"/>
      <c r="AF810" s="13"/>
      <c r="AG810" s="685"/>
      <c r="AH810" s="688" t="b">
        <f t="shared" si="255"/>
        <v>1</v>
      </c>
    </row>
    <row r="811" spans="1:34" s="1" customFormat="1" ht="15" customHeight="1">
      <c r="A811" s="171"/>
      <c r="B811" s="171"/>
      <c r="C811" s="171"/>
      <c r="D811" s="171"/>
      <c r="E811" s="171"/>
      <c r="F811" s="171"/>
      <c r="G811" s="389"/>
      <c r="H811" s="389"/>
      <c r="I811" s="391"/>
      <c r="J811" s="391"/>
      <c r="K811" s="391"/>
      <c r="L811" s="29"/>
      <c r="M811" s="25"/>
      <c r="N811" s="26"/>
      <c r="O811" s="27"/>
      <c r="P811" s="656"/>
      <c r="Q811" s="658"/>
      <c r="R811" s="249"/>
      <c r="S811" s="692"/>
      <c r="T811" s="190"/>
      <c r="U811" s="196"/>
      <c r="V811" s="11"/>
      <c r="W811" s="12"/>
      <c r="X811" s="194"/>
      <c r="Y811" s="194"/>
      <c r="Z811" s="13"/>
      <c r="AA811" s="13"/>
      <c r="AB811" s="13"/>
      <c r="AC811" s="13"/>
      <c r="AD811" s="13"/>
      <c r="AE811" s="13"/>
      <c r="AF811" s="13"/>
      <c r="AG811" s="685"/>
      <c r="AH811" s="688" t="b">
        <f t="shared" si="255"/>
        <v>1</v>
      </c>
    </row>
    <row r="812" spans="1:34" s="1" customFormat="1" ht="15" customHeight="1">
      <c r="A812" s="171"/>
      <c r="B812" s="171"/>
      <c r="C812" s="171"/>
      <c r="D812" s="171"/>
      <c r="E812" s="171"/>
      <c r="F812" s="171"/>
      <c r="G812" s="389"/>
      <c r="H812" s="389"/>
      <c r="I812" s="391"/>
      <c r="J812" s="391"/>
      <c r="K812" s="391"/>
      <c r="L812" s="29"/>
      <c r="M812" s="25"/>
      <c r="N812" s="26"/>
      <c r="O812" s="27"/>
      <c r="P812" s="656"/>
      <c r="Q812" s="658"/>
      <c r="R812" s="249"/>
      <c r="S812" s="692"/>
      <c r="T812" s="190"/>
      <c r="U812" s="196"/>
      <c r="V812" s="11"/>
      <c r="W812" s="12"/>
      <c r="X812" s="194"/>
      <c r="Y812" s="194"/>
      <c r="Z812" s="13"/>
      <c r="AA812" s="13"/>
      <c r="AB812" s="13"/>
      <c r="AC812" s="13"/>
      <c r="AD812" s="13"/>
      <c r="AE812" s="13"/>
      <c r="AF812" s="13"/>
      <c r="AG812" s="685"/>
      <c r="AH812" s="688" t="b">
        <f t="shared" si="255"/>
        <v>1</v>
      </c>
    </row>
    <row r="813" spans="1:34" s="1" customFormat="1" ht="15" customHeight="1">
      <c r="A813" s="171"/>
      <c r="B813" s="171"/>
      <c r="C813" s="171"/>
      <c r="D813" s="171"/>
      <c r="E813" s="171"/>
      <c r="F813" s="171"/>
      <c r="G813" s="389"/>
      <c r="H813" s="389"/>
      <c r="I813" s="391"/>
      <c r="J813" s="391"/>
      <c r="K813" s="391"/>
      <c r="L813" s="29"/>
      <c r="M813" s="25"/>
      <c r="N813" s="26"/>
      <c r="O813" s="27"/>
      <c r="P813" s="656"/>
      <c r="Q813" s="658"/>
      <c r="R813" s="249"/>
      <c r="S813" s="692"/>
      <c r="T813" s="190"/>
      <c r="U813" s="196"/>
      <c r="V813" s="11"/>
      <c r="W813" s="12"/>
      <c r="X813" s="194"/>
      <c r="Y813" s="194"/>
      <c r="Z813" s="13"/>
      <c r="AA813" s="13"/>
      <c r="AB813" s="13"/>
      <c r="AC813" s="13"/>
      <c r="AD813" s="13"/>
      <c r="AE813" s="13"/>
      <c r="AF813" s="13"/>
      <c r="AG813" s="685"/>
      <c r="AH813" s="688" t="b">
        <f t="shared" si="255"/>
        <v>1</v>
      </c>
    </row>
    <row r="814" spans="1:34" s="1" customFormat="1" ht="15" customHeight="1">
      <c r="A814" s="171"/>
      <c r="B814" s="171"/>
      <c r="C814" s="171"/>
      <c r="D814" s="171"/>
      <c r="E814" s="171"/>
      <c r="F814" s="171"/>
      <c r="G814" s="389"/>
      <c r="H814" s="389"/>
      <c r="I814" s="391"/>
      <c r="J814" s="391"/>
      <c r="K814" s="391"/>
      <c r="L814" s="29"/>
      <c r="M814" s="25"/>
      <c r="N814" s="26"/>
      <c r="O814" s="27"/>
      <c r="P814" s="656"/>
      <c r="Q814" s="658"/>
      <c r="R814" s="249"/>
      <c r="S814" s="692"/>
      <c r="T814" s="190"/>
      <c r="U814" s="196"/>
      <c r="V814" s="11"/>
      <c r="W814" s="12"/>
      <c r="X814" s="194"/>
      <c r="Y814" s="194"/>
      <c r="Z814" s="13"/>
      <c r="AA814" s="13"/>
      <c r="AB814" s="13"/>
      <c r="AC814" s="13"/>
      <c r="AD814" s="13"/>
      <c r="AE814" s="13"/>
      <c r="AF814" s="13"/>
      <c r="AG814" s="685"/>
      <c r="AH814" s="688" t="b">
        <f t="shared" si="255"/>
        <v>1</v>
      </c>
    </row>
    <row r="815" spans="1:34" s="1" customFormat="1" ht="15" customHeight="1">
      <c r="A815" s="171"/>
      <c r="B815" s="171"/>
      <c r="C815" s="171"/>
      <c r="D815" s="171"/>
      <c r="E815" s="171"/>
      <c r="F815" s="171"/>
      <c r="G815" s="389"/>
      <c r="H815" s="389"/>
      <c r="I815" s="391"/>
      <c r="J815" s="391"/>
      <c r="K815" s="391"/>
      <c r="L815" s="29"/>
      <c r="M815" s="25"/>
      <c r="N815" s="26"/>
      <c r="O815" s="27"/>
      <c r="P815" s="656"/>
      <c r="Q815" s="658"/>
      <c r="R815" s="249"/>
      <c r="S815" s="692"/>
      <c r="T815" s="190"/>
      <c r="U815" s="196"/>
      <c r="V815" s="11"/>
      <c r="W815" s="12"/>
      <c r="X815" s="194"/>
      <c r="Y815" s="194"/>
      <c r="Z815" s="13"/>
      <c r="AA815" s="13"/>
      <c r="AB815" s="13"/>
      <c r="AC815" s="13"/>
      <c r="AD815" s="13"/>
      <c r="AE815" s="13"/>
      <c r="AF815" s="13"/>
      <c r="AG815" s="685"/>
      <c r="AH815" s="688" t="b">
        <f t="shared" si="255"/>
        <v>1</v>
      </c>
    </row>
    <row r="816" spans="1:34" s="1" customFormat="1" ht="15" customHeight="1">
      <c r="A816" s="171"/>
      <c r="B816" s="171"/>
      <c r="C816" s="171"/>
      <c r="D816" s="171"/>
      <c r="E816" s="171"/>
      <c r="F816" s="171"/>
      <c r="G816" s="389"/>
      <c r="H816" s="389"/>
      <c r="I816" s="391"/>
      <c r="J816" s="391"/>
      <c r="K816" s="391"/>
      <c r="L816" s="29"/>
      <c r="M816" s="25"/>
      <c r="N816" s="26"/>
      <c r="O816" s="27"/>
      <c r="P816" s="656"/>
      <c r="Q816" s="658"/>
      <c r="R816" s="249"/>
      <c r="S816" s="692"/>
      <c r="T816" s="190"/>
      <c r="U816" s="196"/>
      <c r="V816" s="11"/>
      <c r="W816" s="12"/>
      <c r="X816" s="194"/>
      <c r="Y816" s="194"/>
      <c r="Z816" s="13"/>
      <c r="AA816" s="13"/>
      <c r="AB816" s="13"/>
      <c r="AC816" s="13"/>
      <c r="AD816" s="13"/>
      <c r="AE816" s="13"/>
      <c r="AF816" s="13"/>
      <c r="AG816" s="685"/>
      <c r="AH816" s="688" t="b">
        <f t="shared" si="255"/>
        <v>1</v>
      </c>
    </row>
    <row r="817" spans="1:34" s="1" customFormat="1" ht="15" customHeight="1">
      <c r="A817" s="171"/>
      <c r="B817" s="171"/>
      <c r="C817" s="171"/>
      <c r="D817" s="171"/>
      <c r="E817" s="171"/>
      <c r="F817" s="171"/>
      <c r="G817" s="389"/>
      <c r="H817" s="389"/>
      <c r="I817" s="391"/>
      <c r="J817" s="391"/>
      <c r="K817" s="391"/>
      <c r="L817" s="29"/>
      <c r="M817" s="25"/>
      <c r="N817" s="26"/>
      <c r="O817" s="27"/>
      <c r="P817" s="656"/>
      <c r="Q817" s="658"/>
      <c r="R817" s="249"/>
      <c r="S817" s="692"/>
      <c r="T817" s="190"/>
      <c r="U817" s="196"/>
      <c r="V817" s="11"/>
      <c r="W817" s="12"/>
      <c r="X817" s="194"/>
      <c r="Y817" s="194"/>
      <c r="Z817" s="13"/>
      <c r="AA817" s="13"/>
      <c r="AB817" s="13"/>
      <c r="AC817" s="13"/>
      <c r="AD817" s="13"/>
      <c r="AE817" s="13"/>
      <c r="AF817" s="13"/>
      <c r="AG817" s="685"/>
      <c r="AH817" s="688" t="b">
        <f t="shared" si="255"/>
        <v>1</v>
      </c>
    </row>
    <row r="818" spans="1:34" s="1" customFormat="1" ht="15" customHeight="1">
      <c r="A818" s="171"/>
      <c r="B818" s="171"/>
      <c r="C818" s="171"/>
      <c r="D818" s="171"/>
      <c r="E818" s="171"/>
      <c r="F818" s="171"/>
      <c r="G818" s="389"/>
      <c r="H818" s="389"/>
      <c r="I818" s="391"/>
      <c r="J818" s="391"/>
      <c r="K818" s="391"/>
      <c r="L818" s="29"/>
      <c r="M818" s="25"/>
      <c r="N818" s="26"/>
      <c r="O818" s="27"/>
      <c r="P818" s="656"/>
      <c r="Q818" s="658"/>
      <c r="R818" s="249"/>
      <c r="S818" s="692"/>
      <c r="T818" s="190"/>
      <c r="U818" s="196"/>
      <c r="V818" s="11"/>
      <c r="W818" s="12"/>
      <c r="X818" s="194"/>
      <c r="Y818" s="194"/>
      <c r="Z818" s="13"/>
      <c r="AA818" s="13"/>
      <c r="AB818" s="13"/>
      <c r="AC818" s="13"/>
      <c r="AD818" s="13"/>
      <c r="AE818" s="13"/>
      <c r="AF818" s="13"/>
      <c r="AG818" s="685"/>
      <c r="AH818" s="688" t="b">
        <f t="shared" si="255"/>
        <v>1</v>
      </c>
    </row>
    <row r="819" spans="1:34" s="1" customFormat="1" ht="15" customHeight="1">
      <c r="A819" s="171"/>
      <c r="B819" s="171"/>
      <c r="C819" s="171"/>
      <c r="D819" s="171"/>
      <c r="E819" s="171"/>
      <c r="F819" s="171"/>
      <c r="G819" s="389"/>
      <c r="H819" s="389"/>
      <c r="I819" s="391"/>
      <c r="J819" s="391"/>
      <c r="K819" s="391"/>
      <c r="L819" s="29"/>
      <c r="M819" s="25"/>
      <c r="N819" s="26"/>
      <c r="O819" s="27"/>
      <c r="P819" s="656"/>
      <c r="Q819" s="658"/>
      <c r="R819" s="249"/>
      <c r="S819" s="692"/>
      <c r="T819" s="190"/>
      <c r="U819" s="196"/>
      <c r="V819" s="11"/>
      <c r="W819" s="12"/>
      <c r="X819" s="194"/>
      <c r="Y819" s="194"/>
      <c r="Z819" s="13"/>
      <c r="AA819" s="13"/>
      <c r="AB819" s="13"/>
      <c r="AC819" s="13"/>
      <c r="AD819" s="13"/>
      <c r="AE819" s="13"/>
      <c r="AF819" s="13"/>
      <c r="AG819" s="685"/>
      <c r="AH819" s="688" t="b">
        <f t="shared" si="255"/>
        <v>1</v>
      </c>
    </row>
    <row r="820" spans="1:34" s="1" customFormat="1" ht="15" customHeight="1">
      <c r="A820" s="171"/>
      <c r="B820" s="171"/>
      <c r="C820" s="171"/>
      <c r="D820" s="171"/>
      <c r="E820" s="171"/>
      <c r="F820" s="171"/>
      <c r="G820" s="389"/>
      <c r="H820" s="389"/>
      <c r="I820" s="391"/>
      <c r="J820" s="391"/>
      <c r="K820" s="391"/>
      <c r="L820" s="29"/>
      <c r="M820" s="25"/>
      <c r="N820" s="26"/>
      <c r="O820" s="27"/>
      <c r="P820" s="656"/>
      <c r="Q820" s="658"/>
      <c r="R820" s="249"/>
      <c r="S820" s="692"/>
      <c r="T820" s="190"/>
      <c r="U820" s="196"/>
      <c r="V820" s="11"/>
      <c r="W820" s="12"/>
      <c r="X820" s="194"/>
      <c r="Y820" s="194"/>
      <c r="Z820" s="13"/>
      <c r="AA820" s="13"/>
      <c r="AB820" s="13"/>
      <c r="AC820" s="13"/>
      <c r="AD820" s="13"/>
      <c r="AE820" s="13"/>
      <c r="AF820" s="13"/>
      <c r="AG820" s="685"/>
      <c r="AH820" s="688" t="b">
        <f t="shared" si="255"/>
        <v>1</v>
      </c>
    </row>
    <row r="821" spans="1:34" s="1" customFormat="1" ht="15" customHeight="1">
      <c r="A821" s="171"/>
      <c r="B821" s="171"/>
      <c r="C821" s="171"/>
      <c r="D821" s="171"/>
      <c r="E821" s="171"/>
      <c r="F821" s="171"/>
      <c r="G821" s="389"/>
      <c r="H821" s="389"/>
      <c r="I821" s="391"/>
      <c r="J821" s="391"/>
      <c r="K821" s="391"/>
      <c r="L821" s="29"/>
      <c r="M821" s="25"/>
      <c r="N821" s="26"/>
      <c r="O821" s="27"/>
      <c r="P821" s="656"/>
      <c r="Q821" s="658"/>
      <c r="R821" s="249"/>
      <c r="S821" s="692"/>
      <c r="T821" s="190"/>
      <c r="U821" s="196"/>
      <c r="V821" s="11"/>
      <c r="W821" s="12"/>
      <c r="X821" s="194"/>
      <c r="Y821" s="194"/>
      <c r="Z821" s="13"/>
      <c r="AA821" s="13"/>
      <c r="AB821" s="13"/>
      <c r="AC821" s="13"/>
      <c r="AD821" s="13"/>
      <c r="AE821" s="13"/>
      <c r="AF821" s="13"/>
      <c r="AG821" s="685"/>
      <c r="AH821" s="688" t="b">
        <f t="shared" si="255"/>
        <v>1</v>
      </c>
    </row>
    <row r="822" spans="1:34" s="1" customFormat="1" ht="15" customHeight="1">
      <c r="A822" s="171"/>
      <c r="B822" s="171"/>
      <c r="C822" s="171"/>
      <c r="D822" s="171"/>
      <c r="E822" s="171"/>
      <c r="F822" s="171"/>
      <c r="G822" s="389"/>
      <c r="H822" s="389"/>
      <c r="I822" s="391"/>
      <c r="J822" s="391"/>
      <c r="K822" s="391"/>
      <c r="L822" s="29"/>
      <c r="M822" s="25"/>
      <c r="N822" s="26"/>
      <c r="O822" s="27"/>
      <c r="P822" s="656"/>
      <c r="Q822" s="658"/>
      <c r="R822" s="249"/>
      <c r="S822" s="692"/>
      <c r="T822" s="190"/>
      <c r="U822" s="196"/>
      <c r="V822" s="11"/>
      <c r="W822" s="12"/>
      <c r="X822" s="194"/>
      <c r="Y822" s="194"/>
      <c r="Z822" s="13"/>
      <c r="AA822" s="13"/>
      <c r="AB822" s="13"/>
      <c r="AC822" s="13"/>
      <c r="AD822" s="13"/>
      <c r="AE822" s="13"/>
      <c r="AF822" s="13"/>
      <c r="AG822" s="685"/>
      <c r="AH822" s="688" t="b">
        <f t="shared" si="255"/>
        <v>1</v>
      </c>
    </row>
    <row r="823" spans="1:34" s="1" customFormat="1" ht="15" customHeight="1">
      <c r="A823" s="171"/>
      <c r="B823" s="171"/>
      <c r="C823" s="171"/>
      <c r="D823" s="171"/>
      <c r="E823" s="171"/>
      <c r="F823" s="171"/>
      <c r="G823" s="389"/>
      <c r="H823" s="389"/>
      <c r="I823" s="391"/>
      <c r="J823" s="391"/>
      <c r="K823" s="391"/>
      <c r="L823" s="29"/>
      <c r="M823" s="25"/>
      <c r="N823" s="26"/>
      <c r="O823" s="27"/>
      <c r="P823" s="656"/>
      <c r="Q823" s="658"/>
      <c r="R823" s="249"/>
      <c r="S823" s="692"/>
      <c r="T823" s="190"/>
      <c r="U823" s="196"/>
      <c r="V823" s="11"/>
      <c r="W823" s="12"/>
      <c r="X823" s="194"/>
      <c r="Y823" s="194"/>
      <c r="Z823" s="13"/>
      <c r="AA823" s="13"/>
      <c r="AB823" s="13"/>
      <c r="AC823" s="13"/>
      <c r="AD823" s="13"/>
      <c r="AE823" s="13"/>
      <c r="AF823" s="13"/>
      <c r="AG823" s="685"/>
      <c r="AH823" s="688" t="b">
        <f t="shared" si="255"/>
        <v>1</v>
      </c>
    </row>
    <row r="824" spans="1:34" s="1" customFormat="1" ht="15" customHeight="1">
      <c r="A824" s="171"/>
      <c r="B824" s="171"/>
      <c r="C824" s="171"/>
      <c r="D824" s="171"/>
      <c r="E824" s="171"/>
      <c r="F824" s="171"/>
      <c r="G824" s="389"/>
      <c r="H824" s="389"/>
      <c r="I824" s="391"/>
      <c r="J824" s="391"/>
      <c r="K824" s="391"/>
      <c r="L824" s="29"/>
      <c r="M824" s="25"/>
      <c r="N824" s="26"/>
      <c r="O824" s="27"/>
      <c r="P824" s="656"/>
      <c r="Q824" s="658"/>
      <c r="R824" s="249"/>
      <c r="S824" s="692"/>
      <c r="T824" s="190"/>
      <c r="U824" s="196"/>
      <c r="V824" s="11"/>
      <c r="W824" s="12"/>
      <c r="X824" s="194"/>
      <c r="Y824" s="194"/>
      <c r="Z824" s="13"/>
      <c r="AA824" s="13"/>
      <c r="AB824" s="13"/>
      <c r="AC824" s="13"/>
      <c r="AD824" s="13"/>
      <c r="AE824" s="13"/>
      <c r="AF824" s="13"/>
      <c r="AG824" s="685"/>
      <c r="AH824" s="688" t="b">
        <f t="shared" si="255"/>
        <v>1</v>
      </c>
    </row>
    <row r="825" spans="1:34" s="1" customFormat="1" ht="15" customHeight="1">
      <c r="A825" s="171"/>
      <c r="B825" s="171"/>
      <c r="C825" s="171"/>
      <c r="D825" s="171"/>
      <c r="E825" s="171"/>
      <c r="F825" s="171"/>
      <c r="G825" s="389"/>
      <c r="H825" s="389"/>
      <c r="I825" s="391"/>
      <c r="J825" s="391"/>
      <c r="K825" s="391"/>
      <c r="L825" s="29"/>
      <c r="M825" s="25"/>
      <c r="N825" s="26"/>
      <c r="O825" s="27"/>
      <c r="P825" s="656"/>
      <c r="Q825" s="658"/>
      <c r="R825" s="249"/>
      <c r="S825" s="692"/>
      <c r="T825" s="190"/>
      <c r="U825" s="196"/>
      <c r="V825" s="11"/>
      <c r="W825" s="12"/>
      <c r="X825" s="194"/>
      <c r="Y825" s="194"/>
      <c r="Z825" s="13"/>
      <c r="AA825" s="13"/>
      <c r="AB825" s="13"/>
      <c r="AC825" s="13"/>
      <c r="AD825" s="13"/>
      <c r="AE825" s="13"/>
      <c r="AF825" s="13"/>
      <c r="AG825" s="685"/>
      <c r="AH825" s="688" t="b">
        <f t="shared" si="255"/>
        <v>1</v>
      </c>
    </row>
    <row r="826" spans="1:34" s="1" customFormat="1" ht="15" customHeight="1">
      <c r="A826" s="171"/>
      <c r="B826" s="171"/>
      <c r="C826" s="171"/>
      <c r="D826" s="171"/>
      <c r="E826" s="171"/>
      <c r="F826" s="171"/>
      <c r="G826" s="389"/>
      <c r="H826" s="389"/>
      <c r="I826" s="391"/>
      <c r="J826" s="391"/>
      <c r="K826" s="391"/>
      <c r="L826" s="29"/>
      <c r="M826" s="25"/>
      <c r="N826" s="26"/>
      <c r="O826" s="27"/>
      <c r="P826" s="656"/>
      <c r="Q826" s="658"/>
      <c r="R826" s="249"/>
      <c r="S826" s="692"/>
      <c r="T826" s="190"/>
      <c r="U826" s="196"/>
      <c r="V826" s="11"/>
      <c r="W826" s="12"/>
      <c r="X826" s="194"/>
      <c r="Y826" s="194"/>
      <c r="Z826" s="13"/>
      <c r="AA826" s="13"/>
      <c r="AB826" s="13"/>
      <c r="AC826" s="13"/>
      <c r="AD826" s="13"/>
      <c r="AE826" s="13"/>
      <c r="AF826" s="13"/>
      <c r="AG826" s="685"/>
      <c r="AH826" s="688" t="b">
        <f t="shared" si="255"/>
        <v>1</v>
      </c>
    </row>
    <row r="827" spans="1:34" s="1" customFormat="1" ht="15" customHeight="1">
      <c r="A827" s="171"/>
      <c r="B827" s="171"/>
      <c r="C827" s="171"/>
      <c r="D827" s="171"/>
      <c r="E827" s="171"/>
      <c r="F827" s="171"/>
      <c r="G827" s="389"/>
      <c r="H827" s="389"/>
      <c r="I827" s="391"/>
      <c r="J827" s="391"/>
      <c r="K827" s="391"/>
      <c r="L827" s="29"/>
      <c r="M827" s="25"/>
      <c r="N827" s="26"/>
      <c r="O827" s="27"/>
      <c r="P827" s="656"/>
      <c r="Q827" s="658"/>
      <c r="R827" s="249"/>
      <c r="S827" s="692"/>
      <c r="T827" s="190"/>
      <c r="U827" s="196"/>
      <c r="V827" s="11"/>
      <c r="W827" s="12"/>
      <c r="X827" s="194"/>
      <c r="Y827" s="194"/>
      <c r="Z827" s="13"/>
      <c r="AA827" s="13"/>
      <c r="AB827" s="13"/>
      <c r="AC827" s="13"/>
      <c r="AD827" s="13"/>
      <c r="AE827" s="13"/>
      <c r="AF827" s="13"/>
      <c r="AG827" s="685"/>
      <c r="AH827" s="688" t="b">
        <f t="shared" si="255"/>
        <v>1</v>
      </c>
    </row>
    <row r="828" spans="1:34" s="1" customFormat="1" ht="15" customHeight="1">
      <c r="A828" s="171"/>
      <c r="B828" s="171"/>
      <c r="C828" s="171"/>
      <c r="D828" s="171"/>
      <c r="E828" s="171"/>
      <c r="F828" s="171"/>
      <c r="G828" s="389"/>
      <c r="H828" s="389"/>
      <c r="I828" s="391"/>
      <c r="J828" s="391"/>
      <c r="K828" s="391"/>
      <c r="L828" s="29"/>
      <c r="M828" s="25"/>
      <c r="N828" s="26"/>
      <c r="O828" s="27"/>
      <c r="P828" s="656"/>
      <c r="Q828" s="658"/>
      <c r="R828" s="249"/>
      <c r="S828" s="692"/>
      <c r="T828" s="190"/>
      <c r="U828" s="196"/>
      <c r="V828" s="11"/>
      <c r="W828" s="12"/>
      <c r="X828" s="194"/>
      <c r="Y828" s="194"/>
      <c r="Z828" s="13"/>
      <c r="AA828" s="13"/>
      <c r="AB828" s="13"/>
      <c r="AC828" s="13"/>
      <c r="AD828" s="13"/>
      <c r="AE828" s="13"/>
      <c r="AF828" s="13"/>
      <c r="AG828" s="685"/>
      <c r="AH828" s="688" t="b">
        <f t="shared" si="255"/>
        <v>1</v>
      </c>
    </row>
    <row r="829" spans="1:34" s="1" customFormat="1" ht="15" customHeight="1">
      <c r="A829" s="171"/>
      <c r="B829" s="171"/>
      <c r="C829" s="171"/>
      <c r="D829" s="171"/>
      <c r="E829" s="171"/>
      <c r="F829" s="171"/>
      <c r="G829" s="389"/>
      <c r="H829" s="389"/>
      <c r="I829" s="391"/>
      <c r="J829" s="391"/>
      <c r="K829" s="391"/>
      <c r="L829" s="29"/>
      <c r="M829" s="25"/>
      <c r="N829" s="26"/>
      <c r="O829" s="27"/>
      <c r="P829" s="656"/>
      <c r="Q829" s="658"/>
      <c r="R829" s="249"/>
      <c r="S829" s="692"/>
      <c r="T829" s="190"/>
      <c r="U829" s="196"/>
      <c r="V829" s="11"/>
      <c r="W829" s="12"/>
      <c r="X829" s="194"/>
      <c r="Y829" s="194"/>
      <c r="Z829" s="13"/>
      <c r="AA829" s="13"/>
      <c r="AB829" s="13"/>
      <c r="AC829" s="13"/>
      <c r="AD829" s="13"/>
      <c r="AE829" s="13"/>
      <c r="AF829" s="13"/>
      <c r="AG829" s="685"/>
      <c r="AH829" s="688" t="b">
        <f t="shared" si="255"/>
        <v>1</v>
      </c>
    </row>
    <row r="830" spans="1:34" s="1" customFormat="1" ht="15" customHeight="1">
      <c r="A830" s="171"/>
      <c r="B830" s="171"/>
      <c r="C830" s="171"/>
      <c r="D830" s="171"/>
      <c r="E830" s="171"/>
      <c r="F830" s="171"/>
      <c r="G830" s="389"/>
      <c r="H830" s="389"/>
      <c r="I830" s="391"/>
      <c r="J830" s="391"/>
      <c r="K830" s="391"/>
      <c r="L830" s="29"/>
      <c r="M830" s="25"/>
      <c r="N830" s="26"/>
      <c r="O830" s="27"/>
      <c r="P830" s="656"/>
      <c r="Q830" s="658"/>
      <c r="R830" s="249"/>
      <c r="S830" s="692"/>
      <c r="T830" s="190"/>
      <c r="U830" s="196"/>
      <c r="V830" s="11"/>
      <c r="W830" s="12"/>
      <c r="X830" s="194"/>
      <c r="Y830" s="194"/>
      <c r="Z830" s="13"/>
      <c r="AA830" s="13"/>
      <c r="AB830" s="13"/>
      <c r="AC830" s="13"/>
      <c r="AD830" s="13"/>
      <c r="AE830" s="13"/>
      <c r="AF830" s="13"/>
      <c r="AG830" s="685"/>
      <c r="AH830" s="688" t="b">
        <f t="shared" si="255"/>
        <v>1</v>
      </c>
    </row>
    <row r="831" spans="1:34" s="1" customFormat="1" ht="15" customHeight="1">
      <c r="A831" s="171"/>
      <c r="B831" s="171"/>
      <c r="C831" s="171"/>
      <c r="D831" s="171"/>
      <c r="E831" s="171"/>
      <c r="F831" s="171"/>
      <c r="G831" s="389"/>
      <c r="H831" s="389"/>
      <c r="I831" s="391"/>
      <c r="J831" s="391"/>
      <c r="K831" s="391"/>
      <c r="L831" s="29"/>
      <c r="M831" s="25"/>
      <c r="N831" s="26"/>
      <c r="O831" s="27"/>
      <c r="P831" s="656"/>
      <c r="Q831" s="658"/>
      <c r="R831" s="249"/>
      <c r="S831" s="692"/>
      <c r="T831" s="190"/>
      <c r="U831" s="196"/>
      <c r="V831" s="11"/>
      <c r="W831" s="12"/>
      <c r="X831" s="194"/>
      <c r="Y831" s="194"/>
      <c r="Z831" s="13"/>
      <c r="AA831" s="13"/>
      <c r="AB831" s="13"/>
      <c r="AC831" s="13"/>
      <c r="AD831" s="13"/>
      <c r="AE831" s="13"/>
      <c r="AF831" s="13"/>
      <c r="AG831" s="685"/>
      <c r="AH831" s="688" t="b">
        <f t="shared" si="255"/>
        <v>1</v>
      </c>
    </row>
    <row r="832" spans="1:34" s="1" customFormat="1" ht="15" customHeight="1">
      <c r="A832" s="171"/>
      <c r="B832" s="171"/>
      <c r="C832" s="171"/>
      <c r="D832" s="171"/>
      <c r="E832" s="171"/>
      <c r="F832" s="171"/>
      <c r="G832" s="389"/>
      <c r="H832" s="389"/>
      <c r="I832" s="391"/>
      <c r="J832" s="391"/>
      <c r="K832" s="391"/>
      <c r="L832" s="29"/>
      <c r="M832" s="25"/>
      <c r="N832" s="26"/>
      <c r="O832" s="27"/>
      <c r="P832" s="656"/>
      <c r="Q832" s="658"/>
      <c r="R832" s="249"/>
      <c r="S832" s="692"/>
      <c r="T832" s="190"/>
      <c r="U832" s="196"/>
      <c r="V832" s="11"/>
      <c r="W832" s="12"/>
      <c r="X832" s="194"/>
      <c r="Y832" s="194"/>
      <c r="Z832" s="13"/>
      <c r="AA832" s="13"/>
      <c r="AB832" s="13"/>
      <c r="AC832" s="13"/>
      <c r="AD832" s="13"/>
      <c r="AE832" s="13"/>
      <c r="AF832" s="13"/>
      <c r="AG832" s="685"/>
      <c r="AH832" s="688" t="b">
        <f t="shared" si="255"/>
        <v>1</v>
      </c>
    </row>
    <row r="833" spans="1:34" s="1" customFormat="1" ht="15" customHeight="1">
      <c r="A833" s="171"/>
      <c r="B833" s="171"/>
      <c r="C833" s="171"/>
      <c r="D833" s="171"/>
      <c r="E833" s="171"/>
      <c r="F833" s="171"/>
      <c r="G833" s="389"/>
      <c r="H833" s="389"/>
      <c r="I833" s="391"/>
      <c r="J833" s="391"/>
      <c r="K833" s="391"/>
      <c r="L833" s="29"/>
      <c r="M833" s="25"/>
      <c r="N833" s="26"/>
      <c r="O833" s="27"/>
      <c r="P833" s="656"/>
      <c r="Q833" s="658"/>
      <c r="R833" s="249"/>
      <c r="S833" s="692"/>
      <c r="T833" s="190"/>
      <c r="U833" s="196"/>
      <c r="V833" s="11"/>
      <c r="W833" s="12"/>
      <c r="X833" s="194"/>
      <c r="Y833" s="194"/>
      <c r="Z833" s="13"/>
      <c r="AA833" s="13"/>
      <c r="AB833" s="13"/>
      <c r="AC833" s="13"/>
      <c r="AD833" s="13"/>
      <c r="AE833" s="13"/>
      <c r="AF833" s="13"/>
      <c r="AG833" s="685"/>
      <c r="AH833" s="688" t="b">
        <f t="shared" si="255"/>
        <v>1</v>
      </c>
    </row>
    <row r="834" spans="1:34" s="1" customFormat="1" ht="15" customHeight="1">
      <c r="A834" s="171"/>
      <c r="B834" s="171"/>
      <c r="C834" s="171"/>
      <c r="D834" s="171"/>
      <c r="E834" s="171"/>
      <c r="F834" s="171"/>
      <c r="G834" s="389"/>
      <c r="H834" s="389"/>
      <c r="I834" s="391"/>
      <c r="J834" s="391"/>
      <c r="K834" s="391"/>
      <c r="L834" s="29"/>
      <c r="M834" s="25"/>
      <c r="N834" s="26"/>
      <c r="O834" s="27"/>
      <c r="P834" s="656"/>
      <c r="Q834" s="658"/>
      <c r="R834" s="249"/>
      <c r="S834" s="692"/>
      <c r="T834" s="190"/>
      <c r="U834" s="196"/>
      <c r="V834" s="11"/>
      <c r="W834" s="12"/>
      <c r="X834" s="194"/>
      <c r="Y834" s="194"/>
      <c r="Z834" s="13"/>
      <c r="AA834" s="13"/>
      <c r="AB834" s="13"/>
      <c r="AC834" s="13"/>
      <c r="AD834" s="13"/>
      <c r="AE834" s="13"/>
      <c r="AF834" s="13"/>
      <c r="AG834" s="685"/>
      <c r="AH834" s="688" t="b">
        <f t="shared" si="255"/>
        <v>1</v>
      </c>
    </row>
    <row r="835" spans="1:34" s="1" customFormat="1" ht="15" customHeight="1">
      <c r="A835" s="171"/>
      <c r="B835" s="171"/>
      <c r="C835" s="171"/>
      <c r="D835" s="171"/>
      <c r="E835" s="171"/>
      <c r="F835" s="171"/>
      <c r="G835" s="389"/>
      <c r="H835" s="389"/>
      <c r="I835" s="391"/>
      <c r="J835" s="391"/>
      <c r="K835" s="391"/>
      <c r="L835" s="29"/>
      <c r="M835" s="25"/>
      <c r="N835" s="26"/>
      <c r="O835" s="27"/>
      <c r="P835" s="656"/>
      <c r="Q835" s="658"/>
      <c r="R835" s="249"/>
      <c r="S835" s="692"/>
      <c r="T835" s="190"/>
      <c r="U835" s="196"/>
      <c r="V835" s="11"/>
      <c r="W835" s="12"/>
      <c r="X835" s="194"/>
      <c r="Y835" s="194"/>
      <c r="Z835" s="13"/>
      <c r="AA835" s="13"/>
      <c r="AB835" s="13"/>
      <c r="AC835" s="13"/>
      <c r="AD835" s="13"/>
      <c r="AE835" s="13"/>
      <c r="AF835" s="13"/>
      <c r="AG835" s="685"/>
      <c r="AH835" s="688" t="b">
        <f t="shared" si="255"/>
        <v>1</v>
      </c>
    </row>
    <row r="836" spans="1:34" s="1" customFormat="1" ht="15" customHeight="1">
      <c r="A836" s="171"/>
      <c r="B836" s="171"/>
      <c r="C836" s="171"/>
      <c r="D836" s="171"/>
      <c r="E836" s="171"/>
      <c r="F836" s="171"/>
      <c r="G836" s="389"/>
      <c r="H836" s="389"/>
      <c r="I836" s="391"/>
      <c r="J836" s="391"/>
      <c r="K836" s="391"/>
      <c r="L836" s="29"/>
      <c r="M836" s="25"/>
      <c r="N836" s="26"/>
      <c r="O836" s="27"/>
      <c r="P836" s="656"/>
      <c r="Q836" s="658"/>
      <c r="R836" s="249"/>
      <c r="S836" s="692"/>
      <c r="T836" s="190"/>
      <c r="U836" s="196"/>
      <c r="V836" s="11"/>
      <c r="W836" s="12"/>
      <c r="X836" s="194"/>
      <c r="Y836" s="194"/>
      <c r="Z836" s="13"/>
      <c r="AA836" s="13"/>
      <c r="AB836" s="13"/>
      <c r="AC836" s="13"/>
      <c r="AD836" s="13"/>
      <c r="AE836" s="13"/>
      <c r="AF836" s="13"/>
      <c r="AG836" s="685"/>
      <c r="AH836" s="688" t="b">
        <f t="shared" si="255"/>
        <v>1</v>
      </c>
    </row>
    <row r="837" spans="1:34" s="1" customFormat="1" ht="15" customHeight="1">
      <c r="A837" s="171"/>
      <c r="B837" s="171"/>
      <c r="C837" s="171"/>
      <c r="D837" s="171"/>
      <c r="E837" s="171"/>
      <c r="F837" s="171"/>
      <c r="G837" s="389"/>
      <c r="H837" s="389"/>
      <c r="I837" s="391"/>
      <c r="J837" s="391"/>
      <c r="K837" s="391"/>
      <c r="L837" s="29"/>
      <c r="M837" s="25"/>
      <c r="N837" s="26"/>
      <c r="O837" s="27"/>
      <c r="P837" s="656"/>
      <c r="Q837" s="658"/>
      <c r="R837" s="249"/>
      <c r="S837" s="692"/>
      <c r="T837" s="190"/>
      <c r="U837" s="196"/>
      <c r="V837" s="11"/>
      <c r="W837" s="12"/>
      <c r="X837" s="194"/>
      <c r="Y837" s="194"/>
      <c r="Z837" s="13"/>
      <c r="AA837" s="13"/>
      <c r="AB837" s="13"/>
      <c r="AC837" s="13"/>
      <c r="AD837" s="13"/>
      <c r="AE837" s="13"/>
      <c r="AF837" s="13"/>
      <c r="AG837" s="685"/>
      <c r="AH837" s="688" t="b">
        <f t="shared" si="255"/>
        <v>1</v>
      </c>
    </row>
    <row r="838" spans="1:34" s="1" customFormat="1" ht="15" customHeight="1">
      <c r="A838" s="171"/>
      <c r="B838" s="171"/>
      <c r="C838" s="171"/>
      <c r="D838" s="171"/>
      <c r="E838" s="171"/>
      <c r="F838" s="171"/>
      <c r="G838" s="389"/>
      <c r="H838" s="389"/>
      <c r="I838" s="391"/>
      <c r="J838" s="391"/>
      <c r="K838" s="391"/>
      <c r="L838" s="29"/>
      <c r="M838" s="25"/>
      <c r="N838" s="26"/>
      <c r="O838" s="27"/>
      <c r="P838" s="656"/>
      <c r="Q838" s="658"/>
      <c r="R838" s="249"/>
      <c r="S838" s="692"/>
      <c r="T838" s="190"/>
      <c r="U838" s="196"/>
      <c r="V838" s="11"/>
      <c r="W838" s="12"/>
      <c r="X838" s="194"/>
      <c r="Y838" s="194"/>
      <c r="Z838" s="13"/>
      <c r="AA838" s="13"/>
      <c r="AB838" s="13"/>
      <c r="AC838" s="13"/>
      <c r="AD838" s="13"/>
      <c r="AE838" s="13"/>
      <c r="AF838" s="13"/>
      <c r="AG838" s="685"/>
      <c r="AH838" s="688" t="b">
        <f t="shared" ref="AH838:AH874" si="256">Q838=SUM(X838:AG838)</f>
        <v>1</v>
      </c>
    </row>
    <row r="839" spans="1:34" s="1" customFormat="1" ht="15" customHeight="1">
      <c r="A839" s="171"/>
      <c r="B839" s="171"/>
      <c r="C839" s="171"/>
      <c r="D839" s="171"/>
      <c r="E839" s="171"/>
      <c r="F839" s="171"/>
      <c r="G839" s="389"/>
      <c r="H839" s="389"/>
      <c r="I839" s="391"/>
      <c r="J839" s="391"/>
      <c r="K839" s="391"/>
      <c r="L839" s="29"/>
      <c r="M839" s="25"/>
      <c r="N839" s="26"/>
      <c r="O839" s="27"/>
      <c r="P839" s="656"/>
      <c r="Q839" s="658"/>
      <c r="R839" s="249"/>
      <c r="S839" s="692"/>
      <c r="T839" s="190"/>
      <c r="U839" s="196"/>
      <c r="V839" s="11"/>
      <c r="W839" s="12"/>
      <c r="X839" s="194"/>
      <c r="Y839" s="194"/>
      <c r="Z839" s="13"/>
      <c r="AA839" s="13"/>
      <c r="AB839" s="13"/>
      <c r="AC839" s="13"/>
      <c r="AD839" s="13"/>
      <c r="AE839" s="13"/>
      <c r="AF839" s="13"/>
      <c r="AG839" s="685"/>
      <c r="AH839" s="688" t="b">
        <f t="shared" si="256"/>
        <v>1</v>
      </c>
    </row>
    <row r="840" spans="1:34" s="1" customFormat="1" ht="15" customHeight="1">
      <c r="A840" s="171"/>
      <c r="B840" s="171"/>
      <c r="C840" s="171"/>
      <c r="D840" s="171"/>
      <c r="E840" s="171"/>
      <c r="F840" s="171"/>
      <c r="G840" s="389"/>
      <c r="H840" s="389"/>
      <c r="I840" s="391"/>
      <c r="J840" s="391"/>
      <c r="K840" s="391"/>
      <c r="L840" s="29"/>
      <c r="M840" s="25"/>
      <c r="N840" s="26"/>
      <c r="O840" s="27"/>
      <c r="P840" s="656"/>
      <c r="Q840" s="658"/>
      <c r="R840" s="249"/>
      <c r="S840" s="692"/>
      <c r="T840" s="190"/>
      <c r="U840" s="196"/>
      <c r="V840" s="11"/>
      <c r="W840" s="12"/>
      <c r="X840" s="194"/>
      <c r="Y840" s="194"/>
      <c r="Z840" s="13"/>
      <c r="AA840" s="13"/>
      <c r="AB840" s="13"/>
      <c r="AC840" s="13"/>
      <c r="AD840" s="13"/>
      <c r="AE840" s="13"/>
      <c r="AF840" s="13"/>
      <c r="AG840" s="685"/>
      <c r="AH840" s="688" t="b">
        <f t="shared" si="256"/>
        <v>1</v>
      </c>
    </row>
    <row r="841" spans="1:34" s="1" customFormat="1" ht="15" customHeight="1">
      <c r="A841" s="171"/>
      <c r="B841" s="171"/>
      <c r="C841" s="171"/>
      <c r="D841" s="171"/>
      <c r="E841" s="171"/>
      <c r="F841" s="171"/>
      <c r="G841" s="389"/>
      <c r="H841" s="389"/>
      <c r="I841" s="391"/>
      <c r="J841" s="391"/>
      <c r="K841" s="391"/>
      <c r="L841" s="29"/>
      <c r="M841" s="25"/>
      <c r="N841" s="26"/>
      <c r="O841" s="27"/>
      <c r="P841" s="656"/>
      <c r="Q841" s="658"/>
      <c r="R841" s="249"/>
      <c r="S841" s="692"/>
      <c r="T841" s="190"/>
      <c r="U841" s="196"/>
      <c r="V841" s="11"/>
      <c r="W841" s="12"/>
      <c r="X841" s="194"/>
      <c r="Y841" s="194"/>
      <c r="Z841" s="13"/>
      <c r="AA841" s="13"/>
      <c r="AB841" s="13"/>
      <c r="AC841" s="13"/>
      <c r="AD841" s="13"/>
      <c r="AE841" s="13"/>
      <c r="AF841" s="13"/>
      <c r="AG841" s="685"/>
      <c r="AH841" s="688" t="b">
        <f t="shared" si="256"/>
        <v>1</v>
      </c>
    </row>
    <row r="842" spans="1:34" s="1" customFormat="1" ht="15" customHeight="1">
      <c r="A842" s="171"/>
      <c r="B842" s="171"/>
      <c r="C842" s="171"/>
      <c r="D842" s="171"/>
      <c r="E842" s="171"/>
      <c r="F842" s="171"/>
      <c r="G842" s="389"/>
      <c r="H842" s="389"/>
      <c r="I842" s="391"/>
      <c r="J842" s="391"/>
      <c r="K842" s="391"/>
      <c r="L842" s="29"/>
      <c r="M842" s="25"/>
      <c r="N842" s="26"/>
      <c r="O842" s="27"/>
      <c r="P842" s="656"/>
      <c r="Q842" s="658"/>
      <c r="R842" s="249"/>
      <c r="S842" s="692"/>
      <c r="T842" s="190"/>
      <c r="U842" s="196"/>
      <c r="V842" s="11"/>
      <c r="W842" s="12"/>
      <c r="X842" s="194"/>
      <c r="Y842" s="194"/>
      <c r="Z842" s="13"/>
      <c r="AA842" s="13"/>
      <c r="AB842" s="13"/>
      <c r="AC842" s="13"/>
      <c r="AD842" s="13"/>
      <c r="AE842" s="13"/>
      <c r="AF842" s="13"/>
      <c r="AG842" s="685"/>
      <c r="AH842" s="688" t="b">
        <f t="shared" si="256"/>
        <v>1</v>
      </c>
    </row>
    <row r="843" spans="1:34" s="1" customFormat="1" ht="15" customHeight="1">
      <c r="A843" s="171"/>
      <c r="B843" s="171"/>
      <c r="C843" s="171"/>
      <c r="D843" s="171"/>
      <c r="E843" s="171"/>
      <c r="F843" s="171"/>
      <c r="G843" s="389"/>
      <c r="H843" s="389"/>
      <c r="I843" s="391"/>
      <c r="J843" s="391"/>
      <c r="K843" s="391"/>
      <c r="L843" s="29"/>
      <c r="M843" s="25"/>
      <c r="N843" s="26"/>
      <c r="O843" s="27"/>
      <c r="P843" s="656"/>
      <c r="Q843" s="658"/>
      <c r="R843" s="249"/>
      <c r="S843" s="692"/>
      <c r="T843" s="190"/>
      <c r="U843" s="196"/>
      <c r="V843" s="11"/>
      <c r="W843" s="12"/>
      <c r="X843" s="194"/>
      <c r="Y843" s="194"/>
      <c r="Z843" s="13"/>
      <c r="AA843" s="13"/>
      <c r="AB843" s="13"/>
      <c r="AC843" s="13"/>
      <c r="AD843" s="13"/>
      <c r="AE843" s="13"/>
      <c r="AF843" s="13"/>
      <c r="AG843" s="685"/>
      <c r="AH843" s="688" t="b">
        <f t="shared" si="256"/>
        <v>1</v>
      </c>
    </row>
    <row r="844" spans="1:34" s="1" customFormat="1" ht="15" customHeight="1">
      <c r="A844" s="171"/>
      <c r="B844" s="171"/>
      <c r="C844" s="171"/>
      <c r="D844" s="171"/>
      <c r="E844" s="171"/>
      <c r="F844" s="171"/>
      <c r="G844" s="389"/>
      <c r="H844" s="389"/>
      <c r="I844" s="391"/>
      <c r="J844" s="391"/>
      <c r="K844" s="391"/>
      <c r="L844" s="29"/>
      <c r="M844" s="25"/>
      <c r="N844" s="26"/>
      <c r="O844" s="27"/>
      <c r="P844" s="656"/>
      <c r="Q844" s="658"/>
      <c r="R844" s="249"/>
      <c r="S844" s="692"/>
      <c r="T844" s="190"/>
      <c r="U844" s="196"/>
      <c r="V844" s="11"/>
      <c r="W844" s="12"/>
      <c r="X844" s="194"/>
      <c r="Y844" s="194"/>
      <c r="Z844" s="13"/>
      <c r="AA844" s="13"/>
      <c r="AB844" s="13"/>
      <c r="AC844" s="13"/>
      <c r="AD844" s="13"/>
      <c r="AE844" s="13"/>
      <c r="AF844" s="13"/>
      <c r="AG844" s="685"/>
      <c r="AH844" s="688" t="b">
        <f t="shared" si="256"/>
        <v>1</v>
      </c>
    </row>
    <row r="845" spans="1:34" s="1" customFormat="1" ht="15" customHeight="1">
      <c r="A845" s="171"/>
      <c r="B845" s="171"/>
      <c r="C845" s="171"/>
      <c r="D845" s="171"/>
      <c r="E845" s="171"/>
      <c r="F845" s="171"/>
      <c r="G845" s="389"/>
      <c r="H845" s="389"/>
      <c r="I845" s="391"/>
      <c r="J845" s="391"/>
      <c r="K845" s="391"/>
      <c r="L845" s="29"/>
      <c r="M845" s="25"/>
      <c r="N845" s="26"/>
      <c r="O845" s="27"/>
      <c r="P845" s="656"/>
      <c r="Q845" s="658"/>
      <c r="R845" s="249"/>
      <c r="S845" s="692"/>
      <c r="T845" s="190"/>
      <c r="U845" s="196"/>
      <c r="V845" s="11"/>
      <c r="W845" s="12"/>
      <c r="X845" s="194"/>
      <c r="Y845" s="194"/>
      <c r="Z845" s="13"/>
      <c r="AA845" s="13"/>
      <c r="AB845" s="13"/>
      <c r="AC845" s="13"/>
      <c r="AD845" s="13"/>
      <c r="AE845" s="13"/>
      <c r="AF845" s="13"/>
      <c r="AG845" s="685"/>
      <c r="AH845" s="688" t="b">
        <f t="shared" si="256"/>
        <v>1</v>
      </c>
    </row>
    <row r="846" spans="1:34" s="1" customFormat="1" ht="15" customHeight="1">
      <c r="A846" s="171"/>
      <c r="B846" s="171"/>
      <c r="C846" s="171"/>
      <c r="D846" s="171"/>
      <c r="E846" s="171"/>
      <c r="F846" s="171"/>
      <c r="G846" s="389"/>
      <c r="H846" s="389"/>
      <c r="I846" s="391"/>
      <c r="J846" s="391"/>
      <c r="K846" s="391"/>
      <c r="L846" s="29"/>
      <c r="M846" s="25"/>
      <c r="N846" s="26"/>
      <c r="O846" s="27"/>
      <c r="P846" s="656"/>
      <c r="Q846" s="658"/>
      <c r="R846" s="249"/>
      <c r="S846" s="692"/>
      <c r="T846" s="190"/>
      <c r="U846" s="196"/>
      <c r="V846" s="11"/>
      <c r="W846" s="12"/>
      <c r="X846" s="194"/>
      <c r="Y846" s="194"/>
      <c r="Z846" s="13"/>
      <c r="AA846" s="13"/>
      <c r="AB846" s="13"/>
      <c r="AC846" s="13"/>
      <c r="AD846" s="13"/>
      <c r="AE846" s="13"/>
      <c r="AF846" s="13"/>
      <c r="AG846" s="685"/>
      <c r="AH846" s="688" t="b">
        <f t="shared" si="256"/>
        <v>1</v>
      </c>
    </row>
    <row r="847" spans="1:34" s="1" customFormat="1" ht="15" customHeight="1">
      <c r="A847" s="171"/>
      <c r="B847" s="171"/>
      <c r="C847" s="171"/>
      <c r="D847" s="171"/>
      <c r="E847" s="171"/>
      <c r="F847" s="171"/>
      <c r="G847" s="389"/>
      <c r="H847" s="389"/>
      <c r="I847" s="391"/>
      <c r="J847" s="391"/>
      <c r="K847" s="391"/>
      <c r="L847" s="29"/>
      <c r="M847" s="25"/>
      <c r="N847" s="26"/>
      <c r="O847" s="27"/>
      <c r="P847" s="656"/>
      <c r="Q847" s="658"/>
      <c r="R847" s="249"/>
      <c r="S847" s="692"/>
      <c r="T847" s="190"/>
      <c r="U847" s="196"/>
      <c r="V847" s="11"/>
      <c r="W847" s="12"/>
      <c r="X847" s="194"/>
      <c r="Y847" s="194"/>
      <c r="Z847" s="13"/>
      <c r="AA847" s="13"/>
      <c r="AB847" s="13"/>
      <c r="AC847" s="13"/>
      <c r="AD847" s="13"/>
      <c r="AE847" s="13"/>
      <c r="AF847" s="13"/>
      <c r="AG847" s="685"/>
      <c r="AH847" s="688" t="b">
        <f t="shared" si="256"/>
        <v>1</v>
      </c>
    </row>
    <row r="848" spans="1:34" s="1" customFormat="1" ht="15" customHeight="1">
      <c r="A848" s="171"/>
      <c r="B848" s="171"/>
      <c r="C848" s="171"/>
      <c r="D848" s="171"/>
      <c r="E848" s="171"/>
      <c r="F848" s="171"/>
      <c r="G848" s="389"/>
      <c r="H848" s="389"/>
      <c r="I848" s="391"/>
      <c r="J848" s="391"/>
      <c r="K848" s="391"/>
      <c r="L848" s="29"/>
      <c r="M848" s="25"/>
      <c r="N848" s="26"/>
      <c r="O848" s="27"/>
      <c r="P848" s="656"/>
      <c r="Q848" s="658"/>
      <c r="R848" s="249"/>
      <c r="S848" s="692"/>
      <c r="T848" s="190"/>
      <c r="U848" s="196"/>
      <c r="V848" s="11"/>
      <c r="W848" s="12"/>
      <c r="X848" s="194"/>
      <c r="Y848" s="194"/>
      <c r="Z848" s="13"/>
      <c r="AA848" s="13"/>
      <c r="AB848" s="13"/>
      <c r="AC848" s="13"/>
      <c r="AD848" s="13"/>
      <c r="AE848" s="13"/>
      <c r="AF848" s="13"/>
      <c r="AG848" s="685"/>
      <c r="AH848" s="688" t="b">
        <f t="shared" si="256"/>
        <v>1</v>
      </c>
    </row>
    <row r="849" spans="1:34" s="1" customFormat="1" ht="15" customHeight="1">
      <c r="A849" s="171"/>
      <c r="B849" s="171"/>
      <c r="C849" s="171"/>
      <c r="D849" s="171"/>
      <c r="E849" s="171"/>
      <c r="F849" s="171"/>
      <c r="G849" s="389"/>
      <c r="H849" s="389"/>
      <c r="I849" s="391"/>
      <c r="J849" s="391"/>
      <c r="K849" s="391"/>
      <c r="L849" s="29"/>
      <c r="M849" s="25"/>
      <c r="N849" s="26"/>
      <c r="O849" s="27"/>
      <c r="P849" s="656"/>
      <c r="Q849" s="658"/>
      <c r="R849" s="249"/>
      <c r="S849" s="692"/>
      <c r="T849" s="190"/>
      <c r="U849" s="196"/>
      <c r="V849" s="11"/>
      <c r="W849" s="12"/>
      <c r="X849" s="194"/>
      <c r="Y849" s="194"/>
      <c r="Z849" s="13"/>
      <c r="AA849" s="13"/>
      <c r="AB849" s="13"/>
      <c r="AC849" s="13"/>
      <c r="AD849" s="13"/>
      <c r="AE849" s="13"/>
      <c r="AF849" s="13"/>
      <c r="AG849" s="685"/>
      <c r="AH849" s="688" t="b">
        <f t="shared" si="256"/>
        <v>1</v>
      </c>
    </row>
    <row r="850" spans="1:34" s="1" customFormat="1" ht="15" customHeight="1">
      <c r="A850" s="171"/>
      <c r="B850" s="171"/>
      <c r="C850" s="171"/>
      <c r="D850" s="171"/>
      <c r="E850" s="171"/>
      <c r="F850" s="171"/>
      <c r="G850" s="389"/>
      <c r="H850" s="389"/>
      <c r="I850" s="391"/>
      <c r="J850" s="391"/>
      <c r="K850" s="391"/>
      <c r="L850" s="29"/>
      <c r="M850" s="25"/>
      <c r="N850" s="26"/>
      <c r="O850" s="27"/>
      <c r="P850" s="656"/>
      <c r="Q850" s="658"/>
      <c r="R850" s="249"/>
      <c r="S850" s="692"/>
      <c r="T850" s="190"/>
      <c r="U850" s="196"/>
      <c r="V850" s="11"/>
      <c r="W850" s="12"/>
      <c r="X850" s="194"/>
      <c r="Y850" s="194"/>
      <c r="Z850" s="13"/>
      <c r="AA850" s="13"/>
      <c r="AB850" s="13"/>
      <c r="AC850" s="13"/>
      <c r="AD850" s="13"/>
      <c r="AE850" s="13"/>
      <c r="AF850" s="13"/>
      <c r="AG850" s="685"/>
      <c r="AH850" s="688" t="b">
        <f t="shared" si="256"/>
        <v>1</v>
      </c>
    </row>
    <row r="851" spans="1:34" s="1" customFormat="1" ht="15" customHeight="1">
      <c r="A851" s="171"/>
      <c r="B851" s="171"/>
      <c r="C851" s="171"/>
      <c r="D851" s="171"/>
      <c r="E851" s="171"/>
      <c r="F851" s="171"/>
      <c r="G851" s="389"/>
      <c r="H851" s="389"/>
      <c r="I851" s="391"/>
      <c r="J851" s="391"/>
      <c r="K851" s="391"/>
      <c r="L851" s="29"/>
      <c r="M851" s="25"/>
      <c r="N851" s="26"/>
      <c r="O851" s="27"/>
      <c r="P851" s="656"/>
      <c r="Q851" s="658"/>
      <c r="R851" s="249"/>
      <c r="S851" s="692"/>
      <c r="T851" s="190"/>
      <c r="U851" s="196"/>
      <c r="V851" s="11"/>
      <c r="W851" s="12"/>
      <c r="X851" s="194"/>
      <c r="Y851" s="194"/>
      <c r="Z851" s="13"/>
      <c r="AA851" s="13"/>
      <c r="AB851" s="13"/>
      <c r="AC851" s="13"/>
      <c r="AD851" s="13"/>
      <c r="AE851" s="13"/>
      <c r="AF851" s="13"/>
      <c r="AG851" s="685"/>
      <c r="AH851" s="688" t="b">
        <f t="shared" si="256"/>
        <v>1</v>
      </c>
    </row>
    <row r="852" spans="1:34" s="1" customFormat="1" ht="15" customHeight="1">
      <c r="A852" s="171"/>
      <c r="B852" s="171"/>
      <c r="C852" s="171"/>
      <c r="D852" s="171"/>
      <c r="E852" s="171"/>
      <c r="F852" s="171"/>
      <c r="G852" s="389"/>
      <c r="H852" s="389"/>
      <c r="I852" s="391"/>
      <c r="J852" s="391"/>
      <c r="K852" s="391"/>
      <c r="L852" s="29"/>
      <c r="M852" s="25"/>
      <c r="N852" s="26"/>
      <c r="O852" s="27"/>
      <c r="P852" s="656"/>
      <c r="Q852" s="658"/>
      <c r="R852" s="249"/>
      <c r="S852" s="692"/>
      <c r="T852" s="190"/>
      <c r="U852" s="196"/>
      <c r="V852" s="11"/>
      <c r="W852" s="12"/>
      <c r="X852" s="194"/>
      <c r="Y852" s="194"/>
      <c r="Z852" s="13"/>
      <c r="AA852" s="13"/>
      <c r="AB852" s="13"/>
      <c r="AC852" s="13"/>
      <c r="AD852" s="13"/>
      <c r="AE852" s="13"/>
      <c r="AF852" s="13"/>
      <c r="AG852" s="685"/>
      <c r="AH852" s="688" t="b">
        <f t="shared" si="256"/>
        <v>1</v>
      </c>
    </row>
    <row r="853" spans="1:34" s="1" customFormat="1" ht="15" customHeight="1">
      <c r="A853" s="171"/>
      <c r="B853" s="171"/>
      <c r="C853" s="171"/>
      <c r="D853" s="171"/>
      <c r="E853" s="171"/>
      <c r="F853" s="171"/>
      <c r="G853" s="389"/>
      <c r="H853" s="389"/>
      <c r="I853" s="391"/>
      <c r="J853" s="391"/>
      <c r="K853" s="391"/>
      <c r="L853" s="29"/>
      <c r="M853" s="25"/>
      <c r="N853" s="26"/>
      <c r="O853" s="27"/>
      <c r="P853" s="656"/>
      <c r="Q853" s="658"/>
      <c r="R853" s="249"/>
      <c r="S853" s="692"/>
      <c r="T853" s="190"/>
      <c r="U853" s="196"/>
      <c r="V853" s="11"/>
      <c r="W853" s="12"/>
      <c r="X853" s="194"/>
      <c r="Y853" s="194"/>
      <c r="Z853" s="13"/>
      <c r="AA853" s="13"/>
      <c r="AB853" s="13"/>
      <c r="AC853" s="13"/>
      <c r="AD853" s="13"/>
      <c r="AE853" s="13"/>
      <c r="AF853" s="13"/>
      <c r="AG853" s="685"/>
      <c r="AH853" s="688" t="b">
        <f t="shared" si="256"/>
        <v>1</v>
      </c>
    </row>
    <row r="854" spans="1:34" s="1" customFormat="1" ht="15" customHeight="1">
      <c r="A854" s="171"/>
      <c r="B854" s="171"/>
      <c r="C854" s="171"/>
      <c r="D854" s="171"/>
      <c r="E854" s="171"/>
      <c r="F854" s="171"/>
      <c r="G854" s="389"/>
      <c r="H854" s="389"/>
      <c r="I854" s="391"/>
      <c r="J854" s="391"/>
      <c r="K854" s="391"/>
      <c r="L854" s="29"/>
      <c r="M854" s="25"/>
      <c r="N854" s="26"/>
      <c r="O854" s="27"/>
      <c r="P854" s="656"/>
      <c r="Q854" s="658"/>
      <c r="R854" s="249"/>
      <c r="S854" s="692"/>
      <c r="T854" s="190"/>
      <c r="U854" s="196"/>
      <c r="V854" s="11"/>
      <c r="W854" s="12"/>
      <c r="X854" s="194"/>
      <c r="Y854" s="194"/>
      <c r="Z854" s="13"/>
      <c r="AA854" s="13"/>
      <c r="AB854" s="13"/>
      <c r="AC854" s="13"/>
      <c r="AD854" s="13"/>
      <c r="AE854" s="13"/>
      <c r="AF854" s="13"/>
      <c r="AG854" s="685"/>
      <c r="AH854" s="688" t="b">
        <f t="shared" si="256"/>
        <v>1</v>
      </c>
    </row>
    <row r="855" spans="1:34" s="1" customFormat="1" ht="15" customHeight="1">
      <c r="A855" s="171"/>
      <c r="B855" s="171"/>
      <c r="C855" s="171"/>
      <c r="D855" s="171"/>
      <c r="E855" s="171"/>
      <c r="F855" s="171"/>
      <c r="G855" s="389"/>
      <c r="H855" s="389"/>
      <c r="I855" s="391"/>
      <c r="J855" s="391"/>
      <c r="K855" s="391"/>
      <c r="L855" s="29"/>
      <c r="M855" s="25"/>
      <c r="N855" s="26"/>
      <c r="O855" s="27"/>
      <c r="P855" s="656"/>
      <c r="Q855" s="658"/>
      <c r="R855" s="249"/>
      <c r="S855" s="692"/>
      <c r="T855" s="190"/>
      <c r="U855" s="196"/>
      <c r="V855" s="11"/>
      <c r="W855" s="12"/>
      <c r="X855" s="194"/>
      <c r="Y855" s="194"/>
      <c r="Z855" s="13"/>
      <c r="AA855" s="13"/>
      <c r="AB855" s="13"/>
      <c r="AC855" s="13"/>
      <c r="AD855" s="13"/>
      <c r="AE855" s="13"/>
      <c r="AF855" s="13"/>
      <c r="AG855" s="685"/>
      <c r="AH855" s="688" t="b">
        <f t="shared" si="256"/>
        <v>1</v>
      </c>
    </row>
    <row r="856" spans="1:34" s="1" customFormat="1" ht="15" customHeight="1">
      <c r="A856" s="171"/>
      <c r="B856" s="171"/>
      <c r="C856" s="171"/>
      <c r="D856" s="171"/>
      <c r="E856" s="171"/>
      <c r="F856" s="171"/>
      <c r="G856" s="389"/>
      <c r="H856" s="389"/>
      <c r="I856" s="391"/>
      <c r="J856" s="391"/>
      <c r="K856" s="391"/>
      <c r="L856" s="29"/>
      <c r="M856" s="25"/>
      <c r="N856" s="26"/>
      <c r="O856" s="27"/>
      <c r="P856" s="656"/>
      <c r="Q856" s="658"/>
      <c r="R856" s="249"/>
      <c r="S856" s="692"/>
      <c r="T856" s="190"/>
      <c r="U856" s="196"/>
      <c r="V856" s="11"/>
      <c r="W856" s="12"/>
      <c r="X856" s="194"/>
      <c r="Y856" s="194"/>
      <c r="Z856" s="13"/>
      <c r="AA856" s="13"/>
      <c r="AB856" s="13"/>
      <c r="AC856" s="13"/>
      <c r="AD856" s="13"/>
      <c r="AE856" s="13"/>
      <c r="AF856" s="13"/>
      <c r="AG856" s="685"/>
      <c r="AH856" s="688" t="b">
        <f t="shared" si="256"/>
        <v>1</v>
      </c>
    </row>
    <row r="857" spans="1:34" s="1" customFormat="1" ht="15" customHeight="1">
      <c r="A857" s="171"/>
      <c r="B857" s="171"/>
      <c r="C857" s="171"/>
      <c r="D857" s="171"/>
      <c r="E857" s="171"/>
      <c r="F857" s="171"/>
      <c r="G857" s="389"/>
      <c r="H857" s="389"/>
      <c r="I857" s="391"/>
      <c r="J857" s="391"/>
      <c r="K857" s="391"/>
      <c r="L857" s="29"/>
      <c r="M857" s="25"/>
      <c r="N857" s="26"/>
      <c r="O857" s="27"/>
      <c r="P857" s="656"/>
      <c r="Q857" s="658"/>
      <c r="R857" s="249"/>
      <c r="S857" s="692"/>
      <c r="T857" s="190"/>
      <c r="U857" s="196"/>
      <c r="V857" s="11"/>
      <c r="W857" s="12"/>
      <c r="X857" s="194"/>
      <c r="Y857" s="194"/>
      <c r="Z857" s="13"/>
      <c r="AA857" s="13"/>
      <c r="AB857" s="13"/>
      <c r="AC857" s="13"/>
      <c r="AD857" s="13"/>
      <c r="AE857" s="13"/>
      <c r="AF857" s="13"/>
      <c r="AG857" s="685"/>
      <c r="AH857" s="688" t="b">
        <f t="shared" si="256"/>
        <v>1</v>
      </c>
    </row>
    <row r="858" spans="1:34" s="1" customFormat="1" ht="15" customHeight="1">
      <c r="A858" s="171"/>
      <c r="B858" s="171"/>
      <c r="C858" s="171"/>
      <c r="D858" s="171"/>
      <c r="E858" s="171"/>
      <c r="F858" s="171"/>
      <c r="G858" s="389"/>
      <c r="H858" s="389"/>
      <c r="I858" s="391"/>
      <c r="J858" s="391"/>
      <c r="K858" s="391"/>
      <c r="L858" s="29"/>
      <c r="M858" s="25"/>
      <c r="N858" s="26"/>
      <c r="O858" s="27"/>
      <c r="P858" s="656"/>
      <c r="Q858" s="658"/>
      <c r="R858" s="249"/>
      <c r="S858" s="692"/>
      <c r="T858" s="190"/>
      <c r="U858" s="196"/>
      <c r="V858" s="11"/>
      <c r="W858" s="12"/>
      <c r="X858" s="194"/>
      <c r="Y858" s="194"/>
      <c r="Z858" s="13"/>
      <c r="AA858" s="13"/>
      <c r="AB858" s="13"/>
      <c r="AC858" s="13"/>
      <c r="AD858" s="13"/>
      <c r="AE858" s="13"/>
      <c r="AF858" s="13"/>
      <c r="AG858" s="685"/>
      <c r="AH858" s="688" t="b">
        <f t="shared" si="256"/>
        <v>1</v>
      </c>
    </row>
    <row r="859" spans="1:34" s="1" customFormat="1" ht="15" customHeight="1">
      <c r="A859" s="171"/>
      <c r="B859" s="171"/>
      <c r="C859" s="171"/>
      <c r="D859" s="171"/>
      <c r="E859" s="171"/>
      <c r="F859" s="171"/>
      <c r="G859" s="389"/>
      <c r="H859" s="389"/>
      <c r="I859" s="391"/>
      <c r="J859" s="391"/>
      <c r="K859" s="391"/>
      <c r="L859" s="29"/>
      <c r="M859" s="25"/>
      <c r="N859" s="26"/>
      <c r="O859" s="27"/>
      <c r="P859" s="656"/>
      <c r="Q859" s="658"/>
      <c r="R859" s="249"/>
      <c r="S859" s="692"/>
      <c r="T859" s="190"/>
      <c r="U859" s="196"/>
      <c r="V859" s="11"/>
      <c r="W859" s="12"/>
      <c r="X859" s="194"/>
      <c r="Y859" s="194"/>
      <c r="Z859" s="13"/>
      <c r="AA859" s="13"/>
      <c r="AB859" s="13"/>
      <c r="AC859" s="13"/>
      <c r="AD859" s="13"/>
      <c r="AE859" s="13"/>
      <c r="AF859" s="13"/>
      <c r="AG859" s="685"/>
      <c r="AH859" s="688" t="b">
        <f t="shared" si="256"/>
        <v>1</v>
      </c>
    </row>
    <row r="860" spans="1:34" s="1" customFormat="1" ht="15" customHeight="1">
      <c r="A860" s="171"/>
      <c r="B860" s="171"/>
      <c r="C860" s="171"/>
      <c r="D860" s="171"/>
      <c r="E860" s="171"/>
      <c r="F860" s="171"/>
      <c r="G860" s="389"/>
      <c r="H860" s="389"/>
      <c r="I860" s="391"/>
      <c r="J860" s="391"/>
      <c r="K860" s="391"/>
      <c r="L860" s="29"/>
      <c r="M860" s="25"/>
      <c r="N860" s="26"/>
      <c r="O860" s="27"/>
      <c r="P860" s="656"/>
      <c r="Q860" s="658"/>
      <c r="R860" s="249"/>
      <c r="S860" s="692"/>
      <c r="T860" s="190"/>
      <c r="U860" s="196"/>
      <c r="V860" s="11"/>
      <c r="W860" s="12"/>
      <c r="X860" s="194"/>
      <c r="Y860" s="194"/>
      <c r="Z860" s="13"/>
      <c r="AA860" s="13"/>
      <c r="AB860" s="13"/>
      <c r="AC860" s="13"/>
      <c r="AD860" s="13"/>
      <c r="AE860" s="13"/>
      <c r="AF860" s="13"/>
      <c r="AG860" s="685"/>
      <c r="AH860" s="688" t="b">
        <f t="shared" si="256"/>
        <v>1</v>
      </c>
    </row>
    <row r="861" spans="1:34" s="1" customFormat="1" ht="15" customHeight="1">
      <c r="A861" s="171"/>
      <c r="B861" s="171"/>
      <c r="C861" s="171"/>
      <c r="D861" s="171"/>
      <c r="E861" s="171"/>
      <c r="F861" s="171"/>
      <c r="G861" s="389"/>
      <c r="H861" s="389"/>
      <c r="I861" s="391"/>
      <c r="J861" s="391"/>
      <c r="K861" s="391"/>
      <c r="L861" s="29"/>
      <c r="M861" s="25"/>
      <c r="N861" s="26"/>
      <c r="O861" s="27"/>
      <c r="P861" s="656"/>
      <c r="Q861" s="658"/>
      <c r="R861" s="249"/>
      <c r="S861" s="692"/>
      <c r="T861" s="190"/>
      <c r="U861" s="196"/>
      <c r="V861" s="11"/>
      <c r="W861" s="12"/>
      <c r="X861" s="194"/>
      <c r="Y861" s="194"/>
      <c r="Z861" s="13"/>
      <c r="AA861" s="13"/>
      <c r="AB861" s="13"/>
      <c r="AC861" s="13"/>
      <c r="AD861" s="13"/>
      <c r="AE861" s="13"/>
      <c r="AF861" s="13"/>
      <c r="AG861" s="685"/>
      <c r="AH861" s="688" t="b">
        <f t="shared" si="256"/>
        <v>1</v>
      </c>
    </row>
    <row r="862" spans="1:34" s="1" customFormat="1" ht="15" customHeight="1">
      <c r="A862" s="171"/>
      <c r="B862" s="171"/>
      <c r="C862" s="171"/>
      <c r="D862" s="171"/>
      <c r="E862" s="171"/>
      <c r="F862" s="171"/>
      <c r="G862" s="389"/>
      <c r="H862" s="389"/>
      <c r="I862" s="391"/>
      <c r="J862" s="391"/>
      <c r="K862" s="391"/>
      <c r="L862" s="29"/>
      <c r="M862" s="25"/>
      <c r="N862" s="26"/>
      <c r="O862" s="27"/>
      <c r="P862" s="656"/>
      <c r="Q862" s="658"/>
      <c r="R862" s="249"/>
      <c r="S862" s="692"/>
      <c r="T862" s="190"/>
      <c r="U862" s="196"/>
      <c r="V862" s="11"/>
      <c r="W862" s="12"/>
      <c r="X862" s="194"/>
      <c r="Y862" s="194"/>
      <c r="Z862" s="13"/>
      <c r="AA862" s="13"/>
      <c r="AB862" s="13"/>
      <c r="AC862" s="13"/>
      <c r="AD862" s="13"/>
      <c r="AE862" s="13"/>
      <c r="AF862" s="13"/>
      <c r="AG862" s="685"/>
      <c r="AH862" s="688" t="b">
        <f t="shared" si="256"/>
        <v>1</v>
      </c>
    </row>
    <row r="863" spans="1:34" s="1" customFormat="1" ht="15" customHeight="1">
      <c r="A863" s="171"/>
      <c r="B863" s="171"/>
      <c r="C863" s="171"/>
      <c r="D863" s="171"/>
      <c r="E863" s="171"/>
      <c r="F863" s="171"/>
      <c r="G863" s="389"/>
      <c r="H863" s="389"/>
      <c r="I863" s="391"/>
      <c r="J863" s="391"/>
      <c r="K863" s="391"/>
      <c r="L863" s="29"/>
      <c r="M863" s="25"/>
      <c r="N863" s="26"/>
      <c r="O863" s="27"/>
      <c r="P863" s="656"/>
      <c r="Q863" s="658"/>
      <c r="R863" s="249"/>
      <c r="S863" s="692"/>
      <c r="T863" s="190"/>
      <c r="U863" s="196"/>
      <c r="V863" s="11"/>
      <c r="W863" s="12"/>
      <c r="X863" s="194"/>
      <c r="Y863" s="194"/>
      <c r="Z863" s="13"/>
      <c r="AA863" s="13"/>
      <c r="AB863" s="13"/>
      <c r="AC863" s="13"/>
      <c r="AD863" s="13"/>
      <c r="AE863" s="13"/>
      <c r="AF863" s="13"/>
      <c r="AG863" s="685"/>
      <c r="AH863" s="688" t="b">
        <f t="shared" si="256"/>
        <v>1</v>
      </c>
    </row>
    <row r="864" spans="1:34" s="1" customFormat="1" ht="15" customHeight="1">
      <c r="A864" s="171"/>
      <c r="B864" s="171"/>
      <c r="C864" s="171"/>
      <c r="D864" s="171"/>
      <c r="E864" s="171"/>
      <c r="F864" s="171"/>
      <c r="G864" s="389"/>
      <c r="H864" s="389"/>
      <c r="I864" s="391"/>
      <c r="J864" s="391"/>
      <c r="K864" s="391"/>
      <c r="L864" s="29"/>
      <c r="M864" s="25"/>
      <c r="N864" s="26"/>
      <c r="O864" s="27"/>
      <c r="P864" s="656"/>
      <c r="Q864" s="658"/>
      <c r="R864" s="249"/>
      <c r="S864" s="692"/>
      <c r="T864" s="190"/>
      <c r="U864" s="196"/>
      <c r="V864" s="11"/>
      <c r="W864" s="12"/>
      <c r="X864" s="194"/>
      <c r="Y864" s="194"/>
      <c r="Z864" s="13"/>
      <c r="AA864" s="13"/>
      <c r="AB864" s="13"/>
      <c r="AC864" s="13"/>
      <c r="AD864" s="13"/>
      <c r="AE864" s="13"/>
      <c r="AF864" s="13"/>
      <c r="AG864" s="685"/>
      <c r="AH864" s="688" t="b">
        <f t="shared" si="256"/>
        <v>1</v>
      </c>
    </row>
    <row r="865" spans="1:34" s="1" customFormat="1" ht="15" customHeight="1">
      <c r="A865" s="171"/>
      <c r="B865" s="171"/>
      <c r="C865" s="171"/>
      <c r="D865" s="171"/>
      <c r="E865" s="171"/>
      <c r="F865" s="171"/>
      <c r="G865" s="389"/>
      <c r="H865" s="389"/>
      <c r="I865" s="391"/>
      <c r="J865" s="391"/>
      <c r="K865" s="391"/>
      <c r="L865" s="29"/>
      <c r="M865" s="25"/>
      <c r="N865" s="26"/>
      <c r="O865" s="27"/>
      <c r="P865" s="656"/>
      <c r="Q865" s="658"/>
      <c r="R865" s="249"/>
      <c r="S865" s="692"/>
      <c r="T865" s="190"/>
      <c r="U865" s="196"/>
      <c r="V865" s="11"/>
      <c r="W865" s="12"/>
      <c r="X865" s="194"/>
      <c r="Y865" s="194"/>
      <c r="Z865" s="13"/>
      <c r="AA865" s="13"/>
      <c r="AB865" s="13"/>
      <c r="AC865" s="13"/>
      <c r="AD865" s="13"/>
      <c r="AE865" s="13"/>
      <c r="AF865" s="13"/>
      <c r="AG865" s="685"/>
      <c r="AH865" s="688" t="b">
        <f t="shared" si="256"/>
        <v>1</v>
      </c>
    </row>
    <row r="866" spans="1:34" s="1" customFormat="1" ht="15" customHeight="1">
      <c r="A866" s="575"/>
      <c r="B866" s="575"/>
      <c r="C866" s="575"/>
      <c r="D866" s="575"/>
      <c r="E866" s="575"/>
      <c r="F866" s="575"/>
      <c r="G866" s="576"/>
      <c r="H866" s="576"/>
      <c r="I866" s="577"/>
      <c r="J866" s="577"/>
      <c r="K866" s="577"/>
      <c r="L866" s="29"/>
      <c r="M866" s="25"/>
      <c r="N866" s="26"/>
      <c r="O866" s="27"/>
      <c r="P866" s="656"/>
      <c r="Q866" s="658"/>
      <c r="R866" s="249"/>
      <c r="S866" s="692"/>
      <c r="T866" s="190"/>
      <c r="U866" s="196"/>
      <c r="V866" s="11"/>
      <c r="W866" s="12"/>
      <c r="X866" s="194"/>
      <c r="Y866" s="194"/>
      <c r="Z866" s="13"/>
      <c r="AA866" s="13"/>
      <c r="AB866" s="13"/>
      <c r="AC866" s="13"/>
      <c r="AD866" s="13"/>
      <c r="AE866" s="13"/>
      <c r="AF866" s="13"/>
      <c r="AG866" s="685"/>
      <c r="AH866" s="688" t="b">
        <f t="shared" si="256"/>
        <v>1</v>
      </c>
    </row>
    <row r="867" spans="1:34" s="1" customFormat="1" ht="15" customHeight="1">
      <c r="A867" s="171"/>
      <c r="B867" s="171"/>
      <c r="C867" s="171"/>
      <c r="D867" s="171"/>
      <c r="E867" s="171"/>
      <c r="F867" s="171"/>
      <c r="G867" s="389"/>
      <c r="H867" s="389"/>
      <c r="I867" s="391"/>
      <c r="J867" s="391"/>
      <c r="K867" s="391"/>
      <c r="L867" s="29"/>
      <c r="M867" s="25"/>
      <c r="N867" s="26"/>
      <c r="O867" s="27"/>
      <c r="P867" s="656"/>
      <c r="Q867" s="658"/>
      <c r="R867" s="249"/>
      <c r="S867" s="692"/>
      <c r="T867" s="190"/>
      <c r="U867" s="196"/>
      <c r="V867" s="11"/>
      <c r="W867" s="12"/>
      <c r="X867" s="194"/>
      <c r="Y867" s="194"/>
      <c r="Z867" s="13"/>
      <c r="AA867" s="13"/>
      <c r="AB867" s="13"/>
      <c r="AC867" s="13"/>
      <c r="AD867" s="13"/>
      <c r="AE867" s="13"/>
      <c r="AF867" s="13"/>
      <c r="AG867" s="685"/>
      <c r="AH867" s="688" t="b">
        <f t="shared" si="256"/>
        <v>1</v>
      </c>
    </row>
    <row r="868" spans="1:34" s="1" customFormat="1" ht="15" customHeight="1">
      <c r="A868" s="171"/>
      <c r="B868" s="171"/>
      <c r="C868" s="171"/>
      <c r="D868" s="171"/>
      <c r="E868" s="171"/>
      <c r="F868" s="171"/>
      <c r="G868" s="389"/>
      <c r="H868" s="389"/>
      <c r="I868" s="391"/>
      <c r="J868" s="391"/>
      <c r="K868" s="391"/>
      <c r="L868" s="29"/>
      <c r="M868" s="25"/>
      <c r="N868" s="26"/>
      <c r="O868" s="27"/>
      <c r="P868" s="656"/>
      <c r="Q868" s="658"/>
      <c r="R868" s="249"/>
      <c r="S868" s="692"/>
      <c r="T868" s="190"/>
      <c r="U868" s="196"/>
      <c r="V868" s="11"/>
      <c r="W868" s="12"/>
      <c r="X868" s="194"/>
      <c r="Y868" s="194"/>
      <c r="Z868" s="13"/>
      <c r="AA868" s="13"/>
      <c r="AB868" s="13"/>
      <c r="AC868" s="13"/>
      <c r="AD868" s="13"/>
      <c r="AE868" s="13"/>
      <c r="AF868" s="13"/>
      <c r="AG868" s="685"/>
      <c r="AH868" s="688" t="b">
        <f t="shared" si="256"/>
        <v>1</v>
      </c>
    </row>
    <row r="869" spans="1:34" s="1" customFormat="1" ht="15" customHeight="1">
      <c r="A869" s="171"/>
      <c r="B869" s="171"/>
      <c r="C869" s="171"/>
      <c r="D869" s="171"/>
      <c r="E869" s="171"/>
      <c r="F869" s="171"/>
      <c r="G869" s="389"/>
      <c r="H869" s="389"/>
      <c r="I869" s="391"/>
      <c r="J869" s="391"/>
      <c r="K869" s="391"/>
      <c r="L869" s="29"/>
      <c r="M869" s="25"/>
      <c r="N869" s="26"/>
      <c r="O869" s="27"/>
      <c r="P869" s="656"/>
      <c r="Q869" s="658"/>
      <c r="R869" s="249"/>
      <c r="S869" s="692"/>
      <c r="T869" s="190"/>
      <c r="U869" s="196"/>
      <c r="V869" s="11"/>
      <c r="W869" s="12"/>
      <c r="X869" s="194"/>
      <c r="Y869" s="194"/>
      <c r="Z869" s="13"/>
      <c r="AA869" s="13"/>
      <c r="AB869" s="13"/>
      <c r="AC869" s="13"/>
      <c r="AD869" s="13"/>
      <c r="AE869" s="13"/>
      <c r="AF869" s="13"/>
      <c r="AG869" s="685"/>
      <c r="AH869" s="688" t="b">
        <f t="shared" si="256"/>
        <v>1</v>
      </c>
    </row>
    <row r="870" spans="1:34" s="1" customFormat="1" ht="15" customHeight="1">
      <c r="A870" s="171"/>
      <c r="B870" s="171"/>
      <c r="C870" s="171"/>
      <c r="D870" s="171"/>
      <c r="E870" s="171"/>
      <c r="F870" s="171"/>
      <c r="G870" s="389"/>
      <c r="H870" s="389"/>
      <c r="I870" s="391"/>
      <c r="J870" s="391"/>
      <c r="K870" s="391"/>
      <c r="L870" s="29"/>
      <c r="M870" s="25"/>
      <c r="N870" s="26"/>
      <c r="O870" s="27"/>
      <c r="P870" s="656"/>
      <c r="Q870" s="658"/>
      <c r="R870" s="249"/>
      <c r="S870" s="692"/>
      <c r="T870" s="190"/>
      <c r="U870" s="196"/>
      <c r="V870" s="11"/>
      <c r="W870" s="12"/>
      <c r="X870" s="194"/>
      <c r="Y870" s="194"/>
      <c r="Z870" s="13"/>
      <c r="AA870" s="13"/>
      <c r="AB870" s="13"/>
      <c r="AC870" s="13"/>
      <c r="AD870" s="13"/>
      <c r="AE870" s="13"/>
      <c r="AF870" s="13"/>
      <c r="AG870" s="685"/>
      <c r="AH870" s="688" t="b">
        <f t="shared" si="256"/>
        <v>1</v>
      </c>
    </row>
    <row r="871" spans="1:34" s="1" customFormat="1" ht="15" customHeight="1">
      <c r="A871" s="171"/>
      <c r="B871" s="171"/>
      <c r="C871" s="171"/>
      <c r="D871" s="171"/>
      <c r="E871" s="171"/>
      <c r="F871" s="171"/>
      <c r="G871" s="389"/>
      <c r="H871" s="389"/>
      <c r="I871" s="391"/>
      <c r="J871" s="391"/>
      <c r="K871" s="391"/>
      <c r="L871" s="29"/>
      <c r="M871" s="25"/>
      <c r="N871" s="26"/>
      <c r="O871" s="27"/>
      <c r="P871" s="656"/>
      <c r="Q871" s="658"/>
      <c r="R871" s="249"/>
      <c r="S871" s="692"/>
      <c r="T871" s="190"/>
      <c r="U871" s="196"/>
      <c r="V871" s="11"/>
      <c r="W871" s="12"/>
      <c r="X871" s="194"/>
      <c r="Y871" s="194"/>
      <c r="Z871" s="13"/>
      <c r="AA871" s="13"/>
      <c r="AB871" s="13"/>
      <c r="AC871" s="13"/>
      <c r="AD871" s="13"/>
      <c r="AE871" s="13"/>
      <c r="AF871" s="13"/>
      <c r="AG871" s="685"/>
      <c r="AH871" s="688" t="b">
        <f t="shared" si="256"/>
        <v>1</v>
      </c>
    </row>
    <row r="872" spans="1:34" s="1" customFormat="1" ht="15" customHeight="1">
      <c r="A872" s="171"/>
      <c r="B872" s="171"/>
      <c r="C872" s="171"/>
      <c r="D872" s="171"/>
      <c r="E872" s="171"/>
      <c r="F872" s="171"/>
      <c r="G872" s="389"/>
      <c r="H872" s="389"/>
      <c r="I872" s="391"/>
      <c r="J872" s="391"/>
      <c r="K872" s="391"/>
      <c r="L872" s="29"/>
      <c r="M872" s="25"/>
      <c r="N872" s="26"/>
      <c r="O872" s="27"/>
      <c r="P872" s="656"/>
      <c r="Q872" s="658"/>
      <c r="R872" s="249"/>
      <c r="S872" s="692"/>
      <c r="T872" s="190"/>
      <c r="U872" s="196"/>
      <c r="V872" s="11"/>
      <c r="W872" s="12"/>
      <c r="X872" s="194"/>
      <c r="Y872" s="194"/>
      <c r="Z872" s="13"/>
      <c r="AA872" s="13"/>
      <c r="AB872" s="13"/>
      <c r="AC872" s="13"/>
      <c r="AD872" s="13"/>
      <c r="AE872" s="13"/>
      <c r="AF872" s="13"/>
      <c r="AG872" s="685"/>
      <c r="AH872" s="688" t="b">
        <f t="shared" si="256"/>
        <v>1</v>
      </c>
    </row>
    <row r="873" spans="1:34" s="1" customFormat="1" ht="15" customHeight="1">
      <c r="A873" s="171"/>
      <c r="B873" s="171"/>
      <c r="C873" s="171"/>
      <c r="D873" s="171"/>
      <c r="E873" s="171"/>
      <c r="F873" s="171"/>
      <c r="G873" s="389"/>
      <c r="H873" s="389"/>
      <c r="I873" s="390"/>
      <c r="J873" s="390"/>
      <c r="K873" s="391"/>
      <c r="L873" s="29"/>
      <c r="M873" s="25"/>
      <c r="N873" s="26"/>
      <c r="O873" s="27"/>
      <c r="P873" s="656"/>
      <c r="Q873" s="658"/>
      <c r="R873" s="249"/>
      <c r="S873" s="692"/>
      <c r="T873" s="190"/>
      <c r="U873" s="196"/>
      <c r="V873" s="11"/>
      <c r="W873" s="12"/>
      <c r="X873" s="194"/>
      <c r="Y873" s="194"/>
      <c r="Z873" s="13"/>
      <c r="AA873" s="13"/>
      <c r="AB873" s="13"/>
      <c r="AC873" s="13"/>
      <c r="AD873" s="13"/>
      <c r="AE873" s="13"/>
      <c r="AF873" s="13"/>
      <c r="AG873" s="685"/>
      <c r="AH873" s="688" t="b">
        <f t="shared" si="256"/>
        <v>1</v>
      </c>
    </row>
    <row r="874" spans="1:34" s="1" customFormat="1" ht="15" customHeight="1" thickBot="1">
      <c r="A874" s="171"/>
      <c r="B874" s="171"/>
      <c r="C874" s="171"/>
      <c r="D874" s="171"/>
      <c r="E874" s="171"/>
      <c r="F874" s="171"/>
      <c r="G874" s="389"/>
      <c r="H874" s="389"/>
      <c r="I874" s="390"/>
      <c r="J874" s="390"/>
      <c r="K874" s="391"/>
      <c r="L874" s="673"/>
      <c r="M874" s="674"/>
      <c r="N874" s="675"/>
      <c r="O874" s="676"/>
      <c r="P874" s="657"/>
      <c r="Q874" s="677"/>
      <c r="R874" s="487"/>
      <c r="S874" s="693"/>
      <c r="T874" s="488"/>
      <c r="U874" s="489"/>
      <c r="V874" s="490"/>
      <c r="W874" s="491"/>
      <c r="X874" s="492"/>
      <c r="Y874" s="492"/>
      <c r="Z874" s="493"/>
      <c r="AA874" s="493"/>
      <c r="AB874" s="493"/>
      <c r="AC874" s="493"/>
      <c r="AD874" s="493"/>
      <c r="AE874" s="493"/>
      <c r="AF874" s="493"/>
      <c r="AG874" s="686"/>
      <c r="AH874" s="689" t="b">
        <f t="shared" si="256"/>
        <v>1</v>
      </c>
    </row>
    <row r="875" spans="1:34" ht="17.25" thickTop="1"/>
    <row r="876" spans="1:34" s="1" customFormat="1">
      <c r="A876" s="14"/>
      <c r="B876" s="14"/>
      <c r="C876" s="14"/>
      <c r="D876" s="14"/>
      <c r="E876" s="14"/>
      <c r="F876" s="15"/>
      <c r="G876" s="15"/>
      <c r="H876" s="18"/>
      <c r="I876" s="374"/>
      <c r="J876" s="172"/>
      <c r="K876" s="172"/>
      <c r="L876" s="4"/>
      <c r="M876" s="4"/>
      <c r="N876" s="4"/>
      <c r="O876" s="4"/>
      <c r="P876" s="4"/>
      <c r="Q876" s="4"/>
      <c r="R876" s="4"/>
      <c r="S876" s="690"/>
      <c r="T876" s="4"/>
      <c r="U876" s="4"/>
      <c r="V876" s="694"/>
      <c r="W876" s="7"/>
      <c r="X876" s="17"/>
      <c r="Y876" s="7"/>
      <c r="Z876" s="7"/>
      <c r="AA876" s="7"/>
      <c r="AB876" s="7"/>
      <c r="AC876" s="7"/>
      <c r="AD876" s="7"/>
      <c r="AE876" s="7"/>
      <c r="AF876" s="7"/>
      <c r="AG876" s="7"/>
      <c r="AH876" s="14"/>
    </row>
    <row r="877" spans="1:34" s="1" customFormat="1" ht="22.5" customHeight="1">
      <c r="A877" s="14"/>
      <c r="B877" s="14"/>
      <c r="C877" s="14"/>
      <c r="D877" s="14"/>
      <c r="E877" s="14"/>
      <c r="F877" s="15"/>
      <c r="G877" s="15"/>
      <c r="H877" s="16"/>
      <c r="I877" s="174"/>
      <c r="J877" s="172"/>
      <c r="K877" s="172"/>
      <c r="L877" s="4"/>
      <c r="M877" s="4"/>
      <c r="N877" s="4"/>
      <c r="O877" s="4"/>
      <c r="P877" s="4"/>
      <c r="Q877" s="4"/>
      <c r="R877" s="4"/>
      <c r="S877" s="690"/>
      <c r="T877" s="4"/>
      <c r="U877" s="4"/>
      <c r="V877" s="694"/>
      <c r="W877" s="7"/>
      <c r="X877" s="17"/>
      <c r="Y877" s="7"/>
      <c r="Z877" s="7"/>
      <c r="AA877" s="7"/>
      <c r="AB877" s="7"/>
      <c r="AC877" s="7"/>
      <c r="AD877" s="7"/>
      <c r="AE877" s="7"/>
      <c r="AF877" s="7"/>
      <c r="AG877" s="7"/>
      <c r="AH877" s="14"/>
    </row>
    <row r="878" spans="1:34" s="1" customFormat="1">
      <c r="A878" s="14"/>
      <c r="B878" s="14"/>
      <c r="C878" s="14"/>
      <c r="D878" s="14"/>
      <c r="E878" s="14"/>
      <c r="F878" s="15"/>
      <c r="G878" s="15"/>
      <c r="H878" s="16"/>
      <c r="I878" s="174"/>
      <c r="J878" s="172"/>
      <c r="K878" s="172"/>
      <c r="L878" s="4"/>
      <c r="M878" s="4"/>
      <c r="N878" s="4"/>
      <c r="O878" s="4"/>
      <c r="P878" s="4"/>
      <c r="Q878" s="4"/>
      <c r="R878" s="4"/>
      <c r="S878" s="690"/>
      <c r="T878" s="4"/>
      <c r="U878" s="4"/>
      <c r="V878" s="694"/>
      <c r="W878" s="7"/>
      <c r="X878" s="7"/>
      <c r="Y878" s="7"/>
      <c r="Z878" s="7"/>
      <c r="AA878" s="7"/>
      <c r="AB878" s="7"/>
      <c r="AC878" s="7"/>
      <c r="AD878" s="7"/>
      <c r="AE878" s="7"/>
      <c r="AF878" s="7"/>
      <c r="AG878" s="7"/>
      <c r="AH878" s="14"/>
    </row>
    <row r="882" spans="8:8">
      <c r="H882" s="376"/>
    </row>
    <row r="902" ht="17.45" customHeight="1"/>
    <row r="938" spans="1:34" s="1" customFormat="1">
      <c r="A938" s="14"/>
      <c r="B938" s="14"/>
      <c r="C938" s="14"/>
      <c r="D938" s="14"/>
      <c r="E938" s="14"/>
      <c r="F938" s="15"/>
      <c r="G938" s="15"/>
      <c r="H938" s="16"/>
      <c r="I938" s="174"/>
      <c r="J938" s="172"/>
      <c r="K938" s="172"/>
      <c r="L938" s="4"/>
      <c r="M938" s="4"/>
      <c r="N938" s="4"/>
      <c r="O938" s="4"/>
      <c r="P938" s="4"/>
      <c r="Q938" s="4"/>
      <c r="R938" s="4"/>
      <c r="S938" s="690"/>
      <c r="T938" s="4"/>
      <c r="U938" s="4"/>
      <c r="V938" s="694"/>
      <c r="W938" s="7"/>
      <c r="X938" s="19"/>
      <c r="Y938" s="19"/>
      <c r="Z938" s="19"/>
      <c r="AA938" s="19"/>
      <c r="AB938" s="19"/>
      <c r="AC938" s="19"/>
      <c r="AD938" s="19"/>
      <c r="AE938" s="19"/>
      <c r="AF938" s="19"/>
      <c r="AG938" s="19"/>
      <c r="AH938" s="14"/>
    </row>
  </sheetData>
  <autoFilter ref="A6:AT874" xr:uid="{00000000-0001-0000-0D00-000000000000}"/>
  <mergeCells count="10">
    <mergeCell ref="AJ49:AJ51"/>
    <mergeCell ref="AK49:AK51"/>
    <mergeCell ref="AO49:AO51"/>
    <mergeCell ref="AJ33:AJ34"/>
    <mergeCell ref="V3:V5"/>
    <mergeCell ref="L5:P5"/>
    <mergeCell ref="R5:U5"/>
    <mergeCell ref="AJ7:AS8"/>
    <mergeCell ref="AJ9:AJ10"/>
    <mergeCell ref="AJ21:AJ22"/>
  </mergeCells>
  <phoneticPr fontId="3" type="noConversion"/>
  <conditionalFormatting sqref="AH5">
    <cfRule type="containsText" dxfId="53" priority="21" operator="containsText" text="false">
      <formula>NOT(ISERROR(SEARCH("false",AH5)))</formula>
    </cfRule>
    <cfRule type="containsText" dxfId="52" priority="22" operator="containsText" text="true">
      <formula>NOT(ISERROR(SEARCH("true",AH5)))</formula>
    </cfRule>
  </conditionalFormatting>
  <conditionalFormatting sqref="AH7:AH874">
    <cfRule type="containsText" dxfId="51" priority="1" operator="containsText" text="false">
      <formula>NOT(ISERROR(SEARCH("false",AH7)))</formula>
    </cfRule>
    <cfRule type="containsText" dxfId="50" priority="2" operator="containsText" text="true">
      <formula>NOT(ISERROR(SEARCH("true",AH7)))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J217"/>
  <sheetViews>
    <sheetView zoomScale="85" zoomScaleNormal="85" workbookViewId="0">
      <pane ySplit="1" topLeftCell="A2" activePane="bottomLeft" state="frozen"/>
      <selection activeCell="D22" sqref="D22"/>
      <selection pane="bottomLeft" activeCell="I4" sqref="I4"/>
    </sheetView>
  </sheetViews>
  <sheetFormatPr defaultColWidth="40.875" defaultRowHeight="16.5"/>
  <cols>
    <col min="1" max="1" width="11.375" style="1" customWidth="1"/>
    <col min="2" max="2" width="55.875" style="1" bestFit="1" customWidth="1"/>
    <col min="3" max="3" width="29.75" style="50" customWidth="1"/>
    <col min="4" max="4" width="55.125" style="50" customWidth="1"/>
    <col min="5" max="5" width="18" style="1" customWidth="1"/>
    <col min="6" max="6" width="10.125" style="1" bestFit="1" customWidth="1"/>
    <col min="7" max="7" width="42.75" style="1" customWidth="1"/>
    <col min="8" max="8" width="40.875" style="1"/>
    <col min="9" max="9" width="54.625" style="1" bestFit="1" customWidth="1"/>
    <col min="10" max="16384" width="40.875" style="1"/>
  </cols>
  <sheetData>
    <row r="1" spans="1:10" ht="72.75" thickTop="1">
      <c r="A1" s="51" t="s">
        <v>103</v>
      </c>
      <c r="B1" s="51" t="s">
        <v>104</v>
      </c>
      <c r="C1" s="59" t="s">
        <v>6</v>
      </c>
      <c r="D1" s="60" t="s">
        <v>55</v>
      </c>
      <c r="E1" s="61" t="s">
        <v>486</v>
      </c>
      <c r="F1" s="208" t="s">
        <v>1478</v>
      </c>
    </row>
    <row r="2" spans="1:10" ht="17.25" thickBot="1">
      <c r="A2" s="52" t="s">
        <v>105</v>
      </c>
      <c r="B2" s="53" t="s">
        <v>106</v>
      </c>
      <c r="C2" s="33" t="s">
        <v>60</v>
      </c>
      <c r="D2" s="34" t="s">
        <v>60</v>
      </c>
      <c r="E2" s="35" t="s">
        <v>60</v>
      </c>
      <c r="F2" s="209" t="s">
        <v>0</v>
      </c>
      <c r="H2" s="260" t="s">
        <v>731</v>
      </c>
    </row>
    <row r="3" spans="1:10" ht="17.25" thickTop="1">
      <c r="A3" s="52" t="s">
        <v>107</v>
      </c>
      <c r="B3" s="53" t="s">
        <v>108</v>
      </c>
      <c r="C3" s="33" t="s">
        <v>60</v>
      </c>
      <c r="D3" s="34" t="s">
        <v>60</v>
      </c>
      <c r="E3" s="35" t="s">
        <v>60</v>
      </c>
      <c r="F3" s="209" t="s">
        <v>0</v>
      </c>
      <c r="H3" s="292" t="s">
        <v>4</v>
      </c>
      <c r="I3" s="293" t="s">
        <v>730</v>
      </c>
    </row>
    <row r="4" spans="1:10">
      <c r="A4" s="52" t="s">
        <v>115</v>
      </c>
      <c r="B4" s="53" t="s">
        <v>116</v>
      </c>
      <c r="C4" s="36" t="s">
        <v>61</v>
      </c>
      <c r="D4" s="37" t="s">
        <v>62</v>
      </c>
      <c r="E4" s="38" t="s">
        <v>63</v>
      </c>
      <c r="F4" s="209" t="s">
        <v>0</v>
      </c>
      <c r="H4" s="294" t="s">
        <v>9</v>
      </c>
      <c r="I4" s="295" t="s">
        <v>168</v>
      </c>
    </row>
    <row r="5" spans="1:10">
      <c r="A5" s="52" t="s">
        <v>117</v>
      </c>
      <c r="B5" s="53" t="s">
        <v>8</v>
      </c>
      <c r="C5" s="36" t="s">
        <v>61</v>
      </c>
      <c r="D5" s="37" t="s">
        <v>62</v>
      </c>
      <c r="E5" s="38" t="s">
        <v>63</v>
      </c>
      <c r="F5" s="209" t="s">
        <v>0</v>
      </c>
      <c r="H5" s="297" t="s">
        <v>12</v>
      </c>
      <c r="I5" s="298" t="s">
        <v>168</v>
      </c>
    </row>
    <row r="6" spans="1:10" ht="17.25" thickBot="1">
      <c r="A6" s="52" t="s">
        <v>118</v>
      </c>
      <c r="B6" s="53" t="s">
        <v>16</v>
      </c>
      <c r="C6" s="36" t="s">
        <v>61</v>
      </c>
      <c r="D6" s="37" t="s">
        <v>62</v>
      </c>
      <c r="E6" s="38" t="s">
        <v>63</v>
      </c>
      <c r="F6" s="209" t="s">
        <v>0</v>
      </c>
      <c r="H6" s="261" t="s">
        <v>17</v>
      </c>
      <c r="I6" s="296" t="s">
        <v>168</v>
      </c>
    </row>
    <row r="7" spans="1:10" ht="17.25" thickTop="1">
      <c r="A7" s="52" t="s">
        <v>121</v>
      </c>
      <c r="B7" s="53" t="s">
        <v>18</v>
      </c>
      <c r="C7" s="36" t="s">
        <v>122</v>
      </c>
      <c r="D7" s="37" t="s">
        <v>698</v>
      </c>
      <c r="E7" s="38" t="s">
        <v>63</v>
      </c>
      <c r="F7" s="209" t="s">
        <v>0</v>
      </c>
    </row>
    <row r="8" spans="1:10">
      <c r="A8" s="52" t="s">
        <v>119</v>
      </c>
      <c r="B8" s="53" t="s">
        <v>120</v>
      </c>
      <c r="C8" s="36" t="s">
        <v>61</v>
      </c>
      <c r="D8" s="37" t="s">
        <v>61</v>
      </c>
      <c r="E8" s="38" t="s">
        <v>63</v>
      </c>
      <c r="F8" s="209" t="s">
        <v>0</v>
      </c>
    </row>
    <row r="9" spans="1:10" s="14" customFormat="1">
      <c r="A9" s="525" t="s">
        <v>849</v>
      </c>
      <c r="B9" s="57" t="s">
        <v>853</v>
      </c>
      <c r="C9" s="36" t="s">
        <v>69</v>
      </c>
      <c r="D9" s="37" t="s">
        <v>69</v>
      </c>
      <c r="E9" s="38" t="s">
        <v>63</v>
      </c>
      <c r="F9" s="209" t="s">
        <v>0</v>
      </c>
    </row>
    <row r="10" spans="1:10" s="14" customFormat="1" ht="17.25" thickBot="1">
      <c r="A10" s="593" t="s">
        <v>1405</v>
      </c>
      <c r="B10" s="594" t="s">
        <v>1406</v>
      </c>
      <c r="C10" s="36" t="s">
        <v>69</v>
      </c>
      <c r="D10" s="37" t="s">
        <v>69</v>
      </c>
      <c r="E10" s="38" t="s">
        <v>63</v>
      </c>
      <c r="F10" s="209" t="s">
        <v>0</v>
      </c>
    </row>
    <row r="11" spans="1:10" ht="17.25" thickTop="1">
      <c r="A11" s="52" t="s">
        <v>123</v>
      </c>
      <c r="B11" s="53" t="s">
        <v>19</v>
      </c>
      <c r="C11" s="36" t="s">
        <v>122</v>
      </c>
      <c r="D11" s="37" t="s">
        <v>61</v>
      </c>
      <c r="E11" s="38" t="s">
        <v>63</v>
      </c>
      <c r="F11" s="209" t="s">
        <v>0</v>
      </c>
      <c r="H11" s="660" t="s">
        <v>103</v>
      </c>
      <c r="I11" s="661" t="s">
        <v>104</v>
      </c>
    </row>
    <row r="12" spans="1:10">
      <c r="A12" s="52" t="s">
        <v>124</v>
      </c>
      <c r="B12" s="53" t="s">
        <v>125</v>
      </c>
      <c r="C12" s="36" t="s">
        <v>122</v>
      </c>
      <c r="D12" s="37" t="s">
        <v>61</v>
      </c>
      <c r="E12" s="38" t="s">
        <v>63</v>
      </c>
      <c r="F12" s="209" t="s">
        <v>0</v>
      </c>
      <c r="H12" s="662" t="s">
        <v>169</v>
      </c>
      <c r="I12" s="663" t="s">
        <v>24</v>
      </c>
      <c r="J12" s="260" t="s">
        <v>1474</v>
      </c>
    </row>
    <row r="13" spans="1:10">
      <c r="A13" s="52" t="s">
        <v>109</v>
      </c>
      <c r="B13" s="53" t="s">
        <v>110</v>
      </c>
      <c r="C13" s="33" t="s">
        <v>60</v>
      </c>
      <c r="D13" s="34" t="s">
        <v>60</v>
      </c>
      <c r="E13" s="35" t="s">
        <v>60</v>
      </c>
      <c r="F13" s="209" t="s">
        <v>0</v>
      </c>
      <c r="H13" s="662" t="s">
        <v>170</v>
      </c>
      <c r="I13" s="663" t="s">
        <v>171</v>
      </c>
      <c r="J13" s="260" t="s">
        <v>1474</v>
      </c>
    </row>
    <row r="14" spans="1:10">
      <c r="A14" s="52" t="s">
        <v>111</v>
      </c>
      <c r="B14" s="53" t="s">
        <v>112</v>
      </c>
      <c r="C14" s="33" t="s">
        <v>60</v>
      </c>
      <c r="D14" s="34" t="s">
        <v>60</v>
      </c>
      <c r="E14" s="35" t="s">
        <v>60</v>
      </c>
      <c r="F14" s="209" t="s">
        <v>0</v>
      </c>
      <c r="H14" s="662" t="s">
        <v>172</v>
      </c>
      <c r="I14" s="663" t="s">
        <v>173</v>
      </c>
      <c r="J14" s="260" t="s">
        <v>1474</v>
      </c>
    </row>
    <row r="15" spans="1:10">
      <c r="A15" s="52" t="s">
        <v>113</v>
      </c>
      <c r="B15" s="53" t="s">
        <v>114</v>
      </c>
      <c r="C15" s="33" t="s">
        <v>60</v>
      </c>
      <c r="D15" s="34" t="s">
        <v>60</v>
      </c>
      <c r="E15" s="35" t="s">
        <v>60</v>
      </c>
      <c r="F15" s="209" t="s">
        <v>0</v>
      </c>
      <c r="H15" s="662" t="s">
        <v>174</v>
      </c>
      <c r="I15" s="663" t="s">
        <v>175</v>
      </c>
      <c r="J15" s="260" t="s">
        <v>1474</v>
      </c>
    </row>
    <row r="16" spans="1:10">
      <c r="A16" s="52" t="s">
        <v>126</v>
      </c>
      <c r="B16" s="53" t="s">
        <v>127</v>
      </c>
      <c r="C16" s="55" t="s">
        <v>140</v>
      </c>
      <c r="D16" s="37" t="s">
        <v>140</v>
      </c>
      <c r="E16" s="38" t="s">
        <v>63</v>
      </c>
      <c r="F16" s="209" t="s">
        <v>0</v>
      </c>
      <c r="H16" s="662" t="s">
        <v>176</v>
      </c>
      <c r="I16" s="663" t="s">
        <v>177</v>
      </c>
      <c r="J16" s="260" t="s">
        <v>1474</v>
      </c>
    </row>
    <row r="17" spans="1:10">
      <c r="A17" s="52" t="s">
        <v>128</v>
      </c>
      <c r="B17" s="53" t="s">
        <v>129</v>
      </c>
      <c r="C17" s="55" t="s">
        <v>140</v>
      </c>
      <c r="D17" s="37" t="s">
        <v>140</v>
      </c>
      <c r="E17" s="38" t="s">
        <v>63</v>
      </c>
      <c r="F17" s="209" t="s">
        <v>0</v>
      </c>
      <c r="H17" s="662" t="s">
        <v>178</v>
      </c>
      <c r="I17" s="663" t="s">
        <v>179</v>
      </c>
      <c r="J17" s="260" t="s">
        <v>1474</v>
      </c>
    </row>
    <row r="18" spans="1:10">
      <c r="A18" s="52" t="s">
        <v>130</v>
      </c>
      <c r="B18" s="53" t="s">
        <v>131</v>
      </c>
      <c r="C18" s="55" t="s">
        <v>140</v>
      </c>
      <c r="D18" s="37" t="s">
        <v>140</v>
      </c>
      <c r="E18" s="38" t="s">
        <v>63</v>
      </c>
      <c r="F18" s="209" t="s">
        <v>0</v>
      </c>
      <c r="H18" s="662" t="s">
        <v>180</v>
      </c>
      <c r="I18" s="663" t="s">
        <v>181</v>
      </c>
      <c r="J18" s="260" t="s">
        <v>1474</v>
      </c>
    </row>
    <row r="19" spans="1:10">
      <c r="A19" s="52" t="s">
        <v>132</v>
      </c>
      <c r="B19" s="53" t="s">
        <v>133</v>
      </c>
      <c r="C19" s="55" t="s">
        <v>140</v>
      </c>
      <c r="D19" s="37" t="s">
        <v>140</v>
      </c>
      <c r="E19" s="38" t="s">
        <v>63</v>
      </c>
      <c r="F19" s="209" t="s">
        <v>0</v>
      </c>
      <c r="H19" s="662" t="s">
        <v>182</v>
      </c>
      <c r="I19" s="663" t="s">
        <v>183</v>
      </c>
      <c r="J19" s="260" t="s">
        <v>1474</v>
      </c>
    </row>
    <row r="20" spans="1:10">
      <c r="A20" s="52" t="s">
        <v>134</v>
      </c>
      <c r="B20" s="53" t="s">
        <v>135</v>
      </c>
      <c r="C20" s="55" t="s">
        <v>140</v>
      </c>
      <c r="D20" s="37" t="s">
        <v>140</v>
      </c>
      <c r="E20" s="38" t="s">
        <v>63</v>
      </c>
      <c r="F20" s="209" t="s">
        <v>0</v>
      </c>
      <c r="H20" s="668" t="s">
        <v>873</v>
      </c>
      <c r="I20" s="669" t="s">
        <v>874</v>
      </c>
      <c r="J20" s="260" t="s">
        <v>1477</v>
      </c>
    </row>
    <row r="21" spans="1:10">
      <c r="A21" s="52" t="s">
        <v>136</v>
      </c>
      <c r="B21" s="53" t="s">
        <v>137</v>
      </c>
      <c r="C21" s="55" t="s">
        <v>140</v>
      </c>
      <c r="D21" s="37" t="s">
        <v>140</v>
      </c>
      <c r="E21" s="38" t="s">
        <v>63</v>
      </c>
      <c r="F21" s="209" t="s">
        <v>0</v>
      </c>
      <c r="H21" s="668" t="s">
        <v>871</v>
      </c>
      <c r="I21" s="669" t="s">
        <v>872</v>
      </c>
      <c r="J21" s="260" t="s">
        <v>1477</v>
      </c>
    </row>
    <row r="22" spans="1:10">
      <c r="A22" s="52" t="s">
        <v>138</v>
      </c>
      <c r="B22" s="53" t="s">
        <v>139</v>
      </c>
      <c r="C22" s="55" t="s">
        <v>140</v>
      </c>
      <c r="D22" s="37" t="s">
        <v>140</v>
      </c>
      <c r="E22" s="38" t="s">
        <v>63</v>
      </c>
      <c r="F22" s="209" t="s">
        <v>0</v>
      </c>
      <c r="H22" s="668" t="s">
        <v>279</v>
      </c>
      <c r="I22" s="669" t="s">
        <v>54</v>
      </c>
      <c r="J22" s="260" t="s">
        <v>1477</v>
      </c>
    </row>
    <row r="23" spans="1:10">
      <c r="A23" s="52" t="s">
        <v>141</v>
      </c>
      <c r="B23" s="53" t="s">
        <v>142</v>
      </c>
      <c r="C23" s="56" t="s">
        <v>69</v>
      </c>
      <c r="D23" s="40" t="s">
        <v>69</v>
      </c>
      <c r="E23" s="38" t="s">
        <v>63</v>
      </c>
      <c r="F23" s="209" t="s">
        <v>0</v>
      </c>
      <c r="H23" s="662" t="s">
        <v>361</v>
      </c>
      <c r="I23" s="663" t="s">
        <v>362</v>
      </c>
      <c r="J23" s="260" t="s">
        <v>1475</v>
      </c>
    </row>
    <row r="24" spans="1:10">
      <c r="A24" s="52" t="s">
        <v>143</v>
      </c>
      <c r="B24" s="53" t="s">
        <v>144</v>
      </c>
      <c r="C24" s="39" t="s">
        <v>69</v>
      </c>
      <c r="D24" s="40" t="s">
        <v>69</v>
      </c>
      <c r="E24" s="38" t="s">
        <v>63</v>
      </c>
      <c r="F24" s="209" t="s">
        <v>0</v>
      </c>
      <c r="H24" s="662" t="s">
        <v>363</v>
      </c>
      <c r="I24" s="663" t="s">
        <v>364</v>
      </c>
      <c r="J24" s="260" t="s">
        <v>1475</v>
      </c>
    </row>
    <row r="25" spans="1:10">
      <c r="A25" s="52" t="s">
        <v>145</v>
      </c>
      <c r="B25" s="53" t="s">
        <v>146</v>
      </c>
      <c r="C25" s="39" t="s">
        <v>69</v>
      </c>
      <c r="D25" s="40" t="s">
        <v>69</v>
      </c>
      <c r="E25" s="38" t="s">
        <v>63</v>
      </c>
      <c r="F25" s="209" t="s">
        <v>0</v>
      </c>
      <c r="H25" s="662" t="s">
        <v>365</v>
      </c>
      <c r="I25" s="663" t="s">
        <v>366</v>
      </c>
      <c r="J25" s="260" t="s">
        <v>1475</v>
      </c>
    </row>
    <row r="26" spans="1:10">
      <c r="A26" s="52" t="s">
        <v>147</v>
      </c>
      <c r="B26" s="53" t="s">
        <v>148</v>
      </c>
      <c r="C26" s="39" t="s">
        <v>69</v>
      </c>
      <c r="D26" s="40" t="s">
        <v>69</v>
      </c>
      <c r="E26" s="38" t="s">
        <v>63</v>
      </c>
      <c r="F26" s="209" t="s">
        <v>0</v>
      </c>
      <c r="H26" s="662" t="s">
        <v>367</v>
      </c>
      <c r="I26" s="663" t="s">
        <v>368</v>
      </c>
      <c r="J26" s="260" t="s">
        <v>1475</v>
      </c>
    </row>
    <row r="27" spans="1:10">
      <c r="A27" s="52" t="s">
        <v>149</v>
      </c>
      <c r="B27" s="53" t="s">
        <v>20</v>
      </c>
      <c r="C27" s="39" t="s">
        <v>69</v>
      </c>
      <c r="D27" s="40" t="s">
        <v>69</v>
      </c>
      <c r="E27" s="38" t="s">
        <v>63</v>
      </c>
      <c r="F27" s="209" t="s">
        <v>0</v>
      </c>
      <c r="H27" s="662" t="s">
        <v>369</v>
      </c>
      <c r="I27" s="663" t="s">
        <v>370</v>
      </c>
      <c r="J27" s="260" t="s">
        <v>1475</v>
      </c>
    </row>
    <row r="28" spans="1:10">
      <c r="A28" s="52" t="s">
        <v>150</v>
      </c>
      <c r="B28" s="53" t="s">
        <v>151</v>
      </c>
      <c r="C28" s="39" t="s">
        <v>69</v>
      </c>
      <c r="D28" s="40" t="s">
        <v>69</v>
      </c>
      <c r="E28" s="38" t="s">
        <v>63</v>
      </c>
      <c r="F28" s="209" t="s">
        <v>0</v>
      </c>
      <c r="H28" s="662" t="s">
        <v>371</v>
      </c>
      <c r="I28" s="663" t="s">
        <v>42</v>
      </c>
      <c r="J28" s="260" t="s">
        <v>1475</v>
      </c>
    </row>
    <row r="29" spans="1:10">
      <c r="A29" s="52" t="s">
        <v>152</v>
      </c>
      <c r="B29" s="53" t="s">
        <v>153</v>
      </c>
      <c r="C29" s="39" t="s">
        <v>69</v>
      </c>
      <c r="D29" s="40" t="s">
        <v>69</v>
      </c>
      <c r="E29" s="38" t="s">
        <v>63</v>
      </c>
      <c r="F29" s="209" t="s">
        <v>0</v>
      </c>
      <c r="H29" s="662" t="s">
        <v>372</v>
      </c>
      <c r="I29" s="663" t="s">
        <v>373</v>
      </c>
      <c r="J29" s="260" t="s">
        <v>1475</v>
      </c>
    </row>
    <row r="30" spans="1:10">
      <c r="A30" s="52" t="s">
        <v>154</v>
      </c>
      <c r="B30" s="53" t="s">
        <v>155</v>
      </c>
      <c r="C30" s="39" t="s">
        <v>69</v>
      </c>
      <c r="D30" s="40" t="s">
        <v>69</v>
      </c>
      <c r="E30" s="38" t="s">
        <v>63</v>
      </c>
      <c r="F30" s="209" t="s">
        <v>0</v>
      </c>
      <c r="H30" s="662" t="s">
        <v>374</v>
      </c>
      <c r="I30" s="663" t="s">
        <v>375</v>
      </c>
      <c r="J30" s="260" t="s">
        <v>1475</v>
      </c>
    </row>
    <row r="31" spans="1:10">
      <c r="A31" s="52" t="s">
        <v>156</v>
      </c>
      <c r="B31" s="53" t="s">
        <v>157</v>
      </c>
      <c r="C31" s="39" t="s">
        <v>69</v>
      </c>
      <c r="D31" s="40" t="s">
        <v>69</v>
      </c>
      <c r="E31" s="38" t="s">
        <v>63</v>
      </c>
      <c r="F31" s="209" t="s">
        <v>0</v>
      </c>
      <c r="H31" s="662" t="s">
        <v>376</v>
      </c>
      <c r="I31" s="663" t="s">
        <v>377</v>
      </c>
      <c r="J31" s="260" t="s">
        <v>1475</v>
      </c>
    </row>
    <row r="32" spans="1:10">
      <c r="A32" s="52" t="s">
        <v>158</v>
      </c>
      <c r="B32" s="53" t="s">
        <v>159</v>
      </c>
      <c r="C32" s="39" t="s">
        <v>69</v>
      </c>
      <c r="D32" s="40" t="s">
        <v>69</v>
      </c>
      <c r="E32" s="38" t="s">
        <v>63</v>
      </c>
      <c r="F32" s="209" t="s">
        <v>0</v>
      </c>
      <c r="H32" s="662" t="s">
        <v>378</v>
      </c>
      <c r="I32" s="663" t="s">
        <v>379</v>
      </c>
      <c r="J32" s="260" t="s">
        <v>1475</v>
      </c>
    </row>
    <row r="33" spans="1:10">
      <c r="A33" s="52" t="s">
        <v>160</v>
      </c>
      <c r="B33" s="53" t="s">
        <v>22</v>
      </c>
      <c r="C33" s="39" t="s">
        <v>69</v>
      </c>
      <c r="D33" s="40" t="s">
        <v>69</v>
      </c>
      <c r="E33" s="38" t="s">
        <v>63</v>
      </c>
      <c r="F33" s="209" t="s">
        <v>0</v>
      </c>
      <c r="H33" s="662" t="s">
        <v>380</v>
      </c>
      <c r="I33" s="663" t="s">
        <v>381</v>
      </c>
      <c r="J33" s="260" t="s">
        <v>1475</v>
      </c>
    </row>
    <row r="34" spans="1:10">
      <c r="A34" s="52" t="s">
        <v>161</v>
      </c>
      <c r="B34" s="53" t="s">
        <v>162</v>
      </c>
      <c r="C34" s="39" t="s">
        <v>69</v>
      </c>
      <c r="D34" s="40" t="s">
        <v>69</v>
      </c>
      <c r="E34" s="38" t="s">
        <v>63</v>
      </c>
      <c r="F34" s="209" t="s">
        <v>0</v>
      </c>
      <c r="H34" s="662" t="s">
        <v>382</v>
      </c>
      <c r="I34" s="663" t="s">
        <v>383</v>
      </c>
      <c r="J34" s="260" t="s">
        <v>1475</v>
      </c>
    </row>
    <row r="35" spans="1:10">
      <c r="A35" s="52" t="s">
        <v>163</v>
      </c>
      <c r="B35" s="53" t="s">
        <v>164</v>
      </c>
      <c r="C35" s="36" t="s">
        <v>70</v>
      </c>
      <c r="D35" s="37" t="s">
        <v>71</v>
      </c>
      <c r="E35" s="54" t="s">
        <v>168</v>
      </c>
      <c r="F35" s="209" t="s">
        <v>0</v>
      </c>
      <c r="H35" s="662" t="s">
        <v>384</v>
      </c>
      <c r="I35" s="663" t="s">
        <v>385</v>
      </c>
      <c r="J35" s="260" t="s">
        <v>1475</v>
      </c>
    </row>
    <row r="36" spans="1:10">
      <c r="A36" s="52" t="s">
        <v>165</v>
      </c>
      <c r="B36" s="53" t="s">
        <v>166</v>
      </c>
      <c r="C36" s="36" t="s">
        <v>70</v>
      </c>
      <c r="D36" s="37" t="s">
        <v>71</v>
      </c>
      <c r="E36" s="54" t="s">
        <v>168</v>
      </c>
      <c r="F36" s="209" t="s">
        <v>0</v>
      </c>
      <c r="H36" s="662" t="s">
        <v>386</v>
      </c>
      <c r="I36" s="663" t="s">
        <v>387</v>
      </c>
      <c r="J36" s="260" t="s">
        <v>1475</v>
      </c>
    </row>
    <row r="37" spans="1:10">
      <c r="A37" s="52" t="s">
        <v>169</v>
      </c>
      <c r="B37" s="53" t="s">
        <v>24</v>
      </c>
      <c r="C37" s="36" t="s">
        <v>89</v>
      </c>
      <c r="D37" s="37" t="s">
        <v>91</v>
      </c>
      <c r="E37" s="54" t="s">
        <v>168</v>
      </c>
      <c r="F37" s="651" t="s">
        <v>1</v>
      </c>
      <c r="G37" s="666" t="s">
        <v>1474</v>
      </c>
      <c r="H37" s="662" t="s">
        <v>388</v>
      </c>
      <c r="I37" s="663" t="s">
        <v>389</v>
      </c>
      <c r="J37" s="260" t="s">
        <v>1475</v>
      </c>
    </row>
    <row r="38" spans="1:10">
      <c r="A38" s="52" t="s">
        <v>170</v>
      </c>
      <c r="B38" s="53" t="s">
        <v>171</v>
      </c>
      <c r="C38" s="36" t="s">
        <v>89</v>
      </c>
      <c r="D38" s="37" t="s">
        <v>91</v>
      </c>
      <c r="E38" s="54" t="s">
        <v>168</v>
      </c>
      <c r="F38" s="652" t="s">
        <v>1</v>
      </c>
      <c r="G38" s="666" t="s">
        <v>1474</v>
      </c>
      <c r="H38" s="662" t="s">
        <v>390</v>
      </c>
      <c r="I38" s="663" t="s">
        <v>391</v>
      </c>
      <c r="J38" s="260" t="s">
        <v>1475</v>
      </c>
    </row>
    <row r="39" spans="1:10">
      <c r="A39" s="52" t="s">
        <v>172</v>
      </c>
      <c r="B39" s="53" t="s">
        <v>173</v>
      </c>
      <c r="C39" s="36" t="s">
        <v>89</v>
      </c>
      <c r="D39" s="37" t="s">
        <v>91</v>
      </c>
      <c r="E39" s="54" t="s">
        <v>168</v>
      </c>
      <c r="F39" s="652" t="s">
        <v>1</v>
      </c>
      <c r="G39" s="666" t="s">
        <v>1474</v>
      </c>
      <c r="H39" s="662" t="s">
        <v>392</v>
      </c>
      <c r="I39" s="663" t="s">
        <v>393</v>
      </c>
      <c r="J39" s="260" t="s">
        <v>1475</v>
      </c>
    </row>
    <row r="40" spans="1:10">
      <c r="A40" s="52" t="s">
        <v>174</v>
      </c>
      <c r="B40" s="53" t="s">
        <v>175</v>
      </c>
      <c r="C40" s="36" t="s">
        <v>89</v>
      </c>
      <c r="D40" s="37" t="s">
        <v>549</v>
      </c>
      <c r="E40" s="54" t="s">
        <v>168</v>
      </c>
      <c r="F40" s="652" t="s">
        <v>1</v>
      </c>
      <c r="G40" s="666" t="s">
        <v>1474</v>
      </c>
      <c r="H40" s="662" t="s">
        <v>394</v>
      </c>
      <c r="I40" s="663" t="s">
        <v>395</v>
      </c>
      <c r="J40" s="260" t="s">
        <v>1475</v>
      </c>
    </row>
    <row r="41" spans="1:10">
      <c r="A41" s="52" t="s">
        <v>176</v>
      </c>
      <c r="B41" s="53" t="s">
        <v>177</v>
      </c>
      <c r="C41" s="36" t="s">
        <v>89</v>
      </c>
      <c r="D41" s="37" t="s">
        <v>91</v>
      </c>
      <c r="E41" s="54" t="s">
        <v>168</v>
      </c>
      <c r="F41" s="652" t="s">
        <v>1</v>
      </c>
      <c r="G41" s="666" t="s">
        <v>1474</v>
      </c>
      <c r="H41" s="662" t="s">
        <v>396</v>
      </c>
      <c r="I41" s="663" t="s">
        <v>397</v>
      </c>
      <c r="J41" s="260" t="s">
        <v>1475</v>
      </c>
    </row>
    <row r="42" spans="1:10">
      <c r="A42" s="52" t="s">
        <v>178</v>
      </c>
      <c r="B42" s="53" t="s">
        <v>179</v>
      </c>
      <c r="C42" s="36" t="s">
        <v>89</v>
      </c>
      <c r="D42" s="37" t="s">
        <v>91</v>
      </c>
      <c r="E42" s="54" t="s">
        <v>168</v>
      </c>
      <c r="F42" s="652" t="s">
        <v>1</v>
      </c>
      <c r="G42" s="666" t="s">
        <v>1474</v>
      </c>
      <c r="H42" s="662" t="s">
        <v>398</v>
      </c>
      <c r="I42" s="663" t="s">
        <v>399</v>
      </c>
      <c r="J42" s="260" t="s">
        <v>1475</v>
      </c>
    </row>
    <row r="43" spans="1:10">
      <c r="A43" s="52" t="s">
        <v>180</v>
      </c>
      <c r="B43" s="53" t="s">
        <v>181</v>
      </c>
      <c r="C43" s="36" t="s">
        <v>89</v>
      </c>
      <c r="D43" s="37" t="s">
        <v>91</v>
      </c>
      <c r="E43" s="54" t="s">
        <v>168</v>
      </c>
      <c r="F43" s="652" t="s">
        <v>1</v>
      </c>
      <c r="G43" s="666" t="s">
        <v>1474</v>
      </c>
      <c r="H43" s="662" t="s">
        <v>400</v>
      </c>
      <c r="I43" s="663" t="s">
        <v>401</v>
      </c>
      <c r="J43" s="260" t="s">
        <v>1475</v>
      </c>
    </row>
    <row r="44" spans="1:10">
      <c r="A44" s="52" t="s">
        <v>182</v>
      </c>
      <c r="B44" s="53" t="s">
        <v>183</v>
      </c>
      <c r="C44" s="36" t="s">
        <v>89</v>
      </c>
      <c r="D44" s="37" t="s">
        <v>91</v>
      </c>
      <c r="E44" s="54" t="s">
        <v>168</v>
      </c>
      <c r="F44" s="652" t="s">
        <v>1</v>
      </c>
      <c r="G44" s="666" t="s">
        <v>1474</v>
      </c>
      <c r="H44" s="662" t="s">
        <v>402</v>
      </c>
      <c r="I44" s="663" t="s">
        <v>403</v>
      </c>
      <c r="J44" s="260" t="s">
        <v>1475</v>
      </c>
    </row>
    <row r="45" spans="1:10" ht="17.25" thickBot="1">
      <c r="A45" s="52" t="s">
        <v>184</v>
      </c>
      <c r="B45" s="53" t="s">
        <v>185</v>
      </c>
      <c r="C45" s="36" t="s">
        <v>70</v>
      </c>
      <c r="D45" s="37" t="s">
        <v>573</v>
      </c>
      <c r="E45" s="38" t="s">
        <v>63</v>
      </c>
      <c r="F45" s="209" t="s">
        <v>0</v>
      </c>
      <c r="H45" s="664" t="s">
        <v>404</v>
      </c>
      <c r="I45" s="665" t="s">
        <v>405</v>
      </c>
      <c r="J45" s="260" t="s">
        <v>1475</v>
      </c>
    </row>
    <row r="46" spans="1:10" ht="17.25" thickTop="1">
      <c r="A46" s="52" t="s">
        <v>186</v>
      </c>
      <c r="B46" s="53" t="s">
        <v>187</v>
      </c>
      <c r="C46" s="36" t="s">
        <v>70</v>
      </c>
      <c r="D46" s="37" t="s">
        <v>573</v>
      </c>
      <c r="E46" s="38" t="s">
        <v>63</v>
      </c>
      <c r="F46" s="209" t="s">
        <v>0</v>
      </c>
    </row>
    <row r="47" spans="1:10">
      <c r="A47" s="52" t="s">
        <v>188</v>
      </c>
      <c r="B47" s="53" t="s">
        <v>28</v>
      </c>
      <c r="C47" s="36" t="s">
        <v>70</v>
      </c>
      <c r="D47" s="37" t="s">
        <v>573</v>
      </c>
      <c r="E47" s="38" t="s">
        <v>63</v>
      </c>
      <c r="F47" s="209" t="s">
        <v>0</v>
      </c>
    </row>
    <row r="48" spans="1:10">
      <c r="A48" s="52" t="s">
        <v>189</v>
      </c>
      <c r="B48" s="53" t="s">
        <v>190</v>
      </c>
      <c r="C48" s="36" t="s">
        <v>70</v>
      </c>
      <c r="D48" s="37" t="s">
        <v>573</v>
      </c>
      <c r="E48" s="38" t="s">
        <v>63</v>
      </c>
      <c r="F48" s="209" t="s">
        <v>0</v>
      </c>
    </row>
    <row r="49" spans="1:6">
      <c r="A49" s="52" t="s">
        <v>191</v>
      </c>
      <c r="B49" s="53" t="s">
        <v>192</v>
      </c>
      <c r="C49" s="36" t="s">
        <v>70</v>
      </c>
      <c r="D49" s="37" t="s">
        <v>573</v>
      </c>
      <c r="E49" s="38" t="s">
        <v>63</v>
      </c>
      <c r="F49" s="209" t="s">
        <v>0</v>
      </c>
    </row>
    <row r="50" spans="1:6">
      <c r="A50" s="52" t="s">
        <v>193</v>
      </c>
      <c r="B50" s="53" t="s">
        <v>29</v>
      </c>
      <c r="C50" s="36" t="s">
        <v>70</v>
      </c>
      <c r="D50" s="37" t="s">
        <v>573</v>
      </c>
      <c r="E50" s="38" t="s">
        <v>63</v>
      </c>
      <c r="F50" s="209" t="s">
        <v>0</v>
      </c>
    </row>
    <row r="51" spans="1:6">
      <c r="A51" s="52" t="s">
        <v>194</v>
      </c>
      <c r="B51" s="53" t="s">
        <v>195</v>
      </c>
      <c r="C51" s="36" t="s">
        <v>70</v>
      </c>
      <c r="D51" s="37" t="s">
        <v>573</v>
      </c>
      <c r="E51" s="38" t="s">
        <v>63</v>
      </c>
      <c r="F51" s="209" t="s">
        <v>0</v>
      </c>
    </row>
    <row r="52" spans="1:6">
      <c r="A52" s="52" t="s">
        <v>196</v>
      </c>
      <c r="B52" s="53" t="s">
        <v>197</v>
      </c>
      <c r="C52" s="36" t="s">
        <v>70</v>
      </c>
      <c r="D52" s="37" t="s">
        <v>573</v>
      </c>
      <c r="E52" s="38" t="s">
        <v>63</v>
      </c>
      <c r="F52" s="209" t="s">
        <v>0</v>
      </c>
    </row>
    <row r="53" spans="1:6">
      <c r="A53" s="52" t="s">
        <v>198</v>
      </c>
      <c r="B53" s="53" t="s">
        <v>199</v>
      </c>
      <c r="C53" s="36" t="s">
        <v>70</v>
      </c>
      <c r="D53" s="37" t="s">
        <v>573</v>
      </c>
      <c r="E53" s="38" t="s">
        <v>63</v>
      </c>
      <c r="F53" s="209" t="s">
        <v>0</v>
      </c>
    </row>
    <row r="54" spans="1:6">
      <c r="A54" s="52" t="s">
        <v>200</v>
      </c>
      <c r="B54" s="53" t="s">
        <v>201</v>
      </c>
      <c r="C54" s="36" t="s">
        <v>70</v>
      </c>
      <c r="D54" s="37" t="s">
        <v>573</v>
      </c>
      <c r="E54" s="38" t="s">
        <v>63</v>
      </c>
      <c r="F54" s="209" t="s">
        <v>0</v>
      </c>
    </row>
    <row r="55" spans="1:6">
      <c r="A55" s="52" t="s">
        <v>202</v>
      </c>
      <c r="B55" s="53" t="s">
        <v>203</v>
      </c>
      <c r="C55" s="36" t="s">
        <v>70</v>
      </c>
      <c r="D55" s="37" t="s">
        <v>573</v>
      </c>
      <c r="E55" s="38" t="s">
        <v>63</v>
      </c>
      <c r="F55" s="209" t="s">
        <v>0</v>
      </c>
    </row>
    <row r="56" spans="1:6">
      <c r="A56" s="52" t="s">
        <v>204</v>
      </c>
      <c r="B56" s="53" t="s">
        <v>205</v>
      </c>
      <c r="C56" s="36" t="s">
        <v>70</v>
      </c>
      <c r="D56" s="37" t="s">
        <v>573</v>
      </c>
      <c r="E56" s="38" t="s">
        <v>63</v>
      </c>
      <c r="F56" s="209" t="s">
        <v>0</v>
      </c>
    </row>
    <row r="57" spans="1:6">
      <c r="A57" s="52" t="s">
        <v>206</v>
      </c>
      <c r="B57" s="53" t="s">
        <v>207</v>
      </c>
      <c r="C57" s="36" t="s">
        <v>70</v>
      </c>
      <c r="D57" s="37" t="s">
        <v>573</v>
      </c>
      <c r="E57" s="38" t="s">
        <v>63</v>
      </c>
      <c r="F57" s="209" t="s">
        <v>0</v>
      </c>
    </row>
    <row r="58" spans="1:6">
      <c r="A58" s="52" t="s">
        <v>208</v>
      </c>
      <c r="B58" s="53" t="s">
        <v>209</v>
      </c>
      <c r="C58" s="36" t="s">
        <v>70</v>
      </c>
      <c r="D58" s="37" t="s">
        <v>573</v>
      </c>
      <c r="E58" s="38" t="s">
        <v>63</v>
      </c>
      <c r="F58" s="209" t="s">
        <v>0</v>
      </c>
    </row>
    <row r="59" spans="1:6">
      <c r="A59" s="52" t="s">
        <v>210</v>
      </c>
      <c r="B59" s="53" t="s">
        <v>211</v>
      </c>
      <c r="C59" s="36" t="s">
        <v>70</v>
      </c>
      <c r="D59" s="37" t="s">
        <v>573</v>
      </c>
      <c r="E59" s="38" t="s">
        <v>63</v>
      </c>
      <c r="F59" s="209" t="s">
        <v>0</v>
      </c>
    </row>
    <row r="60" spans="1:6">
      <c r="A60" s="52" t="s">
        <v>852</v>
      </c>
      <c r="B60" s="53" t="s">
        <v>854</v>
      </c>
      <c r="C60" s="36" t="s">
        <v>70</v>
      </c>
      <c r="D60" s="37" t="s">
        <v>573</v>
      </c>
      <c r="E60" s="38" t="s">
        <v>63</v>
      </c>
      <c r="F60" s="209" t="s">
        <v>0</v>
      </c>
    </row>
    <row r="61" spans="1:6">
      <c r="A61" s="52" t="s">
        <v>212</v>
      </c>
      <c r="B61" s="53" t="s">
        <v>30</v>
      </c>
      <c r="C61" s="36" t="s">
        <v>70</v>
      </c>
      <c r="D61" s="37" t="s">
        <v>573</v>
      </c>
      <c r="E61" s="38" t="s">
        <v>63</v>
      </c>
      <c r="F61" s="209" t="s">
        <v>0</v>
      </c>
    </row>
    <row r="62" spans="1:6">
      <c r="A62" s="52" t="s">
        <v>213</v>
      </c>
      <c r="B62" s="53" t="s">
        <v>214</v>
      </c>
      <c r="C62" s="36" t="s">
        <v>70</v>
      </c>
      <c r="D62" s="37" t="s">
        <v>573</v>
      </c>
      <c r="E62" s="38" t="s">
        <v>63</v>
      </c>
      <c r="F62" s="209" t="s">
        <v>0</v>
      </c>
    </row>
    <row r="63" spans="1:6">
      <c r="A63" s="52" t="s">
        <v>215</v>
      </c>
      <c r="B63" s="53" t="s">
        <v>216</v>
      </c>
      <c r="C63" s="36" t="s">
        <v>70</v>
      </c>
      <c r="D63" s="37" t="s">
        <v>573</v>
      </c>
      <c r="E63" s="38" t="s">
        <v>63</v>
      </c>
      <c r="F63" s="209" t="s">
        <v>0</v>
      </c>
    </row>
    <row r="64" spans="1:6">
      <c r="A64" s="52" t="s">
        <v>217</v>
      </c>
      <c r="B64" s="53" t="s">
        <v>31</v>
      </c>
      <c r="C64" s="36" t="s">
        <v>70</v>
      </c>
      <c r="D64" s="37" t="s">
        <v>573</v>
      </c>
      <c r="E64" s="38" t="s">
        <v>63</v>
      </c>
      <c r="F64" s="209" t="s">
        <v>0</v>
      </c>
    </row>
    <row r="65" spans="1:6">
      <c r="A65" s="52" t="s">
        <v>218</v>
      </c>
      <c r="B65" s="53" t="s">
        <v>219</v>
      </c>
      <c r="C65" s="36" t="s">
        <v>70</v>
      </c>
      <c r="D65" s="37" t="s">
        <v>71</v>
      </c>
      <c r="E65" s="54" t="s">
        <v>168</v>
      </c>
      <c r="F65" s="209" t="s">
        <v>0</v>
      </c>
    </row>
    <row r="66" spans="1:6">
      <c r="A66" s="52" t="s">
        <v>220</v>
      </c>
      <c r="B66" s="53" t="s">
        <v>221</v>
      </c>
      <c r="C66" s="36" t="s">
        <v>70</v>
      </c>
      <c r="D66" s="37" t="s">
        <v>71</v>
      </c>
      <c r="E66" s="54" t="s">
        <v>168</v>
      </c>
      <c r="F66" s="209" t="s">
        <v>0</v>
      </c>
    </row>
    <row r="67" spans="1:6">
      <c r="A67" s="52" t="s">
        <v>222</v>
      </c>
      <c r="B67" s="53" t="s">
        <v>223</v>
      </c>
      <c r="C67" s="36" t="s">
        <v>70</v>
      </c>
      <c r="D67" s="37" t="s">
        <v>71</v>
      </c>
      <c r="E67" s="54" t="s">
        <v>168</v>
      </c>
      <c r="F67" s="209" t="s">
        <v>0</v>
      </c>
    </row>
    <row r="68" spans="1:6">
      <c r="A68" s="52" t="s">
        <v>224</v>
      </c>
      <c r="B68" s="53" t="s">
        <v>225</v>
      </c>
      <c r="C68" s="36" t="s">
        <v>70</v>
      </c>
      <c r="D68" s="37" t="s">
        <v>71</v>
      </c>
      <c r="E68" s="54" t="s">
        <v>168</v>
      </c>
      <c r="F68" s="209" t="s">
        <v>0</v>
      </c>
    </row>
    <row r="69" spans="1:6">
      <c r="A69" s="52" t="s">
        <v>226</v>
      </c>
      <c r="B69" s="53" t="s">
        <v>227</v>
      </c>
      <c r="C69" s="36" t="s">
        <v>70</v>
      </c>
      <c r="D69" s="37" t="s">
        <v>71</v>
      </c>
      <c r="E69" s="54" t="s">
        <v>168</v>
      </c>
      <c r="F69" s="209" t="s">
        <v>0</v>
      </c>
    </row>
    <row r="70" spans="1:6">
      <c r="A70" s="52" t="s">
        <v>228</v>
      </c>
      <c r="B70" s="53" t="s">
        <v>229</v>
      </c>
      <c r="C70" s="36" t="s">
        <v>70</v>
      </c>
      <c r="D70" s="37" t="s">
        <v>71</v>
      </c>
      <c r="E70" s="54" t="s">
        <v>168</v>
      </c>
      <c r="F70" s="209" t="s">
        <v>0</v>
      </c>
    </row>
    <row r="71" spans="1:6">
      <c r="A71" s="52" t="s">
        <v>230</v>
      </c>
      <c r="B71" s="53" t="s">
        <v>231</v>
      </c>
      <c r="C71" s="36" t="s">
        <v>70</v>
      </c>
      <c r="D71" s="37" t="s">
        <v>545</v>
      </c>
      <c r="E71" s="54" t="s">
        <v>168</v>
      </c>
      <c r="F71" s="209" t="s">
        <v>0</v>
      </c>
    </row>
    <row r="72" spans="1:6">
      <c r="A72" s="52" t="s">
        <v>232</v>
      </c>
      <c r="B72" s="53" t="s">
        <v>233</v>
      </c>
      <c r="C72" s="36" t="s">
        <v>70</v>
      </c>
      <c r="D72" s="37" t="s">
        <v>71</v>
      </c>
      <c r="E72" s="54" t="s">
        <v>168</v>
      </c>
      <c r="F72" s="209" t="s">
        <v>0</v>
      </c>
    </row>
    <row r="73" spans="1:6">
      <c r="A73" s="52" t="s">
        <v>234</v>
      </c>
      <c r="B73" s="53" t="s">
        <v>235</v>
      </c>
      <c r="C73" s="36" t="s">
        <v>70</v>
      </c>
      <c r="D73" s="37" t="s">
        <v>71</v>
      </c>
      <c r="E73" s="54" t="s">
        <v>168</v>
      </c>
      <c r="F73" s="209" t="s">
        <v>0</v>
      </c>
    </row>
    <row r="74" spans="1:6">
      <c r="A74" s="52" t="s">
        <v>236</v>
      </c>
      <c r="B74" s="53" t="s">
        <v>237</v>
      </c>
      <c r="C74" s="36" t="s">
        <v>70</v>
      </c>
      <c r="D74" s="37" t="s">
        <v>71</v>
      </c>
      <c r="E74" s="54" t="s">
        <v>168</v>
      </c>
      <c r="F74" s="209" t="s">
        <v>0</v>
      </c>
    </row>
    <row r="75" spans="1:6">
      <c r="A75" s="52" t="s">
        <v>238</v>
      </c>
      <c r="B75" s="53" t="s">
        <v>239</v>
      </c>
      <c r="C75" s="36" t="s">
        <v>70</v>
      </c>
      <c r="D75" s="37" t="s">
        <v>71</v>
      </c>
      <c r="E75" s="54" t="s">
        <v>168</v>
      </c>
      <c r="F75" s="209" t="s">
        <v>0</v>
      </c>
    </row>
    <row r="76" spans="1:6">
      <c r="A76" s="52" t="s">
        <v>240</v>
      </c>
      <c r="B76" s="53" t="s">
        <v>241</v>
      </c>
      <c r="C76" s="36" t="s">
        <v>70</v>
      </c>
      <c r="D76" s="37" t="s">
        <v>71</v>
      </c>
      <c r="E76" s="54" t="s">
        <v>168</v>
      </c>
      <c r="F76" s="209" t="s">
        <v>0</v>
      </c>
    </row>
    <row r="77" spans="1:6">
      <c r="A77" s="52" t="s">
        <v>242</v>
      </c>
      <c r="B77" s="53" t="s">
        <v>243</v>
      </c>
      <c r="C77" s="36" t="s">
        <v>70</v>
      </c>
      <c r="D77" s="37" t="s">
        <v>71</v>
      </c>
      <c r="E77" s="54" t="s">
        <v>168</v>
      </c>
      <c r="F77" s="209" t="s">
        <v>0</v>
      </c>
    </row>
    <row r="78" spans="1:6">
      <c r="A78" s="52" t="s">
        <v>244</v>
      </c>
      <c r="B78" s="53" t="s">
        <v>245</v>
      </c>
      <c r="C78" s="55" t="s">
        <v>70</v>
      </c>
      <c r="D78" s="37" t="s">
        <v>581</v>
      </c>
      <c r="E78" s="38" t="s">
        <v>63</v>
      </c>
      <c r="F78" s="209" t="s">
        <v>0</v>
      </c>
    </row>
    <row r="79" spans="1:6">
      <c r="A79" s="828" t="s">
        <v>1558</v>
      </c>
      <c r="B79" s="829" t="s">
        <v>1559</v>
      </c>
      <c r="C79" s="36" t="s">
        <v>70</v>
      </c>
      <c r="D79" s="37" t="s">
        <v>71</v>
      </c>
      <c r="E79" s="54" t="s">
        <v>168</v>
      </c>
      <c r="F79" s="209" t="s">
        <v>0</v>
      </c>
    </row>
    <row r="80" spans="1:6">
      <c r="A80" s="52" t="s">
        <v>246</v>
      </c>
      <c r="B80" s="53" t="s">
        <v>247</v>
      </c>
      <c r="C80" s="36" t="s">
        <v>70</v>
      </c>
      <c r="D80" s="37" t="s">
        <v>71</v>
      </c>
      <c r="E80" s="54" t="s">
        <v>168</v>
      </c>
      <c r="F80" s="209" t="s">
        <v>0</v>
      </c>
    </row>
    <row r="81" spans="1:6">
      <c r="A81" s="52" t="s">
        <v>1260</v>
      </c>
      <c r="B81" s="53" t="s">
        <v>1261</v>
      </c>
      <c r="C81" s="55" t="s">
        <v>70</v>
      </c>
      <c r="D81" s="37" t="s">
        <v>71</v>
      </c>
      <c r="E81" s="38" t="s">
        <v>63</v>
      </c>
      <c r="F81" s="209" t="s">
        <v>0</v>
      </c>
    </row>
    <row r="82" spans="1:6">
      <c r="A82" s="52" t="s">
        <v>248</v>
      </c>
      <c r="B82" s="53" t="s">
        <v>32</v>
      </c>
      <c r="C82" s="36" t="s">
        <v>70</v>
      </c>
      <c r="D82" s="37" t="s">
        <v>73</v>
      </c>
      <c r="E82" s="54" t="s">
        <v>168</v>
      </c>
      <c r="F82" s="209" t="s">
        <v>0</v>
      </c>
    </row>
    <row r="83" spans="1:6">
      <c r="A83" s="52" t="s">
        <v>249</v>
      </c>
      <c r="B83" s="53" t="s">
        <v>250</v>
      </c>
      <c r="C83" s="36" t="s">
        <v>70</v>
      </c>
      <c r="D83" s="37" t="s">
        <v>73</v>
      </c>
      <c r="E83" s="54" t="s">
        <v>168</v>
      </c>
      <c r="F83" s="209" t="s">
        <v>0</v>
      </c>
    </row>
    <row r="84" spans="1:6">
      <c r="A84" s="52" t="s">
        <v>251</v>
      </c>
      <c r="B84" s="53" t="s">
        <v>34</v>
      </c>
      <c r="C84" s="36" t="s">
        <v>70</v>
      </c>
      <c r="D84" s="37" t="s">
        <v>73</v>
      </c>
      <c r="E84" s="54" t="s">
        <v>168</v>
      </c>
      <c r="F84" s="209" t="s">
        <v>0</v>
      </c>
    </row>
    <row r="85" spans="1:6">
      <c r="A85" s="52" t="s">
        <v>252</v>
      </c>
      <c r="B85" s="53" t="s">
        <v>35</v>
      </c>
      <c r="C85" s="36" t="s">
        <v>70</v>
      </c>
      <c r="D85" s="37" t="s">
        <v>73</v>
      </c>
      <c r="E85" s="54" t="s">
        <v>168</v>
      </c>
      <c r="F85" s="209" t="s">
        <v>0</v>
      </c>
    </row>
    <row r="86" spans="1:6">
      <c r="A86" s="52" t="s">
        <v>253</v>
      </c>
      <c r="B86" s="53" t="s">
        <v>254</v>
      </c>
      <c r="C86" s="36" t="s">
        <v>70</v>
      </c>
      <c r="D86" s="37" t="s">
        <v>73</v>
      </c>
      <c r="E86" s="54" t="s">
        <v>168</v>
      </c>
      <c r="F86" s="209" t="s">
        <v>0</v>
      </c>
    </row>
    <row r="87" spans="1:6">
      <c r="A87" s="52" t="s">
        <v>255</v>
      </c>
      <c r="B87" s="53" t="s">
        <v>35</v>
      </c>
      <c r="C87" s="36" t="s">
        <v>70</v>
      </c>
      <c r="D87" s="37" t="s">
        <v>73</v>
      </c>
      <c r="E87" s="54" t="s">
        <v>168</v>
      </c>
      <c r="F87" s="209" t="s">
        <v>0</v>
      </c>
    </row>
    <row r="88" spans="1:6">
      <c r="A88" s="52" t="s">
        <v>256</v>
      </c>
      <c r="B88" s="53" t="s">
        <v>257</v>
      </c>
      <c r="C88" s="36" t="s">
        <v>70</v>
      </c>
      <c r="D88" s="37" t="s">
        <v>73</v>
      </c>
      <c r="E88" s="54" t="s">
        <v>168</v>
      </c>
      <c r="F88" s="209" t="s">
        <v>0</v>
      </c>
    </row>
    <row r="89" spans="1:6">
      <c r="A89" s="52" t="s">
        <v>258</v>
      </c>
      <c r="B89" s="53" t="s">
        <v>36</v>
      </c>
      <c r="C89" s="36" t="s">
        <v>70</v>
      </c>
      <c r="D89" s="37" t="s">
        <v>266</v>
      </c>
      <c r="E89" s="54" t="s">
        <v>168</v>
      </c>
      <c r="F89" s="209" t="s">
        <v>0</v>
      </c>
    </row>
    <row r="90" spans="1:6">
      <c r="A90" s="52" t="s">
        <v>259</v>
      </c>
      <c r="B90" s="53" t="s">
        <v>32</v>
      </c>
      <c r="C90" s="36" t="s">
        <v>70</v>
      </c>
      <c r="D90" s="37" t="s">
        <v>73</v>
      </c>
      <c r="E90" s="54" t="s">
        <v>168</v>
      </c>
      <c r="F90" s="209" t="s">
        <v>0</v>
      </c>
    </row>
    <row r="91" spans="1:6">
      <c r="A91" s="52" t="s">
        <v>260</v>
      </c>
      <c r="B91" s="53" t="s">
        <v>250</v>
      </c>
      <c r="C91" s="36" t="s">
        <v>70</v>
      </c>
      <c r="D91" s="37" t="s">
        <v>73</v>
      </c>
      <c r="E91" s="54" t="s">
        <v>168</v>
      </c>
      <c r="F91" s="209" t="s">
        <v>0</v>
      </c>
    </row>
    <row r="92" spans="1:6">
      <c r="A92" s="52" t="s">
        <v>261</v>
      </c>
      <c r="B92" s="53" t="s">
        <v>34</v>
      </c>
      <c r="C92" s="36" t="s">
        <v>70</v>
      </c>
      <c r="D92" s="37" t="s">
        <v>73</v>
      </c>
      <c r="E92" s="54" t="s">
        <v>168</v>
      </c>
      <c r="F92" s="209" t="s">
        <v>0</v>
      </c>
    </row>
    <row r="93" spans="1:6">
      <c r="A93" s="52" t="s">
        <v>262</v>
      </c>
      <c r="B93" s="53" t="s">
        <v>35</v>
      </c>
      <c r="C93" s="36" t="s">
        <v>70</v>
      </c>
      <c r="D93" s="37" t="s">
        <v>73</v>
      </c>
      <c r="E93" s="54" t="s">
        <v>168</v>
      </c>
      <c r="F93" s="209" t="s">
        <v>0</v>
      </c>
    </row>
    <row r="94" spans="1:6">
      <c r="A94" s="52" t="s">
        <v>263</v>
      </c>
      <c r="B94" s="53" t="s">
        <v>254</v>
      </c>
      <c r="C94" s="36" t="s">
        <v>70</v>
      </c>
      <c r="D94" s="37" t="s">
        <v>73</v>
      </c>
      <c r="E94" s="54" t="s">
        <v>168</v>
      </c>
      <c r="F94" s="209" t="s">
        <v>0</v>
      </c>
    </row>
    <row r="95" spans="1:6">
      <c r="A95" s="52" t="s">
        <v>264</v>
      </c>
      <c r="B95" s="53" t="s">
        <v>35</v>
      </c>
      <c r="C95" s="36" t="s">
        <v>70</v>
      </c>
      <c r="D95" s="37" t="s">
        <v>73</v>
      </c>
      <c r="E95" s="54" t="s">
        <v>168</v>
      </c>
      <c r="F95" s="209" t="s">
        <v>0</v>
      </c>
    </row>
    <row r="96" spans="1:6">
      <c r="A96" s="52" t="s">
        <v>265</v>
      </c>
      <c r="B96" s="53" t="s">
        <v>36</v>
      </c>
      <c r="C96" s="36" t="s">
        <v>70</v>
      </c>
      <c r="D96" s="37" t="s">
        <v>266</v>
      </c>
      <c r="E96" s="54" t="s">
        <v>168</v>
      </c>
      <c r="F96" s="209" t="s">
        <v>0</v>
      </c>
    </row>
    <row r="97" spans="1:7">
      <c r="A97" s="52" t="s">
        <v>267</v>
      </c>
      <c r="B97" s="53" t="s">
        <v>37</v>
      </c>
      <c r="C97" s="36" t="s">
        <v>70</v>
      </c>
      <c r="D97" s="37" t="s">
        <v>71</v>
      </c>
      <c r="E97" s="54" t="s">
        <v>168</v>
      </c>
      <c r="F97" s="209" t="s">
        <v>0</v>
      </c>
    </row>
    <row r="98" spans="1:7">
      <c r="A98" s="52" t="s">
        <v>268</v>
      </c>
      <c r="B98" s="53" t="s">
        <v>269</v>
      </c>
      <c r="C98" s="36" t="s">
        <v>543</v>
      </c>
      <c r="D98" s="37" t="s">
        <v>542</v>
      </c>
      <c r="E98" s="38" t="s">
        <v>63</v>
      </c>
      <c r="F98" s="209" t="s">
        <v>0</v>
      </c>
    </row>
    <row r="99" spans="1:7">
      <c r="A99" s="52" t="s">
        <v>270</v>
      </c>
      <c r="B99" s="53" t="s">
        <v>271</v>
      </c>
      <c r="C99" s="36" t="s">
        <v>542</v>
      </c>
      <c r="D99" s="37" t="s">
        <v>542</v>
      </c>
      <c r="E99" s="38" t="s">
        <v>63</v>
      </c>
      <c r="F99" s="209" t="s">
        <v>0</v>
      </c>
    </row>
    <row r="100" spans="1:7">
      <c r="A100" s="52" t="s">
        <v>272</v>
      </c>
      <c r="B100" s="53" t="s">
        <v>273</v>
      </c>
      <c r="C100" s="36" t="s">
        <v>542</v>
      </c>
      <c r="D100" s="37" t="s">
        <v>542</v>
      </c>
      <c r="E100" s="38" t="s">
        <v>63</v>
      </c>
      <c r="F100" s="209" t="s">
        <v>0</v>
      </c>
    </row>
    <row r="101" spans="1:7">
      <c r="A101" s="52" t="s">
        <v>274</v>
      </c>
      <c r="B101" s="53" t="s">
        <v>275</v>
      </c>
      <c r="C101" s="36" t="s">
        <v>542</v>
      </c>
      <c r="D101" s="37" t="s">
        <v>542</v>
      </c>
      <c r="E101" s="38" t="s">
        <v>63</v>
      </c>
      <c r="F101" s="209" t="s">
        <v>0</v>
      </c>
    </row>
    <row r="102" spans="1:7">
      <c r="A102" s="52" t="s">
        <v>276</v>
      </c>
      <c r="B102" s="53" t="s">
        <v>39</v>
      </c>
      <c r="C102" s="36" t="s">
        <v>72</v>
      </c>
      <c r="D102" s="37" t="s">
        <v>280</v>
      </c>
      <c r="E102" s="38" t="s">
        <v>63</v>
      </c>
      <c r="F102" s="209" t="s">
        <v>0</v>
      </c>
    </row>
    <row r="103" spans="1:7">
      <c r="A103" s="52" t="s">
        <v>277</v>
      </c>
      <c r="B103" s="57" t="s">
        <v>278</v>
      </c>
      <c r="C103" s="36" t="s">
        <v>72</v>
      </c>
      <c r="D103" s="37" t="s">
        <v>281</v>
      </c>
      <c r="E103" s="38" t="s">
        <v>63</v>
      </c>
      <c r="F103" s="209" t="s">
        <v>0</v>
      </c>
    </row>
    <row r="104" spans="1:7">
      <c r="A104" s="52" t="s">
        <v>873</v>
      </c>
      <c r="B104" s="388" t="s">
        <v>874</v>
      </c>
      <c r="C104" s="36" t="s">
        <v>92</v>
      </c>
      <c r="D104" s="37" t="s">
        <v>92</v>
      </c>
      <c r="E104" s="54" t="s">
        <v>168</v>
      </c>
      <c r="F104" s="210" t="s">
        <v>92</v>
      </c>
      <c r="G104" s="666" t="s">
        <v>1477</v>
      </c>
    </row>
    <row r="105" spans="1:7">
      <c r="A105" s="52" t="s">
        <v>871</v>
      </c>
      <c r="B105" s="53" t="s">
        <v>872</v>
      </c>
      <c r="C105" s="36" t="s">
        <v>92</v>
      </c>
      <c r="D105" s="37" t="s">
        <v>92</v>
      </c>
      <c r="E105" s="54" t="s">
        <v>168</v>
      </c>
      <c r="F105" s="210" t="s">
        <v>92</v>
      </c>
      <c r="G105" s="666" t="s">
        <v>1477</v>
      </c>
    </row>
    <row r="106" spans="1:7">
      <c r="A106" s="52" t="s">
        <v>279</v>
      </c>
      <c r="B106" s="53" t="s">
        <v>54</v>
      </c>
      <c r="C106" s="36" t="s">
        <v>92</v>
      </c>
      <c r="D106" s="37" t="s">
        <v>92</v>
      </c>
      <c r="E106" s="54" t="s">
        <v>168</v>
      </c>
      <c r="F106" s="210" t="s">
        <v>92</v>
      </c>
      <c r="G106" s="666" t="s">
        <v>1477</v>
      </c>
    </row>
    <row r="107" spans="1:7">
      <c r="A107" s="52" t="s">
        <v>282</v>
      </c>
      <c r="B107" s="53" t="s">
        <v>283</v>
      </c>
      <c r="C107" s="36" t="s">
        <v>84</v>
      </c>
      <c r="D107" s="37" t="s">
        <v>85</v>
      </c>
      <c r="E107" s="41" t="s">
        <v>80</v>
      </c>
      <c r="F107" s="209" t="s">
        <v>1</v>
      </c>
    </row>
    <row r="108" spans="1:7">
      <c r="A108" s="52" t="s">
        <v>284</v>
      </c>
      <c r="B108" s="53" t="s">
        <v>285</v>
      </c>
      <c r="C108" s="36" t="s">
        <v>84</v>
      </c>
      <c r="D108" s="37" t="s">
        <v>85</v>
      </c>
      <c r="E108" s="41" t="s">
        <v>80</v>
      </c>
      <c r="F108" s="209" t="s">
        <v>1</v>
      </c>
    </row>
    <row r="109" spans="1:7">
      <c r="A109" s="52" t="s">
        <v>286</v>
      </c>
      <c r="B109" s="53" t="s">
        <v>287</v>
      </c>
      <c r="C109" s="36" t="s">
        <v>84</v>
      </c>
      <c r="D109" s="37" t="s">
        <v>85</v>
      </c>
      <c r="E109" s="41" t="s">
        <v>80</v>
      </c>
      <c r="F109" s="209" t="s">
        <v>1</v>
      </c>
    </row>
    <row r="110" spans="1:7">
      <c r="A110" s="52" t="s">
        <v>288</v>
      </c>
      <c r="B110" s="53" t="s">
        <v>289</v>
      </c>
      <c r="C110" s="36" t="s">
        <v>78</v>
      </c>
      <c r="D110" s="40" t="s">
        <v>79</v>
      </c>
      <c r="E110" s="41" t="s">
        <v>80</v>
      </c>
      <c r="F110" s="209" t="s">
        <v>1</v>
      </c>
    </row>
    <row r="111" spans="1:7">
      <c r="A111" s="52" t="s">
        <v>290</v>
      </c>
      <c r="B111" s="53" t="s">
        <v>291</v>
      </c>
      <c r="C111" s="36" t="s">
        <v>78</v>
      </c>
      <c r="D111" s="40" t="s">
        <v>79</v>
      </c>
      <c r="E111" s="41" t="s">
        <v>80</v>
      </c>
      <c r="F111" s="209" t="s">
        <v>1</v>
      </c>
    </row>
    <row r="112" spans="1:7">
      <c r="A112" s="52" t="s">
        <v>292</v>
      </c>
      <c r="B112" s="53" t="s">
        <v>293</v>
      </c>
      <c r="C112" s="36" t="s">
        <v>78</v>
      </c>
      <c r="D112" s="40" t="s">
        <v>79</v>
      </c>
      <c r="E112" s="41" t="s">
        <v>80</v>
      </c>
      <c r="F112" s="209" t="s">
        <v>1</v>
      </c>
    </row>
    <row r="113" spans="1:6">
      <c r="A113" s="52" t="s">
        <v>294</v>
      </c>
      <c r="B113" s="53" t="s">
        <v>295</v>
      </c>
      <c r="C113" s="36" t="s">
        <v>78</v>
      </c>
      <c r="D113" s="40" t="s">
        <v>79</v>
      </c>
      <c r="E113" s="41" t="s">
        <v>80</v>
      </c>
      <c r="F113" s="209" t="s">
        <v>1</v>
      </c>
    </row>
    <row r="114" spans="1:6">
      <c r="A114" s="52" t="s">
        <v>296</v>
      </c>
      <c r="B114" s="53" t="s">
        <v>297</v>
      </c>
      <c r="C114" s="36" t="s">
        <v>78</v>
      </c>
      <c r="D114" s="40" t="s">
        <v>79</v>
      </c>
      <c r="E114" s="41" t="s">
        <v>80</v>
      </c>
      <c r="F114" s="209" t="s">
        <v>1</v>
      </c>
    </row>
    <row r="115" spans="1:6">
      <c r="A115" s="52" t="s">
        <v>298</v>
      </c>
      <c r="B115" s="53" t="s">
        <v>299</v>
      </c>
      <c r="C115" s="36" t="s">
        <v>78</v>
      </c>
      <c r="D115" s="40" t="s">
        <v>79</v>
      </c>
      <c r="E115" s="41" t="s">
        <v>80</v>
      </c>
      <c r="F115" s="209" t="s">
        <v>1</v>
      </c>
    </row>
    <row r="116" spans="1:6">
      <c r="A116" s="52" t="s">
        <v>300</v>
      </c>
      <c r="B116" s="53" t="s">
        <v>44</v>
      </c>
      <c r="C116" s="36" t="s">
        <v>78</v>
      </c>
      <c r="D116" s="40" t="s">
        <v>81</v>
      </c>
      <c r="E116" s="41" t="s">
        <v>80</v>
      </c>
      <c r="F116" s="209" t="s">
        <v>1</v>
      </c>
    </row>
    <row r="117" spans="1:6">
      <c r="A117" s="52" t="s">
        <v>301</v>
      </c>
      <c r="B117" s="53" t="s">
        <v>302</v>
      </c>
      <c r="C117" s="36" t="s">
        <v>78</v>
      </c>
      <c r="D117" s="40" t="s">
        <v>81</v>
      </c>
      <c r="E117" s="41" t="s">
        <v>80</v>
      </c>
      <c r="F117" s="209" t="s">
        <v>1</v>
      </c>
    </row>
    <row r="118" spans="1:6">
      <c r="A118" s="52" t="s">
        <v>303</v>
      </c>
      <c r="B118" s="53" t="s">
        <v>304</v>
      </c>
      <c r="C118" s="36" t="s">
        <v>78</v>
      </c>
      <c r="D118" s="40" t="s">
        <v>81</v>
      </c>
      <c r="E118" s="41" t="s">
        <v>80</v>
      </c>
      <c r="F118" s="209" t="s">
        <v>1</v>
      </c>
    </row>
    <row r="119" spans="1:6">
      <c r="A119" s="52" t="s">
        <v>305</v>
      </c>
      <c r="B119" s="53" t="s">
        <v>306</v>
      </c>
      <c r="C119" s="36" t="s">
        <v>78</v>
      </c>
      <c r="D119" s="40" t="s">
        <v>81</v>
      </c>
      <c r="E119" s="41" t="s">
        <v>80</v>
      </c>
      <c r="F119" s="209" t="s">
        <v>1</v>
      </c>
    </row>
    <row r="120" spans="1:6">
      <c r="A120" s="52" t="s">
        <v>307</v>
      </c>
      <c r="B120" s="53" t="s">
        <v>308</v>
      </c>
      <c r="C120" s="36" t="s">
        <v>78</v>
      </c>
      <c r="D120" s="40" t="s">
        <v>81</v>
      </c>
      <c r="E120" s="41" t="s">
        <v>80</v>
      </c>
      <c r="F120" s="209" t="s">
        <v>1</v>
      </c>
    </row>
    <row r="121" spans="1:6">
      <c r="A121" s="52" t="s">
        <v>309</v>
      </c>
      <c r="B121" s="53" t="s">
        <v>310</v>
      </c>
      <c r="C121" s="36" t="s">
        <v>78</v>
      </c>
      <c r="D121" s="40" t="s">
        <v>81</v>
      </c>
      <c r="E121" s="41" t="s">
        <v>80</v>
      </c>
      <c r="F121" s="209" t="s">
        <v>1</v>
      </c>
    </row>
    <row r="122" spans="1:6">
      <c r="A122" s="52" t="s">
        <v>311</v>
      </c>
      <c r="B122" s="53" t="s">
        <v>312</v>
      </c>
      <c r="C122" s="36" t="s">
        <v>82</v>
      </c>
      <c r="D122" s="40" t="s">
        <v>83</v>
      </c>
      <c r="E122" s="41" t="s">
        <v>80</v>
      </c>
      <c r="F122" s="209" t="s">
        <v>1</v>
      </c>
    </row>
    <row r="123" spans="1:6">
      <c r="A123" s="52" t="s">
        <v>313</v>
      </c>
      <c r="B123" s="53" t="s">
        <v>314</v>
      </c>
      <c r="C123" s="36" t="s">
        <v>82</v>
      </c>
      <c r="D123" s="40" t="s">
        <v>83</v>
      </c>
      <c r="E123" s="41" t="s">
        <v>80</v>
      </c>
      <c r="F123" s="209" t="s">
        <v>1</v>
      </c>
    </row>
    <row r="124" spans="1:6">
      <c r="A124" s="52" t="s">
        <v>315</v>
      </c>
      <c r="B124" s="53" t="s">
        <v>316</v>
      </c>
      <c r="C124" s="36" t="s">
        <v>84</v>
      </c>
      <c r="D124" s="37" t="s">
        <v>85</v>
      </c>
      <c r="E124" s="41" t="s">
        <v>80</v>
      </c>
      <c r="F124" s="209" t="s">
        <v>1</v>
      </c>
    </row>
    <row r="125" spans="1:6">
      <c r="A125" s="52" t="s">
        <v>317</v>
      </c>
      <c r="B125" s="53" t="s">
        <v>318</v>
      </c>
      <c r="C125" s="36" t="s">
        <v>84</v>
      </c>
      <c r="D125" s="37" t="s">
        <v>85</v>
      </c>
      <c r="E125" s="41" t="s">
        <v>80</v>
      </c>
      <c r="F125" s="209" t="s">
        <v>1</v>
      </c>
    </row>
    <row r="126" spans="1:6">
      <c r="A126" s="52" t="s">
        <v>319</v>
      </c>
      <c r="B126" s="53" t="s">
        <v>320</v>
      </c>
      <c r="C126" s="36" t="s">
        <v>84</v>
      </c>
      <c r="D126" s="37" t="s">
        <v>85</v>
      </c>
      <c r="E126" s="41" t="s">
        <v>80</v>
      </c>
      <c r="F126" s="209" t="s">
        <v>1</v>
      </c>
    </row>
    <row r="127" spans="1:6">
      <c r="A127" s="52" t="s">
        <v>321</v>
      </c>
      <c r="B127" s="53" t="s">
        <v>322</v>
      </c>
      <c r="C127" s="36" t="s">
        <v>84</v>
      </c>
      <c r="D127" s="37" t="s">
        <v>85</v>
      </c>
      <c r="E127" s="41" t="s">
        <v>80</v>
      </c>
      <c r="F127" s="209" t="s">
        <v>1</v>
      </c>
    </row>
    <row r="128" spans="1:6">
      <c r="A128" s="52" t="s">
        <v>323</v>
      </c>
      <c r="B128" s="53" t="s">
        <v>324</v>
      </c>
      <c r="C128" s="36" t="s">
        <v>84</v>
      </c>
      <c r="D128" s="37" t="s">
        <v>85</v>
      </c>
      <c r="E128" s="41" t="s">
        <v>80</v>
      </c>
      <c r="F128" s="209" t="s">
        <v>1</v>
      </c>
    </row>
    <row r="129" spans="1:6">
      <c r="A129" s="52" t="s">
        <v>325</v>
      </c>
      <c r="B129" s="53" t="s">
        <v>326</v>
      </c>
      <c r="C129" s="36" t="s">
        <v>84</v>
      </c>
      <c r="D129" s="37" t="s">
        <v>85</v>
      </c>
      <c r="E129" s="41" t="s">
        <v>80</v>
      </c>
      <c r="F129" s="209" t="s">
        <v>1</v>
      </c>
    </row>
    <row r="130" spans="1:6">
      <c r="A130" s="52" t="s">
        <v>327</v>
      </c>
      <c r="B130" s="53" t="s">
        <v>328</v>
      </c>
      <c r="C130" s="36" t="s">
        <v>84</v>
      </c>
      <c r="D130" s="37" t="s">
        <v>456</v>
      </c>
      <c r="E130" s="41" t="s">
        <v>80</v>
      </c>
      <c r="F130" s="209" t="s">
        <v>1</v>
      </c>
    </row>
    <row r="131" spans="1:6">
      <c r="A131" s="52" t="s">
        <v>329</v>
      </c>
      <c r="B131" s="53" t="s">
        <v>330</v>
      </c>
      <c r="C131" s="36" t="s">
        <v>84</v>
      </c>
      <c r="D131" s="37" t="s">
        <v>456</v>
      </c>
      <c r="E131" s="41" t="s">
        <v>80</v>
      </c>
      <c r="F131" s="209" t="s">
        <v>1</v>
      </c>
    </row>
    <row r="132" spans="1:6">
      <c r="A132" s="52" t="s">
        <v>331</v>
      </c>
      <c r="B132" s="53" t="s">
        <v>332</v>
      </c>
      <c r="C132" s="36" t="s">
        <v>457</v>
      </c>
      <c r="D132" s="40" t="s">
        <v>458</v>
      </c>
      <c r="E132" s="41" t="s">
        <v>80</v>
      </c>
      <c r="F132" s="209" t="s">
        <v>1</v>
      </c>
    </row>
    <row r="133" spans="1:6">
      <c r="A133" s="52" t="s">
        <v>333</v>
      </c>
      <c r="B133" s="53" t="s">
        <v>334</v>
      </c>
      <c r="C133" s="36" t="s">
        <v>457</v>
      </c>
      <c r="D133" s="40" t="s">
        <v>458</v>
      </c>
      <c r="E133" s="41" t="s">
        <v>80</v>
      </c>
      <c r="F133" s="209" t="s">
        <v>1</v>
      </c>
    </row>
    <row r="134" spans="1:6">
      <c r="A134" s="52" t="s">
        <v>335</v>
      </c>
      <c r="B134" s="53" t="s">
        <v>336</v>
      </c>
      <c r="C134" s="36" t="s">
        <v>559</v>
      </c>
      <c r="D134" s="37" t="s">
        <v>559</v>
      </c>
      <c r="E134" s="41" t="s">
        <v>80</v>
      </c>
      <c r="F134" s="209" t="s">
        <v>1</v>
      </c>
    </row>
    <row r="135" spans="1:6">
      <c r="A135" s="52" t="s">
        <v>337</v>
      </c>
      <c r="B135" s="53" t="s">
        <v>338</v>
      </c>
      <c r="C135" s="36" t="s">
        <v>558</v>
      </c>
      <c r="D135" s="37" t="s">
        <v>559</v>
      </c>
      <c r="E135" s="41" t="s">
        <v>80</v>
      </c>
      <c r="F135" s="209" t="s">
        <v>1</v>
      </c>
    </row>
    <row r="136" spans="1:6">
      <c r="A136" s="52" t="s">
        <v>339</v>
      </c>
      <c r="B136" s="53" t="s">
        <v>340</v>
      </c>
      <c r="C136" s="36" t="s">
        <v>558</v>
      </c>
      <c r="D136" s="37" t="s">
        <v>559</v>
      </c>
      <c r="E136" s="41" t="s">
        <v>80</v>
      </c>
      <c r="F136" s="209" t="s">
        <v>1</v>
      </c>
    </row>
    <row r="137" spans="1:6">
      <c r="A137" s="52" t="s">
        <v>341</v>
      </c>
      <c r="B137" s="53" t="s">
        <v>342</v>
      </c>
      <c r="C137" s="36" t="s">
        <v>558</v>
      </c>
      <c r="D137" s="37" t="s">
        <v>559</v>
      </c>
      <c r="E137" s="41" t="s">
        <v>80</v>
      </c>
      <c r="F137" s="209" t="s">
        <v>1</v>
      </c>
    </row>
    <row r="138" spans="1:6">
      <c r="A138" s="52" t="s">
        <v>343</v>
      </c>
      <c r="B138" s="53" t="s">
        <v>344</v>
      </c>
      <c r="C138" s="55" t="s">
        <v>89</v>
      </c>
      <c r="D138" s="37" t="s">
        <v>570</v>
      </c>
      <c r="E138" s="41" t="s">
        <v>80</v>
      </c>
      <c r="F138" s="209" t="s">
        <v>1</v>
      </c>
    </row>
    <row r="139" spans="1:6">
      <c r="A139" s="52" t="s">
        <v>345</v>
      </c>
      <c r="B139" s="53" t="s">
        <v>46</v>
      </c>
      <c r="C139" s="55" t="s">
        <v>89</v>
      </c>
      <c r="D139" s="37" t="s">
        <v>570</v>
      </c>
      <c r="E139" s="41" t="s">
        <v>80</v>
      </c>
      <c r="F139" s="209" t="s">
        <v>1</v>
      </c>
    </row>
    <row r="140" spans="1:6">
      <c r="A140" s="52" t="s">
        <v>346</v>
      </c>
      <c r="B140" s="53" t="s">
        <v>347</v>
      </c>
      <c r="C140" s="55" t="s">
        <v>89</v>
      </c>
      <c r="D140" s="37" t="s">
        <v>570</v>
      </c>
      <c r="E140" s="41" t="s">
        <v>80</v>
      </c>
      <c r="F140" s="209" t="s">
        <v>1</v>
      </c>
    </row>
    <row r="141" spans="1:6">
      <c r="A141" s="52" t="s">
        <v>348</v>
      </c>
      <c r="B141" s="53" t="s">
        <v>349</v>
      </c>
      <c r="C141" s="55" t="s">
        <v>89</v>
      </c>
      <c r="D141" s="37" t="s">
        <v>570</v>
      </c>
      <c r="E141" s="41" t="s">
        <v>80</v>
      </c>
      <c r="F141" s="209" t="s">
        <v>1</v>
      </c>
    </row>
    <row r="142" spans="1:6">
      <c r="A142" s="52" t="s">
        <v>350</v>
      </c>
      <c r="B142" s="53" t="s">
        <v>351</v>
      </c>
      <c r="C142" s="36" t="s">
        <v>89</v>
      </c>
      <c r="D142" s="37" t="s">
        <v>570</v>
      </c>
      <c r="E142" s="41" t="s">
        <v>80</v>
      </c>
      <c r="F142" s="209" t="s">
        <v>1</v>
      </c>
    </row>
    <row r="143" spans="1:6">
      <c r="A143" s="52" t="s">
        <v>352</v>
      </c>
      <c r="B143" s="53" t="s">
        <v>41</v>
      </c>
      <c r="C143" s="36" t="s">
        <v>89</v>
      </c>
      <c r="D143" s="37" t="s">
        <v>570</v>
      </c>
      <c r="E143" s="41" t="s">
        <v>80</v>
      </c>
      <c r="F143" s="209" t="s">
        <v>1</v>
      </c>
    </row>
    <row r="144" spans="1:6">
      <c r="A144" s="52" t="s">
        <v>353</v>
      </c>
      <c r="B144" s="53" t="s">
        <v>354</v>
      </c>
      <c r="C144" s="36" t="s">
        <v>89</v>
      </c>
      <c r="D144" s="37" t="s">
        <v>570</v>
      </c>
      <c r="E144" s="41" t="s">
        <v>80</v>
      </c>
      <c r="F144" s="209" t="s">
        <v>1</v>
      </c>
    </row>
    <row r="145" spans="1:7">
      <c r="A145" s="52" t="s">
        <v>1453</v>
      </c>
      <c r="B145" s="53" t="s">
        <v>1454</v>
      </c>
      <c r="C145" s="36" t="s">
        <v>89</v>
      </c>
      <c r="D145" s="37" t="s">
        <v>570</v>
      </c>
      <c r="E145" s="41" t="s">
        <v>80</v>
      </c>
      <c r="F145" s="209" t="s">
        <v>1</v>
      </c>
    </row>
    <row r="146" spans="1:7">
      <c r="A146" s="52" t="s">
        <v>355</v>
      </c>
      <c r="B146" s="53" t="s">
        <v>356</v>
      </c>
      <c r="C146" s="36" t="s">
        <v>89</v>
      </c>
      <c r="D146" s="37" t="s">
        <v>570</v>
      </c>
      <c r="E146" s="41" t="s">
        <v>80</v>
      </c>
      <c r="F146" s="209" t="s">
        <v>1</v>
      </c>
    </row>
    <row r="147" spans="1:7">
      <c r="A147" s="52" t="s">
        <v>357</v>
      </c>
      <c r="B147" s="53" t="s">
        <v>358</v>
      </c>
      <c r="C147" s="36" t="s">
        <v>89</v>
      </c>
      <c r="D147" s="37" t="s">
        <v>570</v>
      </c>
      <c r="E147" s="41" t="s">
        <v>80</v>
      </c>
      <c r="F147" s="209" t="s">
        <v>1</v>
      </c>
    </row>
    <row r="148" spans="1:7">
      <c r="A148" s="52" t="s">
        <v>359</v>
      </c>
      <c r="B148" s="53" t="s">
        <v>360</v>
      </c>
      <c r="C148" s="36" t="s">
        <v>89</v>
      </c>
      <c r="D148" s="37" t="s">
        <v>570</v>
      </c>
      <c r="E148" s="41" t="s">
        <v>80</v>
      </c>
      <c r="F148" s="209" t="s">
        <v>1</v>
      </c>
    </row>
    <row r="149" spans="1:7">
      <c r="A149" s="52" t="s">
        <v>361</v>
      </c>
      <c r="B149" s="53" t="s">
        <v>362</v>
      </c>
      <c r="C149" s="653" t="s">
        <v>70</v>
      </c>
      <c r="D149" s="654" t="s">
        <v>71</v>
      </c>
      <c r="E149" s="54" t="s">
        <v>168</v>
      </c>
      <c r="F149" s="670" t="s">
        <v>0</v>
      </c>
      <c r="G149" s="666" t="s">
        <v>1475</v>
      </c>
    </row>
    <row r="150" spans="1:7">
      <c r="A150" s="52" t="s">
        <v>363</v>
      </c>
      <c r="B150" s="53" t="s">
        <v>364</v>
      </c>
      <c r="C150" s="653" t="s">
        <v>70</v>
      </c>
      <c r="D150" s="654" t="s">
        <v>71</v>
      </c>
      <c r="E150" s="54" t="s">
        <v>168</v>
      </c>
      <c r="F150" s="670" t="s">
        <v>0</v>
      </c>
      <c r="G150" s="666" t="s">
        <v>1475</v>
      </c>
    </row>
    <row r="151" spans="1:7">
      <c r="A151" s="52" t="s">
        <v>365</v>
      </c>
      <c r="B151" s="53" t="s">
        <v>366</v>
      </c>
      <c r="C151" s="653" t="s">
        <v>70</v>
      </c>
      <c r="D151" s="654" t="s">
        <v>71</v>
      </c>
      <c r="E151" s="54" t="s">
        <v>168</v>
      </c>
      <c r="F151" s="670" t="s">
        <v>0</v>
      </c>
      <c r="G151" s="666" t="s">
        <v>1475</v>
      </c>
    </row>
    <row r="152" spans="1:7">
      <c r="A152" s="52" t="s">
        <v>367</v>
      </c>
      <c r="B152" s="53" t="s">
        <v>368</v>
      </c>
      <c r="C152" s="653" t="s">
        <v>70</v>
      </c>
      <c r="D152" s="654" t="s">
        <v>71</v>
      </c>
      <c r="E152" s="54" t="s">
        <v>168</v>
      </c>
      <c r="F152" s="670" t="s">
        <v>0</v>
      </c>
      <c r="G152" s="666" t="s">
        <v>1475</v>
      </c>
    </row>
    <row r="153" spans="1:7">
      <c r="A153" s="52" t="s">
        <v>369</v>
      </c>
      <c r="B153" s="53" t="s">
        <v>370</v>
      </c>
      <c r="C153" s="653" t="s">
        <v>70</v>
      </c>
      <c r="D153" s="654" t="s">
        <v>71</v>
      </c>
      <c r="E153" s="54" t="s">
        <v>168</v>
      </c>
      <c r="F153" s="670" t="s">
        <v>0</v>
      </c>
      <c r="G153" s="666" t="s">
        <v>1475</v>
      </c>
    </row>
    <row r="154" spans="1:7">
      <c r="A154" s="52" t="s">
        <v>371</v>
      </c>
      <c r="B154" s="53" t="s">
        <v>42</v>
      </c>
      <c r="C154" s="653" t="s">
        <v>70</v>
      </c>
      <c r="D154" s="654" t="s">
        <v>71</v>
      </c>
      <c r="E154" s="54" t="s">
        <v>168</v>
      </c>
      <c r="F154" s="670" t="s">
        <v>0</v>
      </c>
      <c r="G154" s="666" t="s">
        <v>1475</v>
      </c>
    </row>
    <row r="155" spans="1:7">
      <c r="A155" s="52" t="s">
        <v>372</v>
      </c>
      <c r="B155" s="53" t="s">
        <v>373</v>
      </c>
      <c r="C155" s="653" t="s">
        <v>70</v>
      </c>
      <c r="D155" s="654" t="s">
        <v>71</v>
      </c>
      <c r="E155" s="54" t="s">
        <v>168</v>
      </c>
      <c r="F155" s="670" t="s">
        <v>0</v>
      </c>
      <c r="G155" s="666" t="s">
        <v>1475</v>
      </c>
    </row>
    <row r="156" spans="1:7">
      <c r="A156" s="52" t="s">
        <v>374</v>
      </c>
      <c r="B156" s="53" t="s">
        <v>375</v>
      </c>
      <c r="C156" s="653" t="s">
        <v>70</v>
      </c>
      <c r="D156" s="654" t="s">
        <v>71</v>
      </c>
      <c r="E156" s="54" t="s">
        <v>168</v>
      </c>
      <c r="F156" s="670" t="s">
        <v>0</v>
      </c>
      <c r="G156" s="666" t="s">
        <v>1475</v>
      </c>
    </row>
    <row r="157" spans="1:7">
      <c r="A157" s="52" t="s">
        <v>376</v>
      </c>
      <c r="B157" s="53" t="s">
        <v>377</v>
      </c>
      <c r="C157" s="653" t="s">
        <v>70</v>
      </c>
      <c r="D157" s="654" t="s">
        <v>71</v>
      </c>
      <c r="E157" s="54" t="s">
        <v>168</v>
      </c>
      <c r="F157" s="670" t="s">
        <v>0</v>
      </c>
      <c r="G157" s="666" t="s">
        <v>1475</v>
      </c>
    </row>
    <row r="158" spans="1:7">
      <c r="A158" s="52" t="s">
        <v>378</v>
      </c>
      <c r="B158" s="53" t="s">
        <v>379</v>
      </c>
      <c r="C158" s="653" t="s">
        <v>70</v>
      </c>
      <c r="D158" s="654" t="s">
        <v>71</v>
      </c>
      <c r="E158" s="54" t="s">
        <v>168</v>
      </c>
      <c r="F158" s="670" t="s">
        <v>0</v>
      </c>
      <c r="G158" s="666" t="s">
        <v>1475</v>
      </c>
    </row>
    <row r="159" spans="1:7">
      <c r="A159" s="52" t="s">
        <v>380</v>
      </c>
      <c r="B159" s="53" t="s">
        <v>381</v>
      </c>
      <c r="C159" s="653" t="s">
        <v>70</v>
      </c>
      <c r="D159" s="654" t="s">
        <v>71</v>
      </c>
      <c r="E159" s="54" t="s">
        <v>168</v>
      </c>
      <c r="F159" s="670" t="s">
        <v>0</v>
      </c>
      <c r="G159" s="666" t="s">
        <v>1475</v>
      </c>
    </row>
    <row r="160" spans="1:7">
      <c r="A160" s="52" t="s">
        <v>382</v>
      </c>
      <c r="B160" s="53" t="s">
        <v>383</v>
      </c>
      <c r="C160" s="653" t="s">
        <v>70</v>
      </c>
      <c r="D160" s="654" t="s">
        <v>71</v>
      </c>
      <c r="E160" s="54" t="s">
        <v>168</v>
      </c>
      <c r="F160" s="670" t="s">
        <v>0</v>
      </c>
      <c r="G160" s="666" t="s">
        <v>1475</v>
      </c>
    </row>
    <row r="161" spans="1:7">
      <c r="A161" s="52" t="s">
        <v>384</v>
      </c>
      <c r="B161" s="53" t="s">
        <v>385</v>
      </c>
      <c r="C161" s="653" t="s">
        <v>70</v>
      </c>
      <c r="D161" s="654" t="s">
        <v>71</v>
      </c>
      <c r="E161" s="54" t="s">
        <v>168</v>
      </c>
      <c r="F161" s="670" t="s">
        <v>0</v>
      </c>
      <c r="G161" s="666" t="s">
        <v>1475</v>
      </c>
    </row>
    <row r="162" spans="1:7">
      <c r="A162" s="52" t="s">
        <v>386</v>
      </c>
      <c r="B162" s="53" t="s">
        <v>387</v>
      </c>
      <c r="C162" s="653" t="s">
        <v>70</v>
      </c>
      <c r="D162" s="654" t="s">
        <v>71</v>
      </c>
      <c r="E162" s="54" t="s">
        <v>168</v>
      </c>
      <c r="F162" s="670" t="s">
        <v>0</v>
      </c>
      <c r="G162" s="666" t="s">
        <v>1475</v>
      </c>
    </row>
    <row r="163" spans="1:7">
      <c r="A163" s="52" t="s">
        <v>388</v>
      </c>
      <c r="B163" s="53" t="s">
        <v>389</v>
      </c>
      <c r="C163" s="653" t="s">
        <v>70</v>
      </c>
      <c r="D163" s="654" t="s">
        <v>71</v>
      </c>
      <c r="E163" s="54" t="s">
        <v>168</v>
      </c>
      <c r="F163" s="670" t="s">
        <v>0</v>
      </c>
      <c r="G163" s="666" t="s">
        <v>1475</v>
      </c>
    </row>
    <row r="164" spans="1:7">
      <c r="A164" s="52" t="s">
        <v>390</v>
      </c>
      <c r="B164" s="53" t="s">
        <v>391</v>
      </c>
      <c r="C164" s="653" t="s">
        <v>70</v>
      </c>
      <c r="D164" s="654" t="s">
        <v>71</v>
      </c>
      <c r="E164" s="54" t="s">
        <v>168</v>
      </c>
      <c r="F164" s="670" t="s">
        <v>0</v>
      </c>
      <c r="G164" s="666" t="s">
        <v>1475</v>
      </c>
    </row>
    <row r="165" spans="1:7">
      <c r="A165" s="52" t="s">
        <v>392</v>
      </c>
      <c r="B165" s="53" t="s">
        <v>393</v>
      </c>
      <c r="C165" s="653" t="s">
        <v>70</v>
      </c>
      <c r="D165" s="654" t="s">
        <v>71</v>
      </c>
      <c r="E165" s="54" t="s">
        <v>168</v>
      </c>
      <c r="F165" s="670" t="s">
        <v>0</v>
      </c>
      <c r="G165" s="666" t="s">
        <v>1475</v>
      </c>
    </row>
    <row r="166" spans="1:7">
      <c r="A166" s="52" t="s">
        <v>394</v>
      </c>
      <c r="B166" s="53" t="s">
        <v>395</v>
      </c>
      <c r="C166" s="653" t="s">
        <v>70</v>
      </c>
      <c r="D166" s="654" t="s">
        <v>71</v>
      </c>
      <c r="E166" s="54" t="s">
        <v>168</v>
      </c>
      <c r="F166" s="670" t="s">
        <v>0</v>
      </c>
      <c r="G166" s="666" t="s">
        <v>1475</v>
      </c>
    </row>
    <row r="167" spans="1:7">
      <c r="A167" s="52" t="s">
        <v>396</v>
      </c>
      <c r="B167" s="53" t="s">
        <v>397</v>
      </c>
      <c r="C167" s="653" t="s">
        <v>70</v>
      </c>
      <c r="D167" s="654" t="s">
        <v>71</v>
      </c>
      <c r="E167" s="54" t="s">
        <v>168</v>
      </c>
      <c r="F167" s="670" t="s">
        <v>0</v>
      </c>
      <c r="G167" s="666" t="s">
        <v>1475</v>
      </c>
    </row>
    <row r="168" spans="1:7">
      <c r="A168" s="52" t="s">
        <v>398</v>
      </c>
      <c r="B168" s="53" t="s">
        <v>399</v>
      </c>
      <c r="C168" s="653" t="s">
        <v>70</v>
      </c>
      <c r="D168" s="654" t="s">
        <v>71</v>
      </c>
      <c r="E168" s="54" t="s">
        <v>168</v>
      </c>
      <c r="F168" s="670" t="s">
        <v>0</v>
      </c>
      <c r="G168" s="666" t="s">
        <v>1475</v>
      </c>
    </row>
    <row r="169" spans="1:7">
      <c r="A169" s="52" t="s">
        <v>400</v>
      </c>
      <c r="B169" s="53" t="s">
        <v>401</v>
      </c>
      <c r="C169" s="653" t="s">
        <v>70</v>
      </c>
      <c r="D169" s="654" t="s">
        <v>71</v>
      </c>
      <c r="E169" s="54" t="s">
        <v>168</v>
      </c>
      <c r="F169" s="670" t="s">
        <v>0</v>
      </c>
      <c r="G169" s="666" t="s">
        <v>1475</v>
      </c>
    </row>
    <row r="170" spans="1:7">
      <c r="A170" s="52" t="s">
        <v>402</v>
      </c>
      <c r="B170" s="53" t="s">
        <v>403</v>
      </c>
      <c r="C170" s="653" t="s">
        <v>70</v>
      </c>
      <c r="D170" s="654" t="s">
        <v>71</v>
      </c>
      <c r="E170" s="54" t="s">
        <v>168</v>
      </c>
      <c r="F170" s="670" t="s">
        <v>0</v>
      </c>
      <c r="G170" s="666" t="s">
        <v>1475</v>
      </c>
    </row>
    <row r="171" spans="1:7">
      <c r="A171" s="52" t="s">
        <v>404</v>
      </c>
      <c r="B171" s="53" t="s">
        <v>405</v>
      </c>
      <c r="C171" s="653" t="s">
        <v>70</v>
      </c>
      <c r="D171" s="654" t="s">
        <v>71</v>
      </c>
      <c r="E171" s="54" t="s">
        <v>168</v>
      </c>
      <c r="F171" s="670" t="s">
        <v>0</v>
      </c>
      <c r="G171" s="666" t="s">
        <v>1475</v>
      </c>
    </row>
    <row r="172" spans="1:7">
      <c r="A172" s="52" t="s">
        <v>406</v>
      </c>
      <c r="B172" s="53" t="s">
        <v>407</v>
      </c>
      <c r="C172" s="36" t="s">
        <v>89</v>
      </c>
      <c r="D172" s="37" t="s">
        <v>91</v>
      </c>
      <c r="E172" s="54" t="s">
        <v>168</v>
      </c>
      <c r="F172" s="209" t="s">
        <v>1</v>
      </c>
    </row>
    <row r="173" spans="1:7">
      <c r="A173" s="52" t="s">
        <v>408</v>
      </c>
      <c r="B173" s="53" t="s">
        <v>409</v>
      </c>
      <c r="C173" s="36" t="s">
        <v>89</v>
      </c>
      <c r="D173" s="37" t="s">
        <v>91</v>
      </c>
      <c r="E173" s="54" t="s">
        <v>168</v>
      </c>
      <c r="F173" s="209" t="s">
        <v>1</v>
      </c>
    </row>
    <row r="174" spans="1:7">
      <c r="A174" s="52" t="s">
        <v>410</v>
      </c>
      <c r="B174" s="53" t="s">
        <v>411</v>
      </c>
      <c r="C174" s="36" t="s">
        <v>89</v>
      </c>
      <c r="D174" s="37" t="s">
        <v>583</v>
      </c>
      <c r="E174" s="41" t="s">
        <v>80</v>
      </c>
      <c r="F174" s="209" t="s">
        <v>1</v>
      </c>
    </row>
    <row r="175" spans="1:7">
      <c r="A175" s="52" t="s">
        <v>412</v>
      </c>
      <c r="B175" s="53" t="s">
        <v>413</v>
      </c>
      <c r="C175" s="36" t="s">
        <v>89</v>
      </c>
      <c r="D175" s="37" t="s">
        <v>583</v>
      </c>
      <c r="E175" s="41" t="s">
        <v>80</v>
      </c>
      <c r="F175" s="209" t="s">
        <v>1</v>
      </c>
    </row>
    <row r="176" spans="1:7">
      <c r="A176" s="52" t="s">
        <v>414</v>
      </c>
      <c r="B176" s="53" t="s">
        <v>47</v>
      </c>
      <c r="C176" s="36" t="s">
        <v>89</v>
      </c>
      <c r="D176" s="37" t="s">
        <v>583</v>
      </c>
      <c r="E176" s="41" t="s">
        <v>80</v>
      </c>
      <c r="F176" s="209" t="s">
        <v>1</v>
      </c>
    </row>
    <row r="177" spans="1:6">
      <c r="A177" s="52" t="s">
        <v>415</v>
      </c>
      <c r="B177" s="53" t="s">
        <v>48</v>
      </c>
      <c r="C177" s="36" t="s">
        <v>89</v>
      </c>
      <c r="D177" s="37" t="s">
        <v>583</v>
      </c>
      <c r="E177" s="41" t="s">
        <v>80</v>
      </c>
      <c r="F177" s="209" t="s">
        <v>1</v>
      </c>
    </row>
    <row r="178" spans="1:6">
      <c r="A178" s="52" t="s">
        <v>416</v>
      </c>
      <c r="B178" s="53" t="s">
        <v>49</v>
      </c>
      <c r="C178" s="36" t="s">
        <v>89</v>
      </c>
      <c r="D178" s="37" t="s">
        <v>583</v>
      </c>
      <c r="E178" s="41" t="s">
        <v>80</v>
      </c>
      <c r="F178" s="209" t="s">
        <v>1</v>
      </c>
    </row>
    <row r="179" spans="1:6">
      <c r="A179" s="52" t="s">
        <v>1262</v>
      </c>
      <c r="B179" s="53" t="s">
        <v>1263</v>
      </c>
      <c r="C179" s="36" t="s">
        <v>89</v>
      </c>
      <c r="D179" s="37" t="s">
        <v>583</v>
      </c>
      <c r="E179" s="41" t="s">
        <v>80</v>
      </c>
      <c r="F179" s="209" t="s">
        <v>1</v>
      </c>
    </row>
    <row r="180" spans="1:6">
      <c r="A180" s="52" t="s">
        <v>417</v>
      </c>
      <c r="B180" s="53" t="s">
        <v>418</v>
      </c>
      <c r="C180" s="36" t="s">
        <v>89</v>
      </c>
      <c r="D180" s="37" t="s">
        <v>575</v>
      </c>
      <c r="E180" s="54" t="s">
        <v>168</v>
      </c>
      <c r="F180" s="209" t="s">
        <v>1</v>
      </c>
    </row>
    <row r="181" spans="1:6">
      <c r="A181" s="52" t="s">
        <v>419</v>
      </c>
      <c r="B181" s="53" t="s">
        <v>420</v>
      </c>
      <c r="C181" s="36" t="s">
        <v>89</v>
      </c>
      <c r="D181" s="37" t="s">
        <v>90</v>
      </c>
      <c r="E181" s="54" t="s">
        <v>168</v>
      </c>
      <c r="F181" s="209" t="s">
        <v>1</v>
      </c>
    </row>
    <row r="182" spans="1:6">
      <c r="A182" s="52" t="s">
        <v>421</v>
      </c>
      <c r="B182" s="57" t="s">
        <v>422</v>
      </c>
      <c r="C182" s="36" t="s">
        <v>89</v>
      </c>
      <c r="D182" s="37" t="s">
        <v>583</v>
      </c>
      <c r="E182" s="41" t="s">
        <v>80</v>
      </c>
      <c r="F182" s="209" t="s">
        <v>1</v>
      </c>
    </row>
    <row r="183" spans="1:6">
      <c r="A183" s="52" t="s">
        <v>423</v>
      </c>
      <c r="B183" s="53" t="s">
        <v>424</v>
      </c>
      <c r="C183" s="36" t="s">
        <v>89</v>
      </c>
      <c r="D183" s="37" t="s">
        <v>583</v>
      </c>
      <c r="E183" s="41" t="s">
        <v>80</v>
      </c>
      <c r="F183" s="209" t="s">
        <v>1</v>
      </c>
    </row>
    <row r="184" spans="1:6">
      <c r="A184" s="52" t="s">
        <v>425</v>
      </c>
      <c r="B184" s="53" t="s">
        <v>426</v>
      </c>
      <c r="C184" s="36" t="s">
        <v>89</v>
      </c>
      <c r="D184" s="37" t="s">
        <v>583</v>
      </c>
      <c r="E184" s="41" t="s">
        <v>80</v>
      </c>
      <c r="F184" s="209" t="s">
        <v>1</v>
      </c>
    </row>
    <row r="185" spans="1:6">
      <c r="A185" s="52" t="s">
        <v>427</v>
      </c>
      <c r="B185" s="53" t="s">
        <v>428</v>
      </c>
      <c r="C185" s="36" t="s">
        <v>89</v>
      </c>
      <c r="D185" s="37" t="s">
        <v>583</v>
      </c>
      <c r="E185" s="41" t="s">
        <v>80</v>
      </c>
      <c r="F185" s="209" t="s">
        <v>1</v>
      </c>
    </row>
    <row r="186" spans="1:6">
      <c r="A186" s="52" t="s">
        <v>429</v>
      </c>
      <c r="B186" s="53" t="s">
        <v>430</v>
      </c>
      <c r="C186" s="36" t="s">
        <v>89</v>
      </c>
      <c r="D186" s="37" t="s">
        <v>583</v>
      </c>
      <c r="E186" s="41" t="s">
        <v>80</v>
      </c>
      <c r="F186" s="209" t="s">
        <v>1</v>
      </c>
    </row>
    <row r="187" spans="1:6">
      <c r="A187" s="52" t="s">
        <v>867</v>
      </c>
      <c r="B187" s="53" t="s">
        <v>870</v>
      </c>
      <c r="C187" s="36" t="s">
        <v>89</v>
      </c>
      <c r="D187" s="37" t="s">
        <v>91</v>
      </c>
      <c r="E187" s="54" t="s">
        <v>168</v>
      </c>
      <c r="F187" s="209" t="s">
        <v>1</v>
      </c>
    </row>
    <row r="188" spans="1:6">
      <c r="A188" s="52" t="s">
        <v>431</v>
      </c>
      <c r="B188" s="53" t="s">
        <v>432</v>
      </c>
      <c r="C188" s="36" t="s">
        <v>584</v>
      </c>
      <c r="D188" s="37" t="s">
        <v>90</v>
      </c>
      <c r="E188" s="54" t="s">
        <v>168</v>
      </c>
      <c r="F188" s="209" t="s">
        <v>1</v>
      </c>
    </row>
    <row r="189" spans="1:6">
      <c r="A189" s="52" t="s">
        <v>433</v>
      </c>
      <c r="B189" s="53" t="s">
        <v>50</v>
      </c>
      <c r="C189" s="36" t="s">
        <v>89</v>
      </c>
      <c r="D189" s="37" t="s">
        <v>459</v>
      </c>
      <c r="E189" s="54" t="s">
        <v>168</v>
      </c>
      <c r="F189" s="209" t="s">
        <v>1</v>
      </c>
    </row>
    <row r="190" spans="1:6">
      <c r="A190" s="52" t="s">
        <v>434</v>
      </c>
      <c r="B190" s="53" t="s">
        <v>269</v>
      </c>
      <c r="C190" s="36" t="s">
        <v>586</v>
      </c>
      <c r="D190" s="37" t="s">
        <v>586</v>
      </c>
      <c r="E190" s="41" t="s">
        <v>80</v>
      </c>
      <c r="F190" s="209" t="s">
        <v>1</v>
      </c>
    </row>
    <row r="191" spans="1:6">
      <c r="A191" s="52" t="s">
        <v>435</v>
      </c>
      <c r="B191" s="53" t="s">
        <v>271</v>
      </c>
      <c r="C191" s="36" t="s">
        <v>586</v>
      </c>
      <c r="D191" s="37" t="s">
        <v>586</v>
      </c>
      <c r="E191" s="41" t="s">
        <v>80</v>
      </c>
      <c r="F191" s="209" t="s">
        <v>1</v>
      </c>
    </row>
    <row r="192" spans="1:6">
      <c r="A192" s="52" t="s">
        <v>436</v>
      </c>
      <c r="B192" s="53" t="s">
        <v>273</v>
      </c>
      <c r="C192" s="36" t="s">
        <v>586</v>
      </c>
      <c r="D192" s="37" t="s">
        <v>586</v>
      </c>
      <c r="E192" s="41" t="s">
        <v>80</v>
      </c>
      <c r="F192" s="209" t="s">
        <v>1</v>
      </c>
    </row>
    <row r="193" spans="1:6">
      <c r="A193" s="52" t="s">
        <v>437</v>
      </c>
      <c r="B193" s="53" t="s">
        <v>275</v>
      </c>
      <c r="C193" s="36" t="s">
        <v>586</v>
      </c>
      <c r="D193" s="37" t="s">
        <v>586</v>
      </c>
      <c r="E193" s="41" t="s">
        <v>80</v>
      </c>
      <c r="F193" s="209" t="s">
        <v>1</v>
      </c>
    </row>
    <row r="194" spans="1:6">
      <c r="A194" s="52" t="s">
        <v>438</v>
      </c>
      <c r="B194" s="53" t="s">
        <v>52</v>
      </c>
      <c r="C194" s="36" t="s">
        <v>86</v>
      </c>
      <c r="D194" s="58" t="s">
        <v>87</v>
      </c>
      <c r="E194" s="41" t="s">
        <v>80</v>
      </c>
      <c r="F194" s="209" t="s">
        <v>1</v>
      </c>
    </row>
    <row r="195" spans="1:6">
      <c r="A195" s="52" t="s">
        <v>439</v>
      </c>
      <c r="B195" s="53" t="s">
        <v>440</v>
      </c>
      <c r="C195" s="36" t="s">
        <v>86</v>
      </c>
      <c r="D195" s="58" t="s">
        <v>460</v>
      </c>
      <c r="E195" s="41" t="s">
        <v>80</v>
      </c>
      <c r="F195" s="209" t="s">
        <v>1</v>
      </c>
    </row>
    <row r="196" spans="1:6">
      <c r="A196" s="52" t="s">
        <v>441</v>
      </c>
      <c r="B196" s="53" t="s">
        <v>53</v>
      </c>
      <c r="C196" s="36" t="s">
        <v>86</v>
      </c>
      <c r="D196" s="58" t="s">
        <v>88</v>
      </c>
      <c r="E196" s="41" t="s">
        <v>80</v>
      </c>
      <c r="F196" s="209" t="s">
        <v>1</v>
      </c>
    </row>
    <row r="197" spans="1:6">
      <c r="A197" s="52" t="s">
        <v>442</v>
      </c>
      <c r="B197" s="53" t="s">
        <v>443</v>
      </c>
      <c r="C197" s="36" t="s">
        <v>92</v>
      </c>
      <c r="D197" s="37" t="s">
        <v>92</v>
      </c>
      <c r="E197" s="54" t="s">
        <v>168</v>
      </c>
      <c r="F197" s="210" t="s">
        <v>92</v>
      </c>
    </row>
    <row r="198" spans="1:6">
      <c r="A198" s="52" t="s">
        <v>444</v>
      </c>
      <c r="B198" s="53" t="s">
        <v>445</v>
      </c>
      <c r="C198" s="36" t="s">
        <v>92</v>
      </c>
      <c r="D198" s="37" t="s">
        <v>92</v>
      </c>
      <c r="E198" s="54" t="s">
        <v>168</v>
      </c>
      <c r="F198" s="210" t="s">
        <v>92</v>
      </c>
    </row>
    <row r="199" spans="1:6">
      <c r="A199" s="52" t="s">
        <v>446</v>
      </c>
      <c r="B199" s="53" t="s">
        <v>447</v>
      </c>
      <c r="C199" s="36" t="s">
        <v>92</v>
      </c>
      <c r="D199" s="37" t="s">
        <v>92</v>
      </c>
      <c r="E199" s="54" t="s">
        <v>168</v>
      </c>
      <c r="F199" s="210" t="s">
        <v>92</v>
      </c>
    </row>
    <row r="200" spans="1:6">
      <c r="A200" s="52" t="s">
        <v>448</v>
      </c>
      <c r="B200" s="53" t="s">
        <v>449</v>
      </c>
      <c r="C200" s="36" t="s">
        <v>92</v>
      </c>
      <c r="D200" s="37" t="s">
        <v>92</v>
      </c>
      <c r="E200" s="54" t="s">
        <v>168</v>
      </c>
      <c r="F200" s="210" t="s">
        <v>92</v>
      </c>
    </row>
    <row r="201" spans="1:6">
      <c r="A201" s="52" t="s">
        <v>450</v>
      </c>
      <c r="B201" s="53" t="s">
        <v>451</v>
      </c>
      <c r="C201" s="36" t="s">
        <v>92</v>
      </c>
      <c r="D201" s="37" t="s">
        <v>92</v>
      </c>
      <c r="E201" s="54" t="s">
        <v>168</v>
      </c>
      <c r="F201" s="210" t="s">
        <v>92</v>
      </c>
    </row>
    <row r="202" spans="1:6">
      <c r="A202" s="52" t="s">
        <v>452</v>
      </c>
      <c r="B202" s="53" t="s">
        <v>453</v>
      </c>
      <c r="C202" s="36" t="s">
        <v>92</v>
      </c>
      <c r="D202" s="37" t="s">
        <v>92</v>
      </c>
      <c r="E202" s="54" t="s">
        <v>168</v>
      </c>
      <c r="F202" s="210" t="s">
        <v>92</v>
      </c>
    </row>
    <row r="203" spans="1:6">
      <c r="A203" s="52" t="s">
        <v>454</v>
      </c>
      <c r="B203" s="53" t="s">
        <v>455</v>
      </c>
      <c r="C203" s="36" t="s">
        <v>89</v>
      </c>
      <c r="D203" s="37" t="s">
        <v>101</v>
      </c>
      <c r="E203" s="54" t="s">
        <v>167</v>
      </c>
      <c r="F203" s="209" t="s">
        <v>1</v>
      </c>
    </row>
    <row r="204" spans="1:6">
      <c r="A204" s="52" t="s">
        <v>682</v>
      </c>
      <c r="B204" s="53" t="s">
        <v>683</v>
      </c>
      <c r="C204" s="36" t="s">
        <v>86</v>
      </c>
      <c r="D204" s="58" t="s">
        <v>87</v>
      </c>
      <c r="E204" s="41" t="s">
        <v>80</v>
      </c>
      <c r="F204" s="209" t="s">
        <v>1</v>
      </c>
    </row>
    <row r="205" spans="1:6">
      <c r="A205" s="52" t="s">
        <v>461</v>
      </c>
      <c r="B205" s="53" t="s">
        <v>462</v>
      </c>
      <c r="C205" s="48" t="s">
        <v>74</v>
      </c>
      <c r="D205" s="152" t="s">
        <v>75</v>
      </c>
      <c r="E205" s="154" t="s">
        <v>63</v>
      </c>
      <c r="F205" s="209" t="s">
        <v>0</v>
      </c>
    </row>
    <row r="206" spans="1:6">
      <c r="A206" s="52" t="s">
        <v>463</v>
      </c>
      <c r="B206" s="53" t="s">
        <v>464</v>
      </c>
      <c r="C206" s="36" t="s">
        <v>97</v>
      </c>
      <c r="D206" s="58" t="s">
        <v>98</v>
      </c>
      <c r="E206" s="41" t="s">
        <v>80</v>
      </c>
      <c r="F206" s="209" t="s">
        <v>1</v>
      </c>
    </row>
    <row r="207" spans="1:6">
      <c r="A207" s="52" t="s">
        <v>465</v>
      </c>
      <c r="B207" s="53" t="s">
        <v>466</v>
      </c>
      <c r="C207" s="45" t="s">
        <v>1479</v>
      </c>
      <c r="D207" s="46" t="s">
        <v>93</v>
      </c>
      <c r="E207" s="47" t="s">
        <v>80</v>
      </c>
      <c r="F207" s="210" t="s">
        <v>1480</v>
      </c>
    </row>
    <row r="208" spans="1:6">
      <c r="A208" s="52" t="s">
        <v>467</v>
      </c>
      <c r="B208" s="53" t="s">
        <v>468</v>
      </c>
      <c r="C208" s="45" t="s">
        <v>94</v>
      </c>
      <c r="D208" s="46" t="s">
        <v>94</v>
      </c>
      <c r="E208" s="47" t="s">
        <v>80</v>
      </c>
      <c r="F208" s="210" t="s">
        <v>1480</v>
      </c>
    </row>
    <row r="209" spans="1:6">
      <c r="A209" s="52" t="s">
        <v>469</v>
      </c>
      <c r="B209" s="53" t="s">
        <v>470</v>
      </c>
      <c r="C209" s="45" t="s">
        <v>94</v>
      </c>
      <c r="D209" s="46" t="s">
        <v>94</v>
      </c>
      <c r="E209" s="47" t="s">
        <v>80</v>
      </c>
      <c r="F209" s="210" t="s">
        <v>1480</v>
      </c>
    </row>
    <row r="210" spans="1:6">
      <c r="A210" s="52" t="s">
        <v>471</v>
      </c>
      <c r="B210" s="53" t="s">
        <v>472</v>
      </c>
      <c r="C210" s="45" t="s">
        <v>95</v>
      </c>
      <c r="D210" s="46" t="s">
        <v>95</v>
      </c>
      <c r="E210" s="47" t="s">
        <v>80</v>
      </c>
      <c r="F210" s="210" t="s">
        <v>1480</v>
      </c>
    </row>
    <row r="211" spans="1:6">
      <c r="A211" s="52" t="s">
        <v>473</v>
      </c>
      <c r="B211" s="53" t="s">
        <v>474</v>
      </c>
      <c r="C211" s="45" t="s">
        <v>95</v>
      </c>
      <c r="D211" s="46" t="s">
        <v>95</v>
      </c>
      <c r="E211" s="47" t="s">
        <v>80</v>
      </c>
      <c r="F211" s="210" t="s">
        <v>1480</v>
      </c>
    </row>
    <row r="212" spans="1:6">
      <c r="A212" s="52" t="s">
        <v>475</v>
      </c>
      <c r="B212" s="53" t="s">
        <v>476</v>
      </c>
      <c r="C212" s="36" t="s">
        <v>96</v>
      </c>
      <c r="D212" s="58" t="s">
        <v>96</v>
      </c>
      <c r="E212" s="41" t="s">
        <v>80</v>
      </c>
      <c r="F212" s="210" t="s">
        <v>1480</v>
      </c>
    </row>
    <row r="213" spans="1:6">
      <c r="A213" s="52" t="s">
        <v>477</v>
      </c>
      <c r="B213" s="53" t="s">
        <v>478</v>
      </c>
      <c r="C213" s="36" t="s">
        <v>96</v>
      </c>
      <c r="D213" s="58" t="s">
        <v>96</v>
      </c>
      <c r="E213" s="41" t="s">
        <v>80</v>
      </c>
      <c r="F213" s="210" t="s">
        <v>1480</v>
      </c>
    </row>
    <row r="214" spans="1:6">
      <c r="A214" s="52" t="s">
        <v>479</v>
      </c>
      <c r="B214" s="53" t="s">
        <v>480</v>
      </c>
      <c r="C214" s="36" t="s">
        <v>96</v>
      </c>
      <c r="D214" s="58" t="s">
        <v>96</v>
      </c>
      <c r="E214" s="41" t="s">
        <v>80</v>
      </c>
      <c r="F214" s="210" t="s">
        <v>1480</v>
      </c>
    </row>
    <row r="215" spans="1:6">
      <c r="A215" s="52" t="s">
        <v>481</v>
      </c>
      <c r="B215" s="53" t="s">
        <v>482</v>
      </c>
      <c r="C215" s="63" t="s">
        <v>96</v>
      </c>
      <c r="D215" s="64" t="s">
        <v>96</v>
      </c>
      <c r="E215" s="49" t="s">
        <v>80</v>
      </c>
      <c r="F215" s="210" t="s">
        <v>1480</v>
      </c>
    </row>
    <row r="216" spans="1:6" ht="17.25" thickBot="1">
      <c r="A216" s="52" t="s">
        <v>483</v>
      </c>
      <c r="B216" s="53" t="s">
        <v>484</v>
      </c>
      <c r="C216" s="62" t="s">
        <v>485</v>
      </c>
      <c r="D216" s="151" t="s">
        <v>485</v>
      </c>
      <c r="E216" s="153" t="s">
        <v>80</v>
      </c>
      <c r="F216" s="210" t="s">
        <v>1480</v>
      </c>
    </row>
    <row r="217" spans="1:6" ht="17.25" thickTop="1"/>
  </sheetData>
  <autoFilter ref="A1:F216" xr:uid="{00000000-0009-0000-0000-00000E000000}"/>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68"/>
  <sheetViews>
    <sheetView showGridLines="0" view="pageBreakPreview" zoomScale="110" zoomScaleNormal="85" zoomScaleSheetLayoutView="110" workbookViewId="0">
      <selection sqref="A1:D1"/>
    </sheetView>
  </sheetViews>
  <sheetFormatPr defaultColWidth="9.125" defaultRowHeight="13.5"/>
  <cols>
    <col min="1" max="1" width="87.25" style="407" customWidth="1"/>
    <col min="2" max="2" width="14" style="398" customWidth="1"/>
    <col min="3" max="4" width="13.625" style="399" customWidth="1"/>
    <col min="5" max="5" width="17.625" style="396" bestFit="1" customWidth="1"/>
    <col min="6" max="6" width="20" style="396" bestFit="1" customWidth="1"/>
    <col min="7" max="16384" width="9.125" style="396"/>
  </cols>
  <sheetData>
    <row r="1" spans="1:4" ht="26.25">
      <c r="A1" s="1022" t="s">
        <v>880</v>
      </c>
      <c r="B1" s="1022"/>
      <c r="C1" s="1022"/>
      <c r="D1" s="1022"/>
    </row>
    <row r="3" spans="1:4" ht="17.25" thickBot="1">
      <c r="A3" s="397"/>
    </row>
    <row r="4" spans="1:4" ht="30.95" customHeight="1" thickBot="1">
      <c r="A4" s="400" t="s">
        <v>1404</v>
      </c>
      <c r="B4" s="1019" t="s">
        <v>1175</v>
      </c>
      <c r="C4" s="1020"/>
      <c r="D4" s="1021"/>
    </row>
    <row r="5" spans="1:4" ht="15" thickBot="1">
      <c r="A5" s="401"/>
      <c r="B5" s="402"/>
      <c r="C5" s="403"/>
      <c r="D5" s="403"/>
    </row>
    <row r="6" spans="1:4" ht="21" customHeight="1" thickBot="1">
      <c r="A6" s="400" t="s">
        <v>882</v>
      </c>
      <c r="B6" s="1023" t="s">
        <v>1409</v>
      </c>
      <c r="C6" s="1020"/>
      <c r="D6" s="1021"/>
    </row>
    <row r="7" spans="1:4" ht="16.5" customHeight="1" thickBot="1">
      <c r="A7" s="401"/>
      <c r="B7" s="402"/>
      <c r="C7" s="403"/>
      <c r="D7" s="403"/>
    </row>
    <row r="8" spans="1:4" ht="21" customHeight="1" thickBot="1">
      <c r="A8" s="400" t="s">
        <v>883</v>
      </c>
      <c r="B8" s="1024">
        <f>BS_RE33!N4</f>
        <v>46058</v>
      </c>
      <c r="C8" s="1025"/>
      <c r="D8" s="1026"/>
    </row>
    <row r="9" spans="1:4" ht="14.25" thickBot="1">
      <c r="A9" s="404"/>
    </row>
    <row r="10" spans="1:4" ht="21" customHeight="1" thickBot="1">
      <c r="A10" s="400" t="s">
        <v>884</v>
      </c>
      <c r="B10" s="1019" t="s">
        <v>885</v>
      </c>
      <c r="C10" s="1020"/>
      <c r="D10" s="1021"/>
    </row>
    <row r="11" spans="1:4" ht="15" thickBot="1">
      <c r="A11" s="405"/>
      <c r="B11" s="406"/>
    </row>
    <row r="12" spans="1:4" ht="21" customHeight="1" thickBot="1">
      <c r="A12" s="400" t="s">
        <v>886</v>
      </c>
      <c r="B12" s="1019" t="s">
        <v>887</v>
      </c>
      <c r="C12" s="1020"/>
      <c r="D12" s="1021"/>
    </row>
    <row r="13" spans="1:4" ht="14.25">
      <c r="B13" s="406"/>
      <c r="C13" s="401"/>
    </row>
    <row r="14" spans="1:4" ht="16.5">
      <c r="A14" s="397"/>
    </row>
    <row r="15" spans="1:4" ht="16.5" thickBot="1">
      <c r="A15" s="481" t="s">
        <v>888</v>
      </c>
      <c r="B15" s="408"/>
      <c r="C15" s="409"/>
      <c r="D15" s="409"/>
    </row>
    <row r="16" spans="1:4" ht="25.5">
      <c r="A16" s="410"/>
      <c r="B16" s="411" t="s">
        <v>889</v>
      </c>
      <c r="C16" s="412" t="s">
        <v>890</v>
      </c>
      <c r="D16" s="412" t="s">
        <v>891</v>
      </c>
    </row>
    <row r="17" spans="1:4" ht="15.75" thickBot="1">
      <c r="A17" s="410"/>
      <c r="B17" s="413">
        <v>-1</v>
      </c>
      <c r="C17" s="414">
        <v>-2</v>
      </c>
      <c r="D17" s="414">
        <v>-3</v>
      </c>
    </row>
    <row r="18" spans="1:4" ht="15" thickBot="1">
      <c r="A18" s="415" t="s">
        <v>892</v>
      </c>
      <c r="B18" s="416">
        <f>SUM(B19:B34)</f>
        <v>0</v>
      </c>
      <c r="C18" s="417"/>
      <c r="D18" s="432">
        <f>SUM(D19:D34)</f>
        <v>0</v>
      </c>
    </row>
    <row r="19" spans="1:4" ht="15" thickBot="1">
      <c r="A19" s="419" t="s">
        <v>893</v>
      </c>
      <c r="B19" s="426"/>
      <c r="C19" s="420">
        <v>1</v>
      </c>
      <c r="D19" s="421">
        <f>B19*C19</f>
        <v>0</v>
      </c>
    </row>
    <row r="20" spans="1:4" ht="15" thickBot="1">
      <c r="A20" s="419" t="s">
        <v>894</v>
      </c>
      <c r="B20" s="422"/>
      <c r="C20" s="423"/>
      <c r="D20" s="424"/>
    </row>
    <row r="21" spans="1:4" ht="15" thickBot="1">
      <c r="A21" s="425" t="s">
        <v>895</v>
      </c>
      <c r="B21" s="426"/>
      <c r="C21" s="420">
        <v>1</v>
      </c>
      <c r="D21" s="421">
        <f>B21*C21</f>
        <v>0</v>
      </c>
    </row>
    <row r="22" spans="1:4" ht="15" thickBot="1">
      <c r="A22" s="425" t="s">
        <v>896</v>
      </c>
      <c r="B22" s="426"/>
      <c r="C22" s="420">
        <v>1</v>
      </c>
      <c r="D22" s="421">
        <f>B22*C22</f>
        <v>0</v>
      </c>
    </row>
    <row r="23" spans="1:4" ht="15" thickBot="1">
      <c r="A23" s="419" t="s">
        <v>897</v>
      </c>
      <c r="B23" s="427"/>
      <c r="C23" s="428"/>
      <c r="D23" s="429"/>
    </row>
    <row r="24" spans="1:4" ht="15" thickBot="1">
      <c r="A24" s="425" t="s">
        <v>898</v>
      </c>
      <c r="B24" s="516">
        <f>IFERROR(VLOOKUP(A24,'30 days CF Table(ALL)'!$E$73:$J$80,6,0),0)</f>
        <v>0</v>
      </c>
      <c r="C24" s="430">
        <v>1</v>
      </c>
      <c r="D24" s="486">
        <f t="shared" ref="D24:D31" si="0">B24*C24</f>
        <v>0</v>
      </c>
    </row>
    <row r="25" spans="1:4" ht="15" thickBot="1">
      <c r="A25" s="425" t="s">
        <v>1179</v>
      </c>
      <c r="B25" s="566">
        <f>IFERROR(VLOOKUP(A25,'30 days CF Table(ALL)'!$E$73:$J$80,6,0),0)</f>
        <v>0</v>
      </c>
      <c r="C25" s="420">
        <v>1</v>
      </c>
      <c r="D25" s="421">
        <f t="shared" si="0"/>
        <v>0</v>
      </c>
    </row>
    <row r="26" spans="1:4" ht="15" thickBot="1">
      <c r="A26" s="425" t="s">
        <v>899</v>
      </c>
      <c r="B26" s="516">
        <f>IFERROR(VLOOKUP(A26,'30 days CF Table(ALL)'!$E$73:$J$80,6,0),0)</f>
        <v>0</v>
      </c>
      <c r="C26" s="420">
        <v>1</v>
      </c>
      <c r="D26" s="421">
        <f t="shared" si="0"/>
        <v>0</v>
      </c>
    </row>
    <row r="27" spans="1:4" ht="15" thickBot="1">
      <c r="A27" s="425" t="s">
        <v>900</v>
      </c>
      <c r="B27" s="516">
        <f>IFERROR(VLOOKUP(A27,'30 days CF Table(ALL)'!$E$73:$J$80,6,0),0)</f>
        <v>0</v>
      </c>
      <c r="C27" s="420">
        <v>1</v>
      </c>
      <c r="D27" s="421">
        <f t="shared" si="0"/>
        <v>0</v>
      </c>
    </row>
    <row r="28" spans="1:4" ht="15" thickBot="1">
      <c r="A28" s="425" t="s">
        <v>901</v>
      </c>
      <c r="B28" s="516">
        <f>IFERROR(VLOOKUP(A28,'30 days CF Table(ALL)'!$E$73:$J$80,6,0),0)</f>
        <v>0</v>
      </c>
      <c r="C28" s="420">
        <v>1</v>
      </c>
      <c r="D28" s="421">
        <f t="shared" si="0"/>
        <v>0</v>
      </c>
    </row>
    <row r="29" spans="1:4" ht="15" thickBot="1">
      <c r="A29" s="425" t="s">
        <v>902</v>
      </c>
      <c r="B29" s="516">
        <f>IFERROR(VLOOKUP(A29,'30 days CF Table(ALL)'!$E$73:$J$80,6,0),0)</f>
        <v>0</v>
      </c>
      <c r="C29" s="420">
        <v>1</v>
      </c>
      <c r="D29" s="421">
        <f t="shared" si="0"/>
        <v>0</v>
      </c>
    </row>
    <row r="30" spans="1:4" ht="15" thickBot="1">
      <c r="A30" s="425" t="s">
        <v>903</v>
      </c>
      <c r="B30" s="566">
        <f>IFERROR(VLOOKUP(A30,'30 days CF Table(ALL)'!$E$73:$J$80,6,0),0)</f>
        <v>0</v>
      </c>
      <c r="C30" s="420">
        <v>1</v>
      </c>
      <c r="D30" s="421">
        <f t="shared" si="0"/>
        <v>0</v>
      </c>
    </row>
    <row r="31" spans="1:4" ht="15" thickBot="1">
      <c r="A31" s="425" t="s">
        <v>904</v>
      </c>
      <c r="B31" s="516">
        <f>IFERROR(VLOOKUP(A31,'30 days CF Table(ALL)'!$E$73:$J$80,6,0),0)</f>
        <v>0</v>
      </c>
      <c r="C31" s="420">
        <v>1</v>
      </c>
      <c r="D31" s="421">
        <f t="shared" si="0"/>
        <v>0</v>
      </c>
    </row>
    <row r="32" spans="1:4" ht="15" thickBot="1">
      <c r="A32" s="419" t="s">
        <v>905</v>
      </c>
      <c r="B32" s="422"/>
      <c r="C32" s="423"/>
      <c r="D32" s="424"/>
    </row>
    <row r="33" spans="1:4" ht="15" thickBot="1">
      <c r="A33" s="425" t="s">
        <v>906</v>
      </c>
      <c r="B33" s="426"/>
      <c r="C33" s="420">
        <v>1</v>
      </c>
      <c r="D33" s="421">
        <f>B33*C33</f>
        <v>0</v>
      </c>
    </row>
    <row r="34" spans="1:4" ht="43.5" thickBot="1">
      <c r="A34" s="425" t="s">
        <v>907</v>
      </c>
      <c r="B34" s="426"/>
      <c r="C34" s="420">
        <v>1</v>
      </c>
      <c r="D34" s="421">
        <f>B34*C34</f>
        <v>0</v>
      </c>
    </row>
    <row r="35" spans="1:4" ht="15" thickBot="1">
      <c r="A35" s="419" t="s">
        <v>908</v>
      </c>
      <c r="B35" s="431">
        <f>MAX(B18+B36+B37,0)</f>
        <v>0</v>
      </c>
      <c r="C35" s="420">
        <v>1</v>
      </c>
      <c r="D35" s="421">
        <f>B35*C35</f>
        <v>0</v>
      </c>
    </row>
    <row r="36" spans="1:4" ht="15" thickBot="1">
      <c r="A36" s="425" t="s">
        <v>909</v>
      </c>
      <c r="B36" s="416"/>
      <c r="C36" s="428"/>
      <c r="D36" s="429"/>
    </row>
    <row r="37" spans="1:4" ht="15" thickBot="1">
      <c r="A37" s="425" t="s">
        <v>910</v>
      </c>
      <c r="B37" s="426"/>
      <c r="C37" s="428"/>
      <c r="D37" s="429"/>
    </row>
    <row r="38" spans="1:4" ht="15" thickBot="1">
      <c r="A38" s="415"/>
      <c r="B38" s="422"/>
      <c r="C38" s="428"/>
      <c r="D38" s="424"/>
    </row>
    <row r="39" spans="1:4" ht="15" thickBot="1">
      <c r="A39" s="415" t="s">
        <v>911</v>
      </c>
      <c r="B39" s="416"/>
      <c r="C39" s="417"/>
      <c r="D39" s="421"/>
    </row>
    <row r="40" spans="1:4" ht="15" thickBot="1">
      <c r="A40" s="419" t="s">
        <v>912</v>
      </c>
      <c r="B40" s="426"/>
      <c r="C40" s="420">
        <v>0.85</v>
      </c>
      <c r="D40" s="421">
        <f>B40*C40</f>
        <v>0</v>
      </c>
    </row>
    <row r="41" spans="1:4" ht="15" thickBot="1">
      <c r="A41" s="419" t="s">
        <v>913</v>
      </c>
      <c r="B41" s="426"/>
      <c r="C41" s="420">
        <v>0.85</v>
      </c>
      <c r="D41" s="421">
        <f>B41*C41</f>
        <v>0</v>
      </c>
    </row>
    <row r="42" spans="1:4" ht="15" thickBot="1">
      <c r="A42" s="419" t="s">
        <v>914</v>
      </c>
      <c r="B42" s="426"/>
      <c r="C42" s="420">
        <v>0.85</v>
      </c>
      <c r="D42" s="421">
        <f>B42*C42</f>
        <v>0</v>
      </c>
    </row>
    <row r="43" spans="1:4" ht="15" thickBot="1">
      <c r="A43" s="419" t="s">
        <v>915</v>
      </c>
      <c r="B43" s="426"/>
      <c r="C43" s="420">
        <v>0.85</v>
      </c>
      <c r="D43" s="421">
        <f>B43*C43</f>
        <v>0</v>
      </c>
    </row>
    <row r="44" spans="1:4" ht="15" thickBot="1">
      <c r="A44" s="419" t="s">
        <v>916</v>
      </c>
      <c r="B44" s="416"/>
      <c r="C44" s="420">
        <v>0.85</v>
      </c>
      <c r="D44" s="421">
        <f>B44*C44</f>
        <v>0</v>
      </c>
    </row>
    <row r="45" spans="1:4" ht="15" thickBot="1">
      <c r="A45" s="425" t="s">
        <v>917</v>
      </c>
      <c r="B45" s="416"/>
      <c r="C45" s="428"/>
      <c r="D45" s="429"/>
    </row>
    <row r="46" spans="1:4" ht="15" thickBot="1">
      <c r="A46" s="425" t="s">
        <v>918</v>
      </c>
      <c r="B46" s="426"/>
      <c r="C46" s="428"/>
      <c r="D46" s="429"/>
    </row>
    <row r="47" spans="1:4" ht="15" thickBot="1">
      <c r="A47" s="415"/>
      <c r="B47" s="422"/>
      <c r="C47" s="428"/>
      <c r="D47" s="424"/>
    </row>
    <row r="48" spans="1:4" ht="15" thickBot="1">
      <c r="A48" s="415" t="s">
        <v>919</v>
      </c>
      <c r="B48" s="432"/>
      <c r="C48" s="417"/>
      <c r="D48" s="421"/>
    </row>
    <row r="49" spans="1:4" ht="15" thickBot="1">
      <c r="A49" s="415" t="s">
        <v>920</v>
      </c>
      <c r="B49" s="426"/>
      <c r="C49" s="420">
        <v>0.75</v>
      </c>
      <c r="D49" s="421">
        <f>B49*C49</f>
        <v>0</v>
      </c>
    </row>
    <row r="50" spans="1:4" ht="15" thickBot="1">
      <c r="A50" s="415" t="s">
        <v>921</v>
      </c>
      <c r="B50" s="426"/>
      <c r="C50" s="420">
        <v>0.5</v>
      </c>
      <c r="D50" s="421">
        <f>B50*C50</f>
        <v>0</v>
      </c>
    </row>
    <row r="51" spans="1:4" ht="15" thickBot="1">
      <c r="A51" s="415" t="s">
        <v>922</v>
      </c>
      <c r="B51" s="426"/>
      <c r="C51" s="420">
        <v>0.5</v>
      </c>
      <c r="D51" s="421">
        <f>B51*C51</f>
        <v>0</v>
      </c>
    </row>
    <row r="52" spans="1:4" ht="15" thickBot="1">
      <c r="A52" s="415" t="s">
        <v>923</v>
      </c>
      <c r="B52" s="416"/>
      <c r="C52" s="420">
        <v>0.75</v>
      </c>
      <c r="D52" s="421">
        <f>B52*C52</f>
        <v>0</v>
      </c>
    </row>
    <row r="53" spans="1:4" ht="15" thickBot="1">
      <c r="A53" s="415" t="s">
        <v>924</v>
      </c>
      <c r="B53" s="416"/>
      <c r="C53" s="428"/>
      <c r="D53" s="429"/>
    </row>
    <row r="54" spans="1:4" ht="15" thickBot="1">
      <c r="A54" s="415" t="s">
        <v>925</v>
      </c>
      <c r="B54" s="426"/>
      <c r="C54" s="423"/>
      <c r="D54" s="424"/>
    </row>
    <row r="55" spans="1:4" ht="15" thickBot="1">
      <c r="A55" s="415" t="s">
        <v>926</v>
      </c>
      <c r="B55" s="416"/>
      <c r="C55" s="420">
        <v>0.5</v>
      </c>
      <c r="D55" s="421">
        <f>B55*C55</f>
        <v>0</v>
      </c>
    </row>
    <row r="56" spans="1:4" ht="15" thickBot="1">
      <c r="A56" s="415" t="s">
        <v>927</v>
      </c>
      <c r="B56" s="416"/>
      <c r="C56" s="428"/>
      <c r="D56" s="429"/>
    </row>
    <row r="57" spans="1:4" ht="15" thickBot="1">
      <c r="A57" s="415" t="s">
        <v>928</v>
      </c>
      <c r="B57" s="426"/>
      <c r="C57" s="428"/>
      <c r="D57" s="424"/>
    </row>
    <row r="58" spans="1:4" ht="15" thickBot="1">
      <c r="A58" s="415" t="s">
        <v>929</v>
      </c>
      <c r="B58" s="416"/>
      <c r="C58" s="433"/>
      <c r="D58" s="421"/>
    </row>
    <row r="59" spans="1:4" ht="15" thickBot="1">
      <c r="A59" s="415"/>
      <c r="B59" s="427"/>
      <c r="C59" s="428"/>
      <c r="D59" s="424"/>
    </row>
    <row r="60" spans="1:4" ht="15" thickBot="1">
      <c r="A60" s="415" t="s">
        <v>930</v>
      </c>
      <c r="B60" s="427"/>
      <c r="C60" s="433"/>
      <c r="D60" s="421">
        <f>D18+D39+D48</f>
        <v>0</v>
      </c>
    </row>
    <row r="61" spans="1:4" ht="15" thickBot="1">
      <c r="A61" s="419" t="s">
        <v>931</v>
      </c>
      <c r="B61" s="427"/>
      <c r="C61" s="433"/>
      <c r="D61" s="421"/>
    </row>
    <row r="62" spans="1:4" ht="15" thickBot="1">
      <c r="A62" s="419" t="s">
        <v>932</v>
      </c>
      <c r="B62" s="427"/>
      <c r="C62" s="433"/>
      <c r="D62" s="421"/>
    </row>
    <row r="63" spans="1:4" ht="15" thickBot="1">
      <c r="A63" s="419" t="s">
        <v>933</v>
      </c>
      <c r="B63" s="427"/>
      <c r="C63" s="433"/>
      <c r="D63" s="434"/>
    </row>
    <row r="64" spans="1:4" ht="15" thickBot="1">
      <c r="A64" s="419"/>
      <c r="B64" s="427"/>
      <c r="C64" s="428"/>
      <c r="D64" s="424"/>
    </row>
    <row r="65" spans="1:4" ht="15" thickBot="1">
      <c r="A65" s="435" t="s">
        <v>934</v>
      </c>
      <c r="B65" s="427"/>
      <c r="C65" s="433"/>
      <c r="D65" s="434"/>
    </row>
    <row r="66" spans="1:4" ht="15" thickBot="1">
      <c r="A66" s="415"/>
      <c r="B66" s="427"/>
      <c r="C66" s="428"/>
      <c r="D66" s="424"/>
    </row>
    <row r="67" spans="1:4" ht="15" thickBot="1">
      <c r="A67" s="415" t="s">
        <v>935</v>
      </c>
      <c r="B67" s="422"/>
      <c r="C67" s="433"/>
      <c r="D67" s="421"/>
    </row>
    <row r="68" spans="1:4" ht="15" thickBot="1">
      <c r="A68" s="419" t="s">
        <v>936</v>
      </c>
      <c r="B68" s="416"/>
      <c r="C68" s="428"/>
      <c r="D68" s="429"/>
    </row>
    <row r="69" spans="1:4" ht="15" thickBot="1">
      <c r="A69" s="425" t="s">
        <v>937</v>
      </c>
      <c r="B69" s="426"/>
      <c r="C69" s="428"/>
      <c r="D69" s="429"/>
    </row>
    <row r="70" spans="1:4" ht="15" thickBot="1">
      <c r="A70" s="425" t="s">
        <v>938</v>
      </c>
      <c r="B70" s="426"/>
      <c r="C70" s="428"/>
      <c r="D70" s="429"/>
    </row>
    <row r="71" spans="1:4" ht="15" thickBot="1">
      <c r="A71" s="425" t="s">
        <v>939</v>
      </c>
      <c r="B71" s="426"/>
      <c r="C71" s="428"/>
      <c r="D71" s="429"/>
    </row>
    <row r="72" spans="1:4" ht="15" thickBot="1">
      <c r="A72" s="425" t="s">
        <v>940</v>
      </c>
      <c r="B72" s="426"/>
      <c r="C72" s="428"/>
      <c r="D72" s="429"/>
    </row>
    <row r="73" spans="1:4" ht="15" thickBot="1">
      <c r="A73" s="425" t="s">
        <v>941</v>
      </c>
      <c r="B73" s="426"/>
      <c r="C73" s="428"/>
      <c r="D73" s="429"/>
    </row>
    <row r="74" spans="1:4" ht="15" thickBot="1">
      <c r="A74" s="425" t="s">
        <v>942</v>
      </c>
      <c r="B74" s="426"/>
      <c r="C74" s="428"/>
      <c r="D74" s="429"/>
    </row>
    <row r="75" spans="1:4" ht="15" thickBot="1">
      <c r="A75" s="419" t="s">
        <v>943</v>
      </c>
      <c r="B75" s="416"/>
      <c r="C75" s="428"/>
      <c r="D75" s="429"/>
    </row>
    <row r="76" spans="1:4" ht="15" thickBot="1">
      <c r="A76" s="425" t="s">
        <v>944</v>
      </c>
      <c r="B76" s="426"/>
      <c r="C76" s="428"/>
      <c r="D76" s="429"/>
    </row>
    <row r="77" spans="1:4" ht="15" thickBot="1">
      <c r="A77" s="425" t="s">
        <v>945</v>
      </c>
      <c r="B77" s="416"/>
      <c r="C77" s="428"/>
      <c r="D77" s="429"/>
    </row>
    <row r="78" spans="1:4" ht="15" thickBot="1">
      <c r="A78" s="436" t="s">
        <v>946</v>
      </c>
      <c r="B78" s="437"/>
      <c r="C78" s="428"/>
      <c r="D78" s="424"/>
    </row>
    <row r="79" spans="1:4" ht="29.25" thickBot="1">
      <c r="A79" s="419" t="s">
        <v>947</v>
      </c>
      <c r="B79" s="422"/>
      <c r="C79" s="433"/>
      <c r="D79" s="421"/>
    </row>
    <row r="80" spans="1:4" ht="29.25" thickBot="1">
      <c r="A80" s="419" t="s">
        <v>948</v>
      </c>
      <c r="B80" s="426"/>
      <c r="C80" s="428"/>
      <c r="D80" s="424"/>
    </row>
    <row r="81" spans="1:4" ht="15" thickBot="1">
      <c r="A81" s="419" t="s">
        <v>949</v>
      </c>
      <c r="B81" s="427"/>
      <c r="C81" s="433"/>
      <c r="D81" s="434"/>
    </row>
    <row r="82" spans="1:4" ht="15" thickBot="1">
      <c r="A82" s="415"/>
      <c r="B82" s="427"/>
      <c r="C82" s="428"/>
      <c r="D82" s="424"/>
    </row>
    <row r="83" spans="1:4" ht="17.25" thickBot="1">
      <c r="A83" s="415" t="s">
        <v>950</v>
      </c>
      <c r="B83" s="427"/>
      <c r="C83" s="530" t="b">
        <f>ROUND(D83,1)=ROUND(SUM(D84:D91),1)</f>
        <v>1</v>
      </c>
      <c r="D83" s="421">
        <f>D60+D65+D6</f>
        <v>0</v>
      </c>
    </row>
    <row r="84" spans="1:4" ht="15" thickBot="1">
      <c r="A84" s="438" t="s">
        <v>951</v>
      </c>
      <c r="B84" s="427"/>
      <c r="C84" s="433"/>
      <c r="D84" s="516">
        <f>IFERROR(VLOOKUP(A84,'30 days CF Table(ALL)'!$H$83:$J$90,3,0),0)</f>
        <v>0</v>
      </c>
    </row>
    <row r="85" spans="1:4" ht="15" thickBot="1">
      <c r="A85" s="438" t="s">
        <v>952</v>
      </c>
      <c r="B85" s="427"/>
      <c r="C85" s="433"/>
      <c r="D85" s="516">
        <f>IFERROR(VLOOKUP(A85,'30 days CF Table(ALL)'!$H$83:$J$90,3,0),0)</f>
        <v>0</v>
      </c>
    </row>
    <row r="86" spans="1:4" ht="15" thickBot="1">
      <c r="A86" s="438" t="s">
        <v>953</v>
      </c>
      <c r="B86" s="427"/>
      <c r="C86" s="433"/>
      <c r="D86" s="516">
        <f>IFERROR(VLOOKUP(A86,'30 days CF Table(ALL)'!$H$83:$J$90,3,0),0)</f>
        <v>0</v>
      </c>
    </row>
    <row r="87" spans="1:4" ht="15" thickBot="1">
      <c r="A87" s="438" t="s">
        <v>954</v>
      </c>
      <c r="B87" s="427"/>
      <c r="C87" s="433"/>
      <c r="D87" s="516">
        <f>IFERROR(VLOOKUP(A87,'30 days CF Table(ALL)'!$H$83:$J$90,3,0),0)</f>
        <v>0</v>
      </c>
    </row>
    <row r="88" spans="1:4" ht="15" thickBot="1">
      <c r="A88" s="438" t="s">
        <v>955</v>
      </c>
      <c r="B88" s="427"/>
      <c r="C88" s="433"/>
      <c r="D88" s="516">
        <f>IFERROR(VLOOKUP(A88,'30 days CF Table(ALL)'!$H$83:$J$90,3,0),0)</f>
        <v>0</v>
      </c>
    </row>
    <row r="89" spans="1:4" ht="15" thickBot="1">
      <c r="A89" s="438" t="s">
        <v>956</v>
      </c>
      <c r="B89" s="427"/>
      <c r="C89" s="433"/>
      <c r="D89" s="516">
        <f>IFERROR(VLOOKUP(A89,'30 days CF Table(ALL)'!$H$83:$J$90,3,0),0)</f>
        <v>0</v>
      </c>
    </row>
    <row r="90" spans="1:4" ht="15" thickBot="1">
      <c r="A90" s="438" t="s">
        <v>957</v>
      </c>
      <c r="B90" s="427"/>
      <c r="C90" s="433"/>
      <c r="D90" s="516">
        <f>IFERROR(VLOOKUP(A90,'30 days CF Table(ALL)'!$H$83:$J$90,3,0),0)</f>
        <v>0</v>
      </c>
    </row>
    <row r="91" spans="1:4" ht="15" thickBot="1">
      <c r="A91" s="438" t="s">
        <v>958</v>
      </c>
      <c r="B91" s="427"/>
      <c r="C91" s="433"/>
      <c r="D91" s="516">
        <f>IFERROR(VLOOKUP(A91,'30 days CF Table(ALL)'!$H$83:$J$90,3,0),0)</f>
        <v>0</v>
      </c>
    </row>
    <row r="92" spans="1:4" ht="14.25">
      <c r="A92" s="415"/>
      <c r="B92" s="439"/>
      <c r="C92" s="440"/>
      <c r="D92" s="441"/>
    </row>
    <row r="93" spans="1:4" ht="15.75" thickBot="1">
      <c r="A93" s="482" t="s">
        <v>959</v>
      </c>
      <c r="B93" s="439"/>
      <c r="C93" s="440"/>
      <c r="D93" s="441"/>
    </row>
    <row r="94" spans="1:4" ht="30">
      <c r="A94" s="440"/>
      <c r="B94" s="442" t="s">
        <v>960</v>
      </c>
      <c r="C94" s="443" t="s">
        <v>890</v>
      </c>
      <c r="D94" s="444" t="s">
        <v>961</v>
      </c>
    </row>
    <row r="95" spans="1:4" ht="15.75" thickBot="1">
      <c r="A95" s="440"/>
      <c r="B95" s="445">
        <v>-1</v>
      </c>
      <c r="C95" s="446">
        <v>-2</v>
      </c>
      <c r="D95" s="446">
        <v>-3</v>
      </c>
    </row>
    <row r="96" spans="1:4" ht="15" thickBot="1">
      <c r="A96" s="415" t="s">
        <v>962</v>
      </c>
      <c r="B96" s="416">
        <f>SUM(B97:B102)</f>
        <v>0</v>
      </c>
      <c r="C96" s="417"/>
      <c r="D96" s="416">
        <f>SUM(D97:D102)</f>
        <v>0</v>
      </c>
    </row>
    <row r="97" spans="1:5" ht="15" thickBot="1">
      <c r="A97" s="419" t="s">
        <v>963</v>
      </c>
      <c r="B97" s="426"/>
      <c r="C97" s="420">
        <v>0.05</v>
      </c>
      <c r="D97" s="421">
        <f t="shared" ref="D97:D102" si="1">B97*C97</f>
        <v>0</v>
      </c>
    </row>
    <row r="98" spans="1:5" ht="15" thickBot="1">
      <c r="A98" s="419" t="s">
        <v>964</v>
      </c>
      <c r="B98" s="426"/>
      <c r="C98" s="420">
        <v>0.03</v>
      </c>
      <c r="D98" s="421">
        <f t="shared" si="1"/>
        <v>0</v>
      </c>
    </row>
    <row r="99" spans="1:5" ht="15" thickBot="1">
      <c r="A99" s="419" t="s">
        <v>965</v>
      </c>
      <c r="B99" s="426"/>
      <c r="C99" s="420">
        <v>0.1</v>
      </c>
      <c r="D99" s="421">
        <f t="shared" si="1"/>
        <v>0</v>
      </c>
    </row>
    <row r="100" spans="1:5" ht="15" thickBot="1">
      <c r="A100" s="419" t="s">
        <v>966</v>
      </c>
      <c r="B100" s="426"/>
      <c r="C100" s="420">
        <v>0.1</v>
      </c>
      <c r="D100" s="421">
        <f t="shared" si="1"/>
        <v>0</v>
      </c>
    </row>
    <row r="101" spans="1:5" ht="15" thickBot="1">
      <c r="A101" s="419" t="s">
        <v>967</v>
      </c>
      <c r="B101" s="447">
        <f>'30 days CF Table(ALL)'!J25+'30 days CF Table(ALL)'!J30</f>
        <v>0</v>
      </c>
      <c r="C101" s="420">
        <v>0.25</v>
      </c>
      <c r="D101" s="421">
        <f t="shared" si="1"/>
        <v>0</v>
      </c>
    </row>
    <row r="102" spans="1:5" ht="15" thickBot="1">
      <c r="A102" s="419" t="s">
        <v>968</v>
      </c>
      <c r="B102" s="426"/>
      <c r="C102" s="420">
        <v>1</v>
      </c>
      <c r="D102" s="421">
        <f t="shared" si="1"/>
        <v>0</v>
      </c>
    </row>
    <row r="103" spans="1:5" ht="15" thickBot="1">
      <c r="A103" s="448"/>
      <c r="B103" s="422"/>
      <c r="C103" s="428"/>
      <c r="D103" s="424"/>
    </row>
    <row r="104" spans="1:5" ht="15" thickBot="1">
      <c r="A104" s="415" t="s">
        <v>969</v>
      </c>
      <c r="B104" s="416">
        <f>B105+B112+B120+B128+B134</f>
        <v>0</v>
      </c>
      <c r="C104" s="433"/>
      <c r="D104" s="416">
        <f>D105+D112+D120+D128+D134</f>
        <v>0</v>
      </c>
      <c r="E104" s="531"/>
    </row>
    <row r="105" spans="1:5" ht="15" thickBot="1">
      <c r="A105" s="438" t="s">
        <v>970</v>
      </c>
      <c r="B105" s="416">
        <f>SUM(B106:B111)</f>
        <v>0</v>
      </c>
      <c r="C105" s="417"/>
      <c r="D105" s="418">
        <f>SUM(D106:D111)</f>
        <v>0</v>
      </c>
    </row>
    <row r="106" spans="1:5" ht="15" thickBot="1">
      <c r="A106" s="425" t="s">
        <v>971</v>
      </c>
      <c r="B106" s="426"/>
      <c r="C106" s="420">
        <v>0.05</v>
      </c>
      <c r="D106" s="421">
        <f t="shared" ref="D106:D111" si="2">B106*C106</f>
        <v>0</v>
      </c>
    </row>
    <row r="107" spans="1:5" ht="15" thickBot="1">
      <c r="A107" s="425" t="s">
        <v>972</v>
      </c>
      <c r="B107" s="426"/>
      <c r="C107" s="420">
        <v>0.03</v>
      </c>
      <c r="D107" s="421">
        <f t="shared" si="2"/>
        <v>0</v>
      </c>
    </row>
    <row r="108" spans="1:5" ht="15" thickBot="1">
      <c r="A108" s="425" t="s">
        <v>1242</v>
      </c>
      <c r="B108" s="426"/>
      <c r="C108" s="420">
        <v>0.1</v>
      </c>
      <c r="D108" s="421">
        <f t="shared" si="2"/>
        <v>0</v>
      </c>
    </row>
    <row r="109" spans="1:5" ht="29.25" thickBot="1">
      <c r="A109" s="425" t="s">
        <v>974</v>
      </c>
      <c r="B109" s="426"/>
      <c r="C109" s="420">
        <v>0.1</v>
      </c>
      <c r="D109" s="421">
        <f t="shared" si="2"/>
        <v>0</v>
      </c>
    </row>
    <row r="110" spans="1:5" ht="15" thickBot="1">
      <c r="A110" s="425" t="s">
        <v>975</v>
      </c>
      <c r="B110" s="449">
        <f>'30 days CF Table(ALL)'!J26+'30 days CF Table(ALL)'!J31</f>
        <v>0</v>
      </c>
      <c r="C110" s="420">
        <v>0.25</v>
      </c>
      <c r="D110" s="421">
        <f t="shared" si="2"/>
        <v>0</v>
      </c>
    </row>
    <row r="111" spans="1:5" ht="15" thickBot="1">
      <c r="A111" s="425" t="s">
        <v>976</v>
      </c>
      <c r="B111" s="426"/>
      <c r="C111" s="420">
        <v>1</v>
      </c>
      <c r="D111" s="421">
        <f t="shared" si="2"/>
        <v>0</v>
      </c>
    </row>
    <row r="112" spans="1:5" ht="15" thickBot="1">
      <c r="A112" s="438" t="s">
        <v>977</v>
      </c>
      <c r="B112" s="416">
        <f>SUM(B113:B119)</f>
        <v>0</v>
      </c>
      <c r="C112" s="433"/>
      <c r="D112" s="416">
        <f>SUM(D113:D119)</f>
        <v>0</v>
      </c>
    </row>
    <row r="113" spans="1:4" ht="15" thickBot="1">
      <c r="A113" s="425" t="s">
        <v>978</v>
      </c>
      <c r="B113" s="426"/>
      <c r="C113" s="423"/>
      <c r="D113" s="424"/>
    </row>
    <row r="114" spans="1:4" ht="15" thickBot="1">
      <c r="A114" s="425" t="s">
        <v>979</v>
      </c>
      <c r="B114" s="426"/>
      <c r="C114" s="420">
        <v>0.05</v>
      </c>
      <c r="D114" s="421">
        <f>B114*C114</f>
        <v>0</v>
      </c>
    </row>
    <row r="115" spans="1:4" ht="29.25" thickBot="1">
      <c r="A115" s="425" t="s">
        <v>980</v>
      </c>
      <c r="B115" s="426"/>
      <c r="C115" s="420">
        <v>0.03</v>
      </c>
      <c r="D115" s="421">
        <f>B115*C115</f>
        <v>0</v>
      </c>
    </row>
    <row r="116" spans="1:4" ht="15" thickBot="1">
      <c r="A116" s="425" t="s">
        <v>981</v>
      </c>
      <c r="B116" s="449">
        <f>'30 days CF Table(ALL)'!J27</f>
        <v>0</v>
      </c>
      <c r="C116" s="420">
        <v>0.25</v>
      </c>
      <c r="D116" s="421">
        <f>B116*C116</f>
        <v>0</v>
      </c>
    </row>
    <row r="117" spans="1:4" ht="15" thickBot="1">
      <c r="A117" s="425" t="s">
        <v>982</v>
      </c>
      <c r="B117" s="426"/>
      <c r="C117" s="420">
        <v>0.2</v>
      </c>
      <c r="D117" s="421">
        <f t="shared" ref="D117:D139" si="3">B117*C117</f>
        <v>0</v>
      </c>
    </row>
    <row r="118" spans="1:4" ht="15" thickBot="1">
      <c r="A118" s="425" t="s">
        <v>983</v>
      </c>
      <c r="B118" s="449">
        <f>'30 days CF Table(ALL)'!J32</f>
        <v>0</v>
      </c>
      <c r="C118" s="420">
        <v>0.4</v>
      </c>
      <c r="D118" s="421">
        <f t="shared" si="3"/>
        <v>0</v>
      </c>
    </row>
    <row r="119" spans="1:4" ht="15" thickBot="1">
      <c r="A119" s="425" t="s">
        <v>984</v>
      </c>
      <c r="B119" s="426"/>
      <c r="C119" s="420">
        <v>1</v>
      </c>
      <c r="D119" s="421">
        <f t="shared" si="3"/>
        <v>0</v>
      </c>
    </row>
    <row r="120" spans="1:4" ht="15" thickBot="1">
      <c r="A120" s="438" t="s">
        <v>985</v>
      </c>
      <c r="B120" s="416"/>
      <c r="C120" s="417"/>
      <c r="D120" s="421">
        <f t="shared" si="3"/>
        <v>0</v>
      </c>
    </row>
    <row r="121" spans="1:4" ht="15" thickBot="1">
      <c r="A121" s="425" t="s">
        <v>986</v>
      </c>
      <c r="B121" s="426"/>
      <c r="C121" s="420">
        <v>0.05</v>
      </c>
      <c r="D121" s="421">
        <f t="shared" si="3"/>
        <v>0</v>
      </c>
    </row>
    <row r="122" spans="1:4" ht="29.25" thickBot="1">
      <c r="A122" s="425" t="s">
        <v>987</v>
      </c>
      <c r="B122" s="426"/>
      <c r="C122" s="420">
        <v>0.03</v>
      </c>
      <c r="D122" s="421">
        <f t="shared" si="3"/>
        <v>0</v>
      </c>
    </row>
    <row r="123" spans="1:4" ht="15" thickBot="1">
      <c r="A123" s="425" t="s">
        <v>988</v>
      </c>
      <c r="B123" s="426"/>
      <c r="C123" s="420">
        <v>0.25</v>
      </c>
      <c r="D123" s="421">
        <f t="shared" si="3"/>
        <v>0</v>
      </c>
    </row>
    <row r="124" spans="1:4" ht="15" thickBot="1">
      <c r="A124" s="425" t="s">
        <v>989</v>
      </c>
      <c r="B124" s="426"/>
      <c r="C124" s="420">
        <v>0.2</v>
      </c>
      <c r="D124" s="421">
        <f t="shared" si="3"/>
        <v>0</v>
      </c>
    </row>
    <row r="125" spans="1:4" ht="15" thickBot="1">
      <c r="A125" s="425" t="s">
        <v>990</v>
      </c>
      <c r="B125" s="426"/>
      <c r="C125" s="420">
        <v>0.4</v>
      </c>
      <c r="D125" s="421">
        <f t="shared" si="3"/>
        <v>0</v>
      </c>
    </row>
    <row r="126" spans="1:4" ht="15" thickBot="1">
      <c r="A126" s="425" t="s">
        <v>991</v>
      </c>
      <c r="B126" s="426"/>
      <c r="C126" s="420">
        <v>1</v>
      </c>
      <c r="D126" s="421">
        <f t="shared" si="3"/>
        <v>0</v>
      </c>
    </row>
    <row r="127" spans="1:4" ht="15" thickBot="1">
      <c r="A127" s="425" t="s">
        <v>992</v>
      </c>
      <c r="B127" s="426"/>
      <c r="C127" s="420">
        <v>1</v>
      </c>
      <c r="D127" s="421">
        <f t="shared" si="3"/>
        <v>0</v>
      </c>
    </row>
    <row r="128" spans="1:4" ht="15.75" thickBot="1">
      <c r="A128" s="518" t="s">
        <v>993</v>
      </c>
      <c r="B128" s="416">
        <f>SUM(B130:B133)</f>
        <v>0</v>
      </c>
      <c r="C128" s="433"/>
      <c r="D128" s="416">
        <f>D129+SUM(D130:D133)</f>
        <v>0</v>
      </c>
    </row>
    <row r="129" spans="1:4" ht="15" thickBot="1">
      <c r="A129" s="425" t="s">
        <v>994</v>
      </c>
      <c r="B129" s="447">
        <f>'30 days CF Table(ALL)'!J42</f>
        <v>0</v>
      </c>
      <c r="C129" s="420">
        <v>1</v>
      </c>
      <c r="D129" s="421">
        <f t="shared" ref="D129" si="4">B129*C129</f>
        <v>0</v>
      </c>
    </row>
    <row r="130" spans="1:4" ht="15" thickBot="1">
      <c r="A130" s="425" t="s">
        <v>995</v>
      </c>
      <c r="B130" s="426"/>
      <c r="C130" s="420">
        <v>0.05</v>
      </c>
      <c r="D130" s="421">
        <f t="shared" si="3"/>
        <v>0</v>
      </c>
    </row>
    <row r="131" spans="1:4" ht="29.25" thickBot="1">
      <c r="A131" s="425" t="s">
        <v>996</v>
      </c>
      <c r="B131" s="426"/>
      <c r="C131" s="420">
        <v>0.03</v>
      </c>
      <c r="D131" s="421">
        <f t="shared" si="3"/>
        <v>0</v>
      </c>
    </row>
    <row r="132" spans="1:4" ht="15" thickBot="1">
      <c r="A132" s="425" t="s">
        <v>997</v>
      </c>
      <c r="B132" s="449">
        <f>'30 days CF Table(ALL)'!J29</f>
        <v>0</v>
      </c>
      <c r="C132" s="420">
        <v>0.25</v>
      </c>
      <c r="D132" s="421">
        <f t="shared" si="3"/>
        <v>0</v>
      </c>
    </row>
    <row r="133" spans="1:4" ht="15" thickBot="1">
      <c r="A133" s="425" t="s">
        <v>998</v>
      </c>
      <c r="B133" s="447">
        <f>'30 days CF Table(ALL)'!J34+(SUM('30 days CF Table(ALL)'!J37:J38)+'30 days CF Table(ALL)'!J41+SUM('30 days CF Table(ALL)'!J43:J45))</f>
        <v>0</v>
      </c>
      <c r="C133" s="420">
        <v>1</v>
      </c>
      <c r="D133" s="421">
        <f t="shared" si="3"/>
        <v>0</v>
      </c>
    </row>
    <row r="134" spans="1:4" ht="15" thickBot="1">
      <c r="A134" s="438" t="s">
        <v>999</v>
      </c>
      <c r="B134" s="416">
        <f>B135+SUM(B136:B139)</f>
        <v>0</v>
      </c>
      <c r="C134" s="433"/>
      <c r="D134" s="421"/>
    </row>
    <row r="135" spans="1:4" ht="15" thickBot="1">
      <c r="A135" s="425" t="s">
        <v>1000</v>
      </c>
      <c r="B135" s="426"/>
      <c r="C135" s="423"/>
      <c r="D135" s="424"/>
    </row>
    <row r="136" spans="1:4" ht="15" thickBot="1">
      <c r="A136" s="425" t="s">
        <v>1001</v>
      </c>
      <c r="B136" s="426"/>
      <c r="C136" s="420">
        <v>0.05</v>
      </c>
      <c r="D136" s="421">
        <f t="shared" si="3"/>
        <v>0</v>
      </c>
    </row>
    <row r="137" spans="1:4" ht="29.25" thickBot="1">
      <c r="A137" s="425" t="s">
        <v>1002</v>
      </c>
      <c r="B137" s="426"/>
      <c r="C137" s="420">
        <v>0.03</v>
      </c>
      <c r="D137" s="421">
        <f t="shared" si="3"/>
        <v>0</v>
      </c>
    </row>
    <row r="138" spans="1:4" ht="15" thickBot="1">
      <c r="A138" s="425" t="s">
        <v>1003</v>
      </c>
      <c r="B138" s="447">
        <f>'30 days CF Table(ALL)'!J28</f>
        <v>0</v>
      </c>
      <c r="C138" s="420">
        <v>0.25</v>
      </c>
      <c r="D138" s="421">
        <f t="shared" si="3"/>
        <v>0</v>
      </c>
    </row>
    <row r="139" spans="1:4" ht="15" thickBot="1">
      <c r="A139" s="425" t="s">
        <v>1004</v>
      </c>
      <c r="B139" s="447">
        <f>'30 days CF Table(ALL)'!J33</f>
        <v>0</v>
      </c>
      <c r="C139" s="420">
        <v>1</v>
      </c>
      <c r="D139" s="421">
        <f t="shared" si="3"/>
        <v>0</v>
      </c>
    </row>
    <row r="140" spans="1:4" ht="15" thickBot="1">
      <c r="A140" s="415"/>
      <c r="B140" s="422"/>
      <c r="C140" s="428"/>
      <c r="D140" s="424"/>
    </row>
    <row r="141" spans="1:4" ht="15" thickBot="1">
      <c r="A141" s="415" t="s">
        <v>1005</v>
      </c>
      <c r="B141" s="416">
        <f>B142+B143</f>
        <v>0</v>
      </c>
      <c r="C141" s="417"/>
      <c r="D141" s="418">
        <f>D142+D143</f>
        <v>0</v>
      </c>
    </row>
    <row r="142" spans="1:4" ht="15" thickBot="1">
      <c r="A142" s="438" t="s">
        <v>1006</v>
      </c>
      <c r="B142" s="447">
        <f>SUM('30 days CF Table(ALL)'!J35:J36)+'30 days CF Table(ALL)'!J39</f>
        <v>0</v>
      </c>
      <c r="C142" s="420">
        <v>1</v>
      </c>
      <c r="D142" s="421">
        <f>B142*C142</f>
        <v>0</v>
      </c>
    </row>
    <row r="143" spans="1:4" ht="15" thickBot="1">
      <c r="A143" s="438" t="s">
        <v>1007</v>
      </c>
      <c r="B143" s="426"/>
      <c r="C143" s="420">
        <v>1</v>
      </c>
      <c r="D143" s="421">
        <f>B143*C143</f>
        <v>0</v>
      </c>
    </row>
    <row r="144" spans="1:4" ht="15" thickBot="1">
      <c r="A144" s="415"/>
      <c r="B144" s="422"/>
      <c r="C144" s="428"/>
      <c r="D144" s="424"/>
    </row>
    <row r="145" spans="1:4" ht="15" thickBot="1">
      <c r="A145" s="415" t="s">
        <v>1008</v>
      </c>
      <c r="B145" s="416"/>
      <c r="C145" s="417"/>
      <c r="D145" s="421"/>
    </row>
    <row r="146" spans="1:4" ht="15" thickBot="1">
      <c r="A146" s="419" t="s">
        <v>1009</v>
      </c>
      <c r="B146" s="426"/>
      <c r="C146" s="420">
        <v>0</v>
      </c>
      <c r="D146" s="421"/>
    </row>
    <row r="147" spans="1:4" ht="43.5" thickBot="1">
      <c r="A147" s="425" t="s">
        <v>1010</v>
      </c>
      <c r="B147" s="426"/>
      <c r="C147" s="428"/>
      <c r="D147" s="429"/>
    </row>
    <row r="148" spans="1:4" ht="15" thickBot="1">
      <c r="A148" s="425" t="s">
        <v>1011</v>
      </c>
      <c r="B148" s="426"/>
      <c r="C148" s="423"/>
      <c r="D148" s="424"/>
    </row>
    <row r="149" spans="1:4" ht="15" thickBot="1">
      <c r="A149" s="419" t="s">
        <v>1197</v>
      </c>
      <c r="B149" s="426"/>
      <c r="C149" s="420">
        <v>0.15</v>
      </c>
      <c r="D149" s="421"/>
    </row>
    <row r="150" spans="1:4" ht="43.5" thickBot="1">
      <c r="A150" s="425" t="s">
        <v>1012</v>
      </c>
      <c r="B150" s="426"/>
      <c r="C150" s="428"/>
      <c r="D150" s="429"/>
    </row>
    <row r="151" spans="1:4" ht="15" thickBot="1">
      <c r="A151" s="425" t="s">
        <v>1013</v>
      </c>
      <c r="B151" s="426"/>
      <c r="C151" s="423"/>
      <c r="D151" s="424"/>
    </row>
    <row r="152" spans="1:4" ht="15" thickBot="1">
      <c r="A152" s="419" t="s">
        <v>1014</v>
      </c>
      <c r="B152" s="426"/>
      <c r="C152" s="420">
        <v>0.25</v>
      </c>
      <c r="D152" s="421"/>
    </row>
    <row r="153" spans="1:4" ht="43.5" thickBot="1">
      <c r="A153" s="425" t="s">
        <v>1015</v>
      </c>
      <c r="B153" s="426"/>
      <c r="C153" s="428"/>
      <c r="D153" s="429"/>
    </row>
    <row r="154" spans="1:4" ht="15" thickBot="1">
      <c r="A154" s="425" t="s">
        <v>1016</v>
      </c>
      <c r="B154" s="426"/>
      <c r="C154" s="423"/>
      <c r="D154" s="424"/>
    </row>
    <row r="155" spans="1:4" ht="15" thickBot="1">
      <c r="A155" s="419" t="s">
        <v>1017</v>
      </c>
      <c r="B155" s="426"/>
      <c r="C155" s="420">
        <v>0.5</v>
      </c>
      <c r="D155" s="421"/>
    </row>
    <row r="156" spans="1:4" ht="43.5" thickBot="1">
      <c r="A156" s="425" t="s">
        <v>1018</v>
      </c>
      <c r="B156" s="426"/>
      <c r="C156" s="428"/>
      <c r="D156" s="429"/>
    </row>
    <row r="157" spans="1:4" ht="29.25" thickBot="1">
      <c r="A157" s="425" t="s">
        <v>1019</v>
      </c>
      <c r="B157" s="426"/>
      <c r="C157" s="423"/>
      <c r="D157" s="424"/>
    </row>
    <row r="158" spans="1:4" ht="29.25" thickBot="1">
      <c r="A158" s="419" t="s">
        <v>1020</v>
      </c>
      <c r="B158" s="426"/>
      <c r="C158" s="420">
        <v>0</v>
      </c>
      <c r="D158" s="421"/>
    </row>
    <row r="159" spans="1:4" ht="29.25" thickBot="1">
      <c r="A159" s="425" t="s">
        <v>1021</v>
      </c>
      <c r="B159" s="426"/>
      <c r="C159" s="428"/>
      <c r="D159" s="429"/>
    </row>
    <row r="160" spans="1:4" ht="29.25" thickBot="1">
      <c r="A160" s="419" t="s">
        <v>1022</v>
      </c>
      <c r="B160" s="422"/>
      <c r="C160" s="423"/>
      <c r="D160" s="424"/>
    </row>
    <row r="161" spans="1:4" ht="29.25" thickBot="1">
      <c r="A161" s="425" t="s">
        <v>1023</v>
      </c>
      <c r="B161" s="426"/>
      <c r="C161" s="420">
        <v>0.25</v>
      </c>
      <c r="D161" s="421">
        <f>B161*C161</f>
        <v>0</v>
      </c>
    </row>
    <row r="162" spans="1:4" ht="15" thickBot="1">
      <c r="A162" s="425" t="s">
        <v>1024</v>
      </c>
      <c r="B162" s="426"/>
      <c r="C162" s="420">
        <v>1</v>
      </c>
      <c r="D162" s="421">
        <f>B162*C162</f>
        <v>0</v>
      </c>
    </row>
    <row r="163" spans="1:4" ht="15" thickBot="1">
      <c r="A163" s="438" t="s">
        <v>1025</v>
      </c>
      <c r="B163" s="426"/>
      <c r="C163" s="420">
        <v>0</v>
      </c>
      <c r="D163" s="421">
        <f>B163*C163</f>
        <v>0</v>
      </c>
    </row>
    <row r="164" spans="1:4" ht="15" thickBot="1">
      <c r="A164" s="450" t="s">
        <v>1026</v>
      </c>
      <c r="B164" s="426">
        <v>0</v>
      </c>
      <c r="C164" s="428"/>
      <c r="D164" s="429"/>
    </row>
    <row r="165" spans="1:4" ht="15" thickBot="1">
      <c r="A165" s="425" t="s">
        <v>1027</v>
      </c>
      <c r="B165" s="426"/>
      <c r="C165" s="428"/>
      <c r="D165" s="429"/>
    </row>
    <row r="166" spans="1:4" ht="43.5" thickBot="1">
      <c r="A166" s="425" t="s">
        <v>1028</v>
      </c>
      <c r="B166" s="426"/>
      <c r="C166" s="428"/>
      <c r="D166" s="429"/>
    </row>
    <row r="167" spans="1:4" ht="15" thickBot="1">
      <c r="A167" s="450" t="s">
        <v>1029</v>
      </c>
      <c r="B167" s="426"/>
      <c r="C167" s="428"/>
      <c r="D167" s="429"/>
    </row>
    <row r="168" spans="1:4" ht="15" thickBot="1">
      <c r="A168" s="450" t="s">
        <v>1030</v>
      </c>
      <c r="B168" s="426">
        <v>0</v>
      </c>
      <c r="C168" s="428"/>
      <c r="D168" s="429"/>
    </row>
    <row r="169" spans="1:4" ht="15" thickBot="1">
      <c r="A169" s="425" t="s">
        <v>1031</v>
      </c>
      <c r="B169" s="426"/>
      <c r="C169" s="428"/>
      <c r="D169" s="429"/>
    </row>
    <row r="170" spans="1:4" ht="43.5" thickBot="1">
      <c r="A170" s="425" t="s">
        <v>1032</v>
      </c>
      <c r="B170" s="426"/>
      <c r="C170" s="428"/>
      <c r="D170" s="429"/>
    </row>
    <row r="171" spans="1:4" ht="29.25" thickBot="1">
      <c r="A171" s="425" t="s">
        <v>1033</v>
      </c>
      <c r="B171" s="426"/>
      <c r="C171" s="428"/>
      <c r="D171" s="429"/>
    </row>
    <row r="172" spans="1:4" ht="15" thickBot="1">
      <c r="A172" s="419"/>
      <c r="B172" s="422"/>
      <c r="C172" s="428"/>
      <c r="D172" s="424"/>
    </row>
    <row r="173" spans="1:4" ht="15" thickBot="1">
      <c r="A173" s="451" t="s">
        <v>1034</v>
      </c>
      <c r="B173" s="416">
        <f>SUM(B174:B175)</f>
        <v>0</v>
      </c>
      <c r="C173" s="417"/>
      <c r="D173" s="421">
        <f>SUM(D174:D175)</f>
        <v>0</v>
      </c>
    </row>
    <row r="174" spans="1:4" ht="15" thickBot="1">
      <c r="A174" s="419" t="s">
        <v>1035</v>
      </c>
      <c r="B174" s="426"/>
      <c r="C174" s="420">
        <v>1</v>
      </c>
      <c r="D174" s="421">
        <f>B174*C174</f>
        <v>0</v>
      </c>
    </row>
    <row r="175" spans="1:4" ht="29.25" thickBot="1">
      <c r="A175" s="419" t="s">
        <v>1036</v>
      </c>
      <c r="B175" s="426"/>
      <c r="C175" s="420">
        <v>1</v>
      </c>
      <c r="D175" s="421">
        <f>B175*C175</f>
        <v>0</v>
      </c>
    </row>
    <row r="176" spans="1:4" ht="15" thickBot="1">
      <c r="A176" s="448"/>
      <c r="B176" s="422"/>
      <c r="C176" s="428"/>
      <c r="D176" s="424"/>
    </row>
    <row r="177" spans="1:5" ht="15" thickBot="1">
      <c r="A177" s="415" t="s">
        <v>1037</v>
      </c>
      <c r="B177" s="416">
        <f>SUM(B178:B184)</f>
        <v>0</v>
      </c>
      <c r="C177" s="417"/>
      <c r="D177" s="418">
        <f>SUM(D178:D184)</f>
        <v>0</v>
      </c>
    </row>
    <row r="178" spans="1:5" ht="15" thickBot="1">
      <c r="A178" s="438" t="s">
        <v>1038</v>
      </c>
      <c r="B178" s="449">
        <f>'30 days CF Table(ALL)'!J40+'30 days CF Table(ALL)'!J60</f>
        <v>0</v>
      </c>
      <c r="C178" s="420">
        <v>1</v>
      </c>
      <c r="D178" s="421">
        <f t="shared" ref="D178:D184" si="5">B178*C178</f>
        <v>0</v>
      </c>
    </row>
    <row r="179" spans="1:5" ht="15" thickBot="1">
      <c r="A179" s="438" t="s">
        <v>1039</v>
      </c>
      <c r="B179" s="426"/>
      <c r="C179" s="420">
        <v>1</v>
      </c>
      <c r="D179" s="421">
        <f t="shared" si="5"/>
        <v>0</v>
      </c>
    </row>
    <row r="180" spans="1:5" ht="15" thickBot="1">
      <c r="A180" s="438" t="s">
        <v>1040</v>
      </c>
      <c r="B180" s="426">
        <v>0</v>
      </c>
      <c r="C180" s="420">
        <v>1</v>
      </c>
      <c r="D180" s="421">
        <f t="shared" si="5"/>
        <v>0</v>
      </c>
    </row>
    <row r="181" spans="1:5" ht="15" thickBot="1">
      <c r="A181" s="438" t="s">
        <v>1041</v>
      </c>
      <c r="B181" s="426">
        <v>0</v>
      </c>
      <c r="C181" s="420">
        <v>1</v>
      </c>
      <c r="D181" s="421">
        <f t="shared" si="5"/>
        <v>0</v>
      </c>
    </row>
    <row r="182" spans="1:5" ht="15" thickBot="1">
      <c r="A182" s="438" t="s">
        <v>1042</v>
      </c>
      <c r="B182" s="426"/>
      <c r="C182" s="420">
        <v>1</v>
      </c>
      <c r="D182" s="421">
        <f t="shared" si="5"/>
        <v>0</v>
      </c>
    </row>
    <row r="183" spans="1:5" ht="15" thickBot="1">
      <c r="A183" s="438" t="s">
        <v>1043</v>
      </c>
      <c r="B183" s="426">
        <v>0</v>
      </c>
      <c r="C183" s="420">
        <v>1</v>
      </c>
      <c r="D183" s="421">
        <f t="shared" si="5"/>
        <v>0</v>
      </c>
    </row>
    <row r="184" spans="1:5" ht="15" thickBot="1">
      <c r="A184" s="438" t="s">
        <v>1044</v>
      </c>
      <c r="B184" s="426"/>
      <c r="C184" s="420">
        <v>0.2</v>
      </c>
      <c r="D184" s="421">
        <f t="shared" si="5"/>
        <v>0</v>
      </c>
    </row>
    <row r="185" spans="1:5" ht="15" thickBot="1">
      <c r="A185" s="452"/>
      <c r="B185" s="422"/>
      <c r="C185" s="428"/>
      <c r="D185" s="424"/>
    </row>
    <row r="186" spans="1:5" ht="15" thickBot="1">
      <c r="A186" s="452" t="s">
        <v>1045</v>
      </c>
      <c r="B186" s="416">
        <f>SUM(B188:B203)</f>
        <v>0</v>
      </c>
      <c r="C186" s="433"/>
      <c r="D186" s="418">
        <f>SUM(D188:D203)</f>
        <v>0</v>
      </c>
      <c r="E186" s="531"/>
    </row>
    <row r="187" spans="1:5" ht="15" thickBot="1">
      <c r="A187" s="438" t="s">
        <v>1046</v>
      </c>
      <c r="B187" s="422"/>
      <c r="C187" s="423"/>
      <c r="D187" s="424"/>
    </row>
    <row r="188" spans="1:5" ht="15" thickBot="1">
      <c r="A188" s="450" t="s">
        <v>1047</v>
      </c>
      <c r="B188" s="447">
        <f>'30 days CF Table(ALL)'!J56</f>
        <v>0</v>
      </c>
      <c r="C188" s="420">
        <v>0.05</v>
      </c>
      <c r="D188" s="421"/>
    </row>
    <row r="189" spans="1:5" ht="15" thickBot="1">
      <c r="A189" s="438" t="s">
        <v>1048</v>
      </c>
      <c r="B189" s="422"/>
      <c r="C189" s="423"/>
      <c r="D189" s="424"/>
    </row>
    <row r="190" spans="1:5" ht="15" thickBot="1">
      <c r="A190" s="450" t="s">
        <v>1049</v>
      </c>
      <c r="B190" s="447">
        <f>'30 days CF Table(ALL)'!J57</f>
        <v>0</v>
      </c>
      <c r="C190" s="420">
        <v>0.05</v>
      </c>
      <c r="D190" s="421"/>
    </row>
    <row r="191" spans="1:5" ht="15" thickBot="1">
      <c r="A191" s="438" t="s">
        <v>1050</v>
      </c>
      <c r="B191" s="422"/>
      <c r="C191" s="423"/>
      <c r="D191" s="424"/>
    </row>
    <row r="192" spans="1:5" ht="15" thickBot="1">
      <c r="A192" s="450" t="s">
        <v>1051</v>
      </c>
      <c r="B192" s="447">
        <f>'30 days CF Table(ALL)'!J58</f>
        <v>0</v>
      </c>
      <c r="C192" s="420">
        <v>0.1</v>
      </c>
      <c r="D192" s="421">
        <f t="shared" ref="D192:D201" si="6">B192*C192</f>
        <v>0</v>
      </c>
    </row>
    <row r="193" spans="1:4" ht="15" thickBot="1">
      <c r="A193" s="450" t="s">
        <v>1052</v>
      </c>
      <c r="B193" s="426"/>
      <c r="C193" s="420">
        <v>0.3</v>
      </c>
      <c r="D193" s="421">
        <f t="shared" si="6"/>
        <v>0</v>
      </c>
    </row>
    <row r="194" spans="1:4" ht="15" thickBot="1">
      <c r="A194" s="438" t="s">
        <v>1053</v>
      </c>
      <c r="B194" s="422"/>
      <c r="C194" s="423"/>
      <c r="D194" s="424"/>
    </row>
    <row r="195" spans="1:4" ht="15" thickBot="1">
      <c r="A195" s="450" t="s">
        <v>1054</v>
      </c>
      <c r="B195" s="426"/>
      <c r="C195" s="420">
        <v>0.1</v>
      </c>
      <c r="D195" s="421">
        <f t="shared" si="6"/>
        <v>0</v>
      </c>
    </row>
    <row r="196" spans="1:4" ht="15" thickBot="1">
      <c r="A196" s="450" t="s">
        <v>1055</v>
      </c>
      <c r="B196" s="426"/>
      <c r="C196" s="420">
        <v>0.3</v>
      </c>
      <c r="D196" s="421">
        <f t="shared" si="6"/>
        <v>0</v>
      </c>
    </row>
    <row r="197" spans="1:4" ht="15" thickBot="1">
      <c r="A197" s="419" t="s">
        <v>1056</v>
      </c>
      <c r="B197" s="422"/>
      <c r="C197" s="423"/>
      <c r="D197" s="424"/>
    </row>
    <row r="198" spans="1:4" ht="15" thickBot="1">
      <c r="A198" s="425" t="s">
        <v>1057</v>
      </c>
      <c r="B198" s="426"/>
      <c r="C198" s="420">
        <v>0.4</v>
      </c>
      <c r="D198" s="421">
        <f t="shared" si="6"/>
        <v>0</v>
      </c>
    </row>
    <row r="199" spans="1:4" ht="15" thickBot="1">
      <c r="A199" s="419" t="s">
        <v>1058</v>
      </c>
      <c r="B199" s="422"/>
      <c r="C199" s="423"/>
      <c r="D199" s="424"/>
    </row>
    <row r="200" spans="1:4" ht="15" thickBot="1">
      <c r="A200" s="425" t="s">
        <v>1059</v>
      </c>
      <c r="B200" s="447">
        <f>'30 days CF Table(ALL)'!J59</f>
        <v>0</v>
      </c>
      <c r="C200" s="420">
        <v>0.4</v>
      </c>
      <c r="D200" s="421">
        <f t="shared" si="6"/>
        <v>0</v>
      </c>
    </row>
    <row r="201" spans="1:4" ht="15" thickBot="1">
      <c r="A201" s="425" t="s">
        <v>1060</v>
      </c>
      <c r="B201" s="426"/>
      <c r="C201" s="420">
        <v>1</v>
      </c>
      <c r="D201" s="421">
        <f t="shared" si="6"/>
        <v>0</v>
      </c>
    </row>
    <row r="202" spans="1:4" ht="15" thickBot="1">
      <c r="A202" s="419" t="s">
        <v>1061</v>
      </c>
      <c r="B202" s="422"/>
      <c r="C202" s="423"/>
      <c r="D202" s="424"/>
    </row>
    <row r="203" spans="1:4" ht="15" thickBot="1">
      <c r="A203" s="425" t="s">
        <v>1062</v>
      </c>
      <c r="B203" s="426"/>
      <c r="C203" s="420">
        <v>1</v>
      </c>
      <c r="D203" s="421">
        <f>B203*C203</f>
        <v>0</v>
      </c>
    </row>
    <row r="204" spans="1:4" ht="15" thickBot="1">
      <c r="A204" s="419"/>
      <c r="B204" s="422"/>
      <c r="C204" s="428"/>
      <c r="D204" s="424"/>
    </row>
    <row r="205" spans="1:4" ht="15" thickBot="1">
      <c r="A205" s="415" t="s">
        <v>1063</v>
      </c>
      <c r="B205" s="486">
        <f>SUM(B206:B213)</f>
        <v>0</v>
      </c>
      <c r="C205" s="417"/>
      <c r="D205" s="421">
        <f>SUM(D206:D213)</f>
        <v>0</v>
      </c>
    </row>
    <row r="206" spans="1:4" ht="15.75" thickBot="1">
      <c r="A206" s="438" t="s">
        <v>1064</v>
      </c>
      <c r="B206" s="528"/>
      <c r="C206" s="420">
        <v>1</v>
      </c>
      <c r="D206" s="421">
        <f>B206*C206</f>
        <v>0</v>
      </c>
    </row>
    <row r="207" spans="1:4" ht="15" thickBot="1">
      <c r="A207" s="419" t="s">
        <v>1065</v>
      </c>
      <c r="B207" s="426"/>
      <c r="C207" s="428"/>
      <c r="D207" s="429"/>
    </row>
    <row r="208" spans="1:4" ht="15" thickBot="1">
      <c r="A208" s="419" t="s">
        <v>1066</v>
      </c>
      <c r="B208" s="426"/>
      <c r="C208" s="428"/>
      <c r="D208" s="429"/>
    </row>
    <row r="209" spans="1:4" ht="15" thickBot="1">
      <c r="A209" s="419" t="s">
        <v>1067</v>
      </c>
      <c r="B209" s="426"/>
      <c r="C209" s="428"/>
      <c r="D209" s="429"/>
    </row>
    <row r="210" spans="1:4" ht="15" thickBot="1">
      <c r="A210" s="419" t="s">
        <v>1068</v>
      </c>
      <c r="B210" s="426"/>
      <c r="C210" s="428"/>
      <c r="D210" s="429"/>
    </row>
    <row r="211" spans="1:4" ht="15" thickBot="1">
      <c r="A211" s="419" t="s">
        <v>1069</v>
      </c>
      <c r="B211" s="416">
        <f>SUM(B207:B210)</f>
        <v>0</v>
      </c>
      <c r="C211" s="428"/>
      <c r="D211" s="429"/>
    </row>
    <row r="212" spans="1:4" ht="15" thickBot="1">
      <c r="A212" s="419" t="s">
        <v>1070</v>
      </c>
      <c r="B212" s="416"/>
      <c r="C212" s="423"/>
      <c r="D212" s="424"/>
    </row>
    <row r="213" spans="1:4" ht="29.25" thickBot="1">
      <c r="A213" s="419" t="s">
        <v>1071</v>
      </c>
      <c r="B213" s="416">
        <f>MAX(B211-B212,0)</f>
        <v>0</v>
      </c>
      <c r="C213" s="420">
        <v>1</v>
      </c>
      <c r="D213" s="421">
        <f>B213*C213</f>
        <v>0</v>
      </c>
    </row>
    <row r="214" spans="1:4" ht="15" thickBot="1">
      <c r="A214" s="419"/>
      <c r="B214" s="422"/>
      <c r="C214" s="428"/>
      <c r="D214" s="424"/>
    </row>
    <row r="215" spans="1:4" ht="15" thickBot="1">
      <c r="A215" s="451" t="s">
        <v>1072</v>
      </c>
      <c r="B215" s="416">
        <f>SUM(B216:B224)</f>
        <v>0</v>
      </c>
      <c r="C215" s="417"/>
      <c r="D215" s="416">
        <f>SUM(D216:D224)</f>
        <v>0</v>
      </c>
    </row>
    <row r="216" spans="1:4" ht="15" thickBot="1">
      <c r="A216" s="438" t="s">
        <v>1073</v>
      </c>
      <c r="B216" s="426"/>
      <c r="C216" s="420">
        <v>0.05</v>
      </c>
      <c r="D216" s="421"/>
    </row>
    <row r="217" spans="1:4" ht="15" thickBot="1">
      <c r="A217" s="438" t="s">
        <v>1074</v>
      </c>
      <c r="B217" s="527"/>
      <c r="C217" s="420">
        <v>1</v>
      </c>
      <c r="D217" s="421"/>
    </row>
    <row r="218" spans="1:4" ht="15" thickBot="1">
      <c r="A218" s="453" t="s">
        <v>1075</v>
      </c>
      <c r="B218" s="527"/>
      <c r="C218" s="420">
        <v>0.5</v>
      </c>
      <c r="D218" s="421"/>
    </row>
    <row r="219" spans="1:4" ht="15" thickBot="1">
      <c r="A219" s="627" t="s">
        <v>1076</v>
      </c>
      <c r="B219" s="628">
        <f>IF($B$8&lt;('Summary &amp; Working File(AllCcy)'!E15-30),'Summary &amp; Working File(AllCcy)'!E14/1000000,0)+IF($B$8&lt;('Summary &amp; Working File(AllCcy)'!F15-30),'Summary &amp; Working File(AllCcy)'!F14/1000000,0)+IF($B$8&lt;('Summary &amp; Working File(AllCcy)'!G15-30),'Summary &amp; Working File(AllCcy)'!G14/1000000,0)+IF($B$8&lt;('Summary &amp; Working File(AllCcy)'!H15-30),'Summary &amp; Working File(AllCcy)'!H14/1000000,0)+IF($B$8&lt;('Summary &amp; Working File(AllCcy)'!I15-30),'Summary &amp; Working File(AllCcy)'!I14/1000000,0)+IF($B$8&lt;('Summary &amp; Working File(AllCcy)'!J15-30),'Summary &amp; Working File(AllCcy)'!J14/1000000,0)</f>
        <v>0</v>
      </c>
      <c r="C219" s="523">
        <v>0.1</v>
      </c>
      <c r="D219" s="524">
        <f>B219*C219</f>
        <v>0</v>
      </c>
    </row>
    <row r="220" spans="1:4" ht="15" thickBot="1">
      <c r="A220" s="627" t="s">
        <v>1077</v>
      </c>
      <c r="B220" s="628">
        <f>IF($B$8&lt;('Summary &amp; Working File(AllCcy)'!E11-30),'Summary &amp; Working File(AllCcy)'!E10/1000000,0)+IF($B$8&lt;('Summary &amp; Working File(AllCcy)'!F11-30),'Summary &amp; Working File(AllCcy)'!F10/1000000,0)+IF($B$8&lt;('Summary &amp; Working File(AllCcy)'!G11-30),'Summary &amp; Working File(AllCcy)'!G10/1000000,0)+IF($B$8&lt;('Summary &amp; Working File(AllCcy)'!H11-30),'Summary &amp; Working File(AllCcy)'!H10/1000000,0)</f>
        <v>0</v>
      </c>
      <c r="C220" s="523">
        <v>0.05</v>
      </c>
      <c r="D220" s="524">
        <f>B220*C220</f>
        <v>0</v>
      </c>
    </row>
    <row r="221" spans="1:4" ht="15" thickBot="1">
      <c r="A221" s="438" t="s">
        <v>1078</v>
      </c>
      <c r="B221" s="426"/>
      <c r="C221" s="454"/>
      <c r="D221" s="421"/>
    </row>
    <row r="222" spans="1:4" ht="15" thickBot="1">
      <c r="A222" s="438" t="s">
        <v>1079</v>
      </c>
      <c r="B222" s="426"/>
      <c r="C222" s="420">
        <v>0.05</v>
      </c>
      <c r="D222" s="421"/>
    </row>
    <row r="223" spans="1:4" ht="15" thickBot="1">
      <c r="A223" s="438" t="s">
        <v>1080</v>
      </c>
      <c r="B223" s="426"/>
      <c r="C223" s="454"/>
      <c r="D223" s="421"/>
    </row>
    <row r="224" spans="1:4" ht="15" thickBot="1">
      <c r="A224" s="438" t="s">
        <v>1081</v>
      </c>
      <c r="B224" s="447">
        <f>'30 days CF Table(ALL)'!J61</f>
        <v>0</v>
      </c>
      <c r="C224" s="420">
        <v>1</v>
      </c>
      <c r="D224" s="421">
        <f>B224*C224</f>
        <v>0</v>
      </c>
    </row>
    <row r="225" spans="1:6" ht="15" thickBot="1">
      <c r="A225" s="452"/>
      <c r="B225" s="427"/>
      <c r="C225" s="428"/>
      <c r="D225" s="424"/>
    </row>
    <row r="226" spans="1:6" ht="15" thickBot="1">
      <c r="A226" s="452" t="s">
        <v>1082</v>
      </c>
      <c r="B226" s="427"/>
      <c r="C226" s="433"/>
      <c r="D226" s="529"/>
    </row>
    <row r="227" spans="1:6" ht="17.25" thickBot="1">
      <c r="A227" s="538"/>
      <c r="B227" s="530" t="b">
        <f>B228='30 days CF Table(ALL)'!J69</f>
        <v>1</v>
      </c>
      <c r="C227" s="428"/>
      <c r="D227" s="530" t="b">
        <f>D228='30 days CF Table(ALL)'!K69</f>
        <v>1</v>
      </c>
      <c r="E227" s="532"/>
      <c r="F227" s="532"/>
    </row>
    <row r="228" spans="1:6" ht="15" thickBot="1">
      <c r="A228" s="452" t="s">
        <v>1083</v>
      </c>
      <c r="B228" s="416">
        <f>SUM(B96,B104,B141,B145,B173,B177,B186,B205,B215)</f>
        <v>0</v>
      </c>
      <c r="C228" s="433"/>
      <c r="D228" s="418">
        <f>SUM(D96,D104,D141,D145,D173,D177,D186,D205,D215)</f>
        <v>0</v>
      </c>
      <c r="E228" s="531"/>
    </row>
    <row r="229" spans="1:6" ht="15" thickBot="1">
      <c r="A229" s="438" t="s">
        <v>1084</v>
      </c>
      <c r="B229" s="447">
        <f>'30 days CF Table(AUD)'!J69</f>
        <v>0</v>
      </c>
      <c r="C229" s="552"/>
      <c r="D229" s="553">
        <f>'30 days CF Table(AUD)'!K69</f>
        <v>0</v>
      </c>
      <c r="E229" s="531"/>
    </row>
    <row r="230" spans="1:6" ht="15.95" customHeight="1" thickBot="1">
      <c r="A230" s="438" t="s">
        <v>1085</v>
      </c>
      <c r="B230" s="447">
        <f>'30 days CF Table(NZD)'!J66</f>
        <v>0</v>
      </c>
      <c r="C230" s="552"/>
      <c r="D230" s="447">
        <f>'30 days CF Table(NZD)'!K66</f>
        <v>0</v>
      </c>
    </row>
    <row r="231" spans="1:6" ht="15" thickBot="1">
      <c r="A231" s="438" t="s">
        <v>1086</v>
      </c>
      <c r="B231" s="447">
        <f>'30 days CF Table(USD)'!J66</f>
        <v>0</v>
      </c>
      <c r="C231" s="552"/>
      <c r="D231" s="447">
        <f>'30 days CF Table(USD)'!K66</f>
        <v>0</v>
      </c>
      <c r="F231" s="532"/>
    </row>
    <row r="232" spans="1:6" ht="15" thickBot="1">
      <c r="A232" s="438" t="s">
        <v>1087</v>
      </c>
      <c r="B232" s="447">
        <f>'30 days CF Table(GBP)'!J66</f>
        <v>0</v>
      </c>
      <c r="C232" s="552"/>
      <c r="D232" s="447">
        <f>'30 days CF Table(GBP)'!K66</f>
        <v>0</v>
      </c>
    </row>
    <row r="233" spans="1:6" ht="15" thickBot="1">
      <c r="A233" s="438" t="s">
        <v>1088</v>
      </c>
      <c r="B233" s="449">
        <f>'30 days CF Table(EUR)'!J66</f>
        <v>0</v>
      </c>
      <c r="C233" s="433"/>
      <c r="D233" s="449">
        <f>'30 days CF Table(EUR)'!K66</f>
        <v>0</v>
      </c>
    </row>
    <row r="234" spans="1:6" ht="15" thickBot="1">
      <c r="A234" s="438" t="s">
        <v>1089</v>
      </c>
      <c r="B234" s="449">
        <f>'30 days CF Table(JPY)'!J66</f>
        <v>0</v>
      </c>
      <c r="C234" s="433"/>
      <c r="D234" s="449">
        <f>'30 days CF Table(JPY)'!K66</f>
        <v>0</v>
      </c>
    </row>
    <row r="235" spans="1:6" ht="15" thickBot="1">
      <c r="A235" s="438" t="s">
        <v>1090</v>
      </c>
      <c r="B235" s="449">
        <f>'30 days CF Table(RMB)'!J66</f>
        <v>0</v>
      </c>
      <c r="C235" s="433"/>
      <c r="D235" s="449">
        <f>'30 days CF Table(RMB)'!K66</f>
        <v>0</v>
      </c>
    </row>
    <row r="236" spans="1:6" ht="15" thickBot="1">
      <c r="A236" s="438" t="s">
        <v>1091</v>
      </c>
      <c r="B236" s="426">
        <f>B228-SUM(B229:B235)</f>
        <v>0</v>
      </c>
      <c r="C236" s="433"/>
      <c r="D236" s="426">
        <f>D228-SUM(D229:D235)</f>
        <v>0</v>
      </c>
    </row>
    <row r="237" spans="1:6" ht="14.25">
      <c r="A237" s="425"/>
      <c r="B237" s="439"/>
      <c r="C237" s="440"/>
      <c r="D237" s="441"/>
    </row>
    <row r="238" spans="1:6" ht="15.75" thickBot="1">
      <c r="A238" s="483" t="s">
        <v>1092</v>
      </c>
      <c r="B238" s="439"/>
      <c r="C238" s="440"/>
      <c r="D238" s="441"/>
    </row>
    <row r="239" spans="1:6" ht="30">
      <c r="A239" s="425"/>
      <c r="B239" s="442" t="s">
        <v>960</v>
      </c>
      <c r="C239" s="443" t="s">
        <v>890</v>
      </c>
      <c r="D239" s="444" t="s">
        <v>961</v>
      </c>
    </row>
    <row r="240" spans="1:6" ht="15.75" thickBot="1">
      <c r="A240" s="456"/>
      <c r="B240" s="445">
        <v>-1</v>
      </c>
      <c r="C240" s="446">
        <v>-2</v>
      </c>
      <c r="D240" s="446">
        <v>-3</v>
      </c>
    </row>
    <row r="241" spans="1:4" ht="15" thickBot="1">
      <c r="A241" s="451" t="s">
        <v>1093</v>
      </c>
      <c r="B241" s="416">
        <f>B242+B260</f>
        <v>0</v>
      </c>
      <c r="C241" s="433"/>
      <c r="D241" s="416">
        <f>D242+D260</f>
        <v>0</v>
      </c>
    </row>
    <row r="242" spans="1:4" ht="15" thickBot="1">
      <c r="A242" s="419" t="s">
        <v>1094</v>
      </c>
      <c r="B242" s="426">
        <f>B243+B246+B249+B252+B255+B257+B258+B259</f>
        <v>0</v>
      </c>
      <c r="C242" s="417"/>
      <c r="D242" s="426">
        <f>D243+D246+D249+D252+D255+D257+D258+D259</f>
        <v>0</v>
      </c>
    </row>
    <row r="243" spans="1:4" ht="15" thickBot="1">
      <c r="A243" s="425" t="s">
        <v>1095</v>
      </c>
      <c r="B243" s="426">
        <v>0</v>
      </c>
      <c r="C243" s="420">
        <v>0</v>
      </c>
      <c r="D243" s="421">
        <f>B243*C243</f>
        <v>0</v>
      </c>
    </row>
    <row r="244" spans="1:4" ht="15" thickBot="1">
      <c r="A244" s="457" t="s">
        <v>1096</v>
      </c>
      <c r="B244" s="426">
        <v>0</v>
      </c>
      <c r="C244" s="428"/>
      <c r="D244" s="429"/>
    </row>
    <row r="245" spans="1:4" ht="15" thickBot="1">
      <c r="A245" s="457" t="s">
        <v>1097</v>
      </c>
      <c r="B245" s="426">
        <v>0</v>
      </c>
      <c r="C245" s="423"/>
      <c r="D245" s="424"/>
    </row>
    <row r="246" spans="1:4" ht="15" thickBot="1">
      <c r="A246" s="450" t="s">
        <v>1098</v>
      </c>
      <c r="B246" s="426">
        <v>0</v>
      </c>
      <c r="C246" s="420">
        <v>0.15</v>
      </c>
      <c r="D246" s="421">
        <f>B246*C246</f>
        <v>0</v>
      </c>
    </row>
    <row r="247" spans="1:4" ht="15" thickBot="1">
      <c r="A247" s="457" t="s">
        <v>1099</v>
      </c>
      <c r="B247" s="426">
        <v>0</v>
      </c>
      <c r="C247" s="428"/>
      <c r="D247" s="429"/>
    </row>
    <row r="248" spans="1:4" ht="15" thickBot="1">
      <c r="A248" s="457" t="s">
        <v>1100</v>
      </c>
      <c r="B248" s="426">
        <v>0</v>
      </c>
      <c r="C248" s="423"/>
      <c r="D248" s="424"/>
    </row>
    <row r="249" spans="1:4" ht="15" thickBot="1">
      <c r="A249" s="450" t="s">
        <v>1101</v>
      </c>
      <c r="B249" s="426">
        <v>0</v>
      </c>
      <c r="C249" s="420">
        <v>0.25</v>
      </c>
      <c r="D249" s="421">
        <f>B249*C249</f>
        <v>0</v>
      </c>
    </row>
    <row r="250" spans="1:4" ht="15" thickBot="1">
      <c r="A250" s="457" t="s">
        <v>1102</v>
      </c>
      <c r="B250" s="426">
        <v>0</v>
      </c>
      <c r="C250" s="428"/>
      <c r="D250" s="429"/>
    </row>
    <row r="251" spans="1:4" ht="15" thickBot="1">
      <c r="A251" s="457" t="s">
        <v>1103</v>
      </c>
      <c r="B251" s="426">
        <v>0</v>
      </c>
      <c r="C251" s="423"/>
      <c r="D251" s="424"/>
    </row>
    <row r="252" spans="1:4" ht="15" thickBot="1">
      <c r="A252" s="450" t="s">
        <v>1104</v>
      </c>
      <c r="B252" s="426">
        <v>0</v>
      </c>
      <c r="C252" s="420">
        <v>0.5</v>
      </c>
      <c r="D252" s="421">
        <f>B252*C252</f>
        <v>0</v>
      </c>
    </row>
    <row r="253" spans="1:4" ht="15" thickBot="1">
      <c r="A253" s="457" t="s">
        <v>1105</v>
      </c>
      <c r="B253" s="426">
        <v>0</v>
      </c>
      <c r="C253" s="428"/>
      <c r="D253" s="429"/>
    </row>
    <row r="254" spans="1:4" ht="15" thickBot="1">
      <c r="A254" s="457" t="s">
        <v>1106</v>
      </c>
      <c r="B254" s="426">
        <v>0</v>
      </c>
      <c r="C254" s="423"/>
      <c r="D254" s="424"/>
    </row>
    <row r="255" spans="1:4" ht="15" thickBot="1">
      <c r="A255" s="450" t="s">
        <v>1107</v>
      </c>
      <c r="B255" s="426">
        <v>0</v>
      </c>
      <c r="C255" s="420">
        <v>0</v>
      </c>
      <c r="D255" s="421">
        <f>B255*C255</f>
        <v>0</v>
      </c>
    </row>
    <row r="256" spans="1:4" ht="15" thickBot="1">
      <c r="A256" s="457" t="s">
        <v>1108</v>
      </c>
      <c r="B256" s="426">
        <v>0</v>
      </c>
      <c r="C256" s="423"/>
      <c r="D256" s="424"/>
    </row>
    <row r="257" spans="1:4" ht="15" thickBot="1">
      <c r="A257" s="450" t="s">
        <v>1109</v>
      </c>
      <c r="B257" s="426">
        <v>0</v>
      </c>
      <c r="C257" s="420">
        <v>0</v>
      </c>
      <c r="D257" s="421">
        <f>B257*C257</f>
        <v>0</v>
      </c>
    </row>
    <row r="258" spans="1:4" ht="15" thickBot="1">
      <c r="A258" s="450" t="s">
        <v>1110</v>
      </c>
      <c r="B258" s="426">
        <v>0</v>
      </c>
      <c r="C258" s="420">
        <v>0.5</v>
      </c>
      <c r="D258" s="421">
        <f>B258*C258</f>
        <v>0</v>
      </c>
    </row>
    <row r="259" spans="1:4" ht="15" thickBot="1">
      <c r="A259" s="450" t="s">
        <v>1111</v>
      </c>
      <c r="B259" s="426">
        <v>0</v>
      </c>
      <c r="C259" s="420">
        <v>1</v>
      </c>
      <c r="D259" s="421">
        <f>B259*C259</f>
        <v>0</v>
      </c>
    </row>
    <row r="260" spans="1:4" ht="15" thickBot="1">
      <c r="A260" s="438" t="s">
        <v>1112</v>
      </c>
      <c r="B260" s="426">
        <f>SUM(B261:B266)</f>
        <v>0</v>
      </c>
      <c r="C260" s="417"/>
      <c r="D260" s="426">
        <f>SUM(D261:D266)</f>
        <v>0</v>
      </c>
    </row>
    <row r="261" spans="1:4" ht="15" thickBot="1">
      <c r="A261" s="458" t="s">
        <v>1113</v>
      </c>
      <c r="B261" s="426">
        <v>0</v>
      </c>
      <c r="C261" s="420">
        <v>0</v>
      </c>
      <c r="D261" s="421">
        <f t="shared" ref="D261:D266" si="7">B261*C261</f>
        <v>0</v>
      </c>
    </row>
    <row r="262" spans="1:4" ht="15" thickBot="1">
      <c r="A262" s="450" t="s">
        <v>1114</v>
      </c>
      <c r="B262" s="426">
        <v>0</v>
      </c>
      <c r="C262" s="420">
        <v>0</v>
      </c>
      <c r="D262" s="421">
        <f t="shared" si="7"/>
        <v>0</v>
      </c>
    </row>
    <row r="263" spans="1:4" ht="15" thickBot="1">
      <c r="A263" s="425" t="s">
        <v>1115</v>
      </c>
      <c r="B263" s="426">
        <v>0</v>
      </c>
      <c r="C263" s="420">
        <v>0</v>
      </c>
      <c r="D263" s="421">
        <f t="shared" si="7"/>
        <v>0</v>
      </c>
    </row>
    <row r="264" spans="1:4" ht="15" thickBot="1">
      <c r="A264" s="425" t="s">
        <v>1116</v>
      </c>
      <c r="B264" s="426">
        <v>0</v>
      </c>
      <c r="C264" s="420">
        <v>0</v>
      </c>
      <c r="D264" s="421">
        <f t="shared" si="7"/>
        <v>0</v>
      </c>
    </row>
    <row r="265" spans="1:4" ht="15" thickBot="1">
      <c r="A265" s="425" t="s">
        <v>1117</v>
      </c>
      <c r="B265" s="426">
        <v>0</v>
      </c>
      <c r="C265" s="420">
        <v>0</v>
      </c>
      <c r="D265" s="421">
        <f t="shared" si="7"/>
        <v>0</v>
      </c>
    </row>
    <row r="266" spans="1:4" ht="15" thickBot="1">
      <c r="A266" s="425" t="s">
        <v>1118</v>
      </c>
      <c r="B266" s="426">
        <v>0</v>
      </c>
      <c r="C266" s="420">
        <v>0</v>
      </c>
      <c r="D266" s="421">
        <f t="shared" si="7"/>
        <v>0</v>
      </c>
    </row>
    <row r="267" spans="1:4" ht="15" thickBot="1">
      <c r="A267" s="451"/>
      <c r="B267" s="422"/>
      <c r="C267" s="428"/>
      <c r="D267" s="424"/>
    </row>
    <row r="268" spans="1:4" ht="15" thickBot="1">
      <c r="A268" s="459" t="s">
        <v>1119</v>
      </c>
      <c r="B268" s="416">
        <f>SUM(B269:B274)</f>
        <v>0</v>
      </c>
      <c r="C268" s="417"/>
      <c r="D268" s="416">
        <f>SUM(D269:D274)</f>
        <v>0</v>
      </c>
    </row>
    <row r="269" spans="1:4" ht="15" thickBot="1">
      <c r="A269" s="438" t="s">
        <v>1120</v>
      </c>
      <c r="B269" s="449">
        <f>'30 days CF Table(ALL)'!J7</f>
        <v>0</v>
      </c>
      <c r="C269" s="420">
        <v>0.5</v>
      </c>
      <c r="D269" s="421">
        <f t="shared" ref="D269:D275" si="8">B269*C269</f>
        <v>0</v>
      </c>
    </row>
    <row r="270" spans="1:4" ht="15" thickBot="1">
      <c r="A270" s="453" t="s">
        <v>1121</v>
      </c>
      <c r="B270" s="449">
        <f>'30 days CF Table(ALL)'!J8</f>
        <v>0</v>
      </c>
      <c r="C270" s="420">
        <v>0.5</v>
      </c>
      <c r="D270" s="421">
        <f t="shared" si="8"/>
        <v>0</v>
      </c>
    </row>
    <row r="271" spans="1:4" ht="15" thickBot="1">
      <c r="A271" s="438" t="s">
        <v>1122</v>
      </c>
      <c r="B271" s="449">
        <f>SUM('30 days CF Table(ALL)'!J9:J11)</f>
        <v>0</v>
      </c>
      <c r="C271" s="420">
        <v>0.5</v>
      </c>
      <c r="D271" s="421">
        <f t="shared" si="8"/>
        <v>0</v>
      </c>
    </row>
    <row r="272" spans="1:4" ht="15" thickBot="1">
      <c r="A272" s="438" t="s">
        <v>1123</v>
      </c>
      <c r="B272" s="455"/>
      <c r="C272" s="420">
        <v>1</v>
      </c>
      <c r="D272" s="421">
        <f t="shared" si="8"/>
        <v>0</v>
      </c>
    </row>
    <row r="273" spans="1:5" ht="15" thickBot="1">
      <c r="A273" s="438" t="s">
        <v>1124</v>
      </c>
      <c r="B273" s="447">
        <f>SUM('30 days CF Table(ALL)'!J4:J6)+SUM('30 days CF Table(ALL)'!J12:J13)+SUM('30 days CF Table(ALL)'!J15:J16)</f>
        <v>0</v>
      </c>
      <c r="C273" s="420">
        <v>1</v>
      </c>
      <c r="D273" s="421">
        <f t="shared" si="8"/>
        <v>0</v>
      </c>
    </row>
    <row r="274" spans="1:5" ht="15" thickBot="1">
      <c r="A274" s="438" t="s">
        <v>1125</v>
      </c>
      <c r="B274" s="455"/>
      <c r="C274" s="420">
        <v>0.5</v>
      </c>
      <c r="D274" s="421">
        <f t="shared" si="8"/>
        <v>0</v>
      </c>
    </row>
    <row r="275" spans="1:5" ht="15" thickBot="1">
      <c r="A275" s="438" t="s">
        <v>1126</v>
      </c>
      <c r="B275" s="447">
        <f>SUM('30 days CF Table(ALL)'!J15:J16)</f>
        <v>0</v>
      </c>
      <c r="C275" s="420">
        <v>1</v>
      </c>
      <c r="D275" s="421">
        <f t="shared" si="8"/>
        <v>0</v>
      </c>
    </row>
    <row r="276" spans="1:5" ht="15" thickBot="1">
      <c r="A276" s="438" t="s">
        <v>1127</v>
      </c>
      <c r="B276" s="455"/>
      <c r="C276" s="428"/>
      <c r="D276" s="429"/>
    </row>
    <row r="277" spans="1:5" ht="15" thickBot="1">
      <c r="A277" s="438" t="s">
        <v>1128</v>
      </c>
      <c r="B277" s="455"/>
      <c r="C277" s="428"/>
      <c r="D277" s="429"/>
    </row>
    <row r="278" spans="1:5" ht="15" thickBot="1">
      <c r="A278" s="452"/>
      <c r="B278" s="422"/>
      <c r="C278" s="428"/>
      <c r="D278" s="424"/>
    </row>
    <row r="279" spans="1:5" ht="15" thickBot="1">
      <c r="A279" s="452" t="s">
        <v>1129</v>
      </c>
      <c r="B279" s="416">
        <f>SUM(B280:B284)</f>
        <v>0</v>
      </c>
      <c r="C279" s="417"/>
      <c r="D279" s="418">
        <f>SUM(D280:D284)</f>
        <v>0</v>
      </c>
    </row>
    <row r="280" spans="1:5" ht="15" thickBot="1">
      <c r="A280" s="419" t="s">
        <v>1130</v>
      </c>
      <c r="B280" s="449">
        <f>'30 days CF Table(ALL)'!J14+'30 days CF Table(ALL)'!J22</f>
        <v>0</v>
      </c>
      <c r="C280" s="420">
        <v>1</v>
      </c>
      <c r="D280" s="421">
        <f>B280*C280</f>
        <v>0</v>
      </c>
    </row>
    <row r="281" spans="1:5" ht="15" thickBot="1">
      <c r="A281" s="438" t="s">
        <v>1131</v>
      </c>
      <c r="B281" s="416">
        <v>0</v>
      </c>
      <c r="C281" s="420">
        <v>1</v>
      </c>
      <c r="D281" s="421">
        <f>B281*C281</f>
        <v>0</v>
      </c>
    </row>
    <row r="282" spans="1:5" ht="15" thickBot="1">
      <c r="A282" s="460" t="s">
        <v>1132</v>
      </c>
      <c r="B282" s="426"/>
      <c r="C282" s="420">
        <v>1</v>
      </c>
      <c r="D282" s="421">
        <f>B282*C282</f>
        <v>0</v>
      </c>
    </row>
    <row r="283" spans="1:5" ht="15" thickBot="1">
      <c r="A283" s="460" t="s">
        <v>1133</v>
      </c>
      <c r="B283" s="447">
        <f>SUM('30 days CF Table(ALL)'!J17:J18)</f>
        <v>0</v>
      </c>
      <c r="C283" s="420">
        <v>1</v>
      </c>
      <c r="D283" s="421">
        <f>B283*C283</f>
        <v>0</v>
      </c>
    </row>
    <row r="284" spans="1:5" ht="15.75" thickBot="1">
      <c r="A284" s="438" t="s">
        <v>1134</v>
      </c>
      <c r="B284" s="426"/>
      <c r="C284" s="433"/>
      <c r="D284" s="540">
        <f>D228*0.2</f>
        <v>0</v>
      </c>
    </row>
    <row r="285" spans="1:5" ht="15" thickBot="1">
      <c r="A285" s="452"/>
      <c r="B285" s="427"/>
      <c r="C285" s="428"/>
      <c r="D285" s="424"/>
    </row>
    <row r="286" spans="1:5" ht="15" thickBot="1">
      <c r="A286" s="452" t="s">
        <v>1135</v>
      </c>
      <c r="B286" s="427"/>
      <c r="C286" s="433"/>
      <c r="D286" s="434"/>
      <c r="E286" s="531"/>
    </row>
    <row r="287" spans="1:5" ht="17.25" thickBot="1">
      <c r="A287" s="452"/>
      <c r="B287" s="530" t="b">
        <f>B288='30 days CF Table(ALL)'!J70</f>
        <v>1</v>
      </c>
      <c r="C287" s="428"/>
      <c r="D287" s="530" t="b">
        <f>D288='30 days CF Table(ALL)'!K70+D284</f>
        <v>1</v>
      </c>
    </row>
    <row r="288" spans="1:5" ht="15" thickBot="1">
      <c r="A288" s="452" t="s">
        <v>1136</v>
      </c>
      <c r="B288" s="554">
        <f>SUM(B241,B268,B279)</f>
        <v>0</v>
      </c>
      <c r="C288" s="555"/>
      <c r="D288" s="418">
        <f>SUM(D241,D268,D279)</f>
        <v>0</v>
      </c>
    </row>
    <row r="289" spans="1:4" ht="15" thickBot="1">
      <c r="A289" s="438" t="s">
        <v>1137</v>
      </c>
      <c r="B289" s="556">
        <f>'30 days CF Table(AUD)'!J70</f>
        <v>0</v>
      </c>
      <c r="C289" s="555"/>
      <c r="D289" s="557">
        <f>'30 days CF Table(AUD)'!K70</f>
        <v>0</v>
      </c>
    </row>
    <row r="290" spans="1:4" ht="15" thickBot="1">
      <c r="A290" s="438" t="s">
        <v>1138</v>
      </c>
      <c r="B290" s="556">
        <f>'30 days CF Table(NZD)'!J67</f>
        <v>0</v>
      </c>
      <c r="C290" s="555"/>
      <c r="D290" s="557">
        <f>'30 days CF Table(NZD)'!K67</f>
        <v>0</v>
      </c>
    </row>
    <row r="291" spans="1:4" ht="15" thickBot="1">
      <c r="A291" s="438" t="s">
        <v>1139</v>
      </c>
      <c r="B291" s="556">
        <f>'30 days CF Table(USD)'!J67</f>
        <v>0</v>
      </c>
      <c r="C291" s="555"/>
      <c r="D291" s="557">
        <f>'30 days CF Table(USD)'!K67</f>
        <v>0</v>
      </c>
    </row>
    <row r="292" spans="1:4" ht="15" thickBot="1">
      <c r="A292" s="438" t="s">
        <v>1140</v>
      </c>
      <c r="B292" s="556">
        <f>'30 days CF Table(GBP)'!J67</f>
        <v>0</v>
      </c>
      <c r="C292" s="555"/>
      <c r="D292" s="557">
        <f>'30 days CF Table(GBP)'!K67</f>
        <v>0</v>
      </c>
    </row>
    <row r="293" spans="1:4" ht="15" thickBot="1">
      <c r="A293" s="419" t="s">
        <v>1141</v>
      </c>
      <c r="B293" s="556">
        <f>'30 days CF Table(EUR)'!J67</f>
        <v>0</v>
      </c>
      <c r="C293" s="555"/>
      <c r="D293" s="557">
        <f>'30 days CF Table(EUR)'!K67</f>
        <v>0</v>
      </c>
    </row>
    <row r="294" spans="1:4" ht="15" thickBot="1">
      <c r="A294" s="438" t="s">
        <v>1142</v>
      </c>
      <c r="B294" s="556">
        <f>'30 days CF Table(JPY)'!J67</f>
        <v>0</v>
      </c>
      <c r="C294" s="555"/>
      <c r="D294" s="557">
        <f>'30 days CF Table(JPY)'!K67</f>
        <v>0</v>
      </c>
    </row>
    <row r="295" spans="1:4" ht="15" thickBot="1">
      <c r="A295" s="438" t="s">
        <v>1143</v>
      </c>
      <c r="B295" s="556">
        <f>'30 days CF Table(RMB)'!J67</f>
        <v>0</v>
      </c>
      <c r="C295" s="555"/>
      <c r="D295" s="557">
        <f>'30 days CF Table(RMB)'!K67</f>
        <v>0</v>
      </c>
    </row>
    <row r="296" spans="1:4" ht="15" thickBot="1">
      <c r="A296" s="438" t="s">
        <v>1144</v>
      </c>
      <c r="B296" s="558">
        <f>B288-SUM(B289:B295)</f>
        <v>0</v>
      </c>
      <c r="C296" s="555"/>
      <c r="D296" s="558">
        <f>IF(B296=0,0,D288-SUM(D289:D295)-D284)</f>
        <v>0</v>
      </c>
    </row>
    <row r="297" spans="1:4" ht="14.25">
      <c r="A297" s="452"/>
      <c r="B297" s="439"/>
      <c r="C297" s="440"/>
      <c r="D297" s="441"/>
    </row>
    <row r="298" spans="1:4" ht="15">
      <c r="A298" s="484" t="s">
        <v>1145</v>
      </c>
      <c r="B298" s="439"/>
      <c r="C298" s="440"/>
      <c r="D298" s="441"/>
    </row>
    <row r="299" spans="1:4" ht="15" thickBot="1">
      <c r="A299" s="452"/>
      <c r="B299" s="439"/>
      <c r="C299" s="440"/>
      <c r="D299" s="441"/>
    </row>
    <row r="300" spans="1:4" ht="30">
      <c r="A300" s="452"/>
      <c r="B300" s="442" t="s">
        <v>960</v>
      </c>
      <c r="C300" s="461"/>
      <c r="D300" s="444" t="s">
        <v>961</v>
      </c>
    </row>
    <row r="301" spans="1:4" ht="15.75" thickBot="1">
      <c r="A301" s="452"/>
      <c r="B301" s="445">
        <v>-1</v>
      </c>
      <c r="C301" s="462"/>
      <c r="D301" s="446">
        <v>-3</v>
      </c>
    </row>
    <row r="302" spans="1:4" ht="15" thickBot="1">
      <c r="A302" s="452" t="s">
        <v>1146</v>
      </c>
      <c r="B302" s="416">
        <f>B228-B288</f>
        <v>0</v>
      </c>
      <c r="C302" s="433"/>
      <c r="D302" s="418">
        <f>D228-D288</f>
        <v>0</v>
      </c>
    </row>
    <row r="303" spans="1:4" ht="15" thickBot="1">
      <c r="A303" s="438" t="s">
        <v>1147</v>
      </c>
      <c r="B303" s="416">
        <f t="shared" ref="B303:B310" si="9">B229-B289</f>
        <v>0</v>
      </c>
      <c r="C303" s="433"/>
      <c r="D303" s="418">
        <f t="shared" ref="D303:D310" si="10">D229-D289</f>
        <v>0</v>
      </c>
    </row>
    <row r="304" spans="1:4" ht="15" thickBot="1">
      <c r="A304" s="438" t="s">
        <v>1148</v>
      </c>
      <c r="B304" s="416">
        <f t="shared" si="9"/>
        <v>0</v>
      </c>
      <c r="C304" s="433"/>
      <c r="D304" s="418">
        <f t="shared" si="10"/>
        <v>0</v>
      </c>
    </row>
    <row r="305" spans="1:4" ht="15" thickBot="1">
      <c r="A305" s="463" t="s">
        <v>1149</v>
      </c>
      <c r="B305" s="416">
        <f t="shared" si="9"/>
        <v>0</v>
      </c>
      <c r="C305" s="433"/>
      <c r="D305" s="418">
        <f t="shared" si="10"/>
        <v>0</v>
      </c>
    </row>
    <row r="306" spans="1:4" ht="15" thickBot="1">
      <c r="A306" s="463" t="s">
        <v>1150</v>
      </c>
      <c r="B306" s="416">
        <f t="shared" si="9"/>
        <v>0</v>
      </c>
      <c r="C306" s="433"/>
      <c r="D306" s="418">
        <f t="shared" si="10"/>
        <v>0</v>
      </c>
    </row>
    <row r="307" spans="1:4" ht="15" thickBot="1">
      <c r="A307" s="463" t="s">
        <v>1151</v>
      </c>
      <c r="B307" s="416">
        <f t="shared" si="9"/>
        <v>0</v>
      </c>
      <c r="C307" s="433"/>
      <c r="D307" s="418">
        <f t="shared" si="10"/>
        <v>0</v>
      </c>
    </row>
    <row r="308" spans="1:4" ht="15" thickBot="1">
      <c r="A308" s="463" t="s">
        <v>1152</v>
      </c>
      <c r="B308" s="416">
        <f t="shared" si="9"/>
        <v>0</v>
      </c>
      <c r="C308" s="433"/>
      <c r="D308" s="418">
        <f t="shared" si="10"/>
        <v>0</v>
      </c>
    </row>
    <row r="309" spans="1:4" ht="15" thickBot="1">
      <c r="A309" s="463" t="s">
        <v>1153</v>
      </c>
      <c r="B309" s="416">
        <f t="shared" si="9"/>
        <v>0</v>
      </c>
      <c r="C309" s="433"/>
      <c r="D309" s="418">
        <f t="shared" si="10"/>
        <v>0</v>
      </c>
    </row>
    <row r="310" spans="1:4" ht="15" thickBot="1">
      <c r="A310" s="463" t="s">
        <v>1154</v>
      </c>
      <c r="B310" s="416">
        <f t="shared" si="9"/>
        <v>0</v>
      </c>
      <c r="C310" s="433"/>
      <c r="D310" s="418">
        <f t="shared" si="10"/>
        <v>0</v>
      </c>
    </row>
    <row r="311" spans="1:4" ht="14.25">
      <c r="A311" s="464"/>
      <c r="B311" s="439"/>
      <c r="C311" s="440"/>
      <c r="D311" s="441"/>
    </row>
    <row r="312" spans="1:4" ht="15">
      <c r="A312" s="485" t="s">
        <v>1155</v>
      </c>
      <c r="B312" s="439"/>
      <c r="C312" s="440"/>
      <c r="D312" s="441"/>
    </row>
    <row r="313" spans="1:4" ht="15" thickBot="1">
      <c r="A313" s="464"/>
      <c r="B313" s="439"/>
      <c r="C313" s="440"/>
      <c r="D313" s="441"/>
    </row>
    <row r="314" spans="1:4" ht="15" thickBot="1">
      <c r="A314" s="464" t="s">
        <v>1156</v>
      </c>
      <c r="B314" s="427"/>
      <c r="C314" s="433"/>
      <c r="D314" s="822">
        <f>D60</f>
        <v>0</v>
      </c>
    </row>
    <row r="315" spans="1:4" ht="15" thickBot="1">
      <c r="A315" s="464" t="s">
        <v>1157</v>
      </c>
      <c r="B315" s="427"/>
      <c r="C315" s="433"/>
      <c r="D315" s="421">
        <f>D65+D67</f>
        <v>0</v>
      </c>
    </row>
    <row r="316" spans="1:4" ht="15" thickBot="1">
      <c r="A316" s="464" t="s">
        <v>1158</v>
      </c>
      <c r="B316" s="427"/>
      <c r="C316" s="433"/>
      <c r="D316" s="421">
        <f>D228</f>
        <v>0</v>
      </c>
    </row>
    <row r="317" spans="1:4" ht="15" thickBot="1">
      <c r="A317" s="464" t="s">
        <v>1159</v>
      </c>
      <c r="B317" s="427"/>
      <c r="C317" s="433"/>
      <c r="D317" s="418">
        <f>MIN(D288,0.75*D228)</f>
        <v>0</v>
      </c>
    </row>
    <row r="318" spans="1:4" ht="15" thickBot="1">
      <c r="A318" s="464" t="s">
        <v>1160</v>
      </c>
      <c r="B318" s="427"/>
      <c r="C318" s="433"/>
      <c r="D318" s="421">
        <f>D316-D317</f>
        <v>0</v>
      </c>
    </row>
    <row r="319" spans="1:4" ht="17.25" thickBot="1">
      <c r="A319" s="464" t="s">
        <v>1161</v>
      </c>
      <c r="B319" s="427"/>
      <c r="C319" s="530" t="e">
        <f>ROUND(D319,1)=ROUND('Summary &amp; Working File(AllCcy)'!H5*100,1)</f>
        <v>#DIV/0!</v>
      </c>
      <c r="D319" s="823" t="e">
        <f>(D314+D315)/D318*100</f>
        <v>#DIV/0!</v>
      </c>
    </row>
    <row r="320" spans="1:4" ht="15" thickBot="1">
      <c r="A320" s="464" t="s">
        <v>1162</v>
      </c>
      <c r="B320" s="427"/>
      <c r="C320" s="433"/>
      <c r="D320" s="826">
        <v>45</v>
      </c>
    </row>
    <row r="321" spans="1:4" ht="16.5" thickTop="1" thickBot="1">
      <c r="A321" s="464" t="s">
        <v>1163</v>
      </c>
      <c r="B321" s="427"/>
      <c r="C321" s="570"/>
      <c r="D321" s="571"/>
    </row>
    <row r="322" spans="1:4" ht="15.75" thickBot="1">
      <c r="A322" s="464" t="s">
        <v>1164</v>
      </c>
      <c r="B322" s="427"/>
      <c r="C322" s="570"/>
      <c r="D322" s="572"/>
    </row>
    <row r="323" spans="1:4" ht="15.75" thickBot="1">
      <c r="A323" s="464" t="s">
        <v>1165</v>
      </c>
      <c r="B323" s="427"/>
      <c r="C323" s="570"/>
      <c r="D323" s="573"/>
    </row>
    <row r="324" spans="1:4" ht="15" thickTop="1">
      <c r="A324" s="465"/>
      <c r="B324" s="439"/>
      <c r="C324" s="440"/>
      <c r="D324" s="440"/>
    </row>
    <row r="325" spans="1:4" ht="15.75" thickBot="1">
      <c r="A325" s="465" t="s">
        <v>1166</v>
      </c>
      <c r="B325" s="466"/>
      <c r="C325" s="467"/>
      <c r="D325" s="467"/>
    </row>
    <row r="326" spans="1:4" ht="15">
      <c r="A326" s="468" t="s">
        <v>1167</v>
      </c>
      <c r="B326" s="469" t="s">
        <v>714</v>
      </c>
      <c r="C326" s="443" t="s">
        <v>1168</v>
      </c>
      <c r="D326" s="443" t="s">
        <v>1169</v>
      </c>
    </row>
    <row r="327" spans="1:4" ht="15.75" thickBot="1">
      <c r="A327" s="470">
        <v>-1</v>
      </c>
      <c r="B327" s="446">
        <v>-2</v>
      </c>
      <c r="C327" s="446">
        <v>-3</v>
      </c>
      <c r="D327" s="446">
        <v>-4</v>
      </c>
    </row>
    <row r="328" spans="1:4" ht="15" thickBot="1">
      <c r="A328" s="471" t="s">
        <v>1170</v>
      </c>
      <c r="B328" s="437" t="s">
        <v>1171</v>
      </c>
      <c r="C328" s="454" t="s">
        <v>1172</v>
      </c>
      <c r="D328" s="454" t="s">
        <v>1173</v>
      </c>
    </row>
    <row r="329" spans="1:4" ht="15" thickBot="1">
      <c r="A329" s="472" t="s">
        <v>1174</v>
      </c>
      <c r="B329" s="439"/>
      <c r="C329" s="440"/>
      <c r="D329" s="440"/>
    </row>
    <row r="330" spans="1:4">
      <c r="B330" s="473"/>
      <c r="C330" s="474"/>
      <c r="D330" s="474"/>
    </row>
    <row r="331" spans="1:4">
      <c r="B331" s="473"/>
      <c r="C331" s="474"/>
      <c r="D331" s="474"/>
    </row>
    <row r="332" spans="1:4">
      <c r="B332" s="473"/>
      <c r="C332" s="474"/>
      <c r="D332" s="474"/>
    </row>
    <row r="333" spans="1:4">
      <c r="B333" s="473"/>
      <c r="C333" s="474"/>
      <c r="D333" s="474"/>
    </row>
    <row r="334" spans="1:4">
      <c r="B334" s="473"/>
      <c r="D334" s="474"/>
    </row>
    <row r="335" spans="1:4">
      <c r="B335" s="473"/>
      <c r="D335" s="474"/>
    </row>
    <row r="336" spans="1:4">
      <c r="B336" s="473"/>
      <c r="D336" s="474"/>
    </row>
    <row r="337" spans="2:4">
      <c r="B337" s="473"/>
      <c r="D337" s="474"/>
    </row>
    <row r="338" spans="2:4">
      <c r="B338" s="473"/>
      <c r="D338" s="474"/>
    </row>
    <row r="339" spans="2:4">
      <c r="B339" s="473"/>
      <c r="D339" s="474"/>
    </row>
    <row r="340" spans="2:4">
      <c r="B340" s="473"/>
      <c r="D340" s="474"/>
    </row>
    <row r="341" spans="2:4">
      <c r="B341" s="473"/>
      <c r="D341" s="474"/>
    </row>
    <row r="342" spans="2:4">
      <c r="B342" s="473"/>
      <c r="D342" s="474"/>
    </row>
    <row r="343" spans="2:4">
      <c r="B343" s="473"/>
      <c r="D343" s="474"/>
    </row>
    <row r="344" spans="2:4">
      <c r="B344" s="473"/>
      <c r="D344" s="474"/>
    </row>
    <row r="345" spans="2:4">
      <c r="B345" s="473"/>
      <c r="D345" s="474"/>
    </row>
    <row r="346" spans="2:4">
      <c r="B346" s="473"/>
      <c r="D346" s="474"/>
    </row>
    <row r="347" spans="2:4">
      <c r="B347" s="473"/>
      <c r="D347" s="474"/>
    </row>
    <row r="348" spans="2:4">
      <c r="B348" s="473"/>
      <c r="D348" s="474"/>
    </row>
    <row r="349" spans="2:4">
      <c r="B349" s="473"/>
      <c r="D349" s="474"/>
    </row>
    <row r="350" spans="2:4">
      <c r="B350" s="473"/>
      <c r="D350" s="474"/>
    </row>
    <row r="351" spans="2:4">
      <c r="B351" s="473"/>
      <c r="D351" s="474"/>
    </row>
    <row r="352" spans="2:4">
      <c r="B352" s="473"/>
      <c r="D352" s="474"/>
    </row>
    <row r="353" spans="1:4">
      <c r="B353" s="473"/>
      <c r="D353" s="474"/>
    </row>
    <row r="354" spans="1:4">
      <c r="B354" s="473"/>
      <c r="D354" s="474"/>
    </row>
    <row r="355" spans="1:4">
      <c r="B355" s="473"/>
      <c r="D355" s="474"/>
    </row>
    <row r="356" spans="1:4">
      <c r="B356" s="473"/>
      <c r="D356" s="474"/>
    </row>
    <row r="357" spans="1:4">
      <c r="B357" s="473"/>
      <c r="D357" s="474"/>
    </row>
    <row r="358" spans="1:4">
      <c r="B358" s="473"/>
      <c r="D358" s="474"/>
    </row>
    <row r="359" spans="1:4">
      <c r="B359" s="473"/>
      <c r="D359" s="474"/>
    </row>
    <row r="360" spans="1:4">
      <c r="B360" s="473"/>
      <c r="D360" s="474"/>
    </row>
    <row r="361" spans="1:4">
      <c r="B361" s="473"/>
      <c r="D361" s="474"/>
    </row>
    <row r="362" spans="1:4">
      <c r="B362" s="473"/>
    </row>
    <row r="363" spans="1:4">
      <c r="B363" s="473"/>
    </row>
    <row r="364" spans="1:4">
      <c r="B364" s="473"/>
    </row>
    <row r="365" spans="1:4">
      <c r="B365" s="473"/>
    </row>
    <row r="366" spans="1:4" s="399" customFormat="1">
      <c r="A366" s="407"/>
      <c r="B366" s="473"/>
    </row>
    <row r="367" spans="1:4" s="399" customFormat="1">
      <c r="A367" s="407"/>
      <c r="B367" s="473"/>
    </row>
    <row r="368" spans="1:4" s="399" customFormat="1">
      <c r="A368" s="407"/>
      <c r="B368" s="473"/>
    </row>
  </sheetData>
  <mergeCells count="6">
    <mergeCell ref="B12:D12"/>
    <mergeCell ref="A1:D1"/>
    <mergeCell ref="B4:D4"/>
    <mergeCell ref="B6:D6"/>
    <mergeCell ref="B8:D8"/>
    <mergeCell ref="B10:D10"/>
  </mergeCells>
  <phoneticPr fontId="3" type="noConversion"/>
  <conditionalFormatting sqref="B227">
    <cfRule type="containsText" dxfId="49" priority="15" operator="containsText" text="false">
      <formula>NOT(ISERROR(SEARCH("false",B227)))</formula>
    </cfRule>
    <cfRule type="containsText" dxfId="48" priority="16" operator="containsText" text="true">
      <formula>NOT(ISERROR(SEARCH("true",B227)))</formula>
    </cfRule>
  </conditionalFormatting>
  <conditionalFormatting sqref="B287">
    <cfRule type="containsText" dxfId="47" priority="9" operator="containsText" text="false">
      <formula>NOT(ISERROR(SEARCH("false",B287)))</formula>
    </cfRule>
    <cfRule type="containsText" dxfId="46" priority="10" operator="containsText" text="true">
      <formula>NOT(ISERROR(SEARCH("true",B287)))</formula>
    </cfRule>
  </conditionalFormatting>
  <conditionalFormatting sqref="C83">
    <cfRule type="containsText" dxfId="45" priority="1" operator="containsText" text="false">
      <formula>NOT(ISERROR(SEARCH("false",C83)))</formula>
    </cfRule>
    <cfRule type="containsText" dxfId="44" priority="2" operator="containsText" text="true">
      <formula>NOT(ISERROR(SEARCH("true",C83)))</formula>
    </cfRule>
  </conditionalFormatting>
  <conditionalFormatting sqref="C319">
    <cfRule type="containsText" dxfId="43" priority="3" operator="containsText" text="false">
      <formula>NOT(ISERROR(SEARCH("false",C319)))</formula>
    </cfRule>
    <cfRule type="containsText" dxfId="42" priority="4" operator="containsText" text="true">
      <formula>NOT(ISERROR(SEARCH("true",C319)))</formula>
    </cfRule>
  </conditionalFormatting>
  <conditionalFormatting sqref="D227">
    <cfRule type="containsText" dxfId="41" priority="11" operator="containsText" text="false">
      <formula>NOT(ISERROR(SEARCH("false",D227)))</formula>
    </cfRule>
    <cfRule type="containsText" dxfId="40" priority="12" operator="containsText" text="true">
      <formula>NOT(ISERROR(SEARCH("true",D227)))</formula>
    </cfRule>
  </conditionalFormatting>
  <conditionalFormatting sqref="D287">
    <cfRule type="containsText" dxfId="39" priority="5" operator="containsText" text="false">
      <formula>NOT(ISERROR(SEARCH("false",D287)))</formula>
    </cfRule>
    <cfRule type="containsText" dxfId="38" priority="6" operator="containsText" text="true">
      <formula>NOT(ISERROR(SEARCH("true",D287)))</formula>
    </cfRule>
  </conditionalFormatting>
  <pageMargins left="0.7" right="0.7" top="0.75" bottom="0.75" header="0.3" footer="0.3"/>
  <pageSetup paperSize="9" scale="13" orientation="portrait" r:id="rId1"/>
  <rowBreaks count="3" manualBreakCount="3">
    <brk id="91" max="3" man="1"/>
    <brk id="236" max="3" man="1"/>
    <brk id="296" max="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120"/>
  <sheetViews>
    <sheetView showGridLines="0" zoomScale="85" zoomScaleNormal="85" workbookViewId="0">
      <pane xSplit="11" ySplit="3" topLeftCell="L49" activePane="bottomRight" state="frozen"/>
      <selection activeCell="F59" sqref="F59"/>
      <selection pane="topRight" activeCell="F59" sqref="F59"/>
      <selection pane="bottomLeft" activeCell="F59" sqref="F59"/>
      <selection pane="bottomRight" activeCell="J70" sqref="J70"/>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33.3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21" thickBot="1">
      <c r="C1" s="821">
        <f>BS_RE33!N4</f>
        <v>46058</v>
      </c>
      <c r="F1" s="522"/>
      <c r="M1" s="318"/>
    </row>
    <row r="2" spans="1:63" ht="25.5" customHeight="1" thickTop="1" thickBot="1">
      <c r="C2" s="542" t="s">
        <v>1201</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Table(AUD)'!G4,BS_RE33!$F$7:$F$874,'30 days CF Table(AUD)'!$C$2)</f>
        <v>0</v>
      </c>
      <c r="M4" s="337">
        <f>SUMIFS(BS_RE33!$H$7:$H$874,BS_RE33!$S$7:$S$874,$M$2,BS_RE33!$N$7:$N$874,I4,BS_RE33!$P$7:$P$874,'30 days CF Table(AUD)'!G4,BS_RE33!$F$7:$F$874,'30 days CF Table(AUD)'!$C$2)</f>
        <v>0</v>
      </c>
      <c r="N4" s="337">
        <f>SUMIFS(BS_RE33!$H$7:$H$874,BS_RE33!$S$7:$S$874,$N$2,BS_RE33!$N$7:$N$874,I4,BS_RE33!$P$7:$P$874,'30 days CF Table(AUD)'!G4,BS_RE33!$F$7:$F$874,'30 days CF Table(AUD)'!$C$2)</f>
        <v>0</v>
      </c>
      <c r="O4" s="337">
        <f>SUMIFS(BS_RE33!$H$7:$H$874,BS_RE33!$S$7:$S$874,$O$2,BS_RE33!$N$7:$N$874,I4,BS_RE33!$P$7:$P$874,'30 days CF Table(AUD)'!G4,BS_RE33!$F$7:$F$874,'30 days CF Table(AUD)'!$C$2)</f>
        <v>0</v>
      </c>
      <c r="P4" s="337">
        <f>SUMIFS(BS_RE33!$H$7:$H$874,BS_RE33!$S$7:$S$874,$P$2,BS_RE33!$N$7:$N$874,I4,BS_RE33!$P$7:$P$874,'30 days CF Table(AUD)'!G4,BS_RE33!$F$7:$F$874,'30 days CF Table(AUD)'!$C$2)</f>
        <v>0</v>
      </c>
      <c r="Q4" s="337">
        <f>SUMIFS(BS_RE33!$H$7:$H$874,BS_RE33!$S$7:$S$874,$Q$2,BS_RE33!$N$7:$N$874,I4,BS_RE33!$P$7:$P$874,'30 days CF Table(AUD)'!G4,BS_RE33!$F$7:$F$874,'30 days CF Table(AUD)'!$C$2)</f>
        <v>0</v>
      </c>
      <c r="R4" s="337">
        <f>SUMIFS(BS_RE33!$H$7:$H$874,BS_RE33!$S$7:$S$874,$R$2,BS_RE33!$N$7:$N$874,I4,BS_RE33!$P$7:$P$874,'30 days CF Table(AUD)'!G4,BS_RE33!$F$7:$F$874,'30 days CF Table(AUD)'!$C$2)</f>
        <v>0</v>
      </c>
      <c r="S4" s="337">
        <f>SUMIFS(BS_RE33!$H$7:$H$874,BS_RE33!$S$7:$S$874,$S$2,BS_RE33!$N$7:$N$874,I4,BS_RE33!$P$7:$P$874,'30 days CF Table(AUD)'!G4,BS_RE33!$F$7:$F$874,'30 days CF Table(AUD)'!$C$2)</f>
        <v>0</v>
      </c>
      <c r="T4" s="337">
        <f>SUMIFS(BS_RE33!$H$7:$H$874,BS_RE33!$S$7:$S$874,$T$2,BS_RE33!$N$7:$N$874,I4,BS_RE33!$P$7:$P$874,'30 days CF Table(AUD)'!G4,BS_RE33!$F$7:$F$874,'30 days CF Table(AUD)'!$C$2)</f>
        <v>0</v>
      </c>
      <c r="U4" s="337">
        <f>SUMIFS(BS_RE33!$H$7:$H$874,BS_RE33!$S$7:$S$874,$U$2,BS_RE33!$N$7:$N$874,I4,BS_RE33!$P$7:$P$874,'30 days CF Table(AUD)'!G4,BS_RE33!$F$7:$F$874,'30 days CF Table(AUD)'!$C$2)</f>
        <v>0</v>
      </c>
      <c r="V4" s="337">
        <f>SUMIFS(BS_RE33!$H$7:$H$874,BS_RE33!$S$7:$S$874,$V$2,BS_RE33!$N$7:$N$874,I4,BS_RE33!$P$7:$P$874,'30 days CF Table(AUD)'!G4,BS_RE33!$F$7:$F$874,'30 days CF Table(AUD)'!$C$2)</f>
        <v>0</v>
      </c>
      <c r="W4" s="337">
        <f>SUMIFS(BS_RE33!$H$7:$H$874,BS_RE33!$S$7:$S$874,$W$2,BS_RE33!$N$7:$N$874,I4,BS_RE33!$P$7:$P$874,'30 days CF Table(AUD)'!G4,BS_RE33!$F$7:$F$874,'30 days CF Table(AUD)'!$C$2)</f>
        <v>0</v>
      </c>
      <c r="X4" s="337">
        <f>SUMIFS(BS_RE33!$H$7:$H$874,BS_RE33!$S$7:$S$874,$X$2,BS_RE33!$N$7:$N$874,I4,BS_RE33!$P$7:$P$874,'30 days CF Table(AUD)'!G4,BS_RE33!$F$7:$F$874,'30 days CF Table(AUD)'!$C$2)</f>
        <v>0</v>
      </c>
      <c r="Y4" s="337">
        <f>SUMIFS(BS_RE33!$H$7:$H$874,BS_RE33!$S$7:$S$874,$Y$2,BS_RE33!$N$7:$N$874,I4,BS_RE33!$P$7:$P$874,'30 days CF Table(AUD)'!G4,BS_RE33!$F$7:$F$874,'30 days CF Table(AUD)'!$C$2)</f>
        <v>0</v>
      </c>
      <c r="Z4" s="337">
        <f>SUMIFS(BS_RE33!$H$7:$H$874,BS_RE33!$S$7:$S$874,$Z$2,BS_RE33!$N$7:$N$874,I4,BS_RE33!$P$7:$P$874,'30 days CF Table(AUD)'!G4,BS_RE33!$F$7:$F$874,'30 days CF Table(AUD)'!$C$2)</f>
        <v>0</v>
      </c>
      <c r="AA4" s="337">
        <f>SUMIFS(BS_RE33!$H$7:$H$874,BS_RE33!$S$7:$S$874,$AA$2,BS_RE33!$N$7:$N$874,I4,BS_RE33!$P$7:$P$874,'30 days CF Table(AUD)'!G4,BS_RE33!$F$7:$F$874,'30 days CF Table(AUD)'!$C$2)</f>
        <v>0</v>
      </c>
      <c r="AB4" s="337">
        <f>SUMIFS(BS_RE33!$H$7:$H$874,BS_RE33!$S$7:$S$874,$AB$2,BS_RE33!$N$7:$N$874,I4,BS_RE33!$P$7:$P$874,'30 days CF Table(AUD)'!G4,BS_RE33!$F$7:$F$874,'30 days CF Table(AUD)'!$C$2)</f>
        <v>0</v>
      </c>
      <c r="AC4" s="337">
        <f>SUMIFS(BS_RE33!$H$7:$H$874,BS_RE33!$S$7:$S$874,$AC$2,BS_RE33!$N$7:$N$874,I4,BS_RE33!$P$7:$P$874,'30 days CF Table(AUD)'!G4,BS_RE33!$F$7:$F$874,'30 days CF Table(AUD)'!$C$2)</f>
        <v>0</v>
      </c>
      <c r="AD4" s="337">
        <f>SUMIFS(BS_RE33!$H$7:$H$874,BS_RE33!$S$7:$S$874,$AD$2,BS_RE33!$N$7:$N$874,I4,BS_RE33!$P$7:$P$874,'30 days CF Table(AUD)'!G4,BS_RE33!$F$7:$F$874,'30 days CF Table(AUD)'!$C$2)</f>
        <v>0</v>
      </c>
      <c r="AE4" s="337">
        <f>SUMIFS(BS_RE33!$H$7:$H$874,BS_RE33!$S$7:$S$874,$AE$2,BS_RE33!$N$7:$N$874,I4,BS_RE33!$P$7:$P$874,'30 days CF Table(AUD)'!G4,BS_RE33!$F$7:$F$874,'30 days CF Table(AUD)'!$C$2)</f>
        <v>0</v>
      </c>
      <c r="AF4" s="337">
        <f>SUMIFS(BS_RE33!$H$7:$H$874,BS_RE33!$S$7:$S$874,$AF$2,BS_RE33!$N$7:$N$874,I4,BS_RE33!$P$7:$P$874,'30 days CF Table(AUD)'!G4,BS_RE33!$F$7:$F$874,'30 days CF Table(AUD)'!$C$2)</f>
        <v>0</v>
      </c>
      <c r="AG4" s="337">
        <f>SUMIFS(BS_RE33!$H$7:$H$874,BS_RE33!$S$7:$S$874,$AG$2,BS_RE33!$N$7:$N$874,I4,BS_RE33!$P$7:$P$874,'30 days CF Table(AUD)'!G4,BS_RE33!$F$7:$F$874,'30 days CF Table(AUD)'!$C$2)</f>
        <v>0</v>
      </c>
      <c r="AH4" s="337">
        <f>SUMIFS(BS_RE33!$H$7:$H$874,BS_RE33!$S$7:$S$874,$AH$2,BS_RE33!$N$7:$N$874,I4,BS_RE33!$P$7:$P$874,'30 days CF Table(AUD)'!G4,BS_RE33!$F$7:$F$874,'30 days CF Table(AUD)'!$C$2)</f>
        <v>0</v>
      </c>
      <c r="AI4" s="337">
        <f>SUMIFS(BS_RE33!$H$7:$H$874,BS_RE33!$S$7:$S$874,$AI$2,BS_RE33!$N$7:$N$874,I4,BS_RE33!$P$7:$P$874,'30 days CF Table(AUD)'!G4,BS_RE33!$F$7:$F$874,'30 days CF Table(AUD)'!$C$2)</f>
        <v>0</v>
      </c>
      <c r="AJ4" s="337">
        <f>SUMIFS(BS_RE33!$H$7:$H$874,BS_RE33!$S$7:$S$874,$AJ$2,BS_RE33!$N$7:$N$874,I4,BS_RE33!$P$7:$P$874,'30 days CF Table(AUD)'!G4,BS_RE33!$F$7:$F$874,'30 days CF Table(AUD)'!$C$2)</f>
        <v>0</v>
      </c>
      <c r="AK4" s="337">
        <f>SUMIFS(BS_RE33!$H$7:$H$874,BS_RE33!$S$7:$S$874,$AK$2,BS_RE33!$N$7:$N$874,I4,BS_RE33!$P$7:$P$874,'30 days CF Table(AUD)'!G4,BS_RE33!$F$7:$F$874,'30 days CF Table(AUD)'!$C$2)</f>
        <v>0</v>
      </c>
      <c r="AL4" s="337">
        <f>SUMIFS(BS_RE33!$H$7:$H$874,BS_RE33!$S$7:$S$874,$AL$2,BS_RE33!$N$7:$N$874,I4,BS_RE33!$P$7:$P$874,'30 days CF Table(AUD)'!G4,BS_RE33!$F$7:$F$874,'30 days CF Table(AUD)'!$C$2)</f>
        <v>0</v>
      </c>
      <c r="AM4" s="337">
        <f>SUMIFS(BS_RE33!$H$7:$H$874,BS_RE33!$S$7:$S$874,$AM$2,BS_RE33!$N$7:$N$874,I4,BS_RE33!$P$7:$P$874,'30 days CF Table(AUD)'!G4,BS_RE33!$F$7:$F$874,'30 days CF Table(AUD)'!$C$2)</f>
        <v>0</v>
      </c>
      <c r="AN4" s="337">
        <f>SUMIFS(BS_RE33!$H$7:$H$874,BS_RE33!$S$7:$S$874,$AN$2,BS_RE33!$N$7:$N$874,I4,BS_RE33!$P$7:$P$874,'30 days CF Table(AUD)'!G4,BS_RE33!$F$7:$F$874,'30 days CF Table(AUD)'!$C$2)</f>
        <v>0</v>
      </c>
      <c r="AO4" s="337">
        <f>SUMIFS(BS_RE33!$H$7:$H$874,BS_RE33!$S$7:$S$874,$AO$2,BS_RE33!$N$7:$N$874,I4,BS_RE33!$P$7:$P$874,'30 days CF Table(AUD)'!G4,BS_RE33!$F$7:$F$874,'30 days CF Table(AUD)'!$C$2)</f>
        <v>0</v>
      </c>
      <c r="AP4" s="338">
        <f>SUMIFS(BS_RE33!$H$7:$H$874,BS_RE33!$S$7:$S$874,$AP$2,BS_RE33!$N$7:$N$874,I4,BS_RE33!$P$7:$P$874,'30 days CF Table(AUD)'!G4,BS_RE33!$F$7:$F$874,'30 days CF Table(AUD)'!$C$2)</f>
        <v>0</v>
      </c>
      <c r="AQ4" s="545"/>
      <c r="AR4" s="379">
        <f>SUMIFS(BS_RE33!$H$7:$H$874,BS_RE33!$S$7:$S$874,$AR$2,BS_RE33!$N$7:$N$874,I4,BS_RE33!$P$7:$P$874,'30 days CF Table(AUD)'!G4,BS_RE33!$F$7:$F$874,'30 days CF Table(AUD)'!$C$2)</f>
        <v>0</v>
      </c>
      <c r="AS4" s="379">
        <f>SUMIFS(BS_RE33!$H$7:$H$874,BS_RE33!$S$7:$S$874,$AS$2,BS_RE33!$N$7:$N$874,I4,BS_RE33!$P$7:$P$874,'30 days CF Table(AUD)'!G4,BS_RE33!$F$7:$F$874,'30 days CF Table(AUD)'!$C$2)</f>
        <v>0</v>
      </c>
      <c r="AT4" s="379">
        <f>SUMIFS(BS_RE33!$H$7:$H$874,BS_RE33!$S$7:$S$874,$AT$2,BS_RE33!$N$7:$N$874,I4,BS_RE33!$P$7:$P$874,'30 days CF Table(AUD)'!G4,BS_RE33!$F$7:$F$874,'30 days CF Table(AUD)'!$C$2)</f>
        <v>0</v>
      </c>
      <c r="AU4" s="379">
        <f>SUMIFS(BS_RE33!$H$7:$H$874,BS_RE33!$S$7:$S$874,$AU$2,BS_RE33!$N$7:$N$874,I4,BS_RE33!$P$7:$P$874,'30 days CF Table(AUD)'!G4,BS_RE33!$F$7:$F$874,'30 days CF Table(AUD)'!$C$2)</f>
        <v>0</v>
      </c>
      <c r="AV4" s="379">
        <f>SUMIFS(BS_RE33!$H$7:$H$874,BS_RE33!$S$7:$S$874,$AV$2,BS_RE33!$N$7:$N$874,I4,BS_RE33!$P$7:$P$874,'30 days CF Table(AUD)'!G4,BS_RE33!$F$7:$F$874,'30 days CF Table(AUD)'!$C$2)</f>
        <v>0</v>
      </c>
      <c r="AW4" s="379">
        <f>SUMIFS(BS_RE33!$H$7:$H$874,BS_RE33!$S$7:$S$874,$AW$2,BS_RE33!$N$7:$N$874,I4,BS_RE33!$P$7:$P$874,'30 days CF Table(AUD)'!G4,BS_RE33!$F$7:$F$874,'30 days CF Table(AUD)'!$C$2)</f>
        <v>0</v>
      </c>
      <c r="AX4" s="379">
        <f>SUMIFS(BS_RE33!$H$7:$H$874,BS_RE33!$S$7:$S$874,$AX$2,BS_RE33!$N$7:$N$874,I4,BS_RE33!$P$7:$P$874,'30 days CF Table(AUD)'!G4,BS_RE33!$F$7:$F$874,'30 days CF Table(AUD)'!$C$2)</f>
        <v>0</v>
      </c>
      <c r="AY4" s="379">
        <f>SUMIFS(BS_RE33!$H$7:$H$874,BS_RE33!$S$7:$S$874,$AY$2,BS_RE33!$N$7:$N$874,I4,BS_RE33!$P$7:$P$874,'30 days CF Table(AUD)'!G4,BS_RE33!$F$7:$F$874,'30 days CF Table(AUD)'!$C$2)</f>
        <v>0</v>
      </c>
      <c r="AZ4" s="379">
        <f>SUMIFS(BS_RE33!$H$7:$H$874,BS_RE33!$S$7:$S$874,$AZ$2,BS_RE33!$N$7:$N$874,I4,BS_RE33!$P$7:$P$874,'30 days CF Table(AUD)'!G4,BS_RE33!$F$7:$F$874,'30 days CF Table(AUD)'!$C$2)</f>
        <v>0</v>
      </c>
      <c r="BA4" s="379">
        <f>SUMIFS(BS_RE33!$H$7:$H$874,BS_RE33!$S$7:$S$874,$BA$2,BS_RE33!$N$7:$N$874,I4,BS_RE33!$P$7:$P$874,'30 days CF Table(AUD)'!G4,BS_RE33!$F$7:$F$874,'30 days CF Table(AUD)'!$C$2)</f>
        <v>0</v>
      </c>
      <c r="BB4" s="379">
        <f>SUMIFS(BS_RE33!$H$7:$H$874,BS_RE33!$S$7:$S$874,$BB$2,BS_RE33!$N$7:$N$874,I4,BS_RE33!$P$7:$P$874,'30 days CF Table(AUD)'!G4,BS_RE33!$F$7:$F$874,'30 days CF Table(AUD)'!$C$2)</f>
        <v>0</v>
      </c>
      <c r="BC4" s="379">
        <f>SUMIFS(BS_RE33!$H$7:$H$874,BS_RE33!$S$7:$S$874,$BC$2,BS_RE33!$N$7:$N$874,I4,BS_RE33!$P$7:$P$874,'30 days CF Table(AUD)'!G4,BS_RE33!$F$7:$F$874,'30 days CF Table(AUD)'!$C$2)</f>
        <v>0</v>
      </c>
      <c r="BD4" s="379">
        <f>SUMIFS(BS_RE33!$H$7:$H$874,BS_RE33!$S$7:$S$874,$BD$2,BS_RE33!$N$7:$N$874,I4,BS_RE33!$P$7:$P$874,'30 days CF Table(AUD)'!G4,BS_RE33!$F$7:$F$874,'30 days CF Table(AUD)'!$C$2)</f>
        <v>0</v>
      </c>
      <c r="BE4" s="379">
        <f>SUMIFS(BS_RE33!$H$7:$H$874,BS_RE33!$S$7:$S$874,$BE$2,BS_RE33!$N$7:$N$874,I4,BS_RE33!$P$7:$P$874,'30 days CF Table(AUD)'!G4,BS_RE33!$F$7:$F$874,'30 days CF Table(AUD)'!$C$2)</f>
        <v>0</v>
      </c>
      <c r="BF4" s="379">
        <f>SUMIFS(BS_RE33!$H$7:$H$874,BS_RE33!$S$7:$S$874,$BF$2,BS_RE33!$N$7:$N$874,I4,BS_RE33!$P$7:$P$874,'30 days CF Table(AUD)'!G4,BS_RE33!$F$7:$F$874,'30 days CF Table(AUD)'!$C$2)</f>
        <v>0</v>
      </c>
      <c r="BG4" s="379">
        <f>SUMIFS(BS_RE33!$H$7:$H$874,BS_RE33!$S$7:$S$874,$BG$2,BS_RE33!$N$7:$N$874,I4,BS_RE33!$P$7:$P$874,'30 days CF Table(AUD)'!G4,BS_RE33!$F$7:$F$874,'30 days CF Table(AUD)'!$C$2)</f>
        <v>0</v>
      </c>
      <c r="BH4" s="379">
        <f>SUMIFS(BS_RE33!$H$7:$H$874,BS_RE33!$S$7:$S$874,$BH$2,BS_RE33!$N$7:$N$874,I4,BS_RE33!$P$7:$P$874,'30 days CF Table(AUD)'!G4,BS_RE33!$F$7:$F$874,'30 days CF Table(AUD)'!$C$2)</f>
        <v>0</v>
      </c>
      <c r="BI4" s="379">
        <f>SUMIFS(BS_RE33!$H$7:$H$874,BS_RE33!$S$7:$S$874,$BI$2,BS_RE33!$N$7:$N$874,I4,BS_RE33!$P$7:$P$874,'30 days CF Table(AUD)'!G4,BS_RE33!$F$7:$F$874,'30 days CF Table(AUD)'!$C$2)</f>
        <v>0</v>
      </c>
      <c r="BJ4" s="379">
        <f>SUMIFS(BS_RE33!$H$7:$H$874,BS_RE33!$S$7:$S$874,$BJ$2,BS_RE33!$N$7:$N$874,I4,BS_RE33!$P$7:$P$874,'30 days CF Table(AUD)'!G4,BS_RE33!$F$7:$F$874,'30 days CF Table(AUD)'!$C$2)</f>
        <v>0</v>
      </c>
      <c r="BK4" s="379">
        <f>SUMIFS(BS_RE33!$H$7:$H$874,BS_RE33!$S$7:$S$874,$BK$2,BS_RE33!$N$7:$N$874,I4,BS_RE33!$P$7:$P$874,'30 days CF Table(AUD)'!G4,BS_RE33!$F$7:$F$874,'30 days CF Table(AUD)'!$C$2)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Table(AUD)'!G5,BS_RE33!$F$7:$F$874,'30 days CF Table(AUD)'!$C$2)</f>
        <v>0</v>
      </c>
      <c r="M5" s="337">
        <f>SUMIFS(BS_RE33!$H$7:$H$874,BS_RE33!$S$7:$S$874,$M$2,BS_RE33!$N$7:$N$874,I5,BS_RE33!$P$7:$P$874,'30 days CF Table(AUD)'!G5,BS_RE33!$F$7:$F$874,'30 days CF Table(AUD)'!$C$2)</f>
        <v>0</v>
      </c>
      <c r="N5" s="337">
        <f>SUMIFS(BS_RE33!$H$7:$H$874,BS_RE33!$S$7:$S$874,$N$2,BS_RE33!$N$7:$N$874,I5,BS_RE33!$P$7:$P$874,'30 days CF Table(AUD)'!G5,BS_RE33!$F$7:$F$874,'30 days CF Table(AUD)'!$C$2)</f>
        <v>0</v>
      </c>
      <c r="O5" s="337">
        <f>SUMIFS(BS_RE33!$H$7:$H$874,BS_RE33!$S$7:$S$874,$O$2,BS_RE33!$N$7:$N$874,I5,BS_RE33!$P$7:$P$874,'30 days CF Table(AUD)'!G5,BS_RE33!$F$7:$F$874,'30 days CF Table(AUD)'!$C$2)</f>
        <v>0</v>
      </c>
      <c r="P5" s="337">
        <f>SUMIFS(BS_RE33!$H$7:$H$874,BS_RE33!$S$7:$S$874,$P$2,BS_RE33!$N$7:$N$874,I5,BS_RE33!$P$7:$P$874,'30 days CF Table(AUD)'!G5,BS_RE33!$F$7:$F$874,'30 days CF Table(AUD)'!$C$2)</f>
        <v>0</v>
      </c>
      <c r="Q5" s="337">
        <f>SUMIFS(BS_RE33!$H$7:$H$874,BS_RE33!$S$7:$S$874,$Q$2,BS_RE33!$N$7:$N$874,I5,BS_RE33!$P$7:$P$874,'30 days CF Table(AUD)'!G5,BS_RE33!$F$7:$F$874,'30 days CF Table(AUD)'!$C$2)</f>
        <v>0</v>
      </c>
      <c r="R5" s="337">
        <f>SUMIFS(BS_RE33!$H$7:$H$874,BS_RE33!$S$7:$S$874,$R$2,BS_RE33!$N$7:$N$874,I5,BS_RE33!$P$7:$P$874,'30 days CF Table(AUD)'!G5,BS_RE33!$F$7:$F$874,'30 days CF Table(AUD)'!$C$2)</f>
        <v>0</v>
      </c>
      <c r="S5" s="337">
        <f>SUMIFS(BS_RE33!$H$7:$H$874,BS_RE33!$S$7:$S$874,$S$2,BS_RE33!$N$7:$N$874,I5,BS_RE33!$P$7:$P$874,'30 days CF Table(AUD)'!G5,BS_RE33!$F$7:$F$874,'30 days CF Table(AUD)'!$C$2)</f>
        <v>0</v>
      </c>
      <c r="T5" s="337">
        <f>SUMIFS(BS_RE33!$H$7:$H$874,BS_RE33!$S$7:$S$874,$T$2,BS_RE33!$N$7:$N$874,I5,BS_RE33!$P$7:$P$874,'30 days CF Table(AUD)'!G5,BS_RE33!$F$7:$F$874,'30 days CF Table(AUD)'!$C$2)</f>
        <v>0</v>
      </c>
      <c r="U5" s="337">
        <f>SUMIFS(BS_RE33!$H$7:$H$874,BS_RE33!$S$7:$S$874,$U$2,BS_RE33!$N$7:$N$874,I5,BS_RE33!$P$7:$P$874,'30 days CF Table(AUD)'!G5,BS_RE33!$F$7:$F$874,'30 days CF Table(AUD)'!$C$2)</f>
        <v>0</v>
      </c>
      <c r="V5" s="337">
        <f>SUMIFS(BS_RE33!$H$7:$H$874,BS_RE33!$S$7:$S$874,$V$2,BS_RE33!$N$7:$N$874,I5,BS_RE33!$P$7:$P$874,'30 days CF Table(AUD)'!G5,BS_RE33!$F$7:$F$874,'30 days CF Table(AUD)'!$C$2)</f>
        <v>0</v>
      </c>
      <c r="W5" s="337">
        <f>SUMIFS(BS_RE33!$H$7:$H$874,BS_RE33!$S$7:$S$874,$W$2,BS_RE33!$N$7:$N$874,I5,BS_RE33!$P$7:$P$874,'30 days CF Table(AUD)'!G5,BS_RE33!$F$7:$F$874,'30 days CF Table(AUD)'!$C$2)</f>
        <v>0</v>
      </c>
      <c r="X5" s="337">
        <f>SUMIFS(BS_RE33!$H$7:$H$874,BS_RE33!$S$7:$S$874,$X$2,BS_RE33!$N$7:$N$874,I5,BS_RE33!$P$7:$P$874,'30 days CF Table(AUD)'!G5,BS_RE33!$F$7:$F$874,'30 days CF Table(AUD)'!$C$2)</f>
        <v>0</v>
      </c>
      <c r="Y5" s="337">
        <f>SUMIFS(BS_RE33!$H$7:$H$874,BS_RE33!$S$7:$S$874,$Y$2,BS_RE33!$N$7:$N$874,I5,BS_RE33!$P$7:$P$874,'30 days CF Table(AUD)'!G5,BS_RE33!$F$7:$F$874,'30 days CF Table(AUD)'!$C$2)</f>
        <v>0</v>
      </c>
      <c r="Z5" s="337">
        <f>SUMIFS(BS_RE33!$H$7:$H$874,BS_RE33!$S$7:$S$874,$Z$2,BS_RE33!$N$7:$N$874,I5,BS_RE33!$P$7:$P$874,'30 days CF Table(AUD)'!G5,BS_RE33!$F$7:$F$874,'30 days CF Table(AUD)'!$C$2)</f>
        <v>0</v>
      </c>
      <c r="AA5" s="337">
        <f>SUMIFS(BS_RE33!$H$7:$H$874,BS_RE33!$S$7:$S$874,$AA$2,BS_RE33!$N$7:$N$874,I5,BS_RE33!$P$7:$P$874,'30 days CF Table(AUD)'!G5,BS_RE33!$F$7:$F$874,'30 days CF Table(AUD)'!$C$2)</f>
        <v>0</v>
      </c>
      <c r="AB5" s="337">
        <f>SUMIFS(BS_RE33!$H$7:$H$874,BS_RE33!$S$7:$S$874,$AB$2,BS_RE33!$N$7:$N$874,I5,BS_RE33!$P$7:$P$874,'30 days CF Table(AUD)'!G5,BS_RE33!$F$7:$F$874,'30 days CF Table(AUD)'!$C$2)</f>
        <v>0</v>
      </c>
      <c r="AC5" s="337">
        <f>SUMIFS(BS_RE33!$H$7:$H$874,BS_RE33!$S$7:$S$874,$AC$2,BS_RE33!$N$7:$N$874,I5,BS_RE33!$P$7:$P$874,'30 days CF Table(AUD)'!G5,BS_RE33!$F$7:$F$874,'30 days CF Table(AUD)'!$C$2)</f>
        <v>0</v>
      </c>
      <c r="AD5" s="337">
        <f>SUMIFS(BS_RE33!$H$7:$H$874,BS_RE33!$S$7:$S$874,$AD$2,BS_RE33!$N$7:$N$874,I5,BS_RE33!$P$7:$P$874,'30 days CF Table(AUD)'!G5,BS_RE33!$F$7:$F$874,'30 days CF Table(AUD)'!$C$2)</f>
        <v>0</v>
      </c>
      <c r="AE5" s="337">
        <f>SUMIFS(BS_RE33!$H$7:$H$874,BS_RE33!$S$7:$S$874,$AE$2,BS_RE33!$N$7:$N$874,I5,BS_RE33!$P$7:$P$874,'30 days CF Table(AUD)'!G5,BS_RE33!$F$7:$F$874,'30 days CF Table(AUD)'!$C$2)</f>
        <v>0</v>
      </c>
      <c r="AF5" s="337">
        <f>SUMIFS(BS_RE33!$H$7:$H$874,BS_RE33!$S$7:$S$874,$AF$2,BS_RE33!$N$7:$N$874,I5,BS_RE33!$P$7:$P$874,'30 days CF Table(AUD)'!G5,BS_RE33!$F$7:$F$874,'30 days CF Table(AUD)'!$C$2)</f>
        <v>0</v>
      </c>
      <c r="AG5" s="337">
        <f>SUMIFS(BS_RE33!$H$7:$H$874,BS_RE33!$S$7:$S$874,$AG$2,BS_RE33!$N$7:$N$874,I5,BS_RE33!$P$7:$P$874,'30 days CF Table(AUD)'!G5,BS_RE33!$F$7:$F$874,'30 days CF Table(AUD)'!$C$2)</f>
        <v>0</v>
      </c>
      <c r="AH5" s="337">
        <f>SUMIFS(BS_RE33!$H$7:$H$874,BS_RE33!$S$7:$S$874,$AH$2,BS_RE33!$N$7:$N$874,I5,BS_RE33!$P$7:$P$874,'30 days CF Table(AUD)'!G5,BS_RE33!$F$7:$F$874,'30 days CF Table(AUD)'!$C$2)</f>
        <v>0</v>
      </c>
      <c r="AI5" s="337">
        <f>SUMIFS(BS_RE33!$H$7:$H$874,BS_RE33!$S$7:$S$874,$AI$2,BS_RE33!$N$7:$N$874,I5,BS_RE33!$P$7:$P$874,'30 days CF Table(AUD)'!G5,BS_RE33!$F$7:$F$874,'30 days CF Table(AUD)'!$C$2)</f>
        <v>0</v>
      </c>
      <c r="AJ5" s="337">
        <f>SUMIFS(BS_RE33!$H$7:$H$874,BS_RE33!$S$7:$S$874,$AJ$2,BS_RE33!$N$7:$N$874,I5,BS_RE33!$P$7:$P$874,'30 days CF Table(AUD)'!G5,BS_RE33!$F$7:$F$874,'30 days CF Table(AUD)'!$C$2)</f>
        <v>0</v>
      </c>
      <c r="AK5" s="337">
        <f>SUMIFS(BS_RE33!$H$7:$H$874,BS_RE33!$S$7:$S$874,$AK$2,BS_RE33!$N$7:$N$874,I5,BS_RE33!$P$7:$P$874,'30 days CF Table(AUD)'!G5,BS_RE33!$F$7:$F$874,'30 days CF Table(AUD)'!$C$2)</f>
        <v>0</v>
      </c>
      <c r="AL5" s="337">
        <f>SUMIFS(BS_RE33!$H$7:$H$874,BS_RE33!$S$7:$S$874,$AL$2,BS_RE33!$N$7:$N$874,I5,BS_RE33!$P$7:$P$874,'30 days CF Table(AUD)'!G5,BS_RE33!$F$7:$F$874,'30 days CF Table(AUD)'!$C$2)</f>
        <v>0</v>
      </c>
      <c r="AM5" s="337">
        <f>SUMIFS(BS_RE33!$H$7:$H$874,BS_RE33!$S$7:$S$874,$AM$2,BS_RE33!$N$7:$N$874,I5,BS_RE33!$P$7:$P$874,'30 days CF Table(AUD)'!G5,BS_RE33!$F$7:$F$874,'30 days CF Table(AUD)'!$C$2)</f>
        <v>0</v>
      </c>
      <c r="AN5" s="337">
        <f>SUMIFS(BS_RE33!$H$7:$H$874,BS_RE33!$S$7:$S$874,$AN$2,BS_RE33!$N$7:$N$874,I5,BS_RE33!$P$7:$P$874,'30 days CF Table(AUD)'!G5,BS_RE33!$F$7:$F$874,'30 days CF Table(AUD)'!$C$2)</f>
        <v>0</v>
      </c>
      <c r="AO5" s="337">
        <f>SUMIFS(BS_RE33!$H$7:$H$874,BS_RE33!$S$7:$S$874,$AO$2,BS_RE33!$N$7:$N$874,I5,BS_RE33!$P$7:$P$874,'30 days CF Table(AUD)'!G5,BS_RE33!$F$7:$F$874,'30 days CF Table(AUD)'!$C$2)</f>
        <v>0</v>
      </c>
      <c r="AP5" s="338">
        <f>SUMIFS(BS_RE33!$H$7:$H$874,BS_RE33!$S$7:$S$874,$AP$2,BS_RE33!$N$7:$N$874,I5,BS_RE33!$P$7:$P$874,'30 days CF Table(AUD)'!G5,BS_RE33!$F$7:$F$874,'30 days CF Table(AUD)'!$C$2)</f>
        <v>0</v>
      </c>
      <c r="AQ5" s="545"/>
      <c r="AR5" s="379">
        <f>SUMIFS(BS_RE33!$H$7:$H$874,BS_RE33!$S$7:$S$874,$AR$2,BS_RE33!$N$7:$N$874,I5,BS_RE33!$P$7:$P$874,'30 days CF Table(AUD)'!G5,BS_RE33!$F$7:$F$874,'30 days CF Table(AUD)'!$C$2)</f>
        <v>0</v>
      </c>
      <c r="AS5" s="379">
        <f>SUMIFS(BS_RE33!$H$7:$H$874,BS_RE33!$S$7:$S$874,$AS$2,BS_RE33!$N$7:$N$874,I5,BS_RE33!$P$7:$P$874,'30 days CF Table(AUD)'!G5,BS_RE33!$F$7:$F$874,'30 days CF Table(AUD)'!$C$2)</f>
        <v>0</v>
      </c>
      <c r="AT5" s="379">
        <f>SUMIFS(BS_RE33!$H$7:$H$874,BS_RE33!$S$7:$S$874,$AT$2,BS_RE33!$N$7:$N$874,I5,BS_RE33!$P$7:$P$874,'30 days CF Table(AUD)'!G5,BS_RE33!$F$7:$F$874,'30 days CF Table(AUD)'!$C$2)</f>
        <v>0</v>
      </c>
      <c r="AU5" s="379">
        <f>SUMIFS(BS_RE33!$H$7:$H$874,BS_RE33!$S$7:$S$874,$AU$2,BS_RE33!$N$7:$N$874,I5,BS_RE33!$P$7:$P$874,'30 days CF Table(AUD)'!G5,BS_RE33!$F$7:$F$874,'30 days CF Table(AUD)'!$C$2)</f>
        <v>0</v>
      </c>
      <c r="AV5" s="379">
        <f>SUMIFS(BS_RE33!$H$7:$H$874,BS_RE33!$S$7:$S$874,$AV$2,BS_RE33!$N$7:$N$874,I5,BS_RE33!$P$7:$P$874,'30 days CF Table(AUD)'!G5,BS_RE33!$F$7:$F$874,'30 days CF Table(AUD)'!$C$2)</f>
        <v>0</v>
      </c>
      <c r="AW5" s="379">
        <f>SUMIFS(BS_RE33!$H$7:$H$874,BS_RE33!$S$7:$S$874,$AW$2,BS_RE33!$N$7:$N$874,I5,BS_RE33!$P$7:$P$874,'30 days CF Table(AUD)'!G5,BS_RE33!$F$7:$F$874,'30 days CF Table(AUD)'!$C$2)</f>
        <v>0</v>
      </c>
      <c r="AX5" s="379">
        <f>SUMIFS(BS_RE33!$H$7:$H$874,BS_RE33!$S$7:$S$874,$AX$2,BS_RE33!$N$7:$N$874,I5,BS_RE33!$P$7:$P$874,'30 days CF Table(AUD)'!G5,BS_RE33!$F$7:$F$874,'30 days CF Table(AUD)'!$C$2)</f>
        <v>0</v>
      </c>
      <c r="AY5" s="379">
        <f>SUMIFS(BS_RE33!$H$7:$H$874,BS_RE33!$S$7:$S$874,$AY$2,BS_RE33!$N$7:$N$874,I5,BS_RE33!$P$7:$P$874,'30 days CF Table(AUD)'!G5,BS_RE33!$F$7:$F$874,'30 days CF Table(AUD)'!$C$2)</f>
        <v>0</v>
      </c>
      <c r="AZ5" s="379">
        <f>SUMIFS(BS_RE33!$H$7:$H$874,BS_RE33!$S$7:$S$874,$AZ$2,BS_RE33!$N$7:$N$874,I5,BS_RE33!$P$7:$P$874,'30 days CF Table(AUD)'!G5,BS_RE33!$F$7:$F$874,'30 days CF Table(AUD)'!$C$2)</f>
        <v>0</v>
      </c>
      <c r="BA5" s="379">
        <f>SUMIFS(BS_RE33!$H$7:$H$874,BS_RE33!$S$7:$S$874,$BA$2,BS_RE33!$N$7:$N$874,I5,BS_RE33!$P$7:$P$874,'30 days CF Table(AUD)'!G5,BS_RE33!$F$7:$F$874,'30 days CF Table(AUD)'!$C$2)</f>
        <v>0</v>
      </c>
      <c r="BB5" s="379">
        <f>SUMIFS(BS_RE33!$H$7:$H$874,BS_RE33!$S$7:$S$874,$BB$2,BS_RE33!$N$7:$N$874,I5,BS_RE33!$P$7:$P$874,'30 days CF Table(AUD)'!G5,BS_RE33!$F$7:$F$874,'30 days CF Table(AUD)'!$C$2)</f>
        <v>0</v>
      </c>
      <c r="BC5" s="379">
        <f>SUMIFS(BS_RE33!$H$7:$H$874,BS_RE33!$S$7:$S$874,$BC$2,BS_RE33!$N$7:$N$874,I5,BS_RE33!$P$7:$P$874,'30 days CF Table(AUD)'!G5,BS_RE33!$F$7:$F$874,'30 days CF Table(AUD)'!$C$2)</f>
        <v>0</v>
      </c>
      <c r="BD5" s="379">
        <f>SUMIFS(BS_RE33!$H$7:$H$874,BS_RE33!$S$7:$S$874,$BD$2,BS_RE33!$N$7:$N$874,I5,BS_RE33!$P$7:$P$874,'30 days CF Table(AUD)'!G5,BS_RE33!$F$7:$F$874,'30 days CF Table(AUD)'!$C$2)</f>
        <v>0</v>
      </c>
      <c r="BE5" s="379">
        <f>SUMIFS(BS_RE33!$H$7:$H$874,BS_RE33!$S$7:$S$874,$BE$2,BS_RE33!$N$7:$N$874,I5,BS_RE33!$P$7:$P$874,'30 days CF Table(AUD)'!G5,BS_RE33!$F$7:$F$874,'30 days CF Table(AUD)'!$C$2)</f>
        <v>0</v>
      </c>
      <c r="BF5" s="379">
        <f>SUMIFS(BS_RE33!$H$7:$H$874,BS_RE33!$S$7:$S$874,$BF$2,BS_RE33!$N$7:$N$874,I5,BS_RE33!$P$7:$P$874,'30 days CF Table(AUD)'!G5,BS_RE33!$F$7:$F$874,'30 days CF Table(AUD)'!$C$2)</f>
        <v>0</v>
      </c>
      <c r="BG5" s="379">
        <f>SUMIFS(BS_RE33!$H$7:$H$874,BS_RE33!$S$7:$S$874,$BG$2,BS_RE33!$N$7:$N$874,I5,BS_RE33!$P$7:$P$874,'30 days CF Table(AUD)'!G5,BS_RE33!$F$7:$F$874,'30 days CF Table(AUD)'!$C$2)</f>
        <v>0</v>
      </c>
      <c r="BH5" s="379">
        <f>SUMIFS(BS_RE33!$H$7:$H$874,BS_RE33!$S$7:$S$874,$BH$2,BS_RE33!$N$7:$N$874,I5,BS_RE33!$P$7:$P$874,'30 days CF Table(AUD)'!G5,BS_RE33!$F$7:$F$874,'30 days CF Table(AUD)'!$C$2)</f>
        <v>0</v>
      </c>
      <c r="BI5" s="379">
        <f>SUMIFS(BS_RE33!$H$7:$H$874,BS_RE33!$S$7:$S$874,$BI$2,BS_RE33!$N$7:$N$874,I5,BS_RE33!$P$7:$P$874,'30 days CF Table(AUD)'!G5,BS_RE33!$F$7:$F$874,'30 days CF Table(AUD)'!$C$2)</f>
        <v>0</v>
      </c>
      <c r="BJ5" s="379">
        <f>SUMIFS(BS_RE33!$H$7:$H$874,BS_RE33!$S$7:$S$874,$BJ$2,BS_RE33!$N$7:$N$874,I5,BS_RE33!$P$7:$P$874,'30 days CF Table(AUD)'!G5,BS_RE33!$F$7:$F$874,'30 days CF Table(AUD)'!$C$2)</f>
        <v>0</v>
      </c>
      <c r="BK5" s="379">
        <f>SUMIFS(BS_RE33!$H$7:$H$874,BS_RE33!$S$7:$S$874,$BK$2,BS_RE33!$N$7:$N$874,I5,BS_RE33!$P$7:$P$874,'30 days CF Table(AUD)'!G5,BS_RE33!$F$7:$F$874,'30 days CF Table(AUD)'!$C$2)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Table(AUD)'!G6,BS_RE33!$F$7:$F$874,'30 days CF Table(AUD)'!$C$2)</f>
        <v>0</v>
      </c>
      <c r="M6" s="337">
        <f>SUMIFS(BS_RE33!$H$7:$H$874,BS_RE33!$S$7:$S$874,$M$2,BS_RE33!$N$7:$N$874,I6,BS_RE33!$P$7:$P$874,'30 days CF Table(AUD)'!G6,BS_RE33!$F$7:$F$874,'30 days CF Table(AUD)'!$C$2)</f>
        <v>0</v>
      </c>
      <c r="N6" s="337">
        <f>SUMIFS(BS_RE33!$H$7:$H$874,BS_RE33!$S$7:$S$874,$N$2,BS_RE33!$N$7:$N$874,I6,BS_RE33!$P$7:$P$874,'30 days CF Table(AUD)'!G6,BS_RE33!$F$7:$F$874,'30 days CF Table(AUD)'!$C$2)</f>
        <v>0</v>
      </c>
      <c r="O6" s="337">
        <f>SUMIFS(BS_RE33!$H$7:$H$874,BS_RE33!$S$7:$S$874,$O$2,BS_RE33!$N$7:$N$874,I6,BS_RE33!$P$7:$P$874,'30 days CF Table(AUD)'!G6,BS_RE33!$F$7:$F$874,'30 days CF Table(AUD)'!$C$2)</f>
        <v>0</v>
      </c>
      <c r="P6" s="337">
        <f>SUMIFS(BS_RE33!$H$7:$H$874,BS_RE33!$S$7:$S$874,$P$2,BS_RE33!$N$7:$N$874,I6,BS_RE33!$P$7:$P$874,'30 days CF Table(AUD)'!G6,BS_RE33!$F$7:$F$874,'30 days CF Table(AUD)'!$C$2)</f>
        <v>0</v>
      </c>
      <c r="Q6" s="337">
        <f>SUMIFS(BS_RE33!$H$7:$H$874,BS_RE33!$S$7:$S$874,$Q$2,BS_RE33!$N$7:$N$874,I6,BS_RE33!$P$7:$P$874,'30 days CF Table(AUD)'!G6,BS_RE33!$F$7:$F$874,'30 days CF Table(AUD)'!$C$2)</f>
        <v>0</v>
      </c>
      <c r="R6" s="337">
        <f>SUMIFS(BS_RE33!$H$7:$H$874,BS_RE33!$S$7:$S$874,$R$2,BS_RE33!$N$7:$N$874,I6,BS_RE33!$P$7:$P$874,'30 days CF Table(AUD)'!G6,BS_RE33!$F$7:$F$874,'30 days CF Table(AUD)'!$C$2)</f>
        <v>0</v>
      </c>
      <c r="S6" s="337">
        <f>SUMIFS(BS_RE33!$H$7:$H$874,BS_RE33!$S$7:$S$874,$S$2,BS_RE33!$N$7:$N$874,I6,BS_RE33!$P$7:$P$874,'30 days CF Table(AUD)'!G6,BS_RE33!$F$7:$F$874,'30 days CF Table(AUD)'!$C$2)</f>
        <v>0</v>
      </c>
      <c r="T6" s="337">
        <f>SUMIFS(BS_RE33!$H$7:$H$874,BS_RE33!$S$7:$S$874,$T$2,BS_RE33!$N$7:$N$874,I6,BS_RE33!$P$7:$P$874,'30 days CF Table(AUD)'!G6,BS_RE33!$F$7:$F$874,'30 days CF Table(AUD)'!$C$2)</f>
        <v>0</v>
      </c>
      <c r="U6" s="337">
        <f>SUMIFS(BS_RE33!$H$7:$H$874,BS_RE33!$S$7:$S$874,$U$2,BS_RE33!$N$7:$N$874,I6,BS_RE33!$P$7:$P$874,'30 days CF Table(AUD)'!G6,BS_RE33!$F$7:$F$874,'30 days CF Table(AUD)'!$C$2)</f>
        <v>0</v>
      </c>
      <c r="V6" s="337">
        <f>SUMIFS(BS_RE33!$H$7:$H$874,BS_RE33!$S$7:$S$874,$V$2,BS_RE33!$N$7:$N$874,I6,BS_RE33!$P$7:$P$874,'30 days CF Table(AUD)'!G6,BS_RE33!$F$7:$F$874,'30 days CF Table(AUD)'!$C$2)</f>
        <v>0</v>
      </c>
      <c r="W6" s="337">
        <f>SUMIFS(BS_RE33!$H$7:$H$874,BS_RE33!$S$7:$S$874,$W$2,BS_RE33!$N$7:$N$874,I6,BS_RE33!$P$7:$P$874,'30 days CF Table(AUD)'!G6,BS_RE33!$F$7:$F$874,'30 days CF Table(AUD)'!$C$2)</f>
        <v>0</v>
      </c>
      <c r="X6" s="337">
        <f>SUMIFS(BS_RE33!$H$7:$H$874,BS_RE33!$S$7:$S$874,$X$2,BS_RE33!$N$7:$N$874,I6,BS_RE33!$P$7:$P$874,'30 days CF Table(AUD)'!G6,BS_RE33!$F$7:$F$874,'30 days CF Table(AUD)'!$C$2)</f>
        <v>0</v>
      </c>
      <c r="Y6" s="337">
        <f>SUMIFS(BS_RE33!$H$7:$H$874,BS_RE33!$S$7:$S$874,$Y$2,BS_RE33!$N$7:$N$874,I6,BS_RE33!$P$7:$P$874,'30 days CF Table(AUD)'!G6,BS_RE33!$F$7:$F$874,'30 days CF Table(AUD)'!$C$2)</f>
        <v>0</v>
      </c>
      <c r="Z6" s="337">
        <f>SUMIFS(BS_RE33!$H$7:$H$874,BS_RE33!$S$7:$S$874,$Z$2,BS_RE33!$N$7:$N$874,I6,BS_RE33!$P$7:$P$874,'30 days CF Table(AUD)'!G6,BS_RE33!$F$7:$F$874,'30 days CF Table(AUD)'!$C$2)</f>
        <v>0</v>
      </c>
      <c r="AA6" s="337">
        <f>SUMIFS(BS_RE33!$H$7:$H$874,BS_RE33!$S$7:$S$874,$AA$2,BS_RE33!$N$7:$N$874,I6,BS_RE33!$P$7:$P$874,'30 days CF Table(AUD)'!G6,BS_RE33!$F$7:$F$874,'30 days CF Table(AUD)'!$C$2)</f>
        <v>0</v>
      </c>
      <c r="AB6" s="337">
        <f>SUMIFS(BS_RE33!$H$7:$H$874,BS_RE33!$S$7:$S$874,$AB$2,BS_RE33!$N$7:$N$874,I6,BS_RE33!$P$7:$P$874,'30 days CF Table(AUD)'!G6,BS_RE33!$F$7:$F$874,'30 days CF Table(AUD)'!$C$2)</f>
        <v>0</v>
      </c>
      <c r="AC6" s="337">
        <f>SUMIFS(BS_RE33!$H$7:$H$874,BS_RE33!$S$7:$S$874,$AC$2,BS_RE33!$N$7:$N$874,I6,BS_RE33!$P$7:$P$874,'30 days CF Table(AUD)'!G6,BS_RE33!$F$7:$F$874,'30 days CF Table(AUD)'!$C$2)</f>
        <v>0</v>
      </c>
      <c r="AD6" s="337">
        <f>SUMIFS(BS_RE33!$H$7:$H$874,BS_RE33!$S$7:$S$874,$AD$2,BS_RE33!$N$7:$N$874,I6,BS_RE33!$P$7:$P$874,'30 days CF Table(AUD)'!G6,BS_RE33!$F$7:$F$874,'30 days CF Table(AUD)'!$C$2)</f>
        <v>0</v>
      </c>
      <c r="AE6" s="337">
        <f>SUMIFS(BS_RE33!$H$7:$H$874,BS_RE33!$S$7:$S$874,$AE$2,BS_RE33!$N$7:$N$874,I6,BS_RE33!$P$7:$P$874,'30 days CF Table(AUD)'!G6,BS_RE33!$F$7:$F$874,'30 days CF Table(AUD)'!$C$2)</f>
        <v>0</v>
      </c>
      <c r="AF6" s="337">
        <f>SUMIFS(BS_RE33!$H$7:$H$874,BS_RE33!$S$7:$S$874,$AF$2,BS_RE33!$N$7:$N$874,I6,BS_RE33!$P$7:$P$874,'30 days CF Table(AUD)'!G6,BS_RE33!$F$7:$F$874,'30 days CF Table(AUD)'!$C$2)</f>
        <v>0</v>
      </c>
      <c r="AG6" s="337">
        <f>SUMIFS(BS_RE33!$H$7:$H$874,BS_RE33!$S$7:$S$874,$AG$2,BS_RE33!$N$7:$N$874,I6,BS_RE33!$P$7:$P$874,'30 days CF Table(AUD)'!G6,BS_RE33!$F$7:$F$874,'30 days CF Table(AUD)'!$C$2)</f>
        <v>0</v>
      </c>
      <c r="AH6" s="337">
        <f>SUMIFS(BS_RE33!$H$7:$H$874,BS_RE33!$S$7:$S$874,$AH$2,BS_RE33!$N$7:$N$874,I6,BS_RE33!$P$7:$P$874,'30 days CF Table(AUD)'!G6,BS_RE33!$F$7:$F$874,'30 days CF Table(AUD)'!$C$2)</f>
        <v>0</v>
      </c>
      <c r="AI6" s="337">
        <f>SUMIFS(BS_RE33!$H$7:$H$874,BS_RE33!$S$7:$S$874,$AI$2,BS_RE33!$N$7:$N$874,I6,BS_RE33!$P$7:$P$874,'30 days CF Table(AUD)'!G6,BS_RE33!$F$7:$F$874,'30 days CF Table(AUD)'!$C$2)</f>
        <v>0</v>
      </c>
      <c r="AJ6" s="337">
        <f>SUMIFS(BS_RE33!$H$7:$H$874,BS_RE33!$S$7:$S$874,$AJ$2,BS_RE33!$N$7:$N$874,I6,BS_RE33!$P$7:$P$874,'30 days CF Table(AUD)'!G6,BS_RE33!$F$7:$F$874,'30 days CF Table(AUD)'!$C$2)</f>
        <v>0</v>
      </c>
      <c r="AK6" s="337">
        <f>SUMIFS(BS_RE33!$H$7:$H$874,BS_RE33!$S$7:$S$874,$AK$2,BS_RE33!$N$7:$N$874,I6,BS_RE33!$P$7:$P$874,'30 days CF Table(AUD)'!G6,BS_RE33!$F$7:$F$874,'30 days CF Table(AUD)'!$C$2)</f>
        <v>0</v>
      </c>
      <c r="AL6" s="337">
        <f>SUMIFS(BS_RE33!$H$7:$H$874,BS_RE33!$S$7:$S$874,$AL$2,BS_RE33!$N$7:$N$874,I6,BS_RE33!$P$7:$P$874,'30 days CF Table(AUD)'!G6,BS_RE33!$F$7:$F$874,'30 days CF Table(AUD)'!$C$2)</f>
        <v>0</v>
      </c>
      <c r="AM6" s="337">
        <f>SUMIFS(BS_RE33!$H$7:$H$874,BS_RE33!$S$7:$S$874,$AM$2,BS_RE33!$N$7:$N$874,I6,BS_RE33!$P$7:$P$874,'30 days CF Table(AUD)'!G6,BS_RE33!$F$7:$F$874,'30 days CF Table(AUD)'!$C$2)</f>
        <v>0</v>
      </c>
      <c r="AN6" s="337">
        <f>SUMIFS(BS_RE33!$H$7:$H$874,BS_RE33!$S$7:$S$874,$AN$2,BS_RE33!$N$7:$N$874,I6,BS_RE33!$P$7:$P$874,'30 days CF Table(AUD)'!G6,BS_RE33!$F$7:$F$874,'30 days CF Table(AUD)'!$C$2)</f>
        <v>0</v>
      </c>
      <c r="AO6" s="337">
        <f>SUMIFS(BS_RE33!$H$7:$H$874,BS_RE33!$S$7:$S$874,$AO$2,BS_RE33!$N$7:$N$874,I6,BS_RE33!$P$7:$P$874,'30 days CF Table(AUD)'!G6,BS_RE33!$F$7:$F$874,'30 days CF Table(AUD)'!$C$2)</f>
        <v>0</v>
      </c>
      <c r="AP6" s="338">
        <f>SUMIFS(BS_RE33!$H$7:$H$874,BS_RE33!$S$7:$S$874,$AP$2,BS_RE33!$N$7:$N$874,I6,BS_RE33!$P$7:$P$874,'30 days CF Table(AUD)'!G6,BS_RE33!$F$7:$F$874,'30 days CF Table(AUD)'!$C$2)</f>
        <v>0</v>
      </c>
      <c r="AQ6" s="545"/>
      <c r="AR6" s="379">
        <f>SUMIFS(BS_RE33!$H$7:$H$874,BS_RE33!$S$7:$S$874,$AR$2,BS_RE33!$N$7:$N$874,I6,BS_RE33!$P$7:$P$874,'30 days CF Table(AUD)'!G6,BS_RE33!$F$7:$F$874,'30 days CF Table(AUD)'!$C$2)</f>
        <v>0</v>
      </c>
      <c r="AS6" s="379">
        <f>SUMIFS(BS_RE33!$H$7:$H$874,BS_RE33!$S$7:$S$874,$AS$2,BS_RE33!$N$7:$N$874,I6,BS_RE33!$P$7:$P$874,'30 days CF Table(AUD)'!G6,BS_RE33!$F$7:$F$874,'30 days CF Table(AUD)'!$C$2)</f>
        <v>0</v>
      </c>
      <c r="AT6" s="379">
        <f>SUMIFS(BS_RE33!$H$7:$H$874,BS_RE33!$S$7:$S$874,$AT$2,BS_RE33!$N$7:$N$874,I6,BS_RE33!$P$7:$P$874,'30 days CF Table(AUD)'!G6,BS_RE33!$F$7:$F$874,'30 days CF Table(AUD)'!$C$2)</f>
        <v>0</v>
      </c>
      <c r="AU6" s="379">
        <f>SUMIFS(BS_RE33!$H$7:$H$874,BS_RE33!$S$7:$S$874,$AU$2,BS_RE33!$N$7:$N$874,I6,BS_RE33!$P$7:$P$874,'30 days CF Table(AUD)'!G6,BS_RE33!$F$7:$F$874,'30 days CF Table(AUD)'!$C$2)</f>
        <v>0</v>
      </c>
      <c r="AV6" s="379">
        <f>SUMIFS(BS_RE33!$H$7:$H$874,BS_RE33!$S$7:$S$874,$AV$2,BS_RE33!$N$7:$N$874,I6,BS_RE33!$P$7:$P$874,'30 days CF Table(AUD)'!G6,BS_RE33!$F$7:$F$874,'30 days CF Table(AUD)'!$C$2)</f>
        <v>0</v>
      </c>
      <c r="AW6" s="379">
        <f>SUMIFS(BS_RE33!$H$7:$H$874,BS_RE33!$S$7:$S$874,$AW$2,BS_RE33!$N$7:$N$874,I6,BS_RE33!$P$7:$P$874,'30 days CF Table(AUD)'!G6,BS_RE33!$F$7:$F$874,'30 days CF Table(AUD)'!$C$2)</f>
        <v>0</v>
      </c>
      <c r="AX6" s="379">
        <f>SUMIFS(BS_RE33!$H$7:$H$874,BS_RE33!$S$7:$S$874,$AX$2,BS_RE33!$N$7:$N$874,I6,BS_RE33!$P$7:$P$874,'30 days CF Table(AUD)'!G6,BS_RE33!$F$7:$F$874,'30 days CF Table(AUD)'!$C$2)</f>
        <v>0</v>
      </c>
      <c r="AY6" s="379">
        <f>SUMIFS(BS_RE33!$H$7:$H$874,BS_RE33!$S$7:$S$874,$AY$2,BS_RE33!$N$7:$N$874,I6,BS_RE33!$P$7:$P$874,'30 days CF Table(AUD)'!G6,BS_RE33!$F$7:$F$874,'30 days CF Table(AUD)'!$C$2)</f>
        <v>0</v>
      </c>
      <c r="AZ6" s="379">
        <f>SUMIFS(BS_RE33!$H$7:$H$874,BS_RE33!$S$7:$S$874,$AZ$2,BS_RE33!$N$7:$N$874,I6,BS_RE33!$P$7:$P$874,'30 days CF Table(AUD)'!G6,BS_RE33!$F$7:$F$874,'30 days CF Table(AUD)'!$C$2)</f>
        <v>0</v>
      </c>
      <c r="BA6" s="379">
        <f>SUMIFS(BS_RE33!$H$7:$H$874,BS_RE33!$S$7:$S$874,$BA$2,BS_RE33!$N$7:$N$874,I6,BS_RE33!$P$7:$P$874,'30 days CF Table(AUD)'!G6,BS_RE33!$F$7:$F$874,'30 days CF Table(AUD)'!$C$2)</f>
        <v>0</v>
      </c>
      <c r="BB6" s="379">
        <f>SUMIFS(BS_RE33!$H$7:$H$874,BS_RE33!$S$7:$S$874,$BB$2,BS_RE33!$N$7:$N$874,I6,BS_RE33!$P$7:$P$874,'30 days CF Table(AUD)'!G6,BS_RE33!$F$7:$F$874,'30 days CF Table(AUD)'!$C$2)</f>
        <v>0</v>
      </c>
      <c r="BC6" s="379">
        <f>SUMIFS(BS_RE33!$H$7:$H$874,BS_RE33!$S$7:$S$874,$BC$2,BS_RE33!$N$7:$N$874,I6,BS_RE33!$P$7:$P$874,'30 days CF Table(AUD)'!G6,BS_RE33!$F$7:$F$874,'30 days CF Table(AUD)'!$C$2)</f>
        <v>0</v>
      </c>
      <c r="BD6" s="379">
        <f>SUMIFS(BS_RE33!$H$7:$H$874,BS_RE33!$S$7:$S$874,$BD$2,BS_RE33!$N$7:$N$874,I6,BS_RE33!$P$7:$P$874,'30 days CF Table(AUD)'!G6,BS_RE33!$F$7:$F$874,'30 days CF Table(AUD)'!$C$2)</f>
        <v>0</v>
      </c>
      <c r="BE6" s="379">
        <f>SUMIFS(BS_RE33!$H$7:$H$874,BS_RE33!$S$7:$S$874,$BE$2,BS_RE33!$N$7:$N$874,I6,BS_RE33!$P$7:$P$874,'30 days CF Table(AUD)'!G6,BS_RE33!$F$7:$F$874,'30 days CF Table(AUD)'!$C$2)</f>
        <v>0</v>
      </c>
      <c r="BF6" s="379">
        <f>SUMIFS(BS_RE33!$H$7:$H$874,BS_RE33!$S$7:$S$874,$BF$2,BS_RE33!$N$7:$N$874,I6,BS_RE33!$P$7:$P$874,'30 days CF Table(AUD)'!G6,BS_RE33!$F$7:$F$874,'30 days CF Table(AUD)'!$C$2)</f>
        <v>0</v>
      </c>
      <c r="BG6" s="379">
        <f>SUMIFS(BS_RE33!$H$7:$H$874,BS_RE33!$S$7:$S$874,$BG$2,BS_RE33!$N$7:$N$874,I6,BS_RE33!$P$7:$P$874,'30 days CF Table(AUD)'!G6,BS_RE33!$F$7:$F$874,'30 days CF Table(AUD)'!$C$2)</f>
        <v>0</v>
      </c>
      <c r="BH6" s="379">
        <f>SUMIFS(BS_RE33!$H$7:$H$874,BS_RE33!$S$7:$S$874,$BH$2,BS_RE33!$N$7:$N$874,I6,BS_RE33!$P$7:$P$874,'30 days CF Table(AUD)'!G6,BS_RE33!$F$7:$F$874,'30 days CF Table(AUD)'!$C$2)</f>
        <v>0</v>
      </c>
      <c r="BI6" s="379">
        <f>SUMIFS(BS_RE33!$H$7:$H$874,BS_RE33!$S$7:$S$874,$BI$2,BS_RE33!$N$7:$N$874,I6,BS_RE33!$P$7:$P$874,'30 days CF Table(AUD)'!G6,BS_RE33!$F$7:$F$874,'30 days CF Table(AUD)'!$C$2)</f>
        <v>0</v>
      </c>
      <c r="BJ6" s="379">
        <f>SUMIFS(BS_RE33!$H$7:$H$874,BS_RE33!$S$7:$S$874,$BJ$2,BS_RE33!$N$7:$N$874,I6,BS_RE33!$P$7:$P$874,'30 days CF Table(AUD)'!G6,BS_RE33!$F$7:$F$874,'30 days CF Table(AUD)'!$C$2)</f>
        <v>0</v>
      </c>
      <c r="BK6" s="379">
        <f>SUMIFS(BS_RE33!$H$7:$H$874,BS_RE33!$S$7:$S$874,$BK$2,BS_RE33!$N$7:$N$874,I6,BS_RE33!$P$7:$P$874,'30 days CF Table(AUD)'!G6,BS_RE33!$F$7:$F$874,'30 days CF Table(AUD)'!$C$2)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Table(AUD)'!G7,BS_RE33!$F$7:$F$874,'30 days CF Table(AUD)'!$C$2)</f>
        <v>0</v>
      </c>
      <c r="M7" s="337">
        <f>SUMIFS(BS_RE33!$H$7:$H$874,BS_RE33!$S$7:$S$874,$M$2,BS_RE33!$N$7:$N$874,I7,BS_RE33!$P$7:$P$874,'30 days CF Table(AUD)'!G7,BS_RE33!$F$7:$F$874,'30 days CF Table(AUD)'!$C$2)</f>
        <v>0</v>
      </c>
      <c r="N7" s="337">
        <f>SUMIFS(BS_RE33!$H$7:$H$874,BS_RE33!$S$7:$S$874,$N$2,BS_RE33!$N$7:$N$874,I7,BS_RE33!$P$7:$P$874,'30 days CF Table(AUD)'!G7,BS_RE33!$F$7:$F$874,'30 days CF Table(AUD)'!$C$2)</f>
        <v>0</v>
      </c>
      <c r="O7" s="337">
        <f>SUMIFS(BS_RE33!$H$7:$H$874,BS_RE33!$S$7:$S$874,$O$2,BS_RE33!$N$7:$N$874,I7,BS_RE33!$P$7:$P$874,'30 days CF Table(AUD)'!G7,BS_RE33!$F$7:$F$874,'30 days CF Table(AUD)'!$C$2)</f>
        <v>0</v>
      </c>
      <c r="P7" s="337">
        <f>SUMIFS(BS_RE33!$H$7:$H$874,BS_RE33!$S$7:$S$874,$P$2,BS_RE33!$N$7:$N$874,I7,BS_RE33!$P$7:$P$874,'30 days CF Table(AUD)'!G7,BS_RE33!$F$7:$F$874,'30 days CF Table(AUD)'!$C$2)</f>
        <v>0</v>
      </c>
      <c r="Q7" s="337">
        <f>SUMIFS(BS_RE33!$H$7:$H$874,BS_RE33!$S$7:$S$874,$Q$2,BS_RE33!$N$7:$N$874,I7,BS_RE33!$P$7:$P$874,'30 days CF Table(AUD)'!G7,BS_RE33!$F$7:$F$874,'30 days CF Table(AUD)'!$C$2)</f>
        <v>0</v>
      </c>
      <c r="R7" s="337">
        <f>SUMIFS(BS_RE33!$H$7:$H$874,BS_RE33!$S$7:$S$874,$R$2,BS_RE33!$N$7:$N$874,I7,BS_RE33!$P$7:$P$874,'30 days CF Table(AUD)'!G7,BS_RE33!$F$7:$F$874,'30 days CF Table(AUD)'!$C$2)</f>
        <v>0</v>
      </c>
      <c r="S7" s="337">
        <f>SUMIFS(BS_RE33!$H$7:$H$874,BS_RE33!$S$7:$S$874,$S$2,BS_RE33!$N$7:$N$874,I7,BS_RE33!$P$7:$P$874,'30 days CF Table(AUD)'!G7,BS_RE33!$F$7:$F$874,'30 days CF Table(AUD)'!$C$2)</f>
        <v>0</v>
      </c>
      <c r="T7" s="337">
        <f>SUMIFS(BS_RE33!$H$7:$H$874,BS_RE33!$S$7:$S$874,$T$2,BS_RE33!$N$7:$N$874,I7,BS_RE33!$P$7:$P$874,'30 days CF Table(AUD)'!G7,BS_RE33!$F$7:$F$874,'30 days CF Table(AUD)'!$C$2)</f>
        <v>0</v>
      </c>
      <c r="U7" s="337">
        <f>SUMIFS(BS_RE33!$H$7:$H$874,BS_RE33!$S$7:$S$874,$U$2,BS_RE33!$N$7:$N$874,I7,BS_RE33!$P$7:$P$874,'30 days CF Table(AUD)'!G7,BS_RE33!$F$7:$F$874,'30 days CF Table(AUD)'!$C$2)</f>
        <v>0</v>
      </c>
      <c r="V7" s="337">
        <f>SUMIFS(BS_RE33!$H$7:$H$874,BS_RE33!$S$7:$S$874,$V$2,BS_RE33!$N$7:$N$874,I7,BS_RE33!$P$7:$P$874,'30 days CF Table(AUD)'!G7,BS_RE33!$F$7:$F$874,'30 days CF Table(AUD)'!$C$2)</f>
        <v>0</v>
      </c>
      <c r="W7" s="337">
        <f>SUMIFS(BS_RE33!$H$7:$H$874,BS_RE33!$S$7:$S$874,$W$2,BS_RE33!$N$7:$N$874,I7,BS_RE33!$P$7:$P$874,'30 days CF Table(AUD)'!G7,BS_RE33!$F$7:$F$874,'30 days CF Table(AUD)'!$C$2)</f>
        <v>0</v>
      </c>
      <c r="X7" s="337">
        <f>SUMIFS(BS_RE33!$H$7:$H$874,BS_RE33!$S$7:$S$874,$X$2,BS_RE33!$N$7:$N$874,I7,BS_RE33!$P$7:$P$874,'30 days CF Table(AUD)'!G7,BS_RE33!$F$7:$F$874,'30 days CF Table(AUD)'!$C$2)</f>
        <v>0</v>
      </c>
      <c r="Y7" s="337">
        <f>SUMIFS(BS_RE33!$H$7:$H$874,BS_RE33!$S$7:$S$874,$Y$2,BS_RE33!$N$7:$N$874,I7,BS_RE33!$P$7:$P$874,'30 days CF Table(AUD)'!G7,BS_RE33!$F$7:$F$874,'30 days CF Table(AUD)'!$C$2)</f>
        <v>0</v>
      </c>
      <c r="Z7" s="337">
        <f>SUMIFS(BS_RE33!$H$7:$H$874,BS_RE33!$S$7:$S$874,$Z$2,BS_RE33!$N$7:$N$874,I7,BS_RE33!$P$7:$P$874,'30 days CF Table(AUD)'!G7,BS_RE33!$F$7:$F$874,'30 days CF Table(AUD)'!$C$2)</f>
        <v>0</v>
      </c>
      <c r="AA7" s="337">
        <f>SUMIFS(BS_RE33!$H$7:$H$874,BS_RE33!$S$7:$S$874,$AA$2,BS_RE33!$N$7:$N$874,I7,BS_RE33!$P$7:$P$874,'30 days CF Table(AUD)'!G7,BS_RE33!$F$7:$F$874,'30 days CF Table(AUD)'!$C$2)</f>
        <v>0</v>
      </c>
      <c r="AB7" s="337">
        <f>SUMIFS(BS_RE33!$H$7:$H$874,BS_RE33!$S$7:$S$874,$AB$2,BS_RE33!$N$7:$N$874,I7,BS_RE33!$P$7:$P$874,'30 days CF Table(AUD)'!G7,BS_RE33!$F$7:$F$874,'30 days CF Table(AUD)'!$C$2)</f>
        <v>0</v>
      </c>
      <c r="AC7" s="337">
        <f>SUMIFS(BS_RE33!$H$7:$H$874,BS_RE33!$S$7:$S$874,$AC$2,BS_RE33!$N$7:$N$874,I7,BS_RE33!$P$7:$P$874,'30 days CF Table(AUD)'!G7,BS_RE33!$F$7:$F$874,'30 days CF Table(AUD)'!$C$2)</f>
        <v>0</v>
      </c>
      <c r="AD7" s="337">
        <f>SUMIFS(BS_RE33!$H$7:$H$874,BS_RE33!$S$7:$S$874,$AD$2,BS_RE33!$N$7:$N$874,I7,BS_RE33!$P$7:$P$874,'30 days CF Table(AUD)'!G7,BS_RE33!$F$7:$F$874,'30 days CF Table(AUD)'!$C$2)</f>
        <v>0</v>
      </c>
      <c r="AE7" s="337">
        <f>SUMIFS(BS_RE33!$H$7:$H$874,BS_RE33!$S$7:$S$874,$AE$2,BS_RE33!$N$7:$N$874,I7,BS_RE33!$P$7:$P$874,'30 days CF Table(AUD)'!G7,BS_RE33!$F$7:$F$874,'30 days CF Table(AUD)'!$C$2)</f>
        <v>0</v>
      </c>
      <c r="AF7" s="337">
        <f>SUMIFS(BS_RE33!$H$7:$H$874,BS_RE33!$S$7:$S$874,$AF$2,BS_RE33!$N$7:$N$874,I7,BS_RE33!$P$7:$P$874,'30 days CF Table(AUD)'!G7,BS_RE33!$F$7:$F$874,'30 days CF Table(AUD)'!$C$2)</f>
        <v>0</v>
      </c>
      <c r="AG7" s="337">
        <f>SUMIFS(BS_RE33!$H$7:$H$874,BS_RE33!$S$7:$S$874,$AG$2,BS_RE33!$N$7:$N$874,I7,BS_RE33!$P$7:$P$874,'30 days CF Table(AUD)'!G7,BS_RE33!$F$7:$F$874,'30 days CF Table(AUD)'!$C$2)</f>
        <v>0</v>
      </c>
      <c r="AH7" s="337">
        <f>SUMIFS(BS_RE33!$H$7:$H$874,BS_RE33!$S$7:$S$874,$AH$2,BS_RE33!$N$7:$N$874,I7,BS_RE33!$P$7:$P$874,'30 days CF Table(AUD)'!G7,BS_RE33!$F$7:$F$874,'30 days CF Table(AUD)'!$C$2)</f>
        <v>0</v>
      </c>
      <c r="AI7" s="337">
        <f>SUMIFS(BS_RE33!$H$7:$H$874,BS_RE33!$S$7:$S$874,$AI$2,BS_RE33!$N$7:$N$874,I7,BS_RE33!$P$7:$P$874,'30 days CF Table(AUD)'!G7,BS_RE33!$F$7:$F$874,'30 days CF Table(AUD)'!$C$2)</f>
        <v>0</v>
      </c>
      <c r="AJ7" s="337">
        <f>SUMIFS(BS_RE33!$H$7:$H$874,BS_RE33!$S$7:$S$874,$AJ$2,BS_RE33!$N$7:$N$874,I7,BS_RE33!$P$7:$P$874,'30 days CF Table(AUD)'!G7,BS_RE33!$F$7:$F$874,'30 days CF Table(AUD)'!$C$2)</f>
        <v>0</v>
      </c>
      <c r="AK7" s="337">
        <f>SUMIFS(BS_RE33!$H$7:$H$874,BS_RE33!$S$7:$S$874,$AK$2,BS_RE33!$N$7:$N$874,I7,BS_RE33!$P$7:$P$874,'30 days CF Table(AUD)'!G7,BS_RE33!$F$7:$F$874,'30 days CF Table(AUD)'!$C$2)</f>
        <v>0</v>
      </c>
      <c r="AL7" s="337">
        <f>SUMIFS(BS_RE33!$H$7:$H$874,BS_RE33!$S$7:$S$874,$AL$2,BS_RE33!$N$7:$N$874,I7,BS_RE33!$P$7:$P$874,'30 days CF Table(AUD)'!G7,BS_RE33!$F$7:$F$874,'30 days CF Table(AUD)'!$C$2)</f>
        <v>0</v>
      </c>
      <c r="AM7" s="337">
        <f>SUMIFS(BS_RE33!$H$7:$H$874,BS_RE33!$S$7:$S$874,$AM$2,BS_RE33!$N$7:$N$874,I7,BS_RE33!$P$7:$P$874,'30 days CF Table(AUD)'!G7,BS_RE33!$F$7:$F$874,'30 days CF Table(AUD)'!$C$2)</f>
        <v>0</v>
      </c>
      <c r="AN7" s="337">
        <f>SUMIFS(BS_RE33!$H$7:$H$874,BS_RE33!$S$7:$S$874,$AN$2,BS_RE33!$N$7:$N$874,I7,BS_RE33!$P$7:$P$874,'30 days CF Table(AUD)'!G7,BS_RE33!$F$7:$F$874,'30 days CF Table(AUD)'!$C$2)</f>
        <v>0</v>
      </c>
      <c r="AO7" s="337">
        <f>SUMIFS(BS_RE33!$H$7:$H$874,BS_RE33!$S$7:$S$874,$AO$2,BS_RE33!$N$7:$N$874,I7,BS_RE33!$P$7:$P$874,'30 days CF Table(AUD)'!G7,BS_RE33!$F$7:$F$874,'30 days CF Table(AUD)'!$C$2)</f>
        <v>0</v>
      </c>
      <c r="AP7" s="338">
        <f>SUMIFS(BS_RE33!$H$7:$H$874,BS_RE33!$S$7:$S$874,$AP$2,BS_RE33!$N$7:$N$874,I7,BS_RE33!$P$7:$P$874,'30 days CF Table(AUD)'!G7,BS_RE33!$F$7:$F$874,'30 days CF Table(AUD)'!$C$2)</f>
        <v>0</v>
      </c>
      <c r="AQ7" s="545"/>
      <c r="AR7" s="379">
        <f>SUMIFS(BS_RE33!$H$7:$H$874,BS_RE33!$S$7:$S$874,$AR$2,BS_RE33!$N$7:$N$874,I7,BS_RE33!$P$7:$P$874,'30 days CF Table(AUD)'!G7,BS_RE33!$F$7:$F$874,'30 days CF Table(AUD)'!$C$2)</f>
        <v>0</v>
      </c>
      <c r="AS7" s="379">
        <f>SUMIFS(BS_RE33!$H$7:$H$874,BS_RE33!$S$7:$S$874,$AS$2,BS_RE33!$N$7:$N$874,I7,BS_RE33!$P$7:$P$874,'30 days CF Table(AUD)'!G7,BS_RE33!$F$7:$F$874,'30 days CF Table(AUD)'!$C$2)</f>
        <v>0</v>
      </c>
      <c r="AT7" s="379">
        <f>SUMIFS(BS_RE33!$H$7:$H$874,BS_RE33!$S$7:$S$874,$AT$2,BS_RE33!$N$7:$N$874,I7,BS_RE33!$P$7:$P$874,'30 days CF Table(AUD)'!G7,BS_RE33!$F$7:$F$874,'30 days CF Table(AUD)'!$C$2)</f>
        <v>0</v>
      </c>
      <c r="AU7" s="379">
        <f>SUMIFS(BS_RE33!$H$7:$H$874,BS_RE33!$S$7:$S$874,$AU$2,BS_RE33!$N$7:$N$874,I7,BS_RE33!$P$7:$P$874,'30 days CF Table(AUD)'!G7,BS_RE33!$F$7:$F$874,'30 days CF Table(AUD)'!$C$2)</f>
        <v>0</v>
      </c>
      <c r="AV7" s="379">
        <f>SUMIFS(BS_RE33!$H$7:$H$874,BS_RE33!$S$7:$S$874,$AV$2,BS_RE33!$N$7:$N$874,I7,BS_RE33!$P$7:$P$874,'30 days CF Table(AUD)'!G7,BS_RE33!$F$7:$F$874,'30 days CF Table(AUD)'!$C$2)</f>
        <v>0</v>
      </c>
      <c r="AW7" s="379">
        <f>SUMIFS(BS_RE33!$H$7:$H$874,BS_RE33!$S$7:$S$874,$AW$2,BS_RE33!$N$7:$N$874,I7,BS_RE33!$P$7:$P$874,'30 days CF Table(AUD)'!G7,BS_RE33!$F$7:$F$874,'30 days CF Table(AUD)'!$C$2)</f>
        <v>0</v>
      </c>
      <c r="AX7" s="379">
        <f>SUMIFS(BS_RE33!$H$7:$H$874,BS_RE33!$S$7:$S$874,$AX$2,BS_RE33!$N$7:$N$874,I7,BS_RE33!$P$7:$P$874,'30 days CF Table(AUD)'!G7,BS_RE33!$F$7:$F$874,'30 days CF Table(AUD)'!$C$2)</f>
        <v>0</v>
      </c>
      <c r="AY7" s="379">
        <f>SUMIFS(BS_RE33!$H$7:$H$874,BS_RE33!$S$7:$S$874,$AY$2,BS_RE33!$N$7:$N$874,I7,BS_RE33!$P$7:$P$874,'30 days CF Table(AUD)'!G7,BS_RE33!$F$7:$F$874,'30 days CF Table(AUD)'!$C$2)</f>
        <v>0</v>
      </c>
      <c r="AZ7" s="379">
        <f>SUMIFS(BS_RE33!$H$7:$H$874,BS_RE33!$S$7:$S$874,$AZ$2,BS_RE33!$N$7:$N$874,I7,BS_RE33!$P$7:$P$874,'30 days CF Table(AUD)'!G7,BS_RE33!$F$7:$F$874,'30 days CF Table(AUD)'!$C$2)</f>
        <v>0</v>
      </c>
      <c r="BA7" s="379">
        <f>SUMIFS(BS_RE33!$H$7:$H$874,BS_RE33!$S$7:$S$874,$BA$2,BS_RE33!$N$7:$N$874,I7,BS_RE33!$P$7:$P$874,'30 days CF Table(AUD)'!G7,BS_RE33!$F$7:$F$874,'30 days CF Table(AUD)'!$C$2)</f>
        <v>0</v>
      </c>
      <c r="BB7" s="379">
        <f>SUMIFS(BS_RE33!$H$7:$H$874,BS_RE33!$S$7:$S$874,$BB$2,BS_RE33!$N$7:$N$874,I7,BS_RE33!$P$7:$P$874,'30 days CF Table(AUD)'!G7,BS_RE33!$F$7:$F$874,'30 days CF Table(AUD)'!$C$2)</f>
        <v>0</v>
      </c>
      <c r="BC7" s="379">
        <f>SUMIFS(BS_RE33!$H$7:$H$874,BS_RE33!$S$7:$S$874,$BC$2,BS_RE33!$N$7:$N$874,I7,BS_RE33!$P$7:$P$874,'30 days CF Table(AUD)'!G7,BS_RE33!$F$7:$F$874,'30 days CF Table(AUD)'!$C$2)</f>
        <v>0</v>
      </c>
      <c r="BD7" s="379">
        <f>SUMIFS(BS_RE33!$H$7:$H$874,BS_RE33!$S$7:$S$874,$BD$2,BS_RE33!$N$7:$N$874,I7,BS_RE33!$P$7:$P$874,'30 days CF Table(AUD)'!G7,BS_RE33!$F$7:$F$874,'30 days CF Table(AUD)'!$C$2)</f>
        <v>0</v>
      </c>
      <c r="BE7" s="379">
        <f>SUMIFS(BS_RE33!$H$7:$H$874,BS_RE33!$S$7:$S$874,$BE$2,BS_RE33!$N$7:$N$874,I7,BS_RE33!$P$7:$P$874,'30 days CF Table(AUD)'!G7,BS_RE33!$F$7:$F$874,'30 days CF Table(AUD)'!$C$2)</f>
        <v>0</v>
      </c>
      <c r="BF7" s="379">
        <f>SUMIFS(BS_RE33!$H$7:$H$874,BS_RE33!$S$7:$S$874,$BF$2,BS_RE33!$N$7:$N$874,I7,BS_RE33!$P$7:$P$874,'30 days CF Table(AUD)'!G7,BS_RE33!$F$7:$F$874,'30 days CF Table(AUD)'!$C$2)</f>
        <v>0</v>
      </c>
      <c r="BG7" s="379">
        <f>SUMIFS(BS_RE33!$H$7:$H$874,BS_RE33!$S$7:$S$874,$BG$2,BS_RE33!$N$7:$N$874,I7,BS_RE33!$P$7:$P$874,'30 days CF Table(AUD)'!G7,BS_RE33!$F$7:$F$874,'30 days CF Table(AUD)'!$C$2)</f>
        <v>0</v>
      </c>
      <c r="BH7" s="379">
        <f>SUMIFS(BS_RE33!$H$7:$H$874,BS_RE33!$S$7:$S$874,$BH$2,BS_RE33!$N$7:$N$874,I7,BS_RE33!$P$7:$P$874,'30 days CF Table(AUD)'!G7,BS_RE33!$F$7:$F$874,'30 days CF Table(AUD)'!$C$2)</f>
        <v>0</v>
      </c>
      <c r="BI7" s="379">
        <f>SUMIFS(BS_RE33!$H$7:$H$874,BS_RE33!$S$7:$S$874,$BI$2,BS_RE33!$N$7:$N$874,I7,BS_RE33!$P$7:$P$874,'30 days CF Table(AUD)'!G7,BS_RE33!$F$7:$F$874,'30 days CF Table(AUD)'!$C$2)</f>
        <v>0</v>
      </c>
      <c r="BJ7" s="379">
        <f>SUMIFS(BS_RE33!$H$7:$H$874,BS_RE33!$S$7:$S$874,$BJ$2,BS_RE33!$N$7:$N$874,I7,BS_RE33!$P$7:$P$874,'30 days CF Table(AUD)'!G7,BS_RE33!$F$7:$F$874,'30 days CF Table(AUD)'!$C$2)</f>
        <v>0</v>
      </c>
      <c r="BK7" s="379">
        <f>SUMIFS(BS_RE33!$H$7:$H$874,BS_RE33!$S$7:$S$874,$BK$2,BS_RE33!$N$7:$N$874,I7,BS_RE33!$P$7:$P$874,'30 days CF Table(AUD)'!G7,BS_RE33!$F$7:$F$874,'30 days CF Table(AUD)'!$C$2)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Table(AUD)'!G8,BS_RE33!$F$7:$F$874,'30 days CF Table(AUD)'!$C$2)</f>
        <v>0</v>
      </c>
      <c r="M8" s="337">
        <f>SUMIFS(BS_RE33!$H$7:$H$874,BS_RE33!$S$7:$S$874,$M$2,BS_RE33!$N$7:$N$874,I8,BS_RE33!$P$7:$P$874,'30 days CF Table(AUD)'!G8,BS_RE33!$F$7:$F$874,'30 days CF Table(AUD)'!$C$2)</f>
        <v>0</v>
      </c>
      <c r="N8" s="337">
        <f>SUMIFS(BS_RE33!$H$7:$H$874,BS_RE33!$S$7:$S$874,$N$2,BS_RE33!$N$7:$N$874,I8,BS_RE33!$P$7:$P$874,'30 days CF Table(AUD)'!G8,BS_RE33!$F$7:$F$874,'30 days CF Table(AUD)'!$C$2)</f>
        <v>0</v>
      </c>
      <c r="O8" s="337">
        <f>SUMIFS(BS_RE33!$H$7:$H$874,BS_RE33!$S$7:$S$874,$O$2,BS_RE33!$N$7:$N$874,I8,BS_RE33!$P$7:$P$874,'30 days CF Table(AUD)'!G8,BS_RE33!$F$7:$F$874,'30 days CF Table(AUD)'!$C$2)</f>
        <v>0</v>
      </c>
      <c r="P8" s="337">
        <f>SUMIFS(BS_RE33!$H$7:$H$874,BS_RE33!$S$7:$S$874,$P$2,BS_RE33!$N$7:$N$874,I8,BS_RE33!$P$7:$P$874,'30 days CF Table(AUD)'!G8,BS_RE33!$F$7:$F$874,'30 days CF Table(AUD)'!$C$2)</f>
        <v>0</v>
      </c>
      <c r="Q8" s="337">
        <f>SUMIFS(BS_RE33!$H$7:$H$874,BS_RE33!$S$7:$S$874,$Q$2,BS_RE33!$N$7:$N$874,I8,BS_RE33!$P$7:$P$874,'30 days CF Table(AUD)'!G8,BS_RE33!$F$7:$F$874,'30 days CF Table(AUD)'!$C$2)</f>
        <v>0</v>
      </c>
      <c r="R8" s="337">
        <f>SUMIFS(BS_RE33!$H$7:$H$874,BS_RE33!$S$7:$S$874,$R$2,BS_RE33!$N$7:$N$874,I8,BS_RE33!$P$7:$P$874,'30 days CF Table(AUD)'!G8,BS_RE33!$F$7:$F$874,'30 days CF Table(AUD)'!$C$2)</f>
        <v>0</v>
      </c>
      <c r="S8" s="337">
        <f>SUMIFS(BS_RE33!$H$7:$H$874,BS_RE33!$S$7:$S$874,$S$2,BS_RE33!$N$7:$N$874,I8,BS_RE33!$P$7:$P$874,'30 days CF Table(AUD)'!G8,BS_RE33!$F$7:$F$874,'30 days CF Table(AUD)'!$C$2)</f>
        <v>0</v>
      </c>
      <c r="T8" s="337">
        <f>SUMIFS(BS_RE33!$H$7:$H$874,BS_RE33!$S$7:$S$874,$T$2,BS_RE33!$N$7:$N$874,I8,BS_RE33!$P$7:$P$874,'30 days CF Table(AUD)'!G8,BS_RE33!$F$7:$F$874,'30 days CF Table(AUD)'!$C$2)</f>
        <v>0</v>
      </c>
      <c r="U8" s="337">
        <f>SUMIFS(BS_RE33!$H$7:$H$874,BS_RE33!$S$7:$S$874,$U$2,BS_RE33!$N$7:$N$874,I8,BS_RE33!$P$7:$P$874,'30 days CF Table(AUD)'!G8,BS_RE33!$F$7:$F$874,'30 days CF Table(AUD)'!$C$2)</f>
        <v>0</v>
      </c>
      <c r="V8" s="337">
        <f>SUMIFS(BS_RE33!$H$7:$H$874,BS_RE33!$S$7:$S$874,$V$2,BS_RE33!$N$7:$N$874,I8,BS_RE33!$P$7:$P$874,'30 days CF Table(AUD)'!G8,BS_RE33!$F$7:$F$874,'30 days CF Table(AUD)'!$C$2)</f>
        <v>0</v>
      </c>
      <c r="W8" s="337">
        <f>SUMIFS(BS_RE33!$H$7:$H$874,BS_RE33!$S$7:$S$874,$W$2,BS_RE33!$N$7:$N$874,I8,BS_RE33!$P$7:$P$874,'30 days CF Table(AUD)'!G8,BS_RE33!$F$7:$F$874,'30 days CF Table(AUD)'!$C$2)</f>
        <v>0</v>
      </c>
      <c r="X8" s="337">
        <f>SUMIFS(BS_RE33!$H$7:$H$874,BS_RE33!$S$7:$S$874,$X$2,BS_RE33!$N$7:$N$874,I8,BS_RE33!$P$7:$P$874,'30 days CF Table(AUD)'!G8,BS_RE33!$F$7:$F$874,'30 days CF Table(AUD)'!$C$2)</f>
        <v>0</v>
      </c>
      <c r="Y8" s="337">
        <f>SUMIFS(BS_RE33!$H$7:$H$874,BS_RE33!$S$7:$S$874,$Y$2,BS_RE33!$N$7:$N$874,I8,BS_RE33!$P$7:$P$874,'30 days CF Table(AUD)'!G8,BS_RE33!$F$7:$F$874,'30 days CF Table(AUD)'!$C$2)</f>
        <v>0</v>
      </c>
      <c r="Z8" s="337">
        <f>SUMIFS(BS_RE33!$H$7:$H$874,BS_RE33!$S$7:$S$874,$Z$2,BS_RE33!$N$7:$N$874,I8,BS_RE33!$P$7:$P$874,'30 days CF Table(AUD)'!G8,BS_RE33!$F$7:$F$874,'30 days CF Table(AUD)'!$C$2)</f>
        <v>0</v>
      </c>
      <c r="AA8" s="337">
        <f>SUMIFS(BS_RE33!$H$7:$H$874,BS_RE33!$S$7:$S$874,$AA$2,BS_RE33!$N$7:$N$874,I8,BS_RE33!$P$7:$P$874,'30 days CF Table(AUD)'!G8,BS_RE33!$F$7:$F$874,'30 days CF Table(AUD)'!$C$2)</f>
        <v>0</v>
      </c>
      <c r="AB8" s="337">
        <f>SUMIFS(BS_RE33!$H$7:$H$874,BS_RE33!$S$7:$S$874,$AB$2,BS_RE33!$N$7:$N$874,I8,BS_RE33!$P$7:$P$874,'30 days CF Table(AUD)'!G8,BS_RE33!$F$7:$F$874,'30 days CF Table(AUD)'!$C$2)</f>
        <v>0</v>
      </c>
      <c r="AC8" s="337">
        <f>SUMIFS(BS_RE33!$H$7:$H$874,BS_RE33!$S$7:$S$874,$AC$2,BS_RE33!$N$7:$N$874,I8,BS_RE33!$P$7:$P$874,'30 days CF Table(AUD)'!G8,BS_RE33!$F$7:$F$874,'30 days CF Table(AUD)'!$C$2)</f>
        <v>0</v>
      </c>
      <c r="AD8" s="337">
        <f>SUMIFS(BS_RE33!$H$7:$H$874,BS_RE33!$S$7:$S$874,$AD$2,BS_RE33!$N$7:$N$874,I8,BS_RE33!$P$7:$P$874,'30 days CF Table(AUD)'!G8,BS_RE33!$F$7:$F$874,'30 days CF Table(AUD)'!$C$2)</f>
        <v>0</v>
      </c>
      <c r="AE8" s="337">
        <f>SUMIFS(BS_RE33!$H$7:$H$874,BS_RE33!$S$7:$S$874,$AE$2,BS_RE33!$N$7:$N$874,I8,BS_RE33!$P$7:$P$874,'30 days CF Table(AUD)'!G8,BS_RE33!$F$7:$F$874,'30 days CF Table(AUD)'!$C$2)</f>
        <v>0</v>
      </c>
      <c r="AF8" s="337">
        <f>SUMIFS(BS_RE33!$H$7:$H$874,BS_RE33!$S$7:$S$874,$AF$2,BS_RE33!$N$7:$N$874,I8,BS_RE33!$P$7:$P$874,'30 days CF Table(AUD)'!G8,BS_RE33!$F$7:$F$874,'30 days CF Table(AUD)'!$C$2)</f>
        <v>0</v>
      </c>
      <c r="AG8" s="337">
        <f>SUMIFS(BS_RE33!$H$7:$H$874,BS_RE33!$S$7:$S$874,$AG$2,BS_RE33!$N$7:$N$874,I8,BS_RE33!$P$7:$P$874,'30 days CF Table(AUD)'!G8,BS_RE33!$F$7:$F$874,'30 days CF Table(AUD)'!$C$2)</f>
        <v>0</v>
      </c>
      <c r="AH8" s="337">
        <f>SUMIFS(BS_RE33!$H$7:$H$874,BS_RE33!$S$7:$S$874,$AH$2,BS_RE33!$N$7:$N$874,I8,BS_RE33!$P$7:$P$874,'30 days CF Table(AUD)'!G8,BS_RE33!$F$7:$F$874,'30 days CF Table(AUD)'!$C$2)</f>
        <v>0</v>
      </c>
      <c r="AI8" s="337">
        <f>SUMIFS(BS_RE33!$H$7:$H$874,BS_RE33!$S$7:$S$874,$AI$2,BS_RE33!$N$7:$N$874,I8,BS_RE33!$P$7:$P$874,'30 days CF Table(AUD)'!G8,BS_RE33!$F$7:$F$874,'30 days CF Table(AUD)'!$C$2)</f>
        <v>0</v>
      </c>
      <c r="AJ8" s="337">
        <f>SUMIFS(BS_RE33!$H$7:$H$874,BS_RE33!$S$7:$S$874,$AJ$2,BS_RE33!$N$7:$N$874,I8,BS_RE33!$P$7:$P$874,'30 days CF Table(AUD)'!G8,BS_RE33!$F$7:$F$874,'30 days CF Table(AUD)'!$C$2)</f>
        <v>0</v>
      </c>
      <c r="AK8" s="337">
        <f>SUMIFS(BS_RE33!$H$7:$H$874,BS_RE33!$S$7:$S$874,$AK$2,BS_RE33!$N$7:$N$874,I8,BS_RE33!$P$7:$P$874,'30 days CF Table(AUD)'!G8,BS_RE33!$F$7:$F$874,'30 days CF Table(AUD)'!$C$2)</f>
        <v>0</v>
      </c>
      <c r="AL8" s="337">
        <f>SUMIFS(BS_RE33!$H$7:$H$874,BS_RE33!$S$7:$S$874,$AL$2,BS_RE33!$N$7:$N$874,I8,BS_RE33!$P$7:$P$874,'30 days CF Table(AUD)'!G8,BS_RE33!$F$7:$F$874,'30 days CF Table(AUD)'!$C$2)</f>
        <v>0</v>
      </c>
      <c r="AM8" s="337">
        <f>SUMIFS(BS_RE33!$H$7:$H$874,BS_RE33!$S$7:$S$874,$AM$2,BS_RE33!$N$7:$N$874,I8,BS_RE33!$P$7:$P$874,'30 days CF Table(AUD)'!G8,BS_RE33!$F$7:$F$874,'30 days CF Table(AUD)'!$C$2)</f>
        <v>0</v>
      </c>
      <c r="AN8" s="337">
        <f>SUMIFS(BS_RE33!$H$7:$H$874,BS_RE33!$S$7:$S$874,$AN$2,BS_RE33!$N$7:$N$874,I8,BS_RE33!$P$7:$P$874,'30 days CF Table(AUD)'!G8,BS_RE33!$F$7:$F$874,'30 days CF Table(AUD)'!$C$2)</f>
        <v>0</v>
      </c>
      <c r="AO8" s="337">
        <f>SUMIFS(BS_RE33!$H$7:$H$874,BS_RE33!$S$7:$S$874,$AO$2,BS_RE33!$N$7:$N$874,I8,BS_RE33!$P$7:$P$874,'30 days CF Table(AUD)'!G8,BS_RE33!$F$7:$F$874,'30 days CF Table(AUD)'!$C$2)</f>
        <v>0</v>
      </c>
      <c r="AP8" s="338">
        <f>SUMIFS(BS_RE33!$H$7:$H$874,BS_RE33!$S$7:$S$874,$AP$2,BS_RE33!$N$7:$N$874,I8,BS_RE33!$P$7:$P$874,'30 days CF Table(AUD)'!G8,BS_RE33!$F$7:$F$874,'30 days CF Table(AUD)'!$C$2)</f>
        <v>0</v>
      </c>
      <c r="AQ8" s="545"/>
      <c r="AR8" s="379">
        <f>SUMIFS(BS_RE33!$H$7:$H$874,BS_RE33!$S$7:$S$874,$AR$2,BS_RE33!$N$7:$N$874,I8,BS_RE33!$P$7:$P$874,'30 days CF Table(AUD)'!G8,BS_RE33!$F$7:$F$874,'30 days CF Table(AUD)'!$C$2)</f>
        <v>0</v>
      </c>
      <c r="AS8" s="379">
        <f>SUMIFS(BS_RE33!$H$7:$H$874,BS_RE33!$S$7:$S$874,$AS$2,BS_RE33!$N$7:$N$874,I8,BS_RE33!$P$7:$P$874,'30 days CF Table(AUD)'!G8,BS_RE33!$F$7:$F$874,'30 days CF Table(AUD)'!$C$2)</f>
        <v>0</v>
      </c>
      <c r="AT8" s="379">
        <f>SUMIFS(BS_RE33!$H$7:$H$874,BS_RE33!$S$7:$S$874,$AT$2,BS_RE33!$N$7:$N$874,I8,BS_RE33!$P$7:$P$874,'30 days CF Table(AUD)'!G8,BS_RE33!$F$7:$F$874,'30 days CF Table(AUD)'!$C$2)</f>
        <v>0</v>
      </c>
      <c r="AU8" s="379">
        <f>SUMIFS(BS_RE33!$H$7:$H$874,BS_RE33!$S$7:$S$874,$AU$2,BS_RE33!$N$7:$N$874,I8,BS_RE33!$P$7:$P$874,'30 days CF Table(AUD)'!G8,BS_RE33!$F$7:$F$874,'30 days CF Table(AUD)'!$C$2)</f>
        <v>0</v>
      </c>
      <c r="AV8" s="379">
        <f>SUMIFS(BS_RE33!$H$7:$H$874,BS_RE33!$S$7:$S$874,$AV$2,BS_RE33!$N$7:$N$874,I8,BS_RE33!$P$7:$P$874,'30 days CF Table(AUD)'!G8,BS_RE33!$F$7:$F$874,'30 days CF Table(AUD)'!$C$2)</f>
        <v>0</v>
      </c>
      <c r="AW8" s="379">
        <f>SUMIFS(BS_RE33!$H$7:$H$874,BS_RE33!$S$7:$S$874,$AW$2,BS_RE33!$N$7:$N$874,I8,BS_RE33!$P$7:$P$874,'30 days CF Table(AUD)'!G8,BS_RE33!$F$7:$F$874,'30 days CF Table(AUD)'!$C$2)</f>
        <v>0</v>
      </c>
      <c r="AX8" s="379">
        <f>SUMIFS(BS_RE33!$H$7:$H$874,BS_RE33!$S$7:$S$874,$AX$2,BS_RE33!$N$7:$N$874,I8,BS_RE33!$P$7:$P$874,'30 days CF Table(AUD)'!G8,BS_RE33!$F$7:$F$874,'30 days CF Table(AUD)'!$C$2)</f>
        <v>0</v>
      </c>
      <c r="AY8" s="379">
        <f>SUMIFS(BS_RE33!$H$7:$H$874,BS_RE33!$S$7:$S$874,$AY$2,BS_RE33!$N$7:$N$874,I8,BS_RE33!$P$7:$P$874,'30 days CF Table(AUD)'!G8,BS_RE33!$F$7:$F$874,'30 days CF Table(AUD)'!$C$2)</f>
        <v>0</v>
      </c>
      <c r="AZ8" s="379">
        <f>SUMIFS(BS_RE33!$H$7:$H$874,BS_RE33!$S$7:$S$874,$AZ$2,BS_RE33!$N$7:$N$874,I8,BS_RE33!$P$7:$P$874,'30 days CF Table(AUD)'!G8,BS_RE33!$F$7:$F$874,'30 days CF Table(AUD)'!$C$2)</f>
        <v>0</v>
      </c>
      <c r="BA8" s="379">
        <f>SUMIFS(BS_RE33!$H$7:$H$874,BS_RE33!$S$7:$S$874,$BA$2,BS_RE33!$N$7:$N$874,I8,BS_RE33!$P$7:$P$874,'30 days CF Table(AUD)'!G8,BS_RE33!$F$7:$F$874,'30 days CF Table(AUD)'!$C$2)</f>
        <v>0</v>
      </c>
      <c r="BB8" s="379">
        <f>SUMIFS(BS_RE33!$H$7:$H$874,BS_RE33!$S$7:$S$874,$BB$2,BS_RE33!$N$7:$N$874,I8,BS_RE33!$P$7:$P$874,'30 days CF Table(AUD)'!G8,BS_RE33!$F$7:$F$874,'30 days CF Table(AUD)'!$C$2)</f>
        <v>0</v>
      </c>
      <c r="BC8" s="379">
        <f>SUMIFS(BS_RE33!$H$7:$H$874,BS_RE33!$S$7:$S$874,$BC$2,BS_RE33!$N$7:$N$874,I8,BS_RE33!$P$7:$P$874,'30 days CF Table(AUD)'!G8,BS_RE33!$F$7:$F$874,'30 days CF Table(AUD)'!$C$2)</f>
        <v>0</v>
      </c>
      <c r="BD8" s="379">
        <f>SUMIFS(BS_RE33!$H$7:$H$874,BS_RE33!$S$7:$S$874,$BD$2,BS_RE33!$N$7:$N$874,I8,BS_RE33!$P$7:$P$874,'30 days CF Table(AUD)'!G8,BS_RE33!$F$7:$F$874,'30 days CF Table(AUD)'!$C$2)</f>
        <v>0</v>
      </c>
      <c r="BE8" s="379">
        <f>SUMIFS(BS_RE33!$H$7:$H$874,BS_RE33!$S$7:$S$874,$BE$2,BS_RE33!$N$7:$N$874,I8,BS_RE33!$P$7:$P$874,'30 days CF Table(AUD)'!G8,BS_RE33!$F$7:$F$874,'30 days CF Table(AUD)'!$C$2)</f>
        <v>0</v>
      </c>
      <c r="BF8" s="379">
        <f>SUMIFS(BS_RE33!$H$7:$H$874,BS_RE33!$S$7:$S$874,$BF$2,BS_RE33!$N$7:$N$874,I8,BS_RE33!$P$7:$P$874,'30 days CF Table(AUD)'!G8,BS_RE33!$F$7:$F$874,'30 days CF Table(AUD)'!$C$2)</f>
        <v>0</v>
      </c>
      <c r="BG8" s="379">
        <f>SUMIFS(BS_RE33!$H$7:$H$874,BS_RE33!$S$7:$S$874,$BG$2,BS_RE33!$N$7:$N$874,I8,BS_RE33!$P$7:$P$874,'30 days CF Table(AUD)'!G8,BS_RE33!$F$7:$F$874,'30 days CF Table(AUD)'!$C$2)</f>
        <v>0</v>
      </c>
      <c r="BH8" s="379">
        <f>SUMIFS(BS_RE33!$H$7:$H$874,BS_RE33!$S$7:$S$874,$BH$2,BS_RE33!$N$7:$N$874,I8,BS_RE33!$P$7:$P$874,'30 days CF Table(AUD)'!G8,BS_RE33!$F$7:$F$874,'30 days CF Table(AUD)'!$C$2)</f>
        <v>0</v>
      </c>
      <c r="BI8" s="379">
        <f>SUMIFS(BS_RE33!$H$7:$H$874,BS_RE33!$S$7:$S$874,$BI$2,BS_RE33!$N$7:$N$874,I8,BS_RE33!$P$7:$P$874,'30 days CF Table(AUD)'!G8,BS_RE33!$F$7:$F$874,'30 days CF Table(AUD)'!$C$2)</f>
        <v>0</v>
      </c>
      <c r="BJ8" s="379">
        <f>SUMIFS(BS_RE33!$H$7:$H$874,BS_RE33!$S$7:$S$874,$BJ$2,BS_RE33!$N$7:$N$874,I8,BS_RE33!$P$7:$P$874,'30 days CF Table(AUD)'!G8,BS_RE33!$F$7:$F$874,'30 days CF Table(AUD)'!$C$2)</f>
        <v>0</v>
      </c>
      <c r="BK8" s="379">
        <f>SUMIFS(BS_RE33!$H$7:$H$874,BS_RE33!$S$7:$S$874,$BK$2,BS_RE33!$N$7:$N$874,I8,BS_RE33!$P$7:$P$874,'30 days CF Table(AUD)'!G8,BS_RE33!$F$7:$F$874,'30 days CF Table(AUD)'!$C$2)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Table(AUD)'!G9,BS_RE33!$F$7:$F$874,'30 days CF Table(AUD)'!$C$2)</f>
        <v>0</v>
      </c>
      <c r="M9" s="337">
        <f>SUMIFS(BS_RE33!$H$7:$H$874,BS_RE33!$S$7:$S$874,$M$2,BS_RE33!$N$7:$N$874,I9,BS_RE33!$P$7:$P$874,'30 days CF Table(AUD)'!G9,BS_RE33!$F$7:$F$874,'30 days CF Table(AUD)'!$C$2)</f>
        <v>0</v>
      </c>
      <c r="N9" s="337">
        <f>SUMIFS(BS_RE33!$H$7:$H$874,BS_RE33!$S$7:$S$874,$N$2,BS_RE33!$N$7:$N$874,I9,BS_RE33!$P$7:$P$874,'30 days CF Table(AUD)'!G9,BS_RE33!$F$7:$F$874,'30 days CF Table(AUD)'!$C$2)</f>
        <v>0</v>
      </c>
      <c r="O9" s="337">
        <f>SUMIFS(BS_RE33!$H$7:$H$874,BS_RE33!$S$7:$S$874,$O$2,BS_RE33!$N$7:$N$874,I9,BS_RE33!$P$7:$P$874,'30 days CF Table(AUD)'!G9,BS_RE33!$F$7:$F$874,'30 days CF Table(AUD)'!$C$2)</f>
        <v>0</v>
      </c>
      <c r="P9" s="337">
        <f>SUMIFS(BS_RE33!$H$7:$H$874,BS_RE33!$S$7:$S$874,$P$2,BS_RE33!$N$7:$N$874,I9,BS_RE33!$P$7:$P$874,'30 days CF Table(AUD)'!G9,BS_RE33!$F$7:$F$874,'30 days CF Table(AUD)'!$C$2)</f>
        <v>0</v>
      </c>
      <c r="Q9" s="337">
        <f>SUMIFS(BS_RE33!$H$7:$H$874,BS_RE33!$S$7:$S$874,$Q$2,BS_RE33!$N$7:$N$874,I9,BS_RE33!$P$7:$P$874,'30 days CF Table(AUD)'!G9,BS_RE33!$F$7:$F$874,'30 days CF Table(AUD)'!$C$2)</f>
        <v>0</v>
      </c>
      <c r="R9" s="337">
        <f>SUMIFS(BS_RE33!$H$7:$H$874,BS_RE33!$S$7:$S$874,$R$2,BS_RE33!$N$7:$N$874,I9,BS_RE33!$P$7:$P$874,'30 days CF Table(AUD)'!G9,BS_RE33!$F$7:$F$874,'30 days CF Table(AUD)'!$C$2)</f>
        <v>0</v>
      </c>
      <c r="S9" s="337">
        <f>SUMIFS(BS_RE33!$H$7:$H$874,BS_RE33!$S$7:$S$874,$S$2,BS_RE33!$N$7:$N$874,I9,BS_RE33!$P$7:$P$874,'30 days CF Table(AUD)'!G9,BS_RE33!$F$7:$F$874,'30 days CF Table(AUD)'!$C$2)</f>
        <v>0</v>
      </c>
      <c r="T9" s="337">
        <f>SUMIFS(BS_RE33!$H$7:$H$874,BS_RE33!$S$7:$S$874,$T$2,BS_RE33!$N$7:$N$874,I9,BS_RE33!$P$7:$P$874,'30 days CF Table(AUD)'!G9,BS_RE33!$F$7:$F$874,'30 days CF Table(AUD)'!$C$2)</f>
        <v>0</v>
      </c>
      <c r="U9" s="337">
        <f>SUMIFS(BS_RE33!$H$7:$H$874,BS_RE33!$S$7:$S$874,$U$2,BS_RE33!$N$7:$N$874,I9,BS_RE33!$P$7:$P$874,'30 days CF Table(AUD)'!G9,BS_RE33!$F$7:$F$874,'30 days CF Table(AUD)'!$C$2)</f>
        <v>0</v>
      </c>
      <c r="V9" s="337">
        <f>SUMIFS(BS_RE33!$H$7:$H$874,BS_RE33!$S$7:$S$874,$V$2,BS_RE33!$N$7:$N$874,I9,BS_RE33!$P$7:$P$874,'30 days CF Table(AUD)'!G9,BS_RE33!$F$7:$F$874,'30 days CF Table(AUD)'!$C$2)</f>
        <v>0</v>
      </c>
      <c r="W9" s="337">
        <f>SUMIFS(BS_RE33!$H$7:$H$874,BS_RE33!$S$7:$S$874,$W$2,BS_RE33!$N$7:$N$874,I9,BS_RE33!$P$7:$P$874,'30 days CF Table(AUD)'!G9,BS_RE33!$F$7:$F$874,'30 days CF Table(AUD)'!$C$2)</f>
        <v>0</v>
      </c>
      <c r="X9" s="337">
        <f>SUMIFS(BS_RE33!$H$7:$H$874,BS_RE33!$S$7:$S$874,$X$2,BS_RE33!$N$7:$N$874,I9,BS_RE33!$P$7:$P$874,'30 days CF Table(AUD)'!G9,BS_RE33!$F$7:$F$874,'30 days CF Table(AUD)'!$C$2)</f>
        <v>0</v>
      </c>
      <c r="Y9" s="337">
        <f>SUMIFS(BS_RE33!$H$7:$H$874,BS_RE33!$S$7:$S$874,$Y$2,BS_RE33!$N$7:$N$874,I9,BS_RE33!$P$7:$P$874,'30 days CF Table(AUD)'!G9,BS_RE33!$F$7:$F$874,'30 days CF Table(AUD)'!$C$2)</f>
        <v>0</v>
      </c>
      <c r="Z9" s="337">
        <f>SUMIFS(BS_RE33!$H$7:$H$874,BS_RE33!$S$7:$S$874,$Z$2,BS_RE33!$N$7:$N$874,I9,BS_RE33!$P$7:$P$874,'30 days CF Table(AUD)'!G9,BS_RE33!$F$7:$F$874,'30 days CF Table(AUD)'!$C$2)</f>
        <v>0</v>
      </c>
      <c r="AA9" s="337">
        <f>SUMIFS(BS_RE33!$H$7:$H$874,BS_RE33!$S$7:$S$874,$AA$2,BS_RE33!$N$7:$N$874,I9,BS_RE33!$P$7:$P$874,'30 days CF Table(AUD)'!G9,BS_RE33!$F$7:$F$874,'30 days CF Table(AUD)'!$C$2)</f>
        <v>0</v>
      </c>
      <c r="AB9" s="337">
        <f>SUMIFS(BS_RE33!$H$7:$H$874,BS_RE33!$S$7:$S$874,$AB$2,BS_RE33!$N$7:$N$874,I9,BS_RE33!$P$7:$P$874,'30 days CF Table(AUD)'!G9,BS_RE33!$F$7:$F$874,'30 days CF Table(AUD)'!$C$2)</f>
        <v>0</v>
      </c>
      <c r="AC9" s="337">
        <f>SUMIFS(BS_RE33!$H$7:$H$874,BS_RE33!$S$7:$S$874,$AC$2,BS_RE33!$N$7:$N$874,I9,BS_RE33!$P$7:$P$874,'30 days CF Table(AUD)'!G9,BS_RE33!$F$7:$F$874,'30 days CF Table(AUD)'!$C$2)</f>
        <v>0</v>
      </c>
      <c r="AD9" s="337">
        <f>SUMIFS(BS_RE33!$H$7:$H$874,BS_RE33!$S$7:$S$874,$AD$2,BS_RE33!$N$7:$N$874,I9,BS_RE33!$P$7:$P$874,'30 days CF Table(AUD)'!G9,BS_RE33!$F$7:$F$874,'30 days CF Table(AUD)'!$C$2)</f>
        <v>0</v>
      </c>
      <c r="AE9" s="337">
        <f>SUMIFS(BS_RE33!$H$7:$H$874,BS_RE33!$S$7:$S$874,$AE$2,BS_RE33!$N$7:$N$874,I9,BS_RE33!$P$7:$P$874,'30 days CF Table(AUD)'!G9,BS_RE33!$F$7:$F$874,'30 days CF Table(AUD)'!$C$2)</f>
        <v>0</v>
      </c>
      <c r="AF9" s="337">
        <f>SUMIFS(BS_RE33!$H$7:$H$874,BS_RE33!$S$7:$S$874,$AF$2,BS_RE33!$N$7:$N$874,I9,BS_RE33!$P$7:$P$874,'30 days CF Table(AUD)'!G9,BS_RE33!$F$7:$F$874,'30 days CF Table(AUD)'!$C$2)</f>
        <v>0</v>
      </c>
      <c r="AG9" s="337">
        <f>SUMIFS(BS_RE33!$H$7:$H$874,BS_RE33!$S$7:$S$874,$AG$2,BS_RE33!$N$7:$N$874,I9,BS_RE33!$P$7:$P$874,'30 days CF Table(AUD)'!G9,BS_RE33!$F$7:$F$874,'30 days CF Table(AUD)'!$C$2)</f>
        <v>0</v>
      </c>
      <c r="AH9" s="337">
        <f>SUMIFS(BS_RE33!$H$7:$H$874,BS_RE33!$S$7:$S$874,$AH$2,BS_RE33!$N$7:$N$874,I9,BS_RE33!$P$7:$P$874,'30 days CF Table(AUD)'!G9,BS_RE33!$F$7:$F$874,'30 days CF Table(AUD)'!$C$2)</f>
        <v>0</v>
      </c>
      <c r="AI9" s="337">
        <f>SUMIFS(BS_RE33!$H$7:$H$874,BS_RE33!$S$7:$S$874,$AI$2,BS_RE33!$N$7:$N$874,I9,BS_RE33!$P$7:$P$874,'30 days CF Table(AUD)'!G9,BS_RE33!$F$7:$F$874,'30 days CF Table(AUD)'!$C$2)</f>
        <v>0</v>
      </c>
      <c r="AJ9" s="337">
        <f>SUMIFS(BS_RE33!$H$7:$H$874,BS_RE33!$S$7:$S$874,$AJ$2,BS_RE33!$N$7:$N$874,I9,BS_RE33!$P$7:$P$874,'30 days CF Table(AUD)'!G9,BS_RE33!$F$7:$F$874,'30 days CF Table(AUD)'!$C$2)</f>
        <v>0</v>
      </c>
      <c r="AK9" s="337">
        <f>SUMIFS(BS_RE33!$H$7:$H$874,BS_RE33!$S$7:$S$874,$AK$2,BS_RE33!$N$7:$N$874,I9,BS_RE33!$P$7:$P$874,'30 days CF Table(AUD)'!G9,BS_RE33!$F$7:$F$874,'30 days CF Table(AUD)'!$C$2)</f>
        <v>0</v>
      </c>
      <c r="AL9" s="337">
        <f>SUMIFS(BS_RE33!$H$7:$H$874,BS_RE33!$S$7:$S$874,$AL$2,BS_RE33!$N$7:$N$874,I9,BS_RE33!$P$7:$P$874,'30 days CF Table(AUD)'!G9,BS_RE33!$F$7:$F$874,'30 days CF Table(AUD)'!$C$2)</f>
        <v>0</v>
      </c>
      <c r="AM9" s="337">
        <f>SUMIFS(BS_RE33!$H$7:$H$874,BS_RE33!$S$7:$S$874,$AM$2,BS_RE33!$N$7:$N$874,I9,BS_RE33!$P$7:$P$874,'30 days CF Table(AUD)'!G9,BS_RE33!$F$7:$F$874,'30 days CF Table(AUD)'!$C$2)</f>
        <v>0</v>
      </c>
      <c r="AN9" s="337">
        <f>SUMIFS(BS_RE33!$H$7:$H$874,BS_RE33!$S$7:$S$874,$AN$2,BS_RE33!$N$7:$N$874,I9,BS_RE33!$P$7:$P$874,'30 days CF Table(AUD)'!G9,BS_RE33!$F$7:$F$874,'30 days CF Table(AUD)'!$C$2)</f>
        <v>0</v>
      </c>
      <c r="AO9" s="337">
        <f>SUMIFS(BS_RE33!$H$7:$H$874,BS_RE33!$S$7:$S$874,$AO$2,BS_RE33!$N$7:$N$874,I9,BS_RE33!$P$7:$P$874,'30 days CF Table(AUD)'!G9,BS_RE33!$F$7:$F$874,'30 days CF Table(AUD)'!$C$2)</f>
        <v>0</v>
      </c>
      <c r="AP9" s="338">
        <f>SUMIFS(BS_RE33!$H$7:$H$874,BS_RE33!$S$7:$S$874,$AP$2,BS_RE33!$N$7:$N$874,I9,BS_RE33!$P$7:$P$874,'30 days CF Table(AUD)'!G9,BS_RE33!$F$7:$F$874,'30 days CF Table(AUD)'!$C$2)</f>
        <v>0</v>
      </c>
      <c r="AQ9" s="545"/>
      <c r="AR9" s="379">
        <f>SUMIFS(BS_RE33!$H$7:$H$874,BS_RE33!$S$7:$S$874,$AR$2,BS_RE33!$N$7:$N$874,I9,BS_RE33!$P$7:$P$874,'30 days CF Table(AUD)'!G9,BS_RE33!$F$7:$F$874,'30 days CF Table(AUD)'!$C$2)</f>
        <v>0</v>
      </c>
      <c r="AS9" s="379">
        <f>SUMIFS(BS_RE33!$H$7:$H$874,BS_RE33!$S$7:$S$874,$AS$2,BS_RE33!$N$7:$N$874,I9,BS_RE33!$P$7:$P$874,'30 days CF Table(AUD)'!G9,BS_RE33!$F$7:$F$874,'30 days CF Table(AUD)'!$C$2)</f>
        <v>0</v>
      </c>
      <c r="AT9" s="379">
        <f>SUMIFS(BS_RE33!$H$7:$H$874,BS_RE33!$S$7:$S$874,$AT$2,BS_RE33!$N$7:$N$874,I9,BS_RE33!$P$7:$P$874,'30 days CF Table(AUD)'!G9,BS_RE33!$F$7:$F$874,'30 days CF Table(AUD)'!$C$2)</f>
        <v>0</v>
      </c>
      <c r="AU9" s="379">
        <f>SUMIFS(BS_RE33!$H$7:$H$874,BS_RE33!$S$7:$S$874,$AU$2,BS_RE33!$N$7:$N$874,I9,BS_RE33!$P$7:$P$874,'30 days CF Table(AUD)'!G9,BS_RE33!$F$7:$F$874,'30 days CF Table(AUD)'!$C$2)</f>
        <v>0</v>
      </c>
      <c r="AV9" s="379">
        <f>SUMIFS(BS_RE33!$H$7:$H$874,BS_RE33!$S$7:$S$874,$AV$2,BS_RE33!$N$7:$N$874,I9,BS_RE33!$P$7:$P$874,'30 days CF Table(AUD)'!G9,BS_RE33!$F$7:$F$874,'30 days CF Table(AUD)'!$C$2)</f>
        <v>0</v>
      </c>
      <c r="AW9" s="379">
        <f>SUMIFS(BS_RE33!$H$7:$H$874,BS_RE33!$S$7:$S$874,$AW$2,BS_RE33!$N$7:$N$874,I9,BS_RE33!$P$7:$P$874,'30 days CF Table(AUD)'!G9,BS_RE33!$F$7:$F$874,'30 days CF Table(AUD)'!$C$2)</f>
        <v>0</v>
      </c>
      <c r="AX9" s="379">
        <f>SUMIFS(BS_RE33!$H$7:$H$874,BS_RE33!$S$7:$S$874,$AX$2,BS_RE33!$N$7:$N$874,I9,BS_RE33!$P$7:$P$874,'30 days CF Table(AUD)'!G9,BS_RE33!$F$7:$F$874,'30 days CF Table(AUD)'!$C$2)</f>
        <v>0</v>
      </c>
      <c r="AY9" s="379">
        <f>SUMIFS(BS_RE33!$H$7:$H$874,BS_RE33!$S$7:$S$874,$AY$2,BS_RE33!$N$7:$N$874,I9,BS_RE33!$P$7:$P$874,'30 days CF Table(AUD)'!G9,BS_RE33!$F$7:$F$874,'30 days CF Table(AUD)'!$C$2)</f>
        <v>0</v>
      </c>
      <c r="AZ9" s="379">
        <f>SUMIFS(BS_RE33!$H$7:$H$874,BS_RE33!$S$7:$S$874,$AZ$2,BS_RE33!$N$7:$N$874,I9,BS_RE33!$P$7:$P$874,'30 days CF Table(AUD)'!G9,BS_RE33!$F$7:$F$874,'30 days CF Table(AUD)'!$C$2)</f>
        <v>0</v>
      </c>
      <c r="BA9" s="379">
        <f>SUMIFS(BS_RE33!$H$7:$H$874,BS_RE33!$S$7:$S$874,$BA$2,BS_RE33!$N$7:$N$874,I9,BS_RE33!$P$7:$P$874,'30 days CF Table(AUD)'!G9,BS_RE33!$F$7:$F$874,'30 days CF Table(AUD)'!$C$2)</f>
        <v>0</v>
      </c>
      <c r="BB9" s="379">
        <f>SUMIFS(BS_RE33!$H$7:$H$874,BS_RE33!$S$7:$S$874,$BB$2,BS_RE33!$N$7:$N$874,I9,BS_RE33!$P$7:$P$874,'30 days CF Table(AUD)'!G9,BS_RE33!$F$7:$F$874,'30 days CF Table(AUD)'!$C$2)</f>
        <v>0</v>
      </c>
      <c r="BC9" s="379">
        <f>SUMIFS(BS_RE33!$H$7:$H$874,BS_RE33!$S$7:$S$874,$BC$2,BS_RE33!$N$7:$N$874,I9,BS_RE33!$P$7:$P$874,'30 days CF Table(AUD)'!G9,BS_RE33!$F$7:$F$874,'30 days CF Table(AUD)'!$C$2)</f>
        <v>0</v>
      </c>
      <c r="BD9" s="379">
        <f>SUMIFS(BS_RE33!$H$7:$H$874,BS_RE33!$S$7:$S$874,$BD$2,BS_RE33!$N$7:$N$874,I9,BS_RE33!$P$7:$P$874,'30 days CF Table(AUD)'!G9,BS_RE33!$F$7:$F$874,'30 days CF Table(AUD)'!$C$2)</f>
        <v>0</v>
      </c>
      <c r="BE9" s="379">
        <f>SUMIFS(BS_RE33!$H$7:$H$874,BS_RE33!$S$7:$S$874,$BE$2,BS_RE33!$N$7:$N$874,I9,BS_RE33!$P$7:$P$874,'30 days CF Table(AUD)'!G9,BS_RE33!$F$7:$F$874,'30 days CF Table(AUD)'!$C$2)</f>
        <v>0</v>
      </c>
      <c r="BF9" s="379">
        <f>SUMIFS(BS_RE33!$H$7:$H$874,BS_RE33!$S$7:$S$874,$BF$2,BS_RE33!$N$7:$N$874,I9,BS_RE33!$P$7:$P$874,'30 days CF Table(AUD)'!G9,BS_RE33!$F$7:$F$874,'30 days CF Table(AUD)'!$C$2)</f>
        <v>0</v>
      </c>
      <c r="BG9" s="379">
        <f>SUMIFS(BS_RE33!$H$7:$H$874,BS_RE33!$S$7:$S$874,$BG$2,BS_RE33!$N$7:$N$874,I9,BS_RE33!$P$7:$P$874,'30 days CF Table(AUD)'!G9,BS_RE33!$F$7:$F$874,'30 days CF Table(AUD)'!$C$2)</f>
        <v>0</v>
      </c>
      <c r="BH9" s="379">
        <f>SUMIFS(BS_RE33!$H$7:$H$874,BS_RE33!$S$7:$S$874,$BH$2,BS_RE33!$N$7:$N$874,I9,BS_RE33!$P$7:$P$874,'30 days CF Table(AUD)'!G9,BS_RE33!$F$7:$F$874,'30 days CF Table(AUD)'!$C$2)</f>
        <v>0</v>
      </c>
      <c r="BI9" s="379">
        <f>SUMIFS(BS_RE33!$H$7:$H$874,BS_RE33!$S$7:$S$874,$BI$2,BS_RE33!$N$7:$N$874,I9,BS_RE33!$P$7:$P$874,'30 days CF Table(AUD)'!G9,BS_RE33!$F$7:$F$874,'30 days CF Table(AUD)'!$C$2)</f>
        <v>0</v>
      </c>
      <c r="BJ9" s="379">
        <f>SUMIFS(BS_RE33!$H$7:$H$874,BS_RE33!$S$7:$S$874,$BJ$2,BS_RE33!$N$7:$N$874,I9,BS_RE33!$P$7:$P$874,'30 days CF Table(AUD)'!G9,BS_RE33!$F$7:$F$874,'30 days CF Table(AUD)'!$C$2)</f>
        <v>0</v>
      </c>
      <c r="BK9" s="379">
        <f>SUMIFS(BS_RE33!$H$7:$H$874,BS_RE33!$S$7:$S$874,$BK$2,BS_RE33!$N$7:$N$874,I9,BS_RE33!$P$7:$P$874,'30 days CF Table(AUD)'!G9,BS_RE33!$F$7:$F$874,'30 days CF Table(AUD)'!$C$2)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Table(AUD)'!G10,BS_RE33!$F$7:$F$874,'30 days CF Table(AUD)'!$C$2)</f>
        <v>0</v>
      </c>
      <c r="M10" s="337">
        <f>SUMIFS(BS_RE33!$H$7:$H$874,BS_RE33!$S$7:$S$874,$M$2,BS_RE33!$N$7:$N$874,I10,BS_RE33!$P$7:$P$874,'30 days CF Table(AUD)'!G10,BS_RE33!$F$7:$F$874,'30 days CF Table(AUD)'!$C$2)</f>
        <v>0</v>
      </c>
      <c r="N10" s="337">
        <f>SUMIFS(BS_RE33!$H$7:$H$874,BS_RE33!$S$7:$S$874,$N$2,BS_RE33!$N$7:$N$874,I10,BS_RE33!$P$7:$P$874,'30 days CF Table(AUD)'!G10,BS_RE33!$F$7:$F$874,'30 days CF Table(AUD)'!$C$2)</f>
        <v>0</v>
      </c>
      <c r="O10" s="337">
        <f>SUMIFS(BS_RE33!$H$7:$H$874,BS_RE33!$S$7:$S$874,$O$2,BS_RE33!$N$7:$N$874,I10,BS_RE33!$P$7:$P$874,'30 days CF Table(AUD)'!G10,BS_RE33!$F$7:$F$874,'30 days CF Table(AUD)'!$C$2)</f>
        <v>0</v>
      </c>
      <c r="P10" s="337">
        <f>SUMIFS(BS_RE33!$H$7:$H$874,BS_RE33!$S$7:$S$874,$P$2,BS_RE33!$N$7:$N$874,I10,BS_RE33!$P$7:$P$874,'30 days CF Table(AUD)'!G10,BS_RE33!$F$7:$F$874,'30 days CF Table(AUD)'!$C$2)</f>
        <v>0</v>
      </c>
      <c r="Q10" s="337">
        <f>SUMIFS(BS_RE33!$H$7:$H$874,BS_RE33!$S$7:$S$874,$Q$2,BS_RE33!$N$7:$N$874,I10,BS_RE33!$P$7:$P$874,'30 days CF Table(AUD)'!G10,BS_RE33!$F$7:$F$874,'30 days CF Table(AUD)'!$C$2)</f>
        <v>0</v>
      </c>
      <c r="R10" s="337">
        <f>SUMIFS(BS_RE33!$H$7:$H$874,BS_RE33!$S$7:$S$874,$R$2,BS_RE33!$N$7:$N$874,I10,BS_RE33!$P$7:$P$874,'30 days CF Table(AUD)'!G10,BS_RE33!$F$7:$F$874,'30 days CF Table(AUD)'!$C$2)</f>
        <v>0</v>
      </c>
      <c r="S10" s="337">
        <f>SUMIFS(BS_RE33!$H$7:$H$874,BS_RE33!$S$7:$S$874,$S$2,BS_RE33!$N$7:$N$874,I10,BS_RE33!$P$7:$P$874,'30 days CF Table(AUD)'!G10,BS_RE33!$F$7:$F$874,'30 days CF Table(AUD)'!$C$2)</f>
        <v>0</v>
      </c>
      <c r="T10" s="337">
        <f>SUMIFS(BS_RE33!$H$7:$H$874,BS_RE33!$S$7:$S$874,$T$2,BS_RE33!$N$7:$N$874,I10,BS_RE33!$P$7:$P$874,'30 days CF Table(AUD)'!G10,BS_RE33!$F$7:$F$874,'30 days CF Table(AUD)'!$C$2)</f>
        <v>0</v>
      </c>
      <c r="U10" s="337">
        <f>SUMIFS(BS_RE33!$H$7:$H$874,BS_RE33!$S$7:$S$874,$U$2,BS_RE33!$N$7:$N$874,I10,BS_RE33!$P$7:$P$874,'30 days CF Table(AUD)'!G10,BS_RE33!$F$7:$F$874,'30 days CF Table(AUD)'!$C$2)</f>
        <v>0</v>
      </c>
      <c r="V10" s="337">
        <f>SUMIFS(BS_RE33!$H$7:$H$874,BS_RE33!$S$7:$S$874,$V$2,BS_RE33!$N$7:$N$874,I10,BS_RE33!$P$7:$P$874,'30 days CF Table(AUD)'!G10,BS_RE33!$F$7:$F$874,'30 days CF Table(AUD)'!$C$2)</f>
        <v>0</v>
      </c>
      <c r="W10" s="337">
        <f>SUMIFS(BS_RE33!$H$7:$H$874,BS_RE33!$S$7:$S$874,$W$2,BS_RE33!$N$7:$N$874,I10,BS_RE33!$P$7:$P$874,'30 days CF Table(AUD)'!G10,BS_RE33!$F$7:$F$874,'30 days CF Table(AUD)'!$C$2)</f>
        <v>0</v>
      </c>
      <c r="X10" s="337">
        <f>SUMIFS(BS_RE33!$H$7:$H$874,BS_RE33!$S$7:$S$874,$X$2,BS_RE33!$N$7:$N$874,I10,BS_RE33!$P$7:$P$874,'30 days CF Table(AUD)'!G10,BS_RE33!$F$7:$F$874,'30 days CF Table(AUD)'!$C$2)</f>
        <v>0</v>
      </c>
      <c r="Y10" s="337">
        <f>SUMIFS(BS_RE33!$H$7:$H$874,BS_RE33!$S$7:$S$874,$Y$2,BS_RE33!$N$7:$N$874,I10,BS_RE33!$P$7:$P$874,'30 days CF Table(AUD)'!G10,BS_RE33!$F$7:$F$874,'30 days CF Table(AUD)'!$C$2)</f>
        <v>0</v>
      </c>
      <c r="Z10" s="337">
        <f>SUMIFS(BS_RE33!$H$7:$H$874,BS_RE33!$S$7:$S$874,$Z$2,BS_RE33!$N$7:$N$874,I10,BS_RE33!$P$7:$P$874,'30 days CF Table(AUD)'!G10,BS_RE33!$F$7:$F$874,'30 days CF Table(AUD)'!$C$2)</f>
        <v>0</v>
      </c>
      <c r="AA10" s="337">
        <f>SUMIFS(BS_RE33!$H$7:$H$874,BS_RE33!$S$7:$S$874,$AA$2,BS_RE33!$N$7:$N$874,I10,BS_RE33!$P$7:$P$874,'30 days CF Table(AUD)'!G10,BS_RE33!$F$7:$F$874,'30 days CF Table(AUD)'!$C$2)</f>
        <v>0</v>
      </c>
      <c r="AB10" s="337">
        <f>SUMIFS(BS_RE33!$H$7:$H$874,BS_RE33!$S$7:$S$874,$AB$2,BS_RE33!$N$7:$N$874,I10,BS_RE33!$P$7:$P$874,'30 days CF Table(AUD)'!G10,BS_RE33!$F$7:$F$874,'30 days CF Table(AUD)'!$C$2)</f>
        <v>0</v>
      </c>
      <c r="AC10" s="337">
        <f>SUMIFS(BS_RE33!$H$7:$H$874,BS_RE33!$S$7:$S$874,$AC$2,BS_RE33!$N$7:$N$874,I10,BS_RE33!$P$7:$P$874,'30 days CF Table(AUD)'!G10,BS_RE33!$F$7:$F$874,'30 days CF Table(AUD)'!$C$2)</f>
        <v>0</v>
      </c>
      <c r="AD10" s="337">
        <f>SUMIFS(BS_RE33!$H$7:$H$874,BS_RE33!$S$7:$S$874,$AD$2,BS_RE33!$N$7:$N$874,I10,BS_RE33!$P$7:$P$874,'30 days CF Table(AUD)'!G10,BS_RE33!$F$7:$F$874,'30 days CF Table(AUD)'!$C$2)</f>
        <v>0</v>
      </c>
      <c r="AE10" s="337">
        <f>SUMIFS(BS_RE33!$H$7:$H$874,BS_RE33!$S$7:$S$874,$AE$2,BS_RE33!$N$7:$N$874,I10,BS_RE33!$P$7:$P$874,'30 days CF Table(AUD)'!G10,BS_RE33!$F$7:$F$874,'30 days CF Table(AUD)'!$C$2)</f>
        <v>0</v>
      </c>
      <c r="AF10" s="337">
        <f>SUMIFS(BS_RE33!$H$7:$H$874,BS_RE33!$S$7:$S$874,$AF$2,BS_RE33!$N$7:$N$874,I10,BS_RE33!$P$7:$P$874,'30 days CF Table(AUD)'!G10,BS_RE33!$F$7:$F$874,'30 days CF Table(AUD)'!$C$2)</f>
        <v>0</v>
      </c>
      <c r="AG10" s="337">
        <f>SUMIFS(BS_RE33!$H$7:$H$874,BS_RE33!$S$7:$S$874,$AG$2,BS_RE33!$N$7:$N$874,I10,BS_RE33!$P$7:$P$874,'30 days CF Table(AUD)'!G10,BS_RE33!$F$7:$F$874,'30 days CF Table(AUD)'!$C$2)</f>
        <v>0</v>
      </c>
      <c r="AH10" s="337">
        <f>SUMIFS(BS_RE33!$H$7:$H$874,BS_RE33!$S$7:$S$874,$AH$2,BS_RE33!$N$7:$N$874,I10,BS_RE33!$P$7:$P$874,'30 days CF Table(AUD)'!G10,BS_RE33!$F$7:$F$874,'30 days CF Table(AUD)'!$C$2)</f>
        <v>0</v>
      </c>
      <c r="AI10" s="337">
        <f>SUMIFS(BS_RE33!$H$7:$H$874,BS_RE33!$S$7:$S$874,$AI$2,BS_RE33!$N$7:$N$874,I10,BS_RE33!$P$7:$P$874,'30 days CF Table(AUD)'!G10,BS_RE33!$F$7:$F$874,'30 days CF Table(AUD)'!$C$2)</f>
        <v>0</v>
      </c>
      <c r="AJ10" s="337">
        <f>SUMIFS(BS_RE33!$H$7:$H$874,BS_RE33!$S$7:$S$874,$AJ$2,BS_RE33!$N$7:$N$874,I10,BS_RE33!$P$7:$P$874,'30 days CF Table(AUD)'!G10,BS_RE33!$F$7:$F$874,'30 days CF Table(AUD)'!$C$2)</f>
        <v>0</v>
      </c>
      <c r="AK10" s="337">
        <f>SUMIFS(BS_RE33!$H$7:$H$874,BS_RE33!$S$7:$S$874,$AK$2,BS_RE33!$N$7:$N$874,I10,BS_RE33!$P$7:$P$874,'30 days CF Table(AUD)'!G10,BS_RE33!$F$7:$F$874,'30 days CF Table(AUD)'!$C$2)</f>
        <v>0</v>
      </c>
      <c r="AL10" s="337">
        <f>SUMIFS(BS_RE33!$H$7:$H$874,BS_RE33!$S$7:$S$874,$AL$2,BS_RE33!$N$7:$N$874,I10,BS_RE33!$P$7:$P$874,'30 days CF Table(AUD)'!G10,BS_RE33!$F$7:$F$874,'30 days CF Table(AUD)'!$C$2)</f>
        <v>0</v>
      </c>
      <c r="AM10" s="337">
        <f>SUMIFS(BS_RE33!$H$7:$H$874,BS_RE33!$S$7:$S$874,$AM$2,BS_RE33!$N$7:$N$874,I10,BS_RE33!$P$7:$P$874,'30 days CF Table(AUD)'!G10,BS_RE33!$F$7:$F$874,'30 days CF Table(AUD)'!$C$2)</f>
        <v>0</v>
      </c>
      <c r="AN10" s="337">
        <f>SUMIFS(BS_RE33!$H$7:$H$874,BS_RE33!$S$7:$S$874,$AN$2,BS_RE33!$N$7:$N$874,I10,BS_RE33!$P$7:$P$874,'30 days CF Table(AUD)'!G10,BS_RE33!$F$7:$F$874,'30 days CF Table(AUD)'!$C$2)</f>
        <v>0</v>
      </c>
      <c r="AO10" s="337">
        <f>SUMIFS(BS_RE33!$H$7:$H$874,BS_RE33!$S$7:$S$874,$AO$2,BS_RE33!$N$7:$N$874,I10,BS_RE33!$P$7:$P$874,'30 days CF Table(AUD)'!G10,BS_RE33!$F$7:$F$874,'30 days CF Table(AUD)'!$C$2)</f>
        <v>0</v>
      </c>
      <c r="AP10" s="338">
        <f>SUMIFS(BS_RE33!$H$7:$H$874,BS_RE33!$S$7:$S$874,$AP$2,BS_RE33!$N$7:$N$874,I10,BS_RE33!$P$7:$P$874,'30 days CF Table(AUD)'!G10,BS_RE33!$F$7:$F$874,'30 days CF Table(AUD)'!$C$2)</f>
        <v>0</v>
      </c>
      <c r="AQ10" s="545"/>
      <c r="AR10" s="379">
        <f>SUMIFS(BS_RE33!$H$7:$H$874,BS_RE33!$S$7:$S$874,$AR$2,BS_RE33!$N$7:$N$874,I10,BS_RE33!$P$7:$P$874,'30 days CF Table(AUD)'!G10,BS_RE33!$F$7:$F$874,'30 days CF Table(AUD)'!$C$2)</f>
        <v>0</v>
      </c>
      <c r="AS10" s="379">
        <f>SUMIFS(BS_RE33!$H$7:$H$874,BS_RE33!$S$7:$S$874,$AS$2,BS_RE33!$N$7:$N$874,I10,BS_RE33!$P$7:$P$874,'30 days CF Table(AUD)'!G10,BS_RE33!$F$7:$F$874,'30 days CF Table(AUD)'!$C$2)</f>
        <v>0</v>
      </c>
      <c r="AT10" s="379">
        <f>SUMIFS(BS_RE33!$H$7:$H$874,BS_RE33!$S$7:$S$874,$AT$2,BS_RE33!$N$7:$N$874,I10,BS_RE33!$P$7:$P$874,'30 days CF Table(AUD)'!G10,BS_RE33!$F$7:$F$874,'30 days CF Table(AUD)'!$C$2)</f>
        <v>0</v>
      </c>
      <c r="AU10" s="379">
        <f>SUMIFS(BS_RE33!$H$7:$H$874,BS_RE33!$S$7:$S$874,$AU$2,BS_RE33!$N$7:$N$874,I10,BS_RE33!$P$7:$P$874,'30 days CF Table(AUD)'!G10,BS_RE33!$F$7:$F$874,'30 days CF Table(AUD)'!$C$2)</f>
        <v>0</v>
      </c>
      <c r="AV10" s="379">
        <f>SUMIFS(BS_RE33!$H$7:$H$874,BS_RE33!$S$7:$S$874,$AV$2,BS_RE33!$N$7:$N$874,I10,BS_RE33!$P$7:$P$874,'30 days CF Table(AUD)'!G10,BS_RE33!$F$7:$F$874,'30 days CF Table(AUD)'!$C$2)</f>
        <v>0</v>
      </c>
      <c r="AW10" s="379">
        <f>SUMIFS(BS_RE33!$H$7:$H$874,BS_RE33!$S$7:$S$874,$AW$2,BS_RE33!$N$7:$N$874,I10,BS_RE33!$P$7:$P$874,'30 days CF Table(AUD)'!G10,BS_RE33!$F$7:$F$874,'30 days CF Table(AUD)'!$C$2)</f>
        <v>0</v>
      </c>
      <c r="AX10" s="379">
        <f>SUMIFS(BS_RE33!$H$7:$H$874,BS_RE33!$S$7:$S$874,$AX$2,BS_RE33!$N$7:$N$874,I10,BS_RE33!$P$7:$P$874,'30 days CF Table(AUD)'!G10,BS_RE33!$F$7:$F$874,'30 days CF Table(AUD)'!$C$2)</f>
        <v>0</v>
      </c>
      <c r="AY10" s="379">
        <f>SUMIFS(BS_RE33!$H$7:$H$874,BS_RE33!$S$7:$S$874,$AY$2,BS_RE33!$N$7:$N$874,I10,BS_RE33!$P$7:$P$874,'30 days CF Table(AUD)'!G10,BS_RE33!$F$7:$F$874,'30 days CF Table(AUD)'!$C$2)</f>
        <v>0</v>
      </c>
      <c r="AZ10" s="379">
        <f>SUMIFS(BS_RE33!$H$7:$H$874,BS_RE33!$S$7:$S$874,$AZ$2,BS_RE33!$N$7:$N$874,I10,BS_RE33!$P$7:$P$874,'30 days CF Table(AUD)'!G10,BS_RE33!$F$7:$F$874,'30 days CF Table(AUD)'!$C$2)</f>
        <v>0</v>
      </c>
      <c r="BA10" s="379">
        <f>SUMIFS(BS_RE33!$H$7:$H$874,BS_RE33!$S$7:$S$874,$BA$2,BS_RE33!$N$7:$N$874,I10,BS_RE33!$P$7:$P$874,'30 days CF Table(AUD)'!G10,BS_RE33!$F$7:$F$874,'30 days CF Table(AUD)'!$C$2)</f>
        <v>0</v>
      </c>
      <c r="BB10" s="379">
        <f>SUMIFS(BS_RE33!$H$7:$H$874,BS_RE33!$S$7:$S$874,$BB$2,BS_RE33!$N$7:$N$874,I10,BS_RE33!$P$7:$P$874,'30 days CF Table(AUD)'!G10,BS_RE33!$F$7:$F$874,'30 days CF Table(AUD)'!$C$2)</f>
        <v>0</v>
      </c>
      <c r="BC10" s="379">
        <f>SUMIFS(BS_RE33!$H$7:$H$874,BS_RE33!$S$7:$S$874,$BC$2,BS_RE33!$N$7:$N$874,I10,BS_RE33!$P$7:$P$874,'30 days CF Table(AUD)'!G10,BS_RE33!$F$7:$F$874,'30 days CF Table(AUD)'!$C$2)</f>
        <v>0</v>
      </c>
      <c r="BD10" s="379">
        <f>SUMIFS(BS_RE33!$H$7:$H$874,BS_RE33!$S$7:$S$874,$BD$2,BS_RE33!$N$7:$N$874,I10,BS_RE33!$P$7:$P$874,'30 days CF Table(AUD)'!G10,BS_RE33!$F$7:$F$874,'30 days CF Table(AUD)'!$C$2)</f>
        <v>0</v>
      </c>
      <c r="BE10" s="379">
        <f>SUMIFS(BS_RE33!$H$7:$H$874,BS_RE33!$S$7:$S$874,$BE$2,BS_RE33!$N$7:$N$874,I10,BS_RE33!$P$7:$P$874,'30 days CF Table(AUD)'!G10,BS_RE33!$F$7:$F$874,'30 days CF Table(AUD)'!$C$2)</f>
        <v>0</v>
      </c>
      <c r="BF10" s="379">
        <f>SUMIFS(BS_RE33!$H$7:$H$874,BS_RE33!$S$7:$S$874,$BF$2,BS_RE33!$N$7:$N$874,I10,BS_RE33!$P$7:$P$874,'30 days CF Table(AUD)'!G10,BS_RE33!$F$7:$F$874,'30 days CF Table(AUD)'!$C$2)</f>
        <v>0</v>
      </c>
      <c r="BG10" s="379">
        <f>SUMIFS(BS_RE33!$H$7:$H$874,BS_RE33!$S$7:$S$874,$BG$2,BS_RE33!$N$7:$N$874,I10,BS_RE33!$P$7:$P$874,'30 days CF Table(AUD)'!G10,BS_RE33!$F$7:$F$874,'30 days CF Table(AUD)'!$C$2)</f>
        <v>0</v>
      </c>
      <c r="BH10" s="379">
        <f>SUMIFS(BS_RE33!$H$7:$H$874,BS_RE33!$S$7:$S$874,$BH$2,BS_RE33!$N$7:$N$874,I10,BS_RE33!$P$7:$P$874,'30 days CF Table(AUD)'!G10,BS_RE33!$F$7:$F$874,'30 days CF Table(AUD)'!$C$2)</f>
        <v>0</v>
      </c>
      <c r="BI10" s="379">
        <f>SUMIFS(BS_RE33!$H$7:$H$874,BS_RE33!$S$7:$S$874,$BI$2,BS_RE33!$N$7:$N$874,I10,BS_RE33!$P$7:$P$874,'30 days CF Table(AUD)'!G10,BS_RE33!$F$7:$F$874,'30 days CF Table(AUD)'!$C$2)</f>
        <v>0</v>
      </c>
      <c r="BJ10" s="379">
        <f>SUMIFS(BS_RE33!$H$7:$H$874,BS_RE33!$S$7:$S$874,$BJ$2,BS_RE33!$N$7:$N$874,I10,BS_RE33!$P$7:$P$874,'30 days CF Table(AUD)'!G10,BS_RE33!$F$7:$F$874,'30 days CF Table(AUD)'!$C$2)</f>
        <v>0</v>
      </c>
      <c r="BK10" s="379">
        <f>SUMIFS(BS_RE33!$H$7:$H$874,BS_RE33!$S$7:$S$874,$BK$2,BS_RE33!$N$7:$N$874,I10,BS_RE33!$P$7:$P$874,'30 days CF Table(AUD)'!G10,BS_RE33!$F$7:$F$874,'30 days CF Table(AUD)'!$C$2)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Table(AUD)'!G11,BS_RE33!$F$7:$F$874,'30 days CF Table(AUD)'!$C$2)</f>
        <v>0</v>
      </c>
      <c r="M11" s="337">
        <f>SUMIFS(BS_RE33!$H$7:$H$874,BS_RE33!$S$7:$S$874,$M$2,BS_RE33!$N$7:$N$874,I11,BS_RE33!$P$7:$P$874,'30 days CF Table(AUD)'!G11,BS_RE33!$F$7:$F$874,'30 days CF Table(AUD)'!$C$2)</f>
        <v>0</v>
      </c>
      <c r="N11" s="337">
        <f>SUMIFS(BS_RE33!$H$7:$H$874,BS_RE33!$S$7:$S$874,$N$2,BS_RE33!$N$7:$N$874,I11,BS_RE33!$P$7:$P$874,'30 days CF Table(AUD)'!G11,BS_RE33!$F$7:$F$874,'30 days CF Table(AUD)'!$C$2)</f>
        <v>0</v>
      </c>
      <c r="O11" s="337">
        <f>SUMIFS(BS_RE33!$H$7:$H$874,BS_RE33!$S$7:$S$874,$O$2,BS_RE33!$N$7:$N$874,I11,BS_RE33!$P$7:$P$874,'30 days CF Table(AUD)'!G11,BS_RE33!$F$7:$F$874,'30 days CF Table(AUD)'!$C$2)</f>
        <v>0</v>
      </c>
      <c r="P11" s="337">
        <f>SUMIFS(BS_RE33!$H$7:$H$874,BS_RE33!$S$7:$S$874,$P$2,BS_RE33!$N$7:$N$874,I11,BS_RE33!$P$7:$P$874,'30 days CF Table(AUD)'!G11,BS_RE33!$F$7:$F$874,'30 days CF Table(AUD)'!$C$2)</f>
        <v>0</v>
      </c>
      <c r="Q11" s="337">
        <f>SUMIFS(BS_RE33!$H$7:$H$874,BS_RE33!$S$7:$S$874,$Q$2,BS_RE33!$N$7:$N$874,I11,BS_RE33!$P$7:$P$874,'30 days CF Table(AUD)'!G11,BS_RE33!$F$7:$F$874,'30 days CF Table(AUD)'!$C$2)</f>
        <v>0</v>
      </c>
      <c r="R11" s="337">
        <f>SUMIFS(BS_RE33!$H$7:$H$874,BS_RE33!$S$7:$S$874,$R$2,BS_RE33!$N$7:$N$874,I11,BS_RE33!$P$7:$P$874,'30 days CF Table(AUD)'!G11,BS_RE33!$F$7:$F$874,'30 days CF Table(AUD)'!$C$2)</f>
        <v>0</v>
      </c>
      <c r="S11" s="337">
        <f>SUMIFS(BS_RE33!$H$7:$H$874,BS_RE33!$S$7:$S$874,$S$2,BS_RE33!$N$7:$N$874,I11,BS_RE33!$P$7:$P$874,'30 days CF Table(AUD)'!G11,BS_RE33!$F$7:$F$874,'30 days CF Table(AUD)'!$C$2)</f>
        <v>0</v>
      </c>
      <c r="T11" s="337">
        <f>SUMIFS(BS_RE33!$H$7:$H$874,BS_RE33!$S$7:$S$874,$T$2,BS_RE33!$N$7:$N$874,I11,BS_RE33!$P$7:$P$874,'30 days CF Table(AUD)'!G11,BS_RE33!$F$7:$F$874,'30 days CF Table(AUD)'!$C$2)</f>
        <v>0</v>
      </c>
      <c r="U11" s="337">
        <f>SUMIFS(BS_RE33!$H$7:$H$874,BS_RE33!$S$7:$S$874,$U$2,BS_RE33!$N$7:$N$874,I11,BS_RE33!$P$7:$P$874,'30 days CF Table(AUD)'!G11,BS_RE33!$F$7:$F$874,'30 days CF Table(AUD)'!$C$2)</f>
        <v>0</v>
      </c>
      <c r="V11" s="337">
        <f>SUMIFS(BS_RE33!$H$7:$H$874,BS_RE33!$S$7:$S$874,$V$2,BS_RE33!$N$7:$N$874,I11,BS_RE33!$P$7:$P$874,'30 days CF Table(AUD)'!G11,BS_RE33!$F$7:$F$874,'30 days CF Table(AUD)'!$C$2)</f>
        <v>0</v>
      </c>
      <c r="W11" s="337">
        <f>SUMIFS(BS_RE33!$H$7:$H$874,BS_RE33!$S$7:$S$874,$W$2,BS_RE33!$N$7:$N$874,I11,BS_RE33!$P$7:$P$874,'30 days CF Table(AUD)'!G11,BS_RE33!$F$7:$F$874,'30 days CF Table(AUD)'!$C$2)</f>
        <v>0</v>
      </c>
      <c r="X11" s="337">
        <f>SUMIFS(BS_RE33!$H$7:$H$874,BS_RE33!$S$7:$S$874,$X$2,BS_RE33!$N$7:$N$874,I11,BS_RE33!$P$7:$P$874,'30 days CF Table(AUD)'!G11,BS_RE33!$F$7:$F$874,'30 days CF Table(AUD)'!$C$2)</f>
        <v>0</v>
      </c>
      <c r="Y11" s="337">
        <f>SUMIFS(BS_RE33!$H$7:$H$874,BS_RE33!$S$7:$S$874,$Y$2,BS_RE33!$N$7:$N$874,I11,BS_RE33!$P$7:$P$874,'30 days CF Table(AUD)'!G11,BS_RE33!$F$7:$F$874,'30 days CF Table(AUD)'!$C$2)</f>
        <v>0</v>
      </c>
      <c r="Z11" s="337">
        <f>SUMIFS(BS_RE33!$H$7:$H$874,BS_RE33!$S$7:$S$874,$Z$2,BS_RE33!$N$7:$N$874,I11,BS_RE33!$P$7:$P$874,'30 days CF Table(AUD)'!G11,BS_RE33!$F$7:$F$874,'30 days CF Table(AUD)'!$C$2)</f>
        <v>0</v>
      </c>
      <c r="AA11" s="337">
        <f>SUMIFS(BS_RE33!$H$7:$H$874,BS_RE33!$S$7:$S$874,$AA$2,BS_RE33!$N$7:$N$874,I11,BS_RE33!$P$7:$P$874,'30 days CF Table(AUD)'!G11,BS_RE33!$F$7:$F$874,'30 days CF Table(AUD)'!$C$2)</f>
        <v>0</v>
      </c>
      <c r="AB11" s="337">
        <f>SUMIFS(BS_RE33!$H$7:$H$874,BS_RE33!$S$7:$S$874,$AB$2,BS_RE33!$N$7:$N$874,I11,BS_RE33!$P$7:$P$874,'30 days CF Table(AUD)'!G11,BS_RE33!$F$7:$F$874,'30 days CF Table(AUD)'!$C$2)</f>
        <v>0</v>
      </c>
      <c r="AC11" s="337">
        <f>SUMIFS(BS_RE33!$H$7:$H$874,BS_RE33!$S$7:$S$874,$AC$2,BS_RE33!$N$7:$N$874,I11,BS_RE33!$P$7:$P$874,'30 days CF Table(AUD)'!G11,BS_RE33!$F$7:$F$874,'30 days CF Table(AUD)'!$C$2)</f>
        <v>0</v>
      </c>
      <c r="AD11" s="337">
        <f>SUMIFS(BS_RE33!$H$7:$H$874,BS_RE33!$S$7:$S$874,$AD$2,BS_RE33!$N$7:$N$874,I11,BS_RE33!$P$7:$P$874,'30 days CF Table(AUD)'!G11,BS_RE33!$F$7:$F$874,'30 days CF Table(AUD)'!$C$2)</f>
        <v>0</v>
      </c>
      <c r="AE11" s="337">
        <f>SUMIFS(BS_RE33!$H$7:$H$874,BS_RE33!$S$7:$S$874,$AE$2,BS_RE33!$N$7:$N$874,I11,BS_RE33!$P$7:$P$874,'30 days CF Table(AUD)'!G11,BS_RE33!$F$7:$F$874,'30 days CF Table(AUD)'!$C$2)</f>
        <v>0</v>
      </c>
      <c r="AF11" s="337">
        <f>SUMIFS(BS_RE33!$H$7:$H$874,BS_RE33!$S$7:$S$874,$AF$2,BS_RE33!$N$7:$N$874,I11,BS_RE33!$P$7:$P$874,'30 days CF Table(AUD)'!G11,BS_RE33!$F$7:$F$874,'30 days CF Table(AUD)'!$C$2)</f>
        <v>0</v>
      </c>
      <c r="AG11" s="337">
        <f>SUMIFS(BS_RE33!$H$7:$H$874,BS_RE33!$S$7:$S$874,$AG$2,BS_RE33!$N$7:$N$874,I11,BS_RE33!$P$7:$P$874,'30 days CF Table(AUD)'!G11,BS_RE33!$F$7:$F$874,'30 days CF Table(AUD)'!$C$2)</f>
        <v>0</v>
      </c>
      <c r="AH11" s="337">
        <f>SUMIFS(BS_RE33!$H$7:$H$874,BS_RE33!$S$7:$S$874,$AH$2,BS_RE33!$N$7:$N$874,I11,BS_RE33!$P$7:$P$874,'30 days CF Table(AUD)'!G11,BS_RE33!$F$7:$F$874,'30 days CF Table(AUD)'!$C$2)</f>
        <v>0</v>
      </c>
      <c r="AI11" s="337">
        <f>SUMIFS(BS_RE33!$H$7:$H$874,BS_RE33!$S$7:$S$874,$AI$2,BS_RE33!$N$7:$N$874,I11,BS_RE33!$P$7:$P$874,'30 days CF Table(AUD)'!G11,BS_RE33!$F$7:$F$874,'30 days CF Table(AUD)'!$C$2)</f>
        <v>0</v>
      </c>
      <c r="AJ11" s="337">
        <f>SUMIFS(BS_RE33!$H$7:$H$874,BS_RE33!$S$7:$S$874,$AJ$2,BS_RE33!$N$7:$N$874,I11,BS_RE33!$P$7:$P$874,'30 days CF Table(AUD)'!G11,BS_RE33!$F$7:$F$874,'30 days CF Table(AUD)'!$C$2)</f>
        <v>0</v>
      </c>
      <c r="AK11" s="337">
        <f>SUMIFS(BS_RE33!$H$7:$H$874,BS_RE33!$S$7:$S$874,$AK$2,BS_RE33!$N$7:$N$874,I11,BS_RE33!$P$7:$P$874,'30 days CF Table(AUD)'!G11,BS_RE33!$F$7:$F$874,'30 days CF Table(AUD)'!$C$2)</f>
        <v>0</v>
      </c>
      <c r="AL11" s="337">
        <f>SUMIFS(BS_RE33!$H$7:$H$874,BS_RE33!$S$7:$S$874,$AL$2,BS_RE33!$N$7:$N$874,I11,BS_RE33!$P$7:$P$874,'30 days CF Table(AUD)'!G11,BS_RE33!$F$7:$F$874,'30 days CF Table(AUD)'!$C$2)</f>
        <v>0</v>
      </c>
      <c r="AM11" s="337">
        <f>SUMIFS(BS_RE33!$H$7:$H$874,BS_RE33!$S$7:$S$874,$AM$2,BS_RE33!$N$7:$N$874,I11,BS_RE33!$P$7:$P$874,'30 days CF Table(AUD)'!G11,BS_RE33!$F$7:$F$874,'30 days CF Table(AUD)'!$C$2)</f>
        <v>0</v>
      </c>
      <c r="AN11" s="337">
        <f>SUMIFS(BS_RE33!$H$7:$H$874,BS_RE33!$S$7:$S$874,$AN$2,BS_RE33!$N$7:$N$874,I11,BS_RE33!$P$7:$P$874,'30 days CF Table(AUD)'!G11,BS_RE33!$F$7:$F$874,'30 days CF Table(AUD)'!$C$2)</f>
        <v>0</v>
      </c>
      <c r="AO11" s="337">
        <f>SUMIFS(BS_RE33!$H$7:$H$874,BS_RE33!$S$7:$S$874,$AO$2,BS_RE33!$N$7:$N$874,I11,BS_RE33!$P$7:$P$874,'30 days CF Table(AUD)'!G11,BS_RE33!$F$7:$F$874,'30 days CF Table(AUD)'!$C$2)</f>
        <v>0</v>
      </c>
      <c r="AP11" s="338">
        <f>SUMIFS(BS_RE33!$H$7:$H$874,BS_RE33!$S$7:$S$874,$AP$2,BS_RE33!$N$7:$N$874,I11,BS_RE33!$P$7:$P$874,'30 days CF Table(AUD)'!G11,BS_RE33!$F$7:$F$874,'30 days CF Table(AUD)'!$C$2)</f>
        <v>0</v>
      </c>
      <c r="AQ11" s="545"/>
      <c r="AR11" s="379">
        <f>SUMIFS(BS_RE33!$H$7:$H$874,BS_RE33!$S$7:$S$874,$AR$2,BS_RE33!$N$7:$N$874,I11,BS_RE33!$P$7:$P$874,'30 days CF Table(AUD)'!G11,BS_RE33!$F$7:$F$874,'30 days CF Table(AUD)'!$C$2)</f>
        <v>0</v>
      </c>
      <c r="AS11" s="379">
        <f>SUMIFS(BS_RE33!$H$7:$H$874,BS_RE33!$S$7:$S$874,$AS$2,BS_RE33!$N$7:$N$874,I11,BS_RE33!$P$7:$P$874,'30 days CF Table(AUD)'!G11,BS_RE33!$F$7:$F$874,'30 days CF Table(AUD)'!$C$2)</f>
        <v>0</v>
      </c>
      <c r="AT11" s="379">
        <f>SUMIFS(BS_RE33!$H$7:$H$874,BS_RE33!$S$7:$S$874,$AT$2,BS_RE33!$N$7:$N$874,I11,BS_RE33!$P$7:$P$874,'30 days CF Table(AUD)'!G11,BS_RE33!$F$7:$F$874,'30 days CF Table(AUD)'!$C$2)</f>
        <v>0</v>
      </c>
      <c r="AU11" s="379">
        <f>SUMIFS(BS_RE33!$H$7:$H$874,BS_RE33!$S$7:$S$874,$AU$2,BS_RE33!$N$7:$N$874,I11,BS_RE33!$P$7:$P$874,'30 days CF Table(AUD)'!G11,BS_RE33!$F$7:$F$874,'30 days CF Table(AUD)'!$C$2)</f>
        <v>0</v>
      </c>
      <c r="AV11" s="379">
        <f>SUMIFS(BS_RE33!$H$7:$H$874,BS_RE33!$S$7:$S$874,$AV$2,BS_RE33!$N$7:$N$874,I11,BS_RE33!$P$7:$P$874,'30 days CF Table(AUD)'!G11,BS_RE33!$F$7:$F$874,'30 days CF Table(AUD)'!$C$2)</f>
        <v>0</v>
      </c>
      <c r="AW11" s="379">
        <f>SUMIFS(BS_RE33!$H$7:$H$874,BS_RE33!$S$7:$S$874,$AW$2,BS_RE33!$N$7:$N$874,I11,BS_RE33!$P$7:$P$874,'30 days CF Table(AUD)'!G11,BS_RE33!$F$7:$F$874,'30 days CF Table(AUD)'!$C$2)</f>
        <v>0</v>
      </c>
      <c r="AX11" s="379">
        <f>SUMIFS(BS_RE33!$H$7:$H$874,BS_RE33!$S$7:$S$874,$AX$2,BS_RE33!$N$7:$N$874,I11,BS_RE33!$P$7:$P$874,'30 days CF Table(AUD)'!G11,BS_RE33!$F$7:$F$874,'30 days CF Table(AUD)'!$C$2)</f>
        <v>0</v>
      </c>
      <c r="AY11" s="379">
        <f>SUMIFS(BS_RE33!$H$7:$H$874,BS_RE33!$S$7:$S$874,$AY$2,BS_RE33!$N$7:$N$874,I11,BS_RE33!$P$7:$P$874,'30 days CF Table(AUD)'!G11,BS_RE33!$F$7:$F$874,'30 days CF Table(AUD)'!$C$2)</f>
        <v>0</v>
      </c>
      <c r="AZ11" s="379">
        <f>SUMIFS(BS_RE33!$H$7:$H$874,BS_RE33!$S$7:$S$874,$AZ$2,BS_RE33!$N$7:$N$874,I11,BS_RE33!$P$7:$P$874,'30 days CF Table(AUD)'!G11,BS_RE33!$F$7:$F$874,'30 days CF Table(AUD)'!$C$2)</f>
        <v>0</v>
      </c>
      <c r="BA11" s="379">
        <f>SUMIFS(BS_RE33!$H$7:$H$874,BS_RE33!$S$7:$S$874,$BA$2,BS_RE33!$N$7:$N$874,I11,BS_RE33!$P$7:$P$874,'30 days CF Table(AUD)'!G11,BS_RE33!$F$7:$F$874,'30 days CF Table(AUD)'!$C$2)</f>
        <v>0</v>
      </c>
      <c r="BB11" s="379">
        <f>SUMIFS(BS_RE33!$H$7:$H$874,BS_RE33!$S$7:$S$874,$BB$2,BS_RE33!$N$7:$N$874,I11,BS_RE33!$P$7:$P$874,'30 days CF Table(AUD)'!G11,BS_RE33!$F$7:$F$874,'30 days CF Table(AUD)'!$C$2)</f>
        <v>0</v>
      </c>
      <c r="BC11" s="379">
        <f>SUMIFS(BS_RE33!$H$7:$H$874,BS_RE33!$S$7:$S$874,$BC$2,BS_RE33!$N$7:$N$874,I11,BS_RE33!$P$7:$P$874,'30 days CF Table(AUD)'!G11,BS_RE33!$F$7:$F$874,'30 days CF Table(AUD)'!$C$2)</f>
        <v>0</v>
      </c>
      <c r="BD11" s="379">
        <f>SUMIFS(BS_RE33!$H$7:$H$874,BS_RE33!$S$7:$S$874,$BD$2,BS_RE33!$N$7:$N$874,I11,BS_RE33!$P$7:$P$874,'30 days CF Table(AUD)'!G11,BS_RE33!$F$7:$F$874,'30 days CF Table(AUD)'!$C$2)</f>
        <v>0</v>
      </c>
      <c r="BE11" s="379">
        <f>SUMIFS(BS_RE33!$H$7:$H$874,BS_RE33!$S$7:$S$874,$BE$2,BS_RE33!$N$7:$N$874,I11,BS_RE33!$P$7:$P$874,'30 days CF Table(AUD)'!G11,BS_RE33!$F$7:$F$874,'30 days CF Table(AUD)'!$C$2)</f>
        <v>0</v>
      </c>
      <c r="BF11" s="379">
        <f>SUMIFS(BS_RE33!$H$7:$H$874,BS_RE33!$S$7:$S$874,$BF$2,BS_RE33!$N$7:$N$874,I11,BS_RE33!$P$7:$P$874,'30 days CF Table(AUD)'!G11,BS_RE33!$F$7:$F$874,'30 days CF Table(AUD)'!$C$2)</f>
        <v>0</v>
      </c>
      <c r="BG11" s="379">
        <f>SUMIFS(BS_RE33!$H$7:$H$874,BS_RE33!$S$7:$S$874,$BG$2,BS_RE33!$N$7:$N$874,I11,BS_RE33!$P$7:$P$874,'30 days CF Table(AUD)'!G11,BS_RE33!$F$7:$F$874,'30 days CF Table(AUD)'!$C$2)</f>
        <v>0</v>
      </c>
      <c r="BH11" s="379">
        <f>SUMIFS(BS_RE33!$H$7:$H$874,BS_RE33!$S$7:$S$874,$BH$2,BS_RE33!$N$7:$N$874,I11,BS_RE33!$P$7:$P$874,'30 days CF Table(AUD)'!G11,BS_RE33!$F$7:$F$874,'30 days CF Table(AUD)'!$C$2)</f>
        <v>0</v>
      </c>
      <c r="BI11" s="379">
        <f>SUMIFS(BS_RE33!$H$7:$H$874,BS_RE33!$S$7:$S$874,$BI$2,BS_RE33!$N$7:$N$874,I11,BS_RE33!$P$7:$P$874,'30 days CF Table(AUD)'!G11,BS_RE33!$F$7:$F$874,'30 days CF Table(AUD)'!$C$2)</f>
        <v>0</v>
      </c>
      <c r="BJ11" s="379">
        <f>SUMIFS(BS_RE33!$H$7:$H$874,BS_RE33!$S$7:$S$874,$BJ$2,BS_RE33!$N$7:$N$874,I11,BS_RE33!$P$7:$P$874,'30 days CF Table(AUD)'!G11,BS_RE33!$F$7:$F$874,'30 days CF Table(AUD)'!$C$2)</f>
        <v>0</v>
      </c>
      <c r="BK11" s="379">
        <f>SUMIFS(BS_RE33!$H$7:$H$874,BS_RE33!$S$7:$S$874,$BK$2,BS_RE33!$N$7:$N$874,I11,BS_RE33!$P$7:$P$874,'30 days CF Table(AUD)'!G11,BS_RE33!$F$7:$F$874,'30 days CF Table(AUD)'!$C$2)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Table(AUD)'!G12,BS_RE33!$F$7:$F$874,'30 days CF Table(AUD)'!$C$2)</f>
        <v>0</v>
      </c>
      <c r="M12" s="337">
        <f>SUMIFS(BS_RE33!$H$7:$H$874,BS_RE33!$S$7:$S$874,$M$2,BS_RE33!$N$7:$N$874,I12,BS_RE33!$P$7:$P$874,'30 days CF Table(AUD)'!G12,BS_RE33!$F$7:$F$874,'30 days CF Table(AUD)'!$C$2)</f>
        <v>0</v>
      </c>
      <c r="N12" s="337">
        <f>SUMIFS(BS_RE33!$H$7:$H$874,BS_RE33!$S$7:$S$874,$N$2,BS_RE33!$N$7:$N$874,I12,BS_RE33!$P$7:$P$874,'30 days CF Table(AUD)'!G12,BS_RE33!$F$7:$F$874,'30 days CF Table(AUD)'!$C$2)</f>
        <v>0</v>
      </c>
      <c r="O12" s="337">
        <f>SUMIFS(BS_RE33!$H$7:$H$874,BS_RE33!$S$7:$S$874,$O$2,BS_RE33!$N$7:$N$874,I12,BS_RE33!$P$7:$P$874,'30 days CF Table(AUD)'!G12,BS_RE33!$F$7:$F$874,'30 days CF Table(AUD)'!$C$2)</f>
        <v>0</v>
      </c>
      <c r="P12" s="337">
        <f>SUMIFS(BS_RE33!$H$7:$H$874,BS_RE33!$S$7:$S$874,$P$2,BS_RE33!$N$7:$N$874,I12,BS_RE33!$P$7:$P$874,'30 days CF Table(AUD)'!G12,BS_RE33!$F$7:$F$874,'30 days CF Table(AUD)'!$C$2)</f>
        <v>0</v>
      </c>
      <c r="Q12" s="337">
        <f>SUMIFS(BS_RE33!$H$7:$H$874,BS_RE33!$S$7:$S$874,$Q$2,BS_RE33!$N$7:$N$874,I12,BS_RE33!$P$7:$P$874,'30 days CF Table(AUD)'!G12,BS_RE33!$F$7:$F$874,'30 days CF Table(AUD)'!$C$2)</f>
        <v>0</v>
      </c>
      <c r="R12" s="337">
        <f>SUMIFS(BS_RE33!$H$7:$H$874,BS_RE33!$S$7:$S$874,$R$2,BS_RE33!$N$7:$N$874,I12,BS_RE33!$P$7:$P$874,'30 days CF Table(AUD)'!G12,BS_RE33!$F$7:$F$874,'30 days CF Table(AUD)'!$C$2)</f>
        <v>0</v>
      </c>
      <c r="S12" s="337">
        <f>SUMIFS(BS_RE33!$H$7:$H$874,BS_RE33!$S$7:$S$874,$S$2,BS_RE33!$N$7:$N$874,I12,BS_RE33!$P$7:$P$874,'30 days CF Table(AUD)'!G12,BS_RE33!$F$7:$F$874,'30 days CF Table(AUD)'!$C$2)</f>
        <v>0</v>
      </c>
      <c r="T12" s="337">
        <f>SUMIFS(BS_RE33!$H$7:$H$874,BS_RE33!$S$7:$S$874,$T$2,BS_RE33!$N$7:$N$874,I12,BS_RE33!$P$7:$P$874,'30 days CF Table(AUD)'!G12,BS_RE33!$F$7:$F$874,'30 days CF Table(AUD)'!$C$2)</f>
        <v>0</v>
      </c>
      <c r="U12" s="337">
        <f>SUMIFS(BS_RE33!$H$7:$H$874,BS_RE33!$S$7:$S$874,$U$2,BS_RE33!$N$7:$N$874,I12,BS_RE33!$P$7:$P$874,'30 days CF Table(AUD)'!G12,BS_RE33!$F$7:$F$874,'30 days CF Table(AUD)'!$C$2)</f>
        <v>0</v>
      </c>
      <c r="V12" s="337">
        <f>SUMIFS(BS_RE33!$H$7:$H$874,BS_RE33!$S$7:$S$874,$V$2,BS_RE33!$N$7:$N$874,I12,BS_RE33!$P$7:$P$874,'30 days CF Table(AUD)'!G12,BS_RE33!$F$7:$F$874,'30 days CF Table(AUD)'!$C$2)</f>
        <v>0</v>
      </c>
      <c r="W12" s="337">
        <f>SUMIFS(BS_RE33!$H$7:$H$874,BS_RE33!$S$7:$S$874,$W$2,BS_RE33!$N$7:$N$874,I12,BS_RE33!$P$7:$P$874,'30 days CF Table(AUD)'!G12,BS_RE33!$F$7:$F$874,'30 days CF Table(AUD)'!$C$2)</f>
        <v>0</v>
      </c>
      <c r="X12" s="337">
        <f>SUMIFS(BS_RE33!$H$7:$H$874,BS_RE33!$S$7:$S$874,$X$2,BS_RE33!$N$7:$N$874,I12,BS_RE33!$P$7:$P$874,'30 days CF Table(AUD)'!G12,BS_RE33!$F$7:$F$874,'30 days CF Table(AUD)'!$C$2)</f>
        <v>0</v>
      </c>
      <c r="Y12" s="337">
        <f>SUMIFS(BS_RE33!$H$7:$H$874,BS_RE33!$S$7:$S$874,$Y$2,BS_RE33!$N$7:$N$874,I12,BS_RE33!$P$7:$P$874,'30 days CF Table(AUD)'!G12,BS_RE33!$F$7:$F$874,'30 days CF Table(AUD)'!$C$2)</f>
        <v>0</v>
      </c>
      <c r="Z12" s="337">
        <f>SUMIFS(BS_RE33!$H$7:$H$874,BS_RE33!$S$7:$S$874,$Z$2,BS_RE33!$N$7:$N$874,I12,BS_RE33!$P$7:$P$874,'30 days CF Table(AUD)'!G12,BS_RE33!$F$7:$F$874,'30 days CF Table(AUD)'!$C$2)</f>
        <v>0</v>
      </c>
      <c r="AA12" s="337">
        <f>SUMIFS(BS_RE33!$H$7:$H$874,BS_RE33!$S$7:$S$874,$AA$2,BS_RE33!$N$7:$N$874,I12,BS_RE33!$P$7:$P$874,'30 days CF Table(AUD)'!G12,BS_RE33!$F$7:$F$874,'30 days CF Table(AUD)'!$C$2)</f>
        <v>0</v>
      </c>
      <c r="AB12" s="337">
        <f>SUMIFS(BS_RE33!$H$7:$H$874,BS_RE33!$S$7:$S$874,$AB$2,BS_RE33!$N$7:$N$874,I12,BS_RE33!$P$7:$P$874,'30 days CF Table(AUD)'!G12,BS_RE33!$F$7:$F$874,'30 days CF Table(AUD)'!$C$2)</f>
        <v>0</v>
      </c>
      <c r="AC12" s="337">
        <f>SUMIFS(BS_RE33!$H$7:$H$874,BS_RE33!$S$7:$S$874,$AC$2,BS_RE33!$N$7:$N$874,I12,BS_RE33!$P$7:$P$874,'30 days CF Table(AUD)'!G12,BS_RE33!$F$7:$F$874,'30 days CF Table(AUD)'!$C$2)</f>
        <v>0</v>
      </c>
      <c r="AD12" s="337">
        <f>SUMIFS(BS_RE33!$H$7:$H$874,BS_RE33!$S$7:$S$874,$AD$2,BS_RE33!$N$7:$N$874,I12,BS_RE33!$P$7:$P$874,'30 days CF Table(AUD)'!G12,BS_RE33!$F$7:$F$874,'30 days CF Table(AUD)'!$C$2)</f>
        <v>0</v>
      </c>
      <c r="AE12" s="337">
        <f>SUMIFS(BS_RE33!$H$7:$H$874,BS_RE33!$S$7:$S$874,$AE$2,BS_RE33!$N$7:$N$874,I12,BS_RE33!$P$7:$P$874,'30 days CF Table(AUD)'!G12,BS_RE33!$F$7:$F$874,'30 days CF Table(AUD)'!$C$2)</f>
        <v>0</v>
      </c>
      <c r="AF12" s="337">
        <f>SUMIFS(BS_RE33!$H$7:$H$874,BS_RE33!$S$7:$S$874,$AF$2,BS_RE33!$N$7:$N$874,I12,BS_RE33!$P$7:$P$874,'30 days CF Table(AUD)'!G12,BS_RE33!$F$7:$F$874,'30 days CF Table(AUD)'!$C$2)</f>
        <v>0</v>
      </c>
      <c r="AG12" s="337">
        <f>SUMIFS(BS_RE33!$H$7:$H$874,BS_RE33!$S$7:$S$874,$AG$2,BS_RE33!$N$7:$N$874,I12,BS_RE33!$P$7:$P$874,'30 days CF Table(AUD)'!G12,BS_RE33!$F$7:$F$874,'30 days CF Table(AUD)'!$C$2)</f>
        <v>0</v>
      </c>
      <c r="AH12" s="337">
        <f>SUMIFS(BS_RE33!$H$7:$H$874,BS_RE33!$S$7:$S$874,$AH$2,BS_RE33!$N$7:$N$874,I12,BS_RE33!$P$7:$P$874,'30 days CF Table(AUD)'!G12,BS_RE33!$F$7:$F$874,'30 days CF Table(AUD)'!$C$2)</f>
        <v>0</v>
      </c>
      <c r="AI12" s="337">
        <f>SUMIFS(BS_RE33!$H$7:$H$874,BS_RE33!$S$7:$S$874,$AI$2,BS_RE33!$N$7:$N$874,I12,BS_RE33!$P$7:$P$874,'30 days CF Table(AUD)'!G12,BS_RE33!$F$7:$F$874,'30 days CF Table(AUD)'!$C$2)</f>
        <v>0</v>
      </c>
      <c r="AJ12" s="337">
        <f>SUMIFS(BS_RE33!$H$7:$H$874,BS_RE33!$S$7:$S$874,$AJ$2,BS_RE33!$N$7:$N$874,I12,BS_RE33!$P$7:$P$874,'30 days CF Table(AUD)'!G12,BS_RE33!$F$7:$F$874,'30 days CF Table(AUD)'!$C$2)</f>
        <v>0</v>
      </c>
      <c r="AK12" s="337">
        <f>SUMIFS(BS_RE33!$H$7:$H$874,BS_RE33!$S$7:$S$874,$AK$2,BS_RE33!$N$7:$N$874,I12,BS_RE33!$P$7:$P$874,'30 days CF Table(AUD)'!G12,BS_RE33!$F$7:$F$874,'30 days CF Table(AUD)'!$C$2)</f>
        <v>0</v>
      </c>
      <c r="AL12" s="337">
        <f>SUMIFS(BS_RE33!$H$7:$H$874,BS_RE33!$S$7:$S$874,$AL$2,BS_RE33!$N$7:$N$874,I12,BS_RE33!$P$7:$P$874,'30 days CF Table(AUD)'!G12,BS_RE33!$F$7:$F$874,'30 days CF Table(AUD)'!$C$2)</f>
        <v>0</v>
      </c>
      <c r="AM12" s="337">
        <f>SUMIFS(BS_RE33!$H$7:$H$874,BS_RE33!$S$7:$S$874,$AM$2,BS_RE33!$N$7:$N$874,I12,BS_RE33!$P$7:$P$874,'30 days CF Table(AUD)'!G12,BS_RE33!$F$7:$F$874,'30 days CF Table(AUD)'!$C$2)</f>
        <v>0</v>
      </c>
      <c r="AN12" s="337">
        <f>SUMIFS(BS_RE33!$H$7:$H$874,BS_RE33!$S$7:$S$874,$AN$2,BS_RE33!$N$7:$N$874,I12,BS_RE33!$P$7:$P$874,'30 days CF Table(AUD)'!G12,BS_RE33!$F$7:$F$874,'30 days CF Table(AUD)'!$C$2)</f>
        <v>0</v>
      </c>
      <c r="AO12" s="337">
        <f>SUMIFS(BS_RE33!$H$7:$H$874,BS_RE33!$S$7:$S$874,$AO$2,BS_RE33!$N$7:$N$874,I12,BS_RE33!$P$7:$P$874,'30 days CF Table(AUD)'!G12,BS_RE33!$F$7:$F$874,'30 days CF Table(AUD)'!$C$2)</f>
        <v>0</v>
      </c>
      <c r="AP12" s="338">
        <f>SUMIFS(BS_RE33!$H$7:$H$874,BS_RE33!$S$7:$S$874,$AP$2,BS_RE33!$N$7:$N$874,I12,BS_RE33!$P$7:$P$874,'30 days CF Table(AUD)'!G12,BS_RE33!$F$7:$F$874,'30 days CF Table(AUD)'!$C$2)</f>
        <v>0</v>
      </c>
      <c r="AQ12" s="545"/>
      <c r="AR12" s="379">
        <f>SUMIFS(BS_RE33!$H$7:$H$874,BS_RE33!$S$7:$S$874,$AR$2,BS_RE33!$N$7:$N$874,I12,BS_RE33!$P$7:$P$874,'30 days CF Table(AUD)'!G12,BS_RE33!$F$7:$F$874,'30 days CF Table(AUD)'!$C$2)</f>
        <v>0</v>
      </c>
      <c r="AS12" s="379">
        <f>SUMIFS(BS_RE33!$H$7:$H$874,BS_RE33!$S$7:$S$874,$AS$2,BS_RE33!$N$7:$N$874,I12,BS_RE33!$P$7:$P$874,'30 days CF Table(AUD)'!G12,BS_RE33!$F$7:$F$874,'30 days CF Table(AUD)'!$C$2)</f>
        <v>0</v>
      </c>
      <c r="AT12" s="379">
        <f>SUMIFS(BS_RE33!$H$7:$H$874,BS_RE33!$S$7:$S$874,$AT$2,BS_RE33!$N$7:$N$874,I12,BS_RE33!$P$7:$P$874,'30 days CF Table(AUD)'!G12,BS_RE33!$F$7:$F$874,'30 days CF Table(AUD)'!$C$2)</f>
        <v>0</v>
      </c>
      <c r="AU12" s="379">
        <f>SUMIFS(BS_RE33!$H$7:$H$874,BS_RE33!$S$7:$S$874,$AU$2,BS_RE33!$N$7:$N$874,I12,BS_RE33!$P$7:$P$874,'30 days CF Table(AUD)'!G12,BS_RE33!$F$7:$F$874,'30 days CF Table(AUD)'!$C$2)</f>
        <v>0</v>
      </c>
      <c r="AV12" s="379">
        <f>SUMIFS(BS_RE33!$H$7:$H$874,BS_RE33!$S$7:$S$874,$AV$2,BS_RE33!$N$7:$N$874,I12,BS_RE33!$P$7:$P$874,'30 days CF Table(AUD)'!G12,BS_RE33!$F$7:$F$874,'30 days CF Table(AUD)'!$C$2)</f>
        <v>0</v>
      </c>
      <c r="AW12" s="379">
        <f>SUMIFS(BS_RE33!$H$7:$H$874,BS_RE33!$S$7:$S$874,$AW$2,BS_RE33!$N$7:$N$874,I12,BS_RE33!$P$7:$P$874,'30 days CF Table(AUD)'!G12,BS_RE33!$F$7:$F$874,'30 days CF Table(AUD)'!$C$2)</f>
        <v>0</v>
      </c>
      <c r="AX12" s="379">
        <f>SUMIFS(BS_RE33!$H$7:$H$874,BS_RE33!$S$7:$S$874,$AX$2,BS_RE33!$N$7:$N$874,I12,BS_RE33!$P$7:$P$874,'30 days CF Table(AUD)'!G12,BS_RE33!$F$7:$F$874,'30 days CF Table(AUD)'!$C$2)</f>
        <v>0</v>
      </c>
      <c r="AY12" s="379">
        <f>SUMIFS(BS_RE33!$H$7:$H$874,BS_RE33!$S$7:$S$874,$AY$2,BS_RE33!$N$7:$N$874,I12,BS_RE33!$P$7:$P$874,'30 days CF Table(AUD)'!G12,BS_RE33!$F$7:$F$874,'30 days CF Table(AUD)'!$C$2)</f>
        <v>0</v>
      </c>
      <c r="AZ12" s="379">
        <f>SUMIFS(BS_RE33!$H$7:$H$874,BS_RE33!$S$7:$S$874,$AZ$2,BS_RE33!$N$7:$N$874,I12,BS_RE33!$P$7:$P$874,'30 days CF Table(AUD)'!G12,BS_RE33!$F$7:$F$874,'30 days CF Table(AUD)'!$C$2)</f>
        <v>0</v>
      </c>
      <c r="BA12" s="379">
        <f>SUMIFS(BS_RE33!$H$7:$H$874,BS_RE33!$S$7:$S$874,$BA$2,BS_RE33!$N$7:$N$874,I12,BS_RE33!$P$7:$P$874,'30 days CF Table(AUD)'!G12,BS_RE33!$F$7:$F$874,'30 days CF Table(AUD)'!$C$2)</f>
        <v>0</v>
      </c>
      <c r="BB12" s="379">
        <f>SUMIFS(BS_RE33!$H$7:$H$874,BS_RE33!$S$7:$S$874,$BB$2,BS_RE33!$N$7:$N$874,I12,BS_RE33!$P$7:$P$874,'30 days CF Table(AUD)'!G12,BS_RE33!$F$7:$F$874,'30 days CF Table(AUD)'!$C$2)</f>
        <v>0</v>
      </c>
      <c r="BC12" s="379">
        <f>SUMIFS(BS_RE33!$H$7:$H$874,BS_RE33!$S$7:$S$874,$BC$2,BS_RE33!$N$7:$N$874,I12,BS_RE33!$P$7:$P$874,'30 days CF Table(AUD)'!G12,BS_RE33!$F$7:$F$874,'30 days CF Table(AUD)'!$C$2)</f>
        <v>0</v>
      </c>
      <c r="BD12" s="379">
        <f>SUMIFS(BS_RE33!$H$7:$H$874,BS_RE33!$S$7:$S$874,$BD$2,BS_RE33!$N$7:$N$874,I12,BS_RE33!$P$7:$P$874,'30 days CF Table(AUD)'!G12,BS_RE33!$F$7:$F$874,'30 days CF Table(AUD)'!$C$2)</f>
        <v>0</v>
      </c>
      <c r="BE12" s="379">
        <f>SUMIFS(BS_RE33!$H$7:$H$874,BS_RE33!$S$7:$S$874,$BE$2,BS_RE33!$N$7:$N$874,I12,BS_RE33!$P$7:$P$874,'30 days CF Table(AUD)'!G12,BS_RE33!$F$7:$F$874,'30 days CF Table(AUD)'!$C$2)</f>
        <v>0</v>
      </c>
      <c r="BF12" s="379">
        <f>SUMIFS(BS_RE33!$H$7:$H$874,BS_RE33!$S$7:$S$874,$BF$2,BS_RE33!$N$7:$N$874,I12,BS_RE33!$P$7:$P$874,'30 days CF Table(AUD)'!G12,BS_RE33!$F$7:$F$874,'30 days CF Table(AUD)'!$C$2)</f>
        <v>0</v>
      </c>
      <c r="BG12" s="379">
        <f>SUMIFS(BS_RE33!$H$7:$H$874,BS_RE33!$S$7:$S$874,$BG$2,BS_RE33!$N$7:$N$874,I12,BS_RE33!$P$7:$P$874,'30 days CF Table(AUD)'!G12,BS_RE33!$F$7:$F$874,'30 days CF Table(AUD)'!$C$2)</f>
        <v>0</v>
      </c>
      <c r="BH12" s="379">
        <f>SUMIFS(BS_RE33!$H$7:$H$874,BS_RE33!$S$7:$S$874,$BH$2,BS_RE33!$N$7:$N$874,I12,BS_RE33!$P$7:$P$874,'30 days CF Table(AUD)'!G12,BS_RE33!$F$7:$F$874,'30 days CF Table(AUD)'!$C$2)</f>
        <v>0</v>
      </c>
      <c r="BI12" s="379">
        <f>SUMIFS(BS_RE33!$H$7:$H$874,BS_RE33!$S$7:$S$874,$BI$2,BS_RE33!$N$7:$N$874,I12,BS_RE33!$P$7:$P$874,'30 days CF Table(AUD)'!G12,BS_RE33!$F$7:$F$874,'30 days CF Table(AUD)'!$C$2)</f>
        <v>0</v>
      </c>
      <c r="BJ12" s="379">
        <f>SUMIFS(BS_RE33!$H$7:$H$874,BS_RE33!$S$7:$S$874,$BJ$2,BS_RE33!$N$7:$N$874,I12,BS_RE33!$P$7:$P$874,'30 days CF Table(AUD)'!G12,BS_RE33!$F$7:$F$874,'30 days CF Table(AUD)'!$C$2)</f>
        <v>0</v>
      </c>
      <c r="BK12" s="379">
        <f>SUMIFS(BS_RE33!$H$7:$H$874,BS_RE33!$S$7:$S$874,$BK$2,BS_RE33!$N$7:$N$874,I12,BS_RE33!$P$7:$P$874,'30 days CF Table(AUD)'!G12,BS_RE33!$F$7:$F$874,'30 days CF Table(AUD)'!$C$2)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Table(AUD)'!G13,BS_RE33!$F$7:$F$874,'30 days CF Table(AUD)'!$C$2)</f>
        <v>0</v>
      </c>
      <c r="M13" s="337">
        <f>SUMIFS(BS_RE33!$H$7:$H$874,BS_RE33!$S$7:$S$874,$M$2,BS_RE33!$N$7:$N$874,I13,BS_RE33!$P$7:$P$874,'30 days CF Table(AUD)'!G13,BS_RE33!$F$7:$F$874,'30 days CF Table(AUD)'!$C$2)</f>
        <v>0</v>
      </c>
      <c r="N13" s="337">
        <f>SUMIFS(BS_RE33!$H$7:$H$874,BS_RE33!$S$7:$S$874,$N$2,BS_RE33!$N$7:$N$874,I13,BS_RE33!$P$7:$P$874,'30 days CF Table(AUD)'!G13,BS_RE33!$F$7:$F$874,'30 days CF Table(AUD)'!$C$2)</f>
        <v>0</v>
      </c>
      <c r="O13" s="337">
        <f>SUMIFS(BS_RE33!$H$7:$H$874,BS_RE33!$S$7:$S$874,$O$2,BS_RE33!$N$7:$N$874,I13,BS_RE33!$P$7:$P$874,'30 days CF Table(AUD)'!G13,BS_RE33!$F$7:$F$874,'30 days CF Table(AUD)'!$C$2)</f>
        <v>0</v>
      </c>
      <c r="P13" s="337">
        <f>SUMIFS(BS_RE33!$H$7:$H$874,BS_RE33!$S$7:$S$874,$P$2,BS_RE33!$N$7:$N$874,I13,BS_RE33!$P$7:$P$874,'30 days CF Table(AUD)'!G13,BS_RE33!$F$7:$F$874,'30 days CF Table(AUD)'!$C$2)</f>
        <v>0</v>
      </c>
      <c r="Q13" s="337">
        <f>SUMIFS(BS_RE33!$H$7:$H$874,BS_RE33!$S$7:$S$874,$Q$2,BS_RE33!$N$7:$N$874,I13,BS_RE33!$P$7:$P$874,'30 days CF Table(AUD)'!G13,BS_RE33!$F$7:$F$874,'30 days CF Table(AUD)'!$C$2)</f>
        <v>0</v>
      </c>
      <c r="R13" s="337">
        <f>SUMIFS(BS_RE33!$H$7:$H$874,BS_RE33!$S$7:$S$874,$R$2,BS_RE33!$N$7:$N$874,I13,BS_RE33!$P$7:$P$874,'30 days CF Table(AUD)'!G13,BS_RE33!$F$7:$F$874,'30 days CF Table(AUD)'!$C$2)</f>
        <v>0</v>
      </c>
      <c r="S13" s="337">
        <f>SUMIFS(BS_RE33!$H$7:$H$874,BS_RE33!$S$7:$S$874,$S$2,BS_RE33!$N$7:$N$874,I13,BS_RE33!$P$7:$P$874,'30 days CF Table(AUD)'!G13,BS_RE33!$F$7:$F$874,'30 days CF Table(AUD)'!$C$2)</f>
        <v>0</v>
      </c>
      <c r="T13" s="337">
        <f>SUMIFS(BS_RE33!$H$7:$H$874,BS_RE33!$S$7:$S$874,$T$2,BS_RE33!$N$7:$N$874,I13,BS_RE33!$P$7:$P$874,'30 days CF Table(AUD)'!G13,BS_RE33!$F$7:$F$874,'30 days CF Table(AUD)'!$C$2)</f>
        <v>0</v>
      </c>
      <c r="U13" s="337">
        <f>SUMIFS(BS_RE33!$H$7:$H$874,BS_RE33!$S$7:$S$874,$U$2,BS_RE33!$N$7:$N$874,I13,BS_RE33!$P$7:$P$874,'30 days CF Table(AUD)'!G13,BS_RE33!$F$7:$F$874,'30 days CF Table(AUD)'!$C$2)</f>
        <v>0</v>
      </c>
      <c r="V13" s="337">
        <f>SUMIFS(BS_RE33!$H$7:$H$874,BS_RE33!$S$7:$S$874,$V$2,BS_RE33!$N$7:$N$874,I13,BS_RE33!$P$7:$P$874,'30 days CF Table(AUD)'!G13,BS_RE33!$F$7:$F$874,'30 days CF Table(AUD)'!$C$2)</f>
        <v>0</v>
      </c>
      <c r="W13" s="337">
        <f>SUMIFS(BS_RE33!$H$7:$H$874,BS_RE33!$S$7:$S$874,$W$2,BS_RE33!$N$7:$N$874,I13,BS_RE33!$P$7:$P$874,'30 days CF Table(AUD)'!G13,BS_RE33!$F$7:$F$874,'30 days CF Table(AUD)'!$C$2)</f>
        <v>0</v>
      </c>
      <c r="X13" s="337">
        <f>SUMIFS(BS_RE33!$H$7:$H$874,BS_RE33!$S$7:$S$874,$X$2,BS_RE33!$N$7:$N$874,I13,BS_RE33!$P$7:$P$874,'30 days CF Table(AUD)'!G13,BS_RE33!$F$7:$F$874,'30 days CF Table(AUD)'!$C$2)</f>
        <v>0</v>
      </c>
      <c r="Y13" s="337">
        <f>SUMIFS(BS_RE33!$H$7:$H$874,BS_RE33!$S$7:$S$874,$Y$2,BS_RE33!$N$7:$N$874,I13,BS_RE33!$P$7:$P$874,'30 days CF Table(AUD)'!G13,BS_RE33!$F$7:$F$874,'30 days CF Table(AUD)'!$C$2)</f>
        <v>0</v>
      </c>
      <c r="Z13" s="337">
        <f>SUMIFS(BS_RE33!$H$7:$H$874,BS_RE33!$S$7:$S$874,$Z$2,BS_RE33!$N$7:$N$874,I13,BS_RE33!$P$7:$P$874,'30 days CF Table(AUD)'!G13,BS_RE33!$F$7:$F$874,'30 days CF Table(AUD)'!$C$2)</f>
        <v>0</v>
      </c>
      <c r="AA13" s="337">
        <f>SUMIFS(BS_RE33!$H$7:$H$874,BS_RE33!$S$7:$S$874,$AA$2,BS_RE33!$N$7:$N$874,I13,BS_RE33!$P$7:$P$874,'30 days CF Table(AUD)'!G13,BS_RE33!$F$7:$F$874,'30 days CF Table(AUD)'!$C$2)</f>
        <v>0</v>
      </c>
      <c r="AB13" s="337">
        <f>SUMIFS(BS_RE33!$H$7:$H$874,BS_RE33!$S$7:$S$874,$AB$2,BS_RE33!$N$7:$N$874,I13,BS_RE33!$P$7:$P$874,'30 days CF Table(AUD)'!G13,BS_RE33!$F$7:$F$874,'30 days CF Table(AUD)'!$C$2)</f>
        <v>0</v>
      </c>
      <c r="AC13" s="337">
        <f>SUMIFS(BS_RE33!$H$7:$H$874,BS_RE33!$S$7:$S$874,$AC$2,BS_RE33!$N$7:$N$874,I13,BS_RE33!$P$7:$P$874,'30 days CF Table(AUD)'!G13,BS_RE33!$F$7:$F$874,'30 days CF Table(AUD)'!$C$2)</f>
        <v>0</v>
      </c>
      <c r="AD13" s="337">
        <f>SUMIFS(BS_RE33!$H$7:$H$874,BS_RE33!$S$7:$S$874,$AD$2,BS_RE33!$N$7:$N$874,I13,BS_RE33!$P$7:$P$874,'30 days CF Table(AUD)'!G13,BS_RE33!$F$7:$F$874,'30 days CF Table(AUD)'!$C$2)</f>
        <v>0</v>
      </c>
      <c r="AE13" s="337">
        <f>SUMIFS(BS_RE33!$H$7:$H$874,BS_RE33!$S$7:$S$874,$AE$2,BS_RE33!$N$7:$N$874,I13,BS_RE33!$P$7:$P$874,'30 days CF Table(AUD)'!G13,BS_RE33!$F$7:$F$874,'30 days CF Table(AUD)'!$C$2)</f>
        <v>0</v>
      </c>
      <c r="AF13" s="337">
        <f>SUMIFS(BS_RE33!$H$7:$H$874,BS_RE33!$S$7:$S$874,$AF$2,BS_RE33!$N$7:$N$874,I13,BS_RE33!$P$7:$P$874,'30 days CF Table(AUD)'!G13,BS_RE33!$F$7:$F$874,'30 days CF Table(AUD)'!$C$2)</f>
        <v>0</v>
      </c>
      <c r="AG13" s="337">
        <f>SUMIFS(BS_RE33!$H$7:$H$874,BS_RE33!$S$7:$S$874,$AG$2,BS_RE33!$N$7:$N$874,I13,BS_RE33!$P$7:$P$874,'30 days CF Table(AUD)'!G13,BS_RE33!$F$7:$F$874,'30 days CF Table(AUD)'!$C$2)</f>
        <v>0</v>
      </c>
      <c r="AH13" s="337">
        <f>SUMIFS(BS_RE33!$H$7:$H$874,BS_RE33!$S$7:$S$874,$AH$2,BS_RE33!$N$7:$N$874,I13,BS_RE33!$P$7:$P$874,'30 days CF Table(AUD)'!G13,BS_RE33!$F$7:$F$874,'30 days CF Table(AUD)'!$C$2)</f>
        <v>0</v>
      </c>
      <c r="AI13" s="337">
        <f>SUMIFS(BS_RE33!$H$7:$H$874,BS_RE33!$S$7:$S$874,$AI$2,BS_RE33!$N$7:$N$874,I13,BS_RE33!$P$7:$P$874,'30 days CF Table(AUD)'!G13,BS_RE33!$F$7:$F$874,'30 days CF Table(AUD)'!$C$2)</f>
        <v>0</v>
      </c>
      <c r="AJ13" s="337">
        <f>SUMIFS(BS_RE33!$H$7:$H$874,BS_RE33!$S$7:$S$874,$AJ$2,BS_RE33!$N$7:$N$874,I13,BS_RE33!$P$7:$P$874,'30 days CF Table(AUD)'!G13,BS_RE33!$F$7:$F$874,'30 days CF Table(AUD)'!$C$2)</f>
        <v>0</v>
      </c>
      <c r="AK13" s="337">
        <f>SUMIFS(BS_RE33!$H$7:$H$874,BS_RE33!$S$7:$S$874,$AK$2,BS_RE33!$N$7:$N$874,I13,BS_RE33!$P$7:$P$874,'30 days CF Table(AUD)'!G13,BS_RE33!$F$7:$F$874,'30 days CF Table(AUD)'!$C$2)</f>
        <v>0</v>
      </c>
      <c r="AL13" s="337">
        <f>SUMIFS(BS_RE33!$H$7:$H$874,BS_RE33!$S$7:$S$874,$AL$2,BS_RE33!$N$7:$N$874,I13,BS_RE33!$P$7:$P$874,'30 days CF Table(AUD)'!G13,BS_RE33!$F$7:$F$874,'30 days CF Table(AUD)'!$C$2)</f>
        <v>0</v>
      </c>
      <c r="AM13" s="337">
        <f>SUMIFS(BS_RE33!$H$7:$H$874,BS_RE33!$S$7:$S$874,$AM$2,BS_RE33!$N$7:$N$874,I13,BS_RE33!$P$7:$P$874,'30 days CF Table(AUD)'!G13,BS_RE33!$F$7:$F$874,'30 days CF Table(AUD)'!$C$2)</f>
        <v>0</v>
      </c>
      <c r="AN13" s="337">
        <f>SUMIFS(BS_RE33!$H$7:$H$874,BS_RE33!$S$7:$S$874,$AN$2,BS_RE33!$N$7:$N$874,I13,BS_RE33!$P$7:$P$874,'30 days CF Table(AUD)'!G13,BS_RE33!$F$7:$F$874,'30 days CF Table(AUD)'!$C$2)</f>
        <v>0</v>
      </c>
      <c r="AO13" s="337">
        <f>SUMIFS(BS_RE33!$H$7:$H$874,BS_RE33!$S$7:$S$874,$AO$2,BS_RE33!$N$7:$N$874,I13,BS_RE33!$P$7:$P$874,'30 days CF Table(AUD)'!G13,BS_RE33!$F$7:$F$874,'30 days CF Table(AUD)'!$C$2)</f>
        <v>0</v>
      </c>
      <c r="AP13" s="338">
        <f>SUMIFS(BS_RE33!$H$7:$H$874,BS_RE33!$S$7:$S$874,$AP$2,BS_RE33!$N$7:$N$874,I13,BS_RE33!$P$7:$P$874,'30 days CF Table(AUD)'!G13,BS_RE33!$F$7:$F$874,'30 days CF Table(AUD)'!$C$2)</f>
        <v>0</v>
      </c>
      <c r="AQ13" s="545"/>
      <c r="AR13" s="379">
        <f>SUMIFS(BS_RE33!$H$7:$H$874,BS_RE33!$S$7:$S$874,$AR$2,BS_RE33!$N$7:$N$874,I13,BS_RE33!$P$7:$P$874,'30 days CF Table(AUD)'!G13,BS_RE33!$F$7:$F$874,'30 days CF Table(AUD)'!$C$2)</f>
        <v>0</v>
      </c>
      <c r="AS13" s="379">
        <f>SUMIFS(BS_RE33!$H$7:$H$874,BS_RE33!$S$7:$S$874,$AS$2,BS_RE33!$N$7:$N$874,I13,BS_RE33!$P$7:$P$874,'30 days CF Table(AUD)'!G13,BS_RE33!$F$7:$F$874,'30 days CF Table(AUD)'!$C$2)</f>
        <v>0</v>
      </c>
      <c r="AT13" s="379">
        <f>SUMIFS(BS_RE33!$H$7:$H$874,BS_RE33!$S$7:$S$874,$AT$2,BS_RE33!$N$7:$N$874,I13,BS_RE33!$P$7:$P$874,'30 days CF Table(AUD)'!G13,BS_RE33!$F$7:$F$874,'30 days CF Table(AUD)'!$C$2)</f>
        <v>0</v>
      </c>
      <c r="AU13" s="379">
        <f>SUMIFS(BS_RE33!$H$7:$H$874,BS_RE33!$S$7:$S$874,$AU$2,BS_RE33!$N$7:$N$874,I13,BS_RE33!$P$7:$P$874,'30 days CF Table(AUD)'!G13,BS_RE33!$F$7:$F$874,'30 days CF Table(AUD)'!$C$2)</f>
        <v>0</v>
      </c>
      <c r="AV13" s="379">
        <f>SUMIFS(BS_RE33!$H$7:$H$874,BS_RE33!$S$7:$S$874,$AV$2,BS_RE33!$N$7:$N$874,I13,BS_RE33!$P$7:$P$874,'30 days CF Table(AUD)'!G13,BS_RE33!$F$7:$F$874,'30 days CF Table(AUD)'!$C$2)</f>
        <v>0</v>
      </c>
      <c r="AW13" s="379">
        <f>SUMIFS(BS_RE33!$H$7:$H$874,BS_RE33!$S$7:$S$874,$AW$2,BS_RE33!$N$7:$N$874,I13,BS_RE33!$P$7:$P$874,'30 days CF Table(AUD)'!G13,BS_RE33!$F$7:$F$874,'30 days CF Table(AUD)'!$C$2)</f>
        <v>0</v>
      </c>
      <c r="AX13" s="379">
        <f>SUMIFS(BS_RE33!$H$7:$H$874,BS_RE33!$S$7:$S$874,$AX$2,BS_RE33!$N$7:$N$874,I13,BS_RE33!$P$7:$P$874,'30 days CF Table(AUD)'!G13,BS_RE33!$F$7:$F$874,'30 days CF Table(AUD)'!$C$2)</f>
        <v>0</v>
      </c>
      <c r="AY13" s="379">
        <f>SUMIFS(BS_RE33!$H$7:$H$874,BS_RE33!$S$7:$S$874,$AY$2,BS_RE33!$N$7:$N$874,I13,BS_RE33!$P$7:$P$874,'30 days CF Table(AUD)'!G13,BS_RE33!$F$7:$F$874,'30 days CF Table(AUD)'!$C$2)</f>
        <v>0</v>
      </c>
      <c r="AZ13" s="379">
        <f>SUMIFS(BS_RE33!$H$7:$H$874,BS_RE33!$S$7:$S$874,$AZ$2,BS_RE33!$N$7:$N$874,I13,BS_RE33!$P$7:$P$874,'30 days CF Table(AUD)'!G13,BS_RE33!$F$7:$F$874,'30 days CF Table(AUD)'!$C$2)</f>
        <v>0</v>
      </c>
      <c r="BA13" s="379">
        <f>SUMIFS(BS_RE33!$H$7:$H$874,BS_RE33!$S$7:$S$874,$BA$2,BS_RE33!$N$7:$N$874,I13,BS_RE33!$P$7:$P$874,'30 days CF Table(AUD)'!G13,BS_RE33!$F$7:$F$874,'30 days CF Table(AUD)'!$C$2)</f>
        <v>0</v>
      </c>
      <c r="BB13" s="379">
        <f>SUMIFS(BS_RE33!$H$7:$H$874,BS_RE33!$S$7:$S$874,$BB$2,BS_RE33!$N$7:$N$874,I13,BS_RE33!$P$7:$P$874,'30 days CF Table(AUD)'!G13,BS_RE33!$F$7:$F$874,'30 days CF Table(AUD)'!$C$2)</f>
        <v>0</v>
      </c>
      <c r="BC13" s="379">
        <f>SUMIFS(BS_RE33!$H$7:$H$874,BS_RE33!$S$7:$S$874,$BC$2,BS_RE33!$N$7:$N$874,I13,BS_RE33!$P$7:$P$874,'30 days CF Table(AUD)'!G13,BS_RE33!$F$7:$F$874,'30 days CF Table(AUD)'!$C$2)</f>
        <v>0</v>
      </c>
      <c r="BD13" s="379">
        <f>SUMIFS(BS_RE33!$H$7:$H$874,BS_RE33!$S$7:$S$874,$BD$2,BS_RE33!$N$7:$N$874,I13,BS_RE33!$P$7:$P$874,'30 days CF Table(AUD)'!G13,BS_RE33!$F$7:$F$874,'30 days CF Table(AUD)'!$C$2)</f>
        <v>0</v>
      </c>
      <c r="BE13" s="379">
        <f>SUMIFS(BS_RE33!$H$7:$H$874,BS_RE33!$S$7:$S$874,$BE$2,BS_RE33!$N$7:$N$874,I13,BS_RE33!$P$7:$P$874,'30 days CF Table(AUD)'!G13,BS_RE33!$F$7:$F$874,'30 days CF Table(AUD)'!$C$2)</f>
        <v>0</v>
      </c>
      <c r="BF13" s="379">
        <f>SUMIFS(BS_RE33!$H$7:$H$874,BS_RE33!$S$7:$S$874,$BF$2,BS_RE33!$N$7:$N$874,I13,BS_RE33!$P$7:$P$874,'30 days CF Table(AUD)'!G13,BS_RE33!$F$7:$F$874,'30 days CF Table(AUD)'!$C$2)</f>
        <v>0</v>
      </c>
      <c r="BG13" s="379">
        <f>SUMIFS(BS_RE33!$H$7:$H$874,BS_RE33!$S$7:$S$874,$BG$2,BS_RE33!$N$7:$N$874,I13,BS_RE33!$P$7:$P$874,'30 days CF Table(AUD)'!G13,BS_RE33!$F$7:$F$874,'30 days CF Table(AUD)'!$C$2)</f>
        <v>0</v>
      </c>
      <c r="BH13" s="379">
        <f>SUMIFS(BS_RE33!$H$7:$H$874,BS_RE33!$S$7:$S$874,$BH$2,BS_RE33!$N$7:$N$874,I13,BS_RE33!$P$7:$P$874,'30 days CF Table(AUD)'!G13,BS_RE33!$F$7:$F$874,'30 days CF Table(AUD)'!$C$2)</f>
        <v>0</v>
      </c>
      <c r="BI13" s="379">
        <f>SUMIFS(BS_RE33!$H$7:$H$874,BS_RE33!$S$7:$S$874,$BI$2,BS_RE33!$N$7:$N$874,I13,BS_RE33!$P$7:$P$874,'30 days CF Table(AUD)'!G13,BS_RE33!$F$7:$F$874,'30 days CF Table(AUD)'!$C$2)</f>
        <v>0</v>
      </c>
      <c r="BJ13" s="379">
        <f>SUMIFS(BS_RE33!$H$7:$H$874,BS_RE33!$S$7:$S$874,$BJ$2,BS_RE33!$N$7:$N$874,I13,BS_RE33!$P$7:$P$874,'30 days CF Table(AUD)'!G13,BS_RE33!$F$7:$F$874,'30 days CF Table(AUD)'!$C$2)</f>
        <v>0</v>
      </c>
      <c r="BK13" s="379">
        <f>SUMIFS(BS_RE33!$H$7:$H$874,BS_RE33!$S$7:$S$874,$BK$2,BS_RE33!$N$7:$N$874,I13,BS_RE33!$P$7:$P$874,'30 days CF Table(AUD)'!G13,BS_RE33!$F$7:$F$874,'30 days CF Table(AUD)'!$C$2)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Table(AUD)'!G14,BS_RE33!$F$7:$F$874,'30 days CF Table(AUD)'!$C$2)</f>
        <v>0</v>
      </c>
      <c r="M14" s="337">
        <f>SUMIFS(BS_RE33!$H$7:$H$874,BS_RE33!$S$7:$S$874,$M$2,BS_RE33!$N$7:$N$874,I14,BS_RE33!$P$7:$P$874,'30 days CF Table(AUD)'!G14,BS_RE33!$F$7:$F$874,'30 days CF Table(AUD)'!$C$2)</f>
        <v>0</v>
      </c>
      <c r="N14" s="337">
        <f>SUMIFS(BS_RE33!$H$7:$H$874,BS_RE33!$S$7:$S$874,$N$2,BS_RE33!$N$7:$N$874,I14,BS_RE33!$P$7:$P$874,'30 days CF Table(AUD)'!G14,BS_RE33!$F$7:$F$874,'30 days CF Table(AUD)'!$C$2)</f>
        <v>0</v>
      </c>
      <c r="O14" s="337">
        <f>SUMIFS(BS_RE33!$H$7:$H$874,BS_RE33!$S$7:$S$874,$O$2,BS_RE33!$N$7:$N$874,I14,BS_RE33!$P$7:$P$874,'30 days CF Table(AUD)'!G14,BS_RE33!$F$7:$F$874,'30 days CF Table(AUD)'!$C$2)</f>
        <v>0</v>
      </c>
      <c r="P14" s="337">
        <f>SUMIFS(BS_RE33!$H$7:$H$874,BS_RE33!$S$7:$S$874,$P$2,BS_RE33!$N$7:$N$874,I14,BS_RE33!$P$7:$P$874,'30 days CF Table(AUD)'!G14,BS_RE33!$F$7:$F$874,'30 days CF Table(AUD)'!$C$2)</f>
        <v>0</v>
      </c>
      <c r="Q14" s="337">
        <f>SUMIFS(BS_RE33!$H$7:$H$874,BS_RE33!$S$7:$S$874,$Q$2,BS_RE33!$N$7:$N$874,I14,BS_RE33!$P$7:$P$874,'30 days CF Table(AUD)'!G14,BS_RE33!$F$7:$F$874,'30 days CF Table(AUD)'!$C$2)</f>
        <v>0</v>
      </c>
      <c r="R14" s="337">
        <f>SUMIFS(BS_RE33!$H$7:$H$874,BS_RE33!$S$7:$S$874,$R$2,BS_RE33!$N$7:$N$874,I14,BS_RE33!$P$7:$P$874,'30 days CF Table(AUD)'!G14,BS_RE33!$F$7:$F$874,'30 days CF Table(AUD)'!$C$2)</f>
        <v>0</v>
      </c>
      <c r="S14" s="337">
        <f>SUMIFS(BS_RE33!$H$7:$H$874,BS_RE33!$S$7:$S$874,$S$2,BS_RE33!$N$7:$N$874,I14,BS_RE33!$P$7:$P$874,'30 days CF Table(AUD)'!G14,BS_RE33!$F$7:$F$874,'30 days CF Table(AUD)'!$C$2)</f>
        <v>0</v>
      </c>
      <c r="T14" s="337">
        <f>SUMIFS(BS_RE33!$H$7:$H$874,BS_RE33!$S$7:$S$874,$T$2,BS_RE33!$N$7:$N$874,I14,BS_RE33!$P$7:$P$874,'30 days CF Table(AUD)'!G14,BS_RE33!$F$7:$F$874,'30 days CF Table(AUD)'!$C$2)</f>
        <v>0</v>
      </c>
      <c r="U14" s="337">
        <f>SUMIFS(BS_RE33!$H$7:$H$874,BS_RE33!$S$7:$S$874,$U$2,BS_RE33!$N$7:$N$874,I14,BS_RE33!$P$7:$P$874,'30 days CF Table(AUD)'!G14,BS_RE33!$F$7:$F$874,'30 days CF Table(AUD)'!$C$2)</f>
        <v>0</v>
      </c>
      <c r="V14" s="337">
        <f>SUMIFS(BS_RE33!$H$7:$H$874,BS_RE33!$S$7:$S$874,$V$2,BS_RE33!$N$7:$N$874,I14,BS_RE33!$P$7:$P$874,'30 days CF Table(AUD)'!G14,BS_RE33!$F$7:$F$874,'30 days CF Table(AUD)'!$C$2)</f>
        <v>0</v>
      </c>
      <c r="W14" s="337">
        <f>SUMIFS(BS_RE33!$H$7:$H$874,BS_RE33!$S$7:$S$874,$W$2,BS_RE33!$N$7:$N$874,I14,BS_RE33!$P$7:$P$874,'30 days CF Table(AUD)'!G14,BS_RE33!$F$7:$F$874,'30 days CF Table(AUD)'!$C$2)</f>
        <v>0</v>
      </c>
      <c r="X14" s="337">
        <f>SUMIFS(BS_RE33!$H$7:$H$874,BS_RE33!$S$7:$S$874,$X$2,BS_RE33!$N$7:$N$874,I14,BS_RE33!$P$7:$P$874,'30 days CF Table(AUD)'!G14,BS_RE33!$F$7:$F$874,'30 days CF Table(AUD)'!$C$2)</f>
        <v>0</v>
      </c>
      <c r="Y14" s="337">
        <f>SUMIFS(BS_RE33!$H$7:$H$874,BS_RE33!$S$7:$S$874,$Y$2,BS_RE33!$N$7:$N$874,I14,BS_RE33!$P$7:$P$874,'30 days CF Table(AUD)'!G14,BS_RE33!$F$7:$F$874,'30 days CF Table(AUD)'!$C$2)</f>
        <v>0</v>
      </c>
      <c r="Z14" s="337">
        <f>SUMIFS(BS_RE33!$H$7:$H$874,BS_RE33!$S$7:$S$874,$Z$2,BS_RE33!$N$7:$N$874,I14,BS_RE33!$P$7:$P$874,'30 days CF Table(AUD)'!G14,BS_RE33!$F$7:$F$874,'30 days CF Table(AUD)'!$C$2)</f>
        <v>0</v>
      </c>
      <c r="AA14" s="337">
        <f>SUMIFS(BS_RE33!$H$7:$H$874,BS_RE33!$S$7:$S$874,$AA$2,BS_RE33!$N$7:$N$874,I14,BS_RE33!$P$7:$P$874,'30 days CF Table(AUD)'!G14,BS_RE33!$F$7:$F$874,'30 days CF Table(AUD)'!$C$2)</f>
        <v>0</v>
      </c>
      <c r="AB14" s="337">
        <f>SUMIFS(BS_RE33!$H$7:$H$874,BS_RE33!$S$7:$S$874,$AB$2,BS_RE33!$N$7:$N$874,I14,BS_RE33!$P$7:$P$874,'30 days CF Table(AUD)'!G14,BS_RE33!$F$7:$F$874,'30 days CF Table(AUD)'!$C$2)</f>
        <v>0</v>
      </c>
      <c r="AC14" s="337">
        <f>SUMIFS(BS_RE33!$H$7:$H$874,BS_RE33!$S$7:$S$874,$AC$2,BS_RE33!$N$7:$N$874,I14,BS_RE33!$P$7:$P$874,'30 days CF Table(AUD)'!G14,BS_RE33!$F$7:$F$874,'30 days CF Table(AUD)'!$C$2)</f>
        <v>0</v>
      </c>
      <c r="AD14" s="337">
        <f>SUMIFS(BS_RE33!$H$7:$H$874,BS_RE33!$S$7:$S$874,$AD$2,BS_RE33!$N$7:$N$874,I14,BS_RE33!$P$7:$P$874,'30 days CF Table(AUD)'!G14,BS_RE33!$F$7:$F$874,'30 days CF Table(AUD)'!$C$2)</f>
        <v>0</v>
      </c>
      <c r="AE14" s="337">
        <f>SUMIFS(BS_RE33!$H$7:$H$874,BS_RE33!$S$7:$S$874,$AE$2,BS_RE33!$N$7:$N$874,I14,BS_RE33!$P$7:$P$874,'30 days CF Table(AUD)'!G14,BS_RE33!$F$7:$F$874,'30 days CF Table(AUD)'!$C$2)</f>
        <v>0</v>
      </c>
      <c r="AF14" s="337">
        <f>SUMIFS(BS_RE33!$H$7:$H$874,BS_RE33!$S$7:$S$874,$AF$2,BS_RE33!$N$7:$N$874,I14,BS_RE33!$P$7:$P$874,'30 days CF Table(AUD)'!G14,BS_RE33!$F$7:$F$874,'30 days CF Table(AUD)'!$C$2)</f>
        <v>0</v>
      </c>
      <c r="AG14" s="337">
        <f>SUMIFS(BS_RE33!$H$7:$H$874,BS_RE33!$S$7:$S$874,$AG$2,BS_RE33!$N$7:$N$874,I14,BS_RE33!$P$7:$P$874,'30 days CF Table(AUD)'!G14,BS_RE33!$F$7:$F$874,'30 days CF Table(AUD)'!$C$2)</f>
        <v>0</v>
      </c>
      <c r="AH14" s="337">
        <f>SUMIFS(BS_RE33!$H$7:$H$874,BS_RE33!$S$7:$S$874,$AH$2,BS_RE33!$N$7:$N$874,I14,BS_RE33!$P$7:$P$874,'30 days CF Table(AUD)'!G14,BS_RE33!$F$7:$F$874,'30 days CF Table(AUD)'!$C$2)</f>
        <v>0</v>
      </c>
      <c r="AI14" s="337">
        <f>SUMIFS(BS_RE33!$H$7:$H$874,BS_RE33!$S$7:$S$874,$AI$2,BS_RE33!$N$7:$N$874,I14,BS_RE33!$P$7:$P$874,'30 days CF Table(AUD)'!G14,BS_RE33!$F$7:$F$874,'30 days CF Table(AUD)'!$C$2)</f>
        <v>0</v>
      </c>
      <c r="AJ14" s="337">
        <f>SUMIFS(BS_RE33!$H$7:$H$874,BS_RE33!$S$7:$S$874,$AJ$2,BS_RE33!$N$7:$N$874,I14,BS_RE33!$P$7:$P$874,'30 days CF Table(AUD)'!G14,BS_RE33!$F$7:$F$874,'30 days CF Table(AUD)'!$C$2)</f>
        <v>0</v>
      </c>
      <c r="AK14" s="337">
        <f>SUMIFS(BS_RE33!$H$7:$H$874,BS_RE33!$S$7:$S$874,$AK$2,BS_RE33!$N$7:$N$874,I14,BS_RE33!$P$7:$P$874,'30 days CF Table(AUD)'!G14,BS_RE33!$F$7:$F$874,'30 days CF Table(AUD)'!$C$2)</f>
        <v>0</v>
      </c>
      <c r="AL14" s="337">
        <f>SUMIFS(BS_RE33!$H$7:$H$874,BS_RE33!$S$7:$S$874,$AL$2,BS_RE33!$N$7:$N$874,I14,BS_RE33!$P$7:$P$874,'30 days CF Table(AUD)'!G14,BS_RE33!$F$7:$F$874,'30 days CF Table(AUD)'!$C$2)</f>
        <v>0</v>
      </c>
      <c r="AM14" s="337">
        <f>SUMIFS(BS_RE33!$H$7:$H$874,BS_RE33!$S$7:$S$874,$AM$2,BS_RE33!$N$7:$N$874,I14,BS_RE33!$P$7:$P$874,'30 days CF Table(AUD)'!G14,BS_RE33!$F$7:$F$874,'30 days CF Table(AUD)'!$C$2)</f>
        <v>0</v>
      </c>
      <c r="AN14" s="337">
        <f>SUMIFS(BS_RE33!$H$7:$H$874,BS_RE33!$S$7:$S$874,$AN$2,BS_RE33!$N$7:$N$874,I14,BS_RE33!$P$7:$P$874,'30 days CF Table(AUD)'!G14,BS_RE33!$F$7:$F$874,'30 days CF Table(AUD)'!$C$2)</f>
        <v>0</v>
      </c>
      <c r="AO14" s="337">
        <f>SUMIFS(BS_RE33!$H$7:$H$874,BS_RE33!$S$7:$S$874,$AO$2,BS_RE33!$N$7:$N$874,I14,BS_RE33!$P$7:$P$874,'30 days CF Table(AUD)'!G14,BS_RE33!$F$7:$F$874,'30 days CF Table(AUD)'!$C$2)</f>
        <v>0</v>
      </c>
      <c r="AP14" s="338">
        <f>SUMIFS(BS_RE33!$H$7:$H$874,BS_RE33!$S$7:$S$874,$AP$2,BS_RE33!$N$7:$N$874,I14,BS_RE33!$P$7:$P$874,'30 days CF Table(AUD)'!G14,BS_RE33!$F$7:$F$874,'30 days CF Table(AUD)'!$C$2)</f>
        <v>0</v>
      </c>
      <c r="AQ14" s="545"/>
      <c r="AR14" s="379">
        <f>SUMIFS(BS_RE33!$H$7:$H$874,BS_RE33!$S$7:$S$874,$AR$2,BS_RE33!$N$7:$N$874,I14,BS_RE33!$P$7:$P$874,'30 days CF Table(AUD)'!G14,BS_RE33!$F$7:$F$874,'30 days CF Table(AUD)'!$C$2)</f>
        <v>0</v>
      </c>
      <c r="AS14" s="379">
        <f>SUMIFS(BS_RE33!$H$7:$H$874,BS_RE33!$S$7:$S$874,$AS$2,BS_RE33!$N$7:$N$874,I14,BS_RE33!$P$7:$P$874,'30 days CF Table(AUD)'!G14,BS_RE33!$F$7:$F$874,'30 days CF Table(AUD)'!$C$2)</f>
        <v>0</v>
      </c>
      <c r="AT14" s="379">
        <f>SUMIFS(BS_RE33!$H$7:$H$874,BS_RE33!$S$7:$S$874,$AT$2,BS_RE33!$N$7:$N$874,I14,BS_RE33!$P$7:$P$874,'30 days CF Table(AUD)'!G14,BS_RE33!$F$7:$F$874,'30 days CF Table(AUD)'!$C$2)</f>
        <v>0</v>
      </c>
      <c r="AU14" s="379">
        <f>SUMIFS(BS_RE33!$H$7:$H$874,BS_RE33!$S$7:$S$874,$AU$2,BS_RE33!$N$7:$N$874,I14,BS_RE33!$P$7:$P$874,'30 days CF Table(AUD)'!G14,BS_RE33!$F$7:$F$874,'30 days CF Table(AUD)'!$C$2)</f>
        <v>0</v>
      </c>
      <c r="AV14" s="379">
        <f>SUMIFS(BS_RE33!$H$7:$H$874,BS_RE33!$S$7:$S$874,$AV$2,BS_RE33!$N$7:$N$874,I14,BS_RE33!$P$7:$P$874,'30 days CF Table(AUD)'!G14,BS_RE33!$F$7:$F$874,'30 days CF Table(AUD)'!$C$2)</f>
        <v>0</v>
      </c>
      <c r="AW14" s="379">
        <f>SUMIFS(BS_RE33!$H$7:$H$874,BS_RE33!$S$7:$S$874,$AW$2,BS_RE33!$N$7:$N$874,I14,BS_RE33!$P$7:$P$874,'30 days CF Table(AUD)'!G14,BS_RE33!$F$7:$F$874,'30 days CF Table(AUD)'!$C$2)</f>
        <v>0</v>
      </c>
      <c r="AX14" s="379">
        <f>SUMIFS(BS_RE33!$H$7:$H$874,BS_RE33!$S$7:$S$874,$AX$2,BS_RE33!$N$7:$N$874,I14,BS_RE33!$P$7:$P$874,'30 days CF Table(AUD)'!G14,BS_RE33!$F$7:$F$874,'30 days CF Table(AUD)'!$C$2)</f>
        <v>0</v>
      </c>
      <c r="AY14" s="379">
        <f>SUMIFS(BS_RE33!$H$7:$H$874,BS_RE33!$S$7:$S$874,$AY$2,BS_RE33!$N$7:$N$874,I14,BS_RE33!$P$7:$P$874,'30 days CF Table(AUD)'!G14,BS_RE33!$F$7:$F$874,'30 days CF Table(AUD)'!$C$2)</f>
        <v>0</v>
      </c>
      <c r="AZ14" s="379">
        <f>SUMIFS(BS_RE33!$H$7:$H$874,BS_RE33!$S$7:$S$874,$AZ$2,BS_RE33!$N$7:$N$874,I14,BS_RE33!$P$7:$P$874,'30 days CF Table(AUD)'!G14,BS_RE33!$F$7:$F$874,'30 days CF Table(AUD)'!$C$2)</f>
        <v>0</v>
      </c>
      <c r="BA14" s="379">
        <f>SUMIFS(BS_RE33!$H$7:$H$874,BS_RE33!$S$7:$S$874,$BA$2,BS_RE33!$N$7:$N$874,I14,BS_RE33!$P$7:$P$874,'30 days CF Table(AUD)'!G14,BS_RE33!$F$7:$F$874,'30 days CF Table(AUD)'!$C$2)</f>
        <v>0</v>
      </c>
      <c r="BB14" s="379">
        <f>SUMIFS(BS_RE33!$H$7:$H$874,BS_RE33!$S$7:$S$874,$BB$2,BS_RE33!$N$7:$N$874,I14,BS_RE33!$P$7:$P$874,'30 days CF Table(AUD)'!G14,BS_RE33!$F$7:$F$874,'30 days CF Table(AUD)'!$C$2)</f>
        <v>0</v>
      </c>
      <c r="BC14" s="379">
        <f>SUMIFS(BS_RE33!$H$7:$H$874,BS_RE33!$S$7:$S$874,$BC$2,BS_RE33!$N$7:$N$874,I14,BS_RE33!$P$7:$P$874,'30 days CF Table(AUD)'!G14,BS_RE33!$F$7:$F$874,'30 days CF Table(AUD)'!$C$2)</f>
        <v>0</v>
      </c>
      <c r="BD14" s="379">
        <f>SUMIFS(BS_RE33!$H$7:$H$874,BS_RE33!$S$7:$S$874,$BD$2,BS_RE33!$N$7:$N$874,I14,BS_RE33!$P$7:$P$874,'30 days CF Table(AUD)'!G14,BS_RE33!$F$7:$F$874,'30 days CF Table(AUD)'!$C$2)</f>
        <v>0</v>
      </c>
      <c r="BE14" s="379">
        <f>SUMIFS(BS_RE33!$H$7:$H$874,BS_RE33!$S$7:$S$874,$BE$2,BS_RE33!$N$7:$N$874,I14,BS_RE33!$P$7:$P$874,'30 days CF Table(AUD)'!G14,BS_RE33!$F$7:$F$874,'30 days CF Table(AUD)'!$C$2)</f>
        <v>0</v>
      </c>
      <c r="BF14" s="379">
        <f>SUMIFS(BS_RE33!$H$7:$H$874,BS_RE33!$S$7:$S$874,$BF$2,BS_RE33!$N$7:$N$874,I14,BS_RE33!$P$7:$P$874,'30 days CF Table(AUD)'!G14,BS_RE33!$F$7:$F$874,'30 days CF Table(AUD)'!$C$2)</f>
        <v>0</v>
      </c>
      <c r="BG14" s="379">
        <f>SUMIFS(BS_RE33!$H$7:$H$874,BS_RE33!$S$7:$S$874,$BG$2,BS_RE33!$N$7:$N$874,I14,BS_RE33!$P$7:$P$874,'30 days CF Table(AUD)'!G14,BS_RE33!$F$7:$F$874,'30 days CF Table(AUD)'!$C$2)</f>
        <v>0</v>
      </c>
      <c r="BH14" s="379">
        <f>SUMIFS(BS_RE33!$H$7:$H$874,BS_RE33!$S$7:$S$874,$BH$2,BS_RE33!$N$7:$N$874,I14,BS_RE33!$P$7:$P$874,'30 days CF Table(AUD)'!G14,BS_RE33!$F$7:$F$874,'30 days CF Table(AUD)'!$C$2)</f>
        <v>0</v>
      </c>
      <c r="BI14" s="379">
        <f>SUMIFS(BS_RE33!$H$7:$H$874,BS_RE33!$S$7:$S$874,$BI$2,BS_RE33!$N$7:$N$874,I14,BS_RE33!$P$7:$P$874,'30 days CF Table(AUD)'!G14,BS_RE33!$F$7:$F$874,'30 days CF Table(AUD)'!$C$2)</f>
        <v>0</v>
      </c>
      <c r="BJ14" s="379">
        <f>SUMIFS(BS_RE33!$H$7:$H$874,BS_RE33!$S$7:$S$874,$BJ$2,BS_RE33!$N$7:$N$874,I14,BS_RE33!$P$7:$P$874,'30 days CF Table(AUD)'!G14,BS_RE33!$F$7:$F$874,'30 days CF Table(AUD)'!$C$2)</f>
        <v>0</v>
      </c>
      <c r="BK14" s="379">
        <f>SUMIFS(BS_RE33!$H$7:$H$874,BS_RE33!$S$7:$S$874,$BK$2,BS_RE33!$N$7:$N$874,I14,BS_RE33!$P$7:$P$874,'30 days CF Table(AUD)'!G14,BS_RE33!$F$7:$F$874,'30 days CF Table(AUD)'!$C$2)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Table(AUD)'!G15,BS_RE33!$F$7:$F$874,'30 days CF Table(AUD)'!$C$2)</f>
        <v>0</v>
      </c>
      <c r="M15" s="337">
        <f>SUMIFS(BS_RE33!$H$7:$H$874,BS_RE33!$S$7:$S$874,$M$2,BS_RE33!$N$7:$N$874,I15,BS_RE33!$P$7:$P$874,'30 days CF Table(AUD)'!G15,BS_RE33!$F$7:$F$874,'30 days CF Table(AUD)'!$C$2)</f>
        <v>0</v>
      </c>
      <c r="N15" s="337">
        <f>SUMIFS(BS_RE33!$H$7:$H$874,BS_RE33!$S$7:$S$874,$N$2,BS_RE33!$N$7:$N$874,I15,BS_RE33!$P$7:$P$874,'30 days CF Table(AUD)'!G15,BS_RE33!$F$7:$F$874,'30 days CF Table(AUD)'!$C$2)</f>
        <v>0</v>
      </c>
      <c r="O15" s="337">
        <f>SUMIFS(BS_RE33!$H$7:$H$874,BS_RE33!$S$7:$S$874,$O$2,BS_RE33!$N$7:$N$874,I15,BS_RE33!$P$7:$P$874,'30 days CF Table(AUD)'!G15,BS_RE33!$F$7:$F$874,'30 days CF Table(AUD)'!$C$2)</f>
        <v>0</v>
      </c>
      <c r="P15" s="337">
        <f>SUMIFS(BS_RE33!$H$7:$H$874,BS_RE33!$S$7:$S$874,$P$2,BS_RE33!$N$7:$N$874,I15,BS_RE33!$P$7:$P$874,'30 days CF Table(AUD)'!G15,BS_RE33!$F$7:$F$874,'30 days CF Table(AUD)'!$C$2)</f>
        <v>0</v>
      </c>
      <c r="Q15" s="337">
        <f>SUMIFS(BS_RE33!$H$7:$H$874,BS_RE33!$S$7:$S$874,$Q$2,BS_RE33!$N$7:$N$874,I15,BS_RE33!$P$7:$P$874,'30 days CF Table(AUD)'!G15,BS_RE33!$F$7:$F$874,'30 days CF Table(AUD)'!$C$2)</f>
        <v>0</v>
      </c>
      <c r="R15" s="337">
        <f>SUMIFS(BS_RE33!$H$7:$H$874,BS_RE33!$S$7:$S$874,$R$2,BS_RE33!$N$7:$N$874,I15,BS_RE33!$P$7:$P$874,'30 days CF Table(AUD)'!G15,BS_RE33!$F$7:$F$874,'30 days CF Table(AUD)'!$C$2)</f>
        <v>0</v>
      </c>
      <c r="S15" s="337">
        <f>SUMIFS(BS_RE33!$H$7:$H$874,BS_RE33!$S$7:$S$874,$S$2,BS_RE33!$N$7:$N$874,I15,BS_RE33!$P$7:$P$874,'30 days CF Table(AUD)'!G15,BS_RE33!$F$7:$F$874,'30 days CF Table(AUD)'!$C$2)</f>
        <v>0</v>
      </c>
      <c r="T15" s="337">
        <f>SUMIFS(BS_RE33!$H$7:$H$874,BS_RE33!$S$7:$S$874,$T$2,BS_RE33!$N$7:$N$874,I15,BS_RE33!$P$7:$P$874,'30 days CF Table(AUD)'!G15,BS_RE33!$F$7:$F$874,'30 days CF Table(AUD)'!$C$2)</f>
        <v>0</v>
      </c>
      <c r="U15" s="337">
        <f>SUMIFS(BS_RE33!$H$7:$H$874,BS_RE33!$S$7:$S$874,$U$2,BS_RE33!$N$7:$N$874,I15,BS_RE33!$P$7:$P$874,'30 days CF Table(AUD)'!G15,BS_RE33!$F$7:$F$874,'30 days CF Table(AUD)'!$C$2)</f>
        <v>0</v>
      </c>
      <c r="V15" s="337">
        <f>SUMIFS(BS_RE33!$H$7:$H$874,BS_RE33!$S$7:$S$874,$V$2,BS_RE33!$N$7:$N$874,I15,BS_RE33!$P$7:$P$874,'30 days CF Table(AUD)'!G15,BS_RE33!$F$7:$F$874,'30 days CF Table(AUD)'!$C$2)</f>
        <v>0</v>
      </c>
      <c r="W15" s="337">
        <f>SUMIFS(BS_RE33!$H$7:$H$874,BS_RE33!$S$7:$S$874,$W$2,BS_RE33!$N$7:$N$874,I15,BS_RE33!$P$7:$P$874,'30 days CF Table(AUD)'!G15,BS_RE33!$F$7:$F$874,'30 days CF Table(AUD)'!$C$2)</f>
        <v>0</v>
      </c>
      <c r="X15" s="337">
        <f>SUMIFS(BS_RE33!$H$7:$H$874,BS_RE33!$S$7:$S$874,$X$2,BS_RE33!$N$7:$N$874,I15,BS_RE33!$P$7:$P$874,'30 days CF Table(AUD)'!G15,BS_RE33!$F$7:$F$874,'30 days CF Table(AUD)'!$C$2)</f>
        <v>0</v>
      </c>
      <c r="Y15" s="337">
        <f>SUMIFS(BS_RE33!$H$7:$H$874,BS_RE33!$S$7:$S$874,$Y$2,BS_RE33!$N$7:$N$874,I15,BS_RE33!$P$7:$P$874,'30 days CF Table(AUD)'!G15,BS_RE33!$F$7:$F$874,'30 days CF Table(AUD)'!$C$2)</f>
        <v>0</v>
      </c>
      <c r="Z15" s="337">
        <f>SUMIFS(BS_RE33!$H$7:$H$874,BS_RE33!$S$7:$S$874,$Z$2,BS_RE33!$N$7:$N$874,I15,BS_RE33!$P$7:$P$874,'30 days CF Table(AUD)'!G15,BS_RE33!$F$7:$F$874,'30 days CF Table(AUD)'!$C$2)</f>
        <v>0</v>
      </c>
      <c r="AA15" s="337">
        <f>SUMIFS(BS_RE33!$H$7:$H$874,BS_RE33!$S$7:$S$874,$AA$2,BS_RE33!$N$7:$N$874,I15,BS_RE33!$P$7:$P$874,'30 days CF Table(AUD)'!G15,BS_RE33!$F$7:$F$874,'30 days CF Table(AUD)'!$C$2)</f>
        <v>0</v>
      </c>
      <c r="AB15" s="337">
        <f>SUMIFS(BS_RE33!$H$7:$H$874,BS_RE33!$S$7:$S$874,$AB$2,BS_RE33!$N$7:$N$874,I15,BS_RE33!$P$7:$P$874,'30 days CF Table(AUD)'!G15,BS_RE33!$F$7:$F$874,'30 days CF Table(AUD)'!$C$2)</f>
        <v>0</v>
      </c>
      <c r="AC15" s="337">
        <f>SUMIFS(BS_RE33!$H$7:$H$874,BS_RE33!$S$7:$S$874,$AC$2,BS_RE33!$N$7:$N$874,I15,BS_RE33!$P$7:$P$874,'30 days CF Table(AUD)'!G15,BS_RE33!$F$7:$F$874,'30 days CF Table(AUD)'!$C$2)</f>
        <v>0</v>
      </c>
      <c r="AD15" s="337">
        <f>SUMIFS(BS_RE33!$H$7:$H$874,BS_RE33!$S$7:$S$874,$AD$2,BS_RE33!$N$7:$N$874,I15,BS_RE33!$P$7:$P$874,'30 days CF Table(AUD)'!G15,BS_RE33!$F$7:$F$874,'30 days CF Table(AUD)'!$C$2)</f>
        <v>0</v>
      </c>
      <c r="AE15" s="337">
        <f>SUMIFS(BS_RE33!$H$7:$H$874,BS_RE33!$S$7:$S$874,$AE$2,BS_RE33!$N$7:$N$874,I15,BS_RE33!$P$7:$P$874,'30 days CF Table(AUD)'!G15,BS_RE33!$F$7:$F$874,'30 days CF Table(AUD)'!$C$2)</f>
        <v>0</v>
      </c>
      <c r="AF15" s="337">
        <f>SUMIFS(BS_RE33!$H$7:$H$874,BS_RE33!$S$7:$S$874,$AF$2,BS_RE33!$N$7:$N$874,I15,BS_RE33!$P$7:$P$874,'30 days CF Table(AUD)'!G15,BS_RE33!$F$7:$F$874,'30 days CF Table(AUD)'!$C$2)</f>
        <v>0</v>
      </c>
      <c r="AG15" s="337">
        <f>SUMIFS(BS_RE33!$H$7:$H$874,BS_RE33!$S$7:$S$874,$AG$2,BS_RE33!$N$7:$N$874,I15,BS_RE33!$P$7:$P$874,'30 days CF Table(AUD)'!G15,BS_RE33!$F$7:$F$874,'30 days CF Table(AUD)'!$C$2)</f>
        <v>0</v>
      </c>
      <c r="AH15" s="337">
        <f>SUMIFS(BS_RE33!$H$7:$H$874,BS_RE33!$S$7:$S$874,$AH$2,BS_RE33!$N$7:$N$874,I15,BS_RE33!$P$7:$P$874,'30 days CF Table(AUD)'!G15,BS_RE33!$F$7:$F$874,'30 days CF Table(AUD)'!$C$2)</f>
        <v>0</v>
      </c>
      <c r="AI15" s="337">
        <f>SUMIFS(BS_RE33!$H$7:$H$874,BS_RE33!$S$7:$S$874,$AI$2,BS_RE33!$N$7:$N$874,I15,BS_RE33!$P$7:$P$874,'30 days CF Table(AUD)'!G15,BS_RE33!$F$7:$F$874,'30 days CF Table(AUD)'!$C$2)</f>
        <v>0</v>
      </c>
      <c r="AJ15" s="337">
        <f>SUMIFS(BS_RE33!$H$7:$H$874,BS_RE33!$S$7:$S$874,$AJ$2,BS_RE33!$N$7:$N$874,I15,BS_RE33!$P$7:$P$874,'30 days CF Table(AUD)'!G15,BS_RE33!$F$7:$F$874,'30 days CF Table(AUD)'!$C$2)</f>
        <v>0</v>
      </c>
      <c r="AK15" s="337">
        <f>SUMIFS(BS_RE33!$H$7:$H$874,BS_RE33!$S$7:$S$874,$AK$2,BS_RE33!$N$7:$N$874,I15,BS_RE33!$P$7:$P$874,'30 days CF Table(AUD)'!G15,BS_RE33!$F$7:$F$874,'30 days CF Table(AUD)'!$C$2)</f>
        <v>0</v>
      </c>
      <c r="AL15" s="337">
        <f>SUMIFS(BS_RE33!$H$7:$H$874,BS_RE33!$S$7:$S$874,$AL$2,BS_RE33!$N$7:$N$874,I15,BS_RE33!$P$7:$P$874,'30 days CF Table(AUD)'!G15,BS_RE33!$F$7:$F$874,'30 days CF Table(AUD)'!$C$2)</f>
        <v>0</v>
      </c>
      <c r="AM15" s="337">
        <f>SUMIFS(BS_RE33!$H$7:$H$874,BS_RE33!$S$7:$S$874,$AM$2,BS_RE33!$N$7:$N$874,I15,BS_RE33!$P$7:$P$874,'30 days CF Table(AUD)'!G15,BS_RE33!$F$7:$F$874,'30 days CF Table(AUD)'!$C$2)</f>
        <v>0</v>
      </c>
      <c r="AN15" s="337">
        <f>SUMIFS(BS_RE33!$H$7:$H$874,BS_RE33!$S$7:$S$874,$AN$2,BS_RE33!$N$7:$N$874,I15,BS_RE33!$P$7:$P$874,'30 days CF Table(AUD)'!G15,BS_RE33!$F$7:$F$874,'30 days CF Table(AUD)'!$C$2)</f>
        <v>0</v>
      </c>
      <c r="AO15" s="337">
        <f>SUMIFS(BS_RE33!$H$7:$H$874,BS_RE33!$S$7:$S$874,$AO$2,BS_RE33!$N$7:$N$874,I15,BS_RE33!$P$7:$P$874,'30 days CF Table(AUD)'!G15,BS_RE33!$F$7:$F$874,'30 days CF Table(AUD)'!$C$2)</f>
        <v>0</v>
      </c>
      <c r="AP15" s="338">
        <f>SUMIFS(BS_RE33!$H$7:$H$874,BS_RE33!$S$7:$S$874,$AP$2,BS_RE33!$N$7:$N$874,I15,BS_RE33!$P$7:$P$874,'30 days CF Table(AUD)'!G15,BS_RE33!$F$7:$F$874,'30 days CF Table(AUD)'!$C$2)</f>
        <v>0</v>
      </c>
      <c r="AQ15" s="545"/>
      <c r="AR15" s="379">
        <f>SUMIFS(BS_RE33!$H$7:$H$874,BS_RE33!$S$7:$S$874,$AR$2,BS_RE33!$N$7:$N$874,I15,BS_RE33!$P$7:$P$874,'30 days CF Table(AUD)'!G15,BS_RE33!$F$7:$F$874,'30 days CF Table(AUD)'!$C$2)</f>
        <v>0</v>
      </c>
      <c r="AS15" s="379">
        <f>SUMIFS(BS_RE33!$H$7:$H$874,BS_RE33!$S$7:$S$874,$AS$2,BS_RE33!$N$7:$N$874,I15,BS_RE33!$P$7:$P$874,'30 days CF Table(AUD)'!G15,BS_RE33!$F$7:$F$874,'30 days CF Table(AUD)'!$C$2)</f>
        <v>0</v>
      </c>
      <c r="AT15" s="379">
        <f>SUMIFS(BS_RE33!$H$7:$H$874,BS_RE33!$S$7:$S$874,$AT$2,BS_RE33!$N$7:$N$874,I15,BS_RE33!$P$7:$P$874,'30 days CF Table(AUD)'!G15,BS_RE33!$F$7:$F$874,'30 days CF Table(AUD)'!$C$2)</f>
        <v>0</v>
      </c>
      <c r="AU15" s="379">
        <f>SUMIFS(BS_RE33!$H$7:$H$874,BS_RE33!$S$7:$S$874,$AU$2,BS_RE33!$N$7:$N$874,I15,BS_RE33!$P$7:$P$874,'30 days CF Table(AUD)'!G15,BS_RE33!$F$7:$F$874,'30 days CF Table(AUD)'!$C$2)</f>
        <v>0</v>
      </c>
      <c r="AV15" s="379">
        <f>SUMIFS(BS_RE33!$H$7:$H$874,BS_RE33!$S$7:$S$874,$AV$2,BS_RE33!$N$7:$N$874,I15,BS_RE33!$P$7:$P$874,'30 days CF Table(AUD)'!G15,BS_RE33!$F$7:$F$874,'30 days CF Table(AUD)'!$C$2)</f>
        <v>0</v>
      </c>
      <c r="AW15" s="379">
        <f>SUMIFS(BS_RE33!$H$7:$H$874,BS_RE33!$S$7:$S$874,$AW$2,BS_RE33!$N$7:$N$874,I15,BS_RE33!$P$7:$P$874,'30 days CF Table(AUD)'!G15,BS_RE33!$F$7:$F$874,'30 days CF Table(AUD)'!$C$2)</f>
        <v>0</v>
      </c>
      <c r="AX15" s="379">
        <f>SUMIFS(BS_RE33!$H$7:$H$874,BS_RE33!$S$7:$S$874,$AX$2,BS_RE33!$N$7:$N$874,I15,BS_RE33!$P$7:$P$874,'30 days CF Table(AUD)'!G15,BS_RE33!$F$7:$F$874,'30 days CF Table(AUD)'!$C$2)</f>
        <v>0</v>
      </c>
      <c r="AY15" s="379">
        <f>SUMIFS(BS_RE33!$H$7:$H$874,BS_RE33!$S$7:$S$874,$AY$2,BS_RE33!$N$7:$N$874,I15,BS_RE33!$P$7:$P$874,'30 days CF Table(AUD)'!G15,BS_RE33!$F$7:$F$874,'30 days CF Table(AUD)'!$C$2)</f>
        <v>0</v>
      </c>
      <c r="AZ15" s="379">
        <f>SUMIFS(BS_RE33!$H$7:$H$874,BS_RE33!$S$7:$S$874,$AZ$2,BS_RE33!$N$7:$N$874,I15,BS_RE33!$P$7:$P$874,'30 days CF Table(AUD)'!G15,BS_RE33!$F$7:$F$874,'30 days CF Table(AUD)'!$C$2)</f>
        <v>0</v>
      </c>
      <c r="BA15" s="379">
        <f>SUMIFS(BS_RE33!$H$7:$H$874,BS_RE33!$S$7:$S$874,$BA$2,BS_RE33!$N$7:$N$874,I15,BS_RE33!$P$7:$P$874,'30 days CF Table(AUD)'!G15,BS_RE33!$F$7:$F$874,'30 days CF Table(AUD)'!$C$2)</f>
        <v>0</v>
      </c>
      <c r="BB15" s="379">
        <f>SUMIFS(BS_RE33!$H$7:$H$874,BS_RE33!$S$7:$S$874,$BB$2,BS_RE33!$N$7:$N$874,I15,BS_RE33!$P$7:$P$874,'30 days CF Table(AUD)'!G15,BS_RE33!$F$7:$F$874,'30 days CF Table(AUD)'!$C$2)</f>
        <v>0</v>
      </c>
      <c r="BC15" s="379">
        <f>SUMIFS(BS_RE33!$H$7:$H$874,BS_RE33!$S$7:$S$874,$BC$2,BS_RE33!$N$7:$N$874,I15,BS_RE33!$P$7:$P$874,'30 days CF Table(AUD)'!G15,BS_RE33!$F$7:$F$874,'30 days CF Table(AUD)'!$C$2)</f>
        <v>0</v>
      </c>
      <c r="BD15" s="379">
        <f>SUMIFS(BS_RE33!$H$7:$H$874,BS_RE33!$S$7:$S$874,$BD$2,BS_RE33!$N$7:$N$874,I15,BS_RE33!$P$7:$P$874,'30 days CF Table(AUD)'!G15,BS_RE33!$F$7:$F$874,'30 days CF Table(AUD)'!$C$2)</f>
        <v>0</v>
      </c>
      <c r="BE15" s="379">
        <f>SUMIFS(BS_RE33!$H$7:$H$874,BS_RE33!$S$7:$S$874,$BE$2,BS_RE33!$N$7:$N$874,I15,BS_RE33!$P$7:$P$874,'30 days CF Table(AUD)'!G15,BS_RE33!$F$7:$F$874,'30 days CF Table(AUD)'!$C$2)</f>
        <v>0</v>
      </c>
      <c r="BF15" s="379">
        <f>SUMIFS(BS_RE33!$H$7:$H$874,BS_RE33!$S$7:$S$874,$BF$2,BS_RE33!$N$7:$N$874,I15,BS_RE33!$P$7:$P$874,'30 days CF Table(AUD)'!G15,BS_RE33!$F$7:$F$874,'30 days CF Table(AUD)'!$C$2)</f>
        <v>0</v>
      </c>
      <c r="BG15" s="379">
        <f>SUMIFS(BS_RE33!$H$7:$H$874,BS_RE33!$S$7:$S$874,$BG$2,BS_RE33!$N$7:$N$874,I15,BS_RE33!$P$7:$P$874,'30 days CF Table(AUD)'!G15,BS_RE33!$F$7:$F$874,'30 days CF Table(AUD)'!$C$2)</f>
        <v>0</v>
      </c>
      <c r="BH15" s="379">
        <f>SUMIFS(BS_RE33!$H$7:$H$874,BS_RE33!$S$7:$S$874,$BH$2,BS_RE33!$N$7:$N$874,I15,BS_RE33!$P$7:$P$874,'30 days CF Table(AUD)'!G15,BS_RE33!$F$7:$F$874,'30 days CF Table(AUD)'!$C$2)</f>
        <v>0</v>
      </c>
      <c r="BI15" s="379">
        <f>SUMIFS(BS_RE33!$H$7:$H$874,BS_RE33!$S$7:$S$874,$BI$2,BS_RE33!$N$7:$N$874,I15,BS_RE33!$P$7:$P$874,'30 days CF Table(AUD)'!G15,BS_RE33!$F$7:$F$874,'30 days CF Table(AUD)'!$C$2)</f>
        <v>0</v>
      </c>
      <c r="BJ15" s="379">
        <f>SUMIFS(BS_RE33!$H$7:$H$874,BS_RE33!$S$7:$S$874,$BJ$2,BS_RE33!$N$7:$N$874,I15,BS_RE33!$P$7:$P$874,'30 days CF Table(AUD)'!G15,BS_RE33!$F$7:$F$874,'30 days CF Table(AUD)'!$C$2)</f>
        <v>0</v>
      </c>
      <c r="BK15" s="379">
        <f>SUMIFS(BS_RE33!$H$7:$H$874,BS_RE33!$S$7:$S$874,$BK$2,BS_RE33!$N$7:$N$874,I15,BS_RE33!$P$7:$P$874,'30 days CF Table(AUD)'!G15,BS_RE33!$F$7:$F$874,'30 days CF Table(AUD)'!$C$2)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Table(AUD)'!G16,BS_RE33!$F$7:$F$874,'30 days CF Table(AUD)'!$C$2)</f>
        <v>0</v>
      </c>
      <c r="M16" s="337">
        <f>SUMIFS(BS_RE33!$H$7:$H$874,BS_RE33!$S$7:$S$874,$M$2,BS_RE33!$N$7:$N$874,I16,BS_RE33!$P$7:$P$874,'30 days CF Table(AUD)'!G16,BS_RE33!$F$7:$F$874,'30 days CF Table(AUD)'!$C$2)</f>
        <v>0</v>
      </c>
      <c r="N16" s="337">
        <f>SUMIFS(BS_RE33!$H$7:$H$874,BS_RE33!$S$7:$S$874,$N$2,BS_RE33!$N$7:$N$874,I16,BS_RE33!$P$7:$P$874,'30 days CF Table(AUD)'!G16,BS_RE33!$F$7:$F$874,'30 days CF Table(AUD)'!$C$2)</f>
        <v>0</v>
      </c>
      <c r="O16" s="337">
        <f>SUMIFS(BS_RE33!$H$7:$H$874,BS_RE33!$S$7:$S$874,$O$2,BS_RE33!$N$7:$N$874,I16,BS_RE33!$P$7:$P$874,'30 days CF Table(AUD)'!G16,BS_RE33!$F$7:$F$874,'30 days CF Table(AUD)'!$C$2)</f>
        <v>0</v>
      </c>
      <c r="P16" s="337">
        <f>SUMIFS(BS_RE33!$H$7:$H$874,BS_RE33!$S$7:$S$874,$P$2,BS_RE33!$N$7:$N$874,I16,BS_RE33!$P$7:$P$874,'30 days CF Table(AUD)'!G16,BS_RE33!$F$7:$F$874,'30 days CF Table(AUD)'!$C$2)</f>
        <v>0</v>
      </c>
      <c r="Q16" s="337">
        <f>SUMIFS(BS_RE33!$H$7:$H$874,BS_RE33!$S$7:$S$874,$Q$2,BS_RE33!$N$7:$N$874,I16,BS_RE33!$P$7:$P$874,'30 days CF Table(AUD)'!G16,BS_RE33!$F$7:$F$874,'30 days CF Table(AUD)'!$C$2)</f>
        <v>0</v>
      </c>
      <c r="R16" s="337">
        <f>SUMIFS(BS_RE33!$H$7:$H$874,BS_RE33!$S$7:$S$874,$R$2,BS_RE33!$N$7:$N$874,I16,BS_RE33!$P$7:$P$874,'30 days CF Table(AUD)'!G16,BS_RE33!$F$7:$F$874,'30 days CF Table(AUD)'!$C$2)</f>
        <v>0</v>
      </c>
      <c r="S16" s="337">
        <f>SUMIFS(BS_RE33!$H$7:$H$874,BS_RE33!$S$7:$S$874,$S$2,BS_RE33!$N$7:$N$874,I16,BS_RE33!$P$7:$P$874,'30 days CF Table(AUD)'!G16,BS_RE33!$F$7:$F$874,'30 days CF Table(AUD)'!$C$2)</f>
        <v>0</v>
      </c>
      <c r="T16" s="337">
        <f>SUMIFS(BS_RE33!$H$7:$H$874,BS_RE33!$S$7:$S$874,$T$2,BS_RE33!$N$7:$N$874,I16,BS_RE33!$P$7:$P$874,'30 days CF Table(AUD)'!G16,BS_RE33!$F$7:$F$874,'30 days CF Table(AUD)'!$C$2)</f>
        <v>0</v>
      </c>
      <c r="U16" s="337">
        <f>SUMIFS(BS_RE33!$H$7:$H$874,BS_RE33!$S$7:$S$874,$U$2,BS_RE33!$N$7:$N$874,I16,BS_RE33!$P$7:$P$874,'30 days CF Table(AUD)'!G16,BS_RE33!$F$7:$F$874,'30 days CF Table(AUD)'!$C$2)</f>
        <v>0</v>
      </c>
      <c r="V16" s="337">
        <f>SUMIFS(BS_RE33!$H$7:$H$874,BS_RE33!$S$7:$S$874,$V$2,BS_RE33!$N$7:$N$874,I16,BS_RE33!$P$7:$P$874,'30 days CF Table(AUD)'!G16,BS_RE33!$F$7:$F$874,'30 days CF Table(AUD)'!$C$2)</f>
        <v>0</v>
      </c>
      <c r="W16" s="337">
        <f>SUMIFS(BS_RE33!$H$7:$H$874,BS_RE33!$S$7:$S$874,$W$2,BS_RE33!$N$7:$N$874,I16,BS_RE33!$P$7:$P$874,'30 days CF Table(AUD)'!G16,BS_RE33!$F$7:$F$874,'30 days CF Table(AUD)'!$C$2)</f>
        <v>0</v>
      </c>
      <c r="X16" s="337">
        <f>SUMIFS(BS_RE33!$H$7:$H$874,BS_RE33!$S$7:$S$874,$X$2,BS_RE33!$N$7:$N$874,I16,BS_RE33!$P$7:$P$874,'30 days CF Table(AUD)'!G16,BS_RE33!$F$7:$F$874,'30 days CF Table(AUD)'!$C$2)</f>
        <v>0</v>
      </c>
      <c r="Y16" s="337">
        <f>SUMIFS(BS_RE33!$H$7:$H$874,BS_RE33!$S$7:$S$874,$Y$2,BS_RE33!$N$7:$N$874,I16,BS_RE33!$P$7:$P$874,'30 days CF Table(AUD)'!G16,BS_RE33!$F$7:$F$874,'30 days CF Table(AUD)'!$C$2)</f>
        <v>0</v>
      </c>
      <c r="Z16" s="337">
        <f>SUMIFS(BS_RE33!$H$7:$H$874,BS_RE33!$S$7:$S$874,$Z$2,BS_RE33!$N$7:$N$874,I16,BS_RE33!$P$7:$P$874,'30 days CF Table(AUD)'!G16,BS_RE33!$F$7:$F$874,'30 days CF Table(AUD)'!$C$2)</f>
        <v>0</v>
      </c>
      <c r="AA16" s="337">
        <f>SUMIFS(BS_RE33!$H$7:$H$874,BS_RE33!$S$7:$S$874,$AA$2,BS_RE33!$N$7:$N$874,I16,BS_RE33!$P$7:$P$874,'30 days CF Table(AUD)'!G16,BS_RE33!$F$7:$F$874,'30 days CF Table(AUD)'!$C$2)</f>
        <v>0</v>
      </c>
      <c r="AB16" s="337">
        <f>SUMIFS(BS_RE33!$H$7:$H$874,BS_RE33!$S$7:$S$874,$AB$2,BS_RE33!$N$7:$N$874,I16,BS_RE33!$P$7:$P$874,'30 days CF Table(AUD)'!G16,BS_RE33!$F$7:$F$874,'30 days CF Table(AUD)'!$C$2)</f>
        <v>0</v>
      </c>
      <c r="AC16" s="337">
        <f>SUMIFS(BS_RE33!$H$7:$H$874,BS_RE33!$S$7:$S$874,$AC$2,BS_RE33!$N$7:$N$874,I16,BS_RE33!$P$7:$P$874,'30 days CF Table(AUD)'!G16,BS_RE33!$F$7:$F$874,'30 days CF Table(AUD)'!$C$2)</f>
        <v>0</v>
      </c>
      <c r="AD16" s="337">
        <f>SUMIFS(BS_RE33!$H$7:$H$874,BS_RE33!$S$7:$S$874,$AD$2,BS_RE33!$N$7:$N$874,I16,BS_RE33!$P$7:$P$874,'30 days CF Table(AUD)'!G16,BS_RE33!$F$7:$F$874,'30 days CF Table(AUD)'!$C$2)</f>
        <v>0</v>
      </c>
      <c r="AE16" s="337">
        <f>SUMIFS(BS_RE33!$H$7:$H$874,BS_RE33!$S$7:$S$874,$AE$2,BS_RE33!$N$7:$N$874,I16,BS_RE33!$P$7:$P$874,'30 days CF Table(AUD)'!G16,BS_RE33!$F$7:$F$874,'30 days CF Table(AUD)'!$C$2)</f>
        <v>0</v>
      </c>
      <c r="AF16" s="337">
        <f>SUMIFS(BS_RE33!$H$7:$H$874,BS_RE33!$S$7:$S$874,$AF$2,BS_RE33!$N$7:$N$874,I16,BS_RE33!$P$7:$P$874,'30 days CF Table(AUD)'!G16,BS_RE33!$F$7:$F$874,'30 days CF Table(AUD)'!$C$2)</f>
        <v>0</v>
      </c>
      <c r="AG16" s="337">
        <f>SUMIFS(BS_RE33!$H$7:$H$874,BS_RE33!$S$7:$S$874,$AG$2,BS_RE33!$N$7:$N$874,I16,BS_RE33!$P$7:$P$874,'30 days CF Table(AUD)'!G16,BS_RE33!$F$7:$F$874,'30 days CF Table(AUD)'!$C$2)</f>
        <v>0</v>
      </c>
      <c r="AH16" s="337">
        <f>SUMIFS(BS_RE33!$H$7:$H$874,BS_RE33!$S$7:$S$874,$AH$2,BS_RE33!$N$7:$N$874,I16,BS_RE33!$P$7:$P$874,'30 days CF Table(AUD)'!G16,BS_RE33!$F$7:$F$874,'30 days CF Table(AUD)'!$C$2)</f>
        <v>0</v>
      </c>
      <c r="AI16" s="337">
        <f>SUMIFS(BS_RE33!$H$7:$H$874,BS_RE33!$S$7:$S$874,$AI$2,BS_RE33!$N$7:$N$874,I16,BS_RE33!$P$7:$P$874,'30 days CF Table(AUD)'!G16,BS_RE33!$F$7:$F$874,'30 days CF Table(AUD)'!$C$2)</f>
        <v>0</v>
      </c>
      <c r="AJ16" s="337">
        <f>SUMIFS(BS_RE33!$H$7:$H$874,BS_RE33!$S$7:$S$874,$AJ$2,BS_RE33!$N$7:$N$874,I16,BS_RE33!$P$7:$P$874,'30 days CF Table(AUD)'!G16,BS_RE33!$F$7:$F$874,'30 days CF Table(AUD)'!$C$2)</f>
        <v>0</v>
      </c>
      <c r="AK16" s="337">
        <f>SUMIFS(BS_RE33!$H$7:$H$874,BS_RE33!$S$7:$S$874,$AK$2,BS_RE33!$N$7:$N$874,I16,BS_RE33!$P$7:$P$874,'30 days CF Table(AUD)'!G16,BS_RE33!$F$7:$F$874,'30 days CF Table(AUD)'!$C$2)</f>
        <v>0</v>
      </c>
      <c r="AL16" s="337">
        <f>SUMIFS(BS_RE33!$H$7:$H$874,BS_RE33!$S$7:$S$874,$AL$2,BS_RE33!$N$7:$N$874,I16,BS_RE33!$P$7:$P$874,'30 days CF Table(AUD)'!G16,BS_RE33!$F$7:$F$874,'30 days CF Table(AUD)'!$C$2)</f>
        <v>0</v>
      </c>
      <c r="AM16" s="337">
        <f>SUMIFS(BS_RE33!$H$7:$H$874,BS_RE33!$S$7:$S$874,$AM$2,BS_RE33!$N$7:$N$874,I16,BS_RE33!$P$7:$P$874,'30 days CF Table(AUD)'!G16,BS_RE33!$F$7:$F$874,'30 days CF Table(AUD)'!$C$2)</f>
        <v>0</v>
      </c>
      <c r="AN16" s="337">
        <f>SUMIFS(BS_RE33!$H$7:$H$874,BS_RE33!$S$7:$S$874,$AN$2,BS_RE33!$N$7:$N$874,I16,BS_RE33!$P$7:$P$874,'30 days CF Table(AUD)'!G16,BS_RE33!$F$7:$F$874,'30 days CF Table(AUD)'!$C$2)</f>
        <v>0</v>
      </c>
      <c r="AO16" s="337">
        <f>SUMIFS(BS_RE33!$H$7:$H$874,BS_RE33!$S$7:$S$874,$AO$2,BS_RE33!$N$7:$N$874,I16,BS_RE33!$P$7:$P$874,'30 days CF Table(AUD)'!G16,BS_RE33!$F$7:$F$874,'30 days CF Table(AUD)'!$C$2)</f>
        <v>0</v>
      </c>
      <c r="AP16" s="338">
        <f>SUMIFS(BS_RE33!$H$7:$H$874,BS_RE33!$S$7:$S$874,$AP$2,BS_RE33!$N$7:$N$874,I16,BS_RE33!$P$7:$P$874,'30 days CF Table(AUD)'!G16,BS_RE33!$F$7:$F$874,'30 days CF Table(AUD)'!$C$2)</f>
        <v>0</v>
      </c>
      <c r="AQ16" s="545"/>
      <c r="AR16" s="379">
        <f>SUMIFS(BS_RE33!$H$7:$H$874,BS_RE33!$S$7:$S$874,$AR$2,BS_RE33!$N$7:$N$874,I16,BS_RE33!$P$7:$P$874,'30 days CF Table(AUD)'!G16,BS_RE33!$F$7:$F$874,'30 days CF Table(AUD)'!$C$2)</f>
        <v>0</v>
      </c>
      <c r="AS16" s="379">
        <f>SUMIFS(BS_RE33!$H$7:$H$874,BS_RE33!$S$7:$S$874,$AS$2,BS_RE33!$N$7:$N$874,I16,BS_RE33!$P$7:$P$874,'30 days CF Table(AUD)'!G16,BS_RE33!$F$7:$F$874,'30 days CF Table(AUD)'!$C$2)</f>
        <v>0</v>
      </c>
      <c r="AT16" s="379">
        <f>SUMIFS(BS_RE33!$H$7:$H$874,BS_RE33!$S$7:$S$874,$AT$2,BS_RE33!$N$7:$N$874,I16,BS_RE33!$P$7:$P$874,'30 days CF Table(AUD)'!G16,BS_RE33!$F$7:$F$874,'30 days CF Table(AUD)'!$C$2)</f>
        <v>0</v>
      </c>
      <c r="AU16" s="379">
        <f>SUMIFS(BS_RE33!$H$7:$H$874,BS_RE33!$S$7:$S$874,$AU$2,BS_RE33!$N$7:$N$874,I16,BS_RE33!$P$7:$P$874,'30 days CF Table(AUD)'!G16,BS_RE33!$F$7:$F$874,'30 days CF Table(AUD)'!$C$2)</f>
        <v>0</v>
      </c>
      <c r="AV16" s="379">
        <f>SUMIFS(BS_RE33!$H$7:$H$874,BS_RE33!$S$7:$S$874,$AV$2,BS_RE33!$N$7:$N$874,I16,BS_RE33!$P$7:$P$874,'30 days CF Table(AUD)'!G16,BS_RE33!$F$7:$F$874,'30 days CF Table(AUD)'!$C$2)</f>
        <v>0</v>
      </c>
      <c r="AW16" s="379">
        <f>SUMIFS(BS_RE33!$H$7:$H$874,BS_RE33!$S$7:$S$874,$AW$2,BS_RE33!$N$7:$N$874,I16,BS_RE33!$P$7:$P$874,'30 days CF Table(AUD)'!G16,BS_RE33!$F$7:$F$874,'30 days CF Table(AUD)'!$C$2)</f>
        <v>0</v>
      </c>
      <c r="AX16" s="379">
        <f>SUMIFS(BS_RE33!$H$7:$H$874,BS_RE33!$S$7:$S$874,$AX$2,BS_RE33!$N$7:$N$874,I16,BS_RE33!$P$7:$P$874,'30 days CF Table(AUD)'!G16,BS_RE33!$F$7:$F$874,'30 days CF Table(AUD)'!$C$2)</f>
        <v>0</v>
      </c>
      <c r="AY16" s="379">
        <f>SUMIFS(BS_RE33!$H$7:$H$874,BS_RE33!$S$7:$S$874,$AY$2,BS_RE33!$N$7:$N$874,I16,BS_RE33!$P$7:$P$874,'30 days CF Table(AUD)'!G16,BS_RE33!$F$7:$F$874,'30 days CF Table(AUD)'!$C$2)</f>
        <v>0</v>
      </c>
      <c r="AZ16" s="379">
        <f>SUMIFS(BS_RE33!$H$7:$H$874,BS_RE33!$S$7:$S$874,$AZ$2,BS_RE33!$N$7:$N$874,I16,BS_RE33!$P$7:$P$874,'30 days CF Table(AUD)'!G16,BS_RE33!$F$7:$F$874,'30 days CF Table(AUD)'!$C$2)</f>
        <v>0</v>
      </c>
      <c r="BA16" s="379">
        <f>SUMIFS(BS_RE33!$H$7:$H$874,BS_RE33!$S$7:$S$874,$BA$2,BS_RE33!$N$7:$N$874,I16,BS_RE33!$P$7:$P$874,'30 days CF Table(AUD)'!G16,BS_RE33!$F$7:$F$874,'30 days CF Table(AUD)'!$C$2)</f>
        <v>0</v>
      </c>
      <c r="BB16" s="379">
        <f>SUMIFS(BS_RE33!$H$7:$H$874,BS_RE33!$S$7:$S$874,$BB$2,BS_RE33!$N$7:$N$874,I16,BS_RE33!$P$7:$P$874,'30 days CF Table(AUD)'!G16,BS_RE33!$F$7:$F$874,'30 days CF Table(AUD)'!$C$2)</f>
        <v>0</v>
      </c>
      <c r="BC16" s="379">
        <f>SUMIFS(BS_RE33!$H$7:$H$874,BS_RE33!$S$7:$S$874,$BC$2,BS_RE33!$N$7:$N$874,I16,BS_RE33!$P$7:$P$874,'30 days CF Table(AUD)'!G16,BS_RE33!$F$7:$F$874,'30 days CF Table(AUD)'!$C$2)</f>
        <v>0</v>
      </c>
      <c r="BD16" s="379">
        <f>SUMIFS(BS_RE33!$H$7:$H$874,BS_RE33!$S$7:$S$874,$BD$2,BS_RE33!$N$7:$N$874,I16,BS_RE33!$P$7:$P$874,'30 days CF Table(AUD)'!G16,BS_RE33!$F$7:$F$874,'30 days CF Table(AUD)'!$C$2)</f>
        <v>0</v>
      </c>
      <c r="BE16" s="379">
        <f>SUMIFS(BS_RE33!$H$7:$H$874,BS_RE33!$S$7:$S$874,$BE$2,BS_RE33!$N$7:$N$874,I16,BS_RE33!$P$7:$P$874,'30 days CF Table(AUD)'!G16,BS_RE33!$F$7:$F$874,'30 days CF Table(AUD)'!$C$2)</f>
        <v>0</v>
      </c>
      <c r="BF16" s="379">
        <f>SUMIFS(BS_RE33!$H$7:$H$874,BS_RE33!$S$7:$S$874,$BF$2,BS_RE33!$N$7:$N$874,I16,BS_RE33!$P$7:$P$874,'30 days CF Table(AUD)'!G16,BS_RE33!$F$7:$F$874,'30 days CF Table(AUD)'!$C$2)</f>
        <v>0</v>
      </c>
      <c r="BG16" s="379">
        <f>SUMIFS(BS_RE33!$H$7:$H$874,BS_RE33!$S$7:$S$874,$BG$2,BS_RE33!$N$7:$N$874,I16,BS_RE33!$P$7:$P$874,'30 days CF Table(AUD)'!G16,BS_RE33!$F$7:$F$874,'30 days CF Table(AUD)'!$C$2)</f>
        <v>0</v>
      </c>
      <c r="BH16" s="379">
        <f>SUMIFS(BS_RE33!$H$7:$H$874,BS_RE33!$S$7:$S$874,$BH$2,BS_RE33!$N$7:$N$874,I16,BS_RE33!$P$7:$P$874,'30 days CF Table(AUD)'!G16,BS_RE33!$F$7:$F$874,'30 days CF Table(AUD)'!$C$2)</f>
        <v>0</v>
      </c>
      <c r="BI16" s="379">
        <f>SUMIFS(BS_RE33!$H$7:$H$874,BS_RE33!$S$7:$S$874,$BI$2,BS_RE33!$N$7:$N$874,I16,BS_RE33!$P$7:$P$874,'30 days CF Table(AUD)'!G16,BS_RE33!$F$7:$F$874,'30 days CF Table(AUD)'!$C$2)</f>
        <v>0</v>
      </c>
      <c r="BJ16" s="379">
        <f>SUMIFS(BS_RE33!$H$7:$H$874,BS_RE33!$S$7:$S$874,$BJ$2,BS_RE33!$N$7:$N$874,I16,BS_RE33!$P$7:$P$874,'30 days CF Table(AUD)'!G16,BS_RE33!$F$7:$F$874,'30 days CF Table(AUD)'!$C$2)</f>
        <v>0</v>
      </c>
      <c r="BK16" s="379">
        <f>SUMIFS(BS_RE33!$H$7:$H$874,BS_RE33!$S$7:$S$874,$BK$2,BS_RE33!$N$7:$N$874,I16,BS_RE33!$P$7:$P$874,'30 days CF Table(AUD)'!G16,BS_RE33!$F$7:$F$874,'30 days CF Table(AUD)'!$C$2)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Table(AUD)'!G17,BS_RE33!$F$7:$F$874,'30 days CF Table(AUD)'!$C$2)</f>
        <v>0</v>
      </c>
      <c r="M17" s="337">
        <f>SUMIFS(BS_RE33!$H$7:$H$874,BS_RE33!$S$7:$S$874,$M$2,BS_RE33!$N$7:$N$874,I17,BS_RE33!$P$7:$P$874,'30 days CF Table(AUD)'!G17,BS_RE33!$F$7:$F$874,'30 days CF Table(AUD)'!$C$2)</f>
        <v>0</v>
      </c>
      <c r="N17" s="337">
        <f>SUMIFS(BS_RE33!$H$7:$H$874,BS_RE33!$S$7:$S$874,$N$2,BS_RE33!$N$7:$N$874,I17,BS_RE33!$P$7:$P$874,'30 days CF Table(AUD)'!G17,BS_RE33!$F$7:$F$874,'30 days CF Table(AUD)'!$C$2)</f>
        <v>0</v>
      </c>
      <c r="O17" s="337">
        <f>SUMIFS(BS_RE33!$H$7:$H$874,BS_RE33!$S$7:$S$874,$O$2,BS_RE33!$N$7:$N$874,I17,BS_RE33!$P$7:$P$874,'30 days CF Table(AUD)'!G17,BS_RE33!$F$7:$F$874,'30 days CF Table(AUD)'!$C$2)</f>
        <v>0</v>
      </c>
      <c r="P17" s="337">
        <f>SUMIFS(BS_RE33!$H$7:$H$874,BS_RE33!$S$7:$S$874,$P$2,BS_RE33!$N$7:$N$874,I17,BS_RE33!$P$7:$P$874,'30 days CF Table(AUD)'!G17,BS_RE33!$F$7:$F$874,'30 days CF Table(AUD)'!$C$2)</f>
        <v>0</v>
      </c>
      <c r="Q17" s="337">
        <f>SUMIFS(BS_RE33!$H$7:$H$874,BS_RE33!$S$7:$S$874,$Q$2,BS_RE33!$N$7:$N$874,I17,BS_RE33!$P$7:$P$874,'30 days CF Table(AUD)'!G17,BS_RE33!$F$7:$F$874,'30 days CF Table(AUD)'!$C$2)</f>
        <v>0</v>
      </c>
      <c r="R17" s="337">
        <f>SUMIFS(BS_RE33!$H$7:$H$874,BS_RE33!$S$7:$S$874,$R$2,BS_RE33!$N$7:$N$874,I17,BS_RE33!$P$7:$P$874,'30 days CF Table(AUD)'!G17,BS_RE33!$F$7:$F$874,'30 days CF Table(AUD)'!$C$2)</f>
        <v>0</v>
      </c>
      <c r="S17" s="337">
        <f>SUMIFS(BS_RE33!$H$7:$H$874,BS_RE33!$S$7:$S$874,$S$2,BS_RE33!$N$7:$N$874,I17,BS_RE33!$P$7:$P$874,'30 days CF Table(AUD)'!G17,BS_RE33!$F$7:$F$874,'30 days CF Table(AUD)'!$C$2)</f>
        <v>0</v>
      </c>
      <c r="T17" s="337">
        <f>SUMIFS(BS_RE33!$H$7:$H$874,BS_RE33!$S$7:$S$874,$T$2,BS_RE33!$N$7:$N$874,I17,BS_RE33!$P$7:$P$874,'30 days CF Table(AUD)'!G17,BS_RE33!$F$7:$F$874,'30 days CF Table(AUD)'!$C$2)</f>
        <v>0</v>
      </c>
      <c r="U17" s="337">
        <f>SUMIFS(BS_RE33!$H$7:$H$874,BS_RE33!$S$7:$S$874,$U$2,BS_RE33!$N$7:$N$874,I17,BS_RE33!$P$7:$P$874,'30 days CF Table(AUD)'!G17,BS_RE33!$F$7:$F$874,'30 days CF Table(AUD)'!$C$2)</f>
        <v>0</v>
      </c>
      <c r="V17" s="337">
        <f>SUMIFS(BS_RE33!$H$7:$H$874,BS_RE33!$S$7:$S$874,$V$2,BS_RE33!$N$7:$N$874,I17,BS_RE33!$P$7:$P$874,'30 days CF Table(AUD)'!G17,BS_RE33!$F$7:$F$874,'30 days CF Table(AUD)'!$C$2)</f>
        <v>0</v>
      </c>
      <c r="W17" s="337">
        <f>SUMIFS(BS_RE33!$H$7:$H$874,BS_RE33!$S$7:$S$874,$W$2,BS_RE33!$N$7:$N$874,I17,BS_RE33!$P$7:$P$874,'30 days CF Table(AUD)'!G17,BS_RE33!$F$7:$F$874,'30 days CF Table(AUD)'!$C$2)</f>
        <v>0</v>
      </c>
      <c r="X17" s="337">
        <f>SUMIFS(BS_RE33!$H$7:$H$874,BS_RE33!$S$7:$S$874,$X$2,BS_RE33!$N$7:$N$874,I17,BS_RE33!$P$7:$P$874,'30 days CF Table(AUD)'!G17,BS_RE33!$F$7:$F$874,'30 days CF Table(AUD)'!$C$2)</f>
        <v>0</v>
      </c>
      <c r="Y17" s="337">
        <f>SUMIFS(BS_RE33!$H$7:$H$874,BS_RE33!$S$7:$S$874,$Y$2,BS_RE33!$N$7:$N$874,I17,BS_RE33!$P$7:$P$874,'30 days CF Table(AUD)'!G17,BS_RE33!$F$7:$F$874,'30 days CF Table(AUD)'!$C$2)</f>
        <v>0</v>
      </c>
      <c r="Z17" s="337">
        <f>SUMIFS(BS_RE33!$H$7:$H$874,BS_RE33!$S$7:$S$874,$Z$2,BS_RE33!$N$7:$N$874,I17,BS_RE33!$P$7:$P$874,'30 days CF Table(AUD)'!G17,BS_RE33!$F$7:$F$874,'30 days CF Table(AUD)'!$C$2)</f>
        <v>0</v>
      </c>
      <c r="AA17" s="337">
        <f>SUMIFS(BS_RE33!$H$7:$H$874,BS_RE33!$S$7:$S$874,$AA$2,BS_RE33!$N$7:$N$874,I17,BS_RE33!$P$7:$P$874,'30 days CF Table(AUD)'!G17,BS_RE33!$F$7:$F$874,'30 days CF Table(AUD)'!$C$2)</f>
        <v>0</v>
      </c>
      <c r="AB17" s="337">
        <f>SUMIFS(BS_RE33!$H$7:$H$874,BS_RE33!$S$7:$S$874,$AB$2,BS_RE33!$N$7:$N$874,I17,BS_RE33!$P$7:$P$874,'30 days CF Table(AUD)'!G17,BS_RE33!$F$7:$F$874,'30 days CF Table(AUD)'!$C$2)</f>
        <v>0</v>
      </c>
      <c r="AC17" s="337">
        <f>SUMIFS(BS_RE33!$H$7:$H$874,BS_RE33!$S$7:$S$874,$AC$2,BS_RE33!$N$7:$N$874,I17,BS_RE33!$P$7:$P$874,'30 days CF Table(AUD)'!G17,BS_RE33!$F$7:$F$874,'30 days CF Table(AUD)'!$C$2)</f>
        <v>0</v>
      </c>
      <c r="AD17" s="337">
        <f>SUMIFS(BS_RE33!$H$7:$H$874,BS_RE33!$S$7:$S$874,$AD$2,BS_RE33!$N$7:$N$874,I17,BS_RE33!$P$7:$P$874,'30 days CF Table(AUD)'!G17,BS_RE33!$F$7:$F$874,'30 days CF Table(AUD)'!$C$2)</f>
        <v>0</v>
      </c>
      <c r="AE17" s="337">
        <f>SUMIFS(BS_RE33!$H$7:$H$874,BS_RE33!$S$7:$S$874,$AE$2,BS_RE33!$N$7:$N$874,I17,BS_RE33!$P$7:$P$874,'30 days CF Table(AUD)'!G17,BS_RE33!$F$7:$F$874,'30 days CF Table(AUD)'!$C$2)</f>
        <v>0</v>
      </c>
      <c r="AF17" s="337">
        <f>SUMIFS(BS_RE33!$H$7:$H$874,BS_RE33!$S$7:$S$874,$AF$2,BS_RE33!$N$7:$N$874,I17,BS_RE33!$P$7:$P$874,'30 days CF Table(AUD)'!G17,BS_RE33!$F$7:$F$874,'30 days CF Table(AUD)'!$C$2)</f>
        <v>0</v>
      </c>
      <c r="AG17" s="337">
        <f>SUMIFS(BS_RE33!$H$7:$H$874,BS_RE33!$S$7:$S$874,$AG$2,BS_RE33!$N$7:$N$874,I17,BS_RE33!$P$7:$P$874,'30 days CF Table(AUD)'!G17,BS_RE33!$F$7:$F$874,'30 days CF Table(AUD)'!$C$2)</f>
        <v>0</v>
      </c>
      <c r="AH17" s="337">
        <f>SUMIFS(BS_RE33!$H$7:$H$874,BS_RE33!$S$7:$S$874,$AH$2,BS_RE33!$N$7:$N$874,I17,BS_RE33!$P$7:$P$874,'30 days CF Table(AUD)'!G17,BS_RE33!$F$7:$F$874,'30 days CF Table(AUD)'!$C$2)</f>
        <v>0</v>
      </c>
      <c r="AI17" s="337">
        <f>SUMIFS(BS_RE33!$H$7:$H$874,BS_RE33!$S$7:$S$874,$AI$2,BS_RE33!$N$7:$N$874,I17,BS_RE33!$P$7:$P$874,'30 days CF Table(AUD)'!G17,BS_RE33!$F$7:$F$874,'30 days CF Table(AUD)'!$C$2)</f>
        <v>0</v>
      </c>
      <c r="AJ17" s="337">
        <f>SUMIFS(BS_RE33!$H$7:$H$874,BS_RE33!$S$7:$S$874,$AJ$2,BS_RE33!$N$7:$N$874,I17,BS_RE33!$P$7:$P$874,'30 days CF Table(AUD)'!G17,BS_RE33!$F$7:$F$874,'30 days CF Table(AUD)'!$C$2)</f>
        <v>0</v>
      </c>
      <c r="AK17" s="337">
        <f>SUMIFS(BS_RE33!$H$7:$H$874,BS_RE33!$S$7:$S$874,$AK$2,BS_RE33!$N$7:$N$874,I17,BS_RE33!$P$7:$P$874,'30 days CF Table(AUD)'!G17,BS_RE33!$F$7:$F$874,'30 days CF Table(AUD)'!$C$2)</f>
        <v>0</v>
      </c>
      <c r="AL17" s="337">
        <f>SUMIFS(BS_RE33!$H$7:$H$874,BS_RE33!$S$7:$S$874,$AL$2,BS_RE33!$N$7:$N$874,I17,BS_RE33!$P$7:$P$874,'30 days CF Table(AUD)'!G17,BS_RE33!$F$7:$F$874,'30 days CF Table(AUD)'!$C$2)</f>
        <v>0</v>
      </c>
      <c r="AM17" s="337">
        <f>SUMIFS(BS_RE33!$H$7:$H$874,BS_RE33!$S$7:$S$874,$AM$2,BS_RE33!$N$7:$N$874,I17,BS_RE33!$P$7:$P$874,'30 days CF Table(AUD)'!G17,BS_RE33!$F$7:$F$874,'30 days CF Table(AUD)'!$C$2)</f>
        <v>0</v>
      </c>
      <c r="AN17" s="337">
        <f>SUMIFS(BS_RE33!$H$7:$H$874,BS_RE33!$S$7:$S$874,$AN$2,BS_RE33!$N$7:$N$874,I17,BS_RE33!$P$7:$P$874,'30 days CF Table(AUD)'!G17,BS_RE33!$F$7:$F$874,'30 days CF Table(AUD)'!$C$2)</f>
        <v>0</v>
      </c>
      <c r="AO17" s="337">
        <f>SUMIFS(BS_RE33!$H$7:$H$874,BS_RE33!$S$7:$S$874,$AO$2,BS_RE33!$N$7:$N$874,I17,BS_RE33!$P$7:$P$874,'30 days CF Table(AUD)'!G17,BS_RE33!$F$7:$F$874,'30 days CF Table(AUD)'!$C$2)</f>
        <v>0</v>
      </c>
      <c r="AP17" s="338">
        <f>SUMIFS(BS_RE33!$H$7:$H$874,BS_RE33!$S$7:$S$874,$AP$2,BS_RE33!$N$7:$N$874,I17,BS_RE33!$P$7:$P$874,'30 days CF Table(AUD)'!G17,BS_RE33!$F$7:$F$874,'30 days CF Table(AUD)'!$C$2)</f>
        <v>0</v>
      </c>
      <c r="AQ17" s="545"/>
      <c r="AR17" s="379">
        <f>SUMIFS(BS_RE33!$H$7:$H$874,BS_RE33!$S$7:$S$874,$AR$2,BS_RE33!$N$7:$N$874,I17,BS_RE33!$P$7:$P$874,'30 days CF Table(AUD)'!G17,BS_RE33!$F$7:$F$874,'30 days CF Table(AUD)'!$C$2)</f>
        <v>0</v>
      </c>
      <c r="AS17" s="379">
        <f>SUMIFS(BS_RE33!$H$7:$H$874,BS_RE33!$S$7:$S$874,$AS$2,BS_RE33!$N$7:$N$874,I17,BS_RE33!$P$7:$P$874,'30 days CF Table(AUD)'!G17,BS_RE33!$F$7:$F$874,'30 days CF Table(AUD)'!$C$2)</f>
        <v>0</v>
      </c>
      <c r="AT17" s="379">
        <f>SUMIFS(BS_RE33!$H$7:$H$874,BS_RE33!$S$7:$S$874,$AT$2,BS_RE33!$N$7:$N$874,I17,BS_RE33!$P$7:$P$874,'30 days CF Table(AUD)'!G17,BS_RE33!$F$7:$F$874,'30 days CF Table(AUD)'!$C$2)</f>
        <v>0</v>
      </c>
      <c r="AU17" s="379">
        <f>SUMIFS(BS_RE33!$H$7:$H$874,BS_RE33!$S$7:$S$874,$AU$2,BS_RE33!$N$7:$N$874,I17,BS_RE33!$P$7:$P$874,'30 days CF Table(AUD)'!G17,BS_RE33!$F$7:$F$874,'30 days CF Table(AUD)'!$C$2)</f>
        <v>0</v>
      </c>
      <c r="AV17" s="379">
        <f>SUMIFS(BS_RE33!$H$7:$H$874,BS_RE33!$S$7:$S$874,$AV$2,BS_RE33!$N$7:$N$874,I17,BS_RE33!$P$7:$P$874,'30 days CF Table(AUD)'!G17,BS_RE33!$F$7:$F$874,'30 days CF Table(AUD)'!$C$2)</f>
        <v>0</v>
      </c>
      <c r="AW17" s="379">
        <f>SUMIFS(BS_RE33!$H$7:$H$874,BS_RE33!$S$7:$S$874,$AW$2,BS_RE33!$N$7:$N$874,I17,BS_RE33!$P$7:$P$874,'30 days CF Table(AUD)'!G17,BS_RE33!$F$7:$F$874,'30 days CF Table(AUD)'!$C$2)</f>
        <v>0</v>
      </c>
      <c r="AX17" s="379">
        <f>SUMIFS(BS_RE33!$H$7:$H$874,BS_RE33!$S$7:$S$874,$AX$2,BS_RE33!$N$7:$N$874,I17,BS_RE33!$P$7:$P$874,'30 days CF Table(AUD)'!G17,BS_RE33!$F$7:$F$874,'30 days CF Table(AUD)'!$C$2)</f>
        <v>0</v>
      </c>
      <c r="AY17" s="379">
        <f>SUMIFS(BS_RE33!$H$7:$H$874,BS_RE33!$S$7:$S$874,$AY$2,BS_RE33!$N$7:$N$874,I17,BS_RE33!$P$7:$P$874,'30 days CF Table(AUD)'!G17,BS_RE33!$F$7:$F$874,'30 days CF Table(AUD)'!$C$2)</f>
        <v>0</v>
      </c>
      <c r="AZ17" s="379">
        <f>SUMIFS(BS_RE33!$H$7:$H$874,BS_RE33!$S$7:$S$874,$AZ$2,BS_RE33!$N$7:$N$874,I17,BS_RE33!$P$7:$P$874,'30 days CF Table(AUD)'!G17,BS_RE33!$F$7:$F$874,'30 days CF Table(AUD)'!$C$2)</f>
        <v>0</v>
      </c>
      <c r="BA17" s="379">
        <f>SUMIFS(BS_RE33!$H$7:$H$874,BS_RE33!$S$7:$S$874,$BA$2,BS_RE33!$N$7:$N$874,I17,BS_RE33!$P$7:$P$874,'30 days CF Table(AUD)'!G17,BS_RE33!$F$7:$F$874,'30 days CF Table(AUD)'!$C$2)</f>
        <v>0</v>
      </c>
      <c r="BB17" s="379">
        <f>SUMIFS(BS_RE33!$H$7:$H$874,BS_RE33!$S$7:$S$874,$BB$2,BS_RE33!$N$7:$N$874,I17,BS_RE33!$P$7:$P$874,'30 days CF Table(AUD)'!G17,BS_RE33!$F$7:$F$874,'30 days CF Table(AUD)'!$C$2)</f>
        <v>0</v>
      </c>
      <c r="BC17" s="379">
        <f>SUMIFS(BS_RE33!$H$7:$H$874,BS_RE33!$S$7:$S$874,$BC$2,BS_RE33!$N$7:$N$874,I17,BS_RE33!$P$7:$P$874,'30 days CF Table(AUD)'!G17,BS_RE33!$F$7:$F$874,'30 days CF Table(AUD)'!$C$2)</f>
        <v>0</v>
      </c>
      <c r="BD17" s="379">
        <f>SUMIFS(BS_RE33!$H$7:$H$874,BS_RE33!$S$7:$S$874,$BD$2,BS_RE33!$N$7:$N$874,I17,BS_RE33!$P$7:$P$874,'30 days CF Table(AUD)'!G17,BS_RE33!$F$7:$F$874,'30 days CF Table(AUD)'!$C$2)</f>
        <v>0</v>
      </c>
      <c r="BE17" s="379">
        <f>SUMIFS(BS_RE33!$H$7:$H$874,BS_RE33!$S$7:$S$874,$BE$2,BS_RE33!$N$7:$N$874,I17,BS_RE33!$P$7:$P$874,'30 days CF Table(AUD)'!G17,BS_RE33!$F$7:$F$874,'30 days CF Table(AUD)'!$C$2)</f>
        <v>0</v>
      </c>
      <c r="BF17" s="379">
        <f>SUMIFS(BS_RE33!$H$7:$H$874,BS_RE33!$S$7:$S$874,$BF$2,BS_RE33!$N$7:$N$874,I17,BS_RE33!$P$7:$P$874,'30 days CF Table(AUD)'!G17,BS_RE33!$F$7:$F$874,'30 days CF Table(AUD)'!$C$2)</f>
        <v>0</v>
      </c>
      <c r="BG17" s="379">
        <f>SUMIFS(BS_RE33!$H$7:$H$874,BS_RE33!$S$7:$S$874,$BG$2,BS_RE33!$N$7:$N$874,I17,BS_RE33!$P$7:$P$874,'30 days CF Table(AUD)'!G17,BS_RE33!$F$7:$F$874,'30 days CF Table(AUD)'!$C$2)</f>
        <v>0</v>
      </c>
      <c r="BH17" s="379">
        <f>SUMIFS(BS_RE33!$H$7:$H$874,BS_RE33!$S$7:$S$874,$BH$2,BS_RE33!$N$7:$N$874,I17,BS_RE33!$P$7:$P$874,'30 days CF Table(AUD)'!G17,BS_RE33!$F$7:$F$874,'30 days CF Table(AUD)'!$C$2)</f>
        <v>0</v>
      </c>
      <c r="BI17" s="379">
        <f>SUMIFS(BS_RE33!$H$7:$H$874,BS_RE33!$S$7:$S$874,$BI$2,BS_RE33!$N$7:$N$874,I17,BS_RE33!$P$7:$P$874,'30 days CF Table(AUD)'!G17,BS_RE33!$F$7:$F$874,'30 days CF Table(AUD)'!$C$2)</f>
        <v>0</v>
      </c>
      <c r="BJ17" s="379">
        <f>SUMIFS(BS_RE33!$H$7:$H$874,BS_RE33!$S$7:$S$874,$BJ$2,BS_RE33!$N$7:$N$874,I17,BS_RE33!$P$7:$P$874,'30 days CF Table(AUD)'!G17,BS_RE33!$F$7:$F$874,'30 days CF Table(AUD)'!$C$2)</f>
        <v>0</v>
      </c>
      <c r="BK17" s="379">
        <f>SUMIFS(BS_RE33!$H$7:$H$874,BS_RE33!$S$7:$S$874,$BK$2,BS_RE33!$N$7:$N$874,I17,BS_RE33!$P$7:$P$874,'30 days CF Table(AUD)'!G17,BS_RE33!$F$7:$F$874,'30 days CF Table(AUD)'!$C$2)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Table(AUD)'!G18,BS_RE33!$F$7:$F$874,'30 days CF Table(AUD)'!$C$2)</f>
        <v>0</v>
      </c>
      <c r="M18" s="337">
        <f>SUMIFS(BS_RE33!$H$7:$H$874,BS_RE33!$S$7:$S$874,$M$2,BS_RE33!$N$7:$N$874,I18,BS_RE33!$P$7:$P$874,'30 days CF Table(AUD)'!G18,BS_RE33!$F$7:$F$874,'30 days CF Table(AUD)'!$C$2)</f>
        <v>0</v>
      </c>
      <c r="N18" s="337">
        <f>SUMIFS(BS_RE33!$H$7:$H$874,BS_RE33!$S$7:$S$874,$N$2,BS_RE33!$N$7:$N$874,I18,BS_RE33!$P$7:$P$874,'30 days CF Table(AUD)'!G18,BS_RE33!$F$7:$F$874,'30 days CF Table(AUD)'!$C$2)</f>
        <v>0</v>
      </c>
      <c r="O18" s="337">
        <f>SUMIFS(BS_RE33!$H$7:$H$874,BS_RE33!$S$7:$S$874,$O$2,BS_RE33!$N$7:$N$874,I18,BS_RE33!$P$7:$P$874,'30 days CF Table(AUD)'!G18,BS_RE33!$F$7:$F$874,'30 days CF Table(AUD)'!$C$2)</f>
        <v>0</v>
      </c>
      <c r="P18" s="337">
        <f>SUMIFS(BS_RE33!$H$7:$H$874,BS_RE33!$S$7:$S$874,$P$2,BS_RE33!$N$7:$N$874,I18,BS_RE33!$P$7:$P$874,'30 days CF Table(AUD)'!G18,BS_RE33!$F$7:$F$874,'30 days CF Table(AUD)'!$C$2)</f>
        <v>0</v>
      </c>
      <c r="Q18" s="337">
        <f>SUMIFS(BS_RE33!$H$7:$H$874,BS_RE33!$S$7:$S$874,$Q$2,BS_RE33!$N$7:$N$874,I18,BS_RE33!$P$7:$P$874,'30 days CF Table(AUD)'!G18,BS_RE33!$F$7:$F$874,'30 days CF Table(AUD)'!$C$2)</f>
        <v>0</v>
      </c>
      <c r="R18" s="337">
        <f>SUMIFS(BS_RE33!$H$7:$H$874,BS_RE33!$S$7:$S$874,$R$2,BS_RE33!$N$7:$N$874,I18,BS_RE33!$P$7:$P$874,'30 days CF Table(AUD)'!G18,BS_RE33!$F$7:$F$874,'30 days CF Table(AUD)'!$C$2)</f>
        <v>0</v>
      </c>
      <c r="S18" s="337">
        <f>SUMIFS(BS_RE33!$H$7:$H$874,BS_RE33!$S$7:$S$874,$S$2,BS_RE33!$N$7:$N$874,I18,BS_RE33!$P$7:$P$874,'30 days CF Table(AUD)'!G18,BS_RE33!$F$7:$F$874,'30 days CF Table(AUD)'!$C$2)</f>
        <v>0</v>
      </c>
      <c r="T18" s="337">
        <f>SUMIFS(BS_RE33!$H$7:$H$874,BS_RE33!$S$7:$S$874,$T$2,BS_RE33!$N$7:$N$874,I18,BS_RE33!$P$7:$P$874,'30 days CF Table(AUD)'!G18,BS_RE33!$F$7:$F$874,'30 days CF Table(AUD)'!$C$2)</f>
        <v>0</v>
      </c>
      <c r="U18" s="337">
        <f>SUMIFS(BS_RE33!$H$7:$H$874,BS_RE33!$S$7:$S$874,$U$2,BS_RE33!$N$7:$N$874,I18,BS_RE33!$P$7:$P$874,'30 days CF Table(AUD)'!G18,BS_RE33!$F$7:$F$874,'30 days CF Table(AUD)'!$C$2)</f>
        <v>0</v>
      </c>
      <c r="V18" s="337">
        <f>SUMIFS(BS_RE33!$H$7:$H$874,BS_RE33!$S$7:$S$874,$V$2,BS_RE33!$N$7:$N$874,I18,BS_RE33!$P$7:$P$874,'30 days CF Table(AUD)'!G18,BS_RE33!$F$7:$F$874,'30 days CF Table(AUD)'!$C$2)</f>
        <v>0</v>
      </c>
      <c r="W18" s="337">
        <f>SUMIFS(BS_RE33!$H$7:$H$874,BS_RE33!$S$7:$S$874,$W$2,BS_RE33!$N$7:$N$874,I18,BS_RE33!$P$7:$P$874,'30 days CF Table(AUD)'!G18,BS_RE33!$F$7:$F$874,'30 days CF Table(AUD)'!$C$2)</f>
        <v>0</v>
      </c>
      <c r="X18" s="337">
        <f>SUMIFS(BS_RE33!$H$7:$H$874,BS_RE33!$S$7:$S$874,$X$2,BS_RE33!$N$7:$N$874,I18,BS_RE33!$P$7:$P$874,'30 days CF Table(AUD)'!G18,BS_RE33!$F$7:$F$874,'30 days CF Table(AUD)'!$C$2)</f>
        <v>0</v>
      </c>
      <c r="Y18" s="337">
        <f>SUMIFS(BS_RE33!$H$7:$H$874,BS_RE33!$S$7:$S$874,$Y$2,BS_RE33!$N$7:$N$874,I18,BS_RE33!$P$7:$P$874,'30 days CF Table(AUD)'!G18,BS_RE33!$F$7:$F$874,'30 days CF Table(AUD)'!$C$2)</f>
        <v>0</v>
      </c>
      <c r="Z18" s="337">
        <f>SUMIFS(BS_RE33!$H$7:$H$874,BS_RE33!$S$7:$S$874,$Z$2,BS_RE33!$N$7:$N$874,I18,BS_RE33!$P$7:$P$874,'30 days CF Table(AUD)'!G18,BS_RE33!$F$7:$F$874,'30 days CF Table(AUD)'!$C$2)</f>
        <v>0</v>
      </c>
      <c r="AA18" s="337">
        <f>SUMIFS(BS_RE33!$H$7:$H$874,BS_RE33!$S$7:$S$874,$AA$2,BS_RE33!$N$7:$N$874,I18,BS_RE33!$P$7:$P$874,'30 days CF Table(AUD)'!G18,BS_RE33!$F$7:$F$874,'30 days CF Table(AUD)'!$C$2)</f>
        <v>0</v>
      </c>
      <c r="AB18" s="337">
        <f>SUMIFS(BS_RE33!$H$7:$H$874,BS_RE33!$S$7:$S$874,$AB$2,BS_RE33!$N$7:$N$874,I18,BS_RE33!$P$7:$P$874,'30 days CF Table(AUD)'!G18,BS_RE33!$F$7:$F$874,'30 days CF Table(AUD)'!$C$2)</f>
        <v>0</v>
      </c>
      <c r="AC18" s="337">
        <f>SUMIFS(BS_RE33!$H$7:$H$874,BS_RE33!$S$7:$S$874,$AC$2,BS_RE33!$N$7:$N$874,I18,BS_RE33!$P$7:$P$874,'30 days CF Table(AUD)'!G18,BS_RE33!$F$7:$F$874,'30 days CF Table(AUD)'!$C$2)</f>
        <v>0</v>
      </c>
      <c r="AD18" s="337">
        <f>SUMIFS(BS_RE33!$H$7:$H$874,BS_RE33!$S$7:$S$874,$AD$2,BS_RE33!$N$7:$N$874,I18,BS_RE33!$P$7:$P$874,'30 days CF Table(AUD)'!G18,BS_RE33!$F$7:$F$874,'30 days CF Table(AUD)'!$C$2)</f>
        <v>0</v>
      </c>
      <c r="AE18" s="337">
        <f>SUMIFS(BS_RE33!$H$7:$H$874,BS_RE33!$S$7:$S$874,$AE$2,BS_RE33!$N$7:$N$874,I18,BS_RE33!$P$7:$P$874,'30 days CF Table(AUD)'!G18,BS_RE33!$F$7:$F$874,'30 days CF Table(AUD)'!$C$2)</f>
        <v>0</v>
      </c>
      <c r="AF18" s="337">
        <f>SUMIFS(BS_RE33!$H$7:$H$874,BS_RE33!$S$7:$S$874,$AF$2,BS_RE33!$N$7:$N$874,I18,BS_RE33!$P$7:$P$874,'30 days CF Table(AUD)'!G18,BS_RE33!$F$7:$F$874,'30 days CF Table(AUD)'!$C$2)</f>
        <v>0</v>
      </c>
      <c r="AG18" s="337">
        <f>SUMIFS(BS_RE33!$H$7:$H$874,BS_RE33!$S$7:$S$874,$AG$2,BS_RE33!$N$7:$N$874,I18,BS_RE33!$P$7:$P$874,'30 days CF Table(AUD)'!G18,BS_RE33!$F$7:$F$874,'30 days CF Table(AUD)'!$C$2)</f>
        <v>0</v>
      </c>
      <c r="AH18" s="337">
        <f>SUMIFS(BS_RE33!$H$7:$H$874,BS_RE33!$S$7:$S$874,$AH$2,BS_RE33!$N$7:$N$874,I18,BS_RE33!$P$7:$P$874,'30 days CF Table(AUD)'!G18,BS_RE33!$F$7:$F$874,'30 days CF Table(AUD)'!$C$2)</f>
        <v>0</v>
      </c>
      <c r="AI18" s="337">
        <f>SUMIFS(BS_RE33!$H$7:$H$874,BS_RE33!$S$7:$S$874,$AI$2,BS_RE33!$N$7:$N$874,I18,BS_RE33!$P$7:$P$874,'30 days CF Table(AUD)'!G18,BS_RE33!$F$7:$F$874,'30 days CF Table(AUD)'!$C$2)</f>
        <v>0</v>
      </c>
      <c r="AJ18" s="337">
        <f>SUMIFS(BS_RE33!$H$7:$H$874,BS_RE33!$S$7:$S$874,$AJ$2,BS_RE33!$N$7:$N$874,I18,BS_RE33!$P$7:$P$874,'30 days CF Table(AUD)'!G18,BS_RE33!$F$7:$F$874,'30 days CF Table(AUD)'!$C$2)</f>
        <v>0</v>
      </c>
      <c r="AK18" s="337">
        <f>SUMIFS(BS_RE33!$H$7:$H$874,BS_RE33!$S$7:$S$874,$AK$2,BS_RE33!$N$7:$N$874,I18,BS_RE33!$P$7:$P$874,'30 days CF Table(AUD)'!G18,BS_RE33!$F$7:$F$874,'30 days CF Table(AUD)'!$C$2)</f>
        <v>0</v>
      </c>
      <c r="AL18" s="337">
        <f>SUMIFS(BS_RE33!$H$7:$H$874,BS_RE33!$S$7:$S$874,$AL$2,BS_RE33!$N$7:$N$874,I18,BS_RE33!$P$7:$P$874,'30 days CF Table(AUD)'!G18,BS_RE33!$F$7:$F$874,'30 days CF Table(AUD)'!$C$2)</f>
        <v>0</v>
      </c>
      <c r="AM18" s="337">
        <f>SUMIFS(BS_RE33!$H$7:$H$874,BS_RE33!$S$7:$S$874,$AM$2,BS_RE33!$N$7:$N$874,I18,BS_RE33!$P$7:$P$874,'30 days CF Table(AUD)'!G18,BS_RE33!$F$7:$F$874,'30 days CF Table(AUD)'!$C$2)</f>
        <v>0</v>
      </c>
      <c r="AN18" s="337">
        <f>SUMIFS(BS_RE33!$H$7:$H$874,BS_RE33!$S$7:$S$874,$AN$2,BS_RE33!$N$7:$N$874,I18,BS_RE33!$P$7:$P$874,'30 days CF Table(AUD)'!G18,BS_RE33!$F$7:$F$874,'30 days CF Table(AUD)'!$C$2)</f>
        <v>0</v>
      </c>
      <c r="AO18" s="337">
        <f>SUMIFS(BS_RE33!$H$7:$H$874,BS_RE33!$S$7:$S$874,$AO$2,BS_RE33!$N$7:$N$874,I18,BS_RE33!$P$7:$P$874,'30 days CF Table(AUD)'!G18,BS_RE33!$F$7:$F$874,'30 days CF Table(AUD)'!$C$2)</f>
        <v>0</v>
      </c>
      <c r="AP18" s="338">
        <f>SUMIFS(BS_RE33!$H$7:$H$874,BS_RE33!$S$7:$S$874,$AP$2,BS_RE33!$N$7:$N$874,I18,BS_RE33!$P$7:$P$874,'30 days CF Table(AUD)'!G18,BS_RE33!$F$7:$F$874,'30 days CF Table(AUD)'!$C$2)</f>
        <v>0</v>
      </c>
      <c r="AQ18" s="545"/>
      <c r="AR18" s="379">
        <f>SUMIFS(BS_RE33!$H$7:$H$874,BS_RE33!$S$7:$S$874,$AR$2,BS_RE33!$N$7:$N$874,I18,BS_RE33!$P$7:$P$874,'30 days CF Table(AUD)'!G18,BS_RE33!$F$7:$F$874,'30 days CF Table(AUD)'!$C$2)</f>
        <v>0</v>
      </c>
      <c r="AS18" s="379">
        <f>SUMIFS(BS_RE33!$H$7:$H$874,BS_RE33!$S$7:$S$874,$AS$2,BS_RE33!$N$7:$N$874,I18,BS_RE33!$P$7:$P$874,'30 days CF Table(AUD)'!G18,BS_RE33!$F$7:$F$874,'30 days CF Table(AUD)'!$C$2)</f>
        <v>0</v>
      </c>
      <c r="AT18" s="379">
        <f>SUMIFS(BS_RE33!$H$7:$H$874,BS_RE33!$S$7:$S$874,$AT$2,BS_RE33!$N$7:$N$874,I18,BS_RE33!$P$7:$P$874,'30 days CF Table(AUD)'!G18,BS_RE33!$F$7:$F$874,'30 days CF Table(AUD)'!$C$2)</f>
        <v>0</v>
      </c>
      <c r="AU18" s="379">
        <f>SUMIFS(BS_RE33!$H$7:$H$874,BS_RE33!$S$7:$S$874,$AU$2,BS_RE33!$N$7:$N$874,I18,BS_RE33!$P$7:$P$874,'30 days CF Table(AUD)'!G18,BS_RE33!$F$7:$F$874,'30 days CF Table(AUD)'!$C$2)</f>
        <v>0</v>
      </c>
      <c r="AV18" s="379">
        <f>SUMIFS(BS_RE33!$H$7:$H$874,BS_RE33!$S$7:$S$874,$AV$2,BS_RE33!$N$7:$N$874,I18,BS_RE33!$P$7:$P$874,'30 days CF Table(AUD)'!G18,BS_RE33!$F$7:$F$874,'30 days CF Table(AUD)'!$C$2)</f>
        <v>0</v>
      </c>
      <c r="AW18" s="379">
        <f>SUMIFS(BS_RE33!$H$7:$H$874,BS_RE33!$S$7:$S$874,$AW$2,BS_RE33!$N$7:$N$874,I18,BS_RE33!$P$7:$P$874,'30 days CF Table(AUD)'!G18,BS_RE33!$F$7:$F$874,'30 days CF Table(AUD)'!$C$2)</f>
        <v>0</v>
      </c>
      <c r="AX18" s="379">
        <f>SUMIFS(BS_RE33!$H$7:$H$874,BS_RE33!$S$7:$S$874,$AX$2,BS_RE33!$N$7:$N$874,I18,BS_RE33!$P$7:$P$874,'30 days CF Table(AUD)'!G18,BS_RE33!$F$7:$F$874,'30 days CF Table(AUD)'!$C$2)</f>
        <v>0</v>
      </c>
      <c r="AY18" s="379">
        <f>SUMIFS(BS_RE33!$H$7:$H$874,BS_RE33!$S$7:$S$874,$AY$2,BS_RE33!$N$7:$N$874,I18,BS_RE33!$P$7:$P$874,'30 days CF Table(AUD)'!G18,BS_RE33!$F$7:$F$874,'30 days CF Table(AUD)'!$C$2)</f>
        <v>0</v>
      </c>
      <c r="AZ18" s="379">
        <f>SUMIFS(BS_RE33!$H$7:$H$874,BS_RE33!$S$7:$S$874,$AZ$2,BS_RE33!$N$7:$N$874,I18,BS_RE33!$P$7:$P$874,'30 days CF Table(AUD)'!G18,BS_RE33!$F$7:$F$874,'30 days CF Table(AUD)'!$C$2)</f>
        <v>0</v>
      </c>
      <c r="BA18" s="379">
        <f>SUMIFS(BS_RE33!$H$7:$H$874,BS_RE33!$S$7:$S$874,$BA$2,BS_RE33!$N$7:$N$874,I18,BS_RE33!$P$7:$P$874,'30 days CF Table(AUD)'!G18,BS_RE33!$F$7:$F$874,'30 days CF Table(AUD)'!$C$2)</f>
        <v>0</v>
      </c>
      <c r="BB18" s="379">
        <f>SUMIFS(BS_RE33!$H$7:$H$874,BS_RE33!$S$7:$S$874,$BB$2,BS_RE33!$N$7:$N$874,I18,BS_RE33!$P$7:$P$874,'30 days CF Table(AUD)'!G18,BS_RE33!$F$7:$F$874,'30 days CF Table(AUD)'!$C$2)</f>
        <v>0</v>
      </c>
      <c r="BC18" s="379">
        <f>SUMIFS(BS_RE33!$H$7:$H$874,BS_RE33!$S$7:$S$874,$BC$2,BS_RE33!$N$7:$N$874,I18,BS_RE33!$P$7:$P$874,'30 days CF Table(AUD)'!G18,BS_RE33!$F$7:$F$874,'30 days CF Table(AUD)'!$C$2)</f>
        <v>0</v>
      </c>
      <c r="BD18" s="379">
        <f>SUMIFS(BS_RE33!$H$7:$H$874,BS_RE33!$S$7:$S$874,$BD$2,BS_RE33!$N$7:$N$874,I18,BS_RE33!$P$7:$P$874,'30 days CF Table(AUD)'!G18,BS_RE33!$F$7:$F$874,'30 days CF Table(AUD)'!$C$2)</f>
        <v>0</v>
      </c>
      <c r="BE18" s="379">
        <f>SUMIFS(BS_RE33!$H$7:$H$874,BS_RE33!$S$7:$S$874,$BE$2,BS_RE33!$N$7:$N$874,I18,BS_RE33!$P$7:$P$874,'30 days CF Table(AUD)'!G18,BS_RE33!$F$7:$F$874,'30 days CF Table(AUD)'!$C$2)</f>
        <v>0</v>
      </c>
      <c r="BF18" s="379">
        <f>SUMIFS(BS_RE33!$H$7:$H$874,BS_RE33!$S$7:$S$874,$BF$2,BS_RE33!$N$7:$N$874,I18,BS_RE33!$P$7:$P$874,'30 days CF Table(AUD)'!G18,BS_RE33!$F$7:$F$874,'30 days CF Table(AUD)'!$C$2)</f>
        <v>0</v>
      </c>
      <c r="BG18" s="379">
        <f>SUMIFS(BS_RE33!$H$7:$H$874,BS_RE33!$S$7:$S$874,$BG$2,BS_RE33!$N$7:$N$874,I18,BS_RE33!$P$7:$P$874,'30 days CF Table(AUD)'!G18,BS_RE33!$F$7:$F$874,'30 days CF Table(AUD)'!$C$2)</f>
        <v>0</v>
      </c>
      <c r="BH18" s="379">
        <f>SUMIFS(BS_RE33!$H$7:$H$874,BS_RE33!$S$7:$S$874,$BH$2,BS_RE33!$N$7:$N$874,I18,BS_RE33!$P$7:$P$874,'30 days CF Table(AUD)'!G18,BS_RE33!$F$7:$F$874,'30 days CF Table(AUD)'!$C$2)</f>
        <v>0</v>
      </c>
      <c r="BI18" s="379">
        <f>SUMIFS(BS_RE33!$H$7:$H$874,BS_RE33!$S$7:$S$874,$BI$2,BS_RE33!$N$7:$N$874,I18,BS_RE33!$P$7:$P$874,'30 days CF Table(AUD)'!G18,BS_RE33!$F$7:$F$874,'30 days CF Table(AUD)'!$C$2)</f>
        <v>0</v>
      </c>
      <c r="BJ18" s="379">
        <f>SUMIFS(BS_RE33!$H$7:$H$874,BS_RE33!$S$7:$S$874,$BJ$2,BS_RE33!$N$7:$N$874,I18,BS_RE33!$P$7:$P$874,'30 days CF Table(AUD)'!G18,BS_RE33!$F$7:$F$874,'30 days CF Table(AUD)'!$C$2)</f>
        <v>0</v>
      </c>
      <c r="BK18" s="379">
        <f>SUMIFS(BS_RE33!$H$7:$H$874,BS_RE33!$S$7:$S$874,$BK$2,BS_RE33!$N$7:$N$874,I18,BS_RE33!$P$7:$P$874,'30 days CF Table(AUD)'!G18,BS_RE33!$F$7:$F$874,'30 days CF Table(AUD)'!$C$2)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Table(AUD)'!G19,BS_RE33!$F$7:$F$874,'30 days CF Table(AUD)'!$C$2)</f>
        <v>0</v>
      </c>
      <c r="M19" s="548">
        <f>SUMIFS(BS_RE33!$H$7:$H$874,BS_RE33!$S$7:$S$874,$M$2,BS_RE33!$N$7:$N$874,I19,BS_RE33!$P$7:$P$874,'30 days CF Table(AUD)'!G19,BS_RE33!$F$7:$F$874,'30 days CF Table(AUD)'!$C$2)</f>
        <v>0</v>
      </c>
      <c r="N19" s="548">
        <f>SUMIFS(BS_RE33!$H$7:$H$874,BS_RE33!$S$7:$S$874,$N$2,BS_RE33!$N$7:$N$874,I19,BS_RE33!$P$7:$P$874,'30 days CF Table(AUD)'!G19,BS_RE33!$F$7:$F$874,'30 days CF Table(AUD)'!$C$2)</f>
        <v>0</v>
      </c>
      <c r="O19" s="548">
        <f>SUMIFS(BS_RE33!$H$7:$H$874,BS_RE33!$S$7:$S$874,$O$2,BS_RE33!$N$7:$N$874,I19,BS_RE33!$P$7:$P$874,'30 days CF Table(AUD)'!G19,BS_RE33!$F$7:$F$874,'30 days CF Table(AUD)'!$C$2)</f>
        <v>0</v>
      </c>
      <c r="P19" s="548">
        <f>SUMIFS(BS_RE33!$H$7:$H$874,BS_RE33!$S$7:$S$874,$P$2,BS_RE33!$N$7:$N$874,I19,BS_RE33!$P$7:$P$874,'30 days CF Table(AUD)'!G19,BS_RE33!$F$7:$F$874,'30 days CF Table(AUD)'!$C$2)</f>
        <v>0</v>
      </c>
      <c r="Q19" s="548">
        <f>SUMIFS(BS_RE33!$H$7:$H$874,BS_RE33!$S$7:$S$874,$Q$2,BS_RE33!$N$7:$N$874,I19,BS_RE33!$P$7:$P$874,'30 days CF Table(AUD)'!G19,BS_RE33!$F$7:$F$874,'30 days CF Table(AUD)'!$C$2)</f>
        <v>0</v>
      </c>
      <c r="R19" s="548">
        <f>SUMIFS(BS_RE33!$H$7:$H$874,BS_RE33!$S$7:$S$874,$R$2,BS_RE33!$N$7:$N$874,I19,BS_RE33!$P$7:$P$874,'30 days CF Table(AUD)'!G19,BS_RE33!$F$7:$F$874,'30 days CF Table(AUD)'!$C$2)</f>
        <v>0</v>
      </c>
      <c r="S19" s="548">
        <f>SUMIFS(BS_RE33!$H$7:$H$874,BS_RE33!$S$7:$S$874,$S$2,BS_RE33!$N$7:$N$874,I19,BS_RE33!$P$7:$P$874,'30 days CF Table(AUD)'!G19,BS_RE33!$F$7:$F$874,'30 days CF Table(AUD)'!$C$2)</f>
        <v>0</v>
      </c>
      <c r="T19" s="548">
        <f>SUMIFS(BS_RE33!$H$7:$H$874,BS_RE33!$S$7:$S$874,$T$2,BS_RE33!$N$7:$N$874,I19,BS_RE33!$P$7:$P$874,'30 days CF Table(AUD)'!G19,BS_RE33!$F$7:$F$874,'30 days CF Table(AUD)'!$C$2)</f>
        <v>0</v>
      </c>
      <c r="U19" s="548">
        <f>SUMIFS(BS_RE33!$H$7:$H$874,BS_RE33!$S$7:$S$874,$U$2,BS_RE33!$N$7:$N$874,I19,BS_RE33!$P$7:$P$874,'30 days CF Table(AUD)'!G19,BS_RE33!$F$7:$F$874,'30 days CF Table(AUD)'!$C$2)</f>
        <v>0</v>
      </c>
      <c r="V19" s="548">
        <f>SUMIFS(BS_RE33!$H$7:$H$874,BS_RE33!$S$7:$S$874,$V$2,BS_RE33!$N$7:$N$874,I19,BS_RE33!$P$7:$P$874,'30 days CF Table(AUD)'!G19,BS_RE33!$F$7:$F$874,'30 days CF Table(AUD)'!$C$2)</f>
        <v>0</v>
      </c>
      <c r="W19" s="548">
        <f>SUMIFS(BS_RE33!$H$7:$H$874,BS_RE33!$S$7:$S$874,$W$2,BS_RE33!$N$7:$N$874,I19,BS_RE33!$P$7:$P$874,'30 days CF Table(AUD)'!G19,BS_RE33!$F$7:$F$874,'30 days CF Table(AUD)'!$C$2)</f>
        <v>0</v>
      </c>
      <c r="X19" s="548">
        <f>SUMIFS(BS_RE33!$H$7:$H$874,BS_RE33!$S$7:$S$874,$X$2,BS_RE33!$N$7:$N$874,I19,BS_RE33!$P$7:$P$874,'30 days CF Table(AUD)'!G19,BS_RE33!$F$7:$F$874,'30 days CF Table(AUD)'!$C$2)</f>
        <v>0</v>
      </c>
      <c r="Y19" s="548">
        <f>SUMIFS(BS_RE33!$H$7:$H$874,BS_RE33!$S$7:$S$874,$Y$2,BS_RE33!$N$7:$N$874,I19,BS_RE33!$P$7:$P$874,'30 days CF Table(AUD)'!G19,BS_RE33!$F$7:$F$874,'30 days CF Table(AUD)'!$C$2)</f>
        <v>0</v>
      </c>
      <c r="Z19" s="548">
        <f>SUMIFS(BS_RE33!$H$7:$H$874,BS_RE33!$S$7:$S$874,$Z$2,BS_RE33!$N$7:$N$874,I19,BS_RE33!$P$7:$P$874,'30 days CF Table(AUD)'!G19,BS_RE33!$F$7:$F$874,'30 days CF Table(AUD)'!$C$2)</f>
        <v>0</v>
      </c>
      <c r="AA19" s="548">
        <f>SUMIFS(BS_RE33!$H$7:$H$874,BS_RE33!$S$7:$S$874,$AA$2,BS_RE33!$N$7:$N$874,I19,BS_RE33!$P$7:$P$874,'30 days CF Table(AUD)'!G19,BS_RE33!$F$7:$F$874,'30 days CF Table(AUD)'!$C$2)</f>
        <v>0</v>
      </c>
      <c r="AB19" s="548">
        <f>SUMIFS(BS_RE33!$H$7:$H$874,BS_RE33!$S$7:$S$874,$AB$2,BS_RE33!$N$7:$N$874,I19,BS_RE33!$P$7:$P$874,'30 days CF Table(AUD)'!G19,BS_RE33!$F$7:$F$874,'30 days CF Table(AUD)'!$C$2)</f>
        <v>0</v>
      </c>
      <c r="AC19" s="548">
        <f>SUMIFS(BS_RE33!$H$7:$H$874,BS_RE33!$S$7:$S$874,$AC$2,BS_RE33!$N$7:$N$874,I19,BS_RE33!$P$7:$P$874,'30 days CF Table(AUD)'!G19,BS_RE33!$F$7:$F$874,'30 days CF Table(AUD)'!$C$2)</f>
        <v>0</v>
      </c>
      <c r="AD19" s="548">
        <f>SUMIFS(BS_RE33!$H$7:$H$874,BS_RE33!$S$7:$S$874,$AD$2,BS_RE33!$N$7:$N$874,I19,BS_RE33!$P$7:$P$874,'30 days CF Table(AUD)'!G19,BS_RE33!$F$7:$F$874,'30 days CF Table(AUD)'!$C$2)</f>
        <v>0</v>
      </c>
      <c r="AE19" s="548">
        <f>SUMIFS(BS_RE33!$H$7:$H$874,BS_RE33!$S$7:$S$874,$AE$2,BS_RE33!$N$7:$N$874,I19,BS_RE33!$P$7:$P$874,'30 days CF Table(AUD)'!G19,BS_RE33!$F$7:$F$874,'30 days CF Table(AUD)'!$C$2)</f>
        <v>0</v>
      </c>
      <c r="AF19" s="548">
        <f>SUMIFS(BS_RE33!$H$7:$H$874,BS_RE33!$S$7:$S$874,$AF$2,BS_RE33!$N$7:$N$874,I19,BS_RE33!$P$7:$P$874,'30 days CF Table(AUD)'!G19,BS_RE33!$F$7:$F$874,'30 days CF Table(AUD)'!$C$2)</f>
        <v>0</v>
      </c>
      <c r="AG19" s="548">
        <f>SUMIFS(BS_RE33!$H$7:$H$874,BS_RE33!$S$7:$S$874,$AG$2,BS_RE33!$N$7:$N$874,I19,BS_RE33!$P$7:$P$874,'30 days CF Table(AUD)'!G19,BS_RE33!$F$7:$F$874,'30 days CF Table(AUD)'!$C$2)</f>
        <v>0</v>
      </c>
      <c r="AH19" s="548">
        <f>SUMIFS(BS_RE33!$H$7:$H$874,BS_RE33!$S$7:$S$874,$AH$2,BS_RE33!$N$7:$N$874,I19,BS_RE33!$P$7:$P$874,'30 days CF Table(AUD)'!G19,BS_RE33!$F$7:$F$874,'30 days CF Table(AUD)'!$C$2)</f>
        <v>0</v>
      </c>
      <c r="AI19" s="548">
        <f>SUMIFS(BS_RE33!$H$7:$H$874,BS_RE33!$S$7:$S$874,$AI$2,BS_RE33!$N$7:$N$874,I19,BS_RE33!$P$7:$P$874,'30 days CF Table(AUD)'!G19,BS_RE33!$F$7:$F$874,'30 days CF Table(AUD)'!$C$2)</f>
        <v>0</v>
      </c>
      <c r="AJ19" s="548">
        <f>SUMIFS(BS_RE33!$H$7:$H$874,BS_RE33!$S$7:$S$874,$AJ$2,BS_RE33!$N$7:$N$874,I19,BS_RE33!$P$7:$P$874,'30 days CF Table(AUD)'!G19,BS_RE33!$F$7:$F$874,'30 days CF Table(AUD)'!$C$2)</f>
        <v>0</v>
      </c>
      <c r="AK19" s="548">
        <f>SUMIFS(BS_RE33!$H$7:$H$874,BS_RE33!$S$7:$S$874,$AK$2,BS_RE33!$N$7:$N$874,I19,BS_RE33!$P$7:$P$874,'30 days CF Table(AUD)'!G19,BS_RE33!$F$7:$F$874,'30 days CF Table(AUD)'!$C$2)</f>
        <v>0</v>
      </c>
      <c r="AL19" s="548">
        <f>SUMIFS(BS_RE33!$H$7:$H$874,BS_RE33!$S$7:$S$874,$AL$2,BS_RE33!$N$7:$N$874,I19,BS_RE33!$P$7:$P$874,'30 days CF Table(AUD)'!G19,BS_RE33!$F$7:$F$874,'30 days CF Table(AUD)'!$C$2)</f>
        <v>0</v>
      </c>
      <c r="AM19" s="548">
        <f>SUMIFS(BS_RE33!$H$7:$H$874,BS_RE33!$S$7:$S$874,$AM$2,BS_RE33!$N$7:$N$874,I19,BS_RE33!$P$7:$P$874,'30 days CF Table(AUD)'!G19,BS_RE33!$F$7:$F$874,'30 days CF Table(AUD)'!$C$2)</f>
        <v>0</v>
      </c>
      <c r="AN19" s="548">
        <f>SUMIFS(BS_RE33!$H$7:$H$874,BS_RE33!$S$7:$S$874,$AN$2,BS_RE33!$N$7:$N$874,I19,BS_RE33!$P$7:$P$874,'30 days CF Table(AUD)'!G19,BS_RE33!$F$7:$F$874,'30 days CF Table(AUD)'!$C$2)</f>
        <v>0</v>
      </c>
      <c r="AO19" s="548">
        <f>SUMIFS(BS_RE33!$H$7:$H$874,BS_RE33!$S$7:$S$874,$AO$2,BS_RE33!$N$7:$N$874,I19,BS_RE33!$P$7:$P$874,'30 days CF Table(AUD)'!G19,BS_RE33!$F$7:$F$874,'30 days CF Table(AUD)'!$C$2)</f>
        <v>0</v>
      </c>
      <c r="AP19" s="549">
        <f>SUMIFS(BS_RE33!$H$7:$H$874,BS_RE33!$S$7:$S$874,$AP$2,BS_RE33!$N$7:$N$874,I19,BS_RE33!$P$7:$P$874,'30 days CF Table(AUD)'!G19,BS_RE33!$F$7:$F$874,'30 days CF Table(AUD)'!$C$2)</f>
        <v>0</v>
      </c>
      <c r="AQ19" s="550"/>
      <c r="AR19" s="380">
        <f>SUMIFS(BS_RE33!$H$7:$H$874,BS_RE33!$S$7:$S$874,$AR$2,BS_RE33!$N$7:$N$874,I19,BS_RE33!$P$7:$P$874,'30 days CF Table(AUD)'!G19,BS_RE33!$F$7:$F$874,'30 days CF Table(AUD)'!$C$2)</f>
        <v>0</v>
      </c>
      <c r="AS19" s="380">
        <f>SUMIFS(BS_RE33!$H$7:$H$874,BS_RE33!$S$7:$S$874,$AS$2,BS_RE33!$N$7:$N$874,I19,BS_RE33!$P$7:$P$874,'30 days CF Table(AUD)'!G19,BS_RE33!$F$7:$F$874,'30 days CF Table(AUD)'!$C$2)</f>
        <v>0</v>
      </c>
      <c r="AT19" s="380">
        <f>SUMIFS(BS_RE33!$H$7:$H$874,BS_RE33!$S$7:$S$874,$AT$2,BS_RE33!$N$7:$N$874,I19,BS_RE33!$P$7:$P$874,'30 days CF Table(AUD)'!G19,BS_RE33!$F$7:$F$874,'30 days CF Table(AUD)'!$C$2)</f>
        <v>0</v>
      </c>
      <c r="AU19" s="380">
        <f>SUMIFS(BS_RE33!$H$7:$H$874,BS_RE33!$S$7:$S$874,$AU$2,BS_RE33!$N$7:$N$874,I19,BS_RE33!$P$7:$P$874,'30 days CF Table(AUD)'!G19,BS_RE33!$F$7:$F$874,'30 days CF Table(AUD)'!$C$2)</f>
        <v>0</v>
      </c>
      <c r="AV19" s="380">
        <f>SUMIFS(BS_RE33!$H$7:$H$874,BS_RE33!$S$7:$S$874,$AV$2,BS_RE33!$N$7:$N$874,I19,BS_RE33!$P$7:$P$874,'30 days CF Table(AUD)'!G19,BS_RE33!$F$7:$F$874,'30 days CF Table(AUD)'!$C$2)</f>
        <v>0</v>
      </c>
      <c r="AW19" s="380">
        <f>SUMIFS(BS_RE33!$H$7:$H$874,BS_RE33!$S$7:$S$874,$AW$2,BS_RE33!$N$7:$N$874,I19,BS_RE33!$P$7:$P$874,'30 days CF Table(AUD)'!G19,BS_RE33!$F$7:$F$874,'30 days CF Table(AUD)'!$C$2)</f>
        <v>0</v>
      </c>
      <c r="AX19" s="380">
        <f>SUMIFS(BS_RE33!$H$7:$H$874,BS_RE33!$S$7:$S$874,$AX$2,BS_RE33!$N$7:$N$874,I19,BS_RE33!$P$7:$P$874,'30 days CF Table(AUD)'!G19,BS_RE33!$F$7:$F$874,'30 days CF Table(AUD)'!$C$2)</f>
        <v>0</v>
      </c>
      <c r="AY19" s="380">
        <f>SUMIFS(BS_RE33!$H$7:$H$874,BS_RE33!$S$7:$S$874,$AY$2,BS_RE33!$N$7:$N$874,I19,BS_RE33!$P$7:$P$874,'30 days CF Table(AUD)'!G19,BS_RE33!$F$7:$F$874,'30 days CF Table(AUD)'!$C$2)</f>
        <v>0</v>
      </c>
      <c r="AZ19" s="380">
        <f>SUMIFS(BS_RE33!$H$7:$H$874,BS_RE33!$S$7:$S$874,$AZ$2,BS_RE33!$N$7:$N$874,I19,BS_RE33!$P$7:$P$874,'30 days CF Table(AUD)'!G19,BS_RE33!$F$7:$F$874,'30 days CF Table(AUD)'!$C$2)</f>
        <v>0</v>
      </c>
      <c r="BA19" s="380">
        <f>SUMIFS(BS_RE33!$H$7:$H$874,BS_RE33!$S$7:$S$874,$BA$2,BS_RE33!$N$7:$N$874,I19,BS_RE33!$P$7:$P$874,'30 days CF Table(AUD)'!G19,BS_RE33!$F$7:$F$874,'30 days CF Table(AUD)'!$C$2)</f>
        <v>0</v>
      </c>
      <c r="BB19" s="380">
        <f>SUMIFS(BS_RE33!$H$7:$H$874,BS_RE33!$S$7:$S$874,$BB$2,BS_RE33!$N$7:$N$874,I19,BS_RE33!$P$7:$P$874,'30 days CF Table(AUD)'!G19,BS_RE33!$F$7:$F$874,'30 days CF Table(AUD)'!$C$2)</f>
        <v>0</v>
      </c>
      <c r="BC19" s="380">
        <f>SUMIFS(BS_RE33!$H$7:$H$874,BS_RE33!$S$7:$S$874,$BC$2,BS_RE33!$N$7:$N$874,I19,BS_RE33!$P$7:$P$874,'30 days CF Table(AUD)'!G19,BS_RE33!$F$7:$F$874,'30 days CF Table(AUD)'!$C$2)</f>
        <v>0</v>
      </c>
      <c r="BD19" s="380">
        <f>SUMIFS(BS_RE33!$H$7:$H$874,BS_RE33!$S$7:$S$874,$BD$2,BS_RE33!$N$7:$N$874,I19,BS_RE33!$P$7:$P$874,'30 days CF Table(AUD)'!G19,BS_RE33!$F$7:$F$874,'30 days CF Table(AUD)'!$C$2)</f>
        <v>0</v>
      </c>
      <c r="BE19" s="380">
        <f>SUMIFS(BS_RE33!$H$7:$H$874,BS_RE33!$S$7:$S$874,$BE$2,BS_RE33!$N$7:$N$874,I19,BS_RE33!$P$7:$P$874,'30 days CF Table(AUD)'!G19,BS_RE33!$F$7:$F$874,'30 days CF Table(AUD)'!$C$2)</f>
        <v>0</v>
      </c>
      <c r="BF19" s="380">
        <f>SUMIFS(BS_RE33!$H$7:$H$874,BS_RE33!$S$7:$S$874,$BF$2,BS_RE33!$N$7:$N$874,I19,BS_RE33!$P$7:$P$874,'30 days CF Table(AUD)'!G19,BS_RE33!$F$7:$F$874,'30 days CF Table(AUD)'!$C$2)</f>
        <v>0</v>
      </c>
      <c r="BG19" s="380">
        <f>SUMIFS(BS_RE33!$H$7:$H$874,BS_RE33!$S$7:$S$874,$BG$2,BS_RE33!$N$7:$N$874,I19,BS_RE33!$P$7:$P$874,'30 days CF Table(AUD)'!G19,BS_RE33!$F$7:$F$874,'30 days CF Table(AUD)'!$C$2)</f>
        <v>0</v>
      </c>
      <c r="BH19" s="380">
        <f>SUMIFS(BS_RE33!$H$7:$H$874,BS_RE33!$S$7:$S$874,$BH$2,BS_RE33!$N$7:$N$874,I19,BS_RE33!$P$7:$P$874,'30 days CF Table(AUD)'!G19,BS_RE33!$F$7:$F$874,'30 days CF Table(AUD)'!$C$2)</f>
        <v>0</v>
      </c>
      <c r="BI19" s="380">
        <f>SUMIFS(BS_RE33!$H$7:$H$874,BS_RE33!$S$7:$S$874,$BI$2,BS_RE33!$N$7:$N$874,I19,BS_RE33!$P$7:$P$874,'30 days CF Table(AUD)'!G19,BS_RE33!$F$7:$F$874,'30 days CF Table(AUD)'!$C$2)</f>
        <v>0</v>
      </c>
      <c r="BJ19" s="380">
        <f>SUMIFS(BS_RE33!$H$7:$H$874,BS_RE33!$S$7:$S$874,$BJ$2,BS_RE33!$N$7:$N$874,I19,BS_RE33!$P$7:$P$874,'30 days CF Table(AUD)'!G19,BS_RE33!$F$7:$F$874,'30 days CF Table(AUD)'!$C$2)</f>
        <v>0</v>
      </c>
      <c r="BK19" s="380">
        <f>SUMIFS(BS_RE33!$H$7:$H$874,BS_RE33!$S$7:$S$874,$BK$2,BS_RE33!$N$7:$N$874,I19,BS_RE33!$P$7:$P$874,'30 days CF Table(AUD)'!G19,BS_RE33!$F$7:$F$874,'30 days CF Table(AUD)'!$C$2)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Table(AUD)'!G20,BS_RE33!$F$7:$F$874,'30 days CF Table(AUD)'!$C$2)</f>
        <v>0</v>
      </c>
      <c r="M20" s="548">
        <f>SUMIFS(BS_RE33!$H$7:$H$874,BS_RE33!$S$7:$S$874,$M$2,BS_RE33!$N$7:$N$874,I20,BS_RE33!$P$7:$P$874,'30 days CF Table(AUD)'!G20,BS_RE33!$F$7:$F$874,'30 days CF Table(AUD)'!$C$2)</f>
        <v>0</v>
      </c>
      <c r="N20" s="548">
        <f>SUMIFS(BS_RE33!$H$7:$H$874,BS_RE33!$S$7:$S$874,$N$2,BS_RE33!$N$7:$N$874,I20,BS_RE33!$P$7:$P$874,'30 days CF Table(AUD)'!G20,BS_RE33!$F$7:$F$874,'30 days CF Table(AUD)'!$C$2)</f>
        <v>0</v>
      </c>
      <c r="O20" s="548">
        <f>SUMIFS(BS_RE33!$H$7:$H$874,BS_RE33!$S$7:$S$874,$O$2,BS_RE33!$N$7:$N$874,I20,BS_RE33!$P$7:$P$874,'30 days CF Table(AUD)'!G20,BS_RE33!$F$7:$F$874,'30 days CF Table(AUD)'!$C$2)</f>
        <v>0</v>
      </c>
      <c r="P20" s="548">
        <f>SUMIFS(BS_RE33!$H$7:$H$874,BS_RE33!$S$7:$S$874,$P$2,BS_RE33!$N$7:$N$874,I20,BS_RE33!$P$7:$P$874,'30 days CF Table(AUD)'!G20,BS_RE33!$F$7:$F$874,'30 days CF Table(AUD)'!$C$2)</f>
        <v>0</v>
      </c>
      <c r="Q20" s="548">
        <f>SUMIFS(BS_RE33!$H$7:$H$874,BS_RE33!$S$7:$S$874,$Q$2,BS_RE33!$N$7:$N$874,I20,BS_RE33!$P$7:$P$874,'30 days CF Table(AUD)'!G20,BS_RE33!$F$7:$F$874,'30 days CF Table(AUD)'!$C$2)</f>
        <v>0</v>
      </c>
      <c r="R20" s="548">
        <f>SUMIFS(BS_RE33!$H$7:$H$874,BS_RE33!$S$7:$S$874,$R$2,BS_RE33!$N$7:$N$874,I20,BS_RE33!$P$7:$P$874,'30 days CF Table(AUD)'!G20,BS_RE33!$F$7:$F$874,'30 days CF Table(AUD)'!$C$2)</f>
        <v>0</v>
      </c>
      <c r="S20" s="548">
        <f>SUMIFS(BS_RE33!$H$7:$H$874,BS_RE33!$S$7:$S$874,$S$2,BS_RE33!$N$7:$N$874,I20,BS_RE33!$P$7:$P$874,'30 days CF Table(AUD)'!G20,BS_RE33!$F$7:$F$874,'30 days CF Table(AUD)'!$C$2)</f>
        <v>0</v>
      </c>
      <c r="T20" s="548">
        <f>SUMIFS(BS_RE33!$H$7:$H$874,BS_RE33!$S$7:$S$874,$T$2,BS_RE33!$N$7:$N$874,I20,BS_RE33!$P$7:$P$874,'30 days CF Table(AUD)'!G20,BS_RE33!$F$7:$F$874,'30 days CF Table(AUD)'!$C$2)</f>
        <v>0</v>
      </c>
      <c r="U20" s="548">
        <f>SUMIFS(BS_RE33!$H$7:$H$874,BS_RE33!$S$7:$S$874,$U$2,BS_RE33!$N$7:$N$874,I20,BS_RE33!$P$7:$P$874,'30 days CF Table(AUD)'!G20,BS_RE33!$F$7:$F$874,'30 days CF Table(AUD)'!$C$2)</f>
        <v>0</v>
      </c>
      <c r="V20" s="548">
        <f>SUMIFS(BS_RE33!$H$7:$H$874,BS_RE33!$S$7:$S$874,$V$2,BS_RE33!$N$7:$N$874,I20,BS_RE33!$P$7:$P$874,'30 days CF Table(AUD)'!G20,BS_RE33!$F$7:$F$874,'30 days CF Table(AUD)'!$C$2)</f>
        <v>0</v>
      </c>
      <c r="W20" s="548">
        <f>SUMIFS(BS_RE33!$H$7:$H$874,BS_RE33!$S$7:$S$874,$W$2,BS_RE33!$N$7:$N$874,I20,BS_RE33!$P$7:$P$874,'30 days CF Table(AUD)'!G20,BS_RE33!$F$7:$F$874,'30 days CF Table(AUD)'!$C$2)</f>
        <v>0</v>
      </c>
      <c r="X20" s="548">
        <f>SUMIFS(BS_RE33!$H$7:$H$874,BS_RE33!$S$7:$S$874,$X$2,BS_RE33!$N$7:$N$874,I20,BS_RE33!$P$7:$P$874,'30 days CF Table(AUD)'!G20,BS_RE33!$F$7:$F$874,'30 days CF Table(AUD)'!$C$2)</f>
        <v>0</v>
      </c>
      <c r="Y20" s="548">
        <f>SUMIFS(BS_RE33!$H$7:$H$874,BS_RE33!$S$7:$S$874,$Y$2,BS_RE33!$N$7:$N$874,I20,BS_RE33!$P$7:$P$874,'30 days CF Table(AUD)'!G20,BS_RE33!$F$7:$F$874,'30 days CF Table(AUD)'!$C$2)</f>
        <v>0</v>
      </c>
      <c r="Z20" s="548">
        <f>SUMIFS(BS_RE33!$H$7:$H$874,BS_RE33!$S$7:$S$874,$Z$2,BS_RE33!$N$7:$N$874,I20,BS_RE33!$P$7:$P$874,'30 days CF Table(AUD)'!G20,BS_RE33!$F$7:$F$874,'30 days CF Table(AUD)'!$C$2)</f>
        <v>0</v>
      </c>
      <c r="AA20" s="548">
        <f>SUMIFS(BS_RE33!$H$7:$H$874,BS_RE33!$S$7:$S$874,$AA$2,BS_RE33!$N$7:$N$874,I20,BS_RE33!$P$7:$P$874,'30 days CF Table(AUD)'!G20,BS_RE33!$F$7:$F$874,'30 days CF Table(AUD)'!$C$2)</f>
        <v>0</v>
      </c>
      <c r="AB20" s="548">
        <f>SUMIFS(BS_RE33!$H$7:$H$874,BS_RE33!$S$7:$S$874,$AB$2,BS_RE33!$N$7:$N$874,I20,BS_RE33!$P$7:$P$874,'30 days CF Table(AUD)'!G20,BS_RE33!$F$7:$F$874,'30 days CF Table(AUD)'!$C$2)</f>
        <v>0</v>
      </c>
      <c r="AC20" s="548">
        <f>SUMIFS(BS_RE33!$H$7:$H$874,BS_RE33!$S$7:$S$874,$AC$2,BS_RE33!$N$7:$N$874,I20,BS_RE33!$P$7:$P$874,'30 days CF Table(AUD)'!G20,BS_RE33!$F$7:$F$874,'30 days CF Table(AUD)'!$C$2)</f>
        <v>0</v>
      </c>
      <c r="AD20" s="548">
        <f>SUMIFS(BS_RE33!$H$7:$H$874,BS_RE33!$S$7:$S$874,$AD$2,BS_RE33!$N$7:$N$874,I20,BS_RE33!$P$7:$P$874,'30 days CF Table(AUD)'!G20,BS_RE33!$F$7:$F$874,'30 days CF Table(AUD)'!$C$2)</f>
        <v>0</v>
      </c>
      <c r="AE20" s="548">
        <f>SUMIFS(BS_RE33!$H$7:$H$874,BS_RE33!$S$7:$S$874,$AE$2,BS_RE33!$N$7:$N$874,I20,BS_RE33!$P$7:$P$874,'30 days CF Table(AUD)'!G20,BS_RE33!$F$7:$F$874,'30 days CF Table(AUD)'!$C$2)</f>
        <v>0</v>
      </c>
      <c r="AF20" s="548">
        <f>SUMIFS(BS_RE33!$H$7:$H$874,BS_RE33!$S$7:$S$874,$AF$2,BS_RE33!$N$7:$N$874,I20,BS_RE33!$P$7:$P$874,'30 days CF Table(AUD)'!G20,BS_RE33!$F$7:$F$874,'30 days CF Table(AUD)'!$C$2)</f>
        <v>0</v>
      </c>
      <c r="AG20" s="548">
        <f>SUMIFS(BS_RE33!$H$7:$H$874,BS_RE33!$S$7:$S$874,$AG$2,BS_RE33!$N$7:$N$874,I20,BS_RE33!$P$7:$P$874,'30 days CF Table(AUD)'!G20,BS_RE33!$F$7:$F$874,'30 days CF Table(AUD)'!$C$2)</f>
        <v>0</v>
      </c>
      <c r="AH20" s="548">
        <f>SUMIFS(BS_RE33!$H$7:$H$874,BS_RE33!$S$7:$S$874,$AH$2,BS_RE33!$N$7:$N$874,I20,BS_RE33!$P$7:$P$874,'30 days CF Table(AUD)'!G20,BS_RE33!$F$7:$F$874,'30 days CF Table(AUD)'!$C$2)</f>
        <v>0</v>
      </c>
      <c r="AI20" s="548">
        <f>SUMIFS(BS_RE33!$H$7:$H$874,BS_RE33!$S$7:$S$874,$AI$2,BS_RE33!$N$7:$N$874,I20,BS_RE33!$P$7:$P$874,'30 days CF Table(AUD)'!G20,BS_RE33!$F$7:$F$874,'30 days CF Table(AUD)'!$C$2)</f>
        <v>0</v>
      </c>
      <c r="AJ20" s="548">
        <f>SUMIFS(BS_RE33!$H$7:$H$874,BS_RE33!$S$7:$S$874,$AJ$2,BS_RE33!$N$7:$N$874,I20,BS_RE33!$P$7:$P$874,'30 days CF Table(AUD)'!G20,BS_RE33!$F$7:$F$874,'30 days CF Table(AUD)'!$C$2)</f>
        <v>0</v>
      </c>
      <c r="AK20" s="548">
        <f>SUMIFS(BS_RE33!$H$7:$H$874,BS_RE33!$S$7:$S$874,$AK$2,BS_RE33!$N$7:$N$874,I20,BS_RE33!$P$7:$P$874,'30 days CF Table(AUD)'!G20,BS_RE33!$F$7:$F$874,'30 days CF Table(AUD)'!$C$2)</f>
        <v>0</v>
      </c>
      <c r="AL20" s="548">
        <f>SUMIFS(BS_RE33!$H$7:$H$874,BS_RE33!$S$7:$S$874,$AL$2,BS_RE33!$N$7:$N$874,I20,BS_RE33!$P$7:$P$874,'30 days CF Table(AUD)'!G20,BS_RE33!$F$7:$F$874,'30 days CF Table(AUD)'!$C$2)</f>
        <v>0</v>
      </c>
      <c r="AM20" s="548">
        <f>SUMIFS(BS_RE33!$H$7:$H$874,BS_RE33!$S$7:$S$874,$AM$2,BS_RE33!$N$7:$N$874,I20,BS_RE33!$P$7:$P$874,'30 days CF Table(AUD)'!G20,BS_RE33!$F$7:$F$874,'30 days CF Table(AUD)'!$C$2)</f>
        <v>0</v>
      </c>
      <c r="AN20" s="548">
        <f>SUMIFS(BS_RE33!$H$7:$H$874,BS_RE33!$S$7:$S$874,$AN$2,BS_RE33!$N$7:$N$874,I20,BS_RE33!$P$7:$P$874,'30 days CF Table(AUD)'!G20,BS_RE33!$F$7:$F$874,'30 days CF Table(AUD)'!$C$2)</f>
        <v>0</v>
      </c>
      <c r="AO20" s="548">
        <f>SUMIFS(BS_RE33!$H$7:$H$874,BS_RE33!$S$7:$S$874,$AO$2,BS_RE33!$N$7:$N$874,I20,BS_RE33!$P$7:$P$874,'30 days CF Table(AUD)'!G20,BS_RE33!$F$7:$F$874,'30 days CF Table(AUD)'!$C$2)</f>
        <v>0</v>
      </c>
      <c r="AP20" s="549">
        <f>SUMIFS(BS_RE33!$H$7:$H$874,BS_RE33!$S$7:$S$874,$AP$2,BS_RE33!$N$7:$N$874,I20,BS_RE33!$P$7:$P$874,'30 days CF Table(AUD)'!G20,BS_RE33!$F$7:$F$874,'30 days CF Table(AUD)'!$C$2)</f>
        <v>0</v>
      </c>
      <c r="AQ20" s="550"/>
      <c r="AR20" s="380">
        <f>SUMIFS(BS_RE33!$H$7:$H$874,BS_RE33!$S$7:$S$874,$AR$2,BS_RE33!$N$7:$N$874,I20,BS_RE33!$P$7:$P$874,'30 days CF Table(AUD)'!G20,BS_RE33!$F$7:$F$874,'30 days CF Table(AUD)'!$C$2)</f>
        <v>0</v>
      </c>
      <c r="AS20" s="380">
        <f>SUMIFS(BS_RE33!$H$7:$H$874,BS_RE33!$S$7:$S$874,$AS$2,BS_RE33!$N$7:$N$874,I20,BS_RE33!$P$7:$P$874,'30 days CF Table(AUD)'!G20,BS_RE33!$F$7:$F$874,'30 days CF Table(AUD)'!$C$2)</f>
        <v>0</v>
      </c>
      <c r="AT20" s="380">
        <f>SUMIFS(BS_RE33!$H$7:$H$874,BS_RE33!$S$7:$S$874,$AT$2,BS_RE33!$N$7:$N$874,I20,BS_RE33!$P$7:$P$874,'30 days CF Table(AUD)'!G20,BS_RE33!$F$7:$F$874,'30 days CF Table(AUD)'!$C$2)</f>
        <v>0</v>
      </c>
      <c r="AU20" s="380">
        <f>SUMIFS(BS_RE33!$H$7:$H$874,BS_RE33!$S$7:$S$874,$AU$2,BS_RE33!$N$7:$N$874,I20,BS_RE33!$P$7:$P$874,'30 days CF Table(AUD)'!G20,BS_RE33!$F$7:$F$874,'30 days CF Table(AUD)'!$C$2)</f>
        <v>0</v>
      </c>
      <c r="AV20" s="380">
        <f>SUMIFS(BS_RE33!$H$7:$H$874,BS_RE33!$S$7:$S$874,$AV$2,BS_RE33!$N$7:$N$874,I20,BS_RE33!$P$7:$P$874,'30 days CF Table(AUD)'!G20,BS_RE33!$F$7:$F$874,'30 days CF Table(AUD)'!$C$2)</f>
        <v>0</v>
      </c>
      <c r="AW20" s="380">
        <f>SUMIFS(BS_RE33!$H$7:$H$874,BS_RE33!$S$7:$S$874,$AW$2,BS_RE33!$N$7:$N$874,I20,BS_RE33!$P$7:$P$874,'30 days CF Table(AUD)'!G20,BS_RE33!$F$7:$F$874,'30 days CF Table(AUD)'!$C$2)</f>
        <v>0</v>
      </c>
      <c r="AX20" s="380">
        <f>SUMIFS(BS_RE33!$H$7:$H$874,BS_RE33!$S$7:$S$874,$AX$2,BS_RE33!$N$7:$N$874,I20,BS_RE33!$P$7:$P$874,'30 days CF Table(AUD)'!G20,BS_RE33!$F$7:$F$874,'30 days CF Table(AUD)'!$C$2)</f>
        <v>0</v>
      </c>
      <c r="AY20" s="380">
        <f>SUMIFS(BS_RE33!$H$7:$H$874,BS_RE33!$S$7:$S$874,$AY$2,BS_RE33!$N$7:$N$874,I20,BS_RE33!$P$7:$P$874,'30 days CF Table(AUD)'!G20,BS_RE33!$F$7:$F$874,'30 days CF Table(AUD)'!$C$2)</f>
        <v>0</v>
      </c>
      <c r="AZ20" s="380">
        <f>SUMIFS(BS_RE33!$H$7:$H$874,BS_RE33!$S$7:$S$874,$AZ$2,BS_RE33!$N$7:$N$874,I20,BS_RE33!$P$7:$P$874,'30 days CF Table(AUD)'!G20,BS_RE33!$F$7:$F$874,'30 days CF Table(AUD)'!$C$2)</f>
        <v>0</v>
      </c>
      <c r="BA20" s="380">
        <f>SUMIFS(BS_RE33!$H$7:$H$874,BS_RE33!$S$7:$S$874,$BA$2,BS_RE33!$N$7:$N$874,I20,BS_RE33!$P$7:$P$874,'30 days CF Table(AUD)'!G20,BS_RE33!$F$7:$F$874,'30 days CF Table(AUD)'!$C$2)</f>
        <v>0</v>
      </c>
      <c r="BB20" s="380">
        <f>SUMIFS(BS_RE33!$H$7:$H$874,BS_RE33!$S$7:$S$874,$BB$2,BS_RE33!$N$7:$N$874,I20,BS_RE33!$P$7:$P$874,'30 days CF Table(AUD)'!G20,BS_RE33!$F$7:$F$874,'30 days CF Table(AUD)'!$C$2)</f>
        <v>0</v>
      </c>
      <c r="BC20" s="380">
        <f>SUMIFS(BS_RE33!$H$7:$H$874,BS_RE33!$S$7:$S$874,$BC$2,BS_RE33!$N$7:$N$874,I20,BS_RE33!$P$7:$P$874,'30 days CF Table(AUD)'!G20,BS_RE33!$F$7:$F$874,'30 days CF Table(AUD)'!$C$2)</f>
        <v>0</v>
      </c>
      <c r="BD20" s="380">
        <f>SUMIFS(BS_RE33!$H$7:$H$874,BS_RE33!$S$7:$S$874,$BD$2,BS_RE33!$N$7:$N$874,I20,BS_RE33!$P$7:$P$874,'30 days CF Table(AUD)'!G20,BS_RE33!$F$7:$F$874,'30 days CF Table(AUD)'!$C$2)</f>
        <v>0</v>
      </c>
      <c r="BE20" s="380">
        <f>SUMIFS(BS_RE33!$H$7:$H$874,BS_RE33!$S$7:$S$874,$BE$2,BS_RE33!$N$7:$N$874,I20,BS_RE33!$P$7:$P$874,'30 days CF Table(AUD)'!G20,BS_RE33!$F$7:$F$874,'30 days CF Table(AUD)'!$C$2)</f>
        <v>0</v>
      </c>
      <c r="BF20" s="380">
        <f>SUMIFS(BS_RE33!$H$7:$H$874,BS_RE33!$S$7:$S$874,$BF$2,BS_RE33!$N$7:$N$874,I20,BS_RE33!$P$7:$P$874,'30 days CF Table(AUD)'!G20,BS_RE33!$F$7:$F$874,'30 days CF Table(AUD)'!$C$2)</f>
        <v>0</v>
      </c>
      <c r="BG20" s="380">
        <f>SUMIFS(BS_RE33!$H$7:$H$874,BS_RE33!$S$7:$S$874,$BG$2,BS_RE33!$N$7:$N$874,I20,BS_RE33!$P$7:$P$874,'30 days CF Table(AUD)'!G20,BS_RE33!$F$7:$F$874,'30 days CF Table(AUD)'!$C$2)</f>
        <v>0</v>
      </c>
      <c r="BH20" s="380">
        <f>SUMIFS(BS_RE33!$H$7:$H$874,BS_RE33!$S$7:$S$874,$BH$2,BS_RE33!$N$7:$N$874,I20,BS_RE33!$P$7:$P$874,'30 days CF Table(AUD)'!G20,BS_RE33!$F$7:$F$874,'30 days CF Table(AUD)'!$C$2)</f>
        <v>0</v>
      </c>
      <c r="BI20" s="380">
        <f>SUMIFS(BS_RE33!$H$7:$H$874,BS_RE33!$S$7:$S$874,$BI$2,BS_RE33!$N$7:$N$874,I20,BS_RE33!$P$7:$P$874,'30 days CF Table(AUD)'!G20,BS_RE33!$F$7:$F$874,'30 days CF Table(AUD)'!$C$2)</f>
        <v>0</v>
      </c>
      <c r="BJ20" s="380">
        <f>SUMIFS(BS_RE33!$H$7:$H$874,BS_RE33!$S$7:$S$874,$BJ$2,BS_RE33!$N$7:$N$874,I20,BS_RE33!$P$7:$P$874,'30 days CF Table(AUD)'!G20,BS_RE33!$F$7:$F$874,'30 days CF Table(AUD)'!$C$2)</f>
        <v>0</v>
      </c>
      <c r="BK20" s="380">
        <f>SUMIFS(BS_RE33!$H$7:$H$874,BS_RE33!$S$7:$S$874,$BK$2,BS_RE33!$N$7:$N$874,I20,BS_RE33!$P$7:$P$874,'30 days CF Table(AUD)'!G20,BS_RE33!$F$7:$F$874,'30 days CF Table(AUD)'!$C$2)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Table(AUD)'!G21,BS_RE33!$F$7:$F$874,'30 days CF Table(AUD)'!$C$2)</f>
        <v>0</v>
      </c>
      <c r="M21" s="548">
        <f>SUMIFS(BS_RE33!$H$7:$H$874,BS_RE33!$S$7:$S$874,$M$2,BS_RE33!$N$7:$N$874,I21,BS_RE33!$P$7:$P$874,'30 days CF Table(AUD)'!G21,BS_RE33!$F$7:$F$874,'30 days CF Table(AUD)'!$C$2)</f>
        <v>0</v>
      </c>
      <c r="N21" s="548">
        <f>SUMIFS(BS_RE33!$H$7:$H$874,BS_RE33!$S$7:$S$874,$N$2,BS_RE33!$N$7:$N$874,I21,BS_RE33!$P$7:$P$874,'30 days CF Table(AUD)'!G21,BS_RE33!$F$7:$F$874,'30 days CF Table(AUD)'!$C$2)</f>
        <v>0</v>
      </c>
      <c r="O21" s="548">
        <f>SUMIFS(BS_RE33!$H$7:$H$874,BS_RE33!$S$7:$S$874,$O$2,BS_RE33!$N$7:$N$874,I21,BS_RE33!$P$7:$P$874,'30 days CF Table(AUD)'!G21,BS_RE33!$F$7:$F$874,'30 days CF Table(AUD)'!$C$2)</f>
        <v>0</v>
      </c>
      <c r="P21" s="548">
        <f>SUMIFS(BS_RE33!$H$7:$H$874,BS_RE33!$S$7:$S$874,$P$2,BS_RE33!$N$7:$N$874,I21,BS_RE33!$P$7:$P$874,'30 days CF Table(AUD)'!G21,BS_RE33!$F$7:$F$874,'30 days CF Table(AUD)'!$C$2)</f>
        <v>0</v>
      </c>
      <c r="Q21" s="548">
        <f>SUMIFS(BS_RE33!$H$7:$H$874,BS_RE33!$S$7:$S$874,$Q$2,BS_RE33!$N$7:$N$874,I21,BS_RE33!$P$7:$P$874,'30 days CF Table(AUD)'!G21,BS_RE33!$F$7:$F$874,'30 days CF Table(AUD)'!$C$2)</f>
        <v>0</v>
      </c>
      <c r="R21" s="548">
        <f>SUMIFS(BS_RE33!$H$7:$H$874,BS_RE33!$S$7:$S$874,$R$2,BS_RE33!$N$7:$N$874,I21,BS_RE33!$P$7:$P$874,'30 days CF Table(AUD)'!G21,BS_RE33!$F$7:$F$874,'30 days CF Table(AUD)'!$C$2)</f>
        <v>0</v>
      </c>
      <c r="S21" s="548">
        <f>SUMIFS(BS_RE33!$H$7:$H$874,BS_RE33!$S$7:$S$874,$S$2,BS_RE33!$N$7:$N$874,I21,BS_RE33!$P$7:$P$874,'30 days CF Table(AUD)'!G21,BS_RE33!$F$7:$F$874,'30 days CF Table(AUD)'!$C$2)</f>
        <v>0</v>
      </c>
      <c r="T21" s="548">
        <f>SUMIFS(BS_RE33!$H$7:$H$874,BS_RE33!$S$7:$S$874,$T$2,BS_RE33!$N$7:$N$874,I21,BS_RE33!$P$7:$P$874,'30 days CF Table(AUD)'!G21,BS_RE33!$F$7:$F$874,'30 days CF Table(AUD)'!$C$2)</f>
        <v>0</v>
      </c>
      <c r="U21" s="548">
        <f>SUMIFS(BS_RE33!$H$7:$H$874,BS_RE33!$S$7:$S$874,$U$2,BS_RE33!$N$7:$N$874,I21,BS_RE33!$P$7:$P$874,'30 days CF Table(AUD)'!G21,BS_RE33!$F$7:$F$874,'30 days CF Table(AUD)'!$C$2)</f>
        <v>0</v>
      </c>
      <c r="V21" s="548">
        <f>SUMIFS(BS_RE33!$H$7:$H$874,BS_RE33!$S$7:$S$874,$V$2,BS_RE33!$N$7:$N$874,I21,BS_RE33!$P$7:$P$874,'30 days CF Table(AUD)'!G21,BS_RE33!$F$7:$F$874,'30 days CF Table(AUD)'!$C$2)</f>
        <v>0</v>
      </c>
      <c r="W21" s="548">
        <f>SUMIFS(BS_RE33!$H$7:$H$874,BS_RE33!$S$7:$S$874,$W$2,BS_RE33!$N$7:$N$874,I21,BS_RE33!$P$7:$P$874,'30 days CF Table(AUD)'!G21,BS_RE33!$F$7:$F$874,'30 days CF Table(AUD)'!$C$2)</f>
        <v>0</v>
      </c>
      <c r="X21" s="548">
        <f>SUMIFS(BS_RE33!$H$7:$H$874,BS_RE33!$S$7:$S$874,$X$2,BS_RE33!$N$7:$N$874,I21,BS_RE33!$P$7:$P$874,'30 days CF Table(AUD)'!G21,BS_RE33!$F$7:$F$874,'30 days CF Table(AUD)'!$C$2)</f>
        <v>0</v>
      </c>
      <c r="Y21" s="548">
        <f>SUMIFS(BS_RE33!$H$7:$H$874,BS_RE33!$S$7:$S$874,$Y$2,BS_RE33!$N$7:$N$874,I21,BS_RE33!$P$7:$P$874,'30 days CF Table(AUD)'!G21,BS_RE33!$F$7:$F$874,'30 days CF Table(AUD)'!$C$2)</f>
        <v>0</v>
      </c>
      <c r="Z21" s="548">
        <f>SUMIFS(BS_RE33!$H$7:$H$874,BS_RE33!$S$7:$S$874,$Z$2,BS_RE33!$N$7:$N$874,I21,BS_RE33!$P$7:$P$874,'30 days CF Table(AUD)'!G21,BS_RE33!$F$7:$F$874,'30 days CF Table(AUD)'!$C$2)</f>
        <v>0</v>
      </c>
      <c r="AA21" s="548">
        <f>SUMIFS(BS_RE33!$H$7:$H$874,BS_RE33!$S$7:$S$874,$AA$2,BS_RE33!$N$7:$N$874,I21,BS_RE33!$P$7:$P$874,'30 days CF Table(AUD)'!G21,BS_RE33!$F$7:$F$874,'30 days CF Table(AUD)'!$C$2)</f>
        <v>0</v>
      </c>
      <c r="AB21" s="548">
        <f>SUMIFS(BS_RE33!$H$7:$H$874,BS_RE33!$S$7:$S$874,$AB$2,BS_RE33!$N$7:$N$874,I21,BS_RE33!$P$7:$P$874,'30 days CF Table(AUD)'!G21,BS_RE33!$F$7:$F$874,'30 days CF Table(AUD)'!$C$2)</f>
        <v>0</v>
      </c>
      <c r="AC21" s="548">
        <f>SUMIFS(BS_RE33!$H$7:$H$874,BS_RE33!$S$7:$S$874,$AC$2,BS_RE33!$N$7:$N$874,I21,BS_RE33!$P$7:$P$874,'30 days CF Table(AUD)'!G21,BS_RE33!$F$7:$F$874,'30 days CF Table(AUD)'!$C$2)</f>
        <v>0</v>
      </c>
      <c r="AD21" s="548">
        <f>SUMIFS(BS_RE33!$H$7:$H$874,BS_RE33!$S$7:$S$874,$AD$2,BS_RE33!$N$7:$N$874,I21,BS_RE33!$P$7:$P$874,'30 days CF Table(AUD)'!G21,BS_RE33!$F$7:$F$874,'30 days CF Table(AUD)'!$C$2)</f>
        <v>0</v>
      </c>
      <c r="AE21" s="548">
        <f>SUMIFS(BS_RE33!$H$7:$H$874,BS_RE33!$S$7:$S$874,$AE$2,BS_RE33!$N$7:$N$874,I21,BS_RE33!$P$7:$P$874,'30 days CF Table(AUD)'!G21,BS_RE33!$F$7:$F$874,'30 days CF Table(AUD)'!$C$2)</f>
        <v>0</v>
      </c>
      <c r="AF21" s="548">
        <f>SUMIFS(BS_RE33!$H$7:$H$874,BS_RE33!$S$7:$S$874,$AF$2,BS_RE33!$N$7:$N$874,I21,BS_RE33!$P$7:$P$874,'30 days CF Table(AUD)'!G21,BS_RE33!$F$7:$F$874,'30 days CF Table(AUD)'!$C$2)</f>
        <v>0</v>
      </c>
      <c r="AG21" s="548">
        <f>SUMIFS(BS_RE33!$H$7:$H$874,BS_RE33!$S$7:$S$874,$AG$2,BS_RE33!$N$7:$N$874,I21,BS_RE33!$P$7:$P$874,'30 days CF Table(AUD)'!G21,BS_RE33!$F$7:$F$874,'30 days CF Table(AUD)'!$C$2)</f>
        <v>0</v>
      </c>
      <c r="AH21" s="548">
        <f>SUMIFS(BS_RE33!$H$7:$H$874,BS_RE33!$S$7:$S$874,$AH$2,BS_RE33!$N$7:$N$874,I21,BS_RE33!$P$7:$P$874,'30 days CF Table(AUD)'!G21,BS_RE33!$F$7:$F$874,'30 days CF Table(AUD)'!$C$2)</f>
        <v>0</v>
      </c>
      <c r="AI21" s="548">
        <f>SUMIFS(BS_RE33!$H$7:$H$874,BS_RE33!$S$7:$S$874,$AI$2,BS_RE33!$N$7:$N$874,I21,BS_RE33!$P$7:$P$874,'30 days CF Table(AUD)'!G21,BS_RE33!$F$7:$F$874,'30 days CF Table(AUD)'!$C$2)</f>
        <v>0</v>
      </c>
      <c r="AJ21" s="548">
        <f>SUMIFS(BS_RE33!$H$7:$H$874,BS_RE33!$S$7:$S$874,$AJ$2,BS_RE33!$N$7:$N$874,I21,BS_RE33!$P$7:$P$874,'30 days CF Table(AUD)'!G21,BS_RE33!$F$7:$F$874,'30 days CF Table(AUD)'!$C$2)</f>
        <v>0</v>
      </c>
      <c r="AK21" s="548">
        <f>SUMIFS(BS_RE33!$H$7:$H$874,BS_RE33!$S$7:$S$874,$AK$2,BS_RE33!$N$7:$N$874,I21,BS_RE33!$P$7:$P$874,'30 days CF Table(AUD)'!G21,BS_RE33!$F$7:$F$874,'30 days CF Table(AUD)'!$C$2)</f>
        <v>0</v>
      </c>
      <c r="AL21" s="548">
        <f>SUMIFS(BS_RE33!$H$7:$H$874,BS_RE33!$S$7:$S$874,$AL$2,BS_RE33!$N$7:$N$874,I21,BS_RE33!$P$7:$P$874,'30 days CF Table(AUD)'!G21,BS_RE33!$F$7:$F$874,'30 days CF Table(AUD)'!$C$2)</f>
        <v>0</v>
      </c>
      <c r="AM21" s="548">
        <f>SUMIFS(BS_RE33!$H$7:$H$874,BS_RE33!$S$7:$S$874,$AM$2,BS_RE33!$N$7:$N$874,I21,BS_RE33!$P$7:$P$874,'30 days CF Table(AUD)'!G21,BS_RE33!$F$7:$F$874,'30 days CF Table(AUD)'!$C$2)</f>
        <v>0</v>
      </c>
      <c r="AN21" s="548">
        <f>SUMIFS(BS_RE33!$H$7:$H$874,BS_RE33!$S$7:$S$874,$AN$2,BS_RE33!$N$7:$N$874,I21,BS_RE33!$P$7:$P$874,'30 days CF Table(AUD)'!G21,BS_RE33!$F$7:$F$874,'30 days CF Table(AUD)'!$C$2)</f>
        <v>0</v>
      </c>
      <c r="AO21" s="548">
        <f>SUMIFS(BS_RE33!$H$7:$H$874,BS_RE33!$S$7:$S$874,$AO$2,BS_RE33!$N$7:$N$874,I21,BS_RE33!$P$7:$P$874,'30 days CF Table(AUD)'!G21,BS_RE33!$F$7:$F$874,'30 days CF Table(AUD)'!$C$2)</f>
        <v>0</v>
      </c>
      <c r="AP21" s="549">
        <f>SUMIFS(BS_RE33!$H$7:$H$874,BS_RE33!$S$7:$S$874,$AP$2,BS_RE33!$N$7:$N$874,I21,BS_RE33!$P$7:$P$874,'30 days CF Table(AUD)'!G21,BS_RE33!$F$7:$F$874,'30 days CF Table(AUD)'!$C$2)</f>
        <v>0</v>
      </c>
      <c r="AQ21" s="550"/>
      <c r="AR21" s="380">
        <f>SUMIFS(BS_RE33!$H$7:$H$874,BS_RE33!$S$7:$S$874,$AR$2,BS_RE33!$N$7:$N$874,I21,BS_RE33!$P$7:$P$874,'30 days CF Table(AUD)'!G21,BS_RE33!$F$7:$F$874,'30 days CF Table(AUD)'!$C$2)</f>
        <v>0</v>
      </c>
      <c r="AS21" s="380">
        <f>SUMIFS(BS_RE33!$H$7:$H$874,BS_RE33!$S$7:$S$874,$AS$2,BS_RE33!$N$7:$N$874,I21,BS_RE33!$P$7:$P$874,'30 days CF Table(AUD)'!G21,BS_RE33!$F$7:$F$874,'30 days CF Table(AUD)'!$C$2)</f>
        <v>0</v>
      </c>
      <c r="AT21" s="380">
        <f>SUMIFS(BS_RE33!$H$7:$H$874,BS_RE33!$S$7:$S$874,$AT$2,BS_RE33!$N$7:$N$874,I21,BS_RE33!$P$7:$P$874,'30 days CF Table(AUD)'!G21,BS_RE33!$F$7:$F$874,'30 days CF Table(AUD)'!$C$2)</f>
        <v>0</v>
      </c>
      <c r="AU21" s="380">
        <f>SUMIFS(BS_RE33!$H$7:$H$874,BS_RE33!$S$7:$S$874,$AU$2,BS_RE33!$N$7:$N$874,I21,BS_RE33!$P$7:$P$874,'30 days CF Table(AUD)'!G21,BS_RE33!$F$7:$F$874,'30 days CF Table(AUD)'!$C$2)</f>
        <v>0</v>
      </c>
      <c r="AV21" s="380">
        <f>SUMIFS(BS_RE33!$H$7:$H$874,BS_RE33!$S$7:$S$874,$AV$2,BS_RE33!$N$7:$N$874,I21,BS_RE33!$P$7:$P$874,'30 days CF Table(AUD)'!G21,BS_RE33!$F$7:$F$874,'30 days CF Table(AUD)'!$C$2)</f>
        <v>0</v>
      </c>
      <c r="AW21" s="380">
        <f>SUMIFS(BS_RE33!$H$7:$H$874,BS_RE33!$S$7:$S$874,$AW$2,BS_RE33!$N$7:$N$874,I21,BS_RE33!$P$7:$P$874,'30 days CF Table(AUD)'!G21,BS_RE33!$F$7:$F$874,'30 days CF Table(AUD)'!$C$2)</f>
        <v>0</v>
      </c>
      <c r="AX21" s="380">
        <f>SUMIFS(BS_RE33!$H$7:$H$874,BS_RE33!$S$7:$S$874,$AX$2,BS_RE33!$N$7:$N$874,I21,BS_RE33!$P$7:$P$874,'30 days CF Table(AUD)'!G21,BS_RE33!$F$7:$F$874,'30 days CF Table(AUD)'!$C$2)</f>
        <v>0</v>
      </c>
      <c r="AY21" s="380">
        <f>SUMIFS(BS_RE33!$H$7:$H$874,BS_RE33!$S$7:$S$874,$AY$2,BS_RE33!$N$7:$N$874,I21,BS_RE33!$P$7:$P$874,'30 days CF Table(AUD)'!G21,BS_RE33!$F$7:$F$874,'30 days CF Table(AUD)'!$C$2)</f>
        <v>0</v>
      </c>
      <c r="AZ21" s="380">
        <f>SUMIFS(BS_RE33!$H$7:$H$874,BS_RE33!$S$7:$S$874,$AZ$2,BS_RE33!$N$7:$N$874,I21,BS_RE33!$P$7:$P$874,'30 days CF Table(AUD)'!G21,BS_RE33!$F$7:$F$874,'30 days CF Table(AUD)'!$C$2)</f>
        <v>0</v>
      </c>
      <c r="BA21" s="380">
        <f>SUMIFS(BS_RE33!$H$7:$H$874,BS_RE33!$S$7:$S$874,$BA$2,BS_RE33!$N$7:$N$874,I21,BS_RE33!$P$7:$P$874,'30 days CF Table(AUD)'!G21,BS_RE33!$F$7:$F$874,'30 days CF Table(AUD)'!$C$2)</f>
        <v>0</v>
      </c>
      <c r="BB21" s="380">
        <f>SUMIFS(BS_RE33!$H$7:$H$874,BS_RE33!$S$7:$S$874,$BB$2,BS_RE33!$N$7:$N$874,I21,BS_RE33!$P$7:$P$874,'30 days CF Table(AUD)'!G21,BS_RE33!$F$7:$F$874,'30 days CF Table(AUD)'!$C$2)</f>
        <v>0</v>
      </c>
      <c r="BC21" s="380">
        <f>SUMIFS(BS_RE33!$H$7:$H$874,BS_RE33!$S$7:$S$874,$BC$2,BS_RE33!$N$7:$N$874,I21,BS_RE33!$P$7:$P$874,'30 days CF Table(AUD)'!G21,BS_RE33!$F$7:$F$874,'30 days CF Table(AUD)'!$C$2)</f>
        <v>0</v>
      </c>
      <c r="BD21" s="380">
        <f>SUMIFS(BS_RE33!$H$7:$H$874,BS_RE33!$S$7:$S$874,$BD$2,BS_RE33!$N$7:$N$874,I21,BS_RE33!$P$7:$P$874,'30 days CF Table(AUD)'!G21,BS_RE33!$F$7:$F$874,'30 days CF Table(AUD)'!$C$2)</f>
        <v>0</v>
      </c>
      <c r="BE21" s="380">
        <f>SUMIFS(BS_RE33!$H$7:$H$874,BS_RE33!$S$7:$S$874,$BE$2,BS_RE33!$N$7:$N$874,I21,BS_RE33!$P$7:$P$874,'30 days CF Table(AUD)'!G21,BS_RE33!$F$7:$F$874,'30 days CF Table(AUD)'!$C$2)</f>
        <v>0</v>
      </c>
      <c r="BF21" s="380">
        <f>SUMIFS(BS_RE33!$H$7:$H$874,BS_RE33!$S$7:$S$874,$BF$2,BS_RE33!$N$7:$N$874,I21,BS_RE33!$P$7:$P$874,'30 days CF Table(AUD)'!G21,BS_RE33!$F$7:$F$874,'30 days CF Table(AUD)'!$C$2)</f>
        <v>0</v>
      </c>
      <c r="BG21" s="380">
        <f>SUMIFS(BS_RE33!$H$7:$H$874,BS_RE33!$S$7:$S$874,$BG$2,BS_RE33!$N$7:$N$874,I21,BS_RE33!$P$7:$P$874,'30 days CF Table(AUD)'!G21,BS_RE33!$F$7:$F$874,'30 days CF Table(AUD)'!$C$2)</f>
        <v>0</v>
      </c>
      <c r="BH21" s="380">
        <f>SUMIFS(BS_RE33!$H$7:$H$874,BS_RE33!$S$7:$S$874,$BH$2,BS_RE33!$N$7:$N$874,I21,BS_RE33!$P$7:$P$874,'30 days CF Table(AUD)'!G21,BS_RE33!$F$7:$F$874,'30 days CF Table(AUD)'!$C$2)</f>
        <v>0</v>
      </c>
      <c r="BI21" s="380">
        <f>SUMIFS(BS_RE33!$H$7:$H$874,BS_RE33!$S$7:$S$874,$BI$2,BS_RE33!$N$7:$N$874,I21,BS_RE33!$P$7:$P$874,'30 days CF Table(AUD)'!G21,BS_RE33!$F$7:$F$874,'30 days CF Table(AUD)'!$C$2)</f>
        <v>0</v>
      </c>
      <c r="BJ21" s="380">
        <f>SUMIFS(BS_RE33!$H$7:$H$874,BS_RE33!$S$7:$S$874,$BJ$2,BS_RE33!$N$7:$N$874,I21,BS_RE33!$P$7:$P$874,'30 days CF Table(AUD)'!G21,BS_RE33!$F$7:$F$874,'30 days CF Table(AUD)'!$C$2)</f>
        <v>0</v>
      </c>
      <c r="BK21" s="380">
        <f>SUMIFS(BS_RE33!$H$7:$H$874,BS_RE33!$S$7:$S$874,$BK$2,BS_RE33!$N$7:$N$874,I21,BS_RE33!$P$7:$P$874,'30 days CF Table(AUD)'!G21,BS_RE33!$F$7:$F$874,'30 days CF Table(AUD)'!$C$2)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Table(AUD)'!G22,BS_RE33!$F$7:$F$874,'30 days CF Table(AUD)'!$C$2)</f>
        <v>0</v>
      </c>
      <c r="M22" s="337">
        <f>SUMIFS(BS_RE33!$H$7:$H$874,BS_RE33!$S$7:$S$874,$M$2,BS_RE33!$N$7:$N$874,I22,BS_RE33!$P$7:$P$874,'30 days CF Table(AUD)'!G22,BS_RE33!$F$7:$F$874,'30 days CF Table(AUD)'!$C$2)</f>
        <v>0</v>
      </c>
      <c r="N22" s="337">
        <f>SUMIFS(BS_RE33!$H$7:$H$874,BS_RE33!$S$7:$S$874,$N$2,BS_RE33!$N$7:$N$874,I22,BS_RE33!$P$7:$P$874,'30 days CF Table(AUD)'!G22,BS_RE33!$F$7:$F$874,'30 days CF Table(AUD)'!$C$2)</f>
        <v>0</v>
      </c>
      <c r="O22" s="337">
        <f>SUMIFS(BS_RE33!$H$7:$H$874,BS_RE33!$S$7:$S$874,$O$2,BS_RE33!$N$7:$N$874,I22,BS_RE33!$P$7:$P$874,'30 days CF Table(AUD)'!G22,BS_RE33!$F$7:$F$874,'30 days CF Table(AUD)'!$C$2)</f>
        <v>0</v>
      </c>
      <c r="P22" s="337">
        <f>SUMIFS(BS_RE33!$H$7:$H$874,BS_RE33!$S$7:$S$874,$P$2,BS_RE33!$N$7:$N$874,I22,BS_RE33!$P$7:$P$874,'30 days CF Table(AUD)'!G22,BS_RE33!$F$7:$F$874,'30 days CF Table(AUD)'!$C$2)</f>
        <v>0</v>
      </c>
      <c r="Q22" s="337">
        <f>SUMIFS(BS_RE33!$H$7:$H$874,BS_RE33!$S$7:$S$874,$Q$2,BS_RE33!$N$7:$N$874,I22,BS_RE33!$P$7:$P$874,'30 days CF Table(AUD)'!G22,BS_RE33!$F$7:$F$874,'30 days CF Table(AUD)'!$C$2)</f>
        <v>0</v>
      </c>
      <c r="R22" s="337">
        <f>SUMIFS(BS_RE33!$H$7:$H$874,BS_RE33!$S$7:$S$874,$R$2,BS_RE33!$N$7:$N$874,I22,BS_RE33!$P$7:$P$874,'30 days CF Table(AUD)'!G22,BS_RE33!$F$7:$F$874,'30 days CF Table(AUD)'!$C$2)</f>
        <v>0</v>
      </c>
      <c r="S22" s="337">
        <f>SUMIFS(BS_RE33!$H$7:$H$874,BS_RE33!$S$7:$S$874,$S$2,BS_RE33!$N$7:$N$874,I22,BS_RE33!$P$7:$P$874,'30 days CF Table(AUD)'!G22,BS_RE33!$F$7:$F$874,'30 days CF Table(AUD)'!$C$2)</f>
        <v>0</v>
      </c>
      <c r="T22" s="337">
        <f>SUMIFS(BS_RE33!$H$7:$H$874,BS_RE33!$S$7:$S$874,$T$2,BS_RE33!$N$7:$N$874,I22,BS_RE33!$P$7:$P$874,'30 days CF Table(AUD)'!G22,BS_RE33!$F$7:$F$874,'30 days CF Table(AUD)'!$C$2)</f>
        <v>0</v>
      </c>
      <c r="U22" s="337">
        <f>SUMIFS(BS_RE33!$H$7:$H$874,BS_RE33!$S$7:$S$874,$U$2,BS_RE33!$N$7:$N$874,I22,BS_RE33!$P$7:$P$874,'30 days CF Table(AUD)'!G22,BS_RE33!$F$7:$F$874,'30 days CF Table(AUD)'!$C$2)</f>
        <v>0</v>
      </c>
      <c r="V22" s="337">
        <f>SUMIFS(BS_RE33!$H$7:$H$874,BS_RE33!$S$7:$S$874,$V$2,BS_RE33!$N$7:$N$874,I22,BS_RE33!$P$7:$P$874,'30 days CF Table(AUD)'!G22,BS_RE33!$F$7:$F$874,'30 days CF Table(AUD)'!$C$2)</f>
        <v>0</v>
      </c>
      <c r="W22" s="337">
        <f>SUMIFS(BS_RE33!$H$7:$H$874,BS_RE33!$S$7:$S$874,$W$2,BS_RE33!$N$7:$N$874,I22,BS_RE33!$P$7:$P$874,'30 days CF Table(AUD)'!G22,BS_RE33!$F$7:$F$874,'30 days CF Table(AUD)'!$C$2)</f>
        <v>0</v>
      </c>
      <c r="X22" s="337">
        <f>SUMIFS(BS_RE33!$H$7:$H$874,BS_RE33!$S$7:$S$874,$X$2,BS_RE33!$N$7:$N$874,I22,BS_RE33!$P$7:$P$874,'30 days CF Table(AUD)'!G22,BS_RE33!$F$7:$F$874,'30 days CF Table(AUD)'!$C$2)</f>
        <v>0</v>
      </c>
      <c r="Y22" s="337">
        <f>SUMIFS(BS_RE33!$H$7:$H$874,BS_RE33!$S$7:$S$874,$Y$2,BS_RE33!$N$7:$N$874,I22,BS_RE33!$P$7:$P$874,'30 days CF Table(AUD)'!G22,BS_RE33!$F$7:$F$874,'30 days CF Table(AUD)'!$C$2)</f>
        <v>0</v>
      </c>
      <c r="Z22" s="337">
        <f>SUMIFS(BS_RE33!$H$7:$H$874,BS_RE33!$S$7:$S$874,$Z$2,BS_RE33!$N$7:$N$874,I22,BS_RE33!$P$7:$P$874,'30 days CF Table(AUD)'!G22,BS_RE33!$F$7:$F$874,'30 days CF Table(AUD)'!$C$2)</f>
        <v>0</v>
      </c>
      <c r="AA22" s="337">
        <f>SUMIFS(BS_RE33!$H$7:$H$874,BS_RE33!$S$7:$S$874,$AA$2,BS_RE33!$N$7:$N$874,I22,BS_RE33!$P$7:$P$874,'30 days CF Table(AUD)'!G22,BS_RE33!$F$7:$F$874,'30 days CF Table(AUD)'!$C$2)</f>
        <v>0</v>
      </c>
      <c r="AB22" s="337">
        <f>SUMIFS(BS_RE33!$H$7:$H$874,BS_RE33!$S$7:$S$874,$AB$2,BS_RE33!$N$7:$N$874,I22,BS_RE33!$P$7:$P$874,'30 days CF Table(AUD)'!G22,BS_RE33!$F$7:$F$874,'30 days CF Table(AUD)'!$C$2)</f>
        <v>0</v>
      </c>
      <c r="AC22" s="337">
        <f>SUMIFS(BS_RE33!$H$7:$H$874,BS_RE33!$S$7:$S$874,$AC$2,BS_RE33!$N$7:$N$874,I22,BS_RE33!$P$7:$P$874,'30 days CF Table(AUD)'!G22,BS_RE33!$F$7:$F$874,'30 days CF Table(AUD)'!$C$2)</f>
        <v>0</v>
      </c>
      <c r="AD22" s="337">
        <f>SUMIFS(BS_RE33!$H$7:$H$874,BS_RE33!$S$7:$S$874,$AD$2,BS_RE33!$N$7:$N$874,I22,BS_RE33!$P$7:$P$874,'30 days CF Table(AUD)'!G22,BS_RE33!$F$7:$F$874,'30 days CF Table(AUD)'!$C$2)</f>
        <v>0</v>
      </c>
      <c r="AE22" s="337">
        <f>SUMIFS(BS_RE33!$H$7:$H$874,BS_RE33!$S$7:$S$874,$AE$2,BS_RE33!$N$7:$N$874,I22,BS_RE33!$P$7:$P$874,'30 days CF Table(AUD)'!G22,BS_RE33!$F$7:$F$874,'30 days CF Table(AUD)'!$C$2)</f>
        <v>0</v>
      </c>
      <c r="AF22" s="337">
        <f>SUMIFS(BS_RE33!$H$7:$H$874,BS_RE33!$S$7:$S$874,$AF$2,BS_RE33!$N$7:$N$874,I22,BS_RE33!$P$7:$P$874,'30 days CF Table(AUD)'!G22,BS_RE33!$F$7:$F$874,'30 days CF Table(AUD)'!$C$2)</f>
        <v>0</v>
      </c>
      <c r="AG22" s="337">
        <f>SUMIFS(BS_RE33!$H$7:$H$874,BS_RE33!$S$7:$S$874,$AG$2,BS_RE33!$N$7:$N$874,I22,BS_RE33!$P$7:$P$874,'30 days CF Table(AUD)'!G22,BS_RE33!$F$7:$F$874,'30 days CF Table(AUD)'!$C$2)</f>
        <v>0</v>
      </c>
      <c r="AH22" s="337">
        <f>SUMIFS(BS_RE33!$H$7:$H$874,BS_RE33!$S$7:$S$874,$AH$2,BS_RE33!$N$7:$N$874,I22,BS_RE33!$P$7:$P$874,'30 days CF Table(AUD)'!G22,BS_RE33!$F$7:$F$874,'30 days CF Table(AUD)'!$C$2)</f>
        <v>0</v>
      </c>
      <c r="AI22" s="337">
        <f>SUMIFS(BS_RE33!$H$7:$H$874,BS_RE33!$S$7:$S$874,$AI$2,BS_RE33!$N$7:$N$874,I22,BS_RE33!$P$7:$P$874,'30 days CF Table(AUD)'!G22,BS_RE33!$F$7:$F$874,'30 days CF Table(AUD)'!$C$2)</f>
        <v>0</v>
      </c>
      <c r="AJ22" s="337">
        <f>SUMIFS(BS_RE33!$H$7:$H$874,BS_RE33!$S$7:$S$874,$AJ$2,BS_RE33!$N$7:$N$874,I22,BS_RE33!$P$7:$P$874,'30 days CF Table(AUD)'!G22,BS_RE33!$F$7:$F$874,'30 days CF Table(AUD)'!$C$2)</f>
        <v>0</v>
      </c>
      <c r="AK22" s="337">
        <f>SUMIFS(BS_RE33!$H$7:$H$874,BS_RE33!$S$7:$S$874,$AK$2,BS_RE33!$N$7:$N$874,I22,BS_RE33!$P$7:$P$874,'30 days CF Table(AUD)'!G22,BS_RE33!$F$7:$F$874,'30 days CF Table(AUD)'!$C$2)</f>
        <v>0</v>
      </c>
      <c r="AL22" s="337">
        <f>SUMIFS(BS_RE33!$H$7:$H$874,BS_RE33!$S$7:$S$874,$AL$2,BS_RE33!$N$7:$N$874,I22,BS_RE33!$P$7:$P$874,'30 days CF Table(AUD)'!G22,BS_RE33!$F$7:$F$874,'30 days CF Table(AUD)'!$C$2)</f>
        <v>0</v>
      </c>
      <c r="AM22" s="337">
        <f>SUMIFS(BS_RE33!$H$7:$H$874,BS_RE33!$S$7:$S$874,$AM$2,BS_RE33!$N$7:$N$874,I22,BS_RE33!$P$7:$P$874,'30 days CF Table(AUD)'!G22,BS_RE33!$F$7:$F$874,'30 days CF Table(AUD)'!$C$2)</f>
        <v>0</v>
      </c>
      <c r="AN22" s="337">
        <f>SUMIFS(BS_RE33!$H$7:$H$874,BS_RE33!$S$7:$S$874,$AN$2,BS_RE33!$N$7:$N$874,I22,BS_RE33!$P$7:$P$874,'30 days CF Table(AUD)'!G22,BS_RE33!$F$7:$F$874,'30 days CF Table(AUD)'!$C$2)</f>
        <v>0</v>
      </c>
      <c r="AO22" s="337">
        <f>SUMIFS(BS_RE33!$H$7:$H$874,BS_RE33!$S$7:$S$874,$AO$2,BS_RE33!$N$7:$N$874,I22,BS_RE33!$P$7:$P$874,'30 days CF Table(AUD)'!G22,BS_RE33!$F$7:$F$874,'30 days CF Table(AUD)'!$C$2)</f>
        <v>0</v>
      </c>
      <c r="AP22" s="338">
        <f>SUMIFS(BS_RE33!$H$7:$H$874,BS_RE33!$S$7:$S$874,$AP$2,BS_RE33!$N$7:$N$874,I22,BS_RE33!$P$7:$P$874,'30 days CF Table(AUD)'!G22,BS_RE33!$F$7:$F$874,'30 days CF Table(AUD)'!$C$2)</f>
        <v>0</v>
      </c>
      <c r="AQ22" s="545"/>
      <c r="AR22" s="379">
        <f>SUMIFS(BS_RE33!$H$7:$H$874,BS_RE33!$S$7:$S$874,$AR$2,BS_RE33!$N$7:$N$874,I22,BS_RE33!$P$7:$P$874,'30 days CF Table(AUD)'!G22,BS_RE33!$F$7:$F$874,'30 days CF Table(AUD)'!$C$2)</f>
        <v>0</v>
      </c>
      <c r="AS22" s="379">
        <f>SUMIFS(BS_RE33!$H$7:$H$874,BS_RE33!$S$7:$S$874,$AS$2,BS_RE33!$N$7:$N$874,I22,BS_RE33!$P$7:$P$874,'30 days CF Table(AUD)'!G22,BS_RE33!$F$7:$F$874,'30 days CF Table(AUD)'!$C$2)</f>
        <v>0</v>
      </c>
      <c r="AT22" s="379">
        <f>SUMIFS(BS_RE33!$H$7:$H$874,BS_RE33!$S$7:$S$874,$AT$2,BS_RE33!$N$7:$N$874,I22,BS_RE33!$P$7:$P$874,'30 days CF Table(AUD)'!G22,BS_RE33!$F$7:$F$874,'30 days CF Table(AUD)'!$C$2)</f>
        <v>0</v>
      </c>
      <c r="AU22" s="379">
        <f>SUMIFS(BS_RE33!$H$7:$H$874,BS_RE33!$S$7:$S$874,$AU$2,BS_RE33!$N$7:$N$874,I22,BS_RE33!$P$7:$P$874,'30 days CF Table(AUD)'!G22,BS_RE33!$F$7:$F$874,'30 days CF Table(AUD)'!$C$2)</f>
        <v>0</v>
      </c>
      <c r="AV22" s="379">
        <f>SUMIFS(BS_RE33!$H$7:$H$874,BS_RE33!$S$7:$S$874,$AV$2,BS_RE33!$N$7:$N$874,I22,BS_RE33!$P$7:$P$874,'30 days CF Table(AUD)'!G22,BS_RE33!$F$7:$F$874,'30 days CF Table(AUD)'!$C$2)</f>
        <v>0</v>
      </c>
      <c r="AW22" s="379">
        <f>SUMIFS(BS_RE33!$H$7:$H$874,BS_RE33!$S$7:$S$874,$AW$2,BS_RE33!$N$7:$N$874,I22,BS_RE33!$P$7:$P$874,'30 days CF Table(AUD)'!G22,BS_RE33!$F$7:$F$874,'30 days CF Table(AUD)'!$C$2)</f>
        <v>0</v>
      </c>
      <c r="AX22" s="379">
        <f>SUMIFS(BS_RE33!$H$7:$H$874,BS_RE33!$S$7:$S$874,$AX$2,BS_RE33!$N$7:$N$874,I22,BS_RE33!$P$7:$P$874,'30 days CF Table(AUD)'!G22,BS_RE33!$F$7:$F$874,'30 days CF Table(AUD)'!$C$2)</f>
        <v>0</v>
      </c>
      <c r="AY22" s="379">
        <f>SUMIFS(BS_RE33!$H$7:$H$874,BS_RE33!$S$7:$S$874,$AY$2,BS_RE33!$N$7:$N$874,I22,BS_RE33!$P$7:$P$874,'30 days CF Table(AUD)'!G22,BS_RE33!$F$7:$F$874,'30 days CF Table(AUD)'!$C$2)</f>
        <v>0</v>
      </c>
      <c r="AZ22" s="379">
        <f>SUMIFS(BS_RE33!$H$7:$H$874,BS_RE33!$S$7:$S$874,$AZ$2,BS_RE33!$N$7:$N$874,I22,BS_RE33!$P$7:$P$874,'30 days CF Table(AUD)'!G22,BS_RE33!$F$7:$F$874,'30 days CF Table(AUD)'!$C$2)</f>
        <v>0</v>
      </c>
      <c r="BA22" s="379">
        <f>SUMIFS(BS_RE33!$H$7:$H$874,BS_RE33!$S$7:$S$874,$BA$2,BS_RE33!$N$7:$N$874,I22,BS_RE33!$P$7:$P$874,'30 days CF Table(AUD)'!G22,BS_RE33!$F$7:$F$874,'30 days CF Table(AUD)'!$C$2)</f>
        <v>0</v>
      </c>
      <c r="BB22" s="379">
        <f>SUMIFS(BS_RE33!$H$7:$H$874,BS_RE33!$S$7:$S$874,$BB$2,BS_RE33!$N$7:$N$874,I22,BS_RE33!$P$7:$P$874,'30 days CF Table(AUD)'!G22,BS_RE33!$F$7:$F$874,'30 days CF Table(AUD)'!$C$2)</f>
        <v>0</v>
      </c>
      <c r="BC22" s="379">
        <f>SUMIFS(BS_RE33!$H$7:$H$874,BS_RE33!$S$7:$S$874,$BC$2,BS_RE33!$N$7:$N$874,I22,BS_RE33!$P$7:$P$874,'30 days CF Table(AUD)'!G22,BS_RE33!$F$7:$F$874,'30 days CF Table(AUD)'!$C$2)</f>
        <v>0</v>
      </c>
      <c r="BD22" s="379">
        <f>SUMIFS(BS_RE33!$H$7:$H$874,BS_RE33!$S$7:$S$874,$BD$2,BS_RE33!$N$7:$N$874,I22,BS_RE33!$P$7:$P$874,'30 days CF Table(AUD)'!G22,BS_RE33!$F$7:$F$874,'30 days CF Table(AUD)'!$C$2)</f>
        <v>0</v>
      </c>
      <c r="BE22" s="379">
        <f>SUMIFS(BS_RE33!$H$7:$H$874,BS_RE33!$S$7:$S$874,$BE$2,BS_RE33!$N$7:$N$874,I22,BS_RE33!$P$7:$P$874,'30 days CF Table(AUD)'!G22,BS_RE33!$F$7:$F$874,'30 days CF Table(AUD)'!$C$2)</f>
        <v>0</v>
      </c>
      <c r="BF22" s="379">
        <f>SUMIFS(BS_RE33!$H$7:$H$874,BS_RE33!$S$7:$S$874,$BF$2,BS_RE33!$N$7:$N$874,I22,BS_RE33!$P$7:$P$874,'30 days CF Table(AUD)'!G22,BS_RE33!$F$7:$F$874,'30 days CF Table(AUD)'!$C$2)</f>
        <v>0</v>
      </c>
      <c r="BG22" s="379">
        <f>SUMIFS(BS_RE33!$H$7:$H$874,BS_RE33!$S$7:$S$874,$BG$2,BS_RE33!$N$7:$N$874,I22,BS_RE33!$P$7:$P$874,'30 days CF Table(AUD)'!G22,BS_RE33!$F$7:$F$874,'30 days CF Table(AUD)'!$C$2)</f>
        <v>0</v>
      </c>
      <c r="BH22" s="379">
        <f>SUMIFS(BS_RE33!$H$7:$H$874,BS_RE33!$S$7:$S$874,$BH$2,BS_RE33!$N$7:$N$874,I22,BS_RE33!$P$7:$P$874,'30 days CF Table(AUD)'!G22,BS_RE33!$F$7:$F$874,'30 days CF Table(AUD)'!$C$2)</f>
        <v>0</v>
      </c>
      <c r="BI22" s="379">
        <f>SUMIFS(BS_RE33!$H$7:$H$874,BS_RE33!$S$7:$S$874,$BI$2,BS_RE33!$N$7:$N$874,I22,BS_RE33!$P$7:$P$874,'30 days CF Table(AUD)'!G22,BS_RE33!$F$7:$F$874,'30 days CF Table(AUD)'!$C$2)</f>
        <v>0</v>
      </c>
      <c r="BJ22" s="379">
        <f>SUMIFS(BS_RE33!$H$7:$H$874,BS_RE33!$S$7:$S$874,$BJ$2,BS_RE33!$N$7:$N$874,I22,BS_RE33!$P$7:$P$874,'30 days CF Table(AUD)'!G22,BS_RE33!$F$7:$F$874,'30 days CF Table(AUD)'!$C$2)</f>
        <v>0</v>
      </c>
      <c r="BK22" s="379">
        <f>SUMIFS(BS_RE33!$H$7:$H$874,BS_RE33!$S$7:$S$874,$BK$2,BS_RE33!$N$7:$N$874,I22,BS_RE33!$P$7:$P$874,'30 days CF Table(AUD)'!G22,BS_RE33!$F$7:$F$874,'30 days CF Table(AUD)'!$C$2)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Table(AUD)'!G23,BS_RE33!$F$7:$F$874,'30 days CF Table(AUD)'!$C$2)</f>
        <v>0</v>
      </c>
      <c r="M23" s="337">
        <f>SUMIFS(BS_RE33!$H$7:$H$874,BS_RE33!$S$7:$S$874,$M$2,BS_RE33!$N$7:$N$874,I23,BS_RE33!$P$7:$P$874,'30 days CF Table(AUD)'!G23,BS_RE33!$F$7:$F$874,'30 days CF Table(AUD)'!$C$2)</f>
        <v>0</v>
      </c>
      <c r="N23" s="337">
        <f>SUMIFS(BS_RE33!$H$7:$H$874,BS_RE33!$S$7:$S$874,$N$2,BS_RE33!$N$7:$N$874,I23,BS_RE33!$P$7:$P$874,'30 days CF Table(AUD)'!G23,BS_RE33!$F$7:$F$874,'30 days CF Table(AUD)'!$C$2)</f>
        <v>0</v>
      </c>
      <c r="O23" s="337">
        <f>SUMIFS(BS_RE33!$H$7:$H$874,BS_RE33!$S$7:$S$874,$O$2,BS_RE33!$N$7:$N$874,I23,BS_RE33!$P$7:$P$874,'30 days CF Table(AUD)'!G23,BS_RE33!$F$7:$F$874,'30 days CF Table(AUD)'!$C$2)</f>
        <v>0</v>
      </c>
      <c r="P23" s="337">
        <f>SUMIFS(BS_RE33!$H$7:$H$874,BS_RE33!$S$7:$S$874,$P$2,BS_RE33!$N$7:$N$874,I23,BS_RE33!$P$7:$P$874,'30 days CF Table(AUD)'!G23,BS_RE33!$F$7:$F$874,'30 days CF Table(AUD)'!$C$2)</f>
        <v>0</v>
      </c>
      <c r="Q23" s="337">
        <f>SUMIFS(BS_RE33!$H$7:$H$874,BS_RE33!$S$7:$S$874,$Q$2,BS_RE33!$N$7:$N$874,I23,BS_RE33!$P$7:$P$874,'30 days CF Table(AUD)'!G23,BS_RE33!$F$7:$F$874,'30 days CF Table(AUD)'!$C$2)</f>
        <v>0</v>
      </c>
      <c r="R23" s="337">
        <f>SUMIFS(BS_RE33!$H$7:$H$874,BS_RE33!$S$7:$S$874,$R$2,BS_RE33!$N$7:$N$874,I23,BS_RE33!$P$7:$P$874,'30 days CF Table(AUD)'!G23,BS_RE33!$F$7:$F$874,'30 days CF Table(AUD)'!$C$2)</f>
        <v>0</v>
      </c>
      <c r="S23" s="337">
        <f>SUMIFS(BS_RE33!$H$7:$H$874,BS_RE33!$S$7:$S$874,$S$2,BS_RE33!$N$7:$N$874,I23,BS_RE33!$P$7:$P$874,'30 days CF Table(AUD)'!G23,BS_RE33!$F$7:$F$874,'30 days CF Table(AUD)'!$C$2)</f>
        <v>0</v>
      </c>
      <c r="T23" s="337">
        <f>SUMIFS(BS_RE33!$H$7:$H$874,BS_RE33!$S$7:$S$874,$T$2,BS_RE33!$N$7:$N$874,I23,BS_RE33!$P$7:$P$874,'30 days CF Table(AUD)'!G23,BS_RE33!$F$7:$F$874,'30 days CF Table(AUD)'!$C$2)</f>
        <v>0</v>
      </c>
      <c r="U23" s="337">
        <f>SUMIFS(BS_RE33!$H$7:$H$874,BS_RE33!$S$7:$S$874,$U$2,BS_RE33!$N$7:$N$874,I23,BS_RE33!$P$7:$P$874,'30 days CF Table(AUD)'!G23,BS_RE33!$F$7:$F$874,'30 days CF Table(AUD)'!$C$2)</f>
        <v>0</v>
      </c>
      <c r="V23" s="337">
        <f>SUMIFS(BS_RE33!$H$7:$H$874,BS_RE33!$S$7:$S$874,$V$2,BS_RE33!$N$7:$N$874,I23,BS_RE33!$P$7:$P$874,'30 days CF Table(AUD)'!G23,BS_RE33!$F$7:$F$874,'30 days CF Table(AUD)'!$C$2)</f>
        <v>0</v>
      </c>
      <c r="W23" s="337">
        <f>SUMIFS(BS_RE33!$H$7:$H$874,BS_RE33!$S$7:$S$874,$W$2,BS_RE33!$N$7:$N$874,I23,BS_RE33!$P$7:$P$874,'30 days CF Table(AUD)'!G23,BS_RE33!$F$7:$F$874,'30 days CF Table(AUD)'!$C$2)</f>
        <v>0</v>
      </c>
      <c r="X23" s="337">
        <f>SUMIFS(BS_RE33!$H$7:$H$874,BS_RE33!$S$7:$S$874,$X$2,BS_RE33!$N$7:$N$874,I23,BS_RE33!$P$7:$P$874,'30 days CF Table(AUD)'!G23,BS_RE33!$F$7:$F$874,'30 days CF Table(AUD)'!$C$2)</f>
        <v>0</v>
      </c>
      <c r="Y23" s="337">
        <f>SUMIFS(BS_RE33!$H$7:$H$874,BS_RE33!$S$7:$S$874,$Y$2,BS_RE33!$N$7:$N$874,I23,BS_RE33!$P$7:$P$874,'30 days CF Table(AUD)'!G23,BS_RE33!$F$7:$F$874,'30 days CF Table(AUD)'!$C$2)</f>
        <v>0</v>
      </c>
      <c r="Z23" s="337">
        <f>SUMIFS(BS_RE33!$H$7:$H$874,BS_RE33!$S$7:$S$874,$Z$2,BS_RE33!$N$7:$N$874,I23,BS_RE33!$P$7:$P$874,'30 days CF Table(AUD)'!G23,BS_RE33!$F$7:$F$874,'30 days CF Table(AUD)'!$C$2)</f>
        <v>0</v>
      </c>
      <c r="AA23" s="337">
        <f>SUMIFS(BS_RE33!$H$7:$H$874,BS_RE33!$S$7:$S$874,$AA$2,BS_RE33!$N$7:$N$874,I23,BS_RE33!$P$7:$P$874,'30 days CF Table(AUD)'!G23,BS_RE33!$F$7:$F$874,'30 days CF Table(AUD)'!$C$2)</f>
        <v>0</v>
      </c>
      <c r="AB23" s="337">
        <f>SUMIFS(BS_RE33!$H$7:$H$874,BS_RE33!$S$7:$S$874,$AB$2,BS_RE33!$N$7:$N$874,I23,BS_RE33!$P$7:$P$874,'30 days CF Table(AUD)'!G23,BS_RE33!$F$7:$F$874,'30 days CF Table(AUD)'!$C$2)</f>
        <v>0</v>
      </c>
      <c r="AC23" s="337">
        <f>SUMIFS(BS_RE33!$H$7:$H$874,BS_RE33!$S$7:$S$874,$AC$2,BS_RE33!$N$7:$N$874,I23,BS_RE33!$P$7:$P$874,'30 days CF Table(AUD)'!G23,BS_RE33!$F$7:$F$874,'30 days CF Table(AUD)'!$C$2)</f>
        <v>0</v>
      </c>
      <c r="AD23" s="337">
        <f>SUMIFS(BS_RE33!$H$7:$H$874,BS_RE33!$S$7:$S$874,$AD$2,BS_RE33!$N$7:$N$874,I23,BS_RE33!$P$7:$P$874,'30 days CF Table(AUD)'!G23,BS_RE33!$F$7:$F$874,'30 days CF Table(AUD)'!$C$2)</f>
        <v>0</v>
      </c>
      <c r="AE23" s="337">
        <f>SUMIFS(BS_RE33!$H$7:$H$874,BS_RE33!$S$7:$S$874,$AE$2,BS_RE33!$N$7:$N$874,I23,BS_RE33!$P$7:$P$874,'30 days CF Table(AUD)'!G23,BS_RE33!$F$7:$F$874,'30 days CF Table(AUD)'!$C$2)</f>
        <v>0</v>
      </c>
      <c r="AF23" s="337">
        <f>SUMIFS(BS_RE33!$H$7:$H$874,BS_RE33!$S$7:$S$874,$AF$2,BS_RE33!$N$7:$N$874,I23,BS_RE33!$P$7:$P$874,'30 days CF Table(AUD)'!G23,BS_RE33!$F$7:$F$874,'30 days CF Table(AUD)'!$C$2)</f>
        <v>0</v>
      </c>
      <c r="AG23" s="337">
        <f>SUMIFS(BS_RE33!$H$7:$H$874,BS_RE33!$S$7:$S$874,$AG$2,BS_RE33!$N$7:$N$874,I23,BS_RE33!$P$7:$P$874,'30 days CF Table(AUD)'!G23,BS_RE33!$F$7:$F$874,'30 days CF Table(AUD)'!$C$2)</f>
        <v>0</v>
      </c>
      <c r="AH23" s="337">
        <f>SUMIFS(BS_RE33!$H$7:$H$874,BS_RE33!$S$7:$S$874,$AH$2,BS_RE33!$N$7:$N$874,I23,BS_RE33!$P$7:$P$874,'30 days CF Table(AUD)'!G23,BS_RE33!$F$7:$F$874,'30 days CF Table(AUD)'!$C$2)</f>
        <v>0</v>
      </c>
      <c r="AI23" s="337">
        <f>SUMIFS(BS_RE33!$H$7:$H$874,BS_RE33!$S$7:$S$874,$AI$2,BS_RE33!$N$7:$N$874,I23,BS_RE33!$P$7:$P$874,'30 days CF Table(AUD)'!G23,BS_RE33!$F$7:$F$874,'30 days CF Table(AUD)'!$C$2)</f>
        <v>0</v>
      </c>
      <c r="AJ23" s="337">
        <f>SUMIFS(BS_RE33!$H$7:$H$874,BS_RE33!$S$7:$S$874,$AJ$2,BS_RE33!$N$7:$N$874,I23,BS_RE33!$P$7:$P$874,'30 days CF Table(AUD)'!G23,BS_RE33!$F$7:$F$874,'30 days CF Table(AUD)'!$C$2)</f>
        <v>0</v>
      </c>
      <c r="AK23" s="337">
        <f>SUMIFS(BS_RE33!$H$7:$H$874,BS_RE33!$S$7:$S$874,$AK$2,BS_RE33!$N$7:$N$874,I23,BS_RE33!$P$7:$P$874,'30 days CF Table(AUD)'!G23,BS_RE33!$F$7:$F$874,'30 days CF Table(AUD)'!$C$2)</f>
        <v>0</v>
      </c>
      <c r="AL23" s="337">
        <f>SUMIFS(BS_RE33!$H$7:$H$874,BS_RE33!$S$7:$S$874,$AL$2,BS_RE33!$N$7:$N$874,I23,BS_RE33!$P$7:$P$874,'30 days CF Table(AUD)'!G23,BS_RE33!$F$7:$F$874,'30 days CF Table(AUD)'!$C$2)</f>
        <v>0</v>
      </c>
      <c r="AM23" s="337">
        <f>SUMIFS(BS_RE33!$H$7:$H$874,BS_RE33!$S$7:$S$874,$AM$2,BS_RE33!$N$7:$N$874,I23,BS_RE33!$P$7:$P$874,'30 days CF Table(AUD)'!G23,BS_RE33!$F$7:$F$874,'30 days CF Table(AUD)'!$C$2)</f>
        <v>0</v>
      </c>
      <c r="AN23" s="337">
        <f>SUMIFS(BS_RE33!$H$7:$H$874,BS_RE33!$S$7:$S$874,$AN$2,BS_RE33!$N$7:$N$874,I23,BS_RE33!$P$7:$P$874,'30 days CF Table(AUD)'!G23,BS_RE33!$F$7:$F$874,'30 days CF Table(AUD)'!$C$2)</f>
        <v>0</v>
      </c>
      <c r="AO23" s="337">
        <f>SUMIFS(BS_RE33!$H$7:$H$874,BS_RE33!$S$7:$S$874,$AO$2,BS_RE33!$N$7:$N$874,I23,BS_RE33!$P$7:$P$874,'30 days CF Table(AUD)'!G23,BS_RE33!$F$7:$F$874,'30 days CF Table(AUD)'!$C$2)</f>
        <v>0</v>
      </c>
      <c r="AP23" s="338">
        <f>SUMIFS(BS_RE33!$H$7:$H$874,BS_RE33!$S$7:$S$874,$AP$2,BS_RE33!$N$7:$N$874,I23,BS_RE33!$P$7:$P$874,'30 days CF Table(AUD)'!G23,BS_RE33!$F$7:$F$874,'30 days CF Table(AUD)'!$C$2)</f>
        <v>0</v>
      </c>
      <c r="AQ23" s="545"/>
      <c r="AR23" s="379">
        <f>SUMIFS(BS_RE33!$H$7:$H$874,BS_RE33!$S$7:$S$874,$AR$2,BS_RE33!$N$7:$N$874,I23,BS_RE33!$P$7:$P$874,'30 days CF Table(AUD)'!G23,BS_RE33!$F$7:$F$874,'30 days CF Table(AUD)'!$C$2)</f>
        <v>0</v>
      </c>
      <c r="AS23" s="379">
        <f>SUMIFS(BS_RE33!$H$7:$H$874,BS_RE33!$S$7:$S$874,$AS$2,BS_RE33!$N$7:$N$874,I23,BS_RE33!$P$7:$P$874,'30 days CF Table(AUD)'!G23,BS_RE33!$F$7:$F$874,'30 days CF Table(AUD)'!$C$2)</f>
        <v>0</v>
      </c>
      <c r="AT23" s="379">
        <f>SUMIFS(BS_RE33!$H$7:$H$874,BS_RE33!$S$7:$S$874,$AT$2,BS_RE33!$N$7:$N$874,I23,BS_RE33!$P$7:$P$874,'30 days CF Table(AUD)'!G23,BS_RE33!$F$7:$F$874,'30 days CF Table(AUD)'!$C$2)</f>
        <v>0</v>
      </c>
      <c r="AU23" s="379">
        <f>SUMIFS(BS_RE33!$H$7:$H$874,BS_RE33!$S$7:$S$874,$AU$2,BS_RE33!$N$7:$N$874,I23,BS_RE33!$P$7:$P$874,'30 days CF Table(AUD)'!G23,BS_RE33!$F$7:$F$874,'30 days CF Table(AUD)'!$C$2)</f>
        <v>0</v>
      </c>
      <c r="AV23" s="379">
        <f>SUMIFS(BS_RE33!$H$7:$H$874,BS_RE33!$S$7:$S$874,$AV$2,BS_RE33!$N$7:$N$874,I23,BS_RE33!$P$7:$P$874,'30 days CF Table(AUD)'!G23,BS_RE33!$F$7:$F$874,'30 days CF Table(AUD)'!$C$2)</f>
        <v>0</v>
      </c>
      <c r="AW23" s="379">
        <f>SUMIFS(BS_RE33!$H$7:$H$874,BS_RE33!$S$7:$S$874,$AW$2,BS_RE33!$N$7:$N$874,I23,BS_RE33!$P$7:$P$874,'30 days CF Table(AUD)'!G23,BS_RE33!$F$7:$F$874,'30 days CF Table(AUD)'!$C$2)</f>
        <v>0</v>
      </c>
      <c r="AX23" s="379">
        <f>SUMIFS(BS_RE33!$H$7:$H$874,BS_RE33!$S$7:$S$874,$AX$2,BS_RE33!$N$7:$N$874,I23,BS_RE33!$P$7:$P$874,'30 days CF Table(AUD)'!G23,BS_RE33!$F$7:$F$874,'30 days CF Table(AUD)'!$C$2)</f>
        <v>0</v>
      </c>
      <c r="AY23" s="379">
        <f>SUMIFS(BS_RE33!$H$7:$H$874,BS_RE33!$S$7:$S$874,$AY$2,BS_RE33!$N$7:$N$874,I23,BS_RE33!$P$7:$P$874,'30 days CF Table(AUD)'!G23,BS_RE33!$F$7:$F$874,'30 days CF Table(AUD)'!$C$2)</f>
        <v>0</v>
      </c>
      <c r="AZ23" s="379">
        <f>SUMIFS(BS_RE33!$H$7:$H$874,BS_RE33!$S$7:$S$874,$AZ$2,BS_RE33!$N$7:$N$874,I23,BS_RE33!$P$7:$P$874,'30 days CF Table(AUD)'!G23,BS_RE33!$F$7:$F$874,'30 days CF Table(AUD)'!$C$2)</f>
        <v>0</v>
      </c>
      <c r="BA23" s="379">
        <f>SUMIFS(BS_RE33!$H$7:$H$874,BS_RE33!$S$7:$S$874,$BA$2,BS_RE33!$N$7:$N$874,I23,BS_RE33!$P$7:$P$874,'30 days CF Table(AUD)'!G23,BS_RE33!$F$7:$F$874,'30 days CF Table(AUD)'!$C$2)</f>
        <v>0</v>
      </c>
      <c r="BB23" s="379">
        <f>SUMIFS(BS_RE33!$H$7:$H$874,BS_RE33!$S$7:$S$874,$BB$2,BS_RE33!$N$7:$N$874,I23,BS_RE33!$P$7:$P$874,'30 days CF Table(AUD)'!G23,BS_RE33!$F$7:$F$874,'30 days CF Table(AUD)'!$C$2)</f>
        <v>0</v>
      </c>
      <c r="BC23" s="379">
        <f>SUMIFS(BS_RE33!$H$7:$H$874,BS_RE33!$S$7:$S$874,$BC$2,BS_RE33!$N$7:$N$874,I23,BS_RE33!$P$7:$P$874,'30 days CF Table(AUD)'!G23,BS_RE33!$F$7:$F$874,'30 days CF Table(AUD)'!$C$2)</f>
        <v>0</v>
      </c>
      <c r="BD23" s="379">
        <f>SUMIFS(BS_RE33!$H$7:$H$874,BS_RE33!$S$7:$S$874,$BD$2,BS_RE33!$N$7:$N$874,I23,BS_RE33!$P$7:$P$874,'30 days CF Table(AUD)'!G23,BS_RE33!$F$7:$F$874,'30 days CF Table(AUD)'!$C$2)</f>
        <v>0</v>
      </c>
      <c r="BE23" s="379">
        <f>SUMIFS(BS_RE33!$H$7:$H$874,BS_RE33!$S$7:$S$874,$BE$2,BS_RE33!$N$7:$N$874,I23,BS_RE33!$P$7:$P$874,'30 days CF Table(AUD)'!G23,BS_RE33!$F$7:$F$874,'30 days CF Table(AUD)'!$C$2)</f>
        <v>0</v>
      </c>
      <c r="BF23" s="379">
        <f>SUMIFS(BS_RE33!$H$7:$H$874,BS_RE33!$S$7:$S$874,$BF$2,BS_RE33!$N$7:$N$874,I23,BS_RE33!$P$7:$P$874,'30 days CF Table(AUD)'!G23,BS_RE33!$F$7:$F$874,'30 days CF Table(AUD)'!$C$2)</f>
        <v>0</v>
      </c>
      <c r="BG23" s="379">
        <f>SUMIFS(BS_RE33!$H$7:$H$874,BS_RE33!$S$7:$S$874,$BG$2,BS_RE33!$N$7:$N$874,I23,BS_RE33!$P$7:$P$874,'30 days CF Table(AUD)'!G23,BS_RE33!$F$7:$F$874,'30 days CF Table(AUD)'!$C$2)</f>
        <v>0</v>
      </c>
      <c r="BH23" s="379">
        <f>SUMIFS(BS_RE33!$H$7:$H$874,BS_RE33!$S$7:$S$874,$BH$2,BS_RE33!$N$7:$N$874,I23,BS_RE33!$P$7:$P$874,'30 days CF Table(AUD)'!G23,BS_RE33!$F$7:$F$874,'30 days CF Table(AUD)'!$C$2)</f>
        <v>0</v>
      </c>
      <c r="BI23" s="379">
        <f>SUMIFS(BS_RE33!$H$7:$H$874,BS_RE33!$S$7:$S$874,$BI$2,BS_RE33!$N$7:$N$874,I23,BS_RE33!$P$7:$P$874,'30 days CF Table(AUD)'!G23,BS_RE33!$F$7:$F$874,'30 days CF Table(AUD)'!$C$2)</f>
        <v>0</v>
      </c>
      <c r="BJ23" s="379">
        <f>SUMIFS(BS_RE33!$H$7:$H$874,BS_RE33!$S$7:$S$874,$BJ$2,BS_RE33!$N$7:$N$874,I23,BS_RE33!$P$7:$P$874,'30 days CF Table(AUD)'!G23,BS_RE33!$F$7:$F$874,'30 days CF Table(AUD)'!$C$2)</f>
        <v>0</v>
      </c>
      <c r="BK23" s="379">
        <f>SUMIFS(BS_RE33!$H$7:$H$874,BS_RE33!$S$7:$S$874,$BK$2,BS_RE33!$N$7:$N$874,I23,BS_RE33!$P$7:$P$874,'30 days CF Table(AUD)'!G23,BS_RE33!$F$7:$F$874,'30 days CF Table(AUD)'!$C$2)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Table(AUD)'!G24,BS_RE33!$F$7:$F$874,'30 days CF Table(AUD)'!$C$2)</f>
        <v>0</v>
      </c>
      <c r="M24" s="337">
        <f>SUMIFS(BS_RE33!$H$7:$H$874,BS_RE33!$S$7:$S$874,$M$2,BS_RE33!$N$7:$N$874,I24,BS_RE33!$P$7:$P$874,'30 days CF Table(AUD)'!G24,BS_RE33!$F$7:$F$874,'30 days CF Table(AUD)'!$C$2)</f>
        <v>0</v>
      </c>
      <c r="N24" s="337">
        <f>SUMIFS(BS_RE33!$H$7:$H$874,BS_RE33!$S$7:$S$874,$N$2,BS_RE33!$N$7:$N$874,I24,BS_RE33!$P$7:$P$874,'30 days CF Table(AUD)'!G24,BS_RE33!$F$7:$F$874,'30 days CF Table(AUD)'!$C$2)</f>
        <v>0</v>
      </c>
      <c r="O24" s="337">
        <f>SUMIFS(BS_RE33!$H$7:$H$874,BS_RE33!$S$7:$S$874,$O$2,BS_RE33!$N$7:$N$874,I24,BS_RE33!$P$7:$P$874,'30 days CF Table(AUD)'!G24,BS_RE33!$F$7:$F$874,'30 days CF Table(AUD)'!$C$2)</f>
        <v>0</v>
      </c>
      <c r="P24" s="337">
        <f>SUMIFS(BS_RE33!$H$7:$H$874,BS_RE33!$S$7:$S$874,$P$2,BS_RE33!$N$7:$N$874,I24,BS_RE33!$P$7:$P$874,'30 days CF Table(AUD)'!G24,BS_RE33!$F$7:$F$874,'30 days CF Table(AUD)'!$C$2)</f>
        <v>0</v>
      </c>
      <c r="Q24" s="337">
        <f>SUMIFS(BS_RE33!$H$7:$H$874,BS_RE33!$S$7:$S$874,$Q$2,BS_RE33!$N$7:$N$874,I24,BS_RE33!$P$7:$P$874,'30 days CF Table(AUD)'!G24,BS_RE33!$F$7:$F$874,'30 days CF Table(AUD)'!$C$2)</f>
        <v>0</v>
      </c>
      <c r="R24" s="337">
        <f>SUMIFS(BS_RE33!$H$7:$H$874,BS_RE33!$S$7:$S$874,$R$2,BS_RE33!$N$7:$N$874,I24,BS_RE33!$P$7:$P$874,'30 days CF Table(AUD)'!G24,BS_RE33!$F$7:$F$874,'30 days CF Table(AUD)'!$C$2)</f>
        <v>0</v>
      </c>
      <c r="S24" s="337">
        <f>SUMIFS(BS_RE33!$H$7:$H$874,BS_RE33!$S$7:$S$874,$S$2,BS_RE33!$N$7:$N$874,I24,BS_RE33!$P$7:$P$874,'30 days CF Table(AUD)'!G24,BS_RE33!$F$7:$F$874,'30 days CF Table(AUD)'!$C$2)</f>
        <v>0</v>
      </c>
      <c r="T24" s="337">
        <f>SUMIFS(BS_RE33!$H$7:$H$874,BS_RE33!$S$7:$S$874,$T$2,BS_RE33!$N$7:$N$874,I24,BS_RE33!$P$7:$P$874,'30 days CF Table(AUD)'!G24,BS_RE33!$F$7:$F$874,'30 days CF Table(AUD)'!$C$2)</f>
        <v>0</v>
      </c>
      <c r="U24" s="337">
        <f>SUMIFS(BS_RE33!$H$7:$H$874,BS_RE33!$S$7:$S$874,$U$2,BS_RE33!$N$7:$N$874,I24,BS_RE33!$P$7:$P$874,'30 days CF Table(AUD)'!G24,BS_RE33!$F$7:$F$874,'30 days CF Table(AUD)'!$C$2)</f>
        <v>0</v>
      </c>
      <c r="V24" s="337">
        <f>SUMIFS(BS_RE33!$H$7:$H$874,BS_RE33!$S$7:$S$874,$V$2,BS_RE33!$N$7:$N$874,I24,BS_RE33!$P$7:$P$874,'30 days CF Table(AUD)'!G24,BS_RE33!$F$7:$F$874,'30 days CF Table(AUD)'!$C$2)</f>
        <v>0</v>
      </c>
      <c r="W24" s="337">
        <f>SUMIFS(BS_RE33!$H$7:$H$874,BS_RE33!$S$7:$S$874,$W$2,BS_RE33!$N$7:$N$874,I24,BS_RE33!$P$7:$P$874,'30 days CF Table(AUD)'!G24,BS_RE33!$F$7:$F$874,'30 days CF Table(AUD)'!$C$2)</f>
        <v>0</v>
      </c>
      <c r="X24" s="337">
        <f>SUMIFS(BS_RE33!$H$7:$H$874,BS_RE33!$S$7:$S$874,$X$2,BS_RE33!$N$7:$N$874,I24,BS_RE33!$P$7:$P$874,'30 days CF Table(AUD)'!G24,BS_RE33!$F$7:$F$874,'30 days CF Table(AUD)'!$C$2)</f>
        <v>0</v>
      </c>
      <c r="Y24" s="337">
        <f>SUMIFS(BS_RE33!$H$7:$H$874,BS_RE33!$S$7:$S$874,$Y$2,BS_RE33!$N$7:$N$874,I24,BS_RE33!$P$7:$P$874,'30 days CF Table(AUD)'!G24,BS_RE33!$F$7:$F$874,'30 days CF Table(AUD)'!$C$2)</f>
        <v>0</v>
      </c>
      <c r="Z24" s="337">
        <f>SUMIFS(BS_RE33!$H$7:$H$874,BS_RE33!$S$7:$S$874,$Z$2,BS_RE33!$N$7:$N$874,I24,BS_RE33!$P$7:$P$874,'30 days CF Table(AUD)'!G24,BS_RE33!$F$7:$F$874,'30 days CF Table(AUD)'!$C$2)</f>
        <v>0</v>
      </c>
      <c r="AA24" s="337">
        <f>SUMIFS(BS_RE33!$H$7:$H$874,BS_RE33!$S$7:$S$874,$AA$2,BS_RE33!$N$7:$N$874,I24,BS_RE33!$P$7:$P$874,'30 days CF Table(AUD)'!G24,BS_RE33!$F$7:$F$874,'30 days CF Table(AUD)'!$C$2)</f>
        <v>0</v>
      </c>
      <c r="AB24" s="337">
        <f>SUMIFS(BS_RE33!$H$7:$H$874,BS_RE33!$S$7:$S$874,$AB$2,BS_RE33!$N$7:$N$874,I24,BS_RE33!$P$7:$P$874,'30 days CF Table(AUD)'!G24,BS_RE33!$F$7:$F$874,'30 days CF Table(AUD)'!$C$2)</f>
        <v>0</v>
      </c>
      <c r="AC24" s="337">
        <f>SUMIFS(BS_RE33!$H$7:$H$874,BS_RE33!$S$7:$S$874,$AC$2,BS_RE33!$N$7:$N$874,I24,BS_RE33!$P$7:$P$874,'30 days CF Table(AUD)'!G24,BS_RE33!$F$7:$F$874,'30 days CF Table(AUD)'!$C$2)</f>
        <v>0</v>
      </c>
      <c r="AD24" s="337">
        <f>SUMIFS(BS_RE33!$H$7:$H$874,BS_RE33!$S$7:$S$874,$AD$2,BS_RE33!$N$7:$N$874,I24,BS_RE33!$P$7:$P$874,'30 days CF Table(AUD)'!G24,BS_RE33!$F$7:$F$874,'30 days CF Table(AUD)'!$C$2)</f>
        <v>0</v>
      </c>
      <c r="AE24" s="337">
        <f>SUMIFS(BS_RE33!$H$7:$H$874,BS_RE33!$S$7:$S$874,$AE$2,BS_RE33!$N$7:$N$874,I24,BS_RE33!$P$7:$P$874,'30 days CF Table(AUD)'!G24,BS_RE33!$F$7:$F$874,'30 days CF Table(AUD)'!$C$2)</f>
        <v>0</v>
      </c>
      <c r="AF24" s="337">
        <f>SUMIFS(BS_RE33!$H$7:$H$874,BS_RE33!$S$7:$S$874,$AF$2,BS_RE33!$N$7:$N$874,I24,BS_RE33!$P$7:$P$874,'30 days CF Table(AUD)'!G24,BS_RE33!$F$7:$F$874,'30 days CF Table(AUD)'!$C$2)</f>
        <v>0</v>
      </c>
      <c r="AG24" s="337">
        <f>SUMIFS(BS_RE33!$H$7:$H$874,BS_RE33!$S$7:$S$874,$AG$2,BS_RE33!$N$7:$N$874,I24,BS_RE33!$P$7:$P$874,'30 days CF Table(AUD)'!G24,BS_RE33!$F$7:$F$874,'30 days CF Table(AUD)'!$C$2)</f>
        <v>0</v>
      </c>
      <c r="AH24" s="337">
        <f>SUMIFS(BS_RE33!$H$7:$H$874,BS_RE33!$S$7:$S$874,$AH$2,BS_RE33!$N$7:$N$874,I24,BS_RE33!$P$7:$P$874,'30 days CF Table(AUD)'!G24,BS_RE33!$F$7:$F$874,'30 days CF Table(AUD)'!$C$2)</f>
        <v>0</v>
      </c>
      <c r="AI24" s="337">
        <f>SUMIFS(BS_RE33!$H$7:$H$874,BS_RE33!$S$7:$S$874,$AI$2,BS_RE33!$N$7:$N$874,I24,BS_RE33!$P$7:$P$874,'30 days CF Table(AUD)'!G24,BS_RE33!$F$7:$F$874,'30 days CF Table(AUD)'!$C$2)</f>
        <v>0</v>
      </c>
      <c r="AJ24" s="337">
        <f>SUMIFS(BS_RE33!$H$7:$H$874,BS_RE33!$S$7:$S$874,$AJ$2,BS_RE33!$N$7:$N$874,I24,BS_RE33!$P$7:$P$874,'30 days CF Table(AUD)'!G24,BS_RE33!$F$7:$F$874,'30 days CF Table(AUD)'!$C$2)</f>
        <v>0</v>
      </c>
      <c r="AK24" s="337">
        <f>SUMIFS(BS_RE33!$H$7:$H$874,BS_RE33!$S$7:$S$874,$AK$2,BS_RE33!$N$7:$N$874,I24,BS_RE33!$P$7:$P$874,'30 days CF Table(AUD)'!G24,BS_RE33!$F$7:$F$874,'30 days CF Table(AUD)'!$C$2)</f>
        <v>0</v>
      </c>
      <c r="AL24" s="337">
        <f>SUMIFS(BS_RE33!$H$7:$H$874,BS_RE33!$S$7:$S$874,$AL$2,BS_RE33!$N$7:$N$874,I24,BS_RE33!$P$7:$P$874,'30 days CF Table(AUD)'!G24,BS_RE33!$F$7:$F$874,'30 days CF Table(AUD)'!$C$2)</f>
        <v>0</v>
      </c>
      <c r="AM24" s="337">
        <f>SUMIFS(BS_RE33!$H$7:$H$874,BS_RE33!$S$7:$S$874,$AM$2,BS_RE33!$N$7:$N$874,I24,BS_RE33!$P$7:$P$874,'30 days CF Table(AUD)'!G24,BS_RE33!$F$7:$F$874,'30 days CF Table(AUD)'!$C$2)</f>
        <v>0</v>
      </c>
      <c r="AN24" s="337">
        <f>SUMIFS(BS_RE33!$H$7:$H$874,BS_RE33!$S$7:$S$874,$AN$2,BS_RE33!$N$7:$N$874,I24,BS_RE33!$P$7:$P$874,'30 days CF Table(AUD)'!G24,BS_RE33!$F$7:$F$874,'30 days CF Table(AUD)'!$C$2)</f>
        <v>0</v>
      </c>
      <c r="AO24" s="337">
        <f>SUMIFS(BS_RE33!$H$7:$H$874,BS_RE33!$S$7:$S$874,$AO$2,BS_RE33!$N$7:$N$874,I24,BS_RE33!$P$7:$P$874,'30 days CF Table(AUD)'!G24,BS_RE33!$F$7:$F$874,'30 days CF Table(AUD)'!$C$2)</f>
        <v>0</v>
      </c>
      <c r="AP24" s="338">
        <f>SUMIFS(BS_RE33!$H$7:$H$874,BS_RE33!$S$7:$S$874,$AP$2,BS_RE33!$N$7:$N$874,I24,BS_RE33!$P$7:$P$874,'30 days CF Table(AUD)'!G24,BS_RE33!$F$7:$F$874,'30 days CF Table(AUD)'!$C$2)</f>
        <v>0</v>
      </c>
      <c r="AQ24" s="545"/>
      <c r="AR24" s="379">
        <f>SUMIFS(BS_RE33!$H$7:$H$874,BS_RE33!$S$7:$S$874,$AR$2,BS_RE33!$N$7:$N$874,I24,BS_RE33!$P$7:$P$874,'30 days CF Table(AUD)'!G24,BS_RE33!$F$7:$F$874,'30 days CF Table(AUD)'!$C$2)</f>
        <v>0</v>
      </c>
      <c r="AS24" s="379">
        <f>SUMIFS(BS_RE33!$H$7:$H$874,BS_RE33!$S$7:$S$874,$AS$2,BS_RE33!$N$7:$N$874,I24,BS_RE33!$P$7:$P$874,'30 days CF Table(AUD)'!G24,BS_RE33!$F$7:$F$874,'30 days CF Table(AUD)'!$C$2)</f>
        <v>0</v>
      </c>
      <c r="AT24" s="379">
        <f>SUMIFS(BS_RE33!$H$7:$H$874,BS_RE33!$S$7:$S$874,$AT$2,BS_RE33!$N$7:$N$874,I24,BS_RE33!$P$7:$P$874,'30 days CF Table(AUD)'!G24,BS_RE33!$F$7:$F$874,'30 days CF Table(AUD)'!$C$2)</f>
        <v>0</v>
      </c>
      <c r="AU24" s="379">
        <f>SUMIFS(BS_RE33!$H$7:$H$874,BS_RE33!$S$7:$S$874,$AU$2,BS_RE33!$N$7:$N$874,I24,BS_RE33!$P$7:$P$874,'30 days CF Table(AUD)'!G24,BS_RE33!$F$7:$F$874,'30 days CF Table(AUD)'!$C$2)</f>
        <v>0</v>
      </c>
      <c r="AV24" s="379">
        <f>SUMIFS(BS_RE33!$H$7:$H$874,BS_RE33!$S$7:$S$874,$AV$2,BS_RE33!$N$7:$N$874,I24,BS_RE33!$P$7:$P$874,'30 days CF Table(AUD)'!G24,BS_RE33!$F$7:$F$874,'30 days CF Table(AUD)'!$C$2)</f>
        <v>0</v>
      </c>
      <c r="AW24" s="379">
        <f>SUMIFS(BS_RE33!$H$7:$H$874,BS_RE33!$S$7:$S$874,$AW$2,BS_RE33!$N$7:$N$874,I24,BS_RE33!$P$7:$P$874,'30 days CF Table(AUD)'!G24,BS_RE33!$F$7:$F$874,'30 days CF Table(AUD)'!$C$2)</f>
        <v>0</v>
      </c>
      <c r="AX24" s="379">
        <f>SUMIFS(BS_RE33!$H$7:$H$874,BS_RE33!$S$7:$S$874,$AX$2,BS_RE33!$N$7:$N$874,I24,BS_RE33!$P$7:$P$874,'30 days CF Table(AUD)'!G24,BS_RE33!$F$7:$F$874,'30 days CF Table(AUD)'!$C$2)</f>
        <v>0</v>
      </c>
      <c r="AY24" s="379">
        <f>SUMIFS(BS_RE33!$H$7:$H$874,BS_RE33!$S$7:$S$874,$AY$2,BS_RE33!$N$7:$N$874,I24,BS_RE33!$P$7:$P$874,'30 days CF Table(AUD)'!G24,BS_RE33!$F$7:$F$874,'30 days CF Table(AUD)'!$C$2)</f>
        <v>0</v>
      </c>
      <c r="AZ24" s="379">
        <f>SUMIFS(BS_RE33!$H$7:$H$874,BS_RE33!$S$7:$S$874,$AZ$2,BS_RE33!$N$7:$N$874,I24,BS_RE33!$P$7:$P$874,'30 days CF Table(AUD)'!G24,BS_RE33!$F$7:$F$874,'30 days CF Table(AUD)'!$C$2)</f>
        <v>0</v>
      </c>
      <c r="BA24" s="379">
        <f>SUMIFS(BS_RE33!$H$7:$H$874,BS_RE33!$S$7:$S$874,$BA$2,BS_RE33!$N$7:$N$874,I24,BS_RE33!$P$7:$P$874,'30 days CF Table(AUD)'!G24,BS_RE33!$F$7:$F$874,'30 days CF Table(AUD)'!$C$2)</f>
        <v>0</v>
      </c>
      <c r="BB24" s="379">
        <f>SUMIFS(BS_RE33!$H$7:$H$874,BS_RE33!$S$7:$S$874,$BB$2,BS_RE33!$N$7:$N$874,I24,BS_RE33!$P$7:$P$874,'30 days CF Table(AUD)'!G24,BS_RE33!$F$7:$F$874,'30 days CF Table(AUD)'!$C$2)</f>
        <v>0</v>
      </c>
      <c r="BC24" s="379">
        <f>SUMIFS(BS_RE33!$H$7:$H$874,BS_RE33!$S$7:$S$874,$BC$2,BS_RE33!$N$7:$N$874,I24,BS_RE33!$P$7:$P$874,'30 days CF Table(AUD)'!G24,BS_RE33!$F$7:$F$874,'30 days CF Table(AUD)'!$C$2)</f>
        <v>0</v>
      </c>
      <c r="BD24" s="379">
        <f>SUMIFS(BS_RE33!$H$7:$H$874,BS_RE33!$S$7:$S$874,$BD$2,BS_RE33!$N$7:$N$874,I24,BS_RE33!$P$7:$P$874,'30 days CF Table(AUD)'!G24,BS_RE33!$F$7:$F$874,'30 days CF Table(AUD)'!$C$2)</f>
        <v>0</v>
      </c>
      <c r="BE24" s="379">
        <f>SUMIFS(BS_RE33!$H$7:$H$874,BS_RE33!$S$7:$S$874,$BE$2,BS_RE33!$N$7:$N$874,I24,BS_RE33!$P$7:$P$874,'30 days CF Table(AUD)'!G24,BS_RE33!$F$7:$F$874,'30 days CF Table(AUD)'!$C$2)</f>
        <v>0</v>
      </c>
      <c r="BF24" s="379">
        <f>SUMIFS(BS_RE33!$H$7:$H$874,BS_RE33!$S$7:$S$874,$BF$2,BS_RE33!$N$7:$N$874,I24,BS_RE33!$P$7:$P$874,'30 days CF Table(AUD)'!G24,BS_RE33!$F$7:$F$874,'30 days CF Table(AUD)'!$C$2)</f>
        <v>0</v>
      </c>
      <c r="BG24" s="379">
        <f>SUMIFS(BS_RE33!$H$7:$H$874,BS_RE33!$S$7:$S$874,$BG$2,BS_RE33!$N$7:$N$874,I24,BS_RE33!$P$7:$P$874,'30 days CF Table(AUD)'!G24,BS_RE33!$F$7:$F$874,'30 days CF Table(AUD)'!$C$2)</f>
        <v>0</v>
      </c>
      <c r="BH24" s="379">
        <f>SUMIFS(BS_RE33!$H$7:$H$874,BS_RE33!$S$7:$S$874,$BH$2,BS_RE33!$N$7:$N$874,I24,BS_RE33!$P$7:$P$874,'30 days CF Table(AUD)'!G24,BS_RE33!$F$7:$F$874,'30 days CF Table(AUD)'!$C$2)</f>
        <v>0</v>
      </c>
      <c r="BI24" s="379">
        <f>SUMIFS(BS_RE33!$H$7:$H$874,BS_RE33!$S$7:$S$874,$BI$2,BS_RE33!$N$7:$N$874,I24,BS_RE33!$P$7:$P$874,'30 days CF Table(AUD)'!G24,BS_RE33!$F$7:$F$874,'30 days CF Table(AUD)'!$C$2)</f>
        <v>0</v>
      </c>
      <c r="BJ24" s="379">
        <f>SUMIFS(BS_RE33!$H$7:$H$874,BS_RE33!$S$7:$S$874,$BJ$2,BS_RE33!$N$7:$N$874,I24,BS_RE33!$P$7:$P$874,'30 days CF Table(AUD)'!G24,BS_RE33!$F$7:$F$874,'30 days CF Table(AUD)'!$C$2)</f>
        <v>0</v>
      </c>
      <c r="BK24" s="379">
        <f>SUMIFS(BS_RE33!$H$7:$H$874,BS_RE33!$S$7:$S$874,$BK$2,BS_RE33!$N$7:$N$874,I24,BS_RE33!$P$7:$P$874,'30 days CF Table(AUD)'!G24,BS_RE33!$F$7:$F$874,'30 days CF Table(AUD)'!$C$2)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Table(AUD)'!G25,BS_RE33!$F$7:$F$874,'30 days CF Table(AUD)'!$C$2)</f>
        <v>0</v>
      </c>
      <c r="M25" s="337">
        <f>SUMIFS(BS_RE33!$H$7:$H$874,BS_RE33!$S$7:$S$874,$M$2,BS_RE33!$N$7:$N$874,I25,BS_RE33!$P$7:$P$874,'30 days CF Table(AUD)'!G25,BS_RE33!$F$7:$F$874,'30 days CF Table(AUD)'!$C$2)</f>
        <v>0</v>
      </c>
      <c r="N25" s="337">
        <f>SUMIFS(BS_RE33!$H$7:$H$874,BS_RE33!$S$7:$S$874,$N$2,BS_RE33!$N$7:$N$874,I25,BS_RE33!$P$7:$P$874,'30 days CF Table(AUD)'!G25,BS_RE33!$F$7:$F$874,'30 days CF Table(AUD)'!$C$2)</f>
        <v>0</v>
      </c>
      <c r="O25" s="337">
        <f>SUMIFS(BS_RE33!$H$7:$H$874,BS_RE33!$S$7:$S$874,$O$2,BS_RE33!$N$7:$N$874,I25,BS_RE33!$P$7:$P$874,'30 days CF Table(AUD)'!G25,BS_RE33!$F$7:$F$874,'30 days CF Table(AUD)'!$C$2)</f>
        <v>0</v>
      </c>
      <c r="P25" s="337">
        <f>SUMIFS(BS_RE33!$H$7:$H$874,BS_RE33!$S$7:$S$874,$P$2,BS_RE33!$N$7:$N$874,I25,BS_RE33!$P$7:$P$874,'30 days CF Table(AUD)'!G25,BS_RE33!$F$7:$F$874,'30 days CF Table(AUD)'!$C$2)</f>
        <v>0</v>
      </c>
      <c r="Q25" s="337">
        <f>SUMIFS(BS_RE33!$H$7:$H$874,BS_RE33!$S$7:$S$874,$Q$2,BS_RE33!$N$7:$N$874,I25,BS_RE33!$P$7:$P$874,'30 days CF Table(AUD)'!G25,BS_RE33!$F$7:$F$874,'30 days CF Table(AUD)'!$C$2)</f>
        <v>0</v>
      </c>
      <c r="R25" s="337">
        <f>SUMIFS(BS_RE33!$H$7:$H$874,BS_RE33!$S$7:$S$874,$R$2,BS_RE33!$N$7:$N$874,I25,BS_RE33!$P$7:$P$874,'30 days CF Table(AUD)'!G25,BS_RE33!$F$7:$F$874,'30 days CF Table(AUD)'!$C$2)</f>
        <v>0</v>
      </c>
      <c r="S25" s="337">
        <f>SUMIFS(BS_RE33!$H$7:$H$874,BS_RE33!$S$7:$S$874,$S$2,BS_RE33!$N$7:$N$874,I25,BS_RE33!$P$7:$P$874,'30 days CF Table(AUD)'!G25,BS_RE33!$F$7:$F$874,'30 days CF Table(AUD)'!$C$2)</f>
        <v>0</v>
      </c>
      <c r="T25" s="337">
        <f>SUMIFS(BS_RE33!$H$7:$H$874,BS_RE33!$S$7:$S$874,$T$2,BS_RE33!$N$7:$N$874,I25,BS_RE33!$P$7:$P$874,'30 days CF Table(AUD)'!G25,BS_RE33!$F$7:$F$874,'30 days CF Table(AUD)'!$C$2)</f>
        <v>0</v>
      </c>
      <c r="U25" s="337">
        <f>SUMIFS(BS_RE33!$H$7:$H$874,BS_RE33!$S$7:$S$874,$U$2,BS_RE33!$N$7:$N$874,I25,BS_RE33!$P$7:$P$874,'30 days CF Table(AUD)'!G25,BS_RE33!$F$7:$F$874,'30 days CF Table(AUD)'!$C$2)</f>
        <v>0</v>
      </c>
      <c r="V25" s="337">
        <f>SUMIFS(BS_RE33!$H$7:$H$874,BS_RE33!$S$7:$S$874,$V$2,BS_RE33!$N$7:$N$874,I25,BS_RE33!$P$7:$P$874,'30 days CF Table(AUD)'!G25,BS_RE33!$F$7:$F$874,'30 days CF Table(AUD)'!$C$2)</f>
        <v>0</v>
      </c>
      <c r="W25" s="337">
        <f>SUMIFS(BS_RE33!$H$7:$H$874,BS_RE33!$S$7:$S$874,$W$2,BS_RE33!$N$7:$N$874,I25,BS_RE33!$P$7:$P$874,'30 days CF Table(AUD)'!G25,BS_RE33!$F$7:$F$874,'30 days CF Table(AUD)'!$C$2)</f>
        <v>0</v>
      </c>
      <c r="X25" s="337">
        <f>SUMIFS(BS_RE33!$H$7:$H$874,BS_RE33!$S$7:$S$874,$X$2,BS_RE33!$N$7:$N$874,I25,BS_RE33!$P$7:$P$874,'30 days CF Table(AUD)'!G25,BS_RE33!$F$7:$F$874,'30 days CF Table(AUD)'!$C$2)</f>
        <v>0</v>
      </c>
      <c r="Y25" s="337">
        <f>SUMIFS(BS_RE33!$H$7:$H$874,BS_RE33!$S$7:$S$874,$Y$2,BS_RE33!$N$7:$N$874,I25,BS_RE33!$P$7:$P$874,'30 days CF Table(AUD)'!G25,BS_RE33!$F$7:$F$874,'30 days CF Table(AUD)'!$C$2)</f>
        <v>0</v>
      </c>
      <c r="Z25" s="337">
        <f>SUMIFS(BS_RE33!$H$7:$H$874,BS_RE33!$S$7:$S$874,$Z$2,BS_RE33!$N$7:$N$874,I25,BS_RE33!$P$7:$P$874,'30 days CF Table(AUD)'!G25,BS_RE33!$F$7:$F$874,'30 days CF Table(AUD)'!$C$2)</f>
        <v>0</v>
      </c>
      <c r="AA25" s="337">
        <f>SUMIFS(BS_RE33!$H$7:$H$874,BS_RE33!$S$7:$S$874,$AA$2,BS_RE33!$N$7:$N$874,I25,BS_RE33!$P$7:$P$874,'30 days CF Table(AUD)'!G25,BS_RE33!$F$7:$F$874,'30 days CF Table(AUD)'!$C$2)</f>
        <v>0</v>
      </c>
      <c r="AB25" s="337">
        <f>SUMIFS(BS_RE33!$H$7:$H$874,BS_RE33!$S$7:$S$874,$AB$2,BS_RE33!$N$7:$N$874,I25,BS_RE33!$P$7:$P$874,'30 days CF Table(AUD)'!G25,BS_RE33!$F$7:$F$874,'30 days CF Table(AUD)'!$C$2)</f>
        <v>0</v>
      </c>
      <c r="AC25" s="337">
        <f>SUMIFS(BS_RE33!$H$7:$H$874,BS_RE33!$S$7:$S$874,$AC$2,BS_RE33!$N$7:$N$874,I25,BS_RE33!$P$7:$P$874,'30 days CF Table(AUD)'!G25,BS_RE33!$F$7:$F$874,'30 days CF Table(AUD)'!$C$2)</f>
        <v>0</v>
      </c>
      <c r="AD25" s="337">
        <f>SUMIFS(BS_RE33!$H$7:$H$874,BS_RE33!$S$7:$S$874,$AD$2,BS_RE33!$N$7:$N$874,I25,BS_RE33!$P$7:$P$874,'30 days CF Table(AUD)'!G25,BS_RE33!$F$7:$F$874,'30 days CF Table(AUD)'!$C$2)</f>
        <v>0</v>
      </c>
      <c r="AE25" s="337">
        <f>SUMIFS(BS_RE33!$H$7:$H$874,BS_RE33!$S$7:$S$874,$AE$2,BS_RE33!$N$7:$N$874,I25,BS_RE33!$P$7:$P$874,'30 days CF Table(AUD)'!G25,BS_RE33!$F$7:$F$874,'30 days CF Table(AUD)'!$C$2)</f>
        <v>0</v>
      </c>
      <c r="AF25" s="337">
        <f>SUMIFS(BS_RE33!$H$7:$H$874,BS_RE33!$S$7:$S$874,$AF$2,BS_RE33!$N$7:$N$874,I25,BS_RE33!$P$7:$P$874,'30 days CF Table(AUD)'!G25,BS_RE33!$F$7:$F$874,'30 days CF Table(AUD)'!$C$2)</f>
        <v>0</v>
      </c>
      <c r="AG25" s="337">
        <f>SUMIFS(BS_RE33!$H$7:$H$874,BS_RE33!$S$7:$S$874,$AG$2,BS_RE33!$N$7:$N$874,I25,BS_RE33!$P$7:$P$874,'30 days CF Table(AUD)'!G25,BS_RE33!$F$7:$F$874,'30 days CF Table(AUD)'!$C$2)</f>
        <v>0</v>
      </c>
      <c r="AH25" s="337">
        <f>SUMIFS(BS_RE33!$H$7:$H$874,BS_RE33!$S$7:$S$874,$AH$2,BS_RE33!$N$7:$N$874,I25,BS_RE33!$P$7:$P$874,'30 days CF Table(AUD)'!G25,BS_RE33!$F$7:$F$874,'30 days CF Table(AUD)'!$C$2)</f>
        <v>0</v>
      </c>
      <c r="AI25" s="337">
        <f>SUMIFS(BS_RE33!$H$7:$H$874,BS_RE33!$S$7:$S$874,$AI$2,BS_RE33!$N$7:$N$874,I25,BS_RE33!$P$7:$P$874,'30 days CF Table(AUD)'!G25,BS_RE33!$F$7:$F$874,'30 days CF Table(AUD)'!$C$2)</f>
        <v>0</v>
      </c>
      <c r="AJ25" s="337">
        <f>SUMIFS(BS_RE33!$H$7:$H$874,BS_RE33!$S$7:$S$874,$AJ$2,BS_RE33!$N$7:$N$874,I25,BS_RE33!$P$7:$P$874,'30 days CF Table(AUD)'!G25,BS_RE33!$F$7:$F$874,'30 days CF Table(AUD)'!$C$2)</f>
        <v>0</v>
      </c>
      <c r="AK25" s="337">
        <f>SUMIFS(BS_RE33!$H$7:$H$874,BS_RE33!$S$7:$S$874,$AK$2,BS_RE33!$N$7:$N$874,I25,BS_RE33!$P$7:$P$874,'30 days CF Table(AUD)'!G25,BS_RE33!$F$7:$F$874,'30 days CF Table(AUD)'!$C$2)</f>
        <v>0</v>
      </c>
      <c r="AL25" s="337">
        <f>SUMIFS(BS_RE33!$H$7:$H$874,BS_RE33!$S$7:$S$874,$AL$2,BS_RE33!$N$7:$N$874,I25,BS_RE33!$P$7:$P$874,'30 days CF Table(AUD)'!G25,BS_RE33!$F$7:$F$874,'30 days CF Table(AUD)'!$C$2)</f>
        <v>0</v>
      </c>
      <c r="AM25" s="337">
        <f>SUMIFS(BS_RE33!$H$7:$H$874,BS_RE33!$S$7:$S$874,$AM$2,BS_RE33!$N$7:$N$874,I25,BS_RE33!$P$7:$P$874,'30 days CF Table(AUD)'!G25,BS_RE33!$F$7:$F$874,'30 days CF Table(AUD)'!$C$2)</f>
        <v>0</v>
      </c>
      <c r="AN25" s="337">
        <f>SUMIFS(BS_RE33!$H$7:$H$874,BS_RE33!$S$7:$S$874,$AN$2,BS_RE33!$N$7:$N$874,I25,BS_RE33!$P$7:$P$874,'30 days CF Table(AUD)'!G25,BS_RE33!$F$7:$F$874,'30 days CF Table(AUD)'!$C$2)</f>
        <v>0</v>
      </c>
      <c r="AO25" s="337">
        <f>SUMIFS(BS_RE33!$H$7:$H$874,BS_RE33!$S$7:$S$874,$AO$2,BS_RE33!$N$7:$N$874,I25,BS_RE33!$P$7:$P$874,'30 days CF Table(AUD)'!G25,BS_RE33!$F$7:$F$874,'30 days CF Table(AUD)'!$C$2)</f>
        <v>0</v>
      </c>
      <c r="AP25" s="338">
        <f>SUMIFS(BS_RE33!$H$7:$H$874,BS_RE33!$S$7:$S$874,$AP$2,BS_RE33!$N$7:$N$874,I25,BS_RE33!$P$7:$P$874,'30 days CF Table(AUD)'!G25,BS_RE33!$F$7:$F$874,'30 days CF Table(AUD)'!$C$2)</f>
        <v>0</v>
      </c>
      <c r="AR25" s="379">
        <f>SUMIFS(BS_RE33!$H$7:$H$874,BS_RE33!$S$7:$S$874,$AR$2,BS_RE33!$N$7:$N$874,I25,BS_RE33!$P$7:$P$874,'30 days CF Table(AUD)'!G25,BS_RE33!$F$7:$F$874,'30 days CF Table(AUD)'!$C$2)</f>
        <v>0</v>
      </c>
      <c r="AS25" s="379">
        <f>SUMIFS(BS_RE33!$H$7:$H$874,BS_RE33!$S$7:$S$874,$AS$2,BS_RE33!$N$7:$N$874,I25,BS_RE33!$P$7:$P$874,'30 days CF Table(AUD)'!G25,BS_RE33!$F$7:$F$874,'30 days CF Table(AUD)'!$C$2)</f>
        <v>0</v>
      </c>
      <c r="AT25" s="379">
        <f>SUMIFS(BS_RE33!$H$7:$H$874,BS_RE33!$S$7:$S$874,$AT$2,BS_RE33!$N$7:$N$874,I25,BS_RE33!$P$7:$P$874,'30 days CF Table(AUD)'!G25,BS_RE33!$F$7:$F$874,'30 days CF Table(AUD)'!$C$2)</f>
        <v>0</v>
      </c>
      <c r="AU25" s="379">
        <f>SUMIFS(BS_RE33!$H$7:$H$874,BS_RE33!$S$7:$S$874,$AU$2,BS_RE33!$N$7:$N$874,I25,BS_RE33!$P$7:$P$874,'30 days CF Table(AUD)'!G25,BS_RE33!$F$7:$F$874,'30 days CF Table(AUD)'!$C$2)</f>
        <v>0</v>
      </c>
      <c r="AV25" s="379">
        <f>SUMIFS(BS_RE33!$H$7:$H$874,BS_RE33!$S$7:$S$874,$AV$2,BS_RE33!$N$7:$N$874,I25,BS_RE33!$P$7:$P$874,'30 days CF Table(AUD)'!G25,BS_RE33!$F$7:$F$874,'30 days CF Table(AUD)'!$C$2)</f>
        <v>0</v>
      </c>
      <c r="AW25" s="379">
        <f>SUMIFS(BS_RE33!$H$7:$H$874,BS_RE33!$S$7:$S$874,$AW$2,BS_RE33!$N$7:$N$874,I25,BS_RE33!$P$7:$P$874,'30 days CF Table(AUD)'!G25,BS_RE33!$F$7:$F$874,'30 days CF Table(AUD)'!$C$2)</f>
        <v>0</v>
      </c>
      <c r="AX25" s="379">
        <f>SUMIFS(BS_RE33!$H$7:$H$874,BS_RE33!$S$7:$S$874,$AX$2,BS_RE33!$N$7:$N$874,I25,BS_RE33!$P$7:$P$874,'30 days CF Table(AUD)'!G25,BS_RE33!$F$7:$F$874,'30 days CF Table(AUD)'!$C$2)</f>
        <v>0</v>
      </c>
      <c r="AY25" s="379">
        <f>SUMIFS(BS_RE33!$H$7:$H$874,BS_RE33!$S$7:$S$874,$AY$2,BS_RE33!$N$7:$N$874,I25,BS_RE33!$P$7:$P$874,'30 days CF Table(AUD)'!G25,BS_RE33!$F$7:$F$874,'30 days CF Table(AUD)'!$C$2)</f>
        <v>0</v>
      </c>
      <c r="AZ25" s="379">
        <f>SUMIFS(BS_RE33!$H$7:$H$874,BS_RE33!$S$7:$S$874,$AZ$2,BS_RE33!$N$7:$N$874,I25,BS_RE33!$P$7:$P$874,'30 days CF Table(AUD)'!G25,BS_RE33!$F$7:$F$874,'30 days CF Table(AUD)'!$C$2)</f>
        <v>0</v>
      </c>
      <c r="BA25" s="379">
        <f>SUMIFS(BS_RE33!$H$7:$H$874,BS_RE33!$S$7:$S$874,$BA$2,BS_RE33!$N$7:$N$874,I25,BS_RE33!$P$7:$P$874,'30 days CF Table(AUD)'!G25,BS_RE33!$F$7:$F$874,'30 days CF Table(AUD)'!$C$2)</f>
        <v>0</v>
      </c>
      <c r="BB25" s="379">
        <f>SUMIFS(BS_RE33!$H$7:$H$874,BS_RE33!$S$7:$S$874,$BB$2,BS_RE33!$N$7:$N$874,I25,BS_RE33!$P$7:$P$874,'30 days CF Table(AUD)'!G25,BS_RE33!$F$7:$F$874,'30 days CF Table(AUD)'!$C$2)</f>
        <v>0</v>
      </c>
      <c r="BC25" s="379">
        <f>SUMIFS(BS_RE33!$H$7:$H$874,BS_RE33!$S$7:$S$874,$BC$2,BS_RE33!$N$7:$N$874,I25,BS_RE33!$P$7:$P$874,'30 days CF Table(AUD)'!G25,BS_RE33!$F$7:$F$874,'30 days CF Table(AUD)'!$C$2)</f>
        <v>0</v>
      </c>
      <c r="BD25" s="379">
        <f>SUMIFS(BS_RE33!$H$7:$H$874,BS_RE33!$S$7:$S$874,$BD$2,BS_RE33!$N$7:$N$874,I25,BS_RE33!$P$7:$P$874,'30 days CF Table(AUD)'!G25,BS_RE33!$F$7:$F$874,'30 days CF Table(AUD)'!$C$2)</f>
        <v>0</v>
      </c>
      <c r="BE25" s="379">
        <f>SUMIFS(BS_RE33!$H$7:$H$874,BS_RE33!$S$7:$S$874,$BE$2,BS_RE33!$N$7:$N$874,I25,BS_RE33!$P$7:$P$874,'30 days CF Table(AUD)'!G25,BS_RE33!$F$7:$F$874,'30 days CF Table(AUD)'!$C$2)</f>
        <v>0</v>
      </c>
      <c r="BF25" s="379">
        <f>SUMIFS(BS_RE33!$H$7:$H$874,BS_RE33!$S$7:$S$874,$BF$2,BS_RE33!$N$7:$N$874,I25,BS_RE33!$P$7:$P$874,'30 days CF Table(AUD)'!G25,BS_RE33!$F$7:$F$874,'30 days CF Table(AUD)'!$C$2)</f>
        <v>0</v>
      </c>
      <c r="BG25" s="379">
        <f>SUMIFS(BS_RE33!$H$7:$H$874,BS_RE33!$S$7:$S$874,$BG$2,BS_RE33!$N$7:$N$874,I25,BS_RE33!$P$7:$P$874,'30 days CF Table(AUD)'!G25,BS_RE33!$F$7:$F$874,'30 days CF Table(AUD)'!$C$2)</f>
        <v>0</v>
      </c>
      <c r="BH25" s="379">
        <f>SUMIFS(BS_RE33!$H$7:$H$874,BS_RE33!$S$7:$S$874,$BH$2,BS_RE33!$N$7:$N$874,I25,BS_RE33!$P$7:$P$874,'30 days CF Table(AUD)'!G25,BS_RE33!$F$7:$F$874,'30 days CF Table(AUD)'!$C$2)</f>
        <v>0</v>
      </c>
      <c r="BI25" s="379">
        <f>SUMIFS(BS_RE33!$H$7:$H$874,BS_RE33!$S$7:$S$874,$BI$2,BS_RE33!$N$7:$N$874,I25,BS_RE33!$P$7:$P$874,'30 days CF Table(AUD)'!G25,BS_RE33!$F$7:$F$874,'30 days CF Table(AUD)'!$C$2)</f>
        <v>0</v>
      </c>
      <c r="BJ25" s="379">
        <f>SUMIFS(BS_RE33!$H$7:$H$874,BS_RE33!$S$7:$S$874,$BJ$2,BS_RE33!$N$7:$N$874,I25,BS_RE33!$P$7:$P$874,'30 days CF Table(AUD)'!G25,BS_RE33!$F$7:$F$874,'30 days CF Table(AUD)'!$C$2)</f>
        <v>0</v>
      </c>
      <c r="BK25" s="379">
        <f>SUMIFS(BS_RE33!$H$7:$H$874,BS_RE33!$S$7:$S$874,$BK$2,BS_RE33!$N$7:$N$874,I25,BS_RE33!$P$7:$P$874,'30 days CF Table(AUD)'!G25,BS_RE33!$F$7:$F$874,'30 days CF Table(AUD)'!$C$2)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Table(AUD)'!G26,BS_RE33!$F$7:$F$874,'30 days CF Table(AUD)'!$C$2)</f>
        <v>0</v>
      </c>
      <c r="M26" s="337">
        <f>SUMIFS(BS_RE33!$H$7:$H$874,BS_RE33!$S$7:$S$874,$M$2,BS_RE33!$N$7:$N$874,I26,BS_RE33!$P$7:$P$874,'30 days CF Table(AUD)'!G26,BS_RE33!$F$7:$F$874,'30 days CF Table(AUD)'!$C$2)</f>
        <v>0</v>
      </c>
      <c r="N26" s="337">
        <f>SUMIFS(BS_RE33!$H$7:$H$874,BS_RE33!$S$7:$S$874,$N$2,BS_RE33!$N$7:$N$874,I26,BS_RE33!$P$7:$P$874,'30 days CF Table(AUD)'!G26,BS_RE33!$F$7:$F$874,'30 days CF Table(AUD)'!$C$2)</f>
        <v>0</v>
      </c>
      <c r="O26" s="337">
        <f>SUMIFS(BS_RE33!$H$7:$H$874,BS_RE33!$S$7:$S$874,$O$2,BS_RE33!$N$7:$N$874,I26,BS_RE33!$P$7:$P$874,'30 days CF Table(AUD)'!G26,BS_RE33!$F$7:$F$874,'30 days CF Table(AUD)'!$C$2)</f>
        <v>0</v>
      </c>
      <c r="P26" s="337">
        <f>SUMIFS(BS_RE33!$H$7:$H$874,BS_RE33!$S$7:$S$874,$P$2,BS_RE33!$N$7:$N$874,I26,BS_RE33!$P$7:$P$874,'30 days CF Table(AUD)'!G26,BS_RE33!$F$7:$F$874,'30 days CF Table(AUD)'!$C$2)</f>
        <v>0</v>
      </c>
      <c r="Q26" s="337">
        <f>SUMIFS(BS_RE33!$H$7:$H$874,BS_RE33!$S$7:$S$874,$Q$2,BS_RE33!$N$7:$N$874,I26,BS_RE33!$P$7:$P$874,'30 days CF Table(AUD)'!G26,BS_RE33!$F$7:$F$874,'30 days CF Table(AUD)'!$C$2)</f>
        <v>0</v>
      </c>
      <c r="R26" s="337">
        <f>SUMIFS(BS_RE33!$H$7:$H$874,BS_RE33!$S$7:$S$874,$R$2,BS_RE33!$N$7:$N$874,I26,BS_RE33!$P$7:$P$874,'30 days CF Table(AUD)'!G26,BS_RE33!$F$7:$F$874,'30 days CF Table(AUD)'!$C$2)</f>
        <v>0</v>
      </c>
      <c r="S26" s="337">
        <f>SUMIFS(BS_RE33!$H$7:$H$874,BS_RE33!$S$7:$S$874,$S$2,BS_RE33!$N$7:$N$874,I26,BS_RE33!$P$7:$P$874,'30 days CF Table(AUD)'!G26,BS_RE33!$F$7:$F$874,'30 days CF Table(AUD)'!$C$2)</f>
        <v>0</v>
      </c>
      <c r="T26" s="337">
        <f>SUMIFS(BS_RE33!$H$7:$H$874,BS_RE33!$S$7:$S$874,$T$2,BS_RE33!$N$7:$N$874,I26,BS_RE33!$P$7:$P$874,'30 days CF Table(AUD)'!G26,BS_RE33!$F$7:$F$874,'30 days CF Table(AUD)'!$C$2)</f>
        <v>0</v>
      </c>
      <c r="U26" s="337">
        <f>SUMIFS(BS_RE33!$H$7:$H$874,BS_RE33!$S$7:$S$874,$U$2,BS_RE33!$N$7:$N$874,I26,BS_RE33!$P$7:$P$874,'30 days CF Table(AUD)'!G26,BS_RE33!$F$7:$F$874,'30 days CF Table(AUD)'!$C$2)</f>
        <v>0</v>
      </c>
      <c r="V26" s="337">
        <f>SUMIFS(BS_RE33!$H$7:$H$874,BS_RE33!$S$7:$S$874,$V$2,BS_RE33!$N$7:$N$874,I26,BS_RE33!$P$7:$P$874,'30 days CF Table(AUD)'!G26,BS_RE33!$F$7:$F$874,'30 days CF Table(AUD)'!$C$2)</f>
        <v>0</v>
      </c>
      <c r="W26" s="337">
        <f>SUMIFS(BS_RE33!$H$7:$H$874,BS_RE33!$S$7:$S$874,$W$2,BS_RE33!$N$7:$N$874,I26,BS_RE33!$P$7:$P$874,'30 days CF Table(AUD)'!G26,BS_RE33!$F$7:$F$874,'30 days CF Table(AUD)'!$C$2)</f>
        <v>0</v>
      </c>
      <c r="X26" s="337">
        <f>SUMIFS(BS_RE33!$H$7:$H$874,BS_RE33!$S$7:$S$874,$X$2,BS_RE33!$N$7:$N$874,I26,BS_RE33!$P$7:$P$874,'30 days CF Table(AUD)'!G26,BS_RE33!$F$7:$F$874,'30 days CF Table(AUD)'!$C$2)</f>
        <v>0</v>
      </c>
      <c r="Y26" s="337">
        <f>SUMIFS(BS_RE33!$H$7:$H$874,BS_RE33!$S$7:$S$874,$Y$2,BS_RE33!$N$7:$N$874,I26,BS_RE33!$P$7:$P$874,'30 days CF Table(AUD)'!G26,BS_RE33!$F$7:$F$874,'30 days CF Table(AUD)'!$C$2)</f>
        <v>0</v>
      </c>
      <c r="Z26" s="337">
        <f>SUMIFS(BS_RE33!$H$7:$H$874,BS_RE33!$S$7:$S$874,$Z$2,BS_RE33!$N$7:$N$874,I26,BS_RE33!$P$7:$P$874,'30 days CF Table(AUD)'!G26,BS_RE33!$F$7:$F$874,'30 days CF Table(AUD)'!$C$2)</f>
        <v>0</v>
      </c>
      <c r="AA26" s="337">
        <f>SUMIFS(BS_RE33!$H$7:$H$874,BS_RE33!$S$7:$S$874,$AA$2,BS_RE33!$N$7:$N$874,I26,BS_RE33!$P$7:$P$874,'30 days CF Table(AUD)'!G26,BS_RE33!$F$7:$F$874,'30 days CF Table(AUD)'!$C$2)</f>
        <v>0</v>
      </c>
      <c r="AB26" s="337">
        <f>SUMIFS(BS_RE33!$H$7:$H$874,BS_RE33!$S$7:$S$874,$AB$2,BS_RE33!$N$7:$N$874,I26,BS_RE33!$P$7:$P$874,'30 days CF Table(AUD)'!G26,BS_RE33!$F$7:$F$874,'30 days CF Table(AUD)'!$C$2)</f>
        <v>0</v>
      </c>
      <c r="AC26" s="337">
        <f>SUMIFS(BS_RE33!$H$7:$H$874,BS_RE33!$S$7:$S$874,$AC$2,BS_RE33!$N$7:$N$874,I26,BS_RE33!$P$7:$P$874,'30 days CF Table(AUD)'!G26,BS_RE33!$F$7:$F$874,'30 days CF Table(AUD)'!$C$2)</f>
        <v>0</v>
      </c>
      <c r="AD26" s="337">
        <f>SUMIFS(BS_RE33!$H$7:$H$874,BS_RE33!$S$7:$S$874,$AD$2,BS_RE33!$N$7:$N$874,I26,BS_RE33!$P$7:$P$874,'30 days CF Table(AUD)'!G26,BS_RE33!$F$7:$F$874,'30 days CF Table(AUD)'!$C$2)</f>
        <v>0</v>
      </c>
      <c r="AE26" s="337">
        <f>SUMIFS(BS_RE33!$H$7:$H$874,BS_RE33!$S$7:$S$874,$AE$2,BS_RE33!$N$7:$N$874,I26,BS_RE33!$P$7:$P$874,'30 days CF Table(AUD)'!G26,BS_RE33!$F$7:$F$874,'30 days CF Table(AUD)'!$C$2)</f>
        <v>0</v>
      </c>
      <c r="AF26" s="337">
        <f>SUMIFS(BS_RE33!$H$7:$H$874,BS_RE33!$S$7:$S$874,$AF$2,BS_RE33!$N$7:$N$874,I26,BS_RE33!$P$7:$P$874,'30 days CF Table(AUD)'!G26,BS_RE33!$F$7:$F$874,'30 days CF Table(AUD)'!$C$2)</f>
        <v>0</v>
      </c>
      <c r="AG26" s="337">
        <f>SUMIFS(BS_RE33!$H$7:$H$874,BS_RE33!$S$7:$S$874,$AG$2,BS_RE33!$N$7:$N$874,I26,BS_RE33!$P$7:$P$874,'30 days CF Table(AUD)'!G26,BS_RE33!$F$7:$F$874,'30 days CF Table(AUD)'!$C$2)</f>
        <v>0</v>
      </c>
      <c r="AH26" s="337">
        <f>SUMIFS(BS_RE33!$H$7:$H$874,BS_RE33!$S$7:$S$874,$AH$2,BS_RE33!$N$7:$N$874,I26,BS_RE33!$P$7:$P$874,'30 days CF Table(AUD)'!G26,BS_RE33!$F$7:$F$874,'30 days CF Table(AUD)'!$C$2)</f>
        <v>0</v>
      </c>
      <c r="AI26" s="337">
        <f>SUMIFS(BS_RE33!$H$7:$H$874,BS_RE33!$S$7:$S$874,$AI$2,BS_RE33!$N$7:$N$874,I26,BS_RE33!$P$7:$P$874,'30 days CF Table(AUD)'!G26,BS_RE33!$F$7:$F$874,'30 days CF Table(AUD)'!$C$2)</f>
        <v>0</v>
      </c>
      <c r="AJ26" s="337">
        <f>SUMIFS(BS_RE33!$H$7:$H$874,BS_RE33!$S$7:$S$874,$AJ$2,BS_RE33!$N$7:$N$874,I26,BS_RE33!$P$7:$P$874,'30 days CF Table(AUD)'!G26,BS_RE33!$F$7:$F$874,'30 days CF Table(AUD)'!$C$2)</f>
        <v>0</v>
      </c>
      <c r="AK26" s="337">
        <f>SUMIFS(BS_RE33!$H$7:$H$874,BS_RE33!$S$7:$S$874,$AK$2,BS_RE33!$N$7:$N$874,I26,BS_RE33!$P$7:$P$874,'30 days CF Table(AUD)'!G26,BS_RE33!$F$7:$F$874,'30 days CF Table(AUD)'!$C$2)</f>
        <v>0</v>
      </c>
      <c r="AL26" s="337">
        <f>SUMIFS(BS_RE33!$H$7:$H$874,BS_RE33!$S$7:$S$874,$AL$2,BS_RE33!$N$7:$N$874,I26,BS_RE33!$P$7:$P$874,'30 days CF Table(AUD)'!G26,BS_RE33!$F$7:$F$874,'30 days CF Table(AUD)'!$C$2)</f>
        <v>0</v>
      </c>
      <c r="AM26" s="337">
        <f>SUMIFS(BS_RE33!$H$7:$H$874,BS_RE33!$S$7:$S$874,$AM$2,BS_RE33!$N$7:$N$874,I26,BS_RE33!$P$7:$P$874,'30 days CF Table(AUD)'!G26,BS_RE33!$F$7:$F$874,'30 days CF Table(AUD)'!$C$2)</f>
        <v>0</v>
      </c>
      <c r="AN26" s="337">
        <f>SUMIFS(BS_RE33!$H$7:$H$874,BS_RE33!$S$7:$S$874,$AN$2,BS_RE33!$N$7:$N$874,I26,BS_RE33!$P$7:$P$874,'30 days CF Table(AUD)'!G26,BS_RE33!$F$7:$F$874,'30 days CF Table(AUD)'!$C$2)</f>
        <v>0</v>
      </c>
      <c r="AO26" s="337">
        <f>SUMIFS(BS_RE33!$H$7:$H$874,BS_RE33!$S$7:$S$874,$AO$2,BS_RE33!$N$7:$N$874,I26,BS_RE33!$P$7:$P$874,'30 days CF Table(AUD)'!G26,BS_RE33!$F$7:$F$874,'30 days CF Table(AUD)'!$C$2)</f>
        <v>0</v>
      </c>
      <c r="AP26" s="338">
        <f>SUMIFS(BS_RE33!$H$7:$H$874,BS_RE33!$S$7:$S$874,$AP$2,BS_RE33!$N$7:$N$874,I26,BS_RE33!$P$7:$P$874,'30 days CF Table(AUD)'!G26,BS_RE33!$F$7:$F$874,'30 days CF Table(AUD)'!$C$2)</f>
        <v>0</v>
      </c>
      <c r="AR26" s="379">
        <f>SUMIFS(BS_RE33!$H$7:$H$874,BS_RE33!$S$7:$S$874,$AR$2,BS_RE33!$N$7:$N$874,I26,BS_RE33!$P$7:$P$874,'30 days CF Table(AUD)'!G26,BS_RE33!$F$7:$F$874,'30 days CF Table(AUD)'!$C$2)</f>
        <v>0</v>
      </c>
      <c r="AS26" s="379">
        <f>SUMIFS(BS_RE33!$H$7:$H$874,BS_RE33!$S$7:$S$874,$AS$2,BS_RE33!$N$7:$N$874,I26,BS_RE33!$P$7:$P$874,'30 days CF Table(AUD)'!G26,BS_RE33!$F$7:$F$874,'30 days CF Table(AUD)'!$C$2)</f>
        <v>0</v>
      </c>
      <c r="AT26" s="379">
        <f>SUMIFS(BS_RE33!$H$7:$H$874,BS_RE33!$S$7:$S$874,$AT$2,BS_RE33!$N$7:$N$874,I26,BS_RE33!$P$7:$P$874,'30 days CF Table(AUD)'!G26,BS_RE33!$F$7:$F$874,'30 days CF Table(AUD)'!$C$2)</f>
        <v>0</v>
      </c>
      <c r="AU26" s="379">
        <f>SUMIFS(BS_RE33!$H$7:$H$874,BS_RE33!$S$7:$S$874,$AU$2,BS_RE33!$N$7:$N$874,I26,BS_RE33!$P$7:$P$874,'30 days CF Table(AUD)'!G26,BS_RE33!$F$7:$F$874,'30 days CF Table(AUD)'!$C$2)</f>
        <v>0</v>
      </c>
      <c r="AV26" s="379">
        <f>SUMIFS(BS_RE33!$H$7:$H$874,BS_RE33!$S$7:$S$874,$AV$2,BS_RE33!$N$7:$N$874,I26,BS_RE33!$P$7:$P$874,'30 days CF Table(AUD)'!G26,BS_RE33!$F$7:$F$874,'30 days CF Table(AUD)'!$C$2)</f>
        <v>0</v>
      </c>
      <c r="AW26" s="379">
        <f>SUMIFS(BS_RE33!$H$7:$H$874,BS_RE33!$S$7:$S$874,$AW$2,BS_RE33!$N$7:$N$874,I26,BS_RE33!$P$7:$P$874,'30 days CF Table(AUD)'!G26,BS_RE33!$F$7:$F$874,'30 days CF Table(AUD)'!$C$2)</f>
        <v>0</v>
      </c>
      <c r="AX26" s="379">
        <f>SUMIFS(BS_RE33!$H$7:$H$874,BS_RE33!$S$7:$S$874,$AX$2,BS_RE33!$N$7:$N$874,I26,BS_RE33!$P$7:$P$874,'30 days CF Table(AUD)'!G26,BS_RE33!$F$7:$F$874,'30 days CF Table(AUD)'!$C$2)</f>
        <v>0</v>
      </c>
      <c r="AY26" s="379">
        <f>SUMIFS(BS_RE33!$H$7:$H$874,BS_RE33!$S$7:$S$874,$AY$2,BS_RE33!$N$7:$N$874,I26,BS_RE33!$P$7:$P$874,'30 days CF Table(AUD)'!G26,BS_RE33!$F$7:$F$874,'30 days CF Table(AUD)'!$C$2)</f>
        <v>0</v>
      </c>
      <c r="AZ26" s="379">
        <f>SUMIFS(BS_RE33!$H$7:$H$874,BS_RE33!$S$7:$S$874,$AZ$2,BS_RE33!$N$7:$N$874,I26,BS_RE33!$P$7:$P$874,'30 days CF Table(AUD)'!G26,BS_RE33!$F$7:$F$874,'30 days CF Table(AUD)'!$C$2)</f>
        <v>0</v>
      </c>
      <c r="BA26" s="379">
        <f>SUMIFS(BS_RE33!$H$7:$H$874,BS_RE33!$S$7:$S$874,$BA$2,BS_RE33!$N$7:$N$874,I26,BS_RE33!$P$7:$P$874,'30 days CF Table(AUD)'!G26,BS_RE33!$F$7:$F$874,'30 days CF Table(AUD)'!$C$2)</f>
        <v>0</v>
      </c>
      <c r="BB26" s="379">
        <f>SUMIFS(BS_RE33!$H$7:$H$874,BS_RE33!$S$7:$S$874,$BB$2,BS_RE33!$N$7:$N$874,I26,BS_RE33!$P$7:$P$874,'30 days CF Table(AUD)'!G26,BS_RE33!$F$7:$F$874,'30 days CF Table(AUD)'!$C$2)</f>
        <v>0</v>
      </c>
      <c r="BC26" s="379">
        <f>SUMIFS(BS_RE33!$H$7:$H$874,BS_RE33!$S$7:$S$874,$BC$2,BS_RE33!$N$7:$N$874,I26,BS_RE33!$P$7:$P$874,'30 days CF Table(AUD)'!G26,BS_RE33!$F$7:$F$874,'30 days CF Table(AUD)'!$C$2)</f>
        <v>0</v>
      </c>
      <c r="BD26" s="379">
        <f>SUMIFS(BS_RE33!$H$7:$H$874,BS_RE33!$S$7:$S$874,$BD$2,BS_RE33!$N$7:$N$874,I26,BS_RE33!$P$7:$P$874,'30 days CF Table(AUD)'!G26,BS_RE33!$F$7:$F$874,'30 days CF Table(AUD)'!$C$2)</f>
        <v>0</v>
      </c>
      <c r="BE26" s="379">
        <f>SUMIFS(BS_RE33!$H$7:$H$874,BS_RE33!$S$7:$S$874,$BE$2,BS_RE33!$N$7:$N$874,I26,BS_RE33!$P$7:$P$874,'30 days CF Table(AUD)'!G26,BS_RE33!$F$7:$F$874,'30 days CF Table(AUD)'!$C$2)</f>
        <v>0</v>
      </c>
      <c r="BF26" s="379">
        <f>SUMIFS(BS_RE33!$H$7:$H$874,BS_RE33!$S$7:$S$874,$BF$2,BS_RE33!$N$7:$N$874,I26,BS_RE33!$P$7:$P$874,'30 days CF Table(AUD)'!G26,BS_RE33!$F$7:$F$874,'30 days CF Table(AUD)'!$C$2)</f>
        <v>0</v>
      </c>
      <c r="BG26" s="379">
        <f>SUMIFS(BS_RE33!$H$7:$H$874,BS_RE33!$S$7:$S$874,$BG$2,BS_RE33!$N$7:$N$874,I26,BS_RE33!$P$7:$P$874,'30 days CF Table(AUD)'!G26,BS_RE33!$F$7:$F$874,'30 days CF Table(AUD)'!$C$2)</f>
        <v>0</v>
      </c>
      <c r="BH26" s="379">
        <f>SUMIFS(BS_RE33!$H$7:$H$874,BS_RE33!$S$7:$S$874,$BH$2,BS_RE33!$N$7:$N$874,I26,BS_RE33!$P$7:$P$874,'30 days CF Table(AUD)'!G26,BS_RE33!$F$7:$F$874,'30 days CF Table(AUD)'!$C$2)</f>
        <v>0</v>
      </c>
      <c r="BI26" s="379">
        <f>SUMIFS(BS_RE33!$H$7:$H$874,BS_RE33!$S$7:$S$874,$BI$2,BS_RE33!$N$7:$N$874,I26,BS_RE33!$P$7:$P$874,'30 days CF Table(AUD)'!G26,BS_RE33!$F$7:$F$874,'30 days CF Table(AUD)'!$C$2)</f>
        <v>0</v>
      </c>
      <c r="BJ26" s="379">
        <f>SUMIFS(BS_RE33!$H$7:$H$874,BS_RE33!$S$7:$S$874,$BJ$2,BS_RE33!$N$7:$N$874,I26,BS_RE33!$P$7:$P$874,'30 days CF Table(AUD)'!G26,BS_RE33!$F$7:$F$874,'30 days CF Table(AUD)'!$C$2)</f>
        <v>0</v>
      </c>
      <c r="BK26" s="379">
        <f>SUMIFS(BS_RE33!$H$7:$H$874,BS_RE33!$S$7:$S$874,$BK$2,BS_RE33!$N$7:$N$874,I26,BS_RE33!$P$7:$P$874,'30 days CF Table(AUD)'!G26,BS_RE33!$F$7:$F$874,'30 days CF Table(AUD)'!$C$2)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Table(AUD)'!G27,BS_RE33!$F$7:$F$874,'30 days CF Table(AUD)'!$C$2)</f>
        <v>0</v>
      </c>
      <c r="M27" s="337">
        <f>SUMIFS(BS_RE33!$H$7:$H$874,BS_RE33!$S$7:$S$874,$M$2,BS_RE33!$N$7:$N$874,I27,BS_RE33!$P$7:$P$874,'30 days CF Table(AUD)'!G27,BS_RE33!$F$7:$F$874,'30 days CF Table(AUD)'!$C$2)</f>
        <v>0</v>
      </c>
      <c r="N27" s="337">
        <f>SUMIFS(BS_RE33!$H$7:$H$874,BS_RE33!$S$7:$S$874,$N$2,BS_RE33!$N$7:$N$874,I27,BS_RE33!$P$7:$P$874,'30 days CF Table(AUD)'!G27,BS_RE33!$F$7:$F$874,'30 days CF Table(AUD)'!$C$2)</f>
        <v>0</v>
      </c>
      <c r="O27" s="337">
        <f>SUMIFS(BS_RE33!$H$7:$H$874,BS_RE33!$S$7:$S$874,$O$2,BS_RE33!$N$7:$N$874,I27,BS_RE33!$P$7:$P$874,'30 days CF Table(AUD)'!G27,BS_RE33!$F$7:$F$874,'30 days CF Table(AUD)'!$C$2)</f>
        <v>0</v>
      </c>
      <c r="P27" s="337">
        <f>SUMIFS(BS_RE33!$H$7:$H$874,BS_RE33!$S$7:$S$874,$P$2,BS_RE33!$N$7:$N$874,I27,BS_RE33!$P$7:$P$874,'30 days CF Table(AUD)'!G27,BS_RE33!$F$7:$F$874,'30 days CF Table(AUD)'!$C$2)</f>
        <v>0</v>
      </c>
      <c r="Q27" s="337">
        <f>SUMIFS(BS_RE33!$H$7:$H$874,BS_RE33!$S$7:$S$874,$Q$2,BS_RE33!$N$7:$N$874,I27,BS_RE33!$P$7:$P$874,'30 days CF Table(AUD)'!G27,BS_RE33!$F$7:$F$874,'30 days CF Table(AUD)'!$C$2)</f>
        <v>0</v>
      </c>
      <c r="R27" s="337">
        <f>SUMIFS(BS_RE33!$H$7:$H$874,BS_RE33!$S$7:$S$874,$R$2,BS_RE33!$N$7:$N$874,I27,BS_RE33!$P$7:$P$874,'30 days CF Table(AUD)'!G27,BS_RE33!$F$7:$F$874,'30 days CF Table(AUD)'!$C$2)</f>
        <v>0</v>
      </c>
      <c r="S27" s="337">
        <f>SUMIFS(BS_RE33!$H$7:$H$874,BS_RE33!$S$7:$S$874,$S$2,BS_RE33!$N$7:$N$874,I27,BS_RE33!$P$7:$P$874,'30 days CF Table(AUD)'!G27,BS_RE33!$F$7:$F$874,'30 days CF Table(AUD)'!$C$2)</f>
        <v>0</v>
      </c>
      <c r="T27" s="337">
        <f>SUMIFS(BS_RE33!$H$7:$H$874,BS_RE33!$S$7:$S$874,$T$2,BS_RE33!$N$7:$N$874,I27,BS_RE33!$P$7:$P$874,'30 days CF Table(AUD)'!G27,BS_RE33!$F$7:$F$874,'30 days CF Table(AUD)'!$C$2)</f>
        <v>0</v>
      </c>
      <c r="U27" s="337">
        <f>SUMIFS(BS_RE33!$H$7:$H$874,BS_RE33!$S$7:$S$874,$U$2,BS_RE33!$N$7:$N$874,I27,BS_RE33!$P$7:$P$874,'30 days CF Table(AUD)'!G27,BS_RE33!$F$7:$F$874,'30 days CF Table(AUD)'!$C$2)</f>
        <v>0</v>
      </c>
      <c r="V27" s="337">
        <f>SUMIFS(BS_RE33!$H$7:$H$874,BS_RE33!$S$7:$S$874,$V$2,BS_RE33!$N$7:$N$874,I27,BS_RE33!$P$7:$P$874,'30 days CF Table(AUD)'!G27,BS_RE33!$F$7:$F$874,'30 days CF Table(AUD)'!$C$2)</f>
        <v>0</v>
      </c>
      <c r="W27" s="337">
        <f>SUMIFS(BS_RE33!$H$7:$H$874,BS_RE33!$S$7:$S$874,$W$2,BS_RE33!$N$7:$N$874,I27,BS_RE33!$P$7:$P$874,'30 days CF Table(AUD)'!G27,BS_RE33!$F$7:$F$874,'30 days CF Table(AUD)'!$C$2)</f>
        <v>0</v>
      </c>
      <c r="X27" s="337">
        <f>SUMIFS(BS_RE33!$H$7:$H$874,BS_RE33!$S$7:$S$874,$X$2,BS_RE33!$N$7:$N$874,I27,BS_RE33!$P$7:$P$874,'30 days CF Table(AUD)'!G27,BS_RE33!$F$7:$F$874,'30 days CF Table(AUD)'!$C$2)</f>
        <v>0</v>
      </c>
      <c r="Y27" s="337">
        <f>SUMIFS(BS_RE33!$H$7:$H$874,BS_RE33!$S$7:$S$874,$Y$2,BS_RE33!$N$7:$N$874,I27,BS_RE33!$P$7:$P$874,'30 days CF Table(AUD)'!G27,BS_RE33!$F$7:$F$874,'30 days CF Table(AUD)'!$C$2)</f>
        <v>0</v>
      </c>
      <c r="Z27" s="337">
        <f>SUMIFS(BS_RE33!$H$7:$H$874,BS_RE33!$S$7:$S$874,$Z$2,BS_RE33!$N$7:$N$874,I27,BS_RE33!$P$7:$P$874,'30 days CF Table(AUD)'!G27,BS_RE33!$F$7:$F$874,'30 days CF Table(AUD)'!$C$2)</f>
        <v>0</v>
      </c>
      <c r="AA27" s="337">
        <f>SUMIFS(BS_RE33!$H$7:$H$874,BS_RE33!$S$7:$S$874,$AA$2,BS_RE33!$N$7:$N$874,I27,BS_RE33!$P$7:$P$874,'30 days CF Table(AUD)'!G27,BS_RE33!$F$7:$F$874,'30 days CF Table(AUD)'!$C$2)</f>
        <v>0</v>
      </c>
      <c r="AB27" s="337">
        <f>SUMIFS(BS_RE33!$H$7:$H$874,BS_RE33!$S$7:$S$874,$AB$2,BS_RE33!$N$7:$N$874,I27,BS_RE33!$P$7:$P$874,'30 days CF Table(AUD)'!G27,BS_RE33!$F$7:$F$874,'30 days CF Table(AUD)'!$C$2)</f>
        <v>0</v>
      </c>
      <c r="AC27" s="337">
        <f>SUMIFS(BS_RE33!$H$7:$H$874,BS_RE33!$S$7:$S$874,$AC$2,BS_RE33!$N$7:$N$874,I27,BS_RE33!$P$7:$P$874,'30 days CF Table(AUD)'!G27,BS_RE33!$F$7:$F$874,'30 days CF Table(AUD)'!$C$2)</f>
        <v>0</v>
      </c>
      <c r="AD27" s="337">
        <f>SUMIFS(BS_RE33!$H$7:$H$874,BS_RE33!$S$7:$S$874,$AD$2,BS_RE33!$N$7:$N$874,I27,BS_RE33!$P$7:$P$874,'30 days CF Table(AUD)'!G27,BS_RE33!$F$7:$F$874,'30 days CF Table(AUD)'!$C$2)</f>
        <v>0</v>
      </c>
      <c r="AE27" s="337">
        <f>SUMIFS(BS_RE33!$H$7:$H$874,BS_RE33!$S$7:$S$874,$AE$2,BS_RE33!$N$7:$N$874,I27,BS_RE33!$P$7:$P$874,'30 days CF Table(AUD)'!G27,BS_RE33!$F$7:$F$874,'30 days CF Table(AUD)'!$C$2)</f>
        <v>0</v>
      </c>
      <c r="AF27" s="337">
        <f>SUMIFS(BS_RE33!$H$7:$H$874,BS_RE33!$S$7:$S$874,$AF$2,BS_RE33!$N$7:$N$874,I27,BS_RE33!$P$7:$P$874,'30 days CF Table(AUD)'!G27,BS_RE33!$F$7:$F$874,'30 days CF Table(AUD)'!$C$2)</f>
        <v>0</v>
      </c>
      <c r="AG27" s="337">
        <f>SUMIFS(BS_RE33!$H$7:$H$874,BS_RE33!$S$7:$S$874,$AG$2,BS_RE33!$N$7:$N$874,I27,BS_RE33!$P$7:$P$874,'30 days CF Table(AUD)'!G27,BS_RE33!$F$7:$F$874,'30 days CF Table(AUD)'!$C$2)</f>
        <v>0</v>
      </c>
      <c r="AH27" s="337">
        <f>SUMIFS(BS_RE33!$H$7:$H$874,BS_RE33!$S$7:$S$874,$AH$2,BS_RE33!$N$7:$N$874,I27,BS_RE33!$P$7:$P$874,'30 days CF Table(AUD)'!G27,BS_RE33!$F$7:$F$874,'30 days CF Table(AUD)'!$C$2)</f>
        <v>0</v>
      </c>
      <c r="AI27" s="337">
        <f>SUMIFS(BS_RE33!$H$7:$H$874,BS_RE33!$S$7:$S$874,$AI$2,BS_RE33!$N$7:$N$874,I27,BS_RE33!$P$7:$P$874,'30 days CF Table(AUD)'!G27,BS_RE33!$F$7:$F$874,'30 days CF Table(AUD)'!$C$2)</f>
        <v>0</v>
      </c>
      <c r="AJ27" s="337">
        <f>SUMIFS(BS_RE33!$H$7:$H$874,BS_RE33!$S$7:$S$874,$AJ$2,BS_RE33!$N$7:$N$874,I27,BS_RE33!$P$7:$P$874,'30 days CF Table(AUD)'!G27,BS_RE33!$F$7:$F$874,'30 days CF Table(AUD)'!$C$2)</f>
        <v>0</v>
      </c>
      <c r="AK27" s="337">
        <f>SUMIFS(BS_RE33!$H$7:$H$874,BS_RE33!$S$7:$S$874,$AK$2,BS_RE33!$N$7:$N$874,I27,BS_RE33!$P$7:$P$874,'30 days CF Table(AUD)'!G27,BS_RE33!$F$7:$F$874,'30 days CF Table(AUD)'!$C$2)</f>
        <v>0</v>
      </c>
      <c r="AL27" s="337">
        <f>SUMIFS(BS_RE33!$H$7:$H$874,BS_RE33!$S$7:$S$874,$AL$2,BS_RE33!$N$7:$N$874,I27,BS_RE33!$P$7:$P$874,'30 days CF Table(AUD)'!G27,BS_RE33!$F$7:$F$874,'30 days CF Table(AUD)'!$C$2)</f>
        <v>0</v>
      </c>
      <c r="AM27" s="337">
        <f>SUMIFS(BS_RE33!$H$7:$H$874,BS_RE33!$S$7:$S$874,$AM$2,BS_RE33!$N$7:$N$874,I27,BS_RE33!$P$7:$P$874,'30 days CF Table(AUD)'!G27,BS_RE33!$F$7:$F$874,'30 days CF Table(AUD)'!$C$2)</f>
        <v>0</v>
      </c>
      <c r="AN27" s="337">
        <f>SUMIFS(BS_RE33!$H$7:$H$874,BS_RE33!$S$7:$S$874,$AN$2,BS_RE33!$N$7:$N$874,I27,BS_RE33!$P$7:$P$874,'30 days CF Table(AUD)'!G27,BS_RE33!$F$7:$F$874,'30 days CF Table(AUD)'!$C$2)</f>
        <v>0</v>
      </c>
      <c r="AO27" s="337">
        <f>SUMIFS(BS_RE33!$H$7:$H$874,BS_RE33!$S$7:$S$874,$AO$2,BS_RE33!$N$7:$N$874,I27,BS_RE33!$P$7:$P$874,'30 days CF Table(AUD)'!G27,BS_RE33!$F$7:$F$874,'30 days CF Table(AUD)'!$C$2)</f>
        <v>0</v>
      </c>
      <c r="AP27" s="338">
        <f>SUMIFS(BS_RE33!$H$7:$H$874,BS_RE33!$S$7:$S$874,$AP$2,BS_RE33!$N$7:$N$874,I27,BS_RE33!$P$7:$P$874,'30 days CF Table(AUD)'!G27,BS_RE33!$F$7:$F$874,'30 days CF Table(AUD)'!$C$2)</f>
        <v>0</v>
      </c>
      <c r="AR27" s="379">
        <f>SUMIFS(BS_RE33!$H$7:$H$874,BS_RE33!$S$7:$S$874,$AR$2,BS_RE33!$N$7:$N$874,I27,BS_RE33!$P$7:$P$874,'30 days CF Table(AUD)'!G27,BS_RE33!$F$7:$F$874,'30 days CF Table(AUD)'!$C$2)</f>
        <v>0</v>
      </c>
      <c r="AS27" s="379">
        <f>SUMIFS(BS_RE33!$H$7:$H$874,BS_RE33!$S$7:$S$874,$AS$2,BS_RE33!$N$7:$N$874,I27,BS_RE33!$P$7:$P$874,'30 days CF Table(AUD)'!G27,BS_RE33!$F$7:$F$874,'30 days CF Table(AUD)'!$C$2)</f>
        <v>0</v>
      </c>
      <c r="AT27" s="379">
        <f>SUMIFS(BS_RE33!$H$7:$H$874,BS_RE33!$S$7:$S$874,$AT$2,BS_RE33!$N$7:$N$874,I27,BS_RE33!$P$7:$P$874,'30 days CF Table(AUD)'!G27,BS_RE33!$F$7:$F$874,'30 days CF Table(AUD)'!$C$2)</f>
        <v>0</v>
      </c>
      <c r="AU27" s="379">
        <f>SUMIFS(BS_RE33!$H$7:$H$874,BS_RE33!$S$7:$S$874,$AU$2,BS_RE33!$N$7:$N$874,I27,BS_RE33!$P$7:$P$874,'30 days CF Table(AUD)'!G27,BS_RE33!$F$7:$F$874,'30 days CF Table(AUD)'!$C$2)</f>
        <v>0</v>
      </c>
      <c r="AV27" s="379">
        <f>SUMIFS(BS_RE33!$H$7:$H$874,BS_RE33!$S$7:$S$874,$AV$2,BS_RE33!$N$7:$N$874,I27,BS_RE33!$P$7:$P$874,'30 days CF Table(AUD)'!G27,BS_RE33!$F$7:$F$874,'30 days CF Table(AUD)'!$C$2)</f>
        <v>0</v>
      </c>
      <c r="AW27" s="379">
        <f>SUMIFS(BS_RE33!$H$7:$H$874,BS_RE33!$S$7:$S$874,$AW$2,BS_RE33!$N$7:$N$874,I27,BS_RE33!$P$7:$P$874,'30 days CF Table(AUD)'!G27,BS_RE33!$F$7:$F$874,'30 days CF Table(AUD)'!$C$2)</f>
        <v>0</v>
      </c>
      <c r="AX27" s="379">
        <f>SUMIFS(BS_RE33!$H$7:$H$874,BS_RE33!$S$7:$S$874,$AX$2,BS_RE33!$N$7:$N$874,I27,BS_RE33!$P$7:$P$874,'30 days CF Table(AUD)'!G27,BS_RE33!$F$7:$F$874,'30 days CF Table(AUD)'!$C$2)</f>
        <v>0</v>
      </c>
      <c r="AY27" s="379">
        <f>SUMIFS(BS_RE33!$H$7:$H$874,BS_RE33!$S$7:$S$874,$AY$2,BS_RE33!$N$7:$N$874,I27,BS_RE33!$P$7:$P$874,'30 days CF Table(AUD)'!G27,BS_RE33!$F$7:$F$874,'30 days CF Table(AUD)'!$C$2)</f>
        <v>0</v>
      </c>
      <c r="AZ27" s="379">
        <f>SUMIFS(BS_RE33!$H$7:$H$874,BS_RE33!$S$7:$S$874,$AZ$2,BS_RE33!$N$7:$N$874,I27,BS_RE33!$P$7:$P$874,'30 days CF Table(AUD)'!G27,BS_RE33!$F$7:$F$874,'30 days CF Table(AUD)'!$C$2)</f>
        <v>0</v>
      </c>
      <c r="BA27" s="379">
        <f>SUMIFS(BS_RE33!$H$7:$H$874,BS_RE33!$S$7:$S$874,$BA$2,BS_RE33!$N$7:$N$874,I27,BS_RE33!$P$7:$P$874,'30 days CF Table(AUD)'!G27,BS_RE33!$F$7:$F$874,'30 days CF Table(AUD)'!$C$2)</f>
        <v>0</v>
      </c>
      <c r="BB27" s="379">
        <f>SUMIFS(BS_RE33!$H$7:$H$874,BS_RE33!$S$7:$S$874,$BB$2,BS_RE33!$N$7:$N$874,I27,BS_RE33!$P$7:$P$874,'30 days CF Table(AUD)'!G27,BS_RE33!$F$7:$F$874,'30 days CF Table(AUD)'!$C$2)</f>
        <v>0</v>
      </c>
      <c r="BC27" s="379">
        <f>SUMIFS(BS_RE33!$H$7:$H$874,BS_RE33!$S$7:$S$874,$BC$2,BS_RE33!$N$7:$N$874,I27,BS_RE33!$P$7:$P$874,'30 days CF Table(AUD)'!G27,BS_RE33!$F$7:$F$874,'30 days CF Table(AUD)'!$C$2)</f>
        <v>0</v>
      </c>
      <c r="BD27" s="379">
        <f>SUMIFS(BS_RE33!$H$7:$H$874,BS_RE33!$S$7:$S$874,$BD$2,BS_RE33!$N$7:$N$874,I27,BS_RE33!$P$7:$P$874,'30 days CF Table(AUD)'!G27,BS_RE33!$F$7:$F$874,'30 days CF Table(AUD)'!$C$2)</f>
        <v>0</v>
      </c>
      <c r="BE27" s="379">
        <f>SUMIFS(BS_RE33!$H$7:$H$874,BS_RE33!$S$7:$S$874,$BE$2,BS_RE33!$N$7:$N$874,I27,BS_RE33!$P$7:$P$874,'30 days CF Table(AUD)'!G27,BS_RE33!$F$7:$F$874,'30 days CF Table(AUD)'!$C$2)</f>
        <v>0</v>
      </c>
      <c r="BF27" s="379">
        <f>SUMIFS(BS_RE33!$H$7:$H$874,BS_RE33!$S$7:$S$874,$BF$2,BS_RE33!$N$7:$N$874,I27,BS_RE33!$P$7:$P$874,'30 days CF Table(AUD)'!G27,BS_RE33!$F$7:$F$874,'30 days CF Table(AUD)'!$C$2)</f>
        <v>0</v>
      </c>
      <c r="BG27" s="379">
        <f>SUMIFS(BS_RE33!$H$7:$H$874,BS_RE33!$S$7:$S$874,$BG$2,BS_RE33!$N$7:$N$874,I27,BS_RE33!$P$7:$P$874,'30 days CF Table(AUD)'!G27,BS_RE33!$F$7:$F$874,'30 days CF Table(AUD)'!$C$2)</f>
        <v>0</v>
      </c>
      <c r="BH27" s="379">
        <f>SUMIFS(BS_RE33!$H$7:$H$874,BS_RE33!$S$7:$S$874,$BH$2,BS_RE33!$N$7:$N$874,I27,BS_RE33!$P$7:$P$874,'30 days CF Table(AUD)'!G27,BS_RE33!$F$7:$F$874,'30 days CF Table(AUD)'!$C$2)</f>
        <v>0</v>
      </c>
      <c r="BI27" s="379">
        <f>SUMIFS(BS_RE33!$H$7:$H$874,BS_RE33!$S$7:$S$874,$BI$2,BS_RE33!$N$7:$N$874,I27,BS_RE33!$P$7:$P$874,'30 days CF Table(AUD)'!G27,BS_RE33!$F$7:$F$874,'30 days CF Table(AUD)'!$C$2)</f>
        <v>0</v>
      </c>
      <c r="BJ27" s="379">
        <f>SUMIFS(BS_RE33!$H$7:$H$874,BS_RE33!$S$7:$S$874,$BJ$2,BS_RE33!$N$7:$N$874,I27,BS_RE33!$P$7:$P$874,'30 days CF Table(AUD)'!G27,BS_RE33!$F$7:$F$874,'30 days CF Table(AUD)'!$C$2)</f>
        <v>0</v>
      </c>
      <c r="BK27" s="379">
        <f>SUMIFS(BS_RE33!$H$7:$H$874,BS_RE33!$S$7:$S$874,$BK$2,BS_RE33!$N$7:$N$874,I27,BS_RE33!$P$7:$P$874,'30 days CF Table(AUD)'!G27,BS_RE33!$F$7:$F$874,'30 days CF Table(AUD)'!$C$2)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Table(AUD)'!G28,BS_RE33!$F$7:$F$874,'30 days CF Table(AUD)'!$C$2)</f>
        <v>0</v>
      </c>
      <c r="M28" s="337">
        <f>SUMIFS(BS_RE33!$H$7:$H$874,BS_RE33!$S$7:$S$874,$M$2,BS_RE33!$N$7:$N$874,I28,BS_RE33!$P$7:$P$874,'30 days CF Table(AUD)'!G28,BS_RE33!$F$7:$F$874,'30 days CF Table(AUD)'!$C$2)</f>
        <v>0</v>
      </c>
      <c r="N28" s="337">
        <f>SUMIFS(BS_RE33!$H$7:$H$874,BS_RE33!$S$7:$S$874,$N$2,BS_RE33!$N$7:$N$874,I28,BS_RE33!$P$7:$P$874,'30 days CF Table(AUD)'!G28,BS_RE33!$F$7:$F$874,'30 days CF Table(AUD)'!$C$2)</f>
        <v>0</v>
      </c>
      <c r="O28" s="337">
        <f>SUMIFS(BS_RE33!$H$7:$H$874,BS_RE33!$S$7:$S$874,$O$2,BS_RE33!$N$7:$N$874,I28,BS_RE33!$P$7:$P$874,'30 days CF Table(AUD)'!G28,BS_RE33!$F$7:$F$874,'30 days CF Table(AUD)'!$C$2)</f>
        <v>0</v>
      </c>
      <c r="P28" s="337">
        <f>SUMIFS(BS_RE33!$H$7:$H$874,BS_RE33!$S$7:$S$874,$P$2,BS_RE33!$N$7:$N$874,I28,BS_RE33!$P$7:$P$874,'30 days CF Table(AUD)'!G28,BS_RE33!$F$7:$F$874,'30 days CF Table(AUD)'!$C$2)</f>
        <v>0</v>
      </c>
      <c r="Q28" s="337">
        <f>SUMIFS(BS_RE33!$H$7:$H$874,BS_RE33!$S$7:$S$874,$Q$2,BS_RE33!$N$7:$N$874,I28,BS_RE33!$P$7:$P$874,'30 days CF Table(AUD)'!G28,BS_RE33!$F$7:$F$874,'30 days CF Table(AUD)'!$C$2)</f>
        <v>0</v>
      </c>
      <c r="R28" s="337">
        <f>SUMIFS(BS_RE33!$H$7:$H$874,BS_RE33!$S$7:$S$874,$R$2,BS_RE33!$N$7:$N$874,I28,BS_RE33!$P$7:$P$874,'30 days CF Table(AUD)'!G28,BS_RE33!$F$7:$F$874,'30 days CF Table(AUD)'!$C$2)</f>
        <v>0</v>
      </c>
      <c r="S28" s="337">
        <f>SUMIFS(BS_RE33!$H$7:$H$874,BS_RE33!$S$7:$S$874,$S$2,BS_RE33!$N$7:$N$874,I28,BS_RE33!$P$7:$P$874,'30 days CF Table(AUD)'!G28,BS_RE33!$F$7:$F$874,'30 days CF Table(AUD)'!$C$2)</f>
        <v>0</v>
      </c>
      <c r="T28" s="337">
        <f>SUMIFS(BS_RE33!$H$7:$H$874,BS_RE33!$S$7:$S$874,$T$2,BS_RE33!$N$7:$N$874,I28,BS_RE33!$P$7:$P$874,'30 days CF Table(AUD)'!G28,BS_RE33!$F$7:$F$874,'30 days CF Table(AUD)'!$C$2)</f>
        <v>0</v>
      </c>
      <c r="U28" s="337">
        <f>SUMIFS(BS_RE33!$H$7:$H$874,BS_RE33!$S$7:$S$874,$U$2,BS_RE33!$N$7:$N$874,I28,BS_RE33!$P$7:$P$874,'30 days CF Table(AUD)'!G28,BS_RE33!$F$7:$F$874,'30 days CF Table(AUD)'!$C$2)</f>
        <v>0</v>
      </c>
      <c r="V28" s="337">
        <f>SUMIFS(BS_RE33!$H$7:$H$874,BS_RE33!$S$7:$S$874,$V$2,BS_RE33!$N$7:$N$874,I28,BS_RE33!$P$7:$P$874,'30 days CF Table(AUD)'!G28,BS_RE33!$F$7:$F$874,'30 days CF Table(AUD)'!$C$2)</f>
        <v>0</v>
      </c>
      <c r="W28" s="337">
        <f>SUMIFS(BS_RE33!$H$7:$H$874,BS_RE33!$S$7:$S$874,$W$2,BS_RE33!$N$7:$N$874,I28,BS_RE33!$P$7:$P$874,'30 days CF Table(AUD)'!G28,BS_RE33!$F$7:$F$874,'30 days CF Table(AUD)'!$C$2)</f>
        <v>0</v>
      </c>
      <c r="X28" s="337">
        <f>SUMIFS(BS_RE33!$H$7:$H$874,BS_RE33!$S$7:$S$874,$X$2,BS_RE33!$N$7:$N$874,I28,BS_RE33!$P$7:$P$874,'30 days CF Table(AUD)'!G28,BS_RE33!$F$7:$F$874,'30 days CF Table(AUD)'!$C$2)</f>
        <v>0</v>
      </c>
      <c r="Y28" s="337">
        <f>SUMIFS(BS_RE33!$H$7:$H$874,BS_RE33!$S$7:$S$874,$Y$2,BS_RE33!$N$7:$N$874,I28,BS_RE33!$P$7:$P$874,'30 days CF Table(AUD)'!G28,BS_RE33!$F$7:$F$874,'30 days CF Table(AUD)'!$C$2)</f>
        <v>0</v>
      </c>
      <c r="Z28" s="337">
        <f>SUMIFS(BS_RE33!$H$7:$H$874,BS_RE33!$S$7:$S$874,$Z$2,BS_RE33!$N$7:$N$874,I28,BS_RE33!$P$7:$P$874,'30 days CF Table(AUD)'!G28,BS_RE33!$F$7:$F$874,'30 days CF Table(AUD)'!$C$2)</f>
        <v>0</v>
      </c>
      <c r="AA28" s="337">
        <f>SUMIFS(BS_RE33!$H$7:$H$874,BS_RE33!$S$7:$S$874,$AA$2,BS_RE33!$N$7:$N$874,I28,BS_RE33!$P$7:$P$874,'30 days CF Table(AUD)'!G28,BS_RE33!$F$7:$F$874,'30 days CF Table(AUD)'!$C$2)</f>
        <v>0</v>
      </c>
      <c r="AB28" s="337">
        <f>SUMIFS(BS_RE33!$H$7:$H$874,BS_RE33!$S$7:$S$874,$AB$2,BS_RE33!$N$7:$N$874,I28,BS_RE33!$P$7:$P$874,'30 days CF Table(AUD)'!G28,BS_RE33!$F$7:$F$874,'30 days CF Table(AUD)'!$C$2)</f>
        <v>0</v>
      </c>
      <c r="AC28" s="337">
        <f>SUMIFS(BS_RE33!$H$7:$H$874,BS_RE33!$S$7:$S$874,$AC$2,BS_RE33!$N$7:$N$874,I28,BS_RE33!$P$7:$P$874,'30 days CF Table(AUD)'!G28,BS_RE33!$F$7:$F$874,'30 days CF Table(AUD)'!$C$2)</f>
        <v>0</v>
      </c>
      <c r="AD28" s="337">
        <f>SUMIFS(BS_RE33!$H$7:$H$874,BS_RE33!$S$7:$S$874,$AD$2,BS_RE33!$N$7:$N$874,I28,BS_RE33!$P$7:$P$874,'30 days CF Table(AUD)'!G28,BS_RE33!$F$7:$F$874,'30 days CF Table(AUD)'!$C$2)</f>
        <v>0</v>
      </c>
      <c r="AE28" s="337">
        <f>SUMIFS(BS_RE33!$H$7:$H$874,BS_RE33!$S$7:$S$874,$AE$2,BS_RE33!$N$7:$N$874,I28,BS_RE33!$P$7:$P$874,'30 days CF Table(AUD)'!G28,BS_RE33!$F$7:$F$874,'30 days CF Table(AUD)'!$C$2)</f>
        <v>0</v>
      </c>
      <c r="AF28" s="337">
        <f>SUMIFS(BS_RE33!$H$7:$H$874,BS_RE33!$S$7:$S$874,$AF$2,BS_RE33!$N$7:$N$874,I28,BS_RE33!$P$7:$P$874,'30 days CF Table(AUD)'!G28,BS_RE33!$F$7:$F$874,'30 days CF Table(AUD)'!$C$2)</f>
        <v>0</v>
      </c>
      <c r="AG28" s="337">
        <f>SUMIFS(BS_RE33!$H$7:$H$874,BS_RE33!$S$7:$S$874,$AG$2,BS_RE33!$N$7:$N$874,I28,BS_RE33!$P$7:$P$874,'30 days CF Table(AUD)'!G28,BS_RE33!$F$7:$F$874,'30 days CF Table(AUD)'!$C$2)</f>
        <v>0</v>
      </c>
      <c r="AH28" s="337">
        <f>SUMIFS(BS_RE33!$H$7:$H$874,BS_RE33!$S$7:$S$874,$AH$2,BS_RE33!$N$7:$N$874,I28,BS_RE33!$P$7:$P$874,'30 days CF Table(AUD)'!G28,BS_RE33!$F$7:$F$874,'30 days CF Table(AUD)'!$C$2)</f>
        <v>0</v>
      </c>
      <c r="AI28" s="337">
        <f>SUMIFS(BS_RE33!$H$7:$H$874,BS_RE33!$S$7:$S$874,$AI$2,BS_RE33!$N$7:$N$874,I28,BS_RE33!$P$7:$P$874,'30 days CF Table(AUD)'!G28,BS_RE33!$F$7:$F$874,'30 days CF Table(AUD)'!$C$2)</f>
        <v>0</v>
      </c>
      <c r="AJ28" s="337">
        <f>SUMIFS(BS_RE33!$H$7:$H$874,BS_RE33!$S$7:$S$874,$AJ$2,BS_RE33!$N$7:$N$874,I28,BS_RE33!$P$7:$P$874,'30 days CF Table(AUD)'!G28,BS_RE33!$F$7:$F$874,'30 days CF Table(AUD)'!$C$2)</f>
        <v>0</v>
      </c>
      <c r="AK28" s="337">
        <f>SUMIFS(BS_RE33!$H$7:$H$874,BS_RE33!$S$7:$S$874,$AK$2,BS_RE33!$N$7:$N$874,I28,BS_RE33!$P$7:$P$874,'30 days CF Table(AUD)'!G28,BS_RE33!$F$7:$F$874,'30 days CF Table(AUD)'!$C$2)</f>
        <v>0</v>
      </c>
      <c r="AL28" s="337">
        <f>SUMIFS(BS_RE33!$H$7:$H$874,BS_RE33!$S$7:$S$874,$AL$2,BS_RE33!$N$7:$N$874,I28,BS_RE33!$P$7:$P$874,'30 days CF Table(AUD)'!G28,BS_RE33!$F$7:$F$874,'30 days CF Table(AUD)'!$C$2)</f>
        <v>0</v>
      </c>
      <c r="AM28" s="337">
        <f>SUMIFS(BS_RE33!$H$7:$H$874,BS_RE33!$S$7:$S$874,$AM$2,BS_RE33!$N$7:$N$874,I28,BS_RE33!$P$7:$P$874,'30 days CF Table(AUD)'!G28,BS_RE33!$F$7:$F$874,'30 days CF Table(AUD)'!$C$2)</f>
        <v>0</v>
      </c>
      <c r="AN28" s="337">
        <f>SUMIFS(BS_RE33!$H$7:$H$874,BS_RE33!$S$7:$S$874,$AN$2,BS_RE33!$N$7:$N$874,I28,BS_RE33!$P$7:$P$874,'30 days CF Table(AUD)'!G28,BS_RE33!$F$7:$F$874,'30 days CF Table(AUD)'!$C$2)</f>
        <v>0</v>
      </c>
      <c r="AO28" s="337">
        <f>SUMIFS(BS_RE33!$H$7:$H$874,BS_RE33!$S$7:$S$874,$AO$2,BS_RE33!$N$7:$N$874,I28,BS_RE33!$P$7:$P$874,'30 days CF Table(AUD)'!G28,BS_RE33!$F$7:$F$874,'30 days CF Table(AUD)'!$C$2)</f>
        <v>0</v>
      </c>
      <c r="AP28" s="338">
        <f>SUMIFS(BS_RE33!$H$7:$H$874,BS_RE33!$S$7:$S$874,$AP$2,BS_RE33!$N$7:$N$874,I28,BS_RE33!$P$7:$P$874,'30 days CF Table(AUD)'!G28,BS_RE33!$F$7:$F$874,'30 days CF Table(AUD)'!$C$2)</f>
        <v>0</v>
      </c>
      <c r="AR28" s="379">
        <f>SUMIFS(BS_RE33!$H$7:$H$874,BS_RE33!$S$7:$S$874,$AR$2,BS_RE33!$N$7:$N$874,I28,BS_RE33!$P$7:$P$874,'30 days CF Table(AUD)'!G28,BS_RE33!$F$7:$F$874,'30 days CF Table(AUD)'!$C$2)</f>
        <v>0</v>
      </c>
      <c r="AS28" s="379">
        <f>SUMIFS(BS_RE33!$H$7:$H$874,BS_RE33!$S$7:$S$874,$AS$2,BS_RE33!$N$7:$N$874,I28,BS_RE33!$P$7:$P$874,'30 days CF Table(AUD)'!G28,BS_RE33!$F$7:$F$874,'30 days CF Table(AUD)'!$C$2)</f>
        <v>0</v>
      </c>
      <c r="AT28" s="379">
        <f>SUMIFS(BS_RE33!$H$7:$H$874,BS_RE33!$S$7:$S$874,$AT$2,BS_RE33!$N$7:$N$874,I28,BS_RE33!$P$7:$P$874,'30 days CF Table(AUD)'!G28,BS_RE33!$F$7:$F$874,'30 days CF Table(AUD)'!$C$2)</f>
        <v>0</v>
      </c>
      <c r="AU28" s="379">
        <f>SUMIFS(BS_RE33!$H$7:$H$874,BS_RE33!$S$7:$S$874,$AU$2,BS_RE33!$N$7:$N$874,I28,BS_RE33!$P$7:$P$874,'30 days CF Table(AUD)'!G28,BS_RE33!$F$7:$F$874,'30 days CF Table(AUD)'!$C$2)</f>
        <v>0</v>
      </c>
      <c r="AV28" s="379">
        <f>SUMIFS(BS_RE33!$H$7:$H$874,BS_RE33!$S$7:$S$874,$AV$2,BS_RE33!$N$7:$N$874,I28,BS_RE33!$P$7:$P$874,'30 days CF Table(AUD)'!G28,BS_RE33!$F$7:$F$874,'30 days CF Table(AUD)'!$C$2)</f>
        <v>0</v>
      </c>
      <c r="AW28" s="379">
        <f>SUMIFS(BS_RE33!$H$7:$H$874,BS_RE33!$S$7:$S$874,$AW$2,BS_RE33!$N$7:$N$874,I28,BS_RE33!$P$7:$P$874,'30 days CF Table(AUD)'!G28,BS_RE33!$F$7:$F$874,'30 days CF Table(AUD)'!$C$2)</f>
        <v>0</v>
      </c>
      <c r="AX28" s="379">
        <f>SUMIFS(BS_RE33!$H$7:$H$874,BS_RE33!$S$7:$S$874,$AX$2,BS_RE33!$N$7:$N$874,I28,BS_RE33!$P$7:$P$874,'30 days CF Table(AUD)'!G28,BS_RE33!$F$7:$F$874,'30 days CF Table(AUD)'!$C$2)</f>
        <v>0</v>
      </c>
      <c r="AY28" s="379">
        <f>SUMIFS(BS_RE33!$H$7:$H$874,BS_RE33!$S$7:$S$874,$AY$2,BS_RE33!$N$7:$N$874,I28,BS_RE33!$P$7:$P$874,'30 days CF Table(AUD)'!G28,BS_RE33!$F$7:$F$874,'30 days CF Table(AUD)'!$C$2)</f>
        <v>0</v>
      </c>
      <c r="AZ28" s="379">
        <f>SUMIFS(BS_RE33!$H$7:$H$874,BS_RE33!$S$7:$S$874,$AZ$2,BS_RE33!$N$7:$N$874,I28,BS_RE33!$P$7:$P$874,'30 days CF Table(AUD)'!G28,BS_RE33!$F$7:$F$874,'30 days CF Table(AUD)'!$C$2)</f>
        <v>0</v>
      </c>
      <c r="BA28" s="379">
        <f>SUMIFS(BS_RE33!$H$7:$H$874,BS_RE33!$S$7:$S$874,$BA$2,BS_RE33!$N$7:$N$874,I28,BS_RE33!$P$7:$P$874,'30 days CF Table(AUD)'!G28,BS_RE33!$F$7:$F$874,'30 days CF Table(AUD)'!$C$2)</f>
        <v>0</v>
      </c>
      <c r="BB28" s="379">
        <f>SUMIFS(BS_RE33!$H$7:$H$874,BS_RE33!$S$7:$S$874,$BB$2,BS_RE33!$N$7:$N$874,I28,BS_RE33!$P$7:$P$874,'30 days CF Table(AUD)'!G28,BS_RE33!$F$7:$F$874,'30 days CF Table(AUD)'!$C$2)</f>
        <v>0</v>
      </c>
      <c r="BC28" s="379">
        <f>SUMIFS(BS_RE33!$H$7:$H$874,BS_RE33!$S$7:$S$874,$BC$2,BS_RE33!$N$7:$N$874,I28,BS_RE33!$P$7:$P$874,'30 days CF Table(AUD)'!G28,BS_RE33!$F$7:$F$874,'30 days CF Table(AUD)'!$C$2)</f>
        <v>0</v>
      </c>
      <c r="BD28" s="379">
        <f>SUMIFS(BS_RE33!$H$7:$H$874,BS_RE33!$S$7:$S$874,$BD$2,BS_RE33!$N$7:$N$874,I28,BS_RE33!$P$7:$P$874,'30 days CF Table(AUD)'!G28,BS_RE33!$F$7:$F$874,'30 days CF Table(AUD)'!$C$2)</f>
        <v>0</v>
      </c>
      <c r="BE28" s="379">
        <f>SUMIFS(BS_RE33!$H$7:$H$874,BS_RE33!$S$7:$S$874,$BE$2,BS_RE33!$N$7:$N$874,I28,BS_RE33!$P$7:$P$874,'30 days CF Table(AUD)'!G28,BS_RE33!$F$7:$F$874,'30 days CF Table(AUD)'!$C$2)</f>
        <v>0</v>
      </c>
      <c r="BF28" s="379">
        <f>SUMIFS(BS_RE33!$H$7:$H$874,BS_RE33!$S$7:$S$874,$BF$2,BS_RE33!$N$7:$N$874,I28,BS_RE33!$P$7:$P$874,'30 days CF Table(AUD)'!G28,BS_RE33!$F$7:$F$874,'30 days CF Table(AUD)'!$C$2)</f>
        <v>0</v>
      </c>
      <c r="BG28" s="379">
        <f>SUMIFS(BS_RE33!$H$7:$H$874,BS_RE33!$S$7:$S$874,$BG$2,BS_RE33!$N$7:$N$874,I28,BS_RE33!$P$7:$P$874,'30 days CF Table(AUD)'!G28,BS_RE33!$F$7:$F$874,'30 days CF Table(AUD)'!$C$2)</f>
        <v>0</v>
      </c>
      <c r="BH28" s="379">
        <f>SUMIFS(BS_RE33!$H$7:$H$874,BS_RE33!$S$7:$S$874,$BH$2,BS_RE33!$N$7:$N$874,I28,BS_RE33!$P$7:$P$874,'30 days CF Table(AUD)'!G28,BS_RE33!$F$7:$F$874,'30 days CF Table(AUD)'!$C$2)</f>
        <v>0</v>
      </c>
      <c r="BI28" s="379">
        <f>SUMIFS(BS_RE33!$H$7:$H$874,BS_RE33!$S$7:$S$874,$BI$2,BS_RE33!$N$7:$N$874,I28,BS_RE33!$P$7:$P$874,'30 days CF Table(AUD)'!G28,BS_RE33!$F$7:$F$874,'30 days CF Table(AUD)'!$C$2)</f>
        <v>0</v>
      </c>
      <c r="BJ28" s="379">
        <f>SUMIFS(BS_RE33!$H$7:$H$874,BS_RE33!$S$7:$S$874,$BJ$2,BS_RE33!$N$7:$N$874,I28,BS_RE33!$P$7:$P$874,'30 days CF Table(AUD)'!G28,BS_RE33!$F$7:$F$874,'30 days CF Table(AUD)'!$C$2)</f>
        <v>0</v>
      </c>
      <c r="BK28" s="379">
        <f>SUMIFS(BS_RE33!$H$7:$H$874,BS_RE33!$S$7:$S$874,$BK$2,BS_RE33!$N$7:$N$874,I28,BS_RE33!$P$7:$P$874,'30 days CF Table(AUD)'!G28,BS_RE33!$F$7:$F$874,'30 days CF Table(AUD)'!$C$2)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Table(AUD)'!G29,BS_RE33!$F$7:$F$874,'30 days CF Table(AUD)'!$C$2)</f>
        <v>0</v>
      </c>
      <c r="M29" s="337">
        <f>SUMIFS(BS_RE33!$H$7:$H$874,BS_RE33!$S$7:$S$874,$M$2,BS_RE33!$N$7:$N$874,I29,BS_RE33!$P$7:$P$874,'30 days CF Table(AUD)'!G29,BS_RE33!$F$7:$F$874,'30 days CF Table(AUD)'!$C$2)</f>
        <v>0</v>
      </c>
      <c r="N29" s="337">
        <f>SUMIFS(BS_RE33!$H$7:$H$874,BS_RE33!$S$7:$S$874,$N$2,BS_RE33!$N$7:$N$874,I29,BS_RE33!$P$7:$P$874,'30 days CF Table(AUD)'!G29,BS_RE33!$F$7:$F$874,'30 days CF Table(AUD)'!$C$2)</f>
        <v>0</v>
      </c>
      <c r="O29" s="337">
        <f>SUMIFS(BS_RE33!$H$7:$H$874,BS_RE33!$S$7:$S$874,$O$2,BS_RE33!$N$7:$N$874,I29,BS_RE33!$P$7:$P$874,'30 days CF Table(AUD)'!G29,BS_RE33!$F$7:$F$874,'30 days CF Table(AUD)'!$C$2)</f>
        <v>0</v>
      </c>
      <c r="P29" s="337">
        <f>SUMIFS(BS_RE33!$H$7:$H$874,BS_RE33!$S$7:$S$874,$P$2,BS_RE33!$N$7:$N$874,I29,BS_RE33!$P$7:$P$874,'30 days CF Table(AUD)'!G29,BS_RE33!$F$7:$F$874,'30 days CF Table(AUD)'!$C$2)</f>
        <v>0</v>
      </c>
      <c r="Q29" s="337">
        <f>SUMIFS(BS_RE33!$H$7:$H$874,BS_RE33!$S$7:$S$874,$Q$2,BS_RE33!$N$7:$N$874,I29,BS_RE33!$P$7:$P$874,'30 days CF Table(AUD)'!G29,BS_RE33!$F$7:$F$874,'30 days CF Table(AUD)'!$C$2)</f>
        <v>0</v>
      </c>
      <c r="R29" s="337">
        <f>SUMIFS(BS_RE33!$H$7:$H$874,BS_RE33!$S$7:$S$874,$R$2,BS_RE33!$N$7:$N$874,I29,BS_RE33!$P$7:$P$874,'30 days CF Table(AUD)'!G29,BS_RE33!$F$7:$F$874,'30 days CF Table(AUD)'!$C$2)</f>
        <v>0</v>
      </c>
      <c r="S29" s="337">
        <f>SUMIFS(BS_RE33!$H$7:$H$874,BS_RE33!$S$7:$S$874,$S$2,BS_RE33!$N$7:$N$874,I29,BS_RE33!$P$7:$P$874,'30 days CF Table(AUD)'!G29,BS_RE33!$F$7:$F$874,'30 days CF Table(AUD)'!$C$2)</f>
        <v>0</v>
      </c>
      <c r="T29" s="337">
        <f>SUMIFS(BS_RE33!$H$7:$H$874,BS_RE33!$S$7:$S$874,$T$2,BS_RE33!$N$7:$N$874,I29,BS_RE33!$P$7:$P$874,'30 days CF Table(AUD)'!G29,BS_RE33!$F$7:$F$874,'30 days CF Table(AUD)'!$C$2)</f>
        <v>0</v>
      </c>
      <c r="U29" s="337">
        <f>SUMIFS(BS_RE33!$H$7:$H$874,BS_RE33!$S$7:$S$874,$U$2,BS_RE33!$N$7:$N$874,I29,BS_RE33!$P$7:$P$874,'30 days CF Table(AUD)'!G29,BS_RE33!$F$7:$F$874,'30 days CF Table(AUD)'!$C$2)</f>
        <v>0</v>
      </c>
      <c r="V29" s="337">
        <f>SUMIFS(BS_RE33!$H$7:$H$874,BS_RE33!$S$7:$S$874,$V$2,BS_RE33!$N$7:$N$874,I29,BS_RE33!$P$7:$P$874,'30 days CF Table(AUD)'!G29,BS_RE33!$F$7:$F$874,'30 days CF Table(AUD)'!$C$2)</f>
        <v>0</v>
      </c>
      <c r="W29" s="337">
        <f>SUMIFS(BS_RE33!$H$7:$H$874,BS_RE33!$S$7:$S$874,$W$2,BS_RE33!$N$7:$N$874,I29,BS_RE33!$P$7:$P$874,'30 days CF Table(AUD)'!G29,BS_RE33!$F$7:$F$874,'30 days CF Table(AUD)'!$C$2)</f>
        <v>0</v>
      </c>
      <c r="X29" s="337">
        <f>SUMIFS(BS_RE33!$H$7:$H$874,BS_RE33!$S$7:$S$874,$X$2,BS_RE33!$N$7:$N$874,I29,BS_RE33!$P$7:$P$874,'30 days CF Table(AUD)'!G29,BS_RE33!$F$7:$F$874,'30 days CF Table(AUD)'!$C$2)</f>
        <v>0</v>
      </c>
      <c r="Y29" s="337">
        <f>SUMIFS(BS_RE33!$H$7:$H$874,BS_RE33!$S$7:$S$874,$Y$2,BS_RE33!$N$7:$N$874,I29,BS_RE33!$P$7:$P$874,'30 days CF Table(AUD)'!G29,BS_RE33!$F$7:$F$874,'30 days CF Table(AUD)'!$C$2)</f>
        <v>0</v>
      </c>
      <c r="Z29" s="337">
        <f>SUMIFS(BS_RE33!$H$7:$H$874,BS_RE33!$S$7:$S$874,$Z$2,BS_RE33!$N$7:$N$874,I29,BS_RE33!$P$7:$P$874,'30 days CF Table(AUD)'!G29,BS_RE33!$F$7:$F$874,'30 days CF Table(AUD)'!$C$2)</f>
        <v>0</v>
      </c>
      <c r="AA29" s="337">
        <f>SUMIFS(BS_RE33!$H$7:$H$874,BS_RE33!$S$7:$S$874,$AA$2,BS_RE33!$N$7:$N$874,I29,BS_RE33!$P$7:$P$874,'30 days CF Table(AUD)'!G29,BS_RE33!$F$7:$F$874,'30 days CF Table(AUD)'!$C$2)</f>
        <v>0</v>
      </c>
      <c r="AB29" s="337">
        <f>SUMIFS(BS_RE33!$H$7:$H$874,BS_RE33!$S$7:$S$874,$AB$2,BS_RE33!$N$7:$N$874,I29,BS_RE33!$P$7:$P$874,'30 days CF Table(AUD)'!G29,BS_RE33!$F$7:$F$874,'30 days CF Table(AUD)'!$C$2)</f>
        <v>0</v>
      </c>
      <c r="AC29" s="337">
        <f>SUMIFS(BS_RE33!$H$7:$H$874,BS_RE33!$S$7:$S$874,$AC$2,BS_RE33!$N$7:$N$874,I29,BS_RE33!$P$7:$P$874,'30 days CF Table(AUD)'!G29,BS_RE33!$F$7:$F$874,'30 days CF Table(AUD)'!$C$2)</f>
        <v>0</v>
      </c>
      <c r="AD29" s="337">
        <f>SUMIFS(BS_RE33!$H$7:$H$874,BS_RE33!$S$7:$S$874,$AD$2,BS_RE33!$N$7:$N$874,I29,BS_RE33!$P$7:$P$874,'30 days CF Table(AUD)'!G29,BS_RE33!$F$7:$F$874,'30 days CF Table(AUD)'!$C$2)</f>
        <v>0</v>
      </c>
      <c r="AE29" s="337">
        <f>SUMIFS(BS_RE33!$H$7:$H$874,BS_RE33!$S$7:$S$874,$AE$2,BS_RE33!$N$7:$N$874,I29,BS_RE33!$P$7:$P$874,'30 days CF Table(AUD)'!G29,BS_RE33!$F$7:$F$874,'30 days CF Table(AUD)'!$C$2)</f>
        <v>0</v>
      </c>
      <c r="AF29" s="337">
        <f>SUMIFS(BS_RE33!$H$7:$H$874,BS_RE33!$S$7:$S$874,$AF$2,BS_RE33!$N$7:$N$874,I29,BS_RE33!$P$7:$P$874,'30 days CF Table(AUD)'!G29,BS_RE33!$F$7:$F$874,'30 days CF Table(AUD)'!$C$2)</f>
        <v>0</v>
      </c>
      <c r="AG29" s="337">
        <f>SUMIFS(BS_RE33!$H$7:$H$874,BS_RE33!$S$7:$S$874,$AG$2,BS_RE33!$N$7:$N$874,I29,BS_RE33!$P$7:$P$874,'30 days CF Table(AUD)'!G29,BS_RE33!$F$7:$F$874,'30 days CF Table(AUD)'!$C$2)</f>
        <v>0</v>
      </c>
      <c r="AH29" s="337">
        <f>SUMIFS(BS_RE33!$H$7:$H$874,BS_RE33!$S$7:$S$874,$AH$2,BS_RE33!$N$7:$N$874,I29,BS_RE33!$P$7:$P$874,'30 days CF Table(AUD)'!G29,BS_RE33!$F$7:$F$874,'30 days CF Table(AUD)'!$C$2)</f>
        <v>0</v>
      </c>
      <c r="AI29" s="337">
        <f>SUMIFS(BS_RE33!$H$7:$H$874,BS_RE33!$S$7:$S$874,$AI$2,BS_RE33!$N$7:$N$874,I29,BS_RE33!$P$7:$P$874,'30 days CF Table(AUD)'!G29,BS_RE33!$F$7:$F$874,'30 days CF Table(AUD)'!$C$2)</f>
        <v>0</v>
      </c>
      <c r="AJ29" s="337">
        <f>SUMIFS(BS_RE33!$H$7:$H$874,BS_RE33!$S$7:$S$874,$AJ$2,BS_RE33!$N$7:$N$874,I29,BS_RE33!$P$7:$P$874,'30 days CF Table(AUD)'!G29,BS_RE33!$F$7:$F$874,'30 days CF Table(AUD)'!$C$2)</f>
        <v>0</v>
      </c>
      <c r="AK29" s="337">
        <f>SUMIFS(BS_RE33!$H$7:$H$874,BS_RE33!$S$7:$S$874,$AK$2,BS_RE33!$N$7:$N$874,I29,BS_RE33!$P$7:$P$874,'30 days CF Table(AUD)'!G29,BS_RE33!$F$7:$F$874,'30 days CF Table(AUD)'!$C$2)</f>
        <v>0</v>
      </c>
      <c r="AL29" s="337">
        <f>SUMIFS(BS_RE33!$H$7:$H$874,BS_RE33!$S$7:$S$874,$AL$2,BS_RE33!$N$7:$N$874,I29,BS_RE33!$P$7:$P$874,'30 days CF Table(AUD)'!G29,BS_RE33!$F$7:$F$874,'30 days CF Table(AUD)'!$C$2)</f>
        <v>0</v>
      </c>
      <c r="AM29" s="337">
        <f>SUMIFS(BS_RE33!$H$7:$H$874,BS_RE33!$S$7:$S$874,$AM$2,BS_RE33!$N$7:$N$874,I29,BS_RE33!$P$7:$P$874,'30 days CF Table(AUD)'!G29,BS_RE33!$F$7:$F$874,'30 days CF Table(AUD)'!$C$2)</f>
        <v>0</v>
      </c>
      <c r="AN29" s="337">
        <f>SUMIFS(BS_RE33!$H$7:$H$874,BS_RE33!$S$7:$S$874,$AN$2,BS_RE33!$N$7:$N$874,I29,BS_RE33!$P$7:$P$874,'30 days CF Table(AUD)'!G29,BS_RE33!$F$7:$F$874,'30 days CF Table(AUD)'!$C$2)</f>
        <v>0</v>
      </c>
      <c r="AO29" s="337">
        <f>SUMIFS(BS_RE33!$H$7:$H$874,BS_RE33!$S$7:$S$874,$AO$2,BS_RE33!$N$7:$N$874,I29,BS_RE33!$P$7:$P$874,'30 days CF Table(AUD)'!G29,BS_RE33!$F$7:$F$874,'30 days CF Table(AUD)'!$C$2)</f>
        <v>0</v>
      </c>
      <c r="AP29" s="338">
        <f>SUMIFS(BS_RE33!$H$7:$H$874,BS_RE33!$S$7:$S$874,$AP$2,BS_RE33!$N$7:$N$874,I29,BS_RE33!$P$7:$P$874,'30 days CF Table(AUD)'!G29,BS_RE33!$F$7:$F$874,'30 days CF Table(AUD)'!$C$2)</f>
        <v>0</v>
      </c>
      <c r="AR29" s="379">
        <f>SUMIFS(BS_RE33!$H$7:$H$874,BS_RE33!$S$7:$S$874,$AR$2,BS_RE33!$N$7:$N$874,I29,BS_RE33!$P$7:$P$874,'30 days CF Table(AUD)'!G29,BS_RE33!$F$7:$F$874,'30 days CF Table(AUD)'!$C$2)</f>
        <v>0</v>
      </c>
      <c r="AS29" s="379">
        <f>SUMIFS(BS_RE33!$H$7:$H$874,BS_RE33!$S$7:$S$874,$AS$2,BS_RE33!$N$7:$N$874,I29,BS_RE33!$P$7:$P$874,'30 days CF Table(AUD)'!G29,BS_RE33!$F$7:$F$874,'30 days CF Table(AUD)'!$C$2)</f>
        <v>0</v>
      </c>
      <c r="AT29" s="379">
        <f>SUMIFS(BS_RE33!$H$7:$H$874,BS_RE33!$S$7:$S$874,$AT$2,BS_RE33!$N$7:$N$874,I29,BS_RE33!$P$7:$P$874,'30 days CF Table(AUD)'!G29,BS_RE33!$F$7:$F$874,'30 days CF Table(AUD)'!$C$2)</f>
        <v>0</v>
      </c>
      <c r="AU29" s="379">
        <f>SUMIFS(BS_RE33!$H$7:$H$874,BS_RE33!$S$7:$S$874,$AU$2,BS_RE33!$N$7:$N$874,I29,BS_RE33!$P$7:$P$874,'30 days CF Table(AUD)'!G29,BS_RE33!$F$7:$F$874,'30 days CF Table(AUD)'!$C$2)</f>
        <v>0</v>
      </c>
      <c r="AV29" s="379">
        <f>SUMIFS(BS_RE33!$H$7:$H$874,BS_RE33!$S$7:$S$874,$AV$2,BS_RE33!$N$7:$N$874,I29,BS_RE33!$P$7:$P$874,'30 days CF Table(AUD)'!G29,BS_RE33!$F$7:$F$874,'30 days CF Table(AUD)'!$C$2)</f>
        <v>0</v>
      </c>
      <c r="AW29" s="379">
        <f>SUMIFS(BS_RE33!$H$7:$H$874,BS_RE33!$S$7:$S$874,$AW$2,BS_RE33!$N$7:$N$874,I29,BS_RE33!$P$7:$P$874,'30 days CF Table(AUD)'!G29,BS_RE33!$F$7:$F$874,'30 days CF Table(AUD)'!$C$2)</f>
        <v>0</v>
      </c>
      <c r="AX29" s="379">
        <f>SUMIFS(BS_RE33!$H$7:$H$874,BS_RE33!$S$7:$S$874,$AX$2,BS_RE33!$N$7:$N$874,I29,BS_RE33!$P$7:$P$874,'30 days CF Table(AUD)'!G29,BS_RE33!$F$7:$F$874,'30 days CF Table(AUD)'!$C$2)</f>
        <v>0</v>
      </c>
      <c r="AY29" s="379">
        <f>SUMIFS(BS_RE33!$H$7:$H$874,BS_RE33!$S$7:$S$874,$AY$2,BS_RE33!$N$7:$N$874,I29,BS_RE33!$P$7:$P$874,'30 days CF Table(AUD)'!G29,BS_RE33!$F$7:$F$874,'30 days CF Table(AUD)'!$C$2)</f>
        <v>0</v>
      </c>
      <c r="AZ29" s="379">
        <f>SUMIFS(BS_RE33!$H$7:$H$874,BS_RE33!$S$7:$S$874,$AZ$2,BS_RE33!$N$7:$N$874,I29,BS_RE33!$P$7:$P$874,'30 days CF Table(AUD)'!G29,BS_RE33!$F$7:$F$874,'30 days CF Table(AUD)'!$C$2)</f>
        <v>0</v>
      </c>
      <c r="BA29" s="379">
        <f>SUMIFS(BS_RE33!$H$7:$H$874,BS_RE33!$S$7:$S$874,$BA$2,BS_RE33!$N$7:$N$874,I29,BS_RE33!$P$7:$P$874,'30 days CF Table(AUD)'!G29,BS_RE33!$F$7:$F$874,'30 days CF Table(AUD)'!$C$2)</f>
        <v>0</v>
      </c>
      <c r="BB29" s="379">
        <f>SUMIFS(BS_RE33!$H$7:$H$874,BS_RE33!$S$7:$S$874,$BB$2,BS_RE33!$N$7:$N$874,I29,BS_RE33!$P$7:$P$874,'30 days CF Table(AUD)'!G29,BS_RE33!$F$7:$F$874,'30 days CF Table(AUD)'!$C$2)</f>
        <v>0</v>
      </c>
      <c r="BC29" s="379">
        <f>SUMIFS(BS_RE33!$H$7:$H$874,BS_RE33!$S$7:$S$874,$BC$2,BS_RE33!$N$7:$N$874,I29,BS_RE33!$P$7:$P$874,'30 days CF Table(AUD)'!G29,BS_RE33!$F$7:$F$874,'30 days CF Table(AUD)'!$C$2)</f>
        <v>0</v>
      </c>
      <c r="BD29" s="379">
        <f>SUMIFS(BS_RE33!$H$7:$H$874,BS_RE33!$S$7:$S$874,$BD$2,BS_RE33!$N$7:$N$874,I29,BS_RE33!$P$7:$P$874,'30 days CF Table(AUD)'!G29,BS_RE33!$F$7:$F$874,'30 days CF Table(AUD)'!$C$2)</f>
        <v>0</v>
      </c>
      <c r="BE29" s="379">
        <f>SUMIFS(BS_RE33!$H$7:$H$874,BS_RE33!$S$7:$S$874,$BE$2,BS_RE33!$N$7:$N$874,I29,BS_RE33!$P$7:$P$874,'30 days CF Table(AUD)'!G29,BS_RE33!$F$7:$F$874,'30 days CF Table(AUD)'!$C$2)</f>
        <v>0</v>
      </c>
      <c r="BF29" s="379">
        <f>SUMIFS(BS_RE33!$H$7:$H$874,BS_RE33!$S$7:$S$874,$BF$2,BS_RE33!$N$7:$N$874,I29,BS_RE33!$P$7:$P$874,'30 days CF Table(AUD)'!G29,BS_RE33!$F$7:$F$874,'30 days CF Table(AUD)'!$C$2)</f>
        <v>0</v>
      </c>
      <c r="BG29" s="379">
        <f>SUMIFS(BS_RE33!$H$7:$H$874,BS_RE33!$S$7:$S$874,$BG$2,BS_RE33!$N$7:$N$874,I29,BS_RE33!$P$7:$P$874,'30 days CF Table(AUD)'!G29,BS_RE33!$F$7:$F$874,'30 days CF Table(AUD)'!$C$2)</f>
        <v>0</v>
      </c>
      <c r="BH29" s="379">
        <f>SUMIFS(BS_RE33!$H$7:$H$874,BS_RE33!$S$7:$S$874,$BH$2,BS_RE33!$N$7:$N$874,I29,BS_RE33!$P$7:$P$874,'30 days CF Table(AUD)'!G29,BS_RE33!$F$7:$F$874,'30 days CF Table(AUD)'!$C$2)</f>
        <v>0</v>
      </c>
      <c r="BI29" s="379">
        <f>SUMIFS(BS_RE33!$H$7:$H$874,BS_RE33!$S$7:$S$874,$BI$2,BS_RE33!$N$7:$N$874,I29,BS_RE33!$P$7:$P$874,'30 days CF Table(AUD)'!G29,BS_RE33!$F$7:$F$874,'30 days CF Table(AUD)'!$C$2)</f>
        <v>0</v>
      </c>
      <c r="BJ29" s="379">
        <f>SUMIFS(BS_RE33!$H$7:$H$874,BS_RE33!$S$7:$S$874,$BJ$2,BS_RE33!$N$7:$N$874,I29,BS_RE33!$P$7:$P$874,'30 days CF Table(AUD)'!G29,BS_RE33!$F$7:$F$874,'30 days CF Table(AUD)'!$C$2)</f>
        <v>0</v>
      </c>
      <c r="BK29" s="379">
        <f>SUMIFS(BS_RE33!$H$7:$H$874,BS_RE33!$S$7:$S$874,$BK$2,BS_RE33!$N$7:$N$874,I29,BS_RE33!$P$7:$P$874,'30 days CF Table(AUD)'!G29,BS_RE33!$F$7:$F$874,'30 days CF Table(AUD)'!$C$2)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Table(AUD)'!G30,BS_RE33!$F$7:$F$874,'30 days CF Table(AUD)'!$C$2)</f>
        <v>0</v>
      </c>
      <c r="M30" s="337">
        <f>SUMIFS(BS_RE33!$H$7:$H$874,BS_RE33!$S$7:$S$874,$M$2,BS_RE33!$N$7:$N$874,I30,BS_RE33!$P$7:$P$874,'30 days CF Table(AUD)'!G30,BS_RE33!$F$7:$F$874,'30 days CF Table(AUD)'!$C$2)</f>
        <v>0</v>
      </c>
      <c r="N30" s="337">
        <f>SUMIFS(BS_RE33!$H$7:$H$874,BS_RE33!$S$7:$S$874,$N$2,BS_RE33!$N$7:$N$874,I30,BS_RE33!$P$7:$P$874,'30 days CF Table(AUD)'!G30,BS_RE33!$F$7:$F$874,'30 days CF Table(AUD)'!$C$2)</f>
        <v>0</v>
      </c>
      <c r="O30" s="337">
        <f>SUMIFS(BS_RE33!$H$7:$H$874,BS_RE33!$S$7:$S$874,$O$2,BS_RE33!$N$7:$N$874,I30,BS_RE33!$P$7:$P$874,'30 days CF Table(AUD)'!G30,BS_RE33!$F$7:$F$874,'30 days CF Table(AUD)'!$C$2)</f>
        <v>0</v>
      </c>
      <c r="P30" s="337">
        <f>SUMIFS(BS_RE33!$H$7:$H$874,BS_RE33!$S$7:$S$874,$P$2,BS_RE33!$N$7:$N$874,I30,BS_RE33!$P$7:$P$874,'30 days CF Table(AUD)'!G30,BS_RE33!$F$7:$F$874,'30 days CF Table(AUD)'!$C$2)</f>
        <v>0</v>
      </c>
      <c r="Q30" s="337">
        <f>SUMIFS(BS_RE33!$H$7:$H$874,BS_RE33!$S$7:$S$874,$Q$2,BS_RE33!$N$7:$N$874,I30,BS_RE33!$P$7:$P$874,'30 days CF Table(AUD)'!G30,BS_RE33!$F$7:$F$874,'30 days CF Table(AUD)'!$C$2)</f>
        <v>0</v>
      </c>
      <c r="R30" s="337">
        <f>SUMIFS(BS_RE33!$H$7:$H$874,BS_RE33!$S$7:$S$874,$R$2,BS_RE33!$N$7:$N$874,I30,BS_RE33!$P$7:$P$874,'30 days CF Table(AUD)'!G30,BS_RE33!$F$7:$F$874,'30 days CF Table(AUD)'!$C$2)</f>
        <v>0</v>
      </c>
      <c r="S30" s="337">
        <f>SUMIFS(BS_RE33!$H$7:$H$874,BS_RE33!$S$7:$S$874,$S$2,BS_RE33!$N$7:$N$874,I30,BS_RE33!$P$7:$P$874,'30 days CF Table(AUD)'!G30,BS_RE33!$F$7:$F$874,'30 days CF Table(AUD)'!$C$2)</f>
        <v>0</v>
      </c>
      <c r="T30" s="337">
        <f>SUMIFS(BS_RE33!$H$7:$H$874,BS_RE33!$S$7:$S$874,$T$2,BS_RE33!$N$7:$N$874,I30,BS_RE33!$P$7:$P$874,'30 days CF Table(AUD)'!G30,BS_RE33!$F$7:$F$874,'30 days CF Table(AUD)'!$C$2)</f>
        <v>0</v>
      </c>
      <c r="U30" s="337">
        <f>SUMIFS(BS_RE33!$H$7:$H$874,BS_RE33!$S$7:$S$874,$U$2,BS_RE33!$N$7:$N$874,I30,BS_RE33!$P$7:$P$874,'30 days CF Table(AUD)'!G30,BS_RE33!$F$7:$F$874,'30 days CF Table(AUD)'!$C$2)</f>
        <v>0</v>
      </c>
      <c r="V30" s="337">
        <f>SUMIFS(BS_RE33!$H$7:$H$874,BS_RE33!$S$7:$S$874,$V$2,BS_RE33!$N$7:$N$874,I30,BS_RE33!$P$7:$P$874,'30 days CF Table(AUD)'!G30,BS_RE33!$F$7:$F$874,'30 days CF Table(AUD)'!$C$2)</f>
        <v>0</v>
      </c>
      <c r="W30" s="337">
        <f>SUMIFS(BS_RE33!$H$7:$H$874,BS_RE33!$S$7:$S$874,$W$2,BS_RE33!$N$7:$N$874,I30,BS_RE33!$P$7:$P$874,'30 days CF Table(AUD)'!G30,BS_RE33!$F$7:$F$874,'30 days CF Table(AUD)'!$C$2)</f>
        <v>0</v>
      </c>
      <c r="X30" s="337">
        <f>SUMIFS(BS_RE33!$H$7:$H$874,BS_RE33!$S$7:$S$874,$X$2,BS_RE33!$N$7:$N$874,I30,BS_RE33!$P$7:$P$874,'30 days CF Table(AUD)'!G30,BS_RE33!$F$7:$F$874,'30 days CF Table(AUD)'!$C$2)</f>
        <v>0</v>
      </c>
      <c r="Y30" s="337">
        <f>SUMIFS(BS_RE33!$H$7:$H$874,BS_RE33!$S$7:$S$874,$Y$2,BS_RE33!$N$7:$N$874,I30,BS_RE33!$P$7:$P$874,'30 days CF Table(AUD)'!G30,BS_RE33!$F$7:$F$874,'30 days CF Table(AUD)'!$C$2)</f>
        <v>0</v>
      </c>
      <c r="Z30" s="337">
        <f>SUMIFS(BS_RE33!$H$7:$H$874,BS_RE33!$S$7:$S$874,$Z$2,BS_RE33!$N$7:$N$874,I30,BS_RE33!$P$7:$P$874,'30 days CF Table(AUD)'!G30,BS_RE33!$F$7:$F$874,'30 days CF Table(AUD)'!$C$2)</f>
        <v>0</v>
      </c>
      <c r="AA30" s="337">
        <f>SUMIFS(BS_RE33!$H$7:$H$874,BS_RE33!$S$7:$S$874,$AA$2,BS_RE33!$N$7:$N$874,I30,BS_RE33!$P$7:$P$874,'30 days CF Table(AUD)'!G30,BS_RE33!$F$7:$F$874,'30 days CF Table(AUD)'!$C$2)</f>
        <v>0</v>
      </c>
      <c r="AB30" s="337">
        <f>SUMIFS(BS_RE33!$H$7:$H$874,BS_RE33!$S$7:$S$874,$AB$2,BS_RE33!$N$7:$N$874,I30,BS_RE33!$P$7:$P$874,'30 days CF Table(AUD)'!G30,BS_RE33!$F$7:$F$874,'30 days CF Table(AUD)'!$C$2)</f>
        <v>0</v>
      </c>
      <c r="AC30" s="337">
        <f>SUMIFS(BS_RE33!$H$7:$H$874,BS_RE33!$S$7:$S$874,$AC$2,BS_RE33!$N$7:$N$874,I30,BS_RE33!$P$7:$P$874,'30 days CF Table(AUD)'!G30,BS_RE33!$F$7:$F$874,'30 days CF Table(AUD)'!$C$2)</f>
        <v>0</v>
      </c>
      <c r="AD30" s="337">
        <f>SUMIFS(BS_RE33!$H$7:$H$874,BS_RE33!$S$7:$S$874,$AD$2,BS_RE33!$N$7:$N$874,I30,BS_RE33!$P$7:$P$874,'30 days CF Table(AUD)'!G30,BS_RE33!$F$7:$F$874,'30 days CF Table(AUD)'!$C$2)</f>
        <v>0</v>
      </c>
      <c r="AE30" s="337">
        <f>SUMIFS(BS_RE33!$H$7:$H$874,BS_RE33!$S$7:$S$874,$AE$2,BS_RE33!$N$7:$N$874,I30,BS_RE33!$P$7:$P$874,'30 days CF Table(AUD)'!G30,BS_RE33!$F$7:$F$874,'30 days CF Table(AUD)'!$C$2)</f>
        <v>0</v>
      </c>
      <c r="AF30" s="337">
        <f>SUMIFS(BS_RE33!$H$7:$H$874,BS_RE33!$S$7:$S$874,$AF$2,BS_RE33!$N$7:$N$874,I30,BS_RE33!$P$7:$P$874,'30 days CF Table(AUD)'!G30,BS_RE33!$F$7:$F$874,'30 days CF Table(AUD)'!$C$2)</f>
        <v>0</v>
      </c>
      <c r="AG30" s="337">
        <f>SUMIFS(BS_RE33!$H$7:$H$874,BS_RE33!$S$7:$S$874,$AG$2,BS_RE33!$N$7:$N$874,I30,BS_RE33!$P$7:$P$874,'30 days CF Table(AUD)'!G30,BS_RE33!$F$7:$F$874,'30 days CF Table(AUD)'!$C$2)</f>
        <v>0</v>
      </c>
      <c r="AH30" s="337">
        <f>SUMIFS(BS_RE33!$H$7:$H$874,BS_RE33!$S$7:$S$874,$AH$2,BS_RE33!$N$7:$N$874,I30,BS_RE33!$P$7:$P$874,'30 days CF Table(AUD)'!G30,BS_RE33!$F$7:$F$874,'30 days CF Table(AUD)'!$C$2)</f>
        <v>0</v>
      </c>
      <c r="AI30" s="337">
        <f>SUMIFS(BS_RE33!$H$7:$H$874,BS_RE33!$S$7:$S$874,$AI$2,BS_RE33!$N$7:$N$874,I30,BS_RE33!$P$7:$P$874,'30 days CF Table(AUD)'!G30,BS_RE33!$F$7:$F$874,'30 days CF Table(AUD)'!$C$2)</f>
        <v>0</v>
      </c>
      <c r="AJ30" s="337">
        <f>SUMIFS(BS_RE33!$H$7:$H$874,BS_RE33!$S$7:$S$874,$AJ$2,BS_RE33!$N$7:$N$874,I30,BS_RE33!$P$7:$P$874,'30 days CF Table(AUD)'!G30,BS_RE33!$F$7:$F$874,'30 days CF Table(AUD)'!$C$2)</f>
        <v>0</v>
      </c>
      <c r="AK30" s="337">
        <f>SUMIFS(BS_RE33!$H$7:$H$874,BS_RE33!$S$7:$S$874,$AK$2,BS_RE33!$N$7:$N$874,I30,BS_RE33!$P$7:$P$874,'30 days CF Table(AUD)'!G30,BS_RE33!$F$7:$F$874,'30 days CF Table(AUD)'!$C$2)</f>
        <v>0</v>
      </c>
      <c r="AL30" s="337">
        <f>SUMIFS(BS_RE33!$H$7:$H$874,BS_RE33!$S$7:$S$874,$AL$2,BS_RE33!$N$7:$N$874,I30,BS_RE33!$P$7:$P$874,'30 days CF Table(AUD)'!G30,BS_RE33!$F$7:$F$874,'30 days CF Table(AUD)'!$C$2)</f>
        <v>0</v>
      </c>
      <c r="AM30" s="337">
        <f>SUMIFS(BS_RE33!$H$7:$H$874,BS_RE33!$S$7:$S$874,$AM$2,BS_RE33!$N$7:$N$874,I30,BS_RE33!$P$7:$P$874,'30 days CF Table(AUD)'!G30,BS_RE33!$F$7:$F$874,'30 days CF Table(AUD)'!$C$2)</f>
        <v>0</v>
      </c>
      <c r="AN30" s="337">
        <f>SUMIFS(BS_RE33!$H$7:$H$874,BS_RE33!$S$7:$S$874,$AN$2,BS_RE33!$N$7:$N$874,I30,BS_RE33!$P$7:$P$874,'30 days CF Table(AUD)'!G30,BS_RE33!$F$7:$F$874,'30 days CF Table(AUD)'!$C$2)</f>
        <v>0</v>
      </c>
      <c r="AO30" s="337">
        <f>SUMIFS(BS_RE33!$H$7:$H$874,BS_RE33!$S$7:$S$874,$AO$2,BS_RE33!$N$7:$N$874,I30,BS_RE33!$P$7:$P$874,'30 days CF Table(AUD)'!G30,BS_RE33!$F$7:$F$874,'30 days CF Table(AUD)'!$C$2)</f>
        <v>0</v>
      </c>
      <c r="AP30" s="338">
        <f>SUMIFS(BS_RE33!$H$7:$H$874,BS_RE33!$S$7:$S$874,$AP$2,BS_RE33!$N$7:$N$874,I30,BS_RE33!$P$7:$P$874,'30 days CF Table(AUD)'!G30,BS_RE33!$F$7:$F$874,'30 days CF Table(AUD)'!$C$2)</f>
        <v>0</v>
      </c>
      <c r="AR30" s="379">
        <f>SUMIFS(BS_RE33!$H$7:$H$874,BS_RE33!$S$7:$S$874,$AR$2,BS_RE33!$N$7:$N$874,I30,BS_RE33!$P$7:$P$874,'30 days CF Table(AUD)'!G30,BS_RE33!$F$7:$F$874,'30 days CF Table(AUD)'!$C$2)</f>
        <v>0</v>
      </c>
      <c r="AS30" s="379">
        <f>SUMIFS(BS_RE33!$H$7:$H$874,BS_RE33!$S$7:$S$874,$AS$2,BS_RE33!$N$7:$N$874,I30,BS_RE33!$P$7:$P$874,'30 days CF Table(AUD)'!G30,BS_RE33!$F$7:$F$874,'30 days CF Table(AUD)'!$C$2)</f>
        <v>0</v>
      </c>
      <c r="AT30" s="379">
        <f>SUMIFS(BS_RE33!$H$7:$H$874,BS_RE33!$S$7:$S$874,$AT$2,BS_RE33!$N$7:$N$874,I30,BS_RE33!$P$7:$P$874,'30 days CF Table(AUD)'!G30,BS_RE33!$F$7:$F$874,'30 days CF Table(AUD)'!$C$2)</f>
        <v>0</v>
      </c>
      <c r="AU30" s="379">
        <f>SUMIFS(BS_RE33!$H$7:$H$874,BS_RE33!$S$7:$S$874,$AU$2,BS_RE33!$N$7:$N$874,I30,BS_RE33!$P$7:$P$874,'30 days CF Table(AUD)'!G30,BS_RE33!$F$7:$F$874,'30 days CF Table(AUD)'!$C$2)</f>
        <v>0</v>
      </c>
      <c r="AV30" s="379">
        <f>SUMIFS(BS_RE33!$H$7:$H$874,BS_RE33!$S$7:$S$874,$AV$2,BS_RE33!$N$7:$N$874,I30,BS_RE33!$P$7:$P$874,'30 days CF Table(AUD)'!G30,BS_RE33!$F$7:$F$874,'30 days CF Table(AUD)'!$C$2)</f>
        <v>0</v>
      </c>
      <c r="AW30" s="379">
        <f>SUMIFS(BS_RE33!$H$7:$H$874,BS_RE33!$S$7:$S$874,$AW$2,BS_RE33!$N$7:$N$874,I30,BS_RE33!$P$7:$P$874,'30 days CF Table(AUD)'!G30,BS_RE33!$F$7:$F$874,'30 days CF Table(AUD)'!$C$2)</f>
        <v>0</v>
      </c>
      <c r="AX30" s="379">
        <f>SUMIFS(BS_RE33!$H$7:$H$874,BS_RE33!$S$7:$S$874,$AX$2,BS_RE33!$N$7:$N$874,I30,BS_RE33!$P$7:$P$874,'30 days CF Table(AUD)'!G30,BS_RE33!$F$7:$F$874,'30 days CF Table(AUD)'!$C$2)</f>
        <v>0</v>
      </c>
      <c r="AY30" s="379">
        <f>SUMIFS(BS_RE33!$H$7:$H$874,BS_RE33!$S$7:$S$874,$AY$2,BS_RE33!$N$7:$N$874,I30,BS_RE33!$P$7:$P$874,'30 days CF Table(AUD)'!G30,BS_RE33!$F$7:$F$874,'30 days CF Table(AUD)'!$C$2)</f>
        <v>0</v>
      </c>
      <c r="AZ30" s="379">
        <f>SUMIFS(BS_RE33!$H$7:$H$874,BS_RE33!$S$7:$S$874,$AZ$2,BS_RE33!$N$7:$N$874,I30,BS_RE33!$P$7:$P$874,'30 days CF Table(AUD)'!G30,BS_RE33!$F$7:$F$874,'30 days CF Table(AUD)'!$C$2)</f>
        <v>0</v>
      </c>
      <c r="BA30" s="379">
        <f>SUMIFS(BS_RE33!$H$7:$H$874,BS_RE33!$S$7:$S$874,$BA$2,BS_RE33!$N$7:$N$874,I30,BS_RE33!$P$7:$P$874,'30 days CF Table(AUD)'!G30,BS_RE33!$F$7:$F$874,'30 days CF Table(AUD)'!$C$2)</f>
        <v>0</v>
      </c>
      <c r="BB30" s="379">
        <f>SUMIFS(BS_RE33!$H$7:$H$874,BS_RE33!$S$7:$S$874,$BB$2,BS_RE33!$N$7:$N$874,I30,BS_RE33!$P$7:$P$874,'30 days CF Table(AUD)'!G30,BS_RE33!$F$7:$F$874,'30 days CF Table(AUD)'!$C$2)</f>
        <v>0</v>
      </c>
      <c r="BC30" s="379">
        <f>SUMIFS(BS_RE33!$H$7:$H$874,BS_RE33!$S$7:$S$874,$BC$2,BS_RE33!$N$7:$N$874,I30,BS_RE33!$P$7:$P$874,'30 days CF Table(AUD)'!G30,BS_RE33!$F$7:$F$874,'30 days CF Table(AUD)'!$C$2)</f>
        <v>0</v>
      </c>
      <c r="BD30" s="379">
        <f>SUMIFS(BS_RE33!$H$7:$H$874,BS_RE33!$S$7:$S$874,$BD$2,BS_RE33!$N$7:$N$874,I30,BS_RE33!$P$7:$P$874,'30 days CF Table(AUD)'!G30,BS_RE33!$F$7:$F$874,'30 days CF Table(AUD)'!$C$2)</f>
        <v>0</v>
      </c>
      <c r="BE30" s="379">
        <f>SUMIFS(BS_RE33!$H$7:$H$874,BS_RE33!$S$7:$S$874,$BE$2,BS_RE33!$N$7:$N$874,I30,BS_RE33!$P$7:$P$874,'30 days CF Table(AUD)'!G30,BS_RE33!$F$7:$F$874,'30 days CF Table(AUD)'!$C$2)</f>
        <v>0</v>
      </c>
      <c r="BF30" s="379">
        <f>SUMIFS(BS_RE33!$H$7:$H$874,BS_RE33!$S$7:$S$874,$BF$2,BS_RE33!$N$7:$N$874,I30,BS_RE33!$P$7:$P$874,'30 days CF Table(AUD)'!G30,BS_RE33!$F$7:$F$874,'30 days CF Table(AUD)'!$C$2)</f>
        <v>0</v>
      </c>
      <c r="BG30" s="379">
        <f>SUMIFS(BS_RE33!$H$7:$H$874,BS_RE33!$S$7:$S$874,$BG$2,BS_RE33!$N$7:$N$874,I30,BS_RE33!$P$7:$P$874,'30 days CF Table(AUD)'!G30,BS_RE33!$F$7:$F$874,'30 days CF Table(AUD)'!$C$2)</f>
        <v>0</v>
      </c>
      <c r="BH30" s="379">
        <f>SUMIFS(BS_RE33!$H$7:$H$874,BS_RE33!$S$7:$S$874,$BH$2,BS_RE33!$N$7:$N$874,I30,BS_RE33!$P$7:$P$874,'30 days CF Table(AUD)'!G30,BS_RE33!$F$7:$F$874,'30 days CF Table(AUD)'!$C$2)</f>
        <v>0</v>
      </c>
      <c r="BI30" s="379">
        <f>SUMIFS(BS_RE33!$H$7:$H$874,BS_RE33!$S$7:$S$874,$BI$2,BS_RE33!$N$7:$N$874,I30,BS_RE33!$P$7:$P$874,'30 days CF Table(AUD)'!G30,BS_RE33!$F$7:$F$874,'30 days CF Table(AUD)'!$C$2)</f>
        <v>0</v>
      </c>
      <c r="BJ30" s="379">
        <f>SUMIFS(BS_RE33!$H$7:$H$874,BS_RE33!$S$7:$S$874,$BJ$2,BS_RE33!$N$7:$N$874,I30,BS_RE33!$P$7:$P$874,'30 days CF Table(AUD)'!G30,BS_RE33!$F$7:$F$874,'30 days CF Table(AUD)'!$C$2)</f>
        <v>0</v>
      </c>
      <c r="BK30" s="379">
        <f>SUMIFS(BS_RE33!$H$7:$H$874,BS_RE33!$S$7:$S$874,$BK$2,BS_RE33!$N$7:$N$874,I30,BS_RE33!$P$7:$P$874,'30 days CF Table(AUD)'!G30,BS_RE33!$F$7:$F$874,'30 days CF Table(AUD)'!$C$2)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Table(AUD)'!G31,BS_RE33!$F$7:$F$874,'30 days CF Table(AUD)'!$C$2)</f>
        <v>0</v>
      </c>
      <c r="M31" s="337">
        <f>SUMIFS(BS_RE33!$H$7:$H$874,BS_RE33!$S$7:$S$874,$M$2,BS_RE33!$N$7:$N$874,I31,BS_RE33!$P$7:$P$874,'30 days CF Table(AUD)'!G31,BS_RE33!$F$7:$F$874,'30 days CF Table(AUD)'!$C$2)</f>
        <v>0</v>
      </c>
      <c r="N31" s="337">
        <f>SUMIFS(BS_RE33!$H$7:$H$874,BS_RE33!$S$7:$S$874,$N$2,BS_RE33!$N$7:$N$874,I31,BS_RE33!$P$7:$P$874,'30 days CF Table(AUD)'!G31,BS_RE33!$F$7:$F$874,'30 days CF Table(AUD)'!$C$2)</f>
        <v>0</v>
      </c>
      <c r="O31" s="337">
        <f>SUMIFS(BS_RE33!$H$7:$H$874,BS_RE33!$S$7:$S$874,$O$2,BS_RE33!$N$7:$N$874,I31,BS_RE33!$P$7:$P$874,'30 days CF Table(AUD)'!G31,BS_RE33!$F$7:$F$874,'30 days CF Table(AUD)'!$C$2)</f>
        <v>0</v>
      </c>
      <c r="P31" s="337">
        <f>SUMIFS(BS_RE33!$H$7:$H$874,BS_RE33!$S$7:$S$874,$P$2,BS_RE33!$N$7:$N$874,I31,BS_RE33!$P$7:$P$874,'30 days CF Table(AUD)'!G31,BS_RE33!$F$7:$F$874,'30 days CF Table(AUD)'!$C$2)</f>
        <v>0</v>
      </c>
      <c r="Q31" s="337">
        <f>SUMIFS(BS_RE33!$H$7:$H$874,BS_RE33!$S$7:$S$874,$Q$2,BS_RE33!$N$7:$N$874,I31,BS_RE33!$P$7:$P$874,'30 days CF Table(AUD)'!G31,BS_RE33!$F$7:$F$874,'30 days CF Table(AUD)'!$C$2)</f>
        <v>0</v>
      </c>
      <c r="R31" s="337">
        <f>SUMIFS(BS_RE33!$H$7:$H$874,BS_RE33!$S$7:$S$874,$R$2,BS_RE33!$N$7:$N$874,I31,BS_RE33!$P$7:$P$874,'30 days CF Table(AUD)'!G31,BS_RE33!$F$7:$F$874,'30 days CF Table(AUD)'!$C$2)</f>
        <v>0</v>
      </c>
      <c r="S31" s="337">
        <f>SUMIFS(BS_RE33!$H$7:$H$874,BS_RE33!$S$7:$S$874,$S$2,BS_RE33!$N$7:$N$874,I31,BS_RE33!$P$7:$P$874,'30 days CF Table(AUD)'!G31,BS_RE33!$F$7:$F$874,'30 days CF Table(AUD)'!$C$2)</f>
        <v>0</v>
      </c>
      <c r="T31" s="337">
        <f>SUMIFS(BS_RE33!$H$7:$H$874,BS_RE33!$S$7:$S$874,$T$2,BS_RE33!$N$7:$N$874,I31,BS_RE33!$P$7:$P$874,'30 days CF Table(AUD)'!G31,BS_RE33!$F$7:$F$874,'30 days CF Table(AUD)'!$C$2)</f>
        <v>0</v>
      </c>
      <c r="U31" s="337">
        <f>SUMIFS(BS_RE33!$H$7:$H$874,BS_RE33!$S$7:$S$874,$U$2,BS_RE33!$N$7:$N$874,I31,BS_RE33!$P$7:$P$874,'30 days CF Table(AUD)'!G31,BS_RE33!$F$7:$F$874,'30 days CF Table(AUD)'!$C$2)</f>
        <v>0</v>
      </c>
      <c r="V31" s="337">
        <f>SUMIFS(BS_RE33!$H$7:$H$874,BS_RE33!$S$7:$S$874,$V$2,BS_RE33!$N$7:$N$874,I31,BS_RE33!$P$7:$P$874,'30 days CF Table(AUD)'!G31,BS_RE33!$F$7:$F$874,'30 days CF Table(AUD)'!$C$2)</f>
        <v>0</v>
      </c>
      <c r="W31" s="337">
        <f>SUMIFS(BS_RE33!$H$7:$H$874,BS_RE33!$S$7:$S$874,$W$2,BS_RE33!$N$7:$N$874,I31,BS_RE33!$P$7:$P$874,'30 days CF Table(AUD)'!G31,BS_RE33!$F$7:$F$874,'30 days CF Table(AUD)'!$C$2)</f>
        <v>0</v>
      </c>
      <c r="X31" s="337">
        <f>SUMIFS(BS_RE33!$H$7:$H$874,BS_RE33!$S$7:$S$874,$X$2,BS_RE33!$N$7:$N$874,I31,BS_RE33!$P$7:$P$874,'30 days CF Table(AUD)'!G31,BS_RE33!$F$7:$F$874,'30 days CF Table(AUD)'!$C$2)</f>
        <v>0</v>
      </c>
      <c r="Y31" s="337">
        <f>SUMIFS(BS_RE33!$H$7:$H$874,BS_RE33!$S$7:$S$874,$Y$2,BS_RE33!$N$7:$N$874,I31,BS_RE33!$P$7:$P$874,'30 days CF Table(AUD)'!G31,BS_RE33!$F$7:$F$874,'30 days CF Table(AUD)'!$C$2)</f>
        <v>0</v>
      </c>
      <c r="Z31" s="337">
        <f>SUMIFS(BS_RE33!$H$7:$H$874,BS_RE33!$S$7:$S$874,$Z$2,BS_RE33!$N$7:$N$874,I31,BS_RE33!$P$7:$P$874,'30 days CF Table(AUD)'!G31,BS_RE33!$F$7:$F$874,'30 days CF Table(AUD)'!$C$2)</f>
        <v>0</v>
      </c>
      <c r="AA31" s="337">
        <f>SUMIFS(BS_RE33!$H$7:$H$874,BS_RE33!$S$7:$S$874,$AA$2,BS_RE33!$N$7:$N$874,I31,BS_RE33!$P$7:$P$874,'30 days CF Table(AUD)'!G31,BS_RE33!$F$7:$F$874,'30 days CF Table(AUD)'!$C$2)</f>
        <v>0</v>
      </c>
      <c r="AB31" s="337">
        <f>SUMIFS(BS_RE33!$H$7:$H$874,BS_RE33!$S$7:$S$874,$AB$2,BS_RE33!$N$7:$N$874,I31,BS_RE33!$P$7:$P$874,'30 days CF Table(AUD)'!G31,BS_RE33!$F$7:$F$874,'30 days CF Table(AUD)'!$C$2)</f>
        <v>0</v>
      </c>
      <c r="AC31" s="337">
        <f>SUMIFS(BS_RE33!$H$7:$H$874,BS_RE33!$S$7:$S$874,$AC$2,BS_RE33!$N$7:$N$874,I31,BS_RE33!$P$7:$P$874,'30 days CF Table(AUD)'!G31,BS_RE33!$F$7:$F$874,'30 days CF Table(AUD)'!$C$2)</f>
        <v>0</v>
      </c>
      <c r="AD31" s="337">
        <f>SUMIFS(BS_RE33!$H$7:$H$874,BS_RE33!$S$7:$S$874,$AD$2,BS_RE33!$N$7:$N$874,I31,BS_RE33!$P$7:$P$874,'30 days CF Table(AUD)'!G31,BS_RE33!$F$7:$F$874,'30 days CF Table(AUD)'!$C$2)</f>
        <v>0</v>
      </c>
      <c r="AE31" s="337">
        <f>SUMIFS(BS_RE33!$H$7:$H$874,BS_RE33!$S$7:$S$874,$AE$2,BS_RE33!$N$7:$N$874,I31,BS_RE33!$P$7:$P$874,'30 days CF Table(AUD)'!G31,BS_RE33!$F$7:$F$874,'30 days CF Table(AUD)'!$C$2)</f>
        <v>0</v>
      </c>
      <c r="AF31" s="337">
        <f>SUMIFS(BS_RE33!$H$7:$H$874,BS_RE33!$S$7:$S$874,$AF$2,BS_RE33!$N$7:$N$874,I31,BS_RE33!$P$7:$P$874,'30 days CF Table(AUD)'!G31,BS_RE33!$F$7:$F$874,'30 days CF Table(AUD)'!$C$2)</f>
        <v>0</v>
      </c>
      <c r="AG31" s="337">
        <f>SUMIFS(BS_RE33!$H$7:$H$874,BS_RE33!$S$7:$S$874,$AG$2,BS_RE33!$N$7:$N$874,I31,BS_RE33!$P$7:$P$874,'30 days CF Table(AUD)'!G31,BS_RE33!$F$7:$F$874,'30 days CF Table(AUD)'!$C$2)</f>
        <v>0</v>
      </c>
      <c r="AH31" s="337">
        <f>SUMIFS(BS_RE33!$H$7:$H$874,BS_RE33!$S$7:$S$874,$AH$2,BS_RE33!$N$7:$N$874,I31,BS_RE33!$P$7:$P$874,'30 days CF Table(AUD)'!G31,BS_RE33!$F$7:$F$874,'30 days CF Table(AUD)'!$C$2)</f>
        <v>0</v>
      </c>
      <c r="AI31" s="337">
        <f>SUMIFS(BS_RE33!$H$7:$H$874,BS_RE33!$S$7:$S$874,$AI$2,BS_RE33!$N$7:$N$874,I31,BS_RE33!$P$7:$P$874,'30 days CF Table(AUD)'!G31,BS_RE33!$F$7:$F$874,'30 days CF Table(AUD)'!$C$2)</f>
        <v>0</v>
      </c>
      <c r="AJ31" s="337">
        <f>SUMIFS(BS_RE33!$H$7:$H$874,BS_RE33!$S$7:$S$874,$AJ$2,BS_RE33!$N$7:$N$874,I31,BS_RE33!$P$7:$P$874,'30 days CF Table(AUD)'!G31,BS_RE33!$F$7:$F$874,'30 days CF Table(AUD)'!$C$2)</f>
        <v>0</v>
      </c>
      <c r="AK31" s="337">
        <f>SUMIFS(BS_RE33!$H$7:$H$874,BS_RE33!$S$7:$S$874,$AK$2,BS_RE33!$N$7:$N$874,I31,BS_RE33!$P$7:$P$874,'30 days CF Table(AUD)'!G31,BS_RE33!$F$7:$F$874,'30 days CF Table(AUD)'!$C$2)</f>
        <v>0</v>
      </c>
      <c r="AL31" s="337">
        <f>SUMIFS(BS_RE33!$H$7:$H$874,BS_RE33!$S$7:$S$874,$AL$2,BS_RE33!$N$7:$N$874,I31,BS_RE33!$P$7:$P$874,'30 days CF Table(AUD)'!G31,BS_RE33!$F$7:$F$874,'30 days CF Table(AUD)'!$C$2)</f>
        <v>0</v>
      </c>
      <c r="AM31" s="337">
        <f>SUMIFS(BS_RE33!$H$7:$H$874,BS_RE33!$S$7:$S$874,$AM$2,BS_RE33!$N$7:$N$874,I31,BS_RE33!$P$7:$P$874,'30 days CF Table(AUD)'!G31,BS_RE33!$F$7:$F$874,'30 days CF Table(AUD)'!$C$2)</f>
        <v>0</v>
      </c>
      <c r="AN31" s="337">
        <f>SUMIFS(BS_RE33!$H$7:$H$874,BS_RE33!$S$7:$S$874,$AN$2,BS_RE33!$N$7:$N$874,I31,BS_RE33!$P$7:$P$874,'30 days CF Table(AUD)'!G31,BS_RE33!$F$7:$F$874,'30 days CF Table(AUD)'!$C$2)</f>
        <v>0</v>
      </c>
      <c r="AO31" s="337">
        <f>SUMIFS(BS_RE33!$H$7:$H$874,BS_RE33!$S$7:$S$874,$AO$2,BS_RE33!$N$7:$N$874,I31,BS_RE33!$P$7:$P$874,'30 days CF Table(AUD)'!G31,BS_RE33!$F$7:$F$874,'30 days CF Table(AUD)'!$C$2)</f>
        <v>0</v>
      </c>
      <c r="AP31" s="338">
        <f>SUMIFS(BS_RE33!$H$7:$H$874,BS_RE33!$S$7:$S$874,$AP$2,BS_RE33!$N$7:$N$874,I31,BS_RE33!$P$7:$P$874,'30 days CF Table(AUD)'!G31,BS_RE33!$F$7:$F$874,'30 days CF Table(AUD)'!$C$2)</f>
        <v>0</v>
      </c>
      <c r="AR31" s="379">
        <f>SUMIFS(BS_RE33!$H$7:$H$874,BS_RE33!$S$7:$S$874,$AR$2,BS_RE33!$N$7:$N$874,I31,BS_RE33!$P$7:$P$874,'30 days CF Table(AUD)'!G31,BS_RE33!$F$7:$F$874,'30 days CF Table(AUD)'!$C$2)</f>
        <v>0</v>
      </c>
      <c r="AS31" s="379">
        <f>SUMIFS(BS_RE33!$H$7:$H$874,BS_RE33!$S$7:$S$874,$AS$2,BS_RE33!$N$7:$N$874,I31,BS_RE33!$P$7:$P$874,'30 days CF Table(AUD)'!G31,BS_RE33!$F$7:$F$874,'30 days CF Table(AUD)'!$C$2)</f>
        <v>0</v>
      </c>
      <c r="AT31" s="379">
        <f>SUMIFS(BS_RE33!$H$7:$H$874,BS_RE33!$S$7:$S$874,$AT$2,BS_RE33!$N$7:$N$874,I31,BS_RE33!$P$7:$P$874,'30 days CF Table(AUD)'!G31,BS_RE33!$F$7:$F$874,'30 days CF Table(AUD)'!$C$2)</f>
        <v>0</v>
      </c>
      <c r="AU31" s="379">
        <f>SUMIFS(BS_RE33!$H$7:$H$874,BS_RE33!$S$7:$S$874,$AU$2,BS_RE33!$N$7:$N$874,I31,BS_RE33!$P$7:$P$874,'30 days CF Table(AUD)'!G31,BS_RE33!$F$7:$F$874,'30 days CF Table(AUD)'!$C$2)</f>
        <v>0</v>
      </c>
      <c r="AV31" s="379">
        <f>SUMIFS(BS_RE33!$H$7:$H$874,BS_RE33!$S$7:$S$874,$AV$2,BS_RE33!$N$7:$N$874,I31,BS_RE33!$P$7:$P$874,'30 days CF Table(AUD)'!G31,BS_RE33!$F$7:$F$874,'30 days CF Table(AUD)'!$C$2)</f>
        <v>0</v>
      </c>
      <c r="AW31" s="379">
        <f>SUMIFS(BS_RE33!$H$7:$H$874,BS_RE33!$S$7:$S$874,$AW$2,BS_RE33!$N$7:$N$874,I31,BS_RE33!$P$7:$P$874,'30 days CF Table(AUD)'!G31,BS_RE33!$F$7:$F$874,'30 days CF Table(AUD)'!$C$2)</f>
        <v>0</v>
      </c>
      <c r="AX31" s="379">
        <f>SUMIFS(BS_RE33!$H$7:$H$874,BS_RE33!$S$7:$S$874,$AX$2,BS_RE33!$N$7:$N$874,I31,BS_RE33!$P$7:$P$874,'30 days CF Table(AUD)'!G31,BS_RE33!$F$7:$F$874,'30 days CF Table(AUD)'!$C$2)</f>
        <v>0</v>
      </c>
      <c r="AY31" s="379">
        <f>SUMIFS(BS_RE33!$H$7:$H$874,BS_RE33!$S$7:$S$874,$AY$2,BS_RE33!$N$7:$N$874,I31,BS_RE33!$P$7:$P$874,'30 days CF Table(AUD)'!G31,BS_RE33!$F$7:$F$874,'30 days CF Table(AUD)'!$C$2)</f>
        <v>0</v>
      </c>
      <c r="AZ31" s="379">
        <f>SUMIFS(BS_RE33!$H$7:$H$874,BS_RE33!$S$7:$S$874,$AZ$2,BS_RE33!$N$7:$N$874,I31,BS_RE33!$P$7:$P$874,'30 days CF Table(AUD)'!G31,BS_RE33!$F$7:$F$874,'30 days CF Table(AUD)'!$C$2)</f>
        <v>0</v>
      </c>
      <c r="BA31" s="379">
        <f>SUMIFS(BS_RE33!$H$7:$H$874,BS_RE33!$S$7:$S$874,$BA$2,BS_RE33!$N$7:$N$874,I31,BS_RE33!$P$7:$P$874,'30 days CF Table(AUD)'!G31,BS_RE33!$F$7:$F$874,'30 days CF Table(AUD)'!$C$2)</f>
        <v>0</v>
      </c>
      <c r="BB31" s="379">
        <f>SUMIFS(BS_RE33!$H$7:$H$874,BS_RE33!$S$7:$S$874,$BB$2,BS_RE33!$N$7:$N$874,I31,BS_RE33!$P$7:$P$874,'30 days CF Table(AUD)'!G31,BS_RE33!$F$7:$F$874,'30 days CF Table(AUD)'!$C$2)</f>
        <v>0</v>
      </c>
      <c r="BC31" s="379">
        <f>SUMIFS(BS_RE33!$H$7:$H$874,BS_RE33!$S$7:$S$874,$BC$2,BS_RE33!$N$7:$N$874,I31,BS_RE33!$P$7:$P$874,'30 days CF Table(AUD)'!G31,BS_RE33!$F$7:$F$874,'30 days CF Table(AUD)'!$C$2)</f>
        <v>0</v>
      </c>
      <c r="BD31" s="379">
        <f>SUMIFS(BS_RE33!$H$7:$H$874,BS_RE33!$S$7:$S$874,$BD$2,BS_RE33!$N$7:$N$874,I31,BS_RE33!$P$7:$P$874,'30 days CF Table(AUD)'!G31,BS_RE33!$F$7:$F$874,'30 days CF Table(AUD)'!$C$2)</f>
        <v>0</v>
      </c>
      <c r="BE31" s="379">
        <f>SUMIFS(BS_RE33!$H$7:$H$874,BS_RE33!$S$7:$S$874,$BE$2,BS_RE33!$N$7:$N$874,I31,BS_RE33!$P$7:$P$874,'30 days CF Table(AUD)'!G31,BS_RE33!$F$7:$F$874,'30 days CF Table(AUD)'!$C$2)</f>
        <v>0</v>
      </c>
      <c r="BF31" s="379">
        <f>SUMIFS(BS_RE33!$H$7:$H$874,BS_RE33!$S$7:$S$874,$BF$2,BS_RE33!$N$7:$N$874,I31,BS_RE33!$P$7:$P$874,'30 days CF Table(AUD)'!G31,BS_RE33!$F$7:$F$874,'30 days CF Table(AUD)'!$C$2)</f>
        <v>0</v>
      </c>
      <c r="BG31" s="379">
        <f>SUMIFS(BS_RE33!$H$7:$H$874,BS_RE33!$S$7:$S$874,$BG$2,BS_RE33!$N$7:$N$874,I31,BS_RE33!$P$7:$P$874,'30 days CF Table(AUD)'!G31,BS_RE33!$F$7:$F$874,'30 days CF Table(AUD)'!$C$2)</f>
        <v>0</v>
      </c>
      <c r="BH31" s="379">
        <f>SUMIFS(BS_RE33!$H$7:$H$874,BS_RE33!$S$7:$S$874,$BH$2,BS_RE33!$N$7:$N$874,I31,BS_RE33!$P$7:$P$874,'30 days CF Table(AUD)'!G31,BS_RE33!$F$7:$F$874,'30 days CF Table(AUD)'!$C$2)</f>
        <v>0</v>
      </c>
      <c r="BI31" s="379">
        <f>SUMIFS(BS_RE33!$H$7:$H$874,BS_RE33!$S$7:$S$874,$BI$2,BS_RE33!$N$7:$N$874,I31,BS_RE33!$P$7:$P$874,'30 days CF Table(AUD)'!G31,BS_RE33!$F$7:$F$874,'30 days CF Table(AUD)'!$C$2)</f>
        <v>0</v>
      </c>
      <c r="BJ31" s="379">
        <f>SUMIFS(BS_RE33!$H$7:$H$874,BS_RE33!$S$7:$S$874,$BJ$2,BS_RE33!$N$7:$N$874,I31,BS_RE33!$P$7:$P$874,'30 days CF Table(AUD)'!G31,BS_RE33!$F$7:$F$874,'30 days CF Table(AUD)'!$C$2)</f>
        <v>0</v>
      </c>
      <c r="BK31" s="379">
        <f>SUMIFS(BS_RE33!$H$7:$H$874,BS_RE33!$S$7:$S$874,$BK$2,BS_RE33!$N$7:$N$874,I31,BS_RE33!$P$7:$P$874,'30 days CF Table(AUD)'!G31,BS_RE33!$F$7:$F$874,'30 days CF Table(AUD)'!$C$2)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Table(AUD)'!G32,BS_RE33!$F$7:$F$874,'30 days CF Table(AUD)'!$C$2)</f>
        <v>0</v>
      </c>
      <c r="M32" s="337">
        <f>SUMIFS(BS_RE33!$H$7:$H$874,BS_RE33!$S$7:$S$874,$M$2,BS_RE33!$N$7:$N$874,I32,BS_RE33!$P$7:$P$874,'30 days CF Table(AUD)'!G32,BS_RE33!$F$7:$F$874,'30 days CF Table(AUD)'!$C$2)</f>
        <v>0</v>
      </c>
      <c r="N32" s="337">
        <f>SUMIFS(BS_RE33!$H$7:$H$874,BS_RE33!$S$7:$S$874,$N$2,BS_RE33!$N$7:$N$874,I32,BS_RE33!$P$7:$P$874,'30 days CF Table(AUD)'!G32,BS_RE33!$F$7:$F$874,'30 days CF Table(AUD)'!$C$2)</f>
        <v>0</v>
      </c>
      <c r="O32" s="337">
        <f>SUMIFS(BS_RE33!$H$7:$H$874,BS_RE33!$S$7:$S$874,$O$2,BS_RE33!$N$7:$N$874,I32,BS_RE33!$P$7:$P$874,'30 days CF Table(AUD)'!G32,BS_RE33!$F$7:$F$874,'30 days CF Table(AUD)'!$C$2)</f>
        <v>0</v>
      </c>
      <c r="P32" s="337">
        <f>SUMIFS(BS_RE33!$H$7:$H$874,BS_RE33!$S$7:$S$874,$P$2,BS_RE33!$N$7:$N$874,I32,BS_RE33!$P$7:$P$874,'30 days CF Table(AUD)'!G32,BS_RE33!$F$7:$F$874,'30 days CF Table(AUD)'!$C$2)</f>
        <v>0</v>
      </c>
      <c r="Q32" s="337">
        <f>SUMIFS(BS_RE33!$H$7:$H$874,BS_RE33!$S$7:$S$874,$Q$2,BS_RE33!$N$7:$N$874,I32,BS_RE33!$P$7:$P$874,'30 days CF Table(AUD)'!G32,BS_RE33!$F$7:$F$874,'30 days CF Table(AUD)'!$C$2)</f>
        <v>0</v>
      </c>
      <c r="R32" s="337">
        <f>SUMIFS(BS_RE33!$H$7:$H$874,BS_RE33!$S$7:$S$874,$R$2,BS_RE33!$N$7:$N$874,I32,BS_RE33!$P$7:$P$874,'30 days CF Table(AUD)'!G32,BS_RE33!$F$7:$F$874,'30 days CF Table(AUD)'!$C$2)</f>
        <v>0</v>
      </c>
      <c r="S32" s="337">
        <f>SUMIFS(BS_RE33!$H$7:$H$874,BS_RE33!$S$7:$S$874,$S$2,BS_RE33!$N$7:$N$874,I32,BS_RE33!$P$7:$P$874,'30 days CF Table(AUD)'!G32,BS_RE33!$F$7:$F$874,'30 days CF Table(AUD)'!$C$2)</f>
        <v>0</v>
      </c>
      <c r="T32" s="337">
        <f>SUMIFS(BS_RE33!$H$7:$H$874,BS_RE33!$S$7:$S$874,$T$2,BS_RE33!$N$7:$N$874,I32,BS_RE33!$P$7:$P$874,'30 days CF Table(AUD)'!G32,BS_RE33!$F$7:$F$874,'30 days CF Table(AUD)'!$C$2)</f>
        <v>0</v>
      </c>
      <c r="U32" s="337">
        <f>SUMIFS(BS_RE33!$H$7:$H$874,BS_RE33!$S$7:$S$874,$U$2,BS_RE33!$N$7:$N$874,I32,BS_RE33!$P$7:$P$874,'30 days CF Table(AUD)'!G32,BS_RE33!$F$7:$F$874,'30 days CF Table(AUD)'!$C$2)</f>
        <v>0</v>
      </c>
      <c r="V32" s="337">
        <f>SUMIFS(BS_RE33!$H$7:$H$874,BS_RE33!$S$7:$S$874,$V$2,BS_RE33!$N$7:$N$874,I32,BS_RE33!$P$7:$P$874,'30 days CF Table(AUD)'!G32,BS_RE33!$F$7:$F$874,'30 days CF Table(AUD)'!$C$2)</f>
        <v>0</v>
      </c>
      <c r="W32" s="337">
        <f>SUMIFS(BS_RE33!$H$7:$H$874,BS_RE33!$S$7:$S$874,$W$2,BS_RE33!$N$7:$N$874,I32,BS_RE33!$P$7:$P$874,'30 days CF Table(AUD)'!G32,BS_RE33!$F$7:$F$874,'30 days CF Table(AUD)'!$C$2)</f>
        <v>0</v>
      </c>
      <c r="X32" s="337">
        <f>SUMIFS(BS_RE33!$H$7:$H$874,BS_RE33!$S$7:$S$874,$X$2,BS_RE33!$N$7:$N$874,I32,BS_RE33!$P$7:$P$874,'30 days CF Table(AUD)'!G32,BS_RE33!$F$7:$F$874,'30 days CF Table(AUD)'!$C$2)</f>
        <v>0</v>
      </c>
      <c r="Y32" s="337">
        <f>SUMIFS(BS_RE33!$H$7:$H$874,BS_RE33!$S$7:$S$874,$Y$2,BS_RE33!$N$7:$N$874,I32,BS_RE33!$P$7:$P$874,'30 days CF Table(AUD)'!G32,BS_RE33!$F$7:$F$874,'30 days CF Table(AUD)'!$C$2)</f>
        <v>0</v>
      </c>
      <c r="Z32" s="337">
        <f>SUMIFS(BS_RE33!$H$7:$H$874,BS_RE33!$S$7:$S$874,$Z$2,BS_RE33!$N$7:$N$874,I32,BS_RE33!$P$7:$P$874,'30 days CF Table(AUD)'!G32,BS_RE33!$F$7:$F$874,'30 days CF Table(AUD)'!$C$2)</f>
        <v>0</v>
      </c>
      <c r="AA32" s="337">
        <f>SUMIFS(BS_RE33!$H$7:$H$874,BS_RE33!$S$7:$S$874,$AA$2,BS_RE33!$N$7:$N$874,I32,BS_RE33!$P$7:$P$874,'30 days CF Table(AUD)'!G32,BS_RE33!$F$7:$F$874,'30 days CF Table(AUD)'!$C$2)</f>
        <v>0</v>
      </c>
      <c r="AB32" s="337">
        <f>SUMIFS(BS_RE33!$H$7:$H$874,BS_RE33!$S$7:$S$874,$AB$2,BS_RE33!$N$7:$N$874,I32,BS_RE33!$P$7:$P$874,'30 days CF Table(AUD)'!G32,BS_RE33!$F$7:$F$874,'30 days CF Table(AUD)'!$C$2)</f>
        <v>0</v>
      </c>
      <c r="AC32" s="337">
        <f>SUMIFS(BS_RE33!$H$7:$H$874,BS_RE33!$S$7:$S$874,$AC$2,BS_RE33!$N$7:$N$874,I32,BS_RE33!$P$7:$P$874,'30 days CF Table(AUD)'!G32,BS_RE33!$F$7:$F$874,'30 days CF Table(AUD)'!$C$2)</f>
        <v>0</v>
      </c>
      <c r="AD32" s="337">
        <f>SUMIFS(BS_RE33!$H$7:$H$874,BS_RE33!$S$7:$S$874,$AD$2,BS_RE33!$N$7:$N$874,I32,BS_RE33!$P$7:$P$874,'30 days CF Table(AUD)'!G32,BS_RE33!$F$7:$F$874,'30 days CF Table(AUD)'!$C$2)</f>
        <v>0</v>
      </c>
      <c r="AE32" s="337">
        <f>SUMIFS(BS_RE33!$H$7:$H$874,BS_RE33!$S$7:$S$874,$AE$2,BS_RE33!$N$7:$N$874,I32,BS_RE33!$P$7:$P$874,'30 days CF Table(AUD)'!G32,BS_RE33!$F$7:$F$874,'30 days CF Table(AUD)'!$C$2)</f>
        <v>0</v>
      </c>
      <c r="AF32" s="337">
        <f>SUMIFS(BS_RE33!$H$7:$H$874,BS_RE33!$S$7:$S$874,$AF$2,BS_RE33!$N$7:$N$874,I32,BS_RE33!$P$7:$P$874,'30 days CF Table(AUD)'!G32,BS_RE33!$F$7:$F$874,'30 days CF Table(AUD)'!$C$2)</f>
        <v>0</v>
      </c>
      <c r="AG32" s="337">
        <f>SUMIFS(BS_RE33!$H$7:$H$874,BS_RE33!$S$7:$S$874,$AG$2,BS_RE33!$N$7:$N$874,I32,BS_RE33!$P$7:$P$874,'30 days CF Table(AUD)'!G32,BS_RE33!$F$7:$F$874,'30 days CF Table(AUD)'!$C$2)</f>
        <v>0</v>
      </c>
      <c r="AH32" s="337">
        <f>SUMIFS(BS_RE33!$H$7:$H$874,BS_RE33!$S$7:$S$874,$AH$2,BS_RE33!$N$7:$N$874,I32,BS_RE33!$P$7:$P$874,'30 days CF Table(AUD)'!G32,BS_RE33!$F$7:$F$874,'30 days CF Table(AUD)'!$C$2)</f>
        <v>0</v>
      </c>
      <c r="AI32" s="337">
        <f>SUMIFS(BS_RE33!$H$7:$H$874,BS_RE33!$S$7:$S$874,$AI$2,BS_RE33!$N$7:$N$874,I32,BS_RE33!$P$7:$P$874,'30 days CF Table(AUD)'!G32,BS_RE33!$F$7:$F$874,'30 days CF Table(AUD)'!$C$2)</f>
        <v>0</v>
      </c>
      <c r="AJ32" s="337">
        <f>SUMIFS(BS_RE33!$H$7:$H$874,BS_RE33!$S$7:$S$874,$AJ$2,BS_RE33!$N$7:$N$874,I32,BS_RE33!$P$7:$P$874,'30 days CF Table(AUD)'!G32,BS_RE33!$F$7:$F$874,'30 days CF Table(AUD)'!$C$2)</f>
        <v>0</v>
      </c>
      <c r="AK32" s="337">
        <f>SUMIFS(BS_RE33!$H$7:$H$874,BS_RE33!$S$7:$S$874,$AK$2,BS_RE33!$N$7:$N$874,I32,BS_RE33!$P$7:$P$874,'30 days CF Table(AUD)'!G32,BS_RE33!$F$7:$F$874,'30 days CF Table(AUD)'!$C$2)</f>
        <v>0</v>
      </c>
      <c r="AL32" s="337">
        <f>SUMIFS(BS_RE33!$H$7:$H$874,BS_RE33!$S$7:$S$874,$AL$2,BS_RE33!$N$7:$N$874,I32,BS_RE33!$P$7:$P$874,'30 days CF Table(AUD)'!G32,BS_RE33!$F$7:$F$874,'30 days CF Table(AUD)'!$C$2)</f>
        <v>0</v>
      </c>
      <c r="AM32" s="337">
        <f>SUMIFS(BS_RE33!$H$7:$H$874,BS_RE33!$S$7:$S$874,$AM$2,BS_RE33!$N$7:$N$874,I32,BS_RE33!$P$7:$P$874,'30 days CF Table(AUD)'!G32,BS_RE33!$F$7:$F$874,'30 days CF Table(AUD)'!$C$2)</f>
        <v>0</v>
      </c>
      <c r="AN32" s="337">
        <f>SUMIFS(BS_RE33!$H$7:$H$874,BS_RE33!$S$7:$S$874,$AN$2,BS_RE33!$N$7:$N$874,I32,BS_RE33!$P$7:$P$874,'30 days CF Table(AUD)'!G32,BS_RE33!$F$7:$F$874,'30 days CF Table(AUD)'!$C$2)</f>
        <v>0</v>
      </c>
      <c r="AO32" s="337">
        <f>SUMIFS(BS_RE33!$H$7:$H$874,BS_RE33!$S$7:$S$874,$AO$2,BS_RE33!$N$7:$N$874,I32,BS_RE33!$P$7:$P$874,'30 days CF Table(AUD)'!G32,BS_RE33!$F$7:$F$874,'30 days CF Table(AUD)'!$C$2)</f>
        <v>0</v>
      </c>
      <c r="AP32" s="338">
        <f>SUMIFS(BS_RE33!$H$7:$H$874,BS_RE33!$S$7:$S$874,$AP$2,BS_RE33!$N$7:$N$874,I32,BS_RE33!$P$7:$P$874,'30 days CF Table(AUD)'!G32,BS_RE33!$F$7:$F$874,'30 days CF Table(AUD)'!$C$2)</f>
        <v>0</v>
      </c>
      <c r="AR32" s="379">
        <f>SUMIFS(BS_RE33!$H$7:$H$874,BS_RE33!$S$7:$S$874,$AR$2,BS_RE33!$N$7:$N$874,I32,BS_RE33!$P$7:$P$874,'30 days CF Table(AUD)'!G32,BS_RE33!$F$7:$F$874,'30 days CF Table(AUD)'!$C$2)</f>
        <v>0</v>
      </c>
      <c r="AS32" s="379">
        <f>SUMIFS(BS_RE33!$H$7:$H$874,BS_RE33!$S$7:$S$874,$AS$2,BS_RE33!$N$7:$N$874,I32,BS_RE33!$P$7:$P$874,'30 days CF Table(AUD)'!G32,BS_RE33!$F$7:$F$874,'30 days CF Table(AUD)'!$C$2)</f>
        <v>0</v>
      </c>
      <c r="AT32" s="379">
        <f>SUMIFS(BS_RE33!$H$7:$H$874,BS_RE33!$S$7:$S$874,$AT$2,BS_RE33!$N$7:$N$874,I32,BS_RE33!$P$7:$P$874,'30 days CF Table(AUD)'!G32,BS_RE33!$F$7:$F$874,'30 days CF Table(AUD)'!$C$2)</f>
        <v>0</v>
      </c>
      <c r="AU32" s="379">
        <f>SUMIFS(BS_RE33!$H$7:$H$874,BS_RE33!$S$7:$S$874,$AU$2,BS_RE33!$N$7:$N$874,I32,BS_RE33!$P$7:$P$874,'30 days CF Table(AUD)'!G32,BS_RE33!$F$7:$F$874,'30 days CF Table(AUD)'!$C$2)</f>
        <v>0</v>
      </c>
      <c r="AV32" s="379">
        <f>SUMIFS(BS_RE33!$H$7:$H$874,BS_RE33!$S$7:$S$874,$AV$2,BS_RE33!$N$7:$N$874,I32,BS_RE33!$P$7:$P$874,'30 days CF Table(AUD)'!G32,BS_RE33!$F$7:$F$874,'30 days CF Table(AUD)'!$C$2)</f>
        <v>0</v>
      </c>
      <c r="AW32" s="379">
        <f>SUMIFS(BS_RE33!$H$7:$H$874,BS_RE33!$S$7:$S$874,$AW$2,BS_RE33!$N$7:$N$874,I32,BS_RE33!$P$7:$P$874,'30 days CF Table(AUD)'!G32,BS_RE33!$F$7:$F$874,'30 days CF Table(AUD)'!$C$2)</f>
        <v>0</v>
      </c>
      <c r="AX32" s="379">
        <f>SUMIFS(BS_RE33!$H$7:$H$874,BS_RE33!$S$7:$S$874,$AX$2,BS_RE33!$N$7:$N$874,I32,BS_RE33!$P$7:$P$874,'30 days CF Table(AUD)'!G32,BS_RE33!$F$7:$F$874,'30 days CF Table(AUD)'!$C$2)</f>
        <v>0</v>
      </c>
      <c r="AY32" s="379">
        <f>SUMIFS(BS_RE33!$H$7:$H$874,BS_RE33!$S$7:$S$874,$AY$2,BS_RE33!$N$7:$N$874,I32,BS_RE33!$P$7:$P$874,'30 days CF Table(AUD)'!G32,BS_RE33!$F$7:$F$874,'30 days CF Table(AUD)'!$C$2)</f>
        <v>0</v>
      </c>
      <c r="AZ32" s="379">
        <f>SUMIFS(BS_RE33!$H$7:$H$874,BS_RE33!$S$7:$S$874,$AZ$2,BS_RE33!$N$7:$N$874,I32,BS_RE33!$P$7:$P$874,'30 days CF Table(AUD)'!G32,BS_RE33!$F$7:$F$874,'30 days CF Table(AUD)'!$C$2)</f>
        <v>0</v>
      </c>
      <c r="BA32" s="379">
        <f>SUMIFS(BS_RE33!$H$7:$H$874,BS_RE33!$S$7:$S$874,$BA$2,BS_RE33!$N$7:$N$874,I32,BS_RE33!$P$7:$P$874,'30 days CF Table(AUD)'!G32,BS_RE33!$F$7:$F$874,'30 days CF Table(AUD)'!$C$2)</f>
        <v>0</v>
      </c>
      <c r="BB32" s="379">
        <f>SUMIFS(BS_RE33!$H$7:$H$874,BS_RE33!$S$7:$S$874,$BB$2,BS_RE33!$N$7:$N$874,I32,BS_RE33!$P$7:$P$874,'30 days CF Table(AUD)'!G32,BS_RE33!$F$7:$F$874,'30 days CF Table(AUD)'!$C$2)</f>
        <v>0</v>
      </c>
      <c r="BC32" s="379">
        <f>SUMIFS(BS_RE33!$H$7:$H$874,BS_RE33!$S$7:$S$874,$BC$2,BS_RE33!$N$7:$N$874,I32,BS_RE33!$P$7:$P$874,'30 days CF Table(AUD)'!G32,BS_RE33!$F$7:$F$874,'30 days CF Table(AUD)'!$C$2)</f>
        <v>0</v>
      </c>
      <c r="BD32" s="379">
        <f>SUMIFS(BS_RE33!$H$7:$H$874,BS_RE33!$S$7:$S$874,$BD$2,BS_RE33!$N$7:$N$874,I32,BS_RE33!$P$7:$P$874,'30 days CF Table(AUD)'!G32,BS_RE33!$F$7:$F$874,'30 days CF Table(AUD)'!$C$2)</f>
        <v>0</v>
      </c>
      <c r="BE32" s="379">
        <f>SUMIFS(BS_RE33!$H$7:$H$874,BS_RE33!$S$7:$S$874,$BE$2,BS_RE33!$N$7:$N$874,I32,BS_RE33!$P$7:$P$874,'30 days CF Table(AUD)'!G32,BS_RE33!$F$7:$F$874,'30 days CF Table(AUD)'!$C$2)</f>
        <v>0</v>
      </c>
      <c r="BF32" s="379">
        <f>SUMIFS(BS_RE33!$H$7:$H$874,BS_RE33!$S$7:$S$874,$BF$2,BS_RE33!$N$7:$N$874,I32,BS_RE33!$P$7:$P$874,'30 days CF Table(AUD)'!G32,BS_RE33!$F$7:$F$874,'30 days CF Table(AUD)'!$C$2)</f>
        <v>0</v>
      </c>
      <c r="BG32" s="379">
        <f>SUMIFS(BS_RE33!$H$7:$H$874,BS_RE33!$S$7:$S$874,$BG$2,BS_RE33!$N$7:$N$874,I32,BS_RE33!$P$7:$P$874,'30 days CF Table(AUD)'!G32,BS_RE33!$F$7:$F$874,'30 days CF Table(AUD)'!$C$2)</f>
        <v>0</v>
      </c>
      <c r="BH32" s="379">
        <f>SUMIFS(BS_RE33!$H$7:$H$874,BS_RE33!$S$7:$S$874,$BH$2,BS_RE33!$N$7:$N$874,I32,BS_RE33!$P$7:$P$874,'30 days CF Table(AUD)'!G32,BS_RE33!$F$7:$F$874,'30 days CF Table(AUD)'!$C$2)</f>
        <v>0</v>
      </c>
      <c r="BI32" s="379">
        <f>SUMIFS(BS_RE33!$H$7:$H$874,BS_RE33!$S$7:$S$874,$BI$2,BS_RE33!$N$7:$N$874,I32,BS_RE33!$P$7:$P$874,'30 days CF Table(AUD)'!G32,BS_RE33!$F$7:$F$874,'30 days CF Table(AUD)'!$C$2)</f>
        <v>0</v>
      </c>
      <c r="BJ32" s="379">
        <f>SUMIFS(BS_RE33!$H$7:$H$874,BS_RE33!$S$7:$S$874,$BJ$2,BS_RE33!$N$7:$N$874,I32,BS_RE33!$P$7:$P$874,'30 days CF Table(AUD)'!G32,BS_RE33!$F$7:$F$874,'30 days CF Table(AUD)'!$C$2)</f>
        <v>0</v>
      </c>
      <c r="BK32" s="379">
        <f>SUMIFS(BS_RE33!$H$7:$H$874,BS_RE33!$S$7:$S$874,$BK$2,BS_RE33!$N$7:$N$874,I32,BS_RE33!$P$7:$P$874,'30 days CF Table(AUD)'!G32,BS_RE33!$F$7:$F$874,'30 days CF Table(AUD)'!$C$2)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Table(AUD)'!G33,BS_RE33!$F$7:$F$874,'30 days CF Table(AUD)'!$C$2)</f>
        <v>0</v>
      </c>
      <c r="M33" s="337">
        <f>SUMIFS(BS_RE33!$H$7:$H$874,BS_RE33!$S$7:$S$874,$M$2,BS_RE33!$N$7:$N$874,I33,BS_RE33!$P$7:$P$874,'30 days CF Table(AUD)'!G33,BS_RE33!$F$7:$F$874,'30 days CF Table(AUD)'!$C$2)</f>
        <v>0</v>
      </c>
      <c r="N33" s="337">
        <f>SUMIFS(BS_RE33!$H$7:$H$874,BS_RE33!$S$7:$S$874,$N$2,BS_RE33!$N$7:$N$874,I33,BS_RE33!$P$7:$P$874,'30 days CF Table(AUD)'!G33,BS_RE33!$F$7:$F$874,'30 days CF Table(AUD)'!$C$2)</f>
        <v>0</v>
      </c>
      <c r="O33" s="337">
        <f>SUMIFS(BS_RE33!$H$7:$H$874,BS_RE33!$S$7:$S$874,$O$2,BS_RE33!$N$7:$N$874,I33,BS_RE33!$P$7:$P$874,'30 days CF Table(AUD)'!G33,BS_RE33!$F$7:$F$874,'30 days CF Table(AUD)'!$C$2)</f>
        <v>0</v>
      </c>
      <c r="P33" s="337">
        <f>SUMIFS(BS_RE33!$H$7:$H$874,BS_RE33!$S$7:$S$874,$P$2,BS_RE33!$N$7:$N$874,I33,BS_RE33!$P$7:$P$874,'30 days CF Table(AUD)'!G33,BS_RE33!$F$7:$F$874,'30 days CF Table(AUD)'!$C$2)</f>
        <v>0</v>
      </c>
      <c r="Q33" s="337">
        <f>SUMIFS(BS_RE33!$H$7:$H$874,BS_RE33!$S$7:$S$874,$Q$2,BS_RE33!$N$7:$N$874,I33,BS_RE33!$P$7:$P$874,'30 days CF Table(AUD)'!G33,BS_RE33!$F$7:$F$874,'30 days CF Table(AUD)'!$C$2)</f>
        <v>0</v>
      </c>
      <c r="R33" s="337">
        <f>SUMIFS(BS_RE33!$H$7:$H$874,BS_RE33!$S$7:$S$874,$R$2,BS_RE33!$N$7:$N$874,I33,BS_RE33!$P$7:$P$874,'30 days CF Table(AUD)'!G33,BS_RE33!$F$7:$F$874,'30 days CF Table(AUD)'!$C$2)</f>
        <v>0</v>
      </c>
      <c r="S33" s="337">
        <f>SUMIFS(BS_RE33!$H$7:$H$874,BS_RE33!$S$7:$S$874,$S$2,BS_RE33!$N$7:$N$874,I33,BS_RE33!$P$7:$P$874,'30 days CF Table(AUD)'!G33,BS_RE33!$F$7:$F$874,'30 days CF Table(AUD)'!$C$2)</f>
        <v>0</v>
      </c>
      <c r="T33" s="337">
        <f>SUMIFS(BS_RE33!$H$7:$H$874,BS_RE33!$S$7:$S$874,$T$2,BS_RE33!$N$7:$N$874,I33,BS_RE33!$P$7:$P$874,'30 days CF Table(AUD)'!G33,BS_RE33!$F$7:$F$874,'30 days CF Table(AUD)'!$C$2)</f>
        <v>0</v>
      </c>
      <c r="U33" s="337">
        <f>SUMIFS(BS_RE33!$H$7:$H$874,BS_RE33!$S$7:$S$874,$U$2,BS_RE33!$N$7:$N$874,I33,BS_RE33!$P$7:$P$874,'30 days CF Table(AUD)'!G33,BS_RE33!$F$7:$F$874,'30 days CF Table(AUD)'!$C$2)</f>
        <v>0</v>
      </c>
      <c r="V33" s="337">
        <f>SUMIFS(BS_RE33!$H$7:$H$874,BS_RE33!$S$7:$S$874,$V$2,BS_RE33!$N$7:$N$874,I33,BS_RE33!$P$7:$P$874,'30 days CF Table(AUD)'!G33,BS_RE33!$F$7:$F$874,'30 days CF Table(AUD)'!$C$2)</f>
        <v>0</v>
      </c>
      <c r="W33" s="337">
        <f>SUMIFS(BS_RE33!$H$7:$H$874,BS_RE33!$S$7:$S$874,$W$2,BS_RE33!$N$7:$N$874,I33,BS_RE33!$P$7:$P$874,'30 days CF Table(AUD)'!G33,BS_RE33!$F$7:$F$874,'30 days CF Table(AUD)'!$C$2)</f>
        <v>0</v>
      </c>
      <c r="X33" s="337">
        <f>SUMIFS(BS_RE33!$H$7:$H$874,BS_RE33!$S$7:$S$874,$X$2,BS_RE33!$N$7:$N$874,I33,BS_RE33!$P$7:$P$874,'30 days CF Table(AUD)'!G33,BS_RE33!$F$7:$F$874,'30 days CF Table(AUD)'!$C$2)</f>
        <v>0</v>
      </c>
      <c r="Y33" s="337">
        <f>SUMIFS(BS_RE33!$H$7:$H$874,BS_RE33!$S$7:$S$874,$Y$2,BS_RE33!$N$7:$N$874,I33,BS_RE33!$P$7:$P$874,'30 days CF Table(AUD)'!G33,BS_RE33!$F$7:$F$874,'30 days CF Table(AUD)'!$C$2)</f>
        <v>0</v>
      </c>
      <c r="Z33" s="337">
        <f>SUMIFS(BS_RE33!$H$7:$H$874,BS_RE33!$S$7:$S$874,$Z$2,BS_RE33!$N$7:$N$874,I33,BS_RE33!$P$7:$P$874,'30 days CF Table(AUD)'!G33,BS_RE33!$F$7:$F$874,'30 days CF Table(AUD)'!$C$2)</f>
        <v>0</v>
      </c>
      <c r="AA33" s="337">
        <f>SUMIFS(BS_RE33!$H$7:$H$874,BS_RE33!$S$7:$S$874,$AA$2,BS_RE33!$N$7:$N$874,I33,BS_RE33!$P$7:$P$874,'30 days CF Table(AUD)'!G33,BS_RE33!$F$7:$F$874,'30 days CF Table(AUD)'!$C$2)</f>
        <v>0</v>
      </c>
      <c r="AB33" s="337">
        <f>SUMIFS(BS_RE33!$H$7:$H$874,BS_RE33!$S$7:$S$874,$AB$2,BS_RE33!$N$7:$N$874,I33,BS_RE33!$P$7:$P$874,'30 days CF Table(AUD)'!G33,BS_RE33!$F$7:$F$874,'30 days CF Table(AUD)'!$C$2)</f>
        <v>0</v>
      </c>
      <c r="AC33" s="337">
        <f>SUMIFS(BS_RE33!$H$7:$H$874,BS_RE33!$S$7:$S$874,$AC$2,BS_RE33!$N$7:$N$874,I33,BS_RE33!$P$7:$P$874,'30 days CF Table(AUD)'!G33,BS_RE33!$F$7:$F$874,'30 days CF Table(AUD)'!$C$2)</f>
        <v>0</v>
      </c>
      <c r="AD33" s="337">
        <f>SUMIFS(BS_RE33!$H$7:$H$874,BS_RE33!$S$7:$S$874,$AD$2,BS_RE33!$N$7:$N$874,I33,BS_RE33!$P$7:$P$874,'30 days CF Table(AUD)'!G33,BS_RE33!$F$7:$F$874,'30 days CF Table(AUD)'!$C$2)</f>
        <v>0</v>
      </c>
      <c r="AE33" s="337">
        <f>SUMIFS(BS_RE33!$H$7:$H$874,BS_RE33!$S$7:$S$874,$AE$2,BS_RE33!$N$7:$N$874,I33,BS_RE33!$P$7:$P$874,'30 days CF Table(AUD)'!G33,BS_RE33!$F$7:$F$874,'30 days CF Table(AUD)'!$C$2)</f>
        <v>0</v>
      </c>
      <c r="AF33" s="337">
        <f>SUMIFS(BS_RE33!$H$7:$H$874,BS_RE33!$S$7:$S$874,$AF$2,BS_RE33!$N$7:$N$874,I33,BS_RE33!$P$7:$P$874,'30 days CF Table(AUD)'!G33,BS_RE33!$F$7:$F$874,'30 days CF Table(AUD)'!$C$2)</f>
        <v>0</v>
      </c>
      <c r="AG33" s="337">
        <f>SUMIFS(BS_RE33!$H$7:$H$874,BS_RE33!$S$7:$S$874,$AG$2,BS_RE33!$N$7:$N$874,I33,BS_RE33!$P$7:$P$874,'30 days CF Table(AUD)'!G33,BS_RE33!$F$7:$F$874,'30 days CF Table(AUD)'!$C$2)</f>
        <v>0</v>
      </c>
      <c r="AH33" s="337">
        <f>SUMIFS(BS_RE33!$H$7:$H$874,BS_RE33!$S$7:$S$874,$AH$2,BS_RE33!$N$7:$N$874,I33,BS_RE33!$P$7:$P$874,'30 days CF Table(AUD)'!G33,BS_RE33!$F$7:$F$874,'30 days CF Table(AUD)'!$C$2)</f>
        <v>0</v>
      </c>
      <c r="AI33" s="337">
        <f>SUMIFS(BS_RE33!$H$7:$H$874,BS_RE33!$S$7:$S$874,$AI$2,BS_RE33!$N$7:$N$874,I33,BS_RE33!$P$7:$P$874,'30 days CF Table(AUD)'!G33,BS_RE33!$F$7:$F$874,'30 days CF Table(AUD)'!$C$2)</f>
        <v>0</v>
      </c>
      <c r="AJ33" s="337">
        <f>SUMIFS(BS_RE33!$H$7:$H$874,BS_RE33!$S$7:$S$874,$AJ$2,BS_RE33!$N$7:$N$874,I33,BS_RE33!$P$7:$P$874,'30 days CF Table(AUD)'!G33,BS_RE33!$F$7:$F$874,'30 days CF Table(AUD)'!$C$2)</f>
        <v>0</v>
      </c>
      <c r="AK33" s="337">
        <f>SUMIFS(BS_RE33!$H$7:$H$874,BS_RE33!$S$7:$S$874,$AK$2,BS_RE33!$N$7:$N$874,I33,BS_RE33!$P$7:$P$874,'30 days CF Table(AUD)'!G33,BS_RE33!$F$7:$F$874,'30 days CF Table(AUD)'!$C$2)</f>
        <v>0</v>
      </c>
      <c r="AL33" s="337">
        <f>SUMIFS(BS_RE33!$H$7:$H$874,BS_RE33!$S$7:$S$874,$AL$2,BS_RE33!$N$7:$N$874,I33,BS_RE33!$P$7:$P$874,'30 days CF Table(AUD)'!G33,BS_RE33!$F$7:$F$874,'30 days CF Table(AUD)'!$C$2)</f>
        <v>0</v>
      </c>
      <c r="AM33" s="337">
        <f>SUMIFS(BS_RE33!$H$7:$H$874,BS_RE33!$S$7:$S$874,$AM$2,BS_RE33!$N$7:$N$874,I33,BS_RE33!$P$7:$P$874,'30 days CF Table(AUD)'!G33,BS_RE33!$F$7:$F$874,'30 days CF Table(AUD)'!$C$2)</f>
        <v>0</v>
      </c>
      <c r="AN33" s="337">
        <f>SUMIFS(BS_RE33!$H$7:$H$874,BS_RE33!$S$7:$S$874,$AN$2,BS_RE33!$N$7:$N$874,I33,BS_RE33!$P$7:$P$874,'30 days CF Table(AUD)'!G33,BS_RE33!$F$7:$F$874,'30 days CF Table(AUD)'!$C$2)</f>
        <v>0</v>
      </c>
      <c r="AO33" s="337">
        <f>SUMIFS(BS_RE33!$H$7:$H$874,BS_RE33!$S$7:$S$874,$AO$2,BS_RE33!$N$7:$N$874,I33,BS_RE33!$P$7:$P$874,'30 days CF Table(AUD)'!G33,BS_RE33!$F$7:$F$874,'30 days CF Table(AUD)'!$C$2)</f>
        <v>0</v>
      </c>
      <c r="AP33" s="338">
        <f>SUMIFS(BS_RE33!$H$7:$H$874,BS_RE33!$S$7:$S$874,$AP$2,BS_RE33!$N$7:$N$874,I33,BS_RE33!$P$7:$P$874,'30 days CF Table(AUD)'!G33,BS_RE33!$F$7:$F$874,'30 days CF Table(AUD)'!$C$2)</f>
        <v>0</v>
      </c>
      <c r="AR33" s="379">
        <f>SUMIFS(BS_RE33!$H$7:$H$874,BS_RE33!$S$7:$S$874,$AR$2,BS_RE33!$N$7:$N$874,I33,BS_RE33!$P$7:$P$874,'30 days CF Table(AUD)'!G33,BS_RE33!$F$7:$F$874,'30 days CF Table(AUD)'!$C$2)</f>
        <v>0</v>
      </c>
      <c r="AS33" s="379">
        <f>SUMIFS(BS_RE33!$H$7:$H$874,BS_RE33!$S$7:$S$874,$AS$2,BS_RE33!$N$7:$N$874,I33,BS_RE33!$P$7:$P$874,'30 days CF Table(AUD)'!G33,BS_RE33!$F$7:$F$874,'30 days CF Table(AUD)'!$C$2)</f>
        <v>0</v>
      </c>
      <c r="AT33" s="379">
        <f>SUMIFS(BS_RE33!$H$7:$H$874,BS_RE33!$S$7:$S$874,$AT$2,BS_RE33!$N$7:$N$874,I33,BS_RE33!$P$7:$P$874,'30 days CF Table(AUD)'!G33,BS_RE33!$F$7:$F$874,'30 days CF Table(AUD)'!$C$2)</f>
        <v>0</v>
      </c>
      <c r="AU33" s="379">
        <f>SUMIFS(BS_RE33!$H$7:$H$874,BS_RE33!$S$7:$S$874,$AU$2,BS_RE33!$N$7:$N$874,I33,BS_RE33!$P$7:$P$874,'30 days CF Table(AUD)'!G33,BS_RE33!$F$7:$F$874,'30 days CF Table(AUD)'!$C$2)</f>
        <v>0</v>
      </c>
      <c r="AV33" s="379">
        <f>SUMIFS(BS_RE33!$H$7:$H$874,BS_RE33!$S$7:$S$874,$AV$2,BS_RE33!$N$7:$N$874,I33,BS_RE33!$P$7:$P$874,'30 days CF Table(AUD)'!G33,BS_RE33!$F$7:$F$874,'30 days CF Table(AUD)'!$C$2)</f>
        <v>0</v>
      </c>
      <c r="AW33" s="379">
        <f>SUMIFS(BS_RE33!$H$7:$H$874,BS_RE33!$S$7:$S$874,$AW$2,BS_RE33!$N$7:$N$874,I33,BS_RE33!$P$7:$P$874,'30 days CF Table(AUD)'!G33,BS_RE33!$F$7:$F$874,'30 days CF Table(AUD)'!$C$2)</f>
        <v>0</v>
      </c>
      <c r="AX33" s="379">
        <f>SUMIFS(BS_RE33!$H$7:$H$874,BS_RE33!$S$7:$S$874,$AX$2,BS_RE33!$N$7:$N$874,I33,BS_RE33!$P$7:$P$874,'30 days CF Table(AUD)'!G33,BS_RE33!$F$7:$F$874,'30 days CF Table(AUD)'!$C$2)</f>
        <v>0</v>
      </c>
      <c r="AY33" s="379">
        <f>SUMIFS(BS_RE33!$H$7:$H$874,BS_RE33!$S$7:$S$874,$AY$2,BS_RE33!$N$7:$N$874,I33,BS_RE33!$P$7:$P$874,'30 days CF Table(AUD)'!G33,BS_RE33!$F$7:$F$874,'30 days CF Table(AUD)'!$C$2)</f>
        <v>0</v>
      </c>
      <c r="AZ33" s="379">
        <f>SUMIFS(BS_RE33!$H$7:$H$874,BS_RE33!$S$7:$S$874,$AZ$2,BS_RE33!$N$7:$N$874,I33,BS_RE33!$P$7:$P$874,'30 days CF Table(AUD)'!G33,BS_RE33!$F$7:$F$874,'30 days CF Table(AUD)'!$C$2)</f>
        <v>0</v>
      </c>
      <c r="BA33" s="379">
        <f>SUMIFS(BS_RE33!$H$7:$H$874,BS_RE33!$S$7:$S$874,$BA$2,BS_RE33!$N$7:$N$874,I33,BS_RE33!$P$7:$P$874,'30 days CF Table(AUD)'!G33,BS_RE33!$F$7:$F$874,'30 days CF Table(AUD)'!$C$2)</f>
        <v>0</v>
      </c>
      <c r="BB33" s="379">
        <f>SUMIFS(BS_RE33!$H$7:$H$874,BS_RE33!$S$7:$S$874,$BB$2,BS_RE33!$N$7:$N$874,I33,BS_RE33!$P$7:$P$874,'30 days CF Table(AUD)'!G33,BS_RE33!$F$7:$F$874,'30 days CF Table(AUD)'!$C$2)</f>
        <v>0</v>
      </c>
      <c r="BC33" s="379">
        <f>SUMIFS(BS_RE33!$H$7:$H$874,BS_RE33!$S$7:$S$874,$BC$2,BS_RE33!$N$7:$N$874,I33,BS_RE33!$P$7:$P$874,'30 days CF Table(AUD)'!G33,BS_RE33!$F$7:$F$874,'30 days CF Table(AUD)'!$C$2)</f>
        <v>0</v>
      </c>
      <c r="BD33" s="379">
        <f>SUMIFS(BS_RE33!$H$7:$H$874,BS_RE33!$S$7:$S$874,$BD$2,BS_RE33!$N$7:$N$874,I33,BS_RE33!$P$7:$P$874,'30 days CF Table(AUD)'!G33,BS_RE33!$F$7:$F$874,'30 days CF Table(AUD)'!$C$2)</f>
        <v>0</v>
      </c>
      <c r="BE33" s="379">
        <f>SUMIFS(BS_RE33!$H$7:$H$874,BS_RE33!$S$7:$S$874,$BE$2,BS_RE33!$N$7:$N$874,I33,BS_RE33!$P$7:$P$874,'30 days CF Table(AUD)'!G33,BS_RE33!$F$7:$F$874,'30 days CF Table(AUD)'!$C$2)</f>
        <v>0</v>
      </c>
      <c r="BF33" s="379">
        <f>SUMIFS(BS_RE33!$H$7:$H$874,BS_RE33!$S$7:$S$874,$BF$2,BS_RE33!$N$7:$N$874,I33,BS_RE33!$P$7:$P$874,'30 days CF Table(AUD)'!G33,BS_RE33!$F$7:$F$874,'30 days CF Table(AUD)'!$C$2)</f>
        <v>0</v>
      </c>
      <c r="BG33" s="379">
        <f>SUMIFS(BS_RE33!$H$7:$H$874,BS_RE33!$S$7:$S$874,$BG$2,BS_RE33!$N$7:$N$874,I33,BS_RE33!$P$7:$P$874,'30 days CF Table(AUD)'!G33,BS_RE33!$F$7:$F$874,'30 days CF Table(AUD)'!$C$2)</f>
        <v>0</v>
      </c>
      <c r="BH33" s="379">
        <f>SUMIFS(BS_RE33!$H$7:$H$874,BS_RE33!$S$7:$S$874,$BH$2,BS_RE33!$N$7:$N$874,I33,BS_RE33!$P$7:$P$874,'30 days CF Table(AUD)'!G33,BS_RE33!$F$7:$F$874,'30 days CF Table(AUD)'!$C$2)</f>
        <v>0</v>
      </c>
      <c r="BI33" s="379">
        <f>SUMIFS(BS_RE33!$H$7:$H$874,BS_RE33!$S$7:$S$874,$BI$2,BS_RE33!$N$7:$N$874,I33,BS_RE33!$P$7:$P$874,'30 days CF Table(AUD)'!G33,BS_RE33!$F$7:$F$874,'30 days CF Table(AUD)'!$C$2)</f>
        <v>0</v>
      </c>
      <c r="BJ33" s="379">
        <f>SUMIFS(BS_RE33!$H$7:$H$874,BS_RE33!$S$7:$S$874,$BJ$2,BS_RE33!$N$7:$N$874,I33,BS_RE33!$P$7:$P$874,'30 days CF Table(AUD)'!G33,BS_RE33!$F$7:$F$874,'30 days CF Table(AUD)'!$C$2)</f>
        <v>0</v>
      </c>
      <c r="BK33" s="379">
        <f>SUMIFS(BS_RE33!$H$7:$H$874,BS_RE33!$S$7:$S$874,$BK$2,BS_RE33!$N$7:$N$874,I33,BS_RE33!$P$7:$P$874,'30 days CF Table(AUD)'!G33,BS_RE33!$F$7:$F$874,'30 days CF Table(AUD)'!$C$2)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Table(AUD)'!G34,BS_RE33!$F$7:$F$874,'30 days CF Table(AUD)'!$C$2)</f>
        <v>0</v>
      </c>
      <c r="M34" s="337">
        <f>SUMIFS(BS_RE33!$H$7:$H$874,BS_RE33!$S$7:$S$874,$M$2,BS_RE33!$N$7:$N$874,I34,BS_RE33!$P$7:$P$874,'30 days CF Table(AUD)'!G34,BS_RE33!$F$7:$F$874,'30 days CF Table(AUD)'!$C$2)</f>
        <v>0</v>
      </c>
      <c r="N34" s="337">
        <f>SUMIFS(BS_RE33!$H$7:$H$874,BS_RE33!$S$7:$S$874,$N$2,BS_RE33!$N$7:$N$874,I34,BS_RE33!$P$7:$P$874,'30 days CF Table(AUD)'!G34,BS_RE33!$F$7:$F$874,'30 days CF Table(AUD)'!$C$2)</f>
        <v>0</v>
      </c>
      <c r="O34" s="337">
        <f>SUMIFS(BS_RE33!$H$7:$H$874,BS_RE33!$S$7:$S$874,$O$2,BS_RE33!$N$7:$N$874,I34,BS_RE33!$P$7:$P$874,'30 days CF Table(AUD)'!G34,BS_RE33!$F$7:$F$874,'30 days CF Table(AUD)'!$C$2)</f>
        <v>0</v>
      </c>
      <c r="P34" s="337">
        <f>SUMIFS(BS_RE33!$H$7:$H$874,BS_RE33!$S$7:$S$874,$P$2,BS_RE33!$N$7:$N$874,I34,BS_RE33!$P$7:$P$874,'30 days CF Table(AUD)'!G34,BS_RE33!$F$7:$F$874,'30 days CF Table(AUD)'!$C$2)</f>
        <v>0</v>
      </c>
      <c r="Q34" s="337">
        <f>SUMIFS(BS_RE33!$H$7:$H$874,BS_RE33!$S$7:$S$874,$Q$2,BS_RE33!$N$7:$N$874,I34,BS_RE33!$P$7:$P$874,'30 days CF Table(AUD)'!G34,BS_RE33!$F$7:$F$874,'30 days CF Table(AUD)'!$C$2)</f>
        <v>0</v>
      </c>
      <c r="R34" s="337">
        <f>SUMIFS(BS_RE33!$H$7:$H$874,BS_RE33!$S$7:$S$874,$R$2,BS_RE33!$N$7:$N$874,I34,BS_RE33!$P$7:$P$874,'30 days CF Table(AUD)'!G34,BS_RE33!$F$7:$F$874,'30 days CF Table(AUD)'!$C$2)</f>
        <v>0</v>
      </c>
      <c r="S34" s="337">
        <f>SUMIFS(BS_RE33!$H$7:$H$874,BS_RE33!$S$7:$S$874,$S$2,BS_RE33!$N$7:$N$874,I34,BS_RE33!$P$7:$P$874,'30 days CF Table(AUD)'!G34,BS_RE33!$F$7:$F$874,'30 days CF Table(AUD)'!$C$2)</f>
        <v>0</v>
      </c>
      <c r="T34" s="337">
        <f>SUMIFS(BS_RE33!$H$7:$H$874,BS_RE33!$S$7:$S$874,$T$2,BS_RE33!$N$7:$N$874,I34,BS_RE33!$P$7:$P$874,'30 days CF Table(AUD)'!G34,BS_RE33!$F$7:$F$874,'30 days CF Table(AUD)'!$C$2)</f>
        <v>0</v>
      </c>
      <c r="U34" s="337">
        <f>SUMIFS(BS_RE33!$H$7:$H$874,BS_RE33!$S$7:$S$874,$U$2,BS_RE33!$N$7:$N$874,I34,BS_RE33!$P$7:$P$874,'30 days CF Table(AUD)'!G34,BS_RE33!$F$7:$F$874,'30 days CF Table(AUD)'!$C$2)</f>
        <v>0</v>
      </c>
      <c r="V34" s="337">
        <f>SUMIFS(BS_RE33!$H$7:$H$874,BS_RE33!$S$7:$S$874,$V$2,BS_RE33!$N$7:$N$874,I34,BS_RE33!$P$7:$P$874,'30 days CF Table(AUD)'!G34,BS_RE33!$F$7:$F$874,'30 days CF Table(AUD)'!$C$2)</f>
        <v>0</v>
      </c>
      <c r="W34" s="337">
        <f>SUMIFS(BS_RE33!$H$7:$H$874,BS_RE33!$S$7:$S$874,$W$2,BS_RE33!$N$7:$N$874,I34,BS_RE33!$P$7:$P$874,'30 days CF Table(AUD)'!G34,BS_RE33!$F$7:$F$874,'30 days CF Table(AUD)'!$C$2)</f>
        <v>0</v>
      </c>
      <c r="X34" s="337">
        <f>SUMIFS(BS_RE33!$H$7:$H$874,BS_RE33!$S$7:$S$874,$X$2,BS_RE33!$N$7:$N$874,I34,BS_RE33!$P$7:$P$874,'30 days CF Table(AUD)'!G34,BS_RE33!$F$7:$F$874,'30 days CF Table(AUD)'!$C$2)</f>
        <v>0</v>
      </c>
      <c r="Y34" s="337">
        <f>SUMIFS(BS_RE33!$H$7:$H$874,BS_RE33!$S$7:$S$874,$Y$2,BS_RE33!$N$7:$N$874,I34,BS_RE33!$P$7:$P$874,'30 days CF Table(AUD)'!G34,BS_RE33!$F$7:$F$874,'30 days CF Table(AUD)'!$C$2)</f>
        <v>0</v>
      </c>
      <c r="Z34" s="337">
        <f>SUMIFS(BS_RE33!$H$7:$H$874,BS_RE33!$S$7:$S$874,$Z$2,BS_RE33!$N$7:$N$874,I34,BS_RE33!$P$7:$P$874,'30 days CF Table(AUD)'!G34,BS_RE33!$F$7:$F$874,'30 days CF Table(AUD)'!$C$2)</f>
        <v>0</v>
      </c>
      <c r="AA34" s="337">
        <f>SUMIFS(BS_RE33!$H$7:$H$874,BS_RE33!$S$7:$S$874,$AA$2,BS_RE33!$N$7:$N$874,I34,BS_RE33!$P$7:$P$874,'30 days CF Table(AUD)'!G34,BS_RE33!$F$7:$F$874,'30 days CF Table(AUD)'!$C$2)</f>
        <v>0</v>
      </c>
      <c r="AB34" s="337">
        <f>SUMIFS(BS_RE33!$H$7:$H$874,BS_RE33!$S$7:$S$874,$AB$2,BS_RE33!$N$7:$N$874,I34,BS_RE33!$P$7:$P$874,'30 days CF Table(AUD)'!G34,BS_RE33!$F$7:$F$874,'30 days CF Table(AUD)'!$C$2)</f>
        <v>0</v>
      </c>
      <c r="AC34" s="337">
        <f>SUMIFS(BS_RE33!$H$7:$H$874,BS_RE33!$S$7:$S$874,$AC$2,BS_RE33!$N$7:$N$874,I34,BS_RE33!$P$7:$P$874,'30 days CF Table(AUD)'!G34,BS_RE33!$F$7:$F$874,'30 days CF Table(AUD)'!$C$2)</f>
        <v>0</v>
      </c>
      <c r="AD34" s="337">
        <f>SUMIFS(BS_RE33!$H$7:$H$874,BS_RE33!$S$7:$S$874,$AD$2,BS_RE33!$N$7:$N$874,I34,BS_RE33!$P$7:$P$874,'30 days CF Table(AUD)'!G34,BS_RE33!$F$7:$F$874,'30 days CF Table(AUD)'!$C$2)</f>
        <v>0</v>
      </c>
      <c r="AE34" s="337">
        <f>SUMIFS(BS_RE33!$H$7:$H$874,BS_RE33!$S$7:$S$874,$AE$2,BS_RE33!$N$7:$N$874,I34,BS_RE33!$P$7:$P$874,'30 days CF Table(AUD)'!G34,BS_RE33!$F$7:$F$874,'30 days CF Table(AUD)'!$C$2)</f>
        <v>0</v>
      </c>
      <c r="AF34" s="337">
        <f>SUMIFS(BS_RE33!$H$7:$H$874,BS_RE33!$S$7:$S$874,$AF$2,BS_RE33!$N$7:$N$874,I34,BS_RE33!$P$7:$P$874,'30 days CF Table(AUD)'!G34,BS_RE33!$F$7:$F$874,'30 days CF Table(AUD)'!$C$2)</f>
        <v>0</v>
      </c>
      <c r="AG34" s="337">
        <f>SUMIFS(BS_RE33!$H$7:$H$874,BS_RE33!$S$7:$S$874,$AG$2,BS_RE33!$N$7:$N$874,I34,BS_RE33!$P$7:$P$874,'30 days CF Table(AUD)'!G34,BS_RE33!$F$7:$F$874,'30 days CF Table(AUD)'!$C$2)</f>
        <v>0</v>
      </c>
      <c r="AH34" s="337">
        <f>SUMIFS(BS_RE33!$H$7:$H$874,BS_RE33!$S$7:$S$874,$AH$2,BS_RE33!$N$7:$N$874,I34,BS_RE33!$P$7:$P$874,'30 days CF Table(AUD)'!G34,BS_RE33!$F$7:$F$874,'30 days CF Table(AUD)'!$C$2)</f>
        <v>0</v>
      </c>
      <c r="AI34" s="337">
        <f>SUMIFS(BS_RE33!$H$7:$H$874,BS_RE33!$S$7:$S$874,$AI$2,BS_RE33!$N$7:$N$874,I34,BS_RE33!$P$7:$P$874,'30 days CF Table(AUD)'!G34,BS_RE33!$F$7:$F$874,'30 days CF Table(AUD)'!$C$2)</f>
        <v>0</v>
      </c>
      <c r="AJ34" s="337">
        <f>SUMIFS(BS_RE33!$H$7:$H$874,BS_RE33!$S$7:$S$874,$AJ$2,BS_RE33!$N$7:$N$874,I34,BS_RE33!$P$7:$P$874,'30 days CF Table(AUD)'!G34,BS_RE33!$F$7:$F$874,'30 days CF Table(AUD)'!$C$2)</f>
        <v>0</v>
      </c>
      <c r="AK34" s="337">
        <f>SUMIFS(BS_RE33!$H$7:$H$874,BS_RE33!$S$7:$S$874,$AK$2,BS_RE33!$N$7:$N$874,I34,BS_RE33!$P$7:$P$874,'30 days CF Table(AUD)'!G34,BS_RE33!$F$7:$F$874,'30 days CF Table(AUD)'!$C$2)</f>
        <v>0</v>
      </c>
      <c r="AL34" s="337">
        <f>SUMIFS(BS_RE33!$H$7:$H$874,BS_RE33!$S$7:$S$874,$AL$2,BS_RE33!$N$7:$N$874,I34,BS_RE33!$P$7:$P$874,'30 days CF Table(AUD)'!G34,BS_RE33!$F$7:$F$874,'30 days CF Table(AUD)'!$C$2)</f>
        <v>0</v>
      </c>
      <c r="AM34" s="337">
        <f>SUMIFS(BS_RE33!$H$7:$H$874,BS_RE33!$S$7:$S$874,$AM$2,BS_RE33!$N$7:$N$874,I34,BS_RE33!$P$7:$P$874,'30 days CF Table(AUD)'!G34,BS_RE33!$F$7:$F$874,'30 days CF Table(AUD)'!$C$2)</f>
        <v>0</v>
      </c>
      <c r="AN34" s="337">
        <f>SUMIFS(BS_RE33!$H$7:$H$874,BS_RE33!$S$7:$S$874,$AN$2,BS_RE33!$N$7:$N$874,I34,BS_RE33!$P$7:$P$874,'30 days CF Table(AUD)'!G34,BS_RE33!$F$7:$F$874,'30 days CF Table(AUD)'!$C$2)</f>
        <v>0</v>
      </c>
      <c r="AO34" s="337">
        <f>SUMIFS(BS_RE33!$H$7:$H$874,BS_RE33!$S$7:$S$874,$AO$2,BS_RE33!$N$7:$N$874,I34,BS_RE33!$P$7:$P$874,'30 days CF Table(AUD)'!G34,BS_RE33!$F$7:$F$874,'30 days CF Table(AUD)'!$C$2)</f>
        <v>0</v>
      </c>
      <c r="AP34" s="338">
        <f>SUMIFS(BS_RE33!$H$7:$H$874,BS_RE33!$S$7:$S$874,$AP$2,BS_RE33!$N$7:$N$874,I34,BS_RE33!$P$7:$P$874,'30 days CF Table(AUD)'!G34,BS_RE33!$F$7:$F$874,'30 days CF Table(AUD)'!$C$2)</f>
        <v>0</v>
      </c>
      <c r="AR34" s="379">
        <f>SUMIFS(BS_RE33!$H$7:$H$874,BS_RE33!$S$7:$S$874,$AR$2,BS_RE33!$N$7:$N$874,I34,BS_RE33!$P$7:$P$874,'30 days CF Table(AUD)'!G34,BS_RE33!$F$7:$F$874,'30 days CF Table(AUD)'!$C$2)</f>
        <v>0</v>
      </c>
      <c r="AS34" s="379">
        <f>SUMIFS(BS_RE33!$H$7:$H$874,BS_RE33!$S$7:$S$874,$AS$2,BS_RE33!$N$7:$N$874,I34,BS_RE33!$P$7:$P$874,'30 days CF Table(AUD)'!G34,BS_RE33!$F$7:$F$874,'30 days CF Table(AUD)'!$C$2)</f>
        <v>0</v>
      </c>
      <c r="AT34" s="379">
        <f>SUMIFS(BS_RE33!$H$7:$H$874,BS_RE33!$S$7:$S$874,$AT$2,BS_RE33!$N$7:$N$874,I34,BS_RE33!$P$7:$P$874,'30 days CF Table(AUD)'!G34,BS_RE33!$F$7:$F$874,'30 days CF Table(AUD)'!$C$2)</f>
        <v>0</v>
      </c>
      <c r="AU34" s="379">
        <f>SUMIFS(BS_RE33!$H$7:$H$874,BS_RE33!$S$7:$S$874,$AU$2,BS_RE33!$N$7:$N$874,I34,BS_RE33!$P$7:$P$874,'30 days CF Table(AUD)'!G34,BS_RE33!$F$7:$F$874,'30 days CF Table(AUD)'!$C$2)</f>
        <v>0</v>
      </c>
      <c r="AV34" s="379">
        <f>SUMIFS(BS_RE33!$H$7:$H$874,BS_RE33!$S$7:$S$874,$AV$2,BS_RE33!$N$7:$N$874,I34,BS_RE33!$P$7:$P$874,'30 days CF Table(AUD)'!G34,BS_RE33!$F$7:$F$874,'30 days CF Table(AUD)'!$C$2)</f>
        <v>0</v>
      </c>
      <c r="AW34" s="379">
        <f>SUMIFS(BS_RE33!$H$7:$H$874,BS_RE33!$S$7:$S$874,$AW$2,BS_RE33!$N$7:$N$874,I34,BS_RE33!$P$7:$P$874,'30 days CF Table(AUD)'!G34,BS_RE33!$F$7:$F$874,'30 days CF Table(AUD)'!$C$2)</f>
        <v>0</v>
      </c>
      <c r="AX34" s="379">
        <f>SUMIFS(BS_RE33!$H$7:$H$874,BS_RE33!$S$7:$S$874,$AX$2,BS_RE33!$N$7:$N$874,I34,BS_RE33!$P$7:$P$874,'30 days CF Table(AUD)'!G34,BS_RE33!$F$7:$F$874,'30 days CF Table(AUD)'!$C$2)</f>
        <v>0</v>
      </c>
      <c r="AY34" s="379">
        <f>SUMIFS(BS_RE33!$H$7:$H$874,BS_RE33!$S$7:$S$874,$AY$2,BS_RE33!$N$7:$N$874,I34,BS_RE33!$P$7:$P$874,'30 days CF Table(AUD)'!G34,BS_RE33!$F$7:$F$874,'30 days CF Table(AUD)'!$C$2)</f>
        <v>0</v>
      </c>
      <c r="AZ34" s="379">
        <f>SUMIFS(BS_RE33!$H$7:$H$874,BS_RE33!$S$7:$S$874,$AZ$2,BS_RE33!$N$7:$N$874,I34,BS_RE33!$P$7:$P$874,'30 days CF Table(AUD)'!G34,BS_RE33!$F$7:$F$874,'30 days CF Table(AUD)'!$C$2)</f>
        <v>0</v>
      </c>
      <c r="BA34" s="379">
        <f>SUMIFS(BS_RE33!$H$7:$H$874,BS_RE33!$S$7:$S$874,$BA$2,BS_RE33!$N$7:$N$874,I34,BS_RE33!$P$7:$P$874,'30 days CF Table(AUD)'!G34,BS_RE33!$F$7:$F$874,'30 days CF Table(AUD)'!$C$2)</f>
        <v>0</v>
      </c>
      <c r="BB34" s="379">
        <f>SUMIFS(BS_RE33!$H$7:$H$874,BS_RE33!$S$7:$S$874,$BB$2,BS_RE33!$N$7:$N$874,I34,BS_RE33!$P$7:$P$874,'30 days CF Table(AUD)'!G34,BS_RE33!$F$7:$F$874,'30 days CF Table(AUD)'!$C$2)</f>
        <v>0</v>
      </c>
      <c r="BC34" s="379">
        <f>SUMIFS(BS_RE33!$H$7:$H$874,BS_RE33!$S$7:$S$874,$BC$2,BS_RE33!$N$7:$N$874,I34,BS_RE33!$P$7:$P$874,'30 days CF Table(AUD)'!G34,BS_RE33!$F$7:$F$874,'30 days CF Table(AUD)'!$C$2)</f>
        <v>0</v>
      </c>
      <c r="BD34" s="379">
        <f>SUMIFS(BS_RE33!$H$7:$H$874,BS_RE33!$S$7:$S$874,$BD$2,BS_RE33!$N$7:$N$874,I34,BS_RE33!$P$7:$P$874,'30 days CF Table(AUD)'!G34,BS_RE33!$F$7:$F$874,'30 days CF Table(AUD)'!$C$2)</f>
        <v>0</v>
      </c>
      <c r="BE34" s="379">
        <f>SUMIFS(BS_RE33!$H$7:$H$874,BS_RE33!$S$7:$S$874,$BE$2,BS_RE33!$N$7:$N$874,I34,BS_RE33!$P$7:$P$874,'30 days CF Table(AUD)'!G34,BS_RE33!$F$7:$F$874,'30 days CF Table(AUD)'!$C$2)</f>
        <v>0</v>
      </c>
      <c r="BF34" s="379">
        <f>SUMIFS(BS_RE33!$H$7:$H$874,BS_RE33!$S$7:$S$874,$BF$2,BS_RE33!$N$7:$N$874,I34,BS_RE33!$P$7:$P$874,'30 days CF Table(AUD)'!G34,BS_RE33!$F$7:$F$874,'30 days CF Table(AUD)'!$C$2)</f>
        <v>0</v>
      </c>
      <c r="BG34" s="379">
        <f>SUMIFS(BS_RE33!$H$7:$H$874,BS_RE33!$S$7:$S$874,$BG$2,BS_RE33!$N$7:$N$874,I34,BS_RE33!$P$7:$P$874,'30 days CF Table(AUD)'!G34,BS_RE33!$F$7:$F$874,'30 days CF Table(AUD)'!$C$2)</f>
        <v>0</v>
      </c>
      <c r="BH34" s="379">
        <f>SUMIFS(BS_RE33!$H$7:$H$874,BS_RE33!$S$7:$S$874,$BH$2,BS_RE33!$N$7:$N$874,I34,BS_RE33!$P$7:$P$874,'30 days CF Table(AUD)'!G34,BS_RE33!$F$7:$F$874,'30 days CF Table(AUD)'!$C$2)</f>
        <v>0</v>
      </c>
      <c r="BI34" s="379">
        <f>SUMIFS(BS_RE33!$H$7:$H$874,BS_RE33!$S$7:$S$874,$BI$2,BS_RE33!$N$7:$N$874,I34,BS_RE33!$P$7:$P$874,'30 days CF Table(AUD)'!G34,BS_RE33!$F$7:$F$874,'30 days CF Table(AUD)'!$C$2)</f>
        <v>0</v>
      </c>
      <c r="BJ34" s="379">
        <f>SUMIFS(BS_RE33!$H$7:$H$874,BS_RE33!$S$7:$S$874,$BJ$2,BS_RE33!$N$7:$N$874,I34,BS_RE33!$P$7:$P$874,'30 days CF Table(AUD)'!G34,BS_RE33!$F$7:$F$874,'30 days CF Table(AUD)'!$C$2)</f>
        <v>0</v>
      </c>
      <c r="BK34" s="379">
        <f>SUMIFS(BS_RE33!$H$7:$H$874,BS_RE33!$S$7:$S$874,$BK$2,BS_RE33!$N$7:$N$874,I34,BS_RE33!$P$7:$P$874,'30 days CF Table(AUD)'!G34,BS_RE33!$F$7:$F$874,'30 days CF Table(AUD)'!$C$2)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Table(AUD)'!G35,BS_RE33!$F$7:$F$874,'30 days CF Table(AUD)'!$C$2)</f>
        <v>0</v>
      </c>
      <c r="M35" s="337">
        <f>SUMIFS(BS_RE33!$H$7:$H$874,BS_RE33!$S$7:$S$874,$M$2,BS_RE33!$N$7:$N$874,I35,BS_RE33!$P$7:$P$874,'30 days CF Table(AUD)'!G35,BS_RE33!$F$7:$F$874,'30 days CF Table(AUD)'!$C$2)</f>
        <v>0</v>
      </c>
      <c r="N35" s="337">
        <f>SUMIFS(BS_RE33!$H$7:$H$874,BS_RE33!$S$7:$S$874,$N$2,BS_RE33!$N$7:$N$874,I35,BS_RE33!$P$7:$P$874,'30 days CF Table(AUD)'!G35,BS_RE33!$F$7:$F$874,'30 days CF Table(AUD)'!$C$2)</f>
        <v>0</v>
      </c>
      <c r="O35" s="337">
        <f>SUMIFS(BS_RE33!$H$7:$H$874,BS_RE33!$S$7:$S$874,$O$2,BS_RE33!$N$7:$N$874,I35,BS_RE33!$P$7:$P$874,'30 days CF Table(AUD)'!G35,BS_RE33!$F$7:$F$874,'30 days CF Table(AUD)'!$C$2)</f>
        <v>0</v>
      </c>
      <c r="P35" s="337">
        <f>SUMIFS(BS_RE33!$H$7:$H$874,BS_RE33!$S$7:$S$874,$P$2,BS_RE33!$N$7:$N$874,I35,BS_RE33!$P$7:$P$874,'30 days CF Table(AUD)'!G35,BS_RE33!$F$7:$F$874,'30 days CF Table(AUD)'!$C$2)</f>
        <v>0</v>
      </c>
      <c r="Q35" s="337">
        <f>SUMIFS(BS_RE33!$H$7:$H$874,BS_RE33!$S$7:$S$874,$Q$2,BS_RE33!$N$7:$N$874,I35,BS_RE33!$P$7:$P$874,'30 days CF Table(AUD)'!G35,BS_RE33!$F$7:$F$874,'30 days CF Table(AUD)'!$C$2)</f>
        <v>0</v>
      </c>
      <c r="R35" s="337">
        <f>SUMIFS(BS_RE33!$H$7:$H$874,BS_RE33!$S$7:$S$874,$R$2,BS_RE33!$N$7:$N$874,I35,BS_RE33!$P$7:$P$874,'30 days CF Table(AUD)'!G35,BS_RE33!$F$7:$F$874,'30 days CF Table(AUD)'!$C$2)</f>
        <v>0</v>
      </c>
      <c r="S35" s="337">
        <f>SUMIFS(BS_RE33!$H$7:$H$874,BS_RE33!$S$7:$S$874,$S$2,BS_RE33!$N$7:$N$874,I35,BS_RE33!$P$7:$P$874,'30 days CF Table(AUD)'!G35,BS_RE33!$F$7:$F$874,'30 days CF Table(AUD)'!$C$2)</f>
        <v>0</v>
      </c>
      <c r="T35" s="337">
        <f>SUMIFS(BS_RE33!$H$7:$H$874,BS_RE33!$S$7:$S$874,$T$2,BS_RE33!$N$7:$N$874,I35,BS_RE33!$P$7:$P$874,'30 days CF Table(AUD)'!G35,BS_RE33!$F$7:$F$874,'30 days CF Table(AUD)'!$C$2)</f>
        <v>0</v>
      </c>
      <c r="U35" s="337">
        <f>SUMIFS(BS_RE33!$H$7:$H$874,BS_RE33!$S$7:$S$874,$U$2,BS_RE33!$N$7:$N$874,I35,BS_RE33!$P$7:$P$874,'30 days CF Table(AUD)'!G35,BS_RE33!$F$7:$F$874,'30 days CF Table(AUD)'!$C$2)</f>
        <v>0</v>
      </c>
      <c r="V35" s="337">
        <f>SUMIFS(BS_RE33!$H$7:$H$874,BS_RE33!$S$7:$S$874,$V$2,BS_RE33!$N$7:$N$874,I35,BS_RE33!$P$7:$P$874,'30 days CF Table(AUD)'!G35,BS_RE33!$F$7:$F$874,'30 days CF Table(AUD)'!$C$2)</f>
        <v>0</v>
      </c>
      <c r="W35" s="337">
        <f>SUMIFS(BS_RE33!$H$7:$H$874,BS_RE33!$S$7:$S$874,$W$2,BS_RE33!$N$7:$N$874,I35,BS_RE33!$P$7:$P$874,'30 days CF Table(AUD)'!G35,BS_RE33!$F$7:$F$874,'30 days CF Table(AUD)'!$C$2)</f>
        <v>0</v>
      </c>
      <c r="X35" s="337">
        <f>SUMIFS(BS_RE33!$H$7:$H$874,BS_RE33!$S$7:$S$874,$X$2,BS_RE33!$N$7:$N$874,I35,BS_RE33!$P$7:$P$874,'30 days CF Table(AUD)'!G35,BS_RE33!$F$7:$F$874,'30 days CF Table(AUD)'!$C$2)</f>
        <v>0</v>
      </c>
      <c r="Y35" s="337">
        <f>SUMIFS(BS_RE33!$H$7:$H$874,BS_RE33!$S$7:$S$874,$Y$2,BS_RE33!$N$7:$N$874,I35,BS_RE33!$P$7:$P$874,'30 days CF Table(AUD)'!G35,BS_RE33!$F$7:$F$874,'30 days CF Table(AUD)'!$C$2)</f>
        <v>0</v>
      </c>
      <c r="Z35" s="337">
        <f>SUMIFS(BS_RE33!$H$7:$H$874,BS_RE33!$S$7:$S$874,$Z$2,BS_RE33!$N$7:$N$874,I35,BS_RE33!$P$7:$P$874,'30 days CF Table(AUD)'!G35,BS_RE33!$F$7:$F$874,'30 days CF Table(AUD)'!$C$2)</f>
        <v>0</v>
      </c>
      <c r="AA35" s="337">
        <f>SUMIFS(BS_RE33!$H$7:$H$874,BS_RE33!$S$7:$S$874,$AA$2,BS_RE33!$N$7:$N$874,I35,BS_RE33!$P$7:$P$874,'30 days CF Table(AUD)'!G35,BS_RE33!$F$7:$F$874,'30 days CF Table(AUD)'!$C$2)</f>
        <v>0</v>
      </c>
      <c r="AB35" s="337">
        <f>SUMIFS(BS_RE33!$H$7:$H$874,BS_RE33!$S$7:$S$874,$AB$2,BS_RE33!$N$7:$N$874,I35,BS_RE33!$P$7:$P$874,'30 days CF Table(AUD)'!G35,BS_RE33!$F$7:$F$874,'30 days CF Table(AUD)'!$C$2)</f>
        <v>0</v>
      </c>
      <c r="AC35" s="337">
        <f>SUMIFS(BS_RE33!$H$7:$H$874,BS_RE33!$S$7:$S$874,$AC$2,BS_RE33!$N$7:$N$874,I35,BS_RE33!$P$7:$P$874,'30 days CF Table(AUD)'!G35,BS_RE33!$F$7:$F$874,'30 days CF Table(AUD)'!$C$2)</f>
        <v>0</v>
      </c>
      <c r="AD35" s="337">
        <f>SUMIFS(BS_RE33!$H$7:$H$874,BS_RE33!$S$7:$S$874,$AD$2,BS_RE33!$N$7:$N$874,I35,BS_RE33!$P$7:$P$874,'30 days CF Table(AUD)'!G35,BS_RE33!$F$7:$F$874,'30 days CF Table(AUD)'!$C$2)</f>
        <v>0</v>
      </c>
      <c r="AE35" s="337">
        <f>SUMIFS(BS_RE33!$H$7:$H$874,BS_RE33!$S$7:$S$874,$AE$2,BS_RE33!$N$7:$N$874,I35,BS_RE33!$P$7:$P$874,'30 days CF Table(AUD)'!G35,BS_RE33!$F$7:$F$874,'30 days CF Table(AUD)'!$C$2)</f>
        <v>0</v>
      </c>
      <c r="AF35" s="337">
        <f>SUMIFS(BS_RE33!$H$7:$H$874,BS_RE33!$S$7:$S$874,$AF$2,BS_RE33!$N$7:$N$874,I35,BS_RE33!$P$7:$P$874,'30 days CF Table(AUD)'!G35,BS_RE33!$F$7:$F$874,'30 days CF Table(AUD)'!$C$2)</f>
        <v>0</v>
      </c>
      <c r="AG35" s="337">
        <f>SUMIFS(BS_RE33!$H$7:$H$874,BS_RE33!$S$7:$S$874,$AG$2,BS_RE33!$N$7:$N$874,I35,BS_RE33!$P$7:$P$874,'30 days CF Table(AUD)'!G35,BS_RE33!$F$7:$F$874,'30 days CF Table(AUD)'!$C$2)</f>
        <v>0</v>
      </c>
      <c r="AH35" s="337">
        <f>SUMIFS(BS_RE33!$H$7:$H$874,BS_RE33!$S$7:$S$874,$AH$2,BS_RE33!$N$7:$N$874,I35,BS_RE33!$P$7:$P$874,'30 days CF Table(AUD)'!G35,BS_RE33!$F$7:$F$874,'30 days CF Table(AUD)'!$C$2)</f>
        <v>0</v>
      </c>
      <c r="AI35" s="337">
        <f>SUMIFS(BS_RE33!$H$7:$H$874,BS_RE33!$S$7:$S$874,$AI$2,BS_RE33!$N$7:$N$874,I35,BS_RE33!$P$7:$P$874,'30 days CF Table(AUD)'!G35,BS_RE33!$F$7:$F$874,'30 days CF Table(AUD)'!$C$2)</f>
        <v>0</v>
      </c>
      <c r="AJ35" s="337">
        <f>SUMIFS(BS_RE33!$H$7:$H$874,BS_RE33!$S$7:$S$874,$AJ$2,BS_RE33!$N$7:$N$874,I35,BS_RE33!$P$7:$P$874,'30 days CF Table(AUD)'!G35,BS_RE33!$F$7:$F$874,'30 days CF Table(AUD)'!$C$2)</f>
        <v>0</v>
      </c>
      <c r="AK35" s="337">
        <f>SUMIFS(BS_RE33!$H$7:$H$874,BS_RE33!$S$7:$S$874,$AK$2,BS_RE33!$N$7:$N$874,I35,BS_RE33!$P$7:$P$874,'30 days CF Table(AUD)'!G35,BS_RE33!$F$7:$F$874,'30 days CF Table(AUD)'!$C$2)</f>
        <v>0</v>
      </c>
      <c r="AL35" s="337">
        <f>SUMIFS(BS_RE33!$H$7:$H$874,BS_RE33!$S$7:$S$874,$AL$2,BS_RE33!$N$7:$N$874,I35,BS_RE33!$P$7:$P$874,'30 days CF Table(AUD)'!G35,BS_RE33!$F$7:$F$874,'30 days CF Table(AUD)'!$C$2)</f>
        <v>0</v>
      </c>
      <c r="AM35" s="337">
        <f>SUMIFS(BS_RE33!$H$7:$H$874,BS_RE33!$S$7:$S$874,$AM$2,BS_RE33!$N$7:$N$874,I35,BS_RE33!$P$7:$P$874,'30 days CF Table(AUD)'!G35,BS_RE33!$F$7:$F$874,'30 days CF Table(AUD)'!$C$2)</f>
        <v>0</v>
      </c>
      <c r="AN35" s="337">
        <f>SUMIFS(BS_RE33!$H$7:$H$874,BS_RE33!$S$7:$S$874,$AN$2,BS_RE33!$N$7:$N$874,I35,BS_RE33!$P$7:$P$874,'30 days CF Table(AUD)'!G35,BS_RE33!$F$7:$F$874,'30 days CF Table(AUD)'!$C$2)</f>
        <v>0</v>
      </c>
      <c r="AO35" s="337">
        <f>SUMIFS(BS_RE33!$H$7:$H$874,BS_RE33!$S$7:$S$874,$AO$2,BS_RE33!$N$7:$N$874,I35,BS_RE33!$P$7:$P$874,'30 days CF Table(AUD)'!G35,BS_RE33!$F$7:$F$874,'30 days CF Table(AUD)'!$C$2)</f>
        <v>0</v>
      </c>
      <c r="AP35" s="338">
        <f>SUMIFS(BS_RE33!$H$7:$H$874,BS_RE33!$S$7:$S$874,$AP$2,BS_RE33!$N$7:$N$874,I35,BS_RE33!$P$7:$P$874,'30 days CF Table(AUD)'!G35,BS_RE33!$F$7:$F$874,'30 days CF Table(AUD)'!$C$2)</f>
        <v>0</v>
      </c>
      <c r="AR35" s="379">
        <f>SUMIFS(BS_RE33!$H$7:$H$874,BS_RE33!$S$7:$S$874,$AR$2,BS_RE33!$N$7:$N$874,I35,BS_RE33!$P$7:$P$874,'30 days CF Table(AUD)'!G35,BS_RE33!$F$7:$F$874,'30 days CF Table(AUD)'!$C$2)</f>
        <v>0</v>
      </c>
      <c r="AS35" s="379">
        <f>SUMIFS(BS_RE33!$H$7:$H$874,BS_RE33!$S$7:$S$874,$AS$2,BS_RE33!$N$7:$N$874,I35,BS_RE33!$P$7:$P$874,'30 days CF Table(AUD)'!G35,BS_RE33!$F$7:$F$874,'30 days CF Table(AUD)'!$C$2)</f>
        <v>0</v>
      </c>
      <c r="AT35" s="379">
        <f>SUMIFS(BS_RE33!$H$7:$H$874,BS_RE33!$S$7:$S$874,$AT$2,BS_RE33!$N$7:$N$874,I35,BS_RE33!$P$7:$P$874,'30 days CF Table(AUD)'!G35,BS_RE33!$F$7:$F$874,'30 days CF Table(AUD)'!$C$2)</f>
        <v>0</v>
      </c>
      <c r="AU35" s="379">
        <f>SUMIFS(BS_RE33!$H$7:$H$874,BS_RE33!$S$7:$S$874,$AU$2,BS_RE33!$N$7:$N$874,I35,BS_RE33!$P$7:$P$874,'30 days CF Table(AUD)'!G35,BS_RE33!$F$7:$F$874,'30 days CF Table(AUD)'!$C$2)</f>
        <v>0</v>
      </c>
      <c r="AV35" s="379">
        <f>SUMIFS(BS_RE33!$H$7:$H$874,BS_RE33!$S$7:$S$874,$AV$2,BS_RE33!$N$7:$N$874,I35,BS_RE33!$P$7:$P$874,'30 days CF Table(AUD)'!G35,BS_RE33!$F$7:$F$874,'30 days CF Table(AUD)'!$C$2)</f>
        <v>0</v>
      </c>
      <c r="AW35" s="379">
        <f>SUMIFS(BS_RE33!$H$7:$H$874,BS_RE33!$S$7:$S$874,$AW$2,BS_RE33!$N$7:$N$874,I35,BS_RE33!$P$7:$P$874,'30 days CF Table(AUD)'!G35,BS_RE33!$F$7:$F$874,'30 days CF Table(AUD)'!$C$2)</f>
        <v>0</v>
      </c>
      <c r="AX35" s="379">
        <f>SUMIFS(BS_RE33!$H$7:$H$874,BS_RE33!$S$7:$S$874,$AX$2,BS_RE33!$N$7:$N$874,I35,BS_RE33!$P$7:$P$874,'30 days CF Table(AUD)'!G35,BS_RE33!$F$7:$F$874,'30 days CF Table(AUD)'!$C$2)</f>
        <v>0</v>
      </c>
      <c r="AY35" s="379">
        <f>SUMIFS(BS_RE33!$H$7:$H$874,BS_RE33!$S$7:$S$874,$AY$2,BS_RE33!$N$7:$N$874,I35,BS_RE33!$P$7:$P$874,'30 days CF Table(AUD)'!G35,BS_RE33!$F$7:$F$874,'30 days CF Table(AUD)'!$C$2)</f>
        <v>0</v>
      </c>
      <c r="AZ35" s="379">
        <f>SUMIFS(BS_RE33!$H$7:$H$874,BS_RE33!$S$7:$S$874,$AZ$2,BS_RE33!$N$7:$N$874,I35,BS_RE33!$P$7:$P$874,'30 days CF Table(AUD)'!G35,BS_RE33!$F$7:$F$874,'30 days CF Table(AUD)'!$C$2)</f>
        <v>0</v>
      </c>
      <c r="BA35" s="379">
        <f>SUMIFS(BS_RE33!$H$7:$H$874,BS_RE33!$S$7:$S$874,$BA$2,BS_RE33!$N$7:$N$874,I35,BS_RE33!$P$7:$P$874,'30 days CF Table(AUD)'!G35,BS_RE33!$F$7:$F$874,'30 days CF Table(AUD)'!$C$2)</f>
        <v>0</v>
      </c>
      <c r="BB35" s="379">
        <f>SUMIFS(BS_RE33!$H$7:$H$874,BS_RE33!$S$7:$S$874,$BB$2,BS_RE33!$N$7:$N$874,I35,BS_RE33!$P$7:$P$874,'30 days CF Table(AUD)'!G35,BS_RE33!$F$7:$F$874,'30 days CF Table(AUD)'!$C$2)</f>
        <v>0</v>
      </c>
      <c r="BC35" s="379">
        <f>SUMIFS(BS_RE33!$H$7:$H$874,BS_RE33!$S$7:$S$874,$BC$2,BS_RE33!$N$7:$N$874,I35,BS_RE33!$P$7:$P$874,'30 days CF Table(AUD)'!G35,BS_RE33!$F$7:$F$874,'30 days CF Table(AUD)'!$C$2)</f>
        <v>0</v>
      </c>
      <c r="BD35" s="379">
        <f>SUMIFS(BS_RE33!$H$7:$H$874,BS_RE33!$S$7:$S$874,$BD$2,BS_RE33!$N$7:$N$874,I35,BS_RE33!$P$7:$P$874,'30 days CF Table(AUD)'!G35,BS_RE33!$F$7:$F$874,'30 days CF Table(AUD)'!$C$2)</f>
        <v>0</v>
      </c>
      <c r="BE35" s="379">
        <f>SUMIFS(BS_RE33!$H$7:$H$874,BS_RE33!$S$7:$S$874,$BE$2,BS_RE33!$N$7:$N$874,I35,BS_RE33!$P$7:$P$874,'30 days CF Table(AUD)'!G35,BS_RE33!$F$7:$F$874,'30 days CF Table(AUD)'!$C$2)</f>
        <v>0</v>
      </c>
      <c r="BF35" s="379">
        <f>SUMIFS(BS_RE33!$H$7:$H$874,BS_RE33!$S$7:$S$874,$BF$2,BS_RE33!$N$7:$N$874,I35,BS_RE33!$P$7:$P$874,'30 days CF Table(AUD)'!G35,BS_RE33!$F$7:$F$874,'30 days CF Table(AUD)'!$C$2)</f>
        <v>0</v>
      </c>
      <c r="BG35" s="379">
        <f>SUMIFS(BS_RE33!$H$7:$H$874,BS_RE33!$S$7:$S$874,$BG$2,BS_RE33!$N$7:$N$874,I35,BS_RE33!$P$7:$P$874,'30 days CF Table(AUD)'!G35,BS_RE33!$F$7:$F$874,'30 days CF Table(AUD)'!$C$2)</f>
        <v>0</v>
      </c>
      <c r="BH35" s="379">
        <f>SUMIFS(BS_RE33!$H$7:$H$874,BS_RE33!$S$7:$S$874,$BH$2,BS_RE33!$N$7:$N$874,I35,BS_RE33!$P$7:$P$874,'30 days CF Table(AUD)'!G35,BS_RE33!$F$7:$F$874,'30 days CF Table(AUD)'!$C$2)</f>
        <v>0</v>
      </c>
      <c r="BI35" s="379">
        <f>SUMIFS(BS_RE33!$H$7:$H$874,BS_RE33!$S$7:$S$874,$BI$2,BS_RE33!$N$7:$N$874,I35,BS_RE33!$P$7:$P$874,'30 days CF Table(AUD)'!G35,BS_RE33!$F$7:$F$874,'30 days CF Table(AUD)'!$C$2)</f>
        <v>0</v>
      </c>
      <c r="BJ35" s="379">
        <f>SUMIFS(BS_RE33!$H$7:$H$874,BS_RE33!$S$7:$S$874,$BJ$2,BS_RE33!$N$7:$N$874,I35,BS_RE33!$P$7:$P$874,'30 days CF Table(AUD)'!G35,BS_RE33!$F$7:$F$874,'30 days CF Table(AUD)'!$C$2)</f>
        <v>0</v>
      </c>
      <c r="BK35" s="379">
        <f>SUMIFS(BS_RE33!$H$7:$H$874,BS_RE33!$S$7:$S$874,$BK$2,BS_RE33!$N$7:$N$874,I35,BS_RE33!$P$7:$P$874,'30 days CF Table(AUD)'!G35,BS_RE33!$F$7:$F$874,'30 days CF Table(AUD)'!$C$2)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Table(AUD)'!G36,BS_RE33!$F$7:$F$874,'30 days CF Table(AUD)'!$C$2)</f>
        <v>0</v>
      </c>
      <c r="M36" s="337">
        <f>SUMIFS(BS_RE33!$H$7:$H$874,BS_RE33!$S$7:$S$874,$M$2,BS_RE33!$N$7:$N$874,I36,BS_RE33!$P$7:$P$874,'30 days CF Table(AUD)'!G36,BS_RE33!$F$7:$F$874,'30 days CF Table(AUD)'!$C$2)</f>
        <v>0</v>
      </c>
      <c r="N36" s="337">
        <f>SUMIFS(BS_RE33!$H$7:$H$874,BS_RE33!$S$7:$S$874,$N$2,BS_RE33!$N$7:$N$874,I36,BS_RE33!$P$7:$P$874,'30 days CF Table(AUD)'!G36,BS_RE33!$F$7:$F$874,'30 days CF Table(AUD)'!$C$2)</f>
        <v>0</v>
      </c>
      <c r="O36" s="337">
        <f>SUMIFS(BS_RE33!$H$7:$H$874,BS_RE33!$S$7:$S$874,$O$2,BS_RE33!$N$7:$N$874,I36,BS_RE33!$P$7:$P$874,'30 days CF Table(AUD)'!G36,BS_RE33!$F$7:$F$874,'30 days CF Table(AUD)'!$C$2)</f>
        <v>0</v>
      </c>
      <c r="P36" s="337">
        <f>SUMIFS(BS_RE33!$H$7:$H$874,BS_RE33!$S$7:$S$874,$P$2,BS_RE33!$N$7:$N$874,I36,BS_RE33!$P$7:$P$874,'30 days CF Table(AUD)'!G36,BS_RE33!$F$7:$F$874,'30 days CF Table(AUD)'!$C$2)</f>
        <v>0</v>
      </c>
      <c r="Q36" s="337">
        <f>SUMIFS(BS_RE33!$H$7:$H$874,BS_RE33!$S$7:$S$874,$Q$2,BS_RE33!$N$7:$N$874,I36,BS_RE33!$P$7:$P$874,'30 days CF Table(AUD)'!G36,BS_RE33!$F$7:$F$874,'30 days CF Table(AUD)'!$C$2)</f>
        <v>0</v>
      </c>
      <c r="R36" s="337">
        <f>SUMIFS(BS_RE33!$H$7:$H$874,BS_RE33!$S$7:$S$874,$R$2,BS_RE33!$N$7:$N$874,I36,BS_RE33!$P$7:$P$874,'30 days CF Table(AUD)'!G36,BS_RE33!$F$7:$F$874,'30 days CF Table(AUD)'!$C$2)</f>
        <v>0</v>
      </c>
      <c r="S36" s="337">
        <f>SUMIFS(BS_RE33!$H$7:$H$874,BS_RE33!$S$7:$S$874,$S$2,BS_RE33!$N$7:$N$874,I36,BS_RE33!$P$7:$P$874,'30 days CF Table(AUD)'!G36,BS_RE33!$F$7:$F$874,'30 days CF Table(AUD)'!$C$2)</f>
        <v>0</v>
      </c>
      <c r="T36" s="337">
        <f>SUMIFS(BS_RE33!$H$7:$H$874,BS_RE33!$S$7:$S$874,$T$2,BS_RE33!$N$7:$N$874,I36,BS_RE33!$P$7:$P$874,'30 days CF Table(AUD)'!G36,BS_RE33!$F$7:$F$874,'30 days CF Table(AUD)'!$C$2)</f>
        <v>0</v>
      </c>
      <c r="U36" s="337">
        <f>SUMIFS(BS_RE33!$H$7:$H$874,BS_RE33!$S$7:$S$874,$U$2,BS_RE33!$N$7:$N$874,I36,BS_RE33!$P$7:$P$874,'30 days CF Table(AUD)'!G36,BS_RE33!$F$7:$F$874,'30 days CF Table(AUD)'!$C$2)</f>
        <v>0</v>
      </c>
      <c r="V36" s="337">
        <f>SUMIFS(BS_RE33!$H$7:$H$874,BS_RE33!$S$7:$S$874,$V$2,BS_RE33!$N$7:$N$874,I36,BS_RE33!$P$7:$P$874,'30 days CF Table(AUD)'!G36,BS_RE33!$F$7:$F$874,'30 days CF Table(AUD)'!$C$2)</f>
        <v>0</v>
      </c>
      <c r="W36" s="337">
        <f>SUMIFS(BS_RE33!$H$7:$H$874,BS_RE33!$S$7:$S$874,$W$2,BS_RE33!$N$7:$N$874,I36,BS_RE33!$P$7:$P$874,'30 days CF Table(AUD)'!G36,BS_RE33!$F$7:$F$874,'30 days CF Table(AUD)'!$C$2)</f>
        <v>0</v>
      </c>
      <c r="X36" s="337">
        <f>SUMIFS(BS_RE33!$H$7:$H$874,BS_RE33!$S$7:$S$874,$X$2,BS_RE33!$N$7:$N$874,I36,BS_RE33!$P$7:$P$874,'30 days CF Table(AUD)'!G36,BS_RE33!$F$7:$F$874,'30 days CF Table(AUD)'!$C$2)</f>
        <v>0</v>
      </c>
      <c r="Y36" s="337">
        <f>SUMIFS(BS_RE33!$H$7:$H$874,BS_RE33!$S$7:$S$874,$Y$2,BS_RE33!$N$7:$N$874,I36,BS_RE33!$P$7:$P$874,'30 days CF Table(AUD)'!G36,BS_RE33!$F$7:$F$874,'30 days CF Table(AUD)'!$C$2)</f>
        <v>0</v>
      </c>
      <c r="Z36" s="337">
        <f>SUMIFS(BS_RE33!$H$7:$H$874,BS_RE33!$S$7:$S$874,$Z$2,BS_RE33!$N$7:$N$874,I36,BS_RE33!$P$7:$P$874,'30 days CF Table(AUD)'!G36,BS_RE33!$F$7:$F$874,'30 days CF Table(AUD)'!$C$2)</f>
        <v>0</v>
      </c>
      <c r="AA36" s="337">
        <f>SUMIFS(BS_RE33!$H$7:$H$874,BS_RE33!$S$7:$S$874,$AA$2,BS_RE33!$N$7:$N$874,I36,BS_RE33!$P$7:$P$874,'30 days CF Table(AUD)'!G36,BS_RE33!$F$7:$F$874,'30 days CF Table(AUD)'!$C$2)</f>
        <v>0</v>
      </c>
      <c r="AB36" s="337">
        <f>SUMIFS(BS_RE33!$H$7:$H$874,BS_RE33!$S$7:$S$874,$AB$2,BS_RE33!$N$7:$N$874,I36,BS_RE33!$P$7:$P$874,'30 days CF Table(AUD)'!G36,BS_RE33!$F$7:$F$874,'30 days CF Table(AUD)'!$C$2)</f>
        <v>0</v>
      </c>
      <c r="AC36" s="337">
        <f>SUMIFS(BS_RE33!$H$7:$H$874,BS_RE33!$S$7:$S$874,$AC$2,BS_RE33!$N$7:$N$874,I36,BS_RE33!$P$7:$P$874,'30 days CF Table(AUD)'!G36,BS_RE33!$F$7:$F$874,'30 days CF Table(AUD)'!$C$2)</f>
        <v>0</v>
      </c>
      <c r="AD36" s="337">
        <f>SUMIFS(BS_RE33!$H$7:$H$874,BS_RE33!$S$7:$S$874,$AD$2,BS_RE33!$N$7:$N$874,I36,BS_RE33!$P$7:$P$874,'30 days CF Table(AUD)'!G36,BS_RE33!$F$7:$F$874,'30 days CF Table(AUD)'!$C$2)</f>
        <v>0</v>
      </c>
      <c r="AE36" s="337">
        <f>SUMIFS(BS_RE33!$H$7:$H$874,BS_RE33!$S$7:$S$874,$AE$2,BS_RE33!$N$7:$N$874,I36,BS_RE33!$P$7:$P$874,'30 days CF Table(AUD)'!G36,BS_RE33!$F$7:$F$874,'30 days CF Table(AUD)'!$C$2)</f>
        <v>0</v>
      </c>
      <c r="AF36" s="337">
        <f>SUMIFS(BS_RE33!$H$7:$H$874,BS_RE33!$S$7:$S$874,$AF$2,BS_RE33!$N$7:$N$874,I36,BS_RE33!$P$7:$P$874,'30 days CF Table(AUD)'!G36,BS_RE33!$F$7:$F$874,'30 days CF Table(AUD)'!$C$2)</f>
        <v>0</v>
      </c>
      <c r="AG36" s="337">
        <f>SUMIFS(BS_RE33!$H$7:$H$874,BS_RE33!$S$7:$S$874,$AG$2,BS_RE33!$N$7:$N$874,I36,BS_RE33!$P$7:$P$874,'30 days CF Table(AUD)'!G36,BS_RE33!$F$7:$F$874,'30 days CF Table(AUD)'!$C$2)</f>
        <v>0</v>
      </c>
      <c r="AH36" s="337">
        <f>SUMIFS(BS_RE33!$H$7:$H$874,BS_RE33!$S$7:$S$874,$AH$2,BS_RE33!$N$7:$N$874,I36,BS_RE33!$P$7:$P$874,'30 days CF Table(AUD)'!G36,BS_RE33!$F$7:$F$874,'30 days CF Table(AUD)'!$C$2)</f>
        <v>0</v>
      </c>
      <c r="AI36" s="337">
        <f>SUMIFS(BS_RE33!$H$7:$H$874,BS_RE33!$S$7:$S$874,$AI$2,BS_RE33!$N$7:$N$874,I36,BS_RE33!$P$7:$P$874,'30 days CF Table(AUD)'!G36,BS_RE33!$F$7:$F$874,'30 days CF Table(AUD)'!$C$2)</f>
        <v>0</v>
      </c>
      <c r="AJ36" s="337">
        <f>SUMIFS(BS_RE33!$H$7:$H$874,BS_RE33!$S$7:$S$874,$AJ$2,BS_RE33!$N$7:$N$874,I36,BS_RE33!$P$7:$P$874,'30 days CF Table(AUD)'!G36,BS_RE33!$F$7:$F$874,'30 days CF Table(AUD)'!$C$2)</f>
        <v>0</v>
      </c>
      <c r="AK36" s="337">
        <f>SUMIFS(BS_RE33!$H$7:$H$874,BS_RE33!$S$7:$S$874,$AK$2,BS_RE33!$N$7:$N$874,I36,BS_RE33!$P$7:$P$874,'30 days CF Table(AUD)'!G36,BS_RE33!$F$7:$F$874,'30 days CF Table(AUD)'!$C$2)</f>
        <v>0</v>
      </c>
      <c r="AL36" s="337">
        <f>SUMIFS(BS_RE33!$H$7:$H$874,BS_RE33!$S$7:$S$874,$AL$2,BS_RE33!$N$7:$N$874,I36,BS_RE33!$P$7:$P$874,'30 days CF Table(AUD)'!G36,BS_RE33!$F$7:$F$874,'30 days CF Table(AUD)'!$C$2)</f>
        <v>0</v>
      </c>
      <c r="AM36" s="337">
        <f>SUMIFS(BS_RE33!$H$7:$H$874,BS_RE33!$S$7:$S$874,$AM$2,BS_RE33!$N$7:$N$874,I36,BS_RE33!$P$7:$P$874,'30 days CF Table(AUD)'!G36,BS_RE33!$F$7:$F$874,'30 days CF Table(AUD)'!$C$2)</f>
        <v>0</v>
      </c>
      <c r="AN36" s="337">
        <f>SUMIFS(BS_RE33!$H$7:$H$874,BS_RE33!$S$7:$S$874,$AN$2,BS_RE33!$N$7:$N$874,I36,BS_RE33!$P$7:$P$874,'30 days CF Table(AUD)'!G36,BS_RE33!$F$7:$F$874,'30 days CF Table(AUD)'!$C$2)</f>
        <v>0</v>
      </c>
      <c r="AO36" s="337">
        <f>SUMIFS(BS_RE33!$H$7:$H$874,BS_RE33!$S$7:$S$874,$AO$2,BS_RE33!$N$7:$N$874,I36,BS_RE33!$P$7:$P$874,'30 days CF Table(AUD)'!G36,BS_RE33!$F$7:$F$874,'30 days CF Table(AUD)'!$C$2)</f>
        <v>0</v>
      </c>
      <c r="AP36" s="338">
        <f>SUMIFS(BS_RE33!$H$7:$H$874,BS_RE33!$S$7:$S$874,$AP$2,BS_RE33!$N$7:$N$874,I36,BS_RE33!$P$7:$P$874,'30 days CF Table(AUD)'!G36,BS_RE33!$F$7:$F$874,'30 days CF Table(AUD)'!$C$2)</f>
        <v>0</v>
      </c>
      <c r="AR36" s="379">
        <f>SUMIFS(BS_RE33!$H$7:$H$874,BS_RE33!$S$7:$S$874,$AR$2,BS_RE33!$N$7:$N$874,I36,BS_RE33!$P$7:$P$874,'30 days CF Table(AUD)'!G36,BS_RE33!$F$7:$F$874,'30 days CF Table(AUD)'!$C$2)</f>
        <v>0</v>
      </c>
      <c r="AS36" s="379">
        <f>SUMIFS(BS_RE33!$H$7:$H$874,BS_RE33!$S$7:$S$874,$AS$2,BS_RE33!$N$7:$N$874,I36,BS_RE33!$P$7:$P$874,'30 days CF Table(AUD)'!G36,BS_RE33!$F$7:$F$874,'30 days CF Table(AUD)'!$C$2)</f>
        <v>0</v>
      </c>
      <c r="AT36" s="379">
        <f>SUMIFS(BS_RE33!$H$7:$H$874,BS_RE33!$S$7:$S$874,$AT$2,BS_RE33!$N$7:$N$874,I36,BS_RE33!$P$7:$P$874,'30 days CF Table(AUD)'!G36,BS_RE33!$F$7:$F$874,'30 days CF Table(AUD)'!$C$2)</f>
        <v>0</v>
      </c>
      <c r="AU36" s="379">
        <f>SUMIFS(BS_RE33!$H$7:$H$874,BS_RE33!$S$7:$S$874,$AU$2,BS_RE33!$N$7:$N$874,I36,BS_RE33!$P$7:$P$874,'30 days CF Table(AUD)'!G36,BS_RE33!$F$7:$F$874,'30 days CF Table(AUD)'!$C$2)</f>
        <v>0</v>
      </c>
      <c r="AV36" s="379">
        <f>SUMIFS(BS_RE33!$H$7:$H$874,BS_RE33!$S$7:$S$874,$AV$2,BS_RE33!$N$7:$N$874,I36,BS_RE33!$P$7:$P$874,'30 days CF Table(AUD)'!G36,BS_RE33!$F$7:$F$874,'30 days CF Table(AUD)'!$C$2)</f>
        <v>0</v>
      </c>
      <c r="AW36" s="379">
        <f>SUMIFS(BS_RE33!$H$7:$H$874,BS_RE33!$S$7:$S$874,$AW$2,BS_RE33!$N$7:$N$874,I36,BS_RE33!$P$7:$P$874,'30 days CF Table(AUD)'!G36,BS_RE33!$F$7:$F$874,'30 days CF Table(AUD)'!$C$2)</f>
        <v>0</v>
      </c>
      <c r="AX36" s="379">
        <f>SUMIFS(BS_RE33!$H$7:$H$874,BS_RE33!$S$7:$S$874,$AX$2,BS_RE33!$N$7:$N$874,I36,BS_RE33!$P$7:$P$874,'30 days CF Table(AUD)'!G36,BS_RE33!$F$7:$F$874,'30 days CF Table(AUD)'!$C$2)</f>
        <v>0</v>
      </c>
      <c r="AY36" s="379">
        <f>SUMIFS(BS_RE33!$H$7:$H$874,BS_RE33!$S$7:$S$874,$AY$2,BS_RE33!$N$7:$N$874,I36,BS_RE33!$P$7:$P$874,'30 days CF Table(AUD)'!G36,BS_RE33!$F$7:$F$874,'30 days CF Table(AUD)'!$C$2)</f>
        <v>0</v>
      </c>
      <c r="AZ36" s="379">
        <f>SUMIFS(BS_RE33!$H$7:$H$874,BS_RE33!$S$7:$S$874,$AZ$2,BS_RE33!$N$7:$N$874,I36,BS_RE33!$P$7:$P$874,'30 days CF Table(AUD)'!G36,BS_RE33!$F$7:$F$874,'30 days CF Table(AUD)'!$C$2)</f>
        <v>0</v>
      </c>
      <c r="BA36" s="379">
        <f>SUMIFS(BS_RE33!$H$7:$H$874,BS_RE33!$S$7:$S$874,$BA$2,BS_RE33!$N$7:$N$874,I36,BS_RE33!$P$7:$P$874,'30 days CF Table(AUD)'!G36,BS_RE33!$F$7:$F$874,'30 days CF Table(AUD)'!$C$2)</f>
        <v>0</v>
      </c>
      <c r="BB36" s="379">
        <f>SUMIFS(BS_RE33!$H$7:$H$874,BS_RE33!$S$7:$S$874,$BB$2,BS_RE33!$N$7:$N$874,I36,BS_RE33!$P$7:$P$874,'30 days CF Table(AUD)'!G36,BS_RE33!$F$7:$F$874,'30 days CF Table(AUD)'!$C$2)</f>
        <v>0</v>
      </c>
      <c r="BC36" s="379">
        <f>SUMIFS(BS_RE33!$H$7:$H$874,BS_RE33!$S$7:$S$874,$BC$2,BS_RE33!$N$7:$N$874,I36,BS_RE33!$P$7:$P$874,'30 days CF Table(AUD)'!G36,BS_RE33!$F$7:$F$874,'30 days CF Table(AUD)'!$C$2)</f>
        <v>0</v>
      </c>
      <c r="BD36" s="379">
        <f>SUMIFS(BS_RE33!$H$7:$H$874,BS_RE33!$S$7:$S$874,$BD$2,BS_RE33!$N$7:$N$874,I36,BS_RE33!$P$7:$P$874,'30 days CF Table(AUD)'!G36,BS_RE33!$F$7:$F$874,'30 days CF Table(AUD)'!$C$2)</f>
        <v>0</v>
      </c>
      <c r="BE36" s="379">
        <f>SUMIFS(BS_RE33!$H$7:$H$874,BS_RE33!$S$7:$S$874,$BE$2,BS_RE33!$N$7:$N$874,I36,BS_RE33!$P$7:$P$874,'30 days CF Table(AUD)'!G36,BS_RE33!$F$7:$F$874,'30 days CF Table(AUD)'!$C$2)</f>
        <v>0</v>
      </c>
      <c r="BF36" s="379">
        <f>SUMIFS(BS_RE33!$H$7:$H$874,BS_RE33!$S$7:$S$874,$BF$2,BS_RE33!$N$7:$N$874,I36,BS_RE33!$P$7:$P$874,'30 days CF Table(AUD)'!G36,BS_RE33!$F$7:$F$874,'30 days CF Table(AUD)'!$C$2)</f>
        <v>0</v>
      </c>
      <c r="BG36" s="379">
        <f>SUMIFS(BS_RE33!$H$7:$H$874,BS_RE33!$S$7:$S$874,$BG$2,BS_RE33!$N$7:$N$874,I36,BS_RE33!$P$7:$P$874,'30 days CF Table(AUD)'!G36,BS_RE33!$F$7:$F$874,'30 days CF Table(AUD)'!$C$2)</f>
        <v>0</v>
      </c>
      <c r="BH36" s="379">
        <f>SUMIFS(BS_RE33!$H$7:$H$874,BS_RE33!$S$7:$S$874,$BH$2,BS_RE33!$N$7:$N$874,I36,BS_RE33!$P$7:$P$874,'30 days CF Table(AUD)'!G36,BS_RE33!$F$7:$F$874,'30 days CF Table(AUD)'!$C$2)</f>
        <v>0</v>
      </c>
      <c r="BI36" s="379">
        <f>SUMIFS(BS_RE33!$H$7:$H$874,BS_RE33!$S$7:$S$874,$BI$2,BS_RE33!$N$7:$N$874,I36,BS_RE33!$P$7:$P$874,'30 days CF Table(AUD)'!G36,BS_RE33!$F$7:$F$874,'30 days CF Table(AUD)'!$C$2)</f>
        <v>0</v>
      </c>
      <c r="BJ36" s="379">
        <f>SUMIFS(BS_RE33!$H$7:$H$874,BS_RE33!$S$7:$S$874,$BJ$2,BS_RE33!$N$7:$N$874,I36,BS_RE33!$P$7:$P$874,'30 days CF Table(AUD)'!G36,BS_RE33!$F$7:$F$874,'30 days CF Table(AUD)'!$C$2)</f>
        <v>0</v>
      </c>
      <c r="BK36" s="379">
        <f>SUMIFS(BS_RE33!$H$7:$H$874,BS_RE33!$S$7:$S$874,$BK$2,BS_RE33!$N$7:$N$874,I36,BS_RE33!$P$7:$P$874,'30 days CF Table(AUD)'!G36,BS_RE33!$F$7:$F$874,'30 days CF Table(AUD)'!$C$2)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Table(AUD)'!G37,BS_RE33!$F$7:$F$874,'30 days CF Table(AUD)'!$C$2)</f>
        <v>0</v>
      </c>
      <c r="M37" s="337">
        <f>SUMIFS(BS_RE33!$H$7:$H$874,BS_RE33!$S$7:$S$874,$M$2,BS_RE33!$N$7:$N$874,I37,BS_RE33!$P$7:$P$874,'30 days CF Table(AUD)'!G37,BS_RE33!$F$7:$F$874,'30 days CF Table(AUD)'!$C$2)</f>
        <v>0</v>
      </c>
      <c r="N37" s="337">
        <f>SUMIFS(BS_RE33!$H$7:$H$874,BS_RE33!$S$7:$S$874,$N$2,BS_RE33!$N$7:$N$874,I37,BS_RE33!$P$7:$P$874,'30 days CF Table(AUD)'!G37,BS_RE33!$F$7:$F$874,'30 days CF Table(AUD)'!$C$2)</f>
        <v>0</v>
      </c>
      <c r="O37" s="337">
        <f>SUMIFS(BS_RE33!$H$7:$H$874,BS_RE33!$S$7:$S$874,$O$2,BS_RE33!$N$7:$N$874,I37,BS_RE33!$P$7:$P$874,'30 days CF Table(AUD)'!G37,BS_RE33!$F$7:$F$874,'30 days CF Table(AUD)'!$C$2)</f>
        <v>0</v>
      </c>
      <c r="P37" s="337">
        <f>SUMIFS(BS_RE33!$H$7:$H$874,BS_RE33!$S$7:$S$874,$P$2,BS_RE33!$N$7:$N$874,I37,BS_RE33!$P$7:$P$874,'30 days CF Table(AUD)'!G37,BS_RE33!$F$7:$F$874,'30 days CF Table(AUD)'!$C$2)</f>
        <v>0</v>
      </c>
      <c r="Q37" s="337">
        <f>SUMIFS(BS_RE33!$H$7:$H$874,BS_RE33!$S$7:$S$874,$Q$2,BS_RE33!$N$7:$N$874,I37,BS_RE33!$P$7:$P$874,'30 days CF Table(AUD)'!G37,BS_RE33!$F$7:$F$874,'30 days CF Table(AUD)'!$C$2)</f>
        <v>0</v>
      </c>
      <c r="R37" s="337">
        <f>SUMIFS(BS_RE33!$H$7:$H$874,BS_RE33!$S$7:$S$874,$R$2,BS_RE33!$N$7:$N$874,I37,BS_RE33!$P$7:$P$874,'30 days CF Table(AUD)'!G37,BS_RE33!$F$7:$F$874,'30 days CF Table(AUD)'!$C$2)</f>
        <v>0</v>
      </c>
      <c r="S37" s="337">
        <f>SUMIFS(BS_RE33!$H$7:$H$874,BS_RE33!$S$7:$S$874,$S$2,BS_RE33!$N$7:$N$874,I37,BS_RE33!$P$7:$P$874,'30 days CF Table(AUD)'!G37,BS_RE33!$F$7:$F$874,'30 days CF Table(AUD)'!$C$2)</f>
        <v>0</v>
      </c>
      <c r="T37" s="337">
        <f>SUMIFS(BS_RE33!$H$7:$H$874,BS_RE33!$S$7:$S$874,$T$2,BS_RE33!$N$7:$N$874,I37,BS_RE33!$P$7:$P$874,'30 days CF Table(AUD)'!G37,BS_RE33!$F$7:$F$874,'30 days CF Table(AUD)'!$C$2)</f>
        <v>0</v>
      </c>
      <c r="U37" s="337">
        <f>SUMIFS(BS_RE33!$H$7:$H$874,BS_RE33!$S$7:$S$874,$U$2,BS_RE33!$N$7:$N$874,I37,BS_RE33!$P$7:$P$874,'30 days CF Table(AUD)'!G37,BS_RE33!$F$7:$F$874,'30 days CF Table(AUD)'!$C$2)</f>
        <v>0</v>
      </c>
      <c r="V37" s="337">
        <f>SUMIFS(BS_RE33!$H$7:$H$874,BS_RE33!$S$7:$S$874,$V$2,BS_RE33!$N$7:$N$874,I37,BS_RE33!$P$7:$P$874,'30 days CF Table(AUD)'!G37,BS_RE33!$F$7:$F$874,'30 days CF Table(AUD)'!$C$2)</f>
        <v>0</v>
      </c>
      <c r="W37" s="337">
        <f>SUMIFS(BS_RE33!$H$7:$H$874,BS_RE33!$S$7:$S$874,$W$2,BS_RE33!$N$7:$N$874,I37,BS_RE33!$P$7:$P$874,'30 days CF Table(AUD)'!G37,BS_RE33!$F$7:$F$874,'30 days CF Table(AUD)'!$C$2)</f>
        <v>0</v>
      </c>
      <c r="X37" s="337">
        <f>SUMIFS(BS_RE33!$H$7:$H$874,BS_RE33!$S$7:$S$874,$X$2,BS_RE33!$N$7:$N$874,I37,BS_RE33!$P$7:$P$874,'30 days CF Table(AUD)'!G37,BS_RE33!$F$7:$F$874,'30 days CF Table(AUD)'!$C$2)</f>
        <v>0</v>
      </c>
      <c r="Y37" s="337">
        <f>SUMIFS(BS_RE33!$H$7:$H$874,BS_RE33!$S$7:$S$874,$Y$2,BS_RE33!$N$7:$N$874,I37,BS_RE33!$P$7:$P$874,'30 days CF Table(AUD)'!G37,BS_RE33!$F$7:$F$874,'30 days CF Table(AUD)'!$C$2)</f>
        <v>0</v>
      </c>
      <c r="Z37" s="337">
        <f>SUMIFS(BS_RE33!$H$7:$H$874,BS_RE33!$S$7:$S$874,$Z$2,BS_RE33!$N$7:$N$874,I37,BS_RE33!$P$7:$P$874,'30 days CF Table(AUD)'!G37,BS_RE33!$F$7:$F$874,'30 days CF Table(AUD)'!$C$2)</f>
        <v>0</v>
      </c>
      <c r="AA37" s="337">
        <f>SUMIFS(BS_RE33!$H$7:$H$874,BS_RE33!$S$7:$S$874,$AA$2,BS_RE33!$N$7:$N$874,I37,BS_RE33!$P$7:$P$874,'30 days CF Table(AUD)'!G37,BS_RE33!$F$7:$F$874,'30 days CF Table(AUD)'!$C$2)</f>
        <v>0</v>
      </c>
      <c r="AB37" s="337">
        <f>SUMIFS(BS_RE33!$H$7:$H$874,BS_RE33!$S$7:$S$874,$AB$2,BS_RE33!$N$7:$N$874,I37,BS_RE33!$P$7:$P$874,'30 days CF Table(AUD)'!G37,BS_RE33!$F$7:$F$874,'30 days CF Table(AUD)'!$C$2)</f>
        <v>0</v>
      </c>
      <c r="AC37" s="337">
        <f>SUMIFS(BS_RE33!$H$7:$H$874,BS_RE33!$S$7:$S$874,$AC$2,BS_RE33!$N$7:$N$874,I37,BS_RE33!$P$7:$P$874,'30 days CF Table(AUD)'!G37,BS_RE33!$F$7:$F$874,'30 days CF Table(AUD)'!$C$2)</f>
        <v>0</v>
      </c>
      <c r="AD37" s="337">
        <f>SUMIFS(BS_RE33!$H$7:$H$874,BS_RE33!$S$7:$S$874,$AD$2,BS_RE33!$N$7:$N$874,I37,BS_RE33!$P$7:$P$874,'30 days CF Table(AUD)'!G37,BS_RE33!$F$7:$F$874,'30 days CF Table(AUD)'!$C$2)</f>
        <v>0</v>
      </c>
      <c r="AE37" s="337">
        <f>SUMIFS(BS_RE33!$H$7:$H$874,BS_RE33!$S$7:$S$874,$AE$2,BS_RE33!$N$7:$N$874,I37,BS_RE33!$P$7:$P$874,'30 days CF Table(AUD)'!G37,BS_RE33!$F$7:$F$874,'30 days CF Table(AUD)'!$C$2)</f>
        <v>0</v>
      </c>
      <c r="AF37" s="337">
        <f>SUMIFS(BS_RE33!$H$7:$H$874,BS_RE33!$S$7:$S$874,$AF$2,BS_RE33!$N$7:$N$874,I37,BS_RE33!$P$7:$P$874,'30 days CF Table(AUD)'!G37,BS_RE33!$F$7:$F$874,'30 days CF Table(AUD)'!$C$2)</f>
        <v>0</v>
      </c>
      <c r="AG37" s="337">
        <f>SUMIFS(BS_RE33!$H$7:$H$874,BS_RE33!$S$7:$S$874,$AG$2,BS_RE33!$N$7:$N$874,I37,BS_RE33!$P$7:$P$874,'30 days CF Table(AUD)'!G37,BS_RE33!$F$7:$F$874,'30 days CF Table(AUD)'!$C$2)</f>
        <v>0</v>
      </c>
      <c r="AH37" s="337">
        <f>SUMIFS(BS_RE33!$H$7:$H$874,BS_RE33!$S$7:$S$874,$AH$2,BS_RE33!$N$7:$N$874,I37,BS_RE33!$P$7:$P$874,'30 days CF Table(AUD)'!G37,BS_RE33!$F$7:$F$874,'30 days CF Table(AUD)'!$C$2)</f>
        <v>0</v>
      </c>
      <c r="AI37" s="337">
        <f>SUMIFS(BS_RE33!$H$7:$H$874,BS_RE33!$S$7:$S$874,$AI$2,BS_RE33!$N$7:$N$874,I37,BS_RE33!$P$7:$P$874,'30 days CF Table(AUD)'!G37,BS_RE33!$F$7:$F$874,'30 days CF Table(AUD)'!$C$2)</f>
        <v>0</v>
      </c>
      <c r="AJ37" s="337">
        <f>SUMIFS(BS_RE33!$H$7:$H$874,BS_RE33!$S$7:$S$874,$AJ$2,BS_RE33!$N$7:$N$874,I37,BS_RE33!$P$7:$P$874,'30 days CF Table(AUD)'!G37,BS_RE33!$F$7:$F$874,'30 days CF Table(AUD)'!$C$2)</f>
        <v>0</v>
      </c>
      <c r="AK37" s="337">
        <f>SUMIFS(BS_RE33!$H$7:$H$874,BS_RE33!$S$7:$S$874,$AK$2,BS_RE33!$N$7:$N$874,I37,BS_RE33!$P$7:$P$874,'30 days CF Table(AUD)'!G37,BS_RE33!$F$7:$F$874,'30 days CF Table(AUD)'!$C$2)</f>
        <v>0</v>
      </c>
      <c r="AL37" s="337">
        <f>SUMIFS(BS_RE33!$H$7:$H$874,BS_RE33!$S$7:$S$874,$AL$2,BS_RE33!$N$7:$N$874,I37,BS_RE33!$P$7:$P$874,'30 days CF Table(AUD)'!G37,BS_RE33!$F$7:$F$874,'30 days CF Table(AUD)'!$C$2)</f>
        <v>0</v>
      </c>
      <c r="AM37" s="337">
        <f>SUMIFS(BS_RE33!$H$7:$H$874,BS_RE33!$S$7:$S$874,$AM$2,BS_RE33!$N$7:$N$874,I37,BS_RE33!$P$7:$P$874,'30 days CF Table(AUD)'!G37,BS_RE33!$F$7:$F$874,'30 days CF Table(AUD)'!$C$2)</f>
        <v>0</v>
      </c>
      <c r="AN37" s="337">
        <f>SUMIFS(BS_RE33!$H$7:$H$874,BS_RE33!$S$7:$S$874,$AN$2,BS_RE33!$N$7:$N$874,I37,BS_RE33!$P$7:$P$874,'30 days CF Table(AUD)'!G37,BS_RE33!$F$7:$F$874,'30 days CF Table(AUD)'!$C$2)</f>
        <v>0</v>
      </c>
      <c r="AO37" s="337">
        <f>SUMIFS(BS_RE33!$H$7:$H$874,BS_RE33!$S$7:$S$874,$AO$2,BS_RE33!$N$7:$N$874,I37,BS_RE33!$P$7:$P$874,'30 days CF Table(AUD)'!G37,BS_RE33!$F$7:$F$874,'30 days CF Table(AUD)'!$C$2)</f>
        <v>0</v>
      </c>
      <c r="AP37" s="338">
        <f>SUMIFS(BS_RE33!$H$7:$H$874,BS_RE33!$S$7:$S$874,$AP$2,BS_RE33!$N$7:$N$874,I37,BS_RE33!$P$7:$P$874,'30 days CF Table(AUD)'!G37,BS_RE33!$F$7:$F$874,'30 days CF Table(AUD)'!$C$2)</f>
        <v>0</v>
      </c>
      <c r="AR37" s="379">
        <f>SUMIFS(BS_RE33!$H$7:$H$874,BS_RE33!$S$7:$S$874,$AR$2,BS_RE33!$N$7:$N$874,I37,BS_RE33!$P$7:$P$874,'30 days CF Table(AUD)'!G37,BS_RE33!$F$7:$F$874,'30 days CF Table(AUD)'!$C$2)</f>
        <v>0</v>
      </c>
      <c r="AS37" s="379">
        <f>SUMIFS(BS_RE33!$H$7:$H$874,BS_RE33!$S$7:$S$874,$AS$2,BS_RE33!$N$7:$N$874,I37,BS_RE33!$P$7:$P$874,'30 days CF Table(AUD)'!G37,BS_RE33!$F$7:$F$874,'30 days CF Table(AUD)'!$C$2)</f>
        <v>0</v>
      </c>
      <c r="AT37" s="379">
        <f>SUMIFS(BS_RE33!$H$7:$H$874,BS_RE33!$S$7:$S$874,$AT$2,BS_RE33!$N$7:$N$874,I37,BS_RE33!$P$7:$P$874,'30 days CF Table(AUD)'!G37,BS_RE33!$F$7:$F$874,'30 days CF Table(AUD)'!$C$2)</f>
        <v>0</v>
      </c>
      <c r="AU37" s="379">
        <f>SUMIFS(BS_RE33!$H$7:$H$874,BS_RE33!$S$7:$S$874,$AU$2,BS_RE33!$N$7:$N$874,I37,BS_RE33!$P$7:$P$874,'30 days CF Table(AUD)'!G37,BS_RE33!$F$7:$F$874,'30 days CF Table(AUD)'!$C$2)</f>
        <v>0</v>
      </c>
      <c r="AV37" s="379">
        <f>SUMIFS(BS_RE33!$H$7:$H$874,BS_RE33!$S$7:$S$874,$AV$2,BS_RE33!$N$7:$N$874,I37,BS_RE33!$P$7:$P$874,'30 days CF Table(AUD)'!G37,BS_RE33!$F$7:$F$874,'30 days CF Table(AUD)'!$C$2)</f>
        <v>0</v>
      </c>
      <c r="AW37" s="379">
        <f>SUMIFS(BS_RE33!$H$7:$H$874,BS_RE33!$S$7:$S$874,$AW$2,BS_RE33!$N$7:$N$874,I37,BS_RE33!$P$7:$P$874,'30 days CF Table(AUD)'!G37,BS_RE33!$F$7:$F$874,'30 days CF Table(AUD)'!$C$2)</f>
        <v>0</v>
      </c>
      <c r="AX37" s="379">
        <f>SUMIFS(BS_RE33!$H$7:$H$874,BS_RE33!$S$7:$S$874,$AX$2,BS_RE33!$N$7:$N$874,I37,BS_RE33!$P$7:$P$874,'30 days CF Table(AUD)'!G37,BS_RE33!$F$7:$F$874,'30 days CF Table(AUD)'!$C$2)</f>
        <v>0</v>
      </c>
      <c r="AY37" s="379">
        <f>SUMIFS(BS_RE33!$H$7:$H$874,BS_RE33!$S$7:$S$874,$AY$2,BS_RE33!$N$7:$N$874,I37,BS_RE33!$P$7:$P$874,'30 days CF Table(AUD)'!G37,BS_RE33!$F$7:$F$874,'30 days CF Table(AUD)'!$C$2)</f>
        <v>0</v>
      </c>
      <c r="AZ37" s="379">
        <f>SUMIFS(BS_RE33!$H$7:$H$874,BS_RE33!$S$7:$S$874,$AZ$2,BS_RE33!$N$7:$N$874,I37,BS_RE33!$P$7:$P$874,'30 days CF Table(AUD)'!G37,BS_RE33!$F$7:$F$874,'30 days CF Table(AUD)'!$C$2)</f>
        <v>0</v>
      </c>
      <c r="BA37" s="379">
        <f>SUMIFS(BS_RE33!$H$7:$H$874,BS_RE33!$S$7:$S$874,$BA$2,BS_RE33!$N$7:$N$874,I37,BS_RE33!$P$7:$P$874,'30 days CF Table(AUD)'!G37,BS_RE33!$F$7:$F$874,'30 days CF Table(AUD)'!$C$2)</f>
        <v>0</v>
      </c>
      <c r="BB37" s="379">
        <f>SUMIFS(BS_RE33!$H$7:$H$874,BS_RE33!$S$7:$S$874,$BB$2,BS_RE33!$N$7:$N$874,I37,BS_RE33!$P$7:$P$874,'30 days CF Table(AUD)'!G37,BS_RE33!$F$7:$F$874,'30 days CF Table(AUD)'!$C$2)</f>
        <v>0</v>
      </c>
      <c r="BC37" s="379">
        <f>SUMIFS(BS_RE33!$H$7:$H$874,BS_RE33!$S$7:$S$874,$BC$2,BS_RE33!$N$7:$N$874,I37,BS_RE33!$P$7:$P$874,'30 days CF Table(AUD)'!G37,BS_RE33!$F$7:$F$874,'30 days CF Table(AUD)'!$C$2)</f>
        <v>0</v>
      </c>
      <c r="BD37" s="379">
        <f>SUMIFS(BS_RE33!$H$7:$H$874,BS_RE33!$S$7:$S$874,$BD$2,BS_RE33!$N$7:$N$874,I37,BS_RE33!$P$7:$P$874,'30 days CF Table(AUD)'!G37,BS_RE33!$F$7:$F$874,'30 days CF Table(AUD)'!$C$2)</f>
        <v>0</v>
      </c>
      <c r="BE37" s="379">
        <f>SUMIFS(BS_RE33!$H$7:$H$874,BS_RE33!$S$7:$S$874,$BE$2,BS_RE33!$N$7:$N$874,I37,BS_RE33!$P$7:$P$874,'30 days CF Table(AUD)'!G37,BS_RE33!$F$7:$F$874,'30 days CF Table(AUD)'!$C$2)</f>
        <v>0</v>
      </c>
      <c r="BF37" s="379">
        <f>SUMIFS(BS_RE33!$H$7:$H$874,BS_RE33!$S$7:$S$874,$BF$2,BS_RE33!$N$7:$N$874,I37,BS_RE33!$P$7:$P$874,'30 days CF Table(AUD)'!G37,BS_RE33!$F$7:$F$874,'30 days CF Table(AUD)'!$C$2)</f>
        <v>0</v>
      </c>
      <c r="BG37" s="379">
        <f>SUMIFS(BS_RE33!$H$7:$H$874,BS_RE33!$S$7:$S$874,$BG$2,BS_RE33!$N$7:$N$874,I37,BS_RE33!$P$7:$P$874,'30 days CF Table(AUD)'!G37,BS_RE33!$F$7:$F$874,'30 days CF Table(AUD)'!$C$2)</f>
        <v>0</v>
      </c>
      <c r="BH37" s="379">
        <f>SUMIFS(BS_RE33!$H$7:$H$874,BS_RE33!$S$7:$S$874,$BH$2,BS_RE33!$N$7:$N$874,I37,BS_RE33!$P$7:$P$874,'30 days CF Table(AUD)'!G37,BS_RE33!$F$7:$F$874,'30 days CF Table(AUD)'!$C$2)</f>
        <v>0</v>
      </c>
      <c r="BI37" s="379">
        <f>SUMIFS(BS_RE33!$H$7:$H$874,BS_RE33!$S$7:$S$874,$BI$2,BS_RE33!$N$7:$N$874,I37,BS_RE33!$P$7:$P$874,'30 days CF Table(AUD)'!G37,BS_RE33!$F$7:$F$874,'30 days CF Table(AUD)'!$C$2)</f>
        <v>0</v>
      </c>
      <c r="BJ37" s="379">
        <f>SUMIFS(BS_RE33!$H$7:$H$874,BS_RE33!$S$7:$S$874,$BJ$2,BS_RE33!$N$7:$N$874,I37,BS_RE33!$P$7:$P$874,'30 days CF Table(AUD)'!G37,BS_RE33!$F$7:$F$874,'30 days CF Table(AUD)'!$C$2)</f>
        <v>0</v>
      </c>
      <c r="BK37" s="379">
        <f>SUMIFS(BS_RE33!$H$7:$H$874,BS_RE33!$S$7:$S$874,$BK$2,BS_RE33!$N$7:$N$874,I37,BS_RE33!$P$7:$P$874,'30 days CF Table(AUD)'!G37,BS_RE33!$F$7:$F$874,'30 days CF Table(AUD)'!$C$2)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Table(AUD)'!G38,BS_RE33!$F$7:$F$874,'30 days CF Table(AUD)'!$C$2)</f>
        <v>0</v>
      </c>
      <c r="M38" s="337">
        <f>SUMIFS(BS_RE33!$H$7:$H$874,BS_RE33!$S$7:$S$874,$M$2,BS_RE33!$N$7:$N$874,I38,BS_RE33!$P$7:$P$874,'30 days CF Table(AUD)'!G38,BS_RE33!$F$7:$F$874,'30 days CF Table(AUD)'!$C$2)</f>
        <v>0</v>
      </c>
      <c r="N38" s="337">
        <f>SUMIFS(BS_RE33!$H$7:$H$874,BS_RE33!$S$7:$S$874,$N$2,BS_RE33!$N$7:$N$874,I38,BS_RE33!$P$7:$P$874,'30 days CF Table(AUD)'!G38,BS_RE33!$F$7:$F$874,'30 days CF Table(AUD)'!$C$2)</f>
        <v>0</v>
      </c>
      <c r="O38" s="337">
        <f>SUMIFS(BS_RE33!$H$7:$H$874,BS_RE33!$S$7:$S$874,$O$2,BS_RE33!$N$7:$N$874,I38,BS_RE33!$P$7:$P$874,'30 days CF Table(AUD)'!G38,BS_RE33!$F$7:$F$874,'30 days CF Table(AUD)'!$C$2)</f>
        <v>0</v>
      </c>
      <c r="P38" s="337">
        <f>SUMIFS(BS_RE33!$H$7:$H$874,BS_RE33!$S$7:$S$874,$P$2,BS_RE33!$N$7:$N$874,I38,BS_RE33!$P$7:$P$874,'30 days CF Table(AUD)'!G38,BS_RE33!$F$7:$F$874,'30 days CF Table(AUD)'!$C$2)</f>
        <v>0</v>
      </c>
      <c r="Q38" s="337">
        <f>SUMIFS(BS_RE33!$H$7:$H$874,BS_RE33!$S$7:$S$874,$Q$2,BS_RE33!$N$7:$N$874,I38,BS_RE33!$P$7:$P$874,'30 days CF Table(AUD)'!G38,BS_RE33!$F$7:$F$874,'30 days CF Table(AUD)'!$C$2)</f>
        <v>0</v>
      </c>
      <c r="R38" s="337">
        <f>SUMIFS(BS_RE33!$H$7:$H$874,BS_RE33!$S$7:$S$874,$R$2,BS_RE33!$N$7:$N$874,I38,BS_RE33!$P$7:$P$874,'30 days CF Table(AUD)'!G38,BS_RE33!$F$7:$F$874,'30 days CF Table(AUD)'!$C$2)</f>
        <v>0</v>
      </c>
      <c r="S38" s="337">
        <f>SUMIFS(BS_RE33!$H$7:$H$874,BS_RE33!$S$7:$S$874,$S$2,BS_RE33!$N$7:$N$874,I38,BS_RE33!$P$7:$P$874,'30 days CF Table(AUD)'!G38,BS_RE33!$F$7:$F$874,'30 days CF Table(AUD)'!$C$2)</f>
        <v>0</v>
      </c>
      <c r="T38" s="337">
        <f>SUMIFS(BS_RE33!$H$7:$H$874,BS_RE33!$S$7:$S$874,$T$2,BS_RE33!$N$7:$N$874,I38,BS_RE33!$P$7:$P$874,'30 days CF Table(AUD)'!G38,BS_RE33!$F$7:$F$874,'30 days CF Table(AUD)'!$C$2)</f>
        <v>0</v>
      </c>
      <c r="U38" s="337">
        <f>SUMIFS(BS_RE33!$H$7:$H$874,BS_RE33!$S$7:$S$874,$U$2,BS_RE33!$N$7:$N$874,I38,BS_RE33!$P$7:$P$874,'30 days CF Table(AUD)'!G38,BS_RE33!$F$7:$F$874,'30 days CF Table(AUD)'!$C$2)</f>
        <v>0</v>
      </c>
      <c r="V38" s="337">
        <f>SUMIFS(BS_RE33!$H$7:$H$874,BS_RE33!$S$7:$S$874,$V$2,BS_RE33!$N$7:$N$874,I38,BS_RE33!$P$7:$P$874,'30 days CF Table(AUD)'!G38,BS_RE33!$F$7:$F$874,'30 days CF Table(AUD)'!$C$2)</f>
        <v>0</v>
      </c>
      <c r="W38" s="337">
        <f>SUMIFS(BS_RE33!$H$7:$H$874,BS_RE33!$S$7:$S$874,$W$2,BS_RE33!$N$7:$N$874,I38,BS_RE33!$P$7:$P$874,'30 days CF Table(AUD)'!G38,BS_RE33!$F$7:$F$874,'30 days CF Table(AUD)'!$C$2)</f>
        <v>0</v>
      </c>
      <c r="X38" s="337">
        <f>SUMIFS(BS_RE33!$H$7:$H$874,BS_RE33!$S$7:$S$874,$X$2,BS_RE33!$N$7:$N$874,I38,BS_RE33!$P$7:$P$874,'30 days CF Table(AUD)'!G38,BS_RE33!$F$7:$F$874,'30 days CF Table(AUD)'!$C$2)</f>
        <v>0</v>
      </c>
      <c r="Y38" s="337">
        <f>SUMIFS(BS_RE33!$H$7:$H$874,BS_RE33!$S$7:$S$874,$Y$2,BS_RE33!$N$7:$N$874,I38,BS_RE33!$P$7:$P$874,'30 days CF Table(AUD)'!G38,BS_RE33!$F$7:$F$874,'30 days CF Table(AUD)'!$C$2)</f>
        <v>0</v>
      </c>
      <c r="Z38" s="337">
        <f>SUMIFS(BS_RE33!$H$7:$H$874,BS_RE33!$S$7:$S$874,$Z$2,BS_RE33!$N$7:$N$874,I38,BS_RE33!$P$7:$P$874,'30 days CF Table(AUD)'!G38,BS_RE33!$F$7:$F$874,'30 days CF Table(AUD)'!$C$2)</f>
        <v>0</v>
      </c>
      <c r="AA38" s="337">
        <f>SUMIFS(BS_RE33!$H$7:$H$874,BS_RE33!$S$7:$S$874,$AA$2,BS_RE33!$N$7:$N$874,I38,BS_RE33!$P$7:$P$874,'30 days CF Table(AUD)'!G38,BS_RE33!$F$7:$F$874,'30 days CF Table(AUD)'!$C$2)</f>
        <v>0</v>
      </c>
      <c r="AB38" s="337">
        <f>SUMIFS(BS_RE33!$H$7:$H$874,BS_RE33!$S$7:$S$874,$AB$2,BS_RE33!$N$7:$N$874,I38,BS_RE33!$P$7:$P$874,'30 days CF Table(AUD)'!G38,BS_RE33!$F$7:$F$874,'30 days CF Table(AUD)'!$C$2)</f>
        <v>0</v>
      </c>
      <c r="AC38" s="337">
        <f>SUMIFS(BS_RE33!$H$7:$H$874,BS_RE33!$S$7:$S$874,$AC$2,BS_RE33!$N$7:$N$874,I38,BS_RE33!$P$7:$P$874,'30 days CF Table(AUD)'!G38,BS_RE33!$F$7:$F$874,'30 days CF Table(AUD)'!$C$2)</f>
        <v>0</v>
      </c>
      <c r="AD38" s="337">
        <f>SUMIFS(BS_RE33!$H$7:$H$874,BS_RE33!$S$7:$S$874,$AD$2,BS_RE33!$N$7:$N$874,I38,BS_RE33!$P$7:$P$874,'30 days CF Table(AUD)'!G38,BS_RE33!$F$7:$F$874,'30 days CF Table(AUD)'!$C$2)</f>
        <v>0</v>
      </c>
      <c r="AE38" s="337">
        <f>SUMIFS(BS_RE33!$H$7:$H$874,BS_RE33!$S$7:$S$874,$AE$2,BS_RE33!$N$7:$N$874,I38,BS_RE33!$P$7:$P$874,'30 days CF Table(AUD)'!G38,BS_RE33!$F$7:$F$874,'30 days CF Table(AUD)'!$C$2)</f>
        <v>0</v>
      </c>
      <c r="AF38" s="337">
        <f>SUMIFS(BS_RE33!$H$7:$H$874,BS_RE33!$S$7:$S$874,$AF$2,BS_RE33!$N$7:$N$874,I38,BS_RE33!$P$7:$P$874,'30 days CF Table(AUD)'!G38,BS_RE33!$F$7:$F$874,'30 days CF Table(AUD)'!$C$2)</f>
        <v>0</v>
      </c>
      <c r="AG38" s="337">
        <f>SUMIFS(BS_RE33!$H$7:$H$874,BS_RE33!$S$7:$S$874,$AG$2,BS_RE33!$N$7:$N$874,I38,BS_RE33!$P$7:$P$874,'30 days CF Table(AUD)'!G38,BS_RE33!$F$7:$F$874,'30 days CF Table(AUD)'!$C$2)</f>
        <v>0</v>
      </c>
      <c r="AH38" s="337">
        <f>SUMIFS(BS_RE33!$H$7:$H$874,BS_RE33!$S$7:$S$874,$AH$2,BS_RE33!$N$7:$N$874,I38,BS_RE33!$P$7:$P$874,'30 days CF Table(AUD)'!G38,BS_RE33!$F$7:$F$874,'30 days CF Table(AUD)'!$C$2)</f>
        <v>0</v>
      </c>
      <c r="AI38" s="337">
        <f>SUMIFS(BS_RE33!$H$7:$H$874,BS_RE33!$S$7:$S$874,$AI$2,BS_RE33!$N$7:$N$874,I38,BS_RE33!$P$7:$P$874,'30 days CF Table(AUD)'!G38,BS_RE33!$F$7:$F$874,'30 days CF Table(AUD)'!$C$2)</f>
        <v>0</v>
      </c>
      <c r="AJ38" s="337">
        <f>SUMIFS(BS_RE33!$H$7:$H$874,BS_RE33!$S$7:$S$874,$AJ$2,BS_RE33!$N$7:$N$874,I38,BS_RE33!$P$7:$P$874,'30 days CF Table(AUD)'!G38,BS_RE33!$F$7:$F$874,'30 days CF Table(AUD)'!$C$2)</f>
        <v>0</v>
      </c>
      <c r="AK38" s="337">
        <f>SUMIFS(BS_RE33!$H$7:$H$874,BS_RE33!$S$7:$S$874,$AK$2,BS_RE33!$N$7:$N$874,I38,BS_RE33!$P$7:$P$874,'30 days CF Table(AUD)'!G38,BS_RE33!$F$7:$F$874,'30 days CF Table(AUD)'!$C$2)</f>
        <v>0</v>
      </c>
      <c r="AL38" s="337">
        <f>SUMIFS(BS_RE33!$H$7:$H$874,BS_RE33!$S$7:$S$874,$AL$2,BS_RE33!$N$7:$N$874,I38,BS_RE33!$P$7:$P$874,'30 days CF Table(AUD)'!G38,BS_RE33!$F$7:$F$874,'30 days CF Table(AUD)'!$C$2)</f>
        <v>0</v>
      </c>
      <c r="AM38" s="337">
        <f>SUMIFS(BS_RE33!$H$7:$H$874,BS_RE33!$S$7:$S$874,$AM$2,BS_RE33!$N$7:$N$874,I38,BS_RE33!$P$7:$P$874,'30 days CF Table(AUD)'!G38,BS_RE33!$F$7:$F$874,'30 days CF Table(AUD)'!$C$2)</f>
        <v>0</v>
      </c>
      <c r="AN38" s="337">
        <f>SUMIFS(BS_RE33!$H$7:$H$874,BS_RE33!$S$7:$S$874,$AN$2,BS_RE33!$N$7:$N$874,I38,BS_RE33!$P$7:$P$874,'30 days CF Table(AUD)'!G38,BS_RE33!$F$7:$F$874,'30 days CF Table(AUD)'!$C$2)</f>
        <v>0</v>
      </c>
      <c r="AO38" s="337">
        <f>SUMIFS(BS_RE33!$H$7:$H$874,BS_RE33!$S$7:$S$874,$AO$2,BS_RE33!$N$7:$N$874,I38,BS_RE33!$P$7:$P$874,'30 days CF Table(AUD)'!G38,BS_RE33!$F$7:$F$874,'30 days CF Table(AUD)'!$C$2)</f>
        <v>0</v>
      </c>
      <c r="AP38" s="338">
        <f>SUMIFS(BS_RE33!$H$7:$H$874,BS_RE33!$S$7:$S$874,$AP$2,BS_RE33!$N$7:$N$874,I38,BS_RE33!$P$7:$P$874,'30 days CF Table(AUD)'!G38,BS_RE33!$F$7:$F$874,'30 days CF Table(AUD)'!$C$2)</f>
        <v>0</v>
      </c>
      <c r="AR38" s="379">
        <f>SUMIFS(BS_RE33!$H$7:$H$874,BS_RE33!$S$7:$S$874,$AR$2,BS_RE33!$N$7:$N$874,I38,BS_RE33!$P$7:$P$874,'30 days CF Table(AUD)'!G38,BS_RE33!$F$7:$F$874,'30 days CF Table(AUD)'!$C$2)</f>
        <v>0</v>
      </c>
      <c r="AS38" s="379">
        <f>SUMIFS(BS_RE33!$H$7:$H$874,BS_RE33!$S$7:$S$874,$AS$2,BS_RE33!$N$7:$N$874,I38,BS_RE33!$P$7:$P$874,'30 days CF Table(AUD)'!G38,BS_RE33!$F$7:$F$874,'30 days CF Table(AUD)'!$C$2)</f>
        <v>0</v>
      </c>
      <c r="AT38" s="379">
        <f>SUMIFS(BS_RE33!$H$7:$H$874,BS_RE33!$S$7:$S$874,$AT$2,BS_RE33!$N$7:$N$874,I38,BS_RE33!$P$7:$P$874,'30 days CF Table(AUD)'!G38,BS_RE33!$F$7:$F$874,'30 days CF Table(AUD)'!$C$2)</f>
        <v>0</v>
      </c>
      <c r="AU38" s="379">
        <f>SUMIFS(BS_RE33!$H$7:$H$874,BS_RE33!$S$7:$S$874,$AU$2,BS_RE33!$N$7:$N$874,I38,BS_RE33!$P$7:$P$874,'30 days CF Table(AUD)'!G38,BS_RE33!$F$7:$F$874,'30 days CF Table(AUD)'!$C$2)</f>
        <v>0</v>
      </c>
      <c r="AV38" s="379">
        <f>SUMIFS(BS_RE33!$H$7:$H$874,BS_RE33!$S$7:$S$874,$AV$2,BS_RE33!$N$7:$N$874,I38,BS_RE33!$P$7:$P$874,'30 days CF Table(AUD)'!G38,BS_RE33!$F$7:$F$874,'30 days CF Table(AUD)'!$C$2)</f>
        <v>0</v>
      </c>
      <c r="AW38" s="379">
        <f>SUMIFS(BS_RE33!$H$7:$H$874,BS_RE33!$S$7:$S$874,$AW$2,BS_RE33!$N$7:$N$874,I38,BS_RE33!$P$7:$P$874,'30 days CF Table(AUD)'!G38,BS_RE33!$F$7:$F$874,'30 days CF Table(AUD)'!$C$2)</f>
        <v>0</v>
      </c>
      <c r="AX38" s="379">
        <f>SUMIFS(BS_RE33!$H$7:$H$874,BS_RE33!$S$7:$S$874,$AX$2,BS_RE33!$N$7:$N$874,I38,BS_RE33!$P$7:$P$874,'30 days CF Table(AUD)'!G38,BS_RE33!$F$7:$F$874,'30 days CF Table(AUD)'!$C$2)</f>
        <v>0</v>
      </c>
      <c r="AY38" s="379">
        <f>SUMIFS(BS_RE33!$H$7:$H$874,BS_RE33!$S$7:$S$874,$AY$2,BS_RE33!$N$7:$N$874,I38,BS_RE33!$P$7:$P$874,'30 days CF Table(AUD)'!G38,BS_RE33!$F$7:$F$874,'30 days CF Table(AUD)'!$C$2)</f>
        <v>0</v>
      </c>
      <c r="AZ38" s="379">
        <f>SUMIFS(BS_RE33!$H$7:$H$874,BS_RE33!$S$7:$S$874,$AZ$2,BS_RE33!$N$7:$N$874,I38,BS_RE33!$P$7:$P$874,'30 days CF Table(AUD)'!G38,BS_RE33!$F$7:$F$874,'30 days CF Table(AUD)'!$C$2)</f>
        <v>0</v>
      </c>
      <c r="BA38" s="379">
        <f>SUMIFS(BS_RE33!$H$7:$H$874,BS_RE33!$S$7:$S$874,$BA$2,BS_RE33!$N$7:$N$874,I38,BS_RE33!$P$7:$P$874,'30 days CF Table(AUD)'!G38,BS_RE33!$F$7:$F$874,'30 days CF Table(AUD)'!$C$2)</f>
        <v>0</v>
      </c>
      <c r="BB38" s="379">
        <f>SUMIFS(BS_RE33!$H$7:$H$874,BS_RE33!$S$7:$S$874,$BB$2,BS_RE33!$N$7:$N$874,I38,BS_RE33!$P$7:$P$874,'30 days CF Table(AUD)'!G38,BS_RE33!$F$7:$F$874,'30 days CF Table(AUD)'!$C$2)</f>
        <v>0</v>
      </c>
      <c r="BC38" s="379">
        <f>SUMIFS(BS_RE33!$H$7:$H$874,BS_RE33!$S$7:$S$874,$BC$2,BS_RE33!$N$7:$N$874,I38,BS_RE33!$P$7:$P$874,'30 days CF Table(AUD)'!G38,BS_RE33!$F$7:$F$874,'30 days CF Table(AUD)'!$C$2)</f>
        <v>0</v>
      </c>
      <c r="BD38" s="379">
        <f>SUMIFS(BS_RE33!$H$7:$H$874,BS_RE33!$S$7:$S$874,$BD$2,BS_RE33!$N$7:$N$874,I38,BS_RE33!$P$7:$P$874,'30 days CF Table(AUD)'!G38,BS_RE33!$F$7:$F$874,'30 days CF Table(AUD)'!$C$2)</f>
        <v>0</v>
      </c>
      <c r="BE38" s="379">
        <f>SUMIFS(BS_RE33!$H$7:$H$874,BS_RE33!$S$7:$S$874,$BE$2,BS_RE33!$N$7:$N$874,I38,BS_RE33!$P$7:$P$874,'30 days CF Table(AUD)'!G38,BS_RE33!$F$7:$F$874,'30 days CF Table(AUD)'!$C$2)</f>
        <v>0</v>
      </c>
      <c r="BF38" s="379">
        <f>SUMIFS(BS_RE33!$H$7:$H$874,BS_RE33!$S$7:$S$874,$BF$2,BS_RE33!$N$7:$N$874,I38,BS_RE33!$P$7:$P$874,'30 days CF Table(AUD)'!G38,BS_RE33!$F$7:$F$874,'30 days CF Table(AUD)'!$C$2)</f>
        <v>0</v>
      </c>
      <c r="BG38" s="379">
        <f>SUMIFS(BS_RE33!$H$7:$H$874,BS_RE33!$S$7:$S$874,$BG$2,BS_RE33!$N$7:$N$874,I38,BS_RE33!$P$7:$P$874,'30 days CF Table(AUD)'!G38,BS_RE33!$F$7:$F$874,'30 days CF Table(AUD)'!$C$2)</f>
        <v>0</v>
      </c>
      <c r="BH38" s="379">
        <f>SUMIFS(BS_RE33!$H$7:$H$874,BS_RE33!$S$7:$S$874,$BH$2,BS_RE33!$N$7:$N$874,I38,BS_RE33!$P$7:$P$874,'30 days CF Table(AUD)'!G38,BS_RE33!$F$7:$F$874,'30 days CF Table(AUD)'!$C$2)</f>
        <v>0</v>
      </c>
      <c r="BI38" s="379">
        <f>SUMIFS(BS_RE33!$H$7:$H$874,BS_RE33!$S$7:$S$874,$BI$2,BS_RE33!$N$7:$N$874,I38,BS_RE33!$P$7:$P$874,'30 days CF Table(AUD)'!G38,BS_RE33!$F$7:$F$874,'30 days CF Table(AUD)'!$C$2)</f>
        <v>0</v>
      </c>
      <c r="BJ38" s="379">
        <f>SUMIFS(BS_RE33!$H$7:$H$874,BS_RE33!$S$7:$S$874,$BJ$2,BS_RE33!$N$7:$N$874,I38,BS_RE33!$P$7:$P$874,'30 days CF Table(AUD)'!G38,BS_RE33!$F$7:$F$874,'30 days CF Table(AUD)'!$C$2)</f>
        <v>0</v>
      </c>
      <c r="BK38" s="379">
        <f>SUMIFS(BS_RE33!$H$7:$H$874,BS_RE33!$S$7:$S$874,$BK$2,BS_RE33!$N$7:$N$874,I38,BS_RE33!$P$7:$P$874,'30 days CF Table(AUD)'!G38,BS_RE33!$F$7:$F$874,'30 days CF Table(AUD)'!$C$2)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Table(AUD)'!G39,BS_RE33!$F$7:$F$874,'30 days CF Table(AUD)'!$C$2)</f>
        <v>0</v>
      </c>
      <c r="M39" s="337">
        <f>SUMIFS(BS_RE33!$H$7:$H$874,BS_RE33!$S$7:$S$874,$M$2,BS_RE33!$N$7:$N$874,I39,BS_RE33!$P$7:$P$874,'30 days CF Table(AUD)'!G39,BS_RE33!$F$7:$F$874,'30 days CF Table(AUD)'!$C$2)</f>
        <v>0</v>
      </c>
      <c r="N39" s="337">
        <f>SUMIFS(BS_RE33!$H$7:$H$874,BS_RE33!$S$7:$S$874,$N$2,BS_RE33!$N$7:$N$874,I39,BS_RE33!$P$7:$P$874,'30 days CF Table(AUD)'!G39,BS_RE33!$F$7:$F$874,'30 days CF Table(AUD)'!$C$2)</f>
        <v>0</v>
      </c>
      <c r="O39" s="337">
        <f>SUMIFS(BS_RE33!$H$7:$H$874,BS_RE33!$S$7:$S$874,$O$2,BS_RE33!$N$7:$N$874,I39,BS_RE33!$P$7:$P$874,'30 days CF Table(AUD)'!G39,BS_RE33!$F$7:$F$874,'30 days CF Table(AUD)'!$C$2)</f>
        <v>0</v>
      </c>
      <c r="P39" s="337">
        <f>SUMIFS(BS_RE33!$H$7:$H$874,BS_RE33!$S$7:$S$874,$P$2,BS_RE33!$N$7:$N$874,I39,BS_RE33!$P$7:$P$874,'30 days CF Table(AUD)'!G39,BS_RE33!$F$7:$F$874,'30 days CF Table(AUD)'!$C$2)</f>
        <v>0</v>
      </c>
      <c r="Q39" s="337">
        <f>SUMIFS(BS_RE33!$H$7:$H$874,BS_RE33!$S$7:$S$874,$Q$2,BS_RE33!$N$7:$N$874,I39,BS_RE33!$P$7:$P$874,'30 days CF Table(AUD)'!G39,BS_RE33!$F$7:$F$874,'30 days CF Table(AUD)'!$C$2)</f>
        <v>0</v>
      </c>
      <c r="R39" s="337">
        <f>SUMIFS(BS_RE33!$H$7:$H$874,BS_RE33!$S$7:$S$874,$R$2,BS_RE33!$N$7:$N$874,I39,BS_RE33!$P$7:$P$874,'30 days CF Table(AUD)'!G39,BS_RE33!$F$7:$F$874,'30 days CF Table(AUD)'!$C$2)</f>
        <v>0</v>
      </c>
      <c r="S39" s="337">
        <f>SUMIFS(BS_RE33!$H$7:$H$874,BS_RE33!$S$7:$S$874,$S$2,BS_RE33!$N$7:$N$874,I39,BS_RE33!$P$7:$P$874,'30 days CF Table(AUD)'!G39,BS_RE33!$F$7:$F$874,'30 days CF Table(AUD)'!$C$2)</f>
        <v>0</v>
      </c>
      <c r="T39" s="337">
        <f>SUMIFS(BS_RE33!$H$7:$H$874,BS_RE33!$S$7:$S$874,$T$2,BS_RE33!$N$7:$N$874,I39,BS_RE33!$P$7:$P$874,'30 days CF Table(AUD)'!G39,BS_RE33!$F$7:$F$874,'30 days CF Table(AUD)'!$C$2)</f>
        <v>0</v>
      </c>
      <c r="U39" s="337">
        <f>SUMIFS(BS_RE33!$H$7:$H$874,BS_RE33!$S$7:$S$874,$U$2,BS_RE33!$N$7:$N$874,I39,BS_RE33!$P$7:$P$874,'30 days CF Table(AUD)'!G39,BS_RE33!$F$7:$F$874,'30 days CF Table(AUD)'!$C$2)</f>
        <v>0</v>
      </c>
      <c r="V39" s="337">
        <f>SUMIFS(BS_RE33!$H$7:$H$874,BS_RE33!$S$7:$S$874,$V$2,BS_RE33!$N$7:$N$874,I39,BS_RE33!$P$7:$P$874,'30 days CF Table(AUD)'!G39,BS_RE33!$F$7:$F$874,'30 days CF Table(AUD)'!$C$2)</f>
        <v>0</v>
      </c>
      <c r="W39" s="337">
        <f>SUMIFS(BS_RE33!$H$7:$H$874,BS_RE33!$S$7:$S$874,$W$2,BS_RE33!$N$7:$N$874,I39,BS_RE33!$P$7:$P$874,'30 days CF Table(AUD)'!G39,BS_RE33!$F$7:$F$874,'30 days CF Table(AUD)'!$C$2)</f>
        <v>0</v>
      </c>
      <c r="X39" s="337">
        <f>SUMIFS(BS_RE33!$H$7:$H$874,BS_RE33!$S$7:$S$874,$X$2,BS_RE33!$N$7:$N$874,I39,BS_RE33!$P$7:$P$874,'30 days CF Table(AUD)'!G39,BS_RE33!$F$7:$F$874,'30 days CF Table(AUD)'!$C$2)</f>
        <v>0</v>
      </c>
      <c r="Y39" s="337">
        <f>SUMIFS(BS_RE33!$H$7:$H$874,BS_RE33!$S$7:$S$874,$Y$2,BS_RE33!$N$7:$N$874,I39,BS_RE33!$P$7:$P$874,'30 days CF Table(AUD)'!G39,BS_RE33!$F$7:$F$874,'30 days CF Table(AUD)'!$C$2)</f>
        <v>0</v>
      </c>
      <c r="Z39" s="337">
        <f>SUMIFS(BS_RE33!$H$7:$H$874,BS_RE33!$S$7:$S$874,$Z$2,BS_RE33!$N$7:$N$874,I39,BS_RE33!$P$7:$P$874,'30 days CF Table(AUD)'!G39,BS_RE33!$F$7:$F$874,'30 days CF Table(AUD)'!$C$2)</f>
        <v>0</v>
      </c>
      <c r="AA39" s="337">
        <f>SUMIFS(BS_RE33!$H$7:$H$874,BS_RE33!$S$7:$S$874,$AA$2,BS_RE33!$N$7:$N$874,I39,BS_RE33!$P$7:$P$874,'30 days CF Table(AUD)'!G39,BS_RE33!$F$7:$F$874,'30 days CF Table(AUD)'!$C$2)</f>
        <v>0</v>
      </c>
      <c r="AB39" s="337">
        <f>SUMIFS(BS_RE33!$H$7:$H$874,BS_RE33!$S$7:$S$874,$AB$2,BS_RE33!$N$7:$N$874,I39,BS_RE33!$P$7:$P$874,'30 days CF Table(AUD)'!G39,BS_RE33!$F$7:$F$874,'30 days CF Table(AUD)'!$C$2)</f>
        <v>0</v>
      </c>
      <c r="AC39" s="337">
        <f>SUMIFS(BS_RE33!$H$7:$H$874,BS_RE33!$S$7:$S$874,$AC$2,BS_RE33!$N$7:$N$874,I39,BS_RE33!$P$7:$P$874,'30 days CF Table(AUD)'!G39,BS_RE33!$F$7:$F$874,'30 days CF Table(AUD)'!$C$2)</f>
        <v>0</v>
      </c>
      <c r="AD39" s="337">
        <f>SUMIFS(BS_RE33!$H$7:$H$874,BS_RE33!$S$7:$S$874,$AD$2,BS_RE33!$N$7:$N$874,I39,BS_RE33!$P$7:$P$874,'30 days CF Table(AUD)'!G39,BS_RE33!$F$7:$F$874,'30 days CF Table(AUD)'!$C$2)</f>
        <v>0</v>
      </c>
      <c r="AE39" s="337">
        <f>SUMIFS(BS_RE33!$H$7:$H$874,BS_RE33!$S$7:$S$874,$AE$2,BS_RE33!$N$7:$N$874,I39,BS_RE33!$P$7:$P$874,'30 days CF Table(AUD)'!G39,BS_RE33!$F$7:$F$874,'30 days CF Table(AUD)'!$C$2)</f>
        <v>0</v>
      </c>
      <c r="AF39" s="337">
        <f>SUMIFS(BS_RE33!$H$7:$H$874,BS_RE33!$S$7:$S$874,$AF$2,BS_RE33!$N$7:$N$874,I39,BS_RE33!$P$7:$P$874,'30 days CF Table(AUD)'!G39,BS_RE33!$F$7:$F$874,'30 days CF Table(AUD)'!$C$2)</f>
        <v>0</v>
      </c>
      <c r="AG39" s="337">
        <f>SUMIFS(BS_RE33!$H$7:$H$874,BS_RE33!$S$7:$S$874,$AG$2,BS_RE33!$N$7:$N$874,I39,BS_RE33!$P$7:$P$874,'30 days CF Table(AUD)'!G39,BS_RE33!$F$7:$F$874,'30 days CF Table(AUD)'!$C$2)</f>
        <v>0</v>
      </c>
      <c r="AH39" s="337">
        <f>SUMIFS(BS_RE33!$H$7:$H$874,BS_RE33!$S$7:$S$874,$AH$2,BS_RE33!$N$7:$N$874,I39,BS_RE33!$P$7:$P$874,'30 days CF Table(AUD)'!G39,BS_RE33!$F$7:$F$874,'30 days CF Table(AUD)'!$C$2)</f>
        <v>0</v>
      </c>
      <c r="AI39" s="337">
        <f>SUMIFS(BS_RE33!$H$7:$H$874,BS_RE33!$S$7:$S$874,$AI$2,BS_RE33!$N$7:$N$874,I39,BS_RE33!$P$7:$P$874,'30 days CF Table(AUD)'!G39,BS_RE33!$F$7:$F$874,'30 days CF Table(AUD)'!$C$2)</f>
        <v>0</v>
      </c>
      <c r="AJ39" s="337">
        <f>SUMIFS(BS_RE33!$H$7:$H$874,BS_RE33!$S$7:$S$874,$AJ$2,BS_RE33!$N$7:$N$874,I39,BS_RE33!$P$7:$P$874,'30 days CF Table(AUD)'!G39,BS_RE33!$F$7:$F$874,'30 days CF Table(AUD)'!$C$2)</f>
        <v>0</v>
      </c>
      <c r="AK39" s="337">
        <f>SUMIFS(BS_RE33!$H$7:$H$874,BS_RE33!$S$7:$S$874,$AK$2,BS_RE33!$N$7:$N$874,I39,BS_RE33!$P$7:$P$874,'30 days CF Table(AUD)'!G39,BS_RE33!$F$7:$F$874,'30 days CF Table(AUD)'!$C$2)</f>
        <v>0</v>
      </c>
      <c r="AL39" s="337">
        <f>SUMIFS(BS_RE33!$H$7:$H$874,BS_RE33!$S$7:$S$874,$AL$2,BS_RE33!$N$7:$N$874,I39,BS_RE33!$P$7:$P$874,'30 days CF Table(AUD)'!G39,BS_RE33!$F$7:$F$874,'30 days CF Table(AUD)'!$C$2)</f>
        <v>0</v>
      </c>
      <c r="AM39" s="337">
        <f>SUMIFS(BS_RE33!$H$7:$H$874,BS_RE33!$S$7:$S$874,$AM$2,BS_RE33!$N$7:$N$874,I39,BS_RE33!$P$7:$P$874,'30 days CF Table(AUD)'!G39,BS_RE33!$F$7:$F$874,'30 days CF Table(AUD)'!$C$2)</f>
        <v>0</v>
      </c>
      <c r="AN39" s="337">
        <f>SUMIFS(BS_RE33!$H$7:$H$874,BS_RE33!$S$7:$S$874,$AN$2,BS_RE33!$N$7:$N$874,I39,BS_RE33!$P$7:$P$874,'30 days CF Table(AUD)'!G39,BS_RE33!$F$7:$F$874,'30 days CF Table(AUD)'!$C$2)</f>
        <v>0</v>
      </c>
      <c r="AO39" s="337">
        <f>SUMIFS(BS_RE33!$H$7:$H$874,BS_RE33!$S$7:$S$874,$AO$2,BS_RE33!$N$7:$N$874,I39,BS_RE33!$P$7:$P$874,'30 days CF Table(AUD)'!G39,BS_RE33!$F$7:$F$874,'30 days CF Table(AUD)'!$C$2)</f>
        <v>0</v>
      </c>
      <c r="AP39" s="338">
        <f>SUMIFS(BS_RE33!$H$7:$H$874,BS_RE33!$S$7:$S$874,$AP$2,BS_RE33!$N$7:$N$874,I39,BS_RE33!$P$7:$P$874,'30 days CF Table(AUD)'!G39,BS_RE33!$F$7:$F$874,'30 days CF Table(AUD)'!$C$2)</f>
        <v>0</v>
      </c>
      <c r="AR39" s="379">
        <f>SUMIFS(BS_RE33!$H$7:$H$874,BS_RE33!$S$7:$S$874,$AR$2,BS_RE33!$N$7:$N$874,I39,BS_RE33!$P$7:$P$874,'30 days CF Table(AUD)'!G39,BS_RE33!$F$7:$F$874,'30 days CF Table(AUD)'!$C$2)</f>
        <v>0</v>
      </c>
      <c r="AS39" s="379">
        <f>SUMIFS(BS_RE33!$H$7:$H$874,BS_RE33!$S$7:$S$874,$AS$2,BS_RE33!$N$7:$N$874,I39,BS_RE33!$P$7:$P$874,'30 days CF Table(AUD)'!G39,BS_RE33!$F$7:$F$874,'30 days CF Table(AUD)'!$C$2)</f>
        <v>0</v>
      </c>
      <c r="AT39" s="379">
        <f>SUMIFS(BS_RE33!$H$7:$H$874,BS_RE33!$S$7:$S$874,$AT$2,BS_RE33!$N$7:$N$874,I39,BS_RE33!$P$7:$P$874,'30 days CF Table(AUD)'!G39,BS_RE33!$F$7:$F$874,'30 days CF Table(AUD)'!$C$2)</f>
        <v>0</v>
      </c>
      <c r="AU39" s="379">
        <f>SUMIFS(BS_RE33!$H$7:$H$874,BS_RE33!$S$7:$S$874,$AU$2,BS_RE33!$N$7:$N$874,I39,BS_RE33!$P$7:$P$874,'30 days CF Table(AUD)'!G39,BS_RE33!$F$7:$F$874,'30 days CF Table(AUD)'!$C$2)</f>
        <v>0</v>
      </c>
      <c r="AV39" s="379">
        <f>SUMIFS(BS_RE33!$H$7:$H$874,BS_RE33!$S$7:$S$874,$AV$2,BS_RE33!$N$7:$N$874,I39,BS_RE33!$P$7:$P$874,'30 days CF Table(AUD)'!G39,BS_RE33!$F$7:$F$874,'30 days CF Table(AUD)'!$C$2)</f>
        <v>0</v>
      </c>
      <c r="AW39" s="379">
        <f>SUMIFS(BS_RE33!$H$7:$H$874,BS_RE33!$S$7:$S$874,$AW$2,BS_RE33!$N$7:$N$874,I39,BS_RE33!$P$7:$P$874,'30 days CF Table(AUD)'!G39,BS_RE33!$F$7:$F$874,'30 days CF Table(AUD)'!$C$2)</f>
        <v>0</v>
      </c>
      <c r="AX39" s="379">
        <f>SUMIFS(BS_RE33!$H$7:$H$874,BS_RE33!$S$7:$S$874,$AX$2,BS_RE33!$N$7:$N$874,I39,BS_RE33!$P$7:$P$874,'30 days CF Table(AUD)'!G39,BS_RE33!$F$7:$F$874,'30 days CF Table(AUD)'!$C$2)</f>
        <v>0</v>
      </c>
      <c r="AY39" s="379">
        <f>SUMIFS(BS_RE33!$H$7:$H$874,BS_RE33!$S$7:$S$874,$AY$2,BS_RE33!$N$7:$N$874,I39,BS_RE33!$P$7:$P$874,'30 days CF Table(AUD)'!G39,BS_RE33!$F$7:$F$874,'30 days CF Table(AUD)'!$C$2)</f>
        <v>0</v>
      </c>
      <c r="AZ39" s="379">
        <f>SUMIFS(BS_RE33!$H$7:$H$874,BS_RE33!$S$7:$S$874,$AZ$2,BS_RE33!$N$7:$N$874,I39,BS_RE33!$P$7:$P$874,'30 days CF Table(AUD)'!G39,BS_RE33!$F$7:$F$874,'30 days CF Table(AUD)'!$C$2)</f>
        <v>0</v>
      </c>
      <c r="BA39" s="379">
        <f>SUMIFS(BS_RE33!$H$7:$H$874,BS_RE33!$S$7:$S$874,$BA$2,BS_RE33!$N$7:$N$874,I39,BS_RE33!$P$7:$P$874,'30 days CF Table(AUD)'!G39,BS_RE33!$F$7:$F$874,'30 days CF Table(AUD)'!$C$2)</f>
        <v>0</v>
      </c>
      <c r="BB39" s="379">
        <f>SUMIFS(BS_RE33!$H$7:$H$874,BS_RE33!$S$7:$S$874,$BB$2,BS_RE33!$N$7:$N$874,I39,BS_RE33!$P$7:$P$874,'30 days CF Table(AUD)'!G39,BS_RE33!$F$7:$F$874,'30 days CF Table(AUD)'!$C$2)</f>
        <v>0</v>
      </c>
      <c r="BC39" s="379">
        <f>SUMIFS(BS_RE33!$H$7:$H$874,BS_RE33!$S$7:$S$874,$BC$2,BS_RE33!$N$7:$N$874,I39,BS_RE33!$P$7:$P$874,'30 days CF Table(AUD)'!G39,BS_RE33!$F$7:$F$874,'30 days CF Table(AUD)'!$C$2)</f>
        <v>0</v>
      </c>
      <c r="BD39" s="379">
        <f>SUMIFS(BS_RE33!$H$7:$H$874,BS_RE33!$S$7:$S$874,$BD$2,BS_RE33!$N$7:$N$874,I39,BS_RE33!$P$7:$P$874,'30 days CF Table(AUD)'!G39,BS_RE33!$F$7:$F$874,'30 days CF Table(AUD)'!$C$2)</f>
        <v>0</v>
      </c>
      <c r="BE39" s="379">
        <f>SUMIFS(BS_RE33!$H$7:$H$874,BS_RE33!$S$7:$S$874,$BE$2,BS_RE33!$N$7:$N$874,I39,BS_RE33!$P$7:$P$874,'30 days CF Table(AUD)'!G39,BS_RE33!$F$7:$F$874,'30 days CF Table(AUD)'!$C$2)</f>
        <v>0</v>
      </c>
      <c r="BF39" s="379">
        <f>SUMIFS(BS_RE33!$H$7:$H$874,BS_RE33!$S$7:$S$874,$BF$2,BS_RE33!$N$7:$N$874,I39,BS_RE33!$P$7:$P$874,'30 days CF Table(AUD)'!G39,BS_RE33!$F$7:$F$874,'30 days CF Table(AUD)'!$C$2)</f>
        <v>0</v>
      </c>
      <c r="BG39" s="379">
        <f>SUMIFS(BS_RE33!$H$7:$H$874,BS_RE33!$S$7:$S$874,$BG$2,BS_RE33!$N$7:$N$874,I39,BS_RE33!$P$7:$P$874,'30 days CF Table(AUD)'!G39,BS_RE33!$F$7:$F$874,'30 days CF Table(AUD)'!$C$2)</f>
        <v>0</v>
      </c>
      <c r="BH39" s="379">
        <f>SUMIFS(BS_RE33!$H$7:$H$874,BS_RE33!$S$7:$S$874,$BH$2,BS_RE33!$N$7:$N$874,I39,BS_RE33!$P$7:$P$874,'30 days CF Table(AUD)'!G39,BS_RE33!$F$7:$F$874,'30 days CF Table(AUD)'!$C$2)</f>
        <v>0</v>
      </c>
      <c r="BI39" s="379">
        <f>SUMIFS(BS_RE33!$H$7:$H$874,BS_RE33!$S$7:$S$874,$BI$2,BS_RE33!$N$7:$N$874,I39,BS_RE33!$P$7:$P$874,'30 days CF Table(AUD)'!G39,BS_RE33!$F$7:$F$874,'30 days CF Table(AUD)'!$C$2)</f>
        <v>0</v>
      </c>
      <c r="BJ39" s="379">
        <f>SUMIFS(BS_RE33!$H$7:$H$874,BS_RE33!$S$7:$S$874,$BJ$2,BS_RE33!$N$7:$N$874,I39,BS_RE33!$P$7:$P$874,'30 days CF Table(AUD)'!G39,BS_RE33!$F$7:$F$874,'30 days CF Table(AUD)'!$C$2)</f>
        <v>0</v>
      </c>
      <c r="BK39" s="379">
        <f>SUMIFS(BS_RE33!$H$7:$H$874,BS_RE33!$S$7:$S$874,$BK$2,BS_RE33!$N$7:$N$874,I39,BS_RE33!$P$7:$P$874,'30 days CF Table(AUD)'!G39,BS_RE33!$F$7:$F$874,'30 days CF Table(AUD)'!$C$2)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Table(AUD)'!G40,BS_RE33!$F$7:$F$874,'30 days CF Table(AUD)'!$C$2)</f>
        <v>0</v>
      </c>
      <c r="M40" s="337">
        <f>SUMIFS(BS_RE33!$H$7:$H$874,BS_RE33!$S$7:$S$874,$M$2,BS_RE33!$N$7:$N$874,I40,BS_RE33!$P$7:$P$874,'30 days CF Table(AUD)'!G40,BS_RE33!$F$7:$F$874,'30 days CF Table(AUD)'!$C$2)</f>
        <v>0</v>
      </c>
      <c r="N40" s="337">
        <f>SUMIFS(BS_RE33!$H$7:$H$874,BS_RE33!$S$7:$S$874,$N$2,BS_RE33!$N$7:$N$874,I40,BS_RE33!$P$7:$P$874,'30 days CF Table(AUD)'!G40,BS_RE33!$F$7:$F$874,'30 days CF Table(AUD)'!$C$2)</f>
        <v>0</v>
      </c>
      <c r="O40" s="337">
        <f>SUMIFS(BS_RE33!$H$7:$H$874,BS_RE33!$S$7:$S$874,$O$2,BS_RE33!$N$7:$N$874,I40,BS_RE33!$P$7:$P$874,'30 days CF Table(AUD)'!G40,BS_RE33!$F$7:$F$874,'30 days CF Table(AUD)'!$C$2)</f>
        <v>0</v>
      </c>
      <c r="P40" s="337">
        <f>SUMIFS(BS_RE33!$H$7:$H$874,BS_RE33!$S$7:$S$874,$P$2,BS_RE33!$N$7:$N$874,I40,BS_RE33!$P$7:$P$874,'30 days CF Table(AUD)'!G40,BS_RE33!$F$7:$F$874,'30 days CF Table(AUD)'!$C$2)</f>
        <v>0</v>
      </c>
      <c r="Q40" s="337">
        <f>SUMIFS(BS_RE33!$H$7:$H$874,BS_RE33!$S$7:$S$874,$Q$2,BS_RE33!$N$7:$N$874,I40,BS_RE33!$P$7:$P$874,'30 days CF Table(AUD)'!G40,BS_RE33!$F$7:$F$874,'30 days CF Table(AUD)'!$C$2)</f>
        <v>0</v>
      </c>
      <c r="R40" s="337">
        <f>SUMIFS(BS_RE33!$H$7:$H$874,BS_RE33!$S$7:$S$874,$R$2,BS_RE33!$N$7:$N$874,I40,BS_RE33!$P$7:$P$874,'30 days CF Table(AUD)'!G40,BS_RE33!$F$7:$F$874,'30 days CF Table(AUD)'!$C$2)</f>
        <v>0</v>
      </c>
      <c r="S40" s="337">
        <f>SUMIFS(BS_RE33!$H$7:$H$874,BS_RE33!$S$7:$S$874,$S$2,BS_RE33!$N$7:$N$874,I40,BS_RE33!$P$7:$P$874,'30 days CF Table(AUD)'!G40,BS_RE33!$F$7:$F$874,'30 days CF Table(AUD)'!$C$2)</f>
        <v>0</v>
      </c>
      <c r="T40" s="337">
        <f>SUMIFS(BS_RE33!$H$7:$H$874,BS_RE33!$S$7:$S$874,$T$2,BS_RE33!$N$7:$N$874,I40,BS_RE33!$P$7:$P$874,'30 days CF Table(AUD)'!G40,BS_RE33!$F$7:$F$874,'30 days CF Table(AUD)'!$C$2)</f>
        <v>0</v>
      </c>
      <c r="U40" s="337">
        <f>SUMIFS(BS_RE33!$H$7:$H$874,BS_RE33!$S$7:$S$874,$U$2,BS_RE33!$N$7:$N$874,I40,BS_RE33!$P$7:$P$874,'30 days CF Table(AUD)'!G40,BS_RE33!$F$7:$F$874,'30 days CF Table(AUD)'!$C$2)</f>
        <v>0</v>
      </c>
      <c r="V40" s="337">
        <f>SUMIFS(BS_RE33!$H$7:$H$874,BS_RE33!$S$7:$S$874,$V$2,BS_RE33!$N$7:$N$874,I40,BS_RE33!$P$7:$P$874,'30 days CF Table(AUD)'!G40,BS_RE33!$F$7:$F$874,'30 days CF Table(AUD)'!$C$2)</f>
        <v>0</v>
      </c>
      <c r="W40" s="337">
        <f>SUMIFS(BS_RE33!$H$7:$H$874,BS_RE33!$S$7:$S$874,$W$2,BS_RE33!$N$7:$N$874,I40,BS_RE33!$P$7:$P$874,'30 days CF Table(AUD)'!G40,BS_RE33!$F$7:$F$874,'30 days CF Table(AUD)'!$C$2)</f>
        <v>0</v>
      </c>
      <c r="X40" s="337">
        <f>SUMIFS(BS_RE33!$H$7:$H$874,BS_RE33!$S$7:$S$874,$X$2,BS_RE33!$N$7:$N$874,I40,BS_RE33!$P$7:$P$874,'30 days CF Table(AUD)'!G40,BS_RE33!$F$7:$F$874,'30 days CF Table(AUD)'!$C$2)</f>
        <v>0</v>
      </c>
      <c r="Y40" s="337">
        <f>SUMIFS(BS_RE33!$H$7:$H$874,BS_RE33!$S$7:$S$874,$Y$2,BS_RE33!$N$7:$N$874,I40,BS_RE33!$P$7:$P$874,'30 days CF Table(AUD)'!G40,BS_RE33!$F$7:$F$874,'30 days CF Table(AUD)'!$C$2)</f>
        <v>0</v>
      </c>
      <c r="Z40" s="337">
        <f>SUMIFS(BS_RE33!$H$7:$H$874,BS_RE33!$S$7:$S$874,$Z$2,BS_RE33!$N$7:$N$874,I40,BS_RE33!$P$7:$P$874,'30 days CF Table(AUD)'!G40,BS_RE33!$F$7:$F$874,'30 days CF Table(AUD)'!$C$2)</f>
        <v>0</v>
      </c>
      <c r="AA40" s="337">
        <f>SUMIFS(BS_RE33!$H$7:$H$874,BS_RE33!$S$7:$S$874,$AA$2,BS_RE33!$N$7:$N$874,I40,BS_RE33!$P$7:$P$874,'30 days CF Table(AUD)'!G40,BS_RE33!$F$7:$F$874,'30 days CF Table(AUD)'!$C$2)</f>
        <v>0</v>
      </c>
      <c r="AB40" s="337">
        <f>SUMIFS(BS_RE33!$H$7:$H$874,BS_RE33!$S$7:$S$874,$AB$2,BS_RE33!$N$7:$N$874,I40,BS_RE33!$P$7:$P$874,'30 days CF Table(AUD)'!G40,BS_RE33!$F$7:$F$874,'30 days CF Table(AUD)'!$C$2)</f>
        <v>0</v>
      </c>
      <c r="AC40" s="337">
        <f>SUMIFS(BS_RE33!$H$7:$H$874,BS_RE33!$S$7:$S$874,$AC$2,BS_RE33!$N$7:$N$874,I40,BS_RE33!$P$7:$P$874,'30 days CF Table(AUD)'!G40,BS_RE33!$F$7:$F$874,'30 days CF Table(AUD)'!$C$2)</f>
        <v>0</v>
      </c>
      <c r="AD40" s="337">
        <f>SUMIFS(BS_RE33!$H$7:$H$874,BS_RE33!$S$7:$S$874,$AD$2,BS_RE33!$N$7:$N$874,I40,BS_RE33!$P$7:$P$874,'30 days CF Table(AUD)'!G40,BS_RE33!$F$7:$F$874,'30 days CF Table(AUD)'!$C$2)</f>
        <v>0</v>
      </c>
      <c r="AE40" s="337">
        <f>SUMIFS(BS_RE33!$H$7:$H$874,BS_RE33!$S$7:$S$874,$AE$2,BS_RE33!$N$7:$N$874,I40,BS_RE33!$P$7:$P$874,'30 days CF Table(AUD)'!G40,BS_RE33!$F$7:$F$874,'30 days CF Table(AUD)'!$C$2)</f>
        <v>0</v>
      </c>
      <c r="AF40" s="337">
        <f>SUMIFS(BS_RE33!$H$7:$H$874,BS_RE33!$S$7:$S$874,$AF$2,BS_RE33!$N$7:$N$874,I40,BS_RE33!$P$7:$P$874,'30 days CF Table(AUD)'!G40,BS_RE33!$F$7:$F$874,'30 days CF Table(AUD)'!$C$2)</f>
        <v>0</v>
      </c>
      <c r="AG40" s="337">
        <f>SUMIFS(BS_RE33!$H$7:$H$874,BS_RE33!$S$7:$S$874,$AG$2,BS_RE33!$N$7:$N$874,I40,BS_RE33!$P$7:$P$874,'30 days CF Table(AUD)'!G40,BS_RE33!$F$7:$F$874,'30 days CF Table(AUD)'!$C$2)</f>
        <v>0</v>
      </c>
      <c r="AH40" s="337">
        <f>SUMIFS(BS_RE33!$H$7:$H$874,BS_RE33!$S$7:$S$874,$AH$2,BS_RE33!$N$7:$N$874,I40,BS_RE33!$P$7:$P$874,'30 days CF Table(AUD)'!G40,BS_RE33!$F$7:$F$874,'30 days CF Table(AUD)'!$C$2)</f>
        <v>0</v>
      </c>
      <c r="AI40" s="337">
        <f>SUMIFS(BS_RE33!$H$7:$H$874,BS_RE33!$S$7:$S$874,$AI$2,BS_RE33!$N$7:$N$874,I40,BS_RE33!$P$7:$P$874,'30 days CF Table(AUD)'!G40,BS_RE33!$F$7:$F$874,'30 days CF Table(AUD)'!$C$2)</f>
        <v>0</v>
      </c>
      <c r="AJ40" s="337">
        <f>SUMIFS(BS_RE33!$H$7:$H$874,BS_RE33!$S$7:$S$874,$AJ$2,BS_RE33!$N$7:$N$874,I40,BS_RE33!$P$7:$P$874,'30 days CF Table(AUD)'!G40,BS_RE33!$F$7:$F$874,'30 days CF Table(AUD)'!$C$2)</f>
        <v>0</v>
      </c>
      <c r="AK40" s="337">
        <f>SUMIFS(BS_RE33!$H$7:$H$874,BS_RE33!$S$7:$S$874,$AK$2,BS_RE33!$N$7:$N$874,I40,BS_RE33!$P$7:$P$874,'30 days CF Table(AUD)'!G40,BS_RE33!$F$7:$F$874,'30 days CF Table(AUD)'!$C$2)</f>
        <v>0</v>
      </c>
      <c r="AL40" s="337">
        <f>SUMIFS(BS_RE33!$H$7:$H$874,BS_RE33!$S$7:$S$874,$AL$2,BS_RE33!$N$7:$N$874,I40,BS_RE33!$P$7:$P$874,'30 days CF Table(AUD)'!G40,BS_RE33!$F$7:$F$874,'30 days CF Table(AUD)'!$C$2)</f>
        <v>0</v>
      </c>
      <c r="AM40" s="337">
        <f>SUMIFS(BS_RE33!$H$7:$H$874,BS_RE33!$S$7:$S$874,$AM$2,BS_RE33!$N$7:$N$874,I40,BS_RE33!$P$7:$P$874,'30 days CF Table(AUD)'!G40,BS_RE33!$F$7:$F$874,'30 days CF Table(AUD)'!$C$2)</f>
        <v>0</v>
      </c>
      <c r="AN40" s="337">
        <f>SUMIFS(BS_RE33!$H$7:$H$874,BS_RE33!$S$7:$S$874,$AN$2,BS_RE33!$N$7:$N$874,I40,BS_RE33!$P$7:$P$874,'30 days CF Table(AUD)'!G40,BS_RE33!$F$7:$F$874,'30 days CF Table(AUD)'!$C$2)</f>
        <v>0</v>
      </c>
      <c r="AO40" s="337">
        <f>SUMIFS(BS_RE33!$H$7:$H$874,BS_RE33!$S$7:$S$874,$AO$2,BS_RE33!$N$7:$N$874,I40,BS_RE33!$P$7:$P$874,'30 days CF Table(AUD)'!G40,BS_RE33!$F$7:$F$874,'30 days CF Table(AUD)'!$C$2)</f>
        <v>0</v>
      </c>
      <c r="AP40" s="338">
        <f>SUMIFS(BS_RE33!$H$7:$H$874,BS_RE33!$S$7:$S$874,$AP$2,BS_RE33!$N$7:$N$874,I40,BS_RE33!$P$7:$P$874,'30 days CF Table(AUD)'!G40,BS_RE33!$F$7:$F$874,'30 days CF Table(AUD)'!$C$2)</f>
        <v>0</v>
      </c>
      <c r="AR40" s="379">
        <f>SUMIFS(BS_RE33!$H$7:$H$874,BS_RE33!$S$7:$S$874,$AR$2,BS_RE33!$N$7:$N$874,I40,BS_RE33!$P$7:$P$874,'30 days CF Table(AUD)'!G40,BS_RE33!$F$7:$F$874,'30 days CF Table(AUD)'!$C$2)</f>
        <v>0</v>
      </c>
      <c r="AS40" s="379">
        <f>SUMIFS(BS_RE33!$H$7:$H$874,BS_RE33!$S$7:$S$874,$AS$2,BS_RE33!$N$7:$N$874,I40,BS_RE33!$P$7:$P$874,'30 days CF Table(AUD)'!G40,BS_RE33!$F$7:$F$874,'30 days CF Table(AUD)'!$C$2)</f>
        <v>0</v>
      </c>
      <c r="AT40" s="379">
        <f>SUMIFS(BS_RE33!$H$7:$H$874,BS_RE33!$S$7:$S$874,$AT$2,BS_RE33!$N$7:$N$874,I40,BS_RE33!$P$7:$P$874,'30 days CF Table(AUD)'!G40,BS_RE33!$F$7:$F$874,'30 days CF Table(AUD)'!$C$2)</f>
        <v>0</v>
      </c>
      <c r="AU40" s="379">
        <f>SUMIFS(BS_RE33!$H$7:$H$874,BS_RE33!$S$7:$S$874,$AU$2,BS_RE33!$N$7:$N$874,I40,BS_RE33!$P$7:$P$874,'30 days CF Table(AUD)'!G40,BS_RE33!$F$7:$F$874,'30 days CF Table(AUD)'!$C$2)</f>
        <v>0</v>
      </c>
      <c r="AV40" s="379">
        <f>SUMIFS(BS_RE33!$H$7:$H$874,BS_RE33!$S$7:$S$874,$AV$2,BS_RE33!$N$7:$N$874,I40,BS_RE33!$P$7:$P$874,'30 days CF Table(AUD)'!G40,BS_RE33!$F$7:$F$874,'30 days CF Table(AUD)'!$C$2)</f>
        <v>0</v>
      </c>
      <c r="AW40" s="379">
        <f>SUMIFS(BS_RE33!$H$7:$H$874,BS_RE33!$S$7:$S$874,$AW$2,BS_RE33!$N$7:$N$874,I40,BS_RE33!$P$7:$P$874,'30 days CF Table(AUD)'!G40,BS_RE33!$F$7:$F$874,'30 days CF Table(AUD)'!$C$2)</f>
        <v>0</v>
      </c>
      <c r="AX40" s="379">
        <f>SUMIFS(BS_RE33!$H$7:$H$874,BS_RE33!$S$7:$S$874,$AX$2,BS_RE33!$N$7:$N$874,I40,BS_RE33!$P$7:$P$874,'30 days CF Table(AUD)'!G40,BS_RE33!$F$7:$F$874,'30 days CF Table(AUD)'!$C$2)</f>
        <v>0</v>
      </c>
      <c r="AY40" s="379">
        <f>SUMIFS(BS_RE33!$H$7:$H$874,BS_RE33!$S$7:$S$874,$AY$2,BS_RE33!$N$7:$N$874,I40,BS_RE33!$P$7:$P$874,'30 days CF Table(AUD)'!G40,BS_RE33!$F$7:$F$874,'30 days CF Table(AUD)'!$C$2)</f>
        <v>0</v>
      </c>
      <c r="AZ40" s="379">
        <f>SUMIFS(BS_RE33!$H$7:$H$874,BS_RE33!$S$7:$S$874,$AZ$2,BS_RE33!$N$7:$N$874,I40,BS_RE33!$P$7:$P$874,'30 days CF Table(AUD)'!G40,BS_RE33!$F$7:$F$874,'30 days CF Table(AUD)'!$C$2)</f>
        <v>0</v>
      </c>
      <c r="BA40" s="379">
        <f>SUMIFS(BS_RE33!$H$7:$H$874,BS_RE33!$S$7:$S$874,$BA$2,BS_RE33!$N$7:$N$874,I40,BS_RE33!$P$7:$P$874,'30 days CF Table(AUD)'!G40,BS_RE33!$F$7:$F$874,'30 days CF Table(AUD)'!$C$2)</f>
        <v>0</v>
      </c>
      <c r="BB40" s="379">
        <f>SUMIFS(BS_RE33!$H$7:$H$874,BS_RE33!$S$7:$S$874,$BB$2,BS_RE33!$N$7:$N$874,I40,BS_RE33!$P$7:$P$874,'30 days CF Table(AUD)'!G40,BS_RE33!$F$7:$F$874,'30 days CF Table(AUD)'!$C$2)</f>
        <v>0</v>
      </c>
      <c r="BC40" s="379">
        <f>SUMIFS(BS_RE33!$H$7:$H$874,BS_RE33!$S$7:$S$874,$BC$2,BS_RE33!$N$7:$N$874,I40,BS_RE33!$P$7:$P$874,'30 days CF Table(AUD)'!G40,BS_RE33!$F$7:$F$874,'30 days CF Table(AUD)'!$C$2)</f>
        <v>0</v>
      </c>
      <c r="BD40" s="379">
        <f>SUMIFS(BS_RE33!$H$7:$H$874,BS_RE33!$S$7:$S$874,$BD$2,BS_RE33!$N$7:$N$874,I40,BS_RE33!$P$7:$P$874,'30 days CF Table(AUD)'!G40,BS_RE33!$F$7:$F$874,'30 days CF Table(AUD)'!$C$2)</f>
        <v>0</v>
      </c>
      <c r="BE40" s="379">
        <f>SUMIFS(BS_RE33!$H$7:$H$874,BS_RE33!$S$7:$S$874,$BE$2,BS_RE33!$N$7:$N$874,I40,BS_RE33!$P$7:$P$874,'30 days CF Table(AUD)'!G40,BS_RE33!$F$7:$F$874,'30 days CF Table(AUD)'!$C$2)</f>
        <v>0</v>
      </c>
      <c r="BF40" s="379">
        <f>SUMIFS(BS_RE33!$H$7:$H$874,BS_RE33!$S$7:$S$874,$BF$2,BS_RE33!$N$7:$N$874,I40,BS_RE33!$P$7:$P$874,'30 days CF Table(AUD)'!G40,BS_RE33!$F$7:$F$874,'30 days CF Table(AUD)'!$C$2)</f>
        <v>0</v>
      </c>
      <c r="BG40" s="379">
        <f>SUMIFS(BS_RE33!$H$7:$H$874,BS_RE33!$S$7:$S$874,$BG$2,BS_RE33!$N$7:$N$874,I40,BS_RE33!$P$7:$P$874,'30 days CF Table(AUD)'!G40,BS_RE33!$F$7:$F$874,'30 days CF Table(AUD)'!$C$2)</f>
        <v>0</v>
      </c>
      <c r="BH40" s="379">
        <f>SUMIFS(BS_RE33!$H$7:$H$874,BS_RE33!$S$7:$S$874,$BH$2,BS_RE33!$N$7:$N$874,I40,BS_RE33!$P$7:$P$874,'30 days CF Table(AUD)'!G40,BS_RE33!$F$7:$F$874,'30 days CF Table(AUD)'!$C$2)</f>
        <v>0</v>
      </c>
      <c r="BI40" s="379">
        <f>SUMIFS(BS_RE33!$H$7:$H$874,BS_RE33!$S$7:$S$874,$BI$2,BS_RE33!$N$7:$N$874,I40,BS_RE33!$P$7:$P$874,'30 days CF Table(AUD)'!G40,BS_RE33!$F$7:$F$874,'30 days CF Table(AUD)'!$C$2)</f>
        <v>0</v>
      </c>
      <c r="BJ40" s="379">
        <f>SUMIFS(BS_RE33!$H$7:$H$874,BS_RE33!$S$7:$S$874,$BJ$2,BS_RE33!$N$7:$N$874,I40,BS_RE33!$P$7:$P$874,'30 days CF Table(AUD)'!G40,BS_RE33!$F$7:$F$874,'30 days CF Table(AUD)'!$C$2)</f>
        <v>0</v>
      </c>
      <c r="BK40" s="379">
        <f>SUMIFS(BS_RE33!$H$7:$H$874,BS_RE33!$S$7:$S$874,$BK$2,BS_RE33!$N$7:$N$874,I40,BS_RE33!$P$7:$P$874,'30 days CF Table(AUD)'!G40,BS_RE33!$F$7:$F$874,'30 days CF Table(AUD)'!$C$2)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Table(AUD)'!G41,BS_RE33!$F$7:$F$874,'30 days CF Table(AUD)'!$C$2)</f>
        <v>0</v>
      </c>
      <c r="M41" s="337">
        <f>SUMIFS(BS_RE33!$H$7:$H$874,BS_RE33!$S$7:$S$874,$M$2,BS_RE33!$N$7:$N$874,I41,BS_RE33!$P$7:$P$874,'30 days CF Table(AUD)'!G41,BS_RE33!$F$7:$F$874,'30 days CF Table(AUD)'!$C$2)</f>
        <v>0</v>
      </c>
      <c r="N41" s="337">
        <f>SUMIFS(BS_RE33!$H$7:$H$874,BS_RE33!$S$7:$S$874,$N$2,BS_RE33!$N$7:$N$874,I41,BS_RE33!$P$7:$P$874,'30 days CF Table(AUD)'!G41,BS_RE33!$F$7:$F$874,'30 days CF Table(AUD)'!$C$2)</f>
        <v>0</v>
      </c>
      <c r="O41" s="337">
        <f>SUMIFS(BS_RE33!$H$7:$H$874,BS_RE33!$S$7:$S$874,$O$2,BS_RE33!$N$7:$N$874,I41,BS_RE33!$P$7:$P$874,'30 days CF Table(AUD)'!G41,BS_RE33!$F$7:$F$874,'30 days CF Table(AUD)'!$C$2)</f>
        <v>0</v>
      </c>
      <c r="P41" s="337">
        <f>SUMIFS(BS_RE33!$H$7:$H$874,BS_RE33!$S$7:$S$874,$P$2,BS_RE33!$N$7:$N$874,I41,BS_RE33!$P$7:$P$874,'30 days CF Table(AUD)'!G41,BS_RE33!$F$7:$F$874,'30 days CF Table(AUD)'!$C$2)</f>
        <v>0</v>
      </c>
      <c r="Q41" s="337">
        <f>SUMIFS(BS_RE33!$H$7:$H$874,BS_RE33!$S$7:$S$874,$Q$2,BS_RE33!$N$7:$N$874,I41,BS_RE33!$P$7:$P$874,'30 days CF Table(AUD)'!G41,BS_RE33!$F$7:$F$874,'30 days CF Table(AUD)'!$C$2)</f>
        <v>0</v>
      </c>
      <c r="R41" s="337">
        <f>SUMIFS(BS_RE33!$H$7:$H$874,BS_RE33!$S$7:$S$874,$R$2,BS_RE33!$N$7:$N$874,I41,BS_RE33!$P$7:$P$874,'30 days CF Table(AUD)'!G41,BS_RE33!$F$7:$F$874,'30 days CF Table(AUD)'!$C$2)</f>
        <v>0</v>
      </c>
      <c r="S41" s="337">
        <f>SUMIFS(BS_RE33!$H$7:$H$874,BS_RE33!$S$7:$S$874,$S$2,BS_RE33!$N$7:$N$874,I41,BS_RE33!$P$7:$P$874,'30 days CF Table(AUD)'!G41,BS_RE33!$F$7:$F$874,'30 days CF Table(AUD)'!$C$2)</f>
        <v>0</v>
      </c>
      <c r="T41" s="337">
        <f>SUMIFS(BS_RE33!$H$7:$H$874,BS_RE33!$S$7:$S$874,$T$2,BS_RE33!$N$7:$N$874,I41,BS_RE33!$P$7:$P$874,'30 days CF Table(AUD)'!G41,BS_RE33!$F$7:$F$874,'30 days CF Table(AUD)'!$C$2)</f>
        <v>0</v>
      </c>
      <c r="U41" s="337">
        <f>SUMIFS(BS_RE33!$H$7:$H$874,BS_RE33!$S$7:$S$874,$U$2,BS_RE33!$N$7:$N$874,I41,BS_RE33!$P$7:$P$874,'30 days CF Table(AUD)'!G41,BS_RE33!$F$7:$F$874,'30 days CF Table(AUD)'!$C$2)</f>
        <v>0</v>
      </c>
      <c r="V41" s="337">
        <f>SUMIFS(BS_RE33!$H$7:$H$874,BS_RE33!$S$7:$S$874,$V$2,BS_RE33!$N$7:$N$874,I41,BS_RE33!$P$7:$P$874,'30 days CF Table(AUD)'!G41,BS_RE33!$F$7:$F$874,'30 days CF Table(AUD)'!$C$2)</f>
        <v>0</v>
      </c>
      <c r="W41" s="337">
        <f>SUMIFS(BS_RE33!$H$7:$H$874,BS_RE33!$S$7:$S$874,$W$2,BS_RE33!$N$7:$N$874,I41,BS_RE33!$P$7:$P$874,'30 days CF Table(AUD)'!G41,BS_RE33!$F$7:$F$874,'30 days CF Table(AUD)'!$C$2)</f>
        <v>0</v>
      </c>
      <c r="X41" s="337">
        <f>SUMIFS(BS_RE33!$H$7:$H$874,BS_RE33!$S$7:$S$874,$X$2,BS_RE33!$N$7:$N$874,I41,BS_RE33!$P$7:$P$874,'30 days CF Table(AUD)'!G41,BS_RE33!$F$7:$F$874,'30 days CF Table(AUD)'!$C$2)</f>
        <v>0</v>
      </c>
      <c r="Y41" s="337">
        <f>SUMIFS(BS_RE33!$H$7:$H$874,BS_RE33!$S$7:$S$874,$Y$2,BS_RE33!$N$7:$N$874,I41,BS_RE33!$P$7:$P$874,'30 days CF Table(AUD)'!G41,BS_RE33!$F$7:$F$874,'30 days CF Table(AUD)'!$C$2)</f>
        <v>0</v>
      </c>
      <c r="Z41" s="337">
        <f>SUMIFS(BS_RE33!$H$7:$H$874,BS_RE33!$S$7:$S$874,$Z$2,BS_RE33!$N$7:$N$874,I41,BS_RE33!$P$7:$P$874,'30 days CF Table(AUD)'!G41,BS_RE33!$F$7:$F$874,'30 days CF Table(AUD)'!$C$2)</f>
        <v>0</v>
      </c>
      <c r="AA41" s="337">
        <f>SUMIFS(BS_RE33!$H$7:$H$874,BS_RE33!$S$7:$S$874,$AA$2,BS_RE33!$N$7:$N$874,I41,BS_RE33!$P$7:$P$874,'30 days CF Table(AUD)'!G41,BS_RE33!$F$7:$F$874,'30 days CF Table(AUD)'!$C$2)</f>
        <v>0</v>
      </c>
      <c r="AB41" s="337">
        <f>SUMIFS(BS_RE33!$H$7:$H$874,BS_RE33!$S$7:$S$874,$AB$2,BS_RE33!$N$7:$N$874,I41,BS_RE33!$P$7:$P$874,'30 days CF Table(AUD)'!G41,BS_RE33!$F$7:$F$874,'30 days CF Table(AUD)'!$C$2)</f>
        <v>0</v>
      </c>
      <c r="AC41" s="337">
        <f>SUMIFS(BS_RE33!$H$7:$H$874,BS_RE33!$S$7:$S$874,$AC$2,BS_RE33!$N$7:$N$874,I41,BS_RE33!$P$7:$P$874,'30 days CF Table(AUD)'!G41,BS_RE33!$F$7:$F$874,'30 days CF Table(AUD)'!$C$2)</f>
        <v>0</v>
      </c>
      <c r="AD41" s="337">
        <f>SUMIFS(BS_RE33!$H$7:$H$874,BS_RE33!$S$7:$S$874,$AD$2,BS_RE33!$N$7:$N$874,I41,BS_RE33!$P$7:$P$874,'30 days CF Table(AUD)'!G41,BS_RE33!$F$7:$F$874,'30 days CF Table(AUD)'!$C$2)</f>
        <v>0</v>
      </c>
      <c r="AE41" s="337">
        <f>SUMIFS(BS_RE33!$H$7:$H$874,BS_RE33!$S$7:$S$874,$AE$2,BS_RE33!$N$7:$N$874,I41,BS_RE33!$P$7:$P$874,'30 days CF Table(AUD)'!G41,BS_RE33!$F$7:$F$874,'30 days CF Table(AUD)'!$C$2)</f>
        <v>0</v>
      </c>
      <c r="AF41" s="337">
        <f>SUMIFS(BS_RE33!$H$7:$H$874,BS_RE33!$S$7:$S$874,$AF$2,BS_RE33!$N$7:$N$874,I41,BS_RE33!$P$7:$P$874,'30 days CF Table(AUD)'!G41,BS_RE33!$F$7:$F$874,'30 days CF Table(AUD)'!$C$2)</f>
        <v>0</v>
      </c>
      <c r="AG41" s="337">
        <f>SUMIFS(BS_RE33!$H$7:$H$874,BS_RE33!$S$7:$S$874,$AG$2,BS_RE33!$N$7:$N$874,I41,BS_RE33!$P$7:$P$874,'30 days CF Table(AUD)'!G41,BS_RE33!$F$7:$F$874,'30 days CF Table(AUD)'!$C$2)</f>
        <v>0</v>
      </c>
      <c r="AH41" s="337">
        <f>SUMIFS(BS_RE33!$H$7:$H$874,BS_RE33!$S$7:$S$874,$AH$2,BS_RE33!$N$7:$N$874,I41,BS_RE33!$P$7:$P$874,'30 days CF Table(AUD)'!G41,BS_RE33!$F$7:$F$874,'30 days CF Table(AUD)'!$C$2)</f>
        <v>0</v>
      </c>
      <c r="AI41" s="337">
        <f>SUMIFS(BS_RE33!$H$7:$H$874,BS_RE33!$S$7:$S$874,$AI$2,BS_RE33!$N$7:$N$874,I41,BS_RE33!$P$7:$P$874,'30 days CF Table(AUD)'!G41,BS_RE33!$F$7:$F$874,'30 days CF Table(AUD)'!$C$2)</f>
        <v>0</v>
      </c>
      <c r="AJ41" s="337">
        <f>SUMIFS(BS_RE33!$H$7:$H$874,BS_RE33!$S$7:$S$874,$AJ$2,BS_RE33!$N$7:$N$874,I41,BS_RE33!$P$7:$P$874,'30 days CF Table(AUD)'!G41,BS_RE33!$F$7:$F$874,'30 days CF Table(AUD)'!$C$2)</f>
        <v>0</v>
      </c>
      <c r="AK41" s="337">
        <f>SUMIFS(BS_RE33!$H$7:$H$874,BS_RE33!$S$7:$S$874,$AK$2,BS_RE33!$N$7:$N$874,I41,BS_RE33!$P$7:$P$874,'30 days CF Table(AUD)'!G41,BS_RE33!$F$7:$F$874,'30 days CF Table(AUD)'!$C$2)</f>
        <v>0</v>
      </c>
      <c r="AL41" s="337">
        <f>SUMIFS(BS_RE33!$H$7:$H$874,BS_RE33!$S$7:$S$874,$AL$2,BS_RE33!$N$7:$N$874,I41,BS_RE33!$P$7:$P$874,'30 days CF Table(AUD)'!G41,BS_RE33!$F$7:$F$874,'30 days CF Table(AUD)'!$C$2)</f>
        <v>0</v>
      </c>
      <c r="AM41" s="337">
        <f>SUMIFS(BS_RE33!$H$7:$H$874,BS_RE33!$S$7:$S$874,$AM$2,BS_RE33!$N$7:$N$874,I41,BS_RE33!$P$7:$P$874,'30 days CF Table(AUD)'!G41,BS_RE33!$F$7:$F$874,'30 days CF Table(AUD)'!$C$2)</f>
        <v>0</v>
      </c>
      <c r="AN41" s="337">
        <f>SUMIFS(BS_RE33!$H$7:$H$874,BS_RE33!$S$7:$S$874,$AN$2,BS_RE33!$N$7:$N$874,I41,BS_RE33!$P$7:$P$874,'30 days CF Table(AUD)'!G41,BS_RE33!$F$7:$F$874,'30 days CF Table(AUD)'!$C$2)</f>
        <v>0</v>
      </c>
      <c r="AO41" s="337">
        <f>SUMIFS(BS_RE33!$H$7:$H$874,BS_RE33!$S$7:$S$874,$AO$2,BS_RE33!$N$7:$N$874,I41,BS_RE33!$P$7:$P$874,'30 days CF Table(AUD)'!G41,BS_RE33!$F$7:$F$874,'30 days CF Table(AUD)'!$C$2)</f>
        <v>0</v>
      </c>
      <c r="AP41" s="338">
        <f>SUMIFS(BS_RE33!$H$7:$H$874,BS_RE33!$S$7:$S$874,$AP$2,BS_RE33!$N$7:$N$874,I41,BS_RE33!$P$7:$P$874,'30 days CF Table(AUD)'!G41,BS_RE33!$F$7:$F$874,'30 days CF Table(AUD)'!$C$2)</f>
        <v>0</v>
      </c>
      <c r="AR41" s="379">
        <f>SUMIFS(BS_RE33!$H$7:$H$874,BS_RE33!$S$7:$S$874,$AR$2,BS_RE33!$N$7:$N$874,I41,BS_RE33!$P$7:$P$874,'30 days CF Table(AUD)'!G41,BS_RE33!$F$7:$F$874,'30 days CF Table(AUD)'!$C$2)</f>
        <v>0</v>
      </c>
      <c r="AS41" s="379">
        <f>SUMIFS(BS_RE33!$H$7:$H$874,BS_RE33!$S$7:$S$874,$AS$2,BS_RE33!$N$7:$N$874,I41,BS_RE33!$P$7:$P$874,'30 days CF Table(AUD)'!G41,BS_RE33!$F$7:$F$874,'30 days CF Table(AUD)'!$C$2)</f>
        <v>0</v>
      </c>
      <c r="AT41" s="379">
        <f>SUMIFS(BS_RE33!$H$7:$H$874,BS_RE33!$S$7:$S$874,$AT$2,BS_RE33!$N$7:$N$874,I41,BS_RE33!$P$7:$P$874,'30 days CF Table(AUD)'!G41,BS_RE33!$F$7:$F$874,'30 days CF Table(AUD)'!$C$2)</f>
        <v>0</v>
      </c>
      <c r="AU41" s="379">
        <f>SUMIFS(BS_RE33!$H$7:$H$874,BS_RE33!$S$7:$S$874,$AU$2,BS_RE33!$N$7:$N$874,I41,BS_RE33!$P$7:$P$874,'30 days CF Table(AUD)'!G41,BS_RE33!$F$7:$F$874,'30 days CF Table(AUD)'!$C$2)</f>
        <v>0</v>
      </c>
      <c r="AV41" s="379">
        <f>SUMIFS(BS_RE33!$H$7:$H$874,BS_RE33!$S$7:$S$874,$AV$2,BS_RE33!$N$7:$N$874,I41,BS_RE33!$P$7:$P$874,'30 days CF Table(AUD)'!G41,BS_RE33!$F$7:$F$874,'30 days CF Table(AUD)'!$C$2)</f>
        <v>0</v>
      </c>
      <c r="AW41" s="379">
        <f>SUMIFS(BS_RE33!$H$7:$H$874,BS_RE33!$S$7:$S$874,$AW$2,BS_RE33!$N$7:$N$874,I41,BS_RE33!$P$7:$P$874,'30 days CF Table(AUD)'!G41,BS_RE33!$F$7:$F$874,'30 days CF Table(AUD)'!$C$2)</f>
        <v>0</v>
      </c>
      <c r="AX41" s="379">
        <f>SUMIFS(BS_RE33!$H$7:$H$874,BS_RE33!$S$7:$S$874,$AX$2,BS_RE33!$N$7:$N$874,I41,BS_RE33!$P$7:$P$874,'30 days CF Table(AUD)'!G41,BS_RE33!$F$7:$F$874,'30 days CF Table(AUD)'!$C$2)</f>
        <v>0</v>
      </c>
      <c r="AY41" s="379">
        <f>SUMIFS(BS_RE33!$H$7:$H$874,BS_RE33!$S$7:$S$874,$AY$2,BS_RE33!$N$7:$N$874,I41,BS_RE33!$P$7:$P$874,'30 days CF Table(AUD)'!G41,BS_RE33!$F$7:$F$874,'30 days CF Table(AUD)'!$C$2)</f>
        <v>0</v>
      </c>
      <c r="AZ41" s="379">
        <f>SUMIFS(BS_RE33!$H$7:$H$874,BS_RE33!$S$7:$S$874,$AZ$2,BS_RE33!$N$7:$N$874,I41,BS_RE33!$P$7:$P$874,'30 days CF Table(AUD)'!G41,BS_RE33!$F$7:$F$874,'30 days CF Table(AUD)'!$C$2)</f>
        <v>0</v>
      </c>
      <c r="BA41" s="379">
        <f>SUMIFS(BS_RE33!$H$7:$H$874,BS_RE33!$S$7:$S$874,$BA$2,BS_RE33!$N$7:$N$874,I41,BS_RE33!$P$7:$P$874,'30 days CF Table(AUD)'!G41,BS_RE33!$F$7:$F$874,'30 days CF Table(AUD)'!$C$2)</f>
        <v>0</v>
      </c>
      <c r="BB41" s="379">
        <f>SUMIFS(BS_RE33!$H$7:$H$874,BS_RE33!$S$7:$S$874,$BB$2,BS_RE33!$N$7:$N$874,I41,BS_RE33!$P$7:$P$874,'30 days CF Table(AUD)'!G41,BS_RE33!$F$7:$F$874,'30 days CF Table(AUD)'!$C$2)</f>
        <v>0</v>
      </c>
      <c r="BC41" s="379">
        <f>SUMIFS(BS_RE33!$H$7:$H$874,BS_RE33!$S$7:$S$874,$BC$2,BS_RE33!$N$7:$N$874,I41,BS_RE33!$P$7:$P$874,'30 days CF Table(AUD)'!G41,BS_RE33!$F$7:$F$874,'30 days CF Table(AUD)'!$C$2)</f>
        <v>0</v>
      </c>
      <c r="BD41" s="379">
        <f>SUMIFS(BS_RE33!$H$7:$H$874,BS_RE33!$S$7:$S$874,$BD$2,BS_RE33!$N$7:$N$874,I41,BS_RE33!$P$7:$P$874,'30 days CF Table(AUD)'!G41,BS_RE33!$F$7:$F$874,'30 days CF Table(AUD)'!$C$2)</f>
        <v>0</v>
      </c>
      <c r="BE41" s="379">
        <f>SUMIFS(BS_RE33!$H$7:$H$874,BS_RE33!$S$7:$S$874,$BE$2,BS_RE33!$N$7:$N$874,I41,BS_RE33!$P$7:$P$874,'30 days CF Table(AUD)'!G41,BS_RE33!$F$7:$F$874,'30 days CF Table(AUD)'!$C$2)</f>
        <v>0</v>
      </c>
      <c r="BF41" s="379">
        <f>SUMIFS(BS_RE33!$H$7:$H$874,BS_RE33!$S$7:$S$874,$BF$2,BS_RE33!$N$7:$N$874,I41,BS_RE33!$P$7:$P$874,'30 days CF Table(AUD)'!G41,BS_RE33!$F$7:$F$874,'30 days CF Table(AUD)'!$C$2)</f>
        <v>0</v>
      </c>
      <c r="BG41" s="379">
        <f>SUMIFS(BS_RE33!$H$7:$H$874,BS_RE33!$S$7:$S$874,$BG$2,BS_RE33!$N$7:$N$874,I41,BS_RE33!$P$7:$P$874,'30 days CF Table(AUD)'!G41,BS_RE33!$F$7:$F$874,'30 days CF Table(AUD)'!$C$2)</f>
        <v>0</v>
      </c>
      <c r="BH41" s="379">
        <f>SUMIFS(BS_RE33!$H$7:$H$874,BS_RE33!$S$7:$S$874,$BH$2,BS_RE33!$N$7:$N$874,I41,BS_RE33!$P$7:$P$874,'30 days CF Table(AUD)'!G41,BS_RE33!$F$7:$F$874,'30 days CF Table(AUD)'!$C$2)</f>
        <v>0</v>
      </c>
      <c r="BI41" s="379">
        <f>SUMIFS(BS_RE33!$H$7:$H$874,BS_RE33!$S$7:$S$874,$BI$2,BS_RE33!$N$7:$N$874,I41,BS_RE33!$P$7:$P$874,'30 days CF Table(AUD)'!G41,BS_RE33!$F$7:$F$874,'30 days CF Table(AUD)'!$C$2)</f>
        <v>0</v>
      </c>
      <c r="BJ41" s="379">
        <f>SUMIFS(BS_RE33!$H$7:$H$874,BS_RE33!$S$7:$S$874,$BJ$2,BS_RE33!$N$7:$N$874,I41,BS_RE33!$P$7:$P$874,'30 days CF Table(AUD)'!G41,BS_RE33!$F$7:$F$874,'30 days CF Table(AUD)'!$C$2)</f>
        <v>0</v>
      </c>
      <c r="BK41" s="379">
        <f>SUMIFS(BS_RE33!$H$7:$H$874,BS_RE33!$S$7:$S$874,$BK$2,BS_RE33!$N$7:$N$874,I41,BS_RE33!$P$7:$P$874,'30 days CF Table(AUD)'!G41,BS_RE33!$F$7:$F$874,'30 days CF Table(AUD)'!$C$2)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Table(AUD)'!G42,BS_RE33!$F$7:$F$874,'30 days CF Table(AUD)'!$C$2)</f>
        <v>0</v>
      </c>
      <c r="M42" s="337">
        <f>SUMIFS(BS_RE33!$H$7:$H$874,BS_RE33!$S$7:$S$874,$M$2,BS_RE33!$N$7:$N$874,I42,BS_RE33!$P$7:$P$874,'30 days CF Table(AUD)'!G42,BS_RE33!$F$7:$F$874,'30 days CF Table(AUD)'!$C$2)</f>
        <v>0</v>
      </c>
      <c r="N42" s="337">
        <f>SUMIFS(BS_RE33!$H$7:$H$874,BS_RE33!$S$7:$S$874,$N$2,BS_RE33!$N$7:$N$874,I42,BS_RE33!$P$7:$P$874,'30 days CF Table(AUD)'!G42,BS_RE33!$F$7:$F$874,'30 days CF Table(AUD)'!$C$2)</f>
        <v>0</v>
      </c>
      <c r="O42" s="337">
        <f>SUMIFS(BS_RE33!$H$7:$H$874,BS_RE33!$S$7:$S$874,$O$2,BS_RE33!$N$7:$N$874,I42,BS_RE33!$P$7:$P$874,'30 days CF Table(AUD)'!G42,BS_RE33!$F$7:$F$874,'30 days CF Table(AUD)'!$C$2)</f>
        <v>0</v>
      </c>
      <c r="P42" s="337">
        <f>SUMIFS(BS_RE33!$H$7:$H$874,BS_RE33!$S$7:$S$874,$P$2,BS_RE33!$N$7:$N$874,I42,BS_RE33!$P$7:$P$874,'30 days CF Table(AUD)'!G42,BS_RE33!$F$7:$F$874,'30 days CF Table(AUD)'!$C$2)</f>
        <v>0</v>
      </c>
      <c r="Q42" s="337">
        <f>SUMIFS(BS_RE33!$H$7:$H$874,BS_RE33!$S$7:$S$874,$Q$2,BS_RE33!$N$7:$N$874,I42,BS_RE33!$P$7:$P$874,'30 days CF Table(AUD)'!G42,BS_RE33!$F$7:$F$874,'30 days CF Table(AUD)'!$C$2)</f>
        <v>0</v>
      </c>
      <c r="R42" s="337">
        <f>SUMIFS(BS_RE33!$H$7:$H$874,BS_RE33!$S$7:$S$874,$R$2,BS_RE33!$N$7:$N$874,I42,BS_RE33!$P$7:$P$874,'30 days CF Table(AUD)'!G42,BS_RE33!$F$7:$F$874,'30 days CF Table(AUD)'!$C$2)</f>
        <v>0</v>
      </c>
      <c r="S42" s="337">
        <f>SUMIFS(BS_RE33!$H$7:$H$874,BS_RE33!$S$7:$S$874,$S$2,BS_RE33!$N$7:$N$874,I42,BS_RE33!$P$7:$P$874,'30 days CF Table(AUD)'!G42,BS_RE33!$F$7:$F$874,'30 days CF Table(AUD)'!$C$2)</f>
        <v>0</v>
      </c>
      <c r="T42" s="337">
        <f>SUMIFS(BS_RE33!$H$7:$H$874,BS_RE33!$S$7:$S$874,$T$2,BS_RE33!$N$7:$N$874,I42,BS_RE33!$P$7:$P$874,'30 days CF Table(AUD)'!G42,BS_RE33!$F$7:$F$874,'30 days CF Table(AUD)'!$C$2)</f>
        <v>0</v>
      </c>
      <c r="U42" s="337">
        <f>SUMIFS(BS_RE33!$H$7:$H$874,BS_RE33!$S$7:$S$874,$U$2,BS_RE33!$N$7:$N$874,I42,BS_RE33!$P$7:$P$874,'30 days CF Table(AUD)'!G42,BS_RE33!$F$7:$F$874,'30 days CF Table(AUD)'!$C$2)</f>
        <v>0</v>
      </c>
      <c r="V42" s="337">
        <f>SUMIFS(BS_RE33!$H$7:$H$874,BS_RE33!$S$7:$S$874,$V$2,BS_RE33!$N$7:$N$874,I42,BS_RE33!$P$7:$P$874,'30 days CF Table(AUD)'!G42,BS_RE33!$F$7:$F$874,'30 days CF Table(AUD)'!$C$2)</f>
        <v>0</v>
      </c>
      <c r="W42" s="337">
        <f>SUMIFS(BS_RE33!$H$7:$H$874,BS_RE33!$S$7:$S$874,$W$2,BS_RE33!$N$7:$N$874,I42,BS_RE33!$P$7:$P$874,'30 days CF Table(AUD)'!G42,BS_RE33!$F$7:$F$874,'30 days CF Table(AUD)'!$C$2)</f>
        <v>0</v>
      </c>
      <c r="X42" s="337">
        <f>SUMIFS(BS_RE33!$H$7:$H$874,BS_RE33!$S$7:$S$874,$X$2,BS_RE33!$N$7:$N$874,I42,BS_RE33!$P$7:$P$874,'30 days CF Table(AUD)'!G42,BS_RE33!$F$7:$F$874,'30 days CF Table(AUD)'!$C$2)</f>
        <v>0</v>
      </c>
      <c r="Y42" s="337">
        <f>SUMIFS(BS_RE33!$H$7:$H$874,BS_RE33!$S$7:$S$874,$Y$2,BS_RE33!$N$7:$N$874,I42,BS_RE33!$P$7:$P$874,'30 days CF Table(AUD)'!G42,BS_RE33!$F$7:$F$874,'30 days CF Table(AUD)'!$C$2)</f>
        <v>0</v>
      </c>
      <c r="Z42" s="337">
        <f>SUMIFS(BS_RE33!$H$7:$H$874,BS_RE33!$S$7:$S$874,$Z$2,BS_RE33!$N$7:$N$874,I42,BS_RE33!$P$7:$P$874,'30 days CF Table(AUD)'!G42,BS_RE33!$F$7:$F$874,'30 days CF Table(AUD)'!$C$2)</f>
        <v>0</v>
      </c>
      <c r="AA42" s="337">
        <f>SUMIFS(BS_RE33!$H$7:$H$874,BS_RE33!$S$7:$S$874,$AA$2,BS_RE33!$N$7:$N$874,I42,BS_RE33!$P$7:$P$874,'30 days CF Table(AUD)'!G42,BS_RE33!$F$7:$F$874,'30 days CF Table(AUD)'!$C$2)</f>
        <v>0</v>
      </c>
      <c r="AB42" s="337">
        <f>SUMIFS(BS_RE33!$H$7:$H$874,BS_RE33!$S$7:$S$874,$AB$2,BS_RE33!$N$7:$N$874,I42,BS_RE33!$P$7:$P$874,'30 days CF Table(AUD)'!G42,BS_RE33!$F$7:$F$874,'30 days CF Table(AUD)'!$C$2)</f>
        <v>0</v>
      </c>
      <c r="AC42" s="337">
        <f>SUMIFS(BS_RE33!$H$7:$H$874,BS_RE33!$S$7:$S$874,$AC$2,BS_RE33!$N$7:$N$874,I42,BS_RE33!$P$7:$P$874,'30 days CF Table(AUD)'!G42,BS_RE33!$F$7:$F$874,'30 days CF Table(AUD)'!$C$2)</f>
        <v>0</v>
      </c>
      <c r="AD42" s="337">
        <f>SUMIFS(BS_RE33!$H$7:$H$874,BS_RE33!$S$7:$S$874,$AD$2,BS_RE33!$N$7:$N$874,I42,BS_RE33!$P$7:$P$874,'30 days CF Table(AUD)'!G42,BS_RE33!$F$7:$F$874,'30 days CF Table(AUD)'!$C$2)</f>
        <v>0</v>
      </c>
      <c r="AE42" s="337">
        <f>SUMIFS(BS_RE33!$H$7:$H$874,BS_RE33!$S$7:$S$874,$AE$2,BS_RE33!$N$7:$N$874,I42,BS_RE33!$P$7:$P$874,'30 days CF Table(AUD)'!G42,BS_RE33!$F$7:$F$874,'30 days CF Table(AUD)'!$C$2)</f>
        <v>0</v>
      </c>
      <c r="AF42" s="337">
        <f>SUMIFS(BS_RE33!$H$7:$H$874,BS_RE33!$S$7:$S$874,$AF$2,BS_RE33!$N$7:$N$874,I42,BS_RE33!$P$7:$P$874,'30 days CF Table(AUD)'!G42,BS_RE33!$F$7:$F$874,'30 days CF Table(AUD)'!$C$2)</f>
        <v>0</v>
      </c>
      <c r="AG42" s="337">
        <f>SUMIFS(BS_RE33!$H$7:$H$874,BS_RE33!$S$7:$S$874,$AG$2,BS_RE33!$N$7:$N$874,I42,BS_RE33!$P$7:$P$874,'30 days CF Table(AUD)'!G42,BS_RE33!$F$7:$F$874,'30 days CF Table(AUD)'!$C$2)</f>
        <v>0</v>
      </c>
      <c r="AH42" s="337">
        <f>SUMIFS(BS_RE33!$H$7:$H$874,BS_RE33!$S$7:$S$874,$AH$2,BS_RE33!$N$7:$N$874,I42,BS_RE33!$P$7:$P$874,'30 days CF Table(AUD)'!G42,BS_RE33!$F$7:$F$874,'30 days CF Table(AUD)'!$C$2)</f>
        <v>0</v>
      </c>
      <c r="AI42" s="337">
        <f>SUMIFS(BS_RE33!$H$7:$H$874,BS_RE33!$S$7:$S$874,$AI$2,BS_RE33!$N$7:$N$874,I42,BS_RE33!$P$7:$P$874,'30 days CF Table(AUD)'!G42,BS_RE33!$F$7:$F$874,'30 days CF Table(AUD)'!$C$2)</f>
        <v>0</v>
      </c>
      <c r="AJ42" s="337">
        <f>SUMIFS(BS_RE33!$H$7:$H$874,BS_RE33!$S$7:$S$874,$AJ$2,BS_RE33!$N$7:$N$874,I42,BS_RE33!$P$7:$P$874,'30 days CF Table(AUD)'!G42,BS_RE33!$F$7:$F$874,'30 days CF Table(AUD)'!$C$2)</f>
        <v>0</v>
      </c>
      <c r="AK42" s="337">
        <f>SUMIFS(BS_RE33!$H$7:$H$874,BS_RE33!$S$7:$S$874,$AK$2,BS_RE33!$N$7:$N$874,I42,BS_RE33!$P$7:$P$874,'30 days CF Table(AUD)'!G42,BS_RE33!$F$7:$F$874,'30 days CF Table(AUD)'!$C$2)</f>
        <v>0</v>
      </c>
      <c r="AL42" s="337">
        <f>SUMIFS(BS_RE33!$H$7:$H$874,BS_RE33!$S$7:$S$874,$AL$2,BS_RE33!$N$7:$N$874,I42,BS_RE33!$P$7:$P$874,'30 days CF Table(AUD)'!G42,BS_RE33!$F$7:$F$874,'30 days CF Table(AUD)'!$C$2)</f>
        <v>0</v>
      </c>
      <c r="AM42" s="337">
        <f>SUMIFS(BS_RE33!$H$7:$H$874,BS_RE33!$S$7:$S$874,$AM$2,BS_RE33!$N$7:$N$874,I42,BS_RE33!$P$7:$P$874,'30 days CF Table(AUD)'!G42,BS_RE33!$F$7:$F$874,'30 days CF Table(AUD)'!$C$2)</f>
        <v>0</v>
      </c>
      <c r="AN42" s="337">
        <f>SUMIFS(BS_RE33!$H$7:$H$874,BS_RE33!$S$7:$S$874,$AN$2,BS_RE33!$N$7:$N$874,I42,BS_RE33!$P$7:$P$874,'30 days CF Table(AUD)'!G42,BS_RE33!$F$7:$F$874,'30 days CF Table(AUD)'!$C$2)</f>
        <v>0</v>
      </c>
      <c r="AO42" s="337">
        <f>SUMIFS(BS_RE33!$H$7:$H$874,BS_RE33!$S$7:$S$874,$AO$2,BS_RE33!$N$7:$N$874,I42,BS_RE33!$P$7:$P$874,'30 days CF Table(AUD)'!G42,BS_RE33!$F$7:$F$874,'30 days CF Table(AUD)'!$C$2)</f>
        <v>0</v>
      </c>
      <c r="AP42" s="338">
        <f>SUMIFS(BS_RE33!$H$7:$H$874,BS_RE33!$S$7:$S$874,$AP$2,BS_RE33!$N$7:$N$874,I42,BS_RE33!$P$7:$P$874,'30 days CF Table(AUD)'!G42,BS_RE33!$F$7:$F$874,'30 days CF Table(AUD)'!$C$2)</f>
        <v>0</v>
      </c>
      <c r="AR42" s="379">
        <f>SUMIFS(BS_RE33!$H$7:$H$874,BS_RE33!$S$7:$S$874,$AR$2,BS_RE33!$N$7:$N$874,I42,BS_RE33!$P$7:$P$874,'30 days CF Table(AUD)'!G42,BS_RE33!$F$7:$F$874,'30 days CF Table(AUD)'!$C$2)</f>
        <v>0</v>
      </c>
      <c r="AS42" s="379">
        <f>SUMIFS(BS_RE33!$H$7:$H$874,BS_RE33!$S$7:$S$874,$AS$2,BS_RE33!$N$7:$N$874,I42,BS_RE33!$P$7:$P$874,'30 days CF Table(AUD)'!G42,BS_RE33!$F$7:$F$874,'30 days CF Table(AUD)'!$C$2)</f>
        <v>0</v>
      </c>
      <c r="AT42" s="379">
        <f>SUMIFS(BS_RE33!$H$7:$H$874,BS_RE33!$S$7:$S$874,$AT$2,BS_RE33!$N$7:$N$874,I42,BS_RE33!$P$7:$P$874,'30 days CF Table(AUD)'!G42,BS_RE33!$F$7:$F$874,'30 days CF Table(AUD)'!$C$2)</f>
        <v>0</v>
      </c>
      <c r="AU42" s="379">
        <f>SUMIFS(BS_RE33!$H$7:$H$874,BS_RE33!$S$7:$S$874,$AU$2,BS_RE33!$N$7:$N$874,I42,BS_RE33!$P$7:$P$874,'30 days CF Table(AUD)'!G42,BS_RE33!$F$7:$F$874,'30 days CF Table(AUD)'!$C$2)</f>
        <v>0</v>
      </c>
      <c r="AV42" s="379">
        <f>SUMIFS(BS_RE33!$H$7:$H$874,BS_RE33!$S$7:$S$874,$AV$2,BS_RE33!$N$7:$N$874,I42,BS_RE33!$P$7:$P$874,'30 days CF Table(AUD)'!G42,BS_RE33!$F$7:$F$874,'30 days CF Table(AUD)'!$C$2)</f>
        <v>0</v>
      </c>
      <c r="AW42" s="379">
        <f>SUMIFS(BS_RE33!$H$7:$H$874,BS_RE33!$S$7:$S$874,$AW$2,BS_RE33!$N$7:$N$874,I42,BS_RE33!$P$7:$P$874,'30 days CF Table(AUD)'!G42,BS_RE33!$F$7:$F$874,'30 days CF Table(AUD)'!$C$2)</f>
        <v>0</v>
      </c>
      <c r="AX42" s="379">
        <f>SUMIFS(BS_RE33!$H$7:$H$874,BS_RE33!$S$7:$S$874,$AX$2,BS_RE33!$N$7:$N$874,I42,BS_RE33!$P$7:$P$874,'30 days CF Table(AUD)'!G42,BS_RE33!$F$7:$F$874,'30 days CF Table(AUD)'!$C$2)</f>
        <v>0</v>
      </c>
      <c r="AY42" s="379">
        <f>SUMIFS(BS_RE33!$H$7:$H$874,BS_RE33!$S$7:$S$874,$AY$2,BS_RE33!$N$7:$N$874,I42,BS_RE33!$P$7:$P$874,'30 days CF Table(AUD)'!G42,BS_RE33!$F$7:$F$874,'30 days CF Table(AUD)'!$C$2)</f>
        <v>0</v>
      </c>
      <c r="AZ42" s="379">
        <f>SUMIFS(BS_RE33!$H$7:$H$874,BS_RE33!$S$7:$S$874,$AZ$2,BS_RE33!$N$7:$N$874,I42,BS_RE33!$P$7:$P$874,'30 days CF Table(AUD)'!G42,BS_RE33!$F$7:$F$874,'30 days CF Table(AUD)'!$C$2)</f>
        <v>0</v>
      </c>
      <c r="BA42" s="379">
        <f>SUMIFS(BS_RE33!$H$7:$H$874,BS_RE33!$S$7:$S$874,$BA$2,BS_RE33!$N$7:$N$874,I42,BS_RE33!$P$7:$P$874,'30 days CF Table(AUD)'!G42,BS_RE33!$F$7:$F$874,'30 days CF Table(AUD)'!$C$2)</f>
        <v>0</v>
      </c>
      <c r="BB42" s="379">
        <f>SUMIFS(BS_RE33!$H$7:$H$874,BS_RE33!$S$7:$S$874,$BB$2,BS_RE33!$N$7:$N$874,I42,BS_RE33!$P$7:$P$874,'30 days CF Table(AUD)'!G42,BS_RE33!$F$7:$F$874,'30 days CF Table(AUD)'!$C$2)</f>
        <v>0</v>
      </c>
      <c r="BC42" s="379">
        <f>SUMIFS(BS_RE33!$H$7:$H$874,BS_RE33!$S$7:$S$874,$BC$2,BS_RE33!$N$7:$N$874,I42,BS_RE33!$P$7:$P$874,'30 days CF Table(AUD)'!G42,BS_RE33!$F$7:$F$874,'30 days CF Table(AUD)'!$C$2)</f>
        <v>0</v>
      </c>
      <c r="BD42" s="379">
        <f>SUMIFS(BS_RE33!$H$7:$H$874,BS_RE33!$S$7:$S$874,$BD$2,BS_RE33!$N$7:$N$874,I42,BS_RE33!$P$7:$P$874,'30 days CF Table(AUD)'!G42,BS_RE33!$F$7:$F$874,'30 days CF Table(AUD)'!$C$2)</f>
        <v>0</v>
      </c>
      <c r="BE42" s="379">
        <f>SUMIFS(BS_RE33!$H$7:$H$874,BS_RE33!$S$7:$S$874,$BE$2,BS_RE33!$N$7:$N$874,I42,BS_RE33!$P$7:$P$874,'30 days CF Table(AUD)'!G42,BS_RE33!$F$7:$F$874,'30 days CF Table(AUD)'!$C$2)</f>
        <v>0</v>
      </c>
      <c r="BF42" s="379">
        <f>SUMIFS(BS_RE33!$H$7:$H$874,BS_RE33!$S$7:$S$874,$BF$2,BS_RE33!$N$7:$N$874,I42,BS_RE33!$P$7:$P$874,'30 days CF Table(AUD)'!G42,BS_RE33!$F$7:$F$874,'30 days CF Table(AUD)'!$C$2)</f>
        <v>0</v>
      </c>
      <c r="BG42" s="379">
        <f>SUMIFS(BS_RE33!$H$7:$H$874,BS_RE33!$S$7:$S$874,$BG$2,BS_RE33!$N$7:$N$874,I42,BS_RE33!$P$7:$P$874,'30 days CF Table(AUD)'!G42,BS_RE33!$F$7:$F$874,'30 days CF Table(AUD)'!$C$2)</f>
        <v>0</v>
      </c>
      <c r="BH42" s="379">
        <f>SUMIFS(BS_RE33!$H$7:$H$874,BS_RE33!$S$7:$S$874,$BH$2,BS_RE33!$N$7:$N$874,I42,BS_RE33!$P$7:$P$874,'30 days CF Table(AUD)'!G42,BS_RE33!$F$7:$F$874,'30 days CF Table(AUD)'!$C$2)</f>
        <v>0</v>
      </c>
      <c r="BI42" s="379">
        <f>SUMIFS(BS_RE33!$H$7:$H$874,BS_RE33!$S$7:$S$874,$BI$2,BS_RE33!$N$7:$N$874,I42,BS_RE33!$P$7:$P$874,'30 days CF Table(AUD)'!G42,BS_RE33!$F$7:$F$874,'30 days CF Table(AUD)'!$C$2)</f>
        <v>0</v>
      </c>
      <c r="BJ42" s="379">
        <f>SUMIFS(BS_RE33!$H$7:$H$874,BS_RE33!$S$7:$S$874,$BJ$2,BS_RE33!$N$7:$N$874,I42,BS_RE33!$P$7:$P$874,'30 days CF Table(AUD)'!G42,BS_RE33!$F$7:$F$874,'30 days CF Table(AUD)'!$C$2)</f>
        <v>0</v>
      </c>
      <c r="BK42" s="379">
        <f>SUMIFS(BS_RE33!$H$7:$H$874,BS_RE33!$S$7:$S$874,$BK$2,BS_RE33!$N$7:$N$874,I42,BS_RE33!$P$7:$P$874,'30 days CF Table(AUD)'!G42,BS_RE33!$F$7:$F$874,'30 days CF Table(AUD)'!$C$2)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Table(AUD)'!G43,BS_RE33!$F$7:$F$874,'30 days CF Table(AUD)'!$C$2)</f>
        <v>0</v>
      </c>
      <c r="M43" s="337">
        <f>SUMIFS(BS_RE33!$H$7:$H$874,BS_RE33!$S$7:$S$874,$M$2,BS_RE33!$N$7:$N$874,I43,BS_RE33!$P$7:$P$874,'30 days CF Table(AUD)'!G43,BS_RE33!$F$7:$F$874,'30 days CF Table(AUD)'!$C$2)</f>
        <v>0</v>
      </c>
      <c r="N43" s="337">
        <f>SUMIFS(BS_RE33!$H$7:$H$874,BS_RE33!$S$7:$S$874,$N$2,BS_RE33!$N$7:$N$874,I43,BS_RE33!$P$7:$P$874,'30 days CF Table(AUD)'!G43,BS_RE33!$F$7:$F$874,'30 days CF Table(AUD)'!$C$2)</f>
        <v>0</v>
      </c>
      <c r="O43" s="337">
        <f>SUMIFS(BS_RE33!$H$7:$H$874,BS_RE33!$S$7:$S$874,$O$2,BS_RE33!$N$7:$N$874,I43,BS_RE33!$P$7:$P$874,'30 days CF Table(AUD)'!G43,BS_RE33!$F$7:$F$874,'30 days CF Table(AUD)'!$C$2)</f>
        <v>0</v>
      </c>
      <c r="P43" s="337">
        <f>SUMIFS(BS_RE33!$H$7:$H$874,BS_RE33!$S$7:$S$874,$P$2,BS_RE33!$N$7:$N$874,I43,BS_RE33!$P$7:$P$874,'30 days CF Table(AUD)'!G43,BS_RE33!$F$7:$F$874,'30 days CF Table(AUD)'!$C$2)</f>
        <v>0</v>
      </c>
      <c r="Q43" s="337">
        <f>SUMIFS(BS_RE33!$H$7:$H$874,BS_RE33!$S$7:$S$874,$Q$2,BS_RE33!$N$7:$N$874,I43,BS_RE33!$P$7:$P$874,'30 days CF Table(AUD)'!G43,BS_RE33!$F$7:$F$874,'30 days CF Table(AUD)'!$C$2)</f>
        <v>0</v>
      </c>
      <c r="R43" s="337">
        <f>SUMIFS(BS_RE33!$H$7:$H$874,BS_RE33!$S$7:$S$874,$R$2,BS_RE33!$N$7:$N$874,I43,BS_RE33!$P$7:$P$874,'30 days CF Table(AUD)'!G43,BS_RE33!$F$7:$F$874,'30 days CF Table(AUD)'!$C$2)</f>
        <v>0</v>
      </c>
      <c r="S43" s="337">
        <f>SUMIFS(BS_RE33!$H$7:$H$874,BS_RE33!$S$7:$S$874,$S$2,BS_RE33!$N$7:$N$874,I43,BS_RE33!$P$7:$P$874,'30 days CF Table(AUD)'!G43,BS_RE33!$F$7:$F$874,'30 days CF Table(AUD)'!$C$2)</f>
        <v>0</v>
      </c>
      <c r="T43" s="337">
        <f>SUMIFS(BS_RE33!$H$7:$H$874,BS_RE33!$S$7:$S$874,$T$2,BS_RE33!$N$7:$N$874,I43,BS_RE33!$P$7:$P$874,'30 days CF Table(AUD)'!G43,BS_RE33!$F$7:$F$874,'30 days CF Table(AUD)'!$C$2)</f>
        <v>0</v>
      </c>
      <c r="U43" s="337">
        <f>SUMIFS(BS_RE33!$H$7:$H$874,BS_RE33!$S$7:$S$874,$U$2,BS_RE33!$N$7:$N$874,I43,BS_RE33!$P$7:$P$874,'30 days CF Table(AUD)'!G43,BS_RE33!$F$7:$F$874,'30 days CF Table(AUD)'!$C$2)</f>
        <v>0</v>
      </c>
      <c r="V43" s="337">
        <f>SUMIFS(BS_RE33!$H$7:$H$874,BS_RE33!$S$7:$S$874,$V$2,BS_RE33!$N$7:$N$874,I43,BS_RE33!$P$7:$P$874,'30 days CF Table(AUD)'!G43,BS_RE33!$F$7:$F$874,'30 days CF Table(AUD)'!$C$2)</f>
        <v>0</v>
      </c>
      <c r="W43" s="337">
        <f>SUMIFS(BS_RE33!$H$7:$H$874,BS_RE33!$S$7:$S$874,$W$2,BS_RE33!$N$7:$N$874,I43,BS_RE33!$P$7:$P$874,'30 days CF Table(AUD)'!G43,BS_RE33!$F$7:$F$874,'30 days CF Table(AUD)'!$C$2)</f>
        <v>0</v>
      </c>
      <c r="X43" s="337">
        <f>SUMIFS(BS_RE33!$H$7:$H$874,BS_RE33!$S$7:$S$874,$X$2,BS_RE33!$N$7:$N$874,I43,BS_RE33!$P$7:$P$874,'30 days CF Table(AUD)'!G43,BS_RE33!$F$7:$F$874,'30 days CF Table(AUD)'!$C$2)</f>
        <v>0</v>
      </c>
      <c r="Y43" s="337">
        <f>SUMIFS(BS_RE33!$H$7:$H$874,BS_RE33!$S$7:$S$874,$Y$2,BS_RE33!$N$7:$N$874,I43,BS_RE33!$P$7:$P$874,'30 days CF Table(AUD)'!G43,BS_RE33!$F$7:$F$874,'30 days CF Table(AUD)'!$C$2)</f>
        <v>0</v>
      </c>
      <c r="Z43" s="337">
        <f>SUMIFS(BS_RE33!$H$7:$H$874,BS_RE33!$S$7:$S$874,$Z$2,BS_RE33!$N$7:$N$874,I43,BS_RE33!$P$7:$P$874,'30 days CF Table(AUD)'!G43,BS_RE33!$F$7:$F$874,'30 days CF Table(AUD)'!$C$2)</f>
        <v>0</v>
      </c>
      <c r="AA43" s="337">
        <f>SUMIFS(BS_RE33!$H$7:$H$874,BS_RE33!$S$7:$S$874,$AA$2,BS_RE33!$N$7:$N$874,I43,BS_RE33!$P$7:$P$874,'30 days CF Table(AUD)'!G43,BS_RE33!$F$7:$F$874,'30 days CF Table(AUD)'!$C$2)</f>
        <v>0</v>
      </c>
      <c r="AB43" s="337">
        <f>SUMIFS(BS_RE33!$H$7:$H$874,BS_RE33!$S$7:$S$874,$AB$2,BS_RE33!$N$7:$N$874,I43,BS_RE33!$P$7:$P$874,'30 days CF Table(AUD)'!G43,BS_RE33!$F$7:$F$874,'30 days CF Table(AUD)'!$C$2)</f>
        <v>0</v>
      </c>
      <c r="AC43" s="337">
        <f>SUMIFS(BS_RE33!$H$7:$H$874,BS_RE33!$S$7:$S$874,$AC$2,BS_RE33!$N$7:$N$874,I43,BS_RE33!$P$7:$P$874,'30 days CF Table(AUD)'!G43,BS_RE33!$F$7:$F$874,'30 days CF Table(AUD)'!$C$2)</f>
        <v>0</v>
      </c>
      <c r="AD43" s="337">
        <f>SUMIFS(BS_RE33!$H$7:$H$874,BS_RE33!$S$7:$S$874,$AD$2,BS_RE33!$N$7:$N$874,I43,BS_RE33!$P$7:$P$874,'30 days CF Table(AUD)'!G43,BS_RE33!$F$7:$F$874,'30 days CF Table(AUD)'!$C$2)</f>
        <v>0</v>
      </c>
      <c r="AE43" s="337">
        <f>SUMIFS(BS_RE33!$H$7:$H$874,BS_RE33!$S$7:$S$874,$AE$2,BS_RE33!$N$7:$N$874,I43,BS_RE33!$P$7:$P$874,'30 days CF Table(AUD)'!G43,BS_RE33!$F$7:$F$874,'30 days CF Table(AUD)'!$C$2)</f>
        <v>0</v>
      </c>
      <c r="AF43" s="337">
        <f>SUMIFS(BS_RE33!$H$7:$H$874,BS_RE33!$S$7:$S$874,$AF$2,BS_RE33!$N$7:$N$874,I43,BS_RE33!$P$7:$P$874,'30 days CF Table(AUD)'!G43,BS_RE33!$F$7:$F$874,'30 days CF Table(AUD)'!$C$2)</f>
        <v>0</v>
      </c>
      <c r="AG43" s="337">
        <f>SUMIFS(BS_RE33!$H$7:$H$874,BS_RE33!$S$7:$S$874,$AG$2,BS_RE33!$N$7:$N$874,I43,BS_RE33!$P$7:$P$874,'30 days CF Table(AUD)'!G43,BS_RE33!$F$7:$F$874,'30 days CF Table(AUD)'!$C$2)</f>
        <v>0</v>
      </c>
      <c r="AH43" s="337">
        <f>SUMIFS(BS_RE33!$H$7:$H$874,BS_RE33!$S$7:$S$874,$AH$2,BS_RE33!$N$7:$N$874,I43,BS_RE33!$P$7:$P$874,'30 days CF Table(AUD)'!G43,BS_RE33!$F$7:$F$874,'30 days CF Table(AUD)'!$C$2)</f>
        <v>0</v>
      </c>
      <c r="AI43" s="337">
        <f>SUMIFS(BS_RE33!$H$7:$H$874,BS_RE33!$S$7:$S$874,$AI$2,BS_RE33!$N$7:$N$874,I43,BS_RE33!$P$7:$P$874,'30 days CF Table(AUD)'!G43,BS_RE33!$F$7:$F$874,'30 days CF Table(AUD)'!$C$2)</f>
        <v>0</v>
      </c>
      <c r="AJ43" s="337">
        <f>SUMIFS(BS_RE33!$H$7:$H$874,BS_RE33!$S$7:$S$874,$AJ$2,BS_RE33!$N$7:$N$874,I43,BS_RE33!$P$7:$P$874,'30 days CF Table(AUD)'!G43,BS_RE33!$F$7:$F$874,'30 days CF Table(AUD)'!$C$2)</f>
        <v>0</v>
      </c>
      <c r="AK43" s="337">
        <f>SUMIFS(BS_RE33!$H$7:$H$874,BS_RE33!$S$7:$S$874,$AK$2,BS_RE33!$N$7:$N$874,I43,BS_RE33!$P$7:$P$874,'30 days CF Table(AUD)'!G43,BS_RE33!$F$7:$F$874,'30 days CF Table(AUD)'!$C$2)</f>
        <v>0</v>
      </c>
      <c r="AL43" s="337">
        <f>SUMIFS(BS_RE33!$H$7:$H$874,BS_RE33!$S$7:$S$874,$AL$2,BS_RE33!$N$7:$N$874,I43,BS_RE33!$P$7:$P$874,'30 days CF Table(AUD)'!G43,BS_RE33!$F$7:$F$874,'30 days CF Table(AUD)'!$C$2)</f>
        <v>0</v>
      </c>
      <c r="AM43" s="337">
        <f>SUMIFS(BS_RE33!$H$7:$H$874,BS_RE33!$S$7:$S$874,$AM$2,BS_RE33!$N$7:$N$874,I43,BS_RE33!$P$7:$P$874,'30 days CF Table(AUD)'!G43,BS_RE33!$F$7:$F$874,'30 days CF Table(AUD)'!$C$2)</f>
        <v>0</v>
      </c>
      <c r="AN43" s="337">
        <f>SUMIFS(BS_RE33!$H$7:$H$874,BS_RE33!$S$7:$S$874,$AN$2,BS_RE33!$N$7:$N$874,I43,BS_RE33!$P$7:$P$874,'30 days CF Table(AUD)'!G43,BS_RE33!$F$7:$F$874,'30 days CF Table(AUD)'!$C$2)</f>
        <v>0</v>
      </c>
      <c r="AO43" s="337">
        <f>SUMIFS(BS_RE33!$H$7:$H$874,BS_RE33!$S$7:$S$874,$AO$2,BS_RE33!$N$7:$N$874,I43,BS_RE33!$P$7:$P$874,'30 days CF Table(AUD)'!G43,BS_RE33!$F$7:$F$874,'30 days CF Table(AUD)'!$C$2)</f>
        <v>0</v>
      </c>
      <c r="AP43" s="338">
        <f>SUMIFS(BS_RE33!$H$7:$H$874,BS_RE33!$S$7:$S$874,$AP$2,BS_RE33!$N$7:$N$874,I43,BS_RE33!$P$7:$P$874,'30 days CF Table(AUD)'!G43,BS_RE33!$F$7:$F$874,'30 days CF Table(AUD)'!$C$2)</f>
        <v>0</v>
      </c>
      <c r="AR43" s="379">
        <f>SUMIFS(BS_RE33!$H$7:$H$874,BS_RE33!$S$7:$S$874,$AR$2,BS_RE33!$N$7:$N$874,I43,BS_RE33!$P$7:$P$874,'30 days CF Table(AUD)'!G43,BS_RE33!$F$7:$F$874,'30 days CF Table(AUD)'!$C$2)</f>
        <v>0</v>
      </c>
      <c r="AS43" s="379">
        <f>SUMIFS(BS_RE33!$H$7:$H$874,BS_RE33!$S$7:$S$874,$AS$2,BS_RE33!$N$7:$N$874,I43,BS_RE33!$P$7:$P$874,'30 days CF Table(AUD)'!G43,BS_RE33!$F$7:$F$874,'30 days CF Table(AUD)'!$C$2)</f>
        <v>0</v>
      </c>
      <c r="AT43" s="379">
        <f>SUMIFS(BS_RE33!$H$7:$H$874,BS_RE33!$S$7:$S$874,$AT$2,BS_RE33!$N$7:$N$874,I43,BS_RE33!$P$7:$P$874,'30 days CF Table(AUD)'!G43,BS_RE33!$F$7:$F$874,'30 days CF Table(AUD)'!$C$2)</f>
        <v>0</v>
      </c>
      <c r="AU43" s="379">
        <f>SUMIFS(BS_RE33!$H$7:$H$874,BS_RE33!$S$7:$S$874,$AU$2,BS_RE33!$N$7:$N$874,I43,BS_RE33!$P$7:$P$874,'30 days CF Table(AUD)'!G43,BS_RE33!$F$7:$F$874,'30 days CF Table(AUD)'!$C$2)</f>
        <v>0</v>
      </c>
      <c r="AV43" s="379">
        <f>SUMIFS(BS_RE33!$H$7:$H$874,BS_RE33!$S$7:$S$874,$AV$2,BS_RE33!$N$7:$N$874,I43,BS_RE33!$P$7:$P$874,'30 days CF Table(AUD)'!G43,BS_RE33!$F$7:$F$874,'30 days CF Table(AUD)'!$C$2)</f>
        <v>0</v>
      </c>
      <c r="AW43" s="379">
        <f>SUMIFS(BS_RE33!$H$7:$H$874,BS_RE33!$S$7:$S$874,$AW$2,BS_RE33!$N$7:$N$874,I43,BS_RE33!$P$7:$P$874,'30 days CF Table(AUD)'!G43,BS_RE33!$F$7:$F$874,'30 days CF Table(AUD)'!$C$2)</f>
        <v>0</v>
      </c>
      <c r="AX43" s="379">
        <f>SUMIFS(BS_RE33!$H$7:$H$874,BS_RE33!$S$7:$S$874,$AX$2,BS_RE33!$N$7:$N$874,I43,BS_RE33!$P$7:$P$874,'30 days CF Table(AUD)'!G43,BS_RE33!$F$7:$F$874,'30 days CF Table(AUD)'!$C$2)</f>
        <v>0</v>
      </c>
      <c r="AY43" s="379">
        <f>SUMIFS(BS_RE33!$H$7:$H$874,BS_RE33!$S$7:$S$874,$AY$2,BS_RE33!$N$7:$N$874,I43,BS_RE33!$P$7:$P$874,'30 days CF Table(AUD)'!G43,BS_RE33!$F$7:$F$874,'30 days CF Table(AUD)'!$C$2)</f>
        <v>0</v>
      </c>
      <c r="AZ43" s="379">
        <f>SUMIFS(BS_RE33!$H$7:$H$874,BS_RE33!$S$7:$S$874,$AZ$2,BS_RE33!$N$7:$N$874,I43,BS_RE33!$P$7:$P$874,'30 days CF Table(AUD)'!G43,BS_RE33!$F$7:$F$874,'30 days CF Table(AUD)'!$C$2)</f>
        <v>0</v>
      </c>
      <c r="BA43" s="379">
        <f>SUMIFS(BS_RE33!$H$7:$H$874,BS_RE33!$S$7:$S$874,$BA$2,BS_RE33!$N$7:$N$874,I43,BS_RE33!$P$7:$P$874,'30 days CF Table(AUD)'!G43,BS_RE33!$F$7:$F$874,'30 days CF Table(AUD)'!$C$2)</f>
        <v>0</v>
      </c>
      <c r="BB43" s="379">
        <f>SUMIFS(BS_RE33!$H$7:$H$874,BS_RE33!$S$7:$S$874,$BB$2,BS_RE33!$N$7:$N$874,I43,BS_RE33!$P$7:$P$874,'30 days CF Table(AUD)'!G43,BS_RE33!$F$7:$F$874,'30 days CF Table(AUD)'!$C$2)</f>
        <v>0</v>
      </c>
      <c r="BC43" s="379">
        <f>SUMIFS(BS_RE33!$H$7:$H$874,BS_RE33!$S$7:$S$874,$BC$2,BS_RE33!$N$7:$N$874,I43,BS_RE33!$P$7:$P$874,'30 days CF Table(AUD)'!G43,BS_RE33!$F$7:$F$874,'30 days CF Table(AUD)'!$C$2)</f>
        <v>0</v>
      </c>
      <c r="BD43" s="379">
        <f>SUMIFS(BS_RE33!$H$7:$H$874,BS_RE33!$S$7:$S$874,$BD$2,BS_RE33!$N$7:$N$874,I43,BS_RE33!$P$7:$P$874,'30 days CF Table(AUD)'!G43,BS_RE33!$F$7:$F$874,'30 days CF Table(AUD)'!$C$2)</f>
        <v>0</v>
      </c>
      <c r="BE43" s="379">
        <f>SUMIFS(BS_RE33!$H$7:$H$874,BS_RE33!$S$7:$S$874,$BE$2,BS_RE33!$N$7:$N$874,I43,BS_RE33!$P$7:$P$874,'30 days CF Table(AUD)'!G43,BS_RE33!$F$7:$F$874,'30 days CF Table(AUD)'!$C$2)</f>
        <v>0</v>
      </c>
      <c r="BF43" s="379">
        <f>SUMIFS(BS_RE33!$H$7:$H$874,BS_RE33!$S$7:$S$874,$BF$2,BS_RE33!$N$7:$N$874,I43,BS_RE33!$P$7:$P$874,'30 days CF Table(AUD)'!G43,BS_RE33!$F$7:$F$874,'30 days CF Table(AUD)'!$C$2)</f>
        <v>0</v>
      </c>
      <c r="BG43" s="379">
        <f>SUMIFS(BS_RE33!$H$7:$H$874,BS_RE33!$S$7:$S$874,$BG$2,BS_RE33!$N$7:$N$874,I43,BS_RE33!$P$7:$P$874,'30 days CF Table(AUD)'!G43,BS_RE33!$F$7:$F$874,'30 days CF Table(AUD)'!$C$2)</f>
        <v>0</v>
      </c>
      <c r="BH43" s="379">
        <f>SUMIFS(BS_RE33!$H$7:$H$874,BS_RE33!$S$7:$S$874,$BH$2,BS_RE33!$N$7:$N$874,I43,BS_RE33!$P$7:$P$874,'30 days CF Table(AUD)'!G43,BS_RE33!$F$7:$F$874,'30 days CF Table(AUD)'!$C$2)</f>
        <v>0</v>
      </c>
      <c r="BI43" s="379">
        <f>SUMIFS(BS_RE33!$H$7:$H$874,BS_RE33!$S$7:$S$874,$BI$2,BS_RE33!$N$7:$N$874,I43,BS_RE33!$P$7:$P$874,'30 days CF Table(AUD)'!G43,BS_RE33!$F$7:$F$874,'30 days CF Table(AUD)'!$C$2)</f>
        <v>0</v>
      </c>
      <c r="BJ43" s="379">
        <f>SUMIFS(BS_RE33!$H$7:$H$874,BS_RE33!$S$7:$S$874,$BJ$2,BS_RE33!$N$7:$N$874,I43,BS_RE33!$P$7:$P$874,'30 days CF Table(AUD)'!G43,BS_RE33!$F$7:$F$874,'30 days CF Table(AUD)'!$C$2)</f>
        <v>0</v>
      </c>
      <c r="BK43" s="379">
        <f>SUMIFS(BS_RE33!$H$7:$H$874,BS_RE33!$S$7:$S$874,$BK$2,BS_RE33!$N$7:$N$874,I43,BS_RE33!$P$7:$P$874,'30 days CF Table(AUD)'!G43,BS_RE33!$F$7:$F$874,'30 days CF Table(AUD)'!$C$2)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Table(AUD)'!G44,BS_RE33!$F$7:$F$874,'30 days CF Table(AUD)'!$C$2)</f>
        <v>0</v>
      </c>
      <c r="M44" s="337">
        <f>SUMIFS(BS_RE33!$H$7:$H$874,BS_RE33!$S$7:$S$874,$M$2,BS_RE33!$N$7:$N$874,I44,BS_RE33!$P$7:$P$874,'30 days CF Table(AUD)'!G44,BS_RE33!$F$7:$F$874,'30 days CF Table(AUD)'!$C$2)</f>
        <v>0</v>
      </c>
      <c r="N44" s="337">
        <f>SUMIFS(BS_RE33!$H$7:$H$874,BS_RE33!$S$7:$S$874,$N$2,BS_RE33!$N$7:$N$874,I44,BS_RE33!$P$7:$P$874,'30 days CF Table(AUD)'!G44,BS_RE33!$F$7:$F$874,'30 days CF Table(AUD)'!$C$2)</f>
        <v>0</v>
      </c>
      <c r="O44" s="337">
        <f>SUMIFS(BS_RE33!$H$7:$H$874,BS_RE33!$S$7:$S$874,$O$2,BS_RE33!$N$7:$N$874,I44,BS_RE33!$P$7:$P$874,'30 days CF Table(AUD)'!G44,BS_RE33!$F$7:$F$874,'30 days CF Table(AUD)'!$C$2)</f>
        <v>0</v>
      </c>
      <c r="P44" s="337">
        <f>SUMIFS(BS_RE33!$H$7:$H$874,BS_RE33!$S$7:$S$874,$P$2,BS_RE33!$N$7:$N$874,I44,BS_RE33!$P$7:$P$874,'30 days CF Table(AUD)'!G44,BS_RE33!$F$7:$F$874,'30 days CF Table(AUD)'!$C$2)</f>
        <v>0</v>
      </c>
      <c r="Q44" s="337">
        <f>SUMIFS(BS_RE33!$H$7:$H$874,BS_RE33!$S$7:$S$874,$Q$2,BS_RE33!$N$7:$N$874,I44,BS_RE33!$P$7:$P$874,'30 days CF Table(AUD)'!G44,BS_RE33!$F$7:$F$874,'30 days CF Table(AUD)'!$C$2)</f>
        <v>0</v>
      </c>
      <c r="R44" s="337">
        <f>SUMIFS(BS_RE33!$H$7:$H$874,BS_RE33!$S$7:$S$874,$R$2,BS_RE33!$N$7:$N$874,I44,BS_RE33!$P$7:$P$874,'30 days CF Table(AUD)'!G44,BS_RE33!$F$7:$F$874,'30 days CF Table(AUD)'!$C$2)</f>
        <v>0</v>
      </c>
      <c r="S44" s="337">
        <f>SUMIFS(BS_RE33!$H$7:$H$874,BS_RE33!$S$7:$S$874,$S$2,BS_RE33!$N$7:$N$874,I44,BS_RE33!$P$7:$P$874,'30 days CF Table(AUD)'!G44,BS_RE33!$F$7:$F$874,'30 days CF Table(AUD)'!$C$2)</f>
        <v>0</v>
      </c>
      <c r="T44" s="337">
        <f>SUMIFS(BS_RE33!$H$7:$H$874,BS_RE33!$S$7:$S$874,$T$2,BS_RE33!$N$7:$N$874,I44,BS_RE33!$P$7:$P$874,'30 days CF Table(AUD)'!G44,BS_RE33!$F$7:$F$874,'30 days CF Table(AUD)'!$C$2)</f>
        <v>0</v>
      </c>
      <c r="U44" s="337">
        <f>SUMIFS(BS_RE33!$H$7:$H$874,BS_RE33!$S$7:$S$874,$U$2,BS_RE33!$N$7:$N$874,I44,BS_RE33!$P$7:$P$874,'30 days CF Table(AUD)'!G44,BS_RE33!$F$7:$F$874,'30 days CF Table(AUD)'!$C$2)</f>
        <v>0</v>
      </c>
      <c r="V44" s="337">
        <f>SUMIFS(BS_RE33!$H$7:$H$874,BS_RE33!$S$7:$S$874,$V$2,BS_RE33!$N$7:$N$874,I44,BS_RE33!$P$7:$P$874,'30 days CF Table(AUD)'!G44,BS_RE33!$F$7:$F$874,'30 days CF Table(AUD)'!$C$2)</f>
        <v>0</v>
      </c>
      <c r="W44" s="337">
        <f>SUMIFS(BS_RE33!$H$7:$H$874,BS_RE33!$S$7:$S$874,$W$2,BS_RE33!$N$7:$N$874,I44,BS_RE33!$P$7:$P$874,'30 days CF Table(AUD)'!G44,BS_RE33!$F$7:$F$874,'30 days CF Table(AUD)'!$C$2)</f>
        <v>0</v>
      </c>
      <c r="X44" s="337">
        <f>SUMIFS(BS_RE33!$H$7:$H$874,BS_RE33!$S$7:$S$874,$X$2,BS_RE33!$N$7:$N$874,I44,BS_RE33!$P$7:$P$874,'30 days CF Table(AUD)'!G44,BS_RE33!$F$7:$F$874,'30 days CF Table(AUD)'!$C$2)</f>
        <v>0</v>
      </c>
      <c r="Y44" s="337">
        <f>SUMIFS(BS_RE33!$H$7:$H$874,BS_RE33!$S$7:$S$874,$Y$2,BS_RE33!$N$7:$N$874,I44,BS_RE33!$P$7:$P$874,'30 days CF Table(AUD)'!G44,BS_RE33!$F$7:$F$874,'30 days CF Table(AUD)'!$C$2)</f>
        <v>0</v>
      </c>
      <c r="Z44" s="337">
        <f>SUMIFS(BS_RE33!$H$7:$H$874,BS_RE33!$S$7:$S$874,$Z$2,BS_RE33!$N$7:$N$874,I44,BS_RE33!$P$7:$P$874,'30 days CF Table(AUD)'!G44,BS_RE33!$F$7:$F$874,'30 days CF Table(AUD)'!$C$2)</f>
        <v>0</v>
      </c>
      <c r="AA44" s="337">
        <f>SUMIFS(BS_RE33!$H$7:$H$874,BS_RE33!$S$7:$S$874,$AA$2,BS_RE33!$N$7:$N$874,I44,BS_RE33!$P$7:$P$874,'30 days CF Table(AUD)'!G44,BS_RE33!$F$7:$F$874,'30 days CF Table(AUD)'!$C$2)</f>
        <v>0</v>
      </c>
      <c r="AB44" s="337">
        <f>SUMIFS(BS_RE33!$H$7:$H$874,BS_RE33!$S$7:$S$874,$AB$2,BS_RE33!$N$7:$N$874,I44,BS_RE33!$P$7:$P$874,'30 days CF Table(AUD)'!G44,BS_RE33!$F$7:$F$874,'30 days CF Table(AUD)'!$C$2)</f>
        <v>0</v>
      </c>
      <c r="AC44" s="337">
        <f>SUMIFS(BS_RE33!$H$7:$H$874,BS_RE33!$S$7:$S$874,$AC$2,BS_RE33!$N$7:$N$874,I44,BS_RE33!$P$7:$P$874,'30 days CF Table(AUD)'!G44,BS_RE33!$F$7:$F$874,'30 days CF Table(AUD)'!$C$2)</f>
        <v>0</v>
      </c>
      <c r="AD44" s="337">
        <f>SUMIFS(BS_RE33!$H$7:$H$874,BS_RE33!$S$7:$S$874,$AD$2,BS_RE33!$N$7:$N$874,I44,BS_RE33!$P$7:$P$874,'30 days CF Table(AUD)'!G44,BS_RE33!$F$7:$F$874,'30 days CF Table(AUD)'!$C$2)</f>
        <v>0</v>
      </c>
      <c r="AE44" s="337">
        <f>SUMIFS(BS_RE33!$H$7:$H$874,BS_RE33!$S$7:$S$874,$AE$2,BS_RE33!$N$7:$N$874,I44,BS_RE33!$P$7:$P$874,'30 days CF Table(AUD)'!G44,BS_RE33!$F$7:$F$874,'30 days CF Table(AUD)'!$C$2)</f>
        <v>0</v>
      </c>
      <c r="AF44" s="337">
        <f>SUMIFS(BS_RE33!$H$7:$H$874,BS_RE33!$S$7:$S$874,$AF$2,BS_RE33!$N$7:$N$874,I44,BS_RE33!$P$7:$P$874,'30 days CF Table(AUD)'!G44,BS_RE33!$F$7:$F$874,'30 days CF Table(AUD)'!$C$2)</f>
        <v>0</v>
      </c>
      <c r="AG44" s="337">
        <f>SUMIFS(BS_RE33!$H$7:$H$874,BS_RE33!$S$7:$S$874,$AG$2,BS_RE33!$N$7:$N$874,I44,BS_RE33!$P$7:$P$874,'30 days CF Table(AUD)'!G44,BS_RE33!$F$7:$F$874,'30 days CF Table(AUD)'!$C$2)</f>
        <v>0</v>
      </c>
      <c r="AH44" s="337">
        <f>SUMIFS(BS_RE33!$H$7:$H$874,BS_RE33!$S$7:$S$874,$AH$2,BS_RE33!$N$7:$N$874,I44,BS_RE33!$P$7:$P$874,'30 days CF Table(AUD)'!G44,BS_RE33!$F$7:$F$874,'30 days CF Table(AUD)'!$C$2)</f>
        <v>0</v>
      </c>
      <c r="AI44" s="337">
        <f>SUMIFS(BS_RE33!$H$7:$H$874,BS_RE33!$S$7:$S$874,$AI$2,BS_RE33!$N$7:$N$874,I44,BS_RE33!$P$7:$P$874,'30 days CF Table(AUD)'!G44,BS_RE33!$F$7:$F$874,'30 days CF Table(AUD)'!$C$2)</f>
        <v>0</v>
      </c>
      <c r="AJ44" s="337">
        <f>SUMIFS(BS_RE33!$H$7:$H$874,BS_RE33!$S$7:$S$874,$AJ$2,BS_RE33!$N$7:$N$874,I44,BS_RE33!$P$7:$P$874,'30 days CF Table(AUD)'!G44,BS_RE33!$F$7:$F$874,'30 days CF Table(AUD)'!$C$2)</f>
        <v>0</v>
      </c>
      <c r="AK44" s="337">
        <f>SUMIFS(BS_RE33!$H$7:$H$874,BS_RE33!$S$7:$S$874,$AK$2,BS_RE33!$N$7:$N$874,I44,BS_RE33!$P$7:$P$874,'30 days CF Table(AUD)'!G44,BS_RE33!$F$7:$F$874,'30 days CF Table(AUD)'!$C$2)</f>
        <v>0</v>
      </c>
      <c r="AL44" s="337">
        <f>SUMIFS(BS_RE33!$H$7:$H$874,BS_RE33!$S$7:$S$874,$AL$2,BS_RE33!$N$7:$N$874,I44,BS_RE33!$P$7:$P$874,'30 days CF Table(AUD)'!G44,BS_RE33!$F$7:$F$874,'30 days CF Table(AUD)'!$C$2)</f>
        <v>0</v>
      </c>
      <c r="AM44" s="337">
        <f>SUMIFS(BS_RE33!$H$7:$H$874,BS_RE33!$S$7:$S$874,$AM$2,BS_RE33!$N$7:$N$874,I44,BS_RE33!$P$7:$P$874,'30 days CF Table(AUD)'!G44,BS_RE33!$F$7:$F$874,'30 days CF Table(AUD)'!$C$2)</f>
        <v>0</v>
      </c>
      <c r="AN44" s="337">
        <f>SUMIFS(BS_RE33!$H$7:$H$874,BS_RE33!$S$7:$S$874,$AN$2,BS_RE33!$N$7:$N$874,I44,BS_RE33!$P$7:$P$874,'30 days CF Table(AUD)'!G44,BS_RE33!$F$7:$F$874,'30 days CF Table(AUD)'!$C$2)</f>
        <v>0</v>
      </c>
      <c r="AO44" s="337">
        <f>SUMIFS(BS_RE33!$H$7:$H$874,BS_RE33!$S$7:$S$874,$AO$2,BS_RE33!$N$7:$N$874,I44,BS_RE33!$P$7:$P$874,'30 days CF Table(AUD)'!G44,BS_RE33!$F$7:$F$874,'30 days CF Table(AUD)'!$C$2)</f>
        <v>0</v>
      </c>
      <c r="AP44" s="338">
        <f>SUMIFS(BS_RE33!$H$7:$H$874,BS_RE33!$S$7:$S$874,$AP$2,BS_RE33!$N$7:$N$874,I44,BS_RE33!$P$7:$P$874,'30 days CF Table(AUD)'!G44,BS_RE33!$F$7:$F$874,'30 days CF Table(AUD)'!$C$2)</f>
        <v>0</v>
      </c>
      <c r="AR44" s="379">
        <f>SUMIFS(BS_RE33!$H$7:$H$874,BS_RE33!$S$7:$S$874,$AR$2,BS_RE33!$N$7:$N$874,I44,BS_RE33!$P$7:$P$874,'30 days CF Table(AUD)'!G44,BS_RE33!$F$7:$F$874,'30 days CF Table(AUD)'!$C$2)</f>
        <v>0</v>
      </c>
      <c r="AS44" s="379">
        <f>SUMIFS(BS_RE33!$H$7:$H$874,BS_RE33!$S$7:$S$874,$AS$2,BS_RE33!$N$7:$N$874,I44,BS_RE33!$P$7:$P$874,'30 days CF Table(AUD)'!G44,BS_RE33!$F$7:$F$874,'30 days CF Table(AUD)'!$C$2)</f>
        <v>0</v>
      </c>
      <c r="AT44" s="379">
        <f>SUMIFS(BS_RE33!$H$7:$H$874,BS_RE33!$S$7:$S$874,$AT$2,BS_RE33!$N$7:$N$874,I44,BS_RE33!$P$7:$P$874,'30 days CF Table(AUD)'!G44,BS_RE33!$F$7:$F$874,'30 days CF Table(AUD)'!$C$2)</f>
        <v>0</v>
      </c>
      <c r="AU44" s="379">
        <f>SUMIFS(BS_RE33!$H$7:$H$874,BS_RE33!$S$7:$S$874,$AU$2,BS_RE33!$N$7:$N$874,I44,BS_RE33!$P$7:$P$874,'30 days CF Table(AUD)'!G44,BS_RE33!$F$7:$F$874,'30 days CF Table(AUD)'!$C$2)</f>
        <v>0</v>
      </c>
      <c r="AV44" s="379">
        <f>SUMIFS(BS_RE33!$H$7:$H$874,BS_RE33!$S$7:$S$874,$AV$2,BS_RE33!$N$7:$N$874,I44,BS_RE33!$P$7:$P$874,'30 days CF Table(AUD)'!G44,BS_RE33!$F$7:$F$874,'30 days CF Table(AUD)'!$C$2)</f>
        <v>0</v>
      </c>
      <c r="AW44" s="379">
        <f>SUMIFS(BS_RE33!$H$7:$H$874,BS_RE33!$S$7:$S$874,$AW$2,BS_RE33!$N$7:$N$874,I44,BS_RE33!$P$7:$P$874,'30 days CF Table(AUD)'!G44,BS_RE33!$F$7:$F$874,'30 days CF Table(AUD)'!$C$2)</f>
        <v>0</v>
      </c>
      <c r="AX44" s="379">
        <f>SUMIFS(BS_RE33!$H$7:$H$874,BS_RE33!$S$7:$S$874,$AX$2,BS_RE33!$N$7:$N$874,I44,BS_RE33!$P$7:$P$874,'30 days CF Table(AUD)'!G44,BS_RE33!$F$7:$F$874,'30 days CF Table(AUD)'!$C$2)</f>
        <v>0</v>
      </c>
      <c r="AY44" s="379">
        <f>SUMIFS(BS_RE33!$H$7:$H$874,BS_RE33!$S$7:$S$874,$AY$2,BS_RE33!$N$7:$N$874,I44,BS_RE33!$P$7:$P$874,'30 days CF Table(AUD)'!G44,BS_RE33!$F$7:$F$874,'30 days CF Table(AUD)'!$C$2)</f>
        <v>0</v>
      </c>
      <c r="AZ44" s="379">
        <f>SUMIFS(BS_RE33!$H$7:$H$874,BS_RE33!$S$7:$S$874,$AZ$2,BS_RE33!$N$7:$N$874,I44,BS_RE33!$P$7:$P$874,'30 days CF Table(AUD)'!G44,BS_RE33!$F$7:$F$874,'30 days CF Table(AUD)'!$C$2)</f>
        <v>0</v>
      </c>
      <c r="BA44" s="379">
        <f>SUMIFS(BS_RE33!$H$7:$H$874,BS_RE33!$S$7:$S$874,$BA$2,BS_RE33!$N$7:$N$874,I44,BS_RE33!$P$7:$P$874,'30 days CF Table(AUD)'!G44,BS_RE33!$F$7:$F$874,'30 days CF Table(AUD)'!$C$2)</f>
        <v>0</v>
      </c>
      <c r="BB44" s="379">
        <f>SUMIFS(BS_RE33!$H$7:$H$874,BS_RE33!$S$7:$S$874,$BB$2,BS_RE33!$N$7:$N$874,I44,BS_RE33!$P$7:$P$874,'30 days CF Table(AUD)'!G44,BS_RE33!$F$7:$F$874,'30 days CF Table(AUD)'!$C$2)</f>
        <v>0</v>
      </c>
      <c r="BC44" s="379">
        <f>SUMIFS(BS_RE33!$H$7:$H$874,BS_RE33!$S$7:$S$874,$BC$2,BS_RE33!$N$7:$N$874,I44,BS_RE33!$P$7:$P$874,'30 days CF Table(AUD)'!G44,BS_RE33!$F$7:$F$874,'30 days CF Table(AUD)'!$C$2)</f>
        <v>0</v>
      </c>
      <c r="BD44" s="379">
        <f>SUMIFS(BS_RE33!$H$7:$H$874,BS_RE33!$S$7:$S$874,$BD$2,BS_RE33!$N$7:$N$874,I44,BS_RE33!$P$7:$P$874,'30 days CF Table(AUD)'!G44,BS_RE33!$F$7:$F$874,'30 days CF Table(AUD)'!$C$2)</f>
        <v>0</v>
      </c>
      <c r="BE44" s="379">
        <f>SUMIFS(BS_RE33!$H$7:$H$874,BS_RE33!$S$7:$S$874,$BE$2,BS_RE33!$N$7:$N$874,I44,BS_RE33!$P$7:$P$874,'30 days CF Table(AUD)'!G44,BS_RE33!$F$7:$F$874,'30 days CF Table(AUD)'!$C$2)</f>
        <v>0</v>
      </c>
      <c r="BF44" s="379">
        <f>SUMIFS(BS_RE33!$H$7:$H$874,BS_RE33!$S$7:$S$874,$BF$2,BS_RE33!$N$7:$N$874,I44,BS_RE33!$P$7:$P$874,'30 days CF Table(AUD)'!G44,BS_RE33!$F$7:$F$874,'30 days CF Table(AUD)'!$C$2)</f>
        <v>0</v>
      </c>
      <c r="BG44" s="379">
        <f>SUMIFS(BS_RE33!$H$7:$H$874,BS_RE33!$S$7:$S$874,$BG$2,BS_RE33!$N$7:$N$874,I44,BS_RE33!$P$7:$P$874,'30 days CF Table(AUD)'!G44,BS_RE33!$F$7:$F$874,'30 days CF Table(AUD)'!$C$2)</f>
        <v>0</v>
      </c>
      <c r="BH44" s="379">
        <f>SUMIFS(BS_RE33!$H$7:$H$874,BS_RE33!$S$7:$S$874,$BH$2,BS_RE33!$N$7:$N$874,I44,BS_RE33!$P$7:$P$874,'30 days CF Table(AUD)'!G44,BS_RE33!$F$7:$F$874,'30 days CF Table(AUD)'!$C$2)</f>
        <v>0</v>
      </c>
      <c r="BI44" s="379">
        <f>SUMIFS(BS_RE33!$H$7:$H$874,BS_RE33!$S$7:$S$874,$BI$2,BS_RE33!$N$7:$N$874,I44,BS_RE33!$P$7:$P$874,'30 days CF Table(AUD)'!G44,BS_RE33!$F$7:$F$874,'30 days CF Table(AUD)'!$C$2)</f>
        <v>0</v>
      </c>
      <c r="BJ44" s="379">
        <f>SUMIFS(BS_RE33!$H$7:$H$874,BS_RE33!$S$7:$S$874,$BJ$2,BS_RE33!$N$7:$N$874,I44,BS_RE33!$P$7:$P$874,'30 days CF Table(AUD)'!G44,BS_RE33!$F$7:$F$874,'30 days CF Table(AUD)'!$C$2)</f>
        <v>0</v>
      </c>
      <c r="BK44" s="379">
        <f>SUMIFS(BS_RE33!$H$7:$H$874,BS_RE33!$S$7:$S$874,$BK$2,BS_RE33!$N$7:$N$874,I44,BS_RE33!$P$7:$P$874,'30 days CF Table(AUD)'!G44,BS_RE33!$F$7:$F$874,'30 days CF Table(AUD)'!$C$2)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Table(AUD)'!G45,BS_RE33!$F$7:$F$874,'30 days CF Table(AUD)'!$C$2)</f>
        <v>0</v>
      </c>
      <c r="M45" s="337">
        <f>SUMIFS(BS_RE33!$H$7:$H$874,BS_RE33!$S$7:$S$874,$M$2,BS_RE33!$N$7:$N$874,I45,BS_RE33!$P$7:$P$874,'30 days CF Table(AUD)'!G45,BS_RE33!$F$7:$F$874,'30 days CF Table(AUD)'!$C$2)</f>
        <v>0</v>
      </c>
      <c r="N45" s="337">
        <f>SUMIFS(BS_RE33!$H$7:$H$874,BS_RE33!$S$7:$S$874,$N$2,BS_RE33!$N$7:$N$874,I45,BS_RE33!$P$7:$P$874,'30 days CF Table(AUD)'!G45,BS_RE33!$F$7:$F$874,'30 days CF Table(AUD)'!$C$2)</f>
        <v>0</v>
      </c>
      <c r="O45" s="337">
        <f>SUMIFS(BS_RE33!$H$7:$H$874,BS_RE33!$S$7:$S$874,$O$2,BS_RE33!$N$7:$N$874,I45,BS_RE33!$P$7:$P$874,'30 days CF Table(AUD)'!G45,BS_RE33!$F$7:$F$874,'30 days CF Table(AUD)'!$C$2)</f>
        <v>0</v>
      </c>
      <c r="P45" s="337">
        <f>SUMIFS(BS_RE33!$H$7:$H$874,BS_RE33!$S$7:$S$874,$P$2,BS_RE33!$N$7:$N$874,I45,BS_RE33!$P$7:$P$874,'30 days CF Table(AUD)'!G45,BS_RE33!$F$7:$F$874,'30 days CF Table(AUD)'!$C$2)</f>
        <v>0</v>
      </c>
      <c r="Q45" s="337">
        <f>SUMIFS(BS_RE33!$H$7:$H$874,BS_RE33!$S$7:$S$874,$Q$2,BS_RE33!$N$7:$N$874,I45,BS_RE33!$P$7:$P$874,'30 days CF Table(AUD)'!G45,BS_RE33!$F$7:$F$874,'30 days CF Table(AUD)'!$C$2)</f>
        <v>0</v>
      </c>
      <c r="R45" s="337">
        <f>SUMIFS(BS_RE33!$H$7:$H$874,BS_RE33!$S$7:$S$874,$R$2,BS_RE33!$N$7:$N$874,I45,BS_RE33!$P$7:$P$874,'30 days CF Table(AUD)'!G45,BS_RE33!$F$7:$F$874,'30 days CF Table(AUD)'!$C$2)</f>
        <v>0</v>
      </c>
      <c r="S45" s="337">
        <f>SUMIFS(BS_RE33!$H$7:$H$874,BS_RE33!$S$7:$S$874,$S$2,BS_RE33!$N$7:$N$874,I45,BS_RE33!$P$7:$P$874,'30 days CF Table(AUD)'!G45,BS_RE33!$F$7:$F$874,'30 days CF Table(AUD)'!$C$2)</f>
        <v>0</v>
      </c>
      <c r="T45" s="337">
        <f>SUMIFS(BS_RE33!$H$7:$H$874,BS_RE33!$S$7:$S$874,$T$2,BS_RE33!$N$7:$N$874,I45,BS_RE33!$P$7:$P$874,'30 days CF Table(AUD)'!G45,BS_RE33!$F$7:$F$874,'30 days CF Table(AUD)'!$C$2)</f>
        <v>0</v>
      </c>
      <c r="U45" s="337">
        <f>SUMIFS(BS_RE33!$H$7:$H$874,BS_RE33!$S$7:$S$874,$U$2,BS_RE33!$N$7:$N$874,I45,BS_RE33!$P$7:$P$874,'30 days CF Table(AUD)'!G45,BS_RE33!$F$7:$F$874,'30 days CF Table(AUD)'!$C$2)</f>
        <v>0</v>
      </c>
      <c r="V45" s="337">
        <f>SUMIFS(BS_RE33!$H$7:$H$874,BS_RE33!$S$7:$S$874,$V$2,BS_RE33!$N$7:$N$874,I45,BS_RE33!$P$7:$P$874,'30 days CF Table(AUD)'!G45,BS_RE33!$F$7:$F$874,'30 days CF Table(AUD)'!$C$2)</f>
        <v>0</v>
      </c>
      <c r="W45" s="337">
        <f>SUMIFS(BS_RE33!$H$7:$H$874,BS_RE33!$S$7:$S$874,$W$2,BS_RE33!$N$7:$N$874,I45,BS_RE33!$P$7:$P$874,'30 days CF Table(AUD)'!G45,BS_RE33!$F$7:$F$874,'30 days CF Table(AUD)'!$C$2)</f>
        <v>0</v>
      </c>
      <c r="X45" s="337">
        <f>SUMIFS(BS_RE33!$H$7:$H$874,BS_RE33!$S$7:$S$874,$X$2,BS_RE33!$N$7:$N$874,I45,BS_RE33!$P$7:$P$874,'30 days CF Table(AUD)'!G45,BS_RE33!$F$7:$F$874,'30 days CF Table(AUD)'!$C$2)</f>
        <v>0</v>
      </c>
      <c r="Y45" s="337">
        <f>SUMIFS(BS_RE33!$H$7:$H$874,BS_RE33!$S$7:$S$874,$Y$2,BS_RE33!$N$7:$N$874,I45,BS_RE33!$P$7:$P$874,'30 days CF Table(AUD)'!G45,BS_RE33!$F$7:$F$874,'30 days CF Table(AUD)'!$C$2)</f>
        <v>0</v>
      </c>
      <c r="Z45" s="337">
        <f>SUMIFS(BS_RE33!$H$7:$H$874,BS_RE33!$S$7:$S$874,$Z$2,BS_RE33!$N$7:$N$874,I45,BS_RE33!$P$7:$P$874,'30 days CF Table(AUD)'!G45,BS_RE33!$F$7:$F$874,'30 days CF Table(AUD)'!$C$2)</f>
        <v>0</v>
      </c>
      <c r="AA45" s="337">
        <f>SUMIFS(BS_RE33!$H$7:$H$874,BS_RE33!$S$7:$S$874,$AA$2,BS_RE33!$N$7:$N$874,I45,BS_RE33!$P$7:$P$874,'30 days CF Table(AUD)'!G45,BS_RE33!$F$7:$F$874,'30 days CF Table(AUD)'!$C$2)</f>
        <v>0</v>
      </c>
      <c r="AB45" s="337">
        <f>SUMIFS(BS_RE33!$H$7:$H$874,BS_RE33!$S$7:$S$874,$AB$2,BS_RE33!$N$7:$N$874,I45,BS_RE33!$P$7:$P$874,'30 days CF Table(AUD)'!G45,BS_RE33!$F$7:$F$874,'30 days CF Table(AUD)'!$C$2)</f>
        <v>0</v>
      </c>
      <c r="AC45" s="337">
        <f>SUMIFS(BS_RE33!$H$7:$H$874,BS_RE33!$S$7:$S$874,$AC$2,BS_RE33!$N$7:$N$874,I45,BS_RE33!$P$7:$P$874,'30 days CF Table(AUD)'!G45,BS_RE33!$F$7:$F$874,'30 days CF Table(AUD)'!$C$2)</f>
        <v>0</v>
      </c>
      <c r="AD45" s="337">
        <f>SUMIFS(BS_RE33!$H$7:$H$874,BS_RE33!$S$7:$S$874,$AD$2,BS_RE33!$N$7:$N$874,I45,BS_RE33!$P$7:$P$874,'30 days CF Table(AUD)'!G45,BS_RE33!$F$7:$F$874,'30 days CF Table(AUD)'!$C$2)</f>
        <v>0</v>
      </c>
      <c r="AE45" s="337">
        <f>SUMIFS(BS_RE33!$H$7:$H$874,BS_RE33!$S$7:$S$874,$AE$2,BS_RE33!$N$7:$N$874,I45,BS_RE33!$P$7:$P$874,'30 days CF Table(AUD)'!G45,BS_RE33!$F$7:$F$874,'30 days CF Table(AUD)'!$C$2)</f>
        <v>0</v>
      </c>
      <c r="AF45" s="337">
        <f>SUMIFS(BS_RE33!$H$7:$H$874,BS_RE33!$S$7:$S$874,$AF$2,BS_RE33!$N$7:$N$874,I45,BS_RE33!$P$7:$P$874,'30 days CF Table(AUD)'!G45,BS_RE33!$F$7:$F$874,'30 days CF Table(AUD)'!$C$2)</f>
        <v>0</v>
      </c>
      <c r="AG45" s="337">
        <f>SUMIFS(BS_RE33!$H$7:$H$874,BS_RE33!$S$7:$S$874,$AG$2,BS_RE33!$N$7:$N$874,I45,BS_RE33!$P$7:$P$874,'30 days CF Table(AUD)'!G45,BS_RE33!$F$7:$F$874,'30 days CF Table(AUD)'!$C$2)</f>
        <v>0</v>
      </c>
      <c r="AH45" s="337">
        <f>SUMIFS(BS_RE33!$H$7:$H$874,BS_RE33!$S$7:$S$874,$AH$2,BS_RE33!$N$7:$N$874,I45,BS_RE33!$P$7:$P$874,'30 days CF Table(AUD)'!G45,BS_RE33!$F$7:$F$874,'30 days CF Table(AUD)'!$C$2)</f>
        <v>0</v>
      </c>
      <c r="AI45" s="337">
        <f>SUMIFS(BS_RE33!$H$7:$H$874,BS_RE33!$S$7:$S$874,$AI$2,BS_RE33!$N$7:$N$874,I45,BS_RE33!$P$7:$P$874,'30 days CF Table(AUD)'!G45,BS_RE33!$F$7:$F$874,'30 days CF Table(AUD)'!$C$2)</f>
        <v>0</v>
      </c>
      <c r="AJ45" s="337">
        <f>SUMIFS(BS_RE33!$H$7:$H$874,BS_RE33!$S$7:$S$874,$AJ$2,BS_RE33!$N$7:$N$874,I45,BS_RE33!$P$7:$P$874,'30 days CF Table(AUD)'!G45,BS_RE33!$F$7:$F$874,'30 days CF Table(AUD)'!$C$2)</f>
        <v>0</v>
      </c>
      <c r="AK45" s="337">
        <f>SUMIFS(BS_RE33!$H$7:$H$874,BS_RE33!$S$7:$S$874,$AK$2,BS_RE33!$N$7:$N$874,I45,BS_RE33!$P$7:$P$874,'30 days CF Table(AUD)'!G45,BS_RE33!$F$7:$F$874,'30 days CF Table(AUD)'!$C$2)</f>
        <v>0</v>
      </c>
      <c r="AL45" s="337">
        <f>SUMIFS(BS_RE33!$H$7:$H$874,BS_RE33!$S$7:$S$874,$AL$2,BS_RE33!$N$7:$N$874,I45,BS_RE33!$P$7:$P$874,'30 days CF Table(AUD)'!G45,BS_RE33!$F$7:$F$874,'30 days CF Table(AUD)'!$C$2)</f>
        <v>0</v>
      </c>
      <c r="AM45" s="337">
        <f>SUMIFS(BS_RE33!$H$7:$H$874,BS_RE33!$S$7:$S$874,$AM$2,BS_RE33!$N$7:$N$874,I45,BS_RE33!$P$7:$P$874,'30 days CF Table(AUD)'!G45,BS_RE33!$F$7:$F$874,'30 days CF Table(AUD)'!$C$2)</f>
        <v>0</v>
      </c>
      <c r="AN45" s="337">
        <f>SUMIFS(BS_RE33!$H$7:$H$874,BS_RE33!$S$7:$S$874,$AN$2,BS_RE33!$N$7:$N$874,I45,BS_RE33!$P$7:$P$874,'30 days CF Table(AUD)'!G45,BS_RE33!$F$7:$F$874,'30 days CF Table(AUD)'!$C$2)</f>
        <v>0</v>
      </c>
      <c r="AO45" s="337">
        <f>SUMIFS(BS_RE33!$H$7:$H$874,BS_RE33!$S$7:$S$874,$AO$2,BS_RE33!$N$7:$N$874,I45,BS_RE33!$P$7:$P$874,'30 days CF Table(AUD)'!G45,BS_RE33!$F$7:$F$874,'30 days CF Table(AUD)'!$C$2)</f>
        <v>0</v>
      </c>
      <c r="AP45" s="338">
        <f>SUMIFS(BS_RE33!$H$7:$H$874,BS_RE33!$S$7:$S$874,$AP$2,BS_RE33!$N$7:$N$874,I45,BS_RE33!$P$7:$P$874,'30 days CF Table(AUD)'!G45,BS_RE33!$F$7:$F$874,'30 days CF Table(AUD)'!$C$2)</f>
        <v>0</v>
      </c>
      <c r="AR45" s="379">
        <f>SUMIFS(BS_RE33!$H$7:$H$874,BS_RE33!$S$7:$S$874,$AR$2,BS_RE33!$N$7:$N$874,I45,BS_RE33!$P$7:$P$874,'30 days CF Table(AUD)'!G45,BS_RE33!$F$7:$F$874,'30 days CF Table(AUD)'!$C$2)</f>
        <v>0</v>
      </c>
      <c r="AS45" s="379">
        <f>SUMIFS(BS_RE33!$H$7:$H$874,BS_RE33!$S$7:$S$874,$AS$2,BS_RE33!$N$7:$N$874,I45,BS_RE33!$P$7:$P$874,'30 days CF Table(AUD)'!G45,BS_RE33!$F$7:$F$874,'30 days CF Table(AUD)'!$C$2)</f>
        <v>0</v>
      </c>
      <c r="AT45" s="379">
        <f>SUMIFS(BS_RE33!$H$7:$H$874,BS_RE33!$S$7:$S$874,$AT$2,BS_RE33!$N$7:$N$874,I45,BS_RE33!$P$7:$P$874,'30 days CF Table(AUD)'!G45,BS_RE33!$F$7:$F$874,'30 days CF Table(AUD)'!$C$2)</f>
        <v>0</v>
      </c>
      <c r="AU45" s="379">
        <f>SUMIFS(BS_RE33!$H$7:$H$874,BS_RE33!$S$7:$S$874,$AU$2,BS_RE33!$N$7:$N$874,I45,BS_RE33!$P$7:$P$874,'30 days CF Table(AUD)'!G45,BS_RE33!$F$7:$F$874,'30 days CF Table(AUD)'!$C$2)</f>
        <v>0</v>
      </c>
      <c r="AV45" s="379">
        <f>SUMIFS(BS_RE33!$H$7:$H$874,BS_RE33!$S$7:$S$874,$AV$2,BS_RE33!$N$7:$N$874,I45,BS_RE33!$P$7:$P$874,'30 days CF Table(AUD)'!G45,BS_RE33!$F$7:$F$874,'30 days CF Table(AUD)'!$C$2)</f>
        <v>0</v>
      </c>
      <c r="AW45" s="379">
        <f>SUMIFS(BS_RE33!$H$7:$H$874,BS_RE33!$S$7:$S$874,$AW$2,BS_RE33!$N$7:$N$874,I45,BS_RE33!$P$7:$P$874,'30 days CF Table(AUD)'!G45,BS_RE33!$F$7:$F$874,'30 days CF Table(AUD)'!$C$2)</f>
        <v>0</v>
      </c>
      <c r="AX45" s="379">
        <f>SUMIFS(BS_RE33!$H$7:$H$874,BS_RE33!$S$7:$S$874,$AX$2,BS_RE33!$N$7:$N$874,I45,BS_RE33!$P$7:$P$874,'30 days CF Table(AUD)'!G45,BS_RE33!$F$7:$F$874,'30 days CF Table(AUD)'!$C$2)</f>
        <v>0</v>
      </c>
      <c r="AY45" s="379">
        <f>SUMIFS(BS_RE33!$H$7:$H$874,BS_RE33!$S$7:$S$874,$AY$2,BS_RE33!$N$7:$N$874,I45,BS_RE33!$P$7:$P$874,'30 days CF Table(AUD)'!G45,BS_RE33!$F$7:$F$874,'30 days CF Table(AUD)'!$C$2)</f>
        <v>0</v>
      </c>
      <c r="AZ45" s="379">
        <f>SUMIFS(BS_RE33!$H$7:$H$874,BS_RE33!$S$7:$S$874,$AZ$2,BS_RE33!$N$7:$N$874,I45,BS_RE33!$P$7:$P$874,'30 days CF Table(AUD)'!G45,BS_RE33!$F$7:$F$874,'30 days CF Table(AUD)'!$C$2)</f>
        <v>0</v>
      </c>
      <c r="BA45" s="379">
        <f>SUMIFS(BS_RE33!$H$7:$H$874,BS_RE33!$S$7:$S$874,$BA$2,BS_RE33!$N$7:$N$874,I45,BS_RE33!$P$7:$P$874,'30 days CF Table(AUD)'!G45,BS_RE33!$F$7:$F$874,'30 days CF Table(AUD)'!$C$2)</f>
        <v>0</v>
      </c>
      <c r="BB45" s="379">
        <f>SUMIFS(BS_RE33!$H$7:$H$874,BS_RE33!$S$7:$S$874,$BB$2,BS_RE33!$N$7:$N$874,I45,BS_RE33!$P$7:$P$874,'30 days CF Table(AUD)'!G45,BS_RE33!$F$7:$F$874,'30 days CF Table(AUD)'!$C$2)</f>
        <v>0</v>
      </c>
      <c r="BC45" s="379">
        <f>SUMIFS(BS_RE33!$H$7:$H$874,BS_RE33!$S$7:$S$874,$BC$2,BS_RE33!$N$7:$N$874,I45,BS_RE33!$P$7:$P$874,'30 days CF Table(AUD)'!G45,BS_RE33!$F$7:$F$874,'30 days CF Table(AUD)'!$C$2)</f>
        <v>0</v>
      </c>
      <c r="BD45" s="379">
        <f>SUMIFS(BS_RE33!$H$7:$H$874,BS_RE33!$S$7:$S$874,$BD$2,BS_RE33!$N$7:$N$874,I45,BS_RE33!$P$7:$P$874,'30 days CF Table(AUD)'!G45,BS_RE33!$F$7:$F$874,'30 days CF Table(AUD)'!$C$2)</f>
        <v>0</v>
      </c>
      <c r="BE45" s="379">
        <f>SUMIFS(BS_RE33!$H$7:$H$874,BS_RE33!$S$7:$S$874,$BE$2,BS_RE33!$N$7:$N$874,I45,BS_RE33!$P$7:$P$874,'30 days CF Table(AUD)'!G45,BS_RE33!$F$7:$F$874,'30 days CF Table(AUD)'!$C$2)</f>
        <v>0</v>
      </c>
      <c r="BF45" s="379">
        <f>SUMIFS(BS_RE33!$H$7:$H$874,BS_RE33!$S$7:$S$874,$BF$2,BS_RE33!$N$7:$N$874,I45,BS_RE33!$P$7:$P$874,'30 days CF Table(AUD)'!G45,BS_RE33!$F$7:$F$874,'30 days CF Table(AUD)'!$C$2)</f>
        <v>0</v>
      </c>
      <c r="BG45" s="379">
        <f>SUMIFS(BS_RE33!$H$7:$H$874,BS_RE33!$S$7:$S$874,$BG$2,BS_RE33!$N$7:$N$874,I45,BS_RE33!$P$7:$P$874,'30 days CF Table(AUD)'!G45,BS_RE33!$F$7:$F$874,'30 days CF Table(AUD)'!$C$2)</f>
        <v>0</v>
      </c>
      <c r="BH45" s="379">
        <f>SUMIFS(BS_RE33!$H$7:$H$874,BS_RE33!$S$7:$S$874,$BH$2,BS_RE33!$N$7:$N$874,I45,BS_RE33!$P$7:$P$874,'30 days CF Table(AUD)'!G45,BS_RE33!$F$7:$F$874,'30 days CF Table(AUD)'!$C$2)</f>
        <v>0</v>
      </c>
      <c r="BI45" s="379">
        <f>SUMIFS(BS_RE33!$H$7:$H$874,BS_RE33!$S$7:$S$874,$BI$2,BS_RE33!$N$7:$N$874,I45,BS_RE33!$P$7:$P$874,'30 days CF Table(AUD)'!G45,BS_RE33!$F$7:$F$874,'30 days CF Table(AUD)'!$C$2)</f>
        <v>0</v>
      </c>
      <c r="BJ45" s="379">
        <f>SUMIFS(BS_RE33!$H$7:$H$874,BS_RE33!$S$7:$S$874,$BJ$2,BS_RE33!$N$7:$N$874,I45,BS_RE33!$P$7:$P$874,'30 days CF Table(AUD)'!G45,BS_RE33!$F$7:$F$874,'30 days CF Table(AUD)'!$C$2)</f>
        <v>0</v>
      </c>
      <c r="BK45" s="379">
        <f>SUMIFS(BS_RE33!$H$7:$H$874,BS_RE33!$S$7:$S$874,$BK$2,BS_RE33!$N$7:$N$874,I45,BS_RE33!$P$7:$P$874,'30 days CF Table(AUD)'!G45,BS_RE33!$F$7:$F$874,'30 days CF Table(AUD)'!$C$2)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Table(AUD)'!G46,BS_RE33!$F$7:$F$874,'30 days CF Table(AUD)'!$C$2)</f>
        <v>0</v>
      </c>
      <c r="M46" s="548">
        <f>SUMIFS(BS_RE33!$H$7:$H$874,BS_RE33!$S$7:$S$874,$M$2,BS_RE33!$N$7:$N$874,I46,BS_RE33!$P$7:$P$874,'30 days CF Table(AUD)'!G46,BS_RE33!$F$7:$F$874,'30 days CF Table(AUD)'!$C$2)</f>
        <v>0</v>
      </c>
      <c r="N46" s="548">
        <f>SUMIFS(BS_RE33!$H$7:$H$874,BS_RE33!$S$7:$S$874,$N$2,BS_RE33!$N$7:$N$874,I46,BS_RE33!$P$7:$P$874,'30 days CF Table(AUD)'!G46,BS_RE33!$F$7:$F$874,'30 days CF Table(AUD)'!$C$2)</f>
        <v>0</v>
      </c>
      <c r="O46" s="548">
        <f>SUMIFS(BS_RE33!$H$7:$H$874,BS_RE33!$S$7:$S$874,$O$2,BS_RE33!$N$7:$N$874,I46,BS_RE33!$P$7:$P$874,'30 days CF Table(AUD)'!G46,BS_RE33!$F$7:$F$874,'30 days CF Table(AUD)'!$C$2)</f>
        <v>0</v>
      </c>
      <c r="P46" s="548">
        <f>SUMIFS(BS_RE33!$H$7:$H$874,BS_RE33!$S$7:$S$874,$P$2,BS_RE33!$N$7:$N$874,I46,BS_RE33!$P$7:$P$874,'30 days CF Table(AUD)'!G46,BS_RE33!$F$7:$F$874,'30 days CF Table(AUD)'!$C$2)</f>
        <v>0</v>
      </c>
      <c r="Q46" s="548">
        <f>SUMIFS(BS_RE33!$H$7:$H$874,BS_RE33!$S$7:$S$874,$Q$2,BS_RE33!$N$7:$N$874,I46,BS_RE33!$P$7:$P$874,'30 days CF Table(AUD)'!G46,BS_RE33!$F$7:$F$874,'30 days CF Table(AUD)'!$C$2)</f>
        <v>0</v>
      </c>
      <c r="R46" s="548">
        <f>SUMIFS(BS_RE33!$H$7:$H$874,BS_RE33!$S$7:$S$874,$R$2,BS_RE33!$N$7:$N$874,I46,BS_RE33!$P$7:$P$874,'30 days CF Table(AUD)'!G46,BS_RE33!$F$7:$F$874,'30 days CF Table(AUD)'!$C$2)</f>
        <v>0</v>
      </c>
      <c r="S46" s="548">
        <f>SUMIFS(BS_RE33!$H$7:$H$874,BS_RE33!$S$7:$S$874,$S$2,BS_RE33!$N$7:$N$874,I46,BS_RE33!$P$7:$P$874,'30 days CF Table(AUD)'!G46,BS_RE33!$F$7:$F$874,'30 days CF Table(AUD)'!$C$2)</f>
        <v>0</v>
      </c>
      <c r="T46" s="548">
        <f>SUMIFS(BS_RE33!$H$7:$H$874,BS_RE33!$S$7:$S$874,$T$2,BS_RE33!$N$7:$N$874,I46,BS_RE33!$P$7:$P$874,'30 days CF Table(AUD)'!G46,BS_RE33!$F$7:$F$874,'30 days CF Table(AUD)'!$C$2)</f>
        <v>0</v>
      </c>
      <c r="U46" s="548">
        <f>SUMIFS(BS_RE33!$H$7:$H$874,BS_RE33!$S$7:$S$874,$U$2,BS_RE33!$N$7:$N$874,I46,BS_RE33!$P$7:$P$874,'30 days CF Table(AUD)'!G46,BS_RE33!$F$7:$F$874,'30 days CF Table(AUD)'!$C$2)</f>
        <v>0</v>
      </c>
      <c r="V46" s="548">
        <f>SUMIFS(BS_RE33!$H$7:$H$874,BS_RE33!$S$7:$S$874,$V$2,BS_RE33!$N$7:$N$874,I46,BS_RE33!$P$7:$P$874,'30 days CF Table(AUD)'!G46,BS_RE33!$F$7:$F$874,'30 days CF Table(AUD)'!$C$2)</f>
        <v>0</v>
      </c>
      <c r="W46" s="548">
        <f>SUMIFS(BS_RE33!$H$7:$H$874,BS_RE33!$S$7:$S$874,$W$2,BS_RE33!$N$7:$N$874,I46,BS_RE33!$P$7:$P$874,'30 days CF Table(AUD)'!G46,BS_RE33!$F$7:$F$874,'30 days CF Table(AUD)'!$C$2)</f>
        <v>0</v>
      </c>
      <c r="X46" s="548">
        <f>SUMIFS(BS_RE33!$H$7:$H$874,BS_RE33!$S$7:$S$874,$X$2,BS_RE33!$N$7:$N$874,I46,BS_RE33!$P$7:$P$874,'30 days CF Table(AUD)'!G46,BS_RE33!$F$7:$F$874,'30 days CF Table(AUD)'!$C$2)</f>
        <v>0</v>
      </c>
      <c r="Y46" s="548">
        <f>SUMIFS(BS_RE33!$H$7:$H$874,BS_RE33!$S$7:$S$874,$Y$2,BS_RE33!$N$7:$N$874,I46,BS_RE33!$P$7:$P$874,'30 days CF Table(AUD)'!G46,BS_RE33!$F$7:$F$874,'30 days CF Table(AUD)'!$C$2)</f>
        <v>0</v>
      </c>
      <c r="Z46" s="548">
        <f>SUMIFS(BS_RE33!$H$7:$H$874,BS_RE33!$S$7:$S$874,$Z$2,BS_RE33!$N$7:$N$874,I46,BS_RE33!$P$7:$P$874,'30 days CF Table(AUD)'!G46,BS_RE33!$F$7:$F$874,'30 days CF Table(AUD)'!$C$2)</f>
        <v>0</v>
      </c>
      <c r="AA46" s="548">
        <f>SUMIFS(BS_RE33!$H$7:$H$874,BS_RE33!$S$7:$S$874,$AA$2,BS_RE33!$N$7:$N$874,I46,BS_RE33!$P$7:$P$874,'30 days CF Table(AUD)'!G46,BS_RE33!$F$7:$F$874,'30 days CF Table(AUD)'!$C$2)</f>
        <v>0</v>
      </c>
      <c r="AB46" s="548">
        <f>SUMIFS(BS_RE33!$H$7:$H$874,BS_RE33!$S$7:$S$874,$AB$2,BS_RE33!$N$7:$N$874,I46,BS_RE33!$P$7:$P$874,'30 days CF Table(AUD)'!G46,BS_RE33!$F$7:$F$874,'30 days CF Table(AUD)'!$C$2)</f>
        <v>0</v>
      </c>
      <c r="AC46" s="548">
        <f>SUMIFS(BS_RE33!$H$7:$H$874,BS_RE33!$S$7:$S$874,$AC$2,BS_RE33!$N$7:$N$874,I46,BS_RE33!$P$7:$P$874,'30 days CF Table(AUD)'!G46,BS_RE33!$F$7:$F$874,'30 days CF Table(AUD)'!$C$2)</f>
        <v>0</v>
      </c>
      <c r="AD46" s="548">
        <f>SUMIFS(BS_RE33!$H$7:$H$874,BS_RE33!$S$7:$S$874,$AD$2,BS_RE33!$N$7:$N$874,I46,BS_RE33!$P$7:$P$874,'30 days CF Table(AUD)'!G46,BS_RE33!$F$7:$F$874,'30 days CF Table(AUD)'!$C$2)</f>
        <v>0</v>
      </c>
      <c r="AE46" s="548">
        <f>SUMIFS(BS_RE33!$H$7:$H$874,BS_RE33!$S$7:$S$874,$AE$2,BS_RE33!$N$7:$N$874,I46,BS_RE33!$P$7:$P$874,'30 days CF Table(AUD)'!G46,BS_RE33!$F$7:$F$874,'30 days CF Table(AUD)'!$C$2)</f>
        <v>0</v>
      </c>
      <c r="AF46" s="548">
        <f>SUMIFS(BS_RE33!$H$7:$H$874,BS_RE33!$S$7:$S$874,$AF$2,BS_RE33!$N$7:$N$874,I46,BS_RE33!$P$7:$P$874,'30 days CF Table(AUD)'!G46,BS_RE33!$F$7:$F$874,'30 days CF Table(AUD)'!$C$2)</f>
        <v>0</v>
      </c>
      <c r="AG46" s="548">
        <f>SUMIFS(BS_RE33!$H$7:$H$874,BS_RE33!$S$7:$S$874,$AG$2,BS_RE33!$N$7:$N$874,I46,BS_RE33!$P$7:$P$874,'30 days CF Table(AUD)'!G46,BS_RE33!$F$7:$F$874,'30 days CF Table(AUD)'!$C$2)</f>
        <v>0</v>
      </c>
      <c r="AH46" s="548">
        <f>SUMIFS(BS_RE33!$H$7:$H$874,BS_RE33!$S$7:$S$874,$AH$2,BS_RE33!$N$7:$N$874,I46,BS_RE33!$P$7:$P$874,'30 days CF Table(AUD)'!G46,BS_RE33!$F$7:$F$874,'30 days CF Table(AUD)'!$C$2)</f>
        <v>0</v>
      </c>
      <c r="AI46" s="548">
        <f>SUMIFS(BS_RE33!$H$7:$H$874,BS_RE33!$S$7:$S$874,$AI$2,BS_RE33!$N$7:$N$874,I46,BS_RE33!$P$7:$P$874,'30 days CF Table(AUD)'!G46,BS_RE33!$F$7:$F$874,'30 days CF Table(AUD)'!$C$2)</f>
        <v>0</v>
      </c>
      <c r="AJ46" s="548">
        <f>SUMIFS(BS_RE33!$H$7:$H$874,BS_RE33!$S$7:$S$874,$AJ$2,BS_RE33!$N$7:$N$874,I46,BS_RE33!$P$7:$P$874,'30 days CF Table(AUD)'!G46,BS_RE33!$F$7:$F$874,'30 days CF Table(AUD)'!$C$2)</f>
        <v>0</v>
      </c>
      <c r="AK46" s="548">
        <f>SUMIFS(BS_RE33!$H$7:$H$874,BS_RE33!$S$7:$S$874,$AK$2,BS_RE33!$N$7:$N$874,I46,BS_RE33!$P$7:$P$874,'30 days CF Table(AUD)'!G46,BS_RE33!$F$7:$F$874,'30 days CF Table(AUD)'!$C$2)</f>
        <v>0</v>
      </c>
      <c r="AL46" s="548">
        <f>SUMIFS(BS_RE33!$H$7:$H$874,BS_RE33!$S$7:$S$874,$AL$2,BS_RE33!$N$7:$N$874,I46,BS_RE33!$P$7:$P$874,'30 days CF Table(AUD)'!G46,BS_RE33!$F$7:$F$874,'30 days CF Table(AUD)'!$C$2)</f>
        <v>0</v>
      </c>
      <c r="AM46" s="548">
        <f>SUMIFS(BS_RE33!$H$7:$H$874,BS_RE33!$S$7:$S$874,$AM$2,BS_RE33!$N$7:$N$874,I46,BS_RE33!$P$7:$P$874,'30 days CF Table(AUD)'!G46,BS_RE33!$F$7:$F$874,'30 days CF Table(AUD)'!$C$2)</f>
        <v>0</v>
      </c>
      <c r="AN46" s="548">
        <f>SUMIFS(BS_RE33!$H$7:$H$874,BS_RE33!$S$7:$S$874,$AN$2,BS_RE33!$N$7:$N$874,I46,BS_RE33!$P$7:$P$874,'30 days CF Table(AUD)'!G46,BS_RE33!$F$7:$F$874,'30 days CF Table(AUD)'!$C$2)</f>
        <v>0</v>
      </c>
      <c r="AO46" s="548">
        <f>SUMIFS(BS_RE33!$H$7:$H$874,BS_RE33!$S$7:$S$874,$AO$2,BS_RE33!$N$7:$N$874,I46,BS_RE33!$P$7:$P$874,'30 days CF Table(AUD)'!G46,BS_RE33!$F$7:$F$874,'30 days CF Table(AUD)'!$C$2)</f>
        <v>0</v>
      </c>
      <c r="AP46" s="549">
        <f>SUMIFS(BS_RE33!$H$7:$H$874,BS_RE33!$S$7:$S$874,$AP$2,BS_RE33!$N$7:$N$874,I46,BS_RE33!$P$7:$P$874,'30 days CF Table(AUD)'!G46,BS_RE33!$F$7:$F$874,'30 days CF Table(AUD)'!$C$2)</f>
        <v>0</v>
      </c>
      <c r="AQ46" s="550"/>
      <c r="AR46" s="380">
        <f>SUMIFS(BS_RE33!$H$7:$H$874,BS_RE33!$S$7:$S$874,$AR$2,BS_RE33!$N$7:$N$874,I46,BS_RE33!$P$7:$P$874,'30 days CF Table(AUD)'!G46,BS_RE33!$F$7:$F$874,'30 days CF Table(AUD)'!$C$2)</f>
        <v>0</v>
      </c>
      <c r="AS46" s="380">
        <f>SUMIFS(BS_RE33!$H$7:$H$874,BS_RE33!$S$7:$S$874,$AS$2,BS_RE33!$N$7:$N$874,I46,BS_RE33!$P$7:$P$874,'30 days CF Table(AUD)'!G46,BS_RE33!$F$7:$F$874,'30 days CF Table(AUD)'!$C$2)</f>
        <v>0</v>
      </c>
      <c r="AT46" s="380">
        <f>SUMIFS(BS_RE33!$H$7:$H$874,BS_RE33!$S$7:$S$874,$AT$2,BS_RE33!$N$7:$N$874,I46,BS_RE33!$P$7:$P$874,'30 days CF Table(AUD)'!G46,BS_RE33!$F$7:$F$874,'30 days CF Table(AUD)'!$C$2)</f>
        <v>0</v>
      </c>
      <c r="AU46" s="380">
        <f>SUMIFS(BS_RE33!$H$7:$H$874,BS_RE33!$S$7:$S$874,$AU$2,BS_RE33!$N$7:$N$874,I46,BS_RE33!$P$7:$P$874,'30 days CF Table(AUD)'!G46,BS_RE33!$F$7:$F$874,'30 days CF Table(AUD)'!$C$2)</f>
        <v>0</v>
      </c>
      <c r="AV46" s="380">
        <f>SUMIFS(BS_RE33!$H$7:$H$874,BS_RE33!$S$7:$S$874,$AV$2,BS_RE33!$N$7:$N$874,I46,BS_RE33!$P$7:$P$874,'30 days CF Table(AUD)'!G46,BS_RE33!$F$7:$F$874,'30 days CF Table(AUD)'!$C$2)</f>
        <v>0</v>
      </c>
      <c r="AW46" s="380">
        <f>SUMIFS(BS_RE33!$H$7:$H$874,BS_RE33!$S$7:$S$874,$AW$2,BS_RE33!$N$7:$N$874,I46,BS_RE33!$P$7:$P$874,'30 days CF Table(AUD)'!G46,BS_RE33!$F$7:$F$874,'30 days CF Table(AUD)'!$C$2)</f>
        <v>0</v>
      </c>
      <c r="AX46" s="380">
        <f>SUMIFS(BS_RE33!$H$7:$H$874,BS_RE33!$S$7:$S$874,$AX$2,BS_RE33!$N$7:$N$874,I46,BS_RE33!$P$7:$P$874,'30 days CF Table(AUD)'!G46,BS_RE33!$F$7:$F$874,'30 days CF Table(AUD)'!$C$2)</f>
        <v>0</v>
      </c>
      <c r="AY46" s="380">
        <f>SUMIFS(BS_RE33!$H$7:$H$874,BS_RE33!$S$7:$S$874,$AY$2,BS_RE33!$N$7:$N$874,I46,BS_RE33!$P$7:$P$874,'30 days CF Table(AUD)'!G46,BS_RE33!$F$7:$F$874,'30 days CF Table(AUD)'!$C$2)</f>
        <v>0</v>
      </c>
      <c r="AZ46" s="380">
        <f>SUMIFS(BS_RE33!$H$7:$H$874,BS_RE33!$S$7:$S$874,$AZ$2,BS_RE33!$N$7:$N$874,I46,BS_RE33!$P$7:$P$874,'30 days CF Table(AUD)'!G46,BS_RE33!$F$7:$F$874,'30 days CF Table(AUD)'!$C$2)</f>
        <v>0</v>
      </c>
      <c r="BA46" s="380">
        <f>SUMIFS(BS_RE33!$H$7:$H$874,BS_RE33!$S$7:$S$874,$BA$2,BS_RE33!$N$7:$N$874,I46,BS_RE33!$P$7:$P$874,'30 days CF Table(AUD)'!G46,BS_RE33!$F$7:$F$874,'30 days CF Table(AUD)'!$C$2)</f>
        <v>0</v>
      </c>
      <c r="BB46" s="380">
        <f>SUMIFS(BS_RE33!$H$7:$H$874,BS_RE33!$S$7:$S$874,$BB$2,BS_RE33!$N$7:$N$874,I46,BS_RE33!$P$7:$P$874,'30 days CF Table(AUD)'!G46,BS_RE33!$F$7:$F$874,'30 days CF Table(AUD)'!$C$2)</f>
        <v>0</v>
      </c>
      <c r="BC46" s="380">
        <f>SUMIFS(BS_RE33!$H$7:$H$874,BS_RE33!$S$7:$S$874,$BC$2,BS_RE33!$N$7:$N$874,I46,BS_RE33!$P$7:$P$874,'30 days CF Table(AUD)'!G46,BS_RE33!$F$7:$F$874,'30 days CF Table(AUD)'!$C$2)</f>
        <v>0</v>
      </c>
      <c r="BD46" s="380">
        <f>SUMIFS(BS_RE33!$H$7:$H$874,BS_RE33!$S$7:$S$874,$BD$2,BS_RE33!$N$7:$N$874,I46,BS_RE33!$P$7:$P$874,'30 days CF Table(AUD)'!G46,BS_RE33!$F$7:$F$874,'30 days CF Table(AUD)'!$C$2)</f>
        <v>0</v>
      </c>
      <c r="BE46" s="380">
        <f>SUMIFS(BS_RE33!$H$7:$H$874,BS_RE33!$S$7:$S$874,$BE$2,BS_RE33!$N$7:$N$874,I46,BS_RE33!$P$7:$P$874,'30 days CF Table(AUD)'!G46,BS_RE33!$F$7:$F$874,'30 days CF Table(AUD)'!$C$2)</f>
        <v>0</v>
      </c>
      <c r="BF46" s="380">
        <f>SUMIFS(BS_RE33!$H$7:$H$874,BS_RE33!$S$7:$S$874,$BF$2,BS_RE33!$N$7:$N$874,I46,BS_RE33!$P$7:$P$874,'30 days CF Table(AUD)'!G46,BS_RE33!$F$7:$F$874,'30 days CF Table(AUD)'!$C$2)</f>
        <v>0</v>
      </c>
      <c r="BG46" s="380">
        <f>SUMIFS(BS_RE33!$H$7:$H$874,BS_RE33!$S$7:$S$874,$BG$2,BS_RE33!$N$7:$N$874,I46,BS_RE33!$P$7:$P$874,'30 days CF Table(AUD)'!G46,BS_RE33!$F$7:$F$874,'30 days CF Table(AUD)'!$C$2)</f>
        <v>0</v>
      </c>
      <c r="BH46" s="380">
        <f>SUMIFS(BS_RE33!$H$7:$H$874,BS_RE33!$S$7:$S$874,$BH$2,BS_RE33!$N$7:$N$874,I46,BS_RE33!$P$7:$P$874,'30 days CF Table(AUD)'!G46,BS_RE33!$F$7:$F$874,'30 days CF Table(AUD)'!$C$2)</f>
        <v>0</v>
      </c>
      <c r="BI46" s="380">
        <f>SUMIFS(BS_RE33!$H$7:$H$874,BS_RE33!$S$7:$S$874,$BI$2,BS_RE33!$N$7:$N$874,I46,BS_RE33!$P$7:$P$874,'30 days CF Table(AUD)'!G46,BS_RE33!$F$7:$F$874,'30 days CF Table(AUD)'!$C$2)</f>
        <v>0</v>
      </c>
      <c r="BJ46" s="380">
        <f>SUMIFS(BS_RE33!$H$7:$H$874,BS_RE33!$S$7:$S$874,$BJ$2,BS_RE33!$N$7:$N$874,I46,BS_RE33!$P$7:$P$874,'30 days CF Table(AUD)'!G46,BS_RE33!$F$7:$F$874,'30 days CF Table(AUD)'!$C$2)</f>
        <v>0</v>
      </c>
      <c r="BK46" s="380">
        <f>SUMIFS(BS_RE33!$H$7:$H$874,BS_RE33!$S$7:$S$874,$BK$2,BS_RE33!$N$7:$N$874,I46,BS_RE33!$P$7:$P$874,'30 days CF Table(AUD)'!G46,BS_RE33!$F$7:$F$874,'30 days CF Table(AUD)'!$C$2)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Table(AUD)'!G47,BS_RE33!$F$7:$F$874,'30 days CF Table(AUD)'!$C$2)</f>
        <v>0</v>
      </c>
      <c r="M47" s="548">
        <f>SUMIFS(BS_RE33!$H$7:$H$874,BS_RE33!$S$7:$S$874,$M$2,BS_RE33!$N$7:$N$874,I47,BS_RE33!$P$7:$P$874,'30 days CF Table(AUD)'!G47,BS_RE33!$F$7:$F$874,'30 days CF Table(AUD)'!$C$2)</f>
        <v>0</v>
      </c>
      <c r="N47" s="548">
        <f>SUMIFS(BS_RE33!$H$7:$H$874,BS_RE33!$S$7:$S$874,$N$2,BS_RE33!$N$7:$N$874,I47,BS_RE33!$P$7:$P$874,'30 days CF Table(AUD)'!G47,BS_RE33!$F$7:$F$874,'30 days CF Table(AUD)'!$C$2)</f>
        <v>0</v>
      </c>
      <c r="O47" s="548">
        <f>SUMIFS(BS_RE33!$H$7:$H$874,BS_RE33!$S$7:$S$874,$O$2,BS_RE33!$N$7:$N$874,I47,BS_RE33!$P$7:$P$874,'30 days CF Table(AUD)'!G47,BS_RE33!$F$7:$F$874,'30 days CF Table(AUD)'!$C$2)</f>
        <v>0</v>
      </c>
      <c r="P47" s="548">
        <f>SUMIFS(BS_RE33!$H$7:$H$874,BS_RE33!$S$7:$S$874,$P$2,BS_RE33!$N$7:$N$874,I47,BS_RE33!$P$7:$P$874,'30 days CF Table(AUD)'!G47,BS_RE33!$F$7:$F$874,'30 days CF Table(AUD)'!$C$2)</f>
        <v>0</v>
      </c>
      <c r="Q47" s="548">
        <f>SUMIFS(BS_RE33!$H$7:$H$874,BS_RE33!$S$7:$S$874,$Q$2,BS_RE33!$N$7:$N$874,I47,BS_RE33!$P$7:$P$874,'30 days CF Table(AUD)'!G47,BS_RE33!$F$7:$F$874,'30 days CF Table(AUD)'!$C$2)</f>
        <v>0</v>
      </c>
      <c r="R47" s="548">
        <f>SUMIFS(BS_RE33!$H$7:$H$874,BS_RE33!$S$7:$S$874,$R$2,BS_RE33!$N$7:$N$874,I47,BS_RE33!$P$7:$P$874,'30 days CF Table(AUD)'!G47,BS_RE33!$F$7:$F$874,'30 days CF Table(AUD)'!$C$2)</f>
        <v>0</v>
      </c>
      <c r="S47" s="548">
        <f>SUMIFS(BS_RE33!$H$7:$H$874,BS_RE33!$S$7:$S$874,$S$2,BS_RE33!$N$7:$N$874,I47,BS_RE33!$P$7:$P$874,'30 days CF Table(AUD)'!G47,BS_RE33!$F$7:$F$874,'30 days CF Table(AUD)'!$C$2)</f>
        <v>0</v>
      </c>
      <c r="T47" s="548">
        <f>SUMIFS(BS_RE33!$H$7:$H$874,BS_RE33!$S$7:$S$874,$T$2,BS_RE33!$N$7:$N$874,I47,BS_RE33!$P$7:$P$874,'30 days CF Table(AUD)'!G47,BS_RE33!$F$7:$F$874,'30 days CF Table(AUD)'!$C$2)</f>
        <v>0</v>
      </c>
      <c r="U47" s="548">
        <f>SUMIFS(BS_RE33!$H$7:$H$874,BS_RE33!$S$7:$S$874,$U$2,BS_RE33!$N$7:$N$874,I47,BS_RE33!$P$7:$P$874,'30 days CF Table(AUD)'!G47,BS_RE33!$F$7:$F$874,'30 days CF Table(AUD)'!$C$2)</f>
        <v>0</v>
      </c>
      <c r="V47" s="548">
        <f>SUMIFS(BS_RE33!$H$7:$H$874,BS_RE33!$S$7:$S$874,$V$2,BS_RE33!$N$7:$N$874,I47,BS_RE33!$P$7:$P$874,'30 days CF Table(AUD)'!G47,BS_RE33!$F$7:$F$874,'30 days CF Table(AUD)'!$C$2)</f>
        <v>0</v>
      </c>
      <c r="W47" s="548">
        <f>SUMIFS(BS_RE33!$H$7:$H$874,BS_RE33!$S$7:$S$874,$W$2,BS_RE33!$N$7:$N$874,I47,BS_RE33!$P$7:$P$874,'30 days CF Table(AUD)'!G47,BS_RE33!$F$7:$F$874,'30 days CF Table(AUD)'!$C$2)</f>
        <v>0</v>
      </c>
      <c r="X47" s="548">
        <f>SUMIFS(BS_RE33!$H$7:$H$874,BS_RE33!$S$7:$S$874,$X$2,BS_RE33!$N$7:$N$874,I47,BS_RE33!$P$7:$P$874,'30 days CF Table(AUD)'!G47,BS_RE33!$F$7:$F$874,'30 days CF Table(AUD)'!$C$2)</f>
        <v>0</v>
      </c>
      <c r="Y47" s="548">
        <f>SUMIFS(BS_RE33!$H$7:$H$874,BS_RE33!$S$7:$S$874,$Y$2,BS_RE33!$N$7:$N$874,I47,BS_RE33!$P$7:$P$874,'30 days CF Table(AUD)'!G47,BS_RE33!$F$7:$F$874,'30 days CF Table(AUD)'!$C$2)</f>
        <v>0</v>
      </c>
      <c r="Z47" s="548">
        <f>SUMIFS(BS_RE33!$H$7:$H$874,BS_RE33!$S$7:$S$874,$Z$2,BS_RE33!$N$7:$N$874,I47,BS_RE33!$P$7:$P$874,'30 days CF Table(AUD)'!G47,BS_RE33!$F$7:$F$874,'30 days CF Table(AUD)'!$C$2)</f>
        <v>0</v>
      </c>
      <c r="AA47" s="548">
        <f>SUMIFS(BS_RE33!$H$7:$H$874,BS_RE33!$S$7:$S$874,$AA$2,BS_RE33!$N$7:$N$874,I47,BS_RE33!$P$7:$P$874,'30 days CF Table(AUD)'!G47,BS_RE33!$F$7:$F$874,'30 days CF Table(AUD)'!$C$2)</f>
        <v>0</v>
      </c>
      <c r="AB47" s="548">
        <f>SUMIFS(BS_RE33!$H$7:$H$874,BS_RE33!$S$7:$S$874,$AB$2,BS_RE33!$N$7:$N$874,I47,BS_RE33!$P$7:$P$874,'30 days CF Table(AUD)'!G47,BS_RE33!$F$7:$F$874,'30 days CF Table(AUD)'!$C$2)</f>
        <v>0</v>
      </c>
      <c r="AC47" s="548">
        <f>SUMIFS(BS_RE33!$H$7:$H$874,BS_RE33!$S$7:$S$874,$AC$2,BS_RE33!$N$7:$N$874,I47,BS_RE33!$P$7:$P$874,'30 days CF Table(AUD)'!G47,BS_RE33!$F$7:$F$874,'30 days CF Table(AUD)'!$C$2)</f>
        <v>0</v>
      </c>
      <c r="AD47" s="548">
        <f>SUMIFS(BS_RE33!$H$7:$H$874,BS_RE33!$S$7:$S$874,$AD$2,BS_RE33!$N$7:$N$874,I47,BS_RE33!$P$7:$P$874,'30 days CF Table(AUD)'!G47,BS_RE33!$F$7:$F$874,'30 days CF Table(AUD)'!$C$2)</f>
        <v>0</v>
      </c>
      <c r="AE47" s="548">
        <f>SUMIFS(BS_RE33!$H$7:$H$874,BS_RE33!$S$7:$S$874,$AE$2,BS_RE33!$N$7:$N$874,I47,BS_RE33!$P$7:$P$874,'30 days CF Table(AUD)'!G47,BS_RE33!$F$7:$F$874,'30 days CF Table(AUD)'!$C$2)</f>
        <v>0</v>
      </c>
      <c r="AF47" s="548">
        <f>SUMIFS(BS_RE33!$H$7:$H$874,BS_RE33!$S$7:$S$874,$AF$2,BS_RE33!$N$7:$N$874,I47,BS_RE33!$P$7:$P$874,'30 days CF Table(AUD)'!G47,BS_RE33!$F$7:$F$874,'30 days CF Table(AUD)'!$C$2)</f>
        <v>0</v>
      </c>
      <c r="AG47" s="548">
        <f>SUMIFS(BS_RE33!$H$7:$H$874,BS_RE33!$S$7:$S$874,$AG$2,BS_RE33!$N$7:$N$874,I47,BS_RE33!$P$7:$P$874,'30 days CF Table(AUD)'!G47,BS_RE33!$F$7:$F$874,'30 days CF Table(AUD)'!$C$2)</f>
        <v>0</v>
      </c>
      <c r="AH47" s="548">
        <f>SUMIFS(BS_RE33!$H$7:$H$874,BS_RE33!$S$7:$S$874,$AH$2,BS_RE33!$N$7:$N$874,I47,BS_RE33!$P$7:$P$874,'30 days CF Table(AUD)'!G47,BS_RE33!$F$7:$F$874,'30 days CF Table(AUD)'!$C$2)</f>
        <v>0</v>
      </c>
      <c r="AI47" s="548">
        <f>SUMIFS(BS_RE33!$H$7:$H$874,BS_RE33!$S$7:$S$874,$AI$2,BS_RE33!$N$7:$N$874,I47,BS_RE33!$P$7:$P$874,'30 days CF Table(AUD)'!G47,BS_RE33!$F$7:$F$874,'30 days CF Table(AUD)'!$C$2)</f>
        <v>0</v>
      </c>
      <c r="AJ47" s="548">
        <f>SUMIFS(BS_RE33!$H$7:$H$874,BS_RE33!$S$7:$S$874,$AJ$2,BS_RE33!$N$7:$N$874,I47,BS_RE33!$P$7:$P$874,'30 days CF Table(AUD)'!G47,BS_RE33!$F$7:$F$874,'30 days CF Table(AUD)'!$C$2)</f>
        <v>0</v>
      </c>
      <c r="AK47" s="548">
        <f>SUMIFS(BS_RE33!$H$7:$H$874,BS_RE33!$S$7:$S$874,$AK$2,BS_RE33!$N$7:$N$874,I47,BS_RE33!$P$7:$P$874,'30 days CF Table(AUD)'!G47,BS_RE33!$F$7:$F$874,'30 days CF Table(AUD)'!$C$2)</f>
        <v>0</v>
      </c>
      <c r="AL47" s="548">
        <f>SUMIFS(BS_RE33!$H$7:$H$874,BS_RE33!$S$7:$S$874,$AL$2,BS_RE33!$N$7:$N$874,I47,BS_RE33!$P$7:$P$874,'30 days CF Table(AUD)'!G47,BS_RE33!$F$7:$F$874,'30 days CF Table(AUD)'!$C$2)</f>
        <v>0</v>
      </c>
      <c r="AM47" s="548">
        <f>SUMIFS(BS_RE33!$H$7:$H$874,BS_RE33!$S$7:$S$874,$AM$2,BS_RE33!$N$7:$N$874,I47,BS_RE33!$P$7:$P$874,'30 days CF Table(AUD)'!G47,BS_RE33!$F$7:$F$874,'30 days CF Table(AUD)'!$C$2)</f>
        <v>0</v>
      </c>
      <c r="AN47" s="548">
        <f>SUMIFS(BS_RE33!$H$7:$H$874,BS_RE33!$S$7:$S$874,$AN$2,BS_RE33!$N$7:$N$874,I47,BS_RE33!$P$7:$P$874,'30 days CF Table(AUD)'!G47,BS_RE33!$F$7:$F$874,'30 days CF Table(AUD)'!$C$2)</f>
        <v>0</v>
      </c>
      <c r="AO47" s="548">
        <f>SUMIFS(BS_RE33!$H$7:$H$874,BS_RE33!$S$7:$S$874,$AO$2,BS_RE33!$N$7:$N$874,I47,BS_RE33!$P$7:$P$874,'30 days CF Table(AUD)'!G47,BS_RE33!$F$7:$F$874,'30 days CF Table(AUD)'!$C$2)</f>
        <v>0</v>
      </c>
      <c r="AP47" s="549">
        <f>SUMIFS(BS_RE33!$H$7:$H$874,BS_RE33!$S$7:$S$874,$AP$2,BS_RE33!$N$7:$N$874,I47,BS_RE33!$P$7:$P$874,'30 days CF Table(AUD)'!G47,BS_RE33!$F$7:$F$874,'30 days CF Table(AUD)'!$C$2)</f>
        <v>0</v>
      </c>
      <c r="AQ47" s="550"/>
      <c r="AR47" s="380">
        <f>SUMIFS(BS_RE33!$H$7:$H$874,BS_RE33!$S$7:$S$874,$AR$2,BS_RE33!$N$7:$N$874,I47,BS_RE33!$P$7:$P$874,'30 days CF Table(AUD)'!G47,BS_RE33!$F$7:$F$874,'30 days CF Table(AUD)'!$C$2)</f>
        <v>0</v>
      </c>
      <c r="AS47" s="380">
        <f>SUMIFS(BS_RE33!$H$7:$H$874,BS_RE33!$S$7:$S$874,$AS$2,BS_RE33!$N$7:$N$874,I47,BS_RE33!$P$7:$P$874,'30 days CF Table(AUD)'!G47,BS_RE33!$F$7:$F$874,'30 days CF Table(AUD)'!$C$2)</f>
        <v>0</v>
      </c>
      <c r="AT47" s="380">
        <f>SUMIFS(BS_RE33!$H$7:$H$874,BS_RE33!$S$7:$S$874,$AT$2,BS_RE33!$N$7:$N$874,I47,BS_RE33!$P$7:$P$874,'30 days CF Table(AUD)'!G47,BS_RE33!$F$7:$F$874,'30 days CF Table(AUD)'!$C$2)</f>
        <v>0</v>
      </c>
      <c r="AU47" s="380">
        <f>SUMIFS(BS_RE33!$H$7:$H$874,BS_RE33!$S$7:$S$874,$AU$2,BS_RE33!$N$7:$N$874,I47,BS_RE33!$P$7:$P$874,'30 days CF Table(AUD)'!G47,BS_RE33!$F$7:$F$874,'30 days CF Table(AUD)'!$C$2)</f>
        <v>0</v>
      </c>
      <c r="AV47" s="380">
        <f>SUMIFS(BS_RE33!$H$7:$H$874,BS_RE33!$S$7:$S$874,$AV$2,BS_RE33!$N$7:$N$874,I47,BS_RE33!$P$7:$P$874,'30 days CF Table(AUD)'!G47,BS_RE33!$F$7:$F$874,'30 days CF Table(AUD)'!$C$2)</f>
        <v>0</v>
      </c>
      <c r="AW47" s="380">
        <f>SUMIFS(BS_RE33!$H$7:$H$874,BS_RE33!$S$7:$S$874,$AW$2,BS_RE33!$N$7:$N$874,I47,BS_RE33!$P$7:$P$874,'30 days CF Table(AUD)'!G47,BS_RE33!$F$7:$F$874,'30 days CF Table(AUD)'!$C$2)</f>
        <v>0</v>
      </c>
      <c r="AX47" s="380">
        <f>SUMIFS(BS_RE33!$H$7:$H$874,BS_RE33!$S$7:$S$874,$AX$2,BS_RE33!$N$7:$N$874,I47,BS_RE33!$P$7:$P$874,'30 days CF Table(AUD)'!G47,BS_RE33!$F$7:$F$874,'30 days CF Table(AUD)'!$C$2)</f>
        <v>0</v>
      </c>
      <c r="AY47" s="380">
        <f>SUMIFS(BS_RE33!$H$7:$H$874,BS_RE33!$S$7:$S$874,$AY$2,BS_RE33!$N$7:$N$874,I47,BS_RE33!$P$7:$P$874,'30 days CF Table(AUD)'!G47,BS_RE33!$F$7:$F$874,'30 days CF Table(AUD)'!$C$2)</f>
        <v>0</v>
      </c>
      <c r="AZ47" s="380">
        <f>SUMIFS(BS_RE33!$H$7:$H$874,BS_RE33!$S$7:$S$874,$AZ$2,BS_RE33!$N$7:$N$874,I47,BS_RE33!$P$7:$P$874,'30 days CF Table(AUD)'!G47,BS_RE33!$F$7:$F$874,'30 days CF Table(AUD)'!$C$2)</f>
        <v>0</v>
      </c>
      <c r="BA47" s="380">
        <f>SUMIFS(BS_RE33!$H$7:$H$874,BS_RE33!$S$7:$S$874,$BA$2,BS_RE33!$N$7:$N$874,I47,BS_RE33!$P$7:$P$874,'30 days CF Table(AUD)'!G47,BS_RE33!$F$7:$F$874,'30 days CF Table(AUD)'!$C$2)</f>
        <v>0</v>
      </c>
      <c r="BB47" s="380">
        <f>SUMIFS(BS_RE33!$H$7:$H$874,BS_RE33!$S$7:$S$874,$BB$2,BS_RE33!$N$7:$N$874,I47,BS_RE33!$P$7:$P$874,'30 days CF Table(AUD)'!G47,BS_RE33!$F$7:$F$874,'30 days CF Table(AUD)'!$C$2)</f>
        <v>0</v>
      </c>
      <c r="BC47" s="380">
        <f>SUMIFS(BS_RE33!$H$7:$H$874,BS_RE33!$S$7:$S$874,$BC$2,BS_RE33!$N$7:$N$874,I47,BS_RE33!$P$7:$P$874,'30 days CF Table(AUD)'!G47,BS_RE33!$F$7:$F$874,'30 days CF Table(AUD)'!$C$2)</f>
        <v>0</v>
      </c>
      <c r="BD47" s="380">
        <f>SUMIFS(BS_RE33!$H$7:$H$874,BS_RE33!$S$7:$S$874,$BD$2,BS_RE33!$N$7:$N$874,I47,BS_RE33!$P$7:$P$874,'30 days CF Table(AUD)'!G47,BS_RE33!$F$7:$F$874,'30 days CF Table(AUD)'!$C$2)</f>
        <v>0</v>
      </c>
      <c r="BE47" s="380">
        <f>SUMIFS(BS_RE33!$H$7:$H$874,BS_RE33!$S$7:$S$874,$BE$2,BS_RE33!$N$7:$N$874,I47,BS_RE33!$P$7:$P$874,'30 days CF Table(AUD)'!G47,BS_RE33!$F$7:$F$874,'30 days CF Table(AUD)'!$C$2)</f>
        <v>0</v>
      </c>
      <c r="BF47" s="380">
        <f>SUMIFS(BS_RE33!$H$7:$H$874,BS_RE33!$S$7:$S$874,$BF$2,BS_RE33!$N$7:$N$874,I47,BS_RE33!$P$7:$P$874,'30 days CF Table(AUD)'!G47,BS_RE33!$F$7:$F$874,'30 days CF Table(AUD)'!$C$2)</f>
        <v>0</v>
      </c>
      <c r="BG47" s="380">
        <f>SUMIFS(BS_RE33!$H$7:$H$874,BS_RE33!$S$7:$S$874,$BG$2,BS_RE33!$N$7:$N$874,I47,BS_RE33!$P$7:$P$874,'30 days CF Table(AUD)'!G47,BS_RE33!$F$7:$F$874,'30 days CF Table(AUD)'!$C$2)</f>
        <v>0</v>
      </c>
      <c r="BH47" s="380">
        <f>SUMIFS(BS_RE33!$H$7:$H$874,BS_RE33!$S$7:$S$874,$BH$2,BS_RE33!$N$7:$N$874,I47,BS_RE33!$P$7:$P$874,'30 days CF Table(AUD)'!G47,BS_RE33!$F$7:$F$874,'30 days CF Table(AUD)'!$C$2)</f>
        <v>0</v>
      </c>
      <c r="BI47" s="380">
        <f>SUMIFS(BS_RE33!$H$7:$H$874,BS_RE33!$S$7:$S$874,$BI$2,BS_RE33!$N$7:$N$874,I47,BS_RE33!$P$7:$P$874,'30 days CF Table(AUD)'!G47,BS_RE33!$F$7:$F$874,'30 days CF Table(AUD)'!$C$2)</f>
        <v>0</v>
      </c>
      <c r="BJ47" s="380">
        <f>SUMIFS(BS_RE33!$H$7:$H$874,BS_RE33!$S$7:$S$874,$BJ$2,BS_RE33!$N$7:$N$874,I47,BS_RE33!$P$7:$P$874,'30 days CF Table(AUD)'!G47,BS_RE33!$F$7:$F$874,'30 days CF Table(AUD)'!$C$2)</f>
        <v>0</v>
      </c>
      <c r="BK47" s="380">
        <f>SUMIFS(BS_RE33!$H$7:$H$874,BS_RE33!$S$7:$S$874,$BK$2,BS_RE33!$N$7:$N$874,I47,BS_RE33!$P$7:$P$874,'30 days CF Table(AUD)'!G47,BS_RE33!$F$7:$F$874,'30 days CF Table(AUD)'!$C$2)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Table(AUD)'!G48,BS_RE33!$F$7:$F$874,'30 days CF Table(AUD)'!$C$2)</f>
        <v>0</v>
      </c>
      <c r="M48" s="548">
        <f>SUMIFS(BS_RE33!$H$7:$H$874,BS_RE33!$S$7:$S$874,$M$2,BS_RE33!$N$7:$N$874,I48,BS_RE33!$P$7:$P$874,'30 days CF Table(AUD)'!G48,BS_RE33!$F$7:$F$874,'30 days CF Table(AUD)'!$C$2)</f>
        <v>0</v>
      </c>
      <c r="N48" s="548">
        <f>SUMIFS(BS_RE33!$H$7:$H$874,BS_RE33!$S$7:$S$874,$N$2,BS_RE33!$N$7:$N$874,I48,BS_RE33!$P$7:$P$874,'30 days CF Table(AUD)'!G48,BS_RE33!$F$7:$F$874,'30 days CF Table(AUD)'!$C$2)</f>
        <v>0</v>
      </c>
      <c r="O48" s="548">
        <f>SUMIFS(BS_RE33!$H$7:$H$874,BS_RE33!$S$7:$S$874,$O$2,BS_RE33!$N$7:$N$874,I48,BS_RE33!$P$7:$P$874,'30 days CF Table(AUD)'!G48,BS_RE33!$F$7:$F$874,'30 days CF Table(AUD)'!$C$2)</f>
        <v>0</v>
      </c>
      <c r="P48" s="548">
        <f>SUMIFS(BS_RE33!$H$7:$H$874,BS_RE33!$S$7:$S$874,$P$2,BS_RE33!$N$7:$N$874,I48,BS_RE33!$P$7:$P$874,'30 days CF Table(AUD)'!G48,BS_RE33!$F$7:$F$874,'30 days CF Table(AUD)'!$C$2)</f>
        <v>0</v>
      </c>
      <c r="Q48" s="548">
        <f>SUMIFS(BS_RE33!$H$7:$H$874,BS_RE33!$S$7:$S$874,$Q$2,BS_RE33!$N$7:$N$874,I48,BS_RE33!$P$7:$P$874,'30 days CF Table(AUD)'!G48,BS_RE33!$F$7:$F$874,'30 days CF Table(AUD)'!$C$2)</f>
        <v>0</v>
      </c>
      <c r="R48" s="548">
        <f>SUMIFS(BS_RE33!$H$7:$H$874,BS_RE33!$S$7:$S$874,$R$2,BS_RE33!$N$7:$N$874,I48,BS_RE33!$P$7:$P$874,'30 days CF Table(AUD)'!G48,BS_RE33!$F$7:$F$874,'30 days CF Table(AUD)'!$C$2)</f>
        <v>0</v>
      </c>
      <c r="S48" s="548">
        <f>SUMIFS(BS_RE33!$H$7:$H$874,BS_RE33!$S$7:$S$874,$S$2,BS_RE33!$N$7:$N$874,I48,BS_RE33!$P$7:$P$874,'30 days CF Table(AUD)'!G48,BS_RE33!$F$7:$F$874,'30 days CF Table(AUD)'!$C$2)</f>
        <v>0</v>
      </c>
      <c r="T48" s="548">
        <f>SUMIFS(BS_RE33!$H$7:$H$874,BS_RE33!$S$7:$S$874,$T$2,BS_RE33!$N$7:$N$874,I48,BS_RE33!$P$7:$P$874,'30 days CF Table(AUD)'!G48,BS_RE33!$F$7:$F$874,'30 days CF Table(AUD)'!$C$2)</f>
        <v>0</v>
      </c>
      <c r="U48" s="548">
        <f>SUMIFS(BS_RE33!$H$7:$H$874,BS_RE33!$S$7:$S$874,$U$2,BS_RE33!$N$7:$N$874,I48,BS_RE33!$P$7:$P$874,'30 days CF Table(AUD)'!G48,BS_RE33!$F$7:$F$874,'30 days CF Table(AUD)'!$C$2)</f>
        <v>0</v>
      </c>
      <c r="V48" s="548">
        <f>SUMIFS(BS_RE33!$H$7:$H$874,BS_RE33!$S$7:$S$874,$V$2,BS_RE33!$N$7:$N$874,I48,BS_RE33!$P$7:$P$874,'30 days CF Table(AUD)'!G48,BS_RE33!$F$7:$F$874,'30 days CF Table(AUD)'!$C$2)</f>
        <v>0</v>
      </c>
      <c r="W48" s="548">
        <f>SUMIFS(BS_RE33!$H$7:$H$874,BS_RE33!$S$7:$S$874,$W$2,BS_RE33!$N$7:$N$874,I48,BS_RE33!$P$7:$P$874,'30 days CF Table(AUD)'!G48,BS_RE33!$F$7:$F$874,'30 days CF Table(AUD)'!$C$2)</f>
        <v>0</v>
      </c>
      <c r="X48" s="548">
        <f>SUMIFS(BS_RE33!$H$7:$H$874,BS_RE33!$S$7:$S$874,$X$2,BS_RE33!$N$7:$N$874,I48,BS_RE33!$P$7:$P$874,'30 days CF Table(AUD)'!G48,BS_RE33!$F$7:$F$874,'30 days CF Table(AUD)'!$C$2)</f>
        <v>0</v>
      </c>
      <c r="Y48" s="548">
        <f>SUMIFS(BS_RE33!$H$7:$H$874,BS_RE33!$S$7:$S$874,$Y$2,BS_RE33!$N$7:$N$874,I48,BS_RE33!$P$7:$P$874,'30 days CF Table(AUD)'!G48,BS_RE33!$F$7:$F$874,'30 days CF Table(AUD)'!$C$2)</f>
        <v>0</v>
      </c>
      <c r="Z48" s="548">
        <f>SUMIFS(BS_RE33!$H$7:$H$874,BS_RE33!$S$7:$S$874,$Z$2,BS_RE33!$N$7:$N$874,I48,BS_RE33!$P$7:$P$874,'30 days CF Table(AUD)'!G48,BS_RE33!$F$7:$F$874,'30 days CF Table(AUD)'!$C$2)</f>
        <v>0</v>
      </c>
      <c r="AA48" s="548">
        <f>SUMIFS(BS_RE33!$H$7:$H$874,BS_RE33!$S$7:$S$874,$AA$2,BS_RE33!$N$7:$N$874,I48,BS_RE33!$P$7:$P$874,'30 days CF Table(AUD)'!G48,BS_RE33!$F$7:$F$874,'30 days CF Table(AUD)'!$C$2)</f>
        <v>0</v>
      </c>
      <c r="AB48" s="548">
        <f>SUMIFS(BS_RE33!$H$7:$H$874,BS_RE33!$S$7:$S$874,$AB$2,BS_RE33!$N$7:$N$874,I48,BS_RE33!$P$7:$P$874,'30 days CF Table(AUD)'!G48,BS_RE33!$F$7:$F$874,'30 days CF Table(AUD)'!$C$2)</f>
        <v>0</v>
      </c>
      <c r="AC48" s="548">
        <f>SUMIFS(BS_RE33!$H$7:$H$874,BS_RE33!$S$7:$S$874,$AC$2,BS_RE33!$N$7:$N$874,I48,BS_RE33!$P$7:$P$874,'30 days CF Table(AUD)'!G48,BS_RE33!$F$7:$F$874,'30 days CF Table(AUD)'!$C$2)</f>
        <v>0</v>
      </c>
      <c r="AD48" s="548">
        <f>SUMIFS(BS_RE33!$H$7:$H$874,BS_RE33!$S$7:$S$874,$AD$2,BS_RE33!$N$7:$N$874,I48,BS_RE33!$P$7:$P$874,'30 days CF Table(AUD)'!G48,BS_RE33!$F$7:$F$874,'30 days CF Table(AUD)'!$C$2)</f>
        <v>0</v>
      </c>
      <c r="AE48" s="548">
        <f>SUMIFS(BS_RE33!$H$7:$H$874,BS_RE33!$S$7:$S$874,$AE$2,BS_RE33!$N$7:$N$874,I48,BS_RE33!$P$7:$P$874,'30 days CF Table(AUD)'!G48,BS_RE33!$F$7:$F$874,'30 days CF Table(AUD)'!$C$2)</f>
        <v>0</v>
      </c>
      <c r="AF48" s="548">
        <f>SUMIFS(BS_RE33!$H$7:$H$874,BS_RE33!$S$7:$S$874,$AF$2,BS_RE33!$N$7:$N$874,I48,BS_RE33!$P$7:$P$874,'30 days CF Table(AUD)'!G48,BS_RE33!$F$7:$F$874,'30 days CF Table(AUD)'!$C$2)</f>
        <v>0</v>
      </c>
      <c r="AG48" s="548">
        <f>SUMIFS(BS_RE33!$H$7:$H$874,BS_RE33!$S$7:$S$874,$AG$2,BS_RE33!$N$7:$N$874,I48,BS_RE33!$P$7:$P$874,'30 days CF Table(AUD)'!G48,BS_RE33!$F$7:$F$874,'30 days CF Table(AUD)'!$C$2)</f>
        <v>0</v>
      </c>
      <c r="AH48" s="548">
        <f>SUMIFS(BS_RE33!$H$7:$H$874,BS_RE33!$S$7:$S$874,$AH$2,BS_RE33!$N$7:$N$874,I48,BS_RE33!$P$7:$P$874,'30 days CF Table(AUD)'!G48,BS_RE33!$F$7:$F$874,'30 days CF Table(AUD)'!$C$2)</f>
        <v>0</v>
      </c>
      <c r="AI48" s="548">
        <f>SUMIFS(BS_RE33!$H$7:$H$874,BS_RE33!$S$7:$S$874,$AI$2,BS_RE33!$N$7:$N$874,I48,BS_RE33!$P$7:$P$874,'30 days CF Table(AUD)'!G48,BS_RE33!$F$7:$F$874,'30 days CF Table(AUD)'!$C$2)</f>
        <v>0</v>
      </c>
      <c r="AJ48" s="548">
        <f>SUMIFS(BS_RE33!$H$7:$H$874,BS_RE33!$S$7:$S$874,$AJ$2,BS_RE33!$N$7:$N$874,I48,BS_RE33!$P$7:$P$874,'30 days CF Table(AUD)'!G48,BS_RE33!$F$7:$F$874,'30 days CF Table(AUD)'!$C$2)</f>
        <v>0</v>
      </c>
      <c r="AK48" s="548">
        <f>SUMIFS(BS_RE33!$H$7:$H$874,BS_RE33!$S$7:$S$874,$AK$2,BS_RE33!$N$7:$N$874,I48,BS_RE33!$P$7:$P$874,'30 days CF Table(AUD)'!G48,BS_RE33!$F$7:$F$874,'30 days CF Table(AUD)'!$C$2)</f>
        <v>0</v>
      </c>
      <c r="AL48" s="548">
        <f>SUMIFS(BS_RE33!$H$7:$H$874,BS_RE33!$S$7:$S$874,$AL$2,BS_RE33!$N$7:$N$874,I48,BS_RE33!$P$7:$P$874,'30 days CF Table(AUD)'!G48,BS_RE33!$F$7:$F$874,'30 days CF Table(AUD)'!$C$2)</f>
        <v>0</v>
      </c>
      <c r="AM48" s="548">
        <f>SUMIFS(BS_RE33!$H$7:$H$874,BS_RE33!$S$7:$S$874,$AM$2,BS_RE33!$N$7:$N$874,I48,BS_RE33!$P$7:$P$874,'30 days CF Table(AUD)'!G48,BS_RE33!$F$7:$F$874,'30 days CF Table(AUD)'!$C$2)</f>
        <v>0</v>
      </c>
      <c r="AN48" s="548">
        <f>SUMIFS(BS_RE33!$H$7:$H$874,BS_RE33!$S$7:$S$874,$AN$2,BS_RE33!$N$7:$N$874,I48,BS_RE33!$P$7:$P$874,'30 days CF Table(AUD)'!G48,BS_RE33!$F$7:$F$874,'30 days CF Table(AUD)'!$C$2)</f>
        <v>0</v>
      </c>
      <c r="AO48" s="548">
        <f>SUMIFS(BS_RE33!$H$7:$H$874,BS_RE33!$S$7:$S$874,$AO$2,BS_RE33!$N$7:$N$874,I48,BS_RE33!$P$7:$P$874,'30 days CF Table(AUD)'!G48,BS_RE33!$F$7:$F$874,'30 days CF Table(AUD)'!$C$2)</f>
        <v>0</v>
      </c>
      <c r="AP48" s="549">
        <f>SUMIFS(BS_RE33!$H$7:$H$874,BS_RE33!$S$7:$S$874,$AP$2,BS_RE33!$N$7:$N$874,I48,BS_RE33!$P$7:$P$874,'30 days CF Table(AUD)'!G48,BS_RE33!$F$7:$F$874,'30 days CF Table(AUD)'!$C$2)</f>
        <v>0</v>
      </c>
      <c r="AQ48" s="550"/>
      <c r="AR48" s="380">
        <f>SUMIFS(BS_RE33!$H$7:$H$874,BS_RE33!$S$7:$S$874,$AR$2,BS_RE33!$N$7:$N$874,I48,BS_RE33!$P$7:$P$874,'30 days CF Table(AUD)'!G48,BS_RE33!$F$7:$F$874,'30 days CF Table(AUD)'!$C$2)</f>
        <v>0</v>
      </c>
      <c r="AS48" s="380">
        <f>SUMIFS(BS_RE33!$H$7:$H$874,BS_RE33!$S$7:$S$874,$AS$2,BS_RE33!$N$7:$N$874,I48,BS_RE33!$P$7:$P$874,'30 days CF Table(AUD)'!G48,BS_RE33!$F$7:$F$874,'30 days CF Table(AUD)'!$C$2)</f>
        <v>0</v>
      </c>
      <c r="AT48" s="380">
        <f>SUMIFS(BS_RE33!$H$7:$H$874,BS_RE33!$S$7:$S$874,$AT$2,BS_RE33!$N$7:$N$874,I48,BS_RE33!$P$7:$P$874,'30 days CF Table(AUD)'!G48,BS_RE33!$F$7:$F$874,'30 days CF Table(AUD)'!$C$2)</f>
        <v>0</v>
      </c>
      <c r="AU48" s="380">
        <f>SUMIFS(BS_RE33!$H$7:$H$874,BS_RE33!$S$7:$S$874,$AU$2,BS_RE33!$N$7:$N$874,I48,BS_RE33!$P$7:$P$874,'30 days CF Table(AUD)'!G48,BS_RE33!$F$7:$F$874,'30 days CF Table(AUD)'!$C$2)</f>
        <v>0</v>
      </c>
      <c r="AV48" s="380">
        <f>SUMIFS(BS_RE33!$H$7:$H$874,BS_RE33!$S$7:$S$874,$AV$2,BS_RE33!$N$7:$N$874,I48,BS_RE33!$P$7:$P$874,'30 days CF Table(AUD)'!G48,BS_RE33!$F$7:$F$874,'30 days CF Table(AUD)'!$C$2)</f>
        <v>0</v>
      </c>
      <c r="AW48" s="380">
        <f>SUMIFS(BS_RE33!$H$7:$H$874,BS_RE33!$S$7:$S$874,$AW$2,BS_RE33!$N$7:$N$874,I48,BS_RE33!$P$7:$P$874,'30 days CF Table(AUD)'!G48,BS_RE33!$F$7:$F$874,'30 days CF Table(AUD)'!$C$2)</f>
        <v>0</v>
      </c>
      <c r="AX48" s="380">
        <f>SUMIFS(BS_RE33!$H$7:$H$874,BS_RE33!$S$7:$S$874,$AX$2,BS_RE33!$N$7:$N$874,I48,BS_RE33!$P$7:$P$874,'30 days CF Table(AUD)'!G48,BS_RE33!$F$7:$F$874,'30 days CF Table(AUD)'!$C$2)</f>
        <v>0</v>
      </c>
      <c r="AY48" s="380">
        <f>SUMIFS(BS_RE33!$H$7:$H$874,BS_RE33!$S$7:$S$874,$AY$2,BS_RE33!$N$7:$N$874,I48,BS_RE33!$P$7:$P$874,'30 days CF Table(AUD)'!G48,BS_RE33!$F$7:$F$874,'30 days CF Table(AUD)'!$C$2)</f>
        <v>0</v>
      </c>
      <c r="AZ48" s="380">
        <f>SUMIFS(BS_RE33!$H$7:$H$874,BS_RE33!$S$7:$S$874,$AZ$2,BS_RE33!$N$7:$N$874,I48,BS_RE33!$P$7:$P$874,'30 days CF Table(AUD)'!G48,BS_RE33!$F$7:$F$874,'30 days CF Table(AUD)'!$C$2)</f>
        <v>0</v>
      </c>
      <c r="BA48" s="380">
        <f>SUMIFS(BS_RE33!$H$7:$H$874,BS_RE33!$S$7:$S$874,$BA$2,BS_RE33!$N$7:$N$874,I48,BS_RE33!$P$7:$P$874,'30 days CF Table(AUD)'!G48,BS_RE33!$F$7:$F$874,'30 days CF Table(AUD)'!$C$2)</f>
        <v>0</v>
      </c>
      <c r="BB48" s="380">
        <f>SUMIFS(BS_RE33!$H$7:$H$874,BS_RE33!$S$7:$S$874,$BB$2,BS_RE33!$N$7:$N$874,I48,BS_RE33!$P$7:$P$874,'30 days CF Table(AUD)'!G48,BS_RE33!$F$7:$F$874,'30 days CF Table(AUD)'!$C$2)</f>
        <v>0</v>
      </c>
      <c r="BC48" s="380">
        <f>SUMIFS(BS_RE33!$H$7:$H$874,BS_RE33!$S$7:$S$874,$BC$2,BS_RE33!$N$7:$N$874,I48,BS_RE33!$P$7:$P$874,'30 days CF Table(AUD)'!G48,BS_RE33!$F$7:$F$874,'30 days CF Table(AUD)'!$C$2)</f>
        <v>0</v>
      </c>
      <c r="BD48" s="380">
        <f>SUMIFS(BS_RE33!$H$7:$H$874,BS_RE33!$S$7:$S$874,$BD$2,BS_RE33!$N$7:$N$874,I48,BS_RE33!$P$7:$P$874,'30 days CF Table(AUD)'!G48,BS_RE33!$F$7:$F$874,'30 days CF Table(AUD)'!$C$2)</f>
        <v>0</v>
      </c>
      <c r="BE48" s="380">
        <f>SUMIFS(BS_RE33!$H$7:$H$874,BS_RE33!$S$7:$S$874,$BE$2,BS_RE33!$N$7:$N$874,I48,BS_RE33!$P$7:$P$874,'30 days CF Table(AUD)'!G48,BS_RE33!$F$7:$F$874,'30 days CF Table(AUD)'!$C$2)</f>
        <v>0</v>
      </c>
      <c r="BF48" s="380">
        <f>SUMIFS(BS_RE33!$H$7:$H$874,BS_RE33!$S$7:$S$874,$BF$2,BS_RE33!$N$7:$N$874,I48,BS_RE33!$P$7:$P$874,'30 days CF Table(AUD)'!G48,BS_RE33!$F$7:$F$874,'30 days CF Table(AUD)'!$C$2)</f>
        <v>0</v>
      </c>
      <c r="BG48" s="380">
        <f>SUMIFS(BS_RE33!$H$7:$H$874,BS_RE33!$S$7:$S$874,$BG$2,BS_RE33!$N$7:$N$874,I48,BS_RE33!$P$7:$P$874,'30 days CF Table(AUD)'!G48,BS_RE33!$F$7:$F$874,'30 days CF Table(AUD)'!$C$2)</f>
        <v>0</v>
      </c>
      <c r="BH48" s="380">
        <f>SUMIFS(BS_RE33!$H$7:$H$874,BS_RE33!$S$7:$S$874,$BH$2,BS_RE33!$N$7:$N$874,I48,BS_RE33!$P$7:$P$874,'30 days CF Table(AUD)'!G48,BS_RE33!$F$7:$F$874,'30 days CF Table(AUD)'!$C$2)</f>
        <v>0</v>
      </c>
      <c r="BI48" s="380">
        <f>SUMIFS(BS_RE33!$H$7:$H$874,BS_RE33!$S$7:$S$874,$BI$2,BS_RE33!$N$7:$N$874,I48,BS_RE33!$P$7:$P$874,'30 days CF Table(AUD)'!G48,BS_RE33!$F$7:$F$874,'30 days CF Table(AUD)'!$C$2)</f>
        <v>0</v>
      </c>
      <c r="BJ48" s="380">
        <f>SUMIFS(BS_RE33!$H$7:$H$874,BS_RE33!$S$7:$S$874,$BJ$2,BS_RE33!$N$7:$N$874,I48,BS_RE33!$P$7:$P$874,'30 days CF Table(AUD)'!G48,BS_RE33!$F$7:$F$874,'30 days CF Table(AUD)'!$C$2)</f>
        <v>0</v>
      </c>
      <c r="BK48" s="380">
        <f>SUMIFS(BS_RE33!$H$7:$H$874,BS_RE33!$S$7:$S$874,$BK$2,BS_RE33!$N$7:$N$874,I48,BS_RE33!$P$7:$P$874,'30 days CF Table(AUD)'!G48,BS_RE33!$F$7:$F$874,'30 days CF Table(AUD)'!$C$2)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Table(AUD)'!G49,BS_RE33!$F$7:$F$874,'30 days CF Table(AUD)'!$C$2)</f>
        <v>0</v>
      </c>
      <c r="M49" s="548">
        <f>SUMIFS(BS_RE33!$H$7:$H$874,BS_RE33!$S$7:$S$874,$M$2,BS_RE33!$N$7:$N$874,I49,BS_RE33!$P$7:$P$874,'30 days CF Table(AUD)'!G49,BS_RE33!$F$7:$F$874,'30 days CF Table(AUD)'!$C$2)</f>
        <v>0</v>
      </c>
      <c r="N49" s="548">
        <f>SUMIFS(BS_RE33!$H$7:$H$874,BS_RE33!$S$7:$S$874,$N$2,BS_RE33!$N$7:$N$874,I49,BS_RE33!$P$7:$P$874,'30 days CF Table(AUD)'!G49,BS_RE33!$F$7:$F$874,'30 days CF Table(AUD)'!$C$2)</f>
        <v>0</v>
      </c>
      <c r="O49" s="548">
        <f>SUMIFS(BS_RE33!$H$7:$H$874,BS_RE33!$S$7:$S$874,$O$2,BS_RE33!$N$7:$N$874,I49,BS_RE33!$P$7:$P$874,'30 days CF Table(AUD)'!G49,BS_RE33!$F$7:$F$874,'30 days CF Table(AUD)'!$C$2)</f>
        <v>0</v>
      </c>
      <c r="P49" s="548">
        <f>SUMIFS(BS_RE33!$H$7:$H$874,BS_RE33!$S$7:$S$874,$P$2,BS_RE33!$N$7:$N$874,I49,BS_RE33!$P$7:$P$874,'30 days CF Table(AUD)'!G49,BS_RE33!$F$7:$F$874,'30 days CF Table(AUD)'!$C$2)</f>
        <v>0</v>
      </c>
      <c r="Q49" s="548">
        <f>SUMIFS(BS_RE33!$H$7:$H$874,BS_RE33!$S$7:$S$874,$Q$2,BS_RE33!$N$7:$N$874,I49,BS_RE33!$P$7:$P$874,'30 days CF Table(AUD)'!G49,BS_RE33!$F$7:$F$874,'30 days CF Table(AUD)'!$C$2)</f>
        <v>0</v>
      </c>
      <c r="R49" s="548">
        <f>SUMIFS(BS_RE33!$H$7:$H$874,BS_RE33!$S$7:$S$874,$R$2,BS_RE33!$N$7:$N$874,I49,BS_RE33!$P$7:$P$874,'30 days CF Table(AUD)'!G49,BS_RE33!$F$7:$F$874,'30 days CF Table(AUD)'!$C$2)</f>
        <v>0</v>
      </c>
      <c r="S49" s="548">
        <f>SUMIFS(BS_RE33!$H$7:$H$874,BS_RE33!$S$7:$S$874,$S$2,BS_RE33!$N$7:$N$874,I49,BS_RE33!$P$7:$P$874,'30 days CF Table(AUD)'!G49,BS_RE33!$F$7:$F$874,'30 days CF Table(AUD)'!$C$2)</f>
        <v>0</v>
      </c>
      <c r="T49" s="548">
        <f>SUMIFS(BS_RE33!$H$7:$H$874,BS_RE33!$S$7:$S$874,$T$2,BS_RE33!$N$7:$N$874,I49,BS_RE33!$P$7:$P$874,'30 days CF Table(AUD)'!G49,BS_RE33!$F$7:$F$874,'30 days CF Table(AUD)'!$C$2)</f>
        <v>0</v>
      </c>
      <c r="U49" s="548">
        <f>SUMIFS(BS_RE33!$H$7:$H$874,BS_RE33!$S$7:$S$874,$U$2,BS_RE33!$N$7:$N$874,I49,BS_RE33!$P$7:$P$874,'30 days CF Table(AUD)'!G49,BS_RE33!$F$7:$F$874,'30 days CF Table(AUD)'!$C$2)</f>
        <v>0</v>
      </c>
      <c r="V49" s="548">
        <f>SUMIFS(BS_RE33!$H$7:$H$874,BS_RE33!$S$7:$S$874,$V$2,BS_RE33!$N$7:$N$874,I49,BS_RE33!$P$7:$P$874,'30 days CF Table(AUD)'!G49,BS_RE33!$F$7:$F$874,'30 days CF Table(AUD)'!$C$2)</f>
        <v>0</v>
      </c>
      <c r="W49" s="548">
        <f>SUMIFS(BS_RE33!$H$7:$H$874,BS_RE33!$S$7:$S$874,$W$2,BS_RE33!$N$7:$N$874,I49,BS_RE33!$P$7:$P$874,'30 days CF Table(AUD)'!G49,BS_RE33!$F$7:$F$874,'30 days CF Table(AUD)'!$C$2)</f>
        <v>0</v>
      </c>
      <c r="X49" s="548">
        <f>SUMIFS(BS_RE33!$H$7:$H$874,BS_RE33!$S$7:$S$874,$X$2,BS_RE33!$N$7:$N$874,I49,BS_RE33!$P$7:$P$874,'30 days CF Table(AUD)'!G49,BS_RE33!$F$7:$F$874,'30 days CF Table(AUD)'!$C$2)</f>
        <v>0</v>
      </c>
      <c r="Y49" s="548">
        <f>SUMIFS(BS_RE33!$H$7:$H$874,BS_RE33!$S$7:$S$874,$Y$2,BS_RE33!$N$7:$N$874,I49,BS_RE33!$P$7:$P$874,'30 days CF Table(AUD)'!G49,BS_RE33!$F$7:$F$874,'30 days CF Table(AUD)'!$C$2)</f>
        <v>0</v>
      </c>
      <c r="Z49" s="548">
        <f>SUMIFS(BS_RE33!$H$7:$H$874,BS_RE33!$S$7:$S$874,$Z$2,BS_RE33!$N$7:$N$874,I49,BS_RE33!$P$7:$P$874,'30 days CF Table(AUD)'!G49,BS_RE33!$F$7:$F$874,'30 days CF Table(AUD)'!$C$2)</f>
        <v>0</v>
      </c>
      <c r="AA49" s="548">
        <f>SUMIFS(BS_RE33!$H$7:$H$874,BS_RE33!$S$7:$S$874,$AA$2,BS_RE33!$N$7:$N$874,I49,BS_RE33!$P$7:$P$874,'30 days CF Table(AUD)'!G49,BS_RE33!$F$7:$F$874,'30 days CF Table(AUD)'!$C$2)</f>
        <v>0</v>
      </c>
      <c r="AB49" s="548">
        <f>SUMIFS(BS_RE33!$H$7:$H$874,BS_RE33!$S$7:$S$874,$AB$2,BS_RE33!$N$7:$N$874,I49,BS_RE33!$P$7:$P$874,'30 days CF Table(AUD)'!G49,BS_RE33!$F$7:$F$874,'30 days CF Table(AUD)'!$C$2)</f>
        <v>0</v>
      </c>
      <c r="AC49" s="548">
        <f>SUMIFS(BS_RE33!$H$7:$H$874,BS_RE33!$S$7:$S$874,$AC$2,BS_RE33!$N$7:$N$874,I49,BS_RE33!$P$7:$P$874,'30 days CF Table(AUD)'!G49,BS_RE33!$F$7:$F$874,'30 days CF Table(AUD)'!$C$2)</f>
        <v>0</v>
      </c>
      <c r="AD49" s="548">
        <f>SUMIFS(BS_RE33!$H$7:$H$874,BS_RE33!$S$7:$S$874,$AD$2,BS_RE33!$N$7:$N$874,I49,BS_RE33!$P$7:$P$874,'30 days CF Table(AUD)'!G49,BS_RE33!$F$7:$F$874,'30 days CF Table(AUD)'!$C$2)</f>
        <v>0</v>
      </c>
      <c r="AE49" s="548">
        <f>SUMIFS(BS_RE33!$H$7:$H$874,BS_RE33!$S$7:$S$874,$AE$2,BS_RE33!$N$7:$N$874,I49,BS_RE33!$P$7:$P$874,'30 days CF Table(AUD)'!G49,BS_RE33!$F$7:$F$874,'30 days CF Table(AUD)'!$C$2)</f>
        <v>0</v>
      </c>
      <c r="AF49" s="548">
        <f>SUMIFS(BS_RE33!$H$7:$H$874,BS_RE33!$S$7:$S$874,$AF$2,BS_RE33!$N$7:$N$874,I49,BS_RE33!$P$7:$P$874,'30 days CF Table(AUD)'!G49,BS_RE33!$F$7:$F$874,'30 days CF Table(AUD)'!$C$2)</f>
        <v>0</v>
      </c>
      <c r="AG49" s="548">
        <f>SUMIFS(BS_RE33!$H$7:$H$874,BS_RE33!$S$7:$S$874,$AG$2,BS_RE33!$N$7:$N$874,I49,BS_RE33!$P$7:$P$874,'30 days CF Table(AUD)'!G49,BS_RE33!$F$7:$F$874,'30 days CF Table(AUD)'!$C$2)</f>
        <v>0</v>
      </c>
      <c r="AH49" s="548">
        <f>SUMIFS(BS_RE33!$H$7:$H$874,BS_RE33!$S$7:$S$874,$AH$2,BS_RE33!$N$7:$N$874,I49,BS_RE33!$P$7:$P$874,'30 days CF Table(AUD)'!G49,BS_RE33!$F$7:$F$874,'30 days CF Table(AUD)'!$C$2)</f>
        <v>0</v>
      </c>
      <c r="AI49" s="548">
        <f>SUMIFS(BS_RE33!$H$7:$H$874,BS_RE33!$S$7:$S$874,$AI$2,BS_RE33!$N$7:$N$874,I49,BS_RE33!$P$7:$P$874,'30 days CF Table(AUD)'!G49,BS_RE33!$F$7:$F$874,'30 days CF Table(AUD)'!$C$2)</f>
        <v>0</v>
      </c>
      <c r="AJ49" s="548">
        <f>SUMIFS(BS_RE33!$H$7:$H$874,BS_RE33!$S$7:$S$874,$AJ$2,BS_RE33!$N$7:$N$874,I49,BS_RE33!$P$7:$P$874,'30 days CF Table(AUD)'!G49,BS_RE33!$F$7:$F$874,'30 days CF Table(AUD)'!$C$2)</f>
        <v>0</v>
      </c>
      <c r="AK49" s="548">
        <f>SUMIFS(BS_RE33!$H$7:$H$874,BS_RE33!$S$7:$S$874,$AK$2,BS_RE33!$N$7:$N$874,I49,BS_RE33!$P$7:$P$874,'30 days CF Table(AUD)'!G49,BS_RE33!$F$7:$F$874,'30 days CF Table(AUD)'!$C$2)</f>
        <v>0</v>
      </c>
      <c r="AL49" s="548">
        <f>SUMIFS(BS_RE33!$H$7:$H$874,BS_RE33!$S$7:$S$874,$AL$2,BS_RE33!$N$7:$N$874,I49,BS_RE33!$P$7:$P$874,'30 days CF Table(AUD)'!G49,BS_RE33!$F$7:$F$874,'30 days CF Table(AUD)'!$C$2)</f>
        <v>0</v>
      </c>
      <c r="AM49" s="548">
        <f>SUMIFS(BS_RE33!$H$7:$H$874,BS_RE33!$S$7:$S$874,$AM$2,BS_RE33!$N$7:$N$874,I49,BS_RE33!$P$7:$P$874,'30 days CF Table(AUD)'!G49,BS_RE33!$F$7:$F$874,'30 days CF Table(AUD)'!$C$2)</f>
        <v>0</v>
      </c>
      <c r="AN49" s="548">
        <f>SUMIFS(BS_RE33!$H$7:$H$874,BS_RE33!$S$7:$S$874,$AN$2,BS_RE33!$N$7:$N$874,I49,BS_RE33!$P$7:$P$874,'30 days CF Table(AUD)'!G49,BS_RE33!$F$7:$F$874,'30 days CF Table(AUD)'!$C$2)</f>
        <v>0</v>
      </c>
      <c r="AO49" s="548">
        <f>SUMIFS(BS_RE33!$H$7:$H$874,BS_RE33!$S$7:$S$874,$AO$2,BS_RE33!$N$7:$N$874,I49,BS_RE33!$P$7:$P$874,'30 days CF Table(AUD)'!G49,BS_RE33!$F$7:$F$874,'30 days CF Table(AUD)'!$C$2)</f>
        <v>0</v>
      </c>
      <c r="AP49" s="549">
        <f>SUMIFS(BS_RE33!$H$7:$H$874,BS_RE33!$S$7:$S$874,$AP$2,BS_RE33!$N$7:$N$874,I49,BS_RE33!$P$7:$P$874,'30 days CF Table(AUD)'!G49,BS_RE33!$F$7:$F$874,'30 days CF Table(AUD)'!$C$2)</f>
        <v>0</v>
      </c>
      <c r="AQ49" s="550"/>
      <c r="AR49" s="380">
        <f>SUMIFS(BS_RE33!$H$7:$H$874,BS_RE33!$S$7:$S$874,$AR$2,BS_RE33!$N$7:$N$874,I49,BS_RE33!$P$7:$P$874,'30 days CF Table(AUD)'!G49,BS_RE33!$F$7:$F$874,'30 days CF Table(AUD)'!$C$2)</f>
        <v>0</v>
      </c>
      <c r="AS49" s="380">
        <f>SUMIFS(BS_RE33!$H$7:$H$874,BS_RE33!$S$7:$S$874,$AS$2,BS_RE33!$N$7:$N$874,I49,BS_RE33!$P$7:$P$874,'30 days CF Table(AUD)'!G49,BS_RE33!$F$7:$F$874,'30 days CF Table(AUD)'!$C$2)</f>
        <v>0</v>
      </c>
      <c r="AT49" s="380">
        <f>SUMIFS(BS_RE33!$H$7:$H$874,BS_RE33!$S$7:$S$874,$AT$2,BS_RE33!$N$7:$N$874,I49,BS_RE33!$P$7:$P$874,'30 days CF Table(AUD)'!G49,BS_RE33!$F$7:$F$874,'30 days CF Table(AUD)'!$C$2)</f>
        <v>0</v>
      </c>
      <c r="AU49" s="380">
        <f>SUMIFS(BS_RE33!$H$7:$H$874,BS_RE33!$S$7:$S$874,$AU$2,BS_RE33!$N$7:$N$874,I49,BS_RE33!$P$7:$P$874,'30 days CF Table(AUD)'!G49,BS_RE33!$F$7:$F$874,'30 days CF Table(AUD)'!$C$2)</f>
        <v>0</v>
      </c>
      <c r="AV49" s="380">
        <f>SUMIFS(BS_RE33!$H$7:$H$874,BS_RE33!$S$7:$S$874,$AV$2,BS_RE33!$N$7:$N$874,I49,BS_RE33!$P$7:$P$874,'30 days CF Table(AUD)'!G49,BS_RE33!$F$7:$F$874,'30 days CF Table(AUD)'!$C$2)</f>
        <v>0</v>
      </c>
      <c r="AW49" s="380">
        <f>SUMIFS(BS_RE33!$H$7:$H$874,BS_RE33!$S$7:$S$874,$AW$2,BS_RE33!$N$7:$N$874,I49,BS_RE33!$P$7:$P$874,'30 days CF Table(AUD)'!G49,BS_RE33!$F$7:$F$874,'30 days CF Table(AUD)'!$C$2)</f>
        <v>0</v>
      </c>
      <c r="AX49" s="380">
        <f>SUMIFS(BS_RE33!$H$7:$H$874,BS_RE33!$S$7:$S$874,$AX$2,BS_RE33!$N$7:$N$874,I49,BS_RE33!$P$7:$P$874,'30 days CF Table(AUD)'!G49,BS_RE33!$F$7:$F$874,'30 days CF Table(AUD)'!$C$2)</f>
        <v>0</v>
      </c>
      <c r="AY49" s="380">
        <f>SUMIFS(BS_RE33!$H$7:$H$874,BS_RE33!$S$7:$S$874,$AY$2,BS_RE33!$N$7:$N$874,I49,BS_RE33!$P$7:$P$874,'30 days CF Table(AUD)'!G49,BS_RE33!$F$7:$F$874,'30 days CF Table(AUD)'!$C$2)</f>
        <v>0</v>
      </c>
      <c r="AZ49" s="380">
        <f>SUMIFS(BS_RE33!$H$7:$H$874,BS_RE33!$S$7:$S$874,$AZ$2,BS_RE33!$N$7:$N$874,I49,BS_RE33!$P$7:$P$874,'30 days CF Table(AUD)'!G49,BS_RE33!$F$7:$F$874,'30 days CF Table(AUD)'!$C$2)</f>
        <v>0</v>
      </c>
      <c r="BA49" s="380">
        <f>SUMIFS(BS_RE33!$H$7:$H$874,BS_RE33!$S$7:$S$874,$BA$2,BS_RE33!$N$7:$N$874,I49,BS_RE33!$P$7:$P$874,'30 days CF Table(AUD)'!G49,BS_RE33!$F$7:$F$874,'30 days CF Table(AUD)'!$C$2)</f>
        <v>0</v>
      </c>
      <c r="BB49" s="380">
        <f>SUMIFS(BS_RE33!$H$7:$H$874,BS_RE33!$S$7:$S$874,$BB$2,BS_RE33!$N$7:$N$874,I49,BS_RE33!$P$7:$P$874,'30 days CF Table(AUD)'!G49,BS_RE33!$F$7:$F$874,'30 days CF Table(AUD)'!$C$2)</f>
        <v>0</v>
      </c>
      <c r="BC49" s="380">
        <f>SUMIFS(BS_RE33!$H$7:$H$874,BS_RE33!$S$7:$S$874,$BC$2,BS_RE33!$N$7:$N$874,I49,BS_RE33!$P$7:$P$874,'30 days CF Table(AUD)'!G49,BS_RE33!$F$7:$F$874,'30 days CF Table(AUD)'!$C$2)</f>
        <v>0</v>
      </c>
      <c r="BD49" s="380">
        <f>SUMIFS(BS_RE33!$H$7:$H$874,BS_RE33!$S$7:$S$874,$BD$2,BS_RE33!$N$7:$N$874,I49,BS_RE33!$P$7:$P$874,'30 days CF Table(AUD)'!G49,BS_RE33!$F$7:$F$874,'30 days CF Table(AUD)'!$C$2)</f>
        <v>0</v>
      </c>
      <c r="BE49" s="380">
        <f>SUMIFS(BS_RE33!$H$7:$H$874,BS_RE33!$S$7:$S$874,$BE$2,BS_RE33!$N$7:$N$874,I49,BS_RE33!$P$7:$P$874,'30 days CF Table(AUD)'!G49,BS_RE33!$F$7:$F$874,'30 days CF Table(AUD)'!$C$2)</f>
        <v>0</v>
      </c>
      <c r="BF49" s="380">
        <f>SUMIFS(BS_RE33!$H$7:$H$874,BS_RE33!$S$7:$S$874,$BF$2,BS_RE33!$N$7:$N$874,I49,BS_RE33!$P$7:$P$874,'30 days CF Table(AUD)'!G49,BS_RE33!$F$7:$F$874,'30 days CF Table(AUD)'!$C$2)</f>
        <v>0</v>
      </c>
      <c r="BG49" s="380">
        <f>SUMIFS(BS_RE33!$H$7:$H$874,BS_RE33!$S$7:$S$874,$BG$2,BS_RE33!$N$7:$N$874,I49,BS_RE33!$P$7:$P$874,'30 days CF Table(AUD)'!G49,BS_RE33!$F$7:$F$874,'30 days CF Table(AUD)'!$C$2)</f>
        <v>0</v>
      </c>
      <c r="BH49" s="380">
        <f>SUMIFS(BS_RE33!$H$7:$H$874,BS_RE33!$S$7:$S$874,$BH$2,BS_RE33!$N$7:$N$874,I49,BS_RE33!$P$7:$P$874,'30 days CF Table(AUD)'!G49,BS_RE33!$F$7:$F$874,'30 days CF Table(AUD)'!$C$2)</f>
        <v>0</v>
      </c>
      <c r="BI49" s="380">
        <f>SUMIFS(BS_RE33!$H$7:$H$874,BS_RE33!$S$7:$S$874,$BI$2,BS_RE33!$N$7:$N$874,I49,BS_RE33!$P$7:$P$874,'30 days CF Table(AUD)'!G49,BS_RE33!$F$7:$F$874,'30 days CF Table(AUD)'!$C$2)</f>
        <v>0</v>
      </c>
      <c r="BJ49" s="380">
        <f>SUMIFS(BS_RE33!$H$7:$H$874,BS_RE33!$S$7:$S$874,$BJ$2,BS_RE33!$N$7:$N$874,I49,BS_RE33!$P$7:$P$874,'30 days CF Table(AUD)'!G49,BS_RE33!$F$7:$F$874,'30 days CF Table(AUD)'!$C$2)</f>
        <v>0</v>
      </c>
      <c r="BK49" s="380">
        <f>SUMIFS(BS_RE33!$H$7:$H$874,BS_RE33!$S$7:$S$874,$BK$2,BS_RE33!$N$7:$N$874,I49,BS_RE33!$P$7:$P$874,'30 days CF Table(AUD)'!G49,BS_RE33!$F$7:$F$874,'30 days CF Table(AUD)'!$C$2)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Table(AUD)'!G50,BS_RE33!$F$7:$F$874,'30 days CF Table(AUD)'!$C$2)</f>
        <v>0</v>
      </c>
      <c r="M50" s="548">
        <f>SUMIFS(BS_RE33!$H$7:$H$874,BS_RE33!$S$7:$S$874,$M$2,BS_RE33!$N$7:$N$874,I50,BS_RE33!$P$7:$P$874,'30 days CF Table(AUD)'!G50,BS_RE33!$F$7:$F$874,'30 days CF Table(AUD)'!$C$2)</f>
        <v>0</v>
      </c>
      <c r="N50" s="548">
        <f>SUMIFS(BS_RE33!$H$7:$H$874,BS_RE33!$S$7:$S$874,$N$2,BS_RE33!$N$7:$N$874,I50,BS_RE33!$P$7:$P$874,'30 days CF Table(AUD)'!G50,BS_RE33!$F$7:$F$874,'30 days CF Table(AUD)'!$C$2)</f>
        <v>0</v>
      </c>
      <c r="O50" s="548">
        <f>SUMIFS(BS_RE33!$H$7:$H$874,BS_RE33!$S$7:$S$874,$O$2,BS_RE33!$N$7:$N$874,I50,BS_RE33!$P$7:$P$874,'30 days CF Table(AUD)'!G50,BS_RE33!$F$7:$F$874,'30 days CF Table(AUD)'!$C$2)</f>
        <v>0</v>
      </c>
      <c r="P50" s="548">
        <f>SUMIFS(BS_RE33!$H$7:$H$874,BS_RE33!$S$7:$S$874,$P$2,BS_RE33!$N$7:$N$874,I50,BS_RE33!$P$7:$P$874,'30 days CF Table(AUD)'!G50,BS_RE33!$F$7:$F$874,'30 days CF Table(AUD)'!$C$2)</f>
        <v>0</v>
      </c>
      <c r="Q50" s="548">
        <f>SUMIFS(BS_RE33!$H$7:$H$874,BS_RE33!$S$7:$S$874,$Q$2,BS_RE33!$N$7:$N$874,I50,BS_RE33!$P$7:$P$874,'30 days CF Table(AUD)'!G50,BS_RE33!$F$7:$F$874,'30 days CF Table(AUD)'!$C$2)</f>
        <v>0</v>
      </c>
      <c r="R50" s="548">
        <f>SUMIFS(BS_RE33!$H$7:$H$874,BS_RE33!$S$7:$S$874,$R$2,BS_RE33!$N$7:$N$874,I50,BS_RE33!$P$7:$P$874,'30 days CF Table(AUD)'!G50,BS_RE33!$F$7:$F$874,'30 days CF Table(AUD)'!$C$2)</f>
        <v>0</v>
      </c>
      <c r="S50" s="548">
        <f>SUMIFS(BS_RE33!$H$7:$H$874,BS_RE33!$S$7:$S$874,$S$2,BS_RE33!$N$7:$N$874,I50,BS_RE33!$P$7:$P$874,'30 days CF Table(AUD)'!G50,BS_RE33!$F$7:$F$874,'30 days CF Table(AUD)'!$C$2)</f>
        <v>0</v>
      </c>
      <c r="T50" s="548">
        <f>SUMIFS(BS_RE33!$H$7:$H$874,BS_RE33!$S$7:$S$874,$T$2,BS_RE33!$N$7:$N$874,I50,BS_RE33!$P$7:$P$874,'30 days CF Table(AUD)'!G50,BS_RE33!$F$7:$F$874,'30 days CF Table(AUD)'!$C$2)</f>
        <v>0</v>
      </c>
      <c r="U50" s="548">
        <f>SUMIFS(BS_RE33!$H$7:$H$874,BS_RE33!$S$7:$S$874,$U$2,BS_RE33!$N$7:$N$874,I50,BS_RE33!$P$7:$P$874,'30 days CF Table(AUD)'!G50,BS_RE33!$F$7:$F$874,'30 days CF Table(AUD)'!$C$2)</f>
        <v>0</v>
      </c>
      <c r="V50" s="548">
        <f>SUMIFS(BS_RE33!$H$7:$H$874,BS_RE33!$S$7:$S$874,$V$2,BS_RE33!$N$7:$N$874,I50,BS_RE33!$P$7:$P$874,'30 days CF Table(AUD)'!G50,BS_RE33!$F$7:$F$874,'30 days CF Table(AUD)'!$C$2)</f>
        <v>0</v>
      </c>
      <c r="W50" s="548">
        <f>SUMIFS(BS_RE33!$H$7:$H$874,BS_RE33!$S$7:$S$874,$W$2,BS_RE33!$N$7:$N$874,I50,BS_RE33!$P$7:$P$874,'30 days CF Table(AUD)'!G50,BS_RE33!$F$7:$F$874,'30 days CF Table(AUD)'!$C$2)</f>
        <v>0</v>
      </c>
      <c r="X50" s="548">
        <f>SUMIFS(BS_RE33!$H$7:$H$874,BS_RE33!$S$7:$S$874,$X$2,BS_RE33!$N$7:$N$874,I50,BS_RE33!$P$7:$P$874,'30 days CF Table(AUD)'!G50,BS_RE33!$F$7:$F$874,'30 days CF Table(AUD)'!$C$2)</f>
        <v>0</v>
      </c>
      <c r="Y50" s="548">
        <f>SUMIFS(BS_RE33!$H$7:$H$874,BS_RE33!$S$7:$S$874,$Y$2,BS_RE33!$N$7:$N$874,I50,BS_RE33!$P$7:$P$874,'30 days CF Table(AUD)'!G50,BS_RE33!$F$7:$F$874,'30 days CF Table(AUD)'!$C$2)</f>
        <v>0</v>
      </c>
      <c r="Z50" s="548">
        <f>SUMIFS(BS_RE33!$H$7:$H$874,BS_RE33!$S$7:$S$874,$Z$2,BS_RE33!$N$7:$N$874,I50,BS_RE33!$P$7:$P$874,'30 days CF Table(AUD)'!G50,BS_RE33!$F$7:$F$874,'30 days CF Table(AUD)'!$C$2)</f>
        <v>0</v>
      </c>
      <c r="AA50" s="548">
        <f>SUMIFS(BS_RE33!$H$7:$H$874,BS_RE33!$S$7:$S$874,$AA$2,BS_RE33!$N$7:$N$874,I50,BS_RE33!$P$7:$P$874,'30 days CF Table(AUD)'!G50,BS_RE33!$F$7:$F$874,'30 days CF Table(AUD)'!$C$2)</f>
        <v>0</v>
      </c>
      <c r="AB50" s="548">
        <f>SUMIFS(BS_RE33!$H$7:$H$874,BS_RE33!$S$7:$S$874,$AB$2,BS_RE33!$N$7:$N$874,I50,BS_RE33!$P$7:$P$874,'30 days CF Table(AUD)'!G50,BS_RE33!$F$7:$F$874,'30 days CF Table(AUD)'!$C$2)</f>
        <v>0</v>
      </c>
      <c r="AC50" s="548">
        <f>SUMIFS(BS_RE33!$H$7:$H$874,BS_RE33!$S$7:$S$874,$AC$2,BS_RE33!$N$7:$N$874,I50,BS_RE33!$P$7:$P$874,'30 days CF Table(AUD)'!G50,BS_RE33!$F$7:$F$874,'30 days CF Table(AUD)'!$C$2)</f>
        <v>0</v>
      </c>
      <c r="AD50" s="548">
        <f>SUMIFS(BS_RE33!$H$7:$H$874,BS_RE33!$S$7:$S$874,$AD$2,BS_RE33!$N$7:$N$874,I50,BS_RE33!$P$7:$P$874,'30 days CF Table(AUD)'!G50,BS_RE33!$F$7:$F$874,'30 days CF Table(AUD)'!$C$2)</f>
        <v>0</v>
      </c>
      <c r="AE50" s="548">
        <f>SUMIFS(BS_RE33!$H$7:$H$874,BS_RE33!$S$7:$S$874,$AE$2,BS_RE33!$N$7:$N$874,I50,BS_RE33!$P$7:$P$874,'30 days CF Table(AUD)'!G50,BS_RE33!$F$7:$F$874,'30 days CF Table(AUD)'!$C$2)</f>
        <v>0</v>
      </c>
      <c r="AF50" s="548">
        <f>SUMIFS(BS_RE33!$H$7:$H$874,BS_RE33!$S$7:$S$874,$AF$2,BS_RE33!$N$7:$N$874,I50,BS_RE33!$P$7:$P$874,'30 days CF Table(AUD)'!G50,BS_RE33!$F$7:$F$874,'30 days CF Table(AUD)'!$C$2)</f>
        <v>0</v>
      </c>
      <c r="AG50" s="548">
        <f>SUMIFS(BS_RE33!$H$7:$H$874,BS_RE33!$S$7:$S$874,$AG$2,BS_RE33!$N$7:$N$874,I50,BS_RE33!$P$7:$P$874,'30 days CF Table(AUD)'!G50,BS_RE33!$F$7:$F$874,'30 days CF Table(AUD)'!$C$2)</f>
        <v>0</v>
      </c>
      <c r="AH50" s="548">
        <f>SUMIFS(BS_RE33!$H$7:$H$874,BS_RE33!$S$7:$S$874,$AH$2,BS_RE33!$N$7:$N$874,I50,BS_RE33!$P$7:$P$874,'30 days CF Table(AUD)'!G50,BS_RE33!$F$7:$F$874,'30 days CF Table(AUD)'!$C$2)</f>
        <v>0</v>
      </c>
      <c r="AI50" s="548">
        <f>SUMIFS(BS_RE33!$H$7:$H$874,BS_RE33!$S$7:$S$874,$AI$2,BS_RE33!$N$7:$N$874,I50,BS_RE33!$P$7:$P$874,'30 days CF Table(AUD)'!G50,BS_RE33!$F$7:$F$874,'30 days CF Table(AUD)'!$C$2)</f>
        <v>0</v>
      </c>
      <c r="AJ50" s="548">
        <f>SUMIFS(BS_RE33!$H$7:$H$874,BS_RE33!$S$7:$S$874,$AJ$2,BS_RE33!$N$7:$N$874,I50,BS_RE33!$P$7:$P$874,'30 days CF Table(AUD)'!G50,BS_RE33!$F$7:$F$874,'30 days CF Table(AUD)'!$C$2)</f>
        <v>0</v>
      </c>
      <c r="AK50" s="548">
        <f>SUMIFS(BS_RE33!$H$7:$H$874,BS_RE33!$S$7:$S$874,$AK$2,BS_RE33!$N$7:$N$874,I50,BS_RE33!$P$7:$P$874,'30 days CF Table(AUD)'!G50,BS_RE33!$F$7:$F$874,'30 days CF Table(AUD)'!$C$2)</f>
        <v>0</v>
      </c>
      <c r="AL50" s="548">
        <f>SUMIFS(BS_RE33!$H$7:$H$874,BS_RE33!$S$7:$S$874,$AL$2,BS_RE33!$N$7:$N$874,I50,BS_RE33!$P$7:$P$874,'30 days CF Table(AUD)'!G50,BS_RE33!$F$7:$F$874,'30 days CF Table(AUD)'!$C$2)</f>
        <v>0</v>
      </c>
      <c r="AM50" s="548">
        <f>SUMIFS(BS_RE33!$H$7:$H$874,BS_RE33!$S$7:$S$874,$AM$2,BS_RE33!$N$7:$N$874,I50,BS_RE33!$P$7:$P$874,'30 days CF Table(AUD)'!G50,BS_RE33!$F$7:$F$874,'30 days CF Table(AUD)'!$C$2)</f>
        <v>0</v>
      </c>
      <c r="AN50" s="548">
        <f>SUMIFS(BS_RE33!$H$7:$H$874,BS_RE33!$S$7:$S$874,$AN$2,BS_RE33!$N$7:$N$874,I50,BS_RE33!$P$7:$P$874,'30 days CF Table(AUD)'!G50,BS_RE33!$F$7:$F$874,'30 days CF Table(AUD)'!$C$2)</f>
        <v>0</v>
      </c>
      <c r="AO50" s="548">
        <f>SUMIFS(BS_RE33!$H$7:$H$874,BS_RE33!$S$7:$S$874,$AO$2,BS_RE33!$N$7:$N$874,I50,BS_RE33!$P$7:$P$874,'30 days CF Table(AUD)'!G50,BS_RE33!$F$7:$F$874,'30 days CF Table(AUD)'!$C$2)</f>
        <v>0</v>
      </c>
      <c r="AP50" s="549">
        <f>SUMIFS(BS_RE33!$H$7:$H$874,BS_RE33!$S$7:$S$874,$AP$2,BS_RE33!$N$7:$N$874,I50,BS_RE33!$P$7:$P$874,'30 days CF Table(AUD)'!G50,BS_RE33!$F$7:$F$874,'30 days CF Table(AUD)'!$C$2)</f>
        <v>0</v>
      </c>
      <c r="AQ50" s="550"/>
      <c r="AR50" s="380">
        <f>SUMIFS(BS_RE33!$H$7:$H$874,BS_RE33!$S$7:$S$874,$AR$2,BS_RE33!$N$7:$N$874,I50,BS_RE33!$P$7:$P$874,'30 days CF Table(AUD)'!G50,BS_RE33!$F$7:$F$874,'30 days CF Table(AUD)'!$C$2)</f>
        <v>0</v>
      </c>
      <c r="AS50" s="380">
        <f>SUMIFS(BS_RE33!$H$7:$H$874,BS_RE33!$S$7:$S$874,$AS$2,BS_RE33!$N$7:$N$874,I50,BS_RE33!$P$7:$P$874,'30 days CF Table(AUD)'!G50,BS_RE33!$F$7:$F$874,'30 days CF Table(AUD)'!$C$2)</f>
        <v>0</v>
      </c>
      <c r="AT50" s="380">
        <f>SUMIFS(BS_RE33!$H$7:$H$874,BS_RE33!$S$7:$S$874,$AT$2,BS_RE33!$N$7:$N$874,I50,BS_RE33!$P$7:$P$874,'30 days CF Table(AUD)'!G50,BS_RE33!$F$7:$F$874,'30 days CF Table(AUD)'!$C$2)</f>
        <v>0</v>
      </c>
      <c r="AU50" s="380">
        <f>SUMIFS(BS_RE33!$H$7:$H$874,BS_RE33!$S$7:$S$874,$AU$2,BS_RE33!$N$7:$N$874,I50,BS_RE33!$P$7:$P$874,'30 days CF Table(AUD)'!G50,BS_RE33!$F$7:$F$874,'30 days CF Table(AUD)'!$C$2)</f>
        <v>0</v>
      </c>
      <c r="AV50" s="380">
        <f>SUMIFS(BS_RE33!$H$7:$H$874,BS_RE33!$S$7:$S$874,$AV$2,BS_RE33!$N$7:$N$874,I50,BS_RE33!$P$7:$P$874,'30 days CF Table(AUD)'!G50,BS_RE33!$F$7:$F$874,'30 days CF Table(AUD)'!$C$2)</f>
        <v>0</v>
      </c>
      <c r="AW50" s="380">
        <f>SUMIFS(BS_RE33!$H$7:$H$874,BS_RE33!$S$7:$S$874,$AW$2,BS_RE33!$N$7:$N$874,I50,BS_RE33!$P$7:$P$874,'30 days CF Table(AUD)'!G50,BS_RE33!$F$7:$F$874,'30 days CF Table(AUD)'!$C$2)</f>
        <v>0</v>
      </c>
      <c r="AX50" s="380">
        <f>SUMIFS(BS_RE33!$H$7:$H$874,BS_RE33!$S$7:$S$874,$AX$2,BS_RE33!$N$7:$N$874,I50,BS_RE33!$P$7:$P$874,'30 days CF Table(AUD)'!G50,BS_RE33!$F$7:$F$874,'30 days CF Table(AUD)'!$C$2)</f>
        <v>0</v>
      </c>
      <c r="AY50" s="380">
        <f>SUMIFS(BS_RE33!$H$7:$H$874,BS_RE33!$S$7:$S$874,$AY$2,BS_RE33!$N$7:$N$874,I50,BS_RE33!$P$7:$P$874,'30 days CF Table(AUD)'!G50,BS_RE33!$F$7:$F$874,'30 days CF Table(AUD)'!$C$2)</f>
        <v>0</v>
      </c>
      <c r="AZ50" s="380">
        <f>SUMIFS(BS_RE33!$H$7:$H$874,BS_RE33!$S$7:$S$874,$AZ$2,BS_RE33!$N$7:$N$874,I50,BS_RE33!$P$7:$P$874,'30 days CF Table(AUD)'!G50,BS_RE33!$F$7:$F$874,'30 days CF Table(AUD)'!$C$2)</f>
        <v>0</v>
      </c>
      <c r="BA50" s="380">
        <f>SUMIFS(BS_RE33!$H$7:$H$874,BS_RE33!$S$7:$S$874,$BA$2,BS_RE33!$N$7:$N$874,I50,BS_RE33!$P$7:$P$874,'30 days CF Table(AUD)'!G50,BS_RE33!$F$7:$F$874,'30 days CF Table(AUD)'!$C$2)</f>
        <v>0</v>
      </c>
      <c r="BB50" s="380">
        <f>SUMIFS(BS_RE33!$H$7:$H$874,BS_RE33!$S$7:$S$874,$BB$2,BS_RE33!$N$7:$N$874,I50,BS_RE33!$P$7:$P$874,'30 days CF Table(AUD)'!G50,BS_RE33!$F$7:$F$874,'30 days CF Table(AUD)'!$C$2)</f>
        <v>0</v>
      </c>
      <c r="BC50" s="380">
        <f>SUMIFS(BS_RE33!$H$7:$H$874,BS_RE33!$S$7:$S$874,$BC$2,BS_RE33!$N$7:$N$874,I50,BS_RE33!$P$7:$P$874,'30 days CF Table(AUD)'!G50,BS_RE33!$F$7:$F$874,'30 days CF Table(AUD)'!$C$2)</f>
        <v>0</v>
      </c>
      <c r="BD50" s="380">
        <f>SUMIFS(BS_RE33!$H$7:$H$874,BS_RE33!$S$7:$S$874,$BD$2,BS_RE33!$N$7:$N$874,I50,BS_RE33!$P$7:$P$874,'30 days CF Table(AUD)'!G50,BS_RE33!$F$7:$F$874,'30 days CF Table(AUD)'!$C$2)</f>
        <v>0</v>
      </c>
      <c r="BE50" s="380">
        <f>SUMIFS(BS_RE33!$H$7:$H$874,BS_RE33!$S$7:$S$874,$BE$2,BS_RE33!$N$7:$N$874,I50,BS_RE33!$P$7:$P$874,'30 days CF Table(AUD)'!G50,BS_RE33!$F$7:$F$874,'30 days CF Table(AUD)'!$C$2)</f>
        <v>0</v>
      </c>
      <c r="BF50" s="380">
        <f>SUMIFS(BS_RE33!$H$7:$H$874,BS_RE33!$S$7:$S$874,$BF$2,BS_RE33!$N$7:$N$874,I50,BS_RE33!$P$7:$P$874,'30 days CF Table(AUD)'!G50,BS_RE33!$F$7:$F$874,'30 days CF Table(AUD)'!$C$2)</f>
        <v>0</v>
      </c>
      <c r="BG50" s="380">
        <f>SUMIFS(BS_RE33!$H$7:$H$874,BS_RE33!$S$7:$S$874,$BG$2,BS_RE33!$N$7:$N$874,I50,BS_RE33!$P$7:$P$874,'30 days CF Table(AUD)'!G50,BS_RE33!$F$7:$F$874,'30 days CF Table(AUD)'!$C$2)</f>
        <v>0</v>
      </c>
      <c r="BH50" s="380">
        <f>SUMIFS(BS_RE33!$H$7:$H$874,BS_RE33!$S$7:$S$874,$BH$2,BS_RE33!$N$7:$N$874,I50,BS_RE33!$P$7:$P$874,'30 days CF Table(AUD)'!G50,BS_RE33!$F$7:$F$874,'30 days CF Table(AUD)'!$C$2)</f>
        <v>0</v>
      </c>
      <c r="BI50" s="380">
        <f>SUMIFS(BS_RE33!$H$7:$H$874,BS_RE33!$S$7:$S$874,$BI$2,BS_RE33!$N$7:$N$874,I50,BS_RE33!$P$7:$P$874,'30 days CF Table(AUD)'!G50,BS_RE33!$F$7:$F$874,'30 days CF Table(AUD)'!$C$2)</f>
        <v>0</v>
      </c>
      <c r="BJ50" s="380">
        <f>SUMIFS(BS_RE33!$H$7:$H$874,BS_RE33!$S$7:$S$874,$BJ$2,BS_RE33!$N$7:$N$874,I50,BS_RE33!$P$7:$P$874,'30 days CF Table(AUD)'!G50,BS_RE33!$F$7:$F$874,'30 days CF Table(AUD)'!$C$2)</f>
        <v>0</v>
      </c>
      <c r="BK50" s="380">
        <f>SUMIFS(BS_RE33!$H$7:$H$874,BS_RE33!$S$7:$S$874,$BK$2,BS_RE33!$N$7:$N$874,I50,BS_RE33!$P$7:$P$874,'30 days CF Table(AUD)'!G50,BS_RE33!$F$7:$F$874,'30 days CF Table(AUD)'!$C$2)</f>
        <v>0</v>
      </c>
    </row>
    <row r="51" spans="3:63" ht="20.25">
      <c r="C51" s="323" t="s">
        <v>92</v>
      </c>
      <c r="D51" s="520" t="s">
        <v>92</v>
      </c>
      <c r="E51" s="108" t="s">
        <v>92</v>
      </c>
      <c r="F51" s="309"/>
      <c r="G51" s="392" t="s">
        <v>530</v>
      </c>
      <c r="H51" s="316">
        <v>0</v>
      </c>
      <c r="I51" s="307" t="s">
        <v>167</v>
      </c>
      <c r="J51" s="478">
        <f t="shared" si="2"/>
        <v>0</v>
      </c>
      <c r="K51" s="547">
        <f t="shared" si="3"/>
        <v>0</v>
      </c>
      <c r="L51" s="548">
        <f>SUMIFS(BS_RE33!$H$7:$H$874,BS_RE33!$S$7:$S$874,$L$2,BS_RE33!$N$7:$N$874,I51,BS_RE33!$P$7:$P$874,'30 days CF Table(AUD)'!G51,BS_RE33!$F$7:$F$874,'30 days CF Table(AUD)'!$C$2)</f>
        <v>0</v>
      </c>
      <c r="M51" s="548">
        <f>SUMIFS(BS_RE33!$H$7:$H$874,BS_RE33!$S$7:$S$874,$M$2,BS_RE33!$N$7:$N$874,I51,BS_RE33!$P$7:$P$874,'30 days CF Table(AUD)'!G51,BS_RE33!$F$7:$F$874,'30 days CF Table(AUD)'!$C$2)</f>
        <v>0</v>
      </c>
      <c r="N51" s="548">
        <f>SUMIFS(BS_RE33!$H$7:$H$874,BS_RE33!$S$7:$S$874,$N$2,BS_RE33!$N$7:$N$874,I51,BS_RE33!$P$7:$P$874,'30 days CF Table(AUD)'!G51,BS_RE33!$F$7:$F$874,'30 days CF Table(AUD)'!$C$2)</f>
        <v>0</v>
      </c>
      <c r="O51" s="548">
        <f>SUMIFS(BS_RE33!$H$7:$H$874,BS_RE33!$S$7:$S$874,$O$2,BS_RE33!$N$7:$N$874,I51,BS_RE33!$P$7:$P$874,'30 days CF Table(AUD)'!G51,BS_RE33!$F$7:$F$874,'30 days CF Table(AUD)'!$C$2)</f>
        <v>0</v>
      </c>
      <c r="P51" s="548">
        <f>SUMIFS(BS_RE33!$H$7:$H$874,BS_RE33!$S$7:$S$874,$P$2,BS_RE33!$N$7:$N$874,I51,BS_RE33!$P$7:$P$874,'30 days CF Table(AUD)'!G51,BS_RE33!$F$7:$F$874,'30 days CF Table(AUD)'!$C$2)</f>
        <v>0</v>
      </c>
      <c r="Q51" s="548">
        <f>SUMIFS(BS_RE33!$H$7:$H$874,BS_RE33!$S$7:$S$874,$Q$2,BS_RE33!$N$7:$N$874,I51,BS_RE33!$P$7:$P$874,'30 days CF Table(AUD)'!G51,BS_RE33!$F$7:$F$874,'30 days CF Table(AUD)'!$C$2)</f>
        <v>0</v>
      </c>
      <c r="R51" s="548">
        <f>SUMIFS(BS_RE33!$H$7:$H$874,BS_RE33!$S$7:$S$874,$R$2,BS_RE33!$N$7:$N$874,I51,BS_RE33!$P$7:$P$874,'30 days CF Table(AUD)'!G51,BS_RE33!$F$7:$F$874,'30 days CF Table(AUD)'!$C$2)</f>
        <v>0</v>
      </c>
      <c r="S51" s="548">
        <f>SUMIFS(BS_RE33!$H$7:$H$874,BS_RE33!$S$7:$S$874,$S$2,BS_RE33!$N$7:$N$874,I51,BS_RE33!$P$7:$P$874,'30 days CF Table(AUD)'!G51,BS_RE33!$F$7:$F$874,'30 days CF Table(AUD)'!$C$2)</f>
        <v>0</v>
      </c>
      <c r="T51" s="548">
        <f>SUMIFS(BS_RE33!$H$7:$H$874,BS_RE33!$S$7:$S$874,$T$2,BS_RE33!$N$7:$N$874,I51,BS_RE33!$P$7:$P$874,'30 days CF Table(AUD)'!G51,BS_RE33!$F$7:$F$874,'30 days CF Table(AUD)'!$C$2)</f>
        <v>0</v>
      </c>
      <c r="U51" s="548">
        <f>SUMIFS(BS_RE33!$H$7:$H$874,BS_RE33!$S$7:$S$874,$U$2,BS_RE33!$N$7:$N$874,I51,BS_RE33!$P$7:$P$874,'30 days CF Table(AUD)'!G51,BS_RE33!$F$7:$F$874,'30 days CF Table(AUD)'!$C$2)</f>
        <v>0</v>
      </c>
      <c r="V51" s="548">
        <f>SUMIFS(BS_RE33!$H$7:$H$874,BS_RE33!$S$7:$S$874,$V$2,BS_RE33!$N$7:$N$874,I51,BS_RE33!$P$7:$P$874,'30 days CF Table(AUD)'!G51,BS_RE33!$F$7:$F$874,'30 days CF Table(AUD)'!$C$2)</f>
        <v>0</v>
      </c>
      <c r="W51" s="548">
        <f>SUMIFS(BS_RE33!$H$7:$H$874,BS_RE33!$S$7:$S$874,$W$2,BS_RE33!$N$7:$N$874,I51,BS_RE33!$P$7:$P$874,'30 days CF Table(AUD)'!G51,BS_RE33!$F$7:$F$874,'30 days CF Table(AUD)'!$C$2)</f>
        <v>0</v>
      </c>
      <c r="X51" s="548">
        <f>SUMIFS(BS_RE33!$H$7:$H$874,BS_RE33!$S$7:$S$874,$X$2,BS_RE33!$N$7:$N$874,I51,BS_RE33!$P$7:$P$874,'30 days CF Table(AUD)'!G51,BS_RE33!$F$7:$F$874,'30 days CF Table(AUD)'!$C$2)</f>
        <v>0</v>
      </c>
      <c r="Y51" s="548">
        <f>SUMIFS(BS_RE33!$H$7:$H$874,BS_RE33!$S$7:$S$874,$Y$2,BS_RE33!$N$7:$N$874,I51,BS_RE33!$P$7:$P$874,'30 days CF Table(AUD)'!G51,BS_RE33!$F$7:$F$874,'30 days CF Table(AUD)'!$C$2)</f>
        <v>0</v>
      </c>
      <c r="Z51" s="548">
        <f>SUMIFS(BS_RE33!$H$7:$H$874,BS_RE33!$S$7:$S$874,$Z$2,BS_RE33!$N$7:$N$874,I51,BS_RE33!$P$7:$P$874,'30 days CF Table(AUD)'!G51,BS_RE33!$F$7:$F$874,'30 days CF Table(AUD)'!$C$2)</f>
        <v>0</v>
      </c>
      <c r="AA51" s="548">
        <f>SUMIFS(BS_RE33!$H$7:$H$874,BS_RE33!$S$7:$S$874,$AA$2,BS_RE33!$N$7:$N$874,I51,BS_RE33!$P$7:$P$874,'30 days CF Table(AUD)'!G51,BS_RE33!$F$7:$F$874,'30 days CF Table(AUD)'!$C$2)</f>
        <v>0</v>
      </c>
      <c r="AB51" s="548">
        <f>SUMIFS(BS_RE33!$H$7:$H$874,BS_RE33!$S$7:$S$874,$AB$2,BS_RE33!$N$7:$N$874,I51,BS_RE33!$P$7:$P$874,'30 days CF Table(AUD)'!G51,BS_RE33!$F$7:$F$874,'30 days CF Table(AUD)'!$C$2)</f>
        <v>0</v>
      </c>
      <c r="AC51" s="548">
        <f>SUMIFS(BS_RE33!$H$7:$H$874,BS_RE33!$S$7:$S$874,$AC$2,BS_RE33!$N$7:$N$874,I51,BS_RE33!$P$7:$P$874,'30 days CF Table(AUD)'!G51,BS_RE33!$F$7:$F$874,'30 days CF Table(AUD)'!$C$2)</f>
        <v>0</v>
      </c>
      <c r="AD51" s="548">
        <f>SUMIFS(BS_RE33!$H$7:$H$874,BS_RE33!$S$7:$S$874,$AD$2,BS_RE33!$N$7:$N$874,I51,BS_RE33!$P$7:$P$874,'30 days CF Table(AUD)'!G51,BS_RE33!$F$7:$F$874,'30 days CF Table(AUD)'!$C$2)</f>
        <v>0</v>
      </c>
      <c r="AE51" s="548">
        <f>SUMIFS(BS_RE33!$H$7:$H$874,BS_RE33!$S$7:$S$874,$AE$2,BS_RE33!$N$7:$N$874,I51,BS_RE33!$P$7:$P$874,'30 days CF Table(AUD)'!G51,BS_RE33!$F$7:$F$874,'30 days CF Table(AUD)'!$C$2)</f>
        <v>0</v>
      </c>
      <c r="AF51" s="548">
        <f>SUMIFS(BS_RE33!$H$7:$H$874,BS_RE33!$S$7:$S$874,$AF$2,BS_RE33!$N$7:$N$874,I51,BS_RE33!$P$7:$P$874,'30 days CF Table(AUD)'!G51,BS_RE33!$F$7:$F$874,'30 days CF Table(AUD)'!$C$2)</f>
        <v>0</v>
      </c>
      <c r="AG51" s="548">
        <f>SUMIFS(BS_RE33!$H$7:$H$874,BS_RE33!$S$7:$S$874,$AG$2,BS_RE33!$N$7:$N$874,I51,BS_RE33!$P$7:$P$874,'30 days CF Table(AUD)'!G51,BS_RE33!$F$7:$F$874,'30 days CF Table(AUD)'!$C$2)</f>
        <v>0</v>
      </c>
      <c r="AH51" s="548">
        <f>SUMIFS(BS_RE33!$H$7:$H$874,BS_RE33!$S$7:$S$874,$AH$2,BS_RE33!$N$7:$N$874,I51,BS_RE33!$P$7:$P$874,'30 days CF Table(AUD)'!G51,BS_RE33!$F$7:$F$874,'30 days CF Table(AUD)'!$C$2)</f>
        <v>0</v>
      </c>
      <c r="AI51" s="548">
        <f>SUMIFS(BS_RE33!$H$7:$H$874,BS_RE33!$S$7:$S$874,$AI$2,BS_RE33!$N$7:$N$874,I51,BS_RE33!$P$7:$P$874,'30 days CF Table(AUD)'!G51,BS_RE33!$F$7:$F$874,'30 days CF Table(AUD)'!$C$2)</f>
        <v>0</v>
      </c>
      <c r="AJ51" s="548">
        <f>SUMIFS(BS_RE33!$H$7:$H$874,BS_RE33!$S$7:$S$874,$AJ$2,BS_RE33!$N$7:$N$874,I51,BS_RE33!$P$7:$P$874,'30 days CF Table(AUD)'!G51,BS_RE33!$F$7:$F$874,'30 days CF Table(AUD)'!$C$2)</f>
        <v>0</v>
      </c>
      <c r="AK51" s="548">
        <f>SUMIFS(BS_RE33!$H$7:$H$874,BS_RE33!$S$7:$S$874,$AK$2,BS_RE33!$N$7:$N$874,I51,BS_RE33!$P$7:$P$874,'30 days CF Table(AUD)'!G51,BS_RE33!$F$7:$F$874,'30 days CF Table(AUD)'!$C$2)</f>
        <v>0</v>
      </c>
      <c r="AL51" s="548">
        <f>SUMIFS(BS_RE33!$H$7:$H$874,BS_RE33!$S$7:$S$874,$AL$2,BS_RE33!$N$7:$N$874,I51,BS_RE33!$P$7:$P$874,'30 days CF Table(AUD)'!G51,BS_RE33!$F$7:$F$874,'30 days CF Table(AUD)'!$C$2)</f>
        <v>0</v>
      </c>
      <c r="AM51" s="548">
        <f>SUMIFS(BS_RE33!$H$7:$H$874,BS_RE33!$S$7:$S$874,$AM$2,BS_RE33!$N$7:$N$874,I51,BS_RE33!$P$7:$P$874,'30 days CF Table(AUD)'!G51,BS_RE33!$F$7:$F$874,'30 days CF Table(AUD)'!$C$2)</f>
        <v>0</v>
      </c>
      <c r="AN51" s="548">
        <f>SUMIFS(BS_RE33!$H$7:$H$874,BS_RE33!$S$7:$S$874,$AN$2,BS_RE33!$N$7:$N$874,I51,BS_RE33!$P$7:$P$874,'30 days CF Table(AUD)'!G51,BS_RE33!$F$7:$F$874,'30 days CF Table(AUD)'!$C$2)</f>
        <v>0</v>
      </c>
      <c r="AO51" s="548">
        <f>SUMIFS(BS_RE33!$H$7:$H$874,BS_RE33!$S$7:$S$874,$AO$2,BS_RE33!$N$7:$N$874,I51,BS_RE33!$P$7:$P$874,'30 days CF Table(AUD)'!G51,BS_RE33!$F$7:$F$874,'30 days CF Table(AUD)'!$C$2)</f>
        <v>0</v>
      </c>
      <c r="AP51" s="549">
        <f>SUMIFS(BS_RE33!$H$7:$H$874,BS_RE33!$S$7:$S$874,$AP$2,BS_RE33!$N$7:$N$874,I51,BS_RE33!$P$7:$P$874,'30 days CF Table(AUD)'!G51,BS_RE33!$F$7:$F$874,'30 days CF Table(AUD)'!$C$2)</f>
        <v>0</v>
      </c>
      <c r="AQ51" s="550"/>
      <c r="AR51" s="380">
        <f>SUMIFS(BS_RE33!$H$7:$H$874,BS_RE33!$S$7:$S$874,$AR$2,BS_RE33!$N$7:$N$874,I51,BS_RE33!$P$7:$P$874,'30 days CF Table(AUD)'!G51,BS_RE33!$F$7:$F$874,'30 days CF Table(AUD)'!$C$2)</f>
        <v>0</v>
      </c>
      <c r="AS51" s="380">
        <f>SUMIFS(BS_RE33!$H$7:$H$874,BS_RE33!$S$7:$S$874,$AS$2,BS_RE33!$N$7:$N$874,I51,BS_RE33!$P$7:$P$874,'30 days CF Table(AUD)'!G51,BS_RE33!$F$7:$F$874,'30 days CF Table(AUD)'!$C$2)</f>
        <v>0</v>
      </c>
      <c r="AT51" s="380">
        <f>SUMIFS(BS_RE33!$H$7:$H$874,BS_RE33!$S$7:$S$874,$AT$2,BS_RE33!$N$7:$N$874,I51,BS_RE33!$P$7:$P$874,'30 days CF Table(AUD)'!G51,BS_RE33!$F$7:$F$874,'30 days CF Table(AUD)'!$C$2)</f>
        <v>0</v>
      </c>
      <c r="AU51" s="380">
        <f>SUMIFS(BS_RE33!$H$7:$H$874,BS_RE33!$S$7:$S$874,$AU$2,BS_RE33!$N$7:$N$874,I51,BS_RE33!$P$7:$P$874,'30 days CF Table(AUD)'!G51,BS_RE33!$F$7:$F$874,'30 days CF Table(AUD)'!$C$2)</f>
        <v>0</v>
      </c>
      <c r="AV51" s="380">
        <f>SUMIFS(BS_RE33!$H$7:$H$874,BS_RE33!$S$7:$S$874,$AV$2,BS_RE33!$N$7:$N$874,I51,BS_RE33!$P$7:$P$874,'30 days CF Table(AUD)'!G51,BS_RE33!$F$7:$F$874,'30 days CF Table(AUD)'!$C$2)</f>
        <v>0</v>
      </c>
      <c r="AW51" s="380">
        <f>SUMIFS(BS_RE33!$H$7:$H$874,BS_RE33!$S$7:$S$874,$AW$2,BS_RE33!$N$7:$N$874,I51,BS_RE33!$P$7:$P$874,'30 days CF Table(AUD)'!G51,BS_RE33!$F$7:$F$874,'30 days CF Table(AUD)'!$C$2)</f>
        <v>0</v>
      </c>
      <c r="AX51" s="380">
        <f>SUMIFS(BS_RE33!$H$7:$H$874,BS_RE33!$S$7:$S$874,$AX$2,BS_RE33!$N$7:$N$874,I51,BS_RE33!$P$7:$P$874,'30 days CF Table(AUD)'!G51,BS_RE33!$F$7:$F$874,'30 days CF Table(AUD)'!$C$2)</f>
        <v>0</v>
      </c>
      <c r="AY51" s="380">
        <f>SUMIFS(BS_RE33!$H$7:$H$874,BS_RE33!$S$7:$S$874,$AY$2,BS_RE33!$N$7:$N$874,I51,BS_RE33!$P$7:$P$874,'30 days CF Table(AUD)'!G51,BS_RE33!$F$7:$F$874,'30 days CF Table(AUD)'!$C$2)</f>
        <v>0</v>
      </c>
      <c r="AZ51" s="380">
        <f>SUMIFS(BS_RE33!$H$7:$H$874,BS_RE33!$S$7:$S$874,$AZ$2,BS_RE33!$N$7:$N$874,I51,BS_RE33!$P$7:$P$874,'30 days CF Table(AUD)'!G51,BS_RE33!$F$7:$F$874,'30 days CF Table(AUD)'!$C$2)</f>
        <v>0</v>
      </c>
      <c r="BA51" s="380">
        <f>SUMIFS(BS_RE33!$H$7:$H$874,BS_RE33!$S$7:$S$874,$BA$2,BS_RE33!$N$7:$N$874,I51,BS_RE33!$P$7:$P$874,'30 days CF Table(AUD)'!G51,BS_RE33!$F$7:$F$874,'30 days CF Table(AUD)'!$C$2)</f>
        <v>0</v>
      </c>
      <c r="BB51" s="380">
        <f>SUMIFS(BS_RE33!$H$7:$H$874,BS_RE33!$S$7:$S$874,$BB$2,BS_RE33!$N$7:$N$874,I51,BS_RE33!$P$7:$P$874,'30 days CF Table(AUD)'!G51,BS_RE33!$F$7:$F$874,'30 days CF Table(AUD)'!$C$2)</f>
        <v>0</v>
      </c>
      <c r="BC51" s="380">
        <f>SUMIFS(BS_RE33!$H$7:$H$874,BS_RE33!$S$7:$S$874,$BC$2,BS_RE33!$N$7:$N$874,I51,BS_RE33!$P$7:$P$874,'30 days CF Table(AUD)'!G51,BS_RE33!$F$7:$F$874,'30 days CF Table(AUD)'!$C$2)</f>
        <v>0</v>
      </c>
      <c r="BD51" s="380">
        <f>SUMIFS(BS_RE33!$H$7:$H$874,BS_RE33!$S$7:$S$874,$BD$2,BS_RE33!$N$7:$N$874,I51,BS_RE33!$P$7:$P$874,'30 days CF Table(AUD)'!G51,BS_RE33!$F$7:$F$874,'30 days CF Table(AUD)'!$C$2)</f>
        <v>0</v>
      </c>
      <c r="BE51" s="380">
        <f>SUMIFS(BS_RE33!$H$7:$H$874,BS_RE33!$S$7:$S$874,$BE$2,BS_RE33!$N$7:$N$874,I51,BS_RE33!$P$7:$P$874,'30 days CF Table(AUD)'!G51,BS_RE33!$F$7:$F$874,'30 days CF Table(AUD)'!$C$2)</f>
        <v>0</v>
      </c>
      <c r="BF51" s="380">
        <f>SUMIFS(BS_RE33!$H$7:$H$874,BS_RE33!$S$7:$S$874,$BF$2,BS_RE33!$N$7:$N$874,I51,BS_RE33!$P$7:$P$874,'30 days CF Table(AUD)'!G51,BS_RE33!$F$7:$F$874,'30 days CF Table(AUD)'!$C$2)</f>
        <v>0</v>
      </c>
      <c r="BG51" s="380">
        <f>SUMIFS(BS_RE33!$H$7:$H$874,BS_RE33!$S$7:$S$874,$BG$2,BS_RE33!$N$7:$N$874,I51,BS_RE33!$P$7:$P$874,'30 days CF Table(AUD)'!G51,BS_RE33!$F$7:$F$874,'30 days CF Table(AUD)'!$C$2)</f>
        <v>0</v>
      </c>
      <c r="BH51" s="380">
        <f>SUMIFS(BS_RE33!$H$7:$H$874,BS_RE33!$S$7:$S$874,$BH$2,BS_RE33!$N$7:$N$874,I51,BS_RE33!$P$7:$P$874,'30 days CF Table(AUD)'!G51,BS_RE33!$F$7:$F$874,'30 days CF Table(AUD)'!$C$2)</f>
        <v>0</v>
      </c>
      <c r="BI51" s="380">
        <f>SUMIFS(BS_RE33!$H$7:$H$874,BS_RE33!$S$7:$S$874,$BI$2,BS_RE33!$N$7:$N$874,I51,BS_RE33!$P$7:$P$874,'30 days CF Table(AUD)'!G51,BS_RE33!$F$7:$F$874,'30 days CF Table(AUD)'!$C$2)</f>
        <v>0</v>
      </c>
      <c r="BJ51" s="380">
        <f>SUMIFS(BS_RE33!$H$7:$H$874,BS_RE33!$S$7:$S$874,$BJ$2,BS_RE33!$N$7:$N$874,I51,BS_RE33!$P$7:$P$874,'30 days CF Table(AUD)'!G51,BS_RE33!$F$7:$F$874,'30 days CF Table(AUD)'!$C$2)</f>
        <v>0</v>
      </c>
      <c r="BK51" s="380">
        <f>SUMIFS(BS_RE33!$H$7:$H$874,BS_RE33!$S$7:$S$874,$BK$2,BS_RE33!$N$7:$N$874,I51,BS_RE33!$P$7:$P$874,'30 days CF Table(AUD)'!G51,BS_RE33!$F$7:$F$874,'30 days CF Table(AUD)'!$C$2)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Table(AUD)'!G52,BS_RE33!$F$7:$F$874,'30 days CF Table(AUD)'!$C$2)</f>
        <v>0</v>
      </c>
      <c r="M52" s="337">
        <f>SUMIFS(BS_RE33!$H$7:$H$874,BS_RE33!$S$7:$S$874,$M$2,BS_RE33!$N$7:$N$874,I52,BS_RE33!$P$7:$P$874,'30 days CF Table(AUD)'!G52,BS_RE33!$F$7:$F$874,'30 days CF Table(AUD)'!$C$2)</f>
        <v>0</v>
      </c>
      <c r="N52" s="337">
        <f>SUMIFS(BS_RE33!$H$7:$H$874,BS_RE33!$S$7:$S$874,$N$2,BS_RE33!$N$7:$N$874,I52,BS_RE33!$P$7:$P$874,'30 days CF Table(AUD)'!G52,BS_RE33!$F$7:$F$874,'30 days CF Table(AUD)'!$C$2)</f>
        <v>0</v>
      </c>
      <c r="O52" s="337">
        <f>SUMIFS(BS_RE33!$H$7:$H$874,BS_RE33!$S$7:$S$874,$O$2,BS_RE33!$N$7:$N$874,I52,BS_RE33!$P$7:$P$874,'30 days CF Table(AUD)'!G52,BS_RE33!$F$7:$F$874,'30 days CF Table(AUD)'!$C$2)</f>
        <v>0</v>
      </c>
      <c r="P52" s="337">
        <f>SUMIFS(BS_RE33!$H$7:$H$874,BS_RE33!$S$7:$S$874,$P$2,BS_RE33!$N$7:$N$874,I52,BS_RE33!$P$7:$P$874,'30 days CF Table(AUD)'!G52,BS_RE33!$F$7:$F$874,'30 days CF Table(AUD)'!$C$2)</f>
        <v>0</v>
      </c>
      <c r="Q52" s="337">
        <f>SUMIFS(BS_RE33!$H$7:$H$874,BS_RE33!$S$7:$S$874,$Q$2,BS_RE33!$N$7:$N$874,I52,BS_RE33!$P$7:$P$874,'30 days CF Table(AUD)'!G52,BS_RE33!$F$7:$F$874,'30 days CF Table(AUD)'!$C$2)</f>
        <v>0</v>
      </c>
      <c r="R52" s="337">
        <f>SUMIFS(BS_RE33!$H$7:$H$874,BS_RE33!$S$7:$S$874,$R$2,BS_RE33!$N$7:$N$874,I52,BS_RE33!$P$7:$P$874,'30 days CF Table(AUD)'!G52,BS_RE33!$F$7:$F$874,'30 days CF Table(AUD)'!$C$2)</f>
        <v>0</v>
      </c>
      <c r="S52" s="337">
        <f>SUMIFS(BS_RE33!$H$7:$H$874,BS_RE33!$S$7:$S$874,$S$2,BS_RE33!$N$7:$N$874,I52,BS_RE33!$P$7:$P$874,'30 days CF Table(AUD)'!G52,BS_RE33!$F$7:$F$874,'30 days CF Table(AUD)'!$C$2)</f>
        <v>0</v>
      </c>
      <c r="T52" s="337">
        <f>SUMIFS(BS_RE33!$H$7:$H$874,BS_RE33!$S$7:$S$874,$T$2,BS_RE33!$N$7:$N$874,I52,BS_RE33!$P$7:$P$874,'30 days CF Table(AUD)'!G52,BS_RE33!$F$7:$F$874,'30 days CF Table(AUD)'!$C$2)</f>
        <v>0</v>
      </c>
      <c r="U52" s="337">
        <f>SUMIFS(BS_RE33!$H$7:$H$874,BS_RE33!$S$7:$S$874,$U$2,BS_RE33!$N$7:$N$874,I52,BS_RE33!$P$7:$P$874,'30 days CF Table(AUD)'!G52,BS_RE33!$F$7:$F$874,'30 days CF Table(AUD)'!$C$2)</f>
        <v>0</v>
      </c>
      <c r="V52" s="337">
        <f>SUMIFS(BS_RE33!$H$7:$H$874,BS_RE33!$S$7:$S$874,$V$2,BS_RE33!$N$7:$N$874,I52,BS_RE33!$P$7:$P$874,'30 days CF Table(AUD)'!G52,BS_RE33!$F$7:$F$874,'30 days CF Table(AUD)'!$C$2)</f>
        <v>0</v>
      </c>
      <c r="W52" s="337">
        <f>SUMIFS(BS_RE33!$H$7:$H$874,BS_RE33!$S$7:$S$874,$W$2,BS_RE33!$N$7:$N$874,I52,BS_RE33!$P$7:$P$874,'30 days CF Table(AUD)'!G52,BS_RE33!$F$7:$F$874,'30 days CF Table(AUD)'!$C$2)</f>
        <v>0</v>
      </c>
      <c r="X52" s="337">
        <f>SUMIFS(BS_RE33!$H$7:$H$874,BS_RE33!$S$7:$S$874,$X$2,BS_RE33!$N$7:$N$874,I52,BS_RE33!$P$7:$P$874,'30 days CF Table(AUD)'!G52,BS_RE33!$F$7:$F$874,'30 days CF Table(AUD)'!$C$2)</f>
        <v>0</v>
      </c>
      <c r="Y52" s="337">
        <f>SUMIFS(BS_RE33!$H$7:$H$874,BS_RE33!$S$7:$S$874,$Y$2,BS_RE33!$N$7:$N$874,I52,BS_RE33!$P$7:$P$874,'30 days CF Table(AUD)'!G52,BS_RE33!$F$7:$F$874,'30 days CF Table(AUD)'!$C$2)</f>
        <v>0</v>
      </c>
      <c r="Z52" s="337">
        <f>SUMIFS(BS_RE33!$H$7:$H$874,BS_RE33!$S$7:$S$874,$Z$2,BS_RE33!$N$7:$N$874,I52,BS_RE33!$P$7:$P$874,'30 days CF Table(AUD)'!G52,BS_RE33!$F$7:$F$874,'30 days CF Table(AUD)'!$C$2)</f>
        <v>0</v>
      </c>
      <c r="AA52" s="337">
        <f>SUMIFS(BS_RE33!$H$7:$H$874,BS_RE33!$S$7:$S$874,$AA$2,BS_RE33!$N$7:$N$874,I52,BS_RE33!$P$7:$P$874,'30 days CF Table(AUD)'!G52,BS_RE33!$F$7:$F$874,'30 days CF Table(AUD)'!$C$2)</f>
        <v>0</v>
      </c>
      <c r="AB52" s="337">
        <f>SUMIFS(BS_RE33!$H$7:$H$874,BS_RE33!$S$7:$S$874,$AB$2,BS_RE33!$N$7:$N$874,I52,BS_RE33!$P$7:$P$874,'30 days CF Table(AUD)'!G52,BS_RE33!$F$7:$F$874,'30 days CF Table(AUD)'!$C$2)</f>
        <v>0</v>
      </c>
      <c r="AC52" s="337">
        <f>SUMIFS(BS_RE33!$H$7:$H$874,BS_RE33!$S$7:$S$874,$AC$2,BS_RE33!$N$7:$N$874,I52,BS_RE33!$P$7:$P$874,'30 days CF Table(AUD)'!G52,BS_RE33!$F$7:$F$874,'30 days CF Table(AUD)'!$C$2)</f>
        <v>0</v>
      </c>
      <c r="AD52" s="337">
        <f>SUMIFS(BS_RE33!$H$7:$H$874,BS_RE33!$S$7:$S$874,$AD$2,BS_RE33!$N$7:$N$874,I52,BS_RE33!$P$7:$P$874,'30 days CF Table(AUD)'!G52,BS_RE33!$F$7:$F$874,'30 days CF Table(AUD)'!$C$2)</f>
        <v>0</v>
      </c>
      <c r="AE52" s="337">
        <f>SUMIFS(BS_RE33!$H$7:$H$874,BS_RE33!$S$7:$S$874,$AE$2,BS_RE33!$N$7:$N$874,I52,BS_RE33!$P$7:$P$874,'30 days CF Table(AUD)'!G52,BS_RE33!$F$7:$F$874,'30 days CF Table(AUD)'!$C$2)</f>
        <v>0</v>
      </c>
      <c r="AF52" s="337">
        <f>SUMIFS(BS_RE33!$H$7:$H$874,BS_RE33!$S$7:$S$874,$AF$2,BS_RE33!$N$7:$N$874,I52,BS_RE33!$P$7:$P$874,'30 days CF Table(AUD)'!G52,BS_RE33!$F$7:$F$874,'30 days CF Table(AUD)'!$C$2)</f>
        <v>0</v>
      </c>
      <c r="AG52" s="337">
        <f>SUMIFS(BS_RE33!$H$7:$H$874,BS_RE33!$S$7:$S$874,$AG$2,BS_RE33!$N$7:$N$874,I52,BS_RE33!$P$7:$P$874,'30 days CF Table(AUD)'!G52,BS_RE33!$F$7:$F$874,'30 days CF Table(AUD)'!$C$2)</f>
        <v>0</v>
      </c>
      <c r="AH52" s="337">
        <f>SUMIFS(BS_RE33!$H$7:$H$874,BS_RE33!$S$7:$S$874,$AH$2,BS_RE33!$N$7:$N$874,I52,BS_RE33!$P$7:$P$874,'30 days CF Table(AUD)'!G52,BS_RE33!$F$7:$F$874,'30 days CF Table(AUD)'!$C$2)</f>
        <v>0</v>
      </c>
      <c r="AI52" s="337">
        <f>SUMIFS(BS_RE33!$H$7:$H$874,BS_RE33!$S$7:$S$874,$AI$2,BS_RE33!$N$7:$N$874,I52,BS_RE33!$P$7:$P$874,'30 days CF Table(AUD)'!G52,BS_RE33!$F$7:$F$874,'30 days CF Table(AUD)'!$C$2)</f>
        <v>0</v>
      </c>
      <c r="AJ52" s="337">
        <f>SUMIFS(BS_RE33!$H$7:$H$874,BS_RE33!$S$7:$S$874,$AJ$2,BS_RE33!$N$7:$N$874,I52,BS_RE33!$P$7:$P$874,'30 days CF Table(AUD)'!G52,BS_RE33!$F$7:$F$874,'30 days CF Table(AUD)'!$C$2)</f>
        <v>0</v>
      </c>
      <c r="AK52" s="337">
        <f>SUMIFS(BS_RE33!$H$7:$H$874,BS_RE33!$S$7:$S$874,$AK$2,BS_RE33!$N$7:$N$874,I52,BS_RE33!$P$7:$P$874,'30 days CF Table(AUD)'!G52,BS_RE33!$F$7:$F$874,'30 days CF Table(AUD)'!$C$2)</f>
        <v>0</v>
      </c>
      <c r="AL52" s="337">
        <f>SUMIFS(BS_RE33!$H$7:$H$874,BS_RE33!$S$7:$S$874,$AL$2,BS_RE33!$N$7:$N$874,I52,BS_RE33!$P$7:$P$874,'30 days CF Table(AUD)'!G52,BS_RE33!$F$7:$F$874,'30 days CF Table(AUD)'!$C$2)</f>
        <v>0</v>
      </c>
      <c r="AM52" s="337">
        <f>SUMIFS(BS_RE33!$H$7:$H$874,BS_RE33!$S$7:$S$874,$AM$2,BS_RE33!$N$7:$N$874,I52,BS_RE33!$P$7:$P$874,'30 days CF Table(AUD)'!G52,BS_RE33!$F$7:$F$874,'30 days CF Table(AUD)'!$C$2)</f>
        <v>0</v>
      </c>
      <c r="AN52" s="337">
        <f>SUMIFS(BS_RE33!$H$7:$H$874,BS_RE33!$S$7:$S$874,$AN$2,BS_RE33!$N$7:$N$874,I52,BS_RE33!$P$7:$P$874,'30 days CF Table(AUD)'!G52,BS_RE33!$F$7:$F$874,'30 days CF Table(AUD)'!$C$2)</f>
        <v>0</v>
      </c>
      <c r="AO52" s="337">
        <f>SUMIFS(BS_RE33!$H$7:$H$874,BS_RE33!$S$7:$S$874,$AO$2,BS_RE33!$N$7:$N$874,I52,BS_RE33!$P$7:$P$874,'30 days CF Table(AUD)'!G52,BS_RE33!$F$7:$F$874,'30 days CF Table(AUD)'!$C$2)</f>
        <v>0</v>
      </c>
      <c r="AP52" s="338">
        <f>SUMIFS(BS_RE33!$H$7:$H$874,BS_RE33!$S$7:$S$874,$AP$2,BS_RE33!$N$7:$N$874,I52,BS_RE33!$P$7:$P$874,'30 days CF Table(AUD)'!G52,BS_RE33!$F$7:$F$874,'30 days CF Table(AUD)'!$C$2)</f>
        <v>0</v>
      </c>
      <c r="AR52" s="379">
        <f>SUMIFS(BS_RE33!$H$7:$H$874,BS_RE33!$S$7:$S$874,$AR$2,BS_RE33!$N$7:$N$874,I52,BS_RE33!$P$7:$P$874,'30 days CF Table(AUD)'!G52,BS_RE33!$F$7:$F$874,'30 days CF Table(AUD)'!$C$2)</f>
        <v>0</v>
      </c>
      <c r="AS52" s="379">
        <f>SUMIFS(BS_RE33!$H$7:$H$874,BS_RE33!$S$7:$S$874,$AS$2,BS_RE33!$N$7:$N$874,I52,BS_RE33!$P$7:$P$874,'30 days CF Table(AUD)'!G52,BS_RE33!$F$7:$F$874,'30 days CF Table(AUD)'!$C$2)</f>
        <v>0</v>
      </c>
      <c r="AT52" s="379">
        <f>SUMIFS(BS_RE33!$H$7:$H$874,BS_RE33!$S$7:$S$874,$AT$2,BS_RE33!$N$7:$N$874,I52,BS_RE33!$P$7:$P$874,'30 days CF Table(AUD)'!G52,BS_RE33!$F$7:$F$874,'30 days CF Table(AUD)'!$C$2)</f>
        <v>0</v>
      </c>
      <c r="AU52" s="379">
        <f>SUMIFS(BS_RE33!$H$7:$H$874,BS_RE33!$S$7:$S$874,$AU$2,BS_RE33!$N$7:$N$874,I52,BS_RE33!$P$7:$P$874,'30 days CF Table(AUD)'!G52,BS_RE33!$F$7:$F$874,'30 days CF Table(AUD)'!$C$2)</f>
        <v>0</v>
      </c>
      <c r="AV52" s="379">
        <f>SUMIFS(BS_RE33!$H$7:$H$874,BS_RE33!$S$7:$S$874,$AV$2,BS_RE33!$N$7:$N$874,I52,BS_RE33!$P$7:$P$874,'30 days CF Table(AUD)'!G52,BS_RE33!$F$7:$F$874,'30 days CF Table(AUD)'!$C$2)</f>
        <v>0</v>
      </c>
      <c r="AW52" s="379">
        <f>SUMIFS(BS_RE33!$H$7:$H$874,BS_RE33!$S$7:$S$874,$AW$2,BS_RE33!$N$7:$N$874,I52,BS_RE33!$P$7:$P$874,'30 days CF Table(AUD)'!G52,BS_RE33!$F$7:$F$874,'30 days CF Table(AUD)'!$C$2)</f>
        <v>0</v>
      </c>
      <c r="AX52" s="379">
        <f>SUMIFS(BS_RE33!$H$7:$H$874,BS_RE33!$S$7:$S$874,$AX$2,BS_RE33!$N$7:$N$874,I52,BS_RE33!$P$7:$P$874,'30 days CF Table(AUD)'!G52,BS_RE33!$F$7:$F$874,'30 days CF Table(AUD)'!$C$2)</f>
        <v>0</v>
      </c>
      <c r="AY52" s="379">
        <f>SUMIFS(BS_RE33!$H$7:$H$874,BS_RE33!$S$7:$S$874,$AY$2,BS_RE33!$N$7:$N$874,I52,BS_RE33!$P$7:$P$874,'30 days CF Table(AUD)'!G52,BS_RE33!$F$7:$F$874,'30 days CF Table(AUD)'!$C$2)</f>
        <v>0</v>
      </c>
      <c r="AZ52" s="379">
        <f>SUMIFS(BS_RE33!$H$7:$H$874,BS_RE33!$S$7:$S$874,$AZ$2,BS_RE33!$N$7:$N$874,I52,BS_RE33!$P$7:$P$874,'30 days CF Table(AUD)'!G52,BS_RE33!$F$7:$F$874,'30 days CF Table(AUD)'!$C$2)</f>
        <v>0</v>
      </c>
      <c r="BA52" s="379">
        <f>SUMIFS(BS_RE33!$H$7:$H$874,BS_RE33!$S$7:$S$874,$BA$2,BS_RE33!$N$7:$N$874,I52,BS_RE33!$P$7:$P$874,'30 days CF Table(AUD)'!G52,BS_RE33!$F$7:$F$874,'30 days CF Table(AUD)'!$C$2)</f>
        <v>0</v>
      </c>
      <c r="BB52" s="379">
        <f>SUMIFS(BS_RE33!$H$7:$H$874,BS_RE33!$S$7:$S$874,$BB$2,BS_RE33!$N$7:$N$874,I52,BS_RE33!$P$7:$P$874,'30 days CF Table(AUD)'!G52,BS_RE33!$F$7:$F$874,'30 days CF Table(AUD)'!$C$2)</f>
        <v>0</v>
      </c>
      <c r="BC52" s="379">
        <f>SUMIFS(BS_RE33!$H$7:$H$874,BS_RE33!$S$7:$S$874,$BC$2,BS_RE33!$N$7:$N$874,I52,BS_RE33!$P$7:$P$874,'30 days CF Table(AUD)'!G52,BS_RE33!$F$7:$F$874,'30 days CF Table(AUD)'!$C$2)</f>
        <v>0</v>
      </c>
      <c r="BD52" s="379">
        <f>SUMIFS(BS_RE33!$H$7:$H$874,BS_RE33!$S$7:$S$874,$BD$2,BS_RE33!$N$7:$N$874,I52,BS_RE33!$P$7:$P$874,'30 days CF Table(AUD)'!G52,BS_RE33!$F$7:$F$874,'30 days CF Table(AUD)'!$C$2)</f>
        <v>0</v>
      </c>
      <c r="BE52" s="379">
        <f>SUMIFS(BS_RE33!$H$7:$H$874,BS_RE33!$S$7:$S$874,$BE$2,BS_RE33!$N$7:$N$874,I52,BS_RE33!$P$7:$P$874,'30 days CF Table(AUD)'!G52,BS_RE33!$F$7:$F$874,'30 days CF Table(AUD)'!$C$2)</f>
        <v>0</v>
      </c>
      <c r="BF52" s="379">
        <f>SUMIFS(BS_RE33!$H$7:$H$874,BS_RE33!$S$7:$S$874,$BF$2,BS_RE33!$N$7:$N$874,I52,BS_RE33!$P$7:$P$874,'30 days CF Table(AUD)'!G52,BS_RE33!$F$7:$F$874,'30 days CF Table(AUD)'!$C$2)</f>
        <v>0</v>
      </c>
      <c r="BG52" s="379">
        <f>SUMIFS(BS_RE33!$H$7:$H$874,BS_RE33!$S$7:$S$874,$BG$2,BS_RE33!$N$7:$N$874,I52,BS_RE33!$P$7:$P$874,'30 days CF Table(AUD)'!G52,BS_RE33!$F$7:$F$874,'30 days CF Table(AUD)'!$C$2)</f>
        <v>0</v>
      </c>
      <c r="BH52" s="379">
        <f>SUMIFS(BS_RE33!$H$7:$H$874,BS_RE33!$S$7:$S$874,$BH$2,BS_RE33!$N$7:$N$874,I52,BS_RE33!$P$7:$P$874,'30 days CF Table(AUD)'!G52,BS_RE33!$F$7:$F$874,'30 days CF Table(AUD)'!$C$2)</f>
        <v>0</v>
      </c>
      <c r="BI52" s="379">
        <f>SUMIFS(BS_RE33!$H$7:$H$874,BS_RE33!$S$7:$S$874,$BI$2,BS_RE33!$N$7:$N$874,I52,BS_RE33!$P$7:$P$874,'30 days CF Table(AUD)'!G52,BS_RE33!$F$7:$F$874,'30 days CF Table(AUD)'!$C$2)</f>
        <v>0</v>
      </c>
      <c r="BJ52" s="379">
        <f>SUMIFS(BS_RE33!$H$7:$H$874,BS_RE33!$S$7:$S$874,$BJ$2,BS_RE33!$N$7:$N$874,I52,BS_RE33!$P$7:$P$874,'30 days CF Table(AUD)'!G52,BS_RE33!$F$7:$F$874,'30 days CF Table(AUD)'!$C$2)</f>
        <v>0</v>
      </c>
      <c r="BK52" s="379">
        <f>SUMIFS(BS_RE33!$H$7:$H$874,BS_RE33!$S$7:$S$874,$BK$2,BS_RE33!$N$7:$N$874,I52,BS_RE33!$P$7:$P$874,'30 days CF Table(AUD)'!G52,BS_RE33!$F$7:$F$874,'30 days CF Table(AUD)'!$C$2)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Table(AUD)'!G53,BS_RE33!$F$7:$F$874,'30 days CF Table(AUD)'!$C$2)</f>
        <v>0</v>
      </c>
      <c r="M53" s="337">
        <f>SUMIFS(BS_RE33!$H$7:$H$874,BS_RE33!$S$7:$S$874,$M$2,BS_RE33!$N$7:$N$874,I53,BS_RE33!$P$7:$P$874,'30 days CF Table(AUD)'!G53,BS_RE33!$F$7:$F$874,'30 days CF Table(AUD)'!$C$2)</f>
        <v>0</v>
      </c>
      <c r="N53" s="337">
        <f>SUMIFS(BS_RE33!$H$7:$H$874,BS_RE33!$S$7:$S$874,$N$2,BS_RE33!$N$7:$N$874,I53,BS_RE33!$P$7:$P$874,'30 days CF Table(AUD)'!G53,BS_RE33!$F$7:$F$874,'30 days CF Table(AUD)'!$C$2)</f>
        <v>0</v>
      </c>
      <c r="O53" s="337">
        <f>SUMIFS(BS_RE33!$H$7:$H$874,BS_RE33!$S$7:$S$874,$O$2,BS_RE33!$N$7:$N$874,I53,BS_RE33!$P$7:$P$874,'30 days CF Table(AUD)'!G53,BS_RE33!$F$7:$F$874,'30 days CF Table(AUD)'!$C$2)</f>
        <v>0</v>
      </c>
      <c r="P53" s="337">
        <f>SUMIFS(BS_RE33!$H$7:$H$874,BS_RE33!$S$7:$S$874,$P$2,BS_RE33!$N$7:$N$874,I53,BS_RE33!$P$7:$P$874,'30 days CF Table(AUD)'!G53,BS_RE33!$F$7:$F$874,'30 days CF Table(AUD)'!$C$2)</f>
        <v>0</v>
      </c>
      <c r="Q53" s="337">
        <f>SUMIFS(BS_RE33!$H$7:$H$874,BS_RE33!$S$7:$S$874,$Q$2,BS_RE33!$N$7:$N$874,I53,BS_RE33!$P$7:$P$874,'30 days CF Table(AUD)'!G53,BS_RE33!$F$7:$F$874,'30 days CF Table(AUD)'!$C$2)</f>
        <v>0</v>
      </c>
      <c r="R53" s="337">
        <f>SUMIFS(BS_RE33!$H$7:$H$874,BS_RE33!$S$7:$S$874,$R$2,BS_RE33!$N$7:$N$874,I53,BS_RE33!$P$7:$P$874,'30 days CF Table(AUD)'!G53,BS_RE33!$F$7:$F$874,'30 days CF Table(AUD)'!$C$2)</f>
        <v>0</v>
      </c>
      <c r="S53" s="337">
        <f>SUMIFS(BS_RE33!$H$7:$H$874,BS_RE33!$S$7:$S$874,$S$2,BS_RE33!$N$7:$N$874,I53,BS_RE33!$P$7:$P$874,'30 days CF Table(AUD)'!G53,BS_RE33!$F$7:$F$874,'30 days CF Table(AUD)'!$C$2)</f>
        <v>0</v>
      </c>
      <c r="T53" s="337">
        <f>SUMIFS(BS_RE33!$H$7:$H$874,BS_RE33!$S$7:$S$874,$T$2,BS_RE33!$N$7:$N$874,I53,BS_RE33!$P$7:$P$874,'30 days CF Table(AUD)'!G53,BS_RE33!$F$7:$F$874,'30 days CF Table(AUD)'!$C$2)</f>
        <v>0</v>
      </c>
      <c r="U53" s="337">
        <f>SUMIFS(BS_RE33!$H$7:$H$874,BS_RE33!$S$7:$S$874,$U$2,BS_RE33!$N$7:$N$874,I53,BS_RE33!$P$7:$P$874,'30 days CF Table(AUD)'!G53,BS_RE33!$F$7:$F$874,'30 days CF Table(AUD)'!$C$2)</f>
        <v>0</v>
      </c>
      <c r="V53" s="337">
        <f>SUMIFS(BS_RE33!$H$7:$H$874,BS_RE33!$S$7:$S$874,$V$2,BS_RE33!$N$7:$N$874,I53,BS_RE33!$P$7:$P$874,'30 days CF Table(AUD)'!G53,BS_RE33!$F$7:$F$874,'30 days CF Table(AUD)'!$C$2)</f>
        <v>0</v>
      </c>
      <c r="W53" s="337">
        <f>SUMIFS(BS_RE33!$H$7:$H$874,BS_RE33!$S$7:$S$874,$W$2,BS_RE33!$N$7:$N$874,I53,BS_RE33!$P$7:$P$874,'30 days CF Table(AUD)'!G53,BS_RE33!$F$7:$F$874,'30 days CF Table(AUD)'!$C$2)</f>
        <v>0</v>
      </c>
      <c r="X53" s="337">
        <f>SUMIFS(BS_RE33!$H$7:$H$874,BS_RE33!$S$7:$S$874,$X$2,BS_RE33!$N$7:$N$874,I53,BS_RE33!$P$7:$P$874,'30 days CF Table(AUD)'!G53,BS_RE33!$F$7:$F$874,'30 days CF Table(AUD)'!$C$2)</f>
        <v>0</v>
      </c>
      <c r="Y53" s="337">
        <f>SUMIFS(BS_RE33!$H$7:$H$874,BS_RE33!$S$7:$S$874,$Y$2,BS_RE33!$N$7:$N$874,I53,BS_RE33!$P$7:$P$874,'30 days CF Table(AUD)'!G53,BS_RE33!$F$7:$F$874,'30 days CF Table(AUD)'!$C$2)</f>
        <v>0</v>
      </c>
      <c r="Z53" s="337">
        <f>SUMIFS(BS_RE33!$H$7:$H$874,BS_RE33!$S$7:$S$874,$Z$2,BS_RE33!$N$7:$N$874,I53,BS_RE33!$P$7:$P$874,'30 days CF Table(AUD)'!G53,BS_RE33!$F$7:$F$874,'30 days CF Table(AUD)'!$C$2)</f>
        <v>0</v>
      </c>
      <c r="AA53" s="337">
        <f>SUMIFS(BS_RE33!$H$7:$H$874,BS_RE33!$S$7:$S$874,$AA$2,BS_RE33!$N$7:$N$874,I53,BS_RE33!$P$7:$P$874,'30 days CF Table(AUD)'!G53,BS_RE33!$F$7:$F$874,'30 days CF Table(AUD)'!$C$2)</f>
        <v>0</v>
      </c>
      <c r="AB53" s="337">
        <f>SUMIFS(BS_RE33!$H$7:$H$874,BS_RE33!$S$7:$S$874,$AB$2,BS_RE33!$N$7:$N$874,I53,BS_RE33!$P$7:$P$874,'30 days CF Table(AUD)'!G53,BS_RE33!$F$7:$F$874,'30 days CF Table(AUD)'!$C$2)</f>
        <v>0</v>
      </c>
      <c r="AC53" s="337">
        <f>SUMIFS(BS_RE33!$H$7:$H$874,BS_RE33!$S$7:$S$874,$AC$2,BS_RE33!$N$7:$N$874,I53,BS_RE33!$P$7:$P$874,'30 days CF Table(AUD)'!G53,BS_RE33!$F$7:$F$874,'30 days CF Table(AUD)'!$C$2)</f>
        <v>0</v>
      </c>
      <c r="AD53" s="337">
        <f>SUMIFS(BS_RE33!$H$7:$H$874,BS_RE33!$S$7:$S$874,$AD$2,BS_RE33!$N$7:$N$874,I53,BS_RE33!$P$7:$P$874,'30 days CF Table(AUD)'!G53,BS_RE33!$F$7:$F$874,'30 days CF Table(AUD)'!$C$2)</f>
        <v>0</v>
      </c>
      <c r="AE53" s="337">
        <f>SUMIFS(BS_RE33!$H$7:$H$874,BS_RE33!$S$7:$S$874,$AE$2,BS_RE33!$N$7:$N$874,I53,BS_RE33!$P$7:$P$874,'30 days CF Table(AUD)'!G53,BS_RE33!$F$7:$F$874,'30 days CF Table(AUD)'!$C$2)</f>
        <v>0</v>
      </c>
      <c r="AF53" s="337">
        <f>SUMIFS(BS_RE33!$H$7:$H$874,BS_RE33!$S$7:$S$874,$AF$2,BS_RE33!$N$7:$N$874,I53,BS_RE33!$P$7:$P$874,'30 days CF Table(AUD)'!G53,BS_RE33!$F$7:$F$874,'30 days CF Table(AUD)'!$C$2)</f>
        <v>0</v>
      </c>
      <c r="AG53" s="337">
        <f>SUMIFS(BS_RE33!$H$7:$H$874,BS_RE33!$S$7:$S$874,$AG$2,BS_RE33!$N$7:$N$874,I53,BS_RE33!$P$7:$P$874,'30 days CF Table(AUD)'!G53,BS_RE33!$F$7:$F$874,'30 days CF Table(AUD)'!$C$2)</f>
        <v>0</v>
      </c>
      <c r="AH53" s="337">
        <f>SUMIFS(BS_RE33!$H$7:$H$874,BS_RE33!$S$7:$S$874,$AH$2,BS_RE33!$N$7:$N$874,I53,BS_RE33!$P$7:$P$874,'30 days CF Table(AUD)'!G53,BS_RE33!$F$7:$F$874,'30 days CF Table(AUD)'!$C$2)</f>
        <v>0</v>
      </c>
      <c r="AI53" s="337">
        <f>SUMIFS(BS_RE33!$H$7:$H$874,BS_RE33!$S$7:$S$874,$AI$2,BS_RE33!$N$7:$N$874,I53,BS_RE33!$P$7:$P$874,'30 days CF Table(AUD)'!G53,BS_RE33!$F$7:$F$874,'30 days CF Table(AUD)'!$C$2)</f>
        <v>0</v>
      </c>
      <c r="AJ53" s="337">
        <f>SUMIFS(BS_RE33!$H$7:$H$874,BS_RE33!$S$7:$S$874,$AJ$2,BS_RE33!$N$7:$N$874,I53,BS_RE33!$P$7:$P$874,'30 days CF Table(AUD)'!G53,BS_RE33!$F$7:$F$874,'30 days CF Table(AUD)'!$C$2)</f>
        <v>0</v>
      </c>
      <c r="AK53" s="337">
        <f>SUMIFS(BS_RE33!$H$7:$H$874,BS_RE33!$S$7:$S$874,$AK$2,BS_RE33!$N$7:$N$874,I53,BS_RE33!$P$7:$P$874,'30 days CF Table(AUD)'!G53,BS_RE33!$F$7:$F$874,'30 days CF Table(AUD)'!$C$2)</f>
        <v>0</v>
      </c>
      <c r="AL53" s="337">
        <f>SUMIFS(BS_RE33!$H$7:$H$874,BS_RE33!$S$7:$S$874,$AL$2,BS_RE33!$N$7:$N$874,I53,BS_RE33!$P$7:$P$874,'30 days CF Table(AUD)'!G53,BS_RE33!$F$7:$F$874,'30 days CF Table(AUD)'!$C$2)</f>
        <v>0</v>
      </c>
      <c r="AM53" s="337">
        <f>SUMIFS(BS_RE33!$H$7:$H$874,BS_RE33!$S$7:$S$874,$AM$2,BS_RE33!$N$7:$N$874,I53,BS_RE33!$P$7:$P$874,'30 days CF Table(AUD)'!G53,BS_RE33!$F$7:$F$874,'30 days CF Table(AUD)'!$C$2)</f>
        <v>0</v>
      </c>
      <c r="AN53" s="337">
        <f>SUMIFS(BS_RE33!$H$7:$H$874,BS_RE33!$S$7:$S$874,$AN$2,BS_RE33!$N$7:$N$874,I53,BS_RE33!$P$7:$P$874,'30 days CF Table(AUD)'!G53,BS_RE33!$F$7:$F$874,'30 days CF Table(AUD)'!$C$2)</f>
        <v>0</v>
      </c>
      <c r="AO53" s="337">
        <f>SUMIFS(BS_RE33!$H$7:$H$874,BS_RE33!$S$7:$S$874,$AO$2,BS_RE33!$N$7:$N$874,I53,BS_RE33!$P$7:$P$874,'30 days CF Table(AUD)'!G53,BS_RE33!$F$7:$F$874,'30 days CF Table(AUD)'!$C$2)</f>
        <v>0</v>
      </c>
      <c r="AP53" s="338">
        <f>SUMIFS(BS_RE33!$H$7:$H$874,BS_RE33!$S$7:$S$874,$AP$2,BS_RE33!$N$7:$N$874,I53,BS_RE33!$P$7:$P$874,'30 days CF Table(AUD)'!G53,BS_RE33!$F$7:$F$874,'30 days CF Table(AUD)'!$C$2)</f>
        <v>0</v>
      </c>
      <c r="AR53" s="379">
        <f>SUMIFS(BS_RE33!$H$7:$H$874,BS_RE33!$S$7:$S$874,$AR$2,BS_RE33!$N$7:$N$874,I53,BS_RE33!$P$7:$P$874,'30 days CF Table(AUD)'!G53,BS_RE33!$F$7:$F$874,'30 days CF Table(AUD)'!$C$2)</f>
        <v>0</v>
      </c>
      <c r="AS53" s="379">
        <f>SUMIFS(BS_RE33!$H$7:$H$874,BS_RE33!$S$7:$S$874,$AS$2,BS_RE33!$N$7:$N$874,I53,BS_RE33!$P$7:$P$874,'30 days CF Table(AUD)'!G53,BS_RE33!$F$7:$F$874,'30 days CF Table(AUD)'!$C$2)</f>
        <v>0</v>
      </c>
      <c r="AT53" s="379">
        <f>SUMIFS(BS_RE33!$H$7:$H$874,BS_RE33!$S$7:$S$874,$AT$2,BS_RE33!$N$7:$N$874,I53,BS_RE33!$P$7:$P$874,'30 days CF Table(AUD)'!G53,BS_RE33!$F$7:$F$874,'30 days CF Table(AUD)'!$C$2)</f>
        <v>0</v>
      </c>
      <c r="AU53" s="379">
        <f>SUMIFS(BS_RE33!$H$7:$H$874,BS_RE33!$S$7:$S$874,$AU$2,BS_RE33!$N$7:$N$874,I53,BS_RE33!$P$7:$P$874,'30 days CF Table(AUD)'!G53,BS_RE33!$F$7:$F$874,'30 days CF Table(AUD)'!$C$2)</f>
        <v>0</v>
      </c>
      <c r="AV53" s="379">
        <f>SUMIFS(BS_RE33!$H$7:$H$874,BS_RE33!$S$7:$S$874,$AV$2,BS_RE33!$N$7:$N$874,I53,BS_RE33!$P$7:$P$874,'30 days CF Table(AUD)'!G53,BS_RE33!$F$7:$F$874,'30 days CF Table(AUD)'!$C$2)</f>
        <v>0</v>
      </c>
      <c r="AW53" s="379">
        <f>SUMIFS(BS_RE33!$H$7:$H$874,BS_RE33!$S$7:$S$874,$AW$2,BS_RE33!$N$7:$N$874,I53,BS_RE33!$P$7:$P$874,'30 days CF Table(AUD)'!G53,BS_RE33!$F$7:$F$874,'30 days CF Table(AUD)'!$C$2)</f>
        <v>0</v>
      </c>
      <c r="AX53" s="379">
        <f>SUMIFS(BS_RE33!$H$7:$H$874,BS_RE33!$S$7:$S$874,$AX$2,BS_RE33!$N$7:$N$874,I53,BS_RE33!$P$7:$P$874,'30 days CF Table(AUD)'!G53,BS_RE33!$F$7:$F$874,'30 days CF Table(AUD)'!$C$2)</f>
        <v>0</v>
      </c>
      <c r="AY53" s="379">
        <f>SUMIFS(BS_RE33!$H$7:$H$874,BS_RE33!$S$7:$S$874,$AY$2,BS_RE33!$N$7:$N$874,I53,BS_RE33!$P$7:$P$874,'30 days CF Table(AUD)'!G53,BS_RE33!$F$7:$F$874,'30 days CF Table(AUD)'!$C$2)</f>
        <v>0</v>
      </c>
      <c r="AZ53" s="379">
        <f>SUMIFS(BS_RE33!$H$7:$H$874,BS_RE33!$S$7:$S$874,$AZ$2,BS_RE33!$N$7:$N$874,I53,BS_RE33!$P$7:$P$874,'30 days CF Table(AUD)'!G53,BS_RE33!$F$7:$F$874,'30 days CF Table(AUD)'!$C$2)</f>
        <v>0</v>
      </c>
      <c r="BA53" s="379">
        <f>SUMIFS(BS_RE33!$H$7:$H$874,BS_RE33!$S$7:$S$874,$BA$2,BS_RE33!$N$7:$N$874,I53,BS_RE33!$P$7:$P$874,'30 days CF Table(AUD)'!G53,BS_RE33!$F$7:$F$874,'30 days CF Table(AUD)'!$C$2)</f>
        <v>0</v>
      </c>
      <c r="BB53" s="379">
        <f>SUMIFS(BS_RE33!$H$7:$H$874,BS_RE33!$S$7:$S$874,$BB$2,BS_RE33!$N$7:$N$874,I53,BS_RE33!$P$7:$P$874,'30 days CF Table(AUD)'!G53,BS_RE33!$F$7:$F$874,'30 days CF Table(AUD)'!$C$2)</f>
        <v>0</v>
      </c>
      <c r="BC53" s="379">
        <f>SUMIFS(BS_RE33!$H$7:$H$874,BS_RE33!$S$7:$S$874,$BC$2,BS_RE33!$N$7:$N$874,I53,BS_RE33!$P$7:$P$874,'30 days CF Table(AUD)'!G53,BS_RE33!$F$7:$F$874,'30 days CF Table(AUD)'!$C$2)</f>
        <v>0</v>
      </c>
      <c r="BD53" s="379">
        <f>SUMIFS(BS_RE33!$H$7:$H$874,BS_RE33!$S$7:$S$874,$BD$2,BS_RE33!$N$7:$N$874,I53,BS_RE33!$P$7:$P$874,'30 days CF Table(AUD)'!G53,BS_RE33!$F$7:$F$874,'30 days CF Table(AUD)'!$C$2)</f>
        <v>0</v>
      </c>
      <c r="BE53" s="379">
        <f>SUMIFS(BS_RE33!$H$7:$H$874,BS_RE33!$S$7:$S$874,$BE$2,BS_RE33!$N$7:$N$874,I53,BS_RE33!$P$7:$P$874,'30 days CF Table(AUD)'!G53,BS_RE33!$F$7:$F$874,'30 days CF Table(AUD)'!$C$2)</f>
        <v>0</v>
      </c>
      <c r="BF53" s="379">
        <f>SUMIFS(BS_RE33!$H$7:$H$874,BS_RE33!$S$7:$S$874,$BF$2,BS_RE33!$N$7:$N$874,I53,BS_RE33!$P$7:$P$874,'30 days CF Table(AUD)'!G53,BS_RE33!$F$7:$F$874,'30 days CF Table(AUD)'!$C$2)</f>
        <v>0</v>
      </c>
      <c r="BG53" s="379">
        <f>SUMIFS(BS_RE33!$H$7:$H$874,BS_RE33!$S$7:$S$874,$BG$2,BS_RE33!$N$7:$N$874,I53,BS_RE33!$P$7:$P$874,'30 days CF Table(AUD)'!G53,BS_RE33!$F$7:$F$874,'30 days CF Table(AUD)'!$C$2)</f>
        <v>0</v>
      </c>
      <c r="BH53" s="379">
        <f>SUMIFS(BS_RE33!$H$7:$H$874,BS_RE33!$S$7:$S$874,$BH$2,BS_RE33!$N$7:$N$874,I53,BS_RE33!$P$7:$P$874,'30 days CF Table(AUD)'!G53,BS_RE33!$F$7:$F$874,'30 days CF Table(AUD)'!$C$2)</f>
        <v>0</v>
      </c>
      <c r="BI53" s="379">
        <f>SUMIFS(BS_RE33!$H$7:$H$874,BS_RE33!$S$7:$S$874,$BI$2,BS_RE33!$N$7:$N$874,I53,BS_RE33!$P$7:$P$874,'30 days CF Table(AUD)'!G53,BS_RE33!$F$7:$F$874,'30 days CF Table(AUD)'!$C$2)</f>
        <v>0</v>
      </c>
      <c r="BJ53" s="379">
        <f>SUMIFS(BS_RE33!$H$7:$H$874,BS_RE33!$S$7:$S$874,$BJ$2,BS_RE33!$N$7:$N$874,I53,BS_RE33!$P$7:$P$874,'30 days CF Table(AUD)'!G53,BS_RE33!$F$7:$F$874,'30 days CF Table(AUD)'!$C$2)</f>
        <v>0</v>
      </c>
      <c r="BK53" s="379">
        <f>SUMIFS(BS_RE33!$H$7:$H$874,BS_RE33!$S$7:$S$874,$BK$2,BS_RE33!$N$7:$N$874,I53,BS_RE33!$P$7:$P$874,'30 days CF Table(AUD)'!G53,BS_RE33!$F$7:$F$874,'30 days CF Table(AUD)'!$C$2)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Table(AUD)'!G54,BS_RE33!$F$7:$F$874,'30 days CF Table(AUD)'!$C$2)</f>
        <v>0</v>
      </c>
      <c r="M54" s="337">
        <f>SUMIFS(BS_RE33!$H$7:$H$874,BS_RE33!$S$7:$S$874,$M$2,BS_RE33!$N$7:$N$874,I54,BS_RE33!$P$7:$P$874,'30 days CF Table(AUD)'!G54,BS_RE33!$F$7:$F$874,'30 days CF Table(AUD)'!$C$2)</f>
        <v>0</v>
      </c>
      <c r="N54" s="337">
        <f>SUMIFS(BS_RE33!$H$7:$H$874,BS_RE33!$S$7:$S$874,$N$2,BS_RE33!$N$7:$N$874,I54,BS_RE33!$P$7:$P$874,'30 days CF Table(AUD)'!G54,BS_RE33!$F$7:$F$874,'30 days CF Table(AUD)'!$C$2)</f>
        <v>0</v>
      </c>
      <c r="O54" s="337">
        <f>SUMIFS(BS_RE33!$H$7:$H$874,BS_RE33!$S$7:$S$874,$O$2,BS_RE33!$N$7:$N$874,I54,BS_RE33!$P$7:$P$874,'30 days CF Table(AUD)'!G54,BS_RE33!$F$7:$F$874,'30 days CF Table(AUD)'!$C$2)</f>
        <v>0</v>
      </c>
      <c r="P54" s="337">
        <f>SUMIFS(BS_RE33!$H$7:$H$874,BS_RE33!$S$7:$S$874,$P$2,BS_RE33!$N$7:$N$874,I54,BS_RE33!$P$7:$P$874,'30 days CF Table(AUD)'!G54,BS_RE33!$F$7:$F$874,'30 days CF Table(AUD)'!$C$2)</f>
        <v>0</v>
      </c>
      <c r="Q54" s="337">
        <f>SUMIFS(BS_RE33!$H$7:$H$874,BS_RE33!$S$7:$S$874,$Q$2,BS_RE33!$N$7:$N$874,I54,BS_RE33!$P$7:$P$874,'30 days CF Table(AUD)'!G54,BS_RE33!$F$7:$F$874,'30 days CF Table(AUD)'!$C$2)</f>
        <v>0</v>
      </c>
      <c r="R54" s="337">
        <f>SUMIFS(BS_RE33!$H$7:$H$874,BS_RE33!$S$7:$S$874,$R$2,BS_RE33!$N$7:$N$874,I54,BS_RE33!$P$7:$P$874,'30 days CF Table(AUD)'!G54,BS_RE33!$F$7:$F$874,'30 days CF Table(AUD)'!$C$2)</f>
        <v>0</v>
      </c>
      <c r="S54" s="337">
        <f>SUMIFS(BS_RE33!$H$7:$H$874,BS_RE33!$S$7:$S$874,$S$2,BS_RE33!$N$7:$N$874,I54,BS_RE33!$P$7:$P$874,'30 days CF Table(AUD)'!G54,BS_RE33!$F$7:$F$874,'30 days CF Table(AUD)'!$C$2)</f>
        <v>0</v>
      </c>
      <c r="T54" s="337">
        <f>SUMIFS(BS_RE33!$H$7:$H$874,BS_RE33!$S$7:$S$874,$T$2,BS_RE33!$N$7:$N$874,I54,BS_RE33!$P$7:$P$874,'30 days CF Table(AUD)'!G54,BS_RE33!$F$7:$F$874,'30 days CF Table(AUD)'!$C$2)</f>
        <v>0</v>
      </c>
      <c r="U54" s="337">
        <f>SUMIFS(BS_RE33!$H$7:$H$874,BS_RE33!$S$7:$S$874,$U$2,BS_RE33!$N$7:$N$874,I54,BS_RE33!$P$7:$P$874,'30 days CF Table(AUD)'!G54,BS_RE33!$F$7:$F$874,'30 days CF Table(AUD)'!$C$2)</f>
        <v>0</v>
      </c>
      <c r="V54" s="337">
        <f>SUMIFS(BS_RE33!$H$7:$H$874,BS_RE33!$S$7:$S$874,$V$2,BS_RE33!$N$7:$N$874,I54,BS_RE33!$P$7:$P$874,'30 days CF Table(AUD)'!G54,BS_RE33!$F$7:$F$874,'30 days CF Table(AUD)'!$C$2)</f>
        <v>0</v>
      </c>
      <c r="W54" s="337">
        <f>SUMIFS(BS_RE33!$H$7:$H$874,BS_RE33!$S$7:$S$874,$W$2,BS_RE33!$N$7:$N$874,I54,BS_RE33!$P$7:$P$874,'30 days CF Table(AUD)'!G54,BS_RE33!$F$7:$F$874,'30 days CF Table(AUD)'!$C$2)</f>
        <v>0</v>
      </c>
      <c r="X54" s="337">
        <f>SUMIFS(BS_RE33!$H$7:$H$874,BS_RE33!$S$7:$S$874,$X$2,BS_RE33!$N$7:$N$874,I54,BS_RE33!$P$7:$P$874,'30 days CF Table(AUD)'!G54,BS_RE33!$F$7:$F$874,'30 days CF Table(AUD)'!$C$2)</f>
        <v>0</v>
      </c>
      <c r="Y54" s="337">
        <f>SUMIFS(BS_RE33!$H$7:$H$874,BS_RE33!$S$7:$S$874,$Y$2,BS_RE33!$N$7:$N$874,I54,BS_RE33!$P$7:$P$874,'30 days CF Table(AUD)'!G54,BS_RE33!$F$7:$F$874,'30 days CF Table(AUD)'!$C$2)</f>
        <v>0</v>
      </c>
      <c r="Z54" s="337">
        <f>SUMIFS(BS_RE33!$H$7:$H$874,BS_RE33!$S$7:$S$874,$Z$2,BS_RE33!$N$7:$N$874,I54,BS_RE33!$P$7:$P$874,'30 days CF Table(AUD)'!G54,BS_RE33!$F$7:$F$874,'30 days CF Table(AUD)'!$C$2)</f>
        <v>0</v>
      </c>
      <c r="AA54" s="337">
        <f>SUMIFS(BS_RE33!$H$7:$H$874,BS_RE33!$S$7:$S$874,$AA$2,BS_RE33!$N$7:$N$874,I54,BS_RE33!$P$7:$P$874,'30 days CF Table(AUD)'!G54,BS_RE33!$F$7:$F$874,'30 days CF Table(AUD)'!$C$2)</f>
        <v>0</v>
      </c>
      <c r="AB54" s="337">
        <f>SUMIFS(BS_RE33!$H$7:$H$874,BS_RE33!$S$7:$S$874,$AB$2,BS_RE33!$N$7:$N$874,I54,BS_RE33!$P$7:$P$874,'30 days CF Table(AUD)'!G54,BS_RE33!$F$7:$F$874,'30 days CF Table(AUD)'!$C$2)</f>
        <v>0</v>
      </c>
      <c r="AC54" s="337">
        <f>SUMIFS(BS_RE33!$H$7:$H$874,BS_RE33!$S$7:$S$874,$AC$2,BS_RE33!$N$7:$N$874,I54,BS_RE33!$P$7:$P$874,'30 days CF Table(AUD)'!G54,BS_RE33!$F$7:$F$874,'30 days CF Table(AUD)'!$C$2)</f>
        <v>0</v>
      </c>
      <c r="AD54" s="337">
        <f>SUMIFS(BS_RE33!$H$7:$H$874,BS_RE33!$S$7:$S$874,$AD$2,BS_RE33!$N$7:$N$874,I54,BS_RE33!$P$7:$P$874,'30 days CF Table(AUD)'!G54,BS_RE33!$F$7:$F$874,'30 days CF Table(AUD)'!$C$2)</f>
        <v>0</v>
      </c>
      <c r="AE54" s="337">
        <f>SUMIFS(BS_RE33!$H$7:$H$874,BS_RE33!$S$7:$S$874,$AE$2,BS_RE33!$N$7:$N$874,I54,BS_RE33!$P$7:$P$874,'30 days CF Table(AUD)'!G54,BS_RE33!$F$7:$F$874,'30 days CF Table(AUD)'!$C$2)</f>
        <v>0</v>
      </c>
      <c r="AF54" s="337">
        <f>SUMIFS(BS_RE33!$H$7:$H$874,BS_RE33!$S$7:$S$874,$AF$2,BS_RE33!$N$7:$N$874,I54,BS_RE33!$P$7:$P$874,'30 days CF Table(AUD)'!G54,BS_RE33!$F$7:$F$874,'30 days CF Table(AUD)'!$C$2)</f>
        <v>0</v>
      </c>
      <c r="AG54" s="337">
        <f>SUMIFS(BS_RE33!$H$7:$H$874,BS_RE33!$S$7:$S$874,$AG$2,BS_RE33!$N$7:$N$874,I54,BS_RE33!$P$7:$P$874,'30 days CF Table(AUD)'!G54,BS_RE33!$F$7:$F$874,'30 days CF Table(AUD)'!$C$2)</f>
        <v>0</v>
      </c>
      <c r="AH54" s="337">
        <f>SUMIFS(BS_RE33!$H$7:$H$874,BS_RE33!$S$7:$S$874,$AH$2,BS_RE33!$N$7:$N$874,I54,BS_RE33!$P$7:$P$874,'30 days CF Table(AUD)'!G54,BS_RE33!$F$7:$F$874,'30 days CF Table(AUD)'!$C$2)</f>
        <v>0</v>
      </c>
      <c r="AI54" s="337">
        <f>SUMIFS(BS_RE33!$H$7:$H$874,BS_RE33!$S$7:$S$874,$AI$2,BS_RE33!$N$7:$N$874,I54,BS_RE33!$P$7:$P$874,'30 days CF Table(AUD)'!G54,BS_RE33!$F$7:$F$874,'30 days CF Table(AUD)'!$C$2)</f>
        <v>0</v>
      </c>
      <c r="AJ54" s="337">
        <f>SUMIFS(BS_RE33!$H$7:$H$874,BS_RE33!$S$7:$S$874,$AJ$2,BS_RE33!$N$7:$N$874,I54,BS_RE33!$P$7:$P$874,'30 days CF Table(AUD)'!G54,BS_RE33!$F$7:$F$874,'30 days CF Table(AUD)'!$C$2)</f>
        <v>0</v>
      </c>
      <c r="AK54" s="337">
        <f>SUMIFS(BS_RE33!$H$7:$H$874,BS_RE33!$S$7:$S$874,$AK$2,BS_RE33!$N$7:$N$874,I54,BS_RE33!$P$7:$P$874,'30 days CF Table(AUD)'!G54,BS_RE33!$F$7:$F$874,'30 days CF Table(AUD)'!$C$2)</f>
        <v>0</v>
      </c>
      <c r="AL54" s="337">
        <f>SUMIFS(BS_RE33!$H$7:$H$874,BS_RE33!$S$7:$S$874,$AL$2,BS_RE33!$N$7:$N$874,I54,BS_RE33!$P$7:$P$874,'30 days CF Table(AUD)'!G54,BS_RE33!$F$7:$F$874,'30 days CF Table(AUD)'!$C$2)</f>
        <v>0</v>
      </c>
      <c r="AM54" s="337">
        <f>SUMIFS(BS_RE33!$H$7:$H$874,BS_RE33!$S$7:$S$874,$AM$2,BS_RE33!$N$7:$N$874,I54,BS_RE33!$P$7:$P$874,'30 days CF Table(AUD)'!G54,BS_RE33!$F$7:$F$874,'30 days CF Table(AUD)'!$C$2)</f>
        <v>0</v>
      </c>
      <c r="AN54" s="337">
        <f>SUMIFS(BS_RE33!$H$7:$H$874,BS_RE33!$S$7:$S$874,$AN$2,BS_RE33!$N$7:$N$874,I54,BS_RE33!$P$7:$P$874,'30 days CF Table(AUD)'!G54,BS_RE33!$F$7:$F$874,'30 days CF Table(AUD)'!$C$2)</f>
        <v>0</v>
      </c>
      <c r="AO54" s="337">
        <f>SUMIFS(BS_RE33!$H$7:$H$874,BS_RE33!$S$7:$S$874,$AO$2,BS_RE33!$N$7:$N$874,I54,BS_RE33!$P$7:$P$874,'30 days CF Table(AUD)'!G54,BS_RE33!$F$7:$F$874,'30 days CF Table(AUD)'!$C$2)</f>
        <v>0</v>
      </c>
      <c r="AP54" s="338">
        <f>SUMIFS(BS_RE33!$H$7:$H$874,BS_RE33!$S$7:$S$874,$AP$2,BS_RE33!$N$7:$N$874,I54,BS_RE33!$P$7:$P$874,'30 days CF Table(AUD)'!G54,BS_RE33!$F$7:$F$874,'30 days CF Table(AUD)'!$C$2)</f>
        <v>0</v>
      </c>
      <c r="AR54" s="379">
        <f>SUMIFS(BS_RE33!$H$7:$H$874,BS_RE33!$S$7:$S$874,$AR$2,BS_RE33!$N$7:$N$874,I54,BS_RE33!$P$7:$P$874,'30 days CF Table(AUD)'!G54,BS_RE33!$F$7:$F$874,'30 days CF Table(AUD)'!$C$2)</f>
        <v>0</v>
      </c>
      <c r="AS54" s="379">
        <f>SUMIFS(BS_RE33!$H$7:$H$874,BS_RE33!$S$7:$S$874,$AS$2,BS_RE33!$N$7:$N$874,I54,BS_RE33!$P$7:$P$874,'30 days CF Table(AUD)'!G54,BS_RE33!$F$7:$F$874,'30 days CF Table(AUD)'!$C$2)</f>
        <v>0</v>
      </c>
      <c r="AT54" s="379">
        <f>SUMIFS(BS_RE33!$H$7:$H$874,BS_RE33!$S$7:$S$874,$AT$2,BS_RE33!$N$7:$N$874,I54,BS_RE33!$P$7:$P$874,'30 days CF Table(AUD)'!G54,BS_RE33!$F$7:$F$874,'30 days CF Table(AUD)'!$C$2)</f>
        <v>0</v>
      </c>
      <c r="AU54" s="379">
        <f>SUMIFS(BS_RE33!$H$7:$H$874,BS_RE33!$S$7:$S$874,$AU$2,BS_RE33!$N$7:$N$874,I54,BS_RE33!$P$7:$P$874,'30 days CF Table(AUD)'!G54,BS_RE33!$F$7:$F$874,'30 days CF Table(AUD)'!$C$2)</f>
        <v>0</v>
      </c>
      <c r="AV54" s="379">
        <f>SUMIFS(BS_RE33!$H$7:$H$874,BS_RE33!$S$7:$S$874,$AV$2,BS_RE33!$N$7:$N$874,I54,BS_RE33!$P$7:$P$874,'30 days CF Table(AUD)'!G54,BS_RE33!$F$7:$F$874,'30 days CF Table(AUD)'!$C$2)</f>
        <v>0</v>
      </c>
      <c r="AW54" s="379">
        <f>SUMIFS(BS_RE33!$H$7:$H$874,BS_RE33!$S$7:$S$874,$AW$2,BS_RE33!$N$7:$N$874,I54,BS_RE33!$P$7:$P$874,'30 days CF Table(AUD)'!G54,BS_RE33!$F$7:$F$874,'30 days CF Table(AUD)'!$C$2)</f>
        <v>0</v>
      </c>
      <c r="AX54" s="379">
        <f>SUMIFS(BS_RE33!$H$7:$H$874,BS_RE33!$S$7:$S$874,$AX$2,BS_RE33!$N$7:$N$874,I54,BS_RE33!$P$7:$P$874,'30 days CF Table(AUD)'!G54,BS_RE33!$F$7:$F$874,'30 days CF Table(AUD)'!$C$2)</f>
        <v>0</v>
      </c>
      <c r="AY54" s="379">
        <f>SUMIFS(BS_RE33!$H$7:$H$874,BS_RE33!$S$7:$S$874,$AY$2,BS_RE33!$N$7:$N$874,I54,BS_RE33!$P$7:$P$874,'30 days CF Table(AUD)'!G54,BS_RE33!$F$7:$F$874,'30 days CF Table(AUD)'!$C$2)</f>
        <v>0</v>
      </c>
      <c r="AZ54" s="379">
        <f>SUMIFS(BS_RE33!$H$7:$H$874,BS_RE33!$S$7:$S$874,$AZ$2,BS_RE33!$N$7:$N$874,I54,BS_RE33!$P$7:$P$874,'30 days CF Table(AUD)'!G54,BS_RE33!$F$7:$F$874,'30 days CF Table(AUD)'!$C$2)</f>
        <v>0</v>
      </c>
      <c r="BA54" s="379">
        <f>SUMIFS(BS_RE33!$H$7:$H$874,BS_RE33!$S$7:$S$874,$BA$2,BS_RE33!$N$7:$N$874,I54,BS_RE33!$P$7:$P$874,'30 days CF Table(AUD)'!G54,BS_RE33!$F$7:$F$874,'30 days CF Table(AUD)'!$C$2)</f>
        <v>0</v>
      </c>
      <c r="BB54" s="379">
        <f>SUMIFS(BS_RE33!$H$7:$H$874,BS_RE33!$S$7:$S$874,$BB$2,BS_RE33!$N$7:$N$874,I54,BS_RE33!$P$7:$P$874,'30 days CF Table(AUD)'!G54,BS_RE33!$F$7:$F$874,'30 days CF Table(AUD)'!$C$2)</f>
        <v>0</v>
      </c>
      <c r="BC54" s="379">
        <f>SUMIFS(BS_RE33!$H$7:$H$874,BS_RE33!$S$7:$S$874,$BC$2,BS_RE33!$N$7:$N$874,I54,BS_RE33!$P$7:$P$874,'30 days CF Table(AUD)'!G54,BS_RE33!$F$7:$F$874,'30 days CF Table(AUD)'!$C$2)</f>
        <v>0</v>
      </c>
      <c r="BD54" s="379">
        <f>SUMIFS(BS_RE33!$H$7:$H$874,BS_RE33!$S$7:$S$874,$BD$2,BS_RE33!$N$7:$N$874,I54,BS_RE33!$P$7:$P$874,'30 days CF Table(AUD)'!G54,BS_RE33!$F$7:$F$874,'30 days CF Table(AUD)'!$C$2)</f>
        <v>0</v>
      </c>
      <c r="BE54" s="379">
        <f>SUMIFS(BS_RE33!$H$7:$H$874,BS_RE33!$S$7:$S$874,$BE$2,BS_RE33!$N$7:$N$874,I54,BS_RE33!$P$7:$P$874,'30 days CF Table(AUD)'!G54,BS_RE33!$F$7:$F$874,'30 days CF Table(AUD)'!$C$2)</f>
        <v>0</v>
      </c>
      <c r="BF54" s="379">
        <f>SUMIFS(BS_RE33!$H$7:$H$874,BS_RE33!$S$7:$S$874,$BF$2,BS_RE33!$N$7:$N$874,I54,BS_RE33!$P$7:$P$874,'30 days CF Table(AUD)'!G54,BS_RE33!$F$7:$F$874,'30 days CF Table(AUD)'!$C$2)</f>
        <v>0</v>
      </c>
      <c r="BG54" s="379">
        <f>SUMIFS(BS_RE33!$H$7:$H$874,BS_RE33!$S$7:$S$874,$BG$2,BS_RE33!$N$7:$N$874,I54,BS_RE33!$P$7:$P$874,'30 days CF Table(AUD)'!G54,BS_RE33!$F$7:$F$874,'30 days CF Table(AUD)'!$C$2)</f>
        <v>0</v>
      </c>
      <c r="BH54" s="379">
        <f>SUMIFS(BS_RE33!$H$7:$H$874,BS_RE33!$S$7:$S$874,$BH$2,BS_RE33!$N$7:$N$874,I54,BS_RE33!$P$7:$P$874,'30 days CF Table(AUD)'!G54,BS_RE33!$F$7:$F$874,'30 days CF Table(AUD)'!$C$2)</f>
        <v>0</v>
      </c>
      <c r="BI54" s="379">
        <f>SUMIFS(BS_RE33!$H$7:$H$874,BS_RE33!$S$7:$S$874,$BI$2,BS_RE33!$N$7:$N$874,I54,BS_RE33!$P$7:$P$874,'30 days CF Table(AUD)'!G54,BS_RE33!$F$7:$F$874,'30 days CF Table(AUD)'!$C$2)</f>
        <v>0</v>
      </c>
      <c r="BJ54" s="379">
        <f>SUMIFS(BS_RE33!$H$7:$H$874,BS_RE33!$S$7:$S$874,$BJ$2,BS_RE33!$N$7:$N$874,I54,BS_RE33!$P$7:$P$874,'30 days CF Table(AUD)'!G54,BS_RE33!$F$7:$F$874,'30 days CF Table(AUD)'!$C$2)</f>
        <v>0</v>
      </c>
      <c r="BK54" s="379">
        <f>SUMIFS(BS_RE33!$H$7:$H$874,BS_RE33!$S$7:$S$874,$BK$2,BS_RE33!$N$7:$N$874,I54,BS_RE33!$P$7:$P$874,'30 days CF Table(AUD)'!G54,BS_RE33!$F$7:$F$874,'30 days CF Table(AUD)'!$C$2)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Table(AUD)'!G55,BS_RE33!$F$7:$F$874,'30 days CF Table(AUD)'!$C$2)</f>
        <v>0</v>
      </c>
      <c r="M55" s="337">
        <f>SUMIFS(BS_RE33!$H$7:$H$874,BS_RE33!$S$7:$S$874,$M$2,BS_RE33!$N$7:$N$874,I55,BS_RE33!$P$7:$P$874,'30 days CF Table(AUD)'!G55,BS_RE33!$F$7:$F$874,'30 days CF Table(AUD)'!$C$2)</f>
        <v>0</v>
      </c>
      <c r="N55" s="337">
        <f>SUMIFS(BS_RE33!$H$7:$H$874,BS_RE33!$S$7:$S$874,$N$2,BS_RE33!$N$7:$N$874,I55,BS_RE33!$P$7:$P$874,'30 days CF Table(AUD)'!G55,BS_RE33!$F$7:$F$874,'30 days CF Table(AUD)'!$C$2)</f>
        <v>0</v>
      </c>
      <c r="O55" s="337">
        <f>SUMIFS(BS_RE33!$H$7:$H$874,BS_RE33!$S$7:$S$874,$O$2,BS_RE33!$N$7:$N$874,I55,BS_RE33!$P$7:$P$874,'30 days CF Table(AUD)'!G55,BS_RE33!$F$7:$F$874,'30 days CF Table(AUD)'!$C$2)</f>
        <v>0</v>
      </c>
      <c r="P55" s="337">
        <f>SUMIFS(BS_RE33!$H$7:$H$874,BS_RE33!$S$7:$S$874,$P$2,BS_RE33!$N$7:$N$874,I55,BS_RE33!$P$7:$P$874,'30 days CF Table(AUD)'!G55,BS_RE33!$F$7:$F$874,'30 days CF Table(AUD)'!$C$2)</f>
        <v>0</v>
      </c>
      <c r="Q55" s="337">
        <f>SUMIFS(BS_RE33!$H$7:$H$874,BS_RE33!$S$7:$S$874,$Q$2,BS_RE33!$N$7:$N$874,I55,BS_RE33!$P$7:$P$874,'30 days CF Table(AUD)'!G55,BS_RE33!$F$7:$F$874,'30 days CF Table(AUD)'!$C$2)</f>
        <v>0</v>
      </c>
      <c r="R55" s="337">
        <f>SUMIFS(BS_RE33!$H$7:$H$874,BS_RE33!$S$7:$S$874,$R$2,BS_RE33!$N$7:$N$874,I55,BS_RE33!$P$7:$P$874,'30 days CF Table(AUD)'!G55,BS_RE33!$F$7:$F$874,'30 days CF Table(AUD)'!$C$2)</f>
        <v>0</v>
      </c>
      <c r="S55" s="337">
        <f>SUMIFS(BS_RE33!$H$7:$H$874,BS_RE33!$S$7:$S$874,$S$2,BS_RE33!$N$7:$N$874,I55,BS_RE33!$P$7:$P$874,'30 days CF Table(AUD)'!G55,BS_RE33!$F$7:$F$874,'30 days CF Table(AUD)'!$C$2)</f>
        <v>0</v>
      </c>
      <c r="T55" s="337">
        <f>SUMIFS(BS_RE33!$H$7:$H$874,BS_RE33!$S$7:$S$874,$T$2,BS_RE33!$N$7:$N$874,I55,BS_RE33!$P$7:$P$874,'30 days CF Table(AUD)'!G55,BS_RE33!$F$7:$F$874,'30 days CF Table(AUD)'!$C$2)</f>
        <v>0</v>
      </c>
      <c r="U55" s="337">
        <f>SUMIFS(BS_RE33!$H$7:$H$874,BS_RE33!$S$7:$S$874,$U$2,BS_RE33!$N$7:$N$874,I55,BS_RE33!$P$7:$P$874,'30 days CF Table(AUD)'!G55,BS_RE33!$F$7:$F$874,'30 days CF Table(AUD)'!$C$2)</f>
        <v>0</v>
      </c>
      <c r="V55" s="337">
        <f>SUMIFS(BS_RE33!$H$7:$H$874,BS_RE33!$S$7:$S$874,$V$2,BS_RE33!$N$7:$N$874,I55,BS_RE33!$P$7:$P$874,'30 days CF Table(AUD)'!G55,BS_RE33!$F$7:$F$874,'30 days CF Table(AUD)'!$C$2)</f>
        <v>0</v>
      </c>
      <c r="W55" s="337">
        <f>SUMIFS(BS_RE33!$H$7:$H$874,BS_RE33!$S$7:$S$874,$W$2,BS_RE33!$N$7:$N$874,I55,BS_RE33!$P$7:$P$874,'30 days CF Table(AUD)'!G55,BS_RE33!$F$7:$F$874,'30 days CF Table(AUD)'!$C$2)</f>
        <v>0</v>
      </c>
      <c r="X55" s="337">
        <f>SUMIFS(BS_RE33!$H$7:$H$874,BS_RE33!$S$7:$S$874,$X$2,BS_RE33!$N$7:$N$874,I55,BS_RE33!$P$7:$P$874,'30 days CF Table(AUD)'!G55,BS_RE33!$F$7:$F$874,'30 days CF Table(AUD)'!$C$2)</f>
        <v>0</v>
      </c>
      <c r="Y55" s="337">
        <f>SUMIFS(BS_RE33!$H$7:$H$874,BS_RE33!$S$7:$S$874,$Y$2,BS_RE33!$N$7:$N$874,I55,BS_RE33!$P$7:$P$874,'30 days CF Table(AUD)'!G55,BS_RE33!$F$7:$F$874,'30 days CF Table(AUD)'!$C$2)</f>
        <v>0</v>
      </c>
      <c r="Z55" s="337">
        <f>SUMIFS(BS_RE33!$H$7:$H$874,BS_RE33!$S$7:$S$874,$Z$2,BS_RE33!$N$7:$N$874,I55,BS_RE33!$P$7:$P$874,'30 days CF Table(AUD)'!G55,BS_RE33!$F$7:$F$874,'30 days CF Table(AUD)'!$C$2)</f>
        <v>0</v>
      </c>
      <c r="AA55" s="337">
        <f>SUMIFS(BS_RE33!$H$7:$H$874,BS_RE33!$S$7:$S$874,$AA$2,BS_RE33!$N$7:$N$874,I55,BS_RE33!$P$7:$P$874,'30 days CF Table(AUD)'!G55,BS_RE33!$F$7:$F$874,'30 days CF Table(AUD)'!$C$2)</f>
        <v>0</v>
      </c>
      <c r="AB55" s="337">
        <f>SUMIFS(BS_RE33!$H$7:$H$874,BS_RE33!$S$7:$S$874,$AB$2,BS_RE33!$N$7:$N$874,I55,BS_RE33!$P$7:$P$874,'30 days CF Table(AUD)'!G55,BS_RE33!$F$7:$F$874,'30 days CF Table(AUD)'!$C$2)</f>
        <v>0</v>
      </c>
      <c r="AC55" s="337">
        <f>SUMIFS(BS_RE33!$H$7:$H$874,BS_RE33!$S$7:$S$874,$AC$2,BS_RE33!$N$7:$N$874,I55,BS_RE33!$P$7:$P$874,'30 days CF Table(AUD)'!G55,BS_RE33!$F$7:$F$874,'30 days CF Table(AUD)'!$C$2)</f>
        <v>0</v>
      </c>
      <c r="AD55" s="337">
        <f>SUMIFS(BS_RE33!$H$7:$H$874,BS_RE33!$S$7:$S$874,$AD$2,BS_RE33!$N$7:$N$874,I55,BS_RE33!$P$7:$P$874,'30 days CF Table(AUD)'!G55,BS_RE33!$F$7:$F$874,'30 days CF Table(AUD)'!$C$2)</f>
        <v>0</v>
      </c>
      <c r="AE55" s="337">
        <f>SUMIFS(BS_RE33!$H$7:$H$874,BS_RE33!$S$7:$S$874,$AE$2,BS_RE33!$N$7:$N$874,I55,BS_RE33!$P$7:$P$874,'30 days CF Table(AUD)'!G55,BS_RE33!$F$7:$F$874,'30 days CF Table(AUD)'!$C$2)</f>
        <v>0</v>
      </c>
      <c r="AF55" s="337">
        <f>SUMIFS(BS_RE33!$H$7:$H$874,BS_RE33!$S$7:$S$874,$AF$2,BS_RE33!$N$7:$N$874,I55,BS_RE33!$P$7:$P$874,'30 days CF Table(AUD)'!G55,BS_RE33!$F$7:$F$874,'30 days CF Table(AUD)'!$C$2)</f>
        <v>0</v>
      </c>
      <c r="AG55" s="337">
        <f>SUMIFS(BS_RE33!$H$7:$H$874,BS_RE33!$S$7:$S$874,$AG$2,BS_RE33!$N$7:$N$874,I55,BS_RE33!$P$7:$P$874,'30 days CF Table(AUD)'!G55,BS_RE33!$F$7:$F$874,'30 days CF Table(AUD)'!$C$2)</f>
        <v>0</v>
      </c>
      <c r="AH55" s="337">
        <f>SUMIFS(BS_RE33!$H$7:$H$874,BS_RE33!$S$7:$S$874,$AH$2,BS_RE33!$N$7:$N$874,I55,BS_RE33!$P$7:$P$874,'30 days CF Table(AUD)'!G55,BS_RE33!$F$7:$F$874,'30 days CF Table(AUD)'!$C$2)</f>
        <v>0</v>
      </c>
      <c r="AI55" s="337">
        <f>SUMIFS(BS_RE33!$H$7:$H$874,BS_RE33!$S$7:$S$874,$AI$2,BS_RE33!$N$7:$N$874,I55,BS_RE33!$P$7:$P$874,'30 days CF Table(AUD)'!G55,BS_RE33!$F$7:$F$874,'30 days CF Table(AUD)'!$C$2)</f>
        <v>0</v>
      </c>
      <c r="AJ55" s="337">
        <f>SUMIFS(BS_RE33!$H$7:$H$874,BS_RE33!$S$7:$S$874,$AJ$2,BS_RE33!$N$7:$N$874,I55,BS_RE33!$P$7:$P$874,'30 days CF Table(AUD)'!G55,BS_RE33!$F$7:$F$874,'30 days CF Table(AUD)'!$C$2)</f>
        <v>0</v>
      </c>
      <c r="AK55" s="337">
        <f>SUMIFS(BS_RE33!$H$7:$H$874,BS_RE33!$S$7:$S$874,$AK$2,BS_RE33!$N$7:$N$874,I55,BS_RE33!$P$7:$P$874,'30 days CF Table(AUD)'!G55,BS_RE33!$F$7:$F$874,'30 days CF Table(AUD)'!$C$2)</f>
        <v>0</v>
      </c>
      <c r="AL55" s="337">
        <f>SUMIFS(BS_RE33!$H$7:$H$874,BS_RE33!$S$7:$S$874,$AL$2,BS_RE33!$N$7:$N$874,I55,BS_RE33!$P$7:$P$874,'30 days CF Table(AUD)'!G55,BS_RE33!$F$7:$F$874,'30 days CF Table(AUD)'!$C$2)</f>
        <v>0</v>
      </c>
      <c r="AM55" s="337">
        <f>SUMIFS(BS_RE33!$H$7:$H$874,BS_RE33!$S$7:$S$874,$AM$2,BS_RE33!$N$7:$N$874,I55,BS_RE33!$P$7:$P$874,'30 days CF Table(AUD)'!G55,BS_RE33!$F$7:$F$874,'30 days CF Table(AUD)'!$C$2)</f>
        <v>0</v>
      </c>
      <c r="AN55" s="337">
        <f>SUMIFS(BS_RE33!$H$7:$H$874,BS_RE33!$S$7:$S$874,$AN$2,BS_RE33!$N$7:$N$874,I55,BS_RE33!$P$7:$P$874,'30 days CF Table(AUD)'!G55,BS_RE33!$F$7:$F$874,'30 days CF Table(AUD)'!$C$2)</f>
        <v>0</v>
      </c>
      <c r="AO55" s="337">
        <f>SUMIFS(BS_RE33!$H$7:$H$874,BS_RE33!$S$7:$S$874,$AO$2,BS_RE33!$N$7:$N$874,I55,BS_RE33!$P$7:$P$874,'30 days CF Table(AUD)'!G55,BS_RE33!$F$7:$F$874,'30 days CF Table(AUD)'!$C$2)</f>
        <v>0</v>
      </c>
      <c r="AP55" s="338">
        <f>SUMIFS(BS_RE33!$H$7:$H$874,BS_RE33!$S$7:$S$874,$AP$2,BS_RE33!$N$7:$N$874,I55,BS_RE33!$P$7:$P$874,'30 days CF Table(AUD)'!G55,BS_RE33!$F$7:$F$874,'30 days CF Table(AUD)'!$C$2)</f>
        <v>0</v>
      </c>
      <c r="AR55" s="379">
        <f>SUMIFS(BS_RE33!$H$7:$H$874,BS_RE33!$S$7:$S$874,$AR$2,BS_RE33!$N$7:$N$874,I55,BS_RE33!$P$7:$P$874,'30 days CF Table(AUD)'!G55,BS_RE33!$F$7:$F$874,'30 days CF Table(AUD)'!$C$2)</f>
        <v>0</v>
      </c>
      <c r="AS55" s="379">
        <f>SUMIFS(BS_RE33!$H$7:$H$874,BS_RE33!$S$7:$S$874,$AS$2,BS_RE33!$N$7:$N$874,I55,BS_RE33!$P$7:$P$874,'30 days CF Table(AUD)'!G55,BS_RE33!$F$7:$F$874,'30 days CF Table(AUD)'!$C$2)</f>
        <v>0</v>
      </c>
      <c r="AT55" s="379">
        <f>SUMIFS(BS_RE33!$H$7:$H$874,BS_RE33!$S$7:$S$874,$AT$2,BS_RE33!$N$7:$N$874,I55,BS_RE33!$P$7:$P$874,'30 days CF Table(AUD)'!G55,BS_RE33!$F$7:$F$874,'30 days CF Table(AUD)'!$C$2)</f>
        <v>0</v>
      </c>
      <c r="AU55" s="379">
        <f>SUMIFS(BS_RE33!$H$7:$H$874,BS_RE33!$S$7:$S$874,$AU$2,BS_RE33!$N$7:$N$874,I55,BS_RE33!$P$7:$P$874,'30 days CF Table(AUD)'!G55,BS_RE33!$F$7:$F$874,'30 days CF Table(AUD)'!$C$2)</f>
        <v>0</v>
      </c>
      <c r="AV55" s="379">
        <f>SUMIFS(BS_RE33!$H$7:$H$874,BS_RE33!$S$7:$S$874,$AV$2,BS_RE33!$N$7:$N$874,I55,BS_RE33!$P$7:$P$874,'30 days CF Table(AUD)'!G55,BS_RE33!$F$7:$F$874,'30 days CF Table(AUD)'!$C$2)</f>
        <v>0</v>
      </c>
      <c r="AW55" s="379">
        <f>SUMIFS(BS_RE33!$H$7:$H$874,BS_RE33!$S$7:$S$874,$AW$2,BS_RE33!$N$7:$N$874,I55,BS_RE33!$P$7:$P$874,'30 days CF Table(AUD)'!G55,BS_RE33!$F$7:$F$874,'30 days CF Table(AUD)'!$C$2)</f>
        <v>0</v>
      </c>
      <c r="AX55" s="379">
        <f>SUMIFS(BS_RE33!$H$7:$H$874,BS_RE33!$S$7:$S$874,$AX$2,BS_RE33!$N$7:$N$874,I55,BS_RE33!$P$7:$P$874,'30 days CF Table(AUD)'!G55,BS_RE33!$F$7:$F$874,'30 days CF Table(AUD)'!$C$2)</f>
        <v>0</v>
      </c>
      <c r="AY55" s="379">
        <f>SUMIFS(BS_RE33!$H$7:$H$874,BS_RE33!$S$7:$S$874,$AY$2,BS_RE33!$N$7:$N$874,I55,BS_RE33!$P$7:$P$874,'30 days CF Table(AUD)'!G55,BS_RE33!$F$7:$F$874,'30 days CF Table(AUD)'!$C$2)</f>
        <v>0</v>
      </c>
      <c r="AZ55" s="379">
        <f>SUMIFS(BS_RE33!$H$7:$H$874,BS_RE33!$S$7:$S$874,$AZ$2,BS_RE33!$N$7:$N$874,I55,BS_RE33!$P$7:$P$874,'30 days CF Table(AUD)'!G55,BS_RE33!$F$7:$F$874,'30 days CF Table(AUD)'!$C$2)</f>
        <v>0</v>
      </c>
      <c r="BA55" s="379">
        <f>SUMIFS(BS_RE33!$H$7:$H$874,BS_RE33!$S$7:$S$874,$BA$2,BS_RE33!$N$7:$N$874,I55,BS_RE33!$P$7:$P$874,'30 days CF Table(AUD)'!G55,BS_RE33!$F$7:$F$874,'30 days CF Table(AUD)'!$C$2)</f>
        <v>0</v>
      </c>
      <c r="BB55" s="379">
        <f>SUMIFS(BS_RE33!$H$7:$H$874,BS_RE33!$S$7:$S$874,$BB$2,BS_RE33!$N$7:$N$874,I55,BS_RE33!$P$7:$P$874,'30 days CF Table(AUD)'!G55,BS_RE33!$F$7:$F$874,'30 days CF Table(AUD)'!$C$2)</f>
        <v>0</v>
      </c>
      <c r="BC55" s="379">
        <f>SUMIFS(BS_RE33!$H$7:$H$874,BS_RE33!$S$7:$S$874,$BC$2,BS_RE33!$N$7:$N$874,I55,BS_RE33!$P$7:$P$874,'30 days CF Table(AUD)'!G55,BS_RE33!$F$7:$F$874,'30 days CF Table(AUD)'!$C$2)</f>
        <v>0</v>
      </c>
      <c r="BD55" s="379">
        <f>SUMIFS(BS_RE33!$H$7:$H$874,BS_RE33!$S$7:$S$874,$BD$2,BS_RE33!$N$7:$N$874,I55,BS_RE33!$P$7:$P$874,'30 days CF Table(AUD)'!G55,BS_RE33!$F$7:$F$874,'30 days CF Table(AUD)'!$C$2)</f>
        <v>0</v>
      </c>
      <c r="BE55" s="379">
        <f>SUMIFS(BS_RE33!$H$7:$H$874,BS_RE33!$S$7:$S$874,$BE$2,BS_RE33!$N$7:$N$874,I55,BS_RE33!$P$7:$P$874,'30 days CF Table(AUD)'!G55,BS_RE33!$F$7:$F$874,'30 days CF Table(AUD)'!$C$2)</f>
        <v>0</v>
      </c>
      <c r="BF55" s="379">
        <f>SUMIFS(BS_RE33!$H$7:$H$874,BS_RE33!$S$7:$S$874,$BF$2,BS_RE33!$N$7:$N$874,I55,BS_RE33!$P$7:$P$874,'30 days CF Table(AUD)'!G55,BS_RE33!$F$7:$F$874,'30 days CF Table(AUD)'!$C$2)</f>
        <v>0</v>
      </c>
      <c r="BG55" s="379">
        <f>SUMIFS(BS_RE33!$H$7:$H$874,BS_RE33!$S$7:$S$874,$BG$2,BS_RE33!$N$7:$N$874,I55,BS_RE33!$P$7:$P$874,'30 days CF Table(AUD)'!G55,BS_RE33!$F$7:$F$874,'30 days CF Table(AUD)'!$C$2)</f>
        <v>0</v>
      </c>
      <c r="BH55" s="379">
        <f>SUMIFS(BS_RE33!$H$7:$H$874,BS_RE33!$S$7:$S$874,$BH$2,BS_RE33!$N$7:$N$874,I55,BS_RE33!$P$7:$P$874,'30 days CF Table(AUD)'!G55,BS_RE33!$F$7:$F$874,'30 days CF Table(AUD)'!$C$2)</f>
        <v>0</v>
      </c>
      <c r="BI55" s="379">
        <f>SUMIFS(BS_RE33!$H$7:$H$874,BS_RE33!$S$7:$S$874,$BI$2,BS_RE33!$N$7:$N$874,I55,BS_RE33!$P$7:$P$874,'30 days CF Table(AUD)'!G55,BS_RE33!$F$7:$F$874,'30 days CF Table(AUD)'!$C$2)</f>
        <v>0</v>
      </c>
      <c r="BJ55" s="379">
        <f>SUMIFS(BS_RE33!$H$7:$H$874,BS_RE33!$S$7:$S$874,$BJ$2,BS_RE33!$N$7:$N$874,I55,BS_RE33!$P$7:$P$874,'30 days CF Table(AUD)'!G55,BS_RE33!$F$7:$F$874,'30 days CF Table(AUD)'!$C$2)</f>
        <v>0</v>
      </c>
      <c r="BK55" s="379">
        <f>SUMIFS(BS_RE33!$H$7:$H$874,BS_RE33!$S$7:$S$874,$BK$2,BS_RE33!$N$7:$N$874,I55,BS_RE33!$P$7:$P$874,'30 days CF Table(AUD)'!G55,BS_RE33!$F$7:$F$874,'30 days CF Table(AUD)'!$C$2)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Table(AUD)'!G56,BS_RE33!$F$7:$F$874,'30 days CF Table(AUD)'!$C$2)</f>
        <v>0</v>
      </c>
      <c r="M56" s="337">
        <f>SUMIFS(BS_RE33!$H$7:$H$874,BS_RE33!$S$7:$S$874,$M$2,BS_RE33!$N$7:$N$874,I56,BS_RE33!$P$7:$P$874,'30 days CF Table(AUD)'!G56,BS_RE33!$F$7:$F$874,'30 days CF Table(AUD)'!$C$2)</f>
        <v>0</v>
      </c>
      <c r="N56" s="337">
        <f>SUMIFS(BS_RE33!$H$7:$H$874,BS_RE33!$S$7:$S$874,$N$2,BS_RE33!$N$7:$N$874,I56,BS_RE33!$P$7:$P$874,'30 days CF Table(AUD)'!G56,BS_RE33!$F$7:$F$874,'30 days CF Table(AUD)'!$C$2)</f>
        <v>0</v>
      </c>
      <c r="O56" s="337">
        <f>SUMIFS(BS_RE33!$H$7:$H$874,BS_RE33!$S$7:$S$874,$O$2,BS_RE33!$N$7:$N$874,I56,BS_RE33!$P$7:$P$874,'30 days CF Table(AUD)'!G56,BS_RE33!$F$7:$F$874,'30 days CF Table(AUD)'!$C$2)</f>
        <v>0</v>
      </c>
      <c r="P56" s="337">
        <f>SUMIFS(BS_RE33!$H$7:$H$874,BS_RE33!$S$7:$S$874,$P$2,BS_RE33!$N$7:$N$874,I56,BS_RE33!$P$7:$P$874,'30 days CF Table(AUD)'!G56,BS_RE33!$F$7:$F$874,'30 days CF Table(AUD)'!$C$2)</f>
        <v>0</v>
      </c>
      <c r="Q56" s="337">
        <f>SUMIFS(BS_RE33!$H$7:$H$874,BS_RE33!$S$7:$S$874,$Q$2,BS_RE33!$N$7:$N$874,I56,BS_RE33!$P$7:$P$874,'30 days CF Table(AUD)'!G56,BS_RE33!$F$7:$F$874,'30 days CF Table(AUD)'!$C$2)</f>
        <v>0</v>
      </c>
      <c r="R56" s="337">
        <f>SUMIFS(BS_RE33!$H$7:$H$874,BS_RE33!$S$7:$S$874,$R$2,BS_RE33!$N$7:$N$874,I56,BS_RE33!$P$7:$P$874,'30 days CF Table(AUD)'!G56,BS_RE33!$F$7:$F$874,'30 days CF Table(AUD)'!$C$2)</f>
        <v>0</v>
      </c>
      <c r="S56" s="337">
        <f>SUMIFS(BS_RE33!$H$7:$H$874,BS_RE33!$S$7:$S$874,$S$2,BS_RE33!$N$7:$N$874,I56,BS_RE33!$P$7:$P$874,'30 days CF Table(AUD)'!G56,BS_RE33!$F$7:$F$874,'30 days CF Table(AUD)'!$C$2)</f>
        <v>0</v>
      </c>
      <c r="T56" s="337">
        <f>SUMIFS(BS_RE33!$H$7:$H$874,BS_RE33!$S$7:$S$874,$T$2,BS_RE33!$N$7:$N$874,I56,BS_RE33!$P$7:$P$874,'30 days CF Table(AUD)'!G56,BS_RE33!$F$7:$F$874,'30 days CF Table(AUD)'!$C$2)</f>
        <v>0</v>
      </c>
      <c r="U56" s="337">
        <f>SUMIFS(BS_RE33!$H$7:$H$874,BS_RE33!$S$7:$S$874,$U$2,BS_RE33!$N$7:$N$874,I56,BS_RE33!$P$7:$P$874,'30 days CF Table(AUD)'!G56,BS_RE33!$F$7:$F$874,'30 days CF Table(AUD)'!$C$2)</f>
        <v>0</v>
      </c>
      <c r="V56" s="337">
        <f>SUMIFS(BS_RE33!$H$7:$H$874,BS_RE33!$S$7:$S$874,$V$2,BS_RE33!$N$7:$N$874,I56,BS_RE33!$P$7:$P$874,'30 days CF Table(AUD)'!G56,BS_RE33!$F$7:$F$874,'30 days CF Table(AUD)'!$C$2)</f>
        <v>0</v>
      </c>
      <c r="W56" s="337">
        <f>SUMIFS(BS_RE33!$H$7:$H$874,BS_RE33!$S$7:$S$874,$W$2,BS_RE33!$N$7:$N$874,I56,BS_RE33!$P$7:$P$874,'30 days CF Table(AUD)'!G56,BS_RE33!$F$7:$F$874,'30 days CF Table(AUD)'!$C$2)</f>
        <v>0</v>
      </c>
      <c r="X56" s="337">
        <f>SUMIFS(BS_RE33!$H$7:$H$874,BS_RE33!$S$7:$S$874,$X$2,BS_RE33!$N$7:$N$874,I56,BS_RE33!$P$7:$P$874,'30 days CF Table(AUD)'!G56,BS_RE33!$F$7:$F$874,'30 days CF Table(AUD)'!$C$2)</f>
        <v>0</v>
      </c>
      <c r="Y56" s="337">
        <f>SUMIFS(BS_RE33!$H$7:$H$874,BS_RE33!$S$7:$S$874,$Y$2,BS_RE33!$N$7:$N$874,I56,BS_RE33!$P$7:$P$874,'30 days CF Table(AUD)'!G56,BS_RE33!$F$7:$F$874,'30 days CF Table(AUD)'!$C$2)</f>
        <v>0</v>
      </c>
      <c r="Z56" s="337">
        <f>SUMIFS(BS_RE33!$H$7:$H$874,BS_RE33!$S$7:$S$874,$Z$2,BS_RE33!$N$7:$N$874,I56,BS_RE33!$P$7:$P$874,'30 days CF Table(AUD)'!G56,BS_RE33!$F$7:$F$874,'30 days CF Table(AUD)'!$C$2)</f>
        <v>0</v>
      </c>
      <c r="AA56" s="337">
        <f>SUMIFS(BS_RE33!$H$7:$H$874,BS_RE33!$S$7:$S$874,$AA$2,BS_RE33!$N$7:$N$874,I56,BS_RE33!$P$7:$P$874,'30 days CF Table(AUD)'!G56,BS_RE33!$F$7:$F$874,'30 days CF Table(AUD)'!$C$2)</f>
        <v>0</v>
      </c>
      <c r="AB56" s="337">
        <f>SUMIFS(BS_RE33!$H$7:$H$874,BS_RE33!$S$7:$S$874,$AB$2,BS_RE33!$N$7:$N$874,I56,BS_RE33!$P$7:$P$874,'30 days CF Table(AUD)'!G56,BS_RE33!$F$7:$F$874,'30 days CF Table(AUD)'!$C$2)</f>
        <v>0</v>
      </c>
      <c r="AC56" s="337">
        <f>SUMIFS(BS_RE33!$H$7:$H$874,BS_RE33!$S$7:$S$874,$AC$2,BS_RE33!$N$7:$N$874,I56,BS_RE33!$P$7:$P$874,'30 days CF Table(AUD)'!G56,BS_RE33!$F$7:$F$874,'30 days CF Table(AUD)'!$C$2)</f>
        <v>0</v>
      </c>
      <c r="AD56" s="337">
        <f>SUMIFS(BS_RE33!$H$7:$H$874,BS_RE33!$S$7:$S$874,$AD$2,BS_RE33!$N$7:$N$874,I56,BS_RE33!$P$7:$P$874,'30 days CF Table(AUD)'!G56,BS_RE33!$F$7:$F$874,'30 days CF Table(AUD)'!$C$2)</f>
        <v>0</v>
      </c>
      <c r="AE56" s="337">
        <f>SUMIFS(BS_RE33!$H$7:$H$874,BS_RE33!$S$7:$S$874,$AE$2,BS_RE33!$N$7:$N$874,I56,BS_RE33!$P$7:$P$874,'30 days CF Table(AUD)'!G56,BS_RE33!$F$7:$F$874,'30 days CF Table(AUD)'!$C$2)</f>
        <v>0</v>
      </c>
      <c r="AF56" s="337">
        <f>SUMIFS(BS_RE33!$H$7:$H$874,BS_RE33!$S$7:$S$874,$AF$2,BS_RE33!$N$7:$N$874,I56,BS_RE33!$P$7:$P$874,'30 days CF Table(AUD)'!G56,BS_RE33!$F$7:$F$874,'30 days CF Table(AUD)'!$C$2)</f>
        <v>0</v>
      </c>
      <c r="AG56" s="337">
        <f>SUMIFS(BS_RE33!$H$7:$H$874,BS_RE33!$S$7:$S$874,$AG$2,BS_RE33!$N$7:$N$874,I56,BS_RE33!$P$7:$P$874,'30 days CF Table(AUD)'!G56,BS_RE33!$F$7:$F$874,'30 days CF Table(AUD)'!$C$2)</f>
        <v>0</v>
      </c>
      <c r="AH56" s="337">
        <f>SUMIFS(BS_RE33!$H$7:$H$874,BS_RE33!$S$7:$S$874,$AH$2,BS_RE33!$N$7:$N$874,I56,BS_RE33!$P$7:$P$874,'30 days CF Table(AUD)'!G56,BS_RE33!$F$7:$F$874,'30 days CF Table(AUD)'!$C$2)</f>
        <v>0</v>
      </c>
      <c r="AI56" s="337">
        <f>SUMIFS(BS_RE33!$H$7:$H$874,BS_RE33!$S$7:$S$874,$AI$2,BS_RE33!$N$7:$N$874,I56,BS_RE33!$P$7:$P$874,'30 days CF Table(AUD)'!G56,BS_RE33!$F$7:$F$874,'30 days CF Table(AUD)'!$C$2)</f>
        <v>0</v>
      </c>
      <c r="AJ56" s="337">
        <f>SUMIFS(BS_RE33!$H$7:$H$874,BS_RE33!$S$7:$S$874,$AJ$2,BS_RE33!$N$7:$N$874,I56,BS_RE33!$P$7:$P$874,'30 days CF Table(AUD)'!G56,BS_RE33!$F$7:$F$874,'30 days CF Table(AUD)'!$C$2)</f>
        <v>0</v>
      </c>
      <c r="AK56" s="337">
        <f>SUMIFS(BS_RE33!$H$7:$H$874,BS_RE33!$S$7:$S$874,$AK$2,BS_RE33!$N$7:$N$874,I56,BS_RE33!$P$7:$P$874,'30 days CF Table(AUD)'!G56,BS_RE33!$F$7:$F$874,'30 days CF Table(AUD)'!$C$2)</f>
        <v>0</v>
      </c>
      <c r="AL56" s="337">
        <f>SUMIFS(BS_RE33!$H$7:$H$874,BS_RE33!$S$7:$S$874,$AL$2,BS_RE33!$N$7:$N$874,I56,BS_RE33!$P$7:$P$874,'30 days CF Table(AUD)'!G56,BS_RE33!$F$7:$F$874,'30 days CF Table(AUD)'!$C$2)</f>
        <v>0</v>
      </c>
      <c r="AM56" s="337">
        <f>SUMIFS(BS_RE33!$H$7:$H$874,BS_RE33!$S$7:$S$874,$AM$2,BS_RE33!$N$7:$N$874,I56,BS_RE33!$P$7:$P$874,'30 days CF Table(AUD)'!G56,BS_RE33!$F$7:$F$874,'30 days CF Table(AUD)'!$C$2)</f>
        <v>0</v>
      </c>
      <c r="AN56" s="337">
        <f>SUMIFS(BS_RE33!$H$7:$H$874,BS_RE33!$S$7:$S$874,$AN$2,BS_RE33!$N$7:$N$874,I56,BS_RE33!$P$7:$P$874,'30 days CF Table(AUD)'!G56,BS_RE33!$F$7:$F$874,'30 days CF Table(AUD)'!$C$2)</f>
        <v>0</v>
      </c>
      <c r="AO56" s="337">
        <f>SUMIFS(BS_RE33!$H$7:$H$874,BS_RE33!$S$7:$S$874,$AO$2,BS_RE33!$N$7:$N$874,I56,BS_RE33!$P$7:$P$874,'30 days CF Table(AUD)'!G56,BS_RE33!$F$7:$F$874,'30 days CF Table(AUD)'!$C$2)</f>
        <v>0</v>
      </c>
      <c r="AP56" s="338">
        <f>SUMIFS(BS_RE33!$H$7:$H$874,BS_RE33!$S$7:$S$874,$AP$2,BS_RE33!$N$7:$N$874,I56,BS_RE33!$P$7:$P$874,'30 days CF Table(AUD)'!G56,BS_RE33!$F$7:$F$874,'30 days CF Table(AUD)'!$C$2)</f>
        <v>0</v>
      </c>
      <c r="AR56" s="379">
        <f>SUMIFS(BS_RE33!$H$7:$H$874,BS_RE33!$S$7:$S$874,$AR$2,BS_RE33!$N$7:$N$874,I56,BS_RE33!$P$7:$P$874,'30 days CF Table(AUD)'!G56,BS_RE33!$F$7:$F$874,'30 days CF Table(AUD)'!$C$2)</f>
        <v>0</v>
      </c>
      <c r="AS56" s="379">
        <f>SUMIFS(BS_RE33!$H$7:$H$874,BS_RE33!$S$7:$S$874,$AS$2,BS_RE33!$N$7:$N$874,I56,BS_RE33!$P$7:$P$874,'30 days CF Table(AUD)'!G56,BS_RE33!$F$7:$F$874,'30 days CF Table(AUD)'!$C$2)</f>
        <v>0</v>
      </c>
      <c r="AT56" s="379">
        <f>SUMIFS(BS_RE33!$H$7:$H$874,BS_RE33!$S$7:$S$874,$AT$2,BS_RE33!$N$7:$N$874,I56,BS_RE33!$P$7:$P$874,'30 days CF Table(AUD)'!G56,BS_RE33!$F$7:$F$874,'30 days CF Table(AUD)'!$C$2)</f>
        <v>0</v>
      </c>
      <c r="AU56" s="379">
        <f>SUMIFS(BS_RE33!$H$7:$H$874,BS_RE33!$S$7:$S$874,$AU$2,BS_RE33!$N$7:$N$874,I56,BS_RE33!$P$7:$P$874,'30 days CF Table(AUD)'!G56,BS_RE33!$F$7:$F$874,'30 days CF Table(AUD)'!$C$2)</f>
        <v>0</v>
      </c>
      <c r="AV56" s="379">
        <f>SUMIFS(BS_RE33!$H$7:$H$874,BS_RE33!$S$7:$S$874,$AV$2,BS_RE33!$N$7:$N$874,I56,BS_RE33!$P$7:$P$874,'30 days CF Table(AUD)'!G56,BS_RE33!$F$7:$F$874,'30 days CF Table(AUD)'!$C$2)</f>
        <v>0</v>
      </c>
      <c r="AW56" s="379">
        <f>SUMIFS(BS_RE33!$H$7:$H$874,BS_RE33!$S$7:$S$874,$AW$2,BS_RE33!$N$7:$N$874,I56,BS_RE33!$P$7:$P$874,'30 days CF Table(AUD)'!G56,BS_RE33!$F$7:$F$874,'30 days CF Table(AUD)'!$C$2)</f>
        <v>0</v>
      </c>
      <c r="AX56" s="379">
        <f>SUMIFS(BS_RE33!$H$7:$H$874,BS_RE33!$S$7:$S$874,$AX$2,BS_RE33!$N$7:$N$874,I56,BS_RE33!$P$7:$P$874,'30 days CF Table(AUD)'!G56,BS_RE33!$F$7:$F$874,'30 days CF Table(AUD)'!$C$2)</f>
        <v>0</v>
      </c>
      <c r="AY56" s="379">
        <f>SUMIFS(BS_RE33!$H$7:$H$874,BS_RE33!$S$7:$S$874,$AY$2,BS_RE33!$N$7:$N$874,I56,BS_RE33!$P$7:$P$874,'30 days CF Table(AUD)'!G56,BS_RE33!$F$7:$F$874,'30 days CF Table(AUD)'!$C$2)</f>
        <v>0</v>
      </c>
      <c r="AZ56" s="379">
        <f>SUMIFS(BS_RE33!$H$7:$H$874,BS_RE33!$S$7:$S$874,$AZ$2,BS_RE33!$N$7:$N$874,I56,BS_RE33!$P$7:$P$874,'30 days CF Table(AUD)'!G56,BS_RE33!$F$7:$F$874,'30 days CF Table(AUD)'!$C$2)</f>
        <v>0</v>
      </c>
      <c r="BA56" s="379">
        <f>SUMIFS(BS_RE33!$H$7:$H$874,BS_RE33!$S$7:$S$874,$BA$2,BS_RE33!$N$7:$N$874,I56,BS_RE33!$P$7:$P$874,'30 days CF Table(AUD)'!G56,BS_RE33!$F$7:$F$874,'30 days CF Table(AUD)'!$C$2)</f>
        <v>0</v>
      </c>
      <c r="BB56" s="379">
        <f>SUMIFS(BS_RE33!$H$7:$H$874,BS_RE33!$S$7:$S$874,$BB$2,BS_RE33!$N$7:$N$874,I56,BS_RE33!$P$7:$P$874,'30 days CF Table(AUD)'!G56,BS_RE33!$F$7:$F$874,'30 days CF Table(AUD)'!$C$2)</f>
        <v>0</v>
      </c>
      <c r="BC56" s="379">
        <f>SUMIFS(BS_RE33!$H$7:$H$874,BS_RE33!$S$7:$S$874,$BC$2,BS_RE33!$N$7:$N$874,I56,BS_RE33!$P$7:$P$874,'30 days CF Table(AUD)'!G56,BS_RE33!$F$7:$F$874,'30 days CF Table(AUD)'!$C$2)</f>
        <v>0</v>
      </c>
      <c r="BD56" s="379">
        <f>SUMIFS(BS_RE33!$H$7:$H$874,BS_RE33!$S$7:$S$874,$BD$2,BS_RE33!$N$7:$N$874,I56,BS_RE33!$P$7:$P$874,'30 days CF Table(AUD)'!G56,BS_RE33!$F$7:$F$874,'30 days CF Table(AUD)'!$C$2)</f>
        <v>0</v>
      </c>
      <c r="BE56" s="379">
        <f>SUMIFS(BS_RE33!$H$7:$H$874,BS_RE33!$S$7:$S$874,$BE$2,BS_RE33!$N$7:$N$874,I56,BS_RE33!$P$7:$P$874,'30 days CF Table(AUD)'!G56,BS_RE33!$F$7:$F$874,'30 days CF Table(AUD)'!$C$2)</f>
        <v>0</v>
      </c>
      <c r="BF56" s="379">
        <f>SUMIFS(BS_RE33!$H$7:$H$874,BS_RE33!$S$7:$S$874,$BF$2,BS_RE33!$N$7:$N$874,I56,BS_RE33!$P$7:$P$874,'30 days CF Table(AUD)'!G56,BS_RE33!$F$7:$F$874,'30 days CF Table(AUD)'!$C$2)</f>
        <v>0</v>
      </c>
      <c r="BG56" s="379">
        <f>SUMIFS(BS_RE33!$H$7:$H$874,BS_RE33!$S$7:$S$874,$BG$2,BS_RE33!$N$7:$N$874,I56,BS_RE33!$P$7:$P$874,'30 days CF Table(AUD)'!G56,BS_RE33!$F$7:$F$874,'30 days CF Table(AUD)'!$C$2)</f>
        <v>0</v>
      </c>
      <c r="BH56" s="379">
        <f>SUMIFS(BS_RE33!$H$7:$H$874,BS_RE33!$S$7:$S$874,$BH$2,BS_RE33!$N$7:$N$874,I56,BS_RE33!$P$7:$P$874,'30 days CF Table(AUD)'!G56,BS_RE33!$F$7:$F$874,'30 days CF Table(AUD)'!$C$2)</f>
        <v>0</v>
      </c>
      <c r="BI56" s="379">
        <f>SUMIFS(BS_RE33!$H$7:$H$874,BS_RE33!$S$7:$S$874,$BI$2,BS_RE33!$N$7:$N$874,I56,BS_RE33!$P$7:$P$874,'30 days CF Table(AUD)'!G56,BS_RE33!$F$7:$F$874,'30 days CF Table(AUD)'!$C$2)</f>
        <v>0</v>
      </c>
      <c r="BJ56" s="379">
        <f>SUMIFS(BS_RE33!$H$7:$H$874,BS_RE33!$S$7:$S$874,$BJ$2,BS_RE33!$N$7:$N$874,I56,BS_RE33!$P$7:$P$874,'30 days CF Table(AUD)'!G56,BS_RE33!$F$7:$F$874,'30 days CF Table(AUD)'!$C$2)</f>
        <v>0</v>
      </c>
      <c r="BK56" s="379">
        <f>SUMIFS(BS_RE33!$H$7:$H$874,BS_RE33!$S$7:$S$874,$BK$2,BS_RE33!$N$7:$N$874,I56,BS_RE33!$P$7:$P$874,'30 days CF Table(AUD)'!G56,BS_RE33!$F$7:$F$874,'30 days CF Table(AUD)'!$C$2)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Table(AUD)'!G57,BS_RE33!$F$7:$F$874,'30 days CF Table(AUD)'!$C$2)</f>
        <v>0</v>
      </c>
      <c r="M57" s="337">
        <f>SUMIFS(BS_RE33!$H$7:$H$874,BS_RE33!$S$7:$S$874,$M$2,BS_RE33!$N$7:$N$874,I57,BS_RE33!$P$7:$P$874,'30 days CF Table(AUD)'!G57,BS_RE33!$F$7:$F$874,'30 days CF Table(AUD)'!$C$2)</f>
        <v>0</v>
      </c>
      <c r="N57" s="337">
        <f>SUMIFS(BS_RE33!$H$7:$H$874,BS_RE33!$S$7:$S$874,$N$2,BS_RE33!$N$7:$N$874,I57,BS_RE33!$P$7:$P$874,'30 days CF Table(AUD)'!G57,BS_RE33!$F$7:$F$874,'30 days CF Table(AUD)'!$C$2)</f>
        <v>0</v>
      </c>
      <c r="O57" s="337">
        <f>SUMIFS(BS_RE33!$H$7:$H$874,BS_RE33!$S$7:$S$874,$O$2,BS_RE33!$N$7:$N$874,I57,BS_RE33!$P$7:$P$874,'30 days CF Table(AUD)'!G57,BS_RE33!$F$7:$F$874,'30 days CF Table(AUD)'!$C$2)</f>
        <v>0</v>
      </c>
      <c r="P57" s="337">
        <f>SUMIFS(BS_RE33!$H$7:$H$874,BS_RE33!$S$7:$S$874,$P$2,BS_RE33!$N$7:$N$874,I57,BS_RE33!$P$7:$P$874,'30 days CF Table(AUD)'!G57,BS_RE33!$F$7:$F$874,'30 days CF Table(AUD)'!$C$2)</f>
        <v>0</v>
      </c>
      <c r="Q57" s="337">
        <f>SUMIFS(BS_RE33!$H$7:$H$874,BS_RE33!$S$7:$S$874,$Q$2,BS_RE33!$N$7:$N$874,I57,BS_RE33!$P$7:$P$874,'30 days CF Table(AUD)'!G57,BS_RE33!$F$7:$F$874,'30 days CF Table(AUD)'!$C$2)</f>
        <v>0</v>
      </c>
      <c r="R57" s="337">
        <f>SUMIFS(BS_RE33!$H$7:$H$874,BS_RE33!$S$7:$S$874,$R$2,BS_RE33!$N$7:$N$874,I57,BS_RE33!$P$7:$P$874,'30 days CF Table(AUD)'!G57,BS_RE33!$F$7:$F$874,'30 days CF Table(AUD)'!$C$2)</f>
        <v>0</v>
      </c>
      <c r="S57" s="337">
        <f>SUMIFS(BS_RE33!$H$7:$H$874,BS_RE33!$S$7:$S$874,$S$2,BS_RE33!$N$7:$N$874,I57,BS_RE33!$P$7:$P$874,'30 days CF Table(AUD)'!G57,BS_RE33!$F$7:$F$874,'30 days CF Table(AUD)'!$C$2)</f>
        <v>0</v>
      </c>
      <c r="T57" s="337">
        <f>SUMIFS(BS_RE33!$H$7:$H$874,BS_RE33!$S$7:$S$874,$T$2,BS_RE33!$N$7:$N$874,I57,BS_RE33!$P$7:$P$874,'30 days CF Table(AUD)'!G57,BS_RE33!$F$7:$F$874,'30 days CF Table(AUD)'!$C$2)</f>
        <v>0</v>
      </c>
      <c r="U57" s="337">
        <f>SUMIFS(BS_RE33!$H$7:$H$874,BS_RE33!$S$7:$S$874,$U$2,BS_RE33!$N$7:$N$874,I57,BS_RE33!$P$7:$P$874,'30 days CF Table(AUD)'!G57,BS_RE33!$F$7:$F$874,'30 days CF Table(AUD)'!$C$2)</f>
        <v>0</v>
      </c>
      <c r="V57" s="337">
        <f>SUMIFS(BS_RE33!$H$7:$H$874,BS_RE33!$S$7:$S$874,$V$2,BS_RE33!$N$7:$N$874,I57,BS_RE33!$P$7:$P$874,'30 days CF Table(AUD)'!G57,BS_RE33!$F$7:$F$874,'30 days CF Table(AUD)'!$C$2)</f>
        <v>0</v>
      </c>
      <c r="W57" s="337">
        <f>SUMIFS(BS_RE33!$H$7:$H$874,BS_RE33!$S$7:$S$874,$W$2,BS_RE33!$N$7:$N$874,I57,BS_RE33!$P$7:$P$874,'30 days CF Table(AUD)'!G57,BS_RE33!$F$7:$F$874,'30 days CF Table(AUD)'!$C$2)</f>
        <v>0</v>
      </c>
      <c r="X57" s="337">
        <f>SUMIFS(BS_RE33!$H$7:$H$874,BS_RE33!$S$7:$S$874,$X$2,BS_RE33!$N$7:$N$874,I57,BS_RE33!$P$7:$P$874,'30 days CF Table(AUD)'!G57,BS_RE33!$F$7:$F$874,'30 days CF Table(AUD)'!$C$2)</f>
        <v>0</v>
      </c>
      <c r="Y57" s="337">
        <f>SUMIFS(BS_RE33!$H$7:$H$874,BS_RE33!$S$7:$S$874,$Y$2,BS_RE33!$N$7:$N$874,I57,BS_RE33!$P$7:$P$874,'30 days CF Table(AUD)'!G57,BS_RE33!$F$7:$F$874,'30 days CF Table(AUD)'!$C$2)</f>
        <v>0</v>
      </c>
      <c r="Z57" s="337">
        <f>SUMIFS(BS_RE33!$H$7:$H$874,BS_RE33!$S$7:$S$874,$Z$2,BS_RE33!$N$7:$N$874,I57,BS_RE33!$P$7:$P$874,'30 days CF Table(AUD)'!G57,BS_RE33!$F$7:$F$874,'30 days CF Table(AUD)'!$C$2)</f>
        <v>0</v>
      </c>
      <c r="AA57" s="337">
        <f>SUMIFS(BS_RE33!$H$7:$H$874,BS_RE33!$S$7:$S$874,$AA$2,BS_RE33!$N$7:$N$874,I57,BS_RE33!$P$7:$P$874,'30 days CF Table(AUD)'!G57,BS_RE33!$F$7:$F$874,'30 days CF Table(AUD)'!$C$2)</f>
        <v>0</v>
      </c>
      <c r="AB57" s="337">
        <f>SUMIFS(BS_RE33!$H$7:$H$874,BS_RE33!$S$7:$S$874,$AB$2,BS_RE33!$N$7:$N$874,I57,BS_RE33!$P$7:$P$874,'30 days CF Table(AUD)'!G57,BS_RE33!$F$7:$F$874,'30 days CF Table(AUD)'!$C$2)</f>
        <v>0</v>
      </c>
      <c r="AC57" s="337">
        <f>SUMIFS(BS_RE33!$H$7:$H$874,BS_RE33!$S$7:$S$874,$AC$2,BS_RE33!$N$7:$N$874,I57,BS_RE33!$P$7:$P$874,'30 days CF Table(AUD)'!G57,BS_RE33!$F$7:$F$874,'30 days CF Table(AUD)'!$C$2)</f>
        <v>0</v>
      </c>
      <c r="AD57" s="337">
        <f>SUMIFS(BS_RE33!$H$7:$H$874,BS_RE33!$S$7:$S$874,$AD$2,BS_RE33!$N$7:$N$874,I57,BS_RE33!$P$7:$P$874,'30 days CF Table(AUD)'!G57,BS_RE33!$F$7:$F$874,'30 days CF Table(AUD)'!$C$2)</f>
        <v>0</v>
      </c>
      <c r="AE57" s="337">
        <f>SUMIFS(BS_RE33!$H$7:$H$874,BS_RE33!$S$7:$S$874,$AE$2,BS_RE33!$N$7:$N$874,I57,BS_RE33!$P$7:$P$874,'30 days CF Table(AUD)'!G57,BS_RE33!$F$7:$F$874,'30 days CF Table(AUD)'!$C$2)</f>
        <v>0</v>
      </c>
      <c r="AF57" s="337">
        <f>SUMIFS(BS_RE33!$H$7:$H$874,BS_RE33!$S$7:$S$874,$AF$2,BS_RE33!$N$7:$N$874,I57,BS_RE33!$P$7:$P$874,'30 days CF Table(AUD)'!G57,BS_RE33!$F$7:$F$874,'30 days CF Table(AUD)'!$C$2)</f>
        <v>0</v>
      </c>
      <c r="AG57" s="337">
        <f>SUMIFS(BS_RE33!$H$7:$H$874,BS_RE33!$S$7:$S$874,$AG$2,BS_RE33!$N$7:$N$874,I57,BS_RE33!$P$7:$P$874,'30 days CF Table(AUD)'!G57,BS_RE33!$F$7:$F$874,'30 days CF Table(AUD)'!$C$2)</f>
        <v>0</v>
      </c>
      <c r="AH57" s="337">
        <f>SUMIFS(BS_RE33!$H$7:$H$874,BS_RE33!$S$7:$S$874,$AH$2,BS_RE33!$N$7:$N$874,I57,BS_RE33!$P$7:$P$874,'30 days CF Table(AUD)'!G57,BS_RE33!$F$7:$F$874,'30 days CF Table(AUD)'!$C$2)</f>
        <v>0</v>
      </c>
      <c r="AI57" s="337">
        <f>SUMIFS(BS_RE33!$H$7:$H$874,BS_RE33!$S$7:$S$874,$AI$2,BS_RE33!$N$7:$N$874,I57,BS_RE33!$P$7:$P$874,'30 days CF Table(AUD)'!G57,BS_RE33!$F$7:$F$874,'30 days CF Table(AUD)'!$C$2)</f>
        <v>0</v>
      </c>
      <c r="AJ57" s="337">
        <f>SUMIFS(BS_RE33!$H$7:$H$874,BS_RE33!$S$7:$S$874,$AJ$2,BS_RE33!$N$7:$N$874,I57,BS_RE33!$P$7:$P$874,'30 days CF Table(AUD)'!G57,BS_RE33!$F$7:$F$874,'30 days CF Table(AUD)'!$C$2)</f>
        <v>0</v>
      </c>
      <c r="AK57" s="337">
        <f>SUMIFS(BS_RE33!$H$7:$H$874,BS_RE33!$S$7:$S$874,$AK$2,BS_RE33!$N$7:$N$874,I57,BS_RE33!$P$7:$P$874,'30 days CF Table(AUD)'!G57,BS_RE33!$F$7:$F$874,'30 days CF Table(AUD)'!$C$2)</f>
        <v>0</v>
      </c>
      <c r="AL57" s="337">
        <f>SUMIFS(BS_RE33!$H$7:$H$874,BS_RE33!$S$7:$S$874,$AL$2,BS_RE33!$N$7:$N$874,I57,BS_RE33!$P$7:$P$874,'30 days CF Table(AUD)'!G57,BS_RE33!$F$7:$F$874,'30 days CF Table(AUD)'!$C$2)</f>
        <v>0</v>
      </c>
      <c r="AM57" s="337">
        <f>SUMIFS(BS_RE33!$H$7:$H$874,BS_RE33!$S$7:$S$874,$AM$2,BS_RE33!$N$7:$N$874,I57,BS_RE33!$P$7:$P$874,'30 days CF Table(AUD)'!G57,BS_RE33!$F$7:$F$874,'30 days CF Table(AUD)'!$C$2)</f>
        <v>0</v>
      </c>
      <c r="AN57" s="337">
        <f>SUMIFS(BS_RE33!$H$7:$H$874,BS_RE33!$S$7:$S$874,$AN$2,BS_RE33!$N$7:$N$874,I57,BS_RE33!$P$7:$P$874,'30 days CF Table(AUD)'!G57,BS_RE33!$F$7:$F$874,'30 days CF Table(AUD)'!$C$2)</f>
        <v>0</v>
      </c>
      <c r="AO57" s="337">
        <f>SUMIFS(BS_RE33!$H$7:$H$874,BS_RE33!$S$7:$S$874,$AO$2,BS_RE33!$N$7:$N$874,I57,BS_RE33!$P$7:$P$874,'30 days CF Table(AUD)'!G57,BS_RE33!$F$7:$F$874,'30 days CF Table(AUD)'!$C$2)</f>
        <v>0</v>
      </c>
      <c r="AP57" s="338">
        <f>SUMIFS(BS_RE33!$H$7:$H$874,BS_RE33!$S$7:$S$874,$AP$2,BS_RE33!$N$7:$N$874,I57,BS_RE33!$P$7:$P$874,'30 days CF Table(AUD)'!G57,BS_RE33!$F$7:$F$874,'30 days CF Table(AUD)'!$C$2)</f>
        <v>0</v>
      </c>
      <c r="AR57" s="379">
        <f>SUMIFS(BS_RE33!$H$7:$H$874,BS_RE33!$S$7:$S$874,$AR$2,BS_RE33!$N$7:$N$874,I57,BS_RE33!$P$7:$P$874,'30 days CF Table(AUD)'!G57,BS_RE33!$F$7:$F$874,'30 days CF Table(AUD)'!$C$2)</f>
        <v>0</v>
      </c>
      <c r="AS57" s="379">
        <f>SUMIFS(BS_RE33!$H$7:$H$874,BS_RE33!$S$7:$S$874,$AS$2,BS_RE33!$N$7:$N$874,I57,BS_RE33!$P$7:$P$874,'30 days CF Table(AUD)'!G57,BS_RE33!$F$7:$F$874,'30 days CF Table(AUD)'!$C$2)</f>
        <v>0</v>
      </c>
      <c r="AT57" s="379">
        <f>SUMIFS(BS_RE33!$H$7:$H$874,BS_RE33!$S$7:$S$874,$AT$2,BS_RE33!$N$7:$N$874,I57,BS_RE33!$P$7:$P$874,'30 days CF Table(AUD)'!G57,BS_RE33!$F$7:$F$874,'30 days CF Table(AUD)'!$C$2)</f>
        <v>0</v>
      </c>
      <c r="AU57" s="379">
        <f>SUMIFS(BS_RE33!$H$7:$H$874,BS_RE33!$S$7:$S$874,$AU$2,BS_RE33!$N$7:$N$874,I57,BS_RE33!$P$7:$P$874,'30 days CF Table(AUD)'!G57,BS_RE33!$F$7:$F$874,'30 days CF Table(AUD)'!$C$2)</f>
        <v>0</v>
      </c>
      <c r="AV57" s="379">
        <f>SUMIFS(BS_RE33!$H$7:$H$874,BS_RE33!$S$7:$S$874,$AV$2,BS_RE33!$N$7:$N$874,I57,BS_RE33!$P$7:$P$874,'30 days CF Table(AUD)'!G57,BS_RE33!$F$7:$F$874,'30 days CF Table(AUD)'!$C$2)</f>
        <v>0</v>
      </c>
      <c r="AW57" s="379">
        <f>SUMIFS(BS_RE33!$H$7:$H$874,BS_RE33!$S$7:$S$874,$AW$2,BS_RE33!$N$7:$N$874,I57,BS_RE33!$P$7:$P$874,'30 days CF Table(AUD)'!G57,BS_RE33!$F$7:$F$874,'30 days CF Table(AUD)'!$C$2)</f>
        <v>0</v>
      </c>
      <c r="AX57" s="379">
        <f>SUMIFS(BS_RE33!$H$7:$H$874,BS_RE33!$S$7:$S$874,$AX$2,BS_RE33!$N$7:$N$874,I57,BS_RE33!$P$7:$P$874,'30 days CF Table(AUD)'!G57,BS_RE33!$F$7:$F$874,'30 days CF Table(AUD)'!$C$2)</f>
        <v>0</v>
      </c>
      <c r="AY57" s="379">
        <f>SUMIFS(BS_RE33!$H$7:$H$874,BS_RE33!$S$7:$S$874,$AY$2,BS_RE33!$N$7:$N$874,I57,BS_RE33!$P$7:$P$874,'30 days CF Table(AUD)'!G57,BS_RE33!$F$7:$F$874,'30 days CF Table(AUD)'!$C$2)</f>
        <v>0</v>
      </c>
      <c r="AZ57" s="379">
        <f>SUMIFS(BS_RE33!$H$7:$H$874,BS_RE33!$S$7:$S$874,$AZ$2,BS_RE33!$N$7:$N$874,I57,BS_RE33!$P$7:$P$874,'30 days CF Table(AUD)'!G57,BS_RE33!$F$7:$F$874,'30 days CF Table(AUD)'!$C$2)</f>
        <v>0</v>
      </c>
      <c r="BA57" s="379">
        <f>SUMIFS(BS_RE33!$H$7:$H$874,BS_RE33!$S$7:$S$874,$BA$2,BS_RE33!$N$7:$N$874,I57,BS_RE33!$P$7:$P$874,'30 days CF Table(AUD)'!G57,BS_RE33!$F$7:$F$874,'30 days CF Table(AUD)'!$C$2)</f>
        <v>0</v>
      </c>
      <c r="BB57" s="379">
        <f>SUMIFS(BS_RE33!$H$7:$H$874,BS_RE33!$S$7:$S$874,$BB$2,BS_RE33!$N$7:$N$874,I57,BS_RE33!$P$7:$P$874,'30 days CF Table(AUD)'!G57,BS_RE33!$F$7:$F$874,'30 days CF Table(AUD)'!$C$2)</f>
        <v>0</v>
      </c>
      <c r="BC57" s="379">
        <f>SUMIFS(BS_RE33!$H$7:$H$874,BS_RE33!$S$7:$S$874,$BC$2,BS_RE33!$N$7:$N$874,I57,BS_RE33!$P$7:$P$874,'30 days CF Table(AUD)'!G57,BS_RE33!$F$7:$F$874,'30 days CF Table(AUD)'!$C$2)</f>
        <v>0</v>
      </c>
      <c r="BD57" s="379">
        <f>SUMIFS(BS_RE33!$H$7:$H$874,BS_RE33!$S$7:$S$874,$BD$2,BS_RE33!$N$7:$N$874,I57,BS_RE33!$P$7:$P$874,'30 days CF Table(AUD)'!G57,BS_RE33!$F$7:$F$874,'30 days CF Table(AUD)'!$C$2)</f>
        <v>0</v>
      </c>
      <c r="BE57" s="379">
        <f>SUMIFS(BS_RE33!$H$7:$H$874,BS_RE33!$S$7:$S$874,$BE$2,BS_RE33!$N$7:$N$874,I57,BS_RE33!$P$7:$P$874,'30 days CF Table(AUD)'!G57,BS_RE33!$F$7:$F$874,'30 days CF Table(AUD)'!$C$2)</f>
        <v>0</v>
      </c>
      <c r="BF57" s="379">
        <f>SUMIFS(BS_RE33!$H$7:$H$874,BS_RE33!$S$7:$S$874,$BF$2,BS_RE33!$N$7:$N$874,I57,BS_RE33!$P$7:$P$874,'30 days CF Table(AUD)'!G57,BS_RE33!$F$7:$F$874,'30 days CF Table(AUD)'!$C$2)</f>
        <v>0</v>
      </c>
      <c r="BG57" s="379">
        <f>SUMIFS(BS_RE33!$H$7:$H$874,BS_RE33!$S$7:$S$874,$BG$2,BS_RE33!$N$7:$N$874,I57,BS_RE33!$P$7:$P$874,'30 days CF Table(AUD)'!G57,BS_RE33!$F$7:$F$874,'30 days CF Table(AUD)'!$C$2)</f>
        <v>0</v>
      </c>
      <c r="BH57" s="379">
        <f>SUMIFS(BS_RE33!$H$7:$H$874,BS_RE33!$S$7:$S$874,$BH$2,BS_RE33!$N$7:$N$874,I57,BS_RE33!$P$7:$P$874,'30 days CF Table(AUD)'!G57,BS_RE33!$F$7:$F$874,'30 days CF Table(AUD)'!$C$2)</f>
        <v>0</v>
      </c>
      <c r="BI57" s="379">
        <f>SUMIFS(BS_RE33!$H$7:$H$874,BS_RE33!$S$7:$S$874,$BI$2,BS_RE33!$N$7:$N$874,I57,BS_RE33!$P$7:$P$874,'30 days CF Table(AUD)'!G57,BS_RE33!$F$7:$F$874,'30 days CF Table(AUD)'!$C$2)</f>
        <v>0</v>
      </c>
      <c r="BJ57" s="379">
        <f>SUMIFS(BS_RE33!$H$7:$H$874,BS_RE33!$S$7:$S$874,$BJ$2,BS_RE33!$N$7:$N$874,I57,BS_RE33!$P$7:$P$874,'30 days CF Table(AUD)'!G57,BS_RE33!$F$7:$F$874,'30 days CF Table(AUD)'!$C$2)</f>
        <v>0</v>
      </c>
      <c r="BK57" s="379">
        <f>SUMIFS(BS_RE33!$H$7:$H$874,BS_RE33!$S$7:$S$874,$BK$2,BS_RE33!$N$7:$N$874,I57,BS_RE33!$P$7:$P$874,'30 days CF Table(AUD)'!G57,BS_RE33!$F$7:$F$874,'30 days CF Table(AUD)'!$C$2)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Table(AUD)'!G58,BS_RE33!$F$7:$F$874,'30 days CF Table(AUD)'!$C$2)</f>
        <v>0</v>
      </c>
      <c r="M58" s="337">
        <f>SUMIFS(BS_RE33!$H$7:$H$874,BS_RE33!$S$7:$S$874,$M$2,BS_RE33!$N$7:$N$874,I58,BS_RE33!$P$7:$P$874,'30 days CF Table(AUD)'!G58,BS_RE33!$F$7:$F$874,'30 days CF Table(AUD)'!$C$2)</f>
        <v>0</v>
      </c>
      <c r="N58" s="337">
        <f>SUMIFS(BS_RE33!$H$7:$H$874,BS_RE33!$S$7:$S$874,$N$2,BS_RE33!$N$7:$N$874,I58,BS_RE33!$P$7:$P$874,'30 days CF Table(AUD)'!G58,BS_RE33!$F$7:$F$874,'30 days CF Table(AUD)'!$C$2)</f>
        <v>0</v>
      </c>
      <c r="O58" s="337">
        <f>SUMIFS(BS_RE33!$H$7:$H$874,BS_RE33!$S$7:$S$874,$O$2,BS_RE33!$N$7:$N$874,I58,BS_RE33!$P$7:$P$874,'30 days CF Table(AUD)'!G58,BS_RE33!$F$7:$F$874,'30 days CF Table(AUD)'!$C$2)</f>
        <v>0</v>
      </c>
      <c r="P58" s="337">
        <f>SUMIFS(BS_RE33!$H$7:$H$874,BS_RE33!$S$7:$S$874,$P$2,BS_RE33!$N$7:$N$874,I58,BS_RE33!$P$7:$P$874,'30 days CF Table(AUD)'!G58,BS_RE33!$F$7:$F$874,'30 days CF Table(AUD)'!$C$2)</f>
        <v>0</v>
      </c>
      <c r="Q58" s="337">
        <f>SUMIFS(BS_RE33!$H$7:$H$874,BS_RE33!$S$7:$S$874,$Q$2,BS_RE33!$N$7:$N$874,I58,BS_RE33!$P$7:$P$874,'30 days CF Table(AUD)'!G58,BS_RE33!$F$7:$F$874,'30 days CF Table(AUD)'!$C$2)</f>
        <v>0</v>
      </c>
      <c r="R58" s="337">
        <f>SUMIFS(BS_RE33!$H$7:$H$874,BS_RE33!$S$7:$S$874,$R$2,BS_RE33!$N$7:$N$874,I58,BS_RE33!$P$7:$P$874,'30 days CF Table(AUD)'!G58,BS_RE33!$F$7:$F$874,'30 days CF Table(AUD)'!$C$2)</f>
        <v>0</v>
      </c>
      <c r="S58" s="337">
        <f>SUMIFS(BS_RE33!$H$7:$H$874,BS_RE33!$S$7:$S$874,$S$2,BS_RE33!$N$7:$N$874,I58,BS_RE33!$P$7:$P$874,'30 days CF Table(AUD)'!G58,BS_RE33!$F$7:$F$874,'30 days CF Table(AUD)'!$C$2)</f>
        <v>0</v>
      </c>
      <c r="T58" s="337">
        <f>SUMIFS(BS_RE33!$H$7:$H$874,BS_RE33!$S$7:$S$874,$T$2,BS_RE33!$N$7:$N$874,I58,BS_RE33!$P$7:$P$874,'30 days CF Table(AUD)'!G58,BS_RE33!$F$7:$F$874,'30 days CF Table(AUD)'!$C$2)</f>
        <v>0</v>
      </c>
      <c r="U58" s="337">
        <f>SUMIFS(BS_RE33!$H$7:$H$874,BS_RE33!$S$7:$S$874,$U$2,BS_RE33!$N$7:$N$874,I58,BS_RE33!$P$7:$P$874,'30 days CF Table(AUD)'!G58,BS_RE33!$F$7:$F$874,'30 days CF Table(AUD)'!$C$2)</f>
        <v>0</v>
      </c>
      <c r="V58" s="337">
        <f>SUMIFS(BS_RE33!$H$7:$H$874,BS_RE33!$S$7:$S$874,$V$2,BS_RE33!$N$7:$N$874,I58,BS_RE33!$P$7:$P$874,'30 days CF Table(AUD)'!G58,BS_RE33!$F$7:$F$874,'30 days CF Table(AUD)'!$C$2)</f>
        <v>0</v>
      </c>
      <c r="W58" s="337">
        <f>SUMIFS(BS_RE33!$H$7:$H$874,BS_RE33!$S$7:$S$874,$W$2,BS_RE33!$N$7:$N$874,I58,BS_RE33!$P$7:$P$874,'30 days CF Table(AUD)'!G58,BS_RE33!$F$7:$F$874,'30 days CF Table(AUD)'!$C$2)</f>
        <v>0</v>
      </c>
      <c r="X58" s="337">
        <f>SUMIFS(BS_RE33!$H$7:$H$874,BS_RE33!$S$7:$S$874,$X$2,BS_RE33!$N$7:$N$874,I58,BS_RE33!$P$7:$P$874,'30 days CF Table(AUD)'!G58,BS_RE33!$F$7:$F$874,'30 days CF Table(AUD)'!$C$2)</f>
        <v>0</v>
      </c>
      <c r="Y58" s="337">
        <f>SUMIFS(BS_RE33!$H$7:$H$874,BS_RE33!$S$7:$S$874,$Y$2,BS_RE33!$N$7:$N$874,I58,BS_RE33!$P$7:$P$874,'30 days CF Table(AUD)'!G58,BS_RE33!$F$7:$F$874,'30 days CF Table(AUD)'!$C$2)</f>
        <v>0</v>
      </c>
      <c r="Z58" s="337">
        <f>SUMIFS(BS_RE33!$H$7:$H$874,BS_RE33!$S$7:$S$874,$Z$2,BS_RE33!$N$7:$N$874,I58,BS_RE33!$P$7:$P$874,'30 days CF Table(AUD)'!G58,BS_RE33!$F$7:$F$874,'30 days CF Table(AUD)'!$C$2)</f>
        <v>0</v>
      </c>
      <c r="AA58" s="337">
        <f>SUMIFS(BS_RE33!$H$7:$H$874,BS_RE33!$S$7:$S$874,$AA$2,BS_RE33!$N$7:$N$874,I58,BS_RE33!$P$7:$P$874,'30 days CF Table(AUD)'!G58,BS_RE33!$F$7:$F$874,'30 days CF Table(AUD)'!$C$2)</f>
        <v>0</v>
      </c>
      <c r="AB58" s="337">
        <f>SUMIFS(BS_RE33!$H$7:$H$874,BS_RE33!$S$7:$S$874,$AB$2,BS_RE33!$N$7:$N$874,I58,BS_RE33!$P$7:$P$874,'30 days CF Table(AUD)'!G58,BS_RE33!$F$7:$F$874,'30 days CF Table(AUD)'!$C$2)</f>
        <v>0</v>
      </c>
      <c r="AC58" s="337">
        <f>SUMIFS(BS_RE33!$H$7:$H$874,BS_RE33!$S$7:$S$874,$AC$2,BS_RE33!$N$7:$N$874,I58,BS_RE33!$P$7:$P$874,'30 days CF Table(AUD)'!G58,BS_RE33!$F$7:$F$874,'30 days CF Table(AUD)'!$C$2)</f>
        <v>0</v>
      </c>
      <c r="AD58" s="337">
        <f>SUMIFS(BS_RE33!$H$7:$H$874,BS_RE33!$S$7:$S$874,$AD$2,BS_RE33!$N$7:$N$874,I58,BS_RE33!$P$7:$P$874,'30 days CF Table(AUD)'!G58,BS_RE33!$F$7:$F$874,'30 days CF Table(AUD)'!$C$2)</f>
        <v>0</v>
      </c>
      <c r="AE58" s="337">
        <f>SUMIFS(BS_RE33!$H$7:$H$874,BS_RE33!$S$7:$S$874,$AE$2,BS_RE33!$N$7:$N$874,I58,BS_RE33!$P$7:$P$874,'30 days CF Table(AUD)'!G58,BS_RE33!$F$7:$F$874,'30 days CF Table(AUD)'!$C$2)</f>
        <v>0</v>
      </c>
      <c r="AF58" s="337">
        <f>SUMIFS(BS_RE33!$H$7:$H$874,BS_RE33!$S$7:$S$874,$AF$2,BS_RE33!$N$7:$N$874,I58,BS_RE33!$P$7:$P$874,'30 days CF Table(AUD)'!G58,BS_RE33!$F$7:$F$874,'30 days CF Table(AUD)'!$C$2)</f>
        <v>0</v>
      </c>
      <c r="AG58" s="337">
        <f>SUMIFS(BS_RE33!$H$7:$H$874,BS_RE33!$S$7:$S$874,$AG$2,BS_RE33!$N$7:$N$874,I58,BS_RE33!$P$7:$P$874,'30 days CF Table(AUD)'!G58,BS_RE33!$F$7:$F$874,'30 days CF Table(AUD)'!$C$2)</f>
        <v>0</v>
      </c>
      <c r="AH58" s="337">
        <f>SUMIFS(BS_RE33!$H$7:$H$874,BS_RE33!$S$7:$S$874,$AH$2,BS_RE33!$N$7:$N$874,I58,BS_RE33!$P$7:$P$874,'30 days CF Table(AUD)'!G58,BS_RE33!$F$7:$F$874,'30 days CF Table(AUD)'!$C$2)</f>
        <v>0</v>
      </c>
      <c r="AI58" s="337">
        <f>SUMIFS(BS_RE33!$H$7:$H$874,BS_RE33!$S$7:$S$874,$AI$2,BS_RE33!$N$7:$N$874,I58,BS_RE33!$P$7:$P$874,'30 days CF Table(AUD)'!G58,BS_RE33!$F$7:$F$874,'30 days CF Table(AUD)'!$C$2)</f>
        <v>0</v>
      </c>
      <c r="AJ58" s="337">
        <f>SUMIFS(BS_RE33!$H$7:$H$874,BS_RE33!$S$7:$S$874,$AJ$2,BS_RE33!$N$7:$N$874,I58,BS_RE33!$P$7:$P$874,'30 days CF Table(AUD)'!G58,BS_RE33!$F$7:$F$874,'30 days CF Table(AUD)'!$C$2)</f>
        <v>0</v>
      </c>
      <c r="AK58" s="337">
        <f>SUMIFS(BS_RE33!$H$7:$H$874,BS_RE33!$S$7:$S$874,$AK$2,BS_RE33!$N$7:$N$874,I58,BS_RE33!$P$7:$P$874,'30 days CF Table(AUD)'!G58,BS_RE33!$F$7:$F$874,'30 days CF Table(AUD)'!$C$2)</f>
        <v>0</v>
      </c>
      <c r="AL58" s="337">
        <f>SUMIFS(BS_RE33!$H$7:$H$874,BS_RE33!$S$7:$S$874,$AL$2,BS_RE33!$N$7:$N$874,I58,BS_RE33!$P$7:$P$874,'30 days CF Table(AUD)'!G58,BS_RE33!$F$7:$F$874,'30 days CF Table(AUD)'!$C$2)</f>
        <v>0</v>
      </c>
      <c r="AM58" s="337">
        <f>SUMIFS(BS_RE33!$H$7:$H$874,BS_RE33!$S$7:$S$874,$AM$2,BS_RE33!$N$7:$N$874,I58,BS_RE33!$P$7:$P$874,'30 days CF Table(AUD)'!G58,BS_RE33!$F$7:$F$874,'30 days CF Table(AUD)'!$C$2)</f>
        <v>0</v>
      </c>
      <c r="AN58" s="337">
        <f>SUMIFS(BS_RE33!$H$7:$H$874,BS_RE33!$S$7:$S$874,$AN$2,BS_RE33!$N$7:$N$874,I58,BS_RE33!$P$7:$P$874,'30 days CF Table(AUD)'!G58,BS_RE33!$F$7:$F$874,'30 days CF Table(AUD)'!$C$2)</f>
        <v>0</v>
      </c>
      <c r="AO58" s="337">
        <f>SUMIFS(BS_RE33!$H$7:$H$874,BS_RE33!$S$7:$S$874,$AO$2,BS_RE33!$N$7:$N$874,I58,BS_RE33!$P$7:$P$874,'30 days CF Table(AUD)'!G58,BS_RE33!$F$7:$F$874,'30 days CF Table(AUD)'!$C$2)</f>
        <v>0</v>
      </c>
      <c r="AP58" s="338">
        <f>SUMIFS(BS_RE33!$H$7:$H$874,BS_RE33!$S$7:$S$874,$AP$2,BS_RE33!$N$7:$N$874,I58,BS_RE33!$P$7:$P$874,'30 days CF Table(AUD)'!G58,BS_RE33!$F$7:$F$874,'30 days CF Table(AUD)'!$C$2)</f>
        <v>0</v>
      </c>
      <c r="AR58" s="379">
        <f>SUMIFS(BS_RE33!$H$7:$H$874,BS_RE33!$S$7:$S$874,$AR$2,BS_RE33!$N$7:$N$874,I58,BS_RE33!$P$7:$P$874,'30 days CF Table(AUD)'!G58,BS_RE33!$F$7:$F$874,'30 days CF Table(AUD)'!$C$2)</f>
        <v>0</v>
      </c>
      <c r="AS58" s="379">
        <f>SUMIFS(BS_RE33!$H$7:$H$874,BS_RE33!$S$7:$S$874,$AS$2,BS_RE33!$N$7:$N$874,I58,BS_RE33!$P$7:$P$874,'30 days CF Table(AUD)'!G58,BS_RE33!$F$7:$F$874,'30 days CF Table(AUD)'!$C$2)</f>
        <v>0</v>
      </c>
      <c r="AT58" s="379">
        <f>SUMIFS(BS_RE33!$H$7:$H$874,BS_RE33!$S$7:$S$874,$AT$2,BS_RE33!$N$7:$N$874,I58,BS_RE33!$P$7:$P$874,'30 days CF Table(AUD)'!G58,BS_RE33!$F$7:$F$874,'30 days CF Table(AUD)'!$C$2)</f>
        <v>0</v>
      </c>
      <c r="AU58" s="379">
        <f>SUMIFS(BS_RE33!$H$7:$H$874,BS_RE33!$S$7:$S$874,$AU$2,BS_RE33!$N$7:$N$874,I58,BS_RE33!$P$7:$P$874,'30 days CF Table(AUD)'!G58,BS_RE33!$F$7:$F$874,'30 days CF Table(AUD)'!$C$2)</f>
        <v>0</v>
      </c>
      <c r="AV58" s="379">
        <f>SUMIFS(BS_RE33!$H$7:$H$874,BS_RE33!$S$7:$S$874,$AV$2,BS_RE33!$N$7:$N$874,I58,BS_RE33!$P$7:$P$874,'30 days CF Table(AUD)'!G58,BS_RE33!$F$7:$F$874,'30 days CF Table(AUD)'!$C$2)</f>
        <v>0</v>
      </c>
      <c r="AW58" s="379">
        <f>SUMIFS(BS_RE33!$H$7:$H$874,BS_RE33!$S$7:$S$874,$AW$2,BS_RE33!$N$7:$N$874,I58,BS_RE33!$P$7:$P$874,'30 days CF Table(AUD)'!G58,BS_RE33!$F$7:$F$874,'30 days CF Table(AUD)'!$C$2)</f>
        <v>0</v>
      </c>
      <c r="AX58" s="379">
        <f>SUMIFS(BS_RE33!$H$7:$H$874,BS_RE33!$S$7:$S$874,$AX$2,BS_RE33!$N$7:$N$874,I58,BS_RE33!$P$7:$P$874,'30 days CF Table(AUD)'!G58,BS_RE33!$F$7:$F$874,'30 days CF Table(AUD)'!$C$2)</f>
        <v>0</v>
      </c>
      <c r="AY58" s="379">
        <f>SUMIFS(BS_RE33!$H$7:$H$874,BS_RE33!$S$7:$S$874,$AY$2,BS_RE33!$N$7:$N$874,I58,BS_RE33!$P$7:$P$874,'30 days CF Table(AUD)'!G58,BS_RE33!$F$7:$F$874,'30 days CF Table(AUD)'!$C$2)</f>
        <v>0</v>
      </c>
      <c r="AZ58" s="379">
        <f>SUMIFS(BS_RE33!$H$7:$H$874,BS_RE33!$S$7:$S$874,$AZ$2,BS_RE33!$N$7:$N$874,I58,BS_RE33!$P$7:$P$874,'30 days CF Table(AUD)'!G58,BS_RE33!$F$7:$F$874,'30 days CF Table(AUD)'!$C$2)</f>
        <v>0</v>
      </c>
      <c r="BA58" s="379">
        <f>SUMIFS(BS_RE33!$H$7:$H$874,BS_RE33!$S$7:$S$874,$BA$2,BS_RE33!$N$7:$N$874,I58,BS_RE33!$P$7:$P$874,'30 days CF Table(AUD)'!G58,BS_RE33!$F$7:$F$874,'30 days CF Table(AUD)'!$C$2)</f>
        <v>0</v>
      </c>
      <c r="BB58" s="379">
        <f>SUMIFS(BS_RE33!$H$7:$H$874,BS_RE33!$S$7:$S$874,$BB$2,BS_RE33!$N$7:$N$874,I58,BS_RE33!$P$7:$P$874,'30 days CF Table(AUD)'!G58,BS_RE33!$F$7:$F$874,'30 days CF Table(AUD)'!$C$2)</f>
        <v>0</v>
      </c>
      <c r="BC58" s="379">
        <f>SUMIFS(BS_RE33!$H$7:$H$874,BS_RE33!$S$7:$S$874,$BC$2,BS_RE33!$N$7:$N$874,I58,BS_RE33!$P$7:$P$874,'30 days CF Table(AUD)'!G58,BS_RE33!$F$7:$F$874,'30 days CF Table(AUD)'!$C$2)</f>
        <v>0</v>
      </c>
      <c r="BD58" s="379">
        <f>SUMIFS(BS_RE33!$H$7:$H$874,BS_RE33!$S$7:$S$874,$BD$2,BS_RE33!$N$7:$N$874,I58,BS_RE33!$P$7:$P$874,'30 days CF Table(AUD)'!G58,BS_RE33!$F$7:$F$874,'30 days CF Table(AUD)'!$C$2)</f>
        <v>0</v>
      </c>
      <c r="BE58" s="379">
        <f>SUMIFS(BS_RE33!$H$7:$H$874,BS_RE33!$S$7:$S$874,$BE$2,BS_RE33!$N$7:$N$874,I58,BS_RE33!$P$7:$P$874,'30 days CF Table(AUD)'!G58,BS_RE33!$F$7:$F$874,'30 days CF Table(AUD)'!$C$2)</f>
        <v>0</v>
      </c>
      <c r="BF58" s="379">
        <f>SUMIFS(BS_RE33!$H$7:$H$874,BS_RE33!$S$7:$S$874,$BF$2,BS_RE33!$N$7:$N$874,I58,BS_RE33!$P$7:$P$874,'30 days CF Table(AUD)'!G58,BS_RE33!$F$7:$F$874,'30 days CF Table(AUD)'!$C$2)</f>
        <v>0</v>
      </c>
      <c r="BG58" s="379">
        <f>SUMIFS(BS_RE33!$H$7:$H$874,BS_RE33!$S$7:$S$874,$BG$2,BS_RE33!$N$7:$N$874,I58,BS_RE33!$P$7:$P$874,'30 days CF Table(AUD)'!G58,BS_RE33!$F$7:$F$874,'30 days CF Table(AUD)'!$C$2)</f>
        <v>0</v>
      </c>
      <c r="BH58" s="379">
        <f>SUMIFS(BS_RE33!$H$7:$H$874,BS_RE33!$S$7:$S$874,$BH$2,BS_RE33!$N$7:$N$874,I58,BS_RE33!$P$7:$P$874,'30 days CF Table(AUD)'!G58,BS_RE33!$F$7:$F$874,'30 days CF Table(AUD)'!$C$2)</f>
        <v>0</v>
      </c>
      <c r="BI58" s="379">
        <f>SUMIFS(BS_RE33!$H$7:$H$874,BS_RE33!$S$7:$S$874,$BI$2,BS_RE33!$N$7:$N$874,I58,BS_RE33!$P$7:$P$874,'30 days CF Table(AUD)'!G58,BS_RE33!$F$7:$F$874,'30 days CF Table(AUD)'!$C$2)</f>
        <v>0</v>
      </c>
      <c r="BJ58" s="379">
        <f>SUMIFS(BS_RE33!$H$7:$H$874,BS_RE33!$S$7:$S$874,$BJ$2,BS_RE33!$N$7:$N$874,I58,BS_RE33!$P$7:$P$874,'30 days CF Table(AUD)'!G58,BS_RE33!$F$7:$F$874,'30 days CF Table(AUD)'!$C$2)</f>
        <v>0</v>
      </c>
      <c r="BK58" s="379">
        <f>SUMIFS(BS_RE33!$H$7:$H$874,BS_RE33!$S$7:$S$874,$BK$2,BS_RE33!$N$7:$N$874,I58,BS_RE33!$P$7:$P$874,'30 days CF Table(AUD)'!G58,BS_RE33!$F$7:$F$874,'30 days CF Table(AUD)'!$C$2)</f>
        <v>0</v>
      </c>
    </row>
    <row r="59" spans="3:63">
      <c r="C59" s="1027"/>
      <c r="D59" s="1039"/>
      <c r="E59" s="105" t="s">
        <v>96</v>
      </c>
      <c r="F59" s="312" t="s">
        <v>493</v>
      </c>
      <c r="G59" s="392" t="s">
        <v>1252</v>
      </c>
      <c r="H59" s="317">
        <v>0.4</v>
      </c>
      <c r="I59" s="315" t="s">
        <v>80</v>
      </c>
      <c r="J59" s="479">
        <f t="shared" si="2"/>
        <v>0</v>
      </c>
      <c r="K59" s="336">
        <f t="shared" si="3"/>
        <v>0</v>
      </c>
      <c r="L59" s="337">
        <f>SUMIFS(BS_RE33!$H$7:$H$874,BS_RE33!$S$7:$S$874,$L$2,BS_RE33!$N$7:$N$874,I59,BS_RE33!$P$7:$P$874,'30 days CF Table(AUD)'!G59,BS_RE33!$F$7:$F$874,'30 days CF Table(AUD)'!$C$2)</f>
        <v>0</v>
      </c>
      <c r="M59" s="337">
        <f>SUMIFS(BS_RE33!$H$7:$H$874,BS_RE33!$S$7:$S$874,$M$2,BS_RE33!$N$7:$N$874,I59,BS_RE33!$P$7:$P$874,'30 days CF Table(AUD)'!G59,BS_RE33!$F$7:$F$874,'30 days CF Table(AUD)'!$C$2)</f>
        <v>0</v>
      </c>
      <c r="N59" s="337">
        <f>SUMIFS(BS_RE33!$H$7:$H$874,BS_RE33!$S$7:$S$874,$N$2,BS_RE33!$N$7:$N$874,I59,BS_RE33!$P$7:$P$874,'30 days CF Table(AUD)'!G59,BS_RE33!$F$7:$F$874,'30 days CF Table(AUD)'!$C$2)</f>
        <v>0</v>
      </c>
      <c r="O59" s="337">
        <f>SUMIFS(BS_RE33!$H$7:$H$874,BS_RE33!$S$7:$S$874,$O$2,BS_RE33!$N$7:$N$874,I59,BS_RE33!$P$7:$P$874,'30 days CF Table(AUD)'!G59,BS_RE33!$F$7:$F$874,'30 days CF Table(AUD)'!$C$2)</f>
        <v>0</v>
      </c>
      <c r="P59" s="337">
        <f>SUMIFS(BS_RE33!$H$7:$H$874,BS_RE33!$S$7:$S$874,$P$2,BS_RE33!$N$7:$N$874,I59,BS_RE33!$P$7:$P$874,'30 days CF Table(AUD)'!G59,BS_RE33!$F$7:$F$874,'30 days CF Table(AUD)'!$C$2)</f>
        <v>0</v>
      </c>
      <c r="Q59" s="337">
        <f>SUMIFS(BS_RE33!$H$7:$H$874,BS_RE33!$S$7:$S$874,$Q$2,BS_RE33!$N$7:$N$874,I59,BS_RE33!$P$7:$P$874,'30 days CF Table(AUD)'!G59,BS_RE33!$F$7:$F$874,'30 days CF Table(AUD)'!$C$2)</f>
        <v>0</v>
      </c>
      <c r="R59" s="337">
        <f>SUMIFS(BS_RE33!$H$7:$H$874,BS_RE33!$S$7:$S$874,$R$2,BS_RE33!$N$7:$N$874,I59,BS_RE33!$P$7:$P$874,'30 days CF Table(AUD)'!G59,BS_RE33!$F$7:$F$874,'30 days CF Table(AUD)'!$C$2)</f>
        <v>0</v>
      </c>
      <c r="S59" s="337">
        <f>SUMIFS(BS_RE33!$H$7:$H$874,BS_RE33!$S$7:$S$874,$S$2,BS_RE33!$N$7:$N$874,I59,BS_RE33!$P$7:$P$874,'30 days CF Table(AUD)'!G59,BS_RE33!$F$7:$F$874,'30 days CF Table(AUD)'!$C$2)</f>
        <v>0</v>
      </c>
      <c r="T59" s="337">
        <f>SUMIFS(BS_RE33!$H$7:$H$874,BS_RE33!$S$7:$S$874,$T$2,BS_RE33!$N$7:$N$874,I59,BS_RE33!$P$7:$P$874,'30 days CF Table(AUD)'!G59,BS_RE33!$F$7:$F$874,'30 days CF Table(AUD)'!$C$2)</f>
        <v>0</v>
      </c>
      <c r="U59" s="337">
        <f>SUMIFS(BS_RE33!$H$7:$H$874,BS_RE33!$S$7:$S$874,$U$2,BS_RE33!$N$7:$N$874,I59,BS_RE33!$P$7:$P$874,'30 days CF Table(AUD)'!G59,BS_RE33!$F$7:$F$874,'30 days CF Table(AUD)'!$C$2)</f>
        <v>0</v>
      </c>
      <c r="V59" s="337">
        <f>SUMIFS(BS_RE33!$H$7:$H$874,BS_RE33!$S$7:$S$874,$V$2,BS_RE33!$N$7:$N$874,I59,BS_RE33!$P$7:$P$874,'30 days CF Table(AUD)'!G59,BS_RE33!$F$7:$F$874,'30 days CF Table(AUD)'!$C$2)</f>
        <v>0</v>
      </c>
      <c r="W59" s="337">
        <f>SUMIFS(BS_RE33!$H$7:$H$874,BS_RE33!$S$7:$S$874,$W$2,BS_RE33!$N$7:$N$874,I59,BS_RE33!$P$7:$P$874,'30 days CF Table(AUD)'!G59,BS_RE33!$F$7:$F$874,'30 days CF Table(AUD)'!$C$2)</f>
        <v>0</v>
      </c>
      <c r="X59" s="337">
        <f>SUMIFS(BS_RE33!$H$7:$H$874,BS_RE33!$S$7:$S$874,$X$2,BS_RE33!$N$7:$N$874,I59,BS_RE33!$P$7:$P$874,'30 days CF Table(AUD)'!G59,BS_RE33!$F$7:$F$874,'30 days CF Table(AUD)'!$C$2)</f>
        <v>0</v>
      </c>
      <c r="Y59" s="337">
        <f>SUMIFS(BS_RE33!$H$7:$H$874,BS_RE33!$S$7:$S$874,$Y$2,BS_RE33!$N$7:$N$874,I59,BS_RE33!$P$7:$P$874,'30 days CF Table(AUD)'!G59,BS_RE33!$F$7:$F$874,'30 days CF Table(AUD)'!$C$2)</f>
        <v>0</v>
      </c>
      <c r="Z59" s="337">
        <f>SUMIFS(BS_RE33!$H$7:$H$874,BS_RE33!$S$7:$S$874,$Z$2,BS_RE33!$N$7:$N$874,I59,BS_RE33!$P$7:$P$874,'30 days CF Table(AUD)'!G59,BS_RE33!$F$7:$F$874,'30 days CF Table(AUD)'!$C$2)</f>
        <v>0</v>
      </c>
      <c r="AA59" s="337">
        <f>SUMIFS(BS_RE33!$H$7:$H$874,BS_RE33!$S$7:$S$874,$AA$2,BS_RE33!$N$7:$N$874,I59,BS_RE33!$P$7:$P$874,'30 days CF Table(AUD)'!G59,BS_RE33!$F$7:$F$874,'30 days CF Table(AUD)'!$C$2)</f>
        <v>0</v>
      </c>
      <c r="AB59" s="337">
        <f>SUMIFS(BS_RE33!$H$7:$H$874,BS_RE33!$S$7:$S$874,$AB$2,BS_RE33!$N$7:$N$874,I59,BS_RE33!$P$7:$P$874,'30 days CF Table(AUD)'!G59,BS_RE33!$F$7:$F$874,'30 days CF Table(AUD)'!$C$2)</f>
        <v>0</v>
      </c>
      <c r="AC59" s="337">
        <f>SUMIFS(BS_RE33!$H$7:$H$874,BS_RE33!$S$7:$S$874,$AC$2,BS_RE33!$N$7:$N$874,I59,BS_RE33!$P$7:$P$874,'30 days CF Table(AUD)'!G59,BS_RE33!$F$7:$F$874,'30 days CF Table(AUD)'!$C$2)</f>
        <v>0</v>
      </c>
      <c r="AD59" s="337">
        <f>SUMIFS(BS_RE33!$H$7:$H$874,BS_RE33!$S$7:$S$874,$AD$2,BS_RE33!$N$7:$N$874,I59,BS_RE33!$P$7:$P$874,'30 days CF Table(AUD)'!G59,BS_RE33!$F$7:$F$874,'30 days CF Table(AUD)'!$C$2)</f>
        <v>0</v>
      </c>
      <c r="AE59" s="337">
        <f>SUMIFS(BS_RE33!$H$7:$H$874,BS_RE33!$S$7:$S$874,$AE$2,BS_RE33!$N$7:$N$874,I59,BS_RE33!$P$7:$P$874,'30 days CF Table(AUD)'!G59,BS_RE33!$F$7:$F$874,'30 days CF Table(AUD)'!$C$2)</f>
        <v>0</v>
      </c>
      <c r="AF59" s="337">
        <f>SUMIFS(BS_RE33!$H$7:$H$874,BS_RE33!$S$7:$S$874,$AF$2,BS_RE33!$N$7:$N$874,I59,BS_RE33!$P$7:$P$874,'30 days CF Table(AUD)'!G59,BS_RE33!$F$7:$F$874,'30 days CF Table(AUD)'!$C$2)</f>
        <v>0</v>
      </c>
      <c r="AG59" s="337">
        <f>SUMIFS(BS_RE33!$H$7:$H$874,BS_RE33!$S$7:$S$874,$AG$2,BS_RE33!$N$7:$N$874,I59,BS_RE33!$P$7:$P$874,'30 days CF Table(AUD)'!G59,BS_RE33!$F$7:$F$874,'30 days CF Table(AUD)'!$C$2)</f>
        <v>0</v>
      </c>
      <c r="AH59" s="337">
        <f>SUMIFS(BS_RE33!$H$7:$H$874,BS_RE33!$S$7:$S$874,$AH$2,BS_RE33!$N$7:$N$874,I59,BS_RE33!$P$7:$P$874,'30 days CF Table(AUD)'!G59,BS_RE33!$F$7:$F$874,'30 days CF Table(AUD)'!$C$2)</f>
        <v>0</v>
      </c>
      <c r="AI59" s="337">
        <f>SUMIFS(BS_RE33!$H$7:$H$874,BS_RE33!$S$7:$S$874,$AI$2,BS_RE33!$N$7:$N$874,I59,BS_RE33!$P$7:$P$874,'30 days CF Table(AUD)'!G59,BS_RE33!$F$7:$F$874,'30 days CF Table(AUD)'!$C$2)</f>
        <v>0</v>
      </c>
      <c r="AJ59" s="337">
        <f>SUMIFS(BS_RE33!$H$7:$H$874,BS_RE33!$S$7:$S$874,$AJ$2,BS_RE33!$N$7:$N$874,I59,BS_RE33!$P$7:$P$874,'30 days CF Table(AUD)'!G59,BS_RE33!$F$7:$F$874,'30 days CF Table(AUD)'!$C$2)</f>
        <v>0</v>
      </c>
      <c r="AK59" s="337">
        <f>SUMIFS(BS_RE33!$H$7:$H$874,BS_RE33!$S$7:$S$874,$AK$2,BS_RE33!$N$7:$N$874,I59,BS_RE33!$P$7:$P$874,'30 days CF Table(AUD)'!G59,BS_RE33!$F$7:$F$874,'30 days CF Table(AUD)'!$C$2)</f>
        <v>0</v>
      </c>
      <c r="AL59" s="337">
        <f>SUMIFS(BS_RE33!$H$7:$H$874,BS_RE33!$S$7:$S$874,$AL$2,BS_RE33!$N$7:$N$874,I59,BS_RE33!$P$7:$P$874,'30 days CF Table(AUD)'!G59,BS_RE33!$F$7:$F$874,'30 days CF Table(AUD)'!$C$2)</f>
        <v>0</v>
      </c>
      <c r="AM59" s="337">
        <f>SUMIFS(BS_RE33!$H$7:$H$874,BS_RE33!$S$7:$S$874,$AM$2,BS_RE33!$N$7:$N$874,I59,BS_RE33!$P$7:$P$874,'30 days CF Table(AUD)'!G59,BS_RE33!$F$7:$F$874,'30 days CF Table(AUD)'!$C$2)</f>
        <v>0</v>
      </c>
      <c r="AN59" s="337">
        <f>SUMIFS(BS_RE33!$H$7:$H$874,BS_RE33!$S$7:$S$874,$AN$2,BS_RE33!$N$7:$N$874,I59,BS_RE33!$P$7:$P$874,'30 days CF Table(AUD)'!G59,BS_RE33!$F$7:$F$874,'30 days CF Table(AUD)'!$C$2)</f>
        <v>0</v>
      </c>
      <c r="AO59" s="337">
        <f>SUMIFS(BS_RE33!$H$7:$H$874,BS_RE33!$S$7:$S$874,$AO$2,BS_RE33!$N$7:$N$874,I59,BS_RE33!$P$7:$P$874,'30 days CF Table(AUD)'!G59,BS_RE33!$F$7:$F$874,'30 days CF Table(AUD)'!$C$2)</f>
        <v>0</v>
      </c>
      <c r="AP59" s="338">
        <f>SUMIFS(BS_RE33!$H$7:$H$874,BS_RE33!$S$7:$S$874,$AP$2,BS_RE33!$N$7:$N$874,I59,BS_RE33!$P$7:$P$874,'30 days CF Table(AUD)'!G59,BS_RE33!$F$7:$F$874,'30 days CF Table(AUD)'!$C$2)</f>
        <v>0</v>
      </c>
      <c r="AR59" s="379">
        <f>SUMIFS(BS_RE33!$H$7:$H$874,BS_RE33!$S$7:$S$874,$AR$2,BS_RE33!$N$7:$N$874,I59,BS_RE33!$P$7:$P$874,'30 days CF Table(AUD)'!G59,BS_RE33!$F$7:$F$874,'30 days CF Table(AUD)'!$C$2)</f>
        <v>0</v>
      </c>
      <c r="AS59" s="379">
        <f>SUMIFS(BS_RE33!$H$7:$H$874,BS_RE33!$S$7:$S$874,$AS$2,BS_RE33!$N$7:$N$874,I59,BS_RE33!$P$7:$P$874,'30 days CF Table(AUD)'!G59,BS_RE33!$F$7:$F$874,'30 days CF Table(AUD)'!$C$2)</f>
        <v>0</v>
      </c>
      <c r="AT59" s="379">
        <f>SUMIFS(BS_RE33!$H$7:$H$874,BS_RE33!$S$7:$S$874,$AT$2,BS_RE33!$N$7:$N$874,I59,BS_RE33!$P$7:$P$874,'30 days CF Table(AUD)'!G59,BS_RE33!$F$7:$F$874,'30 days CF Table(AUD)'!$C$2)</f>
        <v>0</v>
      </c>
      <c r="AU59" s="379">
        <f>SUMIFS(BS_RE33!$H$7:$H$874,BS_RE33!$S$7:$S$874,$AU$2,BS_RE33!$N$7:$N$874,I59,BS_RE33!$P$7:$P$874,'30 days CF Table(AUD)'!G59,BS_RE33!$F$7:$F$874,'30 days CF Table(AUD)'!$C$2)</f>
        <v>0</v>
      </c>
      <c r="AV59" s="379">
        <f>SUMIFS(BS_RE33!$H$7:$H$874,BS_RE33!$S$7:$S$874,$AV$2,BS_RE33!$N$7:$N$874,I59,BS_RE33!$P$7:$P$874,'30 days CF Table(AUD)'!G59,BS_RE33!$F$7:$F$874,'30 days CF Table(AUD)'!$C$2)</f>
        <v>0</v>
      </c>
      <c r="AW59" s="379">
        <f>SUMIFS(BS_RE33!$H$7:$H$874,BS_RE33!$S$7:$S$874,$AW$2,BS_RE33!$N$7:$N$874,I59,BS_RE33!$P$7:$P$874,'30 days CF Table(AUD)'!G59,BS_RE33!$F$7:$F$874,'30 days CF Table(AUD)'!$C$2)</f>
        <v>0</v>
      </c>
      <c r="AX59" s="379">
        <f>SUMIFS(BS_RE33!$H$7:$H$874,BS_RE33!$S$7:$S$874,$AX$2,BS_RE33!$N$7:$N$874,I59,BS_RE33!$P$7:$P$874,'30 days CF Table(AUD)'!G59,BS_RE33!$F$7:$F$874,'30 days CF Table(AUD)'!$C$2)</f>
        <v>0</v>
      </c>
      <c r="AY59" s="379">
        <f>SUMIFS(BS_RE33!$H$7:$H$874,BS_RE33!$S$7:$S$874,$AY$2,BS_RE33!$N$7:$N$874,I59,BS_RE33!$P$7:$P$874,'30 days CF Table(AUD)'!G59,BS_RE33!$F$7:$F$874,'30 days CF Table(AUD)'!$C$2)</f>
        <v>0</v>
      </c>
      <c r="AZ59" s="379">
        <f>SUMIFS(BS_RE33!$H$7:$H$874,BS_RE33!$S$7:$S$874,$AZ$2,BS_RE33!$N$7:$N$874,I59,BS_RE33!$P$7:$P$874,'30 days CF Table(AUD)'!G59,BS_RE33!$F$7:$F$874,'30 days CF Table(AUD)'!$C$2)</f>
        <v>0</v>
      </c>
      <c r="BA59" s="379">
        <f>SUMIFS(BS_RE33!$H$7:$H$874,BS_RE33!$S$7:$S$874,$BA$2,BS_RE33!$N$7:$N$874,I59,BS_RE33!$P$7:$P$874,'30 days CF Table(AUD)'!G59,BS_RE33!$F$7:$F$874,'30 days CF Table(AUD)'!$C$2)</f>
        <v>0</v>
      </c>
      <c r="BB59" s="379">
        <f>SUMIFS(BS_RE33!$H$7:$H$874,BS_RE33!$S$7:$S$874,$BB$2,BS_RE33!$N$7:$N$874,I59,BS_RE33!$P$7:$P$874,'30 days CF Table(AUD)'!G59,BS_RE33!$F$7:$F$874,'30 days CF Table(AUD)'!$C$2)</f>
        <v>0</v>
      </c>
      <c r="BC59" s="379">
        <f>SUMIFS(BS_RE33!$H$7:$H$874,BS_RE33!$S$7:$S$874,$BC$2,BS_RE33!$N$7:$N$874,I59,BS_RE33!$P$7:$P$874,'30 days CF Table(AUD)'!G59,BS_RE33!$F$7:$F$874,'30 days CF Table(AUD)'!$C$2)</f>
        <v>0</v>
      </c>
      <c r="BD59" s="379">
        <f>SUMIFS(BS_RE33!$H$7:$H$874,BS_RE33!$S$7:$S$874,$BD$2,BS_RE33!$N$7:$N$874,I59,BS_RE33!$P$7:$P$874,'30 days CF Table(AUD)'!G59,BS_RE33!$F$7:$F$874,'30 days CF Table(AUD)'!$C$2)</f>
        <v>0</v>
      </c>
      <c r="BE59" s="379">
        <f>SUMIFS(BS_RE33!$H$7:$H$874,BS_RE33!$S$7:$S$874,$BE$2,BS_RE33!$N$7:$N$874,I59,BS_RE33!$P$7:$P$874,'30 days CF Table(AUD)'!G59,BS_RE33!$F$7:$F$874,'30 days CF Table(AUD)'!$C$2)</f>
        <v>0</v>
      </c>
      <c r="BF59" s="379">
        <f>SUMIFS(BS_RE33!$H$7:$H$874,BS_RE33!$S$7:$S$874,$BF$2,BS_RE33!$N$7:$N$874,I59,BS_RE33!$P$7:$P$874,'30 days CF Table(AUD)'!G59,BS_RE33!$F$7:$F$874,'30 days CF Table(AUD)'!$C$2)</f>
        <v>0</v>
      </c>
      <c r="BG59" s="379">
        <f>SUMIFS(BS_RE33!$H$7:$H$874,BS_RE33!$S$7:$S$874,$BG$2,BS_RE33!$N$7:$N$874,I59,BS_RE33!$P$7:$P$874,'30 days CF Table(AUD)'!G59,BS_RE33!$F$7:$F$874,'30 days CF Table(AUD)'!$C$2)</f>
        <v>0</v>
      </c>
      <c r="BH59" s="379">
        <f>SUMIFS(BS_RE33!$H$7:$H$874,BS_RE33!$S$7:$S$874,$BH$2,BS_RE33!$N$7:$N$874,I59,BS_RE33!$P$7:$P$874,'30 days CF Table(AUD)'!G59,BS_RE33!$F$7:$F$874,'30 days CF Table(AUD)'!$C$2)</f>
        <v>0</v>
      </c>
      <c r="BI59" s="379">
        <f>SUMIFS(BS_RE33!$H$7:$H$874,BS_RE33!$S$7:$S$874,$BI$2,BS_RE33!$N$7:$N$874,I59,BS_RE33!$P$7:$P$874,'30 days CF Table(AUD)'!G59,BS_RE33!$F$7:$F$874,'30 days CF Table(AUD)'!$C$2)</f>
        <v>0</v>
      </c>
      <c r="BJ59" s="379">
        <f>SUMIFS(BS_RE33!$H$7:$H$874,BS_RE33!$S$7:$S$874,$BJ$2,BS_RE33!$N$7:$N$874,I59,BS_RE33!$P$7:$P$874,'30 days CF Table(AUD)'!G59,BS_RE33!$F$7:$F$874,'30 days CF Table(AUD)'!$C$2)</f>
        <v>0</v>
      </c>
      <c r="BK59" s="379">
        <f>SUMIFS(BS_RE33!$H$7:$H$874,BS_RE33!$S$7:$S$874,$BK$2,BS_RE33!$N$7:$N$874,I59,BS_RE33!$P$7:$P$874,'30 days CF Table(AUD)'!G59,BS_RE33!$F$7:$F$874,'30 days CF Table(AUD)'!$C$2)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Table(AUD)'!G60,BS_RE33!$F$7:$F$874,'30 days CF Table(AUD)'!$C$2)</f>
        <v>0</v>
      </c>
      <c r="M60" s="337">
        <f>SUMIFS(BS_RE33!$H$7:$H$874,BS_RE33!$S$7:$S$874,$M$2,BS_RE33!$N$7:$N$874,I60,BS_RE33!$P$7:$P$874,'30 days CF Table(AUD)'!G60,BS_RE33!$F$7:$F$874,'30 days CF Table(AUD)'!$C$2)</f>
        <v>0</v>
      </c>
      <c r="N60" s="337">
        <f>SUMIFS(BS_RE33!$H$7:$H$874,BS_RE33!$S$7:$S$874,$N$2,BS_RE33!$N$7:$N$874,I60,BS_RE33!$P$7:$P$874,'30 days CF Table(AUD)'!G60,BS_RE33!$F$7:$F$874,'30 days CF Table(AUD)'!$C$2)</f>
        <v>0</v>
      </c>
      <c r="O60" s="337">
        <f>SUMIFS(BS_RE33!$H$7:$H$874,BS_RE33!$S$7:$S$874,$O$2,BS_RE33!$N$7:$N$874,I60,BS_RE33!$P$7:$P$874,'30 days CF Table(AUD)'!G60,BS_RE33!$F$7:$F$874,'30 days CF Table(AUD)'!$C$2)</f>
        <v>0</v>
      </c>
      <c r="P60" s="337">
        <f>SUMIFS(BS_RE33!$H$7:$H$874,BS_RE33!$S$7:$S$874,$P$2,BS_RE33!$N$7:$N$874,I60,BS_RE33!$P$7:$P$874,'30 days CF Table(AUD)'!G60,BS_RE33!$F$7:$F$874,'30 days CF Table(AUD)'!$C$2)</f>
        <v>0</v>
      </c>
      <c r="Q60" s="337">
        <f>SUMIFS(BS_RE33!$H$7:$H$874,BS_RE33!$S$7:$S$874,$Q$2,BS_RE33!$N$7:$N$874,I60,BS_RE33!$P$7:$P$874,'30 days CF Table(AUD)'!G60,BS_RE33!$F$7:$F$874,'30 days CF Table(AUD)'!$C$2)</f>
        <v>0</v>
      </c>
      <c r="R60" s="337">
        <f>SUMIFS(BS_RE33!$H$7:$H$874,BS_RE33!$S$7:$S$874,$R$2,BS_RE33!$N$7:$N$874,I60,BS_RE33!$P$7:$P$874,'30 days CF Table(AUD)'!G60,BS_RE33!$F$7:$F$874,'30 days CF Table(AUD)'!$C$2)</f>
        <v>0</v>
      </c>
      <c r="S60" s="337">
        <f>SUMIFS(BS_RE33!$H$7:$H$874,BS_RE33!$S$7:$S$874,$S$2,BS_RE33!$N$7:$N$874,I60,BS_RE33!$P$7:$P$874,'30 days CF Table(AUD)'!G60,BS_RE33!$F$7:$F$874,'30 days CF Table(AUD)'!$C$2)</f>
        <v>0</v>
      </c>
      <c r="T60" s="337">
        <f>SUMIFS(BS_RE33!$H$7:$H$874,BS_RE33!$S$7:$S$874,$T$2,BS_RE33!$N$7:$N$874,I60,BS_RE33!$P$7:$P$874,'30 days CF Table(AUD)'!G60,BS_RE33!$F$7:$F$874,'30 days CF Table(AUD)'!$C$2)</f>
        <v>0</v>
      </c>
      <c r="U60" s="337">
        <f>SUMIFS(BS_RE33!$H$7:$H$874,BS_RE33!$S$7:$S$874,$U$2,BS_RE33!$N$7:$N$874,I60,BS_RE33!$P$7:$P$874,'30 days CF Table(AUD)'!G60,BS_RE33!$F$7:$F$874,'30 days CF Table(AUD)'!$C$2)</f>
        <v>0</v>
      </c>
      <c r="V60" s="337">
        <f>SUMIFS(BS_RE33!$H$7:$H$874,BS_RE33!$S$7:$S$874,$V$2,BS_RE33!$N$7:$N$874,I60,BS_RE33!$P$7:$P$874,'30 days CF Table(AUD)'!G60,BS_RE33!$F$7:$F$874,'30 days CF Table(AUD)'!$C$2)</f>
        <v>0</v>
      </c>
      <c r="W60" s="337">
        <f>SUMIFS(BS_RE33!$H$7:$H$874,BS_RE33!$S$7:$S$874,$W$2,BS_RE33!$N$7:$N$874,I60,BS_RE33!$P$7:$P$874,'30 days CF Table(AUD)'!G60,BS_RE33!$F$7:$F$874,'30 days CF Table(AUD)'!$C$2)</f>
        <v>0</v>
      </c>
      <c r="X60" s="337">
        <f>SUMIFS(BS_RE33!$H$7:$H$874,BS_RE33!$S$7:$S$874,$X$2,BS_RE33!$N$7:$N$874,I60,BS_RE33!$P$7:$P$874,'30 days CF Table(AUD)'!G60,BS_RE33!$F$7:$F$874,'30 days CF Table(AUD)'!$C$2)</f>
        <v>0</v>
      </c>
      <c r="Y60" s="337">
        <f>SUMIFS(BS_RE33!$H$7:$H$874,BS_RE33!$S$7:$S$874,$Y$2,BS_RE33!$N$7:$N$874,I60,BS_RE33!$P$7:$P$874,'30 days CF Table(AUD)'!G60,BS_RE33!$F$7:$F$874,'30 days CF Table(AUD)'!$C$2)</f>
        <v>0</v>
      </c>
      <c r="Z60" s="337">
        <f>SUMIFS(BS_RE33!$H$7:$H$874,BS_RE33!$S$7:$S$874,$Z$2,BS_RE33!$N$7:$N$874,I60,BS_RE33!$P$7:$P$874,'30 days CF Table(AUD)'!G60,BS_RE33!$F$7:$F$874,'30 days CF Table(AUD)'!$C$2)</f>
        <v>0</v>
      </c>
      <c r="AA60" s="337">
        <f>SUMIFS(BS_RE33!$H$7:$H$874,BS_RE33!$S$7:$S$874,$AA$2,BS_RE33!$N$7:$N$874,I60,BS_RE33!$P$7:$P$874,'30 days CF Table(AUD)'!G60,BS_RE33!$F$7:$F$874,'30 days CF Table(AUD)'!$C$2)</f>
        <v>0</v>
      </c>
      <c r="AB60" s="337">
        <f>SUMIFS(BS_RE33!$H$7:$H$874,BS_RE33!$S$7:$S$874,$AB$2,BS_RE33!$N$7:$N$874,I60,BS_RE33!$P$7:$P$874,'30 days CF Table(AUD)'!G60,BS_RE33!$F$7:$F$874,'30 days CF Table(AUD)'!$C$2)</f>
        <v>0</v>
      </c>
      <c r="AC60" s="337">
        <f>SUMIFS(BS_RE33!$H$7:$H$874,BS_RE33!$S$7:$S$874,$AC$2,BS_RE33!$N$7:$N$874,I60,BS_RE33!$P$7:$P$874,'30 days CF Table(AUD)'!G60,BS_RE33!$F$7:$F$874,'30 days CF Table(AUD)'!$C$2)</f>
        <v>0</v>
      </c>
      <c r="AD60" s="337">
        <f>SUMIFS(BS_RE33!$H$7:$H$874,BS_RE33!$S$7:$S$874,$AD$2,BS_RE33!$N$7:$N$874,I60,BS_RE33!$P$7:$P$874,'30 days CF Table(AUD)'!G60,BS_RE33!$F$7:$F$874,'30 days CF Table(AUD)'!$C$2)</f>
        <v>0</v>
      </c>
      <c r="AE60" s="337">
        <f>SUMIFS(BS_RE33!$H$7:$H$874,BS_RE33!$S$7:$S$874,$AE$2,BS_RE33!$N$7:$N$874,I60,BS_RE33!$P$7:$P$874,'30 days CF Table(AUD)'!G60,BS_RE33!$F$7:$F$874,'30 days CF Table(AUD)'!$C$2)</f>
        <v>0</v>
      </c>
      <c r="AF60" s="337">
        <f>SUMIFS(BS_RE33!$H$7:$H$874,BS_RE33!$S$7:$S$874,$AF$2,BS_RE33!$N$7:$N$874,I60,BS_RE33!$P$7:$P$874,'30 days CF Table(AUD)'!G60,BS_RE33!$F$7:$F$874,'30 days CF Table(AUD)'!$C$2)</f>
        <v>0</v>
      </c>
      <c r="AG60" s="337">
        <f>SUMIFS(BS_RE33!$H$7:$H$874,BS_RE33!$S$7:$S$874,$AG$2,BS_RE33!$N$7:$N$874,I60,BS_RE33!$P$7:$P$874,'30 days CF Table(AUD)'!G60,BS_RE33!$F$7:$F$874,'30 days CF Table(AUD)'!$C$2)</f>
        <v>0</v>
      </c>
      <c r="AH60" s="337">
        <f>SUMIFS(BS_RE33!$H$7:$H$874,BS_RE33!$S$7:$S$874,$AH$2,BS_RE33!$N$7:$N$874,I60,BS_RE33!$P$7:$P$874,'30 days CF Table(AUD)'!G60,BS_RE33!$F$7:$F$874,'30 days CF Table(AUD)'!$C$2)</f>
        <v>0</v>
      </c>
      <c r="AI60" s="337">
        <f>SUMIFS(BS_RE33!$H$7:$H$874,BS_RE33!$S$7:$S$874,$AI$2,BS_RE33!$N$7:$N$874,I60,BS_RE33!$P$7:$P$874,'30 days CF Table(AUD)'!G60,BS_RE33!$F$7:$F$874,'30 days CF Table(AUD)'!$C$2)</f>
        <v>0</v>
      </c>
      <c r="AJ60" s="337">
        <f>SUMIFS(BS_RE33!$H$7:$H$874,BS_RE33!$S$7:$S$874,$AJ$2,BS_RE33!$N$7:$N$874,I60,BS_RE33!$P$7:$P$874,'30 days CF Table(AUD)'!G60,BS_RE33!$F$7:$F$874,'30 days CF Table(AUD)'!$C$2)</f>
        <v>0</v>
      </c>
      <c r="AK60" s="337">
        <f>SUMIFS(BS_RE33!$H$7:$H$874,BS_RE33!$S$7:$S$874,$AK$2,BS_RE33!$N$7:$N$874,I60,BS_RE33!$P$7:$P$874,'30 days CF Table(AUD)'!G60,BS_RE33!$F$7:$F$874,'30 days CF Table(AUD)'!$C$2)</f>
        <v>0</v>
      </c>
      <c r="AL60" s="337">
        <f>SUMIFS(BS_RE33!$H$7:$H$874,BS_RE33!$S$7:$S$874,$AL$2,BS_RE33!$N$7:$N$874,I60,BS_RE33!$P$7:$P$874,'30 days CF Table(AUD)'!G60,BS_RE33!$F$7:$F$874,'30 days CF Table(AUD)'!$C$2)</f>
        <v>0</v>
      </c>
      <c r="AM60" s="337">
        <f>SUMIFS(BS_RE33!$H$7:$H$874,BS_RE33!$S$7:$S$874,$AM$2,BS_RE33!$N$7:$N$874,I60,BS_RE33!$P$7:$P$874,'30 days CF Table(AUD)'!G60,BS_RE33!$F$7:$F$874,'30 days CF Table(AUD)'!$C$2)</f>
        <v>0</v>
      </c>
      <c r="AN60" s="337">
        <f>SUMIFS(BS_RE33!$H$7:$H$874,BS_RE33!$S$7:$S$874,$AN$2,BS_RE33!$N$7:$N$874,I60,BS_RE33!$P$7:$P$874,'30 days CF Table(AUD)'!G60,BS_RE33!$F$7:$F$874,'30 days CF Table(AUD)'!$C$2)</f>
        <v>0</v>
      </c>
      <c r="AO60" s="337">
        <f>SUMIFS(BS_RE33!$H$7:$H$874,BS_RE33!$S$7:$S$874,$AO$2,BS_RE33!$N$7:$N$874,I60,BS_RE33!$P$7:$P$874,'30 days CF Table(AUD)'!G60,BS_RE33!$F$7:$F$874,'30 days CF Table(AUD)'!$C$2)</f>
        <v>0</v>
      </c>
      <c r="AP60" s="338">
        <f>SUMIFS(BS_RE33!$H$7:$H$874,BS_RE33!$S$7:$S$874,$AP$2,BS_RE33!$N$7:$N$874,I60,BS_RE33!$P$7:$P$874,'30 days CF Table(AUD)'!G60,BS_RE33!$F$7:$F$874,'30 days CF Table(AUD)'!$C$2)</f>
        <v>0</v>
      </c>
      <c r="AR60" s="379">
        <f>SUMIFS(BS_RE33!$H$7:$H$874,BS_RE33!$S$7:$S$874,$AR$2,BS_RE33!$N$7:$N$874,I60,BS_RE33!$P$7:$P$874,'30 days CF Table(AUD)'!G60,BS_RE33!$F$7:$F$874,'30 days CF Table(AUD)'!$C$2)</f>
        <v>0</v>
      </c>
      <c r="AS60" s="379">
        <f>SUMIFS(BS_RE33!$H$7:$H$874,BS_RE33!$S$7:$S$874,$AS$2,BS_RE33!$N$7:$N$874,I60,BS_RE33!$P$7:$P$874,'30 days CF Table(AUD)'!G60,BS_RE33!$F$7:$F$874,'30 days CF Table(AUD)'!$C$2)</f>
        <v>0</v>
      </c>
      <c r="AT60" s="379">
        <f>SUMIFS(BS_RE33!$H$7:$H$874,BS_RE33!$S$7:$S$874,$AT$2,BS_RE33!$N$7:$N$874,I60,BS_RE33!$P$7:$P$874,'30 days CF Table(AUD)'!G60,BS_RE33!$F$7:$F$874,'30 days CF Table(AUD)'!$C$2)</f>
        <v>0</v>
      </c>
      <c r="AU60" s="379">
        <f>SUMIFS(BS_RE33!$H$7:$H$874,BS_RE33!$S$7:$S$874,$AU$2,BS_RE33!$N$7:$N$874,I60,BS_RE33!$P$7:$P$874,'30 days CF Table(AUD)'!G60,BS_RE33!$F$7:$F$874,'30 days CF Table(AUD)'!$C$2)</f>
        <v>0</v>
      </c>
      <c r="AV60" s="379">
        <f>SUMIFS(BS_RE33!$H$7:$H$874,BS_RE33!$S$7:$S$874,$AV$2,BS_RE33!$N$7:$N$874,I60,BS_RE33!$P$7:$P$874,'30 days CF Table(AUD)'!G60,BS_RE33!$F$7:$F$874,'30 days CF Table(AUD)'!$C$2)</f>
        <v>0</v>
      </c>
      <c r="AW60" s="379">
        <f>SUMIFS(BS_RE33!$H$7:$H$874,BS_RE33!$S$7:$S$874,$AW$2,BS_RE33!$N$7:$N$874,I60,BS_RE33!$P$7:$P$874,'30 days CF Table(AUD)'!G60,BS_RE33!$F$7:$F$874,'30 days CF Table(AUD)'!$C$2)</f>
        <v>0</v>
      </c>
      <c r="AX60" s="379">
        <f>SUMIFS(BS_RE33!$H$7:$H$874,BS_RE33!$S$7:$S$874,$AX$2,BS_RE33!$N$7:$N$874,I60,BS_RE33!$P$7:$P$874,'30 days CF Table(AUD)'!G60,BS_RE33!$F$7:$F$874,'30 days CF Table(AUD)'!$C$2)</f>
        <v>0</v>
      </c>
      <c r="AY60" s="379">
        <f>SUMIFS(BS_RE33!$H$7:$H$874,BS_RE33!$S$7:$S$874,$AY$2,BS_RE33!$N$7:$N$874,I60,BS_RE33!$P$7:$P$874,'30 days CF Table(AUD)'!G60,BS_RE33!$F$7:$F$874,'30 days CF Table(AUD)'!$C$2)</f>
        <v>0</v>
      </c>
      <c r="AZ60" s="379">
        <f>SUMIFS(BS_RE33!$H$7:$H$874,BS_RE33!$S$7:$S$874,$AZ$2,BS_RE33!$N$7:$N$874,I60,BS_RE33!$P$7:$P$874,'30 days CF Table(AUD)'!G60,BS_RE33!$F$7:$F$874,'30 days CF Table(AUD)'!$C$2)</f>
        <v>0</v>
      </c>
      <c r="BA60" s="379">
        <f>SUMIFS(BS_RE33!$H$7:$H$874,BS_RE33!$S$7:$S$874,$BA$2,BS_RE33!$N$7:$N$874,I60,BS_RE33!$P$7:$P$874,'30 days CF Table(AUD)'!G60,BS_RE33!$F$7:$F$874,'30 days CF Table(AUD)'!$C$2)</f>
        <v>0</v>
      </c>
      <c r="BB60" s="379">
        <f>SUMIFS(BS_RE33!$H$7:$H$874,BS_RE33!$S$7:$S$874,$BB$2,BS_RE33!$N$7:$N$874,I60,BS_RE33!$P$7:$P$874,'30 days CF Table(AUD)'!G60,BS_RE33!$F$7:$F$874,'30 days CF Table(AUD)'!$C$2)</f>
        <v>0</v>
      </c>
      <c r="BC60" s="379">
        <f>SUMIFS(BS_RE33!$H$7:$H$874,BS_RE33!$S$7:$S$874,$BC$2,BS_RE33!$N$7:$N$874,I60,BS_RE33!$P$7:$P$874,'30 days CF Table(AUD)'!G60,BS_RE33!$F$7:$F$874,'30 days CF Table(AUD)'!$C$2)</f>
        <v>0</v>
      </c>
      <c r="BD60" s="379">
        <f>SUMIFS(BS_RE33!$H$7:$H$874,BS_RE33!$S$7:$S$874,$BD$2,BS_RE33!$N$7:$N$874,I60,BS_RE33!$P$7:$P$874,'30 days CF Table(AUD)'!G60,BS_RE33!$F$7:$F$874,'30 days CF Table(AUD)'!$C$2)</f>
        <v>0</v>
      </c>
      <c r="BE60" s="379">
        <f>SUMIFS(BS_RE33!$H$7:$H$874,BS_RE33!$S$7:$S$874,$BE$2,BS_RE33!$N$7:$N$874,I60,BS_RE33!$P$7:$P$874,'30 days CF Table(AUD)'!G60,BS_RE33!$F$7:$F$874,'30 days CF Table(AUD)'!$C$2)</f>
        <v>0</v>
      </c>
      <c r="BF60" s="379">
        <f>SUMIFS(BS_RE33!$H$7:$H$874,BS_RE33!$S$7:$S$874,$BF$2,BS_RE33!$N$7:$N$874,I60,BS_RE33!$P$7:$P$874,'30 days CF Table(AUD)'!G60,BS_RE33!$F$7:$F$874,'30 days CF Table(AUD)'!$C$2)</f>
        <v>0</v>
      </c>
      <c r="BG60" s="379">
        <f>SUMIFS(BS_RE33!$H$7:$H$874,BS_RE33!$S$7:$S$874,$BG$2,BS_RE33!$N$7:$N$874,I60,BS_RE33!$P$7:$P$874,'30 days CF Table(AUD)'!G60,BS_RE33!$F$7:$F$874,'30 days CF Table(AUD)'!$C$2)</f>
        <v>0</v>
      </c>
      <c r="BH60" s="379">
        <f>SUMIFS(BS_RE33!$H$7:$H$874,BS_RE33!$S$7:$S$874,$BH$2,BS_RE33!$N$7:$N$874,I60,BS_RE33!$P$7:$P$874,'30 days CF Table(AUD)'!G60,BS_RE33!$F$7:$F$874,'30 days CF Table(AUD)'!$C$2)</f>
        <v>0</v>
      </c>
      <c r="BI60" s="379">
        <f>SUMIFS(BS_RE33!$H$7:$H$874,BS_RE33!$S$7:$S$874,$BI$2,BS_RE33!$N$7:$N$874,I60,BS_RE33!$P$7:$P$874,'30 days CF Table(AUD)'!G60,BS_RE33!$F$7:$F$874,'30 days CF Table(AUD)'!$C$2)</f>
        <v>0</v>
      </c>
      <c r="BJ60" s="379">
        <f>SUMIFS(BS_RE33!$H$7:$H$874,BS_RE33!$S$7:$S$874,$BJ$2,BS_RE33!$N$7:$N$874,I60,BS_RE33!$P$7:$P$874,'30 days CF Table(AUD)'!G60,BS_RE33!$F$7:$F$874,'30 days CF Table(AUD)'!$C$2)</f>
        <v>0</v>
      </c>
      <c r="BK60" s="379">
        <f>SUMIFS(BS_RE33!$H$7:$H$874,BS_RE33!$S$7:$S$874,$BK$2,BS_RE33!$N$7:$N$874,I60,BS_RE33!$P$7:$P$874,'30 days CF Table(AUD)'!G60,BS_RE33!$F$7:$F$874,'30 days CF Table(AUD)'!$C$2)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Table(AUD)'!G61,BS_RE33!$F$7:$F$874,'30 days CF Table(AUD)'!$C$2)</f>
        <v>0</v>
      </c>
      <c r="M61" s="337">
        <f>SUMIFS(BS_RE33!$H$7:$H$874,BS_RE33!$S$7:$S$874,$M$2,BS_RE33!$N$7:$N$874,I61,BS_RE33!$P$7:$P$874,'30 days CF Table(AUD)'!G61,BS_RE33!$F$7:$F$874,'30 days CF Table(AUD)'!$C$2)</f>
        <v>0</v>
      </c>
      <c r="N61" s="337">
        <f>SUMIFS(BS_RE33!$H$7:$H$874,BS_RE33!$S$7:$S$874,$N$2,BS_RE33!$N$7:$N$874,I61,BS_RE33!$P$7:$P$874,'30 days CF Table(AUD)'!G61,BS_RE33!$F$7:$F$874,'30 days CF Table(AUD)'!$C$2)</f>
        <v>0</v>
      </c>
      <c r="O61" s="337">
        <f>SUMIFS(BS_RE33!$H$7:$H$874,BS_RE33!$S$7:$S$874,$O$2,BS_RE33!$N$7:$N$874,I61,BS_RE33!$P$7:$P$874,'30 days CF Table(AUD)'!G61,BS_RE33!$F$7:$F$874,'30 days CF Table(AUD)'!$C$2)</f>
        <v>0</v>
      </c>
      <c r="P61" s="337">
        <f>SUMIFS(BS_RE33!$H$7:$H$874,BS_RE33!$S$7:$S$874,$P$2,BS_RE33!$N$7:$N$874,I61,BS_RE33!$P$7:$P$874,'30 days CF Table(AUD)'!G61,BS_RE33!$F$7:$F$874,'30 days CF Table(AUD)'!$C$2)</f>
        <v>0</v>
      </c>
      <c r="Q61" s="337">
        <f>SUMIFS(BS_RE33!$H$7:$H$874,BS_RE33!$S$7:$S$874,$Q$2,BS_RE33!$N$7:$N$874,I61,BS_RE33!$P$7:$P$874,'30 days CF Table(AUD)'!G61,BS_RE33!$F$7:$F$874,'30 days CF Table(AUD)'!$C$2)</f>
        <v>0</v>
      </c>
      <c r="R61" s="337">
        <f>SUMIFS(BS_RE33!$H$7:$H$874,BS_RE33!$S$7:$S$874,$R$2,BS_RE33!$N$7:$N$874,I61,BS_RE33!$P$7:$P$874,'30 days CF Table(AUD)'!G61,BS_RE33!$F$7:$F$874,'30 days CF Table(AUD)'!$C$2)</f>
        <v>0</v>
      </c>
      <c r="S61" s="337">
        <f>SUMIFS(BS_RE33!$H$7:$H$874,BS_RE33!$S$7:$S$874,$S$2,BS_RE33!$N$7:$N$874,I61,BS_RE33!$P$7:$P$874,'30 days CF Table(AUD)'!G61,BS_RE33!$F$7:$F$874,'30 days CF Table(AUD)'!$C$2)</f>
        <v>0</v>
      </c>
      <c r="T61" s="337">
        <f>SUMIFS(BS_RE33!$H$7:$H$874,BS_RE33!$S$7:$S$874,$T$2,BS_RE33!$N$7:$N$874,I61,BS_RE33!$P$7:$P$874,'30 days CF Table(AUD)'!G61,BS_RE33!$F$7:$F$874,'30 days CF Table(AUD)'!$C$2)</f>
        <v>0</v>
      </c>
      <c r="U61" s="337">
        <f>SUMIFS(BS_RE33!$H$7:$H$874,BS_RE33!$S$7:$S$874,$U$2,BS_RE33!$N$7:$N$874,I61,BS_RE33!$P$7:$P$874,'30 days CF Table(AUD)'!G61,BS_RE33!$F$7:$F$874,'30 days CF Table(AUD)'!$C$2)</f>
        <v>0</v>
      </c>
      <c r="V61" s="337">
        <f>SUMIFS(BS_RE33!$H$7:$H$874,BS_RE33!$S$7:$S$874,$V$2,BS_RE33!$N$7:$N$874,I61,BS_RE33!$P$7:$P$874,'30 days CF Table(AUD)'!G61,BS_RE33!$F$7:$F$874,'30 days CF Table(AUD)'!$C$2)</f>
        <v>0</v>
      </c>
      <c r="W61" s="337">
        <f>SUMIFS(BS_RE33!$H$7:$H$874,BS_RE33!$S$7:$S$874,$W$2,BS_RE33!$N$7:$N$874,I61,BS_RE33!$P$7:$P$874,'30 days CF Table(AUD)'!G61,BS_RE33!$F$7:$F$874,'30 days CF Table(AUD)'!$C$2)</f>
        <v>0</v>
      </c>
      <c r="X61" s="337">
        <f>SUMIFS(BS_RE33!$H$7:$H$874,BS_RE33!$S$7:$S$874,$X$2,BS_RE33!$N$7:$N$874,I61,BS_RE33!$P$7:$P$874,'30 days CF Table(AUD)'!G61,BS_RE33!$F$7:$F$874,'30 days CF Table(AUD)'!$C$2)</f>
        <v>0</v>
      </c>
      <c r="Y61" s="337">
        <f>SUMIFS(BS_RE33!$H$7:$H$874,BS_RE33!$S$7:$S$874,$Y$2,BS_RE33!$N$7:$N$874,I61,BS_RE33!$P$7:$P$874,'30 days CF Table(AUD)'!G61,BS_RE33!$F$7:$F$874,'30 days CF Table(AUD)'!$C$2)</f>
        <v>0</v>
      </c>
      <c r="Z61" s="337">
        <f>SUMIFS(BS_RE33!$H$7:$H$874,BS_RE33!$S$7:$S$874,$Z$2,BS_RE33!$N$7:$N$874,I61,BS_RE33!$P$7:$P$874,'30 days CF Table(AUD)'!G61,BS_RE33!$F$7:$F$874,'30 days CF Table(AUD)'!$C$2)</f>
        <v>0</v>
      </c>
      <c r="AA61" s="337">
        <f>SUMIFS(BS_RE33!$H$7:$H$874,BS_RE33!$S$7:$S$874,$AA$2,BS_RE33!$N$7:$N$874,I61,BS_RE33!$P$7:$P$874,'30 days CF Table(AUD)'!G61,BS_RE33!$F$7:$F$874,'30 days CF Table(AUD)'!$C$2)</f>
        <v>0</v>
      </c>
      <c r="AB61" s="337">
        <f>SUMIFS(BS_RE33!$H$7:$H$874,BS_RE33!$S$7:$S$874,$AB$2,BS_RE33!$N$7:$N$874,I61,BS_RE33!$P$7:$P$874,'30 days CF Table(AUD)'!G61,BS_RE33!$F$7:$F$874,'30 days CF Table(AUD)'!$C$2)</f>
        <v>0</v>
      </c>
      <c r="AC61" s="337">
        <f>SUMIFS(BS_RE33!$H$7:$H$874,BS_RE33!$S$7:$S$874,$AC$2,BS_RE33!$N$7:$N$874,I61,BS_RE33!$P$7:$P$874,'30 days CF Table(AUD)'!G61,BS_RE33!$F$7:$F$874,'30 days CF Table(AUD)'!$C$2)</f>
        <v>0</v>
      </c>
      <c r="AD61" s="337">
        <f>SUMIFS(BS_RE33!$H$7:$H$874,BS_RE33!$S$7:$S$874,$AD$2,BS_RE33!$N$7:$N$874,I61,BS_RE33!$P$7:$P$874,'30 days CF Table(AUD)'!G61,BS_RE33!$F$7:$F$874,'30 days CF Table(AUD)'!$C$2)</f>
        <v>0</v>
      </c>
      <c r="AE61" s="337">
        <f>SUMIFS(BS_RE33!$H$7:$H$874,BS_RE33!$S$7:$S$874,$AE$2,BS_RE33!$N$7:$N$874,I61,BS_RE33!$P$7:$P$874,'30 days CF Table(AUD)'!G61,BS_RE33!$F$7:$F$874,'30 days CF Table(AUD)'!$C$2)</f>
        <v>0</v>
      </c>
      <c r="AF61" s="337">
        <f>SUMIFS(BS_RE33!$H$7:$H$874,BS_RE33!$S$7:$S$874,$AF$2,BS_RE33!$N$7:$N$874,I61,BS_RE33!$P$7:$P$874,'30 days CF Table(AUD)'!G61,BS_RE33!$F$7:$F$874,'30 days CF Table(AUD)'!$C$2)</f>
        <v>0</v>
      </c>
      <c r="AG61" s="337">
        <f>SUMIFS(BS_RE33!$H$7:$H$874,BS_RE33!$S$7:$S$874,$AG$2,BS_RE33!$N$7:$N$874,I61,BS_RE33!$P$7:$P$874,'30 days CF Table(AUD)'!G61,BS_RE33!$F$7:$F$874,'30 days CF Table(AUD)'!$C$2)</f>
        <v>0</v>
      </c>
      <c r="AH61" s="337">
        <f>SUMIFS(BS_RE33!$H$7:$H$874,BS_RE33!$S$7:$S$874,$AH$2,BS_RE33!$N$7:$N$874,I61,BS_RE33!$P$7:$P$874,'30 days CF Table(AUD)'!G61,BS_RE33!$F$7:$F$874,'30 days CF Table(AUD)'!$C$2)</f>
        <v>0</v>
      </c>
      <c r="AI61" s="337">
        <f>SUMIFS(BS_RE33!$H$7:$H$874,BS_RE33!$S$7:$S$874,$AI$2,BS_RE33!$N$7:$N$874,I61,BS_RE33!$P$7:$P$874,'30 days CF Table(AUD)'!G61,BS_RE33!$F$7:$F$874,'30 days CF Table(AUD)'!$C$2)</f>
        <v>0</v>
      </c>
      <c r="AJ61" s="337">
        <f>SUMIFS(BS_RE33!$H$7:$H$874,BS_RE33!$S$7:$S$874,$AJ$2,BS_RE33!$N$7:$N$874,I61,BS_RE33!$P$7:$P$874,'30 days CF Table(AUD)'!G61,BS_RE33!$F$7:$F$874,'30 days CF Table(AUD)'!$C$2)</f>
        <v>0</v>
      </c>
      <c r="AK61" s="337">
        <f>SUMIFS(BS_RE33!$H$7:$H$874,BS_RE33!$S$7:$S$874,$AK$2,BS_RE33!$N$7:$N$874,I61,BS_RE33!$P$7:$P$874,'30 days CF Table(AUD)'!G61,BS_RE33!$F$7:$F$874,'30 days CF Table(AUD)'!$C$2)</f>
        <v>0</v>
      </c>
      <c r="AL61" s="337">
        <f>SUMIFS(BS_RE33!$H$7:$H$874,BS_RE33!$S$7:$S$874,$AL$2,BS_RE33!$N$7:$N$874,I61,BS_RE33!$P$7:$P$874,'30 days CF Table(AUD)'!G61,BS_RE33!$F$7:$F$874,'30 days CF Table(AUD)'!$C$2)</f>
        <v>0</v>
      </c>
      <c r="AM61" s="337">
        <f>SUMIFS(BS_RE33!$H$7:$H$874,BS_RE33!$S$7:$S$874,$AM$2,BS_RE33!$N$7:$N$874,I61,BS_RE33!$P$7:$P$874,'30 days CF Table(AUD)'!G61,BS_RE33!$F$7:$F$874,'30 days CF Table(AUD)'!$C$2)</f>
        <v>0</v>
      </c>
      <c r="AN61" s="337">
        <f>SUMIFS(BS_RE33!$H$7:$H$874,BS_RE33!$S$7:$S$874,$AN$2,BS_RE33!$N$7:$N$874,I61,BS_RE33!$P$7:$P$874,'30 days CF Table(AUD)'!G61,BS_RE33!$F$7:$F$874,'30 days CF Table(AUD)'!$C$2)</f>
        <v>0</v>
      </c>
      <c r="AO61" s="337">
        <f>SUMIFS(BS_RE33!$H$7:$H$874,BS_RE33!$S$7:$S$874,$AO$2,BS_RE33!$N$7:$N$874,I61,BS_RE33!$P$7:$P$874,'30 days CF Table(AUD)'!G61,BS_RE33!$F$7:$F$874,'30 days CF Table(AUD)'!$C$2)</f>
        <v>0</v>
      </c>
      <c r="AP61" s="338">
        <f>SUMIFS(BS_RE33!$H$7:$H$874,BS_RE33!$S$7:$S$874,$AP$2,BS_RE33!$N$7:$N$874,I61,BS_RE33!$P$7:$P$874,'30 days CF Table(AUD)'!G61,BS_RE33!$F$7:$F$874,'30 days CF Table(AUD)'!$C$2)</f>
        <v>0</v>
      </c>
      <c r="AR61" s="379">
        <f>SUMIFS(BS_RE33!$H$7:$H$874,BS_RE33!$S$7:$S$874,$AR$2,BS_RE33!$N$7:$N$874,I61,BS_RE33!$P$7:$P$874,'30 days CF Table(AUD)'!G61,BS_RE33!$F$7:$F$874,'30 days CF Table(AUD)'!$C$2)</f>
        <v>0</v>
      </c>
      <c r="AS61" s="379">
        <f>SUMIFS(BS_RE33!$H$7:$H$874,BS_RE33!$S$7:$S$874,$AS$2,BS_RE33!$N$7:$N$874,I61,BS_RE33!$P$7:$P$874,'30 days CF Table(AUD)'!G61,BS_RE33!$F$7:$F$874,'30 days CF Table(AUD)'!$C$2)</f>
        <v>0</v>
      </c>
      <c r="AT61" s="379">
        <f>SUMIFS(BS_RE33!$H$7:$H$874,BS_RE33!$S$7:$S$874,$AT$2,BS_RE33!$N$7:$N$874,I61,BS_RE33!$P$7:$P$874,'30 days CF Table(AUD)'!G61,BS_RE33!$F$7:$F$874,'30 days CF Table(AUD)'!$C$2)</f>
        <v>0</v>
      </c>
      <c r="AU61" s="379">
        <f>SUMIFS(BS_RE33!$H$7:$H$874,BS_RE33!$S$7:$S$874,$AU$2,BS_RE33!$N$7:$N$874,I61,BS_RE33!$P$7:$P$874,'30 days CF Table(AUD)'!G61,BS_RE33!$F$7:$F$874,'30 days CF Table(AUD)'!$C$2)</f>
        <v>0</v>
      </c>
      <c r="AV61" s="379">
        <f>SUMIFS(BS_RE33!$H$7:$H$874,BS_RE33!$S$7:$S$874,$AV$2,BS_RE33!$N$7:$N$874,I61,BS_RE33!$P$7:$P$874,'30 days CF Table(AUD)'!G61,BS_RE33!$F$7:$F$874,'30 days CF Table(AUD)'!$C$2)</f>
        <v>0</v>
      </c>
      <c r="AW61" s="379">
        <f>SUMIFS(BS_RE33!$H$7:$H$874,BS_RE33!$S$7:$S$874,$AW$2,BS_RE33!$N$7:$N$874,I61,BS_RE33!$P$7:$P$874,'30 days CF Table(AUD)'!G61,BS_RE33!$F$7:$F$874,'30 days CF Table(AUD)'!$C$2)</f>
        <v>0</v>
      </c>
      <c r="AX61" s="379">
        <f>SUMIFS(BS_RE33!$H$7:$H$874,BS_RE33!$S$7:$S$874,$AX$2,BS_RE33!$N$7:$N$874,I61,BS_RE33!$P$7:$P$874,'30 days CF Table(AUD)'!G61,BS_RE33!$F$7:$F$874,'30 days CF Table(AUD)'!$C$2)</f>
        <v>0</v>
      </c>
      <c r="AY61" s="379">
        <f>SUMIFS(BS_RE33!$H$7:$H$874,BS_RE33!$S$7:$S$874,$AY$2,BS_RE33!$N$7:$N$874,I61,BS_RE33!$P$7:$P$874,'30 days CF Table(AUD)'!G61,BS_RE33!$F$7:$F$874,'30 days CF Table(AUD)'!$C$2)</f>
        <v>0</v>
      </c>
      <c r="AZ61" s="379">
        <f>SUMIFS(BS_RE33!$H$7:$H$874,BS_RE33!$S$7:$S$874,$AZ$2,BS_RE33!$N$7:$N$874,I61,BS_RE33!$P$7:$P$874,'30 days CF Table(AUD)'!G61,BS_RE33!$F$7:$F$874,'30 days CF Table(AUD)'!$C$2)</f>
        <v>0</v>
      </c>
      <c r="BA61" s="379">
        <f>SUMIFS(BS_RE33!$H$7:$H$874,BS_RE33!$S$7:$S$874,$BA$2,BS_RE33!$N$7:$N$874,I61,BS_RE33!$P$7:$P$874,'30 days CF Table(AUD)'!G61,BS_RE33!$F$7:$F$874,'30 days CF Table(AUD)'!$C$2)</f>
        <v>0</v>
      </c>
      <c r="BB61" s="379">
        <f>SUMIFS(BS_RE33!$H$7:$H$874,BS_RE33!$S$7:$S$874,$BB$2,BS_RE33!$N$7:$N$874,I61,BS_RE33!$P$7:$P$874,'30 days CF Table(AUD)'!G61,BS_RE33!$F$7:$F$874,'30 days CF Table(AUD)'!$C$2)</f>
        <v>0</v>
      </c>
      <c r="BC61" s="379">
        <f>SUMIFS(BS_RE33!$H$7:$H$874,BS_RE33!$S$7:$S$874,$BC$2,BS_RE33!$N$7:$N$874,I61,BS_RE33!$P$7:$P$874,'30 days CF Table(AUD)'!G61,BS_RE33!$F$7:$F$874,'30 days CF Table(AUD)'!$C$2)</f>
        <v>0</v>
      </c>
      <c r="BD61" s="379">
        <f>SUMIFS(BS_RE33!$H$7:$H$874,BS_RE33!$S$7:$S$874,$BD$2,BS_RE33!$N$7:$N$874,I61,BS_RE33!$P$7:$P$874,'30 days CF Table(AUD)'!G61,BS_RE33!$F$7:$F$874,'30 days CF Table(AUD)'!$C$2)</f>
        <v>0</v>
      </c>
      <c r="BE61" s="379">
        <f>SUMIFS(BS_RE33!$H$7:$H$874,BS_RE33!$S$7:$S$874,$BE$2,BS_RE33!$N$7:$N$874,I61,BS_RE33!$P$7:$P$874,'30 days CF Table(AUD)'!G61,BS_RE33!$F$7:$F$874,'30 days CF Table(AUD)'!$C$2)</f>
        <v>0</v>
      </c>
      <c r="BF61" s="379">
        <f>SUMIFS(BS_RE33!$H$7:$H$874,BS_RE33!$S$7:$S$874,$BF$2,BS_RE33!$N$7:$N$874,I61,BS_RE33!$P$7:$P$874,'30 days CF Table(AUD)'!G61,BS_RE33!$F$7:$F$874,'30 days CF Table(AUD)'!$C$2)</f>
        <v>0</v>
      </c>
      <c r="BG61" s="379">
        <f>SUMIFS(BS_RE33!$H$7:$H$874,BS_RE33!$S$7:$S$874,$BG$2,BS_RE33!$N$7:$N$874,I61,BS_RE33!$P$7:$P$874,'30 days CF Table(AUD)'!G61,BS_RE33!$F$7:$F$874,'30 days CF Table(AUD)'!$C$2)</f>
        <v>0</v>
      </c>
      <c r="BH61" s="379">
        <f>SUMIFS(BS_RE33!$H$7:$H$874,BS_RE33!$S$7:$S$874,$BH$2,BS_RE33!$N$7:$N$874,I61,BS_RE33!$P$7:$P$874,'30 days CF Table(AUD)'!G61,BS_RE33!$F$7:$F$874,'30 days CF Table(AUD)'!$C$2)</f>
        <v>0</v>
      </c>
      <c r="BI61" s="379">
        <f>SUMIFS(BS_RE33!$H$7:$H$874,BS_RE33!$S$7:$S$874,$BI$2,BS_RE33!$N$7:$N$874,I61,BS_RE33!$P$7:$P$874,'30 days CF Table(AUD)'!G61,BS_RE33!$F$7:$F$874,'30 days CF Table(AUD)'!$C$2)</f>
        <v>0</v>
      </c>
      <c r="BJ61" s="379">
        <f>SUMIFS(BS_RE33!$H$7:$H$874,BS_RE33!$S$7:$S$874,$BJ$2,BS_RE33!$N$7:$N$874,I61,BS_RE33!$P$7:$P$874,'30 days CF Table(AUD)'!G61,BS_RE33!$F$7:$F$874,'30 days CF Table(AUD)'!$C$2)</f>
        <v>0</v>
      </c>
      <c r="BK61" s="379">
        <f>SUMIFS(BS_RE33!$H$7:$H$874,BS_RE33!$S$7:$S$874,$BK$2,BS_RE33!$N$7:$N$874,I61,BS_RE33!$P$7:$P$874,'30 days CF Table(AUD)'!G61,BS_RE33!$F$7:$F$874,'30 days CF Table(AUD)'!$C$2)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Table(AUD)'!G62,BS_RE33!$F$7:$F$874,'30 days CF Table(AUD)'!$C$2)</f>
        <v>0</v>
      </c>
      <c r="M62" s="337">
        <f>SUMIFS(BS_RE33!$H$7:$H$874,BS_RE33!$S$7:$S$874,$M$2,BS_RE33!$N$7:$N$874,I62,BS_RE33!$P$7:$P$874,'30 days CF Table(AUD)'!G62,BS_RE33!$F$7:$F$874,'30 days CF Table(AUD)'!$C$2)</f>
        <v>0</v>
      </c>
      <c r="N62" s="337">
        <f>SUMIFS(BS_RE33!$H$7:$H$874,BS_RE33!$S$7:$S$874,$N$2,BS_RE33!$N$7:$N$874,I62,BS_RE33!$P$7:$P$874,'30 days CF Table(AUD)'!G62,BS_RE33!$F$7:$F$874,'30 days CF Table(AUD)'!$C$2)</f>
        <v>0</v>
      </c>
      <c r="O62" s="337">
        <f>SUMIFS(BS_RE33!$H$7:$H$874,BS_RE33!$S$7:$S$874,$O$2,BS_RE33!$N$7:$N$874,I62,BS_RE33!$P$7:$P$874,'30 days CF Table(AUD)'!G62,BS_RE33!$F$7:$F$874,'30 days CF Table(AUD)'!$C$2)</f>
        <v>0</v>
      </c>
      <c r="P62" s="337">
        <f>SUMIFS(BS_RE33!$H$7:$H$874,BS_RE33!$S$7:$S$874,$P$2,BS_RE33!$N$7:$N$874,I62,BS_RE33!$P$7:$P$874,'30 days CF Table(AUD)'!G62,BS_RE33!$F$7:$F$874,'30 days CF Table(AUD)'!$C$2)</f>
        <v>0</v>
      </c>
      <c r="Q62" s="337">
        <f>SUMIFS(BS_RE33!$H$7:$H$874,BS_RE33!$S$7:$S$874,$Q$2,BS_RE33!$N$7:$N$874,I62,BS_RE33!$P$7:$P$874,'30 days CF Table(AUD)'!G62,BS_RE33!$F$7:$F$874,'30 days CF Table(AUD)'!$C$2)</f>
        <v>0</v>
      </c>
      <c r="R62" s="337">
        <f>SUMIFS(BS_RE33!$H$7:$H$874,BS_RE33!$S$7:$S$874,$R$2,BS_RE33!$N$7:$N$874,I62,BS_RE33!$P$7:$P$874,'30 days CF Table(AUD)'!G62,BS_RE33!$F$7:$F$874,'30 days CF Table(AUD)'!$C$2)</f>
        <v>0</v>
      </c>
      <c r="S62" s="337">
        <f>SUMIFS(BS_RE33!$H$7:$H$874,BS_RE33!$S$7:$S$874,$S$2,BS_RE33!$N$7:$N$874,I62,BS_RE33!$P$7:$P$874,'30 days CF Table(AUD)'!G62,BS_RE33!$F$7:$F$874,'30 days CF Table(AUD)'!$C$2)</f>
        <v>0</v>
      </c>
      <c r="T62" s="337">
        <f>SUMIFS(BS_RE33!$H$7:$H$874,BS_RE33!$S$7:$S$874,$T$2,BS_RE33!$N$7:$N$874,I62,BS_RE33!$P$7:$P$874,'30 days CF Table(AUD)'!G62,BS_RE33!$F$7:$F$874,'30 days CF Table(AUD)'!$C$2)</f>
        <v>0</v>
      </c>
      <c r="U62" s="337">
        <f>SUMIFS(BS_RE33!$H$7:$H$874,BS_RE33!$S$7:$S$874,$U$2,BS_RE33!$N$7:$N$874,I62,BS_RE33!$P$7:$P$874,'30 days CF Table(AUD)'!G62,BS_RE33!$F$7:$F$874,'30 days CF Table(AUD)'!$C$2)</f>
        <v>0</v>
      </c>
      <c r="V62" s="337">
        <f>SUMIFS(BS_RE33!$H$7:$H$874,BS_RE33!$S$7:$S$874,$V$2,BS_RE33!$N$7:$N$874,I62,BS_RE33!$P$7:$P$874,'30 days CF Table(AUD)'!G62,BS_RE33!$F$7:$F$874,'30 days CF Table(AUD)'!$C$2)</f>
        <v>0</v>
      </c>
      <c r="W62" s="337">
        <f>SUMIFS(BS_RE33!$H$7:$H$874,BS_RE33!$S$7:$S$874,$W$2,BS_RE33!$N$7:$N$874,I62,BS_RE33!$P$7:$P$874,'30 days CF Table(AUD)'!G62,BS_RE33!$F$7:$F$874,'30 days CF Table(AUD)'!$C$2)</f>
        <v>0</v>
      </c>
      <c r="X62" s="337">
        <f>SUMIFS(BS_RE33!$H$7:$H$874,BS_RE33!$S$7:$S$874,$X$2,BS_RE33!$N$7:$N$874,I62,BS_RE33!$P$7:$P$874,'30 days CF Table(AUD)'!G62,BS_RE33!$F$7:$F$874,'30 days CF Table(AUD)'!$C$2)</f>
        <v>0</v>
      </c>
      <c r="Y62" s="337">
        <f>SUMIFS(BS_RE33!$H$7:$H$874,BS_RE33!$S$7:$S$874,$Y$2,BS_RE33!$N$7:$N$874,I62,BS_RE33!$P$7:$P$874,'30 days CF Table(AUD)'!G62,BS_RE33!$F$7:$F$874,'30 days CF Table(AUD)'!$C$2)</f>
        <v>0</v>
      </c>
      <c r="Z62" s="337">
        <f>SUMIFS(BS_RE33!$H$7:$H$874,BS_RE33!$S$7:$S$874,$Z$2,BS_RE33!$N$7:$N$874,I62,BS_RE33!$P$7:$P$874,'30 days CF Table(AUD)'!G62,BS_RE33!$F$7:$F$874,'30 days CF Table(AUD)'!$C$2)</f>
        <v>0</v>
      </c>
      <c r="AA62" s="337">
        <f>SUMIFS(BS_RE33!$H$7:$H$874,BS_RE33!$S$7:$S$874,$AA$2,BS_RE33!$N$7:$N$874,I62,BS_RE33!$P$7:$P$874,'30 days CF Table(AUD)'!G62,BS_RE33!$F$7:$F$874,'30 days CF Table(AUD)'!$C$2)</f>
        <v>0</v>
      </c>
      <c r="AB62" s="337">
        <f>SUMIFS(BS_RE33!$H$7:$H$874,BS_RE33!$S$7:$S$874,$AB$2,BS_RE33!$N$7:$N$874,I62,BS_RE33!$P$7:$P$874,'30 days CF Table(AUD)'!G62,BS_RE33!$F$7:$F$874,'30 days CF Table(AUD)'!$C$2)</f>
        <v>0</v>
      </c>
      <c r="AC62" s="337">
        <f>SUMIFS(BS_RE33!$H$7:$H$874,BS_RE33!$S$7:$S$874,$AC$2,BS_RE33!$N$7:$N$874,I62,BS_RE33!$P$7:$P$874,'30 days CF Table(AUD)'!G62,BS_RE33!$F$7:$F$874,'30 days CF Table(AUD)'!$C$2)</f>
        <v>0</v>
      </c>
      <c r="AD62" s="337">
        <f>SUMIFS(BS_RE33!$H$7:$H$874,BS_RE33!$S$7:$S$874,$AD$2,BS_RE33!$N$7:$N$874,I62,BS_RE33!$P$7:$P$874,'30 days CF Table(AUD)'!G62,BS_RE33!$F$7:$F$874,'30 days CF Table(AUD)'!$C$2)</f>
        <v>0</v>
      </c>
      <c r="AE62" s="337">
        <f>SUMIFS(BS_RE33!$H$7:$H$874,BS_RE33!$S$7:$S$874,$AE$2,BS_RE33!$N$7:$N$874,I62,BS_RE33!$P$7:$P$874,'30 days CF Table(AUD)'!G62,BS_RE33!$F$7:$F$874,'30 days CF Table(AUD)'!$C$2)</f>
        <v>0</v>
      </c>
      <c r="AF62" s="337">
        <f>SUMIFS(BS_RE33!$H$7:$H$874,BS_RE33!$S$7:$S$874,$AF$2,BS_RE33!$N$7:$N$874,I62,BS_RE33!$P$7:$P$874,'30 days CF Table(AUD)'!G62,BS_RE33!$F$7:$F$874,'30 days CF Table(AUD)'!$C$2)</f>
        <v>0</v>
      </c>
      <c r="AG62" s="337">
        <f>SUMIFS(BS_RE33!$H$7:$H$874,BS_RE33!$S$7:$S$874,$AG$2,BS_RE33!$N$7:$N$874,I62,BS_RE33!$P$7:$P$874,'30 days CF Table(AUD)'!G62,BS_RE33!$F$7:$F$874,'30 days CF Table(AUD)'!$C$2)</f>
        <v>0</v>
      </c>
      <c r="AH62" s="337">
        <f>SUMIFS(BS_RE33!$H$7:$H$874,BS_RE33!$S$7:$S$874,$AH$2,BS_RE33!$N$7:$N$874,I62,BS_RE33!$P$7:$P$874,'30 days CF Table(AUD)'!G62,BS_RE33!$F$7:$F$874,'30 days CF Table(AUD)'!$C$2)</f>
        <v>0</v>
      </c>
      <c r="AI62" s="337">
        <f>SUMIFS(BS_RE33!$H$7:$H$874,BS_RE33!$S$7:$S$874,$AI$2,BS_RE33!$N$7:$N$874,I62,BS_RE33!$P$7:$P$874,'30 days CF Table(AUD)'!G62,BS_RE33!$F$7:$F$874,'30 days CF Table(AUD)'!$C$2)</f>
        <v>0</v>
      </c>
      <c r="AJ62" s="337">
        <f>SUMIFS(BS_RE33!$H$7:$H$874,BS_RE33!$S$7:$S$874,$AJ$2,BS_RE33!$N$7:$N$874,I62,BS_RE33!$P$7:$P$874,'30 days CF Table(AUD)'!G62,BS_RE33!$F$7:$F$874,'30 days CF Table(AUD)'!$C$2)</f>
        <v>0</v>
      </c>
      <c r="AK62" s="337">
        <f>SUMIFS(BS_RE33!$H$7:$H$874,BS_RE33!$S$7:$S$874,$AK$2,BS_RE33!$N$7:$N$874,I62,BS_RE33!$P$7:$P$874,'30 days CF Table(AUD)'!G62,BS_RE33!$F$7:$F$874,'30 days CF Table(AUD)'!$C$2)</f>
        <v>0</v>
      </c>
      <c r="AL62" s="337">
        <f>SUMIFS(BS_RE33!$H$7:$H$874,BS_RE33!$S$7:$S$874,$AL$2,BS_RE33!$N$7:$N$874,I62,BS_RE33!$P$7:$P$874,'30 days CF Table(AUD)'!G62,BS_RE33!$F$7:$F$874,'30 days CF Table(AUD)'!$C$2)</f>
        <v>0</v>
      </c>
      <c r="AM62" s="337">
        <f>SUMIFS(BS_RE33!$H$7:$H$874,BS_RE33!$S$7:$S$874,$AM$2,BS_RE33!$N$7:$N$874,I62,BS_RE33!$P$7:$P$874,'30 days CF Table(AUD)'!G62,BS_RE33!$F$7:$F$874,'30 days CF Table(AUD)'!$C$2)</f>
        <v>0</v>
      </c>
      <c r="AN62" s="337">
        <f>SUMIFS(BS_RE33!$H$7:$H$874,BS_RE33!$S$7:$S$874,$AN$2,BS_RE33!$N$7:$N$874,I62,BS_RE33!$P$7:$P$874,'30 days CF Table(AUD)'!G62,BS_RE33!$F$7:$F$874,'30 days CF Table(AUD)'!$C$2)</f>
        <v>0</v>
      </c>
      <c r="AO62" s="337">
        <f>SUMIFS(BS_RE33!$H$7:$H$874,BS_RE33!$S$7:$S$874,$AO$2,BS_RE33!$N$7:$N$874,I62,BS_RE33!$P$7:$P$874,'30 days CF Table(AUD)'!G62,BS_RE33!$F$7:$F$874,'30 days CF Table(AUD)'!$C$2)</f>
        <v>0</v>
      </c>
      <c r="AP62" s="338">
        <f>SUMIFS(BS_RE33!$H$7:$H$874,BS_RE33!$S$7:$S$874,$AP$2,BS_RE33!$N$7:$N$874,I62,BS_RE33!$P$7:$P$874,'30 days CF Table(AUD)'!G62,BS_RE33!$F$7:$F$874,'30 days CF Table(AUD)'!$C$2)</f>
        <v>0</v>
      </c>
      <c r="AR62" s="379">
        <f>SUMIFS(BS_RE33!$H$7:$H$874,BS_RE33!$S$7:$S$874,$AR$2,BS_RE33!$N$7:$N$874,I62,BS_RE33!$P$7:$P$874,'30 days CF Table(AUD)'!G62,BS_RE33!$F$7:$F$874,'30 days CF Table(AUD)'!$C$2)</f>
        <v>0</v>
      </c>
      <c r="AS62" s="379">
        <f>SUMIFS(BS_RE33!$H$7:$H$874,BS_RE33!$S$7:$S$874,$AS$2,BS_RE33!$N$7:$N$874,I62,BS_RE33!$P$7:$P$874,'30 days CF Table(AUD)'!G62,BS_RE33!$F$7:$F$874,'30 days CF Table(AUD)'!$C$2)</f>
        <v>0</v>
      </c>
      <c r="AT62" s="379">
        <f>SUMIFS(BS_RE33!$H$7:$H$874,BS_RE33!$S$7:$S$874,$AT$2,BS_RE33!$N$7:$N$874,I62,BS_RE33!$P$7:$P$874,'30 days CF Table(AUD)'!G62,BS_RE33!$F$7:$F$874,'30 days CF Table(AUD)'!$C$2)</f>
        <v>0</v>
      </c>
      <c r="AU62" s="379">
        <f>SUMIFS(BS_RE33!$H$7:$H$874,BS_RE33!$S$7:$S$874,$AU$2,BS_RE33!$N$7:$N$874,I62,BS_RE33!$P$7:$P$874,'30 days CF Table(AUD)'!G62,BS_RE33!$F$7:$F$874,'30 days CF Table(AUD)'!$C$2)</f>
        <v>0</v>
      </c>
      <c r="AV62" s="379">
        <f>SUMIFS(BS_RE33!$H$7:$H$874,BS_RE33!$S$7:$S$874,$AV$2,BS_RE33!$N$7:$N$874,I62,BS_RE33!$P$7:$P$874,'30 days CF Table(AUD)'!G62,BS_RE33!$F$7:$F$874,'30 days CF Table(AUD)'!$C$2)</f>
        <v>0</v>
      </c>
      <c r="AW62" s="379">
        <f>SUMIFS(BS_RE33!$H$7:$H$874,BS_RE33!$S$7:$S$874,$AW$2,BS_RE33!$N$7:$N$874,I62,BS_RE33!$P$7:$P$874,'30 days CF Table(AUD)'!G62,BS_RE33!$F$7:$F$874,'30 days CF Table(AUD)'!$C$2)</f>
        <v>0</v>
      </c>
      <c r="AX62" s="379">
        <f>SUMIFS(BS_RE33!$H$7:$H$874,BS_RE33!$S$7:$S$874,$AX$2,BS_RE33!$N$7:$N$874,I62,BS_RE33!$P$7:$P$874,'30 days CF Table(AUD)'!G62,BS_RE33!$F$7:$F$874,'30 days CF Table(AUD)'!$C$2)</f>
        <v>0</v>
      </c>
      <c r="AY62" s="379">
        <f>SUMIFS(BS_RE33!$H$7:$H$874,BS_RE33!$S$7:$S$874,$AY$2,BS_RE33!$N$7:$N$874,I62,BS_RE33!$P$7:$P$874,'30 days CF Table(AUD)'!G62,BS_RE33!$F$7:$F$874,'30 days CF Table(AUD)'!$C$2)</f>
        <v>0</v>
      </c>
      <c r="AZ62" s="379">
        <f>SUMIFS(BS_RE33!$H$7:$H$874,BS_RE33!$S$7:$S$874,$AZ$2,BS_RE33!$N$7:$N$874,I62,BS_RE33!$P$7:$P$874,'30 days CF Table(AUD)'!G62,BS_RE33!$F$7:$F$874,'30 days CF Table(AUD)'!$C$2)</f>
        <v>0</v>
      </c>
      <c r="BA62" s="379">
        <f>SUMIFS(BS_RE33!$H$7:$H$874,BS_RE33!$S$7:$S$874,$BA$2,BS_RE33!$N$7:$N$874,I62,BS_RE33!$P$7:$P$874,'30 days CF Table(AUD)'!G62,BS_RE33!$F$7:$F$874,'30 days CF Table(AUD)'!$C$2)</f>
        <v>0</v>
      </c>
      <c r="BB62" s="379">
        <f>SUMIFS(BS_RE33!$H$7:$H$874,BS_RE33!$S$7:$S$874,$BB$2,BS_RE33!$N$7:$N$874,I62,BS_RE33!$P$7:$P$874,'30 days CF Table(AUD)'!G62,BS_RE33!$F$7:$F$874,'30 days CF Table(AUD)'!$C$2)</f>
        <v>0</v>
      </c>
      <c r="BC62" s="379">
        <f>SUMIFS(BS_RE33!$H$7:$H$874,BS_RE33!$S$7:$S$874,$BC$2,BS_RE33!$N$7:$N$874,I62,BS_RE33!$P$7:$P$874,'30 days CF Table(AUD)'!G62,BS_RE33!$F$7:$F$874,'30 days CF Table(AUD)'!$C$2)</f>
        <v>0</v>
      </c>
      <c r="BD62" s="379">
        <f>SUMIFS(BS_RE33!$H$7:$H$874,BS_RE33!$S$7:$S$874,$BD$2,BS_RE33!$N$7:$N$874,I62,BS_RE33!$P$7:$P$874,'30 days CF Table(AUD)'!G62,BS_RE33!$F$7:$F$874,'30 days CF Table(AUD)'!$C$2)</f>
        <v>0</v>
      </c>
      <c r="BE62" s="379">
        <f>SUMIFS(BS_RE33!$H$7:$H$874,BS_RE33!$S$7:$S$874,$BE$2,BS_RE33!$N$7:$N$874,I62,BS_RE33!$P$7:$P$874,'30 days CF Table(AUD)'!G62,BS_RE33!$F$7:$F$874,'30 days CF Table(AUD)'!$C$2)</f>
        <v>0</v>
      </c>
      <c r="BF62" s="379">
        <f>SUMIFS(BS_RE33!$H$7:$H$874,BS_RE33!$S$7:$S$874,$BF$2,BS_RE33!$N$7:$N$874,I62,BS_RE33!$P$7:$P$874,'30 days CF Table(AUD)'!G62,BS_RE33!$F$7:$F$874,'30 days CF Table(AUD)'!$C$2)</f>
        <v>0</v>
      </c>
      <c r="BG62" s="379">
        <f>SUMIFS(BS_RE33!$H$7:$H$874,BS_RE33!$S$7:$S$874,$BG$2,BS_RE33!$N$7:$N$874,I62,BS_RE33!$P$7:$P$874,'30 days CF Table(AUD)'!G62,BS_RE33!$F$7:$F$874,'30 days CF Table(AUD)'!$C$2)</f>
        <v>0</v>
      </c>
      <c r="BH62" s="379">
        <f>SUMIFS(BS_RE33!$H$7:$H$874,BS_RE33!$S$7:$S$874,$BH$2,BS_RE33!$N$7:$N$874,I62,BS_RE33!$P$7:$P$874,'30 days CF Table(AUD)'!G62,BS_RE33!$F$7:$F$874,'30 days CF Table(AUD)'!$C$2)</f>
        <v>0</v>
      </c>
      <c r="BI62" s="379">
        <f>SUMIFS(BS_RE33!$H$7:$H$874,BS_RE33!$S$7:$S$874,$BI$2,BS_RE33!$N$7:$N$874,I62,BS_RE33!$P$7:$P$874,'30 days CF Table(AUD)'!G62,BS_RE33!$F$7:$F$874,'30 days CF Table(AUD)'!$C$2)</f>
        <v>0</v>
      </c>
      <c r="BJ62" s="379">
        <f>SUMIFS(BS_RE33!$H$7:$H$874,BS_RE33!$S$7:$S$874,$BJ$2,BS_RE33!$N$7:$N$874,I62,BS_RE33!$P$7:$P$874,'30 days CF Table(AUD)'!G62,BS_RE33!$F$7:$F$874,'30 days CF Table(AUD)'!$C$2)</f>
        <v>0</v>
      </c>
      <c r="BK62" s="379">
        <f>SUMIFS(BS_RE33!$H$7:$H$874,BS_RE33!$S$7:$S$874,$BK$2,BS_RE33!$N$7:$N$874,I62,BS_RE33!$P$7:$P$874,'30 days CF Table(AUD)'!G62,BS_RE33!$F$7:$F$874,'30 days CF Table(AUD)'!$C$2)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Table(AUD)'!G63,BS_RE33!$F$7:$F$874,'30 days CF Table(AUD)'!$C$2)</f>
        <v>0</v>
      </c>
      <c r="M63" s="337">
        <f>SUMIFS(BS_RE33!$H$7:$H$874,BS_RE33!$S$7:$S$874,$M$2,BS_RE33!$N$7:$N$874,I63,BS_RE33!$P$7:$P$874,'30 days CF Table(AUD)'!G63,BS_RE33!$F$7:$F$874,'30 days CF Table(AUD)'!$C$2)</f>
        <v>0</v>
      </c>
      <c r="N63" s="337">
        <f>SUMIFS(BS_RE33!$H$7:$H$874,BS_RE33!$S$7:$S$874,$N$2,BS_RE33!$N$7:$N$874,I63,BS_RE33!$P$7:$P$874,'30 days CF Table(AUD)'!G63,BS_RE33!$F$7:$F$874,'30 days CF Table(AUD)'!$C$2)</f>
        <v>0</v>
      </c>
      <c r="O63" s="337">
        <f>SUMIFS(BS_RE33!$H$7:$H$874,BS_RE33!$S$7:$S$874,$O$2,BS_RE33!$N$7:$N$874,I63,BS_RE33!$P$7:$P$874,'30 days CF Table(AUD)'!G63,BS_RE33!$F$7:$F$874,'30 days CF Table(AUD)'!$C$2)</f>
        <v>0</v>
      </c>
      <c r="P63" s="337">
        <f>SUMIFS(BS_RE33!$H$7:$H$874,BS_RE33!$S$7:$S$874,$P$2,BS_RE33!$N$7:$N$874,I63,BS_RE33!$P$7:$P$874,'30 days CF Table(AUD)'!G63,BS_RE33!$F$7:$F$874,'30 days CF Table(AUD)'!$C$2)</f>
        <v>0</v>
      </c>
      <c r="Q63" s="337">
        <f>SUMIFS(BS_RE33!$H$7:$H$874,BS_RE33!$S$7:$S$874,$Q$2,BS_RE33!$N$7:$N$874,I63,BS_RE33!$P$7:$P$874,'30 days CF Table(AUD)'!G63,BS_RE33!$F$7:$F$874,'30 days CF Table(AUD)'!$C$2)</f>
        <v>0</v>
      </c>
      <c r="R63" s="337">
        <f>SUMIFS(BS_RE33!$H$7:$H$874,BS_RE33!$S$7:$S$874,$R$2,BS_RE33!$N$7:$N$874,I63,BS_RE33!$P$7:$P$874,'30 days CF Table(AUD)'!G63,BS_RE33!$F$7:$F$874,'30 days CF Table(AUD)'!$C$2)</f>
        <v>0</v>
      </c>
      <c r="S63" s="337">
        <f>SUMIFS(BS_RE33!$H$7:$H$874,BS_RE33!$S$7:$S$874,$S$2,BS_RE33!$N$7:$N$874,I63,BS_RE33!$P$7:$P$874,'30 days CF Table(AUD)'!G63,BS_RE33!$F$7:$F$874,'30 days CF Table(AUD)'!$C$2)</f>
        <v>0</v>
      </c>
      <c r="T63" s="337">
        <f>SUMIFS(BS_RE33!$H$7:$H$874,BS_RE33!$S$7:$S$874,$T$2,BS_RE33!$N$7:$N$874,I63,BS_RE33!$P$7:$P$874,'30 days CF Table(AUD)'!G63,BS_RE33!$F$7:$F$874,'30 days CF Table(AUD)'!$C$2)</f>
        <v>0</v>
      </c>
      <c r="U63" s="337">
        <f>SUMIFS(BS_RE33!$H$7:$H$874,BS_RE33!$S$7:$S$874,$U$2,BS_RE33!$N$7:$N$874,I63,BS_RE33!$P$7:$P$874,'30 days CF Table(AUD)'!G63,BS_RE33!$F$7:$F$874,'30 days CF Table(AUD)'!$C$2)</f>
        <v>0</v>
      </c>
      <c r="V63" s="337">
        <f>SUMIFS(BS_RE33!$H$7:$H$874,BS_RE33!$S$7:$S$874,$V$2,BS_RE33!$N$7:$N$874,I63,BS_RE33!$P$7:$P$874,'30 days CF Table(AUD)'!G63,BS_RE33!$F$7:$F$874,'30 days CF Table(AUD)'!$C$2)</f>
        <v>0</v>
      </c>
      <c r="W63" s="337">
        <f>SUMIFS(BS_RE33!$H$7:$H$874,BS_RE33!$S$7:$S$874,$W$2,BS_RE33!$N$7:$N$874,I63,BS_RE33!$P$7:$P$874,'30 days CF Table(AUD)'!G63,BS_RE33!$F$7:$F$874,'30 days CF Table(AUD)'!$C$2)</f>
        <v>0</v>
      </c>
      <c r="X63" s="337">
        <f>SUMIFS(BS_RE33!$H$7:$H$874,BS_RE33!$S$7:$S$874,$X$2,BS_RE33!$N$7:$N$874,I63,BS_RE33!$P$7:$P$874,'30 days CF Table(AUD)'!G63,BS_RE33!$F$7:$F$874,'30 days CF Table(AUD)'!$C$2)</f>
        <v>0</v>
      </c>
      <c r="Y63" s="337">
        <f>SUMIFS(BS_RE33!$H$7:$H$874,BS_RE33!$S$7:$S$874,$Y$2,BS_RE33!$N$7:$N$874,I63,BS_RE33!$P$7:$P$874,'30 days CF Table(AUD)'!G63,BS_RE33!$F$7:$F$874,'30 days CF Table(AUD)'!$C$2)</f>
        <v>0</v>
      </c>
      <c r="Z63" s="337">
        <f>SUMIFS(BS_RE33!$H$7:$H$874,BS_RE33!$S$7:$S$874,$Z$2,BS_RE33!$N$7:$N$874,I63,BS_RE33!$P$7:$P$874,'30 days CF Table(AUD)'!G63,BS_RE33!$F$7:$F$874,'30 days CF Table(AUD)'!$C$2)</f>
        <v>0</v>
      </c>
      <c r="AA63" s="337">
        <f>SUMIFS(BS_RE33!$H$7:$H$874,BS_RE33!$S$7:$S$874,$AA$2,BS_RE33!$N$7:$N$874,I63,BS_RE33!$P$7:$P$874,'30 days CF Table(AUD)'!G63,BS_RE33!$F$7:$F$874,'30 days CF Table(AUD)'!$C$2)</f>
        <v>0</v>
      </c>
      <c r="AB63" s="337">
        <f>SUMIFS(BS_RE33!$H$7:$H$874,BS_RE33!$S$7:$S$874,$AB$2,BS_RE33!$N$7:$N$874,I63,BS_RE33!$P$7:$P$874,'30 days CF Table(AUD)'!G63,BS_RE33!$F$7:$F$874,'30 days CF Table(AUD)'!$C$2)</f>
        <v>0</v>
      </c>
      <c r="AC63" s="337">
        <f>SUMIFS(BS_RE33!$H$7:$H$874,BS_RE33!$S$7:$S$874,$AC$2,BS_RE33!$N$7:$N$874,I63,BS_RE33!$P$7:$P$874,'30 days CF Table(AUD)'!G63,BS_RE33!$F$7:$F$874,'30 days CF Table(AUD)'!$C$2)</f>
        <v>0</v>
      </c>
      <c r="AD63" s="337">
        <f>SUMIFS(BS_RE33!$H$7:$H$874,BS_RE33!$S$7:$S$874,$AD$2,BS_RE33!$N$7:$N$874,I63,BS_RE33!$P$7:$P$874,'30 days CF Table(AUD)'!G63,BS_RE33!$F$7:$F$874,'30 days CF Table(AUD)'!$C$2)</f>
        <v>0</v>
      </c>
      <c r="AE63" s="337">
        <f>SUMIFS(BS_RE33!$H$7:$H$874,BS_RE33!$S$7:$S$874,$AE$2,BS_RE33!$N$7:$N$874,I63,BS_RE33!$P$7:$P$874,'30 days CF Table(AUD)'!G63,BS_RE33!$F$7:$F$874,'30 days CF Table(AUD)'!$C$2)</f>
        <v>0</v>
      </c>
      <c r="AF63" s="337">
        <f>SUMIFS(BS_RE33!$H$7:$H$874,BS_RE33!$S$7:$S$874,$AF$2,BS_RE33!$N$7:$N$874,I63,BS_RE33!$P$7:$P$874,'30 days CF Table(AUD)'!G63,BS_RE33!$F$7:$F$874,'30 days CF Table(AUD)'!$C$2)</f>
        <v>0</v>
      </c>
      <c r="AG63" s="337">
        <f>SUMIFS(BS_RE33!$H$7:$H$874,BS_RE33!$S$7:$S$874,$AG$2,BS_RE33!$N$7:$N$874,I63,BS_RE33!$P$7:$P$874,'30 days CF Table(AUD)'!G63,BS_RE33!$F$7:$F$874,'30 days CF Table(AUD)'!$C$2)</f>
        <v>0</v>
      </c>
      <c r="AH63" s="337">
        <f>SUMIFS(BS_RE33!$H$7:$H$874,BS_RE33!$S$7:$S$874,$AH$2,BS_RE33!$N$7:$N$874,I63,BS_RE33!$P$7:$P$874,'30 days CF Table(AUD)'!G63,BS_RE33!$F$7:$F$874,'30 days CF Table(AUD)'!$C$2)</f>
        <v>0</v>
      </c>
      <c r="AI63" s="337">
        <f>SUMIFS(BS_RE33!$H$7:$H$874,BS_RE33!$S$7:$S$874,$AI$2,BS_RE33!$N$7:$N$874,I63,BS_RE33!$P$7:$P$874,'30 days CF Table(AUD)'!G63,BS_RE33!$F$7:$F$874,'30 days CF Table(AUD)'!$C$2)</f>
        <v>0</v>
      </c>
      <c r="AJ63" s="337">
        <f>SUMIFS(BS_RE33!$H$7:$H$874,BS_RE33!$S$7:$S$874,$AJ$2,BS_RE33!$N$7:$N$874,I63,BS_RE33!$P$7:$P$874,'30 days CF Table(AUD)'!G63,BS_RE33!$F$7:$F$874,'30 days CF Table(AUD)'!$C$2)</f>
        <v>0</v>
      </c>
      <c r="AK63" s="337">
        <f>SUMIFS(BS_RE33!$H$7:$H$874,BS_RE33!$S$7:$S$874,$AK$2,BS_RE33!$N$7:$N$874,I63,BS_RE33!$P$7:$P$874,'30 days CF Table(AUD)'!G63,BS_RE33!$F$7:$F$874,'30 days CF Table(AUD)'!$C$2)</f>
        <v>0</v>
      </c>
      <c r="AL63" s="337">
        <f>SUMIFS(BS_RE33!$H$7:$H$874,BS_RE33!$S$7:$S$874,$AL$2,BS_RE33!$N$7:$N$874,I63,BS_RE33!$P$7:$P$874,'30 days CF Table(AUD)'!G63,BS_RE33!$F$7:$F$874,'30 days CF Table(AUD)'!$C$2)</f>
        <v>0</v>
      </c>
      <c r="AM63" s="337">
        <f>SUMIFS(BS_RE33!$H$7:$H$874,BS_RE33!$S$7:$S$874,$AM$2,BS_RE33!$N$7:$N$874,I63,BS_RE33!$P$7:$P$874,'30 days CF Table(AUD)'!G63,BS_RE33!$F$7:$F$874,'30 days CF Table(AUD)'!$C$2)</f>
        <v>0</v>
      </c>
      <c r="AN63" s="337">
        <f>SUMIFS(BS_RE33!$H$7:$H$874,BS_RE33!$S$7:$S$874,$AN$2,BS_RE33!$N$7:$N$874,I63,BS_RE33!$P$7:$P$874,'30 days CF Table(AUD)'!G63,BS_RE33!$F$7:$F$874,'30 days CF Table(AUD)'!$C$2)</f>
        <v>0</v>
      </c>
      <c r="AO63" s="337">
        <f>SUMIFS(BS_RE33!$H$7:$H$874,BS_RE33!$S$7:$S$874,$AO$2,BS_RE33!$N$7:$N$874,I63,BS_RE33!$P$7:$P$874,'30 days CF Table(AUD)'!G63,BS_RE33!$F$7:$F$874,'30 days CF Table(AUD)'!$C$2)</f>
        <v>0</v>
      </c>
      <c r="AP63" s="338">
        <f>SUMIFS(BS_RE33!$H$7:$H$874,BS_RE33!$S$7:$S$874,$AP$2,BS_RE33!$N$7:$N$874,I63,BS_RE33!$P$7:$P$874,'30 days CF Table(AUD)'!G63,BS_RE33!$F$7:$F$874,'30 days CF Table(AUD)'!$C$2)</f>
        <v>0</v>
      </c>
      <c r="AR63" s="379">
        <f>SUMIFS(BS_RE33!$H$7:$H$874,BS_RE33!$S$7:$S$874,$AR$2,BS_RE33!$N$7:$N$874,I63,BS_RE33!$P$7:$P$874,'30 days CF Table(AUD)'!G63,BS_RE33!$F$7:$F$874,'30 days CF Table(AUD)'!$C$2)</f>
        <v>0</v>
      </c>
      <c r="AS63" s="379">
        <f>SUMIFS(BS_RE33!$H$7:$H$874,BS_RE33!$S$7:$S$874,$AS$2,BS_RE33!$N$7:$N$874,I63,BS_RE33!$P$7:$P$874,'30 days CF Table(AUD)'!G63,BS_RE33!$F$7:$F$874,'30 days CF Table(AUD)'!$C$2)</f>
        <v>0</v>
      </c>
      <c r="AT63" s="379">
        <f>SUMIFS(BS_RE33!$H$7:$H$874,BS_RE33!$S$7:$S$874,$AT$2,BS_RE33!$N$7:$N$874,I63,BS_RE33!$P$7:$P$874,'30 days CF Table(AUD)'!G63,BS_RE33!$F$7:$F$874,'30 days CF Table(AUD)'!$C$2)</f>
        <v>0</v>
      </c>
      <c r="AU63" s="379">
        <f>SUMIFS(BS_RE33!$H$7:$H$874,BS_RE33!$S$7:$S$874,$AU$2,BS_RE33!$N$7:$N$874,I63,BS_RE33!$P$7:$P$874,'30 days CF Table(AUD)'!G63,BS_RE33!$F$7:$F$874,'30 days CF Table(AUD)'!$C$2)</f>
        <v>0</v>
      </c>
      <c r="AV63" s="379">
        <f>SUMIFS(BS_RE33!$H$7:$H$874,BS_RE33!$S$7:$S$874,$AV$2,BS_RE33!$N$7:$N$874,I63,BS_RE33!$P$7:$P$874,'30 days CF Table(AUD)'!G63,BS_RE33!$F$7:$F$874,'30 days CF Table(AUD)'!$C$2)</f>
        <v>0</v>
      </c>
      <c r="AW63" s="379">
        <f>SUMIFS(BS_RE33!$H$7:$H$874,BS_RE33!$S$7:$S$874,$AW$2,BS_RE33!$N$7:$N$874,I63,BS_RE33!$P$7:$P$874,'30 days CF Table(AUD)'!G63,BS_RE33!$F$7:$F$874,'30 days CF Table(AUD)'!$C$2)</f>
        <v>0</v>
      </c>
      <c r="AX63" s="379">
        <f>SUMIFS(BS_RE33!$H$7:$H$874,BS_RE33!$S$7:$S$874,$AX$2,BS_RE33!$N$7:$N$874,I63,BS_RE33!$P$7:$P$874,'30 days CF Table(AUD)'!G63,BS_RE33!$F$7:$F$874,'30 days CF Table(AUD)'!$C$2)</f>
        <v>0</v>
      </c>
      <c r="AY63" s="379">
        <f>SUMIFS(BS_RE33!$H$7:$H$874,BS_RE33!$S$7:$S$874,$AY$2,BS_RE33!$N$7:$N$874,I63,BS_RE33!$P$7:$P$874,'30 days CF Table(AUD)'!G63,BS_RE33!$F$7:$F$874,'30 days CF Table(AUD)'!$C$2)</f>
        <v>0</v>
      </c>
      <c r="AZ63" s="379">
        <f>SUMIFS(BS_RE33!$H$7:$H$874,BS_RE33!$S$7:$S$874,$AZ$2,BS_RE33!$N$7:$N$874,I63,BS_RE33!$P$7:$P$874,'30 days CF Table(AUD)'!G63,BS_RE33!$F$7:$F$874,'30 days CF Table(AUD)'!$C$2)</f>
        <v>0</v>
      </c>
      <c r="BA63" s="379">
        <f>SUMIFS(BS_RE33!$H$7:$H$874,BS_RE33!$S$7:$S$874,$BA$2,BS_RE33!$N$7:$N$874,I63,BS_RE33!$P$7:$P$874,'30 days CF Table(AUD)'!G63,BS_RE33!$F$7:$F$874,'30 days CF Table(AUD)'!$C$2)</f>
        <v>0</v>
      </c>
      <c r="BB63" s="379">
        <f>SUMIFS(BS_RE33!$H$7:$H$874,BS_RE33!$S$7:$S$874,$BB$2,BS_RE33!$N$7:$N$874,I63,BS_RE33!$P$7:$P$874,'30 days CF Table(AUD)'!G63,BS_RE33!$F$7:$F$874,'30 days CF Table(AUD)'!$C$2)</f>
        <v>0</v>
      </c>
      <c r="BC63" s="379">
        <f>SUMIFS(BS_RE33!$H$7:$H$874,BS_RE33!$S$7:$S$874,$BC$2,BS_RE33!$N$7:$N$874,I63,BS_RE33!$P$7:$P$874,'30 days CF Table(AUD)'!G63,BS_RE33!$F$7:$F$874,'30 days CF Table(AUD)'!$C$2)</f>
        <v>0</v>
      </c>
      <c r="BD63" s="379">
        <f>SUMIFS(BS_RE33!$H$7:$H$874,BS_RE33!$S$7:$S$874,$BD$2,BS_RE33!$N$7:$N$874,I63,BS_RE33!$P$7:$P$874,'30 days CF Table(AUD)'!G63,BS_RE33!$F$7:$F$874,'30 days CF Table(AUD)'!$C$2)</f>
        <v>0</v>
      </c>
      <c r="BE63" s="379">
        <f>SUMIFS(BS_RE33!$H$7:$H$874,BS_RE33!$S$7:$S$874,$BE$2,BS_RE33!$N$7:$N$874,I63,BS_RE33!$P$7:$P$874,'30 days CF Table(AUD)'!G63,BS_RE33!$F$7:$F$874,'30 days CF Table(AUD)'!$C$2)</f>
        <v>0</v>
      </c>
      <c r="BF63" s="379">
        <f>SUMIFS(BS_RE33!$H$7:$H$874,BS_RE33!$S$7:$S$874,$BF$2,BS_RE33!$N$7:$N$874,I63,BS_RE33!$P$7:$P$874,'30 days CF Table(AUD)'!G63,BS_RE33!$F$7:$F$874,'30 days CF Table(AUD)'!$C$2)</f>
        <v>0</v>
      </c>
      <c r="BG63" s="379">
        <f>SUMIFS(BS_RE33!$H$7:$H$874,BS_RE33!$S$7:$S$874,$BG$2,BS_RE33!$N$7:$N$874,I63,BS_RE33!$P$7:$P$874,'30 days CF Table(AUD)'!G63,BS_RE33!$F$7:$F$874,'30 days CF Table(AUD)'!$C$2)</f>
        <v>0</v>
      </c>
      <c r="BH63" s="379">
        <f>SUMIFS(BS_RE33!$H$7:$H$874,BS_RE33!$S$7:$S$874,$BH$2,BS_RE33!$N$7:$N$874,I63,BS_RE33!$P$7:$P$874,'30 days CF Table(AUD)'!G63,BS_RE33!$F$7:$F$874,'30 days CF Table(AUD)'!$C$2)</f>
        <v>0</v>
      </c>
      <c r="BI63" s="379">
        <f>SUMIFS(BS_RE33!$H$7:$H$874,BS_RE33!$S$7:$S$874,$BI$2,BS_RE33!$N$7:$N$874,I63,BS_RE33!$P$7:$P$874,'30 days CF Table(AUD)'!G63,BS_RE33!$F$7:$F$874,'30 days CF Table(AUD)'!$C$2)</f>
        <v>0</v>
      </c>
      <c r="BJ63" s="379">
        <f>SUMIFS(BS_RE33!$H$7:$H$874,BS_RE33!$S$7:$S$874,$BJ$2,BS_RE33!$N$7:$N$874,I63,BS_RE33!$P$7:$P$874,'30 days CF Table(AUD)'!G63,BS_RE33!$F$7:$F$874,'30 days CF Table(AUD)'!$C$2)</f>
        <v>0</v>
      </c>
      <c r="BK63" s="379">
        <f>SUMIFS(BS_RE33!$H$7:$H$874,BS_RE33!$S$7:$S$874,$BK$2,BS_RE33!$N$7:$N$874,I63,BS_RE33!$P$7:$P$874,'30 days CF Table(AUD)'!G63,BS_RE33!$F$7:$F$874,'30 days CF Table(AUD)'!$C$2)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Table(AUD)'!G64,BS_RE33!$F$7:$F$874,'30 days CF Table(AUD)'!$C$2)</f>
        <v>0</v>
      </c>
      <c r="M64" s="341">
        <f>SUMIFS(BS_RE33!$H$7:$H$874,BS_RE33!$S$7:$S$874,$M$2,BS_RE33!$N$7:$N$874,I64,BS_RE33!$P$7:$P$874,'30 days CF Table(AUD)'!G64,BS_RE33!$F$7:$F$874,'30 days CF Table(AUD)'!$C$2)</f>
        <v>0</v>
      </c>
      <c r="N64" s="341">
        <f>SUMIFS(BS_RE33!$H$7:$H$874,BS_RE33!$S$7:$S$874,$N$2,BS_RE33!$N$7:$N$874,I64,BS_RE33!$P$7:$P$874,'30 days CF Table(AUD)'!G64,BS_RE33!$F$7:$F$874,'30 days CF Table(AUD)'!$C$2)</f>
        <v>0</v>
      </c>
      <c r="O64" s="341">
        <f>SUMIFS(BS_RE33!$H$7:$H$874,BS_RE33!$S$7:$S$874,$O$2,BS_RE33!$N$7:$N$874,I64,BS_RE33!$P$7:$P$874,'30 days CF Table(AUD)'!G64,BS_RE33!$F$7:$F$874,'30 days CF Table(AUD)'!$C$2)</f>
        <v>0</v>
      </c>
      <c r="P64" s="341">
        <f>SUMIFS(BS_RE33!$H$7:$H$874,BS_RE33!$S$7:$S$874,$P$2,BS_RE33!$N$7:$N$874,I64,BS_RE33!$P$7:$P$874,'30 days CF Table(AUD)'!G64,BS_RE33!$F$7:$F$874,'30 days CF Table(AUD)'!$C$2)</f>
        <v>0</v>
      </c>
      <c r="Q64" s="341">
        <f>SUMIFS(BS_RE33!$H$7:$H$874,BS_RE33!$S$7:$S$874,$Q$2,BS_RE33!$N$7:$N$874,I64,BS_RE33!$P$7:$P$874,'30 days CF Table(AUD)'!G64,BS_RE33!$F$7:$F$874,'30 days CF Table(AUD)'!$C$2)</f>
        <v>0</v>
      </c>
      <c r="R64" s="341">
        <f>SUMIFS(BS_RE33!$H$7:$H$874,BS_RE33!$S$7:$S$874,$R$2,BS_RE33!$N$7:$N$874,I64,BS_RE33!$P$7:$P$874,'30 days CF Table(AUD)'!G64,BS_RE33!$F$7:$F$874,'30 days CF Table(AUD)'!$C$2)</f>
        <v>0</v>
      </c>
      <c r="S64" s="341">
        <f>SUMIFS(BS_RE33!$H$7:$H$874,BS_RE33!$S$7:$S$874,$S$2,BS_RE33!$N$7:$N$874,I64,BS_RE33!$P$7:$P$874,'30 days CF Table(AUD)'!G64,BS_RE33!$F$7:$F$874,'30 days CF Table(AUD)'!$C$2)</f>
        <v>0</v>
      </c>
      <c r="T64" s="341">
        <f>SUMIFS(BS_RE33!$H$7:$H$874,BS_RE33!$S$7:$S$874,$T$2,BS_RE33!$N$7:$N$874,I64,BS_RE33!$P$7:$P$874,'30 days CF Table(AUD)'!G64,BS_RE33!$F$7:$F$874,'30 days CF Table(AUD)'!$C$2)</f>
        <v>0</v>
      </c>
      <c r="U64" s="341">
        <f>SUMIFS(BS_RE33!$H$7:$H$874,BS_RE33!$S$7:$S$874,$U$2,BS_RE33!$N$7:$N$874,I64,BS_RE33!$P$7:$P$874,'30 days CF Table(AUD)'!G64,BS_RE33!$F$7:$F$874,'30 days CF Table(AUD)'!$C$2)</f>
        <v>0</v>
      </c>
      <c r="V64" s="341">
        <f>SUMIFS(BS_RE33!$H$7:$H$874,BS_RE33!$S$7:$S$874,$V$2,BS_RE33!$N$7:$N$874,I64,BS_RE33!$P$7:$P$874,'30 days CF Table(AUD)'!G64,BS_RE33!$F$7:$F$874,'30 days CF Table(AUD)'!$C$2)</f>
        <v>0</v>
      </c>
      <c r="W64" s="341">
        <f>SUMIFS(BS_RE33!$H$7:$H$874,BS_RE33!$S$7:$S$874,$W$2,BS_RE33!$N$7:$N$874,I64,BS_RE33!$P$7:$P$874,'30 days CF Table(AUD)'!G64,BS_RE33!$F$7:$F$874,'30 days CF Table(AUD)'!$C$2)</f>
        <v>0</v>
      </c>
      <c r="X64" s="341">
        <f>SUMIFS(BS_RE33!$H$7:$H$874,BS_RE33!$S$7:$S$874,$X$2,BS_RE33!$N$7:$N$874,I64,BS_RE33!$P$7:$P$874,'30 days CF Table(AUD)'!G64,BS_RE33!$F$7:$F$874,'30 days CF Table(AUD)'!$C$2)</f>
        <v>0</v>
      </c>
      <c r="Y64" s="341">
        <f>SUMIFS(BS_RE33!$H$7:$H$874,BS_RE33!$S$7:$S$874,$Y$2,BS_RE33!$N$7:$N$874,I64,BS_RE33!$P$7:$P$874,'30 days CF Table(AUD)'!G64,BS_RE33!$F$7:$F$874,'30 days CF Table(AUD)'!$C$2)</f>
        <v>0</v>
      </c>
      <c r="Z64" s="341">
        <f>SUMIFS(BS_RE33!$H$7:$H$874,BS_RE33!$S$7:$S$874,$Z$2,BS_RE33!$N$7:$N$874,I64,BS_RE33!$P$7:$P$874,'30 days CF Table(AUD)'!G64,BS_RE33!$F$7:$F$874,'30 days CF Table(AUD)'!$C$2)</f>
        <v>0</v>
      </c>
      <c r="AA64" s="341">
        <f>SUMIFS(BS_RE33!$H$7:$H$874,BS_RE33!$S$7:$S$874,$AA$2,BS_RE33!$N$7:$N$874,I64,BS_RE33!$P$7:$P$874,'30 days CF Table(AUD)'!G64,BS_RE33!$F$7:$F$874,'30 days CF Table(AUD)'!$C$2)</f>
        <v>0</v>
      </c>
      <c r="AB64" s="341">
        <f>SUMIFS(BS_RE33!$H$7:$H$874,BS_RE33!$S$7:$S$874,$AB$2,BS_RE33!$N$7:$N$874,I64,BS_RE33!$P$7:$P$874,'30 days CF Table(AUD)'!G64,BS_RE33!$F$7:$F$874,'30 days CF Table(AUD)'!$C$2)</f>
        <v>0</v>
      </c>
      <c r="AC64" s="341">
        <f>SUMIFS(BS_RE33!$H$7:$H$874,BS_RE33!$S$7:$S$874,$AC$2,BS_RE33!$N$7:$N$874,I64,BS_RE33!$P$7:$P$874,'30 days CF Table(AUD)'!G64,BS_RE33!$F$7:$F$874,'30 days CF Table(AUD)'!$C$2)</f>
        <v>0</v>
      </c>
      <c r="AD64" s="341">
        <f>SUMIFS(BS_RE33!$H$7:$H$874,BS_RE33!$S$7:$S$874,$AD$2,BS_RE33!$N$7:$N$874,I64,BS_RE33!$P$7:$P$874,'30 days CF Table(AUD)'!G64,BS_RE33!$F$7:$F$874,'30 days CF Table(AUD)'!$C$2)</f>
        <v>0</v>
      </c>
      <c r="AE64" s="341">
        <f>SUMIFS(BS_RE33!$H$7:$H$874,BS_RE33!$S$7:$S$874,$AE$2,BS_RE33!$N$7:$N$874,I64,BS_RE33!$P$7:$P$874,'30 days CF Table(AUD)'!G64,BS_RE33!$F$7:$F$874,'30 days CF Table(AUD)'!$C$2)</f>
        <v>0</v>
      </c>
      <c r="AF64" s="341">
        <f>SUMIFS(BS_RE33!$H$7:$H$874,BS_RE33!$S$7:$S$874,$AF$2,BS_RE33!$N$7:$N$874,I64,BS_RE33!$P$7:$P$874,'30 days CF Table(AUD)'!G64,BS_RE33!$F$7:$F$874,'30 days CF Table(AUD)'!$C$2)</f>
        <v>0</v>
      </c>
      <c r="AG64" s="341">
        <f>SUMIFS(BS_RE33!$H$7:$H$874,BS_RE33!$S$7:$S$874,$AG$2,BS_RE33!$N$7:$N$874,I64,BS_RE33!$P$7:$P$874,'30 days CF Table(AUD)'!G64,BS_RE33!$F$7:$F$874,'30 days CF Table(AUD)'!$C$2)</f>
        <v>0</v>
      </c>
      <c r="AH64" s="341">
        <f>SUMIFS(BS_RE33!$H$7:$H$874,BS_RE33!$S$7:$S$874,$AH$2,BS_RE33!$N$7:$N$874,I64,BS_RE33!$P$7:$P$874,'30 days CF Table(AUD)'!G64,BS_RE33!$F$7:$F$874,'30 days CF Table(AUD)'!$C$2)</f>
        <v>0</v>
      </c>
      <c r="AI64" s="341">
        <f>SUMIFS(BS_RE33!$H$7:$H$874,BS_RE33!$S$7:$S$874,$AI$2,BS_RE33!$N$7:$N$874,I64,BS_RE33!$P$7:$P$874,'30 days CF Table(AUD)'!G64,BS_RE33!$F$7:$F$874,'30 days CF Table(AUD)'!$C$2)</f>
        <v>0</v>
      </c>
      <c r="AJ64" s="341">
        <f>SUMIFS(BS_RE33!$H$7:$H$874,BS_RE33!$S$7:$S$874,$AJ$2,BS_RE33!$N$7:$N$874,I64,BS_RE33!$P$7:$P$874,'30 days CF Table(AUD)'!G64,BS_RE33!$F$7:$F$874,'30 days CF Table(AUD)'!$C$2)</f>
        <v>0</v>
      </c>
      <c r="AK64" s="341">
        <f>SUMIFS(BS_RE33!$H$7:$H$874,BS_RE33!$S$7:$S$874,$AK$2,BS_RE33!$N$7:$N$874,I64,BS_RE33!$P$7:$P$874,'30 days CF Table(AUD)'!G64,BS_RE33!$F$7:$F$874,'30 days CF Table(AUD)'!$C$2)</f>
        <v>0</v>
      </c>
      <c r="AL64" s="341">
        <f>SUMIFS(BS_RE33!$H$7:$H$874,BS_RE33!$S$7:$S$874,$AL$2,BS_RE33!$N$7:$N$874,I64,BS_RE33!$P$7:$P$874,'30 days CF Table(AUD)'!G64,BS_RE33!$F$7:$F$874,'30 days CF Table(AUD)'!$C$2)</f>
        <v>0</v>
      </c>
      <c r="AM64" s="341">
        <f>SUMIFS(BS_RE33!$H$7:$H$874,BS_RE33!$S$7:$S$874,$AM$2,BS_RE33!$N$7:$N$874,I64,BS_RE33!$P$7:$P$874,'30 days CF Table(AUD)'!G64,BS_RE33!$F$7:$F$874,'30 days CF Table(AUD)'!$C$2)</f>
        <v>0</v>
      </c>
      <c r="AN64" s="341">
        <f>SUMIFS(BS_RE33!$H$7:$H$874,BS_RE33!$S$7:$S$874,$AN$2,BS_RE33!$N$7:$N$874,I64,BS_RE33!$P$7:$P$874,'30 days CF Table(AUD)'!G64,BS_RE33!$F$7:$F$874,'30 days CF Table(AUD)'!$C$2)</f>
        <v>0</v>
      </c>
      <c r="AO64" s="341">
        <f>SUMIFS(BS_RE33!$H$7:$H$874,BS_RE33!$S$7:$S$874,$AO$2,BS_RE33!$N$7:$N$874,I64,BS_RE33!$P$7:$P$874,'30 days CF Table(AUD)'!G64,BS_RE33!$F$7:$F$874,'30 days CF Table(AUD)'!$C$2)</f>
        <v>0</v>
      </c>
      <c r="AP64" s="342">
        <f>SUMIFS(BS_RE33!$H$7:$H$874,BS_RE33!$S$7:$S$874,$AP$2,BS_RE33!$N$7:$N$874,I64,BS_RE33!$P$7:$P$874,'30 days CF Table(AUD)'!G64,BS_RE33!$F$7:$F$874,'30 days CF Table(AUD)'!$C$2)</f>
        <v>0</v>
      </c>
      <c r="AR64" s="381">
        <f>SUMIFS(BS_RE33!$H$7:$H$874,BS_RE33!$S$7:$S$874,$AR$2,BS_RE33!$N$7:$N$874,I64,BS_RE33!$P$7:$P$874,'30 days CF Table(AUD)'!G64,BS_RE33!$F$7:$F$874,'30 days CF Table(AUD)'!$C$2)</f>
        <v>0</v>
      </c>
      <c r="AS64" s="381">
        <f>SUMIFS(BS_RE33!$H$7:$H$874,BS_RE33!$S$7:$S$874,$AS$2,BS_RE33!$N$7:$N$874,I64,BS_RE33!$P$7:$P$874,'30 days CF Table(AUD)'!G64,BS_RE33!$F$7:$F$874,'30 days CF Table(AUD)'!$C$2)</f>
        <v>0</v>
      </c>
      <c r="AT64" s="381">
        <f>SUMIFS(BS_RE33!$H$7:$H$874,BS_RE33!$S$7:$S$874,$AT$2,BS_RE33!$N$7:$N$874,I64,BS_RE33!$P$7:$P$874,'30 days CF Table(AUD)'!G64,BS_RE33!$F$7:$F$874,'30 days CF Table(AUD)'!$C$2)</f>
        <v>0</v>
      </c>
      <c r="AU64" s="381">
        <f>SUMIFS(BS_RE33!$H$7:$H$874,BS_RE33!$S$7:$S$874,$AU$2,BS_RE33!$N$7:$N$874,I64,BS_RE33!$P$7:$P$874,'30 days CF Table(AUD)'!G64,BS_RE33!$F$7:$F$874,'30 days CF Table(AUD)'!$C$2)</f>
        <v>0</v>
      </c>
      <c r="AV64" s="381">
        <f>SUMIFS(BS_RE33!$H$7:$H$874,BS_RE33!$S$7:$S$874,$AV$2,BS_RE33!$N$7:$N$874,I64,BS_RE33!$P$7:$P$874,'30 days CF Table(AUD)'!G64,BS_RE33!$F$7:$F$874,'30 days CF Table(AUD)'!$C$2)</f>
        <v>0</v>
      </c>
      <c r="AW64" s="381">
        <f>SUMIFS(BS_RE33!$H$7:$H$874,BS_RE33!$S$7:$S$874,$AW$2,BS_RE33!$N$7:$N$874,I64,BS_RE33!$P$7:$P$874,'30 days CF Table(AUD)'!G64,BS_RE33!$F$7:$F$874,'30 days CF Table(AUD)'!$C$2)</f>
        <v>0</v>
      </c>
      <c r="AX64" s="381">
        <f>SUMIFS(BS_RE33!$H$7:$H$874,BS_RE33!$S$7:$S$874,$AX$2,BS_RE33!$N$7:$N$874,I64,BS_RE33!$P$7:$P$874,'30 days CF Table(AUD)'!G64,BS_RE33!$F$7:$F$874,'30 days CF Table(AUD)'!$C$2)</f>
        <v>0</v>
      </c>
      <c r="AY64" s="381">
        <f>SUMIFS(BS_RE33!$H$7:$H$874,BS_RE33!$S$7:$S$874,$AY$2,BS_RE33!$N$7:$N$874,I64,BS_RE33!$P$7:$P$874,'30 days CF Table(AUD)'!G64,BS_RE33!$F$7:$F$874,'30 days CF Table(AUD)'!$C$2)</f>
        <v>0</v>
      </c>
      <c r="AZ64" s="381">
        <f>SUMIFS(BS_RE33!$H$7:$H$874,BS_RE33!$S$7:$S$874,$AZ$2,BS_RE33!$N$7:$N$874,I64,BS_RE33!$P$7:$P$874,'30 days CF Table(AUD)'!G64,BS_RE33!$F$7:$F$874,'30 days CF Table(AUD)'!$C$2)</f>
        <v>0</v>
      </c>
      <c r="BA64" s="381">
        <f>SUMIFS(BS_RE33!$H$7:$H$874,BS_RE33!$S$7:$S$874,$BA$2,BS_RE33!$N$7:$N$874,I64,BS_RE33!$P$7:$P$874,'30 days CF Table(AUD)'!G64,BS_RE33!$F$7:$F$874,'30 days CF Table(AUD)'!$C$2)</f>
        <v>0</v>
      </c>
      <c r="BB64" s="381">
        <f>SUMIFS(BS_RE33!$H$7:$H$874,BS_RE33!$S$7:$S$874,$BB$2,BS_RE33!$N$7:$N$874,I64,BS_RE33!$P$7:$P$874,'30 days CF Table(AUD)'!G64,BS_RE33!$F$7:$F$874,'30 days CF Table(AUD)'!$C$2)</f>
        <v>0</v>
      </c>
      <c r="BC64" s="381">
        <f>SUMIFS(BS_RE33!$H$7:$H$874,BS_RE33!$S$7:$S$874,$BC$2,BS_RE33!$N$7:$N$874,I64,BS_RE33!$P$7:$P$874,'30 days CF Table(AUD)'!G64,BS_RE33!$F$7:$F$874,'30 days CF Table(AUD)'!$C$2)</f>
        <v>0</v>
      </c>
      <c r="BD64" s="381">
        <f>SUMIFS(BS_RE33!$H$7:$H$874,BS_RE33!$S$7:$S$874,$BD$2,BS_RE33!$N$7:$N$874,I64,BS_RE33!$P$7:$P$874,'30 days CF Table(AUD)'!G64,BS_RE33!$F$7:$F$874,'30 days CF Table(AUD)'!$C$2)</f>
        <v>0</v>
      </c>
      <c r="BE64" s="381">
        <f>SUMIFS(BS_RE33!$H$7:$H$874,BS_RE33!$S$7:$S$874,$BE$2,BS_RE33!$N$7:$N$874,I64,BS_RE33!$P$7:$P$874,'30 days CF Table(AUD)'!G64,BS_RE33!$F$7:$F$874,'30 days CF Table(AUD)'!$C$2)</f>
        <v>0</v>
      </c>
      <c r="BF64" s="381">
        <f>SUMIFS(BS_RE33!$H$7:$H$874,BS_RE33!$S$7:$S$874,$BF$2,BS_RE33!$N$7:$N$874,I64,BS_RE33!$P$7:$P$874,'30 days CF Table(AUD)'!G64,BS_RE33!$F$7:$F$874,'30 days CF Table(AUD)'!$C$2)</f>
        <v>0</v>
      </c>
      <c r="BG64" s="381">
        <f>SUMIFS(BS_RE33!$H$7:$H$874,BS_RE33!$S$7:$S$874,$BG$2,BS_RE33!$N$7:$N$874,I64,BS_RE33!$P$7:$P$874,'30 days CF Table(AUD)'!G64,BS_RE33!$F$7:$F$874,'30 days CF Table(AUD)'!$C$2)</f>
        <v>0</v>
      </c>
      <c r="BH64" s="381">
        <f>SUMIFS(BS_RE33!$H$7:$H$874,BS_RE33!$S$7:$S$874,$BH$2,BS_RE33!$N$7:$N$874,I64,BS_RE33!$P$7:$P$874,'30 days CF Table(AUD)'!G64,BS_RE33!$F$7:$F$874,'30 days CF Table(AUD)'!$C$2)</f>
        <v>0</v>
      </c>
      <c r="BI64" s="381">
        <f>SUMIFS(BS_RE33!$H$7:$H$874,BS_RE33!$S$7:$S$874,$BI$2,BS_RE33!$N$7:$N$874,I64,BS_RE33!$P$7:$P$874,'30 days CF Table(AUD)'!G64,BS_RE33!$F$7:$F$874,'30 days CF Table(AUD)'!$C$2)</f>
        <v>0</v>
      </c>
      <c r="BJ64" s="381">
        <f>SUMIFS(BS_RE33!$H$7:$H$874,BS_RE33!$S$7:$S$874,$BJ$2,BS_RE33!$N$7:$N$874,I64,BS_RE33!$P$7:$P$874,'30 days CF Table(AUD)'!G64,BS_RE33!$F$7:$F$874,'30 days CF Table(AUD)'!$C$2)</f>
        <v>0</v>
      </c>
      <c r="BK64" s="381">
        <f>SUMIFS(BS_RE33!$H$7:$H$874,BS_RE33!$S$7:$S$874,$BK$2,BS_RE33!$N$7:$N$874,I64,BS_RE33!$P$7:$P$874,'30 days CF Table(AUD)'!G64,BS_RE33!$F$7:$F$874,'30 days CF Table(AUD)'!$C$2)</f>
        <v>0</v>
      </c>
    </row>
    <row r="65" spans="3:11" ht="17.45" customHeight="1" thickTop="1" thickBot="1">
      <c r="F65" s="630"/>
      <c r="H65" s="267" t="s">
        <v>1473</v>
      </c>
    </row>
    <row r="66" spans="3:11" ht="17.45" customHeight="1" thickBot="1">
      <c r="F66" s="630"/>
      <c r="H66" s="641" t="s">
        <v>724</v>
      </c>
      <c r="I66" s="642" t="s">
        <v>80</v>
      </c>
      <c r="J66" s="631">
        <f>IF($C$1&lt;('Summary &amp; Working File(AllCcy)'!E15-30),'Summary &amp; Working File(AllCcy)'!E14/1000000,0)+IF($C$1&lt;('Summary &amp; Working File(AllCcy)'!F15-30),'Summary &amp; Working File(AllCcy)'!F14/1000000,0)+IF($C$1&lt;('Summary &amp; Working File(AllCcy)'!G15-30),'Summary &amp; Working File(AllCcy)'!G14/1000000,0)+IF($C$1&lt;('Summary &amp; Working File(AllCcy)'!H15-30),'Summary &amp; Working File(AllCcy)'!H14/1000000,0)+IF($C$1&lt;('Summary &amp; Working File(AllCcy)'!I15-30),'Summary &amp; Working File(AllCcy)'!I14/1000000,0)+IF($C$1&lt;('Summary &amp; Working File(AllCcy)'!J15-30),'Summary &amp; Working File(AllCcy)'!J14/1000000,0)</f>
        <v>0</v>
      </c>
      <c r="K66" s="633">
        <f>J66*1000000*10%</f>
        <v>0</v>
      </c>
    </row>
    <row r="67" spans="3:11" ht="17.45" customHeight="1" thickBot="1">
      <c r="F67" s="630"/>
      <c r="H67" s="641" t="s">
        <v>723</v>
      </c>
      <c r="I67" s="642" t="s">
        <v>80</v>
      </c>
      <c r="J67" s="632">
        <f>IF($C$1&lt;('Summary &amp; Working File(AllCcy)'!E11-30),'Summary &amp; Working File(AllCcy)'!E10/1000000,0)+IF($C$1&lt;('Summary &amp; Working File(AllCcy)'!F11-30),'Summary &amp; Working File(AllCcy)'!F10/1000000,0)+IF($C$1&lt;('Summary &amp; Working File(AllCcy)'!G11-30),'Summary &amp; Working File(AllCcy)'!G10/1000000,0)+IF($C$1&lt;('Summary &amp; Working File(AllCcy)'!H11-30),'Summary &amp; Working File(AllCcy)'!H10/1000000,0)</f>
        <v>0</v>
      </c>
      <c r="K67" s="633">
        <f>J67*1000000*5%</f>
        <v>0</v>
      </c>
    </row>
    <row r="68" spans="3:11" ht="17.25" thickBot="1"/>
    <row r="69" spans="3:11" ht="21" thickTop="1">
      <c r="D69" s="533" t="s">
        <v>1198</v>
      </c>
      <c r="H69" s="534" t="s">
        <v>1200</v>
      </c>
      <c r="J69" s="539">
        <f>SUM(J25:J45)+SUM(J52:J64)+SUM(J66:J67)</f>
        <v>0</v>
      </c>
      <c r="K69" s="567">
        <f>(SUM(K25:K45)+SUM(K52:K64)+SUM(K66:K67))/1000000</f>
        <v>0</v>
      </c>
    </row>
    <row r="70" spans="3:11" ht="21" thickBot="1">
      <c r="H70" s="535" t="s">
        <v>1199</v>
      </c>
      <c r="J70" s="568">
        <f>SUM(J4:J18)+SUM(J22:J24)</f>
        <v>0</v>
      </c>
      <c r="K70" s="569">
        <f>(SUM(K4:K18)+SUM(K22:K24))/1000000</f>
        <v>0</v>
      </c>
    </row>
    <row r="71" spans="3:11" ht="17.25" thickTop="1"/>
    <row r="72" spans="3:11" ht="17.25" thickBot="1"/>
    <row r="73" spans="3:11" ht="17.25" thickTop="1">
      <c r="C73" s="1032" t="s">
        <v>892</v>
      </c>
      <c r="D73" s="1035" t="s">
        <v>897</v>
      </c>
      <c r="E73" s="499" t="s">
        <v>898</v>
      </c>
      <c r="F73" s="500" t="s">
        <v>1181</v>
      </c>
      <c r="G73" s="505" t="str">
        <f>"HQLA_"&amp;F73</f>
        <v>HQLA_Australian Government</v>
      </c>
      <c r="H73" s="501"/>
      <c r="I73" s="501"/>
      <c r="J73" s="513">
        <f>SUMIFS(BS_RE33!$H$7:$H$874,BS_RE33!$P$7:$P$874,G73,BS_RE33!$F$7:$F$874,'30 days CF Table(AUD)'!$C$2)/1000000</f>
        <v>0</v>
      </c>
    </row>
    <row r="74" spans="3:11">
      <c r="C74" s="1033"/>
      <c r="D74" s="1036"/>
      <c r="E74" s="497" t="s">
        <v>1179</v>
      </c>
      <c r="F74" s="498" t="s">
        <v>1180</v>
      </c>
      <c r="G74" s="506" t="str">
        <f t="shared" ref="G74:G80" si="4">"HQLA_"&amp;F74</f>
        <v>HQLA_Australian State Government or Territory Central Borrowing Authorities</v>
      </c>
      <c r="H74" s="354"/>
      <c r="I74" s="354"/>
      <c r="J74" s="514">
        <f>SUMIFS(BS_RE33!$H$7:$H$874,BS_RE33!$P$7:$P$874,G74,BS_RE33!$F$7:$F$874,'30 days CF Table(AUD)'!$C$2)/1000000</f>
        <v>0</v>
      </c>
    </row>
    <row r="75" spans="3:11">
      <c r="C75" s="1033"/>
      <c r="D75" s="1036"/>
      <c r="E75" s="497" t="s">
        <v>899</v>
      </c>
      <c r="F75" s="498" t="s">
        <v>1183</v>
      </c>
      <c r="G75" s="506" t="str">
        <f t="shared" si="4"/>
        <v>HQLA_Issued by foreign sovereigns</v>
      </c>
      <c r="H75" s="354"/>
      <c r="I75" s="354"/>
      <c r="J75" s="514">
        <f>SUMIFS(BS_RE33!$H$7:$H$874,BS_RE33!$P$7:$P$874,G75,BS_RE33!$F$7:$F$874,'30 days CF Table(AUD)'!$C$2)/1000000</f>
        <v>0</v>
      </c>
    </row>
    <row r="76" spans="3:11">
      <c r="C76" s="1033"/>
      <c r="D76" s="1036"/>
      <c r="E76" s="497" t="s">
        <v>900</v>
      </c>
      <c r="F76" s="498" t="s">
        <v>1184</v>
      </c>
      <c r="G76" s="506" t="str">
        <f t="shared" si="4"/>
        <v>HQLA_Guaranteed by the Australian Government</v>
      </c>
      <c r="H76" s="354"/>
      <c r="I76" s="354"/>
      <c r="J76" s="514">
        <f>SUMIFS(BS_RE33!$H$7:$H$874,BS_RE33!$P$7:$P$874,G76,BS_RE33!$F$7:$F$874,'30 days CF Table(AUD)'!$C$2)/1000000</f>
        <v>0</v>
      </c>
    </row>
    <row r="77" spans="3:11">
      <c r="C77" s="1033"/>
      <c r="D77" s="1036"/>
      <c r="E77" s="497" t="s">
        <v>901</v>
      </c>
      <c r="F77" s="498" t="s">
        <v>1185</v>
      </c>
      <c r="G77" s="506" t="str">
        <f t="shared" si="4"/>
        <v>HQLA_Guaranteed by foreign sovereigns</v>
      </c>
      <c r="H77" s="354"/>
      <c r="I77" s="354"/>
      <c r="J77" s="514">
        <f>SUMIFS(BS_RE33!$H$7:$H$874,BS_RE33!$P$7:$P$874,G77,BS_RE33!$F$7:$F$874,'30 days CF Table(AUD)'!$C$2)/1000000</f>
        <v>0</v>
      </c>
    </row>
    <row r="78" spans="3:11">
      <c r="C78" s="1033"/>
      <c r="D78" s="1036"/>
      <c r="E78" s="497" t="s">
        <v>902</v>
      </c>
      <c r="F78" s="498" t="s">
        <v>1186</v>
      </c>
      <c r="G78" s="506" t="str">
        <f t="shared" si="4"/>
        <v>HQLA_Issued or guaranteed by central banks</v>
      </c>
      <c r="H78" s="354"/>
      <c r="I78" s="354"/>
      <c r="J78" s="514">
        <f>SUMIFS(BS_RE33!$H$7:$H$874,BS_RE33!$P$7:$P$874,G78,BS_RE33!$F$7:$F$874,'30 days CF Table(AUD)'!$C$2)/1000000</f>
        <v>0</v>
      </c>
    </row>
    <row r="79" spans="3:11">
      <c r="C79" s="1033"/>
      <c r="D79" s="1036"/>
      <c r="E79" s="497" t="s">
        <v>903</v>
      </c>
      <c r="F79" s="498" t="s">
        <v>1187</v>
      </c>
      <c r="G79" s="506" t="str">
        <f t="shared" si="4"/>
        <v>HQLA_Issued or guaranteed by PSEs</v>
      </c>
      <c r="H79" s="354"/>
      <c r="I79" s="354"/>
      <c r="J79" s="514">
        <f>SUMIFS(BS_RE33!$H$7:$H$874,BS_RE33!$P$7:$P$874,G79,BS_RE33!$F$7:$F$874,'30 days CF Table(AUD)'!$C$2)/1000000</f>
        <v>0</v>
      </c>
    </row>
    <row r="80" spans="3:11" ht="17.25" thickBot="1">
      <c r="C80" s="1034"/>
      <c r="D80" s="1037"/>
      <c r="E80" s="502" t="s">
        <v>904</v>
      </c>
      <c r="F80" s="503" t="s">
        <v>1188</v>
      </c>
      <c r="G80" s="507" t="str">
        <f t="shared" si="4"/>
        <v>HQLA_Issued or guaranteed by BIS, IMF, ECB and EC or MDBs</v>
      </c>
      <c r="H80" s="504"/>
      <c r="I80" s="504"/>
      <c r="J80" s="515">
        <f>SUMIFS(BS_RE33!$H$7:$H$874,BS_RE33!$P$7:$P$874,G80,BS_RE33!$F$7:$F$874,'30 days CF Table(AUD)'!$C$2)/1000000</f>
        <v>0</v>
      </c>
    </row>
    <row r="81" spans="2:10" ht="17.25" thickTop="1">
      <c r="C81" s="415"/>
      <c r="E81" s="425"/>
    </row>
    <row r="82" spans="2:10" ht="17.25" thickBot="1">
      <c r="C82" s="415"/>
      <c r="E82" s="425"/>
      <c r="H82" s="511" t="s">
        <v>60</v>
      </c>
    </row>
    <row r="83" spans="2:10" ht="17.25" thickTop="1">
      <c r="C83" s="415"/>
      <c r="E83" s="425"/>
      <c r="H83" s="508" t="s">
        <v>951</v>
      </c>
      <c r="I83" s="501" t="s">
        <v>1189</v>
      </c>
      <c r="J83" s="513">
        <f>SUMIFS(BS_RE33!$H$7:$H$874,BS_RE33!$N$7:$N$874,$H$82,BS_RE33!$F$7:$F$874,I83)/1000000</f>
        <v>0</v>
      </c>
    </row>
    <row r="84" spans="2:10">
      <c r="C84" s="415"/>
      <c r="E84" s="425"/>
      <c r="H84" s="509" t="s">
        <v>952</v>
      </c>
      <c r="I84" s="354" t="s">
        <v>1190</v>
      </c>
      <c r="J84" s="514">
        <f>SUMIFS(BS_RE33!$H$7:$H$874,BS_RE33!$N$7:$N$874,$H$82,BS_RE33!$F$7:$F$874,I84)/1000000</f>
        <v>0</v>
      </c>
    </row>
    <row r="85" spans="2:10">
      <c r="C85" s="415"/>
      <c r="E85" s="425"/>
      <c r="H85" s="509" t="s">
        <v>953</v>
      </c>
      <c r="I85" s="354" t="s">
        <v>1191</v>
      </c>
      <c r="J85" s="514">
        <f>SUMIFS(BS_RE33!$H$7:$H$874,BS_RE33!$N$7:$N$874,$H$82,BS_RE33!$F$7:$F$874,I85)/1000000</f>
        <v>0</v>
      </c>
    </row>
    <row r="86" spans="2:10">
      <c r="C86" s="415"/>
      <c r="E86" s="425"/>
      <c r="H86" s="509" t="s">
        <v>954</v>
      </c>
      <c r="I86" s="354" t="s">
        <v>1192</v>
      </c>
      <c r="J86" s="514">
        <f>SUMIFS(BS_RE33!$H$7:$H$874,BS_RE33!$N$7:$N$874,$H$82,BS_RE33!$F$7:$F$874,I86)/1000000</f>
        <v>0</v>
      </c>
    </row>
    <row r="87" spans="2:10">
      <c r="C87" s="415"/>
      <c r="E87" s="425"/>
      <c r="H87" s="509" t="s">
        <v>955</v>
      </c>
      <c r="I87" s="354" t="s">
        <v>1193</v>
      </c>
      <c r="J87" s="514">
        <f>SUMIFS(BS_RE33!$H$7:$H$874,BS_RE33!$N$7:$N$874,$H$82,BS_RE33!$F$7:$F$874,I87)/1000000</f>
        <v>0</v>
      </c>
    </row>
    <row r="88" spans="2:10">
      <c r="C88" s="415"/>
      <c r="E88" s="425"/>
      <c r="H88" s="509" t="s">
        <v>956</v>
      </c>
      <c r="I88" s="354" t="s">
        <v>1194</v>
      </c>
      <c r="J88" s="514">
        <f>SUMIFS(BS_RE33!$H$7:$H$874,BS_RE33!$N$7:$N$874,$H$82,BS_RE33!$F$7:$F$874,I88)/1000000</f>
        <v>0</v>
      </c>
    </row>
    <row r="89" spans="2:10">
      <c r="C89" s="415"/>
      <c r="E89" s="425"/>
      <c r="H89" s="509" t="s">
        <v>957</v>
      </c>
      <c r="I89" s="354" t="s">
        <v>1195</v>
      </c>
      <c r="J89" s="514">
        <f>SUMIFS(BS_RE33!$H$7:$H$874,BS_RE33!$N$7:$N$874,$H$82,BS_RE33!$F$7:$F$874,I89)/1000000</f>
        <v>0</v>
      </c>
    </row>
    <row r="90" spans="2:10" ht="17.25" thickBot="1">
      <c r="E90" s="425"/>
      <c r="H90" s="510" t="s">
        <v>958</v>
      </c>
      <c r="I90" s="504" t="s">
        <v>1196</v>
      </c>
      <c r="J90" s="515">
        <f>SUMIF(BS_RE33!$N$7:$N$874,$H$82,BS_RE33!$H$7:$H$874)/1000000-SUM(J83:J89)</f>
        <v>0</v>
      </c>
    </row>
    <row r="91" spans="2:10" ht="17.25" thickTop="1">
      <c r="J91" s="512" t="b">
        <f>SUM(J73:J80)=SUMIF($I$83:$I$90,C2,$J$83:$J$90)</f>
        <v>1</v>
      </c>
    </row>
    <row r="93" spans="2:10" ht="17.25" thickBot="1"/>
    <row r="94" spans="2:10" ht="17.25" thickBot="1">
      <c r="C94" s="343">
        <f>BS_RE33!N4</f>
        <v>46058</v>
      </c>
      <c r="D94" s="344" t="s">
        <v>809</v>
      </c>
    </row>
    <row r="95" spans="2:10" ht="17.25" thickBot="1"/>
    <row r="96" spans="2:10">
      <c r="B96" s="358"/>
      <c r="C96" s="359"/>
      <c r="D96" s="359"/>
      <c r="E96" s="359"/>
      <c r="F96" s="360"/>
    </row>
    <row r="97" spans="2:6">
      <c r="B97" s="361"/>
      <c r="C97" s="345" t="s">
        <v>80</v>
      </c>
      <c r="D97" s="346">
        <f>SUMIF($I$4:$I$64,C97,$K$4:$K$64)</f>
        <v>0</v>
      </c>
      <c r="E97" s="369"/>
      <c r="F97" s="362"/>
    </row>
    <row r="98" spans="2:6">
      <c r="B98" s="361"/>
      <c r="C98" s="353"/>
      <c r="D98" s="353"/>
      <c r="E98" s="354"/>
      <c r="F98" s="362"/>
    </row>
    <row r="99" spans="2:6">
      <c r="B99" s="361"/>
      <c r="C99" s="353"/>
      <c r="D99" s="347">
        <f>'Summary &amp; Working File(Ccy)'!F21</f>
        <v>0</v>
      </c>
      <c r="E99" s="355" t="s">
        <v>813</v>
      </c>
      <c r="F99" s="362"/>
    </row>
    <row r="100" spans="2:6">
      <c r="B100" s="361"/>
      <c r="C100" s="353"/>
      <c r="D100" s="353"/>
      <c r="E100" s="354"/>
      <c r="F100" s="362"/>
    </row>
    <row r="101" spans="2:6">
      <c r="B101" s="361"/>
      <c r="C101" s="353"/>
      <c r="D101" s="347">
        <f>'Summary &amp; Working File(Ccy)'!G21</f>
        <v>0</v>
      </c>
      <c r="E101" s="355" t="s">
        <v>814</v>
      </c>
      <c r="F101" s="362"/>
    </row>
    <row r="102" spans="2:6">
      <c r="B102" s="361"/>
      <c r="C102" s="353"/>
      <c r="D102" s="353"/>
      <c r="E102" s="354"/>
      <c r="F102" s="362"/>
    </row>
    <row r="103" spans="2:6">
      <c r="B103" s="361"/>
      <c r="C103" s="345" t="s">
        <v>811</v>
      </c>
      <c r="D103" s="348">
        <f>D97+D99+D101</f>
        <v>0</v>
      </c>
      <c r="E103" s="356"/>
      <c r="F103" s="362"/>
    </row>
    <row r="104" spans="2:6" ht="17.25" thickBot="1">
      <c r="B104" s="363"/>
      <c r="C104" s="364"/>
      <c r="D104" s="364"/>
      <c r="E104" s="365"/>
      <c r="F104" s="366"/>
    </row>
    <row r="105" spans="2:6">
      <c r="B105" s="358"/>
      <c r="C105" s="367"/>
      <c r="D105" s="367"/>
      <c r="E105" s="359"/>
      <c r="F105" s="360"/>
    </row>
    <row r="106" spans="2:6">
      <c r="B106" s="361"/>
      <c r="C106" s="349" t="s">
        <v>63</v>
      </c>
      <c r="D106" s="350">
        <f>SUMIF($I$4:$I$64,C106,$K$4:$K$64)</f>
        <v>0</v>
      </c>
      <c r="E106" s="369"/>
      <c r="F106" s="362"/>
    </row>
    <row r="107" spans="2:6">
      <c r="B107" s="361"/>
      <c r="C107" s="353"/>
      <c r="D107" s="353"/>
      <c r="E107" s="354"/>
      <c r="F107" s="362"/>
    </row>
    <row r="108" spans="2:6">
      <c r="B108" s="361"/>
      <c r="C108" s="353"/>
      <c r="D108" s="383">
        <f>D103*20%</f>
        <v>0</v>
      </c>
      <c r="E108" s="384" t="s">
        <v>812</v>
      </c>
      <c r="F108" s="385"/>
    </row>
    <row r="109" spans="2:6">
      <c r="B109" s="361"/>
      <c r="C109" s="353"/>
      <c r="D109" s="353"/>
      <c r="E109" s="354"/>
      <c r="F109" s="362"/>
    </row>
    <row r="110" spans="2:6">
      <c r="B110" s="361"/>
      <c r="C110" s="349" t="s">
        <v>815</v>
      </c>
      <c r="D110" s="350">
        <f>D106+D108</f>
        <v>0</v>
      </c>
      <c r="E110" s="356"/>
      <c r="F110" s="362"/>
    </row>
    <row r="111" spans="2:6">
      <c r="B111" s="361"/>
      <c r="C111" s="353"/>
      <c r="D111" s="353"/>
      <c r="E111" s="354"/>
      <c r="F111" s="362"/>
    </row>
    <row r="112" spans="2:6">
      <c r="B112" s="361"/>
      <c r="C112" s="349" t="s">
        <v>816</v>
      </c>
      <c r="D112" s="351">
        <f>MIN(D110,D103*75%)</f>
        <v>0</v>
      </c>
      <c r="E112" s="357" t="s">
        <v>819</v>
      </c>
      <c r="F112" s="362"/>
    </row>
    <row r="113" spans="2:6" ht="17.25" thickBot="1">
      <c r="B113" s="363"/>
      <c r="C113" s="365"/>
      <c r="D113" s="365"/>
      <c r="E113" s="365"/>
      <c r="F113" s="366"/>
    </row>
    <row r="114" spans="2:6">
      <c r="B114" s="358"/>
      <c r="C114" s="359"/>
      <c r="D114" s="359"/>
      <c r="E114" s="359"/>
      <c r="F114" s="360"/>
    </row>
    <row r="115" spans="2:6">
      <c r="B115" s="361"/>
      <c r="C115" s="372"/>
      <c r="D115" s="352">
        <f>D103-D112</f>
        <v>0</v>
      </c>
      <c r="E115" s="356" t="s">
        <v>818</v>
      </c>
      <c r="F115" s="362"/>
    </row>
    <row r="116" spans="2:6">
      <c r="B116" s="361"/>
      <c r="C116" s="354"/>
      <c r="D116" s="354"/>
      <c r="E116" s="354"/>
      <c r="F116" s="362"/>
    </row>
    <row r="117" spans="2:6">
      <c r="B117" s="361"/>
      <c r="C117" s="354"/>
      <c r="D117" s="352">
        <f>J83*1000000</f>
        <v>0</v>
      </c>
      <c r="E117" s="356" t="s">
        <v>820</v>
      </c>
      <c r="F117" s="362"/>
    </row>
    <row r="118" spans="2:6" ht="17.25" thickBot="1">
      <c r="B118" s="361"/>
      <c r="C118" s="354"/>
      <c r="D118" s="354"/>
      <c r="E118" s="354"/>
      <c r="F118" s="362"/>
    </row>
    <row r="119" spans="2:6" ht="18" thickTop="1" thickBot="1">
      <c r="B119" s="361"/>
      <c r="C119" s="354"/>
      <c r="D119" s="368" t="e">
        <f>D117/D115</f>
        <v>#DIV/0!</v>
      </c>
      <c r="E119" s="370" t="s">
        <v>821</v>
      </c>
      <c r="F119" s="362"/>
    </row>
    <row r="120" spans="2:6" ht="18" thickTop="1" thickBot="1">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37" priority="1" operator="containsText" text="false">
      <formula>NOT(ISERROR(SEARCH("false",J91)))</formula>
    </cfRule>
    <cfRule type="containsText" dxfId="36" priority="2" operator="containsText" text="true">
      <formula>NOT(ISERROR(SEARCH("true",J91)))</formula>
    </cfRule>
  </conditionalFormatting>
  <dataValidations count="1">
    <dataValidation type="list" allowBlank="1" showInputMessage="1" showErrorMessage="1" sqref="C2" xr:uid="{00000000-0002-0000-0600-000000000000}">
      <formula1>$I$83:$I$89</formula1>
    </dataValidation>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2:V294"/>
  <sheetViews>
    <sheetView showGridLines="0" tabSelected="1" topLeftCell="A7" zoomScale="70" zoomScaleNormal="70" workbookViewId="0">
      <selection activeCell="C6" sqref="C6"/>
    </sheetView>
  </sheetViews>
  <sheetFormatPr defaultColWidth="9" defaultRowHeight="16.5"/>
  <cols>
    <col min="1" max="1" width="10.75" style="1" customWidth="1"/>
    <col min="2" max="2" width="5.625" style="1" customWidth="1"/>
    <col min="3" max="3" width="12.375" style="1" bestFit="1" customWidth="1"/>
    <col min="4" max="10" width="24.375" style="1" customWidth="1"/>
    <col min="11" max="11" width="31.125" style="1" customWidth="1"/>
    <col min="12" max="12" width="24.375" style="1" customWidth="1"/>
    <col min="13" max="13" width="23.75" style="1" bestFit="1" customWidth="1"/>
    <col min="14" max="15" width="9" style="1"/>
    <col min="16" max="16" width="16" style="1" customWidth="1"/>
    <col min="17" max="18" width="22.875" style="1" customWidth="1"/>
    <col min="19" max="22" width="12.5" style="1" bestFit="1" customWidth="1"/>
    <col min="23" max="23" width="9" style="1"/>
    <col min="24" max="24" width="12.625" style="1" bestFit="1" customWidth="1"/>
    <col min="25" max="27" width="10.875" style="1" bestFit="1" customWidth="1"/>
    <col min="28" max="16384" width="9" style="1"/>
  </cols>
  <sheetData>
    <row r="2" spans="2:22" ht="17.25" thickBot="1">
      <c r="B2" s="251" t="s">
        <v>729</v>
      </c>
      <c r="C2" s="252"/>
      <c r="D2" s="251"/>
      <c r="E2" s="252"/>
      <c r="F2" s="252"/>
      <c r="G2" s="253" t="b">
        <f>(E5-F5)=G5</f>
        <v>1</v>
      </c>
      <c r="H2" s="253" t="e">
        <f>H5=(D5/G5)</f>
        <v>#DIV/0!</v>
      </c>
    </row>
    <row r="3" spans="2:22" ht="20.45" customHeight="1" thickTop="1">
      <c r="B3" s="1046" t="s">
        <v>701</v>
      </c>
      <c r="C3" s="1049" t="s">
        <v>702</v>
      </c>
      <c r="D3" s="1051" t="s">
        <v>732</v>
      </c>
      <c r="E3" s="1052"/>
      <c r="F3" s="1052"/>
      <c r="G3" s="1052"/>
      <c r="H3" s="1053"/>
    </row>
    <row r="4" spans="2:22" ht="20.45" customHeight="1">
      <c r="B4" s="1047"/>
      <c r="C4" s="1050"/>
      <c r="D4" s="254" t="s">
        <v>711</v>
      </c>
      <c r="E4" s="287" t="s">
        <v>80</v>
      </c>
      <c r="F4" s="289" t="s">
        <v>712</v>
      </c>
      <c r="G4" s="255" t="s">
        <v>713</v>
      </c>
      <c r="H4" s="291" t="s">
        <v>714</v>
      </c>
      <c r="I4" s="259"/>
      <c r="K4" s="215"/>
    </row>
    <row r="5" spans="2:22" ht="20.45" customHeight="1" thickBot="1">
      <c r="B5" s="1048"/>
      <c r="C5" s="258">
        <f>C21</f>
        <v>46058</v>
      </c>
      <c r="D5" s="621">
        <f>D21</f>
        <v>0</v>
      </c>
      <c r="E5" s="622">
        <f>H21</f>
        <v>0</v>
      </c>
      <c r="F5" s="623">
        <f>K21</f>
        <v>0</v>
      </c>
      <c r="G5" s="624">
        <f>L21</f>
        <v>0</v>
      </c>
      <c r="H5" s="625" t="e">
        <f>M21</f>
        <v>#DIV/0!</v>
      </c>
      <c r="I5" s="260"/>
    </row>
    <row r="6" spans="2:22" ht="18" thickTop="1" thickBot="1">
      <c r="B6" s="252"/>
      <c r="C6" s="252"/>
      <c r="D6" s="626"/>
      <c r="E6" s="279"/>
      <c r="F6" s="279"/>
      <c r="G6" s="279"/>
      <c r="H6" s="279"/>
      <c r="I6" s="614"/>
      <c r="J6" s="614"/>
      <c r="K6" s="280"/>
    </row>
    <row r="7" spans="2:22" ht="18" thickTop="1" thickBot="1">
      <c r="B7" s="252"/>
      <c r="C7" s="252"/>
      <c r="D7" s="278" t="s">
        <v>727</v>
      </c>
      <c r="E7" s="279"/>
      <c r="F7" s="279"/>
      <c r="G7" s="279"/>
      <c r="H7" s="614"/>
      <c r="I7" s="614"/>
      <c r="J7" s="614"/>
      <c r="K7" s="280"/>
    </row>
    <row r="8" spans="2:22" ht="17.25" thickBot="1">
      <c r="B8" s="252"/>
      <c r="C8" s="252"/>
      <c r="D8" s="281" t="s">
        <v>4</v>
      </c>
      <c r="E8" s="267" t="s">
        <v>726</v>
      </c>
      <c r="F8" s="268"/>
      <c r="G8" s="268"/>
      <c r="H8" s="530" t="b">
        <f>SUMIF(BS_RE33!$A$7:$A$874,G9,BS_RE33!$H$7:$H$874)=SUM(E10:H10)</f>
        <v>0</v>
      </c>
      <c r="I8" s="176"/>
      <c r="J8" s="176"/>
      <c r="K8" s="282"/>
    </row>
    <row r="9" spans="2:22" ht="17.25" thickBot="1">
      <c r="D9" s="283"/>
      <c r="E9" s="267" t="s">
        <v>723</v>
      </c>
      <c r="F9" s="176"/>
      <c r="G9" s="618" t="s">
        <v>331</v>
      </c>
      <c r="H9" s="618" t="s">
        <v>1450</v>
      </c>
      <c r="I9" s="176"/>
      <c r="J9" s="617" t="s">
        <v>1204</v>
      </c>
      <c r="K9" s="282"/>
      <c r="Q9" s="1058" t="s">
        <v>709</v>
      </c>
      <c r="R9" s="1059"/>
    </row>
    <row r="10" spans="2:22" ht="18" thickTop="1" thickBot="1">
      <c r="D10" s="284" t="s">
        <v>715</v>
      </c>
      <c r="E10" s="634" cm="1">
        <f t="array" ref="E10">IFERROR(_xlfn.XLOOKUP(1,(BS_RE33!$C$7:$C$874='Summary &amp; Working File(AllCcy)'!E12)*(BS_RE33!$A$7:$A$874='Summary &amp; Working File(AllCcy)'!$G$9),BS_RE33!$H$7:$H$874),0)</f>
        <v>0</v>
      </c>
      <c r="F10" s="638" cm="1">
        <f t="array" ref="F10">IFERROR(_xlfn.XLOOKUP(1,(BS_RE33!$C$7:$C$874='Summary &amp; Working File(AllCcy)'!F12)*(BS_RE33!$A$7:$A$874='Summary &amp; Working File(AllCcy)'!$G$9),BS_RE33!$H$7:$H$874),0)</f>
        <v>0</v>
      </c>
      <c r="G10" s="638" cm="1">
        <f t="array" ref="G10">IFERROR(_xlfn.XLOOKUP(1,(BS_RE33!$C$7:$C$874='Summary &amp; Working File(AllCcy)'!G12)*(BS_RE33!$A$7:$A$874='Summary &amp; Working File(AllCcy)'!$G$9),BS_RE33!$H$7:$H$874),0)</f>
        <v>0</v>
      </c>
      <c r="H10" s="636" cm="1">
        <f t="array" ref="H10">IFERROR(_xlfn.XLOOKUP(1,(BS_RE33!$C$7:$C$874='Summary &amp; Working File(AllCcy)'!H12)*(BS_RE33!$A$7:$A$874='Summary &amp; Working File(AllCcy)'!$G$9),BS_RE33!$H$7:$H$874),0)</f>
        <v>0</v>
      </c>
      <c r="I10" s="176"/>
      <c r="J10" s="299"/>
      <c r="K10" s="282"/>
      <c r="P10" s="212"/>
      <c r="Q10" s="213" t="s">
        <v>80</v>
      </c>
      <c r="R10" s="214" t="s">
        <v>63</v>
      </c>
    </row>
    <row r="11" spans="2:22" ht="18" thickTop="1" thickBot="1">
      <c r="D11" s="285" t="s">
        <v>716</v>
      </c>
      <c r="E11" s="635" cm="1">
        <f t="array" ref="E11">IFERROR(_xlfn.XLOOKUP(1,(BS_RE33!$C$7:$C$874='Summary &amp; Working File(AllCcy)'!E12)*(BS_RE33!$A$7:$A$874='Summary &amp; Working File(AllCcy)'!$G$9),BS_RE33!$J$7:$J$874),0)</f>
        <v>0</v>
      </c>
      <c r="F11" s="639" cm="1">
        <f t="array" ref="F11">IFERROR(_xlfn.XLOOKUP(1,(BS_RE33!$C$7:$C$874='Summary &amp; Working File(AllCcy)'!F12)*(BS_RE33!$A$7:$A$874='Summary &amp; Working File(AllCcy)'!$G$9),BS_RE33!$J$7:$J$874),0)</f>
        <v>0</v>
      </c>
      <c r="G11" s="639" cm="1">
        <f t="array" ref="G11">IFERROR(_xlfn.XLOOKUP(1,(BS_RE33!$C$7:$C$874='Summary &amp; Working File(AllCcy)'!G12)*(BS_RE33!$A$7:$A$874='Summary &amp; Working File(AllCcy)'!$G$9),BS_RE33!$J$7:$J$874),0)</f>
        <v>0</v>
      </c>
      <c r="H11" s="637" cm="1">
        <f t="array" ref="H11">IFERROR(_xlfn.XLOOKUP(1,(BS_RE33!$C$7:$C$874='Summary &amp; Working File(AllCcy)'!H12)*(BS_RE33!$A$7:$A$874='Summary &amp; Working File(AllCcy)'!$G$9),BS_RE33!$J$7:$J$874),0)</f>
        <v>0</v>
      </c>
      <c r="I11" s="176"/>
      <c r="J11" s="615"/>
      <c r="K11" s="282"/>
      <c r="M11" s="300" t="s">
        <v>1470</v>
      </c>
      <c r="P11" s="5" t="s">
        <v>65</v>
      </c>
      <c r="Q11" s="216">
        <f>SUMIFS(BS_RE33!$U$7:$U$874,BS_RE33!$S$7:$S$874,'Summary &amp; Working File(AllCcy)'!P11,BS_RE33!$N$7:$N$874,'Summary &amp; Working File(AllCcy)'!$Q$10)+SUMIF($P$13:$P$19,P11,$Q$13:$Q$19)</f>
        <v>0</v>
      </c>
      <c r="R11" s="217">
        <f>SUMIFS(BS_RE33!$U$7:$U$874,BS_RE33!$S$7:$S$874,'Summary &amp; Working File(AllCcy)'!P11,BS_RE33!$N$7:$N$874,'Summary &amp; Working File(AllCcy)'!$R$10)+SUMIF($P$13:$P$19,P11,$R$13:$R$19)</f>
        <v>0</v>
      </c>
    </row>
    <row r="12" spans="2:22" ht="18" thickTop="1" thickBot="1">
      <c r="D12" s="285" t="s">
        <v>4</v>
      </c>
      <c r="E12" s="619" t="str" cm="1">
        <f t="array" ref="E12">IFERROR(INDEX(_xlfn._xlws.FILTER(BS_RE33!$C$7:$C$874,BS_RE33!$A$7:$A$874='Summary &amp; Working File(AllCcy)'!$G$9),COLUMNS($E12:E12)),"")</f>
        <v/>
      </c>
      <c r="F12" s="619" t="str" cm="1">
        <f t="array" ref="F12">IFERROR(INDEX(_xlfn._xlws.FILTER(BS_RE33!$C$7:$C$874,BS_RE33!$A$7:$A$874='Summary &amp; Working File(AllCcy)'!$G$9),COLUMNS($E12:F12)),"")</f>
        <v/>
      </c>
      <c r="G12" s="619" t="str" cm="1">
        <f t="array" ref="G12">IFERROR(INDEX(_xlfn._xlws.FILTER(BS_RE33!$C$7:$C$874,BS_RE33!$A$7:$A$874='Summary &amp; Working File(AllCcy)'!$G$9),COLUMNS($E12:G12)),"")</f>
        <v/>
      </c>
      <c r="H12" s="619" t="str" cm="1">
        <f t="array" ref="H12">IFERROR(INDEX(_xlfn._xlws.FILTER(BS_RE33!$C$7:$C$874,BS_RE33!$A$7:$A$874='Summary &amp; Working File(AllCcy)'!$G$9),COLUMNS($E12:H12)),"")</f>
        <v/>
      </c>
      <c r="I12" s="176"/>
      <c r="J12" s="530" t="b">
        <f>SUMIF(BS_RE33!$A$7:$A$874,I13,BS_RE33!$H$7:$H$874)=SUM(E14:J14)</f>
        <v>0</v>
      </c>
      <c r="K12" s="282"/>
      <c r="M12" s="613" t="e">
        <f>_xlfn.IFNA(INDEX(C21:C264,MATCH(M16,M21:M264,0)),"Not Exist")</f>
        <v>#DIV/0!</v>
      </c>
      <c r="O12" s="218"/>
      <c r="P12" s="5"/>
      <c r="Q12" s="5"/>
      <c r="R12" s="5"/>
    </row>
    <row r="13" spans="2:22" ht="17.25" thickBot="1">
      <c r="D13" s="283"/>
      <c r="E13" s="267" t="s">
        <v>724</v>
      </c>
      <c r="F13" s="267"/>
      <c r="G13" s="267"/>
      <c r="H13" s="267"/>
      <c r="I13" s="618" t="s">
        <v>311</v>
      </c>
      <c r="J13" s="618" t="s">
        <v>1419</v>
      </c>
      <c r="K13" s="282"/>
      <c r="L13" s="300"/>
      <c r="M13" s="300" t="str">
        <f>"The earliest date of LCR going below 50%"</f>
        <v>The earliest date of LCR going below 50%</v>
      </c>
      <c r="N13" s="301"/>
      <c r="O13" s="1073" t="s">
        <v>822</v>
      </c>
      <c r="P13" s="219" t="s">
        <v>65</v>
      </c>
      <c r="Q13" s="220"/>
      <c r="R13" s="221"/>
    </row>
    <row r="14" spans="2:22" ht="17.25" thickTop="1">
      <c r="D14" s="284" t="s">
        <v>715</v>
      </c>
      <c r="E14" s="634" cm="1">
        <f t="array" ref="E14">IFERROR(_xlfn.XLOOKUP(1,(BS_RE33!$C$7:$C$874='Summary &amp; Working File(AllCcy)'!E16)*(BS_RE33!$A$7:$A$874='Summary &amp; Working File(AllCcy)'!$I$13),BS_RE33!$H$7:$H$874),0)</f>
        <v>0</v>
      </c>
      <c r="F14" s="640" cm="1">
        <f t="array" ref="F14">IFERROR(_xlfn.XLOOKUP(1,(BS_RE33!$C$7:$C$874='Summary &amp; Working File(AllCcy)'!F16)*(BS_RE33!$A$7:$A$874='Summary &amp; Working File(AllCcy)'!$I$13),BS_RE33!$H$7:$H$874),0)</f>
        <v>0</v>
      </c>
      <c r="G14" s="640" cm="1">
        <f t="array" ref="G14">IFERROR(_xlfn.XLOOKUP(1,(BS_RE33!$C$7:$C$874='Summary &amp; Working File(AllCcy)'!G16)*(BS_RE33!$A$7:$A$874='Summary &amp; Working File(AllCcy)'!$I$13),BS_RE33!$H$7:$H$874),0)</f>
        <v>0</v>
      </c>
      <c r="H14" s="640" cm="1">
        <f t="array" ref="H14">IFERROR(_xlfn.XLOOKUP(1,(BS_RE33!$C$7:$C$874='Summary &amp; Working File(AllCcy)'!H16)*(BS_RE33!$A$7:$A$874='Summary &amp; Working File(AllCcy)'!$I$13),BS_RE33!$H$7:$H$874),0)</f>
        <v>0</v>
      </c>
      <c r="I14" s="640" cm="1">
        <f t="array" ref="I14">IFERROR(_xlfn.XLOOKUP(1,(BS_RE33!$C$7:$C$874='Summary &amp; Working File(AllCcy)'!I16)*(BS_RE33!$A$7:$A$874='Summary &amp; Working File(AllCcy)'!$I$13),BS_RE33!$H$7:$H$874),0)</f>
        <v>0</v>
      </c>
      <c r="J14" s="649" cm="1">
        <f t="array" ref="J14">IFERROR(_xlfn.XLOOKUP(1,(BS_RE33!$C$7:$C$874='Summary &amp; Working File(AllCcy)'!J16)*(BS_RE33!$A$7:$A$874='Summary &amp; Working File(AllCcy)'!$I$13),BS_RE33!$H$7:$H$874),0)</f>
        <v>0</v>
      </c>
      <c r="K14" s="282"/>
      <c r="M14" s="613">
        <f t="array" ref="M14">_xlfn.IFNA(INDEX(C21:C264,MATCH(TRUE,M21:M264&lt;50%,0)),"Not Exist")</f>
        <v>46182</v>
      </c>
      <c r="O14" s="1074"/>
      <c r="P14" s="222">
        <v>46151</v>
      </c>
      <c r="Q14" s="223"/>
      <c r="R14" s="224"/>
      <c r="S14" s="182">
        <v>3</v>
      </c>
      <c r="T14" s="182"/>
      <c r="U14" s="819"/>
      <c r="V14" s="182"/>
    </row>
    <row r="15" spans="2:22" ht="17.25" thickBot="1">
      <c r="D15" s="285" t="s">
        <v>716</v>
      </c>
      <c r="E15" s="635" cm="1">
        <f t="array" ref="E15">IFERROR(_xlfn.XLOOKUP(1,(BS_RE33!$C$7:$C$874='Summary &amp; Working File(AllCcy)'!E16)*(BS_RE33!$A$7:$A$874='Summary &amp; Working File(AllCcy)'!$I$13),BS_RE33!$J$7:$J$874),0)</f>
        <v>0</v>
      </c>
      <c r="F15" s="639" cm="1">
        <f t="array" ref="F15">IFERROR(_xlfn.XLOOKUP(1,(BS_RE33!$C$7:$C$874='Summary &amp; Working File(AllCcy)'!F16)*(BS_RE33!$A$7:$A$874='Summary &amp; Working File(AllCcy)'!$I$13),BS_RE33!$J$7:$J$874),0)</f>
        <v>0</v>
      </c>
      <c r="G15" s="639" cm="1">
        <f t="array" ref="G15">IFERROR(_xlfn.XLOOKUP(1,(BS_RE33!$C$7:$C$874='Summary &amp; Working File(AllCcy)'!G16)*(BS_RE33!$A$7:$A$874='Summary &amp; Working File(AllCcy)'!$I$13),BS_RE33!$J$7:$J$874),0)</f>
        <v>0</v>
      </c>
      <c r="H15" s="639" cm="1">
        <f t="array" ref="H15">IFERROR(_xlfn.XLOOKUP(1,(BS_RE33!$C$7:$C$874='Summary &amp; Working File(AllCcy)'!H16)*(BS_RE33!$A$7:$A$874='Summary &amp; Working File(AllCcy)'!$I$13),BS_RE33!$J$7:$J$874),0)</f>
        <v>0</v>
      </c>
      <c r="I15" s="639" cm="1">
        <f t="array" ref="I15">IFERROR(_xlfn.XLOOKUP(1,(BS_RE33!$C$7:$C$874='Summary &amp; Working File(AllCcy)'!I16)*(BS_RE33!$A$7:$A$874='Summary &amp; Working File(AllCcy)'!$I$13),BS_RE33!$J$7:$J$874),0)</f>
        <v>0</v>
      </c>
      <c r="J15" s="646" cm="1">
        <f t="array" ref="J15">IFERROR(_xlfn.XLOOKUP(1,(BS_RE33!$C$7:$C$874='Summary &amp; Working File(AllCcy)'!J16)*(BS_RE33!$A$7:$A$874='Summary &amp; Working File(AllCcy)'!$I$13),BS_RE33!$J$7:$J$874),0)</f>
        <v>0</v>
      </c>
      <c r="K15" s="282"/>
      <c r="M15" s="300" t="str">
        <f>"The lowest LCR for next "&amp;ROUND((C264-C21)/(365/12),0)&amp;" months"</f>
        <v>The lowest LCR for next 8 months</v>
      </c>
      <c r="O15" s="1074"/>
      <c r="P15" s="222">
        <v>46182</v>
      </c>
      <c r="Q15" s="223"/>
      <c r="R15" s="224"/>
      <c r="S15" s="1">
        <v>4</v>
      </c>
      <c r="T15" s="182"/>
    </row>
    <row r="16" spans="2:22" ht="18" customHeight="1" thickTop="1" thickBot="1">
      <c r="D16" s="286" t="s">
        <v>4</v>
      </c>
      <c r="E16" s="620" t="str" cm="1">
        <f t="array" ref="E16">IFERROR(INDEX(_xlfn._xlws.FILTER(BS_RE33!$C$7:$C$874,BS_RE33!$A$7:$A$874='Summary &amp; Working File(AllCcy)'!$I$13),COLUMNS($E16:E16)),"")</f>
        <v/>
      </c>
      <c r="F16" s="620" t="str" cm="1">
        <f t="array" ref="F16">IFERROR(INDEX(_xlfn._xlws.FILTER(BS_RE33!$C$7:$C$874,BS_RE33!$A$7:$A$874='Summary &amp; Working File(AllCcy)'!$I$13),COLUMNS($E16:F16)),"")</f>
        <v/>
      </c>
      <c r="G16" s="620" t="str" cm="1">
        <f t="array" ref="G16">IFERROR(INDEX(_xlfn._xlws.FILTER(BS_RE33!$C$7:$C$874,BS_RE33!$A$7:$A$874='Summary &amp; Working File(AllCcy)'!$I$13),COLUMNS($E16:G16)),"")</f>
        <v/>
      </c>
      <c r="H16" s="620" t="str" cm="1">
        <f t="array" ref="H16">IFERROR(INDEX(_xlfn._xlws.FILTER(BS_RE33!$C$7:$C$874,BS_RE33!$A$7:$A$874='Summary &amp; Working File(AllCcy)'!$I$13),COLUMNS($E16:H16)),"")</f>
        <v/>
      </c>
      <c r="I16" s="620" t="str" cm="1">
        <f t="array" ref="I16">IFERROR(INDEX(_xlfn._xlws.FILTER(BS_RE33!$C$7:$C$874,BS_RE33!$A$7:$A$874='Summary &amp; Working File(AllCcy)'!$I$13),COLUMNS($E16:I16)),"")</f>
        <v/>
      </c>
      <c r="J16" s="620" t="str" cm="1">
        <f t="array" ref="J16">IFERROR(INDEX(_xlfn._xlws.FILTER(BS_RE33!$C$7:$C$874,BS_RE33!$A$7:$A$874='Summary &amp; Working File(AllCcy)'!$I$13),COLUMNS($E16:J16)),"")</f>
        <v/>
      </c>
      <c r="K16" s="616"/>
      <c r="L16" s="303"/>
      <c r="M16" s="277" t="e">
        <f>MIN(M21:M263)</f>
        <v>#DIV/0!</v>
      </c>
      <c r="O16" s="1074"/>
      <c r="P16" s="222">
        <v>46212</v>
      </c>
      <c r="Q16" s="223">
        <v>5000000</v>
      </c>
      <c r="R16" s="224"/>
      <c r="S16" s="1">
        <v>5</v>
      </c>
    </row>
    <row r="17" spans="2:21" ht="15.95" customHeight="1" thickTop="1">
      <c r="O17" s="1074"/>
      <c r="P17" s="222">
        <v>46243</v>
      </c>
      <c r="Q17" s="223"/>
      <c r="R17" s="224"/>
      <c r="S17" s="1">
        <v>6</v>
      </c>
      <c r="T17" s="182"/>
      <c r="U17" s="182"/>
    </row>
    <row r="18" spans="2:21" ht="17.25" thickBot="1">
      <c r="B18" s="1060" t="s">
        <v>701</v>
      </c>
      <c r="C18" s="1063" t="s">
        <v>702</v>
      </c>
      <c r="D18" s="1066" t="s">
        <v>707</v>
      </c>
      <c r="E18" s="1066"/>
      <c r="F18" s="1066"/>
      <c r="G18" s="1066"/>
      <c r="H18" s="1066"/>
      <c r="I18" s="1066"/>
      <c r="J18" s="1066"/>
      <c r="K18" s="1066"/>
      <c r="L18" s="1066"/>
      <c r="M18" s="1067"/>
      <c r="O18" s="1075"/>
      <c r="P18" s="222">
        <v>5</v>
      </c>
      <c r="Q18" s="223"/>
      <c r="R18" s="224"/>
      <c r="S18" s="1">
        <v>7</v>
      </c>
    </row>
    <row r="19" spans="2:21" ht="18" customHeight="1" thickTop="1" thickBot="1">
      <c r="B19" s="1061"/>
      <c r="C19" s="1064"/>
      <c r="D19" s="1068" t="s">
        <v>60</v>
      </c>
      <c r="E19" s="1069" t="s">
        <v>80</v>
      </c>
      <c r="F19" s="1069"/>
      <c r="G19" s="1069"/>
      <c r="H19" s="1070"/>
      <c r="I19" s="1071" t="s">
        <v>63</v>
      </c>
      <c r="J19" s="1071"/>
      <c r="K19" s="1072"/>
      <c r="L19" s="1054" t="s">
        <v>817</v>
      </c>
      <c r="M19" s="1056" t="s">
        <v>728</v>
      </c>
      <c r="O19" s="1076"/>
      <c r="P19" s="225"/>
      <c r="Q19" s="226"/>
      <c r="R19" s="227"/>
    </row>
    <row r="20" spans="2:21" ht="32.450000000000003" customHeight="1" thickTop="1" thickBot="1">
      <c r="B20" s="1062"/>
      <c r="C20" s="1065"/>
      <c r="D20" s="1068"/>
      <c r="E20" s="228" t="s">
        <v>703</v>
      </c>
      <c r="F20" s="266" t="s">
        <v>725</v>
      </c>
      <c r="G20" s="229" t="s">
        <v>704</v>
      </c>
      <c r="H20" s="272" t="s">
        <v>811</v>
      </c>
      <c r="I20" s="584" t="s">
        <v>703</v>
      </c>
      <c r="J20" s="585" t="s">
        <v>710</v>
      </c>
      <c r="K20" s="586" t="s">
        <v>706</v>
      </c>
      <c r="L20" s="1055"/>
      <c r="M20" s="1057"/>
      <c r="O20" s="218"/>
      <c r="Q20" s="215"/>
      <c r="R20" s="215"/>
    </row>
    <row r="21" spans="2:21" ht="18" thickTop="1" thickBot="1">
      <c r="B21" s="232">
        <v>1</v>
      </c>
      <c r="C21" s="233">
        <f>BS_RE33!N4</f>
        <v>46058</v>
      </c>
      <c r="D21" s="234">
        <f>SUMIF(BS_RE33!$N$7:$N$874,$D$19,BS_RE33!$U$7:$U$874)</f>
        <v>0</v>
      </c>
      <c r="E21" s="235">
        <f>$Q$11+SUM(Q22:Q51)</f>
        <v>0</v>
      </c>
      <c r="F21" s="236">
        <f>(IF(C21&lt;($E$11-30),$E$10*5%,0)+IF(C21&lt;($F$11-30),$F$10*5%,0)+IF(C21&lt;($G$11-30),$G$10*5%,0)+IF(C21&lt;($H$11-30),$H$10*5%,0))+(IF(C21&lt;($E$15-30),$E$14*10%,0)+IF(C21&lt;($F$15-30),$F$14*10%,0)+IF(C21&lt;($G$15-30),$G$14*10%,0)+IF(C21&lt;($H$15-30),$H$14*10%,0)+IF(C21&lt;($I$15-30),$I$14*10%,0)+IF(C21&lt;($J$15-30),$J$14*10%,0))</f>
        <v>0</v>
      </c>
      <c r="G21" s="237">
        <f t="shared" ref="G21:G84" si="0">$J$10*10%</f>
        <v>0</v>
      </c>
      <c r="H21" s="273">
        <f>SUM(E21:G21)</f>
        <v>0</v>
      </c>
      <c r="I21" s="587">
        <f>$R$11+SUM(R22:R51)</f>
        <v>0</v>
      </c>
      <c r="J21" s="237">
        <f>H21*20%</f>
        <v>0</v>
      </c>
      <c r="K21" s="269">
        <f>MIN(SUM(I21:J21),H21*75%)</f>
        <v>0</v>
      </c>
      <c r="L21" s="239">
        <f>H21-K21</f>
        <v>0</v>
      </c>
      <c r="M21" s="275" t="e">
        <f>D21/L21</f>
        <v>#DIV/0!</v>
      </c>
      <c r="N21" s="3"/>
      <c r="O21" s="1">
        <v>1</v>
      </c>
      <c r="P21" s="240">
        <f>C21</f>
        <v>46058</v>
      </c>
      <c r="Q21" s="241">
        <f>ROUND(SUMIFS(BS_RE33!$U$7:$U$874,BS_RE33!$S$7:$S$874,'Summary &amp; Working File(AllCcy)'!P21,BS_RE33!$N$7:$N$874,'Summary &amp; Working File(AllCcy)'!$Q$10)+SUMIF($P$13:$P$19,P21,$Q$13:$Q$19),2)</f>
        <v>0</v>
      </c>
      <c r="R21" s="242">
        <f>ROUND(SUMIFS(BS_RE33!$U$7:$U$874,BS_RE33!$S$7:$S$874,'Summary &amp; Working File(AllCcy)'!P21,BS_RE33!$N$7:$N$874,'Summary &amp; Working File(AllCcy)'!$R$10)+SUMIF($P$13:$P$19,P21,$R$13:$R$19),2)</f>
        <v>0</v>
      </c>
    </row>
    <row r="22" spans="2:21" ht="17.25" thickTop="1">
      <c r="B22" s="243">
        <f>B21+1</f>
        <v>2</v>
      </c>
      <c r="C22" s="244">
        <f>C21+1</f>
        <v>46059</v>
      </c>
      <c r="D22" s="245">
        <f>D21</f>
        <v>0</v>
      </c>
      <c r="E22" s="235">
        <f>$Q$11+SUM(Q23:Q52)</f>
        <v>0</v>
      </c>
      <c r="F22" s="236">
        <f t="shared" ref="F22:F85" si="1">(IF(C22&lt;($E$11-30),$E$10*5%,0)+IF(C22&lt;($F$11-30),$F$10*5%,0)+IF(C22&lt;($G$11-30),$G$10*5%,0)+IF(C22&lt;($H$11-30),$H$10*5%,0))+(IF(C22&lt;($E$15-30),$E$14*10%,0)+IF(C22&lt;($F$15-30),$F$14*10%,0)+IF(C22&lt;($G$15-30),$G$14*10%,0)+IF(C22&lt;($H$15-30),$H$14*10%,0)+IF(C22&lt;($I$15-30),$I$14*10%,0)+IF(C22&lt;($J$15-30),$J$14*10%,0))</f>
        <v>0</v>
      </c>
      <c r="G22" s="237">
        <f t="shared" si="0"/>
        <v>0</v>
      </c>
      <c r="H22" s="273">
        <f t="shared" ref="H22:H85" si="2">SUM(E22:G22)</f>
        <v>0</v>
      </c>
      <c r="I22" s="587">
        <f t="shared" ref="I22:I52" si="3">$R$11+SUM(R23:R52)</f>
        <v>0</v>
      </c>
      <c r="J22" s="237">
        <f t="shared" ref="J22:J85" si="4">H22*20%</f>
        <v>0</v>
      </c>
      <c r="K22" s="269">
        <f t="shared" ref="K22:K85" si="5">MIN(SUM(I22:J22),H22*75%)</f>
        <v>0</v>
      </c>
      <c r="L22" s="239">
        <f t="shared" ref="L22:L85" si="6">H22-K22</f>
        <v>0</v>
      </c>
      <c r="M22" s="275" t="e">
        <f t="shared" ref="M22:M85" si="7">D22/L22</f>
        <v>#DIV/0!</v>
      </c>
      <c r="N22" s="3"/>
      <c r="O22" s="1">
        <f>O21+1</f>
        <v>2</v>
      </c>
      <c r="P22" s="182">
        <f>P21+1</f>
        <v>46059</v>
      </c>
      <c r="Q22" s="241">
        <f>ROUND(SUMIFS(BS_RE33!$U$7:$U$874,BS_RE33!$S$7:$S$874,'Summary &amp; Working File(AllCcy)'!P22,BS_RE33!$N$7:$N$874,'Summary &amp; Working File(AllCcy)'!$Q$10)+SUMIF($P$13:$P$19,P22,$Q$13:$Q$19),2)</f>
        <v>0</v>
      </c>
      <c r="R22" s="242">
        <f>ROUND(SUMIFS(BS_RE33!$U$7:$U$874,BS_RE33!$S$7:$S$874,'Summary &amp; Working File(AllCcy)'!P22,BS_RE33!$N$7:$N$874,'Summary &amp; Working File(AllCcy)'!$R$10)+SUMIF($P$13:$P$19,P22,$R$13:$R$19),2)</f>
        <v>0</v>
      </c>
    </row>
    <row r="23" spans="2:21">
      <c r="B23" s="243">
        <f t="shared" ref="B23:C38" si="8">B22+1</f>
        <v>3</v>
      </c>
      <c r="C23" s="244">
        <f t="shared" si="8"/>
        <v>46060</v>
      </c>
      <c r="D23" s="245">
        <f t="shared" ref="D23:D86" si="9">D22</f>
        <v>0</v>
      </c>
      <c r="E23" s="235">
        <f>$Q$11+SUM(Q24:Q53)</f>
        <v>0</v>
      </c>
      <c r="F23" s="236">
        <f t="shared" si="1"/>
        <v>0</v>
      </c>
      <c r="G23" s="237">
        <f t="shared" si="0"/>
        <v>0</v>
      </c>
      <c r="H23" s="273">
        <f t="shared" si="2"/>
        <v>0</v>
      </c>
      <c r="I23" s="587">
        <f t="shared" si="3"/>
        <v>0</v>
      </c>
      <c r="J23" s="237">
        <f t="shared" si="4"/>
        <v>0</v>
      </c>
      <c r="K23" s="269">
        <f t="shared" si="5"/>
        <v>0</v>
      </c>
      <c r="L23" s="239">
        <f t="shared" si="6"/>
        <v>0</v>
      </c>
      <c r="M23" s="275" t="e">
        <f t="shared" si="7"/>
        <v>#DIV/0!</v>
      </c>
      <c r="N23" s="3"/>
      <c r="O23" s="1">
        <f t="shared" ref="O23:P38" si="10">O22+1</f>
        <v>3</v>
      </c>
      <c r="P23" s="182">
        <f t="shared" si="10"/>
        <v>46060</v>
      </c>
      <c r="Q23" s="241">
        <f>ROUND(SUMIFS(BS_RE33!$U$7:$U$874,BS_RE33!$S$7:$S$874,'Summary &amp; Working File(AllCcy)'!P23,BS_RE33!$N$7:$N$874,'Summary &amp; Working File(AllCcy)'!$Q$10)+SUMIF($P$13:$P$19,P23,$Q$13:$Q$19),2)</f>
        <v>0</v>
      </c>
      <c r="R23" s="242">
        <f>ROUND(SUMIFS(BS_RE33!$U$7:$U$874,BS_RE33!$S$7:$S$874,'Summary &amp; Working File(AllCcy)'!P23,BS_RE33!$N$7:$N$874,'Summary &amp; Working File(AllCcy)'!$R$10)+SUMIF($P$13:$P$19,P23,$R$13:$R$19),2)</f>
        <v>0</v>
      </c>
    </row>
    <row r="24" spans="2:21">
      <c r="B24" s="243">
        <f t="shared" si="8"/>
        <v>4</v>
      </c>
      <c r="C24" s="244">
        <f t="shared" si="8"/>
        <v>46061</v>
      </c>
      <c r="D24" s="245">
        <f t="shared" si="9"/>
        <v>0</v>
      </c>
      <c r="E24" s="235">
        <f t="shared" ref="E24:E35" si="11">$Q$11+SUM(Q25:Q54)</f>
        <v>0</v>
      </c>
      <c r="F24" s="236">
        <f t="shared" si="1"/>
        <v>0</v>
      </c>
      <c r="G24" s="237">
        <f t="shared" si="0"/>
        <v>0</v>
      </c>
      <c r="H24" s="273">
        <f t="shared" si="2"/>
        <v>0</v>
      </c>
      <c r="I24" s="587">
        <f t="shared" si="3"/>
        <v>0</v>
      </c>
      <c r="J24" s="237">
        <f t="shared" si="4"/>
        <v>0</v>
      </c>
      <c r="K24" s="269">
        <f t="shared" si="5"/>
        <v>0</v>
      </c>
      <c r="L24" s="239">
        <f t="shared" si="6"/>
        <v>0</v>
      </c>
      <c r="M24" s="275" t="e">
        <f t="shared" si="7"/>
        <v>#DIV/0!</v>
      </c>
      <c r="N24" s="3"/>
      <c r="O24" s="1">
        <f t="shared" si="10"/>
        <v>4</v>
      </c>
      <c r="P24" s="182">
        <f t="shared" si="10"/>
        <v>46061</v>
      </c>
      <c r="Q24" s="241">
        <f>ROUND(SUMIFS(BS_RE33!$U$7:$U$874,BS_RE33!$S$7:$S$874,'Summary &amp; Working File(AllCcy)'!P24,BS_RE33!$N$7:$N$874,'Summary &amp; Working File(AllCcy)'!$Q$10)+SUMIF($P$13:$P$19,P24,$Q$13:$Q$19),2)</f>
        <v>0</v>
      </c>
      <c r="R24" s="242">
        <f>ROUND(SUMIFS(BS_RE33!$U$7:$U$874,BS_RE33!$S$7:$S$874,'Summary &amp; Working File(AllCcy)'!P24,BS_RE33!$N$7:$N$874,'Summary &amp; Working File(AllCcy)'!$R$10)+SUMIF($P$13:$P$19,P24,$R$13:$R$19),2)</f>
        <v>0</v>
      </c>
    </row>
    <row r="25" spans="2:21">
      <c r="B25" s="243">
        <f t="shared" si="8"/>
        <v>5</v>
      </c>
      <c r="C25" s="244">
        <f t="shared" si="8"/>
        <v>46062</v>
      </c>
      <c r="D25" s="245">
        <f t="shared" si="9"/>
        <v>0</v>
      </c>
      <c r="E25" s="235">
        <f>$Q$11+SUM(Q26:Q55)</f>
        <v>0</v>
      </c>
      <c r="F25" s="236">
        <f t="shared" si="1"/>
        <v>0</v>
      </c>
      <c r="G25" s="237">
        <f t="shared" si="0"/>
        <v>0</v>
      </c>
      <c r="H25" s="273">
        <f t="shared" si="2"/>
        <v>0</v>
      </c>
      <c r="I25" s="587">
        <f>$R$11+SUM(R26:R55)</f>
        <v>0</v>
      </c>
      <c r="J25" s="237">
        <f t="shared" si="4"/>
        <v>0</v>
      </c>
      <c r="K25" s="269">
        <f>MIN(SUM(I25:J25),H25*75%)</f>
        <v>0</v>
      </c>
      <c r="L25" s="239">
        <f t="shared" si="6"/>
        <v>0</v>
      </c>
      <c r="M25" s="275" t="e">
        <f t="shared" si="7"/>
        <v>#DIV/0!</v>
      </c>
      <c r="N25" s="3"/>
      <c r="O25" s="1">
        <f t="shared" si="10"/>
        <v>5</v>
      </c>
      <c r="P25" s="182">
        <f t="shared" si="10"/>
        <v>46062</v>
      </c>
      <c r="Q25" s="241">
        <f>ROUND(SUMIFS(BS_RE33!$U$7:$U$874,BS_RE33!$S$7:$S$874,'Summary &amp; Working File(AllCcy)'!P25,BS_RE33!$N$7:$N$874,'Summary &amp; Working File(AllCcy)'!$Q$10)+SUMIF($P$13:$P$19,P25,$Q$13:$Q$19),2)</f>
        <v>0</v>
      </c>
      <c r="R25" s="242">
        <f>ROUND(SUMIFS(BS_RE33!$U$7:$U$874,BS_RE33!$S$7:$S$874,'Summary &amp; Working File(AllCcy)'!P25,BS_RE33!$N$7:$N$874,'Summary &amp; Working File(AllCcy)'!$R$10)+SUMIF($P$13:$P$19,P25,$R$13:$R$19),2)</f>
        <v>0</v>
      </c>
    </row>
    <row r="26" spans="2:21">
      <c r="B26" s="243">
        <f t="shared" si="8"/>
        <v>6</v>
      </c>
      <c r="C26" s="244">
        <f t="shared" si="8"/>
        <v>46063</v>
      </c>
      <c r="D26" s="245">
        <f t="shared" si="9"/>
        <v>0</v>
      </c>
      <c r="E26" s="235">
        <f t="shared" si="11"/>
        <v>0</v>
      </c>
      <c r="F26" s="236">
        <f t="shared" si="1"/>
        <v>0</v>
      </c>
      <c r="G26" s="237">
        <f t="shared" si="0"/>
        <v>0</v>
      </c>
      <c r="H26" s="273">
        <f>SUM(E26:G26)</f>
        <v>0</v>
      </c>
      <c r="I26" s="587">
        <f t="shared" si="3"/>
        <v>0</v>
      </c>
      <c r="J26" s="237">
        <f t="shared" si="4"/>
        <v>0</v>
      </c>
      <c r="K26" s="269">
        <f t="shared" si="5"/>
        <v>0</v>
      </c>
      <c r="L26" s="239">
        <f t="shared" si="6"/>
        <v>0</v>
      </c>
      <c r="M26" s="275" t="e">
        <f>D26/L26</f>
        <v>#DIV/0!</v>
      </c>
      <c r="N26" s="3"/>
      <c r="O26" s="1">
        <f t="shared" si="10"/>
        <v>6</v>
      </c>
      <c r="P26" s="182">
        <f t="shared" si="10"/>
        <v>46063</v>
      </c>
      <c r="Q26" s="241">
        <f>ROUND(SUMIFS(BS_RE33!$U$7:$U$874,BS_RE33!$S$7:$S$874,'Summary &amp; Working File(AllCcy)'!P26,BS_RE33!$N$7:$N$874,'Summary &amp; Working File(AllCcy)'!$Q$10)+SUMIF($P$13:$P$19,P26,$Q$13:$Q$19),2)</f>
        <v>0</v>
      </c>
      <c r="R26" s="242">
        <f>ROUND(SUMIFS(BS_RE33!$U$7:$U$874,BS_RE33!$S$7:$S$874,'Summary &amp; Working File(AllCcy)'!P26,BS_RE33!$N$7:$N$874,'Summary &amp; Working File(AllCcy)'!$R$10)+SUMIF($P$13:$P$19,P26,$R$13:$R$19),2)</f>
        <v>0</v>
      </c>
    </row>
    <row r="27" spans="2:21">
      <c r="B27" s="243">
        <f t="shared" si="8"/>
        <v>7</v>
      </c>
      <c r="C27" s="244">
        <f t="shared" si="8"/>
        <v>46064</v>
      </c>
      <c r="D27" s="245">
        <f t="shared" si="9"/>
        <v>0</v>
      </c>
      <c r="E27" s="235">
        <f t="shared" si="11"/>
        <v>0</v>
      </c>
      <c r="F27" s="236">
        <f t="shared" si="1"/>
        <v>0</v>
      </c>
      <c r="G27" s="237">
        <f t="shared" si="0"/>
        <v>0</v>
      </c>
      <c r="H27" s="273">
        <f t="shared" si="2"/>
        <v>0</v>
      </c>
      <c r="I27" s="587">
        <f>$R$11+SUM(R28:R57)</f>
        <v>0</v>
      </c>
      <c r="J27" s="237">
        <f t="shared" si="4"/>
        <v>0</v>
      </c>
      <c r="K27" s="269">
        <f t="shared" si="5"/>
        <v>0</v>
      </c>
      <c r="L27" s="239">
        <f t="shared" si="6"/>
        <v>0</v>
      </c>
      <c r="M27" s="275" t="e">
        <f t="shared" si="7"/>
        <v>#DIV/0!</v>
      </c>
      <c r="N27" s="3"/>
      <c r="O27" s="1">
        <f t="shared" si="10"/>
        <v>7</v>
      </c>
      <c r="P27" s="182">
        <f t="shared" si="10"/>
        <v>46064</v>
      </c>
      <c r="Q27" s="241">
        <f>ROUND(SUMIFS(BS_RE33!$U$7:$U$874,BS_RE33!$S$7:$S$874,'Summary &amp; Working File(AllCcy)'!P27,BS_RE33!$N$7:$N$874,'Summary &amp; Working File(AllCcy)'!$Q$10)+SUMIF($P$13:$P$19,P27,$Q$13:$Q$19),2)</f>
        <v>0</v>
      </c>
      <c r="R27" s="242">
        <f>ROUND(SUMIFS(BS_RE33!$U$7:$U$874,BS_RE33!$S$7:$S$874,'Summary &amp; Working File(AllCcy)'!P27,BS_RE33!$N$7:$N$874,'Summary &amp; Working File(AllCcy)'!$R$10)+SUMIF($P$13:$P$19,P27,$R$13:$R$19),2)</f>
        <v>0</v>
      </c>
    </row>
    <row r="28" spans="2:21">
      <c r="B28" s="243">
        <f t="shared" si="8"/>
        <v>8</v>
      </c>
      <c r="C28" s="244">
        <f t="shared" si="8"/>
        <v>46065</v>
      </c>
      <c r="D28" s="245">
        <f t="shared" si="9"/>
        <v>0</v>
      </c>
      <c r="E28" s="235">
        <f t="shared" si="11"/>
        <v>0</v>
      </c>
      <c r="F28" s="236">
        <f t="shared" si="1"/>
        <v>0</v>
      </c>
      <c r="G28" s="237">
        <f t="shared" si="0"/>
        <v>0</v>
      </c>
      <c r="H28" s="273">
        <f>SUM(E28:G28)</f>
        <v>0</v>
      </c>
      <c r="I28" s="587">
        <f>$R$11+SUM(R29:R58)</f>
        <v>0</v>
      </c>
      <c r="J28" s="237">
        <f t="shared" si="4"/>
        <v>0</v>
      </c>
      <c r="K28" s="269">
        <f t="shared" si="5"/>
        <v>0</v>
      </c>
      <c r="L28" s="239">
        <f t="shared" si="6"/>
        <v>0</v>
      </c>
      <c r="M28" s="275" t="e">
        <f t="shared" si="7"/>
        <v>#DIV/0!</v>
      </c>
      <c r="N28" s="3"/>
      <c r="O28" s="1">
        <f t="shared" si="10"/>
        <v>8</v>
      </c>
      <c r="P28" s="182">
        <f t="shared" si="10"/>
        <v>46065</v>
      </c>
      <c r="Q28" s="241">
        <f>ROUND(SUMIFS(BS_RE33!$U$7:$U$874,BS_RE33!$S$7:$S$874,'Summary &amp; Working File(AllCcy)'!P28,BS_RE33!$N$7:$N$874,'Summary &amp; Working File(AllCcy)'!$Q$10)+SUMIF($P$13:$P$19,P28,$Q$13:$Q$19),2)</f>
        <v>0</v>
      </c>
      <c r="R28" s="242">
        <f>ROUND(SUMIFS(BS_RE33!$U$7:$U$874,BS_RE33!$S$7:$S$874,'Summary &amp; Working File(AllCcy)'!P28,BS_RE33!$N$7:$N$874,'Summary &amp; Working File(AllCcy)'!$R$10)+SUMIF($P$13:$P$19,P28,$R$13:$R$19),2)</f>
        <v>0</v>
      </c>
    </row>
    <row r="29" spans="2:21">
      <c r="B29" s="243">
        <f t="shared" si="8"/>
        <v>9</v>
      </c>
      <c r="C29" s="244">
        <f t="shared" si="8"/>
        <v>46066</v>
      </c>
      <c r="D29" s="245">
        <f t="shared" si="9"/>
        <v>0</v>
      </c>
      <c r="E29" s="235">
        <f t="shared" si="11"/>
        <v>0</v>
      </c>
      <c r="F29" s="236">
        <f t="shared" si="1"/>
        <v>0</v>
      </c>
      <c r="G29" s="237">
        <f t="shared" si="0"/>
        <v>0</v>
      </c>
      <c r="H29" s="273">
        <f t="shared" si="2"/>
        <v>0</v>
      </c>
      <c r="I29" s="587">
        <f t="shared" si="3"/>
        <v>0</v>
      </c>
      <c r="J29" s="237">
        <f t="shared" si="4"/>
        <v>0</v>
      </c>
      <c r="K29" s="269">
        <f t="shared" si="5"/>
        <v>0</v>
      </c>
      <c r="L29" s="239">
        <f t="shared" si="6"/>
        <v>0</v>
      </c>
      <c r="M29" s="275" t="e">
        <f t="shared" si="7"/>
        <v>#DIV/0!</v>
      </c>
      <c r="N29" s="3"/>
      <c r="O29" s="1">
        <f t="shared" si="10"/>
        <v>9</v>
      </c>
      <c r="P29" s="182">
        <f t="shared" si="10"/>
        <v>46066</v>
      </c>
      <c r="Q29" s="241">
        <f>ROUND(SUMIFS(BS_RE33!$U$7:$U$874,BS_RE33!$S$7:$S$874,'Summary &amp; Working File(AllCcy)'!P29,BS_RE33!$N$7:$N$874,'Summary &amp; Working File(AllCcy)'!$Q$10)+SUMIF($P$13:$P$19,P29,$Q$13:$Q$19),2)</f>
        <v>0</v>
      </c>
      <c r="R29" s="242">
        <f>ROUND(SUMIFS(BS_RE33!$U$7:$U$874,BS_RE33!$S$7:$S$874,'Summary &amp; Working File(AllCcy)'!P29,BS_RE33!$N$7:$N$874,'Summary &amp; Working File(AllCcy)'!$R$10)+SUMIF($P$13:$P$19,P29,$R$13:$R$19),2)</f>
        <v>0</v>
      </c>
    </row>
    <row r="30" spans="2:21">
      <c r="B30" s="243">
        <f t="shared" si="8"/>
        <v>10</v>
      </c>
      <c r="C30" s="244">
        <f t="shared" si="8"/>
        <v>46067</v>
      </c>
      <c r="D30" s="245">
        <f t="shared" si="9"/>
        <v>0</v>
      </c>
      <c r="E30" s="235">
        <f>$Q$11+SUM(Q31:Q60)</f>
        <v>0</v>
      </c>
      <c r="F30" s="236">
        <f t="shared" si="1"/>
        <v>0</v>
      </c>
      <c r="G30" s="237">
        <f t="shared" si="0"/>
        <v>0</v>
      </c>
      <c r="H30" s="273">
        <f t="shared" si="2"/>
        <v>0</v>
      </c>
      <c r="I30" s="587">
        <f t="shared" si="3"/>
        <v>0</v>
      </c>
      <c r="J30" s="237">
        <f t="shared" si="4"/>
        <v>0</v>
      </c>
      <c r="K30" s="269">
        <f t="shared" si="5"/>
        <v>0</v>
      </c>
      <c r="L30" s="239">
        <f t="shared" si="6"/>
        <v>0</v>
      </c>
      <c r="M30" s="275" t="e">
        <f t="shared" si="7"/>
        <v>#DIV/0!</v>
      </c>
      <c r="N30" s="3"/>
      <c r="O30" s="1">
        <f t="shared" si="10"/>
        <v>10</v>
      </c>
      <c r="P30" s="182">
        <f t="shared" si="10"/>
        <v>46067</v>
      </c>
      <c r="Q30" s="241">
        <f>ROUND(SUMIFS(BS_RE33!$U$7:$U$874,BS_RE33!$S$7:$S$874,'Summary &amp; Working File(AllCcy)'!P30,BS_RE33!$N$7:$N$874,'Summary &amp; Working File(AllCcy)'!$Q$10)+SUMIF($P$13:$P$19,P30,$Q$13:$Q$19),2)</f>
        <v>0</v>
      </c>
      <c r="R30" s="242">
        <f>ROUND(SUMIFS(BS_RE33!$U$7:$U$874,BS_RE33!$S$7:$S$874,'Summary &amp; Working File(AllCcy)'!P30,BS_RE33!$N$7:$N$874,'Summary &amp; Working File(AllCcy)'!$R$10)+SUMIF($P$13:$P$19,P30,$R$13:$R$19),2)</f>
        <v>0</v>
      </c>
    </row>
    <row r="31" spans="2:21">
      <c r="B31" s="243">
        <f t="shared" si="8"/>
        <v>11</v>
      </c>
      <c r="C31" s="244">
        <f t="shared" si="8"/>
        <v>46068</v>
      </c>
      <c r="D31" s="245">
        <f t="shared" si="9"/>
        <v>0</v>
      </c>
      <c r="E31" s="235">
        <f t="shared" si="11"/>
        <v>0</v>
      </c>
      <c r="F31" s="236">
        <f t="shared" si="1"/>
        <v>0</v>
      </c>
      <c r="G31" s="237">
        <f t="shared" si="0"/>
        <v>0</v>
      </c>
      <c r="H31" s="273">
        <f t="shared" si="2"/>
        <v>0</v>
      </c>
      <c r="I31" s="587">
        <f t="shared" si="3"/>
        <v>0</v>
      </c>
      <c r="J31" s="237">
        <f t="shared" si="4"/>
        <v>0</v>
      </c>
      <c r="K31" s="269">
        <f t="shared" si="5"/>
        <v>0</v>
      </c>
      <c r="L31" s="239">
        <f t="shared" si="6"/>
        <v>0</v>
      </c>
      <c r="M31" s="275" t="e">
        <f t="shared" si="7"/>
        <v>#DIV/0!</v>
      </c>
      <c r="N31" s="3"/>
      <c r="O31" s="1">
        <f t="shared" si="10"/>
        <v>11</v>
      </c>
      <c r="P31" s="182">
        <f t="shared" si="10"/>
        <v>46068</v>
      </c>
      <c r="Q31" s="241">
        <f>ROUND(SUMIFS(BS_RE33!$U$7:$U$874,BS_RE33!$S$7:$S$874,'Summary &amp; Working File(AllCcy)'!P31,BS_RE33!$N$7:$N$874,'Summary &amp; Working File(AllCcy)'!$Q$10)+SUMIF($P$13:$P$19,P31,$Q$13:$Q$19),2)</f>
        <v>0</v>
      </c>
      <c r="R31" s="242">
        <f>ROUND(SUMIFS(BS_RE33!$U$7:$U$874,BS_RE33!$S$7:$S$874,'Summary &amp; Working File(AllCcy)'!P31,BS_RE33!$N$7:$N$874,'Summary &amp; Working File(AllCcy)'!$R$10)+SUMIF($P$13:$P$19,P31,$R$13:$R$19),2)</f>
        <v>0</v>
      </c>
    </row>
    <row r="32" spans="2:21">
      <c r="B32" s="243">
        <f t="shared" si="8"/>
        <v>12</v>
      </c>
      <c r="C32" s="244">
        <f t="shared" si="8"/>
        <v>46069</v>
      </c>
      <c r="D32" s="245">
        <f t="shared" si="9"/>
        <v>0</v>
      </c>
      <c r="E32" s="235">
        <f t="shared" si="11"/>
        <v>0</v>
      </c>
      <c r="F32" s="236">
        <f t="shared" si="1"/>
        <v>0</v>
      </c>
      <c r="G32" s="237">
        <f t="shared" si="0"/>
        <v>0</v>
      </c>
      <c r="H32" s="273">
        <f t="shared" si="2"/>
        <v>0</v>
      </c>
      <c r="I32" s="587">
        <f t="shared" si="3"/>
        <v>0</v>
      </c>
      <c r="J32" s="237">
        <f t="shared" si="4"/>
        <v>0</v>
      </c>
      <c r="K32" s="269">
        <f t="shared" si="5"/>
        <v>0</v>
      </c>
      <c r="L32" s="239">
        <f t="shared" si="6"/>
        <v>0</v>
      </c>
      <c r="M32" s="275" t="e">
        <f t="shared" si="7"/>
        <v>#DIV/0!</v>
      </c>
      <c r="N32" s="3"/>
      <c r="O32" s="1">
        <f t="shared" si="10"/>
        <v>12</v>
      </c>
      <c r="P32" s="182">
        <f t="shared" si="10"/>
        <v>46069</v>
      </c>
      <c r="Q32" s="241">
        <f>ROUND(SUMIFS(BS_RE33!$U$7:$U$874,BS_RE33!$S$7:$S$874,'Summary &amp; Working File(AllCcy)'!P32,BS_RE33!$N$7:$N$874,'Summary &amp; Working File(AllCcy)'!$Q$10)+SUMIF($P$13:$P$19,P32,$Q$13:$Q$19),2)</f>
        <v>0</v>
      </c>
      <c r="R32" s="242">
        <f>ROUND(SUMIFS(BS_RE33!$U$7:$U$874,BS_RE33!$S$7:$S$874,'Summary &amp; Working File(AllCcy)'!P32,BS_RE33!$N$7:$N$874,'Summary &amp; Working File(AllCcy)'!$R$10)+SUMIF($P$13:$P$19,P32,$R$13:$R$19),2)</f>
        <v>0</v>
      </c>
    </row>
    <row r="33" spans="1:18" s="14" customFormat="1">
      <c r="B33" s="243">
        <f t="shared" si="8"/>
        <v>13</v>
      </c>
      <c r="C33" s="244">
        <f t="shared" si="8"/>
        <v>46070</v>
      </c>
      <c r="D33" s="245">
        <f t="shared" si="9"/>
        <v>0</v>
      </c>
      <c r="E33" s="235">
        <f t="shared" si="11"/>
        <v>0</v>
      </c>
      <c r="F33" s="236">
        <f t="shared" si="1"/>
        <v>0</v>
      </c>
      <c r="G33" s="237">
        <f t="shared" si="0"/>
        <v>0</v>
      </c>
      <c r="H33" s="273">
        <f t="shared" si="2"/>
        <v>0</v>
      </c>
      <c r="I33" s="587">
        <f>$R$11+SUM(R34:R63)</f>
        <v>0</v>
      </c>
      <c r="J33" s="237">
        <f>H33*20%</f>
        <v>0</v>
      </c>
      <c r="K33" s="269">
        <f>MIN(SUM(I33:J33),H33*75%)</f>
        <v>0</v>
      </c>
      <c r="L33" s="239">
        <f t="shared" si="6"/>
        <v>0</v>
      </c>
      <c r="M33" s="275" t="e">
        <f t="shared" si="7"/>
        <v>#DIV/0!</v>
      </c>
      <c r="N33" s="3"/>
      <c r="O33" s="1">
        <f t="shared" si="10"/>
        <v>13</v>
      </c>
      <c r="P33" s="182">
        <f t="shared" si="10"/>
        <v>46070</v>
      </c>
      <c r="Q33" s="241">
        <f>ROUND(SUMIFS(BS_RE33!$U$7:$U$874,BS_RE33!$S$7:$S$874,'Summary &amp; Working File(AllCcy)'!P33,BS_RE33!$N$7:$N$874,'Summary &amp; Working File(AllCcy)'!$Q$10)+SUMIF($P$13:$P$19,P33,$Q$13:$Q$19),2)</f>
        <v>0</v>
      </c>
      <c r="R33" s="242">
        <f>ROUND(SUMIFS(BS_RE33!$U$7:$U$874,BS_RE33!$S$7:$S$874,'Summary &amp; Working File(AllCcy)'!P33,BS_RE33!$N$7:$N$874,'Summary &amp; Working File(AllCcy)'!$R$10)+SUMIF($P$13:$P$19,P33,$R$13:$R$19),2)</f>
        <v>0</v>
      </c>
    </row>
    <row r="34" spans="1:18" s="14" customFormat="1">
      <c r="B34" s="243">
        <f t="shared" si="8"/>
        <v>14</v>
      </c>
      <c r="C34" s="244">
        <f t="shared" si="8"/>
        <v>46071</v>
      </c>
      <c r="D34" s="245">
        <f t="shared" si="9"/>
        <v>0</v>
      </c>
      <c r="E34" s="235">
        <f t="shared" si="11"/>
        <v>0</v>
      </c>
      <c r="F34" s="236">
        <f t="shared" si="1"/>
        <v>0</v>
      </c>
      <c r="G34" s="237">
        <f t="shared" si="0"/>
        <v>0</v>
      </c>
      <c r="H34" s="273">
        <f>SUM(E34:G34)</f>
        <v>0</v>
      </c>
      <c r="I34" s="587">
        <f>$R$11+SUM(R35:R64)</f>
        <v>0</v>
      </c>
      <c r="J34" s="237">
        <f t="shared" si="4"/>
        <v>0</v>
      </c>
      <c r="K34" s="269">
        <f>MIN(SUM(I34:J34),H34*75%)</f>
        <v>0</v>
      </c>
      <c r="L34" s="239">
        <f t="shared" si="6"/>
        <v>0</v>
      </c>
      <c r="M34" s="275" t="e">
        <f>D34/L34</f>
        <v>#DIV/0!</v>
      </c>
      <c r="N34" s="3"/>
      <c r="O34" s="1">
        <f t="shared" si="10"/>
        <v>14</v>
      </c>
      <c r="P34" s="182">
        <f t="shared" si="10"/>
        <v>46071</v>
      </c>
      <c r="Q34" s="241">
        <f>ROUND(SUMIFS(BS_RE33!$U$7:$U$874,BS_RE33!$S$7:$S$874,'Summary &amp; Working File(AllCcy)'!P34,BS_RE33!$N$7:$N$874,'Summary &amp; Working File(AllCcy)'!$Q$10)+SUMIF($P$13:$P$19,P34,$Q$13:$Q$19),2)</f>
        <v>0</v>
      </c>
      <c r="R34" s="242">
        <f>ROUND(SUMIFS(BS_RE33!$U$7:$U$874,BS_RE33!$S$7:$S$874,'Summary &amp; Working File(AllCcy)'!P34,BS_RE33!$N$7:$N$874,'Summary &amp; Working File(AllCcy)'!$R$10)+SUMIF($P$13:$P$19,P34,$R$13:$R$19),2)</f>
        <v>0</v>
      </c>
    </row>
    <row r="35" spans="1:18">
      <c r="B35" s="243">
        <f t="shared" si="8"/>
        <v>15</v>
      </c>
      <c r="C35" s="244">
        <f t="shared" si="8"/>
        <v>46072</v>
      </c>
      <c r="D35" s="245">
        <f t="shared" si="9"/>
        <v>0</v>
      </c>
      <c r="E35" s="235">
        <f t="shared" si="11"/>
        <v>0</v>
      </c>
      <c r="F35" s="236">
        <f t="shared" si="1"/>
        <v>0</v>
      </c>
      <c r="G35" s="237">
        <f t="shared" si="0"/>
        <v>0</v>
      </c>
      <c r="H35" s="273">
        <f>SUM(E35:G35)</f>
        <v>0</v>
      </c>
      <c r="I35" s="587">
        <f t="shared" si="3"/>
        <v>0</v>
      </c>
      <c r="J35" s="237">
        <f t="shared" si="4"/>
        <v>0</v>
      </c>
      <c r="K35" s="269">
        <f>MIN(SUM(I35:J35),H35*75%)</f>
        <v>0</v>
      </c>
      <c r="L35" s="239">
        <f>H35-K35</f>
        <v>0</v>
      </c>
      <c r="M35" s="275" t="e">
        <f t="shared" si="7"/>
        <v>#DIV/0!</v>
      </c>
      <c r="N35" s="3"/>
      <c r="O35" s="1">
        <f t="shared" si="10"/>
        <v>15</v>
      </c>
      <c r="P35" s="182">
        <f t="shared" si="10"/>
        <v>46072</v>
      </c>
      <c r="Q35" s="241">
        <f>ROUND(SUMIFS(BS_RE33!$U$7:$U$874,BS_RE33!$S$7:$S$874,'Summary &amp; Working File(AllCcy)'!P35,BS_RE33!$N$7:$N$874,'Summary &amp; Working File(AllCcy)'!$Q$10)+SUMIF($P$13:$P$19,P35,$Q$13:$Q$19),2)</f>
        <v>0</v>
      </c>
      <c r="R35" s="242">
        <f>ROUND(SUMIFS(BS_RE33!$U$7:$U$874,BS_RE33!$S$7:$S$874,'Summary &amp; Working File(AllCcy)'!P35,BS_RE33!$N$7:$N$874,'Summary &amp; Working File(AllCcy)'!$R$10)+SUMIF($P$13:$P$19,P35,$R$13:$R$19),2)</f>
        <v>0</v>
      </c>
    </row>
    <row r="36" spans="1:18">
      <c r="A36" s="182"/>
      <c r="B36" s="243">
        <f t="shared" si="8"/>
        <v>16</v>
      </c>
      <c r="C36" s="244">
        <f t="shared" si="8"/>
        <v>46073</v>
      </c>
      <c r="D36" s="245">
        <f t="shared" si="9"/>
        <v>0</v>
      </c>
      <c r="E36" s="235">
        <f>$Q$11+SUM(Q37:Q66)</f>
        <v>0</v>
      </c>
      <c r="F36" s="236">
        <f t="shared" si="1"/>
        <v>0</v>
      </c>
      <c r="G36" s="237">
        <f t="shared" si="0"/>
        <v>0</v>
      </c>
      <c r="H36" s="273">
        <f>SUM(E36:G36)</f>
        <v>0</v>
      </c>
      <c r="I36" s="587">
        <f>$R$11+SUM(R37:R66)</f>
        <v>0</v>
      </c>
      <c r="J36" s="237">
        <f t="shared" si="4"/>
        <v>0</v>
      </c>
      <c r="K36" s="269">
        <f>MIN(SUM(I36:J36),H36*75%)</f>
        <v>0</v>
      </c>
      <c r="L36" s="239">
        <f t="shared" si="6"/>
        <v>0</v>
      </c>
      <c r="M36" s="275" t="e">
        <f>D36/L36</f>
        <v>#DIV/0!</v>
      </c>
      <c r="N36" s="3"/>
      <c r="O36" s="1">
        <f t="shared" si="10"/>
        <v>16</v>
      </c>
      <c r="P36" s="182">
        <f t="shared" si="10"/>
        <v>46073</v>
      </c>
      <c r="Q36" s="241">
        <f>ROUND(SUMIFS(BS_RE33!$U$7:$U$874,BS_RE33!$S$7:$S$874,'Summary &amp; Working File(AllCcy)'!P36,BS_RE33!$N$7:$N$874,'Summary &amp; Working File(AllCcy)'!$Q$10)+SUMIF($P$13:$P$19,P36,$Q$13:$Q$19),2)</f>
        <v>0</v>
      </c>
      <c r="R36" s="242">
        <f>ROUND(SUMIFS(BS_RE33!$U$7:$U$874,BS_RE33!$S$7:$S$874,'Summary &amp; Working File(AllCcy)'!P36,BS_RE33!$N$7:$N$874,'Summary &amp; Working File(AllCcy)'!$R$10)+SUMIF($P$13:$P$19,P36,$R$13:$R$19),2)</f>
        <v>0</v>
      </c>
    </row>
    <row r="37" spans="1:18">
      <c r="B37" s="243">
        <f t="shared" si="8"/>
        <v>17</v>
      </c>
      <c r="C37" s="244">
        <f t="shared" si="8"/>
        <v>46074</v>
      </c>
      <c r="D37" s="245">
        <f t="shared" si="9"/>
        <v>0</v>
      </c>
      <c r="E37" s="235">
        <f t="shared" ref="E37:E100" si="12">$Q$11+SUM(Q38:Q67)</f>
        <v>0</v>
      </c>
      <c r="F37" s="236">
        <f t="shared" si="1"/>
        <v>0</v>
      </c>
      <c r="G37" s="237">
        <f t="shared" si="0"/>
        <v>0</v>
      </c>
      <c r="H37" s="273">
        <f t="shared" si="2"/>
        <v>0</v>
      </c>
      <c r="I37" s="587">
        <f t="shared" si="3"/>
        <v>0</v>
      </c>
      <c r="J37" s="237">
        <f t="shared" si="4"/>
        <v>0</v>
      </c>
      <c r="K37" s="269">
        <f t="shared" si="5"/>
        <v>0</v>
      </c>
      <c r="L37" s="239">
        <f t="shared" si="6"/>
        <v>0</v>
      </c>
      <c r="M37" s="275" t="e">
        <f t="shared" si="7"/>
        <v>#DIV/0!</v>
      </c>
      <c r="N37" s="3"/>
      <c r="O37" s="1">
        <f t="shared" si="10"/>
        <v>17</v>
      </c>
      <c r="P37" s="182">
        <f t="shared" si="10"/>
        <v>46074</v>
      </c>
      <c r="Q37" s="241">
        <f>ROUND(SUMIFS(BS_RE33!$U$7:$U$874,BS_RE33!$S$7:$S$874,'Summary &amp; Working File(AllCcy)'!P37,BS_RE33!$N$7:$N$874,'Summary &amp; Working File(AllCcy)'!$Q$10)+SUMIF($P$13:$P$19,P37,$Q$13:$Q$19),2)</f>
        <v>0</v>
      </c>
      <c r="R37" s="242">
        <f>ROUND(SUMIFS(BS_RE33!$U$7:$U$874,BS_RE33!$S$7:$S$874,'Summary &amp; Working File(AllCcy)'!P37,BS_RE33!$N$7:$N$874,'Summary &amp; Working File(AllCcy)'!$R$10)+SUMIF($P$13:$P$19,P37,$R$13:$R$19),2)</f>
        <v>0</v>
      </c>
    </row>
    <row r="38" spans="1:18">
      <c r="B38" s="243">
        <f t="shared" si="8"/>
        <v>18</v>
      </c>
      <c r="C38" s="244">
        <f t="shared" si="8"/>
        <v>46075</v>
      </c>
      <c r="D38" s="245">
        <f t="shared" si="9"/>
        <v>0</v>
      </c>
      <c r="E38" s="235">
        <f t="shared" si="12"/>
        <v>0</v>
      </c>
      <c r="F38" s="236">
        <f t="shared" si="1"/>
        <v>0</v>
      </c>
      <c r="G38" s="237">
        <f t="shared" si="0"/>
        <v>0</v>
      </c>
      <c r="H38" s="273">
        <f t="shared" si="2"/>
        <v>0</v>
      </c>
      <c r="I38" s="587">
        <f t="shared" si="3"/>
        <v>0</v>
      </c>
      <c r="J38" s="237">
        <f t="shared" si="4"/>
        <v>0</v>
      </c>
      <c r="K38" s="269">
        <f t="shared" si="5"/>
        <v>0</v>
      </c>
      <c r="L38" s="239">
        <f t="shared" si="6"/>
        <v>0</v>
      </c>
      <c r="M38" s="275" t="e">
        <f t="shared" si="7"/>
        <v>#DIV/0!</v>
      </c>
      <c r="N38" s="3"/>
      <c r="O38" s="1">
        <f t="shared" si="10"/>
        <v>18</v>
      </c>
      <c r="P38" s="182">
        <f t="shared" si="10"/>
        <v>46075</v>
      </c>
      <c r="Q38" s="241">
        <f>ROUND(SUMIFS(BS_RE33!$U$7:$U$874,BS_RE33!$S$7:$S$874,'Summary &amp; Working File(AllCcy)'!P38,BS_RE33!$N$7:$N$874,'Summary &amp; Working File(AllCcy)'!$Q$10)+SUMIF($P$13:$P$19,P38,$Q$13:$Q$19),2)</f>
        <v>0</v>
      </c>
      <c r="R38" s="242">
        <f>ROUND(SUMIFS(BS_RE33!$U$7:$U$874,BS_RE33!$S$7:$S$874,'Summary &amp; Working File(AllCcy)'!P38,BS_RE33!$N$7:$N$874,'Summary &amp; Working File(AllCcy)'!$R$10)+SUMIF($P$13:$P$19,P38,$R$13:$R$19),2)</f>
        <v>0</v>
      </c>
    </row>
    <row r="39" spans="1:18">
      <c r="B39" s="243">
        <f t="shared" ref="B39:C54" si="13">B38+1</f>
        <v>19</v>
      </c>
      <c r="C39" s="244">
        <f t="shared" si="13"/>
        <v>46076</v>
      </c>
      <c r="D39" s="245">
        <f t="shared" si="9"/>
        <v>0</v>
      </c>
      <c r="E39" s="235">
        <f t="shared" si="12"/>
        <v>0</v>
      </c>
      <c r="F39" s="236">
        <f t="shared" si="1"/>
        <v>0</v>
      </c>
      <c r="G39" s="237">
        <f t="shared" si="0"/>
        <v>0</v>
      </c>
      <c r="H39" s="273">
        <f t="shared" si="2"/>
        <v>0</v>
      </c>
      <c r="I39" s="587">
        <f t="shared" si="3"/>
        <v>0</v>
      </c>
      <c r="J39" s="237">
        <f>H39*20%</f>
        <v>0</v>
      </c>
      <c r="K39" s="269">
        <f>MIN(SUM(I39:J39),H39*75%)</f>
        <v>0</v>
      </c>
      <c r="L39" s="239">
        <f t="shared" si="6"/>
        <v>0</v>
      </c>
      <c r="M39" s="275" t="e">
        <f t="shared" si="7"/>
        <v>#DIV/0!</v>
      </c>
      <c r="N39" s="3"/>
      <c r="O39" s="1">
        <f t="shared" ref="O39:P54" si="14">O38+1</f>
        <v>19</v>
      </c>
      <c r="P39" s="182">
        <f t="shared" si="14"/>
        <v>46076</v>
      </c>
      <c r="Q39" s="241">
        <f>ROUND(SUMIFS(BS_RE33!$U$7:$U$874,BS_RE33!$S$7:$S$874,'Summary &amp; Working File(AllCcy)'!P39,BS_RE33!$N$7:$N$874,'Summary &amp; Working File(AllCcy)'!$Q$10)+SUMIF($P$13:$P$19,P39,$Q$13:$Q$19),2)</f>
        <v>0</v>
      </c>
      <c r="R39" s="242">
        <f>ROUND(SUMIFS(BS_RE33!$U$7:$U$874,BS_RE33!$S$7:$S$874,'Summary &amp; Working File(AllCcy)'!P39,BS_RE33!$N$7:$N$874,'Summary &amp; Working File(AllCcy)'!$R$10)+SUMIF($P$13:$P$19,P39,$R$13:$R$19),2)</f>
        <v>0</v>
      </c>
    </row>
    <row r="40" spans="1:18">
      <c r="B40" s="243">
        <f t="shared" si="13"/>
        <v>20</v>
      </c>
      <c r="C40" s="244">
        <f t="shared" si="13"/>
        <v>46077</v>
      </c>
      <c r="D40" s="245">
        <f t="shared" si="9"/>
        <v>0</v>
      </c>
      <c r="E40" s="235">
        <f t="shared" si="12"/>
        <v>0</v>
      </c>
      <c r="F40" s="236">
        <f t="shared" si="1"/>
        <v>0</v>
      </c>
      <c r="G40" s="237">
        <f t="shared" si="0"/>
        <v>0</v>
      </c>
      <c r="H40" s="273">
        <f>SUM(E40:G40)</f>
        <v>0</v>
      </c>
      <c r="I40" s="587">
        <f t="shared" si="3"/>
        <v>0</v>
      </c>
      <c r="J40" s="237">
        <f t="shared" si="4"/>
        <v>0</v>
      </c>
      <c r="K40" s="269">
        <f t="shared" si="5"/>
        <v>0</v>
      </c>
      <c r="L40" s="239">
        <f t="shared" si="6"/>
        <v>0</v>
      </c>
      <c r="M40" s="275" t="e">
        <f t="shared" si="7"/>
        <v>#DIV/0!</v>
      </c>
      <c r="N40" s="3"/>
      <c r="O40" s="1">
        <f t="shared" si="14"/>
        <v>20</v>
      </c>
      <c r="P40" s="182">
        <f t="shared" si="14"/>
        <v>46077</v>
      </c>
      <c r="Q40" s="241">
        <f>ROUND(SUMIFS(BS_RE33!$U$7:$U$874,BS_RE33!$S$7:$S$874,'Summary &amp; Working File(AllCcy)'!P40,BS_RE33!$N$7:$N$874,'Summary &amp; Working File(AllCcy)'!$Q$10)+SUMIF($P$13:$P$19,P40,$Q$13:$Q$19),2)</f>
        <v>0</v>
      </c>
      <c r="R40" s="242">
        <f>ROUND(SUMIFS(BS_RE33!$U$7:$U$874,BS_RE33!$S$7:$S$874,'Summary &amp; Working File(AllCcy)'!P40,BS_RE33!$N$7:$N$874,'Summary &amp; Working File(AllCcy)'!$R$10)+SUMIF($P$13:$P$19,P40,$R$13:$R$19),2)</f>
        <v>0</v>
      </c>
    </row>
    <row r="41" spans="1:18">
      <c r="B41" s="243">
        <f t="shared" si="13"/>
        <v>21</v>
      </c>
      <c r="C41" s="244">
        <f t="shared" si="13"/>
        <v>46078</v>
      </c>
      <c r="D41" s="245">
        <f t="shared" si="9"/>
        <v>0</v>
      </c>
      <c r="E41" s="235">
        <f t="shared" si="12"/>
        <v>0</v>
      </c>
      <c r="F41" s="236">
        <f t="shared" si="1"/>
        <v>0</v>
      </c>
      <c r="G41" s="237">
        <f t="shared" si="0"/>
        <v>0</v>
      </c>
      <c r="H41" s="273">
        <f>SUM(E41:G41)</f>
        <v>0</v>
      </c>
      <c r="I41" s="587">
        <f t="shared" si="3"/>
        <v>0</v>
      </c>
      <c r="J41" s="237">
        <f t="shared" si="4"/>
        <v>0</v>
      </c>
      <c r="K41" s="269">
        <f t="shared" si="5"/>
        <v>0</v>
      </c>
      <c r="L41" s="239">
        <f t="shared" si="6"/>
        <v>0</v>
      </c>
      <c r="M41" s="275" t="e">
        <f t="shared" si="7"/>
        <v>#DIV/0!</v>
      </c>
      <c r="N41" s="3"/>
      <c r="O41" s="1">
        <f t="shared" si="14"/>
        <v>21</v>
      </c>
      <c r="P41" s="182">
        <f t="shared" si="14"/>
        <v>46078</v>
      </c>
      <c r="Q41" s="241">
        <f>ROUND(SUMIFS(BS_RE33!$U$7:$U$874,BS_RE33!$S$7:$S$874,'Summary &amp; Working File(AllCcy)'!P41,BS_RE33!$N$7:$N$874,'Summary &amp; Working File(AllCcy)'!$Q$10)+SUMIF($P$13:$P$19,P41,$Q$13:$Q$19),2)</f>
        <v>0</v>
      </c>
      <c r="R41" s="242">
        <f>ROUND(SUMIFS(BS_RE33!$U$7:$U$874,BS_RE33!$S$7:$S$874,'Summary &amp; Working File(AllCcy)'!P41,BS_RE33!$N$7:$N$874,'Summary &amp; Working File(AllCcy)'!$R$10)+SUMIF($P$13:$P$19,P41,$R$13:$R$19),2)</f>
        <v>0</v>
      </c>
    </row>
    <row r="42" spans="1:18">
      <c r="B42" s="243">
        <f t="shared" si="13"/>
        <v>22</v>
      </c>
      <c r="C42" s="244">
        <f t="shared" si="13"/>
        <v>46079</v>
      </c>
      <c r="D42" s="245">
        <f t="shared" si="9"/>
        <v>0</v>
      </c>
      <c r="E42" s="235">
        <f t="shared" si="12"/>
        <v>0</v>
      </c>
      <c r="F42" s="236">
        <f t="shared" si="1"/>
        <v>0</v>
      </c>
      <c r="G42" s="237">
        <f t="shared" si="0"/>
        <v>0</v>
      </c>
      <c r="H42" s="273">
        <f t="shared" si="2"/>
        <v>0</v>
      </c>
      <c r="I42" s="587">
        <f t="shared" si="3"/>
        <v>0</v>
      </c>
      <c r="J42" s="237">
        <f t="shared" si="4"/>
        <v>0</v>
      </c>
      <c r="K42" s="269">
        <f t="shared" si="5"/>
        <v>0</v>
      </c>
      <c r="L42" s="239">
        <f t="shared" si="6"/>
        <v>0</v>
      </c>
      <c r="M42" s="275" t="e">
        <f t="shared" si="7"/>
        <v>#DIV/0!</v>
      </c>
      <c r="N42" s="3"/>
      <c r="O42" s="1">
        <f t="shared" si="14"/>
        <v>22</v>
      </c>
      <c r="P42" s="182">
        <f t="shared" si="14"/>
        <v>46079</v>
      </c>
      <c r="Q42" s="241">
        <f>ROUND(SUMIFS(BS_RE33!$U$7:$U$874,BS_RE33!$S$7:$S$874,'Summary &amp; Working File(AllCcy)'!P42,BS_RE33!$N$7:$N$874,'Summary &amp; Working File(AllCcy)'!$Q$10)+SUMIF($P$13:$P$19,P42,$Q$13:$Q$19),2)</f>
        <v>0</v>
      </c>
      <c r="R42" s="242">
        <f>ROUND(SUMIFS(BS_RE33!$U$7:$U$874,BS_RE33!$S$7:$S$874,'Summary &amp; Working File(AllCcy)'!P42,BS_RE33!$N$7:$N$874,'Summary &amp; Working File(AllCcy)'!$R$10)+SUMIF($P$13:$P$19,P42,$R$13:$R$19),2)</f>
        <v>0</v>
      </c>
    </row>
    <row r="43" spans="1:18">
      <c r="B43" s="243">
        <f t="shared" si="13"/>
        <v>23</v>
      </c>
      <c r="C43" s="244">
        <f t="shared" si="13"/>
        <v>46080</v>
      </c>
      <c r="D43" s="245">
        <f t="shared" si="9"/>
        <v>0</v>
      </c>
      <c r="E43" s="235">
        <f t="shared" si="12"/>
        <v>0</v>
      </c>
      <c r="F43" s="236">
        <f t="shared" si="1"/>
        <v>0</v>
      </c>
      <c r="G43" s="237">
        <f t="shared" si="0"/>
        <v>0</v>
      </c>
      <c r="H43" s="273">
        <f t="shared" si="2"/>
        <v>0</v>
      </c>
      <c r="I43" s="587">
        <f t="shared" si="3"/>
        <v>0</v>
      </c>
      <c r="J43" s="237">
        <f t="shared" si="4"/>
        <v>0</v>
      </c>
      <c r="K43" s="269">
        <f t="shared" si="5"/>
        <v>0</v>
      </c>
      <c r="L43" s="239">
        <f t="shared" si="6"/>
        <v>0</v>
      </c>
      <c r="M43" s="275" t="e">
        <f t="shared" si="7"/>
        <v>#DIV/0!</v>
      </c>
      <c r="N43" s="3"/>
      <c r="O43" s="1">
        <f t="shared" si="14"/>
        <v>23</v>
      </c>
      <c r="P43" s="182">
        <f t="shared" si="14"/>
        <v>46080</v>
      </c>
      <c r="Q43" s="241">
        <f>ROUND(SUMIFS(BS_RE33!$U$7:$U$874,BS_RE33!$S$7:$S$874,'Summary &amp; Working File(AllCcy)'!P43,BS_RE33!$N$7:$N$874,'Summary &amp; Working File(AllCcy)'!$Q$10)+SUMIF($P$13:$P$19,P43,$Q$13:$Q$19),2)</f>
        <v>0</v>
      </c>
      <c r="R43" s="242">
        <f>ROUND(SUMIFS(BS_RE33!$U$7:$U$874,BS_RE33!$S$7:$S$874,'Summary &amp; Working File(AllCcy)'!P43,BS_RE33!$N$7:$N$874,'Summary &amp; Working File(AllCcy)'!$R$10)+SUMIF($P$13:$P$19,P43,$R$13:$R$19),2)</f>
        <v>0</v>
      </c>
    </row>
    <row r="44" spans="1:18">
      <c r="B44" s="243">
        <f t="shared" si="13"/>
        <v>24</v>
      </c>
      <c r="C44" s="244">
        <f t="shared" si="13"/>
        <v>46081</v>
      </c>
      <c r="D44" s="245">
        <f t="shared" si="9"/>
        <v>0</v>
      </c>
      <c r="E44" s="235">
        <f t="shared" si="12"/>
        <v>0</v>
      </c>
      <c r="F44" s="236">
        <f t="shared" si="1"/>
        <v>0</v>
      </c>
      <c r="G44" s="237">
        <f t="shared" si="0"/>
        <v>0</v>
      </c>
      <c r="H44" s="273">
        <f t="shared" si="2"/>
        <v>0</v>
      </c>
      <c r="I44" s="587">
        <f t="shared" si="3"/>
        <v>0</v>
      </c>
      <c r="J44" s="237">
        <f t="shared" si="4"/>
        <v>0</v>
      </c>
      <c r="K44" s="269">
        <f t="shared" si="5"/>
        <v>0</v>
      </c>
      <c r="L44" s="239">
        <f t="shared" si="6"/>
        <v>0</v>
      </c>
      <c r="M44" s="275" t="e">
        <f t="shared" si="7"/>
        <v>#DIV/0!</v>
      </c>
      <c r="N44" s="3"/>
      <c r="O44" s="1">
        <f t="shared" si="14"/>
        <v>24</v>
      </c>
      <c r="P44" s="246">
        <f t="shared" si="14"/>
        <v>46081</v>
      </c>
      <c r="Q44" s="241">
        <f>ROUND(SUMIFS(BS_RE33!$U$7:$U$874,BS_RE33!$S$7:$S$874,'Summary &amp; Working File(AllCcy)'!P44,BS_RE33!$N$7:$N$874,'Summary &amp; Working File(AllCcy)'!$Q$10)+SUMIF($P$13:$P$19,P44,$Q$13:$Q$19),2)</f>
        <v>0</v>
      </c>
      <c r="R44" s="242">
        <f>ROUND(SUMIFS(BS_RE33!$U$7:$U$874,BS_RE33!$S$7:$S$874,'Summary &amp; Working File(AllCcy)'!P44,BS_RE33!$N$7:$N$874,'Summary &amp; Working File(AllCcy)'!$R$10)+SUMIF($P$13:$P$19,P44,$R$13:$R$19),2)</f>
        <v>0</v>
      </c>
    </row>
    <row r="45" spans="1:18">
      <c r="B45" s="243">
        <f t="shared" si="13"/>
        <v>25</v>
      </c>
      <c r="C45" s="244">
        <f t="shared" si="13"/>
        <v>46082</v>
      </c>
      <c r="D45" s="245">
        <f t="shared" si="9"/>
        <v>0</v>
      </c>
      <c r="E45" s="235">
        <f>$Q$11+SUM(Q46:Q75)</f>
        <v>0</v>
      </c>
      <c r="F45" s="236">
        <f t="shared" si="1"/>
        <v>0</v>
      </c>
      <c r="G45" s="237">
        <f t="shared" si="0"/>
        <v>0</v>
      </c>
      <c r="H45" s="273">
        <f t="shared" si="2"/>
        <v>0</v>
      </c>
      <c r="I45" s="587">
        <f t="shared" si="3"/>
        <v>0</v>
      </c>
      <c r="J45" s="237">
        <f t="shared" si="4"/>
        <v>0</v>
      </c>
      <c r="K45" s="269">
        <f t="shared" si="5"/>
        <v>0</v>
      </c>
      <c r="L45" s="239">
        <f t="shared" si="6"/>
        <v>0</v>
      </c>
      <c r="M45" s="275" t="e">
        <f t="shared" si="7"/>
        <v>#DIV/0!</v>
      </c>
      <c r="N45" s="3"/>
      <c r="O45" s="1">
        <f>O44+1</f>
        <v>25</v>
      </c>
      <c r="P45" s="246">
        <f t="shared" si="14"/>
        <v>46082</v>
      </c>
      <c r="Q45" s="241">
        <f>ROUND(SUMIFS(BS_RE33!$U$7:$U$874,BS_RE33!$S$7:$S$874,'Summary &amp; Working File(AllCcy)'!P45,BS_RE33!$N$7:$N$874,'Summary &amp; Working File(AllCcy)'!$Q$10)+SUMIF($P$13:$P$19,P45,$Q$13:$Q$19),2)</f>
        <v>0</v>
      </c>
      <c r="R45" s="242">
        <f>ROUND(SUMIFS(BS_RE33!$U$7:$U$874,BS_RE33!$S$7:$S$874,'Summary &amp; Working File(AllCcy)'!P45,BS_RE33!$N$7:$N$874,'Summary &amp; Working File(AllCcy)'!$R$10)+SUMIF($P$13:$P$19,P45,$R$13:$R$19),2)</f>
        <v>0</v>
      </c>
    </row>
    <row r="46" spans="1:18">
      <c r="B46" s="243">
        <f t="shared" si="13"/>
        <v>26</v>
      </c>
      <c r="C46" s="244">
        <f t="shared" si="13"/>
        <v>46083</v>
      </c>
      <c r="D46" s="245">
        <f t="shared" si="9"/>
        <v>0</v>
      </c>
      <c r="E46" s="235">
        <f t="shared" si="12"/>
        <v>0</v>
      </c>
      <c r="F46" s="236">
        <f t="shared" si="1"/>
        <v>0</v>
      </c>
      <c r="G46" s="237">
        <f t="shared" si="0"/>
        <v>0</v>
      </c>
      <c r="H46" s="273">
        <f t="shared" si="2"/>
        <v>0</v>
      </c>
      <c r="I46" s="587">
        <f t="shared" si="3"/>
        <v>0</v>
      </c>
      <c r="J46" s="237">
        <f t="shared" si="4"/>
        <v>0</v>
      </c>
      <c r="K46" s="269">
        <f t="shared" si="5"/>
        <v>0</v>
      </c>
      <c r="L46" s="239">
        <f t="shared" si="6"/>
        <v>0</v>
      </c>
      <c r="M46" s="275" t="e">
        <f t="shared" si="7"/>
        <v>#DIV/0!</v>
      </c>
      <c r="N46" s="3"/>
      <c r="O46" s="1">
        <f t="shared" si="14"/>
        <v>26</v>
      </c>
      <c r="P46" s="246">
        <f t="shared" si="14"/>
        <v>46083</v>
      </c>
      <c r="Q46" s="241">
        <f>ROUND(SUMIFS(BS_RE33!$U$7:$U$874,BS_RE33!$S$7:$S$874,'Summary &amp; Working File(AllCcy)'!P46,BS_RE33!$N$7:$N$874,'Summary &amp; Working File(AllCcy)'!$Q$10)+SUMIF($P$13:$P$19,P46,$Q$13:$Q$19),2)</f>
        <v>0</v>
      </c>
      <c r="R46" s="242">
        <f>ROUND(SUMIFS(BS_RE33!$U$7:$U$874,BS_RE33!$S$7:$S$874,'Summary &amp; Working File(AllCcy)'!P46,BS_RE33!$N$7:$N$874,'Summary &amp; Working File(AllCcy)'!$R$10)+SUMIF($P$13:$P$19,P46,$R$13:$R$19),2)</f>
        <v>0</v>
      </c>
    </row>
    <row r="47" spans="1:18">
      <c r="B47" s="243">
        <f t="shared" si="13"/>
        <v>27</v>
      </c>
      <c r="C47" s="244">
        <f t="shared" si="13"/>
        <v>46084</v>
      </c>
      <c r="D47" s="245">
        <f t="shared" si="9"/>
        <v>0</v>
      </c>
      <c r="E47" s="235">
        <f t="shared" si="12"/>
        <v>0</v>
      </c>
      <c r="F47" s="236">
        <f t="shared" si="1"/>
        <v>0</v>
      </c>
      <c r="G47" s="237">
        <f t="shared" si="0"/>
        <v>0</v>
      </c>
      <c r="H47" s="273">
        <f>SUM(E47:G47)</f>
        <v>0</v>
      </c>
      <c r="I47" s="587">
        <f t="shared" si="3"/>
        <v>0</v>
      </c>
      <c r="J47" s="237">
        <f t="shared" si="4"/>
        <v>0</v>
      </c>
      <c r="K47" s="269">
        <f t="shared" si="5"/>
        <v>0</v>
      </c>
      <c r="L47" s="239">
        <f t="shared" si="6"/>
        <v>0</v>
      </c>
      <c r="M47" s="275" t="e">
        <f t="shared" si="7"/>
        <v>#DIV/0!</v>
      </c>
      <c r="N47" s="3"/>
      <c r="O47" s="1">
        <f t="shared" si="14"/>
        <v>27</v>
      </c>
      <c r="P47" s="246">
        <f t="shared" si="14"/>
        <v>46084</v>
      </c>
      <c r="Q47" s="241">
        <f>ROUND(SUMIFS(BS_RE33!$U$7:$U$874,BS_RE33!$S$7:$S$874,'Summary &amp; Working File(AllCcy)'!P47,BS_RE33!$N$7:$N$874,'Summary &amp; Working File(AllCcy)'!$Q$10)+SUMIF($P$13:$P$19,P47,$Q$13:$Q$19),2)</f>
        <v>0</v>
      </c>
      <c r="R47" s="242">
        <f>ROUND(SUMIFS(BS_RE33!$U$7:$U$874,BS_RE33!$S$7:$S$874,'Summary &amp; Working File(AllCcy)'!P47,BS_RE33!$N$7:$N$874,'Summary &amp; Working File(AllCcy)'!$R$10)+SUMIF($P$13:$P$19,P47,$R$13:$R$19),2)</f>
        <v>0</v>
      </c>
    </row>
    <row r="48" spans="1:18">
      <c r="B48" s="243">
        <f t="shared" si="13"/>
        <v>28</v>
      </c>
      <c r="C48" s="244">
        <f t="shared" si="13"/>
        <v>46085</v>
      </c>
      <c r="D48" s="245">
        <f t="shared" si="9"/>
        <v>0</v>
      </c>
      <c r="E48" s="235">
        <f t="shared" si="12"/>
        <v>0</v>
      </c>
      <c r="F48" s="236">
        <f t="shared" si="1"/>
        <v>0</v>
      </c>
      <c r="G48" s="237">
        <f t="shared" si="0"/>
        <v>0</v>
      </c>
      <c r="H48" s="273">
        <f t="shared" si="2"/>
        <v>0</v>
      </c>
      <c r="I48" s="587">
        <f t="shared" si="3"/>
        <v>0</v>
      </c>
      <c r="J48" s="237">
        <f t="shared" si="4"/>
        <v>0</v>
      </c>
      <c r="K48" s="269">
        <f t="shared" si="5"/>
        <v>0</v>
      </c>
      <c r="L48" s="239">
        <f t="shared" si="6"/>
        <v>0</v>
      </c>
      <c r="M48" s="275" t="e">
        <f t="shared" si="7"/>
        <v>#DIV/0!</v>
      </c>
      <c r="N48" s="3"/>
      <c r="O48" s="1">
        <f t="shared" si="14"/>
        <v>28</v>
      </c>
      <c r="P48" s="246">
        <f t="shared" si="14"/>
        <v>46085</v>
      </c>
      <c r="Q48" s="241">
        <f>ROUND(SUMIFS(BS_RE33!$U$7:$U$874,BS_RE33!$S$7:$S$874,'Summary &amp; Working File(AllCcy)'!P48,BS_RE33!$N$7:$N$874,'Summary &amp; Working File(AllCcy)'!$Q$10)+SUMIF($P$13:$P$19,P48,$Q$13:$Q$19),2)</f>
        <v>0</v>
      </c>
      <c r="R48" s="242">
        <f>ROUND(SUMIFS(BS_RE33!$U$7:$U$874,BS_RE33!$S$7:$S$874,'Summary &amp; Working File(AllCcy)'!P48,BS_RE33!$N$7:$N$874,'Summary &amp; Working File(AllCcy)'!$R$10)+SUMIF($P$13:$P$19,P48,$R$13:$R$19),2)</f>
        <v>0</v>
      </c>
    </row>
    <row r="49" spans="2:18">
      <c r="B49" s="243">
        <f t="shared" si="13"/>
        <v>29</v>
      </c>
      <c r="C49" s="247">
        <f t="shared" si="13"/>
        <v>46086</v>
      </c>
      <c r="D49" s="245">
        <f t="shared" si="9"/>
        <v>0</v>
      </c>
      <c r="E49" s="235">
        <f t="shared" si="12"/>
        <v>0</v>
      </c>
      <c r="F49" s="236">
        <f t="shared" si="1"/>
        <v>0</v>
      </c>
      <c r="G49" s="237">
        <f t="shared" si="0"/>
        <v>0</v>
      </c>
      <c r="H49" s="273">
        <f t="shared" si="2"/>
        <v>0</v>
      </c>
      <c r="I49" s="587">
        <f t="shared" si="3"/>
        <v>0</v>
      </c>
      <c r="J49" s="237">
        <f t="shared" si="4"/>
        <v>0</v>
      </c>
      <c r="K49" s="269">
        <f t="shared" si="5"/>
        <v>0</v>
      </c>
      <c r="L49" s="239">
        <f t="shared" si="6"/>
        <v>0</v>
      </c>
      <c r="M49" s="275" t="e">
        <f t="shared" si="7"/>
        <v>#DIV/0!</v>
      </c>
      <c r="N49" s="3"/>
      <c r="O49" s="1">
        <f t="shared" si="14"/>
        <v>29</v>
      </c>
      <c r="P49" s="246">
        <f t="shared" si="14"/>
        <v>46086</v>
      </c>
      <c r="Q49" s="241">
        <f>ROUND(SUMIFS(BS_RE33!$U$7:$U$874,BS_RE33!$S$7:$S$874,'Summary &amp; Working File(AllCcy)'!P49,BS_RE33!$N$7:$N$874,'Summary &amp; Working File(AllCcy)'!$Q$10)+SUMIF($P$13:$P$19,P49,$Q$13:$Q$19),2)</f>
        <v>0</v>
      </c>
      <c r="R49" s="242">
        <f>ROUND(SUMIFS(BS_RE33!$U$7:$U$874,BS_RE33!$S$7:$S$874,'Summary &amp; Working File(AllCcy)'!P49,BS_RE33!$N$7:$N$874,'Summary &amp; Working File(AllCcy)'!$R$10)+SUMIF($P$13:$P$19,P49,$R$13:$R$19),2)</f>
        <v>0</v>
      </c>
    </row>
    <row r="50" spans="2:18">
      <c r="B50" s="243">
        <f t="shared" si="13"/>
        <v>30</v>
      </c>
      <c r="C50" s="247">
        <f t="shared" si="13"/>
        <v>46087</v>
      </c>
      <c r="D50" s="245">
        <f t="shared" si="9"/>
        <v>0</v>
      </c>
      <c r="E50" s="235">
        <f t="shared" si="12"/>
        <v>0</v>
      </c>
      <c r="F50" s="236">
        <f t="shared" si="1"/>
        <v>0</v>
      </c>
      <c r="G50" s="237">
        <f t="shared" si="0"/>
        <v>0</v>
      </c>
      <c r="H50" s="273">
        <f t="shared" si="2"/>
        <v>0</v>
      </c>
      <c r="I50" s="587">
        <f t="shared" si="3"/>
        <v>0</v>
      </c>
      <c r="J50" s="237">
        <f t="shared" si="4"/>
        <v>0</v>
      </c>
      <c r="K50" s="269">
        <f t="shared" si="5"/>
        <v>0</v>
      </c>
      <c r="L50" s="239">
        <f t="shared" si="6"/>
        <v>0</v>
      </c>
      <c r="M50" s="275" t="e">
        <f t="shared" si="7"/>
        <v>#DIV/0!</v>
      </c>
      <c r="N50" s="3"/>
      <c r="O50" s="1">
        <f t="shared" si="14"/>
        <v>30</v>
      </c>
      <c r="P50" s="246">
        <f t="shared" si="14"/>
        <v>46087</v>
      </c>
      <c r="Q50" s="241">
        <f>ROUND(SUMIFS(BS_RE33!$U$7:$U$874,BS_RE33!$S$7:$S$874,'Summary &amp; Working File(AllCcy)'!P50,BS_RE33!$N$7:$N$874,'Summary &amp; Working File(AllCcy)'!$Q$10)+SUMIF($P$13:$P$19,P50,$Q$13:$Q$19),2)</f>
        <v>0</v>
      </c>
      <c r="R50" s="242">
        <f>ROUND(SUMIFS(BS_RE33!$U$7:$U$874,BS_RE33!$S$7:$S$874,'Summary &amp; Working File(AllCcy)'!P50,BS_RE33!$N$7:$N$874,'Summary &amp; Working File(AllCcy)'!$R$10)+SUMIF($P$13:$P$19,P50,$R$13:$R$19),2)</f>
        <v>0</v>
      </c>
    </row>
    <row r="51" spans="2:18">
      <c r="B51" s="243">
        <f t="shared" si="13"/>
        <v>31</v>
      </c>
      <c r="C51" s="247">
        <f t="shared" si="13"/>
        <v>46088</v>
      </c>
      <c r="D51" s="245">
        <f t="shared" si="9"/>
        <v>0</v>
      </c>
      <c r="E51" s="235">
        <f>$Q$11+SUM(Q52:Q81)</f>
        <v>0</v>
      </c>
      <c r="F51" s="236">
        <f t="shared" si="1"/>
        <v>0</v>
      </c>
      <c r="G51" s="237">
        <f t="shared" si="0"/>
        <v>0</v>
      </c>
      <c r="H51" s="273">
        <f t="shared" si="2"/>
        <v>0</v>
      </c>
      <c r="I51" s="587">
        <f t="shared" si="3"/>
        <v>0</v>
      </c>
      <c r="J51" s="237">
        <f t="shared" si="4"/>
        <v>0</v>
      </c>
      <c r="K51" s="269">
        <f t="shared" si="5"/>
        <v>0</v>
      </c>
      <c r="L51" s="239">
        <f t="shared" si="6"/>
        <v>0</v>
      </c>
      <c r="M51" s="275" t="e">
        <f t="shared" si="7"/>
        <v>#DIV/0!</v>
      </c>
      <c r="N51" s="3"/>
      <c r="O51" s="1">
        <f t="shared" si="14"/>
        <v>31</v>
      </c>
      <c r="P51" s="246">
        <f t="shared" si="14"/>
        <v>46088</v>
      </c>
      <c r="Q51" s="241">
        <f>ROUND(SUMIFS(BS_RE33!$U$7:$U$874,BS_RE33!$S$7:$S$874,'Summary &amp; Working File(AllCcy)'!P51,BS_RE33!$N$7:$N$874,'Summary &amp; Working File(AllCcy)'!$Q$10)+SUMIF($P$13:$P$19,P51,$Q$13:$Q$19),2)</f>
        <v>0</v>
      </c>
      <c r="R51" s="242">
        <f>ROUND(SUMIFS(BS_RE33!$U$7:$U$874,BS_RE33!$S$7:$S$874,'Summary &amp; Working File(AllCcy)'!P51,BS_RE33!$N$7:$N$874,'Summary &amp; Working File(AllCcy)'!$R$10)+SUMIF($P$13:$P$19,P51,$R$13:$R$19),2)</f>
        <v>0</v>
      </c>
    </row>
    <row r="52" spans="2:18">
      <c r="B52" s="243">
        <f t="shared" si="13"/>
        <v>32</v>
      </c>
      <c r="C52" s="247">
        <f t="shared" si="13"/>
        <v>46089</v>
      </c>
      <c r="D52" s="245">
        <f t="shared" si="9"/>
        <v>0</v>
      </c>
      <c r="E52" s="235">
        <f t="shared" si="12"/>
        <v>0</v>
      </c>
      <c r="F52" s="236">
        <f t="shared" si="1"/>
        <v>0</v>
      </c>
      <c r="G52" s="237">
        <f t="shared" si="0"/>
        <v>0</v>
      </c>
      <c r="H52" s="273">
        <f t="shared" si="2"/>
        <v>0</v>
      </c>
      <c r="I52" s="587">
        <f t="shared" si="3"/>
        <v>0</v>
      </c>
      <c r="J52" s="237">
        <f t="shared" si="4"/>
        <v>0</v>
      </c>
      <c r="K52" s="269">
        <f t="shared" si="5"/>
        <v>0</v>
      </c>
      <c r="L52" s="239">
        <f t="shared" si="6"/>
        <v>0</v>
      </c>
      <c r="M52" s="275" t="e">
        <f t="shared" si="7"/>
        <v>#DIV/0!</v>
      </c>
      <c r="N52" s="3"/>
      <c r="O52" s="1">
        <f t="shared" si="14"/>
        <v>32</v>
      </c>
      <c r="P52" s="182">
        <f t="shared" si="14"/>
        <v>46089</v>
      </c>
      <c r="Q52" s="241">
        <f>ROUND(SUMIFS(BS_RE33!$U$7:$U$874,BS_RE33!$S$7:$S$874,'Summary &amp; Working File(AllCcy)'!P52,BS_RE33!$N$7:$N$874,'Summary &amp; Working File(AllCcy)'!$Q$10)+SUMIF($P$13:$P$19,P52,$Q$13:$Q$19),2)</f>
        <v>0</v>
      </c>
      <c r="R52" s="242">
        <f>ROUND(SUMIFS(BS_RE33!$U$7:$U$874,BS_RE33!$S$7:$S$874,'Summary &amp; Working File(AllCcy)'!P52,BS_RE33!$N$7:$N$874,'Summary &amp; Working File(AllCcy)'!$R$10)+SUMIF($P$13:$P$19,P52,$R$13:$R$19),2)</f>
        <v>0</v>
      </c>
    </row>
    <row r="53" spans="2:18">
      <c r="B53" s="243">
        <f t="shared" si="13"/>
        <v>33</v>
      </c>
      <c r="C53" s="247">
        <f t="shared" si="13"/>
        <v>46090</v>
      </c>
      <c r="D53" s="245">
        <f t="shared" si="9"/>
        <v>0</v>
      </c>
      <c r="E53" s="235">
        <f t="shared" si="12"/>
        <v>0</v>
      </c>
      <c r="F53" s="236">
        <f t="shared" si="1"/>
        <v>0</v>
      </c>
      <c r="G53" s="237">
        <f t="shared" si="0"/>
        <v>0</v>
      </c>
      <c r="H53" s="273">
        <f t="shared" si="2"/>
        <v>0</v>
      </c>
      <c r="I53" s="587">
        <f t="shared" ref="I53:I100" si="15">$R$11+SUM(R54:R83)</f>
        <v>0</v>
      </c>
      <c r="J53" s="237">
        <f t="shared" si="4"/>
        <v>0</v>
      </c>
      <c r="K53" s="269">
        <f t="shared" si="5"/>
        <v>0</v>
      </c>
      <c r="L53" s="239">
        <f t="shared" si="6"/>
        <v>0</v>
      </c>
      <c r="M53" s="275" t="e">
        <f t="shared" si="7"/>
        <v>#DIV/0!</v>
      </c>
      <c r="N53" s="3"/>
      <c r="O53" s="1">
        <f t="shared" si="14"/>
        <v>33</v>
      </c>
      <c r="P53" s="182">
        <f t="shared" si="14"/>
        <v>46090</v>
      </c>
      <c r="Q53" s="241">
        <f>ROUND(SUMIFS(BS_RE33!$U$7:$U$874,BS_RE33!$S$7:$S$874,'Summary &amp; Working File(AllCcy)'!P53,BS_RE33!$N$7:$N$874,'Summary &amp; Working File(AllCcy)'!$Q$10)+SUMIF($P$13:$P$19,P53,$Q$13:$Q$19),2)</f>
        <v>0</v>
      </c>
      <c r="R53" s="242">
        <f>ROUND(SUMIFS(BS_RE33!$U$7:$U$874,BS_RE33!$S$7:$S$874,'Summary &amp; Working File(AllCcy)'!P53,BS_RE33!$N$7:$N$874,'Summary &amp; Working File(AllCcy)'!$R$10)+SUMIF($P$13:$P$19,P53,$R$13:$R$19),2)</f>
        <v>0</v>
      </c>
    </row>
    <row r="54" spans="2:18">
      <c r="B54" s="243">
        <f t="shared" si="13"/>
        <v>34</v>
      </c>
      <c r="C54" s="247">
        <f t="shared" si="13"/>
        <v>46091</v>
      </c>
      <c r="D54" s="245">
        <f t="shared" si="9"/>
        <v>0</v>
      </c>
      <c r="E54" s="235">
        <f t="shared" si="12"/>
        <v>0</v>
      </c>
      <c r="F54" s="236">
        <f t="shared" si="1"/>
        <v>0</v>
      </c>
      <c r="G54" s="237">
        <f t="shared" si="0"/>
        <v>0</v>
      </c>
      <c r="H54" s="273">
        <f t="shared" si="2"/>
        <v>0</v>
      </c>
      <c r="I54" s="587">
        <f t="shared" si="15"/>
        <v>0</v>
      </c>
      <c r="J54" s="237">
        <f t="shared" si="4"/>
        <v>0</v>
      </c>
      <c r="K54" s="269">
        <f t="shared" si="5"/>
        <v>0</v>
      </c>
      <c r="L54" s="239">
        <f t="shared" si="6"/>
        <v>0</v>
      </c>
      <c r="M54" s="275" t="e">
        <f t="shared" si="7"/>
        <v>#DIV/0!</v>
      </c>
      <c r="N54" s="3"/>
      <c r="O54" s="1">
        <f t="shared" si="14"/>
        <v>34</v>
      </c>
      <c r="P54" s="182">
        <f t="shared" si="14"/>
        <v>46091</v>
      </c>
      <c r="Q54" s="241">
        <f>ROUND(SUMIFS(BS_RE33!$U$7:$U$874,BS_RE33!$S$7:$S$874,'Summary &amp; Working File(AllCcy)'!P54,BS_RE33!$N$7:$N$874,'Summary &amp; Working File(AllCcy)'!$Q$10)+SUMIF($P$13:$P$19,P54,$Q$13:$Q$19),2)</f>
        <v>0</v>
      </c>
      <c r="R54" s="242">
        <f>ROUND(SUMIFS(BS_RE33!$U$7:$U$874,BS_RE33!$S$7:$S$874,'Summary &amp; Working File(AllCcy)'!P54,BS_RE33!$N$7:$N$874,'Summary &amp; Working File(AllCcy)'!$R$10)+SUMIF($P$13:$P$19,P54,$R$13:$R$19),2)</f>
        <v>0</v>
      </c>
    </row>
    <row r="55" spans="2:18">
      <c r="B55" s="243">
        <f t="shared" ref="B55:C70" si="16">B54+1</f>
        <v>35</v>
      </c>
      <c r="C55" s="247">
        <f t="shared" si="16"/>
        <v>46092</v>
      </c>
      <c r="D55" s="245">
        <f t="shared" si="9"/>
        <v>0</v>
      </c>
      <c r="E55" s="235">
        <f t="shared" si="12"/>
        <v>0</v>
      </c>
      <c r="F55" s="236">
        <f t="shared" si="1"/>
        <v>0</v>
      </c>
      <c r="G55" s="237">
        <f t="shared" si="0"/>
        <v>0</v>
      </c>
      <c r="H55" s="273">
        <f t="shared" si="2"/>
        <v>0</v>
      </c>
      <c r="I55" s="587">
        <f t="shared" si="15"/>
        <v>0</v>
      </c>
      <c r="J55" s="237">
        <f t="shared" si="4"/>
        <v>0</v>
      </c>
      <c r="K55" s="269">
        <f t="shared" si="5"/>
        <v>0</v>
      </c>
      <c r="L55" s="239">
        <f t="shared" si="6"/>
        <v>0</v>
      </c>
      <c r="M55" s="275" t="e">
        <f t="shared" si="7"/>
        <v>#DIV/0!</v>
      </c>
      <c r="N55" s="3"/>
      <c r="O55" s="1">
        <f t="shared" ref="O55:P70" si="17">O54+1</f>
        <v>35</v>
      </c>
      <c r="P55" s="182">
        <f t="shared" si="17"/>
        <v>46092</v>
      </c>
      <c r="Q55" s="241">
        <f>ROUND(SUMIFS(BS_RE33!$U$7:$U$874,BS_RE33!$S$7:$S$874,'Summary &amp; Working File(AllCcy)'!P55,BS_RE33!$N$7:$N$874,'Summary &amp; Working File(AllCcy)'!$Q$10)+SUMIF($P$13:$P$19,P55,$Q$13:$Q$19),2)</f>
        <v>0</v>
      </c>
      <c r="R55" s="242">
        <f>ROUND(SUMIFS(BS_RE33!$U$7:$U$874,BS_RE33!$S$7:$S$874,'Summary &amp; Working File(AllCcy)'!P55,BS_RE33!$N$7:$N$874,'Summary &amp; Working File(AllCcy)'!$R$10)+SUMIF($P$13:$P$19,P55,$R$13:$R$19),2)</f>
        <v>0</v>
      </c>
    </row>
    <row r="56" spans="2:18">
      <c r="B56" s="243">
        <f t="shared" si="16"/>
        <v>36</v>
      </c>
      <c r="C56" s="247">
        <f t="shared" si="16"/>
        <v>46093</v>
      </c>
      <c r="D56" s="245">
        <f t="shared" si="9"/>
        <v>0</v>
      </c>
      <c r="E56" s="235">
        <f t="shared" si="12"/>
        <v>0</v>
      </c>
      <c r="F56" s="236">
        <f t="shared" si="1"/>
        <v>0</v>
      </c>
      <c r="G56" s="237">
        <f t="shared" si="0"/>
        <v>0</v>
      </c>
      <c r="H56" s="273">
        <f t="shared" si="2"/>
        <v>0</v>
      </c>
      <c r="I56" s="587">
        <f t="shared" si="15"/>
        <v>0</v>
      </c>
      <c r="J56" s="237">
        <f t="shared" si="4"/>
        <v>0</v>
      </c>
      <c r="K56" s="269">
        <f t="shared" si="5"/>
        <v>0</v>
      </c>
      <c r="L56" s="239">
        <f t="shared" si="6"/>
        <v>0</v>
      </c>
      <c r="M56" s="275" t="e">
        <f t="shared" si="7"/>
        <v>#DIV/0!</v>
      </c>
      <c r="N56" s="3"/>
      <c r="O56" s="1">
        <f t="shared" si="17"/>
        <v>36</v>
      </c>
      <c r="P56" s="182">
        <f t="shared" si="17"/>
        <v>46093</v>
      </c>
      <c r="Q56" s="241">
        <f>ROUND(SUMIFS(BS_RE33!$U$7:$U$874,BS_RE33!$S$7:$S$874,'Summary &amp; Working File(AllCcy)'!P56,BS_RE33!$N$7:$N$874,'Summary &amp; Working File(AllCcy)'!$Q$10)+SUMIF($P$13:$P$19,P56,$Q$13:$Q$19),2)</f>
        <v>0</v>
      </c>
      <c r="R56" s="242">
        <f>ROUND(SUMIFS(BS_RE33!$U$7:$U$874,BS_RE33!$S$7:$S$874,'Summary &amp; Working File(AllCcy)'!P56,BS_RE33!$N$7:$N$874,'Summary &amp; Working File(AllCcy)'!$R$10)+SUMIF($P$13:$P$19,P56,$R$13:$R$19),2)</f>
        <v>0</v>
      </c>
    </row>
    <row r="57" spans="2:18">
      <c r="B57" s="243">
        <f t="shared" si="16"/>
        <v>37</v>
      </c>
      <c r="C57" s="247">
        <f t="shared" si="16"/>
        <v>46094</v>
      </c>
      <c r="D57" s="245">
        <f t="shared" si="9"/>
        <v>0</v>
      </c>
      <c r="E57" s="235">
        <f t="shared" si="12"/>
        <v>0</v>
      </c>
      <c r="F57" s="236">
        <f t="shared" si="1"/>
        <v>0</v>
      </c>
      <c r="G57" s="237">
        <f t="shared" si="0"/>
        <v>0</v>
      </c>
      <c r="H57" s="273">
        <f t="shared" si="2"/>
        <v>0</v>
      </c>
      <c r="I57" s="587">
        <f t="shared" si="15"/>
        <v>0</v>
      </c>
      <c r="J57" s="237">
        <f t="shared" si="4"/>
        <v>0</v>
      </c>
      <c r="K57" s="269">
        <f t="shared" si="5"/>
        <v>0</v>
      </c>
      <c r="L57" s="239">
        <f t="shared" si="6"/>
        <v>0</v>
      </c>
      <c r="M57" s="275" t="e">
        <f t="shared" si="7"/>
        <v>#DIV/0!</v>
      </c>
      <c r="N57" s="3"/>
      <c r="O57" s="1">
        <f t="shared" si="17"/>
        <v>37</v>
      </c>
      <c r="P57" s="182">
        <f t="shared" si="17"/>
        <v>46094</v>
      </c>
      <c r="Q57" s="241">
        <f>ROUND(SUMIFS(BS_RE33!$U$7:$U$874,BS_RE33!$S$7:$S$874,'Summary &amp; Working File(AllCcy)'!P57,BS_RE33!$N$7:$N$874,'Summary &amp; Working File(AllCcy)'!$Q$10)+SUMIF($P$13:$P$19,P57,$Q$13:$Q$19),2)</f>
        <v>0</v>
      </c>
      <c r="R57" s="242">
        <f>ROUND(SUMIFS(BS_RE33!$U$7:$U$874,BS_RE33!$S$7:$S$874,'Summary &amp; Working File(AllCcy)'!P57,BS_RE33!$N$7:$N$874,'Summary &amp; Working File(AllCcy)'!$R$10)+SUMIF($P$13:$P$19,P57,$R$13:$R$19),2)</f>
        <v>0</v>
      </c>
    </row>
    <row r="58" spans="2:18">
      <c r="B58" s="243">
        <f t="shared" si="16"/>
        <v>38</v>
      </c>
      <c r="C58" s="247">
        <f t="shared" si="16"/>
        <v>46095</v>
      </c>
      <c r="D58" s="245">
        <f t="shared" si="9"/>
        <v>0</v>
      </c>
      <c r="E58" s="235">
        <f t="shared" si="12"/>
        <v>0</v>
      </c>
      <c r="F58" s="236">
        <f t="shared" si="1"/>
        <v>0</v>
      </c>
      <c r="G58" s="237">
        <f t="shared" si="0"/>
        <v>0</v>
      </c>
      <c r="H58" s="273">
        <f t="shared" si="2"/>
        <v>0</v>
      </c>
      <c r="I58" s="587">
        <f t="shared" si="15"/>
        <v>0</v>
      </c>
      <c r="J58" s="237">
        <f t="shared" si="4"/>
        <v>0</v>
      </c>
      <c r="K58" s="269">
        <f t="shared" si="5"/>
        <v>0</v>
      </c>
      <c r="L58" s="239">
        <f t="shared" si="6"/>
        <v>0</v>
      </c>
      <c r="M58" s="275" t="e">
        <f t="shared" si="7"/>
        <v>#DIV/0!</v>
      </c>
      <c r="N58" s="3"/>
      <c r="O58" s="1">
        <f t="shared" si="17"/>
        <v>38</v>
      </c>
      <c r="P58" s="182">
        <f t="shared" si="17"/>
        <v>46095</v>
      </c>
      <c r="Q58" s="241">
        <f>ROUND(SUMIFS(BS_RE33!$U$7:$U$874,BS_RE33!$S$7:$S$874,'Summary &amp; Working File(AllCcy)'!P58,BS_RE33!$N$7:$N$874,'Summary &amp; Working File(AllCcy)'!$Q$10)+SUMIF($P$13:$P$19,P58,$Q$13:$Q$19),2)</f>
        <v>0</v>
      </c>
      <c r="R58" s="242">
        <f>ROUND(SUMIFS(BS_RE33!$U$7:$U$874,BS_RE33!$S$7:$S$874,'Summary &amp; Working File(AllCcy)'!P58,BS_RE33!$N$7:$N$874,'Summary &amp; Working File(AllCcy)'!$R$10)+SUMIF($P$13:$P$19,P58,$R$13:$R$19),2)</f>
        <v>0</v>
      </c>
    </row>
    <row r="59" spans="2:18">
      <c r="B59" s="243">
        <f t="shared" si="16"/>
        <v>39</v>
      </c>
      <c r="C59" s="247">
        <f t="shared" si="16"/>
        <v>46096</v>
      </c>
      <c r="D59" s="245">
        <f t="shared" si="9"/>
        <v>0</v>
      </c>
      <c r="E59" s="235">
        <f t="shared" si="12"/>
        <v>0</v>
      </c>
      <c r="F59" s="236">
        <f t="shared" si="1"/>
        <v>0</v>
      </c>
      <c r="G59" s="237">
        <f t="shared" si="0"/>
        <v>0</v>
      </c>
      <c r="H59" s="273">
        <f t="shared" si="2"/>
        <v>0</v>
      </c>
      <c r="I59" s="587">
        <f t="shared" si="15"/>
        <v>0</v>
      </c>
      <c r="J59" s="237">
        <f t="shared" si="4"/>
        <v>0</v>
      </c>
      <c r="K59" s="269">
        <f t="shared" si="5"/>
        <v>0</v>
      </c>
      <c r="L59" s="239">
        <f t="shared" si="6"/>
        <v>0</v>
      </c>
      <c r="M59" s="275" t="e">
        <f t="shared" si="7"/>
        <v>#DIV/0!</v>
      </c>
      <c r="N59" s="3"/>
      <c r="O59" s="1">
        <f t="shared" si="17"/>
        <v>39</v>
      </c>
      <c r="P59" s="182">
        <f t="shared" si="17"/>
        <v>46096</v>
      </c>
      <c r="Q59" s="241">
        <f>ROUND(SUMIFS(BS_RE33!$U$7:$U$874,BS_RE33!$S$7:$S$874,'Summary &amp; Working File(AllCcy)'!P59,BS_RE33!$N$7:$N$874,'Summary &amp; Working File(AllCcy)'!$Q$10)+SUMIF($P$13:$P$19,P59,$Q$13:$Q$19),2)</f>
        <v>0</v>
      </c>
      <c r="R59" s="242">
        <f>ROUND(SUMIFS(BS_RE33!$U$7:$U$874,BS_RE33!$S$7:$S$874,'Summary &amp; Working File(AllCcy)'!P59,BS_RE33!$N$7:$N$874,'Summary &amp; Working File(AllCcy)'!$R$10)+SUMIF($P$13:$P$19,P59,$R$13:$R$19),2)</f>
        <v>0</v>
      </c>
    </row>
    <row r="60" spans="2:18">
      <c r="B60" s="243">
        <f t="shared" si="16"/>
        <v>40</v>
      </c>
      <c r="C60" s="247">
        <f t="shared" si="16"/>
        <v>46097</v>
      </c>
      <c r="D60" s="245">
        <f t="shared" si="9"/>
        <v>0</v>
      </c>
      <c r="E60" s="235">
        <f t="shared" si="12"/>
        <v>0</v>
      </c>
      <c r="F60" s="236">
        <f t="shared" si="1"/>
        <v>0</v>
      </c>
      <c r="G60" s="237">
        <f t="shared" si="0"/>
        <v>0</v>
      </c>
      <c r="H60" s="273">
        <f t="shared" si="2"/>
        <v>0</v>
      </c>
      <c r="I60" s="587">
        <f t="shared" si="15"/>
        <v>0</v>
      </c>
      <c r="J60" s="237">
        <f t="shared" si="4"/>
        <v>0</v>
      </c>
      <c r="K60" s="269">
        <f t="shared" si="5"/>
        <v>0</v>
      </c>
      <c r="L60" s="239">
        <f t="shared" si="6"/>
        <v>0</v>
      </c>
      <c r="M60" s="275" t="e">
        <f t="shared" si="7"/>
        <v>#DIV/0!</v>
      </c>
      <c r="N60" s="3"/>
      <c r="O60" s="1">
        <f t="shared" si="17"/>
        <v>40</v>
      </c>
      <c r="P60" s="182">
        <f t="shared" si="17"/>
        <v>46097</v>
      </c>
      <c r="Q60" s="241">
        <f>ROUND(SUMIFS(BS_RE33!$U$7:$U$874,BS_RE33!$S$7:$S$874,'Summary &amp; Working File(AllCcy)'!P60,BS_RE33!$N$7:$N$874,'Summary &amp; Working File(AllCcy)'!$Q$10)+SUMIF($P$13:$P$19,P60,$Q$13:$Q$19),2)</f>
        <v>0</v>
      </c>
      <c r="R60" s="242">
        <f>ROUND(SUMIFS(BS_RE33!$U$7:$U$874,BS_RE33!$S$7:$S$874,'Summary &amp; Working File(AllCcy)'!P60,BS_RE33!$N$7:$N$874,'Summary &amp; Working File(AllCcy)'!$R$10)+SUMIF($P$13:$P$19,P60,$R$13:$R$19),2)</f>
        <v>0</v>
      </c>
    </row>
    <row r="61" spans="2:18">
      <c r="B61" s="243">
        <f t="shared" si="16"/>
        <v>41</v>
      </c>
      <c r="C61" s="247">
        <f t="shared" si="16"/>
        <v>46098</v>
      </c>
      <c r="D61" s="245">
        <f t="shared" si="9"/>
        <v>0</v>
      </c>
      <c r="E61" s="235">
        <f t="shared" si="12"/>
        <v>0</v>
      </c>
      <c r="F61" s="236">
        <f t="shared" si="1"/>
        <v>0</v>
      </c>
      <c r="G61" s="237">
        <f t="shared" si="0"/>
        <v>0</v>
      </c>
      <c r="H61" s="273">
        <f t="shared" si="2"/>
        <v>0</v>
      </c>
      <c r="I61" s="587">
        <f t="shared" si="15"/>
        <v>0</v>
      </c>
      <c r="J61" s="237">
        <f t="shared" si="4"/>
        <v>0</v>
      </c>
      <c r="K61" s="269">
        <f t="shared" si="5"/>
        <v>0</v>
      </c>
      <c r="L61" s="239">
        <f t="shared" si="6"/>
        <v>0</v>
      </c>
      <c r="M61" s="275" t="e">
        <f t="shared" si="7"/>
        <v>#DIV/0!</v>
      </c>
      <c r="N61" s="3"/>
      <c r="O61" s="1">
        <f t="shared" si="17"/>
        <v>41</v>
      </c>
      <c r="P61" s="182">
        <f t="shared" si="17"/>
        <v>46098</v>
      </c>
      <c r="Q61" s="241">
        <f>ROUND(SUMIFS(BS_RE33!$U$7:$U$874,BS_RE33!$S$7:$S$874,'Summary &amp; Working File(AllCcy)'!P61,BS_RE33!$N$7:$N$874,'Summary &amp; Working File(AllCcy)'!$Q$10)+SUMIF($P$13:$P$19,P61,$Q$13:$Q$19),2)</f>
        <v>0</v>
      </c>
      <c r="R61" s="242">
        <f>ROUND(SUMIFS(BS_RE33!$U$7:$U$874,BS_RE33!$S$7:$S$874,'Summary &amp; Working File(AllCcy)'!P61,BS_RE33!$N$7:$N$874,'Summary &amp; Working File(AllCcy)'!$R$10)+SUMIF($P$13:$P$19,P61,$R$13:$R$19),2)</f>
        <v>0</v>
      </c>
    </row>
    <row r="62" spans="2:18">
      <c r="B62" s="243">
        <f t="shared" si="16"/>
        <v>42</v>
      </c>
      <c r="C62" s="247">
        <f t="shared" si="16"/>
        <v>46099</v>
      </c>
      <c r="D62" s="245">
        <f t="shared" si="9"/>
        <v>0</v>
      </c>
      <c r="E62" s="235">
        <f t="shared" si="12"/>
        <v>0</v>
      </c>
      <c r="F62" s="236">
        <f t="shared" si="1"/>
        <v>0</v>
      </c>
      <c r="G62" s="237">
        <f t="shared" si="0"/>
        <v>0</v>
      </c>
      <c r="H62" s="273">
        <f t="shared" si="2"/>
        <v>0</v>
      </c>
      <c r="I62" s="587">
        <f t="shared" si="15"/>
        <v>0</v>
      </c>
      <c r="J62" s="237">
        <f t="shared" si="4"/>
        <v>0</v>
      </c>
      <c r="K62" s="269">
        <f t="shared" si="5"/>
        <v>0</v>
      </c>
      <c r="L62" s="239">
        <f t="shared" si="6"/>
        <v>0</v>
      </c>
      <c r="M62" s="275" t="e">
        <f t="shared" si="7"/>
        <v>#DIV/0!</v>
      </c>
      <c r="N62" s="3"/>
      <c r="O62" s="1">
        <f t="shared" si="17"/>
        <v>42</v>
      </c>
      <c r="P62" s="182">
        <f t="shared" si="17"/>
        <v>46099</v>
      </c>
      <c r="Q62" s="241">
        <f>ROUND(SUMIFS(BS_RE33!$U$7:$U$874,BS_RE33!$S$7:$S$874,'Summary &amp; Working File(AllCcy)'!P62,BS_RE33!$N$7:$N$874,'Summary &amp; Working File(AllCcy)'!$Q$10)+SUMIF($P$13:$P$19,P62,$Q$13:$Q$19),2)</f>
        <v>0</v>
      </c>
      <c r="R62" s="242">
        <f>ROUND(SUMIFS(BS_RE33!$U$7:$U$874,BS_RE33!$S$7:$S$874,'Summary &amp; Working File(AllCcy)'!P62,BS_RE33!$N$7:$N$874,'Summary &amp; Working File(AllCcy)'!$R$10)+SUMIF($P$13:$P$19,P62,$R$13:$R$19),2)</f>
        <v>0</v>
      </c>
    </row>
    <row r="63" spans="2:18">
      <c r="B63" s="243">
        <f t="shared" si="16"/>
        <v>43</v>
      </c>
      <c r="C63" s="247">
        <f t="shared" si="16"/>
        <v>46100</v>
      </c>
      <c r="D63" s="245">
        <f t="shared" si="9"/>
        <v>0</v>
      </c>
      <c r="E63" s="235">
        <f t="shared" si="12"/>
        <v>0</v>
      </c>
      <c r="F63" s="236">
        <f t="shared" si="1"/>
        <v>0</v>
      </c>
      <c r="G63" s="237">
        <f t="shared" si="0"/>
        <v>0</v>
      </c>
      <c r="H63" s="273">
        <f t="shared" si="2"/>
        <v>0</v>
      </c>
      <c r="I63" s="587">
        <f t="shared" si="15"/>
        <v>0</v>
      </c>
      <c r="J63" s="237">
        <f t="shared" si="4"/>
        <v>0</v>
      </c>
      <c r="K63" s="269">
        <f t="shared" si="5"/>
        <v>0</v>
      </c>
      <c r="L63" s="239">
        <f t="shared" si="6"/>
        <v>0</v>
      </c>
      <c r="M63" s="275" t="e">
        <f t="shared" si="7"/>
        <v>#DIV/0!</v>
      </c>
      <c r="N63" s="3"/>
      <c r="O63" s="1">
        <f t="shared" si="17"/>
        <v>43</v>
      </c>
      <c r="P63" s="182">
        <f t="shared" si="17"/>
        <v>46100</v>
      </c>
      <c r="Q63" s="241">
        <f>ROUND(SUMIFS(BS_RE33!$U$7:$U$874,BS_RE33!$S$7:$S$874,'Summary &amp; Working File(AllCcy)'!P63,BS_RE33!$N$7:$N$874,'Summary &amp; Working File(AllCcy)'!$Q$10)+SUMIF($P$13:$P$19,P63,$Q$13:$Q$19),2)</f>
        <v>0</v>
      </c>
      <c r="R63" s="242">
        <f>ROUND(SUMIFS(BS_RE33!$U$7:$U$874,BS_RE33!$S$7:$S$874,'Summary &amp; Working File(AllCcy)'!P63,BS_RE33!$N$7:$N$874,'Summary &amp; Working File(AllCcy)'!$R$10)+SUMIF($P$13:$P$19,P63,$R$13:$R$19),2)</f>
        <v>0</v>
      </c>
    </row>
    <row r="64" spans="2:18">
      <c r="B64" s="243">
        <f t="shared" si="16"/>
        <v>44</v>
      </c>
      <c r="C64" s="247">
        <f t="shared" si="16"/>
        <v>46101</v>
      </c>
      <c r="D64" s="245">
        <f t="shared" si="9"/>
        <v>0</v>
      </c>
      <c r="E64" s="235">
        <f t="shared" si="12"/>
        <v>0</v>
      </c>
      <c r="F64" s="236">
        <f t="shared" si="1"/>
        <v>0</v>
      </c>
      <c r="G64" s="237">
        <f t="shared" si="0"/>
        <v>0</v>
      </c>
      <c r="H64" s="273">
        <f t="shared" si="2"/>
        <v>0</v>
      </c>
      <c r="I64" s="587">
        <f t="shared" si="15"/>
        <v>0</v>
      </c>
      <c r="J64" s="237">
        <f t="shared" si="4"/>
        <v>0</v>
      </c>
      <c r="K64" s="269">
        <f t="shared" si="5"/>
        <v>0</v>
      </c>
      <c r="L64" s="239">
        <f t="shared" si="6"/>
        <v>0</v>
      </c>
      <c r="M64" s="275" t="e">
        <f t="shared" si="7"/>
        <v>#DIV/0!</v>
      </c>
      <c r="N64" s="3"/>
      <c r="O64" s="1">
        <f t="shared" si="17"/>
        <v>44</v>
      </c>
      <c r="P64" s="182">
        <f t="shared" si="17"/>
        <v>46101</v>
      </c>
      <c r="Q64" s="241">
        <f>ROUND(SUMIFS(BS_RE33!$U$7:$U$874,BS_RE33!$S$7:$S$874,'Summary &amp; Working File(AllCcy)'!P64,BS_RE33!$N$7:$N$874,'Summary &amp; Working File(AllCcy)'!$Q$10)+SUMIF($P$13:$P$19,P64,$Q$13:$Q$19),2)</f>
        <v>0</v>
      </c>
      <c r="R64" s="242">
        <f>ROUND(SUMIFS(BS_RE33!$U$7:$U$874,BS_RE33!$S$7:$S$874,'Summary &amp; Working File(AllCcy)'!P64,BS_RE33!$N$7:$N$874,'Summary &amp; Working File(AllCcy)'!$R$10)+SUMIF($P$13:$P$19,P64,$R$13:$R$19),2)</f>
        <v>0</v>
      </c>
    </row>
    <row r="65" spans="1:18">
      <c r="B65" s="243">
        <f t="shared" si="16"/>
        <v>45</v>
      </c>
      <c r="C65" s="247">
        <f t="shared" si="16"/>
        <v>46102</v>
      </c>
      <c r="D65" s="245">
        <f t="shared" si="9"/>
        <v>0</v>
      </c>
      <c r="E65" s="235">
        <f t="shared" si="12"/>
        <v>0</v>
      </c>
      <c r="F65" s="236">
        <f t="shared" si="1"/>
        <v>0</v>
      </c>
      <c r="G65" s="237">
        <f t="shared" si="0"/>
        <v>0</v>
      </c>
      <c r="H65" s="273">
        <f t="shared" si="2"/>
        <v>0</v>
      </c>
      <c r="I65" s="587">
        <f t="shared" si="15"/>
        <v>0</v>
      </c>
      <c r="J65" s="237">
        <f t="shared" si="4"/>
        <v>0</v>
      </c>
      <c r="K65" s="269">
        <f t="shared" si="5"/>
        <v>0</v>
      </c>
      <c r="L65" s="239">
        <f t="shared" si="6"/>
        <v>0</v>
      </c>
      <c r="M65" s="275" t="e">
        <f t="shared" si="7"/>
        <v>#DIV/0!</v>
      </c>
      <c r="N65" s="3"/>
      <c r="O65" s="1">
        <f t="shared" si="17"/>
        <v>45</v>
      </c>
      <c r="P65" s="182">
        <f t="shared" si="17"/>
        <v>46102</v>
      </c>
      <c r="Q65" s="241">
        <f>ROUND(SUMIFS(BS_RE33!$U$7:$U$874,BS_RE33!$S$7:$S$874,'Summary &amp; Working File(AllCcy)'!P65,BS_RE33!$N$7:$N$874,'Summary &amp; Working File(AllCcy)'!$Q$10)+SUMIF($P$13:$P$19,P65,$Q$13:$Q$19),2)</f>
        <v>0</v>
      </c>
      <c r="R65" s="242">
        <f>ROUND(SUMIFS(BS_RE33!$U$7:$U$874,BS_RE33!$S$7:$S$874,'Summary &amp; Working File(AllCcy)'!P65,BS_RE33!$N$7:$N$874,'Summary &amp; Working File(AllCcy)'!$R$10)+SUMIF($P$13:$P$19,P65,$R$13:$R$19),2)</f>
        <v>0</v>
      </c>
    </row>
    <row r="66" spans="1:18">
      <c r="B66" s="243">
        <f t="shared" si="16"/>
        <v>46</v>
      </c>
      <c r="C66" s="247">
        <f t="shared" si="16"/>
        <v>46103</v>
      </c>
      <c r="D66" s="245">
        <f t="shared" si="9"/>
        <v>0</v>
      </c>
      <c r="E66" s="235">
        <f t="shared" si="12"/>
        <v>0</v>
      </c>
      <c r="F66" s="236">
        <f t="shared" si="1"/>
        <v>0</v>
      </c>
      <c r="G66" s="237">
        <f t="shared" si="0"/>
        <v>0</v>
      </c>
      <c r="H66" s="273">
        <f t="shared" si="2"/>
        <v>0</v>
      </c>
      <c r="I66" s="587">
        <f t="shared" si="15"/>
        <v>0</v>
      </c>
      <c r="J66" s="237">
        <f t="shared" si="4"/>
        <v>0</v>
      </c>
      <c r="K66" s="269">
        <f t="shared" si="5"/>
        <v>0</v>
      </c>
      <c r="L66" s="239">
        <f t="shared" si="6"/>
        <v>0</v>
      </c>
      <c r="M66" s="275" t="e">
        <f t="shared" si="7"/>
        <v>#DIV/0!</v>
      </c>
      <c r="N66" s="3"/>
      <c r="O66" s="1">
        <f t="shared" si="17"/>
        <v>46</v>
      </c>
      <c r="P66" s="182">
        <f t="shared" si="17"/>
        <v>46103</v>
      </c>
      <c r="Q66" s="241">
        <f>ROUND(SUMIFS(BS_RE33!$U$7:$U$874,BS_RE33!$S$7:$S$874,'Summary &amp; Working File(AllCcy)'!P66,BS_RE33!$N$7:$N$874,'Summary &amp; Working File(AllCcy)'!$Q$10)+SUMIF($P$13:$P$19,P66,$Q$13:$Q$19),2)</f>
        <v>0</v>
      </c>
      <c r="R66" s="242">
        <f>ROUND(SUMIFS(BS_RE33!$U$7:$U$874,BS_RE33!$S$7:$S$874,'Summary &amp; Working File(AllCcy)'!P66,BS_RE33!$N$7:$N$874,'Summary &amp; Working File(AllCcy)'!$R$10)+SUMIF($P$13:$P$19,P66,$R$13:$R$19),2)</f>
        <v>0</v>
      </c>
    </row>
    <row r="67" spans="1:18">
      <c r="B67" s="243">
        <f t="shared" si="16"/>
        <v>47</v>
      </c>
      <c r="C67" s="247">
        <f t="shared" si="16"/>
        <v>46104</v>
      </c>
      <c r="D67" s="245">
        <f t="shared" si="9"/>
        <v>0</v>
      </c>
      <c r="E67" s="235">
        <f t="shared" si="12"/>
        <v>0</v>
      </c>
      <c r="F67" s="236">
        <f t="shared" si="1"/>
        <v>0</v>
      </c>
      <c r="G67" s="237">
        <f t="shared" si="0"/>
        <v>0</v>
      </c>
      <c r="H67" s="273">
        <f t="shared" si="2"/>
        <v>0</v>
      </c>
      <c r="I67" s="587">
        <f t="shared" si="15"/>
        <v>0</v>
      </c>
      <c r="J67" s="237">
        <f>H67*20%</f>
        <v>0</v>
      </c>
      <c r="K67" s="269">
        <f t="shared" si="5"/>
        <v>0</v>
      </c>
      <c r="L67" s="239">
        <f t="shared" si="6"/>
        <v>0</v>
      </c>
      <c r="M67" s="275" t="e">
        <f t="shared" si="7"/>
        <v>#DIV/0!</v>
      </c>
      <c r="N67" s="3"/>
      <c r="O67" s="1">
        <f t="shared" si="17"/>
        <v>47</v>
      </c>
      <c r="P67" s="182">
        <f t="shared" si="17"/>
        <v>46104</v>
      </c>
      <c r="Q67" s="241">
        <f>ROUND(SUMIFS(BS_RE33!$U$7:$U$874,BS_RE33!$S$7:$S$874,'Summary &amp; Working File(AllCcy)'!P67,BS_RE33!$N$7:$N$874,'Summary &amp; Working File(AllCcy)'!$Q$10)+SUMIF($P$13:$P$19,P67,$Q$13:$Q$19),2)</f>
        <v>0</v>
      </c>
      <c r="R67" s="242">
        <f>ROUND(SUMIFS(BS_RE33!$U$7:$U$874,BS_RE33!$S$7:$S$874,'Summary &amp; Working File(AllCcy)'!P67,BS_RE33!$N$7:$N$874,'Summary &amp; Working File(AllCcy)'!$R$10)+SUMIF($P$13:$P$19,P67,$R$13:$R$19),2)</f>
        <v>0</v>
      </c>
    </row>
    <row r="68" spans="1:18">
      <c r="B68" s="243">
        <f t="shared" si="16"/>
        <v>48</v>
      </c>
      <c r="C68" s="247">
        <f t="shared" si="16"/>
        <v>46105</v>
      </c>
      <c r="D68" s="245">
        <f t="shared" si="9"/>
        <v>0</v>
      </c>
      <c r="E68" s="235">
        <f t="shared" si="12"/>
        <v>0</v>
      </c>
      <c r="F68" s="236">
        <f t="shared" si="1"/>
        <v>0</v>
      </c>
      <c r="G68" s="237">
        <f t="shared" si="0"/>
        <v>0</v>
      </c>
      <c r="H68" s="273">
        <f t="shared" si="2"/>
        <v>0</v>
      </c>
      <c r="I68" s="587">
        <f t="shared" si="15"/>
        <v>0</v>
      </c>
      <c r="J68" s="237">
        <f t="shared" si="4"/>
        <v>0</v>
      </c>
      <c r="K68" s="269">
        <f t="shared" si="5"/>
        <v>0</v>
      </c>
      <c r="L68" s="239">
        <f t="shared" si="6"/>
        <v>0</v>
      </c>
      <c r="M68" s="275" t="e">
        <f t="shared" si="7"/>
        <v>#DIV/0!</v>
      </c>
      <c r="N68" s="3"/>
      <c r="O68" s="1">
        <f t="shared" si="17"/>
        <v>48</v>
      </c>
      <c r="P68" s="182">
        <f t="shared" si="17"/>
        <v>46105</v>
      </c>
      <c r="Q68" s="241">
        <f>ROUND(SUMIFS(BS_RE33!$U$7:$U$874,BS_RE33!$S$7:$S$874,'Summary &amp; Working File(AllCcy)'!P68,BS_RE33!$N$7:$N$874,'Summary &amp; Working File(AllCcy)'!$Q$10)+SUMIF($P$13:$P$19,P68,$Q$13:$Q$19),2)</f>
        <v>0</v>
      </c>
      <c r="R68" s="242">
        <f>ROUND(SUMIFS(BS_RE33!$U$7:$U$874,BS_RE33!$S$7:$S$874,'Summary &amp; Working File(AllCcy)'!P68,BS_RE33!$N$7:$N$874,'Summary &amp; Working File(AllCcy)'!$R$10)+SUMIF($P$13:$P$19,P68,$R$13:$R$19),2)</f>
        <v>0</v>
      </c>
    </row>
    <row r="69" spans="1:18">
      <c r="B69" s="243">
        <f t="shared" si="16"/>
        <v>49</v>
      </c>
      <c r="C69" s="247">
        <f t="shared" si="16"/>
        <v>46106</v>
      </c>
      <c r="D69" s="245">
        <f t="shared" si="9"/>
        <v>0</v>
      </c>
      <c r="E69" s="235">
        <f t="shared" si="12"/>
        <v>0</v>
      </c>
      <c r="F69" s="236">
        <f t="shared" si="1"/>
        <v>0</v>
      </c>
      <c r="G69" s="237">
        <f t="shared" si="0"/>
        <v>0</v>
      </c>
      <c r="H69" s="273">
        <f t="shared" si="2"/>
        <v>0</v>
      </c>
      <c r="I69" s="587">
        <f t="shared" si="15"/>
        <v>0</v>
      </c>
      <c r="J69" s="237">
        <f t="shared" si="4"/>
        <v>0</v>
      </c>
      <c r="K69" s="269">
        <f t="shared" si="5"/>
        <v>0</v>
      </c>
      <c r="L69" s="239">
        <f t="shared" si="6"/>
        <v>0</v>
      </c>
      <c r="M69" s="275" t="e">
        <f t="shared" si="7"/>
        <v>#DIV/0!</v>
      </c>
      <c r="N69" s="3"/>
      <c r="O69" s="1">
        <f t="shared" si="17"/>
        <v>49</v>
      </c>
      <c r="P69" s="182">
        <f t="shared" si="17"/>
        <v>46106</v>
      </c>
      <c r="Q69" s="241">
        <f>ROUND(SUMIFS(BS_RE33!$U$7:$U$874,BS_RE33!$S$7:$S$874,'Summary &amp; Working File(AllCcy)'!P69,BS_RE33!$N$7:$N$874,'Summary &amp; Working File(AllCcy)'!$Q$10)+SUMIF($P$13:$P$19,P69,$Q$13:$Q$19),2)</f>
        <v>0</v>
      </c>
      <c r="R69" s="242">
        <f>ROUND(SUMIFS(BS_RE33!$U$7:$U$874,BS_RE33!$S$7:$S$874,'Summary &amp; Working File(AllCcy)'!P69,BS_RE33!$N$7:$N$874,'Summary &amp; Working File(AllCcy)'!$R$10)+SUMIF($P$13:$P$19,P69,$R$13:$R$19),2)</f>
        <v>0</v>
      </c>
    </row>
    <row r="70" spans="1:18">
      <c r="B70" s="243">
        <f t="shared" si="16"/>
        <v>50</v>
      </c>
      <c r="C70" s="247">
        <f t="shared" si="16"/>
        <v>46107</v>
      </c>
      <c r="D70" s="245">
        <f t="shared" si="9"/>
        <v>0</v>
      </c>
      <c r="E70" s="235">
        <f t="shared" si="12"/>
        <v>0</v>
      </c>
      <c r="F70" s="236">
        <f t="shared" si="1"/>
        <v>0</v>
      </c>
      <c r="G70" s="237">
        <f t="shared" si="0"/>
        <v>0</v>
      </c>
      <c r="H70" s="273">
        <f t="shared" si="2"/>
        <v>0</v>
      </c>
      <c r="I70" s="587">
        <f t="shared" si="15"/>
        <v>0</v>
      </c>
      <c r="J70" s="237">
        <f t="shared" si="4"/>
        <v>0</v>
      </c>
      <c r="K70" s="269">
        <f t="shared" si="5"/>
        <v>0</v>
      </c>
      <c r="L70" s="239">
        <f t="shared" si="6"/>
        <v>0</v>
      </c>
      <c r="M70" s="275" t="e">
        <f t="shared" si="7"/>
        <v>#DIV/0!</v>
      </c>
      <c r="N70" s="3"/>
      <c r="O70" s="1">
        <f t="shared" si="17"/>
        <v>50</v>
      </c>
      <c r="P70" s="182">
        <f t="shared" si="17"/>
        <v>46107</v>
      </c>
      <c r="Q70" s="241">
        <f>ROUND(SUMIFS(BS_RE33!$U$7:$U$874,BS_RE33!$S$7:$S$874,'Summary &amp; Working File(AllCcy)'!P70,BS_RE33!$N$7:$N$874,'Summary &amp; Working File(AllCcy)'!$Q$10)+SUMIF($P$13:$P$19,P70,$Q$13:$Q$19),2)</f>
        <v>0</v>
      </c>
      <c r="R70" s="242">
        <f>ROUND(SUMIFS(BS_RE33!$U$7:$U$874,BS_RE33!$S$7:$S$874,'Summary &amp; Working File(AllCcy)'!P70,BS_RE33!$N$7:$N$874,'Summary &amp; Working File(AllCcy)'!$R$10)+SUMIF($P$13:$P$19,P70,$R$13:$R$19),2)</f>
        <v>0</v>
      </c>
    </row>
    <row r="71" spans="1:18">
      <c r="B71" s="243">
        <f t="shared" ref="B71:C86" si="18">B70+1</f>
        <v>51</v>
      </c>
      <c r="C71" s="247">
        <f t="shared" si="18"/>
        <v>46108</v>
      </c>
      <c r="D71" s="245">
        <f t="shared" si="9"/>
        <v>0</v>
      </c>
      <c r="E71" s="235">
        <f t="shared" si="12"/>
        <v>0</v>
      </c>
      <c r="F71" s="236">
        <f t="shared" si="1"/>
        <v>0</v>
      </c>
      <c r="G71" s="237">
        <f t="shared" si="0"/>
        <v>0</v>
      </c>
      <c r="H71" s="273">
        <f t="shared" si="2"/>
        <v>0</v>
      </c>
      <c r="I71" s="587">
        <f t="shared" si="15"/>
        <v>0</v>
      </c>
      <c r="J71" s="237">
        <f t="shared" si="4"/>
        <v>0</v>
      </c>
      <c r="K71" s="269">
        <f t="shared" si="5"/>
        <v>0</v>
      </c>
      <c r="L71" s="239">
        <f t="shared" si="6"/>
        <v>0</v>
      </c>
      <c r="M71" s="275" t="e">
        <f t="shared" si="7"/>
        <v>#DIV/0!</v>
      </c>
      <c r="N71" s="3"/>
      <c r="O71" s="1">
        <f t="shared" ref="O71:P86" si="19">O70+1</f>
        <v>51</v>
      </c>
      <c r="P71" s="182">
        <f t="shared" si="19"/>
        <v>46108</v>
      </c>
      <c r="Q71" s="241">
        <f>ROUND(SUMIFS(BS_RE33!$U$7:$U$874,BS_RE33!$S$7:$S$874,'Summary &amp; Working File(AllCcy)'!P71,BS_RE33!$N$7:$N$874,'Summary &amp; Working File(AllCcy)'!$Q$10)+SUMIF($P$13:$P$19,P71,$Q$13:$Q$19),2)</f>
        <v>0</v>
      </c>
      <c r="R71" s="242">
        <f>ROUND(SUMIFS(BS_RE33!$U$7:$U$874,BS_RE33!$S$7:$S$874,'Summary &amp; Working File(AllCcy)'!P71,BS_RE33!$N$7:$N$874,'Summary &amp; Working File(AllCcy)'!$R$10)+SUMIF($P$13:$P$19,P71,$R$13:$R$19),2)</f>
        <v>0</v>
      </c>
    </row>
    <row r="72" spans="1:18">
      <c r="B72" s="243">
        <f t="shared" si="18"/>
        <v>52</v>
      </c>
      <c r="C72" s="247">
        <f t="shared" si="18"/>
        <v>46109</v>
      </c>
      <c r="D72" s="245">
        <f t="shared" si="9"/>
        <v>0</v>
      </c>
      <c r="E72" s="235">
        <f t="shared" si="12"/>
        <v>0</v>
      </c>
      <c r="F72" s="236">
        <f t="shared" si="1"/>
        <v>0</v>
      </c>
      <c r="G72" s="237">
        <f t="shared" si="0"/>
        <v>0</v>
      </c>
      <c r="H72" s="273">
        <f t="shared" si="2"/>
        <v>0</v>
      </c>
      <c r="I72" s="587">
        <f t="shared" si="15"/>
        <v>0</v>
      </c>
      <c r="J72" s="237">
        <f t="shared" si="4"/>
        <v>0</v>
      </c>
      <c r="K72" s="269">
        <f t="shared" si="5"/>
        <v>0</v>
      </c>
      <c r="L72" s="239">
        <f t="shared" si="6"/>
        <v>0</v>
      </c>
      <c r="M72" s="275" t="e">
        <f t="shared" si="7"/>
        <v>#DIV/0!</v>
      </c>
      <c r="N72" s="3"/>
      <c r="O72" s="1">
        <f t="shared" si="19"/>
        <v>52</v>
      </c>
      <c r="P72" s="182">
        <f t="shared" si="19"/>
        <v>46109</v>
      </c>
      <c r="Q72" s="241">
        <f>ROUND(SUMIFS(BS_RE33!$U$7:$U$874,BS_RE33!$S$7:$S$874,'Summary &amp; Working File(AllCcy)'!P72,BS_RE33!$N$7:$N$874,'Summary &amp; Working File(AllCcy)'!$Q$10)+SUMIF($P$13:$P$19,P72,$Q$13:$Q$19),2)</f>
        <v>0</v>
      </c>
      <c r="R72" s="242">
        <f>ROUND(SUMIFS(BS_RE33!$U$7:$U$874,BS_RE33!$S$7:$S$874,'Summary &amp; Working File(AllCcy)'!P72,BS_RE33!$N$7:$N$874,'Summary &amp; Working File(AllCcy)'!$R$10)+SUMIF($P$13:$P$19,P72,$R$13:$R$19),2)</f>
        <v>0</v>
      </c>
    </row>
    <row r="73" spans="1:18">
      <c r="B73" s="243">
        <f t="shared" si="18"/>
        <v>53</v>
      </c>
      <c r="C73" s="247">
        <f t="shared" si="18"/>
        <v>46110</v>
      </c>
      <c r="D73" s="245">
        <f t="shared" si="9"/>
        <v>0</v>
      </c>
      <c r="E73" s="235">
        <f t="shared" si="12"/>
        <v>0</v>
      </c>
      <c r="F73" s="236">
        <f t="shared" si="1"/>
        <v>0</v>
      </c>
      <c r="G73" s="237">
        <f t="shared" si="0"/>
        <v>0</v>
      </c>
      <c r="H73" s="273">
        <f t="shared" si="2"/>
        <v>0</v>
      </c>
      <c r="I73" s="587">
        <f t="shared" si="15"/>
        <v>0</v>
      </c>
      <c r="J73" s="237">
        <f t="shared" si="4"/>
        <v>0</v>
      </c>
      <c r="K73" s="269">
        <f t="shared" si="5"/>
        <v>0</v>
      </c>
      <c r="L73" s="239">
        <f t="shared" si="6"/>
        <v>0</v>
      </c>
      <c r="M73" s="275" t="e">
        <f t="shared" si="7"/>
        <v>#DIV/0!</v>
      </c>
      <c r="N73" s="3"/>
      <c r="O73" s="1">
        <f t="shared" si="19"/>
        <v>53</v>
      </c>
      <c r="P73" s="182">
        <f t="shared" si="19"/>
        <v>46110</v>
      </c>
      <c r="Q73" s="241">
        <f>ROUND(SUMIFS(BS_RE33!$U$7:$U$874,BS_RE33!$S$7:$S$874,'Summary &amp; Working File(AllCcy)'!P73,BS_RE33!$N$7:$N$874,'Summary &amp; Working File(AllCcy)'!$Q$10)+SUMIF($P$13:$P$19,P73,$Q$13:$Q$19),2)</f>
        <v>0</v>
      </c>
      <c r="R73" s="242">
        <f>ROUND(SUMIFS(BS_RE33!$U$7:$U$874,BS_RE33!$S$7:$S$874,'Summary &amp; Working File(AllCcy)'!P73,BS_RE33!$N$7:$N$874,'Summary &amp; Working File(AllCcy)'!$R$10)+SUMIF($P$13:$P$19,P73,$R$13:$R$19),2)</f>
        <v>0</v>
      </c>
    </row>
    <row r="74" spans="1:18">
      <c r="B74" s="243">
        <f t="shared" si="18"/>
        <v>54</v>
      </c>
      <c r="C74" s="247">
        <f t="shared" si="18"/>
        <v>46111</v>
      </c>
      <c r="D74" s="245">
        <f t="shared" si="9"/>
        <v>0</v>
      </c>
      <c r="E74" s="235">
        <f t="shared" si="12"/>
        <v>0</v>
      </c>
      <c r="F74" s="236">
        <f t="shared" si="1"/>
        <v>0</v>
      </c>
      <c r="G74" s="237">
        <f t="shared" si="0"/>
        <v>0</v>
      </c>
      <c r="H74" s="273">
        <f t="shared" si="2"/>
        <v>0</v>
      </c>
      <c r="I74" s="587">
        <f t="shared" si="15"/>
        <v>0</v>
      </c>
      <c r="J74" s="237">
        <f t="shared" si="4"/>
        <v>0</v>
      </c>
      <c r="K74" s="269">
        <f t="shared" si="5"/>
        <v>0</v>
      </c>
      <c r="L74" s="239">
        <f t="shared" si="6"/>
        <v>0</v>
      </c>
      <c r="M74" s="275" t="e">
        <f t="shared" si="7"/>
        <v>#DIV/0!</v>
      </c>
      <c r="N74" s="3"/>
      <c r="O74" s="1">
        <f t="shared" si="19"/>
        <v>54</v>
      </c>
      <c r="P74" s="182">
        <f t="shared" si="19"/>
        <v>46111</v>
      </c>
      <c r="Q74" s="241">
        <f>ROUND(SUMIFS(BS_RE33!$U$7:$U$874,BS_RE33!$S$7:$S$874,'Summary &amp; Working File(AllCcy)'!P74,BS_RE33!$N$7:$N$874,'Summary &amp; Working File(AllCcy)'!$Q$10)+SUMIF($P$13:$P$19,P74,$Q$13:$Q$19),2)</f>
        <v>0</v>
      </c>
      <c r="R74" s="242">
        <f>ROUND(SUMIFS(BS_RE33!$U$7:$U$874,BS_RE33!$S$7:$S$874,'Summary &amp; Working File(AllCcy)'!P74,BS_RE33!$N$7:$N$874,'Summary &amp; Working File(AllCcy)'!$R$10)+SUMIF($P$13:$P$19,P74,$R$13:$R$19),2)</f>
        <v>0</v>
      </c>
    </row>
    <row r="75" spans="1:18" s="14" customFormat="1">
      <c r="A75" s="1"/>
      <c r="B75" s="243">
        <f t="shared" si="18"/>
        <v>55</v>
      </c>
      <c r="C75" s="247">
        <f t="shared" si="18"/>
        <v>46112</v>
      </c>
      <c r="D75" s="245">
        <f t="shared" si="9"/>
        <v>0</v>
      </c>
      <c r="E75" s="235">
        <f t="shared" si="12"/>
        <v>0</v>
      </c>
      <c r="F75" s="236">
        <f t="shared" si="1"/>
        <v>0</v>
      </c>
      <c r="G75" s="237">
        <f t="shared" si="0"/>
        <v>0</v>
      </c>
      <c r="H75" s="273">
        <f t="shared" si="2"/>
        <v>0</v>
      </c>
      <c r="I75" s="587">
        <f t="shared" si="15"/>
        <v>0</v>
      </c>
      <c r="J75" s="237">
        <f t="shared" si="4"/>
        <v>0</v>
      </c>
      <c r="K75" s="269">
        <f t="shared" si="5"/>
        <v>0</v>
      </c>
      <c r="L75" s="239">
        <f t="shared" si="6"/>
        <v>0</v>
      </c>
      <c r="M75" s="275" t="e">
        <f t="shared" si="7"/>
        <v>#DIV/0!</v>
      </c>
      <c r="N75" s="3"/>
      <c r="O75" s="1">
        <f t="shared" si="19"/>
        <v>55</v>
      </c>
      <c r="P75" s="182">
        <f t="shared" si="19"/>
        <v>46112</v>
      </c>
      <c r="Q75" s="241">
        <f>ROUND(SUMIFS(BS_RE33!$U$7:$U$874,BS_RE33!$S$7:$S$874,'Summary &amp; Working File(AllCcy)'!P75,BS_RE33!$N$7:$N$874,'Summary &amp; Working File(AllCcy)'!$Q$10)+SUMIF($P$13:$P$19,P75,$Q$13:$Q$19),2)</f>
        <v>0</v>
      </c>
      <c r="R75" s="242">
        <f>ROUND(SUMIFS(BS_RE33!$U$7:$U$874,BS_RE33!$S$7:$S$874,'Summary &amp; Working File(AllCcy)'!P75,BS_RE33!$N$7:$N$874,'Summary &amp; Working File(AllCcy)'!$R$10)+SUMIF($P$13:$P$19,P75,$R$13:$R$19),2)</f>
        <v>0</v>
      </c>
    </row>
    <row r="76" spans="1:18" s="14" customFormat="1">
      <c r="A76" s="1"/>
      <c r="B76" s="243">
        <f t="shared" si="18"/>
        <v>56</v>
      </c>
      <c r="C76" s="247">
        <f t="shared" si="18"/>
        <v>46113</v>
      </c>
      <c r="D76" s="245">
        <f t="shared" si="9"/>
        <v>0</v>
      </c>
      <c r="E76" s="235">
        <f t="shared" si="12"/>
        <v>0</v>
      </c>
      <c r="F76" s="236">
        <f t="shared" si="1"/>
        <v>0</v>
      </c>
      <c r="G76" s="237">
        <f t="shared" si="0"/>
        <v>0</v>
      </c>
      <c r="H76" s="273">
        <f t="shared" si="2"/>
        <v>0</v>
      </c>
      <c r="I76" s="587">
        <f t="shared" si="15"/>
        <v>0</v>
      </c>
      <c r="J76" s="237">
        <f t="shared" si="4"/>
        <v>0</v>
      </c>
      <c r="K76" s="269">
        <f t="shared" si="5"/>
        <v>0</v>
      </c>
      <c r="L76" s="239">
        <f t="shared" si="6"/>
        <v>0</v>
      </c>
      <c r="M76" s="275" t="e">
        <f t="shared" si="7"/>
        <v>#DIV/0!</v>
      </c>
      <c r="N76" s="3"/>
      <c r="O76" s="1">
        <f t="shared" si="19"/>
        <v>56</v>
      </c>
      <c r="P76" s="182">
        <f t="shared" si="19"/>
        <v>46113</v>
      </c>
      <c r="Q76" s="241">
        <f>ROUND(SUMIFS(BS_RE33!$U$7:$U$874,BS_RE33!$S$7:$S$874,'Summary &amp; Working File(AllCcy)'!P76,BS_RE33!$N$7:$N$874,'Summary &amp; Working File(AllCcy)'!$Q$10)+SUMIF($P$13:$P$19,P76,$Q$13:$Q$19),2)</f>
        <v>0</v>
      </c>
      <c r="R76" s="242">
        <f>ROUND(SUMIFS(BS_RE33!$U$7:$U$874,BS_RE33!$S$7:$S$874,'Summary &amp; Working File(AllCcy)'!P76,BS_RE33!$N$7:$N$874,'Summary &amp; Working File(AllCcy)'!$R$10)+SUMIF($P$13:$P$19,P76,$R$13:$R$19),2)</f>
        <v>0</v>
      </c>
    </row>
    <row r="77" spans="1:18" s="14" customFormat="1">
      <c r="A77" s="1"/>
      <c r="B77" s="243">
        <f t="shared" si="18"/>
        <v>57</v>
      </c>
      <c r="C77" s="247">
        <f t="shared" si="18"/>
        <v>46114</v>
      </c>
      <c r="D77" s="245">
        <f t="shared" si="9"/>
        <v>0</v>
      </c>
      <c r="E77" s="235">
        <f t="shared" si="12"/>
        <v>0</v>
      </c>
      <c r="F77" s="236">
        <f t="shared" si="1"/>
        <v>0</v>
      </c>
      <c r="G77" s="237">
        <f t="shared" si="0"/>
        <v>0</v>
      </c>
      <c r="H77" s="273">
        <f t="shared" si="2"/>
        <v>0</v>
      </c>
      <c r="I77" s="587">
        <f t="shared" si="15"/>
        <v>0</v>
      </c>
      <c r="J77" s="237">
        <f t="shared" si="4"/>
        <v>0</v>
      </c>
      <c r="K77" s="269">
        <f t="shared" si="5"/>
        <v>0</v>
      </c>
      <c r="L77" s="239">
        <f t="shared" si="6"/>
        <v>0</v>
      </c>
      <c r="M77" s="275" t="e">
        <f t="shared" si="7"/>
        <v>#DIV/0!</v>
      </c>
      <c r="N77" s="3"/>
      <c r="O77" s="1">
        <f t="shared" si="19"/>
        <v>57</v>
      </c>
      <c r="P77" s="182">
        <f t="shared" si="19"/>
        <v>46114</v>
      </c>
      <c r="Q77" s="241">
        <f>ROUND(SUMIFS(BS_RE33!$U$7:$U$874,BS_RE33!$S$7:$S$874,'Summary &amp; Working File(AllCcy)'!P77,BS_RE33!$N$7:$N$874,'Summary &amp; Working File(AllCcy)'!$Q$10)+SUMIF($P$13:$P$19,P77,$Q$13:$Q$19),2)</f>
        <v>0</v>
      </c>
      <c r="R77" s="242">
        <f>ROUND(SUMIFS(BS_RE33!$U$7:$U$874,BS_RE33!$S$7:$S$874,'Summary &amp; Working File(AllCcy)'!P77,BS_RE33!$N$7:$N$874,'Summary &amp; Working File(AllCcy)'!$R$10)+SUMIF($P$13:$P$19,P77,$R$13:$R$19),2)</f>
        <v>0</v>
      </c>
    </row>
    <row r="78" spans="1:18" s="14" customFormat="1">
      <c r="A78" s="1"/>
      <c r="B78" s="243">
        <f t="shared" si="18"/>
        <v>58</v>
      </c>
      <c r="C78" s="247">
        <f t="shared" si="18"/>
        <v>46115</v>
      </c>
      <c r="D78" s="245">
        <f t="shared" si="9"/>
        <v>0</v>
      </c>
      <c r="E78" s="235">
        <f t="shared" si="12"/>
        <v>0</v>
      </c>
      <c r="F78" s="236">
        <f t="shared" si="1"/>
        <v>0</v>
      </c>
      <c r="G78" s="237">
        <f t="shared" si="0"/>
        <v>0</v>
      </c>
      <c r="H78" s="273">
        <f t="shared" si="2"/>
        <v>0</v>
      </c>
      <c r="I78" s="587">
        <f t="shared" si="15"/>
        <v>0</v>
      </c>
      <c r="J78" s="237">
        <f t="shared" si="4"/>
        <v>0</v>
      </c>
      <c r="K78" s="269">
        <f t="shared" si="5"/>
        <v>0</v>
      </c>
      <c r="L78" s="239">
        <f t="shared" si="6"/>
        <v>0</v>
      </c>
      <c r="M78" s="275" t="e">
        <f t="shared" si="7"/>
        <v>#DIV/0!</v>
      </c>
      <c r="N78" s="3"/>
      <c r="O78" s="1">
        <f t="shared" si="19"/>
        <v>58</v>
      </c>
      <c r="P78" s="182">
        <f t="shared" si="19"/>
        <v>46115</v>
      </c>
      <c r="Q78" s="241">
        <f>ROUND(SUMIFS(BS_RE33!$U$7:$U$874,BS_RE33!$S$7:$S$874,'Summary &amp; Working File(AllCcy)'!P78,BS_RE33!$N$7:$N$874,'Summary &amp; Working File(AllCcy)'!$Q$10)+SUMIF($P$13:$P$19,P78,$Q$13:$Q$19),2)</f>
        <v>0</v>
      </c>
      <c r="R78" s="242">
        <f>ROUND(SUMIFS(BS_RE33!$U$7:$U$874,BS_RE33!$S$7:$S$874,'Summary &amp; Working File(AllCcy)'!P78,BS_RE33!$N$7:$N$874,'Summary &amp; Working File(AllCcy)'!$R$10)+SUMIF($P$13:$P$19,P78,$R$13:$R$19),2)</f>
        <v>0</v>
      </c>
    </row>
    <row r="79" spans="1:18" s="14" customFormat="1">
      <c r="A79" s="1"/>
      <c r="B79" s="243">
        <f t="shared" si="18"/>
        <v>59</v>
      </c>
      <c r="C79" s="247">
        <f t="shared" si="18"/>
        <v>46116</v>
      </c>
      <c r="D79" s="245">
        <f t="shared" si="9"/>
        <v>0</v>
      </c>
      <c r="E79" s="235">
        <f t="shared" si="12"/>
        <v>0</v>
      </c>
      <c r="F79" s="236">
        <f t="shared" si="1"/>
        <v>0</v>
      </c>
      <c r="G79" s="237">
        <f t="shared" si="0"/>
        <v>0</v>
      </c>
      <c r="H79" s="273">
        <f t="shared" si="2"/>
        <v>0</v>
      </c>
      <c r="I79" s="587">
        <f t="shared" si="15"/>
        <v>0</v>
      </c>
      <c r="J79" s="237">
        <f t="shared" si="4"/>
        <v>0</v>
      </c>
      <c r="K79" s="269">
        <f t="shared" si="5"/>
        <v>0</v>
      </c>
      <c r="L79" s="239">
        <f t="shared" si="6"/>
        <v>0</v>
      </c>
      <c r="M79" s="275" t="e">
        <f t="shared" si="7"/>
        <v>#DIV/0!</v>
      </c>
      <c r="N79" s="3"/>
      <c r="O79" s="1">
        <f t="shared" si="19"/>
        <v>59</v>
      </c>
      <c r="P79" s="182">
        <f t="shared" si="19"/>
        <v>46116</v>
      </c>
      <c r="Q79" s="241">
        <f>ROUND(SUMIFS(BS_RE33!$U$7:$U$874,BS_RE33!$S$7:$S$874,'Summary &amp; Working File(AllCcy)'!P79,BS_RE33!$N$7:$N$874,'Summary &amp; Working File(AllCcy)'!$Q$10)+SUMIF($P$13:$P$19,P79,$Q$13:$Q$19),2)</f>
        <v>0</v>
      </c>
      <c r="R79" s="242">
        <f>ROUND(SUMIFS(BS_RE33!$U$7:$U$874,BS_RE33!$S$7:$S$874,'Summary &amp; Working File(AllCcy)'!P79,BS_RE33!$N$7:$N$874,'Summary &amp; Working File(AllCcy)'!$R$10)+SUMIF($P$13:$P$19,P79,$R$13:$R$19),2)</f>
        <v>0</v>
      </c>
    </row>
    <row r="80" spans="1:18" s="14" customFormat="1">
      <c r="A80" s="1"/>
      <c r="B80" s="243">
        <f t="shared" si="18"/>
        <v>60</v>
      </c>
      <c r="C80" s="247">
        <f t="shared" si="18"/>
        <v>46117</v>
      </c>
      <c r="D80" s="245">
        <f t="shared" si="9"/>
        <v>0</v>
      </c>
      <c r="E80" s="235">
        <f t="shared" si="12"/>
        <v>0</v>
      </c>
      <c r="F80" s="236">
        <f t="shared" si="1"/>
        <v>0</v>
      </c>
      <c r="G80" s="237">
        <f t="shared" si="0"/>
        <v>0</v>
      </c>
      <c r="H80" s="273">
        <f t="shared" si="2"/>
        <v>0</v>
      </c>
      <c r="I80" s="587">
        <f t="shared" si="15"/>
        <v>0</v>
      </c>
      <c r="J80" s="237">
        <f t="shared" si="4"/>
        <v>0</v>
      </c>
      <c r="K80" s="269">
        <f t="shared" si="5"/>
        <v>0</v>
      </c>
      <c r="L80" s="239">
        <f t="shared" si="6"/>
        <v>0</v>
      </c>
      <c r="M80" s="275" t="e">
        <f t="shared" si="7"/>
        <v>#DIV/0!</v>
      </c>
      <c r="N80" s="3"/>
      <c r="O80" s="1">
        <f t="shared" si="19"/>
        <v>60</v>
      </c>
      <c r="P80" s="182">
        <f t="shared" si="19"/>
        <v>46117</v>
      </c>
      <c r="Q80" s="241">
        <f>ROUND(SUMIFS(BS_RE33!$U$7:$U$874,BS_RE33!$S$7:$S$874,'Summary &amp; Working File(AllCcy)'!P80,BS_RE33!$N$7:$N$874,'Summary &amp; Working File(AllCcy)'!$Q$10)+SUMIF($P$13:$P$19,P80,$Q$13:$Q$19),2)</f>
        <v>0</v>
      </c>
      <c r="R80" s="242">
        <f>ROUND(SUMIFS(BS_RE33!$U$7:$U$874,BS_RE33!$S$7:$S$874,'Summary &amp; Working File(AllCcy)'!P80,BS_RE33!$N$7:$N$874,'Summary &amp; Working File(AllCcy)'!$R$10)+SUMIF($P$13:$P$19,P80,$R$13:$R$19),2)</f>
        <v>0</v>
      </c>
    </row>
    <row r="81" spans="1:18" s="14" customFormat="1">
      <c r="A81" s="1"/>
      <c r="B81" s="243">
        <f t="shared" si="18"/>
        <v>61</v>
      </c>
      <c r="C81" s="247">
        <f t="shared" si="18"/>
        <v>46118</v>
      </c>
      <c r="D81" s="245">
        <f t="shared" si="9"/>
        <v>0</v>
      </c>
      <c r="E81" s="235">
        <f t="shared" si="12"/>
        <v>0</v>
      </c>
      <c r="F81" s="236">
        <f t="shared" si="1"/>
        <v>0</v>
      </c>
      <c r="G81" s="237">
        <f t="shared" si="0"/>
        <v>0</v>
      </c>
      <c r="H81" s="273">
        <f t="shared" si="2"/>
        <v>0</v>
      </c>
      <c r="I81" s="587">
        <f t="shared" si="15"/>
        <v>0</v>
      </c>
      <c r="J81" s="237">
        <f t="shared" si="4"/>
        <v>0</v>
      </c>
      <c r="K81" s="269">
        <f t="shared" si="5"/>
        <v>0</v>
      </c>
      <c r="L81" s="239">
        <f t="shared" si="6"/>
        <v>0</v>
      </c>
      <c r="M81" s="275" t="e">
        <f t="shared" si="7"/>
        <v>#DIV/0!</v>
      </c>
      <c r="N81" s="3"/>
      <c r="O81" s="1">
        <f t="shared" si="19"/>
        <v>61</v>
      </c>
      <c r="P81" s="182">
        <f t="shared" si="19"/>
        <v>46118</v>
      </c>
      <c r="Q81" s="241">
        <f>ROUND(SUMIFS(BS_RE33!$U$7:$U$874,BS_RE33!$S$7:$S$874,'Summary &amp; Working File(AllCcy)'!P81,BS_RE33!$N$7:$N$874,'Summary &amp; Working File(AllCcy)'!$Q$10)+SUMIF($P$13:$P$19,P81,$Q$13:$Q$19),2)</f>
        <v>0</v>
      </c>
      <c r="R81" s="242">
        <f>ROUND(SUMIFS(BS_RE33!$U$7:$U$874,BS_RE33!$S$7:$S$874,'Summary &amp; Working File(AllCcy)'!P81,BS_RE33!$N$7:$N$874,'Summary &amp; Working File(AllCcy)'!$R$10)+SUMIF($P$13:$P$19,P81,$R$13:$R$19),2)</f>
        <v>0</v>
      </c>
    </row>
    <row r="82" spans="1:18" s="14" customFormat="1">
      <c r="A82" s="1"/>
      <c r="B82" s="243">
        <f t="shared" si="18"/>
        <v>62</v>
      </c>
      <c r="C82" s="247">
        <f t="shared" si="18"/>
        <v>46119</v>
      </c>
      <c r="D82" s="245">
        <f t="shared" si="9"/>
        <v>0</v>
      </c>
      <c r="E82" s="235">
        <f t="shared" si="12"/>
        <v>0</v>
      </c>
      <c r="F82" s="236">
        <f t="shared" si="1"/>
        <v>0</v>
      </c>
      <c r="G82" s="237">
        <f t="shared" si="0"/>
        <v>0</v>
      </c>
      <c r="H82" s="273">
        <f t="shared" si="2"/>
        <v>0</v>
      </c>
      <c r="I82" s="587">
        <f t="shared" si="15"/>
        <v>0</v>
      </c>
      <c r="J82" s="237">
        <f t="shared" si="4"/>
        <v>0</v>
      </c>
      <c r="K82" s="269">
        <f t="shared" si="5"/>
        <v>0</v>
      </c>
      <c r="L82" s="239">
        <f t="shared" si="6"/>
        <v>0</v>
      </c>
      <c r="M82" s="275" t="e">
        <f t="shared" si="7"/>
        <v>#DIV/0!</v>
      </c>
      <c r="N82" s="3"/>
      <c r="O82" s="1">
        <f t="shared" si="19"/>
        <v>62</v>
      </c>
      <c r="P82" s="182">
        <f t="shared" si="19"/>
        <v>46119</v>
      </c>
      <c r="Q82" s="241">
        <f>ROUND(SUMIFS(BS_RE33!$U$7:$U$874,BS_RE33!$S$7:$S$874,'Summary &amp; Working File(AllCcy)'!P82,BS_RE33!$N$7:$N$874,'Summary &amp; Working File(AllCcy)'!$Q$10)+SUMIF($P$13:$P$19,P82,$Q$13:$Q$19),2)</f>
        <v>0</v>
      </c>
      <c r="R82" s="242">
        <f>ROUND(SUMIFS(BS_RE33!$U$7:$U$874,BS_RE33!$S$7:$S$874,'Summary &amp; Working File(AllCcy)'!P82,BS_RE33!$N$7:$N$874,'Summary &amp; Working File(AllCcy)'!$R$10)+SUMIF($P$13:$P$19,P82,$R$13:$R$19),2)</f>
        <v>0</v>
      </c>
    </row>
    <row r="83" spans="1:18" s="14" customFormat="1">
      <c r="A83" s="1"/>
      <c r="B83" s="243">
        <f t="shared" si="18"/>
        <v>63</v>
      </c>
      <c r="C83" s="247">
        <f t="shared" si="18"/>
        <v>46120</v>
      </c>
      <c r="D83" s="245">
        <f t="shared" si="9"/>
        <v>0</v>
      </c>
      <c r="E83" s="235">
        <f t="shared" si="12"/>
        <v>0</v>
      </c>
      <c r="F83" s="236">
        <f t="shared" si="1"/>
        <v>0</v>
      </c>
      <c r="G83" s="237">
        <f t="shared" si="0"/>
        <v>0</v>
      </c>
      <c r="H83" s="273">
        <f t="shared" si="2"/>
        <v>0</v>
      </c>
      <c r="I83" s="587">
        <f t="shared" si="15"/>
        <v>0</v>
      </c>
      <c r="J83" s="237">
        <f t="shared" si="4"/>
        <v>0</v>
      </c>
      <c r="K83" s="269">
        <f t="shared" si="5"/>
        <v>0</v>
      </c>
      <c r="L83" s="239">
        <f t="shared" si="6"/>
        <v>0</v>
      </c>
      <c r="M83" s="275" t="e">
        <f t="shared" si="7"/>
        <v>#DIV/0!</v>
      </c>
      <c r="N83" s="3"/>
      <c r="O83" s="1">
        <f t="shared" si="19"/>
        <v>63</v>
      </c>
      <c r="P83" s="182">
        <f t="shared" si="19"/>
        <v>46120</v>
      </c>
      <c r="Q83" s="241">
        <f>ROUND(SUMIFS(BS_RE33!$U$7:$U$874,BS_RE33!$S$7:$S$874,'Summary &amp; Working File(AllCcy)'!P83,BS_RE33!$N$7:$N$874,'Summary &amp; Working File(AllCcy)'!$Q$10)+SUMIF($P$13:$P$19,P83,$Q$13:$Q$19),2)</f>
        <v>0</v>
      </c>
      <c r="R83" s="242">
        <f>ROUND(SUMIFS(BS_RE33!$U$7:$U$874,BS_RE33!$S$7:$S$874,'Summary &amp; Working File(AllCcy)'!P83,BS_RE33!$N$7:$N$874,'Summary &amp; Working File(AllCcy)'!$R$10)+SUMIF($P$13:$P$19,P83,$R$13:$R$19),2)</f>
        <v>0</v>
      </c>
    </row>
    <row r="84" spans="1:18" s="14" customFormat="1">
      <c r="A84" s="1"/>
      <c r="B84" s="243">
        <f t="shared" si="18"/>
        <v>64</v>
      </c>
      <c r="C84" s="247">
        <f t="shared" si="18"/>
        <v>46121</v>
      </c>
      <c r="D84" s="245">
        <f t="shared" si="9"/>
        <v>0</v>
      </c>
      <c r="E84" s="235">
        <f t="shared" si="12"/>
        <v>0</v>
      </c>
      <c r="F84" s="236">
        <f t="shared" si="1"/>
        <v>0</v>
      </c>
      <c r="G84" s="237">
        <f t="shared" si="0"/>
        <v>0</v>
      </c>
      <c r="H84" s="273">
        <f t="shared" si="2"/>
        <v>0</v>
      </c>
      <c r="I84" s="587">
        <f t="shared" si="15"/>
        <v>0</v>
      </c>
      <c r="J84" s="237">
        <f t="shared" si="4"/>
        <v>0</v>
      </c>
      <c r="K84" s="269">
        <f t="shared" si="5"/>
        <v>0</v>
      </c>
      <c r="L84" s="239">
        <f t="shared" si="6"/>
        <v>0</v>
      </c>
      <c r="M84" s="275" t="e">
        <f t="shared" si="7"/>
        <v>#DIV/0!</v>
      </c>
      <c r="N84" s="3"/>
      <c r="O84" s="1">
        <f t="shared" si="19"/>
        <v>64</v>
      </c>
      <c r="P84" s="182">
        <f t="shared" si="19"/>
        <v>46121</v>
      </c>
      <c r="Q84" s="241">
        <f>ROUND(SUMIFS(BS_RE33!$U$7:$U$874,BS_RE33!$S$7:$S$874,'Summary &amp; Working File(AllCcy)'!P84,BS_RE33!$N$7:$N$874,'Summary &amp; Working File(AllCcy)'!$Q$10)+SUMIF($P$13:$P$19,P84,$Q$13:$Q$19),2)</f>
        <v>0</v>
      </c>
      <c r="R84" s="242">
        <f>ROUND(SUMIFS(BS_RE33!$U$7:$U$874,BS_RE33!$S$7:$S$874,'Summary &amp; Working File(AllCcy)'!P84,BS_RE33!$N$7:$N$874,'Summary &amp; Working File(AllCcy)'!$R$10)+SUMIF($P$13:$P$19,P84,$R$13:$R$19),2)</f>
        <v>0</v>
      </c>
    </row>
    <row r="85" spans="1:18">
      <c r="B85" s="243">
        <f t="shared" si="18"/>
        <v>65</v>
      </c>
      <c r="C85" s="247">
        <f t="shared" si="18"/>
        <v>46122</v>
      </c>
      <c r="D85" s="245">
        <f t="shared" si="9"/>
        <v>0</v>
      </c>
      <c r="E85" s="235">
        <f t="shared" si="12"/>
        <v>0</v>
      </c>
      <c r="F85" s="236">
        <f t="shared" si="1"/>
        <v>0</v>
      </c>
      <c r="G85" s="237">
        <f t="shared" ref="G85:G148" si="20">$J$10*10%</f>
        <v>0</v>
      </c>
      <c r="H85" s="273">
        <f t="shared" si="2"/>
        <v>0</v>
      </c>
      <c r="I85" s="587">
        <f t="shared" si="15"/>
        <v>0</v>
      </c>
      <c r="J85" s="237">
        <f t="shared" si="4"/>
        <v>0</v>
      </c>
      <c r="K85" s="269">
        <f t="shared" si="5"/>
        <v>0</v>
      </c>
      <c r="L85" s="239">
        <f t="shared" si="6"/>
        <v>0</v>
      </c>
      <c r="M85" s="275" t="e">
        <f t="shared" si="7"/>
        <v>#DIV/0!</v>
      </c>
      <c r="N85" s="3"/>
      <c r="O85" s="1">
        <f t="shared" si="19"/>
        <v>65</v>
      </c>
      <c r="P85" s="182">
        <f t="shared" si="19"/>
        <v>46122</v>
      </c>
      <c r="Q85" s="241">
        <f>ROUND(SUMIFS(BS_RE33!$U$7:$U$874,BS_RE33!$S$7:$S$874,'Summary &amp; Working File(AllCcy)'!P85,BS_RE33!$N$7:$N$874,'Summary &amp; Working File(AllCcy)'!$Q$10)+SUMIF($P$13:$P$19,P85,$Q$13:$Q$19),2)</f>
        <v>0</v>
      </c>
      <c r="R85" s="242">
        <f>ROUND(SUMIFS(BS_RE33!$U$7:$U$874,BS_RE33!$S$7:$S$874,'Summary &amp; Working File(AllCcy)'!P85,BS_RE33!$N$7:$N$874,'Summary &amp; Working File(AllCcy)'!$R$10)+SUMIF($P$13:$P$19,P85,$R$13:$R$19),2)</f>
        <v>0</v>
      </c>
    </row>
    <row r="86" spans="1:18">
      <c r="B86" s="243">
        <f t="shared" si="18"/>
        <v>66</v>
      </c>
      <c r="C86" s="247">
        <f t="shared" si="18"/>
        <v>46123</v>
      </c>
      <c r="D86" s="245">
        <f t="shared" si="9"/>
        <v>0</v>
      </c>
      <c r="E86" s="235">
        <f t="shared" si="12"/>
        <v>0</v>
      </c>
      <c r="F86" s="236">
        <f t="shared" ref="F86:F149" si="21">(IF(C86&lt;($E$11-30),$E$10*5%,0)+IF(C86&lt;($F$11-30),$F$10*5%,0)+IF(C86&lt;($G$11-30),$G$10*5%,0)+IF(C86&lt;($H$11-30),$H$10*5%,0))+(IF(C86&lt;($E$15-30),$E$14*10%,0)+IF(C86&lt;($F$15-30),$F$14*10%,0)+IF(C86&lt;($G$15-30),$G$14*10%,0)+IF(C86&lt;($H$15-30),$H$14*10%,0)+IF(C86&lt;($I$15-30),$I$14*10%,0)+IF(C86&lt;($J$15-30),$J$14*10%,0))</f>
        <v>0</v>
      </c>
      <c r="G86" s="237">
        <f t="shared" si="20"/>
        <v>0</v>
      </c>
      <c r="H86" s="273">
        <f t="shared" ref="H86:H113" si="22">SUM(E86:G86)</f>
        <v>0</v>
      </c>
      <c r="I86" s="587">
        <f t="shared" si="15"/>
        <v>0</v>
      </c>
      <c r="J86" s="237">
        <f t="shared" ref="J86:J149" si="23">H86*20%</f>
        <v>0</v>
      </c>
      <c r="K86" s="269">
        <f t="shared" ref="K86:K113" si="24">MIN(SUM(I86:J86),H86*75%)</f>
        <v>0</v>
      </c>
      <c r="L86" s="239">
        <f t="shared" ref="L86:L149" si="25">H86-K86</f>
        <v>0</v>
      </c>
      <c r="M86" s="275" t="e">
        <f t="shared" ref="M86:M149" si="26">D86/L86</f>
        <v>#DIV/0!</v>
      </c>
      <c r="N86" s="3"/>
      <c r="O86" s="1">
        <f t="shared" si="19"/>
        <v>66</v>
      </c>
      <c r="P86" s="182">
        <f t="shared" si="19"/>
        <v>46123</v>
      </c>
      <c r="Q86" s="241">
        <f>ROUND(SUMIFS(BS_RE33!$U$7:$U$874,BS_RE33!$S$7:$S$874,'Summary &amp; Working File(AllCcy)'!P86,BS_RE33!$N$7:$N$874,'Summary &amp; Working File(AllCcy)'!$Q$10)+SUMIF($P$13:$P$19,P86,$Q$13:$Q$19),2)</f>
        <v>0</v>
      </c>
      <c r="R86" s="242">
        <f>ROUND(SUMIFS(BS_RE33!$U$7:$U$874,BS_RE33!$S$7:$S$874,'Summary &amp; Working File(AllCcy)'!P86,BS_RE33!$N$7:$N$874,'Summary &amp; Working File(AllCcy)'!$R$10)+SUMIF($P$13:$P$19,P86,$R$13:$R$19),2)</f>
        <v>0</v>
      </c>
    </row>
    <row r="87" spans="1:18">
      <c r="B87" s="243">
        <f t="shared" ref="B87:C102" si="27">B86+1</f>
        <v>67</v>
      </c>
      <c r="C87" s="247">
        <f t="shared" si="27"/>
        <v>46124</v>
      </c>
      <c r="D87" s="245">
        <f t="shared" ref="D87:D150" si="28">D86</f>
        <v>0</v>
      </c>
      <c r="E87" s="235">
        <f t="shared" si="12"/>
        <v>0</v>
      </c>
      <c r="F87" s="236">
        <f t="shared" si="21"/>
        <v>0</v>
      </c>
      <c r="G87" s="237">
        <f t="shared" si="20"/>
        <v>0</v>
      </c>
      <c r="H87" s="273">
        <f t="shared" si="22"/>
        <v>0</v>
      </c>
      <c r="I87" s="587">
        <f t="shared" si="15"/>
        <v>0</v>
      </c>
      <c r="J87" s="237">
        <f t="shared" si="23"/>
        <v>0</v>
      </c>
      <c r="K87" s="269">
        <f t="shared" si="24"/>
        <v>0</v>
      </c>
      <c r="L87" s="239">
        <f t="shared" si="25"/>
        <v>0</v>
      </c>
      <c r="M87" s="275" t="e">
        <f t="shared" si="26"/>
        <v>#DIV/0!</v>
      </c>
      <c r="N87" s="3"/>
      <c r="O87" s="1">
        <f t="shared" ref="O87:P102" si="29">O86+1</f>
        <v>67</v>
      </c>
      <c r="P87" s="182">
        <f t="shared" si="29"/>
        <v>46124</v>
      </c>
      <c r="Q87" s="241">
        <f>ROUND(SUMIFS(BS_RE33!$U$7:$U$874,BS_RE33!$S$7:$S$874,'Summary &amp; Working File(AllCcy)'!P87,BS_RE33!$N$7:$N$874,'Summary &amp; Working File(AllCcy)'!$Q$10)+SUMIF($P$13:$P$19,P87,$Q$13:$Q$19),2)</f>
        <v>0</v>
      </c>
      <c r="R87" s="242">
        <f>ROUND(SUMIFS(BS_RE33!$U$7:$U$874,BS_RE33!$S$7:$S$874,'Summary &amp; Working File(AllCcy)'!P87,BS_RE33!$N$7:$N$874,'Summary &amp; Working File(AllCcy)'!$R$10)+SUMIF($P$13:$P$19,P87,$R$13:$R$19),2)</f>
        <v>0</v>
      </c>
    </row>
    <row r="88" spans="1:18">
      <c r="B88" s="243">
        <f t="shared" si="27"/>
        <v>68</v>
      </c>
      <c r="C88" s="247">
        <f t="shared" si="27"/>
        <v>46125</v>
      </c>
      <c r="D88" s="245">
        <f t="shared" si="28"/>
        <v>0</v>
      </c>
      <c r="E88" s="235">
        <f t="shared" si="12"/>
        <v>0</v>
      </c>
      <c r="F88" s="236">
        <f t="shared" si="21"/>
        <v>0</v>
      </c>
      <c r="G88" s="237">
        <f t="shared" si="20"/>
        <v>0</v>
      </c>
      <c r="H88" s="273">
        <f t="shared" si="22"/>
        <v>0</v>
      </c>
      <c r="I88" s="587">
        <f t="shared" si="15"/>
        <v>0</v>
      </c>
      <c r="J88" s="237">
        <f t="shared" si="23"/>
        <v>0</v>
      </c>
      <c r="K88" s="269">
        <f t="shared" si="24"/>
        <v>0</v>
      </c>
      <c r="L88" s="239">
        <f t="shared" si="25"/>
        <v>0</v>
      </c>
      <c r="M88" s="275" t="e">
        <f t="shared" si="26"/>
        <v>#DIV/0!</v>
      </c>
      <c r="N88" s="3"/>
      <c r="O88" s="1">
        <f t="shared" si="29"/>
        <v>68</v>
      </c>
      <c r="P88" s="182">
        <f t="shared" si="29"/>
        <v>46125</v>
      </c>
      <c r="Q88" s="241">
        <f>ROUND(SUMIFS(BS_RE33!$U$7:$U$874,BS_RE33!$S$7:$S$874,'Summary &amp; Working File(AllCcy)'!P88,BS_RE33!$N$7:$N$874,'Summary &amp; Working File(AllCcy)'!$Q$10)+SUMIF($P$13:$P$19,P88,$Q$13:$Q$19),2)</f>
        <v>0</v>
      </c>
      <c r="R88" s="242">
        <f>ROUND(SUMIFS(BS_RE33!$U$7:$U$874,BS_RE33!$S$7:$S$874,'Summary &amp; Working File(AllCcy)'!P88,BS_RE33!$N$7:$N$874,'Summary &amp; Working File(AllCcy)'!$R$10)+SUMIF($P$13:$P$19,P88,$R$13:$R$19),2)</f>
        <v>0</v>
      </c>
    </row>
    <row r="89" spans="1:18">
      <c r="B89" s="243">
        <f t="shared" si="27"/>
        <v>69</v>
      </c>
      <c r="C89" s="247">
        <f t="shared" si="27"/>
        <v>46126</v>
      </c>
      <c r="D89" s="245">
        <f t="shared" si="28"/>
        <v>0</v>
      </c>
      <c r="E89" s="235">
        <f t="shared" si="12"/>
        <v>0</v>
      </c>
      <c r="F89" s="236">
        <f t="shared" si="21"/>
        <v>0</v>
      </c>
      <c r="G89" s="237">
        <f t="shared" si="20"/>
        <v>0</v>
      </c>
      <c r="H89" s="273">
        <f t="shared" si="22"/>
        <v>0</v>
      </c>
      <c r="I89" s="587">
        <f t="shared" si="15"/>
        <v>0</v>
      </c>
      <c r="J89" s="237">
        <f t="shared" si="23"/>
        <v>0</v>
      </c>
      <c r="K89" s="269">
        <f t="shared" si="24"/>
        <v>0</v>
      </c>
      <c r="L89" s="239">
        <f t="shared" si="25"/>
        <v>0</v>
      </c>
      <c r="M89" s="275" t="e">
        <f t="shared" si="26"/>
        <v>#DIV/0!</v>
      </c>
      <c r="N89" s="3"/>
      <c r="O89" s="1">
        <f t="shared" si="29"/>
        <v>69</v>
      </c>
      <c r="P89" s="182">
        <f t="shared" si="29"/>
        <v>46126</v>
      </c>
      <c r="Q89" s="241">
        <f>ROUND(SUMIFS(BS_RE33!$U$7:$U$874,BS_RE33!$S$7:$S$874,'Summary &amp; Working File(AllCcy)'!P89,BS_RE33!$N$7:$N$874,'Summary &amp; Working File(AllCcy)'!$Q$10)+SUMIF($P$13:$P$19,P89,$Q$13:$Q$19),2)</f>
        <v>0</v>
      </c>
      <c r="R89" s="242">
        <f>ROUND(SUMIFS(BS_RE33!$U$7:$U$874,BS_RE33!$S$7:$S$874,'Summary &amp; Working File(AllCcy)'!P89,BS_RE33!$N$7:$N$874,'Summary &amp; Working File(AllCcy)'!$R$10)+SUMIF($P$13:$P$19,P89,$R$13:$R$19),2)</f>
        <v>0</v>
      </c>
    </row>
    <row r="90" spans="1:18">
      <c r="B90" s="243">
        <f t="shared" si="27"/>
        <v>70</v>
      </c>
      <c r="C90" s="247">
        <f t="shared" si="27"/>
        <v>46127</v>
      </c>
      <c r="D90" s="245">
        <f t="shared" si="28"/>
        <v>0</v>
      </c>
      <c r="E90" s="235">
        <f t="shared" si="12"/>
        <v>0</v>
      </c>
      <c r="F90" s="236">
        <f t="shared" si="21"/>
        <v>0</v>
      </c>
      <c r="G90" s="237">
        <f t="shared" si="20"/>
        <v>0</v>
      </c>
      <c r="H90" s="273">
        <f t="shared" si="22"/>
        <v>0</v>
      </c>
      <c r="I90" s="587">
        <f t="shared" si="15"/>
        <v>0</v>
      </c>
      <c r="J90" s="237">
        <f t="shared" si="23"/>
        <v>0</v>
      </c>
      <c r="K90" s="269">
        <f t="shared" si="24"/>
        <v>0</v>
      </c>
      <c r="L90" s="239">
        <f t="shared" si="25"/>
        <v>0</v>
      </c>
      <c r="M90" s="275" t="e">
        <f t="shared" si="26"/>
        <v>#DIV/0!</v>
      </c>
      <c r="N90" s="3"/>
      <c r="O90" s="1">
        <f t="shared" si="29"/>
        <v>70</v>
      </c>
      <c r="P90" s="182">
        <f t="shared" si="29"/>
        <v>46127</v>
      </c>
      <c r="Q90" s="241">
        <f>ROUND(SUMIFS(BS_RE33!$U$7:$U$874,BS_RE33!$S$7:$S$874,'Summary &amp; Working File(AllCcy)'!P90,BS_RE33!$N$7:$N$874,'Summary &amp; Working File(AllCcy)'!$Q$10)+SUMIF($P$13:$P$19,P90,$Q$13:$Q$19),2)</f>
        <v>0</v>
      </c>
      <c r="R90" s="242">
        <f>ROUND(SUMIFS(BS_RE33!$U$7:$U$874,BS_RE33!$S$7:$S$874,'Summary &amp; Working File(AllCcy)'!P90,BS_RE33!$N$7:$N$874,'Summary &amp; Working File(AllCcy)'!$R$10)+SUMIF($P$13:$P$19,P90,$R$13:$R$19),2)</f>
        <v>0</v>
      </c>
    </row>
    <row r="91" spans="1:18">
      <c r="B91" s="243">
        <f t="shared" si="27"/>
        <v>71</v>
      </c>
      <c r="C91" s="247">
        <f t="shared" si="27"/>
        <v>46128</v>
      </c>
      <c r="D91" s="245">
        <f t="shared" si="28"/>
        <v>0</v>
      </c>
      <c r="E91" s="235">
        <f t="shared" si="12"/>
        <v>0</v>
      </c>
      <c r="F91" s="236">
        <f t="shared" si="21"/>
        <v>0</v>
      </c>
      <c r="G91" s="237">
        <f t="shared" si="20"/>
        <v>0</v>
      </c>
      <c r="H91" s="273">
        <f t="shared" si="22"/>
        <v>0</v>
      </c>
      <c r="I91" s="587">
        <f>$R$11+SUM(R92:R121)</f>
        <v>0</v>
      </c>
      <c r="J91" s="237">
        <f t="shared" si="23"/>
        <v>0</v>
      </c>
      <c r="K91" s="269">
        <f t="shared" si="24"/>
        <v>0</v>
      </c>
      <c r="L91" s="239">
        <f t="shared" si="25"/>
        <v>0</v>
      </c>
      <c r="M91" s="275" t="e">
        <f t="shared" si="26"/>
        <v>#DIV/0!</v>
      </c>
      <c r="N91" s="3"/>
      <c r="O91" s="1">
        <f t="shared" si="29"/>
        <v>71</v>
      </c>
      <c r="P91" s="182">
        <f t="shared" si="29"/>
        <v>46128</v>
      </c>
      <c r="Q91" s="241">
        <f>ROUND(SUMIFS(BS_RE33!$U$7:$U$874,BS_RE33!$S$7:$S$874,'Summary &amp; Working File(AllCcy)'!P91,BS_RE33!$N$7:$N$874,'Summary &amp; Working File(AllCcy)'!$Q$10)+SUMIF($P$13:$P$19,P91,$Q$13:$Q$19),2)</f>
        <v>0</v>
      </c>
      <c r="R91" s="242">
        <f>ROUND(SUMIFS(BS_RE33!$U$7:$U$874,BS_RE33!$S$7:$S$874,'Summary &amp; Working File(AllCcy)'!P91,BS_RE33!$N$7:$N$874,'Summary &amp; Working File(AllCcy)'!$R$10)+SUMIF($P$13:$P$19,P91,$R$13:$R$19),2)</f>
        <v>0</v>
      </c>
    </row>
    <row r="92" spans="1:18">
      <c r="B92" s="243">
        <f t="shared" si="27"/>
        <v>72</v>
      </c>
      <c r="C92" s="247">
        <f t="shared" si="27"/>
        <v>46129</v>
      </c>
      <c r="D92" s="245">
        <f t="shared" si="28"/>
        <v>0</v>
      </c>
      <c r="E92" s="235">
        <f t="shared" si="12"/>
        <v>0</v>
      </c>
      <c r="F92" s="236">
        <f t="shared" si="21"/>
        <v>0</v>
      </c>
      <c r="G92" s="237">
        <f t="shared" si="20"/>
        <v>0</v>
      </c>
      <c r="H92" s="273">
        <f t="shared" si="22"/>
        <v>0</v>
      </c>
      <c r="I92" s="587">
        <f t="shared" si="15"/>
        <v>0</v>
      </c>
      <c r="J92" s="237">
        <f t="shared" si="23"/>
        <v>0</v>
      </c>
      <c r="K92" s="269">
        <f t="shared" si="24"/>
        <v>0</v>
      </c>
      <c r="L92" s="239">
        <f t="shared" si="25"/>
        <v>0</v>
      </c>
      <c r="M92" s="275" t="e">
        <f t="shared" si="26"/>
        <v>#DIV/0!</v>
      </c>
      <c r="N92" s="3"/>
      <c r="O92" s="1">
        <f t="shared" si="29"/>
        <v>72</v>
      </c>
      <c r="P92" s="182">
        <f t="shared" si="29"/>
        <v>46129</v>
      </c>
      <c r="Q92" s="241">
        <f>ROUND(SUMIFS(BS_RE33!$U$7:$U$874,BS_RE33!$S$7:$S$874,'Summary &amp; Working File(AllCcy)'!P92,BS_RE33!$N$7:$N$874,'Summary &amp; Working File(AllCcy)'!$Q$10)+SUMIF($P$13:$P$19,P92,$Q$13:$Q$19),2)</f>
        <v>0</v>
      </c>
      <c r="R92" s="242">
        <f>ROUND(SUMIFS(BS_RE33!$U$7:$U$874,BS_RE33!$S$7:$S$874,'Summary &amp; Working File(AllCcy)'!P92,BS_RE33!$N$7:$N$874,'Summary &amp; Working File(AllCcy)'!$R$10)+SUMIF($P$13:$P$19,P92,$R$13:$R$19),2)</f>
        <v>0</v>
      </c>
    </row>
    <row r="93" spans="1:18">
      <c r="B93" s="243">
        <f t="shared" si="27"/>
        <v>73</v>
      </c>
      <c r="C93" s="247">
        <f t="shared" si="27"/>
        <v>46130</v>
      </c>
      <c r="D93" s="245">
        <f t="shared" si="28"/>
        <v>0</v>
      </c>
      <c r="E93" s="235">
        <f t="shared" si="12"/>
        <v>0</v>
      </c>
      <c r="F93" s="236">
        <f t="shared" si="21"/>
        <v>0</v>
      </c>
      <c r="G93" s="237">
        <f t="shared" si="20"/>
        <v>0</v>
      </c>
      <c r="H93" s="273">
        <f t="shared" si="22"/>
        <v>0</v>
      </c>
      <c r="I93" s="587">
        <f t="shared" si="15"/>
        <v>0</v>
      </c>
      <c r="J93" s="237">
        <f t="shared" si="23"/>
        <v>0</v>
      </c>
      <c r="K93" s="269">
        <f t="shared" si="24"/>
        <v>0</v>
      </c>
      <c r="L93" s="239">
        <f t="shared" si="25"/>
        <v>0</v>
      </c>
      <c r="M93" s="275" t="e">
        <f t="shared" si="26"/>
        <v>#DIV/0!</v>
      </c>
      <c r="N93" s="3"/>
      <c r="O93" s="1">
        <f t="shared" si="29"/>
        <v>73</v>
      </c>
      <c r="P93" s="182">
        <f t="shared" si="29"/>
        <v>46130</v>
      </c>
      <c r="Q93" s="241">
        <f>ROUND(SUMIFS(BS_RE33!$U$7:$U$874,BS_RE33!$S$7:$S$874,'Summary &amp; Working File(AllCcy)'!P93,BS_RE33!$N$7:$N$874,'Summary &amp; Working File(AllCcy)'!$Q$10)+SUMIF($P$13:$P$19,P93,$Q$13:$Q$19),2)</f>
        <v>0</v>
      </c>
      <c r="R93" s="242">
        <f>ROUND(SUMIFS(BS_RE33!$U$7:$U$874,BS_RE33!$S$7:$S$874,'Summary &amp; Working File(AllCcy)'!P93,BS_RE33!$N$7:$N$874,'Summary &amp; Working File(AllCcy)'!$R$10)+SUMIF($P$13:$P$19,P93,$R$13:$R$19),2)</f>
        <v>0</v>
      </c>
    </row>
    <row r="94" spans="1:18">
      <c r="B94" s="243">
        <f t="shared" si="27"/>
        <v>74</v>
      </c>
      <c r="C94" s="247">
        <f t="shared" si="27"/>
        <v>46131</v>
      </c>
      <c r="D94" s="245">
        <f t="shared" si="28"/>
        <v>0</v>
      </c>
      <c r="E94" s="235">
        <f t="shared" si="12"/>
        <v>0</v>
      </c>
      <c r="F94" s="236">
        <f t="shared" si="21"/>
        <v>0</v>
      </c>
      <c r="G94" s="237">
        <f t="shared" si="20"/>
        <v>0</v>
      </c>
      <c r="H94" s="273">
        <f t="shared" si="22"/>
        <v>0</v>
      </c>
      <c r="I94" s="587">
        <f t="shared" si="15"/>
        <v>0</v>
      </c>
      <c r="J94" s="237">
        <f t="shared" si="23"/>
        <v>0</v>
      </c>
      <c r="K94" s="269">
        <f t="shared" si="24"/>
        <v>0</v>
      </c>
      <c r="L94" s="239">
        <f t="shared" si="25"/>
        <v>0</v>
      </c>
      <c r="M94" s="275" t="e">
        <f t="shared" si="26"/>
        <v>#DIV/0!</v>
      </c>
      <c r="N94" s="3"/>
      <c r="O94" s="1">
        <f t="shared" si="29"/>
        <v>74</v>
      </c>
      <c r="P94" s="182">
        <f t="shared" si="29"/>
        <v>46131</v>
      </c>
      <c r="Q94" s="241">
        <f>ROUND(SUMIFS(BS_RE33!$U$7:$U$874,BS_RE33!$S$7:$S$874,'Summary &amp; Working File(AllCcy)'!P94,BS_RE33!$N$7:$N$874,'Summary &amp; Working File(AllCcy)'!$Q$10)+SUMIF($P$13:$P$19,P94,$Q$13:$Q$19),2)</f>
        <v>0</v>
      </c>
      <c r="R94" s="242">
        <f>ROUND(SUMIFS(BS_RE33!$U$7:$U$874,BS_RE33!$S$7:$S$874,'Summary &amp; Working File(AllCcy)'!P94,BS_RE33!$N$7:$N$874,'Summary &amp; Working File(AllCcy)'!$R$10)+SUMIF($P$13:$P$19,P94,$R$13:$R$19),2)</f>
        <v>0</v>
      </c>
    </row>
    <row r="95" spans="1:18">
      <c r="B95" s="243">
        <f t="shared" si="27"/>
        <v>75</v>
      </c>
      <c r="C95" s="247">
        <f t="shared" si="27"/>
        <v>46132</v>
      </c>
      <c r="D95" s="245">
        <f t="shared" si="28"/>
        <v>0</v>
      </c>
      <c r="E95" s="235">
        <f t="shared" si="12"/>
        <v>0</v>
      </c>
      <c r="F95" s="236">
        <f t="shared" si="21"/>
        <v>0</v>
      </c>
      <c r="G95" s="237">
        <f t="shared" si="20"/>
        <v>0</v>
      </c>
      <c r="H95" s="273">
        <f t="shared" si="22"/>
        <v>0</v>
      </c>
      <c r="I95" s="587">
        <f t="shared" si="15"/>
        <v>0</v>
      </c>
      <c r="J95" s="237">
        <f t="shared" si="23"/>
        <v>0</v>
      </c>
      <c r="K95" s="269">
        <f>MIN(SUM(I95:J95),H95*75%)</f>
        <v>0</v>
      </c>
      <c r="L95" s="239">
        <f t="shared" si="25"/>
        <v>0</v>
      </c>
      <c r="M95" s="275" t="e">
        <f t="shared" si="26"/>
        <v>#DIV/0!</v>
      </c>
      <c r="N95" s="3"/>
      <c r="O95" s="1">
        <f t="shared" si="29"/>
        <v>75</v>
      </c>
      <c r="P95" s="182">
        <f t="shared" si="29"/>
        <v>46132</v>
      </c>
      <c r="Q95" s="241">
        <f>ROUND(SUMIFS(BS_RE33!$U$7:$U$874,BS_RE33!$S$7:$S$874,'Summary &amp; Working File(AllCcy)'!P95,BS_RE33!$N$7:$N$874,'Summary &amp; Working File(AllCcy)'!$Q$10)+SUMIF($P$13:$P$19,P95,$Q$13:$Q$19),2)</f>
        <v>0</v>
      </c>
      <c r="R95" s="242">
        <f>ROUND(SUMIFS(BS_RE33!$U$7:$U$874,BS_RE33!$S$7:$S$874,'Summary &amp; Working File(AllCcy)'!P95,BS_RE33!$N$7:$N$874,'Summary &amp; Working File(AllCcy)'!$R$10)+SUMIF($P$13:$P$19,P95,$R$13:$R$19),2)</f>
        <v>0</v>
      </c>
    </row>
    <row r="96" spans="1:18">
      <c r="B96" s="243">
        <f t="shared" si="27"/>
        <v>76</v>
      </c>
      <c r="C96" s="247">
        <f t="shared" si="27"/>
        <v>46133</v>
      </c>
      <c r="D96" s="245">
        <f t="shared" si="28"/>
        <v>0</v>
      </c>
      <c r="E96" s="235">
        <f t="shared" si="12"/>
        <v>0</v>
      </c>
      <c r="F96" s="236">
        <f t="shared" si="21"/>
        <v>0</v>
      </c>
      <c r="G96" s="237">
        <f t="shared" si="20"/>
        <v>0</v>
      </c>
      <c r="H96" s="273">
        <f t="shared" si="22"/>
        <v>0</v>
      </c>
      <c r="I96" s="587">
        <f t="shared" si="15"/>
        <v>0</v>
      </c>
      <c r="J96" s="237">
        <f t="shared" si="23"/>
        <v>0</v>
      </c>
      <c r="K96" s="269">
        <f>MIN(SUM(I96:J96),H96*75%)</f>
        <v>0</v>
      </c>
      <c r="L96" s="239">
        <f t="shared" si="25"/>
        <v>0</v>
      </c>
      <c r="M96" s="275" t="e">
        <f t="shared" si="26"/>
        <v>#DIV/0!</v>
      </c>
      <c r="N96" s="3"/>
      <c r="O96" s="1">
        <f t="shared" si="29"/>
        <v>76</v>
      </c>
      <c r="P96" s="182">
        <f t="shared" si="29"/>
        <v>46133</v>
      </c>
      <c r="Q96" s="241">
        <f>ROUND(SUMIFS(BS_RE33!$U$7:$U$874,BS_RE33!$S$7:$S$874,'Summary &amp; Working File(AllCcy)'!P96,BS_RE33!$N$7:$N$874,'Summary &amp; Working File(AllCcy)'!$Q$10)+SUMIF($P$13:$P$19,P96,$Q$13:$Q$19),2)</f>
        <v>0</v>
      </c>
      <c r="R96" s="242">
        <f>ROUND(SUMIFS(BS_RE33!$U$7:$U$874,BS_RE33!$S$7:$S$874,'Summary &amp; Working File(AllCcy)'!P96,BS_RE33!$N$7:$N$874,'Summary &amp; Working File(AllCcy)'!$R$10)+SUMIF($P$13:$P$19,P96,$R$13:$R$19),2)</f>
        <v>0</v>
      </c>
    </row>
    <row r="97" spans="2:18">
      <c r="B97" s="243">
        <f t="shared" si="27"/>
        <v>77</v>
      </c>
      <c r="C97" s="247">
        <f t="shared" si="27"/>
        <v>46134</v>
      </c>
      <c r="D97" s="245">
        <f t="shared" si="28"/>
        <v>0</v>
      </c>
      <c r="E97" s="235">
        <f t="shared" si="12"/>
        <v>0</v>
      </c>
      <c r="F97" s="236">
        <f t="shared" si="21"/>
        <v>0</v>
      </c>
      <c r="G97" s="237">
        <f t="shared" si="20"/>
        <v>0</v>
      </c>
      <c r="H97" s="273">
        <f t="shared" si="22"/>
        <v>0</v>
      </c>
      <c r="I97" s="587">
        <f t="shared" si="15"/>
        <v>0</v>
      </c>
      <c r="J97" s="237">
        <f t="shared" si="23"/>
        <v>0</v>
      </c>
      <c r="K97" s="269">
        <f t="shared" si="24"/>
        <v>0</v>
      </c>
      <c r="L97" s="239">
        <f t="shared" si="25"/>
        <v>0</v>
      </c>
      <c r="M97" s="275" t="e">
        <f t="shared" si="26"/>
        <v>#DIV/0!</v>
      </c>
      <c r="N97" s="3"/>
      <c r="O97" s="1">
        <f t="shared" si="29"/>
        <v>77</v>
      </c>
      <c r="P97" s="182">
        <f t="shared" si="29"/>
        <v>46134</v>
      </c>
      <c r="Q97" s="241">
        <f>ROUND(SUMIFS(BS_RE33!$U$7:$U$874,BS_RE33!$S$7:$S$874,'Summary &amp; Working File(AllCcy)'!P97,BS_RE33!$N$7:$N$874,'Summary &amp; Working File(AllCcy)'!$Q$10)+SUMIF($P$13:$P$19,P97,$Q$13:$Q$19),2)</f>
        <v>0</v>
      </c>
      <c r="R97" s="242">
        <f>ROUND(SUMIFS(BS_RE33!$U$7:$U$874,BS_RE33!$S$7:$S$874,'Summary &amp; Working File(AllCcy)'!P97,BS_RE33!$N$7:$N$874,'Summary &amp; Working File(AllCcy)'!$R$10)+SUMIF($P$13:$P$19,P97,$R$13:$R$19),2)</f>
        <v>0</v>
      </c>
    </row>
    <row r="98" spans="2:18">
      <c r="B98" s="243">
        <f t="shared" si="27"/>
        <v>78</v>
      </c>
      <c r="C98" s="247">
        <f t="shared" si="27"/>
        <v>46135</v>
      </c>
      <c r="D98" s="245">
        <f t="shared" si="28"/>
        <v>0</v>
      </c>
      <c r="E98" s="235">
        <f t="shared" si="12"/>
        <v>0</v>
      </c>
      <c r="F98" s="236">
        <f t="shared" si="21"/>
        <v>0</v>
      </c>
      <c r="G98" s="237">
        <f t="shared" si="20"/>
        <v>0</v>
      </c>
      <c r="H98" s="273">
        <f t="shared" si="22"/>
        <v>0</v>
      </c>
      <c r="I98" s="587">
        <f t="shared" si="15"/>
        <v>0</v>
      </c>
      <c r="J98" s="237">
        <f t="shared" si="23"/>
        <v>0</v>
      </c>
      <c r="K98" s="269">
        <f t="shared" si="24"/>
        <v>0</v>
      </c>
      <c r="L98" s="239">
        <f t="shared" si="25"/>
        <v>0</v>
      </c>
      <c r="M98" s="275" t="e">
        <f t="shared" si="26"/>
        <v>#DIV/0!</v>
      </c>
      <c r="N98" s="3"/>
      <c r="O98" s="1">
        <f t="shared" si="29"/>
        <v>78</v>
      </c>
      <c r="P98" s="182">
        <f t="shared" si="29"/>
        <v>46135</v>
      </c>
      <c r="Q98" s="241">
        <f>ROUND(SUMIFS(BS_RE33!$U$7:$U$874,BS_RE33!$S$7:$S$874,'Summary &amp; Working File(AllCcy)'!P98,BS_RE33!$N$7:$N$874,'Summary &amp; Working File(AllCcy)'!$Q$10)+SUMIF($P$13:$P$19,P98,$Q$13:$Q$19),2)</f>
        <v>0</v>
      </c>
      <c r="R98" s="242">
        <f>ROUND(SUMIFS(BS_RE33!$U$7:$U$874,BS_RE33!$S$7:$S$874,'Summary &amp; Working File(AllCcy)'!P98,BS_RE33!$N$7:$N$874,'Summary &amp; Working File(AllCcy)'!$R$10)+SUMIF($P$13:$P$19,P98,$R$13:$R$19),2)</f>
        <v>0</v>
      </c>
    </row>
    <row r="99" spans="2:18">
      <c r="B99" s="243">
        <f t="shared" si="27"/>
        <v>79</v>
      </c>
      <c r="C99" s="247">
        <f t="shared" si="27"/>
        <v>46136</v>
      </c>
      <c r="D99" s="245">
        <f t="shared" si="28"/>
        <v>0</v>
      </c>
      <c r="E99" s="235">
        <f t="shared" si="12"/>
        <v>0</v>
      </c>
      <c r="F99" s="236">
        <f t="shared" si="21"/>
        <v>0</v>
      </c>
      <c r="G99" s="237">
        <f t="shared" si="20"/>
        <v>0</v>
      </c>
      <c r="H99" s="273">
        <f t="shared" si="22"/>
        <v>0</v>
      </c>
      <c r="I99" s="587">
        <f t="shared" si="15"/>
        <v>0</v>
      </c>
      <c r="J99" s="237">
        <f t="shared" si="23"/>
        <v>0</v>
      </c>
      <c r="K99" s="269">
        <f t="shared" si="24"/>
        <v>0</v>
      </c>
      <c r="L99" s="239">
        <f t="shared" si="25"/>
        <v>0</v>
      </c>
      <c r="M99" s="275" t="e">
        <f t="shared" si="26"/>
        <v>#DIV/0!</v>
      </c>
      <c r="N99" s="3"/>
      <c r="O99" s="1">
        <f t="shared" si="29"/>
        <v>79</v>
      </c>
      <c r="P99" s="182">
        <f t="shared" si="29"/>
        <v>46136</v>
      </c>
      <c r="Q99" s="241">
        <f>ROUND(SUMIFS(BS_RE33!$U$7:$U$874,BS_RE33!$S$7:$S$874,'Summary &amp; Working File(AllCcy)'!P99,BS_RE33!$N$7:$N$874,'Summary &amp; Working File(AllCcy)'!$Q$10)+SUMIF($P$13:$P$19,P99,$Q$13:$Q$19),2)</f>
        <v>0</v>
      </c>
      <c r="R99" s="242">
        <f>ROUND(SUMIFS(BS_RE33!$U$7:$U$874,BS_RE33!$S$7:$S$874,'Summary &amp; Working File(AllCcy)'!P99,BS_RE33!$N$7:$N$874,'Summary &amp; Working File(AllCcy)'!$R$10)+SUMIF($P$13:$P$19,P99,$R$13:$R$19),2)</f>
        <v>0</v>
      </c>
    </row>
    <row r="100" spans="2:18">
      <c r="B100" s="243">
        <f t="shared" si="27"/>
        <v>80</v>
      </c>
      <c r="C100" s="247">
        <f t="shared" si="27"/>
        <v>46137</v>
      </c>
      <c r="D100" s="245">
        <f t="shared" si="28"/>
        <v>0</v>
      </c>
      <c r="E100" s="235">
        <f t="shared" si="12"/>
        <v>0</v>
      </c>
      <c r="F100" s="236">
        <f t="shared" si="21"/>
        <v>0</v>
      </c>
      <c r="G100" s="237">
        <f t="shared" si="20"/>
        <v>0</v>
      </c>
      <c r="H100" s="273">
        <f t="shared" si="22"/>
        <v>0</v>
      </c>
      <c r="I100" s="587">
        <f t="shared" si="15"/>
        <v>0</v>
      </c>
      <c r="J100" s="237">
        <f t="shared" si="23"/>
        <v>0</v>
      </c>
      <c r="K100" s="269">
        <f t="shared" si="24"/>
        <v>0</v>
      </c>
      <c r="L100" s="239">
        <f t="shared" si="25"/>
        <v>0</v>
      </c>
      <c r="M100" s="275" t="e">
        <f t="shared" si="26"/>
        <v>#DIV/0!</v>
      </c>
      <c r="N100" s="3"/>
      <c r="O100" s="1">
        <f t="shared" si="29"/>
        <v>80</v>
      </c>
      <c r="P100" s="182">
        <f t="shared" si="29"/>
        <v>46137</v>
      </c>
      <c r="Q100" s="241">
        <f>ROUND(SUMIFS(BS_RE33!$U$7:$U$874,BS_RE33!$S$7:$S$874,'Summary &amp; Working File(AllCcy)'!P100,BS_RE33!$N$7:$N$874,'Summary &amp; Working File(AllCcy)'!$Q$10)+SUMIF($P$13:$P$19,P100,$Q$13:$Q$19),2)</f>
        <v>0</v>
      </c>
      <c r="R100" s="242">
        <f>ROUND(SUMIFS(BS_RE33!$U$7:$U$874,BS_RE33!$S$7:$S$874,'Summary &amp; Working File(AllCcy)'!P100,BS_RE33!$N$7:$N$874,'Summary &amp; Working File(AllCcy)'!$R$10)+SUMIF($P$13:$P$19,P100,$R$13:$R$19),2)</f>
        <v>0</v>
      </c>
    </row>
    <row r="101" spans="2:18">
      <c r="B101" s="243">
        <f t="shared" si="27"/>
        <v>81</v>
      </c>
      <c r="C101" s="247">
        <f t="shared" si="27"/>
        <v>46138</v>
      </c>
      <c r="D101" s="245">
        <f t="shared" si="28"/>
        <v>0</v>
      </c>
      <c r="E101" s="235">
        <f t="shared" ref="E101:E164" si="30">$Q$11+SUM(Q102:Q131)</f>
        <v>0</v>
      </c>
      <c r="F101" s="236">
        <f t="shared" si="21"/>
        <v>0</v>
      </c>
      <c r="G101" s="237">
        <f t="shared" si="20"/>
        <v>0</v>
      </c>
      <c r="H101" s="273">
        <f t="shared" si="22"/>
        <v>0</v>
      </c>
      <c r="I101" s="587">
        <f t="shared" ref="I101:I164" si="31">$R$11+SUM(R102:R131)</f>
        <v>0</v>
      </c>
      <c r="J101" s="237">
        <f t="shared" si="23"/>
        <v>0</v>
      </c>
      <c r="K101" s="269">
        <f t="shared" si="24"/>
        <v>0</v>
      </c>
      <c r="L101" s="239">
        <f t="shared" si="25"/>
        <v>0</v>
      </c>
      <c r="M101" s="275" t="e">
        <f t="shared" si="26"/>
        <v>#DIV/0!</v>
      </c>
      <c r="N101" s="3"/>
      <c r="O101" s="1">
        <f t="shared" si="29"/>
        <v>81</v>
      </c>
      <c r="P101" s="182">
        <f t="shared" si="29"/>
        <v>46138</v>
      </c>
      <c r="Q101" s="241">
        <f>ROUND(SUMIFS(BS_RE33!$U$7:$U$874,BS_RE33!$S$7:$S$874,'Summary &amp; Working File(AllCcy)'!P101,BS_RE33!$N$7:$N$874,'Summary &amp; Working File(AllCcy)'!$Q$10)+SUMIF($P$13:$P$19,P101,$Q$13:$Q$19),2)</f>
        <v>0</v>
      </c>
      <c r="R101" s="242">
        <f>ROUND(SUMIFS(BS_RE33!$U$7:$U$874,BS_RE33!$S$7:$S$874,'Summary &amp; Working File(AllCcy)'!P101,BS_RE33!$N$7:$N$874,'Summary &amp; Working File(AllCcy)'!$R$10)+SUMIF($P$13:$P$19,P101,$R$13:$R$19),2)</f>
        <v>0</v>
      </c>
    </row>
    <row r="102" spans="2:18">
      <c r="B102" s="243">
        <f t="shared" si="27"/>
        <v>82</v>
      </c>
      <c r="C102" s="247">
        <f t="shared" si="27"/>
        <v>46139</v>
      </c>
      <c r="D102" s="245">
        <f t="shared" si="28"/>
        <v>0</v>
      </c>
      <c r="E102" s="235">
        <f t="shared" si="30"/>
        <v>0</v>
      </c>
      <c r="F102" s="236">
        <f t="shared" si="21"/>
        <v>0</v>
      </c>
      <c r="G102" s="237">
        <f t="shared" si="20"/>
        <v>0</v>
      </c>
      <c r="H102" s="273">
        <f t="shared" si="22"/>
        <v>0</v>
      </c>
      <c r="I102" s="587">
        <f t="shared" si="31"/>
        <v>0</v>
      </c>
      <c r="J102" s="237">
        <f t="shared" si="23"/>
        <v>0</v>
      </c>
      <c r="K102" s="269">
        <f t="shared" si="24"/>
        <v>0</v>
      </c>
      <c r="L102" s="239">
        <f t="shared" si="25"/>
        <v>0</v>
      </c>
      <c r="M102" s="275" t="e">
        <f t="shared" si="26"/>
        <v>#DIV/0!</v>
      </c>
      <c r="N102" s="3"/>
      <c r="O102" s="1">
        <f t="shared" si="29"/>
        <v>82</v>
      </c>
      <c r="P102" s="182">
        <f t="shared" si="29"/>
        <v>46139</v>
      </c>
      <c r="Q102" s="241">
        <f>ROUND(SUMIFS(BS_RE33!$U$7:$U$874,BS_RE33!$S$7:$S$874,'Summary &amp; Working File(AllCcy)'!P102,BS_RE33!$N$7:$N$874,'Summary &amp; Working File(AllCcy)'!$Q$10)+SUMIF($P$13:$P$19,P102,$Q$13:$Q$19),2)</f>
        <v>0</v>
      </c>
      <c r="R102" s="242">
        <f>ROUND(SUMIFS(BS_RE33!$U$7:$U$874,BS_RE33!$S$7:$S$874,'Summary &amp; Working File(AllCcy)'!P102,BS_RE33!$N$7:$N$874,'Summary &amp; Working File(AllCcy)'!$R$10)+SUMIF($P$13:$P$19,P102,$R$13:$R$19),2)</f>
        <v>0</v>
      </c>
    </row>
    <row r="103" spans="2:18">
      <c r="B103" s="243">
        <f t="shared" ref="B103:C118" si="32">B102+1</f>
        <v>83</v>
      </c>
      <c r="C103" s="247">
        <f t="shared" si="32"/>
        <v>46140</v>
      </c>
      <c r="D103" s="245">
        <f t="shared" si="28"/>
        <v>0</v>
      </c>
      <c r="E103" s="235">
        <f t="shared" si="30"/>
        <v>0</v>
      </c>
      <c r="F103" s="236">
        <f t="shared" si="21"/>
        <v>0</v>
      </c>
      <c r="G103" s="237">
        <f t="shared" si="20"/>
        <v>0</v>
      </c>
      <c r="H103" s="273">
        <f t="shared" si="22"/>
        <v>0</v>
      </c>
      <c r="I103" s="587">
        <f t="shared" si="31"/>
        <v>0</v>
      </c>
      <c r="J103" s="237">
        <f t="shared" si="23"/>
        <v>0</v>
      </c>
      <c r="K103" s="269">
        <f t="shared" si="24"/>
        <v>0</v>
      </c>
      <c r="L103" s="239">
        <f t="shared" si="25"/>
        <v>0</v>
      </c>
      <c r="M103" s="275" t="e">
        <f t="shared" si="26"/>
        <v>#DIV/0!</v>
      </c>
      <c r="N103" s="3"/>
      <c r="O103" s="1">
        <f t="shared" ref="O103:P118" si="33">O102+1</f>
        <v>83</v>
      </c>
      <c r="P103" s="182">
        <f t="shared" si="33"/>
        <v>46140</v>
      </c>
      <c r="Q103" s="241">
        <f>ROUND(SUMIFS(BS_RE33!$U$7:$U$874,BS_RE33!$S$7:$S$874,'Summary &amp; Working File(AllCcy)'!P103,BS_RE33!$N$7:$N$874,'Summary &amp; Working File(AllCcy)'!$Q$10)+SUMIF($P$13:$P$19,P103,$Q$13:$Q$19),2)</f>
        <v>0</v>
      </c>
      <c r="R103" s="242">
        <f>ROUND(SUMIFS(BS_RE33!$U$7:$U$874,BS_RE33!$S$7:$S$874,'Summary &amp; Working File(AllCcy)'!P103,BS_RE33!$N$7:$N$874,'Summary &amp; Working File(AllCcy)'!$R$10)+SUMIF($P$13:$P$19,P103,$R$13:$R$19),2)</f>
        <v>0</v>
      </c>
    </row>
    <row r="104" spans="2:18">
      <c r="B104" s="243">
        <f t="shared" si="32"/>
        <v>84</v>
      </c>
      <c r="C104" s="247">
        <f t="shared" si="32"/>
        <v>46141</v>
      </c>
      <c r="D104" s="245">
        <f t="shared" si="28"/>
        <v>0</v>
      </c>
      <c r="E104" s="235">
        <f t="shared" si="30"/>
        <v>0</v>
      </c>
      <c r="F104" s="236">
        <f t="shared" si="21"/>
        <v>0</v>
      </c>
      <c r="G104" s="237">
        <f t="shared" si="20"/>
        <v>0</v>
      </c>
      <c r="H104" s="273">
        <f t="shared" si="22"/>
        <v>0</v>
      </c>
      <c r="I104" s="587">
        <f t="shared" si="31"/>
        <v>0</v>
      </c>
      <c r="J104" s="237">
        <f t="shared" si="23"/>
        <v>0</v>
      </c>
      <c r="K104" s="269">
        <f t="shared" si="24"/>
        <v>0</v>
      </c>
      <c r="L104" s="239">
        <f t="shared" si="25"/>
        <v>0</v>
      </c>
      <c r="M104" s="275" t="e">
        <f t="shared" si="26"/>
        <v>#DIV/0!</v>
      </c>
      <c r="N104" s="3"/>
      <c r="O104" s="1">
        <f t="shared" si="33"/>
        <v>84</v>
      </c>
      <c r="P104" s="182">
        <f t="shared" si="33"/>
        <v>46141</v>
      </c>
      <c r="Q104" s="241">
        <f>ROUND(SUMIFS(BS_RE33!$U$7:$U$874,BS_RE33!$S$7:$S$874,'Summary &amp; Working File(AllCcy)'!P104,BS_RE33!$N$7:$N$874,'Summary &amp; Working File(AllCcy)'!$Q$10)+SUMIF($P$13:$P$19,P104,$Q$13:$Q$19),2)</f>
        <v>0</v>
      </c>
      <c r="R104" s="242">
        <f>ROUND(SUMIFS(BS_RE33!$U$7:$U$874,BS_RE33!$S$7:$S$874,'Summary &amp; Working File(AllCcy)'!P104,BS_RE33!$N$7:$N$874,'Summary &amp; Working File(AllCcy)'!$R$10)+SUMIF($P$13:$P$19,P104,$R$13:$R$19),2)</f>
        <v>0</v>
      </c>
    </row>
    <row r="105" spans="2:18">
      <c r="B105" s="243">
        <f t="shared" si="32"/>
        <v>85</v>
      </c>
      <c r="C105" s="247">
        <f t="shared" si="32"/>
        <v>46142</v>
      </c>
      <c r="D105" s="245">
        <f t="shared" si="28"/>
        <v>0</v>
      </c>
      <c r="E105" s="235">
        <f t="shared" si="30"/>
        <v>0</v>
      </c>
      <c r="F105" s="236">
        <f t="shared" si="21"/>
        <v>0</v>
      </c>
      <c r="G105" s="237">
        <f t="shared" si="20"/>
        <v>0</v>
      </c>
      <c r="H105" s="273">
        <f t="shared" si="22"/>
        <v>0</v>
      </c>
      <c r="I105" s="587">
        <f t="shared" si="31"/>
        <v>0</v>
      </c>
      <c r="J105" s="237">
        <f t="shared" si="23"/>
        <v>0</v>
      </c>
      <c r="K105" s="269">
        <f t="shared" si="24"/>
        <v>0</v>
      </c>
      <c r="L105" s="239">
        <f t="shared" si="25"/>
        <v>0</v>
      </c>
      <c r="M105" s="275" t="e">
        <f t="shared" si="26"/>
        <v>#DIV/0!</v>
      </c>
      <c r="N105" s="3"/>
      <c r="O105" s="1">
        <f t="shared" si="33"/>
        <v>85</v>
      </c>
      <c r="P105" s="182">
        <f t="shared" si="33"/>
        <v>46142</v>
      </c>
      <c r="Q105" s="241">
        <f>ROUND(SUMIFS(BS_RE33!$U$7:$U$874,BS_RE33!$S$7:$S$874,'Summary &amp; Working File(AllCcy)'!P105,BS_RE33!$N$7:$N$874,'Summary &amp; Working File(AllCcy)'!$Q$10)+SUMIF($P$13:$P$19,P105,$Q$13:$Q$19),2)</f>
        <v>0</v>
      </c>
      <c r="R105" s="242">
        <f>ROUND(SUMIFS(BS_RE33!$U$7:$U$874,BS_RE33!$S$7:$S$874,'Summary &amp; Working File(AllCcy)'!P105,BS_RE33!$N$7:$N$874,'Summary &amp; Working File(AllCcy)'!$R$10)+SUMIF($P$13:$P$19,P105,$R$13:$R$19),2)</f>
        <v>0</v>
      </c>
    </row>
    <row r="106" spans="2:18">
      <c r="B106" s="243">
        <f t="shared" si="32"/>
        <v>86</v>
      </c>
      <c r="C106" s="247">
        <f t="shared" si="32"/>
        <v>46143</v>
      </c>
      <c r="D106" s="245">
        <f t="shared" si="28"/>
        <v>0</v>
      </c>
      <c r="E106" s="235">
        <f t="shared" si="30"/>
        <v>0</v>
      </c>
      <c r="F106" s="236">
        <f t="shared" si="21"/>
        <v>0</v>
      </c>
      <c r="G106" s="237">
        <f t="shared" si="20"/>
        <v>0</v>
      </c>
      <c r="H106" s="273">
        <f t="shared" si="22"/>
        <v>0</v>
      </c>
      <c r="I106" s="587">
        <f t="shared" si="31"/>
        <v>0</v>
      </c>
      <c r="J106" s="237">
        <f t="shared" si="23"/>
        <v>0</v>
      </c>
      <c r="K106" s="269">
        <f t="shared" si="24"/>
        <v>0</v>
      </c>
      <c r="L106" s="239">
        <f t="shared" si="25"/>
        <v>0</v>
      </c>
      <c r="M106" s="275" t="e">
        <f t="shared" si="26"/>
        <v>#DIV/0!</v>
      </c>
      <c r="N106" s="3"/>
      <c r="O106" s="1">
        <f t="shared" si="33"/>
        <v>86</v>
      </c>
      <c r="P106" s="182">
        <f t="shared" si="33"/>
        <v>46143</v>
      </c>
      <c r="Q106" s="241">
        <f>ROUND(SUMIFS(BS_RE33!$U$7:$U$874,BS_RE33!$S$7:$S$874,'Summary &amp; Working File(AllCcy)'!P106,BS_RE33!$N$7:$N$874,'Summary &amp; Working File(AllCcy)'!$Q$10)+SUMIF($P$13:$P$19,P106,$Q$13:$Q$19),2)</f>
        <v>0</v>
      </c>
      <c r="R106" s="242">
        <f>ROUND(SUMIFS(BS_RE33!$U$7:$U$874,BS_RE33!$S$7:$S$874,'Summary &amp; Working File(AllCcy)'!P106,BS_RE33!$N$7:$N$874,'Summary &amp; Working File(AllCcy)'!$R$10)+SUMIF($P$13:$P$19,P106,$R$13:$R$19),2)</f>
        <v>0</v>
      </c>
    </row>
    <row r="107" spans="2:18">
      <c r="B107" s="243">
        <f t="shared" si="32"/>
        <v>87</v>
      </c>
      <c r="C107" s="247">
        <f t="shared" si="32"/>
        <v>46144</v>
      </c>
      <c r="D107" s="245">
        <f t="shared" si="28"/>
        <v>0</v>
      </c>
      <c r="E107" s="235">
        <f t="shared" si="30"/>
        <v>0</v>
      </c>
      <c r="F107" s="236">
        <f t="shared" si="21"/>
        <v>0</v>
      </c>
      <c r="G107" s="237">
        <f t="shared" si="20"/>
        <v>0</v>
      </c>
      <c r="H107" s="273">
        <f t="shared" si="22"/>
        <v>0</v>
      </c>
      <c r="I107" s="587">
        <f t="shared" si="31"/>
        <v>0</v>
      </c>
      <c r="J107" s="237">
        <f t="shared" si="23"/>
        <v>0</v>
      </c>
      <c r="K107" s="269">
        <f t="shared" si="24"/>
        <v>0</v>
      </c>
      <c r="L107" s="239">
        <f t="shared" si="25"/>
        <v>0</v>
      </c>
      <c r="M107" s="275" t="e">
        <f t="shared" si="26"/>
        <v>#DIV/0!</v>
      </c>
      <c r="N107" s="3"/>
      <c r="O107" s="1">
        <f t="shared" si="33"/>
        <v>87</v>
      </c>
      <c r="P107" s="182">
        <f t="shared" si="33"/>
        <v>46144</v>
      </c>
      <c r="Q107" s="241">
        <f>ROUND(SUMIFS(BS_RE33!$U$7:$U$874,BS_RE33!$S$7:$S$874,'Summary &amp; Working File(AllCcy)'!P107,BS_RE33!$N$7:$N$874,'Summary &amp; Working File(AllCcy)'!$Q$10)+SUMIF($P$13:$P$19,P107,$Q$13:$Q$19),2)</f>
        <v>0</v>
      </c>
      <c r="R107" s="242">
        <f>ROUND(SUMIFS(BS_RE33!$U$7:$U$874,BS_RE33!$S$7:$S$874,'Summary &amp; Working File(AllCcy)'!P107,BS_RE33!$N$7:$N$874,'Summary &amp; Working File(AllCcy)'!$R$10)+SUMIF($P$13:$P$19,P107,$R$13:$R$19),2)</f>
        <v>0</v>
      </c>
    </row>
    <row r="108" spans="2:18">
      <c r="B108" s="243">
        <f t="shared" si="32"/>
        <v>88</v>
      </c>
      <c r="C108" s="247">
        <f t="shared" si="32"/>
        <v>46145</v>
      </c>
      <c r="D108" s="245">
        <f t="shared" si="28"/>
        <v>0</v>
      </c>
      <c r="E108" s="235">
        <f t="shared" si="30"/>
        <v>0</v>
      </c>
      <c r="F108" s="236">
        <f t="shared" si="21"/>
        <v>0</v>
      </c>
      <c r="G108" s="237">
        <f t="shared" si="20"/>
        <v>0</v>
      </c>
      <c r="H108" s="273">
        <f t="shared" si="22"/>
        <v>0</v>
      </c>
      <c r="I108" s="587">
        <f t="shared" si="31"/>
        <v>0</v>
      </c>
      <c r="J108" s="237">
        <f t="shared" si="23"/>
        <v>0</v>
      </c>
      <c r="K108" s="269">
        <f t="shared" si="24"/>
        <v>0</v>
      </c>
      <c r="L108" s="239">
        <f t="shared" si="25"/>
        <v>0</v>
      </c>
      <c r="M108" s="275" t="e">
        <f t="shared" si="26"/>
        <v>#DIV/0!</v>
      </c>
      <c r="N108" s="3"/>
      <c r="O108" s="1">
        <f t="shared" si="33"/>
        <v>88</v>
      </c>
      <c r="P108" s="182">
        <f t="shared" si="33"/>
        <v>46145</v>
      </c>
      <c r="Q108" s="241">
        <f>ROUND(SUMIFS(BS_RE33!$U$7:$U$874,BS_RE33!$S$7:$S$874,'Summary &amp; Working File(AllCcy)'!P108,BS_RE33!$N$7:$N$874,'Summary &amp; Working File(AllCcy)'!$Q$10)+SUMIF($P$13:$P$19,P108,$Q$13:$Q$19),2)</f>
        <v>0</v>
      </c>
      <c r="R108" s="242">
        <f>ROUND(SUMIFS(BS_RE33!$U$7:$U$874,BS_RE33!$S$7:$S$874,'Summary &amp; Working File(AllCcy)'!P108,BS_RE33!$N$7:$N$874,'Summary &amp; Working File(AllCcy)'!$R$10)+SUMIF($P$13:$P$19,P108,$R$13:$R$19),2)</f>
        <v>0</v>
      </c>
    </row>
    <row r="109" spans="2:18">
      <c r="B109" s="243">
        <f t="shared" si="32"/>
        <v>89</v>
      </c>
      <c r="C109" s="247">
        <f t="shared" si="32"/>
        <v>46146</v>
      </c>
      <c r="D109" s="245">
        <f t="shared" si="28"/>
        <v>0</v>
      </c>
      <c r="E109" s="235">
        <f t="shared" si="30"/>
        <v>0</v>
      </c>
      <c r="F109" s="236">
        <f t="shared" si="21"/>
        <v>0</v>
      </c>
      <c r="G109" s="237">
        <f t="shared" si="20"/>
        <v>0</v>
      </c>
      <c r="H109" s="273">
        <f t="shared" si="22"/>
        <v>0</v>
      </c>
      <c r="I109" s="587">
        <f t="shared" si="31"/>
        <v>0</v>
      </c>
      <c r="J109" s="237">
        <f t="shared" si="23"/>
        <v>0</v>
      </c>
      <c r="K109" s="269">
        <f t="shared" si="24"/>
        <v>0</v>
      </c>
      <c r="L109" s="239">
        <f t="shared" si="25"/>
        <v>0</v>
      </c>
      <c r="M109" s="275" t="e">
        <f t="shared" si="26"/>
        <v>#DIV/0!</v>
      </c>
      <c r="N109" s="3"/>
      <c r="O109" s="1">
        <f t="shared" si="33"/>
        <v>89</v>
      </c>
      <c r="P109" s="182">
        <f t="shared" si="33"/>
        <v>46146</v>
      </c>
      <c r="Q109" s="241">
        <f>ROUND(SUMIFS(BS_RE33!$U$7:$U$874,BS_RE33!$S$7:$S$874,'Summary &amp; Working File(AllCcy)'!P109,BS_RE33!$N$7:$N$874,'Summary &amp; Working File(AllCcy)'!$Q$10)+SUMIF($P$13:$P$19,P109,$Q$13:$Q$19),2)</f>
        <v>0</v>
      </c>
      <c r="R109" s="242">
        <f>ROUND(SUMIFS(BS_RE33!$U$7:$U$874,BS_RE33!$S$7:$S$874,'Summary &amp; Working File(AllCcy)'!P109,BS_RE33!$N$7:$N$874,'Summary &amp; Working File(AllCcy)'!$R$10)+SUMIF($P$13:$P$19,P109,$R$13:$R$19),2)</f>
        <v>0</v>
      </c>
    </row>
    <row r="110" spans="2:18">
      <c r="B110" s="243">
        <f t="shared" si="32"/>
        <v>90</v>
      </c>
      <c r="C110" s="247">
        <f t="shared" si="32"/>
        <v>46147</v>
      </c>
      <c r="D110" s="245">
        <f t="shared" si="28"/>
        <v>0</v>
      </c>
      <c r="E110" s="235">
        <f t="shared" si="30"/>
        <v>0</v>
      </c>
      <c r="F110" s="236">
        <f t="shared" si="21"/>
        <v>0</v>
      </c>
      <c r="G110" s="237">
        <f t="shared" si="20"/>
        <v>0</v>
      </c>
      <c r="H110" s="273">
        <f t="shared" si="22"/>
        <v>0</v>
      </c>
      <c r="I110" s="587">
        <f t="shared" si="31"/>
        <v>0</v>
      </c>
      <c r="J110" s="237">
        <f t="shared" si="23"/>
        <v>0</v>
      </c>
      <c r="K110" s="269">
        <f t="shared" si="24"/>
        <v>0</v>
      </c>
      <c r="L110" s="239">
        <f t="shared" si="25"/>
        <v>0</v>
      </c>
      <c r="M110" s="275" t="e">
        <f t="shared" si="26"/>
        <v>#DIV/0!</v>
      </c>
      <c r="N110" s="3"/>
      <c r="O110" s="1">
        <f t="shared" si="33"/>
        <v>90</v>
      </c>
      <c r="P110" s="182">
        <f t="shared" si="33"/>
        <v>46147</v>
      </c>
      <c r="Q110" s="241">
        <f>ROUND(SUMIFS(BS_RE33!$U$7:$U$874,BS_RE33!$S$7:$S$874,'Summary &amp; Working File(AllCcy)'!P110,BS_RE33!$N$7:$N$874,'Summary &amp; Working File(AllCcy)'!$Q$10)+SUMIF($P$13:$P$19,P110,$Q$13:$Q$19),2)</f>
        <v>0</v>
      </c>
      <c r="R110" s="242">
        <f>ROUND(SUMIFS(BS_RE33!$U$7:$U$874,BS_RE33!$S$7:$S$874,'Summary &amp; Working File(AllCcy)'!P110,BS_RE33!$N$7:$N$874,'Summary &amp; Working File(AllCcy)'!$R$10)+SUMIF($P$13:$P$19,P110,$R$13:$R$19),2)</f>
        <v>0</v>
      </c>
    </row>
    <row r="111" spans="2:18">
      <c r="B111" s="243">
        <f t="shared" si="32"/>
        <v>91</v>
      </c>
      <c r="C111" s="247">
        <f t="shared" si="32"/>
        <v>46148</v>
      </c>
      <c r="D111" s="245">
        <f t="shared" si="28"/>
        <v>0</v>
      </c>
      <c r="E111" s="235">
        <f t="shared" si="30"/>
        <v>0</v>
      </c>
      <c r="F111" s="236">
        <f t="shared" si="21"/>
        <v>0</v>
      </c>
      <c r="G111" s="237">
        <f t="shared" si="20"/>
        <v>0</v>
      </c>
      <c r="H111" s="273">
        <f t="shared" si="22"/>
        <v>0</v>
      </c>
      <c r="I111" s="587">
        <f t="shared" si="31"/>
        <v>0</v>
      </c>
      <c r="J111" s="237">
        <f t="shared" si="23"/>
        <v>0</v>
      </c>
      <c r="K111" s="269">
        <f t="shared" si="24"/>
        <v>0</v>
      </c>
      <c r="L111" s="239">
        <f t="shared" si="25"/>
        <v>0</v>
      </c>
      <c r="M111" s="275" t="e">
        <f t="shared" si="26"/>
        <v>#DIV/0!</v>
      </c>
      <c r="N111" s="3"/>
      <c r="O111" s="1">
        <f t="shared" si="33"/>
        <v>91</v>
      </c>
      <c r="P111" s="182">
        <f t="shared" si="33"/>
        <v>46148</v>
      </c>
      <c r="Q111" s="241">
        <f>ROUND(SUMIFS(BS_RE33!$U$7:$U$874,BS_RE33!$S$7:$S$874,'Summary &amp; Working File(AllCcy)'!P111,BS_RE33!$N$7:$N$874,'Summary &amp; Working File(AllCcy)'!$Q$10)+SUMIF($P$13:$P$19,P111,$Q$13:$Q$19),2)</f>
        <v>0</v>
      </c>
      <c r="R111" s="242">
        <f>ROUND(SUMIFS(BS_RE33!$U$7:$U$874,BS_RE33!$S$7:$S$874,'Summary &amp; Working File(AllCcy)'!P111,BS_RE33!$N$7:$N$874,'Summary &amp; Working File(AllCcy)'!$R$10)+SUMIF($P$13:$P$19,P111,$R$13:$R$19),2)</f>
        <v>0</v>
      </c>
    </row>
    <row r="112" spans="2:18">
      <c r="B112" s="243">
        <f t="shared" si="32"/>
        <v>92</v>
      </c>
      <c r="C112" s="247">
        <f t="shared" si="32"/>
        <v>46149</v>
      </c>
      <c r="D112" s="245">
        <f t="shared" si="28"/>
        <v>0</v>
      </c>
      <c r="E112" s="235">
        <f>$Q$11+SUM(Q113:Q142)</f>
        <v>0</v>
      </c>
      <c r="F112" s="236">
        <f t="shared" si="21"/>
        <v>0</v>
      </c>
      <c r="G112" s="237">
        <f t="shared" si="20"/>
        <v>0</v>
      </c>
      <c r="H112" s="273">
        <f>SUM(E112:G112)</f>
        <v>0</v>
      </c>
      <c r="I112" s="587">
        <f t="shared" si="31"/>
        <v>0</v>
      </c>
      <c r="J112" s="237">
        <f>H112*20%</f>
        <v>0</v>
      </c>
      <c r="K112" s="269">
        <f>MIN(SUM(I112:J112),H112*75%)</f>
        <v>0</v>
      </c>
      <c r="L112" s="239">
        <f>H112-K112</f>
        <v>0</v>
      </c>
      <c r="M112" s="275" t="e">
        <f t="shared" si="26"/>
        <v>#DIV/0!</v>
      </c>
      <c r="N112" s="3"/>
      <c r="O112" s="1">
        <f t="shared" si="33"/>
        <v>92</v>
      </c>
      <c r="P112" s="182">
        <f t="shared" si="33"/>
        <v>46149</v>
      </c>
      <c r="Q112" s="241">
        <f>ROUND(SUMIFS(BS_RE33!$U$7:$U$874,BS_RE33!$S$7:$S$874,'Summary &amp; Working File(AllCcy)'!P112,BS_RE33!$N$7:$N$874,'Summary &amp; Working File(AllCcy)'!$Q$10)+SUMIF($P$13:$P$19,P112,$Q$13:$Q$19),2)</f>
        <v>0</v>
      </c>
      <c r="R112" s="242">
        <f>ROUND(SUMIFS(BS_RE33!$U$7:$U$874,BS_RE33!$S$7:$S$874,'Summary &amp; Working File(AllCcy)'!P112,BS_RE33!$N$7:$N$874,'Summary &amp; Working File(AllCcy)'!$R$10)+SUMIF($P$13:$P$19,P112,$R$13:$R$19),2)</f>
        <v>0</v>
      </c>
    </row>
    <row r="113" spans="2:18">
      <c r="B113" s="243">
        <f t="shared" si="32"/>
        <v>93</v>
      </c>
      <c r="C113" s="247">
        <f t="shared" si="32"/>
        <v>46150</v>
      </c>
      <c r="D113" s="245">
        <f t="shared" si="28"/>
        <v>0</v>
      </c>
      <c r="E113" s="235">
        <f t="shared" si="30"/>
        <v>0</v>
      </c>
      <c r="F113" s="236">
        <f t="shared" si="21"/>
        <v>0</v>
      </c>
      <c r="G113" s="237">
        <f t="shared" si="20"/>
        <v>0</v>
      </c>
      <c r="H113" s="273">
        <f t="shared" si="22"/>
        <v>0</v>
      </c>
      <c r="I113" s="587">
        <f t="shared" si="31"/>
        <v>0</v>
      </c>
      <c r="J113" s="237">
        <f t="shared" si="23"/>
        <v>0</v>
      </c>
      <c r="K113" s="269">
        <f t="shared" si="24"/>
        <v>0</v>
      </c>
      <c r="L113" s="239">
        <f t="shared" si="25"/>
        <v>0</v>
      </c>
      <c r="M113" s="275" t="e">
        <f t="shared" si="26"/>
        <v>#DIV/0!</v>
      </c>
      <c r="N113" s="3"/>
      <c r="O113" s="1">
        <f t="shared" si="33"/>
        <v>93</v>
      </c>
      <c r="P113" s="182">
        <f t="shared" si="33"/>
        <v>46150</v>
      </c>
      <c r="Q113" s="241">
        <f>ROUND(SUMIFS(BS_RE33!$U$7:$U$874,BS_RE33!$S$7:$S$874,'Summary &amp; Working File(AllCcy)'!P113,BS_RE33!$N$7:$N$874,'Summary &amp; Working File(AllCcy)'!$Q$10)+SUMIF($P$13:$P$19,P113,$Q$13:$Q$19),2)</f>
        <v>0</v>
      </c>
      <c r="R113" s="242">
        <f>ROUND(SUMIFS(BS_RE33!$U$7:$U$874,BS_RE33!$S$7:$S$874,'Summary &amp; Working File(AllCcy)'!P113,BS_RE33!$N$7:$N$874,'Summary &amp; Working File(AllCcy)'!$R$10)+SUMIF($P$13:$P$19,P113,$R$13:$R$19),2)</f>
        <v>0</v>
      </c>
    </row>
    <row r="114" spans="2:18">
      <c r="B114" s="243">
        <f t="shared" si="32"/>
        <v>94</v>
      </c>
      <c r="C114" s="247">
        <f t="shared" si="32"/>
        <v>46151</v>
      </c>
      <c r="D114" s="245">
        <f t="shared" si="28"/>
        <v>0</v>
      </c>
      <c r="E114" s="235">
        <f t="shared" si="30"/>
        <v>0</v>
      </c>
      <c r="F114" s="236">
        <f t="shared" si="21"/>
        <v>0</v>
      </c>
      <c r="G114" s="237">
        <f t="shared" si="20"/>
        <v>0</v>
      </c>
      <c r="H114" s="273">
        <f t="shared" ref="H114:H177" si="34">SUM(E114:G114)</f>
        <v>0</v>
      </c>
      <c r="I114" s="587">
        <f t="shared" si="31"/>
        <v>0</v>
      </c>
      <c r="J114" s="237">
        <f t="shared" si="23"/>
        <v>0</v>
      </c>
      <c r="K114" s="269">
        <f t="shared" ref="K114:K177" si="35">MIN(SUM(I114:J114),H114*75%)</f>
        <v>0</v>
      </c>
      <c r="L114" s="239">
        <f t="shared" si="25"/>
        <v>0</v>
      </c>
      <c r="M114" s="275" t="e">
        <f t="shared" si="26"/>
        <v>#DIV/0!</v>
      </c>
      <c r="N114" s="3"/>
      <c r="O114" s="1">
        <f t="shared" si="33"/>
        <v>94</v>
      </c>
      <c r="P114" s="182">
        <f t="shared" si="33"/>
        <v>46151</v>
      </c>
      <c r="Q114" s="241">
        <f>ROUND(SUMIFS(BS_RE33!$U$7:$U$874,BS_RE33!$S$7:$S$874,'Summary &amp; Working File(AllCcy)'!P114,BS_RE33!$N$7:$N$874,'Summary &amp; Working File(AllCcy)'!$Q$10)+SUMIF($P$13:$P$19,P114,$Q$13:$Q$19),2)</f>
        <v>0</v>
      </c>
      <c r="R114" s="242">
        <f>ROUND(SUMIFS(BS_RE33!$U$7:$U$874,BS_RE33!$S$7:$S$874,'Summary &amp; Working File(AllCcy)'!P114,BS_RE33!$N$7:$N$874,'Summary &amp; Working File(AllCcy)'!$R$10)+SUMIF($P$13:$P$19,P114,$R$13:$R$19),2)</f>
        <v>0</v>
      </c>
    </row>
    <row r="115" spans="2:18">
      <c r="B115" s="243">
        <f t="shared" si="32"/>
        <v>95</v>
      </c>
      <c r="C115" s="247">
        <f t="shared" si="32"/>
        <v>46152</v>
      </c>
      <c r="D115" s="245">
        <f t="shared" si="28"/>
        <v>0</v>
      </c>
      <c r="E115" s="235">
        <f t="shared" si="30"/>
        <v>0</v>
      </c>
      <c r="F115" s="236">
        <f t="shared" si="21"/>
        <v>0</v>
      </c>
      <c r="G115" s="237">
        <f t="shared" si="20"/>
        <v>0</v>
      </c>
      <c r="H115" s="273">
        <f t="shared" si="34"/>
        <v>0</v>
      </c>
      <c r="I115" s="587">
        <f t="shared" si="31"/>
        <v>0</v>
      </c>
      <c r="J115" s="237">
        <f t="shared" si="23"/>
        <v>0</v>
      </c>
      <c r="K115" s="269">
        <f t="shared" si="35"/>
        <v>0</v>
      </c>
      <c r="L115" s="239">
        <f t="shared" si="25"/>
        <v>0</v>
      </c>
      <c r="M115" s="275" t="e">
        <f t="shared" si="26"/>
        <v>#DIV/0!</v>
      </c>
      <c r="N115" s="3"/>
      <c r="O115" s="1">
        <f t="shared" si="33"/>
        <v>95</v>
      </c>
      <c r="P115" s="182">
        <f t="shared" si="33"/>
        <v>46152</v>
      </c>
      <c r="Q115" s="241">
        <f>ROUND(SUMIFS(BS_RE33!$U$7:$U$874,BS_RE33!$S$7:$S$874,'Summary &amp; Working File(AllCcy)'!P115,BS_RE33!$N$7:$N$874,'Summary &amp; Working File(AllCcy)'!$Q$10)+SUMIF($P$13:$P$19,P115,$Q$13:$Q$19),2)</f>
        <v>0</v>
      </c>
      <c r="R115" s="242">
        <f>ROUND(SUMIFS(BS_RE33!$U$7:$U$874,BS_RE33!$S$7:$S$874,'Summary &amp; Working File(AllCcy)'!P115,BS_RE33!$N$7:$N$874,'Summary &amp; Working File(AllCcy)'!$R$10)+SUMIF($P$13:$P$19,P115,$R$13:$R$19),2)</f>
        <v>0</v>
      </c>
    </row>
    <row r="116" spans="2:18">
      <c r="B116" s="243">
        <f t="shared" si="32"/>
        <v>96</v>
      </c>
      <c r="C116" s="247">
        <f t="shared" si="32"/>
        <v>46153</v>
      </c>
      <c r="D116" s="245">
        <f t="shared" si="28"/>
        <v>0</v>
      </c>
      <c r="E116" s="235">
        <f t="shared" si="30"/>
        <v>0</v>
      </c>
      <c r="F116" s="236">
        <f t="shared" si="21"/>
        <v>0</v>
      </c>
      <c r="G116" s="237">
        <f t="shared" si="20"/>
        <v>0</v>
      </c>
      <c r="H116" s="273">
        <f t="shared" si="34"/>
        <v>0</v>
      </c>
      <c r="I116" s="587">
        <f t="shared" si="31"/>
        <v>0</v>
      </c>
      <c r="J116" s="237">
        <f t="shared" si="23"/>
        <v>0</v>
      </c>
      <c r="K116" s="269">
        <f t="shared" si="35"/>
        <v>0</v>
      </c>
      <c r="L116" s="239">
        <f t="shared" si="25"/>
        <v>0</v>
      </c>
      <c r="M116" s="275" t="e">
        <f t="shared" si="26"/>
        <v>#DIV/0!</v>
      </c>
      <c r="N116" s="3"/>
      <c r="O116" s="1">
        <f t="shared" si="33"/>
        <v>96</v>
      </c>
      <c r="P116" s="182">
        <f t="shared" si="33"/>
        <v>46153</v>
      </c>
      <c r="Q116" s="241">
        <f>ROUND(SUMIFS(BS_RE33!$U$7:$U$874,BS_RE33!$S$7:$S$874,'Summary &amp; Working File(AllCcy)'!P116,BS_RE33!$N$7:$N$874,'Summary &amp; Working File(AllCcy)'!$Q$10)+SUMIF($P$13:$P$19,P116,$Q$13:$Q$19),2)</f>
        <v>0</v>
      </c>
      <c r="R116" s="242">
        <f>ROUND(SUMIFS(BS_RE33!$U$7:$U$874,BS_RE33!$S$7:$S$874,'Summary &amp; Working File(AllCcy)'!P116,BS_RE33!$N$7:$N$874,'Summary &amp; Working File(AllCcy)'!$R$10)+SUMIF($P$13:$P$19,P116,$R$13:$R$19),2)</f>
        <v>0</v>
      </c>
    </row>
    <row r="117" spans="2:18">
      <c r="B117" s="243">
        <f t="shared" si="32"/>
        <v>97</v>
      </c>
      <c r="C117" s="247">
        <f t="shared" si="32"/>
        <v>46154</v>
      </c>
      <c r="D117" s="245">
        <f t="shared" si="28"/>
        <v>0</v>
      </c>
      <c r="E117" s="235">
        <f t="shared" si="30"/>
        <v>0</v>
      </c>
      <c r="F117" s="236">
        <f t="shared" si="21"/>
        <v>0</v>
      </c>
      <c r="G117" s="237">
        <f t="shared" si="20"/>
        <v>0</v>
      </c>
      <c r="H117" s="273">
        <f t="shared" si="34"/>
        <v>0</v>
      </c>
      <c r="I117" s="587">
        <f t="shared" si="31"/>
        <v>0</v>
      </c>
      <c r="J117" s="237">
        <f t="shared" si="23"/>
        <v>0</v>
      </c>
      <c r="K117" s="269">
        <f t="shared" si="35"/>
        <v>0</v>
      </c>
      <c r="L117" s="239">
        <f t="shared" si="25"/>
        <v>0</v>
      </c>
      <c r="M117" s="275" t="e">
        <f t="shared" si="26"/>
        <v>#DIV/0!</v>
      </c>
      <c r="N117" s="3"/>
      <c r="O117" s="1">
        <f t="shared" si="33"/>
        <v>97</v>
      </c>
      <c r="P117" s="182">
        <f t="shared" si="33"/>
        <v>46154</v>
      </c>
      <c r="Q117" s="241">
        <f>ROUND(SUMIFS(BS_RE33!$U$7:$U$874,BS_RE33!$S$7:$S$874,'Summary &amp; Working File(AllCcy)'!P117,BS_RE33!$N$7:$N$874,'Summary &amp; Working File(AllCcy)'!$Q$10)+SUMIF($P$13:$P$19,P117,$Q$13:$Q$19),2)</f>
        <v>0</v>
      </c>
      <c r="R117" s="242">
        <f>ROUND(SUMIFS(BS_RE33!$U$7:$U$874,BS_RE33!$S$7:$S$874,'Summary &amp; Working File(AllCcy)'!P117,BS_RE33!$N$7:$N$874,'Summary &amp; Working File(AllCcy)'!$R$10)+SUMIF($P$13:$P$19,P117,$R$13:$R$19),2)</f>
        <v>0</v>
      </c>
    </row>
    <row r="118" spans="2:18">
      <c r="B118" s="243">
        <f t="shared" si="32"/>
        <v>98</v>
      </c>
      <c r="C118" s="247">
        <f t="shared" si="32"/>
        <v>46155</v>
      </c>
      <c r="D118" s="245">
        <f t="shared" si="28"/>
        <v>0</v>
      </c>
      <c r="E118" s="235">
        <f t="shared" si="30"/>
        <v>0</v>
      </c>
      <c r="F118" s="236">
        <f t="shared" si="21"/>
        <v>0</v>
      </c>
      <c r="G118" s="237">
        <f t="shared" si="20"/>
        <v>0</v>
      </c>
      <c r="H118" s="273">
        <f t="shared" si="34"/>
        <v>0</v>
      </c>
      <c r="I118" s="587">
        <f t="shared" si="31"/>
        <v>0</v>
      </c>
      <c r="J118" s="237">
        <f t="shared" si="23"/>
        <v>0</v>
      </c>
      <c r="K118" s="269">
        <f t="shared" si="35"/>
        <v>0</v>
      </c>
      <c r="L118" s="239">
        <f t="shared" si="25"/>
        <v>0</v>
      </c>
      <c r="M118" s="275" t="e">
        <f t="shared" si="26"/>
        <v>#DIV/0!</v>
      </c>
      <c r="N118" s="3"/>
      <c r="O118" s="1">
        <f t="shared" si="33"/>
        <v>98</v>
      </c>
      <c r="P118" s="182">
        <f t="shared" si="33"/>
        <v>46155</v>
      </c>
      <c r="Q118" s="241">
        <f>ROUND(SUMIFS(BS_RE33!$U$7:$U$874,BS_RE33!$S$7:$S$874,'Summary &amp; Working File(AllCcy)'!P118,BS_RE33!$N$7:$N$874,'Summary &amp; Working File(AllCcy)'!$Q$10)+SUMIF($P$13:$P$19,P118,$Q$13:$Q$19),2)</f>
        <v>0</v>
      </c>
      <c r="R118" s="242">
        <f>ROUND(SUMIFS(BS_RE33!$U$7:$U$874,BS_RE33!$S$7:$S$874,'Summary &amp; Working File(AllCcy)'!P118,BS_RE33!$N$7:$N$874,'Summary &amp; Working File(AllCcy)'!$R$10)+SUMIF($P$13:$P$19,P118,$R$13:$R$19),2)</f>
        <v>0</v>
      </c>
    </row>
    <row r="119" spans="2:18">
      <c r="B119" s="243">
        <f t="shared" ref="B119:C134" si="36">B118+1</f>
        <v>99</v>
      </c>
      <c r="C119" s="247">
        <f t="shared" si="36"/>
        <v>46156</v>
      </c>
      <c r="D119" s="245">
        <f t="shared" si="28"/>
        <v>0</v>
      </c>
      <c r="E119" s="235">
        <f t="shared" si="30"/>
        <v>0</v>
      </c>
      <c r="F119" s="236">
        <f t="shared" si="21"/>
        <v>0</v>
      </c>
      <c r="G119" s="237">
        <f t="shared" si="20"/>
        <v>0</v>
      </c>
      <c r="H119" s="273">
        <f t="shared" si="34"/>
        <v>0</v>
      </c>
      <c r="I119" s="587">
        <f t="shared" si="31"/>
        <v>0</v>
      </c>
      <c r="J119" s="237">
        <f t="shared" si="23"/>
        <v>0</v>
      </c>
      <c r="K119" s="269">
        <f t="shared" si="35"/>
        <v>0</v>
      </c>
      <c r="L119" s="239">
        <f t="shared" si="25"/>
        <v>0</v>
      </c>
      <c r="M119" s="275" t="e">
        <f t="shared" si="26"/>
        <v>#DIV/0!</v>
      </c>
      <c r="N119" s="3"/>
      <c r="O119" s="1">
        <f t="shared" ref="O119:P134" si="37">O118+1</f>
        <v>99</v>
      </c>
      <c r="P119" s="182">
        <f t="shared" si="37"/>
        <v>46156</v>
      </c>
      <c r="Q119" s="241">
        <f>ROUND(SUMIFS(BS_RE33!$U$7:$U$874,BS_RE33!$S$7:$S$874,'Summary &amp; Working File(AllCcy)'!P119,BS_RE33!$N$7:$N$874,'Summary &amp; Working File(AllCcy)'!$Q$10)+SUMIF($P$13:$P$19,P119,$Q$13:$Q$19),2)</f>
        <v>0</v>
      </c>
      <c r="R119" s="242">
        <f>ROUND(SUMIFS(BS_RE33!$U$7:$U$874,BS_RE33!$S$7:$S$874,'Summary &amp; Working File(AllCcy)'!P119,BS_RE33!$N$7:$N$874,'Summary &amp; Working File(AllCcy)'!$R$10)+SUMIF($P$13:$P$19,P119,$R$13:$R$19),2)</f>
        <v>0</v>
      </c>
    </row>
    <row r="120" spans="2:18">
      <c r="B120" s="243">
        <f t="shared" si="36"/>
        <v>100</v>
      </c>
      <c r="C120" s="247">
        <f t="shared" si="36"/>
        <v>46157</v>
      </c>
      <c r="D120" s="245">
        <f t="shared" si="28"/>
        <v>0</v>
      </c>
      <c r="E120" s="235">
        <f t="shared" si="30"/>
        <v>0</v>
      </c>
      <c r="F120" s="236">
        <f t="shared" si="21"/>
        <v>0</v>
      </c>
      <c r="G120" s="237">
        <f t="shared" si="20"/>
        <v>0</v>
      </c>
      <c r="H120" s="273">
        <f t="shared" si="34"/>
        <v>0</v>
      </c>
      <c r="I120" s="587">
        <f t="shared" si="31"/>
        <v>0</v>
      </c>
      <c r="J120" s="237">
        <f t="shared" si="23"/>
        <v>0</v>
      </c>
      <c r="K120" s="269">
        <f t="shared" si="35"/>
        <v>0</v>
      </c>
      <c r="L120" s="239">
        <f t="shared" si="25"/>
        <v>0</v>
      </c>
      <c r="M120" s="275" t="e">
        <f t="shared" si="26"/>
        <v>#DIV/0!</v>
      </c>
      <c r="N120" s="3"/>
      <c r="O120" s="1">
        <f t="shared" si="37"/>
        <v>100</v>
      </c>
      <c r="P120" s="182">
        <f t="shared" si="37"/>
        <v>46157</v>
      </c>
      <c r="Q120" s="241">
        <f>ROUND(SUMIFS(BS_RE33!$U$7:$U$874,BS_RE33!$S$7:$S$874,'Summary &amp; Working File(AllCcy)'!P120,BS_RE33!$N$7:$N$874,'Summary &amp; Working File(AllCcy)'!$Q$10)+SUMIF($P$13:$P$19,P120,$Q$13:$Q$19),2)</f>
        <v>0</v>
      </c>
      <c r="R120" s="242">
        <f>ROUND(SUMIFS(BS_RE33!$U$7:$U$874,BS_RE33!$S$7:$S$874,'Summary &amp; Working File(AllCcy)'!P120,BS_RE33!$N$7:$N$874,'Summary &amp; Working File(AllCcy)'!$R$10)+SUMIF($P$13:$P$19,P120,$R$13:$R$19),2)</f>
        <v>0</v>
      </c>
    </row>
    <row r="121" spans="2:18">
      <c r="B121" s="243">
        <f t="shared" si="36"/>
        <v>101</v>
      </c>
      <c r="C121" s="247">
        <f t="shared" si="36"/>
        <v>46158</v>
      </c>
      <c r="D121" s="245">
        <f t="shared" si="28"/>
        <v>0</v>
      </c>
      <c r="E121" s="235">
        <f t="shared" si="30"/>
        <v>0</v>
      </c>
      <c r="F121" s="236">
        <f t="shared" si="21"/>
        <v>0</v>
      </c>
      <c r="G121" s="237">
        <f t="shared" si="20"/>
        <v>0</v>
      </c>
      <c r="H121" s="273">
        <f t="shared" si="34"/>
        <v>0</v>
      </c>
      <c r="I121" s="587">
        <f t="shared" si="31"/>
        <v>0</v>
      </c>
      <c r="J121" s="237">
        <f t="shared" si="23"/>
        <v>0</v>
      </c>
      <c r="K121" s="269">
        <f t="shared" si="35"/>
        <v>0</v>
      </c>
      <c r="L121" s="239">
        <f t="shared" si="25"/>
        <v>0</v>
      </c>
      <c r="M121" s="275" t="e">
        <f t="shared" si="26"/>
        <v>#DIV/0!</v>
      </c>
      <c r="N121" s="3"/>
      <c r="O121" s="1">
        <f t="shared" si="37"/>
        <v>101</v>
      </c>
      <c r="P121" s="182">
        <f t="shared" si="37"/>
        <v>46158</v>
      </c>
      <c r="Q121" s="241">
        <f>ROUND(SUMIFS(BS_RE33!$U$7:$U$874,BS_RE33!$S$7:$S$874,'Summary &amp; Working File(AllCcy)'!P121,BS_RE33!$N$7:$N$874,'Summary &amp; Working File(AllCcy)'!$Q$10)+SUMIF($P$13:$P$19,P121,$Q$13:$Q$19),2)</f>
        <v>0</v>
      </c>
      <c r="R121" s="242">
        <f>ROUND(SUMIFS(BS_RE33!$U$7:$U$874,BS_RE33!$S$7:$S$874,'Summary &amp; Working File(AllCcy)'!P121,BS_RE33!$N$7:$N$874,'Summary &amp; Working File(AllCcy)'!$R$10)+SUMIF($P$13:$P$19,P121,$R$13:$R$19),2)</f>
        <v>0</v>
      </c>
    </row>
    <row r="122" spans="2:18">
      <c r="B122" s="243">
        <f t="shared" si="36"/>
        <v>102</v>
      </c>
      <c r="C122" s="247">
        <f t="shared" si="36"/>
        <v>46159</v>
      </c>
      <c r="D122" s="245">
        <f t="shared" si="28"/>
        <v>0</v>
      </c>
      <c r="E122" s="235">
        <f t="shared" si="30"/>
        <v>0</v>
      </c>
      <c r="F122" s="236">
        <f t="shared" si="21"/>
        <v>0</v>
      </c>
      <c r="G122" s="237">
        <f t="shared" si="20"/>
        <v>0</v>
      </c>
      <c r="H122" s="273">
        <f t="shared" si="34"/>
        <v>0</v>
      </c>
      <c r="I122" s="587">
        <f t="shared" si="31"/>
        <v>0</v>
      </c>
      <c r="J122" s="237">
        <f t="shared" si="23"/>
        <v>0</v>
      </c>
      <c r="K122" s="269">
        <f t="shared" si="35"/>
        <v>0</v>
      </c>
      <c r="L122" s="239">
        <f t="shared" si="25"/>
        <v>0</v>
      </c>
      <c r="M122" s="275" t="e">
        <f t="shared" si="26"/>
        <v>#DIV/0!</v>
      </c>
      <c r="N122" s="3"/>
      <c r="O122" s="1">
        <f t="shared" si="37"/>
        <v>102</v>
      </c>
      <c r="P122" s="182">
        <f t="shared" si="37"/>
        <v>46159</v>
      </c>
      <c r="Q122" s="241">
        <f>ROUND(SUMIFS(BS_RE33!$U$7:$U$874,BS_RE33!$S$7:$S$874,'Summary &amp; Working File(AllCcy)'!P122,BS_RE33!$N$7:$N$874,'Summary &amp; Working File(AllCcy)'!$Q$10)+SUMIF($P$13:$P$19,P122,$Q$13:$Q$19),2)</f>
        <v>0</v>
      </c>
      <c r="R122" s="242">
        <f>ROUND(SUMIFS(BS_RE33!$U$7:$U$874,BS_RE33!$S$7:$S$874,'Summary &amp; Working File(AllCcy)'!P122,BS_RE33!$N$7:$N$874,'Summary &amp; Working File(AllCcy)'!$R$10)+SUMIF($P$13:$P$19,P122,$R$13:$R$19),2)</f>
        <v>0</v>
      </c>
    </row>
    <row r="123" spans="2:18">
      <c r="B123" s="243">
        <f t="shared" si="36"/>
        <v>103</v>
      </c>
      <c r="C123" s="247">
        <f t="shared" si="36"/>
        <v>46160</v>
      </c>
      <c r="D123" s="245">
        <f t="shared" si="28"/>
        <v>0</v>
      </c>
      <c r="E123" s="235">
        <f t="shared" si="30"/>
        <v>0</v>
      </c>
      <c r="F123" s="236">
        <f t="shared" si="21"/>
        <v>0</v>
      </c>
      <c r="G123" s="237">
        <f t="shared" si="20"/>
        <v>0</v>
      </c>
      <c r="H123" s="273">
        <f t="shared" si="34"/>
        <v>0</v>
      </c>
      <c r="I123" s="587">
        <f t="shared" si="31"/>
        <v>0</v>
      </c>
      <c r="J123" s="237">
        <f t="shared" si="23"/>
        <v>0</v>
      </c>
      <c r="K123" s="269">
        <f t="shared" si="35"/>
        <v>0</v>
      </c>
      <c r="L123" s="239">
        <f t="shared" si="25"/>
        <v>0</v>
      </c>
      <c r="M123" s="275" t="e">
        <f t="shared" si="26"/>
        <v>#DIV/0!</v>
      </c>
      <c r="N123" s="3"/>
      <c r="O123" s="1">
        <f t="shared" si="37"/>
        <v>103</v>
      </c>
      <c r="P123" s="182">
        <f t="shared" si="37"/>
        <v>46160</v>
      </c>
      <c r="Q123" s="241">
        <f>ROUND(SUMIFS(BS_RE33!$U$7:$U$874,BS_RE33!$S$7:$S$874,'Summary &amp; Working File(AllCcy)'!P123,BS_RE33!$N$7:$N$874,'Summary &amp; Working File(AllCcy)'!$Q$10)+SUMIF($P$13:$P$19,P123,$Q$13:$Q$19),2)</f>
        <v>0</v>
      </c>
      <c r="R123" s="242">
        <f>ROUND(SUMIFS(BS_RE33!$U$7:$U$874,BS_RE33!$S$7:$S$874,'Summary &amp; Working File(AllCcy)'!P123,BS_RE33!$N$7:$N$874,'Summary &amp; Working File(AllCcy)'!$R$10)+SUMIF($P$13:$P$19,P123,$R$13:$R$19),2)</f>
        <v>0</v>
      </c>
    </row>
    <row r="124" spans="2:18">
      <c r="B124" s="243">
        <f t="shared" si="36"/>
        <v>104</v>
      </c>
      <c r="C124" s="247">
        <f t="shared" si="36"/>
        <v>46161</v>
      </c>
      <c r="D124" s="245">
        <f t="shared" si="28"/>
        <v>0</v>
      </c>
      <c r="E124" s="235">
        <f t="shared" si="30"/>
        <v>0</v>
      </c>
      <c r="F124" s="236">
        <f t="shared" si="21"/>
        <v>0</v>
      </c>
      <c r="G124" s="237">
        <f t="shared" si="20"/>
        <v>0</v>
      </c>
      <c r="H124" s="273">
        <f t="shared" si="34"/>
        <v>0</v>
      </c>
      <c r="I124" s="587">
        <f t="shared" si="31"/>
        <v>0</v>
      </c>
      <c r="J124" s="237">
        <f t="shared" si="23"/>
        <v>0</v>
      </c>
      <c r="K124" s="269">
        <f t="shared" si="35"/>
        <v>0</v>
      </c>
      <c r="L124" s="239">
        <f t="shared" si="25"/>
        <v>0</v>
      </c>
      <c r="M124" s="275" t="e">
        <f t="shared" si="26"/>
        <v>#DIV/0!</v>
      </c>
      <c r="N124" s="3"/>
      <c r="O124" s="1">
        <f t="shared" si="37"/>
        <v>104</v>
      </c>
      <c r="P124" s="182">
        <f t="shared" si="37"/>
        <v>46161</v>
      </c>
      <c r="Q124" s="241">
        <f>ROUND(SUMIFS(BS_RE33!$U$7:$U$874,BS_RE33!$S$7:$S$874,'Summary &amp; Working File(AllCcy)'!P124,BS_RE33!$N$7:$N$874,'Summary &amp; Working File(AllCcy)'!$Q$10)+SUMIF($P$13:$P$19,P124,$Q$13:$Q$19),2)</f>
        <v>0</v>
      </c>
      <c r="R124" s="242">
        <f>ROUND(SUMIFS(BS_RE33!$U$7:$U$874,BS_RE33!$S$7:$S$874,'Summary &amp; Working File(AllCcy)'!P124,BS_RE33!$N$7:$N$874,'Summary &amp; Working File(AllCcy)'!$R$10)+SUMIF($P$13:$P$19,P124,$R$13:$R$19),2)</f>
        <v>0</v>
      </c>
    </row>
    <row r="125" spans="2:18">
      <c r="B125" s="243">
        <f t="shared" si="36"/>
        <v>105</v>
      </c>
      <c r="C125" s="247">
        <f t="shared" si="36"/>
        <v>46162</v>
      </c>
      <c r="D125" s="245">
        <f t="shared" si="28"/>
        <v>0</v>
      </c>
      <c r="E125" s="235">
        <f t="shared" si="30"/>
        <v>0</v>
      </c>
      <c r="F125" s="236">
        <f t="shared" si="21"/>
        <v>0</v>
      </c>
      <c r="G125" s="237">
        <f t="shared" si="20"/>
        <v>0</v>
      </c>
      <c r="H125" s="273">
        <f t="shared" si="34"/>
        <v>0</v>
      </c>
      <c r="I125" s="587">
        <f t="shared" si="31"/>
        <v>0</v>
      </c>
      <c r="J125" s="237">
        <f t="shared" si="23"/>
        <v>0</v>
      </c>
      <c r="K125" s="269">
        <f t="shared" si="35"/>
        <v>0</v>
      </c>
      <c r="L125" s="239">
        <f t="shared" si="25"/>
        <v>0</v>
      </c>
      <c r="M125" s="275" t="e">
        <f t="shared" si="26"/>
        <v>#DIV/0!</v>
      </c>
      <c r="N125" s="3"/>
      <c r="O125" s="1">
        <f t="shared" si="37"/>
        <v>105</v>
      </c>
      <c r="P125" s="182">
        <f t="shared" si="37"/>
        <v>46162</v>
      </c>
      <c r="Q125" s="241">
        <f>ROUND(SUMIFS(BS_RE33!$U$7:$U$874,BS_RE33!$S$7:$S$874,'Summary &amp; Working File(AllCcy)'!P125,BS_RE33!$N$7:$N$874,'Summary &amp; Working File(AllCcy)'!$Q$10)+SUMIF($P$13:$P$19,P125,$Q$13:$Q$19),2)</f>
        <v>0</v>
      </c>
      <c r="R125" s="242">
        <f>ROUND(SUMIFS(BS_RE33!$U$7:$U$874,BS_RE33!$S$7:$S$874,'Summary &amp; Working File(AllCcy)'!P125,BS_RE33!$N$7:$N$874,'Summary &amp; Working File(AllCcy)'!$R$10)+SUMIF($P$13:$P$19,P125,$R$13:$R$19),2)</f>
        <v>0</v>
      </c>
    </row>
    <row r="126" spans="2:18">
      <c r="B126" s="243">
        <f t="shared" si="36"/>
        <v>106</v>
      </c>
      <c r="C126" s="247">
        <f t="shared" si="36"/>
        <v>46163</v>
      </c>
      <c r="D126" s="245">
        <f t="shared" si="28"/>
        <v>0</v>
      </c>
      <c r="E126" s="235">
        <f t="shared" si="30"/>
        <v>0</v>
      </c>
      <c r="F126" s="236">
        <f t="shared" si="21"/>
        <v>0</v>
      </c>
      <c r="G126" s="237">
        <f t="shared" si="20"/>
        <v>0</v>
      </c>
      <c r="H126" s="273">
        <f t="shared" si="34"/>
        <v>0</v>
      </c>
      <c r="I126" s="587">
        <f t="shared" si="31"/>
        <v>0</v>
      </c>
      <c r="J126" s="237">
        <f t="shared" si="23"/>
        <v>0</v>
      </c>
      <c r="K126" s="269">
        <f t="shared" si="35"/>
        <v>0</v>
      </c>
      <c r="L126" s="239">
        <f t="shared" si="25"/>
        <v>0</v>
      </c>
      <c r="M126" s="275" t="e">
        <f t="shared" si="26"/>
        <v>#DIV/0!</v>
      </c>
      <c r="N126" s="3"/>
      <c r="O126" s="1">
        <f t="shared" si="37"/>
        <v>106</v>
      </c>
      <c r="P126" s="182">
        <f t="shared" si="37"/>
        <v>46163</v>
      </c>
      <c r="Q126" s="241">
        <f>ROUND(SUMIFS(BS_RE33!$U$7:$U$874,BS_RE33!$S$7:$S$874,'Summary &amp; Working File(AllCcy)'!P126,BS_RE33!$N$7:$N$874,'Summary &amp; Working File(AllCcy)'!$Q$10)+SUMIF($P$13:$P$19,P126,$Q$13:$Q$19),2)</f>
        <v>0</v>
      </c>
      <c r="R126" s="242">
        <f>ROUND(SUMIFS(BS_RE33!$U$7:$U$874,BS_RE33!$S$7:$S$874,'Summary &amp; Working File(AllCcy)'!P126,BS_RE33!$N$7:$N$874,'Summary &amp; Working File(AllCcy)'!$R$10)+SUMIF($P$13:$P$19,P126,$R$13:$R$19),2)</f>
        <v>0</v>
      </c>
    </row>
    <row r="127" spans="2:18">
      <c r="B127" s="243">
        <f t="shared" si="36"/>
        <v>107</v>
      </c>
      <c r="C127" s="247">
        <f t="shared" si="36"/>
        <v>46164</v>
      </c>
      <c r="D127" s="245">
        <f t="shared" si="28"/>
        <v>0</v>
      </c>
      <c r="E127" s="235">
        <f t="shared" si="30"/>
        <v>0</v>
      </c>
      <c r="F127" s="236">
        <f t="shared" si="21"/>
        <v>0</v>
      </c>
      <c r="G127" s="237">
        <f t="shared" si="20"/>
        <v>0</v>
      </c>
      <c r="H127" s="273">
        <f t="shared" si="34"/>
        <v>0</v>
      </c>
      <c r="I127" s="587">
        <f t="shared" si="31"/>
        <v>0</v>
      </c>
      <c r="J127" s="237">
        <f t="shared" si="23"/>
        <v>0</v>
      </c>
      <c r="K127" s="269">
        <f t="shared" si="35"/>
        <v>0</v>
      </c>
      <c r="L127" s="239">
        <f t="shared" si="25"/>
        <v>0</v>
      </c>
      <c r="M127" s="275" t="e">
        <f t="shared" si="26"/>
        <v>#DIV/0!</v>
      </c>
      <c r="N127" s="3"/>
      <c r="O127" s="1">
        <f t="shared" si="37"/>
        <v>107</v>
      </c>
      <c r="P127" s="182">
        <f t="shared" si="37"/>
        <v>46164</v>
      </c>
      <c r="Q127" s="241">
        <f>ROUND(SUMIFS(BS_RE33!$U$7:$U$874,BS_RE33!$S$7:$S$874,'Summary &amp; Working File(AllCcy)'!P127,BS_RE33!$N$7:$N$874,'Summary &amp; Working File(AllCcy)'!$Q$10)+SUMIF($P$13:$P$19,P127,$Q$13:$Q$19),2)</f>
        <v>0</v>
      </c>
      <c r="R127" s="242">
        <f>ROUND(SUMIFS(BS_RE33!$U$7:$U$874,BS_RE33!$S$7:$S$874,'Summary &amp; Working File(AllCcy)'!P127,BS_RE33!$N$7:$N$874,'Summary &amp; Working File(AllCcy)'!$R$10)+SUMIF($P$13:$P$19,P127,$R$13:$R$19),2)</f>
        <v>0</v>
      </c>
    </row>
    <row r="128" spans="2:18">
      <c r="B128" s="243">
        <f t="shared" si="36"/>
        <v>108</v>
      </c>
      <c r="C128" s="247">
        <f t="shared" si="36"/>
        <v>46165</v>
      </c>
      <c r="D128" s="245">
        <f t="shared" si="28"/>
        <v>0</v>
      </c>
      <c r="E128" s="235">
        <f t="shared" si="30"/>
        <v>0</v>
      </c>
      <c r="F128" s="236">
        <f t="shared" si="21"/>
        <v>0</v>
      </c>
      <c r="G128" s="237">
        <f t="shared" si="20"/>
        <v>0</v>
      </c>
      <c r="H128" s="273">
        <f t="shared" si="34"/>
        <v>0</v>
      </c>
      <c r="I128" s="587">
        <f t="shared" si="31"/>
        <v>0</v>
      </c>
      <c r="J128" s="237">
        <f t="shared" si="23"/>
        <v>0</v>
      </c>
      <c r="K128" s="269">
        <f t="shared" si="35"/>
        <v>0</v>
      </c>
      <c r="L128" s="239">
        <f t="shared" si="25"/>
        <v>0</v>
      </c>
      <c r="M128" s="275" t="e">
        <f t="shared" si="26"/>
        <v>#DIV/0!</v>
      </c>
      <c r="N128" s="3"/>
      <c r="O128" s="1">
        <f t="shared" si="37"/>
        <v>108</v>
      </c>
      <c r="P128" s="182">
        <f t="shared" si="37"/>
        <v>46165</v>
      </c>
      <c r="Q128" s="241">
        <f>ROUND(SUMIFS(BS_RE33!$U$7:$U$874,BS_RE33!$S$7:$S$874,'Summary &amp; Working File(AllCcy)'!P128,BS_RE33!$N$7:$N$874,'Summary &amp; Working File(AllCcy)'!$Q$10)+SUMIF($P$13:$P$19,P128,$Q$13:$Q$19),2)</f>
        <v>0</v>
      </c>
      <c r="R128" s="242">
        <f>ROUND(SUMIFS(BS_RE33!$U$7:$U$874,BS_RE33!$S$7:$S$874,'Summary &amp; Working File(AllCcy)'!P128,BS_RE33!$N$7:$N$874,'Summary &amp; Working File(AllCcy)'!$R$10)+SUMIF($P$13:$P$19,P128,$R$13:$R$19),2)</f>
        <v>0</v>
      </c>
    </row>
    <row r="129" spans="2:18">
      <c r="B129" s="243">
        <f t="shared" si="36"/>
        <v>109</v>
      </c>
      <c r="C129" s="247">
        <f t="shared" si="36"/>
        <v>46166</v>
      </c>
      <c r="D129" s="245">
        <f t="shared" si="28"/>
        <v>0</v>
      </c>
      <c r="E129" s="235">
        <f t="shared" si="30"/>
        <v>0</v>
      </c>
      <c r="F129" s="236">
        <f t="shared" si="21"/>
        <v>0</v>
      </c>
      <c r="G129" s="237">
        <f t="shared" si="20"/>
        <v>0</v>
      </c>
      <c r="H129" s="273">
        <f t="shared" si="34"/>
        <v>0</v>
      </c>
      <c r="I129" s="587">
        <f t="shared" si="31"/>
        <v>0</v>
      </c>
      <c r="J129" s="237">
        <f t="shared" si="23"/>
        <v>0</v>
      </c>
      <c r="K129" s="269">
        <f t="shared" si="35"/>
        <v>0</v>
      </c>
      <c r="L129" s="239">
        <f t="shared" si="25"/>
        <v>0</v>
      </c>
      <c r="M129" s="275" t="e">
        <f t="shared" si="26"/>
        <v>#DIV/0!</v>
      </c>
      <c r="N129" s="3"/>
      <c r="O129" s="1">
        <f t="shared" si="37"/>
        <v>109</v>
      </c>
      <c r="P129" s="182">
        <f t="shared" si="37"/>
        <v>46166</v>
      </c>
      <c r="Q129" s="241">
        <f>ROUND(SUMIFS(BS_RE33!$U$7:$U$874,BS_RE33!$S$7:$S$874,'Summary &amp; Working File(AllCcy)'!P129,BS_RE33!$N$7:$N$874,'Summary &amp; Working File(AllCcy)'!$Q$10)+SUMIF($P$13:$P$19,P129,$Q$13:$Q$19),2)</f>
        <v>0</v>
      </c>
      <c r="R129" s="242">
        <f>ROUND(SUMIFS(BS_RE33!$U$7:$U$874,BS_RE33!$S$7:$S$874,'Summary &amp; Working File(AllCcy)'!P129,BS_RE33!$N$7:$N$874,'Summary &amp; Working File(AllCcy)'!$R$10)+SUMIF($P$13:$P$19,P129,$R$13:$R$19),2)</f>
        <v>0</v>
      </c>
    </row>
    <row r="130" spans="2:18">
      <c r="B130" s="243">
        <f t="shared" si="36"/>
        <v>110</v>
      </c>
      <c r="C130" s="247">
        <f t="shared" si="36"/>
        <v>46167</v>
      </c>
      <c r="D130" s="245">
        <f t="shared" si="28"/>
        <v>0</v>
      </c>
      <c r="E130" s="235">
        <f t="shared" si="30"/>
        <v>0</v>
      </c>
      <c r="F130" s="236">
        <f t="shared" si="21"/>
        <v>0</v>
      </c>
      <c r="G130" s="237">
        <f t="shared" si="20"/>
        <v>0</v>
      </c>
      <c r="H130" s="273">
        <f t="shared" si="34"/>
        <v>0</v>
      </c>
      <c r="I130" s="587">
        <f t="shared" si="31"/>
        <v>0</v>
      </c>
      <c r="J130" s="237">
        <f t="shared" si="23"/>
        <v>0</v>
      </c>
      <c r="K130" s="269">
        <f t="shared" si="35"/>
        <v>0</v>
      </c>
      <c r="L130" s="239">
        <f t="shared" si="25"/>
        <v>0</v>
      </c>
      <c r="M130" s="275" t="e">
        <f t="shared" si="26"/>
        <v>#DIV/0!</v>
      </c>
      <c r="N130" s="3"/>
      <c r="O130" s="1">
        <f t="shared" si="37"/>
        <v>110</v>
      </c>
      <c r="P130" s="182">
        <f t="shared" si="37"/>
        <v>46167</v>
      </c>
      <c r="Q130" s="241">
        <f>ROUND(SUMIFS(BS_RE33!$U$7:$U$874,BS_RE33!$S$7:$S$874,'Summary &amp; Working File(AllCcy)'!P130,BS_RE33!$N$7:$N$874,'Summary &amp; Working File(AllCcy)'!$Q$10)+SUMIF($P$13:$P$19,P130,$Q$13:$Q$19),2)</f>
        <v>0</v>
      </c>
      <c r="R130" s="242">
        <f>ROUND(SUMIFS(BS_RE33!$U$7:$U$874,BS_RE33!$S$7:$S$874,'Summary &amp; Working File(AllCcy)'!P130,BS_RE33!$N$7:$N$874,'Summary &amp; Working File(AllCcy)'!$R$10)+SUMIF($P$13:$P$19,P130,$R$13:$R$19),2)</f>
        <v>0</v>
      </c>
    </row>
    <row r="131" spans="2:18">
      <c r="B131" s="243">
        <f t="shared" si="36"/>
        <v>111</v>
      </c>
      <c r="C131" s="247">
        <f t="shared" si="36"/>
        <v>46168</v>
      </c>
      <c r="D131" s="245">
        <f t="shared" si="28"/>
        <v>0</v>
      </c>
      <c r="E131" s="235">
        <f t="shared" si="30"/>
        <v>0</v>
      </c>
      <c r="F131" s="236">
        <f t="shared" si="21"/>
        <v>0</v>
      </c>
      <c r="G131" s="237">
        <f t="shared" si="20"/>
        <v>0</v>
      </c>
      <c r="H131" s="273">
        <f t="shared" si="34"/>
        <v>0</v>
      </c>
      <c r="I131" s="587">
        <f t="shared" si="31"/>
        <v>0</v>
      </c>
      <c r="J131" s="237">
        <f t="shared" si="23"/>
        <v>0</v>
      </c>
      <c r="K131" s="269">
        <f t="shared" si="35"/>
        <v>0</v>
      </c>
      <c r="L131" s="239">
        <f t="shared" si="25"/>
        <v>0</v>
      </c>
      <c r="M131" s="275" t="e">
        <f t="shared" si="26"/>
        <v>#DIV/0!</v>
      </c>
      <c r="N131" s="3"/>
      <c r="O131" s="1">
        <f t="shared" si="37"/>
        <v>111</v>
      </c>
      <c r="P131" s="182">
        <f t="shared" si="37"/>
        <v>46168</v>
      </c>
      <c r="Q131" s="241">
        <f>ROUND(SUMIFS(BS_RE33!$U$7:$U$874,BS_RE33!$S$7:$S$874,'Summary &amp; Working File(AllCcy)'!P131,BS_RE33!$N$7:$N$874,'Summary &amp; Working File(AllCcy)'!$Q$10)+SUMIF($P$13:$P$19,P131,$Q$13:$Q$19),2)</f>
        <v>0</v>
      </c>
      <c r="R131" s="242">
        <f>ROUND(SUMIFS(BS_RE33!$U$7:$U$874,BS_RE33!$S$7:$S$874,'Summary &amp; Working File(AllCcy)'!P131,BS_RE33!$N$7:$N$874,'Summary &amp; Working File(AllCcy)'!$R$10)+SUMIF($P$13:$P$19,P131,$R$13:$R$19),2)</f>
        <v>0</v>
      </c>
    </row>
    <row r="132" spans="2:18">
      <c r="B132" s="243">
        <f t="shared" si="36"/>
        <v>112</v>
      </c>
      <c r="C132" s="247">
        <f t="shared" si="36"/>
        <v>46169</v>
      </c>
      <c r="D132" s="245">
        <f t="shared" si="28"/>
        <v>0</v>
      </c>
      <c r="E132" s="235">
        <f t="shared" si="30"/>
        <v>0</v>
      </c>
      <c r="F132" s="236">
        <f t="shared" si="21"/>
        <v>0</v>
      </c>
      <c r="G132" s="237">
        <f t="shared" si="20"/>
        <v>0</v>
      </c>
      <c r="H132" s="273">
        <f t="shared" si="34"/>
        <v>0</v>
      </c>
      <c r="I132" s="587">
        <f t="shared" si="31"/>
        <v>0</v>
      </c>
      <c r="J132" s="237">
        <f t="shared" si="23"/>
        <v>0</v>
      </c>
      <c r="K132" s="269">
        <f t="shared" si="35"/>
        <v>0</v>
      </c>
      <c r="L132" s="239">
        <f t="shared" si="25"/>
        <v>0</v>
      </c>
      <c r="M132" s="275" t="e">
        <f t="shared" si="26"/>
        <v>#DIV/0!</v>
      </c>
      <c r="N132" s="3"/>
      <c r="O132" s="1">
        <f t="shared" si="37"/>
        <v>112</v>
      </c>
      <c r="P132" s="182">
        <f t="shared" si="37"/>
        <v>46169</v>
      </c>
      <c r="Q132" s="241">
        <f>ROUND(SUMIFS(BS_RE33!$U$7:$U$874,BS_RE33!$S$7:$S$874,'Summary &amp; Working File(AllCcy)'!P132,BS_RE33!$N$7:$N$874,'Summary &amp; Working File(AllCcy)'!$Q$10)+SUMIF($P$13:$P$19,P132,$Q$13:$Q$19),2)</f>
        <v>0</v>
      </c>
      <c r="R132" s="242">
        <f>ROUND(SUMIFS(BS_RE33!$U$7:$U$874,BS_RE33!$S$7:$S$874,'Summary &amp; Working File(AllCcy)'!P132,BS_RE33!$N$7:$N$874,'Summary &amp; Working File(AllCcy)'!$R$10)+SUMIF($P$13:$P$19,P132,$R$13:$R$19),2)</f>
        <v>0</v>
      </c>
    </row>
    <row r="133" spans="2:18">
      <c r="B133" s="243">
        <f t="shared" si="36"/>
        <v>113</v>
      </c>
      <c r="C133" s="247">
        <f t="shared" si="36"/>
        <v>46170</v>
      </c>
      <c r="D133" s="245">
        <f t="shared" si="28"/>
        <v>0</v>
      </c>
      <c r="E133" s="235">
        <f t="shared" si="30"/>
        <v>0</v>
      </c>
      <c r="F133" s="236">
        <f t="shared" si="21"/>
        <v>0</v>
      </c>
      <c r="G133" s="237">
        <f t="shared" si="20"/>
        <v>0</v>
      </c>
      <c r="H133" s="273">
        <f t="shared" si="34"/>
        <v>0</v>
      </c>
      <c r="I133" s="587">
        <f t="shared" si="31"/>
        <v>0</v>
      </c>
      <c r="J133" s="237">
        <f t="shared" si="23"/>
        <v>0</v>
      </c>
      <c r="K133" s="269">
        <f t="shared" si="35"/>
        <v>0</v>
      </c>
      <c r="L133" s="239">
        <f t="shared" si="25"/>
        <v>0</v>
      </c>
      <c r="M133" s="275" t="e">
        <f t="shared" si="26"/>
        <v>#DIV/0!</v>
      </c>
      <c r="N133" s="3"/>
      <c r="O133" s="1">
        <f t="shared" si="37"/>
        <v>113</v>
      </c>
      <c r="P133" s="182">
        <f t="shared" si="37"/>
        <v>46170</v>
      </c>
      <c r="Q133" s="241">
        <f>ROUND(SUMIFS(BS_RE33!$U$7:$U$874,BS_RE33!$S$7:$S$874,'Summary &amp; Working File(AllCcy)'!P133,BS_RE33!$N$7:$N$874,'Summary &amp; Working File(AllCcy)'!$Q$10)+SUMIF($P$13:$P$19,P133,$Q$13:$Q$19),2)</f>
        <v>0</v>
      </c>
      <c r="R133" s="242">
        <f>ROUND(SUMIFS(BS_RE33!$U$7:$U$874,BS_RE33!$S$7:$S$874,'Summary &amp; Working File(AllCcy)'!P133,BS_RE33!$N$7:$N$874,'Summary &amp; Working File(AllCcy)'!$R$10)+SUMIF($P$13:$P$19,P133,$R$13:$R$19),2)</f>
        <v>0</v>
      </c>
    </row>
    <row r="134" spans="2:18">
      <c r="B134" s="243">
        <f t="shared" si="36"/>
        <v>114</v>
      </c>
      <c r="C134" s="247">
        <f t="shared" si="36"/>
        <v>46171</v>
      </c>
      <c r="D134" s="245">
        <f t="shared" si="28"/>
        <v>0</v>
      </c>
      <c r="E134" s="235">
        <f t="shared" si="30"/>
        <v>0</v>
      </c>
      <c r="F134" s="236">
        <f t="shared" si="21"/>
        <v>0</v>
      </c>
      <c r="G134" s="237">
        <f t="shared" si="20"/>
        <v>0</v>
      </c>
      <c r="H134" s="273">
        <f t="shared" si="34"/>
        <v>0</v>
      </c>
      <c r="I134" s="587">
        <f t="shared" si="31"/>
        <v>0</v>
      </c>
      <c r="J134" s="237">
        <f t="shared" si="23"/>
        <v>0</v>
      </c>
      <c r="K134" s="269">
        <f t="shared" si="35"/>
        <v>0</v>
      </c>
      <c r="L134" s="239">
        <f t="shared" si="25"/>
        <v>0</v>
      </c>
      <c r="M134" s="275" t="e">
        <f t="shared" si="26"/>
        <v>#DIV/0!</v>
      </c>
      <c r="N134" s="3"/>
      <c r="O134" s="1">
        <f t="shared" si="37"/>
        <v>114</v>
      </c>
      <c r="P134" s="182">
        <f t="shared" si="37"/>
        <v>46171</v>
      </c>
      <c r="Q134" s="241">
        <f>ROUND(SUMIFS(BS_RE33!$U$7:$U$874,BS_RE33!$S$7:$S$874,'Summary &amp; Working File(AllCcy)'!P134,BS_RE33!$N$7:$N$874,'Summary &amp; Working File(AllCcy)'!$Q$10)+SUMIF($P$13:$P$19,P134,$Q$13:$Q$19),2)</f>
        <v>0</v>
      </c>
      <c r="R134" s="242">
        <f>ROUND(SUMIFS(BS_RE33!$U$7:$U$874,BS_RE33!$S$7:$S$874,'Summary &amp; Working File(AllCcy)'!P134,BS_RE33!$N$7:$N$874,'Summary &amp; Working File(AllCcy)'!$R$10)+SUMIF($P$13:$P$19,P134,$R$13:$R$19),2)</f>
        <v>0</v>
      </c>
    </row>
    <row r="135" spans="2:18">
      <c r="B135" s="243">
        <f t="shared" ref="B135:C150" si="38">B134+1</f>
        <v>115</v>
      </c>
      <c r="C135" s="247">
        <f t="shared" si="38"/>
        <v>46172</v>
      </c>
      <c r="D135" s="245">
        <f t="shared" si="28"/>
        <v>0</v>
      </c>
      <c r="E135" s="235">
        <f t="shared" si="30"/>
        <v>0</v>
      </c>
      <c r="F135" s="236">
        <f t="shared" si="21"/>
        <v>0</v>
      </c>
      <c r="G135" s="237">
        <f t="shared" si="20"/>
        <v>0</v>
      </c>
      <c r="H135" s="273">
        <f t="shared" si="34"/>
        <v>0</v>
      </c>
      <c r="I135" s="587">
        <f t="shared" si="31"/>
        <v>0</v>
      </c>
      <c r="J135" s="237">
        <f t="shared" si="23"/>
        <v>0</v>
      </c>
      <c r="K135" s="269">
        <f t="shared" si="35"/>
        <v>0</v>
      </c>
      <c r="L135" s="239">
        <f t="shared" si="25"/>
        <v>0</v>
      </c>
      <c r="M135" s="275" t="e">
        <f t="shared" si="26"/>
        <v>#DIV/0!</v>
      </c>
      <c r="N135" s="3"/>
      <c r="O135" s="1">
        <f t="shared" ref="O135:P150" si="39">O134+1</f>
        <v>115</v>
      </c>
      <c r="P135" s="182">
        <f t="shared" si="39"/>
        <v>46172</v>
      </c>
      <c r="Q135" s="241">
        <f>ROUND(SUMIFS(BS_RE33!$U$7:$U$874,BS_RE33!$S$7:$S$874,'Summary &amp; Working File(AllCcy)'!P135,BS_RE33!$N$7:$N$874,'Summary &amp; Working File(AllCcy)'!$Q$10)+SUMIF($P$13:$P$19,P135,$Q$13:$Q$19),2)</f>
        <v>0</v>
      </c>
      <c r="R135" s="242">
        <f>ROUND(SUMIFS(BS_RE33!$U$7:$U$874,BS_RE33!$S$7:$S$874,'Summary &amp; Working File(AllCcy)'!P135,BS_RE33!$N$7:$N$874,'Summary &amp; Working File(AllCcy)'!$R$10)+SUMIF($P$13:$P$19,P135,$R$13:$R$19),2)</f>
        <v>0</v>
      </c>
    </row>
    <row r="136" spans="2:18">
      <c r="B136" s="243">
        <f t="shared" si="38"/>
        <v>116</v>
      </c>
      <c r="C136" s="247">
        <f t="shared" si="38"/>
        <v>46173</v>
      </c>
      <c r="D136" s="245">
        <f t="shared" si="28"/>
        <v>0</v>
      </c>
      <c r="E136" s="235">
        <f t="shared" si="30"/>
        <v>0</v>
      </c>
      <c r="F136" s="236">
        <f t="shared" si="21"/>
        <v>0</v>
      </c>
      <c r="G136" s="237">
        <f t="shared" si="20"/>
        <v>0</v>
      </c>
      <c r="H136" s="273">
        <f t="shared" si="34"/>
        <v>0</v>
      </c>
      <c r="I136" s="587">
        <f t="shared" si="31"/>
        <v>0</v>
      </c>
      <c r="J136" s="237">
        <f t="shared" si="23"/>
        <v>0</v>
      </c>
      <c r="K136" s="269">
        <f t="shared" si="35"/>
        <v>0</v>
      </c>
      <c r="L136" s="239">
        <f t="shared" si="25"/>
        <v>0</v>
      </c>
      <c r="M136" s="275" t="e">
        <f t="shared" si="26"/>
        <v>#DIV/0!</v>
      </c>
      <c r="N136" s="3"/>
      <c r="O136" s="1">
        <f t="shared" si="39"/>
        <v>116</v>
      </c>
      <c r="P136" s="182">
        <f t="shared" si="39"/>
        <v>46173</v>
      </c>
      <c r="Q136" s="241">
        <f>ROUND(SUMIFS(BS_RE33!$U$7:$U$874,BS_RE33!$S$7:$S$874,'Summary &amp; Working File(AllCcy)'!P136,BS_RE33!$N$7:$N$874,'Summary &amp; Working File(AllCcy)'!$Q$10)+SUMIF($P$13:$P$19,P136,$Q$13:$Q$19),2)</f>
        <v>0</v>
      </c>
      <c r="R136" s="242">
        <f>ROUND(SUMIFS(BS_RE33!$U$7:$U$874,BS_RE33!$S$7:$S$874,'Summary &amp; Working File(AllCcy)'!P136,BS_RE33!$N$7:$N$874,'Summary &amp; Working File(AllCcy)'!$R$10)+SUMIF($P$13:$P$19,P136,$R$13:$R$19),2)</f>
        <v>0</v>
      </c>
    </row>
    <row r="137" spans="2:18">
      <c r="B137" s="243">
        <f t="shared" si="38"/>
        <v>117</v>
      </c>
      <c r="C137" s="247">
        <f t="shared" si="38"/>
        <v>46174</v>
      </c>
      <c r="D137" s="245">
        <f t="shared" si="28"/>
        <v>0</v>
      </c>
      <c r="E137" s="235">
        <f t="shared" si="30"/>
        <v>0</v>
      </c>
      <c r="F137" s="236">
        <f t="shared" si="21"/>
        <v>0</v>
      </c>
      <c r="G137" s="237">
        <f t="shared" si="20"/>
        <v>0</v>
      </c>
      <c r="H137" s="273">
        <f t="shared" si="34"/>
        <v>0</v>
      </c>
      <c r="I137" s="587">
        <f t="shared" si="31"/>
        <v>0</v>
      </c>
      <c r="J137" s="237">
        <f t="shared" si="23"/>
        <v>0</v>
      </c>
      <c r="K137" s="269">
        <f t="shared" si="35"/>
        <v>0</v>
      </c>
      <c r="L137" s="239">
        <f t="shared" si="25"/>
        <v>0</v>
      </c>
      <c r="M137" s="275" t="e">
        <f t="shared" si="26"/>
        <v>#DIV/0!</v>
      </c>
      <c r="N137" s="3"/>
      <c r="O137" s="1">
        <f t="shared" si="39"/>
        <v>117</v>
      </c>
      <c r="P137" s="182">
        <f t="shared" si="39"/>
        <v>46174</v>
      </c>
      <c r="Q137" s="241">
        <f>ROUND(SUMIFS(BS_RE33!$U$7:$U$874,BS_RE33!$S$7:$S$874,'Summary &amp; Working File(AllCcy)'!P137,BS_RE33!$N$7:$N$874,'Summary &amp; Working File(AllCcy)'!$Q$10)+SUMIF($P$13:$P$19,P137,$Q$13:$Q$19),2)</f>
        <v>0</v>
      </c>
      <c r="R137" s="242">
        <f>ROUND(SUMIFS(BS_RE33!$U$7:$U$874,BS_RE33!$S$7:$S$874,'Summary &amp; Working File(AllCcy)'!P137,BS_RE33!$N$7:$N$874,'Summary &amp; Working File(AllCcy)'!$R$10)+SUMIF($P$13:$P$19,P137,$R$13:$R$19),2)</f>
        <v>0</v>
      </c>
    </row>
    <row r="138" spans="2:18">
      <c r="B138" s="243">
        <f t="shared" si="38"/>
        <v>118</v>
      </c>
      <c r="C138" s="247">
        <f t="shared" si="38"/>
        <v>46175</v>
      </c>
      <c r="D138" s="245">
        <f t="shared" si="28"/>
        <v>0</v>
      </c>
      <c r="E138" s="235">
        <f t="shared" si="30"/>
        <v>0</v>
      </c>
      <c r="F138" s="236">
        <f t="shared" si="21"/>
        <v>0</v>
      </c>
      <c r="G138" s="237">
        <f t="shared" si="20"/>
        <v>0</v>
      </c>
      <c r="H138" s="273">
        <f t="shared" si="34"/>
        <v>0</v>
      </c>
      <c r="I138" s="587">
        <f t="shared" si="31"/>
        <v>0</v>
      </c>
      <c r="J138" s="237">
        <f t="shared" si="23"/>
        <v>0</v>
      </c>
      <c r="K138" s="269">
        <f t="shared" si="35"/>
        <v>0</v>
      </c>
      <c r="L138" s="239">
        <f t="shared" si="25"/>
        <v>0</v>
      </c>
      <c r="M138" s="275" t="e">
        <f t="shared" si="26"/>
        <v>#DIV/0!</v>
      </c>
      <c r="N138" s="3"/>
      <c r="O138" s="1">
        <f t="shared" si="39"/>
        <v>118</v>
      </c>
      <c r="P138" s="182">
        <f t="shared" si="39"/>
        <v>46175</v>
      </c>
      <c r="Q138" s="241">
        <f>ROUND(SUMIFS(BS_RE33!$U$7:$U$874,BS_RE33!$S$7:$S$874,'Summary &amp; Working File(AllCcy)'!P138,BS_RE33!$N$7:$N$874,'Summary &amp; Working File(AllCcy)'!$Q$10)+SUMIF($P$13:$P$19,P138,$Q$13:$Q$19),2)</f>
        <v>0</v>
      </c>
      <c r="R138" s="242">
        <f>ROUND(SUMIFS(BS_RE33!$U$7:$U$874,BS_RE33!$S$7:$S$874,'Summary &amp; Working File(AllCcy)'!P138,BS_RE33!$N$7:$N$874,'Summary &amp; Working File(AllCcy)'!$R$10)+SUMIF($P$13:$P$19,P138,$R$13:$R$19),2)</f>
        <v>0</v>
      </c>
    </row>
    <row r="139" spans="2:18">
      <c r="B139" s="243">
        <f t="shared" si="38"/>
        <v>119</v>
      </c>
      <c r="C139" s="247">
        <f t="shared" si="38"/>
        <v>46176</v>
      </c>
      <c r="D139" s="245">
        <f t="shared" si="28"/>
        <v>0</v>
      </c>
      <c r="E139" s="235">
        <f t="shared" si="30"/>
        <v>0</v>
      </c>
      <c r="F139" s="236">
        <f t="shared" si="21"/>
        <v>0</v>
      </c>
      <c r="G139" s="237">
        <f t="shared" si="20"/>
        <v>0</v>
      </c>
      <c r="H139" s="273">
        <f t="shared" si="34"/>
        <v>0</v>
      </c>
      <c r="I139" s="587">
        <f t="shared" si="31"/>
        <v>0</v>
      </c>
      <c r="J139" s="237">
        <f t="shared" si="23"/>
        <v>0</v>
      </c>
      <c r="K139" s="269">
        <f t="shared" si="35"/>
        <v>0</v>
      </c>
      <c r="L139" s="239">
        <f t="shared" si="25"/>
        <v>0</v>
      </c>
      <c r="M139" s="275" t="e">
        <f t="shared" si="26"/>
        <v>#DIV/0!</v>
      </c>
      <c r="N139" s="3"/>
      <c r="O139" s="1">
        <f t="shared" si="39"/>
        <v>119</v>
      </c>
      <c r="P139" s="182">
        <f t="shared" si="39"/>
        <v>46176</v>
      </c>
      <c r="Q139" s="241">
        <f>ROUND(SUMIFS(BS_RE33!$U$7:$U$874,BS_RE33!$S$7:$S$874,'Summary &amp; Working File(AllCcy)'!P139,BS_RE33!$N$7:$N$874,'Summary &amp; Working File(AllCcy)'!$Q$10)+SUMIF($P$13:$P$19,P139,$Q$13:$Q$19),2)</f>
        <v>0</v>
      </c>
      <c r="R139" s="242">
        <f>ROUND(SUMIFS(BS_RE33!$U$7:$U$874,BS_RE33!$S$7:$S$874,'Summary &amp; Working File(AllCcy)'!P139,BS_RE33!$N$7:$N$874,'Summary &amp; Working File(AllCcy)'!$R$10)+SUMIF($P$13:$P$19,P139,$R$13:$R$19),2)</f>
        <v>0</v>
      </c>
    </row>
    <row r="140" spans="2:18">
      <c r="B140" s="243">
        <f t="shared" si="38"/>
        <v>120</v>
      </c>
      <c r="C140" s="247">
        <f t="shared" si="38"/>
        <v>46177</v>
      </c>
      <c r="D140" s="245">
        <f t="shared" si="28"/>
        <v>0</v>
      </c>
      <c r="E140" s="235">
        <f t="shared" si="30"/>
        <v>0</v>
      </c>
      <c r="F140" s="236">
        <f t="shared" si="21"/>
        <v>0</v>
      </c>
      <c r="G140" s="237">
        <f t="shared" si="20"/>
        <v>0</v>
      </c>
      <c r="H140" s="273">
        <f t="shared" si="34"/>
        <v>0</v>
      </c>
      <c r="I140" s="587">
        <f t="shared" si="31"/>
        <v>0</v>
      </c>
      <c r="J140" s="237">
        <f t="shared" si="23"/>
        <v>0</v>
      </c>
      <c r="K140" s="269">
        <f t="shared" si="35"/>
        <v>0</v>
      </c>
      <c r="L140" s="239">
        <f t="shared" si="25"/>
        <v>0</v>
      </c>
      <c r="M140" s="275" t="e">
        <f t="shared" si="26"/>
        <v>#DIV/0!</v>
      </c>
      <c r="N140" s="3"/>
      <c r="O140" s="1">
        <f t="shared" si="39"/>
        <v>120</v>
      </c>
      <c r="P140" s="182">
        <f t="shared" si="39"/>
        <v>46177</v>
      </c>
      <c r="Q140" s="241">
        <f>ROUND(SUMIFS(BS_RE33!$U$7:$U$874,BS_RE33!$S$7:$S$874,'Summary &amp; Working File(AllCcy)'!P140,BS_RE33!$N$7:$N$874,'Summary &amp; Working File(AllCcy)'!$Q$10)+SUMIF($P$13:$P$19,P140,$Q$13:$Q$19),2)</f>
        <v>0</v>
      </c>
      <c r="R140" s="242">
        <f>ROUND(SUMIFS(BS_RE33!$U$7:$U$874,BS_RE33!$S$7:$S$874,'Summary &amp; Working File(AllCcy)'!P140,BS_RE33!$N$7:$N$874,'Summary &amp; Working File(AllCcy)'!$R$10)+SUMIF($P$13:$P$19,P140,$R$13:$R$19),2)</f>
        <v>0</v>
      </c>
    </row>
    <row r="141" spans="2:18">
      <c r="B141" s="243">
        <f t="shared" si="38"/>
        <v>121</v>
      </c>
      <c r="C141" s="247">
        <f t="shared" si="38"/>
        <v>46178</v>
      </c>
      <c r="D141" s="245">
        <f t="shared" si="28"/>
        <v>0</v>
      </c>
      <c r="E141" s="235">
        <f t="shared" si="30"/>
        <v>0</v>
      </c>
      <c r="F141" s="236">
        <f t="shared" si="21"/>
        <v>0</v>
      </c>
      <c r="G141" s="237">
        <f t="shared" si="20"/>
        <v>0</v>
      </c>
      <c r="H141" s="273">
        <f t="shared" si="34"/>
        <v>0</v>
      </c>
      <c r="I141" s="587">
        <f t="shared" si="31"/>
        <v>0</v>
      </c>
      <c r="J141" s="237">
        <f t="shared" si="23"/>
        <v>0</v>
      </c>
      <c r="K141" s="269">
        <f t="shared" si="35"/>
        <v>0</v>
      </c>
      <c r="L141" s="239">
        <f t="shared" si="25"/>
        <v>0</v>
      </c>
      <c r="M141" s="275" t="e">
        <f t="shared" si="26"/>
        <v>#DIV/0!</v>
      </c>
      <c r="N141" s="3"/>
      <c r="O141" s="1">
        <f t="shared" si="39"/>
        <v>121</v>
      </c>
      <c r="P141" s="182">
        <f t="shared" si="39"/>
        <v>46178</v>
      </c>
      <c r="Q141" s="241">
        <f>ROUND(SUMIFS(BS_RE33!$U$7:$U$874,BS_RE33!$S$7:$S$874,'Summary &amp; Working File(AllCcy)'!P141,BS_RE33!$N$7:$N$874,'Summary &amp; Working File(AllCcy)'!$Q$10)+SUMIF($P$13:$P$19,P141,$Q$13:$Q$19),2)</f>
        <v>0</v>
      </c>
      <c r="R141" s="242">
        <f>ROUND(SUMIFS(BS_RE33!$U$7:$U$874,BS_RE33!$S$7:$S$874,'Summary &amp; Working File(AllCcy)'!P141,BS_RE33!$N$7:$N$874,'Summary &amp; Working File(AllCcy)'!$R$10)+SUMIF($P$13:$P$19,P141,$R$13:$R$19),2)</f>
        <v>0</v>
      </c>
    </row>
    <row r="142" spans="2:18">
      <c r="B142" s="243">
        <f t="shared" si="38"/>
        <v>122</v>
      </c>
      <c r="C142" s="247">
        <f t="shared" si="38"/>
        <v>46179</v>
      </c>
      <c r="D142" s="245">
        <f t="shared" si="28"/>
        <v>0</v>
      </c>
      <c r="E142" s="235">
        <f>$Q$11+SUM(Q143:Q172)</f>
        <v>0</v>
      </c>
      <c r="F142" s="236">
        <f t="shared" si="21"/>
        <v>0</v>
      </c>
      <c r="G142" s="237">
        <f t="shared" si="20"/>
        <v>0</v>
      </c>
      <c r="H142" s="273">
        <f t="shared" si="34"/>
        <v>0</v>
      </c>
      <c r="I142" s="587">
        <f t="shared" si="31"/>
        <v>0</v>
      </c>
      <c r="J142" s="237">
        <f>H142*20%</f>
        <v>0</v>
      </c>
      <c r="K142" s="269">
        <f>MIN(SUM(I142:J142),H142*75%)</f>
        <v>0</v>
      </c>
      <c r="L142" s="239">
        <f>H142-K142</f>
        <v>0</v>
      </c>
      <c r="M142" s="275" t="e">
        <f t="shared" si="26"/>
        <v>#DIV/0!</v>
      </c>
      <c r="N142" s="3"/>
      <c r="O142" s="1">
        <f t="shared" si="39"/>
        <v>122</v>
      </c>
      <c r="P142" s="182">
        <f t="shared" si="39"/>
        <v>46179</v>
      </c>
      <c r="Q142" s="241">
        <f>ROUND(SUMIFS(BS_RE33!$U$7:$U$874,BS_RE33!$S$7:$S$874,'Summary &amp; Working File(AllCcy)'!P142,BS_RE33!$N$7:$N$874,'Summary &amp; Working File(AllCcy)'!$Q$10)+SUMIF($P$13:$P$19,P142,$Q$13:$Q$19),2)</f>
        <v>0</v>
      </c>
      <c r="R142" s="242">
        <f>ROUND(SUMIFS(BS_RE33!$U$7:$U$874,BS_RE33!$S$7:$S$874,'Summary &amp; Working File(AllCcy)'!P142,BS_RE33!$N$7:$N$874,'Summary &amp; Working File(AllCcy)'!$R$10)+SUMIF($P$13:$P$19,P142,$R$13:$R$19),2)</f>
        <v>0</v>
      </c>
    </row>
    <row r="143" spans="2:18">
      <c r="B143" s="243">
        <f t="shared" si="38"/>
        <v>123</v>
      </c>
      <c r="C143" s="247">
        <f t="shared" si="38"/>
        <v>46180</v>
      </c>
      <c r="D143" s="245">
        <f t="shared" si="28"/>
        <v>0</v>
      </c>
      <c r="E143" s="235">
        <f t="shared" si="30"/>
        <v>0</v>
      </c>
      <c r="F143" s="236">
        <f t="shared" si="21"/>
        <v>0</v>
      </c>
      <c r="G143" s="237">
        <f t="shared" si="20"/>
        <v>0</v>
      </c>
      <c r="H143" s="273">
        <f t="shared" si="34"/>
        <v>0</v>
      </c>
      <c r="I143" s="587">
        <f t="shared" si="31"/>
        <v>0</v>
      </c>
      <c r="J143" s="237">
        <f t="shared" si="23"/>
        <v>0</v>
      </c>
      <c r="K143" s="269">
        <f t="shared" si="35"/>
        <v>0</v>
      </c>
      <c r="L143" s="239">
        <f t="shared" si="25"/>
        <v>0</v>
      </c>
      <c r="M143" s="275" t="e">
        <f t="shared" si="26"/>
        <v>#DIV/0!</v>
      </c>
      <c r="N143" s="3"/>
      <c r="O143" s="1">
        <f t="shared" si="39"/>
        <v>123</v>
      </c>
      <c r="P143" s="182">
        <f t="shared" si="39"/>
        <v>46180</v>
      </c>
      <c r="Q143" s="241">
        <f>ROUND(SUMIFS(BS_RE33!$U$7:$U$874,BS_RE33!$S$7:$S$874,'Summary &amp; Working File(AllCcy)'!P143,BS_RE33!$N$7:$N$874,'Summary &amp; Working File(AllCcy)'!$Q$10)+SUMIF($P$13:$P$19,P143,$Q$13:$Q$19),2)</f>
        <v>0</v>
      </c>
      <c r="R143" s="242">
        <f>ROUND(SUMIFS(BS_RE33!$U$7:$U$874,BS_RE33!$S$7:$S$874,'Summary &amp; Working File(AllCcy)'!P143,BS_RE33!$N$7:$N$874,'Summary &amp; Working File(AllCcy)'!$R$10)+SUMIF($P$13:$P$19,P143,$R$13:$R$19),2)</f>
        <v>0</v>
      </c>
    </row>
    <row r="144" spans="2:18">
      <c r="B144" s="243">
        <f t="shared" si="38"/>
        <v>124</v>
      </c>
      <c r="C144" s="247">
        <f t="shared" si="38"/>
        <v>46181</v>
      </c>
      <c r="D144" s="245">
        <f t="shared" si="28"/>
        <v>0</v>
      </c>
      <c r="E144" s="235">
        <f t="shared" si="30"/>
        <v>0</v>
      </c>
      <c r="F144" s="236">
        <f t="shared" si="21"/>
        <v>0</v>
      </c>
      <c r="G144" s="237">
        <f t="shared" si="20"/>
        <v>0</v>
      </c>
      <c r="H144" s="273">
        <f t="shared" si="34"/>
        <v>0</v>
      </c>
      <c r="I144" s="587">
        <f t="shared" si="31"/>
        <v>0</v>
      </c>
      <c r="J144" s="237">
        <f t="shared" si="23"/>
        <v>0</v>
      </c>
      <c r="K144" s="269">
        <f t="shared" si="35"/>
        <v>0</v>
      </c>
      <c r="L144" s="239">
        <f t="shared" si="25"/>
        <v>0</v>
      </c>
      <c r="M144" s="275" t="e">
        <f t="shared" si="26"/>
        <v>#DIV/0!</v>
      </c>
      <c r="N144" s="3"/>
      <c r="O144" s="1">
        <f t="shared" si="39"/>
        <v>124</v>
      </c>
      <c r="P144" s="182">
        <f t="shared" si="39"/>
        <v>46181</v>
      </c>
      <c r="Q144" s="241">
        <f>ROUND(SUMIFS(BS_RE33!$U$7:$U$874,BS_RE33!$S$7:$S$874,'Summary &amp; Working File(AllCcy)'!P144,BS_RE33!$N$7:$N$874,'Summary &amp; Working File(AllCcy)'!$Q$10)+SUMIF($P$13:$P$19,P144,$Q$13:$Q$19),2)</f>
        <v>0</v>
      </c>
      <c r="R144" s="242">
        <f>ROUND(SUMIFS(BS_RE33!$U$7:$U$874,BS_RE33!$S$7:$S$874,'Summary &amp; Working File(AllCcy)'!P144,BS_RE33!$N$7:$N$874,'Summary &amp; Working File(AllCcy)'!$R$10)+SUMIF($P$13:$P$19,P144,$R$13:$R$19),2)</f>
        <v>0</v>
      </c>
    </row>
    <row r="145" spans="2:18">
      <c r="B145" s="243">
        <f t="shared" si="38"/>
        <v>125</v>
      </c>
      <c r="C145" s="247">
        <f t="shared" si="38"/>
        <v>46182</v>
      </c>
      <c r="D145" s="245">
        <f t="shared" si="28"/>
        <v>0</v>
      </c>
      <c r="E145" s="235">
        <f t="shared" si="30"/>
        <v>5000000</v>
      </c>
      <c r="F145" s="236">
        <f t="shared" si="21"/>
        <v>0</v>
      </c>
      <c r="G145" s="237">
        <f t="shared" si="20"/>
        <v>0</v>
      </c>
      <c r="H145" s="273">
        <f t="shared" si="34"/>
        <v>5000000</v>
      </c>
      <c r="I145" s="587">
        <f t="shared" si="31"/>
        <v>0</v>
      </c>
      <c r="J145" s="237">
        <f t="shared" si="23"/>
        <v>1000000</v>
      </c>
      <c r="K145" s="269">
        <f t="shared" si="35"/>
        <v>1000000</v>
      </c>
      <c r="L145" s="239">
        <f t="shared" si="25"/>
        <v>4000000</v>
      </c>
      <c r="M145" s="275">
        <f t="shared" si="26"/>
        <v>0</v>
      </c>
      <c r="N145" s="3"/>
      <c r="O145" s="1">
        <f t="shared" si="39"/>
        <v>125</v>
      </c>
      <c r="P145" s="182">
        <f t="shared" si="39"/>
        <v>46182</v>
      </c>
      <c r="Q145" s="241">
        <f>ROUND(SUMIFS(BS_RE33!$U$7:$U$874,BS_RE33!$S$7:$S$874,'Summary &amp; Working File(AllCcy)'!P145,BS_RE33!$N$7:$N$874,'Summary &amp; Working File(AllCcy)'!$Q$10)+SUMIF($P$13:$P$19,P145,$Q$13:$Q$19),2)</f>
        <v>0</v>
      </c>
      <c r="R145" s="242">
        <f>ROUND(SUMIFS(BS_RE33!$U$7:$U$874,BS_RE33!$S$7:$S$874,'Summary &amp; Working File(AllCcy)'!P145,BS_RE33!$N$7:$N$874,'Summary &amp; Working File(AllCcy)'!$R$10)+SUMIF($P$13:$P$19,P145,$R$13:$R$19),2)</f>
        <v>0</v>
      </c>
    </row>
    <row r="146" spans="2:18">
      <c r="B146" s="243">
        <f t="shared" si="38"/>
        <v>126</v>
      </c>
      <c r="C146" s="247">
        <f t="shared" si="38"/>
        <v>46183</v>
      </c>
      <c r="D146" s="245">
        <f t="shared" si="28"/>
        <v>0</v>
      </c>
      <c r="E146" s="235">
        <f t="shared" si="30"/>
        <v>5000000</v>
      </c>
      <c r="F146" s="236">
        <f t="shared" si="21"/>
        <v>0</v>
      </c>
      <c r="G146" s="237">
        <f t="shared" si="20"/>
        <v>0</v>
      </c>
      <c r="H146" s="273">
        <f t="shared" si="34"/>
        <v>5000000</v>
      </c>
      <c r="I146" s="587">
        <f t="shared" si="31"/>
        <v>0</v>
      </c>
      <c r="J146" s="237">
        <f t="shared" si="23"/>
        <v>1000000</v>
      </c>
      <c r="K146" s="269">
        <f t="shared" si="35"/>
        <v>1000000</v>
      </c>
      <c r="L146" s="239">
        <f t="shared" si="25"/>
        <v>4000000</v>
      </c>
      <c r="M146" s="275">
        <f t="shared" si="26"/>
        <v>0</v>
      </c>
      <c r="N146" s="3"/>
      <c r="O146" s="1">
        <f t="shared" si="39"/>
        <v>126</v>
      </c>
      <c r="P146" s="182">
        <f t="shared" si="39"/>
        <v>46183</v>
      </c>
      <c r="Q146" s="241">
        <f>ROUND(SUMIFS(BS_RE33!$U$7:$U$874,BS_RE33!$S$7:$S$874,'Summary &amp; Working File(AllCcy)'!P146,BS_RE33!$N$7:$N$874,'Summary &amp; Working File(AllCcy)'!$Q$10)+SUMIF($P$13:$P$19,P146,$Q$13:$Q$19),2)</f>
        <v>0</v>
      </c>
      <c r="R146" s="242">
        <f>ROUND(SUMIFS(BS_RE33!$U$7:$U$874,BS_RE33!$S$7:$S$874,'Summary &amp; Working File(AllCcy)'!P146,BS_RE33!$N$7:$N$874,'Summary &amp; Working File(AllCcy)'!$R$10)+SUMIF($P$13:$P$19,P146,$R$13:$R$19),2)</f>
        <v>0</v>
      </c>
    </row>
    <row r="147" spans="2:18">
      <c r="B147" s="243">
        <f t="shared" si="38"/>
        <v>127</v>
      </c>
      <c r="C147" s="247">
        <f t="shared" si="38"/>
        <v>46184</v>
      </c>
      <c r="D147" s="245">
        <f t="shared" si="28"/>
        <v>0</v>
      </c>
      <c r="E147" s="235">
        <f t="shared" si="30"/>
        <v>5000000</v>
      </c>
      <c r="F147" s="236">
        <f t="shared" si="21"/>
        <v>0</v>
      </c>
      <c r="G147" s="237">
        <f t="shared" si="20"/>
        <v>0</v>
      </c>
      <c r="H147" s="273">
        <f t="shared" si="34"/>
        <v>5000000</v>
      </c>
      <c r="I147" s="587">
        <f t="shared" si="31"/>
        <v>0</v>
      </c>
      <c r="J147" s="237">
        <f t="shared" si="23"/>
        <v>1000000</v>
      </c>
      <c r="K147" s="269">
        <f t="shared" si="35"/>
        <v>1000000</v>
      </c>
      <c r="L147" s="239">
        <f t="shared" si="25"/>
        <v>4000000</v>
      </c>
      <c r="M147" s="275">
        <f t="shared" si="26"/>
        <v>0</v>
      </c>
      <c r="N147" s="3"/>
      <c r="O147" s="1">
        <f t="shared" si="39"/>
        <v>127</v>
      </c>
      <c r="P147" s="182">
        <f t="shared" si="39"/>
        <v>46184</v>
      </c>
      <c r="Q147" s="241">
        <f>ROUND(SUMIFS(BS_RE33!$U$7:$U$874,BS_RE33!$S$7:$S$874,'Summary &amp; Working File(AllCcy)'!P147,BS_RE33!$N$7:$N$874,'Summary &amp; Working File(AllCcy)'!$Q$10)+SUMIF($P$13:$P$19,P147,$Q$13:$Q$19),2)</f>
        <v>0</v>
      </c>
      <c r="R147" s="242">
        <f>ROUND(SUMIFS(BS_RE33!$U$7:$U$874,BS_RE33!$S$7:$S$874,'Summary &amp; Working File(AllCcy)'!P147,BS_RE33!$N$7:$N$874,'Summary &amp; Working File(AllCcy)'!$R$10)+SUMIF($P$13:$P$19,P147,$R$13:$R$19),2)</f>
        <v>0</v>
      </c>
    </row>
    <row r="148" spans="2:18">
      <c r="B148" s="243">
        <f t="shared" si="38"/>
        <v>128</v>
      </c>
      <c r="C148" s="247">
        <f t="shared" si="38"/>
        <v>46185</v>
      </c>
      <c r="D148" s="245">
        <f t="shared" si="28"/>
        <v>0</v>
      </c>
      <c r="E148" s="235">
        <f t="shared" si="30"/>
        <v>5000000</v>
      </c>
      <c r="F148" s="236">
        <f t="shared" si="21"/>
        <v>0</v>
      </c>
      <c r="G148" s="237">
        <f t="shared" si="20"/>
        <v>0</v>
      </c>
      <c r="H148" s="273">
        <f t="shared" si="34"/>
        <v>5000000</v>
      </c>
      <c r="I148" s="587">
        <f t="shared" si="31"/>
        <v>0</v>
      </c>
      <c r="J148" s="237">
        <f t="shared" si="23"/>
        <v>1000000</v>
      </c>
      <c r="K148" s="269">
        <f t="shared" si="35"/>
        <v>1000000</v>
      </c>
      <c r="L148" s="239">
        <f t="shared" si="25"/>
        <v>4000000</v>
      </c>
      <c r="M148" s="275">
        <f t="shared" si="26"/>
        <v>0</v>
      </c>
      <c r="N148" s="3"/>
      <c r="O148" s="1">
        <f t="shared" si="39"/>
        <v>128</v>
      </c>
      <c r="P148" s="182">
        <f t="shared" si="39"/>
        <v>46185</v>
      </c>
      <c r="Q148" s="241">
        <f>ROUND(SUMIFS(BS_RE33!$U$7:$U$874,BS_RE33!$S$7:$S$874,'Summary &amp; Working File(AllCcy)'!P148,BS_RE33!$N$7:$N$874,'Summary &amp; Working File(AllCcy)'!$Q$10)+SUMIF($P$13:$P$19,P148,$Q$13:$Q$19),2)</f>
        <v>0</v>
      </c>
      <c r="R148" s="242">
        <f>ROUND(SUMIFS(BS_RE33!$U$7:$U$874,BS_RE33!$S$7:$S$874,'Summary &amp; Working File(AllCcy)'!P148,BS_RE33!$N$7:$N$874,'Summary &amp; Working File(AllCcy)'!$R$10)+SUMIF($P$13:$P$19,P148,$R$13:$R$19),2)</f>
        <v>0</v>
      </c>
    </row>
    <row r="149" spans="2:18">
      <c r="B149" s="243">
        <f t="shared" si="38"/>
        <v>129</v>
      </c>
      <c r="C149" s="247">
        <f t="shared" si="38"/>
        <v>46186</v>
      </c>
      <c r="D149" s="245">
        <f t="shared" si="28"/>
        <v>0</v>
      </c>
      <c r="E149" s="235">
        <f t="shared" si="30"/>
        <v>5000000</v>
      </c>
      <c r="F149" s="236">
        <f t="shared" si="21"/>
        <v>0</v>
      </c>
      <c r="G149" s="237">
        <f t="shared" ref="G149:G212" si="40">$J$10*10%</f>
        <v>0</v>
      </c>
      <c r="H149" s="273">
        <f t="shared" si="34"/>
        <v>5000000</v>
      </c>
      <c r="I149" s="587">
        <f t="shared" si="31"/>
        <v>0</v>
      </c>
      <c r="J149" s="237">
        <f t="shared" si="23"/>
        <v>1000000</v>
      </c>
      <c r="K149" s="269">
        <f t="shared" si="35"/>
        <v>1000000</v>
      </c>
      <c r="L149" s="239">
        <f t="shared" si="25"/>
        <v>4000000</v>
      </c>
      <c r="M149" s="275">
        <f t="shared" si="26"/>
        <v>0</v>
      </c>
      <c r="N149" s="3"/>
      <c r="O149" s="1">
        <f t="shared" si="39"/>
        <v>129</v>
      </c>
      <c r="P149" s="182">
        <f t="shared" si="39"/>
        <v>46186</v>
      </c>
      <c r="Q149" s="241">
        <f>ROUND(SUMIFS(BS_RE33!$U$7:$U$874,BS_RE33!$S$7:$S$874,'Summary &amp; Working File(AllCcy)'!P149,BS_RE33!$N$7:$N$874,'Summary &amp; Working File(AllCcy)'!$Q$10)+SUMIF($P$13:$P$19,P149,$Q$13:$Q$19),2)</f>
        <v>0</v>
      </c>
      <c r="R149" s="242">
        <f>ROUND(SUMIFS(BS_RE33!$U$7:$U$874,BS_RE33!$S$7:$S$874,'Summary &amp; Working File(AllCcy)'!P149,BS_RE33!$N$7:$N$874,'Summary &amp; Working File(AllCcy)'!$R$10)+SUMIF($P$13:$P$19,P149,$R$13:$R$19),2)</f>
        <v>0</v>
      </c>
    </row>
    <row r="150" spans="2:18">
      <c r="B150" s="243">
        <f t="shared" si="38"/>
        <v>130</v>
      </c>
      <c r="C150" s="247">
        <f t="shared" si="38"/>
        <v>46187</v>
      </c>
      <c r="D150" s="245">
        <f t="shared" si="28"/>
        <v>0</v>
      </c>
      <c r="E150" s="235">
        <f t="shared" si="30"/>
        <v>5000000</v>
      </c>
      <c r="F150" s="236">
        <f t="shared" ref="F150:F213" si="41">(IF(C150&lt;($E$11-30),$E$10*5%,0)+IF(C150&lt;($F$11-30),$F$10*5%,0)+IF(C150&lt;($G$11-30),$G$10*5%,0)+IF(C150&lt;($H$11-30),$H$10*5%,0))+(IF(C150&lt;($E$15-30),$E$14*10%,0)+IF(C150&lt;($F$15-30),$F$14*10%,0)+IF(C150&lt;($G$15-30),$G$14*10%,0)+IF(C150&lt;($H$15-30),$H$14*10%,0)+IF(C150&lt;($I$15-30),$I$14*10%,0)+IF(C150&lt;($J$15-30),$J$14*10%,0))</f>
        <v>0</v>
      </c>
      <c r="G150" s="237">
        <f t="shared" si="40"/>
        <v>0</v>
      </c>
      <c r="H150" s="273">
        <f t="shared" si="34"/>
        <v>5000000</v>
      </c>
      <c r="I150" s="587">
        <f t="shared" si="31"/>
        <v>0</v>
      </c>
      <c r="J150" s="237">
        <f t="shared" ref="J150:J213" si="42">H150*20%</f>
        <v>1000000</v>
      </c>
      <c r="K150" s="269">
        <f t="shared" si="35"/>
        <v>1000000</v>
      </c>
      <c r="L150" s="239">
        <f t="shared" ref="L150:L213" si="43">H150-K150</f>
        <v>4000000</v>
      </c>
      <c r="M150" s="275">
        <f t="shared" ref="M150:M213" si="44">D150/L150</f>
        <v>0</v>
      </c>
      <c r="N150" s="3"/>
      <c r="O150" s="1">
        <f t="shared" si="39"/>
        <v>130</v>
      </c>
      <c r="P150" s="182">
        <f t="shared" si="39"/>
        <v>46187</v>
      </c>
      <c r="Q150" s="241">
        <f>ROUND(SUMIFS(BS_RE33!$U$7:$U$874,BS_RE33!$S$7:$S$874,'Summary &amp; Working File(AllCcy)'!P150,BS_RE33!$N$7:$N$874,'Summary &amp; Working File(AllCcy)'!$Q$10)+SUMIF($P$13:$P$19,P150,$Q$13:$Q$19),2)</f>
        <v>0</v>
      </c>
      <c r="R150" s="242">
        <f>ROUND(SUMIFS(BS_RE33!$U$7:$U$874,BS_RE33!$S$7:$S$874,'Summary &amp; Working File(AllCcy)'!P150,BS_RE33!$N$7:$N$874,'Summary &amp; Working File(AllCcy)'!$R$10)+SUMIF($P$13:$P$19,P150,$R$13:$R$19),2)</f>
        <v>0</v>
      </c>
    </row>
    <row r="151" spans="2:18">
      <c r="B151" s="243">
        <f t="shared" ref="B151:C166" si="45">B150+1</f>
        <v>131</v>
      </c>
      <c r="C151" s="247">
        <f t="shared" si="45"/>
        <v>46188</v>
      </c>
      <c r="D151" s="245">
        <f t="shared" ref="D151:D214" si="46">D150</f>
        <v>0</v>
      </c>
      <c r="E151" s="235">
        <f t="shared" si="30"/>
        <v>5000000</v>
      </c>
      <c r="F151" s="236">
        <f t="shared" si="41"/>
        <v>0</v>
      </c>
      <c r="G151" s="237">
        <f t="shared" si="40"/>
        <v>0</v>
      </c>
      <c r="H151" s="273">
        <f t="shared" si="34"/>
        <v>5000000</v>
      </c>
      <c r="I151" s="587">
        <f t="shared" si="31"/>
        <v>0</v>
      </c>
      <c r="J151" s="237">
        <f t="shared" si="42"/>
        <v>1000000</v>
      </c>
      <c r="K151" s="269">
        <f t="shared" si="35"/>
        <v>1000000</v>
      </c>
      <c r="L151" s="239">
        <f t="shared" si="43"/>
        <v>4000000</v>
      </c>
      <c r="M151" s="275">
        <f t="shared" si="44"/>
        <v>0</v>
      </c>
      <c r="N151" s="3"/>
      <c r="O151" s="1">
        <f t="shared" ref="O151:P166" si="47">O150+1</f>
        <v>131</v>
      </c>
      <c r="P151" s="182">
        <f t="shared" si="47"/>
        <v>46188</v>
      </c>
      <c r="Q151" s="241">
        <f>ROUND(SUMIFS(BS_RE33!$U$7:$U$874,BS_RE33!$S$7:$S$874,'Summary &amp; Working File(AllCcy)'!P151,BS_RE33!$N$7:$N$874,'Summary &amp; Working File(AllCcy)'!$Q$10)+SUMIF($P$13:$P$19,P151,$Q$13:$Q$19),2)</f>
        <v>0</v>
      </c>
      <c r="R151" s="242">
        <f>ROUND(SUMIFS(BS_RE33!$U$7:$U$874,BS_RE33!$S$7:$S$874,'Summary &amp; Working File(AllCcy)'!P151,BS_RE33!$N$7:$N$874,'Summary &amp; Working File(AllCcy)'!$R$10)+SUMIF($P$13:$P$19,P151,$R$13:$R$19),2)</f>
        <v>0</v>
      </c>
    </row>
    <row r="152" spans="2:18">
      <c r="B152" s="243">
        <f t="shared" si="45"/>
        <v>132</v>
      </c>
      <c r="C152" s="247">
        <f t="shared" si="45"/>
        <v>46189</v>
      </c>
      <c r="D152" s="245">
        <f t="shared" si="46"/>
        <v>0</v>
      </c>
      <c r="E152" s="235">
        <f t="shared" si="30"/>
        <v>5000000</v>
      </c>
      <c r="F152" s="236">
        <f t="shared" si="41"/>
        <v>0</v>
      </c>
      <c r="G152" s="237">
        <f t="shared" si="40"/>
        <v>0</v>
      </c>
      <c r="H152" s="273">
        <f t="shared" si="34"/>
        <v>5000000</v>
      </c>
      <c r="I152" s="587">
        <f t="shared" si="31"/>
        <v>0</v>
      </c>
      <c r="J152" s="237">
        <f t="shared" si="42"/>
        <v>1000000</v>
      </c>
      <c r="K152" s="269">
        <f t="shared" si="35"/>
        <v>1000000</v>
      </c>
      <c r="L152" s="239">
        <f t="shared" si="43"/>
        <v>4000000</v>
      </c>
      <c r="M152" s="275">
        <f t="shared" si="44"/>
        <v>0</v>
      </c>
      <c r="N152" s="3"/>
      <c r="O152" s="1">
        <f t="shared" si="47"/>
        <v>132</v>
      </c>
      <c r="P152" s="182">
        <f t="shared" si="47"/>
        <v>46189</v>
      </c>
      <c r="Q152" s="241">
        <f>ROUND(SUMIFS(BS_RE33!$U$7:$U$874,BS_RE33!$S$7:$S$874,'Summary &amp; Working File(AllCcy)'!P152,BS_RE33!$N$7:$N$874,'Summary &amp; Working File(AllCcy)'!$Q$10)+SUMIF($P$13:$P$19,P152,$Q$13:$Q$19),2)</f>
        <v>0</v>
      </c>
      <c r="R152" s="242">
        <f>ROUND(SUMIFS(BS_RE33!$U$7:$U$874,BS_RE33!$S$7:$S$874,'Summary &amp; Working File(AllCcy)'!P152,BS_RE33!$N$7:$N$874,'Summary &amp; Working File(AllCcy)'!$R$10)+SUMIF($P$13:$P$19,P152,$R$13:$R$19),2)</f>
        <v>0</v>
      </c>
    </row>
    <row r="153" spans="2:18">
      <c r="B153" s="243">
        <f t="shared" si="45"/>
        <v>133</v>
      </c>
      <c r="C153" s="247">
        <f t="shared" si="45"/>
        <v>46190</v>
      </c>
      <c r="D153" s="245">
        <f t="shared" si="46"/>
        <v>0</v>
      </c>
      <c r="E153" s="235">
        <f t="shared" si="30"/>
        <v>5000000</v>
      </c>
      <c r="F153" s="236">
        <f t="shared" si="41"/>
        <v>0</v>
      </c>
      <c r="G153" s="237">
        <f t="shared" si="40"/>
        <v>0</v>
      </c>
      <c r="H153" s="273">
        <f t="shared" si="34"/>
        <v>5000000</v>
      </c>
      <c r="I153" s="587">
        <f t="shared" si="31"/>
        <v>0</v>
      </c>
      <c r="J153" s="237">
        <f t="shared" si="42"/>
        <v>1000000</v>
      </c>
      <c r="K153" s="269">
        <f t="shared" si="35"/>
        <v>1000000</v>
      </c>
      <c r="L153" s="239">
        <f t="shared" si="43"/>
        <v>4000000</v>
      </c>
      <c r="M153" s="275">
        <f t="shared" si="44"/>
        <v>0</v>
      </c>
      <c r="N153" s="3"/>
      <c r="O153" s="1">
        <f t="shared" si="47"/>
        <v>133</v>
      </c>
      <c r="P153" s="182">
        <f t="shared" si="47"/>
        <v>46190</v>
      </c>
      <c r="Q153" s="241">
        <f>ROUND(SUMIFS(BS_RE33!$U$7:$U$874,BS_RE33!$S$7:$S$874,'Summary &amp; Working File(AllCcy)'!P153,BS_RE33!$N$7:$N$874,'Summary &amp; Working File(AllCcy)'!$Q$10)+SUMIF($P$13:$P$19,P153,$Q$13:$Q$19),2)</f>
        <v>0</v>
      </c>
      <c r="R153" s="242">
        <f>ROUND(SUMIFS(BS_RE33!$U$7:$U$874,BS_RE33!$S$7:$S$874,'Summary &amp; Working File(AllCcy)'!P153,BS_RE33!$N$7:$N$874,'Summary &amp; Working File(AllCcy)'!$R$10)+SUMIF($P$13:$P$19,P153,$R$13:$R$19),2)</f>
        <v>0</v>
      </c>
    </row>
    <row r="154" spans="2:18">
      <c r="B154" s="243">
        <f t="shared" si="45"/>
        <v>134</v>
      </c>
      <c r="C154" s="247">
        <f t="shared" si="45"/>
        <v>46191</v>
      </c>
      <c r="D154" s="245">
        <f t="shared" si="46"/>
        <v>0</v>
      </c>
      <c r="E154" s="235">
        <f t="shared" si="30"/>
        <v>5000000</v>
      </c>
      <c r="F154" s="236">
        <f t="shared" si="41"/>
        <v>0</v>
      </c>
      <c r="G154" s="237">
        <f t="shared" si="40"/>
        <v>0</v>
      </c>
      <c r="H154" s="273">
        <f t="shared" si="34"/>
        <v>5000000</v>
      </c>
      <c r="I154" s="587">
        <f t="shared" si="31"/>
        <v>0</v>
      </c>
      <c r="J154" s="237">
        <f t="shared" si="42"/>
        <v>1000000</v>
      </c>
      <c r="K154" s="269">
        <f t="shared" si="35"/>
        <v>1000000</v>
      </c>
      <c r="L154" s="239">
        <f t="shared" si="43"/>
        <v>4000000</v>
      </c>
      <c r="M154" s="275">
        <f t="shared" si="44"/>
        <v>0</v>
      </c>
      <c r="N154" s="3"/>
      <c r="O154" s="1">
        <f t="shared" si="47"/>
        <v>134</v>
      </c>
      <c r="P154" s="182">
        <f t="shared" si="47"/>
        <v>46191</v>
      </c>
      <c r="Q154" s="241">
        <f>ROUND(SUMIFS(BS_RE33!$U$7:$U$874,BS_RE33!$S$7:$S$874,'Summary &amp; Working File(AllCcy)'!P154,BS_RE33!$N$7:$N$874,'Summary &amp; Working File(AllCcy)'!$Q$10)+SUMIF($P$13:$P$19,P154,$Q$13:$Q$19),2)</f>
        <v>0</v>
      </c>
      <c r="R154" s="242">
        <f>ROUND(SUMIFS(BS_RE33!$U$7:$U$874,BS_RE33!$S$7:$S$874,'Summary &amp; Working File(AllCcy)'!P154,BS_RE33!$N$7:$N$874,'Summary &amp; Working File(AllCcy)'!$R$10)+SUMIF($P$13:$P$19,P154,$R$13:$R$19),2)</f>
        <v>0</v>
      </c>
    </row>
    <row r="155" spans="2:18">
      <c r="B155" s="243">
        <f t="shared" si="45"/>
        <v>135</v>
      </c>
      <c r="C155" s="247">
        <f t="shared" si="45"/>
        <v>46192</v>
      </c>
      <c r="D155" s="245">
        <f t="shared" si="46"/>
        <v>0</v>
      </c>
      <c r="E155" s="235">
        <f t="shared" si="30"/>
        <v>5000000</v>
      </c>
      <c r="F155" s="236">
        <f t="shared" si="41"/>
        <v>0</v>
      </c>
      <c r="G155" s="237">
        <f t="shared" si="40"/>
        <v>0</v>
      </c>
      <c r="H155" s="273">
        <f t="shared" si="34"/>
        <v>5000000</v>
      </c>
      <c r="I155" s="587">
        <f t="shared" si="31"/>
        <v>0</v>
      </c>
      <c r="J155" s="237">
        <f t="shared" si="42"/>
        <v>1000000</v>
      </c>
      <c r="K155" s="269">
        <f t="shared" si="35"/>
        <v>1000000</v>
      </c>
      <c r="L155" s="239">
        <f t="shared" si="43"/>
        <v>4000000</v>
      </c>
      <c r="M155" s="275">
        <f t="shared" si="44"/>
        <v>0</v>
      </c>
      <c r="N155" s="3"/>
      <c r="O155" s="1">
        <f t="shared" si="47"/>
        <v>135</v>
      </c>
      <c r="P155" s="182">
        <f t="shared" si="47"/>
        <v>46192</v>
      </c>
      <c r="Q155" s="241">
        <f>ROUND(SUMIFS(BS_RE33!$U$7:$U$874,BS_RE33!$S$7:$S$874,'Summary &amp; Working File(AllCcy)'!P155,BS_RE33!$N$7:$N$874,'Summary &amp; Working File(AllCcy)'!$Q$10)+SUMIF($P$13:$P$19,P155,$Q$13:$Q$19),2)</f>
        <v>0</v>
      </c>
      <c r="R155" s="242">
        <f>ROUND(SUMIFS(BS_RE33!$U$7:$U$874,BS_RE33!$S$7:$S$874,'Summary &amp; Working File(AllCcy)'!P155,BS_RE33!$N$7:$N$874,'Summary &amp; Working File(AllCcy)'!$R$10)+SUMIF($P$13:$P$19,P155,$R$13:$R$19),2)</f>
        <v>0</v>
      </c>
    </row>
    <row r="156" spans="2:18">
      <c r="B156" s="243">
        <f t="shared" si="45"/>
        <v>136</v>
      </c>
      <c r="C156" s="247">
        <f t="shared" si="45"/>
        <v>46193</v>
      </c>
      <c r="D156" s="245">
        <f t="shared" si="46"/>
        <v>0</v>
      </c>
      <c r="E156" s="235">
        <f t="shared" si="30"/>
        <v>5000000</v>
      </c>
      <c r="F156" s="236">
        <f t="shared" si="41"/>
        <v>0</v>
      </c>
      <c r="G156" s="237">
        <f t="shared" si="40"/>
        <v>0</v>
      </c>
      <c r="H156" s="273">
        <f t="shared" si="34"/>
        <v>5000000</v>
      </c>
      <c r="I156" s="587">
        <f t="shared" si="31"/>
        <v>0</v>
      </c>
      <c r="J156" s="237">
        <f t="shared" si="42"/>
        <v>1000000</v>
      </c>
      <c r="K156" s="269">
        <f t="shared" si="35"/>
        <v>1000000</v>
      </c>
      <c r="L156" s="239">
        <f t="shared" si="43"/>
        <v>4000000</v>
      </c>
      <c r="M156" s="275">
        <f t="shared" si="44"/>
        <v>0</v>
      </c>
      <c r="N156" s="3"/>
      <c r="O156" s="1">
        <f t="shared" si="47"/>
        <v>136</v>
      </c>
      <c r="P156" s="182">
        <f t="shared" si="47"/>
        <v>46193</v>
      </c>
      <c r="Q156" s="241">
        <f>ROUND(SUMIFS(BS_RE33!$U$7:$U$874,BS_RE33!$S$7:$S$874,'Summary &amp; Working File(AllCcy)'!P156,BS_RE33!$N$7:$N$874,'Summary &amp; Working File(AllCcy)'!$Q$10)+SUMIF($P$13:$P$19,P156,$Q$13:$Q$19),2)</f>
        <v>0</v>
      </c>
      <c r="R156" s="242">
        <f>ROUND(SUMIFS(BS_RE33!$U$7:$U$874,BS_RE33!$S$7:$S$874,'Summary &amp; Working File(AllCcy)'!P156,BS_RE33!$N$7:$N$874,'Summary &amp; Working File(AllCcy)'!$R$10)+SUMIF($P$13:$P$19,P156,$R$13:$R$19),2)</f>
        <v>0</v>
      </c>
    </row>
    <row r="157" spans="2:18">
      <c r="B157" s="243">
        <f t="shared" si="45"/>
        <v>137</v>
      </c>
      <c r="C157" s="247">
        <f t="shared" si="45"/>
        <v>46194</v>
      </c>
      <c r="D157" s="245">
        <f t="shared" si="46"/>
        <v>0</v>
      </c>
      <c r="E157" s="235">
        <f t="shared" si="30"/>
        <v>5000000</v>
      </c>
      <c r="F157" s="236">
        <f t="shared" si="41"/>
        <v>0</v>
      </c>
      <c r="G157" s="237">
        <f t="shared" si="40"/>
        <v>0</v>
      </c>
      <c r="H157" s="273">
        <f t="shared" si="34"/>
        <v>5000000</v>
      </c>
      <c r="I157" s="587">
        <f t="shared" si="31"/>
        <v>0</v>
      </c>
      <c r="J157" s="237">
        <f t="shared" si="42"/>
        <v>1000000</v>
      </c>
      <c r="K157" s="269">
        <f t="shared" si="35"/>
        <v>1000000</v>
      </c>
      <c r="L157" s="239">
        <f t="shared" si="43"/>
        <v>4000000</v>
      </c>
      <c r="M157" s="275">
        <f t="shared" si="44"/>
        <v>0</v>
      </c>
      <c r="N157" s="3"/>
      <c r="O157" s="1">
        <f t="shared" si="47"/>
        <v>137</v>
      </c>
      <c r="P157" s="182">
        <f t="shared" si="47"/>
        <v>46194</v>
      </c>
      <c r="Q157" s="241">
        <f>ROUND(SUMIFS(BS_RE33!$U$7:$U$874,BS_RE33!$S$7:$S$874,'Summary &amp; Working File(AllCcy)'!P157,BS_RE33!$N$7:$N$874,'Summary &amp; Working File(AllCcy)'!$Q$10)+SUMIF($P$13:$P$19,P157,$Q$13:$Q$19),2)</f>
        <v>0</v>
      </c>
      <c r="R157" s="242">
        <f>ROUND(SUMIFS(BS_RE33!$U$7:$U$874,BS_RE33!$S$7:$S$874,'Summary &amp; Working File(AllCcy)'!P157,BS_RE33!$N$7:$N$874,'Summary &amp; Working File(AllCcy)'!$R$10)+SUMIF($P$13:$P$19,P157,$R$13:$R$19),2)</f>
        <v>0</v>
      </c>
    </row>
    <row r="158" spans="2:18">
      <c r="B158" s="243">
        <f t="shared" si="45"/>
        <v>138</v>
      </c>
      <c r="C158" s="247">
        <f t="shared" si="45"/>
        <v>46195</v>
      </c>
      <c r="D158" s="245">
        <f t="shared" si="46"/>
        <v>0</v>
      </c>
      <c r="E158" s="235">
        <f t="shared" si="30"/>
        <v>5000000</v>
      </c>
      <c r="F158" s="236">
        <f t="shared" si="41"/>
        <v>0</v>
      </c>
      <c r="G158" s="237">
        <f t="shared" si="40"/>
        <v>0</v>
      </c>
      <c r="H158" s="273">
        <f t="shared" si="34"/>
        <v>5000000</v>
      </c>
      <c r="I158" s="587">
        <f t="shared" si="31"/>
        <v>0</v>
      </c>
      <c r="J158" s="237">
        <f t="shared" si="42"/>
        <v>1000000</v>
      </c>
      <c r="K158" s="269">
        <f t="shared" si="35"/>
        <v>1000000</v>
      </c>
      <c r="L158" s="239">
        <f t="shared" si="43"/>
        <v>4000000</v>
      </c>
      <c r="M158" s="275">
        <f t="shared" si="44"/>
        <v>0</v>
      </c>
      <c r="N158" s="3"/>
      <c r="O158" s="1">
        <f t="shared" si="47"/>
        <v>138</v>
      </c>
      <c r="P158" s="182">
        <f t="shared" si="47"/>
        <v>46195</v>
      </c>
      <c r="Q158" s="241">
        <f>ROUND(SUMIFS(BS_RE33!$U$7:$U$874,BS_RE33!$S$7:$S$874,'Summary &amp; Working File(AllCcy)'!P158,BS_RE33!$N$7:$N$874,'Summary &amp; Working File(AllCcy)'!$Q$10)+SUMIF($P$13:$P$19,P158,$Q$13:$Q$19),2)</f>
        <v>0</v>
      </c>
      <c r="R158" s="242">
        <f>ROUND(SUMIFS(BS_RE33!$U$7:$U$874,BS_RE33!$S$7:$S$874,'Summary &amp; Working File(AllCcy)'!P158,BS_RE33!$N$7:$N$874,'Summary &amp; Working File(AllCcy)'!$R$10)+SUMIF($P$13:$P$19,P158,$R$13:$R$19),2)</f>
        <v>0</v>
      </c>
    </row>
    <row r="159" spans="2:18">
      <c r="B159" s="243">
        <f t="shared" si="45"/>
        <v>139</v>
      </c>
      <c r="C159" s="247">
        <f t="shared" si="45"/>
        <v>46196</v>
      </c>
      <c r="D159" s="245">
        <f t="shared" si="46"/>
        <v>0</v>
      </c>
      <c r="E159" s="235">
        <f t="shared" si="30"/>
        <v>5000000</v>
      </c>
      <c r="F159" s="236">
        <f t="shared" si="41"/>
        <v>0</v>
      </c>
      <c r="G159" s="237">
        <f t="shared" si="40"/>
        <v>0</v>
      </c>
      <c r="H159" s="273">
        <f t="shared" si="34"/>
        <v>5000000</v>
      </c>
      <c r="I159" s="587">
        <f t="shared" si="31"/>
        <v>0</v>
      </c>
      <c r="J159" s="237">
        <f t="shared" si="42"/>
        <v>1000000</v>
      </c>
      <c r="K159" s="269">
        <f t="shared" si="35"/>
        <v>1000000</v>
      </c>
      <c r="L159" s="239">
        <f t="shared" si="43"/>
        <v>4000000</v>
      </c>
      <c r="M159" s="275">
        <f t="shared" si="44"/>
        <v>0</v>
      </c>
      <c r="N159" s="3"/>
      <c r="O159" s="1">
        <f t="shared" si="47"/>
        <v>139</v>
      </c>
      <c r="P159" s="182">
        <f t="shared" si="47"/>
        <v>46196</v>
      </c>
      <c r="Q159" s="241">
        <f>ROUND(SUMIFS(BS_RE33!$U$7:$U$874,BS_RE33!$S$7:$S$874,'Summary &amp; Working File(AllCcy)'!P159,BS_RE33!$N$7:$N$874,'Summary &amp; Working File(AllCcy)'!$Q$10)+SUMIF($P$13:$P$19,P159,$Q$13:$Q$19),2)</f>
        <v>0</v>
      </c>
      <c r="R159" s="242">
        <f>ROUND(SUMIFS(BS_RE33!$U$7:$U$874,BS_RE33!$S$7:$S$874,'Summary &amp; Working File(AllCcy)'!P159,BS_RE33!$N$7:$N$874,'Summary &amp; Working File(AllCcy)'!$R$10)+SUMIF($P$13:$P$19,P159,$R$13:$R$19),2)</f>
        <v>0</v>
      </c>
    </row>
    <row r="160" spans="2:18">
      <c r="B160" s="243">
        <f t="shared" si="45"/>
        <v>140</v>
      </c>
      <c r="C160" s="247">
        <f t="shared" si="45"/>
        <v>46197</v>
      </c>
      <c r="D160" s="245">
        <f t="shared" si="46"/>
        <v>0</v>
      </c>
      <c r="E160" s="235">
        <f>$Q$11+SUM(Q161:Q190)</f>
        <v>5000000</v>
      </c>
      <c r="F160" s="236">
        <f t="shared" si="41"/>
        <v>0</v>
      </c>
      <c r="G160" s="237">
        <f t="shared" si="40"/>
        <v>0</v>
      </c>
      <c r="H160" s="273">
        <f t="shared" si="34"/>
        <v>5000000</v>
      </c>
      <c r="I160" s="587">
        <f t="shared" si="31"/>
        <v>0</v>
      </c>
      <c r="J160" s="237">
        <f t="shared" si="42"/>
        <v>1000000</v>
      </c>
      <c r="K160" s="269">
        <f t="shared" si="35"/>
        <v>1000000</v>
      </c>
      <c r="L160" s="239">
        <f t="shared" si="43"/>
        <v>4000000</v>
      </c>
      <c r="M160" s="275">
        <f t="shared" si="44"/>
        <v>0</v>
      </c>
      <c r="N160" s="3"/>
      <c r="O160" s="1">
        <f t="shared" si="47"/>
        <v>140</v>
      </c>
      <c r="P160" s="182">
        <f t="shared" si="47"/>
        <v>46197</v>
      </c>
      <c r="Q160" s="241">
        <f>ROUND(SUMIFS(BS_RE33!$U$7:$U$874,BS_RE33!$S$7:$S$874,'Summary &amp; Working File(AllCcy)'!P160,BS_RE33!$N$7:$N$874,'Summary &amp; Working File(AllCcy)'!$Q$10)+SUMIF($P$13:$P$19,P160,$Q$13:$Q$19),2)</f>
        <v>0</v>
      </c>
      <c r="R160" s="242">
        <f>ROUND(SUMIFS(BS_RE33!$U$7:$U$874,BS_RE33!$S$7:$S$874,'Summary &amp; Working File(AllCcy)'!P160,BS_RE33!$N$7:$N$874,'Summary &amp; Working File(AllCcy)'!$R$10)+SUMIF($P$13:$P$19,P160,$R$13:$R$19),2)</f>
        <v>0</v>
      </c>
    </row>
    <row r="161" spans="2:18">
      <c r="B161" s="243">
        <f t="shared" si="45"/>
        <v>141</v>
      </c>
      <c r="C161" s="247">
        <f t="shared" si="45"/>
        <v>46198</v>
      </c>
      <c r="D161" s="245">
        <f t="shared" si="46"/>
        <v>0</v>
      </c>
      <c r="E161" s="235">
        <f t="shared" si="30"/>
        <v>5000000</v>
      </c>
      <c r="F161" s="236">
        <f t="shared" si="41"/>
        <v>0</v>
      </c>
      <c r="G161" s="237">
        <f t="shared" si="40"/>
        <v>0</v>
      </c>
      <c r="H161" s="273">
        <f t="shared" si="34"/>
        <v>5000000</v>
      </c>
      <c r="I161" s="587">
        <f t="shared" si="31"/>
        <v>0</v>
      </c>
      <c r="J161" s="237">
        <f t="shared" si="42"/>
        <v>1000000</v>
      </c>
      <c r="K161" s="269">
        <f t="shared" si="35"/>
        <v>1000000</v>
      </c>
      <c r="L161" s="239">
        <f t="shared" si="43"/>
        <v>4000000</v>
      </c>
      <c r="M161" s="275">
        <f t="shared" si="44"/>
        <v>0</v>
      </c>
      <c r="N161" s="3"/>
      <c r="O161" s="1">
        <f t="shared" si="47"/>
        <v>141</v>
      </c>
      <c r="P161" s="182">
        <f t="shared" si="47"/>
        <v>46198</v>
      </c>
      <c r="Q161" s="241">
        <f>ROUND(SUMIFS(BS_RE33!$U$7:$U$874,BS_RE33!$S$7:$S$874,'Summary &amp; Working File(AllCcy)'!P161,BS_RE33!$N$7:$N$874,'Summary &amp; Working File(AllCcy)'!$Q$10)+SUMIF($P$13:$P$19,P161,$Q$13:$Q$19),2)</f>
        <v>0</v>
      </c>
      <c r="R161" s="242">
        <f>ROUND(SUMIFS(BS_RE33!$U$7:$U$874,BS_RE33!$S$7:$S$874,'Summary &amp; Working File(AllCcy)'!P161,BS_RE33!$N$7:$N$874,'Summary &amp; Working File(AllCcy)'!$R$10)+SUMIF($P$13:$P$19,P161,$R$13:$R$19),2)</f>
        <v>0</v>
      </c>
    </row>
    <row r="162" spans="2:18">
      <c r="B162" s="243">
        <f t="shared" si="45"/>
        <v>142</v>
      </c>
      <c r="C162" s="247">
        <f t="shared" si="45"/>
        <v>46199</v>
      </c>
      <c r="D162" s="245">
        <f t="shared" si="46"/>
        <v>0</v>
      </c>
      <c r="E162" s="235">
        <f t="shared" si="30"/>
        <v>5000000</v>
      </c>
      <c r="F162" s="236">
        <f t="shared" si="41"/>
        <v>0</v>
      </c>
      <c r="G162" s="237">
        <f t="shared" si="40"/>
        <v>0</v>
      </c>
      <c r="H162" s="273">
        <f t="shared" si="34"/>
        <v>5000000</v>
      </c>
      <c r="I162" s="587">
        <f t="shared" si="31"/>
        <v>0</v>
      </c>
      <c r="J162" s="237">
        <f t="shared" si="42"/>
        <v>1000000</v>
      </c>
      <c r="K162" s="269">
        <f t="shared" si="35"/>
        <v>1000000</v>
      </c>
      <c r="L162" s="239">
        <f t="shared" si="43"/>
        <v>4000000</v>
      </c>
      <c r="M162" s="275">
        <f t="shared" si="44"/>
        <v>0</v>
      </c>
      <c r="N162" s="3"/>
      <c r="O162" s="1">
        <f t="shared" si="47"/>
        <v>142</v>
      </c>
      <c r="P162" s="182">
        <f t="shared" si="47"/>
        <v>46199</v>
      </c>
      <c r="Q162" s="241">
        <f>ROUND(SUMIFS(BS_RE33!$U$7:$U$874,BS_RE33!$S$7:$S$874,'Summary &amp; Working File(AllCcy)'!P162,BS_RE33!$N$7:$N$874,'Summary &amp; Working File(AllCcy)'!$Q$10)+SUMIF($P$13:$P$19,P162,$Q$13:$Q$19),2)</f>
        <v>0</v>
      </c>
      <c r="R162" s="242">
        <f>ROUND(SUMIFS(BS_RE33!$U$7:$U$874,BS_RE33!$S$7:$S$874,'Summary &amp; Working File(AllCcy)'!P162,BS_RE33!$N$7:$N$874,'Summary &amp; Working File(AllCcy)'!$R$10)+SUMIF($P$13:$P$19,P162,$R$13:$R$19),2)</f>
        <v>0</v>
      </c>
    </row>
    <row r="163" spans="2:18">
      <c r="B163" s="243">
        <f t="shared" si="45"/>
        <v>143</v>
      </c>
      <c r="C163" s="247">
        <f t="shared" si="45"/>
        <v>46200</v>
      </c>
      <c r="D163" s="245">
        <f t="shared" si="46"/>
        <v>0</v>
      </c>
      <c r="E163" s="235">
        <f t="shared" si="30"/>
        <v>5000000</v>
      </c>
      <c r="F163" s="236">
        <f t="shared" si="41"/>
        <v>0</v>
      </c>
      <c r="G163" s="237">
        <f t="shared" si="40"/>
        <v>0</v>
      </c>
      <c r="H163" s="273">
        <f t="shared" si="34"/>
        <v>5000000</v>
      </c>
      <c r="I163" s="587">
        <f t="shared" si="31"/>
        <v>0</v>
      </c>
      <c r="J163" s="237">
        <f t="shared" si="42"/>
        <v>1000000</v>
      </c>
      <c r="K163" s="269">
        <f t="shared" si="35"/>
        <v>1000000</v>
      </c>
      <c r="L163" s="239">
        <f t="shared" si="43"/>
        <v>4000000</v>
      </c>
      <c r="M163" s="275">
        <f t="shared" si="44"/>
        <v>0</v>
      </c>
      <c r="N163" s="3"/>
      <c r="O163" s="1">
        <f t="shared" si="47"/>
        <v>143</v>
      </c>
      <c r="P163" s="182">
        <f t="shared" si="47"/>
        <v>46200</v>
      </c>
      <c r="Q163" s="241">
        <f>ROUND(SUMIFS(BS_RE33!$U$7:$U$874,BS_RE33!$S$7:$S$874,'Summary &amp; Working File(AllCcy)'!P163,BS_RE33!$N$7:$N$874,'Summary &amp; Working File(AllCcy)'!$Q$10)+SUMIF($P$13:$P$19,P163,$Q$13:$Q$19),2)</f>
        <v>0</v>
      </c>
      <c r="R163" s="242">
        <f>ROUND(SUMIFS(BS_RE33!$U$7:$U$874,BS_RE33!$S$7:$S$874,'Summary &amp; Working File(AllCcy)'!P163,BS_RE33!$N$7:$N$874,'Summary &amp; Working File(AllCcy)'!$R$10)+SUMIF($P$13:$P$19,P163,$R$13:$R$19),2)</f>
        <v>0</v>
      </c>
    </row>
    <row r="164" spans="2:18">
      <c r="B164" s="243">
        <f t="shared" si="45"/>
        <v>144</v>
      </c>
      <c r="C164" s="247">
        <f t="shared" si="45"/>
        <v>46201</v>
      </c>
      <c r="D164" s="245">
        <f t="shared" si="46"/>
        <v>0</v>
      </c>
      <c r="E164" s="235">
        <f t="shared" si="30"/>
        <v>5000000</v>
      </c>
      <c r="F164" s="236">
        <f t="shared" si="41"/>
        <v>0</v>
      </c>
      <c r="G164" s="237">
        <f t="shared" si="40"/>
        <v>0</v>
      </c>
      <c r="H164" s="273">
        <f t="shared" si="34"/>
        <v>5000000</v>
      </c>
      <c r="I164" s="587">
        <f t="shared" si="31"/>
        <v>0</v>
      </c>
      <c r="J164" s="237">
        <f t="shared" si="42"/>
        <v>1000000</v>
      </c>
      <c r="K164" s="269">
        <f t="shared" si="35"/>
        <v>1000000</v>
      </c>
      <c r="L164" s="239">
        <f t="shared" si="43"/>
        <v>4000000</v>
      </c>
      <c r="M164" s="275">
        <f t="shared" si="44"/>
        <v>0</v>
      </c>
      <c r="N164" s="3"/>
      <c r="O164" s="1">
        <f t="shared" si="47"/>
        <v>144</v>
      </c>
      <c r="P164" s="182">
        <f t="shared" si="47"/>
        <v>46201</v>
      </c>
      <c r="Q164" s="241">
        <f>ROUND(SUMIFS(BS_RE33!$U$7:$U$874,BS_RE33!$S$7:$S$874,'Summary &amp; Working File(AllCcy)'!P164,BS_RE33!$N$7:$N$874,'Summary &amp; Working File(AllCcy)'!$Q$10)+SUMIF($P$13:$P$19,P164,$Q$13:$Q$19),2)</f>
        <v>0</v>
      </c>
      <c r="R164" s="242">
        <f>ROUND(SUMIFS(BS_RE33!$U$7:$U$874,BS_RE33!$S$7:$S$874,'Summary &amp; Working File(AllCcy)'!P164,BS_RE33!$N$7:$N$874,'Summary &amp; Working File(AllCcy)'!$R$10)+SUMIF($P$13:$P$19,P164,$R$13:$R$19),2)</f>
        <v>0</v>
      </c>
    </row>
    <row r="165" spans="2:18">
      <c r="B165" s="243">
        <f t="shared" si="45"/>
        <v>145</v>
      </c>
      <c r="C165" s="247">
        <f t="shared" si="45"/>
        <v>46202</v>
      </c>
      <c r="D165" s="245">
        <f t="shared" si="46"/>
        <v>0</v>
      </c>
      <c r="E165" s="235">
        <f t="shared" ref="E165:E228" si="48">$Q$11+SUM(Q166:Q195)</f>
        <v>5000000</v>
      </c>
      <c r="F165" s="236">
        <f t="shared" si="41"/>
        <v>0</v>
      </c>
      <c r="G165" s="237">
        <f t="shared" si="40"/>
        <v>0</v>
      </c>
      <c r="H165" s="273">
        <f t="shared" si="34"/>
        <v>5000000</v>
      </c>
      <c r="I165" s="587">
        <f t="shared" ref="I165:I205" si="49">$R$11+SUM(R166:R195)</f>
        <v>0</v>
      </c>
      <c r="J165" s="237">
        <f t="shared" si="42"/>
        <v>1000000</v>
      </c>
      <c r="K165" s="269">
        <f t="shared" si="35"/>
        <v>1000000</v>
      </c>
      <c r="L165" s="239">
        <f t="shared" si="43"/>
        <v>4000000</v>
      </c>
      <c r="M165" s="275">
        <f t="shared" si="44"/>
        <v>0</v>
      </c>
      <c r="N165" s="3"/>
      <c r="O165" s="1">
        <f t="shared" si="47"/>
        <v>145</v>
      </c>
      <c r="P165" s="182">
        <f t="shared" si="47"/>
        <v>46202</v>
      </c>
      <c r="Q165" s="241">
        <f>ROUND(SUMIFS(BS_RE33!$U$7:$U$874,BS_RE33!$S$7:$S$874,'Summary &amp; Working File(AllCcy)'!P165,BS_RE33!$N$7:$N$874,'Summary &amp; Working File(AllCcy)'!$Q$10)+SUMIF($P$13:$P$19,P165,$Q$13:$Q$19),2)</f>
        <v>0</v>
      </c>
      <c r="R165" s="242">
        <f>ROUND(SUMIFS(BS_RE33!$U$7:$U$874,BS_RE33!$S$7:$S$874,'Summary &amp; Working File(AllCcy)'!P165,BS_RE33!$N$7:$N$874,'Summary &amp; Working File(AllCcy)'!$R$10)+SUMIF($P$13:$P$19,P165,$R$13:$R$19),2)</f>
        <v>0</v>
      </c>
    </row>
    <row r="166" spans="2:18">
      <c r="B166" s="243">
        <f t="shared" si="45"/>
        <v>146</v>
      </c>
      <c r="C166" s="247">
        <f t="shared" si="45"/>
        <v>46203</v>
      </c>
      <c r="D166" s="245">
        <f t="shared" si="46"/>
        <v>0</v>
      </c>
      <c r="E166" s="235">
        <f t="shared" si="48"/>
        <v>5000000</v>
      </c>
      <c r="F166" s="236">
        <f t="shared" si="41"/>
        <v>0</v>
      </c>
      <c r="G166" s="237">
        <f t="shared" si="40"/>
        <v>0</v>
      </c>
      <c r="H166" s="273">
        <f t="shared" si="34"/>
        <v>5000000</v>
      </c>
      <c r="I166" s="587">
        <f t="shared" si="49"/>
        <v>0</v>
      </c>
      <c r="J166" s="237">
        <f t="shared" si="42"/>
        <v>1000000</v>
      </c>
      <c r="K166" s="269">
        <f t="shared" si="35"/>
        <v>1000000</v>
      </c>
      <c r="L166" s="239">
        <f t="shared" si="43"/>
        <v>4000000</v>
      </c>
      <c r="M166" s="275">
        <f t="shared" si="44"/>
        <v>0</v>
      </c>
      <c r="N166" s="3"/>
      <c r="O166" s="1">
        <f t="shared" si="47"/>
        <v>146</v>
      </c>
      <c r="P166" s="182">
        <f t="shared" si="47"/>
        <v>46203</v>
      </c>
      <c r="Q166" s="241">
        <f>ROUND(SUMIFS(BS_RE33!$U$7:$U$874,BS_RE33!$S$7:$S$874,'Summary &amp; Working File(AllCcy)'!P166,BS_RE33!$N$7:$N$874,'Summary &amp; Working File(AllCcy)'!$Q$10)+SUMIF($P$13:$P$19,P166,$Q$13:$Q$19),2)</f>
        <v>0</v>
      </c>
      <c r="R166" s="242">
        <f>ROUND(SUMIFS(BS_RE33!$U$7:$U$874,BS_RE33!$S$7:$S$874,'Summary &amp; Working File(AllCcy)'!P166,BS_RE33!$N$7:$N$874,'Summary &amp; Working File(AllCcy)'!$R$10)+SUMIF($P$13:$P$19,P166,$R$13:$R$19),2)</f>
        <v>0</v>
      </c>
    </row>
    <row r="167" spans="2:18">
      <c r="B167" s="243">
        <f t="shared" ref="B167:C182" si="50">B166+1</f>
        <v>147</v>
      </c>
      <c r="C167" s="247">
        <f t="shared" si="50"/>
        <v>46204</v>
      </c>
      <c r="D167" s="245">
        <f t="shared" si="46"/>
        <v>0</v>
      </c>
      <c r="E167" s="235">
        <f t="shared" si="48"/>
        <v>5000000</v>
      </c>
      <c r="F167" s="236">
        <f t="shared" si="41"/>
        <v>0</v>
      </c>
      <c r="G167" s="237">
        <f t="shared" si="40"/>
        <v>0</v>
      </c>
      <c r="H167" s="273">
        <f t="shared" si="34"/>
        <v>5000000</v>
      </c>
      <c r="I167" s="587">
        <f t="shared" si="49"/>
        <v>0</v>
      </c>
      <c r="J167" s="237">
        <f t="shared" si="42"/>
        <v>1000000</v>
      </c>
      <c r="K167" s="269">
        <f t="shared" si="35"/>
        <v>1000000</v>
      </c>
      <c r="L167" s="239">
        <f t="shared" si="43"/>
        <v>4000000</v>
      </c>
      <c r="M167" s="275">
        <f t="shared" si="44"/>
        <v>0</v>
      </c>
      <c r="N167" s="3"/>
      <c r="O167" s="1">
        <f t="shared" ref="O167:P182" si="51">O166+1</f>
        <v>147</v>
      </c>
      <c r="P167" s="182">
        <f t="shared" si="51"/>
        <v>46204</v>
      </c>
      <c r="Q167" s="241">
        <f>ROUND(SUMIFS(BS_RE33!$U$7:$U$874,BS_RE33!$S$7:$S$874,'Summary &amp; Working File(AllCcy)'!P167,BS_RE33!$N$7:$N$874,'Summary &amp; Working File(AllCcy)'!$Q$10)+SUMIF($P$13:$P$19,P167,$Q$13:$Q$19),2)</f>
        <v>0</v>
      </c>
      <c r="R167" s="242">
        <f>ROUND(SUMIFS(BS_RE33!$U$7:$U$874,BS_RE33!$S$7:$S$874,'Summary &amp; Working File(AllCcy)'!P167,BS_RE33!$N$7:$N$874,'Summary &amp; Working File(AllCcy)'!$R$10)+SUMIF($P$13:$P$19,P167,$R$13:$R$19),2)</f>
        <v>0</v>
      </c>
    </row>
    <row r="168" spans="2:18">
      <c r="B168" s="243">
        <f t="shared" si="50"/>
        <v>148</v>
      </c>
      <c r="C168" s="247">
        <f t="shared" si="50"/>
        <v>46205</v>
      </c>
      <c r="D168" s="245">
        <f t="shared" si="46"/>
        <v>0</v>
      </c>
      <c r="E168" s="235">
        <f t="shared" si="48"/>
        <v>5000000</v>
      </c>
      <c r="F168" s="236">
        <f t="shared" si="41"/>
        <v>0</v>
      </c>
      <c r="G168" s="237">
        <f t="shared" si="40"/>
        <v>0</v>
      </c>
      <c r="H168" s="273">
        <f t="shared" si="34"/>
        <v>5000000</v>
      </c>
      <c r="I168" s="587">
        <f t="shared" si="49"/>
        <v>0</v>
      </c>
      <c r="J168" s="237">
        <f t="shared" si="42"/>
        <v>1000000</v>
      </c>
      <c r="K168" s="269">
        <f t="shared" si="35"/>
        <v>1000000</v>
      </c>
      <c r="L168" s="239">
        <f t="shared" si="43"/>
        <v>4000000</v>
      </c>
      <c r="M168" s="275">
        <f t="shared" si="44"/>
        <v>0</v>
      </c>
      <c r="N168" s="3"/>
      <c r="O168" s="1">
        <f t="shared" si="51"/>
        <v>148</v>
      </c>
      <c r="P168" s="182">
        <f t="shared" si="51"/>
        <v>46205</v>
      </c>
      <c r="Q168" s="241">
        <f>ROUND(SUMIFS(BS_RE33!$U$7:$U$874,BS_RE33!$S$7:$S$874,'Summary &amp; Working File(AllCcy)'!P168,BS_RE33!$N$7:$N$874,'Summary &amp; Working File(AllCcy)'!$Q$10)+SUMIF($P$13:$P$19,P168,$Q$13:$Q$19),2)</f>
        <v>0</v>
      </c>
      <c r="R168" s="242">
        <f>ROUND(SUMIFS(BS_RE33!$U$7:$U$874,BS_RE33!$S$7:$S$874,'Summary &amp; Working File(AllCcy)'!P168,BS_RE33!$N$7:$N$874,'Summary &amp; Working File(AllCcy)'!$R$10)+SUMIF($P$13:$P$19,P168,$R$13:$R$19),2)</f>
        <v>0</v>
      </c>
    </row>
    <row r="169" spans="2:18">
      <c r="B169" s="243">
        <f t="shared" si="50"/>
        <v>149</v>
      </c>
      <c r="C169" s="247">
        <f t="shared" si="50"/>
        <v>46206</v>
      </c>
      <c r="D169" s="245">
        <f t="shared" si="46"/>
        <v>0</v>
      </c>
      <c r="E169" s="235">
        <f>$Q$11+SUM(Q170:Q199)</f>
        <v>5000000</v>
      </c>
      <c r="F169" s="236">
        <f t="shared" si="41"/>
        <v>0</v>
      </c>
      <c r="G169" s="237">
        <f t="shared" si="40"/>
        <v>0</v>
      </c>
      <c r="H169" s="273">
        <f>SUM(E169:G169)</f>
        <v>5000000</v>
      </c>
      <c r="I169" s="587">
        <f t="shared" si="49"/>
        <v>0</v>
      </c>
      <c r="J169" s="237">
        <f t="shared" si="42"/>
        <v>1000000</v>
      </c>
      <c r="K169" s="269">
        <f t="shared" si="35"/>
        <v>1000000</v>
      </c>
      <c r="L169" s="239">
        <f t="shared" si="43"/>
        <v>4000000</v>
      </c>
      <c r="M169" s="275">
        <f>D169/L169</f>
        <v>0</v>
      </c>
      <c r="N169" s="3"/>
      <c r="O169" s="1">
        <f t="shared" si="51"/>
        <v>149</v>
      </c>
      <c r="P169" s="182">
        <f t="shared" si="51"/>
        <v>46206</v>
      </c>
      <c r="Q169" s="241">
        <f>ROUND(SUMIFS(BS_RE33!$U$7:$U$874,BS_RE33!$S$7:$S$874,'Summary &amp; Working File(AllCcy)'!P169,BS_RE33!$N$7:$N$874,'Summary &amp; Working File(AllCcy)'!$Q$10)+SUMIF($P$13:$P$19,P169,$Q$13:$Q$19),2)</f>
        <v>0</v>
      </c>
      <c r="R169" s="242">
        <f>ROUND(SUMIFS(BS_RE33!$U$7:$U$874,BS_RE33!$S$7:$S$874,'Summary &amp; Working File(AllCcy)'!P169,BS_RE33!$N$7:$N$874,'Summary &amp; Working File(AllCcy)'!$R$10)+SUMIF($P$13:$P$19,P169,$R$13:$R$19),2)</f>
        <v>0</v>
      </c>
    </row>
    <row r="170" spans="2:18">
      <c r="B170" s="243">
        <f t="shared" si="50"/>
        <v>150</v>
      </c>
      <c r="C170" s="247">
        <f t="shared" si="50"/>
        <v>46207</v>
      </c>
      <c r="D170" s="245">
        <f t="shared" si="46"/>
        <v>0</v>
      </c>
      <c r="E170" s="235">
        <f t="shared" si="48"/>
        <v>5000000</v>
      </c>
      <c r="F170" s="236">
        <f t="shared" si="41"/>
        <v>0</v>
      </c>
      <c r="G170" s="237">
        <f t="shared" si="40"/>
        <v>0</v>
      </c>
      <c r="H170" s="273">
        <f t="shared" si="34"/>
        <v>5000000</v>
      </c>
      <c r="I170" s="587">
        <f t="shared" si="49"/>
        <v>0</v>
      </c>
      <c r="J170" s="237">
        <f t="shared" si="42"/>
        <v>1000000</v>
      </c>
      <c r="K170" s="269">
        <f t="shared" si="35"/>
        <v>1000000</v>
      </c>
      <c r="L170" s="239">
        <f t="shared" si="43"/>
        <v>4000000</v>
      </c>
      <c r="M170" s="275">
        <f t="shared" si="44"/>
        <v>0</v>
      </c>
      <c r="N170" s="3"/>
      <c r="O170" s="1">
        <f t="shared" si="51"/>
        <v>150</v>
      </c>
      <c r="P170" s="182">
        <f t="shared" si="51"/>
        <v>46207</v>
      </c>
      <c r="Q170" s="241">
        <f>ROUND(SUMIFS(BS_RE33!$U$7:$U$874,BS_RE33!$S$7:$S$874,'Summary &amp; Working File(AllCcy)'!P170,BS_RE33!$N$7:$N$874,'Summary &amp; Working File(AllCcy)'!$Q$10)+SUMIF($P$13:$P$19,P170,$Q$13:$Q$19),2)</f>
        <v>0</v>
      </c>
      <c r="R170" s="242">
        <f>ROUND(SUMIFS(BS_RE33!$U$7:$U$874,BS_RE33!$S$7:$S$874,'Summary &amp; Working File(AllCcy)'!P170,BS_RE33!$N$7:$N$874,'Summary &amp; Working File(AllCcy)'!$R$10)+SUMIF($P$13:$P$19,P170,$R$13:$R$19),2)</f>
        <v>0</v>
      </c>
    </row>
    <row r="171" spans="2:18">
      <c r="B171" s="243">
        <f t="shared" si="50"/>
        <v>151</v>
      </c>
      <c r="C171" s="247">
        <f t="shared" si="50"/>
        <v>46208</v>
      </c>
      <c r="D171" s="245">
        <f t="shared" si="46"/>
        <v>0</v>
      </c>
      <c r="E171" s="235">
        <f t="shared" si="48"/>
        <v>5000000</v>
      </c>
      <c r="F171" s="236">
        <f t="shared" si="41"/>
        <v>0</v>
      </c>
      <c r="G171" s="237">
        <f t="shared" si="40"/>
        <v>0</v>
      </c>
      <c r="H171" s="273">
        <f t="shared" si="34"/>
        <v>5000000</v>
      </c>
      <c r="I171" s="587">
        <f t="shared" si="49"/>
        <v>0</v>
      </c>
      <c r="J171" s="237">
        <f t="shared" si="42"/>
        <v>1000000</v>
      </c>
      <c r="K171" s="269">
        <f t="shared" si="35"/>
        <v>1000000</v>
      </c>
      <c r="L171" s="239">
        <f t="shared" si="43"/>
        <v>4000000</v>
      </c>
      <c r="M171" s="275">
        <f t="shared" si="44"/>
        <v>0</v>
      </c>
      <c r="N171" s="3"/>
      <c r="O171" s="1">
        <f t="shared" si="51"/>
        <v>151</v>
      </c>
      <c r="P171" s="182">
        <f t="shared" si="51"/>
        <v>46208</v>
      </c>
      <c r="Q171" s="241">
        <f>ROUND(SUMIFS(BS_RE33!$U$7:$U$874,BS_RE33!$S$7:$S$874,'Summary &amp; Working File(AllCcy)'!P171,BS_RE33!$N$7:$N$874,'Summary &amp; Working File(AllCcy)'!$Q$10)+SUMIF($P$13:$P$19,P171,$Q$13:$Q$19),2)</f>
        <v>0</v>
      </c>
      <c r="R171" s="242">
        <f>ROUND(SUMIFS(BS_RE33!$U$7:$U$874,BS_RE33!$S$7:$S$874,'Summary &amp; Working File(AllCcy)'!P171,BS_RE33!$N$7:$N$874,'Summary &amp; Working File(AllCcy)'!$R$10)+SUMIF($P$13:$P$19,P171,$R$13:$R$19),2)</f>
        <v>0</v>
      </c>
    </row>
    <row r="172" spans="2:18">
      <c r="B172" s="243">
        <f t="shared" si="50"/>
        <v>152</v>
      </c>
      <c r="C172" s="247">
        <f t="shared" si="50"/>
        <v>46209</v>
      </c>
      <c r="D172" s="245">
        <f t="shared" si="46"/>
        <v>0</v>
      </c>
      <c r="E172" s="235">
        <f t="shared" si="48"/>
        <v>5000000</v>
      </c>
      <c r="F172" s="236">
        <f t="shared" si="41"/>
        <v>0</v>
      </c>
      <c r="G172" s="237">
        <f t="shared" si="40"/>
        <v>0</v>
      </c>
      <c r="H172" s="273">
        <f t="shared" si="34"/>
        <v>5000000</v>
      </c>
      <c r="I172" s="587">
        <f t="shared" si="49"/>
        <v>0</v>
      </c>
      <c r="J172" s="237">
        <f t="shared" si="42"/>
        <v>1000000</v>
      </c>
      <c r="K172" s="269">
        <f t="shared" si="35"/>
        <v>1000000</v>
      </c>
      <c r="L172" s="239">
        <f t="shared" si="43"/>
        <v>4000000</v>
      </c>
      <c r="M172" s="275">
        <f t="shared" si="44"/>
        <v>0</v>
      </c>
      <c r="N172" s="3"/>
      <c r="O172" s="1">
        <f t="shared" si="51"/>
        <v>152</v>
      </c>
      <c r="P172" s="182">
        <f t="shared" si="51"/>
        <v>46209</v>
      </c>
      <c r="Q172" s="241">
        <f>ROUND(SUMIFS(BS_RE33!$U$7:$U$874,BS_RE33!$S$7:$S$874,'Summary &amp; Working File(AllCcy)'!P172,BS_RE33!$N$7:$N$874,'Summary &amp; Working File(AllCcy)'!$Q$10)+SUMIF($P$13:$P$19,P172,$Q$13:$Q$19),2)</f>
        <v>0</v>
      </c>
      <c r="R172" s="242">
        <f>ROUND(SUMIFS(BS_RE33!$U$7:$U$874,BS_RE33!$S$7:$S$874,'Summary &amp; Working File(AllCcy)'!P172,BS_RE33!$N$7:$N$874,'Summary &amp; Working File(AllCcy)'!$R$10)+SUMIF($P$13:$P$19,P172,$R$13:$R$19),2)</f>
        <v>0</v>
      </c>
    </row>
    <row r="173" spans="2:18">
      <c r="B173" s="243">
        <f t="shared" si="50"/>
        <v>153</v>
      </c>
      <c r="C173" s="247">
        <f t="shared" si="50"/>
        <v>46210</v>
      </c>
      <c r="D173" s="245">
        <f t="shared" si="46"/>
        <v>0</v>
      </c>
      <c r="E173" s="235">
        <f t="shared" si="48"/>
        <v>5000000</v>
      </c>
      <c r="F173" s="236">
        <f t="shared" si="41"/>
        <v>0</v>
      </c>
      <c r="G173" s="237">
        <f t="shared" si="40"/>
        <v>0</v>
      </c>
      <c r="H173" s="273">
        <f t="shared" si="34"/>
        <v>5000000</v>
      </c>
      <c r="I173" s="587">
        <f t="shared" si="49"/>
        <v>0</v>
      </c>
      <c r="J173" s="237">
        <f t="shared" si="42"/>
        <v>1000000</v>
      </c>
      <c r="K173" s="269">
        <f t="shared" si="35"/>
        <v>1000000</v>
      </c>
      <c r="L173" s="239">
        <f t="shared" si="43"/>
        <v>4000000</v>
      </c>
      <c r="M173" s="275">
        <f t="shared" si="44"/>
        <v>0</v>
      </c>
      <c r="N173" s="3"/>
      <c r="O173" s="1">
        <f t="shared" si="51"/>
        <v>153</v>
      </c>
      <c r="P173" s="182">
        <f t="shared" si="51"/>
        <v>46210</v>
      </c>
      <c r="Q173" s="241">
        <f>ROUND(SUMIFS(BS_RE33!$U$7:$U$874,BS_RE33!$S$7:$S$874,'Summary &amp; Working File(AllCcy)'!P173,BS_RE33!$N$7:$N$874,'Summary &amp; Working File(AllCcy)'!$Q$10)+SUMIF($P$13:$P$19,P173,$Q$13:$Q$19),2)</f>
        <v>0</v>
      </c>
      <c r="R173" s="242">
        <f>ROUND(SUMIFS(BS_RE33!$U$7:$U$874,BS_RE33!$S$7:$S$874,'Summary &amp; Working File(AllCcy)'!P173,BS_RE33!$N$7:$N$874,'Summary &amp; Working File(AllCcy)'!$R$10)+SUMIF($P$13:$P$19,P173,$R$13:$R$19),2)</f>
        <v>0</v>
      </c>
    </row>
    <row r="174" spans="2:18">
      <c r="B174" s="243">
        <f t="shared" si="50"/>
        <v>154</v>
      </c>
      <c r="C174" s="247">
        <f t="shared" si="50"/>
        <v>46211</v>
      </c>
      <c r="D174" s="245">
        <f t="shared" si="46"/>
        <v>0</v>
      </c>
      <c r="E174" s="235">
        <f t="shared" si="48"/>
        <v>5000000</v>
      </c>
      <c r="F174" s="236">
        <f t="shared" si="41"/>
        <v>0</v>
      </c>
      <c r="G174" s="237">
        <f t="shared" si="40"/>
        <v>0</v>
      </c>
      <c r="H174" s="273">
        <f t="shared" si="34"/>
        <v>5000000</v>
      </c>
      <c r="I174" s="587">
        <f t="shared" si="49"/>
        <v>0</v>
      </c>
      <c r="J174" s="237">
        <f t="shared" si="42"/>
        <v>1000000</v>
      </c>
      <c r="K174" s="269">
        <f t="shared" si="35"/>
        <v>1000000</v>
      </c>
      <c r="L174" s="239">
        <f t="shared" si="43"/>
        <v>4000000</v>
      </c>
      <c r="M174" s="275">
        <f t="shared" si="44"/>
        <v>0</v>
      </c>
      <c r="N174" s="3"/>
      <c r="O174" s="1">
        <f t="shared" si="51"/>
        <v>154</v>
      </c>
      <c r="P174" s="182">
        <f t="shared" si="51"/>
        <v>46211</v>
      </c>
      <c r="Q174" s="241">
        <f>ROUND(SUMIFS(BS_RE33!$U$7:$U$874,BS_RE33!$S$7:$S$874,'Summary &amp; Working File(AllCcy)'!P174,BS_RE33!$N$7:$N$874,'Summary &amp; Working File(AllCcy)'!$Q$10)+SUMIF($P$13:$P$19,P174,$Q$13:$Q$19),2)</f>
        <v>0</v>
      </c>
      <c r="R174" s="242">
        <f>ROUND(SUMIFS(BS_RE33!$U$7:$U$874,BS_RE33!$S$7:$S$874,'Summary &amp; Working File(AllCcy)'!P174,BS_RE33!$N$7:$N$874,'Summary &amp; Working File(AllCcy)'!$R$10)+SUMIF($P$13:$P$19,P174,$R$13:$R$19),2)</f>
        <v>0</v>
      </c>
    </row>
    <row r="175" spans="2:18">
      <c r="B175" s="243">
        <f t="shared" si="50"/>
        <v>155</v>
      </c>
      <c r="C175" s="247">
        <f t="shared" si="50"/>
        <v>46212</v>
      </c>
      <c r="D175" s="245">
        <f t="shared" si="46"/>
        <v>0</v>
      </c>
      <c r="E175" s="235">
        <f t="shared" si="48"/>
        <v>0</v>
      </c>
      <c r="F175" s="236">
        <f t="shared" si="41"/>
        <v>0</v>
      </c>
      <c r="G175" s="237">
        <f t="shared" si="40"/>
        <v>0</v>
      </c>
      <c r="H175" s="273">
        <f t="shared" si="34"/>
        <v>0</v>
      </c>
      <c r="I175" s="587">
        <f t="shared" si="49"/>
        <v>0</v>
      </c>
      <c r="J175" s="237">
        <f t="shared" si="42"/>
        <v>0</v>
      </c>
      <c r="K175" s="269">
        <f t="shared" si="35"/>
        <v>0</v>
      </c>
      <c r="L175" s="239">
        <f t="shared" si="43"/>
        <v>0</v>
      </c>
      <c r="M175" s="275" t="e">
        <f t="shared" si="44"/>
        <v>#DIV/0!</v>
      </c>
      <c r="N175" s="3"/>
      <c r="O175" s="1">
        <f t="shared" si="51"/>
        <v>155</v>
      </c>
      <c r="P175" s="182">
        <f t="shared" si="51"/>
        <v>46212</v>
      </c>
      <c r="Q175" s="241">
        <f>ROUND(SUMIFS(BS_RE33!$U$7:$U$874,BS_RE33!$S$7:$S$874,'Summary &amp; Working File(AllCcy)'!P175,BS_RE33!$N$7:$N$874,'Summary &amp; Working File(AllCcy)'!$Q$10)+SUMIF($P$13:$P$19,P175,$Q$13:$Q$19),2)</f>
        <v>5000000</v>
      </c>
      <c r="R175" s="242">
        <f>ROUND(SUMIFS(BS_RE33!$U$7:$U$874,BS_RE33!$S$7:$S$874,'Summary &amp; Working File(AllCcy)'!P175,BS_RE33!$N$7:$N$874,'Summary &amp; Working File(AllCcy)'!$R$10)+SUMIF($P$13:$P$19,P175,$R$13:$R$19),2)</f>
        <v>0</v>
      </c>
    </row>
    <row r="176" spans="2:18">
      <c r="B176" s="243">
        <f t="shared" si="50"/>
        <v>156</v>
      </c>
      <c r="C176" s="247">
        <f t="shared" si="50"/>
        <v>46213</v>
      </c>
      <c r="D176" s="245">
        <f t="shared" si="46"/>
        <v>0</v>
      </c>
      <c r="E176" s="235">
        <f t="shared" si="48"/>
        <v>0</v>
      </c>
      <c r="F176" s="236">
        <f t="shared" si="41"/>
        <v>0</v>
      </c>
      <c r="G176" s="237">
        <f t="shared" si="40"/>
        <v>0</v>
      </c>
      <c r="H176" s="273">
        <f t="shared" si="34"/>
        <v>0</v>
      </c>
      <c r="I176" s="587">
        <f t="shared" si="49"/>
        <v>0</v>
      </c>
      <c r="J176" s="237">
        <f t="shared" si="42"/>
        <v>0</v>
      </c>
      <c r="K176" s="269">
        <f t="shared" si="35"/>
        <v>0</v>
      </c>
      <c r="L176" s="239">
        <f t="shared" si="43"/>
        <v>0</v>
      </c>
      <c r="M176" s="275" t="e">
        <f t="shared" si="44"/>
        <v>#DIV/0!</v>
      </c>
      <c r="N176" s="3"/>
      <c r="O176" s="1">
        <f t="shared" si="51"/>
        <v>156</v>
      </c>
      <c r="P176" s="182">
        <f t="shared" si="51"/>
        <v>46213</v>
      </c>
      <c r="Q176" s="241">
        <f>ROUND(SUMIFS(BS_RE33!$U$7:$U$874,BS_RE33!$S$7:$S$874,'Summary &amp; Working File(AllCcy)'!P176,BS_RE33!$N$7:$N$874,'Summary &amp; Working File(AllCcy)'!$Q$10)+SUMIF($P$13:$P$19,P176,$Q$13:$Q$19),2)</f>
        <v>0</v>
      </c>
      <c r="R176" s="242">
        <f>ROUND(SUMIFS(BS_RE33!$U$7:$U$874,BS_RE33!$S$7:$S$874,'Summary &amp; Working File(AllCcy)'!P176,BS_RE33!$N$7:$N$874,'Summary &amp; Working File(AllCcy)'!$R$10)+SUMIF($P$13:$P$19,P176,$R$13:$R$19),2)</f>
        <v>0</v>
      </c>
    </row>
    <row r="177" spans="2:18">
      <c r="B177" s="243">
        <f t="shared" si="50"/>
        <v>157</v>
      </c>
      <c r="C177" s="247">
        <f t="shared" si="50"/>
        <v>46214</v>
      </c>
      <c r="D177" s="245">
        <f t="shared" si="46"/>
        <v>0</v>
      </c>
      <c r="E177" s="235">
        <f t="shared" si="48"/>
        <v>0</v>
      </c>
      <c r="F177" s="236">
        <f t="shared" si="41"/>
        <v>0</v>
      </c>
      <c r="G177" s="237">
        <f t="shared" si="40"/>
        <v>0</v>
      </c>
      <c r="H177" s="273">
        <f t="shared" si="34"/>
        <v>0</v>
      </c>
      <c r="I177" s="587">
        <f t="shared" si="49"/>
        <v>0</v>
      </c>
      <c r="J177" s="237">
        <f t="shared" si="42"/>
        <v>0</v>
      </c>
      <c r="K177" s="269">
        <f t="shared" si="35"/>
        <v>0</v>
      </c>
      <c r="L177" s="239">
        <f t="shared" si="43"/>
        <v>0</v>
      </c>
      <c r="M177" s="275" t="e">
        <f t="shared" si="44"/>
        <v>#DIV/0!</v>
      </c>
      <c r="N177" s="3"/>
      <c r="O177" s="1">
        <f t="shared" si="51"/>
        <v>157</v>
      </c>
      <c r="P177" s="818">
        <f t="shared" si="51"/>
        <v>46214</v>
      </c>
      <c r="Q177" s="241">
        <f>ROUND(SUMIFS(BS_RE33!$U$7:$U$874,BS_RE33!$S$7:$S$874,'Summary &amp; Working File(AllCcy)'!P177,BS_RE33!$N$7:$N$874,'Summary &amp; Working File(AllCcy)'!$Q$10)+SUMIF($P$13:$P$19,P177,$Q$13:$Q$19),2)</f>
        <v>0</v>
      </c>
      <c r="R177" s="242">
        <f>ROUND(SUMIFS(BS_RE33!$U$7:$U$874,BS_RE33!$S$7:$S$874,'Summary &amp; Working File(AllCcy)'!P177,BS_RE33!$N$7:$N$874,'Summary &amp; Working File(AllCcy)'!$R$10)+SUMIF($P$13:$P$19,P177,$R$13:$R$19),2)</f>
        <v>0</v>
      </c>
    </row>
    <row r="178" spans="2:18">
      <c r="B178" s="243">
        <f t="shared" si="50"/>
        <v>158</v>
      </c>
      <c r="C178" s="247">
        <f t="shared" si="50"/>
        <v>46215</v>
      </c>
      <c r="D178" s="245">
        <f t="shared" si="46"/>
        <v>0</v>
      </c>
      <c r="E178" s="235">
        <f t="shared" si="48"/>
        <v>0</v>
      </c>
      <c r="F178" s="236">
        <f t="shared" si="41"/>
        <v>0</v>
      </c>
      <c r="G178" s="237">
        <f t="shared" si="40"/>
        <v>0</v>
      </c>
      <c r="H178" s="273">
        <f t="shared" ref="H178:H205" si="52">SUM(E178:G178)</f>
        <v>0</v>
      </c>
      <c r="I178" s="587">
        <f t="shared" si="49"/>
        <v>0</v>
      </c>
      <c r="J178" s="237">
        <f t="shared" si="42"/>
        <v>0</v>
      </c>
      <c r="K178" s="269">
        <f t="shared" ref="K178:K241" si="53">MIN(SUM(I178:J178),H178*75%)</f>
        <v>0</v>
      </c>
      <c r="L178" s="239">
        <f t="shared" si="43"/>
        <v>0</v>
      </c>
      <c r="M178" s="275" t="e">
        <f t="shared" si="44"/>
        <v>#DIV/0!</v>
      </c>
      <c r="N178" s="3"/>
      <c r="O178" s="1">
        <f t="shared" si="51"/>
        <v>158</v>
      </c>
      <c r="P178" s="818">
        <f t="shared" si="51"/>
        <v>46215</v>
      </c>
      <c r="Q178" s="241">
        <f>ROUND(SUMIFS(BS_RE33!$U$7:$U$874,BS_RE33!$S$7:$S$874,'Summary &amp; Working File(AllCcy)'!P178,BS_RE33!$N$7:$N$874,'Summary &amp; Working File(AllCcy)'!$Q$10)+SUMIF($P$13:$P$19,P178,$Q$13:$Q$19),2)</f>
        <v>0</v>
      </c>
      <c r="R178" s="242">
        <f>ROUND(SUMIFS(BS_RE33!$U$7:$U$874,BS_RE33!$S$7:$S$874,'Summary &amp; Working File(AllCcy)'!P178,BS_RE33!$N$7:$N$874,'Summary &amp; Working File(AllCcy)'!$R$10)+SUMIF($P$13:$P$19,P178,$R$13:$R$19),2)</f>
        <v>0</v>
      </c>
    </row>
    <row r="179" spans="2:18">
      <c r="B179" s="243">
        <f t="shared" si="50"/>
        <v>159</v>
      </c>
      <c r="C179" s="247">
        <f t="shared" si="50"/>
        <v>46216</v>
      </c>
      <c r="D179" s="245">
        <f t="shared" si="46"/>
        <v>0</v>
      </c>
      <c r="E179" s="235">
        <f t="shared" si="48"/>
        <v>0</v>
      </c>
      <c r="F179" s="236">
        <f t="shared" si="41"/>
        <v>0</v>
      </c>
      <c r="G179" s="237">
        <f t="shared" si="40"/>
        <v>0</v>
      </c>
      <c r="H179" s="273">
        <f t="shared" si="52"/>
        <v>0</v>
      </c>
      <c r="I179" s="587">
        <f t="shared" si="49"/>
        <v>0</v>
      </c>
      <c r="J179" s="237">
        <f t="shared" si="42"/>
        <v>0</v>
      </c>
      <c r="K179" s="269">
        <f t="shared" si="53"/>
        <v>0</v>
      </c>
      <c r="L179" s="239">
        <f t="shared" si="43"/>
        <v>0</v>
      </c>
      <c r="M179" s="275" t="e">
        <f t="shared" si="44"/>
        <v>#DIV/0!</v>
      </c>
      <c r="N179" s="3"/>
      <c r="O179" s="1">
        <f t="shared" si="51"/>
        <v>159</v>
      </c>
      <c r="P179" s="818">
        <f t="shared" si="51"/>
        <v>46216</v>
      </c>
      <c r="Q179" s="241">
        <f>ROUND(SUMIFS(BS_RE33!$U$7:$U$874,BS_RE33!$S$7:$S$874,'Summary &amp; Working File(AllCcy)'!P179,BS_RE33!$N$7:$N$874,'Summary &amp; Working File(AllCcy)'!$Q$10)+SUMIF($P$13:$P$19,P179,$Q$13:$Q$19),2)</f>
        <v>0</v>
      </c>
      <c r="R179" s="242">
        <f>ROUND(SUMIFS(BS_RE33!$U$7:$U$874,BS_RE33!$S$7:$S$874,'Summary &amp; Working File(AllCcy)'!P179,BS_RE33!$N$7:$N$874,'Summary &amp; Working File(AllCcy)'!$R$10)+SUMIF($P$13:$P$19,P179,$R$13:$R$19),2)</f>
        <v>0</v>
      </c>
    </row>
    <row r="180" spans="2:18">
      <c r="B180" s="243">
        <f t="shared" si="50"/>
        <v>160</v>
      </c>
      <c r="C180" s="247">
        <f t="shared" si="50"/>
        <v>46217</v>
      </c>
      <c r="D180" s="245">
        <f t="shared" si="46"/>
        <v>0</v>
      </c>
      <c r="E180" s="235">
        <f t="shared" si="48"/>
        <v>0</v>
      </c>
      <c r="F180" s="236">
        <f t="shared" si="41"/>
        <v>0</v>
      </c>
      <c r="G180" s="237">
        <f t="shared" si="40"/>
        <v>0</v>
      </c>
      <c r="H180" s="273">
        <f t="shared" si="52"/>
        <v>0</v>
      </c>
      <c r="I180" s="587">
        <f t="shared" si="49"/>
        <v>0</v>
      </c>
      <c r="J180" s="237">
        <f t="shared" si="42"/>
        <v>0</v>
      </c>
      <c r="K180" s="269">
        <f t="shared" si="53"/>
        <v>0</v>
      </c>
      <c r="L180" s="239">
        <f t="shared" si="43"/>
        <v>0</v>
      </c>
      <c r="M180" s="275" t="e">
        <f t="shared" si="44"/>
        <v>#DIV/0!</v>
      </c>
      <c r="N180" s="3"/>
      <c r="O180" s="1">
        <f t="shared" si="51"/>
        <v>160</v>
      </c>
      <c r="P180" s="818">
        <f t="shared" si="51"/>
        <v>46217</v>
      </c>
      <c r="Q180" s="241">
        <f>ROUND(SUMIFS(BS_RE33!$U$7:$U$874,BS_RE33!$S$7:$S$874,'Summary &amp; Working File(AllCcy)'!P180,BS_RE33!$N$7:$N$874,'Summary &amp; Working File(AllCcy)'!$Q$10)+SUMIF($P$13:$P$19,P180,$Q$13:$Q$19),2)</f>
        <v>0</v>
      </c>
      <c r="R180" s="242">
        <f>ROUND(SUMIFS(BS_RE33!$U$7:$U$874,BS_RE33!$S$7:$S$874,'Summary &amp; Working File(AllCcy)'!P180,BS_RE33!$N$7:$N$874,'Summary &amp; Working File(AllCcy)'!$R$10)+SUMIF($P$13:$P$19,P180,$R$13:$R$19),2)</f>
        <v>0</v>
      </c>
    </row>
    <row r="181" spans="2:18">
      <c r="B181" s="243">
        <f t="shared" si="50"/>
        <v>161</v>
      </c>
      <c r="C181" s="247">
        <f t="shared" si="50"/>
        <v>46218</v>
      </c>
      <c r="D181" s="245">
        <f t="shared" si="46"/>
        <v>0</v>
      </c>
      <c r="E181" s="235">
        <f t="shared" si="48"/>
        <v>0</v>
      </c>
      <c r="F181" s="236">
        <f t="shared" si="41"/>
        <v>0</v>
      </c>
      <c r="G181" s="237">
        <f t="shared" si="40"/>
        <v>0</v>
      </c>
      <c r="H181" s="273">
        <f t="shared" si="52"/>
        <v>0</v>
      </c>
      <c r="I181" s="587">
        <f t="shared" si="49"/>
        <v>0</v>
      </c>
      <c r="J181" s="237">
        <f t="shared" si="42"/>
        <v>0</v>
      </c>
      <c r="K181" s="269">
        <f t="shared" si="53"/>
        <v>0</v>
      </c>
      <c r="L181" s="239">
        <f t="shared" si="43"/>
        <v>0</v>
      </c>
      <c r="M181" s="275" t="e">
        <f t="shared" si="44"/>
        <v>#DIV/0!</v>
      </c>
      <c r="N181" s="3"/>
      <c r="O181" s="1">
        <f t="shared" si="51"/>
        <v>161</v>
      </c>
      <c r="P181" s="818">
        <f t="shared" si="51"/>
        <v>46218</v>
      </c>
      <c r="Q181" s="241">
        <f>ROUND(SUMIFS(BS_RE33!$U$7:$U$874,BS_RE33!$S$7:$S$874,'Summary &amp; Working File(AllCcy)'!P181,BS_RE33!$N$7:$N$874,'Summary &amp; Working File(AllCcy)'!$Q$10)+SUMIF($P$13:$P$19,P181,$Q$13:$Q$19),2)</f>
        <v>0</v>
      </c>
      <c r="R181" s="242">
        <f>ROUND(SUMIFS(BS_RE33!$U$7:$U$874,BS_RE33!$S$7:$S$874,'Summary &amp; Working File(AllCcy)'!P181,BS_RE33!$N$7:$N$874,'Summary &amp; Working File(AllCcy)'!$R$10)+SUMIF($P$13:$P$19,P181,$R$13:$R$19),2)</f>
        <v>0</v>
      </c>
    </row>
    <row r="182" spans="2:18">
      <c r="B182" s="243">
        <f t="shared" si="50"/>
        <v>162</v>
      </c>
      <c r="C182" s="247">
        <f t="shared" si="50"/>
        <v>46219</v>
      </c>
      <c r="D182" s="245">
        <f t="shared" si="46"/>
        <v>0</v>
      </c>
      <c r="E182" s="235">
        <f t="shared" si="48"/>
        <v>0</v>
      </c>
      <c r="F182" s="236">
        <f t="shared" si="41"/>
        <v>0</v>
      </c>
      <c r="G182" s="237">
        <f t="shared" si="40"/>
        <v>0</v>
      </c>
      <c r="H182" s="273">
        <f t="shared" si="52"/>
        <v>0</v>
      </c>
      <c r="I182" s="587">
        <f t="shared" si="49"/>
        <v>0</v>
      </c>
      <c r="J182" s="237">
        <f t="shared" si="42"/>
        <v>0</v>
      </c>
      <c r="K182" s="269">
        <f t="shared" si="53"/>
        <v>0</v>
      </c>
      <c r="L182" s="239">
        <f t="shared" si="43"/>
        <v>0</v>
      </c>
      <c r="M182" s="275" t="e">
        <f t="shared" si="44"/>
        <v>#DIV/0!</v>
      </c>
      <c r="N182" s="3"/>
      <c r="O182" s="1">
        <f t="shared" si="51"/>
        <v>162</v>
      </c>
      <c r="P182" s="818">
        <f t="shared" si="51"/>
        <v>46219</v>
      </c>
      <c r="Q182" s="241">
        <f>ROUND(SUMIFS(BS_RE33!$U$7:$U$874,BS_RE33!$S$7:$S$874,'Summary &amp; Working File(AllCcy)'!P182,BS_RE33!$N$7:$N$874,'Summary &amp; Working File(AllCcy)'!$Q$10)+SUMIF($P$13:$P$19,P182,$Q$13:$Q$19),2)</f>
        <v>0</v>
      </c>
      <c r="R182" s="242">
        <f>ROUND(SUMIFS(BS_RE33!$U$7:$U$874,BS_RE33!$S$7:$S$874,'Summary &amp; Working File(AllCcy)'!P182,BS_RE33!$N$7:$N$874,'Summary &amp; Working File(AllCcy)'!$R$10)+SUMIF($P$13:$P$19,P182,$R$13:$R$19),2)</f>
        <v>0</v>
      </c>
    </row>
    <row r="183" spans="2:18">
      <c r="B183" s="243">
        <f t="shared" ref="B183:C198" si="54">B182+1</f>
        <v>163</v>
      </c>
      <c r="C183" s="247">
        <f t="shared" si="54"/>
        <v>46220</v>
      </c>
      <c r="D183" s="245">
        <f t="shared" si="46"/>
        <v>0</v>
      </c>
      <c r="E183" s="235">
        <f t="shared" si="48"/>
        <v>0</v>
      </c>
      <c r="F183" s="236">
        <f t="shared" si="41"/>
        <v>0</v>
      </c>
      <c r="G183" s="237">
        <f t="shared" si="40"/>
        <v>0</v>
      </c>
      <c r="H183" s="273">
        <f t="shared" si="52"/>
        <v>0</v>
      </c>
      <c r="I183" s="587">
        <f t="shared" si="49"/>
        <v>0</v>
      </c>
      <c r="J183" s="237">
        <f t="shared" si="42"/>
        <v>0</v>
      </c>
      <c r="K183" s="269">
        <f t="shared" si="53"/>
        <v>0</v>
      </c>
      <c r="L183" s="239">
        <f t="shared" si="43"/>
        <v>0</v>
      </c>
      <c r="M183" s="275" t="e">
        <f t="shared" si="44"/>
        <v>#DIV/0!</v>
      </c>
      <c r="N183" s="3"/>
      <c r="O183" s="1">
        <f t="shared" ref="O183:P198" si="55">O182+1</f>
        <v>163</v>
      </c>
      <c r="P183" s="820">
        <f t="shared" si="55"/>
        <v>46220</v>
      </c>
      <c r="Q183" s="241">
        <f>ROUND(SUMIFS(BS_RE33!$U$7:$U$874,BS_RE33!$S$7:$S$874,'Summary &amp; Working File(AllCcy)'!P183,BS_RE33!$N$7:$N$874,'Summary &amp; Working File(AllCcy)'!$Q$10)+SUMIF($P$13:$P$19,P183,$Q$13:$Q$19),2)</f>
        <v>0</v>
      </c>
      <c r="R183" s="242">
        <f>ROUND(SUMIFS(BS_RE33!$U$7:$U$874,BS_RE33!$S$7:$S$874,'Summary &amp; Working File(AllCcy)'!P183,BS_RE33!$N$7:$N$874,'Summary &amp; Working File(AllCcy)'!$R$10)+SUMIF($P$13:$P$19,P183,$R$13:$R$19),2)</f>
        <v>0</v>
      </c>
    </row>
    <row r="184" spans="2:18">
      <c r="B184" s="243">
        <f t="shared" si="54"/>
        <v>164</v>
      </c>
      <c r="C184" s="247">
        <f t="shared" si="54"/>
        <v>46221</v>
      </c>
      <c r="D184" s="245">
        <f t="shared" si="46"/>
        <v>0</v>
      </c>
      <c r="E184" s="235">
        <f t="shared" si="48"/>
        <v>0</v>
      </c>
      <c r="F184" s="236">
        <f t="shared" si="41"/>
        <v>0</v>
      </c>
      <c r="G184" s="237">
        <f t="shared" si="40"/>
        <v>0</v>
      </c>
      <c r="H184" s="273">
        <f t="shared" si="52"/>
        <v>0</v>
      </c>
      <c r="I184" s="587">
        <f t="shared" si="49"/>
        <v>0</v>
      </c>
      <c r="J184" s="237">
        <f t="shared" si="42"/>
        <v>0</v>
      </c>
      <c r="K184" s="269">
        <f t="shared" si="53"/>
        <v>0</v>
      </c>
      <c r="L184" s="239">
        <f t="shared" si="43"/>
        <v>0</v>
      </c>
      <c r="M184" s="275" t="e">
        <f t="shared" si="44"/>
        <v>#DIV/0!</v>
      </c>
      <c r="N184" s="3"/>
      <c r="O184" s="1">
        <f t="shared" si="55"/>
        <v>164</v>
      </c>
      <c r="P184" s="820">
        <f t="shared" si="55"/>
        <v>46221</v>
      </c>
      <c r="Q184" s="241">
        <f>ROUND(SUMIFS(BS_RE33!$U$7:$U$874,BS_RE33!$S$7:$S$874,'Summary &amp; Working File(AllCcy)'!P184,BS_RE33!$N$7:$N$874,'Summary &amp; Working File(AllCcy)'!$Q$10)+SUMIF($P$13:$P$19,P184,$Q$13:$Q$19),2)</f>
        <v>0</v>
      </c>
      <c r="R184" s="242">
        <f>ROUND(SUMIFS(BS_RE33!$U$7:$U$874,BS_RE33!$S$7:$S$874,'Summary &amp; Working File(AllCcy)'!P184,BS_RE33!$N$7:$N$874,'Summary &amp; Working File(AllCcy)'!$R$10)+SUMIF($P$13:$P$19,P184,$R$13:$R$19),2)</f>
        <v>0</v>
      </c>
    </row>
    <row r="185" spans="2:18">
      <c r="B185" s="243">
        <f t="shared" si="54"/>
        <v>165</v>
      </c>
      <c r="C185" s="247">
        <f t="shared" si="54"/>
        <v>46222</v>
      </c>
      <c r="D185" s="245">
        <f t="shared" si="46"/>
        <v>0</v>
      </c>
      <c r="E185" s="235">
        <f t="shared" si="48"/>
        <v>0</v>
      </c>
      <c r="F185" s="236">
        <f t="shared" si="41"/>
        <v>0</v>
      </c>
      <c r="G185" s="237">
        <f t="shared" si="40"/>
        <v>0</v>
      </c>
      <c r="H185" s="273">
        <f t="shared" si="52"/>
        <v>0</v>
      </c>
      <c r="I185" s="587">
        <f t="shared" si="49"/>
        <v>0</v>
      </c>
      <c r="J185" s="237">
        <f t="shared" si="42"/>
        <v>0</v>
      </c>
      <c r="K185" s="269">
        <f t="shared" si="53"/>
        <v>0</v>
      </c>
      <c r="L185" s="239">
        <f t="shared" si="43"/>
        <v>0</v>
      </c>
      <c r="M185" s="275" t="e">
        <f t="shared" si="44"/>
        <v>#DIV/0!</v>
      </c>
      <c r="N185" s="3"/>
      <c r="O185" s="1">
        <f t="shared" si="55"/>
        <v>165</v>
      </c>
      <c r="P185" s="820">
        <f t="shared" si="55"/>
        <v>46222</v>
      </c>
      <c r="Q185" s="241">
        <f>ROUND(SUMIFS(BS_RE33!$U$7:$U$874,BS_RE33!$S$7:$S$874,'Summary &amp; Working File(AllCcy)'!P185,BS_RE33!$N$7:$N$874,'Summary &amp; Working File(AllCcy)'!$Q$10)+SUMIF($P$13:$P$19,P185,$Q$13:$Q$19),2)</f>
        <v>0</v>
      </c>
      <c r="R185" s="242">
        <f>ROUND(SUMIFS(BS_RE33!$U$7:$U$874,BS_RE33!$S$7:$S$874,'Summary &amp; Working File(AllCcy)'!P185,BS_RE33!$N$7:$N$874,'Summary &amp; Working File(AllCcy)'!$R$10)+SUMIF($P$13:$P$19,P185,$R$13:$R$19),2)</f>
        <v>0</v>
      </c>
    </row>
    <row r="186" spans="2:18">
      <c r="B186" s="243">
        <f t="shared" si="54"/>
        <v>166</v>
      </c>
      <c r="C186" s="247">
        <f t="shared" si="54"/>
        <v>46223</v>
      </c>
      <c r="D186" s="245">
        <f t="shared" si="46"/>
        <v>0</v>
      </c>
      <c r="E186" s="235">
        <f t="shared" si="48"/>
        <v>0</v>
      </c>
      <c r="F186" s="236">
        <f t="shared" si="41"/>
        <v>0</v>
      </c>
      <c r="G186" s="237">
        <f t="shared" si="40"/>
        <v>0</v>
      </c>
      <c r="H186" s="273">
        <f t="shared" si="52"/>
        <v>0</v>
      </c>
      <c r="I186" s="587">
        <f t="shared" si="49"/>
        <v>0</v>
      </c>
      <c r="J186" s="237">
        <f t="shared" si="42"/>
        <v>0</v>
      </c>
      <c r="K186" s="269">
        <f t="shared" si="53"/>
        <v>0</v>
      </c>
      <c r="L186" s="239">
        <f t="shared" si="43"/>
        <v>0</v>
      </c>
      <c r="M186" s="275" t="e">
        <f t="shared" si="44"/>
        <v>#DIV/0!</v>
      </c>
      <c r="N186" s="3"/>
      <c r="O186" s="1">
        <f t="shared" si="55"/>
        <v>166</v>
      </c>
      <c r="P186" s="820">
        <f t="shared" si="55"/>
        <v>46223</v>
      </c>
      <c r="Q186" s="241">
        <f>ROUND(SUMIFS(BS_RE33!$U$7:$U$874,BS_RE33!$S$7:$S$874,'Summary &amp; Working File(AllCcy)'!P186,BS_RE33!$N$7:$N$874,'Summary &amp; Working File(AllCcy)'!$Q$10)+SUMIF($P$13:$P$19,P186,$Q$13:$Q$19),2)</f>
        <v>0</v>
      </c>
      <c r="R186" s="242">
        <f>ROUND(SUMIFS(BS_RE33!$U$7:$U$874,BS_RE33!$S$7:$S$874,'Summary &amp; Working File(AllCcy)'!P186,BS_RE33!$N$7:$N$874,'Summary &amp; Working File(AllCcy)'!$R$10)+SUMIF($P$13:$P$19,P186,$R$13:$R$19),2)</f>
        <v>0</v>
      </c>
    </row>
    <row r="187" spans="2:18">
      <c r="B187" s="243">
        <f t="shared" si="54"/>
        <v>167</v>
      </c>
      <c r="C187" s="247">
        <f t="shared" si="54"/>
        <v>46224</v>
      </c>
      <c r="D187" s="245">
        <f t="shared" si="46"/>
        <v>0</v>
      </c>
      <c r="E187" s="235">
        <f t="shared" si="48"/>
        <v>0</v>
      </c>
      <c r="F187" s="236">
        <f t="shared" si="41"/>
        <v>0</v>
      </c>
      <c r="G187" s="237">
        <f t="shared" si="40"/>
        <v>0</v>
      </c>
      <c r="H187" s="273">
        <f t="shared" si="52"/>
        <v>0</v>
      </c>
      <c r="I187" s="587">
        <f t="shared" si="49"/>
        <v>0</v>
      </c>
      <c r="J187" s="237">
        <f t="shared" si="42"/>
        <v>0</v>
      </c>
      <c r="K187" s="269">
        <f t="shared" si="53"/>
        <v>0</v>
      </c>
      <c r="L187" s="239">
        <f t="shared" si="43"/>
        <v>0</v>
      </c>
      <c r="M187" s="275" t="e">
        <f t="shared" si="44"/>
        <v>#DIV/0!</v>
      </c>
      <c r="N187" s="3"/>
      <c r="O187" s="1">
        <f t="shared" si="55"/>
        <v>167</v>
      </c>
      <c r="P187" s="182">
        <f t="shared" si="55"/>
        <v>46224</v>
      </c>
      <c r="Q187" s="241">
        <f>ROUND(SUMIFS(BS_RE33!$U$7:$U$874,BS_RE33!$S$7:$S$874,'Summary &amp; Working File(AllCcy)'!P187,BS_RE33!$N$7:$N$874,'Summary &amp; Working File(AllCcy)'!$Q$10)+SUMIF($P$13:$P$19,P187,$Q$13:$Q$19),2)</f>
        <v>0</v>
      </c>
      <c r="R187" s="242">
        <f>ROUND(SUMIFS(BS_RE33!$U$7:$U$874,BS_RE33!$S$7:$S$874,'Summary &amp; Working File(AllCcy)'!P187,BS_RE33!$N$7:$N$874,'Summary &amp; Working File(AllCcy)'!$R$10)+SUMIF($P$13:$P$19,P187,$R$13:$R$19),2)</f>
        <v>0</v>
      </c>
    </row>
    <row r="188" spans="2:18">
      <c r="B188" s="243">
        <f t="shared" si="54"/>
        <v>168</v>
      </c>
      <c r="C188" s="247">
        <f t="shared" si="54"/>
        <v>46225</v>
      </c>
      <c r="D188" s="245">
        <f t="shared" si="46"/>
        <v>0</v>
      </c>
      <c r="E188" s="235">
        <f t="shared" si="48"/>
        <v>0</v>
      </c>
      <c r="F188" s="236">
        <f t="shared" si="41"/>
        <v>0</v>
      </c>
      <c r="G188" s="237">
        <f t="shared" si="40"/>
        <v>0</v>
      </c>
      <c r="H188" s="273">
        <f t="shared" si="52"/>
        <v>0</v>
      </c>
      <c r="I188" s="587">
        <f t="shared" si="49"/>
        <v>0</v>
      </c>
      <c r="J188" s="237">
        <f t="shared" si="42"/>
        <v>0</v>
      </c>
      <c r="K188" s="269">
        <f t="shared" si="53"/>
        <v>0</v>
      </c>
      <c r="L188" s="239">
        <f t="shared" si="43"/>
        <v>0</v>
      </c>
      <c r="M188" s="275" t="e">
        <f t="shared" si="44"/>
        <v>#DIV/0!</v>
      </c>
      <c r="N188" s="3"/>
      <c r="O188" s="1">
        <f t="shared" si="55"/>
        <v>168</v>
      </c>
      <c r="P188" s="182">
        <f t="shared" si="55"/>
        <v>46225</v>
      </c>
      <c r="Q188" s="241">
        <f>ROUND(SUMIFS(BS_RE33!$U$7:$U$874,BS_RE33!$S$7:$S$874,'Summary &amp; Working File(AllCcy)'!P188,BS_RE33!$N$7:$N$874,'Summary &amp; Working File(AllCcy)'!$Q$10)+SUMIF($P$13:$P$19,P188,$Q$13:$Q$19),2)</f>
        <v>0</v>
      </c>
      <c r="R188" s="242">
        <f>ROUND(SUMIFS(BS_RE33!$U$7:$U$874,BS_RE33!$S$7:$S$874,'Summary &amp; Working File(AllCcy)'!P188,BS_RE33!$N$7:$N$874,'Summary &amp; Working File(AllCcy)'!$R$10)+SUMIF($P$13:$P$19,P188,$R$13:$R$19),2)</f>
        <v>0</v>
      </c>
    </row>
    <row r="189" spans="2:18">
      <c r="B189" s="243">
        <f t="shared" si="54"/>
        <v>169</v>
      </c>
      <c r="C189" s="247">
        <f t="shared" si="54"/>
        <v>46226</v>
      </c>
      <c r="D189" s="245">
        <f t="shared" si="46"/>
        <v>0</v>
      </c>
      <c r="E189" s="235">
        <f t="shared" si="48"/>
        <v>0</v>
      </c>
      <c r="F189" s="236">
        <f t="shared" si="41"/>
        <v>0</v>
      </c>
      <c r="G189" s="237">
        <f t="shared" si="40"/>
        <v>0</v>
      </c>
      <c r="H189" s="273">
        <f t="shared" si="52"/>
        <v>0</v>
      </c>
      <c r="I189" s="587">
        <f t="shared" si="49"/>
        <v>0</v>
      </c>
      <c r="J189" s="237">
        <f t="shared" si="42"/>
        <v>0</v>
      </c>
      <c r="K189" s="269">
        <f t="shared" si="53"/>
        <v>0</v>
      </c>
      <c r="L189" s="239">
        <f t="shared" si="43"/>
        <v>0</v>
      </c>
      <c r="M189" s="275" t="e">
        <f t="shared" si="44"/>
        <v>#DIV/0!</v>
      </c>
      <c r="N189" s="3"/>
      <c r="O189" s="1">
        <f t="shared" si="55"/>
        <v>169</v>
      </c>
      <c r="P189" s="182">
        <f t="shared" si="55"/>
        <v>46226</v>
      </c>
      <c r="Q189" s="241">
        <f>ROUND(SUMIFS(BS_RE33!$U$7:$U$874,BS_RE33!$S$7:$S$874,'Summary &amp; Working File(AllCcy)'!P189,BS_RE33!$N$7:$N$874,'Summary &amp; Working File(AllCcy)'!$Q$10)+SUMIF($P$13:$P$19,P189,$Q$13:$Q$19),2)</f>
        <v>0</v>
      </c>
      <c r="R189" s="242">
        <f>ROUND(SUMIFS(BS_RE33!$U$7:$U$874,BS_RE33!$S$7:$S$874,'Summary &amp; Working File(AllCcy)'!P189,BS_RE33!$N$7:$N$874,'Summary &amp; Working File(AllCcy)'!$R$10)+SUMIF($P$13:$P$19,P189,$R$13:$R$19),2)</f>
        <v>0</v>
      </c>
    </row>
    <row r="190" spans="2:18">
      <c r="B190" s="243">
        <f t="shared" si="54"/>
        <v>170</v>
      </c>
      <c r="C190" s="247">
        <f t="shared" si="54"/>
        <v>46227</v>
      </c>
      <c r="D190" s="245">
        <f t="shared" si="46"/>
        <v>0</v>
      </c>
      <c r="E190" s="235">
        <f t="shared" si="48"/>
        <v>0</v>
      </c>
      <c r="F190" s="236">
        <f t="shared" si="41"/>
        <v>0</v>
      </c>
      <c r="G190" s="237">
        <f t="shared" si="40"/>
        <v>0</v>
      </c>
      <c r="H190" s="273">
        <f t="shared" si="52"/>
        <v>0</v>
      </c>
      <c r="I190" s="587">
        <f t="shared" si="49"/>
        <v>0</v>
      </c>
      <c r="J190" s="237">
        <f t="shared" si="42"/>
        <v>0</v>
      </c>
      <c r="K190" s="269">
        <f t="shared" si="53"/>
        <v>0</v>
      </c>
      <c r="L190" s="239">
        <f t="shared" si="43"/>
        <v>0</v>
      </c>
      <c r="M190" s="275" t="e">
        <f t="shared" si="44"/>
        <v>#DIV/0!</v>
      </c>
      <c r="N190" s="3"/>
      <c r="O190" s="1">
        <f t="shared" si="55"/>
        <v>170</v>
      </c>
      <c r="P190" s="182">
        <f t="shared" si="55"/>
        <v>46227</v>
      </c>
      <c r="Q190" s="241">
        <f>ROUND(SUMIFS(BS_RE33!$U$7:$U$874,BS_RE33!$S$7:$S$874,'Summary &amp; Working File(AllCcy)'!P190,BS_RE33!$N$7:$N$874,'Summary &amp; Working File(AllCcy)'!$Q$10)+SUMIF($P$13:$P$19,P190,$Q$13:$Q$19),2)</f>
        <v>0</v>
      </c>
      <c r="R190" s="242">
        <f>ROUND(SUMIFS(BS_RE33!$U$7:$U$874,BS_RE33!$S$7:$S$874,'Summary &amp; Working File(AllCcy)'!P190,BS_RE33!$N$7:$N$874,'Summary &amp; Working File(AllCcy)'!$R$10)+SUMIF($P$13:$P$19,P190,$R$13:$R$19),2)</f>
        <v>0</v>
      </c>
    </row>
    <row r="191" spans="2:18">
      <c r="B191" s="243">
        <f t="shared" si="54"/>
        <v>171</v>
      </c>
      <c r="C191" s="247">
        <f t="shared" si="54"/>
        <v>46228</v>
      </c>
      <c r="D191" s="245">
        <f t="shared" si="46"/>
        <v>0</v>
      </c>
      <c r="E191" s="235">
        <f t="shared" si="48"/>
        <v>0</v>
      </c>
      <c r="F191" s="236">
        <f t="shared" si="41"/>
        <v>0</v>
      </c>
      <c r="G191" s="237">
        <f t="shared" si="40"/>
        <v>0</v>
      </c>
      <c r="H191" s="273">
        <f t="shared" si="52"/>
        <v>0</v>
      </c>
      <c r="I191" s="587">
        <f t="shared" si="49"/>
        <v>0</v>
      </c>
      <c r="J191" s="237">
        <f t="shared" si="42"/>
        <v>0</v>
      </c>
      <c r="K191" s="269">
        <f t="shared" si="53"/>
        <v>0</v>
      </c>
      <c r="L191" s="239">
        <f t="shared" si="43"/>
        <v>0</v>
      </c>
      <c r="M191" s="275" t="e">
        <f t="shared" si="44"/>
        <v>#DIV/0!</v>
      </c>
      <c r="N191" s="3"/>
      <c r="O191" s="1">
        <f t="shared" si="55"/>
        <v>171</v>
      </c>
      <c r="P191" s="182">
        <f t="shared" si="55"/>
        <v>46228</v>
      </c>
      <c r="Q191" s="241">
        <f>ROUND(SUMIFS(BS_RE33!$U$7:$U$874,BS_RE33!$S$7:$S$874,'Summary &amp; Working File(AllCcy)'!P191,BS_RE33!$N$7:$N$874,'Summary &amp; Working File(AllCcy)'!$Q$10)+SUMIF($P$13:$P$19,P191,$Q$13:$Q$19),2)</f>
        <v>0</v>
      </c>
      <c r="R191" s="242">
        <f>ROUND(SUMIFS(BS_RE33!$U$7:$U$874,BS_RE33!$S$7:$S$874,'Summary &amp; Working File(AllCcy)'!P191,BS_RE33!$N$7:$N$874,'Summary &amp; Working File(AllCcy)'!$R$10)+SUMIF($P$13:$P$19,P191,$R$13:$R$19),2)</f>
        <v>0</v>
      </c>
    </row>
    <row r="192" spans="2:18">
      <c r="B192" s="243">
        <f t="shared" si="54"/>
        <v>172</v>
      </c>
      <c r="C192" s="247">
        <f t="shared" si="54"/>
        <v>46229</v>
      </c>
      <c r="D192" s="245">
        <f t="shared" si="46"/>
        <v>0</v>
      </c>
      <c r="E192" s="235">
        <f t="shared" si="48"/>
        <v>0</v>
      </c>
      <c r="F192" s="236">
        <f t="shared" si="41"/>
        <v>0</v>
      </c>
      <c r="G192" s="237">
        <f t="shared" si="40"/>
        <v>0</v>
      </c>
      <c r="H192" s="273">
        <f t="shared" si="52"/>
        <v>0</v>
      </c>
      <c r="I192" s="587">
        <f t="shared" si="49"/>
        <v>0</v>
      </c>
      <c r="J192" s="237">
        <f t="shared" si="42"/>
        <v>0</v>
      </c>
      <c r="K192" s="269">
        <f t="shared" si="53"/>
        <v>0</v>
      </c>
      <c r="L192" s="239">
        <f t="shared" si="43"/>
        <v>0</v>
      </c>
      <c r="M192" s="275" t="e">
        <f t="shared" si="44"/>
        <v>#DIV/0!</v>
      </c>
      <c r="N192" s="3"/>
      <c r="O192" s="1">
        <f t="shared" si="55"/>
        <v>172</v>
      </c>
      <c r="P192" s="182">
        <f t="shared" si="55"/>
        <v>46229</v>
      </c>
      <c r="Q192" s="241">
        <f>ROUND(SUMIFS(BS_RE33!$U$7:$U$874,BS_RE33!$S$7:$S$874,'Summary &amp; Working File(AllCcy)'!P192,BS_RE33!$N$7:$N$874,'Summary &amp; Working File(AllCcy)'!$Q$10)+SUMIF($P$13:$P$19,P192,$Q$13:$Q$19),2)</f>
        <v>0</v>
      </c>
      <c r="R192" s="242">
        <f>ROUND(SUMIFS(BS_RE33!$U$7:$U$874,BS_RE33!$S$7:$S$874,'Summary &amp; Working File(AllCcy)'!P192,BS_RE33!$N$7:$N$874,'Summary &amp; Working File(AllCcy)'!$R$10)+SUMIF($P$13:$P$19,P192,$R$13:$R$19),2)</f>
        <v>0</v>
      </c>
    </row>
    <row r="193" spans="2:18">
      <c r="B193" s="243">
        <f t="shared" si="54"/>
        <v>173</v>
      </c>
      <c r="C193" s="247">
        <f t="shared" si="54"/>
        <v>46230</v>
      </c>
      <c r="D193" s="245">
        <f t="shared" si="46"/>
        <v>0</v>
      </c>
      <c r="E193" s="235">
        <f t="shared" si="48"/>
        <v>0</v>
      </c>
      <c r="F193" s="236">
        <f t="shared" si="41"/>
        <v>0</v>
      </c>
      <c r="G193" s="237">
        <f t="shared" si="40"/>
        <v>0</v>
      </c>
      <c r="H193" s="273">
        <f t="shared" si="52"/>
        <v>0</v>
      </c>
      <c r="I193" s="587">
        <f t="shared" si="49"/>
        <v>0</v>
      </c>
      <c r="J193" s="237">
        <f t="shared" si="42"/>
        <v>0</v>
      </c>
      <c r="K193" s="269">
        <f t="shared" si="53"/>
        <v>0</v>
      </c>
      <c r="L193" s="239">
        <f t="shared" si="43"/>
        <v>0</v>
      </c>
      <c r="M193" s="275" t="e">
        <f t="shared" si="44"/>
        <v>#DIV/0!</v>
      </c>
      <c r="N193" s="3"/>
      <c r="O193" s="1">
        <f t="shared" si="55"/>
        <v>173</v>
      </c>
      <c r="P193" s="182">
        <f t="shared" si="55"/>
        <v>46230</v>
      </c>
      <c r="Q193" s="241">
        <f>ROUND(SUMIFS(BS_RE33!$U$7:$U$874,BS_RE33!$S$7:$S$874,'Summary &amp; Working File(AllCcy)'!P193,BS_RE33!$N$7:$N$874,'Summary &amp; Working File(AllCcy)'!$Q$10)+SUMIF($P$13:$P$19,P193,$Q$13:$Q$19),2)</f>
        <v>0</v>
      </c>
      <c r="R193" s="242">
        <f>ROUND(SUMIFS(BS_RE33!$U$7:$U$874,BS_RE33!$S$7:$S$874,'Summary &amp; Working File(AllCcy)'!P193,BS_RE33!$N$7:$N$874,'Summary &amp; Working File(AllCcy)'!$R$10)+SUMIF($P$13:$P$19,P193,$R$13:$R$19),2)</f>
        <v>0</v>
      </c>
    </row>
    <row r="194" spans="2:18">
      <c r="B194" s="243">
        <f t="shared" si="54"/>
        <v>174</v>
      </c>
      <c r="C194" s="247">
        <f t="shared" si="54"/>
        <v>46231</v>
      </c>
      <c r="D194" s="245">
        <f t="shared" si="46"/>
        <v>0</v>
      </c>
      <c r="E194" s="235">
        <f t="shared" si="48"/>
        <v>0</v>
      </c>
      <c r="F194" s="236">
        <f t="shared" si="41"/>
        <v>0</v>
      </c>
      <c r="G194" s="237">
        <f t="shared" si="40"/>
        <v>0</v>
      </c>
      <c r="H194" s="273">
        <f t="shared" si="52"/>
        <v>0</v>
      </c>
      <c r="I194" s="587">
        <f t="shared" si="49"/>
        <v>0</v>
      </c>
      <c r="J194" s="237">
        <f t="shared" si="42"/>
        <v>0</v>
      </c>
      <c r="K194" s="269">
        <f t="shared" si="53"/>
        <v>0</v>
      </c>
      <c r="L194" s="239">
        <f t="shared" si="43"/>
        <v>0</v>
      </c>
      <c r="M194" s="275" t="e">
        <f t="shared" si="44"/>
        <v>#DIV/0!</v>
      </c>
      <c r="N194" s="3"/>
      <c r="O194" s="1">
        <f t="shared" si="55"/>
        <v>174</v>
      </c>
      <c r="P194" s="182">
        <f t="shared" si="55"/>
        <v>46231</v>
      </c>
      <c r="Q194" s="241">
        <f>ROUND(SUMIFS(BS_RE33!$U$7:$U$874,BS_RE33!$S$7:$S$874,'Summary &amp; Working File(AllCcy)'!P194,BS_RE33!$N$7:$N$874,'Summary &amp; Working File(AllCcy)'!$Q$10)+SUMIF($P$13:$P$19,P194,$Q$13:$Q$19),2)</f>
        <v>0</v>
      </c>
      <c r="R194" s="242">
        <f>ROUND(SUMIFS(BS_RE33!$U$7:$U$874,BS_RE33!$S$7:$S$874,'Summary &amp; Working File(AllCcy)'!P194,BS_RE33!$N$7:$N$874,'Summary &amp; Working File(AllCcy)'!$R$10)+SUMIF($P$13:$P$19,P194,$R$13:$R$19),2)</f>
        <v>0</v>
      </c>
    </row>
    <row r="195" spans="2:18">
      <c r="B195" s="243">
        <f t="shared" si="54"/>
        <v>175</v>
      </c>
      <c r="C195" s="247">
        <f t="shared" si="54"/>
        <v>46232</v>
      </c>
      <c r="D195" s="245">
        <f t="shared" si="46"/>
        <v>0</v>
      </c>
      <c r="E195" s="235">
        <f t="shared" si="48"/>
        <v>0</v>
      </c>
      <c r="F195" s="236">
        <f t="shared" si="41"/>
        <v>0</v>
      </c>
      <c r="G195" s="237">
        <f t="shared" si="40"/>
        <v>0</v>
      </c>
      <c r="H195" s="273">
        <f t="shared" si="52"/>
        <v>0</v>
      </c>
      <c r="I195" s="587">
        <f t="shared" si="49"/>
        <v>0</v>
      </c>
      <c r="J195" s="237">
        <f t="shared" si="42"/>
        <v>0</v>
      </c>
      <c r="K195" s="269">
        <f t="shared" si="53"/>
        <v>0</v>
      </c>
      <c r="L195" s="239">
        <f t="shared" si="43"/>
        <v>0</v>
      </c>
      <c r="M195" s="275" t="e">
        <f t="shared" si="44"/>
        <v>#DIV/0!</v>
      </c>
      <c r="N195" s="3"/>
      <c r="O195" s="1">
        <f t="shared" si="55"/>
        <v>175</v>
      </c>
      <c r="P195" s="182">
        <f t="shared" si="55"/>
        <v>46232</v>
      </c>
      <c r="Q195" s="241">
        <f>ROUND(SUMIFS(BS_RE33!$U$7:$U$874,BS_RE33!$S$7:$S$874,'Summary &amp; Working File(AllCcy)'!P195,BS_RE33!$N$7:$N$874,'Summary &amp; Working File(AllCcy)'!$Q$10)+SUMIF($P$13:$P$19,P195,$Q$13:$Q$19),2)</f>
        <v>0</v>
      </c>
      <c r="R195" s="242">
        <f>ROUND(SUMIFS(BS_RE33!$U$7:$U$874,BS_RE33!$S$7:$S$874,'Summary &amp; Working File(AllCcy)'!P195,BS_RE33!$N$7:$N$874,'Summary &amp; Working File(AllCcy)'!$R$10)+SUMIF($P$13:$P$19,P195,$R$13:$R$19),2)</f>
        <v>0</v>
      </c>
    </row>
    <row r="196" spans="2:18">
      <c r="B196" s="243">
        <f t="shared" si="54"/>
        <v>176</v>
      </c>
      <c r="C196" s="247">
        <f t="shared" si="54"/>
        <v>46233</v>
      </c>
      <c r="D196" s="245">
        <f t="shared" si="46"/>
        <v>0</v>
      </c>
      <c r="E196" s="235">
        <f t="shared" si="48"/>
        <v>0</v>
      </c>
      <c r="F196" s="236">
        <f t="shared" si="41"/>
        <v>0</v>
      </c>
      <c r="G196" s="237">
        <f t="shared" si="40"/>
        <v>0</v>
      </c>
      <c r="H196" s="273">
        <f t="shared" si="52"/>
        <v>0</v>
      </c>
      <c r="I196" s="587">
        <f t="shared" si="49"/>
        <v>0</v>
      </c>
      <c r="J196" s="237">
        <f t="shared" si="42"/>
        <v>0</v>
      </c>
      <c r="K196" s="269">
        <f t="shared" si="53"/>
        <v>0</v>
      </c>
      <c r="L196" s="239">
        <f t="shared" si="43"/>
        <v>0</v>
      </c>
      <c r="M196" s="275" t="e">
        <f t="shared" si="44"/>
        <v>#DIV/0!</v>
      </c>
      <c r="N196" s="3"/>
      <c r="O196" s="1">
        <f t="shared" si="55"/>
        <v>176</v>
      </c>
      <c r="P196" s="182">
        <f t="shared" si="55"/>
        <v>46233</v>
      </c>
      <c r="Q196" s="241">
        <f>ROUND(SUMIFS(BS_RE33!$U$7:$U$874,BS_RE33!$S$7:$S$874,'Summary &amp; Working File(AllCcy)'!P196,BS_RE33!$N$7:$N$874,'Summary &amp; Working File(AllCcy)'!$Q$10)+SUMIF($P$13:$P$19,P196,$Q$13:$Q$19),2)</f>
        <v>0</v>
      </c>
      <c r="R196" s="242">
        <f>ROUND(SUMIFS(BS_RE33!$U$7:$U$874,BS_RE33!$S$7:$S$874,'Summary &amp; Working File(AllCcy)'!P196,BS_RE33!$N$7:$N$874,'Summary &amp; Working File(AllCcy)'!$R$10)+SUMIF($P$13:$P$19,P196,$R$13:$R$19),2)</f>
        <v>0</v>
      </c>
    </row>
    <row r="197" spans="2:18">
      <c r="B197" s="243">
        <f t="shared" si="54"/>
        <v>177</v>
      </c>
      <c r="C197" s="247">
        <f t="shared" si="54"/>
        <v>46234</v>
      </c>
      <c r="D197" s="245">
        <f t="shared" si="46"/>
        <v>0</v>
      </c>
      <c r="E197" s="235">
        <f t="shared" si="48"/>
        <v>0</v>
      </c>
      <c r="F197" s="236">
        <f t="shared" si="41"/>
        <v>0</v>
      </c>
      <c r="G197" s="237">
        <f t="shared" si="40"/>
        <v>0</v>
      </c>
      <c r="H197" s="273">
        <f t="shared" si="52"/>
        <v>0</v>
      </c>
      <c r="I197" s="587">
        <f t="shared" si="49"/>
        <v>0</v>
      </c>
      <c r="J197" s="237">
        <f t="shared" si="42"/>
        <v>0</v>
      </c>
      <c r="K197" s="269">
        <f t="shared" si="53"/>
        <v>0</v>
      </c>
      <c r="L197" s="239">
        <f t="shared" si="43"/>
        <v>0</v>
      </c>
      <c r="M197" s="275" t="e">
        <f t="shared" si="44"/>
        <v>#DIV/0!</v>
      </c>
      <c r="N197" s="3"/>
      <c r="O197" s="1">
        <f t="shared" si="55"/>
        <v>177</v>
      </c>
      <c r="P197" s="182">
        <f t="shared" si="55"/>
        <v>46234</v>
      </c>
      <c r="Q197" s="241">
        <f>ROUND(SUMIFS(BS_RE33!$U$7:$U$874,BS_RE33!$S$7:$S$874,'Summary &amp; Working File(AllCcy)'!P197,BS_RE33!$N$7:$N$874,'Summary &amp; Working File(AllCcy)'!$Q$10)+SUMIF($P$13:$P$19,P197,$Q$13:$Q$19),2)</f>
        <v>0</v>
      </c>
      <c r="R197" s="242">
        <f>ROUND(SUMIFS(BS_RE33!$U$7:$U$874,BS_RE33!$S$7:$S$874,'Summary &amp; Working File(AllCcy)'!P197,BS_RE33!$N$7:$N$874,'Summary &amp; Working File(AllCcy)'!$R$10)+SUMIF($P$13:$P$19,P197,$R$13:$R$19),2)</f>
        <v>0</v>
      </c>
    </row>
    <row r="198" spans="2:18">
      <c r="B198" s="243">
        <f t="shared" si="54"/>
        <v>178</v>
      </c>
      <c r="C198" s="247">
        <f t="shared" si="54"/>
        <v>46235</v>
      </c>
      <c r="D198" s="245">
        <f t="shared" si="46"/>
        <v>0</v>
      </c>
      <c r="E198" s="235">
        <f t="shared" si="48"/>
        <v>0</v>
      </c>
      <c r="F198" s="236">
        <f t="shared" si="41"/>
        <v>0</v>
      </c>
      <c r="G198" s="237">
        <f t="shared" si="40"/>
        <v>0</v>
      </c>
      <c r="H198" s="273">
        <f t="shared" si="52"/>
        <v>0</v>
      </c>
      <c r="I198" s="587">
        <f t="shared" si="49"/>
        <v>0</v>
      </c>
      <c r="J198" s="237">
        <f t="shared" si="42"/>
        <v>0</v>
      </c>
      <c r="K198" s="269">
        <f t="shared" si="53"/>
        <v>0</v>
      </c>
      <c r="L198" s="239">
        <f t="shared" si="43"/>
        <v>0</v>
      </c>
      <c r="M198" s="275" t="e">
        <f t="shared" si="44"/>
        <v>#DIV/0!</v>
      </c>
      <c r="N198" s="3"/>
      <c r="O198" s="1">
        <f t="shared" si="55"/>
        <v>178</v>
      </c>
      <c r="P198" s="182">
        <f t="shared" si="55"/>
        <v>46235</v>
      </c>
      <c r="Q198" s="241">
        <f>ROUND(SUMIFS(BS_RE33!$U$7:$U$874,BS_RE33!$S$7:$S$874,'Summary &amp; Working File(AllCcy)'!P198,BS_RE33!$N$7:$N$874,'Summary &amp; Working File(AllCcy)'!$Q$10)+SUMIF($P$13:$P$19,P198,$Q$13:$Q$19),2)</f>
        <v>0</v>
      </c>
      <c r="R198" s="242">
        <f>ROUND(SUMIFS(BS_RE33!$U$7:$U$874,BS_RE33!$S$7:$S$874,'Summary &amp; Working File(AllCcy)'!P198,BS_RE33!$N$7:$N$874,'Summary &amp; Working File(AllCcy)'!$R$10)+SUMIF($P$13:$P$19,P198,$R$13:$R$19),2)</f>
        <v>0</v>
      </c>
    </row>
    <row r="199" spans="2:18">
      <c r="B199" s="243">
        <f t="shared" ref="B199:C214" si="56">B198+1</f>
        <v>179</v>
      </c>
      <c r="C199" s="247">
        <f t="shared" si="56"/>
        <v>46236</v>
      </c>
      <c r="D199" s="245">
        <f t="shared" si="46"/>
        <v>0</v>
      </c>
      <c r="E199" s="235">
        <f t="shared" si="48"/>
        <v>0</v>
      </c>
      <c r="F199" s="236">
        <f t="shared" si="41"/>
        <v>0</v>
      </c>
      <c r="G199" s="237">
        <f t="shared" si="40"/>
        <v>0</v>
      </c>
      <c r="H199" s="273">
        <f t="shared" si="52"/>
        <v>0</v>
      </c>
      <c r="I199" s="587">
        <f t="shared" si="49"/>
        <v>0</v>
      </c>
      <c r="J199" s="237">
        <f t="shared" si="42"/>
        <v>0</v>
      </c>
      <c r="K199" s="269">
        <f t="shared" si="53"/>
        <v>0</v>
      </c>
      <c r="L199" s="239">
        <f t="shared" si="43"/>
        <v>0</v>
      </c>
      <c r="M199" s="275" t="e">
        <f t="shared" si="44"/>
        <v>#DIV/0!</v>
      </c>
      <c r="N199" s="3"/>
      <c r="O199" s="1">
        <f t="shared" ref="O199:P214" si="57">O198+1</f>
        <v>179</v>
      </c>
      <c r="P199" s="182">
        <f t="shared" si="57"/>
        <v>46236</v>
      </c>
      <c r="Q199" s="241">
        <f>ROUND(SUMIFS(BS_RE33!$U$7:$U$874,BS_RE33!$S$7:$S$874,'Summary &amp; Working File(AllCcy)'!P199,BS_RE33!$N$7:$N$874,'Summary &amp; Working File(AllCcy)'!$Q$10)+SUMIF($P$13:$P$19,P199,$Q$13:$Q$19),2)</f>
        <v>0</v>
      </c>
      <c r="R199" s="242">
        <f>ROUND(SUMIFS(BS_RE33!$U$7:$U$874,BS_RE33!$S$7:$S$874,'Summary &amp; Working File(AllCcy)'!P199,BS_RE33!$N$7:$N$874,'Summary &amp; Working File(AllCcy)'!$R$10)+SUMIF($P$13:$P$19,P199,$R$13:$R$19),2)</f>
        <v>0</v>
      </c>
    </row>
    <row r="200" spans="2:18">
      <c r="B200" s="243">
        <f t="shared" si="56"/>
        <v>180</v>
      </c>
      <c r="C200" s="247">
        <f t="shared" si="56"/>
        <v>46237</v>
      </c>
      <c r="D200" s="245">
        <f t="shared" si="46"/>
        <v>0</v>
      </c>
      <c r="E200" s="235">
        <f t="shared" si="48"/>
        <v>0</v>
      </c>
      <c r="F200" s="236">
        <f t="shared" si="41"/>
        <v>0</v>
      </c>
      <c r="G200" s="237">
        <f t="shared" si="40"/>
        <v>0</v>
      </c>
      <c r="H200" s="273">
        <f t="shared" si="52"/>
        <v>0</v>
      </c>
      <c r="I200" s="587">
        <f t="shared" si="49"/>
        <v>0</v>
      </c>
      <c r="J200" s="237">
        <f t="shared" si="42"/>
        <v>0</v>
      </c>
      <c r="K200" s="269">
        <f t="shared" si="53"/>
        <v>0</v>
      </c>
      <c r="L200" s="239">
        <f t="shared" si="43"/>
        <v>0</v>
      </c>
      <c r="M200" s="275" t="e">
        <f t="shared" si="44"/>
        <v>#DIV/0!</v>
      </c>
      <c r="N200" s="3"/>
      <c r="O200" s="1">
        <f t="shared" si="57"/>
        <v>180</v>
      </c>
      <c r="P200" s="182">
        <f t="shared" si="57"/>
        <v>46237</v>
      </c>
      <c r="Q200" s="241">
        <f>ROUND(SUMIFS(BS_RE33!$U$7:$U$874,BS_RE33!$S$7:$S$874,'Summary &amp; Working File(AllCcy)'!P200,BS_RE33!$N$7:$N$874,'Summary &amp; Working File(AllCcy)'!$Q$10)+SUMIF($P$13:$P$19,P200,$Q$13:$Q$19),2)</f>
        <v>0</v>
      </c>
      <c r="R200" s="242">
        <f>ROUND(SUMIFS(BS_RE33!$U$7:$U$874,BS_RE33!$S$7:$S$874,'Summary &amp; Working File(AllCcy)'!P200,BS_RE33!$N$7:$N$874,'Summary &amp; Working File(AllCcy)'!$R$10)+SUMIF($P$13:$P$19,P200,$R$13:$R$19),2)</f>
        <v>0</v>
      </c>
    </row>
    <row r="201" spans="2:18">
      <c r="B201" s="243">
        <f t="shared" si="56"/>
        <v>181</v>
      </c>
      <c r="C201" s="247">
        <f t="shared" si="56"/>
        <v>46238</v>
      </c>
      <c r="D201" s="245">
        <f t="shared" si="46"/>
        <v>0</v>
      </c>
      <c r="E201" s="235">
        <f t="shared" si="48"/>
        <v>0</v>
      </c>
      <c r="F201" s="236">
        <f t="shared" si="41"/>
        <v>0</v>
      </c>
      <c r="G201" s="237">
        <f t="shared" si="40"/>
        <v>0</v>
      </c>
      <c r="H201" s="273">
        <f t="shared" si="52"/>
        <v>0</v>
      </c>
      <c r="I201" s="587">
        <f t="shared" si="49"/>
        <v>0</v>
      </c>
      <c r="J201" s="237">
        <f t="shared" si="42"/>
        <v>0</v>
      </c>
      <c r="K201" s="269">
        <f t="shared" si="53"/>
        <v>0</v>
      </c>
      <c r="L201" s="239">
        <f t="shared" si="43"/>
        <v>0</v>
      </c>
      <c r="M201" s="275" t="e">
        <f t="shared" si="44"/>
        <v>#DIV/0!</v>
      </c>
      <c r="N201" s="3"/>
      <c r="O201" s="1">
        <f t="shared" si="57"/>
        <v>181</v>
      </c>
      <c r="P201" s="182">
        <f t="shared" si="57"/>
        <v>46238</v>
      </c>
      <c r="Q201" s="241">
        <f>ROUND(SUMIFS(BS_RE33!$U$7:$U$874,BS_RE33!$S$7:$S$874,'Summary &amp; Working File(AllCcy)'!P201,BS_RE33!$N$7:$N$874,'Summary &amp; Working File(AllCcy)'!$Q$10)+SUMIF($P$13:$P$19,P201,$Q$13:$Q$19),2)</f>
        <v>0</v>
      </c>
      <c r="R201" s="242">
        <f>ROUND(SUMIFS(BS_RE33!$U$7:$U$874,BS_RE33!$S$7:$S$874,'Summary &amp; Working File(AllCcy)'!P201,BS_RE33!$N$7:$N$874,'Summary &amp; Working File(AllCcy)'!$R$10)+SUMIF($P$13:$P$19,P201,$R$13:$R$19),2)</f>
        <v>0</v>
      </c>
    </row>
    <row r="202" spans="2:18">
      <c r="B202" s="243">
        <f t="shared" si="56"/>
        <v>182</v>
      </c>
      <c r="C202" s="247">
        <f t="shared" si="56"/>
        <v>46239</v>
      </c>
      <c r="D202" s="245">
        <f t="shared" si="46"/>
        <v>0</v>
      </c>
      <c r="E202" s="235">
        <f t="shared" si="48"/>
        <v>0</v>
      </c>
      <c r="F202" s="236">
        <f t="shared" si="41"/>
        <v>0</v>
      </c>
      <c r="G202" s="237">
        <f t="shared" si="40"/>
        <v>0</v>
      </c>
      <c r="H202" s="273">
        <f t="shared" si="52"/>
        <v>0</v>
      </c>
      <c r="I202" s="587">
        <f t="shared" si="49"/>
        <v>0</v>
      </c>
      <c r="J202" s="237">
        <f t="shared" si="42"/>
        <v>0</v>
      </c>
      <c r="K202" s="269">
        <f t="shared" si="53"/>
        <v>0</v>
      </c>
      <c r="L202" s="239">
        <f t="shared" si="43"/>
        <v>0</v>
      </c>
      <c r="M202" s="275" t="e">
        <f t="shared" si="44"/>
        <v>#DIV/0!</v>
      </c>
      <c r="N202" s="3"/>
      <c r="O202" s="1">
        <f t="shared" si="57"/>
        <v>182</v>
      </c>
      <c r="P202" s="182">
        <f t="shared" si="57"/>
        <v>46239</v>
      </c>
      <c r="Q202" s="241">
        <f>ROUND(SUMIFS(BS_RE33!$U$7:$U$874,BS_RE33!$S$7:$S$874,'Summary &amp; Working File(AllCcy)'!P202,BS_RE33!$N$7:$N$874,'Summary &amp; Working File(AllCcy)'!$Q$10)+SUMIF($P$13:$P$19,P202,$Q$13:$Q$19),2)</f>
        <v>0</v>
      </c>
      <c r="R202" s="242">
        <f>ROUND(SUMIFS(BS_RE33!$U$7:$U$874,BS_RE33!$S$7:$S$874,'Summary &amp; Working File(AllCcy)'!P202,BS_RE33!$N$7:$N$874,'Summary &amp; Working File(AllCcy)'!$R$10)+SUMIF($P$13:$P$19,P202,$R$13:$R$19),2)</f>
        <v>0</v>
      </c>
    </row>
    <row r="203" spans="2:18">
      <c r="B203" s="243">
        <f t="shared" si="56"/>
        <v>183</v>
      </c>
      <c r="C203" s="247">
        <f t="shared" si="56"/>
        <v>46240</v>
      </c>
      <c r="D203" s="245">
        <f t="shared" si="46"/>
        <v>0</v>
      </c>
      <c r="E203" s="235">
        <f t="shared" si="48"/>
        <v>0</v>
      </c>
      <c r="F203" s="236">
        <f t="shared" si="41"/>
        <v>0</v>
      </c>
      <c r="G203" s="237">
        <f t="shared" si="40"/>
        <v>0</v>
      </c>
      <c r="H203" s="273">
        <f t="shared" si="52"/>
        <v>0</v>
      </c>
      <c r="I203" s="587">
        <f t="shared" si="49"/>
        <v>0</v>
      </c>
      <c r="J203" s="237">
        <f t="shared" si="42"/>
        <v>0</v>
      </c>
      <c r="K203" s="269">
        <f t="shared" si="53"/>
        <v>0</v>
      </c>
      <c r="L203" s="239">
        <f t="shared" si="43"/>
        <v>0</v>
      </c>
      <c r="M203" s="275" t="e">
        <f t="shared" si="44"/>
        <v>#DIV/0!</v>
      </c>
      <c r="N203" s="3"/>
      <c r="O203" s="1">
        <f t="shared" si="57"/>
        <v>183</v>
      </c>
      <c r="P203" s="182">
        <f t="shared" si="57"/>
        <v>46240</v>
      </c>
      <c r="Q203" s="241">
        <f>ROUND(SUMIFS(BS_RE33!$U$7:$U$874,BS_RE33!$S$7:$S$874,'Summary &amp; Working File(AllCcy)'!P203,BS_RE33!$N$7:$N$874,'Summary &amp; Working File(AllCcy)'!$Q$10)+SUMIF($P$13:$P$19,P203,$Q$13:$Q$19),2)</f>
        <v>0</v>
      </c>
      <c r="R203" s="242">
        <f>ROUND(SUMIFS(BS_RE33!$U$7:$U$874,BS_RE33!$S$7:$S$874,'Summary &amp; Working File(AllCcy)'!P203,BS_RE33!$N$7:$N$874,'Summary &amp; Working File(AllCcy)'!$R$10)+SUMIF($P$13:$P$19,P203,$R$13:$R$19),2)</f>
        <v>0</v>
      </c>
    </row>
    <row r="204" spans="2:18">
      <c r="B204" s="243">
        <f t="shared" si="56"/>
        <v>184</v>
      </c>
      <c r="C204" s="247">
        <f t="shared" si="56"/>
        <v>46241</v>
      </c>
      <c r="D204" s="245">
        <f t="shared" si="46"/>
        <v>0</v>
      </c>
      <c r="E204" s="235">
        <f t="shared" si="48"/>
        <v>0</v>
      </c>
      <c r="F204" s="236">
        <f t="shared" si="41"/>
        <v>0</v>
      </c>
      <c r="G204" s="237">
        <f t="shared" si="40"/>
        <v>0</v>
      </c>
      <c r="H204" s="273">
        <f t="shared" si="52"/>
        <v>0</v>
      </c>
      <c r="I204" s="587">
        <f t="shared" si="49"/>
        <v>0</v>
      </c>
      <c r="J204" s="237">
        <f t="shared" si="42"/>
        <v>0</v>
      </c>
      <c r="K204" s="269">
        <f t="shared" si="53"/>
        <v>0</v>
      </c>
      <c r="L204" s="239">
        <f t="shared" si="43"/>
        <v>0</v>
      </c>
      <c r="M204" s="275" t="e">
        <f t="shared" si="44"/>
        <v>#DIV/0!</v>
      </c>
      <c r="N204" s="3"/>
      <c r="O204" s="1">
        <f t="shared" si="57"/>
        <v>184</v>
      </c>
      <c r="P204" s="182">
        <f t="shared" si="57"/>
        <v>46241</v>
      </c>
      <c r="Q204" s="241">
        <f>ROUND(SUMIFS(BS_RE33!$U$7:$U$874,BS_RE33!$S$7:$S$874,'Summary &amp; Working File(AllCcy)'!P204,BS_RE33!$N$7:$N$874,'Summary &amp; Working File(AllCcy)'!$Q$10)+SUMIF($P$13:$P$19,P204,$Q$13:$Q$19),2)</f>
        <v>0</v>
      </c>
      <c r="R204" s="242">
        <f>ROUND(SUMIFS(BS_RE33!$U$7:$U$874,BS_RE33!$S$7:$S$874,'Summary &amp; Working File(AllCcy)'!P204,BS_RE33!$N$7:$N$874,'Summary &amp; Working File(AllCcy)'!$R$10)+SUMIF($P$13:$P$19,P204,$R$13:$R$19),2)</f>
        <v>0</v>
      </c>
    </row>
    <row r="205" spans="2:18">
      <c r="B205" s="243">
        <f t="shared" si="56"/>
        <v>185</v>
      </c>
      <c r="C205" s="247">
        <f t="shared" si="56"/>
        <v>46242</v>
      </c>
      <c r="D205" s="245">
        <f t="shared" si="46"/>
        <v>0</v>
      </c>
      <c r="E205" s="235">
        <f t="shared" si="48"/>
        <v>0</v>
      </c>
      <c r="F205" s="236">
        <f t="shared" si="41"/>
        <v>0</v>
      </c>
      <c r="G205" s="237">
        <f t="shared" si="40"/>
        <v>0</v>
      </c>
      <c r="H205" s="273">
        <f t="shared" si="52"/>
        <v>0</v>
      </c>
      <c r="I205" s="587">
        <f t="shared" si="49"/>
        <v>0</v>
      </c>
      <c r="J205" s="237">
        <f t="shared" si="42"/>
        <v>0</v>
      </c>
      <c r="K205" s="269">
        <f t="shared" si="53"/>
        <v>0</v>
      </c>
      <c r="L205" s="239">
        <f t="shared" si="43"/>
        <v>0</v>
      </c>
      <c r="M205" s="275" t="e">
        <f t="shared" si="44"/>
        <v>#DIV/0!</v>
      </c>
      <c r="N205" s="3"/>
      <c r="O205" s="1">
        <f t="shared" si="57"/>
        <v>185</v>
      </c>
      <c r="P205" s="182">
        <f t="shared" si="57"/>
        <v>46242</v>
      </c>
      <c r="Q205" s="241">
        <f>ROUND(SUMIFS(BS_RE33!$U$7:$U$874,BS_RE33!$S$7:$S$874,'Summary &amp; Working File(AllCcy)'!P205,BS_RE33!$N$7:$N$874,'Summary &amp; Working File(AllCcy)'!$Q$10)+SUMIF($P$13:$P$19,P205,$Q$13:$Q$19),2)</f>
        <v>0</v>
      </c>
      <c r="R205" s="242">
        <f>ROUND(SUMIFS(BS_RE33!$U$7:$U$874,BS_RE33!$S$7:$S$874,'Summary &amp; Working File(AllCcy)'!P205,BS_RE33!$N$7:$N$874,'Summary &amp; Working File(AllCcy)'!$R$10)+SUMIF($P$13:$P$19,P205,$R$13:$R$19),2)</f>
        <v>0</v>
      </c>
    </row>
    <row r="206" spans="2:18">
      <c r="B206" s="243">
        <f t="shared" si="56"/>
        <v>186</v>
      </c>
      <c r="C206" s="247">
        <f t="shared" si="56"/>
        <v>46243</v>
      </c>
      <c r="D206" s="245">
        <f t="shared" si="46"/>
        <v>0</v>
      </c>
      <c r="E206" s="235">
        <f t="shared" si="48"/>
        <v>0</v>
      </c>
      <c r="F206" s="236">
        <f t="shared" si="41"/>
        <v>0</v>
      </c>
      <c r="G206" s="237">
        <f t="shared" si="40"/>
        <v>0</v>
      </c>
      <c r="H206" s="273">
        <f t="shared" ref="H206:H264" si="58">SUM(E206:G206)</f>
        <v>0</v>
      </c>
      <c r="I206" s="587">
        <f t="shared" ref="I206:I263" si="59">$R$11+SUM(R207:R236)</f>
        <v>0</v>
      </c>
      <c r="J206" s="237">
        <f t="shared" si="42"/>
        <v>0</v>
      </c>
      <c r="K206" s="269">
        <f t="shared" si="53"/>
        <v>0</v>
      </c>
      <c r="L206" s="239">
        <f t="shared" si="43"/>
        <v>0</v>
      </c>
      <c r="M206" s="275" t="e">
        <f t="shared" si="44"/>
        <v>#DIV/0!</v>
      </c>
      <c r="N206" s="3"/>
      <c r="O206" s="1">
        <f t="shared" si="57"/>
        <v>186</v>
      </c>
      <c r="P206" s="182">
        <f t="shared" si="57"/>
        <v>46243</v>
      </c>
      <c r="Q206" s="241">
        <f>ROUND(SUMIFS(BS_RE33!$U$7:$U$874,BS_RE33!$S$7:$S$874,'Summary &amp; Working File(AllCcy)'!P206,BS_RE33!$N$7:$N$874,'Summary &amp; Working File(AllCcy)'!$Q$10)+SUMIF($P$13:$P$19,P206,$Q$13:$Q$19),2)</f>
        <v>0</v>
      </c>
      <c r="R206" s="242">
        <f>ROUND(SUMIFS(BS_RE33!$U$7:$U$874,BS_RE33!$S$7:$S$874,'Summary &amp; Working File(AllCcy)'!P206,BS_RE33!$N$7:$N$874,'Summary &amp; Working File(AllCcy)'!$R$10)+SUMIF($P$13:$P$19,P206,$R$13:$R$19),2)</f>
        <v>0</v>
      </c>
    </row>
    <row r="207" spans="2:18">
      <c r="B207" s="243">
        <f t="shared" si="56"/>
        <v>187</v>
      </c>
      <c r="C207" s="247">
        <f t="shared" si="56"/>
        <v>46244</v>
      </c>
      <c r="D207" s="245">
        <f t="shared" si="46"/>
        <v>0</v>
      </c>
      <c r="E207" s="235">
        <f t="shared" si="48"/>
        <v>0</v>
      </c>
      <c r="F207" s="236">
        <f t="shared" si="41"/>
        <v>0</v>
      </c>
      <c r="G207" s="237">
        <f t="shared" si="40"/>
        <v>0</v>
      </c>
      <c r="H207" s="273">
        <f t="shared" si="58"/>
        <v>0</v>
      </c>
      <c r="I207" s="587">
        <f t="shared" si="59"/>
        <v>0</v>
      </c>
      <c r="J207" s="237">
        <f t="shared" si="42"/>
        <v>0</v>
      </c>
      <c r="K207" s="269">
        <f t="shared" si="53"/>
        <v>0</v>
      </c>
      <c r="L207" s="239">
        <f t="shared" si="43"/>
        <v>0</v>
      </c>
      <c r="M207" s="275" t="e">
        <f t="shared" si="44"/>
        <v>#DIV/0!</v>
      </c>
      <c r="N207" s="3"/>
      <c r="O207" s="1">
        <f t="shared" si="57"/>
        <v>187</v>
      </c>
      <c r="P207" s="182">
        <f t="shared" si="57"/>
        <v>46244</v>
      </c>
      <c r="Q207" s="241">
        <f>ROUND(SUMIFS(BS_RE33!$U$7:$U$874,BS_RE33!$S$7:$S$874,'Summary &amp; Working File(AllCcy)'!P207,BS_RE33!$N$7:$N$874,'Summary &amp; Working File(AllCcy)'!$Q$10)+SUMIF($P$13:$P$19,P207,$Q$13:$Q$19),2)</f>
        <v>0</v>
      </c>
      <c r="R207" s="242">
        <f>ROUND(SUMIFS(BS_RE33!$U$7:$U$874,BS_RE33!$S$7:$S$874,'Summary &amp; Working File(AllCcy)'!P207,BS_RE33!$N$7:$N$874,'Summary &amp; Working File(AllCcy)'!$R$10)+SUMIF($P$13:$P$19,P207,$R$13:$R$19),2)</f>
        <v>0</v>
      </c>
    </row>
    <row r="208" spans="2:18">
      <c r="B208" s="243">
        <f t="shared" si="56"/>
        <v>188</v>
      </c>
      <c r="C208" s="247">
        <f t="shared" si="56"/>
        <v>46245</v>
      </c>
      <c r="D208" s="245">
        <f t="shared" si="46"/>
        <v>0</v>
      </c>
      <c r="E208" s="235">
        <f t="shared" si="48"/>
        <v>0</v>
      </c>
      <c r="F208" s="236">
        <f t="shared" si="41"/>
        <v>0</v>
      </c>
      <c r="G208" s="237">
        <f t="shared" si="40"/>
        <v>0</v>
      </c>
      <c r="H208" s="273">
        <f t="shared" si="58"/>
        <v>0</v>
      </c>
      <c r="I208" s="587">
        <f t="shared" si="59"/>
        <v>0</v>
      </c>
      <c r="J208" s="237">
        <f t="shared" si="42"/>
        <v>0</v>
      </c>
      <c r="K208" s="269">
        <f t="shared" si="53"/>
        <v>0</v>
      </c>
      <c r="L208" s="239">
        <f t="shared" si="43"/>
        <v>0</v>
      </c>
      <c r="M208" s="275" t="e">
        <f t="shared" si="44"/>
        <v>#DIV/0!</v>
      </c>
      <c r="N208" s="3"/>
      <c r="O208" s="1">
        <f t="shared" si="57"/>
        <v>188</v>
      </c>
      <c r="P208" s="182">
        <f t="shared" si="57"/>
        <v>46245</v>
      </c>
      <c r="Q208" s="241">
        <f>ROUND(SUMIFS(BS_RE33!$U$7:$U$874,BS_RE33!$S$7:$S$874,'Summary &amp; Working File(AllCcy)'!P208,BS_RE33!$N$7:$N$874,'Summary &amp; Working File(AllCcy)'!$Q$10)+SUMIF($P$13:$P$19,P208,$Q$13:$Q$19),2)</f>
        <v>0</v>
      </c>
      <c r="R208" s="242">
        <f>ROUND(SUMIFS(BS_RE33!$U$7:$U$874,BS_RE33!$S$7:$S$874,'Summary &amp; Working File(AllCcy)'!P208,BS_RE33!$N$7:$N$874,'Summary &amp; Working File(AllCcy)'!$R$10)+SUMIF($P$13:$P$19,P208,$R$13:$R$19),2)</f>
        <v>0</v>
      </c>
    </row>
    <row r="209" spans="2:18">
      <c r="B209" s="243">
        <f t="shared" si="56"/>
        <v>189</v>
      </c>
      <c r="C209" s="247">
        <f t="shared" si="56"/>
        <v>46246</v>
      </c>
      <c r="D209" s="245">
        <f t="shared" si="46"/>
        <v>0</v>
      </c>
      <c r="E209" s="235">
        <f t="shared" si="48"/>
        <v>0</v>
      </c>
      <c r="F209" s="236">
        <f t="shared" si="41"/>
        <v>0</v>
      </c>
      <c r="G209" s="237">
        <f t="shared" si="40"/>
        <v>0</v>
      </c>
      <c r="H209" s="273">
        <f t="shared" si="58"/>
        <v>0</v>
      </c>
      <c r="I209" s="587">
        <f t="shared" si="59"/>
        <v>0</v>
      </c>
      <c r="J209" s="237">
        <f t="shared" si="42"/>
        <v>0</v>
      </c>
      <c r="K209" s="269">
        <f t="shared" si="53"/>
        <v>0</v>
      </c>
      <c r="L209" s="239">
        <f t="shared" si="43"/>
        <v>0</v>
      </c>
      <c r="M209" s="275" t="e">
        <f t="shared" si="44"/>
        <v>#DIV/0!</v>
      </c>
      <c r="N209" s="3"/>
      <c r="O209" s="1">
        <f t="shared" si="57"/>
        <v>189</v>
      </c>
      <c r="P209" s="182">
        <f t="shared" si="57"/>
        <v>46246</v>
      </c>
      <c r="Q209" s="241">
        <f>ROUND(SUMIFS(BS_RE33!$U$7:$U$874,BS_RE33!$S$7:$S$874,'Summary &amp; Working File(AllCcy)'!P209,BS_RE33!$N$7:$N$874,'Summary &amp; Working File(AllCcy)'!$Q$10)+SUMIF($P$13:$P$19,P209,$Q$13:$Q$19),2)</f>
        <v>0</v>
      </c>
      <c r="R209" s="242">
        <f>ROUND(SUMIFS(BS_RE33!$U$7:$U$874,BS_RE33!$S$7:$S$874,'Summary &amp; Working File(AllCcy)'!P209,BS_RE33!$N$7:$N$874,'Summary &amp; Working File(AllCcy)'!$R$10)+SUMIF($P$13:$P$19,P209,$R$13:$R$19),2)</f>
        <v>0</v>
      </c>
    </row>
    <row r="210" spans="2:18">
      <c r="B210" s="243">
        <f t="shared" si="56"/>
        <v>190</v>
      </c>
      <c r="C210" s="247">
        <f t="shared" si="56"/>
        <v>46247</v>
      </c>
      <c r="D210" s="245">
        <f t="shared" si="46"/>
        <v>0</v>
      </c>
      <c r="E210" s="235">
        <f t="shared" si="48"/>
        <v>0</v>
      </c>
      <c r="F210" s="236">
        <f t="shared" si="41"/>
        <v>0</v>
      </c>
      <c r="G210" s="237">
        <f t="shared" si="40"/>
        <v>0</v>
      </c>
      <c r="H210" s="273">
        <f t="shared" si="58"/>
        <v>0</v>
      </c>
      <c r="I210" s="587">
        <f t="shared" si="59"/>
        <v>0</v>
      </c>
      <c r="J210" s="237">
        <f t="shared" si="42"/>
        <v>0</v>
      </c>
      <c r="K210" s="269">
        <f t="shared" si="53"/>
        <v>0</v>
      </c>
      <c r="L210" s="239">
        <f t="shared" si="43"/>
        <v>0</v>
      </c>
      <c r="M210" s="275" t="e">
        <f t="shared" si="44"/>
        <v>#DIV/0!</v>
      </c>
      <c r="N210" s="3"/>
      <c r="O210" s="1">
        <f t="shared" si="57"/>
        <v>190</v>
      </c>
      <c r="P210" s="182">
        <f t="shared" si="57"/>
        <v>46247</v>
      </c>
      <c r="Q210" s="241">
        <f>ROUND(SUMIFS(BS_RE33!$U$7:$U$874,BS_RE33!$S$7:$S$874,'Summary &amp; Working File(AllCcy)'!P210,BS_RE33!$N$7:$N$874,'Summary &amp; Working File(AllCcy)'!$Q$10)+SUMIF($P$13:$P$19,P210,$Q$13:$Q$19),2)</f>
        <v>0</v>
      </c>
      <c r="R210" s="242">
        <f>ROUND(SUMIFS(BS_RE33!$U$7:$U$874,BS_RE33!$S$7:$S$874,'Summary &amp; Working File(AllCcy)'!P210,BS_RE33!$N$7:$N$874,'Summary &amp; Working File(AllCcy)'!$R$10)+SUMIF($P$13:$P$19,P210,$R$13:$R$19),2)</f>
        <v>0</v>
      </c>
    </row>
    <row r="211" spans="2:18">
      <c r="B211" s="243">
        <f t="shared" si="56"/>
        <v>191</v>
      </c>
      <c r="C211" s="247">
        <f t="shared" si="56"/>
        <v>46248</v>
      </c>
      <c r="D211" s="245">
        <f t="shared" si="46"/>
        <v>0</v>
      </c>
      <c r="E211" s="235">
        <f t="shared" si="48"/>
        <v>0</v>
      </c>
      <c r="F211" s="236">
        <f t="shared" si="41"/>
        <v>0</v>
      </c>
      <c r="G211" s="237">
        <f t="shared" si="40"/>
        <v>0</v>
      </c>
      <c r="H211" s="273">
        <f t="shared" si="58"/>
        <v>0</v>
      </c>
      <c r="I211" s="587">
        <f t="shared" si="59"/>
        <v>0</v>
      </c>
      <c r="J211" s="237">
        <f t="shared" si="42"/>
        <v>0</v>
      </c>
      <c r="K211" s="269">
        <f t="shared" si="53"/>
        <v>0</v>
      </c>
      <c r="L211" s="239">
        <f t="shared" si="43"/>
        <v>0</v>
      </c>
      <c r="M211" s="275" t="e">
        <f t="shared" si="44"/>
        <v>#DIV/0!</v>
      </c>
      <c r="N211" s="3"/>
      <c r="O211" s="1">
        <f t="shared" si="57"/>
        <v>191</v>
      </c>
      <c r="P211" s="182">
        <f t="shared" si="57"/>
        <v>46248</v>
      </c>
      <c r="Q211" s="241">
        <f>ROUND(SUMIFS(BS_RE33!$U$7:$U$874,BS_RE33!$S$7:$S$874,'Summary &amp; Working File(AllCcy)'!P211,BS_RE33!$N$7:$N$874,'Summary &amp; Working File(AllCcy)'!$Q$10)+SUMIF($P$13:$P$19,P211,$Q$13:$Q$19),2)</f>
        <v>0</v>
      </c>
      <c r="R211" s="242">
        <f>ROUND(SUMIFS(BS_RE33!$U$7:$U$874,BS_RE33!$S$7:$S$874,'Summary &amp; Working File(AllCcy)'!P211,BS_RE33!$N$7:$N$874,'Summary &amp; Working File(AllCcy)'!$R$10)+SUMIF($P$13:$P$19,P211,$R$13:$R$19),2)</f>
        <v>0</v>
      </c>
    </row>
    <row r="212" spans="2:18">
      <c r="B212" s="243">
        <f t="shared" si="56"/>
        <v>192</v>
      </c>
      <c r="C212" s="247">
        <f t="shared" si="56"/>
        <v>46249</v>
      </c>
      <c r="D212" s="245">
        <f t="shared" si="46"/>
        <v>0</v>
      </c>
      <c r="E212" s="235">
        <f t="shared" si="48"/>
        <v>0</v>
      </c>
      <c r="F212" s="236">
        <f t="shared" si="41"/>
        <v>0</v>
      </c>
      <c r="G212" s="237">
        <f t="shared" si="40"/>
        <v>0</v>
      </c>
      <c r="H212" s="273">
        <f t="shared" si="58"/>
        <v>0</v>
      </c>
      <c r="I212" s="587">
        <f t="shared" si="59"/>
        <v>0</v>
      </c>
      <c r="J212" s="237">
        <f t="shared" si="42"/>
        <v>0</v>
      </c>
      <c r="K212" s="269">
        <f t="shared" si="53"/>
        <v>0</v>
      </c>
      <c r="L212" s="239">
        <f t="shared" si="43"/>
        <v>0</v>
      </c>
      <c r="M212" s="275" t="e">
        <f t="shared" si="44"/>
        <v>#DIV/0!</v>
      </c>
      <c r="N212" s="3"/>
      <c r="O212" s="1">
        <f t="shared" si="57"/>
        <v>192</v>
      </c>
      <c r="P212" s="182">
        <f t="shared" si="57"/>
        <v>46249</v>
      </c>
      <c r="Q212" s="241">
        <f>ROUND(SUMIFS(BS_RE33!$U$7:$U$874,BS_RE33!$S$7:$S$874,'Summary &amp; Working File(AllCcy)'!P212,BS_RE33!$N$7:$N$874,'Summary &amp; Working File(AllCcy)'!$Q$10)+SUMIF($P$13:$P$19,P212,$Q$13:$Q$19),2)</f>
        <v>0</v>
      </c>
      <c r="R212" s="242">
        <f>ROUND(SUMIFS(BS_RE33!$U$7:$U$874,BS_RE33!$S$7:$S$874,'Summary &amp; Working File(AllCcy)'!P212,BS_RE33!$N$7:$N$874,'Summary &amp; Working File(AllCcy)'!$R$10)+SUMIF($P$13:$P$19,P212,$R$13:$R$19),2)</f>
        <v>0</v>
      </c>
    </row>
    <row r="213" spans="2:18">
      <c r="B213" s="243">
        <f t="shared" si="56"/>
        <v>193</v>
      </c>
      <c r="C213" s="247">
        <f t="shared" si="56"/>
        <v>46250</v>
      </c>
      <c r="D213" s="245">
        <f t="shared" si="46"/>
        <v>0</v>
      </c>
      <c r="E213" s="235">
        <f t="shared" si="48"/>
        <v>0</v>
      </c>
      <c r="F213" s="236">
        <f t="shared" si="41"/>
        <v>0</v>
      </c>
      <c r="G213" s="237">
        <f t="shared" ref="G213:G268" si="60">$J$10*10%</f>
        <v>0</v>
      </c>
      <c r="H213" s="273">
        <f t="shared" si="58"/>
        <v>0</v>
      </c>
      <c r="I213" s="587">
        <f t="shared" si="59"/>
        <v>0</v>
      </c>
      <c r="J213" s="237">
        <f t="shared" si="42"/>
        <v>0</v>
      </c>
      <c r="K213" s="269">
        <f t="shared" si="53"/>
        <v>0</v>
      </c>
      <c r="L213" s="239">
        <f t="shared" si="43"/>
        <v>0</v>
      </c>
      <c r="M213" s="275" t="e">
        <f t="shared" si="44"/>
        <v>#DIV/0!</v>
      </c>
      <c r="N213" s="3"/>
      <c r="O213" s="1">
        <f t="shared" si="57"/>
        <v>193</v>
      </c>
      <c r="P213" s="182">
        <f t="shared" si="57"/>
        <v>46250</v>
      </c>
      <c r="Q213" s="241">
        <f>ROUND(SUMIFS(BS_RE33!$U$7:$U$874,BS_RE33!$S$7:$S$874,'Summary &amp; Working File(AllCcy)'!P213,BS_RE33!$N$7:$N$874,'Summary &amp; Working File(AllCcy)'!$Q$10)+SUMIF($P$13:$P$19,P213,$Q$13:$Q$19),2)</f>
        <v>0</v>
      </c>
      <c r="R213" s="242">
        <f>ROUND(SUMIFS(BS_RE33!$U$7:$U$874,BS_RE33!$S$7:$S$874,'Summary &amp; Working File(AllCcy)'!P213,BS_RE33!$N$7:$N$874,'Summary &amp; Working File(AllCcy)'!$R$10)+SUMIF($P$13:$P$19,P213,$R$13:$R$19),2)</f>
        <v>0</v>
      </c>
    </row>
    <row r="214" spans="2:18">
      <c r="B214" s="243">
        <f t="shared" si="56"/>
        <v>194</v>
      </c>
      <c r="C214" s="247">
        <f t="shared" si="56"/>
        <v>46251</v>
      </c>
      <c r="D214" s="245">
        <f t="shared" si="46"/>
        <v>0</v>
      </c>
      <c r="E214" s="235">
        <f t="shared" si="48"/>
        <v>0</v>
      </c>
      <c r="F214" s="236">
        <f t="shared" ref="F214:F268" si="61">(IF(C214&lt;($E$11-30),$E$10*5%,0)+IF(C214&lt;($F$11-30),$F$10*5%,0)+IF(C214&lt;($G$11-30),$G$10*5%,0)+IF(C214&lt;($H$11-30),$H$10*5%,0))+(IF(C214&lt;($E$15-30),$E$14*10%,0)+IF(C214&lt;($F$15-30),$F$14*10%,0)+IF(C214&lt;($G$15-30),$G$14*10%,0)+IF(C214&lt;($H$15-30),$H$14*10%,0)+IF(C214&lt;($I$15-30),$I$14*10%,0)+IF(C214&lt;($J$15-30),$J$14*10%,0))</f>
        <v>0</v>
      </c>
      <c r="G214" s="237">
        <f t="shared" si="60"/>
        <v>0</v>
      </c>
      <c r="H214" s="273">
        <f t="shared" si="58"/>
        <v>0</v>
      </c>
      <c r="I214" s="587">
        <f t="shared" si="59"/>
        <v>0</v>
      </c>
      <c r="J214" s="237">
        <f t="shared" ref="J214:J264" si="62">H214*20%</f>
        <v>0</v>
      </c>
      <c r="K214" s="269">
        <f t="shared" si="53"/>
        <v>0</v>
      </c>
      <c r="L214" s="239">
        <f t="shared" ref="L214:L264" si="63">H214-K214</f>
        <v>0</v>
      </c>
      <c r="M214" s="275" t="e">
        <f t="shared" ref="M214:M264" si="64">D214/L214</f>
        <v>#DIV/0!</v>
      </c>
      <c r="N214" s="3"/>
      <c r="O214" s="1">
        <f t="shared" si="57"/>
        <v>194</v>
      </c>
      <c r="P214" s="182">
        <f t="shared" si="57"/>
        <v>46251</v>
      </c>
      <c r="Q214" s="241">
        <f>ROUND(SUMIFS(BS_RE33!$U$7:$U$874,BS_RE33!$S$7:$S$874,'Summary &amp; Working File(AllCcy)'!P214,BS_RE33!$N$7:$N$874,'Summary &amp; Working File(AllCcy)'!$Q$10)+SUMIF($P$13:$P$19,P214,$Q$13:$Q$19),2)</f>
        <v>0</v>
      </c>
      <c r="R214" s="242">
        <f>ROUND(SUMIFS(BS_RE33!$U$7:$U$874,BS_RE33!$S$7:$S$874,'Summary &amp; Working File(AllCcy)'!P214,BS_RE33!$N$7:$N$874,'Summary &amp; Working File(AllCcy)'!$R$10)+SUMIF($P$13:$P$19,P214,$R$13:$R$19),2)</f>
        <v>0</v>
      </c>
    </row>
    <row r="215" spans="2:18">
      <c r="B215" s="243">
        <f t="shared" ref="B215:C230" si="65">B214+1</f>
        <v>195</v>
      </c>
      <c r="C215" s="247">
        <f t="shared" si="65"/>
        <v>46252</v>
      </c>
      <c r="D215" s="245">
        <f t="shared" ref="D215:D268" si="66">D214</f>
        <v>0</v>
      </c>
      <c r="E215" s="235">
        <f t="shared" si="48"/>
        <v>0</v>
      </c>
      <c r="F215" s="236">
        <f t="shared" si="61"/>
        <v>0</v>
      </c>
      <c r="G215" s="237">
        <f t="shared" si="60"/>
        <v>0</v>
      </c>
      <c r="H215" s="273">
        <f t="shared" si="58"/>
        <v>0</v>
      </c>
      <c r="I215" s="587">
        <f t="shared" si="59"/>
        <v>0</v>
      </c>
      <c r="J215" s="237">
        <f t="shared" si="62"/>
        <v>0</v>
      </c>
      <c r="K215" s="269">
        <f t="shared" si="53"/>
        <v>0</v>
      </c>
      <c r="L215" s="239">
        <f t="shared" si="63"/>
        <v>0</v>
      </c>
      <c r="M215" s="275" t="e">
        <f t="shared" si="64"/>
        <v>#DIV/0!</v>
      </c>
      <c r="N215" s="3"/>
      <c r="O215" s="1">
        <f t="shared" ref="O215:P230" si="67">O214+1</f>
        <v>195</v>
      </c>
      <c r="P215" s="182">
        <f t="shared" si="67"/>
        <v>46252</v>
      </c>
      <c r="Q215" s="241">
        <f>ROUND(SUMIFS(BS_RE33!$U$7:$U$874,BS_RE33!$S$7:$S$874,'Summary &amp; Working File(AllCcy)'!P215,BS_RE33!$N$7:$N$874,'Summary &amp; Working File(AllCcy)'!$Q$10)+SUMIF($P$13:$P$19,P215,$Q$13:$Q$19),2)</f>
        <v>0</v>
      </c>
      <c r="R215" s="242">
        <f>ROUND(SUMIFS(BS_RE33!$U$7:$U$874,BS_RE33!$S$7:$S$874,'Summary &amp; Working File(AllCcy)'!P215,BS_RE33!$N$7:$N$874,'Summary &amp; Working File(AllCcy)'!$R$10)+SUMIF($P$13:$P$19,P215,$R$13:$R$19),2)</f>
        <v>0</v>
      </c>
    </row>
    <row r="216" spans="2:18">
      <c r="B216" s="243">
        <f t="shared" si="65"/>
        <v>196</v>
      </c>
      <c r="C216" s="247">
        <f t="shared" si="65"/>
        <v>46253</v>
      </c>
      <c r="D216" s="245">
        <f t="shared" si="66"/>
        <v>0</v>
      </c>
      <c r="E216" s="235">
        <f t="shared" si="48"/>
        <v>0</v>
      </c>
      <c r="F216" s="236">
        <f t="shared" si="61"/>
        <v>0</v>
      </c>
      <c r="G216" s="237">
        <f t="shared" si="60"/>
        <v>0</v>
      </c>
      <c r="H216" s="273">
        <f t="shared" si="58"/>
        <v>0</v>
      </c>
      <c r="I216" s="587">
        <f t="shared" si="59"/>
        <v>0</v>
      </c>
      <c r="J216" s="237">
        <f t="shared" si="62"/>
        <v>0</v>
      </c>
      <c r="K216" s="269">
        <f t="shared" si="53"/>
        <v>0</v>
      </c>
      <c r="L216" s="239">
        <f t="shared" si="63"/>
        <v>0</v>
      </c>
      <c r="M216" s="275" t="e">
        <f t="shared" si="64"/>
        <v>#DIV/0!</v>
      </c>
      <c r="N216" s="3"/>
      <c r="O216" s="1">
        <f t="shared" si="67"/>
        <v>196</v>
      </c>
      <c r="P216" s="182">
        <f t="shared" si="67"/>
        <v>46253</v>
      </c>
      <c r="Q216" s="241">
        <f>ROUND(SUMIFS(BS_RE33!$U$7:$U$874,BS_RE33!$S$7:$S$874,'Summary &amp; Working File(AllCcy)'!P216,BS_RE33!$N$7:$N$874,'Summary &amp; Working File(AllCcy)'!$Q$10)+SUMIF($P$13:$P$19,P216,$Q$13:$Q$19),2)</f>
        <v>0</v>
      </c>
      <c r="R216" s="242">
        <f>ROUND(SUMIFS(BS_RE33!$U$7:$U$874,BS_RE33!$S$7:$S$874,'Summary &amp; Working File(AllCcy)'!P216,BS_RE33!$N$7:$N$874,'Summary &amp; Working File(AllCcy)'!$R$10)+SUMIF($P$13:$P$19,P216,$R$13:$R$19),2)</f>
        <v>0</v>
      </c>
    </row>
    <row r="217" spans="2:18">
      <c r="B217" s="243">
        <f t="shared" si="65"/>
        <v>197</v>
      </c>
      <c r="C217" s="247">
        <f t="shared" si="65"/>
        <v>46254</v>
      </c>
      <c r="D217" s="245">
        <f t="shared" si="66"/>
        <v>0</v>
      </c>
      <c r="E217" s="235">
        <f t="shared" si="48"/>
        <v>0</v>
      </c>
      <c r="F217" s="236">
        <f t="shared" si="61"/>
        <v>0</v>
      </c>
      <c r="G217" s="237">
        <f t="shared" si="60"/>
        <v>0</v>
      </c>
      <c r="H217" s="273">
        <f t="shared" si="58"/>
        <v>0</v>
      </c>
      <c r="I217" s="587">
        <f t="shared" si="59"/>
        <v>0</v>
      </c>
      <c r="J217" s="237">
        <f t="shared" si="62"/>
        <v>0</v>
      </c>
      <c r="K217" s="269">
        <f t="shared" si="53"/>
        <v>0</v>
      </c>
      <c r="L217" s="239">
        <f t="shared" si="63"/>
        <v>0</v>
      </c>
      <c r="M217" s="275" t="e">
        <f t="shared" si="64"/>
        <v>#DIV/0!</v>
      </c>
      <c r="N217" s="3"/>
      <c r="O217" s="1">
        <f t="shared" si="67"/>
        <v>197</v>
      </c>
      <c r="P217" s="182">
        <f t="shared" si="67"/>
        <v>46254</v>
      </c>
      <c r="Q217" s="241">
        <f>ROUND(SUMIFS(BS_RE33!$U$7:$U$874,BS_RE33!$S$7:$S$874,'Summary &amp; Working File(AllCcy)'!P217,BS_RE33!$N$7:$N$874,'Summary &amp; Working File(AllCcy)'!$Q$10)+SUMIF($P$13:$P$19,P217,$Q$13:$Q$19),2)</f>
        <v>0</v>
      </c>
      <c r="R217" s="242">
        <f>ROUND(SUMIFS(BS_RE33!$U$7:$U$874,BS_RE33!$S$7:$S$874,'Summary &amp; Working File(AllCcy)'!P217,BS_RE33!$N$7:$N$874,'Summary &amp; Working File(AllCcy)'!$R$10)+SUMIF($P$13:$P$19,P217,$R$13:$R$19),2)</f>
        <v>0</v>
      </c>
    </row>
    <row r="218" spans="2:18">
      <c r="B218" s="243">
        <f t="shared" si="65"/>
        <v>198</v>
      </c>
      <c r="C218" s="247">
        <f t="shared" si="65"/>
        <v>46255</v>
      </c>
      <c r="D218" s="245">
        <f t="shared" si="66"/>
        <v>0</v>
      </c>
      <c r="E218" s="235">
        <f>$Q$11+SUM(Q219:Q248)</f>
        <v>0</v>
      </c>
      <c r="F218" s="236">
        <f t="shared" si="61"/>
        <v>0</v>
      </c>
      <c r="G218" s="237">
        <f t="shared" si="60"/>
        <v>0</v>
      </c>
      <c r="H218" s="273">
        <f t="shared" si="58"/>
        <v>0</v>
      </c>
      <c r="I218" s="587">
        <f t="shared" si="59"/>
        <v>0</v>
      </c>
      <c r="J218" s="237">
        <f t="shared" si="62"/>
        <v>0</v>
      </c>
      <c r="K218" s="269">
        <f t="shared" si="53"/>
        <v>0</v>
      </c>
      <c r="L218" s="239">
        <f t="shared" si="63"/>
        <v>0</v>
      </c>
      <c r="M218" s="275" t="e">
        <f t="shared" si="64"/>
        <v>#DIV/0!</v>
      </c>
      <c r="N218" s="3"/>
      <c r="O218" s="1">
        <f t="shared" si="67"/>
        <v>198</v>
      </c>
      <c r="P218" s="182">
        <f t="shared" si="67"/>
        <v>46255</v>
      </c>
      <c r="Q218" s="241">
        <f>ROUND(SUMIFS(BS_RE33!$U$7:$U$874,BS_RE33!$S$7:$S$874,'Summary &amp; Working File(AllCcy)'!P218,BS_RE33!$N$7:$N$874,'Summary &amp; Working File(AllCcy)'!$Q$10)+SUMIF($P$13:$P$19,P218,$Q$13:$Q$19),2)</f>
        <v>0</v>
      </c>
      <c r="R218" s="242">
        <f>ROUND(SUMIFS(BS_RE33!$U$7:$U$874,BS_RE33!$S$7:$S$874,'Summary &amp; Working File(AllCcy)'!P218,BS_RE33!$N$7:$N$874,'Summary &amp; Working File(AllCcy)'!$R$10)+SUMIF($P$13:$P$19,P218,$R$13:$R$19),2)</f>
        <v>0</v>
      </c>
    </row>
    <row r="219" spans="2:18">
      <c r="B219" s="243">
        <f t="shared" si="65"/>
        <v>199</v>
      </c>
      <c r="C219" s="247">
        <f t="shared" si="65"/>
        <v>46256</v>
      </c>
      <c r="D219" s="245">
        <f t="shared" si="66"/>
        <v>0</v>
      </c>
      <c r="E219" s="235">
        <f t="shared" si="48"/>
        <v>0</v>
      </c>
      <c r="F219" s="236">
        <f t="shared" si="61"/>
        <v>0</v>
      </c>
      <c r="G219" s="237">
        <f t="shared" si="60"/>
        <v>0</v>
      </c>
      <c r="H219" s="273">
        <f t="shared" si="58"/>
        <v>0</v>
      </c>
      <c r="I219" s="587">
        <f t="shared" si="59"/>
        <v>0</v>
      </c>
      <c r="J219" s="237">
        <f t="shared" si="62"/>
        <v>0</v>
      </c>
      <c r="K219" s="269">
        <f t="shared" si="53"/>
        <v>0</v>
      </c>
      <c r="L219" s="239">
        <f t="shared" si="63"/>
        <v>0</v>
      </c>
      <c r="M219" s="275" t="e">
        <f t="shared" si="64"/>
        <v>#DIV/0!</v>
      </c>
      <c r="N219" s="3"/>
      <c r="O219" s="1">
        <f t="shared" si="67"/>
        <v>199</v>
      </c>
      <c r="P219" s="182">
        <f t="shared" si="67"/>
        <v>46256</v>
      </c>
      <c r="Q219" s="241">
        <f>ROUND(SUMIFS(BS_RE33!$U$7:$U$874,BS_RE33!$S$7:$S$874,'Summary &amp; Working File(AllCcy)'!P219,BS_RE33!$N$7:$N$874,'Summary &amp; Working File(AllCcy)'!$Q$10)+SUMIF($P$13:$P$19,P219,$Q$13:$Q$19),2)</f>
        <v>0</v>
      </c>
      <c r="R219" s="242">
        <f>ROUND(SUMIFS(BS_RE33!$U$7:$U$874,BS_RE33!$S$7:$S$874,'Summary &amp; Working File(AllCcy)'!P219,BS_RE33!$N$7:$N$874,'Summary &amp; Working File(AllCcy)'!$R$10)+SUMIF($P$13:$P$19,P219,$R$13:$R$19),2)</f>
        <v>0</v>
      </c>
    </row>
    <row r="220" spans="2:18">
      <c r="B220" s="243">
        <f t="shared" si="65"/>
        <v>200</v>
      </c>
      <c r="C220" s="247">
        <f t="shared" si="65"/>
        <v>46257</v>
      </c>
      <c r="D220" s="245">
        <f t="shared" si="66"/>
        <v>0</v>
      </c>
      <c r="E220" s="235">
        <f t="shared" si="48"/>
        <v>0</v>
      </c>
      <c r="F220" s="236">
        <f t="shared" si="61"/>
        <v>0</v>
      </c>
      <c r="G220" s="237">
        <f t="shared" si="60"/>
        <v>0</v>
      </c>
      <c r="H220" s="273">
        <f t="shared" si="58"/>
        <v>0</v>
      </c>
      <c r="I220" s="587">
        <f t="shared" si="59"/>
        <v>0</v>
      </c>
      <c r="J220" s="237">
        <f t="shared" si="62"/>
        <v>0</v>
      </c>
      <c r="K220" s="269">
        <f t="shared" si="53"/>
        <v>0</v>
      </c>
      <c r="L220" s="239">
        <f t="shared" si="63"/>
        <v>0</v>
      </c>
      <c r="M220" s="275" t="e">
        <f t="shared" si="64"/>
        <v>#DIV/0!</v>
      </c>
      <c r="N220" s="3"/>
      <c r="O220" s="1">
        <f t="shared" si="67"/>
        <v>200</v>
      </c>
      <c r="P220" s="182">
        <f t="shared" si="67"/>
        <v>46257</v>
      </c>
      <c r="Q220" s="241">
        <f>ROUND(SUMIFS(BS_RE33!$U$7:$U$874,BS_RE33!$S$7:$S$874,'Summary &amp; Working File(AllCcy)'!P220,BS_RE33!$N$7:$N$874,'Summary &amp; Working File(AllCcy)'!$Q$10)+SUMIF($P$13:$P$19,P220,$Q$13:$Q$19),2)</f>
        <v>0</v>
      </c>
      <c r="R220" s="242">
        <f>ROUND(SUMIFS(BS_RE33!$U$7:$U$874,BS_RE33!$S$7:$S$874,'Summary &amp; Working File(AllCcy)'!P220,BS_RE33!$N$7:$N$874,'Summary &amp; Working File(AllCcy)'!$R$10)+SUMIF($P$13:$P$19,P220,$R$13:$R$19),2)</f>
        <v>0</v>
      </c>
    </row>
    <row r="221" spans="2:18">
      <c r="B221" s="243">
        <f t="shared" si="65"/>
        <v>201</v>
      </c>
      <c r="C221" s="247">
        <f t="shared" si="65"/>
        <v>46258</v>
      </c>
      <c r="D221" s="245">
        <f t="shared" si="66"/>
        <v>0</v>
      </c>
      <c r="E221" s="235">
        <f t="shared" si="48"/>
        <v>0</v>
      </c>
      <c r="F221" s="236">
        <f t="shared" si="61"/>
        <v>0</v>
      </c>
      <c r="G221" s="237">
        <f t="shared" si="60"/>
        <v>0</v>
      </c>
      <c r="H221" s="273">
        <f t="shared" si="58"/>
        <v>0</v>
      </c>
      <c r="I221" s="587">
        <f t="shared" si="59"/>
        <v>0</v>
      </c>
      <c r="J221" s="237">
        <f t="shared" si="62"/>
        <v>0</v>
      </c>
      <c r="K221" s="269">
        <f t="shared" si="53"/>
        <v>0</v>
      </c>
      <c r="L221" s="239">
        <f t="shared" si="63"/>
        <v>0</v>
      </c>
      <c r="M221" s="275" t="e">
        <f t="shared" si="64"/>
        <v>#DIV/0!</v>
      </c>
      <c r="N221" s="3"/>
      <c r="O221" s="1">
        <f t="shared" si="67"/>
        <v>201</v>
      </c>
      <c r="P221" s="182">
        <f t="shared" si="67"/>
        <v>46258</v>
      </c>
      <c r="Q221" s="241">
        <f>ROUND(SUMIFS(BS_RE33!$U$7:$U$874,BS_RE33!$S$7:$S$874,'Summary &amp; Working File(AllCcy)'!P221,BS_RE33!$N$7:$N$874,'Summary &amp; Working File(AllCcy)'!$Q$10)+SUMIF($P$13:$P$19,P221,$Q$13:$Q$19),2)</f>
        <v>0</v>
      </c>
      <c r="R221" s="242">
        <f>ROUND(SUMIFS(BS_RE33!$U$7:$U$874,BS_RE33!$S$7:$S$874,'Summary &amp; Working File(AllCcy)'!P221,BS_RE33!$N$7:$N$874,'Summary &amp; Working File(AllCcy)'!$R$10)+SUMIF($P$13:$P$19,P221,$R$13:$R$19),2)</f>
        <v>0</v>
      </c>
    </row>
    <row r="222" spans="2:18">
      <c r="B222" s="243">
        <f t="shared" si="65"/>
        <v>202</v>
      </c>
      <c r="C222" s="247">
        <f t="shared" si="65"/>
        <v>46259</v>
      </c>
      <c r="D222" s="245">
        <f t="shared" si="66"/>
        <v>0</v>
      </c>
      <c r="E222" s="235">
        <f t="shared" si="48"/>
        <v>0</v>
      </c>
      <c r="F222" s="236">
        <f t="shared" si="61"/>
        <v>0</v>
      </c>
      <c r="G222" s="237">
        <f t="shared" si="60"/>
        <v>0</v>
      </c>
      <c r="H222" s="273">
        <f t="shared" si="58"/>
        <v>0</v>
      </c>
      <c r="I222" s="587">
        <f t="shared" si="59"/>
        <v>0</v>
      </c>
      <c r="J222" s="237">
        <f t="shared" si="62"/>
        <v>0</v>
      </c>
      <c r="K222" s="269">
        <f t="shared" si="53"/>
        <v>0</v>
      </c>
      <c r="L222" s="239">
        <f t="shared" si="63"/>
        <v>0</v>
      </c>
      <c r="M222" s="275" t="e">
        <f t="shared" si="64"/>
        <v>#DIV/0!</v>
      </c>
      <c r="N222" s="3"/>
      <c r="O222" s="1">
        <f t="shared" si="67"/>
        <v>202</v>
      </c>
      <c r="P222" s="182">
        <f t="shared" si="67"/>
        <v>46259</v>
      </c>
      <c r="Q222" s="241">
        <f>ROUND(SUMIFS(BS_RE33!$U$7:$U$874,BS_RE33!$S$7:$S$874,'Summary &amp; Working File(AllCcy)'!P222,BS_RE33!$N$7:$N$874,'Summary &amp; Working File(AllCcy)'!$Q$10)+SUMIF($P$13:$P$19,P222,$Q$13:$Q$19),2)</f>
        <v>0</v>
      </c>
      <c r="R222" s="242">
        <f>ROUND(SUMIFS(BS_RE33!$U$7:$U$874,BS_RE33!$S$7:$S$874,'Summary &amp; Working File(AllCcy)'!P222,BS_RE33!$N$7:$N$874,'Summary &amp; Working File(AllCcy)'!$R$10)+SUMIF($P$13:$P$19,P222,$R$13:$R$19),2)</f>
        <v>0</v>
      </c>
    </row>
    <row r="223" spans="2:18">
      <c r="B223" s="243">
        <f t="shared" si="65"/>
        <v>203</v>
      </c>
      <c r="C223" s="247">
        <f t="shared" si="65"/>
        <v>46260</v>
      </c>
      <c r="D223" s="245">
        <f t="shared" si="66"/>
        <v>0</v>
      </c>
      <c r="E223" s="235">
        <f t="shared" si="48"/>
        <v>0</v>
      </c>
      <c r="F223" s="236">
        <f t="shared" si="61"/>
        <v>0</v>
      </c>
      <c r="G223" s="237">
        <f t="shared" si="60"/>
        <v>0</v>
      </c>
      <c r="H223" s="273">
        <f t="shared" si="58"/>
        <v>0</v>
      </c>
      <c r="I223" s="587">
        <f t="shared" si="59"/>
        <v>0</v>
      </c>
      <c r="J223" s="237">
        <f t="shared" si="62"/>
        <v>0</v>
      </c>
      <c r="K223" s="269">
        <f t="shared" si="53"/>
        <v>0</v>
      </c>
      <c r="L223" s="239">
        <f t="shared" si="63"/>
        <v>0</v>
      </c>
      <c r="M223" s="275" t="e">
        <f t="shared" si="64"/>
        <v>#DIV/0!</v>
      </c>
      <c r="N223" s="3"/>
      <c r="O223" s="1">
        <f t="shared" si="67"/>
        <v>203</v>
      </c>
      <c r="P223" s="182">
        <f t="shared" si="67"/>
        <v>46260</v>
      </c>
      <c r="Q223" s="241">
        <f>ROUND(SUMIFS(BS_RE33!$U$7:$U$874,BS_RE33!$S$7:$S$874,'Summary &amp; Working File(AllCcy)'!P223,BS_RE33!$N$7:$N$874,'Summary &amp; Working File(AllCcy)'!$Q$10)+SUMIF($P$13:$P$19,P223,$Q$13:$Q$19),2)</f>
        <v>0</v>
      </c>
      <c r="R223" s="242">
        <f>ROUND(SUMIFS(BS_RE33!$U$7:$U$874,BS_RE33!$S$7:$S$874,'Summary &amp; Working File(AllCcy)'!P223,BS_RE33!$N$7:$N$874,'Summary &amp; Working File(AllCcy)'!$R$10)+SUMIF($P$13:$P$19,P223,$R$13:$R$19),2)</f>
        <v>0</v>
      </c>
    </row>
    <row r="224" spans="2:18">
      <c r="B224" s="243">
        <f t="shared" si="65"/>
        <v>204</v>
      </c>
      <c r="C224" s="247">
        <f t="shared" si="65"/>
        <v>46261</v>
      </c>
      <c r="D224" s="245">
        <f t="shared" si="66"/>
        <v>0</v>
      </c>
      <c r="E224" s="235">
        <f t="shared" si="48"/>
        <v>0</v>
      </c>
      <c r="F224" s="236">
        <f t="shared" si="61"/>
        <v>0</v>
      </c>
      <c r="G224" s="237">
        <f t="shared" si="60"/>
        <v>0</v>
      </c>
      <c r="H224" s="273">
        <f t="shared" si="58"/>
        <v>0</v>
      </c>
      <c r="I224" s="587">
        <f t="shared" si="59"/>
        <v>0</v>
      </c>
      <c r="J224" s="237">
        <f t="shared" si="62"/>
        <v>0</v>
      </c>
      <c r="K224" s="269">
        <f t="shared" si="53"/>
        <v>0</v>
      </c>
      <c r="L224" s="239">
        <f t="shared" si="63"/>
        <v>0</v>
      </c>
      <c r="M224" s="275" t="e">
        <f t="shared" si="64"/>
        <v>#DIV/0!</v>
      </c>
      <c r="N224" s="3"/>
      <c r="O224" s="1">
        <f t="shared" si="67"/>
        <v>204</v>
      </c>
      <c r="P224" s="182">
        <f t="shared" si="67"/>
        <v>46261</v>
      </c>
      <c r="Q224" s="241">
        <f>ROUND(SUMIFS(BS_RE33!$U$7:$U$874,BS_RE33!$S$7:$S$874,'Summary &amp; Working File(AllCcy)'!P224,BS_RE33!$N$7:$N$874,'Summary &amp; Working File(AllCcy)'!$Q$10)+SUMIF($P$13:$P$19,P224,$Q$13:$Q$19),2)</f>
        <v>0</v>
      </c>
      <c r="R224" s="242">
        <f>ROUND(SUMIFS(BS_RE33!$U$7:$U$874,BS_RE33!$S$7:$S$874,'Summary &amp; Working File(AllCcy)'!P224,BS_RE33!$N$7:$N$874,'Summary &amp; Working File(AllCcy)'!$R$10)+SUMIF($P$13:$P$19,P224,$R$13:$R$19),2)</f>
        <v>0</v>
      </c>
    </row>
    <row r="225" spans="2:18">
      <c r="B225" s="243">
        <f t="shared" si="65"/>
        <v>205</v>
      </c>
      <c r="C225" s="247">
        <f t="shared" si="65"/>
        <v>46262</v>
      </c>
      <c r="D225" s="245">
        <f t="shared" si="66"/>
        <v>0</v>
      </c>
      <c r="E225" s="235">
        <f t="shared" si="48"/>
        <v>0</v>
      </c>
      <c r="F225" s="236">
        <f t="shared" si="61"/>
        <v>0</v>
      </c>
      <c r="G225" s="237">
        <f t="shared" si="60"/>
        <v>0</v>
      </c>
      <c r="H225" s="273">
        <f t="shared" si="58"/>
        <v>0</v>
      </c>
      <c r="I225" s="587">
        <f t="shared" si="59"/>
        <v>0</v>
      </c>
      <c r="J225" s="237">
        <f t="shared" si="62"/>
        <v>0</v>
      </c>
      <c r="K225" s="269">
        <f t="shared" si="53"/>
        <v>0</v>
      </c>
      <c r="L225" s="239">
        <f t="shared" si="63"/>
        <v>0</v>
      </c>
      <c r="M225" s="275" t="e">
        <f t="shared" si="64"/>
        <v>#DIV/0!</v>
      </c>
      <c r="N225" s="3"/>
      <c r="O225" s="1">
        <f t="shared" si="67"/>
        <v>205</v>
      </c>
      <c r="P225" s="182">
        <f t="shared" si="67"/>
        <v>46262</v>
      </c>
      <c r="Q225" s="241">
        <f>ROUND(SUMIFS(BS_RE33!$U$7:$U$874,BS_RE33!$S$7:$S$874,'Summary &amp; Working File(AllCcy)'!P225,BS_RE33!$N$7:$N$874,'Summary &amp; Working File(AllCcy)'!$Q$10)+SUMIF($P$13:$P$19,P225,$Q$13:$Q$19),2)</f>
        <v>0</v>
      </c>
      <c r="R225" s="242">
        <f>ROUND(SUMIFS(BS_RE33!$U$7:$U$874,BS_RE33!$S$7:$S$874,'Summary &amp; Working File(AllCcy)'!P225,BS_RE33!$N$7:$N$874,'Summary &amp; Working File(AllCcy)'!$R$10)+SUMIF($P$13:$P$19,P225,$R$13:$R$19),2)</f>
        <v>0</v>
      </c>
    </row>
    <row r="226" spans="2:18">
      <c r="B226" s="243">
        <f t="shared" si="65"/>
        <v>206</v>
      </c>
      <c r="C226" s="247">
        <f t="shared" si="65"/>
        <v>46263</v>
      </c>
      <c r="D226" s="245">
        <f t="shared" si="66"/>
        <v>0</v>
      </c>
      <c r="E226" s="235">
        <f t="shared" si="48"/>
        <v>0</v>
      </c>
      <c r="F226" s="236">
        <f t="shared" si="61"/>
        <v>0</v>
      </c>
      <c r="G226" s="237">
        <f t="shared" si="60"/>
        <v>0</v>
      </c>
      <c r="H226" s="273">
        <f t="shared" si="58"/>
        <v>0</v>
      </c>
      <c r="I226" s="587">
        <f t="shared" si="59"/>
        <v>0</v>
      </c>
      <c r="J226" s="237">
        <f t="shared" si="62"/>
        <v>0</v>
      </c>
      <c r="K226" s="269">
        <f t="shared" si="53"/>
        <v>0</v>
      </c>
      <c r="L226" s="239">
        <f t="shared" si="63"/>
        <v>0</v>
      </c>
      <c r="M226" s="275" t="e">
        <f t="shared" si="64"/>
        <v>#DIV/0!</v>
      </c>
      <c r="N226" s="3"/>
      <c r="O226" s="1">
        <f t="shared" si="67"/>
        <v>206</v>
      </c>
      <c r="P226" s="182">
        <f t="shared" si="67"/>
        <v>46263</v>
      </c>
      <c r="Q226" s="241">
        <f>ROUND(SUMIFS(BS_RE33!$U$7:$U$874,BS_RE33!$S$7:$S$874,'Summary &amp; Working File(AllCcy)'!P226,BS_RE33!$N$7:$N$874,'Summary &amp; Working File(AllCcy)'!$Q$10)+SUMIF($P$13:$P$19,P226,$Q$13:$Q$19),2)</f>
        <v>0</v>
      </c>
      <c r="R226" s="242">
        <f>ROUND(SUMIFS(BS_RE33!$U$7:$U$874,BS_RE33!$S$7:$S$874,'Summary &amp; Working File(AllCcy)'!P226,BS_RE33!$N$7:$N$874,'Summary &amp; Working File(AllCcy)'!$R$10)+SUMIF($P$13:$P$19,P226,$R$13:$R$19),2)</f>
        <v>0</v>
      </c>
    </row>
    <row r="227" spans="2:18">
      <c r="B227" s="243">
        <f t="shared" si="65"/>
        <v>207</v>
      </c>
      <c r="C227" s="247">
        <f t="shared" si="65"/>
        <v>46264</v>
      </c>
      <c r="D227" s="245">
        <f t="shared" si="66"/>
        <v>0</v>
      </c>
      <c r="E227" s="235">
        <f t="shared" si="48"/>
        <v>0</v>
      </c>
      <c r="F227" s="236">
        <f t="shared" si="61"/>
        <v>0</v>
      </c>
      <c r="G227" s="237">
        <f t="shared" si="60"/>
        <v>0</v>
      </c>
      <c r="H227" s="273">
        <f t="shared" si="58"/>
        <v>0</v>
      </c>
      <c r="I227" s="587">
        <f t="shared" si="59"/>
        <v>0</v>
      </c>
      <c r="J227" s="237">
        <f t="shared" si="62"/>
        <v>0</v>
      </c>
      <c r="K227" s="269">
        <f t="shared" si="53"/>
        <v>0</v>
      </c>
      <c r="L227" s="239">
        <f t="shared" si="63"/>
        <v>0</v>
      </c>
      <c r="M227" s="275" t="e">
        <f t="shared" si="64"/>
        <v>#DIV/0!</v>
      </c>
      <c r="N227" s="3"/>
      <c r="O227" s="1">
        <f t="shared" si="67"/>
        <v>207</v>
      </c>
      <c r="P227" s="182">
        <f t="shared" si="67"/>
        <v>46264</v>
      </c>
      <c r="Q227" s="241">
        <f>ROUND(SUMIFS(BS_RE33!$U$7:$U$874,BS_RE33!$S$7:$S$874,'Summary &amp; Working File(AllCcy)'!P227,BS_RE33!$N$7:$N$874,'Summary &amp; Working File(AllCcy)'!$Q$10)+SUMIF($P$13:$P$19,P227,$Q$13:$Q$19),2)</f>
        <v>0</v>
      </c>
      <c r="R227" s="242">
        <f>ROUND(SUMIFS(BS_RE33!$U$7:$U$874,BS_RE33!$S$7:$S$874,'Summary &amp; Working File(AllCcy)'!P227,BS_RE33!$N$7:$N$874,'Summary &amp; Working File(AllCcy)'!$R$10)+SUMIF($P$13:$P$19,P227,$R$13:$R$19),2)</f>
        <v>0</v>
      </c>
    </row>
    <row r="228" spans="2:18">
      <c r="B228" s="243">
        <f t="shared" si="65"/>
        <v>208</v>
      </c>
      <c r="C228" s="247">
        <f t="shared" si="65"/>
        <v>46265</v>
      </c>
      <c r="D228" s="245">
        <f t="shared" si="66"/>
        <v>0</v>
      </c>
      <c r="E228" s="235">
        <f t="shared" si="48"/>
        <v>0</v>
      </c>
      <c r="F228" s="236">
        <f t="shared" si="61"/>
        <v>0</v>
      </c>
      <c r="G228" s="237">
        <f t="shared" si="60"/>
        <v>0</v>
      </c>
      <c r="H228" s="273">
        <f t="shared" si="58"/>
        <v>0</v>
      </c>
      <c r="I228" s="587">
        <f t="shared" si="59"/>
        <v>0</v>
      </c>
      <c r="J228" s="237">
        <f t="shared" si="62"/>
        <v>0</v>
      </c>
      <c r="K228" s="269">
        <f t="shared" si="53"/>
        <v>0</v>
      </c>
      <c r="L228" s="239">
        <f t="shared" si="63"/>
        <v>0</v>
      </c>
      <c r="M228" s="275" t="e">
        <f t="shared" si="64"/>
        <v>#DIV/0!</v>
      </c>
      <c r="N228" s="3"/>
      <c r="O228" s="1">
        <f t="shared" si="67"/>
        <v>208</v>
      </c>
      <c r="P228" s="182">
        <f t="shared" si="67"/>
        <v>46265</v>
      </c>
      <c r="Q228" s="241">
        <f>ROUND(SUMIFS(BS_RE33!$U$7:$U$874,BS_RE33!$S$7:$S$874,'Summary &amp; Working File(AllCcy)'!P228,BS_RE33!$N$7:$N$874,'Summary &amp; Working File(AllCcy)'!$Q$10)+SUMIF($P$13:$P$19,P228,$Q$13:$Q$19),2)</f>
        <v>0</v>
      </c>
      <c r="R228" s="242">
        <f>ROUND(SUMIFS(BS_RE33!$U$7:$U$874,BS_RE33!$S$7:$S$874,'Summary &amp; Working File(AllCcy)'!P228,BS_RE33!$N$7:$N$874,'Summary &amp; Working File(AllCcy)'!$R$10)+SUMIF($P$13:$P$19,P228,$R$13:$R$19),2)</f>
        <v>0</v>
      </c>
    </row>
    <row r="229" spans="2:18">
      <c r="B229" s="243">
        <f t="shared" si="65"/>
        <v>209</v>
      </c>
      <c r="C229" s="247">
        <f t="shared" si="65"/>
        <v>46266</v>
      </c>
      <c r="D229" s="245">
        <f t="shared" si="66"/>
        <v>0</v>
      </c>
      <c r="E229" s="235">
        <f>$Q$11+SUM(Q230:Q259)</f>
        <v>0</v>
      </c>
      <c r="F229" s="236">
        <f t="shared" si="61"/>
        <v>0</v>
      </c>
      <c r="G229" s="237">
        <f t="shared" si="60"/>
        <v>0</v>
      </c>
      <c r="H229" s="273">
        <f t="shared" si="58"/>
        <v>0</v>
      </c>
      <c r="I229" s="587">
        <f t="shared" si="59"/>
        <v>0</v>
      </c>
      <c r="J229" s="237">
        <f t="shared" si="62"/>
        <v>0</v>
      </c>
      <c r="K229" s="269">
        <f t="shared" si="53"/>
        <v>0</v>
      </c>
      <c r="L229" s="239">
        <f t="shared" si="63"/>
        <v>0</v>
      </c>
      <c r="M229" s="275" t="e">
        <f t="shared" si="64"/>
        <v>#DIV/0!</v>
      </c>
      <c r="N229" s="3"/>
      <c r="O229" s="1">
        <f t="shared" si="67"/>
        <v>209</v>
      </c>
      <c r="P229" s="182">
        <f t="shared" si="67"/>
        <v>46266</v>
      </c>
      <c r="Q229" s="241">
        <f>ROUND(SUMIFS(BS_RE33!$U$7:$U$874,BS_RE33!$S$7:$S$874,'Summary &amp; Working File(AllCcy)'!P229,BS_RE33!$N$7:$N$874,'Summary &amp; Working File(AllCcy)'!$Q$10)+SUMIF($P$13:$P$19,P229,$Q$13:$Q$19),2)</f>
        <v>0</v>
      </c>
      <c r="R229" s="242">
        <f>ROUND(SUMIFS(BS_RE33!$U$7:$U$874,BS_RE33!$S$7:$S$874,'Summary &amp; Working File(AllCcy)'!P229,BS_RE33!$N$7:$N$874,'Summary &amp; Working File(AllCcy)'!$R$10)+SUMIF($P$13:$P$19,P229,$R$13:$R$19),2)</f>
        <v>0</v>
      </c>
    </row>
    <row r="230" spans="2:18">
      <c r="B230" s="243">
        <f t="shared" si="65"/>
        <v>210</v>
      </c>
      <c r="C230" s="247">
        <f>C229+1</f>
        <v>46267</v>
      </c>
      <c r="D230" s="245">
        <f t="shared" si="66"/>
        <v>0</v>
      </c>
      <c r="E230" s="235">
        <f t="shared" ref="E230:E264" si="68">$Q$11+SUM(Q231:Q260)</f>
        <v>0</v>
      </c>
      <c r="F230" s="236">
        <f t="shared" si="61"/>
        <v>0</v>
      </c>
      <c r="G230" s="237">
        <f t="shared" si="60"/>
        <v>0</v>
      </c>
      <c r="H230" s="273">
        <f t="shared" si="58"/>
        <v>0</v>
      </c>
      <c r="I230" s="587">
        <f t="shared" si="59"/>
        <v>0</v>
      </c>
      <c r="J230" s="237">
        <f t="shared" si="62"/>
        <v>0</v>
      </c>
      <c r="K230" s="269">
        <f t="shared" si="53"/>
        <v>0</v>
      </c>
      <c r="L230" s="239">
        <f t="shared" si="63"/>
        <v>0</v>
      </c>
      <c r="M230" s="275" t="e">
        <f t="shared" si="64"/>
        <v>#DIV/0!</v>
      </c>
      <c r="N230" s="3"/>
      <c r="O230" s="1">
        <f t="shared" si="67"/>
        <v>210</v>
      </c>
      <c r="P230" s="182">
        <f t="shared" si="67"/>
        <v>46267</v>
      </c>
      <c r="Q230" s="241">
        <f>ROUND(SUMIFS(BS_RE33!$U$7:$U$874,BS_RE33!$S$7:$S$874,'Summary &amp; Working File(AllCcy)'!P230,BS_RE33!$N$7:$N$874,'Summary &amp; Working File(AllCcy)'!$Q$10)+SUMIF($P$13:$P$19,P230,$Q$13:$Q$19),2)</f>
        <v>0</v>
      </c>
      <c r="R230" s="242">
        <f>ROUND(SUMIFS(BS_RE33!$U$7:$U$874,BS_RE33!$S$7:$S$874,'Summary &amp; Working File(AllCcy)'!P230,BS_RE33!$N$7:$N$874,'Summary &amp; Working File(AllCcy)'!$R$10)+SUMIF($P$13:$P$19,P230,$R$13:$R$19),2)</f>
        <v>0</v>
      </c>
    </row>
    <row r="231" spans="2:18">
      <c r="B231" s="243">
        <f t="shared" ref="B231:C246" si="69">B230+1</f>
        <v>211</v>
      </c>
      <c r="C231" s="247">
        <f t="shared" si="69"/>
        <v>46268</v>
      </c>
      <c r="D231" s="245">
        <f t="shared" si="66"/>
        <v>0</v>
      </c>
      <c r="E231" s="235">
        <f t="shared" si="68"/>
        <v>0</v>
      </c>
      <c r="F231" s="236">
        <f t="shared" si="61"/>
        <v>0</v>
      </c>
      <c r="G231" s="237">
        <f t="shared" si="60"/>
        <v>0</v>
      </c>
      <c r="H231" s="273">
        <f t="shared" si="58"/>
        <v>0</v>
      </c>
      <c r="I231" s="587">
        <f t="shared" si="59"/>
        <v>0</v>
      </c>
      <c r="J231" s="237">
        <f t="shared" si="62"/>
        <v>0</v>
      </c>
      <c r="K231" s="269">
        <f t="shared" si="53"/>
        <v>0</v>
      </c>
      <c r="L231" s="239">
        <f t="shared" si="63"/>
        <v>0</v>
      </c>
      <c r="M231" s="275" t="e">
        <f t="shared" si="64"/>
        <v>#DIV/0!</v>
      </c>
      <c r="N231" s="3"/>
      <c r="O231" s="1">
        <f t="shared" ref="O231:P246" si="70">O230+1</f>
        <v>211</v>
      </c>
      <c r="P231" s="182">
        <f t="shared" si="70"/>
        <v>46268</v>
      </c>
      <c r="Q231" s="241">
        <f>ROUND(SUMIFS(BS_RE33!$U$7:$U$874,BS_RE33!$S$7:$S$874,'Summary &amp; Working File(AllCcy)'!P231,BS_RE33!$N$7:$N$874,'Summary &amp; Working File(AllCcy)'!$Q$10)+SUMIF($P$13:$P$19,P231,$Q$13:$Q$19),2)</f>
        <v>0</v>
      </c>
      <c r="R231" s="242">
        <f>ROUND(SUMIFS(BS_RE33!$U$7:$U$874,BS_RE33!$S$7:$S$874,'Summary &amp; Working File(AllCcy)'!P231,BS_RE33!$N$7:$N$874,'Summary &amp; Working File(AllCcy)'!$R$10)+SUMIF($P$13:$P$19,P231,$R$13:$R$19),2)</f>
        <v>0</v>
      </c>
    </row>
    <row r="232" spans="2:18">
      <c r="B232" s="243">
        <f t="shared" si="69"/>
        <v>212</v>
      </c>
      <c r="C232" s="247">
        <f t="shared" si="69"/>
        <v>46269</v>
      </c>
      <c r="D232" s="245">
        <f t="shared" si="66"/>
        <v>0</v>
      </c>
      <c r="E232" s="235">
        <f t="shared" si="68"/>
        <v>0</v>
      </c>
      <c r="F232" s="236">
        <f t="shared" si="61"/>
        <v>0</v>
      </c>
      <c r="G232" s="237">
        <f t="shared" si="60"/>
        <v>0</v>
      </c>
      <c r="H232" s="273">
        <f t="shared" si="58"/>
        <v>0</v>
      </c>
      <c r="I232" s="587">
        <f t="shared" si="59"/>
        <v>0</v>
      </c>
      <c r="J232" s="237">
        <f t="shared" si="62"/>
        <v>0</v>
      </c>
      <c r="K232" s="269">
        <f t="shared" si="53"/>
        <v>0</v>
      </c>
      <c r="L232" s="239">
        <f t="shared" si="63"/>
        <v>0</v>
      </c>
      <c r="M232" s="275" t="e">
        <f t="shared" si="64"/>
        <v>#DIV/0!</v>
      </c>
      <c r="N232" s="3"/>
      <c r="O232" s="1">
        <f t="shared" si="70"/>
        <v>212</v>
      </c>
      <c r="P232" s="182">
        <f t="shared" si="70"/>
        <v>46269</v>
      </c>
      <c r="Q232" s="241">
        <f>ROUND(SUMIFS(BS_RE33!$U$7:$U$874,BS_RE33!$S$7:$S$874,'Summary &amp; Working File(AllCcy)'!P232,BS_RE33!$N$7:$N$874,'Summary &amp; Working File(AllCcy)'!$Q$10)+SUMIF($P$13:$P$19,P232,$Q$13:$Q$19),2)</f>
        <v>0</v>
      </c>
      <c r="R232" s="242">
        <f>ROUND(SUMIFS(BS_RE33!$U$7:$U$874,BS_RE33!$S$7:$S$874,'Summary &amp; Working File(AllCcy)'!P232,BS_RE33!$N$7:$N$874,'Summary &amp; Working File(AllCcy)'!$R$10)+SUMIF($P$13:$P$19,P232,$R$13:$R$19),2)</f>
        <v>0</v>
      </c>
    </row>
    <row r="233" spans="2:18">
      <c r="B233" s="243">
        <f t="shared" si="69"/>
        <v>213</v>
      </c>
      <c r="C233" s="247">
        <f t="shared" si="69"/>
        <v>46270</v>
      </c>
      <c r="D233" s="245">
        <f t="shared" si="66"/>
        <v>0</v>
      </c>
      <c r="E233" s="235">
        <f t="shared" si="68"/>
        <v>0</v>
      </c>
      <c r="F233" s="236">
        <f t="shared" si="61"/>
        <v>0</v>
      </c>
      <c r="G233" s="237">
        <f t="shared" si="60"/>
        <v>0</v>
      </c>
      <c r="H233" s="273">
        <f t="shared" si="58"/>
        <v>0</v>
      </c>
      <c r="I233" s="587">
        <f t="shared" si="59"/>
        <v>0</v>
      </c>
      <c r="J233" s="237">
        <f t="shared" si="62"/>
        <v>0</v>
      </c>
      <c r="K233" s="269">
        <f t="shared" si="53"/>
        <v>0</v>
      </c>
      <c r="L233" s="239">
        <f t="shared" si="63"/>
        <v>0</v>
      </c>
      <c r="M233" s="275" t="e">
        <f t="shared" si="64"/>
        <v>#DIV/0!</v>
      </c>
      <c r="N233" s="3"/>
      <c r="O233" s="1">
        <f t="shared" si="70"/>
        <v>213</v>
      </c>
      <c r="P233" s="182">
        <f t="shared" si="70"/>
        <v>46270</v>
      </c>
      <c r="Q233" s="241">
        <f>ROUND(SUMIFS(BS_RE33!$U$7:$U$874,BS_RE33!$S$7:$S$874,'Summary &amp; Working File(AllCcy)'!P233,BS_RE33!$N$7:$N$874,'Summary &amp; Working File(AllCcy)'!$Q$10)+SUMIF($P$13:$P$19,P233,$Q$13:$Q$19),2)</f>
        <v>0</v>
      </c>
      <c r="R233" s="242">
        <f>ROUND(SUMIFS(BS_RE33!$U$7:$U$874,BS_RE33!$S$7:$S$874,'Summary &amp; Working File(AllCcy)'!P233,BS_RE33!$N$7:$N$874,'Summary &amp; Working File(AllCcy)'!$R$10)+SUMIF($P$13:$P$19,P233,$R$13:$R$19),2)</f>
        <v>0</v>
      </c>
    </row>
    <row r="234" spans="2:18">
      <c r="B234" s="243">
        <f t="shared" si="69"/>
        <v>214</v>
      </c>
      <c r="C234" s="247">
        <f t="shared" si="69"/>
        <v>46271</v>
      </c>
      <c r="D234" s="245">
        <f t="shared" si="66"/>
        <v>0</v>
      </c>
      <c r="E234" s="235">
        <f t="shared" si="68"/>
        <v>0</v>
      </c>
      <c r="F234" s="236">
        <f t="shared" si="61"/>
        <v>0</v>
      </c>
      <c r="G234" s="237">
        <f t="shared" si="60"/>
        <v>0</v>
      </c>
      <c r="H234" s="273">
        <f t="shared" si="58"/>
        <v>0</v>
      </c>
      <c r="I234" s="587">
        <f t="shared" si="59"/>
        <v>0</v>
      </c>
      <c r="J234" s="237">
        <f t="shared" si="62"/>
        <v>0</v>
      </c>
      <c r="K234" s="269">
        <f t="shared" si="53"/>
        <v>0</v>
      </c>
      <c r="L234" s="239">
        <f t="shared" si="63"/>
        <v>0</v>
      </c>
      <c r="M234" s="275" t="e">
        <f t="shared" si="64"/>
        <v>#DIV/0!</v>
      </c>
      <c r="N234" s="3"/>
      <c r="O234" s="1">
        <f t="shared" si="70"/>
        <v>214</v>
      </c>
      <c r="P234" s="182">
        <f t="shared" si="70"/>
        <v>46271</v>
      </c>
      <c r="Q234" s="241">
        <f>ROUND(SUMIFS(BS_RE33!$U$7:$U$874,BS_RE33!$S$7:$S$874,'Summary &amp; Working File(AllCcy)'!P234,BS_RE33!$N$7:$N$874,'Summary &amp; Working File(AllCcy)'!$Q$10)+SUMIF($P$13:$P$19,P234,$Q$13:$Q$19),2)</f>
        <v>0</v>
      </c>
      <c r="R234" s="242">
        <f>ROUND(SUMIFS(BS_RE33!$U$7:$U$874,BS_RE33!$S$7:$S$874,'Summary &amp; Working File(AllCcy)'!P234,BS_RE33!$N$7:$N$874,'Summary &amp; Working File(AllCcy)'!$R$10)+SUMIF($P$13:$P$19,P234,$R$13:$R$19),2)</f>
        <v>0</v>
      </c>
    </row>
    <row r="235" spans="2:18">
      <c r="B235" s="243">
        <f t="shared" si="69"/>
        <v>215</v>
      </c>
      <c r="C235" s="247">
        <f t="shared" si="69"/>
        <v>46272</v>
      </c>
      <c r="D235" s="245">
        <f t="shared" si="66"/>
        <v>0</v>
      </c>
      <c r="E235" s="235">
        <f t="shared" si="68"/>
        <v>0</v>
      </c>
      <c r="F235" s="236">
        <f t="shared" si="61"/>
        <v>0</v>
      </c>
      <c r="G235" s="237">
        <f t="shared" si="60"/>
        <v>0</v>
      </c>
      <c r="H235" s="273">
        <f t="shared" si="58"/>
        <v>0</v>
      </c>
      <c r="I235" s="587">
        <f t="shared" si="59"/>
        <v>0</v>
      </c>
      <c r="J235" s="237">
        <f t="shared" si="62"/>
        <v>0</v>
      </c>
      <c r="K235" s="269">
        <f t="shared" si="53"/>
        <v>0</v>
      </c>
      <c r="L235" s="239">
        <f t="shared" si="63"/>
        <v>0</v>
      </c>
      <c r="M235" s="275" t="e">
        <f t="shared" si="64"/>
        <v>#DIV/0!</v>
      </c>
      <c r="N235" s="3"/>
      <c r="O235" s="1">
        <f t="shared" si="70"/>
        <v>215</v>
      </c>
      <c r="P235" s="182">
        <f t="shared" si="70"/>
        <v>46272</v>
      </c>
      <c r="Q235" s="241">
        <f>ROUND(SUMIFS(BS_RE33!$U$7:$U$874,BS_RE33!$S$7:$S$874,'Summary &amp; Working File(AllCcy)'!P235,BS_RE33!$N$7:$N$874,'Summary &amp; Working File(AllCcy)'!$Q$10)+SUMIF($P$13:$P$19,P235,$Q$13:$Q$19),2)</f>
        <v>0</v>
      </c>
      <c r="R235" s="242">
        <f>ROUND(SUMIFS(BS_RE33!$U$7:$U$874,BS_RE33!$S$7:$S$874,'Summary &amp; Working File(AllCcy)'!P235,BS_RE33!$N$7:$N$874,'Summary &amp; Working File(AllCcy)'!$R$10)+SUMIF($P$13:$P$19,P235,$R$13:$R$19),2)</f>
        <v>0</v>
      </c>
    </row>
    <row r="236" spans="2:18">
      <c r="B236" s="243">
        <f t="shared" si="69"/>
        <v>216</v>
      </c>
      <c r="C236" s="247">
        <f t="shared" si="69"/>
        <v>46273</v>
      </c>
      <c r="D236" s="245">
        <f t="shared" si="66"/>
        <v>0</v>
      </c>
      <c r="E236" s="235">
        <f t="shared" si="68"/>
        <v>0</v>
      </c>
      <c r="F236" s="236">
        <f t="shared" si="61"/>
        <v>0</v>
      </c>
      <c r="G236" s="237">
        <f t="shared" si="60"/>
        <v>0</v>
      </c>
      <c r="H236" s="273">
        <f t="shared" si="58"/>
        <v>0</v>
      </c>
      <c r="I236" s="587">
        <f t="shared" si="59"/>
        <v>0</v>
      </c>
      <c r="J236" s="237">
        <f t="shared" si="62"/>
        <v>0</v>
      </c>
      <c r="K236" s="269">
        <f t="shared" si="53"/>
        <v>0</v>
      </c>
      <c r="L236" s="239">
        <f t="shared" si="63"/>
        <v>0</v>
      </c>
      <c r="M236" s="275" t="e">
        <f t="shared" si="64"/>
        <v>#DIV/0!</v>
      </c>
      <c r="N236" s="3"/>
      <c r="O236" s="1">
        <f t="shared" si="70"/>
        <v>216</v>
      </c>
      <c r="P236" s="182">
        <f t="shared" si="70"/>
        <v>46273</v>
      </c>
      <c r="Q236" s="241">
        <f>ROUND(SUMIFS(BS_RE33!$U$7:$U$874,BS_RE33!$S$7:$S$874,'Summary &amp; Working File(AllCcy)'!P236,BS_RE33!$N$7:$N$874,'Summary &amp; Working File(AllCcy)'!$Q$10)+SUMIF($P$13:$P$19,P236,$Q$13:$Q$19),2)</f>
        <v>0</v>
      </c>
      <c r="R236" s="242">
        <f>ROUND(SUMIFS(BS_RE33!$U$7:$U$874,BS_RE33!$S$7:$S$874,'Summary &amp; Working File(AllCcy)'!P236,BS_RE33!$N$7:$N$874,'Summary &amp; Working File(AllCcy)'!$R$10)+SUMIF($P$13:$P$19,P236,$R$13:$R$19),2)</f>
        <v>0</v>
      </c>
    </row>
    <row r="237" spans="2:18">
      <c r="B237" s="243">
        <f t="shared" si="69"/>
        <v>217</v>
      </c>
      <c r="C237" s="247">
        <f t="shared" si="69"/>
        <v>46274</v>
      </c>
      <c r="D237" s="245">
        <f t="shared" si="66"/>
        <v>0</v>
      </c>
      <c r="E237" s="235">
        <f t="shared" si="68"/>
        <v>0</v>
      </c>
      <c r="F237" s="236">
        <f t="shared" si="61"/>
        <v>0</v>
      </c>
      <c r="G237" s="237">
        <f t="shared" si="60"/>
        <v>0</v>
      </c>
      <c r="H237" s="273">
        <f t="shared" si="58"/>
        <v>0</v>
      </c>
      <c r="I237" s="587">
        <f t="shared" si="59"/>
        <v>0</v>
      </c>
      <c r="J237" s="237">
        <f t="shared" si="62"/>
        <v>0</v>
      </c>
      <c r="K237" s="269">
        <f t="shared" si="53"/>
        <v>0</v>
      </c>
      <c r="L237" s="239">
        <f t="shared" si="63"/>
        <v>0</v>
      </c>
      <c r="M237" s="275" t="e">
        <f t="shared" si="64"/>
        <v>#DIV/0!</v>
      </c>
      <c r="N237" s="3"/>
      <c r="O237" s="1">
        <f t="shared" si="70"/>
        <v>217</v>
      </c>
      <c r="P237" s="182">
        <f t="shared" si="70"/>
        <v>46274</v>
      </c>
      <c r="Q237" s="241">
        <f>ROUND(SUMIFS(BS_RE33!$U$7:$U$874,BS_RE33!$S$7:$S$874,'Summary &amp; Working File(AllCcy)'!P237,BS_RE33!$N$7:$N$874,'Summary &amp; Working File(AllCcy)'!$Q$10)+SUMIF($P$13:$P$19,P237,$Q$13:$Q$19),2)</f>
        <v>0</v>
      </c>
      <c r="R237" s="242">
        <f>ROUND(SUMIFS(BS_RE33!$U$7:$U$874,BS_RE33!$S$7:$S$874,'Summary &amp; Working File(AllCcy)'!P237,BS_RE33!$N$7:$N$874,'Summary &amp; Working File(AllCcy)'!$R$10)+SUMIF($P$13:$P$19,P237,$R$13:$R$19),2)</f>
        <v>0</v>
      </c>
    </row>
    <row r="238" spans="2:18">
      <c r="B238" s="243">
        <f t="shared" si="69"/>
        <v>218</v>
      </c>
      <c r="C238" s="247">
        <f t="shared" si="69"/>
        <v>46275</v>
      </c>
      <c r="D238" s="245">
        <f t="shared" si="66"/>
        <v>0</v>
      </c>
      <c r="E238" s="235">
        <f t="shared" si="68"/>
        <v>0</v>
      </c>
      <c r="F238" s="236">
        <f t="shared" si="61"/>
        <v>0</v>
      </c>
      <c r="G238" s="237">
        <f t="shared" si="60"/>
        <v>0</v>
      </c>
      <c r="H238" s="273">
        <f t="shared" si="58"/>
        <v>0</v>
      </c>
      <c r="I238" s="587">
        <f t="shared" si="59"/>
        <v>0</v>
      </c>
      <c r="J238" s="237">
        <f t="shared" si="62"/>
        <v>0</v>
      </c>
      <c r="K238" s="269">
        <f t="shared" si="53"/>
        <v>0</v>
      </c>
      <c r="L238" s="239">
        <f t="shared" si="63"/>
        <v>0</v>
      </c>
      <c r="M238" s="275" t="e">
        <f t="shared" si="64"/>
        <v>#DIV/0!</v>
      </c>
      <c r="N238" s="3"/>
      <c r="O238" s="1">
        <f t="shared" si="70"/>
        <v>218</v>
      </c>
      <c r="P238" s="182">
        <f t="shared" si="70"/>
        <v>46275</v>
      </c>
      <c r="Q238" s="241">
        <f>ROUND(SUMIFS(BS_RE33!$U$7:$U$874,BS_RE33!$S$7:$S$874,'Summary &amp; Working File(AllCcy)'!P238,BS_RE33!$N$7:$N$874,'Summary &amp; Working File(AllCcy)'!$Q$10)+SUMIF($P$13:$P$19,P238,$Q$13:$Q$19),2)</f>
        <v>0</v>
      </c>
      <c r="R238" s="242">
        <f>ROUND(SUMIFS(BS_RE33!$U$7:$U$874,BS_RE33!$S$7:$S$874,'Summary &amp; Working File(AllCcy)'!P238,BS_RE33!$N$7:$N$874,'Summary &amp; Working File(AllCcy)'!$R$10)+SUMIF($P$13:$P$19,P238,$R$13:$R$19),2)</f>
        <v>0</v>
      </c>
    </row>
    <row r="239" spans="2:18">
      <c r="B239" s="243">
        <f t="shared" si="69"/>
        <v>219</v>
      </c>
      <c r="C239" s="247">
        <f t="shared" si="69"/>
        <v>46276</v>
      </c>
      <c r="D239" s="245">
        <f t="shared" si="66"/>
        <v>0</v>
      </c>
      <c r="E239" s="235">
        <f t="shared" si="68"/>
        <v>0</v>
      </c>
      <c r="F239" s="236">
        <f t="shared" si="61"/>
        <v>0</v>
      </c>
      <c r="G239" s="237">
        <f t="shared" si="60"/>
        <v>0</v>
      </c>
      <c r="H239" s="273">
        <f t="shared" si="58"/>
        <v>0</v>
      </c>
      <c r="I239" s="587">
        <f t="shared" si="59"/>
        <v>0</v>
      </c>
      <c r="J239" s="237">
        <f t="shared" si="62"/>
        <v>0</v>
      </c>
      <c r="K239" s="269">
        <f t="shared" si="53"/>
        <v>0</v>
      </c>
      <c r="L239" s="239">
        <f t="shared" si="63"/>
        <v>0</v>
      </c>
      <c r="M239" s="275" t="e">
        <f t="shared" si="64"/>
        <v>#DIV/0!</v>
      </c>
      <c r="N239" s="3"/>
      <c r="O239" s="1">
        <f t="shared" si="70"/>
        <v>219</v>
      </c>
      <c r="P239" s="182">
        <f t="shared" si="70"/>
        <v>46276</v>
      </c>
      <c r="Q239" s="241">
        <f>ROUND(SUMIFS(BS_RE33!$U$7:$U$874,BS_RE33!$S$7:$S$874,'Summary &amp; Working File(AllCcy)'!P239,BS_RE33!$N$7:$N$874,'Summary &amp; Working File(AllCcy)'!$Q$10)+SUMIF($P$13:$P$19,P239,$Q$13:$Q$19),2)</f>
        <v>0</v>
      </c>
      <c r="R239" s="242">
        <f>ROUND(SUMIFS(BS_RE33!$U$7:$U$874,BS_RE33!$S$7:$S$874,'Summary &amp; Working File(AllCcy)'!P239,BS_RE33!$N$7:$N$874,'Summary &amp; Working File(AllCcy)'!$R$10)+SUMIF($P$13:$P$19,P239,$R$13:$R$19),2)</f>
        <v>0</v>
      </c>
    </row>
    <row r="240" spans="2:18">
      <c r="B240" s="243">
        <f t="shared" si="69"/>
        <v>220</v>
      </c>
      <c r="C240" s="247">
        <f t="shared" si="69"/>
        <v>46277</v>
      </c>
      <c r="D240" s="245">
        <f t="shared" si="66"/>
        <v>0</v>
      </c>
      <c r="E240" s="235">
        <f t="shared" si="68"/>
        <v>0</v>
      </c>
      <c r="F240" s="236">
        <f t="shared" si="61"/>
        <v>0</v>
      </c>
      <c r="G240" s="237">
        <f t="shared" si="60"/>
        <v>0</v>
      </c>
      <c r="H240" s="273">
        <f t="shared" si="58"/>
        <v>0</v>
      </c>
      <c r="I240" s="587">
        <f t="shared" si="59"/>
        <v>0</v>
      </c>
      <c r="J240" s="237">
        <f t="shared" si="62"/>
        <v>0</v>
      </c>
      <c r="K240" s="269">
        <f>MIN(SUM(I240:J240),H240*75%)</f>
        <v>0</v>
      </c>
      <c r="L240" s="239">
        <f t="shared" si="63"/>
        <v>0</v>
      </c>
      <c r="M240" s="275" t="e">
        <f t="shared" si="64"/>
        <v>#DIV/0!</v>
      </c>
      <c r="N240" s="3"/>
      <c r="O240" s="1">
        <f t="shared" si="70"/>
        <v>220</v>
      </c>
      <c r="P240" s="182">
        <f t="shared" si="70"/>
        <v>46277</v>
      </c>
      <c r="Q240" s="241">
        <f>ROUND(SUMIFS(BS_RE33!$U$7:$U$874,BS_RE33!$S$7:$S$874,'Summary &amp; Working File(AllCcy)'!P240,BS_RE33!$N$7:$N$874,'Summary &amp; Working File(AllCcy)'!$Q$10)+SUMIF($P$13:$P$19,P240,$Q$13:$Q$19),2)</f>
        <v>0</v>
      </c>
      <c r="R240" s="242">
        <f>ROUND(SUMIFS(BS_RE33!$U$7:$U$874,BS_RE33!$S$7:$S$874,'Summary &amp; Working File(AllCcy)'!P240,BS_RE33!$N$7:$N$874,'Summary &amp; Working File(AllCcy)'!$R$10)+SUMIF($P$13:$P$19,P240,$R$13:$R$19),2)</f>
        <v>0</v>
      </c>
    </row>
    <row r="241" spans="2:18">
      <c r="B241" s="243">
        <f t="shared" si="69"/>
        <v>221</v>
      </c>
      <c r="C241" s="247">
        <f t="shared" si="69"/>
        <v>46278</v>
      </c>
      <c r="D241" s="245">
        <f t="shared" si="66"/>
        <v>0</v>
      </c>
      <c r="E241" s="235">
        <f t="shared" si="68"/>
        <v>0</v>
      </c>
      <c r="F241" s="236">
        <f t="shared" si="61"/>
        <v>0</v>
      </c>
      <c r="G241" s="237">
        <f t="shared" si="60"/>
        <v>0</v>
      </c>
      <c r="H241" s="273">
        <f t="shared" si="58"/>
        <v>0</v>
      </c>
      <c r="I241" s="587">
        <f t="shared" si="59"/>
        <v>0</v>
      </c>
      <c r="J241" s="237">
        <f t="shared" si="62"/>
        <v>0</v>
      </c>
      <c r="K241" s="269">
        <f t="shared" si="53"/>
        <v>0</v>
      </c>
      <c r="L241" s="239">
        <f t="shared" si="63"/>
        <v>0</v>
      </c>
      <c r="M241" s="275" t="e">
        <f t="shared" si="64"/>
        <v>#DIV/0!</v>
      </c>
      <c r="N241" s="3"/>
      <c r="O241" s="1">
        <f t="shared" si="70"/>
        <v>221</v>
      </c>
      <c r="P241" s="820">
        <f t="shared" si="70"/>
        <v>46278</v>
      </c>
      <c r="Q241" s="241">
        <f>ROUND(SUMIFS(BS_RE33!$U$7:$U$874,BS_RE33!$S$7:$S$874,'Summary &amp; Working File(AllCcy)'!P241,BS_RE33!$N$7:$N$874,'Summary &amp; Working File(AllCcy)'!$Q$10)+SUMIF($P$13:$P$19,P241,$Q$13:$Q$19),2)</f>
        <v>0</v>
      </c>
      <c r="R241" s="242">
        <f>ROUND(SUMIFS(BS_RE33!$U$7:$U$874,BS_RE33!$S$7:$S$874,'Summary &amp; Working File(AllCcy)'!P241,BS_RE33!$N$7:$N$874,'Summary &amp; Working File(AllCcy)'!$R$10)+SUMIF($P$13:$P$19,P241,$R$13:$R$19),2)</f>
        <v>0</v>
      </c>
    </row>
    <row r="242" spans="2:18">
      <c r="B242" s="243">
        <f t="shared" si="69"/>
        <v>222</v>
      </c>
      <c r="C242" s="247">
        <f t="shared" si="69"/>
        <v>46279</v>
      </c>
      <c r="D242" s="245">
        <f t="shared" si="66"/>
        <v>0</v>
      </c>
      <c r="E242" s="235">
        <f t="shared" si="68"/>
        <v>0</v>
      </c>
      <c r="F242" s="236">
        <f t="shared" si="61"/>
        <v>0</v>
      </c>
      <c r="G242" s="237">
        <f t="shared" si="60"/>
        <v>0</v>
      </c>
      <c r="H242" s="273">
        <f t="shared" si="58"/>
        <v>0</v>
      </c>
      <c r="I242" s="587">
        <f t="shared" si="59"/>
        <v>0</v>
      </c>
      <c r="J242" s="237">
        <f t="shared" si="62"/>
        <v>0</v>
      </c>
      <c r="K242" s="269">
        <f t="shared" ref="K242:K264" si="71">MIN(SUM(I242:J242),H242*75%)</f>
        <v>0</v>
      </c>
      <c r="L242" s="239">
        <f t="shared" si="63"/>
        <v>0</v>
      </c>
      <c r="M242" s="275" t="e">
        <f t="shared" si="64"/>
        <v>#DIV/0!</v>
      </c>
      <c r="N242" s="3"/>
      <c r="O242" s="1">
        <f t="shared" si="70"/>
        <v>222</v>
      </c>
      <c r="P242" s="820">
        <f t="shared" si="70"/>
        <v>46279</v>
      </c>
      <c r="Q242" s="241">
        <f>ROUND(SUMIFS(BS_RE33!$U$7:$U$874,BS_RE33!$S$7:$S$874,'Summary &amp; Working File(AllCcy)'!P242,BS_RE33!$N$7:$N$874,'Summary &amp; Working File(AllCcy)'!$Q$10)+SUMIF($P$13:$P$19,P242,$Q$13:$Q$19),2)</f>
        <v>0</v>
      </c>
      <c r="R242" s="242">
        <f>ROUND(SUMIFS(BS_RE33!$U$7:$U$874,BS_RE33!$S$7:$S$874,'Summary &amp; Working File(AllCcy)'!P242,BS_RE33!$N$7:$N$874,'Summary &amp; Working File(AllCcy)'!$R$10)+SUMIF($P$13:$P$19,P242,$R$13:$R$19),2)</f>
        <v>0</v>
      </c>
    </row>
    <row r="243" spans="2:18">
      <c r="B243" s="243">
        <f t="shared" si="69"/>
        <v>223</v>
      </c>
      <c r="C243" s="247">
        <f t="shared" si="69"/>
        <v>46280</v>
      </c>
      <c r="D243" s="245">
        <f t="shared" si="66"/>
        <v>0</v>
      </c>
      <c r="E243" s="235">
        <f t="shared" si="68"/>
        <v>0</v>
      </c>
      <c r="F243" s="236">
        <f t="shared" si="61"/>
        <v>0</v>
      </c>
      <c r="G243" s="237">
        <f t="shared" si="60"/>
        <v>0</v>
      </c>
      <c r="H243" s="273">
        <f t="shared" si="58"/>
        <v>0</v>
      </c>
      <c r="I243" s="587">
        <f t="shared" si="59"/>
        <v>0</v>
      </c>
      <c r="J243" s="237">
        <f t="shared" si="62"/>
        <v>0</v>
      </c>
      <c r="K243" s="269">
        <f t="shared" si="71"/>
        <v>0</v>
      </c>
      <c r="L243" s="239">
        <f t="shared" si="63"/>
        <v>0</v>
      </c>
      <c r="M243" s="275" t="e">
        <f t="shared" si="64"/>
        <v>#DIV/0!</v>
      </c>
      <c r="N243" s="3"/>
      <c r="O243" s="1">
        <f t="shared" si="70"/>
        <v>223</v>
      </c>
      <c r="P243" s="818">
        <f t="shared" si="70"/>
        <v>46280</v>
      </c>
      <c r="Q243" s="241">
        <f>ROUND(SUMIFS(BS_RE33!$U$7:$U$874,BS_RE33!$S$7:$S$874,'Summary &amp; Working File(AllCcy)'!P243,BS_RE33!$N$7:$N$874,'Summary &amp; Working File(AllCcy)'!$Q$10)+SUMIF($P$13:$P$19,P243,$Q$13:$Q$19),2)</f>
        <v>0</v>
      </c>
      <c r="R243" s="242">
        <f>ROUND(SUMIFS(BS_RE33!$U$7:$U$874,BS_RE33!$S$7:$S$874,'Summary &amp; Working File(AllCcy)'!P243,BS_RE33!$N$7:$N$874,'Summary &amp; Working File(AllCcy)'!$R$10)+SUMIF($P$13:$P$19,P243,$R$13:$R$19),2)</f>
        <v>0</v>
      </c>
    </row>
    <row r="244" spans="2:18">
      <c r="B244" s="243">
        <f t="shared" si="69"/>
        <v>224</v>
      </c>
      <c r="C244" s="247">
        <f t="shared" si="69"/>
        <v>46281</v>
      </c>
      <c r="D244" s="245">
        <f t="shared" si="66"/>
        <v>0</v>
      </c>
      <c r="E244" s="235">
        <f t="shared" si="68"/>
        <v>0</v>
      </c>
      <c r="F244" s="236">
        <f t="shared" si="61"/>
        <v>0</v>
      </c>
      <c r="G244" s="237">
        <f t="shared" si="60"/>
        <v>0</v>
      </c>
      <c r="H244" s="273">
        <f t="shared" si="58"/>
        <v>0</v>
      </c>
      <c r="I244" s="587">
        <f t="shared" si="59"/>
        <v>0</v>
      </c>
      <c r="J244" s="237">
        <f t="shared" si="62"/>
        <v>0</v>
      </c>
      <c r="K244" s="269">
        <f t="shared" si="71"/>
        <v>0</v>
      </c>
      <c r="L244" s="239">
        <f t="shared" si="63"/>
        <v>0</v>
      </c>
      <c r="M244" s="275" t="e">
        <f t="shared" si="64"/>
        <v>#DIV/0!</v>
      </c>
      <c r="N244" s="3"/>
      <c r="O244" s="1">
        <f t="shared" si="70"/>
        <v>224</v>
      </c>
      <c r="P244" s="818">
        <f t="shared" si="70"/>
        <v>46281</v>
      </c>
      <c r="Q244" s="241">
        <f>ROUND(SUMIFS(BS_RE33!$U$7:$U$874,BS_RE33!$S$7:$S$874,'Summary &amp; Working File(AllCcy)'!P244,BS_RE33!$N$7:$N$874,'Summary &amp; Working File(AllCcy)'!$Q$10)+SUMIF($P$13:$P$19,P244,$Q$13:$Q$19),2)</f>
        <v>0</v>
      </c>
      <c r="R244" s="242">
        <f>ROUND(SUMIFS(BS_RE33!$U$7:$U$874,BS_RE33!$S$7:$S$874,'Summary &amp; Working File(AllCcy)'!P244,BS_RE33!$N$7:$N$874,'Summary &amp; Working File(AllCcy)'!$R$10)+SUMIF($P$13:$P$19,P244,$R$13:$R$19),2)</f>
        <v>0</v>
      </c>
    </row>
    <row r="245" spans="2:18">
      <c r="B245" s="243">
        <f t="shared" si="69"/>
        <v>225</v>
      </c>
      <c r="C245" s="247">
        <f t="shared" si="69"/>
        <v>46282</v>
      </c>
      <c r="D245" s="245">
        <f t="shared" si="66"/>
        <v>0</v>
      </c>
      <c r="E245" s="235">
        <f t="shared" si="68"/>
        <v>0</v>
      </c>
      <c r="F245" s="236">
        <f t="shared" si="61"/>
        <v>0</v>
      </c>
      <c r="G245" s="237">
        <f t="shared" si="60"/>
        <v>0</v>
      </c>
      <c r="H245" s="273">
        <f t="shared" si="58"/>
        <v>0</v>
      </c>
      <c r="I245" s="587">
        <f t="shared" si="59"/>
        <v>0</v>
      </c>
      <c r="J245" s="237">
        <f t="shared" si="62"/>
        <v>0</v>
      </c>
      <c r="K245" s="269">
        <f t="shared" si="71"/>
        <v>0</v>
      </c>
      <c r="L245" s="239">
        <f t="shared" si="63"/>
        <v>0</v>
      </c>
      <c r="M245" s="275" t="e">
        <f t="shared" si="64"/>
        <v>#DIV/0!</v>
      </c>
      <c r="N245" s="3"/>
      <c r="O245" s="1">
        <f t="shared" si="70"/>
        <v>225</v>
      </c>
      <c r="P245" s="818">
        <f t="shared" si="70"/>
        <v>46282</v>
      </c>
      <c r="Q245" s="241">
        <f>ROUND(SUMIFS(BS_RE33!$U$7:$U$874,BS_RE33!$S$7:$S$874,'Summary &amp; Working File(AllCcy)'!P245,BS_RE33!$N$7:$N$874,'Summary &amp; Working File(AllCcy)'!$Q$10)+SUMIF($P$13:$P$19,P245,$Q$13:$Q$19),2)</f>
        <v>0</v>
      </c>
      <c r="R245" s="242">
        <f>ROUND(SUMIFS(BS_RE33!$U$7:$U$874,BS_RE33!$S$7:$S$874,'Summary &amp; Working File(AllCcy)'!P245,BS_RE33!$N$7:$N$874,'Summary &amp; Working File(AllCcy)'!$R$10)+SUMIF($P$13:$P$19,P245,$R$13:$R$19),2)</f>
        <v>0</v>
      </c>
    </row>
    <row r="246" spans="2:18">
      <c r="B246" s="243">
        <f t="shared" si="69"/>
        <v>226</v>
      </c>
      <c r="C246" s="247">
        <f t="shared" si="69"/>
        <v>46283</v>
      </c>
      <c r="D246" s="245">
        <f t="shared" si="66"/>
        <v>0</v>
      </c>
      <c r="E246" s="235">
        <f t="shared" si="68"/>
        <v>0</v>
      </c>
      <c r="F246" s="236">
        <f t="shared" si="61"/>
        <v>0</v>
      </c>
      <c r="G246" s="237">
        <f t="shared" si="60"/>
        <v>0</v>
      </c>
      <c r="H246" s="273">
        <f t="shared" si="58"/>
        <v>0</v>
      </c>
      <c r="I246" s="587">
        <f t="shared" si="59"/>
        <v>0</v>
      </c>
      <c r="J246" s="237">
        <f t="shared" si="62"/>
        <v>0</v>
      </c>
      <c r="K246" s="269">
        <f>MIN(SUM(I246:J246),H246*75%)</f>
        <v>0</v>
      </c>
      <c r="L246" s="239">
        <f t="shared" si="63"/>
        <v>0</v>
      </c>
      <c r="M246" s="275" t="e">
        <f t="shared" si="64"/>
        <v>#DIV/0!</v>
      </c>
      <c r="N246" s="3"/>
      <c r="O246" s="1">
        <f t="shared" si="70"/>
        <v>226</v>
      </c>
      <c r="P246" s="818">
        <f t="shared" si="70"/>
        <v>46283</v>
      </c>
      <c r="Q246" s="241">
        <f>ROUND(SUMIFS(BS_RE33!$U$7:$U$874,BS_RE33!$S$7:$S$874,'Summary &amp; Working File(AllCcy)'!P246,BS_RE33!$N$7:$N$874,'Summary &amp; Working File(AllCcy)'!$Q$10)+SUMIF($P$13:$P$19,P246,$Q$13:$Q$19),2)</f>
        <v>0</v>
      </c>
      <c r="R246" s="242">
        <f>ROUND(SUMIFS(BS_RE33!$U$7:$U$874,BS_RE33!$S$7:$S$874,'Summary &amp; Working File(AllCcy)'!P246,BS_RE33!$N$7:$N$874,'Summary &amp; Working File(AllCcy)'!$R$10)+SUMIF($P$13:$P$19,P246,$R$13:$R$19),2)</f>
        <v>0</v>
      </c>
    </row>
    <row r="247" spans="2:18">
      <c r="B247" s="243">
        <f t="shared" ref="B247:C262" si="72">B246+1</f>
        <v>227</v>
      </c>
      <c r="C247" s="247">
        <f t="shared" si="72"/>
        <v>46284</v>
      </c>
      <c r="D247" s="245">
        <f t="shared" si="66"/>
        <v>0</v>
      </c>
      <c r="E247" s="235">
        <f t="shared" si="68"/>
        <v>0</v>
      </c>
      <c r="F247" s="236">
        <f t="shared" si="61"/>
        <v>0</v>
      </c>
      <c r="G247" s="237">
        <f t="shared" si="60"/>
        <v>0</v>
      </c>
      <c r="H247" s="273">
        <f t="shared" si="58"/>
        <v>0</v>
      </c>
      <c r="I247" s="587">
        <f t="shared" si="59"/>
        <v>0</v>
      </c>
      <c r="J247" s="237">
        <f t="shared" si="62"/>
        <v>0</v>
      </c>
      <c r="K247" s="269">
        <f t="shared" si="71"/>
        <v>0</v>
      </c>
      <c r="L247" s="239">
        <f t="shared" si="63"/>
        <v>0</v>
      </c>
      <c r="M247" s="275" t="e">
        <f t="shared" si="64"/>
        <v>#DIV/0!</v>
      </c>
      <c r="N247" s="3"/>
      <c r="O247" s="1">
        <f t="shared" ref="O247:P262" si="73">O246+1</f>
        <v>227</v>
      </c>
      <c r="P247" s="818">
        <f t="shared" si="73"/>
        <v>46284</v>
      </c>
      <c r="Q247" s="241">
        <f>ROUND(SUMIFS(BS_RE33!$U$7:$U$874,BS_RE33!$S$7:$S$874,'Summary &amp; Working File(AllCcy)'!P247,BS_RE33!$N$7:$N$874,'Summary &amp; Working File(AllCcy)'!$Q$10)+SUMIF($P$13:$P$19,P247,$Q$13:$Q$19),2)</f>
        <v>0</v>
      </c>
      <c r="R247" s="242">
        <f>ROUND(SUMIFS(BS_RE33!$U$7:$U$874,BS_RE33!$S$7:$S$874,'Summary &amp; Working File(AllCcy)'!P247,BS_RE33!$N$7:$N$874,'Summary &amp; Working File(AllCcy)'!$R$10)+SUMIF($P$13:$P$19,P247,$R$13:$R$19),2)</f>
        <v>0</v>
      </c>
    </row>
    <row r="248" spans="2:18">
      <c r="B248" s="243">
        <f t="shared" si="72"/>
        <v>228</v>
      </c>
      <c r="C248" s="247">
        <f t="shared" si="72"/>
        <v>46285</v>
      </c>
      <c r="D248" s="245">
        <f t="shared" si="66"/>
        <v>0</v>
      </c>
      <c r="E248" s="235">
        <f t="shared" si="68"/>
        <v>0</v>
      </c>
      <c r="F248" s="236">
        <f t="shared" si="61"/>
        <v>0</v>
      </c>
      <c r="G248" s="237">
        <f t="shared" si="60"/>
        <v>0</v>
      </c>
      <c r="H248" s="273">
        <f t="shared" si="58"/>
        <v>0</v>
      </c>
      <c r="I248" s="587">
        <f t="shared" si="59"/>
        <v>0</v>
      </c>
      <c r="J248" s="237">
        <f t="shared" si="62"/>
        <v>0</v>
      </c>
      <c r="K248" s="269">
        <f t="shared" si="71"/>
        <v>0</v>
      </c>
      <c r="L248" s="239">
        <f t="shared" si="63"/>
        <v>0</v>
      </c>
      <c r="M248" s="275" t="e">
        <f t="shared" si="64"/>
        <v>#DIV/0!</v>
      </c>
      <c r="N248" s="3"/>
      <c r="O248" s="1">
        <f t="shared" si="73"/>
        <v>228</v>
      </c>
      <c r="P248" s="182">
        <f t="shared" si="73"/>
        <v>46285</v>
      </c>
      <c r="Q248" s="241">
        <f>ROUND(SUMIFS(BS_RE33!$U$7:$U$874,BS_RE33!$S$7:$S$874,'Summary &amp; Working File(AllCcy)'!P248,BS_RE33!$N$7:$N$874,'Summary &amp; Working File(AllCcy)'!$Q$10)+SUMIF($P$13:$P$19,P248,$Q$13:$Q$19),2)</f>
        <v>0</v>
      </c>
      <c r="R248" s="242">
        <f>ROUND(SUMIFS(BS_RE33!$U$7:$U$874,BS_RE33!$S$7:$S$874,'Summary &amp; Working File(AllCcy)'!P248,BS_RE33!$N$7:$N$874,'Summary &amp; Working File(AllCcy)'!$R$10)+SUMIF($P$13:$P$19,P248,$R$13:$R$19),2)</f>
        <v>0</v>
      </c>
    </row>
    <row r="249" spans="2:18">
      <c r="B249" s="243">
        <f t="shared" si="72"/>
        <v>229</v>
      </c>
      <c r="C249" s="247">
        <f t="shared" si="72"/>
        <v>46286</v>
      </c>
      <c r="D249" s="245">
        <f t="shared" si="66"/>
        <v>0</v>
      </c>
      <c r="E249" s="235">
        <f t="shared" si="68"/>
        <v>0</v>
      </c>
      <c r="F249" s="236">
        <f t="shared" si="61"/>
        <v>0</v>
      </c>
      <c r="G249" s="237">
        <f t="shared" si="60"/>
        <v>0</v>
      </c>
      <c r="H249" s="273">
        <f>SUM(E249:G249)</f>
        <v>0</v>
      </c>
      <c r="I249" s="587">
        <f t="shared" si="59"/>
        <v>0</v>
      </c>
      <c r="J249" s="237">
        <f t="shared" si="62"/>
        <v>0</v>
      </c>
      <c r="K249" s="269">
        <f t="shared" si="71"/>
        <v>0</v>
      </c>
      <c r="L249" s="239">
        <f t="shared" si="63"/>
        <v>0</v>
      </c>
      <c r="M249" s="275" t="e">
        <f t="shared" si="64"/>
        <v>#DIV/0!</v>
      </c>
      <c r="N249" s="3"/>
      <c r="O249" s="1">
        <f t="shared" si="73"/>
        <v>229</v>
      </c>
      <c r="P249" s="182">
        <f t="shared" si="73"/>
        <v>46286</v>
      </c>
      <c r="Q249" s="241">
        <f>ROUND(SUMIFS(BS_RE33!$U$7:$U$874,BS_RE33!$S$7:$S$874,'Summary &amp; Working File(AllCcy)'!P249,BS_RE33!$N$7:$N$874,'Summary &amp; Working File(AllCcy)'!$Q$10)+SUMIF($P$13:$P$19,P249,$Q$13:$Q$19),2)</f>
        <v>0</v>
      </c>
      <c r="R249" s="242">
        <f>ROUND(SUMIFS(BS_RE33!$U$7:$U$874,BS_RE33!$S$7:$S$874,'Summary &amp; Working File(AllCcy)'!P249,BS_RE33!$N$7:$N$874,'Summary &amp; Working File(AllCcy)'!$R$10)+SUMIF($P$13:$P$19,P249,$R$13:$R$19),2)</f>
        <v>0</v>
      </c>
    </row>
    <row r="250" spans="2:18">
      <c r="B250" s="243">
        <f t="shared" si="72"/>
        <v>230</v>
      </c>
      <c r="C250" s="247">
        <f t="shared" si="72"/>
        <v>46287</v>
      </c>
      <c r="D250" s="245">
        <f t="shared" si="66"/>
        <v>0</v>
      </c>
      <c r="E250" s="235">
        <f t="shared" si="68"/>
        <v>0</v>
      </c>
      <c r="F250" s="236">
        <f t="shared" si="61"/>
        <v>0</v>
      </c>
      <c r="G250" s="237">
        <f t="shared" si="60"/>
        <v>0</v>
      </c>
      <c r="H250" s="273">
        <f t="shared" si="58"/>
        <v>0</v>
      </c>
      <c r="I250" s="587">
        <f t="shared" si="59"/>
        <v>0</v>
      </c>
      <c r="J250" s="237">
        <f t="shared" si="62"/>
        <v>0</v>
      </c>
      <c r="K250" s="269">
        <f t="shared" si="71"/>
        <v>0</v>
      </c>
      <c r="L250" s="239">
        <f t="shared" si="63"/>
        <v>0</v>
      </c>
      <c r="M250" s="275" t="e">
        <f t="shared" si="64"/>
        <v>#DIV/0!</v>
      </c>
      <c r="N250" s="3"/>
      <c r="O250" s="1">
        <f t="shared" si="73"/>
        <v>230</v>
      </c>
      <c r="P250" s="182">
        <f t="shared" si="73"/>
        <v>46287</v>
      </c>
      <c r="Q250" s="241">
        <f>ROUND(SUMIFS(BS_RE33!$U$7:$U$874,BS_RE33!$S$7:$S$874,'Summary &amp; Working File(AllCcy)'!P250,BS_RE33!$N$7:$N$874,'Summary &amp; Working File(AllCcy)'!$Q$10)+SUMIF($P$13:$P$19,P250,$Q$13:$Q$19),2)</f>
        <v>0</v>
      </c>
      <c r="R250" s="242">
        <f>ROUND(SUMIFS(BS_RE33!$U$7:$U$874,BS_RE33!$S$7:$S$874,'Summary &amp; Working File(AllCcy)'!P250,BS_RE33!$N$7:$N$874,'Summary &amp; Working File(AllCcy)'!$R$10)+SUMIF($P$13:$P$19,P250,$R$13:$R$19),2)</f>
        <v>0</v>
      </c>
    </row>
    <row r="251" spans="2:18">
      <c r="B251" s="243">
        <f t="shared" si="72"/>
        <v>231</v>
      </c>
      <c r="C251" s="247">
        <f t="shared" si="72"/>
        <v>46288</v>
      </c>
      <c r="D251" s="245">
        <f t="shared" si="66"/>
        <v>0</v>
      </c>
      <c r="E251" s="235">
        <f t="shared" si="68"/>
        <v>0</v>
      </c>
      <c r="F251" s="236">
        <f t="shared" si="61"/>
        <v>0</v>
      </c>
      <c r="G251" s="237">
        <f t="shared" si="60"/>
        <v>0</v>
      </c>
      <c r="H251" s="273">
        <f t="shared" si="58"/>
        <v>0</v>
      </c>
      <c r="I251" s="587">
        <f>$R$11+SUM(R252:R281)</f>
        <v>0</v>
      </c>
      <c r="J251" s="237">
        <f t="shared" si="62"/>
        <v>0</v>
      </c>
      <c r="K251" s="269">
        <f t="shared" si="71"/>
        <v>0</v>
      </c>
      <c r="L251" s="239">
        <f t="shared" si="63"/>
        <v>0</v>
      </c>
      <c r="M251" s="275" t="e">
        <f t="shared" si="64"/>
        <v>#DIV/0!</v>
      </c>
      <c r="N251" s="3"/>
      <c r="O251" s="1">
        <f t="shared" si="73"/>
        <v>231</v>
      </c>
      <c r="P251" s="182">
        <f t="shared" si="73"/>
        <v>46288</v>
      </c>
      <c r="Q251" s="241">
        <f>ROUND(SUMIFS(BS_RE33!$U$7:$U$874,BS_RE33!$S$7:$S$874,'Summary &amp; Working File(AllCcy)'!P251,BS_RE33!$N$7:$N$874,'Summary &amp; Working File(AllCcy)'!$Q$10)+SUMIF($P$13:$P$19,P251,$Q$13:$Q$19),2)</f>
        <v>0</v>
      </c>
      <c r="R251" s="242">
        <f>ROUND(SUMIFS(BS_RE33!$U$7:$U$874,BS_RE33!$S$7:$S$874,'Summary &amp; Working File(AllCcy)'!P251,BS_RE33!$N$7:$N$874,'Summary &amp; Working File(AllCcy)'!$R$10)+SUMIF($P$13:$P$19,P251,$R$13:$R$19),2)</f>
        <v>0</v>
      </c>
    </row>
    <row r="252" spans="2:18">
      <c r="B252" s="243">
        <f t="shared" si="72"/>
        <v>232</v>
      </c>
      <c r="C252" s="247">
        <f t="shared" si="72"/>
        <v>46289</v>
      </c>
      <c r="D252" s="245">
        <f t="shared" si="66"/>
        <v>0</v>
      </c>
      <c r="E252" s="235">
        <f t="shared" si="68"/>
        <v>0</v>
      </c>
      <c r="F252" s="236">
        <f t="shared" si="61"/>
        <v>0</v>
      </c>
      <c r="G252" s="237">
        <f t="shared" si="60"/>
        <v>0</v>
      </c>
      <c r="H252" s="273">
        <f t="shared" si="58"/>
        <v>0</v>
      </c>
      <c r="I252" s="587">
        <f t="shared" si="59"/>
        <v>0</v>
      </c>
      <c r="J252" s="237">
        <f t="shared" si="62"/>
        <v>0</v>
      </c>
      <c r="K252" s="269">
        <f t="shared" si="71"/>
        <v>0</v>
      </c>
      <c r="L252" s="239">
        <f t="shared" si="63"/>
        <v>0</v>
      </c>
      <c r="M252" s="275" t="e">
        <f t="shared" si="64"/>
        <v>#DIV/0!</v>
      </c>
      <c r="N252" s="3"/>
      <c r="O252" s="1">
        <f t="shared" si="73"/>
        <v>232</v>
      </c>
      <c r="P252" s="182">
        <f t="shared" si="73"/>
        <v>46289</v>
      </c>
      <c r="Q252" s="241">
        <f>ROUND(SUMIFS(BS_RE33!$U$7:$U$874,BS_RE33!$S$7:$S$874,'Summary &amp; Working File(AllCcy)'!P252,BS_RE33!$N$7:$N$874,'Summary &amp; Working File(AllCcy)'!$Q$10)+SUMIF($P$13:$P$19,P252,$Q$13:$Q$19),2)</f>
        <v>0</v>
      </c>
      <c r="R252" s="242">
        <f>ROUND(SUMIFS(BS_RE33!$U$7:$U$874,BS_RE33!$S$7:$S$874,'Summary &amp; Working File(AllCcy)'!P252,BS_RE33!$N$7:$N$874,'Summary &amp; Working File(AllCcy)'!$R$10)+SUMIF($P$13:$P$19,P252,$R$13:$R$19),2)</f>
        <v>0</v>
      </c>
    </row>
    <row r="253" spans="2:18">
      <c r="B253" s="243">
        <f t="shared" si="72"/>
        <v>233</v>
      </c>
      <c r="C253" s="247">
        <f t="shared" si="72"/>
        <v>46290</v>
      </c>
      <c r="D253" s="245">
        <f t="shared" si="66"/>
        <v>0</v>
      </c>
      <c r="E253" s="235">
        <f t="shared" si="68"/>
        <v>0</v>
      </c>
      <c r="F253" s="236">
        <f t="shared" si="61"/>
        <v>0</v>
      </c>
      <c r="G253" s="237">
        <f t="shared" si="60"/>
        <v>0</v>
      </c>
      <c r="H253" s="273">
        <f t="shared" si="58"/>
        <v>0</v>
      </c>
      <c r="I253" s="587">
        <f t="shared" si="59"/>
        <v>0</v>
      </c>
      <c r="J253" s="237">
        <f t="shared" si="62"/>
        <v>0</v>
      </c>
      <c r="K253" s="269">
        <f t="shared" si="71"/>
        <v>0</v>
      </c>
      <c r="L253" s="239">
        <f t="shared" si="63"/>
        <v>0</v>
      </c>
      <c r="M253" s="275" t="e">
        <f t="shared" si="64"/>
        <v>#DIV/0!</v>
      </c>
      <c r="N253" s="3"/>
      <c r="O253" s="1">
        <f t="shared" si="73"/>
        <v>233</v>
      </c>
      <c r="P253" s="182">
        <f t="shared" si="73"/>
        <v>46290</v>
      </c>
      <c r="Q253" s="241">
        <f>ROUND(SUMIFS(BS_RE33!$U$7:$U$874,BS_RE33!$S$7:$S$874,'Summary &amp; Working File(AllCcy)'!P253,BS_RE33!$N$7:$N$874,'Summary &amp; Working File(AllCcy)'!$Q$10)+SUMIF($P$13:$P$19,P253,$Q$13:$Q$19),2)</f>
        <v>0</v>
      </c>
      <c r="R253" s="242">
        <f>ROUND(SUMIFS(BS_RE33!$U$7:$U$874,BS_RE33!$S$7:$S$874,'Summary &amp; Working File(AllCcy)'!P253,BS_RE33!$N$7:$N$874,'Summary &amp; Working File(AllCcy)'!$R$10)+SUMIF($P$13:$P$19,P253,$R$13:$R$19),2)</f>
        <v>0</v>
      </c>
    </row>
    <row r="254" spans="2:18">
      <c r="B254" s="243">
        <f t="shared" si="72"/>
        <v>234</v>
      </c>
      <c r="C254" s="247">
        <f t="shared" si="72"/>
        <v>46291</v>
      </c>
      <c r="D254" s="245">
        <f t="shared" si="66"/>
        <v>0</v>
      </c>
      <c r="E254" s="235">
        <f t="shared" si="68"/>
        <v>0</v>
      </c>
      <c r="F254" s="236">
        <f t="shared" si="61"/>
        <v>0</v>
      </c>
      <c r="G254" s="237">
        <f t="shared" si="60"/>
        <v>0</v>
      </c>
      <c r="H254" s="273">
        <f t="shared" si="58"/>
        <v>0</v>
      </c>
      <c r="I254" s="587">
        <f t="shared" si="59"/>
        <v>0</v>
      </c>
      <c r="J254" s="237">
        <f t="shared" si="62"/>
        <v>0</v>
      </c>
      <c r="K254" s="269">
        <f t="shared" si="71"/>
        <v>0</v>
      </c>
      <c r="L254" s="239">
        <f t="shared" si="63"/>
        <v>0</v>
      </c>
      <c r="M254" s="275" t="e">
        <f t="shared" si="64"/>
        <v>#DIV/0!</v>
      </c>
      <c r="N254" s="3"/>
      <c r="O254" s="1">
        <f t="shared" si="73"/>
        <v>234</v>
      </c>
      <c r="P254" s="182">
        <f t="shared" si="73"/>
        <v>46291</v>
      </c>
      <c r="Q254" s="241">
        <f>ROUND(SUMIFS(BS_RE33!$U$7:$U$874,BS_RE33!$S$7:$S$874,'Summary &amp; Working File(AllCcy)'!P254,BS_RE33!$N$7:$N$874,'Summary &amp; Working File(AllCcy)'!$Q$10)+SUMIF($P$13:$P$19,P254,$Q$13:$Q$19),2)</f>
        <v>0</v>
      </c>
      <c r="R254" s="242">
        <f>ROUND(SUMIFS(BS_RE33!$U$7:$U$874,BS_RE33!$S$7:$S$874,'Summary &amp; Working File(AllCcy)'!P254,BS_RE33!$N$7:$N$874,'Summary &amp; Working File(AllCcy)'!$R$10)+SUMIF($P$13:$P$19,P254,$R$13:$R$19),2)</f>
        <v>0</v>
      </c>
    </row>
    <row r="255" spans="2:18">
      <c r="B255" s="243">
        <f t="shared" si="72"/>
        <v>235</v>
      </c>
      <c r="C255" s="247">
        <f t="shared" si="72"/>
        <v>46292</v>
      </c>
      <c r="D255" s="245">
        <f t="shared" si="66"/>
        <v>0</v>
      </c>
      <c r="E255" s="235">
        <f t="shared" si="68"/>
        <v>0</v>
      </c>
      <c r="F255" s="236">
        <f t="shared" si="61"/>
        <v>0</v>
      </c>
      <c r="G255" s="237">
        <f t="shared" si="60"/>
        <v>0</v>
      </c>
      <c r="H255" s="273">
        <f t="shared" si="58"/>
        <v>0</v>
      </c>
      <c r="I255" s="587">
        <f t="shared" si="59"/>
        <v>0</v>
      </c>
      <c r="J255" s="237">
        <f t="shared" si="62"/>
        <v>0</v>
      </c>
      <c r="K255" s="269">
        <f t="shared" si="71"/>
        <v>0</v>
      </c>
      <c r="L255" s="239">
        <f t="shared" si="63"/>
        <v>0</v>
      </c>
      <c r="M255" s="275" t="e">
        <f t="shared" si="64"/>
        <v>#DIV/0!</v>
      </c>
      <c r="N255" s="3"/>
      <c r="O255" s="1">
        <f t="shared" si="73"/>
        <v>235</v>
      </c>
      <c r="P255" s="182">
        <f t="shared" si="73"/>
        <v>46292</v>
      </c>
      <c r="Q255" s="241">
        <f>ROUND(SUMIFS(BS_RE33!$U$7:$U$874,BS_RE33!$S$7:$S$874,'Summary &amp; Working File(AllCcy)'!P255,BS_RE33!$N$7:$N$874,'Summary &amp; Working File(AllCcy)'!$Q$10)+SUMIF($P$13:$P$19,P255,$Q$13:$Q$19),2)</f>
        <v>0</v>
      </c>
      <c r="R255" s="242">
        <f>ROUND(SUMIFS(BS_RE33!$U$7:$U$874,BS_RE33!$S$7:$S$874,'Summary &amp; Working File(AllCcy)'!P255,BS_RE33!$N$7:$N$874,'Summary &amp; Working File(AllCcy)'!$R$10)+SUMIF($P$13:$P$19,P255,$R$13:$R$19),2)</f>
        <v>0</v>
      </c>
    </row>
    <row r="256" spans="2:18">
      <c r="B256" s="243">
        <f t="shared" si="72"/>
        <v>236</v>
      </c>
      <c r="C256" s="247">
        <f t="shared" si="72"/>
        <v>46293</v>
      </c>
      <c r="D256" s="245">
        <f t="shared" si="66"/>
        <v>0</v>
      </c>
      <c r="E256" s="235">
        <f t="shared" si="68"/>
        <v>0</v>
      </c>
      <c r="F256" s="236">
        <f t="shared" si="61"/>
        <v>0</v>
      </c>
      <c r="G256" s="237">
        <f t="shared" si="60"/>
        <v>0</v>
      </c>
      <c r="H256" s="273">
        <f t="shared" si="58"/>
        <v>0</v>
      </c>
      <c r="I256" s="587">
        <f t="shared" si="59"/>
        <v>0</v>
      </c>
      <c r="J256" s="237">
        <f>H256*20%</f>
        <v>0</v>
      </c>
      <c r="K256" s="269">
        <f t="shared" si="71"/>
        <v>0</v>
      </c>
      <c r="L256" s="239">
        <f t="shared" si="63"/>
        <v>0</v>
      </c>
      <c r="M256" s="275" t="e">
        <f t="shared" si="64"/>
        <v>#DIV/0!</v>
      </c>
      <c r="N256" s="3"/>
      <c r="O256" s="1">
        <f t="shared" si="73"/>
        <v>236</v>
      </c>
      <c r="P256" s="182">
        <f t="shared" si="73"/>
        <v>46293</v>
      </c>
      <c r="Q256" s="241">
        <f>ROUND(SUMIFS(BS_RE33!$U$7:$U$874,BS_RE33!$S$7:$S$874,'Summary &amp; Working File(AllCcy)'!P256,BS_RE33!$N$7:$N$874,'Summary &amp; Working File(AllCcy)'!$Q$10)+SUMIF($P$13:$P$19,P256,$Q$13:$Q$19),2)</f>
        <v>0</v>
      </c>
      <c r="R256" s="242">
        <f>ROUND(SUMIFS(BS_RE33!$U$7:$U$874,BS_RE33!$S$7:$S$874,'Summary &amp; Working File(AllCcy)'!P256,BS_RE33!$N$7:$N$874,'Summary &amp; Working File(AllCcy)'!$R$10)+SUMIF($P$13:$P$19,P256,$R$13:$R$19),2)</f>
        <v>0</v>
      </c>
    </row>
    <row r="257" spans="2:18">
      <c r="B257" s="243">
        <f t="shared" si="72"/>
        <v>237</v>
      </c>
      <c r="C257" s="247">
        <f t="shared" si="72"/>
        <v>46294</v>
      </c>
      <c r="D257" s="245">
        <f t="shared" si="66"/>
        <v>0</v>
      </c>
      <c r="E257" s="235">
        <f t="shared" si="68"/>
        <v>0</v>
      </c>
      <c r="F257" s="236">
        <f t="shared" si="61"/>
        <v>0</v>
      </c>
      <c r="G257" s="237">
        <f t="shared" si="60"/>
        <v>0</v>
      </c>
      <c r="H257" s="273">
        <f t="shared" si="58"/>
        <v>0</v>
      </c>
      <c r="I257" s="587">
        <f t="shared" si="59"/>
        <v>0</v>
      </c>
      <c r="J257" s="237">
        <f t="shared" si="62"/>
        <v>0</v>
      </c>
      <c r="K257" s="269">
        <f t="shared" si="71"/>
        <v>0</v>
      </c>
      <c r="L257" s="239">
        <f t="shared" si="63"/>
        <v>0</v>
      </c>
      <c r="M257" s="275" t="e">
        <f t="shared" si="64"/>
        <v>#DIV/0!</v>
      </c>
      <c r="N257" s="3"/>
      <c r="O257" s="1">
        <f t="shared" si="73"/>
        <v>237</v>
      </c>
      <c r="P257" s="182">
        <f t="shared" si="73"/>
        <v>46294</v>
      </c>
      <c r="Q257" s="241">
        <f>ROUND(SUMIFS(BS_RE33!$U$7:$U$874,BS_RE33!$S$7:$S$874,'Summary &amp; Working File(AllCcy)'!P257,BS_RE33!$N$7:$N$874,'Summary &amp; Working File(AllCcy)'!$Q$10)+SUMIF($P$13:$P$19,P257,$Q$13:$Q$19),2)</f>
        <v>0</v>
      </c>
      <c r="R257" s="242">
        <f>ROUND(SUMIFS(BS_RE33!$U$7:$U$874,BS_RE33!$S$7:$S$874,'Summary &amp; Working File(AllCcy)'!P257,BS_RE33!$N$7:$N$874,'Summary &amp; Working File(AllCcy)'!$R$10)+SUMIF($P$13:$P$19,P257,$R$13:$R$19),2)</f>
        <v>0</v>
      </c>
    </row>
    <row r="258" spans="2:18">
      <c r="B258" s="243">
        <f t="shared" si="72"/>
        <v>238</v>
      </c>
      <c r="C258" s="247">
        <f t="shared" si="72"/>
        <v>46295</v>
      </c>
      <c r="D258" s="245">
        <f t="shared" si="66"/>
        <v>0</v>
      </c>
      <c r="E258" s="235">
        <f t="shared" si="68"/>
        <v>0</v>
      </c>
      <c r="F258" s="236">
        <f t="shared" si="61"/>
        <v>0</v>
      </c>
      <c r="G258" s="237">
        <f t="shared" si="60"/>
        <v>0</v>
      </c>
      <c r="H258" s="273">
        <f t="shared" si="58"/>
        <v>0</v>
      </c>
      <c r="I258" s="587">
        <f t="shared" si="59"/>
        <v>0</v>
      </c>
      <c r="J258" s="237">
        <f t="shared" si="62"/>
        <v>0</v>
      </c>
      <c r="K258" s="269">
        <f t="shared" si="71"/>
        <v>0</v>
      </c>
      <c r="L258" s="239">
        <f t="shared" si="63"/>
        <v>0</v>
      </c>
      <c r="M258" s="275" t="e">
        <f t="shared" si="64"/>
        <v>#DIV/0!</v>
      </c>
      <c r="N258" s="3"/>
      <c r="O258" s="1">
        <f t="shared" si="73"/>
        <v>238</v>
      </c>
      <c r="P258" s="182">
        <f t="shared" si="73"/>
        <v>46295</v>
      </c>
      <c r="Q258" s="241">
        <f>ROUND(SUMIFS(BS_RE33!$U$7:$U$874,BS_RE33!$S$7:$S$874,'Summary &amp; Working File(AllCcy)'!P258,BS_RE33!$N$7:$N$874,'Summary &amp; Working File(AllCcy)'!$Q$10)+SUMIF($P$13:$P$19,P258,$Q$13:$Q$19),2)</f>
        <v>0</v>
      </c>
      <c r="R258" s="242">
        <f>ROUND(SUMIFS(BS_RE33!$U$7:$U$874,BS_RE33!$S$7:$S$874,'Summary &amp; Working File(AllCcy)'!P258,BS_RE33!$N$7:$N$874,'Summary &amp; Working File(AllCcy)'!$R$10)+SUMIF($P$13:$P$19,P258,$R$13:$R$19),2)</f>
        <v>0</v>
      </c>
    </row>
    <row r="259" spans="2:18">
      <c r="B259" s="243">
        <f t="shared" si="72"/>
        <v>239</v>
      </c>
      <c r="C259" s="247">
        <f t="shared" si="72"/>
        <v>46296</v>
      </c>
      <c r="D259" s="245">
        <f t="shared" si="66"/>
        <v>0</v>
      </c>
      <c r="E259" s="235">
        <f t="shared" si="68"/>
        <v>0</v>
      </c>
      <c r="F259" s="236">
        <f t="shared" si="61"/>
        <v>0</v>
      </c>
      <c r="G259" s="237">
        <f t="shared" si="60"/>
        <v>0</v>
      </c>
      <c r="H259" s="273">
        <f t="shared" si="58"/>
        <v>0</v>
      </c>
      <c r="I259" s="587">
        <f t="shared" si="59"/>
        <v>0</v>
      </c>
      <c r="J259" s="237">
        <f t="shared" si="62"/>
        <v>0</v>
      </c>
      <c r="K259" s="269">
        <f t="shared" si="71"/>
        <v>0</v>
      </c>
      <c r="L259" s="239">
        <f t="shared" si="63"/>
        <v>0</v>
      </c>
      <c r="M259" s="275" t="e">
        <f t="shared" si="64"/>
        <v>#DIV/0!</v>
      </c>
      <c r="N259" s="3"/>
      <c r="O259" s="1">
        <f t="shared" si="73"/>
        <v>239</v>
      </c>
      <c r="P259" s="182">
        <f t="shared" si="73"/>
        <v>46296</v>
      </c>
      <c r="Q259" s="241">
        <f>ROUND(SUMIFS(BS_RE33!$U$7:$U$874,BS_RE33!$S$7:$S$874,'Summary &amp; Working File(AllCcy)'!P259,BS_RE33!$N$7:$N$874,'Summary &amp; Working File(AllCcy)'!$Q$10)+SUMIF($P$13:$P$19,P259,$Q$13:$Q$19),2)</f>
        <v>0</v>
      </c>
      <c r="R259" s="242">
        <f>ROUND(SUMIFS(BS_RE33!$U$7:$U$874,BS_RE33!$S$7:$S$874,'Summary &amp; Working File(AllCcy)'!P259,BS_RE33!$N$7:$N$874,'Summary &amp; Working File(AllCcy)'!$R$10)+SUMIF($P$13:$P$19,P259,$R$13:$R$19),2)</f>
        <v>0</v>
      </c>
    </row>
    <row r="260" spans="2:18">
      <c r="B260" s="243">
        <f t="shared" si="72"/>
        <v>240</v>
      </c>
      <c r="C260" s="247">
        <f t="shared" si="72"/>
        <v>46297</v>
      </c>
      <c r="D260" s="245">
        <f t="shared" si="66"/>
        <v>0</v>
      </c>
      <c r="E260" s="235">
        <f t="shared" si="68"/>
        <v>0</v>
      </c>
      <c r="F260" s="236">
        <f t="shared" si="61"/>
        <v>0</v>
      </c>
      <c r="G260" s="237">
        <f t="shared" si="60"/>
        <v>0</v>
      </c>
      <c r="H260" s="273">
        <f t="shared" si="58"/>
        <v>0</v>
      </c>
      <c r="I260" s="587">
        <f t="shared" si="59"/>
        <v>0</v>
      </c>
      <c r="J260" s="237">
        <f t="shared" si="62"/>
        <v>0</v>
      </c>
      <c r="K260" s="269">
        <f t="shared" si="71"/>
        <v>0</v>
      </c>
      <c r="L260" s="239">
        <f t="shared" si="63"/>
        <v>0</v>
      </c>
      <c r="M260" s="275" t="e">
        <f t="shared" si="64"/>
        <v>#DIV/0!</v>
      </c>
      <c r="N260" s="3"/>
      <c r="O260" s="1">
        <f t="shared" si="73"/>
        <v>240</v>
      </c>
      <c r="P260" s="182">
        <f t="shared" si="73"/>
        <v>46297</v>
      </c>
      <c r="Q260" s="241">
        <f>ROUND(SUMIFS(BS_RE33!$U$7:$U$874,BS_RE33!$S$7:$S$874,'Summary &amp; Working File(AllCcy)'!P260,BS_RE33!$N$7:$N$874,'Summary &amp; Working File(AllCcy)'!$Q$10)+SUMIF($P$13:$P$19,P260,$Q$13:$Q$19),2)</f>
        <v>0</v>
      </c>
      <c r="R260" s="242">
        <f>ROUND(SUMIFS(BS_RE33!$U$7:$U$874,BS_RE33!$S$7:$S$874,'Summary &amp; Working File(AllCcy)'!P260,BS_RE33!$N$7:$N$874,'Summary &amp; Working File(AllCcy)'!$R$10)+SUMIF($P$13:$P$19,P260,$R$13:$R$19),2)</f>
        <v>0</v>
      </c>
    </row>
    <row r="261" spans="2:18">
      <c r="B261" s="243">
        <f t="shared" si="72"/>
        <v>241</v>
      </c>
      <c r="C261" s="247">
        <f t="shared" si="72"/>
        <v>46298</v>
      </c>
      <c r="D261" s="245">
        <f t="shared" si="66"/>
        <v>0</v>
      </c>
      <c r="E261" s="235">
        <f t="shared" si="68"/>
        <v>0</v>
      </c>
      <c r="F261" s="236">
        <f t="shared" si="61"/>
        <v>0</v>
      </c>
      <c r="G261" s="237">
        <f t="shared" si="60"/>
        <v>0</v>
      </c>
      <c r="H261" s="273">
        <f t="shared" si="58"/>
        <v>0</v>
      </c>
      <c r="I261" s="587">
        <f t="shared" si="59"/>
        <v>0</v>
      </c>
      <c r="J261" s="237">
        <f t="shared" si="62"/>
        <v>0</v>
      </c>
      <c r="K261" s="269">
        <f t="shared" si="71"/>
        <v>0</v>
      </c>
      <c r="L261" s="239">
        <f t="shared" si="63"/>
        <v>0</v>
      </c>
      <c r="M261" s="275" t="e">
        <f t="shared" si="64"/>
        <v>#DIV/0!</v>
      </c>
      <c r="N261" s="3"/>
      <c r="O261" s="1">
        <f t="shared" si="73"/>
        <v>241</v>
      </c>
      <c r="P261" s="182">
        <f t="shared" si="73"/>
        <v>46298</v>
      </c>
      <c r="Q261" s="241">
        <f>ROUND(SUMIFS(BS_RE33!$U$7:$U$874,BS_RE33!$S$7:$S$874,'Summary &amp; Working File(AllCcy)'!P261,BS_RE33!$N$7:$N$874,'Summary &amp; Working File(AllCcy)'!$Q$10)+SUMIF($P$13:$P$19,P261,$Q$13:$Q$19),2)</f>
        <v>0</v>
      </c>
      <c r="R261" s="242">
        <f>ROUND(SUMIFS(BS_RE33!$U$7:$U$874,BS_RE33!$S$7:$S$874,'Summary &amp; Working File(AllCcy)'!P261,BS_RE33!$N$7:$N$874,'Summary &amp; Working File(AllCcy)'!$R$10)+SUMIF($P$13:$P$19,P261,$R$13:$R$19),2)</f>
        <v>0</v>
      </c>
    </row>
    <row r="262" spans="2:18">
      <c r="B262" s="243">
        <f t="shared" si="72"/>
        <v>242</v>
      </c>
      <c r="C262" s="247">
        <f t="shared" si="72"/>
        <v>46299</v>
      </c>
      <c r="D262" s="245">
        <f t="shared" si="66"/>
        <v>0</v>
      </c>
      <c r="E262" s="235">
        <f t="shared" si="68"/>
        <v>0</v>
      </c>
      <c r="F262" s="236">
        <f t="shared" si="61"/>
        <v>0</v>
      </c>
      <c r="G262" s="237">
        <f t="shared" si="60"/>
        <v>0</v>
      </c>
      <c r="H262" s="273">
        <f t="shared" si="58"/>
        <v>0</v>
      </c>
      <c r="I262" s="587">
        <f t="shared" si="59"/>
        <v>0</v>
      </c>
      <c r="J262" s="237">
        <f t="shared" si="62"/>
        <v>0</v>
      </c>
      <c r="K262" s="269">
        <f t="shared" si="71"/>
        <v>0</v>
      </c>
      <c r="L262" s="239">
        <f t="shared" si="63"/>
        <v>0</v>
      </c>
      <c r="M262" s="275" t="e">
        <f t="shared" si="64"/>
        <v>#DIV/0!</v>
      </c>
      <c r="N262" s="3"/>
      <c r="O262" s="1">
        <f t="shared" si="73"/>
        <v>242</v>
      </c>
      <c r="P262" s="182">
        <f t="shared" si="73"/>
        <v>46299</v>
      </c>
      <c r="Q262" s="241">
        <f>ROUND(SUMIFS(BS_RE33!$U$7:$U$874,BS_RE33!$S$7:$S$874,'Summary &amp; Working File(AllCcy)'!P262,BS_RE33!$N$7:$N$874,'Summary &amp; Working File(AllCcy)'!$Q$10)+SUMIF($P$13:$P$19,P262,$Q$13:$Q$19),2)</f>
        <v>0</v>
      </c>
      <c r="R262" s="242">
        <f>ROUND(SUMIFS(BS_RE33!$U$7:$U$874,BS_RE33!$S$7:$S$874,'Summary &amp; Working File(AllCcy)'!P262,BS_RE33!$N$7:$N$874,'Summary &amp; Working File(AllCcy)'!$R$10)+SUMIF($P$13:$P$19,P262,$R$13:$R$19),2)</f>
        <v>0</v>
      </c>
    </row>
    <row r="263" spans="2:18">
      <c r="B263" s="243">
        <f>B262+1</f>
        <v>243</v>
      </c>
      <c r="C263" s="247">
        <f>C262+1</f>
        <v>46300</v>
      </c>
      <c r="D263" s="245">
        <f t="shared" si="66"/>
        <v>0</v>
      </c>
      <c r="E263" s="235">
        <f t="shared" si="68"/>
        <v>0</v>
      </c>
      <c r="F263" s="236">
        <f t="shared" si="61"/>
        <v>0</v>
      </c>
      <c r="G263" s="237">
        <f t="shared" si="60"/>
        <v>0</v>
      </c>
      <c r="H263" s="273">
        <f t="shared" si="58"/>
        <v>0</v>
      </c>
      <c r="I263" s="587">
        <f t="shared" si="59"/>
        <v>0</v>
      </c>
      <c r="J263" s="237">
        <f t="shared" si="62"/>
        <v>0</v>
      </c>
      <c r="K263" s="269">
        <f t="shared" si="71"/>
        <v>0</v>
      </c>
      <c r="L263" s="239">
        <f t="shared" si="63"/>
        <v>0</v>
      </c>
      <c r="M263" s="275" t="e">
        <f t="shared" si="64"/>
        <v>#DIV/0!</v>
      </c>
      <c r="N263" s="3"/>
      <c r="O263" s="1">
        <f t="shared" ref="O263:P278" si="74">O262+1</f>
        <v>243</v>
      </c>
      <c r="P263" s="182">
        <f t="shared" si="74"/>
        <v>46300</v>
      </c>
      <c r="Q263" s="241">
        <f>ROUND(SUMIFS(BS_RE33!$U$7:$U$874,BS_RE33!$S$7:$S$874,'Summary &amp; Working File(AllCcy)'!P263,BS_RE33!$N$7:$N$874,'Summary &amp; Working File(AllCcy)'!$Q$10)+SUMIF($P$13:$P$19,P263,$Q$13:$Q$19),2)</f>
        <v>0</v>
      </c>
      <c r="R263" s="242">
        <f>ROUND(SUMIFS(BS_RE33!$U$7:$U$874,BS_RE33!$S$7:$S$874,'Summary &amp; Working File(AllCcy)'!P263,BS_RE33!$N$7:$N$874,'Summary &amp; Working File(AllCcy)'!$R$10)+SUMIF($P$13:$P$19,P263,$R$13:$R$19),2)</f>
        <v>0</v>
      </c>
    </row>
    <row r="264" spans="2:18" ht="17.25" thickBot="1">
      <c r="B264" s="243">
        <f>B263+1</f>
        <v>244</v>
      </c>
      <c r="C264" s="247">
        <f>C263+1</f>
        <v>46301</v>
      </c>
      <c r="D264" s="245">
        <f t="shared" si="66"/>
        <v>0</v>
      </c>
      <c r="E264" s="235">
        <f t="shared" si="68"/>
        <v>0</v>
      </c>
      <c r="F264" s="236">
        <f t="shared" si="61"/>
        <v>0</v>
      </c>
      <c r="G264" s="237">
        <f t="shared" si="60"/>
        <v>0</v>
      </c>
      <c r="H264" s="274">
        <f t="shared" si="58"/>
        <v>0</v>
      </c>
      <c r="I264" s="587">
        <f>$R$11+SUM(R265:R294)</f>
        <v>0</v>
      </c>
      <c r="J264" s="237">
        <f t="shared" si="62"/>
        <v>0</v>
      </c>
      <c r="K264" s="270">
        <f t="shared" si="71"/>
        <v>0</v>
      </c>
      <c r="L264" s="239">
        <f t="shared" si="63"/>
        <v>0</v>
      </c>
      <c r="M264" s="276" t="e">
        <f t="shared" si="64"/>
        <v>#DIV/0!</v>
      </c>
      <c r="N264" s="3"/>
      <c r="O264" s="1">
        <f t="shared" si="74"/>
        <v>244</v>
      </c>
      <c r="P264" s="182">
        <f t="shared" si="74"/>
        <v>46301</v>
      </c>
      <c r="Q264" s="241">
        <f>ROUND(SUMIFS(BS_RE33!$U$7:$U$874,BS_RE33!$S$7:$S$874,'Summary &amp; Working File(AllCcy)'!P264,BS_RE33!$N$7:$N$874,'Summary &amp; Working File(AllCcy)'!$Q$10)+SUMIF($P$13:$P$19,P264,$Q$13:$Q$19),2)</f>
        <v>0</v>
      </c>
      <c r="R264" s="242">
        <f>ROUND(SUMIFS(BS_RE33!$U$7:$U$874,BS_RE33!$S$7:$S$874,'Summary &amp; Working File(AllCcy)'!P264,BS_RE33!$N$7:$N$874,'Summary &amp; Working File(AllCcy)'!$R$10)+SUMIF($P$13:$P$19,P264,$R$13:$R$19),2)</f>
        <v>0</v>
      </c>
    </row>
    <row r="265" spans="2:18" ht="18" thickTop="1" thickBot="1">
      <c r="B265" s="243">
        <f t="shared" ref="B265:B268" si="75">B264+1</f>
        <v>245</v>
      </c>
      <c r="C265" s="247">
        <f t="shared" ref="C265:C268" si="76">C264+1</f>
        <v>46302</v>
      </c>
      <c r="D265" s="245">
        <f t="shared" si="66"/>
        <v>0</v>
      </c>
      <c r="E265" s="235">
        <f t="shared" ref="E265:E268" si="77">$Q$11+SUM(Q266:Q295)</f>
        <v>0</v>
      </c>
      <c r="F265" s="236">
        <f t="shared" si="61"/>
        <v>0</v>
      </c>
      <c r="G265" s="237">
        <f t="shared" si="60"/>
        <v>0</v>
      </c>
      <c r="H265" s="274">
        <f t="shared" ref="H265:H268" si="78">SUM(E265:G265)</f>
        <v>0</v>
      </c>
      <c r="I265" s="587">
        <f t="shared" ref="I265:I268" si="79">$R$11+SUM(R266:R295)</f>
        <v>0</v>
      </c>
      <c r="J265" s="237">
        <f t="shared" ref="J265:J268" si="80">H265*20%</f>
        <v>0</v>
      </c>
      <c r="K265" s="270">
        <f t="shared" ref="K265:K268" si="81">MIN(SUM(I265:J265),H265*75%)</f>
        <v>0</v>
      </c>
      <c r="L265" s="239">
        <f t="shared" ref="L265:L268" si="82">H265-K265</f>
        <v>0</v>
      </c>
      <c r="M265" s="276" t="e">
        <f t="shared" ref="M265:M268" si="83">D265/L265</f>
        <v>#DIV/0!</v>
      </c>
      <c r="N265" s="3"/>
      <c r="O265" s="1">
        <f t="shared" si="74"/>
        <v>245</v>
      </c>
      <c r="P265" s="182">
        <f t="shared" si="74"/>
        <v>46302</v>
      </c>
      <c r="Q265" s="241">
        <f>ROUND(SUMIFS(BS_RE33!$U$7:$U$874,BS_RE33!$S$7:$S$874,'Summary &amp; Working File(AllCcy)'!P265,BS_RE33!$N$7:$N$874,'Summary &amp; Working File(AllCcy)'!$Q$10)+SUMIF($P$13:$P$19,P265,$Q$13:$Q$19),2)</f>
        <v>0</v>
      </c>
      <c r="R265" s="242">
        <f>ROUND(SUMIFS(BS_RE33!$U$7:$U$874,BS_RE33!$S$7:$S$874,'Summary &amp; Working File(AllCcy)'!P265,BS_RE33!$N$7:$N$874,'Summary &amp; Working File(AllCcy)'!$R$10)+SUMIF($P$13:$P$19,P265,$R$13:$R$19),2)</f>
        <v>0</v>
      </c>
    </row>
    <row r="266" spans="2:18" ht="18" thickTop="1" thickBot="1">
      <c r="B266" s="243">
        <f t="shared" si="75"/>
        <v>246</v>
      </c>
      <c r="C266" s="247">
        <f t="shared" si="76"/>
        <v>46303</v>
      </c>
      <c r="D266" s="245">
        <f t="shared" si="66"/>
        <v>0</v>
      </c>
      <c r="E266" s="235">
        <f t="shared" si="77"/>
        <v>0</v>
      </c>
      <c r="F266" s="236">
        <f t="shared" si="61"/>
        <v>0</v>
      </c>
      <c r="G266" s="237">
        <f t="shared" si="60"/>
        <v>0</v>
      </c>
      <c r="H266" s="274">
        <f t="shared" si="78"/>
        <v>0</v>
      </c>
      <c r="I266" s="587">
        <f t="shared" si="79"/>
        <v>0</v>
      </c>
      <c r="J266" s="237">
        <f t="shared" si="80"/>
        <v>0</v>
      </c>
      <c r="K266" s="270">
        <f t="shared" si="81"/>
        <v>0</v>
      </c>
      <c r="L266" s="239">
        <f t="shared" si="82"/>
        <v>0</v>
      </c>
      <c r="M266" s="276" t="e">
        <f t="shared" si="83"/>
        <v>#DIV/0!</v>
      </c>
      <c r="N266" s="3"/>
      <c r="O266" s="1">
        <f t="shared" si="74"/>
        <v>246</v>
      </c>
      <c r="P266" s="182">
        <f t="shared" si="74"/>
        <v>46303</v>
      </c>
      <c r="Q266" s="241">
        <f>ROUND(SUMIFS(BS_RE33!$U$7:$U$874,BS_RE33!$S$7:$S$874,'Summary &amp; Working File(AllCcy)'!P266,BS_RE33!$N$7:$N$874,'Summary &amp; Working File(AllCcy)'!$Q$10)+SUMIF($P$13:$P$19,P266,$Q$13:$Q$19),2)</f>
        <v>0</v>
      </c>
      <c r="R266" s="242">
        <f>ROUND(SUMIFS(BS_RE33!$U$7:$U$874,BS_RE33!$S$7:$S$874,'Summary &amp; Working File(AllCcy)'!P266,BS_RE33!$N$7:$N$874,'Summary &amp; Working File(AllCcy)'!$R$10)+SUMIF($P$13:$P$19,P266,$R$13:$R$19),2)</f>
        <v>0</v>
      </c>
    </row>
    <row r="267" spans="2:18" ht="18" thickTop="1" thickBot="1">
      <c r="B267" s="243">
        <f t="shared" si="75"/>
        <v>247</v>
      </c>
      <c r="C267" s="247">
        <f t="shared" si="76"/>
        <v>46304</v>
      </c>
      <c r="D267" s="245">
        <f t="shared" si="66"/>
        <v>0</v>
      </c>
      <c r="E267" s="235">
        <f t="shared" si="77"/>
        <v>0</v>
      </c>
      <c r="F267" s="236">
        <f t="shared" si="61"/>
        <v>0</v>
      </c>
      <c r="G267" s="237">
        <f t="shared" si="60"/>
        <v>0</v>
      </c>
      <c r="H267" s="274">
        <f t="shared" si="78"/>
        <v>0</v>
      </c>
      <c r="I267" s="587">
        <f t="shared" si="79"/>
        <v>0</v>
      </c>
      <c r="J267" s="237">
        <f t="shared" si="80"/>
        <v>0</v>
      </c>
      <c r="K267" s="270">
        <f t="shared" si="81"/>
        <v>0</v>
      </c>
      <c r="L267" s="239">
        <f t="shared" si="82"/>
        <v>0</v>
      </c>
      <c r="M267" s="276" t="e">
        <f t="shared" si="83"/>
        <v>#DIV/0!</v>
      </c>
      <c r="N267" s="3"/>
      <c r="O267" s="1">
        <f t="shared" si="74"/>
        <v>247</v>
      </c>
      <c r="P267" s="182">
        <f t="shared" si="74"/>
        <v>46304</v>
      </c>
      <c r="Q267" s="241">
        <f>ROUND(SUMIFS(BS_RE33!$U$7:$U$874,BS_RE33!$S$7:$S$874,'Summary &amp; Working File(AllCcy)'!P267,BS_RE33!$N$7:$N$874,'Summary &amp; Working File(AllCcy)'!$Q$10)+SUMIF($P$13:$P$19,P267,$Q$13:$Q$19),2)</f>
        <v>0</v>
      </c>
      <c r="R267" s="242">
        <f>ROUND(SUMIFS(BS_RE33!$U$7:$U$874,BS_RE33!$S$7:$S$874,'Summary &amp; Working File(AllCcy)'!P267,BS_RE33!$N$7:$N$874,'Summary &amp; Working File(AllCcy)'!$R$10)+SUMIF($P$13:$P$19,P267,$R$13:$R$19),2)</f>
        <v>0</v>
      </c>
    </row>
    <row r="268" spans="2:18" ht="18" thickTop="1" thickBot="1">
      <c r="B268" s="243">
        <f t="shared" si="75"/>
        <v>248</v>
      </c>
      <c r="C268" s="247">
        <f t="shared" si="76"/>
        <v>46305</v>
      </c>
      <c r="D268" s="245">
        <f t="shared" si="66"/>
        <v>0</v>
      </c>
      <c r="E268" s="235">
        <f t="shared" si="77"/>
        <v>0</v>
      </c>
      <c r="F268" s="236">
        <f t="shared" si="61"/>
        <v>0</v>
      </c>
      <c r="G268" s="237">
        <f t="shared" si="60"/>
        <v>0</v>
      </c>
      <c r="H268" s="274">
        <f t="shared" si="78"/>
        <v>0</v>
      </c>
      <c r="I268" s="587">
        <f t="shared" si="79"/>
        <v>0</v>
      </c>
      <c r="J268" s="237">
        <f t="shared" si="80"/>
        <v>0</v>
      </c>
      <c r="K268" s="270">
        <f t="shared" si="81"/>
        <v>0</v>
      </c>
      <c r="L268" s="239">
        <f t="shared" si="82"/>
        <v>0</v>
      </c>
      <c r="M268" s="276" t="e">
        <f t="shared" si="83"/>
        <v>#DIV/0!</v>
      </c>
      <c r="N268" s="3"/>
      <c r="O268" s="1">
        <f t="shared" si="74"/>
        <v>248</v>
      </c>
      <c r="P268" s="182">
        <f t="shared" si="74"/>
        <v>46305</v>
      </c>
      <c r="Q268" s="241">
        <f>ROUND(SUMIFS(BS_RE33!$U$7:$U$874,BS_RE33!$S$7:$S$874,'Summary &amp; Working File(AllCcy)'!P268,BS_RE33!$N$7:$N$874,'Summary &amp; Working File(AllCcy)'!$Q$10)+SUMIF($P$13:$P$19,P268,$Q$13:$Q$19),2)</f>
        <v>0</v>
      </c>
      <c r="R268" s="242">
        <f>ROUND(SUMIFS(BS_RE33!$U$7:$U$874,BS_RE33!$S$7:$S$874,'Summary &amp; Working File(AllCcy)'!P268,BS_RE33!$N$7:$N$874,'Summary &amp; Working File(AllCcy)'!$R$10)+SUMIF($P$13:$P$19,P268,$R$13:$R$19),2)</f>
        <v>0</v>
      </c>
    </row>
    <row r="269" spans="2:18" ht="17.25" thickTop="1">
      <c r="N269" s="3"/>
      <c r="O269" s="1">
        <f t="shared" si="74"/>
        <v>249</v>
      </c>
      <c r="P269" s="182">
        <f t="shared" si="74"/>
        <v>46306</v>
      </c>
      <c r="Q269" s="241">
        <f>ROUND(SUMIFS(BS_RE33!$U$7:$U$874,BS_RE33!$S$7:$S$874,'Summary &amp; Working File(AllCcy)'!P269,BS_RE33!$N$7:$N$874,'Summary &amp; Working File(AllCcy)'!$Q$10)+SUMIF($P$13:$P$19,P269,$Q$13:$Q$19),2)</f>
        <v>0</v>
      </c>
      <c r="R269" s="242">
        <f>ROUND(SUMIFS(BS_RE33!$U$7:$U$874,BS_RE33!$S$7:$S$874,'Summary &amp; Working File(AllCcy)'!P269,BS_RE33!$N$7:$N$874,'Summary &amp; Working File(AllCcy)'!$R$10)+SUMIF($P$13:$P$19,P269,$R$13:$R$19),2)</f>
        <v>0</v>
      </c>
    </row>
    <row r="270" spans="2:18">
      <c r="N270" s="3"/>
      <c r="O270" s="1">
        <f t="shared" si="74"/>
        <v>250</v>
      </c>
      <c r="P270" s="182">
        <f t="shared" si="74"/>
        <v>46307</v>
      </c>
      <c r="Q270" s="241">
        <f>ROUND(SUMIFS(BS_RE33!$U$7:$U$874,BS_RE33!$S$7:$S$874,'Summary &amp; Working File(AllCcy)'!P270,BS_RE33!$N$7:$N$874,'Summary &amp; Working File(AllCcy)'!$Q$10)+SUMIF($P$13:$P$19,P270,$Q$13:$Q$19),2)</f>
        <v>0</v>
      </c>
      <c r="R270" s="242">
        <f>ROUND(SUMIFS(BS_RE33!$U$7:$U$874,BS_RE33!$S$7:$S$874,'Summary &amp; Working File(AllCcy)'!P270,BS_RE33!$N$7:$N$874,'Summary &amp; Working File(AllCcy)'!$R$10)+SUMIF($P$13:$P$19,P270,$R$13:$R$19),2)</f>
        <v>0</v>
      </c>
    </row>
    <row r="271" spans="2:18">
      <c r="N271" s="3"/>
      <c r="O271" s="1">
        <f t="shared" si="74"/>
        <v>251</v>
      </c>
      <c r="P271" s="182">
        <f t="shared" si="74"/>
        <v>46308</v>
      </c>
      <c r="Q271" s="241">
        <f>ROUND(SUMIFS(BS_RE33!$U$7:$U$874,BS_RE33!$S$7:$S$874,'Summary &amp; Working File(AllCcy)'!P271,BS_RE33!$N$7:$N$874,'Summary &amp; Working File(AllCcy)'!$Q$10)+SUMIF($P$13:$P$19,P271,$Q$13:$Q$19),2)</f>
        <v>0</v>
      </c>
      <c r="R271" s="242">
        <f>ROUND(SUMIFS(BS_RE33!$U$7:$U$874,BS_RE33!$S$7:$S$874,'Summary &amp; Working File(AllCcy)'!P271,BS_RE33!$N$7:$N$874,'Summary &amp; Working File(AllCcy)'!$R$10)+SUMIF($P$13:$P$19,P271,$R$13:$R$19),2)</f>
        <v>0</v>
      </c>
    </row>
    <row r="272" spans="2:18">
      <c r="N272" s="3"/>
      <c r="O272" s="1">
        <f t="shared" si="74"/>
        <v>252</v>
      </c>
      <c r="P272" s="182">
        <f t="shared" si="74"/>
        <v>46309</v>
      </c>
      <c r="Q272" s="241">
        <f>ROUND(SUMIFS(BS_RE33!$U$7:$U$874,BS_RE33!$S$7:$S$874,'Summary &amp; Working File(AllCcy)'!P272,BS_RE33!$N$7:$N$874,'Summary &amp; Working File(AllCcy)'!$Q$10)+SUMIF($P$13:$P$19,P272,$Q$13:$Q$19),2)</f>
        <v>0</v>
      </c>
      <c r="R272" s="242">
        <f>ROUND(SUMIFS(BS_RE33!$U$7:$U$874,BS_RE33!$S$7:$S$874,'Summary &amp; Working File(AllCcy)'!P272,BS_RE33!$N$7:$N$874,'Summary &amp; Working File(AllCcy)'!$R$10)+SUMIF($P$13:$P$19,P272,$R$13:$R$19),2)</f>
        <v>0</v>
      </c>
    </row>
    <row r="273" spans="12:18">
      <c r="N273" s="3"/>
      <c r="O273" s="1">
        <f t="shared" si="74"/>
        <v>253</v>
      </c>
      <c r="P273" s="182">
        <f t="shared" si="74"/>
        <v>46310</v>
      </c>
      <c r="Q273" s="241">
        <f>ROUND(SUMIFS(BS_RE33!$U$7:$U$874,BS_RE33!$S$7:$S$874,'Summary &amp; Working File(AllCcy)'!P273,BS_RE33!$N$7:$N$874,'Summary &amp; Working File(AllCcy)'!$Q$10)+SUMIF($P$13:$P$19,P273,$Q$13:$Q$19),2)</f>
        <v>0</v>
      </c>
      <c r="R273" s="242">
        <f>ROUND(SUMIFS(BS_RE33!$U$7:$U$874,BS_RE33!$S$7:$S$874,'Summary &amp; Working File(AllCcy)'!P273,BS_RE33!$N$7:$N$874,'Summary &amp; Working File(AllCcy)'!$R$10)+SUMIF($P$13:$P$19,P273,$R$13:$R$19),2)</f>
        <v>0</v>
      </c>
    </row>
    <row r="274" spans="12:18">
      <c r="N274" s="3"/>
      <c r="O274" s="1">
        <f t="shared" si="74"/>
        <v>254</v>
      </c>
      <c r="P274" s="182">
        <f t="shared" si="74"/>
        <v>46311</v>
      </c>
      <c r="Q274" s="241">
        <f>ROUND(SUMIFS(BS_RE33!$U$7:$U$874,BS_RE33!$S$7:$S$874,'Summary &amp; Working File(AllCcy)'!P274,BS_RE33!$N$7:$N$874,'Summary &amp; Working File(AllCcy)'!$Q$10)+SUMIF($P$13:$P$19,P274,$Q$13:$Q$19),2)</f>
        <v>0</v>
      </c>
      <c r="R274" s="242">
        <f>ROUND(SUMIFS(BS_RE33!$U$7:$U$874,BS_RE33!$S$7:$S$874,'Summary &amp; Working File(AllCcy)'!P274,BS_RE33!$N$7:$N$874,'Summary &amp; Working File(AllCcy)'!$R$10)+SUMIF($P$13:$P$19,P274,$R$13:$R$19),2)</f>
        <v>0</v>
      </c>
    </row>
    <row r="275" spans="12:18">
      <c r="N275" s="3"/>
      <c r="O275" s="1">
        <f t="shared" si="74"/>
        <v>255</v>
      </c>
      <c r="P275" s="182">
        <f t="shared" si="74"/>
        <v>46312</v>
      </c>
      <c r="Q275" s="241">
        <f>ROUND(SUMIFS(BS_RE33!$U$7:$U$874,BS_RE33!$S$7:$S$874,'Summary &amp; Working File(AllCcy)'!P275,BS_RE33!$N$7:$N$874,'Summary &amp; Working File(AllCcy)'!$Q$10)+SUMIF($P$13:$P$19,P275,$Q$13:$Q$19),2)</f>
        <v>0</v>
      </c>
      <c r="R275" s="242">
        <f>ROUND(SUMIFS(BS_RE33!$U$7:$U$874,BS_RE33!$S$7:$S$874,'Summary &amp; Working File(AllCcy)'!P275,BS_RE33!$N$7:$N$874,'Summary &amp; Working File(AllCcy)'!$R$10)+SUMIF($P$13:$P$19,P275,$R$13:$R$19),2)</f>
        <v>0</v>
      </c>
    </row>
    <row r="276" spans="12:18">
      <c r="N276" s="3"/>
      <c r="O276" s="1">
        <f t="shared" si="74"/>
        <v>256</v>
      </c>
      <c r="P276" s="182">
        <f t="shared" si="74"/>
        <v>46313</v>
      </c>
      <c r="Q276" s="241">
        <f>ROUND(SUMIFS(BS_RE33!$U$7:$U$874,BS_RE33!$S$7:$S$874,'Summary &amp; Working File(AllCcy)'!P276,BS_RE33!$N$7:$N$874,'Summary &amp; Working File(AllCcy)'!$Q$10)+SUMIF($P$13:$P$19,P276,$Q$13:$Q$19),2)</f>
        <v>0</v>
      </c>
      <c r="R276" s="242">
        <f>ROUND(SUMIFS(BS_RE33!$U$7:$U$874,BS_RE33!$S$7:$S$874,'Summary &amp; Working File(AllCcy)'!P276,BS_RE33!$N$7:$N$874,'Summary &amp; Working File(AllCcy)'!$R$10)+SUMIF($P$13:$P$19,P276,$R$13:$R$19),2)</f>
        <v>0</v>
      </c>
    </row>
    <row r="277" spans="12:18">
      <c r="N277" s="3"/>
      <c r="O277" s="1">
        <f t="shared" si="74"/>
        <v>257</v>
      </c>
      <c r="P277" s="182">
        <f t="shared" si="74"/>
        <v>46314</v>
      </c>
      <c r="Q277" s="241">
        <f>ROUND(SUMIFS(BS_RE33!$U$7:$U$874,BS_RE33!$S$7:$S$874,'Summary &amp; Working File(AllCcy)'!P277,BS_RE33!$N$7:$N$874,'Summary &amp; Working File(AllCcy)'!$Q$10)+SUMIF($P$13:$P$19,P277,$Q$13:$Q$19),2)</f>
        <v>0</v>
      </c>
      <c r="R277" s="242">
        <f>ROUND(SUMIFS(BS_RE33!$U$7:$U$874,BS_RE33!$S$7:$S$874,'Summary &amp; Working File(AllCcy)'!P277,BS_RE33!$N$7:$N$874,'Summary &amp; Working File(AllCcy)'!$R$10)+SUMIF($P$13:$P$19,P277,$R$13:$R$19),2)</f>
        <v>0</v>
      </c>
    </row>
    <row r="278" spans="12:18">
      <c r="N278" s="3"/>
      <c r="O278" s="1">
        <f t="shared" si="74"/>
        <v>258</v>
      </c>
      <c r="P278" s="182">
        <f t="shared" si="74"/>
        <v>46315</v>
      </c>
      <c r="Q278" s="241">
        <f>ROUND(SUMIFS(BS_RE33!$U$7:$U$874,BS_RE33!$S$7:$S$874,'Summary &amp; Working File(AllCcy)'!P278,BS_RE33!$N$7:$N$874,'Summary &amp; Working File(AllCcy)'!$Q$10)+SUMIF($P$13:$P$19,P278,$Q$13:$Q$19),2)</f>
        <v>0</v>
      </c>
      <c r="R278" s="242">
        <f>ROUND(SUMIFS(BS_RE33!$U$7:$U$874,BS_RE33!$S$7:$S$874,'Summary &amp; Working File(AllCcy)'!P278,BS_RE33!$N$7:$N$874,'Summary &amp; Working File(AllCcy)'!$R$10)+SUMIF($P$13:$P$19,P278,$R$13:$R$19),2)</f>
        <v>0</v>
      </c>
    </row>
    <row r="279" spans="12:18">
      <c r="N279" s="3"/>
      <c r="O279" s="1">
        <f t="shared" ref="O279:P294" si="84">O278+1</f>
        <v>259</v>
      </c>
      <c r="P279" s="182">
        <f t="shared" si="84"/>
        <v>46316</v>
      </c>
      <c r="Q279" s="241">
        <f>ROUND(SUMIFS(BS_RE33!$U$7:$U$874,BS_RE33!$S$7:$S$874,'Summary &amp; Working File(AllCcy)'!P279,BS_RE33!$N$7:$N$874,'Summary &amp; Working File(AllCcy)'!$Q$10)+SUMIF($P$13:$P$19,P279,$Q$13:$Q$19),2)</f>
        <v>0</v>
      </c>
      <c r="R279" s="242">
        <f>ROUND(SUMIFS(BS_RE33!$U$7:$U$874,BS_RE33!$S$7:$S$874,'Summary &amp; Working File(AllCcy)'!P279,BS_RE33!$N$7:$N$874,'Summary &amp; Working File(AllCcy)'!$R$10)+SUMIF($P$13:$P$19,P279,$R$13:$R$19),2)</f>
        <v>0</v>
      </c>
    </row>
    <row r="280" spans="12:18">
      <c r="L280" s="215"/>
      <c r="M280" s="248"/>
      <c r="N280" s="3"/>
      <c r="O280" s="1">
        <f t="shared" si="84"/>
        <v>260</v>
      </c>
      <c r="P280" s="182">
        <f t="shared" si="84"/>
        <v>46317</v>
      </c>
      <c r="Q280" s="241">
        <f>ROUND(SUMIFS(BS_RE33!$U$7:$U$874,BS_RE33!$S$7:$S$874,'Summary &amp; Working File(AllCcy)'!P280,BS_RE33!$N$7:$N$874,'Summary &amp; Working File(AllCcy)'!$Q$10)+SUMIF($P$13:$P$19,P280,$Q$13:$Q$19),2)</f>
        <v>0</v>
      </c>
      <c r="R280" s="242">
        <f>ROUND(SUMIFS(BS_RE33!$U$7:$U$874,BS_RE33!$S$7:$S$874,'Summary &amp; Working File(AllCcy)'!P280,BS_RE33!$N$7:$N$874,'Summary &amp; Working File(AllCcy)'!$R$10)+SUMIF($P$13:$P$19,P280,$R$13:$R$19),2)</f>
        <v>0</v>
      </c>
    </row>
    <row r="281" spans="12:18">
      <c r="L281" s="215"/>
      <c r="M281" s="248"/>
      <c r="N281" s="3"/>
      <c r="O281" s="1">
        <f t="shared" si="84"/>
        <v>261</v>
      </c>
      <c r="P281" s="182">
        <f t="shared" si="84"/>
        <v>46318</v>
      </c>
      <c r="Q281" s="241">
        <f>ROUND(SUMIFS(BS_RE33!$U$7:$U$874,BS_RE33!$S$7:$S$874,'Summary &amp; Working File(AllCcy)'!P281,BS_RE33!$N$7:$N$874,'Summary &amp; Working File(AllCcy)'!$Q$10)+SUMIF($P$13:$P$19,P281,$Q$13:$Q$19),2)</f>
        <v>0</v>
      </c>
      <c r="R281" s="242">
        <f>ROUND(SUMIFS(BS_RE33!$U$7:$U$874,BS_RE33!$S$7:$S$874,'Summary &amp; Working File(AllCcy)'!P281,BS_RE33!$N$7:$N$874,'Summary &amp; Working File(AllCcy)'!$R$10)+SUMIF($P$13:$P$19,P281,$R$13:$R$19),2)</f>
        <v>0</v>
      </c>
    </row>
    <row r="282" spans="12:18">
      <c r="M282" s="248"/>
      <c r="N282" s="3"/>
      <c r="O282" s="1">
        <f t="shared" si="84"/>
        <v>262</v>
      </c>
      <c r="P282" s="182">
        <f t="shared" si="84"/>
        <v>46319</v>
      </c>
      <c r="Q282" s="241">
        <f>ROUND(SUMIFS(BS_RE33!$U$7:$U$874,BS_RE33!$S$7:$S$874,'Summary &amp; Working File(AllCcy)'!P282,BS_RE33!$N$7:$N$874,'Summary &amp; Working File(AllCcy)'!$Q$10)+SUMIF($P$13:$P$19,P282,$Q$13:$Q$19),2)</f>
        <v>0</v>
      </c>
      <c r="R282" s="242">
        <f>ROUND(SUMIFS(BS_RE33!$U$7:$U$874,BS_RE33!$S$7:$S$874,'Summary &amp; Working File(AllCcy)'!P282,BS_RE33!$N$7:$N$874,'Summary &amp; Working File(AllCcy)'!$R$10)+SUMIF($P$13:$P$19,P282,$R$13:$R$19),2)</f>
        <v>0</v>
      </c>
    </row>
    <row r="283" spans="12:18">
      <c r="N283" s="3"/>
      <c r="O283" s="1">
        <f t="shared" si="84"/>
        <v>263</v>
      </c>
      <c r="P283" s="182">
        <f t="shared" si="84"/>
        <v>46320</v>
      </c>
      <c r="Q283" s="241">
        <f>ROUND(SUMIFS(BS_RE33!$U$7:$U$874,BS_RE33!$S$7:$S$874,'Summary &amp; Working File(AllCcy)'!P283,BS_RE33!$N$7:$N$874,'Summary &amp; Working File(AllCcy)'!$Q$10)+SUMIF($P$13:$P$19,P283,$Q$13:$Q$19),2)</f>
        <v>0</v>
      </c>
      <c r="R283" s="242">
        <f>ROUND(SUMIFS(BS_RE33!$U$7:$U$874,BS_RE33!$S$7:$S$874,'Summary &amp; Working File(AllCcy)'!P283,BS_RE33!$N$7:$N$874,'Summary &amp; Working File(AllCcy)'!$R$10)+SUMIF($P$13:$P$19,P283,$R$13:$R$19),2)</f>
        <v>0</v>
      </c>
    </row>
    <row r="284" spans="12:18">
      <c r="N284" s="3"/>
      <c r="O284" s="1">
        <f t="shared" si="84"/>
        <v>264</v>
      </c>
      <c r="P284" s="182">
        <f t="shared" si="84"/>
        <v>46321</v>
      </c>
      <c r="Q284" s="241">
        <f>ROUND(SUMIFS(BS_RE33!$U$7:$U$874,BS_RE33!$S$7:$S$874,'Summary &amp; Working File(AllCcy)'!P284,BS_RE33!$N$7:$N$874,'Summary &amp; Working File(AllCcy)'!$Q$10)+SUMIF($P$13:$P$19,P284,$Q$13:$Q$19),2)</f>
        <v>0</v>
      </c>
      <c r="R284" s="242">
        <f>ROUND(SUMIFS(BS_RE33!$U$7:$U$874,BS_RE33!$S$7:$S$874,'Summary &amp; Working File(AllCcy)'!P284,BS_RE33!$N$7:$N$874,'Summary &amp; Working File(AllCcy)'!$R$10)+SUMIF($P$13:$P$19,P284,$R$13:$R$19),2)</f>
        <v>0</v>
      </c>
    </row>
    <row r="285" spans="12:18">
      <c r="N285" s="3"/>
      <c r="O285" s="1">
        <f t="shared" si="84"/>
        <v>265</v>
      </c>
      <c r="P285" s="182">
        <f t="shared" si="84"/>
        <v>46322</v>
      </c>
      <c r="Q285" s="241">
        <f>ROUND(SUMIFS(BS_RE33!$U$7:$U$874,BS_RE33!$S$7:$S$874,'Summary &amp; Working File(AllCcy)'!P285,BS_RE33!$N$7:$N$874,'Summary &amp; Working File(AllCcy)'!$Q$10)+SUMIF($P$13:$P$19,P285,$Q$13:$Q$19),2)</f>
        <v>0</v>
      </c>
      <c r="R285" s="242">
        <f>ROUND(SUMIFS(BS_RE33!$U$7:$U$874,BS_RE33!$S$7:$S$874,'Summary &amp; Working File(AllCcy)'!P285,BS_RE33!$N$7:$N$874,'Summary &amp; Working File(AllCcy)'!$R$10)+SUMIF($P$13:$P$19,P285,$R$13:$R$19),2)</f>
        <v>0</v>
      </c>
    </row>
    <row r="286" spans="12:18">
      <c r="N286" s="3"/>
      <c r="O286" s="1">
        <f t="shared" si="84"/>
        <v>266</v>
      </c>
      <c r="P286" s="182">
        <f t="shared" si="84"/>
        <v>46323</v>
      </c>
      <c r="Q286" s="241">
        <f>ROUND(SUMIFS(BS_RE33!$U$7:$U$874,BS_RE33!$S$7:$S$874,'Summary &amp; Working File(AllCcy)'!P286,BS_RE33!$N$7:$N$874,'Summary &amp; Working File(AllCcy)'!$Q$10)+SUMIF($P$13:$P$19,P286,$Q$13:$Q$19),2)</f>
        <v>0</v>
      </c>
      <c r="R286" s="242">
        <f>ROUND(SUMIFS(BS_RE33!$U$7:$U$874,BS_RE33!$S$7:$S$874,'Summary &amp; Working File(AllCcy)'!P286,BS_RE33!$N$7:$N$874,'Summary &amp; Working File(AllCcy)'!$R$10)+SUMIF($P$13:$P$19,P286,$R$13:$R$19),2)</f>
        <v>0</v>
      </c>
    </row>
    <row r="287" spans="12:18">
      <c r="N287" s="3"/>
      <c r="O287" s="1">
        <f t="shared" si="84"/>
        <v>267</v>
      </c>
      <c r="P287" s="182">
        <f t="shared" si="84"/>
        <v>46324</v>
      </c>
      <c r="Q287" s="241">
        <f>ROUND(SUMIFS(BS_RE33!$U$7:$U$874,BS_RE33!$S$7:$S$874,'Summary &amp; Working File(AllCcy)'!P287,BS_RE33!$N$7:$N$874,'Summary &amp; Working File(AllCcy)'!$Q$10)+SUMIF($P$13:$P$19,P287,$Q$13:$Q$19),2)</f>
        <v>0</v>
      </c>
      <c r="R287" s="242">
        <f>ROUND(SUMIFS(BS_RE33!$U$7:$U$874,BS_RE33!$S$7:$S$874,'Summary &amp; Working File(AllCcy)'!P287,BS_RE33!$N$7:$N$874,'Summary &amp; Working File(AllCcy)'!$R$10)+SUMIF($P$13:$P$19,P287,$R$13:$R$19),2)</f>
        <v>0</v>
      </c>
    </row>
    <row r="288" spans="12:18">
      <c r="N288" s="3"/>
      <c r="O288" s="1">
        <f t="shared" si="84"/>
        <v>268</v>
      </c>
      <c r="P288" s="182">
        <f t="shared" si="84"/>
        <v>46325</v>
      </c>
      <c r="Q288" s="241">
        <f>ROUND(SUMIFS(BS_RE33!$U$7:$U$874,BS_RE33!$S$7:$S$874,'Summary &amp; Working File(AllCcy)'!P288,BS_RE33!$N$7:$N$874,'Summary &amp; Working File(AllCcy)'!$Q$10)+SUMIF($P$13:$P$19,P288,$Q$13:$Q$19),2)</f>
        <v>0</v>
      </c>
      <c r="R288" s="242">
        <f>ROUND(SUMIFS(BS_RE33!$U$7:$U$874,BS_RE33!$S$7:$S$874,'Summary &amp; Working File(AllCcy)'!P288,BS_RE33!$N$7:$N$874,'Summary &amp; Working File(AllCcy)'!$R$10)+SUMIF($P$13:$P$19,P288,$R$13:$R$19),2)</f>
        <v>0</v>
      </c>
    </row>
    <row r="289" spans="14:18">
      <c r="N289" s="3"/>
      <c r="O289" s="1">
        <f t="shared" si="84"/>
        <v>269</v>
      </c>
      <c r="P289" s="182">
        <f t="shared" si="84"/>
        <v>46326</v>
      </c>
      <c r="Q289" s="241">
        <f>ROUND(SUMIFS(BS_RE33!$U$7:$U$874,BS_RE33!$S$7:$S$874,'Summary &amp; Working File(AllCcy)'!P289,BS_RE33!$N$7:$N$874,'Summary &amp; Working File(AllCcy)'!$Q$10)+SUMIF($P$13:$P$19,P289,$Q$13:$Q$19),2)</f>
        <v>0</v>
      </c>
      <c r="R289" s="242">
        <f>ROUND(SUMIFS(BS_RE33!$U$7:$U$874,BS_RE33!$S$7:$S$874,'Summary &amp; Working File(AllCcy)'!P289,BS_RE33!$N$7:$N$874,'Summary &amp; Working File(AllCcy)'!$R$10)+SUMIF($P$13:$P$19,P289,$R$13:$R$19),2)</f>
        <v>0</v>
      </c>
    </row>
    <row r="290" spans="14:18">
      <c r="N290" s="3"/>
      <c r="O290" s="1">
        <f t="shared" si="84"/>
        <v>270</v>
      </c>
      <c r="P290" s="182">
        <f t="shared" si="84"/>
        <v>46327</v>
      </c>
      <c r="Q290" s="241">
        <f>ROUND(SUMIFS(BS_RE33!$U$7:$U$874,BS_RE33!$S$7:$S$874,'Summary &amp; Working File(AllCcy)'!P290,BS_RE33!$N$7:$N$874,'Summary &amp; Working File(AllCcy)'!$Q$10)+SUMIF($P$13:$P$19,P290,$Q$13:$Q$19),2)</f>
        <v>0</v>
      </c>
      <c r="R290" s="242">
        <f>ROUND(SUMIFS(BS_RE33!$U$7:$U$874,BS_RE33!$S$7:$S$874,'Summary &amp; Working File(AllCcy)'!P290,BS_RE33!$N$7:$N$874,'Summary &amp; Working File(AllCcy)'!$R$10)+SUMIF($P$13:$P$19,P290,$R$13:$R$19),2)</f>
        <v>0</v>
      </c>
    </row>
    <row r="291" spans="14:18">
      <c r="N291" s="3"/>
      <c r="O291" s="1">
        <f t="shared" si="84"/>
        <v>271</v>
      </c>
      <c r="P291" s="182">
        <f t="shared" si="84"/>
        <v>46328</v>
      </c>
      <c r="Q291" s="241">
        <f>ROUND(SUMIFS(BS_RE33!$U$7:$U$874,BS_RE33!$S$7:$S$874,'Summary &amp; Working File(AllCcy)'!P291,BS_RE33!$N$7:$N$874,'Summary &amp; Working File(AllCcy)'!$Q$10)+SUMIF($P$13:$P$19,P291,$Q$13:$Q$19),2)</f>
        <v>0</v>
      </c>
      <c r="R291" s="242">
        <f>ROUND(SUMIFS(BS_RE33!$U$7:$U$874,BS_RE33!$S$7:$S$874,'Summary &amp; Working File(AllCcy)'!P291,BS_RE33!$N$7:$N$874,'Summary &amp; Working File(AllCcy)'!$R$10)+SUMIF($P$13:$P$19,P291,$R$13:$R$19),2)</f>
        <v>0</v>
      </c>
    </row>
    <row r="292" spans="14:18">
      <c r="N292" s="3"/>
      <c r="O292" s="1">
        <f t="shared" si="84"/>
        <v>272</v>
      </c>
      <c r="P292" s="182">
        <f t="shared" si="84"/>
        <v>46329</v>
      </c>
      <c r="Q292" s="241">
        <f>ROUND(SUMIFS(BS_RE33!$U$7:$U$874,BS_RE33!$S$7:$S$874,'Summary &amp; Working File(AllCcy)'!P292,BS_RE33!$N$7:$N$874,'Summary &amp; Working File(AllCcy)'!$Q$10)+SUMIF($P$13:$P$19,P292,$Q$13:$Q$19),2)</f>
        <v>0</v>
      </c>
      <c r="R292" s="242">
        <f>ROUND(SUMIFS(BS_RE33!$U$7:$U$874,BS_RE33!$S$7:$S$874,'Summary &amp; Working File(AllCcy)'!P292,BS_RE33!$N$7:$N$874,'Summary &amp; Working File(AllCcy)'!$R$10)+SUMIF($P$13:$P$19,P292,$R$13:$R$19),2)</f>
        <v>0</v>
      </c>
    </row>
    <row r="293" spans="14:18">
      <c r="N293" s="3"/>
      <c r="O293" s="1">
        <f t="shared" si="84"/>
        <v>273</v>
      </c>
      <c r="P293" s="182">
        <f t="shared" si="84"/>
        <v>46330</v>
      </c>
      <c r="Q293" s="241">
        <f>ROUND(SUMIFS(BS_RE33!$U$7:$U$874,BS_RE33!$S$7:$S$874,'Summary &amp; Working File(AllCcy)'!P293,BS_RE33!$N$7:$N$874,'Summary &amp; Working File(AllCcy)'!$Q$10)+SUMIF($P$13:$P$19,P293,$Q$13:$Q$19),2)</f>
        <v>0</v>
      </c>
      <c r="R293" s="242">
        <f>ROUND(SUMIFS(BS_RE33!$U$7:$U$874,BS_RE33!$S$7:$S$874,'Summary &amp; Working File(AllCcy)'!P293,BS_RE33!$N$7:$N$874,'Summary &amp; Working File(AllCcy)'!$R$10)+SUMIF($P$13:$P$19,P293,$R$13:$R$19),2)</f>
        <v>0</v>
      </c>
    </row>
    <row r="294" spans="14:18">
      <c r="O294" s="1">
        <f t="shared" si="84"/>
        <v>274</v>
      </c>
      <c r="P294" s="182">
        <f t="shared" si="84"/>
        <v>46331</v>
      </c>
      <c r="Q294" s="241">
        <f>ROUND(SUMIFS(BS_RE33!$U$7:$U$874,BS_RE33!$S$7:$S$874,'Summary &amp; Working File(AllCcy)'!P294,BS_RE33!$N$7:$N$874,'Summary &amp; Working File(AllCcy)'!$Q$10)+SUMIF($P$13:$P$19,P294,$Q$13:$Q$19),2)</f>
        <v>0</v>
      </c>
      <c r="R294" s="242">
        <f>ROUND(SUMIFS(BS_RE33!$U$7:$U$874,BS_RE33!$S$7:$S$874,'Summary &amp; Working File(AllCcy)'!P294,BS_RE33!$N$7:$N$874,'Summary &amp; Working File(AllCcy)'!$R$10)+SUMIF($P$13:$P$19,P294,$R$13:$R$19),2)</f>
        <v>0</v>
      </c>
    </row>
  </sheetData>
  <autoFilter ref="A20:R277" xr:uid="{00000000-0009-0000-0000-000001000000}"/>
  <mergeCells count="13">
    <mergeCell ref="Q9:R9"/>
    <mergeCell ref="B18:B20"/>
    <mergeCell ref="C18:C20"/>
    <mergeCell ref="D18:M18"/>
    <mergeCell ref="D19:D20"/>
    <mergeCell ref="E19:H19"/>
    <mergeCell ref="I19:K19"/>
    <mergeCell ref="O13:O19"/>
    <mergeCell ref="B3:B5"/>
    <mergeCell ref="C3:C4"/>
    <mergeCell ref="D3:H3"/>
    <mergeCell ref="L19:L20"/>
    <mergeCell ref="M19:M20"/>
  </mergeCells>
  <phoneticPr fontId="3" type="noConversion"/>
  <conditionalFormatting sqref="H8">
    <cfRule type="containsText" dxfId="35" priority="3" operator="containsText" text="false">
      <formula>NOT(ISERROR(SEARCH("false",H8)))</formula>
    </cfRule>
    <cfRule type="containsText" dxfId="34" priority="4" operator="containsText" text="true">
      <formula>NOT(ISERROR(SEARCH("true",H8)))</formula>
    </cfRule>
  </conditionalFormatting>
  <conditionalFormatting sqref="J12">
    <cfRule type="containsText" dxfId="33" priority="1" operator="containsText" text="false">
      <formula>NOT(ISERROR(SEARCH("false",J12)))</formula>
    </cfRule>
    <cfRule type="containsText" dxfId="32" priority="2" operator="containsText" text="true">
      <formula>NOT(ISERROR(SEARCH("true",J12)))</formula>
    </cfRule>
  </conditionalFormatting>
  <pageMargins left="0.7" right="0.7" top="0.75" bottom="0.75" header="0.3" footer="0.3"/>
  <pageSetup paperSize="9" scale="22"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BK120"/>
  <sheetViews>
    <sheetView showGridLines="0" zoomScale="70" zoomScaleNormal="70" workbookViewId="0">
      <pane xSplit="2" ySplit="2" topLeftCell="C69" activePane="bottomRight" state="frozen"/>
      <selection pane="topRight" activeCell="C1" sqref="C1"/>
      <selection pane="bottomLeft" activeCell="A3" sqref="A3"/>
      <selection pane="bottomRight"/>
    </sheetView>
  </sheetViews>
  <sheetFormatPr defaultRowHeight="16.5"/>
  <cols>
    <col min="1" max="2" width="2.375" customWidth="1"/>
    <col min="3" max="3" width="18.375" bestFit="1" customWidth="1"/>
    <col min="4" max="4" width="40.75" customWidth="1"/>
    <col min="5" max="5" width="77.875" customWidth="1"/>
    <col min="6" max="6" width="60.375" customWidth="1"/>
    <col min="7" max="7" width="74" customWidth="1"/>
    <col min="8" max="8" width="28" bestFit="1" customWidth="1"/>
    <col min="9" max="9" width="15.625" customWidth="1"/>
    <col min="10" max="10" width="17.125" bestFit="1" customWidth="1"/>
    <col min="11" max="11" width="13.875" bestFit="1" customWidth="1"/>
    <col min="12" max="41" width="12.625" customWidth="1"/>
    <col min="42" max="42" width="12.375" customWidth="1"/>
    <col min="44" max="59" width="12.375" customWidth="1"/>
    <col min="60" max="63" width="10.875" bestFit="1" customWidth="1"/>
  </cols>
  <sheetData>
    <row r="1" spans="1:63">
      <c r="F1" s="522"/>
      <c r="M1" s="318"/>
    </row>
    <row r="2" spans="1:63" ht="25.5" customHeight="1" thickBot="1">
      <c r="C2" s="583">
        <f>BS_RE33!N4</f>
        <v>46058</v>
      </c>
      <c r="E2" s="522"/>
      <c r="F2" s="522"/>
      <c r="G2" s="395"/>
      <c r="I2" s="395"/>
      <c r="J2" s="395"/>
      <c r="L2" s="319" t="s">
        <v>65</v>
      </c>
      <c r="M2" s="319">
        <f>BS_RE33!N4+1</f>
        <v>46059</v>
      </c>
      <c r="N2" s="319">
        <f>M2+1</f>
        <v>46060</v>
      </c>
      <c r="O2" s="319">
        <f t="shared" ref="O2:Y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Y2+1</f>
        <v>46072</v>
      </c>
      <c r="AA2" s="319">
        <f>Z2+1</f>
        <v>46073</v>
      </c>
      <c r="AB2" s="319">
        <f>AA2+1</f>
        <v>46074</v>
      </c>
      <c r="AC2" s="319">
        <f t="shared" ref="AC2:AO2" si="1">AB2+1</f>
        <v>46075</v>
      </c>
      <c r="AD2" s="319">
        <f t="shared" si="1"/>
        <v>46076</v>
      </c>
      <c r="AE2" s="319">
        <f t="shared" si="1"/>
        <v>46077</v>
      </c>
      <c r="AF2" s="319">
        <f t="shared" si="1"/>
        <v>46078</v>
      </c>
      <c r="AG2" s="319">
        <f t="shared" si="1"/>
        <v>46079</v>
      </c>
      <c r="AH2" s="319">
        <f t="shared" si="1"/>
        <v>46080</v>
      </c>
      <c r="AI2" s="319">
        <f t="shared" si="1"/>
        <v>46081</v>
      </c>
      <c r="AJ2" s="319">
        <f t="shared" si="1"/>
        <v>46082</v>
      </c>
      <c r="AK2" s="319">
        <f t="shared" si="1"/>
        <v>46083</v>
      </c>
      <c r="AL2" s="319">
        <f t="shared" si="1"/>
        <v>46084</v>
      </c>
      <c r="AM2" s="319">
        <f t="shared" si="1"/>
        <v>46085</v>
      </c>
      <c r="AN2" s="319">
        <f t="shared" si="1"/>
        <v>46086</v>
      </c>
      <c r="AO2" s="319">
        <f t="shared" si="1"/>
        <v>46087</v>
      </c>
      <c r="AP2" s="319">
        <f>AO2+1</f>
        <v>46088</v>
      </c>
      <c r="AR2" s="377">
        <f>AP2+1</f>
        <v>46089</v>
      </c>
      <c r="AS2" s="377">
        <f t="shared" ref="AS2:BK2" si="2">AR2+1</f>
        <v>46090</v>
      </c>
      <c r="AT2" s="377">
        <f t="shared" si="2"/>
        <v>46091</v>
      </c>
      <c r="AU2" s="377">
        <f t="shared" si="2"/>
        <v>46092</v>
      </c>
      <c r="AV2" s="377">
        <f t="shared" si="2"/>
        <v>46093</v>
      </c>
      <c r="AW2" s="377">
        <f t="shared" si="2"/>
        <v>46094</v>
      </c>
      <c r="AX2" s="377">
        <f t="shared" si="2"/>
        <v>46095</v>
      </c>
      <c r="AY2" s="377">
        <f t="shared" si="2"/>
        <v>46096</v>
      </c>
      <c r="AZ2" s="377">
        <f t="shared" si="2"/>
        <v>46097</v>
      </c>
      <c r="BA2" s="377">
        <f t="shared" si="2"/>
        <v>46098</v>
      </c>
      <c r="BB2" s="377">
        <f t="shared" si="2"/>
        <v>46099</v>
      </c>
      <c r="BC2" s="377">
        <f t="shared" si="2"/>
        <v>46100</v>
      </c>
      <c r="BD2" s="377">
        <f t="shared" si="2"/>
        <v>46101</v>
      </c>
      <c r="BE2" s="377">
        <f t="shared" si="2"/>
        <v>46102</v>
      </c>
      <c r="BF2" s="377">
        <f t="shared" si="2"/>
        <v>46103</v>
      </c>
      <c r="BG2" s="377">
        <f t="shared" si="2"/>
        <v>46104</v>
      </c>
      <c r="BH2" s="377">
        <f t="shared" si="2"/>
        <v>46105</v>
      </c>
      <c r="BI2" s="377">
        <f t="shared" si="2"/>
        <v>46106</v>
      </c>
      <c r="BJ2" s="377">
        <f t="shared" si="2"/>
        <v>46107</v>
      </c>
      <c r="BK2" s="377">
        <f t="shared" si="2"/>
        <v>46108</v>
      </c>
    </row>
    <row r="3" spans="1:63" ht="39" thickTop="1">
      <c r="C3" s="320"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ROUND(SUMIFS(BS_RE33!$H$7:$H$874,BS_RE33!$S$7:$S$874,$L$2,BS_RE33!$N$7:$N$874,I4,BS_RE33!$P$7:$P$874,'30 days CF Table(ALL)'!G4),2)</f>
        <v>0</v>
      </c>
      <c r="M4" s="337">
        <f>ROUND(SUMIFS(BS_RE33!$H$7:$H$874,BS_RE33!$S$7:$S$874,$M$2,BS_RE33!$N$7:$N$874,I4,BS_RE33!$P$7:$P$874,'30 days CF Table(ALL)'!G4),2)</f>
        <v>0</v>
      </c>
      <c r="N4" s="337">
        <f>ROUND(SUMIFS(BS_RE33!$H$7:$H$874,BS_RE33!$S$7:$S$874,$N$2,BS_RE33!$N$7:$N$874,I4,BS_RE33!$P$7:$P$874,'30 days CF Table(ALL)'!G4),2)</f>
        <v>0</v>
      </c>
      <c r="O4" s="337">
        <f>ROUND(SUMIFS(BS_RE33!$H$7:$H$874,BS_RE33!$S$7:$S$874,$O$2,BS_RE33!$N$7:$N$874,I4,BS_RE33!$P$7:$P$874,'30 days CF Table(ALL)'!G4),2)</f>
        <v>0</v>
      </c>
      <c r="P4" s="337">
        <f>ROUND(SUMIFS(BS_RE33!$H$7:$H$874,BS_RE33!$S$7:$S$874,$P$2,BS_RE33!$N$7:$N$874,I4,BS_RE33!$P$7:$P$874,'30 days CF Table(ALL)'!G4),2)</f>
        <v>0</v>
      </c>
      <c r="Q4" s="337">
        <f>ROUND(SUMIFS(BS_RE33!$H$7:$H$874,BS_RE33!$S$7:$S$874,$Q$2,BS_RE33!$N$7:$N$874,I4,BS_RE33!$P$7:$P$874,'30 days CF Table(ALL)'!G4),2)</f>
        <v>0</v>
      </c>
      <c r="R4" s="337">
        <f>ROUND(SUMIFS(BS_RE33!$H$7:$H$874,BS_RE33!$S$7:$S$874,$R$2,BS_RE33!$N$7:$N$874,I4,BS_RE33!$P$7:$P$874,'30 days CF Table(ALL)'!G4),2)</f>
        <v>0</v>
      </c>
      <c r="S4" s="337">
        <f>ROUND(SUMIFS(BS_RE33!$H$7:$H$874,BS_RE33!$S$7:$S$874,$S$2,BS_RE33!$N$7:$N$874,I4,BS_RE33!$P$7:$P$874,'30 days CF Table(ALL)'!G4),2)</f>
        <v>0</v>
      </c>
      <c r="T4" s="337">
        <f>ROUND(SUMIFS(BS_RE33!$H$7:$H$874,BS_RE33!$S$7:$S$874,$T$2,BS_RE33!$N$7:$N$874,I4,BS_RE33!$P$7:$P$874,'30 days CF Table(ALL)'!G4),2)</f>
        <v>0</v>
      </c>
      <c r="U4" s="337">
        <f>ROUND(SUMIFS(BS_RE33!$H$7:$H$874,BS_RE33!$S$7:$S$874,$U$2,BS_RE33!$N$7:$N$874,I4,BS_RE33!$P$7:$P$874,'30 days CF Table(ALL)'!G4),2)</f>
        <v>0</v>
      </c>
      <c r="V4" s="337">
        <f>ROUND(SUMIFS(BS_RE33!$H$7:$H$874,BS_RE33!$S$7:$S$874,$V$2,BS_RE33!$N$7:$N$874,I4,BS_RE33!$P$7:$P$874,'30 days CF Table(ALL)'!G4),2)</f>
        <v>0</v>
      </c>
      <c r="W4" s="337">
        <f>ROUND(SUMIFS(BS_RE33!$H$7:$H$874,BS_RE33!$S$7:$S$874,$W$2,BS_RE33!$N$7:$N$874,I4,BS_RE33!$P$7:$P$874,'30 days CF Table(ALL)'!G4),2)</f>
        <v>0</v>
      </c>
      <c r="X4" s="337">
        <f>ROUND(SUMIFS(BS_RE33!$H$7:$H$874,BS_RE33!$S$7:$S$874,$X$2,BS_RE33!$N$7:$N$874,I4,BS_RE33!$P$7:$P$874,'30 days CF Table(ALL)'!G4),2)</f>
        <v>0</v>
      </c>
      <c r="Y4" s="337">
        <f>ROUND(SUMIFS(BS_RE33!$H$7:$H$874,BS_RE33!$S$7:$S$874,$Y$2,BS_RE33!$N$7:$N$874,I4,BS_RE33!$P$7:$P$874,'30 days CF Table(ALL)'!G4),2)</f>
        <v>0</v>
      </c>
      <c r="Z4" s="337">
        <f>ROUND(SUMIFS(BS_RE33!$H$7:$H$874,BS_RE33!$S$7:$S$874,$Z$2,BS_RE33!$N$7:$N$874,I4,BS_RE33!$P$7:$P$874,'30 days CF Table(ALL)'!G4),2)</f>
        <v>0</v>
      </c>
      <c r="AA4" s="337">
        <f>ROUND(SUMIFS(BS_RE33!$H$7:$H$874,BS_RE33!$S$7:$S$874,$AA$2,BS_RE33!$N$7:$N$874,I4,BS_RE33!$P$7:$P$874,'30 days CF Table(ALL)'!G4),2)</f>
        <v>0</v>
      </c>
      <c r="AB4" s="337">
        <f>ROUND(SUMIFS(BS_RE33!$H$7:$H$874,BS_RE33!$S$7:$S$874,$AB$2,BS_RE33!$N$7:$N$874,I4,BS_RE33!$P$7:$P$874,'30 days CF Table(ALL)'!G4),2)</f>
        <v>0</v>
      </c>
      <c r="AC4" s="337">
        <f>ROUND(SUMIFS(BS_RE33!$H$7:$H$874,BS_RE33!$S$7:$S$874,$AC$2,BS_RE33!$N$7:$N$874,I4,BS_RE33!$P$7:$P$874,'30 days CF Table(ALL)'!G4),2)</f>
        <v>0</v>
      </c>
      <c r="AD4" s="337">
        <f>ROUND(SUMIFS(BS_RE33!$H$7:$H$874,BS_RE33!$S$7:$S$874,$AD$2,BS_RE33!$N$7:$N$874,I4,BS_RE33!$P$7:$P$874,'30 days CF Table(ALL)'!G4),2)</f>
        <v>0</v>
      </c>
      <c r="AE4" s="337">
        <f>ROUND(SUMIFS(BS_RE33!$H$7:$H$874,BS_RE33!$S$7:$S$874,$AE$2,BS_RE33!$N$7:$N$874,I4,BS_RE33!$P$7:$P$874,'30 days CF Table(ALL)'!G4),2)</f>
        <v>0</v>
      </c>
      <c r="AF4" s="337">
        <f>ROUND(SUMIFS(BS_RE33!$H$7:$H$874,BS_RE33!$S$7:$S$874,$AF$2,BS_RE33!$N$7:$N$874,I4,BS_RE33!$P$7:$P$874,'30 days CF Table(ALL)'!G4),2)</f>
        <v>0</v>
      </c>
      <c r="AG4" s="337">
        <f>ROUND(SUMIFS(BS_RE33!$H$7:$H$874,BS_RE33!$S$7:$S$874,$AG$2,BS_RE33!$N$7:$N$874,I4,BS_RE33!$P$7:$P$874,'30 days CF Table(ALL)'!G4),2)</f>
        <v>0</v>
      </c>
      <c r="AH4" s="337">
        <f>ROUND(SUMIFS(BS_RE33!$H$7:$H$874,BS_RE33!$S$7:$S$874,$AH$2,BS_RE33!$N$7:$N$874,I4,BS_RE33!$P$7:$P$874,'30 days CF Table(ALL)'!G4),2)</f>
        <v>0</v>
      </c>
      <c r="AI4" s="337">
        <f>ROUND(SUMIFS(BS_RE33!$H$7:$H$874,BS_RE33!$S$7:$S$874,$AI$2,BS_RE33!$N$7:$N$874,I4,BS_RE33!$P$7:$P$874,'30 days CF Table(ALL)'!G4),2)</f>
        <v>0</v>
      </c>
      <c r="AJ4" s="337">
        <f>ROUND(SUMIFS(BS_RE33!$H$7:$H$874,BS_RE33!$S$7:$S$874,$AJ$2,BS_RE33!$N$7:$N$874,I4,BS_RE33!$P$7:$P$874,'30 days CF Table(ALL)'!G4),2)</f>
        <v>0</v>
      </c>
      <c r="AK4" s="337">
        <f>ROUND(SUMIFS(BS_RE33!$H$7:$H$874,BS_RE33!$S$7:$S$874,$AK$2,BS_RE33!$N$7:$N$874,I4,BS_RE33!$P$7:$P$874,'30 days CF Table(ALL)'!G4),2)</f>
        <v>0</v>
      </c>
      <c r="AL4" s="337">
        <f>ROUND(SUMIFS(BS_RE33!$H$7:$H$874,BS_RE33!$S$7:$S$874,$AL$2,BS_RE33!$N$7:$N$874,I4,BS_RE33!$P$7:$P$874,'30 days CF Table(ALL)'!G4),2)</f>
        <v>0</v>
      </c>
      <c r="AM4" s="337">
        <f>ROUND(SUMIFS(BS_RE33!$H$7:$H$874,BS_RE33!$S$7:$S$874,$AM$2,BS_RE33!$N$7:$N$874,I4,BS_RE33!$P$7:$P$874,'30 days CF Table(ALL)'!G4),2)</f>
        <v>0</v>
      </c>
      <c r="AN4" s="337">
        <f>ROUND(SUMIFS(BS_RE33!$H$7:$H$874,BS_RE33!$S$7:$S$874,$AN$2,BS_RE33!$N$7:$N$874,I4,BS_RE33!$P$7:$P$874,'30 days CF Table(ALL)'!G4),2)</f>
        <v>0</v>
      </c>
      <c r="AO4" s="337">
        <f>ROUND(SUMIFS(BS_RE33!$H$7:$H$874,BS_RE33!$S$7:$S$874,$AO$2,BS_RE33!$N$7:$N$874,I4,BS_RE33!$P$7:$P$874,'30 days CF Table(ALL)'!G4),2)</f>
        <v>0</v>
      </c>
      <c r="AP4" s="338">
        <f>ROUND(SUMIFS(BS_RE33!$H$7:$H$874,BS_RE33!$S$7:$S$874,$AP$2,BS_RE33!$N$7:$N$874,I4,BS_RE33!$P$7:$P$874,'30 days CF Table(ALL)'!G4),2)</f>
        <v>0</v>
      </c>
      <c r="AQ4" s="545"/>
      <c r="AR4" s="379">
        <f>ROUND(SUMIFS(BS_RE33!$H$7:$H$874,BS_RE33!$S$7:$S$874,$AR$2,BS_RE33!$N$7:$N$874,I4,BS_RE33!$P$7:$P$874,'30 days CF Table(ALL)'!G4),2)</f>
        <v>0</v>
      </c>
      <c r="AS4" s="379">
        <f>ROUND(SUMIFS(BS_RE33!$H$7:$H$874,BS_RE33!$S$7:$S$874,$AS$2,BS_RE33!$N$7:$N$874,I4,BS_RE33!$P$7:$P$874,'30 days CF Table(ALL)'!G4),2)</f>
        <v>0</v>
      </c>
      <c r="AT4" s="379">
        <f>ROUND(SUMIFS(BS_RE33!$H$7:$H$874,BS_RE33!$S$7:$S$874,$AT$2,BS_RE33!$N$7:$N$874,I4,BS_RE33!$P$7:$P$874,'30 days CF Table(ALL)'!G4),2)</f>
        <v>0</v>
      </c>
      <c r="AU4" s="379">
        <f>ROUND(SUMIFS(BS_RE33!$H$7:$H$874,BS_RE33!$S$7:$S$874,$AU$2,BS_RE33!$N$7:$N$874,I4,BS_RE33!$P$7:$P$874,'30 days CF Table(ALL)'!G4),2)</f>
        <v>0</v>
      </c>
      <c r="AV4" s="379">
        <f>ROUND(SUMIFS(BS_RE33!$H$7:$H$874,BS_RE33!$S$7:$S$874,$AV$2,BS_RE33!$N$7:$N$874,I4,BS_RE33!$P$7:$P$874,'30 days CF Table(ALL)'!G4),2)</f>
        <v>0</v>
      </c>
      <c r="AW4" s="379">
        <f>ROUND(SUMIFS(BS_RE33!$H$7:$H$874,BS_RE33!$S$7:$S$874,$AW$2,BS_RE33!$N$7:$N$874,I4,BS_RE33!$P$7:$P$874,'30 days CF Table(ALL)'!G4),2)</f>
        <v>0</v>
      </c>
      <c r="AX4" s="379">
        <f>ROUND(SUMIFS(BS_RE33!$H$7:$H$874,BS_RE33!$S$7:$S$874,$AX$2,BS_RE33!$N$7:$N$874,I4,BS_RE33!$P$7:$P$874,'30 days CF Table(ALL)'!G4),2)</f>
        <v>0</v>
      </c>
      <c r="AY4" s="379">
        <f>ROUND(SUMIFS(BS_RE33!$H$7:$H$874,BS_RE33!$S$7:$S$874,$AY$2,BS_RE33!$N$7:$N$874,I4,BS_RE33!$P$7:$P$874,'30 days CF Table(ALL)'!G4),2)</f>
        <v>0</v>
      </c>
      <c r="AZ4" s="379">
        <f>ROUND(SUMIFS(BS_RE33!$H$7:$H$874,BS_RE33!$S$7:$S$874,$AZ$2,BS_RE33!$N$7:$N$874,I4,BS_RE33!$P$7:$P$874,'30 days CF Table(ALL)'!G4),2)</f>
        <v>0</v>
      </c>
      <c r="BA4" s="379">
        <f>ROUND(SUMIFS(BS_RE33!$H$7:$H$874,BS_RE33!$S$7:$S$874,$BA$2,BS_RE33!$N$7:$N$874,I4,BS_RE33!$P$7:$P$874,'30 days CF Table(ALL)'!G4),2)</f>
        <v>0</v>
      </c>
      <c r="BB4" s="379">
        <f>ROUND(SUMIFS(BS_RE33!$H$7:$H$874,BS_RE33!$S$7:$S$874,$BB$2,BS_RE33!$N$7:$N$874,I4,BS_RE33!$P$7:$P$874,'30 days CF Table(ALL)'!G4),2)</f>
        <v>0</v>
      </c>
      <c r="BC4" s="379">
        <f>ROUND(SUMIFS(BS_RE33!$H$7:$H$874,BS_RE33!$S$7:$S$874,$BC$2,BS_RE33!$N$7:$N$874,I4,BS_RE33!$P$7:$P$874,'30 days CF Table(ALL)'!G4),2)</f>
        <v>0</v>
      </c>
      <c r="BD4" s="379">
        <f>ROUND(SUMIFS(BS_RE33!$H$7:$H$874,BS_RE33!$S$7:$S$874,$BD$2,BS_RE33!$N$7:$N$874,I4,BS_RE33!$P$7:$P$874,'30 days CF Table(ALL)'!G4),2)</f>
        <v>0</v>
      </c>
      <c r="BE4" s="379">
        <f>ROUND(SUMIFS(BS_RE33!$H$7:$H$874,BS_RE33!$S$7:$S$874,$BE$2,BS_RE33!$N$7:$N$874,I4,BS_RE33!$P$7:$P$874,'30 days CF Table(ALL)'!G4),2)</f>
        <v>0</v>
      </c>
      <c r="BF4" s="379">
        <f>ROUND(SUMIFS(BS_RE33!$H$7:$H$874,BS_RE33!$S$7:$S$874,$BF$2,BS_RE33!$N$7:$N$874,I4,BS_RE33!$P$7:$P$874,'30 days CF Table(ALL)'!G4),2)</f>
        <v>0</v>
      </c>
      <c r="BG4" s="379">
        <f>ROUND(SUMIFS(BS_RE33!$H$7:$H$874,BS_RE33!$S$7:$S$874,$BG$2,BS_RE33!$N$7:$N$874,I4,BS_RE33!$P$7:$P$874,'30 days CF Table(ALL)'!G4),2)</f>
        <v>0</v>
      </c>
      <c r="BH4" s="379">
        <f>ROUND(SUMIFS(BS_RE33!$H$7:$H$874,BS_RE33!$S$7:$S$874,$BH$2,BS_RE33!$N$7:$N$874,I4,BS_RE33!$P$7:$P$874,'30 days CF Table(ALL)'!G4),2)</f>
        <v>0</v>
      </c>
      <c r="BI4" s="379">
        <f>ROUND(SUMIFS(BS_RE33!$H$7:$H$874,BS_RE33!$S$7:$S$874,$BI$2,BS_RE33!$N$7:$N$874,I4,BS_RE33!$P$7:$P$874,'30 days CF Table(ALL)'!G4),2)</f>
        <v>0</v>
      </c>
      <c r="BJ4" s="379">
        <f>ROUND(SUMIFS(BS_RE33!$H$7:$H$874,BS_RE33!$S$7:$S$874,$BJ$2,BS_RE33!$N$7:$N$874,I4,BS_RE33!$P$7:$P$874,'30 days CF Table(ALL)'!G4),2)</f>
        <v>0</v>
      </c>
      <c r="BK4" s="379">
        <f>ROUND(SUMIFS(BS_RE33!$H$7:$H$874,BS_RE33!$S$7:$S$874,$BK$2,BS_RE33!$N$7:$N$874,I4,BS_RE33!$P$7:$P$874,'30 days CF Table(ALL)'!G4),2)</f>
        <v>0</v>
      </c>
    </row>
    <row r="5" spans="1:63">
      <c r="C5" s="1029"/>
      <c r="D5" s="1030"/>
      <c r="E5" s="73" t="s">
        <v>61</v>
      </c>
      <c r="F5" s="309"/>
      <c r="G5" s="392" t="s">
        <v>496</v>
      </c>
      <c r="H5" s="130">
        <v>1</v>
      </c>
      <c r="I5" s="305" t="s">
        <v>63</v>
      </c>
      <c r="J5" s="477">
        <f t="shared" ref="J5:J64" si="3">SUM(L5:AP5)/1000000</f>
        <v>0</v>
      </c>
      <c r="K5" s="335">
        <f t="shared" ref="K5:K35" si="4">SUM(L5:AP5)*H5</f>
        <v>0</v>
      </c>
      <c r="L5" s="337">
        <f>ROUND(SUMIFS(BS_RE33!$H$7:$H$874,BS_RE33!$S$7:$S$874,$L$2,BS_RE33!$N$7:$N$874,I5,BS_RE33!$P$7:$P$874,'30 days CF Table(ALL)'!G5),2)</f>
        <v>0</v>
      </c>
      <c r="M5" s="337">
        <f>ROUND(SUMIFS(BS_RE33!$H$7:$H$874,BS_RE33!$S$7:$S$874,$M$2,BS_RE33!$N$7:$N$874,I5,BS_RE33!$P$7:$P$874,'30 days CF Table(ALL)'!G5),2)</f>
        <v>0</v>
      </c>
      <c r="N5" s="337">
        <f>ROUND(SUMIFS(BS_RE33!$H$7:$H$874,BS_RE33!$S$7:$S$874,$N$2,BS_RE33!$N$7:$N$874,I5,BS_RE33!$P$7:$P$874,'30 days CF Table(ALL)'!G5),2)</f>
        <v>0</v>
      </c>
      <c r="O5" s="337">
        <f>ROUND(SUMIFS(BS_RE33!$H$7:$H$874,BS_RE33!$S$7:$S$874,$O$2,BS_RE33!$N$7:$N$874,I5,BS_RE33!$P$7:$P$874,'30 days CF Table(ALL)'!G5),2)</f>
        <v>0</v>
      </c>
      <c r="P5" s="337">
        <f>ROUND(SUMIFS(BS_RE33!$H$7:$H$874,BS_RE33!$S$7:$S$874,$P$2,BS_RE33!$N$7:$N$874,I5,BS_RE33!$P$7:$P$874,'30 days CF Table(ALL)'!G5),2)</f>
        <v>0</v>
      </c>
      <c r="Q5" s="337">
        <f>ROUND(SUMIFS(BS_RE33!$H$7:$H$874,BS_RE33!$S$7:$S$874,$Q$2,BS_RE33!$N$7:$N$874,I5,BS_RE33!$P$7:$P$874,'30 days CF Table(ALL)'!G5),2)</f>
        <v>0</v>
      </c>
      <c r="R5" s="337">
        <f>ROUND(SUMIFS(BS_RE33!$H$7:$H$874,BS_RE33!$S$7:$S$874,$R$2,BS_RE33!$N$7:$N$874,I5,BS_RE33!$P$7:$P$874,'30 days CF Table(ALL)'!G5),2)</f>
        <v>0</v>
      </c>
      <c r="S5" s="337">
        <f>ROUND(SUMIFS(BS_RE33!$H$7:$H$874,BS_RE33!$S$7:$S$874,$S$2,BS_RE33!$N$7:$N$874,I5,BS_RE33!$P$7:$P$874,'30 days CF Table(ALL)'!G5),2)</f>
        <v>0</v>
      </c>
      <c r="T5" s="337">
        <f>ROUND(SUMIFS(BS_RE33!$H$7:$H$874,BS_RE33!$S$7:$S$874,$T$2,BS_RE33!$N$7:$N$874,I5,BS_RE33!$P$7:$P$874,'30 days CF Table(ALL)'!G5),2)</f>
        <v>0</v>
      </c>
      <c r="U5" s="337">
        <f>ROUND(SUMIFS(BS_RE33!$H$7:$H$874,BS_RE33!$S$7:$S$874,$U$2,BS_RE33!$N$7:$N$874,I5,BS_RE33!$P$7:$P$874,'30 days CF Table(ALL)'!G5),2)</f>
        <v>0</v>
      </c>
      <c r="V5" s="337">
        <f>ROUND(SUMIFS(BS_RE33!$H$7:$H$874,BS_RE33!$S$7:$S$874,$V$2,BS_RE33!$N$7:$N$874,I5,BS_RE33!$P$7:$P$874,'30 days CF Table(ALL)'!G5),2)</f>
        <v>0</v>
      </c>
      <c r="W5" s="337">
        <f>ROUND(SUMIFS(BS_RE33!$H$7:$H$874,BS_RE33!$S$7:$S$874,$W$2,BS_RE33!$N$7:$N$874,I5,BS_RE33!$P$7:$P$874,'30 days CF Table(ALL)'!G5),2)</f>
        <v>0</v>
      </c>
      <c r="X5" s="337">
        <f>ROUND(SUMIFS(BS_RE33!$H$7:$H$874,BS_RE33!$S$7:$S$874,$X$2,BS_RE33!$N$7:$N$874,I5,BS_RE33!$P$7:$P$874,'30 days CF Table(ALL)'!G5),2)</f>
        <v>0</v>
      </c>
      <c r="Y5" s="337">
        <f>ROUND(SUMIFS(BS_RE33!$H$7:$H$874,BS_RE33!$S$7:$S$874,$Y$2,BS_RE33!$N$7:$N$874,I5,BS_RE33!$P$7:$P$874,'30 days CF Table(ALL)'!G5),2)</f>
        <v>0</v>
      </c>
      <c r="Z5" s="337">
        <f>ROUND(SUMIFS(BS_RE33!$H$7:$H$874,BS_RE33!$S$7:$S$874,$Z$2,BS_RE33!$N$7:$N$874,I5,BS_RE33!$P$7:$P$874,'30 days CF Table(ALL)'!G5),2)</f>
        <v>0</v>
      </c>
      <c r="AA5" s="337">
        <f>ROUND(SUMIFS(BS_RE33!$H$7:$H$874,BS_RE33!$S$7:$S$874,$AA$2,BS_RE33!$N$7:$N$874,I5,BS_RE33!$P$7:$P$874,'30 days CF Table(ALL)'!G5),2)</f>
        <v>0</v>
      </c>
      <c r="AB5" s="337">
        <f>ROUND(SUMIFS(BS_RE33!$H$7:$H$874,BS_RE33!$S$7:$S$874,$AB$2,BS_RE33!$N$7:$N$874,I5,BS_RE33!$P$7:$P$874,'30 days CF Table(ALL)'!G5),2)</f>
        <v>0</v>
      </c>
      <c r="AC5" s="337">
        <f>ROUND(SUMIFS(BS_RE33!$H$7:$H$874,BS_RE33!$S$7:$S$874,$AC$2,BS_RE33!$N$7:$N$874,I5,BS_RE33!$P$7:$P$874,'30 days CF Table(ALL)'!G5),2)</f>
        <v>0</v>
      </c>
      <c r="AD5" s="337">
        <f>ROUND(SUMIFS(BS_RE33!$H$7:$H$874,BS_RE33!$S$7:$S$874,$AD$2,BS_RE33!$N$7:$N$874,I5,BS_RE33!$P$7:$P$874,'30 days CF Table(ALL)'!G5),2)</f>
        <v>0</v>
      </c>
      <c r="AE5" s="337">
        <f>ROUND(SUMIFS(BS_RE33!$H$7:$H$874,BS_RE33!$S$7:$S$874,$AE$2,BS_RE33!$N$7:$N$874,I5,BS_RE33!$P$7:$P$874,'30 days CF Table(ALL)'!G5),2)</f>
        <v>0</v>
      </c>
      <c r="AF5" s="337">
        <f>ROUND(SUMIFS(BS_RE33!$H$7:$H$874,BS_RE33!$S$7:$S$874,$AF$2,BS_RE33!$N$7:$N$874,I5,BS_RE33!$P$7:$P$874,'30 days CF Table(ALL)'!G5),2)</f>
        <v>0</v>
      </c>
      <c r="AG5" s="337">
        <f>ROUND(SUMIFS(BS_RE33!$H$7:$H$874,BS_RE33!$S$7:$S$874,$AG$2,BS_RE33!$N$7:$N$874,I5,BS_RE33!$P$7:$P$874,'30 days CF Table(ALL)'!G5),2)</f>
        <v>0</v>
      </c>
      <c r="AH5" s="337">
        <f>ROUND(SUMIFS(BS_RE33!$H$7:$H$874,BS_RE33!$S$7:$S$874,$AH$2,BS_RE33!$N$7:$N$874,I5,BS_RE33!$P$7:$P$874,'30 days CF Table(ALL)'!G5),2)</f>
        <v>0</v>
      </c>
      <c r="AI5" s="337">
        <f>ROUND(SUMIFS(BS_RE33!$H$7:$H$874,BS_RE33!$S$7:$S$874,$AI$2,BS_RE33!$N$7:$N$874,I5,BS_RE33!$P$7:$P$874,'30 days CF Table(ALL)'!G5),2)</f>
        <v>0</v>
      </c>
      <c r="AJ5" s="337">
        <f>ROUND(SUMIFS(BS_RE33!$H$7:$H$874,BS_RE33!$S$7:$S$874,$AJ$2,BS_RE33!$N$7:$N$874,I5,BS_RE33!$P$7:$P$874,'30 days CF Table(ALL)'!G5),2)</f>
        <v>0</v>
      </c>
      <c r="AK5" s="337">
        <f>ROUND(SUMIFS(BS_RE33!$H$7:$H$874,BS_RE33!$S$7:$S$874,$AK$2,BS_RE33!$N$7:$N$874,I5,BS_RE33!$P$7:$P$874,'30 days CF Table(ALL)'!G5),2)</f>
        <v>0</v>
      </c>
      <c r="AL5" s="337">
        <f>ROUND(SUMIFS(BS_RE33!$H$7:$H$874,BS_RE33!$S$7:$S$874,$AL$2,BS_RE33!$N$7:$N$874,I5,BS_RE33!$P$7:$P$874,'30 days CF Table(ALL)'!G5),2)</f>
        <v>0</v>
      </c>
      <c r="AM5" s="337">
        <f>ROUND(SUMIFS(BS_RE33!$H$7:$H$874,BS_RE33!$S$7:$S$874,$AM$2,BS_RE33!$N$7:$N$874,I5,BS_RE33!$P$7:$P$874,'30 days CF Table(ALL)'!G5),2)</f>
        <v>0</v>
      </c>
      <c r="AN5" s="337">
        <f>ROUND(SUMIFS(BS_RE33!$H$7:$H$874,BS_RE33!$S$7:$S$874,$AN$2,BS_RE33!$N$7:$N$874,I5,BS_RE33!$P$7:$P$874,'30 days CF Table(ALL)'!G5),2)</f>
        <v>0</v>
      </c>
      <c r="AO5" s="337">
        <f>ROUND(SUMIFS(BS_RE33!$H$7:$H$874,BS_RE33!$S$7:$S$874,$AO$2,BS_RE33!$N$7:$N$874,I5,BS_RE33!$P$7:$P$874,'30 days CF Table(ALL)'!G5),2)</f>
        <v>0</v>
      </c>
      <c r="AP5" s="338">
        <f>ROUND(SUMIFS(BS_RE33!$H$7:$H$874,BS_RE33!$S$7:$S$874,$AP$2,BS_RE33!$N$7:$N$874,I5,BS_RE33!$P$7:$P$874,'30 days CF Table(ALL)'!G5),2)</f>
        <v>0</v>
      </c>
      <c r="AQ5" s="545"/>
      <c r="AR5" s="379">
        <f>ROUND(SUMIFS(BS_RE33!$H$7:$H$874,BS_RE33!$S$7:$S$874,$AR$2,BS_RE33!$N$7:$N$874,I5,BS_RE33!$P$7:$P$874,'30 days CF Table(ALL)'!G5),2)</f>
        <v>0</v>
      </c>
      <c r="AS5" s="379">
        <f>ROUND(SUMIFS(BS_RE33!$H$7:$H$874,BS_RE33!$S$7:$S$874,$AS$2,BS_RE33!$N$7:$N$874,I5,BS_RE33!$P$7:$P$874,'30 days CF Table(ALL)'!G5),2)</f>
        <v>0</v>
      </c>
      <c r="AT5" s="379">
        <f>ROUND(SUMIFS(BS_RE33!$H$7:$H$874,BS_RE33!$S$7:$S$874,$AT$2,BS_RE33!$N$7:$N$874,I5,BS_RE33!$P$7:$P$874,'30 days CF Table(ALL)'!G5),2)</f>
        <v>0</v>
      </c>
      <c r="AU5" s="379">
        <f>ROUND(SUMIFS(BS_RE33!$H$7:$H$874,BS_RE33!$S$7:$S$874,$AU$2,BS_RE33!$N$7:$N$874,I5,BS_RE33!$P$7:$P$874,'30 days CF Table(ALL)'!G5),2)</f>
        <v>0</v>
      </c>
      <c r="AV5" s="379">
        <f>ROUND(SUMIFS(BS_RE33!$H$7:$H$874,BS_RE33!$S$7:$S$874,$AV$2,BS_RE33!$N$7:$N$874,I5,BS_RE33!$P$7:$P$874,'30 days CF Table(ALL)'!G5),2)</f>
        <v>0</v>
      </c>
      <c r="AW5" s="379">
        <f>ROUND(SUMIFS(BS_RE33!$H$7:$H$874,BS_RE33!$S$7:$S$874,$AW$2,BS_RE33!$N$7:$N$874,I5,BS_RE33!$P$7:$P$874,'30 days CF Table(ALL)'!G5),2)</f>
        <v>0</v>
      </c>
      <c r="AX5" s="379">
        <f>ROUND(SUMIFS(BS_RE33!$H$7:$H$874,BS_RE33!$S$7:$S$874,$AX$2,BS_RE33!$N$7:$N$874,I5,BS_RE33!$P$7:$P$874,'30 days CF Table(ALL)'!G5),2)</f>
        <v>0</v>
      </c>
      <c r="AY5" s="379">
        <f>ROUND(SUMIFS(BS_RE33!$H$7:$H$874,BS_RE33!$S$7:$S$874,$AY$2,BS_RE33!$N$7:$N$874,I5,BS_RE33!$P$7:$P$874,'30 days CF Table(ALL)'!G5),2)</f>
        <v>0</v>
      </c>
      <c r="AZ5" s="379">
        <f>ROUND(SUMIFS(BS_RE33!$H$7:$H$874,BS_RE33!$S$7:$S$874,$AZ$2,BS_RE33!$N$7:$N$874,I5,BS_RE33!$P$7:$P$874,'30 days CF Table(ALL)'!G5),2)</f>
        <v>0</v>
      </c>
      <c r="BA5" s="379">
        <f>ROUND(SUMIFS(BS_RE33!$H$7:$H$874,BS_RE33!$S$7:$S$874,$BA$2,BS_RE33!$N$7:$N$874,I5,BS_RE33!$P$7:$P$874,'30 days CF Table(ALL)'!G5),2)</f>
        <v>0</v>
      </c>
      <c r="BB5" s="379">
        <f>ROUND(SUMIFS(BS_RE33!$H$7:$H$874,BS_RE33!$S$7:$S$874,$BB$2,BS_RE33!$N$7:$N$874,I5,BS_RE33!$P$7:$P$874,'30 days CF Table(ALL)'!G5),2)</f>
        <v>0</v>
      </c>
      <c r="BC5" s="379">
        <f>ROUND(SUMIFS(BS_RE33!$H$7:$H$874,BS_RE33!$S$7:$S$874,$BC$2,BS_RE33!$N$7:$N$874,I5,BS_RE33!$P$7:$P$874,'30 days CF Table(ALL)'!G5),2)</f>
        <v>0</v>
      </c>
      <c r="BD5" s="379">
        <f>ROUND(SUMIFS(BS_RE33!$H$7:$H$874,BS_RE33!$S$7:$S$874,$BD$2,BS_RE33!$N$7:$N$874,I5,BS_RE33!$P$7:$P$874,'30 days CF Table(ALL)'!G5),2)</f>
        <v>0</v>
      </c>
      <c r="BE5" s="379">
        <f>ROUND(SUMIFS(BS_RE33!$H$7:$H$874,BS_RE33!$S$7:$S$874,$BE$2,BS_RE33!$N$7:$N$874,I5,BS_RE33!$P$7:$P$874,'30 days CF Table(ALL)'!G5),2)</f>
        <v>0</v>
      </c>
      <c r="BF5" s="379">
        <f>ROUND(SUMIFS(BS_RE33!$H$7:$H$874,BS_RE33!$S$7:$S$874,$BF$2,BS_RE33!$N$7:$N$874,I5,BS_RE33!$P$7:$P$874,'30 days CF Table(ALL)'!G5),2)</f>
        <v>0</v>
      </c>
      <c r="BG5" s="379">
        <f>ROUND(SUMIFS(BS_RE33!$H$7:$H$874,BS_RE33!$S$7:$S$874,$BG$2,BS_RE33!$N$7:$N$874,I5,BS_RE33!$P$7:$P$874,'30 days CF Table(ALL)'!G5),2)</f>
        <v>0</v>
      </c>
      <c r="BH5" s="379">
        <f>ROUND(SUMIFS(BS_RE33!$H$7:$H$874,BS_RE33!$S$7:$S$874,$BH$2,BS_RE33!$N$7:$N$874,I5,BS_RE33!$P$7:$P$874,'30 days CF Table(ALL)'!G5),2)</f>
        <v>0</v>
      </c>
      <c r="BI5" s="379">
        <f>ROUND(SUMIFS(BS_RE33!$H$7:$H$874,BS_RE33!$S$7:$S$874,$BI$2,BS_RE33!$N$7:$N$874,I5,BS_RE33!$P$7:$P$874,'30 days CF Table(ALL)'!G5),2)</f>
        <v>0</v>
      </c>
      <c r="BJ5" s="379">
        <f>ROUND(SUMIFS(BS_RE33!$H$7:$H$874,BS_RE33!$S$7:$S$874,$BJ$2,BS_RE33!$N$7:$N$874,I5,BS_RE33!$P$7:$P$874,'30 days CF Table(ALL)'!G5),2)</f>
        <v>0</v>
      </c>
      <c r="BK5" s="379">
        <f>ROUND(SUMIFS(BS_RE33!$H$7:$H$874,BS_RE33!$S$7:$S$874,$BK$2,BS_RE33!$N$7:$N$874,I5,BS_RE33!$P$7:$P$874,'30 days CF Table(ALL)'!G5),2)</f>
        <v>0</v>
      </c>
    </row>
    <row r="6" spans="1:63" ht="20.25">
      <c r="C6" s="1029"/>
      <c r="D6" s="332" t="s">
        <v>737</v>
      </c>
      <c r="E6" s="310" t="s">
        <v>546</v>
      </c>
      <c r="F6" s="309"/>
      <c r="G6" s="392" t="s">
        <v>738</v>
      </c>
      <c r="H6" s="130">
        <v>1</v>
      </c>
      <c r="I6" s="305" t="s">
        <v>63</v>
      </c>
      <c r="J6" s="477">
        <f t="shared" si="3"/>
        <v>0</v>
      </c>
      <c r="K6" s="335">
        <f t="shared" si="4"/>
        <v>0</v>
      </c>
      <c r="L6" s="337">
        <f>ROUND(SUMIFS(BS_RE33!$H$7:$H$874,BS_RE33!$S$7:$S$874,$L$2,BS_RE33!$N$7:$N$874,I6,BS_RE33!$P$7:$P$874,'30 days CF Table(ALL)'!G6),2)</f>
        <v>0</v>
      </c>
      <c r="M6" s="337">
        <f>ROUND(SUMIFS(BS_RE33!$H$7:$H$874,BS_RE33!$S$7:$S$874,$M$2,BS_RE33!$N$7:$N$874,I6,BS_RE33!$P$7:$P$874,'30 days CF Table(ALL)'!G6),2)</f>
        <v>0</v>
      </c>
      <c r="N6" s="337">
        <f>ROUND(SUMIFS(BS_RE33!$H$7:$H$874,BS_RE33!$S$7:$S$874,$N$2,BS_RE33!$N$7:$N$874,I6,BS_RE33!$P$7:$P$874,'30 days CF Table(ALL)'!G6),2)</f>
        <v>0</v>
      </c>
      <c r="O6" s="337">
        <f>ROUND(SUMIFS(BS_RE33!$H$7:$H$874,BS_RE33!$S$7:$S$874,$O$2,BS_RE33!$N$7:$N$874,I6,BS_RE33!$P$7:$P$874,'30 days CF Table(ALL)'!G6),2)</f>
        <v>0</v>
      </c>
      <c r="P6" s="337">
        <f>ROUND(SUMIFS(BS_RE33!$H$7:$H$874,BS_RE33!$S$7:$S$874,$P$2,BS_RE33!$N$7:$N$874,I6,BS_RE33!$P$7:$P$874,'30 days CF Table(ALL)'!G6),2)</f>
        <v>0</v>
      </c>
      <c r="Q6" s="337">
        <f>ROUND(SUMIFS(BS_RE33!$H$7:$H$874,BS_RE33!$S$7:$S$874,$Q$2,BS_RE33!$N$7:$N$874,I6,BS_RE33!$P$7:$P$874,'30 days CF Table(ALL)'!G6),2)</f>
        <v>0</v>
      </c>
      <c r="R6" s="337">
        <f>ROUND(SUMIFS(BS_RE33!$H$7:$H$874,BS_RE33!$S$7:$S$874,$R$2,BS_RE33!$N$7:$N$874,I6,BS_RE33!$P$7:$P$874,'30 days CF Table(ALL)'!G6),2)</f>
        <v>0</v>
      </c>
      <c r="S6" s="337">
        <f>ROUND(SUMIFS(BS_RE33!$H$7:$H$874,BS_RE33!$S$7:$S$874,$S$2,BS_RE33!$N$7:$N$874,I6,BS_RE33!$P$7:$P$874,'30 days CF Table(ALL)'!G6),2)</f>
        <v>0</v>
      </c>
      <c r="T6" s="337">
        <f>ROUND(SUMIFS(BS_RE33!$H$7:$H$874,BS_RE33!$S$7:$S$874,$T$2,BS_RE33!$N$7:$N$874,I6,BS_RE33!$P$7:$P$874,'30 days CF Table(ALL)'!G6),2)</f>
        <v>0</v>
      </c>
      <c r="U6" s="337">
        <f>ROUND(SUMIFS(BS_RE33!$H$7:$H$874,BS_RE33!$S$7:$S$874,$U$2,BS_RE33!$N$7:$N$874,I6,BS_RE33!$P$7:$P$874,'30 days CF Table(ALL)'!G6),2)</f>
        <v>0</v>
      </c>
      <c r="V6" s="337">
        <f>ROUND(SUMIFS(BS_RE33!$H$7:$H$874,BS_RE33!$S$7:$S$874,$V$2,BS_RE33!$N$7:$N$874,I6,BS_RE33!$P$7:$P$874,'30 days CF Table(ALL)'!G6),2)</f>
        <v>0</v>
      </c>
      <c r="W6" s="337">
        <f>ROUND(SUMIFS(BS_RE33!$H$7:$H$874,BS_RE33!$S$7:$S$874,$W$2,BS_RE33!$N$7:$N$874,I6,BS_RE33!$P$7:$P$874,'30 days CF Table(ALL)'!G6),2)</f>
        <v>0</v>
      </c>
      <c r="X6" s="337">
        <f>ROUND(SUMIFS(BS_RE33!$H$7:$H$874,BS_RE33!$S$7:$S$874,$X$2,BS_RE33!$N$7:$N$874,I6,BS_RE33!$P$7:$P$874,'30 days CF Table(ALL)'!G6),2)</f>
        <v>0</v>
      </c>
      <c r="Y6" s="337">
        <f>ROUND(SUMIFS(BS_RE33!$H$7:$H$874,BS_RE33!$S$7:$S$874,$Y$2,BS_RE33!$N$7:$N$874,I6,BS_RE33!$P$7:$P$874,'30 days CF Table(ALL)'!G6),2)</f>
        <v>0</v>
      </c>
      <c r="Z6" s="337">
        <f>ROUND(SUMIFS(BS_RE33!$H$7:$H$874,BS_RE33!$S$7:$S$874,$Z$2,BS_RE33!$N$7:$N$874,I6,BS_RE33!$P$7:$P$874,'30 days CF Table(ALL)'!G6),2)</f>
        <v>0</v>
      </c>
      <c r="AA6" s="337">
        <f>ROUND(SUMIFS(BS_RE33!$H$7:$H$874,BS_RE33!$S$7:$S$874,$AA$2,BS_RE33!$N$7:$N$874,I6,BS_RE33!$P$7:$P$874,'30 days CF Table(ALL)'!G6),2)</f>
        <v>0</v>
      </c>
      <c r="AB6" s="337">
        <f>ROUND(SUMIFS(BS_RE33!$H$7:$H$874,BS_RE33!$S$7:$S$874,$AB$2,BS_RE33!$N$7:$N$874,I6,BS_RE33!$P$7:$P$874,'30 days CF Table(ALL)'!G6),2)</f>
        <v>0</v>
      </c>
      <c r="AC6" s="337">
        <f>ROUND(SUMIFS(BS_RE33!$H$7:$H$874,BS_RE33!$S$7:$S$874,$AC$2,BS_RE33!$N$7:$N$874,I6,BS_RE33!$P$7:$P$874,'30 days CF Table(ALL)'!G6),2)</f>
        <v>0</v>
      </c>
      <c r="AD6" s="337">
        <f>ROUND(SUMIFS(BS_RE33!$H$7:$H$874,BS_RE33!$S$7:$S$874,$AD$2,BS_RE33!$N$7:$N$874,I6,BS_RE33!$P$7:$P$874,'30 days CF Table(ALL)'!G6),2)</f>
        <v>0</v>
      </c>
      <c r="AE6" s="337">
        <f>ROUND(SUMIFS(BS_RE33!$H$7:$H$874,BS_RE33!$S$7:$S$874,$AE$2,BS_RE33!$N$7:$N$874,I6,BS_RE33!$P$7:$P$874,'30 days CF Table(ALL)'!G6),2)</f>
        <v>0</v>
      </c>
      <c r="AF6" s="337">
        <f>ROUND(SUMIFS(BS_RE33!$H$7:$H$874,BS_RE33!$S$7:$S$874,$AF$2,BS_RE33!$N$7:$N$874,I6,BS_RE33!$P$7:$P$874,'30 days CF Table(ALL)'!G6),2)</f>
        <v>0</v>
      </c>
      <c r="AG6" s="337">
        <f>ROUND(SUMIFS(BS_RE33!$H$7:$H$874,BS_RE33!$S$7:$S$874,$AG$2,BS_RE33!$N$7:$N$874,I6,BS_RE33!$P$7:$P$874,'30 days CF Table(ALL)'!G6),2)</f>
        <v>0</v>
      </c>
      <c r="AH6" s="337">
        <f>ROUND(SUMIFS(BS_RE33!$H$7:$H$874,BS_RE33!$S$7:$S$874,$AH$2,BS_RE33!$N$7:$N$874,I6,BS_RE33!$P$7:$P$874,'30 days CF Table(ALL)'!G6),2)</f>
        <v>0</v>
      </c>
      <c r="AI6" s="337">
        <f>ROUND(SUMIFS(BS_RE33!$H$7:$H$874,BS_RE33!$S$7:$S$874,$AI$2,BS_RE33!$N$7:$N$874,I6,BS_RE33!$P$7:$P$874,'30 days CF Table(ALL)'!G6),2)</f>
        <v>0</v>
      </c>
      <c r="AJ6" s="337">
        <f>ROUND(SUMIFS(BS_RE33!$H$7:$H$874,BS_RE33!$S$7:$S$874,$AJ$2,BS_RE33!$N$7:$N$874,I6,BS_RE33!$P$7:$P$874,'30 days CF Table(ALL)'!G6),2)</f>
        <v>0</v>
      </c>
      <c r="AK6" s="337">
        <f>ROUND(SUMIFS(BS_RE33!$H$7:$H$874,BS_RE33!$S$7:$S$874,$AK$2,BS_RE33!$N$7:$N$874,I6,BS_RE33!$P$7:$P$874,'30 days CF Table(ALL)'!G6),2)</f>
        <v>0</v>
      </c>
      <c r="AL6" s="337">
        <f>ROUND(SUMIFS(BS_RE33!$H$7:$H$874,BS_RE33!$S$7:$S$874,$AL$2,BS_RE33!$N$7:$N$874,I6,BS_RE33!$P$7:$P$874,'30 days CF Table(ALL)'!G6),2)</f>
        <v>0</v>
      </c>
      <c r="AM6" s="337">
        <f>ROUND(SUMIFS(BS_RE33!$H$7:$H$874,BS_RE33!$S$7:$S$874,$AM$2,BS_RE33!$N$7:$N$874,I6,BS_RE33!$P$7:$P$874,'30 days CF Table(ALL)'!G6),2)</f>
        <v>0</v>
      </c>
      <c r="AN6" s="337">
        <f>ROUND(SUMIFS(BS_RE33!$H$7:$H$874,BS_RE33!$S$7:$S$874,$AN$2,BS_RE33!$N$7:$N$874,I6,BS_RE33!$P$7:$P$874,'30 days CF Table(ALL)'!G6),2)</f>
        <v>0</v>
      </c>
      <c r="AO6" s="337">
        <f>ROUND(SUMIFS(BS_RE33!$H$7:$H$874,BS_RE33!$S$7:$S$874,$AO$2,BS_RE33!$N$7:$N$874,I6,BS_RE33!$P$7:$P$874,'30 days CF Table(ALL)'!G6),2)</f>
        <v>0</v>
      </c>
      <c r="AP6" s="338">
        <f>ROUND(SUMIFS(BS_RE33!$H$7:$H$874,BS_RE33!$S$7:$S$874,$AP$2,BS_RE33!$N$7:$N$874,I6,BS_RE33!$P$7:$P$874,'30 days CF Table(ALL)'!G6),2)</f>
        <v>0</v>
      </c>
      <c r="AQ6" s="545"/>
      <c r="AR6" s="379">
        <f>ROUND(SUMIFS(BS_RE33!$H$7:$H$874,BS_RE33!$S$7:$S$874,$AR$2,BS_RE33!$N$7:$N$874,I6,BS_RE33!$P$7:$P$874,'30 days CF Table(ALL)'!G6),2)</f>
        <v>0</v>
      </c>
      <c r="AS6" s="379">
        <f>ROUND(SUMIFS(BS_RE33!$H$7:$H$874,BS_RE33!$S$7:$S$874,$AS$2,BS_RE33!$N$7:$N$874,I6,BS_RE33!$P$7:$P$874,'30 days CF Table(ALL)'!G6),2)</f>
        <v>0</v>
      </c>
      <c r="AT6" s="379">
        <f>ROUND(SUMIFS(BS_RE33!$H$7:$H$874,BS_RE33!$S$7:$S$874,$AT$2,BS_RE33!$N$7:$N$874,I6,BS_RE33!$P$7:$P$874,'30 days CF Table(ALL)'!G6),2)</f>
        <v>0</v>
      </c>
      <c r="AU6" s="379">
        <f>ROUND(SUMIFS(BS_RE33!$H$7:$H$874,BS_RE33!$S$7:$S$874,$AU$2,BS_RE33!$N$7:$N$874,I6,BS_RE33!$P$7:$P$874,'30 days CF Table(ALL)'!G6),2)</f>
        <v>0</v>
      </c>
      <c r="AV6" s="379">
        <f>ROUND(SUMIFS(BS_RE33!$H$7:$H$874,BS_RE33!$S$7:$S$874,$AV$2,BS_RE33!$N$7:$N$874,I6,BS_RE33!$P$7:$P$874,'30 days CF Table(ALL)'!G6),2)</f>
        <v>0</v>
      </c>
      <c r="AW6" s="379">
        <f>ROUND(SUMIFS(BS_RE33!$H$7:$H$874,BS_RE33!$S$7:$S$874,$AW$2,BS_RE33!$N$7:$N$874,I6,BS_RE33!$P$7:$P$874,'30 days CF Table(ALL)'!G6),2)</f>
        <v>0</v>
      </c>
      <c r="AX6" s="379">
        <f>ROUND(SUMIFS(BS_RE33!$H$7:$H$874,BS_RE33!$S$7:$S$874,$AX$2,BS_RE33!$N$7:$N$874,I6,BS_RE33!$P$7:$P$874,'30 days CF Table(ALL)'!G6),2)</f>
        <v>0</v>
      </c>
      <c r="AY6" s="379">
        <f>ROUND(SUMIFS(BS_RE33!$H$7:$H$874,BS_RE33!$S$7:$S$874,$AY$2,BS_RE33!$N$7:$N$874,I6,BS_RE33!$P$7:$P$874,'30 days CF Table(ALL)'!G6),2)</f>
        <v>0</v>
      </c>
      <c r="AZ6" s="379">
        <f>ROUND(SUMIFS(BS_RE33!$H$7:$H$874,BS_RE33!$S$7:$S$874,$AZ$2,BS_RE33!$N$7:$N$874,I6,BS_RE33!$P$7:$P$874,'30 days CF Table(ALL)'!G6),2)</f>
        <v>0</v>
      </c>
      <c r="BA6" s="379">
        <f>ROUND(SUMIFS(BS_RE33!$H$7:$H$874,BS_RE33!$S$7:$S$874,$BA$2,BS_RE33!$N$7:$N$874,I6,BS_RE33!$P$7:$P$874,'30 days CF Table(ALL)'!G6),2)</f>
        <v>0</v>
      </c>
      <c r="BB6" s="379">
        <f>ROUND(SUMIFS(BS_RE33!$H$7:$H$874,BS_RE33!$S$7:$S$874,$BB$2,BS_RE33!$N$7:$N$874,I6,BS_RE33!$P$7:$P$874,'30 days CF Table(ALL)'!G6),2)</f>
        <v>0</v>
      </c>
      <c r="BC6" s="379">
        <f>ROUND(SUMIFS(BS_RE33!$H$7:$H$874,BS_RE33!$S$7:$S$874,$BC$2,BS_RE33!$N$7:$N$874,I6,BS_RE33!$P$7:$P$874,'30 days CF Table(ALL)'!G6),2)</f>
        <v>0</v>
      </c>
      <c r="BD6" s="379">
        <f>ROUND(SUMIFS(BS_RE33!$H$7:$H$874,BS_RE33!$S$7:$S$874,$BD$2,BS_RE33!$N$7:$N$874,I6,BS_RE33!$P$7:$P$874,'30 days CF Table(ALL)'!G6),2)</f>
        <v>0</v>
      </c>
      <c r="BE6" s="379">
        <f>ROUND(SUMIFS(BS_RE33!$H$7:$H$874,BS_RE33!$S$7:$S$874,$BE$2,BS_RE33!$N$7:$N$874,I6,BS_RE33!$P$7:$P$874,'30 days CF Table(ALL)'!G6),2)</f>
        <v>0</v>
      </c>
      <c r="BF6" s="379">
        <f>ROUND(SUMIFS(BS_RE33!$H$7:$H$874,BS_RE33!$S$7:$S$874,$BF$2,BS_RE33!$N$7:$N$874,I6,BS_RE33!$P$7:$P$874,'30 days CF Table(ALL)'!G6),2)</f>
        <v>0</v>
      </c>
      <c r="BG6" s="379">
        <f>ROUND(SUMIFS(BS_RE33!$H$7:$H$874,BS_RE33!$S$7:$S$874,$BG$2,BS_RE33!$N$7:$N$874,I6,BS_RE33!$P$7:$P$874,'30 days CF Table(ALL)'!G6),2)</f>
        <v>0</v>
      </c>
      <c r="BH6" s="379">
        <f>ROUND(SUMIFS(BS_RE33!$H$7:$H$874,BS_RE33!$S$7:$S$874,$BH$2,BS_RE33!$N$7:$N$874,I6,BS_RE33!$P$7:$P$874,'30 days CF Table(ALL)'!G6),2)</f>
        <v>0</v>
      </c>
      <c r="BI6" s="379">
        <f>ROUND(SUMIFS(BS_RE33!$H$7:$H$874,BS_RE33!$S$7:$S$874,$BI$2,BS_RE33!$N$7:$N$874,I6,BS_RE33!$P$7:$P$874,'30 days CF Table(ALL)'!G6),2)</f>
        <v>0</v>
      </c>
      <c r="BJ6" s="379">
        <f>ROUND(SUMIFS(BS_RE33!$H$7:$H$874,BS_RE33!$S$7:$S$874,$BJ$2,BS_RE33!$N$7:$N$874,I6,BS_RE33!$P$7:$P$874,'30 days CF Table(ALL)'!G6),2)</f>
        <v>0</v>
      </c>
      <c r="BK6" s="379">
        <f>ROUND(SUMIFS(BS_RE33!$H$7:$H$874,BS_RE33!$S$7:$S$874,$BK$2,BS_RE33!$N$7:$N$874,I6,BS_RE33!$P$7:$P$874,'30 days CF Table(ALL)'!G6),2)</f>
        <v>0</v>
      </c>
    </row>
    <row r="7" spans="1:63">
      <c r="C7" s="1029"/>
      <c r="D7" s="1030" t="s">
        <v>739</v>
      </c>
      <c r="E7" s="306" t="s">
        <v>69</v>
      </c>
      <c r="F7" s="560" t="s">
        <v>491</v>
      </c>
      <c r="G7" s="392" t="s">
        <v>497</v>
      </c>
      <c r="H7" s="130">
        <v>0.5</v>
      </c>
      <c r="I7" s="305" t="s">
        <v>63</v>
      </c>
      <c r="J7" s="477">
        <f t="shared" si="3"/>
        <v>0</v>
      </c>
      <c r="K7" s="335">
        <f t="shared" si="4"/>
        <v>0</v>
      </c>
      <c r="L7" s="337">
        <f>ROUND(SUMIFS(BS_RE33!$H$7:$H$874,BS_RE33!$S$7:$S$874,$L$2,BS_RE33!$N$7:$N$874,I7,BS_RE33!$P$7:$P$874,'30 days CF Table(ALL)'!G7),2)</f>
        <v>0</v>
      </c>
      <c r="M7" s="337">
        <f>ROUND(SUMIFS(BS_RE33!$H$7:$H$874,BS_RE33!$S$7:$S$874,$M$2,BS_RE33!$N$7:$N$874,I7,BS_RE33!$P$7:$P$874,'30 days CF Table(ALL)'!G7),2)</f>
        <v>0</v>
      </c>
      <c r="N7" s="337">
        <f>ROUND(SUMIFS(BS_RE33!$H$7:$H$874,BS_RE33!$S$7:$S$874,$N$2,BS_RE33!$N$7:$N$874,I7,BS_RE33!$P$7:$P$874,'30 days CF Table(ALL)'!G7),2)</f>
        <v>0</v>
      </c>
      <c r="O7" s="337">
        <f>ROUND(SUMIFS(BS_RE33!$H$7:$H$874,BS_RE33!$S$7:$S$874,$O$2,BS_RE33!$N$7:$N$874,I7,BS_RE33!$P$7:$P$874,'30 days CF Table(ALL)'!G7),2)</f>
        <v>0</v>
      </c>
      <c r="P7" s="337">
        <f>ROUND(SUMIFS(BS_RE33!$H$7:$H$874,BS_RE33!$S$7:$S$874,$P$2,BS_RE33!$N$7:$N$874,I7,BS_RE33!$P$7:$P$874,'30 days CF Table(ALL)'!G7),2)</f>
        <v>0</v>
      </c>
      <c r="Q7" s="337">
        <f>ROUND(SUMIFS(BS_RE33!$H$7:$H$874,BS_RE33!$S$7:$S$874,$Q$2,BS_RE33!$N$7:$N$874,I7,BS_RE33!$P$7:$P$874,'30 days CF Table(ALL)'!G7),2)</f>
        <v>0</v>
      </c>
      <c r="R7" s="337">
        <f>ROUND(SUMIFS(BS_RE33!$H$7:$H$874,BS_RE33!$S$7:$S$874,$R$2,BS_RE33!$N$7:$N$874,I7,BS_RE33!$P$7:$P$874,'30 days CF Table(ALL)'!G7),2)</f>
        <v>0</v>
      </c>
      <c r="S7" s="337">
        <f>ROUND(SUMIFS(BS_RE33!$H$7:$H$874,BS_RE33!$S$7:$S$874,$S$2,BS_RE33!$N$7:$N$874,I7,BS_RE33!$P$7:$P$874,'30 days CF Table(ALL)'!G7),2)</f>
        <v>0</v>
      </c>
      <c r="T7" s="337">
        <f>ROUND(SUMIFS(BS_RE33!$H$7:$H$874,BS_RE33!$S$7:$S$874,$T$2,BS_RE33!$N$7:$N$874,I7,BS_RE33!$P$7:$P$874,'30 days CF Table(ALL)'!G7),2)</f>
        <v>0</v>
      </c>
      <c r="U7" s="337">
        <f>ROUND(SUMIFS(BS_RE33!$H$7:$H$874,BS_RE33!$S$7:$S$874,$U$2,BS_RE33!$N$7:$N$874,I7,BS_RE33!$P$7:$P$874,'30 days CF Table(ALL)'!G7),2)</f>
        <v>0</v>
      </c>
      <c r="V7" s="337">
        <f>ROUND(SUMIFS(BS_RE33!$H$7:$H$874,BS_RE33!$S$7:$S$874,$V$2,BS_RE33!$N$7:$N$874,I7,BS_RE33!$P$7:$P$874,'30 days CF Table(ALL)'!G7),2)</f>
        <v>0</v>
      </c>
      <c r="W7" s="337">
        <f>ROUND(SUMIFS(BS_RE33!$H$7:$H$874,BS_RE33!$S$7:$S$874,$W$2,BS_RE33!$N$7:$N$874,I7,BS_RE33!$P$7:$P$874,'30 days CF Table(ALL)'!G7),2)</f>
        <v>0</v>
      </c>
      <c r="X7" s="337">
        <f>ROUND(SUMIFS(BS_RE33!$H$7:$H$874,BS_RE33!$S$7:$S$874,$X$2,BS_RE33!$N$7:$N$874,I7,BS_RE33!$P$7:$P$874,'30 days CF Table(ALL)'!G7),2)</f>
        <v>0</v>
      </c>
      <c r="Y7" s="337">
        <f>ROUND(SUMIFS(BS_RE33!$H$7:$H$874,BS_RE33!$S$7:$S$874,$Y$2,BS_RE33!$N$7:$N$874,I7,BS_RE33!$P$7:$P$874,'30 days CF Table(ALL)'!G7),2)</f>
        <v>0</v>
      </c>
      <c r="Z7" s="337">
        <f>ROUND(SUMIFS(BS_RE33!$H$7:$H$874,BS_RE33!$S$7:$S$874,$Z$2,BS_RE33!$N$7:$N$874,I7,BS_RE33!$P$7:$P$874,'30 days CF Table(ALL)'!G7),2)</f>
        <v>0</v>
      </c>
      <c r="AA7" s="337">
        <f>ROUND(SUMIFS(BS_RE33!$H$7:$H$874,BS_RE33!$S$7:$S$874,$AA$2,BS_RE33!$N$7:$N$874,I7,BS_RE33!$P$7:$P$874,'30 days CF Table(ALL)'!G7),2)</f>
        <v>0</v>
      </c>
      <c r="AB7" s="337">
        <f>ROUND(SUMIFS(BS_RE33!$H$7:$H$874,BS_RE33!$S$7:$S$874,$AB$2,BS_RE33!$N$7:$N$874,I7,BS_RE33!$P$7:$P$874,'30 days CF Table(ALL)'!G7),2)</f>
        <v>0</v>
      </c>
      <c r="AC7" s="337">
        <f>ROUND(SUMIFS(BS_RE33!$H$7:$H$874,BS_RE33!$S$7:$S$874,$AC$2,BS_RE33!$N$7:$N$874,I7,BS_RE33!$P$7:$P$874,'30 days CF Table(ALL)'!G7),2)</f>
        <v>0</v>
      </c>
      <c r="AD7" s="337">
        <f>ROUND(SUMIFS(BS_RE33!$H$7:$H$874,BS_RE33!$S$7:$S$874,$AD$2,BS_RE33!$N$7:$N$874,I7,BS_RE33!$P$7:$P$874,'30 days CF Table(ALL)'!G7),2)</f>
        <v>0</v>
      </c>
      <c r="AE7" s="337">
        <f>ROUND(SUMIFS(BS_RE33!$H$7:$H$874,BS_RE33!$S$7:$S$874,$AE$2,BS_RE33!$N$7:$N$874,I7,BS_RE33!$P$7:$P$874,'30 days CF Table(ALL)'!G7),2)</f>
        <v>0</v>
      </c>
      <c r="AF7" s="337">
        <f>ROUND(SUMIFS(BS_RE33!$H$7:$H$874,BS_RE33!$S$7:$S$874,$AF$2,BS_RE33!$N$7:$N$874,I7,BS_RE33!$P$7:$P$874,'30 days CF Table(ALL)'!G7),2)</f>
        <v>0</v>
      </c>
      <c r="AG7" s="337">
        <f>ROUND(SUMIFS(BS_RE33!$H$7:$H$874,BS_RE33!$S$7:$S$874,$AG$2,BS_RE33!$N$7:$N$874,I7,BS_RE33!$P$7:$P$874,'30 days CF Table(ALL)'!G7),2)</f>
        <v>0</v>
      </c>
      <c r="AH7" s="337">
        <f>ROUND(SUMIFS(BS_RE33!$H$7:$H$874,BS_RE33!$S$7:$S$874,$AH$2,BS_RE33!$N$7:$N$874,I7,BS_RE33!$P$7:$P$874,'30 days CF Table(ALL)'!G7),2)</f>
        <v>0</v>
      </c>
      <c r="AI7" s="337">
        <f>ROUND(SUMIFS(BS_RE33!$H$7:$H$874,BS_RE33!$S$7:$S$874,$AI$2,BS_RE33!$N$7:$N$874,I7,BS_RE33!$P$7:$P$874,'30 days CF Table(ALL)'!G7),2)</f>
        <v>0</v>
      </c>
      <c r="AJ7" s="337">
        <f>ROUND(SUMIFS(BS_RE33!$H$7:$H$874,BS_RE33!$S$7:$S$874,$AJ$2,BS_RE33!$N$7:$N$874,I7,BS_RE33!$P$7:$P$874,'30 days CF Table(ALL)'!G7),2)</f>
        <v>0</v>
      </c>
      <c r="AK7" s="337">
        <f>ROUND(SUMIFS(BS_RE33!$H$7:$H$874,BS_RE33!$S$7:$S$874,$AK$2,BS_RE33!$N$7:$N$874,I7,BS_RE33!$P$7:$P$874,'30 days CF Table(ALL)'!G7),2)</f>
        <v>0</v>
      </c>
      <c r="AL7" s="337">
        <f>ROUND(SUMIFS(BS_RE33!$H$7:$H$874,BS_RE33!$S$7:$S$874,$AL$2,BS_RE33!$N$7:$N$874,I7,BS_RE33!$P$7:$P$874,'30 days CF Table(ALL)'!G7),2)</f>
        <v>0</v>
      </c>
      <c r="AM7" s="337">
        <f>ROUND(SUMIFS(BS_RE33!$H$7:$H$874,BS_RE33!$S$7:$S$874,$AM$2,BS_RE33!$N$7:$N$874,I7,BS_RE33!$P$7:$P$874,'30 days CF Table(ALL)'!G7),2)</f>
        <v>0</v>
      </c>
      <c r="AN7" s="337">
        <f>ROUND(SUMIFS(BS_RE33!$H$7:$H$874,BS_RE33!$S$7:$S$874,$AN$2,BS_RE33!$N$7:$N$874,I7,BS_RE33!$P$7:$P$874,'30 days CF Table(ALL)'!G7),2)</f>
        <v>0</v>
      </c>
      <c r="AO7" s="337">
        <f>ROUND(SUMIFS(BS_RE33!$H$7:$H$874,BS_RE33!$S$7:$S$874,$AO$2,BS_RE33!$N$7:$N$874,I7,BS_RE33!$P$7:$P$874,'30 days CF Table(ALL)'!G7),2)</f>
        <v>0</v>
      </c>
      <c r="AP7" s="338">
        <f>ROUND(SUMIFS(BS_RE33!$H$7:$H$874,BS_RE33!$S$7:$S$874,$AP$2,BS_RE33!$N$7:$N$874,I7,BS_RE33!$P$7:$P$874,'30 days CF Table(ALL)'!G7),2)</f>
        <v>0</v>
      </c>
      <c r="AQ7" s="545"/>
      <c r="AR7" s="379">
        <f>ROUND(SUMIFS(BS_RE33!$H$7:$H$874,BS_RE33!$S$7:$S$874,$AR$2,BS_RE33!$N$7:$N$874,I7,BS_RE33!$P$7:$P$874,'30 days CF Table(ALL)'!G7),2)</f>
        <v>0</v>
      </c>
      <c r="AS7" s="379">
        <f>ROUND(SUMIFS(BS_RE33!$H$7:$H$874,BS_RE33!$S$7:$S$874,$AS$2,BS_RE33!$N$7:$N$874,I7,BS_RE33!$P$7:$P$874,'30 days CF Table(ALL)'!G7),2)</f>
        <v>0</v>
      </c>
      <c r="AT7" s="379">
        <f>ROUND(SUMIFS(BS_RE33!$H$7:$H$874,BS_RE33!$S$7:$S$874,$AT$2,BS_RE33!$N$7:$N$874,I7,BS_RE33!$P$7:$P$874,'30 days CF Table(ALL)'!G7),2)</f>
        <v>0</v>
      </c>
      <c r="AU7" s="379">
        <f>ROUND(SUMIFS(BS_RE33!$H$7:$H$874,BS_RE33!$S$7:$S$874,$AU$2,BS_RE33!$N$7:$N$874,I7,BS_RE33!$P$7:$P$874,'30 days CF Table(ALL)'!G7),2)</f>
        <v>0</v>
      </c>
      <c r="AV7" s="379">
        <f>ROUND(SUMIFS(BS_RE33!$H$7:$H$874,BS_RE33!$S$7:$S$874,$AV$2,BS_RE33!$N$7:$N$874,I7,BS_RE33!$P$7:$P$874,'30 days CF Table(ALL)'!G7),2)</f>
        <v>0</v>
      </c>
      <c r="AW7" s="379">
        <f>ROUND(SUMIFS(BS_RE33!$H$7:$H$874,BS_RE33!$S$7:$S$874,$AW$2,BS_RE33!$N$7:$N$874,I7,BS_RE33!$P$7:$P$874,'30 days CF Table(ALL)'!G7),2)</f>
        <v>0</v>
      </c>
      <c r="AX7" s="379">
        <f>ROUND(SUMIFS(BS_RE33!$H$7:$H$874,BS_RE33!$S$7:$S$874,$AX$2,BS_RE33!$N$7:$N$874,I7,BS_RE33!$P$7:$P$874,'30 days CF Table(ALL)'!G7),2)</f>
        <v>0</v>
      </c>
      <c r="AY7" s="379">
        <f>ROUND(SUMIFS(BS_RE33!$H$7:$H$874,BS_RE33!$S$7:$S$874,$AY$2,BS_RE33!$N$7:$N$874,I7,BS_RE33!$P$7:$P$874,'30 days CF Table(ALL)'!G7),2)</f>
        <v>0</v>
      </c>
      <c r="AZ7" s="379">
        <f>ROUND(SUMIFS(BS_RE33!$H$7:$H$874,BS_RE33!$S$7:$S$874,$AZ$2,BS_RE33!$N$7:$N$874,I7,BS_RE33!$P$7:$P$874,'30 days CF Table(ALL)'!G7),2)</f>
        <v>0</v>
      </c>
      <c r="BA7" s="379">
        <f>ROUND(SUMIFS(BS_RE33!$H$7:$H$874,BS_RE33!$S$7:$S$874,$BA$2,BS_RE33!$N$7:$N$874,I7,BS_RE33!$P$7:$P$874,'30 days CF Table(ALL)'!G7),2)</f>
        <v>0</v>
      </c>
      <c r="BB7" s="379">
        <f>ROUND(SUMIFS(BS_RE33!$H$7:$H$874,BS_RE33!$S$7:$S$874,$BB$2,BS_RE33!$N$7:$N$874,I7,BS_RE33!$P$7:$P$874,'30 days CF Table(ALL)'!G7),2)</f>
        <v>0</v>
      </c>
      <c r="BC7" s="379">
        <f>ROUND(SUMIFS(BS_RE33!$H$7:$H$874,BS_RE33!$S$7:$S$874,$BC$2,BS_RE33!$N$7:$N$874,I7,BS_RE33!$P$7:$P$874,'30 days CF Table(ALL)'!G7),2)</f>
        <v>0</v>
      </c>
      <c r="BD7" s="379">
        <f>ROUND(SUMIFS(BS_RE33!$H$7:$H$874,BS_RE33!$S$7:$S$874,$BD$2,BS_RE33!$N$7:$N$874,I7,BS_RE33!$P$7:$P$874,'30 days CF Table(ALL)'!G7),2)</f>
        <v>0</v>
      </c>
      <c r="BE7" s="379">
        <f>ROUND(SUMIFS(BS_RE33!$H$7:$H$874,BS_RE33!$S$7:$S$874,$BE$2,BS_RE33!$N$7:$N$874,I7,BS_RE33!$P$7:$P$874,'30 days CF Table(ALL)'!G7),2)</f>
        <v>0</v>
      </c>
      <c r="BF7" s="379">
        <f>ROUND(SUMIFS(BS_RE33!$H$7:$H$874,BS_RE33!$S$7:$S$874,$BF$2,BS_RE33!$N$7:$N$874,I7,BS_RE33!$P$7:$P$874,'30 days CF Table(ALL)'!G7),2)</f>
        <v>0</v>
      </c>
      <c r="BG7" s="379">
        <f>ROUND(SUMIFS(BS_RE33!$H$7:$H$874,BS_RE33!$S$7:$S$874,$BG$2,BS_RE33!$N$7:$N$874,I7,BS_RE33!$P$7:$P$874,'30 days CF Table(ALL)'!G7),2)</f>
        <v>0</v>
      </c>
      <c r="BH7" s="379">
        <f>ROUND(SUMIFS(BS_RE33!$H$7:$H$874,BS_RE33!$S$7:$S$874,$BH$2,BS_RE33!$N$7:$N$874,I7,BS_RE33!$P$7:$P$874,'30 days CF Table(ALL)'!G7),2)</f>
        <v>0</v>
      </c>
      <c r="BI7" s="379">
        <f>ROUND(SUMIFS(BS_RE33!$H$7:$H$874,BS_RE33!$S$7:$S$874,$BI$2,BS_RE33!$N$7:$N$874,I7,BS_RE33!$P$7:$P$874,'30 days CF Table(ALL)'!G7),2)</f>
        <v>0</v>
      </c>
      <c r="BJ7" s="379">
        <f>ROUND(SUMIFS(BS_RE33!$H$7:$H$874,BS_RE33!$S$7:$S$874,$BJ$2,BS_RE33!$N$7:$N$874,I7,BS_RE33!$P$7:$P$874,'30 days CF Table(ALL)'!G7),2)</f>
        <v>0</v>
      </c>
      <c r="BK7" s="379">
        <f>ROUND(SUMIFS(BS_RE33!$H$7:$H$874,BS_RE33!$S$7:$S$874,$BK$2,BS_RE33!$N$7:$N$874,I7,BS_RE33!$P$7:$P$874,'30 days CF Table(ALL)'!G7),2)</f>
        <v>0</v>
      </c>
    </row>
    <row r="8" spans="1:63">
      <c r="C8" s="1029"/>
      <c r="D8" s="1030"/>
      <c r="E8" s="306" t="s">
        <v>69</v>
      </c>
      <c r="F8" s="560" t="s">
        <v>490</v>
      </c>
      <c r="G8" s="392" t="s">
        <v>498</v>
      </c>
      <c r="H8" s="130">
        <v>0.5</v>
      </c>
      <c r="I8" s="305" t="s">
        <v>63</v>
      </c>
      <c r="J8" s="477">
        <f t="shared" si="3"/>
        <v>0</v>
      </c>
      <c r="K8" s="335">
        <f t="shared" si="4"/>
        <v>0</v>
      </c>
      <c r="L8" s="337">
        <f>ROUND(SUMIFS(BS_RE33!$H$7:$H$874,BS_RE33!$S$7:$S$874,$L$2,BS_RE33!$N$7:$N$874,I8,BS_RE33!$P$7:$P$874,'30 days CF Table(ALL)'!G8),2)</f>
        <v>0</v>
      </c>
      <c r="M8" s="337">
        <f>ROUND(SUMIFS(BS_RE33!$H$7:$H$874,BS_RE33!$S$7:$S$874,$M$2,BS_RE33!$N$7:$N$874,I8,BS_RE33!$P$7:$P$874,'30 days CF Table(ALL)'!G8),2)</f>
        <v>0</v>
      </c>
      <c r="N8" s="337">
        <f>ROUND(SUMIFS(BS_RE33!$H$7:$H$874,BS_RE33!$S$7:$S$874,$N$2,BS_RE33!$N$7:$N$874,I8,BS_RE33!$P$7:$P$874,'30 days CF Table(ALL)'!G8),2)</f>
        <v>0</v>
      </c>
      <c r="O8" s="337">
        <f>ROUND(SUMIFS(BS_RE33!$H$7:$H$874,BS_RE33!$S$7:$S$874,$O$2,BS_RE33!$N$7:$N$874,I8,BS_RE33!$P$7:$P$874,'30 days CF Table(ALL)'!G8),2)</f>
        <v>0</v>
      </c>
      <c r="P8" s="337">
        <f>ROUND(SUMIFS(BS_RE33!$H$7:$H$874,BS_RE33!$S$7:$S$874,$P$2,BS_RE33!$N$7:$N$874,I8,BS_RE33!$P$7:$P$874,'30 days CF Table(ALL)'!G8),2)</f>
        <v>0</v>
      </c>
      <c r="Q8" s="337">
        <f>ROUND(SUMIFS(BS_RE33!$H$7:$H$874,BS_RE33!$S$7:$S$874,$Q$2,BS_RE33!$N$7:$N$874,I8,BS_RE33!$P$7:$P$874,'30 days CF Table(ALL)'!G8),2)</f>
        <v>0</v>
      </c>
      <c r="R8" s="337">
        <f>ROUND(SUMIFS(BS_RE33!$H$7:$H$874,BS_RE33!$S$7:$S$874,$R$2,BS_RE33!$N$7:$N$874,I8,BS_RE33!$P$7:$P$874,'30 days CF Table(ALL)'!G8),2)</f>
        <v>0</v>
      </c>
      <c r="S8" s="337">
        <f>ROUND(SUMIFS(BS_RE33!$H$7:$H$874,BS_RE33!$S$7:$S$874,$S$2,BS_RE33!$N$7:$N$874,I8,BS_RE33!$P$7:$P$874,'30 days CF Table(ALL)'!G8),2)</f>
        <v>0</v>
      </c>
      <c r="T8" s="337">
        <f>ROUND(SUMIFS(BS_RE33!$H$7:$H$874,BS_RE33!$S$7:$S$874,$T$2,BS_RE33!$N$7:$N$874,I8,BS_RE33!$P$7:$P$874,'30 days CF Table(ALL)'!G8),2)</f>
        <v>0</v>
      </c>
      <c r="U8" s="337">
        <f>ROUND(SUMIFS(BS_RE33!$H$7:$H$874,BS_RE33!$S$7:$S$874,$U$2,BS_RE33!$N$7:$N$874,I8,BS_RE33!$P$7:$P$874,'30 days CF Table(ALL)'!G8),2)</f>
        <v>0</v>
      </c>
      <c r="V8" s="337">
        <f>ROUND(SUMIFS(BS_RE33!$H$7:$H$874,BS_RE33!$S$7:$S$874,$V$2,BS_RE33!$N$7:$N$874,I8,BS_RE33!$P$7:$P$874,'30 days CF Table(ALL)'!G8),2)</f>
        <v>0</v>
      </c>
      <c r="W8" s="337">
        <f>ROUND(SUMIFS(BS_RE33!$H$7:$H$874,BS_RE33!$S$7:$S$874,$W$2,BS_RE33!$N$7:$N$874,I8,BS_RE33!$P$7:$P$874,'30 days CF Table(ALL)'!G8),2)</f>
        <v>0</v>
      </c>
      <c r="X8" s="337">
        <f>ROUND(SUMIFS(BS_RE33!$H$7:$H$874,BS_RE33!$S$7:$S$874,$X$2,BS_RE33!$N$7:$N$874,I8,BS_RE33!$P$7:$P$874,'30 days CF Table(ALL)'!G8),2)</f>
        <v>0</v>
      </c>
      <c r="Y8" s="337">
        <f>ROUND(SUMIFS(BS_RE33!$H$7:$H$874,BS_RE33!$S$7:$S$874,$Y$2,BS_RE33!$N$7:$N$874,I8,BS_RE33!$P$7:$P$874,'30 days CF Table(ALL)'!G8),2)</f>
        <v>0</v>
      </c>
      <c r="Z8" s="337">
        <f>ROUND(SUMIFS(BS_RE33!$H$7:$H$874,BS_RE33!$S$7:$S$874,$Z$2,BS_RE33!$N$7:$N$874,I8,BS_RE33!$P$7:$P$874,'30 days CF Table(ALL)'!G8),2)</f>
        <v>0</v>
      </c>
      <c r="AA8" s="337">
        <f>ROUND(SUMIFS(BS_RE33!$H$7:$H$874,BS_RE33!$S$7:$S$874,$AA$2,BS_RE33!$N$7:$N$874,I8,BS_RE33!$P$7:$P$874,'30 days CF Table(ALL)'!G8),2)</f>
        <v>0</v>
      </c>
      <c r="AB8" s="337">
        <f>ROUND(SUMIFS(BS_RE33!$H$7:$H$874,BS_RE33!$S$7:$S$874,$AB$2,BS_RE33!$N$7:$N$874,I8,BS_RE33!$P$7:$P$874,'30 days CF Table(ALL)'!G8),2)</f>
        <v>0</v>
      </c>
      <c r="AC8" s="337">
        <f>ROUND(SUMIFS(BS_RE33!$H$7:$H$874,BS_RE33!$S$7:$S$874,$AC$2,BS_RE33!$N$7:$N$874,I8,BS_RE33!$P$7:$P$874,'30 days CF Table(ALL)'!G8),2)</f>
        <v>0</v>
      </c>
      <c r="AD8" s="337">
        <f>ROUND(SUMIFS(BS_RE33!$H$7:$H$874,BS_RE33!$S$7:$S$874,$AD$2,BS_RE33!$N$7:$N$874,I8,BS_RE33!$P$7:$P$874,'30 days CF Table(ALL)'!G8),2)</f>
        <v>0</v>
      </c>
      <c r="AE8" s="337">
        <f>ROUND(SUMIFS(BS_RE33!$H$7:$H$874,BS_RE33!$S$7:$S$874,$AE$2,BS_RE33!$N$7:$N$874,I8,BS_RE33!$P$7:$P$874,'30 days CF Table(ALL)'!G8),2)</f>
        <v>0</v>
      </c>
      <c r="AF8" s="337">
        <f>ROUND(SUMIFS(BS_RE33!$H$7:$H$874,BS_RE33!$S$7:$S$874,$AF$2,BS_RE33!$N$7:$N$874,I8,BS_RE33!$P$7:$P$874,'30 days CF Table(ALL)'!G8),2)</f>
        <v>0</v>
      </c>
      <c r="AG8" s="337">
        <f>ROUND(SUMIFS(BS_RE33!$H$7:$H$874,BS_RE33!$S$7:$S$874,$AG$2,BS_RE33!$N$7:$N$874,I8,BS_RE33!$P$7:$P$874,'30 days CF Table(ALL)'!G8),2)</f>
        <v>0</v>
      </c>
      <c r="AH8" s="337">
        <f>ROUND(SUMIFS(BS_RE33!$H$7:$H$874,BS_RE33!$S$7:$S$874,$AH$2,BS_RE33!$N$7:$N$874,I8,BS_RE33!$P$7:$P$874,'30 days CF Table(ALL)'!G8),2)</f>
        <v>0</v>
      </c>
      <c r="AI8" s="337">
        <f>ROUND(SUMIFS(BS_RE33!$H$7:$H$874,BS_RE33!$S$7:$S$874,$AI$2,BS_RE33!$N$7:$N$874,I8,BS_RE33!$P$7:$P$874,'30 days CF Table(ALL)'!G8),2)</f>
        <v>0</v>
      </c>
      <c r="AJ8" s="337">
        <f>ROUND(SUMIFS(BS_RE33!$H$7:$H$874,BS_RE33!$S$7:$S$874,$AJ$2,BS_RE33!$N$7:$N$874,I8,BS_RE33!$P$7:$P$874,'30 days CF Table(ALL)'!G8),2)</f>
        <v>0</v>
      </c>
      <c r="AK8" s="337">
        <f>ROUND(SUMIFS(BS_RE33!$H$7:$H$874,BS_RE33!$S$7:$S$874,$AK$2,BS_RE33!$N$7:$N$874,I8,BS_RE33!$P$7:$P$874,'30 days CF Table(ALL)'!G8),2)</f>
        <v>0</v>
      </c>
      <c r="AL8" s="337">
        <f>ROUND(SUMIFS(BS_RE33!$H$7:$H$874,BS_RE33!$S$7:$S$874,$AL$2,BS_RE33!$N$7:$N$874,I8,BS_RE33!$P$7:$P$874,'30 days CF Table(ALL)'!G8),2)</f>
        <v>0</v>
      </c>
      <c r="AM8" s="337">
        <f>ROUND(SUMIFS(BS_RE33!$H$7:$H$874,BS_RE33!$S$7:$S$874,$AM$2,BS_RE33!$N$7:$N$874,I8,BS_RE33!$P$7:$P$874,'30 days CF Table(ALL)'!G8),2)</f>
        <v>0</v>
      </c>
      <c r="AN8" s="337">
        <f>ROUND(SUMIFS(BS_RE33!$H$7:$H$874,BS_RE33!$S$7:$S$874,$AN$2,BS_RE33!$N$7:$N$874,I8,BS_RE33!$P$7:$P$874,'30 days CF Table(ALL)'!G8),2)</f>
        <v>0</v>
      </c>
      <c r="AO8" s="337">
        <f>ROUND(SUMIFS(BS_RE33!$H$7:$H$874,BS_RE33!$S$7:$S$874,$AO$2,BS_RE33!$N$7:$N$874,I8,BS_RE33!$P$7:$P$874,'30 days CF Table(ALL)'!G8),2)</f>
        <v>0</v>
      </c>
      <c r="AP8" s="338">
        <f>ROUND(SUMIFS(BS_RE33!$H$7:$H$874,BS_RE33!$S$7:$S$874,$AP$2,BS_RE33!$N$7:$N$874,I8,BS_RE33!$P$7:$P$874,'30 days CF Table(ALL)'!G8),2)</f>
        <v>0</v>
      </c>
      <c r="AQ8" s="545"/>
      <c r="AR8" s="379">
        <f>ROUND(SUMIFS(BS_RE33!$H$7:$H$874,BS_RE33!$S$7:$S$874,$AR$2,BS_RE33!$N$7:$N$874,I8,BS_RE33!$P$7:$P$874,'30 days CF Table(ALL)'!G8),2)</f>
        <v>0</v>
      </c>
      <c r="AS8" s="379">
        <f>ROUND(SUMIFS(BS_RE33!$H$7:$H$874,BS_RE33!$S$7:$S$874,$AS$2,BS_RE33!$N$7:$N$874,I8,BS_RE33!$P$7:$P$874,'30 days CF Table(ALL)'!G8),2)</f>
        <v>0</v>
      </c>
      <c r="AT8" s="379">
        <f>ROUND(SUMIFS(BS_RE33!$H$7:$H$874,BS_RE33!$S$7:$S$874,$AT$2,BS_RE33!$N$7:$N$874,I8,BS_RE33!$P$7:$P$874,'30 days CF Table(ALL)'!G8),2)</f>
        <v>0</v>
      </c>
      <c r="AU8" s="379">
        <f>ROUND(SUMIFS(BS_RE33!$H$7:$H$874,BS_RE33!$S$7:$S$874,$AU$2,BS_RE33!$N$7:$N$874,I8,BS_RE33!$P$7:$P$874,'30 days CF Table(ALL)'!G8),2)</f>
        <v>0</v>
      </c>
      <c r="AV8" s="379">
        <f>ROUND(SUMIFS(BS_RE33!$H$7:$H$874,BS_RE33!$S$7:$S$874,$AV$2,BS_RE33!$N$7:$N$874,I8,BS_RE33!$P$7:$P$874,'30 days CF Table(ALL)'!G8),2)</f>
        <v>0</v>
      </c>
      <c r="AW8" s="379">
        <f>ROUND(SUMIFS(BS_RE33!$H$7:$H$874,BS_RE33!$S$7:$S$874,$AW$2,BS_RE33!$N$7:$N$874,I8,BS_RE33!$P$7:$P$874,'30 days CF Table(ALL)'!G8),2)</f>
        <v>0</v>
      </c>
      <c r="AX8" s="379">
        <f>ROUND(SUMIFS(BS_RE33!$H$7:$H$874,BS_RE33!$S$7:$S$874,$AX$2,BS_RE33!$N$7:$N$874,I8,BS_RE33!$P$7:$P$874,'30 days CF Table(ALL)'!G8),2)</f>
        <v>0</v>
      </c>
      <c r="AY8" s="379">
        <f>ROUND(SUMIFS(BS_RE33!$H$7:$H$874,BS_RE33!$S$7:$S$874,$AY$2,BS_RE33!$N$7:$N$874,I8,BS_RE33!$P$7:$P$874,'30 days CF Table(ALL)'!G8),2)</f>
        <v>0</v>
      </c>
      <c r="AZ8" s="379">
        <f>ROUND(SUMIFS(BS_RE33!$H$7:$H$874,BS_RE33!$S$7:$S$874,$AZ$2,BS_RE33!$N$7:$N$874,I8,BS_RE33!$P$7:$P$874,'30 days CF Table(ALL)'!G8),2)</f>
        <v>0</v>
      </c>
      <c r="BA8" s="379">
        <f>ROUND(SUMIFS(BS_RE33!$H$7:$H$874,BS_RE33!$S$7:$S$874,$BA$2,BS_RE33!$N$7:$N$874,I8,BS_RE33!$P$7:$P$874,'30 days CF Table(ALL)'!G8),2)</f>
        <v>0</v>
      </c>
      <c r="BB8" s="379">
        <f>ROUND(SUMIFS(BS_RE33!$H$7:$H$874,BS_RE33!$S$7:$S$874,$BB$2,BS_RE33!$N$7:$N$874,I8,BS_RE33!$P$7:$P$874,'30 days CF Table(ALL)'!G8),2)</f>
        <v>0</v>
      </c>
      <c r="BC8" s="379">
        <f>ROUND(SUMIFS(BS_RE33!$H$7:$H$874,BS_RE33!$S$7:$S$874,$BC$2,BS_RE33!$N$7:$N$874,I8,BS_RE33!$P$7:$P$874,'30 days CF Table(ALL)'!G8),2)</f>
        <v>0</v>
      </c>
      <c r="BD8" s="379">
        <f>ROUND(SUMIFS(BS_RE33!$H$7:$H$874,BS_RE33!$S$7:$S$874,$BD$2,BS_RE33!$N$7:$N$874,I8,BS_RE33!$P$7:$P$874,'30 days CF Table(ALL)'!G8),2)</f>
        <v>0</v>
      </c>
      <c r="BE8" s="379">
        <f>ROUND(SUMIFS(BS_RE33!$H$7:$H$874,BS_RE33!$S$7:$S$874,$BE$2,BS_RE33!$N$7:$N$874,I8,BS_RE33!$P$7:$P$874,'30 days CF Table(ALL)'!G8),2)</f>
        <v>0</v>
      </c>
      <c r="BF8" s="379">
        <f>ROUND(SUMIFS(BS_RE33!$H$7:$H$874,BS_RE33!$S$7:$S$874,$BF$2,BS_RE33!$N$7:$N$874,I8,BS_RE33!$P$7:$P$874,'30 days CF Table(ALL)'!G8),2)</f>
        <v>0</v>
      </c>
      <c r="BG8" s="379">
        <f>ROUND(SUMIFS(BS_RE33!$H$7:$H$874,BS_RE33!$S$7:$S$874,$BG$2,BS_RE33!$N$7:$N$874,I8,BS_RE33!$P$7:$P$874,'30 days CF Table(ALL)'!G8),2)</f>
        <v>0</v>
      </c>
      <c r="BH8" s="379">
        <f>ROUND(SUMIFS(BS_RE33!$H$7:$H$874,BS_RE33!$S$7:$S$874,$BH$2,BS_RE33!$N$7:$N$874,I8,BS_RE33!$P$7:$P$874,'30 days CF Table(ALL)'!G8),2)</f>
        <v>0</v>
      </c>
      <c r="BI8" s="379">
        <f>ROUND(SUMIFS(BS_RE33!$H$7:$H$874,BS_RE33!$S$7:$S$874,$BI$2,BS_RE33!$N$7:$N$874,I8,BS_RE33!$P$7:$P$874,'30 days CF Table(ALL)'!G8),2)</f>
        <v>0</v>
      </c>
      <c r="BJ8" s="379">
        <f>ROUND(SUMIFS(BS_RE33!$H$7:$H$874,BS_RE33!$S$7:$S$874,$BJ$2,BS_RE33!$N$7:$N$874,I8,BS_RE33!$P$7:$P$874,'30 days CF Table(ALL)'!G8),2)</f>
        <v>0</v>
      </c>
      <c r="BK8" s="379">
        <f>ROUND(SUMIFS(BS_RE33!$H$7:$H$874,BS_RE33!$S$7:$S$874,$BK$2,BS_RE33!$N$7:$N$874,I8,BS_RE33!$P$7:$P$874,'30 days CF Table(ALL)'!G8),2)</f>
        <v>0</v>
      </c>
    </row>
    <row r="9" spans="1:63">
      <c r="C9" s="1029"/>
      <c r="D9" s="1030"/>
      <c r="E9" s="306" t="s">
        <v>69</v>
      </c>
      <c r="F9" s="560" t="s">
        <v>489</v>
      </c>
      <c r="G9" s="392" t="s">
        <v>499</v>
      </c>
      <c r="H9" s="130">
        <v>0.5</v>
      </c>
      <c r="I9" s="305" t="s">
        <v>63</v>
      </c>
      <c r="J9" s="477">
        <f t="shared" si="3"/>
        <v>0</v>
      </c>
      <c r="K9" s="335">
        <f>SUM(L9:AP9)*H9</f>
        <v>0</v>
      </c>
      <c r="L9" s="337">
        <f>ROUND(SUMIFS(BS_RE33!$H$7:$H$874,BS_RE33!$S$7:$S$874,$L$2,BS_RE33!$N$7:$N$874,I9,BS_RE33!$P$7:$P$874,'30 days CF Table(ALL)'!G9),2)</f>
        <v>0</v>
      </c>
      <c r="M9" s="337">
        <f>ROUND(SUMIFS(BS_RE33!$H$7:$H$874,BS_RE33!$S$7:$S$874,$M$2,BS_RE33!$N$7:$N$874,I9,BS_RE33!$P$7:$P$874,'30 days CF Table(ALL)'!G9),2)</f>
        <v>0</v>
      </c>
      <c r="N9" s="337">
        <f>ROUND(SUMIFS(BS_RE33!$H$7:$H$874,BS_RE33!$S$7:$S$874,$N$2,BS_RE33!$N$7:$N$874,I9,BS_RE33!$P$7:$P$874,'30 days CF Table(ALL)'!G9),2)</f>
        <v>0</v>
      </c>
      <c r="O9" s="337">
        <f>ROUND(SUMIFS(BS_RE33!$H$7:$H$874,BS_RE33!$S$7:$S$874,$O$2,BS_RE33!$N$7:$N$874,I9,BS_RE33!$P$7:$P$874,'30 days CF Table(ALL)'!G9),2)</f>
        <v>0</v>
      </c>
      <c r="P9" s="337">
        <f>ROUND(SUMIFS(BS_RE33!$H$7:$H$874,BS_RE33!$S$7:$S$874,$P$2,BS_RE33!$N$7:$N$874,I9,BS_RE33!$P$7:$P$874,'30 days CF Table(ALL)'!G9),2)</f>
        <v>0</v>
      </c>
      <c r="Q9" s="337">
        <f>ROUND(SUMIFS(BS_RE33!$H$7:$H$874,BS_RE33!$S$7:$S$874,$Q$2,BS_RE33!$N$7:$N$874,I9,BS_RE33!$P$7:$P$874,'30 days CF Table(ALL)'!G9),2)</f>
        <v>0</v>
      </c>
      <c r="R9" s="337">
        <f>ROUND(SUMIFS(BS_RE33!$H$7:$H$874,BS_RE33!$S$7:$S$874,$R$2,BS_RE33!$N$7:$N$874,I9,BS_RE33!$P$7:$P$874,'30 days CF Table(ALL)'!G9),2)</f>
        <v>0</v>
      </c>
      <c r="S9" s="337">
        <f>ROUND(SUMIFS(BS_RE33!$H$7:$H$874,BS_RE33!$S$7:$S$874,$S$2,BS_RE33!$N$7:$N$874,I9,BS_RE33!$P$7:$P$874,'30 days CF Table(ALL)'!G9),2)</f>
        <v>0</v>
      </c>
      <c r="T9" s="337">
        <f>ROUND(SUMIFS(BS_RE33!$H$7:$H$874,BS_RE33!$S$7:$S$874,$T$2,BS_RE33!$N$7:$N$874,I9,BS_RE33!$P$7:$P$874,'30 days CF Table(ALL)'!G9),2)</f>
        <v>0</v>
      </c>
      <c r="U9" s="337">
        <f>ROUND(SUMIFS(BS_RE33!$H$7:$H$874,BS_RE33!$S$7:$S$874,$U$2,BS_RE33!$N$7:$N$874,I9,BS_RE33!$P$7:$P$874,'30 days CF Table(ALL)'!G9),2)</f>
        <v>0</v>
      </c>
      <c r="V9" s="337">
        <f>ROUND(SUMIFS(BS_RE33!$H$7:$H$874,BS_RE33!$S$7:$S$874,$V$2,BS_RE33!$N$7:$N$874,I9,BS_RE33!$P$7:$P$874,'30 days CF Table(ALL)'!G9),2)</f>
        <v>0</v>
      </c>
      <c r="W9" s="337">
        <f>ROUND(SUMIFS(BS_RE33!$H$7:$H$874,BS_RE33!$S$7:$S$874,$W$2,BS_RE33!$N$7:$N$874,I9,BS_RE33!$P$7:$P$874,'30 days CF Table(ALL)'!G9),2)</f>
        <v>0</v>
      </c>
      <c r="X9" s="337">
        <f>ROUND(SUMIFS(BS_RE33!$H$7:$H$874,BS_RE33!$S$7:$S$874,$X$2,BS_RE33!$N$7:$N$874,I9,BS_RE33!$P$7:$P$874,'30 days CF Table(ALL)'!G9),2)</f>
        <v>0</v>
      </c>
      <c r="Y9" s="337">
        <f>ROUND(SUMIFS(BS_RE33!$H$7:$H$874,BS_RE33!$S$7:$S$874,$Y$2,BS_RE33!$N$7:$N$874,I9,BS_RE33!$P$7:$P$874,'30 days CF Table(ALL)'!G9),2)</f>
        <v>0</v>
      </c>
      <c r="Z9" s="337">
        <f>ROUND(SUMIFS(BS_RE33!$H$7:$H$874,BS_RE33!$S$7:$S$874,$Z$2,BS_RE33!$N$7:$N$874,I9,BS_RE33!$P$7:$P$874,'30 days CF Table(ALL)'!G9),2)</f>
        <v>0</v>
      </c>
      <c r="AA9" s="337">
        <f>ROUND(SUMIFS(BS_RE33!$H$7:$H$874,BS_RE33!$S$7:$S$874,$AA$2,BS_RE33!$N$7:$N$874,I9,BS_RE33!$P$7:$P$874,'30 days CF Table(ALL)'!G9),2)</f>
        <v>0</v>
      </c>
      <c r="AB9" s="337">
        <f>ROUND(SUMIFS(BS_RE33!$H$7:$H$874,BS_RE33!$S$7:$S$874,$AB$2,BS_RE33!$N$7:$N$874,I9,BS_RE33!$P$7:$P$874,'30 days CF Table(ALL)'!G9),2)</f>
        <v>0</v>
      </c>
      <c r="AC9" s="337">
        <f>ROUND(SUMIFS(BS_RE33!$H$7:$H$874,BS_RE33!$S$7:$S$874,$AC$2,BS_RE33!$N$7:$N$874,I9,BS_RE33!$P$7:$P$874,'30 days CF Table(ALL)'!G9),2)</f>
        <v>0</v>
      </c>
      <c r="AD9" s="337">
        <f>ROUND(SUMIFS(BS_RE33!$H$7:$H$874,BS_RE33!$S$7:$S$874,$AD$2,BS_RE33!$N$7:$N$874,I9,BS_RE33!$P$7:$P$874,'30 days CF Table(ALL)'!G9),2)</f>
        <v>0</v>
      </c>
      <c r="AE9" s="337">
        <f>ROUND(SUMIFS(BS_RE33!$H$7:$H$874,BS_RE33!$S$7:$S$874,$AE$2,BS_RE33!$N$7:$N$874,I9,BS_RE33!$P$7:$P$874,'30 days CF Table(ALL)'!G9),2)</f>
        <v>0</v>
      </c>
      <c r="AF9" s="337">
        <f>ROUND(SUMIFS(BS_RE33!$H$7:$H$874,BS_RE33!$S$7:$S$874,$AF$2,BS_RE33!$N$7:$N$874,I9,BS_RE33!$P$7:$P$874,'30 days CF Table(ALL)'!G9),2)</f>
        <v>0</v>
      </c>
      <c r="AG9" s="337">
        <f>ROUND(SUMIFS(BS_RE33!$H$7:$H$874,BS_RE33!$S$7:$S$874,$AG$2,BS_RE33!$N$7:$N$874,I9,BS_RE33!$P$7:$P$874,'30 days CF Table(ALL)'!G9),2)</f>
        <v>0</v>
      </c>
      <c r="AH9" s="337">
        <f>ROUND(SUMIFS(BS_RE33!$H$7:$H$874,BS_RE33!$S$7:$S$874,$AH$2,BS_RE33!$N$7:$N$874,I9,BS_RE33!$P$7:$P$874,'30 days CF Table(ALL)'!G9),2)</f>
        <v>0</v>
      </c>
      <c r="AI9" s="337">
        <f>ROUND(SUMIFS(BS_RE33!$H$7:$H$874,BS_RE33!$S$7:$S$874,$AI$2,BS_RE33!$N$7:$N$874,I9,BS_RE33!$P$7:$P$874,'30 days CF Table(ALL)'!G9),2)</f>
        <v>0</v>
      </c>
      <c r="AJ9" s="337">
        <f>ROUND(SUMIFS(BS_RE33!$H$7:$H$874,BS_RE33!$S$7:$S$874,$AJ$2,BS_RE33!$N$7:$N$874,I9,BS_RE33!$P$7:$P$874,'30 days CF Table(ALL)'!G9),2)</f>
        <v>0</v>
      </c>
      <c r="AK9" s="337">
        <f>ROUND(SUMIFS(BS_RE33!$H$7:$H$874,BS_RE33!$S$7:$S$874,$AK$2,BS_RE33!$N$7:$N$874,I9,BS_RE33!$P$7:$P$874,'30 days CF Table(ALL)'!G9),2)</f>
        <v>0</v>
      </c>
      <c r="AL9" s="337">
        <f>ROUND(SUMIFS(BS_RE33!$H$7:$H$874,BS_RE33!$S$7:$S$874,$AL$2,BS_RE33!$N$7:$N$874,I9,BS_RE33!$P$7:$P$874,'30 days CF Table(ALL)'!G9),2)</f>
        <v>0</v>
      </c>
      <c r="AM9" s="337">
        <f>ROUND(SUMIFS(BS_RE33!$H$7:$H$874,BS_RE33!$S$7:$S$874,$AM$2,BS_RE33!$N$7:$N$874,I9,BS_RE33!$P$7:$P$874,'30 days CF Table(ALL)'!G9),2)</f>
        <v>0</v>
      </c>
      <c r="AN9" s="337">
        <f>ROUND(SUMIFS(BS_RE33!$H$7:$H$874,BS_RE33!$S$7:$S$874,$AN$2,BS_RE33!$N$7:$N$874,I9,BS_RE33!$P$7:$P$874,'30 days CF Table(ALL)'!G9),2)</f>
        <v>0</v>
      </c>
      <c r="AO9" s="337">
        <f>ROUND(SUMIFS(BS_RE33!$H$7:$H$874,BS_RE33!$S$7:$S$874,$AO$2,BS_RE33!$N$7:$N$874,I9,BS_RE33!$P$7:$P$874,'30 days CF Table(ALL)'!G9),2)</f>
        <v>0</v>
      </c>
      <c r="AP9" s="338">
        <f>ROUND(SUMIFS(BS_RE33!$H$7:$H$874,BS_RE33!$S$7:$S$874,$AP$2,BS_RE33!$N$7:$N$874,I9,BS_RE33!$P$7:$P$874,'30 days CF Table(ALL)'!G9),2)</f>
        <v>0</v>
      </c>
      <c r="AQ9" s="545"/>
      <c r="AR9" s="379">
        <f>ROUND(SUMIFS(BS_RE33!$H$7:$H$874,BS_RE33!$S$7:$S$874,$AR$2,BS_RE33!$N$7:$N$874,I9,BS_RE33!$P$7:$P$874,'30 days CF Table(ALL)'!G9),2)</f>
        <v>0</v>
      </c>
      <c r="AS9" s="379">
        <f>ROUND(SUMIFS(BS_RE33!$H$7:$H$874,BS_RE33!$S$7:$S$874,$AS$2,BS_RE33!$N$7:$N$874,I9,BS_RE33!$P$7:$P$874,'30 days CF Table(ALL)'!G9),2)</f>
        <v>0</v>
      </c>
      <c r="AT9" s="379">
        <f>ROUND(SUMIFS(BS_RE33!$H$7:$H$874,BS_RE33!$S$7:$S$874,$AT$2,BS_RE33!$N$7:$N$874,I9,BS_RE33!$P$7:$P$874,'30 days CF Table(ALL)'!G9),2)</f>
        <v>0</v>
      </c>
      <c r="AU9" s="379">
        <f>ROUND(SUMIFS(BS_RE33!$H$7:$H$874,BS_RE33!$S$7:$S$874,$AU$2,BS_RE33!$N$7:$N$874,I9,BS_RE33!$P$7:$P$874,'30 days CF Table(ALL)'!G9),2)</f>
        <v>0</v>
      </c>
      <c r="AV9" s="379">
        <f>ROUND(SUMIFS(BS_RE33!$H$7:$H$874,BS_RE33!$S$7:$S$874,$AV$2,BS_RE33!$N$7:$N$874,I9,BS_RE33!$P$7:$P$874,'30 days CF Table(ALL)'!G9),2)</f>
        <v>0</v>
      </c>
      <c r="AW9" s="379">
        <f>ROUND(SUMIFS(BS_RE33!$H$7:$H$874,BS_RE33!$S$7:$S$874,$AW$2,BS_RE33!$N$7:$N$874,I9,BS_RE33!$P$7:$P$874,'30 days CF Table(ALL)'!G9),2)</f>
        <v>0</v>
      </c>
      <c r="AX9" s="379">
        <f>ROUND(SUMIFS(BS_RE33!$H$7:$H$874,BS_RE33!$S$7:$S$874,$AX$2,BS_RE33!$N$7:$N$874,I9,BS_RE33!$P$7:$P$874,'30 days CF Table(ALL)'!G9),2)</f>
        <v>0</v>
      </c>
      <c r="AY9" s="379">
        <f>ROUND(SUMIFS(BS_RE33!$H$7:$H$874,BS_RE33!$S$7:$S$874,$AY$2,BS_RE33!$N$7:$N$874,I9,BS_RE33!$P$7:$P$874,'30 days CF Table(ALL)'!G9),2)</f>
        <v>0</v>
      </c>
      <c r="AZ9" s="379">
        <f>ROUND(SUMIFS(BS_RE33!$H$7:$H$874,BS_RE33!$S$7:$S$874,$AZ$2,BS_RE33!$N$7:$N$874,I9,BS_RE33!$P$7:$P$874,'30 days CF Table(ALL)'!G9),2)</f>
        <v>0</v>
      </c>
      <c r="BA9" s="379">
        <f>ROUND(SUMIFS(BS_RE33!$H$7:$H$874,BS_RE33!$S$7:$S$874,$BA$2,BS_RE33!$N$7:$N$874,I9,BS_RE33!$P$7:$P$874,'30 days CF Table(ALL)'!G9),2)</f>
        <v>0</v>
      </c>
      <c r="BB9" s="379">
        <f>ROUND(SUMIFS(BS_RE33!$H$7:$H$874,BS_RE33!$S$7:$S$874,$BB$2,BS_RE33!$N$7:$N$874,I9,BS_RE33!$P$7:$P$874,'30 days CF Table(ALL)'!G9),2)</f>
        <v>0</v>
      </c>
      <c r="BC9" s="379">
        <f>ROUND(SUMIFS(BS_RE33!$H$7:$H$874,BS_RE33!$S$7:$S$874,$BC$2,BS_RE33!$N$7:$N$874,I9,BS_RE33!$P$7:$P$874,'30 days CF Table(ALL)'!G9),2)</f>
        <v>0</v>
      </c>
      <c r="BD9" s="379">
        <f>ROUND(SUMIFS(BS_RE33!$H$7:$H$874,BS_RE33!$S$7:$S$874,$BD$2,BS_RE33!$N$7:$N$874,I9,BS_RE33!$P$7:$P$874,'30 days CF Table(ALL)'!G9),2)</f>
        <v>0</v>
      </c>
      <c r="BE9" s="379">
        <f>ROUND(SUMIFS(BS_RE33!$H$7:$H$874,BS_RE33!$S$7:$S$874,$BE$2,BS_RE33!$N$7:$N$874,I9,BS_RE33!$P$7:$P$874,'30 days CF Table(ALL)'!G9),2)</f>
        <v>0</v>
      </c>
      <c r="BF9" s="379">
        <f>ROUND(SUMIFS(BS_RE33!$H$7:$H$874,BS_RE33!$S$7:$S$874,$BF$2,BS_RE33!$N$7:$N$874,I9,BS_RE33!$P$7:$P$874,'30 days CF Table(ALL)'!G9),2)</f>
        <v>0</v>
      </c>
      <c r="BG9" s="379">
        <f>ROUND(SUMIFS(BS_RE33!$H$7:$H$874,BS_RE33!$S$7:$S$874,$BG$2,BS_RE33!$N$7:$N$874,I9,BS_RE33!$P$7:$P$874,'30 days CF Table(ALL)'!G9),2)</f>
        <v>0</v>
      </c>
      <c r="BH9" s="379">
        <f>ROUND(SUMIFS(BS_RE33!$H$7:$H$874,BS_RE33!$S$7:$S$874,$BH$2,BS_RE33!$N$7:$N$874,I9,BS_RE33!$P$7:$P$874,'30 days CF Table(ALL)'!G9),2)</f>
        <v>0</v>
      </c>
      <c r="BI9" s="379">
        <f>ROUND(SUMIFS(BS_RE33!$H$7:$H$874,BS_RE33!$S$7:$S$874,$BI$2,BS_RE33!$N$7:$N$874,I9,BS_RE33!$P$7:$P$874,'30 days CF Table(ALL)'!G9),2)</f>
        <v>0</v>
      </c>
      <c r="BJ9" s="379">
        <f>ROUND(SUMIFS(BS_RE33!$H$7:$H$874,BS_RE33!$S$7:$S$874,$BJ$2,BS_RE33!$N$7:$N$874,I9,BS_RE33!$P$7:$P$874,'30 days CF Table(ALL)'!G9),2)</f>
        <v>0</v>
      </c>
      <c r="BK9" s="379">
        <f>ROUND(SUMIFS(BS_RE33!$H$7:$H$874,BS_RE33!$S$7:$S$874,$BK$2,BS_RE33!$N$7:$N$874,I9,BS_RE33!$P$7:$P$874,'30 days CF Table(ALL)'!G9),2)</f>
        <v>0</v>
      </c>
    </row>
    <row r="10" spans="1:63">
      <c r="C10" s="1029"/>
      <c r="D10" s="1030"/>
      <c r="E10" s="306" t="s">
        <v>69</v>
      </c>
      <c r="F10" s="312" t="s">
        <v>500</v>
      </c>
      <c r="G10" s="392" t="s">
        <v>501</v>
      </c>
      <c r="H10" s="130">
        <v>0.5</v>
      </c>
      <c r="I10" s="305" t="s">
        <v>63</v>
      </c>
      <c r="J10" s="477">
        <f t="shared" si="3"/>
        <v>0</v>
      </c>
      <c r="K10" s="335">
        <f t="shared" si="4"/>
        <v>0</v>
      </c>
      <c r="L10" s="337">
        <f>ROUND(SUMIFS(BS_RE33!$H$7:$H$874,BS_RE33!$S$7:$S$874,$L$2,BS_RE33!$N$7:$N$874,I10,BS_RE33!$P$7:$P$874,'30 days CF Table(ALL)'!G10),2)</f>
        <v>0</v>
      </c>
      <c r="M10" s="337">
        <f>ROUND(SUMIFS(BS_RE33!$H$7:$H$874,BS_RE33!$S$7:$S$874,$M$2,BS_RE33!$N$7:$N$874,I10,BS_RE33!$P$7:$P$874,'30 days CF Table(ALL)'!G10),2)</f>
        <v>0</v>
      </c>
      <c r="N10" s="337">
        <f>ROUND(SUMIFS(BS_RE33!$H$7:$H$874,BS_RE33!$S$7:$S$874,$N$2,BS_RE33!$N$7:$N$874,I10,BS_RE33!$P$7:$P$874,'30 days CF Table(ALL)'!G10),2)</f>
        <v>0</v>
      </c>
      <c r="O10" s="337">
        <f>ROUND(SUMIFS(BS_RE33!$H$7:$H$874,BS_RE33!$S$7:$S$874,$O$2,BS_RE33!$N$7:$N$874,I10,BS_RE33!$P$7:$P$874,'30 days CF Table(ALL)'!G10),2)</f>
        <v>0</v>
      </c>
      <c r="P10" s="337">
        <f>ROUND(SUMIFS(BS_RE33!$H$7:$H$874,BS_RE33!$S$7:$S$874,$P$2,BS_RE33!$N$7:$N$874,I10,BS_RE33!$P$7:$P$874,'30 days CF Table(ALL)'!G10),2)</f>
        <v>0</v>
      </c>
      <c r="Q10" s="337">
        <f>ROUND(SUMIFS(BS_RE33!$H$7:$H$874,BS_RE33!$S$7:$S$874,$Q$2,BS_RE33!$N$7:$N$874,I10,BS_RE33!$P$7:$P$874,'30 days CF Table(ALL)'!G10),2)</f>
        <v>0</v>
      </c>
      <c r="R10" s="337">
        <f>ROUND(SUMIFS(BS_RE33!$H$7:$H$874,BS_RE33!$S$7:$S$874,$R$2,BS_RE33!$N$7:$N$874,I10,BS_RE33!$P$7:$P$874,'30 days CF Table(ALL)'!G10),2)</f>
        <v>0</v>
      </c>
      <c r="S10" s="337">
        <f>ROUND(SUMIFS(BS_RE33!$H$7:$H$874,BS_RE33!$S$7:$S$874,$S$2,BS_RE33!$N$7:$N$874,I10,BS_RE33!$P$7:$P$874,'30 days CF Table(ALL)'!G10),2)</f>
        <v>0</v>
      </c>
      <c r="T10" s="337">
        <f>ROUND(SUMIFS(BS_RE33!$H$7:$H$874,BS_RE33!$S$7:$S$874,$T$2,BS_RE33!$N$7:$N$874,I10,BS_RE33!$P$7:$P$874,'30 days CF Table(ALL)'!G10),2)</f>
        <v>0</v>
      </c>
      <c r="U10" s="337">
        <f>ROUND(SUMIFS(BS_RE33!$H$7:$H$874,BS_RE33!$S$7:$S$874,$U$2,BS_RE33!$N$7:$N$874,I10,BS_RE33!$P$7:$P$874,'30 days CF Table(ALL)'!G10),2)</f>
        <v>0</v>
      </c>
      <c r="V10" s="337">
        <f>ROUND(SUMIFS(BS_RE33!$H$7:$H$874,BS_RE33!$S$7:$S$874,$V$2,BS_RE33!$N$7:$N$874,I10,BS_RE33!$P$7:$P$874,'30 days CF Table(ALL)'!G10),2)</f>
        <v>0</v>
      </c>
      <c r="W10" s="337">
        <f>ROUND(SUMIFS(BS_RE33!$H$7:$H$874,BS_RE33!$S$7:$S$874,$W$2,BS_RE33!$N$7:$N$874,I10,BS_RE33!$P$7:$P$874,'30 days CF Table(ALL)'!G10),2)</f>
        <v>0</v>
      </c>
      <c r="X10" s="337">
        <f>ROUND(SUMIFS(BS_RE33!$H$7:$H$874,BS_RE33!$S$7:$S$874,$X$2,BS_RE33!$N$7:$N$874,I10,BS_RE33!$P$7:$P$874,'30 days CF Table(ALL)'!G10),2)</f>
        <v>0</v>
      </c>
      <c r="Y10" s="337">
        <f>ROUND(SUMIFS(BS_RE33!$H$7:$H$874,BS_RE33!$S$7:$S$874,$Y$2,BS_RE33!$N$7:$N$874,I10,BS_RE33!$P$7:$P$874,'30 days CF Table(ALL)'!G10),2)</f>
        <v>0</v>
      </c>
      <c r="Z10" s="337">
        <f>ROUND(SUMIFS(BS_RE33!$H$7:$H$874,BS_RE33!$S$7:$S$874,$Z$2,BS_RE33!$N$7:$N$874,I10,BS_RE33!$P$7:$P$874,'30 days CF Table(ALL)'!G10),2)</f>
        <v>0</v>
      </c>
      <c r="AA10" s="337">
        <f>ROUND(SUMIFS(BS_RE33!$H$7:$H$874,BS_RE33!$S$7:$S$874,$AA$2,BS_RE33!$N$7:$N$874,I10,BS_RE33!$P$7:$P$874,'30 days CF Table(ALL)'!G10),2)</f>
        <v>0</v>
      </c>
      <c r="AB10" s="337">
        <f>ROUND(SUMIFS(BS_RE33!$H$7:$H$874,BS_RE33!$S$7:$S$874,$AB$2,BS_RE33!$N$7:$N$874,I10,BS_RE33!$P$7:$P$874,'30 days CF Table(ALL)'!G10),2)</f>
        <v>0</v>
      </c>
      <c r="AC10" s="337">
        <f>ROUND(SUMIFS(BS_RE33!$H$7:$H$874,BS_RE33!$S$7:$S$874,$AC$2,BS_RE33!$N$7:$N$874,I10,BS_RE33!$P$7:$P$874,'30 days CF Table(ALL)'!G10),2)</f>
        <v>0</v>
      </c>
      <c r="AD10" s="337">
        <f>ROUND(SUMIFS(BS_RE33!$H$7:$H$874,BS_RE33!$S$7:$S$874,$AD$2,BS_RE33!$N$7:$N$874,I10,BS_RE33!$P$7:$P$874,'30 days CF Table(ALL)'!G10),2)</f>
        <v>0</v>
      </c>
      <c r="AE10" s="337">
        <f>ROUND(SUMIFS(BS_RE33!$H$7:$H$874,BS_RE33!$S$7:$S$874,$AE$2,BS_RE33!$N$7:$N$874,I10,BS_RE33!$P$7:$P$874,'30 days CF Table(ALL)'!G10),2)</f>
        <v>0</v>
      </c>
      <c r="AF10" s="337">
        <f>ROUND(SUMIFS(BS_RE33!$H$7:$H$874,BS_RE33!$S$7:$S$874,$AF$2,BS_RE33!$N$7:$N$874,I10,BS_RE33!$P$7:$P$874,'30 days CF Table(ALL)'!G10),2)</f>
        <v>0</v>
      </c>
      <c r="AG10" s="337">
        <f>ROUND(SUMIFS(BS_RE33!$H$7:$H$874,BS_RE33!$S$7:$S$874,$AG$2,BS_RE33!$N$7:$N$874,I10,BS_RE33!$P$7:$P$874,'30 days CF Table(ALL)'!G10),2)</f>
        <v>0</v>
      </c>
      <c r="AH10" s="337">
        <f>ROUND(SUMIFS(BS_RE33!$H$7:$H$874,BS_RE33!$S$7:$S$874,$AH$2,BS_RE33!$N$7:$N$874,I10,BS_RE33!$P$7:$P$874,'30 days CF Table(ALL)'!G10),2)</f>
        <v>0</v>
      </c>
      <c r="AI10" s="337">
        <f>ROUND(SUMIFS(BS_RE33!$H$7:$H$874,BS_RE33!$S$7:$S$874,$AI$2,BS_RE33!$N$7:$N$874,I10,BS_RE33!$P$7:$P$874,'30 days CF Table(ALL)'!G10),2)</f>
        <v>0</v>
      </c>
      <c r="AJ10" s="337">
        <f>ROUND(SUMIFS(BS_RE33!$H$7:$H$874,BS_RE33!$S$7:$S$874,$AJ$2,BS_RE33!$N$7:$N$874,I10,BS_RE33!$P$7:$P$874,'30 days CF Table(ALL)'!G10),2)</f>
        <v>0</v>
      </c>
      <c r="AK10" s="337">
        <f>ROUND(SUMIFS(BS_RE33!$H$7:$H$874,BS_RE33!$S$7:$S$874,$AK$2,BS_RE33!$N$7:$N$874,I10,BS_RE33!$P$7:$P$874,'30 days CF Table(ALL)'!G10),2)</f>
        <v>0</v>
      </c>
      <c r="AL10" s="337">
        <f>ROUND(SUMIFS(BS_RE33!$H$7:$H$874,BS_RE33!$S$7:$S$874,$AL$2,BS_RE33!$N$7:$N$874,I10,BS_RE33!$P$7:$P$874,'30 days CF Table(ALL)'!G10),2)</f>
        <v>0</v>
      </c>
      <c r="AM10" s="337">
        <f>ROUND(SUMIFS(BS_RE33!$H$7:$H$874,BS_RE33!$S$7:$S$874,$AM$2,BS_RE33!$N$7:$N$874,I10,BS_RE33!$P$7:$P$874,'30 days CF Table(ALL)'!G10),2)</f>
        <v>0</v>
      </c>
      <c r="AN10" s="337">
        <f>ROUND(SUMIFS(BS_RE33!$H$7:$H$874,BS_RE33!$S$7:$S$874,$AN$2,BS_RE33!$N$7:$N$874,I10,BS_RE33!$P$7:$P$874,'30 days CF Table(ALL)'!G10),2)</f>
        <v>0</v>
      </c>
      <c r="AO10" s="337">
        <f>ROUND(SUMIFS(BS_RE33!$H$7:$H$874,BS_RE33!$S$7:$S$874,$AO$2,BS_RE33!$N$7:$N$874,I10,BS_RE33!$P$7:$P$874,'30 days CF Table(ALL)'!G10),2)</f>
        <v>0</v>
      </c>
      <c r="AP10" s="338">
        <f>ROUND(SUMIFS(BS_RE33!$H$7:$H$874,BS_RE33!$S$7:$S$874,$AP$2,BS_RE33!$N$7:$N$874,I10,BS_RE33!$P$7:$P$874,'30 days CF Table(ALL)'!G10),2)</f>
        <v>0</v>
      </c>
      <c r="AQ10" s="545"/>
      <c r="AR10" s="379">
        <f>ROUND(SUMIFS(BS_RE33!$H$7:$H$874,BS_RE33!$S$7:$S$874,$AR$2,BS_RE33!$N$7:$N$874,I10,BS_RE33!$P$7:$P$874,'30 days CF Table(ALL)'!G10),2)</f>
        <v>0</v>
      </c>
      <c r="AS10" s="379">
        <f>ROUND(SUMIFS(BS_RE33!$H$7:$H$874,BS_RE33!$S$7:$S$874,$AS$2,BS_RE33!$N$7:$N$874,I10,BS_RE33!$P$7:$P$874,'30 days CF Table(ALL)'!G10),2)</f>
        <v>0</v>
      </c>
      <c r="AT10" s="379">
        <f>ROUND(SUMIFS(BS_RE33!$H$7:$H$874,BS_RE33!$S$7:$S$874,$AT$2,BS_RE33!$N$7:$N$874,I10,BS_RE33!$P$7:$P$874,'30 days CF Table(ALL)'!G10),2)</f>
        <v>0</v>
      </c>
      <c r="AU10" s="379">
        <f>ROUND(SUMIFS(BS_RE33!$H$7:$H$874,BS_RE33!$S$7:$S$874,$AU$2,BS_RE33!$N$7:$N$874,I10,BS_RE33!$P$7:$P$874,'30 days CF Table(ALL)'!G10),2)</f>
        <v>0</v>
      </c>
      <c r="AV10" s="379">
        <f>ROUND(SUMIFS(BS_RE33!$H$7:$H$874,BS_RE33!$S$7:$S$874,$AV$2,BS_RE33!$N$7:$N$874,I10,BS_RE33!$P$7:$P$874,'30 days CF Table(ALL)'!G10),2)</f>
        <v>0</v>
      </c>
      <c r="AW10" s="379">
        <f>ROUND(SUMIFS(BS_RE33!$H$7:$H$874,BS_RE33!$S$7:$S$874,$AW$2,BS_RE33!$N$7:$N$874,I10,BS_RE33!$P$7:$P$874,'30 days CF Table(ALL)'!G10),2)</f>
        <v>0</v>
      </c>
      <c r="AX10" s="379">
        <f>ROUND(SUMIFS(BS_RE33!$H$7:$H$874,BS_RE33!$S$7:$S$874,$AX$2,BS_RE33!$N$7:$N$874,I10,BS_RE33!$P$7:$P$874,'30 days CF Table(ALL)'!G10),2)</f>
        <v>0</v>
      </c>
      <c r="AY10" s="379">
        <f>ROUND(SUMIFS(BS_RE33!$H$7:$H$874,BS_RE33!$S$7:$S$874,$AY$2,BS_RE33!$N$7:$N$874,I10,BS_RE33!$P$7:$P$874,'30 days CF Table(ALL)'!G10),2)</f>
        <v>0</v>
      </c>
      <c r="AZ10" s="379">
        <f>ROUND(SUMIFS(BS_RE33!$H$7:$H$874,BS_RE33!$S$7:$S$874,$AZ$2,BS_RE33!$N$7:$N$874,I10,BS_RE33!$P$7:$P$874,'30 days CF Table(ALL)'!G10),2)</f>
        <v>0</v>
      </c>
      <c r="BA10" s="379">
        <f>ROUND(SUMIFS(BS_RE33!$H$7:$H$874,BS_RE33!$S$7:$S$874,$BA$2,BS_RE33!$N$7:$N$874,I10,BS_RE33!$P$7:$P$874,'30 days CF Table(ALL)'!G10),2)</f>
        <v>0</v>
      </c>
      <c r="BB10" s="379">
        <f>ROUND(SUMIFS(BS_RE33!$H$7:$H$874,BS_RE33!$S$7:$S$874,$BB$2,BS_RE33!$N$7:$N$874,I10,BS_RE33!$P$7:$P$874,'30 days CF Table(ALL)'!G10),2)</f>
        <v>0</v>
      </c>
      <c r="BC10" s="379">
        <f>ROUND(SUMIFS(BS_RE33!$H$7:$H$874,BS_RE33!$S$7:$S$874,$BC$2,BS_RE33!$N$7:$N$874,I10,BS_RE33!$P$7:$P$874,'30 days CF Table(ALL)'!G10),2)</f>
        <v>0</v>
      </c>
      <c r="BD10" s="379">
        <f>ROUND(SUMIFS(BS_RE33!$H$7:$H$874,BS_RE33!$S$7:$S$874,$BD$2,BS_RE33!$N$7:$N$874,I10,BS_RE33!$P$7:$P$874,'30 days CF Table(ALL)'!G10),2)</f>
        <v>0</v>
      </c>
      <c r="BE10" s="379">
        <f>ROUND(SUMIFS(BS_RE33!$H$7:$H$874,BS_RE33!$S$7:$S$874,$BE$2,BS_RE33!$N$7:$N$874,I10,BS_RE33!$P$7:$P$874,'30 days CF Table(ALL)'!G10),2)</f>
        <v>0</v>
      </c>
      <c r="BF10" s="379">
        <f>ROUND(SUMIFS(BS_RE33!$H$7:$H$874,BS_RE33!$S$7:$S$874,$BF$2,BS_RE33!$N$7:$N$874,I10,BS_RE33!$P$7:$P$874,'30 days CF Table(ALL)'!G10),2)</f>
        <v>0</v>
      </c>
      <c r="BG10" s="379">
        <f>ROUND(SUMIFS(BS_RE33!$H$7:$H$874,BS_RE33!$S$7:$S$874,$BG$2,BS_RE33!$N$7:$N$874,I10,BS_RE33!$P$7:$P$874,'30 days CF Table(ALL)'!G10),2)</f>
        <v>0</v>
      </c>
      <c r="BH10" s="379">
        <f>ROUND(SUMIFS(BS_RE33!$H$7:$H$874,BS_RE33!$S$7:$S$874,$BH$2,BS_RE33!$N$7:$N$874,I10,BS_RE33!$P$7:$P$874,'30 days CF Table(ALL)'!G10),2)</f>
        <v>0</v>
      </c>
      <c r="BI10" s="379">
        <f>ROUND(SUMIFS(BS_RE33!$H$7:$H$874,BS_RE33!$S$7:$S$874,$BI$2,BS_RE33!$N$7:$N$874,I10,BS_RE33!$P$7:$P$874,'30 days CF Table(ALL)'!G10),2)</f>
        <v>0</v>
      </c>
      <c r="BJ10" s="379">
        <f>ROUND(SUMIFS(BS_RE33!$H$7:$H$874,BS_RE33!$S$7:$S$874,$BJ$2,BS_RE33!$N$7:$N$874,I10,BS_RE33!$P$7:$P$874,'30 days CF Table(ALL)'!G10),2)</f>
        <v>0</v>
      </c>
      <c r="BK10" s="379">
        <f>ROUND(SUMIFS(BS_RE33!$H$7:$H$874,BS_RE33!$S$7:$S$874,$BK$2,BS_RE33!$N$7:$N$874,I10,BS_RE33!$P$7:$P$874,'30 days CF Table(ALL)'!G10),2)</f>
        <v>0</v>
      </c>
    </row>
    <row r="11" spans="1:63">
      <c r="C11" s="1029"/>
      <c r="D11" s="1030"/>
      <c r="E11" s="306" t="s">
        <v>69</v>
      </c>
      <c r="F11" s="312" t="s">
        <v>502</v>
      </c>
      <c r="G11" s="392" t="s">
        <v>503</v>
      </c>
      <c r="H11" s="130">
        <v>0.5</v>
      </c>
      <c r="I11" s="305" t="s">
        <v>63</v>
      </c>
      <c r="J11" s="477">
        <f t="shared" si="3"/>
        <v>0</v>
      </c>
      <c r="K11" s="335">
        <f t="shared" si="4"/>
        <v>0</v>
      </c>
      <c r="L11" s="337">
        <f>ROUND(SUMIFS(BS_RE33!$H$7:$H$874,BS_RE33!$S$7:$S$874,$L$2,BS_RE33!$N$7:$N$874,I11,BS_RE33!$P$7:$P$874,'30 days CF Table(ALL)'!G11),2)</f>
        <v>0</v>
      </c>
      <c r="M11" s="337">
        <f>ROUND(SUMIFS(BS_RE33!$H$7:$H$874,BS_RE33!$S$7:$S$874,$M$2,BS_RE33!$N$7:$N$874,I11,BS_RE33!$P$7:$P$874,'30 days CF Table(ALL)'!G11),2)</f>
        <v>0</v>
      </c>
      <c r="N11" s="337">
        <f>ROUND(SUMIFS(BS_RE33!$H$7:$H$874,BS_RE33!$S$7:$S$874,$N$2,BS_RE33!$N$7:$N$874,I11,BS_RE33!$P$7:$P$874,'30 days CF Table(ALL)'!G11),2)</f>
        <v>0</v>
      </c>
      <c r="O11" s="337">
        <f>ROUND(SUMIFS(BS_RE33!$H$7:$H$874,BS_RE33!$S$7:$S$874,$O$2,BS_RE33!$N$7:$N$874,I11,BS_RE33!$P$7:$P$874,'30 days CF Table(ALL)'!G11),2)</f>
        <v>0</v>
      </c>
      <c r="P11" s="337">
        <f>ROUND(SUMIFS(BS_RE33!$H$7:$H$874,BS_RE33!$S$7:$S$874,$P$2,BS_RE33!$N$7:$N$874,I11,BS_RE33!$P$7:$P$874,'30 days CF Table(ALL)'!G11),2)</f>
        <v>0</v>
      </c>
      <c r="Q11" s="337">
        <f>ROUND(SUMIFS(BS_RE33!$H$7:$H$874,BS_RE33!$S$7:$S$874,$Q$2,BS_RE33!$N$7:$N$874,I11,BS_RE33!$P$7:$P$874,'30 days CF Table(ALL)'!G11),2)</f>
        <v>0</v>
      </c>
      <c r="R11" s="337">
        <f>ROUND(SUMIFS(BS_RE33!$H$7:$H$874,BS_RE33!$S$7:$S$874,$R$2,BS_RE33!$N$7:$N$874,I11,BS_RE33!$P$7:$P$874,'30 days CF Table(ALL)'!G11),2)</f>
        <v>0</v>
      </c>
      <c r="S11" s="337">
        <f>ROUND(SUMIFS(BS_RE33!$H$7:$H$874,BS_RE33!$S$7:$S$874,$S$2,BS_RE33!$N$7:$N$874,I11,BS_RE33!$P$7:$P$874,'30 days CF Table(ALL)'!G11),2)</f>
        <v>0</v>
      </c>
      <c r="T11" s="337">
        <f>ROUND(SUMIFS(BS_RE33!$H$7:$H$874,BS_RE33!$S$7:$S$874,$T$2,BS_RE33!$N$7:$N$874,I11,BS_RE33!$P$7:$P$874,'30 days CF Table(ALL)'!G11),2)</f>
        <v>0</v>
      </c>
      <c r="U11" s="337">
        <f>ROUND(SUMIFS(BS_RE33!$H$7:$H$874,BS_RE33!$S$7:$S$874,$U$2,BS_RE33!$N$7:$N$874,I11,BS_RE33!$P$7:$P$874,'30 days CF Table(ALL)'!G11),2)</f>
        <v>0</v>
      </c>
      <c r="V11" s="337">
        <f>ROUND(SUMIFS(BS_RE33!$H$7:$H$874,BS_RE33!$S$7:$S$874,$V$2,BS_RE33!$N$7:$N$874,I11,BS_RE33!$P$7:$P$874,'30 days CF Table(ALL)'!G11),2)</f>
        <v>0</v>
      </c>
      <c r="W11" s="337">
        <f>ROUND(SUMIFS(BS_RE33!$H$7:$H$874,BS_RE33!$S$7:$S$874,$W$2,BS_RE33!$N$7:$N$874,I11,BS_RE33!$P$7:$P$874,'30 days CF Table(ALL)'!G11),2)</f>
        <v>0</v>
      </c>
      <c r="X11" s="337">
        <f>ROUND(SUMIFS(BS_RE33!$H$7:$H$874,BS_RE33!$S$7:$S$874,$X$2,BS_RE33!$N$7:$N$874,I11,BS_RE33!$P$7:$P$874,'30 days CF Table(ALL)'!G11),2)</f>
        <v>0</v>
      </c>
      <c r="Y11" s="337">
        <f>ROUND(SUMIFS(BS_RE33!$H$7:$H$874,BS_RE33!$S$7:$S$874,$Y$2,BS_RE33!$N$7:$N$874,I11,BS_RE33!$P$7:$P$874,'30 days CF Table(ALL)'!G11),2)</f>
        <v>0</v>
      </c>
      <c r="Z11" s="337">
        <f>ROUND(SUMIFS(BS_RE33!$H$7:$H$874,BS_RE33!$S$7:$S$874,$Z$2,BS_RE33!$N$7:$N$874,I11,BS_RE33!$P$7:$P$874,'30 days CF Table(ALL)'!G11),2)</f>
        <v>0</v>
      </c>
      <c r="AA11" s="337">
        <f>ROUND(SUMIFS(BS_RE33!$H$7:$H$874,BS_RE33!$S$7:$S$874,$AA$2,BS_RE33!$N$7:$N$874,I11,BS_RE33!$P$7:$P$874,'30 days CF Table(ALL)'!G11),2)</f>
        <v>0</v>
      </c>
      <c r="AB11" s="337">
        <f>ROUND(SUMIFS(BS_RE33!$H$7:$H$874,BS_RE33!$S$7:$S$874,$AB$2,BS_RE33!$N$7:$N$874,I11,BS_RE33!$P$7:$P$874,'30 days CF Table(ALL)'!G11),2)</f>
        <v>0</v>
      </c>
      <c r="AC11" s="337">
        <f>ROUND(SUMIFS(BS_RE33!$H$7:$H$874,BS_RE33!$S$7:$S$874,$AC$2,BS_RE33!$N$7:$N$874,I11,BS_RE33!$P$7:$P$874,'30 days CF Table(ALL)'!G11),2)</f>
        <v>0</v>
      </c>
      <c r="AD11" s="337">
        <f>ROUND(SUMIFS(BS_RE33!$H$7:$H$874,BS_RE33!$S$7:$S$874,$AD$2,BS_RE33!$N$7:$N$874,I11,BS_RE33!$P$7:$P$874,'30 days CF Table(ALL)'!G11),2)</f>
        <v>0</v>
      </c>
      <c r="AE11" s="337">
        <f>ROUND(SUMIFS(BS_RE33!$H$7:$H$874,BS_RE33!$S$7:$S$874,$AE$2,BS_RE33!$N$7:$N$874,I11,BS_RE33!$P$7:$P$874,'30 days CF Table(ALL)'!G11),2)</f>
        <v>0</v>
      </c>
      <c r="AF11" s="337">
        <f>ROUND(SUMIFS(BS_RE33!$H$7:$H$874,BS_RE33!$S$7:$S$874,$AF$2,BS_RE33!$N$7:$N$874,I11,BS_RE33!$P$7:$P$874,'30 days CF Table(ALL)'!G11),2)</f>
        <v>0</v>
      </c>
      <c r="AG11" s="337">
        <f>ROUND(SUMIFS(BS_RE33!$H$7:$H$874,BS_RE33!$S$7:$S$874,$AG$2,BS_RE33!$N$7:$N$874,I11,BS_RE33!$P$7:$P$874,'30 days CF Table(ALL)'!G11),2)</f>
        <v>0</v>
      </c>
      <c r="AH11" s="337">
        <f>ROUND(SUMIFS(BS_RE33!$H$7:$H$874,BS_RE33!$S$7:$S$874,$AH$2,BS_RE33!$N$7:$N$874,I11,BS_RE33!$P$7:$P$874,'30 days CF Table(ALL)'!G11),2)</f>
        <v>0</v>
      </c>
      <c r="AI11" s="337">
        <f>ROUND(SUMIFS(BS_RE33!$H$7:$H$874,BS_RE33!$S$7:$S$874,$AI$2,BS_RE33!$N$7:$N$874,I11,BS_RE33!$P$7:$P$874,'30 days CF Table(ALL)'!G11),2)</f>
        <v>0</v>
      </c>
      <c r="AJ11" s="337">
        <f>ROUND(SUMIFS(BS_RE33!$H$7:$H$874,BS_RE33!$S$7:$S$874,$AJ$2,BS_RE33!$N$7:$N$874,I11,BS_RE33!$P$7:$P$874,'30 days CF Table(ALL)'!G11),2)</f>
        <v>0</v>
      </c>
      <c r="AK11" s="337">
        <f>ROUND(SUMIFS(BS_RE33!$H$7:$H$874,BS_RE33!$S$7:$S$874,$AK$2,BS_RE33!$N$7:$N$874,I11,BS_RE33!$P$7:$P$874,'30 days CF Table(ALL)'!G11),2)</f>
        <v>0</v>
      </c>
      <c r="AL11" s="337">
        <f>ROUND(SUMIFS(BS_RE33!$H$7:$H$874,BS_RE33!$S$7:$S$874,$AL$2,BS_RE33!$N$7:$N$874,I11,BS_RE33!$P$7:$P$874,'30 days CF Table(ALL)'!G11),2)</f>
        <v>0</v>
      </c>
      <c r="AM11" s="337">
        <f>ROUND(SUMIFS(BS_RE33!$H$7:$H$874,BS_RE33!$S$7:$S$874,$AM$2,BS_RE33!$N$7:$N$874,I11,BS_RE33!$P$7:$P$874,'30 days CF Table(ALL)'!G11),2)</f>
        <v>0</v>
      </c>
      <c r="AN11" s="337">
        <f>ROUND(SUMIFS(BS_RE33!$H$7:$H$874,BS_RE33!$S$7:$S$874,$AN$2,BS_RE33!$N$7:$N$874,I11,BS_RE33!$P$7:$P$874,'30 days CF Table(ALL)'!G11),2)</f>
        <v>0</v>
      </c>
      <c r="AO11" s="337">
        <f>ROUND(SUMIFS(BS_RE33!$H$7:$H$874,BS_RE33!$S$7:$S$874,$AO$2,BS_RE33!$N$7:$N$874,I11,BS_RE33!$P$7:$P$874,'30 days CF Table(ALL)'!G11),2)</f>
        <v>0</v>
      </c>
      <c r="AP11" s="338">
        <f>ROUND(SUMIFS(BS_RE33!$H$7:$H$874,BS_RE33!$S$7:$S$874,$AP$2,BS_RE33!$N$7:$N$874,I11,BS_RE33!$P$7:$P$874,'30 days CF Table(ALL)'!G11),2)</f>
        <v>0</v>
      </c>
      <c r="AQ11" s="545"/>
      <c r="AR11" s="379">
        <f>ROUND(SUMIFS(BS_RE33!$H$7:$H$874,BS_RE33!$S$7:$S$874,$AR$2,BS_RE33!$N$7:$N$874,I11,BS_RE33!$P$7:$P$874,'30 days CF Table(ALL)'!G11),2)</f>
        <v>0</v>
      </c>
      <c r="AS11" s="379">
        <f>ROUND(SUMIFS(BS_RE33!$H$7:$H$874,BS_RE33!$S$7:$S$874,$AS$2,BS_RE33!$N$7:$N$874,I11,BS_RE33!$P$7:$P$874,'30 days CF Table(ALL)'!G11),2)</f>
        <v>0</v>
      </c>
      <c r="AT11" s="379">
        <f>ROUND(SUMIFS(BS_RE33!$H$7:$H$874,BS_RE33!$S$7:$S$874,$AT$2,BS_RE33!$N$7:$N$874,I11,BS_RE33!$P$7:$P$874,'30 days CF Table(ALL)'!G11),2)</f>
        <v>0</v>
      </c>
      <c r="AU11" s="379">
        <f>ROUND(SUMIFS(BS_RE33!$H$7:$H$874,BS_RE33!$S$7:$S$874,$AU$2,BS_RE33!$N$7:$N$874,I11,BS_RE33!$P$7:$P$874,'30 days CF Table(ALL)'!G11),2)</f>
        <v>0</v>
      </c>
      <c r="AV11" s="379">
        <f>ROUND(SUMIFS(BS_RE33!$H$7:$H$874,BS_RE33!$S$7:$S$874,$AV$2,BS_RE33!$N$7:$N$874,I11,BS_RE33!$P$7:$P$874,'30 days CF Table(ALL)'!G11),2)</f>
        <v>0</v>
      </c>
      <c r="AW11" s="379">
        <f>ROUND(SUMIFS(BS_RE33!$H$7:$H$874,BS_RE33!$S$7:$S$874,$AW$2,BS_RE33!$N$7:$N$874,I11,BS_RE33!$P$7:$P$874,'30 days CF Table(ALL)'!G11),2)</f>
        <v>0</v>
      </c>
      <c r="AX11" s="379">
        <f>ROUND(SUMIFS(BS_RE33!$H$7:$H$874,BS_RE33!$S$7:$S$874,$AX$2,BS_RE33!$N$7:$N$874,I11,BS_RE33!$P$7:$P$874,'30 days CF Table(ALL)'!G11),2)</f>
        <v>0</v>
      </c>
      <c r="AY11" s="379">
        <f>ROUND(SUMIFS(BS_RE33!$H$7:$H$874,BS_RE33!$S$7:$S$874,$AY$2,BS_RE33!$N$7:$N$874,I11,BS_RE33!$P$7:$P$874,'30 days CF Table(ALL)'!G11),2)</f>
        <v>0</v>
      </c>
      <c r="AZ11" s="379">
        <f>ROUND(SUMIFS(BS_RE33!$H$7:$H$874,BS_RE33!$S$7:$S$874,$AZ$2,BS_RE33!$N$7:$N$874,I11,BS_RE33!$P$7:$P$874,'30 days CF Table(ALL)'!G11),2)</f>
        <v>0</v>
      </c>
      <c r="BA11" s="379">
        <f>ROUND(SUMIFS(BS_RE33!$H$7:$H$874,BS_RE33!$S$7:$S$874,$BA$2,BS_RE33!$N$7:$N$874,I11,BS_RE33!$P$7:$P$874,'30 days CF Table(ALL)'!G11),2)</f>
        <v>0</v>
      </c>
      <c r="BB11" s="379">
        <f>ROUND(SUMIFS(BS_RE33!$H$7:$H$874,BS_RE33!$S$7:$S$874,$BB$2,BS_RE33!$N$7:$N$874,I11,BS_RE33!$P$7:$P$874,'30 days CF Table(ALL)'!G11),2)</f>
        <v>0</v>
      </c>
      <c r="BC11" s="379">
        <f>ROUND(SUMIFS(BS_RE33!$H$7:$H$874,BS_RE33!$S$7:$S$874,$BC$2,BS_RE33!$N$7:$N$874,I11,BS_RE33!$P$7:$P$874,'30 days CF Table(ALL)'!G11),2)</f>
        <v>0</v>
      </c>
      <c r="BD11" s="379">
        <f>ROUND(SUMIFS(BS_RE33!$H$7:$H$874,BS_RE33!$S$7:$S$874,$BD$2,BS_RE33!$N$7:$N$874,I11,BS_RE33!$P$7:$P$874,'30 days CF Table(ALL)'!G11),2)</f>
        <v>0</v>
      </c>
      <c r="BE11" s="379">
        <f>ROUND(SUMIFS(BS_RE33!$H$7:$H$874,BS_RE33!$S$7:$S$874,$BE$2,BS_RE33!$N$7:$N$874,I11,BS_RE33!$P$7:$P$874,'30 days CF Table(ALL)'!G11),2)</f>
        <v>0</v>
      </c>
      <c r="BF11" s="379">
        <f>ROUND(SUMIFS(BS_RE33!$H$7:$H$874,BS_RE33!$S$7:$S$874,$BF$2,BS_RE33!$N$7:$N$874,I11,BS_RE33!$P$7:$P$874,'30 days CF Table(ALL)'!G11),2)</f>
        <v>0</v>
      </c>
      <c r="BG11" s="379">
        <f>ROUND(SUMIFS(BS_RE33!$H$7:$H$874,BS_RE33!$S$7:$S$874,$BG$2,BS_RE33!$N$7:$N$874,I11,BS_RE33!$P$7:$P$874,'30 days CF Table(ALL)'!G11),2)</f>
        <v>0</v>
      </c>
      <c r="BH11" s="379">
        <f>ROUND(SUMIFS(BS_RE33!$H$7:$H$874,BS_RE33!$S$7:$S$874,$BH$2,BS_RE33!$N$7:$N$874,I11,BS_RE33!$P$7:$P$874,'30 days CF Table(ALL)'!G11),2)</f>
        <v>0</v>
      </c>
      <c r="BI11" s="379">
        <f>ROUND(SUMIFS(BS_RE33!$H$7:$H$874,BS_RE33!$S$7:$S$874,$BI$2,BS_RE33!$N$7:$N$874,I11,BS_RE33!$P$7:$P$874,'30 days CF Table(ALL)'!G11),2)</f>
        <v>0</v>
      </c>
      <c r="BJ11" s="379">
        <f>ROUND(SUMIFS(BS_RE33!$H$7:$H$874,BS_RE33!$S$7:$S$874,$BJ$2,BS_RE33!$N$7:$N$874,I11,BS_RE33!$P$7:$P$874,'30 days CF Table(ALL)'!G11),2)</f>
        <v>0</v>
      </c>
      <c r="BK11" s="379">
        <f>ROUND(SUMIFS(BS_RE33!$H$7:$H$874,BS_RE33!$S$7:$S$874,$BK$2,BS_RE33!$N$7:$N$874,I11,BS_RE33!$P$7:$P$874,'30 days CF Table(ALL)'!G11),2)</f>
        <v>0</v>
      </c>
    </row>
    <row r="12" spans="1:63" s="395" customFormat="1">
      <c r="C12" s="1029"/>
      <c r="D12" s="1030"/>
      <c r="E12" s="306" t="s">
        <v>69</v>
      </c>
      <c r="F12" s="312" t="s">
        <v>504</v>
      </c>
      <c r="G12" s="392" t="s">
        <v>505</v>
      </c>
      <c r="H12" s="130">
        <v>1</v>
      </c>
      <c r="I12" s="305" t="s">
        <v>63</v>
      </c>
      <c r="J12" s="477">
        <f t="shared" si="3"/>
        <v>0</v>
      </c>
      <c r="K12" s="335">
        <f t="shared" si="4"/>
        <v>0</v>
      </c>
      <c r="L12" s="337">
        <f>ROUND(SUMIFS(BS_RE33!$H$7:$H$874,BS_RE33!$S$7:$S$874,$L$2,BS_RE33!$N$7:$N$874,I12,BS_RE33!$P$7:$P$874,'30 days CF Table(ALL)'!G12),2)</f>
        <v>0</v>
      </c>
      <c r="M12" s="337">
        <f>ROUND(SUMIFS(BS_RE33!$H$7:$H$874,BS_RE33!$S$7:$S$874,$M$2,BS_RE33!$N$7:$N$874,I12,BS_RE33!$P$7:$P$874,'30 days CF Table(ALL)'!G12),2)</f>
        <v>0</v>
      </c>
      <c r="N12" s="337">
        <f>ROUND(SUMIFS(BS_RE33!$H$7:$H$874,BS_RE33!$S$7:$S$874,$N$2,BS_RE33!$N$7:$N$874,I12,BS_RE33!$P$7:$P$874,'30 days CF Table(ALL)'!G12),2)</f>
        <v>0</v>
      </c>
      <c r="O12" s="337">
        <f>ROUND(SUMIFS(BS_RE33!$H$7:$H$874,BS_RE33!$S$7:$S$874,$O$2,BS_RE33!$N$7:$N$874,I12,BS_RE33!$P$7:$P$874,'30 days CF Table(ALL)'!G12),2)</f>
        <v>0</v>
      </c>
      <c r="P12" s="337">
        <f>ROUND(SUMIFS(BS_RE33!$H$7:$H$874,BS_RE33!$S$7:$S$874,$P$2,BS_RE33!$N$7:$N$874,I12,BS_RE33!$P$7:$P$874,'30 days CF Table(ALL)'!G12),2)</f>
        <v>0</v>
      </c>
      <c r="Q12" s="337">
        <f>ROUND(SUMIFS(BS_RE33!$H$7:$H$874,BS_RE33!$S$7:$S$874,$Q$2,BS_RE33!$N$7:$N$874,I12,BS_RE33!$P$7:$P$874,'30 days CF Table(ALL)'!G12),2)</f>
        <v>0</v>
      </c>
      <c r="R12" s="337">
        <f>ROUND(SUMIFS(BS_RE33!$H$7:$H$874,BS_RE33!$S$7:$S$874,$R$2,BS_RE33!$N$7:$N$874,I12,BS_RE33!$P$7:$P$874,'30 days CF Table(ALL)'!G12),2)</f>
        <v>0</v>
      </c>
      <c r="S12" s="337">
        <f>ROUND(SUMIFS(BS_RE33!$H$7:$H$874,BS_RE33!$S$7:$S$874,$S$2,BS_RE33!$N$7:$N$874,I12,BS_RE33!$P$7:$P$874,'30 days CF Table(ALL)'!G12),2)</f>
        <v>0</v>
      </c>
      <c r="T12" s="337">
        <f>ROUND(SUMIFS(BS_RE33!$H$7:$H$874,BS_RE33!$S$7:$S$874,$T$2,BS_RE33!$N$7:$N$874,I12,BS_RE33!$P$7:$P$874,'30 days CF Table(ALL)'!G12),2)</f>
        <v>0</v>
      </c>
      <c r="U12" s="337">
        <f>ROUND(SUMIFS(BS_RE33!$H$7:$H$874,BS_RE33!$S$7:$S$874,$U$2,BS_RE33!$N$7:$N$874,I12,BS_RE33!$P$7:$P$874,'30 days CF Table(ALL)'!G12),2)</f>
        <v>0</v>
      </c>
      <c r="V12" s="337">
        <f>ROUND(SUMIFS(BS_RE33!$H$7:$H$874,BS_RE33!$S$7:$S$874,$V$2,BS_RE33!$N$7:$N$874,I12,BS_RE33!$P$7:$P$874,'30 days CF Table(ALL)'!G12),2)</f>
        <v>0</v>
      </c>
      <c r="W12" s="337">
        <f>ROUND(SUMIFS(BS_RE33!$H$7:$H$874,BS_RE33!$S$7:$S$874,$W$2,BS_RE33!$N$7:$N$874,I12,BS_RE33!$P$7:$P$874,'30 days CF Table(ALL)'!G12),2)</f>
        <v>0</v>
      </c>
      <c r="X12" s="337">
        <f>ROUND(SUMIFS(BS_RE33!$H$7:$H$874,BS_RE33!$S$7:$S$874,$X$2,BS_RE33!$N$7:$N$874,I12,BS_RE33!$P$7:$P$874,'30 days CF Table(ALL)'!G12),2)</f>
        <v>0</v>
      </c>
      <c r="Y12" s="337">
        <f>ROUND(SUMIFS(BS_RE33!$H$7:$H$874,BS_RE33!$S$7:$S$874,$Y$2,BS_RE33!$N$7:$N$874,I12,BS_RE33!$P$7:$P$874,'30 days CF Table(ALL)'!G12),2)</f>
        <v>0</v>
      </c>
      <c r="Z12" s="337">
        <f>ROUND(SUMIFS(BS_RE33!$H$7:$H$874,BS_RE33!$S$7:$S$874,$Z$2,BS_RE33!$N$7:$N$874,I12,BS_RE33!$P$7:$P$874,'30 days CF Table(ALL)'!G12),2)</f>
        <v>0</v>
      </c>
      <c r="AA12" s="337">
        <f>ROUND(SUMIFS(BS_RE33!$H$7:$H$874,BS_RE33!$S$7:$S$874,$AA$2,BS_RE33!$N$7:$N$874,I12,BS_RE33!$P$7:$P$874,'30 days CF Table(ALL)'!G12),2)</f>
        <v>0</v>
      </c>
      <c r="AB12" s="337">
        <f>ROUND(SUMIFS(BS_RE33!$H$7:$H$874,BS_RE33!$S$7:$S$874,$AB$2,BS_RE33!$N$7:$N$874,I12,BS_RE33!$P$7:$P$874,'30 days CF Table(ALL)'!G12),2)</f>
        <v>0</v>
      </c>
      <c r="AC12" s="337">
        <f>ROUND(SUMIFS(BS_RE33!$H$7:$H$874,BS_RE33!$S$7:$S$874,$AC$2,BS_RE33!$N$7:$N$874,I12,BS_RE33!$P$7:$P$874,'30 days CF Table(ALL)'!G12),2)</f>
        <v>0</v>
      </c>
      <c r="AD12" s="337">
        <f>ROUND(SUMIFS(BS_RE33!$H$7:$H$874,BS_RE33!$S$7:$S$874,$AD$2,BS_RE33!$N$7:$N$874,I12,BS_RE33!$P$7:$P$874,'30 days CF Table(ALL)'!G12),2)</f>
        <v>0</v>
      </c>
      <c r="AE12" s="337">
        <f>ROUND(SUMIFS(BS_RE33!$H$7:$H$874,BS_RE33!$S$7:$S$874,$AE$2,BS_RE33!$N$7:$N$874,I12,BS_RE33!$P$7:$P$874,'30 days CF Table(ALL)'!G12),2)</f>
        <v>0</v>
      </c>
      <c r="AF12" s="337">
        <f>ROUND(SUMIFS(BS_RE33!$H$7:$H$874,BS_RE33!$S$7:$S$874,$AF$2,BS_RE33!$N$7:$N$874,I12,BS_RE33!$P$7:$P$874,'30 days CF Table(ALL)'!G12),2)</f>
        <v>0</v>
      </c>
      <c r="AG12" s="337">
        <f>ROUND(SUMIFS(BS_RE33!$H$7:$H$874,BS_RE33!$S$7:$S$874,$AG$2,BS_RE33!$N$7:$N$874,I12,BS_RE33!$P$7:$P$874,'30 days CF Table(ALL)'!G12),2)</f>
        <v>0</v>
      </c>
      <c r="AH12" s="337">
        <f>ROUND(SUMIFS(BS_RE33!$H$7:$H$874,BS_RE33!$S$7:$S$874,$AH$2,BS_RE33!$N$7:$N$874,I12,BS_RE33!$P$7:$P$874,'30 days CF Table(ALL)'!G12),2)</f>
        <v>0</v>
      </c>
      <c r="AI12" s="337">
        <f>ROUND(SUMIFS(BS_RE33!$H$7:$H$874,BS_RE33!$S$7:$S$874,$AI$2,BS_RE33!$N$7:$N$874,I12,BS_RE33!$P$7:$P$874,'30 days CF Table(ALL)'!G12),2)</f>
        <v>0</v>
      </c>
      <c r="AJ12" s="337">
        <f>ROUND(SUMIFS(BS_RE33!$H$7:$H$874,BS_RE33!$S$7:$S$874,$AJ$2,BS_RE33!$N$7:$N$874,I12,BS_RE33!$P$7:$P$874,'30 days CF Table(ALL)'!G12),2)</f>
        <v>0</v>
      </c>
      <c r="AK12" s="337">
        <f>ROUND(SUMIFS(BS_RE33!$H$7:$H$874,BS_RE33!$S$7:$S$874,$AK$2,BS_RE33!$N$7:$N$874,I12,BS_RE33!$P$7:$P$874,'30 days CF Table(ALL)'!G12),2)</f>
        <v>0</v>
      </c>
      <c r="AL12" s="337">
        <f>ROUND(SUMIFS(BS_RE33!$H$7:$H$874,BS_RE33!$S$7:$S$874,$AL$2,BS_RE33!$N$7:$N$874,I12,BS_RE33!$P$7:$P$874,'30 days CF Table(ALL)'!G12),2)</f>
        <v>0</v>
      </c>
      <c r="AM12" s="337">
        <f>ROUND(SUMIFS(BS_RE33!$H$7:$H$874,BS_RE33!$S$7:$S$874,$AM$2,BS_RE33!$N$7:$N$874,I12,BS_RE33!$P$7:$P$874,'30 days CF Table(ALL)'!G12),2)</f>
        <v>0</v>
      </c>
      <c r="AN12" s="337">
        <f>ROUND(SUMIFS(BS_RE33!$H$7:$H$874,BS_RE33!$S$7:$S$874,$AN$2,BS_RE33!$N$7:$N$874,I12,BS_RE33!$P$7:$P$874,'30 days CF Table(ALL)'!G12),2)</f>
        <v>0</v>
      </c>
      <c r="AO12" s="337">
        <f>ROUND(SUMIFS(BS_RE33!$H$7:$H$874,BS_RE33!$S$7:$S$874,$AO$2,BS_RE33!$N$7:$N$874,I12,BS_RE33!$P$7:$P$874,'30 days CF Table(ALL)'!G12),2)</f>
        <v>0</v>
      </c>
      <c r="AP12" s="338">
        <f>ROUND(SUMIFS(BS_RE33!$H$7:$H$874,BS_RE33!$S$7:$S$874,$AP$2,BS_RE33!$N$7:$N$874,I12,BS_RE33!$P$7:$P$874,'30 days CF Table(ALL)'!G12),2)</f>
        <v>0</v>
      </c>
      <c r="AQ12" s="545"/>
      <c r="AR12" s="379">
        <f>ROUND(SUMIFS(BS_RE33!$H$7:$H$874,BS_RE33!$S$7:$S$874,$AR$2,BS_RE33!$N$7:$N$874,I12,BS_RE33!$P$7:$P$874,'30 days CF Table(ALL)'!G12),2)</f>
        <v>0</v>
      </c>
      <c r="AS12" s="379">
        <f>ROUND(SUMIFS(BS_RE33!$H$7:$H$874,BS_RE33!$S$7:$S$874,$AS$2,BS_RE33!$N$7:$N$874,I12,BS_RE33!$P$7:$P$874,'30 days CF Table(ALL)'!G12),2)</f>
        <v>0</v>
      </c>
      <c r="AT12" s="379">
        <f>ROUND(SUMIFS(BS_RE33!$H$7:$H$874,BS_RE33!$S$7:$S$874,$AT$2,BS_RE33!$N$7:$N$874,I12,BS_RE33!$P$7:$P$874,'30 days CF Table(ALL)'!G12),2)</f>
        <v>0</v>
      </c>
      <c r="AU12" s="379">
        <f>ROUND(SUMIFS(BS_RE33!$H$7:$H$874,BS_RE33!$S$7:$S$874,$AU$2,BS_RE33!$N$7:$N$874,I12,BS_RE33!$P$7:$P$874,'30 days CF Table(ALL)'!G12),2)</f>
        <v>0</v>
      </c>
      <c r="AV12" s="379">
        <f>ROUND(SUMIFS(BS_RE33!$H$7:$H$874,BS_RE33!$S$7:$S$874,$AV$2,BS_RE33!$N$7:$N$874,I12,BS_RE33!$P$7:$P$874,'30 days CF Table(ALL)'!G12),2)</f>
        <v>0</v>
      </c>
      <c r="AW12" s="379">
        <f>ROUND(SUMIFS(BS_RE33!$H$7:$H$874,BS_RE33!$S$7:$S$874,$AW$2,BS_RE33!$N$7:$N$874,I12,BS_RE33!$P$7:$P$874,'30 days CF Table(ALL)'!G12),2)</f>
        <v>0</v>
      </c>
      <c r="AX12" s="379">
        <f>ROUND(SUMIFS(BS_RE33!$H$7:$H$874,BS_RE33!$S$7:$S$874,$AX$2,BS_RE33!$N$7:$N$874,I12,BS_RE33!$P$7:$P$874,'30 days CF Table(ALL)'!G12),2)</f>
        <v>0</v>
      </c>
      <c r="AY12" s="379">
        <f>ROUND(SUMIFS(BS_RE33!$H$7:$H$874,BS_RE33!$S$7:$S$874,$AY$2,BS_RE33!$N$7:$N$874,I12,BS_RE33!$P$7:$P$874,'30 days CF Table(ALL)'!G12),2)</f>
        <v>0</v>
      </c>
      <c r="AZ12" s="379">
        <f>ROUND(SUMIFS(BS_RE33!$H$7:$H$874,BS_RE33!$S$7:$S$874,$AZ$2,BS_RE33!$N$7:$N$874,I12,BS_RE33!$P$7:$P$874,'30 days CF Table(ALL)'!G12),2)</f>
        <v>0</v>
      </c>
      <c r="BA12" s="379">
        <f>ROUND(SUMIFS(BS_RE33!$H$7:$H$874,BS_RE33!$S$7:$S$874,$BA$2,BS_RE33!$N$7:$N$874,I12,BS_RE33!$P$7:$P$874,'30 days CF Table(ALL)'!G12),2)</f>
        <v>0</v>
      </c>
      <c r="BB12" s="379">
        <f>ROUND(SUMIFS(BS_RE33!$H$7:$H$874,BS_RE33!$S$7:$S$874,$BB$2,BS_RE33!$N$7:$N$874,I12,BS_RE33!$P$7:$P$874,'30 days CF Table(ALL)'!G12),2)</f>
        <v>0</v>
      </c>
      <c r="BC12" s="379">
        <f>ROUND(SUMIFS(BS_RE33!$H$7:$H$874,BS_RE33!$S$7:$S$874,$BC$2,BS_RE33!$N$7:$N$874,I12,BS_RE33!$P$7:$P$874,'30 days CF Table(ALL)'!G12),2)</f>
        <v>0</v>
      </c>
      <c r="BD12" s="379">
        <f>ROUND(SUMIFS(BS_RE33!$H$7:$H$874,BS_RE33!$S$7:$S$874,$BD$2,BS_RE33!$N$7:$N$874,I12,BS_RE33!$P$7:$P$874,'30 days CF Table(ALL)'!G12),2)</f>
        <v>0</v>
      </c>
      <c r="BE12" s="379">
        <f>ROUND(SUMIFS(BS_RE33!$H$7:$H$874,BS_RE33!$S$7:$S$874,$BE$2,BS_RE33!$N$7:$N$874,I12,BS_RE33!$P$7:$P$874,'30 days CF Table(ALL)'!G12),2)</f>
        <v>0</v>
      </c>
      <c r="BF12" s="379">
        <f>ROUND(SUMIFS(BS_RE33!$H$7:$H$874,BS_RE33!$S$7:$S$874,$BF$2,BS_RE33!$N$7:$N$874,I12,BS_RE33!$P$7:$P$874,'30 days CF Table(ALL)'!G12),2)</f>
        <v>0</v>
      </c>
      <c r="BG12" s="379">
        <f>ROUND(SUMIFS(BS_RE33!$H$7:$H$874,BS_RE33!$S$7:$S$874,$BG$2,BS_RE33!$N$7:$N$874,I12,BS_RE33!$P$7:$P$874,'30 days CF Table(ALL)'!G12),2)</f>
        <v>0</v>
      </c>
      <c r="BH12" s="379">
        <f>ROUND(SUMIFS(BS_RE33!$H$7:$H$874,BS_RE33!$S$7:$S$874,$BH$2,BS_RE33!$N$7:$N$874,I12,BS_RE33!$P$7:$P$874,'30 days CF Table(ALL)'!G12),2)</f>
        <v>0</v>
      </c>
      <c r="BI12" s="379">
        <f>ROUND(SUMIFS(BS_RE33!$H$7:$H$874,BS_RE33!$S$7:$S$874,$BI$2,BS_RE33!$N$7:$N$874,I12,BS_RE33!$P$7:$P$874,'30 days CF Table(ALL)'!G12),2)</f>
        <v>0</v>
      </c>
      <c r="BJ12" s="379">
        <f>ROUND(SUMIFS(BS_RE33!$H$7:$H$874,BS_RE33!$S$7:$S$874,$BJ$2,BS_RE33!$N$7:$N$874,I12,BS_RE33!$P$7:$P$874,'30 days CF Table(ALL)'!G12),2)</f>
        <v>0</v>
      </c>
      <c r="BK12" s="379">
        <f>ROUND(SUMIFS(BS_RE33!$H$7:$H$874,BS_RE33!$S$7:$S$874,$BK$2,BS_RE33!$N$7:$N$874,I12,BS_RE33!$P$7:$P$874,'30 days CF Table(ALL)'!G12),2)</f>
        <v>0</v>
      </c>
    </row>
    <row r="13" spans="1:63" s="395" customFormat="1">
      <c r="C13" s="1029"/>
      <c r="D13" s="1030"/>
      <c r="E13" s="40" t="s">
        <v>69</v>
      </c>
      <c r="F13" s="560" t="s">
        <v>493</v>
      </c>
      <c r="G13" s="392" t="s">
        <v>506</v>
      </c>
      <c r="H13" s="130">
        <v>1</v>
      </c>
      <c r="I13" s="305" t="s">
        <v>63</v>
      </c>
      <c r="J13" s="477">
        <f t="shared" si="3"/>
        <v>0</v>
      </c>
      <c r="K13" s="335">
        <f>SUM(L13:AP13)*H13</f>
        <v>0</v>
      </c>
      <c r="L13" s="337">
        <f>ROUND(SUMIFS(BS_RE33!$H$7:$H$874,BS_RE33!$S$7:$S$874,$L$2,BS_RE33!$N$7:$N$874,I13,BS_RE33!$P$7:$P$874,'30 days CF Table(ALL)'!G13),2)</f>
        <v>0</v>
      </c>
      <c r="M13" s="337">
        <f>ROUND(SUMIFS(BS_RE33!$H$7:$H$874,BS_RE33!$S$7:$S$874,$M$2,BS_RE33!$N$7:$N$874,I13,BS_RE33!$P$7:$P$874,'30 days CF Table(ALL)'!G13),2)</f>
        <v>0</v>
      </c>
      <c r="N13" s="393">
        <f>ROUND(SUMIFS(BS_RE33!$H$7:$H$874,BS_RE33!$S$7:$S$874,$N$2,BS_RE33!$N$7:$N$874,I13,BS_RE33!$P$7:$P$874,'30 days CF Table(ALL)'!G13),2)</f>
        <v>0</v>
      </c>
      <c r="O13" s="393">
        <f>ROUND(SUMIFS(BS_RE33!$H$7:$H$874,BS_RE33!$S$7:$S$874,$O$2,BS_RE33!$N$7:$N$874,I13,BS_RE33!$P$7:$P$874,'30 days CF Table(ALL)'!G13),2)</f>
        <v>0</v>
      </c>
      <c r="P13" s="393">
        <f>ROUND(SUMIFS(BS_RE33!$H$7:$H$874,BS_RE33!$S$7:$S$874,$P$2,BS_RE33!$N$7:$N$874,I13,BS_RE33!$P$7:$P$874,'30 days CF Table(ALL)'!G13),2)</f>
        <v>0</v>
      </c>
      <c r="Q13" s="393">
        <f>ROUND(SUMIFS(BS_RE33!$H$7:$H$874,BS_RE33!$S$7:$S$874,$Q$2,BS_RE33!$N$7:$N$874,I13,BS_RE33!$P$7:$P$874,'30 days CF Table(ALL)'!G13),2)</f>
        <v>0</v>
      </c>
      <c r="R13" s="393">
        <f>ROUND(SUMIFS(BS_RE33!$H$7:$H$874,BS_RE33!$S$7:$S$874,$R$2,BS_RE33!$N$7:$N$874,I13,BS_RE33!$P$7:$P$874,'30 days CF Table(ALL)'!G13),2)</f>
        <v>0</v>
      </c>
      <c r="S13" s="393">
        <f>ROUND(SUMIFS(BS_RE33!$H$7:$H$874,BS_RE33!$S$7:$S$874,$S$2,BS_RE33!$N$7:$N$874,I13,BS_RE33!$P$7:$P$874,'30 days CF Table(ALL)'!G13),2)</f>
        <v>0</v>
      </c>
      <c r="T13" s="393">
        <f>ROUND(SUMIFS(BS_RE33!$H$7:$H$874,BS_RE33!$S$7:$S$874,$T$2,BS_RE33!$N$7:$N$874,I13,BS_RE33!$P$7:$P$874,'30 days CF Table(ALL)'!G13),2)</f>
        <v>0</v>
      </c>
      <c r="U13" s="393">
        <f>ROUND(SUMIFS(BS_RE33!$H$7:$H$874,BS_RE33!$S$7:$S$874,$U$2,BS_RE33!$N$7:$N$874,I13,BS_RE33!$P$7:$P$874,'30 days CF Table(ALL)'!G13),2)</f>
        <v>0</v>
      </c>
      <c r="V13" s="393">
        <f>ROUND(SUMIFS(BS_RE33!$H$7:$H$874,BS_RE33!$S$7:$S$874,$V$2,BS_RE33!$N$7:$N$874,I13,BS_RE33!$P$7:$P$874,'30 days CF Table(ALL)'!G13),2)</f>
        <v>0</v>
      </c>
      <c r="W13" s="393">
        <f>ROUND(SUMIFS(BS_RE33!$H$7:$H$874,BS_RE33!$S$7:$S$874,$W$2,BS_RE33!$N$7:$N$874,I13,BS_RE33!$P$7:$P$874,'30 days CF Table(ALL)'!G13),2)</f>
        <v>0</v>
      </c>
      <c r="X13" s="393">
        <f>ROUND(SUMIFS(BS_RE33!$H$7:$H$874,BS_RE33!$S$7:$S$874,$X$2,BS_RE33!$N$7:$N$874,I13,BS_RE33!$P$7:$P$874,'30 days CF Table(ALL)'!G13),2)</f>
        <v>0</v>
      </c>
      <c r="Y13" s="393">
        <f>ROUND(SUMIFS(BS_RE33!$H$7:$H$874,BS_RE33!$S$7:$S$874,$Y$2,BS_RE33!$N$7:$N$874,I13,BS_RE33!$P$7:$P$874,'30 days CF Table(ALL)'!G13),2)</f>
        <v>0</v>
      </c>
      <c r="Z13" s="393">
        <f>ROUND(SUMIFS(BS_RE33!$H$7:$H$874,BS_RE33!$S$7:$S$874,$Z$2,BS_RE33!$N$7:$N$874,I13,BS_RE33!$P$7:$P$874,'30 days CF Table(ALL)'!G13),2)</f>
        <v>0</v>
      </c>
      <c r="AA13" s="393">
        <f>ROUND(SUMIFS(BS_RE33!$H$7:$H$874,BS_RE33!$S$7:$S$874,$AA$2,BS_RE33!$N$7:$N$874,I13,BS_RE33!$P$7:$P$874,'30 days CF Table(ALL)'!G13),2)</f>
        <v>0</v>
      </c>
      <c r="AB13" s="393">
        <f>ROUND(SUMIFS(BS_RE33!$H$7:$H$874,BS_RE33!$S$7:$S$874,$AB$2,BS_RE33!$N$7:$N$874,I13,BS_RE33!$P$7:$P$874,'30 days CF Table(ALL)'!G13),2)</f>
        <v>0</v>
      </c>
      <c r="AC13" s="393">
        <f>ROUND(SUMIFS(BS_RE33!$H$7:$H$874,BS_RE33!$S$7:$S$874,$AC$2,BS_RE33!$N$7:$N$874,I13,BS_RE33!$P$7:$P$874,'30 days CF Table(ALL)'!G13),2)</f>
        <v>0</v>
      </c>
      <c r="AD13" s="393">
        <f>ROUND(SUMIFS(BS_RE33!$H$7:$H$874,BS_RE33!$S$7:$S$874,$AD$2,BS_RE33!$N$7:$N$874,I13,BS_RE33!$P$7:$P$874,'30 days CF Table(ALL)'!G13),2)</f>
        <v>0</v>
      </c>
      <c r="AE13" s="393">
        <f>ROUND(SUMIFS(BS_RE33!$H$7:$H$874,BS_RE33!$S$7:$S$874,$AE$2,BS_RE33!$N$7:$N$874,I13,BS_RE33!$P$7:$P$874,'30 days CF Table(ALL)'!G13),2)</f>
        <v>0</v>
      </c>
      <c r="AF13" s="393">
        <f>ROUND(SUMIFS(BS_RE33!$H$7:$H$874,BS_RE33!$S$7:$S$874,$AF$2,BS_RE33!$N$7:$N$874,I13,BS_RE33!$P$7:$P$874,'30 days CF Table(ALL)'!G13),2)</f>
        <v>0</v>
      </c>
      <c r="AG13" s="393">
        <f>ROUND(SUMIFS(BS_RE33!$H$7:$H$874,BS_RE33!$S$7:$S$874,$AG$2,BS_RE33!$N$7:$N$874,I13,BS_RE33!$P$7:$P$874,'30 days CF Table(ALL)'!G13),2)</f>
        <v>0</v>
      </c>
      <c r="AH13" s="393">
        <f>ROUND(SUMIFS(BS_RE33!$H$7:$H$874,BS_RE33!$S$7:$S$874,$AH$2,BS_RE33!$N$7:$N$874,I13,BS_RE33!$P$7:$P$874,'30 days CF Table(ALL)'!G13),2)</f>
        <v>0</v>
      </c>
      <c r="AI13" s="393">
        <f>ROUND(SUMIFS(BS_RE33!$H$7:$H$874,BS_RE33!$S$7:$S$874,$AI$2,BS_RE33!$N$7:$N$874,I13,BS_RE33!$P$7:$P$874,'30 days CF Table(ALL)'!G13),2)</f>
        <v>0</v>
      </c>
      <c r="AJ13" s="393">
        <f>ROUND(SUMIFS(BS_RE33!$H$7:$H$874,BS_RE33!$S$7:$S$874,$AJ$2,BS_RE33!$N$7:$N$874,I13,BS_RE33!$P$7:$P$874,'30 days CF Table(ALL)'!G13),2)</f>
        <v>0</v>
      </c>
      <c r="AK13" s="393">
        <f>ROUND(SUMIFS(BS_RE33!$H$7:$H$874,BS_RE33!$S$7:$S$874,$AK$2,BS_RE33!$N$7:$N$874,I13,BS_RE33!$P$7:$P$874,'30 days CF Table(ALL)'!G13),2)</f>
        <v>0</v>
      </c>
      <c r="AL13" s="393">
        <f>ROUND(SUMIFS(BS_RE33!$H$7:$H$874,BS_RE33!$S$7:$S$874,$AL$2,BS_RE33!$N$7:$N$874,I13,BS_RE33!$P$7:$P$874,'30 days CF Table(ALL)'!G13),2)</f>
        <v>0</v>
      </c>
      <c r="AM13" s="393">
        <f>ROUND(SUMIFS(BS_RE33!$H$7:$H$874,BS_RE33!$S$7:$S$874,$AM$2,BS_RE33!$N$7:$N$874,I13,BS_RE33!$P$7:$P$874,'30 days CF Table(ALL)'!G13),2)</f>
        <v>0</v>
      </c>
      <c r="AN13" s="393">
        <f>ROUND(SUMIFS(BS_RE33!$H$7:$H$874,BS_RE33!$S$7:$S$874,$AN$2,BS_RE33!$N$7:$N$874,I13,BS_RE33!$P$7:$P$874,'30 days CF Table(ALL)'!G13),2)</f>
        <v>0</v>
      </c>
      <c r="AO13" s="393">
        <f>ROUND(SUMIFS(BS_RE33!$H$7:$H$874,BS_RE33!$S$7:$S$874,$AO$2,BS_RE33!$N$7:$N$874,I13,BS_RE33!$P$7:$P$874,'30 days CF Table(ALL)'!G13),2)</f>
        <v>0</v>
      </c>
      <c r="AP13" s="394">
        <f>ROUND(SUMIFS(BS_RE33!$H$7:$H$874,BS_RE33!$S$7:$S$874,$AP$2,BS_RE33!$N$7:$N$874,I13,BS_RE33!$P$7:$P$874,'30 days CF Table(ALL)'!G13),2)</f>
        <v>0</v>
      </c>
      <c r="AQ13" s="546"/>
      <c r="AR13" s="379">
        <f>ROUND(SUMIFS(BS_RE33!$H$7:$H$874,BS_RE33!$S$7:$S$874,$AR$2,BS_RE33!$N$7:$N$874,I13,BS_RE33!$P$7:$P$874,'30 days CF Table(ALL)'!G13),2)</f>
        <v>0</v>
      </c>
      <c r="AS13" s="379">
        <f>ROUND(SUMIFS(BS_RE33!$H$7:$H$874,BS_RE33!$S$7:$S$874,$AS$2,BS_RE33!$N$7:$N$874,I13,BS_RE33!$P$7:$P$874,'30 days CF Table(ALL)'!G13),2)</f>
        <v>0</v>
      </c>
      <c r="AT13" s="379">
        <f>ROUND(SUMIFS(BS_RE33!$H$7:$H$874,BS_RE33!$S$7:$S$874,$AT$2,BS_RE33!$N$7:$N$874,I13,BS_RE33!$P$7:$P$874,'30 days CF Table(ALL)'!G13),2)</f>
        <v>0</v>
      </c>
      <c r="AU13" s="379">
        <f>ROUND(SUMIFS(BS_RE33!$H$7:$H$874,BS_RE33!$S$7:$S$874,$AU$2,BS_RE33!$N$7:$N$874,I13,BS_RE33!$P$7:$P$874,'30 days CF Table(ALL)'!G13),2)</f>
        <v>0</v>
      </c>
      <c r="AV13" s="379">
        <f>ROUND(SUMIFS(BS_RE33!$H$7:$H$874,BS_RE33!$S$7:$S$874,$AV$2,BS_RE33!$N$7:$N$874,I13,BS_RE33!$P$7:$P$874,'30 days CF Table(ALL)'!G13),2)</f>
        <v>0</v>
      </c>
      <c r="AW13" s="379">
        <f>ROUND(SUMIFS(BS_RE33!$H$7:$H$874,BS_RE33!$S$7:$S$874,$AW$2,BS_RE33!$N$7:$N$874,I13,BS_RE33!$P$7:$P$874,'30 days CF Table(ALL)'!G13),2)</f>
        <v>0</v>
      </c>
      <c r="AX13" s="379">
        <f>ROUND(SUMIFS(BS_RE33!$H$7:$H$874,BS_RE33!$S$7:$S$874,$AX$2,BS_RE33!$N$7:$N$874,I13,BS_RE33!$P$7:$P$874,'30 days CF Table(ALL)'!G13),2)</f>
        <v>0</v>
      </c>
      <c r="AY13" s="379">
        <f>ROUND(SUMIFS(BS_RE33!$H$7:$H$874,BS_RE33!$S$7:$S$874,$AY$2,BS_RE33!$N$7:$N$874,I13,BS_RE33!$P$7:$P$874,'30 days CF Table(ALL)'!G13),2)</f>
        <v>0</v>
      </c>
      <c r="AZ13" s="379">
        <f>ROUND(SUMIFS(BS_RE33!$H$7:$H$874,BS_RE33!$S$7:$S$874,$AZ$2,BS_RE33!$N$7:$N$874,I13,BS_RE33!$P$7:$P$874,'30 days CF Table(ALL)'!G13),2)</f>
        <v>0</v>
      </c>
      <c r="BA13" s="379">
        <f>ROUND(SUMIFS(BS_RE33!$H$7:$H$874,BS_RE33!$S$7:$S$874,$BA$2,BS_RE33!$N$7:$N$874,I13,BS_RE33!$P$7:$P$874,'30 days CF Table(ALL)'!G13),2)</f>
        <v>0</v>
      </c>
      <c r="BB13" s="379">
        <f>ROUND(SUMIFS(BS_RE33!$H$7:$H$874,BS_RE33!$S$7:$S$874,$BB$2,BS_RE33!$N$7:$N$874,I13,BS_RE33!$P$7:$P$874,'30 days CF Table(ALL)'!G13),2)</f>
        <v>0</v>
      </c>
      <c r="BC13" s="379">
        <f>ROUND(SUMIFS(BS_RE33!$H$7:$H$874,BS_RE33!$S$7:$S$874,$BC$2,BS_RE33!$N$7:$N$874,I13,BS_RE33!$P$7:$P$874,'30 days CF Table(ALL)'!G13),2)</f>
        <v>0</v>
      </c>
      <c r="BD13" s="379">
        <f>ROUND(SUMIFS(BS_RE33!$H$7:$H$874,BS_RE33!$S$7:$S$874,$BD$2,BS_RE33!$N$7:$N$874,I13,BS_RE33!$P$7:$P$874,'30 days CF Table(ALL)'!G13),2)</f>
        <v>0</v>
      </c>
      <c r="BE13" s="379">
        <f>ROUND(SUMIFS(BS_RE33!$H$7:$H$874,BS_RE33!$S$7:$S$874,$BE$2,BS_RE33!$N$7:$N$874,I13,BS_RE33!$P$7:$P$874,'30 days CF Table(ALL)'!G13),2)</f>
        <v>0</v>
      </c>
      <c r="BF13" s="379">
        <f>ROUND(SUMIFS(BS_RE33!$H$7:$H$874,BS_RE33!$S$7:$S$874,$BF$2,BS_RE33!$N$7:$N$874,I13,BS_RE33!$P$7:$P$874,'30 days CF Table(ALL)'!G13),2)</f>
        <v>0</v>
      </c>
      <c r="BG13" s="379">
        <f>ROUND(SUMIFS(BS_RE33!$H$7:$H$874,BS_RE33!$S$7:$S$874,$BG$2,BS_RE33!$N$7:$N$874,I13,BS_RE33!$P$7:$P$874,'30 days CF Table(ALL)'!G13),2)</f>
        <v>0</v>
      </c>
      <c r="BH13" s="379">
        <f>ROUND(SUMIFS(BS_RE33!$H$7:$H$874,BS_RE33!$S$7:$S$874,$BH$2,BS_RE33!$N$7:$N$874,I13,BS_RE33!$P$7:$P$874,'30 days CF Table(ALL)'!G13),2)</f>
        <v>0</v>
      </c>
      <c r="BI13" s="379">
        <f>ROUND(SUMIFS(BS_RE33!$H$7:$H$874,BS_RE33!$S$7:$S$874,$BI$2,BS_RE33!$N$7:$N$874,I13,BS_RE33!$P$7:$P$874,'30 days CF Table(ALL)'!G13),2)</f>
        <v>0</v>
      </c>
      <c r="BJ13" s="379">
        <f>ROUND(SUMIFS(BS_RE33!$H$7:$H$874,BS_RE33!$S$7:$S$874,$BJ$2,BS_RE33!$N$7:$N$874,I13,BS_RE33!$P$7:$P$874,'30 days CF Table(ALL)'!G13),2)</f>
        <v>0</v>
      </c>
      <c r="BK13" s="379">
        <f>ROUND(SUMIFS(BS_RE33!$H$7:$H$874,BS_RE33!$S$7:$S$874,$BK$2,BS_RE33!$N$7:$N$874,I13,BS_RE33!$P$7:$P$874,'30 days CF Table(ALL)'!G13),2)</f>
        <v>0</v>
      </c>
    </row>
    <row r="14" spans="1:63" s="395" customFormat="1" ht="20.25">
      <c r="C14" s="1029"/>
      <c r="D14" s="332" t="s">
        <v>740</v>
      </c>
      <c r="E14" s="310" t="s">
        <v>542</v>
      </c>
      <c r="F14" s="309"/>
      <c r="G14" s="392" t="s">
        <v>544</v>
      </c>
      <c r="H14" s="130">
        <v>1</v>
      </c>
      <c r="I14" s="305" t="s">
        <v>63</v>
      </c>
      <c r="J14" s="477">
        <f t="shared" si="3"/>
        <v>0</v>
      </c>
      <c r="K14" s="335">
        <f t="shared" si="4"/>
        <v>0</v>
      </c>
      <c r="L14" s="337">
        <f>ROUND(SUMIFS(BS_RE33!$H$7:$H$874,BS_RE33!$S$7:$S$874,$L$2,BS_RE33!$N$7:$N$874,I14,BS_RE33!$P$7:$P$874,'30 days CF Table(ALL)'!G14),2)</f>
        <v>0</v>
      </c>
      <c r="M14" s="337">
        <f>ROUND(SUMIFS(BS_RE33!$H$7:$H$874,BS_RE33!$S$7:$S$874,$M$2,BS_RE33!$N$7:$N$874,I14,BS_RE33!$P$7:$P$874,'30 days CF Table(ALL)'!G14),2)</f>
        <v>0</v>
      </c>
      <c r="N14" s="337">
        <f>ROUND(SUMIFS(BS_RE33!$H$7:$H$874,BS_RE33!$S$7:$S$874,$N$2,BS_RE33!$N$7:$N$874,I14,BS_RE33!$P$7:$P$874,'30 days CF Table(ALL)'!G14),2)</f>
        <v>0</v>
      </c>
      <c r="O14" s="337">
        <f>ROUND(SUMIFS(BS_RE33!$H$7:$H$874,BS_RE33!$S$7:$S$874,$O$2,BS_RE33!$N$7:$N$874,I14,BS_RE33!$P$7:$P$874,'30 days CF Table(ALL)'!G14),2)</f>
        <v>0</v>
      </c>
      <c r="P14" s="337">
        <f>ROUND(SUMIFS(BS_RE33!$H$7:$H$874,BS_RE33!$S$7:$S$874,$P$2,BS_RE33!$N$7:$N$874,I14,BS_RE33!$P$7:$P$874,'30 days CF Table(ALL)'!G14),2)</f>
        <v>0</v>
      </c>
      <c r="Q14" s="337">
        <f>ROUND(SUMIFS(BS_RE33!$H$7:$H$874,BS_RE33!$S$7:$S$874,$Q$2,BS_RE33!$N$7:$N$874,I14,BS_RE33!$P$7:$P$874,'30 days CF Table(ALL)'!G14),2)</f>
        <v>0</v>
      </c>
      <c r="R14" s="337">
        <f>ROUND(SUMIFS(BS_RE33!$H$7:$H$874,BS_RE33!$S$7:$S$874,$R$2,BS_RE33!$N$7:$N$874,I14,BS_RE33!$P$7:$P$874,'30 days CF Table(ALL)'!G14),2)</f>
        <v>0</v>
      </c>
      <c r="S14" s="337">
        <f>ROUND(SUMIFS(BS_RE33!$H$7:$H$874,BS_RE33!$S$7:$S$874,$S$2,BS_RE33!$N$7:$N$874,I14,BS_RE33!$P$7:$P$874,'30 days CF Table(ALL)'!G14),2)</f>
        <v>0</v>
      </c>
      <c r="T14" s="337">
        <f>ROUND(SUMIFS(BS_RE33!$H$7:$H$874,BS_RE33!$S$7:$S$874,$T$2,BS_RE33!$N$7:$N$874,I14,BS_RE33!$P$7:$P$874,'30 days CF Table(ALL)'!G14),2)</f>
        <v>0</v>
      </c>
      <c r="U14" s="337">
        <f>ROUND(SUMIFS(BS_RE33!$H$7:$H$874,BS_RE33!$S$7:$S$874,$U$2,BS_RE33!$N$7:$N$874,I14,BS_RE33!$P$7:$P$874,'30 days CF Table(ALL)'!G14),2)</f>
        <v>0</v>
      </c>
      <c r="V14" s="337">
        <f>ROUND(SUMIFS(BS_RE33!$H$7:$H$874,BS_RE33!$S$7:$S$874,$V$2,BS_RE33!$N$7:$N$874,I14,BS_RE33!$P$7:$P$874,'30 days CF Table(ALL)'!G14),2)</f>
        <v>0</v>
      </c>
      <c r="W14" s="337">
        <f>ROUND(SUMIFS(BS_RE33!$H$7:$H$874,BS_RE33!$S$7:$S$874,$W$2,BS_RE33!$N$7:$N$874,I14,BS_RE33!$P$7:$P$874,'30 days CF Table(ALL)'!G14),2)</f>
        <v>0</v>
      </c>
      <c r="X14" s="337">
        <f>ROUND(SUMIFS(BS_RE33!$H$7:$H$874,BS_RE33!$S$7:$S$874,$X$2,BS_RE33!$N$7:$N$874,I14,BS_RE33!$P$7:$P$874,'30 days CF Table(ALL)'!G14),2)</f>
        <v>0</v>
      </c>
      <c r="Y14" s="337">
        <f>ROUND(SUMIFS(BS_RE33!$H$7:$H$874,BS_RE33!$S$7:$S$874,$Y$2,BS_RE33!$N$7:$N$874,I14,BS_RE33!$P$7:$P$874,'30 days CF Table(ALL)'!G14),2)</f>
        <v>0</v>
      </c>
      <c r="Z14" s="337">
        <f>ROUND(SUMIFS(BS_RE33!$H$7:$H$874,BS_RE33!$S$7:$S$874,$Z$2,BS_RE33!$N$7:$N$874,I14,BS_RE33!$P$7:$P$874,'30 days CF Table(ALL)'!G14),2)</f>
        <v>0</v>
      </c>
      <c r="AA14" s="337">
        <f>ROUND(SUMIFS(BS_RE33!$H$7:$H$874,BS_RE33!$S$7:$S$874,$AA$2,BS_RE33!$N$7:$N$874,I14,BS_RE33!$P$7:$P$874,'30 days CF Table(ALL)'!G14),2)</f>
        <v>0</v>
      </c>
      <c r="AB14" s="337">
        <f>ROUND(SUMIFS(BS_RE33!$H$7:$H$874,BS_RE33!$S$7:$S$874,$AB$2,BS_RE33!$N$7:$N$874,I14,BS_RE33!$P$7:$P$874,'30 days CF Table(ALL)'!G14),2)</f>
        <v>0</v>
      </c>
      <c r="AC14" s="337">
        <f>ROUND(SUMIFS(BS_RE33!$H$7:$H$874,BS_RE33!$S$7:$S$874,$AC$2,BS_RE33!$N$7:$N$874,I14,BS_RE33!$P$7:$P$874,'30 days CF Table(ALL)'!G14),2)</f>
        <v>0</v>
      </c>
      <c r="AD14" s="337">
        <f>ROUND(SUMIFS(BS_RE33!$H$7:$H$874,BS_RE33!$S$7:$S$874,$AD$2,BS_RE33!$N$7:$N$874,I14,BS_RE33!$P$7:$P$874,'30 days CF Table(ALL)'!G14),2)</f>
        <v>0</v>
      </c>
      <c r="AE14" s="337">
        <f>ROUND(SUMIFS(BS_RE33!$H$7:$H$874,BS_RE33!$S$7:$S$874,$AE$2,BS_RE33!$N$7:$N$874,I14,BS_RE33!$P$7:$P$874,'30 days CF Table(ALL)'!G14),2)</f>
        <v>0</v>
      </c>
      <c r="AF14" s="337">
        <f>ROUND(SUMIFS(BS_RE33!$H$7:$H$874,BS_RE33!$S$7:$S$874,$AF$2,BS_RE33!$N$7:$N$874,I14,BS_RE33!$P$7:$P$874,'30 days CF Table(ALL)'!G14),2)</f>
        <v>0</v>
      </c>
      <c r="AG14" s="337">
        <f>ROUND(SUMIFS(BS_RE33!$H$7:$H$874,BS_RE33!$S$7:$S$874,$AG$2,BS_RE33!$N$7:$N$874,I14,BS_RE33!$P$7:$P$874,'30 days CF Table(ALL)'!G14),2)</f>
        <v>0</v>
      </c>
      <c r="AH14" s="337">
        <f>ROUND(SUMIFS(BS_RE33!$H$7:$H$874,BS_RE33!$S$7:$S$874,$AH$2,BS_RE33!$N$7:$N$874,I14,BS_RE33!$P$7:$P$874,'30 days CF Table(ALL)'!G14),2)</f>
        <v>0</v>
      </c>
      <c r="AI14" s="337">
        <f>ROUND(SUMIFS(BS_RE33!$H$7:$H$874,BS_RE33!$S$7:$S$874,$AI$2,BS_RE33!$N$7:$N$874,I14,BS_RE33!$P$7:$P$874,'30 days CF Table(ALL)'!G14),2)</f>
        <v>0</v>
      </c>
      <c r="AJ14" s="337">
        <f>ROUND(SUMIFS(BS_RE33!$H$7:$H$874,BS_RE33!$S$7:$S$874,$AJ$2,BS_RE33!$N$7:$N$874,I14,BS_RE33!$P$7:$P$874,'30 days CF Table(ALL)'!G14),2)</f>
        <v>0</v>
      </c>
      <c r="AK14" s="337">
        <f>ROUND(SUMIFS(BS_RE33!$H$7:$H$874,BS_RE33!$S$7:$S$874,$AK$2,BS_RE33!$N$7:$N$874,I14,BS_RE33!$P$7:$P$874,'30 days CF Table(ALL)'!G14),2)</f>
        <v>0</v>
      </c>
      <c r="AL14" s="337">
        <f>ROUND(SUMIFS(BS_RE33!$H$7:$H$874,BS_RE33!$S$7:$S$874,$AL$2,BS_RE33!$N$7:$N$874,I14,BS_RE33!$P$7:$P$874,'30 days CF Table(ALL)'!G14),2)</f>
        <v>0</v>
      </c>
      <c r="AM14" s="337">
        <f>ROUND(SUMIFS(BS_RE33!$H$7:$H$874,BS_RE33!$S$7:$S$874,$AM$2,BS_RE33!$N$7:$N$874,I14,BS_RE33!$P$7:$P$874,'30 days CF Table(ALL)'!G14),2)</f>
        <v>0</v>
      </c>
      <c r="AN14" s="337">
        <f>ROUND(SUMIFS(BS_RE33!$H$7:$H$874,BS_RE33!$S$7:$S$874,$AN$2,BS_RE33!$N$7:$N$874,I14,BS_RE33!$P$7:$P$874,'30 days CF Table(ALL)'!G14),2)</f>
        <v>0</v>
      </c>
      <c r="AO14" s="337">
        <f>ROUND(SUMIFS(BS_RE33!$H$7:$H$874,BS_RE33!$S$7:$S$874,$AO$2,BS_RE33!$N$7:$N$874,I14,BS_RE33!$P$7:$P$874,'30 days CF Table(ALL)'!G14),2)</f>
        <v>0</v>
      </c>
      <c r="AP14" s="338">
        <f>ROUND(SUMIFS(BS_RE33!$H$7:$H$874,BS_RE33!$S$7:$S$874,$AP$2,BS_RE33!$N$7:$N$874,I14,BS_RE33!$P$7:$P$874,'30 days CF Table(ALL)'!G14),2)</f>
        <v>0</v>
      </c>
      <c r="AQ14" s="545"/>
      <c r="AR14" s="379">
        <f>ROUND(SUMIFS(BS_RE33!$H$7:$H$874,BS_RE33!$S$7:$S$874,$AR$2,BS_RE33!$N$7:$N$874,I14,BS_RE33!$P$7:$P$874,'30 days CF Table(ALL)'!G14),2)</f>
        <v>0</v>
      </c>
      <c r="AS14" s="379">
        <f>ROUND(SUMIFS(BS_RE33!$H$7:$H$874,BS_RE33!$S$7:$S$874,$AS$2,BS_RE33!$N$7:$N$874,I14,BS_RE33!$P$7:$P$874,'30 days CF Table(ALL)'!G14),2)</f>
        <v>0</v>
      </c>
      <c r="AT14" s="379">
        <f>ROUND(SUMIFS(BS_RE33!$H$7:$H$874,BS_RE33!$S$7:$S$874,$AT$2,BS_RE33!$N$7:$N$874,I14,BS_RE33!$P$7:$P$874,'30 days CF Table(ALL)'!G14),2)</f>
        <v>0</v>
      </c>
      <c r="AU14" s="379">
        <f>ROUND(SUMIFS(BS_RE33!$H$7:$H$874,BS_RE33!$S$7:$S$874,$AU$2,BS_RE33!$N$7:$N$874,I14,BS_RE33!$P$7:$P$874,'30 days CF Table(ALL)'!G14),2)</f>
        <v>0</v>
      </c>
      <c r="AV14" s="379">
        <f>ROUND(SUMIFS(BS_RE33!$H$7:$H$874,BS_RE33!$S$7:$S$874,$AV$2,BS_RE33!$N$7:$N$874,I14,BS_RE33!$P$7:$P$874,'30 days CF Table(ALL)'!G14),2)</f>
        <v>0</v>
      </c>
      <c r="AW14" s="379">
        <f>ROUND(SUMIFS(BS_RE33!$H$7:$H$874,BS_RE33!$S$7:$S$874,$AW$2,BS_RE33!$N$7:$N$874,I14,BS_RE33!$P$7:$P$874,'30 days CF Table(ALL)'!G14),2)</f>
        <v>0</v>
      </c>
      <c r="AX14" s="379">
        <f>ROUND(SUMIFS(BS_RE33!$H$7:$H$874,BS_RE33!$S$7:$S$874,$AX$2,BS_RE33!$N$7:$N$874,I14,BS_RE33!$P$7:$P$874,'30 days CF Table(ALL)'!G14),2)</f>
        <v>0</v>
      </c>
      <c r="AY14" s="379">
        <f>ROUND(SUMIFS(BS_RE33!$H$7:$H$874,BS_RE33!$S$7:$S$874,$AY$2,BS_RE33!$N$7:$N$874,I14,BS_RE33!$P$7:$P$874,'30 days CF Table(ALL)'!G14),2)</f>
        <v>0</v>
      </c>
      <c r="AZ14" s="379">
        <f>ROUND(SUMIFS(BS_RE33!$H$7:$H$874,BS_RE33!$S$7:$S$874,$AZ$2,BS_RE33!$N$7:$N$874,I14,BS_RE33!$P$7:$P$874,'30 days CF Table(ALL)'!G14),2)</f>
        <v>0</v>
      </c>
      <c r="BA14" s="379">
        <f>ROUND(SUMIFS(BS_RE33!$H$7:$H$874,BS_RE33!$S$7:$S$874,$BA$2,BS_RE33!$N$7:$N$874,I14,BS_RE33!$P$7:$P$874,'30 days CF Table(ALL)'!G14),2)</f>
        <v>0</v>
      </c>
      <c r="BB14" s="379">
        <f>ROUND(SUMIFS(BS_RE33!$H$7:$H$874,BS_RE33!$S$7:$S$874,$BB$2,BS_RE33!$N$7:$N$874,I14,BS_RE33!$P$7:$P$874,'30 days CF Table(ALL)'!G14),2)</f>
        <v>0</v>
      </c>
      <c r="BC14" s="379">
        <f>ROUND(SUMIFS(BS_RE33!$H$7:$H$874,BS_RE33!$S$7:$S$874,$BC$2,BS_RE33!$N$7:$N$874,I14,BS_RE33!$P$7:$P$874,'30 days CF Table(ALL)'!G14),2)</f>
        <v>0</v>
      </c>
      <c r="BD14" s="379">
        <f>ROUND(SUMIFS(BS_RE33!$H$7:$H$874,BS_RE33!$S$7:$S$874,$BD$2,BS_RE33!$N$7:$N$874,I14,BS_RE33!$P$7:$P$874,'30 days CF Table(ALL)'!G14),2)</f>
        <v>0</v>
      </c>
      <c r="BE14" s="379">
        <f>ROUND(SUMIFS(BS_RE33!$H$7:$H$874,BS_RE33!$S$7:$S$874,$BE$2,BS_RE33!$N$7:$N$874,I14,BS_RE33!$P$7:$P$874,'30 days CF Table(ALL)'!G14),2)</f>
        <v>0</v>
      </c>
      <c r="BF14" s="379">
        <f>ROUND(SUMIFS(BS_RE33!$H$7:$H$874,BS_RE33!$S$7:$S$874,$BF$2,BS_RE33!$N$7:$N$874,I14,BS_RE33!$P$7:$P$874,'30 days CF Table(ALL)'!G14),2)</f>
        <v>0</v>
      </c>
      <c r="BG14" s="379">
        <f>ROUND(SUMIFS(BS_RE33!$H$7:$H$874,BS_RE33!$S$7:$S$874,$BG$2,BS_RE33!$N$7:$N$874,I14,BS_RE33!$P$7:$P$874,'30 days CF Table(ALL)'!G14),2)</f>
        <v>0</v>
      </c>
      <c r="BH14" s="379">
        <f>ROUND(SUMIFS(BS_RE33!$H$7:$H$874,BS_RE33!$S$7:$S$874,$BH$2,BS_RE33!$N$7:$N$874,I14,BS_RE33!$P$7:$P$874,'30 days CF Table(ALL)'!G14),2)</f>
        <v>0</v>
      </c>
      <c r="BI14" s="379">
        <f>ROUND(SUMIFS(BS_RE33!$H$7:$H$874,BS_RE33!$S$7:$S$874,$BI$2,BS_RE33!$N$7:$N$874,I14,BS_RE33!$P$7:$P$874,'30 days CF Table(ALL)'!G14),2)</f>
        <v>0</v>
      </c>
      <c r="BJ14" s="379">
        <f>ROUND(SUMIFS(BS_RE33!$H$7:$H$874,BS_RE33!$S$7:$S$874,$BJ$2,BS_RE33!$N$7:$N$874,I14,BS_RE33!$P$7:$P$874,'30 days CF Table(ALL)'!G14),2)</f>
        <v>0</v>
      </c>
      <c r="BK14" s="379">
        <f>ROUND(SUMIFS(BS_RE33!$H$7:$H$874,BS_RE33!$S$7:$S$874,$BK$2,BS_RE33!$N$7:$N$874,I14,BS_RE33!$P$7:$P$874,'30 days CF Table(ALL)'!G14),2)</f>
        <v>0</v>
      </c>
    </row>
    <row r="15" spans="1:63" s="395" customFormat="1">
      <c r="A15"/>
      <c r="B15"/>
      <c r="C15" s="1029"/>
      <c r="D15" s="1031" t="s">
        <v>741</v>
      </c>
      <c r="E15" s="73" t="s">
        <v>552</v>
      </c>
      <c r="F15" s="309"/>
      <c r="G15" s="392" t="s">
        <v>742</v>
      </c>
      <c r="H15" s="130">
        <v>1</v>
      </c>
      <c r="I15" s="305" t="s">
        <v>63</v>
      </c>
      <c r="J15" s="477">
        <f t="shared" si="3"/>
        <v>0</v>
      </c>
      <c r="K15" s="335">
        <f t="shared" si="4"/>
        <v>0</v>
      </c>
      <c r="L15" s="337">
        <f>ROUND(SUMIFS(BS_RE33!$H$7:$H$874,BS_RE33!$S$7:$S$874,$L$2,BS_RE33!$N$7:$N$874,I15,BS_RE33!$P$7:$P$874,'30 days CF Table(ALL)'!G15),2)</f>
        <v>0</v>
      </c>
      <c r="M15" s="337">
        <f>ROUND(SUMIFS(BS_RE33!$H$7:$H$874,BS_RE33!$S$7:$S$874,$M$2,BS_RE33!$N$7:$N$874,I15,BS_RE33!$P$7:$P$874,'30 days CF Table(ALL)'!G15),2)</f>
        <v>0</v>
      </c>
      <c r="N15" s="337">
        <f>ROUND(SUMIFS(BS_RE33!$H$7:$H$874,BS_RE33!$S$7:$S$874,$N$2,BS_RE33!$N$7:$N$874,I15,BS_RE33!$P$7:$P$874,'30 days CF Table(ALL)'!G15),2)</f>
        <v>0</v>
      </c>
      <c r="O15" s="337">
        <f>ROUND(SUMIFS(BS_RE33!$H$7:$H$874,BS_RE33!$S$7:$S$874,$O$2,BS_RE33!$N$7:$N$874,I15,BS_RE33!$P$7:$P$874,'30 days CF Table(ALL)'!G15),2)</f>
        <v>0</v>
      </c>
      <c r="P15" s="337">
        <f>ROUND(SUMIFS(BS_RE33!$H$7:$H$874,BS_RE33!$S$7:$S$874,$P$2,BS_RE33!$N$7:$N$874,I15,BS_RE33!$P$7:$P$874,'30 days CF Table(ALL)'!G15),2)</f>
        <v>0</v>
      </c>
      <c r="Q15" s="337">
        <f>ROUND(SUMIFS(BS_RE33!$H$7:$H$874,BS_RE33!$S$7:$S$874,$Q$2,BS_RE33!$N$7:$N$874,I15,BS_RE33!$P$7:$P$874,'30 days CF Table(ALL)'!G15),2)</f>
        <v>0</v>
      </c>
      <c r="R15" s="337">
        <f>ROUND(SUMIFS(BS_RE33!$H$7:$H$874,BS_RE33!$S$7:$S$874,$R$2,BS_RE33!$N$7:$N$874,I15,BS_RE33!$P$7:$P$874,'30 days CF Table(ALL)'!G15),2)</f>
        <v>0</v>
      </c>
      <c r="S15" s="337">
        <f>ROUND(SUMIFS(BS_RE33!$H$7:$H$874,BS_RE33!$S$7:$S$874,$S$2,BS_RE33!$N$7:$N$874,I15,BS_RE33!$P$7:$P$874,'30 days CF Table(ALL)'!G15),2)</f>
        <v>0</v>
      </c>
      <c r="T15" s="337">
        <f>ROUND(SUMIFS(BS_RE33!$H$7:$H$874,BS_RE33!$S$7:$S$874,$T$2,BS_RE33!$N$7:$N$874,I15,BS_RE33!$P$7:$P$874,'30 days CF Table(ALL)'!G15),2)</f>
        <v>0</v>
      </c>
      <c r="U15" s="337">
        <f>ROUND(SUMIFS(BS_RE33!$H$7:$H$874,BS_RE33!$S$7:$S$874,$U$2,BS_RE33!$N$7:$N$874,I15,BS_RE33!$P$7:$P$874,'30 days CF Table(ALL)'!G15),2)</f>
        <v>0</v>
      </c>
      <c r="V15" s="337">
        <f>ROUND(SUMIFS(BS_RE33!$H$7:$H$874,BS_RE33!$S$7:$S$874,$V$2,BS_RE33!$N$7:$N$874,I15,BS_RE33!$P$7:$P$874,'30 days CF Table(ALL)'!G15),2)</f>
        <v>0</v>
      </c>
      <c r="W15" s="337">
        <f>ROUND(SUMIFS(BS_RE33!$H$7:$H$874,BS_RE33!$S$7:$S$874,$W$2,BS_RE33!$N$7:$N$874,I15,BS_RE33!$P$7:$P$874,'30 days CF Table(ALL)'!G15),2)</f>
        <v>0</v>
      </c>
      <c r="X15" s="337">
        <f>ROUND(SUMIFS(BS_RE33!$H$7:$H$874,BS_RE33!$S$7:$S$874,$X$2,BS_RE33!$N$7:$N$874,I15,BS_RE33!$P$7:$P$874,'30 days CF Table(ALL)'!G15),2)</f>
        <v>0</v>
      </c>
      <c r="Y15" s="337">
        <f>ROUND(SUMIFS(BS_RE33!$H$7:$H$874,BS_RE33!$S$7:$S$874,$Y$2,BS_RE33!$N$7:$N$874,I15,BS_RE33!$P$7:$P$874,'30 days CF Table(ALL)'!G15),2)</f>
        <v>0</v>
      </c>
      <c r="Z15" s="337">
        <f>ROUND(SUMIFS(BS_RE33!$H$7:$H$874,BS_RE33!$S$7:$S$874,$Z$2,BS_RE33!$N$7:$N$874,I15,BS_RE33!$P$7:$P$874,'30 days CF Table(ALL)'!G15),2)</f>
        <v>0</v>
      </c>
      <c r="AA15" s="337">
        <f>ROUND(SUMIFS(BS_RE33!$H$7:$H$874,BS_RE33!$S$7:$S$874,$AA$2,BS_RE33!$N$7:$N$874,I15,BS_RE33!$P$7:$P$874,'30 days CF Table(ALL)'!G15),2)</f>
        <v>0</v>
      </c>
      <c r="AB15" s="337">
        <f>ROUND(SUMIFS(BS_RE33!$H$7:$H$874,BS_RE33!$S$7:$S$874,$AB$2,BS_RE33!$N$7:$N$874,I15,BS_RE33!$P$7:$P$874,'30 days CF Table(ALL)'!G15),2)</f>
        <v>0</v>
      </c>
      <c r="AC15" s="337">
        <f>ROUND(SUMIFS(BS_RE33!$H$7:$H$874,BS_RE33!$S$7:$S$874,$AC$2,BS_RE33!$N$7:$N$874,I15,BS_RE33!$P$7:$P$874,'30 days CF Table(ALL)'!G15),2)</f>
        <v>0</v>
      </c>
      <c r="AD15" s="337">
        <f>ROUND(SUMIFS(BS_RE33!$H$7:$H$874,BS_RE33!$S$7:$S$874,$AD$2,BS_RE33!$N$7:$N$874,I15,BS_RE33!$P$7:$P$874,'30 days CF Table(ALL)'!G15),2)</f>
        <v>0</v>
      </c>
      <c r="AE15" s="337">
        <f>ROUND(SUMIFS(BS_RE33!$H$7:$H$874,BS_RE33!$S$7:$S$874,$AE$2,BS_RE33!$N$7:$N$874,I15,BS_RE33!$P$7:$P$874,'30 days CF Table(ALL)'!G15),2)</f>
        <v>0</v>
      </c>
      <c r="AF15" s="337">
        <f>ROUND(SUMIFS(BS_RE33!$H$7:$H$874,BS_RE33!$S$7:$S$874,$AF$2,BS_RE33!$N$7:$N$874,I15,BS_RE33!$P$7:$P$874,'30 days CF Table(ALL)'!G15),2)</f>
        <v>0</v>
      </c>
      <c r="AG15" s="337">
        <f>ROUND(SUMIFS(BS_RE33!$H$7:$H$874,BS_RE33!$S$7:$S$874,$AG$2,BS_RE33!$N$7:$N$874,I15,BS_RE33!$P$7:$P$874,'30 days CF Table(ALL)'!G15),2)</f>
        <v>0</v>
      </c>
      <c r="AH15" s="337">
        <f>ROUND(SUMIFS(BS_RE33!$H$7:$H$874,BS_RE33!$S$7:$S$874,$AH$2,BS_RE33!$N$7:$N$874,I15,BS_RE33!$P$7:$P$874,'30 days CF Table(ALL)'!G15),2)</f>
        <v>0</v>
      </c>
      <c r="AI15" s="337">
        <f>ROUND(SUMIFS(BS_RE33!$H$7:$H$874,BS_RE33!$S$7:$S$874,$AI$2,BS_RE33!$N$7:$N$874,I15,BS_RE33!$P$7:$P$874,'30 days CF Table(ALL)'!G15),2)</f>
        <v>0</v>
      </c>
      <c r="AJ15" s="337">
        <f>ROUND(SUMIFS(BS_RE33!$H$7:$H$874,BS_RE33!$S$7:$S$874,$AJ$2,BS_RE33!$N$7:$N$874,I15,BS_RE33!$P$7:$P$874,'30 days CF Table(ALL)'!G15),2)</f>
        <v>0</v>
      </c>
      <c r="AK15" s="337">
        <f>ROUND(SUMIFS(BS_RE33!$H$7:$H$874,BS_RE33!$S$7:$S$874,$AK$2,BS_RE33!$N$7:$N$874,I15,BS_RE33!$P$7:$P$874,'30 days CF Table(ALL)'!G15),2)</f>
        <v>0</v>
      </c>
      <c r="AL15" s="337">
        <f>ROUND(SUMIFS(BS_RE33!$H$7:$H$874,BS_RE33!$S$7:$S$874,$AL$2,BS_RE33!$N$7:$N$874,I15,BS_RE33!$P$7:$P$874,'30 days CF Table(ALL)'!G15),2)</f>
        <v>0</v>
      </c>
      <c r="AM15" s="337">
        <f>ROUND(SUMIFS(BS_RE33!$H$7:$H$874,BS_RE33!$S$7:$S$874,$AM$2,BS_RE33!$N$7:$N$874,I15,BS_RE33!$P$7:$P$874,'30 days CF Table(ALL)'!G15),2)</f>
        <v>0</v>
      </c>
      <c r="AN15" s="337">
        <f>ROUND(SUMIFS(BS_RE33!$H$7:$H$874,BS_RE33!$S$7:$S$874,$AN$2,BS_RE33!$N$7:$N$874,I15,BS_RE33!$P$7:$P$874,'30 days CF Table(ALL)'!G15),2)</f>
        <v>0</v>
      </c>
      <c r="AO15" s="337">
        <f>ROUND(SUMIFS(BS_RE33!$H$7:$H$874,BS_RE33!$S$7:$S$874,$AO$2,BS_RE33!$N$7:$N$874,I15,BS_RE33!$P$7:$P$874,'30 days CF Table(ALL)'!G15),2)</f>
        <v>0</v>
      </c>
      <c r="AP15" s="338">
        <f>ROUND(SUMIFS(BS_RE33!$H$7:$H$874,BS_RE33!$S$7:$S$874,$AP$2,BS_RE33!$N$7:$N$874,I15,BS_RE33!$P$7:$P$874,'30 days CF Table(ALL)'!G15),2)</f>
        <v>0</v>
      </c>
      <c r="AQ15" s="545"/>
      <c r="AR15" s="379">
        <f>ROUND(SUMIFS(BS_RE33!$H$7:$H$874,BS_RE33!$S$7:$S$874,$AR$2,BS_RE33!$N$7:$N$874,I15,BS_RE33!$P$7:$P$874,'30 days CF Table(ALL)'!G15),2)</f>
        <v>0</v>
      </c>
      <c r="AS15" s="379">
        <f>ROUND(SUMIFS(BS_RE33!$H$7:$H$874,BS_RE33!$S$7:$S$874,$AS$2,BS_RE33!$N$7:$N$874,I15,BS_RE33!$P$7:$P$874,'30 days CF Table(ALL)'!G15),2)</f>
        <v>0</v>
      </c>
      <c r="AT15" s="379">
        <f>ROUND(SUMIFS(BS_RE33!$H$7:$H$874,BS_RE33!$S$7:$S$874,$AT$2,BS_RE33!$N$7:$N$874,I15,BS_RE33!$P$7:$P$874,'30 days CF Table(ALL)'!G15),2)</f>
        <v>0</v>
      </c>
      <c r="AU15" s="379">
        <f>ROUND(SUMIFS(BS_RE33!$H$7:$H$874,BS_RE33!$S$7:$S$874,$AU$2,BS_RE33!$N$7:$N$874,I15,BS_RE33!$P$7:$P$874,'30 days CF Table(ALL)'!G15),2)</f>
        <v>0</v>
      </c>
      <c r="AV15" s="379">
        <f>ROUND(SUMIFS(BS_RE33!$H$7:$H$874,BS_RE33!$S$7:$S$874,$AV$2,BS_RE33!$N$7:$N$874,I15,BS_RE33!$P$7:$P$874,'30 days CF Table(ALL)'!G15),2)</f>
        <v>0</v>
      </c>
      <c r="AW15" s="379">
        <f>ROUND(SUMIFS(BS_RE33!$H$7:$H$874,BS_RE33!$S$7:$S$874,$AW$2,BS_RE33!$N$7:$N$874,I15,BS_RE33!$P$7:$P$874,'30 days CF Table(ALL)'!G15),2)</f>
        <v>0</v>
      </c>
      <c r="AX15" s="379">
        <f>ROUND(SUMIFS(BS_RE33!$H$7:$H$874,BS_RE33!$S$7:$S$874,$AX$2,BS_RE33!$N$7:$N$874,I15,BS_RE33!$P$7:$P$874,'30 days CF Table(ALL)'!G15),2)</f>
        <v>0</v>
      </c>
      <c r="AY15" s="379">
        <f>ROUND(SUMIFS(BS_RE33!$H$7:$H$874,BS_RE33!$S$7:$S$874,$AY$2,BS_RE33!$N$7:$N$874,I15,BS_RE33!$P$7:$P$874,'30 days CF Table(ALL)'!G15),2)</f>
        <v>0</v>
      </c>
      <c r="AZ15" s="379">
        <f>ROUND(SUMIFS(BS_RE33!$H$7:$H$874,BS_RE33!$S$7:$S$874,$AZ$2,BS_RE33!$N$7:$N$874,I15,BS_RE33!$P$7:$P$874,'30 days CF Table(ALL)'!G15),2)</f>
        <v>0</v>
      </c>
      <c r="BA15" s="379">
        <f>ROUND(SUMIFS(BS_RE33!$H$7:$H$874,BS_RE33!$S$7:$S$874,$BA$2,BS_RE33!$N$7:$N$874,I15,BS_RE33!$P$7:$P$874,'30 days CF Table(ALL)'!G15),2)</f>
        <v>0</v>
      </c>
      <c r="BB15" s="379">
        <f>ROUND(SUMIFS(BS_RE33!$H$7:$H$874,BS_RE33!$S$7:$S$874,$BB$2,BS_RE33!$N$7:$N$874,I15,BS_RE33!$P$7:$P$874,'30 days CF Table(ALL)'!G15),2)</f>
        <v>0</v>
      </c>
      <c r="BC15" s="379">
        <f>ROUND(SUMIFS(BS_RE33!$H$7:$H$874,BS_RE33!$S$7:$S$874,$BC$2,BS_RE33!$N$7:$N$874,I15,BS_RE33!$P$7:$P$874,'30 days CF Table(ALL)'!G15),2)</f>
        <v>0</v>
      </c>
      <c r="BD15" s="379">
        <f>ROUND(SUMIFS(BS_RE33!$H$7:$H$874,BS_RE33!$S$7:$S$874,$BD$2,BS_RE33!$N$7:$N$874,I15,BS_RE33!$P$7:$P$874,'30 days CF Table(ALL)'!G15),2)</f>
        <v>0</v>
      </c>
      <c r="BE15" s="379">
        <f>ROUND(SUMIFS(BS_RE33!$H$7:$H$874,BS_RE33!$S$7:$S$874,$BE$2,BS_RE33!$N$7:$N$874,I15,BS_RE33!$P$7:$P$874,'30 days CF Table(ALL)'!G15),2)</f>
        <v>0</v>
      </c>
      <c r="BF15" s="379">
        <f>ROUND(SUMIFS(BS_RE33!$H$7:$H$874,BS_RE33!$S$7:$S$874,$BF$2,BS_RE33!$N$7:$N$874,I15,BS_RE33!$P$7:$P$874,'30 days CF Table(ALL)'!G15),2)</f>
        <v>0</v>
      </c>
      <c r="BG15" s="379">
        <f>ROUND(SUMIFS(BS_RE33!$H$7:$H$874,BS_RE33!$S$7:$S$874,$BG$2,BS_RE33!$N$7:$N$874,I15,BS_RE33!$P$7:$P$874,'30 days CF Table(ALL)'!G15),2)</f>
        <v>0</v>
      </c>
      <c r="BH15" s="379">
        <f>ROUND(SUMIFS(BS_RE33!$H$7:$H$874,BS_RE33!$S$7:$S$874,$BH$2,BS_RE33!$N$7:$N$874,I15,BS_RE33!$P$7:$P$874,'30 days CF Table(ALL)'!G15),2)</f>
        <v>0</v>
      </c>
      <c r="BI15" s="379">
        <f>ROUND(SUMIFS(BS_RE33!$H$7:$H$874,BS_RE33!$S$7:$S$874,$BI$2,BS_RE33!$N$7:$N$874,I15,BS_RE33!$P$7:$P$874,'30 days CF Table(ALL)'!G15),2)</f>
        <v>0</v>
      </c>
      <c r="BJ15" s="379">
        <f>ROUND(SUMIFS(BS_RE33!$H$7:$H$874,BS_RE33!$S$7:$S$874,$BJ$2,BS_RE33!$N$7:$N$874,I15,BS_RE33!$P$7:$P$874,'30 days CF Table(ALL)'!G15),2)</f>
        <v>0</v>
      </c>
      <c r="BK15" s="379">
        <f>ROUND(SUMIFS(BS_RE33!$H$7:$H$874,BS_RE33!$S$7:$S$874,$BK$2,BS_RE33!$N$7:$N$874,I15,BS_RE33!$P$7:$P$874,'30 days CF Table(ALL)'!G15),2)</f>
        <v>0</v>
      </c>
    </row>
    <row r="16" spans="1:63" s="395" customFormat="1">
      <c r="A16"/>
      <c r="B16"/>
      <c r="C16" s="1029"/>
      <c r="D16" s="1031"/>
      <c r="E16" s="73" t="s">
        <v>554</v>
      </c>
      <c r="F16" s="309"/>
      <c r="G16" s="392" t="s">
        <v>743</v>
      </c>
      <c r="H16" s="130">
        <v>1</v>
      </c>
      <c r="I16" s="305" t="s">
        <v>63</v>
      </c>
      <c r="J16" s="477">
        <f t="shared" si="3"/>
        <v>0</v>
      </c>
      <c r="K16" s="335">
        <f t="shared" si="4"/>
        <v>0</v>
      </c>
      <c r="L16" s="337">
        <f>ROUND(SUMIFS(BS_RE33!$H$7:$H$874,BS_RE33!$S$7:$S$874,$L$2,BS_RE33!$N$7:$N$874,I16,BS_RE33!$P$7:$P$874,'30 days CF Table(ALL)'!G16),2)</f>
        <v>0</v>
      </c>
      <c r="M16" s="337">
        <f>ROUND(SUMIFS(BS_RE33!$H$7:$H$874,BS_RE33!$S$7:$S$874,$M$2,BS_RE33!$N$7:$N$874,I16,BS_RE33!$P$7:$P$874,'30 days CF Table(ALL)'!G16),2)</f>
        <v>0</v>
      </c>
      <c r="N16" s="337">
        <f>ROUND(SUMIFS(BS_RE33!$H$7:$H$874,BS_RE33!$S$7:$S$874,$N$2,BS_RE33!$N$7:$N$874,I16,BS_RE33!$P$7:$P$874,'30 days CF Table(ALL)'!G16),2)</f>
        <v>0</v>
      </c>
      <c r="O16" s="337">
        <f>ROUND(SUMIFS(BS_RE33!$H$7:$H$874,BS_RE33!$S$7:$S$874,$O$2,BS_RE33!$N$7:$N$874,I16,BS_RE33!$P$7:$P$874,'30 days CF Table(ALL)'!G16),2)</f>
        <v>0</v>
      </c>
      <c r="P16" s="337">
        <f>ROUND(SUMIFS(BS_RE33!$H$7:$H$874,BS_RE33!$S$7:$S$874,$P$2,BS_RE33!$N$7:$N$874,I16,BS_RE33!$P$7:$P$874,'30 days CF Table(ALL)'!G16),2)</f>
        <v>0</v>
      </c>
      <c r="Q16" s="337">
        <f>ROUND(SUMIFS(BS_RE33!$H$7:$H$874,BS_RE33!$S$7:$S$874,$Q$2,BS_RE33!$N$7:$N$874,I16,BS_RE33!$P$7:$P$874,'30 days CF Table(ALL)'!G16),2)</f>
        <v>0</v>
      </c>
      <c r="R16" s="337">
        <f>ROUND(SUMIFS(BS_RE33!$H$7:$H$874,BS_RE33!$S$7:$S$874,$R$2,BS_RE33!$N$7:$N$874,I16,BS_RE33!$P$7:$P$874,'30 days CF Table(ALL)'!G16),2)</f>
        <v>0</v>
      </c>
      <c r="S16" s="337">
        <f>ROUND(SUMIFS(BS_RE33!$H$7:$H$874,BS_RE33!$S$7:$S$874,$S$2,BS_RE33!$N$7:$N$874,I16,BS_RE33!$P$7:$P$874,'30 days CF Table(ALL)'!G16),2)</f>
        <v>0</v>
      </c>
      <c r="T16" s="337">
        <f>ROUND(SUMIFS(BS_RE33!$H$7:$H$874,BS_RE33!$S$7:$S$874,$T$2,BS_RE33!$N$7:$N$874,I16,BS_RE33!$P$7:$P$874,'30 days CF Table(ALL)'!G16),2)</f>
        <v>0</v>
      </c>
      <c r="U16" s="337">
        <f>ROUND(SUMIFS(BS_RE33!$H$7:$H$874,BS_RE33!$S$7:$S$874,$U$2,BS_RE33!$N$7:$N$874,I16,BS_RE33!$P$7:$P$874,'30 days CF Table(ALL)'!G16),2)</f>
        <v>0</v>
      </c>
      <c r="V16" s="337">
        <f>ROUND(SUMIFS(BS_RE33!$H$7:$H$874,BS_RE33!$S$7:$S$874,$V$2,BS_RE33!$N$7:$N$874,I16,BS_RE33!$P$7:$P$874,'30 days CF Table(ALL)'!G16),2)</f>
        <v>0</v>
      </c>
      <c r="W16" s="337">
        <f>ROUND(SUMIFS(BS_RE33!$H$7:$H$874,BS_RE33!$S$7:$S$874,$W$2,BS_RE33!$N$7:$N$874,I16,BS_RE33!$P$7:$P$874,'30 days CF Table(ALL)'!G16),2)</f>
        <v>0</v>
      </c>
      <c r="X16" s="337">
        <f>ROUND(SUMIFS(BS_RE33!$H$7:$H$874,BS_RE33!$S$7:$S$874,$X$2,BS_RE33!$N$7:$N$874,I16,BS_RE33!$P$7:$P$874,'30 days CF Table(ALL)'!G16),2)</f>
        <v>0</v>
      </c>
      <c r="Y16" s="337">
        <f>ROUND(SUMIFS(BS_RE33!$H$7:$H$874,BS_RE33!$S$7:$S$874,$Y$2,BS_RE33!$N$7:$N$874,I16,BS_RE33!$P$7:$P$874,'30 days CF Table(ALL)'!G16),2)</f>
        <v>0</v>
      </c>
      <c r="Z16" s="337">
        <f>ROUND(SUMIFS(BS_RE33!$H$7:$H$874,BS_RE33!$S$7:$S$874,$Z$2,BS_RE33!$N$7:$N$874,I16,BS_RE33!$P$7:$P$874,'30 days CF Table(ALL)'!G16),2)</f>
        <v>0</v>
      </c>
      <c r="AA16" s="337">
        <f>ROUND(SUMIFS(BS_RE33!$H$7:$H$874,BS_RE33!$S$7:$S$874,$AA$2,BS_RE33!$N$7:$N$874,I16,BS_RE33!$P$7:$P$874,'30 days CF Table(ALL)'!G16),2)</f>
        <v>0</v>
      </c>
      <c r="AB16" s="337">
        <f>ROUND(SUMIFS(BS_RE33!$H$7:$H$874,BS_RE33!$S$7:$S$874,$AB$2,BS_RE33!$N$7:$N$874,I16,BS_RE33!$P$7:$P$874,'30 days CF Table(ALL)'!G16),2)</f>
        <v>0</v>
      </c>
      <c r="AC16" s="337">
        <f>ROUND(SUMIFS(BS_RE33!$H$7:$H$874,BS_RE33!$S$7:$S$874,$AC$2,BS_RE33!$N$7:$N$874,I16,BS_RE33!$P$7:$P$874,'30 days CF Table(ALL)'!G16),2)</f>
        <v>0</v>
      </c>
      <c r="AD16" s="337">
        <f>ROUND(SUMIFS(BS_RE33!$H$7:$H$874,BS_RE33!$S$7:$S$874,$AD$2,BS_RE33!$N$7:$N$874,I16,BS_RE33!$P$7:$P$874,'30 days CF Table(ALL)'!G16),2)</f>
        <v>0</v>
      </c>
      <c r="AE16" s="337">
        <f>ROUND(SUMIFS(BS_RE33!$H$7:$H$874,BS_RE33!$S$7:$S$874,$AE$2,BS_RE33!$N$7:$N$874,I16,BS_RE33!$P$7:$P$874,'30 days CF Table(ALL)'!G16),2)</f>
        <v>0</v>
      </c>
      <c r="AF16" s="337">
        <f>ROUND(SUMIFS(BS_RE33!$H$7:$H$874,BS_RE33!$S$7:$S$874,$AF$2,BS_RE33!$N$7:$N$874,I16,BS_RE33!$P$7:$P$874,'30 days CF Table(ALL)'!G16),2)</f>
        <v>0</v>
      </c>
      <c r="AG16" s="337">
        <f>ROUND(SUMIFS(BS_RE33!$H$7:$H$874,BS_RE33!$S$7:$S$874,$AG$2,BS_RE33!$N$7:$N$874,I16,BS_RE33!$P$7:$P$874,'30 days CF Table(ALL)'!G16),2)</f>
        <v>0</v>
      </c>
      <c r="AH16" s="337">
        <f>ROUND(SUMIFS(BS_RE33!$H$7:$H$874,BS_RE33!$S$7:$S$874,$AH$2,BS_RE33!$N$7:$N$874,I16,BS_RE33!$P$7:$P$874,'30 days CF Table(ALL)'!G16),2)</f>
        <v>0</v>
      </c>
      <c r="AI16" s="337">
        <f>ROUND(SUMIFS(BS_RE33!$H$7:$H$874,BS_RE33!$S$7:$S$874,$AI$2,BS_RE33!$N$7:$N$874,I16,BS_RE33!$P$7:$P$874,'30 days CF Table(ALL)'!G16),2)</f>
        <v>0</v>
      </c>
      <c r="AJ16" s="337">
        <f>ROUND(SUMIFS(BS_RE33!$H$7:$H$874,BS_RE33!$S$7:$S$874,$AJ$2,BS_RE33!$N$7:$N$874,I16,BS_RE33!$P$7:$P$874,'30 days CF Table(ALL)'!G16),2)</f>
        <v>0</v>
      </c>
      <c r="AK16" s="337">
        <f>ROUND(SUMIFS(BS_RE33!$H$7:$H$874,BS_RE33!$S$7:$S$874,$AK$2,BS_RE33!$N$7:$N$874,I16,BS_RE33!$P$7:$P$874,'30 days CF Table(ALL)'!G16),2)</f>
        <v>0</v>
      </c>
      <c r="AL16" s="337">
        <f>ROUND(SUMIFS(BS_RE33!$H$7:$H$874,BS_RE33!$S$7:$S$874,$AL$2,BS_RE33!$N$7:$N$874,I16,BS_RE33!$P$7:$P$874,'30 days CF Table(ALL)'!G16),2)</f>
        <v>0</v>
      </c>
      <c r="AM16" s="337">
        <f>ROUND(SUMIFS(BS_RE33!$H$7:$H$874,BS_RE33!$S$7:$S$874,$AM$2,BS_RE33!$N$7:$N$874,I16,BS_RE33!$P$7:$P$874,'30 days CF Table(ALL)'!G16),2)</f>
        <v>0</v>
      </c>
      <c r="AN16" s="337">
        <f>ROUND(SUMIFS(BS_RE33!$H$7:$H$874,BS_RE33!$S$7:$S$874,$AN$2,BS_RE33!$N$7:$N$874,I16,BS_RE33!$P$7:$P$874,'30 days CF Table(ALL)'!G16),2)</f>
        <v>0</v>
      </c>
      <c r="AO16" s="337">
        <f>ROUND(SUMIFS(BS_RE33!$H$7:$H$874,BS_RE33!$S$7:$S$874,$AO$2,BS_RE33!$N$7:$N$874,I16,BS_RE33!$P$7:$P$874,'30 days CF Table(ALL)'!G16),2)</f>
        <v>0</v>
      </c>
      <c r="AP16" s="338">
        <f>ROUND(SUMIFS(BS_RE33!$H$7:$H$874,BS_RE33!$S$7:$S$874,$AP$2,BS_RE33!$N$7:$N$874,I16,BS_RE33!$P$7:$P$874,'30 days CF Table(ALL)'!G16),2)</f>
        <v>0</v>
      </c>
      <c r="AQ16" s="545"/>
      <c r="AR16" s="379">
        <f>ROUND(SUMIFS(BS_RE33!$H$7:$H$874,BS_RE33!$S$7:$S$874,$AR$2,BS_RE33!$N$7:$N$874,I16,BS_RE33!$P$7:$P$874,'30 days CF Table(ALL)'!G16),2)</f>
        <v>0</v>
      </c>
      <c r="AS16" s="379">
        <f>ROUND(SUMIFS(BS_RE33!$H$7:$H$874,BS_RE33!$S$7:$S$874,$AS$2,BS_RE33!$N$7:$N$874,I16,BS_RE33!$P$7:$P$874,'30 days CF Table(ALL)'!G16),2)</f>
        <v>0</v>
      </c>
      <c r="AT16" s="379">
        <f>ROUND(SUMIFS(BS_RE33!$H$7:$H$874,BS_RE33!$S$7:$S$874,$AT$2,BS_RE33!$N$7:$N$874,I16,BS_RE33!$P$7:$P$874,'30 days CF Table(ALL)'!G16),2)</f>
        <v>0</v>
      </c>
      <c r="AU16" s="379">
        <f>ROUND(SUMIFS(BS_RE33!$H$7:$H$874,BS_RE33!$S$7:$S$874,$AU$2,BS_RE33!$N$7:$N$874,I16,BS_RE33!$P$7:$P$874,'30 days CF Table(ALL)'!G16),2)</f>
        <v>0</v>
      </c>
      <c r="AV16" s="379">
        <f>ROUND(SUMIFS(BS_RE33!$H$7:$H$874,BS_RE33!$S$7:$S$874,$AV$2,BS_RE33!$N$7:$N$874,I16,BS_RE33!$P$7:$P$874,'30 days CF Table(ALL)'!G16),2)</f>
        <v>0</v>
      </c>
      <c r="AW16" s="379">
        <f>ROUND(SUMIFS(BS_RE33!$H$7:$H$874,BS_RE33!$S$7:$S$874,$AW$2,BS_RE33!$N$7:$N$874,I16,BS_RE33!$P$7:$P$874,'30 days CF Table(ALL)'!G16),2)</f>
        <v>0</v>
      </c>
      <c r="AX16" s="379">
        <f>ROUND(SUMIFS(BS_RE33!$H$7:$H$874,BS_RE33!$S$7:$S$874,$AX$2,BS_RE33!$N$7:$N$874,I16,BS_RE33!$P$7:$P$874,'30 days CF Table(ALL)'!G16),2)</f>
        <v>0</v>
      </c>
      <c r="AY16" s="379">
        <f>ROUND(SUMIFS(BS_RE33!$H$7:$H$874,BS_RE33!$S$7:$S$874,$AY$2,BS_RE33!$N$7:$N$874,I16,BS_RE33!$P$7:$P$874,'30 days CF Table(ALL)'!G16),2)</f>
        <v>0</v>
      </c>
      <c r="AZ16" s="379">
        <f>ROUND(SUMIFS(BS_RE33!$H$7:$H$874,BS_RE33!$S$7:$S$874,$AZ$2,BS_RE33!$N$7:$N$874,I16,BS_RE33!$P$7:$P$874,'30 days CF Table(ALL)'!G16),2)</f>
        <v>0</v>
      </c>
      <c r="BA16" s="379">
        <f>ROUND(SUMIFS(BS_RE33!$H$7:$H$874,BS_RE33!$S$7:$S$874,$BA$2,BS_RE33!$N$7:$N$874,I16,BS_RE33!$P$7:$P$874,'30 days CF Table(ALL)'!G16),2)</f>
        <v>0</v>
      </c>
      <c r="BB16" s="379">
        <f>ROUND(SUMIFS(BS_RE33!$H$7:$H$874,BS_RE33!$S$7:$S$874,$BB$2,BS_RE33!$N$7:$N$874,I16,BS_RE33!$P$7:$P$874,'30 days CF Table(ALL)'!G16),2)</f>
        <v>0</v>
      </c>
      <c r="BC16" s="379">
        <f>ROUND(SUMIFS(BS_RE33!$H$7:$H$874,BS_RE33!$S$7:$S$874,$BC$2,BS_RE33!$N$7:$N$874,I16,BS_RE33!$P$7:$P$874,'30 days CF Table(ALL)'!G16),2)</f>
        <v>0</v>
      </c>
      <c r="BD16" s="379">
        <f>ROUND(SUMIFS(BS_RE33!$H$7:$H$874,BS_RE33!$S$7:$S$874,$BD$2,BS_RE33!$N$7:$N$874,I16,BS_RE33!$P$7:$P$874,'30 days CF Table(ALL)'!G16),2)</f>
        <v>0</v>
      </c>
      <c r="BE16" s="379">
        <f>ROUND(SUMIFS(BS_RE33!$H$7:$H$874,BS_RE33!$S$7:$S$874,$BE$2,BS_RE33!$N$7:$N$874,I16,BS_RE33!$P$7:$P$874,'30 days CF Table(ALL)'!G16),2)</f>
        <v>0</v>
      </c>
      <c r="BF16" s="379">
        <f>ROUND(SUMIFS(BS_RE33!$H$7:$H$874,BS_RE33!$S$7:$S$874,$BF$2,BS_RE33!$N$7:$N$874,I16,BS_RE33!$P$7:$P$874,'30 days CF Table(ALL)'!G16),2)</f>
        <v>0</v>
      </c>
      <c r="BG16" s="379">
        <f>ROUND(SUMIFS(BS_RE33!$H$7:$H$874,BS_RE33!$S$7:$S$874,$BG$2,BS_RE33!$N$7:$N$874,I16,BS_RE33!$P$7:$P$874,'30 days CF Table(ALL)'!G16),2)</f>
        <v>0</v>
      </c>
      <c r="BH16" s="379">
        <f>ROUND(SUMIFS(BS_RE33!$H$7:$H$874,BS_RE33!$S$7:$S$874,$BH$2,BS_RE33!$N$7:$N$874,I16,BS_RE33!$P$7:$P$874,'30 days CF Table(ALL)'!G16),2)</f>
        <v>0</v>
      </c>
      <c r="BI16" s="379">
        <f>ROUND(SUMIFS(BS_RE33!$H$7:$H$874,BS_RE33!$S$7:$S$874,$BI$2,BS_RE33!$N$7:$N$874,I16,BS_RE33!$P$7:$P$874,'30 days CF Table(ALL)'!G16),2)</f>
        <v>0</v>
      </c>
      <c r="BJ16" s="379">
        <f>ROUND(SUMIFS(BS_RE33!$H$7:$H$874,BS_RE33!$S$7:$S$874,$BJ$2,BS_RE33!$N$7:$N$874,I16,BS_RE33!$P$7:$P$874,'30 days CF Table(ALL)'!G16),2)</f>
        <v>0</v>
      </c>
      <c r="BK16" s="379">
        <f>ROUND(SUMIFS(BS_RE33!$H$7:$H$874,BS_RE33!$S$7:$S$874,$BK$2,BS_RE33!$N$7:$N$874,I16,BS_RE33!$P$7:$P$874,'30 days CF Table(ALL)'!G16),2)</f>
        <v>0</v>
      </c>
    </row>
    <row r="17" spans="1:63" s="395" customFormat="1">
      <c r="A17"/>
      <c r="B17"/>
      <c r="C17" s="1029"/>
      <c r="D17" s="1028" t="s">
        <v>744</v>
      </c>
      <c r="E17" s="310" t="s">
        <v>745</v>
      </c>
      <c r="F17" s="309"/>
      <c r="G17" s="392" t="s">
        <v>580</v>
      </c>
      <c r="H17" s="130">
        <v>1</v>
      </c>
      <c r="I17" s="305" t="s">
        <v>63</v>
      </c>
      <c r="J17" s="477">
        <f t="shared" si="3"/>
        <v>0</v>
      </c>
      <c r="K17" s="335">
        <f t="shared" si="4"/>
        <v>0</v>
      </c>
      <c r="L17" s="337">
        <f>ROUND(SUMIFS(BS_RE33!$H$7:$H$874,BS_RE33!$S$7:$S$874,$L$2,BS_RE33!$N$7:$N$874,I17,BS_RE33!$P$7:$P$874,'30 days CF Table(ALL)'!G17),2)</f>
        <v>0</v>
      </c>
      <c r="M17" s="337">
        <f>ROUND(SUMIFS(BS_RE33!$H$7:$H$874,BS_RE33!$S$7:$S$874,$M$2,BS_RE33!$N$7:$N$874,I17,BS_RE33!$P$7:$P$874,'30 days CF Table(ALL)'!G17),2)</f>
        <v>0</v>
      </c>
      <c r="N17" s="337">
        <f>ROUND(SUMIFS(BS_RE33!$H$7:$H$874,BS_RE33!$S$7:$S$874,$N$2,BS_RE33!$N$7:$N$874,I17,BS_RE33!$P$7:$P$874,'30 days CF Table(ALL)'!G17),2)</f>
        <v>0</v>
      </c>
      <c r="O17" s="337">
        <f>ROUND(SUMIFS(BS_RE33!$H$7:$H$874,BS_RE33!$S$7:$S$874,$O$2,BS_RE33!$N$7:$N$874,I17,BS_RE33!$P$7:$P$874,'30 days CF Table(ALL)'!G17),2)</f>
        <v>0</v>
      </c>
      <c r="P17" s="337">
        <f>ROUND(SUMIFS(BS_RE33!$H$7:$H$874,BS_RE33!$S$7:$S$874,$P$2,BS_RE33!$N$7:$N$874,I17,BS_RE33!$P$7:$P$874,'30 days CF Table(ALL)'!G17),2)</f>
        <v>0</v>
      </c>
      <c r="Q17" s="337">
        <f>ROUND(SUMIFS(BS_RE33!$H$7:$H$874,BS_RE33!$S$7:$S$874,$Q$2,BS_RE33!$N$7:$N$874,I17,BS_RE33!$P$7:$P$874,'30 days CF Table(ALL)'!G17),2)</f>
        <v>0</v>
      </c>
      <c r="R17" s="337">
        <f>ROUND(SUMIFS(BS_RE33!$H$7:$H$874,BS_RE33!$S$7:$S$874,$R$2,BS_RE33!$N$7:$N$874,I17,BS_RE33!$P$7:$P$874,'30 days CF Table(ALL)'!G17),2)</f>
        <v>0</v>
      </c>
      <c r="S17" s="337">
        <f>ROUND(SUMIFS(BS_RE33!$H$7:$H$874,BS_RE33!$S$7:$S$874,$S$2,BS_RE33!$N$7:$N$874,I17,BS_RE33!$P$7:$P$874,'30 days CF Table(ALL)'!G17),2)</f>
        <v>0</v>
      </c>
      <c r="T17" s="337">
        <f>ROUND(SUMIFS(BS_RE33!$H$7:$H$874,BS_RE33!$S$7:$S$874,$T$2,BS_RE33!$N$7:$N$874,I17,BS_RE33!$P$7:$P$874,'30 days CF Table(ALL)'!G17),2)</f>
        <v>0</v>
      </c>
      <c r="U17" s="337">
        <f>ROUND(SUMIFS(BS_RE33!$H$7:$H$874,BS_RE33!$S$7:$S$874,$U$2,BS_RE33!$N$7:$N$874,I17,BS_RE33!$P$7:$P$874,'30 days CF Table(ALL)'!G17),2)</f>
        <v>0</v>
      </c>
      <c r="V17" s="337">
        <f>ROUND(SUMIFS(BS_RE33!$H$7:$H$874,BS_RE33!$S$7:$S$874,$V$2,BS_RE33!$N$7:$N$874,I17,BS_RE33!$P$7:$P$874,'30 days CF Table(ALL)'!G17),2)</f>
        <v>0</v>
      </c>
      <c r="W17" s="337">
        <f>ROUND(SUMIFS(BS_RE33!$H$7:$H$874,BS_RE33!$S$7:$S$874,$W$2,BS_RE33!$N$7:$N$874,I17,BS_RE33!$P$7:$P$874,'30 days CF Table(ALL)'!G17),2)</f>
        <v>0</v>
      </c>
      <c r="X17" s="337">
        <f>ROUND(SUMIFS(BS_RE33!$H$7:$H$874,BS_RE33!$S$7:$S$874,$X$2,BS_RE33!$N$7:$N$874,I17,BS_RE33!$P$7:$P$874,'30 days CF Table(ALL)'!G17),2)</f>
        <v>0</v>
      </c>
      <c r="Y17" s="337">
        <f>ROUND(SUMIFS(BS_RE33!$H$7:$H$874,BS_RE33!$S$7:$S$874,$Y$2,BS_RE33!$N$7:$N$874,I17,BS_RE33!$P$7:$P$874,'30 days CF Table(ALL)'!G17),2)</f>
        <v>0</v>
      </c>
      <c r="Z17" s="337">
        <f>ROUND(SUMIFS(BS_RE33!$H$7:$H$874,BS_RE33!$S$7:$S$874,$Z$2,BS_RE33!$N$7:$N$874,I17,BS_RE33!$P$7:$P$874,'30 days CF Table(ALL)'!G17),2)</f>
        <v>0</v>
      </c>
      <c r="AA17" s="337">
        <f>ROUND(SUMIFS(BS_RE33!$H$7:$H$874,BS_RE33!$S$7:$S$874,$AA$2,BS_RE33!$N$7:$N$874,I17,BS_RE33!$P$7:$P$874,'30 days CF Table(ALL)'!G17),2)</f>
        <v>0</v>
      </c>
      <c r="AB17" s="337">
        <f>ROUND(SUMIFS(BS_RE33!$H$7:$H$874,BS_RE33!$S$7:$S$874,$AB$2,BS_RE33!$N$7:$N$874,I17,BS_RE33!$P$7:$P$874,'30 days CF Table(ALL)'!G17),2)</f>
        <v>0</v>
      </c>
      <c r="AC17" s="337">
        <f>ROUND(SUMIFS(BS_RE33!$H$7:$H$874,BS_RE33!$S$7:$S$874,$AC$2,BS_RE33!$N$7:$N$874,I17,BS_RE33!$P$7:$P$874,'30 days CF Table(ALL)'!G17),2)</f>
        <v>0</v>
      </c>
      <c r="AD17" s="337">
        <f>ROUND(SUMIFS(BS_RE33!$H$7:$H$874,BS_RE33!$S$7:$S$874,$AD$2,BS_RE33!$N$7:$N$874,I17,BS_RE33!$P$7:$P$874,'30 days CF Table(ALL)'!G17),2)</f>
        <v>0</v>
      </c>
      <c r="AE17" s="337">
        <f>ROUND(SUMIFS(BS_RE33!$H$7:$H$874,BS_RE33!$S$7:$S$874,$AE$2,BS_RE33!$N$7:$N$874,I17,BS_RE33!$P$7:$P$874,'30 days CF Table(ALL)'!G17),2)</f>
        <v>0</v>
      </c>
      <c r="AF17" s="337">
        <f>ROUND(SUMIFS(BS_RE33!$H$7:$H$874,BS_RE33!$S$7:$S$874,$AF$2,BS_RE33!$N$7:$N$874,I17,BS_RE33!$P$7:$P$874,'30 days CF Table(ALL)'!G17),2)</f>
        <v>0</v>
      </c>
      <c r="AG17" s="337">
        <f>ROUND(SUMIFS(BS_RE33!$H$7:$H$874,BS_RE33!$S$7:$S$874,$AG$2,BS_RE33!$N$7:$N$874,I17,BS_RE33!$P$7:$P$874,'30 days CF Table(ALL)'!G17),2)</f>
        <v>0</v>
      </c>
      <c r="AH17" s="337">
        <f>ROUND(SUMIFS(BS_RE33!$H$7:$H$874,BS_RE33!$S$7:$S$874,$AH$2,BS_RE33!$N$7:$N$874,I17,BS_RE33!$P$7:$P$874,'30 days CF Table(ALL)'!G17),2)</f>
        <v>0</v>
      </c>
      <c r="AI17" s="337">
        <f>ROUND(SUMIFS(BS_RE33!$H$7:$H$874,BS_RE33!$S$7:$S$874,$AI$2,BS_RE33!$N$7:$N$874,I17,BS_RE33!$P$7:$P$874,'30 days CF Table(ALL)'!G17),2)</f>
        <v>0</v>
      </c>
      <c r="AJ17" s="337">
        <f>ROUND(SUMIFS(BS_RE33!$H$7:$H$874,BS_RE33!$S$7:$S$874,$AJ$2,BS_RE33!$N$7:$N$874,I17,BS_RE33!$P$7:$P$874,'30 days CF Table(ALL)'!G17),2)</f>
        <v>0</v>
      </c>
      <c r="AK17" s="337">
        <f>ROUND(SUMIFS(BS_RE33!$H$7:$H$874,BS_RE33!$S$7:$S$874,$AK$2,BS_RE33!$N$7:$N$874,I17,BS_RE33!$P$7:$P$874,'30 days CF Table(ALL)'!G17),2)</f>
        <v>0</v>
      </c>
      <c r="AL17" s="337">
        <f>ROUND(SUMIFS(BS_RE33!$H$7:$H$874,BS_RE33!$S$7:$S$874,$AL$2,BS_RE33!$N$7:$N$874,I17,BS_RE33!$P$7:$P$874,'30 days CF Table(ALL)'!G17),2)</f>
        <v>0</v>
      </c>
      <c r="AM17" s="337">
        <f>ROUND(SUMIFS(BS_RE33!$H$7:$H$874,BS_RE33!$S$7:$S$874,$AM$2,BS_RE33!$N$7:$N$874,I17,BS_RE33!$P$7:$P$874,'30 days CF Table(ALL)'!G17),2)</f>
        <v>0</v>
      </c>
      <c r="AN17" s="337">
        <f>ROUND(SUMIFS(BS_RE33!$H$7:$H$874,BS_RE33!$S$7:$S$874,$AN$2,BS_RE33!$N$7:$N$874,I17,BS_RE33!$P$7:$P$874,'30 days CF Table(ALL)'!G17),2)</f>
        <v>0</v>
      </c>
      <c r="AO17" s="337">
        <f>ROUND(SUMIFS(BS_RE33!$H$7:$H$874,BS_RE33!$S$7:$S$874,$AO$2,BS_RE33!$N$7:$N$874,I17,BS_RE33!$P$7:$P$874,'30 days CF Table(ALL)'!G17),2)</f>
        <v>0</v>
      </c>
      <c r="AP17" s="338">
        <f>ROUND(SUMIFS(BS_RE33!$H$7:$H$874,BS_RE33!$S$7:$S$874,$AP$2,BS_RE33!$N$7:$N$874,I17,BS_RE33!$P$7:$P$874,'30 days CF Table(ALL)'!G17),2)</f>
        <v>0</v>
      </c>
      <c r="AQ17" s="545"/>
      <c r="AR17" s="379">
        <f>ROUND(SUMIFS(BS_RE33!$H$7:$H$874,BS_RE33!$S$7:$S$874,$AR$2,BS_RE33!$N$7:$N$874,I17,BS_RE33!$P$7:$P$874,'30 days CF Table(ALL)'!G17),2)</f>
        <v>0</v>
      </c>
      <c r="AS17" s="379">
        <f>ROUND(SUMIFS(BS_RE33!$H$7:$H$874,BS_RE33!$S$7:$S$874,$AS$2,BS_RE33!$N$7:$N$874,I17,BS_RE33!$P$7:$P$874,'30 days CF Table(ALL)'!G17),2)</f>
        <v>0</v>
      </c>
      <c r="AT17" s="379">
        <f>ROUND(SUMIFS(BS_RE33!$H$7:$H$874,BS_RE33!$S$7:$S$874,$AT$2,BS_RE33!$N$7:$N$874,I17,BS_RE33!$P$7:$P$874,'30 days CF Table(ALL)'!G17),2)</f>
        <v>0</v>
      </c>
      <c r="AU17" s="379">
        <f>ROUND(SUMIFS(BS_RE33!$H$7:$H$874,BS_RE33!$S$7:$S$874,$AU$2,BS_RE33!$N$7:$N$874,I17,BS_RE33!$P$7:$P$874,'30 days CF Table(ALL)'!G17),2)</f>
        <v>0</v>
      </c>
      <c r="AV17" s="379">
        <f>ROUND(SUMIFS(BS_RE33!$H$7:$H$874,BS_RE33!$S$7:$S$874,$AV$2,BS_RE33!$N$7:$N$874,I17,BS_RE33!$P$7:$P$874,'30 days CF Table(ALL)'!G17),2)</f>
        <v>0</v>
      </c>
      <c r="AW17" s="379">
        <f>ROUND(SUMIFS(BS_RE33!$H$7:$H$874,BS_RE33!$S$7:$S$874,$AW$2,BS_RE33!$N$7:$N$874,I17,BS_RE33!$P$7:$P$874,'30 days CF Table(ALL)'!G17),2)</f>
        <v>0</v>
      </c>
      <c r="AX17" s="379">
        <f>ROUND(SUMIFS(BS_RE33!$H$7:$H$874,BS_RE33!$S$7:$S$874,$AX$2,BS_RE33!$N$7:$N$874,I17,BS_RE33!$P$7:$P$874,'30 days CF Table(ALL)'!G17),2)</f>
        <v>0</v>
      </c>
      <c r="AY17" s="379">
        <f>ROUND(SUMIFS(BS_RE33!$H$7:$H$874,BS_RE33!$S$7:$S$874,$AY$2,BS_RE33!$N$7:$N$874,I17,BS_RE33!$P$7:$P$874,'30 days CF Table(ALL)'!G17),2)</f>
        <v>0</v>
      </c>
      <c r="AZ17" s="379">
        <f>ROUND(SUMIFS(BS_RE33!$H$7:$H$874,BS_RE33!$S$7:$S$874,$AZ$2,BS_RE33!$N$7:$N$874,I17,BS_RE33!$P$7:$P$874,'30 days CF Table(ALL)'!G17),2)</f>
        <v>0</v>
      </c>
      <c r="BA17" s="379">
        <f>ROUND(SUMIFS(BS_RE33!$H$7:$H$874,BS_RE33!$S$7:$S$874,$BA$2,BS_RE33!$N$7:$N$874,I17,BS_RE33!$P$7:$P$874,'30 days CF Table(ALL)'!G17),2)</f>
        <v>0</v>
      </c>
      <c r="BB17" s="379">
        <f>ROUND(SUMIFS(BS_RE33!$H$7:$H$874,BS_RE33!$S$7:$S$874,$BB$2,BS_RE33!$N$7:$N$874,I17,BS_RE33!$P$7:$P$874,'30 days CF Table(ALL)'!G17),2)</f>
        <v>0</v>
      </c>
      <c r="BC17" s="379">
        <f>ROUND(SUMIFS(BS_RE33!$H$7:$H$874,BS_RE33!$S$7:$S$874,$BC$2,BS_RE33!$N$7:$N$874,I17,BS_RE33!$P$7:$P$874,'30 days CF Table(ALL)'!G17),2)</f>
        <v>0</v>
      </c>
      <c r="BD17" s="379">
        <f>ROUND(SUMIFS(BS_RE33!$H$7:$H$874,BS_RE33!$S$7:$S$874,$BD$2,BS_RE33!$N$7:$N$874,I17,BS_RE33!$P$7:$P$874,'30 days CF Table(ALL)'!G17),2)</f>
        <v>0</v>
      </c>
      <c r="BE17" s="379">
        <f>ROUND(SUMIFS(BS_RE33!$H$7:$H$874,BS_RE33!$S$7:$S$874,$BE$2,BS_RE33!$N$7:$N$874,I17,BS_RE33!$P$7:$P$874,'30 days CF Table(ALL)'!G17),2)</f>
        <v>0</v>
      </c>
      <c r="BF17" s="379">
        <f>ROUND(SUMIFS(BS_RE33!$H$7:$H$874,BS_RE33!$S$7:$S$874,$BF$2,BS_RE33!$N$7:$N$874,I17,BS_RE33!$P$7:$P$874,'30 days CF Table(ALL)'!G17),2)</f>
        <v>0</v>
      </c>
      <c r="BG17" s="379">
        <f>ROUND(SUMIFS(BS_RE33!$H$7:$H$874,BS_RE33!$S$7:$S$874,$BG$2,BS_RE33!$N$7:$N$874,I17,BS_RE33!$P$7:$P$874,'30 days CF Table(ALL)'!G17),2)</f>
        <v>0</v>
      </c>
      <c r="BH17" s="379">
        <f>ROUND(SUMIFS(BS_RE33!$H$7:$H$874,BS_RE33!$S$7:$S$874,$BH$2,BS_RE33!$N$7:$N$874,I17,BS_RE33!$P$7:$P$874,'30 days CF Table(ALL)'!G17),2)</f>
        <v>0</v>
      </c>
      <c r="BI17" s="379">
        <f>ROUND(SUMIFS(BS_RE33!$H$7:$H$874,BS_RE33!$S$7:$S$874,$BI$2,BS_RE33!$N$7:$N$874,I17,BS_RE33!$P$7:$P$874,'30 days CF Table(ALL)'!G17),2)</f>
        <v>0</v>
      </c>
      <c r="BJ17" s="379">
        <f>ROUND(SUMIFS(BS_RE33!$H$7:$H$874,BS_RE33!$S$7:$S$874,$BJ$2,BS_RE33!$N$7:$N$874,I17,BS_RE33!$P$7:$P$874,'30 days CF Table(ALL)'!G17),2)</f>
        <v>0</v>
      </c>
      <c r="BK17" s="379">
        <f>ROUND(SUMIFS(BS_RE33!$H$7:$H$874,BS_RE33!$S$7:$S$874,$BK$2,BS_RE33!$N$7:$N$874,I17,BS_RE33!$P$7:$P$874,'30 days CF Table(ALL)'!G17),2)</f>
        <v>0</v>
      </c>
    </row>
    <row r="18" spans="1:63" s="395" customFormat="1">
      <c r="A18"/>
      <c r="B18"/>
      <c r="C18" s="1029"/>
      <c r="D18" s="1028"/>
      <c r="E18" s="310" t="s">
        <v>572</v>
      </c>
      <c r="F18" s="311"/>
      <c r="G18" s="392" t="s">
        <v>574</v>
      </c>
      <c r="H18" s="130">
        <v>1</v>
      </c>
      <c r="I18" s="305" t="s">
        <v>63</v>
      </c>
      <c r="J18" s="477">
        <f t="shared" si="3"/>
        <v>0</v>
      </c>
      <c r="K18" s="335">
        <f t="shared" si="4"/>
        <v>0</v>
      </c>
      <c r="L18" s="337">
        <f>ROUND(SUMIFS(BS_RE33!$H$7:$H$874,BS_RE33!$S$7:$S$874,$L$2,BS_RE33!$N$7:$N$874,I18,BS_RE33!$P$7:$P$874,'30 days CF Table(ALL)'!G18),2)</f>
        <v>0</v>
      </c>
      <c r="M18" s="337">
        <f>ROUND(SUMIFS(BS_RE33!$H$7:$H$874,BS_RE33!$S$7:$S$874,$M$2,BS_RE33!$N$7:$N$874,I18,BS_RE33!$P$7:$P$874,'30 days CF Table(ALL)'!G18),2)</f>
        <v>0</v>
      </c>
      <c r="N18" s="337">
        <f>ROUND(SUMIFS(BS_RE33!$H$7:$H$874,BS_RE33!$S$7:$S$874,$N$2,BS_RE33!$N$7:$N$874,I18,BS_RE33!$P$7:$P$874,'30 days CF Table(ALL)'!G18),2)</f>
        <v>0</v>
      </c>
      <c r="O18" s="337">
        <f>ROUND(SUMIFS(BS_RE33!$H$7:$H$874,BS_RE33!$S$7:$S$874,$O$2,BS_RE33!$N$7:$N$874,I18,BS_RE33!$P$7:$P$874,'30 days CF Table(ALL)'!G18),2)</f>
        <v>0</v>
      </c>
      <c r="P18" s="337">
        <f>ROUND(SUMIFS(BS_RE33!$H$7:$H$874,BS_RE33!$S$7:$S$874,$P$2,BS_RE33!$N$7:$N$874,I18,BS_RE33!$P$7:$P$874,'30 days CF Table(ALL)'!G18),2)</f>
        <v>0</v>
      </c>
      <c r="Q18" s="337">
        <f>ROUND(SUMIFS(BS_RE33!$H$7:$H$874,BS_RE33!$S$7:$S$874,$Q$2,BS_RE33!$N$7:$N$874,I18,BS_RE33!$P$7:$P$874,'30 days CF Table(ALL)'!G18),2)</f>
        <v>0</v>
      </c>
      <c r="R18" s="337">
        <f>ROUND(SUMIFS(BS_RE33!$H$7:$H$874,BS_RE33!$S$7:$S$874,$R$2,BS_RE33!$N$7:$N$874,I18,BS_RE33!$P$7:$P$874,'30 days CF Table(ALL)'!G18),2)</f>
        <v>0</v>
      </c>
      <c r="S18" s="337">
        <f>ROUND(SUMIFS(BS_RE33!$H$7:$H$874,BS_RE33!$S$7:$S$874,$S$2,BS_RE33!$N$7:$N$874,I18,BS_RE33!$P$7:$P$874,'30 days CF Table(ALL)'!G18),2)</f>
        <v>0</v>
      </c>
      <c r="T18" s="337">
        <f>ROUND(SUMIFS(BS_RE33!$H$7:$H$874,BS_RE33!$S$7:$S$874,$T$2,BS_RE33!$N$7:$N$874,I18,BS_RE33!$P$7:$P$874,'30 days CF Table(ALL)'!G18),2)</f>
        <v>0</v>
      </c>
      <c r="U18" s="337">
        <f>ROUND(SUMIFS(BS_RE33!$H$7:$H$874,BS_RE33!$S$7:$S$874,$U$2,BS_RE33!$N$7:$N$874,I18,BS_RE33!$P$7:$P$874,'30 days CF Table(ALL)'!G18),2)</f>
        <v>0</v>
      </c>
      <c r="V18" s="337">
        <f>ROUND(SUMIFS(BS_RE33!$H$7:$H$874,BS_RE33!$S$7:$S$874,$V$2,BS_RE33!$N$7:$N$874,I18,BS_RE33!$P$7:$P$874,'30 days CF Table(ALL)'!G18),2)</f>
        <v>0</v>
      </c>
      <c r="W18" s="337">
        <f>ROUND(SUMIFS(BS_RE33!$H$7:$H$874,BS_RE33!$S$7:$S$874,$W$2,BS_RE33!$N$7:$N$874,I18,BS_RE33!$P$7:$P$874,'30 days CF Table(ALL)'!G18),2)</f>
        <v>0</v>
      </c>
      <c r="X18" s="337">
        <f>ROUND(SUMIFS(BS_RE33!$H$7:$H$874,BS_RE33!$S$7:$S$874,$X$2,BS_RE33!$N$7:$N$874,I18,BS_RE33!$P$7:$P$874,'30 days CF Table(ALL)'!G18),2)</f>
        <v>0</v>
      </c>
      <c r="Y18" s="337">
        <f>ROUND(SUMIFS(BS_RE33!$H$7:$H$874,BS_RE33!$S$7:$S$874,$Y$2,BS_RE33!$N$7:$N$874,I18,BS_RE33!$P$7:$P$874,'30 days CF Table(ALL)'!G18),2)</f>
        <v>0</v>
      </c>
      <c r="Z18" s="337">
        <f>ROUND(SUMIFS(BS_RE33!$H$7:$H$874,BS_RE33!$S$7:$S$874,$Z$2,BS_RE33!$N$7:$N$874,I18,BS_RE33!$P$7:$P$874,'30 days CF Table(ALL)'!G18),2)</f>
        <v>0</v>
      </c>
      <c r="AA18" s="337">
        <f>ROUND(SUMIFS(BS_RE33!$H$7:$H$874,BS_RE33!$S$7:$S$874,$AA$2,BS_RE33!$N$7:$N$874,I18,BS_RE33!$P$7:$P$874,'30 days CF Table(ALL)'!G18),2)</f>
        <v>0</v>
      </c>
      <c r="AB18" s="337">
        <f>ROUND(SUMIFS(BS_RE33!$H$7:$H$874,BS_RE33!$S$7:$S$874,$AB$2,BS_RE33!$N$7:$N$874,I18,BS_RE33!$P$7:$P$874,'30 days CF Table(ALL)'!G18),2)</f>
        <v>0</v>
      </c>
      <c r="AC18" s="337">
        <f>ROUND(SUMIFS(BS_RE33!$H$7:$H$874,BS_RE33!$S$7:$S$874,$AC$2,BS_RE33!$N$7:$N$874,I18,BS_RE33!$P$7:$P$874,'30 days CF Table(ALL)'!G18),2)</f>
        <v>0</v>
      </c>
      <c r="AD18" s="337">
        <f>ROUND(SUMIFS(BS_RE33!$H$7:$H$874,BS_RE33!$S$7:$S$874,$AD$2,BS_RE33!$N$7:$N$874,I18,BS_RE33!$P$7:$P$874,'30 days CF Table(ALL)'!G18),2)</f>
        <v>0</v>
      </c>
      <c r="AE18" s="337">
        <f>ROUND(SUMIFS(BS_RE33!$H$7:$H$874,BS_RE33!$S$7:$S$874,$AE$2,BS_RE33!$N$7:$N$874,I18,BS_RE33!$P$7:$P$874,'30 days CF Table(ALL)'!G18),2)</f>
        <v>0</v>
      </c>
      <c r="AF18" s="337">
        <f>ROUND(SUMIFS(BS_RE33!$H$7:$H$874,BS_RE33!$S$7:$S$874,$AF$2,BS_RE33!$N$7:$N$874,I18,BS_RE33!$P$7:$P$874,'30 days CF Table(ALL)'!G18),2)</f>
        <v>0</v>
      </c>
      <c r="AG18" s="337">
        <f>ROUND(SUMIFS(BS_RE33!$H$7:$H$874,BS_RE33!$S$7:$S$874,$AG$2,BS_RE33!$N$7:$N$874,I18,BS_RE33!$P$7:$P$874,'30 days CF Table(ALL)'!G18),2)</f>
        <v>0</v>
      </c>
      <c r="AH18" s="337">
        <f>ROUND(SUMIFS(BS_RE33!$H$7:$H$874,BS_RE33!$S$7:$S$874,$AH$2,BS_RE33!$N$7:$N$874,I18,BS_RE33!$P$7:$P$874,'30 days CF Table(ALL)'!G18),2)</f>
        <v>0</v>
      </c>
      <c r="AI18" s="337">
        <f>ROUND(SUMIFS(BS_RE33!$H$7:$H$874,BS_RE33!$S$7:$S$874,$AI$2,BS_RE33!$N$7:$N$874,I18,BS_RE33!$P$7:$P$874,'30 days CF Table(ALL)'!G18),2)</f>
        <v>0</v>
      </c>
      <c r="AJ18" s="337">
        <f>ROUND(SUMIFS(BS_RE33!$H$7:$H$874,BS_RE33!$S$7:$S$874,$AJ$2,BS_RE33!$N$7:$N$874,I18,BS_RE33!$P$7:$P$874,'30 days CF Table(ALL)'!G18),2)</f>
        <v>0</v>
      </c>
      <c r="AK18" s="337">
        <f>ROUND(SUMIFS(BS_RE33!$H$7:$H$874,BS_RE33!$S$7:$S$874,$AK$2,BS_RE33!$N$7:$N$874,I18,BS_RE33!$P$7:$P$874,'30 days CF Table(ALL)'!G18),2)</f>
        <v>0</v>
      </c>
      <c r="AL18" s="337">
        <f>ROUND(SUMIFS(BS_RE33!$H$7:$H$874,BS_RE33!$S$7:$S$874,$AL$2,BS_RE33!$N$7:$N$874,I18,BS_RE33!$P$7:$P$874,'30 days CF Table(ALL)'!G18),2)</f>
        <v>0</v>
      </c>
      <c r="AM18" s="337">
        <f>ROUND(SUMIFS(BS_RE33!$H$7:$H$874,BS_RE33!$S$7:$S$874,$AM$2,BS_RE33!$N$7:$N$874,I18,BS_RE33!$P$7:$P$874,'30 days CF Table(ALL)'!G18),2)</f>
        <v>0</v>
      </c>
      <c r="AN18" s="337">
        <f>ROUND(SUMIFS(BS_RE33!$H$7:$H$874,BS_RE33!$S$7:$S$874,$AN$2,BS_RE33!$N$7:$N$874,I18,BS_RE33!$P$7:$P$874,'30 days CF Table(ALL)'!G18),2)</f>
        <v>0</v>
      </c>
      <c r="AO18" s="337">
        <f>ROUND(SUMIFS(BS_RE33!$H$7:$H$874,BS_RE33!$S$7:$S$874,$AO$2,BS_RE33!$N$7:$N$874,I18,BS_RE33!$P$7:$P$874,'30 days CF Table(ALL)'!G18),2)</f>
        <v>0</v>
      </c>
      <c r="AP18" s="338">
        <f>ROUND(SUMIFS(BS_RE33!$H$7:$H$874,BS_RE33!$S$7:$S$874,$AP$2,BS_RE33!$N$7:$N$874,I18,BS_RE33!$P$7:$P$874,'30 days CF Table(ALL)'!G18),2)</f>
        <v>0</v>
      </c>
      <c r="AQ18" s="545"/>
      <c r="AR18" s="379">
        <f>ROUND(SUMIFS(BS_RE33!$H$7:$H$874,BS_RE33!$S$7:$S$874,$AR$2,BS_RE33!$N$7:$N$874,I18,BS_RE33!$P$7:$P$874,'30 days CF Table(ALL)'!G18),2)</f>
        <v>0</v>
      </c>
      <c r="AS18" s="379">
        <f>ROUND(SUMIFS(BS_RE33!$H$7:$H$874,BS_RE33!$S$7:$S$874,$AS$2,BS_RE33!$N$7:$N$874,I18,BS_RE33!$P$7:$P$874,'30 days CF Table(ALL)'!G18),2)</f>
        <v>0</v>
      </c>
      <c r="AT18" s="379">
        <f>ROUND(SUMIFS(BS_RE33!$H$7:$H$874,BS_RE33!$S$7:$S$874,$AT$2,BS_RE33!$N$7:$N$874,I18,BS_RE33!$P$7:$P$874,'30 days CF Table(ALL)'!G18),2)</f>
        <v>0</v>
      </c>
      <c r="AU18" s="379">
        <f>ROUND(SUMIFS(BS_RE33!$H$7:$H$874,BS_RE33!$S$7:$S$874,$AU$2,BS_RE33!$N$7:$N$874,I18,BS_RE33!$P$7:$P$874,'30 days CF Table(ALL)'!G18),2)</f>
        <v>0</v>
      </c>
      <c r="AV18" s="379">
        <f>ROUND(SUMIFS(BS_RE33!$H$7:$H$874,BS_RE33!$S$7:$S$874,$AV$2,BS_RE33!$N$7:$N$874,I18,BS_RE33!$P$7:$P$874,'30 days CF Table(ALL)'!G18),2)</f>
        <v>0</v>
      </c>
      <c r="AW18" s="379">
        <f>ROUND(SUMIFS(BS_RE33!$H$7:$H$874,BS_RE33!$S$7:$S$874,$AW$2,BS_RE33!$N$7:$N$874,I18,BS_RE33!$P$7:$P$874,'30 days CF Table(ALL)'!G18),2)</f>
        <v>0</v>
      </c>
      <c r="AX18" s="379">
        <f>ROUND(SUMIFS(BS_RE33!$H$7:$H$874,BS_RE33!$S$7:$S$874,$AX$2,BS_RE33!$N$7:$N$874,I18,BS_RE33!$P$7:$P$874,'30 days CF Table(ALL)'!G18),2)</f>
        <v>0</v>
      </c>
      <c r="AY18" s="379">
        <f>ROUND(SUMIFS(BS_RE33!$H$7:$H$874,BS_RE33!$S$7:$S$874,$AY$2,BS_RE33!$N$7:$N$874,I18,BS_RE33!$P$7:$P$874,'30 days CF Table(ALL)'!G18),2)</f>
        <v>0</v>
      </c>
      <c r="AZ18" s="379">
        <f>ROUND(SUMIFS(BS_RE33!$H$7:$H$874,BS_RE33!$S$7:$S$874,$AZ$2,BS_RE33!$N$7:$N$874,I18,BS_RE33!$P$7:$P$874,'30 days CF Table(ALL)'!G18),2)</f>
        <v>0</v>
      </c>
      <c r="BA18" s="379">
        <f>ROUND(SUMIFS(BS_RE33!$H$7:$H$874,BS_RE33!$S$7:$S$874,$BA$2,BS_RE33!$N$7:$N$874,I18,BS_RE33!$P$7:$P$874,'30 days CF Table(ALL)'!G18),2)</f>
        <v>0</v>
      </c>
      <c r="BB18" s="379">
        <f>ROUND(SUMIFS(BS_RE33!$H$7:$H$874,BS_RE33!$S$7:$S$874,$BB$2,BS_RE33!$N$7:$N$874,I18,BS_RE33!$P$7:$P$874,'30 days CF Table(ALL)'!G18),2)</f>
        <v>0</v>
      </c>
      <c r="BC18" s="379">
        <f>ROUND(SUMIFS(BS_RE33!$H$7:$H$874,BS_RE33!$S$7:$S$874,$BC$2,BS_RE33!$N$7:$N$874,I18,BS_RE33!$P$7:$P$874,'30 days CF Table(ALL)'!G18),2)</f>
        <v>0</v>
      </c>
      <c r="BD18" s="379">
        <f>ROUND(SUMIFS(BS_RE33!$H$7:$H$874,BS_RE33!$S$7:$S$874,$BD$2,BS_RE33!$N$7:$N$874,I18,BS_RE33!$P$7:$P$874,'30 days CF Table(ALL)'!G18),2)</f>
        <v>0</v>
      </c>
      <c r="BE18" s="379">
        <f>ROUND(SUMIFS(BS_RE33!$H$7:$H$874,BS_RE33!$S$7:$S$874,$BE$2,BS_RE33!$N$7:$N$874,I18,BS_RE33!$P$7:$P$874,'30 days CF Table(ALL)'!G18),2)</f>
        <v>0</v>
      </c>
      <c r="BF18" s="379">
        <f>ROUND(SUMIFS(BS_RE33!$H$7:$H$874,BS_RE33!$S$7:$S$874,$BF$2,BS_RE33!$N$7:$N$874,I18,BS_RE33!$P$7:$P$874,'30 days CF Table(ALL)'!G18),2)</f>
        <v>0</v>
      </c>
      <c r="BG18" s="379">
        <f>ROUND(SUMIFS(BS_RE33!$H$7:$H$874,BS_RE33!$S$7:$S$874,$BG$2,BS_RE33!$N$7:$N$874,I18,BS_RE33!$P$7:$P$874,'30 days CF Table(ALL)'!G18),2)</f>
        <v>0</v>
      </c>
      <c r="BH18" s="379">
        <f>ROUND(SUMIFS(BS_RE33!$H$7:$H$874,BS_RE33!$S$7:$S$874,$BH$2,BS_RE33!$N$7:$N$874,I18,BS_RE33!$P$7:$P$874,'30 days CF Table(ALL)'!G18),2)</f>
        <v>0</v>
      </c>
      <c r="BI18" s="379">
        <f>ROUND(SUMIFS(BS_RE33!$H$7:$H$874,BS_RE33!$S$7:$S$874,$BI$2,BS_RE33!$N$7:$N$874,I18,BS_RE33!$P$7:$P$874,'30 days CF Table(ALL)'!G18),2)</f>
        <v>0</v>
      </c>
      <c r="BJ18" s="379">
        <f>ROUND(SUMIFS(BS_RE33!$H$7:$H$874,BS_RE33!$S$7:$S$874,$BJ$2,BS_RE33!$N$7:$N$874,I18,BS_RE33!$P$7:$P$874,'30 days CF Table(ALL)'!G18),2)</f>
        <v>0</v>
      </c>
      <c r="BK18" s="379">
        <f>ROUND(SUMIFS(BS_RE33!$H$7:$H$874,BS_RE33!$S$7:$S$874,$BK$2,BS_RE33!$N$7:$N$874,I18,BS_RE33!$P$7:$P$874,'30 days CF Table(ALL)'!G18),2)</f>
        <v>0</v>
      </c>
    </row>
    <row r="19" spans="1:63">
      <c r="C19" s="1029"/>
      <c r="D19" s="1028"/>
      <c r="E19" s="310" t="s">
        <v>71</v>
      </c>
      <c r="F19" s="309"/>
      <c r="G19" s="392" t="s">
        <v>507</v>
      </c>
      <c r="H19" s="168">
        <v>0</v>
      </c>
      <c r="I19" s="307" t="s">
        <v>167</v>
      </c>
      <c r="J19" s="478">
        <f t="shared" si="3"/>
        <v>0</v>
      </c>
      <c r="K19" s="547">
        <f t="shared" si="4"/>
        <v>0</v>
      </c>
      <c r="L19" s="337">
        <f>ROUND(SUMIFS(BS_RE33!$H$7:$H$874,BS_RE33!$S$7:$S$874,$L$2,BS_RE33!$N$7:$N$874,I19,BS_RE33!$P$7:$P$874,'30 days CF Table(ALL)'!G19),2)</f>
        <v>0</v>
      </c>
      <c r="M19" s="337">
        <f>ROUND(SUMIFS(BS_RE33!$H$7:$H$874,BS_RE33!$S$7:$S$874,$M$2,BS_RE33!$N$7:$N$874,I19,BS_RE33!$P$7:$P$874,'30 days CF Table(ALL)'!G19),2)</f>
        <v>0</v>
      </c>
      <c r="N19" s="548">
        <f>ROUND(SUMIFS(BS_RE33!$H$7:$H$874,BS_RE33!$S$7:$S$874,$N$2,BS_RE33!$N$7:$N$874,I19,BS_RE33!$P$7:$P$874,'30 days CF Table(ALL)'!G19),2)</f>
        <v>0</v>
      </c>
      <c r="O19" s="548">
        <f>ROUND(SUMIFS(BS_RE33!$H$7:$H$874,BS_RE33!$S$7:$S$874,$O$2,BS_RE33!$N$7:$N$874,I19,BS_RE33!$P$7:$P$874,'30 days CF Table(ALL)'!G19),2)</f>
        <v>0</v>
      </c>
      <c r="P19" s="548">
        <f>ROUND(SUMIFS(BS_RE33!$H$7:$H$874,BS_RE33!$S$7:$S$874,$P$2,BS_RE33!$N$7:$N$874,I19,BS_RE33!$P$7:$P$874,'30 days CF Table(ALL)'!G19),2)</f>
        <v>0</v>
      </c>
      <c r="Q19" s="548">
        <f>ROUND(SUMIFS(BS_RE33!$H$7:$H$874,BS_RE33!$S$7:$S$874,$Q$2,BS_RE33!$N$7:$N$874,I19,BS_RE33!$P$7:$P$874,'30 days CF Table(ALL)'!G19),2)</f>
        <v>0</v>
      </c>
      <c r="R19" s="548">
        <f>ROUND(SUMIFS(BS_RE33!$H$7:$H$874,BS_RE33!$S$7:$S$874,$R$2,BS_RE33!$N$7:$N$874,I19,BS_RE33!$P$7:$P$874,'30 days CF Table(ALL)'!G19),2)</f>
        <v>0</v>
      </c>
      <c r="S19" s="548">
        <f>ROUND(SUMIFS(BS_RE33!$H$7:$H$874,BS_RE33!$S$7:$S$874,$S$2,BS_RE33!$N$7:$N$874,I19,BS_RE33!$P$7:$P$874,'30 days CF Table(ALL)'!G19),2)</f>
        <v>0</v>
      </c>
      <c r="T19" s="548">
        <f>ROUND(SUMIFS(BS_RE33!$H$7:$H$874,BS_RE33!$S$7:$S$874,$T$2,BS_RE33!$N$7:$N$874,I19,BS_RE33!$P$7:$P$874,'30 days CF Table(ALL)'!G19),2)</f>
        <v>0</v>
      </c>
      <c r="U19" s="548">
        <f>ROUND(SUMIFS(BS_RE33!$H$7:$H$874,BS_RE33!$S$7:$S$874,$U$2,BS_RE33!$N$7:$N$874,I19,BS_RE33!$P$7:$P$874,'30 days CF Table(ALL)'!G19),2)</f>
        <v>0</v>
      </c>
      <c r="V19" s="548">
        <f>ROUND(SUMIFS(BS_RE33!$H$7:$H$874,BS_RE33!$S$7:$S$874,$V$2,BS_RE33!$N$7:$N$874,I19,BS_RE33!$P$7:$P$874,'30 days CF Table(ALL)'!G19),2)</f>
        <v>0</v>
      </c>
      <c r="W19" s="548">
        <f>ROUND(SUMIFS(BS_RE33!$H$7:$H$874,BS_RE33!$S$7:$S$874,$W$2,BS_RE33!$N$7:$N$874,I19,BS_RE33!$P$7:$P$874,'30 days CF Table(ALL)'!G19),2)</f>
        <v>0</v>
      </c>
      <c r="X19" s="548">
        <f>ROUND(SUMIFS(BS_RE33!$H$7:$H$874,BS_RE33!$S$7:$S$874,$X$2,BS_RE33!$N$7:$N$874,I19,BS_RE33!$P$7:$P$874,'30 days CF Table(ALL)'!G19),2)</f>
        <v>0</v>
      </c>
      <c r="Y19" s="548">
        <f>ROUND(SUMIFS(BS_RE33!$H$7:$H$874,BS_RE33!$S$7:$S$874,$Y$2,BS_RE33!$N$7:$N$874,I19,BS_RE33!$P$7:$P$874,'30 days CF Table(ALL)'!G19),2)</f>
        <v>0</v>
      </c>
      <c r="Z19" s="548">
        <f>ROUND(SUMIFS(BS_RE33!$H$7:$H$874,BS_RE33!$S$7:$S$874,$Z$2,BS_RE33!$N$7:$N$874,I19,BS_RE33!$P$7:$P$874,'30 days CF Table(ALL)'!G19),2)</f>
        <v>0</v>
      </c>
      <c r="AA19" s="548">
        <f>ROUND(SUMIFS(BS_RE33!$H$7:$H$874,BS_RE33!$S$7:$S$874,$AA$2,BS_RE33!$N$7:$N$874,I19,BS_RE33!$P$7:$P$874,'30 days CF Table(ALL)'!G19),2)</f>
        <v>0</v>
      </c>
      <c r="AB19" s="548">
        <f>ROUND(SUMIFS(BS_RE33!$H$7:$H$874,BS_RE33!$S$7:$S$874,$AB$2,BS_RE33!$N$7:$N$874,I19,BS_RE33!$P$7:$P$874,'30 days CF Table(ALL)'!G19),2)</f>
        <v>0</v>
      </c>
      <c r="AC19" s="548">
        <f>ROUND(SUMIFS(BS_RE33!$H$7:$H$874,BS_RE33!$S$7:$S$874,$AC$2,BS_RE33!$N$7:$N$874,I19,BS_RE33!$P$7:$P$874,'30 days CF Table(ALL)'!G19),2)</f>
        <v>0</v>
      </c>
      <c r="AD19" s="548">
        <f>ROUND(SUMIFS(BS_RE33!$H$7:$H$874,BS_RE33!$S$7:$S$874,$AD$2,BS_RE33!$N$7:$N$874,I19,BS_RE33!$P$7:$P$874,'30 days CF Table(ALL)'!G19),2)</f>
        <v>0</v>
      </c>
      <c r="AE19" s="548">
        <f>ROUND(SUMIFS(BS_RE33!$H$7:$H$874,BS_RE33!$S$7:$S$874,$AE$2,BS_RE33!$N$7:$N$874,I19,BS_RE33!$P$7:$P$874,'30 days CF Table(ALL)'!G19),2)</f>
        <v>0</v>
      </c>
      <c r="AF19" s="548">
        <f>ROUND(SUMIFS(BS_RE33!$H$7:$H$874,BS_RE33!$S$7:$S$874,$AF$2,BS_RE33!$N$7:$N$874,I19,BS_RE33!$P$7:$P$874,'30 days CF Table(ALL)'!G19),2)</f>
        <v>0</v>
      </c>
      <c r="AG19" s="548">
        <f>ROUND(SUMIFS(BS_RE33!$H$7:$H$874,BS_RE33!$S$7:$S$874,$AG$2,BS_RE33!$N$7:$N$874,I19,BS_RE33!$P$7:$P$874,'30 days CF Table(ALL)'!G19),2)</f>
        <v>0</v>
      </c>
      <c r="AH19" s="548">
        <f>ROUND(SUMIFS(BS_RE33!$H$7:$H$874,BS_RE33!$S$7:$S$874,$AH$2,BS_RE33!$N$7:$N$874,I19,BS_RE33!$P$7:$P$874,'30 days CF Table(ALL)'!G19),2)</f>
        <v>0</v>
      </c>
      <c r="AI19" s="548">
        <f>ROUND(SUMIFS(BS_RE33!$H$7:$H$874,BS_RE33!$S$7:$S$874,$AI$2,BS_RE33!$N$7:$N$874,I19,BS_RE33!$P$7:$P$874,'30 days CF Table(ALL)'!G19),2)</f>
        <v>0</v>
      </c>
      <c r="AJ19" s="548">
        <f>ROUND(SUMIFS(BS_RE33!$H$7:$H$874,BS_RE33!$S$7:$S$874,$AJ$2,BS_RE33!$N$7:$N$874,I19,BS_RE33!$P$7:$P$874,'30 days CF Table(ALL)'!G19),2)</f>
        <v>0</v>
      </c>
      <c r="AK19" s="548">
        <f>ROUND(SUMIFS(BS_RE33!$H$7:$H$874,BS_RE33!$S$7:$S$874,$AK$2,BS_RE33!$N$7:$N$874,I19,BS_RE33!$P$7:$P$874,'30 days CF Table(ALL)'!G19),2)</f>
        <v>0</v>
      </c>
      <c r="AL19" s="548">
        <f>ROUND(SUMIFS(BS_RE33!$H$7:$H$874,BS_RE33!$S$7:$S$874,$AL$2,BS_RE33!$N$7:$N$874,I19,BS_RE33!$P$7:$P$874,'30 days CF Table(ALL)'!G19),2)</f>
        <v>0</v>
      </c>
      <c r="AM19" s="548">
        <f>ROUND(SUMIFS(BS_RE33!$H$7:$H$874,BS_RE33!$S$7:$S$874,$AM$2,BS_RE33!$N$7:$N$874,I19,BS_RE33!$P$7:$P$874,'30 days CF Table(ALL)'!G19),2)</f>
        <v>0</v>
      </c>
      <c r="AN19" s="548">
        <f>ROUND(SUMIFS(BS_RE33!$H$7:$H$874,BS_RE33!$S$7:$S$874,$AN$2,BS_RE33!$N$7:$N$874,I19,BS_RE33!$P$7:$P$874,'30 days CF Table(ALL)'!G19),2)</f>
        <v>0</v>
      </c>
      <c r="AO19" s="548">
        <f>ROUND(SUMIFS(BS_RE33!$H$7:$H$874,BS_RE33!$S$7:$S$874,$AO$2,BS_RE33!$N$7:$N$874,I19,BS_RE33!$P$7:$P$874,'30 days CF Table(ALL)'!G19),2)</f>
        <v>0</v>
      </c>
      <c r="AP19" s="549">
        <f>ROUND(SUMIFS(BS_RE33!$H$7:$H$874,BS_RE33!$S$7:$S$874,$AP$2,BS_RE33!$N$7:$N$874,I19,BS_RE33!$P$7:$P$874,'30 days CF Table(ALL)'!G19),2)</f>
        <v>0</v>
      </c>
      <c r="AQ19" s="550"/>
      <c r="AR19" s="380">
        <f>ROUND(SUMIFS(BS_RE33!$H$7:$H$874,BS_RE33!$S$7:$S$874,$AR$2,BS_RE33!$N$7:$N$874,I19,BS_RE33!$P$7:$P$874,'30 days CF Table(ALL)'!G19),2)</f>
        <v>0</v>
      </c>
      <c r="AS19" s="380">
        <f>ROUND(SUMIFS(BS_RE33!$H$7:$H$874,BS_RE33!$S$7:$S$874,$AS$2,BS_RE33!$N$7:$N$874,I19,BS_RE33!$P$7:$P$874,'30 days CF Table(ALL)'!G19),2)</f>
        <v>0</v>
      </c>
      <c r="AT19" s="380">
        <f>ROUND(SUMIFS(BS_RE33!$H$7:$H$874,BS_RE33!$S$7:$S$874,$AT$2,BS_RE33!$N$7:$N$874,I19,BS_RE33!$P$7:$P$874,'30 days CF Table(ALL)'!G19),2)</f>
        <v>0</v>
      </c>
      <c r="AU19" s="380">
        <f>ROUND(SUMIFS(BS_RE33!$H$7:$H$874,BS_RE33!$S$7:$S$874,$AU$2,BS_RE33!$N$7:$N$874,I19,BS_RE33!$P$7:$P$874,'30 days CF Table(ALL)'!G19),2)</f>
        <v>0</v>
      </c>
      <c r="AV19" s="380">
        <f>ROUND(SUMIFS(BS_RE33!$H$7:$H$874,BS_RE33!$S$7:$S$874,$AV$2,BS_RE33!$N$7:$N$874,I19,BS_RE33!$P$7:$P$874,'30 days CF Table(ALL)'!G19),2)</f>
        <v>0</v>
      </c>
      <c r="AW19" s="380">
        <f>ROUND(SUMIFS(BS_RE33!$H$7:$H$874,BS_RE33!$S$7:$S$874,$AW$2,BS_RE33!$N$7:$N$874,I19,BS_RE33!$P$7:$P$874,'30 days CF Table(ALL)'!G19),2)</f>
        <v>0</v>
      </c>
      <c r="AX19" s="380">
        <f>ROUND(SUMIFS(BS_RE33!$H$7:$H$874,BS_RE33!$S$7:$S$874,$AX$2,BS_RE33!$N$7:$N$874,I19,BS_RE33!$P$7:$P$874,'30 days CF Table(ALL)'!G19),2)</f>
        <v>0</v>
      </c>
      <c r="AY19" s="380">
        <f>ROUND(SUMIFS(BS_RE33!$H$7:$H$874,BS_RE33!$S$7:$S$874,$AY$2,BS_RE33!$N$7:$N$874,I19,BS_RE33!$P$7:$P$874,'30 days CF Table(ALL)'!G19),2)</f>
        <v>0</v>
      </c>
      <c r="AZ19" s="380">
        <f>ROUND(SUMIFS(BS_RE33!$H$7:$H$874,BS_RE33!$S$7:$S$874,$AZ$2,BS_RE33!$N$7:$N$874,I19,BS_RE33!$P$7:$P$874,'30 days CF Table(ALL)'!G19),2)</f>
        <v>0</v>
      </c>
      <c r="BA19" s="380">
        <f>ROUND(SUMIFS(BS_RE33!$H$7:$H$874,BS_RE33!$S$7:$S$874,$BA$2,BS_RE33!$N$7:$N$874,I19,BS_RE33!$P$7:$P$874,'30 days CF Table(ALL)'!G19),2)</f>
        <v>0</v>
      </c>
      <c r="BB19" s="380">
        <f>ROUND(SUMIFS(BS_RE33!$H$7:$H$874,BS_RE33!$S$7:$S$874,$BB$2,BS_RE33!$N$7:$N$874,I19,BS_RE33!$P$7:$P$874,'30 days CF Table(ALL)'!G19),2)</f>
        <v>0</v>
      </c>
      <c r="BC19" s="380">
        <f>ROUND(SUMIFS(BS_RE33!$H$7:$H$874,BS_RE33!$S$7:$S$874,$BC$2,BS_RE33!$N$7:$N$874,I19,BS_RE33!$P$7:$P$874,'30 days CF Table(ALL)'!G19),2)</f>
        <v>0</v>
      </c>
      <c r="BD19" s="380">
        <f>ROUND(SUMIFS(BS_RE33!$H$7:$H$874,BS_RE33!$S$7:$S$874,$BD$2,BS_RE33!$N$7:$N$874,I19,BS_RE33!$P$7:$P$874,'30 days CF Table(ALL)'!G19),2)</f>
        <v>0</v>
      </c>
      <c r="BE19" s="380">
        <f>ROUND(SUMIFS(BS_RE33!$H$7:$H$874,BS_RE33!$S$7:$S$874,$BE$2,BS_RE33!$N$7:$N$874,I19,BS_RE33!$P$7:$P$874,'30 days CF Table(ALL)'!G19),2)</f>
        <v>0</v>
      </c>
      <c r="BF19" s="380">
        <f>ROUND(SUMIFS(BS_RE33!$H$7:$H$874,BS_RE33!$S$7:$S$874,$BF$2,BS_RE33!$N$7:$N$874,I19,BS_RE33!$P$7:$P$874,'30 days CF Table(ALL)'!G19),2)</f>
        <v>0</v>
      </c>
      <c r="BG19" s="380">
        <f>ROUND(SUMIFS(BS_RE33!$H$7:$H$874,BS_RE33!$S$7:$S$874,$BG$2,BS_RE33!$N$7:$N$874,I19,BS_RE33!$P$7:$P$874,'30 days CF Table(ALL)'!G19),2)</f>
        <v>0</v>
      </c>
      <c r="BH19" s="380">
        <f>ROUND(SUMIFS(BS_RE33!$H$7:$H$874,BS_RE33!$S$7:$S$874,$BH$2,BS_RE33!$N$7:$N$874,I19,BS_RE33!$P$7:$P$874,'30 days CF Table(ALL)'!G19),2)</f>
        <v>0</v>
      </c>
      <c r="BI19" s="380">
        <f>ROUND(SUMIFS(BS_RE33!$H$7:$H$874,BS_RE33!$S$7:$S$874,$BI$2,BS_RE33!$N$7:$N$874,I19,BS_RE33!$P$7:$P$874,'30 days CF Table(ALL)'!G19),2)</f>
        <v>0</v>
      </c>
      <c r="BJ19" s="380">
        <f>ROUND(SUMIFS(BS_RE33!$H$7:$H$874,BS_RE33!$S$7:$S$874,$BJ$2,BS_RE33!$N$7:$N$874,I19,BS_RE33!$P$7:$P$874,'30 days CF Table(ALL)'!G19),2)</f>
        <v>0</v>
      </c>
      <c r="BK19" s="380">
        <f>ROUND(SUMIFS(BS_RE33!$H$7:$H$874,BS_RE33!$S$7:$S$874,$BK$2,BS_RE33!$N$7:$N$874,I19,BS_RE33!$P$7:$P$874,'30 days CF Table(ALL)'!G19),2)</f>
        <v>0</v>
      </c>
    </row>
    <row r="20" spans="1:63">
      <c r="C20" s="1029"/>
      <c r="D20" s="1028"/>
      <c r="E20" s="310" t="s">
        <v>73</v>
      </c>
      <c r="F20" s="311"/>
      <c r="G20" s="392" t="s">
        <v>508</v>
      </c>
      <c r="H20" s="168">
        <v>0</v>
      </c>
      <c r="I20" s="307" t="s">
        <v>167</v>
      </c>
      <c r="J20" s="478">
        <f t="shared" si="3"/>
        <v>0</v>
      </c>
      <c r="K20" s="547">
        <f t="shared" si="4"/>
        <v>0</v>
      </c>
      <c r="L20" s="337">
        <f>ROUND(SUMIFS(BS_RE33!$H$7:$H$874,BS_RE33!$S$7:$S$874,$L$2,BS_RE33!$N$7:$N$874,I20,BS_RE33!$P$7:$P$874,'30 days CF Table(ALL)'!G20),2)</f>
        <v>0</v>
      </c>
      <c r="M20" s="337">
        <f>ROUND(SUMIFS(BS_RE33!$H$7:$H$874,BS_RE33!$S$7:$S$874,$M$2,BS_RE33!$N$7:$N$874,I20,BS_RE33!$P$7:$P$874,'30 days CF Table(ALL)'!G20),2)</f>
        <v>0</v>
      </c>
      <c r="N20" s="548">
        <f>ROUND(SUMIFS(BS_RE33!$H$7:$H$874,BS_RE33!$S$7:$S$874,$N$2,BS_RE33!$N$7:$N$874,I20,BS_RE33!$P$7:$P$874,'30 days CF Table(ALL)'!G20),2)</f>
        <v>0</v>
      </c>
      <c r="O20" s="548">
        <f>ROUND(SUMIFS(BS_RE33!$H$7:$H$874,BS_RE33!$S$7:$S$874,$O$2,BS_RE33!$N$7:$N$874,I20,BS_RE33!$P$7:$P$874,'30 days CF Table(ALL)'!G20),2)</f>
        <v>0</v>
      </c>
      <c r="P20" s="548">
        <f>ROUND(SUMIFS(BS_RE33!$H$7:$H$874,BS_RE33!$S$7:$S$874,$P$2,BS_RE33!$N$7:$N$874,I20,BS_RE33!$P$7:$P$874,'30 days CF Table(ALL)'!G20),2)</f>
        <v>0</v>
      </c>
      <c r="Q20" s="548">
        <f>ROUND(SUMIFS(BS_RE33!$H$7:$H$874,BS_RE33!$S$7:$S$874,$Q$2,BS_RE33!$N$7:$N$874,I20,BS_RE33!$P$7:$P$874,'30 days CF Table(ALL)'!G20),2)</f>
        <v>0</v>
      </c>
      <c r="R20" s="548">
        <f>ROUND(SUMIFS(BS_RE33!$H$7:$H$874,BS_RE33!$S$7:$S$874,$R$2,BS_RE33!$N$7:$N$874,I20,BS_RE33!$P$7:$P$874,'30 days CF Table(ALL)'!G20),2)</f>
        <v>0</v>
      </c>
      <c r="S20" s="548">
        <f>ROUND(SUMIFS(BS_RE33!$H$7:$H$874,BS_RE33!$S$7:$S$874,$S$2,BS_RE33!$N$7:$N$874,I20,BS_RE33!$P$7:$P$874,'30 days CF Table(ALL)'!G20),2)</f>
        <v>0</v>
      </c>
      <c r="T20" s="548">
        <f>ROUND(SUMIFS(BS_RE33!$H$7:$H$874,BS_RE33!$S$7:$S$874,$T$2,BS_RE33!$N$7:$N$874,I20,BS_RE33!$P$7:$P$874,'30 days CF Table(ALL)'!G20),2)</f>
        <v>0</v>
      </c>
      <c r="U20" s="548">
        <f>ROUND(SUMIFS(BS_RE33!$H$7:$H$874,BS_RE33!$S$7:$S$874,$U$2,BS_RE33!$N$7:$N$874,I20,BS_RE33!$P$7:$P$874,'30 days CF Table(ALL)'!G20),2)</f>
        <v>0</v>
      </c>
      <c r="V20" s="548">
        <f>ROUND(SUMIFS(BS_RE33!$H$7:$H$874,BS_RE33!$S$7:$S$874,$V$2,BS_RE33!$N$7:$N$874,I20,BS_RE33!$P$7:$P$874,'30 days CF Table(ALL)'!G20),2)</f>
        <v>0</v>
      </c>
      <c r="W20" s="548">
        <f>ROUND(SUMIFS(BS_RE33!$H$7:$H$874,BS_RE33!$S$7:$S$874,$W$2,BS_RE33!$N$7:$N$874,I20,BS_RE33!$P$7:$P$874,'30 days CF Table(ALL)'!G20),2)</f>
        <v>0</v>
      </c>
      <c r="X20" s="548">
        <f>ROUND(SUMIFS(BS_RE33!$H$7:$H$874,BS_RE33!$S$7:$S$874,$X$2,BS_RE33!$N$7:$N$874,I20,BS_RE33!$P$7:$P$874,'30 days CF Table(ALL)'!G20),2)</f>
        <v>0</v>
      </c>
      <c r="Y20" s="548">
        <f>ROUND(SUMIFS(BS_RE33!$H$7:$H$874,BS_RE33!$S$7:$S$874,$Y$2,BS_RE33!$N$7:$N$874,I20,BS_RE33!$P$7:$P$874,'30 days CF Table(ALL)'!G20),2)</f>
        <v>0</v>
      </c>
      <c r="Z20" s="548">
        <f>ROUND(SUMIFS(BS_RE33!$H$7:$H$874,BS_RE33!$S$7:$S$874,$Z$2,BS_RE33!$N$7:$N$874,I20,BS_RE33!$P$7:$P$874,'30 days CF Table(ALL)'!G20),2)</f>
        <v>0</v>
      </c>
      <c r="AA20" s="548">
        <f>ROUND(SUMIFS(BS_RE33!$H$7:$H$874,BS_RE33!$S$7:$S$874,$AA$2,BS_RE33!$N$7:$N$874,I20,BS_RE33!$P$7:$P$874,'30 days CF Table(ALL)'!G20),2)</f>
        <v>0</v>
      </c>
      <c r="AB20" s="548">
        <f>ROUND(SUMIFS(BS_RE33!$H$7:$H$874,BS_RE33!$S$7:$S$874,$AB$2,BS_RE33!$N$7:$N$874,I20,BS_RE33!$P$7:$P$874,'30 days CF Table(ALL)'!G20),2)</f>
        <v>0</v>
      </c>
      <c r="AC20" s="548">
        <f>ROUND(SUMIFS(BS_RE33!$H$7:$H$874,BS_RE33!$S$7:$S$874,$AC$2,BS_RE33!$N$7:$N$874,I20,BS_RE33!$P$7:$P$874,'30 days CF Table(ALL)'!G20),2)</f>
        <v>0</v>
      </c>
      <c r="AD20" s="548">
        <f>ROUND(SUMIFS(BS_RE33!$H$7:$H$874,BS_RE33!$S$7:$S$874,$AD$2,BS_RE33!$N$7:$N$874,I20,BS_RE33!$P$7:$P$874,'30 days CF Table(ALL)'!G20),2)</f>
        <v>0</v>
      </c>
      <c r="AE20" s="548">
        <f>ROUND(SUMIFS(BS_RE33!$H$7:$H$874,BS_RE33!$S$7:$S$874,$AE$2,BS_RE33!$N$7:$N$874,I20,BS_RE33!$P$7:$P$874,'30 days CF Table(ALL)'!G20),2)</f>
        <v>0</v>
      </c>
      <c r="AF20" s="548">
        <f>ROUND(SUMIFS(BS_RE33!$H$7:$H$874,BS_RE33!$S$7:$S$874,$AF$2,BS_RE33!$N$7:$N$874,I20,BS_RE33!$P$7:$P$874,'30 days CF Table(ALL)'!G20),2)</f>
        <v>0</v>
      </c>
      <c r="AG20" s="548">
        <f>ROUND(SUMIFS(BS_RE33!$H$7:$H$874,BS_RE33!$S$7:$S$874,$AG$2,BS_RE33!$N$7:$N$874,I20,BS_RE33!$P$7:$P$874,'30 days CF Table(ALL)'!G20),2)</f>
        <v>0</v>
      </c>
      <c r="AH20" s="548">
        <f>ROUND(SUMIFS(BS_RE33!$H$7:$H$874,BS_RE33!$S$7:$S$874,$AH$2,BS_RE33!$N$7:$N$874,I20,BS_RE33!$P$7:$P$874,'30 days CF Table(ALL)'!G20),2)</f>
        <v>0</v>
      </c>
      <c r="AI20" s="548">
        <f>ROUND(SUMIFS(BS_RE33!$H$7:$H$874,BS_RE33!$S$7:$S$874,$AI$2,BS_RE33!$N$7:$N$874,I20,BS_RE33!$P$7:$P$874,'30 days CF Table(ALL)'!G20),2)</f>
        <v>0</v>
      </c>
      <c r="AJ20" s="548">
        <f>ROUND(SUMIFS(BS_RE33!$H$7:$H$874,BS_RE33!$S$7:$S$874,$AJ$2,BS_RE33!$N$7:$N$874,I20,BS_RE33!$P$7:$P$874,'30 days CF Table(ALL)'!G20),2)</f>
        <v>0</v>
      </c>
      <c r="AK20" s="548">
        <f>ROUND(SUMIFS(BS_RE33!$H$7:$H$874,BS_RE33!$S$7:$S$874,$AK$2,BS_RE33!$N$7:$N$874,I20,BS_RE33!$P$7:$P$874,'30 days CF Table(ALL)'!G20),2)</f>
        <v>0</v>
      </c>
      <c r="AL20" s="548">
        <f>ROUND(SUMIFS(BS_RE33!$H$7:$H$874,BS_RE33!$S$7:$S$874,$AL$2,BS_RE33!$N$7:$N$874,I20,BS_RE33!$P$7:$P$874,'30 days CF Table(ALL)'!G20),2)</f>
        <v>0</v>
      </c>
      <c r="AM20" s="548">
        <f>ROUND(SUMIFS(BS_RE33!$H$7:$H$874,BS_RE33!$S$7:$S$874,$AM$2,BS_RE33!$N$7:$N$874,I20,BS_RE33!$P$7:$P$874,'30 days CF Table(ALL)'!G20),2)</f>
        <v>0</v>
      </c>
      <c r="AN20" s="548">
        <f>ROUND(SUMIFS(BS_RE33!$H$7:$H$874,BS_RE33!$S$7:$S$874,$AN$2,BS_RE33!$N$7:$N$874,I20,BS_RE33!$P$7:$P$874,'30 days CF Table(ALL)'!G20),2)</f>
        <v>0</v>
      </c>
      <c r="AO20" s="548">
        <f>ROUND(SUMIFS(BS_RE33!$H$7:$H$874,BS_RE33!$S$7:$S$874,$AO$2,BS_RE33!$N$7:$N$874,I20,BS_RE33!$P$7:$P$874,'30 days CF Table(ALL)'!G20),2)</f>
        <v>0</v>
      </c>
      <c r="AP20" s="549">
        <f>ROUND(SUMIFS(BS_RE33!$H$7:$H$874,BS_RE33!$S$7:$S$874,$AP$2,BS_RE33!$N$7:$N$874,I20,BS_RE33!$P$7:$P$874,'30 days CF Table(ALL)'!G20),2)</f>
        <v>0</v>
      </c>
      <c r="AQ20" s="550"/>
      <c r="AR20" s="380">
        <f>ROUND(SUMIFS(BS_RE33!$H$7:$H$874,BS_RE33!$S$7:$S$874,$AR$2,BS_RE33!$N$7:$N$874,I20,BS_RE33!$P$7:$P$874,'30 days CF Table(ALL)'!G20),2)</f>
        <v>0</v>
      </c>
      <c r="AS20" s="380">
        <f>ROUND(SUMIFS(BS_RE33!$H$7:$H$874,BS_RE33!$S$7:$S$874,$AS$2,BS_RE33!$N$7:$N$874,I20,BS_RE33!$P$7:$P$874,'30 days CF Table(ALL)'!G20),2)</f>
        <v>0</v>
      </c>
      <c r="AT20" s="380">
        <f>ROUND(SUMIFS(BS_RE33!$H$7:$H$874,BS_RE33!$S$7:$S$874,$AT$2,BS_RE33!$N$7:$N$874,I20,BS_RE33!$P$7:$P$874,'30 days CF Table(ALL)'!G20),2)</f>
        <v>0</v>
      </c>
      <c r="AU20" s="380">
        <f>ROUND(SUMIFS(BS_RE33!$H$7:$H$874,BS_RE33!$S$7:$S$874,$AU$2,BS_RE33!$N$7:$N$874,I20,BS_RE33!$P$7:$P$874,'30 days CF Table(ALL)'!G20),2)</f>
        <v>0</v>
      </c>
      <c r="AV20" s="380">
        <f>ROUND(SUMIFS(BS_RE33!$H$7:$H$874,BS_RE33!$S$7:$S$874,$AV$2,BS_RE33!$N$7:$N$874,I20,BS_RE33!$P$7:$P$874,'30 days CF Table(ALL)'!G20),2)</f>
        <v>0</v>
      </c>
      <c r="AW20" s="380">
        <f>ROUND(SUMIFS(BS_RE33!$H$7:$H$874,BS_RE33!$S$7:$S$874,$AW$2,BS_RE33!$N$7:$N$874,I20,BS_RE33!$P$7:$P$874,'30 days CF Table(ALL)'!G20),2)</f>
        <v>0</v>
      </c>
      <c r="AX20" s="380">
        <f>ROUND(SUMIFS(BS_RE33!$H$7:$H$874,BS_RE33!$S$7:$S$874,$AX$2,BS_RE33!$N$7:$N$874,I20,BS_RE33!$P$7:$P$874,'30 days CF Table(ALL)'!G20),2)</f>
        <v>0</v>
      </c>
      <c r="AY20" s="380">
        <f>ROUND(SUMIFS(BS_RE33!$H$7:$H$874,BS_RE33!$S$7:$S$874,$AY$2,BS_RE33!$N$7:$N$874,I20,BS_RE33!$P$7:$P$874,'30 days CF Table(ALL)'!G20),2)</f>
        <v>0</v>
      </c>
      <c r="AZ20" s="380">
        <f>ROUND(SUMIFS(BS_RE33!$H$7:$H$874,BS_RE33!$S$7:$S$874,$AZ$2,BS_RE33!$N$7:$N$874,I20,BS_RE33!$P$7:$P$874,'30 days CF Table(ALL)'!G20),2)</f>
        <v>0</v>
      </c>
      <c r="BA20" s="380">
        <f>ROUND(SUMIFS(BS_RE33!$H$7:$H$874,BS_RE33!$S$7:$S$874,$BA$2,BS_RE33!$N$7:$N$874,I20,BS_RE33!$P$7:$P$874,'30 days CF Table(ALL)'!G20),2)</f>
        <v>0</v>
      </c>
      <c r="BB20" s="380">
        <f>ROUND(SUMIFS(BS_RE33!$H$7:$H$874,BS_RE33!$S$7:$S$874,$BB$2,BS_RE33!$N$7:$N$874,I20,BS_RE33!$P$7:$P$874,'30 days CF Table(ALL)'!G20),2)</f>
        <v>0</v>
      </c>
      <c r="BC20" s="380">
        <f>ROUND(SUMIFS(BS_RE33!$H$7:$H$874,BS_RE33!$S$7:$S$874,$BC$2,BS_RE33!$N$7:$N$874,I20,BS_RE33!$P$7:$P$874,'30 days CF Table(ALL)'!G20),2)</f>
        <v>0</v>
      </c>
      <c r="BD20" s="380">
        <f>ROUND(SUMIFS(BS_RE33!$H$7:$H$874,BS_RE33!$S$7:$S$874,$BD$2,BS_RE33!$N$7:$N$874,I20,BS_RE33!$P$7:$P$874,'30 days CF Table(ALL)'!G20),2)</f>
        <v>0</v>
      </c>
      <c r="BE20" s="380">
        <f>ROUND(SUMIFS(BS_RE33!$H$7:$H$874,BS_RE33!$S$7:$S$874,$BE$2,BS_RE33!$N$7:$N$874,I20,BS_RE33!$P$7:$P$874,'30 days CF Table(ALL)'!G20),2)</f>
        <v>0</v>
      </c>
      <c r="BF20" s="380">
        <f>ROUND(SUMIFS(BS_RE33!$H$7:$H$874,BS_RE33!$S$7:$S$874,$BF$2,BS_RE33!$N$7:$N$874,I20,BS_RE33!$P$7:$P$874,'30 days CF Table(ALL)'!G20),2)</f>
        <v>0</v>
      </c>
      <c r="BG20" s="380">
        <f>ROUND(SUMIFS(BS_RE33!$H$7:$H$874,BS_RE33!$S$7:$S$874,$BG$2,BS_RE33!$N$7:$N$874,I20,BS_RE33!$P$7:$P$874,'30 days CF Table(ALL)'!G20),2)</f>
        <v>0</v>
      </c>
      <c r="BH20" s="380">
        <f>ROUND(SUMIFS(BS_RE33!$H$7:$H$874,BS_RE33!$S$7:$S$874,$BH$2,BS_RE33!$N$7:$N$874,I20,BS_RE33!$P$7:$P$874,'30 days CF Table(ALL)'!G20),2)</f>
        <v>0</v>
      </c>
      <c r="BI20" s="380">
        <f>ROUND(SUMIFS(BS_RE33!$H$7:$H$874,BS_RE33!$S$7:$S$874,$BI$2,BS_RE33!$N$7:$N$874,I20,BS_RE33!$P$7:$P$874,'30 days CF Table(ALL)'!G20),2)</f>
        <v>0</v>
      </c>
      <c r="BJ20" s="380">
        <f>ROUND(SUMIFS(BS_RE33!$H$7:$H$874,BS_RE33!$S$7:$S$874,$BJ$2,BS_RE33!$N$7:$N$874,I20,BS_RE33!$P$7:$P$874,'30 days CF Table(ALL)'!G20),2)</f>
        <v>0</v>
      </c>
      <c r="BK20" s="380">
        <f>ROUND(SUMIFS(BS_RE33!$H$7:$H$874,BS_RE33!$S$7:$S$874,$BK$2,BS_RE33!$N$7:$N$874,I20,BS_RE33!$P$7:$P$874,'30 days CF Table(ALL)'!G20),2)</f>
        <v>0</v>
      </c>
    </row>
    <row r="21" spans="1:63">
      <c r="C21" s="1029"/>
      <c r="D21" s="1028"/>
      <c r="E21" s="310" t="s">
        <v>550</v>
      </c>
      <c r="F21" s="311"/>
      <c r="G21" s="392" t="s">
        <v>746</v>
      </c>
      <c r="H21" s="168">
        <v>0</v>
      </c>
      <c r="I21" s="307" t="s">
        <v>167</v>
      </c>
      <c r="J21" s="478">
        <f t="shared" si="3"/>
        <v>0</v>
      </c>
      <c r="K21" s="547">
        <f t="shared" si="4"/>
        <v>0</v>
      </c>
      <c r="L21" s="337">
        <f>ROUND(SUMIFS(BS_RE33!$H$7:$H$874,BS_RE33!$S$7:$S$874,$L$2,BS_RE33!$N$7:$N$874,I21,BS_RE33!$P$7:$P$874,'30 days CF Table(ALL)'!G21),2)</f>
        <v>0</v>
      </c>
      <c r="M21" s="337">
        <f>ROUND(SUMIFS(BS_RE33!$H$7:$H$874,BS_RE33!$S$7:$S$874,$M$2,BS_RE33!$N$7:$N$874,I21,BS_RE33!$P$7:$P$874,'30 days CF Table(ALL)'!G21),2)</f>
        <v>0</v>
      </c>
      <c r="N21" s="548">
        <f>ROUND(SUMIFS(BS_RE33!$H$7:$H$874,BS_RE33!$S$7:$S$874,$N$2,BS_RE33!$N$7:$N$874,I21,BS_RE33!$P$7:$P$874,'30 days CF Table(ALL)'!G21),2)</f>
        <v>0</v>
      </c>
      <c r="O21" s="548">
        <f>ROUND(SUMIFS(BS_RE33!$H$7:$H$874,BS_RE33!$S$7:$S$874,$O$2,BS_RE33!$N$7:$N$874,I21,BS_RE33!$P$7:$P$874,'30 days CF Table(ALL)'!G21),2)</f>
        <v>0</v>
      </c>
      <c r="P21" s="548">
        <f>ROUND(SUMIFS(BS_RE33!$H$7:$H$874,BS_RE33!$S$7:$S$874,$P$2,BS_RE33!$N$7:$N$874,I21,BS_RE33!$P$7:$P$874,'30 days CF Table(ALL)'!G21),2)</f>
        <v>0</v>
      </c>
      <c r="Q21" s="548">
        <f>ROUND(SUMIFS(BS_RE33!$H$7:$H$874,BS_RE33!$S$7:$S$874,$Q$2,BS_RE33!$N$7:$N$874,I21,BS_RE33!$P$7:$P$874,'30 days CF Table(ALL)'!G21),2)</f>
        <v>0</v>
      </c>
      <c r="R21" s="548">
        <f>ROUND(SUMIFS(BS_RE33!$H$7:$H$874,BS_RE33!$S$7:$S$874,$R$2,BS_RE33!$N$7:$N$874,I21,BS_RE33!$P$7:$P$874,'30 days CF Table(ALL)'!G21),2)</f>
        <v>0</v>
      </c>
      <c r="S21" s="548">
        <f>ROUND(SUMIFS(BS_RE33!$H$7:$H$874,BS_RE33!$S$7:$S$874,$S$2,BS_RE33!$N$7:$N$874,I21,BS_RE33!$P$7:$P$874,'30 days CF Table(ALL)'!G21),2)</f>
        <v>0</v>
      </c>
      <c r="T21" s="548">
        <f>ROUND(SUMIFS(BS_RE33!$H$7:$H$874,BS_RE33!$S$7:$S$874,$T$2,BS_RE33!$N$7:$N$874,I21,BS_RE33!$P$7:$P$874,'30 days CF Table(ALL)'!G21),2)</f>
        <v>0</v>
      </c>
      <c r="U21" s="548">
        <f>ROUND(SUMIFS(BS_RE33!$H$7:$H$874,BS_RE33!$S$7:$S$874,$U$2,BS_RE33!$N$7:$N$874,I21,BS_RE33!$P$7:$P$874,'30 days CF Table(ALL)'!G21),2)</f>
        <v>0</v>
      </c>
      <c r="V21" s="548">
        <f>ROUND(SUMIFS(BS_RE33!$H$7:$H$874,BS_RE33!$S$7:$S$874,$V$2,BS_RE33!$N$7:$N$874,I21,BS_RE33!$P$7:$P$874,'30 days CF Table(ALL)'!G21),2)</f>
        <v>0</v>
      </c>
      <c r="W21" s="548">
        <f>ROUND(SUMIFS(BS_RE33!$H$7:$H$874,BS_RE33!$S$7:$S$874,$W$2,BS_RE33!$N$7:$N$874,I21,BS_RE33!$P$7:$P$874,'30 days CF Table(ALL)'!G21),2)</f>
        <v>0</v>
      </c>
      <c r="X21" s="548">
        <f>ROUND(SUMIFS(BS_RE33!$H$7:$H$874,BS_RE33!$S$7:$S$874,$X$2,BS_RE33!$N$7:$N$874,I21,BS_RE33!$P$7:$P$874,'30 days CF Table(ALL)'!G21),2)</f>
        <v>0</v>
      </c>
      <c r="Y21" s="548">
        <f>ROUND(SUMIFS(BS_RE33!$H$7:$H$874,BS_RE33!$S$7:$S$874,$Y$2,BS_RE33!$N$7:$N$874,I21,BS_RE33!$P$7:$P$874,'30 days CF Table(ALL)'!G21),2)</f>
        <v>0</v>
      </c>
      <c r="Z21" s="548">
        <f>ROUND(SUMIFS(BS_RE33!$H$7:$H$874,BS_RE33!$S$7:$S$874,$Z$2,BS_RE33!$N$7:$N$874,I21,BS_RE33!$P$7:$P$874,'30 days CF Table(ALL)'!G21),2)</f>
        <v>0</v>
      </c>
      <c r="AA21" s="548">
        <f>ROUND(SUMIFS(BS_RE33!$H$7:$H$874,BS_RE33!$S$7:$S$874,$AA$2,BS_RE33!$N$7:$N$874,I21,BS_RE33!$P$7:$P$874,'30 days CF Table(ALL)'!G21),2)</f>
        <v>0</v>
      </c>
      <c r="AB21" s="548">
        <f>ROUND(SUMIFS(BS_RE33!$H$7:$H$874,BS_RE33!$S$7:$S$874,$AB$2,BS_RE33!$N$7:$N$874,I21,BS_RE33!$P$7:$P$874,'30 days CF Table(ALL)'!G21),2)</f>
        <v>0</v>
      </c>
      <c r="AC21" s="548">
        <f>ROUND(SUMIFS(BS_RE33!$H$7:$H$874,BS_RE33!$S$7:$S$874,$AC$2,BS_RE33!$N$7:$N$874,I21,BS_RE33!$P$7:$P$874,'30 days CF Table(ALL)'!G21),2)</f>
        <v>0</v>
      </c>
      <c r="AD21" s="548">
        <f>ROUND(SUMIFS(BS_RE33!$H$7:$H$874,BS_RE33!$S$7:$S$874,$AD$2,BS_RE33!$N$7:$N$874,I21,BS_RE33!$P$7:$P$874,'30 days CF Table(ALL)'!G21),2)</f>
        <v>0</v>
      </c>
      <c r="AE21" s="548">
        <f>ROUND(SUMIFS(BS_RE33!$H$7:$H$874,BS_RE33!$S$7:$S$874,$AE$2,BS_RE33!$N$7:$N$874,I21,BS_RE33!$P$7:$P$874,'30 days CF Table(ALL)'!G21),2)</f>
        <v>0</v>
      </c>
      <c r="AF21" s="548">
        <f>ROUND(SUMIFS(BS_RE33!$H$7:$H$874,BS_RE33!$S$7:$S$874,$AF$2,BS_RE33!$N$7:$N$874,I21,BS_RE33!$P$7:$P$874,'30 days CF Table(ALL)'!G21),2)</f>
        <v>0</v>
      </c>
      <c r="AG21" s="548">
        <f>ROUND(SUMIFS(BS_RE33!$H$7:$H$874,BS_RE33!$S$7:$S$874,$AG$2,BS_RE33!$N$7:$N$874,I21,BS_RE33!$P$7:$P$874,'30 days CF Table(ALL)'!G21),2)</f>
        <v>0</v>
      </c>
      <c r="AH21" s="548">
        <f>ROUND(SUMIFS(BS_RE33!$H$7:$H$874,BS_RE33!$S$7:$S$874,$AH$2,BS_RE33!$N$7:$N$874,I21,BS_RE33!$P$7:$P$874,'30 days CF Table(ALL)'!G21),2)</f>
        <v>0</v>
      </c>
      <c r="AI21" s="548">
        <f>ROUND(SUMIFS(BS_RE33!$H$7:$H$874,BS_RE33!$S$7:$S$874,$AI$2,BS_RE33!$N$7:$N$874,I21,BS_RE33!$P$7:$P$874,'30 days CF Table(ALL)'!G21),2)</f>
        <v>0</v>
      </c>
      <c r="AJ21" s="548">
        <f>ROUND(SUMIFS(BS_RE33!$H$7:$H$874,BS_RE33!$S$7:$S$874,$AJ$2,BS_RE33!$N$7:$N$874,I21,BS_RE33!$P$7:$P$874,'30 days CF Table(ALL)'!G21),2)</f>
        <v>0</v>
      </c>
      <c r="AK21" s="548">
        <f>ROUND(SUMIFS(BS_RE33!$H$7:$H$874,BS_RE33!$S$7:$S$874,$AK$2,BS_RE33!$N$7:$N$874,I21,BS_RE33!$P$7:$P$874,'30 days CF Table(ALL)'!G21),2)</f>
        <v>0</v>
      </c>
      <c r="AL21" s="548">
        <f>ROUND(SUMIFS(BS_RE33!$H$7:$H$874,BS_RE33!$S$7:$S$874,$AL$2,BS_RE33!$N$7:$N$874,I21,BS_RE33!$P$7:$P$874,'30 days CF Table(ALL)'!G21),2)</f>
        <v>0</v>
      </c>
      <c r="AM21" s="548">
        <f>ROUND(SUMIFS(BS_RE33!$H$7:$H$874,BS_RE33!$S$7:$S$874,$AM$2,BS_RE33!$N$7:$N$874,I21,BS_RE33!$P$7:$P$874,'30 days CF Table(ALL)'!G21),2)</f>
        <v>0</v>
      </c>
      <c r="AN21" s="548">
        <f>ROUND(SUMIFS(BS_RE33!$H$7:$H$874,BS_RE33!$S$7:$S$874,$AN$2,BS_RE33!$N$7:$N$874,I21,BS_RE33!$P$7:$P$874,'30 days CF Table(ALL)'!G21),2)</f>
        <v>0</v>
      </c>
      <c r="AO21" s="548">
        <f>ROUND(SUMIFS(BS_RE33!$H$7:$H$874,BS_RE33!$S$7:$S$874,$AO$2,BS_RE33!$N$7:$N$874,I21,BS_RE33!$P$7:$P$874,'30 days CF Table(ALL)'!G21),2)</f>
        <v>0</v>
      </c>
      <c r="AP21" s="549">
        <f>ROUND(SUMIFS(BS_RE33!$H$7:$H$874,BS_RE33!$S$7:$S$874,$AP$2,BS_RE33!$N$7:$N$874,I21,BS_RE33!$P$7:$P$874,'30 days CF Table(ALL)'!G21),2)</f>
        <v>0</v>
      </c>
      <c r="AQ21" s="550"/>
      <c r="AR21" s="380">
        <f>ROUND(SUMIFS(BS_RE33!$H$7:$H$874,BS_RE33!$S$7:$S$874,$AR$2,BS_RE33!$N$7:$N$874,I21,BS_RE33!$P$7:$P$874,'30 days CF Table(ALL)'!G21),2)</f>
        <v>0</v>
      </c>
      <c r="AS21" s="380">
        <f>ROUND(SUMIFS(BS_RE33!$H$7:$H$874,BS_RE33!$S$7:$S$874,$AS$2,BS_RE33!$N$7:$N$874,I21,BS_RE33!$P$7:$P$874,'30 days CF Table(ALL)'!G21),2)</f>
        <v>0</v>
      </c>
      <c r="AT21" s="380">
        <f>ROUND(SUMIFS(BS_RE33!$H$7:$H$874,BS_RE33!$S$7:$S$874,$AT$2,BS_RE33!$N$7:$N$874,I21,BS_RE33!$P$7:$P$874,'30 days CF Table(ALL)'!G21),2)</f>
        <v>0</v>
      </c>
      <c r="AU21" s="380">
        <f>ROUND(SUMIFS(BS_RE33!$H$7:$H$874,BS_RE33!$S$7:$S$874,$AU$2,BS_RE33!$N$7:$N$874,I21,BS_RE33!$P$7:$P$874,'30 days CF Table(ALL)'!G21),2)</f>
        <v>0</v>
      </c>
      <c r="AV21" s="380">
        <f>ROUND(SUMIFS(BS_RE33!$H$7:$H$874,BS_RE33!$S$7:$S$874,$AV$2,BS_RE33!$N$7:$N$874,I21,BS_RE33!$P$7:$P$874,'30 days CF Table(ALL)'!G21),2)</f>
        <v>0</v>
      </c>
      <c r="AW21" s="380">
        <f>ROUND(SUMIFS(BS_RE33!$H$7:$H$874,BS_RE33!$S$7:$S$874,$AW$2,BS_RE33!$N$7:$N$874,I21,BS_RE33!$P$7:$P$874,'30 days CF Table(ALL)'!G21),2)</f>
        <v>0</v>
      </c>
      <c r="AX21" s="380">
        <f>ROUND(SUMIFS(BS_RE33!$H$7:$H$874,BS_RE33!$S$7:$S$874,$AX$2,BS_RE33!$N$7:$N$874,I21,BS_RE33!$P$7:$P$874,'30 days CF Table(ALL)'!G21),2)</f>
        <v>0</v>
      </c>
      <c r="AY21" s="380">
        <f>ROUND(SUMIFS(BS_RE33!$H$7:$H$874,BS_RE33!$S$7:$S$874,$AY$2,BS_RE33!$N$7:$N$874,I21,BS_RE33!$P$7:$P$874,'30 days CF Table(ALL)'!G21),2)</f>
        <v>0</v>
      </c>
      <c r="AZ21" s="380">
        <f>ROUND(SUMIFS(BS_RE33!$H$7:$H$874,BS_RE33!$S$7:$S$874,$AZ$2,BS_RE33!$N$7:$N$874,I21,BS_RE33!$P$7:$P$874,'30 days CF Table(ALL)'!G21),2)</f>
        <v>0</v>
      </c>
      <c r="BA21" s="380">
        <f>ROUND(SUMIFS(BS_RE33!$H$7:$H$874,BS_RE33!$S$7:$S$874,$BA$2,BS_RE33!$N$7:$N$874,I21,BS_RE33!$P$7:$P$874,'30 days CF Table(ALL)'!G21),2)</f>
        <v>0</v>
      </c>
      <c r="BB21" s="380">
        <f>ROUND(SUMIFS(BS_RE33!$H$7:$H$874,BS_RE33!$S$7:$S$874,$BB$2,BS_RE33!$N$7:$N$874,I21,BS_RE33!$P$7:$P$874,'30 days CF Table(ALL)'!G21),2)</f>
        <v>0</v>
      </c>
      <c r="BC21" s="380">
        <f>ROUND(SUMIFS(BS_RE33!$H$7:$H$874,BS_RE33!$S$7:$S$874,$BC$2,BS_RE33!$N$7:$N$874,I21,BS_RE33!$P$7:$P$874,'30 days CF Table(ALL)'!G21),2)</f>
        <v>0</v>
      </c>
      <c r="BD21" s="380">
        <f>ROUND(SUMIFS(BS_RE33!$H$7:$H$874,BS_RE33!$S$7:$S$874,$BD$2,BS_RE33!$N$7:$N$874,I21,BS_RE33!$P$7:$P$874,'30 days CF Table(ALL)'!G21),2)</f>
        <v>0</v>
      </c>
      <c r="BE21" s="380">
        <f>ROUND(SUMIFS(BS_RE33!$H$7:$H$874,BS_RE33!$S$7:$S$874,$BE$2,BS_RE33!$N$7:$N$874,I21,BS_RE33!$P$7:$P$874,'30 days CF Table(ALL)'!G21),2)</f>
        <v>0</v>
      </c>
      <c r="BF21" s="380">
        <f>ROUND(SUMIFS(BS_RE33!$H$7:$H$874,BS_RE33!$S$7:$S$874,$BF$2,BS_RE33!$N$7:$N$874,I21,BS_RE33!$P$7:$P$874,'30 days CF Table(ALL)'!G21),2)</f>
        <v>0</v>
      </c>
      <c r="BG21" s="380">
        <f>ROUND(SUMIFS(BS_RE33!$H$7:$H$874,BS_RE33!$S$7:$S$874,$BG$2,BS_RE33!$N$7:$N$874,I21,BS_RE33!$P$7:$P$874,'30 days CF Table(ALL)'!G21),2)</f>
        <v>0</v>
      </c>
      <c r="BH21" s="380">
        <f>ROUND(SUMIFS(BS_RE33!$H$7:$H$874,BS_RE33!$S$7:$S$874,$BH$2,BS_RE33!$N$7:$N$874,I21,BS_RE33!$P$7:$P$874,'30 days CF Table(ALL)'!G21),2)</f>
        <v>0</v>
      </c>
      <c r="BI21" s="380">
        <f>ROUND(SUMIFS(BS_RE33!$H$7:$H$874,BS_RE33!$S$7:$S$874,$BI$2,BS_RE33!$N$7:$N$874,I21,BS_RE33!$P$7:$P$874,'30 days CF Table(ALL)'!G21),2)</f>
        <v>0</v>
      </c>
      <c r="BJ21" s="380">
        <f>ROUND(SUMIFS(BS_RE33!$H$7:$H$874,BS_RE33!$S$7:$S$874,$BJ$2,BS_RE33!$N$7:$N$874,I21,BS_RE33!$P$7:$P$874,'30 days CF Table(ALL)'!G21),2)</f>
        <v>0</v>
      </c>
      <c r="BK21" s="380">
        <f>ROUND(SUMIFS(BS_RE33!$H$7:$H$874,BS_RE33!$S$7:$S$874,$BK$2,BS_RE33!$N$7:$N$874,I21,BS_RE33!$P$7:$P$874,'30 days CF Table(ALL)'!G21),2)</f>
        <v>0</v>
      </c>
    </row>
    <row r="22" spans="1:63" ht="20.25">
      <c r="C22" s="1027" t="s">
        <v>747</v>
      </c>
      <c r="D22" s="308" t="s">
        <v>748</v>
      </c>
      <c r="E22" s="73" t="s">
        <v>749</v>
      </c>
      <c r="F22" s="309"/>
      <c r="G22" s="392" t="s">
        <v>509</v>
      </c>
      <c r="H22" s="130">
        <v>1</v>
      </c>
      <c r="I22" s="305" t="s">
        <v>63</v>
      </c>
      <c r="J22" s="477">
        <f t="shared" si="3"/>
        <v>0</v>
      </c>
      <c r="K22" s="335">
        <f t="shared" si="4"/>
        <v>0</v>
      </c>
      <c r="L22" s="337">
        <f>ROUND(SUMIFS(BS_RE33!$H$7:$H$874,BS_RE33!$S$7:$S$874,$L$2,BS_RE33!$N$7:$N$874,I22,BS_RE33!$P$7:$P$874,'30 days CF Table(ALL)'!G22),2)</f>
        <v>0</v>
      </c>
      <c r="M22" s="337">
        <f>ROUND(SUMIFS(BS_RE33!$H$7:$H$874,BS_RE33!$S$7:$S$874,$M$2,BS_RE33!$N$7:$N$874,I22,BS_RE33!$P$7:$P$874,'30 days CF Table(ALL)'!G22),2)</f>
        <v>0</v>
      </c>
      <c r="N22" s="337">
        <f>ROUND(SUMIFS(BS_RE33!$H$7:$H$874,BS_RE33!$S$7:$S$874,$N$2,BS_RE33!$N$7:$N$874,I22,BS_RE33!$P$7:$P$874,'30 days CF Table(ALL)'!G22),2)</f>
        <v>0</v>
      </c>
      <c r="O22" s="337">
        <f>ROUND(SUMIFS(BS_RE33!$H$7:$H$874,BS_RE33!$S$7:$S$874,$O$2,BS_RE33!$N$7:$N$874,I22,BS_RE33!$P$7:$P$874,'30 days CF Table(ALL)'!G22),2)</f>
        <v>0</v>
      </c>
      <c r="P22" s="337">
        <f>ROUND(SUMIFS(BS_RE33!$H$7:$H$874,BS_RE33!$S$7:$S$874,$P$2,BS_RE33!$N$7:$N$874,I22,BS_RE33!$P$7:$P$874,'30 days CF Table(ALL)'!G22),2)</f>
        <v>0</v>
      </c>
      <c r="Q22" s="337">
        <f>ROUND(SUMIFS(BS_RE33!$H$7:$H$874,BS_RE33!$S$7:$S$874,$Q$2,BS_RE33!$N$7:$N$874,I22,BS_RE33!$P$7:$P$874,'30 days CF Table(ALL)'!G22),2)</f>
        <v>0</v>
      </c>
      <c r="R22" s="337">
        <f>ROUND(SUMIFS(BS_RE33!$H$7:$H$874,BS_RE33!$S$7:$S$874,$R$2,BS_RE33!$N$7:$N$874,I22,BS_RE33!$P$7:$P$874,'30 days CF Table(ALL)'!G22),2)</f>
        <v>0</v>
      </c>
      <c r="S22" s="337">
        <f>ROUND(SUMIFS(BS_RE33!$H$7:$H$874,BS_RE33!$S$7:$S$874,$S$2,BS_RE33!$N$7:$N$874,I22,BS_RE33!$P$7:$P$874,'30 days CF Table(ALL)'!G22),2)</f>
        <v>0</v>
      </c>
      <c r="T22" s="337">
        <f>ROUND(SUMIFS(BS_RE33!$H$7:$H$874,BS_RE33!$S$7:$S$874,$T$2,BS_RE33!$N$7:$N$874,I22,BS_RE33!$P$7:$P$874,'30 days CF Table(ALL)'!G22),2)</f>
        <v>0</v>
      </c>
      <c r="U22" s="337">
        <f>ROUND(SUMIFS(BS_RE33!$H$7:$H$874,BS_RE33!$S$7:$S$874,$U$2,BS_RE33!$N$7:$N$874,I22,BS_RE33!$P$7:$P$874,'30 days CF Table(ALL)'!G22),2)</f>
        <v>0</v>
      </c>
      <c r="V22" s="337">
        <f>ROUND(SUMIFS(BS_RE33!$H$7:$H$874,BS_RE33!$S$7:$S$874,$V$2,BS_RE33!$N$7:$N$874,I22,BS_RE33!$P$7:$P$874,'30 days CF Table(ALL)'!G22),2)</f>
        <v>0</v>
      </c>
      <c r="W22" s="337">
        <f>ROUND(SUMIFS(BS_RE33!$H$7:$H$874,BS_RE33!$S$7:$S$874,$W$2,BS_RE33!$N$7:$N$874,I22,BS_RE33!$P$7:$P$874,'30 days CF Table(ALL)'!G22),2)</f>
        <v>0</v>
      </c>
      <c r="X22" s="337">
        <f>ROUND(SUMIFS(BS_RE33!$H$7:$H$874,BS_RE33!$S$7:$S$874,$X$2,BS_RE33!$N$7:$N$874,I22,BS_RE33!$P$7:$P$874,'30 days CF Table(ALL)'!G22),2)</f>
        <v>0</v>
      </c>
      <c r="Y22" s="337">
        <f>ROUND(SUMIFS(BS_RE33!$H$7:$H$874,BS_RE33!$S$7:$S$874,$Y$2,BS_RE33!$N$7:$N$874,I22,BS_RE33!$P$7:$P$874,'30 days CF Table(ALL)'!G22),2)</f>
        <v>0</v>
      </c>
      <c r="Z22" s="337">
        <f>ROUND(SUMIFS(BS_RE33!$H$7:$H$874,BS_RE33!$S$7:$S$874,$Z$2,BS_RE33!$N$7:$N$874,I22,BS_RE33!$P$7:$P$874,'30 days CF Table(ALL)'!G22),2)</f>
        <v>0</v>
      </c>
      <c r="AA22" s="337">
        <f>ROUND(SUMIFS(BS_RE33!$H$7:$H$874,BS_RE33!$S$7:$S$874,$AA$2,BS_RE33!$N$7:$N$874,I22,BS_RE33!$P$7:$P$874,'30 days CF Table(ALL)'!G22),2)</f>
        <v>0</v>
      </c>
      <c r="AB22" s="337">
        <f>ROUND(SUMIFS(BS_RE33!$H$7:$H$874,BS_RE33!$S$7:$S$874,$AB$2,BS_RE33!$N$7:$N$874,I22,BS_RE33!$P$7:$P$874,'30 days CF Table(ALL)'!G22),2)</f>
        <v>0</v>
      </c>
      <c r="AC22" s="337">
        <f>ROUND(SUMIFS(BS_RE33!$H$7:$H$874,BS_RE33!$S$7:$S$874,$AC$2,BS_RE33!$N$7:$N$874,I22,BS_RE33!$P$7:$P$874,'30 days CF Table(ALL)'!G22),2)</f>
        <v>0</v>
      </c>
      <c r="AD22" s="337">
        <f>ROUND(SUMIFS(BS_RE33!$H$7:$H$874,BS_RE33!$S$7:$S$874,$AD$2,BS_RE33!$N$7:$N$874,I22,BS_RE33!$P$7:$P$874,'30 days CF Table(ALL)'!G22),2)</f>
        <v>0</v>
      </c>
      <c r="AE22" s="337">
        <f>ROUND(SUMIFS(BS_RE33!$H$7:$H$874,BS_RE33!$S$7:$S$874,$AE$2,BS_RE33!$N$7:$N$874,I22,BS_RE33!$P$7:$P$874,'30 days CF Table(ALL)'!G22),2)</f>
        <v>0</v>
      </c>
      <c r="AF22" s="337">
        <f>ROUND(SUMIFS(BS_RE33!$H$7:$H$874,BS_RE33!$S$7:$S$874,$AF$2,BS_RE33!$N$7:$N$874,I22,BS_RE33!$P$7:$P$874,'30 days CF Table(ALL)'!G22),2)</f>
        <v>0</v>
      </c>
      <c r="AG22" s="337">
        <f>ROUND(SUMIFS(BS_RE33!$H$7:$H$874,BS_RE33!$S$7:$S$874,$AG$2,BS_RE33!$N$7:$N$874,I22,BS_RE33!$P$7:$P$874,'30 days CF Table(ALL)'!G22),2)</f>
        <v>0</v>
      </c>
      <c r="AH22" s="337">
        <f>ROUND(SUMIFS(BS_RE33!$H$7:$H$874,BS_RE33!$S$7:$S$874,$AH$2,BS_RE33!$N$7:$N$874,I22,BS_RE33!$P$7:$P$874,'30 days CF Table(ALL)'!G22),2)</f>
        <v>0</v>
      </c>
      <c r="AI22" s="337">
        <f>ROUND(SUMIFS(BS_RE33!$H$7:$H$874,BS_RE33!$S$7:$S$874,$AI$2,BS_RE33!$N$7:$N$874,I22,BS_RE33!$P$7:$P$874,'30 days CF Table(ALL)'!G22),2)</f>
        <v>0</v>
      </c>
      <c r="AJ22" s="337">
        <f>ROUND(SUMIFS(BS_RE33!$H$7:$H$874,BS_RE33!$S$7:$S$874,$AJ$2,BS_RE33!$N$7:$N$874,I22,BS_RE33!$P$7:$P$874,'30 days CF Table(ALL)'!G22),2)</f>
        <v>0</v>
      </c>
      <c r="AK22" s="337">
        <f>ROUND(SUMIFS(BS_RE33!$H$7:$H$874,BS_RE33!$S$7:$S$874,$AK$2,BS_RE33!$N$7:$N$874,I22,BS_RE33!$P$7:$P$874,'30 days CF Table(ALL)'!G22),2)</f>
        <v>0</v>
      </c>
      <c r="AL22" s="337">
        <f>ROUND(SUMIFS(BS_RE33!$H$7:$H$874,BS_RE33!$S$7:$S$874,$AL$2,BS_RE33!$N$7:$N$874,I22,BS_RE33!$P$7:$P$874,'30 days CF Table(ALL)'!G22),2)</f>
        <v>0</v>
      </c>
      <c r="AM22" s="337">
        <f>ROUND(SUMIFS(BS_RE33!$H$7:$H$874,BS_RE33!$S$7:$S$874,$AM$2,BS_RE33!$N$7:$N$874,I22,BS_RE33!$P$7:$P$874,'30 days CF Table(ALL)'!G22),2)</f>
        <v>0</v>
      </c>
      <c r="AN22" s="337">
        <f>ROUND(SUMIFS(BS_RE33!$H$7:$H$874,BS_RE33!$S$7:$S$874,$AN$2,BS_RE33!$N$7:$N$874,I22,BS_RE33!$P$7:$P$874,'30 days CF Table(ALL)'!G22),2)</f>
        <v>0</v>
      </c>
      <c r="AO22" s="337">
        <f>ROUND(SUMIFS(BS_RE33!$H$7:$H$874,BS_RE33!$S$7:$S$874,$AO$2,BS_RE33!$N$7:$N$874,I22,BS_RE33!$P$7:$P$874,'30 days CF Table(ALL)'!G22),2)</f>
        <v>0</v>
      </c>
      <c r="AP22" s="338">
        <f>ROUND(SUMIFS(BS_RE33!$H$7:$H$874,BS_RE33!$S$7:$S$874,$AP$2,BS_RE33!$N$7:$N$874,I22,BS_RE33!$P$7:$P$874,'30 days CF Table(ALL)'!G22),2)</f>
        <v>0</v>
      </c>
      <c r="AQ22" s="545"/>
      <c r="AR22" s="379">
        <f>ROUND(SUMIFS(BS_RE33!$H$7:$H$874,BS_RE33!$S$7:$S$874,$AR$2,BS_RE33!$N$7:$N$874,I22,BS_RE33!$P$7:$P$874,'30 days CF Table(ALL)'!G22),2)</f>
        <v>0</v>
      </c>
      <c r="AS22" s="379">
        <f>ROUND(SUMIFS(BS_RE33!$H$7:$H$874,BS_RE33!$S$7:$S$874,$AS$2,BS_RE33!$N$7:$N$874,I22,BS_RE33!$P$7:$P$874,'30 days CF Table(ALL)'!G22),2)</f>
        <v>0</v>
      </c>
      <c r="AT22" s="379">
        <f>ROUND(SUMIFS(BS_RE33!$H$7:$H$874,BS_RE33!$S$7:$S$874,$AT$2,BS_RE33!$N$7:$N$874,I22,BS_RE33!$P$7:$P$874,'30 days CF Table(ALL)'!G22),2)</f>
        <v>0</v>
      </c>
      <c r="AU22" s="379">
        <f>ROUND(SUMIFS(BS_RE33!$H$7:$H$874,BS_RE33!$S$7:$S$874,$AU$2,BS_RE33!$N$7:$N$874,I22,BS_RE33!$P$7:$P$874,'30 days CF Table(ALL)'!G22),2)</f>
        <v>0</v>
      </c>
      <c r="AV22" s="379">
        <f>ROUND(SUMIFS(BS_RE33!$H$7:$H$874,BS_RE33!$S$7:$S$874,$AV$2,BS_RE33!$N$7:$N$874,I22,BS_RE33!$P$7:$P$874,'30 days CF Table(ALL)'!G22),2)</f>
        <v>0</v>
      </c>
      <c r="AW22" s="379">
        <f>ROUND(SUMIFS(BS_RE33!$H$7:$H$874,BS_RE33!$S$7:$S$874,$AW$2,BS_RE33!$N$7:$N$874,I22,BS_RE33!$P$7:$P$874,'30 days CF Table(ALL)'!G22),2)</f>
        <v>0</v>
      </c>
      <c r="AX22" s="379">
        <f>ROUND(SUMIFS(BS_RE33!$H$7:$H$874,BS_RE33!$S$7:$S$874,$AX$2,BS_RE33!$N$7:$N$874,I22,BS_RE33!$P$7:$P$874,'30 days CF Table(ALL)'!G22),2)</f>
        <v>0</v>
      </c>
      <c r="AY22" s="379">
        <f>ROUND(SUMIFS(BS_RE33!$H$7:$H$874,BS_RE33!$S$7:$S$874,$AY$2,BS_RE33!$N$7:$N$874,I22,BS_RE33!$P$7:$P$874,'30 days CF Table(ALL)'!G22),2)</f>
        <v>0</v>
      </c>
      <c r="AZ22" s="379">
        <f>ROUND(SUMIFS(BS_RE33!$H$7:$H$874,BS_RE33!$S$7:$S$874,$AZ$2,BS_RE33!$N$7:$N$874,I22,BS_RE33!$P$7:$P$874,'30 days CF Table(ALL)'!G22),2)</f>
        <v>0</v>
      </c>
      <c r="BA22" s="379">
        <f>ROUND(SUMIFS(BS_RE33!$H$7:$H$874,BS_RE33!$S$7:$S$874,$BA$2,BS_RE33!$N$7:$N$874,I22,BS_RE33!$P$7:$P$874,'30 days CF Table(ALL)'!G22),2)</f>
        <v>0</v>
      </c>
      <c r="BB22" s="379">
        <f>ROUND(SUMIFS(BS_RE33!$H$7:$H$874,BS_RE33!$S$7:$S$874,$BB$2,BS_RE33!$N$7:$N$874,I22,BS_RE33!$P$7:$P$874,'30 days CF Table(ALL)'!G22),2)</f>
        <v>0</v>
      </c>
      <c r="BC22" s="379">
        <f>ROUND(SUMIFS(BS_RE33!$H$7:$H$874,BS_RE33!$S$7:$S$874,$BC$2,BS_RE33!$N$7:$N$874,I22,BS_RE33!$P$7:$P$874,'30 days CF Table(ALL)'!G22),2)</f>
        <v>0</v>
      </c>
      <c r="BD22" s="379">
        <f>ROUND(SUMIFS(BS_RE33!$H$7:$H$874,BS_RE33!$S$7:$S$874,$BD$2,BS_RE33!$N$7:$N$874,I22,BS_RE33!$P$7:$P$874,'30 days CF Table(ALL)'!G22),2)</f>
        <v>0</v>
      </c>
      <c r="BE22" s="379">
        <f>ROUND(SUMIFS(BS_RE33!$H$7:$H$874,BS_RE33!$S$7:$S$874,$BE$2,BS_RE33!$N$7:$N$874,I22,BS_RE33!$P$7:$P$874,'30 days CF Table(ALL)'!G22),2)</f>
        <v>0</v>
      </c>
      <c r="BF22" s="379">
        <f>ROUND(SUMIFS(BS_RE33!$H$7:$H$874,BS_RE33!$S$7:$S$874,$BF$2,BS_RE33!$N$7:$N$874,I22,BS_RE33!$P$7:$P$874,'30 days CF Table(ALL)'!G22),2)</f>
        <v>0</v>
      </c>
      <c r="BG22" s="379">
        <f>ROUND(SUMIFS(BS_RE33!$H$7:$H$874,BS_RE33!$S$7:$S$874,$BG$2,BS_RE33!$N$7:$N$874,I22,BS_RE33!$P$7:$P$874,'30 days CF Table(ALL)'!G22),2)</f>
        <v>0</v>
      </c>
      <c r="BH22" s="379">
        <f>ROUND(SUMIFS(BS_RE33!$H$7:$H$874,BS_RE33!$S$7:$S$874,$BH$2,BS_RE33!$N$7:$N$874,I22,BS_RE33!$P$7:$P$874,'30 days CF Table(ALL)'!G22),2)</f>
        <v>0</v>
      </c>
      <c r="BI22" s="379">
        <f>ROUND(SUMIFS(BS_RE33!$H$7:$H$874,BS_RE33!$S$7:$S$874,$BI$2,BS_RE33!$N$7:$N$874,I22,BS_RE33!$P$7:$P$874,'30 days CF Table(ALL)'!G22),2)</f>
        <v>0</v>
      </c>
      <c r="BJ22" s="379">
        <f>ROUND(SUMIFS(BS_RE33!$H$7:$H$874,BS_RE33!$S$7:$S$874,$BJ$2,BS_RE33!$N$7:$N$874,I22,BS_RE33!$P$7:$P$874,'30 days CF Table(ALL)'!G22),2)</f>
        <v>0</v>
      </c>
      <c r="BK22" s="379">
        <f>ROUND(SUMIFS(BS_RE33!$H$7:$H$874,BS_RE33!$S$7:$S$874,$BK$2,BS_RE33!$N$7:$N$874,I22,BS_RE33!$P$7:$P$874,'30 days CF Table(ALL)'!G22),2)</f>
        <v>0</v>
      </c>
    </row>
    <row r="23" spans="1:63">
      <c r="C23" s="1027"/>
      <c r="D23" s="1028" t="s">
        <v>750</v>
      </c>
      <c r="E23" s="310" t="s">
        <v>76</v>
      </c>
      <c r="F23" s="309"/>
      <c r="G23" s="392" t="s">
        <v>510</v>
      </c>
      <c r="H23" s="130">
        <v>0</v>
      </c>
      <c r="I23" s="305" t="s">
        <v>63</v>
      </c>
      <c r="J23" s="477">
        <f t="shared" si="3"/>
        <v>0</v>
      </c>
      <c r="K23" s="335">
        <f t="shared" si="4"/>
        <v>0</v>
      </c>
      <c r="L23" s="337">
        <f>ROUND(SUMIFS(BS_RE33!$H$7:$H$874,BS_RE33!$S$7:$S$874,$L$2,BS_RE33!$N$7:$N$874,I23,BS_RE33!$P$7:$P$874,'30 days CF Table(ALL)'!G23),2)</f>
        <v>0</v>
      </c>
      <c r="M23" s="337">
        <f>ROUND(SUMIFS(BS_RE33!$H$7:$H$874,BS_RE33!$S$7:$S$874,$M$2,BS_RE33!$N$7:$N$874,I23,BS_RE33!$P$7:$P$874,'30 days CF Table(ALL)'!G23),2)</f>
        <v>0</v>
      </c>
      <c r="N23" s="337">
        <f>ROUND(SUMIFS(BS_RE33!$H$7:$H$874,BS_RE33!$S$7:$S$874,$N$2,BS_RE33!$N$7:$N$874,I23,BS_RE33!$P$7:$P$874,'30 days CF Table(ALL)'!G23),2)</f>
        <v>0</v>
      </c>
      <c r="O23" s="337">
        <f>ROUND(SUMIFS(BS_RE33!$H$7:$H$874,BS_RE33!$S$7:$S$874,$O$2,BS_RE33!$N$7:$N$874,I23,BS_RE33!$P$7:$P$874,'30 days CF Table(ALL)'!G23),2)</f>
        <v>0</v>
      </c>
      <c r="P23" s="337">
        <f>ROUND(SUMIFS(BS_RE33!$H$7:$H$874,BS_RE33!$S$7:$S$874,$P$2,BS_RE33!$N$7:$N$874,I23,BS_RE33!$P$7:$P$874,'30 days CF Table(ALL)'!G23),2)</f>
        <v>0</v>
      </c>
      <c r="Q23" s="337">
        <f>ROUND(SUMIFS(BS_RE33!$H$7:$H$874,BS_RE33!$S$7:$S$874,$Q$2,BS_RE33!$N$7:$N$874,I23,BS_RE33!$P$7:$P$874,'30 days CF Table(ALL)'!G23),2)</f>
        <v>0</v>
      </c>
      <c r="R23" s="337">
        <f>ROUND(SUMIFS(BS_RE33!$H$7:$H$874,BS_RE33!$S$7:$S$874,$R$2,BS_RE33!$N$7:$N$874,I23,BS_RE33!$P$7:$P$874,'30 days CF Table(ALL)'!G23),2)</f>
        <v>0</v>
      </c>
      <c r="S23" s="337">
        <f>ROUND(SUMIFS(BS_RE33!$H$7:$H$874,BS_RE33!$S$7:$S$874,$S$2,BS_RE33!$N$7:$N$874,I23,BS_RE33!$P$7:$P$874,'30 days CF Table(ALL)'!G23),2)</f>
        <v>0</v>
      </c>
      <c r="T23" s="337">
        <f>ROUND(SUMIFS(BS_RE33!$H$7:$H$874,BS_RE33!$S$7:$S$874,$T$2,BS_RE33!$N$7:$N$874,I23,BS_RE33!$P$7:$P$874,'30 days CF Table(ALL)'!G23),2)</f>
        <v>0</v>
      </c>
      <c r="U23" s="337">
        <f>ROUND(SUMIFS(BS_RE33!$H$7:$H$874,BS_RE33!$S$7:$S$874,$U$2,BS_RE33!$N$7:$N$874,I23,BS_RE33!$P$7:$P$874,'30 days CF Table(ALL)'!G23),2)</f>
        <v>0</v>
      </c>
      <c r="V23" s="337">
        <f>ROUND(SUMIFS(BS_RE33!$H$7:$H$874,BS_RE33!$S$7:$S$874,$V$2,BS_RE33!$N$7:$N$874,I23,BS_RE33!$P$7:$P$874,'30 days CF Table(ALL)'!G23),2)</f>
        <v>0</v>
      </c>
      <c r="W23" s="337">
        <f>ROUND(SUMIFS(BS_RE33!$H$7:$H$874,BS_RE33!$S$7:$S$874,$W$2,BS_RE33!$N$7:$N$874,I23,BS_RE33!$P$7:$P$874,'30 days CF Table(ALL)'!G23),2)</f>
        <v>0</v>
      </c>
      <c r="X23" s="337">
        <f>ROUND(SUMIFS(BS_RE33!$H$7:$H$874,BS_RE33!$S$7:$S$874,$X$2,BS_RE33!$N$7:$N$874,I23,BS_RE33!$P$7:$P$874,'30 days CF Table(ALL)'!G23),2)</f>
        <v>0</v>
      </c>
      <c r="Y23" s="337">
        <f>ROUND(SUMIFS(BS_RE33!$H$7:$H$874,BS_RE33!$S$7:$S$874,$Y$2,BS_RE33!$N$7:$N$874,I23,BS_RE33!$P$7:$P$874,'30 days CF Table(ALL)'!G23),2)</f>
        <v>0</v>
      </c>
      <c r="Z23" s="337">
        <f>ROUND(SUMIFS(BS_RE33!$H$7:$H$874,BS_RE33!$S$7:$S$874,$Z$2,BS_RE33!$N$7:$N$874,I23,BS_RE33!$P$7:$P$874,'30 days CF Table(ALL)'!G23),2)</f>
        <v>0</v>
      </c>
      <c r="AA23" s="337">
        <f>ROUND(SUMIFS(BS_RE33!$H$7:$H$874,BS_RE33!$S$7:$S$874,$AA$2,BS_RE33!$N$7:$N$874,I23,BS_RE33!$P$7:$P$874,'30 days CF Table(ALL)'!G23),2)</f>
        <v>0</v>
      </c>
      <c r="AB23" s="337">
        <f>ROUND(SUMIFS(BS_RE33!$H$7:$H$874,BS_RE33!$S$7:$S$874,$AB$2,BS_RE33!$N$7:$N$874,I23,BS_RE33!$P$7:$P$874,'30 days CF Table(ALL)'!G23),2)</f>
        <v>0</v>
      </c>
      <c r="AC23" s="337">
        <f>ROUND(SUMIFS(BS_RE33!$H$7:$H$874,BS_RE33!$S$7:$S$874,$AC$2,BS_RE33!$N$7:$N$874,I23,BS_RE33!$P$7:$P$874,'30 days CF Table(ALL)'!G23),2)</f>
        <v>0</v>
      </c>
      <c r="AD23" s="337">
        <f>ROUND(SUMIFS(BS_RE33!$H$7:$H$874,BS_RE33!$S$7:$S$874,$AD$2,BS_RE33!$N$7:$N$874,I23,BS_RE33!$P$7:$P$874,'30 days CF Table(ALL)'!G23),2)</f>
        <v>0</v>
      </c>
      <c r="AE23" s="337">
        <f>ROUND(SUMIFS(BS_RE33!$H$7:$H$874,BS_RE33!$S$7:$S$874,$AE$2,BS_RE33!$N$7:$N$874,I23,BS_RE33!$P$7:$P$874,'30 days CF Table(ALL)'!G23),2)</f>
        <v>0</v>
      </c>
      <c r="AF23" s="337">
        <f>ROUND(SUMIFS(BS_RE33!$H$7:$H$874,BS_RE33!$S$7:$S$874,$AF$2,BS_RE33!$N$7:$N$874,I23,BS_RE33!$P$7:$P$874,'30 days CF Table(ALL)'!G23),2)</f>
        <v>0</v>
      </c>
      <c r="AG23" s="337">
        <f>ROUND(SUMIFS(BS_RE33!$H$7:$H$874,BS_RE33!$S$7:$S$874,$AG$2,BS_RE33!$N$7:$N$874,I23,BS_RE33!$P$7:$P$874,'30 days CF Table(ALL)'!G23),2)</f>
        <v>0</v>
      </c>
      <c r="AH23" s="337">
        <f>ROUND(SUMIFS(BS_RE33!$H$7:$H$874,BS_RE33!$S$7:$S$874,$AH$2,BS_RE33!$N$7:$N$874,I23,BS_RE33!$P$7:$P$874,'30 days CF Table(ALL)'!G23),2)</f>
        <v>0</v>
      </c>
      <c r="AI23" s="337">
        <f>ROUND(SUMIFS(BS_RE33!$H$7:$H$874,BS_RE33!$S$7:$S$874,$AI$2,BS_RE33!$N$7:$N$874,I23,BS_RE33!$P$7:$P$874,'30 days CF Table(ALL)'!G23),2)</f>
        <v>0</v>
      </c>
      <c r="AJ23" s="337">
        <f>ROUND(SUMIFS(BS_RE33!$H$7:$H$874,BS_RE33!$S$7:$S$874,$AJ$2,BS_RE33!$N$7:$N$874,I23,BS_RE33!$P$7:$P$874,'30 days CF Table(ALL)'!G23),2)</f>
        <v>0</v>
      </c>
      <c r="AK23" s="337">
        <f>ROUND(SUMIFS(BS_RE33!$H$7:$H$874,BS_RE33!$S$7:$S$874,$AK$2,BS_RE33!$N$7:$N$874,I23,BS_RE33!$P$7:$P$874,'30 days CF Table(ALL)'!G23),2)</f>
        <v>0</v>
      </c>
      <c r="AL23" s="337">
        <f>ROUND(SUMIFS(BS_RE33!$H$7:$H$874,BS_RE33!$S$7:$S$874,$AL$2,BS_RE33!$N$7:$N$874,I23,BS_RE33!$P$7:$P$874,'30 days CF Table(ALL)'!G23),2)</f>
        <v>0</v>
      </c>
      <c r="AM23" s="337">
        <f>ROUND(SUMIFS(BS_RE33!$H$7:$H$874,BS_RE33!$S$7:$S$874,$AM$2,BS_RE33!$N$7:$N$874,I23,BS_RE33!$P$7:$P$874,'30 days CF Table(ALL)'!G23),2)</f>
        <v>0</v>
      </c>
      <c r="AN23" s="337">
        <f>ROUND(SUMIFS(BS_RE33!$H$7:$H$874,BS_RE33!$S$7:$S$874,$AN$2,BS_RE33!$N$7:$N$874,I23,BS_RE33!$P$7:$P$874,'30 days CF Table(ALL)'!G23),2)</f>
        <v>0</v>
      </c>
      <c r="AO23" s="337">
        <f>ROUND(SUMIFS(BS_RE33!$H$7:$H$874,BS_RE33!$S$7:$S$874,$AO$2,BS_RE33!$N$7:$N$874,I23,BS_RE33!$P$7:$P$874,'30 days CF Table(ALL)'!G23),2)</f>
        <v>0</v>
      </c>
      <c r="AP23" s="338">
        <f>ROUND(SUMIFS(BS_RE33!$H$7:$H$874,BS_RE33!$S$7:$S$874,$AP$2,BS_RE33!$N$7:$N$874,I23,BS_RE33!$P$7:$P$874,'30 days CF Table(ALL)'!G23),2)</f>
        <v>0</v>
      </c>
      <c r="AQ23" s="545"/>
      <c r="AR23" s="379">
        <f>ROUND(SUMIFS(BS_RE33!$H$7:$H$874,BS_RE33!$S$7:$S$874,$AR$2,BS_RE33!$N$7:$N$874,I23,BS_RE33!$P$7:$P$874,'30 days CF Table(ALL)'!G23),2)</f>
        <v>0</v>
      </c>
      <c r="AS23" s="379">
        <f>ROUND(SUMIFS(BS_RE33!$H$7:$H$874,BS_RE33!$S$7:$S$874,$AS$2,BS_RE33!$N$7:$N$874,I23,BS_RE33!$P$7:$P$874,'30 days CF Table(ALL)'!G23),2)</f>
        <v>0</v>
      </c>
      <c r="AT23" s="379">
        <f>ROUND(SUMIFS(BS_RE33!$H$7:$H$874,BS_RE33!$S$7:$S$874,$AT$2,BS_RE33!$N$7:$N$874,I23,BS_RE33!$P$7:$P$874,'30 days CF Table(ALL)'!G23),2)</f>
        <v>0</v>
      </c>
      <c r="AU23" s="379">
        <f>ROUND(SUMIFS(BS_RE33!$H$7:$H$874,BS_RE33!$S$7:$S$874,$AU$2,BS_RE33!$N$7:$N$874,I23,BS_RE33!$P$7:$P$874,'30 days CF Table(ALL)'!G23),2)</f>
        <v>0</v>
      </c>
      <c r="AV23" s="379">
        <f>ROUND(SUMIFS(BS_RE33!$H$7:$H$874,BS_RE33!$S$7:$S$874,$AV$2,BS_RE33!$N$7:$N$874,I23,BS_RE33!$P$7:$P$874,'30 days CF Table(ALL)'!G23),2)</f>
        <v>0</v>
      </c>
      <c r="AW23" s="379">
        <f>ROUND(SUMIFS(BS_RE33!$H$7:$H$874,BS_RE33!$S$7:$S$874,$AW$2,BS_RE33!$N$7:$N$874,I23,BS_RE33!$P$7:$P$874,'30 days CF Table(ALL)'!G23),2)</f>
        <v>0</v>
      </c>
      <c r="AX23" s="379">
        <f>ROUND(SUMIFS(BS_RE33!$H$7:$H$874,BS_RE33!$S$7:$S$874,$AX$2,BS_RE33!$N$7:$N$874,I23,BS_RE33!$P$7:$P$874,'30 days CF Table(ALL)'!G23),2)</f>
        <v>0</v>
      </c>
      <c r="AY23" s="379">
        <f>ROUND(SUMIFS(BS_RE33!$H$7:$H$874,BS_RE33!$S$7:$S$874,$AY$2,BS_RE33!$N$7:$N$874,I23,BS_RE33!$P$7:$P$874,'30 days CF Table(ALL)'!G23),2)</f>
        <v>0</v>
      </c>
      <c r="AZ23" s="379">
        <f>ROUND(SUMIFS(BS_RE33!$H$7:$H$874,BS_RE33!$S$7:$S$874,$AZ$2,BS_RE33!$N$7:$N$874,I23,BS_RE33!$P$7:$P$874,'30 days CF Table(ALL)'!G23),2)</f>
        <v>0</v>
      </c>
      <c r="BA23" s="379">
        <f>ROUND(SUMIFS(BS_RE33!$H$7:$H$874,BS_RE33!$S$7:$S$874,$BA$2,BS_RE33!$N$7:$N$874,I23,BS_RE33!$P$7:$P$874,'30 days CF Table(ALL)'!G23),2)</f>
        <v>0</v>
      </c>
      <c r="BB23" s="379">
        <f>ROUND(SUMIFS(BS_RE33!$H$7:$H$874,BS_RE33!$S$7:$S$874,$BB$2,BS_RE33!$N$7:$N$874,I23,BS_RE33!$P$7:$P$874,'30 days CF Table(ALL)'!G23),2)</f>
        <v>0</v>
      </c>
      <c r="BC23" s="379">
        <f>ROUND(SUMIFS(BS_RE33!$H$7:$H$874,BS_RE33!$S$7:$S$874,$BC$2,BS_RE33!$N$7:$N$874,I23,BS_RE33!$P$7:$P$874,'30 days CF Table(ALL)'!G23),2)</f>
        <v>0</v>
      </c>
      <c r="BD23" s="379">
        <f>ROUND(SUMIFS(BS_RE33!$H$7:$H$874,BS_RE33!$S$7:$S$874,$BD$2,BS_RE33!$N$7:$N$874,I23,BS_RE33!$P$7:$P$874,'30 days CF Table(ALL)'!G23),2)</f>
        <v>0</v>
      </c>
      <c r="BE23" s="379">
        <f>ROUND(SUMIFS(BS_RE33!$H$7:$H$874,BS_RE33!$S$7:$S$874,$BE$2,BS_RE33!$N$7:$N$874,I23,BS_RE33!$P$7:$P$874,'30 days CF Table(ALL)'!G23),2)</f>
        <v>0</v>
      </c>
      <c r="BF23" s="379">
        <f>ROUND(SUMIFS(BS_RE33!$H$7:$H$874,BS_RE33!$S$7:$S$874,$BF$2,BS_RE33!$N$7:$N$874,I23,BS_RE33!$P$7:$P$874,'30 days CF Table(ALL)'!G23),2)</f>
        <v>0</v>
      </c>
      <c r="BG23" s="379">
        <f>ROUND(SUMIFS(BS_RE33!$H$7:$H$874,BS_RE33!$S$7:$S$874,$BG$2,BS_RE33!$N$7:$N$874,I23,BS_RE33!$P$7:$P$874,'30 days CF Table(ALL)'!G23),2)</f>
        <v>0</v>
      </c>
      <c r="BH23" s="379">
        <f>ROUND(SUMIFS(BS_RE33!$H$7:$H$874,BS_RE33!$S$7:$S$874,$BH$2,BS_RE33!$N$7:$N$874,I23,BS_RE33!$P$7:$P$874,'30 days CF Table(ALL)'!G23),2)</f>
        <v>0</v>
      </c>
      <c r="BI23" s="379">
        <f>ROUND(SUMIFS(BS_RE33!$H$7:$H$874,BS_RE33!$S$7:$S$874,$BI$2,BS_RE33!$N$7:$N$874,I23,BS_RE33!$P$7:$P$874,'30 days CF Table(ALL)'!G23),2)</f>
        <v>0</v>
      </c>
      <c r="BJ23" s="379">
        <f>ROUND(SUMIFS(BS_RE33!$H$7:$H$874,BS_RE33!$S$7:$S$874,$BJ$2,BS_RE33!$N$7:$N$874,I23,BS_RE33!$P$7:$P$874,'30 days CF Table(ALL)'!G23),2)</f>
        <v>0</v>
      </c>
      <c r="BK23" s="379">
        <f>ROUND(SUMIFS(BS_RE33!$H$7:$H$874,BS_RE33!$S$7:$S$874,$BK$2,BS_RE33!$N$7:$N$874,I23,BS_RE33!$P$7:$P$874,'30 days CF Table(ALL)'!G23),2)</f>
        <v>0</v>
      </c>
    </row>
    <row r="24" spans="1:63">
      <c r="C24" s="1027"/>
      <c r="D24" s="1028"/>
      <c r="E24" s="310" t="s">
        <v>77</v>
      </c>
      <c r="F24" s="311"/>
      <c r="G24" s="392" t="s">
        <v>511</v>
      </c>
      <c r="H24" s="130">
        <v>0</v>
      </c>
      <c r="I24" s="305" t="s">
        <v>63</v>
      </c>
      <c r="J24" s="477">
        <f t="shared" si="3"/>
        <v>0</v>
      </c>
      <c r="K24" s="335">
        <f t="shared" si="4"/>
        <v>0</v>
      </c>
      <c r="L24" s="337">
        <f>ROUND(SUMIFS(BS_RE33!$H$7:$H$874,BS_RE33!$S$7:$S$874,$L$2,BS_RE33!$N$7:$N$874,I24,BS_RE33!$P$7:$P$874,'30 days CF Table(ALL)'!G24),2)</f>
        <v>0</v>
      </c>
      <c r="M24" s="337">
        <f>ROUND(SUMIFS(BS_RE33!$H$7:$H$874,BS_RE33!$S$7:$S$874,$M$2,BS_RE33!$N$7:$N$874,I24,BS_RE33!$P$7:$P$874,'30 days CF Table(ALL)'!G24),2)</f>
        <v>0</v>
      </c>
      <c r="N24" s="337">
        <f>ROUND(SUMIFS(BS_RE33!$H$7:$H$874,BS_RE33!$S$7:$S$874,$N$2,BS_RE33!$N$7:$N$874,I24,BS_RE33!$P$7:$P$874,'30 days CF Table(ALL)'!G24),2)</f>
        <v>0</v>
      </c>
      <c r="O24" s="337">
        <f>ROUND(SUMIFS(BS_RE33!$H$7:$H$874,BS_RE33!$S$7:$S$874,$O$2,BS_RE33!$N$7:$N$874,I24,BS_RE33!$P$7:$P$874,'30 days CF Table(ALL)'!G24),2)</f>
        <v>0</v>
      </c>
      <c r="P24" s="337">
        <f>ROUND(SUMIFS(BS_RE33!$H$7:$H$874,BS_RE33!$S$7:$S$874,$P$2,BS_RE33!$N$7:$N$874,I24,BS_RE33!$P$7:$P$874,'30 days CF Table(ALL)'!G24),2)</f>
        <v>0</v>
      </c>
      <c r="Q24" s="337">
        <f>ROUND(SUMIFS(BS_RE33!$H$7:$H$874,BS_RE33!$S$7:$S$874,$Q$2,BS_RE33!$N$7:$N$874,I24,BS_RE33!$P$7:$P$874,'30 days CF Table(ALL)'!G24),2)</f>
        <v>0</v>
      </c>
      <c r="R24" s="337">
        <f>ROUND(SUMIFS(BS_RE33!$H$7:$H$874,BS_RE33!$S$7:$S$874,$R$2,BS_RE33!$N$7:$N$874,I24,BS_RE33!$P$7:$P$874,'30 days CF Table(ALL)'!G24),2)</f>
        <v>0</v>
      </c>
      <c r="S24" s="337">
        <f>ROUND(SUMIFS(BS_RE33!$H$7:$H$874,BS_RE33!$S$7:$S$874,$S$2,BS_RE33!$N$7:$N$874,I24,BS_RE33!$P$7:$P$874,'30 days CF Table(ALL)'!G24),2)</f>
        <v>0</v>
      </c>
      <c r="T24" s="337">
        <f>ROUND(SUMIFS(BS_RE33!$H$7:$H$874,BS_RE33!$S$7:$S$874,$T$2,BS_RE33!$N$7:$N$874,I24,BS_RE33!$P$7:$P$874,'30 days CF Table(ALL)'!G24),2)</f>
        <v>0</v>
      </c>
      <c r="U24" s="337">
        <f>ROUND(SUMIFS(BS_RE33!$H$7:$H$874,BS_RE33!$S$7:$S$874,$U$2,BS_RE33!$N$7:$N$874,I24,BS_RE33!$P$7:$P$874,'30 days CF Table(ALL)'!G24),2)</f>
        <v>0</v>
      </c>
      <c r="V24" s="337">
        <f>ROUND(SUMIFS(BS_RE33!$H$7:$H$874,BS_RE33!$S$7:$S$874,$V$2,BS_RE33!$N$7:$N$874,I24,BS_RE33!$P$7:$P$874,'30 days CF Table(ALL)'!G24),2)</f>
        <v>0</v>
      </c>
      <c r="W24" s="337">
        <f>ROUND(SUMIFS(BS_RE33!$H$7:$H$874,BS_RE33!$S$7:$S$874,$W$2,BS_RE33!$N$7:$N$874,I24,BS_RE33!$P$7:$P$874,'30 days CF Table(ALL)'!G24),2)</f>
        <v>0</v>
      </c>
      <c r="X24" s="337">
        <f>ROUND(SUMIFS(BS_RE33!$H$7:$H$874,BS_RE33!$S$7:$S$874,$X$2,BS_RE33!$N$7:$N$874,I24,BS_RE33!$P$7:$P$874,'30 days CF Table(ALL)'!G24),2)</f>
        <v>0</v>
      </c>
      <c r="Y24" s="337">
        <f>ROUND(SUMIFS(BS_RE33!$H$7:$H$874,BS_RE33!$S$7:$S$874,$Y$2,BS_RE33!$N$7:$N$874,I24,BS_RE33!$P$7:$P$874,'30 days CF Table(ALL)'!G24),2)</f>
        <v>0</v>
      </c>
      <c r="Z24" s="337">
        <f>ROUND(SUMIFS(BS_RE33!$H$7:$H$874,BS_RE33!$S$7:$S$874,$Z$2,BS_RE33!$N$7:$N$874,I24,BS_RE33!$P$7:$P$874,'30 days CF Table(ALL)'!G24),2)</f>
        <v>0</v>
      </c>
      <c r="AA24" s="337">
        <f>ROUND(SUMIFS(BS_RE33!$H$7:$H$874,BS_RE33!$S$7:$S$874,$AA$2,BS_RE33!$N$7:$N$874,I24,BS_RE33!$P$7:$P$874,'30 days CF Table(ALL)'!G24),2)</f>
        <v>0</v>
      </c>
      <c r="AB24" s="337">
        <f>ROUND(SUMIFS(BS_RE33!$H$7:$H$874,BS_RE33!$S$7:$S$874,$AB$2,BS_RE33!$N$7:$N$874,I24,BS_RE33!$P$7:$P$874,'30 days CF Table(ALL)'!G24),2)</f>
        <v>0</v>
      </c>
      <c r="AC24" s="337">
        <f>ROUND(SUMIFS(BS_RE33!$H$7:$H$874,BS_RE33!$S$7:$S$874,$AC$2,BS_RE33!$N$7:$N$874,I24,BS_RE33!$P$7:$P$874,'30 days CF Table(ALL)'!G24),2)</f>
        <v>0</v>
      </c>
      <c r="AD24" s="337">
        <f>ROUND(SUMIFS(BS_RE33!$H$7:$H$874,BS_RE33!$S$7:$S$874,$AD$2,BS_RE33!$N$7:$N$874,I24,BS_RE33!$P$7:$P$874,'30 days CF Table(ALL)'!G24),2)</f>
        <v>0</v>
      </c>
      <c r="AE24" s="337">
        <f>ROUND(SUMIFS(BS_RE33!$H$7:$H$874,BS_RE33!$S$7:$S$874,$AE$2,BS_RE33!$N$7:$N$874,I24,BS_RE33!$P$7:$P$874,'30 days CF Table(ALL)'!G24),2)</f>
        <v>0</v>
      </c>
      <c r="AF24" s="337">
        <f>ROUND(SUMIFS(BS_RE33!$H$7:$H$874,BS_RE33!$S$7:$S$874,$AF$2,BS_RE33!$N$7:$N$874,I24,BS_RE33!$P$7:$P$874,'30 days CF Table(ALL)'!G24),2)</f>
        <v>0</v>
      </c>
      <c r="AG24" s="337">
        <f>ROUND(SUMIFS(BS_RE33!$H$7:$H$874,BS_RE33!$S$7:$S$874,$AG$2,BS_RE33!$N$7:$N$874,I24,BS_RE33!$P$7:$P$874,'30 days CF Table(ALL)'!G24),2)</f>
        <v>0</v>
      </c>
      <c r="AH24" s="337">
        <f>ROUND(SUMIFS(BS_RE33!$H$7:$H$874,BS_RE33!$S$7:$S$874,$AH$2,BS_RE33!$N$7:$N$874,I24,BS_RE33!$P$7:$P$874,'30 days CF Table(ALL)'!G24),2)</f>
        <v>0</v>
      </c>
      <c r="AI24" s="337">
        <f>ROUND(SUMIFS(BS_RE33!$H$7:$H$874,BS_RE33!$S$7:$S$874,$AI$2,BS_RE33!$N$7:$N$874,I24,BS_RE33!$P$7:$P$874,'30 days CF Table(ALL)'!G24),2)</f>
        <v>0</v>
      </c>
      <c r="AJ24" s="337">
        <f>ROUND(SUMIFS(BS_RE33!$H$7:$H$874,BS_RE33!$S$7:$S$874,$AJ$2,BS_RE33!$N$7:$N$874,I24,BS_RE33!$P$7:$P$874,'30 days CF Table(ALL)'!G24),2)</f>
        <v>0</v>
      </c>
      <c r="AK24" s="337">
        <f>ROUND(SUMIFS(BS_RE33!$H$7:$H$874,BS_RE33!$S$7:$S$874,$AK$2,BS_RE33!$N$7:$N$874,I24,BS_RE33!$P$7:$P$874,'30 days CF Table(ALL)'!G24),2)</f>
        <v>0</v>
      </c>
      <c r="AL24" s="337">
        <f>ROUND(SUMIFS(BS_RE33!$H$7:$H$874,BS_RE33!$S$7:$S$874,$AL$2,BS_RE33!$N$7:$N$874,I24,BS_RE33!$P$7:$P$874,'30 days CF Table(ALL)'!G24),2)</f>
        <v>0</v>
      </c>
      <c r="AM24" s="337">
        <f>ROUND(SUMIFS(BS_RE33!$H$7:$H$874,BS_RE33!$S$7:$S$874,$AM$2,BS_RE33!$N$7:$N$874,I24,BS_RE33!$P$7:$P$874,'30 days CF Table(ALL)'!G24),2)</f>
        <v>0</v>
      </c>
      <c r="AN24" s="337">
        <f>ROUND(SUMIFS(BS_RE33!$H$7:$H$874,BS_RE33!$S$7:$S$874,$AN$2,BS_RE33!$N$7:$N$874,I24,BS_RE33!$P$7:$P$874,'30 days CF Table(ALL)'!G24),2)</f>
        <v>0</v>
      </c>
      <c r="AO24" s="337">
        <f>ROUND(SUMIFS(BS_RE33!$H$7:$H$874,BS_RE33!$S$7:$S$874,$AO$2,BS_RE33!$N$7:$N$874,I24,BS_RE33!$P$7:$P$874,'30 days CF Table(ALL)'!G24),2)</f>
        <v>0</v>
      </c>
      <c r="AP24" s="338">
        <f>ROUND(SUMIFS(BS_RE33!$H$7:$H$874,BS_RE33!$S$7:$S$874,$AP$2,BS_RE33!$N$7:$N$874,I24,BS_RE33!$P$7:$P$874,'30 days CF Table(ALL)'!G24),2)</f>
        <v>0</v>
      </c>
      <c r="AQ24" s="545"/>
      <c r="AR24" s="379">
        <f>ROUND(SUMIFS(BS_RE33!$H$7:$H$874,BS_RE33!$S$7:$S$874,$AR$2,BS_RE33!$N$7:$N$874,I24,BS_RE33!$P$7:$P$874,'30 days CF Table(ALL)'!G24),2)</f>
        <v>0</v>
      </c>
      <c r="AS24" s="379">
        <f>ROUND(SUMIFS(BS_RE33!$H$7:$H$874,BS_RE33!$S$7:$S$874,$AS$2,BS_RE33!$N$7:$N$874,I24,BS_RE33!$P$7:$P$874,'30 days CF Table(ALL)'!G24),2)</f>
        <v>0</v>
      </c>
      <c r="AT24" s="379">
        <f>ROUND(SUMIFS(BS_RE33!$H$7:$H$874,BS_RE33!$S$7:$S$874,$AT$2,BS_RE33!$N$7:$N$874,I24,BS_RE33!$P$7:$P$874,'30 days CF Table(ALL)'!G24),2)</f>
        <v>0</v>
      </c>
      <c r="AU24" s="379">
        <f>ROUND(SUMIFS(BS_RE33!$H$7:$H$874,BS_RE33!$S$7:$S$874,$AU$2,BS_RE33!$N$7:$N$874,I24,BS_RE33!$P$7:$P$874,'30 days CF Table(ALL)'!G24),2)</f>
        <v>0</v>
      </c>
      <c r="AV24" s="379">
        <f>ROUND(SUMIFS(BS_RE33!$H$7:$H$874,BS_RE33!$S$7:$S$874,$AV$2,BS_RE33!$N$7:$N$874,I24,BS_RE33!$P$7:$P$874,'30 days CF Table(ALL)'!G24),2)</f>
        <v>0</v>
      </c>
      <c r="AW24" s="379">
        <f>ROUND(SUMIFS(BS_RE33!$H$7:$H$874,BS_RE33!$S$7:$S$874,$AW$2,BS_RE33!$N$7:$N$874,I24,BS_RE33!$P$7:$P$874,'30 days CF Table(ALL)'!G24),2)</f>
        <v>0</v>
      </c>
      <c r="AX24" s="379">
        <f>ROUND(SUMIFS(BS_RE33!$H$7:$H$874,BS_RE33!$S$7:$S$874,$AX$2,BS_RE33!$N$7:$N$874,I24,BS_RE33!$P$7:$P$874,'30 days CF Table(ALL)'!G24),2)</f>
        <v>0</v>
      </c>
      <c r="AY24" s="379">
        <f>ROUND(SUMIFS(BS_RE33!$H$7:$H$874,BS_RE33!$S$7:$S$874,$AY$2,BS_RE33!$N$7:$N$874,I24,BS_RE33!$P$7:$P$874,'30 days CF Table(ALL)'!G24),2)</f>
        <v>0</v>
      </c>
      <c r="AZ24" s="379">
        <f>ROUND(SUMIFS(BS_RE33!$H$7:$H$874,BS_RE33!$S$7:$S$874,$AZ$2,BS_RE33!$N$7:$N$874,I24,BS_RE33!$P$7:$P$874,'30 days CF Table(ALL)'!G24),2)</f>
        <v>0</v>
      </c>
      <c r="BA24" s="379">
        <f>ROUND(SUMIFS(BS_RE33!$H$7:$H$874,BS_RE33!$S$7:$S$874,$BA$2,BS_RE33!$N$7:$N$874,I24,BS_RE33!$P$7:$P$874,'30 days CF Table(ALL)'!G24),2)</f>
        <v>0</v>
      </c>
      <c r="BB24" s="379">
        <f>ROUND(SUMIFS(BS_RE33!$H$7:$H$874,BS_RE33!$S$7:$S$874,$BB$2,BS_RE33!$N$7:$N$874,I24,BS_RE33!$P$7:$P$874,'30 days CF Table(ALL)'!G24),2)</f>
        <v>0</v>
      </c>
      <c r="BC24" s="379">
        <f>ROUND(SUMIFS(BS_RE33!$H$7:$H$874,BS_RE33!$S$7:$S$874,$BC$2,BS_RE33!$N$7:$N$874,I24,BS_RE33!$P$7:$P$874,'30 days CF Table(ALL)'!G24),2)</f>
        <v>0</v>
      </c>
      <c r="BD24" s="379">
        <f>ROUND(SUMIFS(BS_RE33!$H$7:$H$874,BS_RE33!$S$7:$S$874,$BD$2,BS_RE33!$N$7:$N$874,I24,BS_RE33!$P$7:$P$874,'30 days CF Table(ALL)'!G24),2)</f>
        <v>0</v>
      </c>
      <c r="BE24" s="379">
        <f>ROUND(SUMIFS(BS_RE33!$H$7:$H$874,BS_RE33!$S$7:$S$874,$BE$2,BS_RE33!$N$7:$N$874,I24,BS_RE33!$P$7:$P$874,'30 days CF Table(ALL)'!G24),2)</f>
        <v>0</v>
      </c>
      <c r="BF24" s="379">
        <f>ROUND(SUMIFS(BS_RE33!$H$7:$H$874,BS_RE33!$S$7:$S$874,$BF$2,BS_RE33!$N$7:$N$874,I24,BS_RE33!$P$7:$P$874,'30 days CF Table(ALL)'!G24),2)</f>
        <v>0</v>
      </c>
      <c r="BG24" s="379">
        <f>ROUND(SUMIFS(BS_RE33!$H$7:$H$874,BS_RE33!$S$7:$S$874,$BG$2,BS_RE33!$N$7:$N$874,I24,BS_RE33!$P$7:$P$874,'30 days CF Table(ALL)'!G24),2)</f>
        <v>0</v>
      </c>
      <c r="BH24" s="379">
        <f>ROUND(SUMIFS(BS_RE33!$H$7:$H$874,BS_RE33!$S$7:$S$874,$BH$2,BS_RE33!$N$7:$N$874,I24,BS_RE33!$P$7:$P$874,'30 days CF Table(ALL)'!G24),2)</f>
        <v>0</v>
      </c>
      <c r="BI24" s="379">
        <f>ROUND(SUMIFS(BS_RE33!$H$7:$H$874,BS_RE33!$S$7:$S$874,$BI$2,BS_RE33!$N$7:$N$874,I24,BS_RE33!$P$7:$P$874,'30 days CF Table(ALL)'!G24),2)</f>
        <v>0</v>
      </c>
      <c r="BJ24" s="379">
        <f>ROUND(SUMIFS(BS_RE33!$H$7:$H$874,BS_RE33!$S$7:$S$874,$BJ$2,BS_RE33!$N$7:$N$874,I24,BS_RE33!$P$7:$P$874,'30 days CF Table(ALL)'!G24),2)</f>
        <v>0</v>
      </c>
      <c r="BK24" s="379">
        <f>ROUND(SUMIFS(BS_RE33!$H$7:$H$874,BS_RE33!$S$7:$S$874,$BK$2,BS_RE33!$N$7:$N$874,I24,BS_RE33!$P$7:$P$874,'30 days CF Table(ALL)'!G24),2)</f>
        <v>0</v>
      </c>
    </row>
    <row r="25" spans="1:63">
      <c r="C25" s="1029" t="s">
        <v>810</v>
      </c>
      <c r="D25" s="1038" t="s">
        <v>761</v>
      </c>
      <c r="E25" s="306" t="s">
        <v>79</v>
      </c>
      <c r="F25" s="560" t="s">
        <v>491</v>
      </c>
      <c r="G25" s="392" t="s">
        <v>512</v>
      </c>
      <c r="H25" s="314">
        <v>0.25</v>
      </c>
      <c r="I25" s="315" t="s">
        <v>80</v>
      </c>
      <c r="J25" s="479">
        <f t="shared" si="3"/>
        <v>0</v>
      </c>
      <c r="K25" s="336">
        <f t="shared" si="4"/>
        <v>0</v>
      </c>
      <c r="L25" s="339">
        <f>ROUND(SUMIFS(BS_RE33!$H$7:$H$874,BS_RE33!$S$7:$S$874,$L$2,BS_RE33!$N$7:$N$874,I25,BS_RE33!$P$7:$P$874,'30 days CF Table(ALL)'!G25),2)</f>
        <v>0</v>
      </c>
      <c r="M25" s="339">
        <f>ROUND(SUMIFS(BS_RE33!$H$7:$H$874,BS_RE33!$S$7:$S$874,$M$2,BS_RE33!$N$7:$N$874,I25,BS_RE33!$P$7:$P$874,'30 days CF Table(ALL)'!G25),2)</f>
        <v>0</v>
      </c>
      <c r="N25" s="339">
        <f>ROUND(SUMIFS(BS_RE33!$H$7:$H$874,BS_RE33!$S$7:$S$874,$N$2,BS_RE33!$N$7:$N$874,I25,BS_RE33!$P$7:$P$874,'30 days CF Table(ALL)'!G25),2)</f>
        <v>0</v>
      </c>
      <c r="O25" s="339">
        <f>ROUND(SUMIFS(BS_RE33!$H$7:$H$874,BS_RE33!$S$7:$S$874,$O$2,BS_RE33!$N$7:$N$874,I25,BS_RE33!$P$7:$P$874,'30 days CF Table(ALL)'!G25),2)</f>
        <v>0</v>
      </c>
      <c r="P25" s="339">
        <f>ROUND(SUMIFS(BS_RE33!$H$7:$H$874,BS_RE33!$S$7:$S$874,$P$2,BS_RE33!$N$7:$N$874,I25,BS_RE33!$P$7:$P$874,'30 days CF Table(ALL)'!G25),2)</f>
        <v>0</v>
      </c>
      <c r="Q25" s="339">
        <f>ROUND(SUMIFS(BS_RE33!$H$7:$H$874,BS_RE33!$S$7:$S$874,$Q$2,BS_RE33!$N$7:$N$874,I25,BS_RE33!$P$7:$P$874,'30 days CF Table(ALL)'!G25),2)</f>
        <v>0</v>
      </c>
      <c r="R25" s="339">
        <f>ROUND(SUMIFS(BS_RE33!$H$7:$H$874,BS_RE33!$S$7:$S$874,$R$2,BS_RE33!$N$7:$N$874,I25,BS_RE33!$P$7:$P$874,'30 days CF Table(ALL)'!G25),2)</f>
        <v>0</v>
      </c>
      <c r="S25" s="339">
        <f>ROUND(SUMIFS(BS_RE33!$H$7:$H$874,BS_RE33!$S$7:$S$874,$S$2,BS_RE33!$N$7:$N$874,I25,BS_RE33!$P$7:$P$874,'30 days CF Table(ALL)'!G25),2)</f>
        <v>0</v>
      </c>
      <c r="T25" s="339">
        <f>ROUND(SUMIFS(BS_RE33!$H$7:$H$874,BS_RE33!$S$7:$S$874,$T$2,BS_RE33!$N$7:$N$874,I25,BS_RE33!$P$7:$P$874,'30 days CF Table(ALL)'!G25),2)</f>
        <v>0</v>
      </c>
      <c r="U25" s="339">
        <f>ROUND(SUMIFS(BS_RE33!$H$7:$H$874,BS_RE33!$S$7:$S$874,$U$2,BS_RE33!$N$7:$N$874,I25,BS_RE33!$P$7:$P$874,'30 days CF Table(ALL)'!G25),2)</f>
        <v>0</v>
      </c>
      <c r="V25" s="339">
        <f>ROUND(SUMIFS(BS_RE33!$H$7:$H$874,BS_RE33!$S$7:$S$874,$V$2,BS_RE33!$N$7:$N$874,I25,BS_RE33!$P$7:$P$874,'30 days CF Table(ALL)'!G25),2)</f>
        <v>0</v>
      </c>
      <c r="W25" s="339">
        <f>ROUND(SUMIFS(BS_RE33!$H$7:$H$874,BS_RE33!$S$7:$S$874,$W$2,BS_RE33!$N$7:$N$874,I25,BS_RE33!$P$7:$P$874,'30 days CF Table(ALL)'!G25),2)</f>
        <v>0</v>
      </c>
      <c r="X25" s="339">
        <f>ROUND(SUMIFS(BS_RE33!$H$7:$H$874,BS_RE33!$S$7:$S$874,$X$2,BS_RE33!$N$7:$N$874,I25,BS_RE33!$P$7:$P$874,'30 days CF Table(ALL)'!G25),2)</f>
        <v>0</v>
      </c>
      <c r="Y25" s="339">
        <f>ROUND(SUMIFS(BS_RE33!$H$7:$H$874,BS_RE33!$S$7:$S$874,$Y$2,BS_RE33!$N$7:$N$874,I25,BS_RE33!$P$7:$P$874,'30 days CF Table(ALL)'!G25),2)</f>
        <v>0</v>
      </c>
      <c r="Z25" s="339">
        <f>ROUND(SUMIFS(BS_RE33!$H$7:$H$874,BS_RE33!$S$7:$S$874,$Z$2,BS_RE33!$N$7:$N$874,I25,BS_RE33!$P$7:$P$874,'30 days CF Table(ALL)'!G25),2)</f>
        <v>0</v>
      </c>
      <c r="AA25" s="339">
        <f>ROUND(SUMIFS(BS_RE33!$H$7:$H$874,BS_RE33!$S$7:$S$874,$AA$2,BS_RE33!$N$7:$N$874,I25,BS_RE33!$P$7:$P$874,'30 days CF Table(ALL)'!G25),2)</f>
        <v>0</v>
      </c>
      <c r="AB25" s="339">
        <f>ROUND(SUMIFS(BS_RE33!$H$7:$H$874,BS_RE33!$S$7:$S$874,$AB$2,BS_RE33!$N$7:$N$874,I25,BS_RE33!$P$7:$P$874,'30 days CF Table(ALL)'!G25),2)</f>
        <v>0</v>
      </c>
      <c r="AC25" s="339">
        <f>ROUND(SUMIFS(BS_RE33!$H$7:$H$874,BS_RE33!$S$7:$S$874,$AC$2,BS_RE33!$N$7:$N$874,I25,BS_RE33!$P$7:$P$874,'30 days CF Table(ALL)'!G25),2)</f>
        <v>0</v>
      </c>
      <c r="AD25" s="339">
        <f>ROUND(SUMIFS(BS_RE33!$H$7:$H$874,BS_RE33!$S$7:$S$874,$AD$2,BS_RE33!$N$7:$N$874,I25,BS_RE33!$P$7:$P$874,'30 days CF Table(ALL)'!G25),2)</f>
        <v>0</v>
      </c>
      <c r="AE25" s="339">
        <f>ROUND(SUMIFS(BS_RE33!$H$7:$H$874,BS_RE33!$S$7:$S$874,$AE$2,BS_RE33!$N$7:$N$874,I25,BS_RE33!$P$7:$P$874,'30 days CF Table(ALL)'!G25),2)</f>
        <v>0</v>
      </c>
      <c r="AF25" s="339">
        <f>ROUND(SUMIFS(BS_RE33!$H$7:$H$874,BS_RE33!$S$7:$S$874,$AF$2,BS_RE33!$N$7:$N$874,I25,BS_RE33!$P$7:$P$874,'30 days CF Table(ALL)'!G25),2)</f>
        <v>0</v>
      </c>
      <c r="AG25" s="339">
        <f>ROUND(SUMIFS(BS_RE33!$H$7:$H$874,BS_RE33!$S$7:$S$874,$AG$2,BS_RE33!$N$7:$N$874,I25,BS_RE33!$P$7:$P$874,'30 days CF Table(ALL)'!G25),2)</f>
        <v>0</v>
      </c>
      <c r="AH25" s="339">
        <f>ROUND(SUMIFS(BS_RE33!$H$7:$H$874,BS_RE33!$S$7:$S$874,$AH$2,BS_RE33!$N$7:$N$874,I25,BS_RE33!$P$7:$P$874,'30 days CF Table(ALL)'!G25),2)</f>
        <v>0</v>
      </c>
      <c r="AI25" s="339">
        <f>ROUND(SUMIFS(BS_RE33!$H$7:$H$874,BS_RE33!$S$7:$S$874,$AI$2,BS_RE33!$N$7:$N$874,I25,BS_RE33!$P$7:$P$874,'30 days CF Table(ALL)'!G25),2)</f>
        <v>0</v>
      </c>
      <c r="AJ25" s="339">
        <f>ROUND(SUMIFS(BS_RE33!$H$7:$H$874,BS_RE33!$S$7:$S$874,$AJ$2,BS_RE33!$N$7:$N$874,I25,BS_RE33!$P$7:$P$874,'30 days CF Table(ALL)'!G25),2)</f>
        <v>0</v>
      </c>
      <c r="AK25" s="339">
        <f>ROUND(SUMIFS(BS_RE33!$H$7:$H$874,BS_RE33!$S$7:$S$874,$AK$2,BS_RE33!$N$7:$N$874,I25,BS_RE33!$P$7:$P$874,'30 days CF Table(ALL)'!G25),2)</f>
        <v>0</v>
      </c>
      <c r="AL25" s="339">
        <f>ROUND(SUMIFS(BS_RE33!$H$7:$H$874,BS_RE33!$S$7:$S$874,$AL$2,BS_RE33!$N$7:$N$874,I25,BS_RE33!$P$7:$P$874,'30 days CF Table(ALL)'!G25),2)</f>
        <v>0</v>
      </c>
      <c r="AM25" s="339">
        <f>ROUND(SUMIFS(BS_RE33!$H$7:$H$874,BS_RE33!$S$7:$S$874,$AM$2,BS_RE33!$N$7:$N$874,I25,BS_RE33!$P$7:$P$874,'30 days CF Table(ALL)'!G25),2)</f>
        <v>0</v>
      </c>
      <c r="AN25" s="339">
        <f>ROUND(SUMIFS(BS_RE33!$H$7:$H$874,BS_RE33!$S$7:$S$874,$AN$2,BS_RE33!$N$7:$N$874,I25,BS_RE33!$P$7:$P$874,'30 days CF Table(ALL)'!G25),2)</f>
        <v>0</v>
      </c>
      <c r="AO25" s="339">
        <f>ROUND(SUMIFS(BS_RE33!$H$7:$H$874,BS_RE33!$S$7:$S$874,$AO$2,BS_RE33!$N$7:$N$874,I25,BS_RE33!$P$7:$P$874,'30 days CF Table(ALL)'!G25),2)</f>
        <v>0</v>
      </c>
      <c r="AP25" s="340">
        <f>ROUND(SUMIFS(BS_RE33!$H$7:$H$874,BS_RE33!$S$7:$S$874,$AP$2,BS_RE33!$N$7:$N$874,I25,BS_RE33!$P$7:$P$874,'30 days CF Table(ALL)'!G25),2)</f>
        <v>0</v>
      </c>
      <c r="AR25" s="381">
        <f>ROUND(SUMIFS(BS_RE33!$H$7:$H$874,BS_RE33!$S$7:$S$874,$AR$2,BS_RE33!$N$7:$N$874,I25,BS_RE33!$P$7:$P$874,'30 days CF Table(ALL)'!G25),2)</f>
        <v>0</v>
      </c>
      <c r="AS25" s="381">
        <f>ROUND(SUMIFS(BS_RE33!$H$7:$H$874,BS_RE33!$S$7:$S$874,$AS$2,BS_RE33!$N$7:$N$874,I25,BS_RE33!$P$7:$P$874,'30 days CF Table(ALL)'!G25),2)</f>
        <v>0</v>
      </c>
      <c r="AT25" s="381">
        <f>ROUND(SUMIFS(BS_RE33!$H$7:$H$874,BS_RE33!$S$7:$S$874,$AT$2,BS_RE33!$N$7:$N$874,I25,BS_RE33!$P$7:$P$874,'30 days CF Table(ALL)'!G25),2)</f>
        <v>0</v>
      </c>
      <c r="AU25" s="381">
        <f>ROUND(SUMIFS(BS_RE33!$H$7:$H$874,BS_RE33!$S$7:$S$874,$AU$2,BS_RE33!$N$7:$N$874,I25,BS_RE33!$P$7:$P$874,'30 days CF Table(ALL)'!G25),2)</f>
        <v>0</v>
      </c>
      <c r="AV25" s="381">
        <f>ROUND(SUMIFS(BS_RE33!$H$7:$H$874,BS_RE33!$S$7:$S$874,$AV$2,BS_RE33!$N$7:$N$874,I25,BS_RE33!$P$7:$P$874,'30 days CF Table(ALL)'!G25),2)</f>
        <v>0</v>
      </c>
      <c r="AW25" s="381">
        <f>ROUND(SUMIFS(BS_RE33!$H$7:$H$874,BS_RE33!$S$7:$S$874,$AW$2,BS_RE33!$N$7:$N$874,I25,BS_RE33!$P$7:$P$874,'30 days CF Table(ALL)'!G25),2)</f>
        <v>0</v>
      </c>
      <c r="AX25" s="381">
        <f>ROUND(SUMIFS(BS_RE33!$H$7:$H$874,BS_RE33!$S$7:$S$874,$AX$2,BS_RE33!$N$7:$N$874,I25,BS_RE33!$P$7:$P$874,'30 days CF Table(ALL)'!G25),2)</f>
        <v>0</v>
      </c>
      <c r="AY25" s="381">
        <f>ROUND(SUMIFS(BS_RE33!$H$7:$H$874,BS_RE33!$S$7:$S$874,$AY$2,BS_RE33!$N$7:$N$874,I25,BS_RE33!$P$7:$P$874,'30 days CF Table(ALL)'!G25),2)</f>
        <v>0</v>
      </c>
      <c r="AZ25" s="381">
        <f>ROUND(SUMIFS(BS_RE33!$H$7:$H$874,BS_RE33!$S$7:$S$874,$AZ$2,BS_RE33!$N$7:$N$874,I25,BS_RE33!$P$7:$P$874,'30 days CF Table(ALL)'!G25),2)</f>
        <v>0</v>
      </c>
      <c r="BA25" s="381">
        <f>ROUND(SUMIFS(BS_RE33!$H$7:$H$874,BS_RE33!$S$7:$S$874,$BA$2,BS_RE33!$N$7:$N$874,I25,BS_RE33!$P$7:$P$874,'30 days CF Table(ALL)'!G25),2)</f>
        <v>0</v>
      </c>
      <c r="BB25" s="381">
        <f>ROUND(SUMIFS(BS_RE33!$H$7:$H$874,BS_RE33!$S$7:$S$874,$BB$2,BS_RE33!$N$7:$N$874,I25,BS_RE33!$P$7:$P$874,'30 days CF Table(ALL)'!G25),2)</f>
        <v>0</v>
      </c>
      <c r="BC25" s="381">
        <f>ROUND(SUMIFS(BS_RE33!$H$7:$H$874,BS_RE33!$S$7:$S$874,$BC$2,BS_RE33!$N$7:$N$874,I25,BS_RE33!$P$7:$P$874,'30 days CF Table(ALL)'!G25),2)</f>
        <v>0</v>
      </c>
      <c r="BD25" s="381">
        <f>ROUND(SUMIFS(BS_RE33!$H$7:$H$874,BS_RE33!$S$7:$S$874,$BD$2,BS_RE33!$N$7:$N$874,I25,BS_RE33!$P$7:$P$874,'30 days CF Table(ALL)'!G25),2)</f>
        <v>0</v>
      </c>
      <c r="BE25" s="381">
        <f>ROUND(SUMIFS(BS_RE33!$H$7:$H$874,BS_RE33!$S$7:$S$874,$BE$2,BS_RE33!$N$7:$N$874,I25,BS_RE33!$P$7:$P$874,'30 days CF Table(ALL)'!G25),2)</f>
        <v>0</v>
      </c>
      <c r="BF25" s="381">
        <f>ROUND(SUMIFS(BS_RE33!$H$7:$H$874,BS_RE33!$S$7:$S$874,$BF$2,BS_RE33!$N$7:$N$874,I25,BS_RE33!$P$7:$P$874,'30 days CF Table(ALL)'!G25),2)</f>
        <v>0</v>
      </c>
      <c r="BG25" s="381">
        <f>ROUND(SUMIFS(BS_RE33!$H$7:$H$874,BS_RE33!$S$7:$S$874,$BG$2,BS_RE33!$N$7:$N$874,I25,BS_RE33!$P$7:$P$874,'30 days CF Table(ALL)'!G25),2)</f>
        <v>0</v>
      </c>
      <c r="BH25" s="381">
        <f>ROUND(SUMIFS(BS_RE33!$H$7:$H$874,BS_RE33!$S$7:$S$874,$BH$2,BS_RE33!$N$7:$N$874,I25,BS_RE33!$P$7:$P$874,'30 days CF Table(ALL)'!G25),2)</f>
        <v>0</v>
      </c>
      <c r="BI25" s="381">
        <f>ROUND(SUMIFS(BS_RE33!$H$7:$H$874,BS_RE33!$S$7:$S$874,$BI$2,BS_RE33!$N$7:$N$874,I25,BS_RE33!$P$7:$P$874,'30 days CF Table(ALL)'!G25),2)</f>
        <v>0</v>
      </c>
      <c r="BJ25" s="381">
        <f>ROUND(SUMIFS(BS_RE33!$H$7:$H$874,BS_RE33!$S$7:$S$874,$BJ$2,BS_RE33!$N$7:$N$874,I25,BS_RE33!$P$7:$P$874,'30 days CF Table(ALL)'!G25),2)</f>
        <v>0</v>
      </c>
      <c r="BK25" s="381">
        <f>ROUND(SUMIFS(BS_RE33!$H$7:$H$874,BS_RE33!$S$7:$S$874,$BK$2,BS_RE33!$N$7:$N$874,I25,BS_RE33!$P$7:$P$874,'30 days CF Table(ALL)'!G25),2)</f>
        <v>0</v>
      </c>
    </row>
    <row r="26" spans="1:63">
      <c r="C26" s="1029"/>
      <c r="D26" s="1039"/>
      <c r="E26" s="306" t="s">
        <v>79</v>
      </c>
      <c r="F26" s="560" t="s">
        <v>490</v>
      </c>
      <c r="G26" s="392" t="s">
        <v>514</v>
      </c>
      <c r="H26" s="314">
        <v>0.25</v>
      </c>
      <c r="I26" s="315" t="s">
        <v>80</v>
      </c>
      <c r="J26" s="479">
        <f t="shared" si="3"/>
        <v>0</v>
      </c>
      <c r="K26" s="336">
        <f t="shared" si="4"/>
        <v>0</v>
      </c>
      <c r="L26" s="339">
        <f>ROUND(SUMIFS(BS_RE33!$H$7:$H$874,BS_RE33!$S$7:$S$874,$L$2,BS_RE33!$N$7:$N$874,I26,BS_RE33!$P$7:$P$874,'30 days CF Table(ALL)'!G26),2)</f>
        <v>0</v>
      </c>
      <c r="M26" s="339">
        <f>ROUND(SUMIFS(BS_RE33!$H$7:$H$874,BS_RE33!$S$7:$S$874,$M$2,BS_RE33!$N$7:$N$874,I26,BS_RE33!$P$7:$P$874,'30 days CF Table(ALL)'!G26),2)</f>
        <v>0</v>
      </c>
      <c r="N26" s="339">
        <f>ROUND(SUMIFS(BS_RE33!$H$7:$H$874,BS_RE33!$S$7:$S$874,$N$2,BS_RE33!$N$7:$N$874,I26,BS_RE33!$P$7:$P$874,'30 days CF Table(ALL)'!G26),2)</f>
        <v>0</v>
      </c>
      <c r="O26" s="339">
        <f>ROUND(SUMIFS(BS_RE33!$H$7:$H$874,BS_RE33!$S$7:$S$874,$O$2,BS_RE33!$N$7:$N$874,I26,BS_RE33!$P$7:$P$874,'30 days CF Table(ALL)'!G26),2)</f>
        <v>0</v>
      </c>
      <c r="P26" s="339">
        <f>ROUND(SUMIFS(BS_RE33!$H$7:$H$874,BS_RE33!$S$7:$S$874,$P$2,BS_RE33!$N$7:$N$874,I26,BS_RE33!$P$7:$P$874,'30 days CF Table(ALL)'!G26),2)</f>
        <v>0</v>
      </c>
      <c r="Q26" s="339">
        <f>ROUND(SUMIFS(BS_RE33!$H$7:$H$874,BS_RE33!$S$7:$S$874,$Q$2,BS_RE33!$N$7:$N$874,I26,BS_RE33!$P$7:$P$874,'30 days CF Table(ALL)'!G26),2)</f>
        <v>0</v>
      </c>
      <c r="R26" s="339">
        <f>ROUND(SUMIFS(BS_RE33!$H$7:$H$874,BS_RE33!$S$7:$S$874,$R$2,BS_RE33!$N$7:$N$874,I26,BS_RE33!$P$7:$P$874,'30 days CF Table(ALL)'!G26),2)</f>
        <v>0</v>
      </c>
      <c r="S26" s="339">
        <f>ROUND(SUMIFS(BS_RE33!$H$7:$H$874,BS_RE33!$S$7:$S$874,$S$2,BS_RE33!$N$7:$N$874,I26,BS_RE33!$P$7:$P$874,'30 days CF Table(ALL)'!G26),2)</f>
        <v>0</v>
      </c>
      <c r="T26" s="339">
        <f>ROUND(SUMIFS(BS_RE33!$H$7:$H$874,BS_RE33!$S$7:$S$874,$T$2,BS_RE33!$N$7:$N$874,I26,BS_RE33!$P$7:$P$874,'30 days CF Table(ALL)'!G26),2)</f>
        <v>0</v>
      </c>
      <c r="U26" s="339">
        <f>ROUND(SUMIFS(BS_RE33!$H$7:$H$874,BS_RE33!$S$7:$S$874,$U$2,BS_RE33!$N$7:$N$874,I26,BS_RE33!$P$7:$P$874,'30 days CF Table(ALL)'!G26),2)</f>
        <v>0</v>
      </c>
      <c r="V26" s="339">
        <f>ROUND(SUMIFS(BS_RE33!$H$7:$H$874,BS_RE33!$S$7:$S$874,$V$2,BS_RE33!$N$7:$N$874,I26,BS_RE33!$P$7:$P$874,'30 days CF Table(ALL)'!G26),2)</f>
        <v>0</v>
      </c>
      <c r="W26" s="339">
        <f>ROUND(SUMIFS(BS_RE33!$H$7:$H$874,BS_RE33!$S$7:$S$874,$W$2,BS_RE33!$N$7:$N$874,I26,BS_RE33!$P$7:$P$874,'30 days CF Table(ALL)'!G26),2)</f>
        <v>0</v>
      </c>
      <c r="X26" s="339">
        <f>ROUND(SUMIFS(BS_RE33!$H$7:$H$874,BS_RE33!$S$7:$S$874,$X$2,BS_RE33!$N$7:$N$874,I26,BS_RE33!$P$7:$P$874,'30 days CF Table(ALL)'!G26),2)</f>
        <v>0</v>
      </c>
      <c r="Y26" s="339">
        <f>ROUND(SUMIFS(BS_RE33!$H$7:$H$874,BS_RE33!$S$7:$S$874,$Y$2,BS_RE33!$N$7:$N$874,I26,BS_RE33!$P$7:$P$874,'30 days CF Table(ALL)'!G26),2)</f>
        <v>0</v>
      </c>
      <c r="Z26" s="339">
        <f>ROUND(SUMIFS(BS_RE33!$H$7:$H$874,BS_RE33!$S$7:$S$874,$Z$2,BS_RE33!$N$7:$N$874,I26,BS_RE33!$P$7:$P$874,'30 days CF Table(ALL)'!G26),2)</f>
        <v>0</v>
      </c>
      <c r="AA26" s="339">
        <f>ROUND(SUMIFS(BS_RE33!$H$7:$H$874,BS_RE33!$S$7:$S$874,$AA$2,BS_RE33!$N$7:$N$874,I26,BS_RE33!$P$7:$P$874,'30 days CF Table(ALL)'!G26),2)</f>
        <v>0</v>
      </c>
      <c r="AB26" s="339">
        <f>ROUND(SUMIFS(BS_RE33!$H$7:$H$874,BS_RE33!$S$7:$S$874,$AB$2,BS_RE33!$N$7:$N$874,I26,BS_RE33!$P$7:$P$874,'30 days CF Table(ALL)'!G26),2)</f>
        <v>0</v>
      </c>
      <c r="AC26" s="339">
        <f>ROUND(SUMIFS(BS_RE33!$H$7:$H$874,BS_RE33!$S$7:$S$874,$AC$2,BS_RE33!$N$7:$N$874,I26,BS_RE33!$P$7:$P$874,'30 days CF Table(ALL)'!G26),2)</f>
        <v>0</v>
      </c>
      <c r="AD26" s="339">
        <f>ROUND(SUMIFS(BS_RE33!$H$7:$H$874,BS_RE33!$S$7:$S$874,$AD$2,BS_RE33!$N$7:$N$874,I26,BS_RE33!$P$7:$P$874,'30 days CF Table(ALL)'!G26),2)</f>
        <v>0</v>
      </c>
      <c r="AE26" s="339">
        <f>ROUND(SUMIFS(BS_RE33!$H$7:$H$874,BS_RE33!$S$7:$S$874,$AE$2,BS_RE33!$N$7:$N$874,I26,BS_RE33!$P$7:$P$874,'30 days CF Table(ALL)'!G26),2)</f>
        <v>0</v>
      </c>
      <c r="AF26" s="339">
        <f>ROUND(SUMIFS(BS_RE33!$H$7:$H$874,BS_RE33!$S$7:$S$874,$AF$2,BS_RE33!$N$7:$N$874,I26,BS_RE33!$P$7:$P$874,'30 days CF Table(ALL)'!G26),2)</f>
        <v>0</v>
      </c>
      <c r="AG26" s="339">
        <f>ROUND(SUMIFS(BS_RE33!$H$7:$H$874,BS_RE33!$S$7:$S$874,$AG$2,BS_RE33!$N$7:$N$874,I26,BS_RE33!$P$7:$P$874,'30 days CF Table(ALL)'!G26),2)</f>
        <v>0</v>
      </c>
      <c r="AH26" s="339">
        <f>ROUND(SUMIFS(BS_RE33!$H$7:$H$874,BS_RE33!$S$7:$S$874,$AH$2,BS_RE33!$N$7:$N$874,I26,BS_RE33!$P$7:$P$874,'30 days CF Table(ALL)'!G26),2)</f>
        <v>0</v>
      </c>
      <c r="AI26" s="339">
        <f>ROUND(SUMIFS(BS_RE33!$H$7:$H$874,BS_RE33!$S$7:$S$874,$AI$2,BS_RE33!$N$7:$N$874,I26,BS_RE33!$P$7:$P$874,'30 days CF Table(ALL)'!G26),2)</f>
        <v>0</v>
      </c>
      <c r="AJ26" s="339">
        <f>ROUND(SUMIFS(BS_RE33!$H$7:$H$874,BS_RE33!$S$7:$S$874,$AJ$2,BS_RE33!$N$7:$N$874,I26,BS_RE33!$P$7:$P$874,'30 days CF Table(ALL)'!G26),2)</f>
        <v>0</v>
      </c>
      <c r="AK26" s="339">
        <f>ROUND(SUMIFS(BS_RE33!$H$7:$H$874,BS_RE33!$S$7:$S$874,$AK$2,BS_RE33!$N$7:$N$874,I26,BS_RE33!$P$7:$P$874,'30 days CF Table(ALL)'!G26),2)</f>
        <v>0</v>
      </c>
      <c r="AL26" s="339">
        <f>ROUND(SUMIFS(BS_RE33!$H$7:$H$874,BS_RE33!$S$7:$S$874,$AL$2,BS_RE33!$N$7:$N$874,I26,BS_RE33!$P$7:$P$874,'30 days CF Table(ALL)'!G26),2)</f>
        <v>0</v>
      </c>
      <c r="AM26" s="339">
        <f>ROUND(SUMIFS(BS_RE33!$H$7:$H$874,BS_RE33!$S$7:$S$874,$AM$2,BS_RE33!$N$7:$N$874,I26,BS_RE33!$P$7:$P$874,'30 days CF Table(ALL)'!G26),2)</f>
        <v>0</v>
      </c>
      <c r="AN26" s="339">
        <f>ROUND(SUMIFS(BS_RE33!$H$7:$H$874,BS_RE33!$S$7:$S$874,$AN$2,BS_RE33!$N$7:$N$874,I26,BS_RE33!$P$7:$P$874,'30 days CF Table(ALL)'!G26),2)</f>
        <v>0</v>
      </c>
      <c r="AO26" s="339">
        <f>ROUND(SUMIFS(BS_RE33!$H$7:$H$874,BS_RE33!$S$7:$S$874,$AO$2,BS_RE33!$N$7:$N$874,I26,BS_RE33!$P$7:$P$874,'30 days CF Table(ALL)'!G26),2)</f>
        <v>0</v>
      </c>
      <c r="AP26" s="340">
        <f>ROUND(SUMIFS(BS_RE33!$H$7:$H$874,BS_RE33!$S$7:$S$874,$AP$2,BS_RE33!$N$7:$N$874,I26,BS_RE33!$P$7:$P$874,'30 days CF Table(ALL)'!G26),2)</f>
        <v>0</v>
      </c>
      <c r="AR26" s="381">
        <f>ROUND(SUMIFS(BS_RE33!$H$7:$H$874,BS_RE33!$S$7:$S$874,$AR$2,BS_RE33!$N$7:$N$874,I26,BS_RE33!$P$7:$P$874,'30 days CF Table(ALL)'!G26),2)</f>
        <v>0</v>
      </c>
      <c r="AS26" s="381">
        <f>ROUND(SUMIFS(BS_RE33!$H$7:$H$874,BS_RE33!$S$7:$S$874,$AS$2,BS_RE33!$N$7:$N$874,I26,BS_RE33!$P$7:$P$874,'30 days CF Table(ALL)'!G26),2)</f>
        <v>0</v>
      </c>
      <c r="AT26" s="381">
        <f>ROUND(SUMIFS(BS_RE33!$H$7:$H$874,BS_RE33!$S$7:$S$874,$AT$2,BS_RE33!$N$7:$N$874,I26,BS_RE33!$P$7:$P$874,'30 days CF Table(ALL)'!G26),2)</f>
        <v>0</v>
      </c>
      <c r="AU26" s="381">
        <f>ROUND(SUMIFS(BS_RE33!$H$7:$H$874,BS_RE33!$S$7:$S$874,$AU$2,BS_RE33!$N$7:$N$874,I26,BS_RE33!$P$7:$P$874,'30 days CF Table(ALL)'!G26),2)</f>
        <v>0</v>
      </c>
      <c r="AV26" s="381">
        <f>ROUND(SUMIFS(BS_RE33!$H$7:$H$874,BS_RE33!$S$7:$S$874,$AV$2,BS_RE33!$N$7:$N$874,I26,BS_RE33!$P$7:$P$874,'30 days CF Table(ALL)'!G26),2)</f>
        <v>0</v>
      </c>
      <c r="AW26" s="381">
        <f>ROUND(SUMIFS(BS_RE33!$H$7:$H$874,BS_RE33!$S$7:$S$874,$AW$2,BS_RE33!$N$7:$N$874,I26,BS_RE33!$P$7:$P$874,'30 days CF Table(ALL)'!G26),2)</f>
        <v>0</v>
      </c>
      <c r="AX26" s="381">
        <f>ROUND(SUMIFS(BS_RE33!$H$7:$H$874,BS_RE33!$S$7:$S$874,$AX$2,BS_RE33!$N$7:$N$874,I26,BS_RE33!$P$7:$P$874,'30 days CF Table(ALL)'!G26),2)</f>
        <v>0</v>
      </c>
      <c r="AY26" s="381">
        <f>ROUND(SUMIFS(BS_RE33!$H$7:$H$874,BS_RE33!$S$7:$S$874,$AY$2,BS_RE33!$N$7:$N$874,I26,BS_RE33!$P$7:$P$874,'30 days CF Table(ALL)'!G26),2)</f>
        <v>0</v>
      </c>
      <c r="AZ26" s="381">
        <f>ROUND(SUMIFS(BS_RE33!$H$7:$H$874,BS_RE33!$S$7:$S$874,$AZ$2,BS_RE33!$N$7:$N$874,I26,BS_RE33!$P$7:$P$874,'30 days CF Table(ALL)'!G26),2)</f>
        <v>0</v>
      </c>
      <c r="BA26" s="381">
        <f>ROUND(SUMIFS(BS_RE33!$H$7:$H$874,BS_RE33!$S$7:$S$874,$BA$2,BS_RE33!$N$7:$N$874,I26,BS_RE33!$P$7:$P$874,'30 days CF Table(ALL)'!G26),2)</f>
        <v>0</v>
      </c>
      <c r="BB26" s="381">
        <f>ROUND(SUMIFS(BS_RE33!$H$7:$H$874,BS_RE33!$S$7:$S$874,$BB$2,BS_RE33!$N$7:$N$874,I26,BS_RE33!$P$7:$P$874,'30 days CF Table(ALL)'!G26),2)</f>
        <v>0</v>
      </c>
      <c r="BC26" s="381">
        <f>ROUND(SUMIFS(BS_RE33!$H$7:$H$874,BS_RE33!$S$7:$S$874,$BC$2,BS_RE33!$N$7:$N$874,I26,BS_RE33!$P$7:$P$874,'30 days CF Table(ALL)'!G26),2)</f>
        <v>0</v>
      </c>
      <c r="BD26" s="381">
        <f>ROUND(SUMIFS(BS_RE33!$H$7:$H$874,BS_RE33!$S$7:$S$874,$BD$2,BS_RE33!$N$7:$N$874,I26,BS_RE33!$P$7:$P$874,'30 days CF Table(ALL)'!G26),2)</f>
        <v>0</v>
      </c>
      <c r="BE26" s="381">
        <f>ROUND(SUMIFS(BS_RE33!$H$7:$H$874,BS_RE33!$S$7:$S$874,$BE$2,BS_RE33!$N$7:$N$874,I26,BS_RE33!$P$7:$P$874,'30 days CF Table(ALL)'!G26),2)</f>
        <v>0</v>
      </c>
      <c r="BF26" s="381">
        <f>ROUND(SUMIFS(BS_RE33!$H$7:$H$874,BS_RE33!$S$7:$S$874,$BF$2,BS_RE33!$N$7:$N$874,I26,BS_RE33!$P$7:$P$874,'30 days CF Table(ALL)'!G26),2)</f>
        <v>0</v>
      </c>
      <c r="BG26" s="381">
        <f>ROUND(SUMIFS(BS_RE33!$H$7:$H$874,BS_RE33!$S$7:$S$874,$BG$2,BS_RE33!$N$7:$N$874,I26,BS_RE33!$P$7:$P$874,'30 days CF Table(ALL)'!G26),2)</f>
        <v>0</v>
      </c>
      <c r="BH26" s="381">
        <f>ROUND(SUMIFS(BS_RE33!$H$7:$H$874,BS_RE33!$S$7:$S$874,$BH$2,BS_RE33!$N$7:$N$874,I26,BS_RE33!$P$7:$P$874,'30 days CF Table(ALL)'!G26),2)</f>
        <v>0</v>
      </c>
      <c r="BI26" s="381">
        <f>ROUND(SUMIFS(BS_RE33!$H$7:$H$874,BS_RE33!$S$7:$S$874,$BI$2,BS_RE33!$N$7:$N$874,I26,BS_RE33!$P$7:$P$874,'30 days CF Table(ALL)'!G26),2)</f>
        <v>0</v>
      </c>
      <c r="BJ26" s="381">
        <f>ROUND(SUMIFS(BS_RE33!$H$7:$H$874,BS_RE33!$S$7:$S$874,$BJ$2,BS_RE33!$N$7:$N$874,I26,BS_RE33!$P$7:$P$874,'30 days CF Table(ALL)'!G26),2)</f>
        <v>0</v>
      </c>
      <c r="BK26" s="381">
        <f>ROUND(SUMIFS(BS_RE33!$H$7:$H$874,BS_RE33!$S$7:$S$874,$BK$2,BS_RE33!$N$7:$N$874,I26,BS_RE33!$P$7:$P$874,'30 days CF Table(ALL)'!G26),2)</f>
        <v>0</v>
      </c>
    </row>
    <row r="27" spans="1:63">
      <c r="C27" s="1029"/>
      <c r="D27" s="1039"/>
      <c r="E27" s="306" t="s">
        <v>79</v>
      </c>
      <c r="F27" s="560" t="s">
        <v>489</v>
      </c>
      <c r="G27" s="392" t="s">
        <v>515</v>
      </c>
      <c r="H27" s="314">
        <v>0.25</v>
      </c>
      <c r="I27" s="315" t="s">
        <v>80</v>
      </c>
      <c r="J27" s="479">
        <f t="shared" si="3"/>
        <v>0</v>
      </c>
      <c r="K27" s="336">
        <f t="shared" si="4"/>
        <v>0</v>
      </c>
      <c r="L27" s="339">
        <f>ROUND(SUMIFS(BS_RE33!$H$7:$H$874,BS_RE33!$S$7:$S$874,$L$2,BS_RE33!$N$7:$N$874,I27,BS_RE33!$P$7:$P$874,'30 days CF Table(ALL)'!G27),2)</f>
        <v>0</v>
      </c>
      <c r="M27" s="339">
        <f>ROUND(SUMIFS(BS_RE33!$H$7:$H$874,BS_RE33!$S$7:$S$874,$M$2,BS_RE33!$N$7:$N$874,I27,BS_RE33!$P$7:$P$874,'30 days CF Table(ALL)'!G27),2)</f>
        <v>0</v>
      </c>
      <c r="N27" s="339">
        <f>ROUND(SUMIFS(BS_RE33!$H$7:$H$874,BS_RE33!$S$7:$S$874,$N$2,BS_RE33!$N$7:$N$874,I27,BS_RE33!$P$7:$P$874,'30 days CF Table(ALL)'!G27),2)</f>
        <v>0</v>
      </c>
      <c r="O27" s="339">
        <f>ROUND(SUMIFS(BS_RE33!$H$7:$H$874,BS_RE33!$S$7:$S$874,$O$2,BS_RE33!$N$7:$N$874,I27,BS_RE33!$P$7:$P$874,'30 days CF Table(ALL)'!G27),2)</f>
        <v>0</v>
      </c>
      <c r="P27" s="339">
        <f>ROUND(SUMIFS(BS_RE33!$H$7:$H$874,BS_RE33!$S$7:$S$874,$P$2,BS_RE33!$N$7:$N$874,I27,BS_RE33!$P$7:$P$874,'30 days CF Table(ALL)'!G27),2)</f>
        <v>0</v>
      </c>
      <c r="Q27" s="339">
        <f>ROUND(SUMIFS(BS_RE33!$H$7:$H$874,BS_RE33!$S$7:$S$874,$Q$2,BS_RE33!$N$7:$N$874,I27,BS_RE33!$P$7:$P$874,'30 days CF Table(ALL)'!G27),2)</f>
        <v>0</v>
      </c>
      <c r="R27" s="339">
        <f>ROUND(SUMIFS(BS_RE33!$H$7:$H$874,BS_RE33!$S$7:$S$874,$R$2,BS_RE33!$N$7:$N$874,I27,BS_RE33!$P$7:$P$874,'30 days CF Table(ALL)'!G27),2)</f>
        <v>0</v>
      </c>
      <c r="S27" s="339">
        <f>ROUND(SUMIFS(BS_RE33!$H$7:$H$874,BS_RE33!$S$7:$S$874,$S$2,BS_RE33!$N$7:$N$874,I27,BS_RE33!$P$7:$P$874,'30 days CF Table(ALL)'!G27),2)</f>
        <v>0</v>
      </c>
      <c r="T27" s="339">
        <f>ROUND(SUMIFS(BS_RE33!$H$7:$H$874,BS_RE33!$S$7:$S$874,$T$2,BS_RE33!$N$7:$N$874,I27,BS_RE33!$P$7:$P$874,'30 days CF Table(ALL)'!G27),2)</f>
        <v>0</v>
      </c>
      <c r="U27" s="339">
        <f>ROUND(SUMIFS(BS_RE33!$H$7:$H$874,BS_RE33!$S$7:$S$874,$U$2,BS_RE33!$N$7:$N$874,I27,BS_RE33!$P$7:$P$874,'30 days CF Table(ALL)'!G27),2)</f>
        <v>0</v>
      </c>
      <c r="V27" s="339">
        <f>ROUND(SUMIFS(BS_RE33!$H$7:$H$874,BS_RE33!$S$7:$S$874,$V$2,BS_RE33!$N$7:$N$874,I27,BS_RE33!$P$7:$P$874,'30 days CF Table(ALL)'!G27),2)</f>
        <v>0</v>
      </c>
      <c r="W27" s="339">
        <f>ROUND(SUMIFS(BS_RE33!$H$7:$H$874,BS_RE33!$S$7:$S$874,$W$2,BS_RE33!$N$7:$N$874,I27,BS_RE33!$P$7:$P$874,'30 days CF Table(ALL)'!G27),2)</f>
        <v>0</v>
      </c>
      <c r="X27" s="339">
        <f>ROUND(SUMIFS(BS_RE33!$H$7:$H$874,BS_RE33!$S$7:$S$874,$X$2,BS_RE33!$N$7:$N$874,I27,BS_RE33!$P$7:$P$874,'30 days CF Table(ALL)'!G27),2)</f>
        <v>0</v>
      </c>
      <c r="Y27" s="339">
        <f>ROUND(SUMIFS(BS_RE33!$H$7:$H$874,BS_RE33!$S$7:$S$874,$Y$2,BS_RE33!$N$7:$N$874,I27,BS_RE33!$P$7:$P$874,'30 days CF Table(ALL)'!G27),2)</f>
        <v>0</v>
      </c>
      <c r="Z27" s="339">
        <f>ROUND(SUMIFS(BS_RE33!$H$7:$H$874,BS_RE33!$S$7:$S$874,$Z$2,BS_RE33!$N$7:$N$874,I27,BS_RE33!$P$7:$P$874,'30 days CF Table(ALL)'!G27),2)</f>
        <v>0</v>
      </c>
      <c r="AA27" s="339">
        <f>ROUND(SUMIFS(BS_RE33!$H$7:$H$874,BS_RE33!$S$7:$S$874,$AA$2,BS_RE33!$N$7:$N$874,I27,BS_RE33!$P$7:$P$874,'30 days CF Table(ALL)'!G27),2)</f>
        <v>0</v>
      </c>
      <c r="AB27" s="339">
        <f>ROUND(SUMIFS(BS_RE33!$H$7:$H$874,BS_RE33!$S$7:$S$874,$AB$2,BS_RE33!$N$7:$N$874,I27,BS_RE33!$P$7:$P$874,'30 days CF Table(ALL)'!G27),2)</f>
        <v>0</v>
      </c>
      <c r="AC27" s="339">
        <f>ROUND(SUMIFS(BS_RE33!$H$7:$H$874,BS_RE33!$S$7:$S$874,$AC$2,BS_RE33!$N$7:$N$874,I27,BS_RE33!$P$7:$P$874,'30 days CF Table(ALL)'!G27),2)</f>
        <v>0</v>
      </c>
      <c r="AD27" s="339">
        <f>ROUND(SUMIFS(BS_RE33!$H$7:$H$874,BS_RE33!$S$7:$S$874,$AD$2,BS_RE33!$N$7:$N$874,I27,BS_RE33!$P$7:$P$874,'30 days CF Table(ALL)'!G27),2)</f>
        <v>0</v>
      </c>
      <c r="AE27" s="339">
        <f>ROUND(SUMIFS(BS_RE33!$H$7:$H$874,BS_RE33!$S$7:$S$874,$AE$2,BS_RE33!$N$7:$N$874,I27,BS_RE33!$P$7:$P$874,'30 days CF Table(ALL)'!G27),2)</f>
        <v>0</v>
      </c>
      <c r="AF27" s="339">
        <f>ROUND(SUMIFS(BS_RE33!$H$7:$H$874,BS_RE33!$S$7:$S$874,$AF$2,BS_RE33!$N$7:$N$874,I27,BS_RE33!$P$7:$P$874,'30 days CF Table(ALL)'!G27),2)</f>
        <v>0</v>
      </c>
      <c r="AG27" s="339">
        <f>ROUND(SUMIFS(BS_RE33!$H$7:$H$874,BS_RE33!$S$7:$S$874,$AG$2,BS_RE33!$N$7:$N$874,I27,BS_RE33!$P$7:$P$874,'30 days CF Table(ALL)'!G27),2)</f>
        <v>0</v>
      </c>
      <c r="AH27" s="339">
        <f>ROUND(SUMIFS(BS_RE33!$H$7:$H$874,BS_RE33!$S$7:$S$874,$AH$2,BS_RE33!$N$7:$N$874,I27,BS_RE33!$P$7:$P$874,'30 days CF Table(ALL)'!G27),2)</f>
        <v>0</v>
      </c>
      <c r="AI27" s="339">
        <f>ROUND(SUMIFS(BS_RE33!$H$7:$H$874,BS_RE33!$S$7:$S$874,$AI$2,BS_RE33!$N$7:$N$874,I27,BS_RE33!$P$7:$P$874,'30 days CF Table(ALL)'!G27),2)</f>
        <v>0</v>
      </c>
      <c r="AJ27" s="339">
        <f>ROUND(SUMIFS(BS_RE33!$H$7:$H$874,BS_RE33!$S$7:$S$874,$AJ$2,BS_RE33!$N$7:$N$874,I27,BS_RE33!$P$7:$P$874,'30 days CF Table(ALL)'!G27),2)</f>
        <v>0</v>
      </c>
      <c r="AK27" s="339">
        <f>ROUND(SUMIFS(BS_RE33!$H$7:$H$874,BS_RE33!$S$7:$S$874,$AK$2,BS_RE33!$N$7:$N$874,I27,BS_RE33!$P$7:$P$874,'30 days CF Table(ALL)'!G27),2)</f>
        <v>0</v>
      </c>
      <c r="AL27" s="339">
        <f>ROUND(SUMIFS(BS_RE33!$H$7:$H$874,BS_RE33!$S$7:$S$874,$AL$2,BS_RE33!$N$7:$N$874,I27,BS_RE33!$P$7:$P$874,'30 days CF Table(ALL)'!G27),2)</f>
        <v>0</v>
      </c>
      <c r="AM27" s="339">
        <f>ROUND(SUMIFS(BS_RE33!$H$7:$H$874,BS_RE33!$S$7:$S$874,$AM$2,BS_RE33!$N$7:$N$874,I27,BS_RE33!$P$7:$P$874,'30 days CF Table(ALL)'!G27),2)</f>
        <v>0</v>
      </c>
      <c r="AN27" s="339">
        <f>ROUND(SUMIFS(BS_RE33!$H$7:$H$874,BS_RE33!$S$7:$S$874,$AN$2,BS_RE33!$N$7:$N$874,I27,BS_RE33!$P$7:$P$874,'30 days CF Table(ALL)'!G27),2)</f>
        <v>0</v>
      </c>
      <c r="AO27" s="339">
        <f>ROUND(SUMIFS(BS_RE33!$H$7:$H$874,BS_RE33!$S$7:$S$874,$AO$2,BS_RE33!$N$7:$N$874,I27,BS_RE33!$P$7:$P$874,'30 days CF Table(ALL)'!G27),2)</f>
        <v>0</v>
      </c>
      <c r="AP27" s="340">
        <f>ROUND(SUMIFS(BS_RE33!$H$7:$H$874,BS_RE33!$S$7:$S$874,$AP$2,BS_RE33!$N$7:$N$874,I27,BS_RE33!$P$7:$P$874,'30 days CF Table(ALL)'!G27),2)</f>
        <v>0</v>
      </c>
      <c r="AR27" s="381">
        <f>ROUND(SUMIFS(BS_RE33!$H$7:$H$874,BS_RE33!$S$7:$S$874,$AR$2,BS_RE33!$N$7:$N$874,I27,BS_RE33!$P$7:$P$874,'30 days CF Table(ALL)'!G27),2)</f>
        <v>0</v>
      </c>
      <c r="AS27" s="381">
        <f>ROUND(SUMIFS(BS_RE33!$H$7:$H$874,BS_RE33!$S$7:$S$874,$AS$2,BS_RE33!$N$7:$N$874,I27,BS_RE33!$P$7:$P$874,'30 days CF Table(ALL)'!G27),2)</f>
        <v>0</v>
      </c>
      <c r="AT27" s="381">
        <f>ROUND(SUMIFS(BS_RE33!$H$7:$H$874,BS_RE33!$S$7:$S$874,$AT$2,BS_RE33!$N$7:$N$874,I27,BS_RE33!$P$7:$P$874,'30 days CF Table(ALL)'!G27),2)</f>
        <v>0</v>
      </c>
      <c r="AU27" s="381">
        <f>ROUND(SUMIFS(BS_RE33!$H$7:$H$874,BS_RE33!$S$7:$S$874,$AU$2,BS_RE33!$N$7:$N$874,I27,BS_RE33!$P$7:$P$874,'30 days CF Table(ALL)'!G27),2)</f>
        <v>0</v>
      </c>
      <c r="AV27" s="381">
        <f>ROUND(SUMIFS(BS_RE33!$H$7:$H$874,BS_RE33!$S$7:$S$874,$AV$2,BS_RE33!$N$7:$N$874,I27,BS_RE33!$P$7:$P$874,'30 days CF Table(ALL)'!G27),2)</f>
        <v>0</v>
      </c>
      <c r="AW27" s="381">
        <f>ROUND(SUMIFS(BS_RE33!$H$7:$H$874,BS_RE33!$S$7:$S$874,$AW$2,BS_RE33!$N$7:$N$874,I27,BS_RE33!$P$7:$P$874,'30 days CF Table(ALL)'!G27),2)</f>
        <v>0</v>
      </c>
      <c r="AX27" s="381">
        <f>ROUND(SUMIFS(BS_RE33!$H$7:$H$874,BS_RE33!$S$7:$S$874,$AX$2,BS_RE33!$N$7:$N$874,I27,BS_RE33!$P$7:$P$874,'30 days CF Table(ALL)'!G27),2)</f>
        <v>0</v>
      </c>
      <c r="AY27" s="381">
        <f>ROUND(SUMIFS(BS_RE33!$H$7:$H$874,BS_RE33!$S$7:$S$874,$AY$2,BS_RE33!$N$7:$N$874,I27,BS_RE33!$P$7:$P$874,'30 days CF Table(ALL)'!G27),2)</f>
        <v>0</v>
      </c>
      <c r="AZ27" s="381">
        <f>ROUND(SUMIFS(BS_RE33!$H$7:$H$874,BS_RE33!$S$7:$S$874,$AZ$2,BS_RE33!$N$7:$N$874,I27,BS_RE33!$P$7:$P$874,'30 days CF Table(ALL)'!G27),2)</f>
        <v>0</v>
      </c>
      <c r="BA27" s="381">
        <f>ROUND(SUMIFS(BS_RE33!$H$7:$H$874,BS_RE33!$S$7:$S$874,$BA$2,BS_RE33!$N$7:$N$874,I27,BS_RE33!$P$7:$P$874,'30 days CF Table(ALL)'!G27),2)</f>
        <v>0</v>
      </c>
      <c r="BB27" s="381">
        <f>ROUND(SUMIFS(BS_RE33!$H$7:$H$874,BS_RE33!$S$7:$S$874,$BB$2,BS_RE33!$N$7:$N$874,I27,BS_RE33!$P$7:$P$874,'30 days CF Table(ALL)'!G27),2)</f>
        <v>0</v>
      </c>
      <c r="BC27" s="381">
        <f>ROUND(SUMIFS(BS_RE33!$H$7:$H$874,BS_RE33!$S$7:$S$874,$BC$2,BS_RE33!$N$7:$N$874,I27,BS_RE33!$P$7:$P$874,'30 days CF Table(ALL)'!G27),2)</f>
        <v>0</v>
      </c>
      <c r="BD27" s="381">
        <f>ROUND(SUMIFS(BS_RE33!$H$7:$H$874,BS_RE33!$S$7:$S$874,$BD$2,BS_RE33!$N$7:$N$874,I27,BS_RE33!$P$7:$P$874,'30 days CF Table(ALL)'!G27),2)</f>
        <v>0</v>
      </c>
      <c r="BE27" s="381">
        <f>ROUND(SUMIFS(BS_RE33!$H$7:$H$874,BS_RE33!$S$7:$S$874,$BE$2,BS_RE33!$N$7:$N$874,I27,BS_RE33!$P$7:$P$874,'30 days CF Table(ALL)'!G27),2)</f>
        <v>0</v>
      </c>
      <c r="BF27" s="381">
        <f>ROUND(SUMIFS(BS_RE33!$H$7:$H$874,BS_RE33!$S$7:$S$874,$BF$2,BS_RE33!$N$7:$N$874,I27,BS_RE33!$P$7:$P$874,'30 days CF Table(ALL)'!G27),2)</f>
        <v>0</v>
      </c>
      <c r="BG27" s="381">
        <f>ROUND(SUMIFS(BS_RE33!$H$7:$H$874,BS_RE33!$S$7:$S$874,$BG$2,BS_RE33!$N$7:$N$874,I27,BS_RE33!$P$7:$P$874,'30 days CF Table(ALL)'!G27),2)</f>
        <v>0</v>
      </c>
      <c r="BH27" s="381">
        <f>ROUND(SUMIFS(BS_RE33!$H$7:$H$874,BS_RE33!$S$7:$S$874,$BH$2,BS_RE33!$N$7:$N$874,I27,BS_RE33!$P$7:$P$874,'30 days CF Table(ALL)'!G27),2)</f>
        <v>0</v>
      </c>
      <c r="BI27" s="381">
        <f>ROUND(SUMIFS(BS_RE33!$H$7:$H$874,BS_RE33!$S$7:$S$874,$BI$2,BS_RE33!$N$7:$N$874,I27,BS_RE33!$P$7:$P$874,'30 days CF Table(ALL)'!G27),2)</f>
        <v>0</v>
      </c>
      <c r="BJ27" s="381">
        <f>ROUND(SUMIFS(BS_RE33!$H$7:$H$874,BS_RE33!$S$7:$S$874,$BJ$2,BS_RE33!$N$7:$N$874,I27,BS_RE33!$P$7:$P$874,'30 days CF Table(ALL)'!G27),2)</f>
        <v>0</v>
      </c>
      <c r="BK27" s="381">
        <f>ROUND(SUMIFS(BS_RE33!$H$7:$H$874,BS_RE33!$S$7:$S$874,$BK$2,BS_RE33!$N$7:$N$874,I27,BS_RE33!$P$7:$P$874,'30 days CF Table(ALL)'!G27),2)</f>
        <v>0</v>
      </c>
    </row>
    <row r="28" spans="1:63">
      <c r="C28" s="1029"/>
      <c r="D28" s="1039"/>
      <c r="E28" s="40" t="s">
        <v>79</v>
      </c>
      <c r="F28" s="560" t="s">
        <v>492</v>
      </c>
      <c r="G28" s="392" t="s">
        <v>516</v>
      </c>
      <c r="H28" s="314">
        <v>0.25</v>
      </c>
      <c r="I28" s="315" t="s">
        <v>80</v>
      </c>
      <c r="J28" s="479">
        <f t="shared" si="3"/>
        <v>0</v>
      </c>
      <c r="K28" s="336">
        <f t="shared" si="4"/>
        <v>0</v>
      </c>
      <c r="L28" s="339">
        <f>ROUND(SUMIFS(BS_RE33!$H$7:$H$874,BS_RE33!$S$7:$S$874,$L$2,BS_RE33!$N$7:$N$874,I28,BS_RE33!$P$7:$P$874,'30 days CF Table(ALL)'!G28),2)</f>
        <v>0</v>
      </c>
      <c r="M28" s="339">
        <f>ROUND(SUMIFS(BS_RE33!$H$7:$H$874,BS_RE33!$S$7:$S$874,$M$2,BS_RE33!$N$7:$N$874,I28,BS_RE33!$P$7:$P$874,'30 days CF Table(ALL)'!G28),2)</f>
        <v>0</v>
      </c>
      <c r="N28" s="339">
        <f>ROUND(SUMIFS(BS_RE33!$H$7:$H$874,BS_RE33!$S$7:$S$874,$N$2,BS_RE33!$N$7:$N$874,I28,BS_RE33!$P$7:$P$874,'30 days CF Table(ALL)'!G28),2)</f>
        <v>0</v>
      </c>
      <c r="O28" s="339">
        <f>ROUND(SUMIFS(BS_RE33!$H$7:$H$874,BS_RE33!$S$7:$S$874,$O$2,BS_RE33!$N$7:$N$874,I28,BS_RE33!$P$7:$P$874,'30 days CF Table(ALL)'!G28),2)</f>
        <v>0</v>
      </c>
      <c r="P28" s="339">
        <f>ROUND(SUMIFS(BS_RE33!$H$7:$H$874,BS_RE33!$S$7:$S$874,$P$2,BS_RE33!$N$7:$N$874,I28,BS_RE33!$P$7:$P$874,'30 days CF Table(ALL)'!G28),2)</f>
        <v>0</v>
      </c>
      <c r="Q28" s="339">
        <f>ROUND(SUMIFS(BS_RE33!$H$7:$H$874,BS_RE33!$S$7:$S$874,$Q$2,BS_RE33!$N$7:$N$874,I28,BS_RE33!$P$7:$P$874,'30 days CF Table(ALL)'!G28),2)</f>
        <v>0</v>
      </c>
      <c r="R28" s="339">
        <f>ROUND(SUMIFS(BS_RE33!$H$7:$H$874,BS_RE33!$S$7:$S$874,$R$2,BS_RE33!$N$7:$N$874,I28,BS_RE33!$P$7:$P$874,'30 days CF Table(ALL)'!G28),2)</f>
        <v>0</v>
      </c>
      <c r="S28" s="339">
        <f>ROUND(SUMIFS(BS_RE33!$H$7:$H$874,BS_RE33!$S$7:$S$874,$S$2,BS_RE33!$N$7:$N$874,I28,BS_RE33!$P$7:$P$874,'30 days CF Table(ALL)'!G28),2)</f>
        <v>0</v>
      </c>
      <c r="T28" s="339">
        <f>ROUND(SUMIFS(BS_RE33!$H$7:$H$874,BS_RE33!$S$7:$S$874,$T$2,BS_RE33!$N$7:$N$874,I28,BS_RE33!$P$7:$P$874,'30 days CF Table(ALL)'!G28),2)</f>
        <v>0</v>
      </c>
      <c r="U28" s="339">
        <f>ROUND(SUMIFS(BS_RE33!$H$7:$H$874,BS_RE33!$S$7:$S$874,$U$2,BS_RE33!$N$7:$N$874,I28,BS_RE33!$P$7:$P$874,'30 days CF Table(ALL)'!G28),2)</f>
        <v>0</v>
      </c>
      <c r="V28" s="339">
        <f>ROUND(SUMIFS(BS_RE33!$H$7:$H$874,BS_RE33!$S$7:$S$874,$V$2,BS_RE33!$N$7:$N$874,I28,BS_RE33!$P$7:$P$874,'30 days CF Table(ALL)'!G28),2)</f>
        <v>0</v>
      </c>
      <c r="W28" s="339">
        <f>ROUND(SUMIFS(BS_RE33!$H$7:$H$874,BS_RE33!$S$7:$S$874,$W$2,BS_RE33!$N$7:$N$874,I28,BS_RE33!$P$7:$P$874,'30 days CF Table(ALL)'!G28),2)</f>
        <v>0</v>
      </c>
      <c r="X28" s="339">
        <f>ROUND(SUMIFS(BS_RE33!$H$7:$H$874,BS_RE33!$S$7:$S$874,$X$2,BS_RE33!$N$7:$N$874,I28,BS_RE33!$P$7:$P$874,'30 days CF Table(ALL)'!G28),2)</f>
        <v>0</v>
      </c>
      <c r="Y28" s="339">
        <f>ROUND(SUMIFS(BS_RE33!$H$7:$H$874,BS_RE33!$S$7:$S$874,$Y$2,BS_RE33!$N$7:$N$874,I28,BS_RE33!$P$7:$P$874,'30 days CF Table(ALL)'!G28),2)</f>
        <v>0</v>
      </c>
      <c r="Z28" s="339">
        <f>ROUND(SUMIFS(BS_RE33!$H$7:$H$874,BS_RE33!$S$7:$S$874,$Z$2,BS_RE33!$N$7:$N$874,I28,BS_RE33!$P$7:$P$874,'30 days CF Table(ALL)'!G28),2)</f>
        <v>0</v>
      </c>
      <c r="AA28" s="339">
        <f>ROUND(SUMIFS(BS_RE33!$H$7:$H$874,BS_RE33!$S$7:$S$874,$AA$2,BS_RE33!$N$7:$N$874,I28,BS_RE33!$P$7:$P$874,'30 days CF Table(ALL)'!G28),2)</f>
        <v>0</v>
      </c>
      <c r="AB28" s="339">
        <f>ROUND(SUMIFS(BS_RE33!$H$7:$H$874,BS_RE33!$S$7:$S$874,$AB$2,BS_RE33!$N$7:$N$874,I28,BS_RE33!$P$7:$P$874,'30 days CF Table(ALL)'!G28),2)</f>
        <v>0</v>
      </c>
      <c r="AC28" s="339">
        <f>ROUND(SUMIFS(BS_RE33!$H$7:$H$874,BS_RE33!$S$7:$S$874,$AC$2,BS_RE33!$N$7:$N$874,I28,BS_RE33!$P$7:$P$874,'30 days CF Table(ALL)'!G28),2)</f>
        <v>0</v>
      </c>
      <c r="AD28" s="339">
        <f>ROUND(SUMIFS(BS_RE33!$H$7:$H$874,BS_RE33!$S$7:$S$874,$AD$2,BS_RE33!$N$7:$N$874,I28,BS_RE33!$P$7:$P$874,'30 days CF Table(ALL)'!G28),2)</f>
        <v>0</v>
      </c>
      <c r="AE28" s="339">
        <f>ROUND(SUMIFS(BS_RE33!$H$7:$H$874,BS_RE33!$S$7:$S$874,$AE$2,BS_RE33!$N$7:$N$874,I28,BS_RE33!$P$7:$P$874,'30 days CF Table(ALL)'!G28),2)</f>
        <v>0</v>
      </c>
      <c r="AF28" s="339">
        <f>ROUND(SUMIFS(BS_RE33!$H$7:$H$874,BS_RE33!$S$7:$S$874,$AF$2,BS_RE33!$N$7:$N$874,I28,BS_RE33!$P$7:$P$874,'30 days CF Table(ALL)'!G28),2)</f>
        <v>0</v>
      </c>
      <c r="AG28" s="339">
        <f>ROUND(SUMIFS(BS_RE33!$H$7:$H$874,BS_RE33!$S$7:$S$874,$AG$2,BS_RE33!$N$7:$N$874,I28,BS_RE33!$P$7:$P$874,'30 days CF Table(ALL)'!G28),2)</f>
        <v>0</v>
      </c>
      <c r="AH28" s="339">
        <f>ROUND(SUMIFS(BS_RE33!$H$7:$H$874,BS_RE33!$S$7:$S$874,$AH$2,BS_RE33!$N$7:$N$874,I28,BS_RE33!$P$7:$P$874,'30 days CF Table(ALL)'!G28),2)</f>
        <v>0</v>
      </c>
      <c r="AI28" s="339">
        <f>ROUND(SUMIFS(BS_RE33!$H$7:$H$874,BS_RE33!$S$7:$S$874,$AI$2,BS_RE33!$N$7:$N$874,I28,BS_RE33!$P$7:$P$874,'30 days CF Table(ALL)'!G28),2)</f>
        <v>0</v>
      </c>
      <c r="AJ28" s="339">
        <f>ROUND(SUMIFS(BS_RE33!$H$7:$H$874,BS_RE33!$S$7:$S$874,$AJ$2,BS_RE33!$N$7:$N$874,I28,BS_RE33!$P$7:$P$874,'30 days CF Table(ALL)'!G28),2)</f>
        <v>0</v>
      </c>
      <c r="AK28" s="339">
        <f>ROUND(SUMIFS(BS_RE33!$H$7:$H$874,BS_RE33!$S$7:$S$874,$AK$2,BS_RE33!$N$7:$N$874,I28,BS_RE33!$P$7:$P$874,'30 days CF Table(ALL)'!G28),2)</f>
        <v>0</v>
      </c>
      <c r="AL28" s="339">
        <f>ROUND(SUMIFS(BS_RE33!$H$7:$H$874,BS_RE33!$S$7:$S$874,$AL$2,BS_RE33!$N$7:$N$874,I28,BS_RE33!$P$7:$P$874,'30 days CF Table(ALL)'!G28),2)</f>
        <v>0</v>
      </c>
      <c r="AM28" s="339">
        <f>ROUND(SUMIFS(BS_RE33!$H$7:$H$874,BS_RE33!$S$7:$S$874,$AM$2,BS_RE33!$N$7:$N$874,I28,BS_RE33!$P$7:$P$874,'30 days CF Table(ALL)'!G28),2)</f>
        <v>0</v>
      </c>
      <c r="AN28" s="339">
        <f>ROUND(SUMIFS(BS_RE33!$H$7:$H$874,BS_RE33!$S$7:$S$874,$AN$2,BS_RE33!$N$7:$N$874,I28,BS_RE33!$P$7:$P$874,'30 days CF Table(ALL)'!G28),2)</f>
        <v>0</v>
      </c>
      <c r="AO28" s="339">
        <f>ROUND(SUMIFS(BS_RE33!$H$7:$H$874,BS_RE33!$S$7:$S$874,$AO$2,BS_RE33!$N$7:$N$874,I28,BS_RE33!$P$7:$P$874,'30 days CF Table(ALL)'!G28),2)</f>
        <v>0</v>
      </c>
      <c r="AP28" s="340">
        <f>ROUND(SUMIFS(BS_RE33!$H$7:$H$874,BS_RE33!$S$7:$S$874,$AP$2,BS_RE33!$N$7:$N$874,I28,BS_RE33!$P$7:$P$874,'30 days CF Table(ALL)'!G28),2)</f>
        <v>0</v>
      </c>
      <c r="AR28" s="381">
        <f>ROUND(SUMIFS(BS_RE33!$H$7:$H$874,BS_RE33!$S$7:$S$874,$AR$2,BS_RE33!$N$7:$N$874,I28,BS_RE33!$P$7:$P$874,'30 days CF Table(ALL)'!G28),2)</f>
        <v>0</v>
      </c>
      <c r="AS28" s="381">
        <f>ROUND(SUMIFS(BS_RE33!$H$7:$H$874,BS_RE33!$S$7:$S$874,$AS$2,BS_RE33!$N$7:$N$874,I28,BS_RE33!$P$7:$P$874,'30 days CF Table(ALL)'!G28),2)</f>
        <v>0</v>
      </c>
      <c r="AT28" s="381">
        <f>ROUND(SUMIFS(BS_RE33!$H$7:$H$874,BS_RE33!$S$7:$S$874,$AT$2,BS_RE33!$N$7:$N$874,I28,BS_RE33!$P$7:$P$874,'30 days CF Table(ALL)'!G28),2)</f>
        <v>0</v>
      </c>
      <c r="AU28" s="381">
        <f>ROUND(SUMIFS(BS_RE33!$H$7:$H$874,BS_RE33!$S$7:$S$874,$AU$2,BS_RE33!$N$7:$N$874,I28,BS_RE33!$P$7:$P$874,'30 days CF Table(ALL)'!G28),2)</f>
        <v>0</v>
      </c>
      <c r="AV28" s="381">
        <f>ROUND(SUMIFS(BS_RE33!$H$7:$H$874,BS_RE33!$S$7:$S$874,$AV$2,BS_RE33!$N$7:$N$874,I28,BS_RE33!$P$7:$P$874,'30 days CF Table(ALL)'!G28),2)</f>
        <v>0</v>
      </c>
      <c r="AW28" s="381">
        <f>ROUND(SUMIFS(BS_RE33!$H$7:$H$874,BS_RE33!$S$7:$S$874,$AW$2,BS_RE33!$N$7:$N$874,I28,BS_RE33!$P$7:$P$874,'30 days CF Table(ALL)'!G28),2)</f>
        <v>0</v>
      </c>
      <c r="AX28" s="381">
        <f>ROUND(SUMIFS(BS_RE33!$H$7:$H$874,BS_RE33!$S$7:$S$874,$AX$2,BS_RE33!$N$7:$N$874,I28,BS_RE33!$P$7:$P$874,'30 days CF Table(ALL)'!G28),2)</f>
        <v>0</v>
      </c>
      <c r="AY28" s="381">
        <f>ROUND(SUMIFS(BS_RE33!$H$7:$H$874,BS_RE33!$S$7:$S$874,$AY$2,BS_RE33!$N$7:$N$874,I28,BS_RE33!$P$7:$P$874,'30 days CF Table(ALL)'!G28),2)</f>
        <v>0</v>
      </c>
      <c r="AZ28" s="381">
        <f>ROUND(SUMIFS(BS_RE33!$H$7:$H$874,BS_RE33!$S$7:$S$874,$AZ$2,BS_RE33!$N$7:$N$874,I28,BS_RE33!$P$7:$P$874,'30 days CF Table(ALL)'!G28),2)</f>
        <v>0</v>
      </c>
      <c r="BA28" s="381">
        <f>ROUND(SUMIFS(BS_RE33!$H$7:$H$874,BS_RE33!$S$7:$S$874,$BA$2,BS_RE33!$N$7:$N$874,I28,BS_RE33!$P$7:$P$874,'30 days CF Table(ALL)'!G28),2)</f>
        <v>0</v>
      </c>
      <c r="BB28" s="381">
        <f>ROUND(SUMIFS(BS_RE33!$H$7:$H$874,BS_RE33!$S$7:$S$874,$BB$2,BS_RE33!$N$7:$N$874,I28,BS_RE33!$P$7:$P$874,'30 days CF Table(ALL)'!G28),2)</f>
        <v>0</v>
      </c>
      <c r="BC28" s="381">
        <f>ROUND(SUMIFS(BS_RE33!$H$7:$H$874,BS_RE33!$S$7:$S$874,$BC$2,BS_RE33!$N$7:$N$874,I28,BS_RE33!$P$7:$P$874,'30 days CF Table(ALL)'!G28),2)</f>
        <v>0</v>
      </c>
      <c r="BD28" s="381">
        <f>ROUND(SUMIFS(BS_RE33!$H$7:$H$874,BS_RE33!$S$7:$S$874,$BD$2,BS_RE33!$N$7:$N$874,I28,BS_RE33!$P$7:$P$874,'30 days CF Table(ALL)'!G28),2)</f>
        <v>0</v>
      </c>
      <c r="BE28" s="381">
        <f>ROUND(SUMIFS(BS_RE33!$H$7:$H$874,BS_RE33!$S$7:$S$874,$BE$2,BS_RE33!$N$7:$N$874,I28,BS_RE33!$P$7:$P$874,'30 days CF Table(ALL)'!G28),2)</f>
        <v>0</v>
      </c>
      <c r="BF28" s="381">
        <f>ROUND(SUMIFS(BS_RE33!$H$7:$H$874,BS_RE33!$S$7:$S$874,$BF$2,BS_RE33!$N$7:$N$874,I28,BS_RE33!$P$7:$P$874,'30 days CF Table(ALL)'!G28),2)</f>
        <v>0</v>
      </c>
      <c r="BG28" s="381">
        <f>ROUND(SUMIFS(BS_RE33!$H$7:$H$874,BS_RE33!$S$7:$S$874,$BG$2,BS_RE33!$N$7:$N$874,I28,BS_RE33!$P$7:$P$874,'30 days CF Table(ALL)'!G28),2)</f>
        <v>0</v>
      </c>
      <c r="BH28" s="381">
        <f>ROUND(SUMIFS(BS_RE33!$H$7:$H$874,BS_RE33!$S$7:$S$874,$BH$2,BS_RE33!$N$7:$N$874,I28,BS_RE33!$P$7:$P$874,'30 days CF Table(ALL)'!G28),2)</f>
        <v>0</v>
      </c>
      <c r="BI28" s="381">
        <f>ROUND(SUMIFS(BS_RE33!$H$7:$H$874,BS_RE33!$S$7:$S$874,$BI$2,BS_RE33!$N$7:$N$874,I28,BS_RE33!$P$7:$P$874,'30 days CF Table(ALL)'!G28),2)</f>
        <v>0</v>
      </c>
      <c r="BJ28" s="381">
        <f>ROUND(SUMIFS(BS_RE33!$H$7:$H$874,BS_RE33!$S$7:$S$874,$BJ$2,BS_RE33!$N$7:$N$874,I28,BS_RE33!$P$7:$P$874,'30 days CF Table(ALL)'!G28),2)</f>
        <v>0</v>
      </c>
      <c r="BK28" s="381">
        <f>ROUND(SUMIFS(BS_RE33!$H$7:$H$874,BS_RE33!$S$7:$S$874,$BK$2,BS_RE33!$N$7:$N$874,I28,BS_RE33!$P$7:$P$874,'30 days CF Table(ALL)'!G28),2)</f>
        <v>0</v>
      </c>
    </row>
    <row r="29" spans="1:63">
      <c r="C29" s="1029"/>
      <c r="D29" s="1039"/>
      <c r="E29" s="306" t="s">
        <v>79</v>
      </c>
      <c r="F29" s="560" t="s">
        <v>493</v>
      </c>
      <c r="G29" s="392" t="s">
        <v>517</v>
      </c>
      <c r="H29" s="314">
        <v>0.25</v>
      </c>
      <c r="I29" s="315" t="s">
        <v>80</v>
      </c>
      <c r="J29" s="479">
        <f t="shared" si="3"/>
        <v>0</v>
      </c>
      <c r="K29" s="336">
        <f t="shared" si="4"/>
        <v>0</v>
      </c>
      <c r="L29" s="339">
        <f>ROUND(SUMIFS(BS_RE33!$H$7:$H$874,BS_RE33!$S$7:$S$874,$L$2,BS_RE33!$N$7:$N$874,I29,BS_RE33!$P$7:$P$874,'30 days CF Table(ALL)'!G29),2)</f>
        <v>0</v>
      </c>
      <c r="M29" s="339">
        <f>ROUND(SUMIFS(BS_RE33!$H$7:$H$874,BS_RE33!$S$7:$S$874,$M$2,BS_RE33!$N$7:$N$874,I29,BS_RE33!$P$7:$P$874,'30 days CF Table(ALL)'!G29),2)</f>
        <v>0</v>
      </c>
      <c r="N29" s="339">
        <f>ROUND(SUMIFS(BS_RE33!$H$7:$H$874,BS_RE33!$S$7:$S$874,$N$2,BS_RE33!$N$7:$N$874,I29,BS_RE33!$P$7:$P$874,'30 days CF Table(ALL)'!G29),2)</f>
        <v>0</v>
      </c>
      <c r="O29" s="339">
        <f>ROUND(SUMIFS(BS_RE33!$H$7:$H$874,BS_RE33!$S$7:$S$874,$O$2,BS_RE33!$N$7:$N$874,I29,BS_RE33!$P$7:$P$874,'30 days CF Table(ALL)'!G29),2)</f>
        <v>0</v>
      </c>
      <c r="P29" s="339">
        <f>ROUND(SUMIFS(BS_RE33!$H$7:$H$874,BS_RE33!$S$7:$S$874,$P$2,BS_RE33!$N$7:$N$874,I29,BS_RE33!$P$7:$P$874,'30 days CF Table(ALL)'!G29),2)</f>
        <v>0</v>
      </c>
      <c r="Q29" s="339">
        <f>ROUND(SUMIFS(BS_RE33!$H$7:$H$874,BS_RE33!$S$7:$S$874,$Q$2,BS_RE33!$N$7:$N$874,I29,BS_RE33!$P$7:$P$874,'30 days CF Table(ALL)'!G29),2)</f>
        <v>0</v>
      </c>
      <c r="R29" s="339">
        <f>ROUND(SUMIFS(BS_RE33!$H$7:$H$874,BS_RE33!$S$7:$S$874,$R$2,BS_RE33!$N$7:$N$874,I29,BS_RE33!$P$7:$P$874,'30 days CF Table(ALL)'!G29),2)</f>
        <v>0</v>
      </c>
      <c r="S29" s="339">
        <f>ROUND(SUMIFS(BS_RE33!$H$7:$H$874,BS_RE33!$S$7:$S$874,$S$2,BS_RE33!$N$7:$N$874,I29,BS_RE33!$P$7:$P$874,'30 days CF Table(ALL)'!G29),2)</f>
        <v>0</v>
      </c>
      <c r="T29" s="339">
        <f>ROUND(SUMIFS(BS_RE33!$H$7:$H$874,BS_RE33!$S$7:$S$874,$T$2,BS_RE33!$N$7:$N$874,I29,BS_RE33!$P$7:$P$874,'30 days CF Table(ALL)'!G29),2)</f>
        <v>0</v>
      </c>
      <c r="U29" s="339">
        <f>ROUND(SUMIFS(BS_RE33!$H$7:$H$874,BS_RE33!$S$7:$S$874,$U$2,BS_RE33!$N$7:$N$874,I29,BS_RE33!$P$7:$P$874,'30 days CF Table(ALL)'!G29),2)</f>
        <v>0</v>
      </c>
      <c r="V29" s="339">
        <f>ROUND(SUMIFS(BS_RE33!$H$7:$H$874,BS_RE33!$S$7:$S$874,$V$2,BS_RE33!$N$7:$N$874,I29,BS_RE33!$P$7:$P$874,'30 days CF Table(ALL)'!G29),2)</f>
        <v>0</v>
      </c>
      <c r="W29" s="339">
        <f>ROUND(SUMIFS(BS_RE33!$H$7:$H$874,BS_RE33!$S$7:$S$874,$W$2,BS_RE33!$N$7:$N$874,I29,BS_RE33!$P$7:$P$874,'30 days CF Table(ALL)'!G29),2)</f>
        <v>0</v>
      </c>
      <c r="X29" s="339">
        <f>ROUND(SUMIFS(BS_RE33!$H$7:$H$874,BS_RE33!$S$7:$S$874,$X$2,BS_RE33!$N$7:$N$874,I29,BS_RE33!$P$7:$P$874,'30 days CF Table(ALL)'!G29),2)</f>
        <v>0</v>
      </c>
      <c r="Y29" s="339">
        <f>ROUND(SUMIFS(BS_RE33!$H$7:$H$874,BS_RE33!$S$7:$S$874,$Y$2,BS_RE33!$N$7:$N$874,I29,BS_RE33!$P$7:$P$874,'30 days CF Table(ALL)'!G29),2)</f>
        <v>0</v>
      </c>
      <c r="Z29" s="339">
        <f>ROUND(SUMIFS(BS_RE33!$H$7:$H$874,BS_RE33!$S$7:$S$874,$Z$2,BS_RE33!$N$7:$N$874,I29,BS_RE33!$P$7:$P$874,'30 days CF Table(ALL)'!G29),2)</f>
        <v>0</v>
      </c>
      <c r="AA29" s="339">
        <f>ROUND(SUMIFS(BS_RE33!$H$7:$H$874,BS_RE33!$S$7:$S$874,$AA$2,BS_RE33!$N$7:$N$874,I29,BS_RE33!$P$7:$P$874,'30 days CF Table(ALL)'!G29),2)</f>
        <v>0</v>
      </c>
      <c r="AB29" s="339">
        <f>ROUND(SUMIFS(BS_RE33!$H$7:$H$874,BS_RE33!$S$7:$S$874,$AB$2,BS_RE33!$N$7:$N$874,I29,BS_RE33!$P$7:$P$874,'30 days CF Table(ALL)'!G29),2)</f>
        <v>0</v>
      </c>
      <c r="AC29" s="339">
        <f>ROUND(SUMIFS(BS_RE33!$H$7:$H$874,BS_RE33!$S$7:$S$874,$AC$2,BS_RE33!$N$7:$N$874,I29,BS_RE33!$P$7:$P$874,'30 days CF Table(ALL)'!G29),2)</f>
        <v>0</v>
      </c>
      <c r="AD29" s="339">
        <f>ROUND(SUMIFS(BS_RE33!$H$7:$H$874,BS_RE33!$S$7:$S$874,$AD$2,BS_RE33!$N$7:$N$874,I29,BS_RE33!$P$7:$P$874,'30 days CF Table(ALL)'!G29),2)</f>
        <v>0</v>
      </c>
      <c r="AE29" s="339">
        <f>ROUND(SUMIFS(BS_RE33!$H$7:$H$874,BS_RE33!$S$7:$S$874,$AE$2,BS_RE33!$N$7:$N$874,I29,BS_RE33!$P$7:$P$874,'30 days CF Table(ALL)'!G29),2)</f>
        <v>0</v>
      </c>
      <c r="AF29" s="339">
        <f>ROUND(SUMIFS(BS_RE33!$H$7:$H$874,BS_RE33!$S$7:$S$874,$AF$2,BS_RE33!$N$7:$N$874,I29,BS_RE33!$P$7:$P$874,'30 days CF Table(ALL)'!G29),2)</f>
        <v>0</v>
      </c>
      <c r="AG29" s="339">
        <f>ROUND(SUMIFS(BS_RE33!$H$7:$H$874,BS_RE33!$S$7:$S$874,$AG$2,BS_RE33!$N$7:$N$874,I29,BS_RE33!$P$7:$P$874,'30 days CF Table(ALL)'!G29),2)</f>
        <v>0</v>
      </c>
      <c r="AH29" s="339">
        <f>ROUND(SUMIFS(BS_RE33!$H$7:$H$874,BS_RE33!$S$7:$S$874,$AH$2,BS_RE33!$N$7:$N$874,I29,BS_RE33!$P$7:$P$874,'30 days CF Table(ALL)'!G29),2)</f>
        <v>0</v>
      </c>
      <c r="AI29" s="339">
        <f>ROUND(SUMIFS(BS_RE33!$H$7:$H$874,BS_RE33!$S$7:$S$874,$AI$2,BS_RE33!$N$7:$N$874,I29,BS_RE33!$P$7:$P$874,'30 days CF Table(ALL)'!G29),2)</f>
        <v>0</v>
      </c>
      <c r="AJ29" s="339">
        <f>ROUND(SUMIFS(BS_RE33!$H$7:$H$874,BS_RE33!$S$7:$S$874,$AJ$2,BS_RE33!$N$7:$N$874,I29,BS_RE33!$P$7:$P$874,'30 days CF Table(ALL)'!G29),2)</f>
        <v>0</v>
      </c>
      <c r="AK29" s="339">
        <f>ROUND(SUMIFS(BS_RE33!$H$7:$H$874,BS_RE33!$S$7:$S$874,$AK$2,BS_RE33!$N$7:$N$874,I29,BS_RE33!$P$7:$P$874,'30 days CF Table(ALL)'!G29),2)</f>
        <v>0</v>
      </c>
      <c r="AL29" s="339">
        <f>ROUND(SUMIFS(BS_RE33!$H$7:$H$874,BS_RE33!$S$7:$S$874,$AL$2,BS_RE33!$N$7:$N$874,I29,BS_RE33!$P$7:$P$874,'30 days CF Table(ALL)'!G29),2)</f>
        <v>0</v>
      </c>
      <c r="AM29" s="339">
        <f>ROUND(SUMIFS(BS_RE33!$H$7:$H$874,BS_RE33!$S$7:$S$874,$AM$2,BS_RE33!$N$7:$N$874,I29,BS_RE33!$P$7:$P$874,'30 days CF Table(ALL)'!G29),2)</f>
        <v>0</v>
      </c>
      <c r="AN29" s="339">
        <f>ROUND(SUMIFS(BS_RE33!$H$7:$H$874,BS_RE33!$S$7:$S$874,$AN$2,BS_RE33!$N$7:$N$874,I29,BS_RE33!$P$7:$P$874,'30 days CF Table(ALL)'!G29),2)</f>
        <v>0</v>
      </c>
      <c r="AO29" s="339">
        <f>ROUND(SUMIFS(BS_RE33!$H$7:$H$874,BS_RE33!$S$7:$S$874,$AO$2,BS_RE33!$N$7:$N$874,I29,BS_RE33!$P$7:$P$874,'30 days CF Table(ALL)'!G29),2)</f>
        <v>0</v>
      </c>
      <c r="AP29" s="340">
        <f>ROUND(SUMIFS(BS_RE33!$H$7:$H$874,BS_RE33!$S$7:$S$874,$AP$2,BS_RE33!$N$7:$N$874,I29,BS_RE33!$P$7:$P$874,'30 days CF Table(ALL)'!G29),2)</f>
        <v>0</v>
      </c>
      <c r="AR29" s="381">
        <f>ROUND(SUMIFS(BS_RE33!$H$7:$H$874,BS_RE33!$S$7:$S$874,$AR$2,BS_RE33!$N$7:$N$874,I29,BS_RE33!$P$7:$P$874,'30 days CF Table(ALL)'!G29),2)</f>
        <v>0</v>
      </c>
      <c r="AS29" s="381">
        <f>ROUND(SUMIFS(BS_RE33!$H$7:$H$874,BS_RE33!$S$7:$S$874,$AS$2,BS_RE33!$N$7:$N$874,I29,BS_RE33!$P$7:$P$874,'30 days CF Table(ALL)'!G29),2)</f>
        <v>0</v>
      </c>
      <c r="AT29" s="381">
        <f>ROUND(SUMIFS(BS_RE33!$H$7:$H$874,BS_RE33!$S$7:$S$874,$AT$2,BS_RE33!$N$7:$N$874,I29,BS_RE33!$P$7:$P$874,'30 days CF Table(ALL)'!G29),2)</f>
        <v>0</v>
      </c>
      <c r="AU29" s="381">
        <f>ROUND(SUMIFS(BS_RE33!$H$7:$H$874,BS_RE33!$S$7:$S$874,$AU$2,BS_RE33!$N$7:$N$874,I29,BS_RE33!$P$7:$P$874,'30 days CF Table(ALL)'!G29),2)</f>
        <v>0</v>
      </c>
      <c r="AV29" s="381">
        <f>ROUND(SUMIFS(BS_RE33!$H$7:$H$874,BS_RE33!$S$7:$S$874,$AV$2,BS_RE33!$N$7:$N$874,I29,BS_RE33!$P$7:$P$874,'30 days CF Table(ALL)'!G29),2)</f>
        <v>0</v>
      </c>
      <c r="AW29" s="381">
        <f>ROUND(SUMIFS(BS_RE33!$H$7:$H$874,BS_RE33!$S$7:$S$874,$AW$2,BS_RE33!$N$7:$N$874,I29,BS_RE33!$P$7:$P$874,'30 days CF Table(ALL)'!G29),2)</f>
        <v>0</v>
      </c>
      <c r="AX29" s="381">
        <f>ROUND(SUMIFS(BS_RE33!$H$7:$H$874,BS_RE33!$S$7:$S$874,$AX$2,BS_RE33!$N$7:$N$874,I29,BS_RE33!$P$7:$P$874,'30 days CF Table(ALL)'!G29),2)</f>
        <v>0</v>
      </c>
      <c r="AY29" s="381">
        <f>ROUND(SUMIFS(BS_RE33!$H$7:$H$874,BS_RE33!$S$7:$S$874,$AY$2,BS_RE33!$N$7:$N$874,I29,BS_RE33!$P$7:$P$874,'30 days CF Table(ALL)'!G29),2)</f>
        <v>0</v>
      </c>
      <c r="AZ29" s="381">
        <f>ROUND(SUMIFS(BS_RE33!$H$7:$H$874,BS_RE33!$S$7:$S$874,$AZ$2,BS_RE33!$N$7:$N$874,I29,BS_RE33!$P$7:$P$874,'30 days CF Table(ALL)'!G29),2)</f>
        <v>0</v>
      </c>
      <c r="BA29" s="381">
        <f>ROUND(SUMIFS(BS_RE33!$H$7:$H$874,BS_RE33!$S$7:$S$874,$BA$2,BS_RE33!$N$7:$N$874,I29,BS_RE33!$P$7:$P$874,'30 days CF Table(ALL)'!G29),2)</f>
        <v>0</v>
      </c>
      <c r="BB29" s="381">
        <f>ROUND(SUMIFS(BS_RE33!$H$7:$H$874,BS_RE33!$S$7:$S$874,$BB$2,BS_RE33!$N$7:$N$874,I29,BS_RE33!$P$7:$P$874,'30 days CF Table(ALL)'!G29),2)</f>
        <v>0</v>
      </c>
      <c r="BC29" s="381">
        <f>ROUND(SUMIFS(BS_RE33!$H$7:$H$874,BS_RE33!$S$7:$S$874,$BC$2,BS_RE33!$N$7:$N$874,I29,BS_RE33!$P$7:$P$874,'30 days CF Table(ALL)'!G29),2)</f>
        <v>0</v>
      </c>
      <c r="BD29" s="381">
        <f>ROUND(SUMIFS(BS_RE33!$H$7:$H$874,BS_RE33!$S$7:$S$874,$BD$2,BS_RE33!$N$7:$N$874,I29,BS_RE33!$P$7:$P$874,'30 days CF Table(ALL)'!G29),2)</f>
        <v>0</v>
      </c>
      <c r="BE29" s="381">
        <f>ROUND(SUMIFS(BS_RE33!$H$7:$H$874,BS_RE33!$S$7:$S$874,$BE$2,BS_RE33!$N$7:$N$874,I29,BS_RE33!$P$7:$P$874,'30 days CF Table(ALL)'!G29),2)</f>
        <v>0</v>
      </c>
      <c r="BF29" s="381">
        <f>ROUND(SUMIFS(BS_RE33!$H$7:$H$874,BS_RE33!$S$7:$S$874,$BF$2,BS_RE33!$N$7:$N$874,I29,BS_RE33!$P$7:$P$874,'30 days CF Table(ALL)'!G29),2)</f>
        <v>0</v>
      </c>
      <c r="BG29" s="381">
        <f>ROUND(SUMIFS(BS_RE33!$H$7:$H$874,BS_RE33!$S$7:$S$874,$BG$2,BS_RE33!$N$7:$N$874,I29,BS_RE33!$P$7:$P$874,'30 days CF Table(ALL)'!G29),2)</f>
        <v>0</v>
      </c>
      <c r="BH29" s="381">
        <f>ROUND(SUMIFS(BS_RE33!$H$7:$H$874,BS_RE33!$S$7:$S$874,$BH$2,BS_RE33!$N$7:$N$874,I29,BS_RE33!$P$7:$P$874,'30 days CF Table(ALL)'!G29),2)</f>
        <v>0</v>
      </c>
      <c r="BI29" s="381">
        <f>ROUND(SUMIFS(BS_RE33!$H$7:$H$874,BS_RE33!$S$7:$S$874,$BI$2,BS_RE33!$N$7:$N$874,I29,BS_RE33!$P$7:$P$874,'30 days CF Table(ALL)'!G29),2)</f>
        <v>0</v>
      </c>
      <c r="BJ29" s="381">
        <f>ROUND(SUMIFS(BS_RE33!$H$7:$H$874,BS_RE33!$S$7:$S$874,$BJ$2,BS_RE33!$N$7:$N$874,I29,BS_RE33!$P$7:$P$874,'30 days CF Table(ALL)'!G29),2)</f>
        <v>0</v>
      </c>
      <c r="BK29" s="381">
        <f>ROUND(SUMIFS(BS_RE33!$H$7:$H$874,BS_RE33!$S$7:$S$874,$BK$2,BS_RE33!$N$7:$N$874,I29,BS_RE33!$P$7:$P$874,'30 days CF Table(ALL)'!G29),2)</f>
        <v>0</v>
      </c>
    </row>
    <row r="30" spans="1:63">
      <c r="C30" s="1029"/>
      <c r="D30" s="1039"/>
      <c r="E30" s="306" t="s">
        <v>81</v>
      </c>
      <c r="F30" s="560" t="s">
        <v>491</v>
      </c>
      <c r="G30" s="392" t="s">
        <v>518</v>
      </c>
      <c r="H30" s="314">
        <v>0.25</v>
      </c>
      <c r="I30" s="315" t="s">
        <v>80</v>
      </c>
      <c r="J30" s="479">
        <f t="shared" si="3"/>
        <v>0</v>
      </c>
      <c r="K30" s="336">
        <f t="shared" si="4"/>
        <v>0</v>
      </c>
      <c r="L30" s="339">
        <f>ROUND(SUMIFS(BS_RE33!$H$7:$H$874,BS_RE33!$S$7:$S$874,$L$2,BS_RE33!$N$7:$N$874,I30,BS_RE33!$P$7:$P$874,'30 days CF Table(ALL)'!G30),2)</f>
        <v>0</v>
      </c>
      <c r="M30" s="339">
        <f>ROUND(SUMIFS(BS_RE33!$H$7:$H$874,BS_RE33!$S$7:$S$874,$M$2,BS_RE33!$N$7:$N$874,I30,BS_RE33!$P$7:$P$874,'30 days CF Table(ALL)'!G30),2)</f>
        <v>0</v>
      </c>
      <c r="N30" s="339">
        <f>ROUND(SUMIFS(BS_RE33!$H$7:$H$874,BS_RE33!$S$7:$S$874,$N$2,BS_RE33!$N$7:$N$874,I30,BS_RE33!$P$7:$P$874,'30 days CF Table(ALL)'!G30),2)</f>
        <v>0</v>
      </c>
      <c r="O30" s="339">
        <f>ROUND(SUMIFS(BS_RE33!$H$7:$H$874,BS_RE33!$S$7:$S$874,$O$2,BS_RE33!$N$7:$N$874,I30,BS_RE33!$P$7:$P$874,'30 days CF Table(ALL)'!G30),2)</f>
        <v>0</v>
      </c>
      <c r="P30" s="339">
        <f>ROUND(SUMIFS(BS_RE33!$H$7:$H$874,BS_RE33!$S$7:$S$874,$P$2,BS_RE33!$N$7:$N$874,I30,BS_RE33!$P$7:$P$874,'30 days CF Table(ALL)'!G30),2)</f>
        <v>0</v>
      </c>
      <c r="Q30" s="339">
        <f>ROUND(SUMIFS(BS_RE33!$H$7:$H$874,BS_RE33!$S$7:$S$874,$Q$2,BS_RE33!$N$7:$N$874,I30,BS_RE33!$P$7:$P$874,'30 days CF Table(ALL)'!G30),2)</f>
        <v>0</v>
      </c>
      <c r="R30" s="339">
        <f>ROUND(SUMIFS(BS_RE33!$H$7:$H$874,BS_RE33!$S$7:$S$874,$R$2,BS_RE33!$N$7:$N$874,I30,BS_RE33!$P$7:$P$874,'30 days CF Table(ALL)'!G30),2)</f>
        <v>0</v>
      </c>
      <c r="S30" s="339">
        <f>ROUND(SUMIFS(BS_RE33!$H$7:$H$874,BS_RE33!$S$7:$S$874,$S$2,BS_RE33!$N$7:$N$874,I30,BS_RE33!$P$7:$P$874,'30 days CF Table(ALL)'!G30),2)</f>
        <v>0</v>
      </c>
      <c r="T30" s="339">
        <f>ROUND(SUMIFS(BS_RE33!$H$7:$H$874,BS_RE33!$S$7:$S$874,$T$2,BS_RE33!$N$7:$N$874,I30,BS_RE33!$P$7:$P$874,'30 days CF Table(ALL)'!G30),2)</f>
        <v>0</v>
      </c>
      <c r="U30" s="339">
        <f>ROUND(SUMIFS(BS_RE33!$H$7:$H$874,BS_RE33!$S$7:$S$874,$U$2,BS_RE33!$N$7:$N$874,I30,BS_RE33!$P$7:$P$874,'30 days CF Table(ALL)'!G30),2)</f>
        <v>0</v>
      </c>
      <c r="V30" s="339">
        <f>ROUND(SUMIFS(BS_RE33!$H$7:$H$874,BS_RE33!$S$7:$S$874,$V$2,BS_RE33!$N$7:$N$874,I30,BS_RE33!$P$7:$P$874,'30 days CF Table(ALL)'!G30),2)</f>
        <v>0</v>
      </c>
      <c r="W30" s="339">
        <f>ROUND(SUMIFS(BS_RE33!$H$7:$H$874,BS_RE33!$S$7:$S$874,$W$2,BS_RE33!$N$7:$N$874,I30,BS_RE33!$P$7:$P$874,'30 days CF Table(ALL)'!G30),2)</f>
        <v>0</v>
      </c>
      <c r="X30" s="339">
        <f>ROUND(SUMIFS(BS_RE33!$H$7:$H$874,BS_RE33!$S$7:$S$874,$X$2,BS_RE33!$N$7:$N$874,I30,BS_RE33!$P$7:$P$874,'30 days CF Table(ALL)'!G30),2)</f>
        <v>0</v>
      </c>
      <c r="Y30" s="339">
        <f>ROUND(SUMIFS(BS_RE33!$H$7:$H$874,BS_RE33!$S$7:$S$874,$Y$2,BS_RE33!$N$7:$N$874,I30,BS_RE33!$P$7:$P$874,'30 days CF Table(ALL)'!G30),2)</f>
        <v>0</v>
      </c>
      <c r="Z30" s="339">
        <f>ROUND(SUMIFS(BS_RE33!$H$7:$H$874,BS_RE33!$S$7:$S$874,$Z$2,BS_RE33!$N$7:$N$874,I30,BS_RE33!$P$7:$P$874,'30 days CF Table(ALL)'!G30),2)</f>
        <v>0</v>
      </c>
      <c r="AA30" s="339">
        <f>ROUND(SUMIFS(BS_RE33!$H$7:$H$874,BS_RE33!$S$7:$S$874,$AA$2,BS_RE33!$N$7:$N$874,I30,BS_RE33!$P$7:$P$874,'30 days CF Table(ALL)'!G30),2)</f>
        <v>0</v>
      </c>
      <c r="AB30" s="339">
        <f>ROUND(SUMIFS(BS_RE33!$H$7:$H$874,BS_RE33!$S$7:$S$874,$AB$2,BS_RE33!$N$7:$N$874,I30,BS_RE33!$P$7:$P$874,'30 days CF Table(ALL)'!G30),2)</f>
        <v>0</v>
      </c>
      <c r="AC30" s="339">
        <f>ROUND(SUMIFS(BS_RE33!$H$7:$H$874,BS_RE33!$S$7:$S$874,$AC$2,BS_RE33!$N$7:$N$874,I30,BS_RE33!$P$7:$P$874,'30 days CF Table(ALL)'!G30),2)</f>
        <v>0</v>
      </c>
      <c r="AD30" s="339">
        <f>ROUND(SUMIFS(BS_RE33!$H$7:$H$874,BS_RE33!$S$7:$S$874,$AD$2,BS_RE33!$N$7:$N$874,I30,BS_RE33!$P$7:$P$874,'30 days CF Table(ALL)'!G30),2)</f>
        <v>0</v>
      </c>
      <c r="AE30" s="339">
        <f>ROUND(SUMIFS(BS_RE33!$H$7:$H$874,BS_RE33!$S$7:$S$874,$AE$2,BS_RE33!$N$7:$N$874,I30,BS_RE33!$P$7:$P$874,'30 days CF Table(ALL)'!G30),2)</f>
        <v>0</v>
      </c>
      <c r="AF30" s="339">
        <f>ROUND(SUMIFS(BS_RE33!$H$7:$H$874,BS_RE33!$S$7:$S$874,$AF$2,BS_RE33!$N$7:$N$874,I30,BS_RE33!$P$7:$P$874,'30 days CF Table(ALL)'!G30),2)</f>
        <v>0</v>
      </c>
      <c r="AG30" s="339">
        <f>ROUND(SUMIFS(BS_RE33!$H$7:$H$874,BS_RE33!$S$7:$S$874,$AG$2,BS_RE33!$N$7:$N$874,I30,BS_RE33!$P$7:$P$874,'30 days CF Table(ALL)'!G30),2)</f>
        <v>0</v>
      </c>
      <c r="AH30" s="339">
        <f>ROUND(SUMIFS(BS_RE33!$H$7:$H$874,BS_RE33!$S$7:$S$874,$AH$2,BS_RE33!$N$7:$N$874,I30,BS_RE33!$P$7:$P$874,'30 days CF Table(ALL)'!G30),2)</f>
        <v>0</v>
      </c>
      <c r="AI30" s="339">
        <f>ROUND(SUMIFS(BS_RE33!$H$7:$H$874,BS_RE33!$S$7:$S$874,$AI$2,BS_RE33!$N$7:$N$874,I30,BS_RE33!$P$7:$P$874,'30 days CF Table(ALL)'!G30),2)</f>
        <v>0</v>
      </c>
      <c r="AJ30" s="339">
        <f>ROUND(SUMIFS(BS_RE33!$H$7:$H$874,BS_RE33!$S$7:$S$874,$AJ$2,BS_RE33!$N$7:$N$874,I30,BS_RE33!$P$7:$P$874,'30 days CF Table(ALL)'!G30),2)</f>
        <v>0</v>
      </c>
      <c r="AK30" s="339">
        <f>ROUND(SUMIFS(BS_RE33!$H$7:$H$874,BS_RE33!$S$7:$S$874,$AK$2,BS_RE33!$N$7:$N$874,I30,BS_RE33!$P$7:$P$874,'30 days CF Table(ALL)'!G30),2)</f>
        <v>0</v>
      </c>
      <c r="AL30" s="339">
        <f>ROUND(SUMIFS(BS_RE33!$H$7:$H$874,BS_RE33!$S$7:$S$874,$AL$2,BS_RE33!$N$7:$N$874,I30,BS_RE33!$P$7:$P$874,'30 days CF Table(ALL)'!G30),2)</f>
        <v>0</v>
      </c>
      <c r="AM30" s="339">
        <f>ROUND(SUMIFS(BS_RE33!$H$7:$H$874,BS_RE33!$S$7:$S$874,$AM$2,BS_RE33!$N$7:$N$874,I30,BS_RE33!$P$7:$P$874,'30 days CF Table(ALL)'!G30),2)</f>
        <v>0</v>
      </c>
      <c r="AN30" s="339">
        <f>ROUND(SUMIFS(BS_RE33!$H$7:$H$874,BS_RE33!$S$7:$S$874,$AN$2,BS_RE33!$N$7:$N$874,I30,BS_RE33!$P$7:$P$874,'30 days CF Table(ALL)'!G30),2)</f>
        <v>0</v>
      </c>
      <c r="AO30" s="339">
        <f>ROUND(SUMIFS(BS_RE33!$H$7:$H$874,BS_RE33!$S$7:$S$874,$AO$2,BS_RE33!$N$7:$N$874,I30,BS_RE33!$P$7:$P$874,'30 days CF Table(ALL)'!G30),2)</f>
        <v>0</v>
      </c>
      <c r="AP30" s="340">
        <f>ROUND(SUMIFS(BS_RE33!$H$7:$H$874,BS_RE33!$S$7:$S$874,$AP$2,BS_RE33!$N$7:$N$874,I30,BS_RE33!$P$7:$P$874,'30 days CF Table(ALL)'!G30),2)</f>
        <v>0</v>
      </c>
      <c r="AR30" s="381">
        <f>ROUND(SUMIFS(BS_RE33!$H$7:$H$874,BS_RE33!$S$7:$S$874,$AR$2,BS_RE33!$N$7:$N$874,I30,BS_RE33!$P$7:$P$874,'30 days CF Table(ALL)'!G30),2)</f>
        <v>0</v>
      </c>
      <c r="AS30" s="381">
        <f>ROUND(SUMIFS(BS_RE33!$H$7:$H$874,BS_RE33!$S$7:$S$874,$AS$2,BS_RE33!$N$7:$N$874,I30,BS_RE33!$P$7:$P$874,'30 days CF Table(ALL)'!G30),2)</f>
        <v>0</v>
      </c>
      <c r="AT30" s="381">
        <f>ROUND(SUMIFS(BS_RE33!$H$7:$H$874,BS_RE33!$S$7:$S$874,$AT$2,BS_RE33!$N$7:$N$874,I30,BS_RE33!$P$7:$P$874,'30 days CF Table(ALL)'!G30),2)</f>
        <v>0</v>
      </c>
      <c r="AU30" s="381">
        <f>ROUND(SUMIFS(BS_RE33!$H$7:$H$874,BS_RE33!$S$7:$S$874,$AU$2,BS_RE33!$N$7:$N$874,I30,BS_RE33!$P$7:$P$874,'30 days CF Table(ALL)'!G30),2)</f>
        <v>0</v>
      </c>
      <c r="AV30" s="381">
        <f>ROUND(SUMIFS(BS_RE33!$H$7:$H$874,BS_RE33!$S$7:$S$874,$AV$2,BS_RE33!$N$7:$N$874,I30,BS_RE33!$P$7:$P$874,'30 days CF Table(ALL)'!G30),2)</f>
        <v>0</v>
      </c>
      <c r="AW30" s="381">
        <f>ROUND(SUMIFS(BS_RE33!$H$7:$H$874,BS_RE33!$S$7:$S$874,$AW$2,BS_RE33!$N$7:$N$874,I30,BS_RE33!$P$7:$P$874,'30 days CF Table(ALL)'!G30),2)</f>
        <v>0</v>
      </c>
      <c r="AX30" s="381">
        <f>ROUND(SUMIFS(BS_RE33!$H$7:$H$874,BS_RE33!$S$7:$S$874,$AX$2,BS_RE33!$N$7:$N$874,I30,BS_RE33!$P$7:$P$874,'30 days CF Table(ALL)'!G30),2)</f>
        <v>0</v>
      </c>
      <c r="AY30" s="381">
        <f>ROUND(SUMIFS(BS_RE33!$H$7:$H$874,BS_RE33!$S$7:$S$874,$AY$2,BS_RE33!$N$7:$N$874,I30,BS_RE33!$P$7:$P$874,'30 days CF Table(ALL)'!G30),2)</f>
        <v>0</v>
      </c>
      <c r="AZ30" s="381">
        <f>ROUND(SUMIFS(BS_RE33!$H$7:$H$874,BS_RE33!$S$7:$S$874,$AZ$2,BS_RE33!$N$7:$N$874,I30,BS_RE33!$P$7:$P$874,'30 days CF Table(ALL)'!G30),2)</f>
        <v>0</v>
      </c>
      <c r="BA30" s="381">
        <f>ROUND(SUMIFS(BS_RE33!$H$7:$H$874,BS_RE33!$S$7:$S$874,$BA$2,BS_RE33!$N$7:$N$874,I30,BS_RE33!$P$7:$P$874,'30 days CF Table(ALL)'!G30),2)</f>
        <v>0</v>
      </c>
      <c r="BB30" s="381">
        <f>ROUND(SUMIFS(BS_RE33!$H$7:$H$874,BS_RE33!$S$7:$S$874,$BB$2,BS_RE33!$N$7:$N$874,I30,BS_RE33!$P$7:$P$874,'30 days CF Table(ALL)'!G30),2)</f>
        <v>0</v>
      </c>
      <c r="BC30" s="381">
        <f>ROUND(SUMIFS(BS_RE33!$H$7:$H$874,BS_RE33!$S$7:$S$874,$BC$2,BS_RE33!$N$7:$N$874,I30,BS_RE33!$P$7:$P$874,'30 days CF Table(ALL)'!G30),2)</f>
        <v>0</v>
      </c>
      <c r="BD30" s="381">
        <f>ROUND(SUMIFS(BS_RE33!$H$7:$H$874,BS_RE33!$S$7:$S$874,$BD$2,BS_RE33!$N$7:$N$874,I30,BS_RE33!$P$7:$P$874,'30 days CF Table(ALL)'!G30),2)</f>
        <v>0</v>
      </c>
      <c r="BE30" s="381">
        <f>ROUND(SUMIFS(BS_RE33!$H$7:$H$874,BS_RE33!$S$7:$S$874,$BE$2,BS_RE33!$N$7:$N$874,I30,BS_RE33!$P$7:$P$874,'30 days CF Table(ALL)'!G30),2)</f>
        <v>0</v>
      </c>
      <c r="BF30" s="381">
        <f>ROUND(SUMIFS(BS_RE33!$H$7:$H$874,BS_RE33!$S$7:$S$874,$BF$2,BS_RE33!$N$7:$N$874,I30,BS_RE33!$P$7:$P$874,'30 days CF Table(ALL)'!G30),2)</f>
        <v>0</v>
      </c>
      <c r="BG30" s="381">
        <f>ROUND(SUMIFS(BS_RE33!$H$7:$H$874,BS_RE33!$S$7:$S$874,$BG$2,BS_RE33!$N$7:$N$874,I30,BS_RE33!$P$7:$P$874,'30 days CF Table(ALL)'!G30),2)</f>
        <v>0</v>
      </c>
      <c r="BH30" s="381">
        <f>ROUND(SUMIFS(BS_RE33!$H$7:$H$874,BS_RE33!$S$7:$S$874,$BH$2,BS_RE33!$N$7:$N$874,I30,BS_RE33!$P$7:$P$874,'30 days CF Table(ALL)'!G30),2)</f>
        <v>0</v>
      </c>
      <c r="BI30" s="381">
        <f>ROUND(SUMIFS(BS_RE33!$H$7:$H$874,BS_RE33!$S$7:$S$874,$BI$2,BS_RE33!$N$7:$N$874,I30,BS_RE33!$P$7:$P$874,'30 days CF Table(ALL)'!G30),2)</f>
        <v>0</v>
      </c>
      <c r="BJ30" s="381">
        <f>ROUND(SUMIFS(BS_RE33!$H$7:$H$874,BS_RE33!$S$7:$S$874,$BJ$2,BS_RE33!$N$7:$N$874,I30,BS_RE33!$P$7:$P$874,'30 days CF Table(ALL)'!G30),2)</f>
        <v>0</v>
      </c>
      <c r="BK30" s="381">
        <f>ROUND(SUMIFS(BS_RE33!$H$7:$H$874,BS_RE33!$S$7:$S$874,$BK$2,BS_RE33!$N$7:$N$874,I30,BS_RE33!$P$7:$P$874,'30 days CF Table(ALL)'!G30),2)</f>
        <v>0</v>
      </c>
    </row>
    <row r="31" spans="1:63">
      <c r="C31" s="1029"/>
      <c r="D31" s="1039"/>
      <c r="E31" s="306" t="s">
        <v>81</v>
      </c>
      <c r="F31" s="560" t="s">
        <v>490</v>
      </c>
      <c r="G31" s="392" t="s">
        <v>519</v>
      </c>
      <c r="H31" s="314">
        <v>0.25</v>
      </c>
      <c r="I31" s="315" t="s">
        <v>80</v>
      </c>
      <c r="J31" s="479">
        <f t="shared" si="3"/>
        <v>0</v>
      </c>
      <c r="K31" s="336">
        <f t="shared" si="4"/>
        <v>0</v>
      </c>
      <c r="L31" s="339">
        <f>ROUND(SUMIFS(BS_RE33!$H$7:$H$874,BS_RE33!$S$7:$S$874,$L$2,BS_RE33!$N$7:$N$874,I31,BS_RE33!$P$7:$P$874,'30 days CF Table(ALL)'!G31),2)</f>
        <v>0</v>
      </c>
      <c r="M31" s="339">
        <f>ROUND(SUMIFS(BS_RE33!$H$7:$H$874,BS_RE33!$S$7:$S$874,$M$2,BS_RE33!$N$7:$N$874,I31,BS_RE33!$P$7:$P$874,'30 days CF Table(ALL)'!G31),2)</f>
        <v>0</v>
      </c>
      <c r="N31" s="339">
        <f>ROUND(SUMIFS(BS_RE33!$H$7:$H$874,BS_RE33!$S$7:$S$874,$N$2,BS_RE33!$N$7:$N$874,I31,BS_RE33!$P$7:$P$874,'30 days CF Table(ALL)'!G31),2)</f>
        <v>0</v>
      </c>
      <c r="O31" s="339">
        <f>ROUND(SUMIFS(BS_RE33!$H$7:$H$874,BS_RE33!$S$7:$S$874,$O$2,BS_RE33!$N$7:$N$874,I31,BS_RE33!$P$7:$P$874,'30 days CF Table(ALL)'!G31),2)</f>
        <v>0</v>
      </c>
      <c r="P31" s="339">
        <f>ROUND(SUMIFS(BS_RE33!$H$7:$H$874,BS_RE33!$S$7:$S$874,$P$2,BS_RE33!$N$7:$N$874,I31,BS_RE33!$P$7:$P$874,'30 days CF Table(ALL)'!G31),2)</f>
        <v>0</v>
      </c>
      <c r="Q31" s="339">
        <f>ROUND(SUMIFS(BS_RE33!$H$7:$H$874,BS_RE33!$S$7:$S$874,$Q$2,BS_RE33!$N$7:$N$874,I31,BS_RE33!$P$7:$P$874,'30 days CF Table(ALL)'!G31),2)</f>
        <v>0</v>
      </c>
      <c r="R31" s="339">
        <f>ROUND(SUMIFS(BS_RE33!$H$7:$H$874,BS_RE33!$S$7:$S$874,$R$2,BS_RE33!$N$7:$N$874,I31,BS_RE33!$P$7:$P$874,'30 days CF Table(ALL)'!G31),2)</f>
        <v>0</v>
      </c>
      <c r="S31" s="339">
        <f>ROUND(SUMIFS(BS_RE33!$H$7:$H$874,BS_RE33!$S$7:$S$874,$S$2,BS_RE33!$N$7:$N$874,I31,BS_RE33!$P$7:$P$874,'30 days CF Table(ALL)'!G31),2)</f>
        <v>0</v>
      </c>
      <c r="T31" s="339">
        <f>ROUND(SUMIFS(BS_RE33!$H$7:$H$874,BS_RE33!$S$7:$S$874,$T$2,BS_RE33!$N$7:$N$874,I31,BS_RE33!$P$7:$P$874,'30 days CF Table(ALL)'!G31),2)</f>
        <v>0</v>
      </c>
      <c r="U31" s="339">
        <f>ROUND(SUMIFS(BS_RE33!$H$7:$H$874,BS_RE33!$S$7:$S$874,$U$2,BS_RE33!$N$7:$N$874,I31,BS_RE33!$P$7:$P$874,'30 days CF Table(ALL)'!G31),2)</f>
        <v>0</v>
      </c>
      <c r="V31" s="339">
        <f>ROUND(SUMIFS(BS_RE33!$H$7:$H$874,BS_RE33!$S$7:$S$874,$V$2,BS_RE33!$N$7:$N$874,I31,BS_RE33!$P$7:$P$874,'30 days CF Table(ALL)'!G31),2)</f>
        <v>0</v>
      </c>
      <c r="W31" s="339">
        <f>ROUND(SUMIFS(BS_RE33!$H$7:$H$874,BS_RE33!$S$7:$S$874,$W$2,BS_RE33!$N$7:$N$874,I31,BS_RE33!$P$7:$P$874,'30 days CF Table(ALL)'!G31),2)</f>
        <v>0</v>
      </c>
      <c r="X31" s="339">
        <f>ROUND(SUMIFS(BS_RE33!$H$7:$H$874,BS_RE33!$S$7:$S$874,$X$2,BS_RE33!$N$7:$N$874,I31,BS_RE33!$P$7:$P$874,'30 days CF Table(ALL)'!G31),2)</f>
        <v>0</v>
      </c>
      <c r="Y31" s="339">
        <f>ROUND(SUMIFS(BS_RE33!$H$7:$H$874,BS_RE33!$S$7:$S$874,$Y$2,BS_RE33!$N$7:$N$874,I31,BS_RE33!$P$7:$P$874,'30 days CF Table(ALL)'!G31),2)</f>
        <v>0</v>
      </c>
      <c r="Z31" s="339">
        <f>ROUND(SUMIFS(BS_RE33!$H$7:$H$874,BS_RE33!$S$7:$S$874,$Z$2,BS_RE33!$N$7:$N$874,I31,BS_RE33!$P$7:$P$874,'30 days CF Table(ALL)'!G31),2)</f>
        <v>0</v>
      </c>
      <c r="AA31" s="339">
        <f>ROUND(SUMIFS(BS_RE33!$H$7:$H$874,BS_RE33!$S$7:$S$874,$AA$2,BS_RE33!$N$7:$N$874,I31,BS_RE33!$P$7:$P$874,'30 days CF Table(ALL)'!G31),2)</f>
        <v>0</v>
      </c>
      <c r="AB31" s="339">
        <f>ROUND(SUMIFS(BS_RE33!$H$7:$H$874,BS_RE33!$S$7:$S$874,$AB$2,BS_RE33!$N$7:$N$874,I31,BS_RE33!$P$7:$P$874,'30 days CF Table(ALL)'!G31),2)</f>
        <v>0</v>
      </c>
      <c r="AC31" s="339">
        <f>ROUND(SUMIFS(BS_RE33!$H$7:$H$874,BS_RE33!$S$7:$S$874,$AC$2,BS_RE33!$N$7:$N$874,I31,BS_RE33!$P$7:$P$874,'30 days CF Table(ALL)'!G31),2)</f>
        <v>0</v>
      </c>
      <c r="AD31" s="339">
        <f>ROUND(SUMIFS(BS_RE33!$H$7:$H$874,BS_RE33!$S$7:$S$874,$AD$2,BS_RE33!$N$7:$N$874,I31,BS_RE33!$P$7:$P$874,'30 days CF Table(ALL)'!G31),2)</f>
        <v>0</v>
      </c>
      <c r="AE31" s="339">
        <f>ROUND(SUMIFS(BS_RE33!$H$7:$H$874,BS_RE33!$S$7:$S$874,$AE$2,BS_RE33!$N$7:$N$874,I31,BS_RE33!$P$7:$P$874,'30 days CF Table(ALL)'!G31),2)</f>
        <v>0</v>
      </c>
      <c r="AF31" s="339">
        <f>ROUND(SUMIFS(BS_RE33!$H$7:$H$874,BS_RE33!$S$7:$S$874,$AF$2,BS_RE33!$N$7:$N$874,I31,BS_RE33!$P$7:$P$874,'30 days CF Table(ALL)'!G31),2)</f>
        <v>0</v>
      </c>
      <c r="AG31" s="339">
        <f>ROUND(SUMIFS(BS_RE33!$H$7:$H$874,BS_RE33!$S$7:$S$874,$AG$2,BS_RE33!$N$7:$N$874,I31,BS_RE33!$P$7:$P$874,'30 days CF Table(ALL)'!G31),2)</f>
        <v>0</v>
      </c>
      <c r="AH31" s="339">
        <f>ROUND(SUMIFS(BS_RE33!$H$7:$H$874,BS_RE33!$S$7:$S$874,$AH$2,BS_RE33!$N$7:$N$874,I31,BS_RE33!$P$7:$P$874,'30 days CF Table(ALL)'!G31),2)</f>
        <v>0</v>
      </c>
      <c r="AI31" s="339">
        <f>ROUND(SUMIFS(BS_RE33!$H$7:$H$874,BS_RE33!$S$7:$S$874,$AI$2,BS_RE33!$N$7:$N$874,I31,BS_RE33!$P$7:$P$874,'30 days CF Table(ALL)'!G31),2)</f>
        <v>0</v>
      </c>
      <c r="AJ31" s="339">
        <f>ROUND(SUMIFS(BS_RE33!$H$7:$H$874,BS_RE33!$S$7:$S$874,$AJ$2,BS_RE33!$N$7:$N$874,I31,BS_RE33!$P$7:$P$874,'30 days CF Table(ALL)'!G31),2)</f>
        <v>0</v>
      </c>
      <c r="AK31" s="339">
        <f>ROUND(SUMIFS(BS_RE33!$H$7:$H$874,BS_RE33!$S$7:$S$874,$AK$2,BS_RE33!$N$7:$N$874,I31,BS_RE33!$P$7:$P$874,'30 days CF Table(ALL)'!G31),2)</f>
        <v>0</v>
      </c>
      <c r="AL31" s="339">
        <f>ROUND(SUMIFS(BS_RE33!$H$7:$H$874,BS_RE33!$S$7:$S$874,$AL$2,BS_RE33!$N$7:$N$874,I31,BS_RE33!$P$7:$P$874,'30 days CF Table(ALL)'!G31),2)</f>
        <v>0</v>
      </c>
      <c r="AM31" s="339">
        <f>ROUND(SUMIFS(BS_RE33!$H$7:$H$874,BS_RE33!$S$7:$S$874,$AM$2,BS_RE33!$N$7:$N$874,I31,BS_RE33!$P$7:$P$874,'30 days CF Table(ALL)'!G31),2)</f>
        <v>0</v>
      </c>
      <c r="AN31" s="339">
        <f>ROUND(SUMIFS(BS_RE33!$H$7:$H$874,BS_RE33!$S$7:$S$874,$AN$2,BS_RE33!$N$7:$N$874,I31,BS_RE33!$P$7:$P$874,'30 days CF Table(ALL)'!G31),2)</f>
        <v>0</v>
      </c>
      <c r="AO31" s="339">
        <f>ROUND(SUMIFS(BS_RE33!$H$7:$H$874,BS_RE33!$S$7:$S$874,$AO$2,BS_RE33!$N$7:$N$874,I31,BS_RE33!$P$7:$P$874,'30 days CF Table(ALL)'!G31),2)</f>
        <v>0</v>
      </c>
      <c r="AP31" s="340">
        <f>ROUND(SUMIFS(BS_RE33!$H$7:$H$874,BS_RE33!$S$7:$S$874,$AP$2,BS_RE33!$N$7:$N$874,I31,BS_RE33!$P$7:$P$874,'30 days CF Table(ALL)'!G31),2)</f>
        <v>0</v>
      </c>
      <c r="AR31" s="381">
        <f>ROUND(SUMIFS(BS_RE33!$H$7:$H$874,BS_RE33!$S$7:$S$874,$AR$2,BS_RE33!$N$7:$N$874,I31,BS_RE33!$P$7:$P$874,'30 days CF Table(ALL)'!G31),2)</f>
        <v>0</v>
      </c>
      <c r="AS31" s="381">
        <f>ROUND(SUMIFS(BS_RE33!$H$7:$H$874,BS_RE33!$S$7:$S$874,$AS$2,BS_RE33!$N$7:$N$874,I31,BS_RE33!$P$7:$P$874,'30 days CF Table(ALL)'!G31),2)</f>
        <v>0</v>
      </c>
      <c r="AT31" s="381">
        <f>ROUND(SUMIFS(BS_RE33!$H$7:$H$874,BS_RE33!$S$7:$S$874,$AT$2,BS_RE33!$N$7:$N$874,I31,BS_RE33!$P$7:$P$874,'30 days CF Table(ALL)'!G31),2)</f>
        <v>0</v>
      </c>
      <c r="AU31" s="381">
        <f>ROUND(SUMIFS(BS_RE33!$H$7:$H$874,BS_RE33!$S$7:$S$874,$AU$2,BS_RE33!$N$7:$N$874,I31,BS_RE33!$P$7:$P$874,'30 days CF Table(ALL)'!G31),2)</f>
        <v>0</v>
      </c>
      <c r="AV31" s="381">
        <f>ROUND(SUMIFS(BS_RE33!$H$7:$H$874,BS_RE33!$S$7:$S$874,$AV$2,BS_RE33!$N$7:$N$874,I31,BS_RE33!$P$7:$P$874,'30 days CF Table(ALL)'!G31),2)</f>
        <v>0</v>
      </c>
      <c r="AW31" s="381">
        <f>ROUND(SUMIFS(BS_RE33!$H$7:$H$874,BS_RE33!$S$7:$S$874,$AW$2,BS_RE33!$N$7:$N$874,I31,BS_RE33!$P$7:$P$874,'30 days CF Table(ALL)'!G31),2)</f>
        <v>0</v>
      </c>
      <c r="AX31" s="381">
        <f>ROUND(SUMIFS(BS_RE33!$H$7:$H$874,BS_RE33!$S$7:$S$874,$AX$2,BS_RE33!$N$7:$N$874,I31,BS_RE33!$P$7:$P$874,'30 days CF Table(ALL)'!G31),2)</f>
        <v>0</v>
      </c>
      <c r="AY31" s="381">
        <f>ROUND(SUMIFS(BS_RE33!$H$7:$H$874,BS_RE33!$S$7:$S$874,$AY$2,BS_RE33!$N$7:$N$874,I31,BS_RE33!$P$7:$P$874,'30 days CF Table(ALL)'!G31),2)</f>
        <v>0</v>
      </c>
      <c r="AZ31" s="381">
        <f>ROUND(SUMIFS(BS_RE33!$H$7:$H$874,BS_RE33!$S$7:$S$874,$AZ$2,BS_RE33!$N$7:$N$874,I31,BS_RE33!$P$7:$P$874,'30 days CF Table(ALL)'!G31),2)</f>
        <v>0</v>
      </c>
      <c r="BA31" s="381">
        <f>ROUND(SUMIFS(BS_RE33!$H$7:$H$874,BS_RE33!$S$7:$S$874,$BA$2,BS_RE33!$N$7:$N$874,I31,BS_RE33!$P$7:$P$874,'30 days CF Table(ALL)'!G31),2)</f>
        <v>0</v>
      </c>
      <c r="BB31" s="381">
        <f>ROUND(SUMIFS(BS_RE33!$H$7:$H$874,BS_RE33!$S$7:$S$874,$BB$2,BS_RE33!$N$7:$N$874,I31,BS_RE33!$P$7:$P$874,'30 days CF Table(ALL)'!G31),2)</f>
        <v>0</v>
      </c>
      <c r="BC31" s="381">
        <f>ROUND(SUMIFS(BS_RE33!$H$7:$H$874,BS_RE33!$S$7:$S$874,$BC$2,BS_RE33!$N$7:$N$874,I31,BS_RE33!$P$7:$P$874,'30 days CF Table(ALL)'!G31),2)</f>
        <v>0</v>
      </c>
      <c r="BD31" s="381">
        <f>ROUND(SUMIFS(BS_RE33!$H$7:$H$874,BS_RE33!$S$7:$S$874,$BD$2,BS_RE33!$N$7:$N$874,I31,BS_RE33!$P$7:$P$874,'30 days CF Table(ALL)'!G31),2)</f>
        <v>0</v>
      </c>
      <c r="BE31" s="381">
        <f>ROUND(SUMIFS(BS_RE33!$H$7:$H$874,BS_RE33!$S$7:$S$874,$BE$2,BS_RE33!$N$7:$N$874,I31,BS_RE33!$P$7:$P$874,'30 days CF Table(ALL)'!G31),2)</f>
        <v>0</v>
      </c>
      <c r="BF31" s="381">
        <f>ROUND(SUMIFS(BS_RE33!$H$7:$H$874,BS_RE33!$S$7:$S$874,$BF$2,BS_RE33!$N$7:$N$874,I31,BS_RE33!$P$7:$P$874,'30 days CF Table(ALL)'!G31),2)</f>
        <v>0</v>
      </c>
      <c r="BG31" s="381">
        <f>ROUND(SUMIFS(BS_RE33!$H$7:$H$874,BS_RE33!$S$7:$S$874,$BG$2,BS_RE33!$N$7:$N$874,I31,BS_RE33!$P$7:$P$874,'30 days CF Table(ALL)'!G31),2)</f>
        <v>0</v>
      </c>
      <c r="BH31" s="381">
        <f>ROUND(SUMIFS(BS_RE33!$H$7:$H$874,BS_RE33!$S$7:$S$874,$BH$2,BS_RE33!$N$7:$N$874,I31,BS_RE33!$P$7:$P$874,'30 days CF Table(ALL)'!G31),2)</f>
        <v>0</v>
      </c>
      <c r="BI31" s="381">
        <f>ROUND(SUMIFS(BS_RE33!$H$7:$H$874,BS_RE33!$S$7:$S$874,$BI$2,BS_RE33!$N$7:$N$874,I31,BS_RE33!$P$7:$P$874,'30 days CF Table(ALL)'!G31),2)</f>
        <v>0</v>
      </c>
      <c r="BJ31" s="381">
        <f>ROUND(SUMIFS(BS_RE33!$H$7:$H$874,BS_RE33!$S$7:$S$874,$BJ$2,BS_RE33!$N$7:$N$874,I31,BS_RE33!$P$7:$P$874,'30 days CF Table(ALL)'!G31),2)</f>
        <v>0</v>
      </c>
      <c r="BK31" s="381">
        <f>ROUND(SUMIFS(BS_RE33!$H$7:$H$874,BS_RE33!$S$7:$S$874,$BK$2,BS_RE33!$N$7:$N$874,I31,BS_RE33!$P$7:$P$874,'30 days CF Table(ALL)'!G31),2)</f>
        <v>0</v>
      </c>
    </row>
    <row r="32" spans="1:63">
      <c r="C32" s="1029"/>
      <c r="D32" s="1039"/>
      <c r="E32" s="306" t="s">
        <v>81</v>
      </c>
      <c r="F32" s="560" t="s">
        <v>489</v>
      </c>
      <c r="G32" s="392" t="s">
        <v>520</v>
      </c>
      <c r="H32" s="314">
        <v>0.4</v>
      </c>
      <c r="I32" s="315" t="s">
        <v>80</v>
      </c>
      <c r="J32" s="479">
        <f t="shared" si="3"/>
        <v>0</v>
      </c>
      <c r="K32" s="336">
        <f t="shared" si="4"/>
        <v>0</v>
      </c>
      <c r="L32" s="339">
        <f>ROUND(SUMIFS(BS_RE33!$H$7:$H$874,BS_RE33!$S$7:$S$874,$L$2,BS_RE33!$N$7:$N$874,I32,BS_RE33!$P$7:$P$874,'30 days CF Table(ALL)'!G32),2)</f>
        <v>0</v>
      </c>
      <c r="M32" s="339">
        <f>ROUND(SUMIFS(BS_RE33!$H$7:$H$874,BS_RE33!$S$7:$S$874,$M$2,BS_RE33!$N$7:$N$874,I32,BS_RE33!$P$7:$P$874,'30 days CF Table(ALL)'!G32),2)</f>
        <v>0</v>
      </c>
      <c r="N32" s="339">
        <f>ROUND(SUMIFS(BS_RE33!$H$7:$H$874,BS_RE33!$S$7:$S$874,$N$2,BS_RE33!$N$7:$N$874,I32,BS_RE33!$P$7:$P$874,'30 days CF Table(ALL)'!G32),2)</f>
        <v>0</v>
      </c>
      <c r="O32" s="339">
        <f>ROUND(SUMIFS(BS_RE33!$H$7:$H$874,BS_RE33!$S$7:$S$874,$O$2,BS_RE33!$N$7:$N$874,I32,BS_RE33!$P$7:$P$874,'30 days CF Table(ALL)'!G32),2)</f>
        <v>0</v>
      </c>
      <c r="P32" s="339">
        <f>ROUND(SUMIFS(BS_RE33!$H$7:$H$874,BS_RE33!$S$7:$S$874,$P$2,BS_RE33!$N$7:$N$874,I32,BS_RE33!$P$7:$P$874,'30 days CF Table(ALL)'!G32),2)</f>
        <v>0</v>
      </c>
      <c r="Q32" s="339">
        <f>ROUND(SUMIFS(BS_RE33!$H$7:$H$874,BS_RE33!$S$7:$S$874,$Q$2,BS_RE33!$N$7:$N$874,I32,BS_RE33!$P$7:$P$874,'30 days CF Table(ALL)'!G32),2)</f>
        <v>0</v>
      </c>
      <c r="R32" s="339">
        <f>ROUND(SUMIFS(BS_RE33!$H$7:$H$874,BS_RE33!$S$7:$S$874,$R$2,BS_RE33!$N$7:$N$874,I32,BS_RE33!$P$7:$P$874,'30 days CF Table(ALL)'!G32),2)</f>
        <v>0</v>
      </c>
      <c r="S32" s="339">
        <f>ROUND(SUMIFS(BS_RE33!$H$7:$H$874,BS_RE33!$S$7:$S$874,$S$2,BS_RE33!$N$7:$N$874,I32,BS_RE33!$P$7:$P$874,'30 days CF Table(ALL)'!G32),2)</f>
        <v>0</v>
      </c>
      <c r="T32" s="339">
        <f>ROUND(SUMIFS(BS_RE33!$H$7:$H$874,BS_RE33!$S$7:$S$874,$T$2,BS_RE33!$N$7:$N$874,I32,BS_RE33!$P$7:$P$874,'30 days CF Table(ALL)'!G32),2)</f>
        <v>0</v>
      </c>
      <c r="U32" s="339">
        <f>ROUND(SUMIFS(BS_RE33!$H$7:$H$874,BS_RE33!$S$7:$S$874,$U$2,BS_RE33!$N$7:$N$874,I32,BS_RE33!$P$7:$P$874,'30 days CF Table(ALL)'!G32),2)</f>
        <v>0</v>
      </c>
      <c r="V32" s="339">
        <f>ROUND(SUMIFS(BS_RE33!$H$7:$H$874,BS_RE33!$S$7:$S$874,$V$2,BS_RE33!$N$7:$N$874,I32,BS_RE33!$P$7:$P$874,'30 days CF Table(ALL)'!G32),2)</f>
        <v>0</v>
      </c>
      <c r="W32" s="339">
        <f>ROUND(SUMIFS(BS_RE33!$H$7:$H$874,BS_RE33!$S$7:$S$874,$W$2,BS_RE33!$N$7:$N$874,I32,BS_RE33!$P$7:$P$874,'30 days CF Table(ALL)'!G32),2)</f>
        <v>0</v>
      </c>
      <c r="X32" s="339">
        <f>ROUND(SUMIFS(BS_RE33!$H$7:$H$874,BS_RE33!$S$7:$S$874,$X$2,BS_RE33!$N$7:$N$874,I32,BS_RE33!$P$7:$P$874,'30 days CF Table(ALL)'!G32),2)</f>
        <v>0</v>
      </c>
      <c r="Y32" s="339">
        <f>ROUND(SUMIFS(BS_RE33!$H$7:$H$874,BS_RE33!$S$7:$S$874,$Y$2,BS_RE33!$N$7:$N$874,I32,BS_RE33!$P$7:$P$874,'30 days CF Table(ALL)'!G32),2)</f>
        <v>0</v>
      </c>
      <c r="Z32" s="339">
        <f>ROUND(SUMIFS(BS_RE33!$H$7:$H$874,BS_RE33!$S$7:$S$874,$Z$2,BS_RE33!$N$7:$N$874,I32,BS_RE33!$P$7:$P$874,'30 days CF Table(ALL)'!G32),2)</f>
        <v>0</v>
      </c>
      <c r="AA32" s="339">
        <f>ROUND(SUMIFS(BS_RE33!$H$7:$H$874,BS_RE33!$S$7:$S$874,$AA$2,BS_RE33!$N$7:$N$874,I32,BS_RE33!$P$7:$P$874,'30 days CF Table(ALL)'!G32),2)</f>
        <v>0</v>
      </c>
      <c r="AB32" s="339">
        <f>ROUND(SUMIFS(BS_RE33!$H$7:$H$874,BS_RE33!$S$7:$S$874,$AB$2,BS_RE33!$N$7:$N$874,I32,BS_RE33!$P$7:$P$874,'30 days CF Table(ALL)'!G32),2)</f>
        <v>0</v>
      </c>
      <c r="AC32" s="339">
        <f>ROUND(SUMIFS(BS_RE33!$H$7:$H$874,BS_RE33!$S$7:$S$874,$AC$2,BS_RE33!$N$7:$N$874,I32,BS_RE33!$P$7:$P$874,'30 days CF Table(ALL)'!G32),2)</f>
        <v>0</v>
      </c>
      <c r="AD32" s="339">
        <f>ROUND(SUMIFS(BS_RE33!$H$7:$H$874,BS_RE33!$S$7:$S$874,$AD$2,BS_RE33!$N$7:$N$874,I32,BS_RE33!$P$7:$P$874,'30 days CF Table(ALL)'!G32),2)</f>
        <v>0</v>
      </c>
      <c r="AE32" s="339">
        <f>ROUND(SUMIFS(BS_RE33!$H$7:$H$874,BS_RE33!$S$7:$S$874,$AE$2,BS_RE33!$N$7:$N$874,I32,BS_RE33!$P$7:$P$874,'30 days CF Table(ALL)'!G32),2)</f>
        <v>0</v>
      </c>
      <c r="AF32" s="339">
        <f>ROUND(SUMIFS(BS_RE33!$H$7:$H$874,BS_RE33!$S$7:$S$874,$AF$2,BS_RE33!$N$7:$N$874,I32,BS_RE33!$P$7:$P$874,'30 days CF Table(ALL)'!G32),2)</f>
        <v>0</v>
      </c>
      <c r="AG32" s="339">
        <f>ROUND(SUMIFS(BS_RE33!$H$7:$H$874,BS_RE33!$S$7:$S$874,$AG$2,BS_RE33!$N$7:$N$874,I32,BS_RE33!$P$7:$P$874,'30 days CF Table(ALL)'!G32),2)</f>
        <v>0</v>
      </c>
      <c r="AH32" s="339">
        <f>ROUND(SUMIFS(BS_RE33!$H$7:$H$874,BS_RE33!$S$7:$S$874,$AH$2,BS_RE33!$N$7:$N$874,I32,BS_RE33!$P$7:$P$874,'30 days CF Table(ALL)'!G32),2)</f>
        <v>0</v>
      </c>
      <c r="AI32" s="339">
        <f>ROUND(SUMIFS(BS_RE33!$H$7:$H$874,BS_RE33!$S$7:$S$874,$AI$2,BS_RE33!$N$7:$N$874,I32,BS_RE33!$P$7:$P$874,'30 days CF Table(ALL)'!G32),2)</f>
        <v>0</v>
      </c>
      <c r="AJ32" s="339">
        <f>ROUND(SUMIFS(BS_RE33!$H$7:$H$874,BS_RE33!$S$7:$S$874,$AJ$2,BS_RE33!$N$7:$N$874,I32,BS_RE33!$P$7:$P$874,'30 days CF Table(ALL)'!G32),2)</f>
        <v>0</v>
      </c>
      <c r="AK32" s="339">
        <f>ROUND(SUMIFS(BS_RE33!$H$7:$H$874,BS_RE33!$S$7:$S$874,$AK$2,BS_RE33!$N$7:$N$874,I32,BS_RE33!$P$7:$P$874,'30 days CF Table(ALL)'!G32),2)</f>
        <v>0</v>
      </c>
      <c r="AL32" s="339">
        <f>ROUND(SUMIFS(BS_RE33!$H$7:$H$874,BS_RE33!$S$7:$S$874,$AL$2,BS_RE33!$N$7:$N$874,I32,BS_RE33!$P$7:$P$874,'30 days CF Table(ALL)'!G32),2)</f>
        <v>0</v>
      </c>
      <c r="AM32" s="339">
        <f>ROUND(SUMIFS(BS_RE33!$H$7:$H$874,BS_RE33!$S$7:$S$874,$AM$2,BS_RE33!$N$7:$N$874,I32,BS_RE33!$P$7:$P$874,'30 days CF Table(ALL)'!G32),2)</f>
        <v>0</v>
      </c>
      <c r="AN32" s="339">
        <f>ROUND(SUMIFS(BS_RE33!$H$7:$H$874,BS_RE33!$S$7:$S$874,$AN$2,BS_RE33!$N$7:$N$874,I32,BS_RE33!$P$7:$P$874,'30 days CF Table(ALL)'!G32),2)</f>
        <v>0</v>
      </c>
      <c r="AO32" s="339">
        <f>ROUND(SUMIFS(BS_RE33!$H$7:$H$874,BS_RE33!$S$7:$S$874,$AO$2,BS_RE33!$N$7:$N$874,I32,BS_RE33!$P$7:$P$874,'30 days CF Table(ALL)'!G32),2)</f>
        <v>0</v>
      </c>
      <c r="AP32" s="340">
        <f>ROUND(SUMIFS(BS_RE33!$H$7:$H$874,BS_RE33!$S$7:$S$874,$AP$2,BS_RE33!$N$7:$N$874,I32,BS_RE33!$P$7:$P$874,'30 days CF Table(ALL)'!G32),2)</f>
        <v>0</v>
      </c>
      <c r="AR32" s="381">
        <f>ROUND(SUMIFS(BS_RE33!$H$7:$H$874,BS_RE33!$S$7:$S$874,$AR$2,BS_RE33!$N$7:$N$874,I32,BS_RE33!$P$7:$P$874,'30 days CF Table(ALL)'!G32),2)</f>
        <v>0</v>
      </c>
      <c r="AS32" s="381">
        <f>ROUND(SUMIFS(BS_RE33!$H$7:$H$874,BS_RE33!$S$7:$S$874,$AS$2,BS_RE33!$N$7:$N$874,I32,BS_RE33!$P$7:$P$874,'30 days CF Table(ALL)'!G32),2)</f>
        <v>0</v>
      </c>
      <c r="AT32" s="381">
        <f>ROUND(SUMIFS(BS_RE33!$H$7:$H$874,BS_RE33!$S$7:$S$874,$AT$2,BS_RE33!$N$7:$N$874,I32,BS_RE33!$P$7:$P$874,'30 days CF Table(ALL)'!G32),2)</f>
        <v>0</v>
      </c>
      <c r="AU32" s="381">
        <f>ROUND(SUMIFS(BS_RE33!$H$7:$H$874,BS_RE33!$S$7:$S$874,$AU$2,BS_RE33!$N$7:$N$874,I32,BS_RE33!$P$7:$P$874,'30 days CF Table(ALL)'!G32),2)</f>
        <v>0</v>
      </c>
      <c r="AV32" s="381">
        <f>ROUND(SUMIFS(BS_RE33!$H$7:$H$874,BS_RE33!$S$7:$S$874,$AV$2,BS_RE33!$N$7:$N$874,I32,BS_RE33!$P$7:$P$874,'30 days CF Table(ALL)'!G32),2)</f>
        <v>0</v>
      </c>
      <c r="AW32" s="381">
        <f>ROUND(SUMIFS(BS_RE33!$H$7:$H$874,BS_RE33!$S$7:$S$874,$AW$2,BS_RE33!$N$7:$N$874,I32,BS_RE33!$P$7:$P$874,'30 days CF Table(ALL)'!G32),2)</f>
        <v>0</v>
      </c>
      <c r="AX32" s="381">
        <f>ROUND(SUMIFS(BS_RE33!$H$7:$H$874,BS_RE33!$S$7:$S$874,$AX$2,BS_RE33!$N$7:$N$874,I32,BS_RE33!$P$7:$P$874,'30 days CF Table(ALL)'!G32),2)</f>
        <v>0</v>
      </c>
      <c r="AY32" s="381">
        <f>ROUND(SUMIFS(BS_RE33!$H$7:$H$874,BS_RE33!$S$7:$S$874,$AY$2,BS_RE33!$N$7:$N$874,I32,BS_RE33!$P$7:$P$874,'30 days CF Table(ALL)'!G32),2)</f>
        <v>0</v>
      </c>
      <c r="AZ32" s="381">
        <f>ROUND(SUMIFS(BS_RE33!$H$7:$H$874,BS_RE33!$S$7:$S$874,$AZ$2,BS_RE33!$N$7:$N$874,I32,BS_RE33!$P$7:$P$874,'30 days CF Table(ALL)'!G32),2)</f>
        <v>0</v>
      </c>
      <c r="BA32" s="381">
        <f>ROUND(SUMIFS(BS_RE33!$H$7:$H$874,BS_RE33!$S$7:$S$874,$BA$2,BS_RE33!$N$7:$N$874,I32,BS_RE33!$P$7:$P$874,'30 days CF Table(ALL)'!G32),2)</f>
        <v>0</v>
      </c>
      <c r="BB32" s="381">
        <f>ROUND(SUMIFS(BS_RE33!$H$7:$H$874,BS_RE33!$S$7:$S$874,$BB$2,BS_RE33!$N$7:$N$874,I32,BS_RE33!$P$7:$P$874,'30 days CF Table(ALL)'!G32),2)</f>
        <v>0</v>
      </c>
      <c r="BC32" s="381">
        <f>ROUND(SUMIFS(BS_RE33!$H$7:$H$874,BS_RE33!$S$7:$S$874,$BC$2,BS_RE33!$N$7:$N$874,I32,BS_RE33!$P$7:$P$874,'30 days CF Table(ALL)'!G32),2)</f>
        <v>0</v>
      </c>
      <c r="BD32" s="381">
        <f>ROUND(SUMIFS(BS_RE33!$H$7:$H$874,BS_RE33!$S$7:$S$874,$BD$2,BS_RE33!$N$7:$N$874,I32,BS_RE33!$P$7:$P$874,'30 days CF Table(ALL)'!G32),2)</f>
        <v>0</v>
      </c>
      <c r="BE32" s="381">
        <f>ROUND(SUMIFS(BS_RE33!$H$7:$H$874,BS_RE33!$S$7:$S$874,$BE$2,BS_RE33!$N$7:$N$874,I32,BS_RE33!$P$7:$P$874,'30 days CF Table(ALL)'!G32),2)</f>
        <v>0</v>
      </c>
      <c r="BF32" s="381">
        <f>ROUND(SUMIFS(BS_RE33!$H$7:$H$874,BS_RE33!$S$7:$S$874,$BF$2,BS_RE33!$N$7:$N$874,I32,BS_RE33!$P$7:$P$874,'30 days CF Table(ALL)'!G32),2)</f>
        <v>0</v>
      </c>
      <c r="BG32" s="381">
        <f>ROUND(SUMIFS(BS_RE33!$H$7:$H$874,BS_RE33!$S$7:$S$874,$BG$2,BS_RE33!$N$7:$N$874,I32,BS_RE33!$P$7:$P$874,'30 days CF Table(ALL)'!G32),2)</f>
        <v>0</v>
      </c>
      <c r="BH32" s="381">
        <f>ROUND(SUMIFS(BS_RE33!$H$7:$H$874,BS_RE33!$S$7:$S$874,$BH$2,BS_RE33!$N$7:$N$874,I32,BS_RE33!$P$7:$P$874,'30 days CF Table(ALL)'!G32),2)</f>
        <v>0</v>
      </c>
      <c r="BI32" s="381">
        <f>ROUND(SUMIFS(BS_RE33!$H$7:$H$874,BS_RE33!$S$7:$S$874,$BI$2,BS_RE33!$N$7:$N$874,I32,BS_RE33!$P$7:$P$874,'30 days CF Table(ALL)'!G32),2)</f>
        <v>0</v>
      </c>
      <c r="BJ32" s="381">
        <f>ROUND(SUMIFS(BS_RE33!$H$7:$H$874,BS_RE33!$S$7:$S$874,$BJ$2,BS_RE33!$N$7:$N$874,I32,BS_RE33!$P$7:$P$874,'30 days CF Table(ALL)'!G32),2)</f>
        <v>0</v>
      </c>
      <c r="BK32" s="381">
        <f>ROUND(SUMIFS(BS_RE33!$H$7:$H$874,BS_RE33!$S$7:$S$874,$BK$2,BS_RE33!$N$7:$N$874,I32,BS_RE33!$P$7:$P$874,'30 days CF Table(ALL)'!G32),2)</f>
        <v>0</v>
      </c>
    </row>
    <row r="33" spans="3:63">
      <c r="C33" s="1029"/>
      <c r="D33" s="1039"/>
      <c r="E33" s="40" t="s">
        <v>81</v>
      </c>
      <c r="F33" s="560" t="s">
        <v>492</v>
      </c>
      <c r="G33" s="392" t="s">
        <v>521</v>
      </c>
      <c r="H33" s="314">
        <v>1</v>
      </c>
      <c r="I33" s="315" t="s">
        <v>80</v>
      </c>
      <c r="J33" s="479">
        <f t="shared" si="3"/>
        <v>0</v>
      </c>
      <c r="K33" s="336">
        <f t="shared" si="4"/>
        <v>0</v>
      </c>
      <c r="L33" s="339">
        <f>ROUND(SUMIFS(BS_RE33!$H$7:$H$874,BS_RE33!$S$7:$S$874,$L$2,BS_RE33!$N$7:$N$874,I33,BS_RE33!$P$7:$P$874,'30 days CF Table(ALL)'!G33),2)</f>
        <v>0</v>
      </c>
      <c r="M33" s="339">
        <f>ROUND(SUMIFS(BS_RE33!$H$7:$H$874,BS_RE33!$S$7:$S$874,$M$2,BS_RE33!$N$7:$N$874,I33,BS_RE33!$P$7:$P$874,'30 days CF Table(ALL)'!G33),2)</f>
        <v>0</v>
      </c>
      <c r="N33" s="339">
        <f>ROUND(SUMIFS(BS_RE33!$H$7:$H$874,BS_RE33!$S$7:$S$874,$N$2,BS_RE33!$N$7:$N$874,I33,BS_RE33!$P$7:$P$874,'30 days CF Table(ALL)'!G33),2)</f>
        <v>0</v>
      </c>
      <c r="O33" s="339">
        <f>ROUND(SUMIFS(BS_RE33!$H$7:$H$874,BS_RE33!$S$7:$S$874,$O$2,BS_RE33!$N$7:$N$874,I33,BS_RE33!$P$7:$P$874,'30 days CF Table(ALL)'!G33),2)</f>
        <v>0</v>
      </c>
      <c r="P33" s="339">
        <f>ROUND(SUMIFS(BS_RE33!$H$7:$H$874,BS_RE33!$S$7:$S$874,$P$2,BS_RE33!$N$7:$N$874,I33,BS_RE33!$P$7:$P$874,'30 days CF Table(ALL)'!G33),2)</f>
        <v>0</v>
      </c>
      <c r="Q33" s="339">
        <f>ROUND(SUMIFS(BS_RE33!$H$7:$H$874,BS_RE33!$S$7:$S$874,$Q$2,BS_RE33!$N$7:$N$874,I33,BS_RE33!$P$7:$P$874,'30 days CF Table(ALL)'!G33),2)</f>
        <v>0</v>
      </c>
      <c r="R33" s="339">
        <f>ROUND(SUMIFS(BS_RE33!$H$7:$H$874,BS_RE33!$S$7:$S$874,$R$2,BS_RE33!$N$7:$N$874,I33,BS_RE33!$P$7:$P$874,'30 days CF Table(ALL)'!G33),2)</f>
        <v>0</v>
      </c>
      <c r="S33" s="339">
        <f>ROUND(SUMIFS(BS_RE33!$H$7:$H$874,BS_RE33!$S$7:$S$874,$S$2,BS_RE33!$N$7:$N$874,I33,BS_RE33!$P$7:$P$874,'30 days CF Table(ALL)'!G33),2)</f>
        <v>0</v>
      </c>
      <c r="T33" s="339">
        <f>ROUND(SUMIFS(BS_RE33!$H$7:$H$874,BS_RE33!$S$7:$S$874,$T$2,BS_RE33!$N$7:$N$874,I33,BS_RE33!$P$7:$P$874,'30 days CF Table(ALL)'!G33),2)</f>
        <v>0</v>
      </c>
      <c r="U33" s="339">
        <f>ROUND(SUMIFS(BS_RE33!$H$7:$H$874,BS_RE33!$S$7:$S$874,$U$2,BS_RE33!$N$7:$N$874,I33,BS_RE33!$P$7:$P$874,'30 days CF Table(ALL)'!G33),2)</f>
        <v>0</v>
      </c>
      <c r="V33" s="339">
        <f>ROUND(SUMIFS(BS_RE33!$H$7:$H$874,BS_RE33!$S$7:$S$874,$V$2,BS_RE33!$N$7:$N$874,I33,BS_RE33!$P$7:$P$874,'30 days CF Table(ALL)'!G33),2)</f>
        <v>0</v>
      </c>
      <c r="W33" s="339">
        <f>ROUND(SUMIFS(BS_RE33!$H$7:$H$874,BS_RE33!$S$7:$S$874,$W$2,BS_RE33!$N$7:$N$874,I33,BS_RE33!$P$7:$P$874,'30 days CF Table(ALL)'!G33),2)</f>
        <v>0</v>
      </c>
      <c r="X33" s="339">
        <f>ROUND(SUMIFS(BS_RE33!$H$7:$H$874,BS_RE33!$S$7:$S$874,$X$2,BS_RE33!$N$7:$N$874,I33,BS_RE33!$P$7:$P$874,'30 days CF Table(ALL)'!G33),2)</f>
        <v>0</v>
      </c>
      <c r="Y33" s="339">
        <f>ROUND(SUMIFS(BS_RE33!$H$7:$H$874,BS_RE33!$S$7:$S$874,$Y$2,BS_RE33!$N$7:$N$874,I33,BS_RE33!$P$7:$P$874,'30 days CF Table(ALL)'!G33),2)</f>
        <v>0</v>
      </c>
      <c r="Z33" s="339">
        <f>ROUND(SUMIFS(BS_RE33!$H$7:$H$874,BS_RE33!$S$7:$S$874,$Z$2,BS_RE33!$N$7:$N$874,I33,BS_RE33!$P$7:$P$874,'30 days CF Table(ALL)'!G33),2)</f>
        <v>0</v>
      </c>
      <c r="AA33" s="339">
        <f>ROUND(SUMIFS(BS_RE33!$H$7:$H$874,BS_RE33!$S$7:$S$874,$AA$2,BS_RE33!$N$7:$N$874,I33,BS_RE33!$P$7:$P$874,'30 days CF Table(ALL)'!G33),2)</f>
        <v>0</v>
      </c>
      <c r="AB33" s="339">
        <f>ROUND(SUMIFS(BS_RE33!$H$7:$H$874,BS_RE33!$S$7:$S$874,$AB$2,BS_RE33!$N$7:$N$874,I33,BS_RE33!$P$7:$P$874,'30 days CF Table(ALL)'!G33),2)</f>
        <v>0</v>
      </c>
      <c r="AC33" s="339">
        <f>ROUND(SUMIFS(BS_RE33!$H$7:$H$874,BS_RE33!$S$7:$S$874,$AC$2,BS_RE33!$N$7:$N$874,I33,BS_RE33!$P$7:$P$874,'30 days CF Table(ALL)'!G33),2)</f>
        <v>0</v>
      </c>
      <c r="AD33" s="339">
        <f>ROUND(SUMIFS(BS_RE33!$H$7:$H$874,BS_RE33!$S$7:$S$874,$AD$2,BS_RE33!$N$7:$N$874,I33,BS_RE33!$P$7:$P$874,'30 days CF Table(ALL)'!G33),2)</f>
        <v>0</v>
      </c>
      <c r="AE33" s="339">
        <f>ROUND(SUMIFS(BS_RE33!$H$7:$H$874,BS_RE33!$S$7:$S$874,$AE$2,BS_RE33!$N$7:$N$874,I33,BS_RE33!$P$7:$P$874,'30 days CF Table(ALL)'!G33),2)</f>
        <v>0</v>
      </c>
      <c r="AF33" s="339">
        <f>ROUND(SUMIFS(BS_RE33!$H$7:$H$874,BS_RE33!$S$7:$S$874,$AF$2,BS_RE33!$N$7:$N$874,I33,BS_RE33!$P$7:$P$874,'30 days CF Table(ALL)'!G33),2)</f>
        <v>0</v>
      </c>
      <c r="AG33" s="339">
        <f>ROUND(SUMIFS(BS_RE33!$H$7:$H$874,BS_RE33!$S$7:$S$874,$AG$2,BS_RE33!$N$7:$N$874,I33,BS_RE33!$P$7:$P$874,'30 days CF Table(ALL)'!G33),2)</f>
        <v>0</v>
      </c>
      <c r="AH33" s="339">
        <f>ROUND(SUMIFS(BS_RE33!$H$7:$H$874,BS_RE33!$S$7:$S$874,$AH$2,BS_RE33!$N$7:$N$874,I33,BS_RE33!$P$7:$P$874,'30 days CF Table(ALL)'!G33),2)</f>
        <v>0</v>
      </c>
      <c r="AI33" s="339">
        <f>ROUND(SUMIFS(BS_RE33!$H$7:$H$874,BS_RE33!$S$7:$S$874,$AI$2,BS_RE33!$N$7:$N$874,I33,BS_RE33!$P$7:$P$874,'30 days CF Table(ALL)'!G33),2)</f>
        <v>0</v>
      </c>
      <c r="AJ33" s="339">
        <f>ROUND(SUMIFS(BS_RE33!$H$7:$H$874,BS_RE33!$S$7:$S$874,$AJ$2,BS_RE33!$N$7:$N$874,I33,BS_RE33!$P$7:$P$874,'30 days CF Table(ALL)'!G33),2)</f>
        <v>0</v>
      </c>
      <c r="AK33" s="339">
        <f>ROUND(SUMIFS(BS_RE33!$H$7:$H$874,BS_RE33!$S$7:$S$874,$AK$2,BS_RE33!$N$7:$N$874,I33,BS_RE33!$P$7:$P$874,'30 days CF Table(ALL)'!G33),2)</f>
        <v>0</v>
      </c>
      <c r="AL33" s="339">
        <f>ROUND(SUMIFS(BS_RE33!$H$7:$H$874,BS_RE33!$S$7:$S$874,$AL$2,BS_RE33!$N$7:$N$874,I33,BS_RE33!$P$7:$P$874,'30 days CF Table(ALL)'!G33),2)</f>
        <v>0</v>
      </c>
      <c r="AM33" s="339">
        <f>ROUND(SUMIFS(BS_RE33!$H$7:$H$874,BS_RE33!$S$7:$S$874,$AM$2,BS_RE33!$N$7:$N$874,I33,BS_RE33!$P$7:$P$874,'30 days CF Table(ALL)'!G33),2)</f>
        <v>0</v>
      </c>
      <c r="AN33" s="339">
        <f>ROUND(SUMIFS(BS_RE33!$H$7:$H$874,BS_RE33!$S$7:$S$874,$AN$2,BS_RE33!$N$7:$N$874,I33,BS_RE33!$P$7:$P$874,'30 days CF Table(ALL)'!G33),2)</f>
        <v>0</v>
      </c>
      <c r="AO33" s="339">
        <f>ROUND(SUMIFS(BS_RE33!$H$7:$H$874,BS_RE33!$S$7:$S$874,$AO$2,BS_RE33!$N$7:$N$874,I33,BS_RE33!$P$7:$P$874,'30 days CF Table(ALL)'!G33),2)</f>
        <v>0</v>
      </c>
      <c r="AP33" s="340">
        <f>ROUND(SUMIFS(BS_RE33!$H$7:$H$874,BS_RE33!$S$7:$S$874,$AP$2,BS_RE33!$N$7:$N$874,I33,BS_RE33!$P$7:$P$874,'30 days CF Table(ALL)'!G33),2)</f>
        <v>0</v>
      </c>
      <c r="AR33" s="381">
        <f>ROUND(SUMIFS(BS_RE33!$H$7:$H$874,BS_RE33!$S$7:$S$874,$AR$2,BS_RE33!$N$7:$N$874,I33,BS_RE33!$P$7:$P$874,'30 days CF Table(ALL)'!G33),2)</f>
        <v>0</v>
      </c>
      <c r="AS33" s="381">
        <f>ROUND(SUMIFS(BS_RE33!$H$7:$H$874,BS_RE33!$S$7:$S$874,$AS$2,BS_RE33!$N$7:$N$874,I33,BS_RE33!$P$7:$P$874,'30 days CF Table(ALL)'!G33),2)</f>
        <v>0</v>
      </c>
      <c r="AT33" s="381">
        <f>ROUND(SUMIFS(BS_RE33!$H$7:$H$874,BS_RE33!$S$7:$S$874,$AT$2,BS_RE33!$N$7:$N$874,I33,BS_RE33!$P$7:$P$874,'30 days CF Table(ALL)'!G33),2)</f>
        <v>0</v>
      </c>
      <c r="AU33" s="381">
        <f>ROUND(SUMIFS(BS_RE33!$H$7:$H$874,BS_RE33!$S$7:$S$874,$AU$2,BS_RE33!$N$7:$N$874,I33,BS_RE33!$P$7:$P$874,'30 days CF Table(ALL)'!G33),2)</f>
        <v>0</v>
      </c>
      <c r="AV33" s="381">
        <f>ROUND(SUMIFS(BS_RE33!$H$7:$H$874,BS_RE33!$S$7:$S$874,$AV$2,BS_RE33!$N$7:$N$874,I33,BS_RE33!$P$7:$P$874,'30 days CF Table(ALL)'!G33),2)</f>
        <v>0</v>
      </c>
      <c r="AW33" s="381">
        <f>ROUND(SUMIFS(BS_RE33!$H$7:$H$874,BS_RE33!$S$7:$S$874,$AW$2,BS_RE33!$N$7:$N$874,I33,BS_RE33!$P$7:$P$874,'30 days CF Table(ALL)'!G33),2)</f>
        <v>0</v>
      </c>
      <c r="AX33" s="381">
        <f>ROUND(SUMIFS(BS_RE33!$H$7:$H$874,BS_RE33!$S$7:$S$874,$AX$2,BS_RE33!$N$7:$N$874,I33,BS_RE33!$P$7:$P$874,'30 days CF Table(ALL)'!G33),2)</f>
        <v>0</v>
      </c>
      <c r="AY33" s="381">
        <f>ROUND(SUMIFS(BS_RE33!$H$7:$H$874,BS_RE33!$S$7:$S$874,$AY$2,BS_RE33!$N$7:$N$874,I33,BS_RE33!$P$7:$P$874,'30 days CF Table(ALL)'!G33),2)</f>
        <v>0</v>
      </c>
      <c r="AZ33" s="381">
        <f>ROUND(SUMIFS(BS_RE33!$H$7:$H$874,BS_RE33!$S$7:$S$874,$AZ$2,BS_RE33!$N$7:$N$874,I33,BS_RE33!$P$7:$P$874,'30 days CF Table(ALL)'!G33),2)</f>
        <v>0</v>
      </c>
      <c r="BA33" s="381">
        <f>ROUND(SUMIFS(BS_RE33!$H$7:$H$874,BS_RE33!$S$7:$S$874,$BA$2,BS_RE33!$N$7:$N$874,I33,BS_RE33!$P$7:$P$874,'30 days CF Table(ALL)'!G33),2)</f>
        <v>0</v>
      </c>
      <c r="BB33" s="381">
        <f>ROUND(SUMIFS(BS_RE33!$H$7:$H$874,BS_RE33!$S$7:$S$874,$BB$2,BS_RE33!$N$7:$N$874,I33,BS_RE33!$P$7:$P$874,'30 days CF Table(ALL)'!G33),2)</f>
        <v>0</v>
      </c>
      <c r="BC33" s="381">
        <f>ROUND(SUMIFS(BS_RE33!$H$7:$H$874,BS_RE33!$S$7:$S$874,$BC$2,BS_RE33!$N$7:$N$874,I33,BS_RE33!$P$7:$P$874,'30 days CF Table(ALL)'!G33),2)</f>
        <v>0</v>
      </c>
      <c r="BD33" s="381">
        <f>ROUND(SUMIFS(BS_RE33!$H$7:$H$874,BS_RE33!$S$7:$S$874,$BD$2,BS_RE33!$N$7:$N$874,I33,BS_RE33!$P$7:$P$874,'30 days CF Table(ALL)'!G33),2)</f>
        <v>0</v>
      </c>
      <c r="BE33" s="381">
        <f>ROUND(SUMIFS(BS_RE33!$H$7:$H$874,BS_RE33!$S$7:$S$874,$BE$2,BS_RE33!$N$7:$N$874,I33,BS_RE33!$P$7:$P$874,'30 days CF Table(ALL)'!G33),2)</f>
        <v>0</v>
      </c>
      <c r="BF33" s="381">
        <f>ROUND(SUMIFS(BS_RE33!$H$7:$H$874,BS_RE33!$S$7:$S$874,$BF$2,BS_RE33!$N$7:$N$874,I33,BS_RE33!$P$7:$P$874,'30 days CF Table(ALL)'!G33),2)</f>
        <v>0</v>
      </c>
      <c r="BG33" s="381">
        <f>ROUND(SUMIFS(BS_RE33!$H$7:$H$874,BS_RE33!$S$7:$S$874,$BG$2,BS_RE33!$N$7:$N$874,I33,BS_RE33!$P$7:$P$874,'30 days CF Table(ALL)'!G33),2)</f>
        <v>0</v>
      </c>
      <c r="BH33" s="381">
        <f>ROUND(SUMIFS(BS_RE33!$H$7:$H$874,BS_RE33!$S$7:$S$874,$BH$2,BS_RE33!$N$7:$N$874,I33,BS_RE33!$P$7:$P$874,'30 days CF Table(ALL)'!G33),2)</f>
        <v>0</v>
      </c>
      <c r="BI33" s="381">
        <f>ROUND(SUMIFS(BS_RE33!$H$7:$H$874,BS_RE33!$S$7:$S$874,$BI$2,BS_RE33!$N$7:$N$874,I33,BS_RE33!$P$7:$P$874,'30 days CF Table(ALL)'!G33),2)</f>
        <v>0</v>
      </c>
      <c r="BJ33" s="381">
        <f>ROUND(SUMIFS(BS_RE33!$H$7:$H$874,BS_RE33!$S$7:$S$874,$BJ$2,BS_RE33!$N$7:$N$874,I33,BS_RE33!$P$7:$P$874,'30 days CF Table(ALL)'!G33),2)</f>
        <v>0</v>
      </c>
      <c r="BK33" s="381">
        <f>ROUND(SUMIFS(BS_RE33!$H$7:$H$874,BS_RE33!$S$7:$S$874,$BK$2,BS_RE33!$N$7:$N$874,I33,BS_RE33!$P$7:$P$874,'30 days CF Table(ALL)'!G33),2)</f>
        <v>0</v>
      </c>
    </row>
    <row r="34" spans="3:63">
      <c r="C34" s="1029"/>
      <c r="D34" s="1040"/>
      <c r="E34" s="306" t="s">
        <v>81</v>
      </c>
      <c r="F34" s="560" t="s">
        <v>493</v>
      </c>
      <c r="G34" s="392" t="s">
        <v>522</v>
      </c>
      <c r="H34" s="314">
        <v>1</v>
      </c>
      <c r="I34" s="315" t="s">
        <v>80</v>
      </c>
      <c r="J34" s="479">
        <f t="shared" si="3"/>
        <v>0</v>
      </c>
      <c r="K34" s="336">
        <f t="shared" si="4"/>
        <v>0</v>
      </c>
      <c r="L34" s="339">
        <f>ROUND(SUMIFS(BS_RE33!$H$7:$H$874,BS_RE33!$S$7:$S$874,$L$2,BS_RE33!$N$7:$N$874,I34,BS_RE33!$P$7:$P$874,'30 days CF Table(ALL)'!G34),2)</f>
        <v>0</v>
      </c>
      <c r="M34" s="339">
        <f>ROUND(SUMIFS(BS_RE33!$H$7:$H$874,BS_RE33!$S$7:$S$874,$M$2,BS_RE33!$N$7:$N$874,I34,BS_RE33!$P$7:$P$874,'30 days CF Table(ALL)'!G34),2)</f>
        <v>0</v>
      </c>
      <c r="N34" s="339">
        <f>ROUND(SUMIFS(BS_RE33!$H$7:$H$874,BS_RE33!$S$7:$S$874,$N$2,BS_RE33!$N$7:$N$874,I34,BS_RE33!$P$7:$P$874,'30 days CF Table(ALL)'!G34),2)</f>
        <v>0</v>
      </c>
      <c r="O34" s="339">
        <f>ROUND(SUMIFS(BS_RE33!$H$7:$H$874,BS_RE33!$S$7:$S$874,$O$2,BS_RE33!$N$7:$N$874,I34,BS_RE33!$P$7:$P$874,'30 days CF Table(ALL)'!G34),2)</f>
        <v>0</v>
      </c>
      <c r="P34" s="339">
        <f>ROUND(SUMIFS(BS_RE33!$H$7:$H$874,BS_RE33!$S$7:$S$874,$P$2,BS_RE33!$N$7:$N$874,I34,BS_RE33!$P$7:$P$874,'30 days CF Table(ALL)'!G34),2)</f>
        <v>0</v>
      </c>
      <c r="Q34" s="339">
        <f>ROUND(SUMIFS(BS_RE33!$H$7:$H$874,BS_RE33!$S$7:$S$874,$Q$2,BS_RE33!$N$7:$N$874,I34,BS_RE33!$P$7:$P$874,'30 days CF Table(ALL)'!G34),2)</f>
        <v>0</v>
      </c>
      <c r="R34" s="339">
        <f>ROUND(SUMIFS(BS_RE33!$H$7:$H$874,BS_RE33!$S$7:$S$874,$R$2,BS_RE33!$N$7:$N$874,I34,BS_RE33!$P$7:$P$874,'30 days CF Table(ALL)'!G34),2)</f>
        <v>0</v>
      </c>
      <c r="S34" s="339">
        <f>ROUND(SUMIFS(BS_RE33!$H$7:$H$874,BS_RE33!$S$7:$S$874,$S$2,BS_RE33!$N$7:$N$874,I34,BS_RE33!$P$7:$P$874,'30 days CF Table(ALL)'!G34),2)</f>
        <v>0</v>
      </c>
      <c r="T34" s="339">
        <f>ROUND(SUMIFS(BS_RE33!$H$7:$H$874,BS_RE33!$S$7:$S$874,$T$2,BS_RE33!$N$7:$N$874,I34,BS_RE33!$P$7:$P$874,'30 days CF Table(ALL)'!G34),2)</f>
        <v>0</v>
      </c>
      <c r="U34" s="339">
        <f>ROUND(SUMIFS(BS_RE33!$H$7:$H$874,BS_RE33!$S$7:$S$874,$U$2,BS_RE33!$N$7:$N$874,I34,BS_RE33!$P$7:$P$874,'30 days CF Table(ALL)'!G34),2)</f>
        <v>0</v>
      </c>
      <c r="V34" s="339">
        <f>ROUND(SUMIFS(BS_RE33!$H$7:$H$874,BS_RE33!$S$7:$S$874,$V$2,BS_RE33!$N$7:$N$874,I34,BS_RE33!$P$7:$P$874,'30 days CF Table(ALL)'!G34),2)</f>
        <v>0</v>
      </c>
      <c r="W34" s="339">
        <f>ROUND(SUMIFS(BS_RE33!$H$7:$H$874,BS_RE33!$S$7:$S$874,$W$2,BS_RE33!$N$7:$N$874,I34,BS_RE33!$P$7:$P$874,'30 days CF Table(ALL)'!G34),2)</f>
        <v>0</v>
      </c>
      <c r="X34" s="339">
        <f>ROUND(SUMIFS(BS_RE33!$H$7:$H$874,BS_RE33!$S$7:$S$874,$X$2,BS_RE33!$N$7:$N$874,I34,BS_RE33!$P$7:$P$874,'30 days CF Table(ALL)'!G34),2)</f>
        <v>0</v>
      </c>
      <c r="Y34" s="339">
        <f>ROUND(SUMIFS(BS_RE33!$H$7:$H$874,BS_RE33!$S$7:$S$874,$Y$2,BS_RE33!$N$7:$N$874,I34,BS_RE33!$P$7:$P$874,'30 days CF Table(ALL)'!G34),2)</f>
        <v>0</v>
      </c>
      <c r="Z34" s="339">
        <f>ROUND(SUMIFS(BS_RE33!$H$7:$H$874,BS_RE33!$S$7:$S$874,$Z$2,BS_RE33!$N$7:$N$874,I34,BS_RE33!$P$7:$P$874,'30 days CF Table(ALL)'!G34),2)</f>
        <v>0</v>
      </c>
      <c r="AA34" s="339">
        <f>ROUND(SUMIFS(BS_RE33!$H$7:$H$874,BS_RE33!$S$7:$S$874,$AA$2,BS_RE33!$N$7:$N$874,I34,BS_RE33!$P$7:$P$874,'30 days CF Table(ALL)'!G34),2)</f>
        <v>0</v>
      </c>
      <c r="AB34" s="339">
        <f>ROUND(SUMIFS(BS_RE33!$H$7:$H$874,BS_RE33!$S$7:$S$874,$AB$2,BS_RE33!$N$7:$N$874,I34,BS_RE33!$P$7:$P$874,'30 days CF Table(ALL)'!G34),2)</f>
        <v>0</v>
      </c>
      <c r="AC34" s="339">
        <f>ROUND(SUMIFS(BS_RE33!$H$7:$H$874,BS_RE33!$S$7:$S$874,$AC$2,BS_RE33!$N$7:$N$874,I34,BS_RE33!$P$7:$P$874,'30 days CF Table(ALL)'!G34),2)</f>
        <v>0</v>
      </c>
      <c r="AD34" s="339">
        <f>ROUND(SUMIFS(BS_RE33!$H$7:$H$874,BS_RE33!$S$7:$S$874,$AD$2,BS_RE33!$N$7:$N$874,I34,BS_RE33!$P$7:$P$874,'30 days CF Table(ALL)'!G34),2)</f>
        <v>0</v>
      </c>
      <c r="AE34" s="339">
        <f>ROUND(SUMIFS(BS_RE33!$H$7:$H$874,BS_RE33!$S$7:$S$874,$AE$2,BS_RE33!$N$7:$N$874,I34,BS_RE33!$P$7:$P$874,'30 days CF Table(ALL)'!G34),2)</f>
        <v>0</v>
      </c>
      <c r="AF34" s="339">
        <f>ROUND(SUMIFS(BS_RE33!$H$7:$H$874,BS_RE33!$S$7:$S$874,$AF$2,BS_RE33!$N$7:$N$874,I34,BS_RE33!$P$7:$P$874,'30 days CF Table(ALL)'!G34),2)</f>
        <v>0</v>
      </c>
      <c r="AG34" s="339">
        <f>ROUND(SUMIFS(BS_RE33!$H$7:$H$874,BS_RE33!$S$7:$S$874,$AG$2,BS_RE33!$N$7:$N$874,I34,BS_RE33!$P$7:$P$874,'30 days CF Table(ALL)'!G34),2)</f>
        <v>0</v>
      </c>
      <c r="AH34" s="339">
        <f>ROUND(SUMIFS(BS_RE33!$H$7:$H$874,BS_RE33!$S$7:$S$874,$AH$2,BS_RE33!$N$7:$N$874,I34,BS_RE33!$P$7:$P$874,'30 days CF Table(ALL)'!G34),2)</f>
        <v>0</v>
      </c>
      <c r="AI34" s="339">
        <f>ROUND(SUMIFS(BS_RE33!$H$7:$H$874,BS_RE33!$S$7:$S$874,$AI$2,BS_RE33!$N$7:$N$874,I34,BS_RE33!$P$7:$P$874,'30 days CF Table(ALL)'!G34),2)</f>
        <v>0</v>
      </c>
      <c r="AJ34" s="339">
        <f>ROUND(SUMIFS(BS_RE33!$H$7:$H$874,BS_RE33!$S$7:$S$874,$AJ$2,BS_RE33!$N$7:$N$874,I34,BS_RE33!$P$7:$P$874,'30 days CF Table(ALL)'!G34),2)</f>
        <v>0</v>
      </c>
      <c r="AK34" s="339">
        <f>ROUND(SUMIFS(BS_RE33!$H$7:$H$874,BS_RE33!$S$7:$S$874,$AK$2,BS_RE33!$N$7:$N$874,I34,BS_RE33!$P$7:$P$874,'30 days CF Table(ALL)'!G34),2)</f>
        <v>0</v>
      </c>
      <c r="AL34" s="339">
        <f>ROUND(SUMIFS(BS_RE33!$H$7:$H$874,BS_RE33!$S$7:$S$874,$AL$2,BS_RE33!$N$7:$N$874,I34,BS_RE33!$P$7:$P$874,'30 days CF Table(ALL)'!G34),2)</f>
        <v>0</v>
      </c>
      <c r="AM34" s="339">
        <f>ROUND(SUMIFS(BS_RE33!$H$7:$H$874,BS_RE33!$S$7:$S$874,$AM$2,BS_RE33!$N$7:$N$874,I34,BS_RE33!$P$7:$P$874,'30 days CF Table(ALL)'!G34),2)</f>
        <v>0</v>
      </c>
      <c r="AN34" s="339">
        <f>ROUND(SUMIFS(BS_RE33!$H$7:$H$874,BS_RE33!$S$7:$S$874,$AN$2,BS_RE33!$N$7:$N$874,I34,BS_RE33!$P$7:$P$874,'30 days CF Table(ALL)'!G34),2)</f>
        <v>0</v>
      </c>
      <c r="AO34" s="339">
        <f>ROUND(SUMIFS(BS_RE33!$H$7:$H$874,BS_RE33!$S$7:$S$874,$AO$2,BS_RE33!$N$7:$N$874,I34,BS_RE33!$P$7:$P$874,'30 days CF Table(ALL)'!G34),2)</f>
        <v>0</v>
      </c>
      <c r="AP34" s="340">
        <f>ROUND(SUMIFS(BS_RE33!$H$7:$H$874,BS_RE33!$S$7:$S$874,$AP$2,BS_RE33!$N$7:$N$874,I34,BS_RE33!$P$7:$P$874,'30 days CF Table(ALL)'!G34),2)</f>
        <v>0</v>
      </c>
      <c r="AR34" s="381">
        <f>ROUND(SUMIFS(BS_RE33!$H$7:$H$874,BS_RE33!$S$7:$S$874,$AR$2,BS_RE33!$N$7:$N$874,I34,BS_RE33!$P$7:$P$874,'30 days CF Table(ALL)'!G34),2)</f>
        <v>0</v>
      </c>
      <c r="AS34" s="381">
        <f>ROUND(SUMIFS(BS_RE33!$H$7:$H$874,BS_RE33!$S$7:$S$874,$AS$2,BS_RE33!$N$7:$N$874,I34,BS_RE33!$P$7:$P$874,'30 days CF Table(ALL)'!G34),2)</f>
        <v>0</v>
      </c>
      <c r="AT34" s="381">
        <f>ROUND(SUMIFS(BS_RE33!$H$7:$H$874,BS_RE33!$S$7:$S$874,$AT$2,BS_RE33!$N$7:$N$874,I34,BS_RE33!$P$7:$P$874,'30 days CF Table(ALL)'!G34),2)</f>
        <v>0</v>
      </c>
      <c r="AU34" s="381">
        <f>ROUND(SUMIFS(BS_RE33!$H$7:$H$874,BS_RE33!$S$7:$S$874,$AU$2,BS_RE33!$N$7:$N$874,I34,BS_RE33!$P$7:$P$874,'30 days CF Table(ALL)'!G34),2)</f>
        <v>0</v>
      </c>
      <c r="AV34" s="381">
        <f>ROUND(SUMIFS(BS_RE33!$H$7:$H$874,BS_RE33!$S$7:$S$874,$AV$2,BS_RE33!$N$7:$N$874,I34,BS_RE33!$P$7:$P$874,'30 days CF Table(ALL)'!G34),2)</f>
        <v>0</v>
      </c>
      <c r="AW34" s="381">
        <f>ROUND(SUMIFS(BS_RE33!$H$7:$H$874,BS_RE33!$S$7:$S$874,$AW$2,BS_RE33!$N$7:$N$874,I34,BS_RE33!$P$7:$P$874,'30 days CF Table(ALL)'!G34),2)</f>
        <v>0</v>
      </c>
      <c r="AX34" s="381">
        <f>ROUND(SUMIFS(BS_RE33!$H$7:$H$874,BS_RE33!$S$7:$S$874,$AX$2,BS_RE33!$N$7:$N$874,I34,BS_RE33!$P$7:$P$874,'30 days CF Table(ALL)'!G34),2)</f>
        <v>0</v>
      </c>
      <c r="AY34" s="381">
        <f>ROUND(SUMIFS(BS_RE33!$H$7:$H$874,BS_RE33!$S$7:$S$874,$AY$2,BS_RE33!$N$7:$N$874,I34,BS_RE33!$P$7:$P$874,'30 days CF Table(ALL)'!G34),2)</f>
        <v>0</v>
      </c>
      <c r="AZ34" s="381">
        <f>ROUND(SUMIFS(BS_RE33!$H$7:$H$874,BS_RE33!$S$7:$S$874,$AZ$2,BS_RE33!$N$7:$N$874,I34,BS_RE33!$P$7:$P$874,'30 days CF Table(ALL)'!G34),2)</f>
        <v>0</v>
      </c>
      <c r="BA34" s="381">
        <f>ROUND(SUMIFS(BS_RE33!$H$7:$H$874,BS_RE33!$S$7:$S$874,$BA$2,BS_RE33!$N$7:$N$874,I34,BS_RE33!$P$7:$P$874,'30 days CF Table(ALL)'!G34),2)</f>
        <v>0</v>
      </c>
      <c r="BB34" s="381">
        <f>ROUND(SUMIFS(BS_RE33!$H$7:$H$874,BS_RE33!$S$7:$S$874,$BB$2,BS_RE33!$N$7:$N$874,I34,BS_RE33!$P$7:$P$874,'30 days CF Table(ALL)'!G34),2)</f>
        <v>0</v>
      </c>
      <c r="BC34" s="381">
        <f>ROUND(SUMIFS(BS_RE33!$H$7:$H$874,BS_RE33!$S$7:$S$874,$BC$2,BS_RE33!$N$7:$N$874,I34,BS_RE33!$P$7:$P$874,'30 days CF Table(ALL)'!G34),2)</f>
        <v>0</v>
      </c>
      <c r="BD34" s="381">
        <f>ROUND(SUMIFS(BS_RE33!$H$7:$H$874,BS_RE33!$S$7:$S$874,$BD$2,BS_RE33!$N$7:$N$874,I34,BS_RE33!$P$7:$P$874,'30 days CF Table(ALL)'!G34),2)</f>
        <v>0</v>
      </c>
      <c r="BE34" s="381">
        <f>ROUND(SUMIFS(BS_RE33!$H$7:$H$874,BS_RE33!$S$7:$S$874,$BE$2,BS_RE33!$N$7:$N$874,I34,BS_RE33!$P$7:$P$874,'30 days CF Table(ALL)'!G34),2)</f>
        <v>0</v>
      </c>
      <c r="BF34" s="381">
        <f>ROUND(SUMIFS(BS_RE33!$H$7:$H$874,BS_RE33!$S$7:$S$874,$BF$2,BS_RE33!$N$7:$N$874,I34,BS_RE33!$P$7:$P$874,'30 days CF Table(ALL)'!G34),2)</f>
        <v>0</v>
      </c>
      <c r="BG34" s="381">
        <f>ROUND(SUMIFS(BS_RE33!$H$7:$H$874,BS_RE33!$S$7:$S$874,$BG$2,BS_RE33!$N$7:$N$874,I34,BS_RE33!$P$7:$P$874,'30 days CF Table(ALL)'!G34),2)</f>
        <v>0</v>
      </c>
      <c r="BH34" s="381">
        <f>ROUND(SUMIFS(BS_RE33!$H$7:$H$874,BS_RE33!$S$7:$S$874,$BH$2,BS_RE33!$N$7:$N$874,I34,BS_RE33!$P$7:$P$874,'30 days CF Table(ALL)'!G34),2)</f>
        <v>0</v>
      </c>
      <c r="BI34" s="381">
        <f>ROUND(SUMIFS(BS_RE33!$H$7:$H$874,BS_RE33!$S$7:$S$874,$BI$2,BS_RE33!$N$7:$N$874,I34,BS_RE33!$P$7:$P$874,'30 days CF Table(ALL)'!G34),2)</f>
        <v>0</v>
      </c>
      <c r="BJ34" s="381">
        <f>ROUND(SUMIFS(BS_RE33!$H$7:$H$874,BS_RE33!$S$7:$S$874,$BJ$2,BS_RE33!$N$7:$N$874,I34,BS_RE33!$P$7:$P$874,'30 days CF Table(ALL)'!G34),2)</f>
        <v>0</v>
      </c>
      <c r="BK34" s="381">
        <f>ROUND(SUMIFS(BS_RE33!$H$7:$H$874,BS_RE33!$S$7:$S$874,$BK$2,BS_RE33!$N$7:$N$874,I34,BS_RE33!$P$7:$P$874,'30 days CF Table(ALL)'!G34),2)</f>
        <v>0</v>
      </c>
    </row>
    <row r="35" spans="3:63">
      <c r="C35" s="1029"/>
      <c r="D35" s="1041" t="s">
        <v>760</v>
      </c>
      <c r="E35" s="40" t="s">
        <v>759</v>
      </c>
      <c r="F35" s="311"/>
      <c r="G35" s="392" t="s">
        <v>523</v>
      </c>
      <c r="H35" s="314">
        <v>1</v>
      </c>
      <c r="I35" s="315" t="s">
        <v>80</v>
      </c>
      <c r="J35" s="479">
        <f t="shared" si="3"/>
        <v>0</v>
      </c>
      <c r="K35" s="336">
        <f t="shared" si="4"/>
        <v>0</v>
      </c>
      <c r="L35" s="339">
        <f>ROUND(SUMIFS(BS_RE33!$H$7:$H$874,BS_RE33!$S$7:$S$874,$L$2,BS_RE33!$N$7:$N$874,I35,BS_RE33!$P$7:$P$874,'30 days CF Table(ALL)'!G35),2)</f>
        <v>0</v>
      </c>
      <c r="M35" s="339">
        <f>ROUND(SUMIFS(BS_RE33!$H$7:$H$874,BS_RE33!$S$7:$S$874,$M$2,BS_RE33!$N$7:$N$874,I35,BS_RE33!$P$7:$P$874,'30 days CF Table(ALL)'!G35),2)</f>
        <v>0</v>
      </c>
      <c r="N35" s="339">
        <f>ROUND(SUMIFS(BS_RE33!$H$7:$H$874,BS_RE33!$S$7:$S$874,$N$2,BS_RE33!$N$7:$N$874,I35,BS_RE33!$P$7:$P$874,'30 days CF Table(ALL)'!G35),2)</f>
        <v>0</v>
      </c>
      <c r="O35" s="339">
        <f>ROUND(SUMIFS(BS_RE33!$H$7:$H$874,BS_RE33!$S$7:$S$874,$O$2,BS_RE33!$N$7:$N$874,I35,BS_RE33!$P$7:$P$874,'30 days CF Table(ALL)'!G35),2)</f>
        <v>0</v>
      </c>
      <c r="P35" s="339">
        <f>ROUND(SUMIFS(BS_RE33!$H$7:$H$874,BS_RE33!$S$7:$S$874,$P$2,BS_RE33!$N$7:$N$874,I35,BS_RE33!$P$7:$P$874,'30 days CF Table(ALL)'!G35),2)</f>
        <v>0</v>
      </c>
      <c r="Q35" s="339">
        <f>ROUND(SUMIFS(BS_RE33!$H$7:$H$874,BS_RE33!$S$7:$S$874,$Q$2,BS_RE33!$N$7:$N$874,I35,BS_RE33!$P$7:$P$874,'30 days CF Table(ALL)'!G35),2)</f>
        <v>0</v>
      </c>
      <c r="R35" s="339">
        <f>ROUND(SUMIFS(BS_RE33!$H$7:$H$874,BS_RE33!$S$7:$S$874,$R$2,BS_RE33!$N$7:$N$874,I35,BS_RE33!$P$7:$P$874,'30 days CF Table(ALL)'!G35),2)</f>
        <v>0</v>
      </c>
      <c r="S35" s="339">
        <f>ROUND(SUMIFS(BS_RE33!$H$7:$H$874,BS_RE33!$S$7:$S$874,$S$2,BS_RE33!$N$7:$N$874,I35,BS_RE33!$P$7:$P$874,'30 days CF Table(ALL)'!G35),2)</f>
        <v>0</v>
      </c>
      <c r="T35" s="339">
        <f>ROUND(SUMIFS(BS_RE33!$H$7:$H$874,BS_RE33!$S$7:$S$874,$T$2,BS_RE33!$N$7:$N$874,I35,BS_RE33!$P$7:$P$874,'30 days CF Table(ALL)'!G35),2)</f>
        <v>0</v>
      </c>
      <c r="U35" s="339">
        <f>ROUND(SUMIFS(BS_RE33!$H$7:$H$874,BS_RE33!$S$7:$S$874,$U$2,BS_RE33!$N$7:$N$874,I35,BS_RE33!$P$7:$P$874,'30 days CF Table(ALL)'!G35),2)</f>
        <v>0</v>
      </c>
      <c r="V35" s="339">
        <f>ROUND(SUMIFS(BS_RE33!$H$7:$H$874,BS_RE33!$S$7:$S$874,$V$2,BS_RE33!$N$7:$N$874,I35,BS_RE33!$P$7:$P$874,'30 days CF Table(ALL)'!G35),2)</f>
        <v>0</v>
      </c>
      <c r="W35" s="339">
        <f>ROUND(SUMIFS(BS_RE33!$H$7:$H$874,BS_RE33!$S$7:$S$874,$W$2,BS_RE33!$N$7:$N$874,I35,BS_RE33!$P$7:$P$874,'30 days CF Table(ALL)'!G35),2)</f>
        <v>0</v>
      </c>
      <c r="X35" s="339">
        <f>ROUND(SUMIFS(BS_RE33!$H$7:$H$874,BS_RE33!$S$7:$S$874,$X$2,BS_RE33!$N$7:$N$874,I35,BS_RE33!$P$7:$P$874,'30 days CF Table(ALL)'!G35),2)</f>
        <v>0</v>
      </c>
      <c r="Y35" s="339">
        <f>ROUND(SUMIFS(BS_RE33!$H$7:$H$874,BS_RE33!$S$7:$S$874,$Y$2,BS_RE33!$N$7:$N$874,I35,BS_RE33!$P$7:$P$874,'30 days CF Table(ALL)'!G35),2)</f>
        <v>0</v>
      </c>
      <c r="Z35" s="339">
        <f>ROUND(SUMIFS(BS_RE33!$H$7:$H$874,BS_RE33!$S$7:$S$874,$Z$2,BS_RE33!$N$7:$N$874,I35,BS_RE33!$P$7:$P$874,'30 days CF Table(ALL)'!G35),2)</f>
        <v>0</v>
      </c>
      <c r="AA35" s="339">
        <f>ROUND(SUMIFS(BS_RE33!$H$7:$H$874,BS_RE33!$S$7:$S$874,$AA$2,BS_RE33!$N$7:$N$874,I35,BS_RE33!$P$7:$P$874,'30 days CF Table(ALL)'!G35),2)</f>
        <v>0</v>
      </c>
      <c r="AB35" s="339">
        <f>ROUND(SUMIFS(BS_RE33!$H$7:$H$874,BS_RE33!$S$7:$S$874,$AB$2,BS_RE33!$N$7:$N$874,I35,BS_RE33!$P$7:$P$874,'30 days CF Table(ALL)'!G35),2)</f>
        <v>0</v>
      </c>
      <c r="AC35" s="339">
        <f>ROUND(SUMIFS(BS_RE33!$H$7:$H$874,BS_RE33!$S$7:$S$874,$AC$2,BS_RE33!$N$7:$N$874,I35,BS_RE33!$P$7:$P$874,'30 days CF Table(ALL)'!G35),2)</f>
        <v>0</v>
      </c>
      <c r="AD35" s="339">
        <f>ROUND(SUMIFS(BS_RE33!$H$7:$H$874,BS_RE33!$S$7:$S$874,$AD$2,BS_RE33!$N$7:$N$874,I35,BS_RE33!$P$7:$P$874,'30 days CF Table(ALL)'!G35),2)</f>
        <v>0</v>
      </c>
      <c r="AE35" s="339">
        <f>ROUND(SUMIFS(BS_RE33!$H$7:$H$874,BS_RE33!$S$7:$S$874,$AE$2,BS_RE33!$N$7:$N$874,I35,BS_RE33!$P$7:$P$874,'30 days CF Table(ALL)'!G35),2)</f>
        <v>0</v>
      </c>
      <c r="AF35" s="339">
        <f>ROUND(SUMIFS(BS_RE33!$H$7:$H$874,BS_RE33!$S$7:$S$874,$AF$2,BS_RE33!$N$7:$N$874,I35,BS_RE33!$P$7:$P$874,'30 days CF Table(ALL)'!G35),2)</f>
        <v>0</v>
      </c>
      <c r="AG35" s="339">
        <f>ROUND(SUMIFS(BS_RE33!$H$7:$H$874,BS_RE33!$S$7:$S$874,$AG$2,BS_RE33!$N$7:$N$874,I35,BS_RE33!$P$7:$P$874,'30 days CF Table(ALL)'!G35),2)</f>
        <v>0</v>
      </c>
      <c r="AH35" s="339">
        <f>ROUND(SUMIFS(BS_RE33!$H$7:$H$874,BS_RE33!$S$7:$S$874,$AH$2,BS_RE33!$N$7:$N$874,I35,BS_RE33!$P$7:$P$874,'30 days CF Table(ALL)'!G35),2)</f>
        <v>0</v>
      </c>
      <c r="AI35" s="339">
        <f>ROUND(SUMIFS(BS_RE33!$H$7:$H$874,BS_RE33!$S$7:$S$874,$AI$2,BS_RE33!$N$7:$N$874,I35,BS_RE33!$P$7:$P$874,'30 days CF Table(ALL)'!G35),2)</f>
        <v>0</v>
      </c>
      <c r="AJ35" s="339">
        <f>ROUND(SUMIFS(BS_RE33!$H$7:$H$874,BS_RE33!$S$7:$S$874,$AJ$2,BS_RE33!$N$7:$N$874,I35,BS_RE33!$P$7:$P$874,'30 days CF Table(ALL)'!G35),2)</f>
        <v>0</v>
      </c>
      <c r="AK35" s="339">
        <f>ROUND(SUMIFS(BS_RE33!$H$7:$H$874,BS_RE33!$S$7:$S$874,$AK$2,BS_RE33!$N$7:$N$874,I35,BS_RE33!$P$7:$P$874,'30 days CF Table(ALL)'!G35),2)</f>
        <v>0</v>
      </c>
      <c r="AL35" s="339">
        <f>ROUND(SUMIFS(BS_RE33!$H$7:$H$874,BS_RE33!$S$7:$S$874,$AL$2,BS_RE33!$N$7:$N$874,I35,BS_RE33!$P$7:$P$874,'30 days CF Table(ALL)'!G35),2)</f>
        <v>0</v>
      </c>
      <c r="AM35" s="339">
        <f>ROUND(SUMIFS(BS_RE33!$H$7:$H$874,BS_RE33!$S$7:$S$874,$AM$2,BS_RE33!$N$7:$N$874,I35,BS_RE33!$P$7:$P$874,'30 days CF Table(ALL)'!G35),2)</f>
        <v>0</v>
      </c>
      <c r="AN35" s="339">
        <f>ROUND(SUMIFS(BS_RE33!$H$7:$H$874,BS_RE33!$S$7:$S$874,$AN$2,BS_RE33!$N$7:$N$874,I35,BS_RE33!$P$7:$P$874,'30 days CF Table(ALL)'!G35),2)</f>
        <v>0</v>
      </c>
      <c r="AO35" s="339">
        <f>ROUND(SUMIFS(BS_RE33!$H$7:$H$874,BS_RE33!$S$7:$S$874,$AO$2,BS_RE33!$N$7:$N$874,I35,BS_RE33!$P$7:$P$874,'30 days CF Table(ALL)'!G35),2)</f>
        <v>0</v>
      </c>
      <c r="AP35" s="340">
        <f>ROUND(SUMIFS(BS_RE33!$H$7:$H$874,BS_RE33!$S$7:$S$874,$AP$2,BS_RE33!$N$7:$N$874,I35,BS_RE33!$P$7:$P$874,'30 days CF Table(ALL)'!G35),2)</f>
        <v>0</v>
      </c>
      <c r="AR35" s="381">
        <f>ROUND(SUMIFS(BS_RE33!$H$7:$H$874,BS_RE33!$S$7:$S$874,$AR$2,BS_RE33!$N$7:$N$874,I35,BS_RE33!$P$7:$P$874,'30 days CF Table(ALL)'!G35),2)</f>
        <v>0</v>
      </c>
      <c r="AS35" s="381">
        <f>ROUND(SUMIFS(BS_RE33!$H$7:$H$874,BS_RE33!$S$7:$S$874,$AS$2,BS_RE33!$N$7:$N$874,I35,BS_RE33!$P$7:$P$874,'30 days CF Table(ALL)'!G35),2)</f>
        <v>0</v>
      </c>
      <c r="AT35" s="381">
        <f>ROUND(SUMIFS(BS_RE33!$H$7:$H$874,BS_RE33!$S$7:$S$874,$AT$2,BS_RE33!$N$7:$N$874,I35,BS_RE33!$P$7:$P$874,'30 days CF Table(ALL)'!G35),2)</f>
        <v>0</v>
      </c>
      <c r="AU35" s="381">
        <f>ROUND(SUMIFS(BS_RE33!$H$7:$H$874,BS_RE33!$S$7:$S$874,$AU$2,BS_RE33!$N$7:$N$874,I35,BS_RE33!$P$7:$P$874,'30 days CF Table(ALL)'!G35),2)</f>
        <v>0</v>
      </c>
      <c r="AV35" s="381">
        <f>ROUND(SUMIFS(BS_RE33!$H$7:$H$874,BS_RE33!$S$7:$S$874,$AV$2,BS_RE33!$N$7:$N$874,I35,BS_RE33!$P$7:$P$874,'30 days CF Table(ALL)'!G35),2)</f>
        <v>0</v>
      </c>
      <c r="AW35" s="381">
        <f>ROUND(SUMIFS(BS_RE33!$H$7:$H$874,BS_RE33!$S$7:$S$874,$AW$2,BS_RE33!$N$7:$N$874,I35,BS_RE33!$P$7:$P$874,'30 days CF Table(ALL)'!G35),2)</f>
        <v>0</v>
      </c>
      <c r="AX35" s="381">
        <f>ROUND(SUMIFS(BS_RE33!$H$7:$H$874,BS_RE33!$S$7:$S$874,$AX$2,BS_RE33!$N$7:$N$874,I35,BS_RE33!$P$7:$P$874,'30 days CF Table(ALL)'!G35),2)</f>
        <v>0</v>
      </c>
      <c r="AY35" s="381">
        <f>ROUND(SUMIFS(BS_RE33!$H$7:$H$874,BS_RE33!$S$7:$S$874,$AY$2,BS_RE33!$N$7:$N$874,I35,BS_RE33!$P$7:$P$874,'30 days CF Table(ALL)'!G35),2)</f>
        <v>0</v>
      </c>
      <c r="AZ35" s="381">
        <f>ROUND(SUMIFS(BS_RE33!$H$7:$H$874,BS_RE33!$S$7:$S$874,$AZ$2,BS_RE33!$N$7:$N$874,I35,BS_RE33!$P$7:$P$874,'30 days CF Table(ALL)'!G35),2)</f>
        <v>0</v>
      </c>
      <c r="BA35" s="381">
        <f>ROUND(SUMIFS(BS_RE33!$H$7:$H$874,BS_RE33!$S$7:$S$874,$BA$2,BS_RE33!$N$7:$N$874,I35,BS_RE33!$P$7:$P$874,'30 days CF Table(ALL)'!G35),2)</f>
        <v>0</v>
      </c>
      <c r="BB35" s="381">
        <f>ROUND(SUMIFS(BS_RE33!$H$7:$H$874,BS_RE33!$S$7:$S$874,$BB$2,BS_RE33!$N$7:$N$874,I35,BS_RE33!$P$7:$P$874,'30 days CF Table(ALL)'!G35),2)</f>
        <v>0</v>
      </c>
      <c r="BC35" s="381">
        <f>ROUND(SUMIFS(BS_RE33!$H$7:$H$874,BS_RE33!$S$7:$S$874,$BC$2,BS_RE33!$N$7:$N$874,I35,BS_RE33!$P$7:$P$874,'30 days CF Table(ALL)'!G35),2)</f>
        <v>0</v>
      </c>
      <c r="BD35" s="381">
        <f>ROUND(SUMIFS(BS_RE33!$H$7:$H$874,BS_RE33!$S$7:$S$874,$BD$2,BS_RE33!$N$7:$N$874,I35,BS_RE33!$P$7:$P$874,'30 days CF Table(ALL)'!G35),2)</f>
        <v>0</v>
      </c>
      <c r="BE35" s="381">
        <f>ROUND(SUMIFS(BS_RE33!$H$7:$H$874,BS_RE33!$S$7:$S$874,$BE$2,BS_RE33!$N$7:$N$874,I35,BS_RE33!$P$7:$P$874,'30 days CF Table(ALL)'!G35),2)</f>
        <v>0</v>
      </c>
      <c r="BF35" s="381">
        <f>ROUND(SUMIFS(BS_RE33!$H$7:$H$874,BS_RE33!$S$7:$S$874,$BF$2,BS_RE33!$N$7:$N$874,I35,BS_RE33!$P$7:$P$874,'30 days CF Table(ALL)'!G35),2)</f>
        <v>0</v>
      </c>
      <c r="BG35" s="381">
        <f>ROUND(SUMIFS(BS_RE33!$H$7:$H$874,BS_RE33!$S$7:$S$874,$BG$2,BS_RE33!$N$7:$N$874,I35,BS_RE33!$P$7:$P$874,'30 days CF Table(ALL)'!G35),2)</f>
        <v>0</v>
      </c>
      <c r="BH35" s="381">
        <f>ROUND(SUMIFS(BS_RE33!$H$7:$H$874,BS_RE33!$S$7:$S$874,$BH$2,BS_RE33!$N$7:$N$874,I35,BS_RE33!$P$7:$P$874,'30 days CF Table(ALL)'!G35),2)</f>
        <v>0</v>
      </c>
      <c r="BI35" s="381">
        <f>ROUND(SUMIFS(BS_RE33!$H$7:$H$874,BS_RE33!$S$7:$S$874,$BI$2,BS_RE33!$N$7:$N$874,I35,BS_RE33!$P$7:$P$874,'30 days CF Table(ALL)'!G35),2)</f>
        <v>0</v>
      </c>
      <c r="BJ35" s="381">
        <f>ROUND(SUMIFS(BS_RE33!$H$7:$H$874,BS_RE33!$S$7:$S$874,$BJ$2,BS_RE33!$N$7:$N$874,I35,BS_RE33!$P$7:$P$874,'30 days CF Table(ALL)'!G35),2)</f>
        <v>0</v>
      </c>
      <c r="BK35" s="381">
        <f>ROUND(SUMIFS(BS_RE33!$H$7:$H$874,BS_RE33!$S$7:$S$874,$BK$2,BS_RE33!$N$7:$N$874,I35,BS_RE33!$P$7:$P$874,'30 days CF Table(ALL)'!G35),2)</f>
        <v>0</v>
      </c>
    </row>
    <row r="36" spans="3:63">
      <c r="C36" s="1029"/>
      <c r="D36" s="1042"/>
      <c r="E36" s="40" t="s">
        <v>562</v>
      </c>
      <c r="F36" s="311"/>
      <c r="G36" s="392" t="s">
        <v>751</v>
      </c>
      <c r="H36" s="314">
        <v>1</v>
      </c>
      <c r="I36" s="315" t="s">
        <v>80</v>
      </c>
      <c r="J36" s="479">
        <f t="shared" si="3"/>
        <v>0</v>
      </c>
      <c r="K36" s="336">
        <f t="shared" ref="K36:K64" si="5">SUM(L36:AP36)*H36</f>
        <v>0</v>
      </c>
      <c r="L36" s="339">
        <f>ROUND(SUMIFS(BS_RE33!$H$7:$H$874,BS_RE33!$S$7:$S$874,$L$2,BS_RE33!$N$7:$N$874,I36,BS_RE33!$P$7:$P$874,'30 days CF Table(ALL)'!G36),2)</f>
        <v>0</v>
      </c>
      <c r="M36" s="339">
        <f>ROUND(SUMIFS(BS_RE33!$H$7:$H$874,BS_RE33!$S$7:$S$874,$M$2,BS_RE33!$N$7:$N$874,I36,BS_RE33!$P$7:$P$874,'30 days CF Table(ALL)'!G36),2)</f>
        <v>0</v>
      </c>
      <c r="N36" s="339">
        <f>ROUND(SUMIFS(BS_RE33!$H$7:$H$874,BS_RE33!$S$7:$S$874,$N$2,BS_RE33!$N$7:$N$874,I36,BS_RE33!$P$7:$P$874,'30 days CF Table(ALL)'!G36),2)</f>
        <v>0</v>
      </c>
      <c r="O36" s="339">
        <f>ROUND(SUMIFS(BS_RE33!$H$7:$H$874,BS_RE33!$S$7:$S$874,$O$2,BS_RE33!$N$7:$N$874,I36,BS_RE33!$P$7:$P$874,'30 days CF Table(ALL)'!G36),2)</f>
        <v>0</v>
      </c>
      <c r="P36" s="339">
        <f>ROUND(SUMIFS(BS_RE33!$H$7:$H$874,BS_RE33!$S$7:$S$874,$P$2,BS_RE33!$N$7:$N$874,I36,BS_RE33!$P$7:$P$874,'30 days CF Table(ALL)'!G36),2)</f>
        <v>0</v>
      </c>
      <c r="Q36" s="339">
        <f>ROUND(SUMIFS(BS_RE33!$H$7:$H$874,BS_RE33!$S$7:$S$874,$Q$2,BS_RE33!$N$7:$N$874,I36,BS_RE33!$P$7:$P$874,'30 days CF Table(ALL)'!G36),2)</f>
        <v>0</v>
      </c>
      <c r="R36" s="339">
        <f>ROUND(SUMIFS(BS_RE33!$H$7:$H$874,BS_RE33!$S$7:$S$874,$R$2,BS_RE33!$N$7:$N$874,I36,BS_RE33!$P$7:$P$874,'30 days CF Table(ALL)'!G36),2)</f>
        <v>0</v>
      </c>
      <c r="S36" s="339">
        <f>ROUND(SUMIFS(BS_RE33!$H$7:$H$874,BS_RE33!$S$7:$S$874,$S$2,BS_RE33!$N$7:$N$874,I36,BS_RE33!$P$7:$P$874,'30 days CF Table(ALL)'!G36),2)</f>
        <v>0</v>
      </c>
      <c r="T36" s="339">
        <f>ROUND(SUMIFS(BS_RE33!$H$7:$H$874,BS_RE33!$S$7:$S$874,$T$2,BS_RE33!$N$7:$N$874,I36,BS_RE33!$P$7:$P$874,'30 days CF Table(ALL)'!G36),2)</f>
        <v>0</v>
      </c>
      <c r="U36" s="339">
        <f>ROUND(SUMIFS(BS_RE33!$H$7:$H$874,BS_RE33!$S$7:$S$874,$U$2,BS_RE33!$N$7:$N$874,I36,BS_RE33!$P$7:$P$874,'30 days CF Table(ALL)'!G36),2)</f>
        <v>0</v>
      </c>
      <c r="V36" s="339">
        <f>ROUND(SUMIFS(BS_RE33!$H$7:$H$874,BS_RE33!$S$7:$S$874,$V$2,BS_RE33!$N$7:$N$874,I36,BS_RE33!$P$7:$P$874,'30 days CF Table(ALL)'!G36),2)</f>
        <v>0</v>
      </c>
      <c r="W36" s="339">
        <f>ROUND(SUMIFS(BS_RE33!$H$7:$H$874,BS_RE33!$S$7:$S$874,$W$2,BS_RE33!$N$7:$N$874,I36,BS_RE33!$P$7:$P$874,'30 days CF Table(ALL)'!G36),2)</f>
        <v>0</v>
      </c>
      <c r="X36" s="339">
        <f>ROUND(SUMIFS(BS_RE33!$H$7:$H$874,BS_RE33!$S$7:$S$874,$X$2,BS_RE33!$N$7:$N$874,I36,BS_RE33!$P$7:$P$874,'30 days CF Table(ALL)'!G36),2)</f>
        <v>0</v>
      </c>
      <c r="Y36" s="339">
        <f>ROUND(SUMIFS(BS_RE33!$H$7:$H$874,BS_RE33!$S$7:$S$874,$Y$2,BS_RE33!$N$7:$N$874,I36,BS_RE33!$P$7:$P$874,'30 days CF Table(ALL)'!G36),2)</f>
        <v>0</v>
      </c>
      <c r="Z36" s="339">
        <f>ROUND(SUMIFS(BS_RE33!$H$7:$H$874,BS_RE33!$S$7:$S$874,$Z$2,BS_RE33!$N$7:$N$874,I36,BS_RE33!$P$7:$P$874,'30 days CF Table(ALL)'!G36),2)</f>
        <v>0</v>
      </c>
      <c r="AA36" s="339">
        <f>ROUND(SUMIFS(BS_RE33!$H$7:$H$874,BS_RE33!$S$7:$S$874,$AA$2,BS_RE33!$N$7:$N$874,I36,BS_RE33!$P$7:$P$874,'30 days CF Table(ALL)'!G36),2)</f>
        <v>0</v>
      </c>
      <c r="AB36" s="339">
        <f>ROUND(SUMIFS(BS_RE33!$H$7:$H$874,BS_RE33!$S$7:$S$874,$AB$2,BS_RE33!$N$7:$N$874,I36,BS_RE33!$P$7:$P$874,'30 days CF Table(ALL)'!G36),2)</f>
        <v>0</v>
      </c>
      <c r="AC36" s="339">
        <f>ROUND(SUMIFS(BS_RE33!$H$7:$H$874,BS_RE33!$S$7:$S$874,$AC$2,BS_RE33!$N$7:$N$874,I36,BS_RE33!$P$7:$P$874,'30 days CF Table(ALL)'!G36),2)</f>
        <v>0</v>
      </c>
      <c r="AD36" s="339">
        <f>ROUND(SUMIFS(BS_RE33!$H$7:$H$874,BS_RE33!$S$7:$S$874,$AD$2,BS_RE33!$N$7:$N$874,I36,BS_RE33!$P$7:$P$874,'30 days CF Table(ALL)'!G36),2)</f>
        <v>0</v>
      </c>
      <c r="AE36" s="339">
        <f>ROUND(SUMIFS(BS_RE33!$H$7:$H$874,BS_RE33!$S$7:$S$874,$AE$2,BS_RE33!$N$7:$N$874,I36,BS_RE33!$P$7:$P$874,'30 days CF Table(ALL)'!G36),2)</f>
        <v>0</v>
      </c>
      <c r="AF36" s="339">
        <f>ROUND(SUMIFS(BS_RE33!$H$7:$H$874,BS_RE33!$S$7:$S$874,$AF$2,BS_RE33!$N$7:$N$874,I36,BS_RE33!$P$7:$P$874,'30 days CF Table(ALL)'!G36),2)</f>
        <v>0</v>
      </c>
      <c r="AG36" s="339">
        <f>ROUND(SUMIFS(BS_RE33!$H$7:$H$874,BS_RE33!$S$7:$S$874,$AG$2,BS_RE33!$N$7:$N$874,I36,BS_RE33!$P$7:$P$874,'30 days CF Table(ALL)'!G36),2)</f>
        <v>0</v>
      </c>
      <c r="AH36" s="339">
        <f>ROUND(SUMIFS(BS_RE33!$H$7:$H$874,BS_RE33!$S$7:$S$874,$AH$2,BS_RE33!$N$7:$N$874,I36,BS_RE33!$P$7:$P$874,'30 days CF Table(ALL)'!G36),2)</f>
        <v>0</v>
      </c>
      <c r="AI36" s="339">
        <f>ROUND(SUMIFS(BS_RE33!$H$7:$H$874,BS_RE33!$S$7:$S$874,$AI$2,BS_RE33!$N$7:$N$874,I36,BS_RE33!$P$7:$P$874,'30 days CF Table(ALL)'!G36),2)</f>
        <v>0</v>
      </c>
      <c r="AJ36" s="339">
        <f>ROUND(SUMIFS(BS_RE33!$H$7:$H$874,BS_RE33!$S$7:$S$874,$AJ$2,BS_RE33!$N$7:$N$874,I36,BS_RE33!$P$7:$P$874,'30 days CF Table(ALL)'!G36),2)</f>
        <v>0</v>
      </c>
      <c r="AK36" s="339">
        <f>ROUND(SUMIFS(BS_RE33!$H$7:$H$874,BS_RE33!$S$7:$S$874,$AK$2,BS_RE33!$N$7:$N$874,I36,BS_RE33!$P$7:$P$874,'30 days CF Table(ALL)'!G36),2)</f>
        <v>0</v>
      </c>
      <c r="AL36" s="339">
        <f>ROUND(SUMIFS(BS_RE33!$H$7:$H$874,BS_RE33!$S$7:$S$874,$AL$2,BS_RE33!$N$7:$N$874,I36,BS_RE33!$P$7:$P$874,'30 days CF Table(ALL)'!G36),2)</f>
        <v>0</v>
      </c>
      <c r="AM36" s="339">
        <f>ROUND(SUMIFS(BS_RE33!$H$7:$H$874,BS_RE33!$S$7:$S$874,$AM$2,BS_RE33!$N$7:$N$874,I36,BS_RE33!$P$7:$P$874,'30 days CF Table(ALL)'!G36),2)</f>
        <v>0</v>
      </c>
      <c r="AN36" s="339">
        <f>ROUND(SUMIFS(BS_RE33!$H$7:$H$874,BS_RE33!$S$7:$S$874,$AN$2,BS_RE33!$N$7:$N$874,I36,BS_RE33!$P$7:$P$874,'30 days CF Table(ALL)'!G36),2)</f>
        <v>0</v>
      </c>
      <c r="AO36" s="339">
        <f>ROUND(SUMIFS(BS_RE33!$H$7:$H$874,BS_RE33!$S$7:$S$874,$AO$2,BS_RE33!$N$7:$N$874,I36,BS_RE33!$P$7:$P$874,'30 days CF Table(ALL)'!G36),2)</f>
        <v>0</v>
      </c>
      <c r="AP36" s="340">
        <f>ROUND(SUMIFS(BS_RE33!$H$7:$H$874,BS_RE33!$S$7:$S$874,$AP$2,BS_RE33!$N$7:$N$874,I36,BS_RE33!$P$7:$P$874,'30 days CF Table(ALL)'!G36),2)</f>
        <v>0</v>
      </c>
      <c r="AR36" s="381">
        <f>ROUND(SUMIFS(BS_RE33!$H$7:$H$874,BS_RE33!$S$7:$S$874,$AR$2,BS_RE33!$N$7:$N$874,I36,BS_RE33!$P$7:$P$874,'30 days CF Table(ALL)'!G36),2)</f>
        <v>0</v>
      </c>
      <c r="AS36" s="381">
        <f>ROUND(SUMIFS(BS_RE33!$H$7:$H$874,BS_RE33!$S$7:$S$874,$AS$2,BS_RE33!$N$7:$N$874,I36,BS_RE33!$P$7:$P$874,'30 days CF Table(ALL)'!G36),2)</f>
        <v>0</v>
      </c>
      <c r="AT36" s="381">
        <f>ROUND(SUMIFS(BS_RE33!$H$7:$H$874,BS_RE33!$S$7:$S$874,$AT$2,BS_RE33!$N$7:$N$874,I36,BS_RE33!$P$7:$P$874,'30 days CF Table(ALL)'!G36),2)</f>
        <v>0</v>
      </c>
      <c r="AU36" s="381">
        <f>ROUND(SUMIFS(BS_RE33!$H$7:$H$874,BS_RE33!$S$7:$S$874,$AU$2,BS_RE33!$N$7:$N$874,I36,BS_RE33!$P$7:$P$874,'30 days CF Table(ALL)'!G36),2)</f>
        <v>0</v>
      </c>
      <c r="AV36" s="381">
        <f>ROUND(SUMIFS(BS_RE33!$H$7:$H$874,BS_RE33!$S$7:$S$874,$AV$2,BS_RE33!$N$7:$N$874,I36,BS_RE33!$P$7:$P$874,'30 days CF Table(ALL)'!G36),2)</f>
        <v>0</v>
      </c>
      <c r="AW36" s="381">
        <f>ROUND(SUMIFS(BS_RE33!$H$7:$H$874,BS_RE33!$S$7:$S$874,$AW$2,BS_RE33!$N$7:$N$874,I36,BS_RE33!$P$7:$P$874,'30 days CF Table(ALL)'!G36),2)</f>
        <v>0</v>
      </c>
      <c r="AX36" s="381">
        <f>ROUND(SUMIFS(BS_RE33!$H$7:$H$874,BS_RE33!$S$7:$S$874,$AX$2,BS_RE33!$N$7:$N$874,I36,BS_RE33!$P$7:$P$874,'30 days CF Table(ALL)'!G36),2)</f>
        <v>0</v>
      </c>
      <c r="AY36" s="381">
        <f>ROUND(SUMIFS(BS_RE33!$H$7:$H$874,BS_RE33!$S$7:$S$874,$AY$2,BS_RE33!$N$7:$N$874,I36,BS_RE33!$P$7:$P$874,'30 days CF Table(ALL)'!G36),2)</f>
        <v>0</v>
      </c>
      <c r="AZ36" s="381">
        <f>ROUND(SUMIFS(BS_RE33!$H$7:$H$874,BS_RE33!$S$7:$S$874,$AZ$2,BS_RE33!$N$7:$N$874,I36,BS_RE33!$P$7:$P$874,'30 days CF Table(ALL)'!G36),2)</f>
        <v>0</v>
      </c>
      <c r="BA36" s="381">
        <f>ROUND(SUMIFS(BS_RE33!$H$7:$H$874,BS_RE33!$S$7:$S$874,$BA$2,BS_RE33!$N$7:$N$874,I36,BS_RE33!$P$7:$P$874,'30 days CF Table(ALL)'!G36),2)</f>
        <v>0</v>
      </c>
      <c r="BB36" s="381">
        <f>ROUND(SUMIFS(BS_RE33!$H$7:$H$874,BS_RE33!$S$7:$S$874,$BB$2,BS_RE33!$N$7:$N$874,I36,BS_RE33!$P$7:$P$874,'30 days CF Table(ALL)'!G36),2)</f>
        <v>0</v>
      </c>
      <c r="BC36" s="381">
        <f>ROUND(SUMIFS(BS_RE33!$H$7:$H$874,BS_RE33!$S$7:$S$874,$BC$2,BS_RE33!$N$7:$N$874,I36,BS_RE33!$P$7:$P$874,'30 days CF Table(ALL)'!G36),2)</f>
        <v>0</v>
      </c>
      <c r="BD36" s="381">
        <f>ROUND(SUMIFS(BS_RE33!$H$7:$H$874,BS_RE33!$S$7:$S$874,$BD$2,BS_RE33!$N$7:$N$874,I36,BS_RE33!$P$7:$P$874,'30 days CF Table(ALL)'!G36),2)</f>
        <v>0</v>
      </c>
      <c r="BE36" s="381">
        <f>ROUND(SUMIFS(BS_RE33!$H$7:$H$874,BS_RE33!$S$7:$S$874,$BE$2,BS_RE33!$N$7:$N$874,I36,BS_RE33!$P$7:$P$874,'30 days CF Table(ALL)'!G36),2)</f>
        <v>0</v>
      </c>
      <c r="BF36" s="381">
        <f>ROUND(SUMIFS(BS_RE33!$H$7:$H$874,BS_RE33!$S$7:$S$874,$BF$2,BS_RE33!$N$7:$N$874,I36,BS_RE33!$P$7:$P$874,'30 days CF Table(ALL)'!G36),2)</f>
        <v>0</v>
      </c>
      <c r="BG36" s="381">
        <f>ROUND(SUMIFS(BS_RE33!$H$7:$H$874,BS_RE33!$S$7:$S$874,$BG$2,BS_RE33!$N$7:$N$874,I36,BS_RE33!$P$7:$P$874,'30 days CF Table(ALL)'!G36),2)</f>
        <v>0</v>
      </c>
      <c r="BH36" s="381">
        <f>ROUND(SUMIFS(BS_RE33!$H$7:$H$874,BS_RE33!$S$7:$S$874,$BH$2,BS_RE33!$N$7:$N$874,I36,BS_RE33!$P$7:$P$874,'30 days CF Table(ALL)'!G36),2)</f>
        <v>0</v>
      </c>
      <c r="BI36" s="381">
        <f>ROUND(SUMIFS(BS_RE33!$H$7:$H$874,BS_RE33!$S$7:$S$874,$BI$2,BS_RE33!$N$7:$N$874,I36,BS_RE33!$P$7:$P$874,'30 days CF Table(ALL)'!G36),2)</f>
        <v>0</v>
      </c>
      <c r="BJ36" s="381">
        <f>ROUND(SUMIFS(BS_RE33!$H$7:$H$874,BS_RE33!$S$7:$S$874,$BJ$2,BS_RE33!$N$7:$N$874,I36,BS_RE33!$P$7:$P$874,'30 days CF Table(ALL)'!G36),2)</f>
        <v>0</v>
      </c>
      <c r="BK36" s="381">
        <f>ROUND(SUMIFS(BS_RE33!$H$7:$H$874,BS_RE33!$S$7:$S$874,$BK$2,BS_RE33!$N$7:$N$874,I36,BS_RE33!$P$7:$P$874,'30 days CF Table(ALL)'!G36),2)</f>
        <v>0</v>
      </c>
    </row>
    <row r="37" spans="3:63">
      <c r="C37" s="1029"/>
      <c r="D37" s="1038" t="s">
        <v>762</v>
      </c>
      <c r="E37" s="105" t="s">
        <v>85</v>
      </c>
      <c r="F37" s="309"/>
      <c r="G37" s="392" t="s">
        <v>524</v>
      </c>
      <c r="H37" s="314">
        <v>1</v>
      </c>
      <c r="I37" s="315" t="s">
        <v>80</v>
      </c>
      <c r="J37" s="479">
        <f t="shared" si="3"/>
        <v>0</v>
      </c>
      <c r="K37" s="336">
        <f t="shared" si="5"/>
        <v>0</v>
      </c>
      <c r="L37" s="339">
        <f>ROUND(SUMIFS(BS_RE33!$H$7:$H$874,BS_RE33!$S$7:$S$874,$L$2,BS_RE33!$N$7:$N$874,I37,BS_RE33!$P$7:$P$874,'30 days CF Table(ALL)'!G37),2)</f>
        <v>0</v>
      </c>
      <c r="M37" s="339">
        <f>ROUND(SUMIFS(BS_RE33!$H$7:$H$874,BS_RE33!$S$7:$S$874,$M$2,BS_RE33!$N$7:$N$874,I37,BS_RE33!$P$7:$P$874,'30 days CF Table(ALL)'!G37),2)</f>
        <v>0</v>
      </c>
      <c r="N37" s="339">
        <f>ROUND(SUMIFS(BS_RE33!$H$7:$H$874,BS_RE33!$S$7:$S$874,$N$2,BS_RE33!$N$7:$N$874,I37,BS_RE33!$P$7:$P$874,'30 days CF Table(ALL)'!G37),2)</f>
        <v>0</v>
      </c>
      <c r="O37" s="339">
        <f>ROUND(SUMIFS(BS_RE33!$H$7:$H$874,BS_RE33!$S$7:$S$874,$O$2,BS_RE33!$N$7:$N$874,I37,BS_RE33!$P$7:$P$874,'30 days CF Table(ALL)'!G37),2)</f>
        <v>0</v>
      </c>
      <c r="P37" s="339">
        <f>ROUND(SUMIFS(BS_RE33!$H$7:$H$874,BS_RE33!$S$7:$S$874,$P$2,BS_RE33!$N$7:$N$874,I37,BS_RE33!$P$7:$P$874,'30 days CF Table(ALL)'!G37),2)</f>
        <v>0</v>
      </c>
      <c r="Q37" s="339">
        <f>ROUND(SUMIFS(BS_RE33!$H$7:$H$874,BS_RE33!$S$7:$S$874,$Q$2,BS_RE33!$N$7:$N$874,I37,BS_RE33!$P$7:$P$874,'30 days CF Table(ALL)'!G37),2)</f>
        <v>0</v>
      </c>
      <c r="R37" s="339">
        <f>ROUND(SUMIFS(BS_RE33!$H$7:$H$874,BS_RE33!$S$7:$S$874,$R$2,BS_RE33!$N$7:$N$874,I37,BS_RE33!$P$7:$P$874,'30 days CF Table(ALL)'!G37),2)</f>
        <v>0</v>
      </c>
      <c r="S37" s="339">
        <f>ROUND(SUMIFS(BS_RE33!$H$7:$H$874,BS_RE33!$S$7:$S$874,$S$2,BS_RE33!$N$7:$N$874,I37,BS_RE33!$P$7:$P$874,'30 days CF Table(ALL)'!G37),2)</f>
        <v>0</v>
      </c>
      <c r="T37" s="339">
        <f>ROUND(SUMIFS(BS_RE33!$H$7:$H$874,BS_RE33!$S$7:$S$874,$T$2,BS_RE33!$N$7:$N$874,I37,BS_RE33!$P$7:$P$874,'30 days CF Table(ALL)'!G37),2)</f>
        <v>0</v>
      </c>
      <c r="U37" s="339">
        <f>ROUND(SUMIFS(BS_RE33!$H$7:$H$874,BS_RE33!$S$7:$S$874,$U$2,BS_RE33!$N$7:$N$874,I37,BS_RE33!$P$7:$P$874,'30 days CF Table(ALL)'!G37),2)</f>
        <v>0</v>
      </c>
      <c r="V37" s="339">
        <f>ROUND(SUMIFS(BS_RE33!$H$7:$H$874,BS_RE33!$S$7:$S$874,$V$2,BS_RE33!$N$7:$N$874,I37,BS_RE33!$P$7:$P$874,'30 days CF Table(ALL)'!G37),2)</f>
        <v>0</v>
      </c>
      <c r="W37" s="339">
        <f>ROUND(SUMIFS(BS_RE33!$H$7:$H$874,BS_RE33!$S$7:$S$874,$W$2,BS_RE33!$N$7:$N$874,I37,BS_RE33!$P$7:$P$874,'30 days CF Table(ALL)'!G37),2)</f>
        <v>0</v>
      </c>
      <c r="X37" s="339">
        <f>ROUND(SUMIFS(BS_RE33!$H$7:$H$874,BS_RE33!$S$7:$S$874,$X$2,BS_RE33!$N$7:$N$874,I37,BS_RE33!$P$7:$P$874,'30 days CF Table(ALL)'!G37),2)</f>
        <v>0</v>
      </c>
      <c r="Y37" s="339">
        <f>ROUND(SUMIFS(BS_RE33!$H$7:$H$874,BS_RE33!$S$7:$S$874,$Y$2,BS_RE33!$N$7:$N$874,I37,BS_RE33!$P$7:$P$874,'30 days CF Table(ALL)'!G37),2)</f>
        <v>0</v>
      </c>
      <c r="Z37" s="339">
        <f>ROUND(SUMIFS(BS_RE33!$H$7:$H$874,BS_RE33!$S$7:$S$874,$Z$2,BS_RE33!$N$7:$N$874,I37,BS_RE33!$P$7:$P$874,'30 days CF Table(ALL)'!G37),2)</f>
        <v>0</v>
      </c>
      <c r="AA37" s="339">
        <f>ROUND(SUMIFS(BS_RE33!$H$7:$H$874,BS_RE33!$S$7:$S$874,$AA$2,BS_RE33!$N$7:$N$874,I37,BS_RE33!$P$7:$P$874,'30 days CF Table(ALL)'!G37),2)</f>
        <v>0</v>
      </c>
      <c r="AB37" s="339">
        <f>ROUND(SUMIFS(BS_RE33!$H$7:$H$874,BS_RE33!$S$7:$S$874,$AB$2,BS_RE33!$N$7:$N$874,I37,BS_RE33!$P$7:$P$874,'30 days CF Table(ALL)'!G37),2)</f>
        <v>0</v>
      </c>
      <c r="AC37" s="339">
        <f>ROUND(SUMIFS(BS_RE33!$H$7:$H$874,BS_RE33!$S$7:$S$874,$AC$2,BS_RE33!$N$7:$N$874,I37,BS_RE33!$P$7:$P$874,'30 days CF Table(ALL)'!G37),2)</f>
        <v>0</v>
      </c>
      <c r="AD37" s="339">
        <f>ROUND(SUMIFS(BS_RE33!$H$7:$H$874,BS_RE33!$S$7:$S$874,$AD$2,BS_RE33!$N$7:$N$874,I37,BS_RE33!$P$7:$P$874,'30 days CF Table(ALL)'!G37),2)</f>
        <v>0</v>
      </c>
      <c r="AE37" s="339">
        <f>ROUND(SUMIFS(BS_RE33!$H$7:$H$874,BS_RE33!$S$7:$S$874,$AE$2,BS_RE33!$N$7:$N$874,I37,BS_RE33!$P$7:$P$874,'30 days CF Table(ALL)'!G37),2)</f>
        <v>0</v>
      </c>
      <c r="AF37" s="339">
        <f>ROUND(SUMIFS(BS_RE33!$H$7:$H$874,BS_RE33!$S$7:$S$874,$AF$2,BS_RE33!$N$7:$N$874,I37,BS_RE33!$P$7:$P$874,'30 days CF Table(ALL)'!G37),2)</f>
        <v>0</v>
      </c>
      <c r="AG37" s="339">
        <f>ROUND(SUMIFS(BS_RE33!$H$7:$H$874,BS_RE33!$S$7:$S$874,$AG$2,BS_RE33!$N$7:$N$874,I37,BS_RE33!$P$7:$P$874,'30 days CF Table(ALL)'!G37),2)</f>
        <v>0</v>
      </c>
      <c r="AH37" s="339">
        <f>ROUND(SUMIFS(BS_RE33!$H$7:$H$874,BS_RE33!$S$7:$S$874,$AH$2,BS_RE33!$N$7:$N$874,I37,BS_RE33!$P$7:$P$874,'30 days CF Table(ALL)'!G37),2)</f>
        <v>0</v>
      </c>
      <c r="AI37" s="339">
        <f>ROUND(SUMIFS(BS_RE33!$H$7:$H$874,BS_RE33!$S$7:$S$874,$AI$2,BS_RE33!$N$7:$N$874,I37,BS_RE33!$P$7:$P$874,'30 days CF Table(ALL)'!G37),2)</f>
        <v>0</v>
      </c>
      <c r="AJ37" s="339">
        <f>ROUND(SUMIFS(BS_RE33!$H$7:$H$874,BS_RE33!$S$7:$S$874,$AJ$2,BS_RE33!$N$7:$N$874,I37,BS_RE33!$P$7:$P$874,'30 days CF Table(ALL)'!G37),2)</f>
        <v>0</v>
      </c>
      <c r="AK37" s="339">
        <f>ROUND(SUMIFS(BS_RE33!$H$7:$H$874,BS_RE33!$S$7:$S$874,$AK$2,BS_RE33!$N$7:$N$874,I37,BS_RE33!$P$7:$P$874,'30 days CF Table(ALL)'!G37),2)</f>
        <v>0</v>
      </c>
      <c r="AL37" s="339">
        <f>ROUND(SUMIFS(BS_RE33!$H$7:$H$874,BS_RE33!$S$7:$S$874,$AL$2,BS_RE33!$N$7:$N$874,I37,BS_RE33!$P$7:$P$874,'30 days CF Table(ALL)'!G37),2)</f>
        <v>0</v>
      </c>
      <c r="AM37" s="339">
        <f>ROUND(SUMIFS(BS_RE33!$H$7:$H$874,BS_RE33!$S$7:$S$874,$AM$2,BS_RE33!$N$7:$N$874,I37,BS_RE33!$P$7:$P$874,'30 days CF Table(ALL)'!G37),2)</f>
        <v>0</v>
      </c>
      <c r="AN37" s="339">
        <f>ROUND(SUMIFS(BS_RE33!$H$7:$H$874,BS_RE33!$S$7:$S$874,$AN$2,BS_RE33!$N$7:$N$874,I37,BS_RE33!$P$7:$P$874,'30 days CF Table(ALL)'!G37),2)</f>
        <v>0</v>
      </c>
      <c r="AO37" s="339">
        <f>ROUND(SUMIFS(BS_RE33!$H$7:$H$874,BS_RE33!$S$7:$S$874,$AO$2,BS_RE33!$N$7:$N$874,I37,BS_RE33!$P$7:$P$874,'30 days CF Table(ALL)'!G37),2)</f>
        <v>0</v>
      </c>
      <c r="AP37" s="340">
        <f>ROUND(SUMIFS(BS_RE33!$H$7:$H$874,BS_RE33!$S$7:$S$874,$AP$2,BS_RE33!$N$7:$N$874,I37,BS_RE33!$P$7:$P$874,'30 days CF Table(ALL)'!G37),2)</f>
        <v>0</v>
      </c>
      <c r="AR37" s="381">
        <f>ROUND(SUMIFS(BS_RE33!$H$7:$H$874,BS_RE33!$S$7:$S$874,$AR$2,BS_RE33!$N$7:$N$874,I37,BS_RE33!$P$7:$P$874,'30 days CF Table(ALL)'!G37),2)</f>
        <v>0</v>
      </c>
      <c r="AS37" s="381">
        <f>ROUND(SUMIFS(BS_RE33!$H$7:$H$874,BS_RE33!$S$7:$S$874,$AS$2,BS_RE33!$N$7:$N$874,I37,BS_RE33!$P$7:$P$874,'30 days CF Table(ALL)'!G37),2)</f>
        <v>0</v>
      </c>
      <c r="AT37" s="381">
        <f>ROUND(SUMIFS(BS_RE33!$H$7:$H$874,BS_RE33!$S$7:$S$874,$AT$2,BS_RE33!$N$7:$N$874,I37,BS_RE33!$P$7:$P$874,'30 days CF Table(ALL)'!G37),2)</f>
        <v>0</v>
      </c>
      <c r="AU37" s="381">
        <f>ROUND(SUMIFS(BS_RE33!$H$7:$H$874,BS_RE33!$S$7:$S$874,$AU$2,BS_RE33!$N$7:$N$874,I37,BS_RE33!$P$7:$P$874,'30 days CF Table(ALL)'!G37),2)</f>
        <v>0</v>
      </c>
      <c r="AV37" s="381">
        <f>ROUND(SUMIFS(BS_RE33!$H$7:$H$874,BS_RE33!$S$7:$S$874,$AV$2,BS_RE33!$N$7:$N$874,I37,BS_RE33!$P$7:$P$874,'30 days CF Table(ALL)'!G37),2)</f>
        <v>0</v>
      </c>
      <c r="AW37" s="381">
        <f>ROUND(SUMIFS(BS_RE33!$H$7:$H$874,BS_RE33!$S$7:$S$874,$AW$2,BS_RE33!$N$7:$N$874,I37,BS_RE33!$P$7:$P$874,'30 days CF Table(ALL)'!G37),2)</f>
        <v>0</v>
      </c>
      <c r="AX37" s="381">
        <f>ROUND(SUMIFS(BS_RE33!$H$7:$H$874,BS_RE33!$S$7:$S$874,$AX$2,BS_RE33!$N$7:$N$874,I37,BS_RE33!$P$7:$P$874,'30 days CF Table(ALL)'!G37),2)</f>
        <v>0</v>
      </c>
      <c r="AY37" s="381">
        <f>ROUND(SUMIFS(BS_RE33!$H$7:$H$874,BS_RE33!$S$7:$S$874,$AY$2,BS_RE33!$N$7:$N$874,I37,BS_RE33!$P$7:$P$874,'30 days CF Table(ALL)'!G37),2)</f>
        <v>0</v>
      </c>
      <c r="AZ37" s="381">
        <f>ROUND(SUMIFS(BS_RE33!$H$7:$H$874,BS_RE33!$S$7:$S$874,$AZ$2,BS_RE33!$N$7:$N$874,I37,BS_RE33!$P$7:$P$874,'30 days CF Table(ALL)'!G37),2)</f>
        <v>0</v>
      </c>
      <c r="BA37" s="381">
        <f>ROUND(SUMIFS(BS_RE33!$H$7:$H$874,BS_RE33!$S$7:$S$874,$BA$2,BS_RE33!$N$7:$N$874,I37,BS_RE33!$P$7:$P$874,'30 days CF Table(ALL)'!G37),2)</f>
        <v>0</v>
      </c>
      <c r="BB37" s="381">
        <f>ROUND(SUMIFS(BS_RE33!$H$7:$H$874,BS_RE33!$S$7:$S$874,$BB$2,BS_RE33!$N$7:$N$874,I37,BS_RE33!$P$7:$P$874,'30 days CF Table(ALL)'!G37),2)</f>
        <v>0</v>
      </c>
      <c r="BC37" s="381">
        <f>ROUND(SUMIFS(BS_RE33!$H$7:$H$874,BS_RE33!$S$7:$S$874,$BC$2,BS_RE33!$N$7:$N$874,I37,BS_RE33!$P$7:$P$874,'30 days CF Table(ALL)'!G37),2)</f>
        <v>0</v>
      </c>
      <c r="BD37" s="381">
        <f>ROUND(SUMIFS(BS_RE33!$H$7:$H$874,BS_RE33!$S$7:$S$874,$BD$2,BS_RE33!$N$7:$N$874,I37,BS_RE33!$P$7:$P$874,'30 days CF Table(ALL)'!G37),2)</f>
        <v>0</v>
      </c>
      <c r="BE37" s="381">
        <f>ROUND(SUMIFS(BS_RE33!$H$7:$H$874,BS_RE33!$S$7:$S$874,$BE$2,BS_RE33!$N$7:$N$874,I37,BS_RE33!$P$7:$P$874,'30 days CF Table(ALL)'!G37),2)</f>
        <v>0</v>
      </c>
      <c r="BF37" s="381">
        <f>ROUND(SUMIFS(BS_RE33!$H$7:$H$874,BS_RE33!$S$7:$S$874,$BF$2,BS_RE33!$N$7:$N$874,I37,BS_RE33!$P$7:$P$874,'30 days CF Table(ALL)'!G37),2)</f>
        <v>0</v>
      </c>
      <c r="BG37" s="381">
        <f>ROUND(SUMIFS(BS_RE33!$H$7:$H$874,BS_RE33!$S$7:$S$874,$BG$2,BS_RE33!$N$7:$N$874,I37,BS_RE33!$P$7:$P$874,'30 days CF Table(ALL)'!G37),2)</f>
        <v>0</v>
      </c>
      <c r="BH37" s="381">
        <f>ROUND(SUMIFS(BS_RE33!$H$7:$H$874,BS_RE33!$S$7:$S$874,$BH$2,BS_RE33!$N$7:$N$874,I37,BS_RE33!$P$7:$P$874,'30 days CF Table(ALL)'!G37),2)</f>
        <v>0</v>
      </c>
      <c r="BI37" s="381">
        <f>ROUND(SUMIFS(BS_RE33!$H$7:$H$874,BS_RE33!$S$7:$S$874,$BI$2,BS_RE33!$N$7:$N$874,I37,BS_RE33!$P$7:$P$874,'30 days CF Table(ALL)'!G37),2)</f>
        <v>0</v>
      </c>
      <c r="BJ37" s="381">
        <f>ROUND(SUMIFS(BS_RE33!$H$7:$H$874,BS_RE33!$S$7:$S$874,$BJ$2,BS_RE33!$N$7:$N$874,I37,BS_RE33!$P$7:$P$874,'30 days CF Table(ALL)'!G37),2)</f>
        <v>0</v>
      </c>
      <c r="BK37" s="381">
        <f>ROUND(SUMIFS(BS_RE33!$H$7:$H$874,BS_RE33!$S$7:$S$874,$BK$2,BS_RE33!$N$7:$N$874,I37,BS_RE33!$P$7:$P$874,'30 days CF Table(ALL)'!G37),2)</f>
        <v>0</v>
      </c>
    </row>
    <row r="38" spans="3:63">
      <c r="C38" s="1029"/>
      <c r="D38" s="1040"/>
      <c r="E38" s="105" t="s">
        <v>556</v>
      </c>
      <c r="F38" s="309"/>
      <c r="G38" s="392" t="s">
        <v>752</v>
      </c>
      <c r="H38" s="314">
        <v>1</v>
      </c>
      <c r="I38" s="315" t="s">
        <v>80</v>
      </c>
      <c r="J38" s="479">
        <f t="shared" si="3"/>
        <v>0</v>
      </c>
      <c r="K38" s="336">
        <f t="shared" si="5"/>
        <v>0</v>
      </c>
      <c r="L38" s="339">
        <f>ROUND(SUMIFS(BS_RE33!$H$7:$H$874,BS_RE33!$S$7:$S$874,$L$2,BS_RE33!$N$7:$N$874,I38,BS_RE33!$P$7:$P$874,'30 days CF Table(ALL)'!G38),2)</f>
        <v>0</v>
      </c>
      <c r="M38" s="339">
        <f>ROUND(SUMIFS(BS_RE33!$H$7:$H$874,BS_RE33!$S$7:$S$874,$M$2,BS_RE33!$N$7:$N$874,I38,BS_RE33!$P$7:$P$874,'30 days CF Table(ALL)'!G38),2)</f>
        <v>0</v>
      </c>
      <c r="N38" s="339">
        <f>ROUND(SUMIFS(BS_RE33!$H$7:$H$874,BS_RE33!$S$7:$S$874,$N$2,BS_RE33!$N$7:$N$874,I38,BS_RE33!$P$7:$P$874,'30 days CF Table(ALL)'!G38),2)</f>
        <v>0</v>
      </c>
      <c r="O38" s="339">
        <f>ROUND(SUMIFS(BS_RE33!$H$7:$H$874,BS_RE33!$S$7:$S$874,$O$2,BS_RE33!$N$7:$N$874,I38,BS_RE33!$P$7:$P$874,'30 days CF Table(ALL)'!G38),2)</f>
        <v>0</v>
      </c>
      <c r="P38" s="339">
        <f>ROUND(SUMIFS(BS_RE33!$H$7:$H$874,BS_RE33!$S$7:$S$874,$P$2,BS_RE33!$N$7:$N$874,I38,BS_RE33!$P$7:$P$874,'30 days CF Table(ALL)'!G38),2)</f>
        <v>0</v>
      </c>
      <c r="Q38" s="339">
        <f>ROUND(SUMIFS(BS_RE33!$H$7:$H$874,BS_RE33!$S$7:$S$874,$Q$2,BS_RE33!$N$7:$N$874,I38,BS_RE33!$P$7:$P$874,'30 days CF Table(ALL)'!G38),2)</f>
        <v>0</v>
      </c>
      <c r="R38" s="339">
        <f>ROUND(SUMIFS(BS_RE33!$H$7:$H$874,BS_RE33!$S$7:$S$874,$R$2,BS_RE33!$N$7:$N$874,I38,BS_RE33!$P$7:$P$874,'30 days CF Table(ALL)'!G38),2)</f>
        <v>0</v>
      </c>
      <c r="S38" s="339">
        <f>ROUND(SUMIFS(BS_RE33!$H$7:$H$874,BS_RE33!$S$7:$S$874,$S$2,BS_RE33!$N$7:$N$874,I38,BS_RE33!$P$7:$P$874,'30 days CF Table(ALL)'!G38),2)</f>
        <v>0</v>
      </c>
      <c r="T38" s="339">
        <f>ROUND(SUMIFS(BS_RE33!$H$7:$H$874,BS_RE33!$S$7:$S$874,$T$2,BS_RE33!$N$7:$N$874,I38,BS_RE33!$P$7:$P$874,'30 days CF Table(ALL)'!G38),2)</f>
        <v>0</v>
      </c>
      <c r="U38" s="339">
        <f>ROUND(SUMIFS(BS_RE33!$H$7:$H$874,BS_RE33!$S$7:$S$874,$U$2,BS_RE33!$N$7:$N$874,I38,BS_RE33!$P$7:$P$874,'30 days CF Table(ALL)'!G38),2)</f>
        <v>0</v>
      </c>
      <c r="V38" s="339">
        <f>ROUND(SUMIFS(BS_RE33!$H$7:$H$874,BS_RE33!$S$7:$S$874,$V$2,BS_RE33!$N$7:$N$874,I38,BS_RE33!$P$7:$P$874,'30 days CF Table(ALL)'!G38),2)</f>
        <v>0</v>
      </c>
      <c r="W38" s="339">
        <f>ROUND(SUMIFS(BS_RE33!$H$7:$H$874,BS_RE33!$S$7:$S$874,$W$2,BS_RE33!$N$7:$N$874,I38,BS_RE33!$P$7:$P$874,'30 days CF Table(ALL)'!G38),2)</f>
        <v>0</v>
      </c>
      <c r="X38" s="339">
        <f>ROUND(SUMIFS(BS_RE33!$H$7:$H$874,BS_RE33!$S$7:$S$874,$X$2,BS_RE33!$N$7:$N$874,I38,BS_RE33!$P$7:$P$874,'30 days CF Table(ALL)'!G38),2)</f>
        <v>0</v>
      </c>
      <c r="Y38" s="339">
        <f>ROUND(SUMIFS(BS_RE33!$H$7:$H$874,BS_RE33!$S$7:$S$874,$Y$2,BS_RE33!$N$7:$N$874,I38,BS_RE33!$P$7:$P$874,'30 days CF Table(ALL)'!G38),2)</f>
        <v>0</v>
      </c>
      <c r="Z38" s="339">
        <f>ROUND(SUMIFS(BS_RE33!$H$7:$H$874,BS_RE33!$S$7:$S$874,$Z$2,BS_RE33!$N$7:$N$874,I38,BS_RE33!$P$7:$P$874,'30 days CF Table(ALL)'!G38),2)</f>
        <v>0</v>
      </c>
      <c r="AA38" s="339">
        <f>ROUND(SUMIFS(BS_RE33!$H$7:$H$874,BS_RE33!$S$7:$S$874,$AA$2,BS_RE33!$N$7:$N$874,I38,BS_RE33!$P$7:$P$874,'30 days CF Table(ALL)'!G38),2)</f>
        <v>0</v>
      </c>
      <c r="AB38" s="339">
        <f>ROUND(SUMIFS(BS_RE33!$H$7:$H$874,BS_RE33!$S$7:$S$874,$AB$2,BS_RE33!$N$7:$N$874,I38,BS_RE33!$P$7:$P$874,'30 days CF Table(ALL)'!G38),2)</f>
        <v>0</v>
      </c>
      <c r="AC38" s="339">
        <f>ROUND(SUMIFS(BS_RE33!$H$7:$H$874,BS_RE33!$S$7:$S$874,$AC$2,BS_RE33!$N$7:$N$874,I38,BS_RE33!$P$7:$P$874,'30 days CF Table(ALL)'!G38),2)</f>
        <v>0</v>
      </c>
      <c r="AD38" s="339">
        <f>ROUND(SUMIFS(BS_RE33!$H$7:$H$874,BS_RE33!$S$7:$S$874,$AD$2,BS_RE33!$N$7:$N$874,I38,BS_RE33!$P$7:$P$874,'30 days CF Table(ALL)'!G38),2)</f>
        <v>0</v>
      </c>
      <c r="AE38" s="339">
        <f>ROUND(SUMIFS(BS_RE33!$H$7:$H$874,BS_RE33!$S$7:$S$874,$AE$2,BS_RE33!$N$7:$N$874,I38,BS_RE33!$P$7:$P$874,'30 days CF Table(ALL)'!G38),2)</f>
        <v>0</v>
      </c>
      <c r="AF38" s="339">
        <f>ROUND(SUMIFS(BS_RE33!$H$7:$H$874,BS_RE33!$S$7:$S$874,$AF$2,BS_RE33!$N$7:$N$874,I38,BS_RE33!$P$7:$P$874,'30 days CF Table(ALL)'!G38),2)</f>
        <v>0</v>
      </c>
      <c r="AG38" s="339">
        <f>ROUND(SUMIFS(BS_RE33!$H$7:$H$874,BS_RE33!$S$7:$S$874,$AG$2,BS_RE33!$N$7:$N$874,I38,BS_RE33!$P$7:$P$874,'30 days CF Table(ALL)'!G38),2)</f>
        <v>0</v>
      </c>
      <c r="AH38" s="339">
        <f>ROUND(SUMIFS(BS_RE33!$H$7:$H$874,BS_RE33!$S$7:$S$874,$AH$2,BS_RE33!$N$7:$N$874,I38,BS_RE33!$P$7:$P$874,'30 days CF Table(ALL)'!G38),2)</f>
        <v>0</v>
      </c>
      <c r="AI38" s="339">
        <f>ROUND(SUMIFS(BS_RE33!$H$7:$H$874,BS_RE33!$S$7:$S$874,$AI$2,BS_RE33!$N$7:$N$874,I38,BS_RE33!$P$7:$P$874,'30 days CF Table(ALL)'!G38),2)</f>
        <v>0</v>
      </c>
      <c r="AJ38" s="339">
        <f>ROUND(SUMIFS(BS_RE33!$H$7:$H$874,BS_RE33!$S$7:$S$874,$AJ$2,BS_RE33!$N$7:$N$874,I38,BS_RE33!$P$7:$P$874,'30 days CF Table(ALL)'!G38),2)</f>
        <v>0</v>
      </c>
      <c r="AK38" s="339">
        <f>ROUND(SUMIFS(BS_RE33!$H$7:$H$874,BS_RE33!$S$7:$S$874,$AK$2,BS_RE33!$N$7:$N$874,I38,BS_RE33!$P$7:$P$874,'30 days CF Table(ALL)'!G38),2)</f>
        <v>0</v>
      </c>
      <c r="AL38" s="339">
        <f>ROUND(SUMIFS(BS_RE33!$H$7:$H$874,BS_RE33!$S$7:$S$874,$AL$2,BS_RE33!$N$7:$N$874,I38,BS_RE33!$P$7:$P$874,'30 days CF Table(ALL)'!G38),2)</f>
        <v>0</v>
      </c>
      <c r="AM38" s="339">
        <f>ROUND(SUMIFS(BS_RE33!$H$7:$H$874,BS_RE33!$S$7:$S$874,$AM$2,BS_RE33!$N$7:$N$874,I38,BS_RE33!$P$7:$P$874,'30 days CF Table(ALL)'!G38),2)</f>
        <v>0</v>
      </c>
      <c r="AN38" s="339">
        <f>ROUND(SUMIFS(BS_RE33!$H$7:$H$874,BS_RE33!$S$7:$S$874,$AN$2,BS_RE33!$N$7:$N$874,I38,BS_RE33!$P$7:$P$874,'30 days CF Table(ALL)'!G38),2)</f>
        <v>0</v>
      </c>
      <c r="AO38" s="339">
        <f>ROUND(SUMIFS(BS_RE33!$H$7:$H$874,BS_RE33!$S$7:$S$874,$AO$2,BS_RE33!$N$7:$N$874,I38,BS_RE33!$P$7:$P$874,'30 days CF Table(ALL)'!G38),2)</f>
        <v>0</v>
      </c>
      <c r="AP38" s="340">
        <f>ROUND(SUMIFS(BS_RE33!$H$7:$H$874,BS_RE33!$S$7:$S$874,$AP$2,BS_RE33!$N$7:$N$874,I38,BS_RE33!$P$7:$P$874,'30 days CF Table(ALL)'!G38),2)</f>
        <v>0</v>
      </c>
      <c r="AR38" s="381">
        <f>ROUND(SUMIFS(BS_RE33!$H$7:$H$874,BS_RE33!$S$7:$S$874,$AR$2,BS_RE33!$N$7:$N$874,I38,BS_RE33!$P$7:$P$874,'30 days CF Table(ALL)'!G38),2)</f>
        <v>0</v>
      </c>
      <c r="AS38" s="381">
        <f>ROUND(SUMIFS(BS_RE33!$H$7:$H$874,BS_RE33!$S$7:$S$874,$AS$2,BS_RE33!$N$7:$N$874,I38,BS_RE33!$P$7:$P$874,'30 days CF Table(ALL)'!G38),2)</f>
        <v>0</v>
      </c>
      <c r="AT38" s="381">
        <f>ROUND(SUMIFS(BS_RE33!$H$7:$H$874,BS_RE33!$S$7:$S$874,$AT$2,BS_RE33!$N$7:$N$874,I38,BS_RE33!$P$7:$P$874,'30 days CF Table(ALL)'!G38),2)</f>
        <v>0</v>
      </c>
      <c r="AU38" s="381">
        <f>ROUND(SUMIFS(BS_RE33!$H$7:$H$874,BS_RE33!$S$7:$S$874,$AU$2,BS_RE33!$N$7:$N$874,I38,BS_RE33!$P$7:$P$874,'30 days CF Table(ALL)'!G38),2)</f>
        <v>0</v>
      </c>
      <c r="AV38" s="381">
        <f>ROUND(SUMIFS(BS_RE33!$H$7:$H$874,BS_RE33!$S$7:$S$874,$AV$2,BS_RE33!$N$7:$N$874,I38,BS_RE33!$P$7:$P$874,'30 days CF Table(ALL)'!G38),2)</f>
        <v>0</v>
      </c>
      <c r="AW38" s="381">
        <f>ROUND(SUMIFS(BS_RE33!$H$7:$H$874,BS_RE33!$S$7:$S$874,$AW$2,BS_RE33!$N$7:$N$874,I38,BS_RE33!$P$7:$P$874,'30 days CF Table(ALL)'!G38),2)</f>
        <v>0</v>
      </c>
      <c r="AX38" s="381">
        <f>ROUND(SUMIFS(BS_RE33!$H$7:$H$874,BS_RE33!$S$7:$S$874,$AX$2,BS_RE33!$N$7:$N$874,I38,BS_RE33!$P$7:$P$874,'30 days CF Table(ALL)'!G38),2)</f>
        <v>0</v>
      </c>
      <c r="AY38" s="381">
        <f>ROUND(SUMIFS(BS_RE33!$H$7:$H$874,BS_RE33!$S$7:$S$874,$AY$2,BS_RE33!$N$7:$N$874,I38,BS_RE33!$P$7:$P$874,'30 days CF Table(ALL)'!G38),2)</f>
        <v>0</v>
      </c>
      <c r="AZ38" s="381">
        <f>ROUND(SUMIFS(BS_RE33!$H$7:$H$874,BS_RE33!$S$7:$S$874,$AZ$2,BS_RE33!$N$7:$N$874,I38,BS_RE33!$P$7:$P$874,'30 days CF Table(ALL)'!G38),2)</f>
        <v>0</v>
      </c>
      <c r="BA38" s="381">
        <f>ROUND(SUMIFS(BS_RE33!$H$7:$H$874,BS_RE33!$S$7:$S$874,$BA$2,BS_RE33!$N$7:$N$874,I38,BS_RE33!$P$7:$P$874,'30 days CF Table(ALL)'!G38),2)</f>
        <v>0</v>
      </c>
      <c r="BB38" s="381">
        <f>ROUND(SUMIFS(BS_RE33!$H$7:$H$874,BS_RE33!$S$7:$S$874,$BB$2,BS_RE33!$N$7:$N$874,I38,BS_RE33!$P$7:$P$874,'30 days CF Table(ALL)'!G38),2)</f>
        <v>0</v>
      </c>
      <c r="BC38" s="381">
        <f>ROUND(SUMIFS(BS_RE33!$H$7:$H$874,BS_RE33!$S$7:$S$874,$BC$2,BS_RE33!$N$7:$N$874,I38,BS_RE33!$P$7:$P$874,'30 days CF Table(ALL)'!G38),2)</f>
        <v>0</v>
      </c>
      <c r="BD38" s="381">
        <f>ROUND(SUMIFS(BS_RE33!$H$7:$H$874,BS_RE33!$S$7:$S$874,$BD$2,BS_RE33!$N$7:$N$874,I38,BS_RE33!$P$7:$P$874,'30 days CF Table(ALL)'!G38),2)</f>
        <v>0</v>
      </c>
      <c r="BE38" s="381">
        <f>ROUND(SUMIFS(BS_RE33!$H$7:$H$874,BS_RE33!$S$7:$S$874,$BE$2,BS_RE33!$N$7:$N$874,I38,BS_RE33!$P$7:$P$874,'30 days CF Table(ALL)'!G38),2)</f>
        <v>0</v>
      </c>
      <c r="BF38" s="381">
        <f>ROUND(SUMIFS(BS_RE33!$H$7:$H$874,BS_RE33!$S$7:$S$874,$BF$2,BS_RE33!$N$7:$N$874,I38,BS_RE33!$P$7:$P$874,'30 days CF Table(ALL)'!G38),2)</f>
        <v>0</v>
      </c>
      <c r="BG38" s="381">
        <f>ROUND(SUMIFS(BS_RE33!$H$7:$H$874,BS_RE33!$S$7:$S$874,$BG$2,BS_RE33!$N$7:$N$874,I38,BS_RE33!$P$7:$P$874,'30 days CF Table(ALL)'!G38),2)</f>
        <v>0</v>
      </c>
      <c r="BH38" s="381">
        <f>ROUND(SUMIFS(BS_RE33!$H$7:$H$874,BS_RE33!$S$7:$S$874,$BH$2,BS_RE33!$N$7:$N$874,I38,BS_RE33!$P$7:$P$874,'30 days CF Table(ALL)'!G38),2)</f>
        <v>0</v>
      </c>
      <c r="BI38" s="381">
        <f>ROUND(SUMIFS(BS_RE33!$H$7:$H$874,BS_RE33!$S$7:$S$874,$BI$2,BS_RE33!$N$7:$N$874,I38,BS_RE33!$P$7:$P$874,'30 days CF Table(ALL)'!G38),2)</f>
        <v>0</v>
      </c>
      <c r="BJ38" s="381">
        <f>ROUND(SUMIFS(BS_RE33!$H$7:$H$874,BS_RE33!$S$7:$S$874,$BJ$2,BS_RE33!$N$7:$N$874,I38,BS_RE33!$P$7:$P$874,'30 days CF Table(ALL)'!G38),2)</f>
        <v>0</v>
      </c>
      <c r="BK38" s="381">
        <f>ROUND(SUMIFS(BS_RE33!$H$7:$H$874,BS_RE33!$S$7:$S$874,$BK$2,BS_RE33!$N$7:$N$874,I38,BS_RE33!$P$7:$P$874,'30 days CF Table(ALL)'!G38),2)</f>
        <v>0</v>
      </c>
    </row>
    <row r="39" spans="3:63" ht="20.25">
      <c r="C39" s="1029"/>
      <c r="D39" s="333" t="s">
        <v>763</v>
      </c>
      <c r="E39" s="108" t="s">
        <v>753</v>
      </c>
      <c r="F39" s="309"/>
      <c r="G39" s="392" t="s">
        <v>561</v>
      </c>
      <c r="H39" s="314">
        <v>1</v>
      </c>
      <c r="I39" s="315" t="s">
        <v>80</v>
      </c>
      <c r="J39" s="479">
        <f t="shared" si="3"/>
        <v>0</v>
      </c>
      <c r="K39" s="336">
        <f t="shared" si="5"/>
        <v>0</v>
      </c>
      <c r="L39" s="339">
        <f>ROUND(SUMIFS(BS_RE33!$H$7:$H$874,BS_RE33!$S$7:$S$874,$L$2,BS_RE33!$N$7:$N$874,I39,BS_RE33!$P$7:$P$874,'30 days CF Table(ALL)'!G39),2)</f>
        <v>0</v>
      </c>
      <c r="M39" s="339">
        <f>ROUND(SUMIFS(BS_RE33!$H$7:$H$874,BS_RE33!$S$7:$S$874,$M$2,BS_RE33!$N$7:$N$874,I39,BS_RE33!$P$7:$P$874,'30 days CF Table(ALL)'!G39),2)</f>
        <v>0</v>
      </c>
      <c r="N39" s="339">
        <f>ROUND(SUMIFS(BS_RE33!$H$7:$H$874,BS_RE33!$S$7:$S$874,$N$2,BS_RE33!$N$7:$N$874,I39,BS_RE33!$P$7:$P$874,'30 days CF Table(ALL)'!G39),2)</f>
        <v>0</v>
      </c>
      <c r="O39" s="339">
        <f>ROUND(SUMIFS(BS_RE33!$H$7:$H$874,BS_RE33!$S$7:$S$874,$O$2,BS_RE33!$N$7:$N$874,I39,BS_RE33!$P$7:$P$874,'30 days CF Table(ALL)'!G39),2)</f>
        <v>0</v>
      </c>
      <c r="P39" s="339">
        <f>ROUND(SUMIFS(BS_RE33!$H$7:$H$874,BS_RE33!$S$7:$S$874,$P$2,BS_RE33!$N$7:$N$874,I39,BS_RE33!$P$7:$P$874,'30 days CF Table(ALL)'!G39),2)</f>
        <v>0</v>
      </c>
      <c r="Q39" s="339">
        <f>ROUND(SUMIFS(BS_RE33!$H$7:$H$874,BS_RE33!$S$7:$S$874,$Q$2,BS_RE33!$N$7:$N$874,I39,BS_RE33!$P$7:$P$874,'30 days CF Table(ALL)'!G39),2)</f>
        <v>0</v>
      </c>
      <c r="R39" s="339">
        <f>ROUND(SUMIFS(BS_RE33!$H$7:$H$874,BS_RE33!$S$7:$S$874,$R$2,BS_RE33!$N$7:$N$874,I39,BS_RE33!$P$7:$P$874,'30 days CF Table(ALL)'!G39),2)</f>
        <v>0</v>
      </c>
      <c r="S39" s="339">
        <f>ROUND(SUMIFS(BS_RE33!$H$7:$H$874,BS_RE33!$S$7:$S$874,$S$2,BS_RE33!$N$7:$N$874,I39,BS_RE33!$P$7:$P$874,'30 days CF Table(ALL)'!G39),2)</f>
        <v>0</v>
      </c>
      <c r="T39" s="339">
        <f>ROUND(SUMIFS(BS_RE33!$H$7:$H$874,BS_RE33!$S$7:$S$874,$T$2,BS_RE33!$N$7:$N$874,I39,BS_RE33!$P$7:$P$874,'30 days CF Table(ALL)'!G39),2)</f>
        <v>0</v>
      </c>
      <c r="U39" s="339">
        <f>ROUND(SUMIFS(BS_RE33!$H$7:$H$874,BS_RE33!$S$7:$S$874,$U$2,BS_RE33!$N$7:$N$874,I39,BS_RE33!$P$7:$P$874,'30 days CF Table(ALL)'!G39),2)</f>
        <v>0</v>
      </c>
      <c r="V39" s="339">
        <f>ROUND(SUMIFS(BS_RE33!$H$7:$H$874,BS_RE33!$S$7:$S$874,$V$2,BS_RE33!$N$7:$N$874,I39,BS_RE33!$P$7:$P$874,'30 days CF Table(ALL)'!G39),2)</f>
        <v>0</v>
      </c>
      <c r="W39" s="339">
        <f>ROUND(SUMIFS(BS_RE33!$H$7:$H$874,BS_RE33!$S$7:$S$874,$W$2,BS_RE33!$N$7:$N$874,I39,BS_RE33!$P$7:$P$874,'30 days CF Table(ALL)'!G39),2)</f>
        <v>0</v>
      </c>
      <c r="X39" s="339">
        <f>ROUND(SUMIFS(BS_RE33!$H$7:$H$874,BS_RE33!$S$7:$S$874,$X$2,BS_RE33!$N$7:$N$874,I39,BS_RE33!$P$7:$P$874,'30 days CF Table(ALL)'!G39),2)</f>
        <v>0</v>
      </c>
      <c r="Y39" s="339">
        <f>ROUND(SUMIFS(BS_RE33!$H$7:$H$874,BS_RE33!$S$7:$S$874,$Y$2,BS_RE33!$N$7:$N$874,I39,BS_RE33!$P$7:$P$874,'30 days CF Table(ALL)'!G39),2)</f>
        <v>0</v>
      </c>
      <c r="Z39" s="339">
        <f>ROUND(SUMIFS(BS_RE33!$H$7:$H$874,BS_RE33!$S$7:$S$874,$Z$2,BS_RE33!$N$7:$N$874,I39,BS_RE33!$P$7:$P$874,'30 days CF Table(ALL)'!G39),2)</f>
        <v>0</v>
      </c>
      <c r="AA39" s="339">
        <f>ROUND(SUMIFS(BS_RE33!$H$7:$H$874,BS_RE33!$S$7:$S$874,$AA$2,BS_RE33!$N$7:$N$874,I39,BS_RE33!$P$7:$P$874,'30 days CF Table(ALL)'!G39),2)</f>
        <v>0</v>
      </c>
      <c r="AB39" s="339">
        <f>ROUND(SUMIFS(BS_RE33!$H$7:$H$874,BS_RE33!$S$7:$S$874,$AB$2,BS_RE33!$N$7:$N$874,I39,BS_RE33!$P$7:$P$874,'30 days CF Table(ALL)'!G39),2)</f>
        <v>0</v>
      </c>
      <c r="AC39" s="339">
        <f>ROUND(SUMIFS(BS_RE33!$H$7:$H$874,BS_RE33!$S$7:$S$874,$AC$2,BS_RE33!$N$7:$N$874,I39,BS_RE33!$P$7:$P$874,'30 days CF Table(ALL)'!G39),2)</f>
        <v>0</v>
      </c>
      <c r="AD39" s="339">
        <f>ROUND(SUMIFS(BS_RE33!$H$7:$H$874,BS_RE33!$S$7:$S$874,$AD$2,BS_RE33!$N$7:$N$874,I39,BS_RE33!$P$7:$P$874,'30 days CF Table(ALL)'!G39),2)</f>
        <v>0</v>
      </c>
      <c r="AE39" s="339">
        <f>ROUND(SUMIFS(BS_RE33!$H$7:$H$874,BS_RE33!$S$7:$S$874,$AE$2,BS_RE33!$N$7:$N$874,I39,BS_RE33!$P$7:$P$874,'30 days CF Table(ALL)'!G39),2)</f>
        <v>0</v>
      </c>
      <c r="AF39" s="339">
        <f>ROUND(SUMIFS(BS_RE33!$H$7:$H$874,BS_RE33!$S$7:$S$874,$AF$2,BS_RE33!$N$7:$N$874,I39,BS_RE33!$P$7:$P$874,'30 days CF Table(ALL)'!G39),2)</f>
        <v>0</v>
      </c>
      <c r="AG39" s="339">
        <f>ROUND(SUMIFS(BS_RE33!$H$7:$H$874,BS_RE33!$S$7:$S$874,$AG$2,BS_RE33!$N$7:$N$874,I39,BS_RE33!$P$7:$P$874,'30 days CF Table(ALL)'!G39),2)</f>
        <v>0</v>
      </c>
      <c r="AH39" s="339">
        <f>ROUND(SUMIFS(BS_RE33!$H$7:$H$874,BS_RE33!$S$7:$S$874,$AH$2,BS_RE33!$N$7:$N$874,I39,BS_RE33!$P$7:$P$874,'30 days CF Table(ALL)'!G39),2)</f>
        <v>0</v>
      </c>
      <c r="AI39" s="339">
        <f>ROUND(SUMIFS(BS_RE33!$H$7:$H$874,BS_RE33!$S$7:$S$874,$AI$2,BS_RE33!$N$7:$N$874,I39,BS_RE33!$P$7:$P$874,'30 days CF Table(ALL)'!G39),2)</f>
        <v>0</v>
      </c>
      <c r="AJ39" s="339">
        <f>ROUND(SUMIFS(BS_RE33!$H$7:$H$874,BS_RE33!$S$7:$S$874,$AJ$2,BS_RE33!$N$7:$N$874,I39,BS_RE33!$P$7:$P$874,'30 days CF Table(ALL)'!G39),2)</f>
        <v>0</v>
      </c>
      <c r="AK39" s="339">
        <f>ROUND(SUMIFS(BS_RE33!$H$7:$H$874,BS_RE33!$S$7:$S$874,$AK$2,BS_RE33!$N$7:$N$874,I39,BS_RE33!$P$7:$P$874,'30 days CF Table(ALL)'!G39),2)</f>
        <v>0</v>
      </c>
      <c r="AL39" s="339">
        <f>ROUND(SUMIFS(BS_RE33!$H$7:$H$874,BS_RE33!$S$7:$S$874,$AL$2,BS_RE33!$N$7:$N$874,I39,BS_RE33!$P$7:$P$874,'30 days CF Table(ALL)'!G39),2)</f>
        <v>0</v>
      </c>
      <c r="AM39" s="339">
        <f>ROUND(SUMIFS(BS_RE33!$H$7:$H$874,BS_RE33!$S$7:$S$874,$AM$2,BS_RE33!$N$7:$N$874,I39,BS_RE33!$P$7:$P$874,'30 days CF Table(ALL)'!G39),2)</f>
        <v>0</v>
      </c>
      <c r="AN39" s="339">
        <f>ROUND(SUMIFS(BS_RE33!$H$7:$H$874,BS_RE33!$S$7:$S$874,$AN$2,BS_RE33!$N$7:$N$874,I39,BS_RE33!$P$7:$P$874,'30 days CF Table(ALL)'!G39),2)</f>
        <v>0</v>
      </c>
      <c r="AO39" s="339">
        <f>ROUND(SUMIFS(BS_RE33!$H$7:$H$874,BS_RE33!$S$7:$S$874,$AO$2,BS_RE33!$N$7:$N$874,I39,BS_RE33!$P$7:$P$874,'30 days CF Table(ALL)'!G39),2)</f>
        <v>0</v>
      </c>
      <c r="AP39" s="340">
        <f>ROUND(SUMIFS(BS_RE33!$H$7:$H$874,BS_RE33!$S$7:$S$874,$AP$2,BS_RE33!$N$7:$N$874,I39,BS_RE33!$P$7:$P$874,'30 days CF Table(ALL)'!G39),2)</f>
        <v>0</v>
      </c>
      <c r="AR39" s="381">
        <f>ROUND(SUMIFS(BS_RE33!$H$7:$H$874,BS_RE33!$S$7:$S$874,$AR$2,BS_RE33!$N$7:$N$874,I39,BS_RE33!$P$7:$P$874,'30 days CF Table(ALL)'!G39),2)</f>
        <v>0</v>
      </c>
      <c r="AS39" s="381">
        <f>ROUND(SUMIFS(BS_RE33!$H$7:$H$874,BS_RE33!$S$7:$S$874,$AS$2,BS_RE33!$N$7:$N$874,I39,BS_RE33!$P$7:$P$874,'30 days CF Table(ALL)'!G39),2)</f>
        <v>0</v>
      </c>
      <c r="AT39" s="381">
        <f>ROUND(SUMIFS(BS_RE33!$H$7:$H$874,BS_RE33!$S$7:$S$874,$AT$2,BS_RE33!$N$7:$N$874,I39,BS_RE33!$P$7:$P$874,'30 days CF Table(ALL)'!G39),2)</f>
        <v>0</v>
      </c>
      <c r="AU39" s="381">
        <f>ROUND(SUMIFS(BS_RE33!$H$7:$H$874,BS_RE33!$S$7:$S$874,$AU$2,BS_RE33!$N$7:$N$874,I39,BS_RE33!$P$7:$P$874,'30 days CF Table(ALL)'!G39),2)</f>
        <v>0</v>
      </c>
      <c r="AV39" s="381">
        <f>ROUND(SUMIFS(BS_RE33!$H$7:$H$874,BS_RE33!$S$7:$S$874,$AV$2,BS_RE33!$N$7:$N$874,I39,BS_RE33!$P$7:$P$874,'30 days CF Table(ALL)'!G39),2)</f>
        <v>0</v>
      </c>
      <c r="AW39" s="381">
        <f>ROUND(SUMIFS(BS_RE33!$H$7:$H$874,BS_RE33!$S$7:$S$874,$AW$2,BS_RE33!$N$7:$N$874,I39,BS_RE33!$P$7:$P$874,'30 days CF Table(ALL)'!G39),2)</f>
        <v>0</v>
      </c>
      <c r="AX39" s="381">
        <f>ROUND(SUMIFS(BS_RE33!$H$7:$H$874,BS_RE33!$S$7:$S$874,$AX$2,BS_RE33!$N$7:$N$874,I39,BS_RE33!$P$7:$P$874,'30 days CF Table(ALL)'!G39),2)</f>
        <v>0</v>
      </c>
      <c r="AY39" s="381">
        <f>ROUND(SUMIFS(BS_RE33!$H$7:$H$874,BS_RE33!$S$7:$S$874,$AY$2,BS_RE33!$N$7:$N$874,I39,BS_RE33!$P$7:$P$874,'30 days CF Table(ALL)'!G39),2)</f>
        <v>0</v>
      </c>
      <c r="AZ39" s="381">
        <f>ROUND(SUMIFS(BS_RE33!$H$7:$H$874,BS_RE33!$S$7:$S$874,$AZ$2,BS_RE33!$N$7:$N$874,I39,BS_RE33!$P$7:$P$874,'30 days CF Table(ALL)'!G39),2)</f>
        <v>0</v>
      </c>
      <c r="BA39" s="381">
        <f>ROUND(SUMIFS(BS_RE33!$H$7:$H$874,BS_RE33!$S$7:$S$874,$BA$2,BS_RE33!$N$7:$N$874,I39,BS_RE33!$P$7:$P$874,'30 days CF Table(ALL)'!G39),2)</f>
        <v>0</v>
      </c>
      <c r="BB39" s="381">
        <f>ROUND(SUMIFS(BS_RE33!$H$7:$H$874,BS_RE33!$S$7:$S$874,$BB$2,BS_RE33!$N$7:$N$874,I39,BS_RE33!$P$7:$P$874,'30 days CF Table(ALL)'!G39),2)</f>
        <v>0</v>
      </c>
      <c r="BC39" s="381">
        <f>ROUND(SUMIFS(BS_RE33!$H$7:$H$874,BS_RE33!$S$7:$S$874,$BC$2,BS_RE33!$N$7:$N$874,I39,BS_RE33!$P$7:$P$874,'30 days CF Table(ALL)'!G39),2)</f>
        <v>0</v>
      </c>
      <c r="BD39" s="381">
        <f>ROUND(SUMIFS(BS_RE33!$H$7:$H$874,BS_RE33!$S$7:$S$874,$BD$2,BS_RE33!$N$7:$N$874,I39,BS_RE33!$P$7:$P$874,'30 days CF Table(ALL)'!G39),2)</f>
        <v>0</v>
      </c>
      <c r="BE39" s="381">
        <f>ROUND(SUMIFS(BS_RE33!$H$7:$H$874,BS_RE33!$S$7:$S$874,$BE$2,BS_RE33!$N$7:$N$874,I39,BS_RE33!$P$7:$P$874,'30 days CF Table(ALL)'!G39),2)</f>
        <v>0</v>
      </c>
      <c r="BF39" s="381">
        <f>ROUND(SUMIFS(BS_RE33!$H$7:$H$874,BS_RE33!$S$7:$S$874,$BF$2,BS_RE33!$N$7:$N$874,I39,BS_RE33!$P$7:$P$874,'30 days CF Table(ALL)'!G39),2)</f>
        <v>0</v>
      </c>
      <c r="BG39" s="381">
        <f>ROUND(SUMIFS(BS_RE33!$H$7:$H$874,BS_RE33!$S$7:$S$874,$BG$2,BS_RE33!$N$7:$N$874,I39,BS_RE33!$P$7:$P$874,'30 days CF Table(ALL)'!G39),2)</f>
        <v>0</v>
      </c>
      <c r="BH39" s="381">
        <f>ROUND(SUMIFS(BS_RE33!$H$7:$H$874,BS_RE33!$S$7:$S$874,$BH$2,BS_RE33!$N$7:$N$874,I39,BS_RE33!$P$7:$P$874,'30 days CF Table(ALL)'!G39),2)</f>
        <v>0</v>
      </c>
      <c r="BI39" s="381">
        <f>ROUND(SUMIFS(BS_RE33!$H$7:$H$874,BS_RE33!$S$7:$S$874,$BI$2,BS_RE33!$N$7:$N$874,I39,BS_RE33!$P$7:$P$874,'30 days CF Table(ALL)'!G39),2)</f>
        <v>0</v>
      </c>
      <c r="BJ39" s="381">
        <f>ROUND(SUMIFS(BS_RE33!$H$7:$H$874,BS_RE33!$S$7:$S$874,$BJ$2,BS_RE33!$N$7:$N$874,I39,BS_RE33!$P$7:$P$874,'30 days CF Table(ALL)'!G39),2)</f>
        <v>0</v>
      </c>
      <c r="BK39" s="381">
        <f>ROUND(SUMIFS(BS_RE33!$H$7:$H$874,BS_RE33!$S$7:$S$874,$BK$2,BS_RE33!$N$7:$N$874,I39,BS_RE33!$P$7:$P$874,'30 days CF Table(ALL)'!G39),2)</f>
        <v>0</v>
      </c>
    </row>
    <row r="40" spans="3:63" ht="20.25">
      <c r="C40" s="1029"/>
      <c r="D40" s="304" t="s">
        <v>740</v>
      </c>
      <c r="E40" s="105" t="s">
        <v>585</v>
      </c>
      <c r="F40" s="309"/>
      <c r="G40" s="392" t="s">
        <v>754</v>
      </c>
      <c r="H40" s="314">
        <v>1</v>
      </c>
      <c r="I40" s="315" t="s">
        <v>80</v>
      </c>
      <c r="J40" s="479">
        <f t="shared" si="3"/>
        <v>0</v>
      </c>
      <c r="K40" s="336">
        <f t="shared" si="5"/>
        <v>0</v>
      </c>
      <c r="L40" s="339">
        <f>ROUND(SUMIFS(BS_RE33!$H$7:$H$874,BS_RE33!$S$7:$S$874,$L$2,BS_RE33!$N$7:$N$874,I40,BS_RE33!$P$7:$P$874,'30 days CF Table(ALL)'!G40),2)</f>
        <v>0</v>
      </c>
      <c r="M40" s="339">
        <f>ROUND(SUMIFS(BS_RE33!$H$7:$H$874,BS_RE33!$S$7:$S$874,$M$2,BS_RE33!$N$7:$N$874,I40,BS_RE33!$P$7:$P$874,'30 days CF Table(ALL)'!G40),2)</f>
        <v>0</v>
      </c>
      <c r="N40" s="339">
        <f>ROUND(SUMIFS(BS_RE33!$H$7:$H$874,BS_RE33!$S$7:$S$874,$N$2,BS_RE33!$N$7:$N$874,I40,BS_RE33!$P$7:$P$874,'30 days CF Table(ALL)'!G40),2)</f>
        <v>0</v>
      </c>
      <c r="O40" s="339">
        <f>ROUND(SUMIFS(BS_RE33!$H$7:$H$874,BS_RE33!$S$7:$S$874,$O$2,BS_RE33!$N$7:$N$874,I40,BS_RE33!$P$7:$P$874,'30 days CF Table(ALL)'!G40),2)</f>
        <v>0</v>
      </c>
      <c r="P40" s="339">
        <f>ROUND(SUMIFS(BS_RE33!$H$7:$H$874,BS_RE33!$S$7:$S$874,$P$2,BS_RE33!$N$7:$N$874,I40,BS_RE33!$P$7:$P$874,'30 days CF Table(ALL)'!G40),2)</f>
        <v>0</v>
      </c>
      <c r="Q40" s="339">
        <f>ROUND(SUMIFS(BS_RE33!$H$7:$H$874,BS_RE33!$S$7:$S$874,$Q$2,BS_RE33!$N$7:$N$874,I40,BS_RE33!$P$7:$P$874,'30 days CF Table(ALL)'!G40),2)</f>
        <v>0</v>
      </c>
      <c r="R40" s="339">
        <f>ROUND(SUMIFS(BS_RE33!$H$7:$H$874,BS_RE33!$S$7:$S$874,$R$2,BS_RE33!$N$7:$N$874,I40,BS_RE33!$P$7:$P$874,'30 days CF Table(ALL)'!G40),2)</f>
        <v>0</v>
      </c>
      <c r="S40" s="339">
        <f>ROUND(SUMIFS(BS_RE33!$H$7:$H$874,BS_RE33!$S$7:$S$874,$S$2,BS_RE33!$N$7:$N$874,I40,BS_RE33!$P$7:$P$874,'30 days CF Table(ALL)'!G40),2)</f>
        <v>0</v>
      </c>
      <c r="T40" s="339">
        <f>ROUND(SUMIFS(BS_RE33!$H$7:$H$874,BS_RE33!$S$7:$S$874,$T$2,BS_RE33!$N$7:$N$874,I40,BS_RE33!$P$7:$P$874,'30 days CF Table(ALL)'!G40),2)</f>
        <v>0</v>
      </c>
      <c r="U40" s="339">
        <f>ROUND(SUMIFS(BS_RE33!$H$7:$H$874,BS_RE33!$S$7:$S$874,$U$2,BS_RE33!$N$7:$N$874,I40,BS_RE33!$P$7:$P$874,'30 days CF Table(ALL)'!G40),2)</f>
        <v>0</v>
      </c>
      <c r="V40" s="339">
        <f>ROUND(SUMIFS(BS_RE33!$H$7:$H$874,BS_RE33!$S$7:$S$874,$V$2,BS_RE33!$N$7:$N$874,I40,BS_RE33!$P$7:$P$874,'30 days CF Table(ALL)'!G40),2)</f>
        <v>0</v>
      </c>
      <c r="W40" s="339">
        <f>ROUND(SUMIFS(BS_RE33!$H$7:$H$874,BS_RE33!$S$7:$S$874,$W$2,BS_RE33!$N$7:$N$874,I40,BS_RE33!$P$7:$P$874,'30 days CF Table(ALL)'!G40),2)</f>
        <v>0</v>
      </c>
      <c r="X40" s="339">
        <f>ROUND(SUMIFS(BS_RE33!$H$7:$H$874,BS_RE33!$S$7:$S$874,$X$2,BS_RE33!$N$7:$N$874,I40,BS_RE33!$P$7:$P$874,'30 days CF Table(ALL)'!G40),2)</f>
        <v>0</v>
      </c>
      <c r="Y40" s="339">
        <f>ROUND(SUMIFS(BS_RE33!$H$7:$H$874,BS_RE33!$S$7:$S$874,$Y$2,BS_RE33!$N$7:$N$874,I40,BS_RE33!$P$7:$P$874,'30 days CF Table(ALL)'!G40),2)</f>
        <v>0</v>
      </c>
      <c r="Z40" s="339">
        <f>ROUND(SUMIFS(BS_RE33!$H$7:$H$874,BS_RE33!$S$7:$S$874,$Z$2,BS_RE33!$N$7:$N$874,I40,BS_RE33!$P$7:$P$874,'30 days CF Table(ALL)'!G40),2)</f>
        <v>0</v>
      </c>
      <c r="AA40" s="339">
        <f>ROUND(SUMIFS(BS_RE33!$H$7:$H$874,BS_RE33!$S$7:$S$874,$AA$2,BS_RE33!$N$7:$N$874,I40,BS_RE33!$P$7:$P$874,'30 days CF Table(ALL)'!G40),2)</f>
        <v>0</v>
      </c>
      <c r="AB40" s="339">
        <f>ROUND(SUMIFS(BS_RE33!$H$7:$H$874,BS_RE33!$S$7:$S$874,$AB$2,BS_RE33!$N$7:$N$874,I40,BS_RE33!$P$7:$P$874,'30 days CF Table(ALL)'!G40),2)</f>
        <v>0</v>
      </c>
      <c r="AC40" s="339">
        <f>ROUND(SUMIFS(BS_RE33!$H$7:$H$874,BS_RE33!$S$7:$S$874,$AC$2,BS_RE33!$N$7:$N$874,I40,BS_RE33!$P$7:$P$874,'30 days CF Table(ALL)'!G40),2)</f>
        <v>0</v>
      </c>
      <c r="AD40" s="339">
        <f>ROUND(SUMIFS(BS_RE33!$H$7:$H$874,BS_RE33!$S$7:$S$874,$AD$2,BS_RE33!$N$7:$N$874,I40,BS_RE33!$P$7:$P$874,'30 days CF Table(ALL)'!G40),2)</f>
        <v>0</v>
      </c>
      <c r="AE40" s="339">
        <f>ROUND(SUMIFS(BS_RE33!$H$7:$H$874,BS_RE33!$S$7:$S$874,$AE$2,BS_RE33!$N$7:$N$874,I40,BS_RE33!$P$7:$P$874,'30 days CF Table(ALL)'!G40),2)</f>
        <v>0</v>
      </c>
      <c r="AF40" s="339">
        <f>ROUND(SUMIFS(BS_RE33!$H$7:$H$874,BS_RE33!$S$7:$S$874,$AF$2,BS_RE33!$N$7:$N$874,I40,BS_RE33!$P$7:$P$874,'30 days CF Table(ALL)'!G40),2)</f>
        <v>0</v>
      </c>
      <c r="AG40" s="339">
        <f>ROUND(SUMIFS(BS_RE33!$H$7:$H$874,BS_RE33!$S$7:$S$874,$AG$2,BS_RE33!$N$7:$N$874,I40,BS_RE33!$P$7:$P$874,'30 days CF Table(ALL)'!G40),2)</f>
        <v>0</v>
      </c>
      <c r="AH40" s="339">
        <f>ROUND(SUMIFS(BS_RE33!$H$7:$H$874,BS_RE33!$S$7:$S$874,$AH$2,BS_RE33!$N$7:$N$874,I40,BS_RE33!$P$7:$P$874,'30 days CF Table(ALL)'!G40),2)</f>
        <v>0</v>
      </c>
      <c r="AI40" s="339">
        <f>ROUND(SUMIFS(BS_RE33!$H$7:$H$874,BS_RE33!$S$7:$S$874,$AI$2,BS_RE33!$N$7:$N$874,I40,BS_RE33!$P$7:$P$874,'30 days CF Table(ALL)'!G40),2)</f>
        <v>0</v>
      </c>
      <c r="AJ40" s="339">
        <f>ROUND(SUMIFS(BS_RE33!$H$7:$H$874,BS_RE33!$S$7:$S$874,$AJ$2,BS_RE33!$N$7:$N$874,I40,BS_RE33!$P$7:$P$874,'30 days CF Table(ALL)'!G40),2)</f>
        <v>0</v>
      </c>
      <c r="AK40" s="339">
        <f>ROUND(SUMIFS(BS_RE33!$H$7:$H$874,BS_RE33!$S$7:$S$874,$AK$2,BS_RE33!$N$7:$N$874,I40,BS_RE33!$P$7:$P$874,'30 days CF Table(ALL)'!G40),2)</f>
        <v>0</v>
      </c>
      <c r="AL40" s="339">
        <f>ROUND(SUMIFS(BS_RE33!$H$7:$H$874,BS_RE33!$S$7:$S$874,$AL$2,BS_RE33!$N$7:$N$874,I40,BS_RE33!$P$7:$P$874,'30 days CF Table(ALL)'!G40),2)</f>
        <v>0</v>
      </c>
      <c r="AM40" s="339">
        <f>ROUND(SUMIFS(BS_RE33!$H$7:$H$874,BS_RE33!$S$7:$S$874,$AM$2,BS_RE33!$N$7:$N$874,I40,BS_RE33!$P$7:$P$874,'30 days CF Table(ALL)'!G40),2)</f>
        <v>0</v>
      </c>
      <c r="AN40" s="339">
        <f>ROUND(SUMIFS(BS_RE33!$H$7:$H$874,BS_RE33!$S$7:$S$874,$AN$2,BS_RE33!$N$7:$N$874,I40,BS_RE33!$P$7:$P$874,'30 days CF Table(ALL)'!G40),2)</f>
        <v>0</v>
      </c>
      <c r="AO40" s="339">
        <f>ROUND(SUMIFS(BS_RE33!$H$7:$H$874,BS_RE33!$S$7:$S$874,$AO$2,BS_RE33!$N$7:$N$874,I40,BS_RE33!$P$7:$P$874,'30 days CF Table(ALL)'!G40),2)</f>
        <v>0</v>
      </c>
      <c r="AP40" s="340">
        <f>ROUND(SUMIFS(BS_RE33!$H$7:$H$874,BS_RE33!$S$7:$S$874,$AP$2,BS_RE33!$N$7:$N$874,I40,BS_RE33!$P$7:$P$874,'30 days CF Table(ALL)'!G40),2)</f>
        <v>0</v>
      </c>
      <c r="AR40" s="381">
        <f>ROUND(SUMIFS(BS_RE33!$H$7:$H$874,BS_RE33!$S$7:$S$874,$AR$2,BS_RE33!$N$7:$N$874,I40,BS_RE33!$P$7:$P$874,'30 days CF Table(ALL)'!G40),2)</f>
        <v>0</v>
      </c>
      <c r="AS40" s="381">
        <f>ROUND(SUMIFS(BS_RE33!$H$7:$H$874,BS_RE33!$S$7:$S$874,$AS$2,BS_RE33!$N$7:$N$874,I40,BS_RE33!$P$7:$P$874,'30 days CF Table(ALL)'!G40),2)</f>
        <v>0</v>
      </c>
      <c r="AT40" s="381">
        <f>ROUND(SUMIFS(BS_RE33!$H$7:$H$874,BS_RE33!$S$7:$S$874,$AT$2,BS_RE33!$N$7:$N$874,I40,BS_RE33!$P$7:$P$874,'30 days CF Table(ALL)'!G40),2)</f>
        <v>0</v>
      </c>
      <c r="AU40" s="381">
        <f>ROUND(SUMIFS(BS_RE33!$H$7:$H$874,BS_RE33!$S$7:$S$874,$AU$2,BS_RE33!$N$7:$N$874,I40,BS_RE33!$P$7:$P$874,'30 days CF Table(ALL)'!G40),2)</f>
        <v>0</v>
      </c>
      <c r="AV40" s="381">
        <f>ROUND(SUMIFS(BS_RE33!$H$7:$H$874,BS_RE33!$S$7:$S$874,$AV$2,BS_RE33!$N$7:$N$874,I40,BS_RE33!$P$7:$P$874,'30 days CF Table(ALL)'!G40),2)</f>
        <v>0</v>
      </c>
      <c r="AW40" s="381">
        <f>ROUND(SUMIFS(BS_RE33!$H$7:$H$874,BS_RE33!$S$7:$S$874,$AW$2,BS_RE33!$N$7:$N$874,I40,BS_RE33!$P$7:$P$874,'30 days CF Table(ALL)'!G40),2)</f>
        <v>0</v>
      </c>
      <c r="AX40" s="381">
        <f>ROUND(SUMIFS(BS_RE33!$H$7:$H$874,BS_RE33!$S$7:$S$874,$AX$2,BS_RE33!$N$7:$N$874,I40,BS_RE33!$P$7:$P$874,'30 days CF Table(ALL)'!G40),2)</f>
        <v>0</v>
      </c>
      <c r="AY40" s="381">
        <f>ROUND(SUMIFS(BS_RE33!$H$7:$H$874,BS_RE33!$S$7:$S$874,$AY$2,BS_RE33!$N$7:$N$874,I40,BS_RE33!$P$7:$P$874,'30 days CF Table(ALL)'!G40),2)</f>
        <v>0</v>
      </c>
      <c r="AZ40" s="381">
        <f>ROUND(SUMIFS(BS_RE33!$H$7:$H$874,BS_RE33!$S$7:$S$874,$AZ$2,BS_RE33!$N$7:$N$874,I40,BS_RE33!$P$7:$P$874,'30 days CF Table(ALL)'!G40),2)</f>
        <v>0</v>
      </c>
      <c r="BA40" s="381">
        <f>ROUND(SUMIFS(BS_RE33!$H$7:$H$874,BS_RE33!$S$7:$S$874,$BA$2,BS_RE33!$N$7:$N$874,I40,BS_RE33!$P$7:$P$874,'30 days CF Table(ALL)'!G40),2)</f>
        <v>0</v>
      </c>
      <c r="BB40" s="381">
        <f>ROUND(SUMIFS(BS_RE33!$H$7:$H$874,BS_RE33!$S$7:$S$874,$BB$2,BS_RE33!$N$7:$N$874,I40,BS_RE33!$P$7:$P$874,'30 days CF Table(ALL)'!G40),2)</f>
        <v>0</v>
      </c>
      <c r="BC40" s="381">
        <f>ROUND(SUMIFS(BS_RE33!$H$7:$H$874,BS_RE33!$S$7:$S$874,$BC$2,BS_RE33!$N$7:$N$874,I40,BS_RE33!$P$7:$P$874,'30 days CF Table(ALL)'!G40),2)</f>
        <v>0</v>
      </c>
      <c r="BD40" s="381">
        <f>ROUND(SUMIFS(BS_RE33!$H$7:$H$874,BS_RE33!$S$7:$S$874,$BD$2,BS_RE33!$N$7:$N$874,I40,BS_RE33!$P$7:$P$874,'30 days CF Table(ALL)'!G40),2)</f>
        <v>0</v>
      </c>
      <c r="BE40" s="381">
        <f>ROUND(SUMIFS(BS_RE33!$H$7:$H$874,BS_RE33!$S$7:$S$874,$BE$2,BS_RE33!$N$7:$N$874,I40,BS_RE33!$P$7:$P$874,'30 days CF Table(ALL)'!G40),2)</f>
        <v>0</v>
      </c>
      <c r="BF40" s="381">
        <f>ROUND(SUMIFS(BS_RE33!$H$7:$H$874,BS_RE33!$S$7:$S$874,$BF$2,BS_RE33!$N$7:$N$874,I40,BS_RE33!$P$7:$P$874,'30 days CF Table(ALL)'!G40),2)</f>
        <v>0</v>
      </c>
      <c r="BG40" s="381">
        <f>ROUND(SUMIFS(BS_RE33!$H$7:$H$874,BS_RE33!$S$7:$S$874,$BG$2,BS_RE33!$N$7:$N$874,I40,BS_RE33!$P$7:$P$874,'30 days CF Table(ALL)'!G40),2)</f>
        <v>0</v>
      </c>
      <c r="BH40" s="381">
        <f>ROUND(SUMIFS(BS_RE33!$H$7:$H$874,BS_RE33!$S$7:$S$874,$BH$2,BS_RE33!$N$7:$N$874,I40,BS_RE33!$P$7:$P$874,'30 days CF Table(ALL)'!G40),2)</f>
        <v>0</v>
      </c>
      <c r="BI40" s="381">
        <f>ROUND(SUMIFS(BS_RE33!$H$7:$H$874,BS_RE33!$S$7:$S$874,$BI$2,BS_RE33!$N$7:$N$874,I40,BS_RE33!$P$7:$P$874,'30 days CF Table(ALL)'!G40),2)</f>
        <v>0</v>
      </c>
      <c r="BJ40" s="381">
        <f>ROUND(SUMIFS(BS_RE33!$H$7:$H$874,BS_RE33!$S$7:$S$874,$BJ$2,BS_RE33!$N$7:$N$874,I40,BS_RE33!$P$7:$P$874,'30 days CF Table(ALL)'!G40),2)</f>
        <v>0</v>
      </c>
      <c r="BK40" s="381">
        <f>ROUND(SUMIFS(BS_RE33!$H$7:$H$874,BS_RE33!$S$7:$S$874,$BK$2,BS_RE33!$N$7:$N$874,I40,BS_RE33!$P$7:$P$874,'30 days CF Table(ALL)'!G40),2)</f>
        <v>0</v>
      </c>
    </row>
    <row r="41" spans="3:63">
      <c r="C41" s="1029"/>
      <c r="D41" s="1041" t="s">
        <v>764</v>
      </c>
      <c r="E41" s="108" t="s">
        <v>87</v>
      </c>
      <c r="F41" s="309"/>
      <c r="G41" s="392" t="s">
        <v>525</v>
      </c>
      <c r="H41" s="314">
        <v>1</v>
      </c>
      <c r="I41" s="315" t="s">
        <v>80</v>
      </c>
      <c r="J41" s="479">
        <f t="shared" si="3"/>
        <v>0</v>
      </c>
      <c r="K41" s="336">
        <f t="shared" si="5"/>
        <v>0</v>
      </c>
      <c r="L41" s="339">
        <f>ROUND(SUMIFS(BS_RE33!$H$7:$H$874,BS_RE33!$S$7:$S$874,$L$2,BS_RE33!$N$7:$N$874,I41,BS_RE33!$P$7:$P$874,'30 days CF Table(ALL)'!G41),2)</f>
        <v>0</v>
      </c>
      <c r="M41" s="339">
        <f>ROUND(SUMIFS(BS_RE33!$H$7:$H$874,BS_RE33!$S$7:$S$874,$M$2,BS_RE33!$N$7:$N$874,I41,BS_RE33!$P$7:$P$874,'30 days CF Table(ALL)'!G41),2)</f>
        <v>0</v>
      </c>
      <c r="N41" s="339">
        <f>ROUND(SUMIFS(BS_RE33!$H$7:$H$874,BS_RE33!$S$7:$S$874,$N$2,BS_RE33!$N$7:$N$874,I41,BS_RE33!$P$7:$P$874,'30 days CF Table(ALL)'!G41),2)</f>
        <v>0</v>
      </c>
      <c r="O41" s="339">
        <f>ROUND(SUMIFS(BS_RE33!$H$7:$H$874,BS_RE33!$S$7:$S$874,$O$2,BS_RE33!$N$7:$N$874,I41,BS_RE33!$P$7:$P$874,'30 days CF Table(ALL)'!G41),2)</f>
        <v>0</v>
      </c>
      <c r="P41" s="339">
        <f>ROUND(SUMIFS(BS_RE33!$H$7:$H$874,BS_RE33!$S$7:$S$874,$P$2,BS_RE33!$N$7:$N$874,I41,BS_RE33!$P$7:$P$874,'30 days CF Table(ALL)'!G41),2)</f>
        <v>0</v>
      </c>
      <c r="Q41" s="339">
        <f>ROUND(SUMIFS(BS_RE33!$H$7:$H$874,BS_RE33!$S$7:$S$874,$Q$2,BS_RE33!$N$7:$N$874,I41,BS_RE33!$P$7:$P$874,'30 days CF Table(ALL)'!G41),2)</f>
        <v>0</v>
      </c>
      <c r="R41" s="339">
        <f>ROUND(SUMIFS(BS_RE33!$H$7:$H$874,BS_RE33!$S$7:$S$874,$R$2,BS_RE33!$N$7:$N$874,I41,BS_RE33!$P$7:$P$874,'30 days CF Table(ALL)'!G41),2)</f>
        <v>0</v>
      </c>
      <c r="S41" s="339">
        <f>ROUND(SUMIFS(BS_RE33!$H$7:$H$874,BS_RE33!$S$7:$S$874,$S$2,BS_RE33!$N$7:$N$874,I41,BS_RE33!$P$7:$P$874,'30 days CF Table(ALL)'!G41),2)</f>
        <v>0</v>
      </c>
      <c r="T41" s="339">
        <f>ROUND(SUMIFS(BS_RE33!$H$7:$H$874,BS_RE33!$S$7:$S$874,$T$2,BS_RE33!$N$7:$N$874,I41,BS_RE33!$P$7:$P$874,'30 days CF Table(ALL)'!G41),2)</f>
        <v>0</v>
      </c>
      <c r="U41" s="339">
        <f>ROUND(SUMIFS(BS_RE33!$H$7:$H$874,BS_RE33!$S$7:$S$874,$U$2,BS_RE33!$N$7:$N$874,I41,BS_RE33!$P$7:$P$874,'30 days CF Table(ALL)'!G41),2)</f>
        <v>0</v>
      </c>
      <c r="V41" s="339">
        <f>ROUND(SUMIFS(BS_RE33!$H$7:$H$874,BS_RE33!$S$7:$S$874,$V$2,BS_RE33!$N$7:$N$874,I41,BS_RE33!$P$7:$P$874,'30 days CF Table(ALL)'!G41),2)</f>
        <v>0</v>
      </c>
      <c r="W41" s="339">
        <f>ROUND(SUMIFS(BS_RE33!$H$7:$H$874,BS_RE33!$S$7:$S$874,$W$2,BS_RE33!$N$7:$N$874,I41,BS_RE33!$P$7:$P$874,'30 days CF Table(ALL)'!G41),2)</f>
        <v>0</v>
      </c>
      <c r="X41" s="339">
        <f>ROUND(SUMIFS(BS_RE33!$H$7:$H$874,BS_RE33!$S$7:$S$874,$X$2,BS_RE33!$N$7:$N$874,I41,BS_RE33!$P$7:$P$874,'30 days CF Table(ALL)'!G41),2)</f>
        <v>0</v>
      </c>
      <c r="Y41" s="339">
        <f>ROUND(SUMIFS(BS_RE33!$H$7:$H$874,BS_RE33!$S$7:$S$874,$Y$2,BS_RE33!$N$7:$N$874,I41,BS_RE33!$P$7:$P$874,'30 days CF Table(ALL)'!G41),2)</f>
        <v>0</v>
      </c>
      <c r="Z41" s="339">
        <f>ROUND(SUMIFS(BS_RE33!$H$7:$H$874,BS_RE33!$S$7:$S$874,$Z$2,BS_RE33!$N$7:$N$874,I41,BS_RE33!$P$7:$P$874,'30 days CF Table(ALL)'!G41),2)</f>
        <v>0</v>
      </c>
      <c r="AA41" s="339">
        <f>ROUND(SUMIFS(BS_RE33!$H$7:$H$874,BS_RE33!$S$7:$S$874,$AA$2,BS_RE33!$N$7:$N$874,I41,BS_RE33!$P$7:$P$874,'30 days CF Table(ALL)'!G41),2)</f>
        <v>0</v>
      </c>
      <c r="AB41" s="339">
        <f>ROUND(SUMIFS(BS_RE33!$H$7:$H$874,BS_RE33!$S$7:$S$874,$AB$2,BS_RE33!$N$7:$N$874,I41,BS_RE33!$P$7:$P$874,'30 days CF Table(ALL)'!G41),2)</f>
        <v>0</v>
      </c>
      <c r="AC41" s="339">
        <f>ROUND(SUMIFS(BS_RE33!$H$7:$H$874,BS_RE33!$S$7:$S$874,$AC$2,BS_RE33!$N$7:$N$874,I41,BS_RE33!$P$7:$P$874,'30 days CF Table(ALL)'!G41),2)</f>
        <v>0</v>
      </c>
      <c r="AD41" s="339">
        <f>ROUND(SUMIFS(BS_RE33!$H$7:$H$874,BS_RE33!$S$7:$S$874,$AD$2,BS_RE33!$N$7:$N$874,I41,BS_RE33!$P$7:$P$874,'30 days CF Table(ALL)'!G41),2)</f>
        <v>0</v>
      </c>
      <c r="AE41" s="339">
        <f>ROUND(SUMIFS(BS_RE33!$H$7:$H$874,BS_RE33!$S$7:$S$874,$AE$2,BS_RE33!$N$7:$N$874,I41,BS_RE33!$P$7:$P$874,'30 days CF Table(ALL)'!G41),2)</f>
        <v>0</v>
      </c>
      <c r="AF41" s="339">
        <f>ROUND(SUMIFS(BS_RE33!$H$7:$H$874,BS_RE33!$S$7:$S$874,$AF$2,BS_RE33!$N$7:$N$874,I41,BS_RE33!$P$7:$P$874,'30 days CF Table(ALL)'!G41),2)</f>
        <v>0</v>
      </c>
      <c r="AG41" s="339">
        <f>ROUND(SUMIFS(BS_RE33!$H$7:$H$874,BS_RE33!$S$7:$S$874,$AG$2,BS_RE33!$N$7:$N$874,I41,BS_RE33!$P$7:$P$874,'30 days CF Table(ALL)'!G41),2)</f>
        <v>0</v>
      </c>
      <c r="AH41" s="339">
        <f>ROUND(SUMIFS(BS_RE33!$H$7:$H$874,BS_RE33!$S$7:$S$874,$AH$2,BS_RE33!$N$7:$N$874,I41,BS_RE33!$P$7:$P$874,'30 days CF Table(ALL)'!G41),2)</f>
        <v>0</v>
      </c>
      <c r="AI41" s="339">
        <f>ROUND(SUMIFS(BS_RE33!$H$7:$H$874,BS_RE33!$S$7:$S$874,$AI$2,BS_RE33!$N$7:$N$874,I41,BS_RE33!$P$7:$P$874,'30 days CF Table(ALL)'!G41),2)</f>
        <v>0</v>
      </c>
      <c r="AJ41" s="339">
        <f>ROUND(SUMIFS(BS_RE33!$H$7:$H$874,BS_RE33!$S$7:$S$874,$AJ$2,BS_RE33!$N$7:$N$874,I41,BS_RE33!$P$7:$P$874,'30 days CF Table(ALL)'!G41),2)</f>
        <v>0</v>
      </c>
      <c r="AK41" s="339">
        <f>ROUND(SUMIFS(BS_RE33!$H$7:$H$874,BS_RE33!$S$7:$S$874,$AK$2,BS_RE33!$N$7:$N$874,I41,BS_RE33!$P$7:$P$874,'30 days CF Table(ALL)'!G41),2)</f>
        <v>0</v>
      </c>
      <c r="AL41" s="339">
        <f>ROUND(SUMIFS(BS_RE33!$H$7:$H$874,BS_RE33!$S$7:$S$874,$AL$2,BS_RE33!$N$7:$N$874,I41,BS_RE33!$P$7:$P$874,'30 days CF Table(ALL)'!G41),2)</f>
        <v>0</v>
      </c>
      <c r="AM41" s="339">
        <f>ROUND(SUMIFS(BS_RE33!$H$7:$H$874,BS_RE33!$S$7:$S$874,$AM$2,BS_RE33!$N$7:$N$874,I41,BS_RE33!$P$7:$P$874,'30 days CF Table(ALL)'!G41),2)</f>
        <v>0</v>
      </c>
      <c r="AN41" s="339">
        <f>ROUND(SUMIFS(BS_RE33!$H$7:$H$874,BS_RE33!$S$7:$S$874,$AN$2,BS_RE33!$N$7:$N$874,I41,BS_RE33!$P$7:$P$874,'30 days CF Table(ALL)'!G41),2)</f>
        <v>0</v>
      </c>
      <c r="AO41" s="339">
        <f>ROUND(SUMIFS(BS_RE33!$H$7:$H$874,BS_RE33!$S$7:$S$874,$AO$2,BS_RE33!$N$7:$N$874,I41,BS_RE33!$P$7:$P$874,'30 days CF Table(ALL)'!G41),2)</f>
        <v>0</v>
      </c>
      <c r="AP41" s="340">
        <f>ROUND(SUMIFS(BS_RE33!$H$7:$H$874,BS_RE33!$S$7:$S$874,$AP$2,BS_RE33!$N$7:$N$874,I41,BS_RE33!$P$7:$P$874,'30 days CF Table(ALL)'!G41),2)</f>
        <v>0</v>
      </c>
      <c r="AR41" s="381">
        <f>ROUND(SUMIFS(BS_RE33!$H$7:$H$874,BS_RE33!$S$7:$S$874,$AR$2,BS_RE33!$N$7:$N$874,I41,BS_RE33!$P$7:$P$874,'30 days CF Table(ALL)'!G41),2)</f>
        <v>0</v>
      </c>
      <c r="AS41" s="381">
        <f>ROUND(SUMIFS(BS_RE33!$H$7:$H$874,BS_RE33!$S$7:$S$874,$AS$2,BS_RE33!$N$7:$N$874,I41,BS_RE33!$P$7:$P$874,'30 days CF Table(ALL)'!G41),2)</f>
        <v>0</v>
      </c>
      <c r="AT41" s="381">
        <f>ROUND(SUMIFS(BS_RE33!$H$7:$H$874,BS_RE33!$S$7:$S$874,$AT$2,BS_RE33!$N$7:$N$874,I41,BS_RE33!$P$7:$P$874,'30 days CF Table(ALL)'!G41),2)</f>
        <v>0</v>
      </c>
      <c r="AU41" s="381">
        <f>ROUND(SUMIFS(BS_RE33!$H$7:$H$874,BS_RE33!$S$7:$S$874,$AU$2,BS_RE33!$N$7:$N$874,I41,BS_RE33!$P$7:$P$874,'30 days CF Table(ALL)'!G41),2)</f>
        <v>0</v>
      </c>
      <c r="AV41" s="381">
        <f>ROUND(SUMIFS(BS_RE33!$H$7:$H$874,BS_RE33!$S$7:$S$874,$AV$2,BS_RE33!$N$7:$N$874,I41,BS_RE33!$P$7:$P$874,'30 days CF Table(ALL)'!G41),2)</f>
        <v>0</v>
      </c>
      <c r="AW41" s="381">
        <f>ROUND(SUMIFS(BS_RE33!$H$7:$H$874,BS_RE33!$S$7:$S$874,$AW$2,BS_RE33!$N$7:$N$874,I41,BS_RE33!$P$7:$P$874,'30 days CF Table(ALL)'!G41),2)</f>
        <v>0</v>
      </c>
      <c r="AX41" s="381">
        <f>ROUND(SUMIFS(BS_RE33!$H$7:$H$874,BS_RE33!$S$7:$S$874,$AX$2,BS_RE33!$N$7:$N$874,I41,BS_RE33!$P$7:$P$874,'30 days CF Table(ALL)'!G41),2)</f>
        <v>0</v>
      </c>
      <c r="AY41" s="381">
        <f>ROUND(SUMIFS(BS_RE33!$H$7:$H$874,BS_RE33!$S$7:$S$874,$AY$2,BS_RE33!$N$7:$N$874,I41,BS_RE33!$P$7:$P$874,'30 days CF Table(ALL)'!G41),2)</f>
        <v>0</v>
      </c>
      <c r="AZ41" s="381">
        <f>ROUND(SUMIFS(BS_RE33!$H$7:$H$874,BS_RE33!$S$7:$S$874,$AZ$2,BS_RE33!$N$7:$N$874,I41,BS_RE33!$P$7:$P$874,'30 days CF Table(ALL)'!G41),2)</f>
        <v>0</v>
      </c>
      <c r="BA41" s="381">
        <f>ROUND(SUMIFS(BS_RE33!$H$7:$H$874,BS_RE33!$S$7:$S$874,$BA$2,BS_RE33!$N$7:$N$874,I41,BS_RE33!$P$7:$P$874,'30 days CF Table(ALL)'!G41),2)</f>
        <v>0</v>
      </c>
      <c r="BB41" s="381">
        <f>ROUND(SUMIFS(BS_RE33!$H$7:$H$874,BS_RE33!$S$7:$S$874,$BB$2,BS_RE33!$N$7:$N$874,I41,BS_RE33!$P$7:$P$874,'30 days CF Table(ALL)'!G41),2)</f>
        <v>0</v>
      </c>
      <c r="BC41" s="381">
        <f>ROUND(SUMIFS(BS_RE33!$H$7:$H$874,BS_RE33!$S$7:$S$874,$BC$2,BS_RE33!$N$7:$N$874,I41,BS_RE33!$P$7:$P$874,'30 days CF Table(ALL)'!G41),2)</f>
        <v>0</v>
      </c>
      <c r="BD41" s="381">
        <f>ROUND(SUMIFS(BS_RE33!$H$7:$H$874,BS_RE33!$S$7:$S$874,$BD$2,BS_RE33!$N$7:$N$874,I41,BS_RE33!$P$7:$P$874,'30 days CF Table(ALL)'!G41),2)</f>
        <v>0</v>
      </c>
      <c r="BE41" s="381">
        <f>ROUND(SUMIFS(BS_RE33!$H$7:$H$874,BS_RE33!$S$7:$S$874,$BE$2,BS_RE33!$N$7:$N$874,I41,BS_RE33!$P$7:$P$874,'30 days CF Table(ALL)'!G41),2)</f>
        <v>0</v>
      </c>
      <c r="BF41" s="381">
        <f>ROUND(SUMIFS(BS_RE33!$H$7:$H$874,BS_RE33!$S$7:$S$874,$BF$2,BS_RE33!$N$7:$N$874,I41,BS_RE33!$P$7:$P$874,'30 days CF Table(ALL)'!G41),2)</f>
        <v>0</v>
      </c>
      <c r="BG41" s="381">
        <f>ROUND(SUMIFS(BS_RE33!$H$7:$H$874,BS_RE33!$S$7:$S$874,$BG$2,BS_RE33!$N$7:$N$874,I41,BS_RE33!$P$7:$P$874,'30 days CF Table(ALL)'!G41),2)</f>
        <v>0</v>
      </c>
      <c r="BH41" s="381">
        <f>ROUND(SUMIFS(BS_RE33!$H$7:$H$874,BS_RE33!$S$7:$S$874,$BH$2,BS_RE33!$N$7:$N$874,I41,BS_RE33!$P$7:$P$874,'30 days CF Table(ALL)'!G41),2)</f>
        <v>0</v>
      </c>
      <c r="BI41" s="381">
        <f>ROUND(SUMIFS(BS_RE33!$H$7:$H$874,BS_RE33!$S$7:$S$874,$BI$2,BS_RE33!$N$7:$N$874,I41,BS_RE33!$P$7:$P$874,'30 days CF Table(ALL)'!G41),2)</f>
        <v>0</v>
      </c>
      <c r="BJ41" s="381">
        <f>ROUND(SUMIFS(BS_RE33!$H$7:$H$874,BS_RE33!$S$7:$S$874,$BJ$2,BS_RE33!$N$7:$N$874,I41,BS_RE33!$P$7:$P$874,'30 days CF Table(ALL)'!G41),2)</f>
        <v>0</v>
      </c>
      <c r="BK41" s="381">
        <f>ROUND(SUMIFS(BS_RE33!$H$7:$H$874,BS_RE33!$S$7:$S$874,$BK$2,BS_RE33!$N$7:$N$874,I41,BS_RE33!$P$7:$P$874,'30 days CF Table(ALL)'!G41),2)</f>
        <v>0</v>
      </c>
    </row>
    <row r="42" spans="3:63">
      <c r="C42" s="1029"/>
      <c r="D42" s="1043"/>
      <c r="E42" s="108" t="s">
        <v>564</v>
      </c>
      <c r="F42" s="561"/>
      <c r="G42" s="392" t="s">
        <v>755</v>
      </c>
      <c r="H42" s="314">
        <v>1</v>
      </c>
      <c r="I42" s="315" t="s">
        <v>80</v>
      </c>
      <c r="J42" s="479">
        <f t="shared" si="3"/>
        <v>0</v>
      </c>
      <c r="K42" s="336">
        <f t="shared" si="5"/>
        <v>0</v>
      </c>
      <c r="L42" s="339">
        <f>ROUND(SUMIFS(BS_RE33!$H$7:$H$874,BS_RE33!$S$7:$S$874,$L$2,BS_RE33!$N$7:$N$874,I42,BS_RE33!$P$7:$P$874,'30 days CF Table(ALL)'!G42),2)</f>
        <v>0</v>
      </c>
      <c r="M42" s="339">
        <f>ROUND(SUMIFS(BS_RE33!$H$7:$H$874,BS_RE33!$S$7:$S$874,$M$2,BS_RE33!$N$7:$N$874,I42,BS_RE33!$P$7:$P$874,'30 days CF Table(ALL)'!G42),2)</f>
        <v>0</v>
      </c>
      <c r="N42" s="339">
        <f>ROUND(SUMIFS(BS_RE33!$H$7:$H$874,BS_RE33!$S$7:$S$874,$N$2,BS_RE33!$N$7:$N$874,I42,BS_RE33!$P$7:$P$874,'30 days CF Table(ALL)'!G42),2)</f>
        <v>0</v>
      </c>
      <c r="O42" s="339">
        <f>ROUND(SUMIFS(BS_RE33!$H$7:$H$874,BS_RE33!$S$7:$S$874,$O$2,BS_RE33!$N$7:$N$874,I42,BS_RE33!$P$7:$P$874,'30 days CF Table(ALL)'!G42),2)</f>
        <v>0</v>
      </c>
      <c r="P42" s="339">
        <f>ROUND(SUMIFS(BS_RE33!$H$7:$H$874,BS_RE33!$S$7:$S$874,$P$2,BS_RE33!$N$7:$N$874,I42,BS_RE33!$P$7:$P$874,'30 days CF Table(ALL)'!G42),2)</f>
        <v>0</v>
      </c>
      <c r="Q42" s="339">
        <f>ROUND(SUMIFS(BS_RE33!$H$7:$H$874,BS_RE33!$S$7:$S$874,$Q$2,BS_RE33!$N$7:$N$874,I42,BS_RE33!$P$7:$P$874,'30 days CF Table(ALL)'!G42),2)</f>
        <v>0</v>
      </c>
      <c r="R42" s="339">
        <f>ROUND(SUMIFS(BS_RE33!$H$7:$H$874,BS_RE33!$S$7:$S$874,$R$2,BS_RE33!$N$7:$N$874,I42,BS_RE33!$P$7:$P$874,'30 days CF Table(ALL)'!G42),2)</f>
        <v>0</v>
      </c>
      <c r="S42" s="339">
        <f>ROUND(SUMIFS(BS_RE33!$H$7:$H$874,BS_RE33!$S$7:$S$874,$S$2,BS_RE33!$N$7:$N$874,I42,BS_RE33!$P$7:$P$874,'30 days CF Table(ALL)'!G42),2)</f>
        <v>0</v>
      </c>
      <c r="T42" s="339">
        <f>ROUND(SUMIFS(BS_RE33!$H$7:$H$874,BS_RE33!$S$7:$S$874,$T$2,BS_RE33!$N$7:$N$874,I42,BS_RE33!$P$7:$P$874,'30 days CF Table(ALL)'!G42),2)</f>
        <v>0</v>
      </c>
      <c r="U42" s="339">
        <f>ROUND(SUMIFS(BS_RE33!$H$7:$H$874,BS_RE33!$S$7:$S$874,$U$2,BS_RE33!$N$7:$N$874,I42,BS_RE33!$P$7:$P$874,'30 days CF Table(ALL)'!G42),2)</f>
        <v>0</v>
      </c>
      <c r="V42" s="339">
        <f>ROUND(SUMIFS(BS_RE33!$H$7:$H$874,BS_RE33!$S$7:$S$874,$V$2,BS_RE33!$N$7:$N$874,I42,BS_RE33!$P$7:$P$874,'30 days CF Table(ALL)'!G42),2)</f>
        <v>0</v>
      </c>
      <c r="W42" s="339">
        <f>ROUND(SUMIFS(BS_RE33!$H$7:$H$874,BS_RE33!$S$7:$S$874,$W$2,BS_RE33!$N$7:$N$874,I42,BS_RE33!$P$7:$P$874,'30 days CF Table(ALL)'!G42),2)</f>
        <v>0</v>
      </c>
      <c r="X42" s="339">
        <f>ROUND(SUMIFS(BS_RE33!$H$7:$H$874,BS_RE33!$S$7:$S$874,$X$2,BS_RE33!$N$7:$N$874,I42,BS_RE33!$P$7:$P$874,'30 days CF Table(ALL)'!G42),2)</f>
        <v>0</v>
      </c>
      <c r="Y42" s="339">
        <f>ROUND(SUMIFS(BS_RE33!$H$7:$H$874,BS_RE33!$S$7:$S$874,$Y$2,BS_RE33!$N$7:$N$874,I42,BS_RE33!$P$7:$P$874,'30 days CF Table(ALL)'!G42),2)</f>
        <v>0</v>
      </c>
      <c r="Z42" s="339">
        <f>ROUND(SUMIFS(BS_RE33!$H$7:$H$874,BS_RE33!$S$7:$S$874,$Z$2,BS_RE33!$N$7:$N$874,I42,BS_RE33!$P$7:$P$874,'30 days CF Table(ALL)'!G42),2)</f>
        <v>0</v>
      </c>
      <c r="AA42" s="339">
        <f>ROUND(SUMIFS(BS_RE33!$H$7:$H$874,BS_RE33!$S$7:$S$874,$AA$2,BS_RE33!$N$7:$N$874,I42,BS_RE33!$P$7:$P$874,'30 days CF Table(ALL)'!G42),2)</f>
        <v>0</v>
      </c>
      <c r="AB42" s="339">
        <f>ROUND(SUMIFS(BS_RE33!$H$7:$H$874,BS_RE33!$S$7:$S$874,$AB$2,BS_RE33!$N$7:$N$874,I42,BS_RE33!$P$7:$P$874,'30 days CF Table(ALL)'!G42),2)</f>
        <v>0</v>
      </c>
      <c r="AC42" s="339">
        <f>ROUND(SUMIFS(BS_RE33!$H$7:$H$874,BS_RE33!$S$7:$S$874,$AC$2,BS_RE33!$N$7:$N$874,I42,BS_RE33!$P$7:$P$874,'30 days CF Table(ALL)'!G42),2)</f>
        <v>0</v>
      </c>
      <c r="AD42" s="339">
        <f>ROUND(SUMIFS(BS_RE33!$H$7:$H$874,BS_RE33!$S$7:$S$874,$AD$2,BS_RE33!$N$7:$N$874,I42,BS_RE33!$P$7:$P$874,'30 days CF Table(ALL)'!G42),2)</f>
        <v>0</v>
      </c>
      <c r="AE42" s="339">
        <f>ROUND(SUMIFS(BS_RE33!$H$7:$H$874,BS_RE33!$S$7:$S$874,$AE$2,BS_RE33!$N$7:$N$874,I42,BS_RE33!$P$7:$P$874,'30 days CF Table(ALL)'!G42),2)</f>
        <v>0</v>
      </c>
      <c r="AF42" s="339">
        <f>ROUND(SUMIFS(BS_RE33!$H$7:$H$874,BS_RE33!$S$7:$S$874,$AF$2,BS_RE33!$N$7:$N$874,I42,BS_RE33!$P$7:$P$874,'30 days CF Table(ALL)'!G42),2)</f>
        <v>0</v>
      </c>
      <c r="AG42" s="339">
        <f>ROUND(SUMIFS(BS_RE33!$H$7:$H$874,BS_RE33!$S$7:$S$874,$AG$2,BS_RE33!$N$7:$N$874,I42,BS_RE33!$P$7:$P$874,'30 days CF Table(ALL)'!G42),2)</f>
        <v>0</v>
      </c>
      <c r="AH42" s="339">
        <f>ROUND(SUMIFS(BS_RE33!$H$7:$H$874,BS_RE33!$S$7:$S$874,$AH$2,BS_RE33!$N$7:$N$874,I42,BS_RE33!$P$7:$P$874,'30 days CF Table(ALL)'!G42),2)</f>
        <v>0</v>
      </c>
      <c r="AI42" s="339">
        <f>ROUND(SUMIFS(BS_RE33!$H$7:$H$874,BS_RE33!$S$7:$S$874,$AI$2,BS_RE33!$N$7:$N$874,I42,BS_RE33!$P$7:$P$874,'30 days CF Table(ALL)'!G42),2)</f>
        <v>0</v>
      </c>
      <c r="AJ42" s="339">
        <f>ROUND(SUMIFS(BS_RE33!$H$7:$H$874,BS_RE33!$S$7:$S$874,$AJ$2,BS_RE33!$N$7:$N$874,I42,BS_RE33!$P$7:$P$874,'30 days CF Table(ALL)'!G42),2)</f>
        <v>0</v>
      </c>
      <c r="AK42" s="339">
        <f>ROUND(SUMIFS(BS_RE33!$H$7:$H$874,BS_RE33!$S$7:$S$874,$AK$2,BS_RE33!$N$7:$N$874,I42,BS_RE33!$P$7:$P$874,'30 days CF Table(ALL)'!G42),2)</f>
        <v>0</v>
      </c>
      <c r="AL42" s="339">
        <f>ROUND(SUMIFS(BS_RE33!$H$7:$H$874,BS_RE33!$S$7:$S$874,$AL$2,BS_RE33!$N$7:$N$874,I42,BS_RE33!$P$7:$P$874,'30 days CF Table(ALL)'!G42),2)</f>
        <v>0</v>
      </c>
      <c r="AM42" s="339">
        <f>ROUND(SUMIFS(BS_RE33!$H$7:$H$874,BS_RE33!$S$7:$S$874,$AM$2,BS_RE33!$N$7:$N$874,I42,BS_RE33!$P$7:$P$874,'30 days CF Table(ALL)'!G42),2)</f>
        <v>0</v>
      </c>
      <c r="AN42" s="339">
        <f>ROUND(SUMIFS(BS_RE33!$H$7:$H$874,BS_RE33!$S$7:$S$874,$AN$2,BS_RE33!$N$7:$N$874,I42,BS_RE33!$P$7:$P$874,'30 days CF Table(ALL)'!G42),2)</f>
        <v>0</v>
      </c>
      <c r="AO42" s="339">
        <f>ROUND(SUMIFS(BS_RE33!$H$7:$H$874,BS_RE33!$S$7:$S$874,$AO$2,BS_RE33!$N$7:$N$874,I42,BS_RE33!$P$7:$P$874,'30 days CF Table(ALL)'!G42),2)</f>
        <v>0</v>
      </c>
      <c r="AP42" s="340">
        <f>ROUND(SUMIFS(BS_RE33!$H$7:$H$874,BS_RE33!$S$7:$S$874,$AP$2,BS_RE33!$N$7:$N$874,I42,BS_RE33!$P$7:$P$874,'30 days CF Table(ALL)'!G42),2)</f>
        <v>0</v>
      </c>
      <c r="AR42" s="381">
        <f>ROUND(SUMIFS(BS_RE33!$H$7:$H$874,BS_RE33!$S$7:$S$874,$AR$2,BS_RE33!$N$7:$N$874,I42,BS_RE33!$P$7:$P$874,'30 days CF Table(ALL)'!G42),2)</f>
        <v>0</v>
      </c>
      <c r="AS42" s="381">
        <f>ROUND(SUMIFS(BS_RE33!$H$7:$H$874,BS_RE33!$S$7:$S$874,$AS$2,BS_RE33!$N$7:$N$874,I42,BS_RE33!$P$7:$P$874,'30 days CF Table(ALL)'!G42),2)</f>
        <v>0</v>
      </c>
      <c r="AT42" s="381">
        <f>ROUND(SUMIFS(BS_RE33!$H$7:$H$874,BS_RE33!$S$7:$S$874,$AT$2,BS_RE33!$N$7:$N$874,I42,BS_RE33!$P$7:$P$874,'30 days CF Table(ALL)'!G42),2)</f>
        <v>0</v>
      </c>
      <c r="AU42" s="381">
        <f>ROUND(SUMIFS(BS_RE33!$H$7:$H$874,BS_RE33!$S$7:$S$874,$AU$2,BS_RE33!$N$7:$N$874,I42,BS_RE33!$P$7:$P$874,'30 days CF Table(ALL)'!G42),2)</f>
        <v>0</v>
      </c>
      <c r="AV42" s="381">
        <f>ROUND(SUMIFS(BS_RE33!$H$7:$H$874,BS_RE33!$S$7:$S$874,$AV$2,BS_RE33!$N$7:$N$874,I42,BS_RE33!$P$7:$P$874,'30 days CF Table(ALL)'!G42),2)</f>
        <v>0</v>
      </c>
      <c r="AW42" s="381">
        <f>ROUND(SUMIFS(BS_RE33!$H$7:$H$874,BS_RE33!$S$7:$S$874,$AW$2,BS_RE33!$N$7:$N$874,I42,BS_RE33!$P$7:$P$874,'30 days CF Table(ALL)'!G42),2)</f>
        <v>0</v>
      </c>
      <c r="AX42" s="381">
        <f>ROUND(SUMIFS(BS_RE33!$H$7:$H$874,BS_RE33!$S$7:$S$874,$AX$2,BS_RE33!$N$7:$N$874,I42,BS_RE33!$P$7:$P$874,'30 days CF Table(ALL)'!G42),2)</f>
        <v>0</v>
      </c>
      <c r="AY42" s="381">
        <f>ROUND(SUMIFS(BS_RE33!$H$7:$H$874,BS_RE33!$S$7:$S$874,$AY$2,BS_RE33!$N$7:$N$874,I42,BS_RE33!$P$7:$P$874,'30 days CF Table(ALL)'!G42),2)</f>
        <v>0</v>
      </c>
      <c r="AZ42" s="381">
        <f>ROUND(SUMIFS(BS_RE33!$H$7:$H$874,BS_RE33!$S$7:$S$874,$AZ$2,BS_RE33!$N$7:$N$874,I42,BS_RE33!$P$7:$P$874,'30 days CF Table(ALL)'!G42),2)</f>
        <v>0</v>
      </c>
      <c r="BA42" s="381">
        <f>ROUND(SUMIFS(BS_RE33!$H$7:$H$874,BS_RE33!$S$7:$S$874,$BA$2,BS_RE33!$N$7:$N$874,I42,BS_RE33!$P$7:$P$874,'30 days CF Table(ALL)'!G42),2)</f>
        <v>0</v>
      </c>
      <c r="BB42" s="381">
        <f>ROUND(SUMIFS(BS_RE33!$H$7:$H$874,BS_RE33!$S$7:$S$874,$BB$2,BS_RE33!$N$7:$N$874,I42,BS_RE33!$P$7:$P$874,'30 days CF Table(ALL)'!G42),2)</f>
        <v>0</v>
      </c>
      <c r="BC42" s="381">
        <f>ROUND(SUMIFS(BS_RE33!$H$7:$H$874,BS_RE33!$S$7:$S$874,$BC$2,BS_RE33!$N$7:$N$874,I42,BS_RE33!$P$7:$P$874,'30 days CF Table(ALL)'!G42),2)</f>
        <v>0</v>
      </c>
      <c r="BD42" s="381">
        <f>ROUND(SUMIFS(BS_RE33!$H$7:$H$874,BS_RE33!$S$7:$S$874,$BD$2,BS_RE33!$N$7:$N$874,I42,BS_RE33!$P$7:$P$874,'30 days CF Table(ALL)'!G42),2)</f>
        <v>0</v>
      </c>
      <c r="BE42" s="381">
        <f>ROUND(SUMIFS(BS_RE33!$H$7:$H$874,BS_RE33!$S$7:$S$874,$BE$2,BS_RE33!$N$7:$N$874,I42,BS_RE33!$P$7:$P$874,'30 days CF Table(ALL)'!G42),2)</f>
        <v>0</v>
      </c>
      <c r="BF42" s="381">
        <f>ROUND(SUMIFS(BS_RE33!$H$7:$H$874,BS_RE33!$S$7:$S$874,$BF$2,BS_RE33!$N$7:$N$874,I42,BS_RE33!$P$7:$P$874,'30 days CF Table(ALL)'!G42),2)</f>
        <v>0</v>
      </c>
      <c r="BG42" s="381">
        <f>ROUND(SUMIFS(BS_RE33!$H$7:$H$874,BS_RE33!$S$7:$S$874,$BG$2,BS_RE33!$N$7:$N$874,I42,BS_RE33!$P$7:$P$874,'30 days CF Table(ALL)'!G42),2)</f>
        <v>0</v>
      </c>
      <c r="BH42" s="381">
        <f>ROUND(SUMIFS(BS_RE33!$H$7:$H$874,BS_RE33!$S$7:$S$874,$BH$2,BS_RE33!$N$7:$N$874,I42,BS_RE33!$P$7:$P$874,'30 days CF Table(ALL)'!G42),2)</f>
        <v>0</v>
      </c>
      <c r="BI42" s="381">
        <f>ROUND(SUMIFS(BS_RE33!$H$7:$H$874,BS_RE33!$S$7:$S$874,$BI$2,BS_RE33!$N$7:$N$874,I42,BS_RE33!$P$7:$P$874,'30 days CF Table(ALL)'!G42),2)</f>
        <v>0</v>
      </c>
      <c r="BJ42" s="381">
        <f>ROUND(SUMIFS(BS_RE33!$H$7:$H$874,BS_RE33!$S$7:$S$874,$BJ$2,BS_RE33!$N$7:$N$874,I42,BS_RE33!$P$7:$P$874,'30 days CF Table(ALL)'!G42),2)</f>
        <v>0</v>
      </c>
      <c r="BK42" s="381">
        <f>ROUND(SUMIFS(BS_RE33!$H$7:$H$874,BS_RE33!$S$7:$S$874,$BK$2,BS_RE33!$N$7:$N$874,I42,BS_RE33!$P$7:$P$874,'30 days CF Table(ALL)'!G42),2)</f>
        <v>0</v>
      </c>
    </row>
    <row r="43" spans="3:63">
      <c r="C43" s="1029"/>
      <c r="D43" s="1042"/>
      <c r="E43" s="108" t="s">
        <v>88</v>
      </c>
      <c r="F43" s="309"/>
      <c r="G43" s="392" t="s">
        <v>526</v>
      </c>
      <c r="H43" s="314">
        <v>1</v>
      </c>
      <c r="I43" s="315" t="s">
        <v>80</v>
      </c>
      <c r="J43" s="479">
        <f t="shared" si="3"/>
        <v>0</v>
      </c>
      <c r="K43" s="336">
        <f t="shared" si="5"/>
        <v>0</v>
      </c>
      <c r="L43" s="339">
        <f>ROUND(SUMIFS(BS_RE33!$H$7:$H$874,BS_RE33!$S$7:$S$874,$L$2,BS_RE33!$N$7:$N$874,I43,BS_RE33!$P$7:$P$874,'30 days CF Table(ALL)'!G43),2)</f>
        <v>0</v>
      </c>
      <c r="M43" s="339">
        <f>ROUND(SUMIFS(BS_RE33!$H$7:$H$874,BS_RE33!$S$7:$S$874,$M$2,BS_RE33!$N$7:$N$874,I43,BS_RE33!$P$7:$P$874,'30 days CF Table(ALL)'!G43),2)</f>
        <v>0</v>
      </c>
      <c r="N43" s="339">
        <f>ROUND(SUMIFS(BS_RE33!$H$7:$H$874,BS_RE33!$S$7:$S$874,$N$2,BS_RE33!$N$7:$N$874,I43,BS_RE33!$P$7:$P$874,'30 days CF Table(ALL)'!G43),2)</f>
        <v>0</v>
      </c>
      <c r="O43" s="339">
        <f>ROUND(SUMIFS(BS_RE33!$H$7:$H$874,BS_RE33!$S$7:$S$874,$O$2,BS_RE33!$N$7:$N$874,I43,BS_RE33!$P$7:$P$874,'30 days CF Table(ALL)'!G43),2)</f>
        <v>0</v>
      </c>
      <c r="P43" s="339">
        <f>ROUND(SUMIFS(BS_RE33!$H$7:$H$874,BS_RE33!$S$7:$S$874,$P$2,BS_RE33!$N$7:$N$874,I43,BS_RE33!$P$7:$P$874,'30 days CF Table(ALL)'!G43),2)</f>
        <v>0</v>
      </c>
      <c r="Q43" s="339">
        <f>ROUND(SUMIFS(BS_RE33!$H$7:$H$874,BS_RE33!$S$7:$S$874,$Q$2,BS_RE33!$N$7:$N$874,I43,BS_RE33!$P$7:$P$874,'30 days CF Table(ALL)'!G43),2)</f>
        <v>0</v>
      </c>
      <c r="R43" s="339">
        <f>ROUND(SUMIFS(BS_RE33!$H$7:$H$874,BS_RE33!$S$7:$S$874,$R$2,BS_RE33!$N$7:$N$874,I43,BS_RE33!$P$7:$P$874,'30 days CF Table(ALL)'!G43),2)</f>
        <v>0</v>
      </c>
      <c r="S43" s="339">
        <f>ROUND(SUMIFS(BS_RE33!$H$7:$H$874,BS_RE33!$S$7:$S$874,$S$2,BS_RE33!$N$7:$N$874,I43,BS_RE33!$P$7:$P$874,'30 days CF Table(ALL)'!G43),2)</f>
        <v>0</v>
      </c>
      <c r="T43" s="339">
        <f>ROUND(SUMIFS(BS_RE33!$H$7:$H$874,BS_RE33!$S$7:$S$874,$T$2,BS_RE33!$N$7:$N$874,I43,BS_RE33!$P$7:$P$874,'30 days CF Table(ALL)'!G43),2)</f>
        <v>0</v>
      </c>
      <c r="U43" s="339">
        <f>ROUND(SUMIFS(BS_RE33!$H$7:$H$874,BS_RE33!$S$7:$S$874,$U$2,BS_RE33!$N$7:$N$874,I43,BS_RE33!$P$7:$P$874,'30 days CF Table(ALL)'!G43),2)</f>
        <v>0</v>
      </c>
      <c r="V43" s="339">
        <f>ROUND(SUMIFS(BS_RE33!$H$7:$H$874,BS_RE33!$S$7:$S$874,$V$2,BS_RE33!$N$7:$N$874,I43,BS_RE33!$P$7:$P$874,'30 days CF Table(ALL)'!G43),2)</f>
        <v>0</v>
      </c>
      <c r="W43" s="339">
        <f>ROUND(SUMIFS(BS_RE33!$H$7:$H$874,BS_RE33!$S$7:$S$874,$W$2,BS_RE33!$N$7:$N$874,I43,BS_RE33!$P$7:$P$874,'30 days CF Table(ALL)'!G43),2)</f>
        <v>0</v>
      </c>
      <c r="X43" s="339">
        <f>ROUND(SUMIFS(BS_RE33!$H$7:$H$874,BS_RE33!$S$7:$S$874,$X$2,BS_RE33!$N$7:$N$874,I43,BS_RE33!$P$7:$P$874,'30 days CF Table(ALL)'!G43),2)</f>
        <v>0</v>
      </c>
      <c r="Y43" s="339">
        <f>ROUND(SUMIFS(BS_RE33!$H$7:$H$874,BS_RE33!$S$7:$S$874,$Y$2,BS_RE33!$N$7:$N$874,I43,BS_RE33!$P$7:$P$874,'30 days CF Table(ALL)'!G43),2)</f>
        <v>0</v>
      </c>
      <c r="Z43" s="339">
        <f>ROUND(SUMIFS(BS_RE33!$H$7:$H$874,BS_RE33!$S$7:$S$874,$Z$2,BS_RE33!$N$7:$N$874,I43,BS_RE33!$P$7:$P$874,'30 days CF Table(ALL)'!G43),2)</f>
        <v>0</v>
      </c>
      <c r="AA43" s="339">
        <f>ROUND(SUMIFS(BS_RE33!$H$7:$H$874,BS_RE33!$S$7:$S$874,$AA$2,BS_RE33!$N$7:$N$874,I43,BS_RE33!$P$7:$P$874,'30 days CF Table(ALL)'!G43),2)</f>
        <v>0</v>
      </c>
      <c r="AB43" s="339">
        <f>ROUND(SUMIFS(BS_RE33!$H$7:$H$874,BS_RE33!$S$7:$S$874,$AB$2,BS_RE33!$N$7:$N$874,I43,BS_RE33!$P$7:$P$874,'30 days CF Table(ALL)'!G43),2)</f>
        <v>0</v>
      </c>
      <c r="AC43" s="339">
        <f>ROUND(SUMIFS(BS_RE33!$H$7:$H$874,BS_RE33!$S$7:$S$874,$AC$2,BS_RE33!$N$7:$N$874,I43,BS_RE33!$P$7:$P$874,'30 days CF Table(ALL)'!G43),2)</f>
        <v>0</v>
      </c>
      <c r="AD43" s="339">
        <f>ROUND(SUMIFS(BS_RE33!$H$7:$H$874,BS_RE33!$S$7:$S$874,$AD$2,BS_RE33!$N$7:$N$874,I43,BS_RE33!$P$7:$P$874,'30 days CF Table(ALL)'!G43),2)</f>
        <v>0</v>
      </c>
      <c r="AE43" s="339">
        <f>ROUND(SUMIFS(BS_RE33!$H$7:$H$874,BS_RE33!$S$7:$S$874,$AE$2,BS_RE33!$N$7:$N$874,I43,BS_RE33!$P$7:$P$874,'30 days CF Table(ALL)'!G43),2)</f>
        <v>0</v>
      </c>
      <c r="AF43" s="339">
        <f>ROUND(SUMIFS(BS_RE33!$H$7:$H$874,BS_RE33!$S$7:$S$874,$AF$2,BS_RE33!$N$7:$N$874,I43,BS_RE33!$P$7:$P$874,'30 days CF Table(ALL)'!G43),2)</f>
        <v>0</v>
      </c>
      <c r="AG43" s="339">
        <f>ROUND(SUMIFS(BS_RE33!$H$7:$H$874,BS_RE33!$S$7:$S$874,$AG$2,BS_RE33!$N$7:$N$874,I43,BS_RE33!$P$7:$P$874,'30 days CF Table(ALL)'!G43),2)</f>
        <v>0</v>
      </c>
      <c r="AH43" s="339">
        <f>ROUND(SUMIFS(BS_RE33!$H$7:$H$874,BS_RE33!$S$7:$S$874,$AH$2,BS_RE33!$N$7:$N$874,I43,BS_RE33!$P$7:$P$874,'30 days CF Table(ALL)'!G43),2)</f>
        <v>0</v>
      </c>
      <c r="AI43" s="339">
        <f>ROUND(SUMIFS(BS_RE33!$H$7:$H$874,BS_RE33!$S$7:$S$874,$AI$2,BS_RE33!$N$7:$N$874,I43,BS_RE33!$P$7:$P$874,'30 days CF Table(ALL)'!G43),2)</f>
        <v>0</v>
      </c>
      <c r="AJ43" s="339">
        <f>ROUND(SUMIFS(BS_RE33!$H$7:$H$874,BS_RE33!$S$7:$S$874,$AJ$2,BS_RE33!$N$7:$N$874,I43,BS_RE33!$P$7:$P$874,'30 days CF Table(ALL)'!G43),2)</f>
        <v>0</v>
      </c>
      <c r="AK43" s="339">
        <f>ROUND(SUMIFS(BS_RE33!$H$7:$H$874,BS_RE33!$S$7:$S$874,$AK$2,BS_RE33!$N$7:$N$874,I43,BS_RE33!$P$7:$P$874,'30 days CF Table(ALL)'!G43),2)</f>
        <v>0</v>
      </c>
      <c r="AL43" s="339">
        <f>ROUND(SUMIFS(BS_RE33!$H$7:$H$874,BS_RE33!$S$7:$S$874,$AL$2,BS_RE33!$N$7:$N$874,I43,BS_RE33!$P$7:$P$874,'30 days CF Table(ALL)'!G43),2)</f>
        <v>0</v>
      </c>
      <c r="AM43" s="339">
        <f>ROUND(SUMIFS(BS_RE33!$H$7:$H$874,BS_RE33!$S$7:$S$874,$AM$2,BS_RE33!$N$7:$N$874,I43,BS_RE33!$P$7:$P$874,'30 days CF Table(ALL)'!G43),2)</f>
        <v>0</v>
      </c>
      <c r="AN43" s="339">
        <f>ROUND(SUMIFS(BS_RE33!$H$7:$H$874,BS_RE33!$S$7:$S$874,$AN$2,BS_RE33!$N$7:$N$874,I43,BS_RE33!$P$7:$P$874,'30 days CF Table(ALL)'!G43),2)</f>
        <v>0</v>
      </c>
      <c r="AO43" s="339">
        <f>ROUND(SUMIFS(BS_RE33!$H$7:$H$874,BS_RE33!$S$7:$S$874,$AO$2,BS_RE33!$N$7:$N$874,I43,BS_RE33!$P$7:$P$874,'30 days CF Table(ALL)'!G43),2)</f>
        <v>0</v>
      </c>
      <c r="AP43" s="340">
        <f>ROUND(SUMIFS(BS_RE33!$H$7:$H$874,BS_RE33!$S$7:$S$874,$AP$2,BS_RE33!$N$7:$N$874,I43,BS_RE33!$P$7:$P$874,'30 days CF Table(ALL)'!G43),2)</f>
        <v>0</v>
      </c>
      <c r="AR43" s="381">
        <f>ROUND(SUMIFS(BS_RE33!$H$7:$H$874,BS_RE33!$S$7:$S$874,$AR$2,BS_RE33!$N$7:$N$874,I43,BS_RE33!$P$7:$P$874,'30 days CF Table(ALL)'!G43),2)</f>
        <v>0</v>
      </c>
      <c r="AS43" s="381">
        <f>ROUND(SUMIFS(BS_RE33!$H$7:$H$874,BS_RE33!$S$7:$S$874,$AS$2,BS_RE33!$N$7:$N$874,I43,BS_RE33!$P$7:$P$874,'30 days CF Table(ALL)'!G43),2)</f>
        <v>0</v>
      </c>
      <c r="AT43" s="381">
        <f>ROUND(SUMIFS(BS_RE33!$H$7:$H$874,BS_RE33!$S$7:$S$874,$AT$2,BS_RE33!$N$7:$N$874,I43,BS_RE33!$P$7:$P$874,'30 days CF Table(ALL)'!G43),2)</f>
        <v>0</v>
      </c>
      <c r="AU43" s="381">
        <f>ROUND(SUMIFS(BS_RE33!$H$7:$H$874,BS_RE33!$S$7:$S$874,$AU$2,BS_RE33!$N$7:$N$874,I43,BS_RE33!$P$7:$P$874,'30 days CF Table(ALL)'!G43),2)</f>
        <v>0</v>
      </c>
      <c r="AV43" s="381">
        <f>ROUND(SUMIFS(BS_RE33!$H$7:$H$874,BS_RE33!$S$7:$S$874,$AV$2,BS_RE33!$N$7:$N$874,I43,BS_RE33!$P$7:$P$874,'30 days CF Table(ALL)'!G43),2)</f>
        <v>0</v>
      </c>
      <c r="AW43" s="381">
        <f>ROUND(SUMIFS(BS_RE33!$H$7:$H$874,BS_RE33!$S$7:$S$874,$AW$2,BS_RE33!$N$7:$N$874,I43,BS_RE33!$P$7:$P$874,'30 days CF Table(ALL)'!G43),2)</f>
        <v>0</v>
      </c>
      <c r="AX43" s="381">
        <f>ROUND(SUMIFS(BS_RE33!$H$7:$H$874,BS_RE33!$S$7:$S$874,$AX$2,BS_RE33!$N$7:$N$874,I43,BS_RE33!$P$7:$P$874,'30 days CF Table(ALL)'!G43),2)</f>
        <v>0</v>
      </c>
      <c r="AY43" s="381">
        <f>ROUND(SUMIFS(BS_RE33!$H$7:$H$874,BS_RE33!$S$7:$S$874,$AY$2,BS_RE33!$N$7:$N$874,I43,BS_RE33!$P$7:$P$874,'30 days CF Table(ALL)'!G43),2)</f>
        <v>0</v>
      </c>
      <c r="AZ43" s="381">
        <f>ROUND(SUMIFS(BS_RE33!$H$7:$H$874,BS_RE33!$S$7:$S$874,$AZ$2,BS_RE33!$N$7:$N$874,I43,BS_RE33!$P$7:$P$874,'30 days CF Table(ALL)'!G43),2)</f>
        <v>0</v>
      </c>
      <c r="BA43" s="381">
        <f>ROUND(SUMIFS(BS_RE33!$H$7:$H$874,BS_RE33!$S$7:$S$874,$BA$2,BS_RE33!$N$7:$N$874,I43,BS_RE33!$P$7:$P$874,'30 days CF Table(ALL)'!G43),2)</f>
        <v>0</v>
      </c>
      <c r="BB43" s="381">
        <f>ROUND(SUMIFS(BS_RE33!$H$7:$H$874,BS_RE33!$S$7:$S$874,$BB$2,BS_RE33!$N$7:$N$874,I43,BS_RE33!$P$7:$P$874,'30 days CF Table(ALL)'!G43),2)</f>
        <v>0</v>
      </c>
      <c r="BC43" s="381">
        <f>ROUND(SUMIFS(BS_RE33!$H$7:$H$874,BS_RE33!$S$7:$S$874,$BC$2,BS_RE33!$N$7:$N$874,I43,BS_RE33!$P$7:$P$874,'30 days CF Table(ALL)'!G43),2)</f>
        <v>0</v>
      </c>
      <c r="BD43" s="381">
        <f>ROUND(SUMIFS(BS_RE33!$H$7:$H$874,BS_RE33!$S$7:$S$874,$BD$2,BS_RE33!$N$7:$N$874,I43,BS_RE33!$P$7:$P$874,'30 days CF Table(ALL)'!G43),2)</f>
        <v>0</v>
      </c>
      <c r="BE43" s="381">
        <f>ROUND(SUMIFS(BS_RE33!$H$7:$H$874,BS_RE33!$S$7:$S$874,$BE$2,BS_RE33!$N$7:$N$874,I43,BS_RE33!$P$7:$P$874,'30 days CF Table(ALL)'!G43),2)</f>
        <v>0</v>
      </c>
      <c r="BF43" s="381">
        <f>ROUND(SUMIFS(BS_RE33!$H$7:$H$874,BS_RE33!$S$7:$S$874,$BF$2,BS_RE33!$N$7:$N$874,I43,BS_RE33!$P$7:$P$874,'30 days CF Table(ALL)'!G43),2)</f>
        <v>0</v>
      </c>
      <c r="BG43" s="381">
        <f>ROUND(SUMIFS(BS_RE33!$H$7:$H$874,BS_RE33!$S$7:$S$874,$BG$2,BS_RE33!$N$7:$N$874,I43,BS_RE33!$P$7:$P$874,'30 days CF Table(ALL)'!G43),2)</f>
        <v>0</v>
      </c>
      <c r="BH43" s="381">
        <f>ROUND(SUMIFS(BS_RE33!$H$7:$H$874,BS_RE33!$S$7:$S$874,$BH$2,BS_RE33!$N$7:$N$874,I43,BS_RE33!$P$7:$P$874,'30 days CF Table(ALL)'!G43),2)</f>
        <v>0</v>
      </c>
      <c r="BI43" s="381">
        <f>ROUND(SUMIFS(BS_RE33!$H$7:$H$874,BS_RE33!$S$7:$S$874,$BI$2,BS_RE33!$N$7:$N$874,I43,BS_RE33!$P$7:$P$874,'30 days CF Table(ALL)'!G43),2)</f>
        <v>0</v>
      </c>
      <c r="BJ43" s="381">
        <f>ROUND(SUMIFS(BS_RE33!$H$7:$H$874,BS_RE33!$S$7:$S$874,$BJ$2,BS_RE33!$N$7:$N$874,I43,BS_RE33!$P$7:$P$874,'30 days CF Table(ALL)'!G43),2)</f>
        <v>0</v>
      </c>
      <c r="BK43" s="381">
        <f>ROUND(SUMIFS(BS_RE33!$H$7:$H$874,BS_RE33!$S$7:$S$874,$BK$2,BS_RE33!$N$7:$N$874,I43,BS_RE33!$P$7:$P$874,'30 days CF Table(ALL)'!G43),2)</f>
        <v>0</v>
      </c>
    </row>
    <row r="44" spans="3:63">
      <c r="C44" s="1029"/>
      <c r="D44" s="1038" t="s">
        <v>766</v>
      </c>
      <c r="E44" s="105" t="s">
        <v>582</v>
      </c>
      <c r="F44" s="309"/>
      <c r="G44" s="392" t="s">
        <v>587</v>
      </c>
      <c r="H44" s="314">
        <v>1</v>
      </c>
      <c r="I44" s="315" t="s">
        <v>80</v>
      </c>
      <c r="J44" s="479">
        <f t="shared" si="3"/>
        <v>0</v>
      </c>
      <c r="K44" s="336">
        <f t="shared" si="5"/>
        <v>0</v>
      </c>
      <c r="L44" s="339">
        <f>ROUND(SUMIFS(BS_RE33!$H$7:$H$874,BS_RE33!$S$7:$S$874,$L$2,BS_RE33!$N$7:$N$874,I44,BS_RE33!$P$7:$P$874,'30 days CF Table(ALL)'!G44),2)</f>
        <v>0</v>
      </c>
      <c r="M44" s="339">
        <f>ROUND(SUMIFS(BS_RE33!$H$7:$H$874,BS_RE33!$S$7:$S$874,$M$2,BS_RE33!$N$7:$N$874,I44,BS_RE33!$P$7:$P$874,'30 days CF Table(ALL)'!G44),2)</f>
        <v>0</v>
      </c>
      <c r="N44" s="339">
        <f>ROUND(SUMIFS(BS_RE33!$H$7:$H$874,BS_RE33!$S$7:$S$874,$N$2,BS_RE33!$N$7:$N$874,I44,BS_RE33!$P$7:$P$874,'30 days CF Table(ALL)'!G44),2)</f>
        <v>0</v>
      </c>
      <c r="O44" s="339">
        <f>ROUND(SUMIFS(BS_RE33!$H$7:$H$874,BS_RE33!$S$7:$S$874,$O$2,BS_RE33!$N$7:$N$874,I44,BS_RE33!$P$7:$P$874,'30 days CF Table(ALL)'!G44),2)</f>
        <v>0</v>
      </c>
      <c r="P44" s="339">
        <f>ROUND(SUMIFS(BS_RE33!$H$7:$H$874,BS_RE33!$S$7:$S$874,$P$2,BS_RE33!$N$7:$N$874,I44,BS_RE33!$P$7:$P$874,'30 days CF Table(ALL)'!G44),2)</f>
        <v>0</v>
      </c>
      <c r="Q44" s="339">
        <f>ROUND(SUMIFS(BS_RE33!$H$7:$H$874,BS_RE33!$S$7:$S$874,$Q$2,BS_RE33!$N$7:$N$874,I44,BS_RE33!$P$7:$P$874,'30 days CF Table(ALL)'!G44),2)</f>
        <v>0</v>
      </c>
      <c r="R44" s="339">
        <f>ROUND(SUMIFS(BS_RE33!$H$7:$H$874,BS_RE33!$S$7:$S$874,$R$2,BS_RE33!$N$7:$N$874,I44,BS_RE33!$P$7:$P$874,'30 days CF Table(ALL)'!G44),2)</f>
        <v>0</v>
      </c>
      <c r="S44" s="339">
        <f>ROUND(SUMIFS(BS_RE33!$H$7:$H$874,BS_RE33!$S$7:$S$874,$S$2,BS_RE33!$N$7:$N$874,I44,BS_RE33!$P$7:$P$874,'30 days CF Table(ALL)'!G44),2)</f>
        <v>0</v>
      </c>
      <c r="T44" s="339">
        <f>ROUND(SUMIFS(BS_RE33!$H$7:$H$874,BS_RE33!$S$7:$S$874,$T$2,BS_RE33!$N$7:$N$874,I44,BS_RE33!$P$7:$P$874,'30 days CF Table(ALL)'!G44),2)</f>
        <v>0</v>
      </c>
      <c r="U44" s="339">
        <f>ROUND(SUMIFS(BS_RE33!$H$7:$H$874,BS_RE33!$S$7:$S$874,$U$2,BS_RE33!$N$7:$N$874,I44,BS_RE33!$P$7:$P$874,'30 days CF Table(ALL)'!G44),2)</f>
        <v>0</v>
      </c>
      <c r="V44" s="339">
        <f>ROUND(SUMIFS(BS_RE33!$H$7:$H$874,BS_RE33!$S$7:$S$874,$V$2,BS_RE33!$N$7:$N$874,I44,BS_RE33!$P$7:$P$874,'30 days CF Table(ALL)'!G44),2)</f>
        <v>0</v>
      </c>
      <c r="W44" s="339">
        <f>ROUND(SUMIFS(BS_RE33!$H$7:$H$874,BS_RE33!$S$7:$S$874,$W$2,BS_RE33!$N$7:$N$874,I44,BS_RE33!$P$7:$P$874,'30 days CF Table(ALL)'!G44),2)</f>
        <v>0</v>
      </c>
      <c r="X44" s="339">
        <f>ROUND(SUMIFS(BS_RE33!$H$7:$H$874,BS_RE33!$S$7:$S$874,$X$2,BS_RE33!$N$7:$N$874,I44,BS_RE33!$P$7:$P$874,'30 days CF Table(ALL)'!G44),2)</f>
        <v>0</v>
      </c>
      <c r="Y44" s="339">
        <f>ROUND(SUMIFS(BS_RE33!$H$7:$H$874,BS_RE33!$S$7:$S$874,$Y$2,BS_RE33!$N$7:$N$874,I44,BS_RE33!$P$7:$P$874,'30 days CF Table(ALL)'!G44),2)</f>
        <v>0</v>
      </c>
      <c r="Z44" s="339">
        <f>ROUND(SUMIFS(BS_RE33!$H$7:$H$874,BS_RE33!$S$7:$S$874,$Z$2,BS_RE33!$N$7:$N$874,I44,BS_RE33!$P$7:$P$874,'30 days CF Table(ALL)'!G44),2)</f>
        <v>0</v>
      </c>
      <c r="AA44" s="339">
        <f>ROUND(SUMIFS(BS_RE33!$H$7:$H$874,BS_RE33!$S$7:$S$874,$AA$2,BS_RE33!$N$7:$N$874,I44,BS_RE33!$P$7:$P$874,'30 days CF Table(ALL)'!G44),2)</f>
        <v>0</v>
      </c>
      <c r="AB44" s="339">
        <f>ROUND(SUMIFS(BS_RE33!$H$7:$H$874,BS_RE33!$S$7:$S$874,$AB$2,BS_RE33!$N$7:$N$874,I44,BS_RE33!$P$7:$P$874,'30 days CF Table(ALL)'!G44),2)</f>
        <v>0</v>
      </c>
      <c r="AC44" s="339">
        <f>ROUND(SUMIFS(BS_RE33!$H$7:$H$874,BS_RE33!$S$7:$S$874,$AC$2,BS_RE33!$N$7:$N$874,I44,BS_RE33!$P$7:$P$874,'30 days CF Table(ALL)'!G44),2)</f>
        <v>0</v>
      </c>
      <c r="AD44" s="339">
        <f>ROUND(SUMIFS(BS_RE33!$H$7:$H$874,BS_RE33!$S$7:$S$874,$AD$2,BS_RE33!$N$7:$N$874,I44,BS_RE33!$P$7:$P$874,'30 days CF Table(ALL)'!G44),2)</f>
        <v>0</v>
      </c>
      <c r="AE44" s="339">
        <f>ROUND(SUMIFS(BS_RE33!$H$7:$H$874,BS_RE33!$S$7:$S$874,$AE$2,BS_RE33!$N$7:$N$874,I44,BS_RE33!$P$7:$P$874,'30 days CF Table(ALL)'!G44),2)</f>
        <v>0</v>
      </c>
      <c r="AF44" s="339">
        <f>ROUND(SUMIFS(BS_RE33!$H$7:$H$874,BS_RE33!$S$7:$S$874,$AF$2,BS_RE33!$N$7:$N$874,I44,BS_RE33!$P$7:$P$874,'30 days CF Table(ALL)'!G44),2)</f>
        <v>0</v>
      </c>
      <c r="AG44" s="339">
        <f>ROUND(SUMIFS(BS_RE33!$H$7:$H$874,BS_RE33!$S$7:$S$874,$AG$2,BS_RE33!$N$7:$N$874,I44,BS_RE33!$P$7:$P$874,'30 days CF Table(ALL)'!G44),2)</f>
        <v>0</v>
      </c>
      <c r="AH44" s="339">
        <f>ROUND(SUMIFS(BS_RE33!$H$7:$H$874,BS_RE33!$S$7:$S$874,$AH$2,BS_RE33!$N$7:$N$874,I44,BS_RE33!$P$7:$P$874,'30 days CF Table(ALL)'!G44),2)</f>
        <v>0</v>
      </c>
      <c r="AI44" s="339">
        <f>ROUND(SUMIFS(BS_RE33!$H$7:$H$874,BS_RE33!$S$7:$S$874,$AI$2,BS_RE33!$N$7:$N$874,I44,BS_RE33!$P$7:$P$874,'30 days CF Table(ALL)'!G44),2)</f>
        <v>0</v>
      </c>
      <c r="AJ44" s="339">
        <f>ROUND(SUMIFS(BS_RE33!$H$7:$H$874,BS_RE33!$S$7:$S$874,$AJ$2,BS_RE33!$N$7:$N$874,I44,BS_RE33!$P$7:$P$874,'30 days CF Table(ALL)'!G44),2)</f>
        <v>0</v>
      </c>
      <c r="AK44" s="339">
        <f>ROUND(SUMIFS(BS_RE33!$H$7:$H$874,BS_RE33!$S$7:$S$874,$AK$2,BS_RE33!$N$7:$N$874,I44,BS_RE33!$P$7:$P$874,'30 days CF Table(ALL)'!G44),2)</f>
        <v>0</v>
      </c>
      <c r="AL44" s="339">
        <f>ROUND(SUMIFS(BS_RE33!$H$7:$H$874,BS_RE33!$S$7:$S$874,$AL$2,BS_RE33!$N$7:$N$874,I44,BS_RE33!$P$7:$P$874,'30 days CF Table(ALL)'!G44),2)</f>
        <v>0</v>
      </c>
      <c r="AM44" s="339">
        <f>ROUND(SUMIFS(BS_RE33!$H$7:$H$874,BS_RE33!$S$7:$S$874,$AM$2,BS_RE33!$N$7:$N$874,I44,BS_RE33!$P$7:$P$874,'30 days CF Table(ALL)'!G44),2)</f>
        <v>0</v>
      </c>
      <c r="AN44" s="339">
        <f>ROUND(SUMIFS(BS_RE33!$H$7:$H$874,BS_RE33!$S$7:$S$874,$AN$2,BS_RE33!$N$7:$N$874,I44,BS_RE33!$P$7:$P$874,'30 days CF Table(ALL)'!G44),2)</f>
        <v>0</v>
      </c>
      <c r="AO44" s="339">
        <f>ROUND(SUMIFS(BS_RE33!$H$7:$H$874,BS_RE33!$S$7:$S$874,$AO$2,BS_RE33!$N$7:$N$874,I44,BS_RE33!$P$7:$P$874,'30 days CF Table(ALL)'!G44),2)</f>
        <v>0</v>
      </c>
      <c r="AP44" s="340">
        <f>ROUND(SUMIFS(BS_RE33!$H$7:$H$874,BS_RE33!$S$7:$S$874,$AP$2,BS_RE33!$N$7:$N$874,I44,BS_RE33!$P$7:$P$874,'30 days CF Table(ALL)'!G44),2)</f>
        <v>0</v>
      </c>
      <c r="AR44" s="381">
        <f>ROUND(SUMIFS(BS_RE33!$H$7:$H$874,BS_RE33!$S$7:$S$874,$AR$2,BS_RE33!$N$7:$N$874,I44,BS_RE33!$P$7:$P$874,'30 days CF Table(ALL)'!G44),2)</f>
        <v>0</v>
      </c>
      <c r="AS44" s="381">
        <f>ROUND(SUMIFS(BS_RE33!$H$7:$H$874,BS_RE33!$S$7:$S$874,$AS$2,BS_RE33!$N$7:$N$874,I44,BS_RE33!$P$7:$P$874,'30 days CF Table(ALL)'!G44),2)</f>
        <v>0</v>
      </c>
      <c r="AT44" s="381">
        <f>ROUND(SUMIFS(BS_RE33!$H$7:$H$874,BS_RE33!$S$7:$S$874,$AT$2,BS_RE33!$N$7:$N$874,I44,BS_RE33!$P$7:$P$874,'30 days CF Table(ALL)'!G44),2)</f>
        <v>0</v>
      </c>
      <c r="AU44" s="381">
        <f>ROUND(SUMIFS(BS_RE33!$H$7:$H$874,BS_RE33!$S$7:$S$874,$AU$2,BS_RE33!$N$7:$N$874,I44,BS_RE33!$P$7:$P$874,'30 days CF Table(ALL)'!G44),2)</f>
        <v>0</v>
      </c>
      <c r="AV44" s="381">
        <f>ROUND(SUMIFS(BS_RE33!$H$7:$H$874,BS_RE33!$S$7:$S$874,$AV$2,BS_RE33!$N$7:$N$874,I44,BS_RE33!$P$7:$P$874,'30 days CF Table(ALL)'!G44),2)</f>
        <v>0</v>
      </c>
      <c r="AW44" s="381">
        <f>ROUND(SUMIFS(BS_RE33!$H$7:$H$874,BS_RE33!$S$7:$S$874,$AW$2,BS_RE33!$N$7:$N$874,I44,BS_RE33!$P$7:$P$874,'30 days CF Table(ALL)'!G44),2)</f>
        <v>0</v>
      </c>
      <c r="AX44" s="381">
        <f>ROUND(SUMIFS(BS_RE33!$H$7:$H$874,BS_RE33!$S$7:$S$874,$AX$2,BS_RE33!$N$7:$N$874,I44,BS_RE33!$P$7:$P$874,'30 days CF Table(ALL)'!G44),2)</f>
        <v>0</v>
      </c>
      <c r="AY44" s="381">
        <f>ROUND(SUMIFS(BS_RE33!$H$7:$H$874,BS_RE33!$S$7:$S$874,$AY$2,BS_RE33!$N$7:$N$874,I44,BS_RE33!$P$7:$P$874,'30 days CF Table(ALL)'!G44),2)</f>
        <v>0</v>
      </c>
      <c r="AZ44" s="381">
        <f>ROUND(SUMIFS(BS_RE33!$H$7:$H$874,BS_RE33!$S$7:$S$874,$AZ$2,BS_RE33!$N$7:$N$874,I44,BS_RE33!$P$7:$P$874,'30 days CF Table(ALL)'!G44),2)</f>
        <v>0</v>
      </c>
      <c r="BA44" s="381">
        <f>ROUND(SUMIFS(BS_RE33!$H$7:$H$874,BS_RE33!$S$7:$S$874,$BA$2,BS_RE33!$N$7:$N$874,I44,BS_RE33!$P$7:$P$874,'30 days CF Table(ALL)'!G44),2)</f>
        <v>0</v>
      </c>
      <c r="BB44" s="381">
        <f>ROUND(SUMIFS(BS_RE33!$H$7:$H$874,BS_RE33!$S$7:$S$874,$BB$2,BS_RE33!$N$7:$N$874,I44,BS_RE33!$P$7:$P$874,'30 days CF Table(ALL)'!G44),2)</f>
        <v>0</v>
      </c>
      <c r="BC44" s="381">
        <f>ROUND(SUMIFS(BS_RE33!$H$7:$H$874,BS_RE33!$S$7:$S$874,$BC$2,BS_RE33!$N$7:$N$874,I44,BS_RE33!$P$7:$P$874,'30 days CF Table(ALL)'!G44),2)</f>
        <v>0</v>
      </c>
      <c r="BD44" s="381">
        <f>ROUND(SUMIFS(BS_RE33!$H$7:$H$874,BS_RE33!$S$7:$S$874,$BD$2,BS_RE33!$N$7:$N$874,I44,BS_RE33!$P$7:$P$874,'30 days CF Table(ALL)'!G44),2)</f>
        <v>0</v>
      </c>
      <c r="BE44" s="381">
        <f>ROUND(SUMIFS(BS_RE33!$H$7:$H$874,BS_RE33!$S$7:$S$874,$BE$2,BS_RE33!$N$7:$N$874,I44,BS_RE33!$P$7:$P$874,'30 days CF Table(ALL)'!G44),2)</f>
        <v>0</v>
      </c>
      <c r="BF44" s="381">
        <f>ROUND(SUMIFS(BS_RE33!$H$7:$H$874,BS_RE33!$S$7:$S$874,$BF$2,BS_RE33!$N$7:$N$874,I44,BS_RE33!$P$7:$P$874,'30 days CF Table(ALL)'!G44),2)</f>
        <v>0</v>
      </c>
      <c r="BG44" s="381">
        <f>ROUND(SUMIFS(BS_RE33!$H$7:$H$874,BS_RE33!$S$7:$S$874,$BG$2,BS_RE33!$N$7:$N$874,I44,BS_RE33!$P$7:$P$874,'30 days CF Table(ALL)'!G44),2)</f>
        <v>0</v>
      </c>
      <c r="BH44" s="381">
        <f>ROUND(SUMIFS(BS_RE33!$H$7:$H$874,BS_RE33!$S$7:$S$874,$BH$2,BS_RE33!$N$7:$N$874,I44,BS_RE33!$P$7:$P$874,'30 days CF Table(ALL)'!G44),2)</f>
        <v>0</v>
      </c>
      <c r="BI44" s="381">
        <f>ROUND(SUMIFS(BS_RE33!$H$7:$H$874,BS_RE33!$S$7:$S$874,$BI$2,BS_RE33!$N$7:$N$874,I44,BS_RE33!$P$7:$P$874,'30 days CF Table(ALL)'!G44),2)</f>
        <v>0</v>
      </c>
      <c r="BJ44" s="381">
        <f>ROUND(SUMIFS(BS_RE33!$H$7:$H$874,BS_RE33!$S$7:$S$874,$BJ$2,BS_RE33!$N$7:$N$874,I44,BS_RE33!$P$7:$P$874,'30 days CF Table(ALL)'!G44),2)</f>
        <v>0</v>
      </c>
      <c r="BK44" s="381">
        <f>ROUND(SUMIFS(BS_RE33!$H$7:$H$874,BS_RE33!$S$7:$S$874,$BK$2,BS_RE33!$N$7:$N$874,I44,BS_RE33!$P$7:$P$874,'30 days CF Table(ALL)'!G44),2)</f>
        <v>0</v>
      </c>
    </row>
    <row r="45" spans="3:63">
      <c r="C45" s="1029"/>
      <c r="D45" s="1039"/>
      <c r="E45" s="105" t="s">
        <v>569</v>
      </c>
      <c r="F45" s="309"/>
      <c r="G45" s="392" t="s">
        <v>571</v>
      </c>
      <c r="H45" s="314">
        <v>1</v>
      </c>
      <c r="I45" s="315" t="s">
        <v>80</v>
      </c>
      <c r="J45" s="479">
        <f t="shared" si="3"/>
        <v>0</v>
      </c>
      <c r="K45" s="336">
        <f t="shared" si="5"/>
        <v>0</v>
      </c>
      <c r="L45" s="339">
        <f>ROUND(SUMIFS(BS_RE33!$H$7:$H$874,BS_RE33!$S$7:$S$874,$L$2,BS_RE33!$N$7:$N$874,I45,BS_RE33!$P$7:$P$874,'30 days CF Table(ALL)'!G45),2)</f>
        <v>0</v>
      </c>
      <c r="M45" s="339">
        <f>ROUND(SUMIFS(BS_RE33!$H$7:$H$874,BS_RE33!$S$7:$S$874,$M$2,BS_RE33!$N$7:$N$874,I45,BS_RE33!$P$7:$P$874,'30 days CF Table(ALL)'!G45),2)</f>
        <v>0</v>
      </c>
      <c r="N45" s="339">
        <f>ROUND(SUMIFS(BS_RE33!$H$7:$H$874,BS_RE33!$S$7:$S$874,$N$2,BS_RE33!$N$7:$N$874,I45,BS_RE33!$P$7:$P$874,'30 days CF Table(ALL)'!G45),2)</f>
        <v>0</v>
      </c>
      <c r="O45" s="339">
        <f>ROUND(SUMIFS(BS_RE33!$H$7:$H$874,BS_RE33!$S$7:$S$874,$O$2,BS_RE33!$N$7:$N$874,I45,BS_RE33!$P$7:$P$874,'30 days CF Table(ALL)'!G45),2)</f>
        <v>0</v>
      </c>
      <c r="P45" s="339">
        <f>ROUND(SUMIFS(BS_RE33!$H$7:$H$874,BS_RE33!$S$7:$S$874,$P$2,BS_RE33!$N$7:$N$874,I45,BS_RE33!$P$7:$P$874,'30 days CF Table(ALL)'!G45),2)</f>
        <v>0</v>
      </c>
      <c r="Q45" s="339">
        <f>ROUND(SUMIFS(BS_RE33!$H$7:$H$874,BS_RE33!$S$7:$S$874,$Q$2,BS_RE33!$N$7:$N$874,I45,BS_RE33!$P$7:$P$874,'30 days CF Table(ALL)'!G45),2)</f>
        <v>0</v>
      </c>
      <c r="R45" s="339">
        <f>ROUND(SUMIFS(BS_RE33!$H$7:$H$874,BS_RE33!$S$7:$S$874,$R$2,BS_RE33!$N$7:$N$874,I45,BS_RE33!$P$7:$P$874,'30 days CF Table(ALL)'!G45),2)</f>
        <v>0</v>
      </c>
      <c r="S45" s="339">
        <f>ROUND(SUMIFS(BS_RE33!$H$7:$H$874,BS_RE33!$S$7:$S$874,$S$2,BS_RE33!$N$7:$N$874,I45,BS_RE33!$P$7:$P$874,'30 days CF Table(ALL)'!G45),2)</f>
        <v>0</v>
      </c>
      <c r="T45" s="339">
        <f>ROUND(SUMIFS(BS_RE33!$H$7:$H$874,BS_RE33!$S$7:$S$874,$T$2,BS_RE33!$N$7:$N$874,I45,BS_RE33!$P$7:$P$874,'30 days CF Table(ALL)'!G45),2)</f>
        <v>0</v>
      </c>
      <c r="U45" s="339">
        <f>ROUND(SUMIFS(BS_RE33!$H$7:$H$874,BS_RE33!$S$7:$S$874,$U$2,BS_RE33!$N$7:$N$874,I45,BS_RE33!$P$7:$P$874,'30 days CF Table(ALL)'!G45),2)</f>
        <v>0</v>
      </c>
      <c r="V45" s="339">
        <f>ROUND(SUMIFS(BS_RE33!$H$7:$H$874,BS_RE33!$S$7:$S$874,$V$2,BS_RE33!$N$7:$N$874,I45,BS_RE33!$P$7:$P$874,'30 days CF Table(ALL)'!G45),2)</f>
        <v>0</v>
      </c>
      <c r="W45" s="339">
        <f>ROUND(SUMIFS(BS_RE33!$H$7:$H$874,BS_RE33!$S$7:$S$874,$W$2,BS_RE33!$N$7:$N$874,I45,BS_RE33!$P$7:$P$874,'30 days CF Table(ALL)'!G45),2)</f>
        <v>0</v>
      </c>
      <c r="X45" s="339">
        <f>ROUND(SUMIFS(BS_RE33!$H$7:$H$874,BS_RE33!$S$7:$S$874,$X$2,BS_RE33!$N$7:$N$874,I45,BS_RE33!$P$7:$P$874,'30 days CF Table(ALL)'!G45),2)</f>
        <v>0</v>
      </c>
      <c r="Y45" s="339">
        <f>ROUND(SUMIFS(BS_RE33!$H$7:$H$874,BS_RE33!$S$7:$S$874,$Y$2,BS_RE33!$N$7:$N$874,I45,BS_RE33!$P$7:$P$874,'30 days CF Table(ALL)'!G45),2)</f>
        <v>0</v>
      </c>
      <c r="Z45" s="339">
        <f>ROUND(SUMIFS(BS_RE33!$H$7:$H$874,BS_RE33!$S$7:$S$874,$Z$2,BS_RE33!$N$7:$N$874,I45,BS_RE33!$P$7:$P$874,'30 days CF Table(ALL)'!G45),2)</f>
        <v>0</v>
      </c>
      <c r="AA45" s="339">
        <f>ROUND(SUMIFS(BS_RE33!$H$7:$H$874,BS_RE33!$S$7:$S$874,$AA$2,BS_RE33!$N$7:$N$874,I45,BS_RE33!$P$7:$P$874,'30 days CF Table(ALL)'!G45),2)</f>
        <v>0</v>
      </c>
      <c r="AB45" s="339">
        <f>ROUND(SUMIFS(BS_RE33!$H$7:$H$874,BS_RE33!$S$7:$S$874,$AB$2,BS_RE33!$N$7:$N$874,I45,BS_RE33!$P$7:$P$874,'30 days CF Table(ALL)'!G45),2)</f>
        <v>0</v>
      </c>
      <c r="AC45" s="339">
        <f>ROUND(SUMIFS(BS_RE33!$H$7:$H$874,BS_RE33!$S$7:$S$874,$AC$2,BS_RE33!$N$7:$N$874,I45,BS_RE33!$P$7:$P$874,'30 days CF Table(ALL)'!G45),2)</f>
        <v>0</v>
      </c>
      <c r="AD45" s="339">
        <f>ROUND(SUMIFS(BS_RE33!$H$7:$H$874,BS_RE33!$S$7:$S$874,$AD$2,BS_RE33!$N$7:$N$874,I45,BS_RE33!$P$7:$P$874,'30 days CF Table(ALL)'!G45),2)</f>
        <v>0</v>
      </c>
      <c r="AE45" s="339">
        <f>ROUND(SUMIFS(BS_RE33!$H$7:$H$874,BS_RE33!$S$7:$S$874,$AE$2,BS_RE33!$N$7:$N$874,I45,BS_RE33!$P$7:$P$874,'30 days CF Table(ALL)'!G45),2)</f>
        <v>0</v>
      </c>
      <c r="AF45" s="339">
        <f>ROUND(SUMIFS(BS_RE33!$H$7:$H$874,BS_RE33!$S$7:$S$874,$AF$2,BS_RE33!$N$7:$N$874,I45,BS_RE33!$P$7:$P$874,'30 days CF Table(ALL)'!G45),2)</f>
        <v>0</v>
      </c>
      <c r="AG45" s="339">
        <f>ROUND(SUMIFS(BS_RE33!$H$7:$H$874,BS_RE33!$S$7:$S$874,$AG$2,BS_RE33!$N$7:$N$874,I45,BS_RE33!$P$7:$P$874,'30 days CF Table(ALL)'!G45),2)</f>
        <v>0</v>
      </c>
      <c r="AH45" s="339">
        <f>ROUND(SUMIFS(BS_RE33!$H$7:$H$874,BS_RE33!$S$7:$S$874,$AH$2,BS_RE33!$N$7:$N$874,I45,BS_RE33!$P$7:$P$874,'30 days CF Table(ALL)'!G45),2)</f>
        <v>0</v>
      </c>
      <c r="AI45" s="339">
        <f>ROUND(SUMIFS(BS_RE33!$H$7:$H$874,BS_RE33!$S$7:$S$874,$AI$2,BS_RE33!$N$7:$N$874,I45,BS_RE33!$P$7:$P$874,'30 days CF Table(ALL)'!G45),2)</f>
        <v>0</v>
      </c>
      <c r="AJ45" s="339">
        <f>ROUND(SUMIFS(BS_RE33!$H$7:$H$874,BS_RE33!$S$7:$S$874,$AJ$2,BS_RE33!$N$7:$N$874,I45,BS_RE33!$P$7:$P$874,'30 days CF Table(ALL)'!G45),2)</f>
        <v>0</v>
      </c>
      <c r="AK45" s="339">
        <f>ROUND(SUMIFS(BS_RE33!$H$7:$H$874,BS_RE33!$S$7:$S$874,$AK$2,BS_RE33!$N$7:$N$874,I45,BS_RE33!$P$7:$P$874,'30 days CF Table(ALL)'!G45),2)</f>
        <v>0</v>
      </c>
      <c r="AL45" s="339">
        <f>ROUND(SUMIFS(BS_RE33!$H$7:$H$874,BS_RE33!$S$7:$S$874,$AL$2,BS_RE33!$N$7:$N$874,I45,BS_RE33!$P$7:$P$874,'30 days CF Table(ALL)'!G45),2)</f>
        <v>0</v>
      </c>
      <c r="AM45" s="339">
        <f>ROUND(SUMIFS(BS_RE33!$H$7:$H$874,BS_RE33!$S$7:$S$874,$AM$2,BS_RE33!$N$7:$N$874,I45,BS_RE33!$P$7:$P$874,'30 days CF Table(ALL)'!G45),2)</f>
        <v>0</v>
      </c>
      <c r="AN45" s="339">
        <f>ROUND(SUMIFS(BS_RE33!$H$7:$H$874,BS_RE33!$S$7:$S$874,$AN$2,BS_RE33!$N$7:$N$874,I45,BS_RE33!$P$7:$P$874,'30 days CF Table(ALL)'!G45),2)</f>
        <v>0</v>
      </c>
      <c r="AO45" s="339">
        <f>ROUND(SUMIFS(BS_RE33!$H$7:$H$874,BS_RE33!$S$7:$S$874,$AO$2,BS_RE33!$N$7:$N$874,I45,BS_RE33!$P$7:$P$874,'30 days CF Table(ALL)'!G45),2)</f>
        <v>0</v>
      </c>
      <c r="AP45" s="340">
        <f>ROUND(SUMIFS(BS_RE33!$H$7:$H$874,BS_RE33!$S$7:$S$874,$AP$2,BS_RE33!$N$7:$N$874,I45,BS_RE33!$P$7:$P$874,'30 days CF Table(ALL)'!G45),2)</f>
        <v>0</v>
      </c>
      <c r="AR45" s="381">
        <f>ROUND(SUMIFS(BS_RE33!$H$7:$H$874,BS_RE33!$S$7:$S$874,$AR$2,BS_RE33!$N$7:$N$874,I45,BS_RE33!$P$7:$P$874,'30 days CF Table(ALL)'!G45),2)</f>
        <v>0</v>
      </c>
      <c r="AS45" s="381">
        <f>ROUND(SUMIFS(BS_RE33!$H$7:$H$874,BS_RE33!$S$7:$S$874,$AS$2,BS_RE33!$N$7:$N$874,I45,BS_RE33!$P$7:$P$874,'30 days CF Table(ALL)'!G45),2)</f>
        <v>0</v>
      </c>
      <c r="AT45" s="381">
        <f>ROUND(SUMIFS(BS_RE33!$H$7:$H$874,BS_RE33!$S$7:$S$874,$AT$2,BS_RE33!$N$7:$N$874,I45,BS_RE33!$P$7:$P$874,'30 days CF Table(ALL)'!G45),2)</f>
        <v>0</v>
      </c>
      <c r="AU45" s="381">
        <f>ROUND(SUMIFS(BS_RE33!$H$7:$H$874,BS_RE33!$S$7:$S$874,$AU$2,BS_RE33!$N$7:$N$874,I45,BS_RE33!$P$7:$P$874,'30 days CF Table(ALL)'!G45),2)</f>
        <v>0</v>
      </c>
      <c r="AV45" s="381">
        <f>ROUND(SUMIFS(BS_RE33!$H$7:$H$874,BS_RE33!$S$7:$S$874,$AV$2,BS_RE33!$N$7:$N$874,I45,BS_RE33!$P$7:$P$874,'30 days CF Table(ALL)'!G45),2)</f>
        <v>0</v>
      </c>
      <c r="AW45" s="381">
        <f>ROUND(SUMIFS(BS_RE33!$H$7:$H$874,BS_RE33!$S$7:$S$874,$AW$2,BS_RE33!$N$7:$N$874,I45,BS_RE33!$P$7:$P$874,'30 days CF Table(ALL)'!G45),2)</f>
        <v>0</v>
      </c>
      <c r="AX45" s="381">
        <f>ROUND(SUMIFS(BS_RE33!$H$7:$H$874,BS_RE33!$S$7:$S$874,$AX$2,BS_RE33!$N$7:$N$874,I45,BS_RE33!$P$7:$P$874,'30 days CF Table(ALL)'!G45),2)</f>
        <v>0</v>
      </c>
      <c r="AY45" s="381">
        <f>ROUND(SUMIFS(BS_RE33!$H$7:$H$874,BS_RE33!$S$7:$S$874,$AY$2,BS_RE33!$N$7:$N$874,I45,BS_RE33!$P$7:$P$874,'30 days CF Table(ALL)'!G45),2)</f>
        <v>0</v>
      </c>
      <c r="AZ45" s="381">
        <f>ROUND(SUMIFS(BS_RE33!$H$7:$H$874,BS_RE33!$S$7:$S$874,$AZ$2,BS_RE33!$N$7:$N$874,I45,BS_RE33!$P$7:$P$874,'30 days CF Table(ALL)'!G45),2)</f>
        <v>0</v>
      </c>
      <c r="BA45" s="381">
        <f>ROUND(SUMIFS(BS_RE33!$H$7:$H$874,BS_RE33!$S$7:$S$874,$BA$2,BS_RE33!$N$7:$N$874,I45,BS_RE33!$P$7:$P$874,'30 days CF Table(ALL)'!G45),2)</f>
        <v>0</v>
      </c>
      <c r="BB45" s="381">
        <f>ROUND(SUMIFS(BS_RE33!$H$7:$H$874,BS_RE33!$S$7:$S$874,$BB$2,BS_RE33!$N$7:$N$874,I45,BS_RE33!$P$7:$P$874,'30 days CF Table(ALL)'!G45),2)</f>
        <v>0</v>
      </c>
      <c r="BC45" s="381">
        <f>ROUND(SUMIFS(BS_RE33!$H$7:$H$874,BS_RE33!$S$7:$S$874,$BC$2,BS_RE33!$N$7:$N$874,I45,BS_RE33!$P$7:$P$874,'30 days CF Table(ALL)'!G45),2)</f>
        <v>0</v>
      </c>
      <c r="BD45" s="381">
        <f>ROUND(SUMIFS(BS_RE33!$H$7:$H$874,BS_RE33!$S$7:$S$874,$BD$2,BS_RE33!$N$7:$N$874,I45,BS_RE33!$P$7:$P$874,'30 days CF Table(ALL)'!G45),2)</f>
        <v>0</v>
      </c>
      <c r="BE45" s="381">
        <f>ROUND(SUMIFS(BS_RE33!$H$7:$H$874,BS_RE33!$S$7:$S$874,$BE$2,BS_RE33!$N$7:$N$874,I45,BS_RE33!$P$7:$P$874,'30 days CF Table(ALL)'!G45),2)</f>
        <v>0</v>
      </c>
      <c r="BF45" s="381">
        <f>ROUND(SUMIFS(BS_RE33!$H$7:$H$874,BS_RE33!$S$7:$S$874,$BF$2,BS_RE33!$N$7:$N$874,I45,BS_RE33!$P$7:$P$874,'30 days CF Table(ALL)'!G45),2)</f>
        <v>0</v>
      </c>
      <c r="BG45" s="381">
        <f>ROUND(SUMIFS(BS_RE33!$H$7:$H$874,BS_RE33!$S$7:$S$874,$BG$2,BS_RE33!$N$7:$N$874,I45,BS_RE33!$P$7:$P$874,'30 days CF Table(ALL)'!G45),2)</f>
        <v>0</v>
      </c>
      <c r="BH45" s="381">
        <f>ROUND(SUMIFS(BS_RE33!$H$7:$H$874,BS_RE33!$S$7:$S$874,$BH$2,BS_RE33!$N$7:$N$874,I45,BS_RE33!$P$7:$P$874,'30 days CF Table(ALL)'!G45),2)</f>
        <v>0</v>
      </c>
      <c r="BI45" s="381">
        <f>ROUND(SUMIFS(BS_RE33!$H$7:$H$874,BS_RE33!$S$7:$S$874,$BI$2,BS_RE33!$N$7:$N$874,I45,BS_RE33!$P$7:$P$874,'30 days CF Table(ALL)'!G45),2)</f>
        <v>0</v>
      </c>
      <c r="BJ45" s="381">
        <f>ROUND(SUMIFS(BS_RE33!$H$7:$H$874,BS_RE33!$S$7:$S$874,$BJ$2,BS_RE33!$N$7:$N$874,I45,BS_RE33!$P$7:$P$874,'30 days CF Table(ALL)'!G45),2)</f>
        <v>0</v>
      </c>
      <c r="BK45" s="381">
        <f>ROUND(SUMIFS(BS_RE33!$H$7:$H$874,BS_RE33!$S$7:$S$874,$BK$2,BS_RE33!$N$7:$N$874,I45,BS_RE33!$P$7:$P$874,'30 days CF Table(ALL)'!G45),2)</f>
        <v>0</v>
      </c>
    </row>
    <row r="46" spans="3:63">
      <c r="C46" s="1029"/>
      <c r="D46" s="1039"/>
      <c r="E46" s="108" t="s">
        <v>90</v>
      </c>
      <c r="F46" s="309"/>
      <c r="G46" s="392" t="s">
        <v>527</v>
      </c>
      <c r="H46" s="168">
        <v>0</v>
      </c>
      <c r="I46" s="307" t="s">
        <v>167</v>
      </c>
      <c r="J46" s="478">
        <f t="shared" si="3"/>
        <v>0</v>
      </c>
      <c r="K46" s="547">
        <f t="shared" si="5"/>
        <v>0</v>
      </c>
      <c r="L46" s="548">
        <f>ROUND(SUMIFS(BS_RE33!$H$7:$H$874,BS_RE33!$S$7:$S$874,$L$2,BS_RE33!$N$7:$N$874,I46,BS_RE33!$P$7:$P$874,'30 days CF Table(ALL)'!G46),2)</f>
        <v>0</v>
      </c>
      <c r="M46" s="548">
        <f>ROUND(SUMIFS(BS_RE33!$H$7:$H$874,BS_RE33!$S$7:$S$874,$M$2,BS_RE33!$N$7:$N$874,I46,BS_RE33!$P$7:$P$874,'30 days CF Table(ALL)'!G46),2)</f>
        <v>0</v>
      </c>
      <c r="N46" s="548">
        <f>ROUND(SUMIFS(BS_RE33!$H$7:$H$874,BS_RE33!$S$7:$S$874,$N$2,BS_RE33!$N$7:$N$874,I46,BS_RE33!$P$7:$P$874,'30 days CF Table(ALL)'!G46),2)</f>
        <v>0</v>
      </c>
      <c r="O46" s="548">
        <f>ROUND(SUMIFS(BS_RE33!$H$7:$H$874,BS_RE33!$S$7:$S$874,$O$2,BS_RE33!$N$7:$N$874,I46,BS_RE33!$P$7:$P$874,'30 days CF Table(ALL)'!G46),2)</f>
        <v>0</v>
      </c>
      <c r="P46" s="548">
        <f>ROUND(SUMIFS(BS_RE33!$H$7:$H$874,BS_RE33!$S$7:$S$874,$P$2,BS_RE33!$N$7:$N$874,I46,BS_RE33!$P$7:$P$874,'30 days CF Table(ALL)'!G46),2)</f>
        <v>0</v>
      </c>
      <c r="Q46" s="548">
        <f>ROUND(SUMIFS(BS_RE33!$H$7:$H$874,BS_RE33!$S$7:$S$874,$Q$2,BS_RE33!$N$7:$N$874,I46,BS_RE33!$P$7:$P$874,'30 days CF Table(ALL)'!G46),2)</f>
        <v>0</v>
      </c>
      <c r="R46" s="548">
        <f>ROUND(SUMIFS(BS_RE33!$H$7:$H$874,BS_RE33!$S$7:$S$874,$R$2,BS_RE33!$N$7:$N$874,I46,BS_RE33!$P$7:$P$874,'30 days CF Table(ALL)'!G46),2)</f>
        <v>0</v>
      </c>
      <c r="S46" s="548">
        <f>ROUND(SUMIFS(BS_RE33!$H$7:$H$874,BS_RE33!$S$7:$S$874,$S$2,BS_RE33!$N$7:$N$874,I46,BS_RE33!$P$7:$P$874,'30 days CF Table(ALL)'!G46),2)</f>
        <v>0</v>
      </c>
      <c r="T46" s="548">
        <f>ROUND(SUMIFS(BS_RE33!$H$7:$H$874,BS_RE33!$S$7:$S$874,$T$2,BS_RE33!$N$7:$N$874,I46,BS_RE33!$P$7:$P$874,'30 days CF Table(ALL)'!G46),2)</f>
        <v>0</v>
      </c>
      <c r="U46" s="548">
        <f>ROUND(SUMIFS(BS_RE33!$H$7:$H$874,BS_RE33!$S$7:$S$874,$U$2,BS_RE33!$N$7:$N$874,I46,BS_RE33!$P$7:$P$874,'30 days CF Table(ALL)'!G46),2)</f>
        <v>0</v>
      </c>
      <c r="V46" s="548">
        <f>ROUND(SUMIFS(BS_RE33!$H$7:$H$874,BS_RE33!$S$7:$S$874,$V$2,BS_RE33!$N$7:$N$874,I46,BS_RE33!$P$7:$P$874,'30 days CF Table(ALL)'!G46),2)</f>
        <v>0</v>
      </c>
      <c r="W46" s="548">
        <f>ROUND(SUMIFS(BS_RE33!$H$7:$H$874,BS_RE33!$S$7:$S$874,$W$2,BS_RE33!$N$7:$N$874,I46,BS_RE33!$P$7:$P$874,'30 days CF Table(ALL)'!G46),2)</f>
        <v>0</v>
      </c>
      <c r="X46" s="548">
        <f>ROUND(SUMIFS(BS_RE33!$H$7:$H$874,BS_RE33!$S$7:$S$874,$X$2,BS_RE33!$N$7:$N$874,I46,BS_RE33!$P$7:$P$874,'30 days CF Table(ALL)'!G46),2)</f>
        <v>0</v>
      </c>
      <c r="Y46" s="548">
        <f>ROUND(SUMIFS(BS_RE33!$H$7:$H$874,BS_RE33!$S$7:$S$874,$Y$2,BS_RE33!$N$7:$N$874,I46,BS_RE33!$P$7:$P$874,'30 days CF Table(ALL)'!G46),2)</f>
        <v>0</v>
      </c>
      <c r="Z46" s="548">
        <f>ROUND(SUMIFS(BS_RE33!$H$7:$H$874,BS_RE33!$S$7:$S$874,$Z$2,BS_RE33!$N$7:$N$874,I46,BS_RE33!$P$7:$P$874,'30 days CF Table(ALL)'!G46),2)</f>
        <v>0</v>
      </c>
      <c r="AA46" s="548">
        <f>ROUND(SUMIFS(BS_RE33!$H$7:$H$874,BS_RE33!$S$7:$S$874,$AA$2,BS_RE33!$N$7:$N$874,I46,BS_RE33!$P$7:$P$874,'30 days CF Table(ALL)'!G46),2)</f>
        <v>0</v>
      </c>
      <c r="AB46" s="548">
        <f>ROUND(SUMIFS(BS_RE33!$H$7:$H$874,BS_RE33!$S$7:$S$874,$AB$2,BS_RE33!$N$7:$N$874,I46,BS_RE33!$P$7:$P$874,'30 days CF Table(ALL)'!G46),2)</f>
        <v>0</v>
      </c>
      <c r="AC46" s="548">
        <f>ROUND(SUMIFS(BS_RE33!$H$7:$H$874,BS_RE33!$S$7:$S$874,$AC$2,BS_RE33!$N$7:$N$874,I46,BS_RE33!$P$7:$P$874,'30 days CF Table(ALL)'!G46),2)</f>
        <v>0</v>
      </c>
      <c r="AD46" s="548">
        <f>ROUND(SUMIFS(BS_RE33!$H$7:$H$874,BS_RE33!$S$7:$S$874,$AD$2,BS_RE33!$N$7:$N$874,I46,BS_RE33!$P$7:$P$874,'30 days CF Table(ALL)'!G46),2)</f>
        <v>0</v>
      </c>
      <c r="AE46" s="548">
        <f>ROUND(SUMIFS(BS_RE33!$H$7:$H$874,BS_RE33!$S$7:$S$874,$AE$2,BS_RE33!$N$7:$N$874,I46,BS_RE33!$P$7:$P$874,'30 days CF Table(ALL)'!G46),2)</f>
        <v>0</v>
      </c>
      <c r="AF46" s="548">
        <f>ROUND(SUMIFS(BS_RE33!$H$7:$H$874,BS_RE33!$S$7:$S$874,$AF$2,BS_RE33!$N$7:$N$874,I46,BS_RE33!$P$7:$P$874,'30 days CF Table(ALL)'!G46),2)</f>
        <v>0</v>
      </c>
      <c r="AG46" s="548">
        <f>ROUND(SUMIFS(BS_RE33!$H$7:$H$874,BS_RE33!$S$7:$S$874,$AG$2,BS_RE33!$N$7:$N$874,I46,BS_RE33!$P$7:$P$874,'30 days CF Table(ALL)'!G46),2)</f>
        <v>0</v>
      </c>
      <c r="AH46" s="548">
        <f>ROUND(SUMIFS(BS_RE33!$H$7:$H$874,BS_RE33!$S$7:$S$874,$AH$2,BS_RE33!$N$7:$N$874,I46,BS_RE33!$P$7:$P$874,'30 days CF Table(ALL)'!G46),2)</f>
        <v>0</v>
      </c>
      <c r="AI46" s="548">
        <f>ROUND(SUMIFS(BS_RE33!$H$7:$H$874,BS_RE33!$S$7:$S$874,$AI$2,BS_RE33!$N$7:$N$874,I46,BS_RE33!$P$7:$P$874,'30 days CF Table(ALL)'!G46),2)</f>
        <v>0</v>
      </c>
      <c r="AJ46" s="548">
        <f>ROUND(SUMIFS(BS_RE33!$H$7:$H$874,BS_RE33!$S$7:$S$874,$AJ$2,BS_RE33!$N$7:$N$874,I46,BS_RE33!$P$7:$P$874,'30 days CF Table(ALL)'!G46),2)</f>
        <v>0</v>
      </c>
      <c r="AK46" s="548">
        <f>ROUND(SUMIFS(BS_RE33!$H$7:$H$874,BS_RE33!$S$7:$S$874,$AK$2,BS_RE33!$N$7:$N$874,I46,BS_RE33!$P$7:$P$874,'30 days CF Table(ALL)'!G46),2)</f>
        <v>0</v>
      </c>
      <c r="AL46" s="548">
        <f>ROUND(SUMIFS(BS_RE33!$H$7:$H$874,BS_RE33!$S$7:$S$874,$AL$2,BS_RE33!$N$7:$N$874,I46,BS_RE33!$P$7:$P$874,'30 days CF Table(ALL)'!G46),2)</f>
        <v>0</v>
      </c>
      <c r="AM46" s="548">
        <f>ROUND(SUMIFS(BS_RE33!$H$7:$H$874,BS_RE33!$S$7:$S$874,$AM$2,BS_RE33!$N$7:$N$874,I46,BS_RE33!$P$7:$P$874,'30 days CF Table(ALL)'!G46),2)</f>
        <v>0</v>
      </c>
      <c r="AN46" s="548">
        <f>ROUND(SUMIFS(BS_RE33!$H$7:$H$874,BS_RE33!$S$7:$S$874,$AN$2,BS_RE33!$N$7:$N$874,I46,BS_RE33!$P$7:$P$874,'30 days CF Table(ALL)'!G46),2)</f>
        <v>0</v>
      </c>
      <c r="AO46" s="548">
        <f>ROUND(SUMIFS(BS_RE33!$H$7:$H$874,BS_RE33!$S$7:$S$874,$AO$2,BS_RE33!$N$7:$N$874,I46,BS_RE33!$P$7:$P$874,'30 days CF Table(ALL)'!G46),2)</f>
        <v>0</v>
      </c>
      <c r="AP46" s="549">
        <f>ROUND(SUMIFS(BS_RE33!$H$7:$H$874,BS_RE33!$S$7:$S$874,$AP$2,BS_RE33!$N$7:$N$874,I46,BS_RE33!$P$7:$P$874,'30 days CF Table(ALL)'!G46),2)</f>
        <v>0</v>
      </c>
      <c r="AQ46" s="550"/>
      <c r="AR46" s="380">
        <f>ROUND(SUMIFS(BS_RE33!$H$7:$H$874,BS_RE33!$S$7:$S$874,$AR$2,BS_RE33!$N$7:$N$874,I46,BS_RE33!$P$7:$P$874,'30 days CF Table(ALL)'!G46),2)</f>
        <v>0</v>
      </c>
      <c r="AS46" s="380">
        <f>ROUND(SUMIFS(BS_RE33!$H$7:$H$874,BS_RE33!$S$7:$S$874,$AS$2,BS_RE33!$N$7:$N$874,I46,BS_RE33!$P$7:$P$874,'30 days CF Table(ALL)'!G46),2)</f>
        <v>0</v>
      </c>
      <c r="AT46" s="380">
        <f>ROUND(SUMIFS(BS_RE33!$H$7:$H$874,BS_RE33!$S$7:$S$874,$AT$2,BS_RE33!$N$7:$N$874,I46,BS_RE33!$P$7:$P$874,'30 days CF Table(ALL)'!G46),2)</f>
        <v>0</v>
      </c>
      <c r="AU46" s="380">
        <f>ROUND(SUMIFS(BS_RE33!$H$7:$H$874,BS_RE33!$S$7:$S$874,$AU$2,BS_RE33!$N$7:$N$874,I46,BS_RE33!$P$7:$P$874,'30 days CF Table(ALL)'!G46),2)</f>
        <v>0</v>
      </c>
      <c r="AV46" s="380">
        <f>ROUND(SUMIFS(BS_RE33!$H$7:$H$874,BS_RE33!$S$7:$S$874,$AV$2,BS_RE33!$N$7:$N$874,I46,BS_RE33!$P$7:$P$874,'30 days CF Table(ALL)'!G46),2)</f>
        <v>0</v>
      </c>
      <c r="AW46" s="380">
        <f>ROUND(SUMIFS(BS_RE33!$H$7:$H$874,BS_RE33!$S$7:$S$874,$AW$2,BS_RE33!$N$7:$N$874,I46,BS_RE33!$P$7:$P$874,'30 days CF Table(ALL)'!G46),2)</f>
        <v>0</v>
      </c>
      <c r="AX46" s="380">
        <f>ROUND(SUMIFS(BS_RE33!$H$7:$H$874,BS_RE33!$S$7:$S$874,$AX$2,BS_RE33!$N$7:$N$874,I46,BS_RE33!$P$7:$P$874,'30 days CF Table(ALL)'!G46),2)</f>
        <v>0</v>
      </c>
      <c r="AY46" s="380">
        <f>ROUND(SUMIFS(BS_RE33!$H$7:$H$874,BS_RE33!$S$7:$S$874,$AY$2,BS_RE33!$N$7:$N$874,I46,BS_RE33!$P$7:$P$874,'30 days CF Table(ALL)'!G46),2)</f>
        <v>0</v>
      </c>
      <c r="AZ46" s="380">
        <f>ROUND(SUMIFS(BS_RE33!$H$7:$H$874,BS_RE33!$S$7:$S$874,$AZ$2,BS_RE33!$N$7:$N$874,I46,BS_RE33!$P$7:$P$874,'30 days CF Table(ALL)'!G46),2)</f>
        <v>0</v>
      </c>
      <c r="BA46" s="380">
        <f>ROUND(SUMIFS(BS_RE33!$H$7:$H$874,BS_RE33!$S$7:$S$874,$BA$2,BS_RE33!$N$7:$N$874,I46,BS_RE33!$P$7:$P$874,'30 days CF Table(ALL)'!G46),2)</f>
        <v>0</v>
      </c>
      <c r="BB46" s="380">
        <f>ROUND(SUMIFS(BS_RE33!$H$7:$H$874,BS_RE33!$S$7:$S$874,$BB$2,BS_RE33!$N$7:$N$874,I46,BS_RE33!$P$7:$P$874,'30 days CF Table(ALL)'!G46),2)</f>
        <v>0</v>
      </c>
      <c r="BC46" s="380">
        <f>ROUND(SUMIFS(BS_RE33!$H$7:$H$874,BS_RE33!$S$7:$S$874,$BC$2,BS_RE33!$N$7:$N$874,I46,BS_RE33!$P$7:$P$874,'30 days CF Table(ALL)'!G46),2)</f>
        <v>0</v>
      </c>
      <c r="BD46" s="380">
        <f>ROUND(SUMIFS(BS_RE33!$H$7:$H$874,BS_RE33!$S$7:$S$874,$BD$2,BS_RE33!$N$7:$N$874,I46,BS_RE33!$P$7:$P$874,'30 days CF Table(ALL)'!G46),2)</f>
        <v>0</v>
      </c>
      <c r="BE46" s="380">
        <f>ROUND(SUMIFS(BS_RE33!$H$7:$H$874,BS_RE33!$S$7:$S$874,$BE$2,BS_RE33!$N$7:$N$874,I46,BS_RE33!$P$7:$P$874,'30 days CF Table(ALL)'!G46),2)</f>
        <v>0</v>
      </c>
      <c r="BF46" s="380">
        <f>ROUND(SUMIFS(BS_RE33!$H$7:$H$874,BS_RE33!$S$7:$S$874,$BF$2,BS_RE33!$N$7:$N$874,I46,BS_RE33!$P$7:$P$874,'30 days CF Table(ALL)'!G46),2)</f>
        <v>0</v>
      </c>
      <c r="BG46" s="380">
        <f>ROUND(SUMIFS(BS_RE33!$H$7:$H$874,BS_RE33!$S$7:$S$874,$BG$2,BS_RE33!$N$7:$N$874,I46,BS_RE33!$P$7:$P$874,'30 days CF Table(ALL)'!G46),2)</f>
        <v>0</v>
      </c>
      <c r="BH46" s="380">
        <f>ROUND(SUMIFS(BS_RE33!$H$7:$H$874,BS_RE33!$S$7:$S$874,$BH$2,BS_RE33!$N$7:$N$874,I46,BS_RE33!$P$7:$P$874,'30 days CF Table(ALL)'!G46),2)</f>
        <v>0</v>
      </c>
      <c r="BI46" s="380">
        <f>ROUND(SUMIFS(BS_RE33!$H$7:$H$874,BS_RE33!$S$7:$S$874,$BI$2,BS_RE33!$N$7:$N$874,I46,BS_RE33!$P$7:$P$874,'30 days CF Table(ALL)'!G46),2)</f>
        <v>0</v>
      </c>
      <c r="BJ46" s="380">
        <f>ROUND(SUMIFS(BS_RE33!$H$7:$H$874,BS_RE33!$S$7:$S$874,$BJ$2,BS_RE33!$N$7:$N$874,I46,BS_RE33!$P$7:$P$874,'30 days CF Table(ALL)'!G46),2)</f>
        <v>0</v>
      </c>
      <c r="BK46" s="380">
        <f>ROUND(SUMIFS(BS_RE33!$H$7:$H$874,BS_RE33!$S$7:$S$874,$BK$2,BS_RE33!$N$7:$N$874,I46,BS_RE33!$P$7:$P$874,'30 days CF Table(ALL)'!G46),2)</f>
        <v>0</v>
      </c>
    </row>
    <row r="47" spans="3:63">
      <c r="C47" s="1029"/>
      <c r="D47" s="1039"/>
      <c r="E47" s="108" t="s">
        <v>765</v>
      </c>
      <c r="F47" s="309"/>
      <c r="G47" s="392" t="s">
        <v>756</v>
      </c>
      <c r="H47" s="168">
        <v>0</v>
      </c>
      <c r="I47" s="307" t="s">
        <v>167</v>
      </c>
      <c r="J47" s="478">
        <f t="shared" si="3"/>
        <v>0</v>
      </c>
      <c r="K47" s="547">
        <f t="shared" si="5"/>
        <v>0</v>
      </c>
      <c r="L47" s="548">
        <f>ROUND(SUMIFS(BS_RE33!$H$7:$H$874,BS_RE33!$S$7:$S$874,$L$2,BS_RE33!$N$7:$N$874,I47,BS_RE33!$P$7:$P$874,'30 days CF Table(ALL)'!G47),2)</f>
        <v>0</v>
      </c>
      <c r="M47" s="548">
        <f>ROUND(SUMIFS(BS_RE33!$H$7:$H$874,BS_RE33!$S$7:$S$874,$M$2,BS_RE33!$N$7:$N$874,I47,BS_RE33!$P$7:$P$874,'30 days CF Table(ALL)'!G47),2)</f>
        <v>0</v>
      </c>
      <c r="N47" s="548">
        <f>ROUND(SUMIFS(BS_RE33!$H$7:$H$874,BS_RE33!$S$7:$S$874,$N$2,BS_RE33!$N$7:$N$874,I47,BS_RE33!$P$7:$P$874,'30 days CF Table(ALL)'!G47),2)</f>
        <v>0</v>
      </c>
      <c r="O47" s="548">
        <f>ROUND(SUMIFS(BS_RE33!$H$7:$H$874,BS_RE33!$S$7:$S$874,$O$2,BS_RE33!$N$7:$N$874,I47,BS_RE33!$P$7:$P$874,'30 days CF Table(ALL)'!G47),2)</f>
        <v>0</v>
      </c>
      <c r="P47" s="548">
        <f>ROUND(SUMIFS(BS_RE33!$H$7:$H$874,BS_RE33!$S$7:$S$874,$P$2,BS_RE33!$N$7:$N$874,I47,BS_RE33!$P$7:$P$874,'30 days CF Table(ALL)'!G47),2)</f>
        <v>0</v>
      </c>
      <c r="Q47" s="548">
        <f>ROUND(SUMIFS(BS_RE33!$H$7:$H$874,BS_RE33!$S$7:$S$874,$Q$2,BS_RE33!$N$7:$N$874,I47,BS_RE33!$P$7:$P$874,'30 days CF Table(ALL)'!G47),2)</f>
        <v>0</v>
      </c>
      <c r="R47" s="548">
        <f>ROUND(SUMIFS(BS_RE33!$H$7:$H$874,BS_RE33!$S$7:$S$874,$R$2,BS_RE33!$N$7:$N$874,I47,BS_RE33!$P$7:$P$874,'30 days CF Table(ALL)'!G47),2)</f>
        <v>0</v>
      </c>
      <c r="S47" s="548">
        <f>ROUND(SUMIFS(BS_RE33!$H$7:$H$874,BS_RE33!$S$7:$S$874,$S$2,BS_RE33!$N$7:$N$874,I47,BS_RE33!$P$7:$P$874,'30 days CF Table(ALL)'!G47),2)</f>
        <v>0</v>
      </c>
      <c r="T47" s="548">
        <f>ROUND(SUMIFS(BS_RE33!$H$7:$H$874,BS_RE33!$S$7:$S$874,$T$2,BS_RE33!$N$7:$N$874,I47,BS_RE33!$P$7:$P$874,'30 days CF Table(ALL)'!G47),2)</f>
        <v>0</v>
      </c>
      <c r="U47" s="548">
        <f>ROUND(SUMIFS(BS_RE33!$H$7:$H$874,BS_RE33!$S$7:$S$874,$U$2,BS_RE33!$N$7:$N$874,I47,BS_RE33!$P$7:$P$874,'30 days CF Table(ALL)'!G47),2)</f>
        <v>0</v>
      </c>
      <c r="V47" s="548">
        <f>ROUND(SUMIFS(BS_RE33!$H$7:$H$874,BS_RE33!$S$7:$S$874,$V$2,BS_RE33!$N$7:$N$874,I47,BS_RE33!$P$7:$P$874,'30 days CF Table(ALL)'!G47),2)</f>
        <v>0</v>
      </c>
      <c r="W47" s="548">
        <f>ROUND(SUMIFS(BS_RE33!$H$7:$H$874,BS_RE33!$S$7:$S$874,$W$2,BS_RE33!$N$7:$N$874,I47,BS_RE33!$P$7:$P$874,'30 days CF Table(ALL)'!G47),2)</f>
        <v>0</v>
      </c>
      <c r="X47" s="548">
        <f>ROUND(SUMIFS(BS_RE33!$H$7:$H$874,BS_RE33!$S$7:$S$874,$X$2,BS_RE33!$N$7:$N$874,I47,BS_RE33!$P$7:$P$874,'30 days CF Table(ALL)'!G47),2)</f>
        <v>0</v>
      </c>
      <c r="Y47" s="548">
        <f>ROUND(SUMIFS(BS_RE33!$H$7:$H$874,BS_RE33!$S$7:$S$874,$Y$2,BS_RE33!$N$7:$N$874,I47,BS_RE33!$P$7:$P$874,'30 days CF Table(ALL)'!G47),2)</f>
        <v>0</v>
      </c>
      <c r="Z47" s="548">
        <f>ROUND(SUMIFS(BS_RE33!$H$7:$H$874,BS_RE33!$S$7:$S$874,$Z$2,BS_RE33!$N$7:$N$874,I47,BS_RE33!$P$7:$P$874,'30 days CF Table(ALL)'!G47),2)</f>
        <v>0</v>
      </c>
      <c r="AA47" s="548">
        <f>ROUND(SUMIFS(BS_RE33!$H$7:$H$874,BS_RE33!$S$7:$S$874,$AA$2,BS_RE33!$N$7:$N$874,I47,BS_RE33!$P$7:$P$874,'30 days CF Table(ALL)'!G47),2)</f>
        <v>0</v>
      </c>
      <c r="AB47" s="548">
        <f>ROUND(SUMIFS(BS_RE33!$H$7:$H$874,BS_RE33!$S$7:$S$874,$AB$2,BS_RE33!$N$7:$N$874,I47,BS_RE33!$P$7:$P$874,'30 days CF Table(ALL)'!G47),2)</f>
        <v>0</v>
      </c>
      <c r="AC47" s="548">
        <f>ROUND(SUMIFS(BS_RE33!$H$7:$H$874,BS_RE33!$S$7:$S$874,$AC$2,BS_RE33!$N$7:$N$874,I47,BS_RE33!$P$7:$P$874,'30 days CF Table(ALL)'!G47),2)</f>
        <v>0</v>
      </c>
      <c r="AD47" s="548">
        <f>ROUND(SUMIFS(BS_RE33!$H$7:$H$874,BS_RE33!$S$7:$S$874,$AD$2,BS_RE33!$N$7:$N$874,I47,BS_RE33!$P$7:$P$874,'30 days CF Table(ALL)'!G47),2)</f>
        <v>0</v>
      </c>
      <c r="AE47" s="548">
        <f>ROUND(SUMIFS(BS_RE33!$H$7:$H$874,BS_RE33!$S$7:$S$874,$AE$2,BS_RE33!$N$7:$N$874,I47,BS_RE33!$P$7:$P$874,'30 days CF Table(ALL)'!G47),2)</f>
        <v>0</v>
      </c>
      <c r="AF47" s="548">
        <f>ROUND(SUMIFS(BS_RE33!$H$7:$H$874,BS_RE33!$S$7:$S$874,$AF$2,BS_RE33!$N$7:$N$874,I47,BS_RE33!$P$7:$P$874,'30 days CF Table(ALL)'!G47),2)</f>
        <v>0</v>
      </c>
      <c r="AG47" s="548">
        <f>ROUND(SUMIFS(BS_RE33!$H$7:$H$874,BS_RE33!$S$7:$S$874,$AG$2,BS_RE33!$N$7:$N$874,I47,BS_RE33!$P$7:$P$874,'30 days CF Table(ALL)'!G47),2)</f>
        <v>0</v>
      </c>
      <c r="AH47" s="548">
        <f>ROUND(SUMIFS(BS_RE33!$H$7:$H$874,BS_RE33!$S$7:$S$874,$AH$2,BS_RE33!$N$7:$N$874,I47,BS_RE33!$P$7:$P$874,'30 days CF Table(ALL)'!G47),2)</f>
        <v>0</v>
      </c>
      <c r="AI47" s="548">
        <f>ROUND(SUMIFS(BS_RE33!$H$7:$H$874,BS_RE33!$S$7:$S$874,$AI$2,BS_RE33!$N$7:$N$874,I47,BS_RE33!$P$7:$P$874,'30 days CF Table(ALL)'!G47),2)</f>
        <v>0</v>
      </c>
      <c r="AJ47" s="548">
        <f>ROUND(SUMIFS(BS_RE33!$H$7:$H$874,BS_RE33!$S$7:$S$874,$AJ$2,BS_RE33!$N$7:$N$874,I47,BS_RE33!$P$7:$P$874,'30 days CF Table(ALL)'!G47),2)</f>
        <v>0</v>
      </c>
      <c r="AK47" s="548">
        <f>ROUND(SUMIFS(BS_RE33!$H$7:$H$874,BS_RE33!$S$7:$S$874,$AK$2,BS_RE33!$N$7:$N$874,I47,BS_RE33!$P$7:$P$874,'30 days CF Table(ALL)'!G47),2)</f>
        <v>0</v>
      </c>
      <c r="AL47" s="548">
        <f>ROUND(SUMIFS(BS_RE33!$H$7:$H$874,BS_RE33!$S$7:$S$874,$AL$2,BS_RE33!$N$7:$N$874,I47,BS_RE33!$P$7:$P$874,'30 days CF Table(ALL)'!G47),2)</f>
        <v>0</v>
      </c>
      <c r="AM47" s="548">
        <f>ROUND(SUMIFS(BS_RE33!$H$7:$H$874,BS_RE33!$S$7:$S$874,$AM$2,BS_RE33!$N$7:$N$874,I47,BS_RE33!$P$7:$P$874,'30 days CF Table(ALL)'!G47),2)</f>
        <v>0</v>
      </c>
      <c r="AN47" s="548">
        <f>ROUND(SUMIFS(BS_RE33!$H$7:$H$874,BS_RE33!$S$7:$S$874,$AN$2,BS_RE33!$N$7:$N$874,I47,BS_RE33!$P$7:$P$874,'30 days CF Table(ALL)'!G47),2)</f>
        <v>0</v>
      </c>
      <c r="AO47" s="548">
        <f>ROUND(SUMIFS(BS_RE33!$H$7:$H$874,BS_RE33!$S$7:$S$874,$AO$2,BS_RE33!$N$7:$N$874,I47,BS_RE33!$P$7:$P$874,'30 days CF Table(ALL)'!G47),2)</f>
        <v>0</v>
      </c>
      <c r="AP47" s="549">
        <f>ROUND(SUMIFS(BS_RE33!$H$7:$H$874,BS_RE33!$S$7:$S$874,$AP$2,BS_RE33!$N$7:$N$874,I47,BS_RE33!$P$7:$P$874,'30 days CF Table(ALL)'!G47),2)</f>
        <v>0</v>
      </c>
      <c r="AQ47" s="550"/>
      <c r="AR47" s="380">
        <f>ROUND(SUMIFS(BS_RE33!$H$7:$H$874,BS_RE33!$S$7:$S$874,$AR$2,BS_RE33!$N$7:$N$874,I47,BS_RE33!$P$7:$P$874,'30 days CF Table(ALL)'!G47),2)</f>
        <v>0</v>
      </c>
      <c r="AS47" s="380">
        <f>ROUND(SUMIFS(BS_RE33!$H$7:$H$874,BS_RE33!$S$7:$S$874,$AS$2,BS_RE33!$N$7:$N$874,I47,BS_RE33!$P$7:$P$874,'30 days CF Table(ALL)'!G47),2)</f>
        <v>0</v>
      </c>
      <c r="AT47" s="380">
        <f>ROUND(SUMIFS(BS_RE33!$H$7:$H$874,BS_RE33!$S$7:$S$874,$AT$2,BS_RE33!$N$7:$N$874,I47,BS_RE33!$P$7:$P$874,'30 days CF Table(ALL)'!G47),2)</f>
        <v>0</v>
      </c>
      <c r="AU47" s="380">
        <f>ROUND(SUMIFS(BS_RE33!$H$7:$H$874,BS_RE33!$S$7:$S$874,$AU$2,BS_RE33!$N$7:$N$874,I47,BS_RE33!$P$7:$P$874,'30 days CF Table(ALL)'!G47),2)</f>
        <v>0</v>
      </c>
      <c r="AV47" s="380">
        <f>ROUND(SUMIFS(BS_RE33!$H$7:$H$874,BS_RE33!$S$7:$S$874,$AV$2,BS_RE33!$N$7:$N$874,I47,BS_RE33!$P$7:$P$874,'30 days CF Table(ALL)'!G47),2)</f>
        <v>0</v>
      </c>
      <c r="AW47" s="380">
        <f>ROUND(SUMIFS(BS_RE33!$H$7:$H$874,BS_RE33!$S$7:$S$874,$AW$2,BS_RE33!$N$7:$N$874,I47,BS_RE33!$P$7:$P$874,'30 days CF Table(ALL)'!G47),2)</f>
        <v>0</v>
      </c>
      <c r="AX47" s="380">
        <f>ROUND(SUMIFS(BS_RE33!$H$7:$H$874,BS_RE33!$S$7:$S$874,$AX$2,BS_RE33!$N$7:$N$874,I47,BS_RE33!$P$7:$P$874,'30 days CF Table(ALL)'!G47),2)</f>
        <v>0</v>
      </c>
      <c r="AY47" s="380">
        <f>ROUND(SUMIFS(BS_RE33!$H$7:$H$874,BS_RE33!$S$7:$S$874,$AY$2,BS_RE33!$N$7:$N$874,I47,BS_RE33!$P$7:$P$874,'30 days CF Table(ALL)'!G47),2)</f>
        <v>0</v>
      </c>
      <c r="AZ47" s="380">
        <f>ROUND(SUMIFS(BS_RE33!$H$7:$H$874,BS_RE33!$S$7:$S$874,$AZ$2,BS_RE33!$N$7:$N$874,I47,BS_RE33!$P$7:$P$874,'30 days CF Table(ALL)'!G47),2)</f>
        <v>0</v>
      </c>
      <c r="BA47" s="380">
        <f>ROUND(SUMIFS(BS_RE33!$H$7:$H$874,BS_RE33!$S$7:$S$874,$BA$2,BS_RE33!$N$7:$N$874,I47,BS_RE33!$P$7:$P$874,'30 days CF Table(ALL)'!G47),2)</f>
        <v>0</v>
      </c>
      <c r="BB47" s="380">
        <f>ROUND(SUMIFS(BS_RE33!$H$7:$H$874,BS_RE33!$S$7:$S$874,$BB$2,BS_RE33!$N$7:$N$874,I47,BS_RE33!$P$7:$P$874,'30 days CF Table(ALL)'!G47),2)</f>
        <v>0</v>
      </c>
      <c r="BC47" s="380">
        <f>ROUND(SUMIFS(BS_RE33!$H$7:$H$874,BS_RE33!$S$7:$S$874,$BC$2,BS_RE33!$N$7:$N$874,I47,BS_RE33!$P$7:$P$874,'30 days CF Table(ALL)'!G47),2)</f>
        <v>0</v>
      </c>
      <c r="BD47" s="380">
        <f>ROUND(SUMIFS(BS_RE33!$H$7:$H$874,BS_RE33!$S$7:$S$874,$BD$2,BS_RE33!$N$7:$N$874,I47,BS_RE33!$P$7:$P$874,'30 days CF Table(ALL)'!G47),2)</f>
        <v>0</v>
      </c>
      <c r="BE47" s="380">
        <f>ROUND(SUMIFS(BS_RE33!$H$7:$H$874,BS_RE33!$S$7:$S$874,$BE$2,BS_RE33!$N$7:$N$874,I47,BS_RE33!$P$7:$P$874,'30 days CF Table(ALL)'!G47),2)</f>
        <v>0</v>
      </c>
      <c r="BF47" s="380">
        <f>ROUND(SUMIFS(BS_RE33!$H$7:$H$874,BS_RE33!$S$7:$S$874,$BF$2,BS_RE33!$N$7:$N$874,I47,BS_RE33!$P$7:$P$874,'30 days CF Table(ALL)'!G47),2)</f>
        <v>0</v>
      </c>
      <c r="BG47" s="380">
        <f>ROUND(SUMIFS(BS_RE33!$H$7:$H$874,BS_RE33!$S$7:$S$874,$BG$2,BS_RE33!$N$7:$N$874,I47,BS_RE33!$P$7:$P$874,'30 days CF Table(ALL)'!G47),2)</f>
        <v>0</v>
      </c>
      <c r="BH47" s="380">
        <f>ROUND(SUMIFS(BS_RE33!$H$7:$H$874,BS_RE33!$S$7:$S$874,$BH$2,BS_RE33!$N$7:$N$874,I47,BS_RE33!$P$7:$P$874,'30 days CF Table(ALL)'!G47),2)</f>
        <v>0</v>
      </c>
      <c r="BI47" s="380">
        <f>ROUND(SUMIFS(BS_RE33!$H$7:$H$874,BS_RE33!$S$7:$S$874,$BI$2,BS_RE33!$N$7:$N$874,I47,BS_RE33!$P$7:$P$874,'30 days CF Table(ALL)'!G47),2)</f>
        <v>0</v>
      </c>
      <c r="BJ47" s="380">
        <f>ROUND(SUMIFS(BS_RE33!$H$7:$H$874,BS_RE33!$S$7:$S$874,$BJ$2,BS_RE33!$N$7:$N$874,I47,BS_RE33!$P$7:$P$874,'30 days CF Table(ALL)'!G47),2)</f>
        <v>0</v>
      </c>
      <c r="BK47" s="380">
        <f>ROUND(SUMIFS(BS_RE33!$H$7:$H$874,BS_RE33!$S$7:$S$874,$BK$2,BS_RE33!$N$7:$N$874,I47,BS_RE33!$P$7:$P$874,'30 days CF Table(ALL)'!G47),2)</f>
        <v>0</v>
      </c>
    </row>
    <row r="48" spans="3:63">
      <c r="C48" s="1029"/>
      <c r="D48" s="1039"/>
      <c r="E48" s="105" t="s">
        <v>567</v>
      </c>
      <c r="F48" s="309"/>
      <c r="G48" s="145" t="s">
        <v>757</v>
      </c>
      <c r="H48" s="168">
        <v>0</v>
      </c>
      <c r="I48" s="307" t="s">
        <v>167</v>
      </c>
      <c r="J48" s="478">
        <f t="shared" si="3"/>
        <v>0</v>
      </c>
      <c r="K48" s="547">
        <f t="shared" si="5"/>
        <v>0</v>
      </c>
      <c r="L48" s="548">
        <f>ROUND(SUMIFS(BS_RE33!$H$7:$H$874,BS_RE33!$S$7:$S$874,$L$2,BS_RE33!$N$7:$N$874,I48,BS_RE33!$P$7:$P$874,'30 days CF Table(ALL)'!G48),2)</f>
        <v>0</v>
      </c>
      <c r="M48" s="548">
        <f>ROUND(SUMIFS(BS_RE33!$H$7:$H$874,BS_RE33!$S$7:$S$874,$M$2,BS_RE33!$N$7:$N$874,I48,BS_RE33!$P$7:$P$874,'30 days CF Table(ALL)'!G48),2)</f>
        <v>0</v>
      </c>
      <c r="N48" s="548">
        <f>ROUND(SUMIFS(BS_RE33!$H$7:$H$874,BS_RE33!$S$7:$S$874,$N$2,BS_RE33!$N$7:$N$874,I48,BS_RE33!$P$7:$P$874,'30 days CF Table(ALL)'!G48),2)</f>
        <v>0</v>
      </c>
      <c r="O48" s="548">
        <f>ROUND(SUMIFS(BS_RE33!$H$7:$H$874,BS_RE33!$S$7:$S$874,$O$2,BS_RE33!$N$7:$N$874,I48,BS_RE33!$P$7:$P$874,'30 days CF Table(ALL)'!G48),2)</f>
        <v>0</v>
      </c>
      <c r="P48" s="548">
        <f>ROUND(SUMIFS(BS_RE33!$H$7:$H$874,BS_RE33!$S$7:$S$874,$P$2,BS_RE33!$N$7:$N$874,I48,BS_RE33!$P$7:$P$874,'30 days CF Table(ALL)'!G48),2)</f>
        <v>0</v>
      </c>
      <c r="Q48" s="548">
        <f>ROUND(SUMIFS(BS_RE33!$H$7:$H$874,BS_RE33!$S$7:$S$874,$Q$2,BS_RE33!$N$7:$N$874,I48,BS_RE33!$P$7:$P$874,'30 days CF Table(ALL)'!G48),2)</f>
        <v>0</v>
      </c>
      <c r="R48" s="548">
        <f>ROUND(SUMIFS(BS_RE33!$H$7:$H$874,BS_RE33!$S$7:$S$874,$R$2,BS_RE33!$N$7:$N$874,I48,BS_RE33!$P$7:$P$874,'30 days CF Table(ALL)'!G48),2)</f>
        <v>0</v>
      </c>
      <c r="S48" s="548">
        <f>ROUND(SUMIFS(BS_RE33!$H$7:$H$874,BS_RE33!$S$7:$S$874,$S$2,BS_RE33!$N$7:$N$874,I48,BS_RE33!$P$7:$P$874,'30 days CF Table(ALL)'!G48),2)</f>
        <v>0</v>
      </c>
      <c r="T48" s="548">
        <f>ROUND(SUMIFS(BS_RE33!$H$7:$H$874,BS_RE33!$S$7:$S$874,$T$2,BS_RE33!$N$7:$N$874,I48,BS_RE33!$P$7:$P$874,'30 days CF Table(ALL)'!G48),2)</f>
        <v>0</v>
      </c>
      <c r="U48" s="548">
        <f>ROUND(SUMIFS(BS_RE33!$H$7:$H$874,BS_RE33!$S$7:$S$874,$U$2,BS_RE33!$N$7:$N$874,I48,BS_RE33!$P$7:$P$874,'30 days CF Table(ALL)'!G48),2)</f>
        <v>0</v>
      </c>
      <c r="V48" s="548">
        <f>ROUND(SUMIFS(BS_RE33!$H$7:$H$874,BS_RE33!$S$7:$S$874,$V$2,BS_RE33!$N$7:$N$874,I48,BS_RE33!$P$7:$P$874,'30 days CF Table(ALL)'!G48),2)</f>
        <v>0</v>
      </c>
      <c r="W48" s="548">
        <f>ROUND(SUMIFS(BS_RE33!$H$7:$H$874,BS_RE33!$S$7:$S$874,$W$2,BS_RE33!$N$7:$N$874,I48,BS_RE33!$P$7:$P$874,'30 days CF Table(ALL)'!G48),2)</f>
        <v>0</v>
      </c>
      <c r="X48" s="548">
        <f>ROUND(SUMIFS(BS_RE33!$H$7:$H$874,BS_RE33!$S$7:$S$874,$X$2,BS_RE33!$N$7:$N$874,I48,BS_RE33!$P$7:$P$874,'30 days CF Table(ALL)'!G48),2)</f>
        <v>0</v>
      </c>
      <c r="Y48" s="548">
        <f>ROUND(SUMIFS(BS_RE33!$H$7:$H$874,BS_RE33!$S$7:$S$874,$Y$2,BS_RE33!$N$7:$N$874,I48,BS_RE33!$P$7:$P$874,'30 days CF Table(ALL)'!G48),2)</f>
        <v>0</v>
      </c>
      <c r="Z48" s="548">
        <f>ROUND(SUMIFS(BS_RE33!$H$7:$H$874,BS_RE33!$S$7:$S$874,$Z$2,BS_RE33!$N$7:$N$874,I48,BS_RE33!$P$7:$P$874,'30 days CF Table(ALL)'!G48),2)</f>
        <v>0</v>
      </c>
      <c r="AA48" s="548">
        <f>ROUND(SUMIFS(BS_RE33!$H$7:$H$874,BS_RE33!$S$7:$S$874,$AA$2,BS_RE33!$N$7:$N$874,I48,BS_RE33!$P$7:$P$874,'30 days CF Table(ALL)'!G48),2)</f>
        <v>0</v>
      </c>
      <c r="AB48" s="548">
        <f>ROUND(SUMIFS(BS_RE33!$H$7:$H$874,BS_RE33!$S$7:$S$874,$AB$2,BS_RE33!$N$7:$N$874,I48,BS_RE33!$P$7:$P$874,'30 days CF Table(ALL)'!G48),2)</f>
        <v>0</v>
      </c>
      <c r="AC48" s="548">
        <f>ROUND(SUMIFS(BS_RE33!$H$7:$H$874,BS_RE33!$S$7:$S$874,$AC$2,BS_RE33!$N$7:$N$874,I48,BS_RE33!$P$7:$P$874,'30 days CF Table(ALL)'!G48),2)</f>
        <v>0</v>
      </c>
      <c r="AD48" s="548">
        <f>ROUND(SUMIFS(BS_RE33!$H$7:$H$874,BS_RE33!$S$7:$S$874,$AD$2,BS_RE33!$N$7:$N$874,I48,BS_RE33!$P$7:$P$874,'30 days CF Table(ALL)'!G48),2)</f>
        <v>0</v>
      </c>
      <c r="AE48" s="548">
        <f>ROUND(SUMIFS(BS_RE33!$H$7:$H$874,BS_RE33!$S$7:$S$874,$AE$2,BS_RE33!$N$7:$N$874,I48,BS_RE33!$P$7:$P$874,'30 days CF Table(ALL)'!G48),2)</f>
        <v>0</v>
      </c>
      <c r="AF48" s="548">
        <f>ROUND(SUMIFS(BS_RE33!$H$7:$H$874,BS_RE33!$S$7:$S$874,$AF$2,BS_RE33!$N$7:$N$874,I48,BS_RE33!$P$7:$P$874,'30 days CF Table(ALL)'!G48),2)</f>
        <v>0</v>
      </c>
      <c r="AG48" s="548">
        <f>ROUND(SUMIFS(BS_RE33!$H$7:$H$874,BS_RE33!$S$7:$S$874,$AG$2,BS_RE33!$N$7:$N$874,I48,BS_RE33!$P$7:$P$874,'30 days CF Table(ALL)'!G48),2)</f>
        <v>0</v>
      </c>
      <c r="AH48" s="548">
        <f>ROUND(SUMIFS(BS_RE33!$H$7:$H$874,BS_RE33!$S$7:$S$874,$AH$2,BS_RE33!$N$7:$N$874,I48,BS_RE33!$P$7:$P$874,'30 days CF Table(ALL)'!G48),2)</f>
        <v>0</v>
      </c>
      <c r="AI48" s="548">
        <f>ROUND(SUMIFS(BS_RE33!$H$7:$H$874,BS_RE33!$S$7:$S$874,$AI$2,BS_RE33!$N$7:$N$874,I48,BS_RE33!$P$7:$P$874,'30 days CF Table(ALL)'!G48),2)</f>
        <v>0</v>
      </c>
      <c r="AJ48" s="548">
        <f>ROUND(SUMIFS(BS_RE33!$H$7:$H$874,BS_RE33!$S$7:$S$874,$AJ$2,BS_RE33!$N$7:$N$874,I48,BS_RE33!$P$7:$P$874,'30 days CF Table(ALL)'!G48),2)</f>
        <v>0</v>
      </c>
      <c r="AK48" s="548">
        <f>ROUND(SUMIFS(BS_RE33!$H$7:$H$874,BS_RE33!$S$7:$S$874,$AK$2,BS_RE33!$N$7:$N$874,I48,BS_RE33!$P$7:$P$874,'30 days CF Table(ALL)'!G48),2)</f>
        <v>0</v>
      </c>
      <c r="AL48" s="548">
        <f>ROUND(SUMIFS(BS_RE33!$H$7:$H$874,BS_RE33!$S$7:$S$874,$AL$2,BS_RE33!$N$7:$N$874,I48,BS_RE33!$P$7:$P$874,'30 days CF Table(ALL)'!G48),2)</f>
        <v>0</v>
      </c>
      <c r="AM48" s="548">
        <f>ROUND(SUMIFS(BS_RE33!$H$7:$H$874,BS_RE33!$S$7:$S$874,$AM$2,BS_RE33!$N$7:$N$874,I48,BS_RE33!$P$7:$P$874,'30 days CF Table(ALL)'!G48),2)</f>
        <v>0</v>
      </c>
      <c r="AN48" s="548">
        <f>ROUND(SUMIFS(BS_RE33!$H$7:$H$874,BS_RE33!$S$7:$S$874,$AN$2,BS_RE33!$N$7:$N$874,I48,BS_RE33!$P$7:$P$874,'30 days CF Table(ALL)'!G48),2)</f>
        <v>0</v>
      </c>
      <c r="AO48" s="548">
        <f>ROUND(SUMIFS(BS_RE33!$H$7:$H$874,BS_RE33!$S$7:$S$874,$AO$2,BS_RE33!$N$7:$N$874,I48,BS_RE33!$P$7:$P$874,'30 days CF Table(ALL)'!G48),2)</f>
        <v>0</v>
      </c>
      <c r="AP48" s="549">
        <f>ROUND(SUMIFS(BS_RE33!$H$7:$H$874,BS_RE33!$S$7:$S$874,$AP$2,BS_RE33!$N$7:$N$874,I48,BS_RE33!$P$7:$P$874,'30 days CF Table(ALL)'!G48),2)</f>
        <v>0</v>
      </c>
      <c r="AQ48" s="550"/>
      <c r="AR48" s="380">
        <f>ROUND(SUMIFS(BS_RE33!$H$7:$H$874,BS_RE33!$S$7:$S$874,$AR$2,BS_RE33!$N$7:$N$874,I48,BS_RE33!$P$7:$P$874,'30 days CF Table(ALL)'!G48),2)</f>
        <v>0</v>
      </c>
      <c r="AS48" s="380">
        <f>ROUND(SUMIFS(BS_RE33!$H$7:$H$874,BS_RE33!$S$7:$S$874,$AS$2,BS_RE33!$N$7:$N$874,I48,BS_RE33!$P$7:$P$874,'30 days CF Table(ALL)'!G48),2)</f>
        <v>0</v>
      </c>
      <c r="AT48" s="380">
        <f>ROUND(SUMIFS(BS_RE33!$H$7:$H$874,BS_RE33!$S$7:$S$874,$AT$2,BS_RE33!$N$7:$N$874,I48,BS_RE33!$P$7:$P$874,'30 days CF Table(ALL)'!G48),2)</f>
        <v>0</v>
      </c>
      <c r="AU48" s="380">
        <f>ROUND(SUMIFS(BS_RE33!$H$7:$H$874,BS_RE33!$S$7:$S$874,$AU$2,BS_RE33!$N$7:$N$874,I48,BS_RE33!$P$7:$P$874,'30 days CF Table(ALL)'!G48),2)</f>
        <v>0</v>
      </c>
      <c r="AV48" s="380">
        <f>ROUND(SUMIFS(BS_RE33!$H$7:$H$874,BS_RE33!$S$7:$S$874,$AV$2,BS_RE33!$N$7:$N$874,I48,BS_RE33!$P$7:$P$874,'30 days CF Table(ALL)'!G48),2)</f>
        <v>0</v>
      </c>
      <c r="AW48" s="380">
        <f>ROUND(SUMIFS(BS_RE33!$H$7:$H$874,BS_RE33!$S$7:$S$874,$AW$2,BS_RE33!$N$7:$N$874,I48,BS_RE33!$P$7:$P$874,'30 days CF Table(ALL)'!G48),2)</f>
        <v>0</v>
      </c>
      <c r="AX48" s="380">
        <f>ROUND(SUMIFS(BS_RE33!$H$7:$H$874,BS_RE33!$S$7:$S$874,$AX$2,BS_RE33!$N$7:$N$874,I48,BS_RE33!$P$7:$P$874,'30 days CF Table(ALL)'!G48),2)</f>
        <v>0</v>
      </c>
      <c r="AY48" s="380">
        <f>ROUND(SUMIFS(BS_RE33!$H$7:$H$874,BS_RE33!$S$7:$S$874,$AY$2,BS_RE33!$N$7:$N$874,I48,BS_RE33!$P$7:$P$874,'30 days CF Table(ALL)'!G48),2)</f>
        <v>0</v>
      </c>
      <c r="AZ48" s="380">
        <f>ROUND(SUMIFS(BS_RE33!$H$7:$H$874,BS_RE33!$S$7:$S$874,$AZ$2,BS_RE33!$N$7:$N$874,I48,BS_RE33!$P$7:$P$874,'30 days CF Table(ALL)'!G48),2)</f>
        <v>0</v>
      </c>
      <c r="BA48" s="380">
        <f>ROUND(SUMIFS(BS_RE33!$H$7:$H$874,BS_RE33!$S$7:$S$874,$BA$2,BS_RE33!$N$7:$N$874,I48,BS_RE33!$P$7:$P$874,'30 days CF Table(ALL)'!G48),2)</f>
        <v>0</v>
      </c>
      <c r="BB48" s="380">
        <f>ROUND(SUMIFS(BS_RE33!$H$7:$H$874,BS_RE33!$S$7:$S$874,$BB$2,BS_RE33!$N$7:$N$874,I48,BS_RE33!$P$7:$P$874,'30 days CF Table(ALL)'!G48),2)</f>
        <v>0</v>
      </c>
      <c r="BC48" s="380">
        <f>ROUND(SUMIFS(BS_RE33!$H$7:$H$874,BS_RE33!$S$7:$S$874,$BC$2,BS_RE33!$N$7:$N$874,I48,BS_RE33!$P$7:$P$874,'30 days CF Table(ALL)'!G48),2)</f>
        <v>0</v>
      </c>
      <c r="BD48" s="380">
        <f>ROUND(SUMIFS(BS_RE33!$H$7:$H$874,BS_RE33!$S$7:$S$874,$BD$2,BS_RE33!$N$7:$N$874,I48,BS_RE33!$P$7:$P$874,'30 days CF Table(ALL)'!G48),2)</f>
        <v>0</v>
      </c>
      <c r="BE48" s="380">
        <f>ROUND(SUMIFS(BS_RE33!$H$7:$H$874,BS_RE33!$S$7:$S$874,$BE$2,BS_RE33!$N$7:$N$874,I48,BS_RE33!$P$7:$P$874,'30 days CF Table(ALL)'!G48),2)</f>
        <v>0</v>
      </c>
      <c r="BF48" s="380">
        <f>ROUND(SUMIFS(BS_RE33!$H$7:$H$874,BS_RE33!$S$7:$S$874,$BF$2,BS_RE33!$N$7:$N$874,I48,BS_RE33!$P$7:$P$874,'30 days CF Table(ALL)'!G48),2)</f>
        <v>0</v>
      </c>
      <c r="BG48" s="380">
        <f>ROUND(SUMIFS(BS_RE33!$H$7:$H$874,BS_RE33!$S$7:$S$874,$BG$2,BS_RE33!$N$7:$N$874,I48,BS_RE33!$P$7:$P$874,'30 days CF Table(ALL)'!G48),2)</f>
        <v>0</v>
      </c>
      <c r="BH48" s="380">
        <f>ROUND(SUMIFS(BS_RE33!$H$7:$H$874,BS_RE33!$S$7:$S$874,$BH$2,BS_RE33!$N$7:$N$874,I48,BS_RE33!$P$7:$P$874,'30 days CF Table(ALL)'!G48),2)</f>
        <v>0</v>
      </c>
      <c r="BI48" s="380">
        <f>ROUND(SUMIFS(BS_RE33!$H$7:$H$874,BS_RE33!$S$7:$S$874,$BI$2,BS_RE33!$N$7:$N$874,I48,BS_RE33!$P$7:$P$874,'30 days CF Table(ALL)'!G48),2)</f>
        <v>0</v>
      </c>
      <c r="BJ48" s="380">
        <f>ROUND(SUMIFS(BS_RE33!$H$7:$H$874,BS_RE33!$S$7:$S$874,$BJ$2,BS_RE33!$N$7:$N$874,I48,BS_RE33!$P$7:$P$874,'30 days CF Table(ALL)'!G48),2)</f>
        <v>0</v>
      </c>
      <c r="BK48" s="380">
        <f>ROUND(SUMIFS(BS_RE33!$H$7:$H$874,BS_RE33!$S$7:$S$874,$BK$2,BS_RE33!$N$7:$N$874,I48,BS_RE33!$P$7:$P$874,'30 days CF Table(ALL)'!G48),2)</f>
        <v>0</v>
      </c>
    </row>
    <row r="49" spans="3:63">
      <c r="C49" s="1029"/>
      <c r="D49" s="1039"/>
      <c r="E49" s="105" t="s">
        <v>91</v>
      </c>
      <c r="F49" s="309"/>
      <c r="G49" s="392" t="s">
        <v>528</v>
      </c>
      <c r="H49" s="168">
        <v>0</v>
      </c>
      <c r="I49" s="307" t="s">
        <v>167</v>
      </c>
      <c r="J49" s="478">
        <f t="shared" si="3"/>
        <v>0</v>
      </c>
      <c r="K49" s="547">
        <f t="shared" si="5"/>
        <v>0</v>
      </c>
      <c r="L49" s="548">
        <f>ROUND(SUMIFS(BS_RE33!$H$7:$H$874,BS_RE33!$S$7:$S$874,$L$2,BS_RE33!$N$7:$N$874,I49,BS_RE33!$P$7:$P$874,'30 days CF Table(ALL)'!G49),2)</f>
        <v>0</v>
      </c>
      <c r="M49" s="548">
        <f>ROUND(SUMIFS(BS_RE33!$H$7:$H$874,BS_RE33!$S$7:$S$874,$M$2,BS_RE33!$N$7:$N$874,I49,BS_RE33!$P$7:$P$874,'30 days CF Table(ALL)'!G49),2)</f>
        <v>0</v>
      </c>
      <c r="N49" s="548">
        <f>ROUND(SUMIFS(BS_RE33!$H$7:$H$874,BS_RE33!$S$7:$S$874,$N$2,BS_RE33!$N$7:$N$874,I49,BS_RE33!$P$7:$P$874,'30 days CF Table(ALL)'!G49),2)</f>
        <v>0</v>
      </c>
      <c r="O49" s="548">
        <f>ROUND(SUMIFS(BS_RE33!$H$7:$H$874,BS_RE33!$S$7:$S$874,$O$2,BS_RE33!$N$7:$N$874,I49,BS_RE33!$P$7:$P$874,'30 days CF Table(ALL)'!G49),2)</f>
        <v>0</v>
      </c>
      <c r="P49" s="548">
        <f>ROUND(SUMIFS(BS_RE33!$H$7:$H$874,BS_RE33!$S$7:$S$874,$P$2,BS_RE33!$N$7:$N$874,I49,BS_RE33!$P$7:$P$874,'30 days CF Table(ALL)'!G49),2)</f>
        <v>0</v>
      </c>
      <c r="Q49" s="548">
        <f>ROUND(SUMIFS(BS_RE33!$H$7:$H$874,BS_RE33!$S$7:$S$874,$Q$2,BS_RE33!$N$7:$N$874,I49,BS_RE33!$P$7:$P$874,'30 days CF Table(ALL)'!G49),2)</f>
        <v>0</v>
      </c>
      <c r="R49" s="548">
        <f>ROUND(SUMIFS(BS_RE33!$H$7:$H$874,BS_RE33!$S$7:$S$874,$R$2,BS_RE33!$N$7:$N$874,I49,BS_RE33!$P$7:$P$874,'30 days CF Table(ALL)'!G49),2)</f>
        <v>0</v>
      </c>
      <c r="S49" s="548">
        <f>ROUND(SUMIFS(BS_RE33!$H$7:$H$874,BS_RE33!$S$7:$S$874,$S$2,BS_RE33!$N$7:$N$874,I49,BS_RE33!$P$7:$P$874,'30 days CF Table(ALL)'!G49),2)</f>
        <v>0</v>
      </c>
      <c r="T49" s="548">
        <f>ROUND(SUMIFS(BS_RE33!$H$7:$H$874,BS_RE33!$S$7:$S$874,$T$2,BS_RE33!$N$7:$N$874,I49,BS_RE33!$P$7:$P$874,'30 days CF Table(ALL)'!G49),2)</f>
        <v>0</v>
      </c>
      <c r="U49" s="548">
        <f>ROUND(SUMIFS(BS_RE33!$H$7:$H$874,BS_RE33!$S$7:$S$874,$U$2,BS_RE33!$N$7:$N$874,I49,BS_RE33!$P$7:$P$874,'30 days CF Table(ALL)'!G49),2)</f>
        <v>0</v>
      </c>
      <c r="V49" s="548">
        <f>ROUND(SUMIFS(BS_RE33!$H$7:$H$874,BS_RE33!$S$7:$S$874,$V$2,BS_RE33!$N$7:$N$874,I49,BS_RE33!$P$7:$P$874,'30 days CF Table(ALL)'!G49),2)</f>
        <v>0</v>
      </c>
      <c r="W49" s="548">
        <f>ROUND(SUMIFS(BS_RE33!$H$7:$H$874,BS_RE33!$S$7:$S$874,$W$2,BS_RE33!$N$7:$N$874,I49,BS_RE33!$P$7:$P$874,'30 days CF Table(ALL)'!G49),2)</f>
        <v>0</v>
      </c>
      <c r="X49" s="548">
        <f>ROUND(SUMIFS(BS_RE33!$H$7:$H$874,BS_RE33!$S$7:$S$874,$X$2,BS_RE33!$N$7:$N$874,I49,BS_RE33!$P$7:$P$874,'30 days CF Table(ALL)'!G49),2)</f>
        <v>0</v>
      </c>
      <c r="Y49" s="548">
        <f>ROUND(SUMIFS(BS_RE33!$H$7:$H$874,BS_RE33!$S$7:$S$874,$Y$2,BS_RE33!$N$7:$N$874,I49,BS_RE33!$P$7:$P$874,'30 days CF Table(ALL)'!G49),2)</f>
        <v>0</v>
      </c>
      <c r="Z49" s="548">
        <f>ROUND(SUMIFS(BS_RE33!$H$7:$H$874,BS_RE33!$S$7:$S$874,$Z$2,BS_RE33!$N$7:$N$874,I49,BS_RE33!$P$7:$P$874,'30 days CF Table(ALL)'!G49),2)</f>
        <v>0</v>
      </c>
      <c r="AA49" s="548">
        <f>ROUND(SUMIFS(BS_RE33!$H$7:$H$874,BS_RE33!$S$7:$S$874,$AA$2,BS_RE33!$N$7:$N$874,I49,BS_RE33!$P$7:$P$874,'30 days CF Table(ALL)'!G49),2)</f>
        <v>0</v>
      </c>
      <c r="AB49" s="548">
        <f>ROUND(SUMIFS(BS_RE33!$H$7:$H$874,BS_RE33!$S$7:$S$874,$AB$2,BS_RE33!$N$7:$N$874,I49,BS_RE33!$P$7:$P$874,'30 days CF Table(ALL)'!G49),2)</f>
        <v>0</v>
      </c>
      <c r="AC49" s="548">
        <f>ROUND(SUMIFS(BS_RE33!$H$7:$H$874,BS_RE33!$S$7:$S$874,$AC$2,BS_RE33!$N$7:$N$874,I49,BS_RE33!$P$7:$P$874,'30 days CF Table(ALL)'!G49),2)</f>
        <v>0</v>
      </c>
      <c r="AD49" s="548">
        <f>ROUND(SUMIFS(BS_RE33!$H$7:$H$874,BS_RE33!$S$7:$S$874,$AD$2,BS_RE33!$N$7:$N$874,I49,BS_RE33!$P$7:$P$874,'30 days CF Table(ALL)'!G49),2)</f>
        <v>0</v>
      </c>
      <c r="AE49" s="548">
        <f>ROUND(SUMIFS(BS_RE33!$H$7:$H$874,BS_RE33!$S$7:$S$874,$AE$2,BS_RE33!$N$7:$N$874,I49,BS_RE33!$P$7:$P$874,'30 days CF Table(ALL)'!G49),2)</f>
        <v>0</v>
      </c>
      <c r="AF49" s="548">
        <f>ROUND(SUMIFS(BS_RE33!$H$7:$H$874,BS_RE33!$S$7:$S$874,$AF$2,BS_RE33!$N$7:$N$874,I49,BS_RE33!$P$7:$P$874,'30 days CF Table(ALL)'!G49),2)</f>
        <v>0</v>
      </c>
      <c r="AG49" s="548">
        <f>ROUND(SUMIFS(BS_RE33!$H$7:$H$874,BS_RE33!$S$7:$S$874,$AG$2,BS_RE33!$N$7:$N$874,I49,BS_RE33!$P$7:$P$874,'30 days CF Table(ALL)'!G49),2)</f>
        <v>0</v>
      </c>
      <c r="AH49" s="548">
        <f>ROUND(SUMIFS(BS_RE33!$H$7:$H$874,BS_RE33!$S$7:$S$874,$AH$2,BS_RE33!$N$7:$N$874,I49,BS_RE33!$P$7:$P$874,'30 days CF Table(ALL)'!G49),2)</f>
        <v>0</v>
      </c>
      <c r="AI49" s="548">
        <f>ROUND(SUMIFS(BS_RE33!$H$7:$H$874,BS_RE33!$S$7:$S$874,$AI$2,BS_RE33!$N$7:$N$874,I49,BS_RE33!$P$7:$P$874,'30 days CF Table(ALL)'!G49),2)</f>
        <v>0</v>
      </c>
      <c r="AJ49" s="548">
        <f>ROUND(SUMIFS(BS_RE33!$H$7:$H$874,BS_RE33!$S$7:$S$874,$AJ$2,BS_RE33!$N$7:$N$874,I49,BS_RE33!$P$7:$P$874,'30 days CF Table(ALL)'!G49),2)</f>
        <v>0</v>
      </c>
      <c r="AK49" s="548">
        <f>ROUND(SUMIFS(BS_RE33!$H$7:$H$874,BS_RE33!$S$7:$S$874,$AK$2,BS_RE33!$N$7:$N$874,I49,BS_RE33!$P$7:$P$874,'30 days CF Table(ALL)'!G49),2)</f>
        <v>0</v>
      </c>
      <c r="AL49" s="548">
        <f>ROUND(SUMIFS(BS_RE33!$H$7:$H$874,BS_RE33!$S$7:$S$874,$AL$2,BS_RE33!$N$7:$N$874,I49,BS_RE33!$P$7:$P$874,'30 days CF Table(ALL)'!G49),2)</f>
        <v>0</v>
      </c>
      <c r="AM49" s="548">
        <f>ROUND(SUMIFS(BS_RE33!$H$7:$H$874,BS_RE33!$S$7:$S$874,$AM$2,BS_RE33!$N$7:$N$874,I49,BS_RE33!$P$7:$P$874,'30 days CF Table(ALL)'!G49),2)</f>
        <v>0</v>
      </c>
      <c r="AN49" s="548">
        <f>ROUND(SUMIFS(BS_RE33!$H$7:$H$874,BS_RE33!$S$7:$S$874,$AN$2,BS_RE33!$N$7:$N$874,I49,BS_RE33!$P$7:$P$874,'30 days CF Table(ALL)'!G49),2)</f>
        <v>0</v>
      </c>
      <c r="AO49" s="548">
        <f>ROUND(SUMIFS(BS_RE33!$H$7:$H$874,BS_RE33!$S$7:$S$874,$AO$2,BS_RE33!$N$7:$N$874,I49,BS_RE33!$P$7:$P$874,'30 days CF Table(ALL)'!G49),2)</f>
        <v>0</v>
      </c>
      <c r="AP49" s="549">
        <f>ROUND(SUMIFS(BS_RE33!$H$7:$H$874,BS_RE33!$S$7:$S$874,$AP$2,BS_RE33!$N$7:$N$874,I49,BS_RE33!$P$7:$P$874,'30 days CF Table(ALL)'!G49),2)</f>
        <v>0</v>
      </c>
      <c r="AQ49" s="550"/>
      <c r="AR49" s="380">
        <f>ROUND(SUMIFS(BS_RE33!$H$7:$H$874,BS_RE33!$S$7:$S$874,$AR$2,BS_RE33!$N$7:$N$874,I49,BS_RE33!$P$7:$P$874,'30 days CF Table(ALL)'!G49),2)</f>
        <v>0</v>
      </c>
      <c r="AS49" s="380">
        <f>ROUND(SUMIFS(BS_RE33!$H$7:$H$874,BS_RE33!$S$7:$S$874,$AS$2,BS_RE33!$N$7:$N$874,I49,BS_RE33!$P$7:$P$874,'30 days CF Table(ALL)'!G49),2)</f>
        <v>0</v>
      </c>
      <c r="AT49" s="380">
        <f>ROUND(SUMIFS(BS_RE33!$H$7:$H$874,BS_RE33!$S$7:$S$874,$AT$2,BS_RE33!$N$7:$N$874,I49,BS_RE33!$P$7:$P$874,'30 days CF Table(ALL)'!G49),2)</f>
        <v>0</v>
      </c>
      <c r="AU49" s="380">
        <f>ROUND(SUMIFS(BS_RE33!$H$7:$H$874,BS_RE33!$S$7:$S$874,$AU$2,BS_RE33!$N$7:$N$874,I49,BS_RE33!$P$7:$P$874,'30 days CF Table(ALL)'!G49),2)</f>
        <v>0</v>
      </c>
      <c r="AV49" s="380">
        <f>ROUND(SUMIFS(BS_RE33!$H$7:$H$874,BS_RE33!$S$7:$S$874,$AV$2,BS_RE33!$N$7:$N$874,I49,BS_RE33!$P$7:$P$874,'30 days CF Table(ALL)'!G49),2)</f>
        <v>0</v>
      </c>
      <c r="AW49" s="380">
        <f>ROUND(SUMIFS(BS_RE33!$H$7:$H$874,BS_RE33!$S$7:$S$874,$AW$2,BS_RE33!$N$7:$N$874,I49,BS_RE33!$P$7:$P$874,'30 days CF Table(ALL)'!G49),2)</f>
        <v>0</v>
      </c>
      <c r="AX49" s="380">
        <f>ROUND(SUMIFS(BS_RE33!$H$7:$H$874,BS_RE33!$S$7:$S$874,$AX$2,BS_RE33!$N$7:$N$874,I49,BS_RE33!$P$7:$P$874,'30 days CF Table(ALL)'!G49),2)</f>
        <v>0</v>
      </c>
      <c r="AY49" s="380">
        <f>ROUND(SUMIFS(BS_RE33!$H$7:$H$874,BS_RE33!$S$7:$S$874,$AY$2,BS_RE33!$N$7:$N$874,I49,BS_RE33!$P$7:$P$874,'30 days CF Table(ALL)'!G49),2)</f>
        <v>0</v>
      </c>
      <c r="AZ49" s="380">
        <f>ROUND(SUMIFS(BS_RE33!$H$7:$H$874,BS_RE33!$S$7:$S$874,$AZ$2,BS_RE33!$N$7:$N$874,I49,BS_RE33!$P$7:$P$874,'30 days CF Table(ALL)'!G49),2)</f>
        <v>0</v>
      </c>
      <c r="BA49" s="380">
        <f>ROUND(SUMIFS(BS_RE33!$H$7:$H$874,BS_RE33!$S$7:$S$874,$BA$2,BS_RE33!$N$7:$N$874,I49,BS_RE33!$P$7:$P$874,'30 days CF Table(ALL)'!G49),2)</f>
        <v>0</v>
      </c>
      <c r="BB49" s="380">
        <f>ROUND(SUMIFS(BS_RE33!$H$7:$H$874,BS_RE33!$S$7:$S$874,$BB$2,BS_RE33!$N$7:$N$874,I49,BS_RE33!$P$7:$P$874,'30 days CF Table(ALL)'!G49),2)</f>
        <v>0</v>
      </c>
      <c r="BC49" s="380">
        <f>ROUND(SUMIFS(BS_RE33!$H$7:$H$874,BS_RE33!$S$7:$S$874,$BC$2,BS_RE33!$N$7:$N$874,I49,BS_RE33!$P$7:$P$874,'30 days CF Table(ALL)'!G49),2)</f>
        <v>0</v>
      </c>
      <c r="BD49" s="380">
        <f>ROUND(SUMIFS(BS_RE33!$H$7:$H$874,BS_RE33!$S$7:$S$874,$BD$2,BS_RE33!$N$7:$N$874,I49,BS_RE33!$P$7:$P$874,'30 days CF Table(ALL)'!G49),2)</f>
        <v>0</v>
      </c>
      <c r="BE49" s="380">
        <f>ROUND(SUMIFS(BS_RE33!$H$7:$H$874,BS_RE33!$S$7:$S$874,$BE$2,BS_RE33!$N$7:$N$874,I49,BS_RE33!$P$7:$P$874,'30 days CF Table(ALL)'!G49),2)</f>
        <v>0</v>
      </c>
      <c r="BF49" s="380">
        <f>ROUND(SUMIFS(BS_RE33!$H$7:$H$874,BS_RE33!$S$7:$S$874,$BF$2,BS_RE33!$N$7:$N$874,I49,BS_RE33!$P$7:$P$874,'30 days CF Table(ALL)'!G49),2)</f>
        <v>0</v>
      </c>
      <c r="BG49" s="380">
        <f>ROUND(SUMIFS(BS_RE33!$H$7:$H$874,BS_RE33!$S$7:$S$874,$BG$2,BS_RE33!$N$7:$N$874,I49,BS_RE33!$P$7:$P$874,'30 days CF Table(ALL)'!G49),2)</f>
        <v>0</v>
      </c>
      <c r="BH49" s="380">
        <f>ROUND(SUMIFS(BS_RE33!$H$7:$H$874,BS_RE33!$S$7:$S$874,$BH$2,BS_RE33!$N$7:$N$874,I49,BS_RE33!$P$7:$P$874,'30 days CF Table(ALL)'!G49),2)</f>
        <v>0</v>
      </c>
      <c r="BI49" s="380">
        <f>ROUND(SUMIFS(BS_RE33!$H$7:$H$874,BS_RE33!$S$7:$S$874,$BI$2,BS_RE33!$N$7:$N$874,I49,BS_RE33!$P$7:$P$874,'30 days CF Table(ALL)'!G49),2)</f>
        <v>0</v>
      </c>
      <c r="BJ49" s="380">
        <f>ROUND(SUMIFS(BS_RE33!$H$7:$H$874,BS_RE33!$S$7:$S$874,$BJ$2,BS_RE33!$N$7:$N$874,I49,BS_RE33!$P$7:$P$874,'30 days CF Table(ALL)'!G49),2)</f>
        <v>0</v>
      </c>
      <c r="BK49" s="380">
        <f>ROUND(SUMIFS(BS_RE33!$H$7:$H$874,BS_RE33!$S$7:$S$874,$BK$2,BS_RE33!$N$7:$N$874,I49,BS_RE33!$P$7:$P$874,'30 days CF Table(ALL)'!G49),2)</f>
        <v>0</v>
      </c>
    </row>
    <row r="50" spans="3:63">
      <c r="C50" s="1029"/>
      <c r="D50" s="1040"/>
      <c r="E50" s="108" t="s">
        <v>101</v>
      </c>
      <c r="F50" s="309"/>
      <c r="G50" s="392" t="s">
        <v>529</v>
      </c>
      <c r="H50" s="169">
        <v>0</v>
      </c>
      <c r="I50" s="307" t="s">
        <v>167</v>
      </c>
      <c r="J50" s="478">
        <f t="shared" si="3"/>
        <v>0</v>
      </c>
      <c r="K50" s="547">
        <f t="shared" si="5"/>
        <v>0</v>
      </c>
      <c r="L50" s="548">
        <f>ROUND(SUMIFS(BS_RE33!$H$7:$H$874,BS_RE33!$S$7:$S$874,$L$2,BS_RE33!$N$7:$N$874,I50,BS_RE33!$P$7:$P$874,'30 days CF Table(ALL)'!G50),2)</f>
        <v>0</v>
      </c>
      <c r="M50" s="548">
        <f>ROUND(SUMIFS(BS_RE33!$H$7:$H$874,BS_RE33!$S$7:$S$874,$M$2,BS_RE33!$N$7:$N$874,I50,BS_RE33!$P$7:$P$874,'30 days CF Table(ALL)'!G50),2)</f>
        <v>0</v>
      </c>
      <c r="N50" s="548">
        <f>ROUND(SUMIFS(BS_RE33!$H$7:$H$874,BS_RE33!$S$7:$S$874,$N$2,BS_RE33!$N$7:$N$874,I50,BS_RE33!$P$7:$P$874,'30 days CF Table(ALL)'!G50),2)</f>
        <v>0</v>
      </c>
      <c r="O50" s="548">
        <f>ROUND(SUMIFS(BS_RE33!$H$7:$H$874,BS_RE33!$S$7:$S$874,$O$2,BS_RE33!$N$7:$N$874,I50,BS_RE33!$P$7:$P$874,'30 days CF Table(ALL)'!G50),2)</f>
        <v>0</v>
      </c>
      <c r="P50" s="548">
        <f>ROUND(SUMIFS(BS_RE33!$H$7:$H$874,BS_RE33!$S$7:$S$874,$P$2,BS_RE33!$N$7:$N$874,I50,BS_RE33!$P$7:$P$874,'30 days CF Table(ALL)'!G50),2)</f>
        <v>0</v>
      </c>
      <c r="Q50" s="548">
        <f>ROUND(SUMIFS(BS_RE33!$H$7:$H$874,BS_RE33!$S$7:$S$874,$Q$2,BS_RE33!$N$7:$N$874,I50,BS_RE33!$P$7:$P$874,'30 days CF Table(ALL)'!G50),2)</f>
        <v>0</v>
      </c>
      <c r="R50" s="548">
        <f>ROUND(SUMIFS(BS_RE33!$H$7:$H$874,BS_RE33!$S$7:$S$874,$R$2,BS_RE33!$N$7:$N$874,I50,BS_RE33!$P$7:$P$874,'30 days CF Table(ALL)'!G50),2)</f>
        <v>0</v>
      </c>
      <c r="S50" s="548">
        <f>ROUND(SUMIFS(BS_RE33!$H$7:$H$874,BS_RE33!$S$7:$S$874,$S$2,BS_RE33!$N$7:$N$874,I50,BS_RE33!$P$7:$P$874,'30 days CF Table(ALL)'!G50),2)</f>
        <v>0</v>
      </c>
      <c r="T50" s="548">
        <f>ROUND(SUMIFS(BS_RE33!$H$7:$H$874,BS_RE33!$S$7:$S$874,$T$2,BS_RE33!$N$7:$N$874,I50,BS_RE33!$P$7:$P$874,'30 days CF Table(ALL)'!G50),2)</f>
        <v>0</v>
      </c>
      <c r="U50" s="548">
        <f>ROUND(SUMIFS(BS_RE33!$H$7:$H$874,BS_RE33!$S$7:$S$874,$U$2,BS_RE33!$N$7:$N$874,I50,BS_RE33!$P$7:$P$874,'30 days CF Table(ALL)'!G50),2)</f>
        <v>0</v>
      </c>
      <c r="V50" s="548">
        <f>ROUND(SUMIFS(BS_RE33!$H$7:$H$874,BS_RE33!$S$7:$S$874,$V$2,BS_RE33!$N$7:$N$874,I50,BS_RE33!$P$7:$P$874,'30 days CF Table(ALL)'!G50),2)</f>
        <v>0</v>
      </c>
      <c r="W50" s="548">
        <f>ROUND(SUMIFS(BS_RE33!$H$7:$H$874,BS_RE33!$S$7:$S$874,$W$2,BS_RE33!$N$7:$N$874,I50,BS_RE33!$P$7:$P$874,'30 days CF Table(ALL)'!G50),2)</f>
        <v>0</v>
      </c>
      <c r="X50" s="548">
        <f>ROUND(SUMIFS(BS_RE33!$H$7:$H$874,BS_RE33!$S$7:$S$874,$X$2,BS_RE33!$N$7:$N$874,I50,BS_RE33!$P$7:$P$874,'30 days CF Table(ALL)'!G50),2)</f>
        <v>0</v>
      </c>
      <c r="Y50" s="548">
        <f>ROUND(SUMIFS(BS_RE33!$H$7:$H$874,BS_RE33!$S$7:$S$874,$Y$2,BS_RE33!$N$7:$N$874,I50,BS_RE33!$P$7:$P$874,'30 days CF Table(ALL)'!G50),2)</f>
        <v>0</v>
      </c>
      <c r="Z50" s="548">
        <f>ROUND(SUMIFS(BS_RE33!$H$7:$H$874,BS_RE33!$S$7:$S$874,$Z$2,BS_RE33!$N$7:$N$874,I50,BS_RE33!$P$7:$P$874,'30 days CF Table(ALL)'!G50),2)</f>
        <v>0</v>
      </c>
      <c r="AA50" s="548">
        <f>ROUND(SUMIFS(BS_RE33!$H$7:$H$874,BS_RE33!$S$7:$S$874,$AA$2,BS_RE33!$N$7:$N$874,I50,BS_RE33!$P$7:$P$874,'30 days CF Table(ALL)'!G50),2)</f>
        <v>0</v>
      </c>
      <c r="AB50" s="548">
        <f>ROUND(SUMIFS(BS_RE33!$H$7:$H$874,BS_RE33!$S$7:$S$874,$AB$2,BS_RE33!$N$7:$N$874,I50,BS_RE33!$P$7:$P$874,'30 days CF Table(ALL)'!G50),2)</f>
        <v>0</v>
      </c>
      <c r="AC50" s="548">
        <f>ROUND(SUMIFS(BS_RE33!$H$7:$H$874,BS_RE33!$S$7:$S$874,$AC$2,BS_RE33!$N$7:$N$874,I50,BS_RE33!$P$7:$P$874,'30 days CF Table(ALL)'!G50),2)</f>
        <v>0</v>
      </c>
      <c r="AD50" s="548">
        <f>ROUND(SUMIFS(BS_RE33!$H$7:$H$874,BS_RE33!$S$7:$S$874,$AD$2,BS_RE33!$N$7:$N$874,I50,BS_RE33!$P$7:$P$874,'30 days CF Table(ALL)'!G50),2)</f>
        <v>0</v>
      </c>
      <c r="AE50" s="548">
        <f>ROUND(SUMIFS(BS_RE33!$H$7:$H$874,BS_RE33!$S$7:$S$874,$AE$2,BS_RE33!$N$7:$N$874,I50,BS_RE33!$P$7:$P$874,'30 days CF Table(ALL)'!G50),2)</f>
        <v>0</v>
      </c>
      <c r="AF50" s="548">
        <f>ROUND(SUMIFS(BS_RE33!$H$7:$H$874,BS_RE33!$S$7:$S$874,$AF$2,BS_RE33!$N$7:$N$874,I50,BS_RE33!$P$7:$P$874,'30 days CF Table(ALL)'!G50),2)</f>
        <v>0</v>
      </c>
      <c r="AG50" s="548">
        <f>ROUND(SUMIFS(BS_RE33!$H$7:$H$874,BS_RE33!$S$7:$S$874,$AG$2,BS_RE33!$N$7:$N$874,I50,BS_RE33!$P$7:$P$874,'30 days CF Table(ALL)'!G50),2)</f>
        <v>0</v>
      </c>
      <c r="AH50" s="548">
        <f>ROUND(SUMIFS(BS_RE33!$H$7:$H$874,BS_RE33!$S$7:$S$874,$AH$2,BS_RE33!$N$7:$N$874,I50,BS_RE33!$P$7:$P$874,'30 days CF Table(ALL)'!G50),2)</f>
        <v>0</v>
      </c>
      <c r="AI50" s="548">
        <f>ROUND(SUMIFS(BS_RE33!$H$7:$H$874,BS_RE33!$S$7:$S$874,$AI$2,BS_RE33!$N$7:$N$874,I50,BS_RE33!$P$7:$P$874,'30 days CF Table(ALL)'!G50),2)</f>
        <v>0</v>
      </c>
      <c r="AJ50" s="548">
        <f>ROUND(SUMIFS(BS_RE33!$H$7:$H$874,BS_RE33!$S$7:$S$874,$AJ$2,BS_RE33!$N$7:$N$874,I50,BS_RE33!$P$7:$P$874,'30 days CF Table(ALL)'!G50),2)</f>
        <v>0</v>
      </c>
      <c r="AK50" s="548">
        <f>ROUND(SUMIFS(BS_RE33!$H$7:$H$874,BS_RE33!$S$7:$S$874,$AK$2,BS_RE33!$N$7:$N$874,I50,BS_RE33!$P$7:$P$874,'30 days CF Table(ALL)'!G50),2)</f>
        <v>0</v>
      </c>
      <c r="AL50" s="548">
        <f>ROUND(SUMIFS(BS_RE33!$H$7:$H$874,BS_RE33!$S$7:$S$874,$AL$2,BS_RE33!$N$7:$N$874,I50,BS_RE33!$P$7:$P$874,'30 days CF Table(ALL)'!G50),2)</f>
        <v>0</v>
      </c>
      <c r="AM50" s="548">
        <f>ROUND(SUMIFS(BS_RE33!$H$7:$H$874,BS_RE33!$S$7:$S$874,$AM$2,BS_RE33!$N$7:$N$874,I50,BS_RE33!$P$7:$P$874,'30 days CF Table(ALL)'!G50),2)</f>
        <v>0</v>
      </c>
      <c r="AN50" s="548">
        <f>ROUND(SUMIFS(BS_RE33!$H$7:$H$874,BS_RE33!$S$7:$S$874,$AN$2,BS_RE33!$N$7:$N$874,I50,BS_RE33!$P$7:$P$874,'30 days CF Table(ALL)'!G50),2)</f>
        <v>0</v>
      </c>
      <c r="AO50" s="548">
        <f>ROUND(SUMIFS(BS_RE33!$H$7:$H$874,BS_RE33!$S$7:$S$874,$AO$2,BS_RE33!$N$7:$N$874,I50,BS_RE33!$P$7:$P$874,'30 days CF Table(ALL)'!G50),2)</f>
        <v>0</v>
      </c>
      <c r="AP50" s="549">
        <f>ROUND(SUMIFS(BS_RE33!$H$7:$H$874,BS_RE33!$S$7:$S$874,$AP$2,BS_RE33!$N$7:$N$874,I50,BS_RE33!$P$7:$P$874,'30 days CF Table(ALL)'!G50),2)</f>
        <v>0</v>
      </c>
      <c r="AQ50" s="550"/>
      <c r="AR50" s="380">
        <f>ROUND(SUMIFS(BS_RE33!$H$7:$H$874,BS_RE33!$S$7:$S$874,$AR$2,BS_RE33!$N$7:$N$874,I50,BS_RE33!$P$7:$P$874,'30 days CF Table(ALL)'!G50),2)</f>
        <v>0</v>
      </c>
      <c r="AS50" s="380">
        <f>ROUND(SUMIFS(BS_RE33!$H$7:$H$874,BS_RE33!$S$7:$S$874,$AS$2,BS_RE33!$N$7:$N$874,I50,BS_RE33!$P$7:$P$874,'30 days CF Table(ALL)'!G50),2)</f>
        <v>0</v>
      </c>
      <c r="AT50" s="380">
        <f>ROUND(SUMIFS(BS_RE33!$H$7:$H$874,BS_RE33!$S$7:$S$874,$AT$2,BS_RE33!$N$7:$N$874,I50,BS_RE33!$P$7:$P$874,'30 days CF Table(ALL)'!G50),2)</f>
        <v>0</v>
      </c>
      <c r="AU50" s="380">
        <f>ROUND(SUMIFS(BS_RE33!$H$7:$H$874,BS_RE33!$S$7:$S$874,$AU$2,BS_RE33!$N$7:$N$874,I50,BS_RE33!$P$7:$P$874,'30 days CF Table(ALL)'!G50),2)</f>
        <v>0</v>
      </c>
      <c r="AV50" s="380">
        <f>ROUND(SUMIFS(BS_RE33!$H$7:$H$874,BS_RE33!$S$7:$S$874,$AV$2,BS_RE33!$N$7:$N$874,I50,BS_RE33!$P$7:$P$874,'30 days CF Table(ALL)'!G50),2)</f>
        <v>0</v>
      </c>
      <c r="AW50" s="380">
        <f>ROUND(SUMIFS(BS_RE33!$H$7:$H$874,BS_RE33!$S$7:$S$874,$AW$2,BS_RE33!$N$7:$N$874,I50,BS_RE33!$P$7:$P$874,'30 days CF Table(ALL)'!G50),2)</f>
        <v>0</v>
      </c>
      <c r="AX50" s="380">
        <f>ROUND(SUMIFS(BS_RE33!$H$7:$H$874,BS_RE33!$S$7:$S$874,$AX$2,BS_RE33!$N$7:$N$874,I50,BS_RE33!$P$7:$P$874,'30 days CF Table(ALL)'!G50),2)</f>
        <v>0</v>
      </c>
      <c r="AY50" s="380">
        <f>ROUND(SUMIFS(BS_RE33!$H$7:$H$874,BS_RE33!$S$7:$S$874,$AY$2,BS_RE33!$N$7:$N$874,I50,BS_RE33!$P$7:$P$874,'30 days CF Table(ALL)'!G50),2)</f>
        <v>0</v>
      </c>
      <c r="AZ50" s="380">
        <f>ROUND(SUMIFS(BS_RE33!$H$7:$H$874,BS_RE33!$S$7:$S$874,$AZ$2,BS_RE33!$N$7:$N$874,I50,BS_RE33!$P$7:$P$874,'30 days CF Table(ALL)'!G50),2)</f>
        <v>0</v>
      </c>
      <c r="BA50" s="380">
        <f>ROUND(SUMIFS(BS_RE33!$H$7:$H$874,BS_RE33!$S$7:$S$874,$BA$2,BS_RE33!$N$7:$N$874,I50,BS_RE33!$P$7:$P$874,'30 days CF Table(ALL)'!G50),2)</f>
        <v>0</v>
      </c>
      <c r="BB50" s="380">
        <f>ROUND(SUMIFS(BS_RE33!$H$7:$H$874,BS_RE33!$S$7:$S$874,$BB$2,BS_RE33!$N$7:$N$874,I50,BS_RE33!$P$7:$P$874,'30 days CF Table(ALL)'!G50),2)</f>
        <v>0</v>
      </c>
      <c r="BC50" s="380">
        <f>ROUND(SUMIFS(BS_RE33!$H$7:$H$874,BS_RE33!$S$7:$S$874,$BC$2,BS_RE33!$N$7:$N$874,I50,BS_RE33!$P$7:$P$874,'30 days CF Table(ALL)'!G50),2)</f>
        <v>0</v>
      </c>
      <c r="BD50" s="380">
        <f>ROUND(SUMIFS(BS_RE33!$H$7:$H$874,BS_RE33!$S$7:$S$874,$BD$2,BS_RE33!$N$7:$N$874,I50,BS_RE33!$P$7:$P$874,'30 days CF Table(ALL)'!G50),2)</f>
        <v>0</v>
      </c>
      <c r="BE50" s="380">
        <f>ROUND(SUMIFS(BS_RE33!$H$7:$H$874,BS_RE33!$S$7:$S$874,$BE$2,BS_RE33!$N$7:$N$874,I50,BS_RE33!$P$7:$P$874,'30 days CF Table(ALL)'!G50),2)</f>
        <v>0</v>
      </c>
      <c r="BF50" s="380">
        <f>ROUND(SUMIFS(BS_RE33!$H$7:$H$874,BS_RE33!$S$7:$S$874,$BF$2,BS_RE33!$N$7:$N$874,I50,BS_RE33!$P$7:$P$874,'30 days CF Table(ALL)'!G50),2)</f>
        <v>0</v>
      </c>
      <c r="BG50" s="380">
        <f>ROUND(SUMIFS(BS_RE33!$H$7:$H$874,BS_RE33!$S$7:$S$874,$BG$2,BS_RE33!$N$7:$N$874,I50,BS_RE33!$P$7:$P$874,'30 days CF Table(ALL)'!G50),2)</f>
        <v>0</v>
      </c>
      <c r="BH50" s="380">
        <f>ROUND(SUMIFS(BS_RE33!$H$7:$H$874,BS_RE33!$S$7:$S$874,$BH$2,BS_RE33!$N$7:$N$874,I50,BS_RE33!$P$7:$P$874,'30 days CF Table(ALL)'!G50),2)</f>
        <v>0</v>
      </c>
      <c r="BI50" s="380">
        <f>ROUND(SUMIFS(BS_RE33!$H$7:$H$874,BS_RE33!$S$7:$S$874,$BI$2,BS_RE33!$N$7:$N$874,I50,BS_RE33!$P$7:$P$874,'30 days CF Table(ALL)'!G50),2)</f>
        <v>0</v>
      </c>
      <c r="BJ50" s="380">
        <f>ROUND(SUMIFS(BS_RE33!$H$7:$H$874,BS_RE33!$S$7:$S$874,$BJ$2,BS_RE33!$N$7:$N$874,I50,BS_RE33!$P$7:$P$874,'30 days CF Table(ALL)'!G50),2)</f>
        <v>0</v>
      </c>
      <c r="BK50" s="380">
        <f>ROUND(SUMIFS(BS_RE33!$H$7:$H$874,BS_RE33!$S$7:$S$874,$BK$2,BS_RE33!$N$7:$N$874,I50,BS_RE33!$P$7:$P$874,'30 days CF Table(ALL)'!G50),2)</f>
        <v>0</v>
      </c>
    </row>
    <row r="51" spans="3:63" ht="20.25">
      <c r="C51" s="323" t="s">
        <v>92</v>
      </c>
      <c r="D51" s="333" t="s">
        <v>92</v>
      </c>
      <c r="E51" s="108" t="s">
        <v>92</v>
      </c>
      <c r="F51" s="309"/>
      <c r="G51" s="392" t="s">
        <v>530</v>
      </c>
      <c r="H51" s="316">
        <v>0</v>
      </c>
      <c r="I51" s="307" t="s">
        <v>167</v>
      </c>
      <c r="J51" s="478">
        <f t="shared" si="3"/>
        <v>0</v>
      </c>
      <c r="K51" s="547">
        <f t="shared" si="5"/>
        <v>0</v>
      </c>
      <c r="L51" s="548">
        <f>ROUND(SUMIFS(BS_RE33!$H$7:$H$874,BS_RE33!$S$7:$S$874,$L$2,BS_RE33!$N$7:$N$874,I51,BS_RE33!$P$7:$P$874,'30 days CF Table(ALL)'!G51),2)</f>
        <v>0</v>
      </c>
      <c r="M51" s="548">
        <f>ROUND(SUMIFS(BS_RE33!$H$7:$H$874,BS_RE33!$S$7:$S$874,$M$2,BS_RE33!$N$7:$N$874,I51,BS_RE33!$P$7:$P$874,'30 days CF Table(ALL)'!G51),2)</f>
        <v>0</v>
      </c>
      <c r="N51" s="548">
        <f>ROUND(SUMIFS(BS_RE33!$H$7:$H$874,BS_RE33!$S$7:$S$874,$N$2,BS_RE33!$N$7:$N$874,I51,BS_RE33!$P$7:$P$874,'30 days CF Table(ALL)'!G51),2)</f>
        <v>0</v>
      </c>
      <c r="O51" s="548">
        <f>ROUND(SUMIFS(BS_RE33!$H$7:$H$874,BS_RE33!$S$7:$S$874,$O$2,BS_RE33!$N$7:$N$874,I51,BS_RE33!$P$7:$P$874,'30 days CF Table(ALL)'!G51),2)</f>
        <v>0</v>
      </c>
      <c r="P51" s="548">
        <f>ROUND(SUMIFS(BS_RE33!$H$7:$H$874,BS_RE33!$S$7:$S$874,$P$2,BS_RE33!$N$7:$N$874,I51,BS_RE33!$P$7:$P$874,'30 days CF Table(ALL)'!G51),2)</f>
        <v>0</v>
      </c>
      <c r="Q51" s="548">
        <f>ROUND(SUMIFS(BS_RE33!$H$7:$H$874,BS_RE33!$S$7:$S$874,$Q$2,BS_RE33!$N$7:$N$874,I51,BS_RE33!$P$7:$P$874,'30 days CF Table(ALL)'!G51),2)</f>
        <v>0</v>
      </c>
      <c r="R51" s="548">
        <f>ROUND(SUMIFS(BS_RE33!$H$7:$H$874,BS_RE33!$S$7:$S$874,$R$2,BS_RE33!$N$7:$N$874,I51,BS_RE33!$P$7:$P$874,'30 days CF Table(ALL)'!G51),2)</f>
        <v>0</v>
      </c>
      <c r="S51" s="548">
        <f>ROUND(SUMIFS(BS_RE33!$H$7:$H$874,BS_RE33!$S$7:$S$874,$S$2,BS_RE33!$N$7:$N$874,I51,BS_RE33!$P$7:$P$874,'30 days CF Table(ALL)'!G51),2)</f>
        <v>0</v>
      </c>
      <c r="T51" s="548">
        <f>ROUND(SUMIFS(BS_RE33!$H$7:$H$874,BS_RE33!$S$7:$S$874,$T$2,BS_RE33!$N$7:$N$874,I51,BS_RE33!$P$7:$P$874,'30 days CF Table(ALL)'!G51),2)</f>
        <v>0</v>
      </c>
      <c r="U51" s="548">
        <f>ROUND(SUMIFS(BS_RE33!$H$7:$H$874,BS_RE33!$S$7:$S$874,$U$2,BS_RE33!$N$7:$N$874,I51,BS_RE33!$P$7:$P$874,'30 days CF Table(ALL)'!G51),2)</f>
        <v>0</v>
      </c>
      <c r="V51" s="548">
        <f>ROUND(SUMIFS(BS_RE33!$H$7:$H$874,BS_RE33!$S$7:$S$874,$V$2,BS_RE33!$N$7:$N$874,I51,BS_RE33!$P$7:$P$874,'30 days CF Table(ALL)'!G51),2)</f>
        <v>0</v>
      </c>
      <c r="W51" s="548">
        <f>ROUND(SUMIFS(BS_RE33!$H$7:$H$874,BS_RE33!$S$7:$S$874,$W$2,BS_RE33!$N$7:$N$874,I51,BS_RE33!$P$7:$P$874,'30 days CF Table(ALL)'!G51),2)</f>
        <v>0</v>
      </c>
      <c r="X51" s="548">
        <f>ROUND(SUMIFS(BS_RE33!$H$7:$H$874,BS_RE33!$S$7:$S$874,$X$2,BS_RE33!$N$7:$N$874,I51,BS_RE33!$P$7:$P$874,'30 days CF Table(ALL)'!G51),2)</f>
        <v>0</v>
      </c>
      <c r="Y51" s="548">
        <f>ROUND(SUMIFS(BS_RE33!$H$7:$H$874,BS_RE33!$S$7:$S$874,$Y$2,BS_RE33!$N$7:$N$874,I51,BS_RE33!$P$7:$P$874,'30 days CF Table(ALL)'!G51),2)</f>
        <v>0</v>
      </c>
      <c r="Z51" s="548">
        <f>ROUND(SUMIFS(BS_RE33!$H$7:$H$874,BS_RE33!$S$7:$S$874,$Z$2,BS_RE33!$N$7:$N$874,I51,BS_RE33!$P$7:$P$874,'30 days CF Table(ALL)'!G51),2)</f>
        <v>0</v>
      </c>
      <c r="AA51" s="548">
        <f>ROUND(SUMIFS(BS_RE33!$H$7:$H$874,BS_RE33!$S$7:$S$874,$AA$2,BS_RE33!$N$7:$N$874,I51,BS_RE33!$P$7:$P$874,'30 days CF Table(ALL)'!G51),2)</f>
        <v>0</v>
      </c>
      <c r="AB51" s="548">
        <f>ROUND(SUMIFS(BS_RE33!$H$7:$H$874,BS_RE33!$S$7:$S$874,$AB$2,BS_RE33!$N$7:$N$874,I51,BS_RE33!$P$7:$P$874,'30 days CF Table(ALL)'!G51),2)</f>
        <v>0</v>
      </c>
      <c r="AC51" s="548">
        <f>ROUND(SUMIFS(BS_RE33!$H$7:$H$874,BS_RE33!$S$7:$S$874,$AC$2,BS_RE33!$N$7:$N$874,I51,BS_RE33!$P$7:$P$874,'30 days CF Table(ALL)'!G51),2)</f>
        <v>0</v>
      </c>
      <c r="AD51" s="548">
        <f>ROUND(SUMIFS(BS_RE33!$H$7:$H$874,BS_RE33!$S$7:$S$874,$AD$2,BS_RE33!$N$7:$N$874,I51,BS_RE33!$P$7:$P$874,'30 days CF Table(ALL)'!G51),2)</f>
        <v>0</v>
      </c>
      <c r="AE51" s="548">
        <f>ROUND(SUMIFS(BS_RE33!$H$7:$H$874,BS_RE33!$S$7:$S$874,$AE$2,BS_RE33!$N$7:$N$874,I51,BS_RE33!$P$7:$P$874,'30 days CF Table(ALL)'!G51),2)</f>
        <v>0</v>
      </c>
      <c r="AF51" s="548">
        <f>ROUND(SUMIFS(BS_RE33!$H$7:$H$874,BS_RE33!$S$7:$S$874,$AF$2,BS_RE33!$N$7:$N$874,I51,BS_RE33!$P$7:$P$874,'30 days CF Table(ALL)'!G51),2)</f>
        <v>0</v>
      </c>
      <c r="AG51" s="548">
        <f>ROUND(SUMIFS(BS_RE33!$H$7:$H$874,BS_RE33!$S$7:$S$874,$AG$2,BS_RE33!$N$7:$N$874,I51,BS_RE33!$P$7:$P$874,'30 days CF Table(ALL)'!G51),2)</f>
        <v>0</v>
      </c>
      <c r="AH51" s="548">
        <f>ROUND(SUMIFS(BS_RE33!$H$7:$H$874,BS_RE33!$S$7:$S$874,$AH$2,BS_RE33!$N$7:$N$874,I51,BS_RE33!$P$7:$P$874,'30 days CF Table(ALL)'!G51),2)</f>
        <v>0</v>
      </c>
      <c r="AI51" s="548">
        <f>ROUND(SUMIFS(BS_RE33!$H$7:$H$874,BS_RE33!$S$7:$S$874,$AI$2,BS_RE33!$N$7:$N$874,I51,BS_RE33!$P$7:$P$874,'30 days CF Table(ALL)'!G51),2)</f>
        <v>0</v>
      </c>
      <c r="AJ51" s="548">
        <f>ROUND(SUMIFS(BS_RE33!$H$7:$H$874,BS_RE33!$S$7:$S$874,$AJ$2,BS_RE33!$N$7:$N$874,I51,BS_RE33!$P$7:$P$874,'30 days CF Table(ALL)'!G51),2)</f>
        <v>0</v>
      </c>
      <c r="AK51" s="548">
        <f>ROUND(SUMIFS(BS_RE33!$H$7:$H$874,BS_RE33!$S$7:$S$874,$AK$2,BS_RE33!$N$7:$N$874,I51,BS_RE33!$P$7:$P$874,'30 days CF Table(ALL)'!G51),2)</f>
        <v>0</v>
      </c>
      <c r="AL51" s="548">
        <f>ROUND(SUMIFS(BS_RE33!$H$7:$H$874,BS_RE33!$S$7:$S$874,$AL$2,BS_RE33!$N$7:$N$874,I51,BS_RE33!$P$7:$P$874,'30 days CF Table(ALL)'!G51),2)</f>
        <v>0</v>
      </c>
      <c r="AM51" s="548">
        <f>ROUND(SUMIFS(BS_RE33!$H$7:$H$874,BS_RE33!$S$7:$S$874,$AM$2,BS_RE33!$N$7:$N$874,I51,BS_RE33!$P$7:$P$874,'30 days CF Table(ALL)'!G51),2)</f>
        <v>0</v>
      </c>
      <c r="AN51" s="548">
        <f>ROUND(SUMIFS(BS_RE33!$H$7:$H$874,BS_RE33!$S$7:$S$874,$AN$2,BS_RE33!$N$7:$N$874,I51,BS_RE33!$P$7:$P$874,'30 days CF Table(ALL)'!G51),2)</f>
        <v>0</v>
      </c>
      <c r="AO51" s="548">
        <f>ROUND(SUMIFS(BS_RE33!$H$7:$H$874,BS_RE33!$S$7:$S$874,$AO$2,BS_RE33!$N$7:$N$874,I51,BS_RE33!$P$7:$P$874,'30 days CF Table(ALL)'!G51),2)</f>
        <v>0</v>
      </c>
      <c r="AP51" s="549">
        <f>ROUND(SUMIFS(BS_RE33!$H$7:$H$874,BS_RE33!$S$7:$S$874,$AP$2,BS_RE33!$N$7:$N$874,I51,BS_RE33!$P$7:$P$874,'30 days CF Table(ALL)'!G51),2)</f>
        <v>0</v>
      </c>
      <c r="AQ51" s="550"/>
      <c r="AR51" s="380">
        <f>ROUND(SUMIFS(BS_RE33!$H$7:$H$874,BS_RE33!$S$7:$S$874,$AR$2,BS_RE33!$N$7:$N$874,I51,BS_RE33!$P$7:$P$874,'30 days CF Table(ALL)'!G51),2)</f>
        <v>0</v>
      </c>
      <c r="AS51" s="380">
        <f>ROUND(SUMIFS(BS_RE33!$H$7:$H$874,BS_RE33!$S$7:$S$874,$AS$2,BS_RE33!$N$7:$N$874,I51,BS_RE33!$P$7:$P$874,'30 days CF Table(ALL)'!G51),2)</f>
        <v>0</v>
      </c>
      <c r="AT51" s="380">
        <f>ROUND(SUMIFS(BS_RE33!$H$7:$H$874,BS_RE33!$S$7:$S$874,$AT$2,BS_RE33!$N$7:$N$874,I51,BS_RE33!$P$7:$P$874,'30 days CF Table(ALL)'!G51),2)</f>
        <v>0</v>
      </c>
      <c r="AU51" s="380">
        <f>ROUND(SUMIFS(BS_RE33!$H$7:$H$874,BS_RE33!$S$7:$S$874,$AU$2,BS_RE33!$N$7:$N$874,I51,BS_RE33!$P$7:$P$874,'30 days CF Table(ALL)'!G51),2)</f>
        <v>0</v>
      </c>
      <c r="AV51" s="380">
        <f>ROUND(SUMIFS(BS_RE33!$H$7:$H$874,BS_RE33!$S$7:$S$874,$AV$2,BS_RE33!$N$7:$N$874,I51,BS_RE33!$P$7:$P$874,'30 days CF Table(ALL)'!G51),2)</f>
        <v>0</v>
      </c>
      <c r="AW51" s="380">
        <f>ROUND(SUMIFS(BS_RE33!$H$7:$H$874,BS_RE33!$S$7:$S$874,$AW$2,BS_RE33!$N$7:$N$874,I51,BS_RE33!$P$7:$P$874,'30 days CF Table(ALL)'!G51),2)</f>
        <v>0</v>
      </c>
      <c r="AX51" s="380">
        <f>ROUND(SUMIFS(BS_RE33!$H$7:$H$874,BS_RE33!$S$7:$S$874,$AX$2,BS_RE33!$N$7:$N$874,I51,BS_RE33!$P$7:$P$874,'30 days CF Table(ALL)'!G51),2)</f>
        <v>0</v>
      </c>
      <c r="AY51" s="380">
        <f>ROUND(SUMIFS(BS_RE33!$H$7:$H$874,BS_RE33!$S$7:$S$874,$AY$2,BS_RE33!$N$7:$N$874,I51,BS_RE33!$P$7:$P$874,'30 days CF Table(ALL)'!G51),2)</f>
        <v>0</v>
      </c>
      <c r="AZ51" s="380">
        <f>ROUND(SUMIFS(BS_RE33!$H$7:$H$874,BS_RE33!$S$7:$S$874,$AZ$2,BS_RE33!$N$7:$N$874,I51,BS_RE33!$P$7:$P$874,'30 days CF Table(ALL)'!G51),2)</f>
        <v>0</v>
      </c>
      <c r="BA51" s="380">
        <f>ROUND(SUMIFS(BS_RE33!$H$7:$H$874,BS_RE33!$S$7:$S$874,$BA$2,BS_RE33!$N$7:$N$874,I51,BS_RE33!$P$7:$P$874,'30 days CF Table(ALL)'!G51),2)</f>
        <v>0</v>
      </c>
      <c r="BB51" s="380">
        <f>ROUND(SUMIFS(BS_RE33!$H$7:$H$874,BS_RE33!$S$7:$S$874,$BB$2,BS_RE33!$N$7:$N$874,I51,BS_RE33!$P$7:$P$874,'30 days CF Table(ALL)'!G51),2)</f>
        <v>0</v>
      </c>
      <c r="BC51" s="380">
        <f>ROUND(SUMIFS(BS_RE33!$H$7:$H$874,BS_RE33!$S$7:$S$874,$BC$2,BS_RE33!$N$7:$N$874,I51,BS_RE33!$P$7:$P$874,'30 days CF Table(ALL)'!G51),2)</f>
        <v>0</v>
      </c>
      <c r="BD51" s="380">
        <f>ROUND(SUMIFS(BS_RE33!$H$7:$H$874,BS_RE33!$S$7:$S$874,$BD$2,BS_RE33!$N$7:$N$874,I51,BS_RE33!$P$7:$P$874,'30 days CF Table(ALL)'!G51),2)</f>
        <v>0</v>
      </c>
      <c r="BE51" s="380">
        <f>ROUND(SUMIFS(BS_RE33!$H$7:$H$874,BS_RE33!$S$7:$S$874,$BE$2,BS_RE33!$N$7:$N$874,I51,BS_RE33!$P$7:$P$874,'30 days CF Table(ALL)'!G51),2)</f>
        <v>0</v>
      </c>
      <c r="BF51" s="380">
        <f>ROUND(SUMIFS(BS_RE33!$H$7:$H$874,BS_RE33!$S$7:$S$874,$BF$2,BS_RE33!$N$7:$N$874,I51,BS_RE33!$P$7:$P$874,'30 days CF Table(ALL)'!G51),2)</f>
        <v>0</v>
      </c>
      <c r="BG51" s="380">
        <f>ROUND(SUMIFS(BS_RE33!$H$7:$H$874,BS_RE33!$S$7:$S$874,$BG$2,BS_RE33!$N$7:$N$874,I51,BS_RE33!$P$7:$P$874,'30 days CF Table(ALL)'!G51),2)</f>
        <v>0</v>
      </c>
      <c r="BH51" s="380">
        <f>ROUND(SUMIFS(BS_RE33!$H$7:$H$874,BS_RE33!$S$7:$S$874,$BH$2,BS_RE33!$N$7:$N$874,I51,BS_RE33!$P$7:$P$874,'30 days CF Table(ALL)'!G51),2)</f>
        <v>0</v>
      </c>
      <c r="BI51" s="380">
        <f>ROUND(SUMIFS(BS_RE33!$H$7:$H$874,BS_RE33!$S$7:$S$874,$BI$2,BS_RE33!$N$7:$N$874,I51,BS_RE33!$P$7:$P$874,'30 days CF Table(ALL)'!G51),2)</f>
        <v>0</v>
      </c>
      <c r="BJ51" s="380">
        <f>ROUND(SUMIFS(BS_RE33!$H$7:$H$874,BS_RE33!$S$7:$S$874,$BJ$2,BS_RE33!$N$7:$N$874,I51,BS_RE33!$P$7:$P$874,'30 days CF Table(ALL)'!G51),2)</f>
        <v>0</v>
      </c>
      <c r="BK51" s="380">
        <f>ROUND(SUMIFS(BS_RE33!$H$7:$H$874,BS_RE33!$S$7:$S$874,$BK$2,BS_RE33!$N$7:$N$874,I51,BS_RE33!$P$7:$P$874,'30 days CF Table(ALL)'!G51),2)</f>
        <v>0</v>
      </c>
    </row>
    <row r="52" spans="3:63">
      <c r="C52" s="1027" t="s">
        <v>758</v>
      </c>
      <c r="D52" s="1038" t="s">
        <v>776</v>
      </c>
      <c r="E52" s="110" t="s">
        <v>93</v>
      </c>
      <c r="F52" s="309"/>
      <c r="G52" s="392" t="s">
        <v>531</v>
      </c>
      <c r="H52" s="317">
        <v>0</v>
      </c>
      <c r="I52" s="315" t="s">
        <v>80</v>
      </c>
      <c r="J52" s="479">
        <f t="shared" si="3"/>
        <v>0</v>
      </c>
      <c r="K52" s="336">
        <f t="shared" si="5"/>
        <v>0</v>
      </c>
      <c r="L52" s="339">
        <f>ROUND(SUMIFS(BS_RE33!$H$7:$H$874,BS_RE33!$S$7:$S$874,$L$2,BS_RE33!$N$7:$N$874,I52,BS_RE33!$P$7:$P$874,'30 days CF Table(ALL)'!G52),2)</f>
        <v>0</v>
      </c>
      <c r="M52" s="339">
        <f>ROUND(SUMIFS(BS_RE33!$H$7:$H$874,BS_RE33!$S$7:$S$874,$M$2,BS_RE33!$N$7:$N$874,I52,BS_RE33!$P$7:$P$874,'30 days CF Table(ALL)'!G52),2)</f>
        <v>0</v>
      </c>
      <c r="N52" s="339">
        <f>ROUND(SUMIFS(BS_RE33!$H$7:$H$874,BS_RE33!$S$7:$S$874,$N$2,BS_RE33!$N$7:$N$874,I52,BS_RE33!$P$7:$P$874,'30 days CF Table(ALL)'!G52),2)</f>
        <v>0</v>
      </c>
      <c r="O52" s="339">
        <f>ROUND(SUMIFS(BS_RE33!$H$7:$H$874,BS_RE33!$S$7:$S$874,$O$2,BS_RE33!$N$7:$N$874,I52,BS_RE33!$P$7:$P$874,'30 days CF Table(ALL)'!G52),2)</f>
        <v>0</v>
      </c>
      <c r="P52" s="339">
        <f>ROUND(SUMIFS(BS_RE33!$H$7:$H$874,BS_RE33!$S$7:$S$874,$P$2,BS_RE33!$N$7:$N$874,I52,BS_RE33!$P$7:$P$874,'30 days CF Table(ALL)'!G52),2)</f>
        <v>0</v>
      </c>
      <c r="Q52" s="339">
        <f>ROUND(SUMIFS(BS_RE33!$H$7:$H$874,BS_RE33!$S$7:$S$874,$Q$2,BS_RE33!$N$7:$N$874,I52,BS_RE33!$P$7:$P$874,'30 days CF Table(ALL)'!G52),2)</f>
        <v>0</v>
      </c>
      <c r="R52" s="339">
        <f>ROUND(SUMIFS(BS_RE33!$H$7:$H$874,BS_RE33!$S$7:$S$874,$R$2,BS_RE33!$N$7:$N$874,I52,BS_RE33!$P$7:$P$874,'30 days CF Table(ALL)'!G52),2)</f>
        <v>0</v>
      </c>
      <c r="S52" s="339">
        <f>ROUND(SUMIFS(BS_RE33!$H$7:$H$874,BS_RE33!$S$7:$S$874,$S$2,BS_RE33!$N$7:$N$874,I52,BS_RE33!$P$7:$P$874,'30 days CF Table(ALL)'!G52),2)</f>
        <v>0</v>
      </c>
      <c r="T52" s="339">
        <f>ROUND(SUMIFS(BS_RE33!$H$7:$H$874,BS_RE33!$S$7:$S$874,$T$2,BS_RE33!$N$7:$N$874,I52,BS_RE33!$P$7:$P$874,'30 days CF Table(ALL)'!G52),2)</f>
        <v>0</v>
      </c>
      <c r="U52" s="339">
        <f>ROUND(SUMIFS(BS_RE33!$H$7:$H$874,BS_RE33!$S$7:$S$874,$U$2,BS_RE33!$N$7:$N$874,I52,BS_RE33!$P$7:$P$874,'30 days CF Table(ALL)'!G52),2)</f>
        <v>0</v>
      </c>
      <c r="V52" s="339">
        <f>ROUND(SUMIFS(BS_RE33!$H$7:$H$874,BS_RE33!$S$7:$S$874,$V$2,BS_RE33!$N$7:$N$874,I52,BS_RE33!$P$7:$P$874,'30 days CF Table(ALL)'!G52),2)</f>
        <v>0</v>
      </c>
      <c r="W52" s="339">
        <f>ROUND(SUMIFS(BS_RE33!$H$7:$H$874,BS_RE33!$S$7:$S$874,$W$2,BS_RE33!$N$7:$N$874,I52,BS_RE33!$P$7:$P$874,'30 days CF Table(ALL)'!G52),2)</f>
        <v>0</v>
      </c>
      <c r="X52" s="339">
        <f>ROUND(SUMIFS(BS_RE33!$H$7:$H$874,BS_RE33!$S$7:$S$874,$X$2,BS_RE33!$N$7:$N$874,I52,BS_RE33!$P$7:$P$874,'30 days CF Table(ALL)'!G52),2)</f>
        <v>0</v>
      </c>
      <c r="Y52" s="339">
        <f>ROUND(SUMIFS(BS_RE33!$H$7:$H$874,BS_RE33!$S$7:$S$874,$Y$2,BS_RE33!$N$7:$N$874,I52,BS_RE33!$P$7:$P$874,'30 days CF Table(ALL)'!G52),2)</f>
        <v>0</v>
      </c>
      <c r="Z52" s="339">
        <f>ROUND(SUMIFS(BS_RE33!$H$7:$H$874,BS_RE33!$S$7:$S$874,$Z$2,BS_RE33!$N$7:$N$874,I52,BS_RE33!$P$7:$P$874,'30 days CF Table(ALL)'!G52),2)</f>
        <v>0</v>
      </c>
      <c r="AA52" s="339">
        <f>ROUND(SUMIFS(BS_RE33!$H$7:$H$874,BS_RE33!$S$7:$S$874,$AA$2,BS_RE33!$N$7:$N$874,I52,BS_RE33!$P$7:$P$874,'30 days CF Table(ALL)'!G52),2)</f>
        <v>0</v>
      </c>
      <c r="AB52" s="339">
        <f>ROUND(SUMIFS(BS_RE33!$H$7:$H$874,BS_RE33!$S$7:$S$874,$AB$2,BS_RE33!$N$7:$N$874,I52,BS_RE33!$P$7:$P$874,'30 days CF Table(ALL)'!G52),2)</f>
        <v>0</v>
      </c>
      <c r="AC52" s="339">
        <f>ROUND(SUMIFS(BS_RE33!$H$7:$H$874,BS_RE33!$S$7:$S$874,$AC$2,BS_RE33!$N$7:$N$874,I52,BS_RE33!$P$7:$P$874,'30 days CF Table(ALL)'!G52),2)</f>
        <v>0</v>
      </c>
      <c r="AD52" s="339">
        <f>ROUND(SUMIFS(BS_RE33!$H$7:$H$874,BS_RE33!$S$7:$S$874,$AD$2,BS_RE33!$N$7:$N$874,I52,BS_RE33!$P$7:$P$874,'30 days CF Table(ALL)'!G52),2)</f>
        <v>0</v>
      </c>
      <c r="AE52" s="339">
        <f>ROUND(SUMIFS(BS_RE33!$H$7:$H$874,BS_RE33!$S$7:$S$874,$AE$2,BS_RE33!$N$7:$N$874,I52,BS_RE33!$P$7:$P$874,'30 days CF Table(ALL)'!G52),2)</f>
        <v>0</v>
      </c>
      <c r="AF52" s="339">
        <f>ROUND(SUMIFS(BS_RE33!$H$7:$H$874,BS_RE33!$S$7:$S$874,$AF$2,BS_RE33!$N$7:$N$874,I52,BS_RE33!$P$7:$P$874,'30 days CF Table(ALL)'!G52),2)</f>
        <v>0</v>
      </c>
      <c r="AG52" s="339">
        <f>ROUND(SUMIFS(BS_RE33!$H$7:$H$874,BS_RE33!$S$7:$S$874,$AG$2,BS_RE33!$N$7:$N$874,I52,BS_RE33!$P$7:$P$874,'30 days CF Table(ALL)'!G52),2)</f>
        <v>0</v>
      </c>
      <c r="AH52" s="339">
        <f>ROUND(SUMIFS(BS_RE33!$H$7:$H$874,BS_RE33!$S$7:$S$874,$AH$2,BS_RE33!$N$7:$N$874,I52,BS_RE33!$P$7:$P$874,'30 days CF Table(ALL)'!G52),2)</f>
        <v>0</v>
      </c>
      <c r="AI52" s="339">
        <f>ROUND(SUMIFS(BS_RE33!$H$7:$H$874,BS_RE33!$S$7:$S$874,$AI$2,BS_RE33!$N$7:$N$874,I52,BS_RE33!$P$7:$P$874,'30 days CF Table(ALL)'!G52),2)</f>
        <v>0</v>
      </c>
      <c r="AJ52" s="339">
        <f>ROUND(SUMIFS(BS_RE33!$H$7:$H$874,BS_RE33!$S$7:$S$874,$AJ$2,BS_RE33!$N$7:$N$874,I52,BS_RE33!$P$7:$P$874,'30 days CF Table(ALL)'!G52),2)</f>
        <v>0</v>
      </c>
      <c r="AK52" s="339">
        <f>ROUND(SUMIFS(BS_RE33!$H$7:$H$874,BS_RE33!$S$7:$S$874,$AK$2,BS_RE33!$N$7:$N$874,I52,BS_RE33!$P$7:$P$874,'30 days CF Table(ALL)'!G52),2)</f>
        <v>0</v>
      </c>
      <c r="AL52" s="339">
        <f>ROUND(SUMIFS(BS_RE33!$H$7:$H$874,BS_RE33!$S$7:$S$874,$AL$2,BS_RE33!$N$7:$N$874,I52,BS_RE33!$P$7:$P$874,'30 days CF Table(ALL)'!G52),2)</f>
        <v>0</v>
      </c>
      <c r="AM52" s="339">
        <f>ROUND(SUMIFS(BS_RE33!$H$7:$H$874,BS_RE33!$S$7:$S$874,$AM$2,BS_RE33!$N$7:$N$874,I52,BS_RE33!$P$7:$P$874,'30 days CF Table(ALL)'!G52),2)</f>
        <v>0</v>
      </c>
      <c r="AN52" s="339">
        <f>ROUND(SUMIFS(BS_RE33!$H$7:$H$874,BS_RE33!$S$7:$S$874,$AN$2,BS_RE33!$N$7:$N$874,I52,BS_RE33!$P$7:$P$874,'30 days CF Table(ALL)'!G52),2)</f>
        <v>0</v>
      </c>
      <c r="AO52" s="339">
        <f>ROUND(SUMIFS(BS_RE33!$H$7:$H$874,BS_RE33!$S$7:$S$874,$AO$2,BS_RE33!$N$7:$N$874,I52,BS_RE33!$P$7:$P$874,'30 days CF Table(ALL)'!G52),2)</f>
        <v>0</v>
      </c>
      <c r="AP52" s="340">
        <f>ROUND(SUMIFS(BS_RE33!$H$7:$H$874,BS_RE33!$S$7:$S$874,$AP$2,BS_RE33!$N$7:$N$874,I52,BS_RE33!$P$7:$P$874,'30 days CF Table(ALL)'!G52),2)</f>
        <v>0</v>
      </c>
      <c r="AR52" s="381">
        <f>ROUND(SUMIFS(BS_RE33!$H$7:$H$874,BS_RE33!$S$7:$S$874,$AR$2,BS_RE33!$N$7:$N$874,I52,BS_RE33!$P$7:$P$874,'30 days CF Table(ALL)'!G52),2)</f>
        <v>0</v>
      </c>
      <c r="AS52" s="381">
        <f>ROUND(SUMIFS(BS_RE33!$H$7:$H$874,BS_RE33!$S$7:$S$874,$AS$2,BS_RE33!$N$7:$N$874,I52,BS_RE33!$P$7:$P$874,'30 days CF Table(ALL)'!G52),2)</f>
        <v>0</v>
      </c>
      <c r="AT52" s="381">
        <f>ROUND(SUMIFS(BS_RE33!$H$7:$H$874,BS_RE33!$S$7:$S$874,$AT$2,BS_RE33!$N$7:$N$874,I52,BS_RE33!$P$7:$P$874,'30 days CF Table(ALL)'!G52),2)</f>
        <v>0</v>
      </c>
      <c r="AU52" s="381">
        <f>ROUND(SUMIFS(BS_RE33!$H$7:$H$874,BS_RE33!$S$7:$S$874,$AU$2,BS_RE33!$N$7:$N$874,I52,BS_RE33!$P$7:$P$874,'30 days CF Table(ALL)'!G52),2)</f>
        <v>0</v>
      </c>
      <c r="AV52" s="381">
        <f>ROUND(SUMIFS(BS_RE33!$H$7:$H$874,BS_RE33!$S$7:$S$874,$AV$2,BS_RE33!$N$7:$N$874,I52,BS_RE33!$P$7:$P$874,'30 days CF Table(ALL)'!G52),2)</f>
        <v>0</v>
      </c>
      <c r="AW52" s="381">
        <f>ROUND(SUMIFS(BS_RE33!$H$7:$H$874,BS_RE33!$S$7:$S$874,$AW$2,BS_RE33!$N$7:$N$874,I52,BS_RE33!$P$7:$P$874,'30 days CF Table(ALL)'!G52),2)</f>
        <v>0</v>
      </c>
      <c r="AX52" s="381">
        <f>ROUND(SUMIFS(BS_RE33!$H$7:$H$874,BS_RE33!$S$7:$S$874,$AX$2,BS_RE33!$N$7:$N$874,I52,BS_RE33!$P$7:$P$874,'30 days CF Table(ALL)'!G52),2)</f>
        <v>0</v>
      </c>
      <c r="AY52" s="381">
        <f>ROUND(SUMIFS(BS_RE33!$H$7:$H$874,BS_RE33!$S$7:$S$874,$AY$2,BS_RE33!$N$7:$N$874,I52,BS_RE33!$P$7:$P$874,'30 days CF Table(ALL)'!G52),2)</f>
        <v>0</v>
      </c>
      <c r="AZ52" s="381">
        <f>ROUND(SUMIFS(BS_RE33!$H$7:$H$874,BS_RE33!$S$7:$S$874,$AZ$2,BS_RE33!$N$7:$N$874,I52,BS_RE33!$P$7:$P$874,'30 days CF Table(ALL)'!G52),2)</f>
        <v>0</v>
      </c>
      <c r="BA52" s="381">
        <f>ROUND(SUMIFS(BS_RE33!$H$7:$H$874,BS_RE33!$S$7:$S$874,$BA$2,BS_RE33!$N$7:$N$874,I52,BS_RE33!$P$7:$P$874,'30 days CF Table(ALL)'!G52),2)</f>
        <v>0</v>
      </c>
      <c r="BB52" s="381">
        <f>ROUND(SUMIFS(BS_RE33!$H$7:$H$874,BS_RE33!$S$7:$S$874,$BB$2,BS_RE33!$N$7:$N$874,I52,BS_RE33!$P$7:$P$874,'30 days CF Table(ALL)'!G52),2)</f>
        <v>0</v>
      </c>
      <c r="BC52" s="381">
        <f>ROUND(SUMIFS(BS_RE33!$H$7:$H$874,BS_RE33!$S$7:$S$874,$BC$2,BS_RE33!$N$7:$N$874,I52,BS_RE33!$P$7:$P$874,'30 days CF Table(ALL)'!G52),2)</f>
        <v>0</v>
      </c>
      <c r="BD52" s="381">
        <f>ROUND(SUMIFS(BS_RE33!$H$7:$H$874,BS_RE33!$S$7:$S$874,$BD$2,BS_RE33!$N$7:$N$874,I52,BS_RE33!$P$7:$P$874,'30 days CF Table(ALL)'!G52),2)</f>
        <v>0</v>
      </c>
      <c r="BE52" s="381">
        <f>ROUND(SUMIFS(BS_RE33!$H$7:$H$874,BS_RE33!$S$7:$S$874,$BE$2,BS_RE33!$N$7:$N$874,I52,BS_RE33!$P$7:$P$874,'30 days CF Table(ALL)'!G52),2)</f>
        <v>0</v>
      </c>
      <c r="BF52" s="381">
        <f>ROUND(SUMIFS(BS_RE33!$H$7:$H$874,BS_RE33!$S$7:$S$874,$BF$2,BS_RE33!$N$7:$N$874,I52,BS_RE33!$P$7:$P$874,'30 days CF Table(ALL)'!G52),2)</f>
        <v>0</v>
      </c>
      <c r="BG52" s="381">
        <f>ROUND(SUMIFS(BS_RE33!$H$7:$H$874,BS_RE33!$S$7:$S$874,$BG$2,BS_RE33!$N$7:$N$874,I52,BS_RE33!$P$7:$P$874,'30 days CF Table(ALL)'!G52),2)</f>
        <v>0</v>
      </c>
      <c r="BH52" s="381">
        <f>ROUND(SUMIFS(BS_RE33!$H$7:$H$874,BS_RE33!$S$7:$S$874,$BH$2,BS_RE33!$N$7:$N$874,I52,BS_RE33!$P$7:$P$874,'30 days CF Table(ALL)'!G52),2)</f>
        <v>0</v>
      </c>
      <c r="BI52" s="381">
        <f>ROUND(SUMIFS(BS_RE33!$H$7:$H$874,BS_RE33!$S$7:$S$874,$BI$2,BS_RE33!$N$7:$N$874,I52,BS_RE33!$P$7:$P$874,'30 days CF Table(ALL)'!G52),2)</f>
        <v>0</v>
      </c>
      <c r="BJ52" s="381">
        <f>ROUND(SUMIFS(BS_RE33!$H$7:$H$874,BS_RE33!$S$7:$S$874,$BJ$2,BS_RE33!$N$7:$N$874,I52,BS_RE33!$P$7:$P$874,'30 days CF Table(ALL)'!G52),2)</f>
        <v>0</v>
      </c>
      <c r="BK52" s="381">
        <f>ROUND(SUMIFS(BS_RE33!$H$7:$H$874,BS_RE33!$S$7:$S$874,$BK$2,BS_RE33!$N$7:$N$874,I52,BS_RE33!$P$7:$P$874,'30 days CF Table(ALL)'!G52),2)</f>
        <v>0</v>
      </c>
    </row>
    <row r="53" spans="3:63">
      <c r="C53" s="1027"/>
      <c r="D53" s="1039"/>
      <c r="E53" s="110" t="s">
        <v>94</v>
      </c>
      <c r="F53" s="309"/>
      <c r="G53" s="392" t="s">
        <v>532</v>
      </c>
      <c r="H53" s="317">
        <v>0</v>
      </c>
      <c r="I53" s="315" t="s">
        <v>80</v>
      </c>
      <c r="J53" s="479">
        <f t="shared" si="3"/>
        <v>0</v>
      </c>
      <c r="K53" s="336">
        <f t="shared" si="5"/>
        <v>0</v>
      </c>
      <c r="L53" s="339">
        <f>ROUND(SUMIFS(BS_RE33!$H$7:$H$874,BS_RE33!$S$7:$S$874,$L$2,BS_RE33!$N$7:$N$874,I53,BS_RE33!$P$7:$P$874,'30 days CF Table(ALL)'!G53),2)</f>
        <v>0</v>
      </c>
      <c r="M53" s="339">
        <f>ROUND(SUMIFS(BS_RE33!$H$7:$H$874,BS_RE33!$S$7:$S$874,$M$2,BS_RE33!$N$7:$N$874,I53,BS_RE33!$P$7:$P$874,'30 days CF Table(ALL)'!G53),2)</f>
        <v>0</v>
      </c>
      <c r="N53" s="339">
        <f>ROUND(SUMIFS(BS_RE33!$H$7:$H$874,BS_RE33!$S$7:$S$874,$N$2,BS_RE33!$N$7:$N$874,I53,BS_RE33!$P$7:$P$874,'30 days CF Table(ALL)'!G53),2)</f>
        <v>0</v>
      </c>
      <c r="O53" s="339">
        <f>ROUND(SUMIFS(BS_RE33!$H$7:$H$874,BS_RE33!$S$7:$S$874,$O$2,BS_RE33!$N$7:$N$874,I53,BS_RE33!$P$7:$P$874,'30 days CF Table(ALL)'!G53),2)</f>
        <v>0</v>
      </c>
      <c r="P53" s="339">
        <f>ROUND(SUMIFS(BS_RE33!$H$7:$H$874,BS_RE33!$S$7:$S$874,$P$2,BS_RE33!$N$7:$N$874,I53,BS_RE33!$P$7:$P$874,'30 days CF Table(ALL)'!G53),2)</f>
        <v>0</v>
      </c>
      <c r="Q53" s="339">
        <f>ROUND(SUMIFS(BS_RE33!$H$7:$H$874,BS_RE33!$S$7:$S$874,$Q$2,BS_RE33!$N$7:$N$874,I53,BS_RE33!$P$7:$P$874,'30 days CF Table(ALL)'!G53),2)</f>
        <v>0</v>
      </c>
      <c r="R53" s="339">
        <f>ROUND(SUMIFS(BS_RE33!$H$7:$H$874,BS_RE33!$S$7:$S$874,$R$2,BS_RE33!$N$7:$N$874,I53,BS_RE33!$P$7:$P$874,'30 days CF Table(ALL)'!G53),2)</f>
        <v>0</v>
      </c>
      <c r="S53" s="339">
        <f>ROUND(SUMIFS(BS_RE33!$H$7:$H$874,BS_RE33!$S$7:$S$874,$S$2,BS_RE33!$N$7:$N$874,I53,BS_RE33!$P$7:$P$874,'30 days CF Table(ALL)'!G53),2)</f>
        <v>0</v>
      </c>
      <c r="T53" s="339">
        <f>ROUND(SUMIFS(BS_RE33!$H$7:$H$874,BS_RE33!$S$7:$S$874,$T$2,BS_RE33!$N$7:$N$874,I53,BS_RE33!$P$7:$P$874,'30 days CF Table(ALL)'!G53),2)</f>
        <v>0</v>
      </c>
      <c r="U53" s="339">
        <f>ROUND(SUMIFS(BS_RE33!$H$7:$H$874,BS_RE33!$S$7:$S$874,$U$2,BS_RE33!$N$7:$N$874,I53,BS_RE33!$P$7:$P$874,'30 days CF Table(ALL)'!G53),2)</f>
        <v>0</v>
      </c>
      <c r="V53" s="339">
        <f>ROUND(SUMIFS(BS_RE33!$H$7:$H$874,BS_RE33!$S$7:$S$874,$V$2,BS_RE33!$N$7:$N$874,I53,BS_RE33!$P$7:$P$874,'30 days CF Table(ALL)'!G53),2)</f>
        <v>0</v>
      </c>
      <c r="W53" s="339">
        <f>ROUND(SUMIFS(BS_RE33!$H$7:$H$874,BS_RE33!$S$7:$S$874,$W$2,BS_RE33!$N$7:$N$874,I53,BS_RE33!$P$7:$P$874,'30 days CF Table(ALL)'!G53),2)</f>
        <v>0</v>
      </c>
      <c r="X53" s="339">
        <f>ROUND(SUMIFS(BS_RE33!$H$7:$H$874,BS_RE33!$S$7:$S$874,$X$2,BS_RE33!$N$7:$N$874,I53,BS_RE33!$P$7:$P$874,'30 days CF Table(ALL)'!G53),2)</f>
        <v>0</v>
      </c>
      <c r="Y53" s="339">
        <f>ROUND(SUMIFS(BS_RE33!$H$7:$H$874,BS_RE33!$S$7:$S$874,$Y$2,BS_RE33!$N$7:$N$874,I53,BS_RE33!$P$7:$P$874,'30 days CF Table(ALL)'!G53),2)</f>
        <v>0</v>
      </c>
      <c r="Z53" s="339">
        <f>ROUND(SUMIFS(BS_RE33!$H$7:$H$874,BS_RE33!$S$7:$S$874,$Z$2,BS_RE33!$N$7:$N$874,I53,BS_RE33!$P$7:$P$874,'30 days CF Table(ALL)'!G53),2)</f>
        <v>0</v>
      </c>
      <c r="AA53" s="339">
        <f>ROUND(SUMIFS(BS_RE33!$H$7:$H$874,BS_RE33!$S$7:$S$874,$AA$2,BS_RE33!$N$7:$N$874,I53,BS_RE33!$P$7:$P$874,'30 days CF Table(ALL)'!G53),2)</f>
        <v>0</v>
      </c>
      <c r="AB53" s="339">
        <f>ROUND(SUMIFS(BS_RE33!$H$7:$H$874,BS_RE33!$S$7:$S$874,$AB$2,BS_RE33!$N$7:$N$874,I53,BS_RE33!$P$7:$P$874,'30 days CF Table(ALL)'!G53),2)</f>
        <v>0</v>
      </c>
      <c r="AC53" s="339">
        <f>ROUND(SUMIFS(BS_RE33!$H$7:$H$874,BS_RE33!$S$7:$S$874,$AC$2,BS_RE33!$N$7:$N$874,I53,BS_RE33!$P$7:$P$874,'30 days CF Table(ALL)'!G53),2)</f>
        <v>0</v>
      </c>
      <c r="AD53" s="339">
        <f>ROUND(SUMIFS(BS_RE33!$H$7:$H$874,BS_RE33!$S$7:$S$874,$AD$2,BS_RE33!$N$7:$N$874,I53,BS_RE33!$P$7:$P$874,'30 days CF Table(ALL)'!G53),2)</f>
        <v>0</v>
      </c>
      <c r="AE53" s="339">
        <f>ROUND(SUMIFS(BS_RE33!$H$7:$H$874,BS_RE33!$S$7:$S$874,$AE$2,BS_RE33!$N$7:$N$874,I53,BS_RE33!$P$7:$P$874,'30 days CF Table(ALL)'!G53),2)</f>
        <v>0</v>
      </c>
      <c r="AF53" s="339">
        <f>ROUND(SUMIFS(BS_RE33!$H$7:$H$874,BS_RE33!$S$7:$S$874,$AF$2,BS_RE33!$N$7:$N$874,I53,BS_RE33!$P$7:$P$874,'30 days CF Table(ALL)'!G53),2)</f>
        <v>0</v>
      </c>
      <c r="AG53" s="339">
        <f>ROUND(SUMIFS(BS_RE33!$H$7:$H$874,BS_RE33!$S$7:$S$874,$AG$2,BS_RE33!$N$7:$N$874,I53,BS_RE33!$P$7:$P$874,'30 days CF Table(ALL)'!G53),2)</f>
        <v>0</v>
      </c>
      <c r="AH53" s="339">
        <f>ROUND(SUMIFS(BS_RE33!$H$7:$H$874,BS_RE33!$S$7:$S$874,$AH$2,BS_RE33!$N$7:$N$874,I53,BS_RE33!$P$7:$P$874,'30 days CF Table(ALL)'!G53),2)</f>
        <v>0</v>
      </c>
      <c r="AI53" s="339">
        <f>ROUND(SUMIFS(BS_RE33!$H$7:$H$874,BS_RE33!$S$7:$S$874,$AI$2,BS_RE33!$N$7:$N$874,I53,BS_RE33!$P$7:$P$874,'30 days CF Table(ALL)'!G53),2)</f>
        <v>0</v>
      </c>
      <c r="AJ53" s="339">
        <f>ROUND(SUMIFS(BS_RE33!$H$7:$H$874,BS_RE33!$S$7:$S$874,$AJ$2,BS_RE33!$N$7:$N$874,I53,BS_RE33!$P$7:$P$874,'30 days CF Table(ALL)'!G53),2)</f>
        <v>0</v>
      </c>
      <c r="AK53" s="339">
        <f>ROUND(SUMIFS(BS_RE33!$H$7:$H$874,BS_RE33!$S$7:$S$874,$AK$2,BS_RE33!$N$7:$N$874,I53,BS_RE33!$P$7:$P$874,'30 days CF Table(ALL)'!G53),2)</f>
        <v>0</v>
      </c>
      <c r="AL53" s="339">
        <f>ROUND(SUMIFS(BS_RE33!$H$7:$H$874,BS_RE33!$S$7:$S$874,$AL$2,BS_RE33!$N$7:$N$874,I53,BS_RE33!$P$7:$P$874,'30 days CF Table(ALL)'!G53),2)</f>
        <v>0</v>
      </c>
      <c r="AM53" s="339">
        <f>ROUND(SUMIFS(BS_RE33!$H$7:$H$874,BS_RE33!$S$7:$S$874,$AM$2,BS_RE33!$N$7:$N$874,I53,BS_RE33!$P$7:$P$874,'30 days CF Table(ALL)'!G53),2)</f>
        <v>0</v>
      </c>
      <c r="AN53" s="339">
        <f>ROUND(SUMIFS(BS_RE33!$H$7:$H$874,BS_RE33!$S$7:$S$874,$AN$2,BS_RE33!$N$7:$N$874,I53,BS_RE33!$P$7:$P$874,'30 days CF Table(ALL)'!G53),2)</f>
        <v>0</v>
      </c>
      <c r="AO53" s="339">
        <f>ROUND(SUMIFS(BS_RE33!$H$7:$H$874,BS_RE33!$S$7:$S$874,$AO$2,BS_RE33!$N$7:$N$874,I53,BS_RE33!$P$7:$P$874,'30 days CF Table(ALL)'!G53),2)</f>
        <v>0</v>
      </c>
      <c r="AP53" s="340">
        <f>ROUND(SUMIFS(BS_RE33!$H$7:$H$874,BS_RE33!$S$7:$S$874,$AP$2,BS_RE33!$N$7:$N$874,I53,BS_RE33!$P$7:$P$874,'30 days CF Table(ALL)'!G53),2)</f>
        <v>0</v>
      </c>
      <c r="AR53" s="381">
        <f>ROUND(SUMIFS(BS_RE33!$H$7:$H$874,BS_RE33!$S$7:$S$874,$AR$2,BS_RE33!$N$7:$N$874,I53,BS_RE33!$P$7:$P$874,'30 days CF Table(ALL)'!G53),2)</f>
        <v>0</v>
      </c>
      <c r="AS53" s="381">
        <f>ROUND(SUMIFS(BS_RE33!$H$7:$H$874,BS_RE33!$S$7:$S$874,$AS$2,BS_RE33!$N$7:$N$874,I53,BS_RE33!$P$7:$P$874,'30 days CF Table(ALL)'!G53),2)</f>
        <v>0</v>
      </c>
      <c r="AT53" s="381">
        <f>ROUND(SUMIFS(BS_RE33!$H$7:$H$874,BS_RE33!$S$7:$S$874,$AT$2,BS_RE33!$N$7:$N$874,I53,BS_RE33!$P$7:$P$874,'30 days CF Table(ALL)'!G53),2)</f>
        <v>0</v>
      </c>
      <c r="AU53" s="381">
        <f>ROUND(SUMIFS(BS_RE33!$H$7:$H$874,BS_RE33!$S$7:$S$874,$AU$2,BS_RE33!$N$7:$N$874,I53,BS_RE33!$P$7:$P$874,'30 days CF Table(ALL)'!G53),2)</f>
        <v>0</v>
      </c>
      <c r="AV53" s="381">
        <f>ROUND(SUMIFS(BS_RE33!$H$7:$H$874,BS_RE33!$S$7:$S$874,$AV$2,BS_RE33!$N$7:$N$874,I53,BS_RE33!$P$7:$P$874,'30 days CF Table(ALL)'!G53),2)</f>
        <v>0</v>
      </c>
      <c r="AW53" s="381">
        <f>ROUND(SUMIFS(BS_RE33!$H$7:$H$874,BS_RE33!$S$7:$S$874,$AW$2,BS_RE33!$N$7:$N$874,I53,BS_RE33!$P$7:$P$874,'30 days CF Table(ALL)'!G53),2)</f>
        <v>0</v>
      </c>
      <c r="AX53" s="381">
        <f>ROUND(SUMIFS(BS_RE33!$H$7:$H$874,BS_RE33!$S$7:$S$874,$AX$2,BS_RE33!$N$7:$N$874,I53,BS_RE33!$P$7:$P$874,'30 days CF Table(ALL)'!G53),2)</f>
        <v>0</v>
      </c>
      <c r="AY53" s="381">
        <f>ROUND(SUMIFS(BS_RE33!$H$7:$H$874,BS_RE33!$S$7:$S$874,$AY$2,BS_RE33!$N$7:$N$874,I53,BS_RE33!$P$7:$P$874,'30 days CF Table(ALL)'!G53),2)</f>
        <v>0</v>
      </c>
      <c r="AZ53" s="381">
        <f>ROUND(SUMIFS(BS_RE33!$H$7:$H$874,BS_RE33!$S$7:$S$874,$AZ$2,BS_RE33!$N$7:$N$874,I53,BS_RE33!$P$7:$P$874,'30 days CF Table(ALL)'!G53),2)</f>
        <v>0</v>
      </c>
      <c r="BA53" s="381">
        <f>ROUND(SUMIFS(BS_RE33!$H$7:$H$874,BS_RE33!$S$7:$S$874,$BA$2,BS_RE33!$N$7:$N$874,I53,BS_RE33!$P$7:$P$874,'30 days CF Table(ALL)'!G53),2)</f>
        <v>0</v>
      </c>
      <c r="BB53" s="381">
        <f>ROUND(SUMIFS(BS_RE33!$H$7:$H$874,BS_RE33!$S$7:$S$874,$BB$2,BS_RE33!$N$7:$N$874,I53,BS_RE33!$P$7:$P$874,'30 days CF Table(ALL)'!G53),2)</f>
        <v>0</v>
      </c>
      <c r="BC53" s="381">
        <f>ROUND(SUMIFS(BS_RE33!$H$7:$H$874,BS_RE33!$S$7:$S$874,$BC$2,BS_RE33!$N$7:$N$874,I53,BS_RE33!$P$7:$P$874,'30 days CF Table(ALL)'!G53),2)</f>
        <v>0</v>
      </c>
      <c r="BD53" s="381">
        <f>ROUND(SUMIFS(BS_RE33!$H$7:$H$874,BS_RE33!$S$7:$S$874,$BD$2,BS_RE33!$N$7:$N$874,I53,BS_RE33!$P$7:$P$874,'30 days CF Table(ALL)'!G53),2)</f>
        <v>0</v>
      </c>
      <c r="BE53" s="381">
        <f>ROUND(SUMIFS(BS_RE33!$H$7:$H$874,BS_RE33!$S$7:$S$874,$BE$2,BS_RE33!$N$7:$N$874,I53,BS_RE33!$P$7:$P$874,'30 days CF Table(ALL)'!G53),2)</f>
        <v>0</v>
      </c>
      <c r="BF53" s="381">
        <f>ROUND(SUMIFS(BS_RE33!$H$7:$H$874,BS_RE33!$S$7:$S$874,$BF$2,BS_RE33!$N$7:$N$874,I53,BS_RE33!$P$7:$P$874,'30 days CF Table(ALL)'!G53),2)</f>
        <v>0</v>
      </c>
      <c r="BG53" s="381">
        <f>ROUND(SUMIFS(BS_RE33!$H$7:$H$874,BS_RE33!$S$7:$S$874,$BG$2,BS_RE33!$N$7:$N$874,I53,BS_RE33!$P$7:$P$874,'30 days CF Table(ALL)'!G53),2)</f>
        <v>0</v>
      </c>
      <c r="BH53" s="381">
        <f>ROUND(SUMIFS(BS_RE33!$H$7:$H$874,BS_RE33!$S$7:$S$874,$BH$2,BS_RE33!$N$7:$N$874,I53,BS_RE33!$P$7:$P$874,'30 days CF Table(ALL)'!G53),2)</f>
        <v>0</v>
      </c>
      <c r="BI53" s="381">
        <f>ROUND(SUMIFS(BS_RE33!$H$7:$H$874,BS_RE33!$S$7:$S$874,$BI$2,BS_RE33!$N$7:$N$874,I53,BS_RE33!$P$7:$P$874,'30 days CF Table(ALL)'!G53),2)</f>
        <v>0</v>
      </c>
      <c r="BJ53" s="381">
        <f>ROUND(SUMIFS(BS_RE33!$H$7:$H$874,BS_RE33!$S$7:$S$874,$BJ$2,BS_RE33!$N$7:$N$874,I53,BS_RE33!$P$7:$P$874,'30 days CF Table(ALL)'!G53),2)</f>
        <v>0</v>
      </c>
      <c r="BK53" s="381">
        <f>ROUND(SUMIFS(BS_RE33!$H$7:$H$874,BS_RE33!$S$7:$S$874,$BK$2,BS_RE33!$N$7:$N$874,I53,BS_RE33!$P$7:$P$874,'30 days CF Table(ALL)'!G53),2)</f>
        <v>0</v>
      </c>
    </row>
    <row r="54" spans="3:63">
      <c r="C54" s="1027"/>
      <c r="D54" s="1043" t="s">
        <v>768</v>
      </c>
      <c r="E54" s="334" t="s">
        <v>767</v>
      </c>
      <c r="F54" s="309"/>
      <c r="G54" s="392" t="s">
        <v>533</v>
      </c>
      <c r="H54" s="317">
        <v>0</v>
      </c>
      <c r="I54" s="315" t="s">
        <v>80</v>
      </c>
      <c r="J54" s="479">
        <f t="shared" si="3"/>
        <v>0</v>
      </c>
      <c r="K54" s="336">
        <f t="shared" si="5"/>
        <v>0</v>
      </c>
      <c r="L54" s="339">
        <f>ROUND(SUMIFS(BS_RE33!$H$7:$H$874,BS_RE33!$S$7:$S$874,$L$2,BS_RE33!$N$7:$N$874,I54,BS_RE33!$P$7:$P$874,'30 days CF Table(ALL)'!G54),2)</f>
        <v>0</v>
      </c>
      <c r="M54" s="339">
        <f>ROUND(SUMIFS(BS_RE33!$H$7:$H$874,BS_RE33!$S$7:$S$874,$M$2,BS_RE33!$N$7:$N$874,I54,BS_RE33!$P$7:$P$874,'30 days CF Table(ALL)'!G54),2)</f>
        <v>0</v>
      </c>
      <c r="N54" s="339">
        <f>ROUND(SUMIFS(BS_RE33!$H$7:$H$874,BS_RE33!$S$7:$S$874,$N$2,BS_RE33!$N$7:$N$874,I54,BS_RE33!$P$7:$P$874,'30 days CF Table(ALL)'!G54),2)</f>
        <v>0</v>
      </c>
      <c r="O54" s="339">
        <f>ROUND(SUMIFS(BS_RE33!$H$7:$H$874,BS_RE33!$S$7:$S$874,$O$2,BS_RE33!$N$7:$N$874,I54,BS_RE33!$P$7:$P$874,'30 days CF Table(ALL)'!G54),2)</f>
        <v>0</v>
      </c>
      <c r="P54" s="339">
        <f>ROUND(SUMIFS(BS_RE33!$H$7:$H$874,BS_RE33!$S$7:$S$874,$P$2,BS_RE33!$N$7:$N$874,I54,BS_RE33!$P$7:$P$874,'30 days CF Table(ALL)'!G54),2)</f>
        <v>0</v>
      </c>
      <c r="Q54" s="339">
        <f>ROUND(SUMIFS(BS_RE33!$H$7:$H$874,BS_RE33!$S$7:$S$874,$Q$2,BS_RE33!$N$7:$N$874,I54,BS_RE33!$P$7:$P$874,'30 days CF Table(ALL)'!G54),2)</f>
        <v>0</v>
      </c>
      <c r="R54" s="339">
        <f>ROUND(SUMIFS(BS_RE33!$H$7:$H$874,BS_RE33!$S$7:$S$874,$R$2,BS_RE33!$N$7:$N$874,I54,BS_RE33!$P$7:$P$874,'30 days CF Table(ALL)'!G54),2)</f>
        <v>0</v>
      </c>
      <c r="S54" s="339">
        <f>ROUND(SUMIFS(BS_RE33!$H$7:$H$874,BS_RE33!$S$7:$S$874,$S$2,BS_RE33!$N$7:$N$874,I54,BS_RE33!$P$7:$P$874,'30 days CF Table(ALL)'!G54),2)</f>
        <v>0</v>
      </c>
      <c r="T54" s="339">
        <f>ROUND(SUMIFS(BS_RE33!$H$7:$H$874,BS_RE33!$S$7:$S$874,$T$2,BS_RE33!$N$7:$N$874,I54,BS_RE33!$P$7:$P$874,'30 days CF Table(ALL)'!G54),2)</f>
        <v>0</v>
      </c>
      <c r="U54" s="339">
        <f>ROUND(SUMIFS(BS_RE33!$H$7:$H$874,BS_RE33!$S$7:$S$874,$U$2,BS_RE33!$N$7:$N$874,I54,BS_RE33!$P$7:$P$874,'30 days CF Table(ALL)'!G54),2)</f>
        <v>0</v>
      </c>
      <c r="V54" s="339">
        <f>ROUND(SUMIFS(BS_RE33!$H$7:$H$874,BS_RE33!$S$7:$S$874,$V$2,BS_RE33!$N$7:$N$874,I54,BS_RE33!$P$7:$P$874,'30 days CF Table(ALL)'!G54),2)</f>
        <v>0</v>
      </c>
      <c r="W54" s="339">
        <f>ROUND(SUMIFS(BS_RE33!$H$7:$H$874,BS_RE33!$S$7:$S$874,$W$2,BS_RE33!$N$7:$N$874,I54,BS_RE33!$P$7:$P$874,'30 days CF Table(ALL)'!G54),2)</f>
        <v>0</v>
      </c>
      <c r="X54" s="339">
        <f>ROUND(SUMIFS(BS_RE33!$H$7:$H$874,BS_RE33!$S$7:$S$874,$X$2,BS_RE33!$N$7:$N$874,I54,BS_RE33!$P$7:$P$874,'30 days CF Table(ALL)'!G54),2)</f>
        <v>0</v>
      </c>
      <c r="Y54" s="339">
        <f>ROUND(SUMIFS(BS_RE33!$H$7:$H$874,BS_RE33!$S$7:$S$874,$Y$2,BS_RE33!$N$7:$N$874,I54,BS_RE33!$P$7:$P$874,'30 days CF Table(ALL)'!G54),2)</f>
        <v>0</v>
      </c>
      <c r="Z54" s="339">
        <f>ROUND(SUMIFS(BS_RE33!$H$7:$H$874,BS_RE33!$S$7:$S$874,$Z$2,BS_RE33!$N$7:$N$874,I54,BS_RE33!$P$7:$P$874,'30 days CF Table(ALL)'!G54),2)</f>
        <v>0</v>
      </c>
      <c r="AA54" s="339">
        <f>ROUND(SUMIFS(BS_RE33!$H$7:$H$874,BS_RE33!$S$7:$S$874,$AA$2,BS_RE33!$N$7:$N$874,I54,BS_RE33!$P$7:$P$874,'30 days CF Table(ALL)'!G54),2)</f>
        <v>0</v>
      </c>
      <c r="AB54" s="339">
        <f>ROUND(SUMIFS(BS_RE33!$H$7:$H$874,BS_RE33!$S$7:$S$874,$AB$2,BS_RE33!$N$7:$N$874,I54,BS_RE33!$P$7:$P$874,'30 days CF Table(ALL)'!G54),2)</f>
        <v>0</v>
      </c>
      <c r="AC54" s="339">
        <f>ROUND(SUMIFS(BS_RE33!$H$7:$H$874,BS_RE33!$S$7:$S$874,$AC$2,BS_RE33!$N$7:$N$874,I54,BS_RE33!$P$7:$P$874,'30 days CF Table(ALL)'!G54),2)</f>
        <v>0</v>
      </c>
      <c r="AD54" s="339">
        <f>ROUND(SUMIFS(BS_RE33!$H$7:$H$874,BS_RE33!$S$7:$S$874,$AD$2,BS_RE33!$N$7:$N$874,I54,BS_RE33!$P$7:$P$874,'30 days CF Table(ALL)'!G54),2)</f>
        <v>0</v>
      </c>
      <c r="AE54" s="339">
        <f>ROUND(SUMIFS(BS_RE33!$H$7:$H$874,BS_RE33!$S$7:$S$874,$AE$2,BS_RE33!$N$7:$N$874,I54,BS_RE33!$P$7:$P$874,'30 days CF Table(ALL)'!G54),2)</f>
        <v>0</v>
      </c>
      <c r="AF54" s="339">
        <f>ROUND(SUMIFS(BS_RE33!$H$7:$H$874,BS_RE33!$S$7:$S$874,$AF$2,BS_RE33!$N$7:$N$874,I54,BS_RE33!$P$7:$P$874,'30 days CF Table(ALL)'!G54),2)</f>
        <v>0</v>
      </c>
      <c r="AG54" s="339">
        <f>ROUND(SUMIFS(BS_RE33!$H$7:$H$874,BS_RE33!$S$7:$S$874,$AG$2,BS_RE33!$N$7:$N$874,I54,BS_RE33!$P$7:$P$874,'30 days CF Table(ALL)'!G54),2)</f>
        <v>0</v>
      </c>
      <c r="AH54" s="339">
        <f>ROUND(SUMIFS(BS_RE33!$H$7:$H$874,BS_RE33!$S$7:$S$874,$AH$2,BS_RE33!$N$7:$N$874,I54,BS_RE33!$P$7:$P$874,'30 days CF Table(ALL)'!G54),2)</f>
        <v>0</v>
      </c>
      <c r="AI54" s="339">
        <f>ROUND(SUMIFS(BS_RE33!$H$7:$H$874,BS_RE33!$S$7:$S$874,$AI$2,BS_RE33!$N$7:$N$874,I54,BS_RE33!$P$7:$P$874,'30 days CF Table(ALL)'!G54),2)</f>
        <v>0</v>
      </c>
      <c r="AJ54" s="339">
        <f>ROUND(SUMIFS(BS_RE33!$H$7:$H$874,BS_RE33!$S$7:$S$874,$AJ$2,BS_RE33!$N$7:$N$874,I54,BS_RE33!$P$7:$P$874,'30 days CF Table(ALL)'!G54),2)</f>
        <v>0</v>
      </c>
      <c r="AK54" s="339">
        <f>ROUND(SUMIFS(BS_RE33!$H$7:$H$874,BS_RE33!$S$7:$S$874,$AK$2,BS_RE33!$N$7:$N$874,I54,BS_RE33!$P$7:$P$874,'30 days CF Table(ALL)'!G54),2)</f>
        <v>0</v>
      </c>
      <c r="AL54" s="339">
        <f>ROUND(SUMIFS(BS_RE33!$H$7:$H$874,BS_RE33!$S$7:$S$874,$AL$2,BS_RE33!$N$7:$N$874,I54,BS_RE33!$P$7:$P$874,'30 days CF Table(ALL)'!G54),2)</f>
        <v>0</v>
      </c>
      <c r="AM54" s="339">
        <f>ROUND(SUMIFS(BS_RE33!$H$7:$H$874,BS_RE33!$S$7:$S$874,$AM$2,BS_RE33!$N$7:$N$874,I54,BS_RE33!$P$7:$P$874,'30 days CF Table(ALL)'!G54),2)</f>
        <v>0</v>
      </c>
      <c r="AN54" s="339">
        <f>ROUND(SUMIFS(BS_RE33!$H$7:$H$874,BS_RE33!$S$7:$S$874,$AN$2,BS_RE33!$N$7:$N$874,I54,BS_RE33!$P$7:$P$874,'30 days CF Table(ALL)'!G54),2)</f>
        <v>0</v>
      </c>
      <c r="AO54" s="339">
        <f>ROUND(SUMIFS(BS_RE33!$H$7:$H$874,BS_RE33!$S$7:$S$874,$AO$2,BS_RE33!$N$7:$N$874,I54,BS_RE33!$P$7:$P$874,'30 days CF Table(ALL)'!G54),2)</f>
        <v>0</v>
      </c>
      <c r="AP54" s="340">
        <f>ROUND(SUMIFS(BS_RE33!$H$7:$H$874,BS_RE33!$S$7:$S$874,$AP$2,BS_RE33!$N$7:$N$874,I54,BS_RE33!$P$7:$P$874,'30 days CF Table(ALL)'!G54),2)</f>
        <v>0</v>
      </c>
      <c r="AR54" s="381">
        <f>ROUND(SUMIFS(BS_RE33!$H$7:$H$874,BS_RE33!$S$7:$S$874,$AR$2,BS_RE33!$N$7:$N$874,I54,BS_RE33!$P$7:$P$874,'30 days CF Table(ALL)'!G54),2)</f>
        <v>0</v>
      </c>
      <c r="AS54" s="381">
        <f>ROUND(SUMIFS(BS_RE33!$H$7:$H$874,BS_RE33!$S$7:$S$874,$AS$2,BS_RE33!$N$7:$N$874,I54,BS_RE33!$P$7:$P$874,'30 days CF Table(ALL)'!G54),2)</f>
        <v>0</v>
      </c>
      <c r="AT54" s="381">
        <f>ROUND(SUMIFS(BS_RE33!$H$7:$H$874,BS_RE33!$S$7:$S$874,$AT$2,BS_RE33!$N$7:$N$874,I54,BS_RE33!$P$7:$P$874,'30 days CF Table(ALL)'!G54),2)</f>
        <v>0</v>
      </c>
      <c r="AU54" s="381">
        <f>ROUND(SUMIFS(BS_RE33!$H$7:$H$874,BS_RE33!$S$7:$S$874,$AU$2,BS_RE33!$N$7:$N$874,I54,BS_RE33!$P$7:$P$874,'30 days CF Table(ALL)'!G54),2)</f>
        <v>0</v>
      </c>
      <c r="AV54" s="381">
        <f>ROUND(SUMIFS(BS_RE33!$H$7:$H$874,BS_RE33!$S$7:$S$874,$AV$2,BS_RE33!$N$7:$N$874,I54,BS_RE33!$P$7:$P$874,'30 days CF Table(ALL)'!G54),2)</f>
        <v>0</v>
      </c>
      <c r="AW54" s="381">
        <f>ROUND(SUMIFS(BS_RE33!$H$7:$H$874,BS_RE33!$S$7:$S$874,$AW$2,BS_RE33!$N$7:$N$874,I54,BS_RE33!$P$7:$P$874,'30 days CF Table(ALL)'!G54),2)</f>
        <v>0</v>
      </c>
      <c r="AX54" s="381">
        <f>ROUND(SUMIFS(BS_RE33!$H$7:$H$874,BS_RE33!$S$7:$S$874,$AX$2,BS_RE33!$N$7:$N$874,I54,BS_RE33!$P$7:$P$874,'30 days CF Table(ALL)'!G54),2)</f>
        <v>0</v>
      </c>
      <c r="AY54" s="381">
        <f>ROUND(SUMIFS(BS_RE33!$H$7:$H$874,BS_RE33!$S$7:$S$874,$AY$2,BS_RE33!$N$7:$N$874,I54,BS_RE33!$P$7:$P$874,'30 days CF Table(ALL)'!G54),2)</f>
        <v>0</v>
      </c>
      <c r="AZ54" s="381">
        <f>ROUND(SUMIFS(BS_RE33!$H$7:$H$874,BS_RE33!$S$7:$S$874,$AZ$2,BS_RE33!$N$7:$N$874,I54,BS_RE33!$P$7:$P$874,'30 days CF Table(ALL)'!G54),2)</f>
        <v>0</v>
      </c>
      <c r="BA54" s="381">
        <f>ROUND(SUMIFS(BS_RE33!$H$7:$H$874,BS_RE33!$S$7:$S$874,$BA$2,BS_RE33!$N$7:$N$874,I54,BS_RE33!$P$7:$P$874,'30 days CF Table(ALL)'!G54),2)</f>
        <v>0</v>
      </c>
      <c r="BB54" s="381">
        <f>ROUND(SUMIFS(BS_RE33!$H$7:$H$874,BS_RE33!$S$7:$S$874,$BB$2,BS_RE33!$N$7:$N$874,I54,BS_RE33!$P$7:$P$874,'30 days CF Table(ALL)'!G54),2)</f>
        <v>0</v>
      </c>
      <c r="BC54" s="381">
        <f>ROUND(SUMIFS(BS_RE33!$H$7:$H$874,BS_RE33!$S$7:$S$874,$BC$2,BS_RE33!$N$7:$N$874,I54,BS_RE33!$P$7:$P$874,'30 days CF Table(ALL)'!G54),2)</f>
        <v>0</v>
      </c>
      <c r="BD54" s="381">
        <f>ROUND(SUMIFS(BS_RE33!$H$7:$H$874,BS_RE33!$S$7:$S$874,$BD$2,BS_RE33!$N$7:$N$874,I54,BS_RE33!$P$7:$P$874,'30 days CF Table(ALL)'!G54),2)</f>
        <v>0</v>
      </c>
      <c r="BE54" s="381">
        <f>ROUND(SUMIFS(BS_RE33!$H$7:$H$874,BS_RE33!$S$7:$S$874,$BE$2,BS_RE33!$N$7:$N$874,I54,BS_RE33!$P$7:$P$874,'30 days CF Table(ALL)'!G54),2)</f>
        <v>0</v>
      </c>
      <c r="BF54" s="381">
        <f>ROUND(SUMIFS(BS_RE33!$H$7:$H$874,BS_RE33!$S$7:$S$874,$BF$2,BS_RE33!$N$7:$N$874,I54,BS_RE33!$P$7:$P$874,'30 days CF Table(ALL)'!G54),2)</f>
        <v>0</v>
      </c>
      <c r="BG54" s="381">
        <f>ROUND(SUMIFS(BS_RE33!$H$7:$H$874,BS_RE33!$S$7:$S$874,$BG$2,BS_RE33!$N$7:$N$874,I54,BS_RE33!$P$7:$P$874,'30 days CF Table(ALL)'!G54),2)</f>
        <v>0</v>
      </c>
      <c r="BH54" s="381">
        <f>ROUND(SUMIFS(BS_RE33!$H$7:$H$874,BS_RE33!$S$7:$S$874,$BH$2,BS_RE33!$N$7:$N$874,I54,BS_RE33!$P$7:$P$874,'30 days CF Table(ALL)'!G54),2)</f>
        <v>0</v>
      </c>
      <c r="BI54" s="381">
        <f>ROUND(SUMIFS(BS_RE33!$H$7:$H$874,BS_RE33!$S$7:$S$874,$BI$2,BS_RE33!$N$7:$N$874,I54,BS_RE33!$P$7:$P$874,'30 days CF Table(ALL)'!G54),2)</f>
        <v>0</v>
      </c>
      <c r="BJ54" s="381">
        <f>ROUND(SUMIFS(BS_RE33!$H$7:$H$874,BS_RE33!$S$7:$S$874,$BJ$2,BS_RE33!$N$7:$N$874,I54,BS_RE33!$P$7:$P$874,'30 days CF Table(ALL)'!G54),2)</f>
        <v>0</v>
      </c>
      <c r="BK54" s="381">
        <f>ROUND(SUMIFS(BS_RE33!$H$7:$H$874,BS_RE33!$S$7:$S$874,$BK$2,BS_RE33!$N$7:$N$874,I54,BS_RE33!$P$7:$P$874,'30 days CF Table(ALL)'!G54),2)</f>
        <v>0</v>
      </c>
    </row>
    <row r="55" spans="3:63">
      <c r="C55" s="1027"/>
      <c r="D55" s="1043"/>
      <c r="E55" s="334" t="s">
        <v>95</v>
      </c>
      <c r="F55" s="309"/>
      <c r="G55" s="392" t="s">
        <v>533</v>
      </c>
      <c r="H55" s="317">
        <v>0</v>
      </c>
      <c r="I55" s="315" t="s">
        <v>80</v>
      </c>
      <c r="J55" s="479">
        <f t="shared" si="3"/>
        <v>0</v>
      </c>
      <c r="K55" s="336">
        <f t="shared" si="5"/>
        <v>0</v>
      </c>
      <c r="L55" s="339">
        <f>ROUND(SUMIFS(BS_RE33!$H$7:$H$874,BS_RE33!$S$7:$S$874,$L$2,BS_RE33!$N$7:$N$874,I55,BS_RE33!$P$7:$P$874,'30 days CF Table(ALL)'!G55),2)</f>
        <v>0</v>
      </c>
      <c r="M55" s="339">
        <f>ROUND(SUMIFS(BS_RE33!$H$7:$H$874,BS_RE33!$S$7:$S$874,$M$2,BS_RE33!$N$7:$N$874,I55,BS_RE33!$P$7:$P$874,'30 days CF Table(ALL)'!G55),2)</f>
        <v>0</v>
      </c>
      <c r="N55" s="339">
        <f>ROUND(SUMIFS(BS_RE33!$H$7:$H$874,BS_RE33!$S$7:$S$874,$N$2,BS_RE33!$N$7:$N$874,I55,BS_RE33!$P$7:$P$874,'30 days CF Table(ALL)'!G55),2)</f>
        <v>0</v>
      </c>
      <c r="O55" s="339">
        <f>ROUND(SUMIFS(BS_RE33!$H$7:$H$874,BS_RE33!$S$7:$S$874,$O$2,BS_RE33!$N$7:$N$874,I55,BS_RE33!$P$7:$P$874,'30 days CF Table(ALL)'!G55),2)</f>
        <v>0</v>
      </c>
      <c r="P55" s="339">
        <f>ROUND(SUMIFS(BS_RE33!$H$7:$H$874,BS_RE33!$S$7:$S$874,$P$2,BS_RE33!$N$7:$N$874,I55,BS_RE33!$P$7:$P$874,'30 days CF Table(ALL)'!G55),2)</f>
        <v>0</v>
      </c>
      <c r="Q55" s="339">
        <f>ROUND(SUMIFS(BS_RE33!$H$7:$H$874,BS_RE33!$S$7:$S$874,$Q$2,BS_RE33!$N$7:$N$874,I55,BS_RE33!$P$7:$P$874,'30 days CF Table(ALL)'!G55),2)</f>
        <v>0</v>
      </c>
      <c r="R55" s="339">
        <f>ROUND(SUMIFS(BS_RE33!$H$7:$H$874,BS_RE33!$S$7:$S$874,$R$2,BS_RE33!$N$7:$N$874,I55,BS_RE33!$P$7:$P$874,'30 days CF Table(ALL)'!G55),2)</f>
        <v>0</v>
      </c>
      <c r="S55" s="339">
        <f>ROUND(SUMIFS(BS_RE33!$H$7:$H$874,BS_RE33!$S$7:$S$874,$S$2,BS_RE33!$N$7:$N$874,I55,BS_RE33!$P$7:$P$874,'30 days CF Table(ALL)'!G55),2)</f>
        <v>0</v>
      </c>
      <c r="T55" s="339">
        <f>ROUND(SUMIFS(BS_RE33!$H$7:$H$874,BS_RE33!$S$7:$S$874,$T$2,BS_RE33!$N$7:$N$874,I55,BS_RE33!$P$7:$P$874,'30 days CF Table(ALL)'!G55),2)</f>
        <v>0</v>
      </c>
      <c r="U55" s="339">
        <f>ROUND(SUMIFS(BS_RE33!$H$7:$H$874,BS_RE33!$S$7:$S$874,$U$2,BS_RE33!$N$7:$N$874,I55,BS_RE33!$P$7:$P$874,'30 days CF Table(ALL)'!G55),2)</f>
        <v>0</v>
      </c>
      <c r="V55" s="339">
        <f>ROUND(SUMIFS(BS_RE33!$H$7:$H$874,BS_RE33!$S$7:$S$874,$V$2,BS_RE33!$N$7:$N$874,I55,BS_RE33!$P$7:$P$874,'30 days CF Table(ALL)'!G55),2)</f>
        <v>0</v>
      </c>
      <c r="W55" s="339">
        <f>ROUND(SUMIFS(BS_RE33!$H$7:$H$874,BS_RE33!$S$7:$S$874,$W$2,BS_RE33!$N$7:$N$874,I55,BS_RE33!$P$7:$P$874,'30 days CF Table(ALL)'!G55),2)</f>
        <v>0</v>
      </c>
      <c r="X55" s="339">
        <f>ROUND(SUMIFS(BS_RE33!$H$7:$H$874,BS_RE33!$S$7:$S$874,$X$2,BS_RE33!$N$7:$N$874,I55,BS_RE33!$P$7:$P$874,'30 days CF Table(ALL)'!G55),2)</f>
        <v>0</v>
      </c>
      <c r="Y55" s="339">
        <f>ROUND(SUMIFS(BS_RE33!$H$7:$H$874,BS_RE33!$S$7:$S$874,$Y$2,BS_RE33!$N$7:$N$874,I55,BS_RE33!$P$7:$P$874,'30 days CF Table(ALL)'!G55),2)</f>
        <v>0</v>
      </c>
      <c r="Z55" s="339">
        <f>ROUND(SUMIFS(BS_RE33!$H$7:$H$874,BS_RE33!$S$7:$S$874,$Z$2,BS_RE33!$N$7:$N$874,I55,BS_RE33!$P$7:$P$874,'30 days CF Table(ALL)'!G55),2)</f>
        <v>0</v>
      </c>
      <c r="AA55" s="339">
        <f>ROUND(SUMIFS(BS_RE33!$H$7:$H$874,BS_RE33!$S$7:$S$874,$AA$2,BS_RE33!$N$7:$N$874,I55,BS_RE33!$P$7:$P$874,'30 days CF Table(ALL)'!G55),2)</f>
        <v>0</v>
      </c>
      <c r="AB55" s="339">
        <f>ROUND(SUMIFS(BS_RE33!$H$7:$H$874,BS_RE33!$S$7:$S$874,$AB$2,BS_RE33!$N$7:$N$874,I55,BS_RE33!$P$7:$P$874,'30 days CF Table(ALL)'!G55),2)</f>
        <v>0</v>
      </c>
      <c r="AC55" s="339">
        <f>ROUND(SUMIFS(BS_RE33!$H$7:$H$874,BS_RE33!$S$7:$S$874,$AC$2,BS_RE33!$N$7:$N$874,I55,BS_RE33!$P$7:$P$874,'30 days CF Table(ALL)'!G55),2)</f>
        <v>0</v>
      </c>
      <c r="AD55" s="339">
        <f>ROUND(SUMIFS(BS_RE33!$H$7:$H$874,BS_RE33!$S$7:$S$874,$AD$2,BS_RE33!$N$7:$N$874,I55,BS_RE33!$P$7:$P$874,'30 days CF Table(ALL)'!G55),2)</f>
        <v>0</v>
      </c>
      <c r="AE55" s="339">
        <f>ROUND(SUMIFS(BS_RE33!$H$7:$H$874,BS_RE33!$S$7:$S$874,$AE$2,BS_RE33!$N$7:$N$874,I55,BS_RE33!$P$7:$P$874,'30 days CF Table(ALL)'!G55),2)</f>
        <v>0</v>
      </c>
      <c r="AF55" s="339">
        <f>ROUND(SUMIFS(BS_RE33!$H$7:$H$874,BS_RE33!$S$7:$S$874,$AF$2,BS_RE33!$N$7:$N$874,I55,BS_RE33!$P$7:$P$874,'30 days CF Table(ALL)'!G55),2)</f>
        <v>0</v>
      </c>
      <c r="AG55" s="339">
        <f>ROUND(SUMIFS(BS_RE33!$H$7:$H$874,BS_RE33!$S$7:$S$874,$AG$2,BS_RE33!$N$7:$N$874,I55,BS_RE33!$P$7:$P$874,'30 days CF Table(ALL)'!G55),2)</f>
        <v>0</v>
      </c>
      <c r="AH55" s="339">
        <f>ROUND(SUMIFS(BS_RE33!$H$7:$H$874,BS_RE33!$S$7:$S$874,$AH$2,BS_RE33!$N$7:$N$874,I55,BS_RE33!$P$7:$P$874,'30 days CF Table(ALL)'!G55),2)</f>
        <v>0</v>
      </c>
      <c r="AI55" s="339">
        <f>ROUND(SUMIFS(BS_RE33!$H$7:$H$874,BS_RE33!$S$7:$S$874,$AI$2,BS_RE33!$N$7:$N$874,I55,BS_RE33!$P$7:$P$874,'30 days CF Table(ALL)'!G55),2)</f>
        <v>0</v>
      </c>
      <c r="AJ55" s="339">
        <f>ROUND(SUMIFS(BS_RE33!$H$7:$H$874,BS_RE33!$S$7:$S$874,$AJ$2,BS_RE33!$N$7:$N$874,I55,BS_RE33!$P$7:$P$874,'30 days CF Table(ALL)'!G55),2)</f>
        <v>0</v>
      </c>
      <c r="AK55" s="339">
        <f>ROUND(SUMIFS(BS_RE33!$H$7:$H$874,BS_RE33!$S$7:$S$874,$AK$2,BS_RE33!$N$7:$N$874,I55,BS_RE33!$P$7:$P$874,'30 days CF Table(ALL)'!G55),2)</f>
        <v>0</v>
      </c>
      <c r="AL55" s="339">
        <f>ROUND(SUMIFS(BS_RE33!$H$7:$H$874,BS_RE33!$S$7:$S$874,$AL$2,BS_RE33!$N$7:$N$874,I55,BS_RE33!$P$7:$P$874,'30 days CF Table(ALL)'!G55),2)</f>
        <v>0</v>
      </c>
      <c r="AM55" s="339">
        <f>ROUND(SUMIFS(BS_RE33!$H$7:$H$874,BS_RE33!$S$7:$S$874,$AM$2,BS_RE33!$N$7:$N$874,I55,BS_RE33!$P$7:$P$874,'30 days CF Table(ALL)'!G55),2)</f>
        <v>0</v>
      </c>
      <c r="AN55" s="339">
        <f>ROUND(SUMIFS(BS_RE33!$H$7:$H$874,BS_RE33!$S$7:$S$874,$AN$2,BS_RE33!$N$7:$N$874,I55,BS_RE33!$P$7:$P$874,'30 days CF Table(ALL)'!G55),2)</f>
        <v>0</v>
      </c>
      <c r="AO55" s="339">
        <f>ROUND(SUMIFS(BS_RE33!$H$7:$H$874,BS_RE33!$S$7:$S$874,$AO$2,BS_RE33!$N$7:$N$874,I55,BS_RE33!$P$7:$P$874,'30 days CF Table(ALL)'!G55),2)</f>
        <v>0</v>
      </c>
      <c r="AP55" s="340">
        <f>ROUND(SUMIFS(BS_RE33!$H$7:$H$874,BS_RE33!$S$7:$S$874,$AP$2,BS_RE33!$N$7:$N$874,I55,BS_RE33!$P$7:$P$874,'30 days CF Table(ALL)'!G55),2)</f>
        <v>0</v>
      </c>
      <c r="AR55" s="381">
        <f>ROUND(SUMIFS(BS_RE33!$H$7:$H$874,BS_RE33!$S$7:$S$874,$AR$2,BS_RE33!$N$7:$N$874,I55,BS_RE33!$P$7:$P$874,'30 days CF Table(ALL)'!G55),2)</f>
        <v>0</v>
      </c>
      <c r="AS55" s="381">
        <f>ROUND(SUMIFS(BS_RE33!$H$7:$H$874,BS_RE33!$S$7:$S$874,$AS$2,BS_RE33!$N$7:$N$874,I55,BS_RE33!$P$7:$P$874,'30 days CF Table(ALL)'!G55),2)</f>
        <v>0</v>
      </c>
      <c r="AT55" s="381">
        <f>ROUND(SUMIFS(BS_RE33!$H$7:$H$874,BS_RE33!$S$7:$S$874,$AT$2,BS_RE33!$N$7:$N$874,I55,BS_RE33!$P$7:$P$874,'30 days CF Table(ALL)'!G55),2)</f>
        <v>0</v>
      </c>
      <c r="AU55" s="381">
        <f>ROUND(SUMIFS(BS_RE33!$H$7:$H$874,BS_RE33!$S$7:$S$874,$AU$2,BS_RE33!$N$7:$N$874,I55,BS_RE33!$P$7:$P$874,'30 days CF Table(ALL)'!G55),2)</f>
        <v>0</v>
      </c>
      <c r="AV55" s="381">
        <f>ROUND(SUMIFS(BS_RE33!$H$7:$H$874,BS_RE33!$S$7:$S$874,$AV$2,BS_RE33!$N$7:$N$874,I55,BS_RE33!$P$7:$P$874,'30 days CF Table(ALL)'!G55),2)</f>
        <v>0</v>
      </c>
      <c r="AW55" s="381">
        <f>ROUND(SUMIFS(BS_RE33!$H$7:$H$874,BS_RE33!$S$7:$S$874,$AW$2,BS_RE33!$N$7:$N$874,I55,BS_RE33!$P$7:$P$874,'30 days CF Table(ALL)'!G55),2)</f>
        <v>0</v>
      </c>
      <c r="AX55" s="381">
        <f>ROUND(SUMIFS(BS_RE33!$H$7:$H$874,BS_RE33!$S$7:$S$874,$AX$2,BS_RE33!$N$7:$N$874,I55,BS_RE33!$P$7:$P$874,'30 days CF Table(ALL)'!G55),2)</f>
        <v>0</v>
      </c>
      <c r="AY55" s="381">
        <f>ROUND(SUMIFS(BS_RE33!$H$7:$H$874,BS_RE33!$S$7:$S$874,$AY$2,BS_RE33!$N$7:$N$874,I55,BS_RE33!$P$7:$P$874,'30 days CF Table(ALL)'!G55),2)</f>
        <v>0</v>
      </c>
      <c r="AZ55" s="381">
        <f>ROUND(SUMIFS(BS_RE33!$H$7:$H$874,BS_RE33!$S$7:$S$874,$AZ$2,BS_RE33!$N$7:$N$874,I55,BS_RE33!$P$7:$P$874,'30 days CF Table(ALL)'!G55),2)</f>
        <v>0</v>
      </c>
      <c r="BA55" s="381">
        <f>ROUND(SUMIFS(BS_RE33!$H$7:$H$874,BS_RE33!$S$7:$S$874,$BA$2,BS_RE33!$N$7:$N$874,I55,BS_RE33!$P$7:$P$874,'30 days CF Table(ALL)'!G55),2)</f>
        <v>0</v>
      </c>
      <c r="BB55" s="381">
        <f>ROUND(SUMIFS(BS_RE33!$H$7:$H$874,BS_RE33!$S$7:$S$874,$BB$2,BS_RE33!$N$7:$N$874,I55,BS_RE33!$P$7:$P$874,'30 days CF Table(ALL)'!G55),2)</f>
        <v>0</v>
      </c>
      <c r="BC55" s="381">
        <f>ROUND(SUMIFS(BS_RE33!$H$7:$H$874,BS_RE33!$S$7:$S$874,$BC$2,BS_RE33!$N$7:$N$874,I55,BS_RE33!$P$7:$P$874,'30 days CF Table(ALL)'!G55),2)</f>
        <v>0</v>
      </c>
      <c r="BD55" s="381">
        <f>ROUND(SUMIFS(BS_RE33!$H$7:$H$874,BS_RE33!$S$7:$S$874,$BD$2,BS_RE33!$N$7:$N$874,I55,BS_RE33!$P$7:$P$874,'30 days CF Table(ALL)'!G55),2)</f>
        <v>0</v>
      </c>
      <c r="BE55" s="381">
        <f>ROUND(SUMIFS(BS_RE33!$H$7:$H$874,BS_RE33!$S$7:$S$874,$BE$2,BS_RE33!$N$7:$N$874,I55,BS_RE33!$P$7:$P$874,'30 days CF Table(ALL)'!G55),2)</f>
        <v>0</v>
      </c>
      <c r="BF55" s="381">
        <f>ROUND(SUMIFS(BS_RE33!$H$7:$H$874,BS_RE33!$S$7:$S$874,$BF$2,BS_RE33!$N$7:$N$874,I55,BS_RE33!$P$7:$P$874,'30 days CF Table(ALL)'!G55),2)</f>
        <v>0</v>
      </c>
      <c r="BG55" s="381">
        <f>ROUND(SUMIFS(BS_RE33!$H$7:$H$874,BS_RE33!$S$7:$S$874,$BG$2,BS_RE33!$N$7:$N$874,I55,BS_RE33!$P$7:$P$874,'30 days CF Table(ALL)'!G55),2)</f>
        <v>0</v>
      </c>
      <c r="BH55" s="381">
        <f>ROUND(SUMIFS(BS_RE33!$H$7:$H$874,BS_RE33!$S$7:$S$874,$BH$2,BS_RE33!$N$7:$N$874,I55,BS_RE33!$P$7:$P$874,'30 days CF Table(ALL)'!G55),2)</f>
        <v>0</v>
      </c>
      <c r="BI55" s="381">
        <f>ROUND(SUMIFS(BS_RE33!$H$7:$H$874,BS_RE33!$S$7:$S$874,$BI$2,BS_RE33!$N$7:$N$874,I55,BS_RE33!$P$7:$P$874,'30 days CF Table(ALL)'!G55),2)</f>
        <v>0</v>
      </c>
      <c r="BJ55" s="381">
        <f>ROUND(SUMIFS(BS_RE33!$H$7:$H$874,BS_RE33!$S$7:$S$874,$BJ$2,BS_RE33!$N$7:$N$874,I55,BS_RE33!$P$7:$P$874,'30 days CF Table(ALL)'!G55),2)</f>
        <v>0</v>
      </c>
      <c r="BK55" s="381">
        <f>ROUND(SUMIFS(BS_RE33!$H$7:$H$874,BS_RE33!$S$7:$S$874,$BK$2,BS_RE33!$N$7:$N$874,I55,BS_RE33!$P$7:$P$874,'30 days CF Table(ALL)'!G55),2)</f>
        <v>0</v>
      </c>
    </row>
    <row r="56" spans="3:63">
      <c r="C56" s="1027"/>
      <c r="D56" s="1039" t="s">
        <v>770</v>
      </c>
      <c r="E56" s="105" t="s">
        <v>769</v>
      </c>
      <c r="F56" s="312" t="s">
        <v>491</v>
      </c>
      <c r="G56" s="392" t="s">
        <v>534</v>
      </c>
      <c r="H56" s="317">
        <v>0.05</v>
      </c>
      <c r="I56" s="315" t="s">
        <v>80</v>
      </c>
      <c r="J56" s="479">
        <f t="shared" si="3"/>
        <v>0</v>
      </c>
      <c r="K56" s="336">
        <f t="shared" si="5"/>
        <v>0</v>
      </c>
      <c r="L56" s="339">
        <f>ROUND(SUMIFS(BS_RE33!$H$7:$H$874,BS_RE33!$S$7:$S$874,$L$2,BS_RE33!$N$7:$N$874,I56,BS_RE33!$P$7:$P$874,'30 days CF Table(ALL)'!G56),2)</f>
        <v>0</v>
      </c>
      <c r="M56" s="339">
        <f>ROUND(SUMIFS(BS_RE33!$H$7:$H$874,BS_RE33!$S$7:$S$874,$M$2,BS_RE33!$N$7:$N$874,I56,BS_RE33!$P$7:$P$874,'30 days CF Table(ALL)'!G56),2)</f>
        <v>0</v>
      </c>
      <c r="N56" s="339">
        <f>ROUND(SUMIFS(BS_RE33!$H$7:$H$874,BS_RE33!$S$7:$S$874,$N$2,BS_RE33!$N$7:$N$874,I56,BS_RE33!$P$7:$P$874,'30 days CF Table(ALL)'!G56),2)</f>
        <v>0</v>
      </c>
      <c r="O56" s="339">
        <f>ROUND(SUMIFS(BS_RE33!$H$7:$H$874,BS_RE33!$S$7:$S$874,$O$2,BS_RE33!$N$7:$N$874,I56,BS_RE33!$P$7:$P$874,'30 days CF Table(ALL)'!G56),2)</f>
        <v>0</v>
      </c>
      <c r="P56" s="339">
        <f>ROUND(SUMIFS(BS_RE33!$H$7:$H$874,BS_RE33!$S$7:$S$874,$P$2,BS_RE33!$N$7:$N$874,I56,BS_RE33!$P$7:$P$874,'30 days CF Table(ALL)'!G56),2)</f>
        <v>0</v>
      </c>
      <c r="Q56" s="339">
        <f>ROUND(SUMIFS(BS_RE33!$H$7:$H$874,BS_RE33!$S$7:$S$874,$Q$2,BS_RE33!$N$7:$N$874,I56,BS_RE33!$P$7:$P$874,'30 days CF Table(ALL)'!G56),2)</f>
        <v>0</v>
      </c>
      <c r="R56" s="339">
        <f>ROUND(SUMIFS(BS_RE33!$H$7:$H$874,BS_RE33!$S$7:$S$874,$R$2,BS_RE33!$N$7:$N$874,I56,BS_RE33!$P$7:$P$874,'30 days CF Table(ALL)'!G56),2)</f>
        <v>0</v>
      </c>
      <c r="S56" s="339">
        <f>ROUND(SUMIFS(BS_RE33!$H$7:$H$874,BS_RE33!$S$7:$S$874,$S$2,BS_RE33!$N$7:$N$874,I56,BS_RE33!$P$7:$P$874,'30 days CF Table(ALL)'!G56),2)</f>
        <v>0</v>
      </c>
      <c r="T56" s="339">
        <f>ROUND(SUMIFS(BS_RE33!$H$7:$H$874,BS_RE33!$S$7:$S$874,$T$2,BS_RE33!$N$7:$N$874,I56,BS_RE33!$P$7:$P$874,'30 days CF Table(ALL)'!G56),2)</f>
        <v>0</v>
      </c>
      <c r="U56" s="339">
        <f>ROUND(SUMIFS(BS_RE33!$H$7:$H$874,BS_RE33!$S$7:$S$874,$U$2,BS_RE33!$N$7:$N$874,I56,BS_RE33!$P$7:$P$874,'30 days CF Table(ALL)'!G56),2)</f>
        <v>0</v>
      </c>
      <c r="V56" s="339">
        <f>ROUND(SUMIFS(BS_RE33!$H$7:$H$874,BS_RE33!$S$7:$S$874,$V$2,BS_RE33!$N$7:$N$874,I56,BS_RE33!$P$7:$P$874,'30 days CF Table(ALL)'!G56),2)</f>
        <v>0</v>
      </c>
      <c r="W56" s="339">
        <f>ROUND(SUMIFS(BS_RE33!$H$7:$H$874,BS_RE33!$S$7:$S$874,$W$2,BS_RE33!$N$7:$N$874,I56,BS_RE33!$P$7:$P$874,'30 days CF Table(ALL)'!G56),2)</f>
        <v>0</v>
      </c>
      <c r="X56" s="339">
        <f>ROUND(SUMIFS(BS_RE33!$H$7:$H$874,BS_RE33!$S$7:$S$874,$X$2,BS_RE33!$N$7:$N$874,I56,BS_RE33!$P$7:$P$874,'30 days CF Table(ALL)'!G56),2)</f>
        <v>0</v>
      </c>
      <c r="Y56" s="339">
        <f>ROUND(SUMIFS(BS_RE33!$H$7:$H$874,BS_RE33!$S$7:$S$874,$Y$2,BS_RE33!$N$7:$N$874,I56,BS_RE33!$P$7:$P$874,'30 days CF Table(ALL)'!G56),2)</f>
        <v>0</v>
      </c>
      <c r="Z56" s="339">
        <f>ROUND(SUMIFS(BS_RE33!$H$7:$H$874,BS_RE33!$S$7:$S$874,$Z$2,BS_RE33!$N$7:$N$874,I56,BS_RE33!$P$7:$P$874,'30 days CF Table(ALL)'!G56),2)</f>
        <v>0</v>
      </c>
      <c r="AA56" s="339">
        <f>ROUND(SUMIFS(BS_RE33!$H$7:$H$874,BS_RE33!$S$7:$S$874,$AA$2,BS_RE33!$N$7:$N$874,I56,BS_RE33!$P$7:$P$874,'30 days CF Table(ALL)'!G56),2)</f>
        <v>0</v>
      </c>
      <c r="AB56" s="339">
        <f>ROUND(SUMIFS(BS_RE33!$H$7:$H$874,BS_RE33!$S$7:$S$874,$AB$2,BS_RE33!$N$7:$N$874,I56,BS_RE33!$P$7:$P$874,'30 days CF Table(ALL)'!G56),2)</f>
        <v>0</v>
      </c>
      <c r="AC56" s="339">
        <f>ROUND(SUMIFS(BS_RE33!$H$7:$H$874,BS_RE33!$S$7:$S$874,$AC$2,BS_RE33!$N$7:$N$874,I56,BS_RE33!$P$7:$P$874,'30 days CF Table(ALL)'!G56),2)</f>
        <v>0</v>
      </c>
      <c r="AD56" s="339">
        <f>ROUND(SUMIFS(BS_RE33!$H$7:$H$874,BS_RE33!$S$7:$S$874,$AD$2,BS_RE33!$N$7:$N$874,I56,BS_RE33!$P$7:$P$874,'30 days CF Table(ALL)'!G56),2)</f>
        <v>0</v>
      </c>
      <c r="AE56" s="339">
        <f>ROUND(SUMIFS(BS_RE33!$H$7:$H$874,BS_RE33!$S$7:$S$874,$AE$2,BS_RE33!$N$7:$N$874,I56,BS_RE33!$P$7:$P$874,'30 days CF Table(ALL)'!G56),2)</f>
        <v>0</v>
      </c>
      <c r="AF56" s="339">
        <f>ROUND(SUMIFS(BS_RE33!$H$7:$H$874,BS_RE33!$S$7:$S$874,$AF$2,BS_RE33!$N$7:$N$874,I56,BS_RE33!$P$7:$P$874,'30 days CF Table(ALL)'!G56),2)</f>
        <v>0</v>
      </c>
      <c r="AG56" s="339">
        <f>ROUND(SUMIFS(BS_RE33!$H$7:$H$874,BS_RE33!$S$7:$S$874,$AG$2,BS_RE33!$N$7:$N$874,I56,BS_RE33!$P$7:$P$874,'30 days CF Table(ALL)'!G56),2)</f>
        <v>0</v>
      </c>
      <c r="AH56" s="339">
        <f>ROUND(SUMIFS(BS_RE33!$H$7:$H$874,BS_RE33!$S$7:$S$874,$AH$2,BS_RE33!$N$7:$N$874,I56,BS_RE33!$P$7:$P$874,'30 days CF Table(ALL)'!G56),2)</f>
        <v>0</v>
      </c>
      <c r="AI56" s="339">
        <f>ROUND(SUMIFS(BS_RE33!$H$7:$H$874,BS_RE33!$S$7:$S$874,$AI$2,BS_RE33!$N$7:$N$874,I56,BS_RE33!$P$7:$P$874,'30 days CF Table(ALL)'!G56),2)</f>
        <v>0</v>
      </c>
      <c r="AJ56" s="339">
        <f>ROUND(SUMIFS(BS_RE33!$H$7:$H$874,BS_RE33!$S$7:$S$874,$AJ$2,BS_RE33!$N$7:$N$874,I56,BS_RE33!$P$7:$P$874,'30 days CF Table(ALL)'!G56),2)</f>
        <v>0</v>
      </c>
      <c r="AK56" s="339">
        <f>ROUND(SUMIFS(BS_RE33!$H$7:$H$874,BS_RE33!$S$7:$S$874,$AK$2,BS_RE33!$N$7:$N$874,I56,BS_RE33!$P$7:$P$874,'30 days CF Table(ALL)'!G56),2)</f>
        <v>0</v>
      </c>
      <c r="AL56" s="339">
        <f>ROUND(SUMIFS(BS_RE33!$H$7:$H$874,BS_RE33!$S$7:$S$874,$AL$2,BS_RE33!$N$7:$N$874,I56,BS_RE33!$P$7:$P$874,'30 days CF Table(ALL)'!G56),2)</f>
        <v>0</v>
      </c>
      <c r="AM56" s="339">
        <f>ROUND(SUMIFS(BS_RE33!$H$7:$H$874,BS_RE33!$S$7:$S$874,$AM$2,BS_RE33!$N$7:$N$874,I56,BS_RE33!$P$7:$P$874,'30 days CF Table(ALL)'!G56),2)</f>
        <v>0</v>
      </c>
      <c r="AN56" s="339">
        <f>ROUND(SUMIFS(BS_RE33!$H$7:$H$874,BS_RE33!$S$7:$S$874,$AN$2,BS_RE33!$N$7:$N$874,I56,BS_RE33!$P$7:$P$874,'30 days CF Table(ALL)'!G56),2)</f>
        <v>0</v>
      </c>
      <c r="AO56" s="339">
        <f>ROUND(SUMIFS(BS_RE33!$H$7:$H$874,BS_RE33!$S$7:$S$874,$AO$2,BS_RE33!$N$7:$N$874,I56,BS_RE33!$P$7:$P$874,'30 days CF Table(ALL)'!G56),2)</f>
        <v>0</v>
      </c>
      <c r="AP56" s="340">
        <f>ROUND(SUMIFS(BS_RE33!$H$7:$H$874,BS_RE33!$S$7:$S$874,$AP$2,BS_RE33!$N$7:$N$874,I56,BS_RE33!$P$7:$P$874,'30 days CF Table(ALL)'!G56),2)</f>
        <v>0</v>
      </c>
      <c r="AR56" s="381">
        <f>ROUND(SUMIFS(BS_RE33!$H$7:$H$874,BS_RE33!$S$7:$S$874,$AR$2,BS_RE33!$N$7:$N$874,I56,BS_RE33!$P$7:$P$874,'30 days CF Table(ALL)'!G56),2)</f>
        <v>0</v>
      </c>
      <c r="AS56" s="381">
        <f>ROUND(SUMIFS(BS_RE33!$H$7:$H$874,BS_RE33!$S$7:$S$874,$AS$2,BS_RE33!$N$7:$N$874,I56,BS_RE33!$P$7:$P$874,'30 days CF Table(ALL)'!G56),2)</f>
        <v>0</v>
      </c>
      <c r="AT56" s="381">
        <f>ROUND(SUMIFS(BS_RE33!$H$7:$H$874,BS_RE33!$S$7:$S$874,$AT$2,BS_RE33!$N$7:$N$874,I56,BS_RE33!$P$7:$P$874,'30 days CF Table(ALL)'!G56),2)</f>
        <v>0</v>
      </c>
      <c r="AU56" s="381">
        <f>ROUND(SUMIFS(BS_RE33!$H$7:$H$874,BS_RE33!$S$7:$S$874,$AU$2,BS_RE33!$N$7:$N$874,I56,BS_RE33!$P$7:$P$874,'30 days CF Table(ALL)'!G56),2)</f>
        <v>0</v>
      </c>
      <c r="AV56" s="381">
        <f>ROUND(SUMIFS(BS_RE33!$H$7:$H$874,BS_RE33!$S$7:$S$874,$AV$2,BS_RE33!$N$7:$N$874,I56,BS_RE33!$P$7:$P$874,'30 days CF Table(ALL)'!G56),2)</f>
        <v>0</v>
      </c>
      <c r="AW56" s="381">
        <f>ROUND(SUMIFS(BS_RE33!$H$7:$H$874,BS_RE33!$S$7:$S$874,$AW$2,BS_RE33!$N$7:$N$874,I56,BS_RE33!$P$7:$P$874,'30 days CF Table(ALL)'!G56),2)</f>
        <v>0</v>
      </c>
      <c r="AX56" s="381">
        <f>ROUND(SUMIFS(BS_RE33!$H$7:$H$874,BS_RE33!$S$7:$S$874,$AX$2,BS_RE33!$N$7:$N$874,I56,BS_RE33!$P$7:$P$874,'30 days CF Table(ALL)'!G56),2)</f>
        <v>0</v>
      </c>
      <c r="AY56" s="381">
        <f>ROUND(SUMIFS(BS_RE33!$H$7:$H$874,BS_RE33!$S$7:$S$874,$AY$2,BS_RE33!$N$7:$N$874,I56,BS_RE33!$P$7:$P$874,'30 days CF Table(ALL)'!G56),2)</f>
        <v>0</v>
      </c>
      <c r="AZ56" s="381">
        <f>ROUND(SUMIFS(BS_RE33!$H$7:$H$874,BS_RE33!$S$7:$S$874,$AZ$2,BS_RE33!$N$7:$N$874,I56,BS_RE33!$P$7:$P$874,'30 days CF Table(ALL)'!G56),2)</f>
        <v>0</v>
      </c>
      <c r="BA56" s="381">
        <f>ROUND(SUMIFS(BS_RE33!$H$7:$H$874,BS_RE33!$S$7:$S$874,$BA$2,BS_RE33!$N$7:$N$874,I56,BS_RE33!$P$7:$P$874,'30 days CF Table(ALL)'!G56),2)</f>
        <v>0</v>
      </c>
      <c r="BB56" s="381">
        <f>ROUND(SUMIFS(BS_RE33!$H$7:$H$874,BS_RE33!$S$7:$S$874,$BB$2,BS_RE33!$N$7:$N$874,I56,BS_RE33!$P$7:$P$874,'30 days CF Table(ALL)'!G56),2)</f>
        <v>0</v>
      </c>
      <c r="BC56" s="381">
        <f>ROUND(SUMIFS(BS_RE33!$H$7:$H$874,BS_RE33!$S$7:$S$874,$BC$2,BS_RE33!$N$7:$N$874,I56,BS_RE33!$P$7:$P$874,'30 days CF Table(ALL)'!G56),2)</f>
        <v>0</v>
      </c>
      <c r="BD56" s="381">
        <f>ROUND(SUMIFS(BS_RE33!$H$7:$H$874,BS_RE33!$S$7:$S$874,$BD$2,BS_RE33!$N$7:$N$874,I56,BS_RE33!$P$7:$P$874,'30 days CF Table(ALL)'!G56),2)</f>
        <v>0</v>
      </c>
      <c r="BE56" s="381">
        <f>ROUND(SUMIFS(BS_RE33!$H$7:$H$874,BS_RE33!$S$7:$S$874,$BE$2,BS_RE33!$N$7:$N$874,I56,BS_RE33!$P$7:$P$874,'30 days CF Table(ALL)'!G56),2)</f>
        <v>0</v>
      </c>
      <c r="BF56" s="381">
        <f>ROUND(SUMIFS(BS_RE33!$H$7:$H$874,BS_RE33!$S$7:$S$874,$BF$2,BS_RE33!$N$7:$N$874,I56,BS_RE33!$P$7:$P$874,'30 days CF Table(ALL)'!G56),2)</f>
        <v>0</v>
      </c>
      <c r="BG56" s="381">
        <f>ROUND(SUMIFS(BS_RE33!$H$7:$H$874,BS_RE33!$S$7:$S$874,$BG$2,BS_RE33!$N$7:$N$874,I56,BS_RE33!$P$7:$P$874,'30 days CF Table(ALL)'!G56),2)</f>
        <v>0</v>
      </c>
      <c r="BH56" s="381">
        <f>ROUND(SUMIFS(BS_RE33!$H$7:$H$874,BS_RE33!$S$7:$S$874,$BH$2,BS_RE33!$N$7:$N$874,I56,BS_RE33!$P$7:$P$874,'30 days CF Table(ALL)'!G56),2)</f>
        <v>0</v>
      </c>
      <c r="BI56" s="381">
        <f>ROUND(SUMIFS(BS_RE33!$H$7:$H$874,BS_RE33!$S$7:$S$874,$BI$2,BS_RE33!$N$7:$N$874,I56,BS_RE33!$P$7:$P$874,'30 days CF Table(ALL)'!G56),2)</f>
        <v>0</v>
      </c>
      <c r="BJ56" s="381">
        <f>ROUND(SUMIFS(BS_RE33!$H$7:$H$874,BS_RE33!$S$7:$S$874,$BJ$2,BS_RE33!$N$7:$N$874,I56,BS_RE33!$P$7:$P$874,'30 days CF Table(ALL)'!G56),2)</f>
        <v>0</v>
      </c>
      <c r="BK56" s="381">
        <f>ROUND(SUMIFS(BS_RE33!$H$7:$H$874,BS_RE33!$S$7:$S$874,$BK$2,BS_RE33!$N$7:$N$874,I56,BS_RE33!$P$7:$P$874,'30 days CF Table(ALL)'!G56),2)</f>
        <v>0</v>
      </c>
    </row>
    <row r="57" spans="3:63">
      <c r="C57" s="1027"/>
      <c r="D57" s="1039"/>
      <c r="E57" s="105" t="s">
        <v>96</v>
      </c>
      <c r="F57" s="312" t="s">
        <v>490</v>
      </c>
      <c r="G57" s="392" t="s">
        <v>535</v>
      </c>
      <c r="H57" s="317">
        <v>0.05</v>
      </c>
      <c r="I57" s="315" t="s">
        <v>80</v>
      </c>
      <c r="J57" s="479">
        <f t="shared" si="3"/>
        <v>0</v>
      </c>
      <c r="K57" s="336">
        <f t="shared" si="5"/>
        <v>0</v>
      </c>
      <c r="L57" s="339">
        <f>ROUND(SUMIFS(BS_RE33!$H$7:$H$874,BS_RE33!$S$7:$S$874,$L$2,BS_RE33!$N$7:$N$874,I57,BS_RE33!$P$7:$P$874,'30 days CF Table(ALL)'!G57),2)</f>
        <v>0</v>
      </c>
      <c r="M57" s="339">
        <f>ROUND(SUMIFS(BS_RE33!$H$7:$H$874,BS_RE33!$S$7:$S$874,$M$2,BS_RE33!$N$7:$N$874,I57,BS_RE33!$P$7:$P$874,'30 days CF Table(ALL)'!G57),2)</f>
        <v>0</v>
      </c>
      <c r="N57" s="339">
        <f>ROUND(SUMIFS(BS_RE33!$H$7:$H$874,BS_RE33!$S$7:$S$874,$N$2,BS_RE33!$N$7:$N$874,I57,BS_RE33!$P$7:$P$874,'30 days CF Table(ALL)'!G57),2)</f>
        <v>0</v>
      </c>
      <c r="O57" s="339">
        <f>ROUND(SUMIFS(BS_RE33!$H$7:$H$874,BS_RE33!$S$7:$S$874,$O$2,BS_RE33!$N$7:$N$874,I57,BS_RE33!$P$7:$P$874,'30 days CF Table(ALL)'!G57),2)</f>
        <v>0</v>
      </c>
      <c r="P57" s="339">
        <f>ROUND(SUMIFS(BS_RE33!$H$7:$H$874,BS_RE33!$S$7:$S$874,$P$2,BS_RE33!$N$7:$N$874,I57,BS_RE33!$P$7:$P$874,'30 days CF Table(ALL)'!G57),2)</f>
        <v>0</v>
      </c>
      <c r="Q57" s="339">
        <f>ROUND(SUMIFS(BS_RE33!$H$7:$H$874,BS_RE33!$S$7:$S$874,$Q$2,BS_RE33!$N$7:$N$874,I57,BS_RE33!$P$7:$P$874,'30 days CF Table(ALL)'!G57),2)</f>
        <v>0</v>
      </c>
      <c r="R57" s="339">
        <f>ROUND(SUMIFS(BS_RE33!$H$7:$H$874,BS_RE33!$S$7:$S$874,$R$2,BS_RE33!$N$7:$N$874,I57,BS_RE33!$P$7:$P$874,'30 days CF Table(ALL)'!G57),2)</f>
        <v>0</v>
      </c>
      <c r="S57" s="339">
        <f>ROUND(SUMIFS(BS_RE33!$H$7:$H$874,BS_RE33!$S$7:$S$874,$S$2,BS_RE33!$N$7:$N$874,I57,BS_RE33!$P$7:$P$874,'30 days CF Table(ALL)'!G57),2)</f>
        <v>0</v>
      </c>
      <c r="T57" s="339">
        <f>ROUND(SUMIFS(BS_RE33!$H$7:$H$874,BS_RE33!$S$7:$S$874,$T$2,BS_RE33!$N$7:$N$874,I57,BS_RE33!$P$7:$P$874,'30 days CF Table(ALL)'!G57),2)</f>
        <v>0</v>
      </c>
      <c r="U57" s="339">
        <f>ROUND(SUMIFS(BS_RE33!$H$7:$H$874,BS_RE33!$S$7:$S$874,$U$2,BS_RE33!$N$7:$N$874,I57,BS_RE33!$P$7:$P$874,'30 days CF Table(ALL)'!G57),2)</f>
        <v>0</v>
      </c>
      <c r="V57" s="339">
        <f>ROUND(SUMIFS(BS_RE33!$H$7:$H$874,BS_RE33!$S$7:$S$874,$V$2,BS_RE33!$N$7:$N$874,I57,BS_RE33!$P$7:$P$874,'30 days CF Table(ALL)'!G57),2)</f>
        <v>0</v>
      </c>
      <c r="W57" s="339">
        <f>ROUND(SUMIFS(BS_RE33!$H$7:$H$874,BS_RE33!$S$7:$S$874,$W$2,BS_RE33!$N$7:$N$874,I57,BS_RE33!$P$7:$P$874,'30 days CF Table(ALL)'!G57),2)</f>
        <v>0</v>
      </c>
      <c r="X57" s="339">
        <f>ROUND(SUMIFS(BS_RE33!$H$7:$H$874,BS_RE33!$S$7:$S$874,$X$2,BS_RE33!$N$7:$N$874,I57,BS_RE33!$P$7:$P$874,'30 days CF Table(ALL)'!G57),2)</f>
        <v>0</v>
      </c>
      <c r="Y57" s="339">
        <f>ROUND(SUMIFS(BS_RE33!$H$7:$H$874,BS_RE33!$S$7:$S$874,$Y$2,BS_RE33!$N$7:$N$874,I57,BS_RE33!$P$7:$P$874,'30 days CF Table(ALL)'!G57),2)</f>
        <v>0</v>
      </c>
      <c r="Z57" s="339">
        <f>ROUND(SUMIFS(BS_RE33!$H$7:$H$874,BS_RE33!$S$7:$S$874,$Z$2,BS_RE33!$N$7:$N$874,I57,BS_RE33!$P$7:$P$874,'30 days CF Table(ALL)'!G57),2)</f>
        <v>0</v>
      </c>
      <c r="AA57" s="339">
        <f>ROUND(SUMIFS(BS_RE33!$H$7:$H$874,BS_RE33!$S$7:$S$874,$AA$2,BS_RE33!$N$7:$N$874,I57,BS_RE33!$P$7:$P$874,'30 days CF Table(ALL)'!G57),2)</f>
        <v>0</v>
      </c>
      <c r="AB57" s="339">
        <f>ROUND(SUMIFS(BS_RE33!$H$7:$H$874,BS_RE33!$S$7:$S$874,$AB$2,BS_RE33!$N$7:$N$874,I57,BS_RE33!$P$7:$P$874,'30 days CF Table(ALL)'!G57),2)</f>
        <v>0</v>
      </c>
      <c r="AC57" s="339">
        <f>ROUND(SUMIFS(BS_RE33!$H$7:$H$874,BS_RE33!$S$7:$S$874,$AC$2,BS_RE33!$N$7:$N$874,I57,BS_RE33!$P$7:$P$874,'30 days CF Table(ALL)'!G57),2)</f>
        <v>0</v>
      </c>
      <c r="AD57" s="339">
        <f>ROUND(SUMIFS(BS_RE33!$H$7:$H$874,BS_RE33!$S$7:$S$874,$AD$2,BS_RE33!$N$7:$N$874,I57,BS_RE33!$P$7:$P$874,'30 days CF Table(ALL)'!G57),2)</f>
        <v>0</v>
      </c>
      <c r="AE57" s="339">
        <f>ROUND(SUMIFS(BS_RE33!$H$7:$H$874,BS_RE33!$S$7:$S$874,$AE$2,BS_RE33!$N$7:$N$874,I57,BS_RE33!$P$7:$P$874,'30 days CF Table(ALL)'!G57),2)</f>
        <v>0</v>
      </c>
      <c r="AF57" s="339">
        <f>ROUND(SUMIFS(BS_RE33!$H$7:$H$874,BS_RE33!$S$7:$S$874,$AF$2,BS_RE33!$N$7:$N$874,I57,BS_RE33!$P$7:$P$874,'30 days CF Table(ALL)'!G57),2)</f>
        <v>0</v>
      </c>
      <c r="AG57" s="339">
        <f>ROUND(SUMIFS(BS_RE33!$H$7:$H$874,BS_RE33!$S$7:$S$874,$AG$2,BS_RE33!$N$7:$N$874,I57,BS_RE33!$P$7:$P$874,'30 days CF Table(ALL)'!G57),2)</f>
        <v>0</v>
      </c>
      <c r="AH57" s="339">
        <f>ROUND(SUMIFS(BS_RE33!$H$7:$H$874,BS_RE33!$S$7:$S$874,$AH$2,BS_RE33!$N$7:$N$874,I57,BS_RE33!$P$7:$P$874,'30 days CF Table(ALL)'!G57),2)</f>
        <v>0</v>
      </c>
      <c r="AI57" s="339">
        <f>ROUND(SUMIFS(BS_RE33!$H$7:$H$874,BS_RE33!$S$7:$S$874,$AI$2,BS_RE33!$N$7:$N$874,I57,BS_RE33!$P$7:$P$874,'30 days CF Table(ALL)'!G57),2)</f>
        <v>0</v>
      </c>
      <c r="AJ57" s="339">
        <f>ROUND(SUMIFS(BS_RE33!$H$7:$H$874,BS_RE33!$S$7:$S$874,$AJ$2,BS_RE33!$N$7:$N$874,I57,BS_RE33!$P$7:$P$874,'30 days CF Table(ALL)'!G57),2)</f>
        <v>0</v>
      </c>
      <c r="AK57" s="339">
        <f>ROUND(SUMIFS(BS_RE33!$H$7:$H$874,BS_RE33!$S$7:$S$874,$AK$2,BS_RE33!$N$7:$N$874,I57,BS_RE33!$P$7:$P$874,'30 days CF Table(ALL)'!G57),2)</f>
        <v>0</v>
      </c>
      <c r="AL57" s="339">
        <f>ROUND(SUMIFS(BS_RE33!$H$7:$H$874,BS_RE33!$S$7:$S$874,$AL$2,BS_RE33!$N$7:$N$874,I57,BS_RE33!$P$7:$P$874,'30 days CF Table(ALL)'!G57),2)</f>
        <v>0</v>
      </c>
      <c r="AM57" s="339">
        <f>ROUND(SUMIFS(BS_RE33!$H$7:$H$874,BS_RE33!$S$7:$S$874,$AM$2,BS_RE33!$N$7:$N$874,I57,BS_RE33!$P$7:$P$874,'30 days CF Table(ALL)'!G57),2)</f>
        <v>0</v>
      </c>
      <c r="AN57" s="339">
        <f>ROUND(SUMIFS(BS_RE33!$H$7:$H$874,BS_RE33!$S$7:$S$874,$AN$2,BS_RE33!$N$7:$N$874,I57,BS_RE33!$P$7:$P$874,'30 days CF Table(ALL)'!G57),2)</f>
        <v>0</v>
      </c>
      <c r="AO57" s="339">
        <f>ROUND(SUMIFS(BS_RE33!$H$7:$H$874,BS_RE33!$S$7:$S$874,$AO$2,BS_RE33!$N$7:$N$874,I57,BS_RE33!$P$7:$P$874,'30 days CF Table(ALL)'!G57),2)</f>
        <v>0</v>
      </c>
      <c r="AP57" s="340">
        <f>ROUND(SUMIFS(BS_RE33!$H$7:$H$874,BS_RE33!$S$7:$S$874,$AP$2,BS_RE33!$N$7:$N$874,I57,BS_RE33!$P$7:$P$874,'30 days CF Table(ALL)'!G57),2)</f>
        <v>0</v>
      </c>
      <c r="AR57" s="381">
        <f>ROUND(SUMIFS(BS_RE33!$H$7:$H$874,BS_RE33!$S$7:$S$874,$AR$2,BS_RE33!$N$7:$N$874,I57,BS_RE33!$P$7:$P$874,'30 days CF Table(ALL)'!G57),2)</f>
        <v>0</v>
      </c>
      <c r="AS57" s="381">
        <f>ROUND(SUMIFS(BS_RE33!$H$7:$H$874,BS_RE33!$S$7:$S$874,$AS$2,BS_RE33!$N$7:$N$874,I57,BS_RE33!$P$7:$P$874,'30 days CF Table(ALL)'!G57),2)</f>
        <v>0</v>
      </c>
      <c r="AT57" s="381">
        <f>ROUND(SUMIFS(BS_RE33!$H$7:$H$874,BS_RE33!$S$7:$S$874,$AT$2,BS_RE33!$N$7:$N$874,I57,BS_RE33!$P$7:$P$874,'30 days CF Table(ALL)'!G57),2)</f>
        <v>0</v>
      </c>
      <c r="AU57" s="381">
        <f>ROUND(SUMIFS(BS_RE33!$H$7:$H$874,BS_RE33!$S$7:$S$874,$AU$2,BS_RE33!$N$7:$N$874,I57,BS_RE33!$P$7:$P$874,'30 days CF Table(ALL)'!G57),2)</f>
        <v>0</v>
      </c>
      <c r="AV57" s="381">
        <f>ROUND(SUMIFS(BS_RE33!$H$7:$H$874,BS_RE33!$S$7:$S$874,$AV$2,BS_RE33!$N$7:$N$874,I57,BS_RE33!$P$7:$P$874,'30 days CF Table(ALL)'!G57),2)</f>
        <v>0</v>
      </c>
      <c r="AW57" s="381">
        <f>ROUND(SUMIFS(BS_RE33!$H$7:$H$874,BS_RE33!$S$7:$S$874,$AW$2,BS_RE33!$N$7:$N$874,I57,BS_RE33!$P$7:$P$874,'30 days CF Table(ALL)'!G57),2)</f>
        <v>0</v>
      </c>
      <c r="AX57" s="381">
        <f>ROUND(SUMIFS(BS_RE33!$H$7:$H$874,BS_RE33!$S$7:$S$874,$AX$2,BS_RE33!$N$7:$N$874,I57,BS_RE33!$P$7:$P$874,'30 days CF Table(ALL)'!G57),2)</f>
        <v>0</v>
      </c>
      <c r="AY57" s="381">
        <f>ROUND(SUMIFS(BS_RE33!$H$7:$H$874,BS_RE33!$S$7:$S$874,$AY$2,BS_RE33!$N$7:$N$874,I57,BS_RE33!$P$7:$P$874,'30 days CF Table(ALL)'!G57),2)</f>
        <v>0</v>
      </c>
      <c r="AZ57" s="381">
        <f>ROUND(SUMIFS(BS_RE33!$H$7:$H$874,BS_RE33!$S$7:$S$874,$AZ$2,BS_RE33!$N$7:$N$874,I57,BS_RE33!$P$7:$P$874,'30 days CF Table(ALL)'!G57),2)</f>
        <v>0</v>
      </c>
      <c r="BA57" s="381">
        <f>ROUND(SUMIFS(BS_RE33!$H$7:$H$874,BS_RE33!$S$7:$S$874,$BA$2,BS_RE33!$N$7:$N$874,I57,BS_RE33!$P$7:$P$874,'30 days CF Table(ALL)'!G57),2)</f>
        <v>0</v>
      </c>
      <c r="BB57" s="381">
        <f>ROUND(SUMIFS(BS_RE33!$H$7:$H$874,BS_RE33!$S$7:$S$874,$BB$2,BS_RE33!$N$7:$N$874,I57,BS_RE33!$P$7:$P$874,'30 days CF Table(ALL)'!G57),2)</f>
        <v>0</v>
      </c>
      <c r="BC57" s="381">
        <f>ROUND(SUMIFS(BS_RE33!$H$7:$H$874,BS_RE33!$S$7:$S$874,$BC$2,BS_RE33!$N$7:$N$874,I57,BS_RE33!$P$7:$P$874,'30 days CF Table(ALL)'!G57),2)</f>
        <v>0</v>
      </c>
      <c r="BD57" s="381">
        <f>ROUND(SUMIFS(BS_RE33!$H$7:$H$874,BS_RE33!$S$7:$S$874,$BD$2,BS_RE33!$N$7:$N$874,I57,BS_RE33!$P$7:$P$874,'30 days CF Table(ALL)'!G57),2)</f>
        <v>0</v>
      </c>
      <c r="BE57" s="381">
        <f>ROUND(SUMIFS(BS_RE33!$H$7:$H$874,BS_RE33!$S$7:$S$874,$BE$2,BS_RE33!$N$7:$N$874,I57,BS_RE33!$P$7:$P$874,'30 days CF Table(ALL)'!G57),2)</f>
        <v>0</v>
      </c>
      <c r="BF57" s="381">
        <f>ROUND(SUMIFS(BS_RE33!$H$7:$H$874,BS_RE33!$S$7:$S$874,$BF$2,BS_RE33!$N$7:$N$874,I57,BS_RE33!$P$7:$P$874,'30 days CF Table(ALL)'!G57),2)</f>
        <v>0</v>
      </c>
      <c r="BG57" s="381">
        <f>ROUND(SUMIFS(BS_RE33!$H$7:$H$874,BS_RE33!$S$7:$S$874,$BG$2,BS_RE33!$N$7:$N$874,I57,BS_RE33!$P$7:$P$874,'30 days CF Table(ALL)'!G57),2)</f>
        <v>0</v>
      </c>
      <c r="BH57" s="381">
        <f>ROUND(SUMIFS(BS_RE33!$H$7:$H$874,BS_RE33!$S$7:$S$874,$BH$2,BS_RE33!$N$7:$N$874,I57,BS_RE33!$P$7:$P$874,'30 days CF Table(ALL)'!G57),2)</f>
        <v>0</v>
      </c>
      <c r="BI57" s="381">
        <f>ROUND(SUMIFS(BS_RE33!$H$7:$H$874,BS_RE33!$S$7:$S$874,$BI$2,BS_RE33!$N$7:$N$874,I57,BS_RE33!$P$7:$P$874,'30 days CF Table(ALL)'!G57),2)</f>
        <v>0</v>
      </c>
      <c r="BJ57" s="381">
        <f>ROUND(SUMIFS(BS_RE33!$H$7:$H$874,BS_RE33!$S$7:$S$874,$BJ$2,BS_RE33!$N$7:$N$874,I57,BS_RE33!$P$7:$P$874,'30 days CF Table(ALL)'!G57),2)</f>
        <v>0</v>
      </c>
      <c r="BK57" s="381">
        <f>ROUND(SUMIFS(BS_RE33!$H$7:$H$874,BS_RE33!$S$7:$S$874,$BK$2,BS_RE33!$N$7:$N$874,I57,BS_RE33!$P$7:$P$874,'30 days CF Table(ALL)'!G57),2)</f>
        <v>0</v>
      </c>
    </row>
    <row r="58" spans="3:63">
      <c r="C58" s="1044"/>
      <c r="D58" s="1039"/>
      <c r="E58" s="105" t="s">
        <v>96</v>
      </c>
      <c r="F58" s="312" t="s">
        <v>489</v>
      </c>
      <c r="G58" s="392" t="s">
        <v>536</v>
      </c>
      <c r="H58" s="317">
        <v>0.1</v>
      </c>
      <c r="I58" s="315" t="s">
        <v>80</v>
      </c>
      <c r="J58" s="479">
        <f>SUM(L58:AP58)/1000000</f>
        <v>0</v>
      </c>
      <c r="K58" s="336">
        <f>SUM(L58:AP58)*H58</f>
        <v>0</v>
      </c>
      <c r="L58" s="339">
        <f>ROUND(SUMIFS(BS_RE33!$H$7:$H$874,BS_RE33!$S$7:$S$874,$L$2,BS_RE33!$N$7:$N$874,I58,BS_RE33!$P$7:$P$874,'30 days CF Table(ALL)'!G58),2)</f>
        <v>0</v>
      </c>
      <c r="M58" s="339">
        <f>ROUND(SUMIFS(BS_RE33!$H$7:$H$874,BS_RE33!$S$7:$S$874,$M$2,BS_RE33!$N$7:$N$874,I58,BS_RE33!$P$7:$P$874,'30 days CF Table(ALL)'!G58),2)</f>
        <v>0</v>
      </c>
      <c r="N58" s="339">
        <f>ROUND(SUMIFS(BS_RE33!$H$7:$H$874,BS_RE33!$S$7:$S$874,$N$2,BS_RE33!$N$7:$N$874,I58,BS_RE33!$P$7:$P$874,'30 days CF Table(ALL)'!G58),2)</f>
        <v>0</v>
      </c>
      <c r="O58" s="339">
        <f>ROUND(SUMIFS(BS_RE33!$H$7:$H$874,BS_RE33!$S$7:$S$874,$O$2,BS_RE33!$N$7:$N$874,I58,BS_RE33!$P$7:$P$874,'30 days CF Table(ALL)'!G58),2)</f>
        <v>0</v>
      </c>
      <c r="P58" s="339">
        <f>ROUND(SUMIFS(BS_RE33!$H$7:$H$874,BS_RE33!$S$7:$S$874,$P$2,BS_RE33!$N$7:$N$874,I58,BS_RE33!$P$7:$P$874,'30 days CF Table(ALL)'!G58),2)</f>
        <v>0</v>
      </c>
      <c r="Q58" s="339">
        <f>ROUND(SUMIFS(BS_RE33!$H$7:$H$874,BS_RE33!$S$7:$S$874,$Q$2,BS_RE33!$N$7:$N$874,I58,BS_RE33!$P$7:$P$874,'30 days CF Table(ALL)'!G58),2)</f>
        <v>0</v>
      </c>
      <c r="R58" s="339">
        <f>ROUND(SUMIFS(BS_RE33!$H$7:$H$874,BS_RE33!$S$7:$S$874,$R$2,BS_RE33!$N$7:$N$874,I58,BS_RE33!$P$7:$P$874,'30 days CF Table(ALL)'!G58),2)</f>
        <v>0</v>
      </c>
      <c r="S58" s="339">
        <f>ROUND(SUMIFS(BS_RE33!$H$7:$H$874,BS_RE33!$S$7:$S$874,$S$2,BS_RE33!$N$7:$N$874,I58,BS_RE33!$P$7:$P$874,'30 days CF Table(ALL)'!G58),2)</f>
        <v>0</v>
      </c>
      <c r="T58" s="339">
        <f>ROUND(SUMIFS(BS_RE33!$H$7:$H$874,BS_RE33!$S$7:$S$874,$T$2,BS_RE33!$N$7:$N$874,I58,BS_RE33!$P$7:$P$874,'30 days CF Table(ALL)'!G58),2)</f>
        <v>0</v>
      </c>
      <c r="U58" s="339">
        <f>ROUND(SUMIFS(BS_RE33!$H$7:$H$874,BS_RE33!$S$7:$S$874,$U$2,BS_RE33!$N$7:$N$874,I58,BS_RE33!$P$7:$P$874,'30 days CF Table(ALL)'!G58),2)</f>
        <v>0</v>
      </c>
      <c r="V58" s="339">
        <f>ROUND(SUMIFS(BS_RE33!$H$7:$H$874,BS_RE33!$S$7:$S$874,$V$2,BS_RE33!$N$7:$N$874,I58,BS_RE33!$P$7:$P$874,'30 days CF Table(ALL)'!G58),2)</f>
        <v>0</v>
      </c>
      <c r="W58" s="339">
        <f>ROUND(SUMIFS(BS_RE33!$H$7:$H$874,BS_RE33!$S$7:$S$874,$W$2,BS_RE33!$N$7:$N$874,I58,BS_RE33!$P$7:$P$874,'30 days CF Table(ALL)'!G58),2)</f>
        <v>0</v>
      </c>
      <c r="X58" s="339">
        <f>ROUND(SUMIFS(BS_RE33!$H$7:$H$874,BS_RE33!$S$7:$S$874,$X$2,BS_RE33!$N$7:$N$874,I58,BS_RE33!$P$7:$P$874,'30 days CF Table(ALL)'!G58),2)</f>
        <v>0</v>
      </c>
      <c r="Y58" s="339">
        <f>ROUND(SUMIFS(BS_RE33!$H$7:$H$874,BS_RE33!$S$7:$S$874,$Y$2,BS_RE33!$N$7:$N$874,I58,BS_RE33!$P$7:$P$874,'30 days CF Table(ALL)'!G58),2)</f>
        <v>0</v>
      </c>
      <c r="Z58" s="339">
        <f>ROUND(SUMIFS(BS_RE33!$H$7:$H$874,BS_RE33!$S$7:$S$874,$Z$2,BS_RE33!$N$7:$N$874,I58,BS_RE33!$P$7:$P$874,'30 days CF Table(ALL)'!G58),2)</f>
        <v>0</v>
      </c>
      <c r="AA58" s="339">
        <f>ROUND(SUMIFS(BS_RE33!$H$7:$H$874,BS_RE33!$S$7:$S$874,$AA$2,BS_RE33!$N$7:$N$874,I58,BS_RE33!$P$7:$P$874,'30 days CF Table(ALL)'!G58),2)</f>
        <v>0</v>
      </c>
      <c r="AB58" s="339">
        <f>ROUND(SUMIFS(BS_RE33!$H$7:$H$874,BS_RE33!$S$7:$S$874,$AB$2,BS_RE33!$N$7:$N$874,I58,BS_RE33!$P$7:$P$874,'30 days CF Table(ALL)'!G58),2)</f>
        <v>0</v>
      </c>
      <c r="AC58" s="339">
        <f>ROUND(SUMIFS(BS_RE33!$H$7:$H$874,BS_RE33!$S$7:$S$874,$AC$2,BS_RE33!$N$7:$N$874,I58,BS_RE33!$P$7:$P$874,'30 days CF Table(ALL)'!G58),2)</f>
        <v>0</v>
      </c>
      <c r="AD58" s="339">
        <f>ROUND(SUMIFS(BS_RE33!$H$7:$H$874,BS_RE33!$S$7:$S$874,$AD$2,BS_RE33!$N$7:$N$874,I58,BS_RE33!$P$7:$P$874,'30 days CF Table(ALL)'!G58),2)</f>
        <v>0</v>
      </c>
      <c r="AE58" s="339">
        <f>ROUND(SUMIFS(BS_RE33!$H$7:$H$874,BS_RE33!$S$7:$S$874,$AE$2,BS_RE33!$N$7:$N$874,I58,BS_RE33!$P$7:$P$874,'30 days CF Table(ALL)'!G58),2)</f>
        <v>0</v>
      </c>
      <c r="AF58" s="339">
        <f>ROUND(SUMIFS(BS_RE33!$H$7:$H$874,BS_RE33!$S$7:$S$874,$AF$2,BS_RE33!$N$7:$N$874,I58,BS_RE33!$P$7:$P$874,'30 days CF Table(ALL)'!G58),2)</f>
        <v>0</v>
      </c>
      <c r="AG58" s="339">
        <f>ROUND(SUMIFS(BS_RE33!$H$7:$H$874,BS_RE33!$S$7:$S$874,$AG$2,BS_RE33!$N$7:$N$874,I58,BS_RE33!$P$7:$P$874,'30 days CF Table(ALL)'!G58),2)</f>
        <v>0</v>
      </c>
      <c r="AH58" s="339">
        <f>ROUND(SUMIFS(BS_RE33!$H$7:$H$874,BS_RE33!$S$7:$S$874,$AH$2,BS_RE33!$N$7:$N$874,I58,BS_RE33!$P$7:$P$874,'30 days CF Table(ALL)'!G58),2)</f>
        <v>0</v>
      </c>
      <c r="AI58" s="339">
        <f>ROUND(SUMIFS(BS_RE33!$H$7:$H$874,BS_RE33!$S$7:$S$874,$AI$2,BS_RE33!$N$7:$N$874,I58,BS_RE33!$P$7:$P$874,'30 days CF Table(ALL)'!G58),2)</f>
        <v>0</v>
      </c>
      <c r="AJ58" s="339">
        <f>ROUND(SUMIFS(BS_RE33!$H$7:$H$874,BS_RE33!$S$7:$S$874,$AJ$2,BS_RE33!$N$7:$N$874,I58,BS_RE33!$P$7:$P$874,'30 days CF Table(ALL)'!G58),2)</f>
        <v>0</v>
      </c>
      <c r="AK58" s="339">
        <f>ROUND(SUMIFS(BS_RE33!$H$7:$H$874,BS_RE33!$S$7:$S$874,$AK$2,BS_RE33!$N$7:$N$874,I58,BS_RE33!$P$7:$P$874,'30 days CF Table(ALL)'!G58),2)</f>
        <v>0</v>
      </c>
      <c r="AL58" s="339">
        <f>ROUND(SUMIFS(BS_RE33!$H$7:$H$874,BS_RE33!$S$7:$S$874,$AL$2,BS_RE33!$N$7:$N$874,I58,BS_RE33!$P$7:$P$874,'30 days CF Table(ALL)'!G58),2)</f>
        <v>0</v>
      </c>
      <c r="AM58" s="339">
        <f>ROUND(SUMIFS(BS_RE33!$H$7:$H$874,BS_RE33!$S$7:$S$874,$AM$2,BS_RE33!$N$7:$N$874,I58,BS_RE33!$P$7:$P$874,'30 days CF Table(ALL)'!G58),2)</f>
        <v>0</v>
      </c>
      <c r="AN58" s="339">
        <f>ROUND(SUMIFS(BS_RE33!$H$7:$H$874,BS_RE33!$S$7:$S$874,$AN$2,BS_RE33!$N$7:$N$874,I58,BS_RE33!$P$7:$P$874,'30 days CF Table(ALL)'!G58),2)</f>
        <v>0</v>
      </c>
      <c r="AO58" s="339">
        <f>ROUND(SUMIFS(BS_RE33!$H$7:$H$874,BS_RE33!$S$7:$S$874,$AO$2,BS_RE33!$N$7:$N$874,I58,BS_RE33!$P$7:$P$874,'30 days CF Table(ALL)'!G58),2)</f>
        <v>0</v>
      </c>
      <c r="AP58" s="340">
        <f>ROUND(SUMIFS(BS_RE33!$H$7:$H$874,BS_RE33!$S$7:$S$874,$AP$2,BS_RE33!$N$7:$N$874,I58,BS_RE33!$P$7:$P$874,'30 days CF Table(ALL)'!G58),2)</f>
        <v>0</v>
      </c>
      <c r="AR58" s="381">
        <f>ROUND(SUMIFS(BS_RE33!$H$7:$H$874,BS_RE33!$S$7:$S$874,$AR$2,BS_RE33!$N$7:$N$874,I58,BS_RE33!$P$7:$P$874,'30 days CF Table(ALL)'!G58),2)</f>
        <v>0</v>
      </c>
      <c r="AS58" s="381">
        <f>ROUND(SUMIFS(BS_RE33!$H$7:$H$874,BS_RE33!$S$7:$S$874,$AS$2,BS_RE33!$N$7:$N$874,I58,BS_RE33!$P$7:$P$874,'30 days CF Table(ALL)'!G58),2)</f>
        <v>0</v>
      </c>
      <c r="AT58" s="381">
        <f>ROUND(SUMIFS(BS_RE33!$H$7:$H$874,BS_RE33!$S$7:$S$874,$AT$2,BS_RE33!$N$7:$N$874,I58,BS_RE33!$P$7:$P$874,'30 days CF Table(ALL)'!G58),2)</f>
        <v>0</v>
      </c>
      <c r="AU58" s="381">
        <f>ROUND(SUMIFS(BS_RE33!$H$7:$H$874,BS_RE33!$S$7:$S$874,$AU$2,BS_RE33!$N$7:$N$874,I58,BS_RE33!$P$7:$P$874,'30 days CF Table(ALL)'!G58),2)</f>
        <v>0</v>
      </c>
      <c r="AV58" s="381">
        <f>ROUND(SUMIFS(BS_RE33!$H$7:$H$874,BS_RE33!$S$7:$S$874,$AV$2,BS_RE33!$N$7:$N$874,I58,BS_RE33!$P$7:$P$874,'30 days CF Table(ALL)'!G58),2)</f>
        <v>0</v>
      </c>
      <c r="AW58" s="381">
        <f>ROUND(SUMIFS(BS_RE33!$H$7:$H$874,BS_RE33!$S$7:$S$874,$AW$2,BS_RE33!$N$7:$N$874,I58,BS_RE33!$P$7:$P$874,'30 days CF Table(ALL)'!G58),2)</f>
        <v>0</v>
      </c>
      <c r="AX58" s="381">
        <f>ROUND(SUMIFS(BS_RE33!$H$7:$H$874,BS_RE33!$S$7:$S$874,$AX$2,BS_RE33!$N$7:$N$874,I58,BS_RE33!$P$7:$P$874,'30 days CF Table(ALL)'!G58),2)</f>
        <v>0</v>
      </c>
      <c r="AY58" s="381">
        <f>ROUND(SUMIFS(BS_RE33!$H$7:$H$874,BS_RE33!$S$7:$S$874,$AY$2,BS_RE33!$N$7:$N$874,I58,BS_RE33!$P$7:$P$874,'30 days CF Table(ALL)'!G58),2)</f>
        <v>0</v>
      </c>
      <c r="AZ58" s="381">
        <f>ROUND(SUMIFS(BS_RE33!$H$7:$H$874,BS_RE33!$S$7:$S$874,$AZ$2,BS_RE33!$N$7:$N$874,I58,BS_RE33!$P$7:$P$874,'30 days CF Table(ALL)'!G58),2)</f>
        <v>0</v>
      </c>
      <c r="BA58" s="381">
        <f>ROUND(SUMIFS(BS_RE33!$H$7:$H$874,BS_RE33!$S$7:$S$874,$BA$2,BS_RE33!$N$7:$N$874,I58,BS_RE33!$P$7:$P$874,'30 days CF Table(ALL)'!G58),2)</f>
        <v>0</v>
      </c>
      <c r="BB58" s="381">
        <f>ROUND(SUMIFS(BS_RE33!$H$7:$H$874,BS_RE33!$S$7:$S$874,$BB$2,BS_RE33!$N$7:$N$874,I58,BS_RE33!$P$7:$P$874,'30 days CF Table(ALL)'!G58),2)</f>
        <v>0</v>
      </c>
      <c r="BC58" s="381">
        <f>ROUND(SUMIFS(BS_RE33!$H$7:$H$874,BS_RE33!$S$7:$S$874,$BC$2,BS_RE33!$N$7:$N$874,I58,BS_RE33!$P$7:$P$874,'30 days CF Table(ALL)'!G58),2)</f>
        <v>0</v>
      </c>
      <c r="BD58" s="381">
        <f>ROUND(SUMIFS(BS_RE33!$H$7:$H$874,BS_RE33!$S$7:$S$874,$BD$2,BS_RE33!$N$7:$N$874,I58,BS_RE33!$P$7:$P$874,'30 days CF Table(ALL)'!G58),2)</f>
        <v>0</v>
      </c>
      <c r="BE58" s="381">
        <f>ROUND(SUMIFS(BS_RE33!$H$7:$H$874,BS_RE33!$S$7:$S$874,$BE$2,BS_RE33!$N$7:$N$874,I58,BS_RE33!$P$7:$P$874,'30 days CF Table(ALL)'!G58),2)</f>
        <v>0</v>
      </c>
      <c r="BF58" s="381">
        <f>ROUND(SUMIFS(BS_RE33!$H$7:$H$874,BS_RE33!$S$7:$S$874,$BF$2,BS_RE33!$N$7:$N$874,I58,BS_RE33!$P$7:$P$874,'30 days CF Table(ALL)'!G58),2)</f>
        <v>0</v>
      </c>
      <c r="BG58" s="381">
        <f>ROUND(SUMIFS(BS_RE33!$H$7:$H$874,BS_RE33!$S$7:$S$874,$BG$2,BS_RE33!$N$7:$N$874,I58,BS_RE33!$P$7:$P$874,'30 days CF Table(ALL)'!G58),2)</f>
        <v>0</v>
      </c>
      <c r="BH58" s="381">
        <f>ROUND(SUMIFS(BS_RE33!$H$7:$H$874,BS_RE33!$S$7:$S$874,$BH$2,BS_RE33!$N$7:$N$874,I58,BS_RE33!$P$7:$P$874,'30 days CF Table(ALL)'!G58),2)</f>
        <v>0</v>
      </c>
      <c r="BI58" s="381">
        <f>ROUND(SUMIFS(BS_RE33!$H$7:$H$874,BS_RE33!$S$7:$S$874,$BI$2,BS_RE33!$N$7:$N$874,I58,BS_RE33!$P$7:$P$874,'30 days CF Table(ALL)'!G58),2)</f>
        <v>0</v>
      </c>
      <c r="BJ58" s="381">
        <f>ROUND(SUMIFS(BS_RE33!$H$7:$H$874,BS_RE33!$S$7:$S$874,$BJ$2,BS_RE33!$N$7:$N$874,I58,BS_RE33!$P$7:$P$874,'30 days CF Table(ALL)'!G58),2)</f>
        <v>0</v>
      </c>
      <c r="BK58" s="381">
        <f>ROUND(SUMIFS(BS_RE33!$H$7:$H$874,BS_RE33!$S$7:$S$874,$BK$2,BS_RE33!$N$7:$N$874,I58,BS_RE33!$P$7:$P$874,'30 days CF Table(ALL)'!G58),2)</f>
        <v>0</v>
      </c>
    </row>
    <row r="59" spans="3:63">
      <c r="C59" s="1027"/>
      <c r="D59" s="1039"/>
      <c r="E59" s="105" t="s">
        <v>96</v>
      </c>
      <c r="F59" s="312" t="s">
        <v>493</v>
      </c>
      <c r="G59" s="392" t="s">
        <v>1248</v>
      </c>
      <c r="H59" s="317">
        <v>0.4</v>
      </c>
      <c r="I59" s="315" t="s">
        <v>80</v>
      </c>
      <c r="J59" s="479">
        <f t="shared" si="3"/>
        <v>0</v>
      </c>
      <c r="K59" s="336">
        <f t="shared" si="5"/>
        <v>0</v>
      </c>
      <c r="L59" s="339">
        <f>ROUND(SUMIFS(BS_RE33!$H$7:$H$874,BS_RE33!$S$7:$S$874,$L$2,BS_RE33!$N$7:$N$874,I59,BS_RE33!$P$7:$P$874,'30 days CF Table(ALL)'!G59),2)</f>
        <v>0</v>
      </c>
      <c r="M59" s="339">
        <f>ROUND(SUMIFS(BS_RE33!$H$7:$H$874,BS_RE33!$S$7:$S$874,$M$2,BS_RE33!$N$7:$N$874,I59,BS_RE33!$P$7:$P$874,'30 days CF Table(ALL)'!G59),2)</f>
        <v>0</v>
      </c>
      <c r="N59" s="339">
        <f>ROUND(SUMIFS(BS_RE33!$H$7:$H$874,BS_RE33!$S$7:$S$874,$N$2,BS_RE33!$N$7:$N$874,I59,BS_RE33!$P$7:$P$874,'30 days CF Table(ALL)'!G59),2)</f>
        <v>0</v>
      </c>
      <c r="O59" s="339">
        <f>ROUND(SUMIFS(BS_RE33!$H$7:$H$874,BS_RE33!$S$7:$S$874,$O$2,BS_RE33!$N$7:$N$874,I59,BS_RE33!$P$7:$P$874,'30 days CF Table(ALL)'!G59),2)</f>
        <v>0</v>
      </c>
      <c r="P59" s="339">
        <f>ROUND(SUMIFS(BS_RE33!$H$7:$H$874,BS_RE33!$S$7:$S$874,$P$2,BS_RE33!$N$7:$N$874,I59,BS_RE33!$P$7:$P$874,'30 days CF Table(ALL)'!G59),2)</f>
        <v>0</v>
      </c>
      <c r="Q59" s="339">
        <f>ROUND(SUMIFS(BS_RE33!$H$7:$H$874,BS_RE33!$S$7:$S$874,$Q$2,BS_RE33!$N$7:$N$874,I59,BS_RE33!$P$7:$P$874,'30 days CF Table(ALL)'!G59),2)</f>
        <v>0</v>
      </c>
      <c r="R59" s="339">
        <f>ROUND(SUMIFS(BS_RE33!$H$7:$H$874,BS_RE33!$S$7:$S$874,$R$2,BS_RE33!$N$7:$N$874,I59,BS_RE33!$P$7:$P$874,'30 days CF Table(ALL)'!G59),2)</f>
        <v>0</v>
      </c>
      <c r="S59" s="339">
        <f>ROUND(SUMIFS(BS_RE33!$H$7:$H$874,BS_RE33!$S$7:$S$874,$S$2,BS_RE33!$N$7:$N$874,I59,BS_RE33!$P$7:$P$874,'30 days CF Table(ALL)'!G59),2)</f>
        <v>0</v>
      </c>
      <c r="T59" s="339">
        <f>ROUND(SUMIFS(BS_RE33!$H$7:$H$874,BS_RE33!$S$7:$S$874,$T$2,BS_RE33!$N$7:$N$874,I59,BS_RE33!$P$7:$P$874,'30 days CF Table(ALL)'!G59),2)</f>
        <v>0</v>
      </c>
      <c r="U59" s="339">
        <f>ROUND(SUMIFS(BS_RE33!$H$7:$H$874,BS_RE33!$S$7:$S$874,$U$2,BS_RE33!$N$7:$N$874,I59,BS_RE33!$P$7:$P$874,'30 days CF Table(ALL)'!G59),2)</f>
        <v>0</v>
      </c>
      <c r="V59" s="339">
        <f>ROUND(SUMIFS(BS_RE33!$H$7:$H$874,BS_RE33!$S$7:$S$874,$V$2,BS_RE33!$N$7:$N$874,I59,BS_RE33!$P$7:$P$874,'30 days CF Table(ALL)'!G59),2)</f>
        <v>0</v>
      </c>
      <c r="W59" s="339">
        <f>ROUND(SUMIFS(BS_RE33!$H$7:$H$874,BS_RE33!$S$7:$S$874,$W$2,BS_RE33!$N$7:$N$874,I59,BS_RE33!$P$7:$P$874,'30 days CF Table(ALL)'!G59),2)</f>
        <v>0</v>
      </c>
      <c r="X59" s="339">
        <f>ROUND(SUMIFS(BS_RE33!$H$7:$H$874,BS_RE33!$S$7:$S$874,$X$2,BS_RE33!$N$7:$N$874,I59,BS_RE33!$P$7:$P$874,'30 days CF Table(ALL)'!G59),2)</f>
        <v>0</v>
      </c>
      <c r="Y59" s="339">
        <f>ROUND(SUMIFS(BS_RE33!$H$7:$H$874,BS_RE33!$S$7:$S$874,$Y$2,BS_RE33!$N$7:$N$874,I59,BS_RE33!$P$7:$P$874,'30 days CF Table(ALL)'!G59),2)</f>
        <v>0</v>
      </c>
      <c r="Z59" s="339">
        <f>ROUND(SUMIFS(BS_RE33!$H$7:$H$874,BS_RE33!$S$7:$S$874,$Z$2,BS_RE33!$N$7:$N$874,I59,BS_RE33!$P$7:$P$874,'30 days CF Table(ALL)'!G59),2)</f>
        <v>0</v>
      </c>
      <c r="AA59" s="339">
        <f>ROUND(SUMIFS(BS_RE33!$H$7:$H$874,BS_RE33!$S$7:$S$874,$AA$2,BS_RE33!$N$7:$N$874,I59,BS_RE33!$P$7:$P$874,'30 days CF Table(ALL)'!G59),2)</f>
        <v>0</v>
      </c>
      <c r="AB59" s="339">
        <f>ROUND(SUMIFS(BS_RE33!$H$7:$H$874,BS_RE33!$S$7:$S$874,$AB$2,BS_RE33!$N$7:$N$874,I59,BS_RE33!$P$7:$P$874,'30 days CF Table(ALL)'!G59),2)</f>
        <v>0</v>
      </c>
      <c r="AC59" s="339">
        <f>ROUND(SUMIFS(BS_RE33!$H$7:$H$874,BS_RE33!$S$7:$S$874,$AC$2,BS_RE33!$N$7:$N$874,I59,BS_RE33!$P$7:$P$874,'30 days CF Table(ALL)'!G59),2)</f>
        <v>0</v>
      </c>
      <c r="AD59" s="339">
        <f>ROUND(SUMIFS(BS_RE33!$H$7:$H$874,BS_RE33!$S$7:$S$874,$AD$2,BS_RE33!$N$7:$N$874,I59,BS_RE33!$P$7:$P$874,'30 days CF Table(ALL)'!G59),2)</f>
        <v>0</v>
      </c>
      <c r="AE59" s="339">
        <f>ROUND(SUMIFS(BS_RE33!$H$7:$H$874,BS_RE33!$S$7:$S$874,$AE$2,BS_RE33!$N$7:$N$874,I59,BS_RE33!$P$7:$P$874,'30 days CF Table(ALL)'!G59),2)</f>
        <v>0</v>
      </c>
      <c r="AF59" s="339">
        <f>ROUND(SUMIFS(BS_RE33!$H$7:$H$874,BS_RE33!$S$7:$S$874,$AF$2,BS_RE33!$N$7:$N$874,I59,BS_RE33!$P$7:$P$874,'30 days CF Table(ALL)'!G59),2)</f>
        <v>0</v>
      </c>
      <c r="AG59" s="339">
        <f>ROUND(SUMIFS(BS_RE33!$H$7:$H$874,BS_RE33!$S$7:$S$874,$AG$2,BS_RE33!$N$7:$N$874,I59,BS_RE33!$P$7:$P$874,'30 days CF Table(ALL)'!G59),2)</f>
        <v>0</v>
      </c>
      <c r="AH59" s="339">
        <f>ROUND(SUMIFS(BS_RE33!$H$7:$H$874,BS_RE33!$S$7:$S$874,$AH$2,BS_RE33!$N$7:$N$874,I59,BS_RE33!$P$7:$P$874,'30 days CF Table(ALL)'!G59),2)</f>
        <v>0</v>
      </c>
      <c r="AI59" s="339">
        <f>ROUND(SUMIFS(BS_RE33!$H$7:$H$874,BS_RE33!$S$7:$S$874,$AI$2,BS_RE33!$N$7:$N$874,I59,BS_RE33!$P$7:$P$874,'30 days CF Table(ALL)'!G59),2)</f>
        <v>0</v>
      </c>
      <c r="AJ59" s="339">
        <f>ROUND(SUMIFS(BS_RE33!$H$7:$H$874,BS_RE33!$S$7:$S$874,$AJ$2,BS_RE33!$N$7:$N$874,I59,BS_RE33!$P$7:$P$874,'30 days CF Table(ALL)'!G59),2)</f>
        <v>0</v>
      </c>
      <c r="AK59" s="339">
        <f>ROUND(SUMIFS(BS_RE33!$H$7:$H$874,BS_RE33!$S$7:$S$874,$AK$2,BS_RE33!$N$7:$N$874,I59,BS_RE33!$P$7:$P$874,'30 days CF Table(ALL)'!G59),2)</f>
        <v>0</v>
      </c>
      <c r="AL59" s="339">
        <f>ROUND(SUMIFS(BS_RE33!$H$7:$H$874,BS_RE33!$S$7:$S$874,$AL$2,BS_RE33!$N$7:$N$874,I59,BS_RE33!$P$7:$P$874,'30 days CF Table(ALL)'!G59),2)</f>
        <v>0</v>
      </c>
      <c r="AM59" s="339">
        <f>ROUND(SUMIFS(BS_RE33!$H$7:$H$874,BS_RE33!$S$7:$S$874,$AM$2,BS_RE33!$N$7:$N$874,I59,BS_RE33!$P$7:$P$874,'30 days CF Table(ALL)'!G59),2)</f>
        <v>0</v>
      </c>
      <c r="AN59" s="339">
        <f>ROUND(SUMIFS(BS_RE33!$H$7:$H$874,BS_RE33!$S$7:$S$874,$AN$2,BS_RE33!$N$7:$N$874,I59,BS_RE33!$P$7:$P$874,'30 days CF Table(ALL)'!G59),2)</f>
        <v>0</v>
      </c>
      <c r="AO59" s="339">
        <f>ROUND(SUMIFS(BS_RE33!$H$7:$H$874,BS_RE33!$S$7:$S$874,$AO$2,BS_RE33!$N$7:$N$874,I59,BS_RE33!$P$7:$P$874,'30 days CF Table(ALL)'!G59),2)</f>
        <v>0</v>
      </c>
      <c r="AP59" s="340">
        <f>ROUND(SUMIFS(BS_RE33!$H$7:$H$874,BS_RE33!$S$7:$S$874,$AP$2,BS_RE33!$N$7:$N$874,I59,BS_RE33!$P$7:$P$874,'30 days CF Table(ALL)'!G59),2)</f>
        <v>0</v>
      </c>
      <c r="AR59" s="381">
        <f>ROUND(SUMIFS(BS_RE33!$H$7:$H$874,BS_RE33!$S$7:$S$874,$AR$2,BS_RE33!$N$7:$N$874,I59,BS_RE33!$P$7:$P$874,'30 days CF Table(ALL)'!G59),2)</f>
        <v>0</v>
      </c>
      <c r="AS59" s="381">
        <f>ROUND(SUMIFS(BS_RE33!$H$7:$H$874,BS_RE33!$S$7:$S$874,$AS$2,BS_RE33!$N$7:$N$874,I59,BS_RE33!$P$7:$P$874,'30 days CF Table(ALL)'!G59),2)</f>
        <v>0</v>
      </c>
      <c r="AT59" s="381">
        <f>ROUND(SUMIFS(BS_RE33!$H$7:$H$874,BS_RE33!$S$7:$S$874,$AT$2,BS_RE33!$N$7:$N$874,I59,BS_RE33!$P$7:$P$874,'30 days CF Table(ALL)'!G59),2)</f>
        <v>0</v>
      </c>
      <c r="AU59" s="381">
        <f>ROUND(SUMIFS(BS_RE33!$H$7:$H$874,BS_RE33!$S$7:$S$874,$AU$2,BS_RE33!$N$7:$N$874,I59,BS_RE33!$P$7:$P$874,'30 days CF Table(ALL)'!G59),2)</f>
        <v>0</v>
      </c>
      <c r="AV59" s="381">
        <f>ROUND(SUMIFS(BS_RE33!$H$7:$H$874,BS_RE33!$S$7:$S$874,$AV$2,BS_RE33!$N$7:$N$874,I59,BS_RE33!$P$7:$P$874,'30 days CF Table(ALL)'!G59),2)</f>
        <v>0</v>
      </c>
      <c r="AW59" s="381">
        <f>ROUND(SUMIFS(BS_RE33!$H$7:$H$874,BS_RE33!$S$7:$S$874,$AW$2,BS_RE33!$N$7:$N$874,I59,BS_RE33!$P$7:$P$874,'30 days CF Table(ALL)'!G59),2)</f>
        <v>0</v>
      </c>
      <c r="AX59" s="381">
        <f>ROUND(SUMIFS(BS_RE33!$H$7:$H$874,BS_RE33!$S$7:$S$874,$AX$2,BS_RE33!$N$7:$N$874,I59,BS_RE33!$P$7:$P$874,'30 days CF Table(ALL)'!G59),2)</f>
        <v>0</v>
      </c>
      <c r="AY59" s="381">
        <f>ROUND(SUMIFS(BS_RE33!$H$7:$H$874,BS_RE33!$S$7:$S$874,$AY$2,BS_RE33!$N$7:$N$874,I59,BS_RE33!$P$7:$P$874,'30 days CF Table(ALL)'!G59),2)</f>
        <v>0</v>
      </c>
      <c r="AZ59" s="381">
        <f>ROUND(SUMIFS(BS_RE33!$H$7:$H$874,BS_RE33!$S$7:$S$874,$AZ$2,BS_RE33!$N$7:$N$874,I59,BS_RE33!$P$7:$P$874,'30 days CF Table(ALL)'!G59),2)</f>
        <v>0</v>
      </c>
      <c r="BA59" s="381">
        <f>ROUND(SUMIFS(BS_RE33!$H$7:$H$874,BS_RE33!$S$7:$S$874,$BA$2,BS_RE33!$N$7:$N$874,I59,BS_RE33!$P$7:$P$874,'30 days CF Table(ALL)'!G59),2)</f>
        <v>0</v>
      </c>
      <c r="BB59" s="381">
        <f>ROUND(SUMIFS(BS_RE33!$H$7:$H$874,BS_RE33!$S$7:$S$874,$BB$2,BS_RE33!$N$7:$N$874,I59,BS_RE33!$P$7:$P$874,'30 days CF Table(ALL)'!G59),2)</f>
        <v>0</v>
      </c>
      <c r="BC59" s="381">
        <f>ROUND(SUMIFS(BS_RE33!$H$7:$H$874,BS_RE33!$S$7:$S$874,$BC$2,BS_RE33!$N$7:$N$874,I59,BS_RE33!$P$7:$P$874,'30 days CF Table(ALL)'!G59),2)</f>
        <v>0</v>
      </c>
      <c r="BD59" s="381">
        <f>ROUND(SUMIFS(BS_RE33!$H$7:$H$874,BS_RE33!$S$7:$S$874,$BD$2,BS_RE33!$N$7:$N$874,I59,BS_RE33!$P$7:$P$874,'30 days CF Table(ALL)'!G59),2)</f>
        <v>0</v>
      </c>
      <c r="BE59" s="381">
        <f>ROUND(SUMIFS(BS_RE33!$H$7:$H$874,BS_RE33!$S$7:$S$874,$BE$2,BS_RE33!$N$7:$N$874,I59,BS_RE33!$P$7:$P$874,'30 days CF Table(ALL)'!G59),2)</f>
        <v>0</v>
      </c>
      <c r="BF59" s="381">
        <f>ROUND(SUMIFS(BS_RE33!$H$7:$H$874,BS_RE33!$S$7:$S$874,$BF$2,BS_RE33!$N$7:$N$874,I59,BS_RE33!$P$7:$P$874,'30 days CF Table(ALL)'!G59),2)</f>
        <v>0</v>
      </c>
      <c r="BG59" s="381">
        <f>ROUND(SUMIFS(BS_RE33!$H$7:$H$874,BS_RE33!$S$7:$S$874,$BG$2,BS_RE33!$N$7:$N$874,I59,BS_RE33!$P$7:$P$874,'30 days CF Table(ALL)'!G59),2)</f>
        <v>0</v>
      </c>
      <c r="BH59" s="381">
        <f>ROUND(SUMIFS(BS_RE33!$H$7:$H$874,BS_RE33!$S$7:$S$874,$BH$2,BS_RE33!$N$7:$N$874,I59,BS_RE33!$P$7:$P$874,'30 days CF Table(ALL)'!G59),2)</f>
        <v>0</v>
      </c>
      <c r="BI59" s="381">
        <f>ROUND(SUMIFS(BS_RE33!$H$7:$H$874,BS_RE33!$S$7:$S$874,$BI$2,BS_RE33!$N$7:$N$874,I59,BS_RE33!$P$7:$P$874,'30 days CF Table(ALL)'!G59),2)</f>
        <v>0</v>
      </c>
      <c r="BJ59" s="381">
        <f>ROUND(SUMIFS(BS_RE33!$H$7:$H$874,BS_RE33!$S$7:$S$874,$BJ$2,BS_RE33!$N$7:$N$874,I59,BS_RE33!$P$7:$P$874,'30 days CF Table(ALL)'!G59),2)</f>
        <v>0</v>
      </c>
      <c r="BK59" s="381">
        <f>ROUND(SUMIFS(BS_RE33!$H$7:$H$874,BS_RE33!$S$7:$S$874,$BK$2,BS_RE33!$N$7:$N$874,I59,BS_RE33!$P$7:$P$874,'30 days CF Table(ALL)'!G59),2)</f>
        <v>0</v>
      </c>
    </row>
    <row r="60" spans="3:63" ht="20.25">
      <c r="C60" s="1027"/>
      <c r="D60" s="333" t="s">
        <v>771</v>
      </c>
      <c r="E60" s="108" t="s">
        <v>98</v>
      </c>
      <c r="F60" s="312"/>
      <c r="G60" s="392" t="s">
        <v>537</v>
      </c>
      <c r="H60" s="317">
        <v>1</v>
      </c>
      <c r="I60" s="315" t="s">
        <v>80</v>
      </c>
      <c r="J60" s="479">
        <f t="shared" si="3"/>
        <v>0</v>
      </c>
      <c r="K60" s="336">
        <f t="shared" si="5"/>
        <v>0</v>
      </c>
      <c r="L60" s="339">
        <f>ROUND(SUMIFS(BS_RE33!$H$7:$H$874,BS_RE33!$S$7:$S$874,$L$2,BS_RE33!$N$7:$N$874,I60,BS_RE33!$P$7:$P$874,'30 days CF Table(ALL)'!G60),2)</f>
        <v>0</v>
      </c>
      <c r="M60" s="339">
        <f>ROUND(SUMIFS(BS_RE33!$H$7:$H$874,BS_RE33!$S$7:$S$874,$M$2,BS_RE33!$N$7:$N$874,I60,BS_RE33!$P$7:$P$874,'30 days CF Table(ALL)'!G60),2)</f>
        <v>0</v>
      </c>
      <c r="N60" s="339">
        <f>ROUND(SUMIFS(BS_RE33!$H$7:$H$874,BS_RE33!$S$7:$S$874,$N$2,BS_RE33!$N$7:$N$874,I60,BS_RE33!$P$7:$P$874,'30 days CF Table(ALL)'!G60),2)</f>
        <v>0</v>
      </c>
      <c r="O60" s="339">
        <f>ROUND(SUMIFS(BS_RE33!$H$7:$H$874,BS_RE33!$S$7:$S$874,$O$2,BS_RE33!$N$7:$N$874,I60,BS_RE33!$P$7:$P$874,'30 days CF Table(ALL)'!G60),2)</f>
        <v>0</v>
      </c>
      <c r="P60" s="339">
        <f>ROUND(SUMIFS(BS_RE33!$H$7:$H$874,BS_RE33!$S$7:$S$874,$P$2,BS_RE33!$N$7:$N$874,I60,BS_RE33!$P$7:$P$874,'30 days CF Table(ALL)'!G60),2)</f>
        <v>0</v>
      </c>
      <c r="Q60" s="339">
        <f>ROUND(SUMIFS(BS_RE33!$H$7:$H$874,BS_RE33!$S$7:$S$874,$Q$2,BS_RE33!$N$7:$N$874,I60,BS_RE33!$P$7:$P$874,'30 days CF Table(ALL)'!G60),2)</f>
        <v>0</v>
      </c>
      <c r="R60" s="339">
        <f>ROUND(SUMIFS(BS_RE33!$H$7:$H$874,BS_RE33!$S$7:$S$874,$R$2,BS_RE33!$N$7:$N$874,I60,BS_RE33!$P$7:$P$874,'30 days CF Table(ALL)'!G60),2)</f>
        <v>0</v>
      </c>
      <c r="S60" s="339">
        <f>ROUND(SUMIFS(BS_RE33!$H$7:$H$874,BS_RE33!$S$7:$S$874,$S$2,BS_RE33!$N$7:$N$874,I60,BS_RE33!$P$7:$P$874,'30 days CF Table(ALL)'!G60),2)</f>
        <v>0</v>
      </c>
      <c r="T60" s="339">
        <f>ROUND(SUMIFS(BS_RE33!$H$7:$H$874,BS_RE33!$S$7:$S$874,$T$2,BS_RE33!$N$7:$N$874,I60,BS_RE33!$P$7:$P$874,'30 days CF Table(ALL)'!G60),2)</f>
        <v>0</v>
      </c>
      <c r="U60" s="339">
        <f>ROUND(SUMIFS(BS_RE33!$H$7:$H$874,BS_RE33!$S$7:$S$874,$U$2,BS_RE33!$N$7:$N$874,I60,BS_RE33!$P$7:$P$874,'30 days CF Table(ALL)'!G60),2)</f>
        <v>0</v>
      </c>
      <c r="V60" s="339">
        <f>ROUND(SUMIFS(BS_RE33!$H$7:$H$874,BS_RE33!$S$7:$S$874,$V$2,BS_RE33!$N$7:$N$874,I60,BS_RE33!$P$7:$P$874,'30 days CF Table(ALL)'!G60),2)</f>
        <v>0</v>
      </c>
      <c r="W60" s="339">
        <f>ROUND(SUMIFS(BS_RE33!$H$7:$H$874,BS_RE33!$S$7:$S$874,$W$2,BS_RE33!$N$7:$N$874,I60,BS_RE33!$P$7:$P$874,'30 days CF Table(ALL)'!G60),2)</f>
        <v>0</v>
      </c>
      <c r="X60" s="339">
        <f>ROUND(SUMIFS(BS_RE33!$H$7:$H$874,BS_RE33!$S$7:$S$874,$X$2,BS_RE33!$N$7:$N$874,I60,BS_RE33!$P$7:$P$874,'30 days CF Table(ALL)'!G60),2)</f>
        <v>0</v>
      </c>
      <c r="Y60" s="339">
        <f>ROUND(SUMIFS(BS_RE33!$H$7:$H$874,BS_RE33!$S$7:$S$874,$Y$2,BS_RE33!$N$7:$N$874,I60,BS_RE33!$P$7:$P$874,'30 days CF Table(ALL)'!G60),2)</f>
        <v>0</v>
      </c>
      <c r="Z60" s="339">
        <f>ROUND(SUMIFS(BS_RE33!$H$7:$H$874,BS_RE33!$S$7:$S$874,$Z$2,BS_RE33!$N$7:$N$874,I60,BS_RE33!$P$7:$P$874,'30 days CF Table(ALL)'!G60),2)</f>
        <v>0</v>
      </c>
      <c r="AA60" s="339">
        <f>ROUND(SUMIFS(BS_RE33!$H$7:$H$874,BS_RE33!$S$7:$S$874,$AA$2,BS_RE33!$N$7:$N$874,I60,BS_RE33!$P$7:$P$874,'30 days CF Table(ALL)'!G60),2)</f>
        <v>0</v>
      </c>
      <c r="AB60" s="339">
        <f>ROUND(SUMIFS(BS_RE33!$H$7:$H$874,BS_RE33!$S$7:$S$874,$AB$2,BS_RE33!$N$7:$N$874,I60,BS_RE33!$P$7:$P$874,'30 days CF Table(ALL)'!G60),2)</f>
        <v>0</v>
      </c>
      <c r="AC60" s="339">
        <f>ROUND(SUMIFS(BS_RE33!$H$7:$H$874,BS_RE33!$S$7:$S$874,$AC$2,BS_RE33!$N$7:$N$874,I60,BS_RE33!$P$7:$P$874,'30 days CF Table(ALL)'!G60),2)</f>
        <v>0</v>
      </c>
      <c r="AD60" s="339">
        <f>ROUND(SUMIFS(BS_RE33!$H$7:$H$874,BS_RE33!$S$7:$S$874,$AD$2,BS_RE33!$N$7:$N$874,I60,BS_RE33!$P$7:$P$874,'30 days CF Table(ALL)'!G60),2)</f>
        <v>0</v>
      </c>
      <c r="AE60" s="339">
        <f>ROUND(SUMIFS(BS_RE33!$H$7:$H$874,BS_RE33!$S$7:$S$874,$AE$2,BS_RE33!$N$7:$N$874,I60,BS_RE33!$P$7:$P$874,'30 days CF Table(ALL)'!G60),2)</f>
        <v>0</v>
      </c>
      <c r="AF60" s="339">
        <f>ROUND(SUMIFS(BS_RE33!$H$7:$H$874,BS_RE33!$S$7:$S$874,$AF$2,BS_RE33!$N$7:$N$874,I60,BS_RE33!$P$7:$P$874,'30 days CF Table(ALL)'!G60),2)</f>
        <v>0</v>
      </c>
      <c r="AG60" s="339">
        <f>ROUND(SUMIFS(BS_RE33!$H$7:$H$874,BS_RE33!$S$7:$S$874,$AG$2,BS_RE33!$N$7:$N$874,I60,BS_RE33!$P$7:$P$874,'30 days CF Table(ALL)'!G60),2)</f>
        <v>0</v>
      </c>
      <c r="AH60" s="339">
        <f>ROUND(SUMIFS(BS_RE33!$H$7:$H$874,BS_RE33!$S$7:$S$874,$AH$2,BS_RE33!$N$7:$N$874,I60,BS_RE33!$P$7:$P$874,'30 days CF Table(ALL)'!G60),2)</f>
        <v>0</v>
      </c>
      <c r="AI60" s="339">
        <f>ROUND(SUMIFS(BS_RE33!$H$7:$H$874,BS_RE33!$S$7:$S$874,$AI$2,BS_RE33!$N$7:$N$874,I60,BS_RE33!$P$7:$P$874,'30 days CF Table(ALL)'!G60),2)</f>
        <v>0</v>
      </c>
      <c r="AJ60" s="339">
        <f>ROUND(SUMIFS(BS_RE33!$H$7:$H$874,BS_RE33!$S$7:$S$874,$AJ$2,BS_RE33!$N$7:$N$874,I60,BS_RE33!$P$7:$P$874,'30 days CF Table(ALL)'!G60),2)</f>
        <v>0</v>
      </c>
      <c r="AK60" s="339">
        <f>ROUND(SUMIFS(BS_RE33!$H$7:$H$874,BS_RE33!$S$7:$S$874,$AK$2,BS_RE33!$N$7:$N$874,I60,BS_RE33!$P$7:$P$874,'30 days CF Table(ALL)'!G60),2)</f>
        <v>0</v>
      </c>
      <c r="AL60" s="339">
        <f>ROUND(SUMIFS(BS_RE33!$H$7:$H$874,BS_RE33!$S$7:$S$874,$AL$2,BS_RE33!$N$7:$N$874,I60,BS_RE33!$P$7:$P$874,'30 days CF Table(ALL)'!G60),2)</f>
        <v>0</v>
      </c>
      <c r="AM60" s="339">
        <f>ROUND(SUMIFS(BS_RE33!$H$7:$H$874,BS_RE33!$S$7:$S$874,$AM$2,BS_RE33!$N$7:$N$874,I60,BS_RE33!$P$7:$P$874,'30 days CF Table(ALL)'!G60),2)</f>
        <v>0</v>
      </c>
      <c r="AN60" s="339">
        <f>ROUND(SUMIFS(BS_RE33!$H$7:$H$874,BS_RE33!$S$7:$S$874,$AN$2,BS_RE33!$N$7:$N$874,I60,BS_RE33!$P$7:$P$874,'30 days CF Table(ALL)'!G60),2)</f>
        <v>0</v>
      </c>
      <c r="AO60" s="339">
        <f>ROUND(SUMIFS(BS_RE33!$H$7:$H$874,BS_RE33!$S$7:$S$874,$AO$2,BS_RE33!$N$7:$N$874,I60,BS_RE33!$P$7:$P$874,'30 days CF Table(ALL)'!G60),2)</f>
        <v>0</v>
      </c>
      <c r="AP60" s="340">
        <f>ROUND(SUMIFS(BS_RE33!$H$7:$H$874,BS_RE33!$S$7:$S$874,$AP$2,BS_RE33!$N$7:$N$874,I60,BS_RE33!$P$7:$P$874,'30 days CF Table(ALL)'!G60),2)</f>
        <v>0</v>
      </c>
      <c r="AR60" s="381">
        <f>ROUND(SUMIFS(BS_RE33!$H$7:$H$874,BS_RE33!$S$7:$S$874,$AR$2,BS_RE33!$N$7:$N$874,I60,BS_RE33!$P$7:$P$874,'30 days CF Table(ALL)'!G60),2)</f>
        <v>0</v>
      </c>
      <c r="AS60" s="381">
        <f>ROUND(SUMIFS(BS_RE33!$H$7:$H$874,BS_RE33!$S$7:$S$874,$AS$2,BS_RE33!$N$7:$N$874,I60,BS_RE33!$P$7:$P$874,'30 days CF Table(ALL)'!G60),2)</f>
        <v>0</v>
      </c>
      <c r="AT60" s="381">
        <f>ROUND(SUMIFS(BS_RE33!$H$7:$H$874,BS_RE33!$S$7:$S$874,$AT$2,BS_RE33!$N$7:$N$874,I60,BS_RE33!$P$7:$P$874,'30 days CF Table(ALL)'!G60),2)</f>
        <v>0</v>
      </c>
      <c r="AU60" s="381">
        <f>ROUND(SUMIFS(BS_RE33!$H$7:$H$874,BS_RE33!$S$7:$S$874,$AU$2,BS_RE33!$N$7:$N$874,I60,BS_RE33!$P$7:$P$874,'30 days CF Table(ALL)'!G60),2)</f>
        <v>0</v>
      </c>
      <c r="AV60" s="381">
        <f>ROUND(SUMIFS(BS_RE33!$H$7:$H$874,BS_RE33!$S$7:$S$874,$AV$2,BS_RE33!$N$7:$N$874,I60,BS_RE33!$P$7:$P$874,'30 days CF Table(ALL)'!G60),2)</f>
        <v>0</v>
      </c>
      <c r="AW60" s="381">
        <f>ROUND(SUMIFS(BS_RE33!$H$7:$H$874,BS_RE33!$S$7:$S$874,$AW$2,BS_RE33!$N$7:$N$874,I60,BS_RE33!$P$7:$P$874,'30 days CF Table(ALL)'!G60),2)</f>
        <v>0</v>
      </c>
      <c r="AX60" s="381">
        <f>ROUND(SUMIFS(BS_RE33!$H$7:$H$874,BS_RE33!$S$7:$S$874,$AX$2,BS_RE33!$N$7:$N$874,I60,BS_RE33!$P$7:$P$874,'30 days CF Table(ALL)'!G60),2)</f>
        <v>0</v>
      </c>
      <c r="AY60" s="381">
        <f>ROUND(SUMIFS(BS_RE33!$H$7:$H$874,BS_RE33!$S$7:$S$874,$AY$2,BS_RE33!$N$7:$N$874,I60,BS_RE33!$P$7:$P$874,'30 days CF Table(ALL)'!G60),2)</f>
        <v>0</v>
      </c>
      <c r="AZ60" s="381">
        <f>ROUND(SUMIFS(BS_RE33!$H$7:$H$874,BS_RE33!$S$7:$S$874,$AZ$2,BS_RE33!$N$7:$N$874,I60,BS_RE33!$P$7:$P$874,'30 days CF Table(ALL)'!G60),2)</f>
        <v>0</v>
      </c>
      <c r="BA60" s="381">
        <f>ROUND(SUMIFS(BS_RE33!$H$7:$H$874,BS_RE33!$S$7:$S$874,$BA$2,BS_RE33!$N$7:$N$874,I60,BS_RE33!$P$7:$P$874,'30 days CF Table(ALL)'!G60),2)</f>
        <v>0</v>
      </c>
      <c r="BB60" s="381">
        <f>ROUND(SUMIFS(BS_RE33!$H$7:$H$874,BS_RE33!$S$7:$S$874,$BB$2,BS_RE33!$N$7:$N$874,I60,BS_RE33!$P$7:$P$874,'30 days CF Table(ALL)'!G60),2)</f>
        <v>0</v>
      </c>
      <c r="BC60" s="381">
        <f>ROUND(SUMIFS(BS_RE33!$H$7:$H$874,BS_RE33!$S$7:$S$874,$BC$2,BS_RE33!$N$7:$N$874,I60,BS_RE33!$P$7:$P$874,'30 days CF Table(ALL)'!G60),2)</f>
        <v>0</v>
      </c>
      <c r="BD60" s="381">
        <f>ROUND(SUMIFS(BS_RE33!$H$7:$H$874,BS_RE33!$S$7:$S$874,$BD$2,BS_RE33!$N$7:$N$874,I60,BS_RE33!$P$7:$P$874,'30 days CF Table(ALL)'!G60),2)</f>
        <v>0</v>
      </c>
      <c r="BE60" s="381">
        <f>ROUND(SUMIFS(BS_RE33!$H$7:$H$874,BS_RE33!$S$7:$S$874,$BE$2,BS_RE33!$N$7:$N$874,I60,BS_RE33!$P$7:$P$874,'30 days CF Table(ALL)'!G60),2)</f>
        <v>0</v>
      </c>
      <c r="BF60" s="381">
        <f>ROUND(SUMIFS(BS_RE33!$H$7:$H$874,BS_RE33!$S$7:$S$874,$BF$2,BS_RE33!$N$7:$N$874,I60,BS_RE33!$P$7:$P$874,'30 days CF Table(ALL)'!G60),2)</f>
        <v>0</v>
      </c>
      <c r="BG60" s="381">
        <f>ROUND(SUMIFS(BS_RE33!$H$7:$H$874,BS_RE33!$S$7:$S$874,$BG$2,BS_RE33!$N$7:$N$874,I60,BS_RE33!$P$7:$P$874,'30 days CF Table(ALL)'!G60),2)</f>
        <v>0</v>
      </c>
      <c r="BH60" s="381">
        <f>ROUND(SUMIFS(BS_RE33!$H$7:$H$874,BS_RE33!$S$7:$S$874,$BH$2,BS_RE33!$N$7:$N$874,I60,BS_RE33!$P$7:$P$874,'30 days CF Table(ALL)'!G60),2)</f>
        <v>0</v>
      </c>
      <c r="BI60" s="381">
        <f>ROUND(SUMIFS(BS_RE33!$H$7:$H$874,BS_RE33!$S$7:$S$874,$BI$2,BS_RE33!$N$7:$N$874,I60,BS_RE33!$P$7:$P$874,'30 days CF Table(ALL)'!G60),2)</f>
        <v>0</v>
      </c>
      <c r="BJ60" s="381">
        <f>ROUND(SUMIFS(BS_RE33!$H$7:$H$874,BS_RE33!$S$7:$S$874,$BJ$2,BS_RE33!$N$7:$N$874,I60,BS_RE33!$P$7:$P$874,'30 days CF Table(ALL)'!G60),2)</f>
        <v>0</v>
      </c>
      <c r="BK60" s="381">
        <f>ROUND(SUMIFS(BS_RE33!$H$7:$H$874,BS_RE33!$S$7:$S$874,$BK$2,BS_RE33!$N$7:$N$874,I60,BS_RE33!$P$7:$P$874,'30 days CF Table(ALL)'!G60),2)</f>
        <v>0</v>
      </c>
    </row>
    <row r="61" spans="3:63" ht="20.25">
      <c r="C61" s="1027"/>
      <c r="D61" s="313" t="s">
        <v>773</v>
      </c>
      <c r="E61" s="105" t="s">
        <v>772</v>
      </c>
      <c r="F61" s="312"/>
      <c r="G61" s="392" t="s">
        <v>566</v>
      </c>
      <c r="H61" s="317">
        <v>1</v>
      </c>
      <c r="I61" s="315" t="s">
        <v>80</v>
      </c>
      <c r="J61" s="479">
        <f t="shared" si="3"/>
        <v>0</v>
      </c>
      <c r="K61" s="336">
        <f t="shared" si="5"/>
        <v>0</v>
      </c>
      <c r="L61" s="339">
        <f>ROUND(SUMIFS(BS_RE33!$H$7:$H$874,BS_RE33!$S$7:$S$874,$L$2,BS_RE33!$N$7:$N$874,I61,BS_RE33!$P$7:$P$874,'30 days CF Table(ALL)'!G61),2)</f>
        <v>0</v>
      </c>
      <c r="M61" s="339">
        <f>ROUND(SUMIFS(BS_RE33!$H$7:$H$874,BS_RE33!$S$7:$S$874,$M$2,BS_RE33!$N$7:$N$874,I61,BS_RE33!$P$7:$P$874,'30 days CF Table(ALL)'!G61),2)</f>
        <v>0</v>
      </c>
      <c r="N61" s="339">
        <f>ROUND(SUMIFS(BS_RE33!$H$7:$H$874,BS_RE33!$S$7:$S$874,$N$2,BS_RE33!$N$7:$N$874,I61,BS_RE33!$P$7:$P$874,'30 days CF Table(ALL)'!G61),2)</f>
        <v>0</v>
      </c>
      <c r="O61" s="339">
        <f>ROUND(SUMIFS(BS_RE33!$H$7:$H$874,BS_RE33!$S$7:$S$874,$O$2,BS_RE33!$N$7:$N$874,I61,BS_RE33!$P$7:$P$874,'30 days CF Table(ALL)'!G61),2)</f>
        <v>0</v>
      </c>
      <c r="P61" s="339">
        <f>ROUND(SUMIFS(BS_RE33!$H$7:$H$874,BS_RE33!$S$7:$S$874,$P$2,BS_RE33!$N$7:$N$874,I61,BS_RE33!$P$7:$P$874,'30 days CF Table(ALL)'!G61),2)</f>
        <v>0</v>
      </c>
      <c r="Q61" s="339">
        <f>ROUND(SUMIFS(BS_RE33!$H$7:$H$874,BS_RE33!$S$7:$S$874,$Q$2,BS_RE33!$N$7:$N$874,I61,BS_RE33!$P$7:$P$874,'30 days CF Table(ALL)'!G61),2)</f>
        <v>0</v>
      </c>
      <c r="R61" s="339">
        <f>ROUND(SUMIFS(BS_RE33!$H$7:$H$874,BS_RE33!$S$7:$S$874,$R$2,BS_RE33!$N$7:$N$874,I61,BS_RE33!$P$7:$P$874,'30 days CF Table(ALL)'!G61),2)</f>
        <v>0</v>
      </c>
      <c r="S61" s="339">
        <f>ROUND(SUMIFS(BS_RE33!$H$7:$H$874,BS_RE33!$S$7:$S$874,$S$2,BS_RE33!$N$7:$N$874,I61,BS_RE33!$P$7:$P$874,'30 days CF Table(ALL)'!G61),2)</f>
        <v>0</v>
      </c>
      <c r="T61" s="339">
        <f>ROUND(SUMIFS(BS_RE33!$H$7:$H$874,BS_RE33!$S$7:$S$874,$T$2,BS_RE33!$N$7:$N$874,I61,BS_RE33!$P$7:$P$874,'30 days CF Table(ALL)'!G61),2)</f>
        <v>0</v>
      </c>
      <c r="U61" s="339">
        <f>ROUND(SUMIFS(BS_RE33!$H$7:$H$874,BS_RE33!$S$7:$S$874,$U$2,BS_RE33!$N$7:$N$874,I61,BS_RE33!$P$7:$P$874,'30 days CF Table(ALL)'!G61),2)</f>
        <v>0</v>
      </c>
      <c r="V61" s="339">
        <f>ROUND(SUMIFS(BS_RE33!$H$7:$H$874,BS_RE33!$S$7:$S$874,$V$2,BS_RE33!$N$7:$N$874,I61,BS_RE33!$P$7:$P$874,'30 days CF Table(ALL)'!G61),2)</f>
        <v>0</v>
      </c>
      <c r="W61" s="339">
        <f>ROUND(SUMIFS(BS_RE33!$H$7:$H$874,BS_RE33!$S$7:$S$874,$W$2,BS_RE33!$N$7:$N$874,I61,BS_RE33!$P$7:$P$874,'30 days CF Table(ALL)'!G61),2)</f>
        <v>0</v>
      </c>
      <c r="X61" s="339">
        <f>ROUND(SUMIFS(BS_RE33!$H$7:$H$874,BS_RE33!$S$7:$S$874,$X$2,BS_RE33!$N$7:$N$874,I61,BS_RE33!$P$7:$P$874,'30 days CF Table(ALL)'!G61),2)</f>
        <v>0</v>
      </c>
      <c r="Y61" s="339">
        <f>ROUND(SUMIFS(BS_RE33!$H$7:$H$874,BS_RE33!$S$7:$S$874,$Y$2,BS_RE33!$N$7:$N$874,I61,BS_RE33!$P$7:$P$874,'30 days CF Table(ALL)'!G61),2)</f>
        <v>0</v>
      </c>
      <c r="Z61" s="339">
        <f>ROUND(SUMIFS(BS_RE33!$H$7:$H$874,BS_RE33!$S$7:$S$874,$Z$2,BS_RE33!$N$7:$N$874,I61,BS_RE33!$P$7:$P$874,'30 days CF Table(ALL)'!G61),2)</f>
        <v>0</v>
      </c>
      <c r="AA61" s="339">
        <f>ROUND(SUMIFS(BS_RE33!$H$7:$H$874,BS_RE33!$S$7:$S$874,$AA$2,BS_RE33!$N$7:$N$874,I61,BS_RE33!$P$7:$P$874,'30 days CF Table(ALL)'!G61),2)</f>
        <v>0</v>
      </c>
      <c r="AB61" s="339">
        <f>ROUND(SUMIFS(BS_RE33!$H$7:$H$874,BS_RE33!$S$7:$S$874,$AB$2,BS_RE33!$N$7:$N$874,I61,BS_RE33!$P$7:$P$874,'30 days CF Table(ALL)'!G61),2)</f>
        <v>0</v>
      </c>
      <c r="AC61" s="339">
        <f>ROUND(SUMIFS(BS_RE33!$H$7:$H$874,BS_RE33!$S$7:$S$874,$AC$2,BS_RE33!$N$7:$N$874,I61,BS_RE33!$P$7:$P$874,'30 days CF Table(ALL)'!G61),2)</f>
        <v>0</v>
      </c>
      <c r="AD61" s="339">
        <f>ROUND(SUMIFS(BS_RE33!$H$7:$H$874,BS_RE33!$S$7:$S$874,$AD$2,BS_RE33!$N$7:$N$874,I61,BS_RE33!$P$7:$P$874,'30 days CF Table(ALL)'!G61),2)</f>
        <v>0</v>
      </c>
      <c r="AE61" s="339">
        <f>ROUND(SUMIFS(BS_RE33!$H$7:$H$874,BS_RE33!$S$7:$S$874,$AE$2,BS_RE33!$N$7:$N$874,I61,BS_RE33!$P$7:$P$874,'30 days CF Table(ALL)'!G61),2)</f>
        <v>0</v>
      </c>
      <c r="AF61" s="339">
        <f>ROUND(SUMIFS(BS_RE33!$H$7:$H$874,BS_RE33!$S$7:$S$874,$AF$2,BS_RE33!$N$7:$N$874,I61,BS_RE33!$P$7:$P$874,'30 days CF Table(ALL)'!G61),2)</f>
        <v>0</v>
      </c>
      <c r="AG61" s="339">
        <f>ROUND(SUMIFS(BS_RE33!$H$7:$H$874,BS_RE33!$S$7:$S$874,$AG$2,BS_RE33!$N$7:$N$874,I61,BS_RE33!$P$7:$P$874,'30 days CF Table(ALL)'!G61),2)</f>
        <v>0</v>
      </c>
      <c r="AH61" s="339">
        <f>ROUND(SUMIFS(BS_RE33!$H$7:$H$874,BS_RE33!$S$7:$S$874,$AH$2,BS_RE33!$N$7:$N$874,I61,BS_RE33!$P$7:$P$874,'30 days CF Table(ALL)'!G61),2)</f>
        <v>0</v>
      </c>
      <c r="AI61" s="339">
        <f>ROUND(SUMIFS(BS_RE33!$H$7:$H$874,BS_RE33!$S$7:$S$874,$AI$2,BS_RE33!$N$7:$N$874,I61,BS_RE33!$P$7:$P$874,'30 days CF Table(ALL)'!G61),2)</f>
        <v>0</v>
      </c>
      <c r="AJ61" s="339">
        <f>ROUND(SUMIFS(BS_RE33!$H$7:$H$874,BS_RE33!$S$7:$S$874,$AJ$2,BS_RE33!$N$7:$N$874,I61,BS_RE33!$P$7:$P$874,'30 days CF Table(ALL)'!G61),2)</f>
        <v>0</v>
      </c>
      <c r="AK61" s="339">
        <f>ROUND(SUMIFS(BS_RE33!$H$7:$H$874,BS_RE33!$S$7:$S$874,$AK$2,BS_RE33!$N$7:$N$874,I61,BS_RE33!$P$7:$P$874,'30 days CF Table(ALL)'!G61),2)</f>
        <v>0</v>
      </c>
      <c r="AL61" s="339">
        <f>ROUND(SUMIFS(BS_RE33!$H$7:$H$874,BS_RE33!$S$7:$S$874,$AL$2,BS_RE33!$N$7:$N$874,I61,BS_RE33!$P$7:$P$874,'30 days CF Table(ALL)'!G61),2)</f>
        <v>0</v>
      </c>
      <c r="AM61" s="339">
        <f>ROUND(SUMIFS(BS_RE33!$H$7:$H$874,BS_RE33!$S$7:$S$874,$AM$2,BS_RE33!$N$7:$N$874,I61,BS_RE33!$P$7:$P$874,'30 days CF Table(ALL)'!G61),2)</f>
        <v>0</v>
      </c>
      <c r="AN61" s="339">
        <f>ROUND(SUMIFS(BS_RE33!$H$7:$H$874,BS_RE33!$S$7:$S$874,$AN$2,BS_RE33!$N$7:$N$874,I61,BS_RE33!$P$7:$P$874,'30 days CF Table(ALL)'!G61),2)</f>
        <v>0</v>
      </c>
      <c r="AO61" s="339">
        <f>ROUND(SUMIFS(BS_RE33!$H$7:$H$874,BS_RE33!$S$7:$S$874,$AO$2,BS_RE33!$N$7:$N$874,I61,BS_RE33!$P$7:$P$874,'30 days CF Table(ALL)'!G61),2)</f>
        <v>0</v>
      </c>
      <c r="AP61" s="340">
        <f>ROUND(SUMIFS(BS_RE33!$H$7:$H$874,BS_RE33!$S$7:$S$874,$AP$2,BS_RE33!$N$7:$N$874,I61,BS_RE33!$P$7:$P$874,'30 days CF Table(ALL)'!G61),2)</f>
        <v>0</v>
      </c>
      <c r="AR61" s="381">
        <f>ROUND(SUMIFS(BS_RE33!$H$7:$H$874,BS_RE33!$S$7:$S$874,$AR$2,BS_RE33!$N$7:$N$874,I61,BS_RE33!$P$7:$P$874,'30 days CF Table(ALL)'!G61),2)</f>
        <v>0</v>
      </c>
      <c r="AS61" s="381">
        <f>ROUND(SUMIFS(BS_RE33!$H$7:$H$874,BS_RE33!$S$7:$S$874,$AS$2,BS_RE33!$N$7:$N$874,I61,BS_RE33!$P$7:$P$874,'30 days CF Table(ALL)'!G61),2)</f>
        <v>0</v>
      </c>
      <c r="AT61" s="381">
        <f>ROUND(SUMIFS(BS_RE33!$H$7:$H$874,BS_RE33!$S$7:$S$874,$AT$2,BS_RE33!$N$7:$N$874,I61,BS_RE33!$P$7:$P$874,'30 days CF Table(ALL)'!G61),2)</f>
        <v>0</v>
      </c>
      <c r="AU61" s="381">
        <f>ROUND(SUMIFS(BS_RE33!$H$7:$H$874,BS_RE33!$S$7:$S$874,$AU$2,BS_RE33!$N$7:$N$874,I61,BS_RE33!$P$7:$P$874,'30 days CF Table(ALL)'!G61),2)</f>
        <v>0</v>
      </c>
      <c r="AV61" s="381">
        <f>ROUND(SUMIFS(BS_RE33!$H$7:$H$874,BS_RE33!$S$7:$S$874,$AV$2,BS_RE33!$N$7:$N$874,I61,BS_RE33!$P$7:$P$874,'30 days CF Table(ALL)'!G61),2)</f>
        <v>0</v>
      </c>
      <c r="AW61" s="381">
        <f>ROUND(SUMIFS(BS_RE33!$H$7:$H$874,BS_RE33!$S$7:$S$874,$AW$2,BS_RE33!$N$7:$N$874,I61,BS_RE33!$P$7:$P$874,'30 days CF Table(ALL)'!G61),2)</f>
        <v>0</v>
      </c>
      <c r="AX61" s="381">
        <f>ROUND(SUMIFS(BS_RE33!$H$7:$H$874,BS_RE33!$S$7:$S$874,$AX$2,BS_RE33!$N$7:$N$874,I61,BS_RE33!$P$7:$P$874,'30 days CF Table(ALL)'!G61),2)</f>
        <v>0</v>
      </c>
      <c r="AY61" s="381">
        <f>ROUND(SUMIFS(BS_RE33!$H$7:$H$874,BS_RE33!$S$7:$S$874,$AY$2,BS_RE33!$N$7:$N$874,I61,BS_RE33!$P$7:$P$874,'30 days CF Table(ALL)'!G61),2)</f>
        <v>0</v>
      </c>
      <c r="AZ61" s="381">
        <f>ROUND(SUMIFS(BS_RE33!$H$7:$H$874,BS_RE33!$S$7:$S$874,$AZ$2,BS_RE33!$N$7:$N$874,I61,BS_RE33!$P$7:$P$874,'30 days CF Table(ALL)'!G61),2)</f>
        <v>0</v>
      </c>
      <c r="BA61" s="381">
        <f>ROUND(SUMIFS(BS_RE33!$H$7:$H$874,BS_RE33!$S$7:$S$874,$BA$2,BS_RE33!$N$7:$N$874,I61,BS_RE33!$P$7:$P$874,'30 days CF Table(ALL)'!G61),2)</f>
        <v>0</v>
      </c>
      <c r="BB61" s="381">
        <f>ROUND(SUMIFS(BS_RE33!$H$7:$H$874,BS_RE33!$S$7:$S$874,$BB$2,BS_RE33!$N$7:$N$874,I61,BS_RE33!$P$7:$P$874,'30 days CF Table(ALL)'!G61),2)</f>
        <v>0</v>
      </c>
      <c r="BC61" s="381">
        <f>ROUND(SUMIFS(BS_RE33!$H$7:$H$874,BS_RE33!$S$7:$S$874,$BC$2,BS_RE33!$N$7:$N$874,I61,BS_RE33!$P$7:$P$874,'30 days CF Table(ALL)'!G61),2)</f>
        <v>0</v>
      </c>
      <c r="BD61" s="381">
        <f>ROUND(SUMIFS(BS_RE33!$H$7:$H$874,BS_RE33!$S$7:$S$874,$BD$2,BS_RE33!$N$7:$N$874,I61,BS_RE33!$P$7:$P$874,'30 days CF Table(ALL)'!G61),2)</f>
        <v>0</v>
      </c>
      <c r="BE61" s="381">
        <f>ROUND(SUMIFS(BS_RE33!$H$7:$H$874,BS_RE33!$S$7:$S$874,$BE$2,BS_RE33!$N$7:$N$874,I61,BS_RE33!$P$7:$P$874,'30 days CF Table(ALL)'!G61),2)</f>
        <v>0</v>
      </c>
      <c r="BF61" s="381">
        <f>ROUND(SUMIFS(BS_RE33!$H$7:$H$874,BS_RE33!$S$7:$S$874,$BF$2,BS_RE33!$N$7:$N$874,I61,BS_RE33!$P$7:$P$874,'30 days CF Table(ALL)'!G61),2)</f>
        <v>0</v>
      </c>
      <c r="BG61" s="381">
        <f>ROUND(SUMIFS(BS_RE33!$H$7:$H$874,BS_RE33!$S$7:$S$874,$BG$2,BS_RE33!$N$7:$N$874,I61,BS_RE33!$P$7:$P$874,'30 days CF Table(ALL)'!G61),2)</f>
        <v>0</v>
      </c>
      <c r="BH61" s="381">
        <f>ROUND(SUMIFS(BS_RE33!$H$7:$H$874,BS_RE33!$S$7:$S$874,$BH$2,BS_RE33!$N$7:$N$874,I61,BS_RE33!$P$7:$P$874,'30 days CF Table(ALL)'!G61),2)</f>
        <v>0</v>
      </c>
      <c r="BI61" s="381">
        <f>ROUND(SUMIFS(BS_RE33!$H$7:$H$874,BS_RE33!$S$7:$S$874,$BI$2,BS_RE33!$N$7:$N$874,I61,BS_RE33!$P$7:$P$874,'30 days CF Table(ALL)'!G61),2)</f>
        <v>0</v>
      </c>
      <c r="BJ61" s="381">
        <f>ROUND(SUMIFS(BS_RE33!$H$7:$H$874,BS_RE33!$S$7:$S$874,$BJ$2,BS_RE33!$N$7:$N$874,I61,BS_RE33!$P$7:$P$874,'30 days CF Table(ALL)'!G61),2)</f>
        <v>0</v>
      </c>
      <c r="BK61" s="381">
        <f>ROUND(SUMIFS(BS_RE33!$H$7:$H$874,BS_RE33!$S$7:$S$874,$BK$2,BS_RE33!$N$7:$N$874,I61,BS_RE33!$P$7:$P$874,'30 days CF Table(ALL)'!G61),2)</f>
        <v>0</v>
      </c>
    </row>
    <row r="62" spans="3:63">
      <c r="C62" s="1027"/>
      <c r="D62" s="1028" t="s">
        <v>774</v>
      </c>
      <c r="E62" s="108" t="s">
        <v>99</v>
      </c>
      <c r="F62" s="312"/>
      <c r="G62" s="392" t="s">
        <v>538</v>
      </c>
      <c r="H62" s="317">
        <v>0</v>
      </c>
      <c r="I62" s="315" t="s">
        <v>80</v>
      </c>
      <c r="J62" s="479">
        <f t="shared" si="3"/>
        <v>0</v>
      </c>
      <c r="K62" s="336">
        <f t="shared" si="5"/>
        <v>0</v>
      </c>
      <c r="L62" s="339">
        <f>ROUND(SUMIFS(BS_RE33!$H$7:$H$874,BS_RE33!$S$7:$S$874,$L$2,BS_RE33!$N$7:$N$874,I62,BS_RE33!$P$7:$P$874,'30 days CF Table(ALL)'!G62),2)</f>
        <v>0</v>
      </c>
      <c r="M62" s="339">
        <f>ROUND(SUMIFS(BS_RE33!$H$7:$H$874,BS_RE33!$S$7:$S$874,$M$2,BS_RE33!$N$7:$N$874,I62,BS_RE33!$P$7:$P$874,'30 days CF Table(ALL)'!G62),2)</f>
        <v>0</v>
      </c>
      <c r="N62" s="339">
        <f>ROUND(SUMIFS(BS_RE33!$H$7:$H$874,BS_RE33!$S$7:$S$874,$N$2,BS_RE33!$N$7:$N$874,I62,BS_RE33!$P$7:$P$874,'30 days CF Table(ALL)'!G62),2)</f>
        <v>0</v>
      </c>
      <c r="O62" s="339">
        <f>ROUND(SUMIFS(BS_RE33!$H$7:$H$874,BS_RE33!$S$7:$S$874,$O$2,BS_RE33!$N$7:$N$874,I62,BS_RE33!$P$7:$P$874,'30 days CF Table(ALL)'!G62),2)</f>
        <v>0</v>
      </c>
      <c r="P62" s="339">
        <f>ROUND(SUMIFS(BS_RE33!$H$7:$H$874,BS_RE33!$S$7:$S$874,$P$2,BS_RE33!$N$7:$N$874,I62,BS_RE33!$P$7:$P$874,'30 days CF Table(ALL)'!G62),2)</f>
        <v>0</v>
      </c>
      <c r="Q62" s="339">
        <f>ROUND(SUMIFS(BS_RE33!$H$7:$H$874,BS_RE33!$S$7:$S$874,$Q$2,BS_RE33!$N$7:$N$874,I62,BS_RE33!$P$7:$P$874,'30 days CF Table(ALL)'!G62),2)</f>
        <v>0</v>
      </c>
      <c r="R62" s="339">
        <f>ROUND(SUMIFS(BS_RE33!$H$7:$H$874,BS_RE33!$S$7:$S$874,$R$2,BS_RE33!$N$7:$N$874,I62,BS_RE33!$P$7:$P$874,'30 days CF Table(ALL)'!G62),2)</f>
        <v>0</v>
      </c>
      <c r="S62" s="339">
        <f>ROUND(SUMIFS(BS_RE33!$H$7:$H$874,BS_RE33!$S$7:$S$874,$S$2,BS_RE33!$N$7:$N$874,I62,BS_RE33!$P$7:$P$874,'30 days CF Table(ALL)'!G62),2)</f>
        <v>0</v>
      </c>
      <c r="T62" s="339">
        <f>ROUND(SUMIFS(BS_RE33!$H$7:$H$874,BS_RE33!$S$7:$S$874,$T$2,BS_RE33!$N$7:$N$874,I62,BS_RE33!$P$7:$P$874,'30 days CF Table(ALL)'!G62),2)</f>
        <v>0</v>
      </c>
      <c r="U62" s="339">
        <f>ROUND(SUMIFS(BS_RE33!$H$7:$H$874,BS_RE33!$S$7:$S$874,$U$2,BS_RE33!$N$7:$N$874,I62,BS_RE33!$P$7:$P$874,'30 days CF Table(ALL)'!G62),2)</f>
        <v>0</v>
      </c>
      <c r="V62" s="339">
        <f>ROUND(SUMIFS(BS_RE33!$H$7:$H$874,BS_RE33!$S$7:$S$874,$V$2,BS_RE33!$N$7:$N$874,I62,BS_RE33!$P$7:$P$874,'30 days CF Table(ALL)'!G62),2)</f>
        <v>0</v>
      </c>
      <c r="W62" s="339">
        <f>ROUND(SUMIFS(BS_RE33!$H$7:$H$874,BS_RE33!$S$7:$S$874,$W$2,BS_RE33!$N$7:$N$874,I62,BS_RE33!$P$7:$P$874,'30 days CF Table(ALL)'!G62),2)</f>
        <v>0</v>
      </c>
      <c r="X62" s="339">
        <f>ROUND(SUMIFS(BS_RE33!$H$7:$H$874,BS_RE33!$S$7:$S$874,$X$2,BS_RE33!$N$7:$N$874,I62,BS_RE33!$P$7:$P$874,'30 days CF Table(ALL)'!G62),2)</f>
        <v>0</v>
      </c>
      <c r="Y62" s="339">
        <f>ROUND(SUMIFS(BS_RE33!$H$7:$H$874,BS_RE33!$S$7:$S$874,$Y$2,BS_RE33!$N$7:$N$874,I62,BS_RE33!$P$7:$P$874,'30 days CF Table(ALL)'!G62),2)</f>
        <v>0</v>
      </c>
      <c r="Z62" s="339">
        <f>ROUND(SUMIFS(BS_RE33!$H$7:$H$874,BS_RE33!$S$7:$S$874,$Z$2,BS_RE33!$N$7:$N$874,I62,BS_RE33!$P$7:$P$874,'30 days CF Table(ALL)'!G62),2)</f>
        <v>0</v>
      </c>
      <c r="AA62" s="339">
        <f>ROUND(SUMIFS(BS_RE33!$H$7:$H$874,BS_RE33!$S$7:$S$874,$AA$2,BS_RE33!$N$7:$N$874,I62,BS_RE33!$P$7:$P$874,'30 days CF Table(ALL)'!G62),2)</f>
        <v>0</v>
      </c>
      <c r="AB62" s="339">
        <f>ROUND(SUMIFS(BS_RE33!$H$7:$H$874,BS_RE33!$S$7:$S$874,$AB$2,BS_RE33!$N$7:$N$874,I62,BS_RE33!$P$7:$P$874,'30 days CF Table(ALL)'!G62),2)</f>
        <v>0</v>
      </c>
      <c r="AC62" s="339">
        <f>ROUND(SUMIFS(BS_RE33!$H$7:$H$874,BS_RE33!$S$7:$S$874,$AC$2,BS_RE33!$N$7:$N$874,I62,BS_RE33!$P$7:$P$874,'30 days CF Table(ALL)'!G62),2)</f>
        <v>0</v>
      </c>
      <c r="AD62" s="339">
        <f>ROUND(SUMIFS(BS_RE33!$H$7:$H$874,BS_RE33!$S$7:$S$874,$AD$2,BS_RE33!$N$7:$N$874,I62,BS_RE33!$P$7:$P$874,'30 days CF Table(ALL)'!G62),2)</f>
        <v>0</v>
      </c>
      <c r="AE62" s="339">
        <f>ROUND(SUMIFS(BS_RE33!$H$7:$H$874,BS_RE33!$S$7:$S$874,$AE$2,BS_RE33!$N$7:$N$874,I62,BS_RE33!$P$7:$P$874,'30 days CF Table(ALL)'!G62),2)</f>
        <v>0</v>
      </c>
      <c r="AF62" s="339">
        <f>ROUND(SUMIFS(BS_RE33!$H$7:$H$874,BS_RE33!$S$7:$S$874,$AF$2,BS_RE33!$N$7:$N$874,I62,BS_RE33!$P$7:$P$874,'30 days CF Table(ALL)'!G62),2)</f>
        <v>0</v>
      </c>
      <c r="AG62" s="339">
        <f>ROUND(SUMIFS(BS_RE33!$H$7:$H$874,BS_RE33!$S$7:$S$874,$AG$2,BS_RE33!$N$7:$N$874,I62,BS_RE33!$P$7:$P$874,'30 days CF Table(ALL)'!G62),2)</f>
        <v>0</v>
      </c>
      <c r="AH62" s="339">
        <f>ROUND(SUMIFS(BS_RE33!$H$7:$H$874,BS_RE33!$S$7:$S$874,$AH$2,BS_RE33!$N$7:$N$874,I62,BS_RE33!$P$7:$P$874,'30 days CF Table(ALL)'!G62),2)</f>
        <v>0</v>
      </c>
      <c r="AI62" s="339">
        <f>ROUND(SUMIFS(BS_RE33!$H$7:$H$874,BS_RE33!$S$7:$S$874,$AI$2,BS_RE33!$N$7:$N$874,I62,BS_RE33!$P$7:$P$874,'30 days CF Table(ALL)'!G62),2)</f>
        <v>0</v>
      </c>
      <c r="AJ62" s="339">
        <f>ROUND(SUMIFS(BS_RE33!$H$7:$H$874,BS_RE33!$S$7:$S$874,$AJ$2,BS_RE33!$N$7:$N$874,I62,BS_RE33!$P$7:$P$874,'30 days CF Table(ALL)'!G62),2)</f>
        <v>0</v>
      </c>
      <c r="AK62" s="339">
        <f>ROUND(SUMIFS(BS_RE33!$H$7:$H$874,BS_RE33!$S$7:$S$874,$AK$2,BS_RE33!$N$7:$N$874,I62,BS_RE33!$P$7:$P$874,'30 days CF Table(ALL)'!G62),2)</f>
        <v>0</v>
      </c>
      <c r="AL62" s="339">
        <f>ROUND(SUMIFS(BS_RE33!$H$7:$H$874,BS_RE33!$S$7:$S$874,$AL$2,BS_RE33!$N$7:$N$874,I62,BS_RE33!$P$7:$P$874,'30 days CF Table(ALL)'!G62),2)</f>
        <v>0</v>
      </c>
      <c r="AM62" s="339">
        <f>ROUND(SUMIFS(BS_RE33!$H$7:$H$874,BS_RE33!$S$7:$S$874,$AM$2,BS_RE33!$N$7:$N$874,I62,BS_RE33!$P$7:$P$874,'30 days CF Table(ALL)'!G62),2)</f>
        <v>0</v>
      </c>
      <c r="AN62" s="339">
        <f>ROUND(SUMIFS(BS_RE33!$H$7:$H$874,BS_RE33!$S$7:$S$874,$AN$2,BS_RE33!$N$7:$N$874,I62,BS_RE33!$P$7:$P$874,'30 days CF Table(ALL)'!G62),2)</f>
        <v>0</v>
      </c>
      <c r="AO62" s="339">
        <f>ROUND(SUMIFS(BS_RE33!$H$7:$H$874,BS_RE33!$S$7:$S$874,$AO$2,BS_RE33!$N$7:$N$874,I62,BS_RE33!$P$7:$P$874,'30 days CF Table(ALL)'!G62),2)</f>
        <v>0</v>
      </c>
      <c r="AP62" s="340">
        <f>ROUND(SUMIFS(BS_RE33!$H$7:$H$874,BS_RE33!$S$7:$S$874,$AP$2,BS_RE33!$N$7:$N$874,I62,BS_RE33!$P$7:$P$874,'30 days CF Table(ALL)'!G62),2)</f>
        <v>0</v>
      </c>
      <c r="AR62" s="381">
        <f>ROUND(SUMIFS(BS_RE33!$H$7:$H$874,BS_RE33!$S$7:$S$874,$AR$2,BS_RE33!$N$7:$N$874,I62,BS_RE33!$P$7:$P$874,'30 days CF Table(ALL)'!G62),2)</f>
        <v>0</v>
      </c>
      <c r="AS62" s="381">
        <f>ROUND(SUMIFS(BS_RE33!$H$7:$H$874,BS_RE33!$S$7:$S$874,$AS$2,BS_RE33!$N$7:$N$874,I62,BS_RE33!$P$7:$P$874,'30 days CF Table(ALL)'!G62),2)</f>
        <v>0</v>
      </c>
      <c r="AT62" s="381">
        <f>ROUND(SUMIFS(BS_RE33!$H$7:$H$874,BS_RE33!$S$7:$S$874,$AT$2,BS_RE33!$N$7:$N$874,I62,BS_RE33!$P$7:$P$874,'30 days CF Table(ALL)'!G62),2)</f>
        <v>0</v>
      </c>
      <c r="AU62" s="381">
        <f>ROUND(SUMIFS(BS_RE33!$H$7:$H$874,BS_RE33!$S$7:$S$874,$AU$2,BS_RE33!$N$7:$N$874,I62,BS_RE33!$P$7:$P$874,'30 days CF Table(ALL)'!G62),2)</f>
        <v>0</v>
      </c>
      <c r="AV62" s="381">
        <f>ROUND(SUMIFS(BS_RE33!$H$7:$H$874,BS_RE33!$S$7:$S$874,$AV$2,BS_RE33!$N$7:$N$874,I62,BS_RE33!$P$7:$P$874,'30 days CF Table(ALL)'!G62),2)</f>
        <v>0</v>
      </c>
      <c r="AW62" s="381">
        <f>ROUND(SUMIFS(BS_RE33!$H$7:$H$874,BS_RE33!$S$7:$S$874,$AW$2,BS_RE33!$N$7:$N$874,I62,BS_RE33!$P$7:$P$874,'30 days CF Table(ALL)'!G62),2)</f>
        <v>0</v>
      </c>
      <c r="AX62" s="381">
        <f>ROUND(SUMIFS(BS_RE33!$H$7:$H$874,BS_RE33!$S$7:$S$874,$AX$2,BS_RE33!$N$7:$N$874,I62,BS_RE33!$P$7:$P$874,'30 days CF Table(ALL)'!G62),2)</f>
        <v>0</v>
      </c>
      <c r="AY62" s="381">
        <f>ROUND(SUMIFS(BS_RE33!$H$7:$H$874,BS_RE33!$S$7:$S$874,$AY$2,BS_RE33!$N$7:$N$874,I62,BS_RE33!$P$7:$P$874,'30 days CF Table(ALL)'!G62),2)</f>
        <v>0</v>
      </c>
      <c r="AZ62" s="381">
        <f>ROUND(SUMIFS(BS_RE33!$H$7:$H$874,BS_RE33!$S$7:$S$874,$AZ$2,BS_RE33!$N$7:$N$874,I62,BS_RE33!$P$7:$P$874,'30 days CF Table(ALL)'!G62),2)</f>
        <v>0</v>
      </c>
      <c r="BA62" s="381">
        <f>ROUND(SUMIFS(BS_RE33!$H$7:$H$874,BS_RE33!$S$7:$S$874,$BA$2,BS_RE33!$N$7:$N$874,I62,BS_RE33!$P$7:$P$874,'30 days CF Table(ALL)'!G62),2)</f>
        <v>0</v>
      </c>
      <c r="BB62" s="381">
        <f>ROUND(SUMIFS(BS_RE33!$H$7:$H$874,BS_RE33!$S$7:$S$874,$BB$2,BS_RE33!$N$7:$N$874,I62,BS_RE33!$P$7:$P$874,'30 days CF Table(ALL)'!G62),2)</f>
        <v>0</v>
      </c>
      <c r="BC62" s="381">
        <f>ROUND(SUMIFS(BS_RE33!$H$7:$H$874,BS_RE33!$S$7:$S$874,$BC$2,BS_RE33!$N$7:$N$874,I62,BS_RE33!$P$7:$P$874,'30 days CF Table(ALL)'!G62),2)</f>
        <v>0</v>
      </c>
      <c r="BD62" s="381">
        <f>ROUND(SUMIFS(BS_RE33!$H$7:$H$874,BS_RE33!$S$7:$S$874,$BD$2,BS_RE33!$N$7:$N$874,I62,BS_RE33!$P$7:$P$874,'30 days CF Table(ALL)'!G62),2)</f>
        <v>0</v>
      </c>
      <c r="BE62" s="381">
        <f>ROUND(SUMIFS(BS_RE33!$H$7:$H$874,BS_RE33!$S$7:$S$874,$BE$2,BS_RE33!$N$7:$N$874,I62,BS_RE33!$P$7:$P$874,'30 days CF Table(ALL)'!G62),2)</f>
        <v>0</v>
      </c>
      <c r="BF62" s="381">
        <f>ROUND(SUMIFS(BS_RE33!$H$7:$H$874,BS_RE33!$S$7:$S$874,$BF$2,BS_RE33!$N$7:$N$874,I62,BS_RE33!$P$7:$P$874,'30 days CF Table(ALL)'!G62),2)</f>
        <v>0</v>
      </c>
      <c r="BG62" s="381">
        <f>ROUND(SUMIFS(BS_RE33!$H$7:$H$874,BS_RE33!$S$7:$S$874,$BG$2,BS_RE33!$N$7:$N$874,I62,BS_RE33!$P$7:$P$874,'30 days CF Table(ALL)'!G62),2)</f>
        <v>0</v>
      </c>
      <c r="BH62" s="381">
        <f>ROUND(SUMIFS(BS_RE33!$H$7:$H$874,BS_RE33!$S$7:$S$874,$BH$2,BS_RE33!$N$7:$N$874,I62,BS_RE33!$P$7:$P$874,'30 days CF Table(ALL)'!G62),2)</f>
        <v>0</v>
      </c>
      <c r="BI62" s="381">
        <f>ROUND(SUMIFS(BS_RE33!$H$7:$H$874,BS_RE33!$S$7:$S$874,$BI$2,BS_RE33!$N$7:$N$874,I62,BS_RE33!$P$7:$P$874,'30 days CF Table(ALL)'!G62),2)</f>
        <v>0</v>
      </c>
      <c r="BJ62" s="381">
        <f>ROUND(SUMIFS(BS_RE33!$H$7:$H$874,BS_RE33!$S$7:$S$874,$BJ$2,BS_RE33!$N$7:$N$874,I62,BS_RE33!$P$7:$P$874,'30 days CF Table(ALL)'!G62),2)</f>
        <v>0</v>
      </c>
      <c r="BK62" s="381">
        <f>ROUND(SUMIFS(BS_RE33!$H$7:$H$874,BS_RE33!$S$7:$S$874,$BK$2,BS_RE33!$N$7:$N$874,I62,BS_RE33!$P$7:$P$874,'30 days CF Table(ALL)'!G62),2)</f>
        <v>0</v>
      </c>
    </row>
    <row r="63" spans="3:63">
      <c r="C63" s="1027"/>
      <c r="D63" s="1028"/>
      <c r="E63" s="108" t="s">
        <v>100</v>
      </c>
      <c r="F63" s="312"/>
      <c r="G63" s="392" t="s">
        <v>539</v>
      </c>
      <c r="H63" s="317">
        <v>0</v>
      </c>
      <c r="I63" s="315" t="s">
        <v>80</v>
      </c>
      <c r="J63" s="479">
        <f t="shared" si="3"/>
        <v>0</v>
      </c>
      <c r="K63" s="336">
        <f t="shared" si="5"/>
        <v>0</v>
      </c>
      <c r="L63" s="339">
        <f>ROUND(SUMIFS(BS_RE33!$H$7:$H$874,BS_RE33!$S$7:$S$874,$L$2,BS_RE33!$N$7:$N$874,I63,BS_RE33!$P$7:$P$874,'30 days CF Table(ALL)'!G63),2)</f>
        <v>0</v>
      </c>
      <c r="M63" s="339">
        <f>ROUND(SUMIFS(BS_RE33!$H$7:$H$874,BS_RE33!$S$7:$S$874,$M$2,BS_RE33!$N$7:$N$874,I63,BS_RE33!$P$7:$P$874,'30 days CF Table(ALL)'!G63),2)</f>
        <v>0</v>
      </c>
      <c r="N63" s="339">
        <f>ROUND(SUMIFS(BS_RE33!$H$7:$H$874,BS_RE33!$S$7:$S$874,$N$2,BS_RE33!$N$7:$N$874,I63,BS_RE33!$P$7:$P$874,'30 days CF Table(ALL)'!G63),2)</f>
        <v>0</v>
      </c>
      <c r="O63" s="339">
        <f>ROUND(SUMIFS(BS_RE33!$H$7:$H$874,BS_RE33!$S$7:$S$874,$O$2,BS_RE33!$N$7:$N$874,I63,BS_RE33!$P$7:$P$874,'30 days CF Table(ALL)'!G63),2)</f>
        <v>0</v>
      </c>
      <c r="P63" s="339">
        <f>ROUND(SUMIFS(BS_RE33!$H$7:$H$874,BS_RE33!$S$7:$S$874,$P$2,BS_RE33!$N$7:$N$874,I63,BS_RE33!$P$7:$P$874,'30 days CF Table(ALL)'!G63),2)</f>
        <v>0</v>
      </c>
      <c r="Q63" s="339">
        <f>ROUND(SUMIFS(BS_RE33!$H$7:$H$874,BS_RE33!$S$7:$S$874,$Q$2,BS_RE33!$N$7:$N$874,I63,BS_RE33!$P$7:$P$874,'30 days CF Table(ALL)'!G63),2)</f>
        <v>0</v>
      </c>
      <c r="R63" s="339">
        <f>ROUND(SUMIFS(BS_RE33!$H$7:$H$874,BS_RE33!$S$7:$S$874,$R$2,BS_RE33!$N$7:$N$874,I63,BS_RE33!$P$7:$P$874,'30 days CF Table(ALL)'!G63),2)</f>
        <v>0</v>
      </c>
      <c r="S63" s="339">
        <f>ROUND(SUMIFS(BS_RE33!$H$7:$H$874,BS_RE33!$S$7:$S$874,$S$2,BS_RE33!$N$7:$N$874,I63,BS_RE33!$P$7:$P$874,'30 days CF Table(ALL)'!G63),2)</f>
        <v>0</v>
      </c>
      <c r="T63" s="339">
        <f>ROUND(SUMIFS(BS_RE33!$H$7:$H$874,BS_RE33!$S$7:$S$874,$T$2,BS_RE33!$N$7:$N$874,I63,BS_RE33!$P$7:$P$874,'30 days CF Table(ALL)'!G63),2)</f>
        <v>0</v>
      </c>
      <c r="U63" s="339">
        <f>ROUND(SUMIFS(BS_RE33!$H$7:$H$874,BS_RE33!$S$7:$S$874,$U$2,BS_RE33!$N$7:$N$874,I63,BS_RE33!$P$7:$P$874,'30 days CF Table(ALL)'!G63),2)</f>
        <v>0</v>
      </c>
      <c r="V63" s="339">
        <f>ROUND(SUMIFS(BS_RE33!$H$7:$H$874,BS_RE33!$S$7:$S$874,$V$2,BS_RE33!$N$7:$N$874,I63,BS_RE33!$P$7:$P$874,'30 days CF Table(ALL)'!G63),2)</f>
        <v>0</v>
      </c>
      <c r="W63" s="339">
        <f>ROUND(SUMIFS(BS_RE33!$H$7:$H$874,BS_RE33!$S$7:$S$874,$W$2,BS_RE33!$N$7:$N$874,I63,BS_RE33!$P$7:$P$874,'30 days CF Table(ALL)'!G63),2)</f>
        <v>0</v>
      </c>
      <c r="X63" s="339">
        <f>ROUND(SUMIFS(BS_RE33!$H$7:$H$874,BS_RE33!$S$7:$S$874,$X$2,BS_RE33!$N$7:$N$874,I63,BS_RE33!$P$7:$P$874,'30 days CF Table(ALL)'!G63),2)</f>
        <v>0</v>
      </c>
      <c r="Y63" s="339">
        <f>ROUND(SUMIFS(BS_RE33!$H$7:$H$874,BS_RE33!$S$7:$S$874,$Y$2,BS_RE33!$N$7:$N$874,I63,BS_RE33!$P$7:$P$874,'30 days CF Table(ALL)'!G63),2)</f>
        <v>0</v>
      </c>
      <c r="Z63" s="339">
        <f>ROUND(SUMIFS(BS_RE33!$H$7:$H$874,BS_RE33!$S$7:$S$874,$Z$2,BS_RE33!$N$7:$N$874,I63,BS_RE33!$P$7:$P$874,'30 days CF Table(ALL)'!G63),2)</f>
        <v>0</v>
      </c>
      <c r="AA63" s="339">
        <f>ROUND(SUMIFS(BS_RE33!$H$7:$H$874,BS_RE33!$S$7:$S$874,$AA$2,BS_RE33!$N$7:$N$874,I63,BS_RE33!$P$7:$P$874,'30 days CF Table(ALL)'!G63),2)</f>
        <v>0</v>
      </c>
      <c r="AB63" s="339">
        <f>ROUND(SUMIFS(BS_RE33!$H$7:$H$874,BS_RE33!$S$7:$S$874,$AB$2,BS_RE33!$N$7:$N$874,I63,BS_RE33!$P$7:$P$874,'30 days CF Table(ALL)'!G63),2)</f>
        <v>0</v>
      </c>
      <c r="AC63" s="339">
        <f>ROUND(SUMIFS(BS_RE33!$H$7:$H$874,BS_RE33!$S$7:$S$874,$AC$2,BS_RE33!$N$7:$N$874,I63,BS_RE33!$P$7:$P$874,'30 days CF Table(ALL)'!G63),2)</f>
        <v>0</v>
      </c>
      <c r="AD63" s="339">
        <f>ROUND(SUMIFS(BS_RE33!$H$7:$H$874,BS_RE33!$S$7:$S$874,$AD$2,BS_RE33!$N$7:$N$874,I63,BS_RE33!$P$7:$P$874,'30 days CF Table(ALL)'!G63),2)</f>
        <v>0</v>
      </c>
      <c r="AE63" s="339">
        <f>ROUND(SUMIFS(BS_RE33!$H$7:$H$874,BS_RE33!$S$7:$S$874,$AE$2,BS_RE33!$N$7:$N$874,I63,BS_RE33!$P$7:$P$874,'30 days CF Table(ALL)'!G63),2)</f>
        <v>0</v>
      </c>
      <c r="AF63" s="339">
        <f>ROUND(SUMIFS(BS_RE33!$H$7:$H$874,BS_RE33!$S$7:$S$874,$AF$2,BS_RE33!$N$7:$N$874,I63,BS_RE33!$P$7:$P$874,'30 days CF Table(ALL)'!G63),2)</f>
        <v>0</v>
      </c>
      <c r="AG63" s="339">
        <f>ROUND(SUMIFS(BS_RE33!$H$7:$H$874,BS_RE33!$S$7:$S$874,$AG$2,BS_RE33!$N$7:$N$874,I63,BS_RE33!$P$7:$P$874,'30 days CF Table(ALL)'!G63),2)</f>
        <v>0</v>
      </c>
      <c r="AH63" s="339">
        <f>ROUND(SUMIFS(BS_RE33!$H$7:$H$874,BS_RE33!$S$7:$S$874,$AH$2,BS_RE33!$N$7:$N$874,I63,BS_RE33!$P$7:$P$874,'30 days CF Table(ALL)'!G63),2)</f>
        <v>0</v>
      </c>
      <c r="AI63" s="339">
        <f>ROUND(SUMIFS(BS_RE33!$H$7:$H$874,BS_RE33!$S$7:$S$874,$AI$2,BS_RE33!$N$7:$N$874,I63,BS_RE33!$P$7:$P$874,'30 days CF Table(ALL)'!G63),2)</f>
        <v>0</v>
      </c>
      <c r="AJ63" s="339">
        <f>ROUND(SUMIFS(BS_RE33!$H$7:$H$874,BS_RE33!$S$7:$S$874,$AJ$2,BS_RE33!$N$7:$N$874,I63,BS_RE33!$P$7:$P$874,'30 days CF Table(ALL)'!G63),2)</f>
        <v>0</v>
      </c>
      <c r="AK63" s="339">
        <f>ROUND(SUMIFS(BS_RE33!$H$7:$H$874,BS_RE33!$S$7:$S$874,$AK$2,BS_RE33!$N$7:$N$874,I63,BS_RE33!$P$7:$P$874,'30 days CF Table(ALL)'!G63),2)</f>
        <v>0</v>
      </c>
      <c r="AL63" s="339">
        <f>ROUND(SUMIFS(BS_RE33!$H$7:$H$874,BS_RE33!$S$7:$S$874,$AL$2,BS_RE33!$N$7:$N$874,I63,BS_RE33!$P$7:$P$874,'30 days CF Table(ALL)'!G63),2)</f>
        <v>0</v>
      </c>
      <c r="AM63" s="339">
        <f>ROUND(SUMIFS(BS_RE33!$H$7:$H$874,BS_RE33!$S$7:$S$874,$AM$2,BS_RE33!$N$7:$N$874,I63,BS_RE33!$P$7:$P$874,'30 days CF Table(ALL)'!G63),2)</f>
        <v>0</v>
      </c>
      <c r="AN63" s="339">
        <f>ROUND(SUMIFS(BS_RE33!$H$7:$H$874,BS_RE33!$S$7:$S$874,$AN$2,BS_RE33!$N$7:$N$874,I63,BS_RE33!$P$7:$P$874,'30 days CF Table(ALL)'!G63),2)</f>
        <v>0</v>
      </c>
      <c r="AO63" s="339">
        <f>ROUND(SUMIFS(BS_RE33!$H$7:$H$874,BS_RE33!$S$7:$S$874,$AO$2,BS_RE33!$N$7:$N$874,I63,BS_RE33!$P$7:$P$874,'30 days CF Table(ALL)'!G63),2)</f>
        <v>0</v>
      </c>
      <c r="AP63" s="340">
        <f>ROUND(SUMIFS(BS_RE33!$H$7:$H$874,BS_RE33!$S$7:$S$874,$AP$2,BS_RE33!$N$7:$N$874,I63,BS_RE33!$P$7:$P$874,'30 days CF Table(ALL)'!G63),2)</f>
        <v>0</v>
      </c>
      <c r="AR63" s="381">
        <f>ROUND(SUMIFS(BS_RE33!$H$7:$H$874,BS_RE33!$S$7:$S$874,$AR$2,BS_RE33!$N$7:$N$874,I63,BS_RE33!$P$7:$P$874,'30 days CF Table(ALL)'!G63),2)</f>
        <v>0</v>
      </c>
      <c r="AS63" s="381">
        <f>ROUND(SUMIFS(BS_RE33!$H$7:$H$874,BS_RE33!$S$7:$S$874,$AS$2,BS_RE33!$N$7:$N$874,I63,BS_RE33!$P$7:$P$874,'30 days CF Table(ALL)'!G63),2)</f>
        <v>0</v>
      </c>
      <c r="AT63" s="381">
        <f>ROUND(SUMIFS(BS_RE33!$H$7:$H$874,BS_RE33!$S$7:$S$874,$AT$2,BS_RE33!$N$7:$N$874,I63,BS_RE33!$P$7:$P$874,'30 days CF Table(ALL)'!G63),2)</f>
        <v>0</v>
      </c>
      <c r="AU63" s="381">
        <f>ROUND(SUMIFS(BS_RE33!$H$7:$H$874,BS_RE33!$S$7:$S$874,$AU$2,BS_RE33!$N$7:$N$874,I63,BS_RE33!$P$7:$P$874,'30 days CF Table(ALL)'!G63),2)</f>
        <v>0</v>
      </c>
      <c r="AV63" s="381">
        <f>ROUND(SUMIFS(BS_RE33!$H$7:$H$874,BS_RE33!$S$7:$S$874,$AV$2,BS_RE33!$N$7:$N$874,I63,BS_RE33!$P$7:$P$874,'30 days CF Table(ALL)'!G63),2)</f>
        <v>0</v>
      </c>
      <c r="AW63" s="381">
        <f>ROUND(SUMIFS(BS_RE33!$H$7:$H$874,BS_RE33!$S$7:$S$874,$AW$2,BS_RE33!$N$7:$N$874,I63,BS_RE33!$P$7:$P$874,'30 days CF Table(ALL)'!G63),2)</f>
        <v>0</v>
      </c>
      <c r="AX63" s="381">
        <f>ROUND(SUMIFS(BS_RE33!$H$7:$H$874,BS_RE33!$S$7:$S$874,$AX$2,BS_RE33!$N$7:$N$874,I63,BS_RE33!$P$7:$P$874,'30 days CF Table(ALL)'!G63),2)</f>
        <v>0</v>
      </c>
      <c r="AY63" s="381">
        <f>ROUND(SUMIFS(BS_RE33!$H$7:$H$874,BS_RE33!$S$7:$S$874,$AY$2,BS_RE33!$N$7:$N$874,I63,BS_RE33!$P$7:$P$874,'30 days CF Table(ALL)'!G63),2)</f>
        <v>0</v>
      </c>
      <c r="AZ63" s="381">
        <f>ROUND(SUMIFS(BS_RE33!$H$7:$H$874,BS_RE33!$S$7:$S$874,$AZ$2,BS_RE33!$N$7:$N$874,I63,BS_RE33!$P$7:$P$874,'30 days CF Table(ALL)'!G63),2)</f>
        <v>0</v>
      </c>
      <c r="BA63" s="381">
        <f>ROUND(SUMIFS(BS_RE33!$H$7:$H$874,BS_RE33!$S$7:$S$874,$BA$2,BS_RE33!$N$7:$N$874,I63,BS_RE33!$P$7:$P$874,'30 days CF Table(ALL)'!G63),2)</f>
        <v>0</v>
      </c>
      <c r="BB63" s="381">
        <f>ROUND(SUMIFS(BS_RE33!$H$7:$H$874,BS_RE33!$S$7:$S$874,$BB$2,BS_RE33!$N$7:$N$874,I63,BS_RE33!$P$7:$P$874,'30 days CF Table(ALL)'!G63),2)</f>
        <v>0</v>
      </c>
      <c r="BC63" s="381">
        <f>ROUND(SUMIFS(BS_RE33!$H$7:$H$874,BS_RE33!$S$7:$S$874,$BC$2,BS_RE33!$N$7:$N$874,I63,BS_RE33!$P$7:$P$874,'30 days CF Table(ALL)'!G63),2)</f>
        <v>0</v>
      </c>
      <c r="BD63" s="381">
        <f>ROUND(SUMIFS(BS_RE33!$H$7:$H$874,BS_RE33!$S$7:$S$874,$BD$2,BS_RE33!$N$7:$N$874,I63,BS_RE33!$P$7:$P$874,'30 days CF Table(ALL)'!G63),2)</f>
        <v>0</v>
      </c>
      <c r="BE63" s="381">
        <f>ROUND(SUMIFS(BS_RE33!$H$7:$H$874,BS_RE33!$S$7:$S$874,$BE$2,BS_RE33!$N$7:$N$874,I63,BS_RE33!$P$7:$P$874,'30 days CF Table(ALL)'!G63),2)</f>
        <v>0</v>
      </c>
      <c r="BF63" s="381">
        <f>ROUND(SUMIFS(BS_RE33!$H$7:$H$874,BS_RE33!$S$7:$S$874,$BF$2,BS_RE33!$N$7:$N$874,I63,BS_RE33!$P$7:$P$874,'30 days CF Table(ALL)'!G63),2)</f>
        <v>0</v>
      </c>
      <c r="BG63" s="381">
        <f>ROUND(SUMIFS(BS_RE33!$H$7:$H$874,BS_RE33!$S$7:$S$874,$BG$2,BS_RE33!$N$7:$N$874,I63,BS_RE33!$P$7:$P$874,'30 days CF Table(ALL)'!G63),2)</f>
        <v>0</v>
      </c>
      <c r="BH63" s="381">
        <f>ROUND(SUMIFS(BS_RE33!$H$7:$H$874,BS_RE33!$S$7:$S$874,$BH$2,BS_RE33!$N$7:$N$874,I63,BS_RE33!$P$7:$P$874,'30 days CF Table(ALL)'!G63),2)</f>
        <v>0</v>
      </c>
      <c r="BI63" s="381">
        <f>ROUND(SUMIFS(BS_RE33!$H$7:$H$874,BS_RE33!$S$7:$S$874,$BI$2,BS_RE33!$N$7:$N$874,I63,BS_RE33!$P$7:$P$874,'30 days CF Table(ALL)'!G63),2)</f>
        <v>0</v>
      </c>
      <c r="BJ63" s="381">
        <f>ROUND(SUMIFS(BS_RE33!$H$7:$H$874,BS_RE33!$S$7:$S$874,$BJ$2,BS_RE33!$N$7:$N$874,I63,BS_RE33!$P$7:$P$874,'30 days CF Table(ALL)'!G63),2)</f>
        <v>0</v>
      </c>
      <c r="BK63" s="381">
        <f>ROUND(SUMIFS(BS_RE33!$H$7:$H$874,BS_RE33!$S$7:$S$874,$BK$2,BS_RE33!$N$7:$N$874,I63,BS_RE33!$P$7:$P$874,'30 days CF Table(ALL)'!G63),2)</f>
        <v>0</v>
      </c>
    </row>
    <row r="64" spans="3:63" ht="21" thickBot="1">
      <c r="C64" s="1045"/>
      <c r="D64" s="324" t="s">
        <v>775</v>
      </c>
      <c r="E64" s="325" t="s">
        <v>102</v>
      </c>
      <c r="F64" s="326"/>
      <c r="G64" s="327" t="s">
        <v>540</v>
      </c>
      <c r="H64" s="328">
        <v>0</v>
      </c>
      <c r="I64" s="329" t="s">
        <v>80</v>
      </c>
      <c r="J64" s="480">
        <f t="shared" si="3"/>
        <v>0</v>
      </c>
      <c r="K64" s="476">
        <f t="shared" si="5"/>
        <v>0</v>
      </c>
      <c r="L64" s="341">
        <f>ROUND(SUMIFS(BS_RE33!$H$7:$H$874,BS_RE33!$S$7:$S$874,$L$2,BS_RE33!$N$7:$N$874,I64,BS_RE33!$P$7:$P$874,'30 days CF Table(ALL)'!G64),2)</f>
        <v>0</v>
      </c>
      <c r="M64" s="341">
        <f>ROUND(SUMIFS(BS_RE33!$H$7:$H$874,BS_RE33!$S$7:$S$874,$M$2,BS_RE33!$N$7:$N$874,I64,BS_RE33!$P$7:$P$874,'30 days CF Table(ALL)'!G64),2)</f>
        <v>0</v>
      </c>
      <c r="N64" s="341">
        <f>ROUND(SUMIFS(BS_RE33!$H$7:$H$874,BS_RE33!$S$7:$S$874,$N$2,BS_RE33!$N$7:$N$874,I64,BS_RE33!$P$7:$P$874,'30 days CF Table(ALL)'!G64),2)</f>
        <v>0</v>
      </c>
      <c r="O64" s="341">
        <f>ROUND(SUMIFS(BS_RE33!$H$7:$H$874,BS_RE33!$S$7:$S$874,$O$2,BS_RE33!$N$7:$N$874,I64,BS_RE33!$P$7:$P$874,'30 days CF Table(ALL)'!G64),2)</f>
        <v>0</v>
      </c>
      <c r="P64" s="341">
        <f>ROUND(SUMIFS(BS_RE33!$H$7:$H$874,BS_RE33!$S$7:$S$874,$P$2,BS_RE33!$N$7:$N$874,I64,BS_RE33!$P$7:$P$874,'30 days CF Table(ALL)'!G64),2)</f>
        <v>0</v>
      </c>
      <c r="Q64" s="341">
        <f>ROUND(SUMIFS(BS_RE33!$H$7:$H$874,BS_RE33!$S$7:$S$874,$Q$2,BS_RE33!$N$7:$N$874,I64,BS_RE33!$P$7:$P$874,'30 days CF Table(ALL)'!G64),2)</f>
        <v>0</v>
      </c>
      <c r="R64" s="341">
        <f>ROUND(SUMIFS(BS_RE33!$H$7:$H$874,BS_RE33!$S$7:$S$874,$R$2,BS_RE33!$N$7:$N$874,I64,BS_RE33!$P$7:$P$874,'30 days CF Table(ALL)'!G64),2)</f>
        <v>0</v>
      </c>
      <c r="S64" s="341">
        <f>ROUND(SUMIFS(BS_RE33!$H$7:$H$874,BS_RE33!$S$7:$S$874,$S$2,BS_RE33!$N$7:$N$874,I64,BS_RE33!$P$7:$P$874,'30 days CF Table(ALL)'!G64),2)</f>
        <v>0</v>
      </c>
      <c r="T64" s="341">
        <f>ROUND(SUMIFS(BS_RE33!$H$7:$H$874,BS_RE33!$S$7:$S$874,$T$2,BS_RE33!$N$7:$N$874,I64,BS_RE33!$P$7:$P$874,'30 days CF Table(ALL)'!G64),2)</f>
        <v>0</v>
      </c>
      <c r="U64" s="341">
        <f>ROUND(SUMIFS(BS_RE33!$H$7:$H$874,BS_RE33!$S$7:$S$874,$U$2,BS_RE33!$N$7:$N$874,I64,BS_RE33!$P$7:$P$874,'30 days CF Table(ALL)'!G64),2)</f>
        <v>0</v>
      </c>
      <c r="V64" s="341">
        <f>ROUND(SUMIFS(BS_RE33!$H$7:$H$874,BS_RE33!$S$7:$S$874,$V$2,BS_RE33!$N$7:$N$874,I64,BS_RE33!$P$7:$P$874,'30 days CF Table(ALL)'!G64),2)</f>
        <v>0</v>
      </c>
      <c r="W64" s="341">
        <f>ROUND(SUMIFS(BS_RE33!$H$7:$H$874,BS_RE33!$S$7:$S$874,$W$2,BS_RE33!$N$7:$N$874,I64,BS_RE33!$P$7:$P$874,'30 days CF Table(ALL)'!G64),2)</f>
        <v>0</v>
      </c>
      <c r="X64" s="341">
        <f>ROUND(SUMIFS(BS_RE33!$H$7:$H$874,BS_RE33!$S$7:$S$874,$X$2,BS_RE33!$N$7:$N$874,I64,BS_RE33!$P$7:$P$874,'30 days CF Table(ALL)'!G64),2)</f>
        <v>0</v>
      </c>
      <c r="Y64" s="341">
        <f>ROUND(SUMIFS(BS_RE33!$H$7:$H$874,BS_RE33!$S$7:$S$874,$Y$2,BS_RE33!$N$7:$N$874,I64,BS_RE33!$P$7:$P$874,'30 days CF Table(ALL)'!G64),2)</f>
        <v>0</v>
      </c>
      <c r="Z64" s="341">
        <f>ROUND(SUMIFS(BS_RE33!$H$7:$H$874,BS_RE33!$S$7:$S$874,$Z$2,BS_RE33!$N$7:$N$874,I64,BS_RE33!$P$7:$P$874,'30 days CF Table(ALL)'!G64),2)</f>
        <v>0</v>
      </c>
      <c r="AA64" s="341">
        <f>ROUND(SUMIFS(BS_RE33!$H$7:$H$874,BS_RE33!$S$7:$S$874,$AA$2,BS_RE33!$N$7:$N$874,I64,BS_RE33!$P$7:$P$874,'30 days CF Table(ALL)'!G64),2)</f>
        <v>0</v>
      </c>
      <c r="AB64" s="341">
        <f>ROUND(SUMIFS(BS_RE33!$H$7:$H$874,BS_RE33!$S$7:$S$874,$AB$2,BS_RE33!$N$7:$N$874,I64,BS_RE33!$P$7:$P$874,'30 days CF Table(ALL)'!G64),2)</f>
        <v>0</v>
      </c>
      <c r="AC64" s="341">
        <f>ROUND(SUMIFS(BS_RE33!$H$7:$H$874,BS_RE33!$S$7:$S$874,$AC$2,BS_RE33!$N$7:$N$874,I64,BS_RE33!$P$7:$P$874,'30 days CF Table(ALL)'!G64),2)</f>
        <v>0</v>
      </c>
      <c r="AD64" s="341">
        <f>ROUND(SUMIFS(BS_RE33!$H$7:$H$874,BS_RE33!$S$7:$S$874,$AD$2,BS_RE33!$N$7:$N$874,I64,BS_RE33!$P$7:$P$874,'30 days CF Table(ALL)'!G64),2)</f>
        <v>0</v>
      </c>
      <c r="AE64" s="341">
        <f>ROUND(SUMIFS(BS_RE33!$H$7:$H$874,BS_RE33!$S$7:$S$874,$AE$2,BS_RE33!$N$7:$N$874,I64,BS_RE33!$P$7:$P$874,'30 days CF Table(ALL)'!G64),2)</f>
        <v>0</v>
      </c>
      <c r="AF64" s="341">
        <f>ROUND(SUMIFS(BS_RE33!$H$7:$H$874,BS_RE33!$S$7:$S$874,$AF$2,BS_RE33!$N$7:$N$874,I64,BS_RE33!$P$7:$P$874,'30 days CF Table(ALL)'!G64),2)</f>
        <v>0</v>
      </c>
      <c r="AG64" s="341">
        <f>ROUND(SUMIFS(BS_RE33!$H$7:$H$874,BS_RE33!$S$7:$S$874,$AG$2,BS_RE33!$N$7:$N$874,I64,BS_RE33!$P$7:$P$874,'30 days CF Table(ALL)'!G64),2)</f>
        <v>0</v>
      </c>
      <c r="AH64" s="341">
        <f>ROUND(SUMIFS(BS_RE33!$H$7:$H$874,BS_RE33!$S$7:$S$874,$AH$2,BS_RE33!$N$7:$N$874,I64,BS_RE33!$P$7:$P$874,'30 days CF Table(ALL)'!G64),2)</f>
        <v>0</v>
      </c>
      <c r="AI64" s="341">
        <f>ROUND(SUMIFS(BS_RE33!$H$7:$H$874,BS_RE33!$S$7:$S$874,$AI$2,BS_RE33!$N$7:$N$874,I64,BS_RE33!$P$7:$P$874,'30 days CF Table(ALL)'!G64),2)</f>
        <v>0</v>
      </c>
      <c r="AJ64" s="341">
        <f>ROUND(SUMIFS(BS_RE33!$H$7:$H$874,BS_RE33!$S$7:$S$874,$AJ$2,BS_RE33!$N$7:$N$874,I64,BS_RE33!$P$7:$P$874,'30 days CF Table(ALL)'!G64),2)</f>
        <v>0</v>
      </c>
      <c r="AK64" s="341">
        <f>ROUND(SUMIFS(BS_RE33!$H$7:$H$874,BS_RE33!$S$7:$S$874,$AK$2,BS_RE33!$N$7:$N$874,I64,BS_RE33!$P$7:$P$874,'30 days CF Table(ALL)'!G64),2)</f>
        <v>0</v>
      </c>
      <c r="AL64" s="341">
        <f>ROUND(SUMIFS(BS_RE33!$H$7:$H$874,BS_RE33!$S$7:$S$874,$AL$2,BS_RE33!$N$7:$N$874,I64,BS_RE33!$P$7:$P$874,'30 days CF Table(ALL)'!G64),2)</f>
        <v>0</v>
      </c>
      <c r="AM64" s="341">
        <f>ROUND(SUMIFS(BS_RE33!$H$7:$H$874,BS_RE33!$S$7:$S$874,$AM$2,BS_RE33!$N$7:$N$874,I64,BS_RE33!$P$7:$P$874,'30 days CF Table(ALL)'!G64),2)</f>
        <v>0</v>
      </c>
      <c r="AN64" s="341">
        <f>ROUND(SUMIFS(BS_RE33!$H$7:$H$874,BS_RE33!$S$7:$S$874,$AN$2,BS_RE33!$N$7:$N$874,I64,BS_RE33!$P$7:$P$874,'30 days CF Table(ALL)'!G64),2)</f>
        <v>0</v>
      </c>
      <c r="AO64" s="341">
        <f>ROUND(SUMIFS(BS_RE33!$H$7:$H$874,BS_RE33!$S$7:$S$874,$AO$2,BS_RE33!$N$7:$N$874,I64,BS_RE33!$P$7:$P$874,'30 days CF Table(ALL)'!G64),2)</f>
        <v>0</v>
      </c>
      <c r="AP64" s="342">
        <f>ROUND(SUMIFS(BS_RE33!$H$7:$H$874,BS_RE33!$S$7:$S$874,$AP$2,BS_RE33!$N$7:$N$874,I64,BS_RE33!$P$7:$P$874,'30 days CF Table(ALL)'!G64),2)</f>
        <v>0</v>
      </c>
      <c r="AR64" s="381">
        <f>ROUND(SUMIFS(BS_RE33!$H$7:$H$874,BS_RE33!$S$7:$S$874,$AR$2,BS_RE33!$N$7:$N$874,I64,BS_RE33!$P$7:$P$874,'30 days CF Table(ALL)'!G64),2)</f>
        <v>0</v>
      </c>
      <c r="AS64" s="381">
        <f>ROUND(SUMIFS(BS_RE33!$H$7:$H$874,BS_RE33!$S$7:$S$874,$AS$2,BS_RE33!$N$7:$N$874,I64,BS_RE33!$P$7:$P$874,'30 days CF Table(ALL)'!G64),2)</f>
        <v>0</v>
      </c>
      <c r="AT64" s="381">
        <f>ROUND(SUMIFS(BS_RE33!$H$7:$H$874,BS_RE33!$S$7:$S$874,$AT$2,BS_RE33!$N$7:$N$874,I64,BS_RE33!$P$7:$P$874,'30 days CF Table(ALL)'!G64),2)</f>
        <v>0</v>
      </c>
      <c r="AU64" s="381">
        <f>ROUND(SUMIFS(BS_RE33!$H$7:$H$874,BS_RE33!$S$7:$S$874,$AU$2,BS_RE33!$N$7:$N$874,I64,BS_RE33!$P$7:$P$874,'30 days CF Table(ALL)'!G64),2)</f>
        <v>0</v>
      </c>
      <c r="AV64" s="381">
        <f>ROUND(SUMIFS(BS_RE33!$H$7:$H$874,BS_RE33!$S$7:$S$874,$AV$2,BS_RE33!$N$7:$N$874,I64,BS_RE33!$P$7:$P$874,'30 days CF Table(ALL)'!G64),2)</f>
        <v>0</v>
      </c>
      <c r="AW64" s="381">
        <f>ROUND(SUMIFS(BS_RE33!$H$7:$H$874,BS_RE33!$S$7:$S$874,$AW$2,BS_RE33!$N$7:$N$874,I64,BS_RE33!$P$7:$P$874,'30 days CF Table(ALL)'!G64),2)</f>
        <v>0</v>
      </c>
      <c r="AX64" s="381">
        <f>ROUND(SUMIFS(BS_RE33!$H$7:$H$874,BS_RE33!$S$7:$S$874,$AX$2,BS_RE33!$N$7:$N$874,I64,BS_RE33!$P$7:$P$874,'30 days CF Table(ALL)'!G64),2)</f>
        <v>0</v>
      </c>
      <c r="AY64" s="381">
        <f>ROUND(SUMIFS(BS_RE33!$H$7:$H$874,BS_RE33!$S$7:$S$874,$AY$2,BS_RE33!$N$7:$N$874,I64,BS_RE33!$P$7:$P$874,'30 days CF Table(ALL)'!G64),2)</f>
        <v>0</v>
      </c>
      <c r="AZ64" s="381">
        <f>ROUND(SUMIFS(BS_RE33!$H$7:$H$874,BS_RE33!$S$7:$S$874,$AZ$2,BS_RE33!$N$7:$N$874,I64,BS_RE33!$P$7:$P$874,'30 days CF Table(ALL)'!G64),2)</f>
        <v>0</v>
      </c>
      <c r="BA64" s="381">
        <f>ROUND(SUMIFS(BS_RE33!$H$7:$H$874,BS_RE33!$S$7:$S$874,$BA$2,BS_RE33!$N$7:$N$874,I64,BS_RE33!$P$7:$P$874,'30 days CF Table(ALL)'!G64),2)</f>
        <v>0</v>
      </c>
      <c r="BB64" s="381">
        <f>ROUND(SUMIFS(BS_RE33!$H$7:$H$874,BS_RE33!$S$7:$S$874,$BB$2,BS_RE33!$N$7:$N$874,I64,BS_RE33!$P$7:$P$874,'30 days CF Table(ALL)'!G64),2)</f>
        <v>0</v>
      </c>
      <c r="BC64" s="381">
        <f>ROUND(SUMIFS(BS_RE33!$H$7:$H$874,BS_RE33!$S$7:$S$874,$BC$2,BS_RE33!$N$7:$N$874,I64,BS_RE33!$P$7:$P$874,'30 days CF Table(ALL)'!G64),2)</f>
        <v>0</v>
      </c>
      <c r="BD64" s="381">
        <f>ROUND(SUMIFS(BS_RE33!$H$7:$H$874,BS_RE33!$S$7:$S$874,$BD$2,BS_RE33!$N$7:$N$874,I64,BS_RE33!$P$7:$P$874,'30 days CF Table(ALL)'!G64),2)</f>
        <v>0</v>
      </c>
      <c r="BE64" s="381">
        <f>ROUND(SUMIFS(BS_RE33!$H$7:$H$874,BS_RE33!$S$7:$S$874,$BE$2,BS_RE33!$N$7:$N$874,I64,BS_RE33!$P$7:$P$874,'30 days CF Table(ALL)'!G64),2)</f>
        <v>0</v>
      </c>
      <c r="BF64" s="381">
        <f>ROUND(SUMIFS(BS_RE33!$H$7:$H$874,BS_RE33!$S$7:$S$874,$BF$2,BS_RE33!$N$7:$N$874,I64,BS_RE33!$P$7:$P$874,'30 days CF Table(ALL)'!G64),2)</f>
        <v>0</v>
      </c>
      <c r="BG64" s="381">
        <f>ROUND(SUMIFS(BS_RE33!$H$7:$H$874,BS_RE33!$S$7:$S$874,$BG$2,BS_RE33!$N$7:$N$874,I64,BS_RE33!$P$7:$P$874,'30 days CF Table(ALL)'!G64),2)</f>
        <v>0</v>
      </c>
      <c r="BH64" s="381">
        <f>ROUND(SUMIFS(BS_RE33!$H$7:$H$874,BS_RE33!$S$7:$S$874,$BH$2,BS_RE33!$N$7:$N$874,I64,BS_RE33!$P$7:$P$874,'30 days CF Table(ALL)'!G64),2)</f>
        <v>0</v>
      </c>
      <c r="BI64" s="381">
        <f>ROUND(SUMIFS(BS_RE33!$H$7:$H$874,BS_RE33!$S$7:$S$874,$BI$2,BS_RE33!$N$7:$N$874,I64,BS_RE33!$P$7:$P$874,'30 days CF Table(ALL)'!G64),2)</f>
        <v>0</v>
      </c>
      <c r="BJ64" s="381">
        <f>ROUND(SUMIFS(BS_RE33!$H$7:$H$874,BS_RE33!$S$7:$S$874,$BJ$2,BS_RE33!$N$7:$N$874,I64,BS_RE33!$P$7:$P$874,'30 days CF Table(ALL)'!G64),2)</f>
        <v>0</v>
      </c>
      <c r="BK64" s="381">
        <f>ROUND(SUMIFS(BS_RE33!$H$7:$H$874,BS_RE33!$S$7:$S$874,$BK$2,BS_RE33!$N$7:$N$874,I64,BS_RE33!$P$7:$P$874,'30 days CF Table(ALL)'!G64),2)</f>
        <v>0</v>
      </c>
    </row>
    <row r="65" spans="3:12" ht="17.45" customHeight="1" thickTop="1" thickBot="1">
      <c r="F65" s="630"/>
      <c r="H65" s="267" t="s">
        <v>1473</v>
      </c>
    </row>
    <row r="66" spans="3:12" ht="17.45" customHeight="1" thickBot="1">
      <c r="F66" s="630"/>
      <c r="H66" s="641" t="s">
        <v>724</v>
      </c>
      <c r="I66" s="642" t="s">
        <v>80</v>
      </c>
      <c r="J66" s="631">
        <f>IF($C$2&lt;('Summary &amp; Working File(AllCcy)'!E15-30),'Summary &amp; Working File(AllCcy)'!E14/1000000,0)+IF($C$2&lt;('Summary &amp; Working File(AllCcy)'!F15-30),'Summary &amp; Working File(AllCcy)'!F14/1000000,0)+IF($C$2&lt;('Summary &amp; Working File(AllCcy)'!G15-30),'Summary &amp; Working File(AllCcy)'!G14/1000000,0)+IF($C$2&lt;('Summary &amp; Working File(AllCcy)'!H15-30),'Summary &amp; Working File(AllCcy)'!H14/1000000,0)+IF($C$2&lt;('Summary &amp; Working File(AllCcy)'!I15-30),'Summary &amp; Working File(AllCcy)'!I14/1000000,0)+IF($C$2&lt;('Summary &amp; Working File(AllCcy)'!J15-30),'Summary &amp; Working File(AllCcy)'!J14/1000000,0)</f>
        <v>0</v>
      </c>
      <c r="K66" s="633">
        <f>J66*1000000*10%</f>
        <v>0</v>
      </c>
    </row>
    <row r="67" spans="3:12" ht="17.45" customHeight="1" thickBot="1">
      <c r="F67" s="630"/>
      <c r="H67" s="641" t="s">
        <v>723</v>
      </c>
      <c r="I67" s="642" t="s">
        <v>80</v>
      </c>
      <c r="J67" s="632">
        <f>IF($C$2&lt;('Summary &amp; Working File(AllCcy)'!E11-30),'Summary &amp; Working File(AllCcy)'!E10/1000000,0)+IF($C$2&lt;('Summary &amp; Working File(AllCcy)'!F11-30),'Summary &amp; Working File(AllCcy)'!F10/1000000,0)+IF($C$2&lt;('Summary &amp; Working File(AllCcy)'!G11-30),'Summary &amp; Working File(AllCcy)'!G10/1000000,0)+IF($C$2&lt;('Summary &amp; Working File(AllCcy)'!H11-30),'Summary &amp; Working File(AllCcy)'!H10/1000000,0)</f>
        <v>0</v>
      </c>
      <c r="K67" s="633">
        <f>J67*1000000*5%</f>
        <v>0</v>
      </c>
    </row>
    <row r="68" spans="3:12" ht="17.45" customHeight="1" thickBot="1"/>
    <row r="69" spans="3:12" ht="21" thickTop="1">
      <c r="D69" s="533"/>
      <c r="H69" s="534" t="s">
        <v>1200</v>
      </c>
      <c r="J69" s="536">
        <f>SUM(J25:J45)+SUM(J52:J64)+SUM(J66:J67)</f>
        <v>0</v>
      </c>
      <c r="K69" s="537">
        <f>(SUM(K25:K45)+SUM(K52:K64)+SUM(K66:K67))/1000000</f>
        <v>0</v>
      </c>
      <c r="L69" s="817"/>
    </row>
    <row r="70" spans="3:12" ht="21" thickBot="1">
      <c r="H70" s="535" t="s">
        <v>1199</v>
      </c>
      <c r="J70" s="543">
        <f>SUM(J4:J18)+SUM(J22:J24)</f>
        <v>0</v>
      </c>
      <c r="K70" s="544">
        <f>(SUM(K4:K18)+SUM(K22:K24))/1000000</f>
        <v>0</v>
      </c>
    </row>
    <row r="71" spans="3:12" ht="17.25" thickTop="1"/>
    <row r="72" spans="3:12" ht="17.25" thickBot="1"/>
    <row r="73" spans="3:12" ht="17.25" thickTop="1">
      <c r="C73" s="1032" t="s">
        <v>892</v>
      </c>
      <c r="D73" s="1035" t="s">
        <v>897</v>
      </c>
      <c r="E73" s="499" t="s">
        <v>898</v>
      </c>
      <c r="F73" s="500" t="s">
        <v>1181</v>
      </c>
      <c r="G73" s="505" t="str">
        <f>"HQLA_"&amp;F73</f>
        <v>HQLA_Australian Government</v>
      </c>
      <c r="H73" s="501"/>
      <c r="I73" s="501"/>
      <c r="J73" s="513">
        <f>SUMIF(BS_RE33!$P$7:$P$874,G73,BS_RE33!$H$7:$H$874)/1000000</f>
        <v>0</v>
      </c>
    </row>
    <row r="74" spans="3:12">
      <c r="C74" s="1033"/>
      <c r="D74" s="1036"/>
      <c r="E74" s="497" t="s">
        <v>1179</v>
      </c>
      <c r="F74" s="498" t="s">
        <v>1182</v>
      </c>
      <c r="G74" s="506" t="str">
        <f t="shared" ref="G74:G80" si="6">"HQLA_"&amp;F74</f>
        <v>HQLA_Australian State Government or Territory Central Borrowing Authorities</v>
      </c>
      <c r="H74" s="354"/>
      <c r="I74" s="354"/>
      <c r="J74" s="514">
        <f>SUMIF(BS_RE33!$P$7:$P$874,G74,BS_RE33!$H$7:$H$874)/1000000</f>
        <v>0</v>
      </c>
    </row>
    <row r="75" spans="3:12">
      <c r="C75" s="1033"/>
      <c r="D75" s="1036"/>
      <c r="E75" s="497" t="s">
        <v>899</v>
      </c>
      <c r="F75" s="498" t="s">
        <v>1183</v>
      </c>
      <c r="G75" s="506" t="str">
        <f t="shared" si="6"/>
        <v>HQLA_Issued by foreign sovereigns</v>
      </c>
      <c r="H75" s="354"/>
      <c r="I75" s="354"/>
      <c r="J75" s="514">
        <f>SUMIF(BS_RE33!$P$7:$P$874,G75,BS_RE33!$H$7:$H$874)/1000000</f>
        <v>0</v>
      </c>
      <c r="L75" s="522"/>
    </row>
    <row r="76" spans="3:12">
      <c r="C76" s="1033"/>
      <c r="D76" s="1036"/>
      <c r="E76" s="497" t="s">
        <v>900</v>
      </c>
      <c r="F76" s="498" t="s">
        <v>1184</v>
      </c>
      <c r="G76" s="506" t="str">
        <f t="shared" si="6"/>
        <v>HQLA_Guaranteed by the Australian Government</v>
      </c>
      <c r="H76" s="354"/>
      <c r="I76" s="354"/>
      <c r="J76" s="514">
        <f>SUMIF(BS_RE33!$P$7:$P$874,G76,BS_RE33!$H$7:$H$874)/1000000</f>
        <v>0</v>
      </c>
    </row>
    <row r="77" spans="3:12">
      <c r="C77" s="1033"/>
      <c r="D77" s="1036"/>
      <c r="E77" s="497" t="s">
        <v>901</v>
      </c>
      <c r="F77" s="498" t="s">
        <v>1185</v>
      </c>
      <c r="G77" s="506" t="str">
        <f t="shared" si="6"/>
        <v>HQLA_Guaranteed by foreign sovereigns</v>
      </c>
      <c r="H77" s="354"/>
      <c r="I77" s="354"/>
      <c r="J77" s="514">
        <f>SUMIF(BS_RE33!$P$7:$P$874,G77,BS_RE33!$H$7:$H$874)/1000000</f>
        <v>0</v>
      </c>
    </row>
    <row r="78" spans="3:12">
      <c r="C78" s="1033"/>
      <c r="D78" s="1036"/>
      <c r="E78" s="497" t="s">
        <v>902</v>
      </c>
      <c r="F78" s="498" t="s">
        <v>1186</v>
      </c>
      <c r="G78" s="506" t="str">
        <f t="shared" si="6"/>
        <v>HQLA_Issued or guaranteed by central banks</v>
      </c>
      <c r="H78" s="354"/>
      <c r="I78" s="354"/>
      <c r="J78" s="514">
        <f>SUMIF(BS_RE33!$P$7:$P$874,G78,BS_RE33!$H$7:$H$874)/1000000</f>
        <v>0</v>
      </c>
    </row>
    <row r="79" spans="3:12">
      <c r="C79" s="1033"/>
      <c r="D79" s="1036"/>
      <c r="E79" s="497" t="s">
        <v>903</v>
      </c>
      <c r="F79" s="498" t="s">
        <v>1187</v>
      </c>
      <c r="G79" s="506" t="str">
        <f t="shared" si="6"/>
        <v>HQLA_Issued or guaranteed by PSEs</v>
      </c>
      <c r="H79" s="354"/>
      <c r="I79" s="354"/>
      <c r="J79" s="514">
        <f>SUMIF(BS_RE33!$P$7:$P$874,G79,BS_RE33!$H$7:$H$874)/1000000</f>
        <v>0</v>
      </c>
    </row>
    <row r="80" spans="3:12" ht="17.25" thickBot="1">
      <c r="C80" s="1034"/>
      <c r="D80" s="1037"/>
      <c r="E80" s="502" t="s">
        <v>904</v>
      </c>
      <c r="F80" s="503" t="s">
        <v>1188</v>
      </c>
      <c r="G80" s="507" t="str">
        <f t="shared" si="6"/>
        <v>HQLA_Issued or guaranteed by BIS, IMF, ECB and EC or MDBs</v>
      </c>
      <c r="H80" s="504"/>
      <c r="I80" s="504"/>
      <c r="J80" s="515">
        <f>SUMIF(BS_RE33!$P$7:$P$874,G80,BS_RE33!$H$7:$H$874)/1000000</f>
        <v>0</v>
      </c>
    </row>
    <row r="81" spans="2:14" ht="17.25" thickTop="1">
      <c r="C81" s="415"/>
      <c r="E81" s="425"/>
      <c r="N81" s="522"/>
    </row>
    <row r="82" spans="2:14" ht="17.25" thickBot="1">
      <c r="C82" s="415"/>
      <c r="E82" s="425"/>
      <c r="H82" s="511" t="s">
        <v>60</v>
      </c>
    </row>
    <row r="83" spans="2:14" ht="17.25" thickTop="1">
      <c r="C83" s="415"/>
      <c r="E83" s="425"/>
      <c r="H83" s="508" t="s">
        <v>951</v>
      </c>
      <c r="I83" s="501" t="s">
        <v>1189</v>
      </c>
      <c r="J83" s="513">
        <f>SUMIFS(BS_RE33!$H$7:$H$874,BS_RE33!$N$7:$N$874,$H$82,BS_RE33!$F$7:$F$874,I83)/1000000</f>
        <v>0</v>
      </c>
    </row>
    <row r="84" spans="2:14">
      <c r="C84" s="415"/>
      <c r="E84" s="425"/>
      <c r="H84" s="509" t="s">
        <v>952</v>
      </c>
      <c r="I84" s="354" t="s">
        <v>1190</v>
      </c>
      <c r="J84" s="514">
        <f>SUMIFS(BS_RE33!$H$7:$H$874,BS_RE33!$N$7:$N$874,$H$82,BS_RE33!$F$7:$F$874,I84)/1000000</f>
        <v>0</v>
      </c>
      <c r="N84" s="522"/>
    </row>
    <row r="85" spans="2:14">
      <c r="C85" s="415"/>
      <c r="E85" s="425"/>
      <c r="H85" s="509" t="s">
        <v>953</v>
      </c>
      <c r="I85" s="354" t="s">
        <v>1191</v>
      </c>
      <c r="J85" s="514">
        <f>SUMIFS(BS_RE33!$H$7:$H$874,BS_RE33!$N$7:$N$874,$H$82,BS_RE33!$F$7:$F$874,I85)/1000000</f>
        <v>0</v>
      </c>
    </row>
    <row r="86" spans="2:14">
      <c r="C86" s="415"/>
      <c r="E86" s="425"/>
      <c r="H86" s="509" t="s">
        <v>954</v>
      </c>
      <c r="I86" s="354" t="s">
        <v>1192</v>
      </c>
      <c r="J86" s="514">
        <f>SUMIFS(BS_RE33!$H$7:$H$874,BS_RE33!$N$7:$N$874,$H$82,BS_RE33!$F$7:$F$874,I86)/1000000</f>
        <v>0</v>
      </c>
    </row>
    <row r="87" spans="2:14">
      <c r="C87" s="415"/>
      <c r="E87" s="425"/>
      <c r="H87" s="509" t="s">
        <v>955</v>
      </c>
      <c r="I87" s="354" t="s">
        <v>1193</v>
      </c>
      <c r="J87" s="514">
        <f>SUMIFS(BS_RE33!$H$7:$H$874,BS_RE33!$N$7:$N$874,$H$82,BS_RE33!$F$7:$F$874,I87)/1000000</f>
        <v>0</v>
      </c>
    </row>
    <row r="88" spans="2:14">
      <c r="C88" s="415"/>
      <c r="E88" s="425"/>
      <c r="H88" s="509" t="s">
        <v>956</v>
      </c>
      <c r="I88" s="354" t="s">
        <v>1194</v>
      </c>
      <c r="J88" s="514">
        <f>SUMIFS(BS_RE33!$H$7:$H$874,BS_RE33!$N$7:$N$874,$H$82,BS_RE33!$F$7:$F$874,I88)/1000000</f>
        <v>0</v>
      </c>
    </row>
    <row r="89" spans="2:14">
      <c r="C89" s="415"/>
      <c r="E89" s="425"/>
      <c r="H89" s="509" t="s">
        <v>957</v>
      </c>
      <c r="I89" s="354" t="s">
        <v>1195</v>
      </c>
      <c r="J89" s="514">
        <f>SUMIFS(BS_RE33!$H$7:$H$874,BS_RE33!$N$7:$N$874,$H$82,BS_RE33!$F$7:$F$874,I89)/1000000</f>
        <v>0</v>
      </c>
    </row>
    <row r="90" spans="2:14" ht="17.25" thickBot="1">
      <c r="E90" s="425"/>
      <c r="H90" s="510" t="s">
        <v>958</v>
      </c>
      <c r="I90" s="504" t="s">
        <v>1196</v>
      </c>
      <c r="J90" s="515">
        <f>SUMIF(BS_RE33!$N$7:$N$874,$H$82,BS_RE33!$H$7:$H$874)/1000000-SUM(J83:J89)</f>
        <v>0</v>
      </c>
    </row>
    <row r="91" spans="2:14" ht="17.25" thickTop="1">
      <c r="J91" s="512" t="b">
        <f>SUM(J73:J80)=SUM(J83:J90)</f>
        <v>1</v>
      </c>
    </row>
    <row r="93" spans="2:14" ht="17.25" thickBot="1"/>
    <row r="94" spans="2:14" ht="17.25" thickBot="1">
      <c r="C94" s="343">
        <f>BS_RE33!N4</f>
        <v>46058</v>
      </c>
      <c r="D94" s="344" t="s">
        <v>809</v>
      </c>
    </row>
    <row r="95" spans="2:14" ht="17.25" thickBot="1"/>
    <row r="96" spans="2:14">
      <c r="B96" s="358"/>
      <c r="C96" s="359"/>
      <c r="D96" s="359"/>
      <c r="E96" s="359"/>
      <c r="F96" s="360"/>
    </row>
    <row r="97" spans="2:6">
      <c r="B97" s="361"/>
      <c r="C97" s="345" t="s">
        <v>80</v>
      </c>
      <c r="D97" s="346">
        <f>SUMIF($I$4:$I$64,C97,$K$4:$K$64)</f>
        <v>0</v>
      </c>
      <c r="E97" s="369" t="b">
        <f>D97='Summary &amp; Working File(AllCcy)'!E21</f>
        <v>1</v>
      </c>
      <c r="F97" s="362"/>
    </row>
    <row r="98" spans="2:6">
      <c r="B98" s="361"/>
      <c r="C98" s="353"/>
      <c r="D98" s="353"/>
      <c r="E98" s="354"/>
      <c r="F98" s="362"/>
    </row>
    <row r="99" spans="2:6">
      <c r="B99" s="361"/>
      <c r="C99" s="353"/>
      <c r="D99" s="629">
        <f>'Summary &amp; Working File(AllCcy)'!F21</f>
        <v>0</v>
      </c>
      <c r="E99" s="355" t="s">
        <v>813</v>
      </c>
      <c r="F99" s="362"/>
    </row>
    <row r="100" spans="2:6">
      <c r="B100" s="361"/>
      <c r="C100" s="353"/>
      <c r="D100" s="353"/>
      <c r="E100" s="354"/>
      <c r="F100" s="362"/>
    </row>
    <row r="101" spans="2:6">
      <c r="B101" s="361"/>
      <c r="C101" s="353"/>
      <c r="D101" s="347">
        <f>'Summary &amp; Working File(AllCcy)'!G21</f>
        <v>0</v>
      </c>
      <c r="E101" s="355" t="s">
        <v>814</v>
      </c>
      <c r="F101" s="362"/>
    </row>
    <row r="102" spans="2:6">
      <c r="B102" s="361"/>
      <c r="C102" s="353"/>
      <c r="D102" s="353"/>
      <c r="E102" s="354"/>
      <c r="F102" s="362"/>
    </row>
    <row r="103" spans="2:6">
      <c r="B103" s="361"/>
      <c r="C103" s="345" t="s">
        <v>811</v>
      </c>
      <c r="D103" s="348">
        <f>D97+D99+D101</f>
        <v>0</v>
      </c>
      <c r="E103" s="356"/>
      <c r="F103" s="362"/>
    </row>
    <row r="104" spans="2:6" ht="17.25" thickBot="1">
      <c r="B104" s="363"/>
      <c r="C104" s="364"/>
      <c r="D104" s="364"/>
      <c r="E104" s="365"/>
      <c r="F104" s="366"/>
    </row>
    <row r="105" spans="2:6">
      <c r="B105" s="358"/>
      <c r="C105" s="367"/>
      <c r="D105" s="367"/>
      <c r="E105" s="359"/>
      <c r="F105" s="360"/>
    </row>
    <row r="106" spans="2:6">
      <c r="B106" s="361"/>
      <c r="C106" s="349" t="s">
        <v>63</v>
      </c>
      <c r="D106" s="350">
        <f>SUMIF($I$4:$I$64,C106,$K$4:$K$64)</f>
        <v>0</v>
      </c>
      <c r="E106" s="369" t="b">
        <f>D106='Summary &amp; Working File(AllCcy)'!I21</f>
        <v>1</v>
      </c>
      <c r="F106" s="362"/>
    </row>
    <row r="107" spans="2:6">
      <c r="B107" s="361"/>
      <c r="C107" s="353"/>
      <c r="D107" s="353"/>
      <c r="E107" s="354"/>
      <c r="F107" s="362"/>
    </row>
    <row r="108" spans="2:6">
      <c r="B108" s="361"/>
      <c r="C108" s="353"/>
      <c r="D108" s="383">
        <f>D103*20%</f>
        <v>0</v>
      </c>
      <c r="E108" s="384" t="s">
        <v>710</v>
      </c>
      <c r="F108" s="385"/>
    </row>
    <row r="109" spans="2:6">
      <c r="B109" s="361"/>
      <c r="C109" s="353"/>
      <c r="D109" s="353"/>
      <c r="E109" s="354"/>
      <c r="F109" s="362"/>
    </row>
    <row r="110" spans="2:6">
      <c r="B110" s="361"/>
      <c r="C110" s="349" t="s">
        <v>815</v>
      </c>
      <c r="D110" s="350">
        <f>D106+D108</f>
        <v>0</v>
      </c>
      <c r="E110" s="356"/>
      <c r="F110" s="362"/>
    </row>
    <row r="111" spans="2:6">
      <c r="B111" s="361"/>
      <c r="C111" s="353"/>
      <c r="D111" s="353"/>
      <c r="E111" s="354"/>
      <c r="F111" s="362"/>
    </row>
    <row r="112" spans="2:6">
      <c r="B112" s="361"/>
      <c r="C112" s="349" t="s">
        <v>816</v>
      </c>
      <c r="D112" s="351">
        <f>MIN(D110,D103*75%)</f>
        <v>0</v>
      </c>
      <c r="E112" s="357" t="s">
        <v>819</v>
      </c>
      <c r="F112" s="362"/>
    </row>
    <row r="113" spans="2:10" ht="17.25" thickBot="1">
      <c r="B113" s="363"/>
      <c r="C113" s="365"/>
      <c r="D113" s="365"/>
      <c r="E113" s="365"/>
      <c r="F113" s="366"/>
    </row>
    <row r="114" spans="2:10">
      <c r="B114" s="358"/>
      <c r="C114" s="359"/>
      <c r="D114" s="359"/>
      <c r="E114" s="359"/>
      <c r="F114" s="360"/>
    </row>
    <row r="115" spans="2:10">
      <c r="B115" s="361"/>
      <c r="C115" s="372"/>
      <c r="D115" s="352">
        <f>D103-D112</f>
        <v>0</v>
      </c>
      <c r="E115" s="356" t="s">
        <v>818</v>
      </c>
      <c r="F115" s="362"/>
    </row>
    <row r="116" spans="2:10">
      <c r="B116" s="361"/>
      <c r="C116" s="354"/>
      <c r="D116" s="354"/>
      <c r="E116" s="354"/>
      <c r="F116" s="362"/>
    </row>
    <row r="117" spans="2:10">
      <c r="B117" s="361"/>
      <c r="C117" s="354"/>
      <c r="D117" s="352">
        <f>SUM(J83:J90)*1000000</f>
        <v>0</v>
      </c>
      <c r="E117" s="356" t="s">
        <v>820</v>
      </c>
      <c r="F117" s="362"/>
      <c r="I117" s="696"/>
      <c r="J117" s="696"/>
    </row>
    <row r="118" spans="2:10" ht="17.25" thickBot="1">
      <c r="B118" s="361"/>
      <c r="C118" s="354"/>
      <c r="D118" s="354"/>
      <c r="E118" s="354"/>
      <c r="F118" s="362"/>
      <c r="J118" s="698"/>
    </row>
    <row r="119" spans="2:10" ht="18" thickTop="1" thickBot="1">
      <c r="B119" s="361"/>
      <c r="C119" s="354"/>
      <c r="D119" s="368" t="e">
        <f>D117/D115</f>
        <v>#DIV/0!</v>
      </c>
      <c r="E119" s="370" t="s">
        <v>821</v>
      </c>
      <c r="F119" s="362"/>
      <c r="I119" s="696"/>
    </row>
    <row r="120" spans="2:10" ht="18" thickTop="1" thickBot="1">
      <c r="B120" s="363"/>
      <c r="C120" s="365"/>
      <c r="D120" s="582" t="e">
        <f>ROUND(D119,4)=ROUND('Summary &amp; Working File(AllCcy)'!H5,4)</f>
        <v>#DIV/0!</v>
      </c>
      <c r="E120" s="365"/>
      <c r="F120" s="366"/>
      <c r="I120" s="696"/>
      <c r="J120" s="698"/>
    </row>
  </sheetData>
  <mergeCells count="20">
    <mergeCell ref="C73:C80"/>
    <mergeCell ref="D73:D80"/>
    <mergeCell ref="D56:D59"/>
    <mergeCell ref="D62:D63"/>
    <mergeCell ref="D52:D53"/>
    <mergeCell ref="D54:D55"/>
    <mergeCell ref="C25:C50"/>
    <mergeCell ref="C52:C64"/>
    <mergeCell ref="D25:D34"/>
    <mergeCell ref="D35:D36"/>
    <mergeCell ref="D37:D38"/>
    <mergeCell ref="D41:D43"/>
    <mergeCell ref="D44:D50"/>
    <mergeCell ref="C22:C24"/>
    <mergeCell ref="D23:D24"/>
    <mergeCell ref="C4:C21"/>
    <mergeCell ref="D4:D5"/>
    <mergeCell ref="D7:D13"/>
    <mergeCell ref="D15:D16"/>
    <mergeCell ref="D17:D21"/>
  </mergeCells>
  <phoneticPr fontId="3" type="noConversion"/>
  <conditionalFormatting sqref="J91">
    <cfRule type="containsText" dxfId="31" priority="1" operator="containsText" text="false">
      <formula>NOT(ISERROR(SEARCH("false",J91)))</formula>
    </cfRule>
    <cfRule type="containsText" dxfId="30" priority="2" operator="containsText" text="true">
      <formula>NOT(ISERROR(SEARCH("true",J91)))</formula>
    </cfRule>
  </conditionalFormatting>
  <pageMargins left="0.7" right="0.7" top="0.75" bottom="0.75" header="0.3" footer="0.3"/>
  <pageSetup paperSize="9" scale="13"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32"/>
  <sheetViews>
    <sheetView showGridLines="0" view="pageBreakPreview" zoomScaleNormal="85" zoomScaleSheetLayoutView="100" workbookViewId="0">
      <selection activeCell="B10" sqref="B10:D10"/>
    </sheetView>
  </sheetViews>
  <sheetFormatPr defaultColWidth="9.125" defaultRowHeight="13.5"/>
  <cols>
    <col min="1" max="1" width="87.25" style="407" customWidth="1"/>
    <col min="2" max="2" width="14" style="398" customWidth="1"/>
    <col min="3" max="3" width="13.625" style="399" customWidth="1"/>
    <col min="4" max="4" width="17.375" style="399" customWidth="1"/>
    <col min="5" max="5" width="17.625" style="396" bestFit="1" customWidth="1"/>
    <col min="6" max="6" width="20" style="396" bestFit="1" customWidth="1"/>
    <col min="7" max="16384" width="9.125" style="396"/>
  </cols>
  <sheetData>
    <row r="1" spans="1:4" ht="27.75" thickTop="1" thickBot="1">
      <c r="A1" s="563" t="s">
        <v>1218</v>
      </c>
      <c r="B1" s="564" t="s">
        <v>11</v>
      </c>
      <c r="C1" s="562"/>
      <c r="D1" s="562"/>
    </row>
    <row r="2" spans="1:4" ht="14.25" thickTop="1"/>
    <row r="3" spans="1:4" ht="17.25" thickBot="1">
      <c r="A3" s="397"/>
    </row>
    <row r="4" spans="1:4" ht="30.95" customHeight="1" thickBot="1">
      <c r="A4" s="400" t="s">
        <v>881</v>
      </c>
      <c r="B4" s="1019" t="s">
        <v>1175</v>
      </c>
      <c r="C4" s="1020"/>
      <c r="D4" s="1021"/>
    </row>
    <row r="5" spans="1:4" ht="15" thickBot="1">
      <c r="A5" s="401"/>
      <c r="B5" s="402"/>
      <c r="C5" s="403"/>
      <c r="D5" s="403"/>
    </row>
    <row r="6" spans="1:4" ht="21" customHeight="1" thickBot="1">
      <c r="A6" s="400" t="s">
        <v>882</v>
      </c>
      <c r="B6" s="1019" t="s">
        <v>1176</v>
      </c>
      <c r="C6" s="1020"/>
      <c r="D6" s="1021"/>
    </row>
    <row r="7" spans="1:4" ht="16.5" customHeight="1" thickBot="1">
      <c r="A7" s="401"/>
      <c r="B7" s="402"/>
      <c r="C7" s="403"/>
      <c r="D7" s="403"/>
    </row>
    <row r="8" spans="1:4" ht="21" customHeight="1" thickBot="1">
      <c r="A8" s="400" t="s">
        <v>883</v>
      </c>
      <c r="B8" s="1024">
        <f>BS_RE33!N4</f>
        <v>46058</v>
      </c>
      <c r="C8" s="1025"/>
      <c r="D8" s="1026"/>
    </row>
    <row r="9" spans="1:4" ht="14.25" thickBot="1">
      <c r="A9" s="404"/>
    </row>
    <row r="10" spans="1:4" ht="21" customHeight="1" thickBot="1">
      <c r="A10" s="400" t="s">
        <v>884</v>
      </c>
      <c r="B10" s="1019" t="s">
        <v>885</v>
      </c>
      <c r="C10" s="1020"/>
      <c r="D10" s="1021"/>
    </row>
    <row r="11" spans="1:4" ht="15" thickBot="1">
      <c r="A11" s="405"/>
      <c r="B11" s="406"/>
    </row>
    <row r="12" spans="1:4" ht="21" customHeight="1" thickBot="1">
      <c r="A12" s="400" t="s">
        <v>886</v>
      </c>
      <c r="B12" s="1019" t="s">
        <v>887</v>
      </c>
      <c r="C12" s="1020"/>
      <c r="D12" s="1021"/>
    </row>
    <row r="13" spans="1:4" ht="14.25">
      <c r="B13" s="406"/>
      <c r="C13" s="401"/>
    </row>
    <row r="14" spans="1:4" ht="16.5">
      <c r="A14" s="397"/>
    </row>
    <row r="15" spans="1:4" ht="16.5" thickBot="1">
      <c r="A15" s="481" t="s">
        <v>888</v>
      </c>
      <c r="B15" s="408"/>
      <c r="C15" s="409"/>
      <c r="D15" s="409"/>
    </row>
    <row r="16" spans="1:4" ht="25.5">
      <c r="A16" s="410"/>
      <c r="B16" s="411" t="s">
        <v>889</v>
      </c>
      <c r="C16" s="412" t="s">
        <v>890</v>
      </c>
      <c r="D16" s="412" t="s">
        <v>891</v>
      </c>
    </row>
    <row r="17" spans="1:4" ht="15.75" thickBot="1">
      <c r="A17" s="410"/>
      <c r="B17" s="413">
        <v>-1</v>
      </c>
      <c r="C17" s="414">
        <v>-2</v>
      </c>
      <c r="D17" s="414">
        <v>-3</v>
      </c>
    </row>
    <row r="18" spans="1:4" ht="15" thickBot="1">
      <c r="A18" s="415" t="s">
        <v>892</v>
      </c>
      <c r="B18" s="416">
        <f>SUM(B19:B34)</f>
        <v>0</v>
      </c>
      <c r="C18" s="417"/>
      <c r="D18" s="432">
        <f>SUM(D19:D34)</f>
        <v>0</v>
      </c>
    </row>
    <row r="19" spans="1:4" ht="15" thickBot="1">
      <c r="A19" s="419" t="s">
        <v>893</v>
      </c>
      <c r="B19" s="426"/>
      <c r="C19" s="420">
        <v>1</v>
      </c>
      <c r="D19" s="421">
        <f>B19*C19</f>
        <v>0</v>
      </c>
    </row>
    <row r="20" spans="1:4" ht="15" thickBot="1">
      <c r="A20" s="419" t="s">
        <v>894</v>
      </c>
      <c r="B20" s="422"/>
      <c r="C20" s="423"/>
      <c r="D20" s="424"/>
    </row>
    <row r="21" spans="1:4" ht="15" thickBot="1">
      <c r="A21" s="425" t="s">
        <v>895</v>
      </c>
      <c r="B21" s="426"/>
      <c r="C21" s="420">
        <v>1</v>
      </c>
      <c r="D21" s="421">
        <f>B21*C21</f>
        <v>0</v>
      </c>
    </row>
    <row r="22" spans="1:4" ht="15" thickBot="1">
      <c r="A22" s="425" t="s">
        <v>896</v>
      </c>
      <c r="B22" s="426"/>
      <c r="C22" s="420">
        <v>1</v>
      </c>
      <c r="D22" s="421">
        <f>B22*C22</f>
        <v>0</v>
      </c>
    </row>
    <row r="23" spans="1:4" ht="15" thickBot="1">
      <c r="A23" s="419" t="s">
        <v>897</v>
      </c>
      <c r="B23" s="427"/>
      <c r="C23" s="428"/>
      <c r="D23" s="429"/>
    </row>
    <row r="24" spans="1:4" ht="15" thickBot="1">
      <c r="A24" s="425" t="s">
        <v>898</v>
      </c>
      <c r="B24" s="516">
        <f>IFERROR(VLOOKUP(A24,'30 days CF Table(Ccy)'!$E$73:$J$80,6,0),0)</f>
        <v>0</v>
      </c>
      <c r="C24" s="430">
        <v>1</v>
      </c>
      <c r="D24" s="486">
        <f t="shared" ref="D24:D31" si="0">B24*C24</f>
        <v>0</v>
      </c>
    </row>
    <row r="25" spans="1:4" ht="15" thickBot="1">
      <c r="A25" s="425" t="s">
        <v>1179</v>
      </c>
      <c r="B25" s="566">
        <f>IFERROR(VLOOKUP(A25,'30 days CF Table(Ccy)'!$E$73:$J$80,6,0),0)</f>
        <v>0</v>
      </c>
      <c r="C25" s="420">
        <v>1</v>
      </c>
      <c r="D25" s="421">
        <f t="shared" si="0"/>
        <v>0</v>
      </c>
    </row>
    <row r="26" spans="1:4" ht="15" thickBot="1">
      <c r="A26" s="425" t="s">
        <v>899</v>
      </c>
      <c r="B26" s="516">
        <f>IFERROR(VLOOKUP(A26,'30 days CF Table(Ccy)'!$E$73:$J$80,6,0),0)</f>
        <v>0</v>
      </c>
      <c r="C26" s="420">
        <v>1</v>
      </c>
      <c r="D26" s="421">
        <f t="shared" si="0"/>
        <v>0</v>
      </c>
    </row>
    <row r="27" spans="1:4" ht="15" thickBot="1">
      <c r="A27" s="425" t="s">
        <v>900</v>
      </c>
      <c r="B27" s="516">
        <f>IFERROR(VLOOKUP(A27,'30 days CF Table(Ccy)'!$E$73:$J$80,6,0),0)</f>
        <v>0</v>
      </c>
      <c r="C27" s="420">
        <v>1</v>
      </c>
      <c r="D27" s="421">
        <f t="shared" si="0"/>
        <v>0</v>
      </c>
    </row>
    <row r="28" spans="1:4" ht="15" thickBot="1">
      <c r="A28" s="425" t="s">
        <v>901</v>
      </c>
      <c r="B28" s="516">
        <f>IFERROR(VLOOKUP(A28,'30 days CF Table(Ccy)'!$E$73:$J$80,6,0),0)</f>
        <v>0</v>
      </c>
      <c r="C28" s="420">
        <v>1</v>
      </c>
      <c r="D28" s="421">
        <f t="shared" si="0"/>
        <v>0</v>
      </c>
    </row>
    <row r="29" spans="1:4" ht="15" thickBot="1">
      <c r="A29" s="425" t="s">
        <v>902</v>
      </c>
      <c r="B29" s="516">
        <f>IFERROR(VLOOKUP(A29,'30 days CF Table(Ccy)'!$E$73:$J$80,6,0),0)</f>
        <v>0</v>
      </c>
      <c r="C29" s="420">
        <v>1</v>
      </c>
      <c r="D29" s="421">
        <f t="shared" si="0"/>
        <v>0</v>
      </c>
    </row>
    <row r="30" spans="1:4" ht="15" thickBot="1">
      <c r="A30" s="425" t="s">
        <v>903</v>
      </c>
      <c r="B30" s="516">
        <f>IFERROR(VLOOKUP(A30,'30 days CF Table(Ccy)'!$E$73:$J$80,6,0),0)</f>
        <v>0</v>
      </c>
      <c r="C30" s="420">
        <v>1</v>
      </c>
      <c r="D30" s="421">
        <f t="shared" si="0"/>
        <v>0</v>
      </c>
    </row>
    <row r="31" spans="1:4" ht="15" thickBot="1">
      <c r="A31" s="425" t="s">
        <v>904</v>
      </c>
      <c r="B31" s="516">
        <f>IFERROR(VLOOKUP(A31,'30 days CF Table(Ccy)'!$E$73:$J$80,6,0),0)</f>
        <v>0</v>
      </c>
      <c r="C31" s="420">
        <v>1</v>
      </c>
      <c r="D31" s="421">
        <f t="shared" si="0"/>
        <v>0</v>
      </c>
    </row>
    <row r="32" spans="1:4" ht="15" thickBot="1">
      <c r="A32" s="419" t="s">
        <v>905</v>
      </c>
      <c r="B32" s="422"/>
      <c r="C32" s="423"/>
      <c r="D32" s="424"/>
    </row>
    <row r="33" spans="1:4" ht="15" thickBot="1">
      <c r="A33" s="425" t="s">
        <v>906</v>
      </c>
      <c r="B33" s="426"/>
      <c r="C33" s="420">
        <v>1</v>
      </c>
      <c r="D33" s="421">
        <f>B33*C33</f>
        <v>0</v>
      </c>
    </row>
    <row r="34" spans="1:4" ht="43.5" thickBot="1">
      <c r="A34" s="425" t="s">
        <v>907</v>
      </c>
      <c r="B34" s="426"/>
      <c r="C34" s="420">
        <v>1</v>
      </c>
      <c r="D34" s="421">
        <f>B34*C34</f>
        <v>0</v>
      </c>
    </row>
    <row r="35" spans="1:4" ht="15" thickBot="1">
      <c r="A35" s="419" t="s">
        <v>908</v>
      </c>
      <c r="B35" s="431">
        <f>MAX(B18+B36+B37,0)</f>
        <v>0</v>
      </c>
      <c r="C35" s="420">
        <v>1</v>
      </c>
      <c r="D35" s="421">
        <f>B35*C35</f>
        <v>0</v>
      </c>
    </row>
    <row r="36" spans="1:4" ht="15" thickBot="1">
      <c r="A36" s="425" t="s">
        <v>909</v>
      </c>
      <c r="B36" s="416"/>
      <c r="C36" s="428"/>
      <c r="D36" s="429"/>
    </row>
    <row r="37" spans="1:4" ht="15" thickBot="1">
      <c r="A37" s="425" t="s">
        <v>910</v>
      </c>
      <c r="B37" s="426"/>
      <c r="C37" s="428"/>
      <c r="D37" s="429"/>
    </row>
    <row r="38" spans="1:4" ht="15" thickBot="1">
      <c r="A38" s="415"/>
      <c r="B38" s="422"/>
      <c r="C38" s="428"/>
      <c r="D38" s="424"/>
    </row>
    <row r="39" spans="1:4" ht="15" thickBot="1">
      <c r="A39" s="415" t="s">
        <v>911</v>
      </c>
      <c r="B39" s="416"/>
      <c r="C39" s="417"/>
      <c r="D39" s="421"/>
    </row>
    <row r="40" spans="1:4" ht="15" thickBot="1">
      <c r="A40" s="419" t="s">
        <v>912</v>
      </c>
      <c r="B40" s="426"/>
      <c r="C40" s="420">
        <v>0.85</v>
      </c>
      <c r="D40" s="421">
        <f>B40*C40</f>
        <v>0</v>
      </c>
    </row>
    <row r="41" spans="1:4" ht="15" thickBot="1">
      <c r="A41" s="419" t="s">
        <v>913</v>
      </c>
      <c r="B41" s="426"/>
      <c r="C41" s="420">
        <v>0.85</v>
      </c>
      <c r="D41" s="421">
        <f>B41*C41</f>
        <v>0</v>
      </c>
    </row>
    <row r="42" spans="1:4" ht="15" thickBot="1">
      <c r="A42" s="419" t="s">
        <v>914</v>
      </c>
      <c r="B42" s="426"/>
      <c r="C42" s="420">
        <v>0.85</v>
      </c>
      <c r="D42" s="421">
        <f>B42*C42</f>
        <v>0</v>
      </c>
    </row>
    <row r="43" spans="1:4" ht="15" thickBot="1">
      <c r="A43" s="419" t="s">
        <v>915</v>
      </c>
      <c r="B43" s="426"/>
      <c r="C43" s="420">
        <v>0.85</v>
      </c>
      <c r="D43" s="421">
        <f>B43*C43</f>
        <v>0</v>
      </c>
    </row>
    <row r="44" spans="1:4" ht="15" thickBot="1">
      <c r="A44" s="419" t="s">
        <v>916</v>
      </c>
      <c r="B44" s="416"/>
      <c r="C44" s="420">
        <v>0.85</v>
      </c>
      <c r="D44" s="421">
        <f>B44*C44</f>
        <v>0</v>
      </c>
    </row>
    <row r="45" spans="1:4" ht="15" thickBot="1">
      <c r="A45" s="425" t="s">
        <v>917</v>
      </c>
      <c r="B45" s="416"/>
      <c r="C45" s="428"/>
      <c r="D45" s="429"/>
    </row>
    <row r="46" spans="1:4" ht="15" thickBot="1">
      <c r="A46" s="425" t="s">
        <v>918</v>
      </c>
      <c r="B46" s="426"/>
      <c r="C46" s="428"/>
      <c r="D46" s="429"/>
    </row>
    <row r="47" spans="1:4" ht="15" thickBot="1">
      <c r="A47" s="415"/>
      <c r="B47" s="422"/>
      <c r="C47" s="428"/>
      <c r="D47" s="424"/>
    </row>
    <row r="48" spans="1:4" ht="15" thickBot="1">
      <c r="A48" s="415" t="s">
        <v>919</v>
      </c>
      <c r="B48" s="432"/>
      <c r="C48" s="417"/>
      <c r="D48" s="421"/>
    </row>
    <row r="49" spans="1:4" ht="15" thickBot="1">
      <c r="A49" s="415" t="s">
        <v>920</v>
      </c>
      <c r="B49" s="426"/>
      <c r="C49" s="420">
        <v>0.75</v>
      </c>
      <c r="D49" s="421">
        <f>B49*C49</f>
        <v>0</v>
      </c>
    </row>
    <row r="50" spans="1:4" ht="15" thickBot="1">
      <c r="A50" s="415" t="s">
        <v>921</v>
      </c>
      <c r="B50" s="426"/>
      <c r="C50" s="420">
        <v>0.5</v>
      </c>
      <c r="D50" s="421">
        <f>B50*C50</f>
        <v>0</v>
      </c>
    </row>
    <row r="51" spans="1:4" ht="15" thickBot="1">
      <c r="A51" s="415" t="s">
        <v>922</v>
      </c>
      <c r="B51" s="426"/>
      <c r="C51" s="420">
        <v>0.5</v>
      </c>
      <c r="D51" s="421">
        <f>B51*C51</f>
        <v>0</v>
      </c>
    </row>
    <row r="52" spans="1:4" ht="15" thickBot="1">
      <c r="A52" s="415" t="s">
        <v>923</v>
      </c>
      <c r="B52" s="416"/>
      <c r="C52" s="420">
        <v>0.75</v>
      </c>
      <c r="D52" s="421">
        <f>B52*C52</f>
        <v>0</v>
      </c>
    </row>
    <row r="53" spans="1:4" ht="15" thickBot="1">
      <c r="A53" s="415" t="s">
        <v>924</v>
      </c>
      <c r="B53" s="416"/>
      <c r="C53" s="428"/>
      <c r="D53" s="429"/>
    </row>
    <row r="54" spans="1:4" ht="15" thickBot="1">
      <c r="A54" s="415" t="s">
        <v>925</v>
      </c>
      <c r="B54" s="426"/>
      <c r="C54" s="423"/>
      <c r="D54" s="424"/>
    </row>
    <row r="55" spans="1:4" ht="15" thickBot="1">
      <c r="A55" s="415" t="s">
        <v>926</v>
      </c>
      <c r="B55" s="416"/>
      <c r="C55" s="420">
        <v>0.5</v>
      </c>
      <c r="D55" s="421">
        <f>B55*C55</f>
        <v>0</v>
      </c>
    </row>
    <row r="56" spans="1:4" ht="15" thickBot="1">
      <c r="A56" s="415" t="s">
        <v>927</v>
      </c>
      <c r="B56" s="416"/>
      <c r="C56" s="428"/>
      <c r="D56" s="429"/>
    </row>
    <row r="57" spans="1:4" ht="15" thickBot="1">
      <c r="A57" s="415" t="s">
        <v>928</v>
      </c>
      <c r="B57" s="426"/>
      <c r="C57" s="428"/>
      <c r="D57" s="424"/>
    </row>
    <row r="58" spans="1:4" ht="15" thickBot="1">
      <c r="A58" s="415" t="s">
        <v>929</v>
      </c>
      <c r="B58" s="416"/>
      <c r="C58" s="433"/>
      <c r="D58" s="421"/>
    </row>
    <row r="59" spans="1:4" ht="15" thickBot="1">
      <c r="A59" s="415"/>
      <c r="B59" s="427"/>
      <c r="C59" s="428"/>
      <c r="D59" s="424"/>
    </row>
    <row r="60" spans="1:4" ht="15" thickBot="1">
      <c r="A60" s="415" t="s">
        <v>930</v>
      </c>
      <c r="B60" s="427"/>
      <c r="C60" s="433"/>
      <c r="D60" s="421">
        <f>D18+D39+D48</f>
        <v>0</v>
      </c>
    </row>
    <row r="61" spans="1:4" ht="15" thickBot="1">
      <c r="A61" s="419" t="s">
        <v>931</v>
      </c>
      <c r="B61" s="427"/>
      <c r="C61" s="433"/>
      <c r="D61" s="421"/>
    </row>
    <row r="62" spans="1:4" ht="15" thickBot="1">
      <c r="A62" s="419" t="s">
        <v>932</v>
      </c>
      <c r="B62" s="427"/>
      <c r="C62" s="433"/>
      <c r="D62" s="421"/>
    </row>
    <row r="63" spans="1:4" ht="15" thickBot="1">
      <c r="A63" s="419" t="s">
        <v>933</v>
      </c>
      <c r="B63" s="427"/>
      <c r="C63" s="433"/>
      <c r="D63" s="434"/>
    </row>
    <row r="64" spans="1:4" ht="15" thickBot="1">
      <c r="A64" s="419"/>
      <c r="B64" s="427"/>
      <c r="C64" s="428"/>
      <c r="D64" s="424"/>
    </row>
    <row r="65" spans="1:4" ht="15" thickBot="1">
      <c r="A65" s="435" t="s">
        <v>934</v>
      </c>
      <c r="B65" s="427"/>
      <c r="C65" s="433"/>
      <c r="D65" s="434"/>
    </row>
    <row r="66" spans="1:4" ht="15" thickBot="1">
      <c r="A66" s="415"/>
      <c r="B66" s="427"/>
      <c r="C66" s="428"/>
      <c r="D66" s="424"/>
    </row>
    <row r="67" spans="1:4" ht="15" thickBot="1">
      <c r="A67" s="415" t="s">
        <v>935</v>
      </c>
      <c r="B67" s="422"/>
      <c r="C67" s="433"/>
      <c r="D67" s="421"/>
    </row>
    <row r="68" spans="1:4" ht="15" thickBot="1">
      <c r="A68" s="419" t="s">
        <v>936</v>
      </c>
      <c r="B68" s="416"/>
      <c r="C68" s="428"/>
      <c r="D68" s="429"/>
    </row>
    <row r="69" spans="1:4" ht="15" thickBot="1">
      <c r="A69" s="425" t="s">
        <v>937</v>
      </c>
      <c r="B69" s="426"/>
      <c r="C69" s="428"/>
      <c r="D69" s="429"/>
    </row>
    <row r="70" spans="1:4" ht="15" thickBot="1">
      <c r="A70" s="425" t="s">
        <v>938</v>
      </c>
      <c r="B70" s="426"/>
      <c r="C70" s="428"/>
      <c r="D70" s="429"/>
    </row>
    <row r="71" spans="1:4" ht="15" thickBot="1">
      <c r="A71" s="425" t="s">
        <v>939</v>
      </c>
      <c r="B71" s="426"/>
      <c r="C71" s="428"/>
      <c r="D71" s="429"/>
    </row>
    <row r="72" spans="1:4" ht="15" thickBot="1">
      <c r="A72" s="425" t="s">
        <v>940</v>
      </c>
      <c r="B72" s="426"/>
      <c r="C72" s="428"/>
      <c r="D72" s="429"/>
    </row>
    <row r="73" spans="1:4" ht="15" thickBot="1">
      <c r="A73" s="425" t="s">
        <v>941</v>
      </c>
      <c r="B73" s="426"/>
      <c r="C73" s="428"/>
      <c r="D73" s="429"/>
    </row>
    <row r="74" spans="1:4" ht="15" thickBot="1">
      <c r="A74" s="425" t="s">
        <v>942</v>
      </c>
      <c r="B74" s="426"/>
      <c r="C74" s="428"/>
      <c r="D74" s="429"/>
    </row>
    <row r="75" spans="1:4" ht="15" thickBot="1">
      <c r="A75" s="419" t="s">
        <v>943</v>
      </c>
      <c r="B75" s="416"/>
      <c r="C75" s="428"/>
      <c r="D75" s="429"/>
    </row>
    <row r="76" spans="1:4" ht="15" thickBot="1">
      <c r="A76" s="425" t="s">
        <v>944</v>
      </c>
      <c r="B76" s="426"/>
      <c r="C76" s="428"/>
      <c r="D76" s="429"/>
    </row>
    <row r="77" spans="1:4" ht="15" thickBot="1">
      <c r="A77" s="425" t="s">
        <v>945</v>
      </c>
      <c r="B77" s="416"/>
      <c r="C77" s="428"/>
      <c r="D77" s="429"/>
    </row>
    <row r="78" spans="1:4" ht="15" thickBot="1">
      <c r="A78" s="436" t="s">
        <v>946</v>
      </c>
      <c r="B78" s="437"/>
      <c r="C78" s="428"/>
      <c r="D78" s="424"/>
    </row>
    <row r="79" spans="1:4" ht="29.25" thickBot="1">
      <c r="A79" s="419" t="s">
        <v>947</v>
      </c>
      <c r="B79" s="422"/>
      <c r="C79" s="433"/>
      <c r="D79" s="421"/>
    </row>
    <row r="80" spans="1:4" ht="29.25" thickBot="1">
      <c r="A80" s="419" t="s">
        <v>948</v>
      </c>
      <c r="B80" s="426"/>
      <c r="C80" s="428"/>
      <c r="D80" s="424"/>
    </row>
    <row r="81" spans="1:5" ht="15" thickBot="1">
      <c r="A81" s="419" t="s">
        <v>949</v>
      </c>
      <c r="B81" s="427"/>
      <c r="C81" s="433"/>
      <c r="D81" s="434"/>
    </row>
    <row r="82" spans="1:5" ht="15" thickBot="1">
      <c r="A82" s="415"/>
      <c r="B82" s="427"/>
      <c r="C82" s="428"/>
      <c r="D82" s="424"/>
    </row>
    <row r="83" spans="1:5" ht="17.25" thickBot="1">
      <c r="A83" s="415" t="s">
        <v>950</v>
      </c>
      <c r="B83" s="427"/>
      <c r="C83" s="530" t="b">
        <f>ROUND(D83,1)=ROUND(SUM('30 days CF Table(Ccy)'!J73:J80),1)</f>
        <v>1</v>
      </c>
      <c r="D83" s="421">
        <f>D60+D65+D6</f>
        <v>0</v>
      </c>
    </row>
    <row r="84" spans="1:5" ht="14.25">
      <c r="A84" s="415"/>
      <c r="B84" s="439"/>
      <c r="C84" s="440"/>
      <c r="D84" s="441"/>
    </row>
    <row r="85" spans="1:5" ht="15.75" thickBot="1">
      <c r="A85" s="482" t="s">
        <v>959</v>
      </c>
      <c r="B85" s="439"/>
      <c r="C85" s="440"/>
      <c r="D85" s="441"/>
    </row>
    <row r="86" spans="1:5" ht="30">
      <c r="A86" s="440"/>
      <c r="B86" s="442" t="s">
        <v>960</v>
      </c>
      <c r="C86" s="443" t="s">
        <v>890</v>
      </c>
      <c r="D86" s="444" t="s">
        <v>961</v>
      </c>
    </row>
    <row r="87" spans="1:5" ht="15.75" thickBot="1">
      <c r="A87" s="440"/>
      <c r="B87" s="445">
        <v>-1</v>
      </c>
      <c r="C87" s="446">
        <v>-2</v>
      </c>
      <c r="D87" s="446">
        <v>-3</v>
      </c>
    </row>
    <row r="88" spans="1:5" ht="15" thickBot="1">
      <c r="A88" s="415" t="s">
        <v>962</v>
      </c>
      <c r="B88" s="416">
        <f>SUM(B89:B94)</f>
        <v>0</v>
      </c>
      <c r="C88" s="417"/>
      <c r="D88" s="416">
        <f>SUM(D89:D94)</f>
        <v>0</v>
      </c>
    </row>
    <row r="89" spans="1:5" ht="15" thickBot="1">
      <c r="A89" s="419" t="s">
        <v>963</v>
      </c>
      <c r="B89" s="426"/>
      <c r="C89" s="420">
        <v>0.05</v>
      </c>
      <c r="D89" s="421">
        <f t="shared" ref="D89:D94" si="1">B89*C89</f>
        <v>0</v>
      </c>
    </row>
    <row r="90" spans="1:5" ht="15" thickBot="1">
      <c r="A90" s="419" t="s">
        <v>964</v>
      </c>
      <c r="B90" s="426"/>
      <c r="C90" s="420">
        <v>0.03</v>
      </c>
      <c r="D90" s="421">
        <f t="shared" si="1"/>
        <v>0</v>
      </c>
    </row>
    <row r="91" spans="1:5" ht="15" thickBot="1">
      <c r="A91" s="419" t="s">
        <v>965</v>
      </c>
      <c r="B91" s="426"/>
      <c r="C91" s="420">
        <v>0.1</v>
      </c>
      <c r="D91" s="421">
        <f t="shared" si="1"/>
        <v>0</v>
      </c>
    </row>
    <row r="92" spans="1:5" ht="15" thickBot="1">
      <c r="A92" s="419" t="s">
        <v>966</v>
      </c>
      <c r="B92" s="426"/>
      <c r="C92" s="420">
        <v>0.1</v>
      </c>
      <c r="D92" s="421">
        <f t="shared" si="1"/>
        <v>0</v>
      </c>
    </row>
    <row r="93" spans="1:5" ht="15" thickBot="1">
      <c r="A93" s="419" t="s">
        <v>967</v>
      </c>
      <c r="B93" s="447">
        <f>'30 days CF Table(Ccy)'!J25+'30 days CF Table(Ccy)'!J30</f>
        <v>0</v>
      </c>
      <c r="C93" s="420">
        <v>0.25</v>
      </c>
      <c r="D93" s="421">
        <f t="shared" si="1"/>
        <v>0</v>
      </c>
    </row>
    <row r="94" spans="1:5" ht="15" thickBot="1">
      <c r="A94" s="419" t="s">
        <v>968</v>
      </c>
      <c r="B94" s="426"/>
      <c r="C94" s="420">
        <v>1</v>
      </c>
      <c r="D94" s="421">
        <f t="shared" si="1"/>
        <v>0</v>
      </c>
    </row>
    <row r="95" spans="1:5" ht="15" thickBot="1">
      <c r="A95" s="448"/>
      <c r="B95" s="422"/>
      <c r="C95" s="428"/>
      <c r="D95" s="424"/>
    </row>
    <row r="96" spans="1:5" ht="15" thickBot="1">
      <c r="A96" s="415" t="s">
        <v>969</v>
      </c>
      <c r="B96" s="416">
        <f>B97+B104+B112+B120+B126</f>
        <v>0</v>
      </c>
      <c r="C96" s="433"/>
      <c r="D96" s="416">
        <f>D97+D104+D112+D120+D126</f>
        <v>0</v>
      </c>
      <c r="E96" s="531"/>
    </row>
    <row r="97" spans="1:4" ht="15" thickBot="1">
      <c r="A97" s="438" t="s">
        <v>970</v>
      </c>
      <c r="B97" s="416">
        <f>SUM(B98:B103)</f>
        <v>0</v>
      </c>
      <c r="C97" s="417"/>
      <c r="D97" s="418">
        <f>SUM(D98:D103)</f>
        <v>0</v>
      </c>
    </row>
    <row r="98" spans="1:4" ht="15" thickBot="1">
      <c r="A98" s="425" t="s">
        <v>971</v>
      </c>
      <c r="B98" s="426"/>
      <c r="C98" s="420">
        <v>0.05</v>
      </c>
      <c r="D98" s="421">
        <f t="shared" ref="D98:D103" si="2">B98*C98</f>
        <v>0</v>
      </c>
    </row>
    <row r="99" spans="1:4" ht="15" thickBot="1">
      <c r="A99" s="425" t="s">
        <v>972</v>
      </c>
      <c r="B99" s="426"/>
      <c r="C99" s="420">
        <v>0.03</v>
      </c>
      <c r="D99" s="421">
        <f t="shared" si="2"/>
        <v>0</v>
      </c>
    </row>
    <row r="100" spans="1:4" ht="15" thickBot="1">
      <c r="A100" s="425" t="s">
        <v>973</v>
      </c>
      <c r="B100" s="426"/>
      <c r="C100" s="420">
        <v>0.1</v>
      </c>
      <c r="D100" s="421">
        <f t="shared" si="2"/>
        <v>0</v>
      </c>
    </row>
    <row r="101" spans="1:4" ht="29.25" thickBot="1">
      <c r="A101" s="425" t="s">
        <v>974</v>
      </c>
      <c r="B101" s="426"/>
      <c r="C101" s="420">
        <v>0.1</v>
      </c>
      <c r="D101" s="421">
        <f t="shared" si="2"/>
        <v>0</v>
      </c>
    </row>
    <row r="102" spans="1:4" ht="15" thickBot="1">
      <c r="A102" s="425" t="s">
        <v>975</v>
      </c>
      <c r="B102" s="449">
        <f>'30 days CF Table(Ccy)'!J26+'30 days CF Table(Ccy)'!J31</f>
        <v>0</v>
      </c>
      <c r="C102" s="420">
        <v>0.25</v>
      </c>
      <c r="D102" s="421">
        <f t="shared" si="2"/>
        <v>0</v>
      </c>
    </row>
    <row r="103" spans="1:4" ht="15" thickBot="1">
      <c r="A103" s="425" t="s">
        <v>976</v>
      </c>
      <c r="B103" s="426"/>
      <c r="C103" s="420">
        <v>1</v>
      </c>
      <c r="D103" s="421">
        <f t="shared" si="2"/>
        <v>0</v>
      </c>
    </row>
    <row r="104" spans="1:4" ht="15" thickBot="1">
      <c r="A104" s="438" t="s">
        <v>977</v>
      </c>
      <c r="B104" s="416">
        <f>SUM(B105:B111)</f>
        <v>0</v>
      </c>
      <c r="C104" s="433"/>
      <c r="D104" s="416">
        <f>SUM(D105:D111)</f>
        <v>0</v>
      </c>
    </row>
    <row r="105" spans="1:4" ht="15" thickBot="1">
      <c r="A105" s="425" t="s">
        <v>978</v>
      </c>
      <c r="B105" s="426"/>
      <c r="C105" s="423"/>
      <c r="D105" s="424"/>
    </row>
    <row r="106" spans="1:4" ht="15" thickBot="1">
      <c r="A106" s="425" t="s">
        <v>979</v>
      </c>
      <c r="B106" s="426"/>
      <c r="C106" s="420">
        <v>0.05</v>
      </c>
      <c r="D106" s="421">
        <f>B106*C106</f>
        <v>0</v>
      </c>
    </row>
    <row r="107" spans="1:4" ht="29.25" thickBot="1">
      <c r="A107" s="425" t="s">
        <v>980</v>
      </c>
      <c r="B107" s="426"/>
      <c r="C107" s="420">
        <v>0.03</v>
      </c>
      <c r="D107" s="421">
        <f>B107*C107</f>
        <v>0</v>
      </c>
    </row>
    <row r="108" spans="1:4" ht="15" thickBot="1">
      <c r="A108" s="425" t="s">
        <v>981</v>
      </c>
      <c r="B108" s="449">
        <f>'30 days CF Table(Ccy)'!J27</f>
        <v>0</v>
      </c>
      <c r="C108" s="420">
        <v>0.25</v>
      </c>
      <c r="D108" s="421">
        <f>B108*C108</f>
        <v>0</v>
      </c>
    </row>
    <row r="109" spans="1:4" ht="15" thickBot="1">
      <c r="A109" s="425" t="s">
        <v>982</v>
      </c>
      <c r="B109" s="426"/>
      <c r="C109" s="420">
        <v>0.2</v>
      </c>
      <c r="D109" s="421">
        <f t="shared" ref="D109:D131" si="3">B109*C109</f>
        <v>0</v>
      </c>
    </row>
    <row r="110" spans="1:4" ht="15" thickBot="1">
      <c r="A110" s="425" t="s">
        <v>983</v>
      </c>
      <c r="B110" s="449">
        <f>'30 days CF Table(Ccy)'!J32</f>
        <v>0</v>
      </c>
      <c r="C110" s="420">
        <v>0.4</v>
      </c>
      <c r="D110" s="421">
        <f t="shared" si="3"/>
        <v>0</v>
      </c>
    </row>
    <row r="111" spans="1:4" ht="15" thickBot="1">
      <c r="A111" s="425" t="s">
        <v>984</v>
      </c>
      <c r="B111" s="426"/>
      <c r="C111" s="420">
        <v>1</v>
      </c>
      <c r="D111" s="421">
        <f t="shared" si="3"/>
        <v>0</v>
      </c>
    </row>
    <row r="112" spans="1:4" ht="15" thickBot="1">
      <c r="A112" s="438" t="s">
        <v>985</v>
      </c>
      <c r="B112" s="416"/>
      <c r="C112" s="417"/>
      <c r="D112" s="421">
        <f t="shared" si="3"/>
        <v>0</v>
      </c>
    </row>
    <row r="113" spans="1:4" ht="15" thickBot="1">
      <c r="A113" s="425" t="s">
        <v>986</v>
      </c>
      <c r="B113" s="426"/>
      <c r="C113" s="420">
        <v>0.05</v>
      </c>
      <c r="D113" s="421">
        <f t="shared" si="3"/>
        <v>0</v>
      </c>
    </row>
    <row r="114" spans="1:4" ht="29.25" thickBot="1">
      <c r="A114" s="425" t="s">
        <v>987</v>
      </c>
      <c r="B114" s="426"/>
      <c r="C114" s="420">
        <v>0.03</v>
      </c>
      <c r="D114" s="421">
        <f t="shared" si="3"/>
        <v>0</v>
      </c>
    </row>
    <row r="115" spans="1:4" ht="15" thickBot="1">
      <c r="A115" s="425" t="s">
        <v>988</v>
      </c>
      <c r="B115" s="426"/>
      <c r="C115" s="420">
        <v>0.25</v>
      </c>
      <c r="D115" s="421">
        <f t="shared" si="3"/>
        <v>0</v>
      </c>
    </row>
    <row r="116" spans="1:4" ht="15" thickBot="1">
      <c r="A116" s="425" t="s">
        <v>989</v>
      </c>
      <c r="B116" s="426"/>
      <c r="C116" s="420">
        <v>0.2</v>
      </c>
      <c r="D116" s="421">
        <f t="shared" si="3"/>
        <v>0</v>
      </c>
    </row>
    <row r="117" spans="1:4" ht="15" thickBot="1">
      <c r="A117" s="425" t="s">
        <v>990</v>
      </c>
      <c r="B117" s="426"/>
      <c r="C117" s="420">
        <v>0.4</v>
      </c>
      <c r="D117" s="421">
        <f t="shared" si="3"/>
        <v>0</v>
      </c>
    </row>
    <row r="118" spans="1:4" ht="15" thickBot="1">
      <c r="A118" s="425" t="s">
        <v>991</v>
      </c>
      <c r="B118" s="426"/>
      <c r="C118" s="420">
        <v>1</v>
      </c>
      <c r="D118" s="421">
        <f t="shared" si="3"/>
        <v>0</v>
      </c>
    </row>
    <row r="119" spans="1:4" ht="15" thickBot="1">
      <c r="A119" s="425" t="s">
        <v>992</v>
      </c>
      <c r="B119" s="426"/>
      <c r="C119" s="420">
        <v>1</v>
      </c>
      <c r="D119" s="421">
        <f t="shared" si="3"/>
        <v>0</v>
      </c>
    </row>
    <row r="120" spans="1:4" ht="15.75" thickBot="1">
      <c r="A120" s="518" t="s">
        <v>993</v>
      </c>
      <c r="B120" s="416">
        <f>SUM(B122:B125)</f>
        <v>0</v>
      </c>
      <c r="C120" s="433"/>
      <c r="D120" s="416">
        <f>D121+SUM(D122:D125)</f>
        <v>0</v>
      </c>
    </row>
    <row r="121" spans="1:4" ht="15" thickBot="1">
      <c r="A121" s="425" t="s">
        <v>994</v>
      </c>
      <c r="B121" s="447">
        <f>'30 days CF Table(Ccy)'!J42</f>
        <v>0</v>
      </c>
      <c r="C121" s="420">
        <v>1</v>
      </c>
      <c r="D121" s="421">
        <f t="shared" ref="D121" si="4">B121*C121</f>
        <v>0</v>
      </c>
    </row>
    <row r="122" spans="1:4" ht="15" thickBot="1">
      <c r="A122" s="425" t="s">
        <v>995</v>
      </c>
      <c r="B122" s="426"/>
      <c r="C122" s="420">
        <v>0.05</v>
      </c>
      <c r="D122" s="421">
        <f t="shared" si="3"/>
        <v>0</v>
      </c>
    </row>
    <row r="123" spans="1:4" ht="29.25" thickBot="1">
      <c r="A123" s="425" t="s">
        <v>996</v>
      </c>
      <c r="B123" s="426"/>
      <c r="C123" s="420">
        <v>0.03</v>
      </c>
      <c r="D123" s="421">
        <f t="shared" si="3"/>
        <v>0</v>
      </c>
    </row>
    <row r="124" spans="1:4" ht="15" thickBot="1">
      <c r="A124" s="425" t="s">
        <v>997</v>
      </c>
      <c r="B124" s="449">
        <f>'30 days CF Table(Ccy)'!J29</f>
        <v>0</v>
      </c>
      <c r="C124" s="420">
        <v>0.25</v>
      </c>
      <c r="D124" s="421">
        <f t="shared" si="3"/>
        <v>0</v>
      </c>
    </row>
    <row r="125" spans="1:4" ht="15" thickBot="1">
      <c r="A125" s="425" t="s">
        <v>998</v>
      </c>
      <c r="B125" s="447">
        <f>'30 days CF Table(Ccy)'!J34+(SUM('30 days CF Table(Ccy)'!J37:J38)+'30 days CF Table(Ccy)'!J41+SUM('30 days CF Table(Ccy)'!J43:J45))</f>
        <v>0</v>
      </c>
      <c r="C125" s="420">
        <v>1</v>
      </c>
      <c r="D125" s="421">
        <f t="shared" si="3"/>
        <v>0</v>
      </c>
    </row>
    <row r="126" spans="1:4" ht="15" thickBot="1">
      <c r="A126" s="438" t="s">
        <v>999</v>
      </c>
      <c r="B126" s="416">
        <f>B127+SUM(B128:B131)</f>
        <v>0</v>
      </c>
      <c r="C126" s="433"/>
      <c r="D126" s="421"/>
    </row>
    <row r="127" spans="1:4" ht="15" thickBot="1">
      <c r="A127" s="425" t="s">
        <v>1000</v>
      </c>
      <c r="B127" s="426"/>
      <c r="C127" s="423"/>
      <c r="D127" s="424"/>
    </row>
    <row r="128" spans="1:4" ht="15" thickBot="1">
      <c r="A128" s="425" t="s">
        <v>1001</v>
      </c>
      <c r="B128" s="426"/>
      <c r="C128" s="420">
        <v>0.05</v>
      </c>
      <c r="D128" s="421">
        <f t="shared" si="3"/>
        <v>0</v>
      </c>
    </row>
    <row r="129" spans="1:4" ht="29.25" thickBot="1">
      <c r="A129" s="425" t="s">
        <v>1002</v>
      </c>
      <c r="B129" s="426"/>
      <c r="C129" s="420">
        <v>0.03</v>
      </c>
      <c r="D129" s="421">
        <f t="shared" si="3"/>
        <v>0</v>
      </c>
    </row>
    <row r="130" spans="1:4" ht="15" thickBot="1">
      <c r="A130" s="425" t="s">
        <v>1003</v>
      </c>
      <c r="B130" s="447">
        <f>'30 days CF Table(Ccy)'!J28</f>
        <v>0</v>
      </c>
      <c r="C130" s="420">
        <v>0.25</v>
      </c>
      <c r="D130" s="421">
        <f t="shared" si="3"/>
        <v>0</v>
      </c>
    </row>
    <row r="131" spans="1:4" ht="15" thickBot="1">
      <c r="A131" s="425" t="s">
        <v>1004</v>
      </c>
      <c r="B131" s="447">
        <f>'30 days CF Table(Ccy)'!J33</f>
        <v>0</v>
      </c>
      <c r="C131" s="420">
        <v>1</v>
      </c>
      <c r="D131" s="421">
        <f t="shared" si="3"/>
        <v>0</v>
      </c>
    </row>
    <row r="132" spans="1:4" ht="15" thickBot="1">
      <c r="A132" s="415"/>
      <c r="B132" s="422"/>
      <c r="C132" s="428"/>
      <c r="D132" s="424"/>
    </row>
    <row r="133" spans="1:4" ht="15" thickBot="1">
      <c r="A133" s="415" t="s">
        <v>1005</v>
      </c>
      <c r="B133" s="416">
        <f>B134+B135</f>
        <v>0</v>
      </c>
      <c r="C133" s="417"/>
      <c r="D133" s="418">
        <f>D134+D135</f>
        <v>0</v>
      </c>
    </row>
    <row r="134" spans="1:4" ht="15" thickBot="1">
      <c r="A134" s="438" t="s">
        <v>1006</v>
      </c>
      <c r="B134" s="447">
        <f>SUM('30 days CF Table(Ccy)'!J35:J36)+'30 days CF Table(Ccy)'!J39</f>
        <v>0</v>
      </c>
      <c r="C134" s="420">
        <v>1</v>
      </c>
      <c r="D134" s="421">
        <f>B134*C134</f>
        <v>0</v>
      </c>
    </row>
    <row r="135" spans="1:4" ht="15" thickBot="1">
      <c r="A135" s="438" t="s">
        <v>1007</v>
      </c>
      <c r="B135" s="426"/>
      <c r="C135" s="420">
        <v>1</v>
      </c>
      <c r="D135" s="421">
        <f>B135*C135</f>
        <v>0</v>
      </c>
    </row>
    <row r="136" spans="1:4" ht="15" thickBot="1">
      <c r="A136" s="415"/>
      <c r="B136" s="422"/>
      <c r="C136" s="428"/>
      <c r="D136" s="424"/>
    </row>
    <row r="137" spans="1:4" ht="15" thickBot="1">
      <c r="A137" s="415" t="s">
        <v>1008</v>
      </c>
      <c r="B137" s="416"/>
      <c r="C137" s="417"/>
      <c r="D137" s="421"/>
    </row>
    <row r="138" spans="1:4" ht="15" thickBot="1">
      <c r="A138" s="419" t="s">
        <v>1009</v>
      </c>
      <c r="B138" s="426"/>
      <c r="C138" s="420">
        <v>0</v>
      </c>
      <c r="D138" s="421"/>
    </row>
    <row r="139" spans="1:4" ht="43.5" thickBot="1">
      <c r="A139" s="425" t="s">
        <v>1010</v>
      </c>
      <c r="B139" s="426"/>
      <c r="C139" s="428"/>
      <c r="D139" s="429"/>
    </row>
    <row r="140" spans="1:4" ht="15" thickBot="1">
      <c r="A140" s="425" t="s">
        <v>1011</v>
      </c>
      <c r="B140" s="426"/>
      <c r="C140" s="423"/>
      <c r="D140" s="424"/>
    </row>
    <row r="141" spans="1:4" ht="15" thickBot="1">
      <c r="A141" s="419" t="s">
        <v>1197</v>
      </c>
      <c r="B141" s="426"/>
      <c r="C141" s="420">
        <v>0.15</v>
      </c>
      <c r="D141" s="421"/>
    </row>
    <row r="142" spans="1:4" ht="43.5" thickBot="1">
      <c r="A142" s="425" t="s">
        <v>1012</v>
      </c>
      <c r="B142" s="426"/>
      <c r="C142" s="428"/>
      <c r="D142" s="429"/>
    </row>
    <row r="143" spans="1:4" ht="15" thickBot="1">
      <c r="A143" s="425" t="s">
        <v>1013</v>
      </c>
      <c r="B143" s="426"/>
      <c r="C143" s="423"/>
      <c r="D143" s="424"/>
    </row>
    <row r="144" spans="1:4" ht="15" thickBot="1">
      <c r="A144" s="419" t="s">
        <v>1014</v>
      </c>
      <c r="B144" s="426"/>
      <c r="C144" s="420">
        <v>0.25</v>
      </c>
      <c r="D144" s="421"/>
    </row>
    <row r="145" spans="1:4" ht="43.5" thickBot="1">
      <c r="A145" s="425" t="s">
        <v>1015</v>
      </c>
      <c r="B145" s="426"/>
      <c r="C145" s="428"/>
      <c r="D145" s="429"/>
    </row>
    <row r="146" spans="1:4" ht="15" thickBot="1">
      <c r="A146" s="425" t="s">
        <v>1016</v>
      </c>
      <c r="B146" s="426"/>
      <c r="C146" s="423"/>
      <c r="D146" s="424"/>
    </row>
    <row r="147" spans="1:4" ht="15" thickBot="1">
      <c r="A147" s="419" t="s">
        <v>1017</v>
      </c>
      <c r="B147" s="426"/>
      <c r="C147" s="420">
        <v>0.5</v>
      </c>
      <c r="D147" s="421"/>
    </row>
    <row r="148" spans="1:4" ht="43.5" thickBot="1">
      <c r="A148" s="425" t="s">
        <v>1018</v>
      </c>
      <c r="B148" s="426"/>
      <c r="C148" s="428"/>
      <c r="D148" s="429"/>
    </row>
    <row r="149" spans="1:4" ht="29.25" thickBot="1">
      <c r="A149" s="425" t="s">
        <v>1019</v>
      </c>
      <c r="B149" s="426"/>
      <c r="C149" s="423"/>
      <c r="D149" s="424"/>
    </row>
    <row r="150" spans="1:4" ht="29.25" thickBot="1">
      <c r="A150" s="419" t="s">
        <v>1020</v>
      </c>
      <c r="B150" s="426"/>
      <c r="C150" s="420">
        <v>0</v>
      </c>
      <c r="D150" s="421"/>
    </row>
    <row r="151" spans="1:4" ht="29.25" thickBot="1">
      <c r="A151" s="425" t="s">
        <v>1021</v>
      </c>
      <c r="B151" s="426"/>
      <c r="C151" s="428"/>
      <c r="D151" s="429"/>
    </row>
    <row r="152" spans="1:4" ht="29.25" thickBot="1">
      <c r="A152" s="419" t="s">
        <v>1022</v>
      </c>
      <c r="B152" s="422"/>
      <c r="C152" s="423"/>
      <c r="D152" s="424"/>
    </row>
    <row r="153" spans="1:4" ht="29.25" thickBot="1">
      <c r="A153" s="425" t="s">
        <v>1023</v>
      </c>
      <c r="B153" s="426"/>
      <c r="C153" s="420">
        <v>0.25</v>
      </c>
      <c r="D153" s="421">
        <f>B153*C153</f>
        <v>0</v>
      </c>
    </row>
    <row r="154" spans="1:4" ht="15" thickBot="1">
      <c r="A154" s="425" t="s">
        <v>1024</v>
      </c>
      <c r="B154" s="426"/>
      <c r="C154" s="420">
        <v>1</v>
      </c>
      <c r="D154" s="421">
        <f>B154*C154</f>
        <v>0</v>
      </c>
    </row>
    <row r="155" spans="1:4" ht="15" thickBot="1">
      <c r="A155" s="438" t="s">
        <v>1025</v>
      </c>
      <c r="B155" s="426"/>
      <c r="C155" s="420">
        <v>0</v>
      </c>
      <c r="D155" s="421">
        <f>B155*C155</f>
        <v>0</v>
      </c>
    </row>
    <row r="156" spans="1:4" ht="15" thickBot="1">
      <c r="A156" s="450" t="s">
        <v>1026</v>
      </c>
      <c r="B156" s="426">
        <v>0</v>
      </c>
      <c r="C156" s="428"/>
      <c r="D156" s="429"/>
    </row>
    <row r="157" spans="1:4" ht="15" thickBot="1">
      <c r="A157" s="425" t="s">
        <v>1027</v>
      </c>
      <c r="B157" s="426"/>
      <c r="C157" s="428"/>
      <c r="D157" s="429"/>
    </row>
    <row r="158" spans="1:4" ht="43.5" thickBot="1">
      <c r="A158" s="425" t="s">
        <v>1028</v>
      </c>
      <c r="B158" s="426"/>
      <c r="C158" s="428"/>
      <c r="D158" s="429"/>
    </row>
    <row r="159" spans="1:4" ht="15" thickBot="1">
      <c r="A159" s="450" t="s">
        <v>1029</v>
      </c>
      <c r="B159" s="426"/>
      <c r="C159" s="428"/>
      <c r="D159" s="429"/>
    </row>
    <row r="160" spans="1:4" ht="15" thickBot="1">
      <c r="A160" s="450" t="s">
        <v>1030</v>
      </c>
      <c r="B160" s="426">
        <v>0</v>
      </c>
      <c r="C160" s="428"/>
      <c r="D160" s="429"/>
    </row>
    <row r="161" spans="1:4" ht="15" thickBot="1">
      <c r="A161" s="425" t="s">
        <v>1031</v>
      </c>
      <c r="B161" s="426"/>
      <c r="C161" s="428"/>
      <c r="D161" s="429"/>
    </row>
    <row r="162" spans="1:4" ht="43.5" thickBot="1">
      <c r="A162" s="425" t="s">
        <v>1032</v>
      </c>
      <c r="B162" s="426"/>
      <c r="C162" s="428"/>
      <c r="D162" s="429"/>
    </row>
    <row r="163" spans="1:4" ht="29.25" thickBot="1">
      <c r="A163" s="425" t="s">
        <v>1033</v>
      </c>
      <c r="B163" s="426"/>
      <c r="C163" s="428"/>
      <c r="D163" s="429"/>
    </row>
    <row r="164" spans="1:4" ht="15" thickBot="1">
      <c r="A164" s="419"/>
      <c r="B164" s="422"/>
      <c r="C164" s="428"/>
      <c r="D164" s="424"/>
    </row>
    <row r="165" spans="1:4" ht="15" thickBot="1">
      <c r="A165" s="451" t="s">
        <v>1034</v>
      </c>
      <c r="B165" s="416">
        <f>SUM(B166:B167)</f>
        <v>0</v>
      </c>
      <c r="C165" s="417"/>
      <c r="D165" s="421">
        <f>SUM(D166:D167)</f>
        <v>0</v>
      </c>
    </row>
    <row r="166" spans="1:4" ht="15" thickBot="1">
      <c r="A166" s="419" t="s">
        <v>1035</v>
      </c>
      <c r="B166" s="426"/>
      <c r="C166" s="420">
        <v>1</v>
      </c>
      <c r="D166" s="421">
        <f>B166*C166</f>
        <v>0</v>
      </c>
    </row>
    <row r="167" spans="1:4" ht="29.25" thickBot="1">
      <c r="A167" s="419" t="s">
        <v>1036</v>
      </c>
      <c r="B167" s="426"/>
      <c r="C167" s="420">
        <v>1</v>
      </c>
      <c r="D167" s="421">
        <f>B167*C167</f>
        <v>0</v>
      </c>
    </row>
    <row r="168" spans="1:4" ht="15" thickBot="1">
      <c r="A168" s="448"/>
      <c r="B168" s="422"/>
      <c r="C168" s="428"/>
      <c r="D168" s="424"/>
    </row>
    <row r="169" spans="1:4" ht="15" thickBot="1">
      <c r="A169" s="415" t="s">
        <v>1037</v>
      </c>
      <c r="B169" s="416">
        <f>SUM(B170:B176)</f>
        <v>0</v>
      </c>
      <c r="C169" s="417"/>
      <c r="D169" s="418">
        <f>SUM(D170:D176)</f>
        <v>0</v>
      </c>
    </row>
    <row r="170" spans="1:4" ht="15" thickBot="1">
      <c r="A170" s="438" t="s">
        <v>1038</v>
      </c>
      <c r="B170" s="449">
        <f>'30 days CF Table(Ccy)'!J40+'30 days CF Table(Ccy)'!J60</f>
        <v>0</v>
      </c>
      <c r="C170" s="420">
        <v>1</v>
      </c>
      <c r="D170" s="421">
        <f t="shared" ref="D170:D176" si="5">B170*C170</f>
        <v>0</v>
      </c>
    </row>
    <row r="171" spans="1:4" ht="15" thickBot="1">
      <c r="A171" s="438" t="s">
        <v>1039</v>
      </c>
      <c r="B171" s="426"/>
      <c r="C171" s="420">
        <v>1</v>
      </c>
      <c r="D171" s="421">
        <f t="shared" si="5"/>
        <v>0</v>
      </c>
    </row>
    <row r="172" spans="1:4" ht="15" thickBot="1">
      <c r="A172" s="438" t="s">
        <v>1040</v>
      </c>
      <c r="B172" s="426">
        <v>0</v>
      </c>
      <c r="C172" s="420">
        <v>1</v>
      </c>
      <c r="D172" s="421">
        <f t="shared" si="5"/>
        <v>0</v>
      </c>
    </row>
    <row r="173" spans="1:4" ht="15" thickBot="1">
      <c r="A173" s="438" t="s">
        <v>1041</v>
      </c>
      <c r="B173" s="426">
        <v>0</v>
      </c>
      <c r="C173" s="420">
        <v>1</v>
      </c>
      <c r="D173" s="421">
        <f t="shared" si="5"/>
        <v>0</v>
      </c>
    </row>
    <row r="174" spans="1:4" ht="15" thickBot="1">
      <c r="A174" s="438" t="s">
        <v>1042</v>
      </c>
      <c r="B174" s="426"/>
      <c r="C174" s="420">
        <v>1</v>
      </c>
      <c r="D174" s="421">
        <f t="shared" si="5"/>
        <v>0</v>
      </c>
    </row>
    <row r="175" spans="1:4" ht="15" thickBot="1">
      <c r="A175" s="438" t="s">
        <v>1043</v>
      </c>
      <c r="B175" s="426">
        <v>0</v>
      </c>
      <c r="C175" s="420">
        <v>1</v>
      </c>
      <c r="D175" s="421">
        <f t="shared" si="5"/>
        <v>0</v>
      </c>
    </row>
    <row r="176" spans="1:4" ht="15" thickBot="1">
      <c r="A176" s="438" t="s">
        <v>1044</v>
      </c>
      <c r="B176" s="426"/>
      <c r="C176" s="420">
        <v>0.2</v>
      </c>
      <c r="D176" s="421">
        <f t="shared" si="5"/>
        <v>0</v>
      </c>
    </row>
    <row r="177" spans="1:5" ht="15" thickBot="1">
      <c r="A177" s="452"/>
      <c r="B177" s="422"/>
      <c r="C177" s="428"/>
      <c r="D177" s="424"/>
    </row>
    <row r="178" spans="1:5" ht="15" thickBot="1">
      <c r="A178" s="452" t="s">
        <v>1045</v>
      </c>
      <c r="B178" s="416">
        <f>SUM(B180:B195)</f>
        <v>0</v>
      </c>
      <c r="C178" s="433"/>
      <c r="D178" s="418">
        <f>SUM(D180:D195)</f>
        <v>0</v>
      </c>
      <c r="E178" s="531"/>
    </row>
    <row r="179" spans="1:5" ht="15" thickBot="1">
      <c r="A179" s="438" t="s">
        <v>1046</v>
      </c>
      <c r="B179" s="422"/>
      <c r="C179" s="423"/>
      <c r="D179" s="424"/>
    </row>
    <row r="180" spans="1:5" ht="15" thickBot="1">
      <c r="A180" s="450" t="s">
        <v>1047</v>
      </c>
      <c r="B180" s="447">
        <f>'30 days CF Table(Ccy)'!J56</f>
        <v>0</v>
      </c>
      <c r="C180" s="420">
        <v>0.05</v>
      </c>
      <c r="D180" s="421"/>
    </row>
    <row r="181" spans="1:5" ht="15" thickBot="1">
      <c r="A181" s="438" t="s">
        <v>1048</v>
      </c>
      <c r="B181" s="422"/>
      <c r="C181" s="423"/>
      <c r="D181" s="424"/>
    </row>
    <row r="182" spans="1:5" ht="15" thickBot="1">
      <c r="A182" s="450" t="s">
        <v>1049</v>
      </c>
      <c r="B182" s="447">
        <f>'30 days CF Table(Ccy)'!J57</f>
        <v>0</v>
      </c>
      <c r="C182" s="420">
        <v>0.05</v>
      </c>
      <c r="D182" s="421"/>
    </row>
    <row r="183" spans="1:5" ht="15" thickBot="1">
      <c r="A183" s="438" t="s">
        <v>1050</v>
      </c>
      <c r="B183" s="422"/>
      <c r="C183" s="423"/>
      <c r="D183" s="424"/>
    </row>
    <row r="184" spans="1:5" ht="15" thickBot="1">
      <c r="A184" s="450" t="s">
        <v>1051</v>
      </c>
      <c r="B184" s="447">
        <f>'30 days CF Table(Ccy)'!J58</f>
        <v>0</v>
      </c>
      <c r="C184" s="420">
        <v>0.1</v>
      </c>
      <c r="D184" s="421">
        <f t="shared" ref="D184:D193" si="6">B184*C184</f>
        <v>0</v>
      </c>
    </row>
    <row r="185" spans="1:5" ht="15" thickBot="1">
      <c r="A185" s="450" t="s">
        <v>1052</v>
      </c>
      <c r="B185" s="426"/>
      <c r="C185" s="420">
        <v>0.3</v>
      </c>
      <c r="D185" s="421">
        <f t="shared" si="6"/>
        <v>0</v>
      </c>
    </row>
    <row r="186" spans="1:5" ht="15" thickBot="1">
      <c r="A186" s="438" t="s">
        <v>1053</v>
      </c>
      <c r="B186" s="422"/>
      <c r="C186" s="423"/>
      <c r="D186" s="424"/>
    </row>
    <row r="187" spans="1:5" ht="15" thickBot="1">
      <c r="A187" s="450" t="s">
        <v>1054</v>
      </c>
      <c r="B187" s="426"/>
      <c r="C187" s="420">
        <v>0.1</v>
      </c>
      <c r="D187" s="421">
        <f t="shared" si="6"/>
        <v>0</v>
      </c>
    </row>
    <row r="188" spans="1:5" ht="15" thickBot="1">
      <c r="A188" s="450" t="s">
        <v>1055</v>
      </c>
      <c r="B188" s="426"/>
      <c r="C188" s="420">
        <v>0.3</v>
      </c>
      <c r="D188" s="421">
        <f t="shared" si="6"/>
        <v>0</v>
      </c>
    </row>
    <row r="189" spans="1:5" ht="15" thickBot="1">
      <c r="A189" s="419" t="s">
        <v>1056</v>
      </c>
      <c r="B189" s="422"/>
      <c r="C189" s="423"/>
      <c r="D189" s="424"/>
    </row>
    <row r="190" spans="1:5" ht="15" thickBot="1">
      <c r="A190" s="425" t="s">
        <v>1057</v>
      </c>
      <c r="B190" s="426"/>
      <c r="C190" s="420">
        <v>0.4</v>
      </c>
      <c r="D190" s="421">
        <f t="shared" si="6"/>
        <v>0</v>
      </c>
    </row>
    <row r="191" spans="1:5" ht="15" thickBot="1">
      <c r="A191" s="419" t="s">
        <v>1058</v>
      </c>
      <c r="B191" s="422"/>
      <c r="C191" s="423"/>
      <c r="D191" s="424"/>
    </row>
    <row r="192" spans="1:5" ht="15" thickBot="1">
      <c r="A192" s="425" t="s">
        <v>1059</v>
      </c>
      <c r="B192" s="447">
        <f>'30 days CF Table(Ccy)'!J59</f>
        <v>0</v>
      </c>
      <c r="C192" s="420">
        <v>0.4</v>
      </c>
      <c r="D192" s="421">
        <f t="shared" si="6"/>
        <v>0</v>
      </c>
    </row>
    <row r="193" spans="1:4" ht="15" thickBot="1">
      <c r="A193" s="425" t="s">
        <v>1060</v>
      </c>
      <c r="B193" s="426"/>
      <c r="C193" s="420">
        <v>1</v>
      </c>
      <c r="D193" s="421">
        <f t="shared" si="6"/>
        <v>0</v>
      </c>
    </row>
    <row r="194" spans="1:4" ht="15" thickBot="1">
      <c r="A194" s="419" t="s">
        <v>1061</v>
      </c>
      <c r="B194" s="422"/>
      <c r="C194" s="423"/>
      <c r="D194" s="424"/>
    </row>
    <row r="195" spans="1:4" ht="15" thickBot="1">
      <c r="A195" s="425" t="s">
        <v>1062</v>
      </c>
      <c r="B195" s="426"/>
      <c r="C195" s="420">
        <v>1</v>
      </c>
      <c r="D195" s="421">
        <f>B195*C195</f>
        <v>0</v>
      </c>
    </row>
    <row r="196" spans="1:4" ht="15" thickBot="1">
      <c r="A196" s="419"/>
      <c r="B196" s="422"/>
      <c r="C196" s="428"/>
      <c r="D196" s="424"/>
    </row>
    <row r="197" spans="1:4" ht="15" thickBot="1">
      <c r="A197" s="415" t="s">
        <v>1063</v>
      </c>
      <c r="B197" s="486">
        <f>SUM(B198:B205)</f>
        <v>0</v>
      </c>
      <c r="C197" s="417"/>
      <c r="D197" s="421">
        <f>SUM(D198:D205)</f>
        <v>0</v>
      </c>
    </row>
    <row r="198" spans="1:4" ht="15.75" thickBot="1">
      <c r="A198" s="438" t="s">
        <v>1064</v>
      </c>
      <c r="B198" s="528"/>
      <c r="C198" s="420">
        <v>1</v>
      </c>
      <c r="D198" s="421">
        <f>B198*C198</f>
        <v>0</v>
      </c>
    </row>
    <row r="199" spans="1:4" ht="15" thickBot="1">
      <c r="A199" s="419" t="s">
        <v>1065</v>
      </c>
      <c r="B199" s="426"/>
      <c r="C199" s="428"/>
      <c r="D199" s="429"/>
    </row>
    <row r="200" spans="1:4" ht="15" thickBot="1">
      <c r="A200" s="419" t="s">
        <v>1066</v>
      </c>
      <c r="B200" s="426"/>
      <c r="C200" s="428"/>
      <c r="D200" s="429"/>
    </row>
    <row r="201" spans="1:4" ht="15" thickBot="1">
      <c r="A201" s="419" t="s">
        <v>1067</v>
      </c>
      <c r="B201" s="426"/>
      <c r="C201" s="428"/>
      <c r="D201" s="429"/>
    </row>
    <row r="202" spans="1:4" ht="15" thickBot="1">
      <c r="A202" s="419" t="s">
        <v>1068</v>
      </c>
      <c r="B202" s="426"/>
      <c r="C202" s="428"/>
      <c r="D202" s="429"/>
    </row>
    <row r="203" spans="1:4" ht="15" thickBot="1">
      <c r="A203" s="419" t="s">
        <v>1069</v>
      </c>
      <c r="B203" s="416">
        <f>SUM(B199:B202)</f>
        <v>0</v>
      </c>
      <c r="C203" s="428"/>
      <c r="D203" s="429"/>
    </row>
    <row r="204" spans="1:4" ht="15" thickBot="1">
      <c r="A204" s="419" t="s">
        <v>1070</v>
      </c>
      <c r="B204" s="416"/>
      <c r="C204" s="423"/>
      <c r="D204" s="424"/>
    </row>
    <row r="205" spans="1:4" ht="29.25" thickBot="1">
      <c r="A205" s="419" t="s">
        <v>1071</v>
      </c>
      <c r="B205" s="416">
        <f>MAX(B203-B204,0)</f>
        <v>0</v>
      </c>
      <c r="C205" s="420">
        <v>1</v>
      </c>
      <c r="D205" s="421">
        <f>B205*C205</f>
        <v>0</v>
      </c>
    </row>
    <row r="206" spans="1:4" ht="15" thickBot="1">
      <c r="A206" s="419"/>
      <c r="B206" s="422"/>
      <c r="C206" s="428"/>
      <c r="D206" s="424"/>
    </row>
    <row r="207" spans="1:4" ht="15" thickBot="1">
      <c r="A207" s="451" t="s">
        <v>1072</v>
      </c>
      <c r="B207" s="416">
        <f>SUM(B208:B216)</f>
        <v>0</v>
      </c>
      <c r="C207" s="417"/>
      <c r="D207" s="416">
        <f>SUM(D208:D216)</f>
        <v>0</v>
      </c>
    </row>
    <row r="208" spans="1:4" ht="15" thickBot="1">
      <c r="A208" s="438" t="s">
        <v>1073</v>
      </c>
      <c r="B208" s="426"/>
      <c r="C208" s="420">
        <v>0.05</v>
      </c>
      <c r="D208" s="421"/>
    </row>
    <row r="209" spans="1:6" ht="15" thickBot="1">
      <c r="A209" s="438" t="s">
        <v>1074</v>
      </c>
      <c r="B209" s="527"/>
      <c r="C209" s="420">
        <v>1</v>
      </c>
      <c r="D209" s="421"/>
    </row>
    <row r="210" spans="1:6" ht="15" thickBot="1">
      <c r="A210" s="453" t="s">
        <v>1075</v>
      </c>
      <c r="B210" s="527"/>
      <c r="C210" s="420">
        <v>0.5</v>
      </c>
      <c r="D210" s="421"/>
    </row>
    <row r="211" spans="1:6" ht="15" thickBot="1">
      <c r="A211" s="627" t="s">
        <v>1076</v>
      </c>
      <c r="B211" s="628">
        <f>IF($B$8&lt;('Summary &amp; Working File(Ccy)'!E15-30),'Summary &amp; Working File(Ccy)'!E14/1000000,0)+IF($B$8&lt;('Summary &amp; Working File(Ccy)'!F15-30),'Summary &amp; Working File(Ccy)'!F14/1000000,0)+IF($B$8&lt;('Summary &amp; Working File(Ccy)'!G15-30),'Summary &amp; Working File(Ccy)'!G14/1000000,0)+IF($B$8&lt;('Summary &amp; Working File(Ccy)'!H15-30),'Summary &amp; Working File(Ccy)'!H14/1000000,0)+IF($B$8&lt;('Summary &amp; Working File(Ccy)'!I15-30),'Summary &amp; Working File(Ccy)'!I14/1000000,0)+IF($B$8&lt;('Summary &amp; Working File(Ccy)'!J15-30),'Summary &amp; Working File(Ccy)'!J14/1000000,0)</f>
        <v>0</v>
      </c>
      <c r="C211" s="523">
        <v>0.1</v>
      </c>
      <c r="D211" s="524">
        <f>B211*C211</f>
        <v>0</v>
      </c>
    </row>
    <row r="212" spans="1:6" ht="15" thickBot="1">
      <c r="A212" s="627" t="s">
        <v>1077</v>
      </c>
      <c r="B212" s="628">
        <f>IF($B$8&lt;('Summary &amp; Working File(Ccy)'!E11-30),'Summary &amp; Working File(Ccy)'!E10/1000000,0)+IF($B$8&lt;('Summary &amp; Working File(Ccy)'!F11-30),'Summary &amp; Working File(Ccy)'!F10/1000000,0)+IF($B$8&lt;('Summary &amp; Working File(Ccy)'!G11-30),'Summary &amp; Working File(Ccy)'!G10/1000000,0)+IF($B$8&lt;('Summary &amp; Working File(Ccy)'!H11-30),'Summary &amp; Working File(Ccy)'!H10/1000000,0)</f>
        <v>0</v>
      </c>
      <c r="C212" s="523">
        <v>0.05</v>
      </c>
      <c r="D212" s="524">
        <f>B212*C212</f>
        <v>0</v>
      </c>
    </row>
    <row r="213" spans="1:6" ht="15" thickBot="1">
      <c r="A213" s="438" t="s">
        <v>1078</v>
      </c>
      <c r="B213" s="426"/>
      <c r="C213" s="454"/>
      <c r="D213" s="421"/>
    </row>
    <row r="214" spans="1:6" ht="15" thickBot="1">
      <c r="A214" s="438" t="s">
        <v>1079</v>
      </c>
      <c r="B214" s="426"/>
      <c r="C214" s="420">
        <v>0.05</v>
      </c>
      <c r="D214" s="421"/>
    </row>
    <row r="215" spans="1:6" ht="15" thickBot="1">
      <c r="A215" s="438" t="s">
        <v>1080</v>
      </c>
      <c r="B215" s="426"/>
      <c r="C215" s="454"/>
      <c r="D215" s="421"/>
    </row>
    <row r="216" spans="1:6" ht="15" thickBot="1">
      <c r="A216" s="438" t="s">
        <v>1081</v>
      </c>
      <c r="B216" s="447">
        <f>'30 days CF Table(Ccy)'!J61</f>
        <v>0</v>
      </c>
      <c r="C216" s="420">
        <v>1</v>
      </c>
      <c r="D216" s="421">
        <f>B216*C216</f>
        <v>0</v>
      </c>
    </row>
    <row r="217" spans="1:6" ht="15" thickBot="1">
      <c r="A217" s="452"/>
      <c r="B217" s="427"/>
      <c r="C217" s="428"/>
      <c r="D217" s="424"/>
    </row>
    <row r="218" spans="1:6" ht="15" thickBot="1">
      <c r="A218" s="452" t="s">
        <v>1082</v>
      </c>
      <c r="B218" s="427"/>
      <c r="C218" s="433"/>
      <c r="D218" s="529"/>
    </row>
    <row r="219" spans="1:6" ht="17.25" thickBot="1">
      <c r="A219" s="538"/>
      <c r="B219" s="530" t="b">
        <f>B220='30 days CF Table(Ccy)'!J69</f>
        <v>1</v>
      </c>
      <c r="C219" s="428"/>
      <c r="D219" s="530" t="b">
        <f>D220='30 days CF Table(Ccy)'!K69</f>
        <v>1</v>
      </c>
      <c r="F219" s="532"/>
    </row>
    <row r="220" spans="1:6" ht="15" thickBot="1">
      <c r="A220" s="452" t="s">
        <v>1083</v>
      </c>
      <c r="B220" s="416">
        <f>SUM(B88,B96,B133,B137,B165,B169,B178,B197,B207)</f>
        <v>0</v>
      </c>
      <c r="C220" s="433"/>
      <c r="D220" s="418">
        <f>SUM(D88,D96,D133,D137,D165,D169,D178,D197,D207)</f>
        <v>0</v>
      </c>
    </row>
    <row r="221" spans="1:6" ht="15" thickBot="1">
      <c r="A221" s="565" t="s">
        <v>1209</v>
      </c>
      <c r="B221" s="447">
        <f>SUM('30 days CF Table(Ccy)'!J41:J43)</f>
        <v>0</v>
      </c>
      <c r="C221" s="552"/>
      <c r="D221" s="553">
        <f>ROUND(SUM('30 days CF Table(Ccy)'!K41:K43)/1000000,2)</f>
        <v>0</v>
      </c>
    </row>
    <row r="222" spans="1:6" ht="14.25">
      <c r="A222" s="425"/>
      <c r="B222" s="439"/>
      <c r="C222" s="440"/>
      <c r="D222" s="441"/>
    </row>
    <row r="223" spans="1:6" ht="15.75" thickBot="1">
      <c r="A223" s="483" t="s">
        <v>1092</v>
      </c>
      <c r="B223" s="439"/>
      <c r="C223" s="440"/>
      <c r="D223" s="441"/>
    </row>
    <row r="224" spans="1:6" ht="30">
      <c r="A224" s="425"/>
      <c r="B224" s="442" t="s">
        <v>960</v>
      </c>
      <c r="C224" s="443" t="s">
        <v>890</v>
      </c>
      <c r="D224" s="444" t="s">
        <v>961</v>
      </c>
    </row>
    <row r="225" spans="1:4" ht="15.75" thickBot="1">
      <c r="A225" s="456"/>
      <c r="B225" s="445">
        <v>-1</v>
      </c>
      <c r="C225" s="446">
        <v>-2</v>
      </c>
      <c r="D225" s="446">
        <v>-3</v>
      </c>
    </row>
    <row r="226" spans="1:4" ht="15" thickBot="1">
      <c r="A226" s="451" t="s">
        <v>1093</v>
      </c>
      <c r="B226" s="416">
        <f>B227+B245</f>
        <v>0</v>
      </c>
      <c r="C226" s="433"/>
      <c r="D226" s="416">
        <f>D227+D245</f>
        <v>0</v>
      </c>
    </row>
    <row r="227" spans="1:4" ht="15" thickBot="1">
      <c r="A227" s="419" t="s">
        <v>1094</v>
      </c>
      <c r="B227" s="426">
        <f>B228+B231+B234+B237+B240+B242+B243+B244</f>
        <v>0</v>
      </c>
      <c r="C227" s="417"/>
      <c r="D227" s="426">
        <f>D228+D231+D234+D237+D240+D242+D243+D244</f>
        <v>0</v>
      </c>
    </row>
    <row r="228" spans="1:4" ht="15" thickBot="1">
      <c r="A228" s="425" t="s">
        <v>1095</v>
      </c>
      <c r="B228" s="426">
        <v>0</v>
      </c>
      <c r="C228" s="420">
        <v>0</v>
      </c>
      <c r="D228" s="421">
        <f>B228*C228</f>
        <v>0</v>
      </c>
    </row>
    <row r="229" spans="1:4" ht="15" thickBot="1">
      <c r="A229" s="457" t="s">
        <v>1096</v>
      </c>
      <c r="B229" s="426">
        <v>0</v>
      </c>
      <c r="C229" s="428"/>
      <c r="D229" s="429"/>
    </row>
    <row r="230" spans="1:4" ht="15" thickBot="1">
      <c r="A230" s="457" t="s">
        <v>1097</v>
      </c>
      <c r="B230" s="426">
        <v>0</v>
      </c>
      <c r="C230" s="423"/>
      <c r="D230" s="424"/>
    </row>
    <row r="231" spans="1:4" ht="15" thickBot="1">
      <c r="A231" s="450" t="s">
        <v>1098</v>
      </c>
      <c r="B231" s="426">
        <v>0</v>
      </c>
      <c r="C231" s="420">
        <v>0.15</v>
      </c>
      <c r="D231" s="421">
        <f>B231*C231</f>
        <v>0</v>
      </c>
    </row>
    <row r="232" spans="1:4" ht="15" thickBot="1">
      <c r="A232" s="457" t="s">
        <v>1099</v>
      </c>
      <c r="B232" s="426">
        <v>0</v>
      </c>
      <c r="C232" s="428"/>
      <c r="D232" s="429"/>
    </row>
    <row r="233" spans="1:4" ht="15" thickBot="1">
      <c r="A233" s="457" t="s">
        <v>1100</v>
      </c>
      <c r="B233" s="426">
        <v>0</v>
      </c>
      <c r="C233" s="423"/>
      <c r="D233" s="424"/>
    </row>
    <row r="234" spans="1:4" ht="15" thickBot="1">
      <c r="A234" s="450" t="s">
        <v>1101</v>
      </c>
      <c r="B234" s="426">
        <v>0</v>
      </c>
      <c r="C234" s="420">
        <v>0.25</v>
      </c>
      <c r="D234" s="421">
        <f>B234*C234</f>
        <v>0</v>
      </c>
    </row>
    <row r="235" spans="1:4" ht="15" thickBot="1">
      <c r="A235" s="457" t="s">
        <v>1102</v>
      </c>
      <c r="B235" s="426">
        <v>0</v>
      </c>
      <c r="C235" s="428"/>
      <c r="D235" s="429"/>
    </row>
    <row r="236" spans="1:4" ht="15" thickBot="1">
      <c r="A236" s="457" t="s">
        <v>1103</v>
      </c>
      <c r="B236" s="426">
        <v>0</v>
      </c>
      <c r="C236" s="423"/>
      <c r="D236" s="424"/>
    </row>
    <row r="237" spans="1:4" ht="15" thickBot="1">
      <c r="A237" s="450" t="s">
        <v>1104</v>
      </c>
      <c r="B237" s="426">
        <v>0</v>
      </c>
      <c r="C237" s="420">
        <v>0.5</v>
      </c>
      <c r="D237" s="421">
        <f>B237*C237</f>
        <v>0</v>
      </c>
    </row>
    <row r="238" spans="1:4" ht="15" thickBot="1">
      <c r="A238" s="457" t="s">
        <v>1105</v>
      </c>
      <c r="B238" s="426">
        <v>0</v>
      </c>
      <c r="C238" s="428"/>
      <c r="D238" s="429"/>
    </row>
    <row r="239" spans="1:4" ht="15" thickBot="1">
      <c r="A239" s="457" t="s">
        <v>1106</v>
      </c>
      <c r="B239" s="426">
        <v>0</v>
      </c>
      <c r="C239" s="423"/>
      <c r="D239" s="424"/>
    </row>
    <row r="240" spans="1:4" ht="15" thickBot="1">
      <c r="A240" s="450" t="s">
        <v>1107</v>
      </c>
      <c r="B240" s="426">
        <v>0</v>
      </c>
      <c r="C240" s="420">
        <v>0</v>
      </c>
      <c r="D240" s="421">
        <f>B240*C240</f>
        <v>0</v>
      </c>
    </row>
    <row r="241" spans="1:4" ht="15" thickBot="1">
      <c r="A241" s="457" t="s">
        <v>1108</v>
      </c>
      <c r="B241" s="426">
        <v>0</v>
      </c>
      <c r="C241" s="423"/>
      <c r="D241" s="424"/>
    </row>
    <row r="242" spans="1:4" ht="15" thickBot="1">
      <c r="A242" s="450" t="s">
        <v>1109</v>
      </c>
      <c r="B242" s="426">
        <v>0</v>
      </c>
      <c r="C242" s="420">
        <v>0</v>
      </c>
      <c r="D242" s="421">
        <f>B242*C242</f>
        <v>0</v>
      </c>
    </row>
    <row r="243" spans="1:4" ht="15" thickBot="1">
      <c r="A243" s="450" t="s">
        <v>1110</v>
      </c>
      <c r="B243" s="426">
        <v>0</v>
      </c>
      <c r="C243" s="420">
        <v>0.5</v>
      </c>
      <c r="D243" s="421">
        <f>B243*C243</f>
        <v>0</v>
      </c>
    </row>
    <row r="244" spans="1:4" ht="15" thickBot="1">
      <c r="A244" s="450" t="s">
        <v>1111</v>
      </c>
      <c r="B244" s="426">
        <v>0</v>
      </c>
      <c r="C244" s="420">
        <v>1</v>
      </c>
      <c r="D244" s="421">
        <f>B244*C244</f>
        <v>0</v>
      </c>
    </row>
    <row r="245" spans="1:4" ht="15" thickBot="1">
      <c r="A245" s="438" t="s">
        <v>1112</v>
      </c>
      <c r="B245" s="426">
        <f>SUM(B246:B251)</f>
        <v>0</v>
      </c>
      <c r="C245" s="417"/>
      <c r="D245" s="426">
        <f>SUM(D246:D251)</f>
        <v>0</v>
      </c>
    </row>
    <row r="246" spans="1:4" ht="15" thickBot="1">
      <c r="A246" s="458" t="s">
        <v>1113</v>
      </c>
      <c r="B246" s="426">
        <v>0</v>
      </c>
      <c r="C246" s="420">
        <v>0</v>
      </c>
      <c r="D246" s="421">
        <f t="shared" ref="D246:D251" si="7">B246*C246</f>
        <v>0</v>
      </c>
    </row>
    <row r="247" spans="1:4" ht="15" thickBot="1">
      <c r="A247" s="450" t="s">
        <v>1114</v>
      </c>
      <c r="B247" s="426">
        <v>0</v>
      </c>
      <c r="C247" s="420">
        <v>0</v>
      </c>
      <c r="D247" s="421">
        <f t="shared" si="7"/>
        <v>0</v>
      </c>
    </row>
    <row r="248" spans="1:4" ht="15" thickBot="1">
      <c r="A248" s="425" t="s">
        <v>1115</v>
      </c>
      <c r="B248" s="426">
        <v>0</v>
      </c>
      <c r="C248" s="420">
        <v>0</v>
      </c>
      <c r="D248" s="421">
        <f t="shared" si="7"/>
        <v>0</v>
      </c>
    </row>
    <row r="249" spans="1:4" ht="15" thickBot="1">
      <c r="A249" s="425" t="s">
        <v>1116</v>
      </c>
      <c r="B249" s="426">
        <v>0</v>
      </c>
      <c r="C249" s="420">
        <v>0</v>
      </c>
      <c r="D249" s="421">
        <f t="shared" si="7"/>
        <v>0</v>
      </c>
    </row>
    <row r="250" spans="1:4" ht="15" thickBot="1">
      <c r="A250" s="425" t="s">
        <v>1117</v>
      </c>
      <c r="B250" s="426">
        <v>0</v>
      </c>
      <c r="C250" s="420">
        <v>0</v>
      </c>
      <c r="D250" s="421">
        <f t="shared" si="7"/>
        <v>0</v>
      </c>
    </row>
    <row r="251" spans="1:4" ht="15" thickBot="1">
      <c r="A251" s="425" t="s">
        <v>1118</v>
      </c>
      <c r="B251" s="426">
        <v>0</v>
      </c>
      <c r="C251" s="420">
        <v>0</v>
      </c>
      <c r="D251" s="421">
        <f t="shared" si="7"/>
        <v>0</v>
      </c>
    </row>
    <row r="252" spans="1:4" ht="15" thickBot="1">
      <c r="A252" s="451"/>
      <c r="B252" s="422"/>
      <c r="C252" s="428"/>
      <c r="D252" s="424"/>
    </row>
    <row r="253" spans="1:4" ht="15" thickBot="1">
      <c r="A253" s="459" t="s">
        <v>1119</v>
      </c>
      <c r="B253" s="416">
        <f>SUM(B254:B259)</f>
        <v>0</v>
      </c>
      <c r="C253" s="417"/>
      <c r="D253" s="416">
        <f>SUM(D254:D259)</f>
        <v>0</v>
      </c>
    </row>
    <row r="254" spans="1:4" ht="15" thickBot="1">
      <c r="A254" s="438" t="s">
        <v>1120</v>
      </c>
      <c r="B254" s="447">
        <f>'30 days CF Table(Ccy)'!J7</f>
        <v>0</v>
      </c>
      <c r="C254" s="420">
        <v>0.5</v>
      </c>
      <c r="D254" s="824">
        <f t="shared" ref="D254:D259" si="8">B254*C254</f>
        <v>0</v>
      </c>
    </row>
    <row r="255" spans="1:4" ht="15" thickBot="1">
      <c r="A255" s="453" t="s">
        <v>1121</v>
      </c>
      <c r="B255" s="447">
        <f>'30 days CF Table(Ccy)'!J8</f>
        <v>0</v>
      </c>
      <c r="C255" s="420">
        <v>0.5</v>
      </c>
      <c r="D255" s="824">
        <f t="shared" si="8"/>
        <v>0</v>
      </c>
    </row>
    <row r="256" spans="1:4" ht="15" thickBot="1">
      <c r="A256" s="438" t="s">
        <v>1122</v>
      </c>
      <c r="B256" s="447">
        <f>SUM('30 days CF Table(Ccy)'!J9:J11)</f>
        <v>0</v>
      </c>
      <c r="C256" s="420">
        <v>0.5</v>
      </c>
      <c r="D256" s="824">
        <f t="shared" si="8"/>
        <v>0</v>
      </c>
    </row>
    <row r="257" spans="1:5" ht="15" thickBot="1">
      <c r="A257" s="438" t="s">
        <v>1123</v>
      </c>
      <c r="B257" s="426"/>
      <c r="C257" s="420">
        <v>1</v>
      </c>
      <c r="D257" s="824">
        <f t="shared" si="8"/>
        <v>0</v>
      </c>
    </row>
    <row r="258" spans="1:5" ht="15" thickBot="1">
      <c r="A258" s="438" t="s">
        <v>1124</v>
      </c>
      <c r="B258" s="447">
        <f>SUM('30 days CF Table(Ccy)'!J4:J6)+SUM('30 days CF Table(Ccy)'!J12:J13)+SUM('30 days CF Table(Ccy)'!J15:J16)</f>
        <v>0</v>
      </c>
      <c r="C258" s="420">
        <v>1</v>
      </c>
      <c r="D258" s="421">
        <f t="shared" si="8"/>
        <v>0</v>
      </c>
    </row>
    <row r="259" spans="1:5" ht="15" thickBot="1">
      <c r="A259" s="438" t="s">
        <v>1125</v>
      </c>
      <c r="B259" s="455"/>
      <c r="C259" s="420">
        <v>0.5</v>
      </c>
      <c r="D259" s="421">
        <f t="shared" si="8"/>
        <v>0</v>
      </c>
    </row>
    <row r="260" spans="1:5" ht="15" thickBot="1">
      <c r="A260" s="438" t="s">
        <v>1126</v>
      </c>
      <c r="B260" s="449">
        <f>SUM('30 days CF Table(Ccy)'!J15:J16)</f>
        <v>0</v>
      </c>
      <c r="C260" s="420">
        <v>1</v>
      </c>
      <c r="D260" s="421">
        <f t="shared" ref="D260" si="9">B260*C260</f>
        <v>0</v>
      </c>
    </row>
    <row r="261" spans="1:5" ht="15" thickBot="1">
      <c r="A261" s="438" t="s">
        <v>1127</v>
      </c>
      <c r="B261" s="455"/>
      <c r="C261" s="428"/>
      <c r="D261" s="429"/>
    </row>
    <row r="262" spans="1:5" ht="15" thickBot="1">
      <c r="A262" s="438" t="s">
        <v>1128</v>
      </c>
      <c r="B262" s="455"/>
      <c r="C262" s="428"/>
      <c r="D262" s="429"/>
    </row>
    <row r="263" spans="1:5" ht="15" thickBot="1">
      <c r="A263" s="452"/>
      <c r="B263" s="422"/>
      <c r="C263" s="428"/>
      <c r="D263" s="424"/>
    </row>
    <row r="264" spans="1:5" ht="15" thickBot="1">
      <c r="A264" s="452" t="s">
        <v>1129</v>
      </c>
      <c r="B264" s="416">
        <f>SUM(B265:B269)</f>
        <v>0</v>
      </c>
      <c r="C264" s="417"/>
      <c r="D264" s="418">
        <f>SUM(D265:D269)</f>
        <v>0</v>
      </c>
    </row>
    <row r="265" spans="1:5" ht="15" thickBot="1">
      <c r="A265" s="419" t="s">
        <v>1130</v>
      </c>
      <c r="B265" s="449">
        <f>'30 days CF Table(Ccy)'!J14+'30 days CF Table(Ccy)'!J22</f>
        <v>0</v>
      </c>
      <c r="C265" s="420">
        <v>1</v>
      </c>
      <c r="D265" s="421">
        <f>B265*C265</f>
        <v>0</v>
      </c>
    </row>
    <row r="266" spans="1:5" ht="15" thickBot="1">
      <c r="A266" s="438" t="s">
        <v>1131</v>
      </c>
      <c r="B266" s="416">
        <v>0</v>
      </c>
      <c r="C266" s="420">
        <v>1</v>
      </c>
      <c r="D266" s="421">
        <f>B266*C266</f>
        <v>0</v>
      </c>
    </row>
    <row r="267" spans="1:5" ht="15" thickBot="1">
      <c r="A267" s="460" t="s">
        <v>1132</v>
      </c>
      <c r="B267" s="426"/>
      <c r="C267" s="420">
        <v>1</v>
      </c>
      <c r="D267" s="421">
        <f>B267*C267</f>
        <v>0</v>
      </c>
    </row>
    <row r="268" spans="1:5" ht="15" thickBot="1">
      <c r="A268" s="460" t="s">
        <v>1133</v>
      </c>
      <c r="B268" s="447">
        <f>SUM('30 days CF Table(Ccy)'!J17:J18)</f>
        <v>0</v>
      </c>
      <c r="C268" s="420">
        <v>1</v>
      </c>
      <c r="D268" s="421">
        <f>B268*C268</f>
        <v>0</v>
      </c>
    </row>
    <row r="269" spans="1:5" ht="15.75" thickBot="1">
      <c r="A269" s="438" t="s">
        <v>1134</v>
      </c>
      <c r="B269" s="426"/>
      <c r="C269" s="433"/>
      <c r="D269" s="540">
        <f>D220*0.2</f>
        <v>0</v>
      </c>
    </row>
    <row r="270" spans="1:5" ht="15" thickBot="1">
      <c r="A270" s="452"/>
      <c r="B270" s="427"/>
      <c r="C270" s="428"/>
      <c r="D270" s="424"/>
    </row>
    <row r="271" spans="1:5" ht="15" thickBot="1">
      <c r="A271" s="452" t="s">
        <v>1135</v>
      </c>
      <c r="B271" s="427"/>
      <c r="C271" s="433"/>
      <c r="D271" s="434"/>
      <c r="E271" s="531"/>
    </row>
    <row r="272" spans="1:5" ht="17.25" thickBot="1">
      <c r="A272" s="452"/>
      <c r="B272" s="530" t="b">
        <f>B273='30 days CF Table(Ccy)'!J70</f>
        <v>1</v>
      </c>
      <c r="C272" s="428"/>
      <c r="D272" s="530" t="b">
        <f>D273='30 days CF Table(Ccy)'!K70+D269</f>
        <v>1</v>
      </c>
      <c r="E272" s="531"/>
    </row>
    <row r="273" spans="1:5" ht="15" thickBot="1">
      <c r="A273" s="452" t="s">
        <v>1136</v>
      </c>
      <c r="B273" s="554">
        <f>SUM(B226,B253,B264)</f>
        <v>0</v>
      </c>
      <c r="C273" s="555"/>
      <c r="D273" s="418">
        <f>SUM(D226,D253,D264)</f>
        <v>0</v>
      </c>
    </row>
    <row r="274" spans="1:5" ht="15" thickBot="1">
      <c r="A274" s="565" t="s">
        <v>1210</v>
      </c>
      <c r="B274" s="556">
        <f>SUM('30 days CF Table(Ccy)'!J15:J16)</f>
        <v>0</v>
      </c>
      <c r="C274" s="555"/>
      <c r="D274" s="553">
        <f>ROUND(SUM('30 days CF Table(Ccy)'!K15:K16)/1000000,2)</f>
        <v>0</v>
      </c>
    </row>
    <row r="275" spans="1:5" ht="14.25">
      <c r="A275" s="452"/>
      <c r="B275" s="439"/>
      <c r="C275" s="440"/>
      <c r="D275" s="441"/>
    </row>
    <row r="276" spans="1:5" ht="15">
      <c r="A276" s="484" t="s">
        <v>1145</v>
      </c>
      <c r="B276" s="439"/>
      <c r="C276" s="440"/>
      <c r="D276" s="441"/>
    </row>
    <row r="277" spans="1:5" ht="15" thickBot="1">
      <c r="A277" s="452"/>
      <c r="B277" s="439"/>
      <c r="C277" s="440"/>
      <c r="D277" s="441"/>
    </row>
    <row r="278" spans="1:5" ht="30">
      <c r="A278" s="452"/>
      <c r="B278" s="442" t="s">
        <v>960</v>
      </c>
      <c r="C278" s="461"/>
      <c r="D278" s="444" t="s">
        <v>961</v>
      </c>
    </row>
    <row r="279" spans="1:5" ht="15.75" thickBot="1">
      <c r="A279" s="452"/>
      <c r="B279" s="445">
        <v>-1</v>
      </c>
      <c r="C279" s="462"/>
      <c r="D279" s="446">
        <v>-3</v>
      </c>
    </row>
    <row r="280" spans="1:5" ht="15" thickBot="1">
      <c r="A280" s="452" t="s">
        <v>1146</v>
      </c>
      <c r="B280" s="416">
        <f>B220-B273</f>
        <v>0</v>
      </c>
      <c r="C280" s="433"/>
      <c r="D280" s="418">
        <f>D220-D273</f>
        <v>0</v>
      </c>
    </row>
    <row r="281" spans="1:5" ht="14.25">
      <c r="A281" s="464"/>
      <c r="B281" s="439"/>
      <c r="C281" s="440"/>
      <c r="D281" s="441"/>
    </row>
    <row r="282" spans="1:5" ht="15">
      <c r="A282" s="485" t="s">
        <v>1155</v>
      </c>
      <c r="B282" s="439"/>
      <c r="C282" s="440"/>
      <c r="D282" s="441"/>
    </row>
    <row r="283" spans="1:5" ht="15" thickBot="1">
      <c r="A283" s="464"/>
      <c r="B283" s="439"/>
      <c r="C283" s="440"/>
      <c r="D283" s="441"/>
    </row>
    <row r="284" spans="1:5" ht="15" thickBot="1">
      <c r="A284" s="464" t="s">
        <v>1156</v>
      </c>
      <c r="B284" s="427"/>
      <c r="C284" s="433"/>
      <c r="D284" s="822">
        <f>D60</f>
        <v>0</v>
      </c>
    </row>
    <row r="285" spans="1:5" ht="15" thickBot="1">
      <c r="A285" s="464" t="s">
        <v>1157</v>
      </c>
      <c r="B285" s="427"/>
      <c r="C285" s="433"/>
      <c r="D285" s="421">
        <f>D65+D67</f>
        <v>0</v>
      </c>
    </row>
    <row r="286" spans="1:5" ht="15" thickBot="1">
      <c r="A286" s="464" t="s">
        <v>1158</v>
      </c>
      <c r="B286" s="427"/>
      <c r="C286" s="433"/>
      <c r="D286" s="421">
        <f>D220</f>
        <v>0</v>
      </c>
    </row>
    <row r="287" spans="1:5" ht="15" thickBot="1">
      <c r="A287" s="464" t="s">
        <v>1159</v>
      </c>
      <c r="B287" s="427"/>
      <c r="C287" s="433"/>
      <c r="D287" s="418">
        <f>MIN(D273,0.75*D220)</f>
        <v>0</v>
      </c>
    </row>
    <row r="288" spans="1:5" ht="15" thickBot="1">
      <c r="A288" s="464" t="s">
        <v>1160</v>
      </c>
      <c r="B288" s="427"/>
      <c r="C288" s="433"/>
      <c r="D288" s="421">
        <f>D286-D287</f>
        <v>0</v>
      </c>
      <c r="E288" s="532"/>
    </row>
    <row r="289" spans="1:5" ht="17.25" thickBot="1">
      <c r="A289" s="464" t="s">
        <v>1161</v>
      </c>
      <c r="B289" s="427"/>
      <c r="C289" s="530" t="e">
        <f>ROUND(D289,1)=ROUND('Summary &amp; Working File(Ccy)'!H5*100,1)</f>
        <v>#DIV/0!</v>
      </c>
      <c r="D289" s="823" t="e">
        <f>(D284+D285)/D288*100</f>
        <v>#DIV/0!</v>
      </c>
      <c r="E289" s="532"/>
    </row>
    <row r="290" spans="1:5" ht="15" thickBot="1">
      <c r="A290" s="464" t="s">
        <v>1162</v>
      </c>
      <c r="B290" s="427"/>
      <c r="C290" s="433"/>
      <c r="D290" s="827">
        <v>45</v>
      </c>
      <c r="E290" s="532"/>
    </row>
    <row r="291" spans="1:5" ht="15.75" thickBot="1">
      <c r="A291" s="464" t="s">
        <v>1163</v>
      </c>
      <c r="B291" s="427"/>
      <c r="C291" s="433"/>
      <c r="D291" s="526"/>
      <c r="E291" s="532"/>
    </row>
    <row r="292" spans="1:5" ht="15.75" thickBot="1">
      <c r="A292" s="464" t="s">
        <v>1164</v>
      </c>
      <c r="B292" s="427"/>
      <c r="C292" s="433"/>
      <c r="D292" s="526"/>
      <c r="E292" s="532"/>
    </row>
    <row r="293" spans="1:5" ht="15.75" thickBot="1">
      <c r="A293" s="464" t="s">
        <v>1165</v>
      </c>
      <c r="B293" s="427"/>
      <c r="C293" s="433"/>
      <c r="D293" s="526"/>
    </row>
    <row r="294" spans="1:5" ht="14.25">
      <c r="A294" s="465"/>
      <c r="B294" s="439"/>
      <c r="C294" s="440"/>
      <c r="D294" s="440"/>
    </row>
    <row r="295" spans="1:5" ht="15.75" thickBot="1">
      <c r="A295" s="465" t="s">
        <v>1166</v>
      </c>
      <c r="B295" s="466"/>
      <c r="C295" s="467"/>
      <c r="D295" s="467"/>
    </row>
    <row r="296" spans="1:5" ht="15">
      <c r="A296" s="468" t="s">
        <v>1167</v>
      </c>
      <c r="B296" s="469" t="s">
        <v>714</v>
      </c>
      <c r="C296" s="443" t="s">
        <v>1168</v>
      </c>
      <c r="D296" s="443" t="s">
        <v>1169</v>
      </c>
    </row>
    <row r="297" spans="1:5" ht="15.75" thickBot="1">
      <c r="A297" s="470">
        <v>-1</v>
      </c>
      <c r="B297" s="446">
        <v>-2</v>
      </c>
      <c r="C297" s="446">
        <v>-3</v>
      </c>
      <c r="D297" s="446">
        <v>-4</v>
      </c>
    </row>
    <row r="298" spans="1:5" ht="15" thickBot="1">
      <c r="A298" s="471" t="s">
        <v>1170</v>
      </c>
      <c r="B298" s="437" t="s">
        <v>1171</v>
      </c>
      <c r="C298" s="454" t="s">
        <v>1172</v>
      </c>
      <c r="D298" s="454" t="s">
        <v>1173</v>
      </c>
    </row>
    <row r="299" spans="1:5" ht="15" thickBot="1">
      <c r="A299" s="472" t="s">
        <v>1174</v>
      </c>
      <c r="B299" s="439"/>
      <c r="C299" s="440"/>
      <c r="D299" s="440"/>
    </row>
    <row r="300" spans="1:5">
      <c r="B300" s="473"/>
      <c r="C300" s="474"/>
      <c r="D300" s="474"/>
    </row>
    <row r="301" spans="1:5">
      <c r="B301" s="473"/>
      <c r="C301" s="474"/>
      <c r="D301" s="474"/>
    </row>
    <row r="302" spans="1:5">
      <c r="B302" s="473"/>
      <c r="C302" s="474"/>
      <c r="D302" s="474"/>
    </row>
    <row r="303" spans="1:5">
      <c r="B303" s="473"/>
      <c r="C303" s="474"/>
      <c r="D303" s="474"/>
    </row>
    <row r="304" spans="1:5">
      <c r="B304" s="473"/>
      <c r="D304" s="474"/>
    </row>
    <row r="305" spans="1:4">
      <c r="A305" s="396"/>
      <c r="B305" s="473"/>
      <c r="D305" s="474"/>
    </row>
    <row r="306" spans="1:4">
      <c r="A306" s="396"/>
      <c r="B306" s="473"/>
      <c r="D306" s="474"/>
    </row>
    <row r="307" spans="1:4">
      <c r="A307" s="396"/>
      <c r="B307" s="473"/>
      <c r="D307" s="474"/>
    </row>
    <row r="308" spans="1:4">
      <c r="A308" s="396"/>
      <c r="B308" s="473"/>
      <c r="D308" s="474"/>
    </row>
    <row r="309" spans="1:4">
      <c r="A309" s="396"/>
      <c r="B309" s="473"/>
      <c r="D309" s="474"/>
    </row>
    <row r="310" spans="1:4">
      <c r="A310" s="396"/>
      <c r="B310" s="473"/>
      <c r="D310" s="474"/>
    </row>
    <row r="311" spans="1:4">
      <c r="A311" s="396"/>
      <c r="B311" s="473"/>
      <c r="D311" s="474"/>
    </row>
    <row r="312" spans="1:4">
      <c r="A312" s="396"/>
      <c r="B312" s="473"/>
      <c r="D312" s="474"/>
    </row>
    <row r="313" spans="1:4">
      <c r="A313" s="396"/>
      <c r="B313" s="473"/>
      <c r="D313" s="474"/>
    </row>
    <row r="314" spans="1:4">
      <c r="A314" s="396"/>
      <c r="B314" s="473"/>
      <c r="D314" s="474"/>
    </row>
    <row r="315" spans="1:4">
      <c r="A315" s="396"/>
      <c r="B315" s="473"/>
      <c r="D315" s="474"/>
    </row>
    <row r="316" spans="1:4">
      <c r="A316" s="396"/>
      <c r="B316" s="473"/>
      <c r="D316" s="474"/>
    </row>
    <row r="317" spans="1:4">
      <c r="A317" s="396"/>
      <c r="B317" s="473"/>
      <c r="D317" s="474"/>
    </row>
    <row r="318" spans="1:4">
      <c r="A318" s="396"/>
      <c r="B318" s="473"/>
      <c r="D318" s="474"/>
    </row>
    <row r="319" spans="1:4">
      <c r="A319" s="396"/>
      <c r="B319" s="473"/>
      <c r="D319" s="474"/>
    </row>
    <row r="320" spans="1:4">
      <c r="B320" s="473"/>
      <c r="D320" s="474"/>
    </row>
    <row r="321" spans="1:4">
      <c r="B321" s="473"/>
      <c r="D321" s="474"/>
    </row>
    <row r="322" spans="1:4">
      <c r="B322" s="473"/>
      <c r="D322" s="474"/>
    </row>
    <row r="323" spans="1:4">
      <c r="B323" s="473"/>
      <c r="D323" s="474"/>
    </row>
    <row r="324" spans="1:4">
      <c r="B324" s="473"/>
      <c r="D324" s="474"/>
    </row>
    <row r="325" spans="1:4">
      <c r="B325" s="473"/>
      <c r="D325" s="474"/>
    </row>
    <row r="326" spans="1:4">
      <c r="B326" s="473"/>
    </row>
    <row r="327" spans="1:4">
      <c r="B327" s="473"/>
    </row>
    <row r="328" spans="1:4">
      <c r="B328" s="473"/>
    </row>
    <row r="329" spans="1:4">
      <c r="B329" s="473"/>
    </row>
    <row r="330" spans="1:4" s="399" customFormat="1">
      <c r="A330" s="407"/>
      <c r="B330" s="473"/>
    </row>
    <row r="331" spans="1:4" s="399" customFormat="1">
      <c r="A331" s="407"/>
      <c r="B331" s="473"/>
    </row>
    <row r="332" spans="1:4" s="399" customFormat="1">
      <c r="A332" s="407"/>
      <c r="B332" s="473"/>
    </row>
  </sheetData>
  <mergeCells count="5">
    <mergeCell ref="B4:D4"/>
    <mergeCell ref="B6:D6"/>
    <mergeCell ref="B8:D8"/>
    <mergeCell ref="B10:D10"/>
    <mergeCell ref="B12:D12"/>
  </mergeCells>
  <phoneticPr fontId="3" type="noConversion"/>
  <conditionalFormatting sqref="B219">
    <cfRule type="containsText" dxfId="29" priority="11" operator="containsText" text="false">
      <formula>NOT(ISERROR(SEARCH("false",B219)))</formula>
    </cfRule>
    <cfRule type="containsText" dxfId="28" priority="12" operator="containsText" text="true">
      <formula>NOT(ISERROR(SEARCH("true",B219)))</formula>
    </cfRule>
  </conditionalFormatting>
  <conditionalFormatting sqref="B272">
    <cfRule type="containsText" dxfId="27" priority="7" operator="containsText" text="false">
      <formula>NOT(ISERROR(SEARCH("false",B272)))</formula>
    </cfRule>
    <cfRule type="containsText" dxfId="26" priority="8" operator="containsText" text="true">
      <formula>NOT(ISERROR(SEARCH("true",B272)))</formula>
    </cfRule>
  </conditionalFormatting>
  <conditionalFormatting sqref="C83">
    <cfRule type="containsText" dxfId="25" priority="1" operator="containsText" text="false">
      <formula>NOT(ISERROR(SEARCH("false",C83)))</formula>
    </cfRule>
    <cfRule type="containsText" dxfId="24" priority="2" operator="containsText" text="true">
      <formula>NOT(ISERROR(SEARCH("true",C83)))</formula>
    </cfRule>
  </conditionalFormatting>
  <conditionalFormatting sqref="C289">
    <cfRule type="containsText" dxfId="23" priority="3" operator="containsText" text="false">
      <formula>NOT(ISERROR(SEARCH("false",C289)))</formula>
    </cfRule>
    <cfRule type="containsText" dxfId="22" priority="4" operator="containsText" text="true">
      <formula>NOT(ISERROR(SEARCH("true",C289)))</formula>
    </cfRule>
  </conditionalFormatting>
  <conditionalFormatting sqref="D219">
    <cfRule type="containsText" dxfId="21" priority="9" operator="containsText" text="false">
      <formula>NOT(ISERROR(SEARCH("false",D219)))</formula>
    </cfRule>
    <cfRule type="containsText" dxfId="20" priority="10" operator="containsText" text="true">
      <formula>NOT(ISERROR(SEARCH("true",D219)))</formula>
    </cfRule>
  </conditionalFormatting>
  <conditionalFormatting sqref="D272">
    <cfRule type="containsText" dxfId="19" priority="5" operator="containsText" text="false">
      <formula>NOT(ISERROR(SEARCH("false",D272)))</formula>
    </cfRule>
    <cfRule type="containsText" dxfId="18" priority="6" operator="containsText" text="true">
      <formula>NOT(ISERROR(SEARCH("true",D272)))</formula>
    </cfRule>
  </conditionalFormatting>
  <pageMargins left="0.7" right="0.7" top="0.75" bottom="0.75" header="0.3" footer="0.3"/>
  <pageSetup paperSize="9" scale="27" orientation="portrait" r:id="rId1"/>
  <rowBreaks count="3" manualBreakCount="3">
    <brk id="83" max="3" man="1"/>
    <brk id="221" max="3" man="1"/>
    <brk id="274" max="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'30 days CF Table(Ccy)'!$I$83:$I$89</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R294"/>
  <sheetViews>
    <sheetView showGridLines="0" zoomScale="70" zoomScaleNormal="70" workbookViewId="0">
      <pane ySplit="20" topLeftCell="A21" activePane="bottomLeft" state="frozen"/>
      <selection activeCell="D22" sqref="D22"/>
      <selection pane="bottomLeft" activeCell="H5" sqref="H5"/>
    </sheetView>
  </sheetViews>
  <sheetFormatPr defaultColWidth="9" defaultRowHeight="16.5"/>
  <cols>
    <col min="1" max="1" width="10.75" style="1" customWidth="1"/>
    <col min="2" max="2" width="5.625" style="1" customWidth="1"/>
    <col min="3" max="3" width="17" style="1" customWidth="1"/>
    <col min="4" max="10" width="24.375" style="1" customWidth="1"/>
    <col min="11" max="11" width="33.125" style="1" customWidth="1"/>
    <col min="12" max="12" width="24.375" style="1" customWidth="1"/>
    <col min="13" max="13" width="23.75" style="1" bestFit="1" customWidth="1"/>
    <col min="14" max="15" width="9" style="1"/>
    <col min="16" max="16" width="16" style="1" customWidth="1"/>
    <col min="17" max="18" width="22.875" style="1" customWidth="1"/>
    <col min="19" max="16384" width="9" style="1"/>
  </cols>
  <sheetData>
    <row r="2" spans="2:18" ht="17.25" thickBot="1">
      <c r="B2" s="251" t="s">
        <v>729</v>
      </c>
      <c r="C2" s="252"/>
      <c r="D2" s="648" t="str">
        <f>'ARF210_1B(Ccy)'!B1</f>
        <v>AUD</v>
      </c>
      <c r="E2" s="252"/>
      <c r="F2" s="252"/>
      <c r="G2" s="253" t="b">
        <f>(E5-F5)=G5</f>
        <v>1</v>
      </c>
      <c r="H2" s="253" t="e">
        <f>H5=(D5/G5)</f>
        <v>#DIV/0!</v>
      </c>
    </row>
    <row r="3" spans="2:18" ht="20.45" customHeight="1" thickTop="1">
      <c r="B3" s="1046" t="s">
        <v>701</v>
      </c>
      <c r="C3" s="1049" t="s">
        <v>702</v>
      </c>
      <c r="D3" s="1051" t="s">
        <v>732</v>
      </c>
      <c r="E3" s="1052"/>
      <c r="F3" s="1052"/>
      <c r="G3" s="1052"/>
      <c r="H3" s="1053"/>
      <c r="J3" s="1078" t="str">
        <f>'ARF210_1B(Ccy)'!B1</f>
        <v>AUD</v>
      </c>
    </row>
    <row r="4" spans="2:18" ht="20.45" customHeight="1" thickBot="1">
      <c r="B4" s="1047"/>
      <c r="C4" s="1050"/>
      <c r="D4" s="254" t="s">
        <v>711</v>
      </c>
      <c r="E4" s="287" t="s">
        <v>80</v>
      </c>
      <c r="F4" s="289" t="s">
        <v>712</v>
      </c>
      <c r="G4" s="255" t="s">
        <v>713</v>
      </c>
      <c r="H4" s="291" t="s">
        <v>714</v>
      </c>
      <c r="I4" s="259"/>
      <c r="J4" s="1079"/>
    </row>
    <row r="5" spans="2:18" ht="20.45" customHeight="1" thickTop="1" thickBot="1">
      <c r="B5" s="1048"/>
      <c r="C5" s="258">
        <f>C21</f>
        <v>46058</v>
      </c>
      <c r="D5" s="256">
        <f>D21</f>
        <v>0</v>
      </c>
      <c r="E5" s="288">
        <f>H21</f>
        <v>0</v>
      </c>
      <c r="F5" s="290">
        <f>K21</f>
        <v>0</v>
      </c>
      <c r="G5" s="257">
        <f>L21</f>
        <v>0</v>
      </c>
      <c r="H5" s="825" t="e">
        <f>M21</f>
        <v>#DIV/0!</v>
      </c>
      <c r="I5" s="260"/>
    </row>
    <row r="6" spans="2:18" ht="18" thickTop="1" thickBot="1">
      <c r="B6" s="252"/>
      <c r="C6" s="252"/>
      <c r="D6" s="252"/>
      <c r="E6" s="252"/>
      <c r="F6" s="252"/>
      <c r="G6" s="252"/>
      <c r="H6" s="252"/>
    </row>
    <row r="7" spans="2:18" ht="18" thickTop="1" thickBot="1">
      <c r="B7" s="252"/>
      <c r="C7" s="252"/>
      <c r="D7" s="278" t="s">
        <v>727</v>
      </c>
      <c r="E7" s="279"/>
      <c r="F7" s="279"/>
      <c r="G7" s="279"/>
      <c r="H7" s="614"/>
      <c r="I7" s="614"/>
      <c r="J7" s="614"/>
      <c r="K7" s="647"/>
    </row>
    <row r="8" spans="2:18" ht="17.25" thickBot="1">
      <c r="B8" s="252"/>
      <c r="C8" s="252"/>
      <c r="D8" s="281"/>
      <c r="E8" s="267" t="s">
        <v>726</v>
      </c>
      <c r="F8" s="268"/>
      <c r="G8" s="268"/>
      <c r="H8" s="530" t="b">
        <f>SUMIFS(BS_RE33!$H$7:$H$874,BS_RE33!$A$7:$A$874,G9,BS_RE33!$F$7:$F$874,$D$2)=SUM(E10:H10)</f>
        <v>0</v>
      </c>
      <c r="I8" s="176"/>
      <c r="J8" s="176"/>
      <c r="K8" s="282"/>
    </row>
    <row r="9" spans="2:18" ht="17.25" thickBot="1">
      <c r="D9" s="283"/>
      <c r="E9" s="267" t="s">
        <v>723</v>
      </c>
      <c r="F9" s="176"/>
      <c r="G9" s="618" t="s">
        <v>331</v>
      </c>
      <c r="H9" s="618" t="s">
        <v>1450</v>
      </c>
      <c r="I9" s="176"/>
      <c r="J9" s="617" t="s">
        <v>1204</v>
      </c>
      <c r="K9" s="282"/>
      <c r="Q9" s="1058" t="s">
        <v>709</v>
      </c>
      <c r="R9" s="1059"/>
    </row>
    <row r="10" spans="2:18" ht="18" thickTop="1" thickBot="1">
      <c r="D10" s="284" t="s">
        <v>1472</v>
      </c>
      <c r="E10" s="643" cm="1">
        <f t="array" ref="E10">IFERROR(_xlfn.XLOOKUP(1,(BS_RE33!$C$7:$C$874='Summary &amp; Working File(Ccy)'!E12)*(BS_RE33!$A$7:$A$874='Summary &amp; Working File(Ccy)'!$G$9)*(BS_RE33!$F$7:$F$874='Summary &amp; Working File(Ccy)'!$D$2),BS_RE33!$H$7:$H$874),0)</f>
        <v>0</v>
      </c>
      <c r="F10" s="638" cm="1">
        <f t="array" ref="F10">IFERROR(_xlfn.XLOOKUP(1,(BS_RE33!$C$7:$C$874='Summary &amp; Working File(Ccy)'!F12)*(BS_RE33!$A$7:$A$874='Summary &amp; Working File(Ccy)'!$G$9)*(BS_RE33!$F$7:$F$874='Summary &amp; Working File(Ccy)'!$D$2),BS_RE33!$H$7:$H$874),0)</f>
        <v>0</v>
      </c>
      <c r="G10" s="638" cm="1">
        <f t="array" ref="G10">IFERROR(_xlfn.XLOOKUP(1,(BS_RE33!$C$7:$C$874='Summary &amp; Working File(Ccy)'!G12)*(BS_RE33!$A$7:$A$874='Summary &amp; Working File(Ccy)'!$G$9)*(BS_RE33!$F$7:$F$874='Summary &amp; Working File(Ccy)'!$D$2),BS_RE33!$H$7:$H$874),0)</f>
        <v>0</v>
      </c>
      <c r="H10" s="644" cm="1">
        <f t="array" ref="H10">IFERROR(_xlfn.XLOOKUP(1,(BS_RE33!$C$7:$C$874='Summary &amp; Working File(Ccy)'!H12)*(BS_RE33!$A$7:$A$874='Summary &amp; Working File(Ccy)'!$G$9)*(BS_RE33!$F$7:$F$874='Summary &amp; Working File(Ccy)'!$D$2),BS_RE33!$H$7:$H$874),0)</f>
        <v>0</v>
      </c>
      <c r="I10" s="176"/>
      <c r="J10" s="299"/>
      <c r="K10" s="282"/>
      <c r="P10" s="212"/>
      <c r="Q10" s="213" t="s">
        <v>80</v>
      </c>
      <c r="R10" s="214" t="s">
        <v>63</v>
      </c>
    </row>
    <row r="11" spans="2:18" ht="18" thickTop="1" thickBot="1">
      <c r="D11" s="285" t="s">
        <v>716</v>
      </c>
      <c r="E11" s="645" cm="1">
        <f t="array" ref="E11">IFERROR(_xlfn.XLOOKUP(1,(BS_RE33!$C$7:$C$874='Summary &amp; Working File(Ccy)'!E12)*(BS_RE33!$A$7:$A$874='Summary &amp; Working File(Ccy)'!$G$9)*(BS_RE33!$F$7:$F$874='Summary &amp; Working File(Ccy)'!$D$2),BS_RE33!$J$7:$J$874),0)</f>
        <v>0</v>
      </c>
      <c r="F11" s="639" cm="1">
        <f t="array" ref="F11">IFERROR(_xlfn.XLOOKUP(1,(BS_RE33!$C$7:$C$874='Summary &amp; Working File(Ccy)'!F12)*(BS_RE33!$A$7:$A$874='Summary &amp; Working File(Ccy)'!$G$9)*(BS_RE33!$F$7:$F$874='Summary &amp; Working File(Ccy)'!$D$2),BS_RE33!$J$7:$J$874),0)</f>
        <v>0</v>
      </c>
      <c r="G11" s="639" cm="1">
        <f t="array" ref="G11">IFERROR(_xlfn.XLOOKUP(1,(BS_RE33!$C$7:$C$874='Summary &amp; Working File(Ccy)'!G12)*(BS_RE33!$A$7:$A$874='Summary &amp; Working File(Ccy)'!$G$9)*(BS_RE33!$F$7:$F$874='Summary &amp; Working File(Ccy)'!$D$2),BS_RE33!$J$7:$J$874),0)</f>
        <v>0</v>
      </c>
      <c r="H11" s="646" cm="1">
        <f t="array" ref="H11">IFERROR(_xlfn.XLOOKUP(1,(BS_RE33!$C$7:$C$874='Summary &amp; Working File(Ccy)'!H12)*(BS_RE33!$A$7:$A$874='Summary &amp; Working File(Ccy)'!$G$9)*(BS_RE33!$F$7:$F$874='Summary &amp; Working File(Ccy)'!$D$2),BS_RE33!$J$7:$J$874),0)</f>
        <v>0</v>
      </c>
      <c r="I11" s="176"/>
      <c r="J11" s="615"/>
      <c r="K11" s="282"/>
      <c r="P11" s="5" t="s">
        <v>65</v>
      </c>
      <c r="Q11" s="216">
        <f>SUMIFS(BS_RE33!$U$7:$U$874,BS_RE33!$S$7:$S$874,'Summary &amp; Working File(Ccy)'!P11,BS_RE33!$N$7:$N$874,'Summary &amp; Working File(Ccy)'!$Q$10,BS_RE33!$F$7:$F$874,$J$3)+SUMIF($P$13:$P$19,P11,$Q$13:$Q$19)</f>
        <v>0</v>
      </c>
      <c r="R11" s="217">
        <f>SUMIFS(BS_RE33!$U$7:$U$874,BS_RE33!$S$7:$S$874,'Summary &amp; Working File(Ccy)'!P11,BS_RE33!$N$7:$N$874,'Summary &amp; Working File(Ccy)'!$R$10,BS_RE33!$F$7:$F$874,$J$3)+SUMIF($P$13:$P$19,P11,$R$13:$R$19)</f>
        <v>0</v>
      </c>
    </row>
    <row r="12" spans="2:18" ht="18" thickTop="1" thickBot="1">
      <c r="D12" s="285" t="s">
        <v>4</v>
      </c>
      <c r="E12" s="619" t="str">
        <f>'Summary &amp; Working File(AllCcy)'!E12</f>
        <v/>
      </c>
      <c r="F12" s="619" t="str">
        <f>'Summary &amp; Working File(AllCcy)'!F12</f>
        <v/>
      </c>
      <c r="G12" s="619" t="str">
        <f>'Summary &amp; Working File(AllCcy)'!G12</f>
        <v/>
      </c>
      <c r="H12" s="619" t="str">
        <f>'Summary &amp; Working File(AllCcy)'!H12</f>
        <v/>
      </c>
      <c r="I12" s="176"/>
      <c r="J12" s="530" t="b">
        <f>SUMIFS(BS_RE33!$H$7:$H$874,BS_RE33!$A$7:$A$874,I13,BS_RE33!$F$7:$F$874,$D$2)=SUM(E13:J14)</f>
        <v>0</v>
      </c>
      <c r="K12" s="282"/>
      <c r="O12" s="218"/>
      <c r="P12" s="5"/>
      <c r="Q12" s="5"/>
      <c r="R12" s="5"/>
    </row>
    <row r="13" spans="2:18" ht="17.25" thickBot="1">
      <c r="D13" s="283"/>
      <c r="E13" s="267" t="s">
        <v>724</v>
      </c>
      <c r="F13" s="267"/>
      <c r="G13" s="267"/>
      <c r="H13" s="267"/>
      <c r="I13" s="618" t="s">
        <v>311</v>
      </c>
      <c r="J13" s="618" t="s">
        <v>1419</v>
      </c>
      <c r="K13" s="282"/>
      <c r="L13" s="300"/>
      <c r="M13" s="302"/>
      <c r="N13" s="301"/>
      <c r="O13" s="1073" t="s">
        <v>822</v>
      </c>
      <c r="P13" s="219" t="s">
        <v>65</v>
      </c>
      <c r="Q13" s="220"/>
      <c r="R13" s="221">
        <f>Q17</f>
        <v>0</v>
      </c>
    </row>
    <row r="14" spans="2:18" ht="17.25" thickTop="1">
      <c r="D14" s="284" t="s">
        <v>715</v>
      </c>
      <c r="E14" s="643" cm="1">
        <f t="array" ref="E14">IFERROR(_xlfn.XLOOKUP(1,(BS_RE33!$C$7:$C$874='Summary &amp; Working File(Ccy)'!E16)*(BS_RE33!$A$7:$A$874='Summary &amp; Working File(Ccy)'!$I$13)*(BS_RE33!$F$7:$F$874='Summary &amp; Working File(Ccy)'!$D$2),BS_RE33!$H$7:$H$874),0)</f>
        <v>0</v>
      </c>
      <c r="F14" s="638" cm="1">
        <f t="array" ref="F14">IFERROR(_xlfn.XLOOKUP(1,(BS_RE33!$C$7:$C$874='Summary &amp; Working File(Ccy)'!F16)*(BS_RE33!$A$7:$A$874='Summary &amp; Working File(Ccy)'!$I$13)*(BS_RE33!$F$7:$F$874='Summary &amp; Working File(Ccy)'!$D$2),BS_RE33!$H$7:$H$874),0)</f>
        <v>0</v>
      </c>
      <c r="G14" s="638" cm="1">
        <f t="array" ref="G14">IFERROR(_xlfn.XLOOKUP(1,(BS_RE33!$C$7:$C$874='Summary &amp; Working File(Ccy)'!G16)*(BS_RE33!$A$7:$A$874='Summary &amp; Working File(Ccy)'!$I$13)*(BS_RE33!$F$7:$F$874='Summary &amp; Working File(Ccy)'!$D$2),BS_RE33!$H$7:$H$874),0)</f>
        <v>0</v>
      </c>
      <c r="H14" s="638" cm="1">
        <f t="array" ref="H14">IFERROR(_xlfn.XLOOKUP(1,(BS_RE33!$C$7:$C$874='Summary &amp; Working File(Ccy)'!H16)*(BS_RE33!$A$7:$A$874='Summary &amp; Working File(Ccy)'!$I$13)*(BS_RE33!$F$7:$F$874='Summary &amp; Working File(Ccy)'!$D$2),BS_RE33!$H$7:$H$874),0)</f>
        <v>0</v>
      </c>
      <c r="I14" s="638" cm="1">
        <f t="array" ref="I14">IFERROR(_xlfn.XLOOKUP(1,(BS_RE33!$C$7:$C$874='Summary &amp; Working File(Ccy)'!I16)*(BS_RE33!$A$7:$A$874='Summary &amp; Working File(Ccy)'!$I$13)*(BS_RE33!$F$7:$F$874='Summary &amp; Working File(Ccy)'!$D$2),BS_RE33!$H$7:$H$874),0)</f>
        <v>0</v>
      </c>
      <c r="J14" s="644" cm="1">
        <f t="array" ref="J14">IFERROR(_xlfn.XLOOKUP(1,(BS_RE33!$C$7:$C$874='Summary &amp; Working File(Ccy)'!J16)*(BS_RE33!$A$7:$A$874='Summary &amp; Working File(Ccy)'!$I$13)*(BS_RE33!$F$7:$F$874='Summary &amp; Working File(Ccy)'!$D$2),BS_RE33!$H$7:$H$874),0)</f>
        <v>0</v>
      </c>
      <c r="K14" s="282"/>
      <c r="O14" s="1074"/>
      <c r="P14" s="222">
        <f>C21</f>
        <v>46058</v>
      </c>
      <c r="Q14" s="223"/>
      <c r="R14" s="224"/>
    </row>
    <row r="15" spans="2:18" ht="17.25" thickBot="1">
      <c r="D15" s="285" t="s">
        <v>716</v>
      </c>
      <c r="E15" s="645" cm="1">
        <f t="array" ref="E15">IFERROR(_xlfn.XLOOKUP(1,(BS_RE33!$C$7:$C$874='Summary &amp; Working File(Ccy)'!E16)*(BS_RE33!$A$7:$A$874='Summary &amp; Working File(Ccy)'!$I$13)*(BS_RE33!$F$7:$F$874='Summary &amp; Working File(Ccy)'!$D$2),BS_RE33!$J$7:$J$874),0)</f>
        <v>0</v>
      </c>
      <c r="F15" s="639" cm="1">
        <f t="array" ref="F15">IFERROR(_xlfn.XLOOKUP(1,(BS_RE33!$C$7:$C$874='Summary &amp; Working File(Ccy)'!F16)*(BS_RE33!$A$7:$A$874='Summary &amp; Working File(Ccy)'!$I$13)*(BS_RE33!$F$7:$F$874='Summary &amp; Working File(Ccy)'!$D$2),BS_RE33!$J$7:$J$874),0)</f>
        <v>0</v>
      </c>
      <c r="G15" s="639" cm="1">
        <f t="array" ref="G15">IFERROR(_xlfn.XLOOKUP(1,(BS_RE33!$C$7:$C$874='Summary &amp; Working File(Ccy)'!G16)*(BS_RE33!$A$7:$A$874='Summary &amp; Working File(Ccy)'!$I$13)*(BS_RE33!$F$7:$F$874='Summary &amp; Working File(Ccy)'!$D$2),BS_RE33!$J$7:$J$874),0)</f>
        <v>0</v>
      </c>
      <c r="H15" s="639" cm="1">
        <f t="array" ref="H15">IFERROR(_xlfn.XLOOKUP(1,(BS_RE33!$C$7:$C$874='Summary &amp; Working File(Ccy)'!H16)*(BS_RE33!$A$7:$A$874='Summary &amp; Working File(Ccy)'!$I$13)*(BS_RE33!$F$7:$F$874='Summary &amp; Working File(Ccy)'!$D$2),BS_RE33!$J$7:$J$874),0)</f>
        <v>0</v>
      </c>
      <c r="I15" s="639" cm="1">
        <f t="array" ref="I15">IFERROR(_xlfn.XLOOKUP(1,(BS_RE33!$C$7:$C$874='Summary &amp; Working File(Ccy)'!I16)*(BS_RE33!$A$7:$A$874='Summary &amp; Working File(Ccy)'!$I$13)*(BS_RE33!$F$7:$F$874='Summary &amp; Working File(Ccy)'!$D$2),BS_RE33!$J$7:$J$874),0)</f>
        <v>0</v>
      </c>
      <c r="J15" s="646" cm="1">
        <f t="array" ref="J15">IFERROR(_xlfn.XLOOKUP(1,(BS_RE33!$C$7:$C$874='Summary &amp; Working File(Ccy)'!J16)*(BS_RE33!$A$7:$A$874='Summary &amp; Working File(Ccy)'!$I$13)*(BS_RE33!$F$7:$F$874='Summary &amp; Working File(Ccy)'!$D$2),BS_RE33!$J$7:$J$874),0)</f>
        <v>0</v>
      </c>
      <c r="K15" s="282"/>
      <c r="M15" s="300" t="str">
        <f>"The lowest LCR for next "&amp;ROUND((C264-C21)/(365/12),0)&amp;" months"</f>
        <v>The lowest LCR for next 8 months</v>
      </c>
      <c r="O15" s="1074"/>
      <c r="P15" s="222">
        <f>P14</f>
        <v>46058</v>
      </c>
      <c r="Q15" s="223"/>
      <c r="R15" s="224"/>
    </row>
    <row r="16" spans="2:18" ht="18" customHeight="1" thickTop="1" thickBot="1">
      <c r="D16" s="286" t="s">
        <v>4</v>
      </c>
      <c r="E16" s="620" t="str">
        <f>'Summary &amp; Working File(AllCcy)'!E16</f>
        <v/>
      </c>
      <c r="F16" s="620" t="str">
        <f>'Summary &amp; Working File(AllCcy)'!F16</f>
        <v/>
      </c>
      <c r="G16" s="620" t="str">
        <f>'Summary &amp; Working File(AllCcy)'!G16</f>
        <v/>
      </c>
      <c r="H16" s="620" t="str">
        <f>'Summary &amp; Working File(AllCcy)'!H16</f>
        <v/>
      </c>
      <c r="I16" s="620" t="str">
        <f>'Summary &amp; Working File(AllCcy)'!I16</f>
        <v/>
      </c>
      <c r="J16" s="620" t="str">
        <f>'Summary &amp; Working File(AllCcy)'!J16</f>
        <v/>
      </c>
      <c r="K16" s="616"/>
      <c r="L16" s="303"/>
      <c r="M16" s="277" t="e">
        <f>MIN(M21:M263)</f>
        <v>#DIV/0!</v>
      </c>
      <c r="O16" s="1074"/>
      <c r="P16" s="222">
        <v>45316</v>
      </c>
      <c r="Q16" s="223"/>
      <c r="R16" s="224"/>
    </row>
    <row r="17" spans="2:18" ht="15.95" customHeight="1" thickTop="1">
      <c r="O17" s="1074"/>
      <c r="P17" s="222">
        <f>P16</f>
        <v>45316</v>
      </c>
      <c r="Q17" s="223"/>
      <c r="R17" s="224"/>
    </row>
    <row r="18" spans="2:18" ht="17.25" thickBot="1">
      <c r="B18" s="1060" t="s">
        <v>701</v>
      </c>
      <c r="C18" s="1063" t="s">
        <v>702</v>
      </c>
      <c r="D18" s="1066" t="s">
        <v>707</v>
      </c>
      <c r="E18" s="1066"/>
      <c r="F18" s="1066"/>
      <c r="G18" s="1066"/>
      <c r="H18" s="1066"/>
      <c r="I18" s="1066"/>
      <c r="J18" s="1066"/>
      <c r="K18" s="1066"/>
      <c r="L18" s="1066"/>
      <c r="M18" s="1067"/>
      <c r="O18" s="1075"/>
      <c r="P18" s="222">
        <f>P17</f>
        <v>45316</v>
      </c>
      <c r="Q18" s="223"/>
      <c r="R18" s="224"/>
    </row>
    <row r="19" spans="2:18" ht="18" customHeight="1" thickTop="1" thickBot="1">
      <c r="B19" s="1061"/>
      <c r="C19" s="1064"/>
      <c r="D19" s="1068" t="s">
        <v>60</v>
      </c>
      <c r="E19" s="1069" t="s">
        <v>80</v>
      </c>
      <c r="F19" s="1069"/>
      <c r="G19" s="1069"/>
      <c r="H19" s="1070"/>
      <c r="I19" s="1068" t="s">
        <v>63</v>
      </c>
      <c r="J19" s="1068"/>
      <c r="K19" s="1077"/>
      <c r="L19" s="1054" t="s">
        <v>817</v>
      </c>
      <c r="M19" s="1056" t="s">
        <v>728</v>
      </c>
      <c r="O19" s="1076"/>
      <c r="P19" s="225">
        <f>P18</f>
        <v>45316</v>
      </c>
      <c r="Q19" s="226"/>
      <c r="R19" s="227"/>
    </row>
    <row r="20" spans="2:18" ht="32.450000000000003" customHeight="1" thickTop="1" thickBot="1">
      <c r="B20" s="1062"/>
      <c r="C20" s="1065"/>
      <c r="D20" s="1068"/>
      <c r="E20" s="228" t="s">
        <v>703</v>
      </c>
      <c r="F20" s="266" t="s">
        <v>725</v>
      </c>
      <c r="G20" s="229" t="s">
        <v>704</v>
      </c>
      <c r="H20" s="272" t="s">
        <v>705</v>
      </c>
      <c r="I20" s="230" t="s">
        <v>703</v>
      </c>
      <c r="J20" s="231" t="s">
        <v>710</v>
      </c>
      <c r="K20" s="271" t="s">
        <v>706</v>
      </c>
      <c r="L20" s="1055"/>
      <c r="M20" s="1057"/>
      <c r="O20" s="218"/>
      <c r="Q20" s="215"/>
      <c r="R20" s="215"/>
    </row>
    <row r="21" spans="2:18" ht="18" thickTop="1" thickBot="1">
      <c r="B21" s="232">
        <v>1</v>
      </c>
      <c r="C21" s="233">
        <f>BS_RE33!N4</f>
        <v>46058</v>
      </c>
      <c r="D21" s="234">
        <f>SUMIFS(BS_RE33!$U$7:$U$874,BS_RE33!$N$7:$N$874,$D$19,BS_RE33!$F$7:$F$874,$J$3)</f>
        <v>0</v>
      </c>
      <c r="E21" s="235">
        <f>$Q$11+SUM(Q22:Q51)</f>
        <v>0</v>
      </c>
      <c r="F21" s="236">
        <f>(IF(C21&lt;($E$11-30),$E$10*5%,0)+IF(C21&lt;($F$11-30),$F$10*5%,0)+IF(C21&lt;($G$11-30),$G$10*5%,0)+IF(C21&lt;($H$11-30),$H$10*5%,0))+(IF(C21&lt;($E$15-30),$E$14*10%,0)+IF(C21&lt;($F$15-30),$F$14*10%,0)+IF(C21&lt;($G$15-30),$G$14*10%,0)+IF(C21&lt;($H$15-30),$H$14*10%,0)+IF(C21&lt;($I$15-30),$I$14*10%,0)+IF(C21&lt;($J$15-30),$J$14*10%,0))</f>
        <v>0</v>
      </c>
      <c r="G21" s="237">
        <f t="shared" ref="G21:G84" si="0">$J$10*10%</f>
        <v>0</v>
      </c>
      <c r="H21" s="273">
        <f>SUM(E21:G21)</f>
        <v>0</v>
      </c>
      <c r="I21" s="238">
        <f>$R$11+SUM(R22:R51)</f>
        <v>0</v>
      </c>
      <c r="J21" s="237">
        <f>H21*20%</f>
        <v>0</v>
      </c>
      <c r="K21" s="269">
        <f>MIN(SUM(I21:J21),H21*75%)</f>
        <v>0</v>
      </c>
      <c r="L21" s="239">
        <f>H21-K21</f>
        <v>0</v>
      </c>
      <c r="M21" s="275" t="e">
        <f>D21/L21</f>
        <v>#DIV/0!</v>
      </c>
      <c r="N21" s="3"/>
      <c r="O21" s="1">
        <v>1</v>
      </c>
      <c r="P21" s="240">
        <f>C21</f>
        <v>46058</v>
      </c>
      <c r="Q21" s="241">
        <f>ROUND(SUMIFS(BS_RE33!$U$7:$U$874,BS_RE33!$S$7:$S$874,'Summary &amp; Working File(Ccy)'!P21,BS_RE33!$N$7:$N$874,'Summary &amp; Working File(Ccy)'!$Q$10,BS_RE33!$F$7:$F$874,$J$3)+SUMIF($P$13:$P$19,P21,$Q$13:$Q$19),2)</f>
        <v>0</v>
      </c>
      <c r="R21" s="242">
        <f>ROUND(SUMIFS(BS_RE33!$U$7:$U$874,BS_RE33!$S$7:$S$874,'Summary &amp; Working File(Ccy)'!P21,BS_RE33!$N$7:$N$874,'Summary &amp; Working File(Ccy)'!$R$10,BS_RE33!$F$7:$F$874,$J$3)+SUMIF($P$13:$P$19,P21,$R$13:$R$19),2)</f>
        <v>0</v>
      </c>
    </row>
    <row r="22" spans="2:18" ht="17.25" thickTop="1">
      <c r="B22" s="243">
        <f>B21+1</f>
        <v>2</v>
      </c>
      <c r="C22" s="244">
        <f>C21+1</f>
        <v>46059</v>
      </c>
      <c r="D22" s="245">
        <f>D21</f>
        <v>0</v>
      </c>
      <c r="E22" s="235">
        <f>$Q$11+SUM(Q23:Q52)</f>
        <v>0</v>
      </c>
      <c r="F22" s="236">
        <f t="shared" ref="F22:F85" si="1">(IF(C22&lt;($E$11-30),$E$10*5%,0)+IF(C22&lt;($F$11-30),$F$10*5%,0)+IF(C22&lt;($G$11-30),$G$10*5%,0)+IF(C22&lt;($H$11-30),$H$10*5%,0))+(IF(C22&lt;($E$15-30),$E$14*10%,0)+IF(C22&lt;($F$15-30),$F$14*10%,0)+IF(C22&lt;($G$15-30),$G$14*10%,0)+IF(C22&lt;($H$15-30),$H$14*10%,0)+IF(C22&lt;($I$15-30),$I$14*10%,0)+IF(C22&lt;($J$15-30),$J$14*10%,0))</f>
        <v>0</v>
      </c>
      <c r="G22" s="237">
        <f t="shared" si="0"/>
        <v>0</v>
      </c>
      <c r="H22" s="273">
        <f t="shared" ref="H22:H85" si="2">SUM(E22:G22)</f>
        <v>0</v>
      </c>
      <c r="I22" s="238">
        <f t="shared" ref="I22:I52" si="3">$R$11+SUM(R23:R52)</f>
        <v>0</v>
      </c>
      <c r="J22" s="237">
        <f t="shared" ref="J22:J85" si="4">H22*20%</f>
        <v>0</v>
      </c>
      <c r="K22" s="269">
        <f t="shared" ref="K22:K85" si="5">MIN(SUM(I22:J22),H22*75%)</f>
        <v>0</v>
      </c>
      <c r="L22" s="239">
        <f t="shared" ref="L22:L85" si="6">H22-K22</f>
        <v>0</v>
      </c>
      <c r="M22" s="275" t="e">
        <f t="shared" ref="M22:M85" si="7">D22/L22</f>
        <v>#DIV/0!</v>
      </c>
      <c r="N22" s="3"/>
      <c r="O22" s="1">
        <f>O21+1</f>
        <v>2</v>
      </c>
      <c r="P22" s="182">
        <f>P21+1</f>
        <v>46059</v>
      </c>
      <c r="Q22" s="241">
        <f>ROUND(SUMIFS(BS_RE33!$U$7:$U$874,BS_RE33!$S$7:$S$874,'Summary &amp; Working File(Ccy)'!P22,BS_RE33!$N$7:$N$874,'Summary &amp; Working File(Ccy)'!$Q$10,BS_RE33!$F$7:$F$874,$J$3)+SUMIF($P$13:$P$19,P22,$Q$13:$Q$19),2)</f>
        <v>0</v>
      </c>
      <c r="R22" s="242">
        <f>ROUND(SUMIFS(BS_RE33!$U$7:$U$874,BS_RE33!$S$7:$S$874,'Summary &amp; Working File(Ccy)'!P22,BS_RE33!$N$7:$N$874,'Summary &amp; Working File(Ccy)'!$R$10,BS_RE33!$F$7:$F$874,$J$3)+SUMIF($P$13:$P$19,P22,$R$13:$R$19),2)</f>
        <v>0</v>
      </c>
    </row>
    <row r="23" spans="2:18">
      <c r="B23" s="243">
        <f t="shared" ref="B23:C38" si="8">B22+1</f>
        <v>3</v>
      </c>
      <c r="C23" s="244">
        <f t="shared" si="8"/>
        <v>46060</v>
      </c>
      <c r="D23" s="245">
        <f t="shared" ref="D23:D86" si="9">D22</f>
        <v>0</v>
      </c>
      <c r="E23" s="235">
        <f>$Q$11+SUM(Q24:Q53)</f>
        <v>0</v>
      </c>
      <c r="F23" s="236">
        <f t="shared" si="1"/>
        <v>0</v>
      </c>
      <c r="G23" s="237">
        <f t="shared" si="0"/>
        <v>0</v>
      </c>
      <c r="H23" s="273">
        <f t="shared" si="2"/>
        <v>0</v>
      </c>
      <c r="I23" s="238">
        <f t="shared" si="3"/>
        <v>0</v>
      </c>
      <c r="J23" s="237">
        <f t="shared" si="4"/>
        <v>0</v>
      </c>
      <c r="K23" s="269">
        <f t="shared" si="5"/>
        <v>0</v>
      </c>
      <c r="L23" s="239">
        <f t="shared" si="6"/>
        <v>0</v>
      </c>
      <c r="M23" s="275" t="e">
        <f t="shared" si="7"/>
        <v>#DIV/0!</v>
      </c>
      <c r="N23" s="3"/>
      <c r="O23" s="1">
        <f t="shared" ref="O23:P38" si="10">O22+1</f>
        <v>3</v>
      </c>
      <c r="P23" s="182">
        <f t="shared" si="10"/>
        <v>46060</v>
      </c>
      <c r="Q23" s="241">
        <f>ROUND(SUMIFS(BS_RE33!$U$7:$U$874,BS_RE33!$S$7:$S$874,'Summary &amp; Working File(Ccy)'!P23,BS_RE33!$N$7:$N$874,'Summary &amp; Working File(Ccy)'!$Q$10,BS_RE33!$F$7:$F$874,$J$3)+SUMIF($P$13:$P$19,P23,$Q$13:$Q$19),2)</f>
        <v>0</v>
      </c>
      <c r="R23" s="242">
        <f>ROUND(SUMIFS(BS_RE33!$U$7:$U$874,BS_RE33!$S$7:$S$874,'Summary &amp; Working File(Ccy)'!P23,BS_RE33!$N$7:$N$874,'Summary &amp; Working File(Ccy)'!$R$10,BS_RE33!$F$7:$F$874,$J$3)+SUMIF($P$13:$P$19,P23,$R$13:$R$19),2)</f>
        <v>0</v>
      </c>
    </row>
    <row r="24" spans="2:18">
      <c r="B24" s="243">
        <f t="shared" si="8"/>
        <v>4</v>
      </c>
      <c r="C24" s="244">
        <f t="shared" si="8"/>
        <v>46061</v>
      </c>
      <c r="D24" s="245">
        <f t="shared" si="9"/>
        <v>0</v>
      </c>
      <c r="E24" s="235">
        <f t="shared" ref="E24:E35" si="11">$Q$11+SUM(Q25:Q54)</f>
        <v>0</v>
      </c>
      <c r="F24" s="236">
        <f t="shared" si="1"/>
        <v>0</v>
      </c>
      <c r="G24" s="237">
        <f t="shared" si="0"/>
        <v>0</v>
      </c>
      <c r="H24" s="273">
        <f t="shared" si="2"/>
        <v>0</v>
      </c>
      <c r="I24" s="238">
        <f t="shared" si="3"/>
        <v>0</v>
      </c>
      <c r="J24" s="237">
        <f t="shared" si="4"/>
        <v>0</v>
      </c>
      <c r="K24" s="269">
        <f t="shared" si="5"/>
        <v>0</v>
      </c>
      <c r="L24" s="239">
        <f t="shared" si="6"/>
        <v>0</v>
      </c>
      <c r="M24" s="275" t="e">
        <f t="shared" si="7"/>
        <v>#DIV/0!</v>
      </c>
      <c r="N24" s="3"/>
      <c r="O24" s="1">
        <f t="shared" si="10"/>
        <v>4</v>
      </c>
      <c r="P24" s="182">
        <f t="shared" si="10"/>
        <v>46061</v>
      </c>
      <c r="Q24" s="241">
        <f>ROUND(SUMIFS(BS_RE33!$U$7:$U$874,BS_RE33!$S$7:$S$874,'Summary &amp; Working File(Ccy)'!P24,BS_RE33!$N$7:$N$874,'Summary &amp; Working File(Ccy)'!$Q$10,BS_RE33!$F$7:$F$874,$J$3)+SUMIF($P$13:$P$19,P24,$Q$13:$Q$19),2)</f>
        <v>0</v>
      </c>
      <c r="R24" s="242">
        <f>ROUND(SUMIFS(BS_RE33!$U$7:$U$874,BS_RE33!$S$7:$S$874,'Summary &amp; Working File(Ccy)'!P24,BS_RE33!$N$7:$N$874,'Summary &amp; Working File(Ccy)'!$R$10,BS_RE33!$F$7:$F$874,$J$3)+SUMIF($P$13:$P$19,P24,$R$13:$R$19),2)</f>
        <v>0</v>
      </c>
    </row>
    <row r="25" spans="2:18">
      <c r="B25" s="243">
        <f t="shared" si="8"/>
        <v>5</v>
      </c>
      <c r="C25" s="244">
        <f t="shared" si="8"/>
        <v>46062</v>
      </c>
      <c r="D25" s="245">
        <f t="shared" si="9"/>
        <v>0</v>
      </c>
      <c r="E25" s="235">
        <f>$Q$11+SUM(Q26:Q55)</f>
        <v>0</v>
      </c>
      <c r="F25" s="236">
        <f t="shared" si="1"/>
        <v>0</v>
      </c>
      <c r="G25" s="237">
        <f t="shared" si="0"/>
        <v>0</v>
      </c>
      <c r="H25" s="273">
        <f t="shared" si="2"/>
        <v>0</v>
      </c>
      <c r="I25" s="238">
        <f>$R$11+SUM(R26:R55)</f>
        <v>0</v>
      </c>
      <c r="J25" s="237">
        <f t="shared" si="4"/>
        <v>0</v>
      </c>
      <c r="K25" s="269">
        <f t="shared" si="5"/>
        <v>0</v>
      </c>
      <c r="L25" s="239">
        <f t="shared" si="6"/>
        <v>0</v>
      </c>
      <c r="M25" s="275" t="e">
        <f t="shared" si="7"/>
        <v>#DIV/0!</v>
      </c>
      <c r="N25" s="3"/>
      <c r="O25" s="1">
        <f t="shared" si="10"/>
        <v>5</v>
      </c>
      <c r="P25" s="182">
        <f t="shared" si="10"/>
        <v>46062</v>
      </c>
      <c r="Q25" s="241">
        <f>ROUND(SUMIFS(BS_RE33!$U$7:$U$874,BS_RE33!$S$7:$S$874,'Summary &amp; Working File(Ccy)'!P25,BS_RE33!$N$7:$N$874,'Summary &amp; Working File(Ccy)'!$Q$10,BS_RE33!$F$7:$F$874,$J$3)+SUMIF($P$13:$P$19,P25,$Q$13:$Q$19),2)</f>
        <v>0</v>
      </c>
      <c r="R25" s="242">
        <f>ROUND(SUMIFS(BS_RE33!$U$7:$U$874,BS_RE33!$S$7:$S$874,'Summary &amp; Working File(Ccy)'!P25,BS_RE33!$N$7:$N$874,'Summary &amp; Working File(Ccy)'!$R$10,BS_RE33!$F$7:$F$874,$J$3)+SUMIF($P$13:$P$19,P25,$R$13:$R$19),2)</f>
        <v>0</v>
      </c>
    </row>
    <row r="26" spans="2:18">
      <c r="B26" s="243">
        <f t="shared" si="8"/>
        <v>6</v>
      </c>
      <c r="C26" s="244">
        <f t="shared" si="8"/>
        <v>46063</v>
      </c>
      <c r="D26" s="245">
        <f t="shared" si="9"/>
        <v>0</v>
      </c>
      <c r="E26" s="235">
        <f t="shared" si="11"/>
        <v>0</v>
      </c>
      <c r="F26" s="236">
        <f t="shared" si="1"/>
        <v>0</v>
      </c>
      <c r="G26" s="237">
        <f t="shared" si="0"/>
        <v>0</v>
      </c>
      <c r="H26" s="273">
        <f>SUM(E26:G26)</f>
        <v>0</v>
      </c>
      <c r="I26" s="238">
        <f t="shared" si="3"/>
        <v>0</v>
      </c>
      <c r="J26" s="237">
        <f t="shared" si="4"/>
        <v>0</v>
      </c>
      <c r="K26" s="269">
        <f t="shared" si="5"/>
        <v>0</v>
      </c>
      <c r="L26" s="239">
        <f t="shared" si="6"/>
        <v>0</v>
      </c>
      <c r="M26" s="275" t="e">
        <f t="shared" si="7"/>
        <v>#DIV/0!</v>
      </c>
      <c r="N26" s="3"/>
      <c r="O26" s="1">
        <f t="shared" si="10"/>
        <v>6</v>
      </c>
      <c r="P26" s="182">
        <f t="shared" si="10"/>
        <v>46063</v>
      </c>
      <c r="Q26" s="241">
        <f>ROUND(SUMIFS(BS_RE33!$U$7:$U$874,BS_RE33!$S$7:$S$874,'Summary &amp; Working File(Ccy)'!P26,BS_RE33!$N$7:$N$874,'Summary &amp; Working File(Ccy)'!$Q$10,BS_RE33!$F$7:$F$874,$J$3)+SUMIF($P$13:$P$19,P26,$Q$13:$Q$19),2)</f>
        <v>0</v>
      </c>
      <c r="R26" s="242">
        <f>ROUND(SUMIFS(BS_RE33!$U$7:$U$874,BS_RE33!$S$7:$S$874,'Summary &amp; Working File(Ccy)'!P26,BS_RE33!$N$7:$N$874,'Summary &amp; Working File(Ccy)'!$R$10,BS_RE33!$F$7:$F$874,$J$3)+SUMIF($P$13:$P$19,P26,$R$13:$R$19),2)</f>
        <v>0</v>
      </c>
    </row>
    <row r="27" spans="2:18">
      <c r="B27" s="243">
        <f t="shared" si="8"/>
        <v>7</v>
      </c>
      <c r="C27" s="244">
        <f t="shared" si="8"/>
        <v>46064</v>
      </c>
      <c r="D27" s="245">
        <f t="shared" si="9"/>
        <v>0</v>
      </c>
      <c r="E27" s="235">
        <f t="shared" si="11"/>
        <v>0</v>
      </c>
      <c r="F27" s="236">
        <f t="shared" si="1"/>
        <v>0</v>
      </c>
      <c r="G27" s="237">
        <f t="shared" si="0"/>
        <v>0</v>
      </c>
      <c r="H27" s="273">
        <f t="shared" si="2"/>
        <v>0</v>
      </c>
      <c r="I27" s="238">
        <f>$R$11+SUM(R28:R57)</f>
        <v>0</v>
      </c>
      <c r="J27" s="237">
        <f t="shared" si="4"/>
        <v>0</v>
      </c>
      <c r="K27" s="269">
        <f t="shared" si="5"/>
        <v>0</v>
      </c>
      <c r="L27" s="239">
        <f t="shared" si="6"/>
        <v>0</v>
      </c>
      <c r="M27" s="275" t="e">
        <f t="shared" si="7"/>
        <v>#DIV/0!</v>
      </c>
      <c r="N27" s="3"/>
      <c r="O27" s="1">
        <f t="shared" si="10"/>
        <v>7</v>
      </c>
      <c r="P27" s="182">
        <f t="shared" si="10"/>
        <v>46064</v>
      </c>
      <c r="Q27" s="241">
        <f>ROUND(SUMIFS(BS_RE33!$U$7:$U$874,BS_RE33!$S$7:$S$874,'Summary &amp; Working File(Ccy)'!P27,BS_RE33!$N$7:$N$874,'Summary &amp; Working File(Ccy)'!$Q$10,BS_RE33!$F$7:$F$874,$J$3)+SUMIF($P$13:$P$19,P27,$Q$13:$Q$19),2)</f>
        <v>0</v>
      </c>
      <c r="R27" s="242">
        <f>ROUND(SUMIFS(BS_RE33!$U$7:$U$874,BS_RE33!$S$7:$S$874,'Summary &amp; Working File(Ccy)'!P27,BS_RE33!$N$7:$N$874,'Summary &amp; Working File(Ccy)'!$R$10,BS_RE33!$F$7:$F$874,$J$3)+SUMIF($P$13:$P$19,P27,$R$13:$R$19),2)</f>
        <v>0</v>
      </c>
    </row>
    <row r="28" spans="2:18">
      <c r="B28" s="243">
        <f t="shared" si="8"/>
        <v>8</v>
      </c>
      <c r="C28" s="244">
        <f t="shared" si="8"/>
        <v>46065</v>
      </c>
      <c r="D28" s="245">
        <f t="shared" si="9"/>
        <v>0</v>
      </c>
      <c r="E28" s="235">
        <f t="shared" si="11"/>
        <v>0</v>
      </c>
      <c r="F28" s="236">
        <f t="shared" si="1"/>
        <v>0</v>
      </c>
      <c r="G28" s="237">
        <f t="shared" si="0"/>
        <v>0</v>
      </c>
      <c r="H28" s="273">
        <f>SUM(E28:G28)</f>
        <v>0</v>
      </c>
      <c r="I28" s="238">
        <f>$R$11+SUM(R29:R58)</f>
        <v>0</v>
      </c>
      <c r="J28" s="237">
        <f t="shared" si="4"/>
        <v>0</v>
      </c>
      <c r="K28" s="269">
        <f t="shared" si="5"/>
        <v>0</v>
      </c>
      <c r="L28" s="239">
        <f t="shared" si="6"/>
        <v>0</v>
      </c>
      <c r="M28" s="275" t="e">
        <f t="shared" si="7"/>
        <v>#DIV/0!</v>
      </c>
      <c r="N28" s="3"/>
      <c r="O28" s="1">
        <f t="shared" si="10"/>
        <v>8</v>
      </c>
      <c r="P28" s="182">
        <f t="shared" si="10"/>
        <v>46065</v>
      </c>
      <c r="Q28" s="241">
        <f>ROUND(SUMIFS(BS_RE33!$U$7:$U$874,BS_RE33!$S$7:$S$874,'Summary &amp; Working File(Ccy)'!P28,BS_RE33!$N$7:$N$874,'Summary &amp; Working File(Ccy)'!$Q$10,BS_RE33!$F$7:$F$874,$J$3)+SUMIF($P$13:$P$19,P28,$Q$13:$Q$19),2)</f>
        <v>0</v>
      </c>
      <c r="R28" s="242">
        <f>ROUND(SUMIFS(BS_RE33!$U$7:$U$874,BS_RE33!$S$7:$S$874,'Summary &amp; Working File(Ccy)'!P28,BS_RE33!$N$7:$N$874,'Summary &amp; Working File(Ccy)'!$R$10,BS_RE33!$F$7:$F$874,$J$3)+SUMIF($P$13:$P$19,P28,$R$13:$R$19),2)</f>
        <v>0</v>
      </c>
    </row>
    <row r="29" spans="2:18">
      <c r="B29" s="243">
        <f t="shared" si="8"/>
        <v>9</v>
      </c>
      <c r="C29" s="244">
        <f t="shared" si="8"/>
        <v>46066</v>
      </c>
      <c r="D29" s="245">
        <f t="shared" si="9"/>
        <v>0</v>
      </c>
      <c r="E29" s="235">
        <f t="shared" si="11"/>
        <v>0</v>
      </c>
      <c r="F29" s="236">
        <f t="shared" si="1"/>
        <v>0</v>
      </c>
      <c r="G29" s="237">
        <f t="shared" si="0"/>
        <v>0</v>
      </c>
      <c r="H29" s="273">
        <f t="shared" si="2"/>
        <v>0</v>
      </c>
      <c r="I29" s="238">
        <f t="shared" si="3"/>
        <v>0</v>
      </c>
      <c r="J29" s="237">
        <f t="shared" si="4"/>
        <v>0</v>
      </c>
      <c r="K29" s="269">
        <f t="shared" si="5"/>
        <v>0</v>
      </c>
      <c r="L29" s="239">
        <f t="shared" si="6"/>
        <v>0</v>
      </c>
      <c r="M29" s="275" t="e">
        <f t="shared" si="7"/>
        <v>#DIV/0!</v>
      </c>
      <c r="N29" s="3"/>
      <c r="O29" s="1">
        <f t="shared" si="10"/>
        <v>9</v>
      </c>
      <c r="P29" s="182">
        <f t="shared" si="10"/>
        <v>46066</v>
      </c>
      <c r="Q29" s="241">
        <f>ROUND(SUMIFS(BS_RE33!$U$7:$U$874,BS_RE33!$S$7:$S$874,'Summary &amp; Working File(Ccy)'!P29,BS_RE33!$N$7:$N$874,'Summary &amp; Working File(Ccy)'!$Q$10,BS_RE33!$F$7:$F$874,$J$3)+SUMIF($P$13:$P$19,P29,$Q$13:$Q$19),2)</f>
        <v>0</v>
      </c>
      <c r="R29" s="242">
        <f>ROUND(SUMIFS(BS_RE33!$U$7:$U$874,BS_RE33!$S$7:$S$874,'Summary &amp; Working File(Ccy)'!P29,BS_RE33!$N$7:$N$874,'Summary &amp; Working File(Ccy)'!$R$10,BS_RE33!$F$7:$F$874,$J$3)+SUMIF($P$13:$P$19,P29,$R$13:$R$19),2)</f>
        <v>0</v>
      </c>
    </row>
    <row r="30" spans="2:18">
      <c r="B30" s="243">
        <f t="shared" si="8"/>
        <v>10</v>
      </c>
      <c r="C30" s="244">
        <f t="shared" si="8"/>
        <v>46067</v>
      </c>
      <c r="D30" s="245">
        <f t="shared" si="9"/>
        <v>0</v>
      </c>
      <c r="E30" s="235">
        <f>$Q$11+SUM(Q31:Q60)</f>
        <v>0</v>
      </c>
      <c r="F30" s="236">
        <f t="shared" si="1"/>
        <v>0</v>
      </c>
      <c r="G30" s="237">
        <f t="shared" si="0"/>
        <v>0</v>
      </c>
      <c r="H30" s="273">
        <f t="shared" si="2"/>
        <v>0</v>
      </c>
      <c r="I30" s="238">
        <f t="shared" si="3"/>
        <v>0</v>
      </c>
      <c r="J30" s="237">
        <f t="shared" si="4"/>
        <v>0</v>
      </c>
      <c r="K30" s="269">
        <f t="shared" si="5"/>
        <v>0</v>
      </c>
      <c r="L30" s="239">
        <f t="shared" si="6"/>
        <v>0</v>
      </c>
      <c r="M30" s="275" t="e">
        <f t="shared" si="7"/>
        <v>#DIV/0!</v>
      </c>
      <c r="N30" s="3"/>
      <c r="O30" s="1">
        <f t="shared" si="10"/>
        <v>10</v>
      </c>
      <c r="P30" s="182">
        <f t="shared" si="10"/>
        <v>46067</v>
      </c>
      <c r="Q30" s="241">
        <f>ROUND(SUMIFS(BS_RE33!$U$7:$U$874,BS_RE33!$S$7:$S$874,'Summary &amp; Working File(Ccy)'!P30,BS_RE33!$N$7:$N$874,'Summary &amp; Working File(Ccy)'!$Q$10,BS_RE33!$F$7:$F$874,$J$3)+SUMIF($P$13:$P$19,P30,$Q$13:$Q$19),2)</f>
        <v>0</v>
      </c>
      <c r="R30" s="242">
        <f>ROUND(SUMIFS(BS_RE33!$U$7:$U$874,BS_RE33!$S$7:$S$874,'Summary &amp; Working File(Ccy)'!P30,BS_RE33!$N$7:$N$874,'Summary &amp; Working File(Ccy)'!$R$10,BS_RE33!$F$7:$F$874,$J$3)+SUMIF($P$13:$P$19,P30,$R$13:$R$19),2)</f>
        <v>0</v>
      </c>
    </row>
    <row r="31" spans="2:18">
      <c r="B31" s="243">
        <f t="shared" si="8"/>
        <v>11</v>
      </c>
      <c r="C31" s="244">
        <f t="shared" si="8"/>
        <v>46068</v>
      </c>
      <c r="D31" s="245">
        <f t="shared" si="9"/>
        <v>0</v>
      </c>
      <c r="E31" s="235">
        <f t="shared" si="11"/>
        <v>0</v>
      </c>
      <c r="F31" s="236">
        <f t="shared" si="1"/>
        <v>0</v>
      </c>
      <c r="G31" s="237">
        <f t="shared" si="0"/>
        <v>0</v>
      </c>
      <c r="H31" s="273">
        <f t="shared" si="2"/>
        <v>0</v>
      </c>
      <c r="I31" s="238">
        <f t="shared" si="3"/>
        <v>0</v>
      </c>
      <c r="J31" s="237">
        <f t="shared" si="4"/>
        <v>0</v>
      </c>
      <c r="K31" s="269">
        <f t="shared" si="5"/>
        <v>0</v>
      </c>
      <c r="L31" s="239">
        <f t="shared" si="6"/>
        <v>0</v>
      </c>
      <c r="M31" s="275" t="e">
        <f t="shared" si="7"/>
        <v>#DIV/0!</v>
      </c>
      <c r="N31" s="3"/>
      <c r="O31" s="1">
        <f t="shared" si="10"/>
        <v>11</v>
      </c>
      <c r="P31" s="182">
        <f t="shared" si="10"/>
        <v>46068</v>
      </c>
      <c r="Q31" s="241">
        <f>ROUND(SUMIFS(BS_RE33!$U$7:$U$874,BS_RE33!$S$7:$S$874,'Summary &amp; Working File(Ccy)'!P31,BS_RE33!$N$7:$N$874,'Summary &amp; Working File(Ccy)'!$Q$10,BS_RE33!$F$7:$F$874,$J$3)+SUMIF($P$13:$P$19,P31,$Q$13:$Q$19),2)</f>
        <v>0</v>
      </c>
      <c r="R31" s="242">
        <f>ROUND(SUMIFS(BS_RE33!$U$7:$U$874,BS_RE33!$S$7:$S$874,'Summary &amp; Working File(Ccy)'!P31,BS_RE33!$N$7:$N$874,'Summary &amp; Working File(Ccy)'!$R$10,BS_RE33!$F$7:$F$874,$J$3)+SUMIF($P$13:$P$19,P31,$R$13:$R$19),2)</f>
        <v>0</v>
      </c>
    </row>
    <row r="32" spans="2:18">
      <c r="B32" s="243">
        <f t="shared" si="8"/>
        <v>12</v>
      </c>
      <c r="C32" s="244">
        <f t="shared" si="8"/>
        <v>46069</v>
      </c>
      <c r="D32" s="245">
        <f t="shared" si="9"/>
        <v>0</v>
      </c>
      <c r="E32" s="235">
        <f t="shared" si="11"/>
        <v>0</v>
      </c>
      <c r="F32" s="236">
        <f t="shared" si="1"/>
        <v>0</v>
      </c>
      <c r="G32" s="237">
        <f t="shared" si="0"/>
        <v>0</v>
      </c>
      <c r="H32" s="273">
        <f t="shared" si="2"/>
        <v>0</v>
      </c>
      <c r="I32" s="238">
        <f t="shared" si="3"/>
        <v>0</v>
      </c>
      <c r="J32" s="237">
        <f t="shared" si="4"/>
        <v>0</v>
      </c>
      <c r="K32" s="269">
        <f t="shared" si="5"/>
        <v>0</v>
      </c>
      <c r="L32" s="239">
        <f t="shared" si="6"/>
        <v>0</v>
      </c>
      <c r="M32" s="275" t="e">
        <f t="shared" si="7"/>
        <v>#DIV/0!</v>
      </c>
      <c r="N32" s="3"/>
      <c r="O32" s="1">
        <f t="shared" si="10"/>
        <v>12</v>
      </c>
      <c r="P32" s="182">
        <f t="shared" si="10"/>
        <v>46069</v>
      </c>
      <c r="Q32" s="241">
        <f>ROUND(SUMIFS(BS_RE33!$U$7:$U$874,BS_RE33!$S$7:$S$874,'Summary &amp; Working File(Ccy)'!P32,BS_RE33!$N$7:$N$874,'Summary &amp; Working File(Ccy)'!$Q$10,BS_RE33!$F$7:$F$874,$J$3)+SUMIF($P$13:$P$19,P32,$Q$13:$Q$19),2)</f>
        <v>0</v>
      </c>
      <c r="R32" s="242">
        <f>ROUND(SUMIFS(BS_RE33!$U$7:$U$874,BS_RE33!$S$7:$S$874,'Summary &amp; Working File(Ccy)'!P32,BS_RE33!$N$7:$N$874,'Summary &amp; Working File(Ccy)'!$R$10,BS_RE33!$F$7:$F$874,$J$3)+SUMIF($P$13:$P$19,P32,$R$13:$R$19),2)</f>
        <v>0</v>
      </c>
    </row>
    <row r="33" spans="1:18">
      <c r="B33" s="243">
        <f t="shared" si="8"/>
        <v>13</v>
      </c>
      <c r="C33" s="244">
        <f t="shared" si="8"/>
        <v>46070</v>
      </c>
      <c r="D33" s="245">
        <f t="shared" si="9"/>
        <v>0</v>
      </c>
      <c r="E33" s="235">
        <f t="shared" si="11"/>
        <v>0</v>
      </c>
      <c r="F33" s="236">
        <f t="shared" si="1"/>
        <v>0</v>
      </c>
      <c r="G33" s="237">
        <f t="shared" si="0"/>
        <v>0</v>
      </c>
      <c r="H33" s="273">
        <f t="shared" si="2"/>
        <v>0</v>
      </c>
      <c r="I33" s="238">
        <f>$R$11+SUM(R34:R63)</f>
        <v>0</v>
      </c>
      <c r="J33" s="237">
        <f>H33*20%</f>
        <v>0</v>
      </c>
      <c r="K33" s="269">
        <f>MIN(SUM(I33:J33),H33*75%)</f>
        <v>0</v>
      </c>
      <c r="L33" s="239">
        <f t="shared" si="6"/>
        <v>0</v>
      </c>
      <c r="M33" s="275" t="e">
        <f t="shared" si="7"/>
        <v>#DIV/0!</v>
      </c>
      <c r="N33" s="3"/>
      <c r="O33" s="1">
        <f t="shared" si="10"/>
        <v>13</v>
      </c>
      <c r="P33" s="182">
        <f t="shared" si="10"/>
        <v>46070</v>
      </c>
      <c r="Q33" s="241">
        <f>ROUND(SUMIFS(BS_RE33!$U$7:$U$874,BS_RE33!$S$7:$S$874,'Summary &amp; Working File(Ccy)'!P33,BS_RE33!$N$7:$N$874,'Summary &amp; Working File(Ccy)'!$Q$10,BS_RE33!$F$7:$F$874,$J$3)+SUMIF($P$13:$P$19,P33,$Q$13:$Q$19),2)</f>
        <v>0</v>
      </c>
      <c r="R33" s="242">
        <f>ROUND(SUMIFS(BS_RE33!$U$7:$U$874,BS_RE33!$S$7:$S$874,'Summary &amp; Working File(Ccy)'!P33,BS_RE33!$N$7:$N$874,'Summary &amp; Working File(Ccy)'!$R$10,BS_RE33!$F$7:$F$874,$J$3)+SUMIF($P$13:$P$19,P33,$R$13:$R$19),2)</f>
        <v>0</v>
      </c>
    </row>
    <row r="34" spans="1:18">
      <c r="B34" s="243">
        <f t="shared" si="8"/>
        <v>14</v>
      </c>
      <c r="C34" s="244">
        <f t="shared" si="8"/>
        <v>46071</v>
      </c>
      <c r="D34" s="245">
        <f t="shared" si="9"/>
        <v>0</v>
      </c>
      <c r="E34" s="235">
        <f t="shared" si="11"/>
        <v>0</v>
      </c>
      <c r="F34" s="236">
        <f t="shared" si="1"/>
        <v>0</v>
      </c>
      <c r="G34" s="237">
        <f t="shared" si="0"/>
        <v>0</v>
      </c>
      <c r="H34" s="273">
        <f>SUM(E34:G34)</f>
        <v>0</v>
      </c>
      <c r="I34" s="238">
        <f>$R$11+SUM(R35:R64)</f>
        <v>0</v>
      </c>
      <c r="J34" s="237">
        <f t="shared" si="4"/>
        <v>0</v>
      </c>
      <c r="K34" s="269">
        <f>MIN(SUM(I34:J34),H34*75%)</f>
        <v>0</v>
      </c>
      <c r="L34" s="239">
        <f t="shared" si="6"/>
        <v>0</v>
      </c>
      <c r="M34" s="275" t="e">
        <f>D34/L34</f>
        <v>#DIV/0!</v>
      </c>
      <c r="N34" s="3"/>
      <c r="O34" s="1">
        <f t="shared" si="10"/>
        <v>14</v>
      </c>
      <c r="P34" s="182">
        <f t="shared" si="10"/>
        <v>46071</v>
      </c>
      <c r="Q34" s="241">
        <f>ROUND(SUMIFS(BS_RE33!$U$7:$U$874,BS_RE33!$S$7:$S$874,'Summary &amp; Working File(Ccy)'!P34,BS_RE33!$N$7:$N$874,'Summary &amp; Working File(Ccy)'!$Q$10,BS_RE33!$F$7:$F$874,$J$3)+SUMIF($P$13:$P$19,P34,$Q$13:$Q$19),2)</f>
        <v>0</v>
      </c>
      <c r="R34" s="242">
        <f>ROUND(SUMIFS(BS_RE33!$U$7:$U$874,BS_RE33!$S$7:$S$874,'Summary &amp; Working File(Ccy)'!P34,BS_RE33!$N$7:$N$874,'Summary &amp; Working File(Ccy)'!$R$10,BS_RE33!$F$7:$F$874,$J$3)+SUMIF($P$13:$P$19,P34,$R$13:$R$19),2)</f>
        <v>0</v>
      </c>
    </row>
    <row r="35" spans="1:18">
      <c r="B35" s="243">
        <f t="shared" si="8"/>
        <v>15</v>
      </c>
      <c r="C35" s="244">
        <f t="shared" si="8"/>
        <v>46072</v>
      </c>
      <c r="D35" s="245">
        <f t="shared" si="9"/>
        <v>0</v>
      </c>
      <c r="E35" s="235">
        <f t="shared" si="11"/>
        <v>0</v>
      </c>
      <c r="F35" s="236">
        <f t="shared" si="1"/>
        <v>0</v>
      </c>
      <c r="G35" s="237">
        <f t="shared" si="0"/>
        <v>0</v>
      </c>
      <c r="H35" s="273">
        <f>SUM(E35:G35)</f>
        <v>0</v>
      </c>
      <c r="I35" s="238">
        <f t="shared" si="3"/>
        <v>0</v>
      </c>
      <c r="J35" s="237">
        <f t="shared" si="4"/>
        <v>0</v>
      </c>
      <c r="K35" s="269">
        <f>MIN(SUM(I35:J35),H35*75%)</f>
        <v>0</v>
      </c>
      <c r="L35" s="239">
        <f>H35-K35</f>
        <v>0</v>
      </c>
      <c r="M35" s="275" t="e">
        <f t="shared" si="7"/>
        <v>#DIV/0!</v>
      </c>
      <c r="N35" s="3"/>
      <c r="O35" s="1">
        <f t="shared" si="10"/>
        <v>15</v>
      </c>
      <c r="P35" s="182">
        <f t="shared" si="10"/>
        <v>46072</v>
      </c>
      <c r="Q35" s="241">
        <f>ROUND(SUMIFS(BS_RE33!$U$7:$U$874,BS_RE33!$S$7:$S$874,'Summary &amp; Working File(Ccy)'!P35,BS_RE33!$N$7:$N$874,'Summary &amp; Working File(Ccy)'!$Q$10,BS_RE33!$F$7:$F$874,$J$3)+SUMIF($P$13:$P$19,P35,$Q$13:$Q$19),2)</f>
        <v>0</v>
      </c>
      <c r="R35" s="242">
        <f>ROUND(SUMIFS(BS_RE33!$U$7:$U$874,BS_RE33!$S$7:$S$874,'Summary &amp; Working File(Ccy)'!P35,BS_RE33!$N$7:$N$874,'Summary &amp; Working File(Ccy)'!$R$10,BS_RE33!$F$7:$F$874,$J$3)+SUMIF($P$13:$P$19,P35,$R$13:$R$19),2)</f>
        <v>0</v>
      </c>
    </row>
    <row r="36" spans="1:18">
      <c r="A36" s="182"/>
      <c r="B36" s="243">
        <f t="shared" si="8"/>
        <v>16</v>
      </c>
      <c r="C36" s="244">
        <f t="shared" si="8"/>
        <v>46073</v>
      </c>
      <c r="D36" s="245">
        <f t="shared" si="9"/>
        <v>0</v>
      </c>
      <c r="E36" s="235">
        <f>$Q$11+SUM(Q37:Q66)</f>
        <v>0</v>
      </c>
      <c r="F36" s="236">
        <f t="shared" si="1"/>
        <v>0</v>
      </c>
      <c r="G36" s="237">
        <f t="shared" si="0"/>
        <v>0</v>
      </c>
      <c r="H36" s="273">
        <f>SUM(E36:G36)</f>
        <v>0</v>
      </c>
      <c r="I36" s="238">
        <f>$R$11+SUM(R37:R66)</f>
        <v>0</v>
      </c>
      <c r="J36" s="237">
        <f t="shared" si="4"/>
        <v>0</v>
      </c>
      <c r="K36" s="269">
        <f>MIN(SUM(I36:J36),H36*75%)</f>
        <v>0</v>
      </c>
      <c r="L36" s="239">
        <f t="shared" si="6"/>
        <v>0</v>
      </c>
      <c r="M36" s="275" t="e">
        <f>D36/L36</f>
        <v>#DIV/0!</v>
      </c>
      <c r="N36" s="3"/>
      <c r="O36" s="1">
        <f t="shared" si="10"/>
        <v>16</v>
      </c>
      <c r="P36" s="182">
        <f t="shared" si="10"/>
        <v>46073</v>
      </c>
      <c r="Q36" s="241">
        <f>ROUND(SUMIFS(BS_RE33!$U$7:$U$874,BS_RE33!$S$7:$S$874,'Summary &amp; Working File(Ccy)'!P36,BS_RE33!$N$7:$N$874,'Summary &amp; Working File(Ccy)'!$Q$10,BS_RE33!$F$7:$F$874,$J$3)+SUMIF($P$13:$P$19,P36,$Q$13:$Q$19),2)</f>
        <v>0</v>
      </c>
      <c r="R36" s="242">
        <f>ROUND(SUMIFS(BS_RE33!$U$7:$U$874,BS_RE33!$S$7:$S$874,'Summary &amp; Working File(Ccy)'!P36,BS_RE33!$N$7:$N$874,'Summary &amp; Working File(Ccy)'!$R$10,BS_RE33!$F$7:$F$874,$J$3)+SUMIF($P$13:$P$19,P36,$R$13:$R$19),2)</f>
        <v>0</v>
      </c>
    </row>
    <row r="37" spans="1:18">
      <c r="B37" s="243">
        <f t="shared" si="8"/>
        <v>17</v>
      </c>
      <c r="C37" s="244">
        <f t="shared" si="8"/>
        <v>46074</v>
      </c>
      <c r="D37" s="245">
        <f t="shared" si="9"/>
        <v>0</v>
      </c>
      <c r="E37" s="235">
        <f t="shared" ref="E37:E100" si="12">$Q$11+SUM(Q38:Q67)</f>
        <v>0</v>
      </c>
      <c r="F37" s="236">
        <f t="shared" si="1"/>
        <v>0</v>
      </c>
      <c r="G37" s="237">
        <f t="shared" si="0"/>
        <v>0</v>
      </c>
      <c r="H37" s="273">
        <f t="shared" si="2"/>
        <v>0</v>
      </c>
      <c r="I37" s="238">
        <f t="shared" si="3"/>
        <v>0</v>
      </c>
      <c r="J37" s="237">
        <f t="shared" si="4"/>
        <v>0</v>
      </c>
      <c r="K37" s="269">
        <f t="shared" si="5"/>
        <v>0</v>
      </c>
      <c r="L37" s="239">
        <f t="shared" si="6"/>
        <v>0</v>
      </c>
      <c r="M37" s="275" t="e">
        <f t="shared" si="7"/>
        <v>#DIV/0!</v>
      </c>
      <c r="N37" s="3"/>
      <c r="O37" s="1">
        <f t="shared" si="10"/>
        <v>17</v>
      </c>
      <c r="P37" s="182">
        <f t="shared" si="10"/>
        <v>46074</v>
      </c>
      <c r="Q37" s="241">
        <f>ROUND(SUMIFS(BS_RE33!$U$7:$U$874,BS_RE33!$S$7:$S$874,'Summary &amp; Working File(Ccy)'!P37,BS_RE33!$N$7:$N$874,'Summary &amp; Working File(Ccy)'!$Q$10,BS_RE33!$F$7:$F$874,$J$3)+SUMIF($P$13:$P$19,P37,$Q$13:$Q$19),2)</f>
        <v>0</v>
      </c>
      <c r="R37" s="242">
        <f>ROUND(SUMIFS(BS_RE33!$U$7:$U$874,BS_RE33!$S$7:$S$874,'Summary &amp; Working File(Ccy)'!P37,BS_RE33!$N$7:$N$874,'Summary &amp; Working File(Ccy)'!$R$10,BS_RE33!$F$7:$F$874,$J$3)+SUMIF($P$13:$P$19,P37,$R$13:$R$19),2)</f>
        <v>0</v>
      </c>
    </row>
    <row r="38" spans="1:18">
      <c r="B38" s="243">
        <f t="shared" si="8"/>
        <v>18</v>
      </c>
      <c r="C38" s="244">
        <f t="shared" si="8"/>
        <v>46075</v>
      </c>
      <c r="D38" s="245">
        <f t="shared" si="9"/>
        <v>0</v>
      </c>
      <c r="E38" s="235">
        <f t="shared" si="12"/>
        <v>0</v>
      </c>
      <c r="F38" s="236">
        <f t="shared" si="1"/>
        <v>0</v>
      </c>
      <c r="G38" s="237">
        <f t="shared" si="0"/>
        <v>0</v>
      </c>
      <c r="H38" s="273">
        <f t="shared" si="2"/>
        <v>0</v>
      </c>
      <c r="I38" s="238">
        <f t="shared" si="3"/>
        <v>0</v>
      </c>
      <c r="J38" s="237">
        <f t="shared" si="4"/>
        <v>0</v>
      </c>
      <c r="K38" s="269">
        <f t="shared" si="5"/>
        <v>0</v>
      </c>
      <c r="L38" s="239">
        <f t="shared" si="6"/>
        <v>0</v>
      </c>
      <c r="M38" s="275" t="e">
        <f t="shared" si="7"/>
        <v>#DIV/0!</v>
      </c>
      <c r="N38" s="3"/>
      <c r="O38" s="1">
        <f t="shared" si="10"/>
        <v>18</v>
      </c>
      <c r="P38" s="182">
        <f t="shared" si="10"/>
        <v>46075</v>
      </c>
      <c r="Q38" s="241">
        <f>ROUND(SUMIFS(BS_RE33!$U$7:$U$874,BS_RE33!$S$7:$S$874,'Summary &amp; Working File(Ccy)'!P38,BS_RE33!$N$7:$N$874,'Summary &amp; Working File(Ccy)'!$Q$10,BS_RE33!$F$7:$F$874,$J$3)+SUMIF($P$13:$P$19,P38,$Q$13:$Q$19),2)</f>
        <v>0</v>
      </c>
      <c r="R38" s="242">
        <f>ROUND(SUMIFS(BS_RE33!$U$7:$U$874,BS_RE33!$S$7:$S$874,'Summary &amp; Working File(Ccy)'!P38,BS_RE33!$N$7:$N$874,'Summary &amp; Working File(Ccy)'!$R$10,BS_RE33!$F$7:$F$874,$J$3)+SUMIF($P$13:$P$19,P38,$R$13:$R$19),2)</f>
        <v>0</v>
      </c>
    </row>
    <row r="39" spans="1:18">
      <c r="B39" s="243">
        <f t="shared" ref="B39:C54" si="13">B38+1</f>
        <v>19</v>
      </c>
      <c r="C39" s="244">
        <f t="shared" si="13"/>
        <v>46076</v>
      </c>
      <c r="D39" s="245">
        <f t="shared" si="9"/>
        <v>0</v>
      </c>
      <c r="E39" s="235">
        <f t="shared" si="12"/>
        <v>0</v>
      </c>
      <c r="F39" s="236">
        <f t="shared" si="1"/>
        <v>0</v>
      </c>
      <c r="G39" s="237">
        <f t="shared" si="0"/>
        <v>0</v>
      </c>
      <c r="H39" s="273">
        <f t="shared" si="2"/>
        <v>0</v>
      </c>
      <c r="I39" s="238">
        <f t="shared" si="3"/>
        <v>0</v>
      </c>
      <c r="J39" s="237">
        <f>H39*20%</f>
        <v>0</v>
      </c>
      <c r="K39" s="269">
        <f>MIN(SUM(I39:J39),H39*75%)</f>
        <v>0</v>
      </c>
      <c r="L39" s="239">
        <f t="shared" si="6"/>
        <v>0</v>
      </c>
      <c r="M39" s="275" t="e">
        <f t="shared" si="7"/>
        <v>#DIV/0!</v>
      </c>
      <c r="N39" s="3"/>
      <c r="O39" s="1">
        <f t="shared" ref="O39:P54" si="14">O38+1</f>
        <v>19</v>
      </c>
      <c r="P39" s="182">
        <f t="shared" si="14"/>
        <v>46076</v>
      </c>
      <c r="Q39" s="241">
        <f>ROUND(SUMIFS(BS_RE33!$U$7:$U$874,BS_RE33!$S$7:$S$874,'Summary &amp; Working File(Ccy)'!P39,BS_RE33!$N$7:$N$874,'Summary &amp; Working File(Ccy)'!$Q$10,BS_RE33!$F$7:$F$874,$J$3)+SUMIF($P$13:$P$19,P39,$Q$13:$Q$19),2)</f>
        <v>0</v>
      </c>
      <c r="R39" s="242">
        <f>ROUND(SUMIFS(BS_RE33!$U$7:$U$874,BS_RE33!$S$7:$S$874,'Summary &amp; Working File(Ccy)'!P39,BS_RE33!$N$7:$N$874,'Summary &amp; Working File(Ccy)'!$R$10,BS_RE33!$F$7:$F$874,$J$3)+SUMIF($P$13:$P$19,P39,$R$13:$R$19),2)</f>
        <v>0</v>
      </c>
    </row>
    <row r="40" spans="1:18">
      <c r="B40" s="243">
        <f t="shared" si="13"/>
        <v>20</v>
      </c>
      <c r="C40" s="244">
        <f t="shared" si="13"/>
        <v>46077</v>
      </c>
      <c r="D40" s="245">
        <f t="shared" si="9"/>
        <v>0</v>
      </c>
      <c r="E40" s="235">
        <f t="shared" si="12"/>
        <v>0</v>
      </c>
      <c r="F40" s="236">
        <f t="shared" si="1"/>
        <v>0</v>
      </c>
      <c r="G40" s="237">
        <f t="shared" si="0"/>
        <v>0</v>
      </c>
      <c r="H40" s="273">
        <f>SUM(E40:G40)</f>
        <v>0</v>
      </c>
      <c r="I40" s="238">
        <f t="shared" si="3"/>
        <v>0</v>
      </c>
      <c r="J40" s="237">
        <f t="shared" si="4"/>
        <v>0</v>
      </c>
      <c r="K40" s="269">
        <f t="shared" si="5"/>
        <v>0</v>
      </c>
      <c r="L40" s="239">
        <f t="shared" si="6"/>
        <v>0</v>
      </c>
      <c r="M40" s="275" t="e">
        <f t="shared" si="7"/>
        <v>#DIV/0!</v>
      </c>
      <c r="N40" s="3"/>
      <c r="O40" s="1">
        <f t="shared" si="14"/>
        <v>20</v>
      </c>
      <c r="P40" s="182">
        <f t="shared" si="14"/>
        <v>46077</v>
      </c>
      <c r="Q40" s="241">
        <f>ROUND(SUMIFS(BS_RE33!$U$7:$U$874,BS_RE33!$S$7:$S$874,'Summary &amp; Working File(Ccy)'!P40,BS_RE33!$N$7:$N$874,'Summary &amp; Working File(Ccy)'!$Q$10,BS_RE33!$F$7:$F$874,$J$3)+SUMIF($P$13:$P$19,P40,$Q$13:$Q$19),2)</f>
        <v>0</v>
      </c>
      <c r="R40" s="242">
        <f>ROUND(SUMIFS(BS_RE33!$U$7:$U$874,BS_RE33!$S$7:$S$874,'Summary &amp; Working File(Ccy)'!P40,BS_RE33!$N$7:$N$874,'Summary &amp; Working File(Ccy)'!$R$10,BS_RE33!$F$7:$F$874,$J$3)+SUMIF($P$13:$P$19,P40,$R$13:$R$19),2)</f>
        <v>0</v>
      </c>
    </row>
    <row r="41" spans="1:18">
      <c r="B41" s="243">
        <f t="shared" si="13"/>
        <v>21</v>
      </c>
      <c r="C41" s="244">
        <f t="shared" si="13"/>
        <v>46078</v>
      </c>
      <c r="D41" s="245">
        <f t="shared" si="9"/>
        <v>0</v>
      </c>
      <c r="E41" s="235">
        <f t="shared" si="12"/>
        <v>0</v>
      </c>
      <c r="F41" s="236">
        <f t="shared" si="1"/>
        <v>0</v>
      </c>
      <c r="G41" s="237">
        <f t="shared" si="0"/>
        <v>0</v>
      </c>
      <c r="H41" s="273">
        <f>SUM(E41:G41)</f>
        <v>0</v>
      </c>
      <c r="I41" s="238">
        <f t="shared" si="3"/>
        <v>0</v>
      </c>
      <c r="J41" s="237">
        <f t="shared" si="4"/>
        <v>0</v>
      </c>
      <c r="K41" s="269">
        <f t="shared" si="5"/>
        <v>0</v>
      </c>
      <c r="L41" s="239">
        <f t="shared" si="6"/>
        <v>0</v>
      </c>
      <c r="M41" s="275" t="e">
        <f t="shared" si="7"/>
        <v>#DIV/0!</v>
      </c>
      <c r="N41" s="3"/>
      <c r="O41" s="1">
        <f t="shared" si="14"/>
        <v>21</v>
      </c>
      <c r="P41" s="182">
        <f t="shared" si="14"/>
        <v>46078</v>
      </c>
      <c r="Q41" s="241">
        <f>ROUND(SUMIFS(BS_RE33!$U$7:$U$874,BS_RE33!$S$7:$S$874,'Summary &amp; Working File(Ccy)'!P41,BS_RE33!$N$7:$N$874,'Summary &amp; Working File(Ccy)'!$Q$10,BS_RE33!$F$7:$F$874,$J$3)+SUMIF($P$13:$P$19,P41,$Q$13:$Q$19),2)</f>
        <v>0</v>
      </c>
      <c r="R41" s="242">
        <f>ROUND(SUMIFS(BS_RE33!$U$7:$U$874,BS_RE33!$S$7:$S$874,'Summary &amp; Working File(Ccy)'!P41,BS_RE33!$N$7:$N$874,'Summary &amp; Working File(Ccy)'!$R$10,BS_RE33!$F$7:$F$874,$J$3)+SUMIF($P$13:$P$19,P41,$R$13:$R$19),2)</f>
        <v>0</v>
      </c>
    </row>
    <row r="42" spans="1:18">
      <c r="B42" s="243">
        <f t="shared" si="13"/>
        <v>22</v>
      </c>
      <c r="C42" s="244">
        <f t="shared" si="13"/>
        <v>46079</v>
      </c>
      <c r="D42" s="245">
        <f t="shared" si="9"/>
        <v>0</v>
      </c>
      <c r="E42" s="235">
        <f t="shared" si="12"/>
        <v>0</v>
      </c>
      <c r="F42" s="236">
        <f t="shared" si="1"/>
        <v>0</v>
      </c>
      <c r="G42" s="237">
        <f t="shared" si="0"/>
        <v>0</v>
      </c>
      <c r="H42" s="273">
        <f t="shared" si="2"/>
        <v>0</v>
      </c>
      <c r="I42" s="238">
        <f t="shared" si="3"/>
        <v>0</v>
      </c>
      <c r="J42" s="237">
        <f t="shared" si="4"/>
        <v>0</v>
      </c>
      <c r="K42" s="269">
        <f t="shared" si="5"/>
        <v>0</v>
      </c>
      <c r="L42" s="239">
        <f t="shared" si="6"/>
        <v>0</v>
      </c>
      <c r="M42" s="275" t="e">
        <f t="shared" si="7"/>
        <v>#DIV/0!</v>
      </c>
      <c r="N42" s="3"/>
      <c r="O42" s="1">
        <f t="shared" si="14"/>
        <v>22</v>
      </c>
      <c r="P42" s="182">
        <f t="shared" si="14"/>
        <v>46079</v>
      </c>
      <c r="Q42" s="241">
        <f>ROUND(SUMIFS(BS_RE33!$U$7:$U$874,BS_RE33!$S$7:$S$874,'Summary &amp; Working File(Ccy)'!P42,BS_RE33!$N$7:$N$874,'Summary &amp; Working File(Ccy)'!$Q$10,BS_RE33!$F$7:$F$874,$J$3)+SUMIF($P$13:$P$19,P42,$Q$13:$Q$19),2)</f>
        <v>0</v>
      </c>
      <c r="R42" s="242">
        <f>ROUND(SUMIFS(BS_RE33!$U$7:$U$874,BS_RE33!$S$7:$S$874,'Summary &amp; Working File(Ccy)'!P42,BS_RE33!$N$7:$N$874,'Summary &amp; Working File(Ccy)'!$R$10,BS_RE33!$F$7:$F$874,$J$3)+SUMIF($P$13:$P$19,P42,$R$13:$R$19),2)</f>
        <v>0</v>
      </c>
    </row>
    <row r="43" spans="1:18">
      <c r="B43" s="243">
        <f t="shared" si="13"/>
        <v>23</v>
      </c>
      <c r="C43" s="244">
        <f t="shared" si="13"/>
        <v>46080</v>
      </c>
      <c r="D43" s="245">
        <f t="shared" si="9"/>
        <v>0</v>
      </c>
      <c r="E43" s="235">
        <f t="shared" si="12"/>
        <v>0</v>
      </c>
      <c r="F43" s="236">
        <f t="shared" si="1"/>
        <v>0</v>
      </c>
      <c r="G43" s="237">
        <f t="shared" si="0"/>
        <v>0</v>
      </c>
      <c r="H43" s="273">
        <f t="shared" si="2"/>
        <v>0</v>
      </c>
      <c r="I43" s="238">
        <f t="shared" si="3"/>
        <v>0</v>
      </c>
      <c r="J43" s="237">
        <f t="shared" si="4"/>
        <v>0</v>
      </c>
      <c r="K43" s="269">
        <f t="shared" si="5"/>
        <v>0</v>
      </c>
      <c r="L43" s="239">
        <f t="shared" si="6"/>
        <v>0</v>
      </c>
      <c r="M43" s="275" t="e">
        <f t="shared" si="7"/>
        <v>#DIV/0!</v>
      </c>
      <c r="N43" s="3"/>
      <c r="O43" s="1">
        <f t="shared" si="14"/>
        <v>23</v>
      </c>
      <c r="P43" s="182">
        <f t="shared" si="14"/>
        <v>46080</v>
      </c>
      <c r="Q43" s="241">
        <f>ROUND(SUMIFS(BS_RE33!$U$7:$U$874,BS_RE33!$S$7:$S$874,'Summary &amp; Working File(Ccy)'!P43,BS_RE33!$N$7:$N$874,'Summary &amp; Working File(Ccy)'!$Q$10,BS_RE33!$F$7:$F$874,$J$3)+SUMIF($P$13:$P$19,P43,$Q$13:$Q$19),2)</f>
        <v>0</v>
      </c>
      <c r="R43" s="242">
        <f>ROUND(SUMIFS(BS_RE33!$U$7:$U$874,BS_RE33!$S$7:$S$874,'Summary &amp; Working File(Ccy)'!P43,BS_RE33!$N$7:$N$874,'Summary &amp; Working File(Ccy)'!$R$10,BS_RE33!$F$7:$F$874,$J$3)+SUMIF($P$13:$P$19,P43,$R$13:$R$19),2)</f>
        <v>0</v>
      </c>
    </row>
    <row r="44" spans="1:18">
      <c r="B44" s="243">
        <f t="shared" si="13"/>
        <v>24</v>
      </c>
      <c r="C44" s="244">
        <f t="shared" si="13"/>
        <v>46081</v>
      </c>
      <c r="D44" s="245">
        <f t="shared" si="9"/>
        <v>0</v>
      </c>
      <c r="E44" s="235">
        <f t="shared" si="12"/>
        <v>0</v>
      </c>
      <c r="F44" s="236">
        <f t="shared" si="1"/>
        <v>0</v>
      </c>
      <c r="G44" s="237">
        <f t="shared" si="0"/>
        <v>0</v>
      </c>
      <c r="H44" s="273">
        <f t="shared" si="2"/>
        <v>0</v>
      </c>
      <c r="I44" s="238">
        <f t="shared" si="3"/>
        <v>0</v>
      </c>
      <c r="J44" s="237">
        <f t="shared" si="4"/>
        <v>0</v>
      </c>
      <c r="K44" s="269">
        <f t="shared" si="5"/>
        <v>0</v>
      </c>
      <c r="L44" s="239">
        <f t="shared" si="6"/>
        <v>0</v>
      </c>
      <c r="M44" s="275" t="e">
        <f t="shared" si="7"/>
        <v>#DIV/0!</v>
      </c>
      <c r="N44" s="3"/>
      <c r="O44" s="1">
        <f t="shared" si="14"/>
        <v>24</v>
      </c>
      <c r="P44" s="246">
        <f t="shared" si="14"/>
        <v>46081</v>
      </c>
      <c r="Q44" s="241">
        <f>ROUND(SUMIFS(BS_RE33!$U$7:$U$874,BS_RE33!$S$7:$S$874,'Summary &amp; Working File(Ccy)'!P44,BS_RE33!$N$7:$N$874,'Summary &amp; Working File(Ccy)'!$Q$10,BS_RE33!$F$7:$F$874,$J$3)+SUMIF($P$13:$P$19,P44,$Q$13:$Q$19),2)</f>
        <v>0</v>
      </c>
      <c r="R44" s="242">
        <f>ROUND(SUMIFS(BS_RE33!$U$7:$U$874,BS_RE33!$S$7:$S$874,'Summary &amp; Working File(Ccy)'!P44,BS_RE33!$N$7:$N$874,'Summary &amp; Working File(Ccy)'!$R$10,BS_RE33!$F$7:$F$874,$J$3)+SUMIF($P$13:$P$19,P44,$R$13:$R$19),2)</f>
        <v>0</v>
      </c>
    </row>
    <row r="45" spans="1:18">
      <c r="B45" s="243">
        <f t="shared" si="13"/>
        <v>25</v>
      </c>
      <c r="C45" s="244">
        <f t="shared" si="13"/>
        <v>46082</v>
      </c>
      <c r="D45" s="245">
        <f t="shared" si="9"/>
        <v>0</v>
      </c>
      <c r="E45" s="235">
        <f t="shared" si="12"/>
        <v>0</v>
      </c>
      <c r="F45" s="236">
        <f t="shared" si="1"/>
        <v>0</v>
      </c>
      <c r="G45" s="237">
        <f t="shared" si="0"/>
        <v>0</v>
      </c>
      <c r="H45" s="273">
        <f>SUM(E45:G45)</f>
        <v>0</v>
      </c>
      <c r="I45" s="238">
        <f>$R$11+SUM(R46:R75)</f>
        <v>0</v>
      </c>
      <c r="J45" s="237">
        <f t="shared" si="4"/>
        <v>0</v>
      </c>
      <c r="K45" s="269">
        <f>MIN(SUM(I45:J45),H45*75%)</f>
        <v>0</v>
      </c>
      <c r="L45" s="239">
        <f>H45-K45</f>
        <v>0</v>
      </c>
      <c r="M45" s="275" t="e">
        <f t="shared" si="7"/>
        <v>#DIV/0!</v>
      </c>
      <c r="N45" s="3"/>
      <c r="O45" s="1">
        <f>O44+1</f>
        <v>25</v>
      </c>
      <c r="P45" s="246">
        <f t="shared" si="14"/>
        <v>46082</v>
      </c>
      <c r="Q45" s="241">
        <f>ROUND(SUMIFS(BS_RE33!$U$7:$U$874,BS_RE33!$S$7:$S$874,'Summary &amp; Working File(Ccy)'!P45,BS_RE33!$N$7:$N$874,'Summary &amp; Working File(Ccy)'!$Q$10,BS_RE33!$F$7:$F$874,$J$3)+SUMIF($P$13:$P$19,P45,$Q$13:$Q$19),2)</f>
        <v>0</v>
      </c>
      <c r="R45" s="242">
        <f>ROUND(SUMIFS(BS_RE33!$U$7:$U$874,BS_RE33!$S$7:$S$874,'Summary &amp; Working File(Ccy)'!P45,BS_RE33!$N$7:$N$874,'Summary &amp; Working File(Ccy)'!$R$10,BS_RE33!$F$7:$F$874,$J$3)+SUMIF($P$13:$P$19,P45,$R$13:$R$19),2)</f>
        <v>0</v>
      </c>
    </row>
    <row r="46" spans="1:18">
      <c r="B46" s="243">
        <f t="shared" si="13"/>
        <v>26</v>
      </c>
      <c r="C46" s="244">
        <f t="shared" si="13"/>
        <v>46083</v>
      </c>
      <c r="D46" s="245">
        <f t="shared" si="9"/>
        <v>0</v>
      </c>
      <c r="E46" s="235">
        <f t="shared" si="12"/>
        <v>0</v>
      </c>
      <c r="F46" s="236">
        <f t="shared" si="1"/>
        <v>0</v>
      </c>
      <c r="G46" s="237">
        <f t="shared" si="0"/>
        <v>0</v>
      </c>
      <c r="H46" s="273">
        <f t="shared" si="2"/>
        <v>0</v>
      </c>
      <c r="I46" s="238">
        <f t="shared" si="3"/>
        <v>0</v>
      </c>
      <c r="J46" s="237">
        <f t="shared" si="4"/>
        <v>0</v>
      </c>
      <c r="K46" s="269">
        <f t="shared" si="5"/>
        <v>0</v>
      </c>
      <c r="L46" s="239">
        <f t="shared" si="6"/>
        <v>0</v>
      </c>
      <c r="M46" s="275" t="e">
        <f t="shared" si="7"/>
        <v>#DIV/0!</v>
      </c>
      <c r="N46" s="3"/>
      <c r="O46" s="1">
        <f t="shared" si="14"/>
        <v>26</v>
      </c>
      <c r="P46" s="246">
        <f t="shared" si="14"/>
        <v>46083</v>
      </c>
      <c r="Q46" s="241">
        <f>ROUND(SUMIFS(BS_RE33!$U$7:$U$874,BS_RE33!$S$7:$S$874,'Summary &amp; Working File(Ccy)'!P46,BS_RE33!$N$7:$N$874,'Summary &amp; Working File(Ccy)'!$Q$10,BS_RE33!$F$7:$F$874,$J$3)+SUMIF($P$13:$P$19,P46,$Q$13:$Q$19),2)</f>
        <v>0</v>
      </c>
      <c r="R46" s="242">
        <f>ROUND(SUMIFS(BS_RE33!$U$7:$U$874,BS_RE33!$S$7:$S$874,'Summary &amp; Working File(Ccy)'!P46,BS_RE33!$N$7:$N$874,'Summary &amp; Working File(Ccy)'!$R$10,BS_RE33!$F$7:$F$874,$J$3)+SUMIF($P$13:$P$19,P46,$R$13:$R$19),2)</f>
        <v>0</v>
      </c>
    </row>
    <row r="47" spans="1:18">
      <c r="B47" s="243">
        <f t="shared" si="13"/>
        <v>27</v>
      </c>
      <c r="C47" s="244">
        <f t="shared" si="13"/>
        <v>46084</v>
      </c>
      <c r="D47" s="245">
        <f t="shared" si="9"/>
        <v>0</v>
      </c>
      <c r="E47" s="235">
        <f t="shared" si="12"/>
        <v>0</v>
      </c>
      <c r="F47" s="236">
        <f t="shared" si="1"/>
        <v>0</v>
      </c>
      <c r="G47" s="237">
        <f t="shared" si="0"/>
        <v>0</v>
      </c>
      <c r="H47" s="273">
        <f>SUM(E47:G47)</f>
        <v>0</v>
      </c>
      <c r="I47" s="238">
        <f t="shared" si="3"/>
        <v>0</v>
      </c>
      <c r="J47" s="237">
        <f t="shared" si="4"/>
        <v>0</v>
      </c>
      <c r="K47" s="269">
        <f t="shared" si="5"/>
        <v>0</v>
      </c>
      <c r="L47" s="239">
        <f t="shared" si="6"/>
        <v>0</v>
      </c>
      <c r="M47" s="275" t="e">
        <f t="shared" si="7"/>
        <v>#DIV/0!</v>
      </c>
      <c r="N47" s="3"/>
      <c r="O47" s="1">
        <f t="shared" si="14"/>
        <v>27</v>
      </c>
      <c r="P47" s="246">
        <f t="shared" si="14"/>
        <v>46084</v>
      </c>
      <c r="Q47" s="241">
        <f>ROUND(SUMIFS(BS_RE33!$U$7:$U$874,BS_RE33!$S$7:$S$874,'Summary &amp; Working File(Ccy)'!P47,BS_RE33!$N$7:$N$874,'Summary &amp; Working File(Ccy)'!$Q$10,BS_RE33!$F$7:$F$874,$J$3)+SUMIF($P$13:$P$19,P47,$Q$13:$Q$19),2)</f>
        <v>0</v>
      </c>
      <c r="R47" s="242">
        <f>ROUND(SUMIFS(BS_RE33!$U$7:$U$874,BS_RE33!$S$7:$S$874,'Summary &amp; Working File(Ccy)'!P47,BS_RE33!$N$7:$N$874,'Summary &amp; Working File(Ccy)'!$R$10,BS_RE33!$F$7:$F$874,$J$3)+SUMIF($P$13:$P$19,P47,$R$13:$R$19),2)</f>
        <v>0</v>
      </c>
    </row>
    <row r="48" spans="1:18">
      <c r="B48" s="243">
        <f t="shared" si="13"/>
        <v>28</v>
      </c>
      <c r="C48" s="244">
        <f t="shared" si="13"/>
        <v>46085</v>
      </c>
      <c r="D48" s="245">
        <f t="shared" si="9"/>
        <v>0</v>
      </c>
      <c r="E48" s="235">
        <f t="shared" si="12"/>
        <v>0</v>
      </c>
      <c r="F48" s="236">
        <f t="shared" si="1"/>
        <v>0</v>
      </c>
      <c r="G48" s="237">
        <f t="shared" si="0"/>
        <v>0</v>
      </c>
      <c r="H48" s="273">
        <f t="shared" si="2"/>
        <v>0</v>
      </c>
      <c r="I48" s="238">
        <f t="shared" si="3"/>
        <v>0</v>
      </c>
      <c r="J48" s="237">
        <f t="shared" si="4"/>
        <v>0</v>
      </c>
      <c r="K48" s="269">
        <f t="shared" si="5"/>
        <v>0</v>
      </c>
      <c r="L48" s="239">
        <f t="shared" si="6"/>
        <v>0</v>
      </c>
      <c r="M48" s="275" t="e">
        <f t="shared" si="7"/>
        <v>#DIV/0!</v>
      </c>
      <c r="N48" s="3"/>
      <c r="O48" s="1">
        <f t="shared" si="14"/>
        <v>28</v>
      </c>
      <c r="P48" s="246">
        <f t="shared" si="14"/>
        <v>46085</v>
      </c>
      <c r="Q48" s="241">
        <f>ROUND(SUMIFS(BS_RE33!$U$7:$U$874,BS_RE33!$S$7:$S$874,'Summary &amp; Working File(Ccy)'!P48,BS_RE33!$N$7:$N$874,'Summary &amp; Working File(Ccy)'!$Q$10,BS_RE33!$F$7:$F$874,$J$3)+SUMIF($P$13:$P$19,P48,$Q$13:$Q$19),2)</f>
        <v>0</v>
      </c>
      <c r="R48" s="242">
        <f>ROUND(SUMIFS(BS_RE33!$U$7:$U$874,BS_RE33!$S$7:$S$874,'Summary &amp; Working File(Ccy)'!P48,BS_RE33!$N$7:$N$874,'Summary &amp; Working File(Ccy)'!$R$10,BS_RE33!$F$7:$F$874,$J$3)+SUMIF($P$13:$P$19,P48,$R$13:$R$19),2)</f>
        <v>0</v>
      </c>
    </row>
    <row r="49" spans="2:18">
      <c r="B49" s="243">
        <f t="shared" si="13"/>
        <v>29</v>
      </c>
      <c r="C49" s="247">
        <f t="shared" si="13"/>
        <v>46086</v>
      </c>
      <c r="D49" s="245">
        <f t="shared" si="9"/>
        <v>0</v>
      </c>
      <c r="E49" s="235">
        <f t="shared" si="12"/>
        <v>0</v>
      </c>
      <c r="F49" s="236">
        <f t="shared" si="1"/>
        <v>0</v>
      </c>
      <c r="G49" s="237">
        <f t="shared" si="0"/>
        <v>0</v>
      </c>
      <c r="H49" s="273">
        <f t="shared" si="2"/>
        <v>0</v>
      </c>
      <c r="I49" s="238">
        <f t="shared" si="3"/>
        <v>0</v>
      </c>
      <c r="J49" s="237">
        <f t="shared" si="4"/>
        <v>0</v>
      </c>
      <c r="K49" s="269">
        <f t="shared" si="5"/>
        <v>0</v>
      </c>
      <c r="L49" s="239">
        <f t="shared" si="6"/>
        <v>0</v>
      </c>
      <c r="M49" s="275" t="e">
        <f t="shared" si="7"/>
        <v>#DIV/0!</v>
      </c>
      <c r="N49" s="3"/>
      <c r="O49" s="1">
        <f t="shared" si="14"/>
        <v>29</v>
      </c>
      <c r="P49" s="246">
        <f t="shared" si="14"/>
        <v>46086</v>
      </c>
      <c r="Q49" s="241">
        <f>ROUND(SUMIFS(BS_RE33!$U$7:$U$874,BS_RE33!$S$7:$S$874,'Summary &amp; Working File(Ccy)'!P49,BS_RE33!$N$7:$N$874,'Summary &amp; Working File(Ccy)'!$Q$10,BS_RE33!$F$7:$F$874,$J$3)+SUMIF($P$13:$P$19,P49,$Q$13:$Q$19),2)</f>
        <v>0</v>
      </c>
      <c r="R49" s="242">
        <f>ROUND(SUMIFS(BS_RE33!$U$7:$U$874,BS_RE33!$S$7:$S$874,'Summary &amp; Working File(Ccy)'!P49,BS_RE33!$N$7:$N$874,'Summary &amp; Working File(Ccy)'!$R$10,BS_RE33!$F$7:$F$874,$J$3)+SUMIF($P$13:$P$19,P49,$R$13:$R$19),2)</f>
        <v>0</v>
      </c>
    </row>
    <row r="50" spans="2:18">
      <c r="B50" s="243">
        <f t="shared" si="13"/>
        <v>30</v>
      </c>
      <c r="C50" s="247">
        <f t="shared" si="13"/>
        <v>46087</v>
      </c>
      <c r="D50" s="245">
        <f t="shared" si="9"/>
        <v>0</v>
      </c>
      <c r="E50" s="235">
        <f t="shared" si="12"/>
        <v>0</v>
      </c>
      <c r="F50" s="236">
        <f t="shared" si="1"/>
        <v>0</v>
      </c>
      <c r="G50" s="237">
        <f t="shared" si="0"/>
        <v>0</v>
      </c>
      <c r="H50" s="273">
        <f t="shared" si="2"/>
        <v>0</v>
      </c>
      <c r="I50" s="238">
        <f t="shared" si="3"/>
        <v>0</v>
      </c>
      <c r="J50" s="237">
        <f t="shared" si="4"/>
        <v>0</v>
      </c>
      <c r="K50" s="269">
        <f t="shared" si="5"/>
        <v>0</v>
      </c>
      <c r="L50" s="239">
        <f t="shared" si="6"/>
        <v>0</v>
      </c>
      <c r="M50" s="275" t="e">
        <f t="shared" si="7"/>
        <v>#DIV/0!</v>
      </c>
      <c r="N50" s="3"/>
      <c r="O50" s="1">
        <f t="shared" si="14"/>
        <v>30</v>
      </c>
      <c r="P50" s="246">
        <f t="shared" si="14"/>
        <v>46087</v>
      </c>
      <c r="Q50" s="241">
        <f>ROUND(SUMIFS(BS_RE33!$U$7:$U$874,BS_RE33!$S$7:$S$874,'Summary &amp; Working File(Ccy)'!P50,BS_RE33!$N$7:$N$874,'Summary &amp; Working File(Ccy)'!$Q$10,BS_RE33!$F$7:$F$874,$J$3)+SUMIF($P$13:$P$19,P50,$Q$13:$Q$19),2)</f>
        <v>0</v>
      </c>
      <c r="R50" s="242">
        <f>ROUND(SUMIFS(BS_RE33!$U$7:$U$874,BS_RE33!$S$7:$S$874,'Summary &amp; Working File(Ccy)'!P50,BS_RE33!$N$7:$N$874,'Summary &amp; Working File(Ccy)'!$R$10,BS_RE33!$F$7:$F$874,$J$3)+SUMIF($P$13:$P$19,P50,$R$13:$R$19),2)</f>
        <v>0</v>
      </c>
    </row>
    <row r="51" spans="2:18">
      <c r="B51" s="243">
        <f t="shared" si="13"/>
        <v>31</v>
      </c>
      <c r="C51" s="247">
        <f t="shared" si="13"/>
        <v>46088</v>
      </c>
      <c r="D51" s="245">
        <f t="shared" si="9"/>
        <v>0</v>
      </c>
      <c r="E51" s="235">
        <f t="shared" si="12"/>
        <v>0</v>
      </c>
      <c r="F51" s="236">
        <f t="shared" si="1"/>
        <v>0</v>
      </c>
      <c r="G51" s="237">
        <f t="shared" si="0"/>
        <v>0</v>
      </c>
      <c r="H51" s="273">
        <f t="shared" si="2"/>
        <v>0</v>
      </c>
      <c r="I51" s="238">
        <f t="shared" si="3"/>
        <v>0</v>
      </c>
      <c r="J51" s="237">
        <f t="shared" si="4"/>
        <v>0</v>
      </c>
      <c r="K51" s="269">
        <f t="shared" si="5"/>
        <v>0</v>
      </c>
      <c r="L51" s="239">
        <f t="shared" si="6"/>
        <v>0</v>
      </c>
      <c r="M51" s="275" t="e">
        <f t="shared" si="7"/>
        <v>#DIV/0!</v>
      </c>
      <c r="N51" s="3"/>
      <c r="O51" s="1">
        <f t="shared" si="14"/>
        <v>31</v>
      </c>
      <c r="P51" s="246">
        <f t="shared" si="14"/>
        <v>46088</v>
      </c>
      <c r="Q51" s="241">
        <f>ROUND(SUMIFS(BS_RE33!$U$7:$U$874,BS_RE33!$S$7:$S$874,'Summary &amp; Working File(Ccy)'!P51,BS_RE33!$N$7:$N$874,'Summary &amp; Working File(Ccy)'!$Q$10,BS_RE33!$F$7:$F$874,$J$3)+SUMIF($P$13:$P$19,P51,$Q$13:$Q$19),2)</f>
        <v>0</v>
      </c>
      <c r="R51" s="242">
        <f>ROUND(SUMIFS(BS_RE33!$U$7:$U$874,BS_RE33!$S$7:$S$874,'Summary &amp; Working File(Ccy)'!P51,BS_RE33!$N$7:$N$874,'Summary &amp; Working File(Ccy)'!$R$10,BS_RE33!$F$7:$F$874,$J$3)+SUMIF($P$13:$P$19,P51,$R$13:$R$19),2)</f>
        <v>0</v>
      </c>
    </row>
    <row r="52" spans="2:18">
      <c r="B52" s="243">
        <f t="shared" si="13"/>
        <v>32</v>
      </c>
      <c r="C52" s="247">
        <f t="shared" si="13"/>
        <v>46089</v>
      </c>
      <c r="D52" s="245">
        <f t="shared" si="9"/>
        <v>0</v>
      </c>
      <c r="E52" s="235">
        <f t="shared" si="12"/>
        <v>0</v>
      </c>
      <c r="F52" s="236">
        <f t="shared" si="1"/>
        <v>0</v>
      </c>
      <c r="G52" s="237">
        <f t="shared" si="0"/>
        <v>0</v>
      </c>
      <c r="H52" s="273">
        <f t="shared" si="2"/>
        <v>0</v>
      </c>
      <c r="I52" s="238">
        <f t="shared" si="3"/>
        <v>0</v>
      </c>
      <c r="J52" s="237">
        <f t="shared" si="4"/>
        <v>0</v>
      </c>
      <c r="K52" s="269">
        <f t="shared" si="5"/>
        <v>0</v>
      </c>
      <c r="L52" s="239">
        <f t="shared" si="6"/>
        <v>0</v>
      </c>
      <c r="M52" s="275" t="e">
        <f t="shared" si="7"/>
        <v>#DIV/0!</v>
      </c>
      <c r="N52" s="3"/>
      <c r="O52" s="1">
        <f t="shared" si="14"/>
        <v>32</v>
      </c>
      <c r="P52" s="182">
        <f t="shared" si="14"/>
        <v>46089</v>
      </c>
      <c r="Q52" s="241">
        <f>ROUND(SUMIFS(BS_RE33!$U$7:$U$874,BS_RE33!$S$7:$S$874,'Summary &amp; Working File(Ccy)'!P52,BS_RE33!$N$7:$N$874,'Summary &amp; Working File(Ccy)'!$Q$10,BS_RE33!$F$7:$F$874,$J$3)+SUMIF($P$13:$P$19,P52,$Q$13:$Q$19),2)</f>
        <v>0</v>
      </c>
      <c r="R52" s="242">
        <f>ROUND(SUMIFS(BS_RE33!$U$7:$U$874,BS_RE33!$S$7:$S$874,'Summary &amp; Working File(Ccy)'!P52,BS_RE33!$N$7:$N$874,'Summary &amp; Working File(Ccy)'!$R$10,BS_RE33!$F$7:$F$874,$J$3)+SUMIF($P$13:$P$19,P52,$R$13:$R$19),2)</f>
        <v>0</v>
      </c>
    </row>
    <row r="53" spans="2:18">
      <c r="B53" s="243">
        <f t="shared" si="13"/>
        <v>33</v>
      </c>
      <c r="C53" s="247">
        <f t="shared" si="13"/>
        <v>46090</v>
      </c>
      <c r="D53" s="245">
        <f t="shared" si="9"/>
        <v>0</v>
      </c>
      <c r="E53" s="235">
        <f t="shared" si="12"/>
        <v>0</v>
      </c>
      <c r="F53" s="236">
        <f t="shared" si="1"/>
        <v>0</v>
      </c>
      <c r="G53" s="237">
        <f t="shared" si="0"/>
        <v>0</v>
      </c>
      <c r="H53" s="273">
        <f t="shared" si="2"/>
        <v>0</v>
      </c>
      <c r="I53" s="238">
        <f t="shared" ref="I53:I100" si="15">$R$11+SUM(R54:R83)</f>
        <v>0</v>
      </c>
      <c r="J53" s="237">
        <f t="shared" si="4"/>
        <v>0</v>
      </c>
      <c r="K53" s="269">
        <f t="shared" si="5"/>
        <v>0</v>
      </c>
      <c r="L53" s="239">
        <f t="shared" si="6"/>
        <v>0</v>
      </c>
      <c r="M53" s="275" t="e">
        <f t="shared" si="7"/>
        <v>#DIV/0!</v>
      </c>
      <c r="N53" s="3"/>
      <c r="O53" s="1">
        <f t="shared" si="14"/>
        <v>33</v>
      </c>
      <c r="P53" s="182">
        <f t="shared" si="14"/>
        <v>46090</v>
      </c>
      <c r="Q53" s="241">
        <f>ROUND(SUMIFS(BS_RE33!$U$7:$U$874,BS_RE33!$S$7:$S$874,'Summary &amp; Working File(Ccy)'!P53,BS_RE33!$N$7:$N$874,'Summary &amp; Working File(Ccy)'!$Q$10,BS_RE33!$F$7:$F$874,$J$3)+SUMIF($P$13:$P$19,P53,$Q$13:$Q$19),2)</f>
        <v>0</v>
      </c>
      <c r="R53" s="242">
        <f>ROUND(SUMIFS(BS_RE33!$U$7:$U$874,BS_RE33!$S$7:$S$874,'Summary &amp; Working File(Ccy)'!P53,BS_RE33!$N$7:$N$874,'Summary &amp; Working File(Ccy)'!$R$10,BS_RE33!$F$7:$F$874,$J$3)+SUMIF($P$13:$P$19,P53,$R$13:$R$19),2)</f>
        <v>0</v>
      </c>
    </row>
    <row r="54" spans="2:18">
      <c r="B54" s="243">
        <f t="shared" si="13"/>
        <v>34</v>
      </c>
      <c r="C54" s="247">
        <f t="shared" si="13"/>
        <v>46091</v>
      </c>
      <c r="D54" s="245">
        <f t="shared" si="9"/>
        <v>0</v>
      </c>
      <c r="E54" s="235">
        <f t="shared" si="12"/>
        <v>0</v>
      </c>
      <c r="F54" s="236">
        <f t="shared" si="1"/>
        <v>0</v>
      </c>
      <c r="G54" s="237">
        <f t="shared" si="0"/>
        <v>0</v>
      </c>
      <c r="H54" s="273">
        <f t="shared" si="2"/>
        <v>0</v>
      </c>
      <c r="I54" s="238">
        <f t="shared" si="15"/>
        <v>0</v>
      </c>
      <c r="J54" s="237">
        <f t="shared" si="4"/>
        <v>0</v>
      </c>
      <c r="K54" s="269">
        <f t="shared" si="5"/>
        <v>0</v>
      </c>
      <c r="L54" s="239">
        <f t="shared" si="6"/>
        <v>0</v>
      </c>
      <c r="M54" s="275" t="e">
        <f t="shared" si="7"/>
        <v>#DIV/0!</v>
      </c>
      <c r="N54" s="3"/>
      <c r="O54" s="1">
        <f t="shared" si="14"/>
        <v>34</v>
      </c>
      <c r="P54" s="182">
        <f t="shared" si="14"/>
        <v>46091</v>
      </c>
      <c r="Q54" s="241">
        <f>ROUND(SUMIFS(BS_RE33!$U$7:$U$874,BS_RE33!$S$7:$S$874,'Summary &amp; Working File(Ccy)'!P54,BS_RE33!$N$7:$N$874,'Summary &amp; Working File(Ccy)'!$Q$10,BS_RE33!$F$7:$F$874,$J$3)+SUMIF($P$13:$P$19,P54,$Q$13:$Q$19),2)</f>
        <v>0</v>
      </c>
      <c r="R54" s="242">
        <f>ROUND(SUMIFS(BS_RE33!$U$7:$U$874,BS_RE33!$S$7:$S$874,'Summary &amp; Working File(Ccy)'!P54,BS_RE33!$N$7:$N$874,'Summary &amp; Working File(Ccy)'!$R$10,BS_RE33!$F$7:$F$874,$J$3)+SUMIF($P$13:$P$19,P54,$R$13:$R$19),2)</f>
        <v>0</v>
      </c>
    </row>
    <row r="55" spans="2:18">
      <c r="B55" s="243">
        <f t="shared" ref="B55:C70" si="16">B54+1</f>
        <v>35</v>
      </c>
      <c r="C55" s="247">
        <f t="shared" si="16"/>
        <v>46092</v>
      </c>
      <c r="D55" s="245">
        <f t="shared" si="9"/>
        <v>0</v>
      </c>
      <c r="E55" s="235">
        <f t="shared" si="12"/>
        <v>0</v>
      </c>
      <c r="F55" s="236">
        <f t="shared" si="1"/>
        <v>0</v>
      </c>
      <c r="G55" s="237">
        <f t="shared" si="0"/>
        <v>0</v>
      </c>
      <c r="H55" s="273">
        <f t="shared" si="2"/>
        <v>0</v>
      </c>
      <c r="I55" s="238">
        <f t="shared" si="15"/>
        <v>0</v>
      </c>
      <c r="J55" s="237">
        <f t="shared" si="4"/>
        <v>0</v>
      </c>
      <c r="K55" s="269">
        <f t="shared" si="5"/>
        <v>0</v>
      </c>
      <c r="L55" s="239">
        <f t="shared" si="6"/>
        <v>0</v>
      </c>
      <c r="M55" s="275" t="e">
        <f t="shared" si="7"/>
        <v>#DIV/0!</v>
      </c>
      <c r="N55" s="3"/>
      <c r="O55" s="1">
        <f t="shared" ref="O55:P70" si="17">O54+1</f>
        <v>35</v>
      </c>
      <c r="P55" s="182">
        <f t="shared" si="17"/>
        <v>46092</v>
      </c>
      <c r="Q55" s="241">
        <f>ROUND(SUMIFS(BS_RE33!$U$7:$U$874,BS_RE33!$S$7:$S$874,'Summary &amp; Working File(Ccy)'!P55,BS_RE33!$N$7:$N$874,'Summary &amp; Working File(Ccy)'!$Q$10,BS_RE33!$F$7:$F$874,$J$3)+SUMIF($P$13:$P$19,P55,$Q$13:$Q$19),2)</f>
        <v>0</v>
      </c>
      <c r="R55" s="242">
        <f>ROUND(SUMIFS(BS_RE33!$U$7:$U$874,BS_RE33!$S$7:$S$874,'Summary &amp; Working File(Ccy)'!P55,BS_RE33!$N$7:$N$874,'Summary &amp; Working File(Ccy)'!$R$10,BS_RE33!$F$7:$F$874,$J$3)+SUMIF($P$13:$P$19,P55,$R$13:$R$19),2)</f>
        <v>0</v>
      </c>
    </row>
    <row r="56" spans="2:18">
      <c r="B56" s="243">
        <f t="shared" si="16"/>
        <v>36</v>
      </c>
      <c r="C56" s="247">
        <f t="shared" si="16"/>
        <v>46093</v>
      </c>
      <c r="D56" s="245">
        <f t="shared" si="9"/>
        <v>0</v>
      </c>
      <c r="E56" s="235">
        <f t="shared" si="12"/>
        <v>0</v>
      </c>
      <c r="F56" s="236">
        <f t="shared" si="1"/>
        <v>0</v>
      </c>
      <c r="G56" s="237">
        <f t="shared" si="0"/>
        <v>0</v>
      </c>
      <c r="H56" s="273">
        <f t="shared" si="2"/>
        <v>0</v>
      </c>
      <c r="I56" s="238">
        <f t="shared" si="15"/>
        <v>0</v>
      </c>
      <c r="J56" s="237">
        <f t="shared" si="4"/>
        <v>0</v>
      </c>
      <c r="K56" s="269">
        <f t="shared" si="5"/>
        <v>0</v>
      </c>
      <c r="L56" s="239">
        <f t="shared" si="6"/>
        <v>0</v>
      </c>
      <c r="M56" s="275" t="e">
        <f t="shared" si="7"/>
        <v>#DIV/0!</v>
      </c>
      <c r="N56" s="3"/>
      <c r="O56" s="1">
        <f t="shared" si="17"/>
        <v>36</v>
      </c>
      <c r="P56" s="182">
        <f t="shared" si="17"/>
        <v>46093</v>
      </c>
      <c r="Q56" s="241">
        <f>ROUND(SUMIFS(BS_RE33!$U$7:$U$874,BS_RE33!$S$7:$S$874,'Summary &amp; Working File(Ccy)'!P56,BS_RE33!$N$7:$N$874,'Summary &amp; Working File(Ccy)'!$Q$10,BS_RE33!$F$7:$F$874,$J$3)+SUMIF($P$13:$P$19,P56,$Q$13:$Q$19),2)</f>
        <v>0</v>
      </c>
      <c r="R56" s="242">
        <f>ROUND(SUMIFS(BS_RE33!$U$7:$U$874,BS_RE33!$S$7:$S$874,'Summary &amp; Working File(Ccy)'!P56,BS_RE33!$N$7:$N$874,'Summary &amp; Working File(Ccy)'!$R$10,BS_RE33!$F$7:$F$874,$J$3)+SUMIF($P$13:$P$19,P56,$R$13:$R$19),2)</f>
        <v>0</v>
      </c>
    </row>
    <row r="57" spans="2:18">
      <c r="B57" s="243">
        <f t="shared" si="16"/>
        <v>37</v>
      </c>
      <c r="C57" s="247">
        <f t="shared" si="16"/>
        <v>46094</v>
      </c>
      <c r="D57" s="245">
        <f t="shared" si="9"/>
        <v>0</v>
      </c>
      <c r="E57" s="235">
        <f t="shared" si="12"/>
        <v>0</v>
      </c>
      <c r="F57" s="236">
        <f t="shared" si="1"/>
        <v>0</v>
      </c>
      <c r="G57" s="237">
        <f t="shared" si="0"/>
        <v>0</v>
      </c>
      <c r="H57" s="273">
        <f t="shared" si="2"/>
        <v>0</v>
      </c>
      <c r="I57" s="238">
        <f t="shared" si="15"/>
        <v>0</v>
      </c>
      <c r="J57" s="237">
        <f t="shared" si="4"/>
        <v>0</v>
      </c>
      <c r="K57" s="269">
        <f t="shared" si="5"/>
        <v>0</v>
      </c>
      <c r="L57" s="239">
        <f t="shared" si="6"/>
        <v>0</v>
      </c>
      <c r="M57" s="275" t="e">
        <f t="shared" si="7"/>
        <v>#DIV/0!</v>
      </c>
      <c r="N57" s="3"/>
      <c r="O57" s="1">
        <f t="shared" si="17"/>
        <v>37</v>
      </c>
      <c r="P57" s="182">
        <f t="shared" si="17"/>
        <v>46094</v>
      </c>
      <c r="Q57" s="241">
        <f>ROUND(SUMIFS(BS_RE33!$U$7:$U$874,BS_RE33!$S$7:$S$874,'Summary &amp; Working File(Ccy)'!P57,BS_RE33!$N$7:$N$874,'Summary &amp; Working File(Ccy)'!$Q$10,BS_RE33!$F$7:$F$874,$J$3)+SUMIF($P$13:$P$19,P57,$Q$13:$Q$19),2)</f>
        <v>0</v>
      </c>
      <c r="R57" s="242">
        <f>ROUND(SUMIFS(BS_RE33!$U$7:$U$874,BS_RE33!$S$7:$S$874,'Summary &amp; Working File(Ccy)'!P57,BS_RE33!$N$7:$N$874,'Summary &amp; Working File(Ccy)'!$R$10,BS_RE33!$F$7:$F$874,$J$3)+SUMIF($P$13:$P$19,P57,$R$13:$R$19),2)</f>
        <v>0</v>
      </c>
    </row>
    <row r="58" spans="2:18">
      <c r="B58" s="243">
        <f t="shared" si="16"/>
        <v>38</v>
      </c>
      <c r="C58" s="247">
        <f t="shared" si="16"/>
        <v>46095</v>
      </c>
      <c r="D58" s="245">
        <f t="shared" si="9"/>
        <v>0</v>
      </c>
      <c r="E58" s="235">
        <f t="shared" si="12"/>
        <v>0</v>
      </c>
      <c r="F58" s="236">
        <f t="shared" si="1"/>
        <v>0</v>
      </c>
      <c r="G58" s="237">
        <f t="shared" si="0"/>
        <v>0</v>
      </c>
      <c r="H58" s="273">
        <f t="shared" si="2"/>
        <v>0</v>
      </c>
      <c r="I58" s="238">
        <f t="shared" si="15"/>
        <v>0</v>
      </c>
      <c r="J58" s="237">
        <f t="shared" si="4"/>
        <v>0</v>
      </c>
      <c r="K58" s="269">
        <f t="shared" si="5"/>
        <v>0</v>
      </c>
      <c r="L58" s="239">
        <f t="shared" si="6"/>
        <v>0</v>
      </c>
      <c r="M58" s="275" t="e">
        <f t="shared" si="7"/>
        <v>#DIV/0!</v>
      </c>
      <c r="N58" s="3"/>
      <c r="O58" s="1">
        <f t="shared" si="17"/>
        <v>38</v>
      </c>
      <c r="P58" s="182">
        <f t="shared" si="17"/>
        <v>46095</v>
      </c>
      <c r="Q58" s="241">
        <f>ROUND(SUMIFS(BS_RE33!$U$7:$U$874,BS_RE33!$S$7:$S$874,'Summary &amp; Working File(Ccy)'!P58,BS_RE33!$N$7:$N$874,'Summary &amp; Working File(Ccy)'!$Q$10,BS_RE33!$F$7:$F$874,$J$3)+SUMIF($P$13:$P$19,P58,$Q$13:$Q$19),2)</f>
        <v>0</v>
      </c>
      <c r="R58" s="242">
        <f>ROUND(SUMIFS(BS_RE33!$U$7:$U$874,BS_RE33!$S$7:$S$874,'Summary &amp; Working File(Ccy)'!P58,BS_RE33!$N$7:$N$874,'Summary &amp; Working File(Ccy)'!$R$10,BS_RE33!$F$7:$F$874,$J$3)+SUMIF($P$13:$P$19,P58,$R$13:$R$19),2)</f>
        <v>0</v>
      </c>
    </row>
    <row r="59" spans="2:18">
      <c r="B59" s="243">
        <f t="shared" si="16"/>
        <v>39</v>
      </c>
      <c r="C59" s="247">
        <f t="shared" si="16"/>
        <v>46096</v>
      </c>
      <c r="D59" s="245">
        <f t="shared" si="9"/>
        <v>0</v>
      </c>
      <c r="E59" s="235">
        <f t="shared" si="12"/>
        <v>0</v>
      </c>
      <c r="F59" s="236">
        <f t="shared" si="1"/>
        <v>0</v>
      </c>
      <c r="G59" s="237">
        <f t="shared" si="0"/>
        <v>0</v>
      </c>
      <c r="H59" s="273">
        <f t="shared" si="2"/>
        <v>0</v>
      </c>
      <c r="I59" s="238">
        <f t="shared" si="15"/>
        <v>0</v>
      </c>
      <c r="J59" s="237">
        <f t="shared" si="4"/>
        <v>0</v>
      </c>
      <c r="K59" s="269">
        <f t="shared" si="5"/>
        <v>0</v>
      </c>
      <c r="L59" s="239">
        <f t="shared" si="6"/>
        <v>0</v>
      </c>
      <c r="M59" s="275" t="e">
        <f t="shared" si="7"/>
        <v>#DIV/0!</v>
      </c>
      <c r="N59" s="3"/>
      <c r="O59" s="1">
        <f t="shared" si="17"/>
        <v>39</v>
      </c>
      <c r="P59" s="182">
        <f t="shared" si="17"/>
        <v>46096</v>
      </c>
      <c r="Q59" s="241">
        <f>ROUND(SUMIFS(BS_RE33!$U$7:$U$874,BS_RE33!$S$7:$S$874,'Summary &amp; Working File(Ccy)'!P59,BS_RE33!$N$7:$N$874,'Summary &amp; Working File(Ccy)'!$Q$10,BS_RE33!$F$7:$F$874,$J$3)+SUMIF($P$13:$P$19,P59,$Q$13:$Q$19),2)</f>
        <v>0</v>
      </c>
      <c r="R59" s="242">
        <f>ROUND(SUMIFS(BS_RE33!$U$7:$U$874,BS_RE33!$S$7:$S$874,'Summary &amp; Working File(Ccy)'!P59,BS_RE33!$N$7:$N$874,'Summary &amp; Working File(Ccy)'!$R$10,BS_RE33!$F$7:$F$874,$J$3)+SUMIF($P$13:$P$19,P59,$R$13:$R$19),2)</f>
        <v>0</v>
      </c>
    </row>
    <row r="60" spans="2:18">
      <c r="B60" s="243">
        <f t="shared" si="16"/>
        <v>40</v>
      </c>
      <c r="C60" s="247">
        <f t="shared" si="16"/>
        <v>46097</v>
      </c>
      <c r="D60" s="245">
        <f t="shared" si="9"/>
        <v>0</v>
      </c>
      <c r="E60" s="235">
        <f t="shared" si="12"/>
        <v>0</v>
      </c>
      <c r="F60" s="236">
        <f t="shared" si="1"/>
        <v>0</v>
      </c>
      <c r="G60" s="237">
        <f t="shared" si="0"/>
        <v>0</v>
      </c>
      <c r="H60" s="273">
        <f t="shared" si="2"/>
        <v>0</v>
      </c>
      <c r="I60" s="238">
        <f t="shared" si="15"/>
        <v>0</v>
      </c>
      <c r="J60" s="237">
        <f t="shared" si="4"/>
        <v>0</v>
      </c>
      <c r="K60" s="269">
        <f t="shared" si="5"/>
        <v>0</v>
      </c>
      <c r="L60" s="239">
        <f t="shared" si="6"/>
        <v>0</v>
      </c>
      <c r="M60" s="275" t="e">
        <f t="shared" si="7"/>
        <v>#DIV/0!</v>
      </c>
      <c r="N60" s="3"/>
      <c r="O60" s="1">
        <f t="shared" si="17"/>
        <v>40</v>
      </c>
      <c r="P60" s="182">
        <f t="shared" si="17"/>
        <v>46097</v>
      </c>
      <c r="Q60" s="241">
        <f>ROUND(SUMIFS(BS_RE33!$U$7:$U$874,BS_RE33!$S$7:$S$874,'Summary &amp; Working File(Ccy)'!P60,BS_RE33!$N$7:$N$874,'Summary &amp; Working File(Ccy)'!$Q$10,BS_RE33!$F$7:$F$874,$J$3)+SUMIF($P$13:$P$19,P60,$Q$13:$Q$19),2)</f>
        <v>0</v>
      </c>
      <c r="R60" s="242">
        <f>ROUND(SUMIFS(BS_RE33!$U$7:$U$874,BS_RE33!$S$7:$S$874,'Summary &amp; Working File(Ccy)'!P60,BS_RE33!$N$7:$N$874,'Summary &amp; Working File(Ccy)'!$R$10,BS_RE33!$F$7:$F$874,$J$3)+SUMIF($P$13:$P$19,P60,$R$13:$R$19),2)</f>
        <v>0</v>
      </c>
    </row>
    <row r="61" spans="2:18">
      <c r="B61" s="243">
        <f t="shared" si="16"/>
        <v>41</v>
      </c>
      <c r="C61" s="247">
        <f t="shared" si="16"/>
        <v>46098</v>
      </c>
      <c r="D61" s="245">
        <f t="shared" si="9"/>
        <v>0</v>
      </c>
      <c r="E61" s="235">
        <f t="shared" si="12"/>
        <v>0</v>
      </c>
      <c r="F61" s="236">
        <f t="shared" si="1"/>
        <v>0</v>
      </c>
      <c r="G61" s="237">
        <f t="shared" si="0"/>
        <v>0</v>
      </c>
      <c r="H61" s="273">
        <f t="shared" si="2"/>
        <v>0</v>
      </c>
      <c r="I61" s="238">
        <f t="shared" si="15"/>
        <v>0</v>
      </c>
      <c r="J61" s="237">
        <f t="shared" si="4"/>
        <v>0</v>
      </c>
      <c r="K61" s="269">
        <f t="shared" si="5"/>
        <v>0</v>
      </c>
      <c r="L61" s="239">
        <f t="shared" si="6"/>
        <v>0</v>
      </c>
      <c r="M61" s="275" t="e">
        <f t="shared" si="7"/>
        <v>#DIV/0!</v>
      </c>
      <c r="N61" s="3"/>
      <c r="O61" s="1">
        <f t="shared" si="17"/>
        <v>41</v>
      </c>
      <c r="P61" s="182">
        <f t="shared" si="17"/>
        <v>46098</v>
      </c>
      <c r="Q61" s="241">
        <f>ROUND(SUMIFS(BS_RE33!$U$7:$U$874,BS_RE33!$S$7:$S$874,'Summary &amp; Working File(Ccy)'!P61,BS_RE33!$N$7:$N$874,'Summary &amp; Working File(Ccy)'!$Q$10,BS_RE33!$F$7:$F$874,$J$3)+SUMIF($P$13:$P$19,P61,$Q$13:$Q$19),2)</f>
        <v>0</v>
      </c>
      <c r="R61" s="242">
        <f>ROUND(SUMIFS(BS_RE33!$U$7:$U$874,BS_RE33!$S$7:$S$874,'Summary &amp; Working File(Ccy)'!P61,BS_RE33!$N$7:$N$874,'Summary &amp; Working File(Ccy)'!$R$10,BS_RE33!$F$7:$F$874,$J$3)+SUMIF($P$13:$P$19,P61,$R$13:$R$19),2)</f>
        <v>0</v>
      </c>
    </row>
    <row r="62" spans="2:18">
      <c r="B62" s="243">
        <f t="shared" si="16"/>
        <v>42</v>
      </c>
      <c r="C62" s="247">
        <f t="shared" si="16"/>
        <v>46099</v>
      </c>
      <c r="D62" s="245">
        <f t="shared" si="9"/>
        <v>0</v>
      </c>
      <c r="E62" s="235">
        <f t="shared" si="12"/>
        <v>0</v>
      </c>
      <c r="F62" s="236">
        <f t="shared" si="1"/>
        <v>0</v>
      </c>
      <c r="G62" s="237">
        <f t="shared" si="0"/>
        <v>0</v>
      </c>
      <c r="H62" s="273">
        <f t="shared" si="2"/>
        <v>0</v>
      </c>
      <c r="I62" s="238">
        <f t="shared" si="15"/>
        <v>0</v>
      </c>
      <c r="J62" s="237">
        <f t="shared" si="4"/>
        <v>0</v>
      </c>
      <c r="K62" s="269">
        <f t="shared" si="5"/>
        <v>0</v>
      </c>
      <c r="L62" s="239">
        <f t="shared" si="6"/>
        <v>0</v>
      </c>
      <c r="M62" s="275" t="e">
        <f t="shared" si="7"/>
        <v>#DIV/0!</v>
      </c>
      <c r="N62" s="3"/>
      <c r="O62" s="1">
        <f t="shared" si="17"/>
        <v>42</v>
      </c>
      <c r="P62" s="182">
        <f t="shared" si="17"/>
        <v>46099</v>
      </c>
      <c r="Q62" s="241">
        <f>ROUND(SUMIFS(BS_RE33!$U$7:$U$874,BS_RE33!$S$7:$S$874,'Summary &amp; Working File(Ccy)'!P62,BS_RE33!$N$7:$N$874,'Summary &amp; Working File(Ccy)'!$Q$10,BS_RE33!$F$7:$F$874,$J$3)+SUMIF($P$13:$P$19,P62,$Q$13:$Q$19),2)</f>
        <v>0</v>
      </c>
      <c r="R62" s="242">
        <f>ROUND(SUMIFS(BS_RE33!$U$7:$U$874,BS_RE33!$S$7:$S$874,'Summary &amp; Working File(Ccy)'!P62,BS_RE33!$N$7:$N$874,'Summary &amp; Working File(Ccy)'!$R$10,BS_RE33!$F$7:$F$874,$J$3)+SUMIF($P$13:$P$19,P62,$R$13:$R$19),2)</f>
        <v>0</v>
      </c>
    </row>
    <row r="63" spans="2:18">
      <c r="B63" s="243">
        <f t="shared" si="16"/>
        <v>43</v>
      </c>
      <c r="C63" s="247">
        <f t="shared" si="16"/>
        <v>46100</v>
      </c>
      <c r="D63" s="245">
        <f t="shared" si="9"/>
        <v>0</v>
      </c>
      <c r="E63" s="235">
        <f t="shared" si="12"/>
        <v>0</v>
      </c>
      <c r="F63" s="236">
        <f t="shared" si="1"/>
        <v>0</v>
      </c>
      <c r="G63" s="237">
        <f t="shared" si="0"/>
        <v>0</v>
      </c>
      <c r="H63" s="273">
        <f t="shared" si="2"/>
        <v>0</v>
      </c>
      <c r="I63" s="238">
        <f t="shared" si="15"/>
        <v>0</v>
      </c>
      <c r="J63" s="237">
        <f t="shared" si="4"/>
        <v>0</v>
      </c>
      <c r="K63" s="269">
        <f t="shared" si="5"/>
        <v>0</v>
      </c>
      <c r="L63" s="239">
        <f t="shared" si="6"/>
        <v>0</v>
      </c>
      <c r="M63" s="275" t="e">
        <f t="shared" si="7"/>
        <v>#DIV/0!</v>
      </c>
      <c r="N63" s="3"/>
      <c r="O63" s="1">
        <f t="shared" si="17"/>
        <v>43</v>
      </c>
      <c r="P63" s="182">
        <f t="shared" si="17"/>
        <v>46100</v>
      </c>
      <c r="Q63" s="241">
        <f>ROUND(SUMIFS(BS_RE33!$U$7:$U$874,BS_RE33!$S$7:$S$874,'Summary &amp; Working File(Ccy)'!P63,BS_RE33!$N$7:$N$874,'Summary &amp; Working File(Ccy)'!$Q$10,BS_RE33!$F$7:$F$874,$J$3)+SUMIF($P$13:$P$19,P63,$Q$13:$Q$19),2)</f>
        <v>0</v>
      </c>
      <c r="R63" s="242">
        <f>ROUND(SUMIFS(BS_RE33!$U$7:$U$874,BS_RE33!$S$7:$S$874,'Summary &amp; Working File(Ccy)'!P63,BS_RE33!$N$7:$N$874,'Summary &amp; Working File(Ccy)'!$R$10,BS_RE33!$F$7:$F$874,$J$3)+SUMIF($P$13:$P$19,P63,$R$13:$R$19),2)</f>
        <v>0</v>
      </c>
    </row>
    <row r="64" spans="2:18">
      <c r="B64" s="243">
        <f t="shared" si="16"/>
        <v>44</v>
      </c>
      <c r="C64" s="247">
        <f t="shared" si="16"/>
        <v>46101</v>
      </c>
      <c r="D64" s="245">
        <f t="shared" si="9"/>
        <v>0</v>
      </c>
      <c r="E64" s="235">
        <f t="shared" si="12"/>
        <v>0</v>
      </c>
      <c r="F64" s="236">
        <f t="shared" si="1"/>
        <v>0</v>
      </c>
      <c r="G64" s="237">
        <f t="shared" si="0"/>
        <v>0</v>
      </c>
      <c r="H64" s="273">
        <f t="shared" si="2"/>
        <v>0</v>
      </c>
      <c r="I64" s="238">
        <f t="shared" si="15"/>
        <v>0</v>
      </c>
      <c r="J64" s="237">
        <f t="shared" si="4"/>
        <v>0</v>
      </c>
      <c r="K64" s="269">
        <f t="shared" si="5"/>
        <v>0</v>
      </c>
      <c r="L64" s="239">
        <f t="shared" si="6"/>
        <v>0</v>
      </c>
      <c r="M64" s="275" t="e">
        <f t="shared" si="7"/>
        <v>#DIV/0!</v>
      </c>
      <c r="N64" s="3"/>
      <c r="O64" s="1">
        <f t="shared" si="17"/>
        <v>44</v>
      </c>
      <c r="P64" s="182">
        <f t="shared" si="17"/>
        <v>46101</v>
      </c>
      <c r="Q64" s="241">
        <f>ROUND(SUMIFS(BS_RE33!$U$7:$U$874,BS_RE33!$S$7:$S$874,'Summary &amp; Working File(Ccy)'!P64,BS_RE33!$N$7:$N$874,'Summary &amp; Working File(Ccy)'!$Q$10,BS_RE33!$F$7:$F$874,$J$3)+SUMIF($P$13:$P$19,P64,$Q$13:$Q$19),2)</f>
        <v>0</v>
      </c>
      <c r="R64" s="242">
        <f>ROUND(SUMIFS(BS_RE33!$U$7:$U$874,BS_RE33!$S$7:$S$874,'Summary &amp; Working File(Ccy)'!P64,BS_RE33!$N$7:$N$874,'Summary &amp; Working File(Ccy)'!$R$10,BS_RE33!$F$7:$F$874,$J$3)+SUMIF($P$13:$P$19,P64,$R$13:$R$19),2)</f>
        <v>0</v>
      </c>
    </row>
    <row r="65" spans="2:18">
      <c r="B65" s="243">
        <f t="shared" si="16"/>
        <v>45</v>
      </c>
      <c r="C65" s="247">
        <f t="shared" si="16"/>
        <v>46102</v>
      </c>
      <c r="D65" s="245">
        <f t="shared" si="9"/>
        <v>0</v>
      </c>
      <c r="E65" s="235">
        <f t="shared" si="12"/>
        <v>0</v>
      </c>
      <c r="F65" s="236">
        <f t="shared" si="1"/>
        <v>0</v>
      </c>
      <c r="G65" s="237">
        <f t="shared" si="0"/>
        <v>0</v>
      </c>
      <c r="H65" s="273">
        <f t="shared" si="2"/>
        <v>0</v>
      </c>
      <c r="I65" s="238">
        <f t="shared" si="15"/>
        <v>0</v>
      </c>
      <c r="J65" s="237">
        <f t="shared" si="4"/>
        <v>0</v>
      </c>
      <c r="K65" s="269">
        <f t="shared" si="5"/>
        <v>0</v>
      </c>
      <c r="L65" s="239">
        <f t="shared" si="6"/>
        <v>0</v>
      </c>
      <c r="M65" s="275" t="e">
        <f t="shared" si="7"/>
        <v>#DIV/0!</v>
      </c>
      <c r="N65" s="3"/>
      <c r="O65" s="1">
        <f t="shared" si="17"/>
        <v>45</v>
      </c>
      <c r="P65" s="182">
        <f t="shared" si="17"/>
        <v>46102</v>
      </c>
      <c r="Q65" s="241">
        <f>ROUND(SUMIFS(BS_RE33!$U$7:$U$874,BS_RE33!$S$7:$S$874,'Summary &amp; Working File(Ccy)'!P65,BS_RE33!$N$7:$N$874,'Summary &amp; Working File(Ccy)'!$Q$10,BS_RE33!$F$7:$F$874,$J$3)+SUMIF($P$13:$P$19,P65,$Q$13:$Q$19),2)</f>
        <v>0</v>
      </c>
      <c r="R65" s="242">
        <f>ROUND(SUMIFS(BS_RE33!$U$7:$U$874,BS_RE33!$S$7:$S$874,'Summary &amp; Working File(Ccy)'!P65,BS_RE33!$N$7:$N$874,'Summary &amp; Working File(Ccy)'!$R$10,BS_RE33!$F$7:$F$874,$J$3)+SUMIF($P$13:$P$19,P65,$R$13:$R$19),2)</f>
        <v>0</v>
      </c>
    </row>
    <row r="66" spans="2:18">
      <c r="B66" s="243">
        <f t="shared" si="16"/>
        <v>46</v>
      </c>
      <c r="C66" s="247">
        <f t="shared" si="16"/>
        <v>46103</v>
      </c>
      <c r="D66" s="245">
        <f t="shared" si="9"/>
        <v>0</v>
      </c>
      <c r="E66" s="235">
        <f t="shared" si="12"/>
        <v>0</v>
      </c>
      <c r="F66" s="236">
        <f t="shared" si="1"/>
        <v>0</v>
      </c>
      <c r="G66" s="237">
        <f t="shared" si="0"/>
        <v>0</v>
      </c>
      <c r="H66" s="273">
        <f t="shared" si="2"/>
        <v>0</v>
      </c>
      <c r="I66" s="238">
        <f t="shared" si="15"/>
        <v>0</v>
      </c>
      <c r="J66" s="237">
        <f t="shared" si="4"/>
        <v>0</v>
      </c>
      <c r="K66" s="269">
        <f t="shared" si="5"/>
        <v>0</v>
      </c>
      <c r="L66" s="239">
        <f t="shared" si="6"/>
        <v>0</v>
      </c>
      <c r="M66" s="275" t="e">
        <f t="shared" si="7"/>
        <v>#DIV/0!</v>
      </c>
      <c r="N66" s="3"/>
      <c r="O66" s="1">
        <f t="shared" si="17"/>
        <v>46</v>
      </c>
      <c r="P66" s="182">
        <f t="shared" si="17"/>
        <v>46103</v>
      </c>
      <c r="Q66" s="241">
        <f>ROUND(SUMIFS(BS_RE33!$U$7:$U$874,BS_RE33!$S$7:$S$874,'Summary &amp; Working File(Ccy)'!P66,BS_RE33!$N$7:$N$874,'Summary &amp; Working File(Ccy)'!$Q$10,BS_RE33!$F$7:$F$874,$J$3)+SUMIF($P$13:$P$19,P66,$Q$13:$Q$19),2)</f>
        <v>0</v>
      </c>
      <c r="R66" s="242">
        <f>ROUND(SUMIFS(BS_RE33!$U$7:$U$874,BS_RE33!$S$7:$S$874,'Summary &amp; Working File(Ccy)'!P66,BS_RE33!$N$7:$N$874,'Summary &amp; Working File(Ccy)'!$R$10,BS_RE33!$F$7:$F$874,$J$3)+SUMIF($P$13:$P$19,P66,$R$13:$R$19),2)</f>
        <v>0</v>
      </c>
    </row>
    <row r="67" spans="2:18">
      <c r="B67" s="243">
        <f t="shared" si="16"/>
        <v>47</v>
      </c>
      <c r="C67" s="247">
        <f t="shared" si="16"/>
        <v>46104</v>
      </c>
      <c r="D67" s="245">
        <f t="shared" si="9"/>
        <v>0</v>
      </c>
      <c r="E67" s="235">
        <f t="shared" si="12"/>
        <v>0</v>
      </c>
      <c r="F67" s="236">
        <f t="shared" si="1"/>
        <v>0</v>
      </c>
      <c r="G67" s="237">
        <f t="shared" si="0"/>
        <v>0</v>
      </c>
      <c r="H67" s="273">
        <f t="shared" si="2"/>
        <v>0</v>
      </c>
      <c r="I67" s="238">
        <f t="shared" si="15"/>
        <v>0</v>
      </c>
      <c r="J67" s="237">
        <f t="shared" si="4"/>
        <v>0</v>
      </c>
      <c r="K67" s="269">
        <f t="shared" si="5"/>
        <v>0</v>
      </c>
      <c r="L67" s="239">
        <f t="shared" si="6"/>
        <v>0</v>
      </c>
      <c r="M67" s="275" t="e">
        <f t="shared" si="7"/>
        <v>#DIV/0!</v>
      </c>
      <c r="N67" s="3"/>
      <c r="O67" s="1">
        <f t="shared" si="17"/>
        <v>47</v>
      </c>
      <c r="P67" s="182">
        <f t="shared" si="17"/>
        <v>46104</v>
      </c>
      <c r="Q67" s="241">
        <f>ROUND(SUMIFS(BS_RE33!$U$7:$U$874,BS_RE33!$S$7:$S$874,'Summary &amp; Working File(Ccy)'!P67,BS_RE33!$N$7:$N$874,'Summary &amp; Working File(Ccy)'!$Q$10,BS_RE33!$F$7:$F$874,$J$3)+SUMIF($P$13:$P$19,P67,$Q$13:$Q$19),2)</f>
        <v>0</v>
      </c>
      <c r="R67" s="242">
        <f>ROUND(SUMIFS(BS_RE33!$U$7:$U$874,BS_RE33!$S$7:$S$874,'Summary &amp; Working File(Ccy)'!P67,BS_RE33!$N$7:$N$874,'Summary &amp; Working File(Ccy)'!$R$10,BS_RE33!$F$7:$F$874,$J$3)+SUMIF($P$13:$P$19,P67,$R$13:$R$19),2)</f>
        <v>0</v>
      </c>
    </row>
    <row r="68" spans="2:18">
      <c r="B68" s="243">
        <f t="shared" si="16"/>
        <v>48</v>
      </c>
      <c r="C68" s="247">
        <f t="shared" si="16"/>
        <v>46105</v>
      </c>
      <c r="D68" s="245">
        <f t="shared" si="9"/>
        <v>0</v>
      </c>
      <c r="E68" s="235">
        <f t="shared" si="12"/>
        <v>0</v>
      </c>
      <c r="F68" s="236">
        <f t="shared" si="1"/>
        <v>0</v>
      </c>
      <c r="G68" s="237">
        <f t="shared" si="0"/>
        <v>0</v>
      </c>
      <c r="H68" s="273">
        <f t="shared" si="2"/>
        <v>0</v>
      </c>
      <c r="I68" s="238">
        <f t="shared" si="15"/>
        <v>0</v>
      </c>
      <c r="J68" s="237">
        <f t="shared" si="4"/>
        <v>0</v>
      </c>
      <c r="K68" s="269">
        <f t="shared" si="5"/>
        <v>0</v>
      </c>
      <c r="L68" s="239">
        <f t="shared" si="6"/>
        <v>0</v>
      </c>
      <c r="M68" s="275" t="e">
        <f t="shared" si="7"/>
        <v>#DIV/0!</v>
      </c>
      <c r="N68" s="3"/>
      <c r="O68" s="1">
        <f t="shared" si="17"/>
        <v>48</v>
      </c>
      <c r="P68" s="182">
        <f t="shared" si="17"/>
        <v>46105</v>
      </c>
      <c r="Q68" s="241">
        <f>ROUND(SUMIFS(BS_RE33!$U$7:$U$874,BS_RE33!$S$7:$S$874,'Summary &amp; Working File(Ccy)'!P68,BS_RE33!$N$7:$N$874,'Summary &amp; Working File(Ccy)'!$Q$10,BS_RE33!$F$7:$F$874,$J$3)+SUMIF($P$13:$P$19,P68,$Q$13:$Q$19),2)</f>
        <v>0</v>
      </c>
      <c r="R68" s="242">
        <f>ROUND(SUMIFS(BS_RE33!$U$7:$U$874,BS_RE33!$S$7:$S$874,'Summary &amp; Working File(Ccy)'!P68,BS_RE33!$N$7:$N$874,'Summary &amp; Working File(Ccy)'!$R$10,BS_RE33!$F$7:$F$874,$J$3)+SUMIF($P$13:$P$19,P68,$R$13:$R$19),2)</f>
        <v>0</v>
      </c>
    </row>
    <row r="69" spans="2:18">
      <c r="B69" s="243">
        <f t="shared" si="16"/>
        <v>49</v>
      </c>
      <c r="C69" s="247">
        <f t="shared" si="16"/>
        <v>46106</v>
      </c>
      <c r="D69" s="245">
        <f t="shared" si="9"/>
        <v>0</v>
      </c>
      <c r="E69" s="235">
        <f t="shared" si="12"/>
        <v>0</v>
      </c>
      <c r="F69" s="236">
        <f t="shared" si="1"/>
        <v>0</v>
      </c>
      <c r="G69" s="237">
        <f t="shared" si="0"/>
        <v>0</v>
      </c>
      <c r="H69" s="273">
        <f t="shared" si="2"/>
        <v>0</v>
      </c>
      <c r="I69" s="238">
        <f t="shared" si="15"/>
        <v>0</v>
      </c>
      <c r="J69" s="237">
        <f t="shared" si="4"/>
        <v>0</v>
      </c>
      <c r="K69" s="269">
        <f t="shared" si="5"/>
        <v>0</v>
      </c>
      <c r="L69" s="239">
        <f t="shared" si="6"/>
        <v>0</v>
      </c>
      <c r="M69" s="275" t="e">
        <f t="shared" si="7"/>
        <v>#DIV/0!</v>
      </c>
      <c r="N69" s="3"/>
      <c r="O69" s="1">
        <f t="shared" si="17"/>
        <v>49</v>
      </c>
      <c r="P69" s="182">
        <f t="shared" si="17"/>
        <v>46106</v>
      </c>
      <c r="Q69" s="241">
        <f>ROUND(SUMIFS(BS_RE33!$U$7:$U$874,BS_RE33!$S$7:$S$874,'Summary &amp; Working File(Ccy)'!P69,BS_RE33!$N$7:$N$874,'Summary &amp; Working File(Ccy)'!$Q$10,BS_RE33!$F$7:$F$874,$J$3)+SUMIF($P$13:$P$19,P69,$Q$13:$Q$19),2)</f>
        <v>0</v>
      </c>
      <c r="R69" s="242">
        <f>ROUND(SUMIFS(BS_RE33!$U$7:$U$874,BS_RE33!$S$7:$S$874,'Summary &amp; Working File(Ccy)'!P69,BS_RE33!$N$7:$N$874,'Summary &amp; Working File(Ccy)'!$R$10,BS_RE33!$F$7:$F$874,$J$3)+SUMIF($P$13:$P$19,P69,$R$13:$R$19),2)</f>
        <v>0</v>
      </c>
    </row>
    <row r="70" spans="2:18">
      <c r="B70" s="243">
        <f t="shared" si="16"/>
        <v>50</v>
      </c>
      <c r="C70" s="247">
        <f t="shared" si="16"/>
        <v>46107</v>
      </c>
      <c r="D70" s="245">
        <f t="shared" si="9"/>
        <v>0</v>
      </c>
      <c r="E70" s="235">
        <f t="shared" si="12"/>
        <v>0</v>
      </c>
      <c r="F70" s="236">
        <f t="shared" si="1"/>
        <v>0</v>
      </c>
      <c r="G70" s="237">
        <f t="shared" si="0"/>
        <v>0</v>
      </c>
      <c r="H70" s="273">
        <f t="shared" si="2"/>
        <v>0</v>
      </c>
      <c r="I70" s="238">
        <f t="shared" si="15"/>
        <v>0</v>
      </c>
      <c r="J70" s="237">
        <f t="shared" si="4"/>
        <v>0</v>
      </c>
      <c r="K70" s="269">
        <f t="shared" si="5"/>
        <v>0</v>
      </c>
      <c r="L70" s="239">
        <f t="shared" si="6"/>
        <v>0</v>
      </c>
      <c r="M70" s="275" t="e">
        <f t="shared" si="7"/>
        <v>#DIV/0!</v>
      </c>
      <c r="N70" s="3"/>
      <c r="O70" s="1">
        <f t="shared" si="17"/>
        <v>50</v>
      </c>
      <c r="P70" s="182">
        <f t="shared" si="17"/>
        <v>46107</v>
      </c>
      <c r="Q70" s="241">
        <f>ROUND(SUMIFS(BS_RE33!$U$7:$U$874,BS_RE33!$S$7:$S$874,'Summary &amp; Working File(Ccy)'!P70,BS_RE33!$N$7:$N$874,'Summary &amp; Working File(Ccy)'!$Q$10,BS_RE33!$F$7:$F$874,$J$3)+SUMIF($P$13:$P$19,P70,$Q$13:$Q$19),2)</f>
        <v>0</v>
      </c>
      <c r="R70" s="242">
        <f>ROUND(SUMIFS(BS_RE33!$U$7:$U$874,BS_RE33!$S$7:$S$874,'Summary &amp; Working File(Ccy)'!P70,BS_RE33!$N$7:$N$874,'Summary &amp; Working File(Ccy)'!$R$10,BS_RE33!$F$7:$F$874,$J$3)+SUMIF($P$13:$P$19,P70,$R$13:$R$19),2)</f>
        <v>0</v>
      </c>
    </row>
    <row r="71" spans="2:18">
      <c r="B71" s="243">
        <f t="shared" ref="B71:C86" si="18">B70+1</f>
        <v>51</v>
      </c>
      <c r="C71" s="247">
        <f t="shared" si="18"/>
        <v>46108</v>
      </c>
      <c r="D71" s="245">
        <f t="shared" si="9"/>
        <v>0</v>
      </c>
      <c r="E71" s="235">
        <f t="shared" si="12"/>
        <v>0</v>
      </c>
      <c r="F71" s="236">
        <f t="shared" si="1"/>
        <v>0</v>
      </c>
      <c r="G71" s="237">
        <f t="shared" si="0"/>
        <v>0</v>
      </c>
      <c r="H71" s="273">
        <f t="shared" si="2"/>
        <v>0</v>
      </c>
      <c r="I71" s="238">
        <f t="shared" si="15"/>
        <v>0</v>
      </c>
      <c r="J71" s="237">
        <f t="shared" si="4"/>
        <v>0</v>
      </c>
      <c r="K71" s="269">
        <f t="shared" si="5"/>
        <v>0</v>
      </c>
      <c r="L71" s="239">
        <f t="shared" si="6"/>
        <v>0</v>
      </c>
      <c r="M71" s="275" t="e">
        <f t="shared" si="7"/>
        <v>#DIV/0!</v>
      </c>
      <c r="N71" s="3"/>
      <c r="O71" s="1">
        <f t="shared" ref="O71:P86" si="19">O70+1</f>
        <v>51</v>
      </c>
      <c r="P71" s="182">
        <f t="shared" si="19"/>
        <v>46108</v>
      </c>
      <c r="Q71" s="241">
        <f>ROUND(SUMIFS(BS_RE33!$U$7:$U$874,BS_RE33!$S$7:$S$874,'Summary &amp; Working File(Ccy)'!P71,BS_RE33!$N$7:$N$874,'Summary &amp; Working File(Ccy)'!$Q$10,BS_RE33!$F$7:$F$874,$J$3)+SUMIF($P$13:$P$19,P71,$Q$13:$Q$19),2)</f>
        <v>0</v>
      </c>
      <c r="R71" s="242">
        <f>ROUND(SUMIFS(BS_RE33!$U$7:$U$874,BS_RE33!$S$7:$S$874,'Summary &amp; Working File(Ccy)'!P71,BS_RE33!$N$7:$N$874,'Summary &amp; Working File(Ccy)'!$R$10,BS_RE33!$F$7:$F$874,$J$3)+SUMIF($P$13:$P$19,P71,$R$13:$R$19),2)</f>
        <v>0</v>
      </c>
    </row>
    <row r="72" spans="2:18">
      <c r="B72" s="243">
        <f t="shared" si="18"/>
        <v>52</v>
      </c>
      <c r="C72" s="247">
        <f t="shared" si="18"/>
        <v>46109</v>
      </c>
      <c r="D72" s="245">
        <f t="shared" si="9"/>
        <v>0</v>
      </c>
      <c r="E72" s="235">
        <f t="shared" si="12"/>
        <v>0</v>
      </c>
      <c r="F72" s="236">
        <f t="shared" si="1"/>
        <v>0</v>
      </c>
      <c r="G72" s="237">
        <f t="shared" si="0"/>
        <v>0</v>
      </c>
      <c r="H72" s="273">
        <f t="shared" si="2"/>
        <v>0</v>
      </c>
      <c r="I72" s="238">
        <f t="shared" si="15"/>
        <v>0</v>
      </c>
      <c r="J72" s="237">
        <f t="shared" si="4"/>
        <v>0</v>
      </c>
      <c r="K72" s="269">
        <f t="shared" si="5"/>
        <v>0</v>
      </c>
      <c r="L72" s="239">
        <f t="shared" si="6"/>
        <v>0</v>
      </c>
      <c r="M72" s="275" t="e">
        <f t="shared" si="7"/>
        <v>#DIV/0!</v>
      </c>
      <c r="N72" s="3"/>
      <c r="O72" s="1">
        <f t="shared" si="19"/>
        <v>52</v>
      </c>
      <c r="P72" s="182">
        <f t="shared" si="19"/>
        <v>46109</v>
      </c>
      <c r="Q72" s="241">
        <f>ROUND(SUMIFS(BS_RE33!$U$7:$U$874,BS_RE33!$S$7:$S$874,'Summary &amp; Working File(Ccy)'!P72,BS_RE33!$N$7:$N$874,'Summary &amp; Working File(Ccy)'!$Q$10,BS_RE33!$F$7:$F$874,$J$3)+SUMIF($P$13:$P$19,P72,$Q$13:$Q$19),2)</f>
        <v>0</v>
      </c>
      <c r="R72" s="242">
        <f>ROUND(SUMIFS(BS_RE33!$U$7:$U$874,BS_RE33!$S$7:$S$874,'Summary &amp; Working File(Ccy)'!P72,BS_RE33!$N$7:$N$874,'Summary &amp; Working File(Ccy)'!$R$10,BS_RE33!$F$7:$F$874,$J$3)+SUMIF($P$13:$P$19,P72,$R$13:$R$19),2)</f>
        <v>0</v>
      </c>
    </row>
    <row r="73" spans="2:18">
      <c r="B73" s="243">
        <f t="shared" si="18"/>
        <v>53</v>
      </c>
      <c r="C73" s="247">
        <f t="shared" si="18"/>
        <v>46110</v>
      </c>
      <c r="D73" s="245">
        <f t="shared" si="9"/>
        <v>0</v>
      </c>
      <c r="E73" s="235">
        <f t="shared" si="12"/>
        <v>0</v>
      </c>
      <c r="F73" s="236">
        <f t="shared" si="1"/>
        <v>0</v>
      </c>
      <c r="G73" s="237">
        <f t="shared" si="0"/>
        <v>0</v>
      </c>
      <c r="H73" s="273">
        <f t="shared" si="2"/>
        <v>0</v>
      </c>
      <c r="I73" s="238">
        <f t="shared" si="15"/>
        <v>0</v>
      </c>
      <c r="J73" s="237">
        <f t="shared" si="4"/>
        <v>0</v>
      </c>
      <c r="K73" s="269">
        <f t="shared" si="5"/>
        <v>0</v>
      </c>
      <c r="L73" s="239">
        <f t="shared" si="6"/>
        <v>0</v>
      </c>
      <c r="M73" s="275" t="e">
        <f t="shared" si="7"/>
        <v>#DIV/0!</v>
      </c>
      <c r="N73" s="3"/>
      <c r="O73" s="1">
        <f t="shared" si="19"/>
        <v>53</v>
      </c>
      <c r="P73" s="182">
        <f t="shared" si="19"/>
        <v>46110</v>
      </c>
      <c r="Q73" s="241">
        <f>ROUND(SUMIFS(BS_RE33!$U$7:$U$874,BS_RE33!$S$7:$S$874,'Summary &amp; Working File(Ccy)'!P73,BS_RE33!$N$7:$N$874,'Summary &amp; Working File(Ccy)'!$Q$10,BS_RE33!$F$7:$F$874,$J$3)+SUMIF($P$13:$P$19,P73,$Q$13:$Q$19),2)</f>
        <v>0</v>
      </c>
      <c r="R73" s="242">
        <f>ROUND(SUMIFS(BS_RE33!$U$7:$U$874,BS_RE33!$S$7:$S$874,'Summary &amp; Working File(Ccy)'!P73,BS_RE33!$N$7:$N$874,'Summary &amp; Working File(Ccy)'!$R$10,BS_RE33!$F$7:$F$874,$J$3)+SUMIF($P$13:$P$19,P73,$R$13:$R$19),2)</f>
        <v>0</v>
      </c>
    </row>
    <row r="74" spans="2:18">
      <c r="B74" s="243">
        <f t="shared" si="18"/>
        <v>54</v>
      </c>
      <c r="C74" s="247">
        <f t="shared" si="18"/>
        <v>46111</v>
      </c>
      <c r="D74" s="245">
        <f t="shared" si="9"/>
        <v>0</v>
      </c>
      <c r="E74" s="235">
        <f t="shared" si="12"/>
        <v>0</v>
      </c>
      <c r="F74" s="236">
        <f t="shared" si="1"/>
        <v>0</v>
      </c>
      <c r="G74" s="237">
        <f t="shared" si="0"/>
        <v>0</v>
      </c>
      <c r="H74" s="273">
        <f t="shared" si="2"/>
        <v>0</v>
      </c>
      <c r="I74" s="238">
        <f t="shared" si="15"/>
        <v>0</v>
      </c>
      <c r="J74" s="237">
        <f t="shared" si="4"/>
        <v>0</v>
      </c>
      <c r="K74" s="269">
        <f t="shared" si="5"/>
        <v>0</v>
      </c>
      <c r="L74" s="239">
        <f t="shared" si="6"/>
        <v>0</v>
      </c>
      <c r="M74" s="275" t="e">
        <f t="shared" si="7"/>
        <v>#DIV/0!</v>
      </c>
      <c r="N74" s="3"/>
      <c r="O74" s="1">
        <f t="shared" si="19"/>
        <v>54</v>
      </c>
      <c r="P74" s="182">
        <f t="shared" si="19"/>
        <v>46111</v>
      </c>
      <c r="Q74" s="241">
        <f>ROUND(SUMIFS(BS_RE33!$U$7:$U$874,BS_RE33!$S$7:$S$874,'Summary &amp; Working File(Ccy)'!P74,BS_RE33!$N$7:$N$874,'Summary &amp; Working File(Ccy)'!$Q$10,BS_RE33!$F$7:$F$874,$J$3)+SUMIF($P$13:$P$19,P74,$Q$13:$Q$19),2)</f>
        <v>0</v>
      </c>
      <c r="R74" s="242">
        <f>ROUND(SUMIFS(BS_RE33!$U$7:$U$874,BS_RE33!$S$7:$S$874,'Summary &amp; Working File(Ccy)'!P74,BS_RE33!$N$7:$N$874,'Summary &amp; Working File(Ccy)'!$R$10,BS_RE33!$F$7:$F$874,$J$3)+SUMIF($P$13:$P$19,P74,$R$13:$R$19),2)</f>
        <v>0</v>
      </c>
    </row>
    <row r="75" spans="2:18">
      <c r="B75" s="243">
        <f t="shared" si="18"/>
        <v>55</v>
      </c>
      <c r="C75" s="247">
        <f t="shared" si="18"/>
        <v>46112</v>
      </c>
      <c r="D75" s="245">
        <f t="shared" si="9"/>
        <v>0</v>
      </c>
      <c r="E75" s="235">
        <f t="shared" si="12"/>
        <v>0</v>
      </c>
      <c r="F75" s="236">
        <f t="shared" si="1"/>
        <v>0</v>
      </c>
      <c r="G75" s="237">
        <f t="shared" si="0"/>
        <v>0</v>
      </c>
      <c r="H75" s="273">
        <f t="shared" si="2"/>
        <v>0</v>
      </c>
      <c r="I75" s="238">
        <f t="shared" si="15"/>
        <v>0</v>
      </c>
      <c r="J75" s="237">
        <f t="shared" si="4"/>
        <v>0</v>
      </c>
      <c r="K75" s="269">
        <f t="shared" si="5"/>
        <v>0</v>
      </c>
      <c r="L75" s="239">
        <f t="shared" si="6"/>
        <v>0</v>
      </c>
      <c r="M75" s="275" t="e">
        <f t="shared" si="7"/>
        <v>#DIV/0!</v>
      </c>
      <c r="N75" s="3"/>
      <c r="O75" s="1">
        <f t="shared" si="19"/>
        <v>55</v>
      </c>
      <c r="P75" s="182">
        <f t="shared" si="19"/>
        <v>46112</v>
      </c>
      <c r="Q75" s="241">
        <f>ROUND(SUMIFS(BS_RE33!$U$7:$U$874,BS_RE33!$S$7:$S$874,'Summary &amp; Working File(Ccy)'!P75,BS_RE33!$N$7:$N$874,'Summary &amp; Working File(Ccy)'!$Q$10,BS_RE33!$F$7:$F$874,$J$3)+SUMIF($P$13:$P$19,P75,$Q$13:$Q$19),2)</f>
        <v>0</v>
      </c>
      <c r="R75" s="242">
        <f>ROUND(SUMIFS(BS_RE33!$U$7:$U$874,BS_RE33!$S$7:$S$874,'Summary &amp; Working File(Ccy)'!P75,BS_RE33!$N$7:$N$874,'Summary &amp; Working File(Ccy)'!$R$10,BS_RE33!$F$7:$F$874,$J$3)+SUMIF($P$13:$P$19,P75,$R$13:$R$19),2)</f>
        <v>0</v>
      </c>
    </row>
    <row r="76" spans="2:18">
      <c r="B76" s="243">
        <f t="shared" si="18"/>
        <v>56</v>
      </c>
      <c r="C76" s="247">
        <f t="shared" si="18"/>
        <v>46113</v>
      </c>
      <c r="D76" s="245">
        <f t="shared" si="9"/>
        <v>0</v>
      </c>
      <c r="E76" s="235">
        <f t="shared" si="12"/>
        <v>0</v>
      </c>
      <c r="F76" s="236">
        <f t="shared" si="1"/>
        <v>0</v>
      </c>
      <c r="G76" s="237">
        <f t="shared" si="0"/>
        <v>0</v>
      </c>
      <c r="H76" s="273">
        <f t="shared" si="2"/>
        <v>0</v>
      </c>
      <c r="I76" s="238">
        <f t="shared" si="15"/>
        <v>0</v>
      </c>
      <c r="J76" s="237">
        <f t="shared" si="4"/>
        <v>0</v>
      </c>
      <c r="K76" s="269">
        <f t="shared" si="5"/>
        <v>0</v>
      </c>
      <c r="L76" s="239">
        <f t="shared" si="6"/>
        <v>0</v>
      </c>
      <c r="M76" s="275" t="e">
        <f t="shared" si="7"/>
        <v>#DIV/0!</v>
      </c>
      <c r="N76" s="3"/>
      <c r="O76" s="1">
        <f t="shared" si="19"/>
        <v>56</v>
      </c>
      <c r="P76" s="182">
        <f t="shared" si="19"/>
        <v>46113</v>
      </c>
      <c r="Q76" s="241">
        <f>ROUND(SUMIFS(BS_RE33!$U$7:$U$874,BS_RE33!$S$7:$S$874,'Summary &amp; Working File(Ccy)'!P76,BS_RE33!$N$7:$N$874,'Summary &amp; Working File(Ccy)'!$Q$10,BS_RE33!$F$7:$F$874,$J$3)+SUMIF($P$13:$P$19,P76,$Q$13:$Q$19),2)</f>
        <v>0</v>
      </c>
      <c r="R76" s="242">
        <f>ROUND(SUMIFS(BS_RE33!$U$7:$U$874,BS_RE33!$S$7:$S$874,'Summary &amp; Working File(Ccy)'!P76,BS_RE33!$N$7:$N$874,'Summary &amp; Working File(Ccy)'!$R$10,BS_RE33!$F$7:$F$874,$J$3)+SUMIF($P$13:$P$19,P76,$R$13:$R$19),2)</f>
        <v>0</v>
      </c>
    </row>
    <row r="77" spans="2:18">
      <c r="B77" s="243">
        <f t="shared" si="18"/>
        <v>57</v>
      </c>
      <c r="C77" s="247">
        <f t="shared" si="18"/>
        <v>46114</v>
      </c>
      <c r="D77" s="245">
        <f t="shared" si="9"/>
        <v>0</v>
      </c>
      <c r="E77" s="235">
        <f t="shared" si="12"/>
        <v>0</v>
      </c>
      <c r="F77" s="236">
        <f t="shared" si="1"/>
        <v>0</v>
      </c>
      <c r="G77" s="237">
        <f t="shared" si="0"/>
        <v>0</v>
      </c>
      <c r="H77" s="273">
        <f t="shared" si="2"/>
        <v>0</v>
      </c>
      <c r="I77" s="238">
        <f t="shared" si="15"/>
        <v>0</v>
      </c>
      <c r="J77" s="237">
        <f t="shared" si="4"/>
        <v>0</v>
      </c>
      <c r="K77" s="269">
        <f t="shared" si="5"/>
        <v>0</v>
      </c>
      <c r="L77" s="239">
        <f t="shared" si="6"/>
        <v>0</v>
      </c>
      <c r="M77" s="275" t="e">
        <f t="shared" si="7"/>
        <v>#DIV/0!</v>
      </c>
      <c r="N77" s="3"/>
      <c r="O77" s="1">
        <f t="shared" si="19"/>
        <v>57</v>
      </c>
      <c r="P77" s="182">
        <f t="shared" si="19"/>
        <v>46114</v>
      </c>
      <c r="Q77" s="241">
        <f>ROUND(SUMIFS(BS_RE33!$U$7:$U$874,BS_RE33!$S$7:$S$874,'Summary &amp; Working File(Ccy)'!P77,BS_RE33!$N$7:$N$874,'Summary &amp; Working File(Ccy)'!$Q$10,BS_RE33!$F$7:$F$874,$J$3)+SUMIF($P$13:$P$19,P77,$Q$13:$Q$19),2)</f>
        <v>0</v>
      </c>
      <c r="R77" s="242">
        <f>ROUND(SUMIFS(BS_RE33!$U$7:$U$874,BS_RE33!$S$7:$S$874,'Summary &amp; Working File(Ccy)'!P77,BS_RE33!$N$7:$N$874,'Summary &amp; Working File(Ccy)'!$R$10,BS_RE33!$F$7:$F$874,$J$3)+SUMIF($P$13:$P$19,P77,$R$13:$R$19),2)</f>
        <v>0</v>
      </c>
    </row>
    <row r="78" spans="2:18">
      <c r="B78" s="243">
        <f t="shared" si="18"/>
        <v>58</v>
      </c>
      <c r="C78" s="247">
        <f t="shared" si="18"/>
        <v>46115</v>
      </c>
      <c r="D78" s="245">
        <f t="shared" si="9"/>
        <v>0</v>
      </c>
      <c r="E78" s="235">
        <f t="shared" si="12"/>
        <v>0</v>
      </c>
      <c r="F78" s="236">
        <f t="shared" si="1"/>
        <v>0</v>
      </c>
      <c r="G78" s="237">
        <f t="shared" si="0"/>
        <v>0</v>
      </c>
      <c r="H78" s="273">
        <f t="shared" si="2"/>
        <v>0</v>
      </c>
      <c r="I78" s="238">
        <f t="shared" si="15"/>
        <v>0</v>
      </c>
      <c r="J78" s="237">
        <f t="shared" si="4"/>
        <v>0</v>
      </c>
      <c r="K78" s="269">
        <f t="shared" si="5"/>
        <v>0</v>
      </c>
      <c r="L78" s="239">
        <f t="shared" si="6"/>
        <v>0</v>
      </c>
      <c r="M78" s="275" t="e">
        <f t="shared" si="7"/>
        <v>#DIV/0!</v>
      </c>
      <c r="N78" s="3"/>
      <c r="O78" s="1">
        <f t="shared" si="19"/>
        <v>58</v>
      </c>
      <c r="P78" s="182">
        <f t="shared" si="19"/>
        <v>46115</v>
      </c>
      <c r="Q78" s="241">
        <f>ROUND(SUMIFS(BS_RE33!$U$7:$U$874,BS_RE33!$S$7:$S$874,'Summary &amp; Working File(Ccy)'!P78,BS_RE33!$N$7:$N$874,'Summary &amp; Working File(Ccy)'!$Q$10,BS_RE33!$F$7:$F$874,$J$3)+SUMIF($P$13:$P$19,P78,$Q$13:$Q$19),2)</f>
        <v>0</v>
      </c>
      <c r="R78" s="242">
        <f>ROUND(SUMIFS(BS_RE33!$U$7:$U$874,BS_RE33!$S$7:$S$874,'Summary &amp; Working File(Ccy)'!P78,BS_RE33!$N$7:$N$874,'Summary &amp; Working File(Ccy)'!$R$10,BS_RE33!$F$7:$F$874,$J$3)+SUMIF($P$13:$P$19,P78,$R$13:$R$19),2)</f>
        <v>0</v>
      </c>
    </row>
    <row r="79" spans="2:18">
      <c r="B79" s="243">
        <f t="shared" si="18"/>
        <v>59</v>
      </c>
      <c r="C79" s="247">
        <f t="shared" si="18"/>
        <v>46116</v>
      </c>
      <c r="D79" s="245">
        <f t="shared" si="9"/>
        <v>0</v>
      </c>
      <c r="E79" s="235">
        <f t="shared" si="12"/>
        <v>0</v>
      </c>
      <c r="F79" s="236">
        <f t="shared" si="1"/>
        <v>0</v>
      </c>
      <c r="G79" s="237">
        <f t="shared" si="0"/>
        <v>0</v>
      </c>
      <c r="H79" s="273">
        <f t="shared" si="2"/>
        <v>0</v>
      </c>
      <c r="I79" s="238">
        <f t="shared" si="15"/>
        <v>0</v>
      </c>
      <c r="J79" s="237">
        <f t="shared" si="4"/>
        <v>0</v>
      </c>
      <c r="K79" s="269">
        <f t="shared" si="5"/>
        <v>0</v>
      </c>
      <c r="L79" s="239">
        <f t="shared" si="6"/>
        <v>0</v>
      </c>
      <c r="M79" s="275" t="e">
        <f t="shared" si="7"/>
        <v>#DIV/0!</v>
      </c>
      <c r="N79" s="3"/>
      <c r="O79" s="1">
        <f t="shared" si="19"/>
        <v>59</v>
      </c>
      <c r="P79" s="182">
        <f t="shared" si="19"/>
        <v>46116</v>
      </c>
      <c r="Q79" s="241">
        <f>ROUND(SUMIFS(BS_RE33!$U$7:$U$874,BS_RE33!$S$7:$S$874,'Summary &amp; Working File(Ccy)'!P79,BS_RE33!$N$7:$N$874,'Summary &amp; Working File(Ccy)'!$Q$10,BS_RE33!$F$7:$F$874,$J$3)+SUMIF($P$13:$P$19,P79,$Q$13:$Q$19),2)</f>
        <v>0</v>
      </c>
      <c r="R79" s="242">
        <f>ROUND(SUMIFS(BS_RE33!$U$7:$U$874,BS_RE33!$S$7:$S$874,'Summary &amp; Working File(Ccy)'!P79,BS_RE33!$N$7:$N$874,'Summary &amp; Working File(Ccy)'!$R$10,BS_RE33!$F$7:$F$874,$J$3)+SUMIF($P$13:$P$19,P79,$R$13:$R$19),2)</f>
        <v>0</v>
      </c>
    </row>
    <row r="80" spans="2:18">
      <c r="B80" s="243">
        <f t="shared" si="18"/>
        <v>60</v>
      </c>
      <c r="C80" s="247">
        <f t="shared" si="18"/>
        <v>46117</v>
      </c>
      <c r="D80" s="245">
        <f t="shared" si="9"/>
        <v>0</v>
      </c>
      <c r="E80" s="235">
        <f t="shared" si="12"/>
        <v>0</v>
      </c>
      <c r="F80" s="236">
        <f t="shared" si="1"/>
        <v>0</v>
      </c>
      <c r="G80" s="237">
        <f t="shared" si="0"/>
        <v>0</v>
      </c>
      <c r="H80" s="273">
        <f t="shared" si="2"/>
        <v>0</v>
      </c>
      <c r="I80" s="238">
        <f t="shared" si="15"/>
        <v>0</v>
      </c>
      <c r="J80" s="237">
        <f t="shared" si="4"/>
        <v>0</v>
      </c>
      <c r="K80" s="269">
        <f t="shared" si="5"/>
        <v>0</v>
      </c>
      <c r="L80" s="239">
        <f t="shared" si="6"/>
        <v>0</v>
      </c>
      <c r="M80" s="275" t="e">
        <f t="shared" si="7"/>
        <v>#DIV/0!</v>
      </c>
      <c r="N80" s="3"/>
      <c r="O80" s="1">
        <f t="shared" si="19"/>
        <v>60</v>
      </c>
      <c r="P80" s="182">
        <f t="shared" si="19"/>
        <v>46117</v>
      </c>
      <c r="Q80" s="241">
        <f>ROUND(SUMIFS(BS_RE33!$U$7:$U$874,BS_RE33!$S$7:$S$874,'Summary &amp; Working File(Ccy)'!P80,BS_RE33!$N$7:$N$874,'Summary &amp; Working File(Ccy)'!$Q$10,BS_RE33!$F$7:$F$874,$J$3)+SUMIF($P$13:$P$19,P80,$Q$13:$Q$19),2)</f>
        <v>0</v>
      </c>
      <c r="R80" s="242">
        <f>ROUND(SUMIFS(BS_RE33!$U$7:$U$874,BS_RE33!$S$7:$S$874,'Summary &amp; Working File(Ccy)'!P80,BS_RE33!$N$7:$N$874,'Summary &amp; Working File(Ccy)'!$R$10,BS_RE33!$F$7:$F$874,$J$3)+SUMIF($P$13:$P$19,P80,$R$13:$R$19),2)</f>
        <v>0</v>
      </c>
    </row>
    <row r="81" spans="2:18">
      <c r="B81" s="243">
        <f t="shared" si="18"/>
        <v>61</v>
      </c>
      <c r="C81" s="247">
        <f t="shared" si="18"/>
        <v>46118</v>
      </c>
      <c r="D81" s="245">
        <f t="shared" si="9"/>
        <v>0</v>
      </c>
      <c r="E81" s="235">
        <f t="shared" si="12"/>
        <v>0</v>
      </c>
      <c r="F81" s="236">
        <f t="shared" si="1"/>
        <v>0</v>
      </c>
      <c r="G81" s="237">
        <f t="shared" si="0"/>
        <v>0</v>
      </c>
      <c r="H81" s="273">
        <f t="shared" si="2"/>
        <v>0</v>
      </c>
      <c r="I81" s="238">
        <f t="shared" si="15"/>
        <v>0</v>
      </c>
      <c r="J81" s="237">
        <f t="shared" si="4"/>
        <v>0</v>
      </c>
      <c r="K81" s="269">
        <f t="shared" si="5"/>
        <v>0</v>
      </c>
      <c r="L81" s="239">
        <f t="shared" si="6"/>
        <v>0</v>
      </c>
      <c r="M81" s="275" t="e">
        <f t="shared" si="7"/>
        <v>#DIV/0!</v>
      </c>
      <c r="N81" s="3"/>
      <c r="O81" s="1">
        <f t="shared" si="19"/>
        <v>61</v>
      </c>
      <c r="P81" s="182">
        <f t="shared" si="19"/>
        <v>46118</v>
      </c>
      <c r="Q81" s="241">
        <f>ROUND(SUMIFS(BS_RE33!$U$7:$U$874,BS_RE33!$S$7:$S$874,'Summary &amp; Working File(Ccy)'!P81,BS_RE33!$N$7:$N$874,'Summary &amp; Working File(Ccy)'!$Q$10,BS_RE33!$F$7:$F$874,$J$3)+SUMIF($P$13:$P$19,P81,$Q$13:$Q$19),2)</f>
        <v>0</v>
      </c>
      <c r="R81" s="242">
        <f>ROUND(SUMIFS(BS_RE33!$U$7:$U$874,BS_RE33!$S$7:$S$874,'Summary &amp; Working File(Ccy)'!P81,BS_RE33!$N$7:$N$874,'Summary &amp; Working File(Ccy)'!$R$10,BS_RE33!$F$7:$F$874,$J$3)+SUMIF($P$13:$P$19,P81,$R$13:$R$19),2)</f>
        <v>0</v>
      </c>
    </row>
    <row r="82" spans="2:18">
      <c r="B82" s="243">
        <f t="shared" si="18"/>
        <v>62</v>
      </c>
      <c r="C82" s="247">
        <f t="shared" si="18"/>
        <v>46119</v>
      </c>
      <c r="D82" s="245">
        <f t="shared" si="9"/>
        <v>0</v>
      </c>
      <c r="E82" s="235">
        <f t="shared" si="12"/>
        <v>0</v>
      </c>
      <c r="F82" s="236">
        <f t="shared" si="1"/>
        <v>0</v>
      </c>
      <c r="G82" s="237">
        <f t="shared" si="0"/>
        <v>0</v>
      </c>
      <c r="H82" s="273">
        <f t="shared" si="2"/>
        <v>0</v>
      </c>
      <c r="I82" s="238">
        <f t="shared" si="15"/>
        <v>0</v>
      </c>
      <c r="J82" s="237">
        <f t="shared" si="4"/>
        <v>0</v>
      </c>
      <c r="K82" s="269">
        <f t="shared" si="5"/>
        <v>0</v>
      </c>
      <c r="L82" s="239">
        <f t="shared" si="6"/>
        <v>0</v>
      </c>
      <c r="M82" s="275" t="e">
        <f t="shared" si="7"/>
        <v>#DIV/0!</v>
      </c>
      <c r="N82" s="3"/>
      <c r="O82" s="1">
        <f t="shared" si="19"/>
        <v>62</v>
      </c>
      <c r="P82" s="182">
        <f t="shared" si="19"/>
        <v>46119</v>
      </c>
      <c r="Q82" s="241">
        <f>ROUND(SUMIFS(BS_RE33!$U$7:$U$874,BS_RE33!$S$7:$S$874,'Summary &amp; Working File(Ccy)'!P82,BS_RE33!$N$7:$N$874,'Summary &amp; Working File(Ccy)'!$Q$10,BS_RE33!$F$7:$F$874,$J$3)+SUMIF($P$13:$P$19,P82,$Q$13:$Q$19),2)</f>
        <v>0</v>
      </c>
      <c r="R82" s="242">
        <f>ROUND(SUMIFS(BS_RE33!$U$7:$U$874,BS_RE33!$S$7:$S$874,'Summary &amp; Working File(Ccy)'!P82,BS_RE33!$N$7:$N$874,'Summary &amp; Working File(Ccy)'!$R$10,BS_RE33!$F$7:$F$874,$J$3)+SUMIF($P$13:$P$19,P82,$R$13:$R$19),2)</f>
        <v>0</v>
      </c>
    </row>
    <row r="83" spans="2:18">
      <c r="B83" s="243">
        <f t="shared" si="18"/>
        <v>63</v>
      </c>
      <c r="C83" s="247">
        <f t="shared" si="18"/>
        <v>46120</v>
      </c>
      <c r="D83" s="245">
        <f t="shared" si="9"/>
        <v>0</v>
      </c>
      <c r="E83" s="235">
        <f t="shared" si="12"/>
        <v>0</v>
      </c>
      <c r="F83" s="236">
        <f t="shared" si="1"/>
        <v>0</v>
      </c>
      <c r="G83" s="237">
        <f t="shared" si="0"/>
        <v>0</v>
      </c>
      <c r="H83" s="273">
        <f t="shared" si="2"/>
        <v>0</v>
      </c>
      <c r="I83" s="238">
        <f t="shared" si="15"/>
        <v>0</v>
      </c>
      <c r="J83" s="237">
        <f t="shared" si="4"/>
        <v>0</v>
      </c>
      <c r="K83" s="269">
        <f t="shared" si="5"/>
        <v>0</v>
      </c>
      <c r="L83" s="239">
        <f t="shared" si="6"/>
        <v>0</v>
      </c>
      <c r="M83" s="275" t="e">
        <f t="shared" si="7"/>
        <v>#DIV/0!</v>
      </c>
      <c r="N83" s="3"/>
      <c r="O83" s="1">
        <f t="shared" si="19"/>
        <v>63</v>
      </c>
      <c r="P83" s="182">
        <f t="shared" si="19"/>
        <v>46120</v>
      </c>
      <c r="Q83" s="241">
        <f>ROUND(SUMIFS(BS_RE33!$U$7:$U$874,BS_RE33!$S$7:$S$874,'Summary &amp; Working File(Ccy)'!P83,BS_RE33!$N$7:$N$874,'Summary &amp; Working File(Ccy)'!$Q$10,BS_RE33!$F$7:$F$874,$J$3)+SUMIF($P$13:$P$19,P83,$Q$13:$Q$19),2)</f>
        <v>0</v>
      </c>
      <c r="R83" s="242">
        <f>ROUND(SUMIFS(BS_RE33!$U$7:$U$874,BS_RE33!$S$7:$S$874,'Summary &amp; Working File(Ccy)'!P83,BS_RE33!$N$7:$N$874,'Summary &amp; Working File(Ccy)'!$R$10,BS_RE33!$F$7:$F$874,$J$3)+SUMIF($P$13:$P$19,P83,$R$13:$R$19),2)</f>
        <v>0</v>
      </c>
    </row>
    <row r="84" spans="2:18">
      <c r="B84" s="243">
        <f t="shared" si="18"/>
        <v>64</v>
      </c>
      <c r="C84" s="247">
        <f t="shared" si="18"/>
        <v>46121</v>
      </c>
      <c r="D84" s="245">
        <f t="shared" si="9"/>
        <v>0</v>
      </c>
      <c r="E84" s="235">
        <f t="shared" si="12"/>
        <v>0</v>
      </c>
      <c r="F84" s="236">
        <f t="shared" si="1"/>
        <v>0</v>
      </c>
      <c r="G84" s="237">
        <f t="shared" si="0"/>
        <v>0</v>
      </c>
      <c r="H84" s="273">
        <f t="shared" si="2"/>
        <v>0</v>
      </c>
      <c r="I84" s="238">
        <f t="shared" si="15"/>
        <v>0</v>
      </c>
      <c r="J84" s="237">
        <f t="shared" si="4"/>
        <v>0</v>
      </c>
      <c r="K84" s="269">
        <f t="shared" si="5"/>
        <v>0</v>
      </c>
      <c r="L84" s="239">
        <f t="shared" si="6"/>
        <v>0</v>
      </c>
      <c r="M84" s="275" t="e">
        <f t="shared" si="7"/>
        <v>#DIV/0!</v>
      </c>
      <c r="N84" s="3"/>
      <c r="O84" s="1">
        <f t="shared" si="19"/>
        <v>64</v>
      </c>
      <c r="P84" s="182">
        <f t="shared" si="19"/>
        <v>46121</v>
      </c>
      <c r="Q84" s="241">
        <f>ROUND(SUMIFS(BS_RE33!$U$7:$U$874,BS_RE33!$S$7:$S$874,'Summary &amp; Working File(Ccy)'!P84,BS_RE33!$N$7:$N$874,'Summary &amp; Working File(Ccy)'!$Q$10,BS_RE33!$F$7:$F$874,$J$3)+SUMIF($P$13:$P$19,P84,$Q$13:$Q$19),2)</f>
        <v>0</v>
      </c>
      <c r="R84" s="242">
        <f>ROUND(SUMIFS(BS_RE33!$U$7:$U$874,BS_RE33!$S$7:$S$874,'Summary &amp; Working File(Ccy)'!P84,BS_RE33!$N$7:$N$874,'Summary &amp; Working File(Ccy)'!$R$10,BS_RE33!$F$7:$F$874,$J$3)+SUMIF($P$13:$P$19,P84,$R$13:$R$19),2)</f>
        <v>0</v>
      </c>
    </row>
    <row r="85" spans="2:18">
      <c r="B85" s="243">
        <f t="shared" si="18"/>
        <v>65</v>
      </c>
      <c r="C85" s="247">
        <f t="shared" si="18"/>
        <v>46122</v>
      </c>
      <c r="D85" s="245">
        <f t="shared" si="9"/>
        <v>0</v>
      </c>
      <c r="E85" s="235">
        <f t="shared" si="12"/>
        <v>0</v>
      </c>
      <c r="F85" s="236">
        <f t="shared" si="1"/>
        <v>0</v>
      </c>
      <c r="G85" s="237">
        <f t="shared" ref="G85:G148" si="20">$J$10*10%</f>
        <v>0</v>
      </c>
      <c r="H85" s="273">
        <f t="shared" si="2"/>
        <v>0</v>
      </c>
      <c r="I85" s="238">
        <f t="shared" si="15"/>
        <v>0</v>
      </c>
      <c r="J85" s="237">
        <f t="shared" si="4"/>
        <v>0</v>
      </c>
      <c r="K85" s="269">
        <f t="shared" si="5"/>
        <v>0</v>
      </c>
      <c r="L85" s="239">
        <f t="shared" si="6"/>
        <v>0</v>
      </c>
      <c r="M85" s="275" t="e">
        <f t="shared" si="7"/>
        <v>#DIV/0!</v>
      </c>
      <c r="N85" s="3"/>
      <c r="O85" s="1">
        <f t="shared" si="19"/>
        <v>65</v>
      </c>
      <c r="P85" s="182">
        <f t="shared" si="19"/>
        <v>46122</v>
      </c>
      <c r="Q85" s="241">
        <f>ROUND(SUMIFS(BS_RE33!$U$7:$U$874,BS_RE33!$S$7:$S$874,'Summary &amp; Working File(Ccy)'!P85,BS_RE33!$N$7:$N$874,'Summary &amp; Working File(Ccy)'!$Q$10,BS_RE33!$F$7:$F$874,$J$3)+SUMIF($P$13:$P$19,P85,$Q$13:$Q$19),2)</f>
        <v>0</v>
      </c>
      <c r="R85" s="242">
        <f>ROUND(SUMIFS(BS_RE33!$U$7:$U$874,BS_RE33!$S$7:$S$874,'Summary &amp; Working File(Ccy)'!P85,BS_RE33!$N$7:$N$874,'Summary &amp; Working File(Ccy)'!$R$10,BS_RE33!$F$7:$F$874,$J$3)+SUMIF($P$13:$P$19,P85,$R$13:$R$19),2)</f>
        <v>0</v>
      </c>
    </row>
    <row r="86" spans="2:18">
      <c r="B86" s="243">
        <f t="shared" si="18"/>
        <v>66</v>
      </c>
      <c r="C86" s="247">
        <f t="shared" si="18"/>
        <v>46123</v>
      </c>
      <c r="D86" s="245">
        <f t="shared" si="9"/>
        <v>0</v>
      </c>
      <c r="E86" s="235">
        <f t="shared" si="12"/>
        <v>0</v>
      </c>
      <c r="F86" s="236">
        <f t="shared" ref="F86:F149" si="21">(IF(C86&lt;($E$11-30),$E$10*5%,0)+IF(C86&lt;($F$11-30),$F$10*5%,0)+IF(C86&lt;($G$11-30),$G$10*5%,0)+IF(C86&lt;($H$11-30),$H$10*5%,0))+(IF(C86&lt;($E$15-30),$E$14*10%,0)+IF(C86&lt;($F$15-30),$F$14*10%,0)+IF(C86&lt;($G$15-30),$G$14*10%,0)+IF(C86&lt;($H$15-30),$H$14*10%,0)+IF(C86&lt;($I$15-30),$I$14*10%,0)+IF(C86&lt;($J$15-30),$J$14*10%,0))</f>
        <v>0</v>
      </c>
      <c r="G86" s="237">
        <f t="shared" si="20"/>
        <v>0</v>
      </c>
      <c r="H86" s="273">
        <f t="shared" ref="H86:H149" si="22">SUM(E86:G86)</f>
        <v>0</v>
      </c>
      <c r="I86" s="238">
        <f t="shared" si="15"/>
        <v>0</v>
      </c>
      <c r="J86" s="237">
        <f t="shared" ref="J86:J149" si="23">H86*20%</f>
        <v>0</v>
      </c>
      <c r="K86" s="269">
        <f t="shared" ref="K86:K149" si="24">MIN(SUM(I86:J86),H86*75%)</f>
        <v>0</v>
      </c>
      <c r="L86" s="239">
        <f t="shared" ref="L86:L149" si="25">H86-K86</f>
        <v>0</v>
      </c>
      <c r="M86" s="275" t="e">
        <f t="shared" ref="M86:M149" si="26">D86/L86</f>
        <v>#DIV/0!</v>
      </c>
      <c r="N86" s="3"/>
      <c r="O86" s="1">
        <f t="shared" si="19"/>
        <v>66</v>
      </c>
      <c r="P86" s="182">
        <f t="shared" si="19"/>
        <v>46123</v>
      </c>
      <c r="Q86" s="241">
        <f>ROUND(SUMIFS(BS_RE33!$U$7:$U$874,BS_RE33!$S$7:$S$874,'Summary &amp; Working File(Ccy)'!P86,BS_RE33!$N$7:$N$874,'Summary &amp; Working File(Ccy)'!$Q$10,BS_RE33!$F$7:$F$874,$J$3)+SUMIF($P$13:$P$19,P86,$Q$13:$Q$19),2)</f>
        <v>0</v>
      </c>
      <c r="R86" s="242">
        <f>ROUND(SUMIFS(BS_RE33!$U$7:$U$874,BS_RE33!$S$7:$S$874,'Summary &amp; Working File(Ccy)'!P86,BS_RE33!$N$7:$N$874,'Summary &amp; Working File(Ccy)'!$R$10,BS_RE33!$F$7:$F$874,$J$3)+SUMIF($P$13:$P$19,P86,$R$13:$R$19),2)</f>
        <v>0</v>
      </c>
    </row>
    <row r="87" spans="2:18">
      <c r="B87" s="243">
        <f t="shared" ref="B87:C102" si="27">B86+1</f>
        <v>67</v>
      </c>
      <c r="C87" s="247">
        <f t="shared" si="27"/>
        <v>46124</v>
      </c>
      <c r="D87" s="245">
        <f t="shared" ref="D87:D150" si="28">D86</f>
        <v>0</v>
      </c>
      <c r="E87" s="235">
        <f t="shared" si="12"/>
        <v>0</v>
      </c>
      <c r="F87" s="236">
        <f t="shared" si="21"/>
        <v>0</v>
      </c>
      <c r="G87" s="237">
        <f t="shared" si="20"/>
        <v>0</v>
      </c>
      <c r="H87" s="273">
        <f t="shared" si="22"/>
        <v>0</v>
      </c>
      <c r="I87" s="238">
        <f t="shared" si="15"/>
        <v>0</v>
      </c>
      <c r="J87" s="237">
        <f t="shared" si="23"/>
        <v>0</v>
      </c>
      <c r="K87" s="269">
        <f t="shared" si="24"/>
        <v>0</v>
      </c>
      <c r="L87" s="239">
        <f t="shared" si="25"/>
        <v>0</v>
      </c>
      <c r="M87" s="275" t="e">
        <f t="shared" si="26"/>
        <v>#DIV/0!</v>
      </c>
      <c r="N87" s="3"/>
      <c r="O87" s="1">
        <f t="shared" ref="O87:P102" si="29">O86+1</f>
        <v>67</v>
      </c>
      <c r="P87" s="182">
        <f t="shared" si="29"/>
        <v>46124</v>
      </c>
      <c r="Q87" s="241">
        <f>ROUND(SUMIFS(BS_RE33!$U$7:$U$874,BS_RE33!$S$7:$S$874,'Summary &amp; Working File(Ccy)'!P87,BS_RE33!$N$7:$N$874,'Summary &amp; Working File(Ccy)'!$Q$10,BS_RE33!$F$7:$F$874,$J$3)+SUMIF($P$13:$P$19,P87,$Q$13:$Q$19),2)</f>
        <v>0</v>
      </c>
      <c r="R87" s="242">
        <f>ROUND(SUMIFS(BS_RE33!$U$7:$U$874,BS_RE33!$S$7:$S$874,'Summary &amp; Working File(Ccy)'!P87,BS_RE33!$N$7:$N$874,'Summary &amp; Working File(Ccy)'!$R$10,BS_RE33!$F$7:$F$874,$J$3)+SUMIF($P$13:$P$19,P87,$R$13:$R$19),2)</f>
        <v>0</v>
      </c>
    </row>
    <row r="88" spans="2:18">
      <c r="B88" s="243">
        <f t="shared" si="27"/>
        <v>68</v>
      </c>
      <c r="C88" s="247">
        <f t="shared" si="27"/>
        <v>46125</v>
      </c>
      <c r="D88" s="245">
        <f t="shared" si="28"/>
        <v>0</v>
      </c>
      <c r="E88" s="235">
        <f t="shared" si="12"/>
        <v>0</v>
      </c>
      <c r="F88" s="236">
        <f t="shared" si="21"/>
        <v>0</v>
      </c>
      <c r="G88" s="237">
        <f t="shared" si="20"/>
        <v>0</v>
      </c>
      <c r="H88" s="273">
        <f t="shared" si="22"/>
        <v>0</v>
      </c>
      <c r="I88" s="238">
        <f t="shared" si="15"/>
        <v>0</v>
      </c>
      <c r="J88" s="237">
        <f t="shared" si="23"/>
        <v>0</v>
      </c>
      <c r="K88" s="269">
        <f t="shared" si="24"/>
        <v>0</v>
      </c>
      <c r="L88" s="239">
        <f t="shared" si="25"/>
        <v>0</v>
      </c>
      <c r="M88" s="275" t="e">
        <f t="shared" si="26"/>
        <v>#DIV/0!</v>
      </c>
      <c r="N88" s="3"/>
      <c r="O88" s="1">
        <f t="shared" si="29"/>
        <v>68</v>
      </c>
      <c r="P88" s="182">
        <f t="shared" si="29"/>
        <v>46125</v>
      </c>
      <c r="Q88" s="241">
        <f>ROUND(SUMIFS(BS_RE33!$U$7:$U$874,BS_RE33!$S$7:$S$874,'Summary &amp; Working File(Ccy)'!P88,BS_RE33!$N$7:$N$874,'Summary &amp; Working File(Ccy)'!$Q$10,BS_RE33!$F$7:$F$874,$J$3)+SUMIF($P$13:$P$19,P88,$Q$13:$Q$19),2)</f>
        <v>0</v>
      </c>
      <c r="R88" s="242">
        <f>ROUND(SUMIFS(BS_RE33!$U$7:$U$874,BS_RE33!$S$7:$S$874,'Summary &amp; Working File(Ccy)'!P88,BS_RE33!$N$7:$N$874,'Summary &amp; Working File(Ccy)'!$R$10,BS_RE33!$F$7:$F$874,$J$3)+SUMIF($P$13:$P$19,P88,$R$13:$R$19),2)</f>
        <v>0</v>
      </c>
    </row>
    <row r="89" spans="2:18">
      <c r="B89" s="243">
        <f t="shared" si="27"/>
        <v>69</v>
      </c>
      <c r="C89" s="247">
        <f t="shared" si="27"/>
        <v>46126</v>
      </c>
      <c r="D89" s="245">
        <f t="shared" si="28"/>
        <v>0</v>
      </c>
      <c r="E89" s="235">
        <f t="shared" si="12"/>
        <v>0</v>
      </c>
      <c r="F89" s="236">
        <f t="shared" si="21"/>
        <v>0</v>
      </c>
      <c r="G89" s="237">
        <f t="shared" si="20"/>
        <v>0</v>
      </c>
      <c r="H89" s="273">
        <f t="shared" si="22"/>
        <v>0</v>
      </c>
      <c r="I89" s="238">
        <f t="shared" si="15"/>
        <v>0</v>
      </c>
      <c r="J89" s="237">
        <f t="shared" si="23"/>
        <v>0</v>
      </c>
      <c r="K89" s="269">
        <f t="shared" si="24"/>
        <v>0</v>
      </c>
      <c r="L89" s="239">
        <f t="shared" si="25"/>
        <v>0</v>
      </c>
      <c r="M89" s="275" t="e">
        <f t="shared" si="26"/>
        <v>#DIV/0!</v>
      </c>
      <c r="N89" s="3"/>
      <c r="O89" s="1">
        <f t="shared" si="29"/>
        <v>69</v>
      </c>
      <c r="P89" s="182">
        <f t="shared" si="29"/>
        <v>46126</v>
      </c>
      <c r="Q89" s="241">
        <f>ROUND(SUMIFS(BS_RE33!$U$7:$U$874,BS_RE33!$S$7:$S$874,'Summary &amp; Working File(Ccy)'!P89,BS_RE33!$N$7:$N$874,'Summary &amp; Working File(Ccy)'!$Q$10,BS_RE33!$F$7:$F$874,$J$3)+SUMIF($P$13:$P$19,P89,$Q$13:$Q$19),2)</f>
        <v>0</v>
      </c>
      <c r="R89" s="242">
        <f>ROUND(SUMIFS(BS_RE33!$U$7:$U$874,BS_RE33!$S$7:$S$874,'Summary &amp; Working File(Ccy)'!P89,BS_RE33!$N$7:$N$874,'Summary &amp; Working File(Ccy)'!$R$10,BS_RE33!$F$7:$F$874,$J$3)+SUMIF($P$13:$P$19,P89,$R$13:$R$19),2)</f>
        <v>0</v>
      </c>
    </row>
    <row r="90" spans="2:18">
      <c r="B90" s="243">
        <f t="shared" si="27"/>
        <v>70</v>
      </c>
      <c r="C90" s="247">
        <f t="shared" si="27"/>
        <v>46127</v>
      </c>
      <c r="D90" s="245">
        <f t="shared" si="28"/>
        <v>0</v>
      </c>
      <c r="E90" s="235">
        <f t="shared" si="12"/>
        <v>0</v>
      </c>
      <c r="F90" s="236">
        <f t="shared" si="21"/>
        <v>0</v>
      </c>
      <c r="G90" s="237">
        <f t="shared" si="20"/>
        <v>0</v>
      </c>
      <c r="H90" s="273">
        <f t="shared" si="22"/>
        <v>0</v>
      </c>
      <c r="I90" s="238">
        <f t="shared" si="15"/>
        <v>0</v>
      </c>
      <c r="J90" s="237">
        <f t="shared" si="23"/>
        <v>0</v>
      </c>
      <c r="K90" s="269">
        <f t="shared" si="24"/>
        <v>0</v>
      </c>
      <c r="L90" s="239">
        <f t="shared" si="25"/>
        <v>0</v>
      </c>
      <c r="M90" s="275" t="e">
        <f t="shared" si="26"/>
        <v>#DIV/0!</v>
      </c>
      <c r="N90" s="3"/>
      <c r="O90" s="1">
        <f t="shared" si="29"/>
        <v>70</v>
      </c>
      <c r="P90" s="182">
        <f t="shared" si="29"/>
        <v>46127</v>
      </c>
      <c r="Q90" s="241">
        <f>ROUND(SUMIFS(BS_RE33!$U$7:$U$874,BS_RE33!$S$7:$S$874,'Summary &amp; Working File(Ccy)'!P90,BS_RE33!$N$7:$N$874,'Summary &amp; Working File(Ccy)'!$Q$10,BS_RE33!$F$7:$F$874,$J$3)+SUMIF($P$13:$P$19,P90,$Q$13:$Q$19),2)</f>
        <v>0</v>
      </c>
      <c r="R90" s="242">
        <f>ROUND(SUMIFS(BS_RE33!$U$7:$U$874,BS_RE33!$S$7:$S$874,'Summary &amp; Working File(Ccy)'!P90,BS_RE33!$N$7:$N$874,'Summary &amp; Working File(Ccy)'!$R$10,BS_RE33!$F$7:$F$874,$J$3)+SUMIF($P$13:$P$19,P90,$R$13:$R$19),2)</f>
        <v>0</v>
      </c>
    </row>
    <row r="91" spans="2:18">
      <c r="B91" s="243">
        <f t="shared" si="27"/>
        <v>71</v>
      </c>
      <c r="C91" s="247">
        <f t="shared" si="27"/>
        <v>46128</v>
      </c>
      <c r="D91" s="245">
        <f t="shared" si="28"/>
        <v>0</v>
      </c>
      <c r="E91" s="235">
        <f t="shared" si="12"/>
        <v>0</v>
      </c>
      <c r="F91" s="236">
        <f t="shared" si="21"/>
        <v>0</v>
      </c>
      <c r="G91" s="237">
        <f t="shared" si="20"/>
        <v>0</v>
      </c>
      <c r="H91" s="273">
        <f t="shared" si="22"/>
        <v>0</v>
      </c>
      <c r="I91" s="238">
        <f t="shared" si="15"/>
        <v>0</v>
      </c>
      <c r="J91" s="237">
        <f t="shared" si="23"/>
        <v>0</v>
      </c>
      <c r="K91" s="269">
        <f t="shared" si="24"/>
        <v>0</v>
      </c>
      <c r="L91" s="239">
        <f t="shared" si="25"/>
        <v>0</v>
      </c>
      <c r="M91" s="275" t="e">
        <f t="shared" si="26"/>
        <v>#DIV/0!</v>
      </c>
      <c r="N91" s="3"/>
      <c r="O91" s="1">
        <f t="shared" si="29"/>
        <v>71</v>
      </c>
      <c r="P91" s="182">
        <f t="shared" si="29"/>
        <v>46128</v>
      </c>
      <c r="Q91" s="241">
        <f>ROUND(SUMIFS(BS_RE33!$U$7:$U$874,BS_RE33!$S$7:$S$874,'Summary &amp; Working File(Ccy)'!P91,BS_RE33!$N$7:$N$874,'Summary &amp; Working File(Ccy)'!$Q$10,BS_RE33!$F$7:$F$874,$J$3)+SUMIF($P$13:$P$19,P91,$Q$13:$Q$19),2)</f>
        <v>0</v>
      </c>
      <c r="R91" s="242">
        <f>ROUND(SUMIFS(BS_RE33!$U$7:$U$874,BS_RE33!$S$7:$S$874,'Summary &amp; Working File(Ccy)'!P91,BS_RE33!$N$7:$N$874,'Summary &amp; Working File(Ccy)'!$R$10,BS_RE33!$F$7:$F$874,$J$3)+SUMIF($P$13:$P$19,P91,$R$13:$R$19),2)</f>
        <v>0</v>
      </c>
    </row>
    <row r="92" spans="2:18">
      <c r="B92" s="243">
        <f t="shared" si="27"/>
        <v>72</v>
      </c>
      <c r="C92" s="247">
        <f t="shared" si="27"/>
        <v>46129</v>
      </c>
      <c r="D92" s="245">
        <f t="shared" si="28"/>
        <v>0</v>
      </c>
      <c r="E92" s="235">
        <f t="shared" si="12"/>
        <v>0</v>
      </c>
      <c r="F92" s="236">
        <f t="shared" si="21"/>
        <v>0</v>
      </c>
      <c r="G92" s="237">
        <f t="shared" si="20"/>
        <v>0</v>
      </c>
      <c r="H92" s="273">
        <f t="shared" si="22"/>
        <v>0</v>
      </c>
      <c r="I92" s="238">
        <f t="shared" si="15"/>
        <v>0</v>
      </c>
      <c r="J92" s="237">
        <f t="shared" si="23"/>
        <v>0</v>
      </c>
      <c r="K92" s="269">
        <f t="shared" si="24"/>
        <v>0</v>
      </c>
      <c r="L92" s="239">
        <f t="shared" si="25"/>
        <v>0</v>
      </c>
      <c r="M92" s="275" t="e">
        <f t="shared" si="26"/>
        <v>#DIV/0!</v>
      </c>
      <c r="N92" s="3"/>
      <c r="O92" s="1">
        <f t="shared" si="29"/>
        <v>72</v>
      </c>
      <c r="P92" s="182">
        <f t="shared" si="29"/>
        <v>46129</v>
      </c>
      <c r="Q92" s="241">
        <f>ROUND(SUMIFS(BS_RE33!$U$7:$U$874,BS_RE33!$S$7:$S$874,'Summary &amp; Working File(Ccy)'!P92,BS_RE33!$N$7:$N$874,'Summary &amp; Working File(Ccy)'!$Q$10,BS_RE33!$F$7:$F$874,$J$3)+SUMIF($P$13:$P$19,P92,$Q$13:$Q$19),2)</f>
        <v>0</v>
      </c>
      <c r="R92" s="242">
        <f>ROUND(SUMIFS(BS_RE33!$U$7:$U$874,BS_RE33!$S$7:$S$874,'Summary &amp; Working File(Ccy)'!P92,BS_RE33!$N$7:$N$874,'Summary &amp; Working File(Ccy)'!$R$10,BS_RE33!$F$7:$F$874,$J$3)+SUMIF($P$13:$P$19,P92,$R$13:$R$19),2)</f>
        <v>0</v>
      </c>
    </row>
    <row r="93" spans="2:18">
      <c r="B93" s="243">
        <f t="shared" si="27"/>
        <v>73</v>
      </c>
      <c r="C93" s="247">
        <f t="shared" si="27"/>
        <v>46130</v>
      </c>
      <c r="D93" s="245">
        <f t="shared" si="28"/>
        <v>0</v>
      </c>
      <c r="E93" s="235">
        <f t="shared" si="12"/>
        <v>0</v>
      </c>
      <c r="F93" s="236">
        <f t="shared" si="21"/>
        <v>0</v>
      </c>
      <c r="G93" s="237">
        <f t="shared" si="20"/>
        <v>0</v>
      </c>
      <c r="H93" s="273">
        <f t="shared" si="22"/>
        <v>0</v>
      </c>
      <c r="I93" s="238">
        <f t="shared" si="15"/>
        <v>0</v>
      </c>
      <c r="J93" s="237">
        <f t="shared" si="23"/>
        <v>0</v>
      </c>
      <c r="K93" s="269">
        <f t="shared" si="24"/>
        <v>0</v>
      </c>
      <c r="L93" s="239">
        <f t="shared" si="25"/>
        <v>0</v>
      </c>
      <c r="M93" s="275" t="e">
        <f t="shared" si="26"/>
        <v>#DIV/0!</v>
      </c>
      <c r="N93" s="3"/>
      <c r="O93" s="1">
        <f t="shared" si="29"/>
        <v>73</v>
      </c>
      <c r="P93" s="182">
        <f t="shared" si="29"/>
        <v>46130</v>
      </c>
      <c r="Q93" s="241">
        <f>ROUND(SUMIFS(BS_RE33!$U$7:$U$874,BS_RE33!$S$7:$S$874,'Summary &amp; Working File(Ccy)'!P93,BS_RE33!$N$7:$N$874,'Summary &amp; Working File(Ccy)'!$Q$10,BS_RE33!$F$7:$F$874,$J$3)+SUMIF($P$13:$P$19,P93,$Q$13:$Q$19),2)</f>
        <v>0</v>
      </c>
      <c r="R93" s="242">
        <f>ROUND(SUMIFS(BS_RE33!$U$7:$U$874,BS_RE33!$S$7:$S$874,'Summary &amp; Working File(Ccy)'!P93,BS_RE33!$N$7:$N$874,'Summary &amp; Working File(Ccy)'!$R$10,BS_RE33!$F$7:$F$874,$J$3)+SUMIF($P$13:$P$19,P93,$R$13:$R$19),2)</f>
        <v>0</v>
      </c>
    </row>
    <row r="94" spans="2:18">
      <c r="B94" s="243">
        <f t="shared" si="27"/>
        <v>74</v>
      </c>
      <c r="C94" s="247">
        <f t="shared" si="27"/>
        <v>46131</v>
      </c>
      <c r="D94" s="245">
        <f t="shared" si="28"/>
        <v>0</v>
      </c>
      <c r="E94" s="235">
        <f t="shared" si="12"/>
        <v>0</v>
      </c>
      <c r="F94" s="236">
        <f t="shared" si="21"/>
        <v>0</v>
      </c>
      <c r="G94" s="237">
        <f t="shared" si="20"/>
        <v>0</v>
      </c>
      <c r="H94" s="273">
        <f t="shared" si="22"/>
        <v>0</v>
      </c>
      <c r="I94" s="238">
        <f t="shared" si="15"/>
        <v>0</v>
      </c>
      <c r="J94" s="237">
        <f t="shared" si="23"/>
        <v>0</v>
      </c>
      <c r="K94" s="269">
        <f t="shared" si="24"/>
        <v>0</v>
      </c>
      <c r="L94" s="239">
        <f t="shared" si="25"/>
        <v>0</v>
      </c>
      <c r="M94" s="275" t="e">
        <f t="shared" si="26"/>
        <v>#DIV/0!</v>
      </c>
      <c r="N94" s="3"/>
      <c r="O94" s="1">
        <f t="shared" si="29"/>
        <v>74</v>
      </c>
      <c r="P94" s="182">
        <f t="shared" si="29"/>
        <v>46131</v>
      </c>
      <c r="Q94" s="241">
        <f>ROUND(SUMIFS(BS_RE33!$U$7:$U$874,BS_RE33!$S$7:$S$874,'Summary &amp; Working File(Ccy)'!P94,BS_RE33!$N$7:$N$874,'Summary &amp; Working File(Ccy)'!$Q$10,BS_RE33!$F$7:$F$874,$J$3)+SUMIF($P$13:$P$19,P94,$Q$13:$Q$19),2)</f>
        <v>0</v>
      </c>
      <c r="R94" s="242">
        <f>ROUND(SUMIFS(BS_RE33!$U$7:$U$874,BS_RE33!$S$7:$S$874,'Summary &amp; Working File(Ccy)'!P94,BS_RE33!$N$7:$N$874,'Summary &amp; Working File(Ccy)'!$R$10,BS_RE33!$F$7:$F$874,$J$3)+SUMIF($P$13:$P$19,P94,$R$13:$R$19),2)</f>
        <v>0</v>
      </c>
    </row>
    <row r="95" spans="2:18">
      <c r="B95" s="243">
        <f t="shared" si="27"/>
        <v>75</v>
      </c>
      <c r="C95" s="247">
        <f t="shared" si="27"/>
        <v>46132</v>
      </c>
      <c r="D95" s="245">
        <f t="shared" si="28"/>
        <v>0</v>
      </c>
      <c r="E95" s="235">
        <f t="shared" si="12"/>
        <v>0</v>
      </c>
      <c r="F95" s="236">
        <f t="shared" si="21"/>
        <v>0</v>
      </c>
      <c r="G95" s="237">
        <f t="shared" si="20"/>
        <v>0</v>
      </c>
      <c r="H95" s="273">
        <f t="shared" si="22"/>
        <v>0</v>
      </c>
      <c r="I95" s="238">
        <f t="shared" si="15"/>
        <v>0</v>
      </c>
      <c r="J95" s="237">
        <f t="shared" si="23"/>
        <v>0</v>
      </c>
      <c r="K95" s="269">
        <f>MIN(SUM(I95:J95),H95*75%)</f>
        <v>0</v>
      </c>
      <c r="L95" s="239">
        <f t="shared" si="25"/>
        <v>0</v>
      </c>
      <c r="M95" s="275" t="e">
        <f t="shared" si="26"/>
        <v>#DIV/0!</v>
      </c>
      <c r="N95" s="3"/>
      <c r="O95" s="1">
        <f t="shared" si="29"/>
        <v>75</v>
      </c>
      <c r="P95" s="182">
        <f t="shared" si="29"/>
        <v>46132</v>
      </c>
      <c r="Q95" s="241">
        <f>ROUND(SUMIFS(BS_RE33!$U$7:$U$874,BS_RE33!$S$7:$S$874,'Summary &amp; Working File(Ccy)'!P95,BS_RE33!$N$7:$N$874,'Summary &amp; Working File(Ccy)'!$Q$10,BS_RE33!$F$7:$F$874,$J$3)+SUMIF($P$13:$P$19,P95,$Q$13:$Q$19),2)</f>
        <v>0</v>
      </c>
      <c r="R95" s="242">
        <f>ROUND(SUMIFS(BS_RE33!$U$7:$U$874,BS_RE33!$S$7:$S$874,'Summary &amp; Working File(Ccy)'!P95,BS_RE33!$N$7:$N$874,'Summary &amp; Working File(Ccy)'!$R$10,BS_RE33!$F$7:$F$874,$J$3)+SUMIF($P$13:$P$19,P95,$R$13:$R$19),2)</f>
        <v>0</v>
      </c>
    </row>
    <row r="96" spans="2:18">
      <c r="B96" s="243">
        <f t="shared" si="27"/>
        <v>76</v>
      </c>
      <c r="C96" s="247">
        <f t="shared" si="27"/>
        <v>46133</v>
      </c>
      <c r="D96" s="245">
        <f t="shared" si="28"/>
        <v>0</v>
      </c>
      <c r="E96" s="235">
        <f t="shared" si="12"/>
        <v>0</v>
      </c>
      <c r="F96" s="236">
        <f t="shared" si="21"/>
        <v>0</v>
      </c>
      <c r="G96" s="237">
        <f t="shared" si="20"/>
        <v>0</v>
      </c>
      <c r="H96" s="273">
        <f t="shared" si="22"/>
        <v>0</v>
      </c>
      <c r="I96" s="238">
        <f t="shared" si="15"/>
        <v>0</v>
      </c>
      <c r="J96" s="237">
        <f t="shared" si="23"/>
        <v>0</v>
      </c>
      <c r="K96" s="269">
        <f>MIN(SUM(I96:J96),H96*75%)</f>
        <v>0</v>
      </c>
      <c r="L96" s="239">
        <f t="shared" si="25"/>
        <v>0</v>
      </c>
      <c r="M96" s="275" t="e">
        <f t="shared" si="26"/>
        <v>#DIV/0!</v>
      </c>
      <c r="N96" s="3"/>
      <c r="O96" s="1">
        <f t="shared" si="29"/>
        <v>76</v>
      </c>
      <c r="P96" s="182">
        <f t="shared" si="29"/>
        <v>46133</v>
      </c>
      <c r="Q96" s="241">
        <f>ROUND(SUMIFS(BS_RE33!$U$7:$U$874,BS_RE33!$S$7:$S$874,'Summary &amp; Working File(Ccy)'!P96,BS_RE33!$N$7:$N$874,'Summary &amp; Working File(Ccy)'!$Q$10,BS_RE33!$F$7:$F$874,$J$3)+SUMIF($P$13:$P$19,P96,$Q$13:$Q$19),2)</f>
        <v>0</v>
      </c>
      <c r="R96" s="242">
        <f>ROUND(SUMIFS(BS_RE33!$U$7:$U$874,BS_RE33!$S$7:$S$874,'Summary &amp; Working File(Ccy)'!P96,BS_RE33!$N$7:$N$874,'Summary &amp; Working File(Ccy)'!$R$10,BS_RE33!$F$7:$F$874,$J$3)+SUMIF($P$13:$P$19,P96,$R$13:$R$19),2)</f>
        <v>0</v>
      </c>
    </row>
    <row r="97" spans="2:18">
      <c r="B97" s="243">
        <f t="shared" si="27"/>
        <v>77</v>
      </c>
      <c r="C97" s="247">
        <f t="shared" si="27"/>
        <v>46134</v>
      </c>
      <c r="D97" s="245">
        <f t="shared" si="28"/>
        <v>0</v>
      </c>
      <c r="E97" s="235">
        <f t="shared" si="12"/>
        <v>0</v>
      </c>
      <c r="F97" s="236">
        <f t="shared" si="21"/>
        <v>0</v>
      </c>
      <c r="G97" s="237">
        <f t="shared" si="20"/>
        <v>0</v>
      </c>
      <c r="H97" s="273">
        <f t="shared" si="22"/>
        <v>0</v>
      </c>
      <c r="I97" s="238">
        <f t="shared" si="15"/>
        <v>0</v>
      </c>
      <c r="J97" s="237">
        <f t="shared" si="23"/>
        <v>0</v>
      </c>
      <c r="K97" s="269">
        <f t="shared" si="24"/>
        <v>0</v>
      </c>
      <c r="L97" s="239">
        <f t="shared" si="25"/>
        <v>0</v>
      </c>
      <c r="M97" s="275" t="e">
        <f t="shared" si="26"/>
        <v>#DIV/0!</v>
      </c>
      <c r="N97" s="3"/>
      <c r="O97" s="1">
        <f t="shared" si="29"/>
        <v>77</v>
      </c>
      <c r="P97" s="182">
        <f t="shared" si="29"/>
        <v>46134</v>
      </c>
      <c r="Q97" s="241">
        <f>ROUND(SUMIFS(BS_RE33!$U$7:$U$874,BS_RE33!$S$7:$S$874,'Summary &amp; Working File(Ccy)'!P97,BS_RE33!$N$7:$N$874,'Summary &amp; Working File(Ccy)'!$Q$10,BS_RE33!$F$7:$F$874,$J$3)+SUMIF($P$13:$P$19,P97,$Q$13:$Q$19),2)</f>
        <v>0</v>
      </c>
      <c r="R97" s="242">
        <f>ROUND(SUMIFS(BS_RE33!$U$7:$U$874,BS_RE33!$S$7:$S$874,'Summary &amp; Working File(Ccy)'!P97,BS_RE33!$N$7:$N$874,'Summary &amp; Working File(Ccy)'!$R$10,BS_RE33!$F$7:$F$874,$J$3)+SUMIF($P$13:$P$19,P97,$R$13:$R$19),2)</f>
        <v>0</v>
      </c>
    </row>
    <row r="98" spans="2:18">
      <c r="B98" s="243">
        <f t="shared" si="27"/>
        <v>78</v>
      </c>
      <c r="C98" s="247">
        <f t="shared" si="27"/>
        <v>46135</v>
      </c>
      <c r="D98" s="245">
        <f t="shared" si="28"/>
        <v>0</v>
      </c>
      <c r="E98" s="235">
        <f t="shared" si="12"/>
        <v>0</v>
      </c>
      <c r="F98" s="236">
        <f t="shared" si="21"/>
        <v>0</v>
      </c>
      <c r="G98" s="237">
        <f t="shared" si="20"/>
        <v>0</v>
      </c>
      <c r="H98" s="273">
        <f t="shared" si="22"/>
        <v>0</v>
      </c>
      <c r="I98" s="238">
        <f t="shared" si="15"/>
        <v>0</v>
      </c>
      <c r="J98" s="237">
        <f t="shared" si="23"/>
        <v>0</v>
      </c>
      <c r="K98" s="269">
        <f t="shared" si="24"/>
        <v>0</v>
      </c>
      <c r="L98" s="239">
        <f t="shared" si="25"/>
        <v>0</v>
      </c>
      <c r="M98" s="275" t="e">
        <f t="shared" si="26"/>
        <v>#DIV/0!</v>
      </c>
      <c r="N98" s="3"/>
      <c r="O98" s="1">
        <f t="shared" si="29"/>
        <v>78</v>
      </c>
      <c r="P98" s="182">
        <f t="shared" si="29"/>
        <v>46135</v>
      </c>
      <c r="Q98" s="241">
        <f>ROUND(SUMIFS(BS_RE33!$U$7:$U$874,BS_RE33!$S$7:$S$874,'Summary &amp; Working File(Ccy)'!P98,BS_RE33!$N$7:$N$874,'Summary &amp; Working File(Ccy)'!$Q$10,BS_RE33!$F$7:$F$874,$J$3)+SUMIF($P$13:$P$19,P98,$Q$13:$Q$19),2)</f>
        <v>0</v>
      </c>
      <c r="R98" s="242">
        <f>ROUND(SUMIFS(BS_RE33!$U$7:$U$874,BS_RE33!$S$7:$S$874,'Summary &amp; Working File(Ccy)'!P98,BS_RE33!$N$7:$N$874,'Summary &amp; Working File(Ccy)'!$R$10,BS_RE33!$F$7:$F$874,$J$3)+SUMIF($P$13:$P$19,P98,$R$13:$R$19),2)</f>
        <v>0</v>
      </c>
    </row>
    <row r="99" spans="2:18">
      <c r="B99" s="243">
        <f t="shared" si="27"/>
        <v>79</v>
      </c>
      <c r="C99" s="247">
        <f t="shared" si="27"/>
        <v>46136</v>
      </c>
      <c r="D99" s="245">
        <f t="shared" si="28"/>
        <v>0</v>
      </c>
      <c r="E99" s="235">
        <f t="shared" si="12"/>
        <v>0</v>
      </c>
      <c r="F99" s="236">
        <f t="shared" si="21"/>
        <v>0</v>
      </c>
      <c r="G99" s="237">
        <f t="shared" si="20"/>
        <v>0</v>
      </c>
      <c r="H99" s="273">
        <f t="shared" si="22"/>
        <v>0</v>
      </c>
      <c r="I99" s="238">
        <f t="shared" si="15"/>
        <v>0</v>
      </c>
      <c r="J99" s="237">
        <f t="shared" si="23"/>
        <v>0</v>
      </c>
      <c r="K99" s="269">
        <f t="shared" si="24"/>
        <v>0</v>
      </c>
      <c r="L99" s="239">
        <f t="shared" si="25"/>
        <v>0</v>
      </c>
      <c r="M99" s="275" t="e">
        <f t="shared" si="26"/>
        <v>#DIV/0!</v>
      </c>
      <c r="N99" s="3"/>
      <c r="O99" s="1">
        <f t="shared" si="29"/>
        <v>79</v>
      </c>
      <c r="P99" s="182">
        <f t="shared" si="29"/>
        <v>46136</v>
      </c>
      <c r="Q99" s="241">
        <f>ROUND(SUMIFS(BS_RE33!$U$7:$U$874,BS_RE33!$S$7:$S$874,'Summary &amp; Working File(Ccy)'!P99,BS_RE33!$N$7:$N$874,'Summary &amp; Working File(Ccy)'!$Q$10,BS_RE33!$F$7:$F$874,$J$3)+SUMIF($P$13:$P$19,P99,$Q$13:$Q$19),2)</f>
        <v>0</v>
      </c>
      <c r="R99" s="242">
        <f>ROUND(SUMIFS(BS_RE33!$U$7:$U$874,BS_RE33!$S$7:$S$874,'Summary &amp; Working File(Ccy)'!P99,BS_RE33!$N$7:$N$874,'Summary &amp; Working File(Ccy)'!$R$10,BS_RE33!$F$7:$F$874,$J$3)+SUMIF($P$13:$P$19,P99,$R$13:$R$19),2)</f>
        <v>0</v>
      </c>
    </row>
    <row r="100" spans="2:18">
      <c r="B100" s="243">
        <f t="shared" si="27"/>
        <v>80</v>
      </c>
      <c r="C100" s="247">
        <f t="shared" si="27"/>
        <v>46137</v>
      </c>
      <c r="D100" s="245">
        <f t="shared" si="28"/>
        <v>0</v>
      </c>
      <c r="E100" s="235">
        <f t="shared" si="12"/>
        <v>0</v>
      </c>
      <c r="F100" s="236">
        <f t="shared" si="21"/>
        <v>0</v>
      </c>
      <c r="G100" s="237">
        <f t="shared" si="20"/>
        <v>0</v>
      </c>
      <c r="H100" s="273">
        <f t="shared" si="22"/>
        <v>0</v>
      </c>
      <c r="I100" s="238">
        <f t="shared" si="15"/>
        <v>0</v>
      </c>
      <c r="J100" s="237">
        <f t="shared" si="23"/>
        <v>0</v>
      </c>
      <c r="K100" s="269">
        <f t="shared" si="24"/>
        <v>0</v>
      </c>
      <c r="L100" s="239">
        <f t="shared" si="25"/>
        <v>0</v>
      </c>
      <c r="M100" s="275" t="e">
        <f t="shared" si="26"/>
        <v>#DIV/0!</v>
      </c>
      <c r="N100" s="3"/>
      <c r="O100" s="1">
        <f t="shared" si="29"/>
        <v>80</v>
      </c>
      <c r="P100" s="182">
        <f t="shared" si="29"/>
        <v>46137</v>
      </c>
      <c r="Q100" s="241">
        <f>ROUND(SUMIFS(BS_RE33!$U$7:$U$874,BS_RE33!$S$7:$S$874,'Summary &amp; Working File(Ccy)'!P100,BS_RE33!$N$7:$N$874,'Summary &amp; Working File(Ccy)'!$Q$10,BS_RE33!$F$7:$F$874,$J$3)+SUMIF($P$13:$P$19,P100,$Q$13:$Q$19),2)</f>
        <v>0</v>
      </c>
      <c r="R100" s="242">
        <f>ROUND(SUMIFS(BS_RE33!$U$7:$U$874,BS_RE33!$S$7:$S$874,'Summary &amp; Working File(Ccy)'!P100,BS_RE33!$N$7:$N$874,'Summary &amp; Working File(Ccy)'!$R$10,BS_RE33!$F$7:$F$874,$J$3)+SUMIF($P$13:$P$19,P100,$R$13:$R$19),2)</f>
        <v>0</v>
      </c>
    </row>
    <row r="101" spans="2:18">
      <c r="B101" s="243">
        <f t="shared" si="27"/>
        <v>81</v>
      </c>
      <c r="C101" s="247">
        <f t="shared" si="27"/>
        <v>46138</v>
      </c>
      <c r="D101" s="245">
        <f t="shared" si="28"/>
        <v>0</v>
      </c>
      <c r="E101" s="235">
        <f t="shared" ref="E101:E164" si="30">$Q$11+SUM(Q102:Q131)</f>
        <v>0</v>
      </c>
      <c r="F101" s="236">
        <f t="shared" si="21"/>
        <v>0</v>
      </c>
      <c r="G101" s="237">
        <f t="shared" si="20"/>
        <v>0</v>
      </c>
      <c r="H101" s="273">
        <f t="shared" si="22"/>
        <v>0</v>
      </c>
      <c r="I101" s="238">
        <f t="shared" ref="I101:I164" si="31">$R$11+SUM(R102:R131)</f>
        <v>0</v>
      </c>
      <c r="J101" s="237">
        <f t="shared" si="23"/>
        <v>0</v>
      </c>
      <c r="K101" s="269">
        <f t="shared" si="24"/>
        <v>0</v>
      </c>
      <c r="L101" s="239">
        <f t="shared" si="25"/>
        <v>0</v>
      </c>
      <c r="M101" s="275" t="e">
        <f t="shared" si="26"/>
        <v>#DIV/0!</v>
      </c>
      <c r="N101" s="3"/>
      <c r="O101" s="1">
        <f t="shared" si="29"/>
        <v>81</v>
      </c>
      <c r="P101" s="182">
        <f t="shared" si="29"/>
        <v>46138</v>
      </c>
      <c r="Q101" s="241">
        <f>ROUND(SUMIFS(BS_RE33!$U$7:$U$874,BS_RE33!$S$7:$S$874,'Summary &amp; Working File(Ccy)'!P101,BS_RE33!$N$7:$N$874,'Summary &amp; Working File(Ccy)'!$Q$10,BS_RE33!$F$7:$F$874,$J$3)+SUMIF($P$13:$P$19,P101,$Q$13:$Q$19),2)</f>
        <v>0</v>
      </c>
      <c r="R101" s="242">
        <f>ROUND(SUMIFS(BS_RE33!$U$7:$U$874,BS_RE33!$S$7:$S$874,'Summary &amp; Working File(Ccy)'!P101,BS_RE33!$N$7:$N$874,'Summary &amp; Working File(Ccy)'!$R$10,BS_RE33!$F$7:$F$874,$J$3)+SUMIF($P$13:$P$19,P101,$R$13:$R$19),2)</f>
        <v>0</v>
      </c>
    </row>
    <row r="102" spans="2:18">
      <c r="B102" s="243">
        <f t="shared" si="27"/>
        <v>82</v>
      </c>
      <c r="C102" s="247">
        <f t="shared" si="27"/>
        <v>46139</v>
      </c>
      <c r="D102" s="245">
        <f t="shared" si="28"/>
        <v>0</v>
      </c>
      <c r="E102" s="235">
        <f t="shared" si="30"/>
        <v>0</v>
      </c>
      <c r="F102" s="236">
        <f t="shared" si="21"/>
        <v>0</v>
      </c>
      <c r="G102" s="237">
        <f t="shared" si="20"/>
        <v>0</v>
      </c>
      <c r="H102" s="273">
        <f t="shared" si="22"/>
        <v>0</v>
      </c>
      <c r="I102" s="238">
        <f t="shared" si="31"/>
        <v>0</v>
      </c>
      <c r="J102" s="237">
        <f t="shared" si="23"/>
        <v>0</v>
      </c>
      <c r="K102" s="269">
        <f t="shared" si="24"/>
        <v>0</v>
      </c>
      <c r="L102" s="239">
        <f t="shared" si="25"/>
        <v>0</v>
      </c>
      <c r="M102" s="275" t="e">
        <f t="shared" si="26"/>
        <v>#DIV/0!</v>
      </c>
      <c r="N102" s="3"/>
      <c r="O102" s="1">
        <f t="shared" si="29"/>
        <v>82</v>
      </c>
      <c r="P102" s="182">
        <f t="shared" si="29"/>
        <v>46139</v>
      </c>
      <c r="Q102" s="241">
        <f>ROUND(SUMIFS(BS_RE33!$U$7:$U$874,BS_RE33!$S$7:$S$874,'Summary &amp; Working File(Ccy)'!P102,BS_RE33!$N$7:$N$874,'Summary &amp; Working File(Ccy)'!$Q$10,BS_RE33!$F$7:$F$874,$J$3)+SUMIF($P$13:$P$19,P102,$Q$13:$Q$19),2)</f>
        <v>0</v>
      </c>
      <c r="R102" s="242">
        <f>ROUND(SUMIFS(BS_RE33!$U$7:$U$874,BS_RE33!$S$7:$S$874,'Summary &amp; Working File(Ccy)'!P102,BS_RE33!$N$7:$N$874,'Summary &amp; Working File(Ccy)'!$R$10,BS_RE33!$F$7:$F$874,$J$3)+SUMIF($P$13:$P$19,P102,$R$13:$R$19),2)</f>
        <v>0</v>
      </c>
    </row>
    <row r="103" spans="2:18">
      <c r="B103" s="243">
        <f t="shared" ref="B103:C118" si="32">B102+1</f>
        <v>83</v>
      </c>
      <c r="C103" s="247">
        <f t="shared" si="32"/>
        <v>46140</v>
      </c>
      <c r="D103" s="245">
        <f t="shared" si="28"/>
        <v>0</v>
      </c>
      <c r="E103" s="235">
        <f t="shared" si="30"/>
        <v>0</v>
      </c>
      <c r="F103" s="236">
        <f t="shared" si="21"/>
        <v>0</v>
      </c>
      <c r="G103" s="237">
        <f t="shared" si="20"/>
        <v>0</v>
      </c>
      <c r="H103" s="273">
        <f t="shared" si="22"/>
        <v>0</v>
      </c>
      <c r="I103" s="238">
        <f t="shared" si="31"/>
        <v>0</v>
      </c>
      <c r="J103" s="237">
        <f t="shared" si="23"/>
        <v>0</v>
      </c>
      <c r="K103" s="269">
        <f t="shared" si="24"/>
        <v>0</v>
      </c>
      <c r="L103" s="239">
        <f t="shared" si="25"/>
        <v>0</v>
      </c>
      <c r="M103" s="275" t="e">
        <f t="shared" si="26"/>
        <v>#DIV/0!</v>
      </c>
      <c r="N103" s="3"/>
      <c r="O103" s="1">
        <f t="shared" ref="O103:P118" si="33">O102+1</f>
        <v>83</v>
      </c>
      <c r="P103" s="182">
        <f t="shared" si="33"/>
        <v>46140</v>
      </c>
      <c r="Q103" s="241">
        <f>ROUND(SUMIFS(BS_RE33!$U$7:$U$874,BS_RE33!$S$7:$S$874,'Summary &amp; Working File(Ccy)'!P103,BS_RE33!$N$7:$N$874,'Summary &amp; Working File(Ccy)'!$Q$10,BS_RE33!$F$7:$F$874,$J$3)+SUMIF($P$13:$P$19,P103,$Q$13:$Q$19),2)</f>
        <v>0</v>
      </c>
      <c r="R103" s="242">
        <f>ROUND(SUMIFS(BS_RE33!$U$7:$U$874,BS_RE33!$S$7:$S$874,'Summary &amp; Working File(Ccy)'!P103,BS_RE33!$N$7:$N$874,'Summary &amp; Working File(Ccy)'!$R$10,BS_RE33!$F$7:$F$874,$J$3)+SUMIF($P$13:$P$19,P103,$R$13:$R$19),2)</f>
        <v>0</v>
      </c>
    </row>
    <row r="104" spans="2:18">
      <c r="B104" s="243">
        <f t="shared" si="32"/>
        <v>84</v>
      </c>
      <c r="C104" s="247">
        <f t="shared" si="32"/>
        <v>46141</v>
      </c>
      <c r="D104" s="245">
        <f t="shared" si="28"/>
        <v>0</v>
      </c>
      <c r="E104" s="235">
        <f t="shared" si="30"/>
        <v>0</v>
      </c>
      <c r="F104" s="236">
        <f t="shared" si="21"/>
        <v>0</v>
      </c>
      <c r="G104" s="237">
        <f t="shared" si="20"/>
        <v>0</v>
      </c>
      <c r="H104" s="273">
        <f t="shared" si="22"/>
        <v>0</v>
      </c>
      <c r="I104" s="238">
        <f t="shared" si="31"/>
        <v>0</v>
      </c>
      <c r="J104" s="237">
        <f t="shared" si="23"/>
        <v>0</v>
      </c>
      <c r="K104" s="269">
        <f t="shared" si="24"/>
        <v>0</v>
      </c>
      <c r="L104" s="239">
        <f t="shared" si="25"/>
        <v>0</v>
      </c>
      <c r="M104" s="275" t="e">
        <f t="shared" si="26"/>
        <v>#DIV/0!</v>
      </c>
      <c r="N104" s="3"/>
      <c r="O104" s="1">
        <f t="shared" si="33"/>
        <v>84</v>
      </c>
      <c r="P104" s="182">
        <f t="shared" si="33"/>
        <v>46141</v>
      </c>
      <c r="Q104" s="241">
        <f>ROUND(SUMIFS(BS_RE33!$U$7:$U$874,BS_RE33!$S$7:$S$874,'Summary &amp; Working File(Ccy)'!P104,BS_RE33!$N$7:$N$874,'Summary &amp; Working File(Ccy)'!$Q$10,BS_RE33!$F$7:$F$874,$J$3)+SUMIF($P$13:$P$19,P104,$Q$13:$Q$19),2)</f>
        <v>0</v>
      </c>
      <c r="R104" s="242">
        <f>ROUND(SUMIFS(BS_RE33!$U$7:$U$874,BS_RE33!$S$7:$S$874,'Summary &amp; Working File(Ccy)'!P104,BS_RE33!$N$7:$N$874,'Summary &amp; Working File(Ccy)'!$R$10,BS_RE33!$F$7:$F$874,$J$3)+SUMIF($P$13:$P$19,P104,$R$13:$R$19),2)</f>
        <v>0</v>
      </c>
    </row>
    <row r="105" spans="2:18">
      <c r="B105" s="243">
        <f t="shared" si="32"/>
        <v>85</v>
      </c>
      <c r="C105" s="247">
        <f t="shared" si="32"/>
        <v>46142</v>
      </c>
      <c r="D105" s="245">
        <f t="shared" si="28"/>
        <v>0</v>
      </c>
      <c r="E105" s="235">
        <f t="shared" si="30"/>
        <v>0</v>
      </c>
      <c r="F105" s="236">
        <f t="shared" si="21"/>
        <v>0</v>
      </c>
      <c r="G105" s="237">
        <f t="shared" si="20"/>
        <v>0</v>
      </c>
      <c r="H105" s="273">
        <f t="shared" si="22"/>
        <v>0</v>
      </c>
      <c r="I105" s="238">
        <f t="shared" si="31"/>
        <v>0</v>
      </c>
      <c r="J105" s="237">
        <f t="shared" si="23"/>
        <v>0</v>
      </c>
      <c r="K105" s="269">
        <f t="shared" si="24"/>
        <v>0</v>
      </c>
      <c r="L105" s="239">
        <f t="shared" si="25"/>
        <v>0</v>
      </c>
      <c r="M105" s="275" t="e">
        <f t="shared" si="26"/>
        <v>#DIV/0!</v>
      </c>
      <c r="N105" s="3"/>
      <c r="O105" s="1">
        <f t="shared" si="33"/>
        <v>85</v>
      </c>
      <c r="P105" s="182">
        <f t="shared" si="33"/>
        <v>46142</v>
      </c>
      <c r="Q105" s="241">
        <f>ROUND(SUMIFS(BS_RE33!$U$7:$U$874,BS_RE33!$S$7:$S$874,'Summary &amp; Working File(Ccy)'!P105,BS_RE33!$N$7:$N$874,'Summary &amp; Working File(Ccy)'!$Q$10,BS_RE33!$F$7:$F$874,$J$3)+SUMIF($P$13:$P$19,P105,$Q$13:$Q$19),2)</f>
        <v>0</v>
      </c>
      <c r="R105" s="242">
        <f>ROUND(SUMIFS(BS_RE33!$U$7:$U$874,BS_RE33!$S$7:$S$874,'Summary &amp; Working File(Ccy)'!P105,BS_RE33!$N$7:$N$874,'Summary &amp; Working File(Ccy)'!$R$10,BS_RE33!$F$7:$F$874,$J$3)+SUMIF($P$13:$P$19,P105,$R$13:$R$19),2)</f>
        <v>0</v>
      </c>
    </row>
    <row r="106" spans="2:18">
      <c r="B106" s="243">
        <f t="shared" si="32"/>
        <v>86</v>
      </c>
      <c r="C106" s="247">
        <f t="shared" si="32"/>
        <v>46143</v>
      </c>
      <c r="D106" s="245">
        <f t="shared" si="28"/>
        <v>0</v>
      </c>
      <c r="E106" s="235">
        <f t="shared" si="30"/>
        <v>0</v>
      </c>
      <c r="F106" s="236">
        <f t="shared" si="21"/>
        <v>0</v>
      </c>
      <c r="G106" s="237">
        <f t="shared" si="20"/>
        <v>0</v>
      </c>
      <c r="H106" s="273">
        <f t="shared" si="22"/>
        <v>0</v>
      </c>
      <c r="I106" s="238">
        <f t="shared" si="31"/>
        <v>0</v>
      </c>
      <c r="J106" s="237">
        <f t="shared" si="23"/>
        <v>0</v>
      </c>
      <c r="K106" s="269">
        <f t="shared" si="24"/>
        <v>0</v>
      </c>
      <c r="L106" s="239">
        <f t="shared" si="25"/>
        <v>0</v>
      </c>
      <c r="M106" s="275" t="e">
        <f t="shared" si="26"/>
        <v>#DIV/0!</v>
      </c>
      <c r="N106" s="3"/>
      <c r="O106" s="1">
        <f t="shared" si="33"/>
        <v>86</v>
      </c>
      <c r="P106" s="182">
        <f t="shared" si="33"/>
        <v>46143</v>
      </c>
      <c r="Q106" s="241">
        <f>ROUND(SUMIFS(BS_RE33!$U$7:$U$874,BS_RE33!$S$7:$S$874,'Summary &amp; Working File(Ccy)'!P106,BS_RE33!$N$7:$N$874,'Summary &amp; Working File(Ccy)'!$Q$10,BS_RE33!$F$7:$F$874,$J$3)+SUMIF($P$13:$P$19,P106,$Q$13:$Q$19),2)</f>
        <v>0</v>
      </c>
      <c r="R106" s="242">
        <f>ROUND(SUMIFS(BS_RE33!$U$7:$U$874,BS_RE33!$S$7:$S$874,'Summary &amp; Working File(Ccy)'!P106,BS_RE33!$N$7:$N$874,'Summary &amp; Working File(Ccy)'!$R$10,BS_RE33!$F$7:$F$874,$J$3)+SUMIF($P$13:$P$19,P106,$R$13:$R$19),2)</f>
        <v>0</v>
      </c>
    </row>
    <row r="107" spans="2:18">
      <c r="B107" s="243">
        <f t="shared" si="32"/>
        <v>87</v>
      </c>
      <c r="C107" s="247">
        <f t="shared" si="32"/>
        <v>46144</v>
      </c>
      <c r="D107" s="245">
        <f t="shared" si="28"/>
        <v>0</v>
      </c>
      <c r="E107" s="235">
        <f t="shared" si="30"/>
        <v>0</v>
      </c>
      <c r="F107" s="236">
        <f t="shared" si="21"/>
        <v>0</v>
      </c>
      <c r="G107" s="237">
        <f t="shared" si="20"/>
        <v>0</v>
      </c>
      <c r="H107" s="273">
        <f t="shared" si="22"/>
        <v>0</v>
      </c>
      <c r="I107" s="238">
        <f t="shared" si="31"/>
        <v>0</v>
      </c>
      <c r="J107" s="237">
        <f t="shared" si="23"/>
        <v>0</v>
      </c>
      <c r="K107" s="269">
        <f t="shared" si="24"/>
        <v>0</v>
      </c>
      <c r="L107" s="239">
        <f t="shared" si="25"/>
        <v>0</v>
      </c>
      <c r="M107" s="275" t="e">
        <f t="shared" si="26"/>
        <v>#DIV/0!</v>
      </c>
      <c r="N107" s="3"/>
      <c r="O107" s="1">
        <f t="shared" si="33"/>
        <v>87</v>
      </c>
      <c r="P107" s="182">
        <f t="shared" si="33"/>
        <v>46144</v>
      </c>
      <c r="Q107" s="241">
        <f>ROUND(SUMIFS(BS_RE33!$U$7:$U$874,BS_RE33!$S$7:$S$874,'Summary &amp; Working File(Ccy)'!P107,BS_RE33!$N$7:$N$874,'Summary &amp; Working File(Ccy)'!$Q$10,BS_RE33!$F$7:$F$874,$J$3)+SUMIF($P$13:$P$19,P107,$Q$13:$Q$19),2)</f>
        <v>0</v>
      </c>
      <c r="R107" s="242">
        <f>ROUND(SUMIFS(BS_RE33!$U$7:$U$874,BS_RE33!$S$7:$S$874,'Summary &amp; Working File(Ccy)'!P107,BS_RE33!$N$7:$N$874,'Summary &amp; Working File(Ccy)'!$R$10,BS_RE33!$F$7:$F$874,$J$3)+SUMIF($P$13:$P$19,P107,$R$13:$R$19),2)</f>
        <v>0</v>
      </c>
    </row>
    <row r="108" spans="2:18">
      <c r="B108" s="243">
        <f t="shared" si="32"/>
        <v>88</v>
      </c>
      <c r="C108" s="247">
        <f t="shared" si="32"/>
        <v>46145</v>
      </c>
      <c r="D108" s="245">
        <f t="shared" si="28"/>
        <v>0</v>
      </c>
      <c r="E108" s="235">
        <f t="shared" si="30"/>
        <v>0</v>
      </c>
      <c r="F108" s="236">
        <f t="shared" si="21"/>
        <v>0</v>
      </c>
      <c r="G108" s="237">
        <f t="shared" si="20"/>
        <v>0</v>
      </c>
      <c r="H108" s="273">
        <f t="shared" si="22"/>
        <v>0</v>
      </c>
      <c r="I108" s="238">
        <f t="shared" si="31"/>
        <v>0</v>
      </c>
      <c r="J108" s="237">
        <f t="shared" si="23"/>
        <v>0</v>
      </c>
      <c r="K108" s="269">
        <f t="shared" si="24"/>
        <v>0</v>
      </c>
      <c r="L108" s="239">
        <f t="shared" si="25"/>
        <v>0</v>
      </c>
      <c r="M108" s="275" t="e">
        <f t="shared" si="26"/>
        <v>#DIV/0!</v>
      </c>
      <c r="N108" s="3"/>
      <c r="O108" s="1">
        <f t="shared" si="33"/>
        <v>88</v>
      </c>
      <c r="P108" s="182">
        <f t="shared" si="33"/>
        <v>46145</v>
      </c>
      <c r="Q108" s="241">
        <f>ROUND(SUMIFS(BS_RE33!$U$7:$U$874,BS_RE33!$S$7:$S$874,'Summary &amp; Working File(Ccy)'!P108,BS_RE33!$N$7:$N$874,'Summary &amp; Working File(Ccy)'!$Q$10,BS_RE33!$F$7:$F$874,$J$3)+SUMIF($P$13:$P$19,P108,$Q$13:$Q$19),2)</f>
        <v>0</v>
      </c>
      <c r="R108" s="242">
        <f>ROUND(SUMIFS(BS_RE33!$U$7:$U$874,BS_RE33!$S$7:$S$874,'Summary &amp; Working File(Ccy)'!P108,BS_RE33!$N$7:$N$874,'Summary &amp; Working File(Ccy)'!$R$10,BS_RE33!$F$7:$F$874,$J$3)+SUMIF($P$13:$P$19,P108,$R$13:$R$19),2)</f>
        <v>0</v>
      </c>
    </row>
    <row r="109" spans="2:18">
      <c r="B109" s="243">
        <f t="shared" si="32"/>
        <v>89</v>
      </c>
      <c r="C109" s="247">
        <f t="shared" si="32"/>
        <v>46146</v>
      </c>
      <c r="D109" s="245">
        <f t="shared" si="28"/>
        <v>0</v>
      </c>
      <c r="E109" s="235">
        <f t="shared" si="30"/>
        <v>0</v>
      </c>
      <c r="F109" s="236">
        <f t="shared" si="21"/>
        <v>0</v>
      </c>
      <c r="G109" s="237">
        <f t="shared" si="20"/>
        <v>0</v>
      </c>
      <c r="H109" s="273">
        <f t="shared" si="22"/>
        <v>0</v>
      </c>
      <c r="I109" s="238">
        <f t="shared" si="31"/>
        <v>0</v>
      </c>
      <c r="J109" s="237">
        <f t="shared" si="23"/>
        <v>0</v>
      </c>
      <c r="K109" s="269">
        <f t="shared" si="24"/>
        <v>0</v>
      </c>
      <c r="L109" s="239">
        <f t="shared" si="25"/>
        <v>0</v>
      </c>
      <c r="M109" s="275" t="e">
        <f t="shared" si="26"/>
        <v>#DIV/0!</v>
      </c>
      <c r="N109" s="3"/>
      <c r="O109" s="1">
        <f t="shared" si="33"/>
        <v>89</v>
      </c>
      <c r="P109" s="182">
        <f t="shared" si="33"/>
        <v>46146</v>
      </c>
      <c r="Q109" s="241">
        <f>ROUND(SUMIFS(BS_RE33!$U$7:$U$874,BS_RE33!$S$7:$S$874,'Summary &amp; Working File(Ccy)'!P109,BS_RE33!$N$7:$N$874,'Summary &amp; Working File(Ccy)'!$Q$10,BS_RE33!$F$7:$F$874,$J$3)+SUMIF($P$13:$P$19,P109,$Q$13:$Q$19),2)</f>
        <v>0</v>
      </c>
      <c r="R109" s="242">
        <f>ROUND(SUMIFS(BS_RE33!$U$7:$U$874,BS_RE33!$S$7:$S$874,'Summary &amp; Working File(Ccy)'!P109,BS_RE33!$N$7:$N$874,'Summary &amp; Working File(Ccy)'!$R$10,BS_RE33!$F$7:$F$874,$J$3)+SUMIF($P$13:$P$19,P109,$R$13:$R$19),2)</f>
        <v>0</v>
      </c>
    </row>
    <row r="110" spans="2:18">
      <c r="B110" s="243">
        <f t="shared" si="32"/>
        <v>90</v>
      </c>
      <c r="C110" s="247">
        <f t="shared" si="32"/>
        <v>46147</v>
      </c>
      <c r="D110" s="245">
        <f t="shared" si="28"/>
        <v>0</v>
      </c>
      <c r="E110" s="235">
        <f t="shared" si="30"/>
        <v>0</v>
      </c>
      <c r="F110" s="236">
        <f t="shared" si="21"/>
        <v>0</v>
      </c>
      <c r="G110" s="237">
        <f t="shared" si="20"/>
        <v>0</v>
      </c>
      <c r="H110" s="273">
        <f t="shared" si="22"/>
        <v>0</v>
      </c>
      <c r="I110" s="238">
        <f t="shared" si="31"/>
        <v>0</v>
      </c>
      <c r="J110" s="237">
        <f t="shared" si="23"/>
        <v>0</v>
      </c>
      <c r="K110" s="269">
        <f t="shared" si="24"/>
        <v>0</v>
      </c>
      <c r="L110" s="239">
        <f t="shared" si="25"/>
        <v>0</v>
      </c>
      <c r="M110" s="275" t="e">
        <f t="shared" si="26"/>
        <v>#DIV/0!</v>
      </c>
      <c r="N110" s="3"/>
      <c r="O110" s="1">
        <f t="shared" si="33"/>
        <v>90</v>
      </c>
      <c r="P110" s="182">
        <f t="shared" si="33"/>
        <v>46147</v>
      </c>
      <c r="Q110" s="241">
        <f>ROUND(SUMIFS(BS_RE33!$U$7:$U$874,BS_RE33!$S$7:$S$874,'Summary &amp; Working File(Ccy)'!P110,BS_RE33!$N$7:$N$874,'Summary &amp; Working File(Ccy)'!$Q$10,BS_RE33!$F$7:$F$874,$J$3)+SUMIF($P$13:$P$19,P110,$Q$13:$Q$19),2)</f>
        <v>0</v>
      </c>
      <c r="R110" s="242">
        <f>ROUND(SUMIFS(BS_RE33!$U$7:$U$874,BS_RE33!$S$7:$S$874,'Summary &amp; Working File(Ccy)'!P110,BS_RE33!$N$7:$N$874,'Summary &amp; Working File(Ccy)'!$R$10,BS_RE33!$F$7:$F$874,$J$3)+SUMIF($P$13:$P$19,P110,$R$13:$R$19),2)</f>
        <v>0</v>
      </c>
    </row>
    <row r="111" spans="2:18">
      <c r="B111" s="243">
        <f t="shared" si="32"/>
        <v>91</v>
      </c>
      <c r="C111" s="247">
        <f t="shared" si="32"/>
        <v>46148</v>
      </c>
      <c r="D111" s="245">
        <f t="shared" si="28"/>
        <v>0</v>
      </c>
      <c r="E111" s="235">
        <f t="shared" si="30"/>
        <v>0</v>
      </c>
      <c r="F111" s="236">
        <f t="shared" si="21"/>
        <v>0</v>
      </c>
      <c r="G111" s="237">
        <f t="shared" si="20"/>
        <v>0</v>
      </c>
      <c r="H111" s="273">
        <f t="shared" si="22"/>
        <v>0</v>
      </c>
      <c r="I111" s="238">
        <f t="shared" si="31"/>
        <v>0</v>
      </c>
      <c r="J111" s="237">
        <f t="shared" si="23"/>
        <v>0</v>
      </c>
      <c r="K111" s="269">
        <f t="shared" si="24"/>
        <v>0</v>
      </c>
      <c r="L111" s="239">
        <f t="shared" si="25"/>
        <v>0</v>
      </c>
      <c r="M111" s="275" t="e">
        <f t="shared" si="26"/>
        <v>#DIV/0!</v>
      </c>
      <c r="N111" s="3"/>
      <c r="O111" s="1">
        <f t="shared" si="33"/>
        <v>91</v>
      </c>
      <c r="P111" s="182">
        <f t="shared" si="33"/>
        <v>46148</v>
      </c>
      <c r="Q111" s="241">
        <f>ROUND(SUMIFS(BS_RE33!$U$7:$U$874,BS_RE33!$S$7:$S$874,'Summary &amp; Working File(Ccy)'!P111,BS_RE33!$N$7:$N$874,'Summary &amp; Working File(Ccy)'!$Q$10,BS_RE33!$F$7:$F$874,$J$3)+SUMIF($P$13:$P$19,P111,$Q$13:$Q$19),2)</f>
        <v>0</v>
      </c>
      <c r="R111" s="242">
        <f>ROUND(SUMIFS(BS_RE33!$U$7:$U$874,BS_RE33!$S$7:$S$874,'Summary &amp; Working File(Ccy)'!P111,BS_RE33!$N$7:$N$874,'Summary &amp; Working File(Ccy)'!$R$10,BS_RE33!$F$7:$F$874,$J$3)+SUMIF($P$13:$P$19,P111,$R$13:$R$19),2)</f>
        <v>0</v>
      </c>
    </row>
    <row r="112" spans="2:18">
      <c r="B112" s="243">
        <f t="shared" si="32"/>
        <v>92</v>
      </c>
      <c r="C112" s="247">
        <f t="shared" si="32"/>
        <v>46149</v>
      </c>
      <c r="D112" s="245">
        <f>D111</f>
        <v>0</v>
      </c>
      <c r="E112" s="235">
        <f>$Q$11+SUM(Q113:Q142)</f>
        <v>0</v>
      </c>
      <c r="F112" s="236">
        <f t="shared" si="21"/>
        <v>0</v>
      </c>
      <c r="G112" s="237">
        <f t="shared" si="20"/>
        <v>0</v>
      </c>
      <c r="H112" s="273">
        <f>SUM(E112:G112)</f>
        <v>0</v>
      </c>
      <c r="I112" s="238">
        <f t="shared" si="31"/>
        <v>0</v>
      </c>
      <c r="J112" s="237">
        <f>H112*20%</f>
        <v>0</v>
      </c>
      <c r="K112" s="269">
        <f>MIN(SUM(I112:J112),H112*75%)</f>
        <v>0</v>
      </c>
      <c r="L112" s="239">
        <f>H112-K112</f>
        <v>0</v>
      </c>
      <c r="M112" s="275" t="e">
        <f t="shared" si="26"/>
        <v>#DIV/0!</v>
      </c>
      <c r="N112" s="3"/>
      <c r="O112" s="1">
        <f t="shared" si="33"/>
        <v>92</v>
      </c>
      <c r="P112" s="182">
        <f t="shared" si="33"/>
        <v>46149</v>
      </c>
      <c r="Q112" s="241">
        <f>ROUND(SUMIFS(BS_RE33!$U$7:$U$874,BS_RE33!$S$7:$S$874,'Summary &amp; Working File(Ccy)'!P112,BS_RE33!$N$7:$N$874,'Summary &amp; Working File(Ccy)'!$Q$10,BS_RE33!$F$7:$F$874,$J$3)+SUMIF($P$13:$P$19,P112,$Q$13:$Q$19),2)</f>
        <v>0</v>
      </c>
      <c r="R112" s="242">
        <f>ROUND(SUMIFS(BS_RE33!$U$7:$U$874,BS_RE33!$S$7:$S$874,'Summary &amp; Working File(Ccy)'!P112,BS_RE33!$N$7:$N$874,'Summary &amp; Working File(Ccy)'!$R$10,BS_RE33!$F$7:$F$874,$J$3)+SUMIF($P$13:$P$19,P112,$R$13:$R$19),2)</f>
        <v>0</v>
      </c>
    </row>
    <row r="113" spans="2:18">
      <c r="B113" s="243">
        <f t="shared" si="32"/>
        <v>93</v>
      </c>
      <c r="C113" s="247">
        <f t="shared" si="32"/>
        <v>46150</v>
      </c>
      <c r="D113" s="245">
        <f t="shared" si="28"/>
        <v>0</v>
      </c>
      <c r="E113" s="235">
        <f t="shared" si="30"/>
        <v>0</v>
      </c>
      <c r="F113" s="236">
        <f t="shared" si="21"/>
        <v>0</v>
      </c>
      <c r="G113" s="237">
        <f t="shared" si="20"/>
        <v>0</v>
      </c>
      <c r="H113" s="273">
        <f t="shared" si="22"/>
        <v>0</v>
      </c>
      <c r="I113" s="238">
        <f t="shared" si="31"/>
        <v>0</v>
      </c>
      <c r="J113" s="237">
        <f t="shared" si="23"/>
        <v>0</v>
      </c>
      <c r="K113" s="269">
        <f t="shared" si="24"/>
        <v>0</v>
      </c>
      <c r="L113" s="239">
        <f t="shared" si="25"/>
        <v>0</v>
      </c>
      <c r="M113" s="275" t="e">
        <f t="shared" si="26"/>
        <v>#DIV/0!</v>
      </c>
      <c r="N113" s="3"/>
      <c r="O113" s="1">
        <f t="shared" si="33"/>
        <v>93</v>
      </c>
      <c r="P113" s="182">
        <f t="shared" si="33"/>
        <v>46150</v>
      </c>
      <c r="Q113" s="241">
        <f>ROUND(SUMIFS(BS_RE33!$U$7:$U$874,BS_RE33!$S$7:$S$874,'Summary &amp; Working File(Ccy)'!P113,BS_RE33!$N$7:$N$874,'Summary &amp; Working File(Ccy)'!$Q$10,BS_RE33!$F$7:$F$874,$J$3)+SUMIF($P$13:$P$19,P113,$Q$13:$Q$19),2)</f>
        <v>0</v>
      </c>
      <c r="R113" s="242">
        <f>ROUND(SUMIFS(BS_RE33!$U$7:$U$874,BS_RE33!$S$7:$S$874,'Summary &amp; Working File(Ccy)'!P113,BS_RE33!$N$7:$N$874,'Summary &amp; Working File(Ccy)'!$R$10,BS_RE33!$F$7:$F$874,$J$3)+SUMIF($P$13:$P$19,P113,$R$13:$R$19),2)</f>
        <v>0</v>
      </c>
    </row>
    <row r="114" spans="2:18">
      <c r="B114" s="243">
        <f t="shared" si="32"/>
        <v>94</v>
      </c>
      <c r="C114" s="247">
        <f t="shared" si="32"/>
        <v>46151</v>
      </c>
      <c r="D114" s="245">
        <f t="shared" si="28"/>
        <v>0</v>
      </c>
      <c r="E114" s="235">
        <f t="shared" si="30"/>
        <v>0</v>
      </c>
      <c r="F114" s="236">
        <f t="shared" si="21"/>
        <v>0</v>
      </c>
      <c r="G114" s="237">
        <f t="shared" si="20"/>
        <v>0</v>
      </c>
      <c r="H114" s="273">
        <f t="shared" si="22"/>
        <v>0</v>
      </c>
      <c r="I114" s="238">
        <f t="shared" si="31"/>
        <v>0</v>
      </c>
      <c r="J114" s="237">
        <f t="shared" si="23"/>
        <v>0</v>
      </c>
      <c r="K114" s="269">
        <f t="shared" si="24"/>
        <v>0</v>
      </c>
      <c r="L114" s="239">
        <f t="shared" si="25"/>
        <v>0</v>
      </c>
      <c r="M114" s="275" t="e">
        <f t="shared" si="26"/>
        <v>#DIV/0!</v>
      </c>
      <c r="N114" s="3"/>
      <c r="O114" s="1">
        <f t="shared" si="33"/>
        <v>94</v>
      </c>
      <c r="P114" s="182">
        <f t="shared" si="33"/>
        <v>46151</v>
      </c>
      <c r="Q114" s="241">
        <f>ROUND(SUMIFS(BS_RE33!$U$7:$U$874,BS_RE33!$S$7:$S$874,'Summary &amp; Working File(Ccy)'!P114,BS_RE33!$N$7:$N$874,'Summary &amp; Working File(Ccy)'!$Q$10,BS_RE33!$F$7:$F$874,$J$3)+SUMIF($P$13:$P$19,P114,$Q$13:$Q$19),2)</f>
        <v>0</v>
      </c>
      <c r="R114" s="242">
        <f>ROUND(SUMIFS(BS_RE33!$U$7:$U$874,BS_RE33!$S$7:$S$874,'Summary &amp; Working File(Ccy)'!P114,BS_RE33!$N$7:$N$874,'Summary &amp; Working File(Ccy)'!$R$10,BS_RE33!$F$7:$F$874,$J$3)+SUMIF($P$13:$P$19,P114,$R$13:$R$19),2)</f>
        <v>0</v>
      </c>
    </row>
    <row r="115" spans="2:18">
      <c r="B115" s="243">
        <f t="shared" si="32"/>
        <v>95</v>
      </c>
      <c r="C115" s="247">
        <f t="shared" si="32"/>
        <v>46152</v>
      </c>
      <c r="D115" s="245">
        <f t="shared" si="28"/>
        <v>0</v>
      </c>
      <c r="E115" s="235">
        <f t="shared" si="30"/>
        <v>0</v>
      </c>
      <c r="F115" s="236">
        <f t="shared" si="21"/>
        <v>0</v>
      </c>
      <c r="G115" s="237">
        <f t="shared" si="20"/>
        <v>0</v>
      </c>
      <c r="H115" s="273">
        <f t="shared" si="22"/>
        <v>0</v>
      </c>
      <c r="I115" s="238">
        <f t="shared" si="31"/>
        <v>0</v>
      </c>
      <c r="J115" s="237">
        <f t="shared" si="23"/>
        <v>0</v>
      </c>
      <c r="K115" s="269">
        <f t="shared" si="24"/>
        <v>0</v>
      </c>
      <c r="L115" s="239">
        <f t="shared" si="25"/>
        <v>0</v>
      </c>
      <c r="M115" s="275" t="e">
        <f t="shared" si="26"/>
        <v>#DIV/0!</v>
      </c>
      <c r="N115" s="3"/>
      <c r="O115" s="1">
        <f t="shared" si="33"/>
        <v>95</v>
      </c>
      <c r="P115" s="182">
        <f t="shared" si="33"/>
        <v>46152</v>
      </c>
      <c r="Q115" s="241">
        <f>ROUND(SUMIFS(BS_RE33!$U$7:$U$874,BS_RE33!$S$7:$S$874,'Summary &amp; Working File(Ccy)'!P115,BS_RE33!$N$7:$N$874,'Summary &amp; Working File(Ccy)'!$Q$10,BS_RE33!$F$7:$F$874,$J$3)+SUMIF($P$13:$P$19,P115,$Q$13:$Q$19),2)</f>
        <v>0</v>
      </c>
      <c r="R115" s="242">
        <f>ROUND(SUMIFS(BS_RE33!$U$7:$U$874,BS_RE33!$S$7:$S$874,'Summary &amp; Working File(Ccy)'!P115,BS_RE33!$N$7:$N$874,'Summary &amp; Working File(Ccy)'!$R$10,BS_RE33!$F$7:$F$874,$J$3)+SUMIF($P$13:$P$19,P115,$R$13:$R$19),2)</f>
        <v>0</v>
      </c>
    </row>
    <row r="116" spans="2:18">
      <c r="B116" s="243">
        <f t="shared" si="32"/>
        <v>96</v>
      </c>
      <c r="C116" s="247">
        <f t="shared" si="32"/>
        <v>46153</v>
      </c>
      <c r="D116" s="245">
        <f t="shared" si="28"/>
        <v>0</v>
      </c>
      <c r="E116" s="235">
        <f t="shared" si="30"/>
        <v>0</v>
      </c>
      <c r="F116" s="236">
        <f t="shared" si="21"/>
        <v>0</v>
      </c>
      <c r="G116" s="237">
        <f t="shared" si="20"/>
        <v>0</v>
      </c>
      <c r="H116" s="273">
        <f t="shared" si="22"/>
        <v>0</v>
      </c>
      <c r="I116" s="238">
        <f t="shared" si="31"/>
        <v>0</v>
      </c>
      <c r="J116" s="237">
        <f t="shared" si="23"/>
        <v>0</v>
      </c>
      <c r="K116" s="269">
        <f t="shared" si="24"/>
        <v>0</v>
      </c>
      <c r="L116" s="239">
        <f t="shared" si="25"/>
        <v>0</v>
      </c>
      <c r="M116" s="275" t="e">
        <f t="shared" si="26"/>
        <v>#DIV/0!</v>
      </c>
      <c r="N116" s="3"/>
      <c r="O116" s="1">
        <f t="shared" si="33"/>
        <v>96</v>
      </c>
      <c r="P116" s="182">
        <f t="shared" si="33"/>
        <v>46153</v>
      </c>
      <c r="Q116" s="241">
        <f>ROUND(SUMIFS(BS_RE33!$U$7:$U$874,BS_RE33!$S$7:$S$874,'Summary &amp; Working File(Ccy)'!P116,BS_RE33!$N$7:$N$874,'Summary &amp; Working File(Ccy)'!$Q$10,BS_RE33!$F$7:$F$874,$J$3)+SUMIF($P$13:$P$19,P116,$Q$13:$Q$19),2)</f>
        <v>0</v>
      </c>
      <c r="R116" s="242">
        <f>ROUND(SUMIFS(BS_RE33!$U$7:$U$874,BS_RE33!$S$7:$S$874,'Summary &amp; Working File(Ccy)'!P116,BS_RE33!$N$7:$N$874,'Summary &amp; Working File(Ccy)'!$R$10,BS_RE33!$F$7:$F$874,$J$3)+SUMIF($P$13:$P$19,P116,$R$13:$R$19),2)</f>
        <v>0</v>
      </c>
    </row>
    <row r="117" spans="2:18">
      <c r="B117" s="243">
        <f t="shared" si="32"/>
        <v>97</v>
      </c>
      <c r="C117" s="247">
        <f t="shared" si="32"/>
        <v>46154</v>
      </c>
      <c r="D117" s="245">
        <f t="shared" si="28"/>
        <v>0</v>
      </c>
      <c r="E117" s="235">
        <f t="shared" si="30"/>
        <v>0</v>
      </c>
      <c r="F117" s="236">
        <f t="shared" si="21"/>
        <v>0</v>
      </c>
      <c r="G117" s="237">
        <f t="shared" si="20"/>
        <v>0</v>
      </c>
      <c r="H117" s="273">
        <f t="shared" si="22"/>
        <v>0</v>
      </c>
      <c r="I117" s="238">
        <f t="shared" si="31"/>
        <v>0</v>
      </c>
      <c r="J117" s="237">
        <f t="shared" si="23"/>
        <v>0</v>
      </c>
      <c r="K117" s="269">
        <f t="shared" si="24"/>
        <v>0</v>
      </c>
      <c r="L117" s="239">
        <f t="shared" si="25"/>
        <v>0</v>
      </c>
      <c r="M117" s="275" t="e">
        <f t="shared" si="26"/>
        <v>#DIV/0!</v>
      </c>
      <c r="N117" s="3"/>
      <c r="O117" s="1">
        <f t="shared" si="33"/>
        <v>97</v>
      </c>
      <c r="P117" s="182">
        <f t="shared" si="33"/>
        <v>46154</v>
      </c>
      <c r="Q117" s="241">
        <f>ROUND(SUMIFS(BS_RE33!$U$7:$U$874,BS_RE33!$S$7:$S$874,'Summary &amp; Working File(Ccy)'!P117,BS_RE33!$N$7:$N$874,'Summary &amp; Working File(Ccy)'!$Q$10,BS_RE33!$F$7:$F$874,$J$3)+SUMIF($P$13:$P$19,P117,$Q$13:$Q$19),2)</f>
        <v>0</v>
      </c>
      <c r="R117" s="242">
        <f>ROUND(SUMIFS(BS_RE33!$U$7:$U$874,BS_RE33!$S$7:$S$874,'Summary &amp; Working File(Ccy)'!P117,BS_RE33!$N$7:$N$874,'Summary &amp; Working File(Ccy)'!$R$10,BS_RE33!$F$7:$F$874,$J$3)+SUMIF($P$13:$P$19,P117,$R$13:$R$19),2)</f>
        <v>0</v>
      </c>
    </row>
    <row r="118" spans="2:18">
      <c r="B118" s="243">
        <f t="shared" si="32"/>
        <v>98</v>
      </c>
      <c r="C118" s="247">
        <f t="shared" si="32"/>
        <v>46155</v>
      </c>
      <c r="D118" s="245">
        <f t="shared" si="28"/>
        <v>0</v>
      </c>
      <c r="E118" s="235">
        <f t="shared" si="30"/>
        <v>0</v>
      </c>
      <c r="F118" s="236">
        <f t="shared" si="21"/>
        <v>0</v>
      </c>
      <c r="G118" s="237">
        <f t="shared" si="20"/>
        <v>0</v>
      </c>
      <c r="H118" s="273">
        <f t="shared" si="22"/>
        <v>0</v>
      </c>
      <c r="I118" s="238">
        <f t="shared" si="31"/>
        <v>0</v>
      </c>
      <c r="J118" s="237">
        <f t="shared" si="23"/>
        <v>0</v>
      </c>
      <c r="K118" s="269">
        <f t="shared" si="24"/>
        <v>0</v>
      </c>
      <c r="L118" s="239">
        <f t="shared" si="25"/>
        <v>0</v>
      </c>
      <c r="M118" s="275" t="e">
        <f t="shared" si="26"/>
        <v>#DIV/0!</v>
      </c>
      <c r="N118" s="3"/>
      <c r="O118" s="1">
        <f t="shared" si="33"/>
        <v>98</v>
      </c>
      <c r="P118" s="182">
        <f t="shared" si="33"/>
        <v>46155</v>
      </c>
      <c r="Q118" s="241">
        <f>ROUND(SUMIFS(BS_RE33!$U$7:$U$874,BS_RE33!$S$7:$S$874,'Summary &amp; Working File(Ccy)'!P118,BS_RE33!$N$7:$N$874,'Summary &amp; Working File(Ccy)'!$Q$10,BS_RE33!$F$7:$F$874,$J$3)+SUMIF($P$13:$P$19,P118,$Q$13:$Q$19),2)</f>
        <v>0</v>
      </c>
      <c r="R118" s="242">
        <f>ROUND(SUMIFS(BS_RE33!$U$7:$U$874,BS_RE33!$S$7:$S$874,'Summary &amp; Working File(Ccy)'!P118,BS_RE33!$N$7:$N$874,'Summary &amp; Working File(Ccy)'!$R$10,BS_RE33!$F$7:$F$874,$J$3)+SUMIF($P$13:$P$19,P118,$R$13:$R$19),2)</f>
        <v>0</v>
      </c>
    </row>
    <row r="119" spans="2:18">
      <c r="B119" s="243">
        <f t="shared" ref="B119:C134" si="34">B118+1</f>
        <v>99</v>
      </c>
      <c r="C119" s="247">
        <f t="shared" si="34"/>
        <v>46156</v>
      </c>
      <c r="D119" s="245">
        <f t="shared" si="28"/>
        <v>0</v>
      </c>
      <c r="E119" s="235">
        <f t="shared" si="30"/>
        <v>0</v>
      </c>
      <c r="F119" s="236">
        <f t="shared" si="21"/>
        <v>0</v>
      </c>
      <c r="G119" s="237">
        <f t="shared" si="20"/>
        <v>0</v>
      </c>
      <c r="H119" s="273">
        <f t="shared" si="22"/>
        <v>0</v>
      </c>
      <c r="I119" s="238">
        <f t="shared" si="31"/>
        <v>0</v>
      </c>
      <c r="J119" s="237">
        <f t="shared" si="23"/>
        <v>0</v>
      </c>
      <c r="K119" s="269">
        <f t="shared" si="24"/>
        <v>0</v>
      </c>
      <c r="L119" s="239">
        <f t="shared" si="25"/>
        <v>0</v>
      </c>
      <c r="M119" s="275" t="e">
        <f t="shared" si="26"/>
        <v>#DIV/0!</v>
      </c>
      <c r="N119" s="3"/>
      <c r="O119" s="1">
        <f t="shared" ref="O119:P134" si="35">O118+1</f>
        <v>99</v>
      </c>
      <c r="P119" s="182">
        <f t="shared" si="35"/>
        <v>46156</v>
      </c>
      <c r="Q119" s="241">
        <f>ROUND(SUMIFS(BS_RE33!$U$7:$U$874,BS_RE33!$S$7:$S$874,'Summary &amp; Working File(Ccy)'!P119,BS_RE33!$N$7:$N$874,'Summary &amp; Working File(Ccy)'!$Q$10,BS_RE33!$F$7:$F$874,$J$3)+SUMIF($P$13:$P$19,P119,$Q$13:$Q$19),2)</f>
        <v>0</v>
      </c>
      <c r="R119" s="242">
        <f>ROUND(SUMIFS(BS_RE33!$U$7:$U$874,BS_RE33!$S$7:$S$874,'Summary &amp; Working File(Ccy)'!P119,BS_RE33!$N$7:$N$874,'Summary &amp; Working File(Ccy)'!$R$10,BS_RE33!$F$7:$F$874,$J$3)+SUMIF($P$13:$P$19,P119,$R$13:$R$19),2)</f>
        <v>0</v>
      </c>
    </row>
    <row r="120" spans="2:18">
      <c r="B120" s="243">
        <f t="shared" si="34"/>
        <v>100</v>
      </c>
      <c r="C120" s="247">
        <f t="shared" si="34"/>
        <v>46157</v>
      </c>
      <c r="D120" s="245">
        <f t="shared" si="28"/>
        <v>0</v>
      </c>
      <c r="E120" s="235">
        <f t="shared" si="30"/>
        <v>0</v>
      </c>
      <c r="F120" s="236">
        <f t="shared" si="21"/>
        <v>0</v>
      </c>
      <c r="G120" s="237">
        <f t="shared" si="20"/>
        <v>0</v>
      </c>
      <c r="H120" s="273">
        <f t="shared" si="22"/>
        <v>0</v>
      </c>
      <c r="I120" s="238">
        <f t="shared" si="31"/>
        <v>0</v>
      </c>
      <c r="J120" s="237">
        <f t="shared" si="23"/>
        <v>0</v>
      </c>
      <c r="K120" s="269">
        <f t="shared" si="24"/>
        <v>0</v>
      </c>
      <c r="L120" s="239">
        <f t="shared" si="25"/>
        <v>0</v>
      </c>
      <c r="M120" s="275" t="e">
        <f t="shared" si="26"/>
        <v>#DIV/0!</v>
      </c>
      <c r="N120" s="3"/>
      <c r="O120" s="1">
        <f t="shared" si="35"/>
        <v>100</v>
      </c>
      <c r="P120" s="182">
        <f t="shared" si="35"/>
        <v>46157</v>
      </c>
      <c r="Q120" s="241">
        <f>ROUND(SUMIFS(BS_RE33!$U$7:$U$874,BS_RE33!$S$7:$S$874,'Summary &amp; Working File(Ccy)'!P120,BS_RE33!$N$7:$N$874,'Summary &amp; Working File(Ccy)'!$Q$10,BS_RE33!$F$7:$F$874,$J$3)+SUMIF($P$13:$P$19,P120,$Q$13:$Q$19),2)</f>
        <v>0</v>
      </c>
      <c r="R120" s="242">
        <f>ROUND(SUMIFS(BS_RE33!$U$7:$U$874,BS_RE33!$S$7:$S$874,'Summary &amp; Working File(Ccy)'!P120,BS_RE33!$N$7:$N$874,'Summary &amp; Working File(Ccy)'!$R$10,BS_RE33!$F$7:$F$874,$J$3)+SUMIF($P$13:$P$19,P120,$R$13:$R$19),2)</f>
        <v>0</v>
      </c>
    </row>
    <row r="121" spans="2:18">
      <c r="B121" s="243">
        <f t="shared" si="34"/>
        <v>101</v>
      </c>
      <c r="C121" s="247">
        <f t="shared" si="34"/>
        <v>46158</v>
      </c>
      <c r="D121" s="245">
        <f t="shared" si="28"/>
        <v>0</v>
      </c>
      <c r="E121" s="235">
        <f t="shared" si="30"/>
        <v>0</v>
      </c>
      <c r="F121" s="236">
        <f t="shared" si="21"/>
        <v>0</v>
      </c>
      <c r="G121" s="237">
        <f t="shared" si="20"/>
        <v>0</v>
      </c>
      <c r="H121" s="273">
        <f t="shared" si="22"/>
        <v>0</v>
      </c>
      <c r="I121" s="238">
        <f t="shared" si="31"/>
        <v>0</v>
      </c>
      <c r="J121" s="237">
        <f t="shared" si="23"/>
        <v>0</v>
      </c>
      <c r="K121" s="269">
        <f t="shared" si="24"/>
        <v>0</v>
      </c>
      <c r="L121" s="239">
        <f t="shared" si="25"/>
        <v>0</v>
      </c>
      <c r="M121" s="275" t="e">
        <f t="shared" si="26"/>
        <v>#DIV/0!</v>
      </c>
      <c r="N121" s="3"/>
      <c r="O121" s="1">
        <f t="shared" si="35"/>
        <v>101</v>
      </c>
      <c r="P121" s="182">
        <f t="shared" si="35"/>
        <v>46158</v>
      </c>
      <c r="Q121" s="241">
        <f>ROUND(SUMIFS(BS_RE33!$U$7:$U$874,BS_RE33!$S$7:$S$874,'Summary &amp; Working File(Ccy)'!P121,BS_RE33!$N$7:$N$874,'Summary &amp; Working File(Ccy)'!$Q$10,BS_RE33!$F$7:$F$874,$J$3)+SUMIF($P$13:$P$19,P121,$Q$13:$Q$19),2)</f>
        <v>0</v>
      </c>
      <c r="R121" s="242">
        <f>ROUND(SUMIFS(BS_RE33!$U$7:$U$874,BS_RE33!$S$7:$S$874,'Summary &amp; Working File(Ccy)'!P121,BS_RE33!$N$7:$N$874,'Summary &amp; Working File(Ccy)'!$R$10,BS_RE33!$F$7:$F$874,$J$3)+SUMIF($P$13:$P$19,P121,$R$13:$R$19),2)</f>
        <v>0</v>
      </c>
    </row>
    <row r="122" spans="2:18">
      <c r="B122" s="243">
        <f t="shared" si="34"/>
        <v>102</v>
      </c>
      <c r="C122" s="247">
        <f t="shared" si="34"/>
        <v>46159</v>
      </c>
      <c r="D122" s="245">
        <f t="shared" si="28"/>
        <v>0</v>
      </c>
      <c r="E122" s="235">
        <f t="shared" si="30"/>
        <v>0</v>
      </c>
      <c r="F122" s="236">
        <f t="shared" si="21"/>
        <v>0</v>
      </c>
      <c r="G122" s="237">
        <f t="shared" si="20"/>
        <v>0</v>
      </c>
      <c r="H122" s="273">
        <f t="shared" si="22"/>
        <v>0</v>
      </c>
      <c r="I122" s="238">
        <f t="shared" si="31"/>
        <v>0</v>
      </c>
      <c r="J122" s="237">
        <f t="shared" si="23"/>
        <v>0</v>
      </c>
      <c r="K122" s="269">
        <f t="shared" si="24"/>
        <v>0</v>
      </c>
      <c r="L122" s="239">
        <f t="shared" si="25"/>
        <v>0</v>
      </c>
      <c r="M122" s="275" t="e">
        <f t="shared" si="26"/>
        <v>#DIV/0!</v>
      </c>
      <c r="N122" s="3"/>
      <c r="O122" s="1">
        <f t="shared" si="35"/>
        <v>102</v>
      </c>
      <c r="P122" s="182">
        <f t="shared" si="35"/>
        <v>46159</v>
      </c>
      <c r="Q122" s="241">
        <f>ROUND(SUMIFS(BS_RE33!$U$7:$U$874,BS_RE33!$S$7:$S$874,'Summary &amp; Working File(Ccy)'!P122,BS_RE33!$N$7:$N$874,'Summary &amp; Working File(Ccy)'!$Q$10,BS_RE33!$F$7:$F$874,$J$3)+SUMIF($P$13:$P$19,P122,$Q$13:$Q$19),2)</f>
        <v>0</v>
      </c>
      <c r="R122" s="242">
        <f>ROUND(SUMIFS(BS_RE33!$U$7:$U$874,BS_RE33!$S$7:$S$874,'Summary &amp; Working File(Ccy)'!P122,BS_RE33!$N$7:$N$874,'Summary &amp; Working File(Ccy)'!$R$10,BS_RE33!$F$7:$F$874,$J$3)+SUMIF($P$13:$P$19,P122,$R$13:$R$19),2)</f>
        <v>0</v>
      </c>
    </row>
    <row r="123" spans="2:18">
      <c r="B123" s="243">
        <f t="shared" si="34"/>
        <v>103</v>
      </c>
      <c r="C123" s="247">
        <f t="shared" si="34"/>
        <v>46160</v>
      </c>
      <c r="D123" s="245">
        <f t="shared" si="28"/>
        <v>0</v>
      </c>
      <c r="E123" s="235">
        <f t="shared" si="30"/>
        <v>0</v>
      </c>
      <c r="F123" s="236">
        <f t="shared" si="21"/>
        <v>0</v>
      </c>
      <c r="G123" s="237">
        <f t="shared" si="20"/>
        <v>0</v>
      </c>
      <c r="H123" s="273">
        <f t="shared" si="22"/>
        <v>0</v>
      </c>
      <c r="I123" s="238">
        <f t="shared" si="31"/>
        <v>0</v>
      </c>
      <c r="J123" s="237">
        <f t="shared" si="23"/>
        <v>0</v>
      </c>
      <c r="K123" s="269">
        <f t="shared" si="24"/>
        <v>0</v>
      </c>
      <c r="L123" s="239">
        <f t="shared" si="25"/>
        <v>0</v>
      </c>
      <c r="M123" s="275" t="e">
        <f t="shared" si="26"/>
        <v>#DIV/0!</v>
      </c>
      <c r="N123" s="3"/>
      <c r="O123" s="1">
        <f t="shared" si="35"/>
        <v>103</v>
      </c>
      <c r="P123" s="182">
        <f t="shared" si="35"/>
        <v>46160</v>
      </c>
      <c r="Q123" s="241">
        <f>ROUND(SUMIFS(BS_RE33!$U$7:$U$874,BS_RE33!$S$7:$S$874,'Summary &amp; Working File(Ccy)'!P123,BS_RE33!$N$7:$N$874,'Summary &amp; Working File(Ccy)'!$Q$10,BS_RE33!$F$7:$F$874,$J$3)+SUMIF($P$13:$P$19,P123,$Q$13:$Q$19),2)</f>
        <v>0</v>
      </c>
      <c r="R123" s="242">
        <f>ROUND(SUMIFS(BS_RE33!$U$7:$U$874,BS_RE33!$S$7:$S$874,'Summary &amp; Working File(Ccy)'!P123,BS_RE33!$N$7:$N$874,'Summary &amp; Working File(Ccy)'!$R$10,BS_RE33!$F$7:$F$874,$J$3)+SUMIF($P$13:$P$19,P123,$R$13:$R$19),2)</f>
        <v>0</v>
      </c>
    </row>
    <row r="124" spans="2:18">
      <c r="B124" s="243">
        <f t="shared" si="34"/>
        <v>104</v>
      </c>
      <c r="C124" s="247">
        <f t="shared" si="34"/>
        <v>46161</v>
      </c>
      <c r="D124" s="245">
        <f t="shared" si="28"/>
        <v>0</v>
      </c>
      <c r="E124" s="235">
        <f t="shared" si="30"/>
        <v>0</v>
      </c>
      <c r="F124" s="236">
        <f t="shared" si="21"/>
        <v>0</v>
      </c>
      <c r="G124" s="237">
        <f t="shared" si="20"/>
        <v>0</v>
      </c>
      <c r="H124" s="273">
        <f t="shared" si="22"/>
        <v>0</v>
      </c>
      <c r="I124" s="238">
        <f t="shared" si="31"/>
        <v>0</v>
      </c>
      <c r="J124" s="237">
        <f t="shared" si="23"/>
        <v>0</v>
      </c>
      <c r="K124" s="269">
        <f t="shared" si="24"/>
        <v>0</v>
      </c>
      <c r="L124" s="239">
        <f t="shared" si="25"/>
        <v>0</v>
      </c>
      <c r="M124" s="275" t="e">
        <f t="shared" si="26"/>
        <v>#DIV/0!</v>
      </c>
      <c r="N124" s="3"/>
      <c r="O124" s="1">
        <f t="shared" si="35"/>
        <v>104</v>
      </c>
      <c r="P124" s="182">
        <f t="shared" si="35"/>
        <v>46161</v>
      </c>
      <c r="Q124" s="241">
        <f>ROUND(SUMIFS(BS_RE33!$U$7:$U$874,BS_RE33!$S$7:$S$874,'Summary &amp; Working File(Ccy)'!P124,BS_RE33!$N$7:$N$874,'Summary &amp; Working File(Ccy)'!$Q$10,BS_RE33!$F$7:$F$874,$J$3)+SUMIF($P$13:$P$19,P124,$Q$13:$Q$19),2)</f>
        <v>0</v>
      </c>
      <c r="R124" s="242">
        <f>ROUND(SUMIFS(BS_RE33!$U$7:$U$874,BS_RE33!$S$7:$S$874,'Summary &amp; Working File(Ccy)'!P124,BS_RE33!$N$7:$N$874,'Summary &amp; Working File(Ccy)'!$R$10,BS_RE33!$F$7:$F$874,$J$3)+SUMIF($P$13:$P$19,P124,$R$13:$R$19),2)</f>
        <v>0</v>
      </c>
    </row>
    <row r="125" spans="2:18">
      <c r="B125" s="243">
        <f t="shared" si="34"/>
        <v>105</v>
      </c>
      <c r="C125" s="247">
        <f t="shared" si="34"/>
        <v>46162</v>
      </c>
      <c r="D125" s="245">
        <f t="shared" si="28"/>
        <v>0</v>
      </c>
      <c r="E125" s="235">
        <f t="shared" si="30"/>
        <v>0</v>
      </c>
      <c r="F125" s="236">
        <f t="shared" si="21"/>
        <v>0</v>
      </c>
      <c r="G125" s="237">
        <f t="shared" si="20"/>
        <v>0</v>
      </c>
      <c r="H125" s="273">
        <f t="shared" si="22"/>
        <v>0</v>
      </c>
      <c r="I125" s="238">
        <f t="shared" si="31"/>
        <v>0</v>
      </c>
      <c r="J125" s="237">
        <f t="shared" si="23"/>
        <v>0</v>
      </c>
      <c r="K125" s="269">
        <f t="shared" si="24"/>
        <v>0</v>
      </c>
      <c r="L125" s="239">
        <f t="shared" si="25"/>
        <v>0</v>
      </c>
      <c r="M125" s="275" t="e">
        <f t="shared" si="26"/>
        <v>#DIV/0!</v>
      </c>
      <c r="N125" s="3"/>
      <c r="O125" s="1">
        <f t="shared" si="35"/>
        <v>105</v>
      </c>
      <c r="P125" s="182">
        <f t="shared" si="35"/>
        <v>46162</v>
      </c>
      <c r="Q125" s="241">
        <f>ROUND(SUMIFS(BS_RE33!$U$7:$U$874,BS_RE33!$S$7:$S$874,'Summary &amp; Working File(Ccy)'!P125,BS_RE33!$N$7:$N$874,'Summary &amp; Working File(Ccy)'!$Q$10,BS_RE33!$F$7:$F$874,$J$3)+SUMIF($P$13:$P$19,P125,$Q$13:$Q$19),2)</f>
        <v>0</v>
      </c>
      <c r="R125" s="242">
        <f>ROUND(SUMIFS(BS_RE33!$U$7:$U$874,BS_RE33!$S$7:$S$874,'Summary &amp; Working File(Ccy)'!P125,BS_RE33!$N$7:$N$874,'Summary &amp; Working File(Ccy)'!$R$10,BS_RE33!$F$7:$F$874,$J$3)+SUMIF($P$13:$P$19,P125,$R$13:$R$19),2)</f>
        <v>0</v>
      </c>
    </row>
    <row r="126" spans="2:18">
      <c r="B126" s="243">
        <f t="shared" si="34"/>
        <v>106</v>
      </c>
      <c r="C126" s="247">
        <f t="shared" si="34"/>
        <v>46163</v>
      </c>
      <c r="D126" s="245">
        <f t="shared" si="28"/>
        <v>0</v>
      </c>
      <c r="E126" s="235">
        <f t="shared" si="30"/>
        <v>0</v>
      </c>
      <c r="F126" s="236">
        <f t="shared" si="21"/>
        <v>0</v>
      </c>
      <c r="G126" s="237">
        <f t="shared" si="20"/>
        <v>0</v>
      </c>
      <c r="H126" s="273">
        <f t="shared" si="22"/>
        <v>0</v>
      </c>
      <c r="I126" s="238">
        <f t="shared" si="31"/>
        <v>0</v>
      </c>
      <c r="J126" s="237">
        <f t="shared" si="23"/>
        <v>0</v>
      </c>
      <c r="K126" s="269">
        <f t="shared" si="24"/>
        <v>0</v>
      </c>
      <c r="L126" s="239">
        <f t="shared" si="25"/>
        <v>0</v>
      </c>
      <c r="M126" s="275" t="e">
        <f t="shared" si="26"/>
        <v>#DIV/0!</v>
      </c>
      <c r="N126" s="3"/>
      <c r="O126" s="1">
        <f t="shared" si="35"/>
        <v>106</v>
      </c>
      <c r="P126" s="182">
        <f t="shared" si="35"/>
        <v>46163</v>
      </c>
      <c r="Q126" s="241">
        <f>ROUND(SUMIFS(BS_RE33!$U$7:$U$874,BS_RE33!$S$7:$S$874,'Summary &amp; Working File(Ccy)'!P126,BS_RE33!$N$7:$N$874,'Summary &amp; Working File(Ccy)'!$Q$10,BS_RE33!$F$7:$F$874,$J$3)+SUMIF($P$13:$P$19,P126,$Q$13:$Q$19),2)</f>
        <v>0</v>
      </c>
      <c r="R126" s="242">
        <f>ROUND(SUMIFS(BS_RE33!$U$7:$U$874,BS_RE33!$S$7:$S$874,'Summary &amp; Working File(Ccy)'!P126,BS_RE33!$N$7:$N$874,'Summary &amp; Working File(Ccy)'!$R$10,BS_RE33!$F$7:$F$874,$J$3)+SUMIF($P$13:$P$19,P126,$R$13:$R$19),2)</f>
        <v>0</v>
      </c>
    </row>
    <row r="127" spans="2:18">
      <c r="B127" s="243">
        <f t="shared" si="34"/>
        <v>107</v>
      </c>
      <c r="C127" s="247">
        <f t="shared" si="34"/>
        <v>46164</v>
      </c>
      <c r="D127" s="245">
        <f t="shared" si="28"/>
        <v>0</v>
      </c>
      <c r="E127" s="235">
        <f t="shared" si="30"/>
        <v>0</v>
      </c>
      <c r="F127" s="236">
        <f t="shared" si="21"/>
        <v>0</v>
      </c>
      <c r="G127" s="237">
        <f t="shared" si="20"/>
        <v>0</v>
      </c>
      <c r="H127" s="273">
        <f t="shared" si="22"/>
        <v>0</v>
      </c>
      <c r="I127" s="238">
        <f t="shared" si="31"/>
        <v>0</v>
      </c>
      <c r="J127" s="237">
        <f t="shared" si="23"/>
        <v>0</v>
      </c>
      <c r="K127" s="269">
        <f t="shared" si="24"/>
        <v>0</v>
      </c>
      <c r="L127" s="239">
        <f t="shared" si="25"/>
        <v>0</v>
      </c>
      <c r="M127" s="275" t="e">
        <f t="shared" si="26"/>
        <v>#DIV/0!</v>
      </c>
      <c r="N127" s="3"/>
      <c r="O127" s="1">
        <f t="shared" si="35"/>
        <v>107</v>
      </c>
      <c r="P127" s="182">
        <f t="shared" si="35"/>
        <v>46164</v>
      </c>
      <c r="Q127" s="241">
        <f>ROUND(SUMIFS(BS_RE33!$U$7:$U$874,BS_RE33!$S$7:$S$874,'Summary &amp; Working File(Ccy)'!P127,BS_RE33!$N$7:$N$874,'Summary &amp; Working File(Ccy)'!$Q$10,BS_RE33!$F$7:$F$874,$J$3)+SUMIF($P$13:$P$19,P127,$Q$13:$Q$19),2)</f>
        <v>0</v>
      </c>
      <c r="R127" s="242">
        <f>ROUND(SUMIFS(BS_RE33!$U$7:$U$874,BS_RE33!$S$7:$S$874,'Summary &amp; Working File(Ccy)'!P127,BS_RE33!$N$7:$N$874,'Summary &amp; Working File(Ccy)'!$R$10,BS_RE33!$F$7:$F$874,$J$3)+SUMIF($P$13:$P$19,P127,$R$13:$R$19),2)</f>
        <v>0</v>
      </c>
    </row>
    <row r="128" spans="2:18">
      <c r="B128" s="243">
        <f t="shared" si="34"/>
        <v>108</v>
      </c>
      <c r="C128" s="247">
        <f t="shared" si="34"/>
        <v>46165</v>
      </c>
      <c r="D128" s="245">
        <f t="shared" si="28"/>
        <v>0</v>
      </c>
      <c r="E128" s="235">
        <f t="shared" si="30"/>
        <v>0</v>
      </c>
      <c r="F128" s="236">
        <f t="shared" si="21"/>
        <v>0</v>
      </c>
      <c r="G128" s="237">
        <f t="shared" si="20"/>
        <v>0</v>
      </c>
      <c r="H128" s="273">
        <f t="shared" si="22"/>
        <v>0</v>
      </c>
      <c r="I128" s="238">
        <f t="shared" si="31"/>
        <v>0</v>
      </c>
      <c r="J128" s="237">
        <f t="shared" si="23"/>
        <v>0</v>
      </c>
      <c r="K128" s="269">
        <f t="shared" si="24"/>
        <v>0</v>
      </c>
      <c r="L128" s="239">
        <f t="shared" si="25"/>
        <v>0</v>
      </c>
      <c r="M128" s="275" t="e">
        <f t="shared" si="26"/>
        <v>#DIV/0!</v>
      </c>
      <c r="N128" s="3"/>
      <c r="O128" s="1">
        <f t="shared" si="35"/>
        <v>108</v>
      </c>
      <c r="P128" s="182">
        <f t="shared" si="35"/>
        <v>46165</v>
      </c>
      <c r="Q128" s="241">
        <f>ROUND(SUMIFS(BS_RE33!$U$7:$U$874,BS_RE33!$S$7:$S$874,'Summary &amp; Working File(Ccy)'!P128,BS_RE33!$N$7:$N$874,'Summary &amp; Working File(Ccy)'!$Q$10,BS_RE33!$F$7:$F$874,$J$3)+SUMIF($P$13:$P$19,P128,$Q$13:$Q$19),2)</f>
        <v>0</v>
      </c>
      <c r="R128" s="242">
        <f>ROUND(SUMIFS(BS_RE33!$U$7:$U$874,BS_RE33!$S$7:$S$874,'Summary &amp; Working File(Ccy)'!P128,BS_RE33!$N$7:$N$874,'Summary &amp; Working File(Ccy)'!$R$10,BS_RE33!$F$7:$F$874,$J$3)+SUMIF($P$13:$P$19,P128,$R$13:$R$19),2)</f>
        <v>0</v>
      </c>
    </row>
    <row r="129" spans="2:18">
      <c r="B129" s="243">
        <f t="shared" si="34"/>
        <v>109</v>
      </c>
      <c r="C129" s="247">
        <f t="shared" si="34"/>
        <v>46166</v>
      </c>
      <c r="D129" s="245">
        <f t="shared" si="28"/>
        <v>0</v>
      </c>
      <c r="E129" s="235">
        <f t="shared" si="30"/>
        <v>0</v>
      </c>
      <c r="F129" s="236">
        <f t="shared" si="21"/>
        <v>0</v>
      </c>
      <c r="G129" s="237">
        <f t="shared" si="20"/>
        <v>0</v>
      </c>
      <c r="H129" s="273">
        <f t="shared" si="22"/>
        <v>0</v>
      </c>
      <c r="I129" s="238">
        <f t="shared" si="31"/>
        <v>0</v>
      </c>
      <c r="J129" s="237">
        <f t="shared" si="23"/>
        <v>0</v>
      </c>
      <c r="K129" s="269">
        <f t="shared" si="24"/>
        <v>0</v>
      </c>
      <c r="L129" s="239">
        <f t="shared" si="25"/>
        <v>0</v>
      </c>
      <c r="M129" s="275" t="e">
        <f t="shared" si="26"/>
        <v>#DIV/0!</v>
      </c>
      <c r="N129" s="3"/>
      <c r="O129" s="1">
        <f t="shared" si="35"/>
        <v>109</v>
      </c>
      <c r="P129" s="182">
        <f t="shared" si="35"/>
        <v>46166</v>
      </c>
      <c r="Q129" s="241">
        <f>ROUND(SUMIFS(BS_RE33!$U$7:$U$874,BS_RE33!$S$7:$S$874,'Summary &amp; Working File(Ccy)'!P129,BS_RE33!$N$7:$N$874,'Summary &amp; Working File(Ccy)'!$Q$10,BS_RE33!$F$7:$F$874,$J$3)+SUMIF($P$13:$P$19,P129,$Q$13:$Q$19),2)</f>
        <v>0</v>
      </c>
      <c r="R129" s="242">
        <f>ROUND(SUMIFS(BS_RE33!$U$7:$U$874,BS_RE33!$S$7:$S$874,'Summary &amp; Working File(Ccy)'!P129,BS_RE33!$N$7:$N$874,'Summary &amp; Working File(Ccy)'!$R$10,BS_RE33!$F$7:$F$874,$J$3)+SUMIF($P$13:$P$19,P129,$R$13:$R$19),2)</f>
        <v>0</v>
      </c>
    </row>
    <row r="130" spans="2:18">
      <c r="B130" s="243">
        <f t="shared" si="34"/>
        <v>110</v>
      </c>
      <c r="C130" s="247">
        <f t="shared" si="34"/>
        <v>46167</v>
      </c>
      <c r="D130" s="245">
        <f t="shared" si="28"/>
        <v>0</v>
      </c>
      <c r="E130" s="235">
        <f t="shared" si="30"/>
        <v>0</v>
      </c>
      <c r="F130" s="236">
        <f t="shared" si="21"/>
        <v>0</v>
      </c>
      <c r="G130" s="237">
        <f t="shared" si="20"/>
        <v>0</v>
      </c>
      <c r="H130" s="273">
        <f t="shared" si="22"/>
        <v>0</v>
      </c>
      <c r="I130" s="238">
        <f t="shared" si="31"/>
        <v>0</v>
      </c>
      <c r="J130" s="237">
        <f t="shared" si="23"/>
        <v>0</v>
      </c>
      <c r="K130" s="269">
        <f t="shared" si="24"/>
        <v>0</v>
      </c>
      <c r="L130" s="239">
        <f t="shared" si="25"/>
        <v>0</v>
      </c>
      <c r="M130" s="275" t="e">
        <f t="shared" si="26"/>
        <v>#DIV/0!</v>
      </c>
      <c r="N130" s="3"/>
      <c r="O130" s="1">
        <f t="shared" si="35"/>
        <v>110</v>
      </c>
      <c r="P130" s="182">
        <f t="shared" si="35"/>
        <v>46167</v>
      </c>
      <c r="Q130" s="241">
        <f>ROUND(SUMIFS(BS_RE33!$U$7:$U$874,BS_RE33!$S$7:$S$874,'Summary &amp; Working File(Ccy)'!P130,BS_RE33!$N$7:$N$874,'Summary &amp; Working File(Ccy)'!$Q$10,BS_RE33!$F$7:$F$874,$J$3)+SUMIF($P$13:$P$19,P130,$Q$13:$Q$19),2)</f>
        <v>0</v>
      </c>
      <c r="R130" s="242">
        <f>ROUND(SUMIFS(BS_RE33!$U$7:$U$874,BS_RE33!$S$7:$S$874,'Summary &amp; Working File(Ccy)'!P130,BS_RE33!$N$7:$N$874,'Summary &amp; Working File(Ccy)'!$R$10,BS_RE33!$F$7:$F$874,$J$3)+SUMIF($P$13:$P$19,P130,$R$13:$R$19),2)</f>
        <v>0</v>
      </c>
    </row>
    <row r="131" spans="2:18">
      <c r="B131" s="243">
        <f t="shared" si="34"/>
        <v>111</v>
      </c>
      <c r="C131" s="247">
        <f t="shared" si="34"/>
        <v>46168</v>
      </c>
      <c r="D131" s="245">
        <f t="shared" si="28"/>
        <v>0</v>
      </c>
      <c r="E131" s="235">
        <f t="shared" si="30"/>
        <v>0</v>
      </c>
      <c r="F131" s="236">
        <f t="shared" si="21"/>
        <v>0</v>
      </c>
      <c r="G131" s="237">
        <f t="shared" si="20"/>
        <v>0</v>
      </c>
      <c r="H131" s="273">
        <f t="shared" si="22"/>
        <v>0</v>
      </c>
      <c r="I131" s="238">
        <f t="shared" si="31"/>
        <v>0</v>
      </c>
      <c r="J131" s="237">
        <f t="shared" si="23"/>
        <v>0</v>
      </c>
      <c r="K131" s="269">
        <f t="shared" si="24"/>
        <v>0</v>
      </c>
      <c r="L131" s="239">
        <f t="shared" si="25"/>
        <v>0</v>
      </c>
      <c r="M131" s="275" t="e">
        <f t="shared" si="26"/>
        <v>#DIV/0!</v>
      </c>
      <c r="N131" s="3"/>
      <c r="O131" s="1">
        <f t="shared" si="35"/>
        <v>111</v>
      </c>
      <c r="P131" s="182">
        <f t="shared" si="35"/>
        <v>46168</v>
      </c>
      <c r="Q131" s="241">
        <f>ROUND(SUMIFS(BS_RE33!$U$7:$U$874,BS_RE33!$S$7:$S$874,'Summary &amp; Working File(Ccy)'!P131,BS_RE33!$N$7:$N$874,'Summary &amp; Working File(Ccy)'!$Q$10,BS_RE33!$F$7:$F$874,$J$3)+SUMIF($P$13:$P$19,P131,$Q$13:$Q$19),2)</f>
        <v>0</v>
      </c>
      <c r="R131" s="242">
        <f>ROUND(SUMIFS(BS_RE33!$U$7:$U$874,BS_RE33!$S$7:$S$874,'Summary &amp; Working File(Ccy)'!P131,BS_RE33!$N$7:$N$874,'Summary &amp; Working File(Ccy)'!$R$10,BS_RE33!$F$7:$F$874,$J$3)+SUMIF($P$13:$P$19,P131,$R$13:$R$19),2)</f>
        <v>0</v>
      </c>
    </row>
    <row r="132" spans="2:18">
      <c r="B132" s="243">
        <f t="shared" si="34"/>
        <v>112</v>
      </c>
      <c r="C132" s="247">
        <f t="shared" si="34"/>
        <v>46169</v>
      </c>
      <c r="D132" s="245">
        <f t="shared" si="28"/>
        <v>0</v>
      </c>
      <c r="E132" s="235">
        <f t="shared" si="30"/>
        <v>0</v>
      </c>
      <c r="F132" s="236">
        <f t="shared" si="21"/>
        <v>0</v>
      </c>
      <c r="G132" s="237">
        <f t="shared" si="20"/>
        <v>0</v>
      </c>
      <c r="H132" s="273">
        <f t="shared" si="22"/>
        <v>0</v>
      </c>
      <c r="I132" s="238">
        <f t="shared" si="31"/>
        <v>0</v>
      </c>
      <c r="J132" s="237">
        <f t="shared" si="23"/>
        <v>0</v>
      </c>
      <c r="K132" s="269">
        <f t="shared" si="24"/>
        <v>0</v>
      </c>
      <c r="L132" s="239">
        <f t="shared" si="25"/>
        <v>0</v>
      </c>
      <c r="M132" s="275" t="e">
        <f t="shared" si="26"/>
        <v>#DIV/0!</v>
      </c>
      <c r="N132" s="3"/>
      <c r="O132" s="1">
        <f t="shared" si="35"/>
        <v>112</v>
      </c>
      <c r="P132" s="182">
        <f t="shared" si="35"/>
        <v>46169</v>
      </c>
      <c r="Q132" s="241">
        <f>ROUND(SUMIFS(BS_RE33!$U$7:$U$874,BS_RE33!$S$7:$S$874,'Summary &amp; Working File(Ccy)'!P132,BS_RE33!$N$7:$N$874,'Summary &amp; Working File(Ccy)'!$Q$10,BS_RE33!$F$7:$F$874,$J$3)+SUMIF($P$13:$P$19,P132,$Q$13:$Q$19),2)</f>
        <v>0</v>
      </c>
      <c r="R132" s="242">
        <f>ROUND(SUMIFS(BS_RE33!$U$7:$U$874,BS_RE33!$S$7:$S$874,'Summary &amp; Working File(Ccy)'!P132,BS_RE33!$N$7:$N$874,'Summary &amp; Working File(Ccy)'!$R$10,BS_RE33!$F$7:$F$874,$J$3)+SUMIF($P$13:$P$19,P132,$R$13:$R$19),2)</f>
        <v>0</v>
      </c>
    </row>
    <row r="133" spans="2:18">
      <c r="B133" s="243">
        <f t="shared" si="34"/>
        <v>113</v>
      </c>
      <c r="C133" s="247">
        <f t="shared" si="34"/>
        <v>46170</v>
      </c>
      <c r="D133" s="245">
        <f t="shared" si="28"/>
        <v>0</v>
      </c>
      <c r="E133" s="235">
        <f t="shared" si="30"/>
        <v>0</v>
      </c>
      <c r="F133" s="236">
        <f t="shared" si="21"/>
        <v>0</v>
      </c>
      <c r="G133" s="237">
        <f t="shared" si="20"/>
        <v>0</v>
      </c>
      <c r="H133" s="273">
        <f t="shared" si="22"/>
        <v>0</v>
      </c>
      <c r="I133" s="238">
        <f t="shared" si="31"/>
        <v>0</v>
      </c>
      <c r="J133" s="237">
        <f t="shared" si="23"/>
        <v>0</v>
      </c>
      <c r="K133" s="269">
        <f t="shared" si="24"/>
        <v>0</v>
      </c>
      <c r="L133" s="239">
        <f t="shared" si="25"/>
        <v>0</v>
      </c>
      <c r="M133" s="275" t="e">
        <f t="shared" si="26"/>
        <v>#DIV/0!</v>
      </c>
      <c r="N133" s="3"/>
      <c r="O133" s="1">
        <f t="shared" si="35"/>
        <v>113</v>
      </c>
      <c r="P133" s="182">
        <f t="shared" si="35"/>
        <v>46170</v>
      </c>
      <c r="Q133" s="241">
        <f>ROUND(SUMIFS(BS_RE33!$U$7:$U$874,BS_RE33!$S$7:$S$874,'Summary &amp; Working File(Ccy)'!P133,BS_RE33!$N$7:$N$874,'Summary &amp; Working File(Ccy)'!$Q$10,BS_RE33!$F$7:$F$874,$J$3)+SUMIF($P$13:$P$19,P133,$Q$13:$Q$19),2)</f>
        <v>0</v>
      </c>
      <c r="R133" s="242">
        <f>ROUND(SUMIFS(BS_RE33!$U$7:$U$874,BS_RE33!$S$7:$S$874,'Summary &amp; Working File(Ccy)'!P133,BS_RE33!$N$7:$N$874,'Summary &amp; Working File(Ccy)'!$R$10,BS_RE33!$F$7:$F$874,$J$3)+SUMIF($P$13:$P$19,P133,$R$13:$R$19),2)</f>
        <v>0</v>
      </c>
    </row>
    <row r="134" spans="2:18">
      <c r="B134" s="243">
        <f t="shared" si="34"/>
        <v>114</v>
      </c>
      <c r="C134" s="247">
        <f t="shared" si="34"/>
        <v>46171</v>
      </c>
      <c r="D134" s="245">
        <f t="shared" si="28"/>
        <v>0</v>
      </c>
      <c r="E134" s="235">
        <f t="shared" si="30"/>
        <v>0</v>
      </c>
      <c r="F134" s="236">
        <f t="shared" si="21"/>
        <v>0</v>
      </c>
      <c r="G134" s="237">
        <f t="shared" si="20"/>
        <v>0</v>
      </c>
      <c r="H134" s="273">
        <f t="shared" si="22"/>
        <v>0</v>
      </c>
      <c r="I134" s="238">
        <f t="shared" si="31"/>
        <v>0</v>
      </c>
      <c r="J134" s="237">
        <f t="shared" si="23"/>
        <v>0</v>
      </c>
      <c r="K134" s="269">
        <f t="shared" si="24"/>
        <v>0</v>
      </c>
      <c r="L134" s="239">
        <f t="shared" si="25"/>
        <v>0</v>
      </c>
      <c r="M134" s="275" t="e">
        <f t="shared" si="26"/>
        <v>#DIV/0!</v>
      </c>
      <c r="N134" s="3"/>
      <c r="O134" s="1">
        <f t="shared" si="35"/>
        <v>114</v>
      </c>
      <c r="P134" s="182">
        <f t="shared" si="35"/>
        <v>46171</v>
      </c>
      <c r="Q134" s="241">
        <f>ROUND(SUMIFS(BS_RE33!$U$7:$U$874,BS_RE33!$S$7:$S$874,'Summary &amp; Working File(Ccy)'!P134,BS_RE33!$N$7:$N$874,'Summary &amp; Working File(Ccy)'!$Q$10,BS_RE33!$F$7:$F$874,$J$3)+SUMIF($P$13:$P$19,P134,$Q$13:$Q$19),2)</f>
        <v>0</v>
      </c>
      <c r="R134" s="242">
        <f>ROUND(SUMIFS(BS_RE33!$U$7:$U$874,BS_RE33!$S$7:$S$874,'Summary &amp; Working File(Ccy)'!P134,BS_RE33!$N$7:$N$874,'Summary &amp; Working File(Ccy)'!$R$10,BS_RE33!$F$7:$F$874,$J$3)+SUMIF($P$13:$P$19,P134,$R$13:$R$19),2)</f>
        <v>0</v>
      </c>
    </row>
    <row r="135" spans="2:18">
      <c r="B135" s="243">
        <f t="shared" ref="B135:C150" si="36">B134+1</f>
        <v>115</v>
      </c>
      <c r="C135" s="247">
        <f t="shared" si="36"/>
        <v>46172</v>
      </c>
      <c r="D135" s="245">
        <f t="shared" si="28"/>
        <v>0</v>
      </c>
      <c r="E135" s="235">
        <f t="shared" si="30"/>
        <v>0</v>
      </c>
      <c r="F135" s="236">
        <f t="shared" si="21"/>
        <v>0</v>
      </c>
      <c r="G135" s="237">
        <f t="shared" si="20"/>
        <v>0</v>
      </c>
      <c r="H135" s="273">
        <f t="shared" si="22"/>
        <v>0</v>
      </c>
      <c r="I135" s="238">
        <f t="shared" si="31"/>
        <v>0</v>
      </c>
      <c r="J135" s="237">
        <f t="shared" si="23"/>
        <v>0</v>
      </c>
      <c r="K135" s="269">
        <f t="shared" si="24"/>
        <v>0</v>
      </c>
      <c r="L135" s="239">
        <f t="shared" si="25"/>
        <v>0</v>
      </c>
      <c r="M135" s="275" t="e">
        <f t="shared" si="26"/>
        <v>#DIV/0!</v>
      </c>
      <c r="N135" s="3"/>
      <c r="O135" s="1">
        <f t="shared" ref="O135:P150" si="37">O134+1</f>
        <v>115</v>
      </c>
      <c r="P135" s="182">
        <f t="shared" si="37"/>
        <v>46172</v>
      </c>
      <c r="Q135" s="241">
        <f>ROUND(SUMIFS(BS_RE33!$U$7:$U$874,BS_RE33!$S$7:$S$874,'Summary &amp; Working File(Ccy)'!P135,BS_RE33!$N$7:$N$874,'Summary &amp; Working File(Ccy)'!$Q$10,BS_RE33!$F$7:$F$874,$J$3)+SUMIF($P$13:$P$19,P135,$Q$13:$Q$19),2)</f>
        <v>0</v>
      </c>
      <c r="R135" s="242">
        <f>ROUND(SUMIFS(BS_RE33!$U$7:$U$874,BS_RE33!$S$7:$S$874,'Summary &amp; Working File(Ccy)'!P135,BS_RE33!$N$7:$N$874,'Summary &amp; Working File(Ccy)'!$R$10,BS_RE33!$F$7:$F$874,$J$3)+SUMIF($P$13:$P$19,P135,$R$13:$R$19),2)</f>
        <v>0</v>
      </c>
    </row>
    <row r="136" spans="2:18">
      <c r="B136" s="243">
        <f t="shared" si="36"/>
        <v>116</v>
      </c>
      <c r="C136" s="247">
        <f t="shared" si="36"/>
        <v>46173</v>
      </c>
      <c r="D136" s="245">
        <f t="shared" si="28"/>
        <v>0</v>
      </c>
      <c r="E136" s="235">
        <f t="shared" si="30"/>
        <v>0</v>
      </c>
      <c r="F136" s="236">
        <f t="shared" si="21"/>
        <v>0</v>
      </c>
      <c r="G136" s="237">
        <f t="shared" si="20"/>
        <v>0</v>
      </c>
      <c r="H136" s="273">
        <f t="shared" si="22"/>
        <v>0</v>
      </c>
      <c r="I136" s="238">
        <f t="shared" si="31"/>
        <v>0</v>
      </c>
      <c r="J136" s="237">
        <f t="shared" si="23"/>
        <v>0</v>
      </c>
      <c r="K136" s="269">
        <f t="shared" si="24"/>
        <v>0</v>
      </c>
      <c r="L136" s="239">
        <f t="shared" si="25"/>
        <v>0</v>
      </c>
      <c r="M136" s="275" t="e">
        <f t="shared" si="26"/>
        <v>#DIV/0!</v>
      </c>
      <c r="N136" s="3"/>
      <c r="O136" s="1">
        <f t="shared" si="37"/>
        <v>116</v>
      </c>
      <c r="P136" s="182">
        <f t="shared" si="37"/>
        <v>46173</v>
      </c>
      <c r="Q136" s="241">
        <f>ROUND(SUMIFS(BS_RE33!$U$7:$U$874,BS_RE33!$S$7:$S$874,'Summary &amp; Working File(Ccy)'!P136,BS_RE33!$N$7:$N$874,'Summary &amp; Working File(Ccy)'!$Q$10,BS_RE33!$F$7:$F$874,$J$3)+SUMIF($P$13:$P$19,P136,$Q$13:$Q$19),2)</f>
        <v>0</v>
      </c>
      <c r="R136" s="242">
        <f>ROUND(SUMIFS(BS_RE33!$U$7:$U$874,BS_RE33!$S$7:$S$874,'Summary &amp; Working File(Ccy)'!P136,BS_RE33!$N$7:$N$874,'Summary &amp; Working File(Ccy)'!$R$10,BS_RE33!$F$7:$F$874,$J$3)+SUMIF($P$13:$P$19,P136,$R$13:$R$19),2)</f>
        <v>0</v>
      </c>
    </row>
    <row r="137" spans="2:18">
      <c r="B137" s="243">
        <f t="shared" si="36"/>
        <v>117</v>
      </c>
      <c r="C137" s="247">
        <f t="shared" si="36"/>
        <v>46174</v>
      </c>
      <c r="D137" s="245">
        <f t="shared" si="28"/>
        <v>0</v>
      </c>
      <c r="E137" s="235">
        <f t="shared" si="30"/>
        <v>0</v>
      </c>
      <c r="F137" s="236">
        <f t="shared" si="21"/>
        <v>0</v>
      </c>
      <c r="G137" s="237">
        <f t="shared" si="20"/>
        <v>0</v>
      </c>
      <c r="H137" s="273">
        <f t="shared" si="22"/>
        <v>0</v>
      </c>
      <c r="I137" s="238">
        <f t="shared" si="31"/>
        <v>0</v>
      </c>
      <c r="J137" s="237">
        <f t="shared" si="23"/>
        <v>0</v>
      </c>
      <c r="K137" s="269">
        <f t="shared" si="24"/>
        <v>0</v>
      </c>
      <c r="L137" s="239">
        <f t="shared" si="25"/>
        <v>0</v>
      </c>
      <c r="M137" s="275" t="e">
        <f t="shared" si="26"/>
        <v>#DIV/0!</v>
      </c>
      <c r="N137" s="3"/>
      <c r="O137" s="1">
        <f t="shared" si="37"/>
        <v>117</v>
      </c>
      <c r="P137" s="182">
        <f t="shared" si="37"/>
        <v>46174</v>
      </c>
      <c r="Q137" s="241">
        <f>ROUND(SUMIFS(BS_RE33!$U$7:$U$874,BS_RE33!$S$7:$S$874,'Summary &amp; Working File(Ccy)'!P137,BS_RE33!$N$7:$N$874,'Summary &amp; Working File(Ccy)'!$Q$10,BS_RE33!$F$7:$F$874,$J$3)+SUMIF($P$13:$P$19,P137,$Q$13:$Q$19),2)</f>
        <v>0</v>
      </c>
      <c r="R137" s="242">
        <f>ROUND(SUMIFS(BS_RE33!$U$7:$U$874,BS_RE33!$S$7:$S$874,'Summary &amp; Working File(Ccy)'!P137,BS_RE33!$N$7:$N$874,'Summary &amp; Working File(Ccy)'!$R$10,BS_RE33!$F$7:$F$874,$J$3)+SUMIF($P$13:$P$19,P137,$R$13:$R$19),2)</f>
        <v>0</v>
      </c>
    </row>
    <row r="138" spans="2:18">
      <c r="B138" s="243">
        <f t="shared" si="36"/>
        <v>118</v>
      </c>
      <c r="C138" s="247">
        <f t="shared" si="36"/>
        <v>46175</v>
      </c>
      <c r="D138" s="245">
        <f t="shared" si="28"/>
        <v>0</v>
      </c>
      <c r="E138" s="235">
        <f t="shared" si="30"/>
        <v>0</v>
      </c>
      <c r="F138" s="236">
        <f t="shared" si="21"/>
        <v>0</v>
      </c>
      <c r="G138" s="237">
        <f t="shared" si="20"/>
        <v>0</v>
      </c>
      <c r="H138" s="273">
        <f t="shared" si="22"/>
        <v>0</v>
      </c>
      <c r="I138" s="238">
        <f t="shared" si="31"/>
        <v>0</v>
      </c>
      <c r="J138" s="237">
        <f t="shared" si="23"/>
        <v>0</v>
      </c>
      <c r="K138" s="269">
        <f t="shared" si="24"/>
        <v>0</v>
      </c>
      <c r="L138" s="239">
        <f t="shared" si="25"/>
        <v>0</v>
      </c>
      <c r="M138" s="275" t="e">
        <f t="shared" si="26"/>
        <v>#DIV/0!</v>
      </c>
      <c r="N138" s="3"/>
      <c r="O138" s="1">
        <f t="shared" si="37"/>
        <v>118</v>
      </c>
      <c r="P138" s="182">
        <f t="shared" si="37"/>
        <v>46175</v>
      </c>
      <c r="Q138" s="241">
        <f>ROUND(SUMIFS(BS_RE33!$U$7:$U$874,BS_RE33!$S$7:$S$874,'Summary &amp; Working File(Ccy)'!P138,BS_RE33!$N$7:$N$874,'Summary &amp; Working File(Ccy)'!$Q$10,BS_RE33!$F$7:$F$874,$J$3)+SUMIF($P$13:$P$19,P138,$Q$13:$Q$19),2)</f>
        <v>0</v>
      </c>
      <c r="R138" s="242">
        <f>ROUND(SUMIFS(BS_RE33!$U$7:$U$874,BS_RE33!$S$7:$S$874,'Summary &amp; Working File(Ccy)'!P138,BS_RE33!$N$7:$N$874,'Summary &amp; Working File(Ccy)'!$R$10,BS_RE33!$F$7:$F$874,$J$3)+SUMIF($P$13:$P$19,P138,$R$13:$R$19),2)</f>
        <v>0</v>
      </c>
    </row>
    <row r="139" spans="2:18">
      <c r="B139" s="243">
        <f t="shared" si="36"/>
        <v>119</v>
      </c>
      <c r="C139" s="247">
        <f t="shared" si="36"/>
        <v>46176</v>
      </c>
      <c r="D139" s="245">
        <f t="shared" si="28"/>
        <v>0</v>
      </c>
      <c r="E139" s="235">
        <f t="shared" si="30"/>
        <v>0</v>
      </c>
      <c r="F139" s="236">
        <f t="shared" si="21"/>
        <v>0</v>
      </c>
      <c r="G139" s="237">
        <f t="shared" si="20"/>
        <v>0</v>
      </c>
      <c r="H139" s="273">
        <f t="shared" si="22"/>
        <v>0</v>
      </c>
      <c r="I139" s="238">
        <f t="shared" si="31"/>
        <v>0</v>
      </c>
      <c r="J139" s="237">
        <f t="shared" si="23"/>
        <v>0</v>
      </c>
      <c r="K139" s="269">
        <f t="shared" si="24"/>
        <v>0</v>
      </c>
      <c r="L139" s="239">
        <f t="shared" si="25"/>
        <v>0</v>
      </c>
      <c r="M139" s="275" t="e">
        <f t="shared" si="26"/>
        <v>#DIV/0!</v>
      </c>
      <c r="N139" s="3"/>
      <c r="O139" s="1">
        <f t="shared" si="37"/>
        <v>119</v>
      </c>
      <c r="P139" s="182">
        <f t="shared" si="37"/>
        <v>46176</v>
      </c>
      <c r="Q139" s="241">
        <f>ROUND(SUMIFS(BS_RE33!$U$7:$U$874,BS_RE33!$S$7:$S$874,'Summary &amp; Working File(Ccy)'!P139,BS_RE33!$N$7:$N$874,'Summary &amp; Working File(Ccy)'!$Q$10,BS_RE33!$F$7:$F$874,$J$3)+SUMIF($P$13:$P$19,P139,$Q$13:$Q$19),2)</f>
        <v>0</v>
      </c>
      <c r="R139" s="242">
        <f>ROUND(SUMIFS(BS_RE33!$U$7:$U$874,BS_RE33!$S$7:$S$874,'Summary &amp; Working File(Ccy)'!P139,BS_RE33!$N$7:$N$874,'Summary &amp; Working File(Ccy)'!$R$10,BS_RE33!$F$7:$F$874,$J$3)+SUMIF($P$13:$P$19,P139,$R$13:$R$19),2)</f>
        <v>0</v>
      </c>
    </row>
    <row r="140" spans="2:18">
      <c r="B140" s="243">
        <f t="shared" si="36"/>
        <v>120</v>
      </c>
      <c r="C140" s="247">
        <f t="shared" si="36"/>
        <v>46177</v>
      </c>
      <c r="D140" s="245">
        <f t="shared" si="28"/>
        <v>0</v>
      </c>
      <c r="E140" s="235">
        <f t="shared" si="30"/>
        <v>0</v>
      </c>
      <c r="F140" s="236">
        <f t="shared" si="21"/>
        <v>0</v>
      </c>
      <c r="G140" s="237">
        <f t="shared" si="20"/>
        <v>0</v>
      </c>
      <c r="H140" s="273">
        <f t="shared" si="22"/>
        <v>0</v>
      </c>
      <c r="I140" s="238">
        <f t="shared" si="31"/>
        <v>0</v>
      </c>
      <c r="J140" s="237">
        <f t="shared" si="23"/>
        <v>0</v>
      </c>
      <c r="K140" s="269">
        <f t="shared" si="24"/>
        <v>0</v>
      </c>
      <c r="L140" s="239">
        <f t="shared" si="25"/>
        <v>0</v>
      </c>
      <c r="M140" s="275" t="e">
        <f t="shared" si="26"/>
        <v>#DIV/0!</v>
      </c>
      <c r="N140" s="3"/>
      <c r="O140" s="1">
        <f t="shared" si="37"/>
        <v>120</v>
      </c>
      <c r="P140" s="182">
        <f t="shared" si="37"/>
        <v>46177</v>
      </c>
      <c r="Q140" s="241">
        <f>ROUND(SUMIFS(BS_RE33!$U$7:$U$874,BS_RE33!$S$7:$S$874,'Summary &amp; Working File(Ccy)'!P140,BS_RE33!$N$7:$N$874,'Summary &amp; Working File(Ccy)'!$Q$10,BS_RE33!$F$7:$F$874,$J$3)+SUMIF($P$13:$P$19,P140,$Q$13:$Q$19),2)</f>
        <v>0</v>
      </c>
      <c r="R140" s="242">
        <f>ROUND(SUMIFS(BS_RE33!$U$7:$U$874,BS_RE33!$S$7:$S$874,'Summary &amp; Working File(Ccy)'!P140,BS_RE33!$N$7:$N$874,'Summary &amp; Working File(Ccy)'!$R$10,BS_RE33!$F$7:$F$874,$J$3)+SUMIF($P$13:$P$19,P140,$R$13:$R$19),2)</f>
        <v>0</v>
      </c>
    </row>
    <row r="141" spans="2:18">
      <c r="B141" s="243">
        <f t="shared" si="36"/>
        <v>121</v>
      </c>
      <c r="C141" s="247">
        <f t="shared" si="36"/>
        <v>46178</v>
      </c>
      <c r="D141" s="245">
        <f t="shared" si="28"/>
        <v>0</v>
      </c>
      <c r="E141" s="235">
        <f t="shared" si="30"/>
        <v>0</v>
      </c>
      <c r="F141" s="236">
        <f t="shared" si="21"/>
        <v>0</v>
      </c>
      <c r="G141" s="237">
        <f t="shared" si="20"/>
        <v>0</v>
      </c>
      <c r="H141" s="273">
        <f t="shared" si="22"/>
        <v>0</v>
      </c>
      <c r="I141" s="238">
        <f t="shared" si="31"/>
        <v>0</v>
      </c>
      <c r="J141" s="237">
        <f t="shared" si="23"/>
        <v>0</v>
      </c>
      <c r="K141" s="269">
        <f t="shared" si="24"/>
        <v>0</v>
      </c>
      <c r="L141" s="239">
        <f t="shared" si="25"/>
        <v>0</v>
      </c>
      <c r="M141" s="275" t="e">
        <f t="shared" si="26"/>
        <v>#DIV/0!</v>
      </c>
      <c r="N141" s="3"/>
      <c r="O141" s="1">
        <f t="shared" si="37"/>
        <v>121</v>
      </c>
      <c r="P141" s="182">
        <f t="shared" si="37"/>
        <v>46178</v>
      </c>
      <c r="Q141" s="241">
        <f>ROUND(SUMIFS(BS_RE33!$U$7:$U$874,BS_RE33!$S$7:$S$874,'Summary &amp; Working File(Ccy)'!P141,BS_RE33!$N$7:$N$874,'Summary &amp; Working File(Ccy)'!$Q$10,BS_RE33!$F$7:$F$874,$J$3)+SUMIF($P$13:$P$19,P141,$Q$13:$Q$19),2)</f>
        <v>0</v>
      </c>
      <c r="R141" s="242">
        <f>ROUND(SUMIFS(BS_RE33!$U$7:$U$874,BS_RE33!$S$7:$S$874,'Summary &amp; Working File(Ccy)'!P141,BS_RE33!$N$7:$N$874,'Summary &amp; Working File(Ccy)'!$R$10,BS_RE33!$F$7:$F$874,$J$3)+SUMIF($P$13:$P$19,P141,$R$13:$R$19),2)</f>
        <v>0</v>
      </c>
    </row>
    <row r="142" spans="2:18">
      <c r="B142" s="243">
        <f t="shared" si="36"/>
        <v>122</v>
      </c>
      <c r="C142" s="247">
        <f t="shared" si="36"/>
        <v>46179</v>
      </c>
      <c r="D142" s="245">
        <f t="shared" si="28"/>
        <v>0</v>
      </c>
      <c r="E142" s="235">
        <f>$Q$11+SUM(Q143:Q172)</f>
        <v>0</v>
      </c>
      <c r="F142" s="236">
        <f t="shared" si="21"/>
        <v>0</v>
      </c>
      <c r="G142" s="237">
        <f t="shared" si="20"/>
        <v>0</v>
      </c>
      <c r="H142" s="273">
        <f t="shared" si="22"/>
        <v>0</v>
      </c>
      <c r="I142" s="238">
        <f t="shared" si="31"/>
        <v>0</v>
      </c>
      <c r="J142" s="237">
        <f>H142*20%</f>
        <v>0</v>
      </c>
      <c r="K142" s="269">
        <f>MIN(SUM(I142:J142),H142*75%)</f>
        <v>0</v>
      </c>
      <c r="L142" s="239">
        <f>H142-K142</f>
        <v>0</v>
      </c>
      <c r="M142" s="275" t="e">
        <f t="shared" si="26"/>
        <v>#DIV/0!</v>
      </c>
      <c r="N142" s="3"/>
      <c r="O142" s="1">
        <f t="shared" si="37"/>
        <v>122</v>
      </c>
      <c r="P142" s="182">
        <f t="shared" si="37"/>
        <v>46179</v>
      </c>
      <c r="Q142" s="241">
        <f>ROUND(SUMIFS(BS_RE33!$U$7:$U$874,BS_RE33!$S$7:$S$874,'Summary &amp; Working File(Ccy)'!P142,BS_RE33!$N$7:$N$874,'Summary &amp; Working File(Ccy)'!$Q$10,BS_RE33!$F$7:$F$874,$J$3)+SUMIF($P$13:$P$19,P142,$Q$13:$Q$19),2)</f>
        <v>0</v>
      </c>
      <c r="R142" s="242">
        <f>ROUND(SUMIFS(BS_RE33!$U$7:$U$874,BS_RE33!$S$7:$S$874,'Summary &amp; Working File(Ccy)'!P142,BS_RE33!$N$7:$N$874,'Summary &amp; Working File(Ccy)'!$R$10,BS_RE33!$F$7:$F$874,$J$3)+SUMIF($P$13:$P$19,P142,$R$13:$R$19),2)</f>
        <v>0</v>
      </c>
    </row>
    <row r="143" spans="2:18">
      <c r="B143" s="243">
        <f t="shared" si="36"/>
        <v>123</v>
      </c>
      <c r="C143" s="247">
        <f t="shared" si="36"/>
        <v>46180</v>
      </c>
      <c r="D143" s="245">
        <f t="shared" si="28"/>
        <v>0</v>
      </c>
      <c r="E143" s="235">
        <f t="shared" si="30"/>
        <v>0</v>
      </c>
      <c r="F143" s="236">
        <f t="shared" si="21"/>
        <v>0</v>
      </c>
      <c r="G143" s="237">
        <f t="shared" si="20"/>
        <v>0</v>
      </c>
      <c r="H143" s="273">
        <f t="shared" si="22"/>
        <v>0</v>
      </c>
      <c r="I143" s="238">
        <f t="shared" si="31"/>
        <v>0</v>
      </c>
      <c r="J143" s="237">
        <f t="shared" si="23"/>
        <v>0</v>
      </c>
      <c r="K143" s="269">
        <f t="shared" si="24"/>
        <v>0</v>
      </c>
      <c r="L143" s="239">
        <f t="shared" si="25"/>
        <v>0</v>
      </c>
      <c r="M143" s="275" t="e">
        <f t="shared" si="26"/>
        <v>#DIV/0!</v>
      </c>
      <c r="N143" s="3"/>
      <c r="O143" s="1">
        <f t="shared" si="37"/>
        <v>123</v>
      </c>
      <c r="P143" s="182">
        <f t="shared" si="37"/>
        <v>46180</v>
      </c>
      <c r="Q143" s="241">
        <f>ROUND(SUMIFS(BS_RE33!$U$7:$U$874,BS_RE33!$S$7:$S$874,'Summary &amp; Working File(Ccy)'!P143,BS_RE33!$N$7:$N$874,'Summary &amp; Working File(Ccy)'!$Q$10,BS_RE33!$F$7:$F$874,$J$3)+SUMIF($P$13:$P$19,P143,$Q$13:$Q$19),2)</f>
        <v>0</v>
      </c>
      <c r="R143" s="242">
        <f>ROUND(SUMIFS(BS_RE33!$U$7:$U$874,BS_RE33!$S$7:$S$874,'Summary &amp; Working File(Ccy)'!P143,BS_RE33!$N$7:$N$874,'Summary &amp; Working File(Ccy)'!$R$10,BS_RE33!$F$7:$F$874,$J$3)+SUMIF($P$13:$P$19,P143,$R$13:$R$19),2)</f>
        <v>0</v>
      </c>
    </row>
    <row r="144" spans="2:18">
      <c r="B144" s="243">
        <f t="shared" si="36"/>
        <v>124</v>
      </c>
      <c r="C144" s="247">
        <f t="shared" si="36"/>
        <v>46181</v>
      </c>
      <c r="D144" s="245">
        <f t="shared" si="28"/>
        <v>0</v>
      </c>
      <c r="E144" s="235">
        <f t="shared" si="30"/>
        <v>0</v>
      </c>
      <c r="F144" s="236">
        <f t="shared" si="21"/>
        <v>0</v>
      </c>
      <c r="G144" s="237">
        <f t="shared" si="20"/>
        <v>0</v>
      </c>
      <c r="H144" s="273">
        <f t="shared" si="22"/>
        <v>0</v>
      </c>
      <c r="I144" s="238">
        <f t="shared" si="31"/>
        <v>0</v>
      </c>
      <c r="J144" s="237">
        <f t="shared" si="23"/>
        <v>0</v>
      </c>
      <c r="K144" s="269">
        <f t="shared" si="24"/>
        <v>0</v>
      </c>
      <c r="L144" s="239">
        <f t="shared" si="25"/>
        <v>0</v>
      </c>
      <c r="M144" s="275" t="e">
        <f t="shared" si="26"/>
        <v>#DIV/0!</v>
      </c>
      <c r="N144" s="3"/>
      <c r="O144" s="1">
        <f t="shared" si="37"/>
        <v>124</v>
      </c>
      <c r="P144" s="182">
        <f t="shared" si="37"/>
        <v>46181</v>
      </c>
      <c r="Q144" s="241">
        <f>ROUND(SUMIFS(BS_RE33!$U$7:$U$874,BS_RE33!$S$7:$S$874,'Summary &amp; Working File(Ccy)'!P144,BS_RE33!$N$7:$N$874,'Summary &amp; Working File(Ccy)'!$Q$10,BS_RE33!$F$7:$F$874,$J$3)+SUMIF($P$13:$P$19,P144,$Q$13:$Q$19),2)</f>
        <v>0</v>
      </c>
      <c r="R144" s="242">
        <f>ROUND(SUMIFS(BS_RE33!$U$7:$U$874,BS_RE33!$S$7:$S$874,'Summary &amp; Working File(Ccy)'!P144,BS_RE33!$N$7:$N$874,'Summary &amp; Working File(Ccy)'!$R$10,BS_RE33!$F$7:$F$874,$J$3)+SUMIF($P$13:$P$19,P144,$R$13:$R$19),2)</f>
        <v>0</v>
      </c>
    </row>
    <row r="145" spans="2:18">
      <c r="B145" s="243">
        <f t="shared" si="36"/>
        <v>125</v>
      </c>
      <c r="C145" s="247">
        <f t="shared" si="36"/>
        <v>46182</v>
      </c>
      <c r="D145" s="245">
        <f t="shared" si="28"/>
        <v>0</v>
      </c>
      <c r="E145" s="235">
        <f t="shared" si="30"/>
        <v>0</v>
      </c>
      <c r="F145" s="236">
        <f t="shared" si="21"/>
        <v>0</v>
      </c>
      <c r="G145" s="237">
        <f t="shared" si="20"/>
        <v>0</v>
      </c>
      <c r="H145" s="273">
        <f t="shared" si="22"/>
        <v>0</v>
      </c>
      <c r="I145" s="238">
        <f t="shared" si="31"/>
        <v>0</v>
      </c>
      <c r="J145" s="237">
        <f t="shared" si="23"/>
        <v>0</v>
      </c>
      <c r="K145" s="269">
        <f t="shared" si="24"/>
        <v>0</v>
      </c>
      <c r="L145" s="239">
        <f t="shared" si="25"/>
        <v>0</v>
      </c>
      <c r="M145" s="275" t="e">
        <f t="shared" si="26"/>
        <v>#DIV/0!</v>
      </c>
      <c r="N145" s="3"/>
      <c r="O145" s="1">
        <f t="shared" si="37"/>
        <v>125</v>
      </c>
      <c r="P145" s="182">
        <f t="shared" si="37"/>
        <v>46182</v>
      </c>
      <c r="Q145" s="241">
        <f>ROUND(SUMIFS(BS_RE33!$U$7:$U$874,BS_RE33!$S$7:$S$874,'Summary &amp; Working File(Ccy)'!P145,BS_RE33!$N$7:$N$874,'Summary &amp; Working File(Ccy)'!$Q$10,BS_RE33!$F$7:$F$874,$J$3)+SUMIF($P$13:$P$19,P145,$Q$13:$Q$19),2)</f>
        <v>0</v>
      </c>
      <c r="R145" s="242">
        <f>ROUND(SUMIFS(BS_RE33!$U$7:$U$874,BS_RE33!$S$7:$S$874,'Summary &amp; Working File(Ccy)'!P145,BS_RE33!$N$7:$N$874,'Summary &amp; Working File(Ccy)'!$R$10,BS_RE33!$F$7:$F$874,$J$3)+SUMIF($P$13:$P$19,P145,$R$13:$R$19),2)</f>
        <v>0</v>
      </c>
    </row>
    <row r="146" spans="2:18">
      <c r="B146" s="243">
        <f t="shared" si="36"/>
        <v>126</v>
      </c>
      <c r="C146" s="247">
        <f t="shared" si="36"/>
        <v>46183</v>
      </c>
      <c r="D146" s="245">
        <f t="shared" si="28"/>
        <v>0</v>
      </c>
      <c r="E146" s="235">
        <f t="shared" si="30"/>
        <v>0</v>
      </c>
      <c r="F146" s="236">
        <f t="shared" si="21"/>
        <v>0</v>
      </c>
      <c r="G146" s="237">
        <f t="shared" si="20"/>
        <v>0</v>
      </c>
      <c r="H146" s="273">
        <f t="shared" si="22"/>
        <v>0</v>
      </c>
      <c r="I146" s="238">
        <f t="shared" si="31"/>
        <v>0</v>
      </c>
      <c r="J146" s="237">
        <f t="shared" si="23"/>
        <v>0</v>
      </c>
      <c r="K146" s="269">
        <f t="shared" si="24"/>
        <v>0</v>
      </c>
      <c r="L146" s="239">
        <f t="shared" si="25"/>
        <v>0</v>
      </c>
      <c r="M146" s="275" t="e">
        <f t="shared" si="26"/>
        <v>#DIV/0!</v>
      </c>
      <c r="N146" s="3"/>
      <c r="O146" s="1">
        <f t="shared" si="37"/>
        <v>126</v>
      </c>
      <c r="P146" s="182">
        <f t="shared" si="37"/>
        <v>46183</v>
      </c>
      <c r="Q146" s="241">
        <f>ROUND(SUMIFS(BS_RE33!$U$7:$U$874,BS_RE33!$S$7:$S$874,'Summary &amp; Working File(Ccy)'!P146,BS_RE33!$N$7:$N$874,'Summary &amp; Working File(Ccy)'!$Q$10,BS_RE33!$F$7:$F$874,$J$3)+SUMIF($P$13:$P$19,P146,$Q$13:$Q$19),2)</f>
        <v>0</v>
      </c>
      <c r="R146" s="242">
        <f>ROUND(SUMIFS(BS_RE33!$U$7:$U$874,BS_RE33!$S$7:$S$874,'Summary &amp; Working File(Ccy)'!P146,BS_RE33!$N$7:$N$874,'Summary &amp; Working File(Ccy)'!$R$10,BS_RE33!$F$7:$F$874,$J$3)+SUMIF($P$13:$P$19,P146,$R$13:$R$19),2)</f>
        <v>0</v>
      </c>
    </row>
    <row r="147" spans="2:18">
      <c r="B147" s="243">
        <f t="shared" si="36"/>
        <v>127</v>
      </c>
      <c r="C147" s="247">
        <f t="shared" si="36"/>
        <v>46184</v>
      </c>
      <c r="D147" s="245">
        <f t="shared" si="28"/>
        <v>0</v>
      </c>
      <c r="E147" s="235">
        <f t="shared" si="30"/>
        <v>0</v>
      </c>
      <c r="F147" s="236">
        <f t="shared" si="21"/>
        <v>0</v>
      </c>
      <c r="G147" s="237">
        <f t="shared" si="20"/>
        <v>0</v>
      </c>
      <c r="H147" s="273">
        <f t="shared" si="22"/>
        <v>0</v>
      </c>
      <c r="I147" s="238">
        <f t="shared" si="31"/>
        <v>0</v>
      </c>
      <c r="J147" s="237">
        <f t="shared" si="23"/>
        <v>0</v>
      </c>
      <c r="K147" s="269">
        <f t="shared" si="24"/>
        <v>0</v>
      </c>
      <c r="L147" s="239">
        <f t="shared" si="25"/>
        <v>0</v>
      </c>
      <c r="M147" s="275" t="e">
        <f t="shared" si="26"/>
        <v>#DIV/0!</v>
      </c>
      <c r="N147" s="3"/>
      <c r="O147" s="1">
        <f t="shared" si="37"/>
        <v>127</v>
      </c>
      <c r="P147" s="182">
        <f t="shared" si="37"/>
        <v>46184</v>
      </c>
      <c r="Q147" s="241">
        <f>ROUND(SUMIFS(BS_RE33!$U$7:$U$874,BS_RE33!$S$7:$S$874,'Summary &amp; Working File(Ccy)'!P147,BS_RE33!$N$7:$N$874,'Summary &amp; Working File(Ccy)'!$Q$10,BS_RE33!$F$7:$F$874,$J$3)+SUMIF($P$13:$P$19,P147,$Q$13:$Q$19),2)</f>
        <v>0</v>
      </c>
      <c r="R147" s="242">
        <f>ROUND(SUMIFS(BS_RE33!$U$7:$U$874,BS_RE33!$S$7:$S$874,'Summary &amp; Working File(Ccy)'!P147,BS_RE33!$N$7:$N$874,'Summary &amp; Working File(Ccy)'!$R$10,BS_RE33!$F$7:$F$874,$J$3)+SUMIF($P$13:$P$19,P147,$R$13:$R$19),2)</f>
        <v>0</v>
      </c>
    </row>
    <row r="148" spans="2:18">
      <c r="B148" s="243">
        <f t="shared" si="36"/>
        <v>128</v>
      </c>
      <c r="C148" s="247">
        <f t="shared" si="36"/>
        <v>46185</v>
      </c>
      <c r="D148" s="245">
        <f t="shared" si="28"/>
        <v>0</v>
      </c>
      <c r="E148" s="235">
        <f t="shared" si="30"/>
        <v>0</v>
      </c>
      <c r="F148" s="236">
        <f t="shared" si="21"/>
        <v>0</v>
      </c>
      <c r="G148" s="237">
        <f t="shared" si="20"/>
        <v>0</v>
      </c>
      <c r="H148" s="273">
        <f t="shared" si="22"/>
        <v>0</v>
      </c>
      <c r="I148" s="238">
        <f t="shared" si="31"/>
        <v>0</v>
      </c>
      <c r="J148" s="237">
        <f t="shared" si="23"/>
        <v>0</v>
      </c>
      <c r="K148" s="269">
        <f t="shared" si="24"/>
        <v>0</v>
      </c>
      <c r="L148" s="239">
        <f t="shared" si="25"/>
        <v>0</v>
      </c>
      <c r="M148" s="275" t="e">
        <f t="shared" si="26"/>
        <v>#DIV/0!</v>
      </c>
      <c r="N148" s="3"/>
      <c r="O148" s="1">
        <f t="shared" si="37"/>
        <v>128</v>
      </c>
      <c r="P148" s="182">
        <f t="shared" si="37"/>
        <v>46185</v>
      </c>
      <c r="Q148" s="241">
        <f>ROUND(SUMIFS(BS_RE33!$U$7:$U$874,BS_RE33!$S$7:$S$874,'Summary &amp; Working File(Ccy)'!P148,BS_RE33!$N$7:$N$874,'Summary &amp; Working File(Ccy)'!$Q$10,BS_RE33!$F$7:$F$874,$J$3)+SUMIF($P$13:$P$19,P148,$Q$13:$Q$19),2)</f>
        <v>0</v>
      </c>
      <c r="R148" s="242">
        <f>ROUND(SUMIFS(BS_RE33!$U$7:$U$874,BS_RE33!$S$7:$S$874,'Summary &amp; Working File(Ccy)'!P148,BS_RE33!$N$7:$N$874,'Summary &amp; Working File(Ccy)'!$R$10,BS_RE33!$F$7:$F$874,$J$3)+SUMIF($P$13:$P$19,P148,$R$13:$R$19),2)</f>
        <v>0</v>
      </c>
    </row>
    <row r="149" spans="2:18">
      <c r="B149" s="243">
        <f t="shared" si="36"/>
        <v>129</v>
      </c>
      <c r="C149" s="247">
        <f t="shared" si="36"/>
        <v>46186</v>
      </c>
      <c r="D149" s="245">
        <f t="shared" si="28"/>
        <v>0</v>
      </c>
      <c r="E149" s="235">
        <f t="shared" si="30"/>
        <v>0</v>
      </c>
      <c r="F149" s="236">
        <f t="shared" si="21"/>
        <v>0</v>
      </c>
      <c r="G149" s="237">
        <f t="shared" ref="G149:G212" si="38">$J$10*10%</f>
        <v>0</v>
      </c>
      <c r="H149" s="273">
        <f t="shared" si="22"/>
        <v>0</v>
      </c>
      <c r="I149" s="238">
        <f t="shared" si="31"/>
        <v>0</v>
      </c>
      <c r="J149" s="237">
        <f t="shared" si="23"/>
        <v>0</v>
      </c>
      <c r="K149" s="269">
        <f t="shared" si="24"/>
        <v>0</v>
      </c>
      <c r="L149" s="239">
        <f t="shared" si="25"/>
        <v>0</v>
      </c>
      <c r="M149" s="275" t="e">
        <f t="shared" si="26"/>
        <v>#DIV/0!</v>
      </c>
      <c r="N149" s="3"/>
      <c r="O149" s="1">
        <f t="shared" si="37"/>
        <v>129</v>
      </c>
      <c r="P149" s="182">
        <f t="shared" si="37"/>
        <v>46186</v>
      </c>
      <c r="Q149" s="241">
        <f>ROUND(SUMIFS(BS_RE33!$U$7:$U$874,BS_RE33!$S$7:$S$874,'Summary &amp; Working File(Ccy)'!P149,BS_RE33!$N$7:$N$874,'Summary &amp; Working File(Ccy)'!$Q$10,BS_RE33!$F$7:$F$874,$J$3)+SUMIF($P$13:$P$19,P149,$Q$13:$Q$19),2)</f>
        <v>0</v>
      </c>
      <c r="R149" s="242">
        <f>ROUND(SUMIFS(BS_RE33!$U$7:$U$874,BS_RE33!$S$7:$S$874,'Summary &amp; Working File(Ccy)'!P149,BS_RE33!$N$7:$N$874,'Summary &amp; Working File(Ccy)'!$R$10,BS_RE33!$F$7:$F$874,$J$3)+SUMIF($P$13:$P$19,P149,$R$13:$R$19),2)</f>
        <v>0</v>
      </c>
    </row>
    <row r="150" spans="2:18">
      <c r="B150" s="243">
        <f t="shared" si="36"/>
        <v>130</v>
      </c>
      <c r="C150" s="247">
        <f t="shared" si="36"/>
        <v>46187</v>
      </c>
      <c r="D150" s="245">
        <f t="shared" si="28"/>
        <v>0</v>
      </c>
      <c r="E150" s="235">
        <f t="shared" si="30"/>
        <v>0</v>
      </c>
      <c r="F150" s="236">
        <f t="shared" ref="F150:F213" si="39">(IF(C150&lt;($E$11-30),$E$10*5%,0)+IF(C150&lt;($F$11-30),$F$10*5%,0)+IF(C150&lt;($G$11-30),$G$10*5%,0)+IF(C150&lt;($H$11-30),$H$10*5%,0))+(IF(C150&lt;($E$15-30),$E$14*10%,0)+IF(C150&lt;($F$15-30),$F$14*10%,0)+IF(C150&lt;($G$15-30),$G$14*10%,0)+IF(C150&lt;($H$15-30),$H$14*10%,0)+IF(C150&lt;($I$15-30),$I$14*10%,0)+IF(C150&lt;($J$15-30),$J$14*10%,0))</f>
        <v>0</v>
      </c>
      <c r="G150" s="237">
        <f t="shared" si="38"/>
        <v>0</v>
      </c>
      <c r="H150" s="273">
        <f t="shared" ref="H150:H213" si="40">SUM(E150:G150)</f>
        <v>0</v>
      </c>
      <c r="I150" s="238">
        <f t="shared" si="31"/>
        <v>0</v>
      </c>
      <c r="J150" s="237">
        <f t="shared" ref="J150:J213" si="41">H150*20%</f>
        <v>0</v>
      </c>
      <c r="K150" s="269">
        <f t="shared" ref="K150:K213" si="42">MIN(SUM(I150:J150),H150*75%)</f>
        <v>0</v>
      </c>
      <c r="L150" s="239">
        <f t="shared" ref="L150:L213" si="43">H150-K150</f>
        <v>0</v>
      </c>
      <c r="M150" s="275" t="e">
        <f t="shared" ref="M150:M213" si="44">D150/L150</f>
        <v>#DIV/0!</v>
      </c>
      <c r="N150" s="3"/>
      <c r="O150" s="1">
        <f t="shared" si="37"/>
        <v>130</v>
      </c>
      <c r="P150" s="182">
        <f t="shared" si="37"/>
        <v>46187</v>
      </c>
      <c r="Q150" s="241">
        <f>ROUND(SUMIFS(BS_RE33!$U$7:$U$874,BS_RE33!$S$7:$S$874,'Summary &amp; Working File(Ccy)'!P150,BS_RE33!$N$7:$N$874,'Summary &amp; Working File(Ccy)'!$Q$10,BS_RE33!$F$7:$F$874,$J$3)+SUMIF($P$13:$P$19,P150,$Q$13:$Q$19),2)</f>
        <v>0</v>
      </c>
      <c r="R150" s="242">
        <f>ROUND(SUMIFS(BS_RE33!$U$7:$U$874,BS_RE33!$S$7:$S$874,'Summary &amp; Working File(Ccy)'!P150,BS_RE33!$N$7:$N$874,'Summary &amp; Working File(Ccy)'!$R$10,BS_RE33!$F$7:$F$874,$J$3)+SUMIF($P$13:$P$19,P150,$R$13:$R$19),2)</f>
        <v>0</v>
      </c>
    </row>
    <row r="151" spans="2:18">
      <c r="B151" s="243">
        <f t="shared" ref="B151:C166" si="45">B150+1</f>
        <v>131</v>
      </c>
      <c r="C151" s="247">
        <f t="shared" si="45"/>
        <v>46188</v>
      </c>
      <c r="D151" s="245">
        <f t="shared" ref="D151:D214" si="46">D150</f>
        <v>0</v>
      </c>
      <c r="E151" s="235">
        <f t="shared" si="30"/>
        <v>0</v>
      </c>
      <c r="F151" s="236">
        <f t="shared" si="39"/>
        <v>0</v>
      </c>
      <c r="G151" s="237">
        <f t="shared" si="38"/>
        <v>0</v>
      </c>
      <c r="H151" s="273">
        <f t="shared" si="40"/>
        <v>0</v>
      </c>
      <c r="I151" s="238">
        <f t="shared" si="31"/>
        <v>0</v>
      </c>
      <c r="J151" s="237">
        <f t="shared" si="41"/>
        <v>0</v>
      </c>
      <c r="K151" s="269">
        <f t="shared" si="42"/>
        <v>0</v>
      </c>
      <c r="L151" s="239">
        <f t="shared" si="43"/>
        <v>0</v>
      </c>
      <c r="M151" s="275" t="e">
        <f t="shared" si="44"/>
        <v>#DIV/0!</v>
      </c>
      <c r="N151" s="3"/>
      <c r="O151" s="1">
        <f t="shared" ref="O151:P166" si="47">O150+1</f>
        <v>131</v>
      </c>
      <c r="P151" s="182">
        <f t="shared" si="47"/>
        <v>46188</v>
      </c>
      <c r="Q151" s="241">
        <f>ROUND(SUMIFS(BS_RE33!$U$7:$U$874,BS_RE33!$S$7:$S$874,'Summary &amp; Working File(Ccy)'!P151,BS_RE33!$N$7:$N$874,'Summary &amp; Working File(Ccy)'!$Q$10,BS_RE33!$F$7:$F$874,$J$3)+SUMIF($P$13:$P$19,P151,$Q$13:$Q$19),2)</f>
        <v>0</v>
      </c>
      <c r="R151" s="242">
        <f>ROUND(SUMIFS(BS_RE33!$U$7:$U$874,BS_RE33!$S$7:$S$874,'Summary &amp; Working File(Ccy)'!P151,BS_RE33!$N$7:$N$874,'Summary &amp; Working File(Ccy)'!$R$10,BS_RE33!$F$7:$F$874,$J$3)+SUMIF($P$13:$P$19,P151,$R$13:$R$19),2)</f>
        <v>0</v>
      </c>
    </row>
    <row r="152" spans="2:18">
      <c r="B152" s="243">
        <f t="shared" si="45"/>
        <v>132</v>
      </c>
      <c r="C152" s="247">
        <f t="shared" si="45"/>
        <v>46189</v>
      </c>
      <c r="D152" s="245">
        <f t="shared" si="46"/>
        <v>0</v>
      </c>
      <c r="E152" s="235">
        <f t="shared" si="30"/>
        <v>0</v>
      </c>
      <c r="F152" s="236">
        <f t="shared" si="39"/>
        <v>0</v>
      </c>
      <c r="G152" s="237">
        <f t="shared" si="38"/>
        <v>0</v>
      </c>
      <c r="H152" s="273">
        <f t="shared" si="40"/>
        <v>0</v>
      </c>
      <c r="I152" s="238">
        <f t="shared" si="31"/>
        <v>0</v>
      </c>
      <c r="J152" s="237">
        <f t="shared" si="41"/>
        <v>0</v>
      </c>
      <c r="K152" s="269">
        <f t="shared" si="42"/>
        <v>0</v>
      </c>
      <c r="L152" s="239">
        <f t="shared" si="43"/>
        <v>0</v>
      </c>
      <c r="M152" s="275" t="e">
        <f t="shared" si="44"/>
        <v>#DIV/0!</v>
      </c>
      <c r="N152" s="3"/>
      <c r="O152" s="1">
        <f t="shared" si="47"/>
        <v>132</v>
      </c>
      <c r="P152" s="182">
        <f t="shared" si="47"/>
        <v>46189</v>
      </c>
      <c r="Q152" s="241">
        <f>ROUND(SUMIFS(BS_RE33!$U$7:$U$874,BS_RE33!$S$7:$S$874,'Summary &amp; Working File(Ccy)'!P152,BS_RE33!$N$7:$N$874,'Summary &amp; Working File(Ccy)'!$Q$10,BS_RE33!$F$7:$F$874,$J$3)+SUMIF($P$13:$P$19,P152,$Q$13:$Q$19),2)</f>
        <v>0</v>
      </c>
      <c r="R152" s="242">
        <f>ROUND(SUMIFS(BS_RE33!$U$7:$U$874,BS_RE33!$S$7:$S$874,'Summary &amp; Working File(Ccy)'!P152,BS_RE33!$N$7:$N$874,'Summary &amp; Working File(Ccy)'!$R$10,BS_RE33!$F$7:$F$874,$J$3)+SUMIF($P$13:$P$19,P152,$R$13:$R$19),2)</f>
        <v>0</v>
      </c>
    </row>
    <row r="153" spans="2:18">
      <c r="B153" s="243">
        <f t="shared" si="45"/>
        <v>133</v>
      </c>
      <c r="C153" s="247">
        <f t="shared" si="45"/>
        <v>46190</v>
      </c>
      <c r="D153" s="245">
        <f t="shared" si="46"/>
        <v>0</v>
      </c>
      <c r="E153" s="235">
        <f t="shared" si="30"/>
        <v>0</v>
      </c>
      <c r="F153" s="236">
        <f t="shared" si="39"/>
        <v>0</v>
      </c>
      <c r="G153" s="237">
        <f t="shared" si="38"/>
        <v>0</v>
      </c>
      <c r="H153" s="273">
        <f t="shared" si="40"/>
        <v>0</v>
      </c>
      <c r="I153" s="238">
        <f t="shared" si="31"/>
        <v>0</v>
      </c>
      <c r="J153" s="237">
        <f t="shared" si="41"/>
        <v>0</v>
      </c>
      <c r="K153" s="269">
        <f t="shared" si="42"/>
        <v>0</v>
      </c>
      <c r="L153" s="239">
        <f t="shared" si="43"/>
        <v>0</v>
      </c>
      <c r="M153" s="275" t="e">
        <f t="shared" si="44"/>
        <v>#DIV/0!</v>
      </c>
      <c r="N153" s="3"/>
      <c r="O153" s="1">
        <f t="shared" si="47"/>
        <v>133</v>
      </c>
      <c r="P153" s="182">
        <f t="shared" si="47"/>
        <v>46190</v>
      </c>
      <c r="Q153" s="241">
        <f>ROUND(SUMIFS(BS_RE33!$U$7:$U$874,BS_RE33!$S$7:$S$874,'Summary &amp; Working File(Ccy)'!P153,BS_RE33!$N$7:$N$874,'Summary &amp; Working File(Ccy)'!$Q$10,BS_RE33!$F$7:$F$874,$J$3)+SUMIF($P$13:$P$19,P153,$Q$13:$Q$19),2)</f>
        <v>0</v>
      </c>
      <c r="R153" s="242">
        <f>ROUND(SUMIFS(BS_RE33!$U$7:$U$874,BS_RE33!$S$7:$S$874,'Summary &amp; Working File(Ccy)'!P153,BS_RE33!$N$7:$N$874,'Summary &amp; Working File(Ccy)'!$R$10,BS_RE33!$F$7:$F$874,$J$3)+SUMIF($P$13:$P$19,P153,$R$13:$R$19),2)</f>
        <v>0</v>
      </c>
    </row>
    <row r="154" spans="2:18">
      <c r="B154" s="243">
        <f t="shared" si="45"/>
        <v>134</v>
      </c>
      <c r="C154" s="247">
        <f t="shared" si="45"/>
        <v>46191</v>
      </c>
      <c r="D154" s="245">
        <f t="shared" si="46"/>
        <v>0</v>
      </c>
      <c r="E154" s="235">
        <f t="shared" si="30"/>
        <v>0</v>
      </c>
      <c r="F154" s="236">
        <f t="shared" si="39"/>
        <v>0</v>
      </c>
      <c r="G154" s="237">
        <f t="shared" si="38"/>
        <v>0</v>
      </c>
      <c r="H154" s="273">
        <f t="shared" si="40"/>
        <v>0</v>
      </c>
      <c r="I154" s="238">
        <f t="shared" si="31"/>
        <v>0</v>
      </c>
      <c r="J154" s="237">
        <f t="shared" si="41"/>
        <v>0</v>
      </c>
      <c r="K154" s="269">
        <f t="shared" si="42"/>
        <v>0</v>
      </c>
      <c r="L154" s="239">
        <f t="shared" si="43"/>
        <v>0</v>
      </c>
      <c r="M154" s="275" t="e">
        <f t="shared" si="44"/>
        <v>#DIV/0!</v>
      </c>
      <c r="N154" s="3"/>
      <c r="O154" s="1">
        <f t="shared" si="47"/>
        <v>134</v>
      </c>
      <c r="P154" s="182">
        <f t="shared" si="47"/>
        <v>46191</v>
      </c>
      <c r="Q154" s="241">
        <f>ROUND(SUMIFS(BS_RE33!$U$7:$U$874,BS_RE33!$S$7:$S$874,'Summary &amp; Working File(Ccy)'!P154,BS_RE33!$N$7:$N$874,'Summary &amp; Working File(Ccy)'!$Q$10,BS_RE33!$F$7:$F$874,$J$3)+SUMIF($P$13:$P$19,P154,$Q$13:$Q$19),2)</f>
        <v>0</v>
      </c>
      <c r="R154" s="242">
        <f>ROUND(SUMIFS(BS_RE33!$U$7:$U$874,BS_RE33!$S$7:$S$874,'Summary &amp; Working File(Ccy)'!P154,BS_RE33!$N$7:$N$874,'Summary &amp; Working File(Ccy)'!$R$10,BS_RE33!$F$7:$F$874,$J$3)+SUMIF($P$13:$P$19,P154,$R$13:$R$19),2)</f>
        <v>0</v>
      </c>
    </row>
    <row r="155" spans="2:18">
      <c r="B155" s="243">
        <f t="shared" si="45"/>
        <v>135</v>
      </c>
      <c r="C155" s="247">
        <f t="shared" si="45"/>
        <v>46192</v>
      </c>
      <c r="D155" s="245">
        <f t="shared" si="46"/>
        <v>0</v>
      </c>
      <c r="E155" s="235">
        <f t="shared" si="30"/>
        <v>0</v>
      </c>
      <c r="F155" s="236">
        <f t="shared" si="39"/>
        <v>0</v>
      </c>
      <c r="G155" s="237">
        <f t="shared" si="38"/>
        <v>0</v>
      </c>
      <c r="H155" s="273">
        <f t="shared" si="40"/>
        <v>0</v>
      </c>
      <c r="I155" s="238">
        <f t="shared" si="31"/>
        <v>0</v>
      </c>
      <c r="J155" s="237">
        <f t="shared" si="41"/>
        <v>0</v>
      </c>
      <c r="K155" s="269">
        <f t="shared" si="42"/>
        <v>0</v>
      </c>
      <c r="L155" s="239">
        <f t="shared" si="43"/>
        <v>0</v>
      </c>
      <c r="M155" s="275" t="e">
        <f t="shared" si="44"/>
        <v>#DIV/0!</v>
      </c>
      <c r="N155" s="3"/>
      <c r="O155" s="1">
        <f t="shared" si="47"/>
        <v>135</v>
      </c>
      <c r="P155" s="182">
        <f t="shared" si="47"/>
        <v>46192</v>
      </c>
      <c r="Q155" s="241">
        <f>ROUND(SUMIFS(BS_RE33!$U$7:$U$874,BS_RE33!$S$7:$S$874,'Summary &amp; Working File(Ccy)'!P155,BS_RE33!$N$7:$N$874,'Summary &amp; Working File(Ccy)'!$Q$10,BS_RE33!$F$7:$F$874,$J$3)+SUMIF($P$13:$P$19,P155,$Q$13:$Q$19),2)</f>
        <v>0</v>
      </c>
      <c r="R155" s="242">
        <f>ROUND(SUMIFS(BS_RE33!$U$7:$U$874,BS_RE33!$S$7:$S$874,'Summary &amp; Working File(Ccy)'!P155,BS_RE33!$N$7:$N$874,'Summary &amp; Working File(Ccy)'!$R$10,BS_RE33!$F$7:$F$874,$J$3)+SUMIF($P$13:$P$19,P155,$R$13:$R$19),2)</f>
        <v>0</v>
      </c>
    </row>
    <row r="156" spans="2:18">
      <c r="B156" s="243">
        <f t="shared" si="45"/>
        <v>136</v>
      </c>
      <c r="C156" s="247">
        <f t="shared" si="45"/>
        <v>46193</v>
      </c>
      <c r="D156" s="245">
        <f t="shared" si="46"/>
        <v>0</v>
      </c>
      <c r="E156" s="235">
        <f t="shared" si="30"/>
        <v>0</v>
      </c>
      <c r="F156" s="236">
        <f t="shared" si="39"/>
        <v>0</v>
      </c>
      <c r="G156" s="237">
        <f t="shared" si="38"/>
        <v>0</v>
      </c>
      <c r="H156" s="273">
        <f t="shared" si="40"/>
        <v>0</v>
      </c>
      <c r="I156" s="238">
        <f t="shared" si="31"/>
        <v>0</v>
      </c>
      <c r="J156" s="237">
        <f t="shared" si="41"/>
        <v>0</v>
      </c>
      <c r="K156" s="269">
        <f t="shared" si="42"/>
        <v>0</v>
      </c>
      <c r="L156" s="239">
        <f t="shared" si="43"/>
        <v>0</v>
      </c>
      <c r="M156" s="275" t="e">
        <f t="shared" si="44"/>
        <v>#DIV/0!</v>
      </c>
      <c r="N156" s="3"/>
      <c r="O156" s="1">
        <f t="shared" si="47"/>
        <v>136</v>
      </c>
      <c r="P156" s="182">
        <f t="shared" si="47"/>
        <v>46193</v>
      </c>
      <c r="Q156" s="241">
        <f>ROUND(SUMIFS(BS_RE33!$U$7:$U$874,BS_RE33!$S$7:$S$874,'Summary &amp; Working File(Ccy)'!P156,BS_RE33!$N$7:$N$874,'Summary &amp; Working File(Ccy)'!$Q$10,BS_RE33!$F$7:$F$874,$J$3)+SUMIF($P$13:$P$19,P156,$Q$13:$Q$19),2)</f>
        <v>0</v>
      </c>
      <c r="R156" s="242">
        <f>ROUND(SUMIFS(BS_RE33!$U$7:$U$874,BS_RE33!$S$7:$S$874,'Summary &amp; Working File(Ccy)'!P156,BS_RE33!$N$7:$N$874,'Summary &amp; Working File(Ccy)'!$R$10,BS_RE33!$F$7:$F$874,$J$3)+SUMIF($P$13:$P$19,P156,$R$13:$R$19),2)</f>
        <v>0</v>
      </c>
    </row>
    <row r="157" spans="2:18">
      <c r="B157" s="243">
        <f t="shared" si="45"/>
        <v>137</v>
      </c>
      <c r="C157" s="247">
        <f t="shared" si="45"/>
        <v>46194</v>
      </c>
      <c r="D157" s="245">
        <f t="shared" si="46"/>
        <v>0</v>
      </c>
      <c r="E157" s="235">
        <f t="shared" si="30"/>
        <v>0</v>
      </c>
      <c r="F157" s="236">
        <f t="shared" si="39"/>
        <v>0</v>
      </c>
      <c r="G157" s="237">
        <f t="shared" si="38"/>
        <v>0</v>
      </c>
      <c r="H157" s="273">
        <f t="shared" si="40"/>
        <v>0</v>
      </c>
      <c r="I157" s="238">
        <f t="shared" si="31"/>
        <v>0</v>
      </c>
      <c r="J157" s="237">
        <f t="shared" si="41"/>
        <v>0</v>
      </c>
      <c r="K157" s="269">
        <f t="shared" si="42"/>
        <v>0</v>
      </c>
      <c r="L157" s="239">
        <f t="shared" si="43"/>
        <v>0</v>
      </c>
      <c r="M157" s="275" t="e">
        <f t="shared" si="44"/>
        <v>#DIV/0!</v>
      </c>
      <c r="N157" s="3"/>
      <c r="O157" s="1">
        <f t="shared" si="47"/>
        <v>137</v>
      </c>
      <c r="P157" s="182">
        <f t="shared" si="47"/>
        <v>46194</v>
      </c>
      <c r="Q157" s="241">
        <f>ROUND(SUMIFS(BS_RE33!$U$7:$U$874,BS_RE33!$S$7:$S$874,'Summary &amp; Working File(Ccy)'!P157,BS_RE33!$N$7:$N$874,'Summary &amp; Working File(Ccy)'!$Q$10,BS_RE33!$F$7:$F$874,$J$3)+SUMIF($P$13:$P$19,P157,$Q$13:$Q$19),2)</f>
        <v>0</v>
      </c>
      <c r="R157" s="242">
        <f>ROUND(SUMIFS(BS_RE33!$U$7:$U$874,BS_RE33!$S$7:$S$874,'Summary &amp; Working File(Ccy)'!P157,BS_RE33!$N$7:$N$874,'Summary &amp; Working File(Ccy)'!$R$10,BS_RE33!$F$7:$F$874,$J$3)+SUMIF($P$13:$P$19,P157,$R$13:$R$19),2)</f>
        <v>0</v>
      </c>
    </row>
    <row r="158" spans="2:18">
      <c r="B158" s="243">
        <f t="shared" si="45"/>
        <v>138</v>
      </c>
      <c r="C158" s="247">
        <f t="shared" si="45"/>
        <v>46195</v>
      </c>
      <c r="D158" s="245">
        <f t="shared" si="46"/>
        <v>0</v>
      </c>
      <c r="E158" s="235">
        <f t="shared" si="30"/>
        <v>0</v>
      </c>
      <c r="F158" s="236">
        <f t="shared" si="39"/>
        <v>0</v>
      </c>
      <c r="G158" s="237">
        <f t="shared" si="38"/>
        <v>0</v>
      </c>
      <c r="H158" s="273">
        <f t="shared" si="40"/>
        <v>0</v>
      </c>
      <c r="I158" s="238">
        <f t="shared" si="31"/>
        <v>0</v>
      </c>
      <c r="J158" s="237">
        <f t="shared" si="41"/>
        <v>0</v>
      </c>
      <c r="K158" s="269">
        <f t="shared" si="42"/>
        <v>0</v>
      </c>
      <c r="L158" s="239">
        <f t="shared" si="43"/>
        <v>0</v>
      </c>
      <c r="M158" s="275" t="e">
        <f t="shared" si="44"/>
        <v>#DIV/0!</v>
      </c>
      <c r="N158" s="3"/>
      <c r="O158" s="1">
        <f t="shared" si="47"/>
        <v>138</v>
      </c>
      <c r="P158" s="182">
        <f t="shared" si="47"/>
        <v>46195</v>
      </c>
      <c r="Q158" s="241">
        <f>ROUND(SUMIFS(BS_RE33!$U$7:$U$874,BS_RE33!$S$7:$S$874,'Summary &amp; Working File(Ccy)'!P158,BS_RE33!$N$7:$N$874,'Summary &amp; Working File(Ccy)'!$Q$10,BS_RE33!$F$7:$F$874,$J$3)+SUMIF($P$13:$P$19,P158,$Q$13:$Q$19),2)</f>
        <v>0</v>
      </c>
      <c r="R158" s="242">
        <f>ROUND(SUMIFS(BS_RE33!$U$7:$U$874,BS_RE33!$S$7:$S$874,'Summary &amp; Working File(Ccy)'!P158,BS_RE33!$N$7:$N$874,'Summary &amp; Working File(Ccy)'!$R$10,BS_RE33!$F$7:$F$874,$J$3)+SUMIF($P$13:$P$19,P158,$R$13:$R$19),2)</f>
        <v>0</v>
      </c>
    </row>
    <row r="159" spans="2:18">
      <c r="B159" s="243">
        <f t="shared" si="45"/>
        <v>139</v>
      </c>
      <c r="C159" s="247">
        <f t="shared" si="45"/>
        <v>46196</v>
      </c>
      <c r="D159" s="245">
        <f t="shared" si="46"/>
        <v>0</v>
      </c>
      <c r="E159" s="235">
        <f t="shared" si="30"/>
        <v>0</v>
      </c>
      <c r="F159" s="236">
        <f t="shared" si="39"/>
        <v>0</v>
      </c>
      <c r="G159" s="237">
        <f t="shared" si="38"/>
        <v>0</v>
      </c>
      <c r="H159" s="273">
        <f t="shared" si="40"/>
        <v>0</v>
      </c>
      <c r="I159" s="238">
        <f t="shared" si="31"/>
        <v>0</v>
      </c>
      <c r="J159" s="237">
        <f t="shared" si="41"/>
        <v>0</v>
      </c>
      <c r="K159" s="269">
        <f t="shared" si="42"/>
        <v>0</v>
      </c>
      <c r="L159" s="239">
        <f t="shared" si="43"/>
        <v>0</v>
      </c>
      <c r="M159" s="275" t="e">
        <f t="shared" si="44"/>
        <v>#DIV/0!</v>
      </c>
      <c r="N159" s="3"/>
      <c r="O159" s="1">
        <f t="shared" si="47"/>
        <v>139</v>
      </c>
      <c r="P159" s="182">
        <f t="shared" si="47"/>
        <v>46196</v>
      </c>
      <c r="Q159" s="241">
        <f>ROUND(SUMIFS(BS_RE33!$U$7:$U$874,BS_RE33!$S$7:$S$874,'Summary &amp; Working File(Ccy)'!P159,BS_RE33!$N$7:$N$874,'Summary &amp; Working File(Ccy)'!$Q$10,BS_RE33!$F$7:$F$874,$J$3)+SUMIF($P$13:$P$19,P159,$Q$13:$Q$19),2)</f>
        <v>0</v>
      </c>
      <c r="R159" s="242">
        <f>ROUND(SUMIFS(BS_RE33!$U$7:$U$874,BS_RE33!$S$7:$S$874,'Summary &amp; Working File(Ccy)'!P159,BS_RE33!$N$7:$N$874,'Summary &amp; Working File(Ccy)'!$R$10,BS_RE33!$F$7:$F$874,$J$3)+SUMIF($P$13:$P$19,P159,$R$13:$R$19),2)</f>
        <v>0</v>
      </c>
    </row>
    <row r="160" spans="2:18">
      <c r="B160" s="243">
        <f t="shared" si="45"/>
        <v>140</v>
      </c>
      <c r="C160" s="247">
        <f t="shared" si="45"/>
        <v>46197</v>
      </c>
      <c r="D160" s="245">
        <f t="shared" si="46"/>
        <v>0</v>
      </c>
      <c r="E160" s="235">
        <f>$Q$11+SUM(Q161:Q190)</f>
        <v>0</v>
      </c>
      <c r="F160" s="236">
        <f t="shared" si="39"/>
        <v>0</v>
      </c>
      <c r="G160" s="237">
        <f t="shared" si="38"/>
        <v>0</v>
      </c>
      <c r="H160" s="273">
        <f t="shared" si="40"/>
        <v>0</v>
      </c>
      <c r="I160" s="238">
        <f t="shared" si="31"/>
        <v>0</v>
      </c>
      <c r="J160" s="237">
        <f t="shared" si="41"/>
        <v>0</v>
      </c>
      <c r="K160" s="269">
        <f t="shared" si="42"/>
        <v>0</v>
      </c>
      <c r="L160" s="239">
        <f t="shared" si="43"/>
        <v>0</v>
      </c>
      <c r="M160" s="275" t="e">
        <f t="shared" si="44"/>
        <v>#DIV/0!</v>
      </c>
      <c r="N160" s="3"/>
      <c r="O160" s="1">
        <f t="shared" si="47"/>
        <v>140</v>
      </c>
      <c r="P160" s="182">
        <f t="shared" si="47"/>
        <v>46197</v>
      </c>
      <c r="Q160" s="241">
        <f>ROUND(SUMIFS(BS_RE33!$U$7:$U$874,BS_RE33!$S$7:$S$874,'Summary &amp; Working File(Ccy)'!P160,BS_RE33!$N$7:$N$874,'Summary &amp; Working File(Ccy)'!$Q$10,BS_RE33!$F$7:$F$874,$J$3)+SUMIF($P$13:$P$19,P160,$Q$13:$Q$19),2)</f>
        <v>0</v>
      </c>
      <c r="R160" s="242">
        <f>ROUND(SUMIFS(BS_RE33!$U$7:$U$874,BS_RE33!$S$7:$S$874,'Summary &amp; Working File(Ccy)'!P160,BS_RE33!$N$7:$N$874,'Summary &amp; Working File(Ccy)'!$R$10,BS_RE33!$F$7:$F$874,$J$3)+SUMIF($P$13:$P$19,P160,$R$13:$R$19),2)</f>
        <v>0</v>
      </c>
    </row>
    <row r="161" spans="2:18">
      <c r="B161" s="243">
        <f t="shared" si="45"/>
        <v>141</v>
      </c>
      <c r="C161" s="247">
        <f t="shared" si="45"/>
        <v>46198</v>
      </c>
      <c r="D161" s="245">
        <f t="shared" si="46"/>
        <v>0</v>
      </c>
      <c r="E161" s="235">
        <f t="shared" si="30"/>
        <v>0</v>
      </c>
      <c r="F161" s="236">
        <f t="shared" si="39"/>
        <v>0</v>
      </c>
      <c r="G161" s="237">
        <f t="shared" si="38"/>
        <v>0</v>
      </c>
      <c r="H161" s="273">
        <f t="shared" si="40"/>
        <v>0</v>
      </c>
      <c r="I161" s="238">
        <f t="shared" si="31"/>
        <v>0</v>
      </c>
      <c r="J161" s="237">
        <f t="shared" si="41"/>
        <v>0</v>
      </c>
      <c r="K161" s="269">
        <f t="shared" si="42"/>
        <v>0</v>
      </c>
      <c r="L161" s="239">
        <f t="shared" si="43"/>
        <v>0</v>
      </c>
      <c r="M161" s="275" t="e">
        <f t="shared" si="44"/>
        <v>#DIV/0!</v>
      </c>
      <c r="N161" s="3"/>
      <c r="O161" s="1">
        <f t="shared" si="47"/>
        <v>141</v>
      </c>
      <c r="P161" s="182">
        <f t="shared" si="47"/>
        <v>46198</v>
      </c>
      <c r="Q161" s="241">
        <f>ROUND(SUMIFS(BS_RE33!$U$7:$U$874,BS_RE33!$S$7:$S$874,'Summary &amp; Working File(Ccy)'!P161,BS_RE33!$N$7:$N$874,'Summary &amp; Working File(Ccy)'!$Q$10,BS_RE33!$F$7:$F$874,$J$3)+SUMIF($P$13:$P$19,P161,$Q$13:$Q$19),2)</f>
        <v>0</v>
      </c>
      <c r="R161" s="242">
        <f>ROUND(SUMIFS(BS_RE33!$U$7:$U$874,BS_RE33!$S$7:$S$874,'Summary &amp; Working File(Ccy)'!P161,BS_RE33!$N$7:$N$874,'Summary &amp; Working File(Ccy)'!$R$10,BS_RE33!$F$7:$F$874,$J$3)+SUMIF($P$13:$P$19,P161,$R$13:$R$19),2)</f>
        <v>0</v>
      </c>
    </row>
    <row r="162" spans="2:18">
      <c r="B162" s="243">
        <f t="shared" si="45"/>
        <v>142</v>
      </c>
      <c r="C162" s="247">
        <f t="shared" si="45"/>
        <v>46199</v>
      </c>
      <c r="D162" s="245">
        <f t="shared" si="46"/>
        <v>0</v>
      </c>
      <c r="E162" s="235">
        <f t="shared" si="30"/>
        <v>0</v>
      </c>
      <c r="F162" s="236">
        <f t="shared" si="39"/>
        <v>0</v>
      </c>
      <c r="G162" s="237">
        <f t="shared" si="38"/>
        <v>0</v>
      </c>
      <c r="H162" s="273">
        <f t="shared" si="40"/>
        <v>0</v>
      </c>
      <c r="I162" s="238">
        <f t="shared" si="31"/>
        <v>0</v>
      </c>
      <c r="J162" s="237">
        <f t="shared" si="41"/>
        <v>0</v>
      </c>
      <c r="K162" s="269">
        <f t="shared" si="42"/>
        <v>0</v>
      </c>
      <c r="L162" s="239">
        <f t="shared" si="43"/>
        <v>0</v>
      </c>
      <c r="M162" s="275" t="e">
        <f t="shared" si="44"/>
        <v>#DIV/0!</v>
      </c>
      <c r="N162" s="3"/>
      <c r="O162" s="1">
        <f t="shared" si="47"/>
        <v>142</v>
      </c>
      <c r="P162" s="182">
        <f t="shared" si="47"/>
        <v>46199</v>
      </c>
      <c r="Q162" s="241">
        <f>ROUND(SUMIFS(BS_RE33!$U$7:$U$874,BS_RE33!$S$7:$S$874,'Summary &amp; Working File(Ccy)'!P162,BS_RE33!$N$7:$N$874,'Summary &amp; Working File(Ccy)'!$Q$10,BS_RE33!$F$7:$F$874,$J$3)+SUMIF($P$13:$P$19,P162,$Q$13:$Q$19),2)</f>
        <v>0</v>
      </c>
      <c r="R162" s="242">
        <f>ROUND(SUMIFS(BS_RE33!$U$7:$U$874,BS_RE33!$S$7:$S$874,'Summary &amp; Working File(Ccy)'!P162,BS_RE33!$N$7:$N$874,'Summary &amp; Working File(Ccy)'!$R$10,BS_RE33!$F$7:$F$874,$J$3)+SUMIF($P$13:$P$19,P162,$R$13:$R$19),2)</f>
        <v>0</v>
      </c>
    </row>
    <row r="163" spans="2:18">
      <c r="B163" s="243">
        <f t="shared" si="45"/>
        <v>143</v>
      </c>
      <c r="C163" s="247">
        <f t="shared" si="45"/>
        <v>46200</v>
      </c>
      <c r="D163" s="245">
        <f t="shared" si="46"/>
        <v>0</v>
      </c>
      <c r="E163" s="235">
        <f t="shared" si="30"/>
        <v>0</v>
      </c>
      <c r="F163" s="236">
        <f t="shared" si="39"/>
        <v>0</v>
      </c>
      <c r="G163" s="237">
        <f t="shared" si="38"/>
        <v>0</v>
      </c>
      <c r="H163" s="273">
        <f t="shared" si="40"/>
        <v>0</v>
      </c>
      <c r="I163" s="238">
        <f t="shared" si="31"/>
        <v>0</v>
      </c>
      <c r="J163" s="237">
        <f t="shared" si="41"/>
        <v>0</v>
      </c>
      <c r="K163" s="269">
        <f t="shared" si="42"/>
        <v>0</v>
      </c>
      <c r="L163" s="239">
        <f t="shared" si="43"/>
        <v>0</v>
      </c>
      <c r="M163" s="275" t="e">
        <f t="shared" si="44"/>
        <v>#DIV/0!</v>
      </c>
      <c r="N163" s="3"/>
      <c r="O163" s="1">
        <f t="shared" si="47"/>
        <v>143</v>
      </c>
      <c r="P163" s="182">
        <f t="shared" si="47"/>
        <v>46200</v>
      </c>
      <c r="Q163" s="241">
        <f>ROUND(SUMIFS(BS_RE33!$U$7:$U$874,BS_RE33!$S$7:$S$874,'Summary &amp; Working File(Ccy)'!P163,BS_RE33!$N$7:$N$874,'Summary &amp; Working File(Ccy)'!$Q$10,BS_RE33!$F$7:$F$874,$J$3)+SUMIF($P$13:$P$19,P163,$Q$13:$Q$19),2)</f>
        <v>0</v>
      </c>
      <c r="R163" s="242">
        <f>ROUND(SUMIFS(BS_RE33!$U$7:$U$874,BS_RE33!$S$7:$S$874,'Summary &amp; Working File(Ccy)'!P163,BS_RE33!$N$7:$N$874,'Summary &amp; Working File(Ccy)'!$R$10,BS_RE33!$F$7:$F$874,$J$3)+SUMIF($P$13:$P$19,P163,$R$13:$R$19),2)</f>
        <v>0</v>
      </c>
    </row>
    <row r="164" spans="2:18">
      <c r="B164" s="243">
        <f t="shared" si="45"/>
        <v>144</v>
      </c>
      <c r="C164" s="247">
        <f t="shared" si="45"/>
        <v>46201</v>
      </c>
      <c r="D164" s="245">
        <f t="shared" si="46"/>
        <v>0</v>
      </c>
      <c r="E164" s="235">
        <f t="shared" si="30"/>
        <v>0</v>
      </c>
      <c r="F164" s="236">
        <f t="shared" si="39"/>
        <v>0</v>
      </c>
      <c r="G164" s="237">
        <f t="shared" si="38"/>
        <v>0</v>
      </c>
      <c r="H164" s="273">
        <f t="shared" si="40"/>
        <v>0</v>
      </c>
      <c r="I164" s="238">
        <f t="shared" si="31"/>
        <v>0</v>
      </c>
      <c r="J164" s="237">
        <f t="shared" si="41"/>
        <v>0</v>
      </c>
      <c r="K164" s="269">
        <f t="shared" si="42"/>
        <v>0</v>
      </c>
      <c r="L164" s="239">
        <f t="shared" si="43"/>
        <v>0</v>
      </c>
      <c r="M164" s="275" t="e">
        <f t="shared" si="44"/>
        <v>#DIV/0!</v>
      </c>
      <c r="N164" s="3"/>
      <c r="O164" s="1">
        <f t="shared" si="47"/>
        <v>144</v>
      </c>
      <c r="P164" s="182">
        <f t="shared" si="47"/>
        <v>46201</v>
      </c>
      <c r="Q164" s="241">
        <f>ROUND(SUMIFS(BS_RE33!$U$7:$U$874,BS_RE33!$S$7:$S$874,'Summary &amp; Working File(Ccy)'!P164,BS_RE33!$N$7:$N$874,'Summary &amp; Working File(Ccy)'!$Q$10,BS_RE33!$F$7:$F$874,$J$3)+SUMIF($P$13:$P$19,P164,$Q$13:$Q$19),2)</f>
        <v>0</v>
      </c>
      <c r="R164" s="242">
        <f>ROUND(SUMIFS(BS_RE33!$U$7:$U$874,BS_RE33!$S$7:$S$874,'Summary &amp; Working File(Ccy)'!P164,BS_RE33!$N$7:$N$874,'Summary &amp; Working File(Ccy)'!$R$10,BS_RE33!$F$7:$F$874,$J$3)+SUMIF($P$13:$P$19,P164,$R$13:$R$19),2)</f>
        <v>0</v>
      </c>
    </row>
    <row r="165" spans="2:18">
      <c r="B165" s="243">
        <f t="shared" si="45"/>
        <v>145</v>
      </c>
      <c r="C165" s="247">
        <f t="shared" si="45"/>
        <v>46202</v>
      </c>
      <c r="D165" s="245">
        <f t="shared" si="46"/>
        <v>0</v>
      </c>
      <c r="E165" s="235">
        <f t="shared" ref="E165:E228" si="48">$Q$11+SUM(Q166:Q195)</f>
        <v>0</v>
      </c>
      <c r="F165" s="236">
        <f t="shared" si="39"/>
        <v>0</v>
      </c>
      <c r="G165" s="237">
        <f t="shared" si="38"/>
        <v>0</v>
      </c>
      <c r="H165" s="273">
        <f t="shared" si="40"/>
        <v>0</v>
      </c>
      <c r="I165" s="238">
        <f t="shared" ref="I165:I205" si="49">$R$11+SUM(R166:R195)</f>
        <v>0</v>
      </c>
      <c r="J165" s="237">
        <f t="shared" si="41"/>
        <v>0</v>
      </c>
      <c r="K165" s="269">
        <f t="shared" si="42"/>
        <v>0</v>
      </c>
      <c r="L165" s="239">
        <f t="shared" si="43"/>
        <v>0</v>
      </c>
      <c r="M165" s="275" t="e">
        <f t="shared" si="44"/>
        <v>#DIV/0!</v>
      </c>
      <c r="N165" s="3"/>
      <c r="O165" s="1">
        <f t="shared" si="47"/>
        <v>145</v>
      </c>
      <c r="P165" s="182">
        <f t="shared" si="47"/>
        <v>46202</v>
      </c>
      <c r="Q165" s="241">
        <f>ROUND(SUMIFS(BS_RE33!$U$7:$U$874,BS_RE33!$S$7:$S$874,'Summary &amp; Working File(Ccy)'!P165,BS_RE33!$N$7:$N$874,'Summary &amp; Working File(Ccy)'!$Q$10,BS_RE33!$F$7:$F$874,$J$3)+SUMIF($P$13:$P$19,P165,$Q$13:$Q$19),2)</f>
        <v>0</v>
      </c>
      <c r="R165" s="242">
        <f>ROUND(SUMIFS(BS_RE33!$U$7:$U$874,BS_RE33!$S$7:$S$874,'Summary &amp; Working File(Ccy)'!P165,BS_RE33!$N$7:$N$874,'Summary &amp; Working File(Ccy)'!$R$10,BS_RE33!$F$7:$F$874,$J$3)+SUMIF($P$13:$P$19,P165,$R$13:$R$19),2)</f>
        <v>0</v>
      </c>
    </row>
    <row r="166" spans="2:18">
      <c r="B166" s="243">
        <f t="shared" si="45"/>
        <v>146</v>
      </c>
      <c r="C166" s="247">
        <f t="shared" si="45"/>
        <v>46203</v>
      </c>
      <c r="D166" s="245">
        <f t="shared" si="46"/>
        <v>0</v>
      </c>
      <c r="E166" s="235">
        <f t="shared" si="48"/>
        <v>0</v>
      </c>
      <c r="F166" s="236">
        <f t="shared" si="39"/>
        <v>0</v>
      </c>
      <c r="G166" s="237">
        <f t="shared" si="38"/>
        <v>0</v>
      </c>
      <c r="H166" s="273">
        <f t="shared" si="40"/>
        <v>0</v>
      </c>
      <c r="I166" s="238">
        <f t="shared" si="49"/>
        <v>0</v>
      </c>
      <c r="J166" s="237">
        <f t="shared" si="41"/>
        <v>0</v>
      </c>
      <c r="K166" s="269">
        <f t="shared" si="42"/>
        <v>0</v>
      </c>
      <c r="L166" s="239">
        <f t="shared" si="43"/>
        <v>0</v>
      </c>
      <c r="M166" s="275" t="e">
        <f t="shared" si="44"/>
        <v>#DIV/0!</v>
      </c>
      <c r="N166" s="3"/>
      <c r="O166" s="1">
        <f t="shared" si="47"/>
        <v>146</v>
      </c>
      <c r="P166" s="182">
        <f t="shared" si="47"/>
        <v>46203</v>
      </c>
      <c r="Q166" s="241">
        <f>ROUND(SUMIFS(BS_RE33!$U$7:$U$874,BS_RE33!$S$7:$S$874,'Summary &amp; Working File(Ccy)'!P166,BS_RE33!$N$7:$N$874,'Summary &amp; Working File(Ccy)'!$Q$10,BS_RE33!$F$7:$F$874,$J$3)+SUMIF($P$13:$P$19,P166,$Q$13:$Q$19),2)</f>
        <v>0</v>
      </c>
      <c r="R166" s="242">
        <f>ROUND(SUMIFS(BS_RE33!$U$7:$U$874,BS_RE33!$S$7:$S$874,'Summary &amp; Working File(Ccy)'!P166,BS_RE33!$N$7:$N$874,'Summary &amp; Working File(Ccy)'!$R$10,BS_RE33!$F$7:$F$874,$J$3)+SUMIF($P$13:$P$19,P166,$R$13:$R$19),2)</f>
        <v>0</v>
      </c>
    </row>
    <row r="167" spans="2:18">
      <c r="B167" s="243">
        <f t="shared" ref="B167:C182" si="50">B166+1</f>
        <v>147</v>
      </c>
      <c r="C167" s="247">
        <f t="shared" si="50"/>
        <v>46204</v>
      </c>
      <c r="D167" s="245">
        <f t="shared" si="46"/>
        <v>0</v>
      </c>
      <c r="E167" s="235">
        <f t="shared" si="48"/>
        <v>0</v>
      </c>
      <c r="F167" s="236">
        <f t="shared" si="39"/>
        <v>0</v>
      </c>
      <c r="G167" s="237">
        <f t="shared" si="38"/>
        <v>0</v>
      </c>
      <c r="H167" s="273">
        <f t="shared" si="40"/>
        <v>0</v>
      </c>
      <c r="I167" s="238">
        <f t="shared" si="49"/>
        <v>0</v>
      </c>
      <c r="J167" s="237">
        <f t="shared" si="41"/>
        <v>0</v>
      </c>
      <c r="K167" s="269">
        <f t="shared" si="42"/>
        <v>0</v>
      </c>
      <c r="L167" s="239">
        <f t="shared" si="43"/>
        <v>0</v>
      </c>
      <c r="M167" s="275" t="e">
        <f t="shared" si="44"/>
        <v>#DIV/0!</v>
      </c>
      <c r="N167" s="3"/>
      <c r="O167" s="1">
        <f t="shared" ref="O167:P182" si="51">O166+1</f>
        <v>147</v>
      </c>
      <c r="P167" s="182">
        <f t="shared" si="51"/>
        <v>46204</v>
      </c>
      <c r="Q167" s="241">
        <f>ROUND(SUMIFS(BS_RE33!$U$7:$U$874,BS_RE33!$S$7:$S$874,'Summary &amp; Working File(Ccy)'!P167,BS_RE33!$N$7:$N$874,'Summary &amp; Working File(Ccy)'!$Q$10,BS_RE33!$F$7:$F$874,$J$3)+SUMIF($P$13:$P$19,P167,$Q$13:$Q$19),2)</f>
        <v>0</v>
      </c>
      <c r="R167" s="242">
        <f>ROUND(SUMIFS(BS_RE33!$U$7:$U$874,BS_RE33!$S$7:$S$874,'Summary &amp; Working File(Ccy)'!P167,BS_RE33!$N$7:$N$874,'Summary &amp; Working File(Ccy)'!$R$10,BS_RE33!$F$7:$F$874,$J$3)+SUMIF($P$13:$P$19,P167,$R$13:$R$19),2)</f>
        <v>0</v>
      </c>
    </row>
    <row r="168" spans="2:18">
      <c r="B168" s="243">
        <f t="shared" si="50"/>
        <v>148</v>
      </c>
      <c r="C168" s="247">
        <f t="shared" si="50"/>
        <v>46205</v>
      </c>
      <c r="D168" s="245">
        <f t="shared" si="46"/>
        <v>0</v>
      </c>
      <c r="E168" s="235">
        <f t="shared" si="48"/>
        <v>0</v>
      </c>
      <c r="F168" s="236">
        <f t="shared" si="39"/>
        <v>0</v>
      </c>
      <c r="G168" s="237">
        <f t="shared" si="38"/>
        <v>0</v>
      </c>
      <c r="H168" s="273">
        <f t="shared" si="40"/>
        <v>0</v>
      </c>
      <c r="I168" s="238">
        <f t="shared" si="49"/>
        <v>0</v>
      </c>
      <c r="J168" s="237">
        <f t="shared" si="41"/>
        <v>0</v>
      </c>
      <c r="K168" s="269">
        <f t="shared" si="42"/>
        <v>0</v>
      </c>
      <c r="L168" s="239">
        <f t="shared" si="43"/>
        <v>0</v>
      </c>
      <c r="M168" s="275" t="e">
        <f t="shared" si="44"/>
        <v>#DIV/0!</v>
      </c>
      <c r="N168" s="3"/>
      <c r="O168" s="1">
        <f t="shared" si="51"/>
        <v>148</v>
      </c>
      <c r="P168" s="182">
        <f t="shared" si="51"/>
        <v>46205</v>
      </c>
      <c r="Q168" s="241">
        <f>ROUND(SUMIFS(BS_RE33!$U$7:$U$874,BS_RE33!$S$7:$S$874,'Summary &amp; Working File(Ccy)'!P168,BS_RE33!$N$7:$N$874,'Summary &amp; Working File(Ccy)'!$Q$10,BS_RE33!$F$7:$F$874,$J$3)+SUMIF($P$13:$P$19,P168,$Q$13:$Q$19),2)</f>
        <v>0</v>
      </c>
      <c r="R168" s="242">
        <f>ROUND(SUMIFS(BS_RE33!$U$7:$U$874,BS_RE33!$S$7:$S$874,'Summary &amp; Working File(Ccy)'!P168,BS_RE33!$N$7:$N$874,'Summary &amp; Working File(Ccy)'!$R$10,BS_RE33!$F$7:$F$874,$J$3)+SUMIF($P$13:$P$19,P168,$R$13:$R$19),2)</f>
        <v>0</v>
      </c>
    </row>
    <row r="169" spans="2:18">
      <c r="B169" s="243">
        <f t="shared" si="50"/>
        <v>149</v>
      </c>
      <c r="C169" s="247">
        <f t="shared" si="50"/>
        <v>46206</v>
      </c>
      <c r="D169" s="245">
        <f t="shared" si="46"/>
        <v>0</v>
      </c>
      <c r="E169" s="235">
        <f>$Q$11+SUM(Q170:Q199)</f>
        <v>0</v>
      </c>
      <c r="F169" s="236">
        <f t="shared" si="39"/>
        <v>0</v>
      </c>
      <c r="G169" s="237">
        <f t="shared" si="38"/>
        <v>0</v>
      </c>
      <c r="H169" s="273">
        <f>SUM(E169:G169)</f>
        <v>0</v>
      </c>
      <c r="I169" s="238">
        <f t="shared" si="49"/>
        <v>0</v>
      </c>
      <c r="J169" s="237">
        <f t="shared" si="41"/>
        <v>0</v>
      </c>
      <c r="K169" s="269">
        <f t="shared" si="42"/>
        <v>0</v>
      </c>
      <c r="L169" s="239">
        <f t="shared" si="43"/>
        <v>0</v>
      </c>
      <c r="M169" s="275" t="e">
        <f>D169/L169</f>
        <v>#DIV/0!</v>
      </c>
      <c r="N169" s="3"/>
      <c r="O169" s="1">
        <f t="shared" si="51"/>
        <v>149</v>
      </c>
      <c r="P169" s="182">
        <f t="shared" si="51"/>
        <v>46206</v>
      </c>
      <c r="Q169" s="241">
        <f>ROUND(SUMIFS(BS_RE33!$U$7:$U$874,BS_RE33!$S$7:$S$874,'Summary &amp; Working File(Ccy)'!P169,BS_RE33!$N$7:$N$874,'Summary &amp; Working File(Ccy)'!$Q$10,BS_RE33!$F$7:$F$874,$J$3)+SUMIF($P$13:$P$19,P169,$Q$13:$Q$19),2)</f>
        <v>0</v>
      </c>
      <c r="R169" s="242">
        <f>ROUND(SUMIFS(BS_RE33!$U$7:$U$874,BS_RE33!$S$7:$S$874,'Summary &amp; Working File(Ccy)'!P169,BS_RE33!$N$7:$N$874,'Summary &amp; Working File(Ccy)'!$R$10,BS_RE33!$F$7:$F$874,$J$3)+SUMIF($P$13:$P$19,P169,$R$13:$R$19),2)</f>
        <v>0</v>
      </c>
    </row>
    <row r="170" spans="2:18">
      <c r="B170" s="243">
        <f t="shared" si="50"/>
        <v>150</v>
      </c>
      <c r="C170" s="247">
        <f t="shared" si="50"/>
        <v>46207</v>
      </c>
      <c r="D170" s="245">
        <f t="shared" si="46"/>
        <v>0</v>
      </c>
      <c r="E170" s="235">
        <f t="shared" si="48"/>
        <v>0</v>
      </c>
      <c r="F170" s="236">
        <f t="shared" si="39"/>
        <v>0</v>
      </c>
      <c r="G170" s="237">
        <f t="shared" si="38"/>
        <v>0</v>
      </c>
      <c r="H170" s="273">
        <f t="shared" si="40"/>
        <v>0</v>
      </c>
      <c r="I170" s="238">
        <f t="shared" si="49"/>
        <v>0</v>
      </c>
      <c r="J170" s="237">
        <f t="shared" si="41"/>
        <v>0</v>
      </c>
      <c r="K170" s="269">
        <f t="shared" si="42"/>
        <v>0</v>
      </c>
      <c r="L170" s="239">
        <f t="shared" si="43"/>
        <v>0</v>
      </c>
      <c r="M170" s="275" t="e">
        <f t="shared" si="44"/>
        <v>#DIV/0!</v>
      </c>
      <c r="N170" s="3"/>
      <c r="O170" s="1">
        <f t="shared" si="51"/>
        <v>150</v>
      </c>
      <c r="P170" s="182">
        <f t="shared" si="51"/>
        <v>46207</v>
      </c>
      <c r="Q170" s="241">
        <f>ROUND(SUMIFS(BS_RE33!$U$7:$U$874,BS_RE33!$S$7:$S$874,'Summary &amp; Working File(Ccy)'!P170,BS_RE33!$N$7:$N$874,'Summary &amp; Working File(Ccy)'!$Q$10,BS_RE33!$F$7:$F$874,$J$3)+SUMIF($P$13:$P$19,P170,$Q$13:$Q$19),2)</f>
        <v>0</v>
      </c>
      <c r="R170" s="242">
        <f>ROUND(SUMIFS(BS_RE33!$U$7:$U$874,BS_RE33!$S$7:$S$874,'Summary &amp; Working File(Ccy)'!P170,BS_RE33!$N$7:$N$874,'Summary &amp; Working File(Ccy)'!$R$10,BS_RE33!$F$7:$F$874,$J$3)+SUMIF($P$13:$P$19,P170,$R$13:$R$19),2)</f>
        <v>0</v>
      </c>
    </row>
    <row r="171" spans="2:18">
      <c r="B171" s="243">
        <f t="shared" si="50"/>
        <v>151</v>
      </c>
      <c r="C171" s="247">
        <f t="shared" si="50"/>
        <v>46208</v>
      </c>
      <c r="D171" s="245">
        <f t="shared" si="46"/>
        <v>0</v>
      </c>
      <c r="E171" s="235">
        <f t="shared" si="48"/>
        <v>0</v>
      </c>
      <c r="F171" s="236">
        <f t="shared" si="39"/>
        <v>0</v>
      </c>
      <c r="G171" s="237">
        <f t="shared" si="38"/>
        <v>0</v>
      </c>
      <c r="H171" s="273">
        <f t="shared" si="40"/>
        <v>0</v>
      </c>
      <c r="I171" s="238">
        <f t="shared" si="49"/>
        <v>0</v>
      </c>
      <c r="J171" s="237">
        <f t="shared" si="41"/>
        <v>0</v>
      </c>
      <c r="K171" s="269">
        <f t="shared" si="42"/>
        <v>0</v>
      </c>
      <c r="L171" s="239">
        <f t="shared" si="43"/>
        <v>0</v>
      </c>
      <c r="M171" s="275" t="e">
        <f t="shared" si="44"/>
        <v>#DIV/0!</v>
      </c>
      <c r="N171" s="3"/>
      <c r="O171" s="1">
        <f t="shared" si="51"/>
        <v>151</v>
      </c>
      <c r="P171" s="182">
        <f t="shared" si="51"/>
        <v>46208</v>
      </c>
      <c r="Q171" s="241">
        <f>ROUND(SUMIFS(BS_RE33!$U$7:$U$874,BS_RE33!$S$7:$S$874,'Summary &amp; Working File(Ccy)'!P171,BS_RE33!$N$7:$N$874,'Summary &amp; Working File(Ccy)'!$Q$10,BS_RE33!$F$7:$F$874,$J$3)+SUMIF($P$13:$P$19,P171,$Q$13:$Q$19),2)</f>
        <v>0</v>
      </c>
      <c r="R171" s="242">
        <f>ROUND(SUMIFS(BS_RE33!$U$7:$U$874,BS_RE33!$S$7:$S$874,'Summary &amp; Working File(Ccy)'!P171,BS_RE33!$N$7:$N$874,'Summary &amp; Working File(Ccy)'!$R$10,BS_RE33!$F$7:$F$874,$J$3)+SUMIF($P$13:$P$19,P171,$R$13:$R$19),2)</f>
        <v>0</v>
      </c>
    </row>
    <row r="172" spans="2:18">
      <c r="B172" s="243">
        <f t="shared" si="50"/>
        <v>152</v>
      </c>
      <c r="C172" s="247">
        <f t="shared" si="50"/>
        <v>46209</v>
      </c>
      <c r="D172" s="245">
        <f t="shared" si="46"/>
        <v>0</v>
      </c>
      <c r="E172" s="235">
        <f t="shared" si="48"/>
        <v>0</v>
      </c>
      <c r="F172" s="236">
        <f t="shared" si="39"/>
        <v>0</v>
      </c>
      <c r="G172" s="237">
        <f t="shared" si="38"/>
        <v>0</v>
      </c>
      <c r="H172" s="273">
        <f t="shared" si="40"/>
        <v>0</v>
      </c>
      <c r="I172" s="238">
        <f t="shared" si="49"/>
        <v>0</v>
      </c>
      <c r="J172" s="237">
        <f t="shared" si="41"/>
        <v>0</v>
      </c>
      <c r="K172" s="269">
        <f t="shared" si="42"/>
        <v>0</v>
      </c>
      <c r="L172" s="239">
        <f t="shared" si="43"/>
        <v>0</v>
      </c>
      <c r="M172" s="275" t="e">
        <f t="shared" si="44"/>
        <v>#DIV/0!</v>
      </c>
      <c r="N172" s="3"/>
      <c r="O172" s="1">
        <f t="shared" si="51"/>
        <v>152</v>
      </c>
      <c r="P172" s="182">
        <f t="shared" si="51"/>
        <v>46209</v>
      </c>
      <c r="Q172" s="241">
        <f>ROUND(SUMIFS(BS_RE33!$U$7:$U$874,BS_RE33!$S$7:$S$874,'Summary &amp; Working File(Ccy)'!P172,BS_RE33!$N$7:$N$874,'Summary &amp; Working File(Ccy)'!$Q$10,BS_RE33!$F$7:$F$874,$J$3)+SUMIF($P$13:$P$19,P172,$Q$13:$Q$19),2)</f>
        <v>0</v>
      </c>
      <c r="R172" s="242">
        <f>ROUND(SUMIFS(BS_RE33!$U$7:$U$874,BS_RE33!$S$7:$S$874,'Summary &amp; Working File(Ccy)'!P172,BS_RE33!$N$7:$N$874,'Summary &amp; Working File(Ccy)'!$R$10,BS_RE33!$F$7:$F$874,$J$3)+SUMIF($P$13:$P$19,P172,$R$13:$R$19),2)</f>
        <v>0</v>
      </c>
    </row>
    <row r="173" spans="2:18">
      <c r="B173" s="243">
        <f t="shared" si="50"/>
        <v>153</v>
      </c>
      <c r="C173" s="247">
        <f t="shared" si="50"/>
        <v>46210</v>
      </c>
      <c r="D173" s="245">
        <f t="shared" si="46"/>
        <v>0</v>
      </c>
      <c r="E173" s="235">
        <f t="shared" si="48"/>
        <v>0</v>
      </c>
      <c r="F173" s="236">
        <f t="shared" si="39"/>
        <v>0</v>
      </c>
      <c r="G173" s="237">
        <f t="shared" si="38"/>
        <v>0</v>
      </c>
      <c r="H173" s="273">
        <f t="shared" si="40"/>
        <v>0</v>
      </c>
      <c r="I173" s="238">
        <f t="shared" si="49"/>
        <v>0</v>
      </c>
      <c r="J173" s="237">
        <f t="shared" si="41"/>
        <v>0</v>
      </c>
      <c r="K173" s="269">
        <f t="shared" si="42"/>
        <v>0</v>
      </c>
      <c r="L173" s="239">
        <f t="shared" si="43"/>
        <v>0</v>
      </c>
      <c r="M173" s="275" t="e">
        <f t="shared" si="44"/>
        <v>#DIV/0!</v>
      </c>
      <c r="N173" s="3"/>
      <c r="O173" s="1">
        <f t="shared" si="51"/>
        <v>153</v>
      </c>
      <c r="P173" s="182">
        <f t="shared" si="51"/>
        <v>46210</v>
      </c>
      <c r="Q173" s="241">
        <f>ROUND(SUMIFS(BS_RE33!$U$7:$U$874,BS_RE33!$S$7:$S$874,'Summary &amp; Working File(Ccy)'!P173,BS_RE33!$N$7:$N$874,'Summary &amp; Working File(Ccy)'!$Q$10,BS_RE33!$F$7:$F$874,$J$3)+SUMIF($P$13:$P$19,P173,$Q$13:$Q$19),2)</f>
        <v>0</v>
      </c>
      <c r="R173" s="242">
        <f>ROUND(SUMIFS(BS_RE33!$U$7:$U$874,BS_RE33!$S$7:$S$874,'Summary &amp; Working File(Ccy)'!P173,BS_RE33!$N$7:$N$874,'Summary &amp; Working File(Ccy)'!$R$10,BS_RE33!$F$7:$F$874,$J$3)+SUMIF($P$13:$P$19,P173,$R$13:$R$19),2)</f>
        <v>0</v>
      </c>
    </row>
    <row r="174" spans="2:18">
      <c r="B174" s="243">
        <f t="shared" si="50"/>
        <v>154</v>
      </c>
      <c r="C174" s="247">
        <f t="shared" si="50"/>
        <v>46211</v>
      </c>
      <c r="D174" s="245">
        <f t="shared" si="46"/>
        <v>0</v>
      </c>
      <c r="E174" s="235">
        <f t="shared" si="48"/>
        <v>0</v>
      </c>
      <c r="F174" s="236">
        <f t="shared" si="39"/>
        <v>0</v>
      </c>
      <c r="G174" s="237">
        <f t="shared" si="38"/>
        <v>0</v>
      </c>
      <c r="H174" s="273">
        <f t="shared" si="40"/>
        <v>0</v>
      </c>
      <c r="I174" s="238">
        <f t="shared" si="49"/>
        <v>0</v>
      </c>
      <c r="J174" s="237">
        <f t="shared" si="41"/>
        <v>0</v>
      </c>
      <c r="K174" s="269">
        <f t="shared" si="42"/>
        <v>0</v>
      </c>
      <c r="L174" s="239">
        <f t="shared" si="43"/>
        <v>0</v>
      </c>
      <c r="M174" s="275" t="e">
        <f t="shared" si="44"/>
        <v>#DIV/0!</v>
      </c>
      <c r="N174" s="3"/>
      <c r="O174" s="1">
        <f t="shared" si="51"/>
        <v>154</v>
      </c>
      <c r="P174" s="182">
        <f t="shared" si="51"/>
        <v>46211</v>
      </c>
      <c r="Q174" s="241">
        <f>ROUND(SUMIFS(BS_RE33!$U$7:$U$874,BS_RE33!$S$7:$S$874,'Summary &amp; Working File(Ccy)'!P174,BS_RE33!$N$7:$N$874,'Summary &amp; Working File(Ccy)'!$Q$10,BS_RE33!$F$7:$F$874,$J$3)+SUMIF($P$13:$P$19,P174,$Q$13:$Q$19),2)</f>
        <v>0</v>
      </c>
      <c r="R174" s="242">
        <f>ROUND(SUMIFS(BS_RE33!$U$7:$U$874,BS_RE33!$S$7:$S$874,'Summary &amp; Working File(Ccy)'!P174,BS_RE33!$N$7:$N$874,'Summary &amp; Working File(Ccy)'!$R$10,BS_RE33!$F$7:$F$874,$J$3)+SUMIF($P$13:$P$19,P174,$R$13:$R$19),2)</f>
        <v>0</v>
      </c>
    </row>
    <row r="175" spans="2:18">
      <c r="B175" s="243">
        <f t="shared" si="50"/>
        <v>155</v>
      </c>
      <c r="C175" s="247">
        <f t="shared" si="50"/>
        <v>46212</v>
      </c>
      <c r="D175" s="245">
        <f t="shared" si="46"/>
        <v>0</v>
      </c>
      <c r="E175" s="235">
        <f t="shared" si="48"/>
        <v>0</v>
      </c>
      <c r="F175" s="236">
        <f t="shared" si="39"/>
        <v>0</v>
      </c>
      <c r="G175" s="237">
        <f t="shared" si="38"/>
        <v>0</v>
      </c>
      <c r="H175" s="273">
        <f t="shared" si="40"/>
        <v>0</v>
      </c>
      <c r="I175" s="238">
        <f t="shared" si="49"/>
        <v>0</v>
      </c>
      <c r="J175" s="237">
        <f t="shared" si="41"/>
        <v>0</v>
      </c>
      <c r="K175" s="269">
        <f t="shared" si="42"/>
        <v>0</v>
      </c>
      <c r="L175" s="239">
        <f t="shared" si="43"/>
        <v>0</v>
      </c>
      <c r="M175" s="275" t="e">
        <f t="shared" si="44"/>
        <v>#DIV/0!</v>
      </c>
      <c r="N175" s="3"/>
      <c r="O175" s="1">
        <f t="shared" si="51"/>
        <v>155</v>
      </c>
      <c r="P175" s="182">
        <f t="shared" si="51"/>
        <v>46212</v>
      </c>
      <c r="Q175" s="241">
        <f>ROUND(SUMIFS(BS_RE33!$U$7:$U$874,BS_RE33!$S$7:$S$874,'Summary &amp; Working File(Ccy)'!P175,BS_RE33!$N$7:$N$874,'Summary &amp; Working File(Ccy)'!$Q$10,BS_RE33!$F$7:$F$874,$J$3)+SUMIF($P$13:$P$19,P175,$Q$13:$Q$19),2)</f>
        <v>0</v>
      </c>
      <c r="R175" s="242">
        <f>ROUND(SUMIFS(BS_RE33!$U$7:$U$874,BS_RE33!$S$7:$S$874,'Summary &amp; Working File(Ccy)'!P175,BS_RE33!$N$7:$N$874,'Summary &amp; Working File(Ccy)'!$R$10,BS_RE33!$F$7:$F$874,$J$3)+SUMIF($P$13:$P$19,P175,$R$13:$R$19),2)</f>
        <v>0</v>
      </c>
    </row>
    <row r="176" spans="2:18">
      <c r="B176" s="243">
        <f t="shared" si="50"/>
        <v>156</v>
      </c>
      <c r="C176" s="247">
        <f t="shared" si="50"/>
        <v>46213</v>
      </c>
      <c r="D176" s="245">
        <f t="shared" si="46"/>
        <v>0</v>
      </c>
      <c r="E176" s="235">
        <f t="shared" si="48"/>
        <v>0</v>
      </c>
      <c r="F176" s="236">
        <f t="shared" si="39"/>
        <v>0</v>
      </c>
      <c r="G176" s="237">
        <f t="shared" si="38"/>
        <v>0</v>
      </c>
      <c r="H176" s="273">
        <f t="shared" si="40"/>
        <v>0</v>
      </c>
      <c r="I176" s="238">
        <f t="shared" si="49"/>
        <v>0</v>
      </c>
      <c r="J176" s="237">
        <f t="shared" si="41"/>
        <v>0</v>
      </c>
      <c r="K176" s="269">
        <f t="shared" si="42"/>
        <v>0</v>
      </c>
      <c r="L176" s="239">
        <f t="shared" si="43"/>
        <v>0</v>
      </c>
      <c r="M176" s="275" t="e">
        <f t="shared" si="44"/>
        <v>#DIV/0!</v>
      </c>
      <c r="N176" s="3"/>
      <c r="O176" s="1">
        <f t="shared" si="51"/>
        <v>156</v>
      </c>
      <c r="P176" s="182">
        <f t="shared" si="51"/>
        <v>46213</v>
      </c>
      <c r="Q176" s="241">
        <f>ROUND(SUMIFS(BS_RE33!$U$7:$U$874,BS_RE33!$S$7:$S$874,'Summary &amp; Working File(Ccy)'!P176,BS_RE33!$N$7:$N$874,'Summary &amp; Working File(Ccy)'!$Q$10,BS_RE33!$F$7:$F$874,$J$3)+SUMIF($P$13:$P$19,P176,$Q$13:$Q$19),2)</f>
        <v>0</v>
      </c>
      <c r="R176" s="242">
        <f>ROUND(SUMIFS(BS_RE33!$U$7:$U$874,BS_RE33!$S$7:$S$874,'Summary &amp; Working File(Ccy)'!P176,BS_RE33!$N$7:$N$874,'Summary &amp; Working File(Ccy)'!$R$10,BS_RE33!$F$7:$F$874,$J$3)+SUMIF($P$13:$P$19,P176,$R$13:$R$19),2)</f>
        <v>0</v>
      </c>
    </row>
    <row r="177" spans="2:18">
      <c r="B177" s="243">
        <f t="shared" si="50"/>
        <v>157</v>
      </c>
      <c r="C177" s="247">
        <f t="shared" si="50"/>
        <v>46214</v>
      </c>
      <c r="D177" s="245">
        <f t="shared" si="46"/>
        <v>0</v>
      </c>
      <c r="E177" s="235">
        <f t="shared" si="48"/>
        <v>0</v>
      </c>
      <c r="F177" s="236">
        <f t="shared" si="39"/>
        <v>0</v>
      </c>
      <c r="G177" s="237">
        <f t="shared" si="38"/>
        <v>0</v>
      </c>
      <c r="H177" s="273">
        <f t="shared" si="40"/>
        <v>0</v>
      </c>
      <c r="I177" s="238">
        <f t="shared" si="49"/>
        <v>0</v>
      </c>
      <c r="J177" s="237">
        <f t="shared" si="41"/>
        <v>0</v>
      </c>
      <c r="K177" s="269">
        <f t="shared" si="42"/>
        <v>0</v>
      </c>
      <c r="L177" s="239">
        <f t="shared" si="43"/>
        <v>0</v>
      </c>
      <c r="M177" s="275" t="e">
        <f t="shared" si="44"/>
        <v>#DIV/0!</v>
      </c>
      <c r="N177" s="3"/>
      <c r="O177" s="1">
        <f t="shared" si="51"/>
        <v>157</v>
      </c>
      <c r="P177" s="182">
        <f t="shared" si="51"/>
        <v>46214</v>
      </c>
      <c r="Q177" s="241">
        <f>ROUND(SUMIFS(BS_RE33!$U$7:$U$874,BS_RE33!$S$7:$S$874,'Summary &amp; Working File(Ccy)'!P177,BS_RE33!$N$7:$N$874,'Summary &amp; Working File(Ccy)'!$Q$10,BS_RE33!$F$7:$F$874,$J$3)+SUMIF($P$13:$P$19,P177,$Q$13:$Q$19),2)</f>
        <v>0</v>
      </c>
      <c r="R177" s="242">
        <f>ROUND(SUMIFS(BS_RE33!$U$7:$U$874,BS_RE33!$S$7:$S$874,'Summary &amp; Working File(Ccy)'!P177,BS_RE33!$N$7:$N$874,'Summary &amp; Working File(Ccy)'!$R$10,BS_RE33!$F$7:$F$874,$J$3)+SUMIF($P$13:$P$19,P177,$R$13:$R$19),2)</f>
        <v>0</v>
      </c>
    </row>
    <row r="178" spans="2:18">
      <c r="B178" s="243">
        <f t="shared" si="50"/>
        <v>158</v>
      </c>
      <c r="C178" s="247">
        <f t="shared" si="50"/>
        <v>46215</v>
      </c>
      <c r="D178" s="245">
        <f t="shared" si="46"/>
        <v>0</v>
      </c>
      <c r="E178" s="235">
        <f t="shared" si="48"/>
        <v>0</v>
      </c>
      <c r="F178" s="236">
        <f t="shared" si="39"/>
        <v>0</v>
      </c>
      <c r="G178" s="237">
        <f t="shared" si="38"/>
        <v>0</v>
      </c>
      <c r="H178" s="273">
        <f t="shared" si="40"/>
        <v>0</v>
      </c>
      <c r="I178" s="238">
        <f t="shared" si="49"/>
        <v>0</v>
      </c>
      <c r="J178" s="237">
        <f t="shared" si="41"/>
        <v>0</v>
      </c>
      <c r="K178" s="269">
        <f t="shared" si="42"/>
        <v>0</v>
      </c>
      <c r="L178" s="239">
        <f t="shared" si="43"/>
        <v>0</v>
      </c>
      <c r="M178" s="275" t="e">
        <f t="shared" si="44"/>
        <v>#DIV/0!</v>
      </c>
      <c r="N178" s="3"/>
      <c r="O178" s="1">
        <f t="shared" si="51"/>
        <v>158</v>
      </c>
      <c r="P178" s="182">
        <f t="shared" si="51"/>
        <v>46215</v>
      </c>
      <c r="Q178" s="241">
        <f>ROUND(SUMIFS(BS_RE33!$U$7:$U$874,BS_RE33!$S$7:$S$874,'Summary &amp; Working File(Ccy)'!P178,BS_RE33!$N$7:$N$874,'Summary &amp; Working File(Ccy)'!$Q$10,BS_RE33!$F$7:$F$874,$J$3)+SUMIF($P$13:$P$19,P178,$Q$13:$Q$19),2)</f>
        <v>0</v>
      </c>
      <c r="R178" s="242">
        <f>ROUND(SUMIFS(BS_RE33!$U$7:$U$874,BS_RE33!$S$7:$S$874,'Summary &amp; Working File(Ccy)'!P178,BS_RE33!$N$7:$N$874,'Summary &amp; Working File(Ccy)'!$R$10,BS_RE33!$F$7:$F$874,$J$3)+SUMIF($P$13:$P$19,P178,$R$13:$R$19),2)</f>
        <v>0</v>
      </c>
    </row>
    <row r="179" spans="2:18">
      <c r="B179" s="243">
        <f t="shared" si="50"/>
        <v>159</v>
      </c>
      <c r="C179" s="247">
        <f t="shared" si="50"/>
        <v>46216</v>
      </c>
      <c r="D179" s="245">
        <f t="shared" si="46"/>
        <v>0</v>
      </c>
      <c r="E179" s="235">
        <f t="shared" si="48"/>
        <v>0</v>
      </c>
      <c r="F179" s="236">
        <f t="shared" si="39"/>
        <v>0</v>
      </c>
      <c r="G179" s="237">
        <f t="shared" si="38"/>
        <v>0</v>
      </c>
      <c r="H179" s="273">
        <f t="shared" si="40"/>
        <v>0</v>
      </c>
      <c r="I179" s="238">
        <f t="shared" si="49"/>
        <v>0</v>
      </c>
      <c r="J179" s="237">
        <f t="shared" si="41"/>
        <v>0</v>
      </c>
      <c r="K179" s="269">
        <f t="shared" si="42"/>
        <v>0</v>
      </c>
      <c r="L179" s="239">
        <f t="shared" si="43"/>
        <v>0</v>
      </c>
      <c r="M179" s="275" t="e">
        <f t="shared" si="44"/>
        <v>#DIV/0!</v>
      </c>
      <c r="N179" s="3"/>
      <c r="O179" s="1">
        <f t="shared" si="51"/>
        <v>159</v>
      </c>
      <c r="P179" s="182">
        <f t="shared" si="51"/>
        <v>46216</v>
      </c>
      <c r="Q179" s="241">
        <f>ROUND(SUMIFS(BS_RE33!$U$7:$U$874,BS_RE33!$S$7:$S$874,'Summary &amp; Working File(Ccy)'!P179,BS_RE33!$N$7:$N$874,'Summary &amp; Working File(Ccy)'!$Q$10,BS_RE33!$F$7:$F$874,$J$3)+SUMIF($P$13:$P$19,P179,$Q$13:$Q$19),2)</f>
        <v>0</v>
      </c>
      <c r="R179" s="242">
        <f>ROUND(SUMIFS(BS_RE33!$U$7:$U$874,BS_RE33!$S$7:$S$874,'Summary &amp; Working File(Ccy)'!P179,BS_RE33!$N$7:$N$874,'Summary &amp; Working File(Ccy)'!$R$10,BS_RE33!$F$7:$F$874,$J$3)+SUMIF($P$13:$P$19,P179,$R$13:$R$19),2)</f>
        <v>0</v>
      </c>
    </row>
    <row r="180" spans="2:18">
      <c r="B180" s="243">
        <f t="shared" si="50"/>
        <v>160</v>
      </c>
      <c r="C180" s="247">
        <f t="shared" si="50"/>
        <v>46217</v>
      </c>
      <c r="D180" s="245">
        <f t="shared" si="46"/>
        <v>0</v>
      </c>
      <c r="E180" s="235">
        <f t="shared" si="48"/>
        <v>0</v>
      </c>
      <c r="F180" s="236">
        <f t="shared" si="39"/>
        <v>0</v>
      </c>
      <c r="G180" s="237">
        <f t="shared" si="38"/>
        <v>0</v>
      </c>
      <c r="H180" s="273">
        <f t="shared" si="40"/>
        <v>0</v>
      </c>
      <c r="I180" s="238">
        <f t="shared" si="49"/>
        <v>0</v>
      </c>
      <c r="J180" s="237">
        <f t="shared" si="41"/>
        <v>0</v>
      </c>
      <c r="K180" s="269">
        <f t="shared" si="42"/>
        <v>0</v>
      </c>
      <c r="L180" s="239">
        <f t="shared" si="43"/>
        <v>0</v>
      </c>
      <c r="M180" s="275" t="e">
        <f t="shared" si="44"/>
        <v>#DIV/0!</v>
      </c>
      <c r="N180" s="3"/>
      <c r="O180" s="1">
        <f t="shared" si="51"/>
        <v>160</v>
      </c>
      <c r="P180" s="182">
        <f t="shared" si="51"/>
        <v>46217</v>
      </c>
      <c r="Q180" s="241">
        <f>ROUND(SUMIFS(BS_RE33!$U$7:$U$874,BS_RE33!$S$7:$S$874,'Summary &amp; Working File(Ccy)'!P180,BS_RE33!$N$7:$N$874,'Summary &amp; Working File(Ccy)'!$Q$10,BS_RE33!$F$7:$F$874,$J$3)+SUMIF($P$13:$P$19,P180,$Q$13:$Q$19),2)</f>
        <v>0</v>
      </c>
      <c r="R180" s="242">
        <f>ROUND(SUMIFS(BS_RE33!$U$7:$U$874,BS_RE33!$S$7:$S$874,'Summary &amp; Working File(Ccy)'!P180,BS_RE33!$N$7:$N$874,'Summary &amp; Working File(Ccy)'!$R$10,BS_RE33!$F$7:$F$874,$J$3)+SUMIF($P$13:$P$19,P180,$R$13:$R$19),2)</f>
        <v>0</v>
      </c>
    </row>
    <row r="181" spans="2:18">
      <c r="B181" s="243">
        <f t="shared" si="50"/>
        <v>161</v>
      </c>
      <c r="C181" s="247">
        <f t="shared" si="50"/>
        <v>46218</v>
      </c>
      <c r="D181" s="245">
        <f t="shared" si="46"/>
        <v>0</v>
      </c>
      <c r="E181" s="235">
        <f t="shared" si="48"/>
        <v>0</v>
      </c>
      <c r="F181" s="236">
        <f t="shared" si="39"/>
        <v>0</v>
      </c>
      <c r="G181" s="237">
        <f t="shared" si="38"/>
        <v>0</v>
      </c>
      <c r="H181" s="273">
        <f t="shared" si="40"/>
        <v>0</v>
      </c>
      <c r="I181" s="238">
        <f t="shared" si="49"/>
        <v>0</v>
      </c>
      <c r="J181" s="237">
        <f t="shared" si="41"/>
        <v>0</v>
      </c>
      <c r="K181" s="269">
        <f t="shared" si="42"/>
        <v>0</v>
      </c>
      <c r="L181" s="239">
        <f t="shared" si="43"/>
        <v>0</v>
      </c>
      <c r="M181" s="275" t="e">
        <f t="shared" si="44"/>
        <v>#DIV/0!</v>
      </c>
      <c r="N181" s="3"/>
      <c r="O181" s="1">
        <f t="shared" si="51"/>
        <v>161</v>
      </c>
      <c r="P181" s="182">
        <f t="shared" si="51"/>
        <v>46218</v>
      </c>
      <c r="Q181" s="241">
        <f>ROUND(SUMIFS(BS_RE33!$U$7:$U$874,BS_RE33!$S$7:$S$874,'Summary &amp; Working File(Ccy)'!P181,BS_RE33!$N$7:$N$874,'Summary &amp; Working File(Ccy)'!$Q$10,BS_RE33!$F$7:$F$874,$J$3)+SUMIF($P$13:$P$19,P181,$Q$13:$Q$19),2)</f>
        <v>0</v>
      </c>
      <c r="R181" s="242">
        <f>ROUND(SUMIFS(BS_RE33!$U$7:$U$874,BS_RE33!$S$7:$S$874,'Summary &amp; Working File(Ccy)'!P181,BS_RE33!$N$7:$N$874,'Summary &amp; Working File(Ccy)'!$R$10,BS_RE33!$F$7:$F$874,$J$3)+SUMIF($P$13:$P$19,P181,$R$13:$R$19),2)</f>
        <v>0</v>
      </c>
    </row>
    <row r="182" spans="2:18">
      <c r="B182" s="243">
        <f t="shared" si="50"/>
        <v>162</v>
      </c>
      <c r="C182" s="247">
        <f t="shared" si="50"/>
        <v>46219</v>
      </c>
      <c r="D182" s="245">
        <f t="shared" si="46"/>
        <v>0</v>
      </c>
      <c r="E182" s="235">
        <f t="shared" si="48"/>
        <v>0</v>
      </c>
      <c r="F182" s="236">
        <f t="shared" si="39"/>
        <v>0</v>
      </c>
      <c r="G182" s="237">
        <f t="shared" si="38"/>
        <v>0</v>
      </c>
      <c r="H182" s="273">
        <f t="shared" si="40"/>
        <v>0</v>
      </c>
      <c r="I182" s="238">
        <f t="shared" si="49"/>
        <v>0</v>
      </c>
      <c r="J182" s="237">
        <f t="shared" si="41"/>
        <v>0</v>
      </c>
      <c r="K182" s="269">
        <f t="shared" si="42"/>
        <v>0</v>
      </c>
      <c r="L182" s="239">
        <f t="shared" si="43"/>
        <v>0</v>
      </c>
      <c r="M182" s="275" t="e">
        <f t="shared" si="44"/>
        <v>#DIV/0!</v>
      </c>
      <c r="N182" s="3"/>
      <c r="O182" s="1">
        <f t="shared" si="51"/>
        <v>162</v>
      </c>
      <c r="P182" s="182">
        <f t="shared" si="51"/>
        <v>46219</v>
      </c>
      <c r="Q182" s="241">
        <f>ROUND(SUMIFS(BS_RE33!$U$7:$U$874,BS_RE33!$S$7:$S$874,'Summary &amp; Working File(Ccy)'!P182,BS_RE33!$N$7:$N$874,'Summary &amp; Working File(Ccy)'!$Q$10,BS_RE33!$F$7:$F$874,$J$3)+SUMIF($P$13:$P$19,P182,$Q$13:$Q$19),2)</f>
        <v>0</v>
      </c>
      <c r="R182" s="242">
        <f>ROUND(SUMIFS(BS_RE33!$U$7:$U$874,BS_RE33!$S$7:$S$874,'Summary &amp; Working File(Ccy)'!P182,BS_RE33!$N$7:$N$874,'Summary &amp; Working File(Ccy)'!$R$10,BS_RE33!$F$7:$F$874,$J$3)+SUMIF($P$13:$P$19,P182,$R$13:$R$19),2)</f>
        <v>0</v>
      </c>
    </row>
    <row r="183" spans="2:18">
      <c r="B183" s="243">
        <f t="shared" ref="B183:C198" si="52">B182+1</f>
        <v>163</v>
      </c>
      <c r="C183" s="247">
        <f t="shared" si="52"/>
        <v>46220</v>
      </c>
      <c r="D183" s="245">
        <f t="shared" si="46"/>
        <v>0</v>
      </c>
      <c r="E183" s="235">
        <f t="shared" si="48"/>
        <v>0</v>
      </c>
      <c r="F183" s="236">
        <f t="shared" si="39"/>
        <v>0</v>
      </c>
      <c r="G183" s="237">
        <f t="shared" si="38"/>
        <v>0</v>
      </c>
      <c r="H183" s="273">
        <f t="shared" si="40"/>
        <v>0</v>
      </c>
      <c r="I183" s="238">
        <f t="shared" si="49"/>
        <v>0</v>
      </c>
      <c r="J183" s="237">
        <f t="shared" si="41"/>
        <v>0</v>
      </c>
      <c r="K183" s="269">
        <f t="shared" si="42"/>
        <v>0</v>
      </c>
      <c r="L183" s="239">
        <f t="shared" si="43"/>
        <v>0</v>
      </c>
      <c r="M183" s="275" t="e">
        <f t="shared" si="44"/>
        <v>#DIV/0!</v>
      </c>
      <c r="N183" s="3"/>
      <c r="O183" s="1">
        <f t="shared" ref="O183:P198" si="53">O182+1</f>
        <v>163</v>
      </c>
      <c r="P183" s="182">
        <f t="shared" si="53"/>
        <v>46220</v>
      </c>
      <c r="Q183" s="241">
        <f>ROUND(SUMIFS(BS_RE33!$U$7:$U$874,BS_RE33!$S$7:$S$874,'Summary &amp; Working File(Ccy)'!P183,BS_RE33!$N$7:$N$874,'Summary &amp; Working File(Ccy)'!$Q$10,BS_RE33!$F$7:$F$874,$J$3)+SUMIF($P$13:$P$19,P183,$Q$13:$Q$19),2)</f>
        <v>0</v>
      </c>
      <c r="R183" s="242">
        <f>ROUND(SUMIFS(BS_RE33!$U$7:$U$874,BS_RE33!$S$7:$S$874,'Summary &amp; Working File(Ccy)'!P183,BS_RE33!$N$7:$N$874,'Summary &amp; Working File(Ccy)'!$R$10,BS_RE33!$F$7:$F$874,$J$3)+SUMIF($P$13:$P$19,P183,$R$13:$R$19),2)</f>
        <v>0</v>
      </c>
    </row>
    <row r="184" spans="2:18">
      <c r="B184" s="243">
        <f t="shared" si="52"/>
        <v>164</v>
      </c>
      <c r="C184" s="247">
        <f t="shared" si="52"/>
        <v>46221</v>
      </c>
      <c r="D184" s="245">
        <f t="shared" si="46"/>
        <v>0</v>
      </c>
      <c r="E184" s="235">
        <f t="shared" si="48"/>
        <v>0</v>
      </c>
      <c r="F184" s="236">
        <f t="shared" si="39"/>
        <v>0</v>
      </c>
      <c r="G184" s="237">
        <f t="shared" si="38"/>
        <v>0</v>
      </c>
      <c r="H184" s="273">
        <f t="shared" si="40"/>
        <v>0</v>
      </c>
      <c r="I184" s="238">
        <f t="shared" si="49"/>
        <v>0</v>
      </c>
      <c r="J184" s="237">
        <f t="shared" si="41"/>
        <v>0</v>
      </c>
      <c r="K184" s="269">
        <f t="shared" si="42"/>
        <v>0</v>
      </c>
      <c r="L184" s="239">
        <f t="shared" si="43"/>
        <v>0</v>
      </c>
      <c r="M184" s="275" t="e">
        <f t="shared" si="44"/>
        <v>#DIV/0!</v>
      </c>
      <c r="N184" s="3"/>
      <c r="O184" s="1">
        <f t="shared" si="53"/>
        <v>164</v>
      </c>
      <c r="P184" s="182">
        <f t="shared" si="53"/>
        <v>46221</v>
      </c>
      <c r="Q184" s="241">
        <f>ROUND(SUMIFS(BS_RE33!$U$7:$U$874,BS_RE33!$S$7:$S$874,'Summary &amp; Working File(Ccy)'!P184,BS_RE33!$N$7:$N$874,'Summary &amp; Working File(Ccy)'!$Q$10,BS_RE33!$F$7:$F$874,$J$3)+SUMIF($P$13:$P$19,P184,$Q$13:$Q$19),2)</f>
        <v>0</v>
      </c>
      <c r="R184" s="242">
        <f>ROUND(SUMIFS(BS_RE33!$U$7:$U$874,BS_RE33!$S$7:$S$874,'Summary &amp; Working File(Ccy)'!P184,BS_RE33!$N$7:$N$874,'Summary &amp; Working File(Ccy)'!$R$10,BS_RE33!$F$7:$F$874,$J$3)+SUMIF($P$13:$P$19,P184,$R$13:$R$19),2)</f>
        <v>0</v>
      </c>
    </row>
    <row r="185" spans="2:18">
      <c r="B185" s="243">
        <f t="shared" si="52"/>
        <v>165</v>
      </c>
      <c r="C185" s="247">
        <f t="shared" si="52"/>
        <v>46222</v>
      </c>
      <c r="D185" s="245">
        <f t="shared" si="46"/>
        <v>0</v>
      </c>
      <c r="E185" s="235">
        <f t="shared" si="48"/>
        <v>0</v>
      </c>
      <c r="F185" s="236">
        <f t="shared" si="39"/>
        <v>0</v>
      </c>
      <c r="G185" s="237">
        <f t="shared" si="38"/>
        <v>0</v>
      </c>
      <c r="H185" s="273">
        <f t="shared" si="40"/>
        <v>0</v>
      </c>
      <c r="I185" s="238">
        <f t="shared" si="49"/>
        <v>0</v>
      </c>
      <c r="J185" s="237">
        <f t="shared" si="41"/>
        <v>0</v>
      </c>
      <c r="K185" s="269">
        <f t="shared" si="42"/>
        <v>0</v>
      </c>
      <c r="L185" s="239">
        <f t="shared" si="43"/>
        <v>0</v>
      </c>
      <c r="M185" s="275" t="e">
        <f t="shared" si="44"/>
        <v>#DIV/0!</v>
      </c>
      <c r="N185" s="3"/>
      <c r="O185" s="1">
        <f t="shared" si="53"/>
        <v>165</v>
      </c>
      <c r="P185" s="182">
        <f t="shared" si="53"/>
        <v>46222</v>
      </c>
      <c r="Q185" s="241">
        <f>ROUND(SUMIFS(BS_RE33!$U$7:$U$874,BS_RE33!$S$7:$S$874,'Summary &amp; Working File(Ccy)'!P185,BS_RE33!$N$7:$N$874,'Summary &amp; Working File(Ccy)'!$Q$10,BS_RE33!$F$7:$F$874,$J$3)+SUMIF($P$13:$P$19,P185,$Q$13:$Q$19),2)</f>
        <v>0</v>
      </c>
      <c r="R185" s="242">
        <f>ROUND(SUMIFS(BS_RE33!$U$7:$U$874,BS_RE33!$S$7:$S$874,'Summary &amp; Working File(Ccy)'!P185,BS_RE33!$N$7:$N$874,'Summary &amp; Working File(Ccy)'!$R$10,BS_RE33!$F$7:$F$874,$J$3)+SUMIF($P$13:$P$19,P185,$R$13:$R$19),2)</f>
        <v>0</v>
      </c>
    </row>
    <row r="186" spans="2:18">
      <c r="B186" s="243">
        <f t="shared" si="52"/>
        <v>166</v>
      </c>
      <c r="C186" s="247">
        <f t="shared" si="52"/>
        <v>46223</v>
      </c>
      <c r="D186" s="245">
        <f t="shared" si="46"/>
        <v>0</v>
      </c>
      <c r="E186" s="235">
        <f t="shared" si="48"/>
        <v>0</v>
      </c>
      <c r="F186" s="236">
        <f t="shared" si="39"/>
        <v>0</v>
      </c>
      <c r="G186" s="237">
        <f t="shared" si="38"/>
        <v>0</v>
      </c>
      <c r="H186" s="273">
        <f t="shared" si="40"/>
        <v>0</v>
      </c>
      <c r="I186" s="238">
        <f t="shared" si="49"/>
        <v>0</v>
      </c>
      <c r="J186" s="237">
        <f t="shared" si="41"/>
        <v>0</v>
      </c>
      <c r="K186" s="269">
        <f t="shared" si="42"/>
        <v>0</v>
      </c>
      <c r="L186" s="239">
        <f t="shared" si="43"/>
        <v>0</v>
      </c>
      <c r="M186" s="275" t="e">
        <f t="shared" si="44"/>
        <v>#DIV/0!</v>
      </c>
      <c r="N186" s="3"/>
      <c r="O186" s="1">
        <f t="shared" si="53"/>
        <v>166</v>
      </c>
      <c r="P186" s="182">
        <f t="shared" si="53"/>
        <v>46223</v>
      </c>
      <c r="Q186" s="241">
        <f>ROUND(SUMIFS(BS_RE33!$U$7:$U$874,BS_RE33!$S$7:$S$874,'Summary &amp; Working File(Ccy)'!P186,BS_RE33!$N$7:$N$874,'Summary &amp; Working File(Ccy)'!$Q$10,BS_RE33!$F$7:$F$874,$J$3)+SUMIF($P$13:$P$19,P186,$Q$13:$Q$19),2)</f>
        <v>0</v>
      </c>
      <c r="R186" s="242">
        <f>ROUND(SUMIFS(BS_RE33!$U$7:$U$874,BS_RE33!$S$7:$S$874,'Summary &amp; Working File(Ccy)'!P186,BS_RE33!$N$7:$N$874,'Summary &amp; Working File(Ccy)'!$R$10,BS_RE33!$F$7:$F$874,$J$3)+SUMIF($P$13:$P$19,P186,$R$13:$R$19),2)</f>
        <v>0</v>
      </c>
    </row>
    <row r="187" spans="2:18">
      <c r="B187" s="243">
        <f t="shared" si="52"/>
        <v>167</v>
      </c>
      <c r="C187" s="247">
        <f t="shared" si="52"/>
        <v>46224</v>
      </c>
      <c r="D187" s="245">
        <f t="shared" si="46"/>
        <v>0</v>
      </c>
      <c r="E187" s="235">
        <f t="shared" si="48"/>
        <v>0</v>
      </c>
      <c r="F187" s="236">
        <f t="shared" si="39"/>
        <v>0</v>
      </c>
      <c r="G187" s="237">
        <f t="shared" si="38"/>
        <v>0</v>
      </c>
      <c r="H187" s="273">
        <f t="shared" si="40"/>
        <v>0</v>
      </c>
      <c r="I187" s="238">
        <f t="shared" si="49"/>
        <v>0</v>
      </c>
      <c r="J187" s="237">
        <f t="shared" si="41"/>
        <v>0</v>
      </c>
      <c r="K187" s="269">
        <f t="shared" si="42"/>
        <v>0</v>
      </c>
      <c r="L187" s="239">
        <f t="shared" si="43"/>
        <v>0</v>
      </c>
      <c r="M187" s="275" t="e">
        <f t="shared" si="44"/>
        <v>#DIV/0!</v>
      </c>
      <c r="N187" s="3"/>
      <c r="O187" s="1">
        <f t="shared" si="53"/>
        <v>167</v>
      </c>
      <c r="P187" s="182">
        <f t="shared" si="53"/>
        <v>46224</v>
      </c>
      <c r="Q187" s="241">
        <f>ROUND(SUMIFS(BS_RE33!$U$7:$U$874,BS_RE33!$S$7:$S$874,'Summary &amp; Working File(Ccy)'!P187,BS_RE33!$N$7:$N$874,'Summary &amp; Working File(Ccy)'!$Q$10,BS_RE33!$F$7:$F$874,$J$3)+SUMIF($P$13:$P$19,P187,$Q$13:$Q$19),2)</f>
        <v>0</v>
      </c>
      <c r="R187" s="242">
        <f>ROUND(SUMIFS(BS_RE33!$U$7:$U$874,BS_RE33!$S$7:$S$874,'Summary &amp; Working File(Ccy)'!P187,BS_RE33!$N$7:$N$874,'Summary &amp; Working File(Ccy)'!$R$10,BS_RE33!$F$7:$F$874,$J$3)+SUMIF($P$13:$P$19,P187,$R$13:$R$19),2)</f>
        <v>0</v>
      </c>
    </row>
    <row r="188" spans="2:18">
      <c r="B188" s="243">
        <f t="shared" si="52"/>
        <v>168</v>
      </c>
      <c r="C188" s="247">
        <f t="shared" si="52"/>
        <v>46225</v>
      </c>
      <c r="D188" s="245">
        <f t="shared" si="46"/>
        <v>0</v>
      </c>
      <c r="E188" s="235">
        <f t="shared" si="48"/>
        <v>0</v>
      </c>
      <c r="F188" s="236">
        <f t="shared" si="39"/>
        <v>0</v>
      </c>
      <c r="G188" s="237">
        <f t="shared" si="38"/>
        <v>0</v>
      </c>
      <c r="H188" s="273">
        <f t="shared" si="40"/>
        <v>0</v>
      </c>
      <c r="I188" s="238">
        <f t="shared" si="49"/>
        <v>0</v>
      </c>
      <c r="J188" s="237">
        <f t="shared" si="41"/>
        <v>0</v>
      </c>
      <c r="K188" s="269">
        <f t="shared" si="42"/>
        <v>0</v>
      </c>
      <c r="L188" s="239">
        <f t="shared" si="43"/>
        <v>0</v>
      </c>
      <c r="M188" s="275" t="e">
        <f t="shared" si="44"/>
        <v>#DIV/0!</v>
      </c>
      <c r="N188" s="3"/>
      <c r="O188" s="1">
        <f t="shared" si="53"/>
        <v>168</v>
      </c>
      <c r="P188" s="182">
        <f t="shared" si="53"/>
        <v>46225</v>
      </c>
      <c r="Q188" s="241">
        <f>ROUND(SUMIFS(BS_RE33!$U$7:$U$874,BS_RE33!$S$7:$S$874,'Summary &amp; Working File(Ccy)'!P188,BS_RE33!$N$7:$N$874,'Summary &amp; Working File(Ccy)'!$Q$10,BS_RE33!$F$7:$F$874,$J$3)+SUMIF($P$13:$P$19,P188,$Q$13:$Q$19),2)</f>
        <v>0</v>
      </c>
      <c r="R188" s="242">
        <f>ROUND(SUMIFS(BS_RE33!$U$7:$U$874,BS_RE33!$S$7:$S$874,'Summary &amp; Working File(Ccy)'!P188,BS_RE33!$N$7:$N$874,'Summary &amp; Working File(Ccy)'!$R$10,BS_RE33!$F$7:$F$874,$J$3)+SUMIF($P$13:$P$19,P188,$R$13:$R$19),2)</f>
        <v>0</v>
      </c>
    </row>
    <row r="189" spans="2:18">
      <c r="B189" s="243">
        <f t="shared" si="52"/>
        <v>169</v>
      </c>
      <c r="C189" s="247">
        <f t="shared" si="52"/>
        <v>46226</v>
      </c>
      <c r="D189" s="245">
        <f t="shared" si="46"/>
        <v>0</v>
      </c>
      <c r="E189" s="235">
        <f t="shared" si="48"/>
        <v>0</v>
      </c>
      <c r="F189" s="236">
        <f t="shared" si="39"/>
        <v>0</v>
      </c>
      <c r="G189" s="237">
        <f t="shared" si="38"/>
        <v>0</v>
      </c>
      <c r="H189" s="273">
        <f t="shared" si="40"/>
        <v>0</v>
      </c>
      <c r="I189" s="238">
        <f t="shared" si="49"/>
        <v>0</v>
      </c>
      <c r="J189" s="237">
        <f t="shared" si="41"/>
        <v>0</v>
      </c>
      <c r="K189" s="269">
        <f t="shared" si="42"/>
        <v>0</v>
      </c>
      <c r="L189" s="239">
        <f t="shared" si="43"/>
        <v>0</v>
      </c>
      <c r="M189" s="275" t="e">
        <f t="shared" si="44"/>
        <v>#DIV/0!</v>
      </c>
      <c r="N189" s="3"/>
      <c r="O189" s="1">
        <f t="shared" si="53"/>
        <v>169</v>
      </c>
      <c r="P189" s="182">
        <f t="shared" si="53"/>
        <v>46226</v>
      </c>
      <c r="Q189" s="241">
        <f>ROUND(SUMIFS(BS_RE33!$U$7:$U$874,BS_RE33!$S$7:$S$874,'Summary &amp; Working File(Ccy)'!P189,BS_RE33!$N$7:$N$874,'Summary &amp; Working File(Ccy)'!$Q$10,BS_RE33!$F$7:$F$874,$J$3)+SUMIF($P$13:$P$19,P189,$Q$13:$Q$19),2)</f>
        <v>0</v>
      </c>
      <c r="R189" s="242">
        <f>ROUND(SUMIFS(BS_RE33!$U$7:$U$874,BS_RE33!$S$7:$S$874,'Summary &amp; Working File(Ccy)'!P189,BS_RE33!$N$7:$N$874,'Summary &amp; Working File(Ccy)'!$R$10,BS_RE33!$F$7:$F$874,$J$3)+SUMIF($P$13:$P$19,P189,$R$13:$R$19),2)</f>
        <v>0</v>
      </c>
    </row>
    <row r="190" spans="2:18">
      <c r="B190" s="243">
        <f t="shared" si="52"/>
        <v>170</v>
      </c>
      <c r="C190" s="247">
        <f t="shared" si="52"/>
        <v>46227</v>
      </c>
      <c r="D190" s="245">
        <f t="shared" si="46"/>
        <v>0</v>
      </c>
      <c r="E190" s="235">
        <f t="shared" si="48"/>
        <v>0</v>
      </c>
      <c r="F190" s="236">
        <f t="shared" si="39"/>
        <v>0</v>
      </c>
      <c r="G190" s="237">
        <f t="shared" si="38"/>
        <v>0</v>
      </c>
      <c r="H190" s="273">
        <f t="shared" si="40"/>
        <v>0</v>
      </c>
      <c r="I190" s="238">
        <f t="shared" si="49"/>
        <v>0</v>
      </c>
      <c r="J190" s="237">
        <f t="shared" si="41"/>
        <v>0</v>
      </c>
      <c r="K190" s="269">
        <f t="shared" si="42"/>
        <v>0</v>
      </c>
      <c r="L190" s="239">
        <f t="shared" si="43"/>
        <v>0</v>
      </c>
      <c r="M190" s="275" t="e">
        <f t="shared" si="44"/>
        <v>#DIV/0!</v>
      </c>
      <c r="N190" s="3"/>
      <c r="O190" s="1">
        <f t="shared" si="53"/>
        <v>170</v>
      </c>
      <c r="P190" s="182">
        <f t="shared" si="53"/>
        <v>46227</v>
      </c>
      <c r="Q190" s="241">
        <f>ROUND(SUMIFS(BS_RE33!$U$7:$U$874,BS_RE33!$S$7:$S$874,'Summary &amp; Working File(Ccy)'!P190,BS_RE33!$N$7:$N$874,'Summary &amp; Working File(Ccy)'!$Q$10,BS_RE33!$F$7:$F$874,$J$3)+SUMIF($P$13:$P$19,P190,$Q$13:$Q$19),2)</f>
        <v>0</v>
      </c>
      <c r="R190" s="242">
        <f>ROUND(SUMIFS(BS_RE33!$U$7:$U$874,BS_RE33!$S$7:$S$874,'Summary &amp; Working File(Ccy)'!P190,BS_RE33!$N$7:$N$874,'Summary &amp; Working File(Ccy)'!$R$10,BS_RE33!$F$7:$F$874,$J$3)+SUMIF($P$13:$P$19,P190,$R$13:$R$19),2)</f>
        <v>0</v>
      </c>
    </row>
    <row r="191" spans="2:18">
      <c r="B191" s="243">
        <f t="shared" si="52"/>
        <v>171</v>
      </c>
      <c r="C191" s="247">
        <f t="shared" si="52"/>
        <v>46228</v>
      </c>
      <c r="D191" s="245">
        <f t="shared" si="46"/>
        <v>0</v>
      </c>
      <c r="E191" s="235">
        <f t="shared" si="48"/>
        <v>0</v>
      </c>
      <c r="F191" s="236">
        <f t="shared" si="39"/>
        <v>0</v>
      </c>
      <c r="G191" s="237">
        <f t="shared" si="38"/>
        <v>0</v>
      </c>
      <c r="H191" s="273">
        <f t="shared" si="40"/>
        <v>0</v>
      </c>
      <c r="I191" s="238">
        <f t="shared" si="49"/>
        <v>0</v>
      </c>
      <c r="J191" s="237">
        <f t="shared" si="41"/>
        <v>0</v>
      </c>
      <c r="K191" s="269">
        <f t="shared" si="42"/>
        <v>0</v>
      </c>
      <c r="L191" s="239">
        <f t="shared" si="43"/>
        <v>0</v>
      </c>
      <c r="M191" s="275" t="e">
        <f t="shared" si="44"/>
        <v>#DIV/0!</v>
      </c>
      <c r="N191" s="3"/>
      <c r="O191" s="1">
        <f t="shared" si="53"/>
        <v>171</v>
      </c>
      <c r="P191" s="182">
        <f t="shared" si="53"/>
        <v>46228</v>
      </c>
      <c r="Q191" s="241">
        <f>ROUND(SUMIFS(BS_RE33!$U$7:$U$874,BS_RE33!$S$7:$S$874,'Summary &amp; Working File(Ccy)'!P191,BS_RE33!$N$7:$N$874,'Summary &amp; Working File(Ccy)'!$Q$10,BS_RE33!$F$7:$F$874,$J$3)+SUMIF($P$13:$P$19,P191,$Q$13:$Q$19),2)</f>
        <v>0</v>
      </c>
      <c r="R191" s="242">
        <f>ROUND(SUMIFS(BS_RE33!$U$7:$U$874,BS_RE33!$S$7:$S$874,'Summary &amp; Working File(Ccy)'!P191,BS_RE33!$N$7:$N$874,'Summary &amp; Working File(Ccy)'!$R$10,BS_RE33!$F$7:$F$874,$J$3)+SUMIF($P$13:$P$19,P191,$R$13:$R$19),2)</f>
        <v>0</v>
      </c>
    </row>
    <row r="192" spans="2:18">
      <c r="B192" s="243">
        <f t="shared" si="52"/>
        <v>172</v>
      </c>
      <c r="C192" s="247">
        <f t="shared" si="52"/>
        <v>46229</v>
      </c>
      <c r="D192" s="245">
        <f t="shared" si="46"/>
        <v>0</v>
      </c>
      <c r="E192" s="235">
        <f t="shared" si="48"/>
        <v>0</v>
      </c>
      <c r="F192" s="236">
        <f t="shared" si="39"/>
        <v>0</v>
      </c>
      <c r="G192" s="237">
        <f t="shared" si="38"/>
        <v>0</v>
      </c>
      <c r="H192" s="273">
        <f t="shared" si="40"/>
        <v>0</v>
      </c>
      <c r="I192" s="238">
        <f t="shared" si="49"/>
        <v>0</v>
      </c>
      <c r="J192" s="237">
        <f t="shared" si="41"/>
        <v>0</v>
      </c>
      <c r="K192" s="269">
        <f t="shared" si="42"/>
        <v>0</v>
      </c>
      <c r="L192" s="239">
        <f t="shared" si="43"/>
        <v>0</v>
      </c>
      <c r="M192" s="275" t="e">
        <f t="shared" si="44"/>
        <v>#DIV/0!</v>
      </c>
      <c r="N192" s="3"/>
      <c r="O192" s="1">
        <f t="shared" si="53"/>
        <v>172</v>
      </c>
      <c r="P192" s="182">
        <f t="shared" si="53"/>
        <v>46229</v>
      </c>
      <c r="Q192" s="241">
        <f>ROUND(SUMIFS(BS_RE33!$U$7:$U$874,BS_RE33!$S$7:$S$874,'Summary &amp; Working File(Ccy)'!P192,BS_RE33!$N$7:$N$874,'Summary &amp; Working File(Ccy)'!$Q$10,BS_RE33!$F$7:$F$874,$J$3)+SUMIF($P$13:$P$19,P192,$Q$13:$Q$19),2)</f>
        <v>0</v>
      </c>
      <c r="R192" s="242">
        <f>ROUND(SUMIFS(BS_RE33!$U$7:$U$874,BS_RE33!$S$7:$S$874,'Summary &amp; Working File(Ccy)'!P192,BS_RE33!$N$7:$N$874,'Summary &amp; Working File(Ccy)'!$R$10,BS_RE33!$F$7:$F$874,$J$3)+SUMIF($P$13:$P$19,P192,$R$13:$R$19),2)</f>
        <v>0</v>
      </c>
    </row>
    <row r="193" spans="2:18">
      <c r="B193" s="243">
        <f t="shared" si="52"/>
        <v>173</v>
      </c>
      <c r="C193" s="247">
        <f t="shared" si="52"/>
        <v>46230</v>
      </c>
      <c r="D193" s="245">
        <f t="shared" si="46"/>
        <v>0</v>
      </c>
      <c r="E193" s="235">
        <f t="shared" si="48"/>
        <v>0</v>
      </c>
      <c r="F193" s="236">
        <f t="shared" si="39"/>
        <v>0</v>
      </c>
      <c r="G193" s="237">
        <f t="shared" si="38"/>
        <v>0</v>
      </c>
      <c r="H193" s="273">
        <f t="shared" si="40"/>
        <v>0</v>
      </c>
      <c r="I193" s="238">
        <f t="shared" si="49"/>
        <v>0</v>
      </c>
      <c r="J193" s="237">
        <f t="shared" si="41"/>
        <v>0</v>
      </c>
      <c r="K193" s="269">
        <f t="shared" si="42"/>
        <v>0</v>
      </c>
      <c r="L193" s="239">
        <f t="shared" si="43"/>
        <v>0</v>
      </c>
      <c r="M193" s="275" t="e">
        <f t="shared" si="44"/>
        <v>#DIV/0!</v>
      </c>
      <c r="N193" s="3"/>
      <c r="O193" s="1">
        <f t="shared" si="53"/>
        <v>173</v>
      </c>
      <c r="P193" s="182">
        <f t="shared" si="53"/>
        <v>46230</v>
      </c>
      <c r="Q193" s="241">
        <f>ROUND(SUMIFS(BS_RE33!$U$7:$U$874,BS_RE33!$S$7:$S$874,'Summary &amp; Working File(Ccy)'!P193,BS_RE33!$N$7:$N$874,'Summary &amp; Working File(Ccy)'!$Q$10,BS_RE33!$F$7:$F$874,$J$3)+SUMIF($P$13:$P$19,P193,$Q$13:$Q$19),2)</f>
        <v>0</v>
      </c>
      <c r="R193" s="242">
        <f>ROUND(SUMIFS(BS_RE33!$U$7:$U$874,BS_RE33!$S$7:$S$874,'Summary &amp; Working File(Ccy)'!P193,BS_RE33!$N$7:$N$874,'Summary &amp; Working File(Ccy)'!$R$10,BS_RE33!$F$7:$F$874,$J$3)+SUMIF($P$13:$P$19,P193,$R$13:$R$19),2)</f>
        <v>0</v>
      </c>
    </row>
    <row r="194" spans="2:18">
      <c r="B194" s="243">
        <f t="shared" si="52"/>
        <v>174</v>
      </c>
      <c r="C194" s="247">
        <f t="shared" si="52"/>
        <v>46231</v>
      </c>
      <c r="D194" s="245">
        <f t="shared" si="46"/>
        <v>0</v>
      </c>
      <c r="E194" s="235">
        <f t="shared" si="48"/>
        <v>0</v>
      </c>
      <c r="F194" s="236">
        <f t="shared" si="39"/>
        <v>0</v>
      </c>
      <c r="G194" s="237">
        <f t="shared" si="38"/>
        <v>0</v>
      </c>
      <c r="H194" s="273">
        <f t="shared" si="40"/>
        <v>0</v>
      </c>
      <c r="I194" s="238">
        <f t="shared" si="49"/>
        <v>0</v>
      </c>
      <c r="J194" s="237">
        <f t="shared" si="41"/>
        <v>0</v>
      </c>
      <c r="K194" s="269">
        <f t="shared" si="42"/>
        <v>0</v>
      </c>
      <c r="L194" s="239">
        <f t="shared" si="43"/>
        <v>0</v>
      </c>
      <c r="M194" s="275" t="e">
        <f t="shared" si="44"/>
        <v>#DIV/0!</v>
      </c>
      <c r="N194" s="3"/>
      <c r="O194" s="1">
        <f t="shared" si="53"/>
        <v>174</v>
      </c>
      <c r="P194" s="182">
        <f t="shared" si="53"/>
        <v>46231</v>
      </c>
      <c r="Q194" s="241">
        <f>ROUND(SUMIFS(BS_RE33!$U$7:$U$874,BS_RE33!$S$7:$S$874,'Summary &amp; Working File(Ccy)'!P194,BS_RE33!$N$7:$N$874,'Summary &amp; Working File(Ccy)'!$Q$10,BS_RE33!$F$7:$F$874,$J$3)+SUMIF($P$13:$P$19,P194,$Q$13:$Q$19),2)</f>
        <v>0</v>
      </c>
      <c r="R194" s="242">
        <f>ROUND(SUMIFS(BS_RE33!$U$7:$U$874,BS_RE33!$S$7:$S$874,'Summary &amp; Working File(Ccy)'!P194,BS_RE33!$N$7:$N$874,'Summary &amp; Working File(Ccy)'!$R$10,BS_RE33!$F$7:$F$874,$J$3)+SUMIF($P$13:$P$19,P194,$R$13:$R$19),2)</f>
        <v>0</v>
      </c>
    </row>
    <row r="195" spans="2:18">
      <c r="B195" s="243">
        <f t="shared" si="52"/>
        <v>175</v>
      </c>
      <c r="C195" s="247">
        <f t="shared" si="52"/>
        <v>46232</v>
      </c>
      <c r="D195" s="245">
        <f t="shared" si="46"/>
        <v>0</v>
      </c>
      <c r="E195" s="235">
        <f t="shared" si="48"/>
        <v>0</v>
      </c>
      <c r="F195" s="236">
        <f t="shared" si="39"/>
        <v>0</v>
      </c>
      <c r="G195" s="237">
        <f t="shared" si="38"/>
        <v>0</v>
      </c>
      <c r="H195" s="273">
        <f t="shared" si="40"/>
        <v>0</v>
      </c>
      <c r="I195" s="238">
        <f t="shared" si="49"/>
        <v>0</v>
      </c>
      <c r="J195" s="237">
        <f t="shared" si="41"/>
        <v>0</v>
      </c>
      <c r="K195" s="269">
        <f t="shared" si="42"/>
        <v>0</v>
      </c>
      <c r="L195" s="239">
        <f t="shared" si="43"/>
        <v>0</v>
      </c>
      <c r="M195" s="275" t="e">
        <f t="shared" si="44"/>
        <v>#DIV/0!</v>
      </c>
      <c r="N195" s="3"/>
      <c r="O195" s="1">
        <f t="shared" si="53"/>
        <v>175</v>
      </c>
      <c r="P195" s="182">
        <f t="shared" si="53"/>
        <v>46232</v>
      </c>
      <c r="Q195" s="241">
        <f>ROUND(SUMIFS(BS_RE33!$U$7:$U$874,BS_RE33!$S$7:$S$874,'Summary &amp; Working File(Ccy)'!P195,BS_RE33!$N$7:$N$874,'Summary &amp; Working File(Ccy)'!$Q$10,BS_RE33!$F$7:$F$874,$J$3)+SUMIF($P$13:$P$19,P195,$Q$13:$Q$19),2)</f>
        <v>0</v>
      </c>
      <c r="R195" s="242">
        <f>ROUND(SUMIFS(BS_RE33!$U$7:$U$874,BS_RE33!$S$7:$S$874,'Summary &amp; Working File(Ccy)'!P195,BS_RE33!$N$7:$N$874,'Summary &amp; Working File(Ccy)'!$R$10,BS_RE33!$F$7:$F$874,$J$3)+SUMIF($P$13:$P$19,P195,$R$13:$R$19),2)</f>
        <v>0</v>
      </c>
    </row>
    <row r="196" spans="2:18">
      <c r="B196" s="243">
        <f t="shared" si="52"/>
        <v>176</v>
      </c>
      <c r="C196" s="247">
        <f t="shared" si="52"/>
        <v>46233</v>
      </c>
      <c r="D196" s="245">
        <f t="shared" si="46"/>
        <v>0</v>
      </c>
      <c r="E196" s="235">
        <f t="shared" si="48"/>
        <v>0</v>
      </c>
      <c r="F196" s="236">
        <f t="shared" si="39"/>
        <v>0</v>
      </c>
      <c r="G196" s="237">
        <f t="shared" si="38"/>
        <v>0</v>
      </c>
      <c r="H196" s="273">
        <f t="shared" si="40"/>
        <v>0</v>
      </c>
      <c r="I196" s="238">
        <f t="shared" si="49"/>
        <v>0</v>
      </c>
      <c r="J196" s="237">
        <f t="shared" si="41"/>
        <v>0</v>
      </c>
      <c r="K196" s="269">
        <f t="shared" si="42"/>
        <v>0</v>
      </c>
      <c r="L196" s="239">
        <f t="shared" si="43"/>
        <v>0</v>
      </c>
      <c r="M196" s="275" t="e">
        <f t="shared" si="44"/>
        <v>#DIV/0!</v>
      </c>
      <c r="N196" s="3"/>
      <c r="O196" s="1">
        <f t="shared" si="53"/>
        <v>176</v>
      </c>
      <c r="P196" s="182">
        <f t="shared" si="53"/>
        <v>46233</v>
      </c>
      <c r="Q196" s="241">
        <f>ROUND(SUMIFS(BS_RE33!$U$7:$U$874,BS_RE33!$S$7:$S$874,'Summary &amp; Working File(Ccy)'!P196,BS_RE33!$N$7:$N$874,'Summary &amp; Working File(Ccy)'!$Q$10,BS_RE33!$F$7:$F$874,$J$3)+SUMIF($P$13:$P$19,P196,$Q$13:$Q$19),2)</f>
        <v>0</v>
      </c>
      <c r="R196" s="242">
        <f>ROUND(SUMIFS(BS_RE33!$U$7:$U$874,BS_RE33!$S$7:$S$874,'Summary &amp; Working File(Ccy)'!P196,BS_RE33!$N$7:$N$874,'Summary &amp; Working File(Ccy)'!$R$10,BS_RE33!$F$7:$F$874,$J$3)+SUMIF($P$13:$P$19,P196,$R$13:$R$19),2)</f>
        <v>0</v>
      </c>
    </row>
    <row r="197" spans="2:18">
      <c r="B197" s="243">
        <f t="shared" si="52"/>
        <v>177</v>
      </c>
      <c r="C197" s="247">
        <f t="shared" si="52"/>
        <v>46234</v>
      </c>
      <c r="D197" s="245">
        <f t="shared" si="46"/>
        <v>0</v>
      </c>
      <c r="E197" s="235">
        <f t="shared" si="48"/>
        <v>0</v>
      </c>
      <c r="F197" s="236">
        <f t="shared" si="39"/>
        <v>0</v>
      </c>
      <c r="G197" s="237">
        <f t="shared" si="38"/>
        <v>0</v>
      </c>
      <c r="H197" s="273">
        <f t="shared" si="40"/>
        <v>0</v>
      </c>
      <c r="I197" s="238">
        <f t="shared" si="49"/>
        <v>0</v>
      </c>
      <c r="J197" s="237">
        <f t="shared" si="41"/>
        <v>0</v>
      </c>
      <c r="K197" s="269">
        <f t="shared" si="42"/>
        <v>0</v>
      </c>
      <c r="L197" s="239">
        <f t="shared" si="43"/>
        <v>0</v>
      </c>
      <c r="M197" s="275" t="e">
        <f t="shared" si="44"/>
        <v>#DIV/0!</v>
      </c>
      <c r="N197" s="3"/>
      <c r="O197" s="1">
        <f t="shared" si="53"/>
        <v>177</v>
      </c>
      <c r="P197" s="182">
        <f t="shared" si="53"/>
        <v>46234</v>
      </c>
      <c r="Q197" s="241">
        <f>ROUND(SUMIFS(BS_RE33!$U$7:$U$874,BS_RE33!$S$7:$S$874,'Summary &amp; Working File(Ccy)'!P197,BS_RE33!$N$7:$N$874,'Summary &amp; Working File(Ccy)'!$Q$10,BS_RE33!$F$7:$F$874,$J$3)+SUMIF($P$13:$P$19,P197,$Q$13:$Q$19),2)</f>
        <v>0</v>
      </c>
      <c r="R197" s="242">
        <f>ROUND(SUMIFS(BS_RE33!$U$7:$U$874,BS_RE33!$S$7:$S$874,'Summary &amp; Working File(Ccy)'!P197,BS_RE33!$N$7:$N$874,'Summary &amp; Working File(Ccy)'!$R$10,BS_RE33!$F$7:$F$874,$J$3)+SUMIF($P$13:$P$19,P197,$R$13:$R$19),2)</f>
        <v>0</v>
      </c>
    </row>
    <row r="198" spans="2:18">
      <c r="B198" s="243">
        <f t="shared" si="52"/>
        <v>178</v>
      </c>
      <c r="C198" s="247">
        <f t="shared" si="52"/>
        <v>46235</v>
      </c>
      <c r="D198" s="245">
        <f t="shared" si="46"/>
        <v>0</v>
      </c>
      <c r="E198" s="235">
        <f t="shared" si="48"/>
        <v>0</v>
      </c>
      <c r="F198" s="236">
        <f t="shared" si="39"/>
        <v>0</v>
      </c>
      <c r="G198" s="237">
        <f t="shared" si="38"/>
        <v>0</v>
      </c>
      <c r="H198" s="273">
        <f t="shared" si="40"/>
        <v>0</v>
      </c>
      <c r="I198" s="238">
        <f t="shared" si="49"/>
        <v>0</v>
      </c>
      <c r="J198" s="237">
        <f t="shared" si="41"/>
        <v>0</v>
      </c>
      <c r="K198" s="269">
        <f t="shared" si="42"/>
        <v>0</v>
      </c>
      <c r="L198" s="239">
        <f t="shared" si="43"/>
        <v>0</v>
      </c>
      <c r="M198" s="275" t="e">
        <f t="shared" si="44"/>
        <v>#DIV/0!</v>
      </c>
      <c r="N198" s="3"/>
      <c r="O198" s="1">
        <f t="shared" si="53"/>
        <v>178</v>
      </c>
      <c r="P198" s="182">
        <f t="shared" si="53"/>
        <v>46235</v>
      </c>
      <c r="Q198" s="241">
        <f>ROUND(SUMIFS(BS_RE33!$U$7:$U$874,BS_RE33!$S$7:$S$874,'Summary &amp; Working File(Ccy)'!P198,BS_RE33!$N$7:$N$874,'Summary &amp; Working File(Ccy)'!$Q$10,BS_RE33!$F$7:$F$874,$J$3)+SUMIF($P$13:$P$19,P198,$Q$13:$Q$19),2)</f>
        <v>0</v>
      </c>
      <c r="R198" s="242">
        <f>ROUND(SUMIFS(BS_RE33!$U$7:$U$874,BS_RE33!$S$7:$S$874,'Summary &amp; Working File(Ccy)'!P198,BS_RE33!$N$7:$N$874,'Summary &amp; Working File(Ccy)'!$R$10,BS_RE33!$F$7:$F$874,$J$3)+SUMIF($P$13:$P$19,P198,$R$13:$R$19),2)</f>
        <v>0</v>
      </c>
    </row>
    <row r="199" spans="2:18">
      <c r="B199" s="243">
        <f t="shared" ref="B199:C214" si="54">B198+1</f>
        <v>179</v>
      </c>
      <c r="C199" s="247">
        <f t="shared" si="54"/>
        <v>46236</v>
      </c>
      <c r="D199" s="245">
        <f t="shared" si="46"/>
        <v>0</v>
      </c>
      <c r="E199" s="235">
        <f t="shared" si="48"/>
        <v>0</v>
      </c>
      <c r="F199" s="236">
        <f t="shared" si="39"/>
        <v>0</v>
      </c>
      <c r="G199" s="237">
        <f t="shared" si="38"/>
        <v>0</v>
      </c>
      <c r="H199" s="273">
        <f t="shared" si="40"/>
        <v>0</v>
      </c>
      <c r="I199" s="238">
        <f t="shared" si="49"/>
        <v>0</v>
      </c>
      <c r="J199" s="237">
        <f t="shared" si="41"/>
        <v>0</v>
      </c>
      <c r="K199" s="269">
        <f t="shared" si="42"/>
        <v>0</v>
      </c>
      <c r="L199" s="239">
        <f t="shared" si="43"/>
        <v>0</v>
      </c>
      <c r="M199" s="275" t="e">
        <f t="shared" si="44"/>
        <v>#DIV/0!</v>
      </c>
      <c r="N199" s="3"/>
      <c r="O199" s="1">
        <f t="shared" ref="O199:P214" si="55">O198+1</f>
        <v>179</v>
      </c>
      <c r="P199" s="182">
        <f t="shared" si="55"/>
        <v>46236</v>
      </c>
      <c r="Q199" s="241">
        <f>ROUND(SUMIFS(BS_RE33!$U$7:$U$874,BS_RE33!$S$7:$S$874,'Summary &amp; Working File(Ccy)'!P199,BS_RE33!$N$7:$N$874,'Summary &amp; Working File(Ccy)'!$Q$10,BS_RE33!$F$7:$F$874,$J$3)+SUMIF($P$13:$P$19,P199,$Q$13:$Q$19),2)</f>
        <v>0</v>
      </c>
      <c r="R199" s="242">
        <f>ROUND(SUMIFS(BS_RE33!$U$7:$U$874,BS_RE33!$S$7:$S$874,'Summary &amp; Working File(Ccy)'!P199,BS_RE33!$N$7:$N$874,'Summary &amp; Working File(Ccy)'!$R$10,BS_RE33!$F$7:$F$874,$J$3)+SUMIF($P$13:$P$19,P199,$R$13:$R$19),2)</f>
        <v>0</v>
      </c>
    </row>
    <row r="200" spans="2:18">
      <c r="B200" s="243">
        <f t="shared" si="54"/>
        <v>180</v>
      </c>
      <c r="C200" s="247">
        <f t="shared" si="54"/>
        <v>46237</v>
      </c>
      <c r="D200" s="245">
        <f t="shared" si="46"/>
        <v>0</v>
      </c>
      <c r="E200" s="235">
        <f t="shared" si="48"/>
        <v>0</v>
      </c>
      <c r="F200" s="236">
        <f t="shared" si="39"/>
        <v>0</v>
      </c>
      <c r="G200" s="237">
        <f t="shared" si="38"/>
        <v>0</v>
      </c>
      <c r="H200" s="273">
        <f t="shared" si="40"/>
        <v>0</v>
      </c>
      <c r="I200" s="238">
        <f t="shared" si="49"/>
        <v>0</v>
      </c>
      <c r="J200" s="237">
        <f t="shared" si="41"/>
        <v>0</v>
      </c>
      <c r="K200" s="269">
        <f t="shared" si="42"/>
        <v>0</v>
      </c>
      <c r="L200" s="239">
        <f t="shared" si="43"/>
        <v>0</v>
      </c>
      <c r="M200" s="275" t="e">
        <f t="shared" si="44"/>
        <v>#DIV/0!</v>
      </c>
      <c r="N200" s="3"/>
      <c r="O200" s="1">
        <f t="shared" si="55"/>
        <v>180</v>
      </c>
      <c r="P200" s="182">
        <f t="shared" si="55"/>
        <v>46237</v>
      </c>
      <c r="Q200" s="241">
        <f>ROUND(SUMIFS(BS_RE33!$U$7:$U$874,BS_RE33!$S$7:$S$874,'Summary &amp; Working File(Ccy)'!P200,BS_RE33!$N$7:$N$874,'Summary &amp; Working File(Ccy)'!$Q$10,BS_RE33!$F$7:$F$874,$J$3)+SUMIF($P$13:$P$19,P200,$Q$13:$Q$19),2)</f>
        <v>0</v>
      </c>
      <c r="R200" s="242">
        <f>ROUND(SUMIFS(BS_RE33!$U$7:$U$874,BS_RE33!$S$7:$S$874,'Summary &amp; Working File(Ccy)'!P200,BS_RE33!$N$7:$N$874,'Summary &amp; Working File(Ccy)'!$R$10,BS_RE33!$F$7:$F$874,$J$3)+SUMIF($P$13:$P$19,P200,$R$13:$R$19),2)</f>
        <v>0</v>
      </c>
    </row>
    <row r="201" spans="2:18">
      <c r="B201" s="243">
        <f t="shared" si="54"/>
        <v>181</v>
      </c>
      <c r="C201" s="247">
        <f t="shared" si="54"/>
        <v>46238</v>
      </c>
      <c r="D201" s="245">
        <f t="shared" si="46"/>
        <v>0</v>
      </c>
      <c r="E201" s="235">
        <f t="shared" si="48"/>
        <v>0</v>
      </c>
      <c r="F201" s="236">
        <f t="shared" si="39"/>
        <v>0</v>
      </c>
      <c r="G201" s="237">
        <f t="shared" si="38"/>
        <v>0</v>
      </c>
      <c r="H201" s="273">
        <f t="shared" si="40"/>
        <v>0</v>
      </c>
      <c r="I201" s="238">
        <f t="shared" si="49"/>
        <v>0</v>
      </c>
      <c r="J201" s="237">
        <f t="shared" si="41"/>
        <v>0</v>
      </c>
      <c r="K201" s="269">
        <f t="shared" si="42"/>
        <v>0</v>
      </c>
      <c r="L201" s="239">
        <f t="shared" si="43"/>
        <v>0</v>
      </c>
      <c r="M201" s="275" t="e">
        <f t="shared" si="44"/>
        <v>#DIV/0!</v>
      </c>
      <c r="N201" s="3"/>
      <c r="O201" s="1">
        <f t="shared" si="55"/>
        <v>181</v>
      </c>
      <c r="P201" s="182">
        <f t="shared" si="55"/>
        <v>46238</v>
      </c>
      <c r="Q201" s="241">
        <f>ROUND(SUMIFS(BS_RE33!$U$7:$U$874,BS_RE33!$S$7:$S$874,'Summary &amp; Working File(Ccy)'!P201,BS_RE33!$N$7:$N$874,'Summary &amp; Working File(Ccy)'!$Q$10,BS_RE33!$F$7:$F$874,$J$3)+SUMIF($P$13:$P$19,P201,$Q$13:$Q$19),2)</f>
        <v>0</v>
      </c>
      <c r="R201" s="242">
        <f>ROUND(SUMIFS(BS_RE33!$U$7:$U$874,BS_RE33!$S$7:$S$874,'Summary &amp; Working File(Ccy)'!P201,BS_RE33!$N$7:$N$874,'Summary &amp; Working File(Ccy)'!$R$10,BS_RE33!$F$7:$F$874,$J$3)+SUMIF($P$13:$P$19,P201,$R$13:$R$19),2)</f>
        <v>0</v>
      </c>
    </row>
    <row r="202" spans="2:18">
      <c r="B202" s="243">
        <f t="shared" si="54"/>
        <v>182</v>
      </c>
      <c r="C202" s="247">
        <f t="shared" si="54"/>
        <v>46239</v>
      </c>
      <c r="D202" s="245">
        <f t="shared" si="46"/>
        <v>0</v>
      </c>
      <c r="E202" s="235">
        <f t="shared" si="48"/>
        <v>0</v>
      </c>
      <c r="F202" s="236">
        <f t="shared" si="39"/>
        <v>0</v>
      </c>
      <c r="G202" s="237">
        <f t="shared" si="38"/>
        <v>0</v>
      </c>
      <c r="H202" s="273">
        <f t="shared" si="40"/>
        <v>0</v>
      </c>
      <c r="I202" s="238">
        <f t="shared" si="49"/>
        <v>0</v>
      </c>
      <c r="J202" s="237">
        <f t="shared" si="41"/>
        <v>0</v>
      </c>
      <c r="K202" s="269">
        <f t="shared" si="42"/>
        <v>0</v>
      </c>
      <c r="L202" s="239">
        <f t="shared" si="43"/>
        <v>0</v>
      </c>
      <c r="M202" s="275" t="e">
        <f t="shared" si="44"/>
        <v>#DIV/0!</v>
      </c>
      <c r="N202" s="3"/>
      <c r="O202" s="1">
        <f t="shared" si="55"/>
        <v>182</v>
      </c>
      <c r="P202" s="182">
        <f t="shared" si="55"/>
        <v>46239</v>
      </c>
      <c r="Q202" s="241">
        <f>ROUND(SUMIFS(BS_RE33!$U$7:$U$874,BS_RE33!$S$7:$S$874,'Summary &amp; Working File(Ccy)'!P202,BS_RE33!$N$7:$N$874,'Summary &amp; Working File(Ccy)'!$Q$10,BS_RE33!$F$7:$F$874,$J$3)+SUMIF($P$13:$P$19,P202,$Q$13:$Q$19),2)</f>
        <v>0</v>
      </c>
      <c r="R202" s="242">
        <f>ROUND(SUMIFS(BS_RE33!$U$7:$U$874,BS_RE33!$S$7:$S$874,'Summary &amp; Working File(Ccy)'!P202,BS_RE33!$N$7:$N$874,'Summary &amp; Working File(Ccy)'!$R$10,BS_RE33!$F$7:$F$874,$J$3)+SUMIF($P$13:$P$19,P202,$R$13:$R$19),2)</f>
        <v>0</v>
      </c>
    </row>
    <row r="203" spans="2:18">
      <c r="B203" s="243">
        <f t="shared" si="54"/>
        <v>183</v>
      </c>
      <c r="C203" s="247">
        <f t="shared" si="54"/>
        <v>46240</v>
      </c>
      <c r="D203" s="245">
        <f t="shared" si="46"/>
        <v>0</v>
      </c>
      <c r="E203" s="235">
        <f t="shared" si="48"/>
        <v>0</v>
      </c>
      <c r="F203" s="236">
        <f t="shared" si="39"/>
        <v>0</v>
      </c>
      <c r="G203" s="237">
        <f t="shared" si="38"/>
        <v>0</v>
      </c>
      <c r="H203" s="273">
        <f t="shared" si="40"/>
        <v>0</v>
      </c>
      <c r="I203" s="238">
        <f t="shared" si="49"/>
        <v>0</v>
      </c>
      <c r="J203" s="237">
        <f t="shared" si="41"/>
        <v>0</v>
      </c>
      <c r="K203" s="269">
        <f t="shared" si="42"/>
        <v>0</v>
      </c>
      <c r="L203" s="239">
        <f t="shared" si="43"/>
        <v>0</v>
      </c>
      <c r="M203" s="275" t="e">
        <f t="shared" si="44"/>
        <v>#DIV/0!</v>
      </c>
      <c r="N203" s="3"/>
      <c r="O203" s="1">
        <f t="shared" si="55"/>
        <v>183</v>
      </c>
      <c r="P203" s="182">
        <f t="shared" si="55"/>
        <v>46240</v>
      </c>
      <c r="Q203" s="241">
        <f>ROUND(SUMIFS(BS_RE33!$U$7:$U$874,BS_RE33!$S$7:$S$874,'Summary &amp; Working File(Ccy)'!P203,BS_RE33!$N$7:$N$874,'Summary &amp; Working File(Ccy)'!$Q$10,BS_RE33!$F$7:$F$874,$J$3)+SUMIF($P$13:$P$19,P203,$Q$13:$Q$19),2)</f>
        <v>0</v>
      </c>
      <c r="R203" s="242">
        <f>ROUND(SUMIFS(BS_RE33!$U$7:$U$874,BS_RE33!$S$7:$S$874,'Summary &amp; Working File(Ccy)'!P203,BS_RE33!$N$7:$N$874,'Summary &amp; Working File(Ccy)'!$R$10,BS_RE33!$F$7:$F$874,$J$3)+SUMIF($P$13:$P$19,P203,$R$13:$R$19),2)</f>
        <v>0</v>
      </c>
    </row>
    <row r="204" spans="2:18">
      <c r="B204" s="243">
        <f t="shared" si="54"/>
        <v>184</v>
      </c>
      <c r="C204" s="247">
        <f t="shared" si="54"/>
        <v>46241</v>
      </c>
      <c r="D204" s="245">
        <f t="shared" si="46"/>
        <v>0</v>
      </c>
      <c r="E204" s="235">
        <f t="shared" si="48"/>
        <v>0</v>
      </c>
      <c r="F204" s="236">
        <f t="shared" si="39"/>
        <v>0</v>
      </c>
      <c r="G204" s="237">
        <f t="shared" si="38"/>
        <v>0</v>
      </c>
      <c r="H204" s="273">
        <f t="shared" si="40"/>
        <v>0</v>
      </c>
      <c r="I204" s="238">
        <f t="shared" si="49"/>
        <v>0</v>
      </c>
      <c r="J204" s="237">
        <f t="shared" si="41"/>
        <v>0</v>
      </c>
      <c r="K204" s="269">
        <f t="shared" si="42"/>
        <v>0</v>
      </c>
      <c r="L204" s="239">
        <f t="shared" si="43"/>
        <v>0</v>
      </c>
      <c r="M204" s="275" t="e">
        <f t="shared" si="44"/>
        <v>#DIV/0!</v>
      </c>
      <c r="N204" s="3"/>
      <c r="O204" s="1">
        <f t="shared" si="55"/>
        <v>184</v>
      </c>
      <c r="P204" s="182">
        <f t="shared" si="55"/>
        <v>46241</v>
      </c>
      <c r="Q204" s="241">
        <f>ROUND(SUMIFS(BS_RE33!$U$7:$U$874,BS_RE33!$S$7:$S$874,'Summary &amp; Working File(Ccy)'!P204,BS_RE33!$N$7:$N$874,'Summary &amp; Working File(Ccy)'!$Q$10,BS_RE33!$F$7:$F$874,$J$3)+SUMIF($P$13:$P$19,P204,$Q$13:$Q$19),2)</f>
        <v>0</v>
      </c>
      <c r="R204" s="242">
        <f>ROUND(SUMIFS(BS_RE33!$U$7:$U$874,BS_RE33!$S$7:$S$874,'Summary &amp; Working File(Ccy)'!P204,BS_RE33!$N$7:$N$874,'Summary &amp; Working File(Ccy)'!$R$10,BS_RE33!$F$7:$F$874,$J$3)+SUMIF($P$13:$P$19,P204,$R$13:$R$19),2)</f>
        <v>0</v>
      </c>
    </row>
    <row r="205" spans="2:18">
      <c r="B205" s="243">
        <f t="shared" si="54"/>
        <v>185</v>
      </c>
      <c r="C205" s="247">
        <f t="shared" si="54"/>
        <v>46242</v>
      </c>
      <c r="D205" s="245">
        <f t="shared" si="46"/>
        <v>0</v>
      </c>
      <c r="E205" s="235">
        <f t="shared" si="48"/>
        <v>0</v>
      </c>
      <c r="F205" s="236">
        <f t="shared" si="39"/>
        <v>0</v>
      </c>
      <c r="G205" s="237">
        <f t="shared" si="38"/>
        <v>0</v>
      </c>
      <c r="H205" s="273">
        <f t="shared" si="40"/>
        <v>0</v>
      </c>
      <c r="I205" s="238">
        <f t="shared" si="49"/>
        <v>0</v>
      </c>
      <c r="J205" s="237">
        <f t="shared" si="41"/>
        <v>0</v>
      </c>
      <c r="K205" s="269">
        <f t="shared" si="42"/>
        <v>0</v>
      </c>
      <c r="L205" s="239">
        <f t="shared" si="43"/>
        <v>0</v>
      </c>
      <c r="M205" s="275" t="e">
        <f t="shared" si="44"/>
        <v>#DIV/0!</v>
      </c>
      <c r="N205" s="3"/>
      <c r="O205" s="1">
        <f t="shared" si="55"/>
        <v>185</v>
      </c>
      <c r="P205" s="182">
        <f t="shared" si="55"/>
        <v>46242</v>
      </c>
      <c r="Q205" s="241">
        <f>ROUND(SUMIFS(BS_RE33!$U$7:$U$874,BS_RE33!$S$7:$S$874,'Summary &amp; Working File(Ccy)'!P205,BS_RE33!$N$7:$N$874,'Summary &amp; Working File(Ccy)'!$Q$10,BS_RE33!$F$7:$F$874,$J$3)+SUMIF($P$13:$P$19,P205,$Q$13:$Q$19),2)</f>
        <v>0</v>
      </c>
      <c r="R205" s="242">
        <f>ROUND(SUMIFS(BS_RE33!$U$7:$U$874,BS_RE33!$S$7:$S$874,'Summary &amp; Working File(Ccy)'!P205,BS_RE33!$N$7:$N$874,'Summary &amp; Working File(Ccy)'!$R$10,BS_RE33!$F$7:$F$874,$J$3)+SUMIF($P$13:$P$19,P205,$R$13:$R$19),2)</f>
        <v>0</v>
      </c>
    </row>
    <row r="206" spans="2:18">
      <c r="B206" s="243">
        <f t="shared" si="54"/>
        <v>186</v>
      </c>
      <c r="C206" s="247">
        <f t="shared" si="54"/>
        <v>46243</v>
      </c>
      <c r="D206" s="245">
        <f t="shared" si="46"/>
        <v>0</v>
      </c>
      <c r="E206" s="235">
        <f t="shared" si="48"/>
        <v>0</v>
      </c>
      <c r="F206" s="236">
        <f t="shared" si="39"/>
        <v>0</v>
      </c>
      <c r="G206" s="237">
        <f t="shared" si="38"/>
        <v>0</v>
      </c>
      <c r="H206" s="273">
        <f t="shared" si="40"/>
        <v>0</v>
      </c>
      <c r="I206" s="238">
        <f t="shared" ref="I206:I263" si="56">$R$11+SUM(R207:R236)</f>
        <v>0</v>
      </c>
      <c r="J206" s="237">
        <f t="shared" si="41"/>
        <v>0</v>
      </c>
      <c r="K206" s="269">
        <f t="shared" si="42"/>
        <v>0</v>
      </c>
      <c r="L206" s="239">
        <f t="shared" si="43"/>
        <v>0</v>
      </c>
      <c r="M206" s="275" t="e">
        <f t="shared" si="44"/>
        <v>#DIV/0!</v>
      </c>
      <c r="N206" s="3"/>
      <c r="O206" s="1">
        <f t="shared" si="55"/>
        <v>186</v>
      </c>
      <c r="P206" s="182">
        <f t="shared" si="55"/>
        <v>46243</v>
      </c>
      <c r="Q206" s="241">
        <f>ROUND(SUMIFS(BS_RE33!$U$7:$U$874,BS_RE33!$S$7:$S$874,'Summary &amp; Working File(Ccy)'!P206,BS_RE33!$N$7:$N$874,'Summary &amp; Working File(Ccy)'!$Q$10,BS_RE33!$F$7:$F$874,$J$3)+SUMIF($P$13:$P$19,P206,$Q$13:$Q$19),2)</f>
        <v>0</v>
      </c>
      <c r="R206" s="242">
        <f>ROUND(SUMIFS(BS_RE33!$U$7:$U$874,BS_RE33!$S$7:$S$874,'Summary &amp; Working File(Ccy)'!P206,BS_RE33!$N$7:$N$874,'Summary &amp; Working File(Ccy)'!$R$10,BS_RE33!$F$7:$F$874,$J$3)+SUMIF($P$13:$P$19,P206,$R$13:$R$19),2)</f>
        <v>0</v>
      </c>
    </row>
    <row r="207" spans="2:18">
      <c r="B207" s="243">
        <f t="shared" si="54"/>
        <v>187</v>
      </c>
      <c r="C207" s="247">
        <f t="shared" si="54"/>
        <v>46244</v>
      </c>
      <c r="D207" s="245">
        <f t="shared" si="46"/>
        <v>0</v>
      </c>
      <c r="E207" s="235">
        <f t="shared" si="48"/>
        <v>0</v>
      </c>
      <c r="F207" s="236">
        <f t="shared" si="39"/>
        <v>0</v>
      </c>
      <c r="G207" s="237">
        <f t="shared" si="38"/>
        <v>0</v>
      </c>
      <c r="H207" s="273">
        <f t="shared" si="40"/>
        <v>0</v>
      </c>
      <c r="I207" s="238">
        <f t="shared" si="56"/>
        <v>0</v>
      </c>
      <c r="J207" s="237">
        <f t="shared" si="41"/>
        <v>0</v>
      </c>
      <c r="K207" s="269">
        <f t="shared" si="42"/>
        <v>0</v>
      </c>
      <c r="L207" s="239">
        <f t="shared" si="43"/>
        <v>0</v>
      </c>
      <c r="M207" s="275" t="e">
        <f t="shared" si="44"/>
        <v>#DIV/0!</v>
      </c>
      <c r="N207" s="3"/>
      <c r="O207" s="1">
        <f t="shared" si="55"/>
        <v>187</v>
      </c>
      <c r="P207" s="182">
        <f t="shared" si="55"/>
        <v>46244</v>
      </c>
      <c r="Q207" s="241">
        <f>ROUND(SUMIFS(BS_RE33!$U$7:$U$874,BS_RE33!$S$7:$S$874,'Summary &amp; Working File(Ccy)'!P207,BS_RE33!$N$7:$N$874,'Summary &amp; Working File(Ccy)'!$Q$10,BS_RE33!$F$7:$F$874,$J$3)+SUMIF($P$13:$P$19,P207,$Q$13:$Q$19),2)</f>
        <v>0</v>
      </c>
      <c r="R207" s="242">
        <f>ROUND(SUMIFS(BS_RE33!$U$7:$U$874,BS_RE33!$S$7:$S$874,'Summary &amp; Working File(Ccy)'!P207,BS_RE33!$N$7:$N$874,'Summary &amp; Working File(Ccy)'!$R$10,BS_RE33!$F$7:$F$874,$J$3)+SUMIF($P$13:$P$19,P207,$R$13:$R$19),2)</f>
        <v>0</v>
      </c>
    </row>
    <row r="208" spans="2:18">
      <c r="B208" s="243">
        <f t="shared" si="54"/>
        <v>188</v>
      </c>
      <c r="C208" s="247">
        <f t="shared" si="54"/>
        <v>46245</v>
      </c>
      <c r="D208" s="245">
        <f t="shared" si="46"/>
        <v>0</v>
      </c>
      <c r="E208" s="235">
        <f t="shared" si="48"/>
        <v>0</v>
      </c>
      <c r="F208" s="236">
        <f t="shared" si="39"/>
        <v>0</v>
      </c>
      <c r="G208" s="237">
        <f t="shared" si="38"/>
        <v>0</v>
      </c>
      <c r="H208" s="273">
        <f t="shared" si="40"/>
        <v>0</v>
      </c>
      <c r="I208" s="238">
        <f t="shared" si="56"/>
        <v>0</v>
      </c>
      <c r="J208" s="237">
        <f t="shared" si="41"/>
        <v>0</v>
      </c>
      <c r="K208" s="269">
        <f t="shared" si="42"/>
        <v>0</v>
      </c>
      <c r="L208" s="239">
        <f t="shared" si="43"/>
        <v>0</v>
      </c>
      <c r="M208" s="275" t="e">
        <f t="shared" si="44"/>
        <v>#DIV/0!</v>
      </c>
      <c r="N208" s="3"/>
      <c r="O208" s="1">
        <f t="shared" si="55"/>
        <v>188</v>
      </c>
      <c r="P208" s="182">
        <f t="shared" si="55"/>
        <v>46245</v>
      </c>
      <c r="Q208" s="241">
        <f>ROUND(SUMIFS(BS_RE33!$U$7:$U$874,BS_RE33!$S$7:$S$874,'Summary &amp; Working File(Ccy)'!P208,BS_RE33!$N$7:$N$874,'Summary &amp; Working File(Ccy)'!$Q$10,BS_RE33!$F$7:$F$874,$J$3)+SUMIF($P$13:$P$19,P208,$Q$13:$Q$19),2)</f>
        <v>0</v>
      </c>
      <c r="R208" s="242">
        <f>ROUND(SUMIFS(BS_RE33!$U$7:$U$874,BS_RE33!$S$7:$S$874,'Summary &amp; Working File(Ccy)'!P208,BS_RE33!$N$7:$N$874,'Summary &amp; Working File(Ccy)'!$R$10,BS_RE33!$F$7:$F$874,$J$3)+SUMIF($P$13:$P$19,P208,$R$13:$R$19),2)</f>
        <v>0</v>
      </c>
    </row>
    <row r="209" spans="2:18">
      <c r="B209" s="243">
        <f t="shared" si="54"/>
        <v>189</v>
      </c>
      <c r="C209" s="247">
        <f t="shared" si="54"/>
        <v>46246</v>
      </c>
      <c r="D209" s="245">
        <f t="shared" si="46"/>
        <v>0</v>
      </c>
      <c r="E209" s="235">
        <f t="shared" si="48"/>
        <v>0</v>
      </c>
      <c r="F209" s="236">
        <f t="shared" si="39"/>
        <v>0</v>
      </c>
      <c r="G209" s="237">
        <f t="shared" si="38"/>
        <v>0</v>
      </c>
      <c r="H209" s="273">
        <f t="shared" si="40"/>
        <v>0</v>
      </c>
      <c r="I209" s="238">
        <f t="shared" si="56"/>
        <v>0</v>
      </c>
      <c r="J209" s="237">
        <f t="shared" si="41"/>
        <v>0</v>
      </c>
      <c r="K209" s="269">
        <f t="shared" si="42"/>
        <v>0</v>
      </c>
      <c r="L209" s="239">
        <f t="shared" si="43"/>
        <v>0</v>
      </c>
      <c r="M209" s="275" t="e">
        <f t="shared" si="44"/>
        <v>#DIV/0!</v>
      </c>
      <c r="N209" s="3"/>
      <c r="O209" s="1">
        <f t="shared" si="55"/>
        <v>189</v>
      </c>
      <c r="P209" s="182">
        <f t="shared" si="55"/>
        <v>46246</v>
      </c>
      <c r="Q209" s="241">
        <f>ROUND(SUMIFS(BS_RE33!$U$7:$U$874,BS_RE33!$S$7:$S$874,'Summary &amp; Working File(Ccy)'!P209,BS_RE33!$N$7:$N$874,'Summary &amp; Working File(Ccy)'!$Q$10,BS_RE33!$F$7:$F$874,$J$3)+SUMIF($P$13:$P$19,P209,$Q$13:$Q$19),2)</f>
        <v>0</v>
      </c>
      <c r="R209" s="242">
        <f>ROUND(SUMIFS(BS_RE33!$U$7:$U$874,BS_RE33!$S$7:$S$874,'Summary &amp; Working File(Ccy)'!P209,BS_RE33!$N$7:$N$874,'Summary &amp; Working File(Ccy)'!$R$10,BS_RE33!$F$7:$F$874,$J$3)+SUMIF($P$13:$P$19,P209,$R$13:$R$19),2)</f>
        <v>0</v>
      </c>
    </row>
    <row r="210" spans="2:18">
      <c r="B210" s="243">
        <f t="shared" si="54"/>
        <v>190</v>
      </c>
      <c r="C210" s="247">
        <f t="shared" si="54"/>
        <v>46247</v>
      </c>
      <c r="D210" s="245">
        <f t="shared" si="46"/>
        <v>0</v>
      </c>
      <c r="E210" s="235">
        <f t="shared" si="48"/>
        <v>0</v>
      </c>
      <c r="F210" s="236">
        <f t="shared" si="39"/>
        <v>0</v>
      </c>
      <c r="G210" s="237">
        <f t="shared" si="38"/>
        <v>0</v>
      </c>
      <c r="H210" s="273">
        <f t="shared" si="40"/>
        <v>0</v>
      </c>
      <c r="I210" s="238">
        <f t="shared" si="56"/>
        <v>0</v>
      </c>
      <c r="J210" s="237">
        <f t="shared" si="41"/>
        <v>0</v>
      </c>
      <c r="K210" s="269">
        <f t="shared" si="42"/>
        <v>0</v>
      </c>
      <c r="L210" s="239">
        <f t="shared" si="43"/>
        <v>0</v>
      </c>
      <c r="M210" s="275" t="e">
        <f t="shared" si="44"/>
        <v>#DIV/0!</v>
      </c>
      <c r="N210" s="3"/>
      <c r="O210" s="1">
        <f t="shared" si="55"/>
        <v>190</v>
      </c>
      <c r="P210" s="182">
        <f t="shared" si="55"/>
        <v>46247</v>
      </c>
      <c r="Q210" s="241">
        <f>ROUND(SUMIFS(BS_RE33!$U$7:$U$874,BS_RE33!$S$7:$S$874,'Summary &amp; Working File(Ccy)'!P210,BS_RE33!$N$7:$N$874,'Summary &amp; Working File(Ccy)'!$Q$10,BS_RE33!$F$7:$F$874,$J$3)+SUMIF($P$13:$P$19,P210,$Q$13:$Q$19),2)</f>
        <v>0</v>
      </c>
      <c r="R210" s="242">
        <f>ROUND(SUMIFS(BS_RE33!$U$7:$U$874,BS_RE33!$S$7:$S$874,'Summary &amp; Working File(Ccy)'!P210,BS_RE33!$N$7:$N$874,'Summary &amp; Working File(Ccy)'!$R$10,BS_RE33!$F$7:$F$874,$J$3)+SUMIF($P$13:$P$19,P210,$R$13:$R$19),2)</f>
        <v>0</v>
      </c>
    </row>
    <row r="211" spans="2:18">
      <c r="B211" s="243">
        <f t="shared" si="54"/>
        <v>191</v>
      </c>
      <c r="C211" s="247">
        <f t="shared" si="54"/>
        <v>46248</v>
      </c>
      <c r="D211" s="245">
        <f t="shared" si="46"/>
        <v>0</v>
      </c>
      <c r="E211" s="235">
        <f t="shared" si="48"/>
        <v>0</v>
      </c>
      <c r="F211" s="236">
        <f t="shared" si="39"/>
        <v>0</v>
      </c>
      <c r="G211" s="237">
        <f t="shared" si="38"/>
        <v>0</v>
      </c>
      <c r="H211" s="273">
        <f t="shared" si="40"/>
        <v>0</v>
      </c>
      <c r="I211" s="238">
        <f t="shared" si="56"/>
        <v>0</v>
      </c>
      <c r="J211" s="237">
        <f t="shared" si="41"/>
        <v>0</v>
      </c>
      <c r="K211" s="269">
        <f t="shared" si="42"/>
        <v>0</v>
      </c>
      <c r="L211" s="239">
        <f t="shared" si="43"/>
        <v>0</v>
      </c>
      <c r="M211" s="275" t="e">
        <f t="shared" si="44"/>
        <v>#DIV/0!</v>
      </c>
      <c r="N211" s="3"/>
      <c r="O211" s="1">
        <f t="shared" si="55"/>
        <v>191</v>
      </c>
      <c r="P211" s="182">
        <f t="shared" si="55"/>
        <v>46248</v>
      </c>
      <c r="Q211" s="241">
        <f>ROUND(SUMIFS(BS_RE33!$U$7:$U$874,BS_RE33!$S$7:$S$874,'Summary &amp; Working File(Ccy)'!P211,BS_RE33!$N$7:$N$874,'Summary &amp; Working File(Ccy)'!$Q$10,BS_RE33!$F$7:$F$874,$J$3)+SUMIF($P$13:$P$19,P211,$Q$13:$Q$19),2)</f>
        <v>0</v>
      </c>
      <c r="R211" s="242">
        <f>ROUND(SUMIFS(BS_RE33!$U$7:$U$874,BS_RE33!$S$7:$S$874,'Summary &amp; Working File(Ccy)'!P211,BS_RE33!$N$7:$N$874,'Summary &amp; Working File(Ccy)'!$R$10,BS_RE33!$F$7:$F$874,$J$3)+SUMIF($P$13:$P$19,P211,$R$13:$R$19),2)</f>
        <v>0</v>
      </c>
    </row>
    <row r="212" spans="2:18">
      <c r="B212" s="243">
        <f t="shared" si="54"/>
        <v>192</v>
      </c>
      <c r="C212" s="247">
        <f t="shared" si="54"/>
        <v>46249</v>
      </c>
      <c r="D212" s="245">
        <f t="shared" si="46"/>
        <v>0</v>
      </c>
      <c r="E212" s="235">
        <f t="shared" si="48"/>
        <v>0</v>
      </c>
      <c r="F212" s="236">
        <f t="shared" si="39"/>
        <v>0</v>
      </c>
      <c r="G212" s="237">
        <f t="shared" si="38"/>
        <v>0</v>
      </c>
      <c r="H212" s="273">
        <f t="shared" si="40"/>
        <v>0</v>
      </c>
      <c r="I212" s="238">
        <f t="shared" si="56"/>
        <v>0</v>
      </c>
      <c r="J212" s="237">
        <f t="shared" si="41"/>
        <v>0</v>
      </c>
      <c r="K212" s="269">
        <f t="shared" si="42"/>
        <v>0</v>
      </c>
      <c r="L212" s="239">
        <f t="shared" si="43"/>
        <v>0</v>
      </c>
      <c r="M212" s="275" t="e">
        <f t="shared" si="44"/>
        <v>#DIV/0!</v>
      </c>
      <c r="N212" s="3"/>
      <c r="O212" s="1">
        <f t="shared" si="55"/>
        <v>192</v>
      </c>
      <c r="P212" s="182">
        <f t="shared" si="55"/>
        <v>46249</v>
      </c>
      <c r="Q212" s="241">
        <f>ROUND(SUMIFS(BS_RE33!$U$7:$U$874,BS_RE33!$S$7:$S$874,'Summary &amp; Working File(Ccy)'!P212,BS_RE33!$N$7:$N$874,'Summary &amp; Working File(Ccy)'!$Q$10,BS_RE33!$F$7:$F$874,$J$3)+SUMIF($P$13:$P$19,P212,$Q$13:$Q$19),2)</f>
        <v>0</v>
      </c>
      <c r="R212" s="242">
        <f>ROUND(SUMIFS(BS_RE33!$U$7:$U$874,BS_RE33!$S$7:$S$874,'Summary &amp; Working File(Ccy)'!P212,BS_RE33!$N$7:$N$874,'Summary &amp; Working File(Ccy)'!$R$10,BS_RE33!$F$7:$F$874,$J$3)+SUMIF($P$13:$P$19,P212,$R$13:$R$19),2)</f>
        <v>0</v>
      </c>
    </row>
    <row r="213" spans="2:18">
      <c r="B213" s="243">
        <f t="shared" si="54"/>
        <v>193</v>
      </c>
      <c r="C213" s="247">
        <f t="shared" si="54"/>
        <v>46250</v>
      </c>
      <c r="D213" s="245">
        <f t="shared" si="46"/>
        <v>0</v>
      </c>
      <c r="E213" s="235">
        <f t="shared" si="48"/>
        <v>0</v>
      </c>
      <c r="F213" s="236">
        <f t="shared" si="39"/>
        <v>0</v>
      </c>
      <c r="G213" s="237">
        <f t="shared" ref="G213:G264" si="57">$J$10*10%</f>
        <v>0</v>
      </c>
      <c r="H213" s="273">
        <f t="shared" si="40"/>
        <v>0</v>
      </c>
      <c r="I213" s="238">
        <f t="shared" si="56"/>
        <v>0</v>
      </c>
      <c r="J213" s="237">
        <f t="shared" si="41"/>
        <v>0</v>
      </c>
      <c r="K213" s="269">
        <f t="shared" si="42"/>
        <v>0</v>
      </c>
      <c r="L213" s="239">
        <f t="shared" si="43"/>
        <v>0</v>
      </c>
      <c r="M213" s="275" t="e">
        <f t="shared" si="44"/>
        <v>#DIV/0!</v>
      </c>
      <c r="N213" s="3"/>
      <c r="O213" s="1">
        <f t="shared" si="55"/>
        <v>193</v>
      </c>
      <c r="P213" s="182">
        <f t="shared" si="55"/>
        <v>46250</v>
      </c>
      <c r="Q213" s="241">
        <f>ROUND(SUMIFS(BS_RE33!$U$7:$U$874,BS_RE33!$S$7:$S$874,'Summary &amp; Working File(Ccy)'!P213,BS_RE33!$N$7:$N$874,'Summary &amp; Working File(Ccy)'!$Q$10,BS_RE33!$F$7:$F$874,$J$3)+SUMIF($P$13:$P$19,P213,$Q$13:$Q$19),2)</f>
        <v>0</v>
      </c>
      <c r="R213" s="242">
        <f>ROUND(SUMIFS(BS_RE33!$U$7:$U$874,BS_RE33!$S$7:$S$874,'Summary &amp; Working File(Ccy)'!P213,BS_RE33!$N$7:$N$874,'Summary &amp; Working File(Ccy)'!$R$10,BS_RE33!$F$7:$F$874,$J$3)+SUMIF($P$13:$P$19,P213,$R$13:$R$19),2)</f>
        <v>0</v>
      </c>
    </row>
    <row r="214" spans="2:18">
      <c r="B214" s="243">
        <f t="shared" si="54"/>
        <v>194</v>
      </c>
      <c r="C214" s="247">
        <f t="shared" si="54"/>
        <v>46251</v>
      </c>
      <c r="D214" s="245">
        <f t="shared" si="46"/>
        <v>0</v>
      </c>
      <c r="E214" s="235">
        <f t="shared" si="48"/>
        <v>0</v>
      </c>
      <c r="F214" s="236">
        <f t="shared" ref="F214:F264" si="58">(IF(C214&lt;($E$11-30),$E$10*5%,0)+IF(C214&lt;($F$11-30),$F$10*5%,0)+IF(C214&lt;($G$11-30),$G$10*5%,0)+IF(C214&lt;($H$11-30),$H$10*5%,0))+(IF(C214&lt;($E$15-30),$E$14*10%,0)+IF(C214&lt;($F$15-30),$F$14*10%,0)+IF(C214&lt;($G$15-30),$G$14*10%,0)+IF(C214&lt;($H$15-30),$H$14*10%,0)+IF(C214&lt;($I$15-30),$I$14*10%,0)+IF(C214&lt;($J$15-30),$J$14*10%,0))</f>
        <v>0</v>
      </c>
      <c r="G214" s="237">
        <f t="shared" si="57"/>
        <v>0</v>
      </c>
      <c r="H214" s="273">
        <f t="shared" ref="H214:H264" si="59">SUM(E214:G214)</f>
        <v>0</v>
      </c>
      <c r="I214" s="238">
        <f t="shared" si="56"/>
        <v>0</v>
      </c>
      <c r="J214" s="237">
        <f t="shared" ref="J214:J264" si="60">H214*20%</f>
        <v>0</v>
      </c>
      <c r="K214" s="269">
        <f t="shared" ref="K214:K264" si="61">MIN(SUM(I214:J214),H214*75%)</f>
        <v>0</v>
      </c>
      <c r="L214" s="239">
        <f t="shared" ref="L214:L264" si="62">H214-K214</f>
        <v>0</v>
      </c>
      <c r="M214" s="275" t="e">
        <f t="shared" ref="M214:M264" si="63">D214/L214</f>
        <v>#DIV/0!</v>
      </c>
      <c r="N214" s="3"/>
      <c r="O214" s="1">
        <f t="shared" si="55"/>
        <v>194</v>
      </c>
      <c r="P214" s="182">
        <f t="shared" si="55"/>
        <v>46251</v>
      </c>
      <c r="Q214" s="241">
        <f>ROUND(SUMIFS(BS_RE33!$U$7:$U$874,BS_RE33!$S$7:$S$874,'Summary &amp; Working File(Ccy)'!P214,BS_RE33!$N$7:$N$874,'Summary &amp; Working File(Ccy)'!$Q$10,BS_RE33!$F$7:$F$874,$J$3)+SUMIF($P$13:$P$19,P214,$Q$13:$Q$19),2)</f>
        <v>0</v>
      </c>
      <c r="R214" s="242">
        <f>ROUND(SUMIFS(BS_RE33!$U$7:$U$874,BS_RE33!$S$7:$S$874,'Summary &amp; Working File(Ccy)'!P214,BS_RE33!$N$7:$N$874,'Summary &amp; Working File(Ccy)'!$R$10,BS_RE33!$F$7:$F$874,$J$3)+SUMIF($P$13:$P$19,P214,$R$13:$R$19),2)</f>
        <v>0</v>
      </c>
    </row>
    <row r="215" spans="2:18">
      <c r="B215" s="243">
        <f t="shared" ref="B215:C230" si="64">B214+1</f>
        <v>195</v>
      </c>
      <c r="C215" s="247">
        <f t="shared" si="64"/>
        <v>46252</v>
      </c>
      <c r="D215" s="245">
        <f t="shared" ref="D215:D229" si="65">D214</f>
        <v>0</v>
      </c>
      <c r="E215" s="235">
        <f t="shared" si="48"/>
        <v>0</v>
      </c>
      <c r="F215" s="236">
        <f t="shared" si="58"/>
        <v>0</v>
      </c>
      <c r="G215" s="237">
        <f t="shared" si="57"/>
        <v>0</v>
      </c>
      <c r="H215" s="273">
        <f t="shared" si="59"/>
        <v>0</v>
      </c>
      <c r="I215" s="238">
        <f t="shared" si="56"/>
        <v>0</v>
      </c>
      <c r="J215" s="237">
        <f t="shared" si="60"/>
        <v>0</v>
      </c>
      <c r="K215" s="269">
        <f t="shared" si="61"/>
        <v>0</v>
      </c>
      <c r="L215" s="239">
        <f t="shared" si="62"/>
        <v>0</v>
      </c>
      <c r="M215" s="275" t="e">
        <f t="shared" si="63"/>
        <v>#DIV/0!</v>
      </c>
      <c r="N215" s="3"/>
      <c r="O215" s="1">
        <f t="shared" ref="O215:P230" si="66">O214+1</f>
        <v>195</v>
      </c>
      <c r="P215" s="182">
        <f t="shared" si="66"/>
        <v>46252</v>
      </c>
      <c r="Q215" s="241">
        <f>ROUND(SUMIFS(BS_RE33!$U$7:$U$874,BS_RE33!$S$7:$S$874,'Summary &amp; Working File(Ccy)'!P215,BS_RE33!$N$7:$N$874,'Summary &amp; Working File(Ccy)'!$Q$10,BS_RE33!$F$7:$F$874,$J$3)+SUMIF($P$13:$P$19,P215,$Q$13:$Q$19),2)</f>
        <v>0</v>
      </c>
      <c r="R215" s="242">
        <f>ROUND(SUMIFS(BS_RE33!$U$7:$U$874,BS_RE33!$S$7:$S$874,'Summary &amp; Working File(Ccy)'!P215,BS_RE33!$N$7:$N$874,'Summary &amp; Working File(Ccy)'!$R$10,BS_RE33!$F$7:$F$874,$J$3)+SUMIF($P$13:$P$19,P215,$R$13:$R$19),2)</f>
        <v>0</v>
      </c>
    </row>
    <row r="216" spans="2:18">
      <c r="B216" s="243">
        <f t="shared" si="64"/>
        <v>196</v>
      </c>
      <c r="C216" s="247">
        <f t="shared" si="64"/>
        <v>46253</v>
      </c>
      <c r="D216" s="245">
        <f t="shared" si="65"/>
        <v>0</v>
      </c>
      <c r="E216" s="235">
        <f t="shared" si="48"/>
        <v>0</v>
      </c>
      <c r="F216" s="236">
        <f t="shared" si="58"/>
        <v>0</v>
      </c>
      <c r="G216" s="237">
        <f t="shared" si="57"/>
        <v>0</v>
      </c>
      <c r="H216" s="273">
        <f t="shared" si="59"/>
        <v>0</v>
      </c>
      <c r="I216" s="238">
        <f t="shared" si="56"/>
        <v>0</v>
      </c>
      <c r="J216" s="237">
        <f t="shared" si="60"/>
        <v>0</v>
      </c>
      <c r="K216" s="269">
        <f t="shared" si="61"/>
        <v>0</v>
      </c>
      <c r="L216" s="239">
        <f t="shared" si="62"/>
        <v>0</v>
      </c>
      <c r="M216" s="275" t="e">
        <f t="shared" si="63"/>
        <v>#DIV/0!</v>
      </c>
      <c r="N216" s="3"/>
      <c r="O216" s="1">
        <f t="shared" si="66"/>
        <v>196</v>
      </c>
      <c r="P216" s="182">
        <f t="shared" si="66"/>
        <v>46253</v>
      </c>
      <c r="Q216" s="241">
        <f>ROUND(SUMIFS(BS_RE33!$U$7:$U$874,BS_RE33!$S$7:$S$874,'Summary &amp; Working File(Ccy)'!P216,BS_RE33!$N$7:$N$874,'Summary &amp; Working File(Ccy)'!$Q$10,BS_RE33!$F$7:$F$874,$J$3)+SUMIF($P$13:$P$19,P216,$Q$13:$Q$19),2)</f>
        <v>0</v>
      </c>
      <c r="R216" s="242">
        <f>ROUND(SUMIFS(BS_RE33!$U$7:$U$874,BS_RE33!$S$7:$S$874,'Summary &amp; Working File(Ccy)'!P216,BS_RE33!$N$7:$N$874,'Summary &amp; Working File(Ccy)'!$R$10,BS_RE33!$F$7:$F$874,$J$3)+SUMIF($P$13:$P$19,P216,$R$13:$R$19),2)</f>
        <v>0</v>
      </c>
    </row>
    <row r="217" spans="2:18">
      <c r="B217" s="243">
        <f t="shared" si="64"/>
        <v>197</v>
      </c>
      <c r="C217" s="247">
        <f t="shared" si="64"/>
        <v>46254</v>
      </c>
      <c r="D217" s="245">
        <f t="shared" si="65"/>
        <v>0</v>
      </c>
      <c r="E217" s="235">
        <f t="shared" si="48"/>
        <v>0</v>
      </c>
      <c r="F217" s="236">
        <f t="shared" si="58"/>
        <v>0</v>
      </c>
      <c r="G217" s="237">
        <f t="shared" si="57"/>
        <v>0</v>
      </c>
      <c r="H217" s="273">
        <f t="shared" si="59"/>
        <v>0</v>
      </c>
      <c r="I217" s="238">
        <f t="shared" si="56"/>
        <v>0</v>
      </c>
      <c r="J217" s="237">
        <f t="shared" si="60"/>
        <v>0</v>
      </c>
      <c r="K217" s="269">
        <f t="shared" si="61"/>
        <v>0</v>
      </c>
      <c r="L217" s="239">
        <f t="shared" si="62"/>
        <v>0</v>
      </c>
      <c r="M217" s="275" t="e">
        <f t="shared" si="63"/>
        <v>#DIV/0!</v>
      </c>
      <c r="N217" s="3"/>
      <c r="O217" s="1">
        <f t="shared" si="66"/>
        <v>197</v>
      </c>
      <c r="P217" s="182">
        <f t="shared" si="66"/>
        <v>46254</v>
      </c>
      <c r="Q217" s="241">
        <f>ROUND(SUMIFS(BS_RE33!$U$7:$U$874,BS_RE33!$S$7:$S$874,'Summary &amp; Working File(Ccy)'!P217,BS_RE33!$N$7:$N$874,'Summary &amp; Working File(Ccy)'!$Q$10,BS_RE33!$F$7:$F$874,$J$3)+SUMIF($P$13:$P$19,P217,$Q$13:$Q$19),2)</f>
        <v>0</v>
      </c>
      <c r="R217" s="242">
        <f>ROUND(SUMIFS(BS_RE33!$U$7:$U$874,BS_RE33!$S$7:$S$874,'Summary &amp; Working File(Ccy)'!P217,BS_RE33!$N$7:$N$874,'Summary &amp; Working File(Ccy)'!$R$10,BS_RE33!$F$7:$F$874,$J$3)+SUMIF($P$13:$P$19,P217,$R$13:$R$19),2)</f>
        <v>0</v>
      </c>
    </row>
    <row r="218" spans="2:18">
      <c r="B218" s="243">
        <f t="shared" si="64"/>
        <v>198</v>
      </c>
      <c r="C218" s="247">
        <f t="shared" si="64"/>
        <v>46255</v>
      </c>
      <c r="D218" s="245">
        <f t="shared" si="65"/>
        <v>0</v>
      </c>
      <c r="E218" s="235">
        <f t="shared" si="48"/>
        <v>0</v>
      </c>
      <c r="F218" s="236">
        <f t="shared" si="58"/>
        <v>0</v>
      </c>
      <c r="G218" s="237">
        <f t="shared" si="57"/>
        <v>0</v>
      </c>
      <c r="H218" s="273">
        <f t="shared" si="59"/>
        <v>0</v>
      </c>
      <c r="I218" s="238">
        <f t="shared" si="56"/>
        <v>0</v>
      </c>
      <c r="J218" s="237">
        <f t="shared" si="60"/>
        <v>0</v>
      </c>
      <c r="K218" s="269">
        <f t="shared" si="61"/>
        <v>0</v>
      </c>
      <c r="L218" s="239">
        <f t="shared" si="62"/>
        <v>0</v>
      </c>
      <c r="M218" s="275" t="e">
        <f t="shared" si="63"/>
        <v>#DIV/0!</v>
      </c>
      <c r="N218" s="3"/>
      <c r="O218" s="1">
        <f t="shared" si="66"/>
        <v>198</v>
      </c>
      <c r="P218" s="182">
        <f t="shared" si="66"/>
        <v>46255</v>
      </c>
      <c r="Q218" s="241">
        <f>ROUND(SUMIFS(BS_RE33!$U$7:$U$874,BS_RE33!$S$7:$S$874,'Summary &amp; Working File(Ccy)'!P218,BS_RE33!$N$7:$N$874,'Summary &amp; Working File(Ccy)'!$Q$10,BS_RE33!$F$7:$F$874,$J$3)+SUMIF($P$13:$P$19,P218,$Q$13:$Q$19),2)</f>
        <v>0</v>
      </c>
      <c r="R218" s="242">
        <f>ROUND(SUMIFS(BS_RE33!$U$7:$U$874,BS_RE33!$S$7:$S$874,'Summary &amp; Working File(Ccy)'!P218,BS_RE33!$N$7:$N$874,'Summary &amp; Working File(Ccy)'!$R$10,BS_RE33!$F$7:$F$874,$J$3)+SUMIF($P$13:$P$19,P218,$R$13:$R$19),2)</f>
        <v>0</v>
      </c>
    </row>
    <row r="219" spans="2:18">
      <c r="B219" s="243">
        <f t="shared" si="64"/>
        <v>199</v>
      </c>
      <c r="C219" s="247">
        <f t="shared" si="64"/>
        <v>46256</v>
      </c>
      <c r="D219" s="245">
        <f t="shared" si="65"/>
        <v>0</v>
      </c>
      <c r="E219" s="235">
        <f t="shared" si="48"/>
        <v>0</v>
      </c>
      <c r="F219" s="236">
        <f t="shared" si="58"/>
        <v>0</v>
      </c>
      <c r="G219" s="237">
        <f t="shared" si="57"/>
        <v>0</v>
      </c>
      <c r="H219" s="273">
        <f t="shared" si="59"/>
        <v>0</v>
      </c>
      <c r="I219" s="238">
        <f t="shared" si="56"/>
        <v>0</v>
      </c>
      <c r="J219" s="237">
        <f t="shared" si="60"/>
        <v>0</v>
      </c>
      <c r="K219" s="269">
        <f t="shared" si="61"/>
        <v>0</v>
      </c>
      <c r="L219" s="239">
        <f t="shared" si="62"/>
        <v>0</v>
      </c>
      <c r="M219" s="275" t="e">
        <f t="shared" si="63"/>
        <v>#DIV/0!</v>
      </c>
      <c r="N219" s="3"/>
      <c r="O219" s="1">
        <f t="shared" si="66"/>
        <v>199</v>
      </c>
      <c r="P219" s="182">
        <f t="shared" si="66"/>
        <v>46256</v>
      </c>
      <c r="Q219" s="241">
        <f>ROUND(SUMIFS(BS_RE33!$U$7:$U$874,BS_RE33!$S$7:$S$874,'Summary &amp; Working File(Ccy)'!P219,BS_RE33!$N$7:$N$874,'Summary &amp; Working File(Ccy)'!$Q$10,BS_RE33!$F$7:$F$874,$J$3)+SUMIF($P$13:$P$19,P219,$Q$13:$Q$19),2)</f>
        <v>0</v>
      </c>
      <c r="R219" s="242">
        <f>ROUND(SUMIFS(BS_RE33!$U$7:$U$874,BS_RE33!$S$7:$S$874,'Summary &amp; Working File(Ccy)'!P219,BS_RE33!$N$7:$N$874,'Summary &amp; Working File(Ccy)'!$R$10,BS_RE33!$F$7:$F$874,$J$3)+SUMIF($P$13:$P$19,P219,$R$13:$R$19),2)</f>
        <v>0</v>
      </c>
    </row>
    <row r="220" spans="2:18">
      <c r="B220" s="243">
        <f t="shared" si="64"/>
        <v>200</v>
      </c>
      <c r="C220" s="247">
        <f t="shared" si="64"/>
        <v>46257</v>
      </c>
      <c r="D220" s="245">
        <f t="shared" si="65"/>
        <v>0</v>
      </c>
      <c r="E220" s="235">
        <f t="shared" si="48"/>
        <v>0</v>
      </c>
      <c r="F220" s="236">
        <f t="shared" si="58"/>
        <v>0</v>
      </c>
      <c r="G220" s="237">
        <f t="shared" si="57"/>
        <v>0</v>
      </c>
      <c r="H220" s="273">
        <f t="shared" si="59"/>
        <v>0</v>
      </c>
      <c r="I220" s="238">
        <f t="shared" si="56"/>
        <v>0</v>
      </c>
      <c r="J220" s="237">
        <f t="shared" si="60"/>
        <v>0</v>
      </c>
      <c r="K220" s="269">
        <f t="shared" si="61"/>
        <v>0</v>
      </c>
      <c r="L220" s="239">
        <f t="shared" si="62"/>
        <v>0</v>
      </c>
      <c r="M220" s="275" t="e">
        <f t="shared" si="63"/>
        <v>#DIV/0!</v>
      </c>
      <c r="N220" s="3"/>
      <c r="O220" s="1">
        <f t="shared" si="66"/>
        <v>200</v>
      </c>
      <c r="P220" s="182">
        <f t="shared" si="66"/>
        <v>46257</v>
      </c>
      <c r="Q220" s="241">
        <f>ROUND(SUMIFS(BS_RE33!$U$7:$U$874,BS_RE33!$S$7:$S$874,'Summary &amp; Working File(Ccy)'!P220,BS_RE33!$N$7:$N$874,'Summary &amp; Working File(Ccy)'!$Q$10,BS_RE33!$F$7:$F$874,$J$3)+SUMIF($P$13:$P$19,P220,$Q$13:$Q$19),2)</f>
        <v>0</v>
      </c>
      <c r="R220" s="242">
        <f>ROUND(SUMIFS(BS_RE33!$U$7:$U$874,BS_RE33!$S$7:$S$874,'Summary &amp; Working File(Ccy)'!P220,BS_RE33!$N$7:$N$874,'Summary &amp; Working File(Ccy)'!$R$10,BS_RE33!$F$7:$F$874,$J$3)+SUMIF($P$13:$P$19,P220,$R$13:$R$19),2)</f>
        <v>0</v>
      </c>
    </row>
    <row r="221" spans="2:18">
      <c r="B221" s="243">
        <f t="shared" si="64"/>
        <v>201</v>
      </c>
      <c r="C221" s="247">
        <f t="shared" si="64"/>
        <v>46258</v>
      </c>
      <c r="D221" s="245">
        <f t="shared" si="65"/>
        <v>0</v>
      </c>
      <c r="E221" s="235">
        <f t="shared" si="48"/>
        <v>0</v>
      </c>
      <c r="F221" s="236">
        <f t="shared" si="58"/>
        <v>0</v>
      </c>
      <c r="G221" s="237">
        <f t="shared" si="57"/>
        <v>0</v>
      </c>
      <c r="H221" s="273">
        <f t="shared" si="59"/>
        <v>0</v>
      </c>
      <c r="I221" s="238">
        <f t="shared" si="56"/>
        <v>0</v>
      </c>
      <c r="J221" s="237">
        <f t="shared" si="60"/>
        <v>0</v>
      </c>
      <c r="K221" s="269">
        <f t="shared" si="61"/>
        <v>0</v>
      </c>
      <c r="L221" s="239">
        <f t="shared" si="62"/>
        <v>0</v>
      </c>
      <c r="M221" s="275" t="e">
        <f t="shared" si="63"/>
        <v>#DIV/0!</v>
      </c>
      <c r="N221" s="3"/>
      <c r="O221" s="1">
        <f t="shared" si="66"/>
        <v>201</v>
      </c>
      <c r="P221" s="182">
        <f t="shared" si="66"/>
        <v>46258</v>
      </c>
      <c r="Q221" s="241">
        <f>ROUND(SUMIFS(BS_RE33!$U$7:$U$874,BS_RE33!$S$7:$S$874,'Summary &amp; Working File(Ccy)'!P221,BS_RE33!$N$7:$N$874,'Summary &amp; Working File(Ccy)'!$Q$10,BS_RE33!$F$7:$F$874,$J$3)+SUMIF($P$13:$P$19,P221,$Q$13:$Q$19),2)</f>
        <v>0</v>
      </c>
      <c r="R221" s="242">
        <f>ROUND(SUMIFS(BS_RE33!$U$7:$U$874,BS_RE33!$S$7:$S$874,'Summary &amp; Working File(Ccy)'!P221,BS_RE33!$N$7:$N$874,'Summary &amp; Working File(Ccy)'!$R$10,BS_RE33!$F$7:$F$874,$J$3)+SUMIF($P$13:$P$19,P221,$R$13:$R$19),2)</f>
        <v>0</v>
      </c>
    </row>
    <row r="222" spans="2:18">
      <c r="B222" s="243">
        <f t="shared" si="64"/>
        <v>202</v>
      </c>
      <c r="C222" s="247">
        <f t="shared" si="64"/>
        <v>46259</v>
      </c>
      <c r="D222" s="245">
        <f t="shared" si="65"/>
        <v>0</v>
      </c>
      <c r="E222" s="235">
        <f t="shared" si="48"/>
        <v>0</v>
      </c>
      <c r="F222" s="236">
        <f t="shared" si="58"/>
        <v>0</v>
      </c>
      <c r="G222" s="237">
        <f t="shared" si="57"/>
        <v>0</v>
      </c>
      <c r="H222" s="273">
        <f t="shared" si="59"/>
        <v>0</v>
      </c>
      <c r="I222" s="238">
        <f t="shared" si="56"/>
        <v>0</v>
      </c>
      <c r="J222" s="237">
        <f t="shared" si="60"/>
        <v>0</v>
      </c>
      <c r="K222" s="269">
        <f t="shared" si="61"/>
        <v>0</v>
      </c>
      <c r="L222" s="239">
        <f t="shared" si="62"/>
        <v>0</v>
      </c>
      <c r="M222" s="275" t="e">
        <f t="shared" si="63"/>
        <v>#DIV/0!</v>
      </c>
      <c r="N222" s="3"/>
      <c r="O222" s="1">
        <f t="shared" si="66"/>
        <v>202</v>
      </c>
      <c r="P222" s="182">
        <f t="shared" si="66"/>
        <v>46259</v>
      </c>
      <c r="Q222" s="241">
        <f>ROUND(SUMIFS(BS_RE33!$U$7:$U$874,BS_RE33!$S$7:$S$874,'Summary &amp; Working File(Ccy)'!P222,BS_RE33!$N$7:$N$874,'Summary &amp; Working File(Ccy)'!$Q$10,BS_RE33!$F$7:$F$874,$J$3)+SUMIF($P$13:$P$19,P222,$Q$13:$Q$19),2)</f>
        <v>0</v>
      </c>
      <c r="R222" s="242">
        <f>ROUND(SUMIFS(BS_RE33!$U$7:$U$874,BS_RE33!$S$7:$S$874,'Summary &amp; Working File(Ccy)'!P222,BS_RE33!$N$7:$N$874,'Summary &amp; Working File(Ccy)'!$R$10,BS_RE33!$F$7:$F$874,$J$3)+SUMIF($P$13:$P$19,P222,$R$13:$R$19),2)</f>
        <v>0</v>
      </c>
    </row>
    <row r="223" spans="2:18">
      <c r="B223" s="243">
        <f t="shared" si="64"/>
        <v>203</v>
      </c>
      <c r="C223" s="247">
        <f t="shared" si="64"/>
        <v>46260</v>
      </c>
      <c r="D223" s="245">
        <f t="shared" si="65"/>
        <v>0</v>
      </c>
      <c r="E223" s="235">
        <f t="shared" si="48"/>
        <v>0</v>
      </c>
      <c r="F223" s="236">
        <f t="shared" si="58"/>
        <v>0</v>
      </c>
      <c r="G223" s="237">
        <f t="shared" si="57"/>
        <v>0</v>
      </c>
      <c r="H223" s="273">
        <f t="shared" si="59"/>
        <v>0</v>
      </c>
      <c r="I223" s="238">
        <f t="shared" si="56"/>
        <v>0</v>
      </c>
      <c r="J223" s="237">
        <f t="shared" si="60"/>
        <v>0</v>
      </c>
      <c r="K223" s="269">
        <f t="shared" si="61"/>
        <v>0</v>
      </c>
      <c r="L223" s="239">
        <f t="shared" si="62"/>
        <v>0</v>
      </c>
      <c r="M223" s="275" t="e">
        <f t="shared" si="63"/>
        <v>#DIV/0!</v>
      </c>
      <c r="N223" s="3"/>
      <c r="O223" s="1">
        <f t="shared" si="66"/>
        <v>203</v>
      </c>
      <c r="P223" s="182">
        <f t="shared" si="66"/>
        <v>46260</v>
      </c>
      <c r="Q223" s="241">
        <f>ROUND(SUMIFS(BS_RE33!$U$7:$U$874,BS_RE33!$S$7:$S$874,'Summary &amp; Working File(Ccy)'!P223,BS_RE33!$N$7:$N$874,'Summary &amp; Working File(Ccy)'!$Q$10,BS_RE33!$F$7:$F$874,$J$3)+SUMIF($P$13:$P$19,P223,$Q$13:$Q$19),2)</f>
        <v>0</v>
      </c>
      <c r="R223" s="242">
        <f>ROUND(SUMIFS(BS_RE33!$U$7:$U$874,BS_RE33!$S$7:$S$874,'Summary &amp; Working File(Ccy)'!P223,BS_RE33!$N$7:$N$874,'Summary &amp; Working File(Ccy)'!$R$10,BS_RE33!$F$7:$F$874,$J$3)+SUMIF($P$13:$P$19,P223,$R$13:$R$19),2)</f>
        <v>0</v>
      </c>
    </row>
    <row r="224" spans="2:18">
      <c r="B224" s="243">
        <f t="shared" si="64"/>
        <v>204</v>
      </c>
      <c r="C224" s="247">
        <f t="shared" si="64"/>
        <v>46261</v>
      </c>
      <c r="D224" s="245">
        <f t="shared" si="65"/>
        <v>0</v>
      </c>
      <c r="E224" s="235">
        <f t="shared" si="48"/>
        <v>0</v>
      </c>
      <c r="F224" s="236">
        <f t="shared" si="58"/>
        <v>0</v>
      </c>
      <c r="G224" s="237">
        <f t="shared" si="57"/>
        <v>0</v>
      </c>
      <c r="H224" s="273">
        <f t="shared" si="59"/>
        <v>0</v>
      </c>
      <c r="I224" s="238">
        <f t="shared" si="56"/>
        <v>0</v>
      </c>
      <c r="J224" s="237">
        <f t="shared" si="60"/>
        <v>0</v>
      </c>
      <c r="K224" s="269">
        <f t="shared" si="61"/>
        <v>0</v>
      </c>
      <c r="L224" s="239">
        <f t="shared" si="62"/>
        <v>0</v>
      </c>
      <c r="M224" s="275" t="e">
        <f t="shared" si="63"/>
        <v>#DIV/0!</v>
      </c>
      <c r="N224" s="3"/>
      <c r="O224" s="1">
        <f t="shared" si="66"/>
        <v>204</v>
      </c>
      <c r="P224" s="182">
        <f t="shared" si="66"/>
        <v>46261</v>
      </c>
      <c r="Q224" s="241">
        <f>ROUND(SUMIFS(BS_RE33!$U$7:$U$874,BS_RE33!$S$7:$S$874,'Summary &amp; Working File(Ccy)'!P224,BS_RE33!$N$7:$N$874,'Summary &amp; Working File(Ccy)'!$Q$10,BS_RE33!$F$7:$F$874,$J$3)+SUMIF($P$13:$P$19,P224,$Q$13:$Q$19),2)</f>
        <v>0</v>
      </c>
      <c r="R224" s="242">
        <f>ROUND(SUMIFS(BS_RE33!$U$7:$U$874,BS_RE33!$S$7:$S$874,'Summary &amp; Working File(Ccy)'!P224,BS_RE33!$N$7:$N$874,'Summary &amp; Working File(Ccy)'!$R$10,BS_RE33!$F$7:$F$874,$J$3)+SUMIF($P$13:$P$19,P224,$R$13:$R$19),2)</f>
        <v>0</v>
      </c>
    </row>
    <row r="225" spans="2:18">
      <c r="B225" s="243">
        <f t="shared" si="64"/>
        <v>205</v>
      </c>
      <c r="C225" s="247">
        <f t="shared" si="64"/>
        <v>46262</v>
      </c>
      <c r="D225" s="245">
        <f t="shared" si="65"/>
        <v>0</v>
      </c>
      <c r="E225" s="235">
        <f t="shared" si="48"/>
        <v>0</v>
      </c>
      <c r="F225" s="236">
        <f t="shared" si="58"/>
        <v>0</v>
      </c>
      <c r="G225" s="237">
        <f t="shared" si="57"/>
        <v>0</v>
      </c>
      <c r="H225" s="273">
        <f t="shared" si="59"/>
        <v>0</v>
      </c>
      <c r="I225" s="238">
        <f t="shared" si="56"/>
        <v>0</v>
      </c>
      <c r="J225" s="237">
        <f t="shared" si="60"/>
        <v>0</v>
      </c>
      <c r="K225" s="269">
        <f t="shared" si="61"/>
        <v>0</v>
      </c>
      <c r="L225" s="239">
        <f t="shared" si="62"/>
        <v>0</v>
      </c>
      <c r="M225" s="275" t="e">
        <f t="shared" si="63"/>
        <v>#DIV/0!</v>
      </c>
      <c r="N225" s="3"/>
      <c r="O225" s="1">
        <f t="shared" si="66"/>
        <v>205</v>
      </c>
      <c r="P225" s="182">
        <f t="shared" si="66"/>
        <v>46262</v>
      </c>
      <c r="Q225" s="241">
        <f>ROUND(SUMIFS(BS_RE33!$U$7:$U$874,BS_RE33!$S$7:$S$874,'Summary &amp; Working File(Ccy)'!P225,BS_RE33!$N$7:$N$874,'Summary &amp; Working File(Ccy)'!$Q$10,BS_RE33!$F$7:$F$874,$J$3)+SUMIF($P$13:$P$19,P225,$Q$13:$Q$19),2)</f>
        <v>0</v>
      </c>
      <c r="R225" s="242">
        <f>ROUND(SUMIFS(BS_RE33!$U$7:$U$874,BS_RE33!$S$7:$S$874,'Summary &amp; Working File(Ccy)'!P225,BS_RE33!$N$7:$N$874,'Summary &amp; Working File(Ccy)'!$R$10,BS_RE33!$F$7:$F$874,$J$3)+SUMIF($P$13:$P$19,P225,$R$13:$R$19),2)</f>
        <v>0</v>
      </c>
    </row>
    <row r="226" spans="2:18">
      <c r="B226" s="243">
        <f t="shared" si="64"/>
        <v>206</v>
      </c>
      <c r="C226" s="247">
        <f t="shared" si="64"/>
        <v>46263</v>
      </c>
      <c r="D226" s="245">
        <f t="shared" si="65"/>
        <v>0</v>
      </c>
      <c r="E226" s="235">
        <f t="shared" si="48"/>
        <v>0</v>
      </c>
      <c r="F226" s="236">
        <f t="shared" si="58"/>
        <v>0</v>
      </c>
      <c r="G226" s="237">
        <f t="shared" si="57"/>
        <v>0</v>
      </c>
      <c r="H226" s="273">
        <f t="shared" si="59"/>
        <v>0</v>
      </c>
      <c r="I226" s="238">
        <f t="shared" si="56"/>
        <v>0</v>
      </c>
      <c r="J226" s="237">
        <f t="shared" si="60"/>
        <v>0</v>
      </c>
      <c r="K226" s="269">
        <f t="shared" si="61"/>
        <v>0</v>
      </c>
      <c r="L226" s="239">
        <f t="shared" si="62"/>
        <v>0</v>
      </c>
      <c r="M226" s="275" t="e">
        <f t="shared" si="63"/>
        <v>#DIV/0!</v>
      </c>
      <c r="N226" s="3"/>
      <c r="O226" s="1">
        <f t="shared" si="66"/>
        <v>206</v>
      </c>
      <c r="P226" s="182">
        <f t="shared" si="66"/>
        <v>46263</v>
      </c>
      <c r="Q226" s="241">
        <f>ROUND(SUMIFS(BS_RE33!$U$7:$U$874,BS_RE33!$S$7:$S$874,'Summary &amp; Working File(Ccy)'!P226,BS_RE33!$N$7:$N$874,'Summary &amp; Working File(Ccy)'!$Q$10,BS_RE33!$F$7:$F$874,$J$3)+SUMIF($P$13:$P$19,P226,$Q$13:$Q$19),2)</f>
        <v>0</v>
      </c>
      <c r="R226" s="242">
        <f>ROUND(SUMIFS(BS_RE33!$U$7:$U$874,BS_RE33!$S$7:$S$874,'Summary &amp; Working File(Ccy)'!P226,BS_RE33!$N$7:$N$874,'Summary &amp; Working File(Ccy)'!$R$10,BS_RE33!$F$7:$F$874,$J$3)+SUMIF($P$13:$P$19,P226,$R$13:$R$19),2)</f>
        <v>0</v>
      </c>
    </row>
    <row r="227" spans="2:18">
      <c r="B227" s="243">
        <f t="shared" si="64"/>
        <v>207</v>
      </c>
      <c r="C227" s="247">
        <f t="shared" si="64"/>
        <v>46264</v>
      </c>
      <c r="D227" s="245">
        <f t="shared" si="65"/>
        <v>0</v>
      </c>
      <c r="E227" s="235">
        <f t="shared" si="48"/>
        <v>0</v>
      </c>
      <c r="F227" s="236">
        <f t="shared" si="58"/>
        <v>0</v>
      </c>
      <c r="G227" s="237">
        <f t="shared" si="57"/>
        <v>0</v>
      </c>
      <c r="H227" s="273">
        <f t="shared" si="59"/>
        <v>0</v>
      </c>
      <c r="I227" s="238">
        <f t="shared" si="56"/>
        <v>0</v>
      </c>
      <c r="J227" s="237">
        <f t="shared" si="60"/>
        <v>0</v>
      </c>
      <c r="K227" s="269">
        <f t="shared" si="61"/>
        <v>0</v>
      </c>
      <c r="L227" s="239">
        <f t="shared" si="62"/>
        <v>0</v>
      </c>
      <c r="M227" s="275" t="e">
        <f t="shared" si="63"/>
        <v>#DIV/0!</v>
      </c>
      <c r="N227" s="3"/>
      <c r="O227" s="1">
        <f t="shared" si="66"/>
        <v>207</v>
      </c>
      <c r="P227" s="182">
        <f t="shared" si="66"/>
        <v>46264</v>
      </c>
      <c r="Q227" s="241">
        <f>ROUND(SUMIFS(BS_RE33!$U$7:$U$874,BS_RE33!$S$7:$S$874,'Summary &amp; Working File(Ccy)'!P227,BS_RE33!$N$7:$N$874,'Summary &amp; Working File(Ccy)'!$Q$10,BS_RE33!$F$7:$F$874,$J$3)+SUMIF($P$13:$P$19,P227,$Q$13:$Q$19),2)</f>
        <v>0</v>
      </c>
      <c r="R227" s="242">
        <f>ROUND(SUMIFS(BS_RE33!$U$7:$U$874,BS_RE33!$S$7:$S$874,'Summary &amp; Working File(Ccy)'!P227,BS_RE33!$N$7:$N$874,'Summary &amp; Working File(Ccy)'!$R$10,BS_RE33!$F$7:$F$874,$J$3)+SUMIF($P$13:$P$19,P227,$R$13:$R$19),2)</f>
        <v>0</v>
      </c>
    </row>
    <row r="228" spans="2:18">
      <c r="B228" s="243">
        <f t="shared" si="64"/>
        <v>208</v>
      </c>
      <c r="C228" s="247">
        <f t="shared" si="64"/>
        <v>46265</v>
      </c>
      <c r="D228" s="245">
        <f t="shared" si="65"/>
        <v>0</v>
      </c>
      <c r="E228" s="235">
        <f t="shared" si="48"/>
        <v>0</v>
      </c>
      <c r="F228" s="236">
        <f t="shared" si="58"/>
        <v>0</v>
      </c>
      <c r="G228" s="237">
        <f t="shared" si="57"/>
        <v>0</v>
      </c>
      <c r="H228" s="273">
        <f t="shared" si="59"/>
        <v>0</v>
      </c>
      <c r="I228" s="238">
        <f t="shared" si="56"/>
        <v>0</v>
      </c>
      <c r="J228" s="237">
        <f t="shared" si="60"/>
        <v>0</v>
      </c>
      <c r="K228" s="269">
        <f t="shared" si="61"/>
        <v>0</v>
      </c>
      <c r="L228" s="239">
        <f t="shared" si="62"/>
        <v>0</v>
      </c>
      <c r="M228" s="275" t="e">
        <f t="shared" si="63"/>
        <v>#DIV/0!</v>
      </c>
      <c r="N228" s="3"/>
      <c r="O228" s="1">
        <f t="shared" si="66"/>
        <v>208</v>
      </c>
      <c r="P228" s="182">
        <f t="shared" si="66"/>
        <v>46265</v>
      </c>
      <c r="Q228" s="241">
        <f>ROUND(SUMIFS(BS_RE33!$U$7:$U$874,BS_RE33!$S$7:$S$874,'Summary &amp; Working File(Ccy)'!P228,BS_RE33!$N$7:$N$874,'Summary &amp; Working File(Ccy)'!$Q$10,BS_RE33!$F$7:$F$874,$J$3)+SUMIF($P$13:$P$19,P228,$Q$13:$Q$19),2)</f>
        <v>0</v>
      </c>
      <c r="R228" s="242">
        <f>ROUND(SUMIFS(BS_RE33!$U$7:$U$874,BS_RE33!$S$7:$S$874,'Summary &amp; Working File(Ccy)'!P228,BS_RE33!$N$7:$N$874,'Summary &amp; Working File(Ccy)'!$R$10,BS_RE33!$F$7:$F$874,$J$3)+SUMIF($P$13:$P$19,P228,$R$13:$R$19),2)</f>
        <v>0</v>
      </c>
    </row>
    <row r="229" spans="2:18">
      <c r="B229" s="243">
        <f t="shared" si="64"/>
        <v>209</v>
      </c>
      <c r="C229" s="247">
        <f t="shared" si="64"/>
        <v>46266</v>
      </c>
      <c r="D229" s="245">
        <f t="shared" si="65"/>
        <v>0</v>
      </c>
      <c r="E229" s="235">
        <f t="shared" ref="E229:E264" si="67">$Q$11+SUM(Q230:Q259)</f>
        <v>0</v>
      </c>
      <c r="F229" s="236">
        <f t="shared" si="58"/>
        <v>0</v>
      </c>
      <c r="G229" s="237">
        <f t="shared" si="57"/>
        <v>0</v>
      </c>
      <c r="H229" s="273">
        <f t="shared" si="59"/>
        <v>0</v>
      </c>
      <c r="I229" s="238">
        <f t="shared" si="56"/>
        <v>0</v>
      </c>
      <c r="J229" s="237">
        <f t="shared" si="60"/>
        <v>0</v>
      </c>
      <c r="K229" s="269">
        <f t="shared" si="61"/>
        <v>0</v>
      </c>
      <c r="L229" s="239">
        <f t="shared" si="62"/>
        <v>0</v>
      </c>
      <c r="M229" s="275" t="e">
        <f t="shared" si="63"/>
        <v>#DIV/0!</v>
      </c>
      <c r="N229" s="3"/>
      <c r="O229" s="1">
        <f t="shared" si="66"/>
        <v>209</v>
      </c>
      <c r="P229" s="182">
        <f t="shared" si="66"/>
        <v>46266</v>
      </c>
      <c r="Q229" s="241">
        <f>ROUND(SUMIFS(BS_RE33!$U$7:$U$874,BS_RE33!$S$7:$S$874,'Summary &amp; Working File(Ccy)'!P229,BS_RE33!$N$7:$N$874,'Summary &amp; Working File(Ccy)'!$Q$10,BS_RE33!$F$7:$F$874,$J$3)+SUMIF($P$13:$P$19,P229,$Q$13:$Q$19),2)</f>
        <v>0</v>
      </c>
      <c r="R229" s="242">
        <f>ROUND(SUMIFS(BS_RE33!$U$7:$U$874,BS_RE33!$S$7:$S$874,'Summary &amp; Working File(Ccy)'!P229,BS_RE33!$N$7:$N$874,'Summary &amp; Working File(Ccy)'!$R$10,BS_RE33!$F$7:$F$874,$J$3)+SUMIF($P$13:$P$19,P229,$R$13:$R$19),2)</f>
        <v>0</v>
      </c>
    </row>
    <row r="230" spans="2:18">
      <c r="B230" s="243">
        <f t="shared" si="64"/>
        <v>210</v>
      </c>
      <c r="C230" s="247">
        <f>C229+1</f>
        <v>46267</v>
      </c>
      <c r="D230" s="245">
        <f>D229</f>
        <v>0</v>
      </c>
      <c r="E230" s="235">
        <f t="shared" si="67"/>
        <v>0</v>
      </c>
      <c r="F230" s="236">
        <f t="shared" si="58"/>
        <v>0</v>
      </c>
      <c r="G230" s="237">
        <f t="shared" si="57"/>
        <v>0</v>
      </c>
      <c r="H230" s="273">
        <f t="shared" si="59"/>
        <v>0</v>
      </c>
      <c r="I230" s="238">
        <f t="shared" si="56"/>
        <v>0</v>
      </c>
      <c r="J230" s="237">
        <f t="shared" si="60"/>
        <v>0</v>
      </c>
      <c r="K230" s="269">
        <f t="shared" si="61"/>
        <v>0</v>
      </c>
      <c r="L230" s="239">
        <f t="shared" si="62"/>
        <v>0</v>
      </c>
      <c r="M230" s="275" t="e">
        <f t="shared" si="63"/>
        <v>#DIV/0!</v>
      </c>
      <c r="N230" s="3"/>
      <c r="O230" s="1">
        <f t="shared" si="66"/>
        <v>210</v>
      </c>
      <c r="P230" s="182">
        <f t="shared" si="66"/>
        <v>46267</v>
      </c>
      <c r="Q230" s="241">
        <f>ROUND(SUMIFS(BS_RE33!$U$7:$U$874,BS_RE33!$S$7:$S$874,'Summary &amp; Working File(Ccy)'!P230,BS_RE33!$N$7:$N$874,'Summary &amp; Working File(Ccy)'!$Q$10,BS_RE33!$F$7:$F$874,$J$3)+SUMIF($P$13:$P$19,P230,$Q$13:$Q$19),2)</f>
        <v>0</v>
      </c>
      <c r="R230" s="242">
        <f>ROUND(SUMIFS(BS_RE33!$U$7:$U$874,BS_RE33!$S$7:$S$874,'Summary &amp; Working File(Ccy)'!P230,BS_RE33!$N$7:$N$874,'Summary &amp; Working File(Ccy)'!$R$10,BS_RE33!$F$7:$F$874,$J$3)+SUMIF($P$13:$P$19,P230,$R$13:$R$19),2)</f>
        <v>0</v>
      </c>
    </row>
    <row r="231" spans="2:18">
      <c r="B231" s="243">
        <f t="shared" ref="B231:C246" si="68">B230+1</f>
        <v>211</v>
      </c>
      <c r="C231" s="247">
        <f t="shared" si="68"/>
        <v>46268</v>
      </c>
      <c r="D231" s="245">
        <f t="shared" ref="D231:D264" si="69">D230</f>
        <v>0</v>
      </c>
      <c r="E231" s="235">
        <f t="shared" si="67"/>
        <v>0</v>
      </c>
      <c r="F231" s="236">
        <f t="shared" si="58"/>
        <v>0</v>
      </c>
      <c r="G231" s="237">
        <f t="shared" si="57"/>
        <v>0</v>
      </c>
      <c r="H231" s="273">
        <f t="shared" si="59"/>
        <v>0</v>
      </c>
      <c r="I231" s="238">
        <f t="shared" si="56"/>
        <v>0</v>
      </c>
      <c r="J231" s="237">
        <f t="shared" si="60"/>
        <v>0</v>
      </c>
      <c r="K231" s="269">
        <f t="shared" si="61"/>
        <v>0</v>
      </c>
      <c r="L231" s="239">
        <f t="shared" si="62"/>
        <v>0</v>
      </c>
      <c r="M231" s="275" t="e">
        <f t="shared" si="63"/>
        <v>#DIV/0!</v>
      </c>
      <c r="N231" s="3"/>
      <c r="O231" s="1">
        <f t="shared" ref="O231:P246" si="70">O230+1</f>
        <v>211</v>
      </c>
      <c r="P231" s="182">
        <f t="shared" si="70"/>
        <v>46268</v>
      </c>
      <c r="Q231" s="241">
        <f>ROUND(SUMIFS(BS_RE33!$U$7:$U$874,BS_RE33!$S$7:$S$874,'Summary &amp; Working File(Ccy)'!P231,BS_RE33!$N$7:$N$874,'Summary &amp; Working File(Ccy)'!$Q$10,BS_RE33!$F$7:$F$874,$J$3)+SUMIF($P$13:$P$19,P231,$Q$13:$Q$19),2)</f>
        <v>0</v>
      </c>
      <c r="R231" s="242">
        <f>ROUND(SUMIFS(BS_RE33!$U$7:$U$874,BS_RE33!$S$7:$S$874,'Summary &amp; Working File(Ccy)'!P231,BS_RE33!$N$7:$N$874,'Summary &amp; Working File(Ccy)'!$R$10,BS_RE33!$F$7:$F$874,$J$3)+SUMIF($P$13:$P$19,P231,$R$13:$R$19),2)</f>
        <v>0</v>
      </c>
    </row>
    <row r="232" spans="2:18">
      <c r="B232" s="243">
        <f t="shared" si="68"/>
        <v>212</v>
      </c>
      <c r="C232" s="247">
        <f t="shared" si="68"/>
        <v>46269</v>
      </c>
      <c r="D232" s="245">
        <f t="shared" si="69"/>
        <v>0</v>
      </c>
      <c r="E232" s="235">
        <f t="shared" si="67"/>
        <v>0</v>
      </c>
      <c r="F232" s="236">
        <f t="shared" si="58"/>
        <v>0</v>
      </c>
      <c r="G232" s="237">
        <f t="shared" si="57"/>
        <v>0</v>
      </c>
      <c r="H232" s="273">
        <f t="shared" si="59"/>
        <v>0</v>
      </c>
      <c r="I232" s="238">
        <f t="shared" si="56"/>
        <v>0</v>
      </c>
      <c r="J232" s="237">
        <f t="shared" si="60"/>
        <v>0</v>
      </c>
      <c r="K232" s="269">
        <f t="shared" si="61"/>
        <v>0</v>
      </c>
      <c r="L232" s="239">
        <f t="shared" si="62"/>
        <v>0</v>
      </c>
      <c r="M232" s="275" t="e">
        <f t="shared" si="63"/>
        <v>#DIV/0!</v>
      </c>
      <c r="N232" s="3"/>
      <c r="O232" s="1">
        <f t="shared" si="70"/>
        <v>212</v>
      </c>
      <c r="P232" s="182">
        <f t="shared" si="70"/>
        <v>46269</v>
      </c>
      <c r="Q232" s="241">
        <f>ROUND(SUMIFS(BS_RE33!$U$7:$U$874,BS_RE33!$S$7:$S$874,'Summary &amp; Working File(Ccy)'!P232,BS_RE33!$N$7:$N$874,'Summary &amp; Working File(Ccy)'!$Q$10,BS_RE33!$F$7:$F$874,$J$3)+SUMIF($P$13:$P$19,P232,$Q$13:$Q$19),2)</f>
        <v>0</v>
      </c>
      <c r="R232" s="242">
        <f>ROUND(SUMIFS(BS_RE33!$U$7:$U$874,BS_RE33!$S$7:$S$874,'Summary &amp; Working File(Ccy)'!P232,BS_RE33!$N$7:$N$874,'Summary &amp; Working File(Ccy)'!$R$10,BS_RE33!$F$7:$F$874,$J$3)+SUMIF($P$13:$P$19,P232,$R$13:$R$19),2)</f>
        <v>0</v>
      </c>
    </row>
    <row r="233" spans="2:18">
      <c r="B233" s="243">
        <f t="shared" si="68"/>
        <v>213</v>
      </c>
      <c r="C233" s="247">
        <f t="shared" si="68"/>
        <v>46270</v>
      </c>
      <c r="D233" s="245">
        <f t="shared" si="69"/>
        <v>0</v>
      </c>
      <c r="E233" s="235">
        <f t="shared" si="67"/>
        <v>0</v>
      </c>
      <c r="F233" s="236">
        <f t="shared" si="58"/>
        <v>0</v>
      </c>
      <c r="G233" s="237">
        <f t="shared" si="57"/>
        <v>0</v>
      </c>
      <c r="H233" s="273">
        <f t="shared" si="59"/>
        <v>0</v>
      </c>
      <c r="I233" s="238">
        <f t="shared" si="56"/>
        <v>0</v>
      </c>
      <c r="J233" s="237">
        <f t="shared" si="60"/>
        <v>0</v>
      </c>
      <c r="K233" s="269">
        <f t="shared" si="61"/>
        <v>0</v>
      </c>
      <c r="L233" s="239">
        <f t="shared" si="62"/>
        <v>0</v>
      </c>
      <c r="M233" s="275" t="e">
        <f t="shared" si="63"/>
        <v>#DIV/0!</v>
      </c>
      <c r="N233" s="3"/>
      <c r="O233" s="1">
        <f t="shared" si="70"/>
        <v>213</v>
      </c>
      <c r="P233" s="182">
        <f t="shared" si="70"/>
        <v>46270</v>
      </c>
      <c r="Q233" s="241">
        <f>ROUND(SUMIFS(BS_RE33!$U$7:$U$874,BS_RE33!$S$7:$S$874,'Summary &amp; Working File(Ccy)'!P233,BS_RE33!$N$7:$N$874,'Summary &amp; Working File(Ccy)'!$Q$10,BS_RE33!$F$7:$F$874,$J$3)+SUMIF($P$13:$P$19,P233,$Q$13:$Q$19),2)</f>
        <v>0</v>
      </c>
      <c r="R233" s="242">
        <f>ROUND(SUMIFS(BS_RE33!$U$7:$U$874,BS_RE33!$S$7:$S$874,'Summary &amp; Working File(Ccy)'!P233,BS_RE33!$N$7:$N$874,'Summary &amp; Working File(Ccy)'!$R$10,BS_RE33!$F$7:$F$874,$J$3)+SUMIF($P$13:$P$19,P233,$R$13:$R$19),2)</f>
        <v>0</v>
      </c>
    </row>
    <row r="234" spans="2:18">
      <c r="B234" s="243">
        <f t="shared" si="68"/>
        <v>214</v>
      </c>
      <c r="C234" s="247">
        <f t="shared" si="68"/>
        <v>46271</v>
      </c>
      <c r="D234" s="245">
        <f t="shared" si="69"/>
        <v>0</v>
      </c>
      <c r="E234" s="235">
        <f t="shared" si="67"/>
        <v>0</v>
      </c>
      <c r="F234" s="236">
        <f t="shared" si="58"/>
        <v>0</v>
      </c>
      <c r="G234" s="237">
        <f t="shared" si="57"/>
        <v>0</v>
      </c>
      <c r="H234" s="273">
        <f t="shared" si="59"/>
        <v>0</v>
      </c>
      <c r="I234" s="238">
        <f t="shared" si="56"/>
        <v>0</v>
      </c>
      <c r="J234" s="237">
        <f t="shared" si="60"/>
        <v>0</v>
      </c>
      <c r="K234" s="269">
        <f t="shared" si="61"/>
        <v>0</v>
      </c>
      <c r="L234" s="239">
        <f t="shared" si="62"/>
        <v>0</v>
      </c>
      <c r="M234" s="275" t="e">
        <f t="shared" si="63"/>
        <v>#DIV/0!</v>
      </c>
      <c r="N234" s="3"/>
      <c r="O234" s="1">
        <f t="shared" si="70"/>
        <v>214</v>
      </c>
      <c r="P234" s="182">
        <f t="shared" si="70"/>
        <v>46271</v>
      </c>
      <c r="Q234" s="241">
        <f>ROUND(SUMIFS(BS_RE33!$U$7:$U$874,BS_RE33!$S$7:$S$874,'Summary &amp; Working File(Ccy)'!P234,BS_RE33!$N$7:$N$874,'Summary &amp; Working File(Ccy)'!$Q$10,BS_RE33!$F$7:$F$874,$J$3)+SUMIF($P$13:$P$19,P234,$Q$13:$Q$19),2)</f>
        <v>0</v>
      </c>
      <c r="R234" s="242">
        <f>ROUND(SUMIFS(BS_RE33!$U$7:$U$874,BS_RE33!$S$7:$S$874,'Summary &amp; Working File(Ccy)'!P234,BS_RE33!$N$7:$N$874,'Summary &amp; Working File(Ccy)'!$R$10,BS_RE33!$F$7:$F$874,$J$3)+SUMIF($P$13:$P$19,P234,$R$13:$R$19),2)</f>
        <v>0</v>
      </c>
    </row>
    <row r="235" spans="2:18">
      <c r="B235" s="243">
        <f t="shared" si="68"/>
        <v>215</v>
      </c>
      <c r="C235" s="247">
        <f t="shared" si="68"/>
        <v>46272</v>
      </c>
      <c r="D235" s="245">
        <f t="shared" si="69"/>
        <v>0</v>
      </c>
      <c r="E235" s="235">
        <f t="shared" si="67"/>
        <v>0</v>
      </c>
      <c r="F235" s="236">
        <f t="shared" si="58"/>
        <v>0</v>
      </c>
      <c r="G235" s="237">
        <f t="shared" si="57"/>
        <v>0</v>
      </c>
      <c r="H235" s="273">
        <f t="shared" si="59"/>
        <v>0</v>
      </c>
      <c r="I235" s="238">
        <f t="shared" si="56"/>
        <v>0</v>
      </c>
      <c r="J235" s="237">
        <f t="shared" si="60"/>
        <v>0</v>
      </c>
      <c r="K235" s="269">
        <f t="shared" si="61"/>
        <v>0</v>
      </c>
      <c r="L235" s="239">
        <f t="shared" si="62"/>
        <v>0</v>
      </c>
      <c r="M235" s="275" t="e">
        <f t="shared" si="63"/>
        <v>#DIV/0!</v>
      </c>
      <c r="N235" s="3"/>
      <c r="O235" s="1">
        <f t="shared" si="70"/>
        <v>215</v>
      </c>
      <c r="P235" s="182">
        <f t="shared" si="70"/>
        <v>46272</v>
      </c>
      <c r="Q235" s="241">
        <f>ROUND(SUMIFS(BS_RE33!$U$7:$U$874,BS_RE33!$S$7:$S$874,'Summary &amp; Working File(Ccy)'!P235,BS_RE33!$N$7:$N$874,'Summary &amp; Working File(Ccy)'!$Q$10,BS_RE33!$F$7:$F$874,$J$3)+SUMIF($P$13:$P$19,P235,$Q$13:$Q$19),2)</f>
        <v>0</v>
      </c>
      <c r="R235" s="242">
        <f>ROUND(SUMIFS(BS_RE33!$U$7:$U$874,BS_RE33!$S$7:$S$874,'Summary &amp; Working File(Ccy)'!P235,BS_RE33!$N$7:$N$874,'Summary &amp; Working File(Ccy)'!$R$10,BS_RE33!$F$7:$F$874,$J$3)+SUMIF($P$13:$P$19,P235,$R$13:$R$19),2)</f>
        <v>0</v>
      </c>
    </row>
    <row r="236" spans="2:18">
      <c r="B236" s="243">
        <f t="shared" si="68"/>
        <v>216</v>
      </c>
      <c r="C236" s="247">
        <f t="shared" si="68"/>
        <v>46273</v>
      </c>
      <c r="D236" s="245">
        <f t="shared" si="69"/>
        <v>0</v>
      </c>
      <c r="E236" s="235">
        <f t="shared" si="67"/>
        <v>0</v>
      </c>
      <c r="F236" s="236">
        <f t="shared" si="58"/>
        <v>0</v>
      </c>
      <c r="G236" s="237">
        <f t="shared" si="57"/>
        <v>0</v>
      </c>
      <c r="H236" s="273">
        <f t="shared" si="59"/>
        <v>0</v>
      </c>
      <c r="I236" s="238">
        <f t="shared" si="56"/>
        <v>0</v>
      </c>
      <c r="J236" s="237">
        <f t="shared" si="60"/>
        <v>0</v>
      </c>
      <c r="K236" s="269">
        <f t="shared" si="61"/>
        <v>0</v>
      </c>
      <c r="L236" s="239">
        <f t="shared" si="62"/>
        <v>0</v>
      </c>
      <c r="M236" s="275" t="e">
        <f t="shared" si="63"/>
        <v>#DIV/0!</v>
      </c>
      <c r="N236" s="3"/>
      <c r="O236" s="1">
        <f t="shared" si="70"/>
        <v>216</v>
      </c>
      <c r="P236" s="182">
        <f t="shared" si="70"/>
        <v>46273</v>
      </c>
      <c r="Q236" s="241">
        <f>ROUND(SUMIFS(BS_RE33!$U$7:$U$874,BS_RE33!$S$7:$S$874,'Summary &amp; Working File(Ccy)'!P236,BS_RE33!$N$7:$N$874,'Summary &amp; Working File(Ccy)'!$Q$10,BS_RE33!$F$7:$F$874,$J$3)+SUMIF($P$13:$P$19,P236,$Q$13:$Q$19),2)</f>
        <v>0</v>
      </c>
      <c r="R236" s="242">
        <f>ROUND(SUMIFS(BS_RE33!$U$7:$U$874,BS_RE33!$S$7:$S$874,'Summary &amp; Working File(Ccy)'!P236,BS_RE33!$N$7:$N$874,'Summary &amp; Working File(Ccy)'!$R$10,BS_RE33!$F$7:$F$874,$J$3)+SUMIF($P$13:$P$19,P236,$R$13:$R$19),2)</f>
        <v>0</v>
      </c>
    </row>
    <row r="237" spans="2:18">
      <c r="B237" s="243">
        <f t="shared" si="68"/>
        <v>217</v>
      </c>
      <c r="C237" s="247">
        <f t="shared" si="68"/>
        <v>46274</v>
      </c>
      <c r="D237" s="245">
        <f t="shared" si="69"/>
        <v>0</v>
      </c>
      <c r="E237" s="235">
        <f t="shared" si="67"/>
        <v>0</v>
      </c>
      <c r="F237" s="236">
        <f t="shared" si="58"/>
        <v>0</v>
      </c>
      <c r="G237" s="237">
        <f t="shared" si="57"/>
        <v>0</v>
      </c>
      <c r="H237" s="273">
        <f t="shared" si="59"/>
        <v>0</v>
      </c>
      <c r="I237" s="238">
        <f t="shared" si="56"/>
        <v>0</v>
      </c>
      <c r="J237" s="237">
        <f t="shared" si="60"/>
        <v>0</v>
      </c>
      <c r="K237" s="269">
        <f t="shared" si="61"/>
        <v>0</v>
      </c>
      <c r="L237" s="239">
        <f t="shared" si="62"/>
        <v>0</v>
      </c>
      <c r="M237" s="275" t="e">
        <f t="shared" si="63"/>
        <v>#DIV/0!</v>
      </c>
      <c r="N237" s="3"/>
      <c r="O237" s="1">
        <f t="shared" si="70"/>
        <v>217</v>
      </c>
      <c r="P237" s="182">
        <f t="shared" si="70"/>
        <v>46274</v>
      </c>
      <c r="Q237" s="241">
        <f>ROUND(SUMIFS(BS_RE33!$U$7:$U$874,BS_RE33!$S$7:$S$874,'Summary &amp; Working File(Ccy)'!P237,BS_RE33!$N$7:$N$874,'Summary &amp; Working File(Ccy)'!$Q$10,BS_RE33!$F$7:$F$874,$J$3)+SUMIF($P$13:$P$19,P237,$Q$13:$Q$19),2)</f>
        <v>0</v>
      </c>
      <c r="R237" s="242">
        <f>ROUND(SUMIFS(BS_RE33!$U$7:$U$874,BS_RE33!$S$7:$S$874,'Summary &amp; Working File(Ccy)'!P237,BS_RE33!$N$7:$N$874,'Summary &amp; Working File(Ccy)'!$R$10,BS_RE33!$F$7:$F$874,$J$3)+SUMIF($P$13:$P$19,P237,$R$13:$R$19),2)</f>
        <v>0</v>
      </c>
    </row>
    <row r="238" spans="2:18">
      <c r="B238" s="243">
        <f t="shared" si="68"/>
        <v>218</v>
      </c>
      <c r="C238" s="247">
        <f t="shared" si="68"/>
        <v>46275</v>
      </c>
      <c r="D238" s="245">
        <f t="shared" si="69"/>
        <v>0</v>
      </c>
      <c r="E238" s="235">
        <f t="shared" si="67"/>
        <v>0</v>
      </c>
      <c r="F238" s="236">
        <f t="shared" si="58"/>
        <v>0</v>
      </c>
      <c r="G238" s="237">
        <f t="shared" si="57"/>
        <v>0</v>
      </c>
      <c r="H238" s="273">
        <f t="shared" si="59"/>
        <v>0</v>
      </c>
      <c r="I238" s="238">
        <f t="shared" si="56"/>
        <v>0</v>
      </c>
      <c r="J238" s="237">
        <f t="shared" si="60"/>
        <v>0</v>
      </c>
      <c r="K238" s="269">
        <f t="shared" si="61"/>
        <v>0</v>
      </c>
      <c r="L238" s="239">
        <f t="shared" si="62"/>
        <v>0</v>
      </c>
      <c r="M238" s="275" t="e">
        <f t="shared" si="63"/>
        <v>#DIV/0!</v>
      </c>
      <c r="N238" s="3"/>
      <c r="O238" s="1">
        <f t="shared" si="70"/>
        <v>218</v>
      </c>
      <c r="P238" s="182">
        <f t="shared" si="70"/>
        <v>46275</v>
      </c>
      <c r="Q238" s="241">
        <f>ROUND(SUMIFS(BS_RE33!$U$7:$U$874,BS_RE33!$S$7:$S$874,'Summary &amp; Working File(Ccy)'!P238,BS_RE33!$N$7:$N$874,'Summary &amp; Working File(Ccy)'!$Q$10,BS_RE33!$F$7:$F$874,$J$3)+SUMIF($P$13:$P$19,P238,$Q$13:$Q$19),2)</f>
        <v>0</v>
      </c>
      <c r="R238" s="242">
        <f>ROUND(SUMIFS(BS_RE33!$U$7:$U$874,BS_RE33!$S$7:$S$874,'Summary &amp; Working File(Ccy)'!P238,BS_RE33!$N$7:$N$874,'Summary &amp; Working File(Ccy)'!$R$10,BS_RE33!$F$7:$F$874,$J$3)+SUMIF($P$13:$P$19,P238,$R$13:$R$19),2)</f>
        <v>0</v>
      </c>
    </row>
    <row r="239" spans="2:18">
      <c r="B239" s="243">
        <f t="shared" si="68"/>
        <v>219</v>
      </c>
      <c r="C239" s="247">
        <f t="shared" si="68"/>
        <v>46276</v>
      </c>
      <c r="D239" s="245">
        <f t="shared" si="69"/>
        <v>0</v>
      </c>
      <c r="E239" s="235">
        <f t="shared" si="67"/>
        <v>0</v>
      </c>
      <c r="F239" s="236">
        <f t="shared" si="58"/>
        <v>0</v>
      </c>
      <c r="G239" s="237">
        <f t="shared" si="57"/>
        <v>0</v>
      </c>
      <c r="H239" s="273">
        <f t="shared" si="59"/>
        <v>0</v>
      </c>
      <c r="I239" s="238">
        <f t="shared" si="56"/>
        <v>0</v>
      </c>
      <c r="J239" s="237">
        <f t="shared" si="60"/>
        <v>0</v>
      </c>
      <c r="K239" s="269">
        <f t="shared" si="61"/>
        <v>0</v>
      </c>
      <c r="L239" s="239">
        <f t="shared" si="62"/>
        <v>0</v>
      </c>
      <c r="M239" s="275" t="e">
        <f t="shared" si="63"/>
        <v>#DIV/0!</v>
      </c>
      <c r="N239" s="3"/>
      <c r="O239" s="1">
        <f t="shared" si="70"/>
        <v>219</v>
      </c>
      <c r="P239" s="182">
        <f t="shared" si="70"/>
        <v>46276</v>
      </c>
      <c r="Q239" s="241">
        <f>ROUND(SUMIFS(BS_RE33!$U$7:$U$874,BS_RE33!$S$7:$S$874,'Summary &amp; Working File(Ccy)'!P239,BS_RE33!$N$7:$N$874,'Summary &amp; Working File(Ccy)'!$Q$10,BS_RE33!$F$7:$F$874,$J$3)+SUMIF($P$13:$P$19,P239,$Q$13:$Q$19),2)</f>
        <v>0</v>
      </c>
      <c r="R239" s="242">
        <f>ROUND(SUMIFS(BS_RE33!$U$7:$U$874,BS_RE33!$S$7:$S$874,'Summary &amp; Working File(Ccy)'!P239,BS_RE33!$N$7:$N$874,'Summary &amp; Working File(Ccy)'!$R$10,BS_RE33!$F$7:$F$874,$J$3)+SUMIF($P$13:$P$19,P239,$R$13:$R$19),2)</f>
        <v>0</v>
      </c>
    </row>
    <row r="240" spans="2:18">
      <c r="B240" s="243">
        <f t="shared" si="68"/>
        <v>220</v>
      </c>
      <c r="C240" s="247">
        <f t="shared" si="68"/>
        <v>46277</v>
      </c>
      <c r="D240" s="245">
        <f t="shared" si="69"/>
        <v>0</v>
      </c>
      <c r="E240" s="235">
        <f t="shared" si="67"/>
        <v>0</v>
      </c>
      <c r="F240" s="236">
        <f t="shared" si="58"/>
        <v>0</v>
      </c>
      <c r="G240" s="237">
        <f t="shared" si="57"/>
        <v>0</v>
      </c>
      <c r="H240" s="273">
        <f t="shared" si="59"/>
        <v>0</v>
      </c>
      <c r="I240" s="238">
        <f t="shared" si="56"/>
        <v>0</v>
      </c>
      <c r="J240" s="237">
        <f t="shared" si="60"/>
        <v>0</v>
      </c>
      <c r="K240" s="269">
        <f>MIN(SUM(I240:J240),H240*75%)</f>
        <v>0</v>
      </c>
      <c r="L240" s="239">
        <f t="shared" si="62"/>
        <v>0</v>
      </c>
      <c r="M240" s="275" t="e">
        <f t="shared" si="63"/>
        <v>#DIV/0!</v>
      </c>
      <c r="N240" s="3"/>
      <c r="O240" s="1">
        <f t="shared" si="70"/>
        <v>220</v>
      </c>
      <c r="P240" s="182">
        <f t="shared" si="70"/>
        <v>46277</v>
      </c>
      <c r="Q240" s="241">
        <f>ROUND(SUMIFS(BS_RE33!$U$7:$U$874,BS_RE33!$S$7:$S$874,'Summary &amp; Working File(Ccy)'!P240,BS_RE33!$N$7:$N$874,'Summary &amp; Working File(Ccy)'!$Q$10,BS_RE33!$F$7:$F$874,$J$3)+SUMIF($P$13:$P$19,P240,$Q$13:$Q$19),2)</f>
        <v>0</v>
      </c>
      <c r="R240" s="242">
        <f>ROUND(SUMIFS(BS_RE33!$U$7:$U$874,BS_RE33!$S$7:$S$874,'Summary &amp; Working File(Ccy)'!P240,BS_RE33!$N$7:$N$874,'Summary &amp; Working File(Ccy)'!$R$10,BS_RE33!$F$7:$F$874,$J$3)+SUMIF($P$13:$P$19,P240,$R$13:$R$19),2)</f>
        <v>0</v>
      </c>
    </row>
    <row r="241" spans="2:18">
      <c r="B241" s="243">
        <f t="shared" si="68"/>
        <v>221</v>
      </c>
      <c r="C241" s="247">
        <f t="shared" si="68"/>
        <v>46278</v>
      </c>
      <c r="D241" s="245">
        <f t="shared" si="69"/>
        <v>0</v>
      </c>
      <c r="E241" s="235">
        <f t="shared" si="67"/>
        <v>0</v>
      </c>
      <c r="F241" s="236">
        <f t="shared" si="58"/>
        <v>0</v>
      </c>
      <c r="G241" s="237">
        <f t="shared" si="57"/>
        <v>0</v>
      </c>
      <c r="H241" s="273">
        <f t="shared" si="59"/>
        <v>0</v>
      </c>
      <c r="I241" s="238">
        <f t="shared" si="56"/>
        <v>0</v>
      </c>
      <c r="J241" s="237">
        <f t="shared" si="60"/>
        <v>0</v>
      </c>
      <c r="K241" s="269">
        <f t="shared" si="61"/>
        <v>0</v>
      </c>
      <c r="L241" s="239">
        <f t="shared" si="62"/>
        <v>0</v>
      </c>
      <c r="M241" s="275" t="e">
        <f t="shared" si="63"/>
        <v>#DIV/0!</v>
      </c>
      <c r="N241" s="3"/>
      <c r="O241" s="1">
        <f t="shared" si="70"/>
        <v>221</v>
      </c>
      <c r="P241" s="182">
        <f t="shared" si="70"/>
        <v>46278</v>
      </c>
      <c r="Q241" s="241">
        <f>ROUND(SUMIFS(BS_RE33!$U$7:$U$874,BS_RE33!$S$7:$S$874,'Summary &amp; Working File(Ccy)'!P241,BS_RE33!$N$7:$N$874,'Summary &amp; Working File(Ccy)'!$Q$10,BS_RE33!$F$7:$F$874,$J$3)+SUMIF($P$13:$P$19,P241,$Q$13:$Q$19),2)</f>
        <v>0</v>
      </c>
      <c r="R241" s="242">
        <f>ROUND(SUMIFS(BS_RE33!$U$7:$U$874,BS_RE33!$S$7:$S$874,'Summary &amp; Working File(Ccy)'!P241,BS_RE33!$N$7:$N$874,'Summary &amp; Working File(Ccy)'!$R$10,BS_RE33!$F$7:$F$874,$J$3)+SUMIF($P$13:$P$19,P241,$R$13:$R$19),2)</f>
        <v>0</v>
      </c>
    </row>
    <row r="242" spans="2:18">
      <c r="B242" s="243">
        <f t="shared" si="68"/>
        <v>222</v>
      </c>
      <c r="C242" s="247">
        <f t="shared" si="68"/>
        <v>46279</v>
      </c>
      <c r="D242" s="245">
        <f t="shared" si="69"/>
        <v>0</v>
      </c>
      <c r="E242" s="235">
        <f t="shared" si="67"/>
        <v>0</v>
      </c>
      <c r="F242" s="236">
        <f t="shared" si="58"/>
        <v>0</v>
      </c>
      <c r="G242" s="237">
        <f t="shared" si="57"/>
        <v>0</v>
      </c>
      <c r="H242" s="273">
        <f t="shared" si="59"/>
        <v>0</v>
      </c>
      <c r="I242" s="238">
        <f t="shared" si="56"/>
        <v>0</v>
      </c>
      <c r="J242" s="237">
        <f t="shared" si="60"/>
        <v>0</v>
      </c>
      <c r="K242" s="269">
        <f t="shared" si="61"/>
        <v>0</v>
      </c>
      <c r="L242" s="239">
        <f t="shared" si="62"/>
        <v>0</v>
      </c>
      <c r="M242" s="275" t="e">
        <f t="shared" si="63"/>
        <v>#DIV/0!</v>
      </c>
      <c r="N242" s="3"/>
      <c r="O242" s="1">
        <f t="shared" si="70"/>
        <v>222</v>
      </c>
      <c r="P242" s="182">
        <f t="shared" si="70"/>
        <v>46279</v>
      </c>
      <c r="Q242" s="241">
        <f>ROUND(SUMIFS(BS_RE33!$U$7:$U$874,BS_RE33!$S$7:$S$874,'Summary &amp; Working File(Ccy)'!P242,BS_RE33!$N$7:$N$874,'Summary &amp; Working File(Ccy)'!$Q$10,BS_RE33!$F$7:$F$874,$J$3)+SUMIF($P$13:$P$19,P242,$Q$13:$Q$19),2)</f>
        <v>0</v>
      </c>
      <c r="R242" s="242">
        <f>ROUND(SUMIFS(BS_RE33!$U$7:$U$874,BS_RE33!$S$7:$S$874,'Summary &amp; Working File(Ccy)'!P242,BS_RE33!$N$7:$N$874,'Summary &amp; Working File(Ccy)'!$R$10,BS_RE33!$F$7:$F$874,$J$3)+SUMIF($P$13:$P$19,P242,$R$13:$R$19),2)</f>
        <v>0</v>
      </c>
    </row>
    <row r="243" spans="2:18">
      <c r="B243" s="243">
        <f t="shared" si="68"/>
        <v>223</v>
      </c>
      <c r="C243" s="247">
        <f t="shared" si="68"/>
        <v>46280</v>
      </c>
      <c r="D243" s="245">
        <f t="shared" si="69"/>
        <v>0</v>
      </c>
      <c r="E243" s="235">
        <f t="shared" si="67"/>
        <v>0</v>
      </c>
      <c r="F243" s="236">
        <f t="shared" si="58"/>
        <v>0</v>
      </c>
      <c r="G243" s="237">
        <f t="shared" si="57"/>
        <v>0</v>
      </c>
      <c r="H243" s="273">
        <f t="shared" si="59"/>
        <v>0</v>
      </c>
      <c r="I243" s="238">
        <f t="shared" si="56"/>
        <v>0</v>
      </c>
      <c r="J243" s="237">
        <f t="shared" si="60"/>
        <v>0</v>
      </c>
      <c r="K243" s="269">
        <f t="shared" si="61"/>
        <v>0</v>
      </c>
      <c r="L243" s="239">
        <f t="shared" si="62"/>
        <v>0</v>
      </c>
      <c r="M243" s="275" t="e">
        <f t="shared" si="63"/>
        <v>#DIV/0!</v>
      </c>
      <c r="N243" s="3"/>
      <c r="O243" s="1">
        <f t="shared" si="70"/>
        <v>223</v>
      </c>
      <c r="P243" s="182">
        <f t="shared" si="70"/>
        <v>46280</v>
      </c>
      <c r="Q243" s="241">
        <f>ROUND(SUMIFS(BS_RE33!$U$7:$U$874,BS_RE33!$S$7:$S$874,'Summary &amp; Working File(Ccy)'!P243,BS_RE33!$N$7:$N$874,'Summary &amp; Working File(Ccy)'!$Q$10,BS_RE33!$F$7:$F$874,$J$3)+SUMIF($P$13:$P$19,P243,$Q$13:$Q$19),2)</f>
        <v>0</v>
      </c>
      <c r="R243" s="242">
        <f>ROUND(SUMIFS(BS_RE33!$U$7:$U$874,BS_RE33!$S$7:$S$874,'Summary &amp; Working File(Ccy)'!P243,BS_RE33!$N$7:$N$874,'Summary &amp; Working File(Ccy)'!$R$10,BS_RE33!$F$7:$F$874,$J$3)+SUMIF($P$13:$P$19,P243,$R$13:$R$19),2)</f>
        <v>0</v>
      </c>
    </row>
    <row r="244" spans="2:18">
      <c r="B244" s="243">
        <f t="shared" si="68"/>
        <v>224</v>
      </c>
      <c r="C244" s="247">
        <f t="shared" si="68"/>
        <v>46281</v>
      </c>
      <c r="D244" s="245">
        <f t="shared" si="69"/>
        <v>0</v>
      </c>
      <c r="E244" s="235">
        <f t="shared" si="67"/>
        <v>0</v>
      </c>
      <c r="F244" s="236">
        <f t="shared" si="58"/>
        <v>0</v>
      </c>
      <c r="G244" s="237">
        <f t="shared" si="57"/>
        <v>0</v>
      </c>
      <c r="H244" s="273">
        <f t="shared" si="59"/>
        <v>0</v>
      </c>
      <c r="I244" s="238">
        <f t="shared" si="56"/>
        <v>0</v>
      </c>
      <c r="J244" s="237">
        <f t="shared" si="60"/>
        <v>0</v>
      </c>
      <c r="K244" s="269">
        <f t="shared" si="61"/>
        <v>0</v>
      </c>
      <c r="L244" s="239">
        <f t="shared" si="62"/>
        <v>0</v>
      </c>
      <c r="M244" s="275" t="e">
        <f t="shared" si="63"/>
        <v>#DIV/0!</v>
      </c>
      <c r="N244" s="3"/>
      <c r="O244" s="1">
        <f t="shared" si="70"/>
        <v>224</v>
      </c>
      <c r="P244" s="182">
        <f t="shared" si="70"/>
        <v>46281</v>
      </c>
      <c r="Q244" s="241">
        <f>ROUND(SUMIFS(BS_RE33!$U$7:$U$874,BS_RE33!$S$7:$S$874,'Summary &amp; Working File(Ccy)'!P244,BS_RE33!$N$7:$N$874,'Summary &amp; Working File(Ccy)'!$Q$10,BS_RE33!$F$7:$F$874,$J$3)+SUMIF($P$13:$P$19,P244,$Q$13:$Q$19),2)</f>
        <v>0</v>
      </c>
      <c r="R244" s="242">
        <f>ROUND(SUMIFS(BS_RE33!$U$7:$U$874,BS_RE33!$S$7:$S$874,'Summary &amp; Working File(Ccy)'!P244,BS_RE33!$N$7:$N$874,'Summary &amp; Working File(Ccy)'!$R$10,BS_RE33!$F$7:$F$874,$J$3)+SUMIF($P$13:$P$19,P244,$R$13:$R$19),2)</f>
        <v>0</v>
      </c>
    </row>
    <row r="245" spans="2:18">
      <c r="B245" s="243">
        <f t="shared" si="68"/>
        <v>225</v>
      </c>
      <c r="C245" s="247">
        <f t="shared" si="68"/>
        <v>46282</v>
      </c>
      <c r="D245" s="245">
        <f t="shared" si="69"/>
        <v>0</v>
      </c>
      <c r="E245" s="235">
        <f t="shared" si="67"/>
        <v>0</v>
      </c>
      <c r="F245" s="236">
        <f t="shared" si="58"/>
        <v>0</v>
      </c>
      <c r="G245" s="237">
        <f t="shared" si="57"/>
        <v>0</v>
      </c>
      <c r="H245" s="273">
        <f t="shared" si="59"/>
        <v>0</v>
      </c>
      <c r="I245" s="238">
        <f t="shared" si="56"/>
        <v>0</v>
      </c>
      <c r="J245" s="237">
        <f t="shared" si="60"/>
        <v>0</v>
      </c>
      <c r="K245" s="269">
        <f t="shared" si="61"/>
        <v>0</v>
      </c>
      <c r="L245" s="239">
        <f t="shared" si="62"/>
        <v>0</v>
      </c>
      <c r="M245" s="275" t="e">
        <f t="shared" si="63"/>
        <v>#DIV/0!</v>
      </c>
      <c r="N245" s="3"/>
      <c r="O245" s="1">
        <f t="shared" si="70"/>
        <v>225</v>
      </c>
      <c r="P245" s="182">
        <f t="shared" si="70"/>
        <v>46282</v>
      </c>
      <c r="Q245" s="241">
        <f>ROUND(SUMIFS(BS_RE33!$U$7:$U$874,BS_RE33!$S$7:$S$874,'Summary &amp; Working File(Ccy)'!P245,BS_RE33!$N$7:$N$874,'Summary &amp; Working File(Ccy)'!$Q$10,BS_RE33!$F$7:$F$874,$J$3)+SUMIF($P$13:$P$19,P245,$Q$13:$Q$19),2)</f>
        <v>0</v>
      </c>
      <c r="R245" s="242">
        <f>ROUND(SUMIFS(BS_RE33!$U$7:$U$874,BS_RE33!$S$7:$S$874,'Summary &amp; Working File(Ccy)'!P245,BS_RE33!$N$7:$N$874,'Summary &amp; Working File(Ccy)'!$R$10,BS_RE33!$F$7:$F$874,$J$3)+SUMIF($P$13:$P$19,P245,$R$13:$R$19),2)</f>
        <v>0</v>
      </c>
    </row>
    <row r="246" spans="2:18">
      <c r="B246" s="243">
        <f t="shared" si="68"/>
        <v>226</v>
      </c>
      <c r="C246" s="247">
        <f t="shared" si="68"/>
        <v>46283</v>
      </c>
      <c r="D246" s="245">
        <f t="shared" si="69"/>
        <v>0</v>
      </c>
      <c r="E246" s="235">
        <f t="shared" si="67"/>
        <v>0</v>
      </c>
      <c r="F246" s="236">
        <f t="shared" si="58"/>
        <v>0</v>
      </c>
      <c r="G246" s="237">
        <f t="shared" si="57"/>
        <v>0</v>
      </c>
      <c r="H246" s="273">
        <f t="shared" si="59"/>
        <v>0</v>
      </c>
      <c r="I246" s="238">
        <f t="shared" si="56"/>
        <v>0</v>
      </c>
      <c r="J246" s="237">
        <f t="shared" si="60"/>
        <v>0</v>
      </c>
      <c r="K246" s="269">
        <f>MIN(SUM(I246:J246),H246*75%)</f>
        <v>0</v>
      </c>
      <c r="L246" s="239">
        <f t="shared" si="62"/>
        <v>0</v>
      </c>
      <c r="M246" s="275" t="e">
        <f t="shared" si="63"/>
        <v>#DIV/0!</v>
      </c>
      <c r="N246" s="3"/>
      <c r="O246" s="1">
        <f t="shared" si="70"/>
        <v>226</v>
      </c>
      <c r="P246" s="182">
        <f t="shared" si="70"/>
        <v>46283</v>
      </c>
      <c r="Q246" s="241">
        <f>ROUND(SUMIFS(BS_RE33!$U$7:$U$874,BS_RE33!$S$7:$S$874,'Summary &amp; Working File(Ccy)'!P246,BS_RE33!$N$7:$N$874,'Summary &amp; Working File(Ccy)'!$Q$10,BS_RE33!$F$7:$F$874,$J$3)+SUMIF($P$13:$P$19,P246,$Q$13:$Q$19),2)</f>
        <v>0</v>
      </c>
      <c r="R246" s="242">
        <f>ROUND(SUMIFS(BS_RE33!$U$7:$U$874,BS_RE33!$S$7:$S$874,'Summary &amp; Working File(Ccy)'!P246,BS_RE33!$N$7:$N$874,'Summary &amp; Working File(Ccy)'!$R$10,BS_RE33!$F$7:$F$874,$J$3)+SUMIF($P$13:$P$19,P246,$R$13:$R$19),2)</f>
        <v>0</v>
      </c>
    </row>
    <row r="247" spans="2:18">
      <c r="B247" s="243">
        <f t="shared" ref="B247:C262" si="71">B246+1</f>
        <v>227</v>
      </c>
      <c r="C247" s="247">
        <f t="shared" si="71"/>
        <v>46284</v>
      </c>
      <c r="D247" s="245">
        <f t="shared" si="69"/>
        <v>0</v>
      </c>
      <c r="E247" s="235">
        <f t="shared" si="67"/>
        <v>0</v>
      </c>
      <c r="F247" s="236">
        <f t="shared" si="58"/>
        <v>0</v>
      </c>
      <c r="G247" s="237">
        <f t="shared" si="57"/>
        <v>0</v>
      </c>
      <c r="H247" s="273">
        <f t="shared" si="59"/>
        <v>0</v>
      </c>
      <c r="I247" s="238">
        <f t="shared" si="56"/>
        <v>0</v>
      </c>
      <c r="J247" s="237">
        <f t="shared" si="60"/>
        <v>0</v>
      </c>
      <c r="K247" s="269">
        <f t="shared" si="61"/>
        <v>0</v>
      </c>
      <c r="L247" s="239">
        <f t="shared" si="62"/>
        <v>0</v>
      </c>
      <c r="M247" s="275" t="e">
        <f t="shared" si="63"/>
        <v>#DIV/0!</v>
      </c>
      <c r="N247" s="3"/>
      <c r="O247" s="1">
        <f t="shared" ref="O247:P262" si="72">O246+1</f>
        <v>227</v>
      </c>
      <c r="P247" s="182">
        <f t="shared" si="72"/>
        <v>46284</v>
      </c>
      <c r="Q247" s="241">
        <f>ROUND(SUMIFS(BS_RE33!$U$7:$U$874,BS_RE33!$S$7:$S$874,'Summary &amp; Working File(Ccy)'!P247,BS_RE33!$N$7:$N$874,'Summary &amp; Working File(Ccy)'!$Q$10,BS_RE33!$F$7:$F$874,$J$3)+SUMIF($P$13:$P$19,P247,$Q$13:$Q$19),2)</f>
        <v>0</v>
      </c>
      <c r="R247" s="242">
        <f>ROUND(SUMIFS(BS_RE33!$U$7:$U$874,BS_RE33!$S$7:$S$874,'Summary &amp; Working File(Ccy)'!P247,BS_RE33!$N$7:$N$874,'Summary &amp; Working File(Ccy)'!$R$10,BS_RE33!$F$7:$F$874,$J$3)+SUMIF($P$13:$P$19,P247,$R$13:$R$19),2)</f>
        <v>0</v>
      </c>
    </row>
    <row r="248" spans="2:18">
      <c r="B248" s="243">
        <f t="shared" si="71"/>
        <v>228</v>
      </c>
      <c r="C248" s="247">
        <f t="shared" si="71"/>
        <v>46285</v>
      </c>
      <c r="D248" s="245">
        <f t="shared" si="69"/>
        <v>0</v>
      </c>
      <c r="E248" s="235">
        <f t="shared" si="67"/>
        <v>0</v>
      </c>
      <c r="F248" s="236">
        <f t="shared" si="58"/>
        <v>0</v>
      </c>
      <c r="G248" s="237">
        <f t="shared" si="57"/>
        <v>0</v>
      </c>
      <c r="H248" s="273">
        <f t="shared" si="59"/>
        <v>0</v>
      </c>
      <c r="I248" s="238">
        <f t="shared" si="56"/>
        <v>0</v>
      </c>
      <c r="J248" s="237">
        <f t="shared" si="60"/>
        <v>0</v>
      </c>
      <c r="K248" s="269">
        <f t="shared" si="61"/>
        <v>0</v>
      </c>
      <c r="L248" s="239">
        <f t="shared" si="62"/>
        <v>0</v>
      </c>
      <c r="M248" s="275" t="e">
        <f t="shared" si="63"/>
        <v>#DIV/0!</v>
      </c>
      <c r="N248" s="3"/>
      <c r="O248" s="1">
        <f t="shared" si="72"/>
        <v>228</v>
      </c>
      <c r="P248" s="182">
        <f t="shared" si="72"/>
        <v>46285</v>
      </c>
      <c r="Q248" s="241">
        <f>ROUND(SUMIFS(BS_RE33!$U$7:$U$874,BS_RE33!$S$7:$S$874,'Summary &amp; Working File(Ccy)'!P248,BS_RE33!$N$7:$N$874,'Summary &amp; Working File(Ccy)'!$Q$10,BS_RE33!$F$7:$F$874,$J$3)+SUMIF($P$13:$P$19,P248,$Q$13:$Q$19),2)</f>
        <v>0</v>
      </c>
      <c r="R248" s="242">
        <f>ROUND(SUMIFS(BS_RE33!$U$7:$U$874,BS_RE33!$S$7:$S$874,'Summary &amp; Working File(Ccy)'!P248,BS_RE33!$N$7:$N$874,'Summary &amp; Working File(Ccy)'!$R$10,BS_RE33!$F$7:$F$874,$J$3)+SUMIF($P$13:$P$19,P248,$R$13:$R$19),2)</f>
        <v>0</v>
      </c>
    </row>
    <row r="249" spans="2:18">
      <c r="B249" s="243">
        <f t="shared" si="71"/>
        <v>229</v>
      </c>
      <c r="C249" s="247">
        <f t="shared" si="71"/>
        <v>46286</v>
      </c>
      <c r="D249" s="245">
        <f t="shared" si="69"/>
        <v>0</v>
      </c>
      <c r="E249" s="235">
        <f t="shared" si="67"/>
        <v>0</v>
      </c>
      <c r="F249" s="236">
        <f t="shared" si="58"/>
        <v>0</v>
      </c>
      <c r="G249" s="237">
        <f t="shared" si="57"/>
        <v>0</v>
      </c>
      <c r="H249" s="273">
        <f>SUM(E249:G249)</f>
        <v>0</v>
      </c>
      <c r="I249" s="238">
        <f t="shared" si="56"/>
        <v>0</v>
      </c>
      <c r="J249" s="237">
        <f t="shared" si="60"/>
        <v>0</v>
      </c>
      <c r="K249" s="269">
        <f t="shared" si="61"/>
        <v>0</v>
      </c>
      <c r="L249" s="239">
        <f t="shared" si="62"/>
        <v>0</v>
      </c>
      <c r="M249" s="275" t="e">
        <f t="shared" si="63"/>
        <v>#DIV/0!</v>
      </c>
      <c r="N249" s="3"/>
      <c r="O249" s="1">
        <f t="shared" si="72"/>
        <v>229</v>
      </c>
      <c r="P249" s="182">
        <f t="shared" si="72"/>
        <v>46286</v>
      </c>
      <c r="Q249" s="241">
        <f>ROUND(SUMIFS(BS_RE33!$U$7:$U$874,BS_RE33!$S$7:$S$874,'Summary &amp; Working File(Ccy)'!P249,BS_RE33!$N$7:$N$874,'Summary &amp; Working File(Ccy)'!$Q$10,BS_RE33!$F$7:$F$874,$J$3)+SUMIF($P$13:$P$19,P249,$Q$13:$Q$19),2)</f>
        <v>0</v>
      </c>
      <c r="R249" s="242">
        <f>ROUND(SUMIFS(BS_RE33!$U$7:$U$874,BS_RE33!$S$7:$S$874,'Summary &amp; Working File(Ccy)'!P249,BS_RE33!$N$7:$N$874,'Summary &amp; Working File(Ccy)'!$R$10,BS_RE33!$F$7:$F$874,$J$3)+SUMIF($P$13:$P$19,P249,$R$13:$R$19),2)</f>
        <v>0</v>
      </c>
    </row>
    <row r="250" spans="2:18">
      <c r="B250" s="243">
        <f t="shared" si="71"/>
        <v>230</v>
      </c>
      <c r="C250" s="247">
        <f t="shared" si="71"/>
        <v>46287</v>
      </c>
      <c r="D250" s="245">
        <f t="shared" si="69"/>
        <v>0</v>
      </c>
      <c r="E250" s="235">
        <f t="shared" si="67"/>
        <v>0</v>
      </c>
      <c r="F250" s="236">
        <f t="shared" si="58"/>
        <v>0</v>
      </c>
      <c r="G250" s="237">
        <f t="shared" si="57"/>
        <v>0</v>
      </c>
      <c r="H250" s="273">
        <f t="shared" si="59"/>
        <v>0</v>
      </c>
      <c r="I250" s="238">
        <f t="shared" si="56"/>
        <v>0</v>
      </c>
      <c r="J250" s="237">
        <f t="shared" si="60"/>
        <v>0</v>
      </c>
      <c r="K250" s="269">
        <f t="shared" si="61"/>
        <v>0</v>
      </c>
      <c r="L250" s="239">
        <f t="shared" si="62"/>
        <v>0</v>
      </c>
      <c r="M250" s="275" t="e">
        <f t="shared" si="63"/>
        <v>#DIV/0!</v>
      </c>
      <c r="N250" s="3"/>
      <c r="O250" s="1">
        <f t="shared" si="72"/>
        <v>230</v>
      </c>
      <c r="P250" s="182">
        <f t="shared" si="72"/>
        <v>46287</v>
      </c>
      <c r="Q250" s="241">
        <f>ROUND(SUMIFS(BS_RE33!$U$7:$U$874,BS_RE33!$S$7:$S$874,'Summary &amp; Working File(Ccy)'!P250,BS_RE33!$N$7:$N$874,'Summary &amp; Working File(Ccy)'!$Q$10,BS_RE33!$F$7:$F$874,$J$3)+SUMIF($P$13:$P$19,P250,$Q$13:$Q$19),2)</f>
        <v>0</v>
      </c>
      <c r="R250" s="242">
        <f>ROUND(SUMIFS(BS_RE33!$U$7:$U$874,BS_RE33!$S$7:$S$874,'Summary &amp; Working File(Ccy)'!P250,BS_RE33!$N$7:$N$874,'Summary &amp; Working File(Ccy)'!$R$10,BS_RE33!$F$7:$F$874,$J$3)+SUMIF($P$13:$P$19,P250,$R$13:$R$19),2)</f>
        <v>0</v>
      </c>
    </row>
    <row r="251" spans="2:18">
      <c r="B251" s="243">
        <f t="shared" si="71"/>
        <v>231</v>
      </c>
      <c r="C251" s="247">
        <f t="shared" si="71"/>
        <v>46288</v>
      </c>
      <c r="D251" s="245">
        <f t="shared" si="69"/>
        <v>0</v>
      </c>
      <c r="E251" s="235">
        <f t="shared" si="67"/>
        <v>0</v>
      </c>
      <c r="F251" s="236">
        <f t="shared" si="58"/>
        <v>0</v>
      </c>
      <c r="G251" s="237">
        <f t="shared" si="57"/>
        <v>0</v>
      </c>
      <c r="H251" s="273">
        <f t="shared" si="59"/>
        <v>0</v>
      </c>
      <c r="I251" s="238">
        <f>$R$11+SUM(R252:R281)</f>
        <v>0</v>
      </c>
      <c r="J251" s="237">
        <f t="shared" si="60"/>
        <v>0</v>
      </c>
      <c r="K251" s="269">
        <f t="shared" si="61"/>
        <v>0</v>
      </c>
      <c r="L251" s="239">
        <f t="shared" si="62"/>
        <v>0</v>
      </c>
      <c r="M251" s="275" t="e">
        <f t="shared" si="63"/>
        <v>#DIV/0!</v>
      </c>
      <c r="N251" s="3"/>
      <c r="O251" s="1">
        <f t="shared" si="72"/>
        <v>231</v>
      </c>
      <c r="P251" s="182">
        <f t="shared" si="72"/>
        <v>46288</v>
      </c>
      <c r="Q251" s="241">
        <f>ROUND(SUMIFS(BS_RE33!$U$7:$U$874,BS_RE33!$S$7:$S$874,'Summary &amp; Working File(Ccy)'!P251,BS_RE33!$N$7:$N$874,'Summary &amp; Working File(Ccy)'!$Q$10,BS_RE33!$F$7:$F$874,$J$3)+SUMIF($P$13:$P$19,P251,$Q$13:$Q$19),2)</f>
        <v>0</v>
      </c>
      <c r="R251" s="242">
        <f>ROUND(SUMIFS(BS_RE33!$U$7:$U$874,BS_RE33!$S$7:$S$874,'Summary &amp; Working File(Ccy)'!P251,BS_RE33!$N$7:$N$874,'Summary &amp; Working File(Ccy)'!$R$10,BS_RE33!$F$7:$F$874,$J$3)+SUMIF($P$13:$P$19,P251,$R$13:$R$19),2)</f>
        <v>0</v>
      </c>
    </row>
    <row r="252" spans="2:18">
      <c r="B252" s="243">
        <f t="shared" si="71"/>
        <v>232</v>
      </c>
      <c r="C252" s="247">
        <f t="shared" si="71"/>
        <v>46289</v>
      </c>
      <c r="D252" s="245">
        <f t="shared" si="69"/>
        <v>0</v>
      </c>
      <c r="E252" s="235">
        <f t="shared" si="67"/>
        <v>0</v>
      </c>
      <c r="F252" s="236">
        <f t="shared" si="58"/>
        <v>0</v>
      </c>
      <c r="G252" s="237">
        <f t="shared" si="57"/>
        <v>0</v>
      </c>
      <c r="H252" s="273">
        <f t="shared" si="59"/>
        <v>0</v>
      </c>
      <c r="I252" s="238">
        <f t="shared" si="56"/>
        <v>0</v>
      </c>
      <c r="J252" s="237">
        <f t="shared" si="60"/>
        <v>0</v>
      </c>
      <c r="K252" s="269">
        <f t="shared" si="61"/>
        <v>0</v>
      </c>
      <c r="L252" s="239">
        <f t="shared" si="62"/>
        <v>0</v>
      </c>
      <c r="M252" s="275" t="e">
        <f t="shared" si="63"/>
        <v>#DIV/0!</v>
      </c>
      <c r="N252" s="3"/>
      <c r="O252" s="1">
        <f t="shared" si="72"/>
        <v>232</v>
      </c>
      <c r="P252" s="182">
        <f t="shared" si="72"/>
        <v>46289</v>
      </c>
      <c r="Q252" s="241">
        <f>ROUND(SUMIFS(BS_RE33!$U$7:$U$874,BS_RE33!$S$7:$S$874,'Summary &amp; Working File(Ccy)'!P252,BS_RE33!$N$7:$N$874,'Summary &amp; Working File(Ccy)'!$Q$10,BS_RE33!$F$7:$F$874,$J$3)+SUMIF($P$13:$P$19,P252,$Q$13:$Q$19),2)</f>
        <v>0</v>
      </c>
      <c r="R252" s="242">
        <f>ROUND(SUMIFS(BS_RE33!$U$7:$U$874,BS_RE33!$S$7:$S$874,'Summary &amp; Working File(Ccy)'!P252,BS_RE33!$N$7:$N$874,'Summary &amp; Working File(Ccy)'!$R$10,BS_RE33!$F$7:$F$874,$J$3)+SUMIF($P$13:$P$19,P252,$R$13:$R$19),2)</f>
        <v>0</v>
      </c>
    </row>
    <row r="253" spans="2:18">
      <c r="B253" s="243">
        <f t="shared" si="71"/>
        <v>233</v>
      </c>
      <c r="C253" s="247">
        <f t="shared" si="71"/>
        <v>46290</v>
      </c>
      <c r="D253" s="245">
        <f t="shared" si="69"/>
        <v>0</v>
      </c>
      <c r="E253" s="235">
        <f t="shared" si="67"/>
        <v>0</v>
      </c>
      <c r="F253" s="236">
        <f t="shared" si="58"/>
        <v>0</v>
      </c>
      <c r="G253" s="237">
        <f t="shared" si="57"/>
        <v>0</v>
      </c>
      <c r="H253" s="273">
        <f t="shared" si="59"/>
        <v>0</v>
      </c>
      <c r="I253" s="238">
        <f t="shared" si="56"/>
        <v>0</v>
      </c>
      <c r="J253" s="237">
        <f t="shared" si="60"/>
        <v>0</v>
      </c>
      <c r="K253" s="269">
        <f t="shared" si="61"/>
        <v>0</v>
      </c>
      <c r="L253" s="239">
        <f t="shared" si="62"/>
        <v>0</v>
      </c>
      <c r="M253" s="275" t="e">
        <f t="shared" si="63"/>
        <v>#DIV/0!</v>
      </c>
      <c r="N253" s="3"/>
      <c r="O253" s="1">
        <f t="shared" si="72"/>
        <v>233</v>
      </c>
      <c r="P253" s="182">
        <f t="shared" si="72"/>
        <v>46290</v>
      </c>
      <c r="Q253" s="241">
        <f>ROUND(SUMIFS(BS_RE33!$U$7:$U$874,BS_RE33!$S$7:$S$874,'Summary &amp; Working File(Ccy)'!P253,BS_RE33!$N$7:$N$874,'Summary &amp; Working File(Ccy)'!$Q$10,BS_RE33!$F$7:$F$874,$J$3)+SUMIF($P$13:$P$19,P253,$Q$13:$Q$19),2)</f>
        <v>0</v>
      </c>
      <c r="R253" s="242">
        <f>ROUND(SUMIFS(BS_RE33!$U$7:$U$874,BS_RE33!$S$7:$S$874,'Summary &amp; Working File(Ccy)'!P253,BS_RE33!$N$7:$N$874,'Summary &amp; Working File(Ccy)'!$R$10,BS_RE33!$F$7:$F$874,$J$3)+SUMIF($P$13:$P$19,P253,$R$13:$R$19),2)</f>
        <v>0</v>
      </c>
    </row>
    <row r="254" spans="2:18">
      <c r="B254" s="243">
        <f t="shared" si="71"/>
        <v>234</v>
      </c>
      <c r="C254" s="247">
        <f t="shared" si="71"/>
        <v>46291</v>
      </c>
      <c r="D254" s="245">
        <f t="shared" si="69"/>
        <v>0</v>
      </c>
      <c r="E254" s="235">
        <f t="shared" si="67"/>
        <v>0</v>
      </c>
      <c r="F254" s="236">
        <f t="shared" si="58"/>
        <v>0</v>
      </c>
      <c r="G254" s="237">
        <f t="shared" si="57"/>
        <v>0</v>
      </c>
      <c r="H254" s="273">
        <f t="shared" si="59"/>
        <v>0</v>
      </c>
      <c r="I254" s="238">
        <f t="shared" si="56"/>
        <v>0</v>
      </c>
      <c r="J254" s="237">
        <f t="shared" si="60"/>
        <v>0</v>
      </c>
      <c r="K254" s="269">
        <f t="shared" si="61"/>
        <v>0</v>
      </c>
      <c r="L254" s="239">
        <f t="shared" si="62"/>
        <v>0</v>
      </c>
      <c r="M254" s="275" t="e">
        <f t="shared" si="63"/>
        <v>#DIV/0!</v>
      </c>
      <c r="N254" s="3"/>
      <c r="O254" s="1">
        <f t="shared" si="72"/>
        <v>234</v>
      </c>
      <c r="P254" s="182">
        <f t="shared" si="72"/>
        <v>46291</v>
      </c>
      <c r="Q254" s="241">
        <f>ROUND(SUMIFS(BS_RE33!$U$7:$U$874,BS_RE33!$S$7:$S$874,'Summary &amp; Working File(Ccy)'!P254,BS_RE33!$N$7:$N$874,'Summary &amp; Working File(Ccy)'!$Q$10,BS_RE33!$F$7:$F$874,$J$3)+SUMIF($P$13:$P$19,P254,$Q$13:$Q$19),2)</f>
        <v>0</v>
      </c>
      <c r="R254" s="242">
        <f>ROUND(SUMIFS(BS_RE33!$U$7:$U$874,BS_RE33!$S$7:$S$874,'Summary &amp; Working File(Ccy)'!P254,BS_RE33!$N$7:$N$874,'Summary &amp; Working File(Ccy)'!$R$10,BS_RE33!$F$7:$F$874,$J$3)+SUMIF($P$13:$P$19,P254,$R$13:$R$19),2)</f>
        <v>0</v>
      </c>
    </row>
    <row r="255" spans="2:18">
      <c r="B255" s="243">
        <f t="shared" si="71"/>
        <v>235</v>
      </c>
      <c r="C255" s="247">
        <f t="shared" si="71"/>
        <v>46292</v>
      </c>
      <c r="D255" s="245">
        <f t="shared" si="69"/>
        <v>0</v>
      </c>
      <c r="E255" s="235">
        <f t="shared" si="67"/>
        <v>0</v>
      </c>
      <c r="F255" s="236">
        <f t="shared" si="58"/>
        <v>0</v>
      </c>
      <c r="G255" s="237">
        <f t="shared" si="57"/>
        <v>0</v>
      </c>
      <c r="H255" s="273">
        <f t="shared" si="59"/>
        <v>0</v>
      </c>
      <c r="I255" s="238">
        <f t="shared" si="56"/>
        <v>0</v>
      </c>
      <c r="J255" s="237">
        <f t="shared" si="60"/>
        <v>0</v>
      </c>
      <c r="K255" s="269">
        <f t="shared" si="61"/>
        <v>0</v>
      </c>
      <c r="L255" s="239">
        <f t="shared" si="62"/>
        <v>0</v>
      </c>
      <c r="M255" s="275" t="e">
        <f t="shared" si="63"/>
        <v>#DIV/0!</v>
      </c>
      <c r="N255" s="3"/>
      <c r="O255" s="1">
        <f t="shared" si="72"/>
        <v>235</v>
      </c>
      <c r="P255" s="182">
        <f t="shared" si="72"/>
        <v>46292</v>
      </c>
      <c r="Q255" s="241">
        <f>ROUND(SUMIFS(BS_RE33!$U$7:$U$874,BS_RE33!$S$7:$S$874,'Summary &amp; Working File(Ccy)'!P255,BS_RE33!$N$7:$N$874,'Summary &amp; Working File(Ccy)'!$Q$10,BS_RE33!$F$7:$F$874,$J$3)+SUMIF($P$13:$P$19,P255,$Q$13:$Q$19),2)</f>
        <v>0</v>
      </c>
      <c r="R255" s="242">
        <f>ROUND(SUMIFS(BS_RE33!$U$7:$U$874,BS_RE33!$S$7:$S$874,'Summary &amp; Working File(Ccy)'!P255,BS_RE33!$N$7:$N$874,'Summary &amp; Working File(Ccy)'!$R$10,BS_RE33!$F$7:$F$874,$J$3)+SUMIF($P$13:$P$19,P255,$R$13:$R$19),2)</f>
        <v>0</v>
      </c>
    </row>
    <row r="256" spans="2:18">
      <c r="B256" s="243">
        <f t="shared" si="71"/>
        <v>236</v>
      </c>
      <c r="C256" s="247">
        <f t="shared" si="71"/>
        <v>46293</v>
      </c>
      <c r="D256" s="245">
        <f t="shared" si="69"/>
        <v>0</v>
      </c>
      <c r="E256" s="235">
        <f t="shared" si="67"/>
        <v>0</v>
      </c>
      <c r="F256" s="236">
        <f t="shared" si="58"/>
        <v>0</v>
      </c>
      <c r="G256" s="237">
        <f t="shared" si="57"/>
        <v>0</v>
      </c>
      <c r="H256" s="273">
        <f t="shared" si="59"/>
        <v>0</v>
      </c>
      <c r="I256" s="238">
        <f t="shared" si="56"/>
        <v>0</v>
      </c>
      <c r="J256" s="237">
        <f>H256*20%</f>
        <v>0</v>
      </c>
      <c r="K256" s="269">
        <f t="shared" si="61"/>
        <v>0</v>
      </c>
      <c r="L256" s="239">
        <f t="shared" si="62"/>
        <v>0</v>
      </c>
      <c r="M256" s="275" t="e">
        <f t="shared" si="63"/>
        <v>#DIV/0!</v>
      </c>
      <c r="N256" s="3"/>
      <c r="O256" s="1">
        <f t="shared" si="72"/>
        <v>236</v>
      </c>
      <c r="P256" s="182">
        <f t="shared" si="72"/>
        <v>46293</v>
      </c>
      <c r="Q256" s="241">
        <f>ROUND(SUMIFS(BS_RE33!$U$7:$U$874,BS_RE33!$S$7:$S$874,'Summary &amp; Working File(Ccy)'!P256,BS_RE33!$N$7:$N$874,'Summary &amp; Working File(Ccy)'!$Q$10,BS_RE33!$F$7:$F$874,$J$3)+SUMIF($P$13:$P$19,P256,$Q$13:$Q$19),2)</f>
        <v>0</v>
      </c>
      <c r="R256" s="242">
        <f>ROUND(SUMIFS(BS_RE33!$U$7:$U$874,BS_RE33!$S$7:$S$874,'Summary &amp; Working File(Ccy)'!P256,BS_RE33!$N$7:$N$874,'Summary &amp; Working File(Ccy)'!$R$10,BS_RE33!$F$7:$F$874,$J$3)+SUMIF($P$13:$P$19,P256,$R$13:$R$19),2)</f>
        <v>0</v>
      </c>
    </row>
    <row r="257" spans="2:18">
      <c r="B257" s="243">
        <f t="shared" si="71"/>
        <v>237</v>
      </c>
      <c r="C257" s="247">
        <f t="shared" si="71"/>
        <v>46294</v>
      </c>
      <c r="D257" s="245">
        <f t="shared" si="69"/>
        <v>0</v>
      </c>
      <c r="E257" s="235">
        <f t="shared" si="67"/>
        <v>0</v>
      </c>
      <c r="F257" s="236">
        <f t="shared" si="58"/>
        <v>0</v>
      </c>
      <c r="G257" s="237">
        <f t="shared" si="57"/>
        <v>0</v>
      </c>
      <c r="H257" s="273">
        <f t="shared" si="59"/>
        <v>0</v>
      </c>
      <c r="I257" s="238">
        <f t="shared" si="56"/>
        <v>0</v>
      </c>
      <c r="J257" s="237">
        <f t="shared" si="60"/>
        <v>0</v>
      </c>
      <c r="K257" s="269">
        <f t="shared" si="61"/>
        <v>0</v>
      </c>
      <c r="L257" s="239">
        <f t="shared" si="62"/>
        <v>0</v>
      </c>
      <c r="M257" s="275" t="e">
        <f t="shared" si="63"/>
        <v>#DIV/0!</v>
      </c>
      <c r="N257" s="3"/>
      <c r="O257" s="1">
        <f t="shared" si="72"/>
        <v>237</v>
      </c>
      <c r="P257" s="182">
        <f t="shared" si="72"/>
        <v>46294</v>
      </c>
      <c r="Q257" s="241">
        <f>ROUND(SUMIFS(BS_RE33!$U$7:$U$874,BS_RE33!$S$7:$S$874,'Summary &amp; Working File(Ccy)'!P257,BS_RE33!$N$7:$N$874,'Summary &amp; Working File(Ccy)'!$Q$10,BS_RE33!$F$7:$F$874,$J$3)+SUMIF($P$13:$P$19,P257,$Q$13:$Q$19),2)</f>
        <v>0</v>
      </c>
      <c r="R257" s="242">
        <f>ROUND(SUMIFS(BS_RE33!$U$7:$U$874,BS_RE33!$S$7:$S$874,'Summary &amp; Working File(Ccy)'!P257,BS_RE33!$N$7:$N$874,'Summary &amp; Working File(Ccy)'!$R$10,BS_RE33!$F$7:$F$874,$J$3)+SUMIF($P$13:$P$19,P257,$R$13:$R$19),2)</f>
        <v>0</v>
      </c>
    </row>
    <row r="258" spans="2:18">
      <c r="B258" s="243">
        <f t="shared" si="71"/>
        <v>238</v>
      </c>
      <c r="C258" s="247">
        <f t="shared" si="71"/>
        <v>46295</v>
      </c>
      <c r="D258" s="245">
        <f t="shared" si="69"/>
        <v>0</v>
      </c>
      <c r="E258" s="235">
        <f t="shared" si="67"/>
        <v>0</v>
      </c>
      <c r="F258" s="236">
        <f t="shared" si="58"/>
        <v>0</v>
      </c>
      <c r="G258" s="237">
        <f t="shared" si="57"/>
        <v>0</v>
      </c>
      <c r="H258" s="273">
        <f t="shared" si="59"/>
        <v>0</v>
      </c>
      <c r="I258" s="238">
        <f t="shared" si="56"/>
        <v>0</v>
      </c>
      <c r="J258" s="237">
        <f t="shared" si="60"/>
        <v>0</v>
      </c>
      <c r="K258" s="269">
        <f t="shared" si="61"/>
        <v>0</v>
      </c>
      <c r="L258" s="239">
        <f t="shared" si="62"/>
        <v>0</v>
      </c>
      <c r="M258" s="275" t="e">
        <f t="shared" si="63"/>
        <v>#DIV/0!</v>
      </c>
      <c r="N258" s="3"/>
      <c r="O258" s="1">
        <f t="shared" si="72"/>
        <v>238</v>
      </c>
      <c r="P258" s="182">
        <f t="shared" si="72"/>
        <v>46295</v>
      </c>
      <c r="Q258" s="241">
        <f>ROUND(SUMIFS(BS_RE33!$U$7:$U$874,BS_RE33!$S$7:$S$874,'Summary &amp; Working File(Ccy)'!P258,BS_RE33!$N$7:$N$874,'Summary &amp; Working File(Ccy)'!$Q$10,BS_RE33!$F$7:$F$874,$J$3)+SUMIF($P$13:$P$19,P258,$Q$13:$Q$19),2)</f>
        <v>0</v>
      </c>
      <c r="R258" s="242">
        <f>ROUND(SUMIFS(BS_RE33!$U$7:$U$874,BS_RE33!$S$7:$S$874,'Summary &amp; Working File(Ccy)'!P258,BS_RE33!$N$7:$N$874,'Summary &amp; Working File(Ccy)'!$R$10,BS_RE33!$F$7:$F$874,$J$3)+SUMIF($P$13:$P$19,P258,$R$13:$R$19),2)</f>
        <v>0</v>
      </c>
    </row>
    <row r="259" spans="2:18">
      <c r="B259" s="243">
        <f t="shared" si="71"/>
        <v>239</v>
      </c>
      <c r="C259" s="247">
        <f t="shared" si="71"/>
        <v>46296</v>
      </c>
      <c r="D259" s="245">
        <f t="shared" si="69"/>
        <v>0</v>
      </c>
      <c r="E259" s="235">
        <f t="shared" si="67"/>
        <v>0</v>
      </c>
      <c r="F259" s="236">
        <f t="shared" si="58"/>
        <v>0</v>
      </c>
      <c r="G259" s="237">
        <f t="shared" si="57"/>
        <v>0</v>
      </c>
      <c r="H259" s="273">
        <f t="shared" si="59"/>
        <v>0</v>
      </c>
      <c r="I259" s="238">
        <f t="shared" si="56"/>
        <v>0</v>
      </c>
      <c r="J259" s="237">
        <f t="shared" si="60"/>
        <v>0</v>
      </c>
      <c r="K259" s="269">
        <f t="shared" si="61"/>
        <v>0</v>
      </c>
      <c r="L259" s="239">
        <f t="shared" si="62"/>
        <v>0</v>
      </c>
      <c r="M259" s="275" t="e">
        <f t="shared" si="63"/>
        <v>#DIV/0!</v>
      </c>
      <c r="N259" s="3"/>
      <c r="O259" s="1">
        <f t="shared" si="72"/>
        <v>239</v>
      </c>
      <c r="P259" s="182">
        <f t="shared" si="72"/>
        <v>46296</v>
      </c>
      <c r="Q259" s="241">
        <f>ROUND(SUMIFS(BS_RE33!$U$7:$U$874,BS_RE33!$S$7:$S$874,'Summary &amp; Working File(Ccy)'!P259,BS_RE33!$N$7:$N$874,'Summary &amp; Working File(Ccy)'!$Q$10,BS_RE33!$F$7:$F$874,$J$3)+SUMIF($P$13:$P$19,P259,$Q$13:$Q$19),2)</f>
        <v>0</v>
      </c>
      <c r="R259" s="242">
        <f>ROUND(SUMIFS(BS_RE33!$U$7:$U$874,BS_RE33!$S$7:$S$874,'Summary &amp; Working File(Ccy)'!P259,BS_RE33!$N$7:$N$874,'Summary &amp; Working File(Ccy)'!$R$10,BS_RE33!$F$7:$F$874,$J$3)+SUMIF($P$13:$P$19,P259,$R$13:$R$19),2)</f>
        <v>0</v>
      </c>
    </row>
    <row r="260" spans="2:18">
      <c r="B260" s="243">
        <f t="shared" si="71"/>
        <v>240</v>
      </c>
      <c r="C260" s="247">
        <f t="shared" si="71"/>
        <v>46297</v>
      </c>
      <c r="D260" s="245">
        <f t="shared" si="69"/>
        <v>0</v>
      </c>
      <c r="E260" s="235">
        <f t="shared" si="67"/>
        <v>0</v>
      </c>
      <c r="F260" s="236">
        <f t="shared" si="58"/>
        <v>0</v>
      </c>
      <c r="G260" s="237">
        <f t="shared" si="57"/>
        <v>0</v>
      </c>
      <c r="H260" s="273">
        <f t="shared" si="59"/>
        <v>0</v>
      </c>
      <c r="I260" s="238">
        <f t="shared" si="56"/>
        <v>0</v>
      </c>
      <c r="J260" s="237">
        <f t="shared" si="60"/>
        <v>0</v>
      </c>
      <c r="K260" s="269">
        <f t="shared" si="61"/>
        <v>0</v>
      </c>
      <c r="L260" s="239">
        <f t="shared" si="62"/>
        <v>0</v>
      </c>
      <c r="M260" s="275" t="e">
        <f t="shared" si="63"/>
        <v>#DIV/0!</v>
      </c>
      <c r="N260" s="3"/>
      <c r="O260" s="1">
        <f t="shared" si="72"/>
        <v>240</v>
      </c>
      <c r="P260" s="182">
        <f t="shared" si="72"/>
        <v>46297</v>
      </c>
      <c r="Q260" s="241">
        <f>ROUND(SUMIFS(BS_RE33!$U$7:$U$874,BS_RE33!$S$7:$S$874,'Summary &amp; Working File(Ccy)'!P260,BS_RE33!$N$7:$N$874,'Summary &amp; Working File(Ccy)'!$Q$10,BS_RE33!$F$7:$F$874,$J$3)+SUMIF($P$13:$P$19,P260,$Q$13:$Q$19),2)</f>
        <v>0</v>
      </c>
      <c r="R260" s="242">
        <f>ROUND(SUMIFS(BS_RE33!$U$7:$U$874,BS_RE33!$S$7:$S$874,'Summary &amp; Working File(Ccy)'!P260,BS_RE33!$N$7:$N$874,'Summary &amp; Working File(Ccy)'!$R$10,BS_RE33!$F$7:$F$874,$J$3)+SUMIF($P$13:$P$19,P260,$R$13:$R$19),2)</f>
        <v>0</v>
      </c>
    </row>
    <row r="261" spans="2:18">
      <c r="B261" s="243">
        <f t="shared" si="71"/>
        <v>241</v>
      </c>
      <c r="C261" s="247">
        <f t="shared" si="71"/>
        <v>46298</v>
      </c>
      <c r="D261" s="245">
        <f t="shared" si="69"/>
        <v>0</v>
      </c>
      <c r="E261" s="235">
        <f t="shared" si="67"/>
        <v>0</v>
      </c>
      <c r="F261" s="236">
        <f t="shared" si="58"/>
        <v>0</v>
      </c>
      <c r="G261" s="237">
        <f t="shared" si="57"/>
        <v>0</v>
      </c>
      <c r="H261" s="273">
        <f t="shared" si="59"/>
        <v>0</v>
      </c>
      <c r="I261" s="238">
        <f t="shared" si="56"/>
        <v>0</v>
      </c>
      <c r="J261" s="237">
        <f t="shared" si="60"/>
        <v>0</v>
      </c>
      <c r="K261" s="269">
        <f t="shared" si="61"/>
        <v>0</v>
      </c>
      <c r="L261" s="239">
        <f t="shared" si="62"/>
        <v>0</v>
      </c>
      <c r="M261" s="275" t="e">
        <f t="shared" si="63"/>
        <v>#DIV/0!</v>
      </c>
      <c r="N261" s="3"/>
      <c r="O261" s="1">
        <f t="shared" si="72"/>
        <v>241</v>
      </c>
      <c r="P261" s="182">
        <f t="shared" si="72"/>
        <v>46298</v>
      </c>
      <c r="Q261" s="241">
        <f>ROUND(SUMIFS(BS_RE33!$U$7:$U$874,BS_RE33!$S$7:$S$874,'Summary &amp; Working File(Ccy)'!P261,BS_RE33!$N$7:$N$874,'Summary &amp; Working File(Ccy)'!$Q$10,BS_RE33!$F$7:$F$874,$J$3)+SUMIF($P$13:$P$19,P261,$Q$13:$Q$19),2)</f>
        <v>0</v>
      </c>
      <c r="R261" s="242">
        <f>ROUND(SUMIFS(BS_RE33!$U$7:$U$874,BS_RE33!$S$7:$S$874,'Summary &amp; Working File(Ccy)'!P261,BS_RE33!$N$7:$N$874,'Summary &amp; Working File(Ccy)'!$R$10,BS_RE33!$F$7:$F$874,$J$3)+SUMIF($P$13:$P$19,P261,$R$13:$R$19),2)</f>
        <v>0</v>
      </c>
    </row>
    <row r="262" spans="2:18">
      <c r="B262" s="243">
        <f t="shared" si="71"/>
        <v>242</v>
      </c>
      <c r="C262" s="247">
        <f t="shared" si="71"/>
        <v>46299</v>
      </c>
      <c r="D262" s="245">
        <f t="shared" si="69"/>
        <v>0</v>
      </c>
      <c r="E262" s="235">
        <f t="shared" si="67"/>
        <v>0</v>
      </c>
      <c r="F262" s="236">
        <f t="shared" si="58"/>
        <v>0</v>
      </c>
      <c r="G262" s="237">
        <f t="shared" si="57"/>
        <v>0</v>
      </c>
      <c r="H262" s="273">
        <f t="shared" si="59"/>
        <v>0</v>
      </c>
      <c r="I262" s="238">
        <f t="shared" si="56"/>
        <v>0</v>
      </c>
      <c r="J262" s="237">
        <f t="shared" si="60"/>
        <v>0</v>
      </c>
      <c r="K262" s="269">
        <f t="shared" si="61"/>
        <v>0</v>
      </c>
      <c r="L262" s="239">
        <f t="shared" si="62"/>
        <v>0</v>
      </c>
      <c r="M262" s="275" t="e">
        <f t="shared" si="63"/>
        <v>#DIV/0!</v>
      </c>
      <c r="N262" s="3"/>
      <c r="O262" s="1">
        <f t="shared" si="72"/>
        <v>242</v>
      </c>
      <c r="P262" s="182">
        <f t="shared" si="72"/>
        <v>46299</v>
      </c>
      <c r="Q262" s="241">
        <f>ROUND(SUMIFS(BS_RE33!$U$7:$U$874,BS_RE33!$S$7:$S$874,'Summary &amp; Working File(Ccy)'!P262,BS_RE33!$N$7:$N$874,'Summary &amp; Working File(Ccy)'!$Q$10,BS_RE33!$F$7:$F$874,$J$3)+SUMIF($P$13:$P$19,P262,$Q$13:$Q$19),2)</f>
        <v>0</v>
      </c>
      <c r="R262" s="242">
        <f>ROUND(SUMIFS(BS_RE33!$U$7:$U$874,BS_RE33!$S$7:$S$874,'Summary &amp; Working File(Ccy)'!P262,BS_RE33!$N$7:$N$874,'Summary &amp; Working File(Ccy)'!$R$10,BS_RE33!$F$7:$F$874,$J$3)+SUMIF($P$13:$P$19,P262,$R$13:$R$19),2)</f>
        <v>0</v>
      </c>
    </row>
    <row r="263" spans="2:18">
      <c r="B263" s="243">
        <f>B262+1</f>
        <v>243</v>
      </c>
      <c r="C263" s="247">
        <f>C262+1</f>
        <v>46300</v>
      </c>
      <c r="D263" s="245">
        <f t="shared" si="69"/>
        <v>0</v>
      </c>
      <c r="E263" s="235">
        <f t="shared" si="67"/>
        <v>0</v>
      </c>
      <c r="F263" s="236">
        <f t="shared" si="58"/>
        <v>0</v>
      </c>
      <c r="G263" s="237">
        <f t="shared" si="57"/>
        <v>0</v>
      </c>
      <c r="H263" s="273">
        <f t="shared" si="59"/>
        <v>0</v>
      </c>
      <c r="I263" s="238">
        <f t="shared" si="56"/>
        <v>0</v>
      </c>
      <c r="J263" s="237">
        <f t="shared" si="60"/>
        <v>0</v>
      </c>
      <c r="K263" s="269">
        <f t="shared" si="61"/>
        <v>0</v>
      </c>
      <c r="L263" s="239">
        <f t="shared" si="62"/>
        <v>0</v>
      </c>
      <c r="M263" s="275" t="e">
        <f t="shared" si="63"/>
        <v>#DIV/0!</v>
      </c>
      <c r="N263" s="3"/>
      <c r="O263" s="1">
        <f t="shared" ref="O263:P278" si="73">O262+1</f>
        <v>243</v>
      </c>
      <c r="P263" s="182">
        <f t="shared" si="73"/>
        <v>46300</v>
      </c>
      <c r="Q263" s="241">
        <f>ROUND(SUMIFS(BS_RE33!$U$7:$U$874,BS_RE33!$S$7:$S$874,'Summary &amp; Working File(Ccy)'!P263,BS_RE33!$N$7:$N$874,'Summary &amp; Working File(Ccy)'!$Q$10,BS_RE33!$F$7:$F$874,$J$3)+SUMIF($P$13:$P$19,P263,$Q$13:$Q$19),2)</f>
        <v>0</v>
      </c>
      <c r="R263" s="242">
        <f>ROUND(SUMIFS(BS_RE33!$U$7:$U$874,BS_RE33!$S$7:$S$874,'Summary &amp; Working File(Ccy)'!P263,BS_RE33!$N$7:$N$874,'Summary &amp; Working File(Ccy)'!$R$10,BS_RE33!$F$7:$F$874,$J$3)+SUMIF($P$13:$P$19,P263,$R$13:$R$19),2)</f>
        <v>0</v>
      </c>
    </row>
    <row r="264" spans="2:18" ht="17.25" thickBot="1">
      <c r="B264" s="243">
        <f>B263+1</f>
        <v>244</v>
      </c>
      <c r="C264" s="247">
        <f>C263+1</f>
        <v>46301</v>
      </c>
      <c r="D264" s="245">
        <f t="shared" si="69"/>
        <v>0</v>
      </c>
      <c r="E264" s="235">
        <f t="shared" si="67"/>
        <v>0</v>
      </c>
      <c r="F264" s="236">
        <f t="shared" si="58"/>
        <v>0</v>
      </c>
      <c r="G264" s="237">
        <f t="shared" si="57"/>
        <v>0</v>
      </c>
      <c r="H264" s="274">
        <f t="shared" si="59"/>
        <v>0</v>
      </c>
      <c r="I264" s="238">
        <f>$R$11+SUM(R265:R294)</f>
        <v>0</v>
      </c>
      <c r="J264" s="237">
        <f t="shared" si="60"/>
        <v>0</v>
      </c>
      <c r="K264" s="270">
        <f t="shared" si="61"/>
        <v>0</v>
      </c>
      <c r="L264" s="239">
        <f t="shared" si="62"/>
        <v>0</v>
      </c>
      <c r="M264" s="276" t="e">
        <f t="shared" si="63"/>
        <v>#DIV/0!</v>
      </c>
      <c r="N264" s="3"/>
      <c r="O264" s="1">
        <f t="shared" si="73"/>
        <v>244</v>
      </c>
      <c r="P264" s="182">
        <f t="shared" si="73"/>
        <v>46301</v>
      </c>
      <c r="Q264" s="241">
        <f>ROUND(SUMIFS(BS_RE33!$U$7:$U$874,BS_RE33!$S$7:$S$874,'Summary &amp; Working File(Ccy)'!P264,BS_RE33!$N$7:$N$874,'Summary &amp; Working File(Ccy)'!$Q$10,BS_RE33!$F$7:$F$874,$J$3)+SUMIF($P$13:$P$19,P264,$Q$13:$Q$19),2)</f>
        <v>0</v>
      </c>
      <c r="R264" s="242">
        <f>ROUND(SUMIFS(BS_RE33!$U$7:$U$874,BS_RE33!$S$7:$S$874,'Summary &amp; Working File(Ccy)'!P264,BS_RE33!$N$7:$N$874,'Summary &amp; Working File(Ccy)'!$R$10,BS_RE33!$F$7:$F$874,$J$3)+SUMIF($P$13:$P$19,P264,$R$13:$R$19),2)</f>
        <v>0</v>
      </c>
    </row>
    <row r="265" spans="2:18" ht="17.25" thickTop="1">
      <c r="N265" s="3"/>
      <c r="O265" s="1">
        <f t="shared" si="73"/>
        <v>245</v>
      </c>
      <c r="P265" s="182">
        <f t="shared" si="73"/>
        <v>46302</v>
      </c>
      <c r="Q265" s="241">
        <f>ROUND(SUMIFS(BS_RE33!$U$7:$U$874,BS_RE33!$S$7:$S$874,'Summary &amp; Working File(Ccy)'!P265,BS_RE33!$N$7:$N$874,'Summary &amp; Working File(Ccy)'!$Q$10,BS_RE33!$F$7:$F$874,$J$3)+SUMIF($P$13:$P$19,P265,$Q$13:$Q$19),2)</f>
        <v>0</v>
      </c>
      <c r="R265" s="242">
        <f>ROUND(SUMIFS(BS_RE33!$U$7:$U$874,BS_RE33!$S$7:$S$874,'Summary &amp; Working File(Ccy)'!P265,BS_RE33!$N$7:$N$874,'Summary &amp; Working File(Ccy)'!$R$10,BS_RE33!$F$7:$F$874,$J$3)+SUMIF($P$13:$P$19,P265,$R$13:$R$19),2)</f>
        <v>0</v>
      </c>
    </row>
    <row r="266" spans="2:18">
      <c r="N266" s="3"/>
      <c r="O266" s="1">
        <f t="shared" si="73"/>
        <v>246</v>
      </c>
      <c r="P266" s="182">
        <f t="shared" si="73"/>
        <v>46303</v>
      </c>
      <c r="Q266" s="241">
        <f>ROUND(SUMIFS(BS_RE33!$U$7:$U$874,BS_RE33!$S$7:$S$874,'Summary &amp; Working File(Ccy)'!P266,BS_RE33!$N$7:$N$874,'Summary &amp; Working File(Ccy)'!$Q$10,BS_RE33!$F$7:$F$874,$J$3)+SUMIF($P$13:$P$19,P266,$Q$13:$Q$19),2)</f>
        <v>0</v>
      </c>
      <c r="R266" s="242">
        <f>ROUND(SUMIFS(BS_RE33!$U$7:$U$874,BS_RE33!$S$7:$S$874,'Summary &amp; Working File(Ccy)'!P266,BS_RE33!$N$7:$N$874,'Summary &amp; Working File(Ccy)'!$R$10,BS_RE33!$F$7:$F$874,$J$3)+SUMIF($P$13:$P$19,P266,$R$13:$R$19),2)</f>
        <v>0</v>
      </c>
    </row>
    <row r="267" spans="2:18">
      <c r="N267" s="3"/>
      <c r="O267" s="1">
        <f t="shared" si="73"/>
        <v>247</v>
      </c>
      <c r="P267" s="182">
        <f t="shared" si="73"/>
        <v>46304</v>
      </c>
      <c r="Q267" s="241">
        <f>ROUND(SUMIFS(BS_RE33!$U$7:$U$874,BS_RE33!$S$7:$S$874,'Summary &amp; Working File(Ccy)'!P267,BS_RE33!$N$7:$N$874,'Summary &amp; Working File(Ccy)'!$Q$10,BS_RE33!$F$7:$F$874,$J$3)+SUMIF($P$13:$P$19,P267,$Q$13:$Q$19),2)</f>
        <v>0</v>
      </c>
      <c r="R267" s="242">
        <f>ROUND(SUMIFS(BS_RE33!$U$7:$U$874,BS_RE33!$S$7:$S$874,'Summary &amp; Working File(Ccy)'!P267,BS_RE33!$N$7:$N$874,'Summary &amp; Working File(Ccy)'!$R$10,BS_RE33!$F$7:$F$874,$J$3)+SUMIF($P$13:$P$19,P267,$R$13:$R$19),2)</f>
        <v>0</v>
      </c>
    </row>
    <row r="268" spans="2:18">
      <c r="N268" s="3"/>
      <c r="O268" s="1">
        <f t="shared" si="73"/>
        <v>248</v>
      </c>
      <c r="P268" s="182">
        <f t="shared" si="73"/>
        <v>46305</v>
      </c>
      <c r="Q268" s="241">
        <f>ROUND(SUMIFS(BS_RE33!$U$7:$U$874,BS_RE33!$S$7:$S$874,'Summary &amp; Working File(Ccy)'!P268,BS_RE33!$N$7:$N$874,'Summary &amp; Working File(Ccy)'!$Q$10,BS_RE33!$F$7:$F$874,$J$3)+SUMIF($P$13:$P$19,P268,$Q$13:$Q$19),2)</f>
        <v>0</v>
      </c>
      <c r="R268" s="242">
        <f>ROUND(SUMIFS(BS_RE33!$U$7:$U$874,BS_RE33!$S$7:$S$874,'Summary &amp; Working File(Ccy)'!P268,BS_RE33!$N$7:$N$874,'Summary &amp; Working File(Ccy)'!$R$10,BS_RE33!$F$7:$F$874,$J$3)+SUMIF($P$13:$P$19,P268,$R$13:$R$19),2)</f>
        <v>0</v>
      </c>
    </row>
    <row r="269" spans="2:18">
      <c r="N269" s="3"/>
      <c r="O269" s="1">
        <f t="shared" si="73"/>
        <v>249</v>
      </c>
      <c r="P269" s="182">
        <f t="shared" si="73"/>
        <v>46306</v>
      </c>
      <c r="Q269" s="241">
        <f>ROUND(SUMIFS(BS_RE33!$U$7:$U$874,BS_RE33!$S$7:$S$874,'Summary &amp; Working File(Ccy)'!P269,BS_RE33!$N$7:$N$874,'Summary &amp; Working File(Ccy)'!$Q$10,BS_RE33!$F$7:$F$874,$J$3)+SUMIF($P$13:$P$19,P269,$Q$13:$Q$19),2)</f>
        <v>0</v>
      </c>
      <c r="R269" s="242">
        <f>ROUND(SUMIFS(BS_RE33!$U$7:$U$874,BS_RE33!$S$7:$S$874,'Summary &amp; Working File(Ccy)'!P269,BS_RE33!$N$7:$N$874,'Summary &amp; Working File(Ccy)'!$R$10,BS_RE33!$F$7:$F$874,$J$3)+SUMIF($P$13:$P$19,P269,$R$13:$R$19),2)</f>
        <v>0</v>
      </c>
    </row>
    <row r="270" spans="2:18">
      <c r="N270" s="3"/>
      <c r="O270" s="1">
        <f t="shared" si="73"/>
        <v>250</v>
      </c>
      <c r="P270" s="182">
        <f t="shared" si="73"/>
        <v>46307</v>
      </c>
      <c r="Q270" s="241">
        <f>ROUND(SUMIFS(BS_RE33!$U$7:$U$874,BS_RE33!$S$7:$S$874,'Summary &amp; Working File(Ccy)'!P270,BS_RE33!$N$7:$N$874,'Summary &amp; Working File(Ccy)'!$Q$10,BS_RE33!$F$7:$F$874,$J$3)+SUMIF($P$13:$P$19,P270,$Q$13:$Q$19),2)</f>
        <v>0</v>
      </c>
      <c r="R270" s="242">
        <f>ROUND(SUMIFS(BS_RE33!$U$7:$U$874,BS_RE33!$S$7:$S$874,'Summary &amp; Working File(Ccy)'!P270,BS_RE33!$N$7:$N$874,'Summary &amp; Working File(Ccy)'!$R$10,BS_RE33!$F$7:$F$874,$J$3)+SUMIF($P$13:$P$19,P270,$R$13:$R$19),2)</f>
        <v>0</v>
      </c>
    </row>
    <row r="271" spans="2:18">
      <c r="N271" s="3"/>
      <c r="O271" s="1">
        <f t="shared" si="73"/>
        <v>251</v>
      </c>
      <c r="P271" s="182">
        <f t="shared" si="73"/>
        <v>46308</v>
      </c>
      <c r="Q271" s="241">
        <f>ROUND(SUMIFS(BS_RE33!$U$7:$U$874,BS_RE33!$S$7:$S$874,'Summary &amp; Working File(Ccy)'!P271,BS_RE33!$N$7:$N$874,'Summary &amp; Working File(Ccy)'!$Q$10,BS_RE33!$F$7:$F$874,$J$3)+SUMIF($P$13:$P$19,P271,$Q$13:$Q$19),2)</f>
        <v>0</v>
      </c>
      <c r="R271" s="242">
        <f>ROUND(SUMIFS(BS_RE33!$U$7:$U$874,BS_RE33!$S$7:$S$874,'Summary &amp; Working File(Ccy)'!P271,BS_RE33!$N$7:$N$874,'Summary &amp; Working File(Ccy)'!$R$10,BS_RE33!$F$7:$F$874,$J$3)+SUMIF($P$13:$P$19,P271,$R$13:$R$19),2)</f>
        <v>0</v>
      </c>
    </row>
    <row r="272" spans="2:18">
      <c r="N272" s="3"/>
      <c r="O272" s="1">
        <f t="shared" si="73"/>
        <v>252</v>
      </c>
      <c r="P272" s="182">
        <f t="shared" si="73"/>
        <v>46309</v>
      </c>
      <c r="Q272" s="241">
        <f>ROUND(SUMIFS(BS_RE33!$U$7:$U$874,BS_RE33!$S$7:$S$874,'Summary &amp; Working File(Ccy)'!P272,BS_RE33!$N$7:$N$874,'Summary &amp; Working File(Ccy)'!$Q$10,BS_RE33!$F$7:$F$874,$J$3)+SUMIF($P$13:$P$19,P272,$Q$13:$Q$19),2)</f>
        <v>0</v>
      </c>
      <c r="R272" s="242">
        <f>ROUND(SUMIFS(BS_RE33!$U$7:$U$874,BS_RE33!$S$7:$S$874,'Summary &amp; Working File(Ccy)'!P272,BS_RE33!$N$7:$N$874,'Summary &amp; Working File(Ccy)'!$R$10,BS_RE33!$F$7:$F$874,$J$3)+SUMIF($P$13:$P$19,P272,$R$13:$R$19),2)</f>
        <v>0</v>
      </c>
    </row>
    <row r="273" spans="12:18">
      <c r="N273" s="3"/>
      <c r="O273" s="1">
        <f t="shared" si="73"/>
        <v>253</v>
      </c>
      <c r="P273" s="182">
        <f t="shared" si="73"/>
        <v>46310</v>
      </c>
      <c r="Q273" s="241">
        <f>ROUND(SUMIFS(BS_RE33!$U$7:$U$874,BS_RE33!$S$7:$S$874,'Summary &amp; Working File(Ccy)'!P273,BS_RE33!$N$7:$N$874,'Summary &amp; Working File(Ccy)'!$Q$10,BS_RE33!$F$7:$F$874,$J$3)+SUMIF($P$13:$P$19,P273,$Q$13:$Q$19),2)</f>
        <v>0</v>
      </c>
      <c r="R273" s="242">
        <f>ROUND(SUMIFS(BS_RE33!$U$7:$U$874,BS_RE33!$S$7:$S$874,'Summary &amp; Working File(Ccy)'!P273,BS_RE33!$N$7:$N$874,'Summary &amp; Working File(Ccy)'!$R$10,BS_RE33!$F$7:$F$874,$J$3)+SUMIF($P$13:$P$19,P273,$R$13:$R$19),2)</f>
        <v>0</v>
      </c>
    </row>
    <row r="274" spans="12:18">
      <c r="N274" s="3"/>
      <c r="O274" s="1">
        <f t="shared" si="73"/>
        <v>254</v>
      </c>
      <c r="P274" s="182">
        <f t="shared" si="73"/>
        <v>46311</v>
      </c>
      <c r="Q274" s="241">
        <f>ROUND(SUMIFS(BS_RE33!$U$7:$U$874,BS_RE33!$S$7:$S$874,'Summary &amp; Working File(Ccy)'!P274,BS_RE33!$N$7:$N$874,'Summary &amp; Working File(Ccy)'!$Q$10,BS_RE33!$F$7:$F$874,$J$3)+SUMIF($P$13:$P$19,P274,$Q$13:$Q$19),2)</f>
        <v>0</v>
      </c>
      <c r="R274" s="242">
        <f>ROUND(SUMIFS(BS_RE33!$U$7:$U$874,BS_RE33!$S$7:$S$874,'Summary &amp; Working File(Ccy)'!P274,BS_RE33!$N$7:$N$874,'Summary &amp; Working File(Ccy)'!$R$10,BS_RE33!$F$7:$F$874,$J$3)+SUMIF($P$13:$P$19,P274,$R$13:$R$19),2)</f>
        <v>0</v>
      </c>
    </row>
    <row r="275" spans="12:18">
      <c r="N275" s="3"/>
      <c r="O275" s="1">
        <f t="shared" si="73"/>
        <v>255</v>
      </c>
      <c r="P275" s="182">
        <f t="shared" si="73"/>
        <v>46312</v>
      </c>
      <c r="Q275" s="241">
        <f>ROUND(SUMIFS(BS_RE33!$U$7:$U$874,BS_RE33!$S$7:$S$874,'Summary &amp; Working File(Ccy)'!P275,BS_RE33!$N$7:$N$874,'Summary &amp; Working File(Ccy)'!$Q$10,BS_RE33!$F$7:$F$874,$J$3)+SUMIF($P$13:$P$19,P275,$Q$13:$Q$19),2)</f>
        <v>0</v>
      </c>
      <c r="R275" s="242">
        <f>ROUND(SUMIFS(BS_RE33!$U$7:$U$874,BS_RE33!$S$7:$S$874,'Summary &amp; Working File(Ccy)'!P275,BS_RE33!$N$7:$N$874,'Summary &amp; Working File(Ccy)'!$R$10,BS_RE33!$F$7:$F$874,$J$3)+SUMIF($P$13:$P$19,P275,$R$13:$R$19),2)</f>
        <v>0</v>
      </c>
    </row>
    <row r="276" spans="12:18">
      <c r="N276" s="3"/>
      <c r="O276" s="1">
        <f t="shared" si="73"/>
        <v>256</v>
      </c>
      <c r="P276" s="182">
        <f t="shared" si="73"/>
        <v>46313</v>
      </c>
      <c r="Q276" s="241">
        <f>ROUND(SUMIFS(BS_RE33!$U$7:$U$874,BS_RE33!$S$7:$S$874,'Summary &amp; Working File(Ccy)'!P276,BS_RE33!$N$7:$N$874,'Summary &amp; Working File(Ccy)'!$Q$10,BS_RE33!$F$7:$F$874,$J$3)+SUMIF($P$13:$P$19,P276,$Q$13:$Q$19),2)</f>
        <v>0</v>
      </c>
      <c r="R276" s="242">
        <f>ROUND(SUMIFS(BS_RE33!$U$7:$U$874,BS_RE33!$S$7:$S$874,'Summary &amp; Working File(Ccy)'!P276,BS_RE33!$N$7:$N$874,'Summary &amp; Working File(Ccy)'!$R$10,BS_RE33!$F$7:$F$874,$J$3)+SUMIF($P$13:$P$19,P276,$R$13:$R$19),2)</f>
        <v>0</v>
      </c>
    </row>
    <row r="277" spans="12:18">
      <c r="N277" s="3"/>
      <c r="O277" s="1">
        <f t="shared" si="73"/>
        <v>257</v>
      </c>
      <c r="P277" s="182">
        <f t="shared" si="73"/>
        <v>46314</v>
      </c>
      <c r="Q277" s="241">
        <f>ROUND(SUMIFS(BS_RE33!$U$7:$U$874,BS_RE33!$S$7:$S$874,'Summary &amp; Working File(Ccy)'!P277,BS_RE33!$N$7:$N$874,'Summary &amp; Working File(Ccy)'!$Q$10,BS_RE33!$F$7:$F$874,$J$3)+SUMIF($P$13:$P$19,P277,$Q$13:$Q$19),2)</f>
        <v>0</v>
      </c>
      <c r="R277" s="242">
        <f>ROUND(SUMIFS(BS_RE33!$U$7:$U$874,BS_RE33!$S$7:$S$874,'Summary &amp; Working File(Ccy)'!P277,BS_RE33!$N$7:$N$874,'Summary &amp; Working File(Ccy)'!$R$10,BS_RE33!$F$7:$F$874,$J$3)+SUMIF($P$13:$P$19,P277,$R$13:$R$19),2)</f>
        <v>0</v>
      </c>
    </row>
    <row r="278" spans="12:18">
      <c r="N278" s="3"/>
      <c r="O278" s="1">
        <f t="shared" si="73"/>
        <v>258</v>
      </c>
      <c r="P278" s="182">
        <f t="shared" si="73"/>
        <v>46315</v>
      </c>
      <c r="Q278" s="241">
        <f>ROUND(SUMIFS(BS_RE33!$U$7:$U$874,BS_RE33!$S$7:$S$874,'Summary &amp; Working File(Ccy)'!P278,BS_RE33!$N$7:$N$874,'Summary &amp; Working File(Ccy)'!$Q$10,BS_RE33!$F$7:$F$874,$J$3)+SUMIF($P$13:$P$19,P278,$Q$13:$Q$19),2)</f>
        <v>0</v>
      </c>
      <c r="R278" s="242">
        <f>ROUND(SUMIFS(BS_RE33!$U$7:$U$874,BS_RE33!$S$7:$S$874,'Summary &amp; Working File(Ccy)'!P278,BS_RE33!$N$7:$N$874,'Summary &amp; Working File(Ccy)'!$R$10,BS_RE33!$F$7:$F$874,$J$3)+SUMIF($P$13:$P$19,P278,$R$13:$R$19),2)</f>
        <v>0</v>
      </c>
    </row>
    <row r="279" spans="12:18">
      <c r="N279" s="3"/>
      <c r="O279" s="1">
        <f t="shared" ref="O279:P294" si="74">O278+1</f>
        <v>259</v>
      </c>
      <c r="P279" s="182">
        <f t="shared" si="74"/>
        <v>46316</v>
      </c>
      <c r="Q279" s="241">
        <f>ROUND(SUMIFS(BS_RE33!$U$7:$U$874,BS_RE33!$S$7:$S$874,'Summary &amp; Working File(Ccy)'!P279,BS_RE33!$N$7:$N$874,'Summary &amp; Working File(Ccy)'!$Q$10,BS_RE33!$F$7:$F$874,$J$3)+SUMIF($P$13:$P$19,P279,$Q$13:$Q$19),2)</f>
        <v>0</v>
      </c>
      <c r="R279" s="242">
        <f>ROUND(SUMIFS(BS_RE33!$U$7:$U$874,BS_RE33!$S$7:$S$874,'Summary &amp; Working File(Ccy)'!P279,BS_RE33!$N$7:$N$874,'Summary &amp; Working File(Ccy)'!$R$10,BS_RE33!$F$7:$F$874,$J$3)+SUMIF($P$13:$P$19,P279,$R$13:$R$19),2)</f>
        <v>0</v>
      </c>
    </row>
    <row r="280" spans="12:18">
      <c r="L280" s="215"/>
      <c r="M280" s="248"/>
      <c r="N280" s="3"/>
      <c r="O280" s="1">
        <f t="shared" si="74"/>
        <v>260</v>
      </c>
      <c r="P280" s="182">
        <f t="shared" si="74"/>
        <v>46317</v>
      </c>
      <c r="Q280" s="241">
        <f>ROUND(SUMIFS(BS_RE33!$U$7:$U$874,BS_RE33!$S$7:$S$874,'Summary &amp; Working File(Ccy)'!P280,BS_RE33!$N$7:$N$874,'Summary &amp; Working File(Ccy)'!$Q$10,BS_RE33!$F$7:$F$874,$J$3)+SUMIF($P$13:$P$19,P280,$Q$13:$Q$19),2)</f>
        <v>0</v>
      </c>
      <c r="R280" s="242">
        <f>ROUND(SUMIFS(BS_RE33!$U$7:$U$874,BS_RE33!$S$7:$S$874,'Summary &amp; Working File(Ccy)'!P280,BS_RE33!$N$7:$N$874,'Summary &amp; Working File(Ccy)'!$R$10,BS_RE33!$F$7:$F$874,$J$3)+SUMIF($P$13:$P$19,P280,$R$13:$R$19),2)</f>
        <v>0</v>
      </c>
    </row>
    <row r="281" spans="12:18">
      <c r="L281" s="215"/>
      <c r="M281" s="248"/>
      <c r="N281" s="3"/>
      <c r="O281" s="1">
        <f t="shared" si="74"/>
        <v>261</v>
      </c>
      <c r="P281" s="182">
        <f t="shared" si="74"/>
        <v>46318</v>
      </c>
      <c r="Q281" s="241">
        <f>ROUND(SUMIFS(BS_RE33!$U$7:$U$874,BS_RE33!$S$7:$S$874,'Summary &amp; Working File(Ccy)'!P281,BS_RE33!$N$7:$N$874,'Summary &amp; Working File(Ccy)'!$Q$10,BS_RE33!$F$7:$F$874,$J$3)+SUMIF($P$13:$P$19,P281,$Q$13:$Q$19),2)</f>
        <v>0</v>
      </c>
      <c r="R281" s="242">
        <f>ROUND(SUMIFS(BS_RE33!$U$7:$U$874,BS_RE33!$S$7:$S$874,'Summary &amp; Working File(Ccy)'!P281,BS_RE33!$N$7:$N$874,'Summary &amp; Working File(Ccy)'!$R$10,BS_RE33!$F$7:$F$874,$J$3)+SUMIF($P$13:$P$19,P281,$R$13:$R$19),2)</f>
        <v>0</v>
      </c>
    </row>
    <row r="282" spans="12:18">
      <c r="M282" s="248"/>
      <c r="N282" s="3"/>
      <c r="O282" s="1">
        <f t="shared" si="74"/>
        <v>262</v>
      </c>
      <c r="P282" s="182">
        <f t="shared" si="74"/>
        <v>46319</v>
      </c>
      <c r="Q282" s="241">
        <f>ROUND(SUMIFS(BS_RE33!$U$7:$U$874,BS_RE33!$S$7:$S$874,'Summary &amp; Working File(Ccy)'!P282,BS_RE33!$N$7:$N$874,'Summary &amp; Working File(Ccy)'!$Q$10,BS_RE33!$F$7:$F$874,$J$3)+SUMIF($P$13:$P$19,P282,$Q$13:$Q$19),2)</f>
        <v>0</v>
      </c>
      <c r="R282" s="242">
        <f>ROUND(SUMIFS(BS_RE33!$U$7:$U$874,BS_RE33!$S$7:$S$874,'Summary &amp; Working File(Ccy)'!P282,BS_RE33!$N$7:$N$874,'Summary &amp; Working File(Ccy)'!$R$10,BS_RE33!$F$7:$F$874,$J$3)+SUMIF($P$13:$P$19,P282,$R$13:$R$19),2)</f>
        <v>0</v>
      </c>
    </row>
    <row r="283" spans="12:18">
      <c r="N283" s="3"/>
      <c r="O283" s="1">
        <f t="shared" si="74"/>
        <v>263</v>
      </c>
      <c r="P283" s="182">
        <f t="shared" si="74"/>
        <v>46320</v>
      </c>
      <c r="Q283" s="241">
        <f>ROUND(SUMIFS(BS_RE33!$U$7:$U$874,BS_RE33!$S$7:$S$874,'Summary &amp; Working File(Ccy)'!P283,BS_RE33!$N$7:$N$874,'Summary &amp; Working File(Ccy)'!$Q$10,BS_RE33!$F$7:$F$874,$J$3)+SUMIF($P$13:$P$19,P283,$Q$13:$Q$19),2)</f>
        <v>0</v>
      </c>
      <c r="R283" s="242">
        <f>ROUND(SUMIFS(BS_RE33!$U$7:$U$874,BS_RE33!$S$7:$S$874,'Summary &amp; Working File(Ccy)'!P283,BS_RE33!$N$7:$N$874,'Summary &amp; Working File(Ccy)'!$R$10,BS_RE33!$F$7:$F$874,$J$3)+SUMIF($P$13:$P$19,P283,$R$13:$R$19),2)</f>
        <v>0</v>
      </c>
    </row>
    <row r="284" spans="12:18">
      <c r="N284" s="3"/>
      <c r="O284" s="1">
        <f t="shared" si="74"/>
        <v>264</v>
      </c>
      <c r="P284" s="182">
        <f t="shared" si="74"/>
        <v>46321</v>
      </c>
      <c r="Q284" s="241">
        <f>ROUND(SUMIFS(BS_RE33!$U$7:$U$874,BS_RE33!$S$7:$S$874,'Summary &amp; Working File(Ccy)'!P284,BS_RE33!$N$7:$N$874,'Summary &amp; Working File(Ccy)'!$Q$10,BS_RE33!$F$7:$F$874,$J$3)+SUMIF($P$13:$P$19,P284,$Q$13:$Q$19),2)</f>
        <v>0</v>
      </c>
      <c r="R284" s="242">
        <f>ROUND(SUMIFS(BS_RE33!$U$7:$U$874,BS_RE33!$S$7:$S$874,'Summary &amp; Working File(Ccy)'!P284,BS_RE33!$N$7:$N$874,'Summary &amp; Working File(Ccy)'!$R$10,BS_RE33!$F$7:$F$874,$J$3)+SUMIF($P$13:$P$19,P284,$R$13:$R$19),2)</f>
        <v>0</v>
      </c>
    </row>
    <row r="285" spans="12:18">
      <c r="N285" s="3"/>
      <c r="O285" s="1">
        <f t="shared" si="74"/>
        <v>265</v>
      </c>
      <c r="P285" s="182">
        <f t="shared" si="74"/>
        <v>46322</v>
      </c>
      <c r="Q285" s="241">
        <f>ROUND(SUMIFS(BS_RE33!$U$7:$U$874,BS_RE33!$S$7:$S$874,'Summary &amp; Working File(Ccy)'!P285,BS_RE33!$N$7:$N$874,'Summary &amp; Working File(Ccy)'!$Q$10,BS_RE33!$F$7:$F$874,$J$3)+SUMIF($P$13:$P$19,P285,$Q$13:$Q$19),2)</f>
        <v>0</v>
      </c>
      <c r="R285" s="242">
        <f>ROUND(SUMIFS(BS_RE33!$U$7:$U$874,BS_RE33!$S$7:$S$874,'Summary &amp; Working File(Ccy)'!P285,BS_RE33!$N$7:$N$874,'Summary &amp; Working File(Ccy)'!$R$10,BS_RE33!$F$7:$F$874,$J$3)+SUMIF($P$13:$P$19,P285,$R$13:$R$19),2)</f>
        <v>0</v>
      </c>
    </row>
    <row r="286" spans="12:18">
      <c r="N286" s="3"/>
      <c r="O286" s="1">
        <f t="shared" si="74"/>
        <v>266</v>
      </c>
      <c r="P286" s="182">
        <f t="shared" si="74"/>
        <v>46323</v>
      </c>
      <c r="Q286" s="241">
        <f>ROUND(SUMIFS(BS_RE33!$U$7:$U$874,BS_RE33!$S$7:$S$874,'Summary &amp; Working File(Ccy)'!P286,BS_RE33!$N$7:$N$874,'Summary &amp; Working File(Ccy)'!$Q$10,BS_RE33!$F$7:$F$874,$J$3)+SUMIF($P$13:$P$19,P286,$Q$13:$Q$19),2)</f>
        <v>0</v>
      </c>
      <c r="R286" s="242">
        <f>ROUND(SUMIFS(BS_RE33!$U$7:$U$874,BS_RE33!$S$7:$S$874,'Summary &amp; Working File(Ccy)'!P286,BS_RE33!$N$7:$N$874,'Summary &amp; Working File(Ccy)'!$R$10,BS_RE33!$F$7:$F$874,$J$3)+SUMIF($P$13:$P$19,P286,$R$13:$R$19),2)</f>
        <v>0</v>
      </c>
    </row>
    <row r="287" spans="12:18">
      <c r="N287" s="3"/>
      <c r="O287" s="1">
        <f t="shared" si="74"/>
        <v>267</v>
      </c>
      <c r="P287" s="182">
        <f t="shared" si="74"/>
        <v>46324</v>
      </c>
      <c r="Q287" s="241">
        <f>ROUND(SUMIFS(BS_RE33!$U$7:$U$874,BS_RE33!$S$7:$S$874,'Summary &amp; Working File(Ccy)'!P287,BS_RE33!$N$7:$N$874,'Summary &amp; Working File(Ccy)'!$Q$10,BS_RE33!$F$7:$F$874,$J$3)+SUMIF($P$13:$P$19,P287,$Q$13:$Q$19),2)</f>
        <v>0</v>
      </c>
      <c r="R287" s="242">
        <f>ROUND(SUMIFS(BS_RE33!$U$7:$U$874,BS_RE33!$S$7:$S$874,'Summary &amp; Working File(Ccy)'!P287,BS_RE33!$N$7:$N$874,'Summary &amp; Working File(Ccy)'!$R$10,BS_RE33!$F$7:$F$874,$J$3)+SUMIF($P$13:$P$19,P287,$R$13:$R$19),2)</f>
        <v>0</v>
      </c>
    </row>
    <row r="288" spans="12:18">
      <c r="N288" s="3"/>
      <c r="O288" s="1">
        <f t="shared" si="74"/>
        <v>268</v>
      </c>
      <c r="P288" s="182">
        <f t="shared" si="74"/>
        <v>46325</v>
      </c>
      <c r="Q288" s="241">
        <f>ROUND(SUMIFS(BS_RE33!$U$7:$U$874,BS_RE33!$S$7:$S$874,'Summary &amp; Working File(Ccy)'!P288,BS_RE33!$N$7:$N$874,'Summary &amp; Working File(Ccy)'!$Q$10,BS_RE33!$F$7:$F$874,$J$3)+SUMIF($P$13:$P$19,P288,$Q$13:$Q$19),2)</f>
        <v>0</v>
      </c>
      <c r="R288" s="242">
        <f>ROUND(SUMIFS(BS_RE33!$U$7:$U$874,BS_RE33!$S$7:$S$874,'Summary &amp; Working File(Ccy)'!P288,BS_RE33!$N$7:$N$874,'Summary &amp; Working File(Ccy)'!$R$10,BS_RE33!$F$7:$F$874,$J$3)+SUMIF($P$13:$P$19,P288,$R$13:$R$19),2)</f>
        <v>0</v>
      </c>
    </row>
    <row r="289" spans="14:18">
      <c r="N289" s="3"/>
      <c r="O289" s="1">
        <f t="shared" si="74"/>
        <v>269</v>
      </c>
      <c r="P289" s="182">
        <f t="shared" si="74"/>
        <v>46326</v>
      </c>
      <c r="Q289" s="241">
        <f>ROUND(SUMIFS(BS_RE33!$U$7:$U$874,BS_RE33!$S$7:$S$874,'Summary &amp; Working File(Ccy)'!P289,BS_RE33!$N$7:$N$874,'Summary &amp; Working File(Ccy)'!$Q$10,BS_RE33!$F$7:$F$874,$J$3)+SUMIF($P$13:$P$19,P289,$Q$13:$Q$19),2)</f>
        <v>0</v>
      </c>
      <c r="R289" s="242">
        <f>ROUND(SUMIFS(BS_RE33!$U$7:$U$874,BS_RE33!$S$7:$S$874,'Summary &amp; Working File(Ccy)'!P289,BS_RE33!$N$7:$N$874,'Summary &amp; Working File(Ccy)'!$R$10,BS_RE33!$F$7:$F$874,$J$3)+SUMIF($P$13:$P$19,P289,$R$13:$R$19),2)</f>
        <v>0</v>
      </c>
    </row>
    <row r="290" spans="14:18">
      <c r="N290" s="3"/>
      <c r="O290" s="1">
        <f t="shared" si="74"/>
        <v>270</v>
      </c>
      <c r="P290" s="182">
        <f t="shared" si="74"/>
        <v>46327</v>
      </c>
      <c r="Q290" s="241">
        <f>ROUND(SUMIFS(BS_RE33!$U$7:$U$874,BS_RE33!$S$7:$S$874,'Summary &amp; Working File(Ccy)'!P290,BS_RE33!$N$7:$N$874,'Summary &amp; Working File(Ccy)'!$Q$10,BS_RE33!$F$7:$F$874,$J$3)+SUMIF($P$13:$P$19,P290,$Q$13:$Q$19),2)</f>
        <v>0</v>
      </c>
      <c r="R290" s="242">
        <f>ROUND(SUMIFS(BS_RE33!$U$7:$U$874,BS_RE33!$S$7:$S$874,'Summary &amp; Working File(Ccy)'!P290,BS_RE33!$N$7:$N$874,'Summary &amp; Working File(Ccy)'!$R$10,BS_RE33!$F$7:$F$874,$J$3)+SUMIF($P$13:$P$19,P290,$R$13:$R$19),2)</f>
        <v>0</v>
      </c>
    </row>
    <row r="291" spans="14:18">
      <c r="N291" s="3"/>
      <c r="O291" s="1">
        <f t="shared" si="74"/>
        <v>271</v>
      </c>
      <c r="P291" s="182">
        <f t="shared" si="74"/>
        <v>46328</v>
      </c>
      <c r="Q291" s="241">
        <f>ROUND(SUMIFS(BS_RE33!$U$7:$U$874,BS_RE33!$S$7:$S$874,'Summary &amp; Working File(Ccy)'!P291,BS_RE33!$N$7:$N$874,'Summary &amp; Working File(Ccy)'!$Q$10,BS_RE33!$F$7:$F$874,$J$3)+SUMIF($P$13:$P$19,P291,$Q$13:$Q$19),2)</f>
        <v>0</v>
      </c>
      <c r="R291" s="242">
        <f>ROUND(SUMIFS(BS_RE33!$U$7:$U$874,BS_RE33!$S$7:$S$874,'Summary &amp; Working File(Ccy)'!P291,BS_RE33!$N$7:$N$874,'Summary &amp; Working File(Ccy)'!$R$10,BS_RE33!$F$7:$F$874,$J$3)+SUMIF($P$13:$P$19,P291,$R$13:$R$19),2)</f>
        <v>0</v>
      </c>
    </row>
    <row r="292" spans="14:18">
      <c r="N292" s="3"/>
      <c r="O292" s="1">
        <f t="shared" si="74"/>
        <v>272</v>
      </c>
      <c r="P292" s="182">
        <f t="shared" si="74"/>
        <v>46329</v>
      </c>
      <c r="Q292" s="241">
        <f>ROUND(SUMIFS(BS_RE33!$U$7:$U$874,BS_RE33!$S$7:$S$874,'Summary &amp; Working File(Ccy)'!P292,BS_RE33!$N$7:$N$874,'Summary &amp; Working File(Ccy)'!$Q$10,BS_RE33!$F$7:$F$874,$J$3)+SUMIF($P$13:$P$19,P292,$Q$13:$Q$19),2)</f>
        <v>0</v>
      </c>
      <c r="R292" s="242">
        <f>ROUND(SUMIFS(BS_RE33!$U$7:$U$874,BS_RE33!$S$7:$S$874,'Summary &amp; Working File(Ccy)'!P292,BS_RE33!$N$7:$N$874,'Summary &amp; Working File(Ccy)'!$R$10,BS_RE33!$F$7:$F$874,$J$3)+SUMIF($P$13:$P$19,P292,$R$13:$R$19),2)</f>
        <v>0</v>
      </c>
    </row>
    <row r="293" spans="14:18">
      <c r="N293" s="3"/>
      <c r="O293" s="1">
        <f t="shared" si="74"/>
        <v>273</v>
      </c>
      <c r="P293" s="182">
        <f t="shared" si="74"/>
        <v>46330</v>
      </c>
      <c r="Q293" s="241">
        <f>ROUND(SUMIFS(BS_RE33!$U$7:$U$874,BS_RE33!$S$7:$S$874,'Summary &amp; Working File(Ccy)'!P293,BS_RE33!$N$7:$N$874,'Summary &amp; Working File(Ccy)'!$Q$10,BS_RE33!$F$7:$F$874,$J$3)+SUMIF($P$13:$P$19,P293,$Q$13:$Q$19),2)</f>
        <v>0</v>
      </c>
      <c r="R293" s="242">
        <f>ROUND(SUMIFS(BS_RE33!$U$7:$U$874,BS_RE33!$S$7:$S$874,'Summary &amp; Working File(Ccy)'!P293,BS_RE33!$N$7:$N$874,'Summary &amp; Working File(Ccy)'!$R$10,BS_RE33!$F$7:$F$874,$J$3)+SUMIF($P$13:$P$19,P293,$R$13:$R$19),2)</f>
        <v>0</v>
      </c>
    </row>
    <row r="294" spans="14:18">
      <c r="O294" s="1">
        <f t="shared" si="74"/>
        <v>274</v>
      </c>
      <c r="P294" s="182">
        <f t="shared" si="74"/>
        <v>46331</v>
      </c>
      <c r="Q294" s="241">
        <f>ROUND(SUMIFS(BS_RE33!$U$7:$U$874,BS_RE33!$S$7:$S$874,'Summary &amp; Working File(Ccy)'!P294,BS_RE33!$N$7:$N$874,'Summary &amp; Working File(Ccy)'!$Q$10,BS_RE33!$F$7:$F$874,$J$3)+SUMIF($P$13:$P$19,P294,$Q$13:$Q$19),2)</f>
        <v>0</v>
      </c>
      <c r="R294" s="242">
        <f>ROUND(SUMIFS(BS_RE33!$U$7:$U$874,BS_RE33!$S$7:$S$874,'Summary &amp; Working File(Ccy)'!P294,BS_RE33!$N$7:$N$874,'Summary &amp; Working File(Ccy)'!$R$10,BS_RE33!$F$7:$F$874,$J$3)+SUMIF($P$13:$P$19,P294,$R$13:$R$19),2)</f>
        <v>0</v>
      </c>
    </row>
  </sheetData>
  <autoFilter ref="A20:R277" xr:uid="{00000000-0009-0000-0000-000004000000}"/>
  <mergeCells count="14">
    <mergeCell ref="J3:J4"/>
    <mergeCell ref="B3:B5"/>
    <mergeCell ref="C3:C4"/>
    <mergeCell ref="D3:H3"/>
    <mergeCell ref="Q9:R9"/>
    <mergeCell ref="O13:O19"/>
    <mergeCell ref="B18:B20"/>
    <mergeCell ref="C18:C20"/>
    <mergeCell ref="D18:M18"/>
    <mergeCell ref="D19:D20"/>
    <mergeCell ref="E19:H19"/>
    <mergeCell ref="I19:K19"/>
    <mergeCell ref="L19:L20"/>
    <mergeCell ref="M19:M20"/>
  </mergeCells>
  <phoneticPr fontId="3" type="noConversion"/>
  <conditionalFormatting sqref="H8">
    <cfRule type="containsText" dxfId="17" priority="5" operator="containsText" text="false">
      <formula>NOT(ISERROR(SEARCH("false",H8)))</formula>
    </cfRule>
    <cfRule type="containsText" dxfId="16" priority="6" operator="containsText" text="true">
      <formula>NOT(ISERROR(SEARCH("true",H8)))</formula>
    </cfRule>
  </conditionalFormatting>
  <conditionalFormatting sqref="J12">
    <cfRule type="containsText" dxfId="15" priority="1" operator="containsText" text="false">
      <formula>NOT(ISERROR(SEARCH("false",J12)))</formula>
    </cfRule>
    <cfRule type="containsText" dxfId="14" priority="2" operator="containsText" text="true">
      <formula>NOT(ISERROR(SEARCH("true",J12)))</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K120"/>
  <sheetViews>
    <sheetView showGridLines="0" zoomScale="55" zoomScaleNormal="55" workbookViewId="0"/>
  </sheetViews>
  <sheetFormatPr defaultRowHeight="16.5"/>
  <cols>
    <col min="1" max="2" width="2.375" customWidth="1"/>
    <col min="3" max="3" width="15.875" bestFit="1" customWidth="1"/>
    <col min="4" max="4" width="40.75" customWidth="1"/>
    <col min="5" max="5" width="77.875" customWidth="1"/>
    <col min="6" max="6" width="60.375" customWidth="1"/>
    <col min="7" max="7" width="68" hidden="1" customWidth="1"/>
    <col min="8" max="8" width="29.5" bestFit="1" customWidth="1"/>
    <col min="9" max="10" width="15.625" customWidth="1"/>
    <col min="11" max="11" width="13.625" bestFit="1" customWidth="1"/>
    <col min="12" max="41" width="12.625" customWidth="1"/>
    <col min="42" max="42" width="12.375" customWidth="1"/>
    <col min="44" max="59" width="12.375" customWidth="1"/>
    <col min="60" max="63" width="10.875" bestFit="1" customWidth="1"/>
  </cols>
  <sheetData>
    <row r="1" spans="1:63" ht="17.25" thickBot="1">
      <c r="F1" s="522"/>
      <c r="M1" s="318"/>
    </row>
    <row r="2" spans="1:63" ht="27.75" thickTop="1" thickBot="1">
      <c r="C2" s="574" t="str">
        <f>'ARF210_1B(Ccy)'!B1</f>
        <v>AUD</v>
      </c>
      <c r="D2" s="583">
        <f>'30 days CF Table(ALL)'!C2</f>
        <v>46058</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ROUND(SUMIFS(BS_RE33!$H$7:$H$874,BS_RE33!$S$7:$S$874,$L$2,BS_RE33!$N$7:$N$874,I4,BS_RE33!$P$7:$P$874,'30 days CF Table(Ccy)'!G4,BS_RE33!$F$7:$F$874,'30 days CF Table(Ccy)'!$C$2),2)</f>
        <v>0</v>
      </c>
      <c r="M4" s="337">
        <f>ROUND(SUMIFS(BS_RE33!$H$7:$H$874,BS_RE33!$S$7:$S$874,$M$2,BS_RE33!$N$7:$N$874,I4,BS_RE33!$P$7:$P$874,'30 days CF Table(Ccy)'!G4,BS_RE33!$F$7:$F$874,'30 days CF Table(Ccy)'!$C$2),2)</f>
        <v>0</v>
      </c>
      <c r="N4" s="337">
        <f>ROUND(SUMIFS(BS_RE33!$H$7:$H$874,BS_RE33!$S$7:$S$874,$N$2,BS_RE33!$N$7:$N$874,I4,BS_RE33!$P$7:$P$874,'30 days CF Table(Ccy)'!G4,BS_RE33!$F$7:$F$874,'30 days CF Table(Ccy)'!$C$2),2)</f>
        <v>0</v>
      </c>
      <c r="O4" s="337">
        <f>ROUND(SUMIFS(BS_RE33!$H$7:$H$874,BS_RE33!$S$7:$S$874,$O$2,BS_RE33!$N$7:$N$874,I4,BS_RE33!$P$7:$P$874,'30 days CF Table(Ccy)'!G4,BS_RE33!$F$7:$F$874,'30 days CF Table(Ccy)'!$C$2),2)</f>
        <v>0</v>
      </c>
      <c r="P4" s="337">
        <f>ROUND(SUMIFS(BS_RE33!$H$7:$H$874,BS_RE33!$S$7:$S$874,$P$2,BS_RE33!$N$7:$N$874,I4,BS_RE33!$P$7:$P$874,'30 days CF Table(Ccy)'!G4,BS_RE33!$F$7:$F$874,'30 days CF Table(Ccy)'!$C$2),2)</f>
        <v>0</v>
      </c>
      <c r="Q4" s="337">
        <f>ROUND(SUMIFS(BS_RE33!$H$7:$H$874,BS_RE33!$S$7:$S$874,$Q$2,BS_RE33!$N$7:$N$874,I4,BS_RE33!$P$7:$P$874,'30 days CF Table(Ccy)'!G4,BS_RE33!$F$7:$F$874,'30 days CF Table(Ccy)'!$C$2),2)</f>
        <v>0</v>
      </c>
      <c r="R4" s="337">
        <f>ROUND(SUMIFS(BS_RE33!$H$7:$H$874,BS_RE33!$S$7:$S$874,$R$2,BS_RE33!$N$7:$N$874,I4,BS_RE33!$P$7:$P$874,'30 days CF Table(Ccy)'!G4,BS_RE33!$F$7:$F$874,'30 days CF Table(Ccy)'!$C$2),2)</f>
        <v>0</v>
      </c>
      <c r="S4" s="337">
        <f>ROUND(SUMIFS(BS_RE33!$H$7:$H$874,BS_RE33!$S$7:$S$874,$S$2,BS_RE33!$N$7:$N$874,I4,BS_RE33!$P$7:$P$874,'30 days CF Table(Ccy)'!G4,BS_RE33!$F$7:$F$874,'30 days CF Table(Ccy)'!$C$2),2)</f>
        <v>0</v>
      </c>
      <c r="T4" s="337">
        <f>ROUND(SUMIFS(BS_RE33!$H$7:$H$874,BS_RE33!$S$7:$S$874,$T$2,BS_RE33!$N$7:$N$874,I4,BS_RE33!$P$7:$P$874,'30 days CF Table(Ccy)'!G4,BS_RE33!$F$7:$F$874,'30 days CF Table(Ccy)'!$C$2),2)</f>
        <v>0</v>
      </c>
      <c r="U4" s="337">
        <f>ROUND(SUMIFS(BS_RE33!$H$7:$H$874,BS_RE33!$S$7:$S$874,$U$2,BS_RE33!$N$7:$N$874,I4,BS_RE33!$P$7:$P$874,'30 days CF Table(Ccy)'!G4,BS_RE33!$F$7:$F$874,'30 days CF Table(Ccy)'!$C$2),2)</f>
        <v>0</v>
      </c>
      <c r="V4" s="337">
        <f>ROUND(SUMIFS(BS_RE33!$H$7:$H$874,BS_RE33!$S$7:$S$874,$V$2,BS_RE33!$N$7:$N$874,I4,BS_RE33!$P$7:$P$874,'30 days CF Table(Ccy)'!G4,BS_RE33!$F$7:$F$874,'30 days CF Table(Ccy)'!$C$2),2)</f>
        <v>0</v>
      </c>
      <c r="W4" s="337">
        <f>ROUND(SUMIFS(BS_RE33!$H$7:$H$874,BS_RE33!$S$7:$S$874,$W$2,BS_RE33!$N$7:$N$874,I4,BS_RE33!$P$7:$P$874,'30 days CF Table(Ccy)'!G4,BS_RE33!$F$7:$F$874,'30 days CF Table(Ccy)'!$C$2),2)</f>
        <v>0</v>
      </c>
      <c r="X4" s="337">
        <f>ROUND(SUMIFS(BS_RE33!$H$7:$H$874,BS_RE33!$S$7:$S$874,$X$2,BS_RE33!$N$7:$N$874,I4,BS_RE33!$P$7:$P$874,'30 days CF Table(Ccy)'!G4,BS_RE33!$F$7:$F$874,'30 days CF Table(Ccy)'!$C$2),2)</f>
        <v>0</v>
      </c>
      <c r="Y4" s="337">
        <f>ROUND(SUMIFS(BS_RE33!$H$7:$H$874,BS_RE33!$S$7:$S$874,$Y$2,BS_RE33!$N$7:$N$874,I4,BS_RE33!$P$7:$P$874,'30 days CF Table(Ccy)'!G4,BS_RE33!$F$7:$F$874,'30 days CF Table(Ccy)'!$C$2),2)</f>
        <v>0</v>
      </c>
      <c r="Z4" s="337">
        <f>ROUND(SUMIFS(BS_RE33!$H$7:$H$874,BS_RE33!$S$7:$S$874,$Z$2,BS_RE33!$N$7:$N$874,I4,BS_RE33!$P$7:$P$874,'30 days CF Table(Ccy)'!G4,BS_RE33!$F$7:$F$874,'30 days CF Table(Ccy)'!$C$2),2)</f>
        <v>0</v>
      </c>
      <c r="AA4" s="337">
        <f>ROUND(SUMIFS(BS_RE33!$H$7:$H$874,BS_RE33!$S$7:$S$874,$AA$2,BS_RE33!$N$7:$N$874,I4,BS_RE33!$P$7:$P$874,'30 days CF Table(Ccy)'!G4,BS_RE33!$F$7:$F$874,'30 days CF Table(Ccy)'!$C$2),2)</f>
        <v>0</v>
      </c>
      <c r="AB4" s="337">
        <f>ROUND(SUMIFS(BS_RE33!$H$7:$H$874,BS_RE33!$S$7:$S$874,$AB$2,BS_RE33!$N$7:$N$874,I4,BS_RE33!$P$7:$P$874,'30 days CF Table(Ccy)'!G4,BS_RE33!$F$7:$F$874,'30 days CF Table(Ccy)'!$C$2),2)</f>
        <v>0</v>
      </c>
      <c r="AC4" s="337">
        <f>ROUND(SUMIFS(BS_RE33!$H$7:$H$874,BS_RE33!$S$7:$S$874,$AC$2,BS_RE33!$N$7:$N$874,I4,BS_RE33!$P$7:$P$874,'30 days CF Table(Ccy)'!G4,BS_RE33!$F$7:$F$874,'30 days CF Table(Ccy)'!$C$2),2)</f>
        <v>0</v>
      </c>
      <c r="AD4" s="337">
        <f>ROUND(SUMIFS(BS_RE33!$H$7:$H$874,BS_RE33!$S$7:$S$874,$AD$2,BS_RE33!$N$7:$N$874,I4,BS_RE33!$P$7:$P$874,'30 days CF Table(Ccy)'!G4,BS_RE33!$F$7:$F$874,'30 days CF Table(Ccy)'!$C$2),2)</f>
        <v>0</v>
      </c>
      <c r="AE4" s="337">
        <f>ROUND(SUMIFS(BS_RE33!$H$7:$H$874,BS_RE33!$S$7:$S$874,$AE$2,BS_RE33!$N$7:$N$874,I4,BS_RE33!$P$7:$P$874,'30 days CF Table(Ccy)'!G4,BS_RE33!$F$7:$F$874,'30 days CF Table(Ccy)'!$C$2),2)</f>
        <v>0</v>
      </c>
      <c r="AF4" s="337">
        <f>ROUND(SUMIFS(BS_RE33!$H$7:$H$874,BS_RE33!$S$7:$S$874,$AF$2,BS_RE33!$N$7:$N$874,I4,BS_RE33!$P$7:$P$874,'30 days CF Table(Ccy)'!G4,BS_RE33!$F$7:$F$874,'30 days CF Table(Ccy)'!$C$2),2)</f>
        <v>0</v>
      </c>
      <c r="AG4" s="337">
        <f>ROUND(SUMIFS(BS_RE33!$H$7:$H$874,BS_RE33!$S$7:$S$874,$AG$2,BS_RE33!$N$7:$N$874,I4,BS_RE33!$P$7:$P$874,'30 days CF Table(Ccy)'!G4,BS_RE33!$F$7:$F$874,'30 days CF Table(Ccy)'!$C$2),2)</f>
        <v>0</v>
      </c>
      <c r="AH4" s="337">
        <f>ROUND(SUMIFS(BS_RE33!$H$7:$H$874,BS_RE33!$S$7:$S$874,$AH$2,BS_RE33!$N$7:$N$874,I4,BS_RE33!$P$7:$P$874,'30 days CF Table(Ccy)'!G4,BS_RE33!$F$7:$F$874,'30 days CF Table(Ccy)'!$C$2),2)</f>
        <v>0</v>
      </c>
      <c r="AI4" s="337">
        <f>ROUND(SUMIFS(BS_RE33!$H$7:$H$874,BS_RE33!$S$7:$S$874,$AI$2,BS_RE33!$N$7:$N$874,I4,BS_RE33!$P$7:$P$874,'30 days CF Table(Ccy)'!G4,BS_RE33!$F$7:$F$874,'30 days CF Table(Ccy)'!$C$2),2)</f>
        <v>0</v>
      </c>
      <c r="AJ4" s="337">
        <f>ROUND(SUMIFS(BS_RE33!$H$7:$H$874,BS_RE33!$S$7:$S$874,$AJ$2,BS_RE33!$N$7:$N$874,I4,BS_RE33!$P$7:$P$874,'30 days CF Table(Ccy)'!G4,BS_RE33!$F$7:$F$874,'30 days CF Table(Ccy)'!$C$2),2)</f>
        <v>0</v>
      </c>
      <c r="AK4" s="337">
        <f>ROUND(SUMIFS(BS_RE33!$H$7:$H$874,BS_RE33!$S$7:$S$874,$AK$2,BS_RE33!$N$7:$N$874,I4,BS_RE33!$P$7:$P$874,'30 days CF Table(Ccy)'!G4,BS_RE33!$F$7:$F$874,'30 days CF Table(Ccy)'!$C$2),2)</f>
        <v>0</v>
      </c>
      <c r="AL4" s="337">
        <f>ROUND(SUMIFS(BS_RE33!$H$7:$H$874,BS_RE33!$S$7:$S$874,$AL$2,BS_RE33!$N$7:$N$874,I4,BS_RE33!$P$7:$P$874,'30 days CF Table(Ccy)'!G4,BS_RE33!$F$7:$F$874,'30 days CF Table(Ccy)'!$C$2),2)</f>
        <v>0</v>
      </c>
      <c r="AM4" s="337">
        <f>ROUND(SUMIFS(BS_RE33!$H$7:$H$874,BS_RE33!$S$7:$S$874,$AM$2,BS_RE33!$N$7:$N$874,I4,BS_RE33!$P$7:$P$874,'30 days CF Table(Ccy)'!G4,BS_RE33!$F$7:$F$874,'30 days CF Table(Ccy)'!$C$2),2)</f>
        <v>0</v>
      </c>
      <c r="AN4" s="337">
        <f>ROUND(SUMIFS(BS_RE33!$H$7:$H$874,BS_RE33!$S$7:$S$874,$AN$2,BS_RE33!$N$7:$N$874,I4,BS_RE33!$P$7:$P$874,'30 days CF Table(Ccy)'!G4,BS_RE33!$F$7:$F$874,'30 days CF Table(Ccy)'!$C$2),2)</f>
        <v>0</v>
      </c>
      <c r="AO4" s="337">
        <f>ROUND(SUMIFS(BS_RE33!$H$7:$H$874,BS_RE33!$S$7:$S$874,$AO$2,BS_RE33!$N$7:$N$874,I4,BS_RE33!$P$7:$P$874,'30 days CF Table(Ccy)'!G4,BS_RE33!$F$7:$F$874,'30 days CF Table(Ccy)'!$C$2),2)</f>
        <v>0</v>
      </c>
      <c r="AP4" s="338">
        <f>ROUND(SUMIFS(BS_RE33!$H$7:$H$874,BS_RE33!$S$7:$S$874,$AP$2,BS_RE33!$N$7:$N$874,I4,BS_RE33!$P$7:$P$874,'30 days CF Table(Ccy)'!G4,BS_RE33!$F$7:$F$874,'30 days CF Table(Ccy)'!$C$2),2)</f>
        <v>0</v>
      </c>
      <c r="AQ4" s="545"/>
      <c r="AR4" s="379">
        <f>ROUND(SUMIFS(BS_RE33!$H$7:$H$874,BS_RE33!$S$7:$S$874,$AR$2,BS_RE33!$N$7:$N$874,I4,BS_RE33!$P$7:$P$874,'30 days CF Table(Ccy)'!G4,BS_RE33!$F$7:$F$874,'30 days CF Table(Ccy)'!$C$2),2)</f>
        <v>0</v>
      </c>
      <c r="AS4" s="379">
        <f>ROUND(SUMIFS(BS_RE33!$H$7:$H$874,BS_RE33!$S$7:$S$874,$AS$2,BS_RE33!$N$7:$N$874,I4,BS_RE33!$P$7:$P$874,'30 days CF Table(Ccy)'!G4,BS_RE33!$F$7:$F$874,'30 days CF Table(Ccy)'!$C$2),2)</f>
        <v>0</v>
      </c>
      <c r="AT4" s="379">
        <f>ROUND(SUMIFS(BS_RE33!$H$7:$H$874,BS_RE33!$S$7:$S$874,$AT$2,BS_RE33!$N$7:$N$874,I4,BS_RE33!$P$7:$P$874,'30 days CF Table(Ccy)'!G4,BS_RE33!$F$7:$F$874,'30 days CF Table(Ccy)'!$C$2),2)</f>
        <v>0</v>
      </c>
      <c r="AU4" s="379">
        <f>ROUND(SUMIFS(BS_RE33!$H$7:$H$874,BS_RE33!$S$7:$S$874,$AU$2,BS_RE33!$N$7:$N$874,I4,BS_RE33!$P$7:$P$874,'30 days CF Table(Ccy)'!G4,BS_RE33!$F$7:$F$874,'30 days CF Table(Ccy)'!$C$2),2)</f>
        <v>0</v>
      </c>
      <c r="AV4" s="379">
        <f>ROUND(SUMIFS(BS_RE33!$H$7:$H$874,BS_RE33!$S$7:$S$874,$AV$2,BS_RE33!$N$7:$N$874,I4,BS_RE33!$P$7:$P$874,'30 days CF Table(Ccy)'!G4,BS_RE33!$F$7:$F$874,'30 days CF Table(Ccy)'!$C$2),2)</f>
        <v>0</v>
      </c>
      <c r="AW4" s="379">
        <f>ROUND(SUMIFS(BS_RE33!$H$7:$H$874,BS_RE33!$S$7:$S$874,$AW$2,BS_RE33!$N$7:$N$874,I4,BS_RE33!$P$7:$P$874,'30 days CF Table(Ccy)'!G4,BS_RE33!$F$7:$F$874,'30 days CF Table(Ccy)'!$C$2),2)</f>
        <v>0</v>
      </c>
      <c r="AX4" s="379">
        <f>ROUND(SUMIFS(BS_RE33!$H$7:$H$874,BS_RE33!$S$7:$S$874,$AX$2,BS_RE33!$N$7:$N$874,I4,BS_RE33!$P$7:$P$874,'30 days CF Table(Ccy)'!G4,BS_RE33!$F$7:$F$874,'30 days CF Table(Ccy)'!$C$2),2)</f>
        <v>0</v>
      </c>
      <c r="AY4" s="379">
        <f>ROUND(SUMIFS(BS_RE33!$H$7:$H$874,BS_RE33!$S$7:$S$874,$AY$2,BS_RE33!$N$7:$N$874,I4,BS_RE33!$P$7:$P$874,'30 days CF Table(Ccy)'!G4,BS_RE33!$F$7:$F$874,'30 days CF Table(Ccy)'!$C$2),2)</f>
        <v>0</v>
      </c>
      <c r="AZ4" s="379">
        <f>ROUND(SUMIFS(BS_RE33!$H$7:$H$874,BS_RE33!$S$7:$S$874,$AZ$2,BS_RE33!$N$7:$N$874,I4,BS_RE33!$P$7:$P$874,'30 days CF Table(Ccy)'!G4,BS_RE33!$F$7:$F$874,'30 days CF Table(Ccy)'!$C$2),2)</f>
        <v>0</v>
      </c>
      <c r="BA4" s="379">
        <f>ROUND(SUMIFS(BS_RE33!$H$7:$H$874,BS_RE33!$S$7:$S$874,$BA$2,BS_RE33!$N$7:$N$874,I4,BS_RE33!$P$7:$P$874,'30 days CF Table(Ccy)'!G4,BS_RE33!$F$7:$F$874,'30 days CF Table(Ccy)'!$C$2),2)</f>
        <v>0</v>
      </c>
      <c r="BB4" s="379">
        <f>ROUND(SUMIFS(BS_RE33!$H$7:$H$874,BS_RE33!$S$7:$S$874,$BB$2,BS_RE33!$N$7:$N$874,I4,BS_RE33!$P$7:$P$874,'30 days CF Table(Ccy)'!G4,BS_RE33!$F$7:$F$874,'30 days CF Table(Ccy)'!$C$2),2)</f>
        <v>0</v>
      </c>
      <c r="BC4" s="379">
        <f>ROUND(SUMIFS(BS_RE33!$H$7:$H$874,BS_RE33!$S$7:$S$874,$BC$2,BS_RE33!$N$7:$N$874,I4,BS_RE33!$P$7:$P$874,'30 days CF Table(Ccy)'!G4,BS_RE33!$F$7:$F$874,'30 days CF Table(Ccy)'!$C$2),2)</f>
        <v>0</v>
      </c>
      <c r="BD4" s="379">
        <f>ROUND(SUMIFS(BS_RE33!$H$7:$H$874,BS_RE33!$S$7:$S$874,$BD$2,BS_RE33!$N$7:$N$874,I4,BS_RE33!$P$7:$P$874,'30 days CF Table(Ccy)'!G4,BS_RE33!$F$7:$F$874,'30 days CF Table(Ccy)'!$C$2),2)</f>
        <v>0</v>
      </c>
      <c r="BE4" s="379">
        <f>ROUND(SUMIFS(BS_RE33!$H$7:$H$874,BS_RE33!$S$7:$S$874,$BE$2,BS_RE33!$N$7:$N$874,I4,BS_RE33!$P$7:$P$874,'30 days CF Table(Ccy)'!G4,BS_RE33!$F$7:$F$874,'30 days CF Table(Ccy)'!$C$2),2)</f>
        <v>0</v>
      </c>
      <c r="BF4" s="379">
        <f>ROUND(SUMIFS(BS_RE33!$H$7:$H$874,BS_RE33!$S$7:$S$874,$BF$2,BS_RE33!$N$7:$N$874,I4,BS_RE33!$P$7:$P$874,'30 days CF Table(Ccy)'!G4,BS_RE33!$F$7:$F$874,'30 days CF Table(Ccy)'!$C$2),2)</f>
        <v>0</v>
      </c>
      <c r="BG4" s="379">
        <f>ROUND(SUMIFS(BS_RE33!$H$7:$H$874,BS_RE33!$S$7:$S$874,$BG$2,BS_RE33!$N$7:$N$874,I4,BS_RE33!$P$7:$P$874,'30 days CF Table(Ccy)'!G4,BS_RE33!$F$7:$F$874,'30 days CF Table(Ccy)'!$C$2),2)</f>
        <v>0</v>
      </c>
      <c r="BH4" s="379">
        <f>ROUND(SUMIFS(BS_RE33!$H$7:$H$874,BS_RE33!$S$7:$S$874,$BH$2,BS_RE33!$N$7:$N$874,I4,BS_RE33!$P$7:$P$874,'30 days CF Table(Ccy)'!G4,BS_RE33!$F$7:$F$874,'30 days CF Table(Ccy)'!$C$2),2)</f>
        <v>0</v>
      </c>
      <c r="BI4" s="379">
        <f>ROUND(SUMIFS(BS_RE33!$H$7:$H$874,BS_RE33!$S$7:$S$874,$BI$2,BS_RE33!$N$7:$N$874,I4,BS_RE33!$P$7:$P$874,'30 days CF Table(Ccy)'!G4,BS_RE33!$F$7:$F$874,'30 days CF Table(Ccy)'!$C$2),2)</f>
        <v>0</v>
      </c>
      <c r="BJ4" s="379">
        <f>ROUND(SUMIFS(BS_RE33!$H$7:$H$874,BS_RE33!$S$7:$S$874,$BJ$2,BS_RE33!$N$7:$N$874,I4,BS_RE33!$P$7:$P$874,'30 days CF Table(Ccy)'!G4,BS_RE33!$F$7:$F$874,'30 days CF Table(Ccy)'!$C$2),2)</f>
        <v>0</v>
      </c>
      <c r="BK4" s="379">
        <f>ROUND(SUMIFS(BS_RE33!$H$7:$H$874,BS_RE33!$S$7:$S$874,$BK$2,BS_RE33!$N$7:$N$874,I4,BS_RE33!$P$7:$P$874,'30 days CF Table(Ccy)'!G4,BS_RE33!$F$7:$F$874,'30 days CF Table(Ccy)'!$C$2),2)</f>
        <v>0</v>
      </c>
    </row>
    <row r="5" spans="1:63">
      <c r="C5" s="1029"/>
      <c r="D5" s="1030"/>
      <c r="E5" s="73" t="s">
        <v>61</v>
      </c>
      <c r="F5" s="309"/>
      <c r="G5" s="392" t="s">
        <v>496</v>
      </c>
      <c r="H5" s="130">
        <v>1</v>
      </c>
      <c r="I5" s="305" t="s">
        <v>63</v>
      </c>
      <c r="J5" s="477">
        <f t="shared" ref="J5:J64" si="2">SUM(L5:AP5)/1000000</f>
        <v>0</v>
      </c>
      <c r="K5" s="335">
        <f t="shared" ref="K5:K64" si="3">SUM(L5:AP5)*H5</f>
        <v>0</v>
      </c>
      <c r="L5" s="337">
        <f>ROUND(SUMIFS(BS_RE33!$H$7:$H$874,BS_RE33!$S$7:$S$874,$L$2,BS_RE33!$N$7:$N$874,I5,BS_RE33!$P$7:$P$874,'30 days CF Table(Ccy)'!G5,BS_RE33!$F$7:$F$874,'30 days CF Table(Ccy)'!$C$2),2)</f>
        <v>0</v>
      </c>
      <c r="M5" s="337">
        <f>ROUND(SUMIFS(BS_RE33!$H$7:$H$874,BS_RE33!$S$7:$S$874,$M$2,BS_RE33!$N$7:$N$874,I5,BS_RE33!$P$7:$P$874,'30 days CF Table(Ccy)'!G5,BS_RE33!$F$7:$F$874,'30 days CF Table(Ccy)'!$C$2),2)</f>
        <v>0</v>
      </c>
      <c r="N5" s="337">
        <f>ROUND(SUMIFS(BS_RE33!$H$7:$H$874,BS_RE33!$S$7:$S$874,$N$2,BS_RE33!$N$7:$N$874,I5,BS_RE33!$P$7:$P$874,'30 days CF Table(Ccy)'!G5,BS_RE33!$F$7:$F$874,'30 days CF Table(Ccy)'!$C$2),2)</f>
        <v>0</v>
      </c>
      <c r="O5" s="337">
        <f>ROUND(SUMIFS(BS_RE33!$H$7:$H$874,BS_RE33!$S$7:$S$874,$O$2,BS_RE33!$N$7:$N$874,I5,BS_RE33!$P$7:$P$874,'30 days CF Table(Ccy)'!G5,BS_RE33!$F$7:$F$874,'30 days CF Table(Ccy)'!$C$2),2)</f>
        <v>0</v>
      </c>
      <c r="P5" s="337">
        <f>ROUND(SUMIFS(BS_RE33!$H$7:$H$874,BS_RE33!$S$7:$S$874,$P$2,BS_RE33!$N$7:$N$874,I5,BS_RE33!$P$7:$P$874,'30 days CF Table(Ccy)'!G5,BS_RE33!$F$7:$F$874,'30 days CF Table(Ccy)'!$C$2),2)</f>
        <v>0</v>
      </c>
      <c r="Q5" s="337">
        <f>ROUND(SUMIFS(BS_RE33!$H$7:$H$874,BS_RE33!$S$7:$S$874,$Q$2,BS_RE33!$N$7:$N$874,I5,BS_RE33!$P$7:$P$874,'30 days CF Table(Ccy)'!G5,BS_RE33!$F$7:$F$874,'30 days CF Table(Ccy)'!$C$2),2)</f>
        <v>0</v>
      </c>
      <c r="R5" s="337">
        <f>ROUND(SUMIFS(BS_RE33!$H$7:$H$874,BS_RE33!$S$7:$S$874,$R$2,BS_RE33!$N$7:$N$874,I5,BS_RE33!$P$7:$P$874,'30 days CF Table(Ccy)'!G5,BS_RE33!$F$7:$F$874,'30 days CF Table(Ccy)'!$C$2),2)</f>
        <v>0</v>
      </c>
      <c r="S5" s="337">
        <f>ROUND(SUMIFS(BS_RE33!$H$7:$H$874,BS_RE33!$S$7:$S$874,$S$2,BS_RE33!$N$7:$N$874,I5,BS_RE33!$P$7:$P$874,'30 days CF Table(Ccy)'!G5,BS_RE33!$F$7:$F$874,'30 days CF Table(Ccy)'!$C$2),2)</f>
        <v>0</v>
      </c>
      <c r="T5" s="337">
        <f>ROUND(SUMIFS(BS_RE33!$H$7:$H$874,BS_RE33!$S$7:$S$874,$T$2,BS_RE33!$N$7:$N$874,I5,BS_RE33!$P$7:$P$874,'30 days CF Table(Ccy)'!G5,BS_RE33!$F$7:$F$874,'30 days CF Table(Ccy)'!$C$2),2)</f>
        <v>0</v>
      </c>
      <c r="U5" s="337">
        <f>ROUND(SUMIFS(BS_RE33!$H$7:$H$874,BS_RE33!$S$7:$S$874,$U$2,BS_RE33!$N$7:$N$874,I5,BS_RE33!$P$7:$P$874,'30 days CF Table(Ccy)'!G5,BS_RE33!$F$7:$F$874,'30 days CF Table(Ccy)'!$C$2),2)</f>
        <v>0</v>
      </c>
      <c r="V5" s="337">
        <f>ROUND(SUMIFS(BS_RE33!$H$7:$H$874,BS_RE33!$S$7:$S$874,$V$2,BS_RE33!$N$7:$N$874,I5,BS_RE33!$P$7:$P$874,'30 days CF Table(Ccy)'!G5,BS_RE33!$F$7:$F$874,'30 days CF Table(Ccy)'!$C$2),2)</f>
        <v>0</v>
      </c>
      <c r="W5" s="337">
        <f>ROUND(SUMIFS(BS_RE33!$H$7:$H$874,BS_RE33!$S$7:$S$874,$W$2,BS_RE33!$N$7:$N$874,I5,BS_RE33!$P$7:$P$874,'30 days CF Table(Ccy)'!G5,BS_RE33!$F$7:$F$874,'30 days CF Table(Ccy)'!$C$2),2)</f>
        <v>0</v>
      </c>
      <c r="X5" s="337">
        <f>ROUND(SUMIFS(BS_RE33!$H$7:$H$874,BS_RE33!$S$7:$S$874,$X$2,BS_RE33!$N$7:$N$874,I5,BS_RE33!$P$7:$P$874,'30 days CF Table(Ccy)'!G5,BS_RE33!$F$7:$F$874,'30 days CF Table(Ccy)'!$C$2),2)</f>
        <v>0</v>
      </c>
      <c r="Y5" s="337">
        <f>ROUND(SUMIFS(BS_RE33!$H$7:$H$874,BS_RE33!$S$7:$S$874,$Y$2,BS_RE33!$N$7:$N$874,I5,BS_RE33!$P$7:$P$874,'30 days CF Table(Ccy)'!G5,BS_RE33!$F$7:$F$874,'30 days CF Table(Ccy)'!$C$2),2)</f>
        <v>0</v>
      </c>
      <c r="Z5" s="337">
        <f>ROUND(SUMIFS(BS_RE33!$H$7:$H$874,BS_RE33!$S$7:$S$874,$Z$2,BS_RE33!$N$7:$N$874,I5,BS_RE33!$P$7:$P$874,'30 days CF Table(Ccy)'!G5,BS_RE33!$F$7:$F$874,'30 days CF Table(Ccy)'!$C$2),2)</f>
        <v>0</v>
      </c>
      <c r="AA5" s="337">
        <f>ROUND(SUMIFS(BS_RE33!$H$7:$H$874,BS_RE33!$S$7:$S$874,$AA$2,BS_RE33!$N$7:$N$874,I5,BS_RE33!$P$7:$P$874,'30 days CF Table(Ccy)'!G5,BS_RE33!$F$7:$F$874,'30 days CF Table(Ccy)'!$C$2),2)</f>
        <v>0</v>
      </c>
      <c r="AB5" s="337">
        <f>ROUND(SUMIFS(BS_RE33!$H$7:$H$874,BS_RE33!$S$7:$S$874,$AB$2,BS_RE33!$N$7:$N$874,I5,BS_RE33!$P$7:$P$874,'30 days CF Table(Ccy)'!G5,BS_RE33!$F$7:$F$874,'30 days CF Table(Ccy)'!$C$2),2)</f>
        <v>0</v>
      </c>
      <c r="AC5" s="337">
        <f>ROUND(SUMIFS(BS_RE33!$H$7:$H$874,BS_RE33!$S$7:$S$874,$AC$2,BS_RE33!$N$7:$N$874,I5,BS_RE33!$P$7:$P$874,'30 days CF Table(Ccy)'!G5,BS_RE33!$F$7:$F$874,'30 days CF Table(Ccy)'!$C$2),2)</f>
        <v>0</v>
      </c>
      <c r="AD5" s="337">
        <f>ROUND(SUMIFS(BS_RE33!$H$7:$H$874,BS_RE33!$S$7:$S$874,$AD$2,BS_RE33!$N$7:$N$874,I5,BS_RE33!$P$7:$P$874,'30 days CF Table(Ccy)'!G5,BS_RE33!$F$7:$F$874,'30 days CF Table(Ccy)'!$C$2),2)</f>
        <v>0</v>
      </c>
      <c r="AE5" s="337">
        <f>ROUND(SUMIFS(BS_RE33!$H$7:$H$874,BS_RE33!$S$7:$S$874,$AE$2,BS_RE33!$N$7:$N$874,I5,BS_RE33!$P$7:$P$874,'30 days CF Table(Ccy)'!G5,BS_RE33!$F$7:$F$874,'30 days CF Table(Ccy)'!$C$2),2)</f>
        <v>0</v>
      </c>
      <c r="AF5" s="337">
        <f>ROUND(SUMIFS(BS_RE33!$H$7:$H$874,BS_RE33!$S$7:$S$874,$AF$2,BS_RE33!$N$7:$N$874,I5,BS_RE33!$P$7:$P$874,'30 days CF Table(Ccy)'!G5,BS_RE33!$F$7:$F$874,'30 days CF Table(Ccy)'!$C$2),2)</f>
        <v>0</v>
      </c>
      <c r="AG5" s="337">
        <f>ROUND(SUMIFS(BS_RE33!$H$7:$H$874,BS_RE33!$S$7:$S$874,$AG$2,BS_RE33!$N$7:$N$874,I5,BS_RE33!$P$7:$P$874,'30 days CF Table(Ccy)'!G5,BS_RE33!$F$7:$F$874,'30 days CF Table(Ccy)'!$C$2),2)</f>
        <v>0</v>
      </c>
      <c r="AH5" s="337">
        <f>ROUND(SUMIFS(BS_RE33!$H$7:$H$874,BS_RE33!$S$7:$S$874,$AH$2,BS_RE33!$N$7:$N$874,I5,BS_RE33!$P$7:$P$874,'30 days CF Table(Ccy)'!G5,BS_RE33!$F$7:$F$874,'30 days CF Table(Ccy)'!$C$2),2)</f>
        <v>0</v>
      </c>
      <c r="AI5" s="337">
        <f>ROUND(SUMIFS(BS_RE33!$H$7:$H$874,BS_RE33!$S$7:$S$874,$AI$2,BS_RE33!$N$7:$N$874,I5,BS_RE33!$P$7:$P$874,'30 days CF Table(Ccy)'!G5,BS_RE33!$F$7:$F$874,'30 days CF Table(Ccy)'!$C$2),2)</f>
        <v>0</v>
      </c>
      <c r="AJ5" s="337">
        <f>ROUND(SUMIFS(BS_RE33!$H$7:$H$874,BS_RE33!$S$7:$S$874,$AJ$2,BS_RE33!$N$7:$N$874,I5,BS_RE33!$P$7:$P$874,'30 days CF Table(Ccy)'!G5,BS_RE33!$F$7:$F$874,'30 days CF Table(Ccy)'!$C$2),2)</f>
        <v>0</v>
      </c>
      <c r="AK5" s="337">
        <f>ROUND(SUMIFS(BS_RE33!$H$7:$H$874,BS_RE33!$S$7:$S$874,$AK$2,BS_RE33!$N$7:$N$874,I5,BS_RE33!$P$7:$P$874,'30 days CF Table(Ccy)'!G5,BS_RE33!$F$7:$F$874,'30 days CF Table(Ccy)'!$C$2),2)</f>
        <v>0</v>
      </c>
      <c r="AL5" s="337">
        <f>ROUND(SUMIFS(BS_RE33!$H$7:$H$874,BS_RE33!$S$7:$S$874,$AL$2,BS_RE33!$N$7:$N$874,I5,BS_RE33!$P$7:$P$874,'30 days CF Table(Ccy)'!G5,BS_RE33!$F$7:$F$874,'30 days CF Table(Ccy)'!$C$2),2)</f>
        <v>0</v>
      </c>
      <c r="AM5" s="337">
        <f>ROUND(SUMIFS(BS_RE33!$H$7:$H$874,BS_RE33!$S$7:$S$874,$AM$2,BS_RE33!$N$7:$N$874,I5,BS_RE33!$P$7:$P$874,'30 days CF Table(Ccy)'!G5,BS_RE33!$F$7:$F$874,'30 days CF Table(Ccy)'!$C$2),2)</f>
        <v>0</v>
      </c>
      <c r="AN5" s="337">
        <f>ROUND(SUMIFS(BS_RE33!$H$7:$H$874,BS_RE33!$S$7:$S$874,$AN$2,BS_RE33!$N$7:$N$874,I5,BS_RE33!$P$7:$P$874,'30 days CF Table(Ccy)'!G5,BS_RE33!$F$7:$F$874,'30 days CF Table(Ccy)'!$C$2),2)</f>
        <v>0</v>
      </c>
      <c r="AO5" s="337">
        <f>ROUND(SUMIFS(BS_RE33!$H$7:$H$874,BS_RE33!$S$7:$S$874,$AO$2,BS_RE33!$N$7:$N$874,I5,BS_RE33!$P$7:$P$874,'30 days CF Table(Ccy)'!G5,BS_RE33!$F$7:$F$874,'30 days CF Table(Ccy)'!$C$2),2)</f>
        <v>0</v>
      </c>
      <c r="AP5" s="338">
        <f>ROUND(SUMIFS(BS_RE33!$H$7:$H$874,BS_RE33!$S$7:$S$874,$AP$2,BS_RE33!$N$7:$N$874,I5,BS_RE33!$P$7:$P$874,'30 days CF Table(Ccy)'!G5,BS_RE33!$F$7:$F$874,'30 days CF Table(Ccy)'!$C$2),2)</f>
        <v>0</v>
      </c>
      <c r="AQ5" s="545"/>
      <c r="AR5" s="379">
        <f>ROUND(SUMIFS(BS_RE33!$H$7:$H$874,BS_RE33!$S$7:$S$874,$AR$2,BS_RE33!$N$7:$N$874,I5,BS_RE33!$P$7:$P$874,'30 days CF Table(Ccy)'!G5,BS_RE33!$F$7:$F$874,'30 days CF Table(Ccy)'!$C$2),2)</f>
        <v>0</v>
      </c>
      <c r="AS5" s="379">
        <f>ROUND(SUMIFS(BS_RE33!$H$7:$H$874,BS_RE33!$S$7:$S$874,$AS$2,BS_RE33!$N$7:$N$874,I5,BS_RE33!$P$7:$P$874,'30 days CF Table(Ccy)'!G5,BS_RE33!$F$7:$F$874,'30 days CF Table(Ccy)'!$C$2),2)</f>
        <v>0</v>
      </c>
      <c r="AT5" s="379">
        <f>ROUND(SUMIFS(BS_RE33!$H$7:$H$874,BS_RE33!$S$7:$S$874,$AT$2,BS_RE33!$N$7:$N$874,I5,BS_RE33!$P$7:$P$874,'30 days CF Table(Ccy)'!G5,BS_RE33!$F$7:$F$874,'30 days CF Table(Ccy)'!$C$2),2)</f>
        <v>0</v>
      </c>
      <c r="AU5" s="379">
        <f>ROUND(SUMIFS(BS_RE33!$H$7:$H$874,BS_RE33!$S$7:$S$874,$AU$2,BS_RE33!$N$7:$N$874,I5,BS_RE33!$P$7:$P$874,'30 days CF Table(Ccy)'!G5,BS_RE33!$F$7:$F$874,'30 days CF Table(Ccy)'!$C$2),2)</f>
        <v>0</v>
      </c>
      <c r="AV5" s="379">
        <f>ROUND(SUMIFS(BS_RE33!$H$7:$H$874,BS_RE33!$S$7:$S$874,$AV$2,BS_RE33!$N$7:$N$874,I5,BS_RE33!$P$7:$P$874,'30 days CF Table(Ccy)'!G5,BS_RE33!$F$7:$F$874,'30 days CF Table(Ccy)'!$C$2),2)</f>
        <v>0</v>
      </c>
      <c r="AW5" s="379">
        <f>ROUND(SUMIFS(BS_RE33!$H$7:$H$874,BS_RE33!$S$7:$S$874,$AW$2,BS_RE33!$N$7:$N$874,I5,BS_RE33!$P$7:$P$874,'30 days CF Table(Ccy)'!G5,BS_RE33!$F$7:$F$874,'30 days CF Table(Ccy)'!$C$2),2)</f>
        <v>0</v>
      </c>
      <c r="AX5" s="379">
        <f>ROUND(SUMIFS(BS_RE33!$H$7:$H$874,BS_RE33!$S$7:$S$874,$AX$2,BS_RE33!$N$7:$N$874,I5,BS_RE33!$P$7:$P$874,'30 days CF Table(Ccy)'!G5,BS_RE33!$F$7:$F$874,'30 days CF Table(Ccy)'!$C$2),2)</f>
        <v>0</v>
      </c>
      <c r="AY5" s="379">
        <f>ROUND(SUMIFS(BS_RE33!$H$7:$H$874,BS_RE33!$S$7:$S$874,$AY$2,BS_RE33!$N$7:$N$874,I5,BS_RE33!$P$7:$P$874,'30 days CF Table(Ccy)'!G5,BS_RE33!$F$7:$F$874,'30 days CF Table(Ccy)'!$C$2),2)</f>
        <v>0</v>
      </c>
      <c r="AZ5" s="379">
        <f>ROUND(SUMIFS(BS_RE33!$H$7:$H$874,BS_RE33!$S$7:$S$874,$AZ$2,BS_RE33!$N$7:$N$874,I5,BS_RE33!$P$7:$P$874,'30 days CF Table(Ccy)'!G5,BS_RE33!$F$7:$F$874,'30 days CF Table(Ccy)'!$C$2),2)</f>
        <v>0</v>
      </c>
      <c r="BA5" s="379">
        <f>ROUND(SUMIFS(BS_RE33!$H$7:$H$874,BS_RE33!$S$7:$S$874,$BA$2,BS_RE33!$N$7:$N$874,I5,BS_RE33!$P$7:$P$874,'30 days CF Table(Ccy)'!G5,BS_RE33!$F$7:$F$874,'30 days CF Table(Ccy)'!$C$2),2)</f>
        <v>0</v>
      </c>
      <c r="BB5" s="379">
        <f>ROUND(SUMIFS(BS_RE33!$H$7:$H$874,BS_RE33!$S$7:$S$874,$BB$2,BS_RE33!$N$7:$N$874,I5,BS_RE33!$P$7:$P$874,'30 days CF Table(Ccy)'!G5,BS_RE33!$F$7:$F$874,'30 days CF Table(Ccy)'!$C$2),2)</f>
        <v>0</v>
      </c>
      <c r="BC5" s="379">
        <f>ROUND(SUMIFS(BS_RE33!$H$7:$H$874,BS_RE33!$S$7:$S$874,$BC$2,BS_RE33!$N$7:$N$874,I5,BS_RE33!$P$7:$P$874,'30 days CF Table(Ccy)'!G5,BS_RE33!$F$7:$F$874,'30 days CF Table(Ccy)'!$C$2),2)</f>
        <v>0</v>
      </c>
      <c r="BD5" s="379">
        <f>ROUND(SUMIFS(BS_RE33!$H$7:$H$874,BS_RE33!$S$7:$S$874,$BD$2,BS_RE33!$N$7:$N$874,I5,BS_RE33!$P$7:$P$874,'30 days CF Table(Ccy)'!G5,BS_RE33!$F$7:$F$874,'30 days CF Table(Ccy)'!$C$2),2)</f>
        <v>0</v>
      </c>
      <c r="BE5" s="379">
        <f>ROUND(SUMIFS(BS_RE33!$H$7:$H$874,BS_RE33!$S$7:$S$874,$BE$2,BS_RE33!$N$7:$N$874,I5,BS_RE33!$P$7:$P$874,'30 days CF Table(Ccy)'!G5,BS_RE33!$F$7:$F$874,'30 days CF Table(Ccy)'!$C$2),2)</f>
        <v>0</v>
      </c>
      <c r="BF5" s="379">
        <f>ROUND(SUMIFS(BS_RE33!$H$7:$H$874,BS_RE33!$S$7:$S$874,$BF$2,BS_RE33!$N$7:$N$874,I5,BS_RE33!$P$7:$P$874,'30 days CF Table(Ccy)'!G5,BS_RE33!$F$7:$F$874,'30 days CF Table(Ccy)'!$C$2),2)</f>
        <v>0</v>
      </c>
      <c r="BG5" s="379">
        <f>ROUND(SUMIFS(BS_RE33!$H$7:$H$874,BS_RE33!$S$7:$S$874,$BG$2,BS_RE33!$N$7:$N$874,I5,BS_RE33!$P$7:$P$874,'30 days CF Table(Ccy)'!G5,BS_RE33!$F$7:$F$874,'30 days CF Table(Ccy)'!$C$2),2)</f>
        <v>0</v>
      </c>
      <c r="BH5" s="379">
        <f>ROUND(SUMIFS(BS_RE33!$H$7:$H$874,BS_RE33!$S$7:$S$874,$BH$2,BS_RE33!$N$7:$N$874,I5,BS_RE33!$P$7:$P$874,'30 days CF Table(Ccy)'!G5,BS_RE33!$F$7:$F$874,'30 days CF Table(Ccy)'!$C$2),2)</f>
        <v>0</v>
      </c>
      <c r="BI5" s="379">
        <f>ROUND(SUMIFS(BS_RE33!$H$7:$H$874,BS_RE33!$S$7:$S$874,$BI$2,BS_RE33!$N$7:$N$874,I5,BS_RE33!$P$7:$P$874,'30 days CF Table(Ccy)'!G5,BS_RE33!$F$7:$F$874,'30 days CF Table(Ccy)'!$C$2),2)</f>
        <v>0</v>
      </c>
      <c r="BJ5" s="379">
        <f>ROUND(SUMIFS(BS_RE33!$H$7:$H$874,BS_RE33!$S$7:$S$874,$BJ$2,BS_RE33!$N$7:$N$874,I5,BS_RE33!$P$7:$P$874,'30 days CF Table(Ccy)'!G5,BS_RE33!$F$7:$F$874,'30 days CF Table(Ccy)'!$C$2),2)</f>
        <v>0</v>
      </c>
      <c r="BK5" s="379">
        <f>ROUND(SUMIFS(BS_RE33!$H$7:$H$874,BS_RE33!$S$7:$S$874,$BK$2,BS_RE33!$N$7:$N$874,I5,BS_RE33!$P$7:$P$874,'30 days CF Table(Ccy)'!G5,BS_RE33!$F$7:$F$874,'30 days CF Table(Ccy)'!$C$2),2)</f>
        <v>0</v>
      </c>
    </row>
    <row r="6" spans="1:63" ht="20.25">
      <c r="C6" s="1029"/>
      <c r="D6" s="332" t="s">
        <v>737</v>
      </c>
      <c r="E6" s="310" t="s">
        <v>546</v>
      </c>
      <c r="F6" s="309"/>
      <c r="G6" s="392" t="s">
        <v>547</v>
      </c>
      <c r="H6" s="130">
        <v>1</v>
      </c>
      <c r="I6" s="305" t="s">
        <v>63</v>
      </c>
      <c r="J6" s="477">
        <f t="shared" si="2"/>
        <v>0</v>
      </c>
      <c r="K6" s="335">
        <f t="shared" si="3"/>
        <v>0</v>
      </c>
      <c r="L6" s="337">
        <f>ROUND(SUMIFS(BS_RE33!$H$7:$H$874,BS_RE33!$S$7:$S$874,$L$2,BS_RE33!$N$7:$N$874,I6,BS_RE33!$P$7:$P$874,'30 days CF Table(Ccy)'!G6,BS_RE33!$F$7:$F$874,'30 days CF Table(Ccy)'!$C$2),2)</f>
        <v>0</v>
      </c>
      <c r="M6" s="337">
        <f>ROUND(SUMIFS(BS_RE33!$H$7:$H$874,BS_RE33!$S$7:$S$874,$M$2,BS_RE33!$N$7:$N$874,I6,BS_RE33!$P$7:$P$874,'30 days CF Table(Ccy)'!G6,BS_RE33!$F$7:$F$874,'30 days CF Table(Ccy)'!$C$2),2)</f>
        <v>0</v>
      </c>
      <c r="N6" s="337">
        <f>ROUND(SUMIFS(BS_RE33!$H$7:$H$874,BS_RE33!$S$7:$S$874,$N$2,BS_RE33!$N$7:$N$874,I6,BS_RE33!$P$7:$P$874,'30 days CF Table(Ccy)'!G6,BS_RE33!$F$7:$F$874,'30 days CF Table(Ccy)'!$C$2),2)</f>
        <v>0</v>
      </c>
      <c r="O6" s="337">
        <f>ROUND(SUMIFS(BS_RE33!$H$7:$H$874,BS_RE33!$S$7:$S$874,$O$2,BS_RE33!$N$7:$N$874,I6,BS_RE33!$P$7:$P$874,'30 days CF Table(Ccy)'!G6,BS_RE33!$F$7:$F$874,'30 days CF Table(Ccy)'!$C$2),2)</f>
        <v>0</v>
      </c>
      <c r="P6" s="337">
        <f>ROUND(SUMIFS(BS_RE33!$H$7:$H$874,BS_RE33!$S$7:$S$874,$P$2,BS_RE33!$N$7:$N$874,I6,BS_RE33!$P$7:$P$874,'30 days CF Table(Ccy)'!G6,BS_RE33!$F$7:$F$874,'30 days CF Table(Ccy)'!$C$2),2)</f>
        <v>0</v>
      </c>
      <c r="Q6" s="337">
        <f>ROUND(SUMIFS(BS_RE33!$H$7:$H$874,BS_RE33!$S$7:$S$874,$Q$2,BS_RE33!$N$7:$N$874,I6,BS_RE33!$P$7:$P$874,'30 days CF Table(Ccy)'!G6,BS_RE33!$F$7:$F$874,'30 days CF Table(Ccy)'!$C$2),2)</f>
        <v>0</v>
      </c>
      <c r="R6" s="337">
        <f>ROUND(SUMIFS(BS_RE33!$H$7:$H$874,BS_RE33!$S$7:$S$874,$R$2,BS_RE33!$N$7:$N$874,I6,BS_RE33!$P$7:$P$874,'30 days CF Table(Ccy)'!G6,BS_RE33!$F$7:$F$874,'30 days CF Table(Ccy)'!$C$2),2)</f>
        <v>0</v>
      </c>
      <c r="S6" s="337">
        <f>ROUND(SUMIFS(BS_RE33!$H$7:$H$874,BS_RE33!$S$7:$S$874,$S$2,BS_RE33!$N$7:$N$874,I6,BS_RE33!$P$7:$P$874,'30 days CF Table(Ccy)'!G6,BS_RE33!$F$7:$F$874,'30 days CF Table(Ccy)'!$C$2),2)</f>
        <v>0</v>
      </c>
      <c r="T6" s="337">
        <f>ROUND(SUMIFS(BS_RE33!$H$7:$H$874,BS_RE33!$S$7:$S$874,$T$2,BS_RE33!$N$7:$N$874,I6,BS_RE33!$P$7:$P$874,'30 days CF Table(Ccy)'!G6,BS_RE33!$F$7:$F$874,'30 days CF Table(Ccy)'!$C$2),2)</f>
        <v>0</v>
      </c>
      <c r="U6" s="337">
        <f>ROUND(SUMIFS(BS_RE33!$H$7:$H$874,BS_RE33!$S$7:$S$874,$U$2,BS_RE33!$N$7:$N$874,I6,BS_RE33!$P$7:$P$874,'30 days CF Table(Ccy)'!G6,BS_RE33!$F$7:$F$874,'30 days CF Table(Ccy)'!$C$2),2)</f>
        <v>0</v>
      </c>
      <c r="V6" s="337">
        <f>ROUND(SUMIFS(BS_RE33!$H$7:$H$874,BS_RE33!$S$7:$S$874,$V$2,BS_RE33!$N$7:$N$874,I6,BS_RE33!$P$7:$P$874,'30 days CF Table(Ccy)'!G6,BS_RE33!$F$7:$F$874,'30 days CF Table(Ccy)'!$C$2),2)</f>
        <v>0</v>
      </c>
      <c r="W6" s="337">
        <f>ROUND(SUMIFS(BS_RE33!$H$7:$H$874,BS_RE33!$S$7:$S$874,$W$2,BS_RE33!$N$7:$N$874,I6,BS_RE33!$P$7:$P$874,'30 days CF Table(Ccy)'!G6,BS_RE33!$F$7:$F$874,'30 days CF Table(Ccy)'!$C$2),2)</f>
        <v>0</v>
      </c>
      <c r="X6" s="337">
        <f>ROUND(SUMIFS(BS_RE33!$H$7:$H$874,BS_RE33!$S$7:$S$874,$X$2,BS_RE33!$N$7:$N$874,I6,BS_RE33!$P$7:$P$874,'30 days CF Table(Ccy)'!G6,BS_RE33!$F$7:$F$874,'30 days CF Table(Ccy)'!$C$2),2)</f>
        <v>0</v>
      </c>
      <c r="Y6" s="337">
        <f>ROUND(SUMIFS(BS_RE33!$H$7:$H$874,BS_RE33!$S$7:$S$874,$Y$2,BS_RE33!$N$7:$N$874,I6,BS_RE33!$P$7:$P$874,'30 days CF Table(Ccy)'!G6,BS_RE33!$F$7:$F$874,'30 days CF Table(Ccy)'!$C$2),2)</f>
        <v>0</v>
      </c>
      <c r="Z6" s="337">
        <f>ROUND(SUMIFS(BS_RE33!$H$7:$H$874,BS_RE33!$S$7:$S$874,$Z$2,BS_RE33!$N$7:$N$874,I6,BS_RE33!$P$7:$P$874,'30 days CF Table(Ccy)'!G6,BS_RE33!$F$7:$F$874,'30 days CF Table(Ccy)'!$C$2),2)</f>
        <v>0</v>
      </c>
      <c r="AA6" s="337">
        <f>ROUND(SUMIFS(BS_RE33!$H$7:$H$874,BS_RE33!$S$7:$S$874,$AA$2,BS_RE33!$N$7:$N$874,I6,BS_RE33!$P$7:$P$874,'30 days CF Table(Ccy)'!G6,BS_RE33!$F$7:$F$874,'30 days CF Table(Ccy)'!$C$2),2)</f>
        <v>0</v>
      </c>
      <c r="AB6" s="337">
        <f>ROUND(SUMIFS(BS_RE33!$H$7:$H$874,BS_RE33!$S$7:$S$874,$AB$2,BS_RE33!$N$7:$N$874,I6,BS_RE33!$P$7:$P$874,'30 days CF Table(Ccy)'!G6,BS_RE33!$F$7:$F$874,'30 days CF Table(Ccy)'!$C$2),2)</f>
        <v>0</v>
      </c>
      <c r="AC6" s="337">
        <f>ROUND(SUMIFS(BS_RE33!$H$7:$H$874,BS_RE33!$S$7:$S$874,$AC$2,BS_RE33!$N$7:$N$874,I6,BS_RE33!$P$7:$P$874,'30 days CF Table(Ccy)'!G6,BS_RE33!$F$7:$F$874,'30 days CF Table(Ccy)'!$C$2),2)</f>
        <v>0</v>
      </c>
      <c r="AD6" s="337">
        <f>ROUND(SUMIFS(BS_RE33!$H$7:$H$874,BS_RE33!$S$7:$S$874,$AD$2,BS_RE33!$N$7:$N$874,I6,BS_RE33!$P$7:$P$874,'30 days CF Table(Ccy)'!G6,BS_RE33!$F$7:$F$874,'30 days CF Table(Ccy)'!$C$2),2)</f>
        <v>0</v>
      </c>
      <c r="AE6" s="337">
        <f>ROUND(SUMIFS(BS_RE33!$H$7:$H$874,BS_RE33!$S$7:$S$874,$AE$2,BS_RE33!$N$7:$N$874,I6,BS_RE33!$P$7:$P$874,'30 days CF Table(Ccy)'!G6,BS_RE33!$F$7:$F$874,'30 days CF Table(Ccy)'!$C$2),2)</f>
        <v>0</v>
      </c>
      <c r="AF6" s="337">
        <f>ROUND(SUMIFS(BS_RE33!$H$7:$H$874,BS_RE33!$S$7:$S$874,$AF$2,BS_RE33!$N$7:$N$874,I6,BS_RE33!$P$7:$P$874,'30 days CF Table(Ccy)'!G6,BS_RE33!$F$7:$F$874,'30 days CF Table(Ccy)'!$C$2),2)</f>
        <v>0</v>
      </c>
      <c r="AG6" s="337">
        <f>ROUND(SUMIFS(BS_RE33!$H$7:$H$874,BS_RE33!$S$7:$S$874,$AG$2,BS_RE33!$N$7:$N$874,I6,BS_RE33!$P$7:$P$874,'30 days CF Table(Ccy)'!G6,BS_RE33!$F$7:$F$874,'30 days CF Table(Ccy)'!$C$2),2)</f>
        <v>0</v>
      </c>
      <c r="AH6" s="337">
        <f>ROUND(SUMIFS(BS_RE33!$H$7:$H$874,BS_RE33!$S$7:$S$874,$AH$2,BS_RE33!$N$7:$N$874,I6,BS_RE33!$P$7:$P$874,'30 days CF Table(Ccy)'!G6,BS_RE33!$F$7:$F$874,'30 days CF Table(Ccy)'!$C$2),2)</f>
        <v>0</v>
      </c>
      <c r="AI6" s="337">
        <f>ROUND(SUMIFS(BS_RE33!$H$7:$H$874,BS_RE33!$S$7:$S$874,$AI$2,BS_RE33!$N$7:$N$874,I6,BS_RE33!$P$7:$P$874,'30 days CF Table(Ccy)'!G6,BS_RE33!$F$7:$F$874,'30 days CF Table(Ccy)'!$C$2),2)</f>
        <v>0</v>
      </c>
      <c r="AJ6" s="337">
        <f>ROUND(SUMIFS(BS_RE33!$H$7:$H$874,BS_RE33!$S$7:$S$874,$AJ$2,BS_RE33!$N$7:$N$874,I6,BS_RE33!$P$7:$P$874,'30 days CF Table(Ccy)'!G6,BS_RE33!$F$7:$F$874,'30 days CF Table(Ccy)'!$C$2),2)</f>
        <v>0</v>
      </c>
      <c r="AK6" s="337">
        <f>ROUND(SUMIFS(BS_RE33!$H$7:$H$874,BS_RE33!$S$7:$S$874,$AK$2,BS_RE33!$N$7:$N$874,I6,BS_RE33!$P$7:$P$874,'30 days CF Table(Ccy)'!G6,BS_RE33!$F$7:$F$874,'30 days CF Table(Ccy)'!$C$2),2)</f>
        <v>0</v>
      </c>
      <c r="AL6" s="337">
        <f>ROUND(SUMIFS(BS_RE33!$H$7:$H$874,BS_RE33!$S$7:$S$874,$AL$2,BS_RE33!$N$7:$N$874,I6,BS_RE33!$P$7:$P$874,'30 days CF Table(Ccy)'!G6,BS_RE33!$F$7:$F$874,'30 days CF Table(Ccy)'!$C$2),2)</f>
        <v>0</v>
      </c>
      <c r="AM6" s="337">
        <f>ROUND(SUMIFS(BS_RE33!$H$7:$H$874,BS_RE33!$S$7:$S$874,$AM$2,BS_RE33!$N$7:$N$874,I6,BS_RE33!$P$7:$P$874,'30 days CF Table(Ccy)'!G6,BS_RE33!$F$7:$F$874,'30 days CF Table(Ccy)'!$C$2),2)</f>
        <v>0</v>
      </c>
      <c r="AN6" s="337">
        <f>ROUND(SUMIFS(BS_RE33!$H$7:$H$874,BS_RE33!$S$7:$S$874,$AN$2,BS_RE33!$N$7:$N$874,I6,BS_RE33!$P$7:$P$874,'30 days CF Table(Ccy)'!G6,BS_RE33!$F$7:$F$874,'30 days CF Table(Ccy)'!$C$2),2)</f>
        <v>0</v>
      </c>
      <c r="AO6" s="337">
        <f>ROUND(SUMIFS(BS_RE33!$H$7:$H$874,BS_RE33!$S$7:$S$874,$AO$2,BS_RE33!$N$7:$N$874,I6,BS_RE33!$P$7:$P$874,'30 days CF Table(Ccy)'!G6,BS_RE33!$F$7:$F$874,'30 days CF Table(Ccy)'!$C$2),2)</f>
        <v>0</v>
      </c>
      <c r="AP6" s="338">
        <f>ROUND(SUMIFS(BS_RE33!$H$7:$H$874,BS_RE33!$S$7:$S$874,$AP$2,BS_RE33!$N$7:$N$874,I6,BS_RE33!$P$7:$P$874,'30 days CF Table(Ccy)'!G6,BS_RE33!$F$7:$F$874,'30 days CF Table(Ccy)'!$C$2),2)</f>
        <v>0</v>
      </c>
      <c r="AQ6" s="545"/>
      <c r="AR6" s="379">
        <f>ROUND(SUMIFS(BS_RE33!$H$7:$H$874,BS_RE33!$S$7:$S$874,$AR$2,BS_RE33!$N$7:$N$874,I6,BS_RE33!$P$7:$P$874,'30 days CF Table(Ccy)'!G6,BS_RE33!$F$7:$F$874,'30 days CF Table(Ccy)'!$C$2),2)</f>
        <v>0</v>
      </c>
      <c r="AS6" s="379">
        <f>ROUND(SUMIFS(BS_RE33!$H$7:$H$874,BS_RE33!$S$7:$S$874,$AS$2,BS_RE33!$N$7:$N$874,I6,BS_RE33!$P$7:$P$874,'30 days CF Table(Ccy)'!G6,BS_RE33!$F$7:$F$874,'30 days CF Table(Ccy)'!$C$2),2)</f>
        <v>0</v>
      </c>
      <c r="AT6" s="379">
        <f>ROUND(SUMIFS(BS_RE33!$H$7:$H$874,BS_RE33!$S$7:$S$874,$AT$2,BS_RE33!$N$7:$N$874,I6,BS_RE33!$P$7:$P$874,'30 days CF Table(Ccy)'!G6,BS_RE33!$F$7:$F$874,'30 days CF Table(Ccy)'!$C$2),2)</f>
        <v>0</v>
      </c>
      <c r="AU6" s="379">
        <f>ROUND(SUMIFS(BS_RE33!$H$7:$H$874,BS_RE33!$S$7:$S$874,$AU$2,BS_RE33!$N$7:$N$874,I6,BS_RE33!$P$7:$P$874,'30 days CF Table(Ccy)'!G6,BS_RE33!$F$7:$F$874,'30 days CF Table(Ccy)'!$C$2),2)</f>
        <v>0</v>
      </c>
      <c r="AV6" s="379">
        <f>ROUND(SUMIFS(BS_RE33!$H$7:$H$874,BS_RE33!$S$7:$S$874,$AV$2,BS_RE33!$N$7:$N$874,I6,BS_RE33!$P$7:$P$874,'30 days CF Table(Ccy)'!G6,BS_RE33!$F$7:$F$874,'30 days CF Table(Ccy)'!$C$2),2)</f>
        <v>0</v>
      </c>
      <c r="AW6" s="379">
        <f>ROUND(SUMIFS(BS_RE33!$H$7:$H$874,BS_RE33!$S$7:$S$874,$AW$2,BS_RE33!$N$7:$N$874,I6,BS_RE33!$P$7:$P$874,'30 days CF Table(Ccy)'!G6,BS_RE33!$F$7:$F$874,'30 days CF Table(Ccy)'!$C$2),2)</f>
        <v>0</v>
      </c>
      <c r="AX6" s="379">
        <f>ROUND(SUMIFS(BS_RE33!$H$7:$H$874,BS_RE33!$S$7:$S$874,$AX$2,BS_RE33!$N$7:$N$874,I6,BS_RE33!$P$7:$P$874,'30 days CF Table(Ccy)'!G6,BS_RE33!$F$7:$F$874,'30 days CF Table(Ccy)'!$C$2),2)</f>
        <v>0</v>
      </c>
      <c r="AY6" s="379">
        <f>ROUND(SUMIFS(BS_RE33!$H$7:$H$874,BS_RE33!$S$7:$S$874,$AY$2,BS_RE33!$N$7:$N$874,I6,BS_RE33!$P$7:$P$874,'30 days CF Table(Ccy)'!G6,BS_RE33!$F$7:$F$874,'30 days CF Table(Ccy)'!$C$2),2)</f>
        <v>0</v>
      </c>
      <c r="AZ6" s="379">
        <f>ROUND(SUMIFS(BS_RE33!$H$7:$H$874,BS_RE33!$S$7:$S$874,$AZ$2,BS_RE33!$N$7:$N$874,I6,BS_RE33!$P$7:$P$874,'30 days CF Table(Ccy)'!G6,BS_RE33!$F$7:$F$874,'30 days CF Table(Ccy)'!$C$2),2)</f>
        <v>0</v>
      </c>
      <c r="BA6" s="379">
        <f>ROUND(SUMIFS(BS_RE33!$H$7:$H$874,BS_RE33!$S$7:$S$874,$BA$2,BS_RE33!$N$7:$N$874,I6,BS_RE33!$P$7:$P$874,'30 days CF Table(Ccy)'!G6,BS_RE33!$F$7:$F$874,'30 days CF Table(Ccy)'!$C$2),2)</f>
        <v>0</v>
      </c>
      <c r="BB6" s="379">
        <f>ROUND(SUMIFS(BS_RE33!$H$7:$H$874,BS_RE33!$S$7:$S$874,$BB$2,BS_RE33!$N$7:$N$874,I6,BS_RE33!$P$7:$P$874,'30 days CF Table(Ccy)'!G6,BS_RE33!$F$7:$F$874,'30 days CF Table(Ccy)'!$C$2),2)</f>
        <v>0</v>
      </c>
      <c r="BC6" s="379">
        <f>ROUND(SUMIFS(BS_RE33!$H$7:$H$874,BS_RE33!$S$7:$S$874,$BC$2,BS_RE33!$N$7:$N$874,I6,BS_RE33!$P$7:$P$874,'30 days CF Table(Ccy)'!G6,BS_RE33!$F$7:$F$874,'30 days CF Table(Ccy)'!$C$2),2)</f>
        <v>0</v>
      </c>
      <c r="BD6" s="379">
        <f>ROUND(SUMIFS(BS_RE33!$H$7:$H$874,BS_RE33!$S$7:$S$874,$BD$2,BS_RE33!$N$7:$N$874,I6,BS_RE33!$P$7:$P$874,'30 days CF Table(Ccy)'!G6,BS_RE33!$F$7:$F$874,'30 days CF Table(Ccy)'!$C$2),2)</f>
        <v>0</v>
      </c>
      <c r="BE6" s="379">
        <f>ROUND(SUMIFS(BS_RE33!$H$7:$H$874,BS_RE33!$S$7:$S$874,$BE$2,BS_RE33!$N$7:$N$874,I6,BS_RE33!$P$7:$P$874,'30 days CF Table(Ccy)'!G6,BS_RE33!$F$7:$F$874,'30 days CF Table(Ccy)'!$C$2),2)</f>
        <v>0</v>
      </c>
      <c r="BF6" s="379">
        <f>ROUND(SUMIFS(BS_RE33!$H$7:$H$874,BS_RE33!$S$7:$S$874,$BF$2,BS_RE33!$N$7:$N$874,I6,BS_RE33!$P$7:$P$874,'30 days CF Table(Ccy)'!G6,BS_RE33!$F$7:$F$874,'30 days CF Table(Ccy)'!$C$2),2)</f>
        <v>0</v>
      </c>
      <c r="BG6" s="379">
        <f>ROUND(SUMIFS(BS_RE33!$H$7:$H$874,BS_RE33!$S$7:$S$874,$BG$2,BS_RE33!$N$7:$N$874,I6,BS_RE33!$P$7:$P$874,'30 days CF Table(Ccy)'!G6,BS_RE33!$F$7:$F$874,'30 days CF Table(Ccy)'!$C$2),2)</f>
        <v>0</v>
      </c>
      <c r="BH6" s="379">
        <f>ROUND(SUMIFS(BS_RE33!$H$7:$H$874,BS_RE33!$S$7:$S$874,$BH$2,BS_RE33!$N$7:$N$874,I6,BS_RE33!$P$7:$P$874,'30 days CF Table(Ccy)'!G6,BS_RE33!$F$7:$F$874,'30 days CF Table(Ccy)'!$C$2),2)</f>
        <v>0</v>
      </c>
      <c r="BI6" s="379">
        <f>ROUND(SUMIFS(BS_RE33!$H$7:$H$874,BS_RE33!$S$7:$S$874,$BI$2,BS_RE33!$N$7:$N$874,I6,BS_RE33!$P$7:$P$874,'30 days CF Table(Ccy)'!G6,BS_RE33!$F$7:$F$874,'30 days CF Table(Ccy)'!$C$2),2)</f>
        <v>0</v>
      </c>
      <c r="BJ6" s="379">
        <f>ROUND(SUMIFS(BS_RE33!$H$7:$H$874,BS_RE33!$S$7:$S$874,$BJ$2,BS_RE33!$N$7:$N$874,I6,BS_RE33!$P$7:$P$874,'30 days CF Table(Ccy)'!G6,BS_RE33!$F$7:$F$874,'30 days CF Table(Ccy)'!$C$2),2)</f>
        <v>0</v>
      </c>
      <c r="BK6" s="379">
        <f>ROUND(SUMIFS(BS_RE33!$H$7:$H$874,BS_RE33!$S$7:$S$874,$BK$2,BS_RE33!$N$7:$N$874,I6,BS_RE33!$P$7:$P$874,'30 days CF Table(Ccy)'!G6,BS_RE33!$F$7:$F$874,'30 days CF Table(Ccy)'!$C$2),2)</f>
        <v>0</v>
      </c>
    </row>
    <row r="7" spans="1:63">
      <c r="C7" s="1029"/>
      <c r="D7" s="1030" t="s">
        <v>739</v>
      </c>
      <c r="E7" s="306" t="s">
        <v>69</v>
      </c>
      <c r="F7" s="560" t="s">
        <v>491</v>
      </c>
      <c r="G7" s="392" t="s">
        <v>497</v>
      </c>
      <c r="H7" s="130">
        <v>0.5</v>
      </c>
      <c r="I7" s="305" t="s">
        <v>63</v>
      </c>
      <c r="J7" s="477">
        <f t="shared" si="2"/>
        <v>0</v>
      </c>
      <c r="K7" s="335">
        <f t="shared" si="3"/>
        <v>0</v>
      </c>
      <c r="L7" s="337">
        <f>ROUND(SUMIFS(BS_RE33!$H$7:$H$874,BS_RE33!$S$7:$S$874,$L$2,BS_RE33!$N$7:$N$874,I7,BS_RE33!$P$7:$P$874,'30 days CF Table(Ccy)'!G7,BS_RE33!$F$7:$F$874,'30 days CF Table(Ccy)'!$C$2),2)</f>
        <v>0</v>
      </c>
      <c r="M7" s="337">
        <f>ROUND(SUMIFS(BS_RE33!$H$7:$H$874,BS_RE33!$S$7:$S$874,$M$2,BS_RE33!$N$7:$N$874,I7,BS_RE33!$P$7:$P$874,'30 days CF Table(Ccy)'!G7,BS_RE33!$F$7:$F$874,'30 days CF Table(Ccy)'!$C$2),2)</f>
        <v>0</v>
      </c>
      <c r="N7" s="337">
        <f>ROUND(SUMIFS(BS_RE33!$H$7:$H$874,BS_RE33!$S$7:$S$874,$N$2,BS_RE33!$N$7:$N$874,I7,BS_RE33!$P$7:$P$874,'30 days CF Table(Ccy)'!G7,BS_RE33!$F$7:$F$874,'30 days CF Table(Ccy)'!$C$2),2)</f>
        <v>0</v>
      </c>
      <c r="O7" s="337">
        <f>ROUND(SUMIFS(BS_RE33!$H$7:$H$874,BS_RE33!$S$7:$S$874,$O$2,BS_RE33!$N$7:$N$874,I7,BS_RE33!$P$7:$P$874,'30 days CF Table(Ccy)'!G7,BS_RE33!$F$7:$F$874,'30 days CF Table(Ccy)'!$C$2),2)</f>
        <v>0</v>
      </c>
      <c r="P7" s="337">
        <f>ROUND(SUMIFS(BS_RE33!$H$7:$H$874,BS_RE33!$S$7:$S$874,$P$2,BS_RE33!$N$7:$N$874,I7,BS_RE33!$P$7:$P$874,'30 days CF Table(Ccy)'!G7,BS_RE33!$F$7:$F$874,'30 days CF Table(Ccy)'!$C$2),2)</f>
        <v>0</v>
      </c>
      <c r="Q7" s="337">
        <f>ROUND(SUMIFS(BS_RE33!$H$7:$H$874,BS_RE33!$S$7:$S$874,$Q$2,BS_RE33!$N$7:$N$874,I7,BS_RE33!$P$7:$P$874,'30 days CF Table(Ccy)'!G7,BS_RE33!$F$7:$F$874,'30 days CF Table(Ccy)'!$C$2),2)</f>
        <v>0</v>
      </c>
      <c r="R7" s="337">
        <f>ROUND(SUMIFS(BS_RE33!$H$7:$H$874,BS_RE33!$S$7:$S$874,$R$2,BS_RE33!$N$7:$N$874,I7,BS_RE33!$P$7:$P$874,'30 days CF Table(Ccy)'!G7,BS_RE33!$F$7:$F$874,'30 days CF Table(Ccy)'!$C$2),2)</f>
        <v>0</v>
      </c>
      <c r="S7" s="337">
        <f>ROUND(SUMIFS(BS_RE33!$H$7:$H$874,BS_RE33!$S$7:$S$874,$S$2,BS_RE33!$N$7:$N$874,I7,BS_RE33!$P$7:$P$874,'30 days CF Table(Ccy)'!G7,BS_RE33!$F$7:$F$874,'30 days CF Table(Ccy)'!$C$2),2)</f>
        <v>0</v>
      </c>
      <c r="T7" s="337">
        <f>ROUND(SUMIFS(BS_RE33!$H$7:$H$874,BS_RE33!$S$7:$S$874,$T$2,BS_RE33!$N$7:$N$874,I7,BS_RE33!$P$7:$P$874,'30 days CF Table(Ccy)'!G7,BS_RE33!$F$7:$F$874,'30 days CF Table(Ccy)'!$C$2),2)</f>
        <v>0</v>
      </c>
      <c r="U7" s="337">
        <f>ROUND(SUMIFS(BS_RE33!$H$7:$H$874,BS_RE33!$S$7:$S$874,$U$2,BS_RE33!$N$7:$N$874,I7,BS_RE33!$P$7:$P$874,'30 days CF Table(Ccy)'!G7,BS_RE33!$F$7:$F$874,'30 days CF Table(Ccy)'!$C$2),2)</f>
        <v>0</v>
      </c>
      <c r="V7" s="337">
        <f>ROUND(SUMIFS(BS_RE33!$H$7:$H$874,BS_RE33!$S$7:$S$874,$V$2,BS_RE33!$N$7:$N$874,I7,BS_RE33!$P$7:$P$874,'30 days CF Table(Ccy)'!G7,BS_RE33!$F$7:$F$874,'30 days CF Table(Ccy)'!$C$2),2)</f>
        <v>0</v>
      </c>
      <c r="W7" s="337">
        <f>ROUND(SUMIFS(BS_RE33!$H$7:$H$874,BS_RE33!$S$7:$S$874,$W$2,BS_RE33!$N$7:$N$874,I7,BS_RE33!$P$7:$P$874,'30 days CF Table(Ccy)'!G7,BS_RE33!$F$7:$F$874,'30 days CF Table(Ccy)'!$C$2),2)</f>
        <v>0</v>
      </c>
      <c r="X7" s="337">
        <f>ROUND(SUMIFS(BS_RE33!$H$7:$H$874,BS_RE33!$S$7:$S$874,$X$2,BS_RE33!$N$7:$N$874,I7,BS_RE33!$P$7:$P$874,'30 days CF Table(Ccy)'!G7,BS_RE33!$F$7:$F$874,'30 days CF Table(Ccy)'!$C$2),2)</f>
        <v>0</v>
      </c>
      <c r="Y7" s="337">
        <f>ROUND(SUMIFS(BS_RE33!$H$7:$H$874,BS_RE33!$S$7:$S$874,$Y$2,BS_RE33!$N$7:$N$874,I7,BS_RE33!$P$7:$P$874,'30 days CF Table(Ccy)'!G7,BS_RE33!$F$7:$F$874,'30 days CF Table(Ccy)'!$C$2),2)</f>
        <v>0</v>
      </c>
      <c r="Z7" s="337">
        <f>ROUND(SUMIFS(BS_RE33!$H$7:$H$874,BS_RE33!$S$7:$S$874,$Z$2,BS_RE33!$N$7:$N$874,I7,BS_RE33!$P$7:$P$874,'30 days CF Table(Ccy)'!G7,BS_RE33!$F$7:$F$874,'30 days CF Table(Ccy)'!$C$2),2)</f>
        <v>0</v>
      </c>
      <c r="AA7" s="337">
        <f>ROUND(SUMIFS(BS_RE33!$H$7:$H$874,BS_RE33!$S$7:$S$874,$AA$2,BS_RE33!$N$7:$N$874,I7,BS_RE33!$P$7:$P$874,'30 days CF Table(Ccy)'!G7,BS_RE33!$F$7:$F$874,'30 days CF Table(Ccy)'!$C$2),2)</f>
        <v>0</v>
      </c>
      <c r="AB7" s="337">
        <f>ROUND(SUMIFS(BS_RE33!$H$7:$H$874,BS_RE33!$S$7:$S$874,$AB$2,BS_RE33!$N$7:$N$874,I7,BS_RE33!$P$7:$P$874,'30 days CF Table(Ccy)'!G7,BS_RE33!$F$7:$F$874,'30 days CF Table(Ccy)'!$C$2),2)</f>
        <v>0</v>
      </c>
      <c r="AC7" s="337">
        <f>ROUND(SUMIFS(BS_RE33!$H$7:$H$874,BS_RE33!$S$7:$S$874,$AC$2,BS_RE33!$N$7:$N$874,I7,BS_RE33!$P$7:$P$874,'30 days CF Table(Ccy)'!G7,BS_RE33!$F$7:$F$874,'30 days CF Table(Ccy)'!$C$2),2)</f>
        <v>0</v>
      </c>
      <c r="AD7" s="337">
        <f>ROUND(SUMIFS(BS_RE33!$H$7:$H$874,BS_RE33!$S$7:$S$874,$AD$2,BS_RE33!$N$7:$N$874,I7,BS_RE33!$P$7:$P$874,'30 days CF Table(Ccy)'!G7,BS_RE33!$F$7:$F$874,'30 days CF Table(Ccy)'!$C$2),2)</f>
        <v>0</v>
      </c>
      <c r="AE7" s="337">
        <f>ROUND(SUMIFS(BS_RE33!$H$7:$H$874,BS_RE33!$S$7:$S$874,$AE$2,BS_RE33!$N$7:$N$874,I7,BS_RE33!$P$7:$P$874,'30 days CF Table(Ccy)'!G7,BS_RE33!$F$7:$F$874,'30 days CF Table(Ccy)'!$C$2),2)</f>
        <v>0</v>
      </c>
      <c r="AF7" s="337">
        <f>ROUND(SUMIFS(BS_RE33!$H$7:$H$874,BS_RE33!$S$7:$S$874,$AF$2,BS_RE33!$N$7:$N$874,I7,BS_RE33!$P$7:$P$874,'30 days CF Table(Ccy)'!G7,BS_RE33!$F$7:$F$874,'30 days CF Table(Ccy)'!$C$2),2)</f>
        <v>0</v>
      </c>
      <c r="AG7" s="337">
        <f>ROUND(SUMIFS(BS_RE33!$H$7:$H$874,BS_RE33!$S$7:$S$874,$AG$2,BS_RE33!$N$7:$N$874,I7,BS_RE33!$P$7:$P$874,'30 days CF Table(Ccy)'!G7,BS_RE33!$F$7:$F$874,'30 days CF Table(Ccy)'!$C$2),2)</f>
        <v>0</v>
      </c>
      <c r="AH7" s="337">
        <f>ROUND(SUMIFS(BS_RE33!$H$7:$H$874,BS_RE33!$S$7:$S$874,$AH$2,BS_RE33!$N$7:$N$874,I7,BS_RE33!$P$7:$P$874,'30 days CF Table(Ccy)'!G7,BS_RE33!$F$7:$F$874,'30 days CF Table(Ccy)'!$C$2),2)</f>
        <v>0</v>
      </c>
      <c r="AI7" s="337">
        <f>ROUND(SUMIFS(BS_RE33!$H$7:$H$874,BS_RE33!$S$7:$S$874,$AI$2,BS_RE33!$N$7:$N$874,I7,BS_RE33!$P$7:$P$874,'30 days CF Table(Ccy)'!G7,BS_RE33!$F$7:$F$874,'30 days CF Table(Ccy)'!$C$2),2)</f>
        <v>0</v>
      </c>
      <c r="AJ7" s="337">
        <f>ROUND(SUMIFS(BS_RE33!$H$7:$H$874,BS_RE33!$S$7:$S$874,$AJ$2,BS_RE33!$N$7:$N$874,I7,BS_RE33!$P$7:$P$874,'30 days CF Table(Ccy)'!G7,BS_RE33!$F$7:$F$874,'30 days CF Table(Ccy)'!$C$2),2)</f>
        <v>0</v>
      </c>
      <c r="AK7" s="337">
        <f>ROUND(SUMIFS(BS_RE33!$H$7:$H$874,BS_RE33!$S$7:$S$874,$AK$2,BS_RE33!$N$7:$N$874,I7,BS_RE33!$P$7:$P$874,'30 days CF Table(Ccy)'!G7,BS_RE33!$F$7:$F$874,'30 days CF Table(Ccy)'!$C$2),2)</f>
        <v>0</v>
      </c>
      <c r="AL7" s="337">
        <f>ROUND(SUMIFS(BS_RE33!$H$7:$H$874,BS_RE33!$S$7:$S$874,$AL$2,BS_RE33!$N$7:$N$874,I7,BS_RE33!$P$7:$P$874,'30 days CF Table(Ccy)'!G7,BS_RE33!$F$7:$F$874,'30 days CF Table(Ccy)'!$C$2),2)</f>
        <v>0</v>
      </c>
      <c r="AM7" s="337">
        <f>ROUND(SUMIFS(BS_RE33!$H$7:$H$874,BS_RE33!$S$7:$S$874,$AM$2,BS_RE33!$N$7:$N$874,I7,BS_RE33!$P$7:$P$874,'30 days CF Table(Ccy)'!G7,BS_RE33!$F$7:$F$874,'30 days CF Table(Ccy)'!$C$2),2)</f>
        <v>0</v>
      </c>
      <c r="AN7" s="337">
        <f>ROUND(SUMIFS(BS_RE33!$H$7:$H$874,BS_RE33!$S$7:$S$874,$AN$2,BS_RE33!$N$7:$N$874,I7,BS_RE33!$P$7:$P$874,'30 days CF Table(Ccy)'!G7,BS_RE33!$F$7:$F$874,'30 days CF Table(Ccy)'!$C$2),2)</f>
        <v>0</v>
      </c>
      <c r="AO7" s="337">
        <f>ROUND(SUMIFS(BS_RE33!$H$7:$H$874,BS_RE33!$S$7:$S$874,$AO$2,BS_RE33!$N$7:$N$874,I7,BS_RE33!$P$7:$P$874,'30 days CF Table(Ccy)'!G7,BS_RE33!$F$7:$F$874,'30 days CF Table(Ccy)'!$C$2),2)</f>
        <v>0</v>
      </c>
      <c r="AP7" s="338">
        <f>ROUND(SUMIFS(BS_RE33!$H$7:$H$874,BS_RE33!$S$7:$S$874,$AP$2,BS_RE33!$N$7:$N$874,I7,BS_RE33!$P$7:$P$874,'30 days CF Table(Ccy)'!G7,BS_RE33!$F$7:$F$874,'30 days CF Table(Ccy)'!$C$2),2)</f>
        <v>0</v>
      </c>
      <c r="AQ7" s="545"/>
      <c r="AR7" s="379">
        <f>ROUND(SUMIFS(BS_RE33!$H$7:$H$874,BS_RE33!$S$7:$S$874,$AR$2,BS_RE33!$N$7:$N$874,I7,BS_RE33!$P$7:$P$874,'30 days CF Table(Ccy)'!G7,BS_RE33!$F$7:$F$874,'30 days CF Table(Ccy)'!$C$2),2)</f>
        <v>0</v>
      </c>
      <c r="AS7" s="379">
        <f>ROUND(SUMIFS(BS_RE33!$H$7:$H$874,BS_RE33!$S$7:$S$874,$AS$2,BS_RE33!$N$7:$N$874,I7,BS_RE33!$P$7:$P$874,'30 days CF Table(Ccy)'!G7,BS_RE33!$F$7:$F$874,'30 days CF Table(Ccy)'!$C$2),2)</f>
        <v>0</v>
      </c>
      <c r="AT7" s="379">
        <f>ROUND(SUMIFS(BS_RE33!$H$7:$H$874,BS_RE33!$S$7:$S$874,$AT$2,BS_RE33!$N$7:$N$874,I7,BS_RE33!$P$7:$P$874,'30 days CF Table(Ccy)'!G7,BS_RE33!$F$7:$F$874,'30 days CF Table(Ccy)'!$C$2),2)</f>
        <v>0</v>
      </c>
      <c r="AU7" s="379">
        <f>ROUND(SUMIFS(BS_RE33!$H$7:$H$874,BS_RE33!$S$7:$S$874,$AU$2,BS_RE33!$N$7:$N$874,I7,BS_RE33!$P$7:$P$874,'30 days CF Table(Ccy)'!G7,BS_RE33!$F$7:$F$874,'30 days CF Table(Ccy)'!$C$2),2)</f>
        <v>0</v>
      </c>
      <c r="AV7" s="379">
        <f>ROUND(SUMIFS(BS_RE33!$H$7:$H$874,BS_RE33!$S$7:$S$874,$AV$2,BS_RE33!$N$7:$N$874,I7,BS_RE33!$P$7:$P$874,'30 days CF Table(Ccy)'!G7,BS_RE33!$F$7:$F$874,'30 days CF Table(Ccy)'!$C$2),2)</f>
        <v>0</v>
      </c>
      <c r="AW7" s="379">
        <f>ROUND(SUMIFS(BS_RE33!$H$7:$H$874,BS_RE33!$S$7:$S$874,$AW$2,BS_RE33!$N$7:$N$874,I7,BS_RE33!$P$7:$P$874,'30 days CF Table(Ccy)'!G7,BS_RE33!$F$7:$F$874,'30 days CF Table(Ccy)'!$C$2),2)</f>
        <v>0</v>
      </c>
      <c r="AX7" s="379">
        <f>ROUND(SUMIFS(BS_RE33!$H$7:$H$874,BS_RE33!$S$7:$S$874,$AX$2,BS_RE33!$N$7:$N$874,I7,BS_RE33!$P$7:$P$874,'30 days CF Table(Ccy)'!G7,BS_RE33!$F$7:$F$874,'30 days CF Table(Ccy)'!$C$2),2)</f>
        <v>0</v>
      </c>
      <c r="AY7" s="379">
        <f>ROUND(SUMIFS(BS_RE33!$H$7:$H$874,BS_RE33!$S$7:$S$874,$AY$2,BS_RE33!$N$7:$N$874,I7,BS_RE33!$P$7:$P$874,'30 days CF Table(Ccy)'!G7,BS_RE33!$F$7:$F$874,'30 days CF Table(Ccy)'!$C$2),2)</f>
        <v>0</v>
      </c>
      <c r="AZ7" s="379">
        <f>ROUND(SUMIFS(BS_RE33!$H$7:$H$874,BS_RE33!$S$7:$S$874,$AZ$2,BS_RE33!$N$7:$N$874,I7,BS_RE33!$P$7:$P$874,'30 days CF Table(Ccy)'!G7,BS_RE33!$F$7:$F$874,'30 days CF Table(Ccy)'!$C$2),2)</f>
        <v>0</v>
      </c>
      <c r="BA7" s="379">
        <f>ROUND(SUMIFS(BS_RE33!$H$7:$H$874,BS_RE33!$S$7:$S$874,$BA$2,BS_RE33!$N$7:$N$874,I7,BS_RE33!$P$7:$P$874,'30 days CF Table(Ccy)'!G7,BS_RE33!$F$7:$F$874,'30 days CF Table(Ccy)'!$C$2),2)</f>
        <v>0</v>
      </c>
      <c r="BB7" s="379">
        <f>ROUND(SUMIFS(BS_RE33!$H$7:$H$874,BS_RE33!$S$7:$S$874,$BB$2,BS_RE33!$N$7:$N$874,I7,BS_RE33!$P$7:$P$874,'30 days CF Table(Ccy)'!G7,BS_RE33!$F$7:$F$874,'30 days CF Table(Ccy)'!$C$2),2)</f>
        <v>0</v>
      </c>
      <c r="BC7" s="379">
        <f>ROUND(SUMIFS(BS_RE33!$H$7:$H$874,BS_RE33!$S$7:$S$874,$BC$2,BS_RE33!$N$7:$N$874,I7,BS_RE33!$P$7:$P$874,'30 days CF Table(Ccy)'!G7,BS_RE33!$F$7:$F$874,'30 days CF Table(Ccy)'!$C$2),2)</f>
        <v>0</v>
      </c>
      <c r="BD7" s="379">
        <f>ROUND(SUMIFS(BS_RE33!$H$7:$H$874,BS_RE33!$S$7:$S$874,$BD$2,BS_RE33!$N$7:$N$874,I7,BS_RE33!$P$7:$P$874,'30 days CF Table(Ccy)'!G7,BS_RE33!$F$7:$F$874,'30 days CF Table(Ccy)'!$C$2),2)</f>
        <v>0</v>
      </c>
      <c r="BE7" s="379">
        <f>ROUND(SUMIFS(BS_RE33!$H$7:$H$874,BS_RE33!$S$7:$S$874,$BE$2,BS_RE33!$N$7:$N$874,I7,BS_RE33!$P$7:$P$874,'30 days CF Table(Ccy)'!G7,BS_RE33!$F$7:$F$874,'30 days CF Table(Ccy)'!$C$2),2)</f>
        <v>0</v>
      </c>
      <c r="BF7" s="379">
        <f>ROUND(SUMIFS(BS_RE33!$H$7:$H$874,BS_RE33!$S$7:$S$874,$BF$2,BS_RE33!$N$7:$N$874,I7,BS_RE33!$P$7:$P$874,'30 days CF Table(Ccy)'!G7,BS_RE33!$F$7:$F$874,'30 days CF Table(Ccy)'!$C$2),2)</f>
        <v>0</v>
      </c>
      <c r="BG7" s="379">
        <f>ROUND(SUMIFS(BS_RE33!$H$7:$H$874,BS_RE33!$S$7:$S$874,$BG$2,BS_RE33!$N$7:$N$874,I7,BS_RE33!$P$7:$P$874,'30 days CF Table(Ccy)'!G7,BS_RE33!$F$7:$F$874,'30 days CF Table(Ccy)'!$C$2),2)</f>
        <v>0</v>
      </c>
      <c r="BH7" s="379">
        <f>ROUND(SUMIFS(BS_RE33!$H$7:$H$874,BS_RE33!$S$7:$S$874,$BH$2,BS_RE33!$N$7:$N$874,I7,BS_RE33!$P$7:$P$874,'30 days CF Table(Ccy)'!G7,BS_RE33!$F$7:$F$874,'30 days CF Table(Ccy)'!$C$2),2)</f>
        <v>0</v>
      </c>
      <c r="BI7" s="379">
        <f>ROUND(SUMIFS(BS_RE33!$H$7:$H$874,BS_RE33!$S$7:$S$874,$BI$2,BS_RE33!$N$7:$N$874,I7,BS_RE33!$P$7:$P$874,'30 days CF Table(Ccy)'!G7,BS_RE33!$F$7:$F$874,'30 days CF Table(Ccy)'!$C$2),2)</f>
        <v>0</v>
      </c>
      <c r="BJ7" s="379">
        <f>ROUND(SUMIFS(BS_RE33!$H$7:$H$874,BS_RE33!$S$7:$S$874,$BJ$2,BS_RE33!$N$7:$N$874,I7,BS_RE33!$P$7:$P$874,'30 days CF Table(Ccy)'!G7,BS_RE33!$F$7:$F$874,'30 days CF Table(Ccy)'!$C$2),2)</f>
        <v>0</v>
      </c>
      <c r="BK7" s="379">
        <f>ROUND(SUMIFS(BS_RE33!$H$7:$H$874,BS_RE33!$S$7:$S$874,$BK$2,BS_RE33!$N$7:$N$874,I7,BS_RE33!$P$7:$P$874,'30 days CF Table(Ccy)'!G7,BS_RE33!$F$7:$F$874,'30 days CF Table(Ccy)'!$C$2),2)</f>
        <v>0</v>
      </c>
    </row>
    <row r="8" spans="1:63">
      <c r="C8" s="1029"/>
      <c r="D8" s="1030"/>
      <c r="E8" s="306" t="s">
        <v>69</v>
      </c>
      <c r="F8" s="560" t="s">
        <v>490</v>
      </c>
      <c r="G8" s="392" t="s">
        <v>498</v>
      </c>
      <c r="H8" s="130">
        <v>0.5</v>
      </c>
      <c r="I8" s="305" t="s">
        <v>63</v>
      </c>
      <c r="J8" s="477">
        <f t="shared" si="2"/>
        <v>0</v>
      </c>
      <c r="K8" s="335">
        <f t="shared" si="3"/>
        <v>0</v>
      </c>
      <c r="L8" s="337">
        <f>ROUND(SUMIFS(BS_RE33!$H$7:$H$874,BS_RE33!$S$7:$S$874,$L$2,BS_RE33!$N$7:$N$874,I8,BS_RE33!$P$7:$P$874,'30 days CF Table(Ccy)'!G8,BS_RE33!$F$7:$F$874,'30 days CF Table(Ccy)'!$C$2),2)</f>
        <v>0</v>
      </c>
      <c r="M8" s="337">
        <f>ROUND(SUMIFS(BS_RE33!$H$7:$H$874,BS_RE33!$S$7:$S$874,$M$2,BS_RE33!$N$7:$N$874,I8,BS_RE33!$P$7:$P$874,'30 days CF Table(Ccy)'!G8,BS_RE33!$F$7:$F$874,'30 days CF Table(Ccy)'!$C$2),2)</f>
        <v>0</v>
      </c>
      <c r="N8" s="337">
        <f>ROUND(SUMIFS(BS_RE33!$H$7:$H$874,BS_RE33!$S$7:$S$874,$N$2,BS_RE33!$N$7:$N$874,I8,BS_RE33!$P$7:$P$874,'30 days CF Table(Ccy)'!G8,BS_RE33!$F$7:$F$874,'30 days CF Table(Ccy)'!$C$2),2)</f>
        <v>0</v>
      </c>
      <c r="O8" s="337">
        <f>ROUND(SUMIFS(BS_RE33!$H$7:$H$874,BS_RE33!$S$7:$S$874,$O$2,BS_RE33!$N$7:$N$874,I8,BS_RE33!$P$7:$P$874,'30 days CF Table(Ccy)'!G8,BS_RE33!$F$7:$F$874,'30 days CF Table(Ccy)'!$C$2),2)</f>
        <v>0</v>
      </c>
      <c r="P8" s="337">
        <f>ROUND(SUMIFS(BS_RE33!$H$7:$H$874,BS_RE33!$S$7:$S$874,$P$2,BS_RE33!$N$7:$N$874,I8,BS_RE33!$P$7:$P$874,'30 days CF Table(Ccy)'!G8,BS_RE33!$F$7:$F$874,'30 days CF Table(Ccy)'!$C$2),2)</f>
        <v>0</v>
      </c>
      <c r="Q8" s="337">
        <f>ROUND(SUMIFS(BS_RE33!$H$7:$H$874,BS_RE33!$S$7:$S$874,$Q$2,BS_RE33!$N$7:$N$874,I8,BS_RE33!$P$7:$P$874,'30 days CF Table(Ccy)'!G8,BS_RE33!$F$7:$F$874,'30 days CF Table(Ccy)'!$C$2),2)</f>
        <v>0</v>
      </c>
      <c r="R8" s="337">
        <f>ROUND(SUMIFS(BS_RE33!$H$7:$H$874,BS_RE33!$S$7:$S$874,$R$2,BS_RE33!$N$7:$N$874,I8,BS_RE33!$P$7:$P$874,'30 days CF Table(Ccy)'!G8,BS_RE33!$F$7:$F$874,'30 days CF Table(Ccy)'!$C$2),2)</f>
        <v>0</v>
      </c>
      <c r="S8" s="337">
        <f>ROUND(SUMIFS(BS_RE33!$H$7:$H$874,BS_RE33!$S$7:$S$874,$S$2,BS_RE33!$N$7:$N$874,I8,BS_RE33!$P$7:$P$874,'30 days CF Table(Ccy)'!G8,BS_RE33!$F$7:$F$874,'30 days CF Table(Ccy)'!$C$2),2)</f>
        <v>0</v>
      </c>
      <c r="T8" s="337">
        <f>ROUND(SUMIFS(BS_RE33!$H$7:$H$874,BS_RE33!$S$7:$S$874,$T$2,BS_RE33!$N$7:$N$874,I8,BS_RE33!$P$7:$P$874,'30 days CF Table(Ccy)'!G8,BS_RE33!$F$7:$F$874,'30 days CF Table(Ccy)'!$C$2),2)</f>
        <v>0</v>
      </c>
      <c r="U8" s="337">
        <f>ROUND(SUMIFS(BS_RE33!$H$7:$H$874,BS_RE33!$S$7:$S$874,$U$2,BS_RE33!$N$7:$N$874,I8,BS_RE33!$P$7:$P$874,'30 days CF Table(Ccy)'!G8,BS_RE33!$F$7:$F$874,'30 days CF Table(Ccy)'!$C$2),2)</f>
        <v>0</v>
      </c>
      <c r="V8" s="337">
        <f>ROUND(SUMIFS(BS_RE33!$H$7:$H$874,BS_RE33!$S$7:$S$874,$V$2,BS_RE33!$N$7:$N$874,I8,BS_RE33!$P$7:$P$874,'30 days CF Table(Ccy)'!G8,BS_RE33!$F$7:$F$874,'30 days CF Table(Ccy)'!$C$2),2)</f>
        <v>0</v>
      </c>
      <c r="W8" s="337">
        <f>ROUND(SUMIFS(BS_RE33!$H$7:$H$874,BS_RE33!$S$7:$S$874,$W$2,BS_RE33!$N$7:$N$874,I8,BS_RE33!$P$7:$P$874,'30 days CF Table(Ccy)'!G8,BS_RE33!$F$7:$F$874,'30 days CF Table(Ccy)'!$C$2),2)</f>
        <v>0</v>
      </c>
      <c r="X8" s="337">
        <f>ROUND(SUMIFS(BS_RE33!$H$7:$H$874,BS_RE33!$S$7:$S$874,$X$2,BS_RE33!$N$7:$N$874,I8,BS_RE33!$P$7:$P$874,'30 days CF Table(Ccy)'!G8,BS_RE33!$F$7:$F$874,'30 days CF Table(Ccy)'!$C$2),2)</f>
        <v>0</v>
      </c>
      <c r="Y8" s="337">
        <f>ROUND(SUMIFS(BS_RE33!$H$7:$H$874,BS_RE33!$S$7:$S$874,$Y$2,BS_RE33!$N$7:$N$874,I8,BS_RE33!$P$7:$P$874,'30 days CF Table(Ccy)'!G8,BS_RE33!$F$7:$F$874,'30 days CF Table(Ccy)'!$C$2),2)</f>
        <v>0</v>
      </c>
      <c r="Z8" s="337">
        <f>ROUND(SUMIFS(BS_RE33!$H$7:$H$874,BS_RE33!$S$7:$S$874,$Z$2,BS_RE33!$N$7:$N$874,I8,BS_RE33!$P$7:$P$874,'30 days CF Table(Ccy)'!G8,BS_RE33!$F$7:$F$874,'30 days CF Table(Ccy)'!$C$2),2)</f>
        <v>0</v>
      </c>
      <c r="AA8" s="337">
        <f>ROUND(SUMIFS(BS_RE33!$H$7:$H$874,BS_RE33!$S$7:$S$874,$AA$2,BS_RE33!$N$7:$N$874,I8,BS_RE33!$P$7:$P$874,'30 days CF Table(Ccy)'!G8,BS_RE33!$F$7:$F$874,'30 days CF Table(Ccy)'!$C$2),2)</f>
        <v>0</v>
      </c>
      <c r="AB8" s="337">
        <f>ROUND(SUMIFS(BS_RE33!$H$7:$H$874,BS_RE33!$S$7:$S$874,$AB$2,BS_RE33!$N$7:$N$874,I8,BS_RE33!$P$7:$P$874,'30 days CF Table(Ccy)'!G8,BS_RE33!$F$7:$F$874,'30 days CF Table(Ccy)'!$C$2),2)</f>
        <v>0</v>
      </c>
      <c r="AC8" s="337">
        <f>ROUND(SUMIFS(BS_RE33!$H$7:$H$874,BS_RE33!$S$7:$S$874,$AC$2,BS_RE33!$N$7:$N$874,I8,BS_RE33!$P$7:$P$874,'30 days CF Table(Ccy)'!G8,BS_RE33!$F$7:$F$874,'30 days CF Table(Ccy)'!$C$2),2)</f>
        <v>0</v>
      </c>
      <c r="AD8" s="337">
        <f>ROUND(SUMIFS(BS_RE33!$H$7:$H$874,BS_RE33!$S$7:$S$874,$AD$2,BS_RE33!$N$7:$N$874,I8,BS_RE33!$P$7:$P$874,'30 days CF Table(Ccy)'!G8,BS_RE33!$F$7:$F$874,'30 days CF Table(Ccy)'!$C$2),2)</f>
        <v>0</v>
      </c>
      <c r="AE8" s="337">
        <f>ROUND(SUMIFS(BS_RE33!$H$7:$H$874,BS_RE33!$S$7:$S$874,$AE$2,BS_RE33!$N$7:$N$874,I8,BS_RE33!$P$7:$P$874,'30 days CF Table(Ccy)'!G8,BS_RE33!$F$7:$F$874,'30 days CF Table(Ccy)'!$C$2),2)</f>
        <v>0</v>
      </c>
      <c r="AF8" s="337">
        <f>ROUND(SUMIFS(BS_RE33!$H$7:$H$874,BS_RE33!$S$7:$S$874,$AF$2,BS_RE33!$N$7:$N$874,I8,BS_RE33!$P$7:$P$874,'30 days CF Table(Ccy)'!G8,BS_RE33!$F$7:$F$874,'30 days CF Table(Ccy)'!$C$2),2)</f>
        <v>0</v>
      </c>
      <c r="AG8" s="337">
        <f>ROUND(SUMIFS(BS_RE33!$H$7:$H$874,BS_RE33!$S$7:$S$874,$AG$2,BS_RE33!$N$7:$N$874,I8,BS_RE33!$P$7:$P$874,'30 days CF Table(Ccy)'!G8,BS_RE33!$F$7:$F$874,'30 days CF Table(Ccy)'!$C$2),2)</f>
        <v>0</v>
      </c>
      <c r="AH8" s="337">
        <f>ROUND(SUMIFS(BS_RE33!$H$7:$H$874,BS_RE33!$S$7:$S$874,$AH$2,BS_RE33!$N$7:$N$874,I8,BS_RE33!$P$7:$P$874,'30 days CF Table(Ccy)'!G8,BS_RE33!$F$7:$F$874,'30 days CF Table(Ccy)'!$C$2),2)</f>
        <v>0</v>
      </c>
      <c r="AI8" s="337">
        <f>ROUND(SUMIFS(BS_RE33!$H$7:$H$874,BS_RE33!$S$7:$S$874,$AI$2,BS_RE33!$N$7:$N$874,I8,BS_RE33!$P$7:$P$874,'30 days CF Table(Ccy)'!G8,BS_RE33!$F$7:$F$874,'30 days CF Table(Ccy)'!$C$2),2)</f>
        <v>0</v>
      </c>
      <c r="AJ8" s="337">
        <f>ROUND(SUMIFS(BS_RE33!$H$7:$H$874,BS_RE33!$S$7:$S$874,$AJ$2,BS_RE33!$N$7:$N$874,I8,BS_RE33!$P$7:$P$874,'30 days CF Table(Ccy)'!G8,BS_RE33!$F$7:$F$874,'30 days CF Table(Ccy)'!$C$2),2)</f>
        <v>0</v>
      </c>
      <c r="AK8" s="337">
        <f>ROUND(SUMIFS(BS_RE33!$H$7:$H$874,BS_RE33!$S$7:$S$874,$AK$2,BS_RE33!$N$7:$N$874,I8,BS_RE33!$P$7:$P$874,'30 days CF Table(Ccy)'!G8,BS_RE33!$F$7:$F$874,'30 days CF Table(Ccy)'!$C$2),2)</f>
        <v>0</v>
      </c>
      <c r="AL8" s="337">
        <f>ROUND(SUMIFS(BS_RE33!$H$7:$H$874,BS_RE33!$S$7:$S$874,$AL$2,BS_RE33!$N$7:$N$874,I8,BS_RE33!$P$7:$P$874,'30 days CF Table(Ccy)'!G8,BS_RE33!$F$7:$F$874,'30 days CF Table(Ccy)'!$C$2),2)</f>
        <v>0</v>
      </c>
      <c r="AM8" s="337">
        <f>ROUND(SUMIFS(BS_RE33!$H$7:$H$874,BS_RE33!$S$7:$S$874,$AM$2,BS_RE33!$N$7:$N$874,I8,BS_RE33!$P$7:$P$874,'30 days CF Table(Ccy)'!G8,BS_RE33!$F$7:$F$874,'30 days CF Table(Ccy)'!$C$2),2)</f>
        <v>0</v>
      </c>
      <c r="AN8" s="337">
        <f>ROUND(SUMIFS(BS_RE33!$H$7:$H$874,BS_RE33!$S$7:$S$874,$AN$2,BS_RE33!$N$7:$N$874,I8,BS_RE33!$P$7:$P$874,'30 days CF Table(Ccy)'!G8,BS_RE33!$F$7:$F$874,'30 days CF Table(Ccy)'!$C$2),2)</f>
        <v>0</v>
      </c>
      <c r="AO8" s="337">
        <f>ROUND(SUMIFS(BS_RE33!$H$7:$H$874,BS_RE33!$S$7:$S$874,$AO$2,BS_RE33!$N$7:$N$874,I8,BS_RE33!$P$7:$P$874,'30 days CF Table(Ccy)'!G8,BS_RE33!$F$7:$F$874,'30 days CF Table(Ccy)'!$C$2),2)</f>
        <v>0</v>
      </c>
      <c r="AP8" s="338">
        <f>ROUND(SUMIFS(BS_RE33!$H$7:$H$874,BS_RE33!$S$7:$S$874,$AP$2,BS_RE33!$N$7:$N$874,I8,BS_RE33!$P$7:$P$874,'30 days CF Table(Ccy)'!G8,BS_RE33!$F$7:$F$874,'30 days CF Table(Ccy)'!$C$2),2)</f>
        <v>0</v>
      </c>
      <c r="AQ8" s="545"/>
      <c r="AR8" s="379">
        <f>ROUND(SUMIFS(BS_RE33!$H$7:$H$874,BS_RE33!$S$7:$S$874,$AR$2,BS_RE33!$N$7:$N$874,I8,BS_RE33!$P$7:$P$874,'30 days CF Table(Ccy)'!G8,BS_RE33!$F$7:$F$874,'30 days CF Table(Ccy)'!$C$2),2)</f>
        <v>0</v>
      </c>
      <c r="AS8" s="379">
        <f>ROUND(SUMIFS(BS_RE33!$H$7:$H$874,BS_RE33!$S$7:$S$874,$AS$2,BS_RE33!$N$7:$N$874,I8,BS_RE33!$P$7:$P$874,'30 days CF Table(Ccy)'!G8,BS_RE33!$F$7:$F$874,'30 days CF Table(Ccy)'!$C$2),2)</f>
        <v>0</v>
      </c>
      <c r="AT8" s="379">
        <f>ROUND(SUMIFS(BS_RE33!$H$7:$H$874,BS_RE33!$S$7:$S$874,$AT$2,BS_RE33!$N$7:$N$874,I8,BS_RE33!$P$7:$P$874,'30 days CF Table(Ccy)'!G8,BS_RE33!$F$7:$F$874,'30 days CF Table(Ccy)'!$C$2),2)</f>
        <v>0</v>
      </c>
      <c r="AU8" s="379">
        <f>ROUND(SUMIFS(BS_RE33!$H$7:$H$874,BS_RE33!$S$7:$S$874,$AU$2,BS_RE33!$N$7:$N$874,I8,BS_RE33!$P$7:$P$874,'30 days CF Table(Ccy)'!G8,BS_RE33!$F$7:$F$874,'30 days CF Table(Ccy)'!$C$2),2)</f>
        <v>0</v>
      </c>
      <c r="AV8" s="379">
        <f>ROUND(SUMIFS(BS_RE33!$H$7:$H$874,BS_RE33!$S$7:$S$874,$AV$2,BS_RE33!$N$7:$N$874,I8,BS_RE33!$P$7:$P$874,'30 days CF Table(Ccy)'!G8,BS_RE33!$F$7:$F$874,'30 days CF Table(Ccy)'!$C$2),2)</f>
        <v>0</v>
      </c>
      <c r="AW8" s="379">
        <f>ROUND(SUMIFS(BS_RE33!$H$7:$H$874,BS_RE33!$S$7:$S$874,$AW$2,BS_RE33!$N$7:$N$874,I8,BS_RE33!$P$7:$P$874,'30 days CF Table(Ccy)'!G8,BS_RE33!$F$7:$F$874,'30 days CF Table(Ccy)'!$C$2),2)</f>
        <v>0</v>
      </c>
      <c r="AX8" s="379">
        <f>ROUND(SUMIFS(BS_RE33!$H$7:$H$874,BS_RE33!$S$7:$S$874,$AX$2,BS_RE33!$N$7:$N$874,I8,BS_RE33!$P$7:$P$874,'30 days CF Table(Ccy)'!G8,BS_RE33!$F$7:$F$874,'30 days CF Table(Ccy)'!$C$2),2)</f>
        <v>0</v>
      </c>
      <c r="AY8" s="379">
        <f>ROUND(SUMIFS(BS_RE33!$H$7:$H$874,BS_RE33!$S$7:$S$874,$AY$2,BS_RE33!$N$7:$N$874,I8,BS_RE33!$P$7:$P$874,'30 days CF Table(Ccy)'!G8,BS_RE33!$F$7:$F$874,'30 days CF Table(Ccy)'!$C$2),2)</f>
        <v>0</v>
      </c>
      <c r="AZ8" s="379">
        <f>ROUND(SUMIFS(BS_RE33!$H$7:$H$874,BS_RE33!$S$7:$S$874,$AZ$2,BS_RE33!$N$7:$N$874,I8,BS_RE33!$P$7:$P$874,'30 days CF Table(Ccy)'!G8,BS_RE33!$F$7:$F$874,'30 days CF Table(Ccy)'!$C$2),2)</f>
        <v>0</v>
      </c>
      <c r="BA8" s="379">
        <f>ROUND(SUMIFS(BS_RE33!$H$7:$H$874,BS_RE33!$S$7:$S$874,$BA$2,BS_RE33!$N$7:$N$874,I8,BS_RE33!$P$7:$P$874,'30 days CF Table(Ccy)'!G8,BS_RE33!$F$7:$F$874,'30 days CF Table(Ccy)'!$C$2),2)</f>
        <v>0</v>
      </c>
      <c r="BB8" s="379">
        <f>ROUND(SUMIFS(BS_RE33!$H$7:$H$874,BS_RE33!$S$7:$S$874,$BB$2,BS_RE33!$N$7:$N$874,I8,BS_RE33!$P$7:$P$874,'30 days CF Table(Ccy)'!G8,BS_RE33!$F$7:$F$874,'30 days CF Table(Ccy)'!$C$2),2)</f>
        <v>0</v>
      </c>
      <c r="BC8" s="379">
        <f>ROUND(SUMIFS(BS_RE33!$H$7:$H$874,BS_RE33!$S$7:$S$874,$BC$2,BS_RE33!$N$7:$N$874,I8,BS_RE33!$P$7:$P$874,'30 days CF Table(Ccy)'!G8,BS_RE33!$F$7:$F$874,'30 days CF Table(Ccy)'!$C$2),2)</f>
        <v>0</v>
      </c>
      <c r="BD8" s="379">
        <f>ROUND(SUMIFS(BS_RE33!$H$7:$H$874,BS_RE33!$S$7:$S$874,$BD$2,BS_RE33!$N$7:$N$874,I8,BS_RE33!$P$7:$P$874,'30 days CF Table(Ccy)'!G8,BS_RE33!$F$7:$F$874,'30 days CF Table(Ccy)'!$C$2),2)</f>
        <v>0</v>
      </c>
      <c r="BE8" s="379">
        <f>ROUND(SUMIFS(BS_RE33!$H$7:$H$874,BS_RE33!$S$7:$S$874,$BE$2,BS_RE33!$N$7:$N$874,I8,BS_RE33!$P$7:$P$874,'30 days CF Table(Ccy)'!G8,BS_RE33!$F$7:$F$874,'30 days CF Table(Ccy)'!$C$2),2)</f>
        <v>0</v>
      </c>
      <c r="BF8" s="379">
        <f>ROUND(SUMIFS(BS_RE33!$H$7:$H$874,BS_RE33!$S$7:$S$874,$BF$2,BS_RE33!$N$7:$N$874,I8,BS_RE33!$P$7:$P$874,'30 days CF Table(Ccy)'!G8,BS_RE33!$F$7:$F$874,'30 days CF Table(Ccy)'!$C$2),2)</f>
        <v>0</v>
      </c>
      <c r="BG8" s="379">
        <f>ROUND(SUMIFS(BS_RE33!$H$7:$H$874,BS_RE33!$S$7:$S$874,$BG$2,BS_RE33!$N$7:$N$874,I8,BS_RE33!$P$7:$P$874,'30 days CF Table(Ccy)'!G8,BS_RE33!$F$7:$F$874,'30 days CF Table(Ccy)'!$C$2),2)</f>
        <v>0</v>
      </c>
      <c r="BH8" s="379">
        <f>ROUND(SUMIFS(BS_RE33!$H$7:$H$874,BS_RE33!$S$7:$S$874,$BH$2,BS_RE33!$N$7:$N$874,I8,BS_RE33!$P$7:$P$874,'30 days CF Table(Ccy)'!G8,BS_RE33!$F$7:$F$874,'30 days CF Table(Ccy)'!$C$2),2)</f>
        <v>0</v>
      </c>
      <c r="BI8" s="379">
        <f>ROUND(SUMIFS(BS_RE33!$H$7:$H$874,BS_RE33!$S$7:$S$874,$BI$2,BS_RE33!$N$7:$N$874,I8,BS_RE33!$P$7:$P$874,'30 days CF Table(Ccy)'!G8,BS_RE33!$F$7:$F$874,'30 days CF Table(Ccy)'!$C$2),2)</f>
        <v>0</v>
      </c>
      <c r="BJ8" s="379">
        <f>ROUND(SUMIFS(BS_RE33!$H$7:$H$874,BS_RE33!$S$7:$S$874,$BJ$2,BS_RE33!$N$7:$N$874,I8,BS_RE33!$P$7:$P$874,'30 days CF Table(Ccy)'!G8,BS_RE33!$F$7:$F$874,'30 days CF Table(Ccy)'!$C$2),2)</f>
        <v>0</v>
      </c>
      <c r="BK8" s="379">
        <f>ROUND(SUMIFS(BS_RE33!$H$7:$H$874,BS_RE33!$S$7:$S$874,$BK$2,BS_RE33!$N$7:$N$874,I8,BS_RE33!$P$7:$P$874,'30 days CF Table(Ccy)'!G8,BS_RE33!$F$7:$F$874,'30 days CF Table(Ccy)'!$C$2),2)</f>
        <v>0</v>
      </c>
    </row>
    <row r="9" spans="1:63">
      <c r="C9" s="1029"/>
      <c r="D9" s="1030"/>
      <c r="E9" s="306" t="s">
        <v>69</v>
      </c>
      <c r="F9" s="560" t="s">
        <v>489</v>
      </c>
      <c r="G9" s="392" t="s">
        <v>499</v>
      </c>
      <c r="H9" s="130">
        <v>0.5</v>
      </c>
      <c r="I9" s="305" t="s">
        <v>63</v>
      </c>
      <c r="J9" s="477">
        <f t="shared" si="2"/>
        <v>0</v>
      </c>
      <c r="K9" s="335">
        <f t="shared" si="3"/>
        <v>0</v>
      </c>
      <c r="L9" s="337">
        <f>ROUND(SUMIFS(BS_RE33!$H$7:$H$874,BS_RE33!$S$7:$S$874,$L$2,BS_RE33!$N$7:$N$874,I9,BS_RE33!$P$7:$P$874,'30 days CF Table(Ccy)'!G9,BS_RE33!$F$7:$F$874,'30 days CF Table(Ccy)'!$C$2),2)</f>
        <v>0</v>
      </c>
      <c r="M9" s="337">
        <f>ROUND(SUMIFS(BS_RE33!$H$7:$H$874,BS_RE33!$S$7:$S$874,$M$2,BS_RE33!$N$7:$N$874,I9,BS_RE33!$P$7:$P$874,'30 days CF Table(Ccy)'!G9,BS_RE33!$F$7:$F$874,'30 days CF Table(Ccy)'!$C$2),2)</f>
        <v>0</v>
      </c>
      <c r="N9" s="337">
        <f>ROUND(SUMIFS(BS_RE33!$H$7:$H$874,BS_RE33!$S$7:$S$874,$N$2,BS_RE33!$N$7:$N$874,I9,BS_RE33!$P$7:$P$874,'30 days CF Table(Ccy)'!G9,BS_RE33!$F$7:$F$874,'30 days CF Table(Ccy)'!$C$2),2)</f>
        <v>0</v>
      </c>
      <c r="O9" s="337">
        <f>ROUND(SUMIFS(BS_RE33!$H$7:$H$874,BS_RE33!$S$7:$S$874,$O$2,BS_RE33!$N$7:$N$874,I9,BS_RE33!$P$7:$P$874,'30 days CF Table(Ccy)'!G9,BS_RE33!$F$7:$F$874,'30 days CF Table(Ccy)'!$C$2),2)</f>
        <v>0</v>
      </c>
      <c r="P9" s="337">
        <f>ROUND(SUMIFS(BS_RE33!$H$7:$H$874,BS_RE33!$S$7:$S$874,$P$2,BS_RE33!$N$7:$N$874,I9,BS_RE33!$P$7:$P$874,'30 days CF Table(Ccy)'!G9,BS_RE33!$F$7:$F$874,'30 days CF Table(Ccy)'!$C$2),2)</f>
        <v>0</v>
      </c>
      <c r="Q9" s="337">
        <f>ROUND(SUMIFS(BS_RE33!$H$7:$H$874,BS_RE33!$S$7:$S$874,$Q$2,BS_RE33!$N$7:$N$874,I9,BS_RE33!$P$7:$P$874,'30 days CF Table(Ccy)'!G9,BS_RE33!$F$7:$F$874,'30 days CF Table(Ccy)'!$C$2),2)</f>
        <v>0</v>
      </c>
      <c r="R9" s="337">
        <f>ROUND(SUMIFS(BS_RE33!$H$7:$H$874,BS_RE33!$S$7:$S$874,$R$2,BS_RE33!$N$7:$N$874,I9,BS_RE33!$P$7:$P$874,'30 days CF Table(Ccy)'!G9,BS_RE33!$F$7:$F$874,'30 days CF Table(Ccy)'!$C$2),2)</f>
        <v>0</v>
      </c>
      <c r="S9" s="337">
        <f>ROUND(SUMIFS(BS_RE33!$H$7:$H$874,BS_RE33!$S$7:$S$874,$S$2,BS_RE33!$N$7:$N$874,I9,BS_RE33!$P$7:$P$874,'30 days CF Table(Ccy)'!G9,BS_RE33!$F$7:$F$874,'30 days CF Table(Ccy)'!$C$2),2)</f>
        <v>0</v>
      </c>
      <c r="T9" s="337">
        <f>ROUND(SUMIFS(BS_RE33!$H$7:$H$874,BS_RE33!$S$7:$S$874,$T$2,BS_RE33!$N$7:$N$874,I9,BS_RE33!$P$7:$P$874,'30 days CF Table(Ccy)'!G9,BS_RE33!$F$7:$F$874,'30 days CF Table(Ccy)'!$C$2),2)</f>
        <v>0</v>
      </c>
      <c r="U9" s="337">
        <f>ROUND(SUMIFS(BS_RE33!$H$7:$H$874,BS_RE33!$S$7:$S$874,$U$2,BS_RE33!$N$7:$N$874,I9,BS_RE33!$P$7:$P$874,'30 days CF Table(Ccy)'!G9,BS_RE33!$F$7:$F$874,'30 days CF Table(Ccy)'!$C$2),2)</f>
        <v>0</v>
      </c>
      <c r="V9" s="337">
        <f>ROUND(SUMIFS(BS_RE33!$H$7:$H$874,BS_RE33!$S$7:$S$874,$V$2,BS_RE33!$N$7:$N$874,I9,BS_RE33!$P$7:$P$874,'30 days CF Table(Ccy)'!G9,BS_RE33!$F$7:$F$874,'30 days CF Table(Ccy)'!$C$2),2)</f>
        <v>0</v>
      </c>
      <c r="W9" s="337">
        <f>ROUND(SUMIFS(BS_RE33!$H$7:$H$874,BS_RE33!$S$7:$S$874,$W$2,BS_RE33!$N$7:$N$874,I9,BS_RE33!$P$7:$P$874,'30 days CF Table(Ccy)'!G9,BS_RE33!$F$7:$F$874,'30 days CF Table(Ccy)'!$C$2),2)</f>
        <v>0</v>
      </c>
      <c r="X9" s="337">
        <f>ROUND(SUMIFS(BS_RE33!$H$7:$H$874,BS_RE33!$S$7:$S$874,$X$2,BS_RE33!$N$7:$N$874,I9,BS_RE33!$P$7:$P$874,'30 days CF Table(Ccy)'!G9,BS_RE33!$F$7:$F$874,'30 days CF Table(Ccy)'!$C$2),2)</f>
        <v>0</v>
      </c>
      <c r="Y9" s="337">
        <f>ROUND(SUMIFS(BS_RE33!$H$7:$H$874,BS_RE33!$S$7:$S$874,$Y$2,BS_RE33!$N$7:$N$874,I9,BS_RE33!$P$7:$P$874,'30 days CF Table(Ccy)'!G9,BS_RE33!$F$7:$F$874,'30 days CF Table(Ccy)'!$C$2),2)</f>
        <v>0</v>
      </c>
      <c r="Z9" s="337">
        <f>ROUND(SUMIFS(BS_RE33!$H$7:$H$874,BS_RE33!$S$7:$S$874,$Z$2,BS_RE33!$N$7:$N$874,I9,BS_RE33!$P$7:$P$874,'30 days CF Table(Ccy)'!G9,BS_RE33!$F$7:$F$874,'30 days CF Table(Ccy)'!$C$2),2)</f>
        <v>0</v>
      </c>
      <c r="AA9" s="337">
        <f>ROUND(SUMIFS(BS_RE33!$H$7:$H$874,BS_RE33!$S$7:$S$874,$AA$2,BS_RE33!$N$7:$N$874,I9,BS_RE33!$P$7:$P$874,'30 days CF Table(Ccy)'!G9,BS_RE33!$F$7:$F$874,'30 days CF Table(Ccy)'!$C$2),2)</f>
        <v>0</v>
      </c>
      <c r="AB9" s="337">
        <f>ROUND(SUMIFS(BS_RE33!$H$7:$H$874,BS_RE33!$S$7:$S$874,$AB$2,BS_RE33!$N$7:$N$874,I9,BS_RE33!$P$7:$P$874,'30 days CF Table(Ccy)'!G9,BS_RE33!$F$7:$F$874,'30 days CF Table(Ccy)'!$C$2),2)</f>
        <v>0</v>
      </c>
      <c r="AC9" s="337">
        <f>ROUND(SUMIFS(BS_RE33!$H$7:$H$874,BS_RE33!$S$7:$S$874,$AC$2,BS_RE33!$N$7:$N$874,I9,BS_RE33!$P$7:$P$874,'30 days CF Table(Ccy)'!G9,BS_RE33!$F$7:$F$874,'30 days CF Table(Ccy)'!$C$2),2)</f>
        <v>0</v>
      </c>
      <c r="AD9" s="337">
        <f>ROUND(SUMIFS(BS_RE33!$H$7:$H$874,BS_RE33!$S$7:$S$874,$AD$2,BS_RE33!$N$7:$N$874,I9,BS_RE33!$P$7:$P$874,'30 days CF Table(Ccy)'!G9,BS_RE33!$F$7:$F$874,'30 days CF Table(Ccy)'!$C$2),2)</f>
        <v>0</v>
      </c>
      <c r="AE9" s="337">
        <f>ROUND(SUMIFS(BS_RE33!$H$7:$H$874,BS_RE33!$S$7:$S$874,$AE$2,BS_RE33!$N$7:$N$874,I9,BS_RE33!$P$7:$P$874,'30 days CF Table(Ccy)'!G9,BS_RE33!$F$7:$F$874,'30 days CF Table(Ccy)'!$C$2),2)</f>
        <v>0</v>
      </c>
      <c r="AF9" s="337">
        <f>ROUND(SUMIFS(BS_RE33!$H$7:$H$874,BS_RE33!$S$7:$S$874,$AF$2,BS_RE33!$N$7:$N$874,I9,BS_RE33!$P$7:$P$874,'30 days CF Table(Ccy)'!G9,BS_RE33!$F$7:$F$874,'30 days CF Table(Ccy)'!$C$2),2)</f>
        <v>0</v>
      </c>
      <c r="AG9" s="337">
        <f>ROUND(SUMIFS(BS_RE33!$H$7:$H$874,BS_RE33!$S$7:$S$874,$AG$2,BS_RE33!$N$7:$N$874,I9,BS_RE33!$P$7:$P$874,'30 days CF Table(Ccy)'!G9,BS_RE33!$F$7:$F$874,'30 days CF Table(Ccy)'!$C$2),2)</f>
        <v>0</v>
      </c>
      <c r="AH9" s="337">
        <f>ROUND(SUMIFS(BS_RE33!$H$7:$H$874,BS_RE33!$S$7:$S$874,$AH$2,BS_RE33!$N$7:$N$874,I9,BS_RE33!$P$7:$P$874,'30 days CF Table(Ccy)'!G9,BS_RE33!$F$7:$F$874,'30 days CF Table(Ccy)'!$C$2),2)</f>
        <v>0</v>
      </c>
      <c r="AI9" s="337">
        <f>ROUND(SUMIFS(BS_RE33!$H$7:$H$874,BS_RE33!$S$7:$S$874,$AI$2,BS_RE33!$N$7:$N$874,I9,BS_RE33!$P$7:$P$874,'30 days CF Table(Ccy)'!G9,BS_RE33!$F$7:$F$874,'30 days CF Table(Ccy)'!$C$2),2)</f>
        <v>0</v>
      </c>
      <c r="AJ9" s="337">
        <f>ROUND(SUMIFS(BS_RE33!$H$7:$H$874,BS_RE33!$S$7:$S$874,$AJ$2,BS_RE33!$N$7:$N$874,I9,BS_RE33!$P$7:$P$874,'30 days CF Table(Ccy)'!G9,BS_RE33!$F$7:$F$874,'30 days CF Table(Ccy)'!$C$2),2)</f>
        <v>0</v>
      </c>
      <c r="AK9" s="337">
        <f>ROUND(SUMIFS(BS_RE33!$H$7:$H$874,BS_RE33!$S$7:$S$874,$AK$2,BS_RE33!$N$7:$N$874,I9,BS_RE33!$P$7:$P$874,'30 days CF Table(Ccy)'!G9,BS_RE33!$F$7:$F$874,'30 days CF Table(Ccy)'!$C$2),2)</f>
        <v>0</v>
      </c>
      <c r="AL9" s="337">
        <f>ROUND(SUMIFS(BS_RE33!$H$7:$H$874,BS_RE33!$S$7:$S$874,$AL$2,BS_RE33!$N$7:$N$874,I9,BS_RE33!$P$7:$P$874,'30 days CF Table(Ccy)'!G9,BS_RE33!$F$7:$F$874,'30 days CF Table(Ccy)'!$C$2),2)</f>
        <v>0</v>
      </c>
      <c r="AM9" s="337">
        <f>ROUND(SUMIFS(BS_RE33!$H$7:$H$874,BS_RE33!$S$7:$S$874,$AM$2,BS_RE33!$N$7:$N$874,I9,BS_RE33!$P$7:$P$874,'30 days CF Table(Ccy)'!G9,BS_RE33!$F$7:$F$874,'30 days CF Table(Ccy)'!$C$2),2)</f>
        <v>0</v>
      </c>
      <c r="AN9" s="337">
        <f>ROUND(SUMIFS(BS_RE33!$H$7:$H$874,BS_RE33!$S$7:$S$874,$AN$2,BS_RE33!$N$7:$N$874,I9,BS_RE33!$P$7:$P$874,'30 days CF Table(Ccy)'!G9,BS_RE33!$F$7:$F$874,'30 days CF Table(Ccy)'!$C$2),2)</f>
        <v>0</v>
      </c>
      <c r="AO9" s="337">
        <f>ROUND(SUMIFS(BS_RE33!$H$7:$H$874,BS_RE33!$S$7:$S$874,$AO$2,BS_RE33!$N$7:$N$874,I9,BS_RE33!$P$7:$P$874,'30 days CF Table(Ccy)'!G9,BS_RE33!$F$7:$F$874,'30 days CF Table(Ccy)'!$C$2),2)</f>
        <v>0</v>
      </c>
      <c r="AP9" s="338">
        <f>ROUND(SUMIFS(BS_RE33!$H$7:$H$874,BS_RE33!$S$7:$S$874,$AP$2,BS_RE33!$N$7:$N$874,I9,BS_RE33!$P$7:$P$874,'30 days CF Table(Ccy)'!G9,BS_RE33!$F$7:$F$874,'30 days CF Table(Ccy)'!$C$2),2)</f>
        <v>0</v>
      </c>
      <c r="AQ9" s="545"/>
      <c r="AR9" s="379">
        <f>ROUND(SUMIFS(BS_RE33!$H$7:$H$874,BS_RE33!$S$7:$S$874,$AR$2,BS_RE33!$N$7:$N$874,I9,BS_RE33!$P$7:$P$874,'30 days CF Table(Ccy)'!G9,BS_RE33!$F$7:$F$874,'30 days CF Table(Ccy)'!$C$2),2)</f>
        <v>0</v>
      </c>
      <c r="AS9" s="379">
        <f>ROUND(SUMIFS(BS_RE33!$H$7:$H$874,BS_RE33!$S$7:$S$874,$AS$2,BS_RE33!$N$7:$N$874,I9,BS_RE33!$P$7:$P$874,'30 days CF Table(Ccy)'!G9,BS_RE33!$F$7:$F$874,'30 days CF Table(Ccy)'!$C$2),2)</f>
        <v>0</v>
      </c>
      <c r="AT9" s="379">
        <f>ROUND(SUMIFS(BS_RE33!$H$7:$H$874,BS_RE33!$S$7:$S$874,$AT$2,BS_RE33!$N$7:$N$874,I9,BS_RE33!$P$7:$P$874,'30 days CF Table(Ccy)'!G9,BS_RE33!$F$7:$F$874,'30 days CF Table(Ccy)'!$C$2),2)</f>
        <v>0</v>
      </c>
      <c r="AU9" s="379">
        <f>ROUND(SUMIFS(BS_RE33!$H$7:$H$874,BS_RE33!$S$7:$S$874,$AU$2,BS_RE33!$N$7:$N$874,I9,BS_RE33!$P$7:$P$874,'30 days CF Table(Ccy)'!G9,BS_RE33!$F$7:$F$874,'30 days CF Table(Ccy)'!$C$2),2)</f>
        <v>0</v>
      </c>
      <c r="AV9" s="379">
        <f>ROUND(SUMIFS(BS_RE33!$H$7:$H$874,BS_RE33!$S$7:$S$874,$AV$2,BS_RE33!$N$7:$N$874,I9,BS_RE33!$P$7:$P$874,'30 days CF Table(Ccy)'!G9,BS_RE33!$F$7:$F$874,'30 days CF Table(Ccy)'!$C$2),2)</f>
        <v>0</v>
      </c>
      <c r="AW9" s="379">
        <f>ROUND(SUMIFS(BS_RE33!$H$7:$H$874,BS_RE33!$S$7:$S$874,$AW$2,BS_RE33!$N$7:$N$874,I9,BS_RE33!$P$7:$P$874,'30 days CF Table(Ccy)'!G9,BS_RE33!$F$7:$F$874,'30 days CF Table(Ccy)'!$C$2),2)</f>
        <v>0</v>
      </c>
      <c r="AX9" s="379">
        <f>ROUND(SUMIFS(BS_RE33!$H$7:$H$874,BS_RE33!$S$7:$S$874,$AX$2,BS_RE33!$N$7:$N$874,I9,BS_RE33!$P$7:$P$874,'30 days CF Table(Ccy)'!G9,BS_RE33!$F$7:$F$874,'30 days CF Table(Ccy)'!$C$2),2)</f>
        <v>0</v>
      </c>
      <c r="AY9" s="379">
        <f>ROUND(SUMIFS(BS_RE33!$H$7:$H$874,BS_RE33!$S$7:$S$874,$AY$2,BS_RE33!$N$7:$N$874,I9,BS_RE33!$P$7:$P$874,'30 days CF Table(Ccy)'!G9,BS_RE33!$F$7:$F$874,'30 days CF Table(Ccy)'!$C$2),2)</f>
        <v>0</v>
      </c>
      <c r="AZ9" s="379">
        <f>ROUND(SUMIFS(BS_RE33!$H$7:$H$874,BS_RE33!$S$7:$S$874,$AZ$2,BS_RE33!$N$7:$N$874,I9,BS_RE33!$P$7:$P$874,'30 days CF Table(Ccy)'!G9,BS_RE33!$F$7:$F$874,'30 days CF Table(Ccy)'!$C$2),2)</f>
        <v>0</v>
      </c>
      <c r="BA9" s="379">
        <f>ROUND(SUMIFS(BS_RE33!$H$7:$H$874,BS_RE33!$S$7:$S$874,$BA$2,BS_RE33!$N$7:$N$874,I9,BS_RE33!$P$7:$P$874,'30 days CF Table(Ccy)'!G9,BS_RE33!$F$7:$F$874,'30 days CF Table(Ccy)'!$C$2),2)</f>
        <v>0</v>
      </c>
      <c r="BB9" s="379">
        <f>ROUND(SUMIFS(BS_RE33!$H$7:$H$874,BS_RE33!$S$7:$S$874,$BB$2,BS_RE33!$N$7:$N$874,I9,BS_RE33!$P$7:$P$874,'30 days CF Table(Ccy)'!G9,BS_RE33!$F$7:$F$874,'30 days CF Table(Ccy)'!$C$2),2)</f>
        <v>0</v>
      </c>
      <c r="BC9" s="379">
        <f>ROUND(SUMIFS(BS_RE33!$H$7:$H$874,BS_RE33!$S$7:$S$874,$BC$2,BS_RE33!$N$7:$N$874,I9,BS_RE33!$P$7:$P$874,'30 days CF Table(Ccy)'!G9,BS_RE33!$F$7:$F$874,'30 days CF Table(Ccy)'!$C$2),2)</f>
        <v>0</v>
      </c>
      <c r="BD9" s="379">
        <f>ROUND(SUMIFS(BS_RE33!$H$7:$H$874,BS_RE33!$S$7:$S$874,$BD$2,BS_RE33!$N$7:$N$874,I9,BS_RE33!$P$7:$P$874,'30 days CF Table(Ccy)'!G9,BS_RE33!$F$7:$F$874,'30 days CF Table(Ccy)'!$C$2),2)</f>
        <v>0</v>
      </c>
      <c r="BE9" s="379">
        <f>ROUND(SUMIFS(BS_RE33!$H$7:$H$874,BS_RE33!$S$7:$S$874,$BE$2,BS_RE33!$N$7:$N$874,I9,BS_RE33!$P$7:$P$874,'30 days CF Table(Ccy)'!G9,BS_RE33!$F$7:$F$874,'30 days CF Table(Ccy)'!$C$2),2)</f>
        <v>0</v>
      </c>
      <c r="BF9" s="379">
        <f>ROUND(SUMIFS(BS_RE33!$H$7:$H$874,BS_RE33!$S$7:$S$874,$BF$2,BS_RE33!$N$7:$N$874,I9,BS_RE33!$P$7:$P$874,'30 days CF Table(Ccy)'!G9,BS_RE33!$F$7:$F$874,'30 days CF Table(Ccy)'!$C$2),2)</f>
        <v>0</v>
      </c>
      <c r="BG9" s="379">
        <f>ROUND(SUMIFS(BS_RE33!$H$7:$H$874,BS_RE33!$S$7:$S$874,$BG$2,BS_RE33!$N$7:$N$874,I9,BS_RE33!$P$7:$P$874,'30 days CF Table(Ccy)'!G9,BS_RE33!$F$7:$F$874,'30 days CF Table(Ccy)'!$C$2),2)</f>
        <v>0</v>
      </c>
      <c r="BH9" s="379">
        <f>ROUND(SUMIFS(BS_RE33!$H$7:$H$874,BS_RE33!$S$7:$S$874,$BH$2,BS_RE33!$N$7:$N$874,I9,BS_RE33!$P$7:$P$874,'30 days CF Table(Ccy)'!G9,BS_RE33!$F$7:$F$874,'30 days CF Table(Ccy)'!$C$2),2)</f>
        <v>0</v>
      </c>
      <c r="BI9" s="379">
        <f>ROUND(SUMIFS(BS_RE33!$H$7:$H$874,BS_RE33!$S$7:$S$874,$BI$2,BS_RE33!$N$7:$N$874,I9,BS_RE33!$P$7:$P$874,'30 days CF Table(Ccy)'!G9,BS_RE33!$F$7:$F$874,'30 days CF Table(Ccy)'!$C$2),2)</f>
        <v>0</v>
      </c>
      <c r="BJ9" s="379">
        <f>ROUND(SUMIFS(BS_RE33!$H$7:$H$874,BS_RE33!$S$7:$S$874,$BJ$2,BS_RE33!$N$7:$N$874,I9,BS_RE33!$P$7:$P$874,'30 days CF Table(Ccy)'!G9,BS_RE33!$F$7:$F$874,'30 days CF Table(Ccy)'!$C$2),2)</f>
        <v>0</v>
      </c>
      <c r="BK9" s="379">
        <f>ROUND(SUMIFS(BS_RE33!$H$7:$H$874,BS_RE33!$S$7:$S$874,$BK$2,BS_RE33!$N$7:$N$874,I9,BS_RE33!$P$7:$P$874,'30 days CF Table(Ccy)'!G9,BS_RE33!$F$7:$F$874,'30 days CF Table(Ccy)'!$C$2),2)</f>
        <v>0</v>
      </c>
    </row>
    <row r="10" spans="1:63">
      <c r="C10" s="1029"/>
      <c r="D10" s="1030"/>
      <c r="E10" s="306" t="s">
        <v>69</v>
      </c>
      <c r="F10" s="312" t="s">
        <v>500</v>
      </c>
      <c r="G10" s="392" t="s">
        <v>501</v>
      </c>
      <c r="H10" s="130">
        <v>0.5</v>
      </c>
      <c r="I10" s="305" t="s">
        <v>63</v>
      </c>
      <c r="J10" s="477">
        <f t="shared" si="2"/>
        <v>0</v>
      </c>
      <c r="K10" s="335">
        <f t="shared" si="3"/>
        <v>0</v>
      </c>
      <c r="L10" s="337">
        <f>ROUND(SUMIFS(BS_RE33!$H$7:$H$874,BS_RE33!$S$7:$S$874,$L$2,BS_RE33!$N$7:$N$874,I10,BS_RE33!$P$7:$P$874,'30 days CF Table(Ccy)'!G10,BS_RE33!$F$7:$F$874,'30 days CF Table(Ccy)'!$C$2),2)</f>
        <v>0</v>
      </c>
      <c r="M10" s="337">
        <f>ROUND(SUMIFS(BS_RE33!$H$7:$H$874,BS_RE33!$S$7:$S$874,$M$2,BS_RE33!$N$7:$N$874,I10,BS_RE33!$P$7:$P$874,'30 days CF Table(Ccy)'!G10,BS_RE33!$F$7:$F$874,'30 days CF Table(Ccy)'!$C$2),2)</f>
        <v>0</v>
      </c>
      <c r="N10" s="337">
        <f>ROUND(SUMIFS(BS_RE33!$H$7:$H$874,BS_RE33!$S$7:$S$874,$N$2,BS_RE33!$N$7:$N$874,I10,BS_RE33!$P$7:$P$874,'30 days CF Table(Ccy)'!G10,BS_RE33!$F$7:$F$874,'30 days CF Table(Ccy)'!$C$2),2)</f>
        <v>0</v>
      </c>
      <c r="O10" s="337">
        <f>ROUND(SUMIFS(BS_RE33!$H$7:$H$874,BS_RE33!$S$7:$S$874,$O$2,BS_RE33!$N$7:$N$874,I10,BS_RE33!$P$7:$P$874,'30 days CF Table(Ccy)'!G10,BS_RE33!$F$7:$F$874,'30 days CF Table(Ccy)'!$C$2),2)</f>
        <v>0</v>
      </c>
      <c r="P10" s="337">
        <f>ROUND(SUMIFS(BS_RE33!$H$7:$H$874,BS_RE33!$S$7:$S$874,$P$2,BS_RE33!$N$7:$N$874,I10,BS_RE33!$P$7:$P$874,'30 days CF Table(Ccy)'!G10,BS_RE33!$F$7:$F$874,'30 days CF Table(Ccy)'!$C$2),2)</f>
        <v>0</v>
      </c>
      <c r="Q10" s="337">
        <f>ROUND(SUMIFS(BS_RE33!$H$7:$H$874,BS_RE33!$S$7:$S$874,$Q$2,BS_RE33!$N$7:$N$874,I10,BS_RE33!$P$7:$P$874,'30 days CF Table(Ccy)'!G10,BS_RE33!$F$7:$F$874,'30 days CF Table(Ccy)'!$C$2),2)</f>
        <v>0</v>
      </c>
      <c r="R10" s="337">
        <f>ROUND(SUMIFS(BS_RE33!$H$7:$H$874,BS_RE33!$S$7:$S$874,$R$2,BS_RE33!$N$7:$N$874,I10,BS_RE33!$P$7:$P$874,'30 days CF Table(Ccy)'!G10,BS_RE33!$F$7:$F$874,'30 days CF Table(Ccy)'!$C$2),2)</f>
        <v>0</v>
      </c>
      <c r="S10" s="337">
        <f>ROUND(SUMIFS(BS_RE33!$H$7:$H$874,BS_RE33!$S$7:$S$874,$S$2,BS_RE33!$N$7:$N$874,I10,BS_RE33!$P$7:$P$874,'30 days CF Table(Ccy)'!G10,BS_RE33!$F$7:$F$874,'30 days CF Table(Ccy)'!$C$2),2)</f>
        <v>0</v>
      </c>
      <c r="T10" s="337">
        <f>ROUND(SUMIFS(BS_RE33!$H$7:$H$874,BS_RE33!$S$7:$S$874,$T$2,BS_RE33!$N$7:$N$874,I10,BS_RE33!$P$7:$P$874,'30 days CF Table(Ccy)'!G10,BS_RE33!$F$7:$F$874,'30 days CF Table(Ccy)'!$C$2),2)</f>
        <v>0</v>
      </c>
      <c r="U10" s="337">
        <f>ROUND(SUMIFS(BS_RE33!$H$7:$H$874,BS_RE33!$S$7:$S$874,$U$2,BS_RE33!$N$7:$N$874,I10,BS_RE33!$P$7:$P$874,'30 days CF Table(Ccy)'!G10,BS_RE33!$F$7:$F$874,'30 days CF Table(Ccy)'!$C$2),2)</f>
        <v>0</v>
      </c>
      <c r="V10" s="337">
        <f>ROUND(SUMIFS(BS_RE33!$H$7:$H$874,BS_RE33!$S$7:$S$874,$V$2,BS_RE33!$N$7:$N$874,I10,BS_RE33!$P$7:$P$874,'30 days CF Table(Ccy)'!G10,BS_RE33!$F$7:$F$874,'30 days CF Table(Ccy)'!$C$2),2)</f>
        <v>0</v>
      </c>
      <c r="W10" s="337">
        <f>ROUND(SUMIFS(BS_RE33!$H$7:$H$874,BS_RE33!$S$7:$S$874,$W$2,BS_RE33!$N$7:$N$874,I10,BS_RE33!$P$7:$P$874,'30 days CF Table(Ccy)'!G10,BS_RE33!$F$7:$F$874,'30 days CF Table(Ccy)'!$C$2),2)</f>
        <v>0</v>
      </c>
      <c r="X10" s="337">
        <f>ROUND(SUMIFS(BS_RE33!$H$7:$H$874,BS_RE33!$S$7:$S$874,$X$2,BS_RE33!$N$7:$N$874,I10,BS_RE33!$P$7:$P$874,'30 days CF Table(Ccy)'!G10,BS_RE33!$F$7:$F$874,'30 days CF Table(Ccy)'!$C$2),2)</f>
        <v>0</v>
      </c>
      <c r="Y10" s="337">
        <f>ROUND(SUMIFS(BS_RE33!$H$7:$H$874,BS_RE33!$S$7:$S$874,$Y$2,BS_RE33!$N$7:$N$874,I10,BS_RE33!$P$7:$P$874,'30 days CF Table(Ccy)'!G10,BS_RE33!$F$7:$F$874,'30 days CF Table(Ccy)'!$C$2),2)</f>
        <v>0</v>
      </c>
      <c r="Z10" s="337">
        <f>ROUND(SUMIFS(BS_RE33!$H$7:$H$874,BS_RE33!$S$7:$S$874,$Z$2,BS_RE33!$N$7:$N$874,I10,BS_RE33!$P$7:$P$874,'30 days CF Table(Ccy)'!G10,BS_RE33!$F$7:$F$874,'30 days CF Table(Ccy)'!$C$2),2)</f>
        <v>0</v>
      </c>
      <c r="AA10" s="337">
        <f>ROUND(SUMIFS(BS_RE33!$H$7:$H$874,BS_RE33!$S$7:$S$874,$AA$2,BS_RE33!$N$7:$N$874,I10,BS_RE33!$P$7:$P$874,'30 days CF Table(Ccy)'!G10,BS_RE33!$F$7:$F$874,'30 days CF Table(Ccy)'!$C$2),2)</f>
        <v>0</v>
      </c>
      <c r="AB10" s="337">
        <f>ROUND(SUMIFS(BS_RE33!$H$7:$H$874,BS_RE33!$S$7:$S$874,$AB$2,BS_RE33!$N$7:$N$874,I10,BS_RE33!$P$7:$P$874,'30 days CF Table(Ccy)'!G10,BS_RE33!$F$7:$F$874,'30 days CF Table(Ccy)'!$C$2),2)</f>
        <v>0</v>
      </c>
      <c r="AC10" s="337">
        <f>ROUND(SUMIFS(BS_RE33!$H$7:$H$874,BS_RE33!$S$7:$S$874,$AC$2,BS_RE33!$N$7:$N$874,I10,BS_RE33!$P$7:$P$874,'30 days CF Table(Ccy)'!G10,BS_RE33!$F$7:$F$874,'30 days CF Table(Ccy)'!$C$2),2)</f>
        <v>0</v>
      </c>
      <c r="AD10" s="337">
        <f>ROUND(SUMIFS(BS_RE33!$H$7:$H$874,BS_RE33!$S$7:$S$874,$AD$2,BS_RE33!$N$7:$N$874,I10,BS_RE33!$P$7:$P$874,'30 days CF Table(Ccy)'!G10,BS_RE33!$F$7:$F$874,'30 days CF Table(Ccy)'!$C$2),2)</f>
        <v>0</v>
      </c>
      <c r="AE10" s="337">
        <f>ROUND(SUMIFS(BS_RE33!$H$7:$H$874,BS_RE33!$S$7:$S$874,$AE$2,BS_RE33!$N$7:$N$874,I10,BS_RE33!$P$7:$P$874,'30 days CF Table(Ccy)'!G10,BS_RE33!$F$7:$F$874,'30 days CF Table(Ccy)'!$C$2),2)</f>
        <v>0</v>
      </c>
      <c r="AF10" s="337">
        <f>ROUND(SUMIFS(BS_RE33!$H$7:$H$874,BS_RE33!$S$7:$S$874,$AF$2,BS_RE33!$N$7:$N$874,I10,BS_RE33!$P$7:$P$874,'30 days CF Table(Ccy)'!G10,BS_RE33!$F$7:$F$874,'30 days CF Table(Ccy)'!$C$2),2)</f>
        <v>0</v>
      </c>
      <c r="AG10" s="337">
        <f>ROUND(SUMIFS(BS_RE33!$H$7:$H$874,BS_RE33!$S$7:$S$874,$AG$2,BS_RE33!$N$7:$N$874,I10,BS_RE33!$P$7:$P$874,'30 days CF Table(Ccy)'!G10,BS_RE33!$F$7:$F$874,'30 days CF Table(Ccy)'!$C$2),2)</f>
        <v>0</v>
      </c>
      <c r="AH10" s="337">
        <f>ROUND(SUMIFS(BS_RE33!$H$7:$H$874,BS_RE33!$S$7:$S$874,$AH$2,BS_RE33!$N$7:$N$874,I10,BS_RE33!$P$7:$P$874,'30 days CF Table(Ccy)'!G10,BS_RE33!$F$7:$F$874,'30 days CF Table(Ccy)'!$C$2),2)</f>
        <v>0</v>
      </c>
      <c r="AI10" s="337">
        <f>ROUND(SUMIFS(BS_RE33!$H$7:$H$874,BS_RE33!$S$7:$S$874,$AI$2,BS_RE33!$N$7:$N$874,I10,BS_RE33!$P$7:$P$874,'30 days CF Table(Ccy)'!G10,BS_RE33!$F$7:$F$874,'30 days CF Table(Ccy)'!$C$2),2)</f>
        <v>0</v>
      </c>
      <c r="AJ10" s="337">
        <f>ROUND(SUMIFS(BS_RE33!$H$7:$H$874,BS_RE33!$S$7:$S$874,$AJ$2,BS_RE33!$N$7:$N$874,I10,BS_RE33!$P$7:$P$874,'30 days CF Table(Ccy)'!G10,BS_RE33!$F$7:$F$874,'30 days CF Table(Ccy)'!$C$2),2)</f>
        <v>0</v>
      </c>
      <c r="AK10" s="337">
        <f>ROUND(SUMIFS(BS_RE33!$H$7:$H$874,BS_RE33!$S$7:$S$874,$AK$2,BS_RE33!$N$7:$N$874,I10,BS_RE33!$P$7:$P$874,'30 days CF Table(Ccy)'!G10,BS_RE33!$F$7:$F$874,'30 days CF Table(Ccy)'!$C$2),2)</f>
        <v>0</v>
      </c>
      <c r="AL10" s="337">
        <f>ROUND(SUMIFS(BS_RE33!$H$7:$H$874,BS_RE33!$S$7:$S$874,$AL$2,BS_RE33!$N$7:$N$874,I10,BS_RE33!$P$7:$P$874,'30 days CF Table(Ccy)'!G10,BS_RE33!$F$7:$F$874,'30 days CF Table(Ccy)'!$C$2),2)</f>
        <v>0</v>
      </c>
      <c r="AM10" s="337">
        <f>ROUND(SUMIFS(BS_RE33!$H$7:$H$874,BS_RE33!$S$7:$S$874,$AM$2,BS_RE33!$N$7:$N$874,I10,BS_RE33!$P$7:$P$874,'30 days CF Table(Ccy)'!G10,BS_RE33!$F$7:$F$874,'30 days CF Table(Ccy)'!$C$2),2)</f>
        <v>0</v>
      </c>
      <c r="AN10" s="337">
        <f>ROUND(SUMIFS(BS_RE33!$H$7:$H$874,BS_RE33!$S$7:$S$874,$AN$2,BS_RE33!$N$7:$N$874,I10,BS_RE33!$P$7:$P$874,'30 days CF Table(Ccy)'!G10,BS_RE33!$F$7:$F$874,'30 days CF Table(Ccy)'!$C$2),2)</f>
        <v>0</v>
      </c>
      <c r="AO10" s="337">
        <f>ROUND(SUMIFS(BS_RE33!$H$7:$H$874,BS_RE33!$S$7:$S$874,$AO$2,BS_RE33!$N$7:$N$874,I10,BS_RE33!$P$7:$P$874,'30 days CF Table(Ccy)'!G10,BS_RE33!$F$7:$F$874,'30 days CF Table(Ccy)'!$C$2),2)</f>
        <v>0</v>
      </c>
      <c r="AP10" s="338">
        <f>ROUND(SUMIFS(BS_RE33!$H$7:$H$874,BS_RE33!$S$7:$S$874,$AP$2,BS_RE33!$N$7:$N$874,I10,BS_RE33!$P$7:$P$874,'30 days CF Table(Ccy)'!G10,BS_RE33!$F$7:$F$874,'30 days CF Table(Ccy)'!$C$2),2)</f>
        <v>0</v>
      </c>
      <c r="AQ10" s="545"/>
      <c r="AR10" s="379">
        <f>ROUND(SUMIFS(BS_RE33!$H$7:$H$874,BS_RE33!$S$7:$S$874,$AR$2,BS_RE33!$N$7:$N$874,I10,BS_RE33!$P$7:$P$874,'30 days CF Table(Ccy)'!G10,BS_RE33!$F$7:$F$874,'30 days CF Table(Ccy)'!$C$2),2)</f>
        <v>0</v>
      </c>
      <c r="AS10" s="379">
        <f>ROUND(SUMIFS(BS_RE33!$H$7:$H$874,BS_RE33!$S$7:$S$874,$AS$2,BS_RE33!$N$7:$N$874,I10,BS_RE33!$P$7:$P$874,'30 days CF Table(Ccy)'!G10,BS_RE33!$F$7:$F$874,'30 days CF Table(Ccy)'!$C$2),2)</f>
        <v>0</v>
      </c>
      <c r="AT10" s="379">
        <f>ROUND(SUMIFS(BS_RE33!$H$7:$H$874,BS_RE33!$S$7:$S$874,$AT$2,BS_RE33!$N$7:$N$874,I10,BS_RE33!$P$7:$P$874,'30 days CF Table(Ccy)'!G10,BS_RE33!$F$7:$F$874,'30 days CF Table(Ccy)'!$C$2),2)</f>
        <v>0</v>
      </c>
      <c r="AU10" s="379">
        <f>ROUND(SUMIFS(BS_RE33!$H$7:$H$874,BS_RE33!$S$7:$S$874,$AU$2,BS_RE33!$N$7:$N$874,I10,BS_RE33!$P$7:$P$874,'30 days CF Table(Ccy)'!G10,BS_RE33!$F$7:$F$874,'30 days CF Table(Ccy)'!$C$2),2)</f>
        <v>0</v>
      </c>
      <c r="AV10" s="379">
        <f>ROUND(SUMIFS(BS_RE33!$H$7:$H$874,BS_RE33!$S$7:$S$874,$AV$2,BS_RE33!$N$7:$N$874,I10,BS_RE33!$P$7:$P$874,'30 days CF Table(Ccy)'!G10,BS_RE33!$F$7:$F$874,'30 days CF Table(Ccy)'!$C$2),2)</f>
        <v>0</v>
      </c>
      <c r="AW10" s="379">
        <f>ROUND(SUMIFS(BS_RE33!$H$7:$H$874,BS_RE33!$S$7:$S$874,$AW$2,BS_RE33!$N$7:$N$874,I10,BS_RE33!$P$7:$P$874,'30 days CF Table(Ccy)'!G10,BS_RE33!$F$7:$F$874,'30 days CF Table(Ccy)'!$C$2),2)</f>
        <v>0</v>
      </c>
      <c r="AX10" s="379">
        <f>ROUND(SUMIFS(BS_RE33!$H$7:$H$874,BS_RE33!$S$7:$S$874,$AX$2,BS_RE33!$N$7:$N$874,I10,BS_RE33!$P$7:$P$874,'30 days CF Table(Ccy)'!G10,BS_RE33!$F$7:$F$874,'30 days CF Table(Ccy)'!$C$2),2)</f>
        <v>0</v>
      </c>
      <c r="AY10" s="379">
        <f>ROUND(SUMIFS(BS_RE33!$H$7:$H$874,BS_RE33!$S$7:$S$874,$AY$2,BS_RE33!$N$7:$N$874,I10,BS_RE33!$P$7:$P$874,'30 days CF Table(Ccy)'!G10,BS_RE33!$F$7:$F$874,'30 days CF Table(Ccy)'!$C$2),2)</f>
        <v>0</v>
      </c>
      <c r="AZ10" s="379">
        <f>ROUND(SUMIFS(BS_RE33!$H$7:$H$874,BS_RE33!$S$7:$S$874,$AZ$2,BS_RE33!$N$7:$N$874,I10,BS_RE33!$P$7:$P$874,'30 days CF Table(Ccy)'!G10,BS_RE33!$F$7:$F$874,'30 days CF Table(Ccy)'!$C$2),2)</f>
        <v>0</v>
      </c>
      <c r="BA10" s="379">
        <f>ROUND(SUMIFS(BS_RE33!$H$7:$H$874,BS_RE33!$S$7:$S$874,$BA$2,BS_RE33!$N$7:$N$874,I10,BS_RE33!$P$7:$P$874,'30 days CF Table(Ccy)'!G10,BS_RE33!$F$7:$F$874,'30 days CF Table(Ccy)'!$C$2),2)</f>
        <v>0</v>
      </c>
      <c r="BB10" s="379">
        <f>ROUND(SUMIFS(BS_RE33!$H$7:$H$874,BS_RE33!$S$7:$S$874,$BB$2,BS_RE33!$N$7:$N$874,I10,BS_RE33!$P$7:$P$874,'30 days CF Table(Ccy)'!G10,BS_RE33!$F$7:$F$874,'30 days CF Table(Ccy)'!$C$2),2)</f>
        <v>0</v>
      </c>
      <c r="BC10" s="379">
        <f>ROUND(SUMIFS(BS_RE33!$H$7:$H$874,BS_RE33!$S$7:$S$874,$BC$2,BS_RE33!$N$7:$N$874,I10,BS_RE33!$P$7:$P$874,'30 days CF Table(Ccy)'!G10,BS_RE33!$F$7:$F$874,'30 days CF Table(Ccy)'!$C$2),2)</f>
        <v>0</v>
      </c>
      <c r="BD10" s="379">
        <f>ROUND(SUMIFS(BS_RE33!$H$7:$H$874,BS_RE33!$S$7:$S$874,$BD$2,BS_RE33!$N$7:$N$874,I10,BS_RE33!$P$7:$P$874,'30 days CF Table(Ccy)'!G10,BS_RE33!$F$7:$F$874,'30 days CF Table(Ccy)'!$C$2),2)</f>
        <v>0</v>
      </c>
      <c r="BE10" s="379">
        <f>ROUND(SUMIFS(BS_RE33!$H$7:$H$874,BS_RE33!$S$7:$S$874,$BE$2,BS_RE33!$N$7:$N$874,I10,BS_RE33!$P$7:$P$874,'30 days CF Table(Ccy)'!G10,BS_RE33!$F$7:$F$874,'30 days CF Table(Ccy)'!$C$2),2)</f>
        <v>0</v>
      </c>
      <c r="BF10" s="379">
        <f>ROUND(SUMIFS(BS_RE33!$H$7:$H$874,BS_RE33!$S$7:$S$874,$BF$2,BS_RE33!$N$7:$N$874,I10,BS_RE33!$P$7:$P$874,'30 days CF Table(Ccy)'!G10,BS_RE33!$F$7:$F$874,'30 days CF Table(Ccy)'!$C$2),2)</f>
        <v>0</v>
      </c>
      <c r="BG10" s="379">
        <f>ROUND(SUMIFS(BS_RE33!$H$7:$H$874,BS_RE33!$S$7:$S$874,$BG$2,BS_RE33!$N$7:$N$874,I10,BS_RE33!$P$7:$P$874,'30 days CF Table(Ccy)'!G10,BS_RE33!$F$7:$F$874,'30 days CF Table(Ccy)'!$C$2),2)</f>
        <v>0</v>
      </c>
      <c r="BH10" s="379">
        <f>ROUND(SUMIFS(BS_RE33!$H$7:$H$874,BS_RE33!$S$7:$S$874,$BH$2,BS_RE33!$N$7:$N$874,I10,BS_RE33!$P$7:$P$874,'30 days CF Table(Ccy)'!G10,BS_RE33!$F$7:$F$874,'30 days CF Table(Ccy)'!$C$2),2)</f>
        <v>0</v>
      </c>
      <c r="BI10" s="379">
        <f>ROUND(SUMIFS(BS_RE33!$H$7:$H$874,BS_RE33!$S$7:$S$874,$BI$2,BS_RE33!$N$7:$N$874,I10,BS_RE33!$P$7:$P$874,'30 days CF Table(Ccy)'!G10,BS_RE33!$F$7:$F$874,'30 days CF Table(Ccy)'!$C$2),2)</f>
        <v>0</v>
      </c>
      <c r="BJ10" s="379">
        <f>ROUND(SUMIFS(BS_RE33!$H$7:$H$874,BS_RE33!$S$7:$S$874,$BJ$2,BS_RE33!$N$7:$N$874,I10,BS_RE33!$P$7:$P$874,'30 days CF Table(Ccy)'!G10,BS_RE33!$F$7:$F$874,'30 days CF Table(Ccy)'!$C$2),2)</f>
        <v>0</v>
      </c>
      <c r="BK10" s="379">
        <f>ROUND(SUMIFS(BS_RE33!$H$7:$H$874,BS_RE33!$S$7:$S$874,$BK$2,BS_RE33!$N$7:$N$874,I10,BS_RE33!$P$7:$P$874,'30 days CF Table(Ccy)'!G10,BS_RE33!$F$7:$F$874,'30 days CF Table(Ccy)'!$C$2),2)</f>
        <v>0</v>
      </c>
    </row>
    <row r="11" spans="1:63">
      <c r="C11" s="1029"/>
      <c r="D11" s="1030"/>
      <c r="E11" s="306" t="s">
        <v>69</v>
      </c>
      <c r="F11" s="312" t="s">
        <v>502</v>
      </c>
      <c r="G11" s="392" t="s">
        <v>503</v>
      </c>
      <c r="H11" s="130">
        <v>0.5</v>
      </c>
      <c r="I11" s="305" t="s">
        <v>63</v>
      </c>
      <c r="J11" s="477">
        <f t="shared" si="2"/>
        <v>0</v>
      </c>
      <c r="K11" s="335">
        <f t="shared" si="3"/>
        <v>0</v>
      </c>
      <c r="L11" s="337">
        <f>ROUND(SUMIFS(BS_RE33!$H$7:$H$874,BS_RE33!$S$7:$S$874,$L$2,BS_RE33!$N$7:$N$874,I11,BS_RE33!$P$7:$P$874,'30 days CF Table(Ccy)'!G11,BS_RE33!$F$7:$F$874,'30 days CF Table(Ccy)'!$C$2),2)</f>
        <v>0</v>
      </c>
      <c r="M11" s="337">
        <f>ROUND(SUMIFS(BS_RE33!$H$7:$H$874,BS_RE33!$S$7:$S$874,$M$2,BS_RE33!$N$7:$N$874,I11,BS_RE33!$P$7:$P$874,'30 days CF Table(Ccy)'!G11,BS_RE33!$F$7:$F$874,'30 days CF Table(Ccy)'!$C$2),2)</f>
        <v>0</v>
      </c>
      <c r="N11" s="337">
        <f>ROUND(SUMIFS(BS_RE33!$H$7:$H$874,BS_RE33!$S$7:$S$874,$N$2,BS_RE33!$N$7:$N$874,I11,BS_RE33!$P$7:$P$874,'30 days CF Table(Ccy)'!G11,BS_RE33!$F$7:$F$874,'30 days CF Table(Ccy)'!$C$2),2)</f>
        <v>0</v>
      </c>
      <c r="O11" s="337">
        <f>ROUND(SUMIFS(BS_RE33!$H$7:$H$874,BS_RE33!$S$7:$S$874,$O$2,BS_RE33!$N$7:$N$874,I11,BS_RE33!$P$7:$P$874,'30 days CF Table(Ccy)'!G11,BS_RE33!$F$7:$F$874,'30 days CF Table(Ccy)'!$C$2),2)</f>
        <v>0</v>
      </c>
      <c r="P11" s="337">
        <f>ROUND(SUMIFS(BS_RE33!$H$7:$H$874,BS_RE33!$S$7:$S$874,$P$2,BS_RE33!$N$7:$N$874,I11,BS_RE33!$P$7:$P$874,'30 days CF Table(Ccy)'!G11,BS_RE33!$F$7:$F$874,'30 days CF Table(Ccy)'!$C$2),2)</f>
        <v>0</v>
      </c>
      <c r="Q11" s="337">
        <f>ROUND(SUMIFS(BS_RE33!$H$7:$H$874,BS_RE33!$S$7:$S$874,$Q$2,BS_RE33!$N$7:$N$874,I11,BS_RE33!$P$7:$P$874,'30 days CF Table(Ccy)'!G11,BS_RE33!$F$7:$F$874,'30 days CF Table(Ccy)'!$C$2),2)</f>
        <v>0</v>
      </c>
      <c r="R11" s="337">
        <f>ROUND(SUMIFS(BS_RE33!$H$7:$H$874,BS_RE33!$S$7:$S$874,$R$2,BS_RE33!$N$7:$N$874,I11,BS_RE33!$P$7:$P$874,'30 days CF Table(Ccy)'!G11,BS_RE33!$F$7:$F$874,'30 days CF Table(Ccy)'!$C$2),2)</f>
        <v>0</v>
      </c>
      <c r="S11" s="337">
        <f>ROUND(SUMIFS(BS_RE33!$H$7:$H$874,BS_RE33!$S$7:$S$874,$S$2,BS_RE33!$N$7:$N$874,I11,BS_RE33!$P$7:$P$874,'30 days CF Table(Ccy)'!G11,BS_RE33!$F$7:$F$874,'30 days CF Table(Ccy)'!$C$2),2)</f>
        <v>0</v>
      </c>
      <c r="T11" s="337">
        <f>ROUND(SUMIFS(BS_RE33!$H$7:$H$874,BS_RE33!$S$7:$S$874,$T$2,BS_RE33!$N$7:$N$874,I11,BS_RE33!$P$7:$P$874,'30 days CF Table(Ccy)'!G11,BS_RE33!$F$7:$F$874,'30 days CF Table(Ccy)'!$C$2),2)</f>
        <v>0</v>
      </c>
      <c r="U11" s="337">
        <f>ROUND(SUMIFS(BS_RE33!$H$7:$H$874,BS_RE33!$S$7:$S$874,$U$2,BS_RE33!$N$7:$N$874,I11,BS_RE33!$P$7:$P$874,'30 days CF Table(Ccy)'!G11,BS_RE33!$F$7:$F$874,'30 days CF Table(Ccy)'!$C$2),2)</f>
        <v>0</v>
      </c>
      <c r="V11" s="337">
        <f>ROUND(SUMIFS(BS_RE33!$H$7:$H$874,BS_RE33!$S$7:$S$874,$V$2,BS_RE33!$N$7:$N$874,I11,BS_RE33!$P$7:$P$874,'30 days CF Table(Ccy)'!G11,BS_RE33!$F$7:$F$874,'30 days CF Table(Ccy)'!$C$2),2)</f>
        <v>0</v>
      </c>
      <c r="W11" s="337">
        <f>ROUND(SUMIFS(BS_RE33!$H$7:$H$874,BS_RE33!$S$7:$S$874,$W$2,BS_RE33!$N$7:$N$874,I11,BS_RE33!$P$7:$P$874,'30 days CF Table(Ccy)'!G11,BS_RE33!$F$7:$F$874,'30 days CF Table(Ccy)'!$C$2),2)</f>
        <v>0</v>
      </c>
      <c r="X11" s="337">
        <f>ROUND(SUMIFS(BS_RE33!$H$7:$H$874,BS_RE33!$S$7:$S$874,$X$2,BS_RE33!$N$7:$N$874,I11,BS_RE33!$P$7:$P$874,'30 days CF Table(Ccy)'!G11,BS_RE33!$F$7:$F$874,'30 days CF Table(Ccy)'!$C$2),2)</f>
        <v>0</v>
      </c>
      <c r="Y11" s="337">
        <f>ROUND(SUMIFS(BS_RE33!$H$7:$H$874,BS_RE33!$S$7:$S$874,$Y$2,BS_RE33!$N$7:$N$874,I11,BS_RE33!$P$7:$P$874,'30 days CF Table(Ccy)'!G11,BS_RE33!$F$7:$F$874,'30 days CF Table(Ccy)'!$C$2),2)</f>
        <v>0</v>
      </c>
      <c r="Z11" s="337">
        <f>ROUND(SUMIFS(BS_RE33!$H$7:$H$874,BS_RE33!$S$7:$S$874,$Z$2,BS_RE33!$N$7:$N$874,I11,BS_RE33!$P$7:$P$874,'30 days CF Table(Ccy)'!G11,BS_RE33!$F$7:$F$874,'30 days CF Table(Ccy)'!$C$2),2)</f>
        <v>0</v>
      </c>
      <c r="AA11" s="337">
        <f>ROUND(SUMIFS(BS_RE33!$H$7:$H$874,BS_RE33!$S$7:$S$874,$AA$2,BS_RE33!$N$7:$N$874,I11,BS_RE33!$P$7:$P$874,'30 days CF Table(Ccy)'!G11,BS_RE33!$F$7:$F$874,'30 days CF Table(Ccy)'!$C$2),2)</f>
        <v>0</v>
      </c>
      <c r="AB11" s="337">
        <f>ROUND(SUMIFS(BS_RE33!$H$7:$H$874,BS_RE33!$S$7:$S$874,$AB$2,BS_RE33!$N$7:$N$874,I11,BS_RE33!$P$7:$P$874,'30 days CF Table(Ccy)'!G11,BS_RE33!$F$7:$F$874,'30 days CF Table(Ccy)'!$C$2),2)</f>
        <v>0</v>
      </c>
      <c r="AC11" s="337">
        <f>ROUND(SUMIFS(BS_RE33!$H$7:$H$874,BS_RE33!$S$7:$S$874,$AC$2,BS_RE33!$N$7:$N$874,I11,BS_RE33!$P$7:$P$874,'30 days CF Table(Ccy)'!G11,BS_RE33!$F$7:$F$874,'30 days CF Table(Ccy)'!$C$2),2)</f>
        <v>0</v>
      </c>
      <c r="AD11" s="337">
        <f>ROUND(SUMIFS(BS_RE33!$H$7:$H$874,BS_RE33!$S$7:$S$874,$AD$2,BS_RE33!$N$7:$N$874,I11,BS_RE33!$P$7:$P$874,'30 days CF Table(Ccy)'!G11,BS_RE33!$F$7:$F$874,'30 days CF Table(Ccy)'!$C$2),2)</f>
        <v>0</v>
      </c>
      <c r="AE11" s="337">
        <f>ROUND(SUMIFS(BS_RE33!$H$7:$H$874,BS_RE33!$S$7:$S$874,$AE$2,BS_RE33!$N$7:$N$874,I11,BS_RE33!$P$7:$P$874,'30 days CF Table(Ccy)'!G11,BS_RE33!$F$7:$F$874,'30 days CF Table(Ccy)'!$C$2),2)</f>
        <v>0</v>
      </c>
      <c r="AF11" s="337">
        <f>ROUND(SUMIFS(BS_RE33!$H$7:$H$874,BS_RE33!$S$7:$S$874,$AF$2,BS_RE33!$N$7:$N$874,I11,BS_RE33!$P$7:$P$874,'30 days CF Table(Ccy)'!G11,BS_RE33!$F$7:$F$874,'30 days CF Table(Ccy)'!$C$2),2)</f>
        <v>0</v>
      </c>
      <c r="AG11" s="337">
        <f>ROUND(SUMIFS(BS_RE33!$H$7:$H$874,BS_RE33!$S$7:$S$874,$AG$2,BS_RE33!$N$7:$N$874,I11,BS_RE33!$P$7:$P$874,'30 days CF Table(Ccy)'!G11,BS_RE33!$F$7:$F$874,'30 days CF Table(Ccy)'!$C$2),2)</f>
        <v>0</v>
      </c>
      <c r="AH11" s="337">
        <f>ROUND(SUMIFS(BS_RE33!$H$7:$H$874,BS_RE33!$S$7:$S$874,$AH$2,BS_RE33!$N$7:$N$874,I11,BS_RE33!$P$7:$P$874,'30 days CF Table(Ccy)'!G11,BS_RE33!$F$7:$F$874,'30 days CF Table(Ccy)'!$C$2),2)</f>
        <v>0</v>
      </c>
      <c r="AI11" s="337">
        <f>ROUND(SUMIFS(BS_RE33!$H$7:$H$874,BS_RE33!$S$7:$S$874,$AI$2,BS_RE33!$N$7:$N$874,I11,BS_RE33!$P$7:$P$874,'30 days CF Table(Ccy)'!G11,BS_RE33!$F$7:$F$874,'30 days CF Table(Ccy)'!$C$2),2)</f>
        <v>0</v>
      </c>
      <c r="AJ11" s="337">
        <f>ROUND(SUMIFS(BS_RE33!$H$7:$H$874,BS_RE33!$S$7:$S$874,$AJ$2,BS_RE33!$N$7:$N$874,I11,BS_RE33!$P$7:$P$874,'30 days CF Table(Ccy)'!G11,BS_RE33!$F$7:$F$874,'30 days CF Table(Ccy)'!$C$2),2)</f>
        <v>0</v>
      </c>
      <c r="AK11" s="337">
        <f>ROUND(SUMIFS(BS_RE33!$H$7:$H$874,BS_RE33!$S$7:$S$874,$AK$2,BS_RE33!$N$7:$N$874,I11,BS_RE33!$P$7:$P$874,'30 days CF Table(Ccy)'!G11,BS_RE33!$F$7:$F$874,'30 days CF Table(Ccy)'!$C$2),2)</f>
        <v>0</v>
      </c>
      <c r="AL11" s="337">
        <f>ROUND(SUMIFS(BS_RE33!$H$7:$H$874,BS_RE33!$S$7:$S$874,$AL$2,BS_RE33!$N$7:$N$874,I11,BS_RE33!$P$7:$P$874,'30 days CF Table(Ccy)'!G11,BS_RE33!$F$7:$F$874,'30 days CF Table(Ccy)'!$C$2),2)</f>
        <v>0</v>
      </c>
      <c r="AM11" s="337">
        <f>ROUND(SUMIFS(BS_RE33!$H$7:$H$874,BS_RE33!$S$7:$S$874,$AM$2,BS_RE33!$N$7:$N$874,I11,BS_RE33!$P$7:$P$874,'30 days CF Table(Ccy)'!G11,BS_RE33!$F$7:$F$874,'30 days CF Table(Ccy)'!$C$2),2)</f>
        <v>0</v>
      </c>
      <c r="AN11" s="337">
        <f>ROUND(SUMIFS(BS_RE33!$H$7:$H$874,BS_RE33!$S$7:$S$874,$AN$2,BS_RE33!$N$7:$N$874,I11,BS_RE33!$P$7:$P$874,'30 days CF Table(Ccy)'!G11,BS_RE33!$F$7:$F$874,'30 days CF Table(Ccy)'!$C$2),2)</f>
        <v>0</v>
      </c>
      <c r="AO11" s="337">
        <f>ROUND(SUMIFS(BS_RE33!$H$7:$H$874,BS_RE33!$S$7:$S$874,$AO$2,BS_RE33!$N$7:$N$874,I11,BS_RE33!$P$7:$P$874,'30 days CF Table(Ccy)'!G11,BS_RE33!$F$7:$F$874,'30 days CF Table(Ccy)'!$C$2),2)</f>
        <v>0</v>
      </c>
      <c r="AP11" s="338">
        <f>ROUND(SUMIFS(BS_RE33!$H$7:$H$874,BS_RE33!$S$7:$S$874,$AP$2,BS_RE33!$N$7:$N$874,I11,BS_RE33!$P$7:$P$874,'30 days CF Table(Ccy)'!G11,BS_RE33!$F$7:$F$874,'30 days CF Table(Ccy)'!$C$2),2)</f>
        <v>0</v>
      </c>
      <c r="AQ11" s="545"/>
      <c r="AR11" s="379">
        <f>ROUND(SUMIFS(BS_RE33!$H$7:$H$874,BS_RE33!$S$7:$S$874,$AR$2,BS_RE33!$N$7:$N$874,I11,BS_RE33!$P$7:$P$874,'30 days CF Table(Ccy)'!G11,BS_RE33!$F$7:$F$874,'30 days CF Table(Ccy)'!$C$2),2)</f>
        <v>0</v>
      </c>
      <c r="AS11" s="379">
        <f>ROUND(SUMIFS(BS_RE33!$H$7:$H$874,BS_RE33!$S$7:$S$874,$AS$2,BS_RE33!$N$7:$N$874,I11,BS_RE33!$P$7:$P$874,'30 days CF Table(Ccy)'!G11,BS_RE33!$F$7:$F$874,'30 days CF Table(Ccy)'!$C$2),2)</f>
        <v>0</v>
      </c>
      <c r="AT11" s="379">
        <f>ROUND(SUMIFS(BS_RE33!$H$7:$H$874,BS_RE33!$S$7:$S$874,$AT$2,BS_RE33!$N$7:$N$874,I11,BS_RE33!$P$7:$P$874,'30 days CF Table(Ccy)'!G11,BS_RE33!$F$7:$F$874,'30 days CF Table(Ccy)'!$C$2),2)</f>
        <v>0</v>
      </c>
      <c r="AU11" s="379">
        <f>ROUND(SUMIFS(BS_RE33!$H$7:$H$874,BS_RE33!$S$7:$S$874,$AU$2,BS_RE33!$N$7:$N$874,I11,BS_RE33!$P$7:$P$874,'30 days CF Table(Ccy)'!G11,BS_RE33!$F$7:$F$874,'30 days CF Table(Ccy)'!$C$2),2)</f>
        <v>0</v>
      </c>
      <c r="AV11" s="379">
        <f>ROUND(SUMIFS(BS_RE33!$H$7:$H$874,BS_RE33!$S$7:$S$874,$AV$2,BS_RE33!$N$7:$N$874,I11,BS_RE33!$P$7:$P$874,'30 days CF Table(Ccy)'!G11,BS_RE33!$F$7:$F$874,'30 days CF Table(Ccy)'!$C$2),2)</f>
        <v>0</v>
      </c>
      <c r="AW11" s="379">
        <f>ROUND(SUMIFS(BS_RE33!$H$7:$H$874,BS_RE33!$S$7:$S$874,$AW$2,BS_RE33!$N$7:$N$874,I11,BS_RE33!$P$7:$P$874,'30 days CF Table(Ccy)'!G11,BS_RE33!$F$7:$F$874,'30 days CF Table(Ccy)'!$C$2),2)</f>
        <v>0</v>
      </c>
      <c r="AX11" s="379">
        <f>ROUND(SUMIFS(BS_RE33!$H$7:$H$874,BS_RE33!$S$7:$S$874,$AX$2,BS_RE33!$N$7:$N$874,I11,BS_RE33!$P$7:$P$874,'30 days CF Table(Ccy)'!G11,BS_RE33!$F$7:$F$874,'30 days CF Table(Ccy)'!$C$2),2)</f>
        <v>0</v>
      </c>
      <c r="AY11" s="379">
        <f>ROUND(SUMIFS(BS_RE33!$H$7:$H$874,BS_RE33!$S$7:$S$874,$AY$2,BS_RE33!$N$7:$N$874,I11,BS_RE33!$P$7:$P$874,'30 days CF Table(Ccy)'!G11,BS_RE33!$F$7:$F$874,'30 days CF Table(Ccy)'!$C$2),2)</f>
        <v>0</v>
      </c>
      <c r="AZ11" s="379">
        <f>ROUND(SUMIFS(BS_RE33!$H$7:$H$874,BS_RE33!$S$7:$S$874,$AZ$2,BS_RE33!$N$7:$N$874,I11,BS_RE33!$P$7:$P$874,'30 days CF Table(Ccy)'!G11,BS_RE33!$F$7:$F$874,'30 days CF Table(Ccy)'!$C$2),2)</f>
        <v>0</v>
      </c>
      <c r="BA11" s="379">
        <f>ROUND(SUMIFS(BS_RE33!$H$7:$H$874,BS_RE33!$S$7:$S$874,$BA$2,BS_RE33!$N$7:$N$874,I11,BS_RE33!$P$7:$P$874,'30 days CF Table(Ccy)'!G11,BS_RE33!$F$7:$F$874,'30 days CF Table(Ccy)'!$C$2),2)</f>
        <v>0</v>
      </c>
      <c r="BB11" s="379">
        <f>ROUND(SUMIFS(BS_RE33!$H$7:$H$874,BS_RE33!$S$7:$S$874,$BB$2,BS_RE33!$N$7:$N$874,I11,BS_RE33!$P$7:$P$874,'30 days CF Table(Ccy)'!G11,BS_RE33!$F$7:$F$874,'30 days CF Table(Ccy)'!$C$2),2)</f>
        <v>0</v>
      </c>
      <c r="BC11" s="379">
        <f>ROUND(SUMIFS(BS_RE33!$H$7:$H$874,BS_RE33!$S$7:$S$874,$BC$2,BS_RE33!$N$7:$N$874,I11,BS_RE33!$P$7:$P$874,'30 days CF Table(Ccy)'!G11,BS_RE33!$F$7:$F$874,'30 days CF Table(Ccy)'!$C$2),2)</f>
        <v>0</v>
      </c>
      <c r="BD11" s="379">
        <f>ROUND(SUMIFS(BS_RE33!$H$7:$H$874,BS_RE33!$S$7:$S$874,$BD$2,BS_RE33!$N$7:$N$874,I11,BS_RE33!$P$7:$P$874,'30 days CF Table(Ccy)'!G11,BS_RE33!$F$7:$F$874,'30 days CF Table(Ccy)'!$C$2),2)</f>
        <v>0</v>
      </c>
      <c r="BE11" s="379">
        <f>ROUND(SUMIFS(BS_RE33!$H$7:$H$874,BS_RE33!$S$7:$S$874,$BE$2,BS_RE33!$N$7:$N$874,I11,BS_RE33!$P$7:$P$874,'30 days CF Table(Ccy)'!G11,BS_RE33!$F$7:$F$874,'30 days CF Table(Ccy)'!$C$2),2)</f>
        <v>0</v>
      </c>
      <c r="BF11" s="379">
        <f>ROUND(SUMIFS(BS_RE33!$H$7:$H$874,BS_RE33!$S$7:$S$874,$BF$2,BS_RE33!$N$7:$N$874,I11,BS_RE33!$P$7:$P$874,'30 days CF Table(Ccy)'!G11,BS_RE33!$F$7:$F$874,'30 days CF Table(Ccy)'!$C$2),2)</f>
        <v>0</v>
      </c>
      <c r="BG11" s="379">
        <f>ROUND(SUMIFS(BS_RE33!$H$7:$H$874,BS_RE33!$S$7:$S$874,$BG$2,BS_RE33!$N$7:$N$874,I11,BS_RE33!$P$7:$P$874,'30 days CF Table(Ccy)'!G11,BS_RE33!$F$7:$F$874,'30 days CF Table(Ccy)'!$C$2),2)</f>
        <v>0</v>
      </c>
      <c r="BH11" s="379">
        <f>ROUND(SUMIFS(BS_RE33!$H$7:$H$874,BS_RE33!$S$7:$S$874,$BH$2,BS_RE33!$N$7:$N$874,I11,BS_RE33!$P$7:$P$874,'30 days CF Table(Ccy)'!G11,BS_RE33!$F$7:$F$874,'30 days CF Table(Ccy)'!$C$2),2)</f>
        <v>0</v>
      </c>
      <c r="BI11" s="379">
        <f>ROUND(SUMIFS(BS_RE33!$H$7:$H$874,BS_RE33!$S$7:$S$874,$BI$2,BS_RE33!$N$7:$N$874,I11,BS_RE33!$P$7:$P$874,'30 days CF Table(Ccy)'!G11,BS_RE33!$F$7:$F$874,'30 days CF Table(Ccy)'!$C$2),2)</f>
        <v>0</v>
      </c>
      <c r="BJ11" s="379">
        <f>ROUND(SUMIFS(BS_RE33!$H$7:$H$874,BS_RE33!$S$7:$S$874,$BJ$2,BS_RE33!$N$7:$N$874,I11,BS_RE33!$P$7:$P$874,'30 days CF Table(Ccy)'!G11,BS_RE33!$F$7:$F$874,'30 days CF Table(Ccy)'!$C$2),2)</f>
        <v>0</v>
      </c>
      <c r="BK11" s="379">
        <f>ROUND(SUMIFS(BS_RE33!$H$7:$H$874,BS_RE33!$S$7:$S$874,$BK$2,BS_RE33!$N$7:$N$874,I11,BS_RE33!$P$7:$P$874,'30 days CF Table(Ccy)'!G11,BS_RE33!$F$7:$F$874,'30 days CF Table(Ccy)'!$C$2),2)</f>
        <v>0</v>
      </c>
    </row>
    <row r="12" spans="1:63" s="395" customFormat="1">
      <c r="C12" s="1029"/>
      <c r="D12" s="1030"/>
      <c r="E12" s="306" t="s">
        <v>69</v>
      </c>
      <c r="F12" s="312" t="s">
        <v>504</v>
      </c>
      <c r="G12" s="392" t="s">
        <v>505</v>
      </c>
      <c r="H12" s="130">
        <v>1</v>
      </c>
      <c r="I12" s="305" t="s">
        <v>63</v>
      </c>
      <c r="J12" s="477">
        <f t="shared" si="2"/>
        <v>0</v>
      </c>
      <c r="K12" s="335">
        <f t="shared" si="3"/>
        <v>0</v>
      </c>
      <c r="L12" s="337">
        <f>ROUND(SUMIFS(BS_RE33!$H$7:$H$874,BS_RE33!$S$7:$S$874,$L$2,BS_RE33!$N$7:$N$874,I12,BS_RE33!$P$7:$P$874,'30 days CF Table(Ccy)'!G12,BS_RE33!$F$7:$F$874,'30 days CF Table(Ccy)'!$C$2),2)</f>
        <v>0</v>
      </c>
      <c r="M12" s="337">
        <f>ROUND(SUMIFS(BS_RE33!$H$7:$H$874,BS_RE33!$S$7:$S$874,$M$2,BS_RE33!$N$7:$N$874,I12,BS_RE33!$P$7:$P$874,'30 days CF Table(Ccy)'!G12,BS_RE33!$F$7:$F$874,'30 days CF Table(Ccy)'!$C$2),2)</f>
        <v>0</v>
      </c>
      <c r="N12" s="337">
        <f>ROUND(SUMIFS(BS_RE33!$H$7:$H$874,BS_RE33!$S$7:$S$874,$N$2,BS_RE33!$N$7:$N$874,I12,BS_RE33!$P$7:$P$874,'30 days CF Table(Ccy)'!G12,BS_RE33!$F$7:$F$874,'30 days CF Table(Ccy)'!$C$2),2)</f>
        <v>0</v>
      </c>
      <c r="O12" s="337">
        <f>ROUND(SUMIFS(BS_RE33!$H$7:$H$874,BS_RE33!$S$7:$S$874,$O$2,BS_RE33!$N$7:$N$874,I12,BS_RE33!$P$7:$P$874,'30 days CF Table(Ccy)'!G12,BS_RE33!$F$7:$F$874,'30 days CF Table(Ccy)'!$C$2),2)</f>
        <v>0</v>
      </c>
      <c r="P12" s="337">
        <f>ROUND(SUMIFS(BS_RE33!$H$7:$H$874,BS_RE33!$S$7:$S$874,$P$2,BS_RE33!$N$7:$N$874,I12,BS_RE33!$P$7:$P$874,'30 days CF Table(Ccy)'!G12,BS_RE33!$F$7:$F$874,'30 days CF Table(Ccy)'!$C$2),2)</f>
        <v>0</v>
      </c>
      <c r="Q12" s="337">
        <f>ROUND(SUMIFS(BS_RE33!$H$7:$H$874,BS_RE33!$S$7:$S$874,$Q$2,BS_RE33!$N$7:$N$874,I12,BS_RE33!$P$7:$P$874,'30 days CF Table(Ccy)'!G12,BS_RE33!$F$7:$F$874,'30 days CF Table(Ccy)'!$C$2),2)</f>
        <v>0</v>
      </c>
      <c r="R12" s="337">
        <f>ROUND(SUMIFS(BS_RE33!$H$7:$H$874,BS_RE33!$S$7:$S$874,$R$2,BS_RE33!$N$7:$N$874,I12,BS_RE33!$P$7:$P$874,'30 days CF Table(Ccy)'!G12,BS_RE33!$F$7:$F$874,'30 days CF Table(Ccy)'!$C$2),2)</f>
        <v>0</v>
      </c>
      <c r="S12" s="337">
        <f>ROUND(SUMIFS(BS_RE33!$H$7:$H$874,BS_RE33!$S$7:$S$874,$S$2,BS_RE33!$N$7:$N$874,I12,BS_RE33!$P$7:$P$874,'30 days CF Table(Ccy)'!G12,BS_RE33!$F$7:$F$874,'30 days CF Table(Ccy)'!$C$2),2)</f>
        <v>0</v>
      </c>
      <c r="T12" s="337">
        <f>ROUND(SUMIFS(BS_RE33!$H$7:$H$874,BS_RE33!$S$7:$S$874,$T$2,BS_RE33!$N$7:$N$874,I12,BS_RE33!$P$7:$P$874,'30 days CF Table(Ccy)'!G12,BS_RE33!$F$7:$F$874,'30 days CF Table(Ccy)'!$C$2),2)</f>
        <v>0</v>
      </c>
      <c r="U12" s="337">
        <f>ROUND(SUMIFS(BS_RE33!$H$7:$H$874,BS_RE33!$S$7:$S$874,$U$2,BS_RE33!$N$7:$N$874,I12,BS_RE33!$P$7:$P$874,'30 days CF Table(Ccy)'!G12,BS_RE33!$F$7:$F$874,'30 days CF Table(Ccy)'!$C$2),2)</f>
        <v>0</v>
      </c>
      <c r="V12" s="337">
        <f>ROUND(SUMIFS(BS_RE33!$H$7:$H$874,BS_RE33!$S$7:$S$874,$V$2,BS_RE33!$N$7:$N$874,I12,BS_RE33!$P$7:$P$874,'30 days CF Table(Ccy)'!G12,BS_RE33!$F$7:$F$874,'30 days CF Table(Ccy)'!$C$2),2)</f>
        <v>0</v>
      </c>
      <c r="W12" s="337">
        <f>ROUND(SUMIFS(BS_RE33!$H$7:$H$874,BS_RE33!$S$7:$S$874,$W$2,BS_RE33!$N$7:$N$874,I12,BS_RE33!$P$7:$P$874,'30 days CF Table(Ccy)'!G12,BS_RE33!$F$7:$F$874,'30 days CF Table(Ccy)'!$C$2),2)</f>
        <v>0</v>
      </c>
      <c r="X12" s="337">
        <f>ROUND(SUMIFS(BS_RE33!$H$7:$H$874,BS_RE33!$S$7:$S$874,$X$2,BS_RE33!$N$7:$N$874,I12,BS_RE33!$P$7:$P$874,'30 days CF Table(Ccy)'!G12,BS_RE33!$F$7:$F$874,'30 days CF Table(Ccy)'!$C$2),2)</f>
        <v>0</v>
      </c>
      <c r="Y12" s="337">
        <f>ROUND(SUMIFS(BS_RE33!$H$7:$H$874,BS_RE33!$S$7:$S$874,$Y$2,BS_RE33!$N$7:$N$874,I12,BS_RE33!$P$7:$P$874,'30 days CF Table(Ccy)'!G12,BS_RE33!$F$7:$F$874,'30 days CF Table(Ccy)'!$C$2),2)</f>
        <v>0</v>
      </c>
      <c r="Z12" s="337">
        <f>ROUND(SUMIFS(BS_RE33!$H$7:$H$874,BS_RE33!$S$7:$S$874,$Z$2,BS_RE33!$N$7:$N$874,I12,BS_RE33!$P$7:$P$874,'30 days CF Table(Ccy)'!G12,BS_RE33!$F$7:$F$874,'30 days CF Table(Ccy)'!$C$2),2)</f>
        <v>0</v>
      </c>
      <c r="AA12" s="337">
        <f>ROUND(SUMIFS(BS_RE33!$H$7:$H$874,BS_RE33!$S$7:$S$874,$AA$2,BS_RE33!$N$7:$N$874,I12,BS_RE33!$P$7:$P$874,'30 days CF Table(Ccy)'!G12,BS_RE33!$F$7:$F$874,'30 days CF Table(Ccy)'!$C$2),2)</f>
        <v>0</v>
      </c>
      <c r="AB12" s="337">
        <f>ROUND(SUMIFS(BS_RE33!$H$7:$H$874,BS_RE33!$S$7:$S$874,$AB$2,BS_RE33!$N$7:$N$874,I12,BS_RE33!$P$7:$P$874,'30 days CF Table(Ccy)'!G12,BS_RE33!$F$7:$F$874,'30 days CF Table(Ccy)'!$C$2),2)</f>
        <v>0</v>
      </c>
      <c r="AC12" s="337">
        <f>ROUND(SUMIFS(BS_RE33!$H$7:$H$874,BS_RE33!$S$7:$S$874,$AC$2,BS_RE33!$N$7:$N$874,I12,BS_RE33!$P$7:$P$874,'30 days CF Table(Ccy)'!G12,BS_RE33!$F$7:$F$874,'30 days CF Table(Ccy)'!$C$2),2)</f>
        <v>0</v>
      </c>
      <c r="AD12" s="337">
        <f>ROUND(SUMIFS(BS_RE33!$H$7:$H$874,BS_RE33!$S$7:$S$874,$AD$2,BS_RE33!$N$7:$N$874,I12,BS_RE33!$P$7:$P$874,'30 days CF Table(Ccy)'!G12,BS_RE33!$F$7:$F$874,'30 days CF Table(Ccy)'!$C$2),2)</f>
        <v>0</v>
      </c>
      <c r="AE12" s="337">
        <f>ROUND(SUMIFS(BS_RE33!$H$7:$H$874,BS_RE33!$S$7:$S$874,$AE$2,BS_RE33!$N$7:$N$874,I12,BS_RE33!$P$7:$P$874,'30 days CF Table(Ccy)'!G12,BS_RE33!$F$7:$F$874,'30 days CF Table(Ccy)'!$C$2),2)</f>
        <v>0</v>
      </c>
      <c r="AF12" s="337">
        <f>ROUND(SUMIFS(BS_RE33!$H$7:$H$874,BS_RE33!$S$7:$S$874,$AF$2,BS_RE33!$N$7:$N$874,I12,BS_RE33!$P$7:$P$874,'30 days CF Table(Ccy)'!G12,BS_RE33!$F$7:$F$874,'30 days CF Table(Ccy)'!$C$2),2)</f>
        <v>0</v>
      </c>
      <c r="AG12" s="337">
        <f>ROUND(SUMIFS(BS_RE33!$H$7:$H$874,BS_RE33!$S$7:$S$874,$AG$2,BS_RE33!$N$7:$N$874,I12,BS_RE33!$P$7:$P$874,'30 days CF Table(Ccy)'!G12,BS_RE33!$F$7:$F$874,'30 days CF Table(Ccy)'!$C$2),2)</f>
        <v>0</v>
      </c>
      <c r="AH12" s="337">
        <f>ROUND(SUMIFS(BS_RE33!$H$7:$H$874,BS_RE33!$S$7:$S$874,$AH$2,BS_RE33!$N$7:$N$874,I12,BS_RE33!$P$7:$P$874,'30 days CF Table(Ccy)'!G12,BS_RE33!$F$7:$F$874,'30 days CF Table(Ccy)'!$C$2),2)</f>
        <v>0</v>
      </c>
      <c r="AI12" s="337">
        <f>ROUND(SUMIFS(BS_RE33!$H$7:$H$874,BS_RE33!$S$7:$S$874,$AI$2,BS_RE33!$N$7:$N$874,I12,BS_RE33!$P$7:$P$874,'30 days CF Table(Ccy)'!G12,BS_RE33!$F$7:$F$874,'30 days CF Table(Ccy)'!$C$2),2)</f>
        <v>0</v>
      </c>
      <c r="AJ12" s="337">
        <f>ROUND(SUMIFS(BS_RE33!$H$7:$H$874,BS_RE33!$S$7:$S$874,$AJ$2,BS_RE33!$N$7:$N$874,I12,BS_RE33!$P$7:$P$874,'30 days CF Table(Ccy)'!G12,BS_RE33!$F$7:$F$874,'30 days CF Table(Ccy)'!$C$2),2)</f>
        <v>0</v>
      </c>
      <c r="AK12" s="337">
        <f>ROUND(SUMIFS(BS_RE33!$H$7:$H$874,BS_RE33!$S$7:$S$874,$AK$2,BS_RE33!$N$7:$N$874,I12,BS_RE33!$P$7:$P$874,'30 days CF Table(Ccy)'!G12,BS_RE33!$F$7:$F$874,'30 days CF Table(Ccy)'!$C$2),2)</f>
        <v>0</v>
      </c>
      <c r="AL12" s="337">
        <f>ROUND(SUMIFS(BS_RE33!$H$7:$H$874,BS_RE33!$S$7:$S$874,$AL$2,BS_RE33!$N$7:$N$874,I12,BS_RE33!$P$7:$P$874,'30 days CF Table(Ccy)'!G12,BS_RE33!$F$7:$F$874,'30 days CF Table(Ccy)'!$C$2),2)</f>
        <v>0</v>
      </c>
      <c r="AM12" s="337">
        <f>ROUND(SUMIFS(BS_RE33!$H$7:$H$874,BS_RE33!$S$7:$S$874,$AM$2,BS_RE33!$N$7:$N$874,I12,BS_RE33!$P$7:$P$874,'30 days CF Table(Ccy)'!G12,BS_RE33!$F$7:$F$874,'30 days CF Table(Ccy)'!$C$2),2)</f>
        <v>0</v>
      </c>
      <c r="AN12" s="337">
        <f>ROUND(SUMIFS(BS_RE33!$H$7:$H$874,BS_RE33!$S$7:$S$874,$AN$2,BS_RE33!$N$7:$N$874,I12,BS_RE33!$P$7:$P$874,'30 days CF Table(Ccy)'!G12,BS_RE33!$F$7:$F$874,'30 days CF Table(Ccy)'!$C$2),2)</f>
        <v>0</v>
      </c>
      <c r="AO12" s="337">
        <f>ROUND(SUMIFS(BS_RE33!$H$7:$H$874,BS_RE33!$S$7:$S$874,$AO$2,BS_RE33!$N$7:$N$874,I12,BS_RE33!$P$7:$P$874,'30 days CF Table(Ccy)'!G12,BS_RE33!$F$7:$F$874,'30 days CF Table(Ccy)'!$C$2),2)</f>
        <v>0</v>
      </c>
      <c r="AP12" s="338">
        <f>ROUND(SUMIFS(BS_RE33!$H$7:$H$874,BS_RE33!$S$7:$S$874,$AP$2,BS_RE33!$N$7:$N$874,I12,BS_RE33!$P$7:$P$874,'30 days CF Table(Ccy)'!G12,BS_RE33!$F$7:$F$874,'30 days CF Table(Ccy)'!$C$2),2)</f>
        <v>0</v>
      </c>
      <c r="AQ12" s="545"/>
      <c r="AR12" s="379">
        <f>ROUND(SUMIFS(BS_RE33!$H$7:$H$874,BS_RE33!$S$7:$S$874,$AR$2,BS_RE33!$N$7:$N$874,I12,BS_RE33!$P$7:$P$874,'30 days CF Table(Ccy)'!G12,BS_RE33!$F$7:$F$874,'30 days CF Table(Ccy)'!$C$2),2)</f>
        <v>0</v>
      </c>
      <c r="AS12" s="379">
        <f>ROUND(SUMIFS(BS_RE33!$H$7:$H$874,BS_RE33!$S$7:$S$874,$AS$2,BS_RE33!$N$7:$N$874,I12,BS_RE33!$P$7:$P$874,'30 days CF Table(Ccy)'!G12,BS_RE33!$F$7:$F$874,'30 days CF Table(Ccy)'!$C$2),2)</f>
        <v>0</v>
      </c>
      <c r="AT12" s="379">
        <f>ROUND(SUMIFS(BS_RE33!$H$7:$H$874,BS_RE33!$S$7:$S$874,$AT$2,BS_RE33!$N$7:$N$874,I12,BS_RE33!$P$7:$P$874,'30 days CF Table(Ccy)'!G12,BS_RE33!$F$7:$F$874,'30 days CF Table(Ccy)'!$C$2),2)</f>
        <v>0</v>
      </c>
      <c r="AU12" s="379">
        <f>ROUND(SUMIFS(BS_RE33!$H$7:$H$874,BS_RE33!$S$7:$S$874,$AU$2,BS_RE33!$N$7:$N$874,I12,BS_RE33!$P$7:$P$874,'30 days CF Table(Ccy)'!G12,BS_RE33!$F$7:$F$874,'30 days CF Table(Ccy)'!$C$2),2)</f>
        <v>0</v>
      </c>
      <c r="AV12" s="379">
        <f>ROUND(SUMIFS(BS_RE33!$H$7:$H$874,BS_RE33!$S$7:$S$874,$AV$2,BS_RE33!$N$7:$N$874,I12,BS_RE33!$P$7:$P$874,'30 days CF Table(Ccy)'!G12,BS_RE33!$F$7:$F$874,'30 days CF Table(Ccy)'!$C$2),2)</f>
        <v>0</v>
      </c>
      <c r="AW12" s="379">
        <f>ROUND(SUMIFS(BS_RE33!$H$7:$H$874,BS_RE33!$S$7:$S$874,$AW$2,BS_RE33!$N$7:$N$874,I12,BS_RE33!$P$7:$P$874,'30 days CF Table(Ccy)'!G12,BS_RE33!$F$7:$F$874,'30 days CF Table(Ccy)'!$C$2),2)</f>
        <v>0</v>
      </c>
      <c r="AX12" s="379">
        <f>ROUND(SUMIFS(BS_RE33!$H$7:$H$874,BS_RE33!$S$7:$S$874,$AX$2,BS_RE33!$N$7:$N$874,I12,BS_RE33!$P$7:$P$874,'30 days CF Table(Ccy)'!G12,BS_RE33!$F$7:$F$874,'30 days CF Table(Ccy)'!$C$2),2)</f>
        <v>0</v>
      </c>
      <c r="AY12" s="379">
        <f>ROUND(SUMIFS(BS_RE33!$H$7:$H$874,BS_RE33!$S$7:$S$874,$AY$2,BS_RE33!$N$7:$N$874,I12,BS_RE33!$P$7:$P$874,'30 days CF Table(Ccy)'!G12,BS_RE33!$F$7:$F$874,'30 days CF Table(Ccy)'!$C$2),2)</f>
        <v>0</v>
      </c>
      <c r="AZ12" s="379">
        <f>ROUND(SUMIFS(BS_RE33!$H$7:$H$874,BS_RE33!$S$7:$S$874,$AZ$2,BS_RE33!$N$7:$N$874,I12,BS_RE33!$P$7:$P$874,'30 days CF Table(Ccy)'!G12,BS_RE33!$F$7:$F$874,'30 days CF Table(Ccy)'!$C$2),2)</f>
        <v>0</v>
      </c>
      <c r="BA12" s="379">
        <f>ROUND(SUMIFS(BS_RE33!$H$7:$H$874,BS_RE33!$S$7:$S$874,$BA$2,BS_RE33!$N$7:$N$874,I12,BS_RE33!$P$7:$P$874,'30 days CF Table(Ccy)'!G12,BS_RE33!$F$7:$F$874,'30 days CF Table(Ccy)'!$C$2),2)</f>
        <v>0</v>
      </c>
      <c r="BB12" s="379">
        <f>ROUND(SUMIFS(BS_RE33!$H$7:$H$874,BS_RE33!$S$7:$S$874,$BB$2,BS_RE33!$N$7:$N$874,I12,BS_RE33!$P$7:$P$874,'30 days CF Table(Ccy)'!G12,BS_RE33!$F$7:$F$874,'30 days CF Table(Ccy)'!$C$2),2)</f>
        <v>0</v>
      </c>
      <c r="BC12" s="379">
        <f>ROUND(SUMIFS(BS_RE33!$H$7:$H$874,BS_RE33!$S$7:$S$874,$BC$2,BS_RE33!$N$7:$N$874,I12,BS_RE33!$P$7:$P$874,'30 days CF Table(Ccy)'!G12,BS_RE33!$F$7:$F$874,'30 days CF Table(Ccy)'!$C$2),2)</f>
        <v>0</v>
      </c>
      <c r="BD12" s="379">
        <f>ROUND(SUMIFS(BS_RE33!$H$7:$H$874,BS_RE33!$S$7:$S$874,$BD$2,BS_RE33!$N$7:$N$874,I12,BS_RE33!$P$7:$P$874,'30 days CF Table(Ccy)'!G12,BS_RE33!$F$7:$F$874,'30 days CF Table(Ccy)'!$C$2),2)</f>
        <v>0</v>
      </c>
      <c r="BE12" s="379">
        <f>ROUND(SUMIFS(BS_RE33!$H$7:$H$874,BS_RE33!$S$7:$S$874,$BE$2,BS_RE33!$N$7:$N$874,I12,BS_RE33!$P$7:$P$874,'30 days CF Table(Ccy)'!G12,BS_RE33!$F$7:$F$874,'30 days CF Table(Ccy)'!$C$2),2)</f>
        <v>0</v>
      </c>
      <c r="BF12" s="379">
        <f>ROUND(SUMIFS(BS_RE33!$H$7:$H$874,BS_RE33!$S$7:$S$874,$BF$2,BS_RE33!$N$7:$N$874,I12,BS_RE33!$P$7:$P$874,'30 days CF Table(Ccy)'!G12,BS_RE33!$F$7:$F$874,'30 days CF Table(Ccy)'!$C$2),2)</f>
        <v>0</v>
      </c>
      <c r="BG12" s="379">
        <f>ROUND(SUMIFS(BS_RE33!$H$7:$H$874,BS_RE33!$S$7:$S$874,$BG$2,BS_RE33!$N$7:$N$874,I12,BS_RE33!$P$7:$P$874,'30 days CF Table(Ccy)'!G12,BS_RE33!$F$7:$F$874,'30 days CF Table(Ccy)'!$C$2),2)</f>
        <v>0</v>
      </c>
      <c r="BH12" s="379">
        <f>ROUND(SUMIFS(BS_RE33!$H$7:$H$874,BS_RE33!$S$7:$S$874,$BH$2,BS_RE33!$N$7:$N$874,I12,BS_RE33!$P$7:$P$874,'30 days CF Table(Ccy)'!G12,BS_RE33!$F$7:$F$874,'30 days CF Table(Ccy)'!$C$2),2)</f>
        <v>0</v>
      </c>
      <c r="BI12" s="379">
        <f>ROUND(SUMIFS(BS_RE33!$H$7:$H$874,BS_RE33!$S$7:$S$874,$BI$2,BS_RE33!$N$7:$N$874,I12,BS_RE33!$P$7:$P$874,'30 days CF Table(Ccy)'!G12,BS_RE33!$F$7:$F$874,'30 days CF Table(Ccy)'!$C$2),2)</f>
        <v>0</v>
      </c>
      <c r="BJ12" s="379">
        <f>ROUND(SUMIFS(BS_RE33!$H$7:$H$874,BS_RE33!$S$7:$S$874,$BJ$2,BS_RE33!$N$7:$N$874,I12,BS_RE33!$P$7:$P$874,'30 days CF Table(Ccy)'!G12,BS_RE33!$F$7:$F$874,'30 days CF Table(Ccy)'!$C$2),2)</f>
        <v>0</v>
      </c>
      <c r="BK12" s="379">
        <f>ROUND(SUMIFS(BS_RE33!$H$7:$H$874,BS_RE33!$S$7:$S$874,$BK$2,BS_RE33!$N$7:$N$874,I12,BS_RE33!$P$7:$P$874,'30 days CF Table(Ccy)'!G12,BS_RE33!$F$7:$F$874,'30 days CF Table(Ccy)'!$C$2),2)</f>
        <v>0</v>
      </c>
    </row>
    <row r="13" spans="1:63" s="395" customFormat="1">
      <c r="C13" s="1029"/>
      <c r="D13" s="1030"/>
      <c r="E13" s="40" t="s">
        <v>69</v>
      </c>
      <c r="F13" s="560" t="s">
        <v>493</v>
      </c>
      <c r="G13" s="392" t="s">
        <v>506</v>
      </c>
      <c r="H13" s="130">
        <v>1</v>
      </c>
      <c r="I13" s="305" t="s">
        <v>63</v>
      </c>
      <c r="J13" s="477">
        <f t="shared" si="2"/>
        <v>0</v>
      </c>
      <c r="K13" s="335">
        <f>SUM(L13:AP13)*H13</f>
        <v>0</v>
      </c>
      <c r="L13" s="337">
        <f>ROUND(SUMIFS(BS_RE33!$H$7:$H$874,BS_RE33!$S$7:$S$874,$L$2,BS_RE33!$N$7:$N$874,I13,BS_RE33!$P$7:$P$874,'30 days CF Table(Ccy)'!G13,BS_RE33!$F$7:$F$874,'30 days CF Table(Ccy)'!$C$2),2)</f>
        <v>0</v>
      </c>
      <c r="M13" s="337">
        <f>ROUND(SUMIFS(BS_RE33!$H$7:$H$874,BS_RE33!$S$7:$S$874,$M$2,BS_RE33!$N$7:$N$874,I13,BS_RE33!$P$7:$P$874,'30 days CF Table(Ccy)'!G13,BS_RE33!$F$7:$F$874,'30 days CF Table(Ccy)'!$C$2),2)</f>
        <v>0</v>
      </c>
      <c r="N13" s="337">
        <f>ROUND(SUMIFS(BS_RE33!$H$7:$H$874,BS_RE33!$S$7:$S$874,$N$2,BS_RE33!$N$7:$N$874,I13,BS_RE33!$P$7:$P$874,'30 days CF Table(Ccy)'!G13,BS_RE33!$F$7:$F$874,'30 days CF Table(Ccy)'!$C$2),2)</f>
        <v>0</v>
      </c>
      <c r="O13" s="337">
        <f>ROUND(SUMIFS(BS_RE33!$H$7:$H$874,BS_RE33!$S$7:$S$874,$O$2,BS_RE33!$N$7:$N$874,I13,BS_RE33!$P$7:$P$874,'30 days CF Table(Ccy)'!G13,BS_RE33!$F$7:$F$874,'30 days CF Table(Ccy)'!$C$2),2)</f>
        <v>0</v>
      </c>
      <c r="P13" s="337">
        <f>ROUND(SUMIFS(BS_RE33!$H$7:$H$874,BS_RE33!$S$7:$S$874,$P$2,BS_RE33!$N$7:$N$874,I13,BS_RE33!$P$7:$P$874,'30 days CF Table(Ccy)'!G13,BS_RE33!$F$7:$F$874,'30 days CF Table(Ccy)'!$C$2),2)</f>
        <v>0</v>
      </c>
      <c r="Q13" s="337">
        <f>ROUND(SUMIFS(BS_RE33!$H$7:$H$874,BS_RE33!$S$7:$S$874,$Q$2,BS_RE33!$N$7:$N$874,I13,BS_RE33!$P$7:$P$874,'30 days CF Table(Ccy)'!G13,BS_RE33!$F$7:$F$874,'30 days CF Table(Ccy)'!$C$2),2)</f>
        <v>0</v>
      </c>
      <c r="R13" s="337">
        <f>ROUND(SUMIFS(BS_RE33!$H$7:$H$874,BS_RE33!$S$7:$S$874,$R$2,BS_RE33!$N$7:$N$874,I13,BS_RE33!$P$7:$P$874,'30 days CF Table(Ccy)'!G13,BS_RE33!$F$7:$F$874,'30 days CF Table(Ccy)'!$C$2),2)</f>
        <v>0</v>
      </c>
      <c r="S13" s="337">
        <f>ROUND(SUMIFS(BS_RE33!$H$7:$H$874,BS_RE33!$S$7:$S$874,$S$2,BS_RE33!$N$7:$N$874,I13,BS_RE33!$P$7:$P$874,'30 days CF Table(Ccy)'!G13,BS_RE33!$F$7:$F$874,'30 days CF Table(Ccy)'!$C$2),2)</f>
        <v>0</v>
      </c>
      <c r="T13" s="337">
        <f>ROUND(SUMIFS(BS_RE33!$H$7:$H$874,BS_RE33!$S$7:$S$874,$T$2,BS_RE33!$N$7:$N$874,I13,BS_RE33!$P$7:$P$874,'30 days CF Table(Ccy)'!G13,BS_RE33!$F$7:$F$874,'30 days CF Table(Ccy)'!$C$2),2)</f>
        <v>0</v>
      </c>
      <c r="U13" s="337">
        <f>ROUND(SUMIFS(BS_RE33!$H$7:$H$874,BS_RE33!$S$7:$S$874,$U$2,BS_RE33!$N$7:$N$874,I13,BS_RE33!$P$7:$P$874,'30 days CF Table(Ccy)'!G13,BS_RE33!$F$7:$F$874,'30 days CF Table(Ccy)'!$C$2),2)</f>
        <v>0</v>
      </c>
      <c r="V13" s="337">
        <f>ROUND(SUMIFS(BS_RE33!$H$7:$H$874,BS_RE33!$S$7:$S$874,$V$2,BS_RE33!$N$7:$N$874,I13,BS_RE33!$P$7:$P$874,'30 days CF Table(Ccy)'!G13,BS_RE33!$F$7:$F$874,'30 days CF Table(Ccy)'!$C$2),2)</f>
        <v>0</v>
      </c>
      <c r="W13" s="337">
        <f>ROUND(SUMIFS(BS_RE33!$H$7:$H$874,BS_RE33!$S$7:$S$874,$W$2,BS_RE33!$N$7:$N$874,I13,BS_RE33!$P$7:$P$874,'30 days CF Table(Ccy)'!G13,BS_RE33!$F$7:$F$874,'30 days CF Table(Ccy)'!$C$2),2)</f>
        <v>0</v>
      </c>
      <c r="X13" s="337">
        <f>ROUND(SUMIFS(BS_RE33!$H$7:$H$874,BS_RE33!$S$7:$S$874,$X$2,BS_RE33!$N$7:$N$874,I13,BS_RE33!$P$7:$P$874,'30 days CF Table(Ccy)'!G13,BS_RE33!$F$7:$F$874,'30 days CF Table(Ccy)'!$C$2),2)</f>
        <v>0</v>
      </c>
      <c r="Y13" s="337">
        <f>ROUND(SUMIFS(BS_RE33!$H$7:$H$874,BS_RE33!$S$7:$S$874,$Y$2,BS_RE33!$N$7:$N$874,I13,BS_RE33!$P$7:$P$874,'30 days CF Table(Ccy)'!G13,BS_RE33!$F$7:$F$874,'30 days CF Table(Ccy)'!$C$2),2)</f>
        <v>0</v>
      </c>
      <c r="Z13" s="337">
        <f>ROUND(SUMIFS(BS_RE33!$H$7:$H$874,BS_RE33!$S$7:$S$874,$Z$2,BS_RE33!$N$7:$N$874,I13,BS_RE33!$P$7:$P$874,'30 days CF Table(Ccy)'!G13,BS_RE33!$F$7:$F$874,'30 days CF Table(Ccy)'!$C$2),2)</f>
        <v>0</v>
      </c>
      <c r="AA13" s="337">
        <f>ROUND(SUMIFS(BS_RE33!$H$7:$H$874,BS_RE33!$S$7:$S$874,$AA$2,BS_RE33!$N$7:$N$874,I13,BS_RE33!$P$7:$P$874,'30 days CF Table(Ccy)'!G13,BS_RE33!$F$7:$F$874,'30 days CF Table(Ccy)'!$C$2),2)</f>
        <v>0</v>
      </c>
      <c r="AB13" s="337">
        <f>ROUND(SUMIFS(BS_RE33!$H$7:$H$874,BS_RE33!$S$7:$S$874,$AB$2,BS_RE33!$N$7:$N$874,I13,BS_RE33!$P$7:$P$874,'30 days CF Table(Ccy)'!G13,BS_RE33!$F$7:$F$874,'30 days CF Table(Ccy)'!$C$2),2)</f>
        <v>0</v>
      </c>
      <c r="AC13" s="337">
        <f>ROUND(SUMIFS(BS_RE33!$H$7:$H$874,BS_RE33!$S$7:$S$874,$AC$2,BS_RE33!$N$7:$N$874,I13,BS_RE33!$P$7:$P$874,'30 days CF Table(Ccy)'!G13,BS_RE33!$F$7:$F$874,'30 days CF Table(Ccy)'!$C$2),2)</f>
        <v>0</v>
      </c>
      <c r="AD13" s="337">
        <f>ROUND(SUMIFS(BS_RE33!$H$7:$H$874,BS_RE33!$S$7:$S$874,$AD$2,BS_RE33!$N$7:$N$874,I13,BS_RE33!$P$7:$P$874,'30 days CF Table(Ccy)'!G13,BS_RE33!$F$7:$F$874,'30 days CF Table(Ccy)'!$C$2),2)</f>
        <v>0</v>
      </c>
      <c r="AE13" s="337">
        <f>ROUND(SUMIFS(BS_RE33!$H$7:$H$874,BS_RE33!$S$7:$S$874,$AE$2,BS_RE33!$N$7:$N$874,I13,BS_RE33!$P$7:$P$874,'30 days CF Table(Ccy)'!G13,BS_RE33!$F$7:$F$874,'30 days CF Table(Ccy)'!$C$2),2)</f>
        <v>0</v>
      </c>
      <c r="AF13" s="337">
        <f>ROUND(SUMIFS(BS_RE33!$H$7:$H$874,BS_RE33!$S$7:$S$874,$AF$2,BS_RE33!$N$7:$N$874,I13,BS_RE33!$P$7:$P$874,'30 days CF Table(Ccy)'!G13,BS_RE33!$F$7:$F$874,'30 days CF Table(Ccy)'!$C$2),2)</f>
        <v>0</v>
      </c>
      <c r="AG13" s="337">
        <f>ROUND(SUMIFS(BS_RE33!$H$7:$H$874,BS_RE33!$S$7:$S$874,$AG$2,BS_RE33!$N$7:$N$874,I13,BS_RE33!$P$7:$P$874,'30 days CF Table(Ccy)'!G13,BS_RE33!$F$7:$F$874,'30 days CF Table(Ccy)'!$C$2),2)</f>
        <v>0</v>
      </c>
      <c r="AH13" s="337">
        <f>ROUND(SUMIFS(BS_RE33!$H$7:$H$874,BS_RE33!$S$7:$S$874,$AH$2,BS_RE33!$N$7:$N$874,I13,BS_RE33!$P$7:$P$874,'30 days CF Table(Ccy)'!G13,BS_RE33!$F$7:$F$874,'30 days CF Table(Ccy)'!$C$2),2)</f>
        <v>0</v>
      </c>
      <c r="AI13" s="337">
        <f>ROUND(SUMIFS(BS_RE33!$H$7:$H$874,BS_RE33!$S$7:$S$874,$AI$2,BS_RE33!$N$7:$N$874,I13,BS_RE33!$P$7:$P$874,'30 days CF Table(Ccy)'!G13,BS_RE33!$F$7:$F$874,'30 days CF Table(Ccy)'!$C$2),2)</f>
        <v>0</v>
      </c>
      <c r="AJ13" s="337">
        <f>ROUND(SUMIFS(BS_RE33!$H$7:$H$874,BS_RE33!$S$7:$S$874,$AJ$2,BS_RE33!$N$7:$N$874,I13,BS_RE33!$P$7:$P$874,'30 days CF Table(Ccy)'!G13,BS_RE33!$F$7:$F$874,'30 days CF Table(Ccy)'!$C$2),2)</f>
        <v>0</v>
      </c>
      <c r="AK13" s="337">
        <f>ROUND(SUMIFS(BS_RE33!$H$7:$H$874,BS_RE33!$S$7:$S$874,$AK$2,BS_RE33!$N$7:$N$874,I13,BS_RE33!$P$7:$P$874,'30 days CF Table(Ccy)'!G13,BS_RE33!$F$7:$F$874,'30 days CF Table(Ccy)'!$C$2),2)</f>
        <v>0</v>
      </c>
      <c r="AL13" s="337">
        <f>ROUND(SUMIFS(BS_RE33!$H$7:$H$874,BS_RE33!$S$7:$S$874,$AL$2,BS_RE33!$N$7:$N$874,I13,BS_RE33!$P$7:$P$874,'30 days CF Table(Ccy)'!G13,BS_RE33!$F$7:$F$874,'30 days CF Table(Ccy)'!$C$2),2)</f>
        <v>0</v>
      </c>
      <c r="AM13" s="337">
        <f>ROUND(SUMIFS(BS_RE33!$H$7:$H$874,BS_RE33!$S$7:$S$874,$AM$2,BS_RE33!$N$7:$N$874,I13,BS_RE33!$P$7:$P$874,'30 days CF Table(Ccy)'!G13,BS_RE33!$F$7:$F$874,'30 days CF Table(Ccy)'!$C$2),2)</f>
        <v>0</v>
      </c>
      <c r="AN13" s="337">
        <f>ROUND(SUMIFS(BS_RE33!$H$7:$H$874,BS_RE33!$S$7:$S$874,$AN$2,BS_RE33!$N$7:$N$874,I13,BS_RE33!$P$7:$P$874,'30 days CF Table(Ccy)'!G13,BS_RE33!$F$7:$F$874,'30 days CF Table(Ccy)'!$C$2),2)</f>
        <v>0</v>
      </c>
      <c r="AO13" s="337">
        <f>ROUND(SUMIFS(BS_RE33!$H$7:$H$874,BS_RE33!$S$7:$S$874,$AO$2,BS_RE33!$N$7:$N$874,I13,BS_RE33!$P$7:$P$874,'30 days CF Table(Ccy)'!G13,BS_RE33!$F$7:$F$874,'30 days CF Table(Ccy)'!$C$2),2)</f>
        <v>0</v>
      </c>
      <c r="AP13" s="338">
        <f>ROUND(SUMIFS(BS_RE33!$H$7:$H$874,BS_RE33!$S$7:$S$874,$AP$2,BS_RE33!$N$7:$N$874,I13,BS_RE33!$P$7:$P$874,'30 days CF Table(Ccy)'!G13,BS_RE33!$F$7:$F$874,'30 days CF Table(Ccy)'!$C$2),2)</f>
        <v>0</v>
      </c>
      <c r="AQ13" s="545"/>
      <c r="AR13" s="379">
        <f>ROUND(SUMIFS(BS_RE33!$H$7:$H$874,BS_RE33!$S$7:$S$874,$AR$2,BS_RE33!$N$7:$N$874,I13,BS_RE33!$P$7:$P$874,'30 days CF Table(Ccy)'!G13,BS_RE33!$F$7:$F$874,'30 days CF Table(Ccy)'!$C$2),2)</f>
        <v>0</v>
      </c>
      <c r="AS13" s="379">
        <f>ROUND(SUMIFS(BS_RE33!$H$7:$H$874,BS_RE33!$S$7:$S$874,$AS$2,BS_RE33!$N$7:$N$874,I13,BS_RE33!$P$7:$P$874,'30 days CF Table(Ccy)'!G13,BS_RE33!$F$7:$F$874,'30 days CF Table(Ccy)'!$C$2),2)</f>
        <v>0</v>
      </c>
      <c r="AT13" s="379">
        <f>ROUND(SUMIFS(BS_RE33!$H$7:$H$874,BS_RE33!$S$7:$S$874,$AT$2,BS_RE33!$N$7:$N$874,I13,BS_RE33!$P$7:$P$874,'30 days CF Table(Ccy)'!G13,BS_RE33!$F$7:$F$874,'30 days CF Table(Ccy)'!$C$2),2)</f>
        <v>0</v>
      </c>
      <c r="AU13" s="379">
        <f>ROUND(SUMIFS(BS_RE33!$H$7:$H$874,BS_RE33!$S$7:$S$874,$AU$2,BS_RE33!$N$7:$N$874,I13,BS_RE33!$P$7:$P$874,'30 days CF Table(Ccy)'!G13,BS_RE33!$F$7:$F$874,'30 days CF Table(Ccy)'!$C$2),2)</f>
        <v>0</v>
      </c>
      <c r="AV13" s="379">
        <f>ROUND(SUMIFS(BS_RE33!$H$7:$H$874,BS_RE33!$S$7:$S$874,$AV$2,BS_RE33!$N$7:$N$874,I13,BS_RE33!$P$7:$P$874,'30 days CF Table(Ccy)'!G13,BS_RE33!$F$7:$F$874,'30 days CF Table(Ccy)'!$C$2),2)</f>
        <v>0</v>
      </c>
      <c r="AW13" s="379">
        <f>ROUND(SUMIFS(BS_RE33!$H$7:$H$874,BS_RE33!$S$7:$S$874,$AW$2,BS_RE33!$N$7:$N$874,I13,BS_RE33!$P$7:$P$874,'30 days CF Table(Ccy)'!G13,BS_RE33!$F$7:$F$874,'30 days CF Table(Ccy)'!$C$2),2)</f>
        <v>0</v>
      </c>
      <c r="AX13" s="379">
        <f>ROUND(SUMIFS(BS_RE33!$H$7:$H$874,BS_RE33!$S$7:$S$874,$AX$2,BS_RE33!$N$7:$N$874,I13,BS_RE33!$P$7:$P$874,'30 days CF Table(Ccy)'!G13,BS_RE33!$F$7:$F$874,'30 days CF Table(Ccy)'!$C$2),2)</f>
        <v>0</v>
      </c>
      <c r="AY13" s="379">
        <f>ROUND(SUMIFS(BS_RE33!$H$7:$H$874,BS_RE33!$S$7:$S$874,$AY$2,BS_RE33!$N$7:$N$874,I13,BS_RE33!$P$7:$P$874,'30 days CF Table(Ccy)'!G13,BS_RE33!$F$7:$F$874,'30 days CF Table(Ccy)'!$C$2),2)</f>
        <v>0</v>
      </c>
      <c r="AZ13" s="379">
        <f>ROUND(SUMIFS(BS_RE33!$H$7:$H$874,BS_RE33!$S$7:$S$874,$AZ$2,BS_RE33!$N$7:$N$874,I13,BS_RE33!$P$7:$P$874,'30 days CF Table(Ccy)'!G13,BS_RE33!$F$7:$F$874,'30 days CF Table(Ccy)'!$C$2),2)</f>
        <v>0</v>
      </c>
      <c r="BA13" s="379">
        <f>ROUND(SUMIFS(BS_RE33!$H$7:$H$874,BS_RE33!$S$7:$S$874,$BA$2,BS_RE33!$N$7:$N$874,I13,BS_RE33!$P$7:$P$874,'30 days CF Table(Ccy)'!G13,BS_RE33!$F$7:$F$874,'30 days CF Table(Ccy)'!$C$2),2)</f>
        <v>0</v>
      </c>
      <c r="BB13" s="379">
        <f>ROUND(SUMIFS(BS_RE33!$H$7:$H$874,BS_RE33!$S$7:$S$874,$BB$2,BS_RE33!$N$7:$N$874,I13,BS_RE33!$P$7:$P$874,'30 days CF Table(Ccy)'!G13,BS_RE33!$F$7:$F$874,'30 days CF Table(Ccy)'!$C$2),2)</f>
        <v>0</v>
      </c>
      <c r="BC13" s="379">
        <f>ROUND(SUMIFS(BS_RE33!$H$7:$H$874,BS_RE33!$S$7:$S$874,$BC$2,BS_RE33!$N$7:$N$874,I13,BS_RE33!$P$7:$P$874,'30 days CF Table(Ccy)'!G13,BS_RE33!$F$7:$F$874,'30 days CF Table(Ccy)'!$C$2),2)</f>
        <v>0</v>
      </c>
      <c r="BD13" s="379">
        <f>ROUND(SUMIFS(BS_RE33!$H$7:$H$874,BS_RE33!$S$7:$S$874,$BD$2,BS_RE33!$N$7:$N$874,I13,BS_RE33!$P$7:$P$874,'30 days CF Table(Ccy)'!G13,BS_RE33!$F$7:$F$874,'30 days CF Table(Ccy)'!$C$2),2)</f>
        <v>0</v>
      </c>
      <c r="BE13" s="379">
        <f>ROUND(SUMIFS(BS_RE33!$H$7:$H$874,BS_RE33!$S$7:$S$874,$BE$2,BS_RE33!$N$7:$N$874,I13,BS_RE33!$P$7:$P$874,'30 days CF Table(Ccy)'!G13,BS_RE33!$F$7:$F$874,'30 days CF Table(Ccy)'!$C$2),2)</f>
        <v>0</v>
      </c>
      <c r="BF13" s="379">
        <f>ROUND(SUMIFS(BS_RE33!$H$7:$H$874,BS_RE33!$S$7:$S$874,$BF$2,BS_RE33!$N$7:$N$874,I13,BS_RE33!$P$7:$P$874,'30 days CF Table(Ccy)'!G13,BS_RE33!$F$7:$F$874,'30 days CF Table(Ccy)'!$C$2),2)</f>
        <v>0</v>
      </c>
      <c r="BG13" s="379">
        <f>ROUND(SUMIFS(BS_RE33!$H$7:$H$874,BS_RE33!$S$7:$S$874,$BG$2,BS_RE33!$N$7:$N$874,I13,BS_RE33!$P$7:$P$874,'30 days CF Table(Ccy)'!G13,BS_RE33!$F$7:$F$874,'30 days CF Table(Ccy)'!$C$2),2)</f>
        <v>0</v>
      </c>
      <c r="BH13" s="379">
        <f>ROUND(SUMIFS(BS_RE33!$H$7:$H$874,BS_RE33!$S$7:$S$874,$BH$2,BS_RE33!$N$7:$N$874,I13,BS_RE33!$P$7:$P$874,'30 days CF Table(Ccy)'!G13,BS_RE33!$F$7:$F$874,'30 days CF Table(Ccy)'!$C$2),2)</f>
        <v>0</v>
      </c>
      <c r="BI13" s="379">
        <f>ROUND(SUMIFS(BS_RE33!$H$7:$H$874,BS_RE33!$S$7:$S$874,$BI$2,BS_RE33!$N$7:$N$874,I13,BS_RE33!$P$7:$P$874,'30 days CF Table(Ccy)'!G13,BS_RE33!$F$7:$F$874,'30 days CF Table(Ccy)'!$C$2),2)</f>
        <v>0</v>
      </c>
      <c r="BJ13" s="379">
        <f>ROUND(SUMIFS(BS_RE33!$H$7:$H$874,BS_RE33!$S$7:$S$874,$BJ$2,BS_RE33!$N$7:$N$874,I13,BS_RE33!$P$7:$P$874,'30 days CF Table(Ccy)'!G13,BS_RE33!$F$7:$F$874,'30 days CF Table(Ccy)'!$C$2),2)</f>
        <v>0</v>
      </c>
      <c r="BK13" s="379">
        <f>ROUND(SUMIFS(BS_RE33!$H$7:$H$874,BS_RE33!$S$7:$S$874,$BK$2,BS_RE33!$N$7:$N$874,I13,BS_RE33!$P$7:$P$874,'30 days CF Table(Ccy)'!G13,BS_RE33!$F$7:$F$874,'30 days CF Table(Ccy)'!$C$2),2)</f>
        <v>0</v>
      </c>
    </row>
    <row r="14" spans="1:63" s="395" customFormat="1" ht="20.25">
      <c r="C14" s="1029"/>
      <c r="D14" s="332" t="s">
        <v>740</v>
      </c>
      <c r="E14" s="310" t="s">
        <v>542</v>
      </c>
      <c r="F14" s="309"/>
      <c r="G14" s="392" t="s">
        <v>544</v>
      </c>
      <c r="H14" s="130">
        <v>1</v>
      </c>
      <c r="I14" s="305" t="s">
        <v>63</v>
      </c>
      <c r="J14" s="477">
        <f>SUM(L14:AP14)/1000000</f>
        <v>0</v>
      </c>
      <c r="K14" s="335">
        <f t="shared" si="3"/>
        <v>0</v>
      </c>
      <c r="L14" s="337">
        <f>ROUND(SUMIFS(BS_RE33!$H$7:$H$874,BS_RE33!$S$7:$S$874,$L$2,BS_RE33!$N$7:$N$874,I14,BS_RE33!$P$7:$P$874,'30 days CF Table(Ccy)'!G14,BS_RE33!$F$7:$F$874,'30 days CF Table(Ccy)'!$C$2),2)</f>
        <v>0</v>
      </c>
      <c r="M14" s="337">
        <f>ROUND(SUMIFS(BS_RE33!$H$7:$H$874,BS_RE33!$S$7:$S$874,$M$2,BS_RE33!$N$7:$N$874,I14,BS_RE33!$P$7:$P$874,'30 days CF Table(Ccy)'!G14,BS_RE33!$F$7:$F$874,'30 days CF Table(Ccy)'!$C$2),2)</f>
        <v>0</v>
      </c>
      <c r="N14" s="337">
        <f>ROUND(SUMIFS(BS_RE33!$H$7:$H$874,BS_RE33!$S$7:$S$874,$N$2,BS_RE33!$N$7:$N$874,I14,BS_RE33!$P$7:$P$874,'30 days CF Table(Ccy)'!G14,BS_RE33!$F$7:$F$874,'30 days CF Table(Ccy)'!$C$2),2)</f>
        <v>0</v>
      </c>
      <c r="O14" s="337">
        <f>ROUND(SUMIFS(BS_RE33!$H$7:$H$874,BS_RE33!$S$7:$S$874,$O$2,BS_RE33!$N$7:$N$874,I14,BS_RE33!$P$7:$P$874,'30 days CF Table(Ccy)'!G14,BS_RE33!$F$7:$F$874,'30 days CF Table(Ccy)'!$C$2),2)</f>
        <v>0</v>
      </c>
      <c r="P14" s="337">
        <f>ROUND(SUMIFS(BS_RE33!$H$7:$H$874,BS_RE33!$S$7:$S$874,$P$2,BS_RE33!$N$7:$N$874,I14,BS_RE33!$P$7:$P$874,'30 days CF Table(Ccy)'!G14,BS_RE33!$F$7:$F$874,'30 days CF Table(Ccy)'!$C$2),2)</f>
        <v>0</v>
      </c>
      <c r="Q14" s="337">
        <f>ROUND(SUMIFS(BS_RE33!$H$7:$H$874,BS_RE33!$S$7:$S$874,$Q$2,BS_RE33!$N$7:$N$874,I14,BS_RE33!$P$7:$P$874,'30 days CF Table(Ccy)'!G14,BS_RE33!$F$7:$F$874,'30 days CF Table(Ccy)'!$C$2),2)</f>
        <v>0</v>
      </c>
      <c r="R14" s="337">
        <f>ROUND(SUMIFS(BS_RE33!$H$7:$H$874,BS_RE33!$S$7:$S$874,$R$2,BS_RE33!$N$7:$N$874,I14,BS_RE33!$P$7:$P$874,'30 days CF Table(Ccy)'!G14,BS_RE33!$F$7:$F$874,'30 days CF Table(Ccy)'!$C$2),2)</f>
        <v>0</v>
      </c>
      <c r="S14" s="337">
        <f>ROUND(SUMIFS(BS_RE33!$H$7:$H$874,BS_RE33!$S$7:$S$874,$S$2,BS_RE33!$N$7:$N$874,I14,BS_RE33!$P$7:$P$874,'30 days CF Table(Ccy)'!G14,BS_RE33!$F$7:$F$874,'30 days CF Table(Ccy)'!$C$2),2)</f>
        <v>0</v>
      </c>
      <c r="T14" s="337">
        <f>ROUND(SUMIFS(BS_RE33!$H$7:$H$874,BS_RE33!$S$7:$S$874,$T$2,BS_RE33!$N$7:$N$874,I14,BS_RE33!$P$7:$P$874,'30 days CF Table(Ccy)'!G14,BS_RE33!$F$7:$F$874,'30 days CF Table(Ccy)'!$C$2),2)</f>
        <v>0</v>
      </c>
      <c r="U14" s="337">
        <f>ROUND(SUMIFS(BS_RE33!$H$7:$H$874,BS_RE33!$S$7:$S$874,$U$2,BS_RE33!$N$7:$N$874,I14,BS_RE33!$P$7:$P$874,'30 days CF Table(Ccy)'!G14,BS_RE33!$F$7:$F$874,'30 days CF Table(Ccy)'!$C$2),2)</f>
        <v>0</v>
      </c>
      <c r="V14" s="337">
        <f>ROUND(SUMIFS(BS_RE33!$H$7:$H$874,BS_RE33!$S$7:$S$874,$V$2,BS_RE33!$N$7:$N$874,I14,BS_RE33!$P$7:$P$874,'30 days CF Table(Ccy)'!G14,BS_RE33!$F$7:$F$874,'30 days CF Table(Ccy)'!$C$2),2)</f>
        <v>0</v>
      </c>
      <c r="W14" s="337">
        <f>ROUND(SUMIFS(BS_RE33!$H$7:$H$874,BS_RE33!$S$7:$S$874,$W$2,BS_RE33!$N$7:$N$874,I14,BS_RE33!$P$7:$P$874,'30 days CF Table(Ccy)'!G14,BS_RE33!$F$7:$F$874,'30 days CF Table(Ccy)'!$C$2),2)</f>
        <v>0</v>
      </c>
      <c r="X14" s="337">
        <f>ROUND(SUMIFS(BS_RE33!$H$7:$H$874,BS_RE33!$S$7:$S$874,$X$2,BS_RE33!$N$7:$N$874,I14,BS_RE33!$P$7:$P$874,'30 days CF Table(Ccy)'!G14,BS_RE33!$F$7:$F$874,'30 days CF Table(Ccy)'!$C$2),2)</f>
        <v>0</v>
      </c>
      <c r="Y14" s="337">
        <f>ROUND(SUMIFS(BS_RE33!$H$7:$H$874,BS_RE33!$S$7:$S$874,$Y$2,BS_RE33!$N$7:$N$874,I14,BS_RE33!$P$7:$P$874,'30 days CF Table(Ccy)'!G14,BS_RE33!$F$7:$F$874,'30 days CF Table(Ccy)'!$C$2),2)</f>
        <v>0</v>
      </c>
      <c r="Z14" s="337">
        <f>ROUND(SUMIFS(BS_RE33!$H$7:$H$874,BS_RE33!$S$7:$S$874,$Z$2,BS_RE33!$N$7:$N$874,I14,BS_RE33!$P$7:$P$874,'30 days CF Table(Ccy)'!G14,BS_RE33!$F$7:$F$874,'30 days CF Table(Ccy)'!$C$2),2)</f>
        <v>0</v>
      </c>
      <c r="AA14" s="337">
        <f>ROUND(SUMIFS(BS_RE33!$H$7:$H$874,BS_RE33!$S$7:$S$874,$AA$2,BS_RE33!$N$7:$N$874,I14,BS_RE33!$P$7:$P$874,'30 days CF Table(Ccy)'!G14,BS_RE33!$F$7:$F$874,'30 days CF Table(Ccy)'!$C$2),2)</f>
        <v>0</v>
      </c>
      <c r="AB14" s="337">
        <f>ROUND(SUMIFS(BS_RE33!$H$7:$H$874,BS_RE33!$S$7:$S$874,$AB$2,BS_RE33!$N$7:$N$874,I14,BS_RE33!$P$7:$P$874,'30 days CF Table(Ccy)'!G14,BS_RE33!$F$7:$F$874,'30 days CF Table(Ccy)'!$C$2),2)</f>
        <v>0</v>
      </c>
      <c r="AC14" s="337">
        <f>ROUND(SUMIFS(BS_RE33!$H$7:$H$874,BS_RE33!$S$7:$S$874,$AC$2,BS_RE33!$N$7:$N$874,I14,BS_RE33!$P$7:$P$874,'30 days CF Table(Ccy)'!G14,BS_RE33!$F$7:$F$874,'30 days CF Table(Ccy)'!$C$2),2)</f>
        <v>0</v>
      </c>
      <c r="AD14" s="337">
        <f>ROUND(SUMIFS(BS_RE33!$H$7:$H$874,BS_RE33!$S$7:$S$874,$AD$2,BS_RE33!$N$7:$N$874,I14,BS_RE33!$P$7:$P$874,'30 days CF Table(Ccy)'!G14,BS_RE33!$F$7:$F$874,'30 days CF Table(Ccy)'!$C$2),2)</f>
        <v>0</v>
      </c>
      <c r="AE14" s="337">
        <f>ROUND(SUMIFS(BS_RE33!$H$7:$H$874,BS_RE33!$S$7:$S$874,$AE$2,BS_RE33!$N$7:$N$874,I14,BS_RE33!$P$7:$P$874,'30 days CF Table(Ccy)'!G14,BS_RE33!$F$7:$F$874,'30 days CF Table(Ccy)'!$C$2),2)</f>
        <v>0</v>
      </c>
      <c r="AF14" s="337">
        <f>ROUND(SUMIFS(BS_RE33!$H$7:$H$874,BS_RE33!$S$7:$S$874,$AF$2,BS_RE33!$N$7:$N$874,I14,BS_RE33!$P$7:$P$874,'30 days CF Table(Ccy)'!G14,BS_RE33!$F$7:$F$874,'30 days CF Table(Ccy)'!$C$2),2)</f>
        <v>0</v>
      </c>
      <c r="AG14" s="337">
        <f>ROUND(SUMIFS(BS_RE33!$H$7:$H$874,BS_RE33!$S$7:$S$874,$AG$2,BS_RE33!$N$7:$N$874,I14,BS_RE33!$P$7:$P$874,'30 days CF Table(Ccy)'!G14,BS_RE33!$F$7:$F$874,'30 days CF Table(Ccy)'!$C$2),2)</f>
        <v>0</v>
      </c>
      <c r="AH14" s="337">
        <f>ROUND(SUMIFS(BS_RE33!$H$7:$H$874,BS_RE33!$S$7:$S$874,$AH$2,BS_RE33!$N$7:$N$874,I14,BS_RE33!$P$7:$P$874,'30 days CF Table(Ccy)'!G14,BS_RE33!$F$7:$F$874,'30 days CF Table(Ccy)'!$C$2),2)</f>
        <v>0</v>
      </c>
      <c r="AI14" s="337">
        <f>ROUND(SUMIFS(BS_RE33!$H$7:$H$874,BS_RE33!$S$7:$S$874,$AI$2,BS_RE33!$N$7:$N$874,I14,BS_RE33!$P$7:$P$874,'30 days CF Table(Ccy)'!G14,BS_RE33!$F$7:$F$874,'30 days CF Table(Ccy)'!$C$2),2)</f>
        <v>0</v>
      </c>
      <c r="AJ14" s="337">
        <f>ROUND(SUMIFS(BS_RE33!$H$7:$H$874,BS_RE33!$S$7:$S$874,$AJ$2,BS_RE33!$N$7:$N$874,I14,BS_RE33!$P$7:$P$874,'30 days CF Table(Ccy)'!G14,BS_RE33!$F$7:$F$874,'30 days CF Table(Ccy)'!$C$2),2)</f>
        <v>0</v>
      </c>
      <c r="AK14" s="337">
        <f>ROUND(SUMIFS(BS_RE33!$H$7:$H$874,BS_RE33!$S$7:$S$874,$AK$2,BS_RE33!$N$7:$N$874,I14,BS_RE33!$P$7:$P$874,'30 days CF Table(Ccy)'!G14,BS_RE33!$F$7:$F$874,'30 days CF Table(Ccy)'!$C$2),2)</f>
        <v>0</v>
      </c>
      <c r="AL14" s="337">
        <f>ROUND(SUMIFS(BS_RE33!$H$7:$H$874,BS_RE33!$S$7:$S$874,$AL$2,BS_RE33!$N$7:$N$874,I14,BS_RE33!$P$7:$P$874,'30 days CF Table(Ccy)'!G14,BS_RE33!$F$7:$F$874,'30 days CF Table(Ccy)'!$C$2),2)</f>
        <v>0</v>
      </c>
      <c r="AM14" s="337">
        <f>ROUND(SUMIFS(BS_RE33!$H$7:$H$874,BS_RE33!$S$7:$S$874,$AM$2,BS_RE33!$N$7:$N$874,I14,BS_RE33!$P$7:$P$874,'30 days CF Table(Ccy)'!G14,BS_RE33!$F$7:$F$874,'30 days CF Table(Ccy)'!$C$2),2)</f>
        <v>0</v>
      </c>
      <c r="AN14" s="337">
        <f>ROUND(SUMIFS(BS_RE33!$H$7:$H$874,BS_RE33!$S$7:$S$874,$AN$2,BS_RE33!$N$7:$N$874,I14,BS_RE33!$P$7:$P$874,'30 days CF Table(Ccy)'!G14,BS_RE33!$F$7:$F$874,'30 days CF Table(Ccy)'!$C$2),2)</f>
        <v>0</v>
      </c>
      <c r="AO14" s="337">
        <f>ROUND(SUMIFS(BS_RE33!$H$7:$H$874,BS_RE33!$S$7:$S$874,$AO$2,BS_RE33!$N$7:$N$874,I14,BS_RE33!$P$7:$P$874,'30 days CF Table(Ccy)'!G14,BS_RE33!$F$7:$F$874,'30 days CF Table(Ccy)'!$C$2),2)</f>
        <v>0</v>
      </c>
      <c r="AP14" s="338">
        <f>ROUND(SUMIFS(BS_RE33!$H$7:$H$874,BS_RE33!$S$7:$S$874,$AP$2,BS_RE33!$N$7:$N$874,I14,BS_RE33!$P$7:$P$874,'30 days CF Table(Ccy)'!G14,BS_RE33!$F$7:$F$874,'30 days CF Table(Ccy)'!$C$2),2)</f>
        <v>0</v>
      </c>
      <c r="AQ14" s="545"/>
      <c r="AR14" s="379">
        <f>ROUND(SUMIFS(BS_RE33!$H$7:$H$874,BS_RE33!$S$7:$S$874,$AR$2,BS_RE33!$N$7:$N$874,I14,BS_RE33!$P$7:$P$874,'30 days CF Table(Ccy)'!G14,BS_RE33!$F$7:$F$874,'30 days CF Table(Ccy)'!$C$2),2)</f>
        <v>0</v>
      </c>
      <c r="AS14" s="379">
        <f>ROUND(SUMIFS(BS_RE33!$H$7:$H$874,BS_RE33!$S$7:$S$874,$AS$2,BS_RE33!$N$7:$N$874,I14,BS_RE33!$P$7:$P$874,'30 days CF Table(Ccy)'!G14,BS_RE33!$F$7:$F$874,'30 days CF Table(Ccy)'!$C$2),2)</f>
        <v>0</v>
      </c>
      <c r="AT14" s="379">
        <f>ROUND(SUMIFS(BS_RE33!$H$7:$H$874,BS_RE33!$S$7:$S$874,$AT$2,BS_RE33!$N$7:$N$874,I14,BS_RE33!$P$7:$P$874,'30 days CF Table(Ccy)'!G14,BS_RE33!$F$7:$F$874,'30 days CF Table(Ccy)'!$C$2),2)</f>
        <v>0</v>
      </c>
      <c r="AU14" s="379">
        <f>ROUND(SUMIFS(BS_RE33!$H$7:$H$874,BS_RE33!$S$7:$S$874,$AU$2,BS_RE33!$N$7:$N$874,I14,BS_RE33!$P$7:$P$874,'30 days CF Table(Ccy)'!G14,BS_RE33!$F$7:$F$874,'30 days CF Table(Ccy)'!$C$2),2)</f>
        <v>0</v>
      </c>
      <c r="AV14" s="379">
        <f>ROUND(SUMIFS(BS_RE33!$H$7:$H$874,BS_RE33!$S$7:$S$874,$AV$2,BS_RE33!$N$7:$N$874,I14,BS_RE33!$P$7:$P$874,'30 days CF Table(Ccy)'!G14,BS_RE33!$F$7:$F$874,'30 days CF Table(Ccy)'!$C$2),2)</f>
        <v>0</v>
      </c>
      <c r="AW14" s="379">
        <f>ROUND(SUMIFS(BS_RE33!$H$7:$H$874,BS_RE33!$S$7:$S$874,$AW$2,BS_RE33!$N$7:$N$874,I14,BS_RE33!$P$7:$P$874,'30 days CF Table(Ccy)'!G14,BS_RE33!$F$7:$F$874,'30 days CF Table(Ccy)'!$C$2),2)</f>
        <v>0</v>
      </c>
      <c r="AX14" s="379">
        <f>ROUND(SUMIFS(BS_RE33!$H$7:$H$874,BS_RE33!$S$7:$S$874,$AX$2,BS_RE33!$N$7:$N$874,I14,BS_RE33!$P$7:$P$874,'30 days CF Table(Ccy)'!G14,BS_RE33!$F$7:$F$874,'30 days CF Table(Ccy)'!$C$2),2)</f>
        <v>0</v>
      </c>
      <c r="AY14" s="379">
        <f>ROUND(SUMIFS(BS_RE33!$H$7:$H$874,BS_RE33!$S$7:$S$874,$AY$2,BS_RE33!$N$7:$N$874,I14,BS_RE33!$P$7:$P$874,'30 days CF Table(Ccy)'!G14,BS_RE33!$F$7:$F$874,'30 days CF Table(Ccy)'!$C$2),2)</f>
        <v>0</v>
      </c>
      <c r="AZ14" s="379">
        <f>ROUND(SUMIFS(BS_RE33!$H$7:$H$874,BS_RE33!$S$7:$S$874,$AZ$2,BS_RE33!$N$7:$N$874,I14,BS_RE33!$P$7:$P$874,'30 days CF Table(Ccy)'!G14,BS_RE33!$F$7:$F$874,'30 days CF Table(Ccy)'!$C$2),2)</f>
        <v>0</v>
      </c>
      <c r="BA14" s="379">
        <f>ROUND(SUMIFS(BS_RE33!$H$7:$H$874,BS_RE33!$S$7:$S$874,$BA$2,BS_RE33!$N$7:$N$874,I14,BS_RE33!$P$7:$P$874,'30 days CF Table(Ccy)'!G14,BS_RE33!$F$7:$F$874,'30 days CF Table(Ccy)'!$C$2),2)</f>
        <v>0</v>
      </c>
      <c r="BB14" s="379">
        <f>ROUND(SUMIFS(BS_RE33!$H$7:$H$874,BS_RE33!$S$7:$S$874,$BB$2,BS_RE33!$N$7:$N$874,I14,BS_RE33!$P$7:$P$874,'30 days CF Table(Ccy)'!G14,BS_RE33!$F$7:$F$874,'30 days CF Table(Ccy)'!$C$2),2)</f>
        <v>0</v>
      </c>
      <c r="BC14" s="379">
        <f>ROUND(SUMIFS(BS_RE33!$H$7:$H$874,BS_RE33!$S$7:$S$874,$BC$2,BS_RE33!$N$7:$N$874,I14,BS_RE33!$P$7:$P$874,'30 days CF Table(Ccy)'!G14,BS_RE33!$F$7:$F$874,'30 days CF Table(Ccy)'!$C$2),2)</f>
        <v>0</v>
      </c>
      <c r="BD14" s="379">
        <f>ROUND(SUMIFS(BS_RE33!$H$7:$H$874,BS_RE33!$S$7:$S$874,$BD$2,BS_RE33!$N$7:$N$874,I14,BS_RE33!$P$7:$P$874,'30 days CF Table(Ccy)'!G14,BS_RE33!$F$7:$F$874,'30 days CF Table(Ccy)'!$C$2),2)</f>
        <v>0</v>
      </c>
      <c r="BE14" s="379">
        <f>ROUND(SUMIFS(BS_RE33!$H$7:$H$874,BS_RE33!$S$7:$S$874,$BE$2,BS_RE33!$N$7:$N$874,I14,BS_RE33!$P$7:$P$874,'30 days CF Table(Ccy)'!G14,BS_RE33!$F$7:$F$874,'30 days CF Table(Ccy)'!$C$2),2)</f>
        <v>0</v>
      </c>
      <c r="BF14" s="379">
        <f>ROUND(SUMIFS(BS_RE33!$H$7:$H$874,BS_RE33!$S$7:$S$874,$BF$2,BS_RE33!$N$7:$N$874,I14,BS_RE33!$P$7:$P$874,'30 days CF Table(Ccy)'!G14,BS_RE33!$F$7:$F$874,'30 days CF Table(Ccy)'!$C$2),2)</f>
        <v>0</v>
      </c>
      <c r="BG14" s="379">
        <f>ROUND(SUMIFS(BS_RE33!$H$7:$H$874,BS_RE33!$S$7:$S$874,$BG$2,BS_RE33!$N$7:$N$874,I14,BS_RE33!$P$7:$P$874,'30 days CF Table(Ccy)'!G14,BS_RE33!$F$7:$F$874,'30 days CF Table(Ccy)'!$C$2),2)</f>
        <v>0</v>
      </c>
      <c r="BH14" s="379">
        <f>ROUND(SUMIFS(BS_RE33!$H$7:$H$874,BS_RE33!$S$7:$S$874,$BH$2,BS_RE33!$N$7:$N$874,I14,BS_RE33!$P$7:$P$874,'30 days CF Table(Ccy)'!G14,BS_RE33!$F$7:$F$874,'30 days CF Table(Ccy)'!$C$2),2)</f>
        <v>0</v>
      </c>
      <c r="BI14" s="379">
        <f>ROUND(SUMIFS(BS_RE33!$H$7:$H$874,BS_RE33!$S$7:$S$874,$BI$2,BS_RE33!$N$7:$N$874,I14,BS_RE33!$P$7:$P$874,'30 days CF Table(Ccy)'!G14,BS_RE33!$F$7:$F$874,'30 days CF Table(Ccy)'!$C$2),2)</f>
        <v>0</v>
      </c>
      <c r="BJ14" s="379">
        <f>ROUND(SUMIFS(BS_RE33!$H$7:$H$874,BS_RE33!$S$7:$S$874,$BJ$2,BS_RE33!$N$7:$N$874,I14,BS_RE33!$P$7:$P$874,'30 days CF Table(Ccy)'!G14,BS_RE33!$F$7:$F$874,'30 days CF Table(Ccy)'!$C$2),2)</f>
        <v>0</v>
      </c>
      <c r="BK14" s="379">
        <f>ROUND(SUMIFS(BS_RE33!$H$7:$H$874,BS_RE33!$S$7:$S$874,$BK$2,BS_RE33!$N$7:$N$874,I14,BS_RE33!$P$7:$P$874,'30 days CF Table(Ccy)'!G14,BS_RE33!$F$7:$F$874,'30 days CF Table(Ccy)'!$C$2),2)</f>
        <v>0</v>
      </c>
    </row>
    <row r="15" spans="1:63" s="395" customFormat="1">
      <c r="A15"/>
      <c r="B15"/>
      <c r="C15" s="1029"/>
      <c r="D15" s="1031" t="s">
        <v>741</v>
      </c>
      <c r="E15" s="73" t="s">
        <v>552</v>
      </c>
      <c r="F15" s="309"/>
      <c r="G15" s="392" t="s">
        <v>553</v>
      </c>
      <c r="H15" s="130">
        <v>1</v>
      </c>
      <c r="I15" s="305" t="s">
        <v>63</v>
      </c>
      <c r="J15" s="477">
        <f t="shared" si="2"/>
        <v>0</v>
      </c>
      <c r="K15" s="335">
        <f t="shared" si="3"/>
        <v>0</v>
      </c>
      <c r="L15" s="337">
        <f>ROUND(SUMIFS(BS_RE33!$H$7:$H$874,BS_RE33!$S$7:$S$874,$L$2,BS_RE33!$N$7:$N$874,I15,BS_RE33!$P$7:$P$874,'30 days CF Table(Ccy)'!G15,BS_RE33!$F$7:$F$874,'30 days CF Table(Ccy)'!$C$2),2)</f>
        <v>0</v>
      </c>
      <c r="M15" s="337">
        <f>ROUND(SUMIFS(BS_RE33!$H$7:$H$874,BS_RE33!$S$7:$S$874,$M$2,BS_RE33!$N$7:$N$874,I15,BS_RE33!$P$7:$P$874,'30 days CF Table(Ccy)'!G15,BS_RE33!$F$7:$F$874,'30 days CF Table(Ccy)'!$C$2),2)</f>
        <v>0</v>
      </c>
      <c r="N15" s="337">
        <f>ROUND(SUMIFS(BS_RE33!$H$7:$H$874,BS_RE33!$S$7:$S$874,$N$2,BS_RE33!$N$7:$N$874,I15,BS_RE33!$P$7:$P$874,'30 days CF Table(Ccy)'!G15,BS_RE33!$F$7:$F$874,'30 days CF Table(Ccy)'!$C$2),2)</f>
        <v>0</v>
      </c>
      <c r="O15" s="337">
        <f>ROUND(SUMIFS(BS_RE33!$H$7:$H$874,BS_RE33!$S$7:$S$874,$O$2,BS_RE33!$N$7:$N$874,I15,BS_RE33!$P$7:$P$874,'30 days CF Table(Ccy)'!G15,BS_RE33!$F$7:$F$874,'30 days CF Table(Ccy)'!$C$2),2)</f>
        <v>0</v>
      </c>
      <c r="P15" s="337">
        <f>ROUND(SUMIFS(BS_RE33!$H$7:$H$874,BS_RE33!$S$7:$S$874,$P$2,BS_RE33!$N$7:$N$874,I15,BS_RE33!$P$7:$P$874,'30 days CF Table(Ccy)'!G15,BS_RE33!$F$7:$F$874,'30 days CF Table(Ccy)'!$C$2),2)</f>
        <v>0</v>
      </c>
      <c r="Q15" s="337">
        <f>ROUND(SUMIFS(BS_RE33!$H$7:$H$874,BS_RE33!$S$7:$S$874,$Q$2,BS_RE33!$N$7:$N$874,I15,BS_RE33!$P$7:$P$874,'30 days CF Table(Ccy)'!G15,BS_RE33!$F$7:$F$874,'30 days CF Table(Ccy)'!$C$2),2)</f>
        <v>0</v>
      </c>
      <c r="R15" s="337">
        <f>ROUND(SUMIFS(BS_RE33!$H$7:$H$874,BS_RE33!$S$7:$S$874,$R$2,BS_RE33!$N$7:$N$874,I15,BS_RE33!$P$7:$P$874,'30 days CF Table(Ccy)'!G15,BS_RE33!$F$7:$F$874,'30 days CF Table(Ccy)'!$C$2),2)</f>
        <v>0</v>
      </c>
      <c r="S15" s="337">
        <f>ROUND(SUMIFS(BS_RE33!$H$7:$H$874,BS_RE33!$S$7:$S$874,$S$2,BS_RE33!$N$7:$N$874,I15,BS_RE33!$P$7:$P$874,'30 days CF Table(Ccy)'!G15,BS_RE33!$F$7:$F$874,'30 days CF Table(Ccy)'!$C$2),2)</f>
        <v>0</v>
      </c>
      <c r="T15" s="337">
        <f>ROUND(SUMIFS(BS_RE33!$H$7:$H$874,BS_RE33!$S$7:$S$874,$T$2,BS_RE33!$N$7:$N$874,I15,BS_RE33!$P$7:$P$874,'30 days CF Table(Ccy)'!G15,BS_RE33!$F$7:$F$874,'30 days CF Table(Ccy)'!$C$2),2)</f>
        <v>0</v>
      </c>
      <c r="U15" s="337">
        <f>ROUND(SUMIFS(BS_RE33!$H$7:$H$874,BS_RE33!$S$7:$S$874,$U$2,BS_RE33!$N$7:$N$874,I15,BS_RE33!$P$7:$P$874,'30 days CF Table(Ccy)'!G15,BS_RE33!$F$7:$F$874,'30 days CF Table(Ccy)'!$C$2),2)</f>
        <v>0</v>
      </c>
      <c r="V15" s="337">
        <f>ROUND(SUMIFS(BS_RE33!$H$7:$H$874,BS_RE33!$S$7:$S$874,$V$2,BS_RE33!$N$7:$N$874,I15,BS_RE33!$P$7:$P$874,'30 days CF Table(Ccy)'!G15,BS_RE33!$F$7:$F$874,'30 days CF Table(Ccy)'!$C$2),2)</f>
        <v>0</v>
      </c>
      <c r="W15" s="337">
        <f>ROUND(SUMIFS(BS_RE33!$H$7:$H$874,BS_RE33!$S$7:$S$874,$W$2,BS_RE33!$N$7:$N$874,I15,BS_RE33!$P$7:$P$874,'30 days CF Table(Ccy)'!G15,BS_RE33!$F$7:$F$874,'30 days CF Table(Ccy)'!$C$2),2)</f>
        <v>0</v>
      </c>
      <c r="X15" s="337">
        <f>ROUND(SUMIFS(BS_RE33!$H$7:$H$874,BS_RE33!$S$7:$S$874,$X$2,BS_RE33!$N$7:$N$874,I15,BS_RE33!$P$7:$P$874,'30 days CF Table(Ccy)'!G15,BS_RE33!$F$7:$F$874,'30 days CF Table(Ccy)'!$C$2),2)</f>
        <v>0</v>
      </c>
      <c r="Y15" s="337">
        <f>ROUND(SUMIFS(BS_RE33!$H$7:$H$874,BS_RE33!$S$7:$S$874,$Y$2,BS_RE33!$N$7:$N$874,I15,BS_RE33!$P$7:$P$874,'30 days CF Table(Ccy)'!G15,BS_RE33!$F$7:$F$874,'30 days CF Table(Ccy)'!$C$2),2)</f>
        <v>0</v>
      </c>
      <c r="Z15" s="337">
        <f>ROUND(SUMIFS(BS_RE33!$H$7:$H$874,BS_RE33!$S$7:$S$874,$Z$2,BS_RE33!$N$7:$N$874,I15,BS_RE33!$P$7:$P$874,'30 days CF Table(Ccy)'!G15,BS_RE33!$F$7:$F$874,'30 days CF Table(Ccy)'!$C$2),2)</f>
        <v>0</v>
      </c>
      <c r="AA15" s="337">
        <f>ROUND(SUMIFS(BS_RE33!$H$7:$H$874,BS_RE33!$S$7:$S$874,$AA$2,BS_RE33!$N$7:$N$874,I15,BS_RE33!$P$7:$P$874,'30 days CF Table(Ccy)'!G15,BS_RE33!$F$7:$F$874,'30 days CF Table(Ccy)'!$C$2),2)</f>
        <v>0</v>
      </c>
      <c r="AB15" s="337">
        <f>ROUND(SUMIFS(BS_RE33!$H$7:$H$874,BS_RE33!$S$7:$S$874,$AB$2,BS_RE33!$N$7:$N$874,I15,BS_RE33!$P$7:$P$874,'30 days CF Table(Ccy)'!G15,BS_RE33!$F$7:$F$874,'30 days CF Table(Ccy)'!$C$2),2)</f>
        <v>0</v>
      </c>
      <c r="AC15" s="337">
        <f>ROUND(SUMIFS(BS_RE33!$H$7:$H$874,BS_RE33!$S$7:$S$874,$AC$2,BS_RE33!$N$7:$N$874,I15,BS_RE33!$P$7:$P$874,'30 days CF Table(Ccy)'!G15,BS_RE33!$F$7:$F$874,'30 days CF Table(Ccy)'!$C$2),2)</f>
        <v>0</v>
      </c>
      <c r="AD15" s="337">
        <f>ROUND(SUMIFS(BS_RE33!$H$7:$H$874,BS_RE33!$S$7:$S$874,$AD$2,BS_RE33!$N$7:$N$874,I15,BS_RE33!$P$7:$P$874,'30 days CF Table(Ccy)'!G15,BS_RE33!$F$7:$F$874,'30 days CF Table(Ccy)'!$C$2),2)</f>
        <v>0</v>
      </c>
      <c r="AE15" s="337">
        <f>ROUND(SUMIFS(BS_RE33!$H$7:$H$874,BS_RE33!$S$7:$S$874,$AE$2,BS_RE33!$N$7:$N$874,I15,BS_RE33!$P$7:$P$874,'30 days CF Table(Ccy)'!G15,BS_RE33!$F$7:$F$874,'30 days CF Table(Ccy)'!$C$2),2)</f>
        <v>0</v>
      </c>
      <c r="AF15" s="337">
        <f>ROUND(SUMIFS(BS_RE33!$H$7:$H$874,BS_RE33!$S$7:$S$874,$AF$2,BS_RE33!$N$7:$N$874,I15,BS_RE33!$P$7:$P$874,'30 days CF Table(Ccy)'!G15,BS_RE33!$F$7:$F$874,'30 days CF Table(Ccy)'!$C$2),2)</f>
        <v>0</v>
      </c>
      <c r="AG15" s="337">
        <f>ROUND(SUMIFS(BS_RE33!$H$7:$H$874,BS_RE33!$S$7:$S$874,$AG$2,BS_RE33!$N$7:$N$874,I15,BS_RE33!$P$7:$P$874,'30 days CF Table(Ccy)'!G15,BS_RE33!$F$7:$F$874,'30 days CF Table(Ccy)'!$C$2),2)</f>
        <v>0</v>
      </c>
      <c r="AH15" s="337">
        <f>ROUND(SUMIFS(BS_RE33!$H$7:$H$874,BS_RE33!$S$7:$S$874,$AH$2,BS_RE33!$N$7:$N$874,I15,BS_RE33!$P$7:$P$874,'30 days CF Table(Ccy)'!G15,BS_RE33!$F$7:$F$874,'30 days CF Table(Ccy)'!$C$2),2)</f>
        <v>0</v>
      </c>
      <c r="AI15" s="337">
        <f>ROUND(SUMIFS(BS_RE33!$H$7:$H$874,BS_RE33!$S$7:$S$874,$AI$2,BS_RE33!$N$7:$N$874,I15,BS_RE33!$P$7:$P$874,'30 days CF Table(Ccy)'!G15,BS_RE33!$F$7:$F$874,'30 days CF Table(Ccy)'!$C$2),2)</f>
        <v>0</v>
      </c>
      <c r="AJ15" s="337">
        <f>ROUND(SUMIFS(BS_RE33!$H$7:$H$874,BS_RE33!$S$7:$S$874,$AJ$2,BS_RE33!$N$7:$N$874,I15,BS_RE33!$P$7:$P$874,'30 days CF Table(Ccy)'!G15,BS_RE33!$F$7:$F$874,'30 days CF Table(Ccy)'!$C$2),2)</f>
        <v>0</v>
      </c>
      <c r="AK15" s="337">
        <f>ROUND(SUMIFS(BS_RE33!$H$7:$H$874,BS_RE33!$S$7:$S$874,$AK$2,BS_RE33!$N$7:$N$874,I15,BS_RE33!$P$7:$P$874,'30 days CF Table(Ccy)'!G15,BS_RE33!$F$7:$F$874,'30 days CF Table(Ccy)'!$C$2),2)</f>
        <v>0</v>
      </c>
      <c r="AL15" s="337">
        <f>ROUND(SUMIFS(BS_RE33!$H$7:$H$874,BS_RE33!$S$7:$S$874,$AL$2,BS_RE33!$N$7:$N$874,I15,BS_RE33!$P$7:$P$874,'30 days CF Table(Ccy)'!G15,BS_RE33!$F$7:$F$874,'30 days CF Table(Ccy)'!$C$2),2)</f>
        <v>0</v>
      </c>
      <c r="AM15" s="337">
        <f>ROUND(SUMIFS(BS_RE33!$H$7:$H$874,BS_RE33!$S$7:$S$874,$AM$2,BS_RE33!$N$7:$N$874,I15,BS_RE33!$P$7:$P$874,'30 days CF Table(Ccy)'!G15,BS_RE33!$F$7:$F$874,'30 days CF Table(Ccy)'!$C$2),2)</f>
        <v>0</v>
      </c>
      <c r="AN15" s="337">
        <f>ROUND(SUMIFS(BS_RE33!$H$7:$H$874,BS_RE33!$S$7:$S$874,$AN$2,BS_RE33!$N$7:$N$874,I15,BS_RE33!$P$7:$P$874,'30 days CF Table(Ccy)'!G15,BS_RE33!$F$7:$F$874,'30 days CF Table(Ccy)'!$C$2),2)</f>
        <v>0</v>
      </c>
      <c r="AO15" s="337">
        <f>ROUND(SUMIFS(BS_RE33!$H$7:$H$874,BS_RE33!$S$7:$S$874,$AO$2,BS_RE33!$N$7:$N$874,I15,BS_RE33!$P$7:$P$874,'30 days CF Table(Ccy)'!G15,BS_RE33!$F$7:$F$874,'30 days CF Table(Ccy)'!$C$2),2)</f>
        <v>0</v>
      </c>
      <c r="AP15" s="338">
        <f>ROUND(SUMIFS(BS_RE33!$H$7:$H$874,BS_RE33!$S$7:$S$874,$AP$2,BS_RE33!$N$7:$N$874,I15,BS_RE33!$P$7:$P$874,'30 days CF Table(Ccy)'!G15,BS_RE33!$F$7:$F$874,'30 days CF Table(Ccy)'!$C$2),2)</f>
        <v>0</v>
      </c>
      <c r="AQ15" s="545"/>
      <c r="AR15" s="379">
        <f>ROUND(SUMIFS(BS_RE33!$H$7:$H$874,BS_RE33!$S$7:$S$874,$AR$2,BS_RE33!$N$7:$N$874,I15,BS_RE33!$P$7:$P$874,'30 days CF Table(Ccy)'!G15,BS_RE33!$F$7:$F$874,'30 days CF Table(Ccy)'!$C$2),2)</f>
        <v>0</v>
      </c>
      <c r="AS15" s="379">
        <f>ROUND(SUMIFS(BS_RE33!$H$7:$H$874,BS_RE33!$S$7:$S$874,$AS$2,BS_RE33!$N$7:$N$874,I15,BS_RE33!$P$7:$P$874,'30 days CF Table(Ccy)'!G15,BS_RE33!$F$7:$F$874,'30 days CF Table(Ccy)'!$C$2),2)</f>
        <v>0</v>
      </c>
      <c r="AT15" s="379">
        <f>ROUND(SUMIFS(BS_RE33!$H$7:$H$874,BS_RE33!$S$7:$S$874,$AT$2,BS_RE33!$N$7:$N$874,I15,BS_RE33!$P$7:$P$874,'30 days CF Table(Ccy)'!G15,BS_RE33!$F$7:$F$874,'30 days CF Table(Ccy)'!$C$2),2)</f>
        <v>0</v>
      </c>
      <c r="AU15" s="379">
        <f>ROUND(SUMIFS(BS_RE33!$H$7:$H$874,BS_RE33!$S$7:$S$874,$AU$2,BS_RE33!$N$7:$N$874,I15,BS_RE33!$P$7:$P$874,'30 days CF Table(Ccy)'!G15,BS_RE33!$F$7:$F$874,'30 days CF Table(Ccy)'!$C$2),2)</f>
        <v>0</v>
      </c>
      <c r="AV15" s="379">
        <f>ROUND(SUMIFS(BS_RE33!$H$7:$H$874,BS_RE33!$S$7:$S$874,$AV$2,BS_RE33!$N$7:$N$874,I15,BS_RE33!$P$7:$P$874,'30 days CF Table(Ccy)'!G15,BS_RE33!$F$7:$F$874,'30 days CF Table(Ccy)'!$C$2),2)</f>
        <v>0</v>
      </c>
      <c r="AW15" s="379">
        <f>ROUND(SUMIFS(BS_RE33!$H$7:$H$874,BS_RE33!$S$7:$S$874,$AW$2,BS_RE33!$N$7:$N$874,I15,BS_RE33!$P$7:$P$874,'30 days CF Table(Ccy)'!G15,BS_RE33!$F$7:$F$874,'30 days CF Table(Ccy)'!$C$2),2)</f>
        <v>0</v>
      </c>
      <c r="AX15" s="379">
        <f>ROUND(SUMIFS(BS_RE33!$H$7:$H$874,BS_RE33!$S$7:$S$874,$AX$2,BS_RE33!$N$7:$N$874,I15,BS_RE33!$P$7:$P$874,'30 days CF Table(Ccy)'!G15,BS_RE33!$F$7:$F$874,'30 days CF Table(Ccy)'!$C$2),2)</f>
        <v>0</v>
      </c>
      <c r="AY15" s="379">
        <f>ROUND(SUMIFS(BS_RE33!$H$7:$H$874,BS_RE33!$S$7:$S$874,$AY$2,BS_RE33!$N$7:$N$874,I15,BS_RE33!$P$7:$P$874,'30 days CF Table(Ccy)'!G15,BS_RE33!$F$7:$F$874,'30 days CF Table(Ccy)'!$C$2),2)</f>
        <v>0</v>
      </c>
      <c r="AZ15" s="379">
        <f>ROUND(SUMIFS(BS_RE33!$H$7:$H$874,BS_RE33!$S$7:$S$874,$AZ$2,BS_RE33!$N$7:$N$874,I15,BS_RE33!$P$7:$P$874,'30 days CF Table(Ccy)'!G15,BS_RE33!$F$7:$F$874,'30 days CF Table(Ccy)'!$C$2),2)</f>
        <v>0</v>
      </c>
      <c r="BA15" s="379">
        <f>ROUND(SUMIFS(BS_RE33!$H$7:$H$874,BS_RE33!$S$7:$S$874,$BA$2,BS_RE33!$N$7:$N$874,I15,BS_RE33!$P$7:$P$874,'30 days CF Table(Ccy)'!G15,BS_RE33!$F$7:$F$874,'30 days CF Table(Ccy)'!$C$2),2)</f>
        <v>0</v>
      </c>
      <c r="BB15" s="379">
        <f>ROUND(SUMIFS(BS_RE33!$H$7:$H$874,BS_RE33!$S$7:$S$874,$BB$2,BS_RE33!$N$7:$N$874,I15,BS_RE33!$P$7:$P$874,'30 days CF Table(Ccy)'!G15,BS_RE33!$F$7:$F$874,'30 days CF Table(Ccy)'!$C$2),2)</f>
        <v>0</v>
      </c>
      <c r="BC15" s="379">
        <f>ROUND(SUMIFS(BS_RE33!$H$7:$H$874,BS_RE33!$S$7:$S$874,$BC$2,BS_RE33!$N$7:$N$874,I15,BS_RE33!$P$7:$P$874,'30 days CF Table(Ccy)'!G15,BS_RE33!$F$7:$F$874,'30 days CF Table(Ccy)'!$C$2),2)</f>
        <v>0</v>
      </c>
      <c r="BD15" s="379">
        <f>ROUND(SUMIFS(BS_RE33!$H$7:$H$874,BS_RE33!$S$7:$S$874,$BD$2,BS_RE33!$N$7:$N$874,I15,BS_RE33!$P$7:$P$874,'30 days CF Table(Ccy)'!G15,BS_RE33!$F$7:$F$874,'30 days CF Table(Ccy)'!$C$2),2)</f>
        <v>0</v>
      </c>
      <c r="BE15" s="379">
        <f>ROUND(SUMIFS(BS_RE33!$H$7:$H$874,BS_RE33!$S$7:$S$874,$BE$2,BS_RE33!$N$7:$N$874,I15,BS_RE33!$P$7:$P$874,'30 days CF Table(Ccy)'!G15,BS_RE33!$F$7:$F$874,'30 days CF Table(Ccy)'!$C$2),2)</f>
        <v>0</v>
      </c>
      <c r="BF15" s="379">
        <f>ROUND(SUMIFS(BS_RE33!$H$7:$H$874,BS_RE33!$S$7:$S$874,$BF$2,BS_RE33!$N$7:$N$874,I15,BS_RE33!$P$7:$P$874,'30 days CF Table(Ccy)'!G15,BS_RE33!$F$7:$F$874,'30 days CF Table(Ccy)'!$C$2),2)</f>
        <v>0</v>
      </c>
      <c r="BG15" s="379">
        <f>ROUND(SUMIFS(BS_RE33!$H$7:$H$874,BS_RE33!$S$7:$S$874,$BG$2,BS_RE33!$N$7:$N$874,I15,BS_RE33!$P$7:$P$874,'30 days CF Table(Ccy)'!G15,BS_RE33!$F$7:$F$874,'30 days CF Table(Ccy)'!$C$2),2)</f>
        <v>0</v>
      </c>
      <c r="BH15" s="379">
        <f>ROUND(SUMIFS(BS_RE33!$H$7:$H$874,BS_RE33!$S$7:$S$874,$BH$2,BS_RE33!$N$7:$N$874,I15,BS_RE33!$P$7:$P$874,'30 days CF Table(Ccy)'!G15,BS_RE33!$F$7:$F$874,'30 days CF Table(Ccy)'!$C$2),2)</f>
        <v>0</v>
      </c>
      <c r="BI15" s="379">
        <f>ROUND(SUMIFS(BS_RE33!$H$7:$H$874,BS_RE33!$S$7:$S$874,$BI$2,BS_RE33!$N$7:$N$874,I15,BS_RE33!$P$7:$P$874,'30 days CF Table(Ccy)'!G15,BS_RE33!$F$7:$F$874,'30 days CF Table(Ccy)'!$C$2),2)</f>
        <v>0</v>
      </c>
      <c r="BJ15" s="379">
        <f>ROUND(SUMIFS(BS_RE33!$H$7:$H$874,BS_RE33!$S$7:$S$874,$BJ$2,BS_RE33!$N$7:$N$874,I15,BS_RE33!$P$7:$P$874,'30 days CF Table(Ccy)'!G15,BS_RE33!$F$7:$F$874,'30 days CF Table(Ccy)'!$C$2),2)</f>
        <v>0</v>
      </c>
      <c r="BK15" s="379">
        <f>ROUND(SUMIFS(BS_RE33!$H$7:$H$874,BS_RE33!$S$7:$S$874,$BK$2,BS_RE33!$N$7:$N$874,I15,BS_RE33!$P$7:$P$874,'30 days CF Table(Ccy)'!G15,BS_RE33!$F$7:$F$874,'30 days CF Table(Ccy)'!$C$2),2)</f>
        <v>0</v>
      </c>
    </row>
    <row r="16" spans="1:63" s="395" customFormat="1">
      <c r="A16"/>
      <c r="B16"/>
      <c r="C16" s="1029"/>
      <c r="D16" s="1031"/>
      <c r="E16" s="73" t="s">
        <v>554</v>
      </c>
      <c r="F16" s="309"/>
      <c r="G16" s="392" t="s">
        <v>555</v>
      </c>
      <c r="H16" s="130">
        <v>1</v>
      </c>
      <c r="I16" s="305" t="s">
        <v>63</v>
      </c>
      <c r="J16" s="477">
        <f t="shared" si="2"/>
        <v>0</v>
      </c>
      <c r="K16" s="335">
        <f t="shared" si="3"/>
        <v>0</v>
      </c>
      <c r="L16" s="337">
        <f>ROUND(SUMIFS(BS_RE33!$H$7:$H$874,BS_RE33!$S$7:$S$874,$L$2,BS_RE33!$N$7:$N$874,I16,BS_RE33!$P$7:$P$874,'30 days CF Table(Ccy)'!G16,BS_RE33!$F$7:$F$874,'30 days CF Table(Ccy)'!$C$2),2)</f>
        <v>0</v>
      </c>
      <c r="M16" s="337">
        <f>ROUND(SUMIFS(BS_RE33!$H$7:$H$874,BS_RE33!$S$7:$S$874,$M$2,BS_RE33!$N$7:$N$874,I16,BS_RE33!$P$7:$P$874,'30 days CF Table(Ccy)'!G16,BS_RE33!$F$7:$F$874,'30 days CF Table(Ccy)'!$C$2),2)</f>
        <v>0</v>
      </c>
      <c r="N16" s="337">
        <f>ROUND(SUMIFS(BS_RE33!$H$7:$H$874,BS_RE33!$S$7:$S$874,$N$2,BS_RE33!$N$7:$N$874,I16,BS_RE33!$P$7:$P$874,'30 days CF Table(Ccy)'!G16,BS_RE33!$F$7:$F$874,'30 days CF Table(Ccy)'!$C$2),2)</f>
        <v>0</v>
      </c>
      <c r="O16" s="337">
        <f>ROUND(SUMIFS(BS_RE33!$H$7:$H$874,BS_RE33!$S$7:$S$874,$O$2,BS_RE33!$N$7:$N$874,I16,BS_RE33!$P$7:$P$874,'30 days CF Table(Ccy)'!G16,BS_RE33!$F$7:$F$874,'30 days CF Table(Ccy)'!$C$2),2)</f>
        <v>0</v>
      </c>
      <c r="P16" s="337">
        <f>ROUND(SUMIFS(BS_RE33!$H$7:$H$874,BS_RE33!$S$7:$S$874,$P$2,BS_RE33!$N$7:$N$874,I16,BS_RE33!$P$7:$P$874,'30 days CF Table(Ccy)'!G16,BS_RE33!$F$7:$F$874,'30 days CF Table(Ccy)'!$C$2),2)</f>
        <v>0</v>
      </c>
      <c r="Q16" s="337">
        <f>ROUND(SUMIFS(BS_RE33!$H$7:$H$874,BS_RE33!$S$7:$S$874,$Q$2,BS_RE33!$N$7:$N$874,I16,BS_RE33!$P$7:$P$874,'30 days CF Table(Ccy)'!G16,BS_RE33!$F$7:$F$874,'30 days CF Table(Ccy)'!$C$2),2)</f>
        <v>0</v>
      </c>
      <c r="R16" s="337">
        <f>ROUND(SUMIFS(BS_RE33!$H$7:$H$874,BS_RE33!$S$7:$S$874,$R$2,BS_RE33!$N$7:$N$874,I16,BS_RE33!$P$7:$P$874,'30 days CF Table(Ccy)'!G16,BS_RE33!$F$7:$F$874,'30 days CF Table(Ccy)'!$C$2),2)</f>
        <v>0</v>
      </c>
      <c r="S16" s="337">
        <f>ROUND(SUMIFS(BS_RE33!$H$7:$H$874,BS_RE33!$S$7:$S$874,$S$2,BS_RE33!$N$7:$N$874,I16,BS_RE33!$P$7:$P$874,'30 days CF Table(Ccy)'!G16,BS_RE33!$F$7:$F$874,'30 days CF Table(Ccy)'!$C$2),2)</f>
        <v>0</v>
      </c>
      <c r="T16" s="337">
        <f>ROUND(SUMIFS(BS_RE33!$H$7:$H$874,BS_RE33!$S$7:$S$874,$T$2,BS_RE33!$N$7:$N$874,I16,BS_RE33!$P$7:$P$874,'30 days CF Table(Ccy)'!G16,BS_RE33!$F$7:$F$874,'30 days CF Table(Ccy)'!$C$2),2)</f>
        <v>0</v>
      </c>
      <c r="U16" s="337">
        <f>ROUND(SUMIFS(BS_RE33!$H$7:$H$874,BS_RE33!$S$7:$S$874,$U$2,BS_RE33!$N$7:$N$874,I16,BS_RE33!$P$7:$P$874,'30 days CF Table(Ccy)'!G16,BS_RE33!$F$7:$F$874,'30 days CF Table(Ccy)'!$C$2),2)</f>
        <v>0</v>
      </c>
      <c r="V16" s="337">
        <f>ROUND(SUMIFS(BS_RE33!$H$7:$H$874,BS_RE33!$S$7:$S$874,$V$2,BS_RE33!$N$7:$N$874,I16,BS_RE33!$P$7:$P$874,'30 days CF Table(Ccy)'!G16,BS_RE33!$F$7:$F$874,'30 days CF Table(Ccy)'!$C$2),2)</f>
        <v>0</v>
      </c>
      <c r="W16" s="337">
        <f>ROUND(SUMIFS(BS_RE33!$H$7:$H$874,BS_RE33!$S$7:$S$874,$W$2,BS_RE33!$N$7:$N$874,I16,BS_RE33!$P$7:$P$874,'30 days CF Table(Ccy)'!G16,BS_RE33!$F$7:$F$874,'30 days CF Table(Ccy)'!$C$2),2)</f>
        <v>0</v>
      </c>
      <c r="X16" s="337">
        <f>ROUND(SUMIFS(BS_RE33!$H$7:$H$874,BS_RE33!$S$7:$S$874,$X$2,BS_RE33!$N$7:$N$874,I16,BS_RE33!$P$7:$P$874,'30 days CF Table(Ccy)'!G16,BS_RE33!$F$7:$F$874,'30 days CF Table(Ccy)'!$C$2),2)</f>
        <v>0</v>
      </c>
      <c r="Y16" s="337">
        <f>ROUND(SUMIFS(BS_RE33!$H$7:$H$874,BS_RE33!$S$7:$S$874,$Y$2,BS_RE33!$N$7:$N$874,I16,BS_RE33!$P$7:$P$874,'30 days CF Table(Ccy)'!G16,BS_RE33!$F$7:$F$874,'30 days CF Table(Ccy)'!$C$2),2)</f>
        <v>0</v>
      </c>
      <c r="Z16" s="337">
        <f>ROUND(SUMIFS(BS_RE33!$H$7:$H$874,BS_RE33!$S$7:$S$874,$Z$2,BS_RE33!$N$7:$N$874,I16,BS_RE33!$P$7:$P$874,'30 days CF Table(Ccy)'!G16,BS_RE33!$F$7:$F$874,'30 days CF Table(Ccy)'!$C$2),2)</f>
        <v>0</v>
      </c>
      <c r="AA16" s="337">
        <f>ROUND(SUMIFS(BS_RE33!$H$7:$H$874,BS_RE33!$S$7:$S$874,$AA$2,BS_RE33!$N$7:$N$874,I16,BS_RE33!$P$7:$P$874,'30 days CF Table(Ccy)'!G16,BS_RE33!$F$7:$F$874,'30 days CF Table(Ccy)'!$C$2),2)</f>
        <v>0</v>
      </c>
      <c r="AB16" s="337">
        <f>ROUND(SUMIFS(BS_RE33!$H$7:$H$874,BS_RE33!$S$7:$S$874,$AB$2,BS_RE33!$N$7:$N$874,I16,BS_RE33!$P$7:$P$874,'30 days CF Table(Ccy)'!G16,BS_RE33!$F$7:$F$874,'30 days CF Table(Ccy)'!$C$2),2)</f>
        <v>0</v>
      </c>
      <c r="AC16" s="337">
        <f>ROUND(SUMIFS(BS_RE33!$H$7:$H$874,BS_RE33!$S$7:$S$874,$AC$2,BS_RE33!$N$7:$N$874,I16,BS_RE33!$P$7:$P$874,'30 days CF Table(Ccy)'!G16,BS_RE33!$F$7:$F$874,'30 days CF Table(Ccy)'!$C$2),2)</f>
        <v>0</v>
      </c>
      <c r="AD16" s="337">
        <f>ROUND(SUMIFS(BS_RE33!$H$7:$H$874,BS_RE33!$S$7:$S$874,$AD$2,BS_RE33!$N$7:$N$874,I16,BS_RE33!$P$7:$P$874,'30 days CF Table(Ccy)'!G16,BS_RE33!$F$7:$F$874,'30 days CF Table(Ccy)'!$C$2),2)</f>
        <v>0</v>
      </c>
      <c r="AE16" s="337">
        <f>ROUND(SUMIFS(BS_RE33!$H$7:$H$874,BS_RE33!$S$7:$S$874,$AE$2,BS_RE33!$N$7:$N$874,I16,BS_RE33!$P$7:$P$874,'30 days CF Table(Ccy)'!G16,BS_RE33!$F$7:$F$874,'30 days CF Table(Ccy)'!$C$2),2)</f>
        <v>0</v>
      </c>
      <c r="AF16" s="337">
        <f>ROUND(SUMIFS(BS_RE33!$H$7:$H$874,BS_RE33!$S$7:$S$874,$AF$2,BS_RE33!$N$7:$N$874,I16,BS_RE33!$P$7:$P$874,'30 days CF Table(Ccy)'!G16,BS_RE33!$F$7:$F$874,'30 days CF Table(Ccy)'!$C$2),2)</f>
        <v>0</v>
      </c>
      <c r="AG16" s="337">
        <f>ROUND(SUMIFS(BS_RE33!$H$7:$H$874,BS_RE33!$S$7:$S$874,$AG$2,BS_RE33!$N$7:$N$874,I16,BS_RE33!$P$7:$P$874,'30 days CF Table(Ccy)'!G16,BS_RE33!$F$7:$F$874,'30 days CF Table(Ccy)'!$C$2),2)</f>
        <v>0</v>
      </c>
      <c r="AH16" s="337">
        <f>ROUND(SUMIFS(BS_RE33!$H$7:$H$874,BS_RE33!$S$7:$S$874,$AH$2,BS_RE33!$N$7:$N$874,I16,BS_RE33!$P$7:$P$874,'30 days CF Table(Ccy)'!G16,BS_RE33!$F$7:$F$874,'30 days CF Table(Ccy)'!$C$2),2)</f>
        <v>0</v>
      </c>
      <c r="AI16" s="337">
        <f>ROUND(SUMIFS(BS_RE33!$H$7:$H$874,BS_RE33!$S$7:$S$874,$AI$2,BS_RE33!$N$7:$N$874,I16,BS_RE33!$P$7:$P$874,'30 days CF Table(Ccy)'!G16,BS_RE33!$F$7:$F$874,'30 days CF Table(Ccy)'!$C$2),2)</f>
        <v>0</v>
      </c>
      <c r="AJ16" s="337">
        <f>ROUND(SUMIFS(BS_RE33!$H$7:$H$874,BS_RE33!$S$7:$S$874,$AJ$2,BS_RE33!$N$7:$N$874,I16,BS_RE33!$P$7:$P$874,'30 days CF Table(Ccy)'!G16,BS_RE33!$F$7:$F$874,'30 days CF Table(Ccy)'!$C$2),2)</f>
        <v>0</v>
      </c>
      <c r="AK16" s="337">
        <f>ROUND(SUMIFS(BS_RE33!$H$7:$H$874,BS_RE33!$S$7:$S$874,$AK$2,BS_RE33!$N$7:$N$874,I16,BS_RE33!$P$7:$P$874,'30 days CF Table(Ccy)'!G16,BS_RE33!$F$7:$F$874,'30 days CF Table(Ccy)'!$C$2),2)</f>
        <v>0</v>
      </c>
      <c r="AL16" s="337">
        <f>ROUND(SUMIFS(BS_RE33!$H$7:$H$874,BS_RE33!$S$7:$S$874,$AL$2,BS_RE33!$N$7:$N$874,I16,BS_RE33!$P$7:$P$874,'30 days CF Table(Ccy)'!G16,BS_RE33!$F$7:$F$874,'30 days CF Table(Ccy)'!$C$2),2)</f>
        <v>0</v>
      </c>
      <c r="AM16" s="337">
        <f>ROUND(SUMIFS(BS_RE33!$H$7:$H$874,BS_RE33!$S$7:$S$874,$AM$2,BS_RE33!$N$7:$N$874,I16,BS_RE33!$P$7:$P$874,'30 days CF Table(Ccy)'!G16,BS_RE33!$F$7:$F$874,'30 days CF Table(Ccy)'!$C$2),2)</f>
        <v>0</v>
      </c>
      <c r="AN16" s="337">
        <f>ROUND(SUMIFS(BS_RE33!$H$7:$H$874,BS_RE33!$S$7:$S$874,$AN$2,BS_RE33!$N$7:$N$874,I16,BS_RE33!$P$7:$P$874,'30 days CF Table(Ccy)'!G16,BS_RE33!$F$7:$F$874,'30 days CF Table(Ccy)'!$C$2),2)</f>
        <v>0</v>
      </c>
      <c r="AO16" s="337">
        <f>ROUND(SUMIFS(BS_RE33!$H$7:$H$874,BS_RE33!$S$7:$S$874,$AO$2,BS_RE33!$N$7:$N$874,I16,BS_RE33!$P$7:$P$874,'30 days CF Table(Ccy)'!G16,BS_RE33!$F$7:$F$874,'30 days CF Table(Ccy)'!$C$2),2)</f>
        <v>0</v>
      </c>
      <c r="AP16" s="338">
        <f>ROUND(SUMIFS(BS_RE33!$H$7:$H$874,BS_RE33!$S$7:$S$874,$AP$2,BS_RE33!$N$7:$N$874,I16,BS_RE33!$P$7:$P$874,'30 days CF Table(Ccy)'!G16,BS_RE33!$F$7:$F$874,'30 days CF Table(Ccy)'!$C$2),2)</f>
        <v>0</v>
      </c>
      <c r="AQ16" s="545"/>
      <c r="AR16" s="379">
        <f>ROUND(SUMIFS(BS_RE33!$H$7:$H$874,BS_RE33!$S$7:$S$874,$AR$2,BS_RE33!$N$7:$N$874,I16,BS_RE33!$P$7:$P$874,'30 days CF Table(Ccy)'!G16,BS_RE33!$F$7:$F$874,'30 days CF Table(Ccy)'!$C$2),2)</f>
        <v>0</v>
      </c>
      <c r="AS16" s="379">
        <f>ROUND(SUMIFS(BS_RE33!$H$7:$H$874,BS_RE33!$S$7:$S$874,$AS$2,BS_RE33!$N$7:$N$874,I16,BS_RE33!$P$7:$P$874,'30 days CF Table(Ccy)'!G16,BS_RE33!$F$7:$F$874,'30 days CF Table(Ccy)'!$C$2),2)</f>
        <v>0</v>
      </c>
      <c r="AT16" s="379">
        <f>ROUND(SUMIFS(BS_RE33!$H$7:$H$874,BS_RE33!$S$7:$S$874,$AT$2,BS_RE33!$N$7:$N$874,I16,BS_RE33!$P$7:$P$874,'30 days CF Table(Ccy)'!G16,BS_RE33!$F$7:$F$874,'30 days CF Table(Ccy)'!$C$2),2)</f>
        <v>0</v>
      </c>
      <c r="AU16" s="379">
        <f>ROUND(SUMIFS(BS_RE33!$H$7:$H$874,BS_RE33!$S$7:$S$874,$AU$2,BS_RE33!$N$7:$N$874,I16,BS_RE33!$P$7:$P$874,'30 days CF Table(Ccy)'!G16,BS_RE33!$F$7:$F$874,'30 days CF Table(Ccy)'!$C$2),2)</f>
        <v>0</v>
      </c>
      <c r="AV16" s="379">
        <f>ROUND(SUMIFS(BS_RE33!$H$7:$H$874,BS_RE33!$S$7:$S$874,$AV$2,BS_RE33!$N$7:$N$874,I16,BS_RE33!$P$7:$P$874,'30 days CF Table(Ccy)'!G16,BS_RE33!$F$7:$F$874,'30 days CF Table(Ccy)'!$C$2),2)</f>
        <v>0</v>
      </c>
      <c r="AW16" s="379">
        <f>ROUND(SUMIFS(BS_RE33!$H$7:$H$874,BS_RE33!$S$7:$S$874,$AW$2,BS_RE33!$N$7:$N$874,I16,BS_RE33!$P$7:$P$874,'30 days CF Table(Ccy)'!G16,BS_RE33!$F$7:$F$874,'30 days CF Table(Ccy)'!$C$2),2)</f>
        <v>0</v>
      </c>
      <c r="AX16" s="379">
        <f>ROUND(SUMIFS(BS_RE33!$H$7:$H$874,BS_RE33!$S$7:$S$874,$AX$2,BS_RE33!$N$7:$N$874,I16,BS_RE33!$P$7:$P$874,'30 days CF Table(Ccy)'!G16,BS_RE33!$F$7:$F$874,'30 days CF Table(Ccy)'!$C$2),2)</f>
        <v>0</v>
      </c>
      <c r="AY16" s="379">
        <f>ROUND(SUMIFS(BS_RE33!$H$7:$H$874,BS_RE33!$S$7:$S$874,$AY$2,BS_RE33!$N$7:$N$874,I16,BS_RE33!$P$7:$P$874,'30 days CF Table(Ccy)'!G16,BS_RE33!$F$7:$F$874,'30 days CF Table(Ccy)'!$C$2),2)</f>
        <v>0</v>
      </c>
      <c r="AZ16" s="379">
        <f>ROUND(SUMIFS(BS_RE33!$H$7:$H$874,BS_RE33!$S$7:$S$874,$AZ$2,BS_RE33!$N$7:$N$874,I16,BS_RE33!$P$7:$P$874,'30 days CF Table(Ccy)'!G16,BS_RE33!$F$7:$F$874,'30 days CF Table(Ccy)'!$C$2),2)</f>
        <v>0</v>
      </c>
      <c r="BA16" s="379">
        <f>ROUND(SUMIFS(BS_RE33!$H$7:$H$874,BS_RE33!$S$7:$S$874,$BA$2,BS_RE33!$N$7:$N$874,I16,BS_RE33!$P$7:$P$874,'30 days CF Table(Ccy)'!G16,BS_RE33!$F$7:$F$874,'30 days CF Table(Ccy)'!$C$2),2)</f>
        <v>0</v>
      </c>
      <c r="BB16" s="379">
        <f>ROUND(SUMIFS(BS_RE33!$H$7:$H$874,BS_RE33!$S$7:$S$874,$BB$2,BS_RE33!$N$7:$N$874,I16,BS_RE33!$P$7:$P$874,'30 days CF Table(Ccy)'!G16,BS_RE33!$F$7:$F$874,'30 days CF Table(Ccy)'!$C$2),2)</f>
        <v>0</v>
      </c>
      <c r="BC16" s="379">
        <f>ROUND(SUMIFS(BS_RE33!$H$7:$H$874,BS_RE33!$S$7:$S$874,$BC$2,BS_RE33!$N$7:$N$874,I16,BS_RE33!$P$7:$P$874,'30 days CF Table(Ccy)'!G16,BS_RE33!$F$7:$F$874,'30 days CF Table(Ccy)'!$C$2),2)</f>
        <v>0</v>
      </c>
      <c r="BD16" s="379">
        <f>ROUND(SUMIFS(BS_RE33!$H$7:$H$874,BS_RE33!$S$7:$S$874,$BD$2,BS_RE33!$N$7:$N$874,I16,BS_RE33!$P$7:$P$874,'30 days CF Table(Ccy)'!G16,BS_RE33!$F$7:$F$874,'30 days CF Table(Ccy)'!$C$2),2)</f>
        <v>0</v>
      </c>
      <c r="BE16" s="379">
        <f>ROUND(SUMIFS(BS_RE33!$H$7:$H$874,BS_RE33!$S$7:$S$874,$BE$2,BS_RE33!$N$7:$N$874,I16,BS_RE33!$P$7:$P$874,'30 days CF Table(Ccy)'!G16,BS_RE33!$F$7:$F$874,'30 days CF Table(Ccy)'!$C$2),2)</f>
        <v>0</v>
      </c>
      <c r="BF16" s="379">
        <f>ROUND(SUMIFS(BS_RE33!$H$7:$H$874,BS_RE33!$S$7:$S$874,$BF$2,BS_RE33!$N$7:$N$874,I16,BS_RE33!$P$7:$P$874,'30 days CF Table(Ccy)'!G16,BS_RE33!$F$7:$F$874,'30 days CF Table(Ccy)'!$C$2),2)</f>
        <v>0</v>
      </c>
      <c r="BG16" s="379">
        <f>ROUND(SUMIFS(BS_RE33!$H$7:$H$874,BS_RE33!$S$7:$S$874,$BG$2,BS_RE33!$N$7:$N$874,I16,BS_RE33!$P$7:$P$874,'30 days CF Table(Ccy)'!G16,BS_RE33!$F$7:$F$874,'30 days CF Table(Ccy)'!$C$2),2)</f>
        <v>0</v>
      </c>
      <c r="BH16" s="379">
        <f>ROUND(SUMIFS(BS_RE33!$H$7:$H$874,BS_RE33!$S$7:$S$874,$BH$2,BS_RE33!$N$7:$N$874,I16,BS_RE33!$P$7:$P$874,'30 days CF Table(Ccy)'!G16,BS_RE33!$F$7:$F$874,'30 days CF Table(Ccy)'!$C$2),2)</f>
        <v>0</v>
      </c>
      <c r="BI16" s="379">
        <f>ROUND(SUMIFS(BS_RE33!$H$7:$H$874,BS_RE33!$S$7:$S$874,$BI$2,BS_RE33!$N$7:$N$874,I16,BS_RE33!$P$7:$P$874,'30 days CF Table(Ccy)'!G16,BS_RE33!$F$7:$F$874,'30 days CF Table(Ccy)'!$C$2),2)</f>
        <v>0</v>
      </c>
      <c r="BJ16" s="379">
        <f>ROUND(SUMIFS(BS_RE33!$H$7:$H$874,BS_RE33!$S$7:$S$874,$BJ$2,BS_RE33!$N$7:$N$874,I16,BS_RE33!$P$7:$P$874,'30 days CF Table(Ccy)'!G16,BS_RE33!$F$7:$F$874,'30 days CF Table(Ccy)'!$C$2),2)</f>
        <v>0</v>
      </c>
      <c r="BK16" s="379">
        <f>ROUND(SUMIFS(BS_RE33!$H$7:$H$874,BS_RE33!$S$7:$S$874,$BK$2,BS_RE33!$N$7:$N$874,I16,BS_RE33!$P$7:$P$874,'30 days CF Table(Ccy)'!G16,BS_RE33!$F$7:$F$874,'30 days CF Table(Ccy)'!$C$2),2)</f>
        <v>0</v>
      </c>
    </row>
    <row r="17" spans="1:63" s="395" customFormat="1">
      <c r="A17"/>
      <c r="B17"/>
      <c r="C17" s="1029"/>
      <c r="D17" s="1028" t="s">
        <v>744</v>
      </c>
      <c r="E17" s="310" t="s">
        <v>745</v>
      </c>
      <c r="F17" s="309"/>
      <c r="G17" s="392" t="s">
        <v>580</v>
      </c>
      <c r="H17" s="130">
        <v>1</v>
      </c>
      <c r="I17" s="305" t="s">
        <v>63</v>
      </c>
      <c r="J17" s="477">
        <f t="shared" si="2"/>
        <v>0</v>
      </c>
      <c r="K17" s="335">
        <f t="shared" si="3"/>
        <v>0</v>
      </c>
      <c r="L17" s="337">
        <f>ROUND(SUMIFS(BS_RE33!$H$7:$H$874,BS_RE33!$S$7:$S$874,$L$2,BS_RE33!$N$7:$N$874,I17,BS_RE33!$P$7:$P$874,'30 days CF Table(Ccy)'!G17,BS_RE33!$F$7:$F$874,'30 days CF Table(Ccy)'!$C$2),2)</f>
        <v>0</v>
      </c>
      <c r="M17" s="337">
        <f>ROUND(SUMIFS(BS_RE33!$H$7:$H$874,BS_RE33!$S$7:$S$874,$M$2,BS_RE33!$N$7:$N$874,I17,BS_RE33!$P$7:$P$874,'30 days CF Table(Ccy)'!G17,BS_RE33!$F$7:$F$874,'30 days CF Table(Ccy)'!$C$2),2)</f>
        <v>0</v>
      </c>
      <c r="N17" s="337">
        <f>ROUND(SUMIFS(BS_RE33!$H$7:$H$874,BS_RE33!$S$7:$S$874,$N$2,BS_RE33!$N$7:$N$874,I17,BS_RE33!$P$7:$P$874,'30 days CF Table(Ccy)'!G17,BS_RE33!$F$7:$F$874,'30 days CF Table(Ccy)'!$C$2),2)</f>
        <v>0</v>
      </c>
      <c r="O17" s="337">
        <f>ROUND(SUMIFS(BS_RE33!$H$7:$H$874,BS_RE33!$S$7:$S$874,$O$2,BS_RE33!$N$7:$N$874,I17,BS_RE33!$P$7:$P$874,'30 days CF Table(Ccy)'!G17,BS_RE33!$F$7:$F$874,'30 days CF Table(Ccy)'!$C$2),2)</f>
        <v>0</v>
      </c>
      <c r="P17" s="337">
        <f>ROUND(SUMIFS(BS_RE33!$H$7:$H$874,BS_RE33!$S$7:$S$874,$P$2,BS_RE33!$N$7:$N$874,I17,BS_RE33!$P$7:$P$874,'30 days CF Table(Ccy)'!G17,BS_RE33!$F$7:$F$874,'30 days CF Table(Ccy)'!$C$2),2)</f>
        <v>0</v>
      </c>
      <c r="Q17" s="337">
        <f>ROUND(SUMIFS(BS_RE33!$H$7:$H$874,BS_RE33!$S$7:$S$874,$Q$2,BS_RE33!$N$7:$N$874,I17,BS_RE33!$P$7:$P$874,'30 days CF Table(Ccy)'!G17,BS_RE33!$F$7:$F$874,'30 days CF Table(Ccy)'!$C$2),2)</f>
        <v>0</v>
      </c>
      <c r="R17" s="337">
        <f>ROUND(SUMIFS(BS_RE33!$H$7:$H$874,BS_RE33!$S$7:$S$874,$R$2,BS_RE33!$N$7:$N$874,I17,BS_RE33!$P$7:$P$874,'30 days CF Table(Ccy)'!G17,BS_RE33!$F$7:$F$874,'30 days CF Table(Ccy)'!$C$2),2)</f>
        <v>0</v>
      </c>
      <c r="S17" s="337">
        <f>ROUND(SUMIFS(BS_RE33!$H$7:$H$874,BS_RE33!$S$7:$S$874,$S$2,BS_RE33!$N$7:$N$874,I17,BS_RE33!$P$7:$P$874,'30 days CF Table(Ccy)'!G17,BS_RE33!$F$7:$F$874,'30 days CF Table(Ccy)'!$C$2),2)</f>
        <v>0</v>
      </c>
      <c r="T17" s="337">
        <f>ROUND(SUMIFS(BS_RE33!$H$7:$H$874,BS_RE33!$S$7:$S$874,$T$2,BS_RE33!$N$7:$N$874,I17,BS_RE33!$P$7:$P$874,'30 days CF Table(Ccy)'!G17,BS_RE33!$F$7:$F$874,'30 days CF Table(Ccy)'!$C$2),2)</f>
        <v>0</v>
      </c>
      <c r="U17" s="337">
        <f>ROUND(SUMIFS(BS_RE33!$H$7:$H$874,BS_RE33!$S$7:$S$874,$U$2,BS_RE33!$N$7:$N$874,I17,BS_RE33!$P$7:$P$874,'30 days CF Table(Ccy)'!G17,BS_RE33!$F$7:$F$874,'30 days CF Table(Ccy)'!$C$2),2)</f>
        <v>0</v>
      </c>
      <c r="V17" s="337">
        <f>ROUND(SUMIFS(BS_RE33!$H$7:$H$874,BS_RE33!$S$7:$S$874,$V$2,BS_RE33!$N$7:$N$874,I17,BS_RE33!$P$7:$P$874,'30 days CF Table(Ccy)'!G17,BS_RE33!$F$7:$F$874,'30 days CF Table(Ccy)'!$C$2),2)</f>
        <v>0</v>
      </c>
      <c r="W17" s="337">
        <f>ROUND(SUMIFS(BS_RE33!$H$7:$H$874,BS_RE33!$S$7:$S$874,$W$2,BS_RE33!$N$7:$N$874,I17,BS_RE33!$P$7:$P$874,'30 days CF Table(Ccy)'!G17,BS_RE33!$F$7:$F$874,'30 days CF Table(Ccy)'!$C$2),2)</f>
        <v>0</v>
      </c>
      <c r="X17" s="337">
        <f>ROUND(SUMIFS(BS_RE33!$H$7:$H$874,BS_RE33!$S$7:$S$874,$X$2,BS_RE33!$N$7:$N$874,I17,BS_RE33!$P$7:$P$874,'30 days CF Table(Ccy)'!G17,BS_RE33!$F$7:$F$874,'30 days CF Table(Ccy)'!$C$2),2)</f>
        <v>0</v>
      </c>
      <c r="Y17" s="337">
        <f>ROUND(SUMIFS(BS_RE33!$H$7:$H$874,BS_RE33!$S$7:$S$874,$Y$2,BS_RE33!$N$7:$N$874,I17,BS_RE33!$P$7:$P$874,'30 days CF Table(Ccy)'!G17,BS_RE33!$F$7:$F$874,'30 days CF Table(Ccy)'!$C$2),2)</f>
        <v>0</v>
      </c>
      <c r="Z17" s="337">
        <f>ROUND(SUMIFS(BS_RE33!$H$7:$H$874,BS_RE33!$S$7:$S$874,$Z$2,BS_RE33!$N$7:$N$874,I17,BS_RE33!$P$7:$P$874,'30 days CF Table(Ccy)'!G17,BS_RE33!$F$7:$F$874,'30 days CF Table(Ccy)'!$C$2),2)</f>
        <v>0</v>
      </c>
      <c r="AA17" s="337">
        <f>ROUND(SUMIFS(BS_RE33!$H$7:$H$874,BS_RE33!$S$7:$S$874,$AA$2,BS_RE33!$N$7:$N$874,I17,BS_RE33!$P$7:$P$874,'30 days CF Table(Ccy)'!G17,BS_RE33!$F$7:$F$874,'30 days CF Table(Ccy)'!$C$2),2)</f>
        <v>0</v>
      </c>
      <c r="AB17" s="337">
        <f>ROUND(SUMIFS(BS_RE33!$H$7:$H$874,BS_RE33!$S$7:$S$874,$AB$2,BS_RE33!$N$7:$N$874,I17,BS_RE33!$P$7:$P$874,'30 days CF Table(Ccy)'!G17,BS_RE33!$F$7:$F$874,'30 days CF Table(Ccy)'!$C$2),2)</f>
        <v>0</v>
      </c>
      <c r="AC17" s="337">
        <f>ROUND(SUMIFS(BS_RE33!$H$7:$H$874,BS_RE33!$S$7:$S$874,$AC$2,BS_RE33!$N$7:$N$874,I17,BS_RE33!$P$7:$P$874,'30 days CF Table(Ccy)'!G17,BS_RE33!$F$7:$F$874,'30 days CF Table(Ccy)'!$C$2),2)</f>
        <v>0</v>
      </c>
      <c r="AD17" s="337">
        <f>ROUND(SUMIFS(BS_RE33!$H$7:$H$874,BS_RE33!$S$7:$S$874,$AD$2,BS_RE33!$N$7:$N$874,I17,BS_RE33!$P$7:$P$874,'30 days CF Table(Ccy)'!G17,BS_RE33!$F$7:$F$874,'30 days CF Table(Ccy)'!$C$2),2)</f>
        <v>0</v>
      </c>
      <c r="AE17" s="337">
        <f>ROUND(SUMIFS(BS_RE33!$H$7:$H$874,BS_RE33!$S$7:$S$874,$AE$2,BS_RE33!$N$7:$N$874,I17,BS_RE33!$P$7:$P$874,'30 days CF Table(Ccy)'!G17,BS_RE33!$F$7:$F$874,'30 days CF Table(Ccy)'!$C$2),2)</f>
        <v>0</v>
      </c>
      <c r="AF17" s="337">
        <f>ROUND(SUMIFS(BS_RE33!$H$7:$H$874,BS_RE33!$S$7:$S$874,$AF$2,BS_RE33!$N$7:$N$874,I17,BS_RE33!$P$7:$P$874,'30 days CF Table(Ccy)'!G17,BS_RE33!$F$7:$F$874,'30 days CF Table(Ccy)'!$C$2),2)</f>
        <v>0</v>
      </c>
      <c r="AG17" s="337">
        <f>ROUND(SUMIFS(BS_RE33!$H$7:$H$874,BS_RE33!$S$7:$S$874,$AG$2,BS_RE33!$N$7:$N$874,I17,BS_RE33!$P$7:$P$874,'30 days CF Table(Ccy)'!G17,BS_RE33!$F$7:$F$874,'30 days CF Table(Ccy)'!$C$2),2)</f>
        <v>0</v>
      </c>
      <c r="AH17" s="337">
        <f>ROUND(SUMIFS(BS_RE33!$H$7:$H$874,BS_RE33!$S$7:$S$874,$AH$2,BS_RE33!$N$7:$N$874,I17,BS_RE33!$P$7:$P$874,'30 days CF Table(Ccy)'!G17,BS_RE33!$F$7:$F$874,'30 days CF Table(Ccy)'!$C$2),2)</f>
        <v>0</v>
      </c>
      <c r="AI17" s="337">
        <f>ROUND(SUMIFS(BS_RE33!$H$7:$H$874,BS_RE33!$S$7:$S$874,$AI$2,BS_RE33!$N$7:$N$874,I17,BS_RE33!$P$7:$P$874,'30 days CF Table(Ccy)'!G17,BS_RE33!$F$7:$F$874,'30 days CF Table(Ccy)'!$C$2),2)</f>
        <v>0</v>
      </c>
      <c r="AJ17" s="337">
        <f>ROUND(SUMIFS(BS_RE33!$H$7:$H$874,BS_RE33!$S$7:$S$874,$AJ$2,BS_RE33!$N$7:$N$874,I17,BS_RE33!$P$7:$P$874,'30 days CF Table(Ccy)'!G17,BS_RE33!$F$7:$F$874,'30 days CF Table(Ccy)'!$C$2),2)</f>
        <v>0</v>
      </c>
      <c r="AK17" s="337">
        <f>ROUND(SUMIFS(BS_RE33!$H$7:$H$874,BS_RE33!$S$7:$S$874,$AK$2,BS_RE33!$N$7:$N$874,I17,BS_RE33!$P$7:$P$874,'30 days CF Table(Ccy)'!G17,BS_RE33!$F$7:$F$874,'30 days CF Table(Ccy)'!$C$2),2)</f>
        <v>0</v>
      </c>
      <c r="AL17" s="337">
        <f>ROUND(SUMIFS(BS_RE33!$H$7:$H$874,BS_RE33!$S$7:$S$874,$AL$2,BS_RE33!$N$7:$N$874,I17,BS_RE33!$P$7:$P$874,'30 days CF Table(Ccy)'!G17,BS_RE33!$F$7:$F$874,'30 days CF Table(Ccy)'!$C$2),2)</f>
        <v>0</v>
      </c>
      <c r="AM17" s="337">
        <f>ROUND(SUMIFS(BS_RE33!$H$7:$H$874,BS_RE33!$S$7:$S$874,$AM$2,BS_RE33!$N$7:$N$874,I17,BS_RE33!$P$7:$P$874,'30 days CF Table(Ccy)'!G17,BS_RE33!$F$7:$F$874,'30 days CF Table(Ccy)'!$C$2),2)</f>
        <v>0</v>
      </c>
      <c r="AN17" s="337">
        <f>ROUND(SUMIFS(BS_RE33!$H$7:$H$874,BS_RE33!$S$7:$S$874,$AN$2,BS_RE33!$N$7:$N$874,I17,BS_RE33!$P$7:$P$874,'30 days CF Table(Ccy)'!G17,BS_RE33!$F$7:$F$874,'30 days CF Table(Ccy)'!$C$2),2)</f>
        <v>0</v>
      </c>
      <c r="AO17" s="337">
        <f>ROUND(SUMIFS(BS_RE33!$H$7:$H$874,BS_RE33!$S$7:$S$874,$AO$2,BS_RE33!$N$7:$N$874,I17,BS_RE33!$P$7:$P$874,'30 days CF Table(Ccy)'!G17,BS_RE33!$F$7:$F$874,'30 days CF Table(Ccy)'!$C$2),2)</f>
        <v>0</v>
      </c>
      <c r="AP17" s="338">
        <f>ROUND(SUMIFS(BS_RE33!$H$7:$H$874,BS_RE33!$S$7:$S$874,$AP$2,BS_RE33!$N$7:$N$874,I17,BS_RE33!$P$7:$P$874,'30 days CF Table(Ccy)'!G17,BS_RE33!$F$7:$F$874,'30 days CF Table(Ccy)'!$C$2),2)</f>
        <v>0</v>
      </c>
      <c r="AQ17" s="545"/>
      <c r="AR17" s="379">
        <f>ROUND(SUMIFS(BS_RE33!$H$7:$H$874,BS_RE33!$S$7:$S$874,$AR$2,BS_RE33!$N$7:$N$874,I17,BS_RE33!$P$7:$P$874,'30 days CF Table(Ccy)'!G17,BS_RE33!$F$7:$F$874,'30 days CF Table(Ccy)'!$C$2),2)</f>
        <v>0</v>
      </c>
      <c r="AS17" s="379">
        <f>ROUND(SUMIFS(BS_RE33!$H$7:$H$874,BS_RE33!$S$7:$S$874,$AS$2,BS_RE33!$N$7:$N$874,I17,BS_RE33!$P$7:$P$874,'30 days CF Table(Ccy)'!G17,BS_RE33!$F$7:$F$874,'30 days CF Table(Ccy)'!$C$2),2)</f>
        <v>0</v>
      </c>
      <c r="AT17" s="379">
        <f>ROUND(SUMIFS(BS_RE33!$H$7:$H$874,BS_RE33!$S$7:$S$874,$AT$2,BS_RE33!$N$7:$N$874,I17,BS_RE33!$P$7:$P$874,'30 days CF Table(Ccy)'!G17,BS_RE33!$F$7:$F$874,'30 days CF Table(Ccy)'!$C$2),2)</f>
        <v>0</v>
      </c>
      <c r="AU17" s="379">
        <f>ROUND(SUMIFS(BS_RE33!$H$7:$H$874,BS_RE33!$S$7:$S$874,$AU$2,BS_RE33!$N$7:$N$874,I17,BS_RE33!$P$7:$P$874,'30 days CF Table(Ccy)'!G17,BS_RE33!$F$7:$F$874,'30 days CF Table(Ccy)'!$C$2),2)</f>
        <v>0</v>
      </c>
      <c r="AV17" s="379">
        <f>ROUND(SUMIFS(BS_RE33!$H$7:$H$874,BS_RE33!$S$7:$S$874,$AV$2,BS_RE33!$N$7:$N$874,I17,BS_RE33!$P$7:$P$874,'30 days CF Table(Ccy)'!G17,BS_RE33!$F$7:$F$874,'30 days CF Table(Ccy)'!$C$2),2)</f>
        <v>0</v>
      </c>
      <c r="AW17" s="379">
        <f>ROUND(SUMIFS(BS_RE33!$H$7:$H$874,BS_RE33!$S$7:$S$874,$AW$2,BS_RE33!$N$7:$N$874,I17,BS_RE33!$P$7:$P$874,'30 days CF Table(Ccy)'!G17,BS_RE33!$F$7:$F$874,'30 days CF Table(Ccy)'!$C$2),2)</f>
        <v>0</v>
      </c>
      <c r="AX17" s="379">
        <f>ROUND(SUMIFS(BS_RE33!$H$7:$H$874,BS_RE33!$S$7:$S$874,$AX$2,BS_RE33!$N$7:$N$874,I17,BS_RE33!$P$7:$P$874,'30 days CF Table(Ccy)'!G17,BS_RE33!$F$7:$F$874,'30 days CF Table(Ccy)'!$C$2),2)</f>
        <v>0</v>
      </c>
      <c r="AY17" s="379">
        <f>ROUND(SUMIFS(BS_RE33!$H$7:$H$874,BS_RE33!$S$7:$S$874,$AY$2,BS_RE33!$N$7:$N$874,I17,BS_RE33!$P$7:$P$874,'30 days CF Table(Ccy)'!G17,BS_RE33!$F$7:$F$874,'30 days CF Table(Ccy)'!$C$2),2)</f>
        <v>0</v>
      </c>
      <c r="AZ17" s="379">
        <f>ROUND(SUMIFS(BS_RE33!$H$7:$H$874,BS_RE33!$S$7:$S$874,$AZ$2,BS_RE33!$N$7:$N$874,I17,BS_RE33!$P$7:$P$874,'30 days CF Table(Ccy)'!G17,BS_RE33!$F$7:$F$874,'30 days CF Table(Ccy)'!$C$2),2)</f>
        <v>0</v>
      </c>
      <c r="BA17" s="379">
        <f>ROUND(SUMIFS(BS_RE33!$H$7:$H$874,BS_RE33!$S$7:$S$874,$BA$2,BS_RE33!$N$7:$N$874,I17,BS_RE33!$P$7:$P$874,'30 days CF Table(Ccy)'!G17,BS_RE33!$F$7:$F$874,'30 days CF Table(Ccy)'!$C$2),2)</f>
        <v>0</v>
      </c>
      <c r="BB17" s="379">
        <f>ROUND(SUMIFS(BS_RE33!$H$7:$H$874,BS_RE33!$S$7:$S$874,$BB$2,BS_RE33!$N$7:$N$874,I17,BS_RE33!$P$7:$P$874,'30 days CF Table(Ccy)'!G17,BS_RE33!$F$7:$F$874,'30 days CF Table(Ccy)'!$C$2),2)</f>
        <v>0</v>
      </c>
      <c r="BC17" s="379">
        <f>ROUND(SUMIFS(BS_RE33!$H$7:$H$874,BS_RE33!$S$7:$S$874,$BC$2,BS_RE33!$N$7:$N$874,I17,BS_RE33!$P$7:$P$874,'30 days CF Table(Ccy)'!G17,BS_RE33!$F$7:$F$874,'30 days CF Table(Ccy)'!$C$2),2)</f>
        <v>0</v>
      </c>
      <c r="BD17" s="379">
        <f>ROUND(SUMIFS(BS_RE33!$H$7:$H$874,BS_RE33!$S$7:$S$874,$BD$2,BS_RE33!$N$7:$N$874,I17,BS_RE33!$P$7:$P$874,'30 days CF Table(Ccy)'!G17,BS_RE33!$F$7:$F$874,'30 days CF Table(Ccy)'!$C$2),2)</f>
        <v>0</v>
      </c>
      <c r="BE17" s="379">
        <f>ROUND(SUMIFS(BS_RE33!$H$7:$H$874,BS_RE33!$S$7:$S$874,$BE$2,BS_RE33!$N$7:$N$874,I17,BS_RE33!$P$7:$P$874,'30 days CF Table(Ccy)'!G17,BS_RE33!$F$7:$F$874,'30 days CF Table(Ccy)'!$C$2),2)</f>
        <v>0</v>
      </c>
      <c r="BF17" s="379">
        <f>ROUND(SUMIFS(BS_RE33!$H$7:$H$874,BS_RE33!$S$7:$S$874,$BF$2,BS_RE33!$N$7:$N$874,I17,BS_RE33!$P$7:$P$874,'30 days CF Table(Ccy)'!G17,BS_RE33!$F$7:$F$874,'30 days CF Table(Ccy)'!$C$2),2)</f>
        <v>0</v>
      </c>
      <c r="BG17" s="379">
        <f>ROUND(SUMIFS(BS_RE33!$H$7:$H$874,BS_RE33!$S$7:$S$874,$BG$2,BS_RE33!$N$7:$N$874,I17,BS_RE33!$P$7:$P$874,'30 days CF Table(Ccy)'!G17,BS_RE33!$F$7:$F$874,'30 days CF Table(Ccy)'!$C$2),2)</f>
        <v>0</v>
      </c>
      <c r="BH17" s="379">
        <f>ROUND(SUMIFS(BS_RE33!$H$7:$H$874,BS_RE33!$S$7:$S$874,$BH$2,BS_RE33!$N$7:$N$874,I17,BS_RE33!$P$7:$P$874,'30 days CF Table(Ccy)'!G17,BS_RE33!$F$7:$F$874,'30 days CF Table(Ccy)'!$C$2),2)</f>
        <v>0</v>
      </c>
      <c r="BI17" s="379">
        <f>ROUND(SUMIFS(BS_RE33!$H$7:$H$874,BS_RE33!$S$7:$S$874,$BI$2,BS_RE33!$N$7:$N$874,I17,BS_RE33!$P$7:$P$874,'30 days CF Table(Ccy)'!G17,BS_RE33!$F$7:$F$874,'30 days CF Table(Ccy)'!$C$2),2)</f>
        <v>0</v>
      </c>
      <c r="BJ17" s="379">
        <f>ROUND(SUMIFS(BS_RE33!$H$7:$H$874,BS_RE33!$S$7:$S$874,$BJ$2,BS_RE33!$N$7:$N$874,I17,BS_RE33!$P$7:$P$874,'30 days CF Table(Ccy)'!G17,BS_RE33!$F$7:$F$874,'30 days CF Table(Ccy)'!$C$2),2)</f>
        <v>0</v>
      </c>
      <c r="BK17" s="379">
        <f>ROUND(SUMIFS(BS_RE33!$H$7:$H$874,BS_RE33!$S$7:$S$874,$BK$2,BS_RE33!$N$7:$N$874,I17,BS_RE33!$P$7:$P$874,'30 days CF Table(Ccy)'!G17,BS_RE33!$F$7:$F$874,'30 days CF Table(Ccy)'!$C$2),2)</f>
        <v>0</v>
      </c>
    </row>
    <row r="18" spans="1:63" s="395" customFormat="1">
      <c r="A18"/>
      <c r="B18"/>
      <c r="C18" s="1029"/>
      <c r="D18" s="1028"/>
      <c r="E18" s="310" t="s">
        <v>572</v>
      </c>
      <c r="F18" s="311"/>
      <c r="G18" s="392" t="s">
        <v>574</v>
      </c>
      <c r="H18" s="130">
        <v>1</v>
      </c>
      <c r="I18" s="305" t="s">
        <v>63</v>
      </c>
      <c r="J18" s="477">
        <f t="shared" si="2"/>
        <v>0</v>
      </c>
      <c r="K18" s="335">
        <f t="shared" si="3"/>
        <v>0</v>
      </c>
      <c r="L18" s="337">
        <f>ROUND(SUMIFS(BS_RE33!$H$7:$H$874,BS_RE33!$S$7:$S$874,$L$2,BS_RE33!$N$7:$N$874,I18,BS_RE33!$P$7:$P$874,'30 days CF Table(Ccy)'!G18,BS_RE33!$F$7:$F$874,'30 days CF Table(Ccy)'!$C$2),2)</f>
        <v>0</v>
      </c>
      <c r="M18" s="337">
        <f>ROUND(SUMIFS(BS_RE33!$H$7:$H$874,BS_RE33!$S$7:$S$874,$M$2,BS_RE33!$N$7:$N$874,I18,BS_RE33!$P$7:$P$874,'30 days CF Table(Ccy)'!G18,BS_RE33!$F$7:$F$874,'30 days CF Table(Ccy)'!$C$2),2)</f>
        <v>0</v>
      </c>
      <c r="N18" s="337">
        <f>ROUND(SUMIFS(BS_RE33!$H$7:$H$874,BS_RE33!$S$7:$S$874,$N$2,BS_RE33!$N$7:$N$874,I18,BS_RE33!$P$7:$P$874,'30 days CF Table(Ccy)'!G18,BS_RE33!$F$7:$F$874,'30 days CF Table(Ccy)'!$C$2),2)</f>
        <v>0</v>
      </c>
      <c r="O18" s="337">
        <f>ROUND(SUMIFS(BS_RE33!$H$7:$H$874,BS_RE33!$S$7:$S$874,$O$2,BS_RE33!$N$7:$N$874,I18,BS_RE33!$P$7:$P$874,'30 days CF Table(Ccy)'!G18,BS_RE33!$F$7:$F$874,'30 days CF Table(Ccy)'!$C$2),2)</f>
        <v>0</v>
      </c>
      <c r="P18" s="337">
        <f>ROUND(SUMIFS(BS_RE33!$H$7:$H$874,BS_RE33!$S$7:$S$874,$P$2,BS_RE33!$N$7:$N$874,I18,BS_RE33!$P$7:$P$874,'30 days CF Table(Ccy)'!G18,BS_RE33!$F$7:$F$874,'30 days CF Table(Ccy)'!$C$2),2)</f>
        <v>0</v>
      </c>
      <c r="Q18" s="337">
        <f>ROUND(SUMIFS(BS_RE33!$H$7:$H$874,BS_RE33!$S$7:$S$874,$Q$2,BS_RE33!$N$7:$N$874,I18,BS_RE33!$P$7:$P$874,'30 days CF Table(Ccy)'!G18,BS_RE33!$F$7:$F$874,'30 days CF Table(Ccy)'!$C$2),2)</f>
        <v>0</v>
      </c>
      <c r="R18" s="337">
        <f>ROUND(SUMIFS(BS_RE33!$H$7:$H$874,BS_RE33!$S$7:$S$874,$R$2,BS_RE33!$N$7:$N$874,I18,BS_RE33!$P$7:$P$874,'30 days CF Table(Ccy)'!G18,BS_RE33!$F$7:$F$874,'30 days CF Table(Ccy)'!$C$2),2)</f>
        <v>0</v>
      </c>
      <c r="S18" s="337">
        <f>ROUND(SUMIFS(BS_RE33!$H$7:$H$874,BS_RE33!$S$7:$S$874,$S$2,BS_RE33!$N$7:$N$874,I18,BS_RE33!$P$7:$P$874,'30 days CF Table(Ccy)'!G18,BS_RE33!$F$7:$F$874,'30 days CF Table(Ccy)'!$C$2),2)</f>
        <v>0</v>
      </c>
      <c r="T18" s="337">
        <f>ROUND(SUMIFS(BS_RE33!$H$7:$H$874,BS_RE33!$S$7:$S$874,$T$2,BS_RE33!$N$7:$N$874,I18,BS_RE33!$P$7:$P$874,'30 days CF Table(Ccy)'!G18,BS_RE33!$F$7:$F$874,'30 days CF Table(Ccy)'!$C$2),2)</f>
        <v>0</v>
      </c>
      <c r="U18" s="337">
        <f>ROUND(SUMIFS(BS_RE33!$H$7:$H$874,BS_RE33!$S$7:$S$874,$U$2,BS_RE33!$N$7:$N$874,I18,BS_RE33!$P$7:$P$874,'30 days CF Table(Ccy)'!G18,BS_RE33!$F$7:$F$874,'30 days CF Table(Ccy)'!$C$2),2)</f>
        <v>0</v>
      </c>
      <c r="V18" s="337">
        <f>ROUND(SUMIFS(BS_RE33!$H$7:$H$874,BS_RE33!$S$7:$S$874,$V$2,BS_RE33!$N$7:$N$874,I18,BS_RE33!$P$7:$P$874,'30 days CF Table(Ccy)'!G18,BS_RE33!$F$7:$F$874,'30 days CF Table(Ccy)'!$C$2),2)</f>
        <v>0</v>
      </c>
      <c r="W18" s="337">
        <f>ROUND(SUMIFS(BS_RE33!$H$7:$H$874,BS_RE33!$S$7:$S$874,$W$2,BS_RE33!$N$7:$N$874,I18,BS_RE33!$P$7:$P$874,'30 days CF Table(Ccy)'!G18,BS_RE33!$F$7:$F$874,'30 days CF Table(Ccy)'!$C$2),2)</f>
        <v>0</v>
      </c>
      <c r="X18" s="337">
        <f>ROUND(SUMIFS(BS_RE33!$H$7:$H$874,BS_RE33!$S$7:$S$874,$X$2,BS_RE33!$N$7:$N$874,I18,BS_RE33!$P$7:$P$874,'30 days CF Table(Ccy)'!G18,BS_RE33!$F$7:$F$874,'30 days CF Table(Ccy)'!$C$2),2)</f>
        <v>0</v>
      </c>
      <c r="Y18" s="337">
        <f>ROUND(SUMIFS(BS_RE33!$H$7:$H$874,BS_RE33!$S$7:$S$874,$Y$2,BS_RE33!$N$7:$N$874,I18,BS_RE33!$P$7:$P$874,'30 days CF Table(Ccy)'!G18,BS_RE33!$F$7:$F$874,'30 days CF Table(Ccy)'!$C$2),2)</f>
        <v>0</v>
      </c>
      <c r="Z18" s="337">
        <f>ROUND(SUMIFS(BS_RE33!$H$7:$H$874,BS_RE33!$S$7:$S$874,$Z$2,BS_RE33!$N$7:$N$874,I18,BS_RE33!$P$7:$P$874,'30 days CF Table(Ccy)'!G18,BS_RE33!$F$7:$F$874,'30 days CF Table(Ccy)'!$C$2),2)</f>
        <v>0</v>
      </c>
      <c r="AA18" s="337">
        <f>ROUND(SUMIFS(BS_RE33!$H$7:$H$874,BS_RE33!$S$7:$S$874,$AA$2,BS_RE33!$N$7:$N$874,I18,BS_RE33!$P$7:$P$874,'30 days CF Table(Ccy)'!G18,BS_RE33!$F$7:$F$874,'30 days CF Table(Ccy)'!$C$2),2)</f>
        <v>0</v>
      </c>
      <c r="AB18" s="337">
        <f>ROUND(SUMIFS(BS_RE33!$H$7:$H$874,BS_RE33!$S$7:$S$874,$AB$2,BS_RE33!$N$7:$N$874,I18,BS_RE33!$P$7:$P$874,'30 days CF Table(Ccy)'!G18,BS_RE33!$F$7:$F$874,'30 days CF Table(Ccy)'!$C$2),2)</f>
        <v>0</v>
      </c>
      <c r="AC18" s="337">
        <f>ROUND(SUMIFS(BS_RE33!$H$7:$H$874,BS_RE33!$S$7:$S$874,$AC$2,BS_RE33!$N$7:$N$874,I18,BS_RE33!$P$7:$P$874,'30 days CF Table(Ccy)'!G18,BS_RE33!$F$7:$F$874,'30 days CF Table(Ccy)'!$C$2),2)</f>
        <v>0</v>
      </c>
      <c r="AD18" s="337">
        <f>ROUND(SUMIFS(BS_RE33!$H$7:$H$874,BS_RE33!$S$7:$S$874,$AD$2,BS_RE33!$N$7:$N$874,I18,BS_RE33!$P$7:$P$874,'30 days CF Table(Ccy)'!G18,BS_RE33!$F$7:$F$874,'30 days CF Table(Ccy)'!$C$2),2)</f>
        <v>0</v>
      </c>
      <c r="AE18" s="337">
        <f>ROUND(SUMIFS(BS_RE33!$H$7:$H$874,BS_RE33!$S$7:$S$874,$AE$2,BS_RE33!$N$7:$N$874,I18,BS_RE33!$P$7:$P$874,'30 days CF Table(Ccy)'!G18,BS_RE33!$F$7:$F$874,'30 days CF Table(Ccy)'!$C$2),2)</f>
        <v>0</v>
      </c>
      <c r="AF18" s="337">
        <f>ROUND(SUMIFS(BS_RE33!$H$7:$H$874,BS_RE33!$S$7:$S$874,$AF$2,BS_RE33!$N$7:$N$874,I18,BS_RE33!$P$7:$P$874,'30 days CF Table(Ccy)'!G18,BS_RE33!$F$7:$F$874,'30 days CF Table(Ccy)'!$C$2),2)</f>
        <v>0</v>
      </c>
      <c r="AG18" s="337">
        <f>ROUND(SUMIFS(BS_RE33!$H$7:$H$874,BS_RE33!$S$7:$S$874,$AG$2,BS_RE33!$N$7:$N$874,I18,BS_RE33!$P$7:$P$874,'30 days CF Table(Ccy)'!G18,BS_RE33!$F$7:$F$874,'30 days CF Table(Ccy)'!$C$2),2)</f>
        <v>0</v>
      </c>
      <c r="AH18" s="337">
        <f>ROUND(SUMIFS(BS_RE33!$H$7:$H$874,BS_RE33!$S$7:$S$874,$AH$2,BS_RE33!$N$7:$N$874,I18,BS_RE33!$P$7:$P$874,'30 days CF Table(Ccy)'!G18,BS_RE33!$F$7:$F$874,'30 days CF Table(Ccy)'!$C$2),2)</f>
        <v>0</v>
      </c>
      <c r="AI18" s="337">
        <f>ROUND(SUMIFS(BS_RE33!$H$7:$H$874,BS_RE33!$S$7:$S$874,$AI$2,BS_RE33!$N$7:$N$874,I18,BS_RE33!$P$7:$P$874,'30 days CF Table(Ccy)'!G18,BS_RE33!$F$7:$F$874,'30 days CF Table(Ccy)'!$C$2),2)</f>
        <v>0</v>
      </c>
      <c r="AJ18" s="337">
        <f>ROUND(SUMIFS(BS_RE33!$H$7:$H$874,BS_RE33!$S$7:$S$874,$AJ$2,BS_RE33!$N$7:$N$874,I18,BS_RE33!$P$7:$P$874,'30 days CF Table(Ccy)'!G18,BS_RE33!$F$7:$F$874,'30 days CF Table(Ccy)'!$C$2),2)</f>
        <v>0</v>
      </c>
      <c r="AK18" s="337">
        <f>ROUND(SUMIFS(BS_RE33!$H$7:$H$874,BS_RE33!$S$7:$S$874,$AK$2,BS_RE33!$N$7:$N$874,I18,BS_RE33!$P$7:$P$874,'30 days CF Table(Ccy)'!G18,BS_RE33!$F$7:$F$874,'30 days CF Table(Ccy)'!$C$2),2)</f>
        <v>0</v>
      </c>
      <c r="AL18" s="337">
        <f>ROUND(SUMIFS(BS_RE33!$H$7:$H$874,BS_RE33!$S$7:$S$874,$AL$2,BS_RE33!$N$7:$N$874,I18,BS_RE33!$P$7:$P$874,'30 days CF Table(Ccy)'!G18,BS_RE33!$F$7:$F$874,'30 days CF Table(Ccy)'!$C$2),2)</f>
        <v>0</v>
      </c>
      <c r="AM18" s="337">
        <f>ROUND(SUMIFS(BS_RE33!$H$7:$H$874,BS_RE33!$S$7:$S$874,$AM$2,BS_RE33!$N$7:$N$874,I18,BS_RE33!$P$7:$P$874,'30 days CF Table(Ccy)'!G18,BS_RE33!$F$7:$F$874,'30 days CF Table(Ccy)'!$C$2),2)</f>
        <v>0</v>
      </c>
      <c r="AN18" s="337">
        <f>ROUND(SUMIFS(BS_RE33!$H$7:$H$874,BS_RE33!$S$7:$S$874,$AN$2,BS_RE33!$N$7:$N$874,I18,BS_RE33!$P$7:$P$874,'30 days CF Table(Ccy)'!G18,BS_RE33!$F$7:$F$874,'30 days CF Table(Ccy)'!$C$2),2)</f>
        <v>0</v>
      </c>
      <c r="AO18" s="337">
        <f>ROUND(SUMIFS(BS_RE33!$H$7:$H$874,BS_RE33!$S$7:$S$874,$AO$2,BS_RE33!$N$7:$N$874,I18,BS_RE33!$P$7:$P$874,'30 days CF Table(Ccy)'!G18,BS_RE33!$F$7:$F$874,'30 days CF Table(Ccy)'!$C$2),2)</f>
        <v>0</v>
      </c>
      <c r="AP18" s="338">
        <f>ROUND(SUMIFS(BS_RE33!$H$7:$H$874,BS_RE33!$S$7:$S$874,$AP$2,BS_RE33!$N$7:$N$874,I18,BS_RE33!$P$7:$P$874,'30 days CF Table(Ccy)'!G18,BS_RE33!$F$7:$F$874,'30 days CF Table(Ccy)'!$C$2),2)</f>
        <v>0</v>
      </c>
      <c r="AQ18" s="545"/>
      <c r="AR18" s="379">
        <f>ROUND(SUMIFS(BS_RE33!$H$7:$H$874,BS_RE33!$S$7:$S$874,$AR$2,BS_RE33!$N$7:$N$874,I18,BS_RE33!$P$7:$P$874,'30 days CF Table(Ccy)'!G18,BS_RE33!$F$7:$F$874,'30 days CF Table(Ccy)'!$C$2),2)</f>
        <v>0</v>
      </c>
      <c r="AS18" s="379">
        <f>ROUND(SUMIFS(BS_RE33!$H$7:$H$874,BS_RE33!$S$7:$S$874,$AS$2,BS_RE33!$N$7:$N$874,I18,BS_RE33!$P$7:$P$874,'30 days CF Table(Ccy)'!G18,BS_RE33!$F$7:$F$874,'30 days CF Table(Ccy)'!$C$2),2)</f>
        <v>0</v>
      </c>
      <c r="AT18" s="379">
        <f>ROUND(SUMIFS(BS_RE33!$H$7:$H$874,BS_RE33!$S$7:$S$874,$AT$2,BS_RE33!$N$7:$N$874,I18,BS_RE33!$P$7:$P$874,'30 days CF Table(Ccy)'!G18,BS_RE33!$F$7:$F$874,'30 days CF Table(Ccy)'!$C$2),2)</f>
        <v>0</v>
      </c>
      <c r="AU18" s="379">
        <f>ROUND(SUMIFS(BS_RE33!$H$7:$H$874,BS_RE33!$S$7:$S$874,$AU$2,BS_RE33!$N$7:$N$874,I18,BS_RE33!$P$7:$P$874,'30 days CF Table(Ccy)'!G18,BS_RE33!$F$7:$F$874,'30 days CF Table(Ccy)'!$C$2),2)</f>
        <v>0</v>
      </c>
      <c r="AV18" s="379">
        <f>ROUND(SUMIFS(BS_RE33!$H$7:$H$874,BS_RE33!$S$7:$S$874,$AV$2,BS_RE33!$N$7:$N$874,I18,BS_RE33!$P$7:$P$874,'30 days CF Table(Ccy)'!G18,BS_RE33!$F$7:$F$874,'30 days CF Table(Ccy)'!$C$2),2)</f>
        <v>0</v>
      </c>
      <c r="AW18" s="379">
        <f>ROUND(SUMIFS(BS_RE33!$H$7:$H$874,BS_RE33!$S$7:$S$874,$AW$2,BS_RE33!$N$7:$N$874,I18,BS_RE33!$P$7:$P$874,'30 days CF Table(Ccy)'!G18,BS_RE33!$F$7:$F$874,'30 days CF Table(Ccy)'!$C$2),2)</f>
        <v>0</v>
      </c>
      <c r="AX18" s="379">
        <f>ROUND(SUMIFS(BS_RE33!$H$7:$H$874,BS_RE33!$S$7:$S$874,$AX$2,BS_RE33!$N$7:$N$874,I18,BS_RE33!$P$7:$P$874,'30 days CF Table(Ccy)'!G18,BS_RE33!$F$7:$F$874,'30 days CF Table(Ccy)'!$C$2),2)</f>
        <v>0</v>
      </c>
      <c r="AY18" s="379">
        <f>ROUND(SUMIFS(BS_RE33!$H$7:$H$874,BS_RE33!$S$7:$S$874,$AY$2,BS_RE33!$N$7:$N$874,I18,BS_RE33!$P$7:$P$874,'30 days CF Table(Ccy)'!G18,BS_RE33!$F$7:$F$874,'30 days CF Table(Ccy)'!$C$2),2)</f>
        <v>0</v>
      </c>
      <c r="AZ18" s="379">
        <f>ROUND(SUMIFS(BS_RE33!$H$7:$H$874,BS_RE33!$S$7:$S$874,$AZ$2,BS_RE33!$N$7:$N$874,I18,BS_RE33!$P$7:$P$874,'30 days CF Table(Ccy)'!G18,BS_RE33!$F$7:$F$874,'30 days CF Table(Ccy)'!$C$2),2)</f>
        <v>0</v>
      </c>
      <c r="BA18" s="379">
        <f>ROUND(SUMIFS(BS_RE33!$H$7:$H$874,BS_RE33!$S$7:$S$874,$BA$2,BS_RE33!$N$7:$N$874,I18,BS_RE33!$P$7:$P$874,'30 days CF Table(Ccy)'!G18,BS_RE33!$F$7:$F$874,'30 days CF Table(Ccy)'!$C$2),2)</f>
        <v>0</v>
      </c>
      <c r="BB18" s="379">
        <f>ROUND(SUMIFS(BS_RE33!$H$7:$H$874,BS_RE33!$S$7:$S$874,$BB$2,BS_RE33!$N$7:$N$874,I18,BS_RE33!$P$7:$P$874,'30 days CF Table(Ccy)'!G18,BS_RE33!$F$7:$F$874,'30 days CF Table(Ccy)'!$C$2),2)</f>
        <v>0</v>
      </c>
      <c r="BC18" s="379">
        <f>ROUND(SUMIFS(BS_RE33!$H$7:$H$874,BS_RE33!$S$7:$S$874,$BC$2,BS_RE33!$N$7:$N$874,I18,BS_RE33!$P$7:$P$874,'30 days CF Table(Ccy)'!G18,BS_RE33!$F$7:$F$874,'30 days CF Table(Ccy)'!$C$2),2)</f>
        <v>0</v>
      </c>
      <c r="BD18" s="379">
        <f>ROUND(SUMIFS(BS_RE33!$H$7:$H$874,BS_RE33!$S$7:$S$874,$BD$2,BS_RE33!$N$7:$N$874,I18,BS_RE33!$P$7:$P$874,'30 days CF Table(Ccy)'!G18,BS_RE33!$F$7:$F$874,'30 days CF Table(Ccy)'!$C$2),2)</f>
        <v>0</v>
      </c>
      <c r="BE18" s="379">
        <f>ROUND(SUMIFS(BS_RE33!$H$7:$H$874,BS_RE33!$S$7:$S$874,$BE$2,BS_RE33!$N$7:$N$874,I18,BS_RE33!$P$7:$P$874,'30 days CF Table(Ccy)'!G18,BS_RE33!$F$7:$F$874,'30 days CF Table(Ccy)'!$C$2),2)</f>
        <v>0</v>
      </c>
      <c r="BF18" s="379">
        <f>ROUND(SUMIFS(BS_RE33!$H$7:$H$874,BS_RE33!$S$7:$S$874,$BF$2,BS_RE33!$N$7:$N$874,I18,BS_RE33!$P$7:$P$874,'30 days CF Table(Ccy)'!G18,BS_RE33!$F$7:$F$874,'30 days CF Table(Ccy)'!$C$2),2)</f>
        <v>0</v>
      </c>
      <c r="BG18" s="379">
        <f>ROUND(SUMIFS(BS_RE33!$H$7:$H$874,BS_RE33!$S$7:$S$874,$BG$2,BS_RE33!$N$7:$N$874,I18,BS_RE33!$P$7:$P$874,'30 days CF Table(Ccy)'!G18,BS_RE33!$F$7:$F$874,'30 days CF Table(Ccy)'!$C$2),2)</f>
        <v>0</v>
      </c>
      <c r="BH18" s="379">
        <f>ROUND(SUMIFS(BS_RE33!$H$7:$H$874,BS_RE33!$S$7:$S$874,$BH$2,BS_RE33!$N$7:$N$874,I18,BS_RE33!$P$7:$P$874,'30 days CF Table(Ccy)'!G18,BS_RE33!$F$7:$F$874,'30 days CF Table(Ccy)'!$C$2),2)</f>
        <v>0</v>
      </c>
      <c r="BI18" s="379">
        <f>ROUND(SUMIFS(BS_RE33!$H$7:$H$874,BS_RE33!$S$7:$S$874,$BI$2,BS_RE33!$N$7:$N$874,I18,BS_RE33!$P$7:$P$874,'30 days CF Table(Ccy)'!G18,BS_RE33!$F$7:$F$874,'30 days CF Table(Ccy)'!$C$2),2)</f>
        <v>0</v>
      </c>
      <c r="BJ18" s="379">
        <f>ROUND(SUMIFS(BS_RE33!$H$7:$H$874,BS_RE33!$S$7:$S$874,$BJ$2,BS_RE33!$N$7:$N$874,I18,BS_RE33!$P$7:$P$874,'30 days CF Table(Ccy)'!G18,BS_RE33!$F$7:$F$874,'30 days CF Table(Ccy)'!$C$2),2)</f>
        <v>0</v>
      </c>
      <c r="BK18" s="379">
        <f>ROUND(SUMIFS(BS_RE33!$H$7:$H$874,BS_RE33!$S$7:$S$874,$BK$2,BS_RE33!$N$7:$N$874,I18,BS_RE33!$P$7:$P$874,'30 days CF Table(Ccy)'!G18,BS_RE33!$F$7:$F$874,'30 days CF Table(Ccy)'!$C$2),2)</f>
        <v>0</v>
      </c>
    </row>
    <row r="19" spans="1:63">
      <c r="C19" s="1029"/>
      <c r="D19" s="1028"/>
      <c r="E19" s="310" t="s">
        <v>71</v>
      </c>
      <c r="F19" s="309"/>
      <c r="G19" s="392" t="s">
        <v>507</v>
      </c>
      <c r="H19" s="168">
        <v>0</v>
      </c>
      <c r="I19" s="307" t="s">
        <v>167</v>
      </c>
      <c r="J19" s="478">
        <f t="shared" si="2"/>
        <v>0</v>
      </c>
      <c r="K19" s="547">
        <f t="shared" si="3"/>
        <v>0</v>
      </c>
      <c r="L19" s="548">
        <f>ROUND(SUMIFS(BS_RE33!$H$7:$H$874,BS_RE33!$S$7:$S$874,$L$2,BS_RE33!$N$7:$N$874,I19,BS_RE33!$P$7:$P$874,'30 days CF Table(Ccy)'!G19,BS_RE33!$F$7:$F$874,'30 days CF Table(Ccy)'!$C$2),2)</f>
        <v>0</v>
      </c>
      <c r="M19" s="548">
        <f>ROUND(SUMIFS(BS_RE33!$H$7:$H$874,BS_RE33!$S$7:$S$874,$M$2,BS_RE33!$N$7:$N$874,I19,BS_RE33!$P$7:$P$874,'30 days CF Table(Ccy)'!G19,BS_RE33!$F$7:$F$874,'30 days CF Table(Ccy)'!$C$2),2)</f>
        <v>0</v>
      </c>
      <c r="N19" s="548">
        <f>ROUND(SUMIFS(BS_RE33!$H$7:$H$874,BS_RE33!$S$7:$S$874,$N$2,BS_RE33!$N$7:$N$874,I19,BS_RE33!$P$7:$P$874,'30 days CF Table(Ccy)'!G19,BS_RE33!$F$7:$F$874,'30 days CF Table(Ccy)'!$C$2),2)</f>
        <v>0</v>
      </c>
      <c r="O19" s="548">
        <f>ROUND(SUMIFS(BS_RE33!$H$7:$H$874,BS_RE33!$S$7:$S$874,$O$2,BS_RE33!$N$7:$N$874,I19,BS_RE33!$P$7:$P$874,'30 days CF Table(Ccy)'!G19,BS_RE33!$F$7:$F$874,'30 days CF Table(Ccy)'!$C$2),2)</f>
        <v>0</v>
      </c>
      <c r="P19" s="548">
        <f>ROUND(SUMIFS(BS_RE33!$H$7:$H$874,BS_RE33!$S$7:$S$874,$P$2,BS_RE33!$N$7:$N$874,I19,BS_RE33!$P$7:$P$874,'30 days CF Table(Ccy)'!G19,BS_RE33!$F$7:$F$874,'30 days CF Table(Ccy)'!$C$2),2)</f>
        <v>0</v>
      </c>
      <c r="Q19" s="548">
        <f>ROUND(SUMIFS(BS_RE33!$H$7:$H$874,BS_RE33!$S$7:$S$874,$Q$2,BS_RE33!$N$7:$N$874,I19,BS_RE33!$P$7:$P$874,'30 days CF Table(Ccy)'!G19,BS_RE33!$F$7:$F$874,'30 days CF Table(Ccy)'!$C$2),2)</f>
        <v>0</v>
      </c>
      <c r="R19" s="548">
        <f>ROUND(SUMIFS(BS_RE33!$H$7:$H$874,BS_RE33!$S$7:$S$874,$R$2,BS_RE33!$N$7:$N$874,I19,BS_RE33!$P$7:$P$874,'30 days CF Table(Ccy)'!G19,BS_RE33!$F$7:$F$874,'30 days CF Table(Ccy)'!$C$2),2)</f>
        <v>0</v>
      </c>
      <c r="S19" s="548">
        <f>ROUND(SUMIFS(BS_RE33!$H$7:$H$874,BS_RE33!$S$7:$S$874,$S$2,BS_RE33!$N$7:$N$874,I19,BS_RE33!$P$7:$P$874,'30 days CF Table(Ccy)'!G19,BS_RE33!$F$7:$F$874,'30 days CF Table(Ccy)'!$C$2),2)</f>
        <v>0</v>
      </c>
      <c r="T19" s="548">
        <f>ROUND(SUMIFS(BS_RE33!$H$7:$H$874,BS_RE33!$S$7:$S$874,$T$2,BS_RE33!$N$7:$N$874,I19,BS_RE33!$P$7:$P$874,'30 days CF Table(Ccy)'!G19,BS_RE33!$F$7:$F$874,'30 days CF Table(Ccy)'!$C$2),2)</f>
        <v>0</v>
      </c>
      <c r="U19" s="548">
        <f>ROUND(SUMIFS(BS_RE33!$H$7:$H$874,BS_RE33!$S$7:$S$874,$U$2,BS_RE33!$N$7:$N$874,I19,BS_RE33!$P$7:$P$874,'30 days CF Table(Ccy)'!G19,BS_RE33!$F$7:$F$874,'30 days CF Table(Ccy)'!$C$2),2)</f>
        <v>0</v>
      </c>
      <c r="V19" s="548">
        <f>ROUND(SUMIFS(BS_RE33!$H$7:$H$874,BS_RE33!$S$7:$S$874,$V$2,BS_RE33!$N$7:$N$874,I19,BS_RE33!$P$7:$P$874,'30 days CF Table(Ccy)'!G19,BS_RE33!$F$7:$F$874,'30 days CF Table(Ccy)'!$C$2),2)</f>
        <v>0</v>
      </c>
      <c r="W19" s="548">
        <f>ROUND(SUMIFS(BS_RE33!$H$7:$H$874,BS_RE33!$S$7:$S$874,$W$2,BS_RE33!$N$7:$N$874,I19,BS_RE33!$P$7:$P$874,'30 days CF Table(Ccy)'!G19,BS_RE33!$F$7:$F$874,'30 days CF Table(Ccy)'!$C$2),2)</f>
        <v>0</v>
      </c>
      <c r="X19" s="548">
        <f>ROUND(SUMIFS(BS_RE33!$H$7:$H$874,BS_RE33!$S$7:$S$874,$X$2,BS_RE33!$N$7:$N$874,I19,BS_RE33!$P$7:$P$874,'30 days CF Table(Ccy)'!G19,BS_RE33!$F$7:$F$874,'30 days CF Table(Ccy)'!$C$2),2)</f>
        <v>0</v>
      </c>
      <c r="Y19" s="548">
        <f>ROUND(SUMIFS(BS_RE33!$H$7:$H$874,BS_RE33!$S$7:$S$874,$Y$2,BS_RE33!$N$7:$N$874,I19,BS_RE33!$P$7:$P$874,'30 days CF Table(Ccy)'!G19,BS_RE33!$F$7:$F$874,'30 days CF Table(Ccy)'!$C$2),2)</f>
        <v>0</v>
      </c>
      <c r="Z19" s="548">
        <f>ROUND(SUMIFS(BS_RE33!$H$7:$H$874,BS_RE33!$S$7:$S$874,$Z$2,BS_RE33!$N$7:$N$874,I19,BS_RE33!$P$7:$P$874,'30 days CF Table(Ccy)'!G19,BS_RE33!$F$7:$F$874,'30 days CF Table(Ccy)'!$C$2),2)</f>
        <v>0</v>
      </c>
      <c r="AA19" s="548">
        <f>ROUND(SUMIFS(BS_RE33!$H$7:$H$874,BS_RE33!$S$7:$S$874,$AA$2,BS_RE33!$N$7:$N$874,I19,BS_RE33!$P$7:$P$874,'30 days CF Table(Ccy)'!G19,BS_RE33!$F$7:$F$874,'30 days CF Table(Ccy)'!$C$2),2)</f>
        <v>0</v>
      </c>
      <c r="AB19" s="548">
        <f>ROUND(SUMIFS(BS_RE33!$H$7:$H$874,BS_RE33!$S$7:$S$874,$AB$2,BS_RE33!$N$7:$N$874,I19,BS_RE33!$P$7:$P$874,'30 days CF Table(Ccy)'!G19,BS_RE33!$F$7:$F$874,'30 days CF Table(Ccy)'!$C$2),2)</f>
        <v>0</v>
      </c>
      <c r="AC19" s="548">
        <f>ROUND(SUMIFS(BS_RE33!$H$7:$H$874,BS_RE33!$S$7:$S$874,$AC$2,BS_RE33!$N$7:$N$874,I19,BS_RE33!$P$7:$P$874,'30 days CF Table(Ccy)'!G19,BS_RE33!$F$7:$F$874,'30 days CF Table(Ccy)'!$C$2),2)</f>
        <v>0</v>
      </c>
      <c r="AD19" s="548">
        <f>ROUND(SUMIFS(BS_RE33!$H$7:$H$874,BS_RE33!$S$7:$S$874,$AD$2,BS_RE33!$N$7:$N$874,I19,BS_RE33!$P$7:$P$874,'30 days CF Table(Ccy)'!G19,BS_RE33!$F$7:$F$874,'30 days CF Table(Ccy)'!$C$2),2)</f>
        <v>0</v>
      </c>
      <c r="AE19" s="548">
        <f>ROUND(SUMIFS(BS_RE33!$H$7:$H$874,BS_RE33!$S$7:$S$874,$AE$2,BS_RE33!$N$7:$N$874,I19,BS_RE33!$P$7:$P$874,'30 days CF Table(Ccy)'!G19,BS_RE33!$F$7:$F$874,'30 days CF Table(Ccy)'!$C$2),2)</f>
        <v>0</v>
      </c>
      <c r="AF19" s="548">
        <f>ROUND(SUMIFS(BS_RE33!$H$7:$H$874,BS_RE33!$S$7:$S$874,$AF$2,BS_RE33!$N$7:$N$874,I19,BS_RE33!$P$7:$P$874,'30 days CF Table(Ccy)'!G19,BS_RE33!$F$7:$F$874,'30 days CF Table(Ccy)'!$C$2),2)</f>
        <v>0</v>
      </c>
      <c r="AG19" s="548">
        <f>ROUND(SUMIFS(BS_RE33!$H$7:$H$874,BS_RE33!$S$7:$S$874,$AG$2,BS_RE33!$N$7:$N$874,I19,BS_RE33!$P$7:$P$874,'30 days CF Table(Ccy)'!G19,BS_RE33!$F$7:$F$874,'30 days CF Table(Ccy)'!$C$2),2)</f>
        <v>0</v>
      </c>
      <c r="AH19" s="548">
        <f>ROUND(SUMIFS(BS_RE33!$H$7:$H$874,BS_RE33!$S$7:$S$874,$AH$2,BS_RE33!$N$7:$N$874,I19,BS_RE33!$P$7:$P$874,'30 days CF Table(Ccy)'!G19,BS_RE33!$F$7:$F$874,'30 days CF Table(Ccy)'!$C$2),2)</f>
        <v>0</v>
      </c>
      <c r="AI19" s="548">
        <f>ROUND(SUMIFS(BS_RE33!$H$7:$H$874,BS_RE33!$S$7:$S$874,$AI$2,BS_RE33!$N$7:$N$874,I19,BS_RE33!$P$7:$P$874,'30 days CF Table(Ccy)'!G19,BS_RE33!$F$7:$F$874,'30 days CF Table(Ccy)'!$C$2),2)</f>
        <v>0</v>
      </c>
      <c r="AJ19" s="548">
        <f>ROUND(SUMIFS(BS_RE33!$H$7:$H$874,BS_RE33!$S$7:$S$874,$AJ$2,BS_RE33!$N$7:$N$874,I19,BS_RE33!$P$7:$P$874,'30 days CF Table(Ccy)'!G19,BS_RE33!$F$7:$F$874,'30 days CF Table(Ccy)'!$C$2),2)</f>
        <v>0</v>
      </c>
      <c r="AK19" s="548">
        <f>ROUND(SUMIFS(BS_RE33!$H$7:$H$874,BS_RE33!$S$7:$S$874,$AK$2,BS_RE33!$N$7:$N$874,I19,BS_RE33!$P$7:$P$874,'30 days CF Table(Ccy)'!G19,BS_RE33!$F$7:$F$874,'30 days CF Table(Ccy)'!$C$2),2)</f>
        <v>0</v>
      </c>
      <c r="AL19" s="548">
        <f>ROUND(SUMIFS(BS_RE33!$H$7:$H$874,BS_RE33!$S$7:$S$874,$AL$2,BS_RE33!$N$7:$N$874,I19,BS_RE33!$P$7:$P$874,'30 days CF Table(Ccy)'!G19,BS_RE33!$F$7:$F$874,'30 days CF Table(Ccy)'!$C$2),2)</f>
        <v>0</v>
      </c>
      <c r="AM19" s="548">
        <f>ROUND(SUMIFS(BS_RE33!$H$7:$H$874,BS_RE33!$S$7:$S$874,$AM$2,BS_RE33!$N$7:$N$874,I19,BS_RE33!$P$7:$P$874,'30 days CF Table(Ccy)'!G19,BS_RE33!$F$7:$F$874,'30 days CF Table(Ccy)'!$C$2),2)</f>
        <v>0</v>
      </c>
      <c r="AN19" s="548">
        <f>ROUND(SUMIFS(BS_RE33!$H$7:$H$874,BS_RE33!$S$7:$S$874,$AN$2,BS_RE33!$N$7:$N$874,I19,BS_RE33!$P$7:$P$874,'30 days CF Table(Ccy)'!G19,BS_RE33!$F$7:$F$874,'30 days CF Table(Ccy)'!$C$2),2)</f>
        <v>0</v>
      </c>
      <c r="AO19" s="548">
        <f>ROUND(SUMIFS(BS_RE33!$H$7:$H$874,BS_RE33!$S$7:$S$874,$AO$2,BS_RE33!$N$7:$N$874,I19,BS_RE33!$P$7:$P$874,'30 days CF Table(Ccy)'!G19,BS_RE33!$F$7:$F$874,'30 days CF Table(Ccy)'!$C$2),2)</f>
        <v>0</v>
      </c>
      <c r="AP19" s="549">
        <f>ROUND(SUMIFS(BS_RE33!$H$7:$H$874,BS_RE33!$S$7:$S$874,$AP$2,BS_RE33!$N$7:$N$874,I19,BS_RE33!$P$7:$P$874,'30 days CF Table(Ccy)'!G19,BS_RE33!$F$7:$F$874,'30 days CF Table(Ccy)'!$C$2),2)</f>
        <v>0</v>
      </c>
      <c r="AQ19" s="550"/>
      <c r="AR19" s="380">
        <f>ROUND(SUMIFS(BS_RE33!$H$7:$H$874,BS_RE33!$S$7:$S$874,$AR$2,BS_RE33!$N$7:$N$874,I19,BS_RE33!$P$7:$P$874,'30 days CF Table(Ccy)'!G19,BS_RE33!$F$7:$F$874,'30 days CF Table(Ccy)'!$C$2),2)</f>
        <v>0</v>
      </c>
      <c r="AS19" s="380">
        <f>ROUND(SUMIFS(BS_RE33!$H$7:$H$874,BS_RE33!$S$7:$S$874,$AS$2,BS_RE33!$N$7:$N$874,I19,BS_RE33!$P$7:$P$874,'30 days CF Table(Ccy)'!G19,BS_RE33!$F$7:$F$874,'30 days CF Table(Ccy)'!$C$2),2)</f>
        <v>0</v>
      </c>
      <c r="AT19" s="380">
        <f>ROUND(SUMIFS(BS_RE33!$H$7:$H$874,BS_RE33!$S$7:$S$874,$AT$2,BS_RE33!$N$7:$N$874,I19,BS_RE33!$P$7:$P$874,'30 days CF Table(Ccy)'!G19,BS_RE33!$F$7:$F$874,'30 days CF Table(Ccy)'!$C$2),2)</f>
        <v>0</v>
      </c>
      <c r="AU19" s="380">
        <f>ROUND(SUMIFS(BS_RE33!$H$7:$H$874,BS_RE33!$S$7:$S$874,$AU$2,BS_RE33!$N$7:$N$874,I19,BS_RE33!$P$7:$P$874,'30 days CF Table(Ccy)'!G19,BS_RE33!$F$7:$F$874,'30 days CF Table(Ccy)'!$C$2),2)</f>
        <v>0</v>
      </c>
      <c r="AV19" s="380">
        <f>ROUND(SUMIFS(BS_RE33!$H$7:$H$874,BS_RE33!$S$7:$S$874,$AV$2,BS_RE33!$N$7:$N$874,I19,BS_RE33!$P$7:$P$874,'30 days CF Table(Ccy)'!G19,BS_RE33!$F$7:$F$874,'30 days CF Table(Ccy)'!$C$2),2)</f>
        <v>0</v>
      </c>
      <c r="AW19" s="380">
        <f>ROUND(SUMIFS(BS_RE33!$H$7:$H$874,BS_RE33!$S$7:$S$874,$AW$2,BS_RE33!$N$7:$N$874,I19,BS_RE33!$P$7:$P$874,'30 days CF Table(Ccy)'!G19,BS_RE33!$F$7:$F$874,'30 days CF Table(Ccy)'!$C$2),2)</f>
        <v>0</v>
      </c>
      <c r="AX19" s="380">
        <f>ROUND(SUMIFS(BS_RE33!$H$7:$H$874,BS_RE33!$S$7:$S$874,$AX$2,BS_RE33!$N$7:$N$874,I19,BS_RE33!$P$7:$P$874,'30 days CF Table(Ccy)'!G19,BS_RE33!$F$7:$F$874,'30 days CF Table(Ccy)'!$C$2),2)</f>
        <v>0</v>
      </c>
      <c r="AY19" s="380">
        <f>ROUND(SUMIFS(BS_RE33!$H$7:$H$874,BS_RE33!$S$7:$S$874,$AY$2,BS_RE33!$N$7:$N$874,I19,BS_RE33!$P$7:$P$874,'30 days CF Table(Ccy)'!G19,BS_RE33!$F$7:$F$874,'30 days CF Table(Ccy)'!$C$2),2)</f>
        <v>0</v>
      </c>
      <c r="AZ19" s="380">
        <f>ROUND(SUMIFS(BS_RE33!$H$7:$H$874,BS_RE33!$S$7:$S$874,$AZ$2,BS_RE33!$N$7:$N$874,I19,BS_RE33!$P$7:$P$874,'30 days CF Table(Ccy)'!G19,BS_RE33!$F$7:$F$874,'30 days CF Table(Ccy)'!$C$2),2)</f>
        <v>0</v>
      </c>
      <c r="BA19" s="380">
        <f>ROUND(SUMIFS(BS_RE33!$H$7:$H$874,BS_RE33!$S$7:$S$874,$BA$2,BS_RE33!$N$7:$N$874,I19,BS_RE33!$P$7:$P$874,'30 days CF Table(Ccy)'!G19,BS_RE33!$F$7:$F$874,'30 days CF Table(Ccy)'!$C$2),2)</f>
        <v>0</v>
      </c>
      <c r="BB19" s="380">
        <f>ROUND(SUMIFS(BS_RE33!$H$7:$H$874,BS_RE33!$S$7:$S$874,$BB$2,BS_RE33!$N$7:$N$874,I19,BS_RE33!$P$7:$P$874,'30 days CF Table(Ccy)'!G19,BS_RE33!$F$7:$F$874,'30 days CF Table(Ccy)'!$C$2),2)</f>
        <v>0</v>
      </c>
      <c r="BC19" s="380">
        <f>ROUND(SUMIFS(BS_RE33!$H$7:$H$874,BS_RE33!$S$7:$S$874,$BC$2,BS_RE33!$N$7:$N$874,I19,BS_RE33!$P$7:$P$874,'30 days CF Table(Ccy)'!G19,BS_RE33!$F$7:$F$874,'30 days CF Table(Ccy)'!$C$2),2)</f>
        <v>0</v>
      </c>
      <c r="BD19" s="380">
        <f>ROUND(SUMIFS(BS_RE33!$H$7:$H$874,BS_RE33!$S$7:$S$874,$BD$2,BS_RE33!$N$7:$N$874,I19,BS_RE33!$P$7:$P$874,'30 days CF Table(Ccy)'!G19,BS_RE33!$F$7:$F$874,'30 days CF Table(Ccy)'!$C$2),2)</f>
        <v>0</v>
      </c>
      <c r="BE19" s="380">
        <f>ROUND(SUMIFS(BS_RE33!$H$7:$H$874,BS_RE33!$S$7:$S$874,$BE$2,BS_RE33!$N$7:$N$874,I19,BS_RE33!$P$7:$P$874,'30 days CF Table(Ccy)'!G19,BS_RE33!$F$7:$F$874,'30 days CF Table(Ccy)'!$C$2),2)</f>
        <v>0</v>
      </c>
      <c r="BF19" s="380">
        <f>ROUND(SUMIFS(BS_RE33!$H$7:$H$874,BS_RE33!$S$7:$S$874,$BF$2,BS_RE33!$N$7:$N$874,I19,BS_RE33!$P$7:$P$874,'30 days CF Table(Ccy)'!G19,BS_RE33!$F$7:$F$874,'30 days CF Table(Ccy)'!$C$2),2)</f>
        <v>0</v>
      </c>
      <c r="BG19" s="380">
        <f>ROUND(SUMIFS(BS_RE33!$H$7:$H$874,BS_RE33!$S$7:$S$874,$BG$2,BS_RE33!$N$7:$N$874,I19,BS_RE33!$P$7:$P$874,'30 days CF Table(Ccy)'!G19,BS_RE33!$F$7:$F$874,'30 days CF Table(Ccy)'!$C$2),2)</f>
        <v>0</v>
      </c>
      <c r="BH19" s="380">
        <f>ROUND(SUMIFS(BS_RE33!$H$7:$H$874,BS_RE33!$S$7:$S$874,$BH$2,BS_RE33!$N$7:$N$874,I19,BS_RE33!$P$7:$P$874,'30 days CF Table(Ccy)'!G19,BS_RE33!$F$7:$F$874,'30 days CF Table(Ccy)'!$C$2),2)</f>
        <v>0</v>
      </c>
      <c r="BI19" s="380">
        <f>ROUND(SUMIFS(BS_RE33!$H$7:$H$874,BS_RE33!$S$7:$S$874,$BI$2,BS_RE33!$N$7:$N$874,I19,BS_RE33!$P$7:$P$874,'30 days CF Table(Ccy)'!G19,BS_RE33!$F$7:$F$874,'30 days CF Table(Ccy)'!$C$2),2)</f>
        <v>0</v>
      </c>
      <c r="BJ19" s="380">
        <f>ROUND(SUMIFS(BS_RE33!$H$7:$H$874,BS_RE33!$S$7:$S$874,$BJ$2,BS_RE33!$N$7:$N$874,I19,BS_RE33!$P$7:$P$874,'30 days CF Table(Ccy)'!G19,BS_RE33!$F$7:$F$874,'30 days CF Table(Ccy)'!$C$2),2)</f>
        <v>0</v>
      </c>
      <c r="BK19" s="380">
        <f>ROUND(SUMIFS(BS_RE33!$H$7:$H$874,BS_RE33!$S$7:$S$874,$BK$2,BS_RE33!$N$7:$N$874,I19,BS_RE33!$P$7:$P$874,'30 days CF Table(Ccy)'!G19,BS_RE33!$F$7:$F$874,'30 days CF Table(Ccy)'!$C$2),2)</f>
        <v>0</v>
      </c>
    </row>
    <row r="20" spans="1:63">
      <c r="C20" s="1029"/>
      <c r="D20" s="1028"/>
      <c r="E20" s="310" t="s">
        <v>73</v>
      </c>
      <c r="F20" s="311"/>
      <c r="G20" s="392" t="s">
        <v>508</v>
      </c>
      <c r="H20" s="168">
        <v>0</v>
      </c>
      <c r="I20" s="307" t="s">
        <v>167</v>
      </c>
      <c r="J20" s="478">
        <f t="shared" si="2"/>
        <v>0</v>
      </c>
      <c r="K20" s="547">
        <f t="shared" si="3"/>
        <v>0</v>
      </c>
      <c r="L20" s="548">
        <f>ROUND(SUMIFS(BS_RE33!$H$7:$H$874,BS_RE33!$S$7:$S$874,$L$2,BS_RE33!$N$7:$N$874,I20,BS_RE33!$P$7:$P$874,'30 days CF Table(Ccy)'!G20,BS_RE33!$F$7:$F$874,'30 days CF Table(Ccy)'!$C$2),2)</f>
        <v>0</v>
      </c>
      <c r="M20" s="548">
        <f>ROUND(SUMIFS(BS_RE33!$H$7:$H$874,BS_RE33!$S$7:$S$874,$M$2,BS_RE33!$N$7:$N$874,I20,BS_RE33!$P$7:$P$874,'30 days CF Table(Ccy)'!G20,BS_RE33!$F$7:$F$874,'30 days CF Table(Ccy)'!$C$2),2)</f>
        <v>0</v>
      </c>
      <c r="N20" s="548">
        <f>ROUND(SUMIFS(BS_RE33!$H$7:$H$874,BS_RE33!$S$7:$S$874,$N$2,BS_RE33!$N$7:$N$874,I20,BS_RE33!$P$7:$P$874,'30 days CF Table(Ccy)'!G20,BS_RE33!$F$7:$F$874,'30 days CF Table(Ccy)'!$C$2),2)</f>
        <v>0</v>
      </c>
      <c r="O20" s="548">
        <f>ROUND(SUMIFS(BS_RE33!$H$7:$H$874,BS_RE33!$S$7:$S$874,$O$2,BS_RE33!$N$7:$N$874,I20,BS_RE33!$P$7:$P$874,'30 days CF Table(Ccy)'!G20,BS_RE33!$F$7:$F$874,'30 days CF Table(Ccy)'!$C$2),2)</f>
        <v>0</v>
      </c>
      <c r="P20" s="548">
        <f>ROUND(SUMIFS(BS_RE33!$H$7:$H$874,BS_RE33!$S$7:$S$874,$P$2,BS_RE33!$N$7:$N$874,I20,BS_RE33!$P$7:$P$874,'30 days CF Table(Ccy)'!G20,BS_RE33!$F$7:$F$874,'30 days CF Table(Ccy)'!$C$2),2)</f>
        <v>0</v>
      </c>
      <c r="Q20" s="548">
        <f>ROUND(SUMIFS(BS_RE33!$H$7:$H$874,BS_RE33!$S$7:$S$874,$Q$2,BS_RE33!$N$7:$N$874,I20,BS_RE33!$P$7:$P$874,'30 days CF Table(Ccy)'!G20,BS_RE33!$F$7:$F$874,'30 days CF Table(Ccy)'!$C$2),2)</f>
        <v>0</v>
      </c>
      <c r="R20" s="548">
        <f>ROUND(SUMIFS(BS_RE33!$H$7:$H$874,BS_RE33!$S$7:$S$874,$R$2,BS_RE33!$N$7:$N$874,I20,BS_RE33!$P$7:$P$874,'30 days CF Table(Ccy)'!G20,BS_RE33!$F$7:$F$874,'30 days CF Table(Ccy)'!$C$2),2)</f>
        <v>0</v>
      </c>
      <c r="S20" s="548">
        <f>ROUND(SUMIFS(BS_RE33!$H$7:$H$874,BS_RE33!$S$7:$S$874,$S$2,BS_RE33!$N$7:$N$874,I20,BS_RE33!$P$7:$P$874,'30 days CF Table(Ccy)'!G20,BS_RE33!$F$7:$F$874,'30 days CF Table(Ccy)'!$C$2),2)</f>
        <v>0</v>
      </c>
      <c r="T20" s="548">
        <f>ROUND(SUMIFS(BS_RE33!$H$7:$H$874,BS_RE33!$S$7:$S$874,$T$2,BS_RE33!$N$7:$N$874,I20,BS_RE33!$P$7:$P$874,'30 days CF Table(Ccy)'!G20,BS_RE33!$F$7:$F$874,'30 days CF Table(Ccy)'!$C$2),2)</f>
        <v>0</v>
      </c>
      <c r="U20" s="548">
        <f>ROUND(SUMIFS(BS_RE33!$H$7:$H$874,BS_RE33!$S$7:$S$874,$U$2,BS_RE33!$N$7:$N$874,I20,BS_RE33!$P$7:$P$874,'30 days CF Table(Ccy)'!G20,BS_RE33!$F$7:$F$874,'30 days CF Table(Ccy)'!$C$2),2)</f>
        <v>0</v>
      </c>
      <c r="V20" s="548">
        <f>ROUND(SUMIFS(BS_RE33!$H$7:$H$874,BS_RE33!$S$7:$S$874,$V$2,BS_RE33!$N$7:$N$874,I20,BS_RE33!$P$7:$P$874,'30 days CF Table(Ccy)'!G20,BS_RE33!$F$7:$F$874,'30 days CF Table(Ccy)'!$C$2),2)</f>
        <v>0</v>
      </c>
      <c r="W20" s="548">
        <f>ROUND(SUMIFS(BS_RE33!$H$7:$H$874,BS_RE33!$S$7:$S$874,$W$2,BS_RE33!$N$7:$N$874,I20,BS_RE33!$P$7:$P$874,'30 days CF Table(Ccy)'!G20,BS_RE33!$F$7:$F$874,'30 days CF Table(Ccy)'!$C$2),2)</f>
        <v>0</v>
      </c>
      <c r="X20" s="548">
        <f>ROUND(SUMIFS(BS_RE33!$H$7:$H$874,BS_RE33!$S$7:$S$874,$X$2,BS_RE33!$N$7:$N$874,I20,BS_RE33!$P$7:$P$874,'30 days CF Table(Ccy)'!G20,BS_RE33!$F$7:$F$874,'30 days CF Table(Ccy)'!$C$2),2)</f>
        <v>0</v>
      </c>
      <c r="Y20" s="548">
        <f>ROUND(SUMIFS(BS_RE33!$H$7:$H$874,BS_RE33!$S$7:$S$874,$Y$2,BS_RE33!$N$7:$N$874,I20,BS_RE33!$P$7:$P$874,'30 days CF Table(Ccy)'!G20,BS_RE33!$F$7:$F$874,'30 days CF Table(Ccy)'!$C$2),2)</f>
        <v>0</v>
      </c>
      <c r="Z20" s="548">
        <f>ROUND(SUMIFS(BS_RE33!$H$7:$H$874,BS_RE33!$S$7:$S$874,$Z$2,BS_RE33!$N$7:$N$874,I20,BS_RE33!$P$7:$P$874,'30 days CF Table(Ccy)'!G20,BS_RE33!$F$7:$F$874,'30 days CF Table(Ccy)'!$C$2),2)</f>
        <v>0</v>
      </c>
      <c r="AA20" s="548">
        <f>ROUND(SUMIFS(BS_RE33!$H$7:$H$874,BS_RE33!$S$7:$S$874,$AA$2,BS_RE33!$N$7:$N$874,I20,BS_RE33!$P$7:$P$874,'30 days CF Table(Ccy)'!G20,BS_RE33!$F$7:$F$874,'30 days CF Table(Ccy)'!$C$2),2)</f>
        <v>0</v>
      </c>
      <c r="AB20" s="548">
        <f>ROUND(SUMIFS(BS_RE33!$H$7:$H$874,BS_RE33!$S$7:$S$874,$AB$2,BS_RE33!$N$7:$N$874,I20,BS_RE33!$P$7:$P$874,'30 days CF Table(Ccy)'!G20,BS_RE33!$F$7:$F$874,'30 days CF Table(Ccy)'!$C$2),2)</f>
        <v>0</v>
      </c>
      <c r="AC20" s="548">
        <f>ROUND(SUMIFS(BS_RE33!$H$7:$H$874,BS_RE33!$S$7:$S$874,$AC$2,BS_RE33!$N$7:$N$874,I20,BS_RE33!$P$7:$P$874,'30 days CF Table(Ccy)'!G20,BS_RE33!$F$7:$F$874,'30 days CF Table(Ccy)'!$C$2),2)</f>
        <v>0</v>
      </c>
      <c r="AD20" s="548">
        <f>ROUND(SUMIFS(BS_RE33!$H$7:$H$874,BS_RE33!$S$7:$S$874,$AD$2,BS_RE33!$N$7:$N$874,I20,BS_RE33!$P$7:$P$874,'30 days CF Table(Ccy)'!G20,BS_RE33!$F$7:$F$874,'30 days CF Table(Ccy)'!$C$2),2)</f>
        <v>0</v>
      </c>
      <c r="AE20" s="548">
        <f>ROUND(SUMIFS(BS_RE33!$H$7:$H$874,BS_RE33!$S$7:$S$874,$AE$2,BS_RE33!$N$7:$N$874,I20,BS_RE33!$P$7:$P$874,'30 days CF Table(Ccy)'!G20,BS_RE33!$F$7:$F$874,'30 days CF Table(Ccy)'!$C$2),2)</f>
        <v>0</v>
      </c>
      <c r="AF20" s="548">
        <f>ROUND(SUMIFS(BS_RE33!$H$7:$H$874,BS_RE33!$S$7:$S$874,$AF$2,BS_RE33!$N$7:$N$874,I20,BS_RE33!$P$7:$P$874,'30 days CF Table(Ccy)'!G20,BS_RE33!$F$7:$F$874,'30 days CF Table(Ccy)'!$C$2),2)</f>
        <v>0</v>
      </c>
      <c r="AG20" s="548">
        <f>ROUND(SUMIFS(BS_RE33!$H$7:$H$874,BS_RE33!$S$7:$S$874,$AG$2,BS_RE33!$N$7:$N$874,I20,BS_RE33!$P$7:$P$874,'30 days CF Table(Ccy)'!G20,BS_RE33!$F$7:$F$874,'30 days CF Table(Ccy)'!$C$2),2)</f>
        <v>0</v>
      </c>
      <c r="AH20" s="548">
        <f>ROUND(SUMIFS(BS_RE33!$H$7:$H$874,BS_RE33!$S$7:$S$874,$AH$2,BS_RE33!$N$7:$N$874,I20,BS_RE33!$P$7:$P$874,'30 days CF Table(Ccy)'!G20,BS_RE33!$F$7:$F$874,'30 days CF Table(Ccy)'!$C$2),2)</f>
        <v>0</v>
      </c>
      <c r="AI20" s="548">
        <f>ROUND(SUMIFS(BS_RE33!$H$7:$H$874,BS_RE33!$S$7:$S$874,$AI$2,BS_RE33!$N$7:$N$874,I20,BS_RE33!$P$7:$P$874,'30 days CF Table(Ccy)'!G20,BS_RE33!$F$7:$F$874,'30 days CF Table(Ccy)'!$C$2),2)</f>
        <v>0</v>
      </c>
      <c r="AJ20" s="548">
        <f>ROUND(SUMIFS(BS_RE33!$H$7:$H$874,BS_RE33!$S$7:$S$874,$AJ$2,BS_RE33!$N$7:$N$874,I20,BS_RE33!$P$7:$P$874,'30 days CF Table(Ccy)'!G20,BS_RE33!$F$7:$F$874,'30 days CF Table(Ccy)'!$C$2),2)</f>
        <v>0</v>
      </c>
      <c r="AK20" s="548">
        <f>ROUND(SUMIFS(BS_RE33!$H$7:$H$874,BS_RE33!$S$7:$S$874,$AK$2,BS_RE33!$N$7:$N$874,I20,BS_RE33!$P$7:$P$874,'30 days CF Table(Ccy)'!G20,BS_RE33!$F$7:$F$874,'30 days CF Table(Ccy)'!$C$2),2)</f>
        <v>0</v>
      </c>
      <c r="AL20" s="548">
        <f>ROUND(SUMIFS(BS_RE33!$H$7:$H$874,BS_RE33!$S$7:$S$874,$AL$2,BS_RE33!$N$7:$N$874,I20,BS_RE33!$P$7:$P$874,'30 days CF Table(Ccy)'!G20,BS_RE33!$F$7:$F$874,'30 days CF Table(Ccy)'!$C$2),2)</f>
        <v>0</v>
      </c>
      <c r="AM20" s="548">
        <f>ROUND(SUMIFS(BS_RE33!$H$7:$H$874,BS_RE33!$S$7:$S$874,$AM$2,BS_RE33!$N$7:$N$874,I20,BS_RE33!$P$7:$P$874,'30 days CF Table(Ccy)'!G20,BS_RE33!$F$7:$F$874,'30 days CF Table(Ccy)'!$C$2),2)</f>
        <v>0</v>
      </c>
      <c r="AN20" s="548">
        <f>ROUND(SUMIFS(BS_RE33!$H$7:$H$874,BS_RE33!$S$7:$S$874,$AN$2,BS_RE33!$N$7:$N$874,I20,BS_RE33!$P$7:$P$874,'30 days CF Table(Ccy)'!G20,BS_RE33!$F$7:$F$874,'30 days CF Table(Ccy)'!$C$2),2)</f>
        <v>0</v>
      </c>
      <c r="AO20" s="548">
        <f>ROUND(SUMIFS(BS_RE33!$H$7:$H$874,BS_RE33!$S$7:$S$874,$AO$2,BS_RE33!$N$7:$N$874,I20,BS_RE33!$P$7:$P$874,'30 days CF Table(Ccy)'!G20,BS_RE33!$F$7:$F$874,'30 days CF Table(Ccy)'!$C$2),2)</f>
        <v>0</v>
      </c>
      <c r="AP20" s="549">
        <f>ROUND(SUMIFS(BS_RE33!$H$7:$H$874,BS_RE33!$S$7:$S$874,$AP$2,BS_RE33!$N$7:$N$874,I20,BS_RE33!$P$7:$P$874,'30 days CF Table(Ccy)'!G20,BS_RE33!$F$7:$F$874,'30 days CF Table(Ccy)'!$C$2),2)</f>
        <v>0</v>
      </c>
      <c r="AQ20" s="550"/>
      <c r="AR20" s="380">
        <f>ROUND(SUMIFS(BS_RE33!$H$7:$H$874,BS_RE33!$S$7:$S$874,$AR$2,BS_RE33!$N$7:$N$874,I20,BS_RE33!$P$7:$P$874,'30 days CF Table(Ccy)'!G20,BS_RE33!$F$7:$F$874,'30 days CF Table(Ccy)'!$C$2),2)</f>
        <v>0</v>
      </c>
      <c r="AS20" s="380">
        <f>ROUND(SUMIFS(BS_RE33!$H$7:$H$874,BS_RE33!$S$7:$S$874,$AS$2,BS_RE33!$N$7:$N$874,I20,BS_RE33!$P$7:$P$874,'30 days CF Table(Ccy)'!G20,BS_RE33!$F$7:$F$874,'30 days CF Table(Ccy)'!$C$2),2)</f>
        <v>0</v>
      </c>
      <c r="AT20" s="380">
        <f>ROUND(SUMIFS(BS_RE33!$H$7:$H$874,BS_RE33!$S$7:$S$874,$AT$2,BS_RE33!$N$7:$N$874,I20,BS_RE33!$P$7:$P$874,'30 days CF Table(Ccy)'!G20,BS_RE33!$F$7:$F$874,'30 days CF Table(Ccy)'!$C$2),2)</f>
        <v>0</v>
      </c>
      <c r="AU20" s="380">
        <f>ROUND(SUMIFS(BS_RE33!$H$7:$H$874,BS_RE33!$S$7:$S$874,$AU$2,BS_RE33!$N$7:$N$874,I20,BS_RE33!$P$7:$P$874,'30 days CF Table(Ccy)'!G20,BS_RE33!$F$7:$F$874,'30 days CF Table(Ccy)'!$C$2),2)</f>
        <v>0</v>
      </c>
      <c r="AV20" s="380">
        <f>ROUND(SUMIFS(BS_RE33!$H$7:$H$874,BS_RE33!$S$7:$S$874,$AV$2,BS_RE33!$N$7:$N$874,I20,BS_RE33!$P$7:$P$874,'30 days CF Table(Ccy)'!G20,BS_RE33!$F$7:$F$874,'30 days CF Table(Ccy)'!$C$2),2)</f>
        <v>0</v>
      </c>
      <c r="AW20" s="380">
        <f>ROUND(SUMIFS(BS_RE33!$H$7:$H$874,BS_RE33!$S$7:$S$874,$AW$2,BS_RE33!$N$7:$N$874,I20,BS_RE33!$P$7:$P$874,'30 days CF Table(Ccy)'!G20,BS_RE33!$F$7:$F$874,'30 days CF Table(Ccy)'!$C$2),2)</f>
        <v>0</v>
      </c>
      <c r="AX20" s="380">
        <f>ROUND(SUMIFS(BS_RE33!$H$7:$H$874,BS_RE33!$S$7:$S$874,$AX$2,BS_RE33!$N$7:$N$874,I20,BS_RE33!$P$7:$P$874,'30 days CF Table(Ccy)'!G20,BS_RE33!$F$7:$F$874,'30 days CF Table(Ccy)'!$C$2),2)</f>
        <v>0</v>
      </c>
      <c r="AY20" s="380">
        <f>ROUND(SUMIFS(BS_RE33!$H$7:$H$874,BS_RE33!$S$7:$S$874,$AY$2,BS_RE33!$N$7:$N$874,I20,BS_RE33!$P$7:$P$874,'30 days CF Table(Ccy)'!G20,BS_RE33!$F$7:$F$874,'30 days CF Table(Ccy)'!$C$2),2)</f>
        <v>0</v>
      </c>
      <c r="AZ20" s="380">
        <f>ROUND(SUMIFS(BS_RE33!$H$7:$H$874,BS_RE33!$S$7:$S$874,$AZ$2,BS_RE33!$N$7:$N$874,I20,BS_RE33!$P$7:$P$874,'30 days CF Table(Ccy)'!G20,BS_RE33!$F$7:$F$874,'30 days CF Table(Ccy)'!$C$2),2)</f>
        <v>0</v>
      </c>
      <c r="BA20" s="380">
        <f>ROUND(SUMIFS(BS_RE33!$H$7:$H$874,BS_RE33!$S$7:$S$874,$BA$2,BS_RE33!$N$7:$N$874,I20,BS_RE33!$P$7:$P$874,'30 days CF Table(Ccy)'!G20,BS_RE33!$F$7:$F$874,'30 days CF Table(Ccy)'!$C$2),2)</f>
        <v>0</v>
      </c>
      <c r="BB20" s="380">
        <f>ROUND(SUMIFS(BS_RE33!$H$7:$H$874,BS_RE33!$S$7:$S$874,$BB$2,BS_RE33!$N$7:$N$874,I20,BS_RE33!$P$7:$P$874,'30 days CF Table(Ccy)'!G20,BS_RE33!$F$7:$F$874,'30 days CF Table(Ccy)'!$C$2),2)</f>
        <v>0</v>
      </c>
      <c r="BC20" s="380">
        <f>ROUND(SUMIFS(BS_RE33!$H$7:$H$874,BS_RE33!$S$7:$S$874,$BC$2,BS_RE33!$N$7:$N$874,I20,BS_RE33!$P$7:$P$874,'30 days CF Table(Ccy)'!G20,BS_RE33!$F$7:$F$874,'30 days CF Table(Ccy)'!$C$2),2)</f>
        <v>0</v>
      </c>
      <c r="BD20" s="380">
        <f>ROUND(SUMIFS(BS_RE33!$H$7:$H$874,BS_RE33!$S$7:$S$874,$BD$2,BS_RE33!$N$7:$N$874,I20,BS_RE33!$P$7:$P$874,'30 days CF Table(Ccy)'!G20,BS_RE33!$F$7:$F$874,'30 days CF Table(Ccy)'!$C$2),2)</f>
        <v>0</v>
      </c>
      <c r="BE20" s="380">
        <f>ROUND(SUMIFS(BS_RE33!$H$7:$H$874,BS_RE33!$S$7:$S$874,$BE$2,BS_RE33!$N$7:$N$874,I20,BS_RE33!$P$7:$P$874,'30 days CF Table(Ccy)'!G20,BS_RE33!$F$7:$F$874,'30 days CF Table(Ccy)'!$C$2),2)</f>
        <v>0</v>
      </c>
      <c r="BF20" s="380">
        <f>ROUND(SUMIFS(BS_RE33!$H$7:$H$874,BS_RE33!$S$7:$S$874,$BF$2,BS_RE33!$N$7:$N$874,I20,BS_RE33!$P$7:$P$874,'30 days CF Table(Ccy)'!G20,BS_RE33!$F$7:$F$874,'30 days CF Table(Ccy)'!$C$2),2)</f>
        <v>0</v>
      </c>
      <c r="BG20" s="380">
        <f>ROUND(SUMIFS(BS_RE33!$H$7:$H$874,BS_RE33!$S$7:$S$874,$BG$2,BS_RE33!$N$7:$N$874,I20,BS_RE33!$P$7:$P$874,'30 days CF Table(Ccy)'!G20,BS_RE33!$F$7:$F$874,'30 days CF Table(Ccy)'!$C$2),2)</f>
        <v>0</v>
      </c>
      <c r="BH20" s="380">
        <f>ROUND(SUMIFS(BS_RE33!$H$7:$H$874,BS_RE33!$S$7:$S$874,$BH$2,BS_RE33!$N$7:$N$874,I20,BS_RE33!$P$7:$P$874,'30 days CF Table(Ccy)'!G20,BS_RE33!$F$7:$F$874,'30 days CF Table(Ccy)'!$C$2),2)</f>
        <v>0</v>
      </c>
      <c r="BI20" s="380">
        <f>ROUND(SUMIFS(BS_RE33!$H$7:$H$874,BS_RE33!$S$7:$S$874,$BI$2,BS_RE33!$N$7:$N$874,I20,BS_RE33!$P$7:$P$874,'30 days CF Table(Ccy)'!G20,BS_RE33!$F$7:$F$874,'30 days CF Table(Ccy)'!$C$2),2)</f>
        <v>0</v>
      </c>
      <c r="BJ20" s="380">
        <f>ROUND(SUMIFS(BS_RE33!$H$7:$H$874,BS_RE33!$S$7:$S$874,$BJ$2,BS_RE33!$N$7:$N$874,I20,BS_RE33!$P$7:$P$874,'30 days CF Table(Ccy)'!G20,BS_RE33!$F$7:$F$874,'30 days CF Table(Ccy)'!$C$2),2)</f>
        <v>0</v>
      </c>
      <c r="BK20" s="380">
        <f>ROUND(SUMIFS(BS_RE33!$H$7:$H$874,BS_RE33!$S$7:$S$874,$BK$2,BS_RE33!$N$7:$N$874,I20,BS_RE33!$P$7:$P$874,'30 days CF Table(Ccy)'!G20,BS_RE33!$F$7:$F$874,'30 days CF Table(Ccy)'!$C$2),2)</f>
        <v>0</v>
      </c>
    </row>
    <row r="21" spans="1:63">
      <c r="C21" s="1029"/>
      <c r="D21" s="1028"/>
      <c r="E21" s="310" t="s">
        <v>550</v>
      </c>
      <c r="F21" s="311"/>
      <c r="G21" s="392" t="s">
        <v>551</v>
      </c>
      <c r="H21" s="168">
        <v>0</v>
      </c>
      <c r="I21" s="307" t="s">
        <v>167</v>
      </c>
      <c r="J21" s="478">
        <f t="shared" si="2"/>
        <v>0</v>
      </c>
      <c r="K21" s="547">
        <f t="shared" si="3"/>
        <v>0</v>
      </c>
      <c r="L21" s="548">
        <f>ROUND(SUMIFS(BS_RE33!$H$7:$H$874,BS_RE33!$S$7:$S$874,$L$2,BS_RE33!$N$7:$N$874,I21,BS_RE33!$P$7:$P$874,'30 days CF Table(Ccy)'!G21,BS_RE33!$F$7:$F$874,'30 days CF Table(Ccy)'!$C$2),2)</f>
        <v>0</v>
      </c>
      <c r="M21" s="548">
        <f>ROUND(SUMIFS(BS_RE33!$H$7:$H$874,BS_RE33!$S$7:$S$874,$M$2,BS_RE33!$N$7:$N$874,I21,BS_RE33!$P$7:$P$874,'30 days CF Table(Ccy)'!G21,BS_RE33!$F$7:$F$874,'30 days CF Table(Ccy)'!$C$2),2)</f>
        <v>0</v>
      </c>
      <c r="N21" s="548">
        <f>ROUND(SUMIFS(BS_RE33!$H$7:$H$874,BS_RE33!$S$7:$S$874,$N$2,BS_RE33!$N$7:$N$874,I21,BS_RE33!$P$7:$P$874,'30 days CF Table(Ccy)'!G21,BS_RE33!$F$7:$F$874,'30 days CF Table(Ccy)'!$C$2),2)</f>
        <v>0</v>
      </c>
      <c r="O21" s="548">
        <f>ROUND(SUMIFS(BS_RE33!$H$7:$H$874,BS_RE33!$S$7:$S$874,$O$2,BS_RE33!$N$7:$N$874,I21,BS_RE33!$P$7:$P$874,'30 days CF Table(Ccy)'!G21,BS_RE33!$F$7:$F$874,'30 days CF Table(Ccy)'!$C$2),2)</f>
        <v>0</v>
      </c>
      <c r="P21" s="548">
        <f>ROUND(SUMIFS(BS_RE33!$H$7:$H$874,BS_RE33!$S$7:$S$874,$P$2,BS_RE33!$N$7:$N$874,I21,BS_RE33!$P$7:$P$874,'30 days CF Table(Ccy)'!G21,BS_RE33!$F$7:$F$874,'30 days CF Table(Ccy)'!$C$2),2)</f>
        <v>0</v>
      </c>
      <c r="Q21" s="548">
        <f>ROUND(SUMIFS(BS_RE33!$H$7:$H$874,BS_RE33!$S$7:$S$874,$Q$2,BS_RE33!$N$7:$N$874,I21,BS_RE33!$P$7:$P$874,'30 days CF Table(Ccy)'!G21,BS_RE33!$F$7:$F$874,'30 days CF Table(Ccy)'!$C$2),2)</f>
        <v>0</v>
      </c>
      <c r="R21" s="548">
        <f>ROUND(SUMIFS(BS_RE33!$H$7:$H$874,BS_RE33!$S$7:$S$874,$R$2,BS_RE33!$N$7:$N$874,I21,BS_RE33!$P$7:$P$874,'30 days CF Table(Ccy)'!G21,BS_RE33!$F$7:$F$874,'30 days CF Table(Ccy)'!$C$2),2)</f>
        <v>0</v>
      </c>
      <c r="S21" s="548">
        <f>ROUND(SUMIFS(BS_RE33!$H$7:$H$874,BS_RE33!$S$7:$S$874,$S$2,BS_RE33!$N$7:$N$874,I21,BS_RE33!$P$7:$P$874,'30 days CF Table(Ccy)'!G21,BS_RE33!$F$7:$F$874,'30 days CF Table(Ccy)'!$C$2),2)</f>
        <v>0</v>
      </c>
      <c r="T21" s="548">
        <f>ROUND(SUMIFS(BS_RE33!$H$7:$H$874,BS_RE33!$S$7:$S$874,$T$2,BS_RE33!$N$7:$N$874,I21,BS_RE33!$P$7:$P$874,'30 days CF Table(Ccy)'!G21,BS_RE33!$F$7:$F$874,'30 days CF Table(Ccy)'!$C$2),2)</f>
        <v>0</v>
      </c>
      <c r="U21" s="548">
        <f>ROUND(SUMIFS(BS_RE33!$H$7:$H$874,BS_RE33!$S$7:$S$874,$U$2,BS_RE33!$N$7:$N$874,I21,BS_RE33!$P$7:$P$874,'30 days CF Table(Ccy)'!G21,BS_RE33!$F$7:$F$874,'30 days CF Table(Ccy)'!$C$2),2)</f>
        <v>0</v>
      </c>
      <c r="V21" s="548">
        <f>ROUND(SUMIFS(BS_RE33!$H$7:$H$874,BS_RE33!$S$7:$S$874,$V$2,BS_RE33!$N$7:$N$874,I21,BS_RE33!$P$7:$P$874,'30 days CF Table(Ccy)'!G21,BS_RE33!$F$7:$F$874,'30 days CF Table(Ccy)'!$C$2),2)</f>
        <v>0</v>
      </c>
      <c r="W21" s="548">
        <f>ROUND(SUMIFS(BS_RE33!$H$7:$H$874,BS_RE33!$S$7:$S$874,$W$2,BS_RE33!$N$7:$N$874,I21,BS_RE33!$P$7:$P$874,'30 days CF Table(Ccy)'!G21,BS_RE33!$F$7:$F$874,'30 days CF Table(Ccy)'!$C$2),2)</f>
        <v>0</v>
      </c>
      <c r="X21" s="548">
        <f>ROUND(SUMIFS(BS_RE33!$H$7:$H$874,BS_RE33!$S$7:$S$874,$X$2,BS_RE33!$N$7:$N$874,I21,BS_RE33!$P$7:$P$874,'30 days CF Table(Ccy)'!G21,BS_RE33!$F$7:$F$874,'30 days CF Table(Ccy)'!$C$2),2)</f>
        <v>0</v>
      </c>
      <c r="Y21" s="548">
        <f>ROUND(SUMIFS(BS_RE33!$H$7:$H$874,BS_RE33!$S$7:$S$874,$Y$2,BS_RE33!$N$7:$N$874,I21,BS_RE33!$P$7:$P$874,'30 days CF Table(Ccy)'!G21,BS_RE33!$F$7:$F$874,'30 days CF Table(Ccy)'!$C$2),2)</f>
        <v>0</v>
      </c>
      <c r="Z21" s="548">
        <f>ROUND(SUMIFS(BS_RE33!$H$7:$H$874,BS_RE33!$S$7:$S$874,$Z$2,BS_RE33!$N$7:$N$874,I21,BS_RE33!$P$7:$P$874,'30 days CF Table(Ccy)'!G21,BS_RE33!$F$7:$F$874,'30 days CF Table(Ccy)'!$C$2),2)</f>
        <v>0</v>
      </c>
      <c r="AA21" s="548">
        <f>ROUND(SUMIFS(BS_RE33!$H$7:$H$874,BS_RE33!$S$7:$S$874,$AA$2,BS_RE33!$N$7:$N$874,I21,BS_RE33!$P$7:$P$874,'30 days CF Table(Ccy)'!G21,BS_RE33!$F$7:$F$874,'30 days CF Table(Ccy)'!$C$2),2)</f>
        <v>0</v>
      </c>
      <c r="AB21" s="548">
        <f>ROUND(SUMIFS(BS_RE33!$H$7:$H$874,BS_RE33!$S$7:$S$874,$AB$2,BS_RE33!$N$7:$N$874,I21,BS_RE33!$P$7:$P$874,'30 days CF Table(Ccy)'!G21,BS_RE33!$F$7:$F$874,'30 days CF Table(Ccy)'!$C$2),2)</f>
        <v>0</v>
      </c>
      <c r="AC21" s="548">
        <f>ROUND(SUMIFS(BS_RE33!$H$7:$H$874,BS_RE33!$S$7:$S$874,$AC$2,BS_RE33!$N$7:$N$874,I21,BS_RE33!$P$7:$P$874,'30 days CF Table(Ccy)'!G21,BS_RE33!$F$7:$F$874,'30 days CF Table(Ccy)'!$C$2),2)</f>
        <v>0</v>
      </c>
      <c r="AD21" s="548">
        <f>ROUND(SUMIFS(BS_RE33!$H$7:$H$874,BS_RE33!$S$7:$S$874,$AD$2,BS_RE33!$N$7:$N$874,I21,BS_RE33!$P$7:$P$874,'30 days CF Table(Ccy)'!G21,BS_RE33!$F$7:$F$874,'30 days CF Table(Ccy)'!$C$2),2)</f>
        <v>0</v>
      </c>
      <c r="AE21" s="548">
        <f>ROUND(SUMIFS(BS_RE33!$H$7:$H$874,BS_RE33!$S$7:$S$874,$AE$2,BS_RE33!$N$7:$N$874,I21,BS_RE33!$P$7:$P$874,'30 days CF Table(Ccy)'!G21,BS_RE33!$F$7:$F$874,'30 days CF Table(Ccy)'!$C$2),2)</f>
        <v>0</v>
      </c>
      <c r="AF21" s="548">
        <f>ROUND(SUMIFS(BS_RE33!$H$7:$H$874,BS_RE33!$S$7:$S$874,$AF$2,BS_RE33!$N$7:$N$874,I21,BS_RE33!$P$7:$P$874,'30 days CF Table(Ccy)'!G21,BS_RE33!$F$7:$F$874,'30 days CF Table(Ccy)'!$C$2),2)</f>
        <v>0</v>
      </c>
      <c r="AG21" s="548">
        <f>ROUND(SUMIFS(BS_RE33!$H$7:$H$874,BS_RE33!$S$7:$S$874,$AG$2,BS_RE33!$N$7:$N$874,I21,BS_RE33!$P$7:$P$874,'30 days CF Table(Ccy)'!G21,BS_RE33!$F$7:$F$874,'30 days CF Table(Ccy)'!$C$2),2)</f>
        <v>0</v>
      </c>
      <c r="AH21" s="548">
        <f>ROUND(SUMIFS(BS_RE33!$H$7:$H$874,BS_RE33!$S$7:$S$874,$AH$2,BS_RE33!$N$7:$N$874,I21,BS_RE33!$P$7:$P$874,'30 days CF Table(Ccy)'!G21,BS_RE33!$F$7:$F$874,'30 days CF Table(Ccy)'!$C$2),2)</f>
        <v>0</v>
      </c>
      <c r="AI21" s="548">
        <f>ROUND(SUMIFS(BS_RE33!$H$7:$H$874,BS_RE33!$S$7:$S$874,$AI$2,BS_RE33!$N$7:$N$874,I21,BS_RE33!$P$7:$P$874,'30 days CF Table(Ccy)'!G21,BS_RE33!$F$7:$F$874,'30 days CF Table(Ccy)'!$C$2),2)</f>
        <v>0</v>
      </c>
      <c r="AJ21" s="548">
        <f>ROUND(SUMIFS(BS_RE33!$H$7:$H$874,BS_RE33!$S$7:$S$874,$AJ$2,BS_RE33!$N$7:$N$874,I21,BS_RE33!$P$7:$P$874,'30 days CF Table(Ccy)'!G21,BS_RE33!$F$7:$F$874,'30 days CF Table(Ccy)'!$C$2),2)</f>
        <v>0</v>
      </c>
      <c r="AK21" s="548">
        <f>ROUND(SUMIFS(BS_RE33!$H$7:$H$874,BS_RE33!$S$7:$S$874,$AK$2,BS_RE33!$N$7:$N$874,I21,BS_RE33!$P$7:$P$874,'30 days CF Table(Ccy)'!G21,BS_RE33!$F$7:$F$874,'30 days CF Table(Ccy)'!$C$2),2)</f>
        <v>0</v>
      </c>
      <c r="AL21" s="548">
        <f>ROUND(SUMIFS(BS_RE33!$H$7:$H$874,BS_RE33!$S$7:$S$874,$AL$2,BS_RE33!$N$7:$N$874,I21,BS_RE33!$P$7:$P$874,'30 days CF Table(Ccy)'!G21,BS_RE33!$F$7:$F$874,'30 days CF Table(Ccy)'!$C$2),2)</f>
        <v>0</v>
      </c>
      <c r="AM21" s="548">
        <f>ROUND(SUMIFS(BS_RE33!$H$7:$H$874,BS_RE33!$S$7:$S$874,$AM$2,BS_RE33!$N$7:$N$874,I21,BS_RE33!$P$7:$P$874,'30 days CF Table(Ccy)'!G21,BS_RE33!$F$7:$F$874,'30 days CF Table(Ccy)'!$C$2),2)</f>
        <v>0</v>
      </c>
      <c r="AN21" s="548">
        <f>ROUND(SUMIFS(BS_RE33!$H$7:$H$874,BS_RE33!$S$7:$S$874,$AN$2,BS_RE33!$N$7:$N$874,I21,BS_RE33!$P$7:$P$874,'30 days CF Table(Ccy)'!G21,BS_RE33!$F$7:$F$874,'30 days CF Table(Ccy)'!$C$2),2)</f>
        <v>0</v>
      </c>
      <c r="AO21" s="548">
        <f>ROUND(SUMIFS(BS_RE33!$H$7:$H$874,BS_RE33!$S$7:$S$874,$AO$2,BS_RE33!$N$7:$N$874,I21,BS_RE33!$P$7:$P$874,'30 days CF Table(Ccy)'!G21,BS_RE33!$F$7:$F$874,'30 days CF Table(Ccy)'!$C$2),2)</f>
        <v>0</v>
      </c>
      <c r="AP21" s="549">
        <f>ROUND(SUMIFS(BS_RE33!$H$7:$H$874,BS_RE33!$S$7:$S$874,$AP$2,BS_RE33!$N$7:$N$874,I21,BS_RE33!$P$7:$P$874,'30 days CF Table(Ccy)'!G21,BS_RE33!$F$7:$F$874,'30 days CF Table(Ccy)'!$C$2),2)</f>
        <v>0</v>
      </c>
      <c r="AQ21" s="550"/>
      <c r="AR21" s="380">
        <f>ROUND(SUMIFS(BS_RE33!$H$7:$H$874,BS_RE33!$S$7:$S$874,$AR$2,BS_RE33!$N$7:$N$874,I21,BS_RE33!$P$7:$P$874,'30 days CF Table(Ccy)'!G21,BS_RE33!$F$7:$F$874,'30 days CF Table(Ccy)'!$C$2),2)</f>
        <v>0</v>
      </c>
      <c r="AS21" s="380">
        <f>ROUND(SUMIFS(BS_RE33!$H$7:$H$874,BS_RE33!$S$7:$S$874,$AS$2,BS_RE33!$N$7:$N$874,I21,BS_RE33!$P$7:$P$874,'30 days CF Table(Ccy)'!G21,BS_RE33!$F$7:$F$874,'30 days CF Table(Ccy)'!$C$2),2)</f>
        <v>0</v>
      </c>
      <c r="AT21" s="380">
        <f>ROUND(SUMIFS(BS_RE33!$H$7:$H$874,BS_RE33!$S$7:$S$874,$AT$2,BS_RE33!$N$7:$N$874,I21,BS_RE33!$P$7:$P$874,'30 days CF Table(Ccy)'!G21,BS_RE33!$F$7:$F$874,'30 days CF Table(Ccy)'!$C$2),2)</f>
        <v>0</v>
      </c>
      <c r="AU21" s="380">
        <f>ROUND(SUMIFS(BS_RE33!$H$7:$H$874,BS_RE33!$S$7:$S$874,$AU$2,BS_RE33!$N$7:$N$874,I21,BS_RE33!$P$7:$P$874,'30 days CF Table(Ccy)'!G21,BS_RE33!$F$7:$F$874,'30 days CF Table(Ccy)'!$C$2),2)</f>
        <v>0</v>
      </c>
      <c r="AV21" s="380">
        <f>ROUND(SUMIFS(BS_RE33!$H$7:$H$874,BS_RE33!$S$7:$S$874,$AV$2,BS_RE33!$N$7:$N$874,I21,BS_RE33!$P$7:$P$874,'30 days CF Table(Ccy)'!G21,BS_RE33!$F$7:$F$874,'30 days CF Table(Ccy)'!$C$2),2)</f>
        <v>0</v>
      </c>
      <c r="AW21" s="380">
        <f>ROUND(SUMIFS(BS_RE33!$H$7:$H$874,BS_RE33!$S$7:$S$874,$AW$2,BS_RE33!$N$7:$N$874,I21,BS_RE33!$P$7:$P$874,'30 days CF Table(Ccy)'!G21,BS_RE33!$F$7:$F$874,'30 days CF Table(Ccy)'!$C$2),2)</f>
        <v>0</v>
      </c>
      <c r="AX21" s="380">
        <f>ROUND(SUMIFS(BS_RE33!$H$7:$H$874,BS_RE33!$S$7:$S$874,$AX$2,BS_RE33!$N$7:$N$874,I21,BS_RE33!$P$7:$P$874,'30 days CF Table(Ccy)'!G21,BS_RE33!$F$7:$F$874,'30 days CF Table(Ccy)'!$C$2),2)</f>
        <v>0</v>
      </c>
      <c r="AY21" s="380">
        <f>ROUND(SUMIFS(BS_RE33!$H$7:$H$874,BS_RE33!$S$7:$S$874,$AY$2,BS_RE33!$N$7:$N$874,I21,BS_RE33!$P$7:$P$874,'30 days CF Table(Ccy)'!G21,BS_RE33!$F$7:$F$874,'30 days CF Table(Ccy)'!$C$2),2)</f>
        <v>0</v>
      </c>
      <c r="AZ21" s="380">
        <f>ROUND(SUMIFS(BS_RE33!$H$7:$H$874,BS_RE33!$S$7:$S$874,$AZ$2,BS_RE33!$N$7:$N$874,I21,BS_RE33!$P$7:$P$874,'30 days CF Table(Ccy)'!G21,BS_RE33!$F$7:$F$874,'30 days CF Table(Ccy)'!$C$2),2)</f>
        <v>0</v>
      </c>
      <c r="BA21" s="380">
        <f>ROUND(SUMIFS(BS_RE33!$H$7:$H$874,BS_RE33!$S$7:$S$874,$BA$2,BS_RE33!$N$7:$N$874,I21,BS_RE33!$P$7:$P$874,'30 days CF Table(Ccy)'!G21,BS_RE33!$F$7:$F$874,'30 days CF Table(Ccy)'!$C$2),2)</f>
        <v>0</v>
      </c>
      <c r="BB21" s="380">
        <f>ROUND(SUMIFS(BS_RE33!$H$7:$H$874,BS_RE33!$S$7:$S$874,$BB$2,BS_RE33!$N$7:$N$874,I21,BS_RE33!$P$7:$P$874,'30 days CF Table(Ccy)'!G21,BS_RE33!$F$7:$F$874,'30 days CF Table(Ccy)'!$C$2),2)</f>
        <v>0</v>
      </c>
      <c r="BC21" s="380">
        <f>ROUND(SUMIFS(BS_RE33!$H$7:$H$874,BS_RE33!$S$7:$S$874,$BC$2,BS_RE33!$N$7:$N$874,I21,BS_RE33!$P$7:$P$874,'30 days CF Table(Ccy)'!G21,BS_RE33!$F$7:$F$874,'30 days CF Table(Ccy)'!$C$2),2)</f>
        <v>0</v>
      </c>
      <c r="BD21" s="380">
        <f>ROUND(SUMIFS(BS_RE33!$H$7:$H$874,BS_RE33!$S$7:$S$874,$BD$2,BS_RE33!$N$7:$N$874,I21,BS_RE33!$P$7:$P$874,'30 days CF Table(Ccy)'!G21,BS_RE33!$F$7:$F$874,'30 days CF Table(Ccy)'!$C$2),2)</f>
        <v>0</v>
      </c>
      <c r="BE21" s="380">
        <f>ROUND(SUMIFS(BS_RE33!$H$7:$H$874,BS_RE33!$S$7:$S$874,$BE$2,BS_RE33!$N$7:$N$874,I21,BS_RE33!$P$7:$P$874,'30 days CF Table(Ccy)'!G21,BS_RE33!$F$7:$F$874,'30 days CF Table(Ccy)'!$C$2),2)</f>
        <v>0</v>
      </c>
      <c r="BF21" s="380">
        <f>ROUND(SUMIFS(BS_RE33!$H$7:$H$874,BS_RE33!$S$7:$S$874,$BF$2,BS_RE33!$N$7:$N$874,I21,BS_RE33!$P$7:$P$874,'30 days CF Table(Ccy)'!G21,BS_RE33!$F$7:$F$874,'30 days CF Table(Ccy)'!$C$2),2)</f>
        <v>0</v>
      </c>
      <c r="BG21" s="380">
        <f>ROUND(SUMIFS(BS_RE33!$H$7:$H$874,BS_RE33!$S$7:$S$874,$BG$2,BS_RE33!$N$7:$N$874,I21,BS_RE33!$P$7:$P$874,'30 days CF Table(Ccy)'!G21,BS_RE33!$F$7:$F$874,'30 days CF Table(Ccy)'!$C$2),2)</f>
        <v>0</v>
      </c>
      <c r="BH21" s="380">
        <f>ROUND(SUMIFS(BS_RE33!$H$7:$H$874,BS_RE33!$S$7:$S$874,$BH$2,BS_RE33!$N$7:$N$874,I21,BS_RE33!$P$7:$P$874,'30 days CF Table(Ccy)'!G21,BS_RE33!$F$7:$F$874,'30 days CF Table(Ccy)'!$C$2),2)</f>
        <v>0</v>
      </c>
      <c r="BI21" s="380">
        <f>ROUND(SUMIFS(BS_RE33!$H$7:$H$874,BS_RE33!$S$7:$S$874,$BI$2,BS_RE33!$N$7:$N$874,I21,BS_RE33!$P$7:$P$874,'30 days CF Table(Ccy)'!G21,BS_RE33!$F$7:$F$874,'30 days CF Table(Ccy)'!$C$2),2)</f>
        <v>0</v>
      </c>
      <c r="BJ21" s="380">
        <f>ROUND(SUMIFS(BS_RE33!$H$7:$H$874,BS_RE33!$S$7:$S$874,$BJ$2,BS_RE33!$N$7:$N$874,I21,BS_RE33!$P$7:$P$874,'30 days CF Table(Ccy)'!G21,BS_RE33!$F$7:$F$874,'30 days CF Table(Ccy)'!$C$2),2)</f>
        <v>0</v>
      </c>
      <c r="BK21" s="380">
        <f>ROUND(SUMIFS(BS_RE33!$H$7:$H$874,BS_RE33!$S$7:$S$874,$BK$2,BS_RE33!$N$7:$N$874,I21,BS_RE33!$P$7:$P$874,'30 days CF Table(Ccy)'!G21,BS_RE33!$F$7:$F$874,'30 days CF Table(Ccy)'!$C$2),2)</f>
        <v>0</v>
      </c>
    </row>
    <row r="22" spans="1:63" ht="20.25">
      <c r="C22" s="1027" t="s">
        <v>747</v>
      </c>
      <c r="D22" s="521" t="s">
        <v>748</v>
      </c>
      <c r="E22" s="73" t="s">
        <v>749</v>
      </c>
      <c r="F22" s="309"/>
      <c r="G22" s="392" t="s">
        <v>509</v>
      </c>
      <c r="H22" s="130">
        <v>1</v>
      </c>
      <c r="I22" s="305" t="s">
        <v>63</v>
      </c>
      <c r="J22" s="477">
        <f t="shared" si="2"/>
        <v>0</v>
      </c>
      <c r="K22" s="335">
        <f t="shared" si="3"/>
        <v>0</v>
      </c>
      <c r="L22" s="337">
        <f>ROUND(SUMIFS(BS_RE33!$H$7:$H$874,BS_RE33!$S$7:$S$874,$L$2,BS_RE33!$N$7:$N$874,I22,BS_RE33!$P$7:$P$874,'30 days CF Table(Ccy)'!G22,BS_RE33!$F$7:$F$874,'30 days CF Table(Ccy)'!$C$2),2)</f>
        <v>0</v>
      </c>
      <c r="M22" s="337">
        <f>ROUND(SUMIFS(BS_RE33!$H$7:$H$874,BS_RE33!$S$7:$S$874,$M$2,BS_RE33!$N$7:$N$874,I22,BS_RE33!$P$7:$P$874,'30 days CF Table(Ccy)'!G22,BS_RE33!$F$7:$F$874,'30 days CF Table(Ccy)'!$C$2),2)</f>
        <v>0</v>
      </c>
      <c r="N22" s="337">
        <f>ROUND(SUMIFS(BS_RE33!$H$7:$H$874,BS_RE33!$S$7:$S$874,$N$2,BS_RE33!$N$7:$N$874,I22,BS_RE33!$P$7:$P$874,'30 days CF Table(Ccy)'!G22,BS_RE33!$F$7:$F$874,'30 days CF Table(Ccy)'!$C$2),2)</f>
        <v>0</v>
      </c>
      <c r="O22" s="337">
        <f>ROUND(SUMIFS(BS_RE33!$H$7:$H$874,BS_RE33!$S$7:$S$874,$O$2,BS_RE33!$N$7:$N$874,I22,BS_RE33!$P$7:$P$874,'30 days CF Table(Ccy)'!G22,BS_RE33!$F$7:$F$874,'30 days CF Table(Ccy)'!$C$2),2)</f>
        <v>0</v>
      </c>
      <c r="P22" s="337">
        <f>ROUND(SUMIFS(BS_RE33!$H$7:$H$874,BS_RE33!$S$7:$S$874,$P$2,BS_RE33!$N$7:$N$874,I22,BS_RE33!$P$7:$P$874,'30 days CF Table(Ccy)'!G22,BS_RE33!$F$7:$F$874,'30 days CF Table(Ccy)'!$C$2),2)</f>
        <v>0</v>
      </c>
      <c r="Q22" s="337">
        <f>ROUND(SUMIFS(BS_RE33!$H$7:$H$874,BS_RE33!$S$7:$S$874,$Q$2,BS_RE33!$N$7:$N$874,I22,BS_RE33!$P$7:$P$874,'30 days CF Table(Ccy)'!G22,BS_RE33!$F$7:$F$874,'30 days CF Table(Ccy)'!$C$2),2)</f>
        <v>0</v>
      </c>
      <c r="R22" s="337">
        <f>ROUND(SUMIFS(BS_RE33!$H$7:$H$874,BS_RE33!$S$7:$S$874,$R$2,BS_RE33!$N$7:$N$874,I22,BS_RE33!$P$7:$P$874,'30 days CF Table(Ccy)'!G22,BS_RE33!$F$7:$F$874,'30 days CF Table(Ccy)'!$C$2),2)</f>
        <v>0</v>
      </c>
      <c r="S22" s="337">
        <f>ROUND(SUMIFS(BS_RE33!$H$7:$H$874,BS_RE33!$S$7:$S$874,$S$2,BS_RE33!$N$7:$N$874,I22,BS_RE33!$P$7:$P$874,'30 days CF Table(Ccy)'!G22,BS_RE33!$F$7:$F$874,'30 days CF Table(Ccy)'!$C$2),2)</f>
        <v>0</v>
      </c>
      <c r="T22" s="337">
        <f>ROUND(SUMIFS(BS_RE33!$H$7:$H$874,BS_RE33!$S$7:$S$874,$T$2,BS_RE33!$N$7:$N$874,I22,BS_RE33!$P$7:$P$874,'30 days CF Table(Ccy)'!G22,BS_RE33!$F$7:$F$874,'30 days CF Table(Ccy)'!$C$2),2)</f>
        <v>0</v>
      </c>
      <c r="U22" s="337">
        <f>ROUND(SUMIFS(BS_RE33!$H$7:$H$874,BS_RE33!$S$7:$S$874,$U$2,BS_RE33!$N$7:$N$874,I22,BS_RE33!$P$7:$P$874,'30 days CF Table(Ccy)'!G22,BS_RE33!$F$7:$F$874,'30 days CF Table(Ccy)'!$C$2),2)</f>
        <v>0</v>
      </c>
      <c r="V22" s="337">
        <f>ROUND(SUMIFS(BS_RE33!$H$7:$H$874,BS_RE33!$S$7:$S$874,$V$2,BS_RE33!$N$7:$N$874,I22,BS_RE33!$P$7:$P$874,'30 days CF Table(Ccy)'!G22,BS_RE33!$F$7:$F$874,'30 days CF Table(Ccy)'!$C$2),2)</f>
        <v>0</v>
      </c>
      <c r="W22" s="337">
        <f>ROUND(SUMIFS(BS_RE33!$H$7:$H$874,BS_RE33!$S$7:$S$874,$W$2,BS_RE33!$N$7:$N$874,I22,BS_RE33!$P$7:$P$874,'30 days CF Table(Ccy)'!G22,BS_RE33!$F$7:$F$874,'30 days CF Table(Ccy)'!$C$2),2)</f>
        <v>0</v>
      </c>
      <c r="X22" s="337">
        <f>ROUND(SUMIFS(BS_RE33!$H$7:$H$874,BS_RE33!$S$7:$S$874,$X$2,BS_RE33!$N$7:$N$874,I22,BS_RE33!$P$7:$P$874,'30 days CF Table(Ccy)'!G22,BS_RE33!$F$7:$F$874,'30 days CF Table(Ccy)'!$C$2),2)</f>
        <v>0</v>
      </c>
      <c r="Y22" s="337">
        <f>ROUND(SUMIFS(BS_RE33!$H$7:$H$874,BS_RE33!$S$7:$S$874,$Y$2,BS_RE33!$N$7:$N$874,I22,BS_RE33!$P$7:$P$874,'30 days CF Table(Ccy)'!G22,BS_RE33!$F$7:$F$874,'30 days CF Table(Ccy)'!$C$2),2)</f>
        <v>0</v>
      </c>
      <c r="Z22" s="337">
        <f>ROUND(SUMIFS(BS_RE33!$H$7:$H$874,BS_RE33!$S$7:$S$874,$Z$2,BS_RE33!$N$7:$N$874,I22,BS_RE33!$P$7:$P$874,'30 days CF Table(Ccy)'!G22,BS_RE33!$F$7:$F$874,'30 days CF Table(Ccy)'!$C$2),2)</f>
        <v>0</v>
      </c>
      <c r="AA22" s="337">
        <f>ROUND(SUMIFS(BS_RE33!$H$7:$H$874,BS_RE33!$S$7:$S$874,$AA$2,BS_RE33!$N$7:$N$874,I22,BS_RE33!$P$7:$P$874,'30 days CF Table(Ccy)'!G22,BS_RE33!$F$7:$F$874,'30 days CF Table(Ccy)'!$C$2),2)</f>
        <v>0</v>
      </c>
      <c r="AB22" s="337">
        <f>ROUND(SUMIFS(BS_RE33!$H$7:$H$874,BS_RE33!$S$7:$S$874,$AB$2,BS_RE33!$N$7:$N$874,I22,BS_RE33!$P$7:$P$874,'30 days CF Table(Ccy)'!G22,BS_RE33!$F$7:$F$874,'30 days CF Table(Ccy)'!$C$2),2)</f>
        <v>0</v>
      </c>
      <c r="AC22" s="337">
        <f>ROUND(SUMIFS(BS_RE33!$H$7:$H$874,BS_RE33!$S$7:$S$874,$AC$2,BS_RE33!$N$7:$N$874,I22,BS_RE33!$P$7:$P$874,'30 days CF Table(Ccy)'!G22,BS_RE33!$F$7:$F$874,'30 days CF Table(Ccy)'!$C$2),2)</f>
        <v>0</v>
      </c>
      <c r="AD22" s="337">
        <f>ROUND(SUMIFS(BS_RE33!$H$7:$H$874,BS_RE33!$S$7:$S$874,$AD$2,BS_RE33!$N$7:$N$874,I22,BS_RE33!$P$7:$P$874,'30 days CF Table(Ccy)'!G22,BS_RE33!$F$7:$F$874,'30 days CF Table(Ccy)'!$C$2),2)</f>
        <v>0</v>
      </c>
      <c r="AE22" s="337">
        <f>ROUND(SUMIFS(BS_RE33!$H$7:$H$874,BS_RE33!$S$7:$S$874,$AE$2,BS_RE33!$N$7:$N$874,I22,BS_RE33!$P$7:$P$874,'30 days CF Table(Ccy)'!G22,BS_RE33!$F$7:$F$874,'30 days CF Table(Ccy)'!$C$2),2)</f>
        <v>0</v>
      </c>
      <c r="AF22" s="337">
        <f>ROUND(SUMIFS(BS_RE33!$H$7:$H$874,BS_RE33!$S$7:$S$874,$AF$2,BS_RE33!$N$7:$N$874,I22,BS_RE33!$P$7:$P$874,'30 days CF Table(Ccy)'!G22,BS_RE33!$F$7:$F$874,'30 days CF Table(Ccy)'!$C$2),2)</f>
        <v>0</v>
      </c>
      <c r="AG22" s="337">
        <f>ROUND(SUMIFS(BS_RE33!$H$7:$H$874,BS_RE33!$S$7:$S$874,$AG$2,BS_RE33!$N$7:$N$874,I22,BS_RE33!$P$7:$P$874,'30 days CF Table(Ccy)'!G22,BS_RE33!$F$7:$F$874,'30 days CF Table(Ccy)'!$C$2),2)</f>
        <v>0</v>
      </c>
      <c r="AH22" s="337">
        <f>ROUND(SUMIFS(BS_RE33!$H$7:$H$874,BS_RE33!$S$7:$S$874,$AH$2,BS_RE33!$N$7:$N$874,I22,BS_RE33!$P$7:$P$874,'30 days CF Table(Ccy)'!G22,BS_RE33!$F$7:$F$874,'30 days CF Table(Ccy)'!$C$2),2)</f>
        <v>0</v>
      </c>
      <c r="AI22" s="337">
        <f>ROUND(SUMIFS(BS_RE33!$H$7:$H$874,BS_RE33!$S$7:$S$874,$AI$2,BS_RE33!$N$7:$N$874,I22,BS_RE33!$P$7:$P$874,'30 days CF Table(Ccy)'!G22,BS_RE33!$F$7:$F$874,'30 days CF Table(Ccy)'!$C$2),2)</f>
        <v>0</v>
      </c>
      <c r="AJ22" s="337">
        <f>ROUND(SUMIFS(BS_RE33!$H$7:$H$874,BS_RE33!$S$7:$S$874,$AJ$2,BS_RE33!$N$7:$N$874,I22,BS_RE33!$P$7:$P$874,'30 days CF Table(Ccy)'!G22,BS_RE33!$F$7:$F$874,'30 days CF Table(Ccy)'!$C$2),2)</f>
        <v>0</v>
      </c>
      <c r="AK22" s="337">
        <f>ROUND(SUMIFS(BS_RE33!$H$7:$H$874,BS_RE33!$S$7:$S$874,$AK$2,BS_RE33!$N$7:$N$874,I22,BS_RE33!$P$7:$P$874,'30 days CF Table(Ccy)'!G22,BS_RE33!$F$7:$F$874,'30 days CF Table(Ccy)'!$C$2),2)</f>
        <v>0</v>
      </c>
      <c r="AL22" s="337">
        <f>ROUND(SUMIFS(BS_RE33!$H$7:$H$874,BS_RE33!$S$7:$S$874,$AL$2,BS_RE33!$N$7:$N$874,I22,BS_RE33!$P$7:$P$874,'30 days CF Table(Ccy)'!G22,BS_RE33!$F$7:$F$874,'30 days CF Table(Ccy)'!$C$2),2)</f>
        <v>0</v>
      </c>
      <c r="AM22" s="337">
        <f>ROUND(SUMIFS(BS_RE33!$H$7:$H$874,BS_RE33!$S$7:$S$874,$AM$2,BS_RE33!$N$7:$N$874,I22,BS_RE33!$P$7:$P$874,'30 days CF Table(Ccy)'!G22,BS_RE33!$F$7:$F$874,'30 days CF Table(Ccy)'!$C$2),2)</f>
        <v>0</v>
      </c>
      <c r="AN22" s="337">
        <f>ROUND(SUMIFS(BS_RE33!$H$7:$H$874,BS_RE33!$S$7:$S$874,$AN$2,BS_RE33!$N$7:$N$874,I22,BS_RE33!$P$7:$P$874,'30 days CF Table(Ccy)'!G22,BS_RE33!$F$7:$F$874,'30 days CF Table(Ccy)'!$C$2),2)</f>
        <v>0</v>
      </c>
      <c r="AO22" s="337">
        <f>ROUND(SUMIFS(BS_RE33!$H$7:$H$874,BS_RE33!$S$7:$S$874,$AO$2,BS_RE33!$N$7:$N$874,I22,BS_RE33!$P$7:$P$874,'30 days CF Table(Ccy)'!G22,BS_RE33!$F$7:$F$874,'30 days CF Table(Ccy)'!$C$2),2)</f>
        <v>0</v>
      </c>
      <c r="AP22" s="338">
        <f>ROUND(SUMIFS(BS_RE33!$H$7:$H$874,BS_RE33!$S$7:$S$874,$AP$2,BS_RE33!$N$7:$N$874,I22,BS_RE33!$P$7:$P$874,'30 days CF Table(Ccy)'!G22,BS_RE33!$F$7:$F$874,'30 days CF Table(Ccy)'!$C$2),2)</f>
        <v>0</v>
      </c>
      <c r="AQ22" s="545"/>
      <c r="AR22" s="379">
        <f>ROUND(SUMIFS(BS_RE33!$H$7:$H$874,BS_RE33!$S$7:$S$874,$AR$2,BS_RE33!$N$7:$N$874,I22,BS_RE33!$P$7:$P$874,'30 days CF Table(Ccy)'!G22,BS_RE33!$F$7:$F$874,'30 days CF Table(Ccy)'!$C$2),2)</f>
        <v>0</v>
      </c>
      <c r="AS22" s="379">
        <f>ROUND(SUMIFS(BS_RE33!$H$7:$H$874,BS_RE33!$S$7:$S$874,$AS$2,BS_RE33!$N$7:$N$874,I22,BS_RE33!$P$7:$P$874,'30 days CF Table(Ccy)'!G22,BS_RE33!$F$7:$F$874,'30 days CF Table(Ccy)'!$C$2),2)</f>
        <v>0</v>
      </c>
      <c r="AT22" s="379">
        <f>ROUND(SUMIFS(BS_RE33!$H$7:$H$874,BS_RE33!$S$7:$S$874,$AT$2,BS_RE33!$N$7:$N$874,I22,BS_RE33!$P$7:$P$874,'30 days CF Table(Ccy)'!G22,BS_RE33!$F$7:$F$874,'30 days CF Table(Ccy)'!$C$2),2)</f>
        <v>0</v>
      </c>
      <c r="AU22" s="379">
        <f>ROUND(SUMIFS(BS_RE33!$H$7:$H$874,BS_RE33!$S$7:$S$874,$AU$2,BS_RE33!$N$7:$N$874,I22,BS_RE33!$P$7:$P$874,'30 days CF Table(Ccy)'!G22,BS_RE33!$F$7:$F$874,'30 days CF Table(Ccy)'!$C$2),2)</f>
        <v>0</v>
      </c>
      <c r="AV22" s="379">
        <f>ROUND(SUMIFS(BS_RE33!$H$7:$H$874,BS_RE33!$S$7:$S$874,$AV$2,BS_RE33!$N$7:$N$874,I22,BS_RE33!$P$7:$P$874,'30 days CF Table(Ccy)'!G22,BS_RE33!$F$7:$F$874,'30 days CF Table(Ccy)'!$C$2),2)</f>
        <v>0</v>
      </c>
      <c r="AW22" s="379">
        <f>ROUND(SUMIFS(BS_RE33!$H$7:$H$874,BS_RE33!$S$7:$S$874,$AW$2,BS_RE33!$N$7:$N$874,I22,BS_RE33!$P$7:$P$874,'30 days CF Table(Ccy)'!G22,BS_RE33!$F$7:$F$874,'30 days CF Table(Ccy)'!$C$2),2)</f>
        <v>0</v>
      </c>
      <c r="AX22" s="379">
        <f>ROUND(SUMIFS(BS_RE33!$H$7:$H$874,BS_RE33!$S$7:$S$874,$AX$2,BS_RE33!$N$7:$N$874,I22,BS_RE33!$P$7:$P$874,'30 days CF Table(Ccy)'!G22,BS_RE33!$F$7:$F$874,'30 days CF Table(Ccy)'!$C$2),2)</f>
        <v>0</v>
      </c>
      <c r="AY22" s="379">
        <f>ROUND(SUMIFS(BS_RE33!$H$7:$H$874,BS_RE33!$S$7:$S$874,$AY$2,BS_RE33!$N$7:$N$874,I22,BS_RE33!$P$7:$P$874,'30 days CF Table(Ccy)'!G22,BS_RE33!$F$7:$F$874,'30 days CF Table(Ccy)'!$C$2),2)</f>
        <v>0</v>
      </c>
      <c r="AZ22" s="379">
        <f>ROUND(SUMIFS(BS_RE33!$H$7:$H$874,BS_RE33!$S$7:$S$874,$AZ$2,BS_RE33!$N$7:$N$874,I22,BS_RE33!$P$7:$P$874,'30 days CF Table(Ccy)'!G22,BS_RE33!$F$7:$F$874,'30 days CF Table(Ccy)'!$C$2),2)</f>
        <v>0</v>
      </c>
      <c r="BA22" s="379">
        <f>ROUND(SUMIFS(BS_RE33!$H$7:$H$874,BS_RE33!$S$7:$S$874,$BA$2,BS_RE33!$N$7:$N$874,I22,BS_RE33!$P$7:$P$874,'30 days CF Table(Ccy)'!G22,BS_RE33!$F$7:$F$874,'30 days CF Table(Ccy)'!$C$2),2)</f>
        <v>0</v>
      </c>
      <c r="BB22" s="379">
        <f>ROUND(SUMIFS(BS_RE33!$H$7:$H$874,BS_RE33!$S$7:$S$874,$BB$2,BS_RE33!$N$7:$N$874,I22,BS_RE33!$P$7:$P$874,'30 days CF Table(Ccy)'!G22,BS_RE33!$F$7:$F$874,'30 days CF Table(Ccy)'!$C$2),2)</f>
        <v>0</v>
      </c>
      <c r="BC22" s="379">
        <f>ROUND(SUMIFS(BS_RE33!$H$7:$H$874,BS_RE33!$S$7:$S$874,$BC$2,BS_RE33!$N$7:$N$874,I22,BS_RE33!$P$7:$P$874,'30 days CF Table(Ccy)'!G22,BS_RE33!$F$7:$F$874,'30 days CF Table(Ccy)'!$C$2),2)</f>
        <v>0</v>
      </c>
      <c r="BD22" s="379">
        <f>ROUND(SUMIFS(BS_RE33!$H$7:$H$874,BS_RE33!$S$7:$S$874,$BD$2,BS_RE33!$N$7:$N$874,I22,BS_RE33!$P$7:$P$874,'30 days CF Table(Ccy)'!G22,BS_RE33!$F$7:$F$874,'30 days CF Table(Ccy)'!$C$2),2)</f>
        <v>0</v>
      </c>
      <c r="BE22" s="379">
        <f>ROUND(SUMIFS(BS_RE33!$H$7:$H$874,BS_RE33!$S$7:$S$874,$BE$2,BS_RE33!$N$7:$N$874,I22,BS_RE33!$P$7:$P$874,'30 days CF Table(Ccy)'!G22,BS_RE33!$F$7:$F$874,'30 days CF Table(Ccy)'!$C$2),2)</f>
        <v>0</v>
      </c>
      <c r="BF22" s="379">
        <f>ROUND(SUMIFS(BS_RE33!$H$7:$H$874,BS_RE33!$S$7:$S$874,$BF$2,BS_RE33!$N$7:$N$874,I22,BS_RE33!$P$7:$P$874,'30 days CF Table(Ccy)'!G22,BS_RE33!$F$7:$F$874,'30 days CF Table(Ccy)'!$C$2),2)</f>
        <v>0</v>
      </c>
      <c r="BG22" s="379">
        <f>ROUND(SUMIFS(BS_RE33!$H$7:$H$874,BS_RE33!$S$7:$S$874,$BG$2,BS_RE33!$N$7:$N$874,I22,BS_RE33!$P$7:$P$874,'30 days CF Table(Ccy)'!G22,BS_RE33!$F$7:$F$874,'30 days CF Table(Ccy)'!$C$2),2)</f>
        <v>0</v>
      </c>
      <c r="BH22" s="379">
        <f>ROUND(SUMIFS(BS_RE33!$H$7:$H$874,BS_RE33!$S$7:$S$874,$BH$2,BS_RE33!$N$7:$N$874,I22,BS_RE33!$P$7:$P$874,'30 days CF Table(Ccy)'!G22,BS_RE33!$F$7:$F$874,'30 days CF Table(Ccy)'!$C$2),2)</f>
        <v>0</v>
      </c>
      <c r="BI22" s="379">
        <f>ROUND(SUMIFS(BS_RE33!$H$7:$H$874,BS_RE33!$S$7:$S$874,$BI$2,BS_RE33!$N$7:$N$874,I22,BS_RE33!$P$7:$P$874,'30 days CF Table(Ccy)'!G22,BS_RE33!$F$7:$F$874,'30 days CF Table(Ccy)'!$C$2),2)</f>
        <v>0</v>
      </c>
      <c r="BJ22" s="379">
        <f>ROUND(SUMIFS(BS_RE33!$H$7:$H$874,BS_RE33!$S$7:$S$874,$BJ$2,BS_RE33!$N$7:$N$874,I22,BS_RE33!$P$7:$P$874,'30 days CF Table(Ccy)'!G22,BS_RE33!$F$7:$F$874,'30 days CF Table(Ccy)'!$C$2),2)</f>
        <v>0</v>
      </c>
      <c r="BK22" s="379">
        <f>ROUND(SUMIFS(BS_RE33!$H$7:$H$874,BS_RE33!$S$7:$S$874,$BK$2,BS_RE33!$N$7:$N$874,I22,BS_RE33!$P$7:$P$874,'30 days CF Table(Ccy)'!G22,BS_RE33!$F$7:$F$874,'30 days CF Table(Ccy)'!$C$2),2)</f>
        <v>0</v>
      </c>
    </row>
    <row r="23" spans="1:63">
      <c r="C23" s="1027"/>
      <c r="D23" s="1028" t="s">
        <v>750</v>
      </c>
      <c r="E23" s="310" t="s">
        <v>76</v>
      </c>
      <c r="F23" s="309"/>
      <c r="G23" s="392" t="s">
        <v>510</v>
      </c>
      <c r="H23" s="130">
        <v>0</v>
      </c>
      <c r="I23" s="305" t="s">
        <v>63</v>
      </c>
      <c r="J23" s="477">
        <f t="shared" si="2"/>
        <v>0</v>
      </c>
      <c r="K23" s="335">
        <f t="shared" si="3"/>
        <v>0</v>
      </c>
      <c r="L23" s="337">
        <f>ROUND(SUMIFS(BS_RE33!$H$7:$H$874,BS_RE33!$S$7:$S$874,$L$2,BS_RE33!$N$7:$N$874,I23,BS_RE33!$P$7:$P$874,'30 days CF Table(Ccy)'!G23,BS_RE33!$F$7:$F$874,'30 days CF Table(Ccy)'!$C$2),2)</f>
        <v>0</v>
      </c>
      <c r="M23" s="337">
        <f>ROUND(SUMIFS(BS_RE33!$H$7:$H$874,BS_RE33!$S$7:$S$874,$M$2,BS_RE33!$N$7:$N$874,I23,BS_RE33!$P$7:$P$874,'30 days CF Table(Ccy)'!G23,BS_RE33!$F$7:$F$874,'30 days CF Table(Ccy)'!$C$2),2)</f>
        <v>0</v>
      </c>
      <c r="N23" s="337">
        <f>ROUND(SUMIFS(BS_RE33!$H$7:$H$874,BS_RE33!$S$7:$S$874,$N$2,BS_RE33!$N$7:$N$874,I23,BS_RE33!$P$7:$P$874,'30 days CF Table(Ccy)'!G23,BS_RE33!$F$7:$F$874,'30 days CF Table(Ccy)'!$C$2),2)</f>
        <v>0</v>
      </c>
      <c r="O23" s="337">
        <f>ROUND(SUMIFS(BS_RE33!$H$7:$H$874,BS_RE33!$S$7:$S$874,$O$2,BS_RE33!$N$7:$N$874,I23,BS_RE33!$P$7:$P$874,'30 days CF Table(Ccy)'!G23,BS_RE33!$F$7:$F$874,'30 days CF Table(Ccy)'!$C$2),2)</f>
        <v>0</v>
      </c>
      <c r="P23" s="337">
        <f>ROUND(SUMIFS(BS_RE33!$H$7:$H$874,BS_RE33!$S$7:$S$874,$P$2,BS_RE33!$N$7:$N$874,I23,BS_RE33!$P$7:$P$874,'30 days CF Table(Ccy)'!G23,BS_RE33!$F$7:$F$874,'30 days CF Table(Ccy)'!$C$2),2)</f>
        <v>0</v>
      </c>
      <c r="Q23" s="337">
        <f>ROUND(SUMIFS(BS_RE33!$H$7:$H$874,BS_RE33!$S$7:$S$874,$Q$2,BS_RE33!$N$7:$N$874,I23,BS_RE33!$P$7:$P$874,'30 days CF Table(Ccy)'!G23,BS_RE33!$F$7:$F$874,'30 days CF Table(Ccy)'!$C$2),2)</f>
        <v>0</v>
      </c>
      <c r="R23" s="337">
        <f>ROUND(SUMIFS(BS_RE33!$H$7:$H$874,BS_RE33!$S$7:$S$874,$R$2,BS_RE33!$N$7:$N$874,I23,BS_RE33!$P$7:$P$874,'30 days CF Table(Ccy)'!G23,BS_RE33!$F$7:$F$874,'30 days CF Table(Ccy)'!$C$2),2)</f>
        <v>0</v>
      </c>
      <c r="S23" s="337">
        <f>ROUND(SUMIFS(BS_RE33!$H$7:$H$874,BS_RE33!$S$7:$S$874,$S$2,BS_RE33!$N$7:$N$874,I23,BS_RE33!$P$7:$P$874,'30 days CF Table(Ccy)'!G23,BS_RE33!$F$7:$F$874,'30 days CF Table(Ccy)'!$C$2),2)</f>
        <v>0</v>
      </c>
      <c r="T23" s="337">
        <f>ROUND(SUMIFS(BS_RE33!$H$7:$H$874,BS_RE33!$S$7:$S$874,$T$2,BS_RE33!$N$7:$N$874,I23,BS_RE33!$P$7:$P$874,'30 days CF Table(Ccy)'!G23,BS_RE33!$F$7:$F$874,'30 days CF Table(Ccy)'!$C$2),2)</f>
        <v>0</v>
      </c>
      <c r="U23" s="337">
        <f>ROUND(SUMIFS(BS_RE33!$H$7:$H$874,BS_RE33!$S$7:$S$874,$U$2,BS_RE33!$N$7:$N$874,I23,BS_RE33!$P$7:$P$874,'30 days CF Table(Ccy)'!G23,BS_RE33!$F$7:$F$874,'30 days CF Table(Ccy)'!$C$2),2)</f>
        <v>0</v>
      </c>
      <c r="V23" s="337">
        <f>ROUND(SUMIFS(BS_RE33!$H$7:$H$874,BS_RE33!$S$7:$S$874,$V$2,BS_RE33!$N$7:$N$874,I23,BS_RE33!$P$7:$P$874,'30 days CF Table(Ccy)'!G23,BS_RE33!$F$7:$F$874,'30 days CF Table(Ccy)'!$C$2),2)</f>
        <v>0</v>
      </c>
      <c r="W23" s="337">
        <f>ROUND(SUMIFS(BS_RE33!$H$7:$H$874,BS_RE33!$S$7:$S$874,$W$2,BS_RE33!$N$7:$N$874,I23,BS_RE33!$P$7:$P$874,'30 days CF Table(Ccy)'!G23,BS_RE33!$F$7:$F$874,'30 days CF Table(Ccy)'!$C$2),2)</f>
        <v>0</v>
      </c>
      <c r="X23" s="337">
        <f>ROUND(SUMIFS(BS_RE33!$H$7:$H$874,BS_RE33!$S$7:$S$874,$X$2,BS_RE33!$N$7:$N$874,I23,BS_RE33!$P$7:$P$874,'30 days CF Table(Ccy)'!G23,BS_RE33!$F$7:$F$874,'30 days CF Table(Ccy)'!$C$2),2)</f>
        <v>0</v>
      </c>
      <c r="Y23" s="337">
        <f>ROUND(SUMIFS(BS_RE33!$H$7:$H$874,BS_RE33!$S$7:$S$874,$Y$2,BS_RE33!$N$7:$N$874,I23,BS_RE33!$P$7:$P$874,'30 days CF Table(Ccy)'!G23,BS_RE33!$F$7:$F$874,'30 days CF Table(Ccy)'!$C$2),2)</f>
        <v>0</v>
      </c>
      <c r="Z23" s="337">
        <f>ROUND(SUMIFS(BS_RE33!$H$7:$H$874,BS_RE33!$S$7:$S$874,$Z$2,BS_RE33!$N$7:$N$874,I23,BS_RE33!$P$7:$P$874,'30 days CF Table(Ccy)'!G23,BS_RE33!$F$7:$F$874,'30 days CF Table(Ccy)'!$C$2),2)</f>
        <v>0</v>
      </c>
      <c r="AA23" s="337">
        <f>ROUND(SUMIFS(BS_RE33!$H$7:$H$874,BS_RE33!$S$7:$S$874,$AA$2,BS_RE33!$N$7:$N$874,I23,BS_RE33!$P$7:$P$874,'30 days CF Table(Ccy)'!G23,BS_RE33!$F$7:$F$874,'30 days CF Table(Ccy)'!$C$2),2)</f>
        <v>0</v>
      </c>
      <c r="AB23" s="337">
        <f>ROUND(SUMIFS(BS_RE33!$H$7:$H$874,BS_RE33!$S$7:$S$874,$AB$2,BS_RE33!$N$7:$N$874,I23,BS_RE33!$P$7:$P$874,'30 days CF Table(Ccy)'!G23,BS_RE33!$F$7:$F$874,'30 days CF Table(Ccy)'!$C$2),2)</f>
        <v>0</v>
      </c>
      <c r="AC23" s="337">
        <f>ROUND(SUMIFS(BS_RE33!$H$7:$H$874,BS_RE33!$S$7:$S$874,$AC$2,BS_RE33!$N$7:$N$874,I23,BS_RE33!$P$7:$P$874,'30 days CF Table(Ccy)'!G23,BS_RE33!$F$7:$F$874,'30 days CF Table(Ccy)'!$C$2),2)</f>
        <v>0</v>
      </c>
      <c r="AD23" s="337">
        <f>ROUND(SUMIFS(BS_RE33!$H$7:$H$874,BS_RE33!$S$7:$S$874,$AD$2,BS_RE33!$N$7:$N$874,I23,BS_RE33!$P$7:$P$874,'30 days CF Table(Ccy)'!G23,BS_RE33!$F$7:$F$874,'30 days CF Table(Ccy)'!$C$2),2)</f>
        <v>0</v>
      </c>
      <c r="AE23" s="337">
        <f>ROUND(SUMIFS(BS_RE33!$H$7:$H$874,BS_RE33!$S$7:$S$874,$AE$2,BS_RE33!$N$7:$N$874,I23,BS_RE33!$P$7:$P$874,'30 days CF Table(Ccy)'!G23,BS_RE33!$F$7:$F$874,'30 days CF Table(Ccy)'!$C$2),2)</f>
        <v>0</v>
      </c>
      <c r="AF23" s="337">
        <f>ROUND(SUMIFS(BS_RE33!$H$7:$H$874,BS_RE33!$S$7:$S$874,$AF$2,BS_RE33!$N$7:$N$874,I23,BS_RE33!$P$7:$P$874,'30 days CF Table(Ccy)'!G23,BS_RE33!$F$7:$F$874,'30 days CF Table(Ccy)'!$C$2),2)</f>
        <v>0</v>
      </c>
      <c r="AG23" s="337">
        <f>ROUND(SUMIFS(BS_RE33!$H$7:$H$874,BS_RE33!$S$7:$S$874,$AG$2,BS_RE33!$N$7:$N$874,I23,BS_RE33!$P$7:$P$874,'30 days CF Table(Ccy)'!G23,BS_RE33!$F$7:$F$874,'30 days CF Table(Ccy)'!$C$2),2)</f>
        <v>0</v>
      </c>
      <c r="AH23" s="337">
        <f>ROUND(SUMIFS(BS_RE33!$H$7:$H$874,BS_RE33!$S$7:$S$874,$AH$2,BS_RE33!$N$7:$N$874,I23,BS_RE33!$P$7:$P$874,'30 days CF Table(Ccy)'!G23,BS_RE33!$F$7:$F$874,'30 days CF Table(Ccy)'!$C$2),2)</f>
        <v>0</v>
      </c>
      <c r="AI23" s="337">
        <f>ROUND(SUMIFS(BS_RE33!$H$7:$H$874,BS_RE33!$S$7:$S$874,$AI$2,BS_RE33!$N$7:$N$874,I23,BS_RE33!$P$7:$P$874,'30 days CF Table(Ccy)'!G23,BS_RE33!$F$7:$F$874,'30 days CF Table(Ccy)'!$C$2),2)</f>
        <v>0</v>
      </c>
      <c r="AJ23" s="337">
        <f>ROUND(SUMIFS(BS_RE33!$H$7:$H$874,BS_RE33!$S$7:$S$874,$AJ$2,BS_RE33!$N$7:$N$874,I23,BS_RE33!$P$7:$P$874,'30 days CF Table(Ccy)'!G23,BS_RE33!$F$7:$F$874,'30 days CF Table(Ccy)'!$C$2),2)</f>
        <v>0</v>
      </c>
      <c r="AK23" s="337">
        <f>ROUND(SUMIFS(BS_RE33!$H$7:$H$874,BS_RE33!$S$7:$S$874,$AK$2,BS_RE33!$N$7:$N$874,I23,BS_RE33!$P$7:$P$874,'30 days CF Table(Ccy)'!G23,BS_RE33!$F$7:$F$874,'30 days CF Table(Ccy)'!$C$2),2)</f>
        <v>0</v>
      </c>
      <c r="AL23" s="337">
        <f>ROUND(SUMIFS(BS_RE33!$H$7:$H$874,BS_RE33!$S$7:$S$874,$AL$2,BS_RE33!$N$7:$N$874,I23,BS_RE33!$P$7:$P$874,'30 days CF Table(Ccy)'!G23,BS_RE33!$F$7:$F$874,'30 days CF Table(Ccy)'!$C$2),2)</f>
        <v>0</v>
      </c>
      <c r="AM23" s="337">
        <f>ROUND(SUMIFS(BS_RE33!$H$7:$H$874,BS_RE33!$S$7:$S$874,$AM$2,BS_RE33!$N$7:$N$874,I23,BS_RE33!$P$7:$P$874,'30 days CF Table(Ccy)'!G23,BS_RE33!$F$7:$F$874,'30 days CF Table(Ccy)'!$C$2),2)</f>
        <v>0</v>
      </c>
      <c r="AN23" s="337">
        <f>ROUND(SUMIFS(BS_RE33!$H$7:$H$874,BS_RE33!$S$7:$S$874,$AN$2,BS_RE33!$N$7:$N$874,I23,BS_RE33!$P$7:$P$874,'30 days CF Table(Ccy)'!G23,BS_RE33!$F$7:$F$874,'30 days CF Table(Ccy)'!$C$2),2)</f>
        <v>0</v>
      </c>
      <c r="AO23" s="337">
        <f>ROUND(SUMIFS(BS_RE33!$H$7:$H$874,BS_RE33!$S$7:$S$874,$AO$2,BS_RE33!$N$7:$N$874,I23,BS_RE33!$P$7:$P$874,'30 days CF Table(Ccy)'!G23,BS_RE33!$F$7:$F$874,'30 days CF Table(Ccy)'!$C$2),2)</f>
        <v>0</v>
      </c>
      <c r="AP23" s="338">
        <f>ROUND(SUMIFS(BS_RE33!$H$7:$H$874,BS_RE33!$S$7:$S$874,$AP$2,BS_RE33!$N$7:$N$874,I23,BS_RE33!$P$7:$P$874,'30 days CF Table(Ccy)'!G23,BS_RE33!$F$7:$F$874,'30 days CF Table(Ccy)'!$C$2),2)</f>
        <v>0</v>
      </c>
      <c r="AQ23" s="545"/>
      <c r="AR23" s="379">
        <f>ROUND(SUMIFS(BS_RE33!$H$7:$H$874,BS_RE33!$S$7:$S$874,$AR$2,BS_RE33!$N$7:$N$874,I23,BS_RE33!$P$7:$P$874,'30 days CF Table(Ccy)'!G23,BS_RE33!$F$7:$F$874,'30 days CF Table(Ccy)'!$C$2),2)</f>
        <v>0</v>
      </c>
      <c r="AS23" s="379">
        <f>ROUND(SUMIFS(BS_RE33!$H$7:$H$874,BS_RE33!$S$7:$S$874,$AS$2,BS_RE33!$N$7:$N$874,I23,BS_RE33!$P$7:$P$874,'30 days CF Table(Ccy)'!G23,BS_RE33!$F$7:$F$874,'30 days CF Table(Ccy)'!$C$2),2)</f>
        <v>0</v>
      </c>
      <c r="AT23" s="379">
        <f>ROUND(SUMIFS(BS_RE33!$H$7:$H$874,BS_RE33!$S$7:$S$874,$AT$2,BS_RE33!$N$7:$N$874,I23,BS_RE33!$P$7:$P$874,'30 days CF Table(Ccy)'!G23,BS_RE33!$F$7:$F$874,'30 days CF Table(Ccy)'!$C$2),2)</f>
        <v>0</v>
      </c>
      <c r="AU23" s="379">
        <f>ROUND(SUMIFS(BS_RE33!$H$7:$H$874,BS_RE33!$S$7:$S$874,$AU$2,BS_RE33!$N$7:$N$874,I23,BS_RE33!$P$7:$P$874,'30 days CF Table(Ccy)'!G23,BS_RE33!$F$7:$F$874,'30 days CF Table(Ccy)'!$C$2),2)</f>
        <v>0</v>
      </c>
      <c r="AV23" s="379">
        <f>ROUND(SUMIFS(BS_RE33!$H$7:$H$874,BS_RE33!$S$7:$S$874,$AV$2,BS_RE33!$N$7:$N$874,I23,BS_RE33!$P$7:$P$874,'30 days CF Table(Ccy)'!G23,BS_RE33!$F$7:$F$874,'30 days CF Table(Ccy)'!$C$2),2)</f>
        <v>0</v>
      </c>
      <c r="AW23" s="379">
        <f>ROUND(SUMIFS(BS_RE33!$H$7:$H$874,BS_RE33!$S$7:$S$874,$AW$2,BS_RE33!$N$7:$N$874,I23,BS_RE33!$P$7:$P$874,'30 days CF Table(Ccy)'!G23,BS_RE33!$F$7:$F$874,'30 days CF Table(Ccy)'!$C$2),2)</f>
        <v>0</v>
      </c>
      <c r="AX23" s="379">
        <f>ROUND(SUMIFS(BS_RE33!$H$7:$H$874,BS_RE33!$S$7:$S$874,$AX$2,BS_RE33!$N$7:$N$874,I23,BS_RE33!$P$7:$P$874,'30 days CF Table(Ccy)'!G23,BS_RE33!$F$7:$F$874,'30 days CF Table(Ccy)'!$C$2),2)</f>
        <v>0</v>
      </c>
      <c r="AY23" s="379">
        <f>ROUND(SUMIFS(BS_RE33!$H$7:$H$874,BS_RE33!$S$7:$S$874,$AY$2,BS_RE33!$N$7:$N$874,I23,BS_RE33!$P$7:$P$874,'30 days CF Table(Ccy)'!G23,BS_RE33!$F$7:$F$874,'30 days CF Table(Ccy)'!$C$2),2)</f>
        <v>0</v>
      </c>
      <c r="AZ23" s="379">
        <f>ROUND(SUMIFS(BS_RE33!$H$7:$H$874,BS_RE33!$S$7:$S$874,$AZ$2,BS_RE33!$N$7:$N$874,I23,BS_RE33!$P$7:$P$874,'30 days CF Table(Ccy)'!G23,BS_RE33!$F$7:$F$874,'30 days CF Table(Ccy)'!$C$2),2)</f>
        <v>0</v>
      </c>
      <c r="BA23" s="379">
        <f>ROUND(SUMIFS(BS_RE33!$H$7:$H$874,BS_RE33!$S$7:$S$874,$BA$2,BS_RE33!$N$7:$N$874,I23,BS_RE33!$P$7:$P$874,'30 days CF Table(Ccy)'!G23,BS_RE33!$F$7:$F$874,'30 days CF Table(Ccy)'!$C$2),2)</f>
        <v>0</v>
      </c>
      <c r="BB23" s="379">
        <f>ROUND(SUMIFS(BS_RE33!$H$7:$H$874,BS_RE33!$S$7:$S$874,$BB$2,BS_RE33!$N$7:$N$874,I23,BS_RE33!$P$7:$P$874,'30 days CF Table(Ccy)'!G23,BS_RE33!$F$7:$F$874,'30 days CF Table(Ccy)'!$C$2),2)</f>
        <v>0</v>
      </c>
      <c r="BC23" s="379">
        <f>ROUND(SUMIFS(BS_RE33!$H$7:$H$874,BS_RE33!$S$7:$S$874,$BC$2,BS_RE33!$N$7:$N$874,I23,BS_RE33!$P$7:$P$874,'30 days CF Table(Ccy)'!G23,BS_RE33!$F$7:$F$874,'30 days CF Table(Ccy)'!$C$2),2)</f>
        <v>0</v>
      </c>
      <c r="BD23" s="379">
        <f>ROUND(SUMIFS(BS_RE33!$H$7:$H$874,BS_RE33!$S$7:$S$874,$BD$2,BS_RE33!$N$7:$N$874,I23,BS_RE33!$P$7:$P$874,'30 days CF Table(Ccy)'!G23,BS_RE33!$F$7:$F$874,'30 days CF Table(Ccy)'!$C$2),2)</f>
        <v>0</v>
      </c>
      <c r="BE23" s="379">
        <f>ROUND(SUMIFS(BS_RE33!$H$7:$H$874,BS_RE33!$S$7:$S$874,$BE$2,BS_RE33!$N$7:$N$874,I23,BS_RE33!$P$7:$P$874,'30 days CF Table(Ccy)'!G23,BS_RE33!$F$7:$F$874,'30 days CF Table(Ccy)'!$C$2),2)</f>
        <v>0</v>
      </c>
      <c r="BF23" s="379">
        <f>ROUND(SUMIFS(BS_RE33!$H$7:$H$874,BS_RE33!$S$7:$S$874,$BF$2,BS_RE33!$N$7:$N$874,I23,BS_RE33!$P$7:$P$874,'30 days CF Table(Ccy)'!G23,BS_RE33!$F$7:$F$874,'30 days CF Table(Ccy)'!$C$2),2)</f>
        <v>0</v>
      </c>
      <c r="BG23" s="379">
        <f>ROUND(SUMIFS(BS_RE33!$H$7:$H$874,BS_RE33!$S$7:$S$874,$BG$2,BS_RE33!$N$7:$N$874,I23,BS_RE33!$P$7:$P$874,'30 days CF Table(Ccy)'!G23,BS_RE33!$F$7:$F$874,'30 days CF Table(Ccy)'!$C$2),2)</f>
        <v>0</v>
      </c>
      <c r="BH23" s="379">
        <f>ROUND(SUMIFS(BS_RE33!$H$7:$H$874,BS_RE33!$S$7:$S$874,$BH$2,BS_RE33!$N$7:$N$874,I23,BS_RE33!$P$7:$P$874,'30 days CF Table(Ccy)'!G23,BS_RE33!$F$7:$F$874,'30 days CF Table(Ccy)'!$C$2),2)</f>
        <v>0</v>
      </c>
      <c r="BI23" s="379">
        <f>ROUND(SUMIFS(BS_RE33!$H$7:$H$874,BS_RE33!$S$7:$S$874,$BI$2,BS_RE33!$N$7:$N$874,I23,BS_RE33!$P$7:$P$874,'30 days CF Table(Ccy)'!G23,BS_RE33!$F$7:$F$874,'30 days CF Table(Ccy)'!$C$2),2)</f>
        <v>0</v>
      </c>
      <c r="BJ23" s="379">
        <f>ROUND(SUMIFS(BS_RE33!$H$7:$H$874,BS_RE33!$S$7:$S$874,$BJ$2,BS_RE33!$N$7:$N$874,I23,BS_RE33!$P$7:$P$874,'30 days CF Table(Ccy)'!G23,BS_RE33!$F$7:$F$874,'30 days CF Table(Ccy)'!$C$2),2)</f>
        <v>0</v>
      </c>
      <c r="BK23" s="379">
        <f>ROUND(SUMIFS(BS_RE33!$H$7:$H$874,BS_RE33!$S$7:$S$874,$BK$2,BS_RE33!$N$7:$N$874,I23,BS_RE33!$P$7:$P$874,'30 days CF Table(Ccy)'!G23,BS_RE33!$F$7:$F$874,'30 days CF Table(Ccy)'!$C$2),2)</f>
        <v>0</v>
      </c>
    </row>
    <row r="24" spans="1:63">
      <c r="C24" s="1027"/>
      <c r="D24" s="1028"/>
      <c r="E24" s="310" t="s">
        <v>77</v>
      </c>
      <c r="F24" s="311"/>
      <c r="G24" s="392" t="s">
        <v>511</v>
      </c>
      <c r="H24" s="130">
        <v>0</v>
      </c>
      <c r="I24" s="305" t="s">
        <v>63</v>
      </c>
      <c r="J24" s="477">
        <f t="shared" si="2"/>
        <v>0</v>
      </c>
      <c r="K24" s="335">
        <f t="shared" si="3"/>
        <v>0</v>
      </c>
      <c r="L24" s="337">
        <f>ROUND(SUMIFS(BS_RE33!$H$7:$H$874,BS_RE33!$S$7:$S$874,$L$2,BS_RE33!$N$7:$N$874,I24,BS_RE33!$P$7:$P$874,'30 days CF Table(Ccy)'!G24,BS_RE33!$F$7:$F$874,'30 days CF Table(Ccy)'!$C$2),2)</f>
        <v>0</v>
      </c>
      <c r="M24" s="337">
        <f>ROUND(SUMIFS(BS_RE33!$H$7:$H$874,BS_RE33!$S$7:$S$874,$M$2,BS_RE33!$N$7:$N$874,I24,BS_RE33!$P$7:$P$874,'30 days CF Table(Ccy)'!G24,BS_RE33!$F$7:$F$874,'30 days CF Table(Ccy)'!$C$2),2)</f>
        <v>0</v>
      </c>
      <c r="N24" s="337">
        <f>ROUND(SUMIFS(BS_RE33!$H$7:$H$874,BS_RE33!$S$7:$S$874,$N$2,BS_RE33!$N$7:$N$874,I24,BS_RE33!$P$7:$P$874,'30 days CF Table(Ccy)'!G24,BS_RE33!$F$7:$F$874,'30 days CF Table(Ccy)'!$C$2),2)</f>
        <v>0</v>
      </c>
      <c r="O24" s="337">
        <f>ROUND(SUMIFS(BS_RE33!$H$7:$H$874,BS_RE33!$S$7:$S$874,$O$2,BS_RE33!$N$7:$N$874,I24,BS_RE33!$P$7:$P$874,'30 days CF Table(Ccy)'!G24,BS_RE33!$F$7:$F$874,'30 days CF Table(Ccy)'!$C$2),2)</f>
        <v>0</v>
      </c>
      <c r="P24" s="337">
        <f>ROUND(SUMIFS(BS_RE33!$H$7:$H$874,BS_RE33!$S$7:$S$874,$P$2,BS_RE33!$N$7:$N$874,I24,BS_RE33!$P$7:$P$874,'30 days CF Table(Ccy)'!G24,BS_RE33!$F$7:$F$874,'30 days CF Table(Ccy)'!$C$2),2)</f>
        <v>0</v>
      </c>
      <c r="Q24" s="337">
        <f>ROUND(SUMIFS(BS_RE33!$H$7:$H$874,BS_RE33!$S$7:$S$874,$Q$2,BS_RE33!$N$7:$N$874,I24,BS_RE33!$P$7:$P$874,'30 days CF Table(Ccy)'!G24,BS_RE33!$F$7:$F$874,'30 days CF Table(Ccy)'!$C$2),2)</f>
        <v>0</v>
      </c>
      <c r="R24" s="337">
        <f>ROUND(SUMIFS(BS_RE33!$H$7:$H$874,BS_RE33!$S$7:$S$874,$R$2,BS_RE33!$N$7:$N$874,I24,BS_RE33!$P$7:$P$874,'30 days CF Table(Ccy)'!G24,BS_RE33!$F$7:$F$874,'30 days CF Table(Ccy)'!$C$2),2)</f>
        <v>0</v>
      </c>
      <c r="S24" s="337">
        <f>ROUND(SUMIFS(BS_RE33!$H$7:$H$874,BS_RE33!$S$7:$S$874,$S$2,BS_RE33!$N$7:$N$874,I24,BS_RE33!$P$7:$P$874,'30 days CF Table(Ccy)'!G24,BS_RE33!$F$7:$F$874,'30 days CF Table(Ccy)'!$C$2),2)</f>
        <v>0</v>
      </c>
      <c r="T24" s="337">
        <f>ROUND(SUMIFS(BS_RE33!$H$7:$H$874,BS_RE33!$S$7:$S$874,$T$2,BS_RE33!$N$7:$N$874,I24,BS_RE33!$P$7:$P$874,'30 days CF Table(Ccy)'!G24,BS_RE33!$F$7:$F$874,'30 days CF Table(Ccy)'!$C$2),2)</f>
        <v>0</v>
      </c>
      <c r="U24" s="337">
        <f>ROUND(SUMIFS(BS_RE33!$H$7:$H$874,BS_RE33!$S$7:$S$874,$U$2,BS_RE33!$N$7:$N$874,I24,BS_RE33!$P$7:$P$874,'30 days CF Table(Ccy)'!G24,BS_RE33!$F$7:$F$874,'30 days CF Table(Ccy)'!$C$2),2)</f>
        <v>0</v>
      </c>
      <c r="V24" s="337">
        <f>ROUND(SUMIFS(BS_RE33!$H$7:$H$874,BS_RE33!$S$7:$S$874,$V$2,BS_RE33!$N$7:$N$874,I24,BS_RE33!$P$7:$P$874,'30 days CF Table(Ccy)'!G24,BS_RE33!$F$7:$F$874,'30 days CF Table(Ccy)'!$C$2),2)</f>
        <v>0</v>
      </c>
      <c r="W24" s="337">
        <f>ROUND(SUMIFS(BS_RE33!$H$7:$H$874,BS_RE33!$S$7:$S$874,$W$2,BS_RE33!$N$7:$N$874,I24,BS_RE33!$P$7:$P$874,'30 days CF Table(Ccy)'!G24,BS_RE33!$F$7:$F$874,'30 days CF Table(Ccy)'!$C$2),2)</f>
        <v>0</v>
      </c>
      <c r="X24" s="337">
        <f>ROUND(SUMIFS(BS_RE33!$H$7:$H$874,BS_RE33!$S$7:$S$874,$X$2,BS_RE33!$N$7:$N$874,I24,BS_RE33!$P$7:$P$874,'30 days CF Table(Ccy)'!G24,BS_RE33!$F$7:$F$874,'30 days CF Table(Ccy)'!$C$2),2)</f>
        <v>0</v>
      </c>
      <c r="Y24" s="337">
        <f>ROUND(SUMIFS(BS_RE33!$H$7:$H$874,BS_RE33!$S$7:$S$874,$Y$2,BS_RE33!$N$7:$N$874,I24,BS_RE33!$P$7:$P$874,'30 days CF Table(Ccy)'!G24,BS_RE33!$F$7:$F$874,'30 days CF Table(Ccy)'!$C$2),2)</f>
        <v>0</v>
      </c>
      <c r="Z24" s="337">
        <f>ROUND(SUMIFS(BS_RE33!$H$7:$H$874,BS_RE33!$S$7:$S$874,$Z$2,BS_RE33!$N$7:$N$874,I24,BS_RE33!$P$7:$P$874,'30 days CF Table(Ccy)'!G24,BS_RE33!$F$7:$F$874,'30 days CF Table(Ccy)'!$C$2),2)</f>
        <v>0</v>
      </c>
      <c r="AA24" s="337">
        <f>ROUND(SUMIFS(BS_RE33!$H$7:$H$874,BS_RE33!$S$7:$S$874,$AA$2,BS_RE33!$N$7:$N$874,I24,BS_RE33!$P$7:$P$874,'30 days CF Table(Ccy)'!G24,BS_RE33!$F$7:$F$874,'30 days CF Table(Ccy)'!$C$2),2)</f>
        <v>0</v>
      </c>
      <c r="AB24" s="337">
        <f>ROUND(SUMIFS(BS_RE33!$H$7:$H$874,BS_RE33!$S$7:$S$874,$AB$2,BS_RE33!$N$7:$N$874,I24,BS_RE33!$P$7:$P$874,'30 days CF Table(Ccy)'!G24,BS_RE33!$F$7:$F$874,'30 days CF Table(Ccy)'!$C$2),2)</f>
        <v>0</v>
      </c>
      <c r="AC24" s="337">
        <f>ROUND(SUMIFS(BS_RE33!$H$7:$H$874,BS_RE33!$S$7:$S$874,$AC$2,BS_RE33!$N$7:$N$874,I24,BS_RE33!$P$7:$P$874,'30 days CF Table(Ccy)'!G24,BS_RE33!$F$7:$F$874,'30 days CF Table(Ccy)'!$C$2),2)</f>
        <v>0</v>
      </c>
      <c r="AD24" s="337">
        <f>ROUND(SUMIFS(BS_RE33!$H$7:$H$874,BS_RE33!$S$7:$S$874,$AD$2,BS_RE33!$N$7:$N$874,I24,BS_RE33!$P$7:$P$874,'30 days CF Table(Ccy)'!G24,BS_RE33!$F$7:$F$874,'30 days CF Table(Ccy)'!$C$2),2)</f>
        <v>0</v>
      </c>
      <c r="AE24" s="337">
        <f>ROUND(SUMIFS(BS_RE33!$H$7:$H$874,BS_RE33!$S$7:$S$874,$AE$2,BS_RE33!$N$7:$N$874,I24,BS_RE33!$P$7:$P$874,'30 days CF Table(Ccy)'!G24,BS_RE33!$F$7:$F$874,'30 days CF Table(Ccy)'!$C$2),2)</f>
        <v>0</v>
      </c>
      <c r="AF24" s="337">
        <f>ROUND(SUMIFS(BS_RE33!$H$7:$H$874,BS_RE33!$S$7:$S$874,$AF$2,BS_RE33!$N$7:$N$874,I24,BS_RE33!$P$7:$P$874,'30 days CF Table(Ccy)'!G24,BS_RE33!$F$7:$F$874,'30 days CF Table(Ccy)'!$C$2),2)</f>
        <v>0</v>
      </c>
      <c r="AG24" s="337">
        <f>ROUND(SUMIFS(BS_RE33!$H$7:$H$874,BS_RE33!$S$7:$S$874,$AG$2,BS_RE33!$N$7:$N$874,I24,BS_RE33!$P$7:$P$874,'30 days CF Table(Ccy)'!G24,BS_RE33!$F$7:$F$874,'30 days CF Table(Ccy)'!$C$2),2)</f>
        <v>0</v>
      </c>
      <c r="AH24" s="337">
        <f>ROUND(SUMIFS(BS_RE33!$H$7:$H$874,BS_RE33!$S$7:$S$874,$AH$2,BS_RE33!$N$7:$N$874,I24,BS_RE33!$P$7:$P$874,'30 days CF Table(Ccy)'!G24,BS_RE33!$F$7:$F$874,'30 days CF Table(Ccy)'!$C$2),2)</f>
        <v>0</v>
      </c>
      <c r="AI24" s="337">
        <f>ROUND(SUMIFS(BS_RE33!$H$7:$H$874,BS_RE33!$S$7:$S$874,$AI$2,BS_RE33!$N$7:$N$874,I24,BS_RE33!$P$7:$P$874,'30 days CF Table(Ccy)'!G24,BS_RE33!$F$7:$F$874,'30 days CF Table(Ccy)'!$C$2),2)</f>
        <v>0</v>
      </c>
      <c r="AJ24" s="337">
        <f>ROUND(SUMIFS(BS_RE33!$H$7:$H$874,BS_RE33!$S$7:$S$874,$AJ$2,BS_RE33!$N$7:$N$874,I24,BS_RE33!$P$7:$P$874,'30 days CF Table(Ccy)'!G24,BS_RE33!$F$7:$F$874,'30 days CF Table(Ccy)'!$C$2),2)</f>
        <v>0</v>
      </c>
      <c r="AK24" s="337">
        <f>ROUND(SUMIFS(BS_RE33!$H$7:$H$874,BS_RE33!$S$7:$S$874,$AK$2,BS_RE33!$N$7:$N$874,I24,BS_RE33!$P$7:$P$874,'30 days CF Table(Ccy)'!G24,BS_RE33!$F$7:$F$874,'30 days CF Table(Ccy)'!$C$2),2)</f>
        <v>0</v>
      </c>
      <c r="AL24" s="337">
        <f>ROUND(SUMIFS(BS_RE33!$H$7:$H$874,BS_RE33!$S$7:$S$874,$AL$2,BS_RE33!$N$7:$N$874,I24,BS_RE33!$P$7:$P$874,'30 days CF Table(Ccy)'!G24,BS_RE33!$F$7:$F$874,'30 days CF Table(Ccy)'!$C$2),2)</f>
        <v>0</v>
      </c>
      <c r="AM24" s="337">
        <f>ROUND(SUMIFS(BS_RE33!$H$7:$H$874,BS_RE33!$S$7:$S$874,$AM$2,BS_RE33!$N$7:$N$874,I24,BS_RE33!$P$7:$P$874,'30 days CF Table(Ccy)'!G24,BS_RE33!$F$7:$F$874,'30 days CF Table(Ccy)'!$C$2),2)</f>
        <v>0</v>
      </c>
      <c r="AN24" s="337">
        <f>ROUND(SUMIFS(BS_RE33!$H$7:$H$874,BS_RE33!$S$7:$S$874,$AN$2,BS_RE33!$N$7:$N$874,I24,BS_RE33!$P$7:$P$874,'30 days CF Table(Ccy)'!G24,BS_RE33!$F$7:$F$874,'30 days CF Table(Ccy)'!$C$2),2)</f>
        <v>0</v>
      </c>
      <c r="AO24" s="337">
        <f>ROUND(SUMIFS(BS_RE33!$H$7:$H$874,BS_RE33!$S$7:$S$874,$AO$2,BS_RE33!$N$7:$N$874,I24,BS_RE33!$P$7:$P$874,'30 days CF Table(Ccy)'!G24,BS_RE33!$F$7:$F$874,'30 days CF Table(Ccy)'!$C$2),2)</f>
        <v>0</v>
      </c>
      <c r="AP24" s="338">
        <f>ROUND(SUMIFS(BS_RE33!$H$7:$H$874,BS_RE33!$S$7:$S$874,$AP$2,BS_RE33!$N$7:$N$874,I24,BS_RE33!$P$7:$P$874,'30 days CF Table(Ccy)'!G24,BS_RE33!$F$7:$F$874,'30 days CF Table(Ccy)'!$C$2),2)</f>
        <v>0</v>
      </c>
      <c r="AQ24" s="545"/>
      <c r="AR24" s="379">
        <f>ROUND(SUMIFS(BS_RE33!$H$7:$H$874,BS_RE33!$S$7:$S$874,$AR$2,BS_RE33!$N$7:$N$874,I24,BS_RE33!$P$7:$P$874,'30 days CF Table(Ccy)'!G24,BS_RE33!$F$7:$F$874,'30 days CF Table(Ccy)'!$C$2),2)</f>
        <v>0</v>
      </c>
      <c r="AS24" s="379">
        <f>ROUND(SUMIFS(BS_RE33!$H$7:$H$874,BS_RE33!$S$7:$S$874,$AS$2,BS_RE33!$N$7:$N$874,I24,BS_RE33!$P$7:$P$874,'30 days CF Table(Ccy)'!G24,BS_RE33!$F$7:$F$874,'30 days CF Table(Ccy)'!$C$2),2)</f>
        <v>0</v>
      </c>
      <c r="AT24" s="379">
        <f>ROUND(SUMIFS(BS_RE33!$H$7:$H$874,BS_RE33!$S$7:$S$874,$AT$2,BS_RE33!$N$7:$N$874,I24,BS_RE33!$P$7:$P$874,'30 days CF Table(Ccy)'!G24,BS_RE33!$F$7:$F$874,'30 days CF Table(Ccy)'!$C$2),2)</f>
        <v>0</v>
      </c>
      <c r="AU24" s="379">
        <f>ROUND(SUMIFS(BS_RE33!$H$7:$H$874,BS_RE33!$S$7:$S$874,$AU$2,BS_RE33!$N$7:$N$874,I24,BS_RE33!$P$7:$P$874,'30 days CF Table(Ccy)'!G24,BS_RE33!$F$7:$F$874,'30 days CF Table(Ccy)'!$C$2),2)</f>
        <v>0</v>
      </c>
      <c r="AV24" s="379">
        <f>ROUND(SUMIFS(BS_RE33!$H$7:$H$874,BS_RE33!$S$7:$S$874,$AV$2,BS_RE33!$N$7:$N$874,I24,BS_RE33!$P$7:$P$874,'30 days CF Table(Ccy)'!G24,BS_RE33!$F$7:$F$874,'30 days CF Table(Ccy)'!$C$2),2)</f>
        <v>0</v>
      </c>
      <c r="AW24" s="379">
        <f>ROUND(SUMIFS(BS_RE33!$H$7:$H$874,BS_RE33!$S$7:$S$874,$AW$2,BS_RE33!$N$7:$N$874,I24,BS_RE33!$P$7:$P$874,'30 days CF Table(Ccy)'!G24,BS_RE33!$F$7:$F$874,'30 days CF Table(Ccy)'!$C$2),2)</f>
        <v>0</v>
      </c>
      <c r="AX24" s="379">
        <f>ROUND(SUMIFS(BS_RE33!$H$7:$H$874,BS_RE33!$S$7:$S$874,$AX$2,BS_RE33!$N$7:$N$874,I24,BS_RE33!$P$7:$P$874,'30 days CF Table(Ccy)'!G24,BS_RE33!$F$7:$F$874,'30 days CF Table(Ccy)'!$C$2),2)</f>
        <v>0</v>
      </c>
      <c r="AY24" s="379">
        <f>ROUND(SUMIFS(BS_RE33!$H$7:$H$874,BS_RE33!$S$7:$S$874,$AY$2,BS_RE33!$N$7:$N$874,I24,BS_RE33!$P$7:$P$874,'30 days CF Table(Ccy)'!G24,BS_RE33!$F$7:$F$874,'30 days CF Table(Ccy)'!$C$2),2)</f>
        <v>0</v>
      </c>
      <c r="AZ24" s="379">
        <f>ROUND(SUMIFS(BS_RE33!$H$7:$H$874,BS_RE33!$S$7:$S$874,$AZ$2,BS_RE33!$N$7:$N$874,I24,BS_RE33!$P$7:$P$874,'30 days CF Table(Ccy)'!G24,BS_RE33!$F$7:$F$874,'30 days CF Table(Ccy)'!$C$2),2)</f>
        <v>0</v>
      </c>
      <c r="BA24" s="379">
        <f>ROUND(SUMIFS(BS_RE33!$H$7:$H$874,BS_RE33!$S$7:$S$874,$BA$2,BS_RE33!$N$7:$N$874,I24,BS_RE33!$P$7:$P$874,'30 days CF Table(Ccy)'!G24,BS_RE33!$F$7:$F$874,'30 days CF Table(Ccy)'!$C$2),2)</f>
        <v>0</v>
      </c>
      <c r="BB24" s="379">
        <f>ROUND(SUMIFS(BS_RE33!$H$7:$H$874,BS_RE33!$S$7:$S$874,$BB$2,BS_RE33!$N$7:$N$874,I24,BS_RE33!$P$7:$P$874,'30 days CF Table(Ccy)'!G24,BS_RE33!$F$7:$F$874,'30 days CF Table(Ccy)'!$C$2),2)</f>
        <v>0</v>
      </c>
      <c r="BC24" s="379">
        <f>ROUND(SUMIFS(BS_RE33!$H$7:$H$874,BS_RE33!$S$7:$S$874,$BC$2,BS_RE33!$N$7:$N$874,I24,BS_RE33!$P$7:$P$874,'30 days CF Table(Ccy)'!G24,BS_RE33!$F$7:$F$874,'30 days CF Table(Ccy)'!$C$2),2)</f>
        <v>0</v>
      </c>
      <c r="BD24" s="379">
        <f>ROUND(SUMIFS(BS_RE33!$H$7:$H$874,BS_RE33!$S$7:$S$874,$BD$2,BS_RE33!$N$7:$N$874,I24,BS_RE33!$P$7:$P$874,'30 days CF Table(Ccy)'!G24,BS_RE33!$F$7:$F$874,'30 days CF Table(Ccy)'!$C$2),2)</f>
        <v>0</v>
      </c>
      <c r="BE24" s="379">
        <f>ROUND(SUMIFS(BS_RE33!$H$7:$H$874,BS_RE33!$S$7:$S$874,$BE$2,BS_RE33!$N$7:$N$874,I24,BS_RE33!$P$7:$P$874,'30 days CF Table(Ccy)'!G24,BS_RE33!$F$7:$F$874,'30 days CF Table(Ccy)'!$C$2),2)</f>
        <v>0</v>
      </c>
      <c r="BF24" s="379">
        <f>ROUND(SUMIFS(BS_RE33!$H$7:$H$874,BS_RE33!$S$7:$S$874,$BF$2,BS_RE33!$N$7:$N$874,I24,BS_RE33!$P$7:$P$874,'30 days CF Table(Ccy)'!G24,BS_RE33!$F$7:$F$874,'30 days CF Table(Ccy)'!$C$2),2)</f>
        <v>0</v>
      </c>
      <c r="BG24" s="379">
        <f>ROUND(SUMIFS(BS_RE33!$H$7:$H$874,BS_RE33!$S$7:$S$874,$BG$2,BS_RE33!$N$7:$N$874,I24,BS_RE33!$P$7:$P$874,'30 days CF Table(Ccy)'!G24,BS_RE33!$F$7:$F$874,'30 days CF Table(Ccy)'!$C$2),2)</f>
        <v>0</v>
      </c>
      <c r="BH24" s="379">
        <f>ROUND(SUMIFS(BS_RE33!$H$7:$H$874,BS_RE33!$S$7:$S$874,$BH$2,BS_RE33!$N$7:$N$874,I24,BS_RE33!$P$7:$P$874,'30 days CF Table(Ccy)'!G24,BS_RE33!$F$7:$F$874,'30 days CF Table(Ccy)'!$C$2),2)</f>
        <v>0</v>
      </c>
      <c r="BI24" s="379">
        <f>ROUND(SUMIFS(BS_RE33!$H$7:$H$874,BS_RE33!$S$7:$S$874,$BI$2,BS_RE33!$N$7:$N$874,I24,BS_RE33!$P$7:$P$874,'30 days CF Table(Ccy)'!G24,BS_RE33!$F$7:$F$874,'30 days CF Table(Ccy)'!$C$2),2)</f>
        <v>0</v>
      </c>
      <c r="BJ24" s="379">
        <f>ROUND(SUMIFS(BS_RE33!$H$7:$H$874,BS_RE33!$S$7:$S$874,$BJ$2,BS_RE33!$N$7:$N$874,I24,BS_RE33!$P$7:$P$874,'30 days CF Table(Ccy)'!G24,BS_RE33!$F$7:$F$874,'30 days CF Table(Ccy)'!$C$2),2)</f>
        <v>0</v>
      </c>
      <c r="BK24" s="379">
        <f>ROUND(SUMIFS(BS_RE33!$H$7:$H$874,BS_RE33!$S$7:$S$874,$BK$2,BS_RE33!$N$7:$N$874,I24,BS_RE33!$P$7:$P$874,'30 days CF Table(Ccy)'!G24,BS_RE33!$F$7:$F$874,'30 days CF Table(Ccy)'!$C$2),2)</f>
        <v>0</v>
      </c>
    </row>
    <row r="25" spans="1:63">
      <c r="C25" s="1029" t="s">
        <v>810</v>
      </c>
      <c r="D25" s="1038" t="s">
        <v>761</v>
      </c>
      <c r="E25" s="306" t="s">
        <v>79</v>
      </c>
      <c r="F25" s="560" t="s">
        <v>491</v>
      </c>
      <c r="G25" s="392" t="s">
        <v>512</v>
      </c>
      <c r="H25" s="314">
        <v>0.25</v>
      </c>
      <c r="I25" s="315" t="s">
        <v>80</v>
      </c>
      <c r="J25" s="479">
        <f t="shared" si="2"/>
        <v>0</v>
      </c>
      <c r="K25" s="336">
        <f t="shared" si="3"/>
        <v>0</v>
      </c>
      <c r="L25" s="337">
        <f>ROUND(SUMIFS(BS_RE33!$H$7:$H$874,BS_RE33!$S$7:$S$874,$L$2,BS_RE33!$N$7:$N$874,I25,BS_RE33!$P$7:$P$874,'30 days CF Table(Ccy)'!G25,BS_RE33!$F$7:$F$874,'30 days CF Table(Ccy)'!$C$2),2)</f>
        <v>0</v>
      </c>
      <c r="M25" s="337">
        <f>ROUND(SUMIFS(BS_RE33!$H$7:$H$874,BS_RE33!$S$7:$S$874,$M$2,BS_RE33!$N$7:$N$874,I25,BS_RE33!$P$7:$P$874,'30 days CF Table(Ccy)'!G25,BS_RE33!$F$7:$F$874,'30 days CF Table(Ccy)'!$C$2),2)</f>
        <v>0</v>
      </c>
      <c r="N25" s="337">
        <f>ROUND(SUMIFS(BS_RE33!$H$7:$H$874,BS_RE33!$S$7:$S$874,$N$2,BS_RE33!$N$7:$N$874,I25,BS_RE33!$P$7:$P$874,'30 days CF Table(Ccy)'!G25,BS_RE33!$F$7:$F$874,'30 days CF Table(Ccy)'!$C$2),2)</f>
        <v>0</v>
      </c>
      <c r="O25" s="337">
        <f>ROUND(SUMIFS(BS_RE33!$H$7:$H$874,BS_RE33!$S$7:$S$874,$O$2,BS_RE33!$N$7:$N$874,I25,BS_RE33!$P$7:$P$874,'30 days CF Table(Ccy)'!G25,BS_RE33!$F$7:$F$874,'30 days CF Table(Ccy)'!$C$2),2)</f>
        <v>0</v>
      </c>
      <c r="P25" s="337">
        <f>ROUND(SUMIFS(BS_RE33!$H$7:$H$874,BS_RE33!$S$7:$S$874,$P$2,BS_RE33!$N$7:$N$874,I25,BS_RE33!$P$7:$P$874,'30 days CF Table(Ccy)'!G25,BS_RE33!$F$7:$F$874,'30 days CF Table(Ccy)'!$C$2),2)</f>
        <v>0</v>
      </c>
      <c r="Q25" s="337">
        <f>ROUND(SUMIFS(BS_RE33!$H$7:$H$874,BS_RE33!$S$7:$S$874,$Q$2,BS_RE33!$N$7:$N$874,I25,BS_RE33!$P$7:$P$874,'30 days CF Table(Ccy)'!G25,BS_RE33!$F$7:$F$874,'30 days CF Table(Ccy)'!$C$2),2)</f>
        <v>0</v>
      </c>
      <c r="R25" s="337">
        <f>ROUND(SUMIFS(BS_RE33!$H$7:$H$874,BS_RE33!$S$7:$S$874,$R$2,BS_RE33!$N$7:$N$874,I25,BS_RE33!$P$7:$P$874,'30 days CF Table(Ccy)'!G25,BS_RE33!$F$7:$F$874,'30 days CF Table(Ccy)'!$C$2),2)</f>
        <v>0</v>
      </c>
      <c r="S25" s="337">
        <f>ROUND(SUMIFS(BS_RE33!$H$7:$H$874,BS_RE33!$S$7:$S$874,$S$2,BS_RE33!$N$7:$N$874,I25,BS_RE33!$P$7:$P$874,'30 days CF Table(Ccy)'!G25,BS_RE33!$F$7:$F$874,'30 days CF Table(Ccy)'!$C$2),2)</f>
        <v>0</v>
      </c>
      <c r="T25" s="337">
        <f>ROUND(SUMIFS(BS_RE33!$H$7:$H$874,BS_RE33!$S$7:$S$874,$T$2,BS_RE33!$N$7:$N$874,I25,BS_RE33!$P$7:$P$874,'30 days CF Table(Ccy)'!G25,BS_RE33!$F$7:$F$874,'30 days CF Table(Ccy)'!$C$2),2)</f>
        <v>0</v>
      </c>
      <c r="U25" s="337">
        <f>ROUND(SUMIFS(BS_RE33!$H$7:$H$874,BS_RE33!$S$7:$S$874,$U$2,BS_RE33!$N$7:$N$874,I25,BS_RE33!$P$7:$P$874,'30 days CF Table(Ccy)'!G25,BS_RE33!$F$7:$F$874,'30 days CF Table(Ccy)'!$C$2),2)</f>
        <v>0</v>
      </c>
      <c r="V25" s="337">
        <f>ROUND(SUMIFS(BS_RE33!$H$7:$H$874,BS_RE33!$S$7:$S$874,$V$2,BS_RE33!$N$7:$N$874,I25,BS_RE33!$P$7:$P$874,'30 days CF Table(Ccy)'!G25,BS_RE33!$F$7:$F$874,'30 days CF Table(Ccy)'!$C$2),2)</f>
        <v>0</v>
      </c>
      <c r="W25" s="337">
        <f>ROUND(SUMIFS(BS_RE33!$H$7:$H$874,BS_RE33!$S$7:$S$874,$W$2,BS_RE33!$N$7:$N$874,I25,BS_RE33!$P$7:$P$874,'30 days CF Table(Ccy)'!G25,BS_RE33!$F$7:$F$874,'30 days CF Table(Ccy)'!$C$2),2)</f>
        <v>0</v>
      </c>
      <c r="X25" s="337">
        <f>ROUND(SUMIFS(BS_RE33!$H$7:$H$874,BS_RE33!$S$7:$S$874,$X$2,BS_RE33!$N$7:$N$874,I25,BS_RE33!$P$7:$P$874,'30 days CF Table(Ccy)'!G25,BS_RE33!$F$7:$F$874,'30 days CF Table(Ccy)'!$C$2),2)</f>
        <v>0</v>
      </c>
      <c r="Y25" s="337">
        <f>ROUND(SUMIFS(BS_RE33!$H$7:$H$874,BS_RE33!$S$7:$S$874,$Y$2,BS_RE33!$N$7:$N$874,I25,BS_RE33!$P$7:$P$874,'30 days CF Table(Ccy)'!G25,BS_RE33!$F$7:$F$874,'30 days CF Table(Ccy)'!$C$2),2)</f>
        <v>0</v>
      </c>
      <c r="Z25" s="337">
        <f>ROUND(SUMIFS(BS_RE33!$H$7:$H$874,BS_RE33!$S$7:$S$874,$Z$2,BS_RE33!$N$7:$N$874,I25,BS_RE33!$P$7:$P$874,'30 days CF Table(Ccy)'!G25,BS_RE33!$F$7:$F$874,'30 days CF Table(Ccy)'!$C$2),2)</f>
        <v>0</v>
      </c>
      <c r="AA25" s="337">
        <f>ROUND(SUMIFS(BS_RE33!$H$7:$H$874,BS_RE33!$S$7:$S$874,$AA$2,BS_RE33!$N$7:$N$874,I25,BS_RE33!$P$7:$P$874,'30 days CF Table(Ccy)'!G25,BS_RE33!$F$7:$F$874,'30 days CF Table(Ccy)'!$C$2),2)</f>
        <v>0</v>
      </c>
      <c r="AB25" s="337">
        <f>ROUND(SUMIFS(BS_RE33!$H$7:$H$874,BS_RE33!$S$7:$S$874,$AB$2,BS_RE33!$N$7:$N$874,I25,BS_RE33!$P$7:$P$874,'30 days CF Table(Ccy)'!G25,BS_RE33!$F$7:$F$874,'30 days CF Table(Ccy)'!$C$2),2)</f>
        <v>0</v>
      </c>
      <c r="AC25" s="337">
        <f>ROUND(SUMIFS(BS_RE33!$H$7:$H$874,BS_RE33!$S$7:$S$874,$AC$2,BS_RE33!$N$7:$N$874,I25,BS_RE33!$P$7:$P$874,'30 days CF Table(Ccy)'!G25,BS_RE33!$F$7:$F$874,'30 days CF Table(Ccy)'!$C$2),2)</f>
        <v>0</v>
      </c>
      <c r="AD25" s="337">
        <f>ROUND(SUMIFS(BS_RE33!$H$7:$H$874,BS_RE33!$S$7:$S$874,$AD$2,BS_RE33!$N$7:$N$874,I25,BS_RE33!$P$7:$P$874,'30 days CF Table(Ccy)'!G25,BS_RE33!$F$7:$F$874,'30 days CF Table(Ccy)'!$C$2),2)</f>
        <v>0</v>
      </c>
      <c r="AE25" s="337">
        <f>ROUND(SUMIFS(BS_RE33!$H$7:$H$874,BS_RE33!$S$7:$S$874,$AE$2,BS_RE33!$N$7:$N$874,I25,BS_RE33!$P$7:$P$874,'30 days CF Table(Ccy)'!G25,BS_RE33!$F$7:$F$874,'30 days CF Table(Ccy)'!$C$2),2)</f>
        <v>0</v>
      </c>
      <c r="AF25" s="337">
        <f>ROUND(SUMIFS(BS_RE33!$H$7:$H$874,BS_RE33!$S$7:$S$874,$AF$2,BS_RE33!$N$7:$N$874,I25,BS_RE33!$P$7:$P$874,'30 days CF Table(Ccy)'!G25,BS_RE33!$F$7:$F$874,'30 days CF Table(Ccy)'!$C$2),2)</f>
        <v>0</v>
      </c>
      <c r="AG25" s="337">
        <f>ROUND(SUMIFS(BS_RE33!$H$7:$H$874,BS_RE33!$S$7:$S$874,$AG$2,BS_RE33!$N$7:$N$874,I25,BS_RE33!$P$7:$P$874,'30 days CF Table(Ccy)'!G25,BS_RE33!$F$7:$F$874,'30 days CF Table(Ccy)'!$C$2),2)</f>
        <v>0</v>
      </c>
      <c r="AH25" s="337">
        <f>ROUND(SUMIFS(BS_RE33!$H$7:$H$874,BS_RE33!$S$7:$S$874,$AH$2,BS_RE33!$N$7:$N$874,I25,BS_RE33!$P$7:$P$874,'30 days CF Table(Ccy)'!G25,BS_RE33!$F$7:$F$874,'30 days CF Table(Ccy)'!$C$2),2)</f>
        <v>0</v>
      </c>
      <c r="AI25" s="337">
        <f>ROUND(SUMIFS(BS_RE33!$H$7:$H$874,BS_RE33!$S$7:$S$874,$AI$2,BS_RE33!$N$7:$N$874,I25,BS_RE33!$P$7:$P$874,'30 days CF Table(Ccy)'!G25,BS_RE33!$F$7:$F$874,'30 days CF Table(Ccy)'!$C$2),2)</f>
        <v>0</v>
      </c>
      <c r="AJ25" s="337">
        <f>ROUND(SUMIFS(BS_RE33!$H$7:$H$874,BS_RE33!$S$7:$S$874,$AJ$2,BS_RE33!$N$7:$N$874,I25,BS_RE33!$P$7:$P$874,'30 days CF Table(Ccy)'!G25,BS_RE33!$F$7:$F$874,'30 days CF Table(Ccy)'!$C$2),2)</f>
        <v>0</v>
      </c>
      <c r="AK25" s="337">
        <f>ROUND(SUMIFS(BS_RE33!$H$7:$H$874,BS_RE33!$S$7:$S$874,$AK$2,BS_RE33!$N$7:$N$874,I25,BS_RE33!$P$7:$P$874,'30 days CF Table(Ccy)'!G25,BS_RE33!$F$7:$F$874,'30 days CF Table(Ccy)'!$C$2),2)</f>
        <v>0</v>
      </c>
      <c r="AL25" s="337">
        <f>ROUND(SUMIFS(BS_RE33!$H$7:$H$874,BS_RE33!$S$7:$S$874,$AL$2,BS_RE33!$N$7:$N$874,I25,BS_RE33!$P$7:$P$874,'30 days CF Table(Ccy)'!G25,BS_RE33!$F$7:$F$874,'30 days CF Table(Ccy)'!$C$2),2)</f>
        <v>0</v>
      </c>
      <c r="AM25" s="337">
        <f>ROUND(SUMIFS(BS_RE33!$H$7:$H$874,BS_RE33!$S$7:$S$874,$AM$2,BS_RE33!$N$7:$N$874,I25,BS_RE33!$P$7:$P$874,'30 days CF Table(Ccy)'!G25,BS_RE33!$F$7:$F$874,'30 days CF Table(Ccy)'!$C$2),2)</f>
        <v>0</v>
      </c>
      <c r="AN25" s="337">
        <f>ROUND(SUMIFS(BS_RE33!$H$7:$H$874,BS_RE33!$S$7:$S$874,$AN$2,BS_RE33!$N$7:$N$874,I25,BS_RE33!$P$7:$P$874,'30 days CF Table(Ccy)'!G25,BS_RE33!$F$7:$F$874,'30 days CF Table(Ccy)'!$C$2),2)</f>
        <v>0</v>
      </c>
      <c r="AO25" s="337">
        <f>ROUND(SUMIFS(BS_RE33!$H$7:$H$874,BS_RE33!$S$7:$S$874,$AO$2,BS_RE33!$N$7:$N$874,I25,BS_RE33!$P$7:$P$874,'30 days CF Table(Ccy)'!G25,BS_RE33!$F$7:$F$874,'30 days CF Table(Ccy)'!$C$2),2)</f>
        <v>0</v>
      </c>
      <c r="AP25" s="338">
        <f>ROUND(SUMIFS(BS_RE33!$H$7:$H$874,BS_RE33!$S$7:$S$874,$AP$2,BS_RE33!$N$7:$N$874,I25,BS_RE33!$P$7:$P$874,'30 days CF Table(Ccy)'!G25,BS_RE33!$F$7:$F$874,'30 days CF Table(Ccy)'!$C$2),2)</f>
        <v>0</v>
      </c>
      <c r="AR25" s="379">
        <f>ROUND(SUMIFS(BS_RE33!$H$7:$H$874,BS_RE33!$S$7:$S$874,$AR$2,BS_RE33!$N$7:$N$874,I25,BS_RE33!$P$7:$P$874,'30 days CF Table(Ccy)'!G25,BS_RE33!$F$7:$F$874,'30 days CF Table(Ccy)'!$C$2),2)</f>
        <v>0</v>
      </c>
      <c r="AS25" s="379">
        <f>ROUND(SUMIFS(BS_RE33!$H$7:$H$874,BS_RE33!$S$7:$S$874,$AS$2,BS_RE33!$N$7:$N$874,I25,BS_RE33!$P$7:$P$874,'30 days CF Table(Ccy)'!G25,BS_RE33!$F$7:$F$874,'30 days CF Table(Ccy)'!$C$2),2)</f>
        <v>0</v>
      </c>
      <c r="AT25" s="379">
        <f>ROUND(SUMIFS(BS_RE33!$H$7:$H$874,BS_RE33!$S$7:$S$874,$AT$2,BS_RE33!$N$7:$N$874,I25,BS_RE33!$P$7:$P$874,'30 days CF Table(Ccy)'!G25,BS_RE33!$F$7:$F$874,'30 days CF Table(Ccy)'!$C$2),2)</f>
        <v>0</v>
      </c>
      <c r="AU25" s="379">
        <f>ROUND(SUMIFS(BS_RE33!$H$7:$H$874,BS_RE33!$S$7:$S$874,$AU$2,BS_RE33!$N$7:$N$874,I25,BS_RE33!$P$7:$P$874,'30 days CF Table(Ccy)'!G25,BS_RE33!$F$7:$F$874,'30 days CF Table(Ccy)'!$C$2),2)</f>
        <v>0</v>
      </c>
      <c r="AV25" s="379">
        <f>ROUND(SUMIFS(BS_RE33!$H$7:$H$874,BS_RE33!$S$7:$S$874,$AV$2,BS_RE33!$N$7:$N$874,I25,BS_RE33!$P$7:$P$874,'30 days CF Table(Ccy)'!G25,BS_RE33!$F$7:$F$874,'30 days CF Table(Ccy)'!$C$2),2)</f>
        <v>0</v>
      </c>
      <c r="AW25" s="379">
        <f>ROUND(SUMIFS(BS_RE33!$H$7:$H$874,BS_RE33!$S$7:$S$874,$AW$2,BS_RE33!$N$7:$N$874,I25,BS_RE33!$P$7:$P$874,'30 days CF Table(Ccy)'!G25,BS_RE33!$F$7:$F$874,'30 days CF Table(Ccy)'!$C$2),2)</f>
        <v>0</v>
      </c>
      <c r="AX25" s="379">
        <f>ROUND(SUMIFS(BS_RE33!$H$7:$H$874,BS_RE33!$S$7:$S$874,$AX$2,BS_RE33!$N$7:$N$874,I25,BS_RE33!$P$7:$P$874,'30 days CF Table(Ccy)'!G25,BS_RE33!$F$7:$F$874,'30 days CF Table(Ccy)'!$C$2),2)</f>
        <v>0</v>
      </c>
      <c r="AY25" s="379">
        <f>ROUND(SUMIFS(BS_RE33!$H$7:$H$874,BS_RE33!$S$7:$S$874,$AY$2,BS_RE33!$N$7:$N$874,I25,BS_RE33!$P$7:$P$874,'30 days CF Table(Ccy)'!G25,BS_RE33!$F$7:$F$874,'30 days CF Table(Ccy)'!$C$2),2)</f>
        <v>0</v>
      </c>
      <c r="AZ25" s="379">
        <f>ROUND(SUMIFS(BS_RE33!$H$7:$H$874,BS_RE33!$S$7:$S$874,$AZ$2,BS_RE33!$N$7:$N$874,I25,BS_RE33!$P$7:$P$874,'30 days CF Table(Ccy)'!G25,BS_RE33!$F$7:$F$874,'30 days CF Table(Ccy)'!$C$2),2)</f>
        <v>0</v>
      </c>
      <c r="BA25" s="379">
        <f>ROUND(SUMIFS(BS_RE33!$H$7:$H$874,BS_RE33!$S$7:$S$874,$BA$2,BS_RE33!$N$7:$N$874,I25,BS_RE33!$P$7:$P$874,'30 days CF Table(Ccy)'!G25,BS_RE33!$F$7:$F$874,'30 days CF Table(Ccy)'!$C$2),2)</f>
        <v>0</v>
      </c>
      <c r="BB25" s="379">
        <f>ROUND(SUMIFS(BS_RE33!$H$7:$H$874,BS_RE33!$S$7:$S$874,$BB$2,BS_RE33!$N$7:$N$874,I25,BS_RE33!$P$7:$P$874,'30 days CF Table(Ccy)'!G25,BS_RE33!$F$7:$F$874,'30 days CF Table(Ccy)'!$C$2),2)</f>
        <v>0</v>
      </c>
      <c r="BC25" s="379">
        <f>ROUND(SUMIFS(BS_RE33!$H$7:$H$874,BS_RE33!$S$7:$S$874,$BC$2,BS_RE33!$N$7:$N$874,I25,BS_RE33!$P$7:$P$874,'30 days CF Table(Ccy)'!G25,BS_RE33!$F$7:$F$874,'30 days CF Table(Ccy)'!$C$2),2)</f>
        <v>0</v>
      </c>
      <c r="BD25" s="379">
        <f>ROUND(SUMIFS(BS_RE33!$H$7:$H$874,BS_RE33!$S$7:$S$874,$BD$2,BS_RE33!$N$7:$N$874,I25,BS_RE33!$P$7:$P$874,'30 days CF Table(Ccy)'!G25,BS_RE33!$F$7:$F$874,'30 days CF Table(Ccy)'!$C$2),2)</f>
        <v>0</v>
      </c>
      <c r="BE25" s="379">
        <f>ROUND(SUMIFS(BS_RE33!$H$7:$H$874,BS_RE33!$S$7:$S$874,$BE$2,BS_RE33!$N$7:$N$874,I25,BS_RE33!$P$7:$P$874,'30 days CF Table(Ccy)'!G25,BS_RE33!$F$7:$F$874,'30 days CF Table(Ccy)'!$C$2),2)</f>
        <v>0</v>
      </c>
      <c r="BF25" s="379">
        <f>ROUND(SUMIFS(BS_RE33!$H$7:$H$874,BS_RE33!$S$7:$S$874,$BF$2,BS_RE33!$N$7:$N$874,I25,BS_RE33!$P$7:$P$874,'30 days CF Table(Ccy)'!G25,BS_RE33!$F$7:$F$874,'30 days CF Table(Ccy)'!$C$2),2)</f>
        <v>0</v>
      </c>
      <c r="BG25" s="379">
        <f>ROUND(SUMIFS(BS_RE33!$H$7:$H$874,BS_RE33!$S$7:$S$874,$BG$2,BS_RE33!$N$7:$N$874,I25,BS_RE33!$P$7:$P$874,'30 days CF Table(Ccy)'!G25,BS_RE33!$F$7:$F$874,'30 days CF Table(Ccy)'!$C$2),2)</f>
        <v>0</v>
      </c>
      <c r="BH25" s="379">
        <f>ROUND(SUMIFS(BS_RE33!$H$7:$H$874,BS_RE33!$S$7:$S$874,$BH$2,BS_RE33!$N$7:$N$874,I25,BS_RE33!$P$7:$P$874,'30 days CF Table(Ccy)'!G25,BS_RE33!$F$7:$F$874,'30 days CF Table(Ccy)'!$C$2),2)</f>
        <v>0</v>
      </c>
      <c r="BI25" s="379">
        <f>ROUND(SUMIFS(BS_RE33!$H$7:$H$874,BS_RE33!$S$7:$S$874,$BI$2,BS_RE33!$N$7:$N$874,I25,BS_RE33!$P$7:$P$874,'30 days CF Table(Ccy)'!G25,BS_RE33!$F$7:$F$874,'30 days CF Table(Ccy)'!$C$2),2)</f>
        <v>0</v>
      </c>
      <c r="BJ25" s="379">
        <f>ROUND(SUMIFS(BS_RE33!$H$7:$H$874,BS_RE33!$S$7:$S$874,$BJ$2,BS_RE33!$N$7:$N$874,I25,BS_RE33!$P$7:$P$874,'30 days CF Table(Ccy)'!G25,BS_RE33!$F$7:$F$874,'30 days CF Table(Ccy)'!$C$2),2)</f>
        <v>0</v>
      </c>
      <c r="BK25" s="379">
        <f>ROUND(SUMIFS(BS_RE33!$H$7:$H$874,BS_RE33!$S$7:$S$874,$BK$2,BS_RE33!$N$7:$N$874,I25,BS_RE33!$P$7:$P$874,'30 days CF Table(Ccy)'!G25,BS_RE33!$F$7:$F$874,'30 days CF Table(Ccy)'!$C$2),2)</f>
        <v>0</v>
      </c>
    </row>
    <row r="26" spans="1:63">
      <c r="C26" s="1029"/>
      <c r="D26" s="1039"/>
      <c r="E26" s="306" t="s">
        <v>79</v>
      </c>
      <c r="F26" s="560" t="s">
        <v>490</v>
      </c>
      <c r="G26" s="392" t="s">
        <v>514</v>
      </c>
      <c r="H26" s="314">
        <v>0.25</v>
      </c>
      <c r="I26" s="315" t="s">
        <v>80</v>
      </c>
      <c r="J26" s="479">
        <f t="shared" si="2"/>
        <v>0</v>
      </c>
      <c r="K26" s="336">
        <f t="shared" si="3"/>
        <v>0</v>
      </c>
      <c r="L26" s="337">
        <f>ROUND(SUMIFS(BS_RE33!$H$7:$H$874,BS_RE33!$S$7:$S$874,$L$2,BS_RE33!$N$7:$N$874,I26,BS_RE33!$P$7:$P$874,'30 days CF Table(Ccy)'!G26,BS_RE33!$F$7:$F$874,'30 days CF Table(Ccy)'!$C$2),2)</f>
        <v>0</v>
      </c>
      <c r="M26" s="337">
        <f>ROUND(SUMIFS(BS_RE33!$H$7:$H$874,BS_RE33!$S$7:$S$874,$M$2,BS_RE33!$N$7:$N$874,I26,BS_RE33!$P$7:$P$874,'30 days CF Table(Ccy)'!G26,BS_RE33!$F$7:$F$874,'30 days CF Table(Ccy)'!$C$2),2)</f>
        <v>0</v>
      </c>
      <c r="N26" s="337">
        <f>ROUND(SUMIFS(BS_RE33!$H$7:$H$874,BS_RE33!$S$7:$S$874,$N$2,BS_RE33!$N$7:$N$874,I26,BS_RE33!$P$7:$P$874,'30 days CF Table(Ccy)'!G26,BS_RE33!$F$7:$F$874,'30 days CF Table(Ccy)'!$C$2),2)</f>
        <v>0</v>
      </c>
      <c r="O26" s="337">
        <f>ROUND(SUMIFS(BS_RE33!$H$7:$H$874,BS_RE33!$S$7:$S$874,$O$2,BS_RE33!$N$7:$N$874,I26,BS_RE33!$P$7:$P$874,'30 days CF Table(Ccy)'!G26,BS_RE33!$F$7:$F$874,'30 days CF Table(Ccy)'!$C$2),2)</f>
        <v>0</v>
      </c>
      <c r="P26" s="337">
        <f>ROUND(SUMIFS(BS_RE33!$H$7:$H$874,BS_RE33!$S$7:$S$874,$P$2,BS_RE33!$N$7:$N$874,I26,BS_RE33!$P$7:$P$874,'30 days CF Table(Ccy)'!G26,BS_RE33!$F$7:$F$874,'30 days CF Table(Ccy)'!$C$2),2)</f>
        <v>0</v>
      </c>
      <c r="Q26" s="337">
        <f>ROUND(SUMIFS(BS_RE33!$H$7:$H$874,BS_RE33!$S$7:$S$874,$Q$2,BS_RE33!$N$7:$N$874,I26,BS_RE33!$P$7:$P$874,'30 days CF Table(Ccy)'!G26,BS_RE33!$F$7:$F$874,'30 days CF Table(Ccy)'!$C$2),2)</f>
        <v>0</v>
      </c>
      <c r="R26" s="337">
        <f>ROUND(SUMIFS(BS_RE33!$H$7:$H$874,BS_RE33!$S$7:$S$874,$R$2,BS_RE33!$N$7:$N$874,I26,BS_RE33!$P$7:$P$874,'30 days CF Table(Ccy)'!G26,BS_RE33!$F$7:$F$874,'30 days CF Table(Ccy)'!$C$2),2)</f>
        <v>0</v>
      </c>
      <c r="S26" s="337">
        <f>ROUND(SUMIFS(BS_RE33!$H$7:$H$874,BS_RE33!$S$7:$S$874,$S$2,BS_RE33!$N$7:$N$874,I26,BS_RE33!$P$7:$P$874,'30 days CF Table(Ccy)'!G26,BS_RE33!$F$7:$F$874,'30 days CF Table(Ccy)'!$C$2),2)</f>
        <v>0</v>
      </c>
      <c r="T26" s="337">
        <f>ROUND(SUMIFS(BS_RE33!$H$7:$H$874,BS_RE33!$S$7:$S$874,$T$2,BS_RE33!$N$7:$N$874,I26,BS_RE33!$P$7:$P$874,'30 days CF Table(Ccy)'!G26,BS_RE33!$F$7:$F$874,'30 days CF Table(Ccy)'!$C$2),2)</f>
        <v>0</v>
      </c>
      <c r="U26" s="337">
        <f>ROUND(SUMIFS(BS_RE33!$H$7:$H$874,BS_RE33!$S$7:$S$874,$U$2,BS_RE33!$N$7:$N$874,I26,BS_RE33!$P$7:$P$874,'30 days CF Table(Ccy)'!G26,BS_RE33!$F$7:$F$874,'30 days CF Table(Ccy)'!$C$2),2)</f>
        <v>0</v>
      </c>
      <c r="V26" s="337">
        <f>ROUND(SUMIFS(BS_RE33!$H$7:$H$874,BS_RE33!$S$7:$S$874,$V$2,BS_RE33!$N$7:$N$874,I26,BS_RE33!$P$7:$P$874,'30 days CF Table(Ccy)'!G26,BS_RE33!$F$7:$F$874,'30 days CF Table(Ccy)'!$C$2),2)</f>
        <v>0</v>
      </c>
      <c r="W26" s="337">
        <f>ROUND(SUMIFS(BS_RE33!$H$7:$H$874,BS_RE33!$S$7:$S$874,$W$2,BS_RE33!$N$7:$N$874,I26,BS_RE33!$P$7:$P$874,'30 days CF Table(Ccy)'!G26,BS_RE33!$F$7:$F$874,'30 days CF Table(Ccy)'!$C$2),2)</f>
        <v>0</v>
      </c>
      <c r="X26" s="337">
        <f>ROUND(SUMIFS(BS_RE33!$H$7:$H$874,BS_RE33!$S$7:$S$874,$X$2,BS_RE33!$N$7:$N$874,I26,BS_RE33!$P$7:$P$874,'30 days CF Table(Ccy)'!G26,BS_RE33!$F$7:$F$874,'30 days CF Table(Ccy)'!$C$2),2)</f>
        <v>0</v>
      </c>
      <c r="Y26" s="337">
        <f>ROUND(SUMIFS(BS_RE33!$H$7:$H$874,BS_RE33!$S$7:$S$874,$Y$2,BS_RE33!$N$7:$N$874,I26,BS_RE33!$P$7:$P$874,'30 days CF Table(Ccy)'!G26,BS_RE33!$F$7:$F$874,'30 days CF Table(Ccy)'!$C$2),2)</f>
        <v>0</v>
      </c>
      <c r="Z26" s="337">
        <f>ROUND(SUMIFS(BS_RE33!$H$7:$H$874,BS_RE33!$S$7:$S$874,$Z$2,BS_RE33!$N$7:$N$874,I26,BS_RE33!$P$7:$P$874,'30 days CF Table(Ccy)'!G26,BS_RE33!$F$7:$F$874,'30 days CF Table(Ccy)'!$C$2),2)</f>
        <v>0</v>
      </c>
      <c r="AA26" s="337">
        <f>ROUND(SUMIFS(BS_RE33!$H$7:$H$874,BS_RE33!$S$7:$S$874,$AA$2,BS_RE33!$N$7:$N$874,I26,BS_RE33!$P$7:$P$874,'30 days CF Table(Ccy)'!G26,BS_RE33!$F$7:$F$874,'30 days CF Table(Ccy)'!$C$2),2)</f>
        <v>0</v>
      </c>
      <c r="AB26" s="337">
        <f>ROUND(SUMIFS(BS_RE33!$H$7:$H$874,BS_RE33!$S$7:$S$874,$AB$2,BS_RE33!$N$7:$N$874,I26,BS_RE33!$P$7:$P$874,'30 days CF Table(Ccy)'!G26,BS_RE33!$F$7:$F$874,'30 days CF Table(Ccy)'!$C$2),2)</f>
        <v>0</v>
      </c>
      <c r="AC26" s="337">
        <f>ROUND(SUMIFS(BS_RE33!$H$7:$H$874,BS_RE33!$S$7:$S$874,$AC$2,BS_RE33!$N$7:$N$874,I26,BS_RE33!$P$7:$P$874,'30 days CF Table(Ccy)'!G26,BS_RE33!$F$7:$F$874,'30 days CF Table(Ccy)'!$C$2),2)</f>
        <v>0</v>
      </c>
      <c r="AD26" s="337">
        <f>ROUND(SUMIFS(BS_RE33!$H$7:$H$874,BS_RE33!$S$7:$S$874,$AD$2,BS_RE33!$N$7:$N$874,I26,BS_RE33!$P$7:$P$874,'30 days CF Table(Ccy)'!G26,BS_RE33!$F$7:$F$874,'30 days CF Table(Ccy)'!$C$2),2)</f>
        <v>0</v>
      </c>
      <c r="AE26" s="337">
        <f>ROUND(SUMIFS(BS_RE33!$H$7:$H$874,BS_RE33!$S$7:$S$874,$AE$2,BS_RE33!$N$7:$N$874,I26,BS_RE33!$P$7:$P$874,'30 days CF Table(Ccy)'!G26,BS_RE33!$F$7:$F$874,'30 days CF Table(Ccy)'!$C$2),2)</f>
        <v>0</v>
      </c>
      <c r="AF26" s="337">
        <f>ROUND(SUMIFS(BS_RE33!$H$7:$H$874,BS_RE33!$S$7:$S$874,$AF$2,BS_RE33!$N$7:$N$874,I26,BS_RE33!$P$7:$P$874,'30 days CF Table(Ccy)'!G26,BS_RE33!$F$7:$F$874,'30 days CF Table(Ccy)'!$C$2),2)</f>
        <v>0</v>
      </c>
      <c r="AG26" s="337">
        <f>ROUND(SUMIFS(BS_RE33!$H$7:$H$874,BS_RE33!$S$7:$S$874,$AG$2,BS_RE33!$N$7:$N$874,I26,BS_RE33!$P$7:$P$874,'30 days CF Table(Ccy)'!G26,BS_RE33!$F$7:$F$874,'30 days CF Table(Ccy)'!$C$2),2)</f>
        <v>0</v>
      </c>
      <c r="AH26" s="337">
        <f>ROUND(SUMIFS(BS_RE33!$H$7:$H$874,BS_RE33!$S$7:$S$874,$AH$2,BS_RE33!$N$7:$N$874,I26,BS_RE33!$P$7:$P$874,'30 days CF Table(Ccy)'!G26,BS_RE33!$F$7:$F$874,'30 days CF Table(Ccy)'!$C$2),2)</f>
        <v>0</v>
      </c>
      <c r="AI26" s="337">
        <f>ROUND(SUMIFS(BS_RE33!$H$7:$H$874,BS_RE33!$S$7:$S$874,$AI$2,BS_RE33!$N$7:$N$874,I26,BS_RE33!$P$7:$P$874,'30 days CF Table(Ccy)'!G26,BS_RE33!$F$7:$F$874,'30 days CF Table(Ccy)'!$C$2),2)</f>
        <v>0</v>
      </c>
      <c r="AJ26" s="337">
        <f>ROUND(SUMIFS(BS_RE33!$H$7:$H$874,BS_RE33!$S$7:$S$874,$AJ$2,BS_RE33!$N$7:$N$874,I26,BS_RE33!$P$7:$P$874,'30 days CF Table(Ccy)'!G26,BS_RE33!$F$7:$F$874,'30 days CF Table(Ccy)'!$C$2),2)</f>
        <v>0</v>
      </c>
      <c r="AK26" s="337">
        <f>ROUND(SUMIFS(BS_RE33!$H$7:$H$874,BS_RE33!$S$7:$S$874,$AK$2,BS_RE33!$N$7:$N$874,I26,BS_RE33!$P$7:$P$874,'30 days CF Table(Ccy)'!G26,BS_RE33!$F$7:$F$874,'30 days CF Table(Ccy)'!$C$2),2)</f>
        <v>0</v>
      </c>
      <c r="AL26" s="337">
        <f>ROUND(SUMIFS(BS_RE33!$H$7:$H$874,BS_RE33!$S$7:$S$874,$AL$2,BS_RE33!$N$7:$N$874,I26,BS_RE33!$P$7:$P$874,'30 days CF Table(Ccy)'!G26,BS_RE33!$F$7:$F$874,'30 days CF Table(Ccy)'!$C$2),2)</f>
        <v>0</v>
      </c>
      <c r="AM26" s="337">
        <f>ROUND(SUMIFS(BS_RE33!$H$7:$H$874,BS_RE33!$S$7:$S$874,$AM$2,BS_RE33!$N$7:$N$874,I26,BS_RE33!$P$7:$P$874,'30 days CF Table(Ccy)'!G26,BS_RE33!$F$7:$F$874,'30 days CF Table(Ccy)'!$C$2),2)</f>
        <v>0</v>
      </c>
      <c r="AN26" s="337">
        <f>ROUND(SUMIFS(BS_RE33!$H$7:$H$874,BS_RE33!$S$7:$S$874,$AN$2,BS_RE33!$N$7:$N$874,I26,BS_RE33!$P$7:$P$874,'30 days CF Table(Ccy)'!G26,BS_RE33!$F$7:$F$874,'30 days CF Table(Ccy)'!$C$2),2)</f>
        <v>0</v>
      </c>
      <c r="AO26" s="337">
        <f>ROUND(SUMIFS(BS_RE33!$H$7:$H$874,BS_RE33!$S$7:$S$874,$AO$2,BS_RE33!$N$7:$N$874,I26,BS_RE33!$P$7:$P$874,'30 days CF Table(Ccy)'!G26,BS_RE33!$F$7:$F$874,'30 days CF Table(Ccy)'!$C$2),2)</f>
        <v>0</v>
      </c>
      <c r="AP26" s="338">
        <f>ROUND(SUMIFS(BS_RE33!$H$7:$H$874,BS_RE33!$S$7:$S$874,$AP$2,BS_RE33!$N$7:$N$874,I26,BS_RE33!$P$7:$P$874,'30 days CF Table(Ccy)'!G26,BS_RE33!$F$7:$F$874,'30 days CF Table(Ccy)'!$C$2),2)</f>
        <v>0</v>
      </c>
      <c r="AR26" s="379">
        <f>ROUND(SUMIFS(BS_RE33!$H$7:$H$874,BS_RE33!$S$7:$S$874,$AR$2,BS_RE33!$N$7:$N$874,I26,BS_RE33!$P$7:$P$874,'30 days CF Table(Ccy)'!G26,BS_RE33!$F$7:$F$874,'30 days CF Table(Ccy)'!$C$2),2)</f>
        <v>0</v>
      </c>
      <c r="AS26" s="379">
        <f>ROUND(SUMIFS(BS_RE33!$H$7:$H$874,BS_RE33!$S$7:$S$874,$AS$2,BS_RE33!$N$7:$N$874,I26,BS_RE33!$P$7:$P$874,'30 days CF Table(Ccy)'!G26,BS_RE33!$F$7:$F$874,'30 days CF Table(Ccy)'!$C$2),2)</f>
        <v>0</v>
      </c>
      <c r="AT26" s="379">
        <f>ROUND(SUMIFS(BS_RE33!$H$7:$H$874,BS_RE33!$S$7:$S$874,$AT$2,BS_RE33!$N$7:$N$874,I26,BS_RE33!$P$7:$P$874,'30 days CF Table(Ccy)'!G26,BS_RE33!$F$7:$F$874,'30 days CF Table(Ccy)'!$C$2),2)</f>
        <v>0</v>
      </c>
      <c r="AU26" s="379">
        <f>ROUND(SUMIFS(BS_RE33!$H$7:$H$874,BS_RE33!$S$7:$S$874,$AU$2,BS_RE33!$N$7:$N$874,I26,BS_RE33!$P$7:$P$874,'30 days CF Table(Ccy)'!G26,BS_RE33!$F$7:$F$874,'30 days CF Table(Ccy)'!$C$2),2)</f>
        <v>0</v>
      </c>
      <c r="AV26" s="379">
        <f>ROUND(SUMIFS(BS_RE33!$H$7:$H$874,BS_RE33!$S$7:$S$874,$AV$2,BS_RE33!$N$7:$N$874,I26,BS_RE33!$P$7:$P$874,'30 days CF Table(Ccy)'!G26,BS_RE33!$F$7:$F$874,'30 days CF Table(Ccy)'!$C$2),2)</f>
        <v>0</v>
      </c>
      <c r="AW26" s="379">
        <f>ROUND(SUMIFS(BS_RE33!$H$7:$H$874,BS_RE33!$S$7:$S$874,$AW$2,BS_RE33!$N$7:$N$874,I26,BS_RE33!$P$7:$P$874,'30 days CF Table(Ccy)'!G26,BS_RE33!$F$7:$F$874,'30 days CF Table(Ccy)'!$C$2),2)</f>
        <v>0</v>
      </c>
      <c r="AX26" s="379">
        <f>ROUND(SUMIFS(BS_RE33!$H$7:$H$874,BS_RE33!$S$7:$S$874,$AX$2,BS_RE33!$N$7:$N$874,I26,BS_RE33!$P$7:$P$874,'30 days CF Table(Ccy)'!G26,BS_RE33!$F$7:$F$874,'30 days CF Table(Ccy)'!$C$2),2)</f>
        <v>0</v>
      </c>
      <c r="AY26" s="379">
        <f>ROUND(SUMIFS(BS_RE33!$H$7:$H$874,BS_RE33!$S$7:$S$874,$AY$2,BS_RE33!$N$7:$N$874,I26,BS_RE33!$P$7:$P$874,'30 days CF Table(Ccy)'!G26,BS_RE33!$F$7:$F$874,'30 days CF Table(Ccy)'!$C$2),2)</f>
        <v>0</v>
      </c>
      <c r="AZ26" s="379">
        <f>ROUND(SUMIFS(BS_RE33!$H$7:$H$874,BS_RE33!$S$7:$S$874,$AZ$2,BS_RE33!$N$7:$N$874,I26,BS_RE33!$P$7:$P$874,'30 days CF Table(Ccy)'!G26,BS_RE33!$F$7:$F$874,'30 days CF Table(Ccy)'!$C$2),2)</f>
        <v>0</v>
      </c>
      <c r="BA26" s="379">
        <f>ROUND(SUMIFS(BS_RE33!$H$7:$H$874,BS_RE33!$S$7:$S$874,$BA$2,BS_RE33!$N$7:$N$874,I26,BS_RE33!$P$7:$P$874,'30 days CF Table(Ccy)'!G26,BS_RE33!$F$7:$F$874,'30 days CF Table(Ccy)'!$C$2),2)</f>
        <v>0</v>
      </c>
      <c r="BB26" s="379">
        <f>ROUND(SUMIFS(BS_RE33!$H$7:$H$874,BS_RE33!$S$7:$S$874,$BB$2,BS_RE33!$N$7:$N$874,I26,BS_RE33!$P$7:$P$874,'30 days CF Table(Ccy)'!G26,BS_RE33!$F$7:$F$874,'30 days CF Table(Ccy)'!$C$2),2)</f>
        <v>0</v>
      </c>
      <c r="BC26" s="379">
        <f>ROUND(SUMIFS(BS_RE33!$H$7:$H$874,BS_RE33!$S$7:$S$874,$BC$2,BS_RE33!$N$7:$N$874,I26,BS_RE33!$P$7:$P$874,'30 days CF Table(Ccy)'!G26,BS_RE33!$F$7:$F$874,'30 days CF Table(Ccy)'!$C$2),2)</f>
        <v>0</v>
      </c>
      <c r="BD26" s="379">
        <f>ROUND(SUMIFS(BS_RE33!$H$7:$H$874,BS_RE33!$S$7:$S$874,$BD$2,BS_RE33!$N$7:$N$874,I26,BS_RE33!$P$7:$P$874,'30 days CF Table(Ccy)'!G26,BS_RE33!$F$7:$F$874,'30 days CF Table(Ccy)'!$C$2),2)</f>
        <v>0</v>
      </c>
      <c r="BE26" s="379">
        <f>ROUND(SUMIFS(BS_RE33!$H$7:$H$874,BS_RE33!$S$7:$S$874,$BE$2,BS_RE33!$N$7:$N$874,I26,BS_RE33!$P$7:$P$874,'30 days CF Table(Ccy)'!G26,BS_RE33!$F$7:$F$874,'30 days CF Table(Ccy)'!$C$2),2)</f>
        <v>0</v>
      </c>
      <c r="BF26" s="379">
        <f>ROUND(SUMIFS(BS_RE33!$H$7:$H$874,BS_RE33!$S$7:$S$874,$BF$2,BS_RE33!$N$7:$N$874,I26,BS_RE33!$P$7:$P$874,'30 days CF Table(Ccy)'!G26,BS_RE33!$F$7:$F$874,'30 days CF Table(Ccy)'!$C$2),2)</f>
        <v>0</v>
      </c>
      <c r="BG26" s="379">
        <f>ROUND(SUMIFS(BS_RE33!$H$7:$H$874,BS_RE33!$S$7:$S$874,$BG$2,BS_RE33!$N$7:$N$874,I26,BS_RE33!$P$7:$P$874,'30 days CF Table(Ccy)'!G26,BS_RE33!$F$7:$F$874,'30 days CF Table(Ccy)'!$C$2),2)</f>
        <v>0</v>
      </c>
      <c r="BH26" s="379">
        <f>ROUND(SUMIFS(BS_RE33!$H$7:$H$874,BS_RE33!$S$7:$S$874,$BH$2,BS_RE33!$N$7:$N$874,I26,BS_RE33!$P$7:$P$874,'30 days CF Table(Ccy)'!G26,BS_RE33!$F$7:$F$874,'30 days CF Table(Ccy)'!$C$2),2)</f>
        <v>0</v>
      </c>
      <c r="BI26" s="379">
        <f>ROUND(SUMIFS(BS_RE33!$H$7:$H$874,BS_RE33!$S$7:$S$874,$BI$2,BS_RE33!$N$7:$N$874,I26,BS_RE33!$P$7:$P$874,'30 days CF Table(Ccy)'!G26,BS_RE33!$F$7:$F$874,'30 days CF Table(Ccy)'!$C$2),2)</f>
        <v>0</v>
      </c>
      <c r="BJ26" s="379">
        <f>ROUND(SUMIFS(BS_RE33!$H$7:$H$874,BS_RE33!$S$7:$S$874,$BJ$2,BS_RE33!$N$7:$N$874,I26,BS_RE33!$P$7:$P$874,'30 days CF Table(Ccy)'!G26,BS_RE33!$F$7:$F$874,'30 days CF Table(Ccy)'!$C$2),2)</f>
        <v>0</v>
      </c>
      <c r="BK26" s="379">
        <f>ROUND(SUMIFS(BS_RE33!$H$7:$H$874,BS_RE33!$S$7:$S$874,$BK$2,BS_RE33!$N$7:$N$874,I26,BS_RE33!$P$7:$P$874,'30 days CF Table(Ccy)'!G26,BS_RE33!$F$7:$F$874,'30 days CF Table(Ccy)'!$C$2),2)</f>
        <v>0</v>
      </c>
    </row>
    <row r="27" spans="1:63">
      <c r="C27" s="1029"/>
      <c r="D27" s="1039"/>
      <c r="E27" s="306" t="s">
        <v>79</v>
      </c>
      <c r="F27" s="560" t="s">
        <v>489</v>
      </c>
      <c r="G27" s="392" t="s">
        <v>515</v>
      </c>
      <c r="H27" s="314">
        <v>0.25</v>
      </c>
      <c r="I27" s="315" t="s">
        <v>80</v>
      </c>
      <c r="J27" s="479">
        <f t="shared" si="2"/>
        <v>0</v>
      </c>
      <c r="K27" s="336">
        <f t="shared" si="3"/>
        <v>0</v>
      </c>
      <c r="L27" s="337">
        <f>ROUND(SUMIFS(BS_RE33!$H$7:$H$874,BS_RE33!$S$7:$S$874,$L$2,BS_RE33!$N$7:$N$874,I27,BS_RE33!$P$7:$P$874,'30 days CF Table(Ccy)'!G27,BS_RE33!$F$7:$F$874,'30 days CF Table(Ccy)'!$C$2),2)</f>
        <v>0</v>
      </c>
      <c r="M27" s="337">
        <f>ROUND(SUMIFS(BS_RE33!$H$7:$H$874,BS_RE33!$S$7:$S$874,$M$2,BS_RE33!$N$7:$N$874,I27,BS_RE33!$P$7:$P$874,'30 days CF Table(Ccy)'!G27,BS_RE33!$F$7:$F$874,'30 days CF Table(Ccy)'!$C$2),2)</f>
        <v>0</v>
      </c>
      <c r="N27" s="337">
        <f>ROUND(SUMIFS(BS_RE33!$H$7:$H$874,BS_RE33!$S$7:$S$874,$N$2,BS_RE33!$N$7:$N$874,I27,BS_RE33!$P$7:$P$874,'30 days CF Table(Ccy)'!G27,BS_RE33!$F$7:$F$874,'30 days CF Table(Ccy)'!$C$2),2)</f>
        <v>0</v>
      </c>
      <c r="O27" s="337">
        <f>ROUND(SUMIFS(BS_RE33!$H$7:$H$874,BS_RE33!$S$7:$S$874,$O$2,BS_RE33!$N$7:$N$874,I27,BS_RE33!$P$7:$P$874,'30 days CF Table(Ccy)'!G27,BS_RE33!$F$7:$F$874,'30 days CF Table(Ccy)'!$C$2),2)</f>
        <v>0</v>
      </c>
      <c r="P27" s="337">
        <f>ROUND(SUMIFS(BS_RE33!$H$7:$H$874,BS_RE33!$S$7:$S$874,$P$2,BS_RE33!$N$7:$N$874,I27,BS_RE33!$P$7:$P$874,'30 days CF Table(Ccy)'!G27,BS_RE33!$F$7:$F$874,'30 days CF Table(Ccy)'!$C$2),2)</f>
        <v>0</v>
      </c>
      <c r="Q27" s="337">
        <f>ROUND(SUMIFS(BS_RE33!$H$7:$H$874,BS_RE33!$S$7:$S$874,$Q$2,BS_RE33!$N$7:$N$874,I27,BS_RE33!$P$7:$P$874,'30 days CF Table(Ccy)'!G27,BS_RE33!$F$7:$F$874,'30 days CF Table(Ccy)'!$C$2),2)</f>
        <v>0</v>
      </c>
      <c r="R27" s="337">
        <f>ROUND(SUMIFS(BS_RE33!$H$7:$H$874,BS_RE33!$S$7:$S$874,$R$2,BS_RE33!$N$7:$N$874,I27,BS_RE33!$P$7:$P$874,'30 days CF Table(Ccy)'!G27,BS_RE33!$F$7:$F$874,'30 days CF Table(Ccy)'!$C$2),2)</f>
        <v>0</v>
      </c>
      <c r="S27" s="337">
        <f>ROUND(SUMIFS(BS_RE33!$H$7:$H$874,BS_RE33!$S$7:$S$874,$S$2,BS_RE33!$N$7:$N$874,I27,BS_RE33!$P$7:$P$874,'30 days CF Table(Ccy)'!G27,BS_RE33!$F$7:$F$874,'30 days CF Table(Ccy)'!$C$2),2)</f>
        <v>0</v>
      </c>
      <c r="T27" s="337">
        <f>ROUND(SUMIFS(BS_RE33!$H$7:$H$874,BS_RE33!$S$7:$S$874,$T$2,BS_RE33!$N$7:$N$874,I27,BS_RE33!$P$7:$P$874,'30 days CF Table(Ccy)'!G27,BS_RE33!$F$7:$F$874,'30 days CF Table(Ccy)'!$C$2),2)</f>
        <v>0</v>
      </c>
      <c r="U27" s="337">
        <f>ROUND(SUMIFS(BS_RE33!$H$7:$H$874,BS_RE33!$S$7:$S$874,$U$2,BS_RE33!$N$7:$N$874,I27,BS_RE33!$P$7:$P$874,'30 days CF Table(Ccy)'!G27,BS_RE33!$F$7:$F$874,'30 days CF Table(Ccy)'!$C$2),2)</f>
        <v>0</v>
      </c>
      <c r="V27" s="337">
        <f>ROUND(SUMIFS(BS_RE33!$H$7:$H$874,BS_RE33!$S$7:$S$874,$V$2,BS_RE33!$N$7:$N$874,I27,BS_RE33!$P$7:$P$874,'30 days CF Table(Ccy)'!G27,BS_RE33!$F$7:$F$874,'30 days CF Table(Ccy)'!$C$2),2)</f>
        <v>0</v>
      </c>
      <c r="W27" s="337">
        <f>ROUND(SUMIFS(BS_RE33!$H$7:$H$874,BS_RE33!$S$7:$S$874,$W$2,BS_RE33!$N$7:$N$874,I27,BS_RE33!$P$7:$P$874,'30 days CF Table(Ccy)'!G27,BS_RE33!$F$7:$F$874,'30 days CF Table(Ccy)'!$C$2),2)</f>
        <v>0</v>
      </c>
      <c r="X27" s="337">
        <f>ROUND(SUMIFS(BS_RE33!$H$7:$H$874,BS_RE33!$S$7:$S$874,$X$2,BS_RE33!$N$7:$N$874,I27,BS_RE33!$P$7:$P$874,'30 days CF Table(Ccy)'!G27,BS_RE33!$F$7:$F$874,'30 days CF Table(Ccy)'!$C$2),2)</f>
        <v>0</v>
      </c>
      <c r="Y27" s="337">
        <f>ROUND(SUMIFS(BS_RE33!$H$7:$H$874,BS_RE33!$S$7:$S$874,$Y$2,BS_RE33!$N$7:$N$874,I27,BS_RE33!$P$7:$P$874,'30 days CF Table(Ccy)'!G27,BS_RE33!$F$7:$F$874,'30 days CF Table(Ccy)'!$C$2),2)</f>
        <v>0</v>
      </c>
      <c r="Z27" s="337">
        <f>ROUND(SUMIFS(BS_RE33!$H$7:$H$874,BS_RE33!$S$7:$S$874,$Z$2,BS_RE33!$N$7:$N$874,I27,BS_RE33!$P$7:$P$874,'30 days CF Table(Ccy)'!G27,BS_RE33!$F$7:$F$874,'30 days CF Table(Ccy)'!$C$2),2)</f>
        <v>0</v>
      </c>
      <c r="AA27" s="337">
        <f>ROUND(SUMIFS(BS_RE33!$H$7:$H$874,BS_RE33!$S$7:$S$874,$AA$2,BS_RE33!$N$7:$N$874,I27,BS_RE33!$P$7:$P$874,'30 days CF Table(Ccy)'!G27,BS_RE33!$F$7:$F$874,'30 days CF Table(Ccy)'!$C$2),2)</f>
        <v>0</v>
      </c>
      <c r="AB27" s="337">
        <f>ROUND(SUMIFS(BS_RE33!$H$7:$H$874,BS_RE33!$S$7:$S$874,$AB$2,BS_RE33!$N$7:$N$874,I27,BS_RE33!$P$7:$P$874,'30 days CF Table(Ccy)'!G27,BS_RE33!$F$7:$F$874,'30 days CF Table(Ccy)'!$C$2),2)</f>
        <v>0</v>
      </c>
      <c r="AC27" s="337">
        <f>ROUND(SUMIFS(BS_RE33!$H$7:$H$874,BS_RE33!$S$7:$S$874,$AC$2,BS_RE33!$N$7:$N$874,I27,BS_RE33!$P$7:$P$874,'30 days CF Table(Ccy)'!G27,BS_RE33!$F$7:$F$874,'30 days CF Table(Ccy)'!$C$2),2)</f>
        <v>0</v>
      </c>
      <c r="AD27" s="337">
        <f>ROUND(SUMIFS(BS_RE33!$H$7:$H$874,BS_RE33!$S$7:$S$874,$AD$2,BS_RE33!$N$7:$N$874,I27,BS_RE33!$P$7:$P$874,'30 days CF Table(Ccy)'!G27,BS_RE33!$F$7:$F$874,'30 days CF Table(Ccy)'!$C$2),2)</f>
        <v>0</v>
      </c>
      <c r="AE27" s="337">
        <f>ROUND(SUMIFS(BS_RE33!$H$7:$H$874,BS_RE33!$S$7:$S$874,$AE$2,BS_RE33!$N$7:$N$874,I27,BS_RE33!$P$7:$P$874,'30 days CF Table(Ccy)'!G27,BS_RE33!$F$7:$F$874,'30 days CF Table(Ccy)'!$C$2),2)</f>
        <v>0</v>
      </c>
      <c r="AF27" s="337">
        <f>ROUND(SUMIFS(BS_RE33!$H$7:$H$874,BS_RE33!$S$7:$S$874,$AF$2,BS_RE33!$N$7:$N$874,I27,BS_RE33!$P$7:$P$874,'30 days CF Table(Ccy)'!G27,BS_RE33!$F$7:$F$874,'30 days CF Table(Ccy)'!$C$2),2)</f>
        <v>0</v>
      </c>
      <c r="AG27" s="337">
        <f>ROUND(SUMIFS(BS_RE33!$H$7:$H$874,BS_RE33!$S$7:$S$874,$AG$2,BS_RE33!$N$7:$N$874,I27,BS_RE33!$P$7:$P$874,'30 days CF Table(Ccy)'!G27,BS_RE33!$F$7:$F$874,'30 days CF Table(Ccy)'!$C$2),2)</f>
        <v>0</v>
      </c>
      <c r="AH27" s="337">
        <f>ROUND(SUMIFS(BS_RE33!$H$7:$H$874,BS_RE33!$S$7:$S$874,$AH$2,BS_RE33!$N$7:$N$874,I27,BS_RE33!$P$7:$P$874,'30 days CF Table(Ccy)'!G27,BS_RE33!$F$7:$F$874,'30 days CF Table(Ccy)'!$C$2),2)</f>
        <v>0</v>
      </c>
      <c r="AI27" s="337">
        <f>ROUND(SUMIFS(BS_RE33!$H$7:$H$874,BS_RE33!$S$7:$S$874,$AI$2,BS_RE33!$N$7:$N$874,I27,BS_RE33!$P$7:$P$874,'30 days CF Table(Ccy)'!G27,BS_RE33!$F$7:$F$874,'30 days CF Table(Ccy)'!$C$2),2)</f>
        <v>0</v>
      </c>
      <c r="AJ27" s="337">
        <f>ROUND(SUMIFS(BS_RE33!$H$7:$H$874,BS_RE33!$S$7:$S$874,$AJ$2,BS_RE33!$N$7:$N$874,I27,BS_RE33!$P$7:$P$874,'30 days CF Table(Ccy)'!G27,BS_RE33!$F$7:$F$874,'30 days CF Table(Ccy)'!$C$2),2)</f>
        <v>0</v>
      </c>
      <c r="AK27" s="337">
        <f>ROUND(SUMIFS(BS_RE33!$H$7:$H$874,BS_RE33!$S$7:$S$874,$AK$2,BS_RE33!$N$7:$N$874,I27,BS_RE33!$P$7:$P$874,'30 days CF Table(Ccy)'!G27,BS_RE33!$F$7:$F$874,'30 days CF Table(Ccy)'!$C$2),2)</f>
        <v>0</v>
      </c>
      <c r="AL27" s="337">
        <f>ROUND(SUMIFS(BS_RE33!$H$7:$H$874,BS_RE33!$S$7:$S$874,$AL$2,BS_RE33!$N$7:$N$874,I27,BS_RE33!$P$7:$P$874,'30 days CF Table(Ccy)'!G27,BS_RE33!$F$7:$F$874,'30 days CF Table(Ccy)'!$C$2),2)</f>
        <v>0</v>
      </c>
      <c r="AM27" s="337">
        <f>ROUND(SUMIFS(BS_RE33!$H$7:$H$874,BS_RE33!$S$7:$S$874,$AM$2,BS_RE33!$N$7:$N$874,I27,BS_RE33!$P$7:$P$874,'30 days CF Table(Ccy)'!G27,BS_RE33!$F$7:$F$874,'30 days CF Table(Ccy)'!$C$2),2)</f>
        <v>0</v>
      </c>
      <c r="AN27" s="337">
        <f>ROUND(SUMIFS(BS_RE33!$H$7:$H$874,BS_RE33!$S$7:$S$874,$AN$2,BS_RE33!$N$7:$N$874,I27,BS_RE33!$P$7:$P$874,'30 days CF Table(Ccy)'!G27,BS_RE33!$F$7:$F$874,'30 days CF Table(Ccy)'!$C$2),2)</f>
        <v>0</v>
      </c>
      <c r="AO27" s="337">
        <f>ROUND(SUMIFS(BS_RE33!$H$7:$H$874,BS_RE33!$S$7:$S$874,$AO$2,BS_RE33!$N$7:$N$874,I27,BS_RE33!$P$7:$P$874,'30 days CF Table(Ccy)'!G27,BS_RE33!$F$7:$F$874,'30 days CF Table(Ccy)'!$C$2),2)</f>
        <v>0</v>
      </c>
      <c r="AP27" s="338">
        <f>ROUND(SUMIFS(BS_RE33!$H$7:$H$874,BS_RE33!$S$7:$S$874,$AP$2,BS_RE33!$N$7:$N$874,I27,BS_RE33!$P$7:$P$874,'30 days CF Table(Ccy)'!G27,BS_RE33!$F$7:$F$874,'30 days CF Table(Ccy)'!$C$2),2)</f>
        <v>0</v>
      </c>
      <c r="AR27" s="379">
        <f>ROUND(SUMIFS(BS_RE33!$H$7:$H$874,BS_RE33!$S$7:$S$874,$AR$2,BS_RE33!$N$7:$N$874,I27,BS_RE33!$P$7:$P$874,'30 days CF Table(Ccy)'!G27,BS_RE33!$F$7:$F$874,'30 days CF Table(Ccy)'!$C$2),2)</f>
        <v>0</v>
      </c>
      <c r="AS27" s="379">
        <f>ROUND(SUMIFS(BS_RE33!$H$7:$H$874,BS_RE33!$S$7:$S$874,$AS$2,BS_RE33!$N$7:$N$874,I27,BS_RE33!$P$7:$P$874,'30 days CF Table(Ccy)'!G27,BS_RE33!$F$7:$F$874,'30 days CF Table(Ccy)'!$C$2),2)</f>
        <v>0</v>
      </c>
      <c r="AT27" s="379">
        <f>ROUND(SUMIFS(BS_RE33!$H$7:$H$874,BS_RE33!$S$7:$S$874,$AT$2,BS_RE33!$N$7:$N$874,I27,BS_RE33!$P$7:$P$874,'30 days CF Table(Ccy)'!G27,BS_RE33!$F$7:$F$874,'30 days CF Table(Ccy)'!$C$2),2)</f>
        <v>0</v>
      </c>
      <c r="AU27" s="379">
        <f>ROUND(SUMIFS(BS_RE33!$H$7:$H$874,BS_RE33!$S$7:$S$874,$AU$2,BS_RE33!$N$7:$N$874,I27,BS_RE33!$P$7:$P$874,'30 days CF Table(Ccy)'!G27,BS_RE33!$F$7:$F$874,'30 days CF Table(Ccy)'!$C$2),2)</f>
        <v>0</v>
      </c>
      <c r="AV27" s="379">
        <f>ROUND(SUMIFS(BS_RE33!$H$7:$H$874,BS_RE33!$S$7:$S$874,$AV$2,BS_RE33!$N$7:$N$874,I27,BS_RE33!$P$7:$P$874,'30 days CF Table(Ccy)'!G27,BS_RE33!$F$7:$F$874,'30 days CF Table(Ccy)'!$C$2),2)</f>
        <v>0</v>
      </c>
      <c r="AW27" s="379">
        <f>ROUND(SUMIFS(BS_RE33!$H$7:$H$874,BS_RE33!$S$7:$S$874,$AW$2,BS_RE33!$N$7:$N$874,I27,BS_RE33!$P$7:$P$874,'30 days CF Table(Ccy)'!G27,BS_RE33!$F$7:$F$874,'30 days CF Table(Ccy)'!$C$2),2)</f>
        <v>0</v>
      </c>
      <c r="AX27" s="379">
        <f>ROUND(SUMIFS(BS_RE33!$H$7:$H$874,BS_RE33!$S$7:$S$874,$AX$2,BS_RE33!$N$7:$N$874,I27,BS_RE33!$P$7:$P$874,'30 days CF Table(Ccy)'!G27,BS_RE33!$F$7:$F$874,'30 days CF Table(Ccy)'!$C$2),2)</f>
        <v>0</v>
      </c>
      <c r="AY27" s="379">
        <f>ROUND(SUMIFS(BS_RE33!$H$7:$H$874,BS_RE33!$S$7:$S$874,$AY$2,BS_RE33!$N$7:$N$874,I27,BS_RE33!$P$7:$P$874,'30 days CF Table(Ccy)'!G27,BS_RE33!$F$7:$F$874,'30 days CF Table(Ccy)'!$C$2),2)</f>
        <v>0</v>
      </c>
      <c r="AZ27" s="379">
        <f>ROUND(SUMIFS(BS_RE33!$H$7:$H$874,BS_RE33!$S$7:$S$874,$AZ$2,BS_RE33!$N$7:$N$874,I27,BS_RE33!$P$7:$P$874,'30 days CF Table(Ccy)'!G27,BS_RE33!$F$7:$F$874,'30 days CF Table(Ccy)'!$C$2),2)</f>
        <v>0</v>
      </c>
      <c r="BA27" s="379">
        <f>ROUND(SUMIFS(BS_RE33!$H$7:$H$874,BS_RE33!$S$7:$S$874,$BA$2,BS_RE33!$N$7:$N$874,I27,BS_RE33!$P$7:$P$874,'30 days CF Table(Ccy)'!G27,BS_RE33!$F$7:$F$874,'30 days CF Table(Ccy)'!$C$2),2)</f>
        <v>0</v>
      </c>
      <c r="BB27" s="379">
        <f>ROUND(SUMIFS(BS_RE33!$H$7:$H$874,BS_RE33!$S$7:$S$874,$BB$2,BS_RE33!$N$7:$N$874,I27,BS_RE33!$P$7:$P$874,'30 days CF Table(Ccy)'!G27,BS_RE33!$F$7:$F$874,'30 days CF Table(Ccy)'!$C$2),2)</f>
        <v>0</v>
      </c>
      <c r="BC27" s="379">
        <f>ROUND(SUMIFS(BS_RE33!$H$7:$H$874,BS_RE33!$S$7:$S$874,$BC$2,BS_RE33!$N$7:$N$874,I27,BS_RE33!$P$7:$P$874,'30 days CF Table(Ccy)'!G27,BS_RE33!$F$7:$F$874,'30 days CF Table(Ccy)'!$C$2),2)</f>
        <v>0</v>
      </c>
      <c r="BD27" s="379">
        <f>ROUND(SUMIFS(BS_RE33!$H$7:$H$874,BS_RE33!$S$7:$S$874,$BD$2,BS_RE33!$N$7:$N$874,I27,BS_RE33!$P$7:$P$874,'30 days CF Table(Ccy)'!G27,BS_RE33!$F$7:$F$874,'30 days CF Table(Ccy)'!$C$2),2)</f>
        <v>0</v>
      </c>
      <c r="BE27" s="379">
        <f>ROUND(SUMIFS(BS_RE33!$H$7:$H$874,BS_RE33!$S$7:$S$874,$BE$2,BS_RE33!$N$7:$N$874,I27,BS_RE33!$P$7:$P$874,'30 days CF Table(Ccy)'!G27,BS_RE33!$F$7:$F$874,'30 days CF Table(Ccy)'!$C$2),2)</f>
        <v>0</v>
      </c>
      <c r="BF27" s="379">
        <f>ROUND(SUMIFS(BS_RE33!$H$7:$H$874,BS_RE33!$S$7:$S$874,$BF$2,BS_RE33!$N$7:$N$874,I27,BS_RE33!$P$7:$P$874,'30 days CF Table(Ccy)'!G27,BS_RE33!$F$7:$F$874,'30 days CF Table(Ccy)'!$C$2),2)</f>
        <v>0</v>
      </c>
      <c r="BG27" s="379">
        <f>ROUND(SUMIFS(BS_RE33!$H$7:$H$874,BS_RE33!$S$7:$S$874,$BG$2,BS_RE33!$N$7:$N$874,I27,BS_RE33!$P$7:$P$874,'30 days CF Table(Ccy)'!G27,BS_RE33!$F$7:$F$874,'30 days CF Table(Ccy)'!$C$2),2)</f>
        <v>0</v>
      </c>
      <c r="BH27" s="379">
        <f>ROUND(SUMIFS(BS_RE33!$H$7:$H$874,BS_RE33!$S$7:$S$874,$BH$2,BS_RE33!$N$7:$N$874,I27,BS_RE33!$P$7:$P$874,'30 days CF Table(Ccy)'!G27,BS_RE33!$F$7:$F$874,'30 days CF Table(Ccy)'!$C$2),2)</f>
        <v>0</v>
      </c>
      <c r="BI27" s="379">
        <f>ROUND(SUMIFS(BS_RE33!$H$7:$H$874,BS_RE33!$S$7:$S$874,$BI$2,BS_RE33!$N$7:$N$874,I27,BS_RE33!$P$7:$P$874,'30 days CF Table(Ccy)'!G27,BS_RE33!$F$7:$F$874,'30 days CF Table(Ccy)'!$C$2),2)</f>
        <v>0</v>
      </c>
      <c r="BJ27" s="379">
        <f>ROUND(SUMIFS(BS_RE33!$H$7:$H$874,BS_RE33!$S$7:$S$874,$BJ$2,BS_RE33!$N$7:$N$874,I27,BS_RE33!$P$7:$P$874,'30 days CF Table(Ccy)'!G27,BS_RE33!$F$7:$F$874,'30 days CF Table(Ccy)'!$C$2),2)</f>
        <v>0</v>
      </c>
      <c r="BK27" s="379">
        <f>ROUND(SUMIFS(BS_RE33!$H$7:$H$874,BS_RE33!$S$7:$S$874,$BK$2,BS_RE33!$N$7:$N$874,I27,BS_RE33!$P$7:$P$874,'30 days CF Table(Ccy)'!G27,BS_RE33!$F$7:$F$874,'30 days CF Table(Ccy)'!$C$2),2)</f>
        <v>0</v>
      </c>
    </row>
    <row r="28" spans="1:63">
      <c r="C28" s="1029"/>
      <c r="D28" s="1039"/>
      <c r="E28" s="40" t="s">
        <v>79</v>
      </c>
      <c r="F28" s="560" t="s">
        <v>492</v>
      </c>
      <c r="G28" s="392" t="s">
        <v>516</v>
      </c>
      <c r="H28" s="314">
        <v>0.25</v>
      </c>
      <c r="I28" s="315" t="s">
        <v>80</v>
      </c>
      <c r="J28" s="479">
        <f t="shared" si="2"/>
        <v>0</v>
      </c>
      <c r="K28" s="336">
        <f t="shared" si="3"/>
        <v>0</v>
      </c>
      <c r="L28" s="337">
        <f>ROUND(SUMIFS(BS_RE33!$H$7:$H$874,BS_RE33!$S$7:$S$874,$L$2,BS_RE33!$N$7:$N$874,I28,BS_RE33!$P$7:$P$874,'30 days CF Table(Ccy)'!G28,BS_RE33!$F$7:$F$874,'30 days CF Table(Ccy)'!$C$2),2)</f>
        <v>0</v>
      </c>
      <c r="M28" s="337">
        <f>ROUND(SUMIFS(BS_RE33!$H$7:$H$874,BS_RE33!$S$7:$S$874,$M$2,BS_RE33!$N$7:$N$874,I28,BS_RE33!$P$7:$P$874,'30 days CF Table(Ccy)'!G28,BS_RE33!$F$7:$F$874,'30 days CF Table(Ccy)'!$C$2),2)</f>
        <v>0</v>
      </c>
      <c r="N28" s="337">
        <f>ROUND(SUMIFS(BS_RE33!$H$7:$H$874,BS_RE33!$S$7:$S$874,$N$2,BS_RE33!$N$7:$N$874,I28,BS_RE33!$P$7:$P$874,'30 days CF Table(Ccy)'!G28,BS_RE33!$F$7:$F$874,'30 days CF Table(Ccy)'!$C$2),2)</f>
        <v>0</v>
      </c>
      <c r="O28" s="337">
        <f>ROUND(SUMIFS(BS_RE33!$H$7:$H$874,BS_RE33!$S$7:$S$874,$O$2,BS_RE33!$N$7:$N$874,I28,BS_RE33!$P$7:$P$874,'30 days CF Table(Ccy)'!G28,BS_RE33!$F$7:$F$874,'30 days CF Table(Ccy)'!$C$2),2)</f>
        <v>0</v>
      </c>
      <c r="P28" s="337">
        <f>ROUND(SUMIFS(BS_RE33!$H$7:$H$874,BS_RE33!$S$7:$S$874,$P$2,BS_RE33!$N$7:$N$874,I28,BS_RE33!$P$7:$P$874,'30 days CF Table(Ccy)'!G28,BS_RE33!$F$7:$F$874,'30 days CF Table(Ccy)'!$C$2),2)</f>
        <v>0</v>
      </c>
      <c r="Q28" s="337">
        <f>ROUND(SUMIFS(BS_RE33!$H$7:$H$874,BS_RE33!$S$7:$S$874,$Q$2,BS_RE33!$N$7:$N$874,I28,BS_RE33!$P$7:$P$874,'30 days CF Table(Ccy)'!G28,BS_RE33!$F$7:$F$874,'30 days CF Table(Ccy)'!$C$2),2)</f>
        <v>0</v>
      </c>
      <c r="R28" s="337">
        <f>ROUND(SUMIFS(BS_RE33!$H$7:$H$874,BS_RE33!$S$7:$S$874,$R$2,BS_RE33!$N$7:$N$874,I28,BS_RE33!$P$7:$P$874,'30 days CF Table(Ccy)'!G28,BS_RE33!$F$7:$F$874,'30 days CF Table(Ccy)'!$C$2),2)</f>
        <v>0</v>
      </c>
      <c r="S28" s="337">
        <f>ROUND(SUMIFS(BS_RE33!$H$7:$H$874,BS_RE33!$S$7:$S$874,$S$2,BS_RE33!$N$7:$N$874,I28,BS_RE33!$P$7:$P$874,'30 days CF Table(Ccy)'!G28,BS_RE33!$F$7:$F$874,'30 days CF Table(Ccy)'!$C$2),2)</f>
        <v>0</v>
      </c>
      <c r="T28" s="337">
        <f>ROUND(SUMIFS(BS_RE33!$H$7:$H$874,BS_RE33!$S$7:$S$874,$T$2,BS_RE33!$N$7:$N$874,I28,BS_RE33!$P$7:$P$874,'30 days CF Table(Ccy)'!G28,BS_RE33!$F$7:$F$874,'30 days CF Table(Ccy)'!$C$2),2)</f>
        <v>0</v>
      </c>
      <c r="U28" s="337">
        <f>ROUND(SUMIFS(BS_RE33!$H$7:$H$874,BS_RE33!$S$7:$S$874,$U$2,BS_RE33!$N$7:$N$874,I28,BS_RE33!$P$7:$P$874,'30 days CF Table(Ccy)'!G28,BS_RE33!$F$7:$F$874,'30 days CF Table(Ccy)'!$C$2),2)</f>
        <v>0</v>
      </c>
      <c r="V28" s="337">
        <f>ROUND(SUMIFS(BS_RE33!$H$7:$H$874,BS_RE33!$S$7:$S$874,$V$2,BS_RE33!$N$7:$N$874,I28,BS_RE33!$P$7:$P$874,'30 days CF Table(Ccy)'!G28,BS_RE33!$F$7:$F$874,'30 days CF Table(Ccy)'!$C$2),2)</f>
        <v>0</v>
      </c>
      <c r="W28" s="337">
        <f>ROUND(SUMIFS(BS_RE33!$H$7:$H$874,BS_RE33!$S$7:$S$874,$W$2,BS_RE33!$N$7:$N$874,I28,BS_RE33!$P$7:$P$874,'30 days CF Table(Ccy)'!G28,BS_RE33!$F$7:$F$874,'30 days CF Table(Ccy)'!$C$2),2)</f>
        <v>0</v>
      </c>
      <c r="X28" s="337">
        <f>ROUND(SUMIFS(BS_RE33!$H$7:$H$874,BS_RE33!$S$7:$S$874,$X$2,BS_RE33!$N$7:$N$874,I28,BS_RE33!$P$7:$P$874,'30 days CF Table(Ccy)'!G28,BS_RE33!$F$7:$F$874,'30 days CF Table(Ccy)'!$C$2),2)</f>
        <v>0</v>
      </c>
      <c r="Y28" s="337">
        <f>ROUND(SUMIFS(BS_RE33!$H$7:$H$874,BS_RE33!$S$7:$S$874,$Y$2,BS_RE33!$N$7:$N$874,I28,BS_RE33!$P$7:$P$874,'30 days CF Table(Ccy)'!G28,BS_RE33!$F$7:$F$874,'30 days CF Table(Ccy)'!$C$2),2)</f>
        <v>0</v>
      </c>
      <c r="Z28" s="337">
        <f>ROUND(SUMIFS(BS_RE33!$H$7:$H$874,BS_RE33!$S$7:$S$874,$Z$2,BS_RE33!$N$7:$N$874,I28,BS_RE33!$P$7:$P$874,'30 days CF Table(Ccy)'!G28,BS_RE33!$F$7:$F$874,'30 days CF Table(Ccy)'!$C$2),2)</f>
        <v>0</v>
      </c>
      <c r="AA28" s="337">
        <f>ROUND(SUMIFS(BS_RE33!$H$7:$H$874,BS_RE33!$S$7:$S$874,$AA$2,BS_RE33!$N$7:$N$874,I28,BS_RE33!$P$7:$P$874,'30 days CF Table(Ccy)'!G28,BS_RE33!$F$7:$F$874,'30 days CF Table(Ccy)'!$C$2),2)</f>
        <v>0</v>
      </c>
      <c r="AB28" s="337">
        <f>ROUND(SUMIFS(BS_RE33!$H$7:$H$874,BS_RE33!$S$7:$S$874,$AB$2,BS_RE33!$N$7:$N$874,I28,BS_RE33!$P$7:$P$874,'30 days CF Table(Ccy)'!G28,BS_RE33!$F$7:$F$874,'30 days CF Table(Ccy)'!$C$2),2)</f>
        <v>0</v>
      </c>
      <c r="AC28" s="337">
        <f>ROUND(SUMIFS(BS_RE33!$H$7:$H$874,BS_RE33!$S$7:$S$874,$AC$2,BS_RE33!$N$7:$N$874,I28,BS_RE33!$P$7:$P$874,'30 days CF Table(Ccy)'!G28,BS_RE33!$F$7:$F$874,'30 days CF Table(Ccy)'!$C$2),2)</f>
        <v>0</v>
      </c>
      <c r="AD28" s="337">
        <f>ROUND(SUMIFS(BS_RE33!$H$7:$H$874,BS_RE33!$S$7:$S$874,$AD$2,BS_RE33!$N$7:$N$874,I28,BS_RE33!$P$7:$P$874,'30 days CF Table(Ccy)'!G28,BS_RE33!$F$7:$F$874,'30 days CF Table(Ccy)'!$C$2),2)</f>
        <v>0</v>
      </c>
      <c r="AE28" s="337">
        <f>ROUND(SUMIFS(BS_RE33!$H$7:$H$874,BS_RE33!$S$7:$S$874,$AE$2,BS_RE33!$N$7:$N$874,I28,BS_RE33!$P$7:$P$874,'30 days CF Table(Ccy)'!G28,BS_RE33!$F$7:$F$874,'30 days CF Table(Ccy)'!$C$2),2)</f>
        <v>0</v>
      </c>
      <c r="AF28" s="337">
        <f>ROUND(SUMIFS(BS_RE33!$H$7:$H$874,BS_RE33!$S$7:$S$874,$AF$2,BS_RE33!$N$7:$N$874,I28,BS_RE33!$P$7:$P$874,'30 days CF Table(Ccy)'!G28,BS_RE33!$F$7:$F$874,'30 days CF Table(Ccy)'!$C$2),2)</f>
        <v>0</v>
      </c>
      <c r="AG28" s="337">
        <f>ROUND(SUMIFS(BS_RE33!$H$7:$H$874,BS_RE33!$S$7:$S$874,$AG$2,BS_RE33!$N$7:$N$874,I28,BS_RE33!$P$7:$P$874,'30 days CF Table(Ccy)'!G28,BS_RE33!$F$7:$F$874,'30 days CF Table(Ccy)'!$C$2),2)</f>
        <v>0</v>
      </c>
      <c r="AH28" s="337">
        <f>ROUND(SUMIFS(BS_RE33!$H$7:$H$874,BS_RE33!$S$7:$S$874,$AH$2,BS_RE33!$N$7:$N$874,I28,BS_RE33!$P$7:$P$874,'30 days CF Table(Ccy)'!G28,BS_RE33!$F$7:$F$874,'30 days CF Table(Ccy)'!$C$2),2)</f>
        <v>0</v>
      </c>
      <c r="AI28" s="337">
        <f>ROUND(SUMIFS(BS_RE33!$H$7:$H$874,BS_RE33!$S$7:$S$874,$AI$2,BS_RE33!$N$7:$N$874,I28,BS_RE33!$P$7:$P$874,'30 days CF Table(Ccy)'!G28,BS_RE33!$F$7:$F$874,'30 days CF Table(Ccy)'!$C$2),2)</f>
        <v>0</v>
      </c>
      <c r="AJ28" s="337">
        <f>ROUND(SUMIFS(BS_RE33!$H$7:$H$874,BS_RE33!$S$7:$S$874,$AJ$2,BS_RE33!$N$7:$N$874,I28,BS_RE33!$P$7:$P$874,'30 days CF Table(Ccy)'!G28,BS_RE33!$F$7:$F$874,'30 days CF Table(Ccy)'!$C$2),2)</f>
        <v>0</v>
      </c>
      <c r="AK28" s="337">
        <f>ROUND(SUMIFS(BS_RE33!$H$7:$H$874,BS_RE33!$S$7:$S$874,$AK$2,BS_RE33!$N$7:$N$874,I28,BS_RE33!$P$7:$P$874,'30 days CF Table(Ccy)'!G28,BS_RE33!$F$7:$F$874,'30 days CF Table(Ccy)'!$C$2),2)</f>
        <v>0</v>
      </c>
      <c r="AL28" s="337">
        <f>ROUND(SUMIFS(BS_RE33!$H$7:$H$874,BS_RE33!$S$7:$S$874,$AL$2,BS_RE33!$N$7:$N$874,I28,BS_RE33!$P$7:$P$874,'30 days CF Table(Ccy)'!G28,BS_RE33!$F$7:$F$874,'30 days CF Table(Ccy)'!$C$2),2)</f>
        <v>0</v>
      </c>
      <c r="AM28" s="337">
        <f>ROUND(SUMIFS(BS_RE33!$H$7:$H$874,BS_RE33!$S$7:$S$874,$AM$2,BS_RE33!$N$7:$N$874,I28,BS_RE33!$P$7:$P$874,'30 days CF Table(Ccy)'!G28,BS_RE33!$F$7:$F$874,'30 days CF Table(Ccy)'!$C$2),2)</f>
        <v>0</v>
      </c>
      <c r="AN28" s="337">
        <f>ROUND(SUMIFS(BS_RE33!$H$7:$H$874,BS_RE33!$S$7:$S$874,$AN$2,BS_RE33!$N$7:$N$874,I28,BS_RE33!$P$7:$P$874,'30 days CF Table(Ccy)'!G28,BS_RE33!$F$7:$F$874,'30 days CF Table(Ccy)'!$C$2),2)</f>
        <v>0</v>
      </c>
      <c r="AO28" s="337">
        <f>ROUND(SUMIFS(BS_RE33!$H$7:$H$874,BS_RE33!$S$7:$S$874,$AO$2,BS_RE33!$N$7:$N$874,I28,BS_RE33!$P$7:$P$874,'30 days CF Table(Ccy)'!G28,BS_RE33!$F$7:$F$874,'30 days CF Table(Ccy)'!$C$2),2)</f>
        <v>0</v>
      </c>
      <c r="AP28" s="338">
        <f>ROUND(SUMIFS(BS_RE33!$H$7:$H$874,BS_RE33!$S$7:$S$874,$AP$2,BS_RE33!$N$7:$N$874,I28,BS_RE33!$P$7:$P$874,'30 days CF Table(Ccy)'!G28,BS_RE33!$F$7:$F$874,'30 days CF Table(Ccy)'!$C$2),2)</f>
        <v>0</v>
      </c>
      <c r="AR28" s="379">
        <f>ROUND(SUMIFS(BS_RE33!$H$7:$H$874,BS_RE33!$S$7:$S$874,$AR$2,BS_RE33!$N$7:$N$874,I28,BS_RE33!$P$7:$P$874,'30 days CF Table(Ccy)'!G28,BS_RE33!$F$7:$F$874,'30 days CF Table(Ccy)'!$C$2),2)</f>
        <v>0</v>
      </c>
      <c r="AS28" s="379">
        <f>ROUND(SUMIFS(BS_RE33!$H$7:$H$874,BS_RE33!$S$7:$S$874,$AS$2,BS_RE33!$N$7:$N$874,I28,BS_RE33!$P$7:$P$874,'30 days CF Table(Ccy)'!G28,BS_RE33!$F$7:$F$874,'30 days CF Table(Ccy)'!$C$2),2)</f>
        <v>0</v>
      </c>
      <c r="AT28" s="379">
        <f>ROUND(SUMIFS(BS_RE33!$H$7:$H$874,BS_RE33!$S$7:$S$874,$AT$2,BS_RE33!$N$7:$N$874,I28,BS_RE33!$P$7:$P$874,'30 days CF Table(Ccy)'!G28,BS_RE33!$F$7:$F$874,'30 days CF Table(Ccy)'!$C$2),2)</f>
        <v>0</v>
      </c>
      <c r="AU28" s="379">
        <f>ROUND(SUMIFS(BS_RE33!$H$7:$H$874,BS_RE33!$S$7:$S$874,$AU$2,BS_RE33!$N$7:$N$874,I28,BS_RE33!$P$7:$P$874,'30 days CF Table(Ccy)'!G28,BS_RE33!$F$7:$F$874,'30 days CF Table(Ccy)'!$C$2),2)</f>
        <v>0</v>
      </c>
      <c r="AV28" s="379">
        <f>ROUND(SUMIFS(BS_RE33!$H$7:$H$874,BS_RE33!$S$7:$S$874,$AV$2,BS_RE33!$N$7:$N$874,I28,BS_RE33!$P$7:$P$874,'30 days CF Table(Ccy)'!G28,BS_RE33!$F$7:$F$874,'30 days CF Table(Ccy)'!$C$2),2)</f>
        <v>0</v>
      </c>
      <c r="AW28" s="379">
        <f>ROUND(SUMIFS(BS_RE33!$H$7:$H$874,BS_RE33!$S$7:$S$874,$AW$2,BS_RE33!$N$7:$N$874,I28,BS_RE33!$P$7:$P$874,'30 days CF Table(Ccy)'!G28,BS_RE33!$F$7:$F$874,'30 days CF Table(Ccy)'!$C$2),2)</f>
        <v>0</v>
      </c>
      <c r="AX28" s="379">
        <f>ROUND(SUMIFS(BS_RE33!$H$7:$H$874,BS_RE33!$S$7:$S$874,$AX$2,BS_RE33!$N$7:$N$874,I28,BS_RE33!$P$7:$P$874,'30 days CF Table(Ccy)'!G28,BS_RE33!$F$7:$F$874,'30 days CF Table(Ccy)'!$C$2),2)</f>
        <v>0</v>
      </c>
      <c r="AY28" s="379">
        <f>ROUND(SUMIFS(BS_RE33!$H$7:$H$874,BS_RE33!$S$7:$S$874,$AY$2,BS_RE33!$N$7:$N$874,I28,BS_RE33!$P$7:$P$874,'30 days CF Table(Ccy)'!G28,BS_RE33!$F$7:$F$874,'30 days CF Table(Ccy)'!$C$2),2)</f>
        <v>0</v>
      </c>
      <c r="AZ28" s="379">
        <f>ROUND(SUMIFS(BS_RE33!$H$7:$H$874,BS_RE33!$S$7:$S$874,$AZ$2,BS_RE33!$N$7:$N$874,I28,BS_RE33!$P$7:$P$874,'30 days CF Table(Ccy)'!G28,BS_RE33!$F$7:$F$874,'30 days CF Table(Ccy)'!$C$2),2)</f>
        <v>0</v>
      </c>
      <c r="BA28" s="379">
        <f>ROUND(SUMIFS(BS_RE33!$H$7:$H$874,BS_RE33!$S$7:$S$874,$BA$2,BS_RE33!$N$7:$N$874,I28,BS_RE33!$P$7:$P$874,'30 days CF Table(Ccy)'!G28,BS_RE33!$F$7:$F$874,'30 days CF Table(Ccy)'!$C$2),2)</f>
        <v>0</v>
      </c>
      <c r="BB28" s="379">
        <f>ROUND(SUMIFS(BS_RE33!$H$7:$H$874,BS_RE33!$S$7:$S$874,$BB$2,BS_RE33!$N$7:$N$874,I28,BS_RE33!$P$7:$P$874,'30 days CF Table(Ccy)'!G28,BS_RE33!$F$7:$F$874,'30 days CF Table(Ccy)'!$C$2),2)</f>
        <v>0</v>
      </c>
      <c r="BC28" s="379">
        <f>ROUND(SUMIFS(BS_RE33!$H$7:$H$874,BS_RE33!$S$7:$S$874,$BC$2,BS_RE33!$N$7:$N$874,I28,BS_RE33!$P$7:$P$874,'30 days CF Table(Ccy)'!G28,BS_RE33!$F$7:$F$874,'30 days CF Table(Ccy)'!$C$2),2)</f>
        <v>0</v>
      </c>
      <c r="BD28" s="379">
        <f>ROUND(SUMIFS(BS_RE33!$H$7:$H$874,BS_RE33!$S$7:$S$874,$BD$2,BS_RE33!$N$7:$N$874,I28,BS_RE33!$P$7:$P$874,'30 days CF Table(Ccy)'!G28,BS_RE33!$F$7:$F$874,'30 days CF Table(Ccy)'!$C$2),2)</f>
        <v>0</v>
      </c>
      <c r="BE28" s="379">
        <f>ROUND(SUMIFS(BS_RE33!$H$7:$H$874,BS_RE33!$S$7:$S$874,$BE$2,BS_RE33!$N$7:$N$874,I28,BS_RE33!$P$7:$P$874,'30 days CF Table(Ccy)'!G28,BS_RE33!$F$7:$F$874,'30 days CF Table(Ccy)'!$C$2),2)</f>
        <v>0</v>
      </c>
      <c r="BF28" s="379">
        <f>ROUND(SUMIFS(BS_RE33!$H$7:$H$874,BS_RE33!$S$7:$S$874,$BF$2,BS_RE33!$N$7:$N$874,I28,BS_RE33!$P$7:$P$874,'30 days CF Table(Ccy)'!G28,BS_RE33!$F$7:$F$874,'30 days CF Table(Ccy)'!$C$2),2)</f>
        <v>0</v>
      </c>
      <c r="BG28" s="379">
        <f>ROUND(SUMIFS(BS_RE33!$H$7:$H$874,BS_RE33!$S$7:$S$874,$BG$2,BS_RE33!$N$7:$N$874,I28,BS_RE33!$P$7:$P$874,'30 days CF Table(Ccy)'!G28,BS_RE33!$F$7:$F$874,'30 days CF Table(Ccy)'!$C$2),2)</f>
        <v>0</v>
      </c>
      <c r="BH28" s="379">
        <f>ROUND(SUMIFS(BS_RE33!$H$7:$H$874,BS_RE33!$S$7:$S$874,$BH$2,BS_RE33!$N$7:$N$874,I28,BS_RE33!$P$7:$P$874,'30 days CF Table(Ccy)'!G28,BS_RE33!$F$7:$F$874,'30 days CF Table(Ccy)'!$C$2),2)</f>
        <v>0</v>
      </c>
      <c r="BI28" s="379">
        <f>ROUND(SUMIFS(BS_RE33!$H$7:$H$874,BS_RE33!$S$7:$S$874,$BI$2,BS_RE33!$N$7:$N$874,I28,BS_RE33!$P$7:$P$874,'30 days CF Table(Ccy)'!G28,BS_RE33!$F$7:$F$874,'30 days CF Table(Ccy)'!$C$2),2)</f>
        <v>0</v>
      </c>
      <c r="BJ28" s="379">
        <f>ROUND(SUMIFS(BS_RE33!$H$7:$H$874,BS_RE33!$S$7:$S$874,$BJ$2,BS_RE33!$N$7:$N$874,I28,BS_RE33!$P$7:$P$874,'30 days CF Table(Ccy)'!G28,BS_RE33!$F$7:$F$874,'30 days CF Table(Ccy)'!$C$2),2)</f>
        <v>0</v>
      </c>
      <c r="BK28" s="379">
        <f>ROUND(SUMIFS(BS_RE33!$H$7:$H$874,BS_RE33!$S$7:$S$874,$BK$2,BS_RE33!$N$7:$N$874,I28,BS_RE33!$P$7:$P$874,'30 days CF Table(Ccy)'!G28,BS_RE33!$F$7:$F$874,'30 days CF Table(Ccy)'!$C$2),2)</f>
        <v>0</v>
      </c>
    </row>
    <row r="29" spans="1:63">
      <c r="C29" s="1029"/>
      <c r="D29" s="1039"/>
      <c r="E29" s="306" t="s">
        <v>79</v>
      </c>
      <c r="F29" s="560" t="s">
        <v>493</v>
      </c>
      <c r="G29" s="392" t="s">
        <v>517</v>
      </c>
      <c r="H29" s="314">
        <v>0.25</v>
      </c>
      <c r="I29" s="315" t="s">
        <v>80</v>
      </c>
      <c r="J29" s="479">
        <f t="shared" si="2"/>
        <v>0</v>
      </c>
      <c r="K29" s="336">
        <f t="shared" si="3"/>
        <v>0</v>
      </c>
      <c r="L29" s="337">
        <f>ROUND(SUMIFS(BS_RE33!$H$7:$H$874,BS_RE33!$S$7:$S$874,$L$2,BS_RE33!$N$7:$N$874,I29,BS_RE33!$P$7:$P$874,'30 days CF Table(Ccy)'!G29,BS_RE33!$F$7:$F$874,'30 days CF Table(Ccy)'!$C$2),2)</f>
        <v>0</v>
      </c>
      <c r="M29" s="337">
        <f>ROUND(SUMIFS(BS_RE33!$H$7:$H$874,BS_RE33!$S$7:$S$874,$M$2,BS_RE33!$N$7:$N$874,I29,BS_RE33!$P$7:$P$874,'30 days CF Table(Ccy)'!G29,BS_RE33!$F$7:$F$874,'30 days CF Table(Ccy)'!$C$2),2)</f>
        <v>0</v>
      </c>
      <c r="N29" s="337">
        <f>ROUND(SUMIFS(BS_RE33!$H$7:$H$874,BS_RE33!$S$7:$S$874,$N$2,BS_RE33!$N$7:$N$874,I29,BS_RE33!$P$7:$P$874,'30 days CF Table(Ccy)'!G29,BS_RE33!$F$7:$F$874,'30 days CF Table(Ccy)'!$C$2),2)</f>
        <v>0</v>
      </c>
      <c r="O29" s="337">
        <f>ROUND(SUMIFS(BS_RE33!$H$7:$H$874,BS_RE33!$S$7:$S$874,$O$2,BS_RE33!$N$7:$N$874,I29,BS_RE33!$P$7:$P$874,'30 days CF Table(Ccy)'!G29,BS_RE33!$F$7:$F$874,'30 days CF Table(Ccy)'!$C$2),2)</f>
        <v>0</v>
      </c>
      <c r="P29" s="337">
        <f>ROUND(SUMIFS(BS_RE33!$H$7:$H$874,BS_RE33!$S$7:$S$874,$P$2,BS_RE33!$N$7:$N$874,I29,BS_RE33!$P$7:$P$874,'30 days CF Table(Ccy)'!G29,BS_RE33!$F$7:$F$874,'30 days CF Table(Ccy)'!$C$2),2)</f>
        <v>0</v>
      </c>
      <c r="Q29" s="337">
        <f>ROUND(SUMIFS(BS_RE33!$H$7:$H$874,BS_RE33!$S$7:$S$874,$Q$2,BS_RE33!$N$7:$N$874,I29,BS_RE33!$P$7:$P$874,'30 days CF Table(Ccy)'!G29,BS_RE33!$F$7:$F$874,'30 days CF Table(Ccy)'!$C$2),2)</f>
        <v>0</v>
      </c>
      <c r="R29" s="337">
        <f>ROUND(SUMIFS(BS_RE33!$H$7:$H$874,BS_RE33!$S$7:$S$874,$R$2,BS_RE33!$N$7:$N$874,I29,BS_RE33!$P$7:$P$874,'30 days CF Table(Ccy)'!G29,BS_RE33!$F$7:$F$874,'30 days CF Table(Ccy)'!$C$2),2)</f>
        <v>0</v>
      </c>
      <c r="S29" s="337">
        <f>ROUND(SUMIFS(BS_RE33!$H$7:$H$874,BS_RE33!$S$7:$S$874,$S$2,BS_RE33!$N$7:$N$874,I29,BS_RE33!$P$7:$P$874,'30 days CF Table(Ccy)'!G29,BS_RE33!$F$7:$F$874,'30 days CF Table(Ccy)'!$C$2),2)</f>
        <v>0</v>
      </c>
      <c r="T29" s="337">
        <f>ROUND(SUMIFS(BS_RE33!$H$7:$H$874,BS_RE33!$S$7:$S$874,$T$2,BS_RE33!$N$7:$N$874,I29,BS_RE33!$P$7:$P$874,'30 days CF Table(Ccy)'!G29,BS_RE33!$F$7:$F$874,'30 days CF Table(Ccy)'!$C$2),2)</f>
        <v>0</v>
      </c>
      <c r="U29" s="337">
        <f>ROUND(SUMIFS(BS_RE33!$H$7:$H$874,BS_RE33!$S$7:$S$874,$U$2,BS_RE33!$N$7:$N$874,I29,BS_RE33!$P$7:$P$874,'30 days CF Table(Ccy)'!G29,BS_RE33!$F$7:$F$874,'30 days CF Table(Ccy)'!$C$2),2)</f>
        <v>0</v>
      </c>
      <c r="V29" s="337">
        <f>ROUND(SUMIFS(BS_RE33!$H$7:$H$874,BS_RE33!$S$7:$S$874,$V$2,BS_RE33!$N$7:$N$874,I29,BS_RE33!$P$7:$P$874,'30 days CF Table(Ccy)'!G29,BS_RE33!$F$7:$F$874,'30 days CF Table(Ccy)'!$C$2),2)</f>
        <v>0</v>
      </c>
      <c r="W29" s="337">
        <f>ROUND(SUMIFS(BS_RE33!$H$7:$H$874,BS_RE33!$S$7:$S$874,$W$2,BS_RE33!$N$7:$N$874,I29,BS_RE33!$P$7:$P$874,'30 days CF Table(Ccy)'!G29,BS_RE33!$F$7:$F$874,'30 days CF Table(Ccy)'!$C$2),2)</f>
        <v>0</v>
      </c>
      <c r="X29" s="337">
        <f>ROUND(SUMIFS(BS_RE33!$H$7:$H$874,BS_RE33!$S$7:$S$874,$X$2,BS_RE33!$N$7:$N$874,I29,BS_RE33!$P$7:$P$874,'30 days CF Table(Ccy)'!G29,BS_RE33!$F$7:$F$874,'30 days CF Table(Ccy)'!$C$2),2)</f>
        <v>0</v>
      </c>
      <c r="Y29" s="337">
        <f>ROUND(SUMIFS(BS_RE33!$H$7:$H$874,BS_RE33!$S$7:$S$874,$Y$2,BS_RE33!$N$7:$N$874,I29,BS_RE33!$P$7:$P$874,'30 days CF Table(Ccy)'!G29,BS_RE33!$F$7:$F$874,'30 days CF Table(Ccy)'!$C$2),2)</f>
        <v>0</v>
      </c>
      <c r="Z29" s="337">
        <f>ROUND(SUMIFS(BS_RE33!$H$7:$H$874,BS_RE33!$S$7:$S$874,$Z$2,BS_RE33!$N$7:$N$874,I29,BS_RE33!$P$7:$P$874,'30 days CF Table(Ccy)'!G29,BS_RE33!$F$7:$F$874,'30 days CF Table(Ccy)'!$C$2),2)</f>
        <v>0</v>
      </c>
      <c r="AA29" s="337">
        <f>ROUND(SUMIFS(BS_RE33!$H$7:$H$874,BS_RE33!$S$7:$S$874,$AA$2,BS_RE33!$N$7:$N$874,I29,BS_RE33!$P$7:$P$874,'30 days CF Table(Ccy)'!G29,BS_RE33!$F$7:$F$874,'30 days CF Table(Ccy)'!$C$2),2)</f>
        <v>0</v>
      </c>
      <c r="AB29" s="337">
        <f>ROUND(SUMIFS(BS_RE33!$H$7:$H$874,BS_RE33!$S$7:$S$874,$AB$2,BS_RE33!$N$7:$N$874,I29,BS_RE33!$P$7:$P$874,'30 days CF Table(Ccy)'!G29,BS_RE33!$F$7:$F$874,'30 days CF Table(Ccy)'!$C$2),2)</f>
        <v>0</v>
      </c>
      <c r="AC29" s="337">
        <f>ROUND(SUMIFS(BS_RE33!$H$7:$H$874,BS_RE33!$S$7:$S$874,$AC$2,BS_RE33!$N$7:$N$874,I29,BS_RE33!$P$7:$P$874,'30 days CF Table(Ccy)'!G29,BS_RE33!$F$7:$F$874,'30 days CF Table(Ccy)'!$C$2),2)</f>
        <v>0</v>
      </c>
      <c r="AD29" s="337">
        <f>ROUND(SUMIFS(BS_RE33!$H$7:$H$874,BS_RE33!$S$7:$S$874,$AD$2,BS_RE33!$N$7:$N$874,I29,BS_RE33!$P$7:$P$874,'30 days CF Table(Ccy)'!G29,BS_RE33!$F$7:$F$874,'30 days CF Table(Ccy)'!$C$2),2)</f>
        <v>0</v>
      </c>
      <c r="AE29" s="337">
        <f>ROUND(SUMIFS(BS_RE33!$H$7:$H$874,BS_RE33!$S$7:$S$874,$AE$2,BS_RE33!$N$7:$N$874,I29,BS_RE33!$P$7:$P$874,'30 days CF Table(Ccy)'!G29,BS_RE33!$F$7:$F$874,'30 days CF Table(Ccy)'!$C$2),2)</f>
        <v>0</v>
      </c>
      <c r="AF29" s="337">
        <f>ROUND(SUMIFS(BS_RE33!$H$7:$H$874,BS_RE33!$S$7:$S$874,$AF$2,BS_RE33!$N$7:$N$874,I29,BS_RE33!$P$7:$P$874,'30 days CF Table(Ccy)'!G29,BS_RE33!$F$7:$F$874,'30 days CF Table(Ccy)'!$C$2),2)</f>
        <v>0</v>
      </c>
      <c r="AG29" s="337">
        <f>ROUND(SUMIFS(BS_RE33!$H$7:$H$874,BS_RE33!$S$7:$S$874,$AG$2,BS_RE33!$N$7:$N$874,I29,BS_RE33!$P$7:$P$874,'30 days CF Table(Ccy)'!G29,BS_RE33!$F$7:$F$874,'30 days CF Table(Ccy)'!$C$2),2)</f>
        <v>0</v>
      </c>
      <c r="AH29" s="337">
        <f>ROUND(SUMIFS(BS_RE33!$H$7:$H$874,BS_RE33!$S$7:$S$874,$AH$2,BS_RE33!$N$7:$N$874,I29,BS_RE33!$P$7:$P$874,'30 days CF Table(Ccy)'!G29,BS_RE33!$F$7:$F$874,'30 days CF Table(Ccy)'!$C$2),2)</f>
        <v>0</v>
      </c>
      <c r="AI29" s="337">
        <f>ROUND(SUMIFS(BS_RE33!$H$7:$H$874,BS_RE33!$S$7:$S$874,$AI$2,BS_RE33!$N$7:$N$874,I29,BS_RE33!$P$7:$P$874,'30 days CF Table(Ccy)'!G29,BS_RE33!$F$7:$F$874,'30 days CF Table(Ccy)'!$C$2),2)</f>
        <v>0</v>
      </c>
      <c r="AJ29" s="337">
        <f>ROUND(SUMIFS(BS_RE33!$H$7:$H$874,BS_RE33!$S$7:$S$874,$AJ$2,BS_RE33!$N$7:$N$874,I29,BS_RE33!$P$7:$P$874,'30 days CF Table(Ccy)'!G29,BS_RE33!$F$7:$F$874,'30 days CF Table(Ccy)'!$C$2),2)</f>
        <v>0</v>
      </c>
      <c r="AK29" s="337">
        <f>ROUND(SUMIFS(BS_RE33!$H$7:$H$874,BS_RE33!$S$7:$S$874,$AK$2,BS_RE33!$N$7:$N$874,I29,BS_RE33!$P$7:$P$874,'30 days CF Table(Ccy)'!G29,BS_RE33!$F$7:$F$874,'30 days CF Table(Ccy)'!$C$2),2)</f>
        <v>0</v>
      </c>
      <c r="AL29" s="337">
        <f>ROUND(SUMIFS(BS_RE33!$H$7:$H$874,BS_RE33!$S$7:$S$874,$AL$2,BS_RE33!$N$7:$N$874,I29,BS_RE33!$P$7:$P$874,'30 days CF Table(Ccy)'!G29,BS_RE33!$F$7:$F$874,'30 days CF Table(Ccy)'!$C$2),2)</f>
        <v>0</v>
      </c>
      <c r="AM29" s="337">
        <f>ROUND(SUMIFS(BS_RE33!$H$7:$H$874,BS_RE33!$S$7:$S$874,$AM$2,BS_RE33!$N$7:$N$874,I29,BS_RE33!$P$7:$P$874,'30 days CF Table(Ccy)'!G29,BS_RE33!$F$7:$F$874,'30 days CF Table(Ccy)'!$C$2),2)</f>
        <v>0</v>
      </c>
      <c r="AN29" s="337">
        <f>ROUND(SUMIFS(BS_RE33!$H$7:$H$874,BS_RE33!$S$7:$S$874,$AN$2,BS_RE33!$N$7:$N$874,I29,BS_RE33!$P$7:$P$874,'30 days CF Table(Ccy)'!G29,BS_RE33!$F$7:$F$874,'30 days CF Table(Ccy)'!$C$2),2)</f>
        <v>0</v>
      </c>
      <c r="AO29" s="337">
        <f>ROUND(SUMIFS(BS_RE33!$H$7:$H$874,BS_RE33!$S$7:$S$874,$AO$2,BS_RE33!$N$7:$N$874,I29,BS_RE33!$P$7:$P$874,'30 days CF Table(Ccy)'!G29,BS_RE33!$F$7:$F$874,'30 days CF Table(Ccy)'!$C$2),2)</f>
        <v>0</v>
      </c>
      <c r="AP29" s="338">
        <f>ROUND(SUMIFS(BS_RE33!$H$7:$H$874,BS_RE33!$S$7:$S$874,$AP$2,BS_RE33!$N$7:$N$874,I29,BS_RE33!$P$7:$P$874,'30 days CF Table(Ccy)'!G29,BS_RE33!$F$7:$F$874,'30 days CF Table(Ccy)'!$C$2),2)</f>
        <v>0</v>
      </c>
      <c r="AR29" s="379">
        <f>ROUND(SUMIFS(BS_RE33!$H$7:$H$874,BS_RE33!$S$7:$S$874,$AR$2,BS_RE33!$N$7:$N$874,I29,BS_RE33!$P$7:$P$874,'30 days CF Table(Ccy)'!G29,BS_RE33!$F$7:$F$874,'30 days CF Table(Ccy)'!$C$2),2)</f>
        <v>0</v>
      </c>
      <c r="AS29" s="379">
        <f>ROUND(SUMIFS(BS_RE33!$H$7:$H$874,BS_RE33!$S$7:$S$874,$AS$2,BS_RE33!$N$7:$N$874,I29,BS_RE33!$P$7:$P$874,'30 days CF Table(Ccy)'!G29,BS_RE33!$F$7:$F$874,'30 days CF Table(Ccy)'!$C$2),2)</f>
        <v>0</v>
      </c>
      <c r="AT29" s="379">
        <f>ROUND(SUMIFS(BS_RE33!$H$7:$H$874,BS_RE33!$S$7:$S$874,$AT$2,BS_RE33!$N$7:$N$874,I29,BS_RE33!$P$7:$P$874,'30 days CF Table(Ccy)'!G29,BS_RE33!$F$7:$F$874,'30 days CF Table(Ccy)'!$C$2),2)</f>
        <v>0</v>
      </c>
      <c r="AU29" s="379">
        <f>ROUND(SUMIFS(BS_RE33!$H$7:$H$874,BS_RE33!$S$7:$S$874,$AU$2,BS_RE33!$N$7:$N$874,I29,BS_RE33!$P$7:$P$874,'30 days CF Table(Ccy)'!G29,BS_RE33!$F$7:$F$874,'30 days CF Table(Ccy)'!$C$2),2)</f>
        <v>0</v>
      </c>
      <c r="AV29" s="379">
        <f>ROUND(SUMIFS(BS_RE33!$H$7:$H$874,BS_RE33!$S$7:$S$874,$AV$2,BS_RE33!$N$7:$N$874,I29,BS_RE33!$P$7:$P$874,'30 days CF Table(Ccy)'!G29,BS_RE33!$F$7:$F$874,'30 days CF Table(Ccy)'!$C$2),2)</f>
        <v>0</v>
      </c>
      <c r="AW29" s="379">
        <f>ROUND(SUMIFS(BS_RE33!$H$7:$H$874,BS_RE33!$S$7:$S$874,$AW$2,BS_RE33!$N$7:$N$874,I29,BS_RE33!$P$7:$P$874,'30 days CF Table(Ccy)'!G29,BS_RE33!$F$7:$F$874,'30 days CF Table(Ccy)'!$C$2),2)</f>
        <v>0</v>
      </c>
      <c r="AX29" s="379">
        <f>ROUND(SUMIFS(BS_RE33!$H$7:$H$874,BS_RE33!$S$7:$S$874,$AX$2,BS_RE33!$N$7:$N$874,I29,BS_RE33!$P$7:$P$874,'30 days CF Table(Ccy)'!G29,BS_RE33!$F$7:$F$874,'30 days CF Table(Ccy)'!$C$2),2)</f>
        <v>0</v>
      </c>
      <c r="AY29" s="379">
        <f>ROUND(SUMIFS(BS_RE33!$H$7:$H$874,BS_RE33!$S$7:$S$874,$AY$2,BS_RE33!$N$7:$N$874,I29,BS_RE33!$P$7:$P$874,'30 days CF Table(Ccy)'!G29,BS_RE33!$F$7:$F$874,'30 days CF Table(Ccy)'!$C$2),2)</f>
        <v>0</v>
      </c>
      <c r="AZ29" s="379">
        <f>ROUND(SUMIFS(BS_RE33!$H$7:$H$874,BS_RE33!$S$7:$S$874,$AZ$2,BS_RE33!$N$7:$N$874,I29,BS_RE33!$P$7:$P$874,'30 days CF Table(Ccy)'!G29,BS_RE33!$F$7:$F$874,'30 days CF Table(Ccy)'!$C$2),2)</f>
        <v>0</v>
      </c>
      <c r="BA29" s="379">
        <f>ROUND(SUMIFS(BS_RE33!$H$7:$H$874,BS_RE33!$S$7:$S$874,$BA$2,BS_RE33!$N$7:$N$874,I29,BS_RE33!$P$7:$P$874,'30 days CF Table(Ccy)'!G29,BS_RE33!$F$7:$F$874,'30 days CF Table(Ccy)'!$C$2),2)</f>
        <v>0</v>
      </c>
      <c r="BB29" s="379">
        <f>ROUND(SUMIFS(BS_RE33!$H$7:$H$874,BS_RE33!$S$7:$S$874,$BB$2,BS_RE33!$N$7:$N$874,I29,BS_RE33!$P$7:$P$874,'30 days CF Table(Ccy)'!G29,BS_RE33!$F$7:$F$874,'30 days CF Table(Ccy)'!$C$2),2)</f>
        <v>0</v>
      </c>
      <c r="BC29" s="379">
        <f>ROUND(SUMIFS(BS_RE33!$H$7:$H$874,BS_RE33!$S$7:$S$874,$BC$2,BS_RE33!$N$7:$N$874,I29,BS_RE33!$P$7:$P$874,'30 days CF Table(Ccy)'!G29,BS_RE33!$F$7:$F$874,'30 days CF Table(Ccy)'!$C$2),2)</f>
        <v>0</v>
      </c>
      <c r="BD29" s="379">
        <f>ROUND(SUMIFS(BS_RE33!$H$7:$H$874,BS_RE33!$S$7:$S$874,$BD$2,BS_RE33!$N$7:$N$874,I29,BS_RE33!$P$7:$P$874,'30 days CF Table(Ccy)'!G29,BS_RE33!$F$7:$F$874,'30 days CF Table(Ccy)'!$C$2),2)</f>
        <v>0</v>
      </c>
      <c r="BE29" s="379">
        <f>ROUND(SUMIFS(BS_RE33!$H$7:$H$874,BS_RE33!$S$7:$S$874,$BE$2,BS_RE33!$N$7:$N$874,I29,BS_RE33!$P$7:$P$874,'30 days CF Table(Ccy)'!G29,BS_RE33!$F$7:$F$874,'30 days CF Table(Ccy)'!$C$2),2)</f>
        <v>0</v>
      </c>
      <c r="BF29" s="379">
        <f>ROUND(SUMIFS(BS_RE33!$H$7:$H$874,BS_RE33!$S$7:$S$874,$BF$2,BS_RE33!$N$7:$N$874,I29,BS_RE33!$P$7:$P$874,'30 days CF Table(Ccy)'!G29,BS_RE33!$F$7:$F$874,'30 days CF Table(Ccy)'!$C$2),2)</f>
        <v>0</v>
      </c>
      <c r="BG29" s="379">
        <f>ROUND(SUMIFS(BS_RE33!$H$7:$H$874,BS_RE33!$S$7:$S$874,$BG$2,BS_RE33!$N$7:$N$874,I29,BS_RE33!$P$7:$P$874,'30 days CF Table(Ccy)'!G29,BS_RE33!$F$7:$F$874,'30 days CF Table(Ccy)'!$C$2),2)</f>
        <v>0</v>
      </c>
      <c r="BH29" s="379">
        <f>ROUND(SUMIFS(BS_RE33!$H$7:$H$874,BS_RE33!$S$7:$S$874,$BH$2,BS_RE33!$N$7:$N$874,I29,BS_RE33!$P$7:$P$874,'30 days CF Table(Ccy)'!G29,BS_RE33!$F$7:$F$874,'30 days CF Table(Ccy)'!$C$2),2)</f>
        <v>0</v>
      </c>
      <c r="BI29" s="379">
        <f>ROUND(SUMIFS(BS_RE33!$H$7:$H$874,BS_RE33!$S$7:$S$874,$BI$2,BS_RE33!$N$7:$N$874,I29,BS_RE33!$P$7:$P$874,'30 days CF Table(Ccy)'!G29,BS_RE33!$F$7:$F$874,'30 days CF Table(Ccy)'!$C$2),2)</f>
        <v>0</v>
      </c>
      <c r="BJ29" s="379">
        <f>ROUND(SUMIFS(BS_RE33!$H$7:$H$874,BS_RE33!$S$7:$S$874,$BJ$2,BS_RE33!$N$7:$N$874,I29,BS_RE33!$P$7:$P$874,'30 days CF Table(Ccy)'!G29,BS_RE33!$F$7:$F$874,'30 days CF Table(Ccy)'!$C$2),2)</f>
        <v>0</v>
      </c>
      <c r="BK29" s="379">
        <f>ROUND(SUMIFS(BS_RE33!$H$7:$H$874,BS_RE33!$S$7:$S$874,$BK$2,BS_RE33!$N$7:$N$874,I29,BS_RE33!$P$7:$P$874,'30 days CF Table(Ccy)'!G29,BS_RE33!$F$7:$F$874,'30 days CF Table(Ccy)'!$C$2),2)</f>
        <v>0</v>
      </c>
    </row>
    <row r="30" spans="1:63">
      <c r="C30" s="1029"/>
      <c r="D30" s="1039"/>
      <c r="E30" s="306" t="s">
        <v>81</v>
      </c>
      <c r="F30" s="560" t="s">
        <v>491</v>
      </c>
      <c r="G30" s="392" t="s">
        <v>518</v>
      </c>
      <c r="H30" s="314">
        <v>0.25</v>
      </c>
      <c r="I30" s="315" t="s">
        <v>80</v>
      </c>
      <c r="J30" s="479">
        <f t="shared" si="2"/>
        <v>0</v>
      </c>
      <c r="K30" s="336">
        <f t="shared" si="3"/>
        <v>0</v>
      </c>
      <c r="L30" s="337">
        <f>ROUND(SUMIFS(BS_RE33!$H$7:$H$874,BS_RE33!$S$7:$S$874,$L$2,BS_RE33!$N$7:$N$874,I30,BS_RE33!$P$7:$P$874,'30 days CF Table(Ccy)'!G30,BS_RE33!$F$7:$F$874,'30 days CF Table(Ccy)'!$C$2),2)</f>
        <v>0</v>
      </c>
      <c r="M30" s="337">
        <f>ROUND(SUMIFS(BS_RE33!$H$7:$H$874,BS_RE33!$S$7:$S$874,$M$2,BS_RE33!$N$7:$N$874,I30,BS_RE33!$P$7:$P$874,'30 days CF Table(Ccy)'!G30,BS_RE33!$F$7:$F$874,'30 days CF Table(Ccy)'!$C$2),2)</f>
        <v>0</v>
      </c>
      <c r="N30" s="337">
        <f>ROUND(SUMIFS(BS_RE33!$H$7:$H$874,BS_RE33!$S$7:$S$874,$N$2,BS_RE33!$N$7:$N$874,I30,BS_RE33!$P$7:$P$874,'30 days CF Table(Ccy)'!G30,BS_RE33!$F$7:$F$874,'30 days CF Table(Ccy)'!$C$2),2)</f>
        <v>0</v>
      </c>
      <c r="O30" s="337">
        <f>ROUND(SUMIFS(BS_RE33!$H$7:$H$874,BS_RE33!$S$7:$S$874,$O$2,BS_RE33!$N$7:$N$874,I30,BS_RE33!$P$7:$P$874,'30 days CF Table(Ccy)'!G30,BS_RE33!$F$7:$F$874,'30 days CF Table(Ccy)'!$C$2),2)</f>
        <v>0</v>
      </c>
      <c r="P30" s="337">
        <f>ROUND(SUMIFS(BS_RE33!$H$7:$H$874,BS_RE33!$S$7:$S$874,$P$2,BS_RE33!$N$7:$N$874,I30,BS_RE33!$P$7:$P$874,'30 days CF Table(Ccy)'!G30,BS_RE33!$F$7:$F$874,'30 days CF Table(Ccy)'!$C$2),2)</f>
        <v>0</v>
      </c>
      <c r="Q30" s="337">
        <f>ROUND(SUMIFS(BS_RE33!$H$7:$H$874,BS_RE33!$S$7:$S$874,$Q$2,BS_RE33!$N$7:$N$874,I30,BS_RE33!$P$7:$P$874,'30 days CF Table(Ccy)'!G30,BS_RE33!$F$7:$F$874,'30 days CF Table(Ccy)'!$C$2),2)</f>
        <v>0</v>
      </c>
      <c r="R30" s="337">
        <f>ROUND(SUMIFS(BS_RE33!$H$7:$H$874,BS_RE33!$S$7:$S$874,$R$2,BS_RE33!$N$7:$N$874,I30,BS_RE33!$P$7:$P$874,'30 days CF Table(Ccy)'!G30,BS_RE33!$F$7:$F$874,'30 days CF Table(Ccy)'!$C$2),2)</f>
        <v>0</v>
      </c>
      <c r="S30" s="337">
        <f>ROUND(SUMIFS(BS_RE33!$H$7:$H$874,BS_RE33!$S$7:$S$874,$S$2,BS_RE33!$N$7:$N$874,I30,BS_RE33!$P$7:$P$874,'30 days CF Table(Ccy)'!G30,BS_RE33!$F$7:$F$874,'30 days CF Table(Ccy)'!$C$2),2)</f>
        <v>0</v>
      </c>
      <c r="T30" s="337">
        <f>ROUND(SUMIFS(BS_RE33!$H$7:$H$874,BS_RE33!$S$7:$S$874,$T$2,BS_RE33!$N$7:$N$874,I30,BS_RE33!$P$7:$P$874,'30 days CF Table(Ccy)'!G30,BS_RE33!$F$7:$F$874,'30 days CF Table(Ccy)'!$C$2),2)</f>
        <v>0</v>
      </c>
      <c r="U30" s="337">
        <f>ROUND(SUMIFS(BS_RE33!$H$7:$H$874,BS_RE33!$S$7:$S$874,$U$2,BS_RE33!$N$7:$N$874,I30,BS_RE33!$P$7:$P$874,'30 days CF Table(Ccy)'!G30,BS_RE33!$F$7:$F$874,'30 days CF Table(Ccy)'!$C$2),2)</f>
        <v>0</v>
      </c>
      <c r="V30" s="337">
        <f>ROUND(SUMIFS(BS_RE33!$H$7:$H$874,BS_RE33!$S$7:$S$874,$V$2,BS_RE33!$N$7:$N$874,I30,BS_RE33!$P$7:$P$874,'30 days CF Table(Ccy)'!G30,BS_RE33!$F$7:$F$874,'30 days CF Table(Ccy)'!$C$2),2)</f>
        <v>0</v>
      </c>
      <c r="W30" s="337">
        <f>ROUND(SUMIFS(BS_RE33!$H$7:$H$874,BS_RE33!$S$7:$S$874,$W$2,BS_RE33!$N$7:$N$874,I30,BS_RE33!$P$7:$P$874,'30 days CF Table(Ccy)'!G30,BS_RE33!$F$7:$F$874,'30 days CF Table(Ccy)'!$C$2),2)</f>
        <v>0</v>
      </c>
      <c r="X30" s="337">
        <f>ROUND(SUMIFS(BS_RE33!$H$7:$H$874,BS_RE33!$S$7:$S$874,$X$2,BS_RE33!$N$7:$N$874,I30,BS_RE33!$P$7:$P$874,'30 days CF Table(Ccy)'!G30,BS_RE33!$F$7:$F$874,'30 days CF Table(Ccy)'!$C$2),2)</f>
        <v>0</v>
      </c>
      <c r="Y30" s="337">
        <f>ROUND(SUMIFS(BS_RE33!$H$7:$H$874,BS_RE33!$S$7:$S$874,$Y$2,BS_RE33!$N$7:$N$874,I30,BS_RE33!$P$7:$P$874,'30 days CF Table(Ccy)'!G30,BS_RE33!$F$7:$F$874,'30 days CF Table(Ccy)'!$C$2),2)</f>
        <v>0</v>
      </c>
      <c r="Z30" s="337">
        <f>ROUND(SUMIFS(BS_RE33!$H$7:$H$874,BS_RE33!$S$7:$S$874,$Z$2,BS_RE33!$N$7:$N$874,I30,BS_RE33!$P$7:$P$874,'30 days CF Table(Ccy)'!G30,BS_RE33!$F$7:$F$874,'30 days CF Table(Ccy)'!$C$2),2)</f>
        <v>0</v>
      </c>
      <c r="AA30" s="337">
        <f>ROUND(SUMIFS(BS_RE33!$H$7:$H$874,BS_RE33!$S$7:$S$874,$AA$2,BS_RE33!$N$7:$N$874,I30,BS_RE33!$P$7:$P$874,'30 days CF Table(Ccy)'!G30,BS_RE33!$F$7:$F$874,'30 days CF Table(Ccy)'!$C$2),2)</f>
        <v>0</v>
      </c>
      <c r="AB30" s="337">
        <f>ROUND(SUMIFS(BS_RE33!$H$7:$H$874,BS_RE33!$S$7:$S$874,$AB$2,BS_RE33!$N$7:$N$874,I30,BS_RE33!$P$7:$P$874,'30 days CF Table(Ccy)'!G30,BS_RE33!$F$7:$F$874,'30 days CF Table(Ccy)'!$C$2),2)</f>
        <v>0</v>
      </c>
      <c r="AC30" s="337">
        <f>ROUND(SUMIFS(BS_RE33!$H$7:$H$874,BS_RE33!$S$7:$S$874,$AC$2,BS_RE33!$N$7:$N$874,I30,BS_RE33!$P$7:$P$874,'30 days CF Table(Ccy)'!G30,BS_RE33!$F$7:$F$874,'30 days CF Table(Ccy)'!$C$2),2)</f>
        <v>0</v>
      </c>
      <c r="AD30" s="337">
        <f>ROUND(SUMIFS(BS_RE33!$H$7:$H$874,BS_RE33!$S$7:$S$874,$AD$2,BS_RE33!$N$7:$N$874,I30,BS_RE33!$P$7:$P$874,'30 days CF Table(Ccy)'!G30,BS_RE33!$F$7:$F$874,'30 days CF Table(Ccy)'!$C$2),2)</f>
        <v>0</v>
      </c>
      <c r="AE30" s="337">
        <f>ROUND(SUMIFS(BS_RE33!$H$7:$H$874,BS_RE33!$S$7:$S$874,$AE$2,BS_RE33!$N$7:$N$874,I30,BS_RE33!$P$7:$P$874,'30 days CF Table(Ccy)'!G30,BS_RE33!$F$7:$F$874,'30 days CF Table(Ccy)'!$C$2),2)</f>
        <v>0</v>
      </c>
      <c r="AF30" s="337">
        <f>ROUND(SUMIFS(BS_RE33!$H$7:$H$874,BS_RE33!$S$7:$S$874,$AF$2,BS_RE33!$N$7:$N$874,I30,BS_RE33!$P$7:$P$874,'30 days CF Table(Ccy)'!G30,BS_RE33!$F$7:$F$874,'30 days CF Table(Ccy)'!$C$2),2)</f>
        <v>0</v>
      </c>
      <c r="AG30" s="337">
        <f>ROUND(SUMIFS(BS_RE33!$H$7:$H$874,BS_RE33!$S$7:$S$874,$AG$2,BS_RE33!$N$7:$N$874,I30,BS_RE33!$P$7:$P$874,'30 days CF Table(Ccy)'!G30,BS_RE33!$F$7:$F$874,'30 days CF Table(Ccy)'!$C$2),2)</f>
        <v>0</v>
      </c>
      <c r="AH30" s="337">
        <f>ROUND(SUMIFS(BS_RE33!$H$7:$H$874,BS_RE33!$S$7:$S$874,$AH$2,BS_RE33!$N$7:$N$874,I30,BS_RE33!$P$7:$P$874,'30 days CF Table(Ccy)'!G30,BS_RE33!$F$7:$F$874,'30 days CF Table(Ccy)'!$C$2),2)</f>
        <v>0</v>
      </c>
      <c r="AI30" s="337">
        <f>ROUND(SUMIFS(BS_RE33!$H$7:$H$874,BS_RE33!$S$7:$S$874,$AI$2,BS_RE33!$N$7:$N$874,I30,BS_RE33!$P$7:$P$874,'30 days CF Table(Ccy)'!G30,BS_RE33!$F$7:$F$874,'30 days CF Table(Ccy)'!$C$2),2)</f>
        <v>0</v>
      </c>
      <c r="AJ30" s="337">
        <f>ROUND(SUMIFS(BS_RE33!$H$7:$H$874,BS_RE33!$S$7:$S$874,$AJ$2,BS_RE33!$N$7:$N$874,I30,BS_RE33!$P$7:$P$874,'30 days CF Table(Ccy)'!G30,BS_RE33!$F$7:$F$874,'30 days CF Table(Ccy)'!$C$2),2)</f>
        <v>0</v>
      </c>
      <c r="AK30" s="337">
        <f>ROUND(SUMIFS(BS_RE33!$H$7:$H$874,BS_RE33!$S$7:$S$874,$AK$2,BS_RE33!$N$7:$N$874,I30,BS_RE33!$P$7:$P$874,'30 days CF Table(Ccy)'!G30,BS_RE33!$F$7:$F$874,'30 days CF Table(Ccy)'!$C$2),2)</f>
        <v>0</v>
      </c>
      <c r="AL30" s="337">
        <f>ROUND(SUMIFS(BS_RE33!$H$7:$H$874,BS_RE33!$S$7:$S$874,$AL$2,BS_RE33!$N$7:$N$874,I30,BS_RE33!$P$7:$P$874,'30 days CF Table(Ccy)'!G30,BS_RE33!$F$7:$F$874,'30 days CF Table(Ccy)'!$C$2),2)</f>
        <v>0</v>
      </c>
      <c r="AM30" s="337">
        <f>ROUND(SUMIFS(BS_RE33!$H$7:$H$874,BS_RE33!$S$7:$S$874,$AM$2,BS_RE33!$N$7:$N$874,I30,BS_RE33!$P$7:$P$874,'30 days CF Table(Ccy)'!G30,BS_RE33!$F$7:$F$874,'30 days CF Table(Ccy)'!$C$2),2)</f>
        <v>0</v>
      </c>
      <c r="AN30" s="337">
        <f>ROUND(SUMIFS(BS_RE33!$H$7:$H$874,BS_RE33!$S$7:$S$874,$AN$2,BS_RE33!$N$7:$N$874,I30,BS_RE33!$P$7:$P$874,'30 days CF Table(Ccy)'!G30,BS_RE33!$F$7:$F$874,'30 days CF Table(Ccy)'!$C$2),2)</f>
        <v>0</v>
      </c>
      <c r="AO30" s="337">
        <f>ROUND(SUMIFS(BS_RE33!$H$7:$H$874,BS_RE33!$S$7:$S$874,$AO$2,BS_RE33!$N$7:$N$874,I30,BS_RE33!$P$7:$P$874,'30 days CF Table(Ccy)'!G30,BS_RE33!$F$7:$F$874,'30 days CF Table(Ccy)'!$C$2),2)</f>
        <v>0</v>
      </c>
      <c r="AP30" s="338">
        <f>ROUND(SUMIFS(BS_RE33!$H$7:$H$874,BS_RE33!$S$7:$S$874,$AP$2,BS_RE33!$N$7:$N$874,I30,BS_RE33!$P$7:$P$874,'30 days CF Table(Ccy)'!G30,BS_RE33!$F$7:$F$874,'30 days CF Table(Ccy)'!$C$2),2)</f>
        <v>0</v>
      </c>
      <c r="AR30" s="379">
        <f>ROUND(SUMIFS(BS_RE33!$H$7:$H$874,BS_RE33!$S$7:$S$874,$AR$2,BS_RE33!$N$7:$N$874,I30,BS_RE33!$P$7:$P$874,'30 days CF Table(Ccy)'!G30,BS_RE33!$F$7:$F$874,'30 days CF Table(Ccy)'!$C$2),2)</f>
        <v>0</v>
      </c>
      <c r="AS30" s="379">
        <f>ROUND(SUMIFS(BS_RE33!$H$7:$H$874,BS_RE33!$S$7:$S$874,$AS$2,BS_RE33!$N$7:$N$874,I30,BS_RE33!$P$7:$P$874,'30 days CF Table(Ccy)'!G30,BS_RE33!$F$7:$F$874,'30 days CF Table(Ccy)'!$C$2),2)</f>
        <v>0</v>
      </c>
      <c r="AT30" s="379">
        <f>ROUND(SUMIFS(BS_RE33!$H$7:$H$874,BS_RE33!$S$7:$S$874,$AT$2,BS_RE33!$N$7:$N$874,I30,BS_RE33!$P$7:$P$874,'30 days CF Table(Ccy)'!G30,BS_RE33!$F$7:$F$874,'30 days CF Table(Ccy)'!$C$2),2)</f>
        <v>0</v>
      </c>
      <c r="AU30" s="379">
        <f>ROUND(SUMIFS(BS_RE33!$H$7:$H$874,BS_RE33!$S$7:$S$874,$AU$2,BS_RE33!$N$7:$N$874,I30,BS_RE33!$P$7:$P$874,'30 days CF Table(Ccy)'!G30,BS_RE33!$F$7:$F$874,'30 days CF Table(Ccy)'!$C$2),2)</f>
        <v>0</v>
      </c>
      <c r="AV30" s="379">
        <f>ROUND(SUMIFS(BS_RE33!$H$7:$H$874,BS_RE33!$S$7:$S$874,$AV$2,BS_RE33!$N$7:$N$874,I30,BS_RE33!$P$7:$P$874,'30 days CF Table(Ccy)'!G30,BS_RE33!$F$7:$F$874,'30 days CF Table(Ccy)'!$C$2),2)</f>
        <v>0</v>
      </c>
      <c r="AW30" s="379">
        <f>ROUND(SUMIFS(BS_RE33!$H$7:$H$874,BS_RE33!$S$7:$S$874,$AW$2,BS_RE33!$N$7:$N$874,I30,BS_RE33!$P$7:$P$874,'30 days CF Table(Ccy)'!G30,BS_RE33!$F$7:$F$874,'30 days CF Table(Ccy)'!$C$2),2)</f>
        <v>0</v>
      </c>
      <c r="AX30" s="379">
        <f>ROUND(SUMIFS(BS_RE33!$H$7:$H$874,BS_RE33!$S$7:$S$874,$AX$2,BS_RE33!$N$7:$N$874,I30,BS_RE33!$P$7:$P$874,'30 days CF Table(Ccy)'!G30,BS_RE33!$F$7:$F$874,'30 days CF Table(Ccy)'!$C$2),2)</f>
        <v>0</v>
      </c>
      <c r="AY30" s="379">
        <f>ROUND(SUMIFS(BS_RE33!$H$7:$H$874,BS_RE33!$S$7:$S$874,$AY$2,BS_RE33!$N$7:$N$874,I30,BS_RE33!$P$7:$P$874,'30 days CF Table(Ccy)'!G30,BS_RE33!$F$7:$F$874,'30 days CF Table(Ccy)'!$C$2),2)</f>
        <v>0</v>
      </c>
      <c r="AZ30" s="379">
        <f>ROUND(SUMIFS(BS_RE33!$H$7:$H$874,BS_RE33!$S$7:$S$874,$AZ$2,BS_RE33!$N$7:$N$874,I30,BS_RE33!$P$7:$P$874,'30 days CF Table(Ccy)'!G30,BS_RE33!$F$7:$F$874,'30 days CF Table(Ccy)'!$C$2),2)</f>
        <v>0</v>
      </c>
      <c r="BA30" s="379">
        <f>ROUND(SUMIFS(BS_RE33!$H$7:$H$874,BS_RE33!$S$7:$S$874,$BA$2,BS_RE33!$N$7:$N$874,I30,BS_RE33!$P$7:$P$874,'30 days CF Table(Ccy)'!G30,BS_RE33!$F$7:$F$874,'30 days CF Table(Ccy)'!$C$2),2)</f>
        <v>0</v>
      </c>
      <c r="BB30" s="379">
        <f>ROUND(SUMIFS(BS_RE33!$H$7:$H$874,BS_RE33!$S$7:$S$874,$BB$2,BS_RE33!$N$7:$N$874,I30,BS_RE33!$P$7:$P$874,'30 days CF Table(Ccy)'!G30,BS_RE33!$F$7:$F$874,'30 days CF Table(Ccy)'!$C$2),2)</f>
        <v>0</v>
      </c>
      <c r="BC30" s="379">
        <f>ROUND(SUMIFS(BS_RE33!$H$7:$H$874,BS_RE33!$S$7:$S$874,$BC$2,BS_RE33!$N$7:$N$874,I30,BS_RE33!$P$7:$P$874,'30 days CF Table(Ccy)'!G30,BS_RE33!$F$7:$F$874,'30 days CF Table(Ccy)'!$C$2),2)</f>
        <v>0</v>
      </c>
      <c r="BD30" s="379">
        <f>ROUND(SUMIFS(BS_RE33!$H$7:$H$874,BS_RE33!$S$7:$S$874,$BD$2,BS_RE33!$N$7:$N$874,I30,BS_RE33!$P$7:$P$874,'30 days CF Table(Ccy)'!G30,BS_RE33!$F$7:$F$874,'30 days CF Table(Ccy)'!$C$2),2)</f>
        <v>0</v>
      </c>
      <c r="BE30" s="379">
        <f>ROUND(SUMIFS(BS_RE33!$H$7:$H$874,BS_RE33!$S$7:$S$874,$BE$2,BS_RE33!$N$7:$N$874,I30,BS_RE33!$P$7:$P$874,'30 days CF Table(Ccy)'!G30,BS_RE33!$F$7:$F$874,'30 days CF Table(Ccy)'!$C$2),2)</f>
        <v>0</v>
      </c>
      <c r="BF30" s="379">
        <f>ROUND(SUMIFS(BS_RE33!$H$7:$H$874,BS_RE33!$S$7:$S$874,$BF$2,BS_RE33!$N$7:$N$874,I30,BS_RE33!$P$7:$P$874,'30 days CF Table(Ccy)'!G30,BS_RE33!$F$7:$F$874,'30 days CF Table(Ccy)'!$C$2),2)</f>
        <v>0</v>
      </c>
      <c r="BG30" s="379">
        <f>ROUND(SUMIFS(BS_RE33!$H$7:$H$874,BS_RE33!$S$7:$S$874,$BG$2,BS_RE33!$N$7:$N$874,I30,BS_RE33!$P$7:$P$874,'30 days CF Table(Ccy)'!G30,BS_RE33!$F$7:$F$874,'30 days CF Table(Ccy)'!$C$2),2)</f>
        <v>0</v>
      </c>
      <c r="BH30" s="379">
        <f>ROUND(SUMIFS(BS_RE33!$H$7:$H$874,BS_RE33!$S$7:$S$874,$BH$2,BS_RE33!$N$7:$N$874,I30,BS_RE33!$P$7:$P$874,'30 days CF Table(Ccy)'!G30,BS_RE33!$F$7:$F$874,'30 days CF Table(Ccy)'!$C$2),2)</f>
        <v>0</v>
      </c>
      <c r="BI30" s="379">
        <f>ROUND(SUMIFS(BS_RE33!$H$7:$H$874,BS_RE33!$S$7:$S$874,$BI$2,BS_RE33!$N$7:$N$874,I30,BS_RE33!$P$7:$P$874,'30 days CF Table(Ccy)'!G30,BS_RE33!$F$7:$F$874,'30 days CF Table(Ccy)'!$C$2),2)</f>
        <v>0</v>
      </c>
      <c r="BJ30" s="379">
        <f>ROUND(SUMIFS(BS_RE33!$H$7:$H$874,BS_RE33!$S$7:$S$874,$BJ$2,BS_RE33!$N$7:$N$874,I30,BS_RE33!$P$7:$P$874,'30 days CF Table(Ccy)'!G30,BS_RE33!$F$7:$F$874,'30 days CF Table(Ccy)'!$C$2),2)</f>
        <v>0</v>
      </c>
      <c r="BK30" s="379">
        <f>ROUND(SUMIFS(BS_RE33!$H$7:$H$874,BS_RE33!$S$7:$S$874,$BK$2,BS_RE33!$N$7:$N$874,I30,BS_RE33!$P$7:$P$874,'30 days CF Table(Ccy)'!G30,BS_RE33!$F$7:$F$874,'30 days CF Table(Ccy)'!$C$2),2)</f>
        <v>0</v>
      </c>
    </row>
    <row r="31" spans="1:63">
      <c r="C31" s="1029"/>
      <c r="D31" s="1039"/>
      <c r="E31" s="306" t="s">
        <v>81</v>
      </c>
      <c r="F31" s="560" t="s">
        <v>490</v>
      </c>
      <c r="G31" s="392" t="s">
        <v>519</v>
      </c>
      <c r="H31" s="314">
        <v>0.25</v>
      </c>
      <c r="I31" s="315" t="s">
        <v>80</v>
      </c>
      <c r="J31" s="479">
        <f t="shared" si="2"/>
        <v>0</v>
      </c>
      <c r="K31" s="336">
        <f t="shared" si="3"/>
        <v>0</v>
      </c>
      <c r="L31" s="337">
        <f>ROUND(SUMIFS(BS_RE33!$H$7:$H$874,BS_RE33!$S$7:$S$874,$L$2,BS_RE33!$N$7:$N$874,I31,BS_RE33!$P$7:$P$874,'30 days CF Table(Ccy)'!G31,BS_RE33!$F$7:$F$874,'30 days CF Table(Ccy)'!$C$2),2)</f>
        <v>0</v>
      </c>
      <c r="M31" s="337">
        <f>ROUND(SUMIFS(BS_RE33!$H$7:$H$874,BS_RE33!$S$7:$S$874,$M$2,BS_RE33!$N$7:$N$874,I31,BS_RE33!$P$7:$P$874,'30 days CF Table(Ccy)'!G31,BS_RE33!$F$7:$F$874,'30 days CF Table(Ccy)'!$C$2),2)</f>
        <v>0</v>
      </c>
      <c r="N31" s="337">
        <f>ROUND(SUMIFS(BS_RE33!$H$7:$H$874,BS_RE33!$S$7:$S$874,$N$2,BS_RE33!$N$7:$N$874,I31,BS_RE33!$P$7:$P$874,'30 days CF Table(Ccy)'!G31,BS_RE33!$F$7:$F$874,'30 days CF Table(Ccy)'!$C$2),2)</f>
        <v>0</v>
      </c>
      <c r="O31" s="337">
        <f>ROUND(SUMIFS(BS_RE33!$H$7:$H$874,BS_RE33!$S$7:$S$874,$O$2,BS_RE33!$N$7:$N$874,I31,BS_RE33!$P$7:$P$874,'30 days CF Table(Ccy)'!G31,BS_RE33!$F$7:$F$874,'30 days CF Table(Ccy)'!$C$2),2)</f>
        <v>0</v>
      </c>
      <c r="P31" s="337">
        <f>ROUND(SUMIFS(BS_RE33!$H$7:$H$874,BS_RE33!$S$7:$S$874,$P$2,BS_RE33!$N$7:$N$874,I31,BS_RE33!$P$7:$P$874,'30 days CF Table(Ccy)'!G31,BS_RE33!$F$7:$F$874,'30 days CF Table(Ccy)'!$C$2),2)</f>
        <v>0</v>
      </c>
      <c r="Q31" s="337">
        <f>ROUND(SUMIFS(BS_RE33!$H$7:$H$874,BS_RE33!$S$7:$S$874,$Q$2,BS_RE33!$N$7:$N$874,I31,BS_RE33!$P$7:$P$874,'30 days CF Table(Ccy)'!G31,BS_RE33!$F$7:$F$874,'30 days CF Table(Ccy)'!$C$2),2)</f>
        <v>0</v>
      </c>
      <c r="R31" s="337">
        <f>ROUND(SUMIFS(BS_RE33!$H$7:$H$874,BS_RE33!$S$7:$S$874,$R$2,BS_RE33!$N$7:$N$874,I31,BS_RE33!$P$7:$P$874,'30 days CF Table(Ccy)'!G31,BS_RE33!$F$7:$F$874,'30 days CF Table(Ccy)'!$C$2),2)</f>
        <v>0</v>
      </c>
      <c r="S31" s="337">
        <f>ROUND(SUMIFS(BS_RE33!$H$7:$H$874,BS_RE33!$S$7:$S$874,$S$2,BS_RE33!$N$7:$N$874,I31,BS_RE33!$P$7:$P$874,'30 days CF Table(Ccy)'!G31,BS_RE33!$F$7:$F$874,'30 days CF Table(Ccy)'!$C$2),2)</f>
        <v>0</v>
      </c>
      <c r="T31" s="337">
        <f>ROUND(SUMIFS(BS_RE33!$H$7:$H$874,BS_RE33!$S$7:$S$874,$T$2,BS_RE33!$N$7:$N$874,I31,BS_RE33!$P$7:$P$874,'30 days CF Table(Ccy)'!G31,BS_RE33!$F$7:$F$874,'30 days CF Table(Ccy)'!$C$2),2)</f>
        <v>0</v>
      </c>
      <c r="U31" s="337">
        <f>ROUND(SUMIFS(BS_RE33!$H$7:$H$874,BS_RE33!$S$7:$S$874,$U$2,BS_RE33!$N$7:$N$874,I31,BS_RE33!$P$7:$P$874,'30 days CF Table(Ccy)'!G31,BS_RE33!$F$7:$F$874,'30 days CF Table(Ccy)'!$C$2),2)</f>
        <v>0</v>
      </c>
      <c r="V31" s="337">
        <f>ROUND(SUMIFS(BS_RE33!$H$7:$H$874,BS_RE33!$S$7:$S$874,$V$2,BS_RE33!$N$7:$N$874,I31,BS_RE33!$P$7:$P$874,'30 days CF Table(Ccy)'!G31,BS_RE33!$F$7:$F$874,'30 days CF Table(Ccy)'!$C$2),2)</f>
        <v>0</v>
      </c>
      <c r="W31" s="337">
        <f>ROUND(SUMIFS(BS_RE33!$H$7:$H$874,BS_RE33!$S$7:$S$874,$W$2,BS_RE33!$N$7:$N$874,I31,BS_RE33!$P$7:$P$874,'30 days CF Table(Ccy)'!G31,BS_RE33!$F$7:$F$874,'30 days CF Table(Ccy)'!$C$2),2)</f>
        <v>0</v>
      </c>
      <c r="X31" s="337">
        <f>ROUND(SUMIFS(BS_RE33!$H$7:$H$874,BS_RE33!$S$7:$S$874,$X$2,BS_RE33!$N$7:$N$874,I31,BS_RE33!$P$7:$P$874,'30 days CF Table(Ccy)'!G31,BS_RE33!$F$7:$F$874,'30 days CF Table(Ccy)'!$C$2),2)</f>
        <v>0</v>
      </c>
      <c r="Y31" s="337">
        <f>ROUND(SUMIFS(BS_RE33!$H$7:$H$874,BS_RE33!$S$7:$S$874,$Y$2,BS_RE33!$N$7:$N$874,I31,BS_RE33!$P$7:$P$874,'30 days CF Table(Ccy)'!G31,BS_RE33!$F$7:$F$874,'30 days CF Table(Ccy)'!$C$2),2)</f>
        <v>0</v>
      </c>
      <c r="Z31" s="337">
        <f>ROUND(SUMIFS(BS_RE33!$H$7:$H$874,BS_RE33!$S$7:$S$874,$Z$2,BS_RE33!$N$7:$N$874,I31,BS_RE33!$P$7:$P$874,'30 days CF Table(Ccy)'!G31,BS_RE33!$F$7:$F$874,'30 days CF Table(Ccy)'!$C$2),2)</f>
        <v>0</v>
      </c>
      <c r="AA31" s="337">
        <f>ROUND(SUMIFS(BS_RE33!$H$7:$H$874,BS_RE33!$S$7:$S$874,$AA$2,BS_RE33!$N$7:$N$874,I31,BS_RE33!$P$7:$P$874,'30 days CF Table(Ccy)'!G31,BS_RE33!$F$7:$F$874,'30 days CF Table(Ccy)'!$C$2),2)</f>
        <v>0</v>
      </c>
      <c r="AB31" s="337">
        <f>ROUND(SUMIFS(BS_RE33!$H$7:$H$874,BS_RE33!$S$7:$S$874,$AB$2,BS_RE33!$N$7:$N$874,I31,BS_RE33!$P$7:$P$874,'30 days CF Table(Ccy)'!G31,BS_RE33!$F$7:$F$874,'30 days CF Table(Ccy)'!$C$2),2)</f>
        <v>0</v>
      </c>
      <c r="AC31" s="337">
        <f>ROUND(SUMIFS(BS_RE33!$H$7:$H$874,BS_RE33!$S$7:$S$874,$AC$2,BS_RE33!$N$7:$N$874,I31,BS_RE33!$P$7:$P$874,'30 days CF Table(Ccy)'!G31,BS_RE33!$F$7:$F$874,'30 days CF Table(Ccy)'!$C$2),2)</f>
        <v>0</v>
      </c>
      <c r="AD31" s="337">
        <f>ROUND(SUMIFS(BS_RE33!$H$7:$H$874,BS_RE33!$S$7:$S$874,$AD$2,BS_RE33!$N$7:$N$874,I31,BS_RE33!$P$7:$P$874,'30 days CF Table(Ccy)'!G31,BS_RE33!$F$7:$F$874,'30 days CF Table(Ccy)'!$C$2),2)</f>
        <v>0</v>
      </c>
      <c r="AE31" s="337">
        <f>ROUND(SUMIFS(BS_RE33!$H$7:$H$874,BS_RE33!$S$7:$S$874,$AE$2,BS_RE33!$N$7:$N$874,I31,BS_RE33!$P$7:$P$874,'30 days CF Table(Ccy)'!G31,BS_RE33!$F$7:$F$874,'30 days CF Table(Ccy)'!$C$2),2)</f>
        <v>0</v>
      </c>
      <c r="AF31" s="337">
        <f>ROUND(SUMIFS(BS_RE33!$H$7:$H$874,BS_RE33!$S$7:$S$874,$AF$2,BS_RE33!$N$7:$N$874,I31,BS_RE33!$P$7:$P$874,'30 days CF Table(Ccy)'!G31,BS_RE33!$F$7:$F$874,'30 days CF Table(Ccy)'!$C$2),2)</f>
        <v>0</v>
      </c>
      <c r="AG31" s="337">
        <f>ROUND(SUMIFS(BS_RE33!$H$7:$H$874,BS_RE33!$S$7:$S$874,$AG$2,BS_RE33!$N$7:$N$874,I31,BS_RE33!$P$7:$P$874,'30 days CF Table(Ccy)'!G31,BS_RE33!$F$7:$F$874,'30 days CF Table(Ccy)'!$C$2),2)</f>
        <v>0</v>
      </c>
      <c r="AH31" s="337">
        <f>ROUND(SUMIFS(BS_RE33!$H$7:$H$874,BS_RE33!$S$7:$S$874,$AH$2,BS_RE33!$N$7:$N$874,I31,BS_RE33!$P$7:$P$874,'30 days CF Table(Ccy)'!G31,BS_RE33!$F$7:$F$874,'30 days CF Table(Ccy)'!$C$2),2)</f>
        <v>0</v>
      </c>
      <c r="AI31" s="337">
        <f>ROUND(SUMIFS(BS_RE33!$H$7:$H$874,BS_RE33!$S$7:$S$874,$AI$2,BS_RE33!$N$7:$N$874,I31,BS_RE33!$P$7:$P$874,'30 days CF Table(Ccy)'!G31,BS_RE33!$F$7:$F$874,'30 days CF Table(Ccy)'!$C$2),2)</f>
        <v>0</v>
      </c>
      <c r="AJ31" s="337">
        <f>ROUND(SUMIFS(BS_RE33!$H$7:$H$874,BS_RE33!$S$7:$S$874,$AJ$2,BS_RE33!$N$7:$N$874,I31,BS_RE33!$P$7:$P$874,'30 days CF Table(Ccy)'!G31,BS_RE33!$F$7:$F$874,'30 days CF Table(Ccy)'!$C$2),2)</f>
        <v>0</v>
      </c>
      <c r="AK31" s="337">
        <f>ROUND(SUMIFS(BS_RE33!$H$7:$H$874,BS_RE33!$S$7:$S$874,$AK$2,BS_RE33!$N$7:$N$874,I31,BS_RE33!$P$7:$P$874,'30 days CF Table(Ccy)'!G31,BS_RE33!$F$7:$F$874,'30 days CF Table(Ccy)'!$C$2),2)</f>
        <v>0</v>
      </c>
      <c r="AL31" s="337">
        <f>ROUND(SUMIFS(BS_RE33!$H$7:$H$874,BS_RE33!$S$7:$S$874,$AL$2,BS_RE33!$N$7:$N$874,I31,BS_RE33!$P$7:$P$874,'30 days CF Table(Ccy)'!G31,BS_RE33!$F$7:$F$874,'30 days CF Table(Ccy)'!$C$2),2)</f>
        <v>0</v>
      </c>
      <c r="AM31" s="337">
        <f>ROUND(SUMIFS(BS_RE33!$H$7:$H$874,BS_RE33!$S$7:$S$874,$AM$2,BS_RE33!$N$7:$N$874,I31,BS_RE33!$P$7:$P$874,'30 days CF Table(Ccy)'!G31,BS_RE33!$F$7:$F$874,'30 days CF Table(Ccy)'!$C$2),2)</f>
        <v>0</v>
      </c>
      <c r="AN31" s="337">
        <f>ROUND(SUMIFS(BS_RE33!$H$7:$H$874,BS_RE33!$S$7:$S$874,$AN$2,BS_RE33!$N$7:$N$874,I31,BS_RE33!$P$7:$P$874,'30 days CF Table(Ccy)'!G31,BS_RE33!$F$7:$F$874,'30 days CF Table(Ccy)'!$C$2),2)</f>
        <v>0</v>
      </c>
      <c r="AO31" s="337">
        <f>ROUND(SUMIFS(BS_RE33!$H$7:$H$874,BS_RE33!$S$7:$S$874,$AO$2,BS_RE33!$N$7:$N$874,I31,BS_RE33!$P$7:$P$874,'30 days CF Table(Ccy)'!G31,BS_RE33!$F$7:$F$874,'30 days CF Table(Ccy)'!$C$2),2)</f>
        <v>0</v>
      </c>
      <c r="AP31" s="338">
        <f>ROUND(SUMIFS(BS_RE33!$H$7:$H$874,BS_RE33!$S$7:$S$874,$AP$2,BS_RE33!$N$7:$N$874,I31,BS_RE33!$P$7:$P$874,'30 days CF Table(Ccy)'!G31,BS_RE33!$F$7:$F$874,'30 days CF Table(Ccy)'!$C$2),2)</f>
        <v>0</v>
      </c>
      <c r="AR31" s="379">
        <f>ROUND(SUMIFS(BS_RE33!$H$7:$H$874,BS_RE33!$S$7:$S$874,$AR$2,BS_RE33!$N$7:$N$874,I31,BS_RE33!$P$7:$P$874,'30 days CF Table(Ccy)'!G31,BS_RE33!$F$7:$F$874,'30 days CF Table(Ccy)'!$C$2),2)</f>
        <v>0</v>
      </c>
      <c r="AS31" s="379">
        <f>ROUND(SUMIFS(BS_RE33!$H$7:$H$874,BS_RE33!$S$7:$S$874,$AS$2,BS_RE33!$N$7:$N$874,I31,BS_RE33!$P$7:$P$874,'30 days CF Table(Ccy)'!G31,BS_RE33!$F$7:$F$874,'30 days CF Table(Ccy)'!$C$2),2)</f>
        <v>0</v>
      </c>
      <c r="AT31" s="379">
        <f>ROUND(SUMIFS(BS_RE33!$H$7:$H$874,BS_RE33!$S$7:$S$874,$AT$2,BS_RE33!$N$7:$N$874,I31,BS_RE33!$P$7:$P$874,'30 days CF Table(Ccy)'!G31,BS_RE33!$F$7:$F$874,'30 days CF Table(Ccy)'!$C$2),2)</f>
        <v>0</v>
      </c>
      <c r="AU31" s="379">
        <f>ROUND(SUMIFS(BS_RE33!$H$7:$H$874,BS_RE33!$S$7:$S$874,$AU$2,BS_RE33!$N$7:$N$874,I31,BS_RE33!$P$7:$P$874,'30 days CF Table(Ccy)'!G31,BS_RE33!$F$7:$F$874,'30 days CF Table(Ccy)'!$C$2),2)</f>
        <v>0</v>
      </c>
      <c r="AV31" s="379">
        <f>ROUND(SUMIFS(BS_RE33!$H$7:$H$874,BS_RE33!$S$7:$S$874,$AV$2,BS_RE33!$N$7:$N$874,I31,BS_RE33!$P$7:$P$874,'30 days CF Table(Ccy)'!G31,BS_RE33!$F$7:$F$874,'30 days CF Table(Ccy)'!$C$2),2)</f>
        <v>0</v>
      </c>
      <c r="AW31" s="379">
        <f>ROUND(SUMIFS(BS_RE33!$H$7:$H$874,BS_RE33!$S$7:$S$874,$AW$2,BS_RE33!$N$7:$N$874,I31,BS_RE33!$P$7:$P$874,'30 days CF Table(Ccy)'!G31,BS_RE33!$F$7:$F$874,'30 days CF Table(Ccy)'!$C$2),2)</f>
        <v>0</v>
      </c>
      <c r="AX31" s="379">
        <f>ROUND(SUMIFS(BS_RE33!$H$7:$H$874,BS_RE33!$S$7:$S$874,$AX$2,BS_RE33!$N$7:$N$874,I31,BS_RE33!$P$7:$P$874,'30 days CF Table(Ccy)'!G31,BS_RE33!$F$7:$F$874,'30 days CF Table(Ccy)'!$C$2),2)</f>
        <v>0</v>
      </c>
      <c r="AY31" s="379">
        <f>ROUND(SUMIFS(BS_RE33!$H$7:$H$874,BS_RE33!$S$7:$S$874,$AY$2,BS_RE33!$N$7:$N$874,I31,BS_RE33!$P$7:$P$874,'30 days CF Table(Ccy)'!G31,BS_RE33!$F$7:$F$874,'30 days CF Table(Ccy)'!$C$2),2)</f>
        <v>0</v>
      </c>
      <c r="AZ31" s="379">
        <f>ROUND(SUMIFS(BS_RE33!$H$7:$H$874,BS_RE33!$S$7:$S$874,$AZ$2,BS_RE33!$N$7:$N$874,I31,BS_RE33!$P$7:$P$874,'30 days CF Table(Ccy)'!G31,BS_RE33!$F$7:$F$874,'30 days CF Table(Ccy)'!$C$2),2)</f>
        <v>0</v>
      </c>
      <c r="BA31" s="379">
        <f>ROUND(SUMIFS(BS_RE33!$H$7:$H$874,BS_RE33!$S$7:$S$874,$BA$2,BS_RE33!$N$7:$N$874,I31,BS_RE33!$P$7:$P$874,'30 days CF Table(Ccy)'!G31,BS_RE33!$F$7:$F$874,'30 days CF Table(Ccy)'!$C$2),2)</f>
        <v>0</v>
      </c>
      <c r="BB31" s="379">
        <f>ROUND(SUMIFS(BS_RE33!$H$7:$H$874,BS_RE33!$S$7:$S$874,$BB$2,BS_RE33!$N$7:$N$874,I31,BS_RE33!$P$7:$P$874,'30 days CF Table(Ccy)'!G31,BS_RE33!$F$7:$F$874,'30 days CF Table(Ccy)'!$C$2),2)</f>
        <v>0</v>
      </c>
      <c r="BC31" s="379">
        <f>ROUND(SUMIFS(BS_RE33!$H$7:$H$874,BS_RE33!$S$7:$S$874,$BC$2,BS_RE33!$N$7:$N$874,I31,BS_RE33!$P$7:$P$874,'30 days CF Table(Ccy)'!G31,BS_RE33!$F$7:$F$874,'30 days CF Table(Ccy)'!$C$2),2)</f>
        <v>0</v>
      </c>
      <c r="BD31" s="379">
        <f>ROUND(SUMIFS(BS_RE33!$H$7:$H$874,BS_RE33!$S$7:$S$874,$BD$2,BS_RE33!$N$7:$N$874,I31,BS_RE33!$P$7:$P$874,'30 days CF Table(Ccy)'!G31,BS_RE33!$F$7:$F$874,'30 days CF Table(Ccy)'!$C$2),2)</f>
        <v>0</v>
      </c>
      <c r="BE31" s="379">
        <f>ROUND(SUMIFS(BS_RE33!$H$7:$H$874,BS_RE33!$S$7:$S$874,$BE$2,BS_RE33!$N$7:$N$874,I31,BS_RE33!$P$7:$P$874,'30 days CF Table(Ccy)'!G31,BS_RE33!$F$7:$F$874,'30 days CF Table(Ccy)'!$C$2),2)</f>
        <v>0</v>
      </c>
      <c r="BF31" s="379">
        <f>ROUND(SUMIFS(BS_RE33!$H$7:$H$874,BS_RE33!$S$7:$S$874,$BF$2,BS_RE33!$N$7:$N$874,I31,BS_RE33!$P$7:$P$874,'30 days CF Table(Ccy)'!G31,BS_RE33!$F$7:$F$874,'30 days CF Table(Ccy)'!$C$2),2)</f>
        <v>0</v>
      </c>
      <c r="BG31" s="379">
        <f>ROUND(SUMIFS(BS_RE33!$H$7:$H$874,BS_RE33!$S$7:$S$874,$BG$2,BS_RE33!$N$7:$N$874,I31,BS_RE33!$P$7:$P$874,'30 days CF Table(Ccy)'!G31,BS_RE33!$F$7:$F$874,'30 days CF Table(Ccy)'!$C$2),2)</f>
        <v>0</v>
      </c>
      <c r="BH31" s="379">
        <f>ROUND(SUMIFS(BS_RE33!$H$7:$H$874,BS_RE33!$S$7:$S$874,$BH$2,BS_RE33!$N$7:$N$874,I31,BS_RE33!$P$7:$P$874,'30 days CF Table(Ccy)'!G31,BS_RE33!$F$7:$F$874,'30 days CF Table(Ccy)'!$C$2),2)</f>
        <v>0</v>
      </c>
      <c r="BI31" s="379">
        <f>ROUND(SUMIFS(BS_RE33!$H$7:$H$874,BS_RE33!$S$7:$S$874,$BI$2,BS_RE33!$N$7:$N$874,I31,BS_RE33!$P$7:$P$874,'30 days CF Table(Ccy)'!G31,BS_RE33!$F$7:$F$874,'30 days CF Table(Ccy)'!$C$2),2)</f>
        <v>0</v>
      </c>
      <c r="BJ31" s="379">
        <f>ROUND(SUMIFS(BS_RE33!$H$7:$H$874,BS_RE33!$S$7:$S$874,$BJ$2,BS_RE33!$N$7:$N$874,I31,BS_RE33!$P$7:$P$874,'30 days CF Table(Ccy)'!G31,BS_RE33!$F$7:$F$874,'30 days CF Table(Ccy)'!$C$2),2)</f>
        <v>0</v>
      </c>
      <c r="BK31" s="379">
        <f>ROUND(SUMIFS(BS_RE33!$H$7:$H$874,BS_RE33!$S$7:$S$874,$BK$2,BS_RE33!$N$7:$N$874,I31,BS_RE33!$P$7:$P$874,'30 days CF Table(Ccy)'!G31,BS_RE33!$F$7:$F$874,'30 days CF Table(Ccy)'!$C$2),2)</f>
        <v>0</v>
      </c>
    </row>
    <row r="32" spans="1:63">
      <c r="C32" s="1029"/>
      <c r="D32" s="1039"/>
      <c r="E32" s="306" t="s">
        <v>81</v>
      </c>
      <c r="F32" s="560" t="s">
        <v>489</v>
      </c>
      <c r="G32" s="392" t="s">
        <v>520</v>
      </c>
      <c r="H32" s="314">
        <v>0.4</v>
      </c>
      <c r="I32" s="315" t="s">
        <v>80</v>
      </c>
      <c r="J32" s="479">
        <f t="shared" si="2"/>
        <v>0</v>
      </c>
      <c r="K32" s="336">
        <f t="shared" si="3"/>
        <v>0</v>
      </c>
      <c r="L32" s="337">
        <f>ROUND(SUMIFS(BS_RE33!$H$7:$H$874,BS_RE33!$S$7:$S$874,$L$2,BS_RE33!$N$7:$N$874,I32,BS_RE33!$P$7:$P$874,'30 days CF Table(Ccy)'!G32,BS_RE33!$F$7:$F$874,'30 days CF Table(Ccy)'!$C$2),2)</f>
        <v>0</v>
      </c>
      <c r="M32" s="337">
        <f>ROUND(SUMIFS(BS_RE33!$H$7:$H$874,BS_RE33!$S$7:$S$874,$M$2,BS_RE33!$N$7:$N$874,I32,BS_RE33!$P$7:$P$874,'30 days CF Table(Ccy)'!G32,BS_RE33!$F$7:$F$874,'30 days CF Table(Ccy)'!$C$2),2)</f>
        <v>0</v>
      </c>
      <c r="N32" s="337">
        <f>ROUND(SUMIFS(BS_RE33!$H$7:$H$874,BS_RE33!$S$7:$S$874,$N$2,BS_RE33!$N$7:$N$874,I32,BS_RE33!$P$7:$P$874,'30 days CF Table(Ccy)'!G32,BS_RE33!$F$7:$F$874,'30 days CF Table(Ccy)'!$C$2),2)</f>
        <v>0</v>
      </c>
      <c r="O32" s="337">
        <f>ROUND(SUMIFS(BS_RE33!$H$7:$H$874,BS_RE33!$S$7:$S$874,$O$2,BS_RE33!$N$7:$N$874,I32,BS_RE33!$P$7:$P$874,'30 days CF Table(Ccy)'!G32,BS_RE33!$F$7:$F$874,'30 days CF Table(Ccy)'!$C$2),2)</f>
        <v>0</v>
      </c>
      <c r="P32" s="337">
        <f>ROUND(SUMIFS(BS_RE33!$H$7:$H$874,BS_RE33!$S$7:$S$874,$P$2,BS_RE33!$N$7:$N$874,I32,BS_RE33!$P$7:$P$874,'30 days CF Table(Ccy)'!G32,BS_RE33!$F$7:$F$874,'30 days CF Table(Ccy)'!$C$2),2)</f>
        <v>0</v>
      </c>
      <c r="Q32" s="337">
        <f>ROUND(SUMIFS(BS_RE33!$H$7:$H$874,BS_RE33!$S$7:$S$874,$Q$2,BS_RE33!$N$7:$N$874,I32,BS_RE33!$P$7:$P$874,'30 days CF Table(Ccy)'!G32,BS_RE33!$F$7:$F$874,'30 days CF Table(Ccy)'!$C$2),2)</f>
        <v>0</v>
      </c>
      <c r="R32" s="337">
        <f>ROUND(SUMIFS(BS_RE33!$H$7:$H$874,BS_RE33!$S$7:$S$874,$R$2,BS_RE33!$N$7:$N$874,I32,BS_RE33!$P$7:$P$874,'30 days CF Table(Ccy)'!G32,BS_RE33!$F$7:$F$874,'30 days CF Table(Ccy)'!$C$2),2)</f>
        <v>0</v>
      </c>
      <c r="S32" s="337">
        <f>ROUND(SUMIFS(BS_RE33!$H$7:$H$874,BS_RE33!$S$7:$S$874,$S$2,BS_RE33!$N$7:$N$874,I32,BS_RE33!$P$7:$P$874,'30 days CF Table(Ccy)'!G32,BS_RE33!$F$7:$F$874,'30 days CF Table(Ccy)'!$C$2),2)</f>
        <v>0</v>
      </c>
      <c r="T32" s="337">
        <f>ROUND(SUMIFS(BS_RE33!$H$7:$H$874,BS_RE33!$S$7:$S$874,$T$2,BS_RE33!$N$7:$N$874,I32,BS_RE33!$P$7:$P$874,'30 days CF Table(Ccy)'!G32,BS_RE33!$F$7:$F$874,'30 days CF Table(Ccy)'!$C$2),2)</f>
        <v>0</v>
      </c>
      <c r="U32" s="337">
        <f>ROUND(SUMIFS(BS_RE33!$H$7:$H$874,BS_RE33!$S$7:$S$874,$U$2,BS_RE33!$N$7:$N$874,I32,BS_RE33!$P$7:$P$874,'30 days CF Table(Ccy)'!G32,BS_RE33!$F$7:$F$874,'30 days CF Table(Ccy)'!$C$2),2)</f>
        <v>0</v>
      </c>
      <c r="V32" s="337">
        <f>ROUND(SUMIFS(BS_RE33!$H$7:$H$874,BS_RE33!$S$7:$S$874,$V$2,BS_RE33!$N$7:$N$874,I32,BS_RE33!$P$7:$P$874,'30 days CF Table(Ccy)'!G32,BS_RE33!$F$7:$F$874,'30 days CF Table(Ccy)'!$C$2),2)</f>
        <v>0</v>
      </c>
      <c r="W32" s="337">
        <f>ROUND(SUMIFS(BS_RE33!$H$7:$H$874,BS_RE33!$S$7:$S$874,$W$2,BS_RE33!$N$7:$N$874,I32,BS_RE33!$P$7:$P$874,'30 days CF Table(Ccy)'!G32,BS_RE33!$F$7:$F$874,'30 days CF Table(Ccy)'!$C$2),2)</f>
        <v>0</v>
      </c>
      <c r="X32" s="337">
        <f>ROUND(SUMIFS(BS_RE33!$H$7:$H$874,BS_RE33!$S$7:$S$874,$X$2,BS_RE33!$N$7:$N$874,I32,BS_RE33!$P$7:$P$874,'30 days CF Table(Ccy)'!G32,BS_RE33!$F$7:$F$874,'30 days CF Table(Ccy)'!$C$2),2)</f>
        <v>0</v>
      </c>
      <c r="Y32" s="337">
        <f>ROUND(SUMIFS(BS_RE33!$H$7:$H$874,BS_RE33!$S$7:$S$874,$Y$2,BS_RE33!$N$7:$N$874,I32,BS_RE33!$P$7:$P$874,'30 days CF Table(Ccy)'!G32,BS_RE33!$F$7:$F$874,'30 days CF Table(Ccy)'!$C$2),2)</f>
        <v>0</v>
      </c>
      <c r="Z32" s="337">
        <f>ROUND(SUMIFS(BS_RE33!$H$7:$H$874,BS_RE33!$S$7:$S$874,$Z$2,BS_RE33!$N$7:$N$874,I32,BS_RE33!$P$7:$P$874,'30 days CF Table(Ccy)'!G32,BS_RE33!$F$7:$F$874,'30 days CF Table(Ccy)'!$C$2),2)</f>
        <v>0</v>
      </c>
      <c r="AA32" s="337">
        <f>ROUND(SUMIFS(BS_RE33!$H$7:$H$874,BS_RE33!$S$7:$S$874,$AA$2,BS_RE33!$N$7:$N$874,I32,BS_RE33!$P$7:$P$874,'30 days CF Table(Ccy)'!G32,BS_RE33!$F$7:$F$874,'30 days CF Table(Ccy)'!$C$2),2)</f>
        <v>0</v>
      </c>
      <c r="AB32" s="337">
        <f>ROUND(SUMIFS(BS_RE33!$H$7:$H$874,BS_RE33!$S$7:$S$874,$AB$2,BS_RE33!$N$7:$N$874,I32,BS_RE33!$P$7:$P$874,'30 days CF Table(Ccy)'!G32,BS_RE33!$F$7:$F$874,'30 days CF Table(Ccy)'!$C$2),2)</f>
        <v>0</v>
      </c>
      <c r="AC32" s="337">
        <f>ROUND(SUMIFS(BS_RE33!$H$7:$H$874,BS_RE33!$S$7:$S$874,$AC$2,BS_RE33!$N$7:$N$874,I32,BS_RE33!$P$7:$P$874,'30 days CF Table(Ccy)'!G32,BS_RE33!$F$7:$F$874,'30 days CF Table(Ccy)'!$C$2),2)</f>
        <v>0</v>
      </c>
      <c r="AD32" s="337">
        <f>ROUND(SUMIFS(BS_RE33!$H$7:$H$874,BS_RE33!$S$7:$S$874,$AD$2,BS_RE33!$N$7:$N$874,I32,BS_RE33!$P$7:$P$874,'30 days CF Table(Ccy)'!G32,BS_RE33!$F$7:$F$874,'30 days CF Table(Ccy)'!$C$2),2)</f>
        <v>0</v>
      </c>
      <c r="AE32" s="337">
        <f>ROUND(SUMIFS(BS_RE33!$H$7:$H$874,BS_RE33!$S$7:$S$874,$AE$2,BS_RE33!$N$7:$N$874,I32,BS_RE33!$P$7:$P$874,'30 days CF Table(Ccy)'!G32,BS_RE33!$F$7:$F$874,'30 days CF Table(Ccy)'!$C$2),2)</f>
        <v>0</v>
      </c>
      <c r="AF32" s="337">
        <f>ROUND(SUMIFS(BS_RE33!$H$7:$H$874,BS_RE33!$S$7:$S$874,$AF$2,BS_RE33!$N$7:$N$874,I32,BS_RE33!$P$7:$P$874,'30 days CF Table(Ccy)'!G32,BS_RE33!$F$7:$F$874,'30 days CF Table(Ccy)'!$C$2),2)</f>
        <v>0</v>
      </c>
      <c r="AG32" s="337">
        <f>ROUND(SUMIFS(BS_RE33!$H$7:$H$874,BS_RE33!$S$7:$S$874,$AG$2,BS_RE33!$N$7:$N$874,I32,BS_RE33!$P$7:$P$874,'30 days CF Table(Ccy)'!G32,BS_RE33!$F$7:$F$874,'30 days CF Table(Ccy)'!$C$2),2)</f>
        <v>0</v>
      </c>
      <c r="AH32" s="337">
        <f>ROUND(SUMIFS(BS_RE33!$H$7:$H$874,BS_RE33!$S$7:$S$874,$AH$2,BS_RE33!$N$7:$N$874,I32,BS_RE33!$P$7:$P$874,'30 days CF Table(Ccy)'!G32,BS_RE33!$F$7:$F$874,'30 days CF Table(Ccy)'!$C$2),2)</f>
        <v>0</v>
      </c>
      <c r="AI32" s="337">
        <f>ROUND(SUMIFS(BS_RE33!$H$7:$H$874,BS_RE33!$S$7:$S$874,$AI$2,BS_RE33!$N$7:$N$874,I32,BS_RE33!$P$7:$P$874,'30 days CF Table(Ccy)'!G32,BS_RE33!$F$7:$F$874,'30 days CF Table(Ccy)'!$C$2),2)</f>
        <v>0</v>
      </c>
      <c r="AJ32" s="337">
        <f>ROUND(SUMIFS(BS_RE33!$H$7:$H$874,BS_RE33!$S$7:$S$874,$AJ$2,BS_RE33!$N$7:$N$874,I32,BS_RE33!$P$7:$P$874,'30 days CF Table(Ccy)'!G32,BS_RE33!$F$7:$F$874,'30 days CF Table(Ccy)'!$C$2),2)</f>
        <v>0</v>
      </c>
      <c r="AK32" s="337">
        <f>ROUND(SUMIFS(BS_RE33!$H$7:$H$874,BS_RE33!$S$7:$S$874,$AK$2,BS_RE33!$N$7:$N$874,I32,BS_RE33!$P$7:$P$874,'30 days CF Table(Ccy)'!G32,BS_RE33!$F$7:$F$874,'30 days CF Table(Ccy)'!$C$2),2)</f>
        <v>0</v>
      </c>
      <c r="AL32" s="337">
        <f>ROUND(SUMIFS(BS_RE33!$H$7:$H$874,BS_RE33!$S$7:$S$874,$AL$2,BS_RE33!$N$7:$N$874,I32,BS_RE33!$P$7:$P$874,'30 days CF Table(Ccy)'!G32,BS_RE33!$F$7:$F$874,'30 days CF Table(Ccy)'!$C$2),2)</f>
        <v>0</v>
      </c>
      <c r="AM32" s="337">
        <f>ROUND(SUMIFS(BS_RE33!$H$7:$H$874,BS_RE33!$S$7:$S$874,$AM$2,BS_RE33!$N$7:$N$874,I32,BS_RE33!$P$7:$P$874,'30 days CF Table(Ccy)'!G32,BS_RE33!$F$7:$F$874,'30 days CF Table(Ccy)'!$C$2),2)</f>
        <v>0</v>
      </c>
      <c r="AN32" s="337">
        <f>ROUND(SUMIFS(BS_RE33!$H$7:$H$874,BS_RE33!$S$7:$S$874,$AN$2,BS_RE33!$N$7:$N$874,I32,BS_RE33!$P$7:$P$874,'30 days CF Table(Ccy)'!G32,BS_RE33!$F$7:$F$874,'30 days CF Table(Ccy)'!$C$2),2)</f>
        <v>0</v>
      </c>
      <c r="AO32" s="337">
        <f>ROUND(SUMIFS(BS_RE33!$H$7:$H$874,BS_RE33!$S$7:$S$874,$AO$2,BS_RE33!$N$7:$N$874,I32,BS_RE33!$P$7:$P$874,'30 days CF Table(Ccy)'!G32,BS_RE33!$F$7:$F$874,'30 days CF Table(Ccy)'!$C$2),2)</f>
        <v>0</v>
      </c>
      <c r="AP32" s="338">
        <f>ROUND(SUMIFS(BS_RE33!$H$7:$H$874,BS_RE33!$S$7:$S$874,$AP$2,BS_RE33!$N$7:$N$874,I32,BS_RE33!$P$7:$P$874,'30 days CF Table(Ccy)'!G32,BS_RE33!$F$7:$F$874,'30 days CF Table(Ccy)'!$C$2),2)</f>
        <v>0</v>
      </c>
      <c r="AR32" s="379">
        <f>ROUND(SUMIFS(BS_RE33!$H$7:$H$874,BS_RE33!$S$7:$S$874,$AR$2,BS_RE33!$N$7:$N$874,I32,BS_RE33!$P$7:$P$874,'30 days CF Table(Ccy)'!G32,BS_RE33!$F$7:$F$874,'30 days CF Table(Ccy)'!$C$2),2)</f>
        <v>0</v>
      </c>
      <c r="AS32" s="379">
        <f>ROUND(SUMIFS(BS_RE33!$H$7:$H$874,BS_RE33!$S$7:$S$874,$AS$2,BS_RE33!$N$7:$N$874,I32,BS_RE33!$P$7:$P$874,'30 days CF Table(Ccy)'!G32,BS_RE33!$F$7:$F$874,'30 days CF Table(Ccy)'!$C$2),2)</f>
        <v>0</v>
      </c>
      <c r="AT32" s="379">
        <f>ROUND(SUMIFS(BS_RE33!$H$7:$H$874,BS_RE33!$S$7:$S$874,$AT$2,BS_RE33!$N$7:$N$874,I32,BS_RE33!$P$7:$P$874,'30 days CF Table(Ccy)'!G32,BS_RE33!$F$7:$F$874,'30 days CF Table(Ccy)'!$C$2),2)</f>
        <v>0</v>
      </c>
      <c r="AU32" s="379">
        <f>ROUND(SUMIFS(BS_RE33!$H$7:$H$874,BS_RE33!$S$7:$S$874,$AU$2,BS_RE33!$N$7:$N$874,I32,BS_RE33!$P$7:$P$874,'30 days CF Table(Ccy)'!G32,BS_RE33!$F$7:$F$874,'30 days CF Table(Ccy)'!$C$2),2)</f>
        <v>0</v>
      </c>
      <c r="AV32" s="379">
        <f>ROUND(SUMIFS(BS_RE33!$H$7:$H$874,BS_RE33!$S$7:$S$874,$AV$2,BS_RE33!$N$7:$N$874,I32,BS_RE33!$P$7:$P$874,'30 days CF Table(Ccy)'!G32,BS_RE33!$F$7:$F$874,'30 days CF Table(Ccy)'!$C$2),2)</f>
        <v>0</v>
      </c>
      <c r="AW32" s="379">
        <f>ROUND(SUMIFS(BS_RE33!$H$7:$H$874,BS_RE33!$S$7:$S$874,$AW$2,BS_RE33!$N$7:$N$874,I32,BS_RE33!$P$7:$P$874,'30 days CF Table(Ccy)'!G32,BS_RE33!$F$7:$F$874,'30 days CF Table(Ccy)'!$C$2),2)</f>
        <v>0</v>
      </c>
      <c r="AX32" s="379">
        <f>ROUND(SUMIFS(BS_RE33!$H$7:$H$874,BS_RE33!$S$7:$S$874,$AX$2,BS_RE33!$N$7:$N$874,I32,BS_RE33!$P$7:$P$874,'30 days CF Table(Ccy)'!G32,BS_RE33!$F$7:$F$874,'30 days CF Table(Ccy)'!$C$2),2)</f>
        <v>0</v>
      </c>
      <c r="AY32" s="379">
        <f>ROUND(SUMIFS(BS_RE33!$H$7:$H$874,BS_RE33!$S$7:$S$874,$AY$2,BS_RE33!$N$7:$N$874,I32,BS_RE33!$P$7:$P$874,'30 days CF Table(Ccy)'!G32,BS_RE33!$F$7:$F$874,'30 days CF Table(Ccy)'!$C$2),2)</f>
        <v>0</v>
      </c>
      <c r="AZ32" s="379">
        <f>ROUND(SUMIFS(BS_RE33!$H$7:$H$874,BS_RE33!$S$7:$S$874,$AZ$2,BS_RE33!$N$7:$N$874,I32,BS_RE33!$P$7:$P$874,'30 days CF Table(Ccy)'!G32,BS_RE33!$F$7:$F$874,'30 days CF Table(Ccy)'!$C$2),2)</f>
        <v>0</v>
      </c>
      <c r="BA32" s="379">
        <f>ROUND(SUMIFS(BS_RE33!$H$7:$H$874,BS_RE33!$S$7:$S$874,$BA$2,BS_RE33!$N$7:$N$874,I32,BS_RE33!$P$7:$P$874,'30 days CF Table(Ccy)'!G32,BS_RE33!$F$7:$F$874,'30 days CF Table(Ccy)'!$C$2),2)</f>
        <v>0</v>
      </c>
      <c r="BB32" s="379">
        <f>ROUND(SUMIFS(BS_RE33!$H$7:$H$874,BS_RE33!$S$7:$S$874,$BB$2,BS_RE33!$N$7:$N$874,I32,BS_RE33!$P$7:$P$874,'30 days CF Table(Ccy)'!G32,BS_RE33!$F$7:$F$874,'30 days CF Table(Ccy)'!$C$2),2)</f>
        <v>0</v>
      </c>
      <c r="BC32" s="379">
        <f>ROUND(SUMIFS(BS_RE33!$H$7:$H$874,BS_RE33!$S$7:$S$874,$BC$2,BS_RE33!$N$7:$N$874,I32,BS_RE33!$P$7:$P$874,'30 days CF Table(Ccy)'!G32,BS_RE33!$F$7:$F$874,'30 days CF Table(Ccy)'!$C$2),2)</f>
        <v>0</v>
      </c>
      <c r="BD32" s="379">
        <f>ROUND(SUMIFS(BS_RE33!$H$7:$H$874,BS_RE33!$S$7:$S$874,$BD$2,BS_RE33!$N$7:$N$874,I32,BS_RE33!$P$7:$P$874,'30 days CF Table(Ccy)'!G32,BS_RE33!$F$7:$F$874,'30 days CF Table(Ccy)'!$C$2),2)</f>
        <v>0</v>
      </c>
      <c r="BE32" s="379">
        <f>ROUND(SUMIFS(BS_RE33!$H$7:$H$874,BS_RE33!$S$7:$S$874,$BE$2,BS_RE33!$N$7:$N$874,I32,BS_RE33!$P$7:$P$874,'30 days CF Table(Ccy)'!G32,BS_RE33!$F$7:$F$874,'30 days CF Table(Ccy)'!$C$2),2)</f>
        <v>0</v>
      </c>
      <c r="BF32" s="379">
        <f>ROUND(SUMIFS(BS_RE33!$H$7:$H$874,BS_RE33!$S$7:$S$874,$BF$2,BS_RE33!$N$7:$N$874,I32,BS_RE33!$P$7:$P$874,'30 days CF Table(Ccy)'!G32,BS_RE33!$F$7:$F$874,'30 days CF Table(Ccy)'!$C$2),2)</f>
        <v>0</v>
      </c>
      <c r="BG32" s="379">
        <f>ROUND(SUMIFS(BS_RE33!$H$7:$H$874,BS_RE33!$S$7:$S$874,$BG$2,BS_RE33!$N$7:$N$874,I32,BS_RE33!$P$7:$P$874,'30 days CF Table(Ccy)'!G32,BS_RE33!$F$7:$F$874,'30 days CF Table(Ccy)'!$C$2),2)</f>
        <v>0</v>
      </c>
      <c r="BH32" s="379">
        <f>ROUND(SUMIFS(BS_RE33!$H$7:$H$874,BS_RE33!$S$7:$S$874,$BH$2,BS_RE33!$N$7:$N$874,I32,BS_RE33!$P$7:$P$874,'30 days CF Table(Ccy)'!G32,BS_RE33!$F$7:$F$874,'30 days CF Table(Ccy)'!$C$2),2)</f>
        <v>0</v>
      </c>
      <c r="BI32" s="379">
        <f>ROUND(SUMIFS(BS_RE33!$H$7:$H$874,BS_RE33!$S$7:$S$874,$BI$2,BS_RE33!$N$7:$N$874,I32,BS_RE33!$P$7:$P$874,'30 days CF Table(Ccy)'!G32,BS_RE33!$F$7:$F$874,'30 days CF Table(Ccy)'!$C$2),2)</f>
        <v>0</v>
      </c>
      <c r="BJ32" s="379">
        <f>ROUND(SUMIFS(BS_RE33!$H$7:$H$874,BS_RE33!$S$7:$S$874,$BJ$2,BS_RE33!$N$7:$N$874,I32,BS_RE33!$P$7:$P$874,'30 days CF Table(Ccy)'!G32,BS_RE33!$F$7:$F$874,'30 days CF Table(Ccy)'!$C$2),2)</f>
        <v>0</v>
      </c>
      <c r="BK32" s="379">
        <f>ROUND(SUMIFS(BS_RE33!$H$7:$H$874,BS_RE33!$S$7:$S$874,$BK$2,BS_RE33!$N$7:$N$874,I32,BS_RE33!$P$7:$P$874,'30 days CF Table(Ccy)'!G32,BS_RE33!$F$7:$F$874,'30 days CF Table(Ccy)'!$C$2),2)</f>
        <v>0</v>
      </c>
    </row>
    <row r="33" spans="3:63">
      <c r="C33" s="1029"/>
      <c r="D33" s="1039"/>
      <c r="E33" s="40" t="s">
        <v>81</v>
      </c>
      <c r="F33" s="560" t="s">
        <v>492</v>
      </c>
      <c r="G33" s="392" t="s">
        <v>521</v>
      </c>
      <c r="H33" s="314">
        <v>1</v>
      </c>
      <c r="I33" s="315" t="s">
        <v>80</v>
      </c>
      <c r="J33" s="479">
        <f t="shared" si="2"/>
        <v>0</v>
      </c>
      <c r="K33" s="336">
        <f t="shared" si="3"/>
        <v>0</v>
      </c>
      <c r="L33" s="337">
        <f>ROUND(SUMIFS(BS_RE33!$H$7:$H$874,BS_RE33!$S$7:$S$874,$L$2,BS_RE33!$N$7:$N$874,I33,BS_RE33!$P$7:$P$874,'30 days CF Table(Ccy)'!G33,BS_RE33!$F$7:$F$874,'30 days CF Table(Ccy)'!$C$2),2)</f>
        <v>0</v>
      </c>
      <c r="M33" s="337">
        <f>ROUND(SUMIFS(BS_RE33!$H$7:$H$874,BS_RE33!$S$7:$S$874,$M$2,BS_RE33!$N$7:$N$874,I33,BS_RE33!$P$7:$P$874,'30 days CF Table(Ccy)'!G33,BS_RE33!$F$7:$F$874,'30 days CF Table(Ccy)'!$C$2),2)</f>
        <v>0</v>
      </c>
      <c r="N33" s="337">
        <f>ROUND(SUMIFS(BS_RE33!$H$7:$H$874,BS_RE33!$S$7:$S$874,$N$2,BS_RE33!$N$7:$N$874,I33,BS_RE33!$P$7:$P$874,'30 days CF Table(Ccy)'!G33,BS_RE33!$F$7:$F$874,'30 days CF Table(Ccy)'!$C$2),2)</f>
        <v>0</v>
      </c>
      <c r="O33" s="337">
        <f>ROUND(SUMIFS(BS_RE33!$H$7:$H$874,BS_RE33!$S$7:$S$874,$O$2,BS_RE33!$N$7:$N$874,I33,BS_RE33!$P$7:$P$874,'30 days CF Table(Ccy)'!G33,BS_RE33!$F$7:$F$874,'30 days CF Table(Ccy)'!$C$2),2)</f>
        <v>0</v>
      </c>
      <c r="P33" s="337">
        <f>ROUND(SUMIFS(BS_RE33!$H$7:$H$874,BS_RE33!$S$7:$S$874,$P$2,BS_RE33!$N$7:$N$874,I33,BS_RE33!$P$7:$P$874,'30 days CF Table(Ccy)'!G33,BS_RE33!$F$7:$F$874,'30 days CF Table(Ccy)'!$C$2),2)</f>
        <v>0</v>
      </c>
      <c r="Q33" s="337">
        <f>ROUND(SUMIFS(BS_RE33!$H$7:$H$874,BS_RE33!$S$7:$S$874,$Q$2,BS_RE33!$N$7:$N$874,I33,BS_RE33!$P$7:$P$874,'30 days CF Table(Ccy)'!G33,BS_RE33!$F$7:$F$874,'30 days CF Table(Ccy)'!$C$2),2)</f>
        <v>0</v>
      </c>
      <c r="R33" s="337">
        <f>ROUND(SUMIFS(BS_RE33!$H$7:$H$874,BS_RE33!$S$7:$S$874,$R$2,BS_RE33!$N$7:$N$874,I33,BS_RE33!$P$7:$P$874,'30 days CF Table(Ccy)'!G33,BS_RE33!$F$7:$F$874,'30 days CF Table(Ccy)'!$C$2),2)</f>
        <v>0</v>
      </c>
      <c r="S33" s="337">
        <f>ROUND(SUMIFS(BS_RE33!$H$7:$H$874,BS_RE33!$S$7:$S$874,$S$2,BS_RE33!$N$7:$N$874,I33,BS_RE33!$P$7:$P$874,'30 days CF Table(Ccy)'!G33,BS_RE33!$F$7:$F$874,'30 days CF Table(Ccy)'!$C$2),2)</f>
        <v>0</v>
      </c>
      <c r="T33" s="337">
        <f>ROUND(SUMIFS(BS_RE33!$H$7:$H$874,BS_RE33!$S$7:$S$874,$T$2,BS_RE33!$N$7:$N$874,I33,BS_RE33!$P$7:$P$874,'30 days CF Table(Ccy)'!G33,BS_RE33!$F$7:$F$874,'30 days CF Table(Ccy)'!$C$2),2)</f>
        <v>0</v>
      </c>
      <c r="U33" s="337">
        <f>ROUND(SUMIFS(BS_RE33!$H$7:$H$874,BS_RE33!$S$7:$S$874,$U$2,BS_RE33!$N$7:$N$874,I33,BS_RE33!$P$7:$P$874,'30 days CF Table(Ccy)'!G33,BS_RE33!$F$7:$F$874,'30 days CF Table(Ccy)'!$C$2),2)</f>
        <v>0</v>
      </c>
      <c r="V33" s="337">
        <f>ROUND(SUMIFS(BS_RE33!$H$7:$H$874,BS_RE33!$S$7:$S$874,$V$2,BS_RE33!$N$7:$N$874,I33,BS_RE33!$P$7:$P$874,'30 days CF Table(Ccy)'!G33,BS_RE33!$F$7:$F$874,'30 days CF Table(Ccy)'!$C$2),2)</f>
        <v>0</v>
      </c>
      <c r="W33" s="337">
        <f>ROUND(SUMIFS(BS_RE33!$H$7:$H$874,BS_RE33!$S$7:$S$874,$W$2,BS_RE33!$N$7:$N$874,I33,BS_RE33!$P$7:$P$874,'30 days CF Table(Ccy)'!G33,BS_RE33!$F$7:$F$874,'30 days CF Table(Ccy)'!$C$2),2)</f>
        <v>0</v>
      </c>
      <c r="X33" s="337">
        <f>ROUND(SUMIFS(BS_RE33!$H$7:$H$874,BS_RE33!$S$7:$S$874,$X$2,BS_RE33!$N$7:$N$874,I33,BS_RE33!$P$7:$P$874,'30 days CF Table(Ccy)'!G33,BS_RE33!$F$7:$F$874,'30 days CF Table(Ccy)'!$C$2),2)</f>
        <v>0</v>
      </c>
      <c r="Y33" s="337">
        <f>ROUND(SUMIFS(BS_RE33!$H$7:$H$874,BS_RE33!$S$7:$S$874,$Y$2,BS_RE33!$N$7:$N$874,I33,BS_RE33!$P$7:$P$874,'30 days CF Table(Ccy)'!G33,BS_RE33!$F$7:$F$874,'30 days CF Table(Ccy)'!$C$2),2)</f>
        <v>0</v>
      </c>
      <c r="Z33" s="337">
        <f>ROUND(SUMIFS(BS_RE33!$H$7:$H$874,BS_RE33!$S$7:$S$874,$Z$2,BS_RE33!$N$7:$N$874,I33,BS_RE33!$P$7:$P$874,'30 days CF Table(Ccy)'!G33,BS_RE33!$F$7:$F$874,'30 days CF Table(Ccy)'!$C$2),2)</f>
        <v>0</v>
      </c>
      <c r="AA33" s="337">
        <f>ROUND(SUMIFS(BS_RE33!$H$7:$H$874,BS_RE33!$S$7:$S$874,$AA$2,BS_RE33!$N$7:$N$874,I33,BS_RE33!$P$7:$P$874,'30 days CF Table(Ccy)'!G33,BS_RE33!$F$7:$F$874,'30 days CF Table(Ccy)'!$C$2),2)</f>
        <v>0</v>
      </c>
      <c r="AB33" s="337">
        <f>ROUND(SUMIFS(BS_RE33!$H$7:$H$874,BS_RE33!$S$7:$S$874,$AB$2,BS_RE33!$N$7:$N$874,I33,BS_RE33!$P$7:$P$874,'30 days CF Table(Ccy)'!G33,BS_RE33!$F$7:$F$874,'30 days CF Table(Ccy)'!$C$2),2)</f>
        <v>0</v>
      </c>
      <c r="AC33" s="337">
        <f>ROUND(SUMIFS(BS_RE33!$H$7:$H$874,BS_RE33!$S$7:$S$874,$AC$2,BS_RE33!$N$7:$N$874,I33,BS_RE33!$P$7:$P$874,'30 days CF Table(Ccy)'!G33,BS_RE33!$F$7:$F$874,'30 days CF Table(Ccy)'!$C$2),2)</f>
        <v>0</v>
      </c>
      <c r="AD33" s="337">
        <f>ROUND(SUMIFS(BS_RE33!$H$7:$H$874,BS_RE33!$S$7:$S$874,$AD$2,BS_RE33!$N$7:$N$874,I33,BS_RE33!$P$7:$P$874,'30 days CF Table(Ccy)'!G33,BS_RE33!$F$7:$F$874,'30 days CF Table(Ccy)'!$C$2),2)</f>
        <v>0</v>
      </c>
      <c r="AE33" s="337">
        <f>ROUND(SUMIFS(BS_RE33!$H$7:$H$874,BS_RE33!$S$7:$S$874,$AE$2,BS_RE33!$N$7:$N$874,I33,BS_RE33!$P$7:$P$874,'30 days CF Table(Ccy)'!G33,BS_RE33!$F$7:$F$874,'30 days CF Table(Ccy)'!$C$2),2)</f>
        <v>0</v>
      </c>
      <c r="AF33" s="337">
        <f>ROUND(SUMIFS(BS_RE33!$H$7:$H$874,BS_RE33!$S$7:$S$874,$AF$2,BS_RE33!$N$7:$N$874,I33,BS_RE33!$P$7:$P$874,'30 days CF Table(Ccy)'!G33,BS_RE33!$F$7:$F$874,'30 days CF Table(Ccy)'!$C$2),2)</f>
        <v>0</v>
      </c>
      <c r="AG33" s="337">
        <f>ROUND(SUMIFS(BS_RE33!$H$7:$H$874,BS_RE33!$S$7:$S$874,$AG$2,BS_RE33!$N$7:$N$874,I33,BS_RE33!$P$7:$P$874,'30 days CF Table(Ccy)'!G33,BS_RE33!$F$7:$F$874,'30 days CF Table(Ccy)'!$C$2),2)</f>
        <v>0</v>
      </c>
      <c r="AH33" s="337">
        <f>ROUND(SUMIFS(BS_RE33!$H$7:$H$874,BS_RE33!$S$7:$S$874,$AH$2,BS_RE33!$N$7:$N$874,I33,BS_RE33!$P$7:$P$874,'30 days CF Table(Ccy)'!G33,BS_RE33!$F$7:$F$874,'30 days CF Table(Ccy)'!$C$2),2)</f>
        <v>0</v>
      </c>
      <c r="AI33" s="337">
        <f>ROUND(SUMIFS(BS_RE33!$H$7:$H$874,BS_RE33!$S$7:$S$874,$AI$2,BS_RE33!$N$7:$N$874,I33,BS_RE33!$P$7:$P$874,'30 days CF Table(Ccy)'!G33,BS_RE33!$F$7:$F$874,'30 days CF Table(Ccy)'!$C$2),2)</f>
        <v>0</v>
      </c>
      <c r="AJ33" s="337">
        <f>ROUND(SUMIFS(BS_RE33!$H$7:$H$874,BS_RE33!$S$7:$S$874,$AJ$2,BS_RE33!$N$7:$N$874,I33,BS_RE33!$P$7:$P$874,'30 days CF Table(Ccy)'!G33,BS_RE33!$F$7:$F$874,'30 days CF Table(Ccy)'!$C$2),2)</f>
        <v>0</v>
      </c>
      <c r="AK33" s="337">
        <f>ROUND(SUMIFS(BS_RE33!$H$7:$H$874,BS_RE33!$S$7:$S$874,$AK$2,BS_RE33!$N$7:$N$874,I33,BS_RE33!$P$7:$P$874,'30 days CF Table(Ccy)'!G33,BS_RE33!$F$7:$F$874,'30 days CF Table(Ccy)'!$C$2),2)</f>
        <v>0</v>
      </c>
      <c r="AL33" s="337">
        <f>ROUND(SUMIFS(BS_RE33!$H$7:$H$874,BS_RE33!$S$7:$S$874,$AL$2,BS_RE33!$N$7:$N$874,I33,BS_RE33!$P$7:$P$874,'30 days CF Table(Ccy)'!G33,BS_RE33!$F$7:$F$874,'30 days CF Table(Ccy)'!$C$2),2)</f>
        <v>0</v>
      </c>
      <c r="AM33" s="337">
        <f>ROUND(SUMIFS(BS_RE33!$H$7:$H$874,BS_RE33!$S$7:$S$874,$AM$2,BS_RE33!$N$7:$N$874,I33,BS_RE33!$P$7:$P$874,'30 days CF Table(Ccy)'!G33,BS_RE33!$F$7:$F$874,'30 days CF Table(Ccy)'!$C$2),2)</f>
        <v>0</v>
      </c>
      <c r="AN33" s="337">
        <f>ROUND(SUMIFS(BS_RE33!$H$7:$H$874,BS_RE33!$S$7:$S$874,$AN$2,BS_RE33!$N$7:$N$874,I33,BS_RE33!$P$7:$P$874,'30 days CF Table(Ccy)'!G33,BS_RE33!$F$7:$F$874,'30 days CF Table(Ccy)'!$C$2),2)</f>
        <v>0</v>
      </c>
      <c r="AO33" s="337">
        <f>ROUND(SUMIFS(BS_RE33!$H$7:$H$874,BS_RE33!$S$7:$S$874,$AO$2,BS_RE33!$N$7:$N$874,I33,BS_RE33!$P$7:$P$874,'30 days CF Table(Ccy)'!G33,BS_RE33!$F$7:$F$874,'30 days CF Table(Ccy)'!$C$2),2)</f>
        <v>0</v>
      </c>
      <c r="AP33" s="338">
        <f>ROUND(SUMIFS(BS_RE33!$H$7:$H$874,BS_RE33!$S$7:$S$874,$AP$2,BS_RE33!$N$7:$N$874,I33,BS_RE33!$P$7:$P$874,'30 days CF Table(Ccy)'!G33,BS_RE33!$F$7:$F$874,'30 days CF Table(Ccy)'!$C$2),2)</f>
        <v>0</v>
      </c>
      <c r="AR33" s="379">
        <f>ROUND(SUMIFS(BS_RE33!$H$7:$H$874,BS_RE33!$S$7:$S$874,$AR$2,BS_RE33!$N$7:$N$874,I33,BS_RE33!$P$7:$P$874,'30 days CF Table(Ccy)'!G33,BS_RE33!$F$7:$F$874,'30 days CF Table(Ccy)'!$C$2),2)</f>
        <v>0</v>
      </c>
      <c r="AS33" s="379">
        <f>ROUND(SUMIFS(BS_RE33!$H$7:$H$874,BS_RE33!$S$7:$S$874,$AS$2,BS_RE33!$N$7:$N$874,I33,BS_RE33!$P$7:$P$874,'30 days CF Table(Ccy)'!G33,BS_RE33!$F$7:$F$874,'30 days CF Table(Ccy)'!$C$2),2)</f>
        <v>0</v>
      </c>
      <c r="AT33" s="379">
        <f>ROUND(SUMIFS(BS_RE33!$H$7:$H$874,BS_RE33!$S$7:$S$874,$AT$2,BS_RE33!$N$7:$N$874,I33,BS_RE33!$P$7:$P$874,'30 days CF Table(Ccy)'!G33,BS_RE33!$F$7:$F$874,'30 days CF Table(Ccy)'!$C$2),2)</f>
        <v>0</v>
      </c>
      <c r="AU33" s="379">
        <f>ROUND(SUMIFS(BS_RE33!$H$7:$H$874,BS_RE33!$S$7:$S$874,$AU$2,BS_RE33!$N$7:$N$874,I33,BS_RE33!$P$7:$P$874,'30 days CF Table(Ccy)'!G33,BS_RE33!$F$7:$F$874,'30 days CF Table(Ccy)'!$C$2),2)</f>
        <v>0</v>
      </c>
      <c r="AV33" s="379">
        <f>ROUND(SUMIFS(BS_RE33!$H$7:$H$874,BS_RE33!$S$7:$S$874,$AV$2,BS_RE33!$N$7:$N$874,I33,BS_RE33!$P$7:$P$874,'30 days CF Table(Ccy)'!G33,BS_RE33!$F$7:$F$874,'30 days CF Table(Ccy)'!$C$2),2)</f>
        <v>0</v>
      </c>
      <c r="AW33" s="379">
        <f>ROUND(SUMIFS(BS_RE33!$H$7:$H$874,BS_RE33!$S$7:$S$874,$AW$2,BS_RE33!$N$7:$N$874,I33,BS_RE33!$P$7:$P$874,'30 days CF Table(Ccy)'!G33,BS_RE33!$F$7:$F$874,'30 days CF Table(Ccy)'!$C$2),2)</f>
        <v>0</v>
      </c>
      <c r="AX33" s="379">
        <f>ROUND(SUMIFS(BS_RE33!$H$7:$H$874,BS_RE33!$S$7:$S$874,$AX$2,BS_RE33!$N$7:$N$874,I33,BS_RE33!$P$7:$P$874,'30 days CF Table(Ccy)'!G33,BS_RE33!$F$7:$F$874,'30 days CF Table(Ccy)'!$C$2),2)</f>
        <v>0</v>
      </c>
      <c r="AY33" s="379">
        <f>ROUND(SUMIFS(BS_RE33!$H$7:$H$874,BS_RE33!$S$7:$S$874,$AY$2,BS_RE33!$N$7:$N$874,I33,BS_RE33!$P$7:$P$874,'30 days CF Table(Ccy)'!G33,BS_RE33!$F$7:$F$874,'30 days CF Table(Ccy)'!$C$2),2)</f>
        <v>0</v>
      </c>
      <c r="AZ33" s="379">
        <f>ROUND(SUMIFS(BS_RE33!$H$7:$H$874,BS_RE33!$S$7:$S$874,$AZ$2,BS_RE33!$N$7:$N$874,I33,BS_RE33!$P$7:$P$874,'30 days CF Table(Ccy)'!G33,BS_RE33!$F$7:$F$874,'30 days CF Table(Ccy)'!$C$2),2)</f>
        <v>0</v>
      </c>
      <c r="BA33" s="379">
        <f>ROUND(SUMIFS(BS_RE33!$H$7:$H$874,BS_RE33!$S$7:$S$874,$BA$2,BS_RE33!$N$7:$N$874,I33,BS_RE33!$P$7:$P$874,'30 days CF Table(Ccy)'!G33,BS_RE33!$F$7:$F$874,'30 days CF Table(Ccy)'!$C$2),2)</f>
        <v>0</v>
      </c>
      <c r="BB33" s="379">
        <f>ROUND(SUMIFS(BS_RE33!$H$7:$H$874,BS_RE33!$S$7:$S$874,$BB$2,BS_RE33!$N$7:$N$874,I33,BS_RE33!$P$7:$P$874,'30 days CF Table(Ccy)'!G33,BS_RE33!$F$7:$F$874,'30 days CF Table(Ccy)'!$C$2),2)</f>
        <v>0</v>
      </c>
      <c r="BC33" s="379">
        <f>ROUND(SUMIFS(BS_RE33!$H$7:$H$874,BS_RE33!$S$7:$S$874,$BC$2,BS_RE33!$N$7:$N$874,I33,BS_RE33!$P$7:$P$874,'30 days CF Table(Ccy)'!G33,BS_RE33!$F$7:$F$874,'30 days CF Table(Ccy)'!$C$2),2)</f>
        <v>0</v>
      </c>
      <c r="BD33" s="379">
        <f>ROUND(SUMIFS(BS_RE33!$H$7:$H$874,BS_RE33!$S$7:$S$874,$BD$2,BS_RE33!$N$7:$N$874,I33,BS_RE33!$P$7:$P$874,'30 days CF Table(Ccy)'!G33,BS_RE33!$F$7:$F$874,'30 days CF Table(Ccy)'!$C$2),2)</f>
        <v>0</v>
      </c>
      <c r="BE33" s="379">
        <f>ROUND(SUMIFS(BS_RE33!$H$7:$H$874,BS_RE33!$S$7:$S$874,$BE$2,BS_RE33!$N$7:$N$874,I33,BS_RE33!$P$7:$P$874,'30 days CF Table(Ccy)'!G33,BS_RE33!$F$7:$F$874,'30 days CF Table(Ccy)'!$C$2),2)</f>
        <v>0</v>
      </c>
      <c r="BF33" s="379">
        <f>ROUND(SUMIFS(BS_RE33!$H$7:$H$874,BS_RE33!$S$7:$S$874,$BF$2,BS_RE33!$N$7:$N$874,I33,BS_RE33!$P$7:$P$874,'30 days CF Table(Ccy)'!G33,BS_RE33!$F$7:$F$874,'30 days CF Table(Ccy)'!$C$2),2)</f>
        <v>0</v>
      </c>
      <c r="BG33" s="379">
        <f>ROUND(SUMIFS(BS_RE33!$H$7:$H$874,BS_RE33!$S$7:$S$874,$BG$2,BS_RE33!$N$7:$N$874,I33,BS_RE33!$P$7:$P$874,'30 days CF Table(Ccy)'!G33,BS_RE33!$F$7:$F$874,'30 days CF Table(Ccy)'!$C$2),2)</f>
        <v>0</v>
      </c>
      <c r="BH33" s="379">
        <f>ROUND(SUMIFS(BS_RE33!$H$7:$H$874,BS_RE33!$S$7:$S$874,$BH$2,BS_RE33!$N$7:$N$874,I33,BS_RE33!$P$7:$P$874,'30 days CF Table(Ccy)'!G33,BS_RE33!$F$7:$F$874,'30 days CF Table(Ccy)'!$C$2),2)</f>
        <v>0</v>
      </c>
      <c r="BI33" s="379">
        <f>ROUND(SUMIFS(BS_RE33!$H$7:$H$874,BS_RE33!$S$7:$S$874,$BI$2,BS_RE33!$N$7:$N$874,I33,BS_RE33!$P$7:$P$874,'30 days CF Table(Ccy)'!G33,BS_RE33!$F$7:$F$874,'30 days CF Table(Ccy)'!$C$2),2)</f>
        <v>0</v>
      </c>
      <c r="BJ33" s="379">
        <f>ROUND(SUMIFS(BS_RE33!$H$7:$H$874,BS_RE33!$S$7:$S$874,$BJ$2,BS_RE33!$N$7:$N$874,I33,BS_RE33!$P$7:$P$874,'30 days CF Table(Ccy)'!G33,BS_RE33!$F$7:$F$874,'30 days CF Table(Ccy)'!$C$2),2)</f>
        <v>0</v>
      </c>
      <c r="BK33" s="379">
        <f>ROUND(SUMIFS(BS_RE33!$H$7:$H$874,BS_RE33!$S$7:$S$874,$BK$2,BS_RE33!$N$7:$N$874,I33,BS_RE33!$P$7:$P$874,'30 days CF Table(Ccy)'!G33,BS_RE33!$F$7:$F$874,'30 days CF Table(Ccy)'!$C$2),2)</f>
        <v>0</v>
      </c>
    </row>
    <row r="34" spans="3:63">
      <c r="C34" s="1029"/>
      <c r="D34" s="1040"/>
      <c r="E34" s="306" t="s">
        <v>81</v>
      </c>
      <c r="F34" s="560" t="s">
        <v>493</v>
      </c>
      <c r="G34" s="392" t="s">
        <v>522</v>
      </c>
      <c r="H34" s="314">
        <v>1</v>
      </c>
      <c r="I34" s="315" t="s">
        <v>80</v>
      </c>
      <c r="J34" s="479">
        <f t="shared" si="2"/>
        <v>0</v>
      </c>
      <c r="K34" s="336">
        <f t="shared" si="3"/>
        <v>0</v>
      </c>
      <c r="L34" s="337">
        <f>ROUND(SUMIFS(BS_RE33!$H$7:$H$874,BS_RE33!$S$7:$S$874,$L$2,BS_RE33!$N$7:$N$874,I34,BS_RE33!$P$7:$P$874,'30 days CF Table(Ccy)'!G34,BS_RE33!$F$7:$F$874,'30 days CF Table(Ccy)'!$C$2),2)</f>
        <v>0</v>
      </c>
      <c r="M34" s="337">
        <f>ROUND(SUMIFS(BS_RE33!$H$7:$H$874,BS_RE33!$S$7:$S$874,$M$2,BS_RE33!$N$7:$N$874,I34,BS_RE33!$P$7:$P$874,'30 days CF Table(Ccy)'!G34,BS_RE33!$F$7:$F$874,'30 days CF Table(Ccy)'!$C$2),2)</f>
        <v>0</v>
      </c>
      <c r="N34" s="337">
        <f>ROUND(SUMIFS(BS_RE33!$H$7:$H$874,BS_RE33!$S$7:$S$874,$N$2,BS_RE33!$N$7:$N$874,I34,BS_RE33!$P$7:$P$874,'30 days CF Table(Ccy)'!G34,BS_RE33!$F$7:$F$874,'30 days CF Table(Ccy)'!$C$2),2)</f>
        <v>0</v>
      </c>
      <c r="O34" s="337">
        <f>ROUND(SUMIFS(BS_RE33!$H$7:$H$874,BS_RE33!$S$7:$S$874,$O$2,BS_RE33!$N$7:$N$874,I34,BS_RE33!$P$7:$P$874,'30 days CF Table(Ccy)'!G34,BS_RE33!$F$7:$F$874,'30 days CF Table(Ccy)'!$C$2),2)</f>
        <v>0</v>
      </c>
      <c r="P34" s="337">
        <f>ROUND(SUMIFS(BS_RE33!$H$7:$H$874,BS_RE33!$S$7:$S$874,$P$2,BS_RE33!$N$7:$N$874,I34,BS_RE33!$P$7:$P$874,'30 days CF Table(Ccy)'!G34,BS_RE33!$F$7:$F$874,'30 days CF Table(Ccy)'!$C$2),2)</f>
        <v>0</v>
      </c>
      <c r="Q34" s="337">
        <f>ROUND(SUMIFS(BS_RE33!$H$7:$H$874,BS_RE33!$S$7:$S$874,$Q$2,BS_RE33!$N$7:$N$874,I34,BS_RE33!$P$7:$P$874,'30 days CF Table(Ccy)'!G34,BS_RE33!$F$7:$F$874,'30 days CF Table(Ccy)'!$C$2),2)</f>
        <v>0</v>
      </c>
      <c r="R34" s="337">
        <f>ROUND(SUMIFS(BS_RE33!$H$7:$H$874,BS_RE33!$S$7:$S$874,$R$2,BS_RE33!$N$7:$N$874,I34,BS_RE33!$P$7:$P$874,'30 days CF Table(Ccy)'!G34,BS_RE33!$F$7:$F$874,'30 days CF Table(Ccy)'!$C$2),2)</f>
        <v>0</v>
      </c>
      <c r="S34" s="337">
        <f>ROUND(SUMIFS(BS_RE33!$H$7:$H$874,BS_RE33!$S$7:$S$874,$S$2,BS_RE33!$N$7:$N$874,I34,BS_RE33!$P$7:$P$874,'30 days CF Table(Ccy)'!G34,BS_RE33!$F$7:$F$874,'30 days CF Table(Ccy)'!$C$2),2)</f>
        <v>0</v>
      </c>
      <c r="T34" s="337">
        <f>ROUND(SUMIFS(BS_RE33!$H$7:$H$874,BS_RE33!$S$7:$S$874,$T$2,BS_RE33!$N$7:$N$874,I34,BS_RE33!$P$7:$P$874,'30 days CF Table(Ccy)'!G34,BS_RE33!$F$7:$F$874,'30 days CF Table(Ccy)'!$C$2),2)</f>
        <v>0</v>
      </c>
      <c r="U34" s="337">
        <f>ROUND(SUMIFS(BS_RE33!$H$7:$H$874,BS_RE33!$S$7:$S$874,$U$2,BS_RE33!$N$7:$N$874,I34,BS_RE33!$P$7:$P$874,'30 days CF Table(Ccy)'!G34,BS_RE33!$F$7:$F$874,'30 days CF Table(Ccy)'!$C$2),2)</f>
        <v>0</v>
      </c>
      <c r="V34" s="337">
        <f>ROUND(SUMIFS(BS_RE33!$H$7:$H$874,BS_RE33!$S$7:$S$874,$V$2,BS_RE33!$N$7:$N$874,I34,BS_RE33!$P$7:$P$874,'30 days CF Table(Ccy)'!G34,BS_RE33!$F$7:$F$874,'30 days CF Table(Ccy)'!$C$2),2)</f>
        <v>0</v>
      </c>
      <c r="W34" s="337">
        <f>ROUND(SUMIFS(BS_RE33!$H$7:$H$874,BS_RE33!$S$7:$S$874,$W$2,BS_RE33!$N$7:$N$874,I34,BS_RE33!$P$7:$P$874,'30 days CF Table(Ccy)'!G34,BS_RE33!$F$7:$F$874,'30 days CF Table(Ccy)'!$C$2),2)</f>
        <v>0</v>
      </c>
      <c r="X34" s="337">
        <f>ROUND(SUMIFS(BS_RE33!$H$7:$H$874,BS_RE33!$S$7:$S$874,$X$2,BS_RE33!$N$7:$N$874,I34,BS_RE33!$P$7:$P$874,'30 days CF Table(Ccy)'!G34,BS_RE33!$F$7:$F$874,'30 days CF Table(Ccy)'!$C$2),2)</f>
        <v>0</v>
      </c>
      <c r="Y34" s="337">
        <f>ROUND(SUMIFS(BS_RE33!$H$7:$H$874,BS_RE33!$S$7:$S$874,$Y$2,BS_RE33!$N$7:$N$874,I34,BS_RE33!$P$7:$P$874,'30 days CF Table(Ccy)'!G34,BS_RE33!$F$7:$F$874,'30 days CF Table(Ccy)'!$C$2),2)</f>
        <v>0</v>
      </c>
      <c r="Z34" s="337">
        <f>ROUND(SUMIFS(BS_RE33!$H$7:$H$874,BS_RE33!$S$7:$S$874,$Z$2,BS_RE33!$N$7:$N$874,I34,BS_RE33!$P$7:$P$874,'30 days CF Table(Ccy)'!G34,BS_RE33!$F$7:$F$874,'30 days CF Table(Ccy)'!$C$2),2)</f>
        <v>0</v>
      </c>
      <c r="AA34" s="337">
        <f>ROUND(SUMIFS(BS_RE33!$H$7:$H$874,BS_RE33!$S$7:$S$874,$AA$2,BS_RE33!$N$7:$N$874,I34,BS_RE33!$P$7:$P$874,'30 days CF Table(Ccy)'!G34,BS_RE33!$F$7:$F$874,'30 days CF Table(Ccy)'!$C$2),2)</f>
        <v>0</v>
      </c>
      <c r="AB34" s="337">
        <f>ROUND(SUMIFS(BS_RE33!$H$7:$H$874,BS_RE33!$S$7:$S$874,$AB$2,BS_RE33!$N$7:$N$874,I34,BS_RE33!$P$7:$P$874,'30 days CF Table(Ccy)'!G34,BS_RE33!$F$7:$F$874,'30 days CF Table(Ccy)'!$C$2),2)</f>
        <v>0</v>
      </c>
      <c r="AC34" s="337">
        <f>ROUND(SUMIFS(BS_RE33!$H$7:$H$874,BS_RE33!$S$7:$S$874,$AC$2,BS_RE33!$N$7:$N$874,I34,BS_RE33!$P$7:$P$874,'30 days CF Table(Ccy)'!G34,BS_RE33!$F$7:$F$874,'30 days CF Table(Ccy)'!$C$2),2)</f>
        <v>0</v>
      </c>
      <c r="AD34" s="337">
        <f>ROUND(SUMIFS(BS_RE33!$H$7:$H$874,BS_RE33!$S$7:$S$874,$AD$2,BS_RE33!$N$7:$N$874,I34,BS_RE33!$P$7:$P$874,'30 days CF Table(Ccy)'!G34,BS_RE33!$F$7:$F$874,'30 days CF Table(Ccy)'!$C$2),2)</f>
        <v>0</v>
      </c>
      <c r="AE34" s="337">
        <f>ROUND(SUMIFS(BS_RE33!$H$7:$H$874,BS_RE33!$S$7:$S$874,$AE$2,BS_RE33!$N$7:$N$874,I34,BS_RE33!$P$7:$P$874,'30 days CF Table(Ccy)'!G34,BS_RE33!$F$7:$F$874,'30 days CF Table(Ccy)'!$C$2),2)</f>
        <v>0</v>
      </c>
      <c r="AF34" s="337">
        <f>ROUND(SUMIFS(BS_RE33!$H$7:$H$874,BS_RE33!$S$7:$S$874,$AF$2,BS_RE33!$N$7:$N$874,I34,BS_RE33!$P$7:$P$874,'30 days CF Table(Ccy)'!G34,BS_RE33!$F$7:$F$874,'30 days CF Table(Ccy)'!$C$2),2)</f>
        <v>0</v>
      </c>
      <c r="AG34" s="337">
        <f>ROUND(SUMIFS(BS_RE33!$H$7:$H$874,BS_RE33!$S$7:$S$874,$AG$2,BS_RE33!$N$7:$N$874,I34,BS_RE33!$P$7:$P$874,'30 days CF Table(Ccy)'!G34,BS_RE33!$F$7:$F$874,'30 days CF Table(Ccy)'!$C$2),2)</f>
        <v>0</v>
      </c>
      <c r="AH34" s="337">
        <f>ROUND(SUMIFS(BS_RE33!$H$7:$H$874,BS_RE33!$S$7:$S$874,$AH$2,BS_RE33!$N$7:$N$874,I34,BS_RE33!$P$7:$P$874,'30 days CF Table(Ccy)'!G34,BS_RE33!$F$7:$F$874,'30 days CF Table(Ccy)'!$C$2),2)</f>
        <v>0</v>
      </c>
      <c r="AI34" s="337">
        <f>ROUND(SUMIFS(BS_RE33!$H$7:$H$874,BS_RE33!$S$7:$S$874,$AI$2,BS_RE33!$N$7:$N$874,I34,BS_RE33!$P$7:$P$874,'30 days CF Table(Ccy)'!G34,BS_RE33!$F$7:$F$874,'30 days CF Table(Ccy)'!$C$2),2)</f>
        <v>0</v>
      </c>
      <c r="AJ34" s="337">
        <f>ROUND(SUMIFS(BS_RE33!$H$7:$H$874,BS_RE33!$S$7:$S$874,$AJ$2,BS_RE33!$N$7:$N$874,I34,BS_RE33!$P$7:$P$874,'30 days CF Table(Ccy)'!G34,BS_RE33!$F$7:$F$874,'30 days CF Table(Ccy)'!$C$2),2)</f>
        <v>0</v>
      </c>
      <c r="AK34" s="337">
        <f>ROUND(SUMIFS(BS_RE33!$H$7:$H$874,BS_RE33!$S$7:$S$874,$AK$2,BS_RE33!$N$7:$N$874,I34,BS_RE33!$P$7:$P$874,'30 days CF Table(Ccy)'!G34,BS_RE33!$F$7:$F$874,'30 days CF Table(Ccy)'!$C$2),2)</f>
        <v>0</v>
      </c>
      <c r="AL34" s="337">
        <f>ROUND(SUMIFS(BS_RE33!$H$7:$H$874,BS_RE33!$S$7:$S$874,$AL$2,BS_RE33!$N$7:$N$874,I34,BS_RE33!$P$7:$P$874,'30 days CF Table(Ccy)'!G34,BS_RE33!$F$7:$F$874,'30 days CF Table(Ccy)'!$C$2),2)</f>
        <v>0</v>
      </c>
      <c r="AM34" s="337">
        <f>ROUND(SUMIFS(BS_RE33!$H$7:$H$874,BS_RE33!$S$7:$S$874,$AM$2,BS_RE33!$N$7:$N$874,I34,BS_RE33!$P$7:$P$874,'30 days CF Table(Ccy)'!G34,BS_RE33!$F$7:$F$874,'30 days CF Table(Ccy)'!$C$2),2)</f>
        <v>0</v>
      </c>
      <c r="AN34" s="337">
        <f>ROUND(SUMIFS(BS_RE33!$H$7:$H$874,BS_RE33!$S$7:$S$874,$AN$2,BS_RE33!$N$7:$N$874,I34,BS_RE33!$P$7:$P$874,'30 days CF Table(Ccy)'!G34,BS_RE33!$F$7:$F$874,'30 days CF Table(Ccy)'!$C$2),2)</f>
        <v>0</v>
      </c>
      <c r="AO34" s="337">
        <f>ROUND(SUMIFS(BS_RE33!$H$7:$H$874,BS_RE33!$S$7:$S$874,$AO$2,BS_RE33!$N$7:$N$874,I34,BS_RE33!$P$7:$P$874,'30 days CF Table(Ccy)'!G34,BS_RE33!$F$7:$F$874,'30 days CF Table(Ccy)'!$C$2),2)</f>
        <v>0</v>
      </c>
      <c r="AP34" s="338">
        <f>ROUND(SUMIFS(BS_RE33!$H$7:$H$874,BS_RE33!$S$7:$S$874,$AP$2,BS_RE33!$N$7:$N$874,I34,BS_RE33!$P$7:$P$874,'30 days CF Table(Ccy)'!G34,BS_RE33!$F$7:$F$874,'30 days CF Table(Ccy)'!$C$2),2)</f>
        <v>0</v>
      </c>
      <c r="AR34" s="379">
        <f>ROUND(SUMIFS(BS_RE33!$H$7:$H$874,BS_RE33!$S$7:$S$874,$AR$2,BS_RE33!$N$7:$N$874,I34,BS_RE33!$P$7:$P$874,'30 days CF Table(Ccy)'!G34,BS_RE33!$F$7:$F$874,'30 days CF Table(Ccy)'!$C$2),2)</f>
        <v>0</v>
      </c>
      <c r="AS34" s="379">
        <f>ROUND(SUMIFS(BS_RE33!$H$7:$H$874,BS_RE33!$S$7:$S$874,$AS$2,BS_RE33!$N$7:$N$874,I34,BS_RE33!$P$7:$P$874,'30 days CF Table(Ccy)'!G34,BS_RE33!$F$7:$F$874,'30 days CF Table(Ccy)'!$C$2),2)</f>
        <v>0</v>
      </c>
      <c r="AT34" s="379">
        <f>ROUND(SUMIFS(BS_RE33!$H$7:$H$874,BS_RE33!$S$7:$S$874,$AT$2,BS_RE33!$N$7:$N$874,I34,BS_RE33!$P$7:$P$874,'30 days CF Table(Ccy)'!G34,BS_RE33!$F$7:$F$874,'30 days CF Table(Ccy)'!$C$2),2)</f>
        <v>0</v>
      </c>
      <c r="AU34" s="379">
        <f>ROUND(SUMIFS(BS_RE33!$H$7:$H$874,BS_RE33!$S$7:$S$874,$AU$2,BS_RE33!$N$7:$N$874,I34,BS_RE33!$P$7:$P$874,'30 days CF Table(Ccy)'!G34,BS_RE33!$F$7:$F$874,'30 days CF Table(Ccy)'!$C$2),2)</f>
        <v>0</v>
      </c>
      <c r="AV34" s="379">
        <f>ROUND(SUMIFS(BS_RE33!$H$7:$H$874,BS_RE33!$S$7:$S$874,$AV$2,BS_RE33!$N$7:$N$874,I34,BS_RE33!$P$7:$P$874,'30 days CF Table(Ccy)'!G34,BS_RE33!$F$7:$F$874,'30 days CF Table(Ccy)'!$C$2),2)</f>
        <v>0</v>
      </c>
      <c r="AW34" s="379">
        <f>ROUND(SUMIFS(BS_RE33!$H$7:$H$874,BS_RE33!$S$7:$S$874,$AW$2,BS_RE33!$N$7:$N$874,I34,BS_RE33!$P$7:$P$874,'30 days CF Table(Ccy)'!G34,BS_RE33!$F$7:$F$874,'30 days CF Table(Ccy)'!$C$2),2)</f>
        <v>0</v>
      </c>
      <c r="AX34" s="379">
        <f>ROUND(SUMIFS(BS_RE33!$H$7:$H$874,BS_RE33!$S$7:$S$874,$AX$2,BS_RE33!$N$7:$N$874,I34,BS_RE33!$P$7:$P$874,'30 days CF Table(Ccy)'!G34,BS_RE33!$F$7:$F$874,'30 days CF Table(Ccy)'!$C$2),2)</f>
        <v>0</v>
      </c>
      <c r="AY34" s="379">
        <f>ROUND(SUMIFS(BS_RE33!$H$7:$H$874,BS_RE33!$S$7:$S$874,$AY$2,BS_RE33!$N$7:$N$874,I34,BS_RE33!$P$7:$P$874,'30 days CF Table(Ccy)'!G34,BS_RE33!$F$7:$F$874,'30 days CF Table(Ccy)'!$C$2),2)</f>
        <v>0</v>
      </c>
      <c r="AZ34" s="379">
        <f>ROUND(SUMIFS(BS_RE33!$H$7:$H$874,BS_RE33!$S$7:$S$874,$AZ$2,BS_RE33!$N$7:$N$874,I34,BS_RE33!$P$7:$P$874,'30 days CF Table(Ccy)'!G34,BS_RE33!$F$7:$F$874,'30 days CF Table(Ccy)'!$C$2),2)</f>
        <v>0</v>
      </c>
      <c r="BA34" s="379">
        <f>ROUND(SUMIFS(BS_RE33!$H$7:$H$874,BS_RE33!$S$7:$S$874,$BA$2,BS_RE33!$N$7:$N$874,I34,BS_RE33!$P$7:$P$874,'30 days CF Table(Ccy)'!G34,BS_RE33!$F$7:$F$874,'30 days CF Table(Ccy)'!$C$2),2)</f>
        <v>0</v>
      </c>
      <c r="BB34" s="379">
        <f>ROUND(SUMIFS(BS_RE33!$H$7:$H$874,BS_RE33!$S$7:$S$874,$BB$2,BS_RE33!$N$7:$N$874,I34,BS_RE33!$P$7:$P$874,'30 days CF Table(Ccy)'!G34,BS_RE33!$F$7:$F$874,'30 days CF Table(Ccy)'!$C$2),2)</f>
        <v>0</v>
      </c>
      <c r="BC34" s="379">
        <f>ROUND(SUMIFS(BS_RE33!$H$7:$H$874,BS_RE33!$S$7:$S$874,$BC$2,BS_RE33!$N$7:$N$874,I34,BS_RE33!$P$7:$P$874,'30 days CF Table(Ccy)'!G34,BS_RE33!$F$7:$F$874,'30 days CF Table(Ccy)'!$C$2),2)</f>
        <v>0</v>
      </c>
      <c r="BD34" s="379">
        <f>ROUND(SUMIFS(BS_RE33!$H$7:$H$874,BS_RE33!$S$7:$S$874,$BD$2,BS_RE33!$N$7:$N$874,I34,BS_RE33!$P$7:$P$874,'30 days CF Table(Ccy)'!G34,BS_RE33!$F$7:$F$874,'30 days CF Table(Ccy)'!$C$2),2)</f>
        <v>0</v>
      </c>
      <c r="BE34" s="379">
        <f>ROUND(SUMIFS(BS_RE33!$H$7:$H$874,BS_RE33!$S$7:$S$874,$BE$2,BS_RE33!$N$7:$N$874,I34,BS_RE33!$P$7:$P$874,'30 days CF Table(Ccy)'!G34,BS_RE33!$F$7:$F$874,'30 days CF Table(Ccy)'!$C$2),2)</f>
        <v>0</v>
      </c>
      <c r="BF34" s="379">
        <f>ROUND(SUMIFS(BS_RE33!$H$7:$H$874,BS_RE33!$S$7:$S$874,$BF$2,BS_RE33!$N$7:$N$874,I34,BS_RE33!$P$7:$P$874,'30 days CF Table(Ccy)'!G34,BS_RE33!$F$7:$F$874,'30 days CF Table(Ccy)'!$C$2),2)</f>
        <v>0</v>
      </c>
      <c r="BG34" s="379">
        <f>ROUND(SUMIFS(BS_RE33!$H$7:$H$874,BS_RE33!$S$7:$S$874,$BG$2,BS_RE33!$N$7:$N$874,I34,BS_RE33!$P$7:$P$874,'30 days CF Table(Ccy)'!G34,BS_RE33!$F$7:$F$874,'30 days CF Table(Ccy)'!$C$2),2)</f>
        <v>0</v>
      </c>
      <c r="BH34" s="379">
        <f>ROUND(SUMIFS(BS_RE33!$H$7:$H$874,BS_RE33!$S$7:$S$874,$BH$2,BS_RE33!$N$7:$N$874,I34,BS_RE33!$P$7:$P$874,'30 days CF Table(Ccy)'!G34,BS_RE33!$F$7:$F$874,'30 days CF Table(Ccy)'!$C$2),2)</f>
        <v>0</v>
      </c>
      <c r="BI34" s="379">
        <f>ROUND(SUMIFS(BS_RE33!$H$7:$H$874,BS_RE33!$S$7:$S$874,$BI$2,BS_RE33!$N$7:$N$874,I34,BS_RE33!$P$7:$P$874,'30 days CF Table(Ccy)'!G34,BS_RE33!$F$7:$F$874,'30 days CF Table(Ccy)'!$C$2),2)</f>
        <v>0</v>
      </c>
      <c r="BJ34" s="379">
        <f>ROUND(SUMIFS(BS_RE33!$H$7:$H$874,BS_RE33!$S$7:$S$874,$BJ$2,BS_RE33!$N$7:$N$874,I34,BS_RE33!$P$7:$P$874,'30 days CF Table(Ccy)'!G34,BS_RE33!$F$7:$F$874,'30 days CF Table(Ccy)'!$C$2),2)</f>
        <v>0</v>
      </c>
      <c r="BK34" s="379">
        <f>ROUND(SUMIFS(BS_RE33!$H$7:$H$874,BS_RE33!$S$7:$S$874,$BK$2,BS_RE33!$N$7:$N$874,I34,BS_RE33!$P$7:$P$874,'30 days CF Table(Ccy)'!G34,BS_RE33!$F$7:$F$874,'30 days CF Table(Ccy)'!$C$2),2)</f>
        <v>0</v>
      </c>
    </row>
    <row r="35" spans="3:63">
      <c r="C35" s="1029"/>
      <c r="D35" s="1041" t="s">
        <v>760</v>
      </c>
      <c r="E35" s="40" t="s">
        <v>759</v>
      </c>
      <c r="F35" s="311"/>
      <c r="G35" s="392" t="s">
        <v>523</v>
      </c>
      <c r="H35" s="314">
        <v>1</v>
      </c>
      <c r="I35" s="315" t="s">
        <v>80</v>
      </c>
      <c r="J35" s="479">
        <f t="shared" si="2"/>
        <v>0</v>
      </c>
      <c r="K35" s="336">
        <f t="shared" si="3"/>
        <v>0</v>
      </c>
      <c r="L35" s="337">
        <f>ROUND(SUMIFS(BS_RE33!$H$7:$H$874,BS_RE33!$S$7:$S$874,$L$2,BS_RE33!$N$7:$N$874,I35,BS_RE33!$P$7:$P$874,'30 days CF Table(Ccy)'!G35,BS_RE33!$F$7:$F$874,'30 days CF Table(Ccy)'!$C$2),2)</f>
        <v>0</v>
      </c>
      <c r="M35" s="337">
        <f>ROUND(SUMIFS(BS_RE33!$H$7:$H$874,BS_RE33!$S$7:$S$874,$M$2,BS_RE33!$N$7:$N$874,I35,BS_RE33!$P$7:$P$874,'30 days CF Table(Ccy)'!G35,BS_RE33!$F$7:$F$874,'30 days CF Table(Ccy)'!$C$2),2)</f>
        <v>0</v>
      </c>
      <c r="N35" s="337">
        <f>ROUND(SUMIFS(BS_RE33!$H$7:$H$874,BS_RE33!$S$7:$S$874,$N$2,BS_RE33!$N$7:$N$874,I35,BS_RE33!$P$7:$P$874,'30 days CF Table(Ccy)'!G35,BS_RE33!$F$7:$F$874,'30 days CF Table(Ccy)'!$C$2),2)</f>
        <v>0</v>
      </c>
      <c r="O35" s="337">
        <f>ROUND(SUMIFS(BS_RE33!$H$7:$H$874,BS_RE33!$S$7:$S$874,$O$2,BS_RE33!$N$7:$N$874,I35,BS_RE33!$P$7:$P$874,'30 days CF Table(Ccy)'!G35,BS_RE33!$F$7:$F$874,'30 days CF Table(Ccy)'!$C$2),2)</f>
        <v>0</v>
      </c>
      <c r="P35" s="337">
        <f>ROUND(SUMIFS(BS_RE33!$H$7:$H$874,BS_RE33!$S$7:$S$874,$P$2,BS_RE33!$N$7:$N$874,I35,BS_RE33!$P$7:$P$874,'30 days CF Table(Ccy)'!G35,BS_RE33!$F$7:$F$874,'30 days CF Table(Ccy)'!$C$2),2)</f>
        <v>0</v>
      </c>
      <c r="Q35" s="337">
        <f>ROUND(SUMIFS(BS_RE33!$H$7:$H$874,BS_RE33!$S$7:$S$874,$Q$2,BS_RE33!$N$7:$N$874,I35,BS_RE33!$P$7:$P$874,'30 days CF Table(Ccy)'!G35,BS_RE33!$F$7:$F$874,'30 days CF Table(Ccy)'!$C$2),2)</f>
        <v>0</v>
      </c>
      <c r="R35" s="337">
        <f>ROUND(SUMIFS(BS_RE33!$H$7:$H$874,BS_RE33!$S$7:$S$874,$R$2,BS_RE33!$N$7:$N$874,I35,BS_RE33!$P$7:$P$874,'30 days CF Table(Ccy)'!G35,BS_RE33!$F$7:$F$874,'30 days CF Table(Ccy)'!$C$2),2)</f>
        <v>0</v>
      </c>
      <c r="S35" s="337">
        <f>ROUND(SUMIFS(BS_RE33!$H$7:$H$874,BS_RE33!$S$7:$S$874,$S$2,BS_RE33!$N$7:$N$874,I35,BS_RE33!$P$7:$P$874,'30 days CF Table(Ccy)'!G35,BS_RE33!$F$7:$F$874,'30 days CF Table(Ccy)'!$C$2),2)</f>
        <v>0</v>
      </c>
      <c r="T35" s="337">
        <f>ROUND(SUMIFS(BS_RE33!$H$7:$H$874,BS_RE33!$S$7:$S$874,$T$2,BS_RE33!$N$7:$N$874,I35,BS_RE33!$P$7:$P$874,'30 days CF Table(Ccy)'!G35,BS_RE33!$F$7:$F$874,'30 days CF Table(Ccy)'!$C$2),2)</f>
        <v>0</v>
      </c>
      <c r="U35" s="337">
        <f>ROUND(SUMIFS(BS_RE33!$H$7:$H$874,BS_RE33!$S$7:$S$874,$U$2,BS_RE33!$N$7:$N$874,I35,BS_RE33!$P$7:$P$874,'30 days CF Table(Ccy)'!G35,BS_RE33!$F$7:$F$874,'30 days CF Table(Ccy)'!$C$2),2)</f>
        <v>0</v>
      </c>
      <c r="V35" s="337">
        <f>ROUND(SUMIFS(BS_RE33!$H$7:$H$874,BS_RE33!$S$7:$S$874,$V$2,BS_RE33!$N$7:$N$874,I35,BS_RE33!$P$7:$P$874,'30 days CF Table(Ccy)'!G35,BS_RE33!$F$7:$F$874,'30 days CF Table(Ccy)'!$C$2),2)</f>
        <v>0</v>
      </c>
      <c r="W35" s="337">
        <f>ROUND(SUMIFS(BS_RE33!$H$7:$H$874,BS_RE33!$S$7:$S$874,$W$2,BS_RE33!$N$7:$N$874,I35,BS_RE33!$P$7:$P$874,'30 days CF Table(Ccy)'!G35,BS_RE33!$F$7:$F$874,'30 days CF Table(Ccy)'!$C$2),2)</f>
        <v>0</v>
      </c>
      <c r="X35" s="337">
        <f>ROUND(SUMIFS(BS_RE33!$H$7:$H$874,BS_RE33!$S$7:$S$874,$X$2,BS_RE33!$N$7:$N$874,I35,BS_RE33!$P$7:$P$874,'30 days CF Table(Ccy)'!G35,BS_RE33!$F$7:$F$874,'30 days CF Table(Ccy)'!$C$2),2)</f>
        <v>0</v>
      </c>
      <c r="Y35" s="337">
        <f>ROUND(SUMIFS(BS_RE33!$H$7:$H$874,BS_RE33!$S$7:$S$874,$Y$2,BS_RE33!$N$7:$N$874,I35,BS_RE33!$P$7:$P$874,'30 days CF Table(Ccy)'!G35,BS_RE33!$F$7:$F$874,'30 days CF Table(Ccy)'!$C$2),2)</f>
        <v>0</v>
      </c>
      <c r="Z35" s="337">
        <f>ROUND(SUMIFS(BS_RE33!$H$7:$H$874,BS_RE33!$S$7:$S$874,$Z$2,BS_RE33!$N$7:$N$874,I35,BS_RE33!$P$7:$P$874,'30 days CF Table(Ccy)'!G35,BS_RE33!$F$7:$F$874,'30 days CF Table(Ccy)'!$C$2),2)</f>
        <v>0</v>
      </c>
      <c r="AA35" s="337">
        <f>ROUND(SUMIFS(BS_RE33!$H$7:$H$874,BS_RE33!$S$7:$S$874,$AA$2,BS_RE33!$N$7:$N$874,I35,BS_RE33!$P$7:$P$874,'30 days CF Table(Ccy)'!G35,BS_RE33!$F$7:$F$874,'30 days CF Table(Ccy)'!$C$2),2)</f>
        <v>0</v>
      </c>
      <c r="AB35" s="337">
        <f>ROUND(SUMIFS(BS_RE33!$H$7:$H$874,BS_RE33!$S$7:$S$874,$AB$2,BS_RE33!$N$7:$N$874,I35,BS_RE33!$P$7:$P$874,'30 days CF Table(Ccy)'!G35,BS_RE33!$F$7:$F$874,'30 days CF Table(Ccy)'!$C$2),2)</f>
        <v>0</v>
      </c>
      <c r="AC35" s="337">
        <f>ROUND(SUMIFS(BS_RE33!$H$7:$H$874,BS_RE33!$S$7:$S$874,$AC$2,BS_RE33!$N$7:$N$874,I35,BS_RE33!$P$7:$P$874,'30 days CF Table(Ccy)'!G35,BS_RE33!$F$7:$F$874,'30 days CF Table(Ccy)'!$C$2),2)</f>
        <v>0</v>
      </c>
      <c r="AD35" s="337">
        <f>ROUND(SUMIFS(BS_RE33!$H$7:$H$874,BS_RE33!$S$7:$S$874,$AD$2,BS_RE33!$N$7:$N$874,I35,BS_RE33!$P$7:$P$874,'30 days CF Table(Ccy)'!G35,BS_RE33!$F$7:$F$874,'30 days CF Table(Ccy)'!$C$2),2)</f>
        <v>0</v>
      </c>
      <c r="AE35" s="337">
        <f>ROUND(SUMIFS(BS_RE33!$H$7:$H$874,BS_RE33!$S$7:$S$874,$AE$2,BS_RE33!$N$7:$N$874,I35,BS_RE33!$P$7:$P$874,'30 days CF Table(Ccy)'!G35,BS_RE33!$F$7:$F$874,'30 days CF Table(Ccy)'!$C$2),2)</f>
        <v>0</v>
      </c>
      <c r="AF35" s="337">
        <f>ROUND(SUMIFS(BS_RE33!$H$7:$H$874,BS_RE33!$S$7:$S$874,$AF$2,BS_RE33!$N$7:$N$874,I35,BS_RE33!$P$7:$P$874,'30 days CF Table(Ccy)'!G35,BS_RE33!$F$7:$F$874,'30 days CF Table(Ccy)'!$C$2),2)</f>
        <v>0</v>
      </c>
      <c r="AG35" s="337">
        <f>ROUND(SUMIFS(BS_RE33!$H$7:$H$874,BS_RE33!$S$7:$S$874,$AG$2,BS_RE33!$N$7:$N$874,I35,BS_RE33!$P$7:$P$874,'30 days CF Table(Ccy)'!G35,BS_RE33!$F$7:$F$874,'30 days CF Table(Ccy)'!$C$2),2)</f>
        <v>0</v>
      </c>
      <c r="AH35" s="337">
        <f>ROUND(SUMIFS(BS_RE33!$H$7:$H$874,BS_RE33!$S$7:$S$874,$AH$2,BS_RE33!$N$7:$N$874,I35,BS_RE33!$P$7:$P$874,'30 days CF Table(Ccy)'!G35,BS_RE33!$F$7:$F$874,'30 days CF Table(Ccy)'!$C$2),2)</f>
        <v>0</v>
      </c>
      <c r="AI35" s="337">
        <f>ROUND(SUMIFS(BS_RE33!$H$7:$H$874,BS_RE33!$S$7:$S$874,$AI$2,BS_RE33!$N$7:$N$874,I35,BS_RE33!$P$7:$P$874,'30 days CF Table(Ccy)'!G35,BS_RE33!$F$7:$F$874,'30 days CF Table(Ccy)'!$C$2),2)</f>
        <v>0</v>
      </c>
      <c r="AJ35" s="337">
        <f>ROUND(SUMIFS(BS_RE33!$H$7:$H$874,BS_RE33!$S$7:$S$874,$AJ$2,BS_RE33!$N$7:$N$874,I35,BS_RE33!$P$7:$P$874,'30 days CF Table(Ccy)'!G35,BS_RE33!$F$7:$F$874,'30 days CF Table(Ccy)'!$C$2),2)</f>
        <v>0</v>
      </c>
      <c r="AK35" s="337">
        <f>ROUND(SUMIFS(BS_RE33!$H$7:$H$874,BS_RE33!$S$7:$S$874,$AK$2,BS_RE33!$N$7:$N$874,I35,BS_RE33!$P$7:$P$874,'30 days CF Table(Ccy)'!G35,BS_RE33!$F$7:$F$874,'30 days CF Table(Ccy)'!$C$2),2)</f>
        <v>0</v>
      </c>
      <c r="AL35" s="337">
        <f>ROUND(SUMIFS(BS_RE33!$H$7:$H$874,BS_RE33!$S$7:$S$874,$AL$2,BS_RE33!$N$7:$N$874,I35,BS_RE33!$P$7:$P$874,'30 days CF Table(Ccy)'!G35,BS_RE33!$F$7:$F$874,'30 days CF Table(Ccy)'!$C$2),2)</f>
        <v>0</v>
      </c>
      <c r="AM35" s="337">
        <f>ROUND(SUMIFS(BS_RE33!$H$7:$H$874,BS_RE33!$S$7:$S$874,$AM$2,BS_RE33!$N$7:$N$874,I35,BS_RE33!$P$7:$P$874,'30 days CF Table(Ccy)'!G35,BS_RE33!$F$7:$F$874,'30 days CF Table(Ccy)'!$C$2),2)</f>
        <v>0</v>
      </c>
      <c r="AN35" s="337">
        <f>ROUND(SUMIFS(BS_RE33!$H$7:$H$874,BS_RE33!$S$7:$S$874,$AN$2,BS_RE33!$N$7:$N$874,I35,BS_RE33!$P$7:$P$874,'30 days CF Table(Ccy)'!G35,BS_RE33!$F$7:$F$874,'30 days CF Table(Ccy)'!$C$2),2)</f>
        <v>0</v>
      </c>
      <c r="AO35" s="337">
        <f>ROUND(SUMIFS(BS_RE33!$H$7:$H$874,BS_RE33!$S$7:$S$874,$AO$2,BS_RE33!$N$7:$N$874,I35,BS_RE33!$P$7:$P$874,'30 days CF Table(Ccy)'!G35,BS_RE33!$F$7:$F$874,'30 days CF Table(Ccy)'!$C$2),2)</f>
        <v>0</v>
      </c>
      <c r="AP35" s="338">
        <f>ROUND(SUMIFS(BS_RE33!$H$7:$H$874,BS_RE33!$S$7:$S$874,$AP$2,BS_RE33!$N$7:$N$874,I35,BS_RE33!$P$7:$P$874,'30 days CF Table(Ccy)'!G35,BS_RE33!$F$7:$F$874,'30 days CF Table(Ccy)'!$C$2),2)</f>
        <v>0</v>
      </c>
      <c r="AR35" s="379">
        <f>ROUND(SUMIFS(BS_RE33!$H$7:$H$874,BS_RE33!$S$7:$S$874,$AR$2,BS_RE33!$N$7:$N$874,I35,BS_RE33!$P$7:$P$874,'30 days CF Table(Ccy)'!G35,BS_RE33!$F$7:$F$874,'30 days CF Table(Ccy)'!$C$2),2)</f>
        <v>0</v>
      </c>
      <c r="AS35" s="379">
        <f>ROUND(SUMIFS(BS_RE33!$H$7:$H$874,BS_RE33!$S$7:$S$874,$AS$2,BS_RE33!$N$7:$N$874,I35,BS_RE33!$P$7:$P$874,'30 days CF Table(Ccy)'!G35,BS_RE33!$F$7:$F$874,'30 days CF Table(Ccy)'!$C$2),2)</f>
        <v>0</v>
      </c>
      <c r="AT35" s="379">
        <f>ROUND(SUMIFS(BS_RE33!$H$7:$H$874,BS_RE33!$S$7:$S$874,$AT$2,BS_RE33!$N$7:$N$874,I35,BS_RE33!$P$7:$P$874,'30 days CF Table(Ccy)'!G35,BS_RE33!$F$7:$F$874,'30 days CF Table(Ccy)'!$C$2),2)</f>
        <v>0</v>
      </c>
      <c r="AU35" s="379">
        <f>ROUND(SUMIFS(BS_RE33!$H$7:$H$874,BS_RE33!$S$7:$S$874,$AU$2,BS_RE33!$N$7:$N$874,I35,BS_RE33!$P$7:$P$874,'30 days CF Table(Ccy)'!G35,BS_RE33!$F$7:$F$874,'30 days CF Table(Ccy)'!$C$2),2)</f>
        <v>0</v>
      </c>
      <c r="AV35" s="379">
        <f>ROUND(SUMIFS(BS_RE33!$H$7:$H$874,BS_RE33!$S$7:$S$874,$AV$2,BS_RE33!$N$7:$N$874,I35,BS_RE33!$P$7:$P$874,'30 days CF Table(Ccy)'!G35,BS_RE33!$F$7:$F$874,'30 days CF Table(Ccy)'!$C$2),2)</f>
        <v>0</v>
      </c>
      <c r="AW35" s="379">
        <f>ROUND(SUMIFS(BS_RE33!$H$7:$H$874,BS_RE33!$S$7:$S$874,$AW$2,BS_RE33!$N$7:$N$874,I35,BS_RE33!$P$7:$P$874,'30 days CF Table(Ccy)'!G35,BS_RE33!$F$7:$F$874,'30 days CF Table(Ccy)'!$C$2),2)</f>
        <v>0</v>
      </c>
      <c r="AX35" s="379">
        <f>ROUND(SUMIFS(BS_RE33!$H$7:$H$874,BS_RE33!$S$7:$S$874,$AX$2,BS_RE33!$N$7:$N$874,I35,BS_RE33!$P$7:$P$874,'30 days CF Table(Ccy)'!G35,BS_RE33!$F$7:$F$874,'30 days CF Table(Ccy)'!$C$2),2)</f>
        <v>0</v>
      </c>
      <c r="AY35" s="379">
        <f>ROUND(SUMIFS(BS_RE33!$H$7:$H$874,BS_RE33!$S$7:$S$874,$AY$2,BS_RE33!$N$7:$N$874,I35,BS_RE33!$P$7:$P$874,'30 days CF Table(Ccy)'!G35,BS_RE33!$F$7:$F$874,'30 days CF Table(Ccy)'!$C$2),2)</f>
        <v>0</v>
      </c>
      <c r="AZ35" s="379">
        <f>ROUND(SUMIFS(BS_RE33!$H$7:$H$874,BS_RE33!$S$7:$S$874,$AZ$2,BS_RE33!$N$7:$N$874,I35,BS_RE33!$P$7:$P$874,'30 days CF Table(Ccy)'!G35,BS_RE33!$F$7:$F$874,'30 days CF Table(Ccy)'!$C$2),2)</f>
        <v>0</v>
      </c>
      <c r="BA35" s="379">
        <f>ROUND(SUMIFS(BS_RE33!$H$7:$H$874,BS_RE33!$S$7:$S$874,$BA$2,BS_RE33!$N$7:$N$874,I35,BS_RE33!$P$7:$P$874,'30 days CF Table(Ccy)'!G35,BS_RE33!$F$7:$F$874,'30 days CF Table(Ccy)'!$C$2),2)</f>
        <v>0</v>
      </c>
      <c r="BB35" s="379">
        <f>ROUND(SUMIFS(BS_RE33!$H$7:$H$874,BS_RE33!$S$7:$S$874,$BB$2,BS_RE33!$N$7:$N$874,I35,BS_RE33!$P$7:$P$874,'30 days CF Table(Ccy)'!G35,BS_RE33!$F$7:$F$874,'30 days CF Table(Ccy)'!$C$2),2)</f>
        <v>0</v>
      </c>
      <c r="BC35" s="379">
        <f>ROUND(SUMIFS(BS_RE33!$H$7:$H$874,BS_RE33!$S$7:$S$874,$BC$2,BS_RE33!$N$7:$N$874,I35,BS_RE33!$P$7:$P$874,'30 days CF Table(Ccy)'!G35,BS_RE33!$F$7:$F$874,'30 days CF Table(Ccy)'!$C$2),2)</f>
        <v>0</v>
      </c>
      <c r="BD35" s="379">
        <f>ROUND(SUMIFS(BS_RE33!$H$7:$H$874,BS_RE33!$S$7:$S$874,$BD$2,BS_RE33!$N$7:$N$874,I35,BS_RE33!$P$7:$P$874,'30 days CF Table(Ccy)'!G35,BS_RE33!$F$7:$F$874,'30 days CF Table(Ccy)'!$C$2),2)</f>
        <v>0</v>
      </c>
      <c r="BE35" s="379">
        <f>ROUND(SUMIFS(BS_RE33!$H$7:$H$874,BS_RE33!$S$7:$S$874,$BE$2,BS_RE33!$N$7:$N$874,I35,BS_RE33!$P$7:$P$874,'30 days CF Table(Ccy)'!G35,BS_RE33!$F$7:$F$874,'30 days CF Table(Ccy)'!$C$2),2)</f>
        <v>0</v>
      </c>
      <c r="BF35" s="379">
        <f>ROUND(SUMIFS(BS_RE33!$H$7:$H$874,BS_RE33!$S$7:$S$874,$BF$2,BS_RE33!$N$7:$N$874,I35,BS_RE33!$P$7:$P$874,'30 days CF Table(Ccy)'!G35,BS_RE33!$F$7:$F$874,'30 days CF Table(Ccy)'!$C$2),2)</f>
        <v>0</v>
      </c>
      <c r="BG35" s="379">
        <f>ROUND(SUMIFS(BS_RE33!$H$7:$H$874,BS_RE33!$S$7:$S$874,$BG$2,BS_RE33!$N$7:$N$874,I35,BS_RE33!$P$7:$P$874,'30 days CF Table(Ccy)'!G35,BS_RE33!$F$7:$F$874,'30 days CF Table(Ccy)'!$C$2),2)</f>
        <v>0</v>
      </c>
      <c r="BH35" s="379">
        <f>ROUND(SUMIFS(BS_RE33!$H$7:$H$874,BS_RE33!$S$7:$S$874,$BH$2,BS_RE33!$N$7:$N$874,I35,BS_RE33!$P$7:$P$874,'30 days CF Table(Ccy)'!G35,BS_RE33!$F$7:$F$874,'30 days CF Table(Ccy)'!$C$2),2)</f>
        <v>0</v>
      </c>
      <c r="BI35" s="379">
        <f>ROUND(SUMIFS(BS_RE33!$H$7:$H$874,BS_RE33!$S$7:$S$874,$BI$2,BS_RE33!$N$7:$N$874,I35,BS_RE33!$P$7:$P$874,'30 days CF Table(Ccy)'!G35,BS_RE33!$F$7:$F$874,'30 days CF Table(Ccy)'!$C$2),2)</f>
        <v>0</v>
      </c>
      <c r="BJ35" s="379">
        <f>ROUND(SUMIFS(BS_RE33!$H$7:$H$874,BS_RE33!$S$7:$S$874,$BJ$2,BS_RE33!$N$7:$N$874,I35,BS_RE33!$P$7:$P$874,'30 days CF Table(Ccy)'!G35,BS_RE33!$F$7:$F$874,'30 days CF Table(Ccy)'!$C$2),2)</f>
        <v>0</v>
      </c>
      <c r="BK35" s="379">
        <f>ROUND(SUMIFS(BS_RE33!$H$7:$H$874,BS_RE33!$S$7:$S$874,$BK$2,BS_RE33!$N$7:$N$874,I35,BS_RE33!$P$7:$P$874,'30 days CF Table(Ccy)'!G35,BS_RE33!$F$7:$F$874,'30 days CF Table(Ccy)'!$C$2),2)</f>
        <v>0</v>
      </c>
    </row>
    <row r="36" spans="3:63">
      <c r="C36" s="1029"/>
      <c r="D36" s="1042"/>
      <c r="E36" s="40" t="s">
        <v>562</v>
      </c>
      <c r="F36" s="311"/>
      <c r="G36" s="392" t="s">
        <v>563</v>
      </c>
      <c r="H36" s="314">
        <v>1</v>
      </c>
      <c r="I36" s="315" t="s">
        <v>80</v>
      </c>
      <c r="J36" s="479">
        <f t="shared" si="2"/>
        <v>0</v>
      </c>
      <c r="K36" s="336">
        <f t="shared" si="3"/>
        <v>0</v>
      </c>
      <c r="L36" s="337">
        <f>ROUND(SUMIFS(BS_RE33!$H$7:$H$874,BS_RE33!$S$7:$S$874,$L$2,BS_RE33!$N$7:$N$874,I36,BS_RE33!$P$7:$P$874,'30 days CF Table(Ccy)'!G36,BS_RE33!$F$7:$F$874,'30 days CF Table(Ccy)'!$C$2),2)</f>
        <v>0</v>
      </c>
      <c r="M36" s="337">
        <f>ROUND(SUMIFS(BS_RE33!$H$7:$H$874,BS_RE33!$S$7:$S$874,$M$2,BS_RE33!$N$7:$N$874,I36,BS_RE33!$P$7:$P$874,'30 days CF Table(Ccy)'!G36,BS_RE33!$F$7:$F$874,'30 days CF Table(Ccy)'!$C$2),2)</f>
        <v>0</v>
      </c>
      <c r="N36" s="337">
        <f>ROUND(SUMIFS(BS_RE33!$H$7:$H$874,BS_RE33!$S$7:$S$874,$N$2,BS_RE33!$N$7:$N$874,I36,BS_RE33!$P$7:$P$874,'30 days CF Table(Ccy)'!G36,BS_RE33!$F$7:$F$874,'30 days CF Table(Ccy)'!$C$2),2)</f>
        <v>0</v>
      </c>
      <c r="O36" s="337">
        <f>ROUND(SUMIFS(BS_RE33!$H$7:$H$874,BS_RE33!$S$7:$S$874,$O$2,BS_RE33!$N$7:$N$874,I36,BS_RE33!$P$7:$P$874,'30 days CF Table(Ccy)'!G36,BS_RE33!$F$7:$F$874,'30 days CF Table(Ccy)'!$C$2),2)</f>
        <v>0</v>
      </c>
      <c r="P36" s="337">
        <f>ROUND(SUMIFS(BS_RE33!$H$7:$H$874,BS_RE33!$S$7:$S$874,$P$2,BS_RE33!$N$7:$N$874,I36,BS_RE33!$P$7:$P$874,'30 days CF Table(Ccy)'!G36,BS_RE33!$F$7:$F$874,'30 days CF Table(Ccy)'!$C$2),2)</f>
        <v>0</v>
      </c>
      <c r="Q36" s="337">
        <f>ROUND(SUMIFS(BS_RE33!$H$7:$H$874,BS_RE33!$S$7:$S$874,$Q$2,BS_RE33!$N$7:$N$874,I36,BS_RE33!$P$7:$P$874,'30 days CF Table(Ccy)'!G36,BS_RE33!$F$7:$F$874,'30 days CF Table(Ccy)'!$C$2),2)</f>
        <v>0</v>
      </c>
      <c r="R36" s="337">
        <f>ROUND(SUMIFS(BS_RE33!$H$7:$H$874,BS_RE33!$S$7:$S$874,$R$2,BS_RE33!$N$7:$N$874,I36,BS_RE33!$P$7:$P$874,'30 days CF Table(Ccy)'!G36,BS_RE33!$F$7:$F$874,'30 days CF Table(Ccy)'!$C$2),2)</f>
        <v>0</v>
      </c>
      <c r="S36" s="337">
        <f>ROUND(SUMIFS(BS_RE33!$H$7:$H$874,BS_RE33!$S$7:$S$874,$S$2,BS_RE33!$N$7:$N$874,I36,BS_RE33!$P$7:$P$874,'30 days CF Table(Ccy)'!G36,BS_RE33!$F$7:$F$874,'30 days CF Table(Ccy)'!$C$2),2)</f>
        <v>0</v>
      </c>
      <c r="T36" s="337">
        <f>ROUND(SUMIFS(BS_RE33!$H$7:$H$874,BS_RE33!$S$7:$S$874,$T$2,BS_RE33!$N$7:$N$874,I36,BS_RE33!$P$7:$P$874,'30 days CF Table(Ccy)'!G36,BS_RE33!$F$7:$F$874,'30 days CF Table(Ccy)'!$C$2),2)</f>
        <v>0</v>
      </c>
      <c r="U36" s="337">
        <f>ROUND(SUMIFS(BS_RE33!$H$7:$H$874,BS_RE33!$S$7:$S$874,$U$2,BS_RE33!$N$7:$N$874,I36,BS_RE33!$P$7:$P$874,'30 days CF Table(Ccy)'!G36,BS_RE33!$F$7:$F$874,'30 days CF Table(Ccy)'!$C$2),2)</f>
        <v>0</v>
      </c>
      <c r="V36" s="337">
        <f>ROUND(SUMIFS(BS_RE33!$H$7:$H$874,BS_RE33!$S$7:$S$874,$V$2,BS_RE33!$N$7:$N$874,I36,BS_RE33!$P$7:$P$874,'30 days CF Table(Ccy)'!G36,BS_RE33!$F$7:$F$874,'30 days CF Table(Ccy)'!$C$2),2)</f>
        <v>0</v>
      </c>
      <c r="W36" s="337">
        <f>ROUND(SUMIFS(BS_RE33!$H$7:$H$874,BS_RE33!$S$7:$S$874,$W$2,BS_RE33!$N$7:$N$874,I36,BS_RE33!$P$7:$P$874,'30 days CF Table(Ccy)'!G36,BS_RE33!$F$7:$F$874,'30 days CF Table(Ccy)'!$C$2),2)</f>
        <v>0</v>
      </c>
      <c r="X36" s="337">
        <f>ROUND(SUMIFS(BS_RE33!$H$7:$H$874,BS_RE33!$S$7:$S$874,$X$2,BS_RE33!$N$7:$N$874,I36,BS_RE33!$P$7:$P$874,'30 days CF Table(Ccy)'!G36,BS_RE33!$F$7:$F$874,'30 days CF Table(Ccy)'!$C$2),2)</f>
        <v>0</v>
      </c>
      <c r="Y36" s="337">
        <f>ROUND(SUMIFS(BS_RE33!$H$7:$H$874,BS_RE33!$S$7:$S$874,$Y$2,BS_RE33!$N$7:$N$874,I36,BS_RE33!$P$7:$P$874,'30 days CF Table(Ccy)'!G36,BS_RE33!$F$7:$F$874,'30 days CF Table(Ccy)'!$C$2),2)</f>
        <v>0</v>
      </c>
      <c r="Z36" s="337">
        <f>ROUND(SUMIFS(BS_RE33!$H$7:$H$874,BS_RE33!$S$7:$S$874,$Z$2,BS_RE33!$N$7:$N$874,I36,BS_RE33!$P$7:$P$874,'30 days CF Table(Ccy)'!G36,BS_RE33!$F$7:$F$874,'30 days CF Table(Ccy)'!$C$2),2)</f>
        <v>0</v>
      </c>
      <c r="AA36" s="337">
        <f>ROUND(SUMIFS(BS_RE33!$H$7:$H$874,BS_RE33!$S$7:$S$874,$AA$2,BS_RE33!$N$7:$N$874,I36,BS_RE33!$P$7:$P$874,'30 days CF Table(Ccy)'!G36,BS_RE33!$F$7:$F$874,'30 days CF Table(Ccy)'!$C$2),2)</f>
        <v>0</v>
      </c>
      <c r="AB36" s="337">
        <f>ROUND(SUMIFS(BS_RE33!$H$7:$H$874,BS_RE33!$S$7:$S$874,$AB$2,BS_RE33!$N$7:$N$874,I36,BS_RE33!$P$7:$P$874,'30 days CF Table(Ccy)'!G36,BS_RE33!$F$7:$F$874,'30 days CF Table(Ccy)'!$C$2),2)</f>
        <v>0</v>
      </c>
      <c r="AC36" s="337">
        <f>ROUND(SUMIFS(BS_RE33!$H$7:$H$874,BS_RE33!$S$7:$S$874,$AC$2,BS_RE33!$N$7:$N$874,I36,BS_RE33!$P$7:$P$874,'30 days CF Table(Ccy)'!G36,BS_RE33!$F$7:$F$874,'30 days CF Table(Ccy)'!$C$2),2)</f>
        <v>0</v>
      </c>
      <c r="AD36" s="337">
        <f>ROUND(SUMIFS(BS_RE33!$H$7:$H$874,BS_RE33!$S$7:$S$874,$AD$2,BS_RE33!$N$7:$N$874,I36,BS_RE33!$P$7:$P$874,'30 days CF Table(Ccy)'!G36,BS_RE33!$F$7:$F$874,'30 days CF Table(Ccy)'!$C$2),2)</f>
        <v>0</v>
      </c>
      <c r="AE36" s="337">
        <f>ROUND(SUMIFS(BS_RE33!$H$7:$H$874,BS_RE33!$S$7:$S$874,$AE$2,BS_RE33!$N$7:$N$874,I36,BS_RE33!$P$7:$P$874,'30 days CF Table(Ccy)'!G36,BS_RE33!$F$7:$F$874,'30 days CF Table(Ccy)'!$C$2),2)</f>
        <v>0</v>
      </c>
      <c r="AF36" s="337">
        <f>ROUND(SUMIFS(BS_RE33!$H$7:$H$874,BS_RE33!$S$7:$S$874,$AF$2,BS_RE33!$N$7:$N$874,I36,BS_RE33!$P$7:$P$874,'30 days CF Table(Ccy)'!G36,BS_RE33!$F$7:$F$874,'30 days CF Table(Ccy)'!$C$2),2)</f>
        <v>0</v>
      </c>
      <c r="AG36" s="337">
        <f>ROUND(SUMIFS(BS_RE33!$H$7:$H$874,BS_RE33!$S$7:$S$874,$AG$2,BS_RE33!$N$7:$N$874,I36,BS_RE33!$P$7:$P$874,'30 days CF Table(Ccy)'!G36,BS_RE33!$F$7:$F$874,'30 days CF Table(Ccy)'!$C$2),2)</f>
        <v>0</v>
      </c>
      <c r="AH36" s="337">
        <f>ROUND(SUMIFS(BS_RE33!$H$7:$H$874,BS_RE33!$S$7:$S$874,$AH$2,BS_RE33!$N$7:$N$874,I36,BS_RE33!$P$7:$P$874,'30 days CF Table(Ccy)'!G36,BS_RE33!$F$7:$F$874,'30 days CF Table(Ccy)'!$C$2),2)</f>
        <v>0</v>
      </c>
      <c r="AI36" s="337">
        <f>ROUND(SUMIFS(BS_RE33!$H$7:$H$874,BS_RE33!$S$7:$S$874,$AI$2,BS_RE33!$N$7:$N$874,I36,BS_RE33!$P$7:$P$874,'30 days CF Table(Ccy)'!G36,BS_RE33!$F$7:$F$874,'30 days CF Table(Ccy)'!$C$2),2)</f>
        <v>0</v>
      </c>
      <c r="AJ36" s="337">
        <f>ROUND(SUMIFS(BS_RE33!$H$7:$H$874,BS_RE33!$S$7:$S$874,$AJ$2,BS_RE33!$N$7:$N$874,I36,BS_RE33!$P$7:$P$874,'30 days CF Table(Ccy)'!G36,BS_RE33!$F$7:$F$874,'30 days CF Table(Ccy)'!$C$2),2)</f>
        <v>0</v>
      </c>
      <c r="AK36" s="337">
        <f>ROUND(SUMIFS(BS_RE33!$H$7:$H$874,BS_RE33!$S$7:$S$874,$AK$2,BS_RE33!$N$7:$N$874,I36,BS_RE33!$P$7:$P$874,'30 days CF Table(Ccy)'!G36,BS_RE33!$F$7:$F$874,'30 days CF Table(Ccy)'!$C$2),2)</f>
        <v>0</v>
      </c>
      <c r="AL36" s="337">
        <f>ROUND(SUMIFS(BS_RE33!$H$7:$H$874,BS_RE33!$S$7:$S$874,$AL$2,BS_RE33!$N$7:$N$874,I36,BS_RE33!$P$7:$P$874,'30 days CF Table(Ccy)'!G36,BS_RE33!$F$7:$F$874,'30 days CF Table(Ccy)'!$C$2),2)</f>
        <v>0</v>
      </c>
      <c r="AM36" s="337">
        <f>ROUND(SUMIFS(BS_RE33!$H$7:$H$874,BS_RE33!$S$7:$S$874,$AM$2,BS_RE33!$N$7:$N$874,I36,BS_RE33!$P$7:$P$874,'30 days CF Table(Ccy)'!G36,BS_RE33!$F$7:$F$874,'30 days CF Table(Ccy)'!$C$2),2)</f>
        <v>0</v>
      </c>
      <c r="AN36" s="337">
        <f>ROUND(SUMIFS(BS_RE33!$H$7:$H$874,BS_RE33!$S$7:$S$874,$AN$2,BS_RE33!$N$7:$N$874,I36,BS_RE33!$P$7:$P$874,'30 days CF Table(Ccy)'!G36,BS_RE33!$F$7:$F$874,'30 days CF Table(Ccy)'!$C$2),2)</f>
        <v>0</v>
      </c>
      <c r="AO36" s="337">
        <f>ROUND(SUMIFS(BS_RE33!$H$7:$H$874,BS_RE33!$S$7:$S$874,$AO$2,BS_RE33!$N$7:$N$874,I36,BS_RE33!$P$7:$P$874,'30 days CF Table(Ccy)'!G36,BS_RE33!$F$7:$F$874,'30 days CF Table(Ccy)'!$C$2),2)</f>
        <v>0</v>
      </c>
      <c r="AP36" s="338">
        <f>ROUND(SUMIFS(BS_RE33!$H$7:$H$874,BS_RE33!$S$7:$S$874,$AP$2,BS_RE33!$N$7:$N$874,I36,BS_RE33!$P$7:$P$874,'30 days CF Table(Ccy)'!G36,BS_RE33!$F$7:$F$874,'30 days CF Table(Ccy)'!$C$2),2)</f>
        <v>0</v>
      </c>
      <c r="AR36" s="379">
        <f>ROUND(SUMIFS(BS_RE33!$H$7:$H$874,BS_RE33!$S$7:$S$874,$AR$2,BS_RE33!$N$7:$N$874,I36,BS_RE33!$P$7:$P$874,'30 days CF Table(Ccy)'!G36,BS_RE33!$F$7:$F$874,'30 days CF Table(Ccy)'!$C$2),2)</f>
        <v>0</v>
      </c>
      <c r="AS36" s="379">
        <f>ROUND(SUMIFS(BS_RE33!$H$7:$H$874,BS_RE33!$S$7:$S$874,$AS$2,BS_RE33!$N$7:$N$874,I36,BS_RE33!$P$7:$P$874,'30 days CF Table(Ccy)'!G36,BS_RE33!$F$7:$F$874,'30 days CF Table(Ccy)'!$C$2),2)</f>
        <v>0</v>
      </c>
      <c r="AT36" s="379">
        <f>ROUND(SUMIFS(BS_RE33!$H$7:$H$874,BS_RE33!$S$7:$S$874,$AT$2,BS_RE33!$N$7:$N$874,I36,BS_RE33!$P$7:$P$874,'30 days CF Table(Ccy)'!G36,BS_RE33!$F$7:$F$874,'30 days CF Table(Ccy)'!$C$2),2)</f>
        <v>0</v>
      </c>
      <c r="AU36" s="379">
        <f>ROUND(SUMIFS(BS_RE33!$H$7:$H$874,BS_RE33!$S$7:$S$874,$AU$2,BS_RE33!$N$7:$N$874,I36,BS_RE33!$P$7:$P$874,'30 days CF Table(Ccy)'!G36,BS_RE33!$F$7:$F$874,'30 days CF Table(Ccy)'!$C$2),2)</f>
        <v>0</v>
      </c>
      <c r="AV36" s="379">
        <f>ROUND(SUMIFS(BS_RE33!$H$7:$H$874,BS_RE33!$S$7:$S$874,$AV$2,BS_RE33!$N$7:$N$874,I36,BS_RE33!$P$7:$P$874,'30 days CF Table(Ccy)'!G36,BS_RE33!$F$7:$F$874,'30 days CF Table(Ccy)'!$C$2),2)</f>
        <v>0</v>
      </c>
      <c r="AW36" s="379">
        <f>ROUND(SUMIFS(BS_RE33!$H$7:$H$874,BS_RE33!$S$7:$S$874,$AW$2,BS_RE33!$N$7:$N$874,I36,BS_RE33!$P$7:$P$874,'30 days CF Table(Ccy)'!G36,BS_RE33!$F$7:$F$874,'30 days CF Table(Ccy)'!$C$2),2)</f>
        <v>0</v>
      </c>
      <c r="AX36" s="379">
        <f>ROUND(SUMIFS(BS_RE33!$H$7:$H$874,BS_RE33!$S$7:$S$874,$AX$2,BS_RE33!$N$7:$N$874,I36,BS_RE33!$P$7:$P$874,'30 days CF Table(Ccy)'!G36,BS_RE33!$F$7:$F$874,'30 days CF Table(Ccy)'!$C$2),2)</f>
        <v>0</v>
      </c>
      <c r="AY36" s="379">
        <f>ROUND(SUMIFS(BS_RE33!$H$7:$H$874,BS_RE33!$S$7:$S$874,$AY$2,BS_RE33!$N$7:$N$874,I36,BS_RE33!$P$7:$P$874,'30 days CF Table(Ccy)'!G36,BS_RE33!$F$7:$F$874,'30 days CF Table(Ccy)'!$C$2),2)</f>
        <v>0</v>
      </c>
      <c r="AZ36" s="379">
        <f>ROUND(SUMIFS(BS_RE33!$H$7:$H$874,BS_RE33!$S$7:$S$874,$AZ$2,BS_RE33!$N$7:$N$874,I36,BS_RE33!$P$7:$P$874,'30 days CF Table(Ccy)'!G36,BS_RE33!$F$7:$F$874,'30 days CF Table(Ccy)'!$C$2),2)</f>
        <v>0</v>
      </c>
      <c r="BA36" s="379">
        <f>ROUND(SUMIFS(BS_RE33!$H$7:$H$874,BS_RE33!$S$7:$S$874,$BA$2,BS_RE33!$N$7:$N$874,I36,BS_RE33!$P$7:$P$874,'30 days CF Table(Ccy)'!G36,BS_RE33!$F$7:$F$874,'30 days CF Table(Ccy)'!$C$2),2)</f>
        <v>0</v>
      </c>
      <c r="BB36" s="379">
        <f>ROUND(SUMIFS(BS_RE33!$H$7:$H$874,BS_RE33!$S$7:$S$874,$BB$2,BS_RE33!$N$7:$N$874,I36,BS_RE33!$P$7:$P$874,'30 days CF Table(Ccy)'!G36,BS_RE33!$F$7:$F$874,'30 days CF Table(Ccy)'!$C$2),2)</f>
        <v>0</v>
      </c>
      <c r="BC36" s="379">
        <f>ROUND(SUMIFS(BS_RE33!$H$7:$H$874,BS_RE33!$S$7:$S$874,$BC$2,BS_RE33!$N$7:$N$874,I36,BS_RE33!$P$7:$P$874,'30 days CF Table(Ccy)'!G36,BS_RE33!$F$7:$F$874,'30 days CF Table(Ccy)'!$C$2),2)</f>
        <v>0</v>
      </c>
      <c r="BD36" s="379">
        <f>ROUND(SUMIFS(BS_RE33!$H$7:$H$874,BS_RE33!$S$7:$S$874,$BD$2,BS_RE33!$N$7:$N$874,I36,BS_RE33!$P$7:$P$874,'30 days CF Table(Ccy)'!G36,BS_RE33!$F$7:$F$874,'30 days CF Table(Ccy)'!$C$2),2)</f>
        <v>0</v>
      </c>
      <c r="BE36" s="379">
        <f>ROUND(SUMIFS(BS_RE33!$H$7:$H$874,BS_RE33!$S$7:$S$874,$BE$2,BS_RE33!$N$7:$N$874,I36,BS_RE33!$P$7:$P$874,'30 days CF Table(Ccy)'!G36,BS_RE33!$F$7:$F$874,'30 days CF Table(Ccy)'!$C$2),2)</f>
        <v>0</v>
      </c>
      <c r="BF36" s="379">
        <f>ROUND(SUMIFS(BS_RE33!$H$7:$H$874,BS_RE33!$S$7:$S$874,$BF$2,BS_RE33!$N$7:$N$874,I36,BS_RE33!$P$7:$P$874,'30 days CF Table(Ccy)'!G36,BS_RE33!$F$7:$F$874,'30 days CF Table(Ccy)'!$C$2),2)</f>
        <v>0</v>
      </c>
      <c r="BG36" s="379">
        <f>ROUND(SUMIFS(BS_RE33!$H$7:$H$874,BS_RE33!$S$7:$S$874,$BG$2,BS_RE33!$N$7:$N$874,I36,BS_RE33!$P$7:$P$874,'30 days CF Table(Ccy)'!G36,BS_RE33!$F$7:$F$874,'30 days CF Table(Ccy)'!$C$2),2)</f>
        <v>0</v>
      </c>
      <c r="BH36" s="379">
        <f>ROUND(SUMIFS(BS_RE33!$H$7:$H$874,BS_RE33!$S$7:$S$874,$BH$2,BS_RE33!$N$7:$N$874,I36,BS_RE33!$P$7:$P$874,'30 days CF Table(Ccy)'!G36,BS_RE33!$F$7:$F$874,'30 days CF Table(Ccy)'!$C$2),2)</f>
        <v>0</v>
      </c>
      <c r="BI36" s="379">
        <f>ROUND(SUMIFS(BS_RE33!$H$7:$H$874,BS_RE33!$S$7:$S$874,$BI$2,BS_RE33!$N$7:$N$874,I36,BS_RE33!$P$7:$P$874,'30 days CF Table(Ccy)'!G36,BS_RE33!$F$7:$F$874,'30 days CF Table(Ccy)'!$C$2),2)</f>
        <v>0</v>
      </c>
      <c r="BJ36" s="379">
        <f>ROUND(SUMIFS(BS_RE33!$H$7:$H$874,BS_RE33!$S$7:$S$874,$BJ$2,BS_RE33!$N$7:$N$874,I36,BS_RE33!$P$7:$P$874,'30 days CF Table(Ccy)'!G36,BS_RE33!$F$7:$F$874,'30 days CF Table(Ccy)'!$C$2),2)</f>
        <v>0</v>
      </c>
      <c r="BK36" s="379">
        <f>ROUND(SUMIFS(BS_RE33!$H$7:$H$874,BS_RE33!$S$7:$S$874,$BK$2,BS_RE33!$N$7:$N$874,I36,BS_RE33!$P$7:$P$874,'30 days CF Table(Ccy)'!G36,BS_RE33!$F$7:$F$874,'30 days CF Table(Ccy)'!$C$2),2)</f>
        <v>0</v>
      </c>
    </row>
    <row r="37" spans="3:63">
      <c r="C37" s="1029"/>
      <c r="D37" s="1038" t="s">
        <v>762</v>
      </c>
      <c r="E37" s="105" t="s">
        <v>85</v>
      </c>
      <c r="F37" s="309"/>
      <c r="G37" s="392" t="s">
        <v>524</v>
      </c>
      <c r="H37" s="314">
        <v>1</v>
      </c>
      <c r="I37" s="315" t="s">
        <v>80</v>
      </c>
      <c r="J37" s="479">
        <f t="shared" si="2"/>
        <v>0</v>
      </c>
      <c r="K37" s="336">
        <f t="shared" si="3"/>
        <v>0</v>
      </c>
      <c r="L37" s="337">
        <f>ROUND(SUMIFS(BS_RE33!$H$7:$H$874,BS_RE33!$S$7:$S$874,$L$2,BS_RE33!$N$7:$N$874,I37,BS_RE33!$P$7:$P$874,'30 days CF Table(Ccy)'!G37,BS_RE33!$F$7:$F$874,'30 days CF Table(Ccy)'!$C$2),2)</f>
        <v>0</v>
      </c>
      <c r="M37" s="337">
        <f>ROUND(SUMIFS(BS_RE33!$H$7:$H$874,BS_RE33!$S$7:$S$874,$M$2,BS_RE33!$N$7:$N$874,I37,BS_RE33!$P$7:$P$874,'30 days CF Table(Ccy)'!G37,BS_RE33!$F$7:$F$874,'30 days CF Table(Ccy)'!$C$2),2)</f>
        <v>0</v>
      </c>
      <c r="N37" s="337">
        <f>ROUND(SUMIFS(BS_RE33!$H$7:$H$874,BS_RE33!$S$7:$S$874,$N$2,BS_RE33!$N$7:$N$874,I37,BS_RE33!$P$7:$P$874,'30 days CF Table(Ccy)'!G37,BS_RE33!$F$7:$F$874,'30 days CF Table(Ccy)'!$C$2),2)</f>
        <v>0</v>
      </c>
      <c r="O37" s="337">
        <f>ROUND(SUMIFS(BS_RE33!$H$7:$H$874,BS_RE33!$S$7:$S$874,$O$2,BS_RE33!$N$7:$N$874,I37,BS_RE33!$P$7:$P$874,'30 days CF Table(Ccy)'!G37,BS_RE33!$F$7:$F$874,'30 days CF Table(Ccy)'!$C$2),2)</f>
        <v>0</v>
      </c>
      <c r="P37" s="337">
        <f>ROUND(SUMIFS(BS_RE33!$H$7:$H$874,BS_RE33!$S$7:$S$874,$P$2,BS_RE33!$N$7:$N$874,I37,BS_RE33!$P$7:$P$874,'30 days CF Table(Ccy)'!G37,BS_RE33!$F$7:$F$874,'30 days CF Table(Ccy)'!$C$2),2)</f>
        <v>0</v>
      </c>
      <c r="Q37" s="337">
        <f>ROUND(SUMIFS(BS_RE33!$H$7:$H$874,BS_RE33!$S$7:$S$874,$Q$2,BS_RE33!$N$7:$N$874,I37,BS_RE33!$P$7:$P$874,'30 days CF Table(Ccy)'!G37,BS_RE33!$F$7:$F$874,'30 days CF Table(Ccy)'!$C$2),2)</f>
        <v>0</v>
      </c>
      <c r="R37" s="337">
        <f>ROUND(SUMIFS(BS_RE33!$H$7:$H$874,BS_RE33!$S$7:$S$874,$R$2,BS_RE33!$N$7:$N$874,I37,BS_RE33!$P$7:$P$874,'30 days CF Table(Ccy)'!G37,BS_RE33!$F$7:$F$874,'30 days CF Table(Ccy)'!$C$2),2)</f>
        <v>0</v>
      </c>
      <c r="S37" s="337">
        <f>ROUND(SUMIFS(BS_RE33!$H$7:$H$874,BS_RE33!$S$7:$S$874,$S$2,BS_RE33!$N$7:$N$874,I37,BS_RE33!$P$7:$P$874,'30 days CF Table(Ccy)'!G37,BS_RE33!$F$7:$F$874,'30 days CF Table(Ccy)'!$C$2),2)</f>
        <v>0</v>
      </c>
      <c r="T37" s="337">
        <f>ROUND(SUMIFS(BS_RE33!$H$7:$H$874,BS_RE33!$S$7:$S$874,$T$2,BS_RE33!$N$7:$N$874,I37,BS_RE33!$P$7:$P$874,'30 days CF Table(Ccy)'!G37,BS_RE33!$F$7:$F$874,'30 days CF Table(Ccy)'!$C$2),2)</f>
        <v>0</v>
      </c>
      <c r="U37" s="337">
        <f>ROUND(SUMIFS(BS_RE33!$H$7:$H$874,BS_RE33!$S$7:$S$874,$U$2,BS_RE33!$N$7:$N$874,I37,BS_RE33!$P$7:$P$874,'30 days CF Table(Ccy)'!G37,BS_RE33!$F$7:$F$874,'30 days CF Table(Ccy)'!$C$2),2)</f>
        <v>0</v>
      </c>
      <c r="V37" s="337">
        <f>ROUND(SUMIFS(BS_RE33!$H$7:$H$874,BS_RE33!$S$7:$S$874,$V$2,BS_RE33!$N$7:$N$874,I37,BS_RE33!$P$7:$P$874,'30 days CF Table(Ccy)'!G37,BS_RE33!$F$7:$F$874,'30 days CF Table(Ccy)'!$C$2),2)</f>
        <v>0</v>
      </c>
      <c r="W37" s="337">
        <f>ROUND(SUMIFS(BS_RE33!$H$7:$H$874,BS_RE33!$S$7:$S$874,$W$2,BS_RE33!$N$7:$N$874,I37,BS_RE33!$P$7:$P$874,'30 days CF Table(Ccy)'!G37,BS_RE33!$F$7:$F$874,'30 days CF Table(Ccy)'!$C$2),2)</f>
        <v>0</v>
      </c>
      <c r="X37" s="337">
        <f>ROUND(SUMIFS(BS_RE33!$H$7:$H$874,BS_RE33!$S$7:$S$874,$X$2,BS_RE33!$N$7:$N$874,I37,BS_RE33!$P$7:$P$874,'30 days CF Table(Ccy)'!G37,BS_RE33!$F$7:$F$874,'30 days CF Table(Ccy)'!$C$2),2)</f>
        <v>0</v>
      </c>
      <c r="Y37" s="337">
        <f>ROUND(SUMIFS(BS_RE33!$H$7:$H$874,BS_RE33!$S$7:$S$874,$Y$2,BS_RE33!$N$7:$N$874,I37,BS_RE33!$P$7:$P$874,'30 days CF Table(Ccy)'!G37,BS_RE33!$F$7:$F$874,'30 days CF Table(Ccy)'!$C$2),2)</f>
        <v>0</v>
      </c>
      <c r="Z37" s="337">
        <f>ROUND(SUMIFS(BS_RE33!$H$7:$H$874,BS_RE33!$S$7:$S$874,$Z$2,BS_RE33!$N$7:$N$874,I37,BS_RE33!$P$7:$P$874,'30 days CF Table(Ccy)'!G37,BS_RE33!$F$7:$F$874,'30 days CF Table(Ccy)'!$C$2),2)</f>
        <v>0</v>
      </c>
      <c r="AA37" s="337">
        <f>ROUND(SUMIFS(BS_RE33!$H$7:$H$874,BS_RE33!$S$7:$S$874,$AA$2,BS_RE33!$N$7:$N$874,I37,BS_RE33!$P$7:$P$874,'30 days CF Table(Ccy)'!G37,BS_RE33!$F$7:$F$874,'30 days CF Table(Ccy)'!$C$2),2)</f>
        <v>0</v>
      </c>
      <c r="AB37" s="337">
        <f>ROUND(SUMIFS(BS_RE33!$H$7:$H$874,BS_RE33!$S$7:$S$874,$AB$2,BS_RE33!$N$7:$N$874,I37,BS_RE33!$P$7:$P$874,'30 days CF Table(Ccy)'!G37,BS_RE33!$F$7:$F$874,'30 days CF Table(Ccy)'!$C$2),2)</f>
        <v>0</v>
      </c>
      <c r="AC37" s="337">
        <f>ROUND(SUMIFS(BS_RE33!$H$7:$H$874,BS_RE33!$S$7:$S$874,$AC$2,BS_RE33!$N$7:$N$874,I37,BS_RE33!$P$7:$P$874,'30 days CF Table(Ccy)'!G37,BS_RE33!$F$7:$F$874,'30 days CF Table(Ccy)'!$C$2),2)</f>
        <v>0</v>
      </c>
      <c r="AD37" s="337">
        <f>ROUND(SUMIFS(BS_RE33!$H$7:$H$874,BS_RE33!$S$7:$S$874,$AD$2,BS_RE33!$N$7:$N$874,I37,BS_RE33!$P$7:$P$874,'30 days CF Table(Ccy)'!G37,BS_RE33!$F$7:$F$874,'30 days CF Table(Ccy)'!$C$2),2)</f>
        <v>0</v>
      </c>
      <c r="AE37" s="337">
        <f>ROUND(SUMIFS(BS_RE33!$H$7:$H$874,BS_RE33!$S$7:$S$874,$AE$2,BS_RE33!$N$7:$N$874,I37,BS_RE33!$P$7:$P$874,'30 days CF Table(Ccy)'!G37,BS_RE33!$F$7:$F$874,'30 days CF Table(Ccy)'!$C$2),2)</f>
        <v>0</v>
      </c>
      <c r="AF37" s="337">
        <f>ROUND(SUMIFS(BS_RE33!$H$7:$H$874,BS_RE33!$S$7:$S$874,$AF$2,BS_RE33!$N$7:$N$874,I37,BS_RE33!$P$7:$P$874,'30 days CF Table(Ccy)'!G37,BS_RE33!$F$7:$F$874,'30 days CF Table(Ccy)'!$C$2),2)</f>
        <v>0</v>
      </c>
      <c r="AG37" s="337">
        <f>ROUND(SUMIFS(BS_RE33!$H$7:$H$874,BS_RE33!$S$7:$S$874,$AG$2,BS_RE33!$N$7:$N$874,I37,BS_RE33!$P$7:$P$874,'30 days CF Table(Ccy)'!G37,BS_RE33!$F$7:$F$874,'30 days CF Table(Ccy)'!$C$2),2)</f>
        <v>0</v>
      </c>
      <c r="AH37" s="337">
        <f>ROUND(SUMIFS(BS_RE33!$H$7:$H$874,BS_RE33!$S$7:$S$874,$AH$2,BS_RE33!$N$7:$N$874,I37,BS_RE33!$P$7:$P$874,'30 days CF Table(Ccy)'!G37,BS_RE33!$F$7:$F$874,'30 days CF Table(Ccy)'!$C$2),2)</f>
        <v>0</v>
      </c>
      <c r="AI37" s="337">
        <f>ROUND(SUMIFS(BS_RE33!$H$7:$H$874,BS_RE33!$S$7:$S$874,$AI$2,BS_RE33!$N$7:$N$874,I37,BS_RE33!$P$7:$P$874,'30 days CF Table(Ccy)'!G37,BS_RE33!$F$7:$F$874,'30 days CF Table(Ccy)'!$C$2),2)</f>
        <v>0</v>
      </c>
      <c r="AJ37" s="337">
        <f>ROUND(SUMIFS(BS_RE33!$H$7:$H$874,BS_RE33!$S$7:$S$874,$AJ$2,BS_RE33!$N$7:$N$874,I37,BS_RE33!$P$7:$P$874,'30 days CF Table(Ccy)'!G37,BS_RE33!$F$7:$F$874,'30 days CF Table(Ccy)'!$C$2),2)</f>
        <v>0</v>
      </c>
      <c r="AK37" s="337">
        <f>ROUND(SUMIFS(BS_RE33!$H$7:$H$874,BS_RE33!$S$7:$S$874,$AK$2,BS_RE33!$N$7:$N$874,I37,BS_RE33!$P$7:$P$874,'30 days CF Table(Ccy)'!G37,BS_RE33!$F$7:$F$874,'30 days CF Table(Ccy)'!$C$2),2)</f>
        <v>0</v>
      </c>
      <c r="AL37" s="337">
        <f>ROUND(SUMIFS(BS_RE33!$H$7:$H$874,BS_RE33!$S$7:$S$874,$AL$2,BS_RE33!$N$7:$N$874,I37,BS_RE33!$P$7:$P$874,'30 days CF Table(Ccy)'!G37,BS_RE33!$F$7:$F$874,'30 days CF Table(Ccy)'!$C$2),2)</f>
        <v>0</v>
      </c>
      <c r="AM37" s="337">
        <f>ROUND(SUMIFS(BS_RE33!$H$7:$H$874,BS_RE33!$S$7:$S$874,$AM$2,BS_RE33!$N$7:$N$874,I37,BS_RE33!$P$7:$P$874,'30 days CF Table(Ccy)'!G37,BS_RE33!$F$7:$F$874,'30 days CF Table(Ccy)'!$C$2),2)</f>
        <v>0</v>
      </c>
      <c r="AN37" s="337">
        <f>ROUND(SUMIFS(BS_RE33!$H$7:$H$874,BS_RE33!$S$7:$S$874,$AN$2,BS_RE33!$N$7:$N$874,I37,BS_RE33!$P$7:$P$874,'30 days CF Table(Ccy)'!G37,BS_RE33!$F$7:$F$874,'30 days CF Table(Ccy)'!$C$2),2)</f>
        <v>0</v>
      </c>
      <c r="AO37" s="337">
        <f>ROUND(SUMIFS(BS_RE33!$H$7:$H$874,BS_RE33!$S$7:$S$874,$AO$2,BS_RE33!$N$7:$N$874,I37,BS_RE33!$P$7:$P$874,'30 days CF Table(Ccy)'!G37,BS_RE33!$F$7:$F$874,'30 days CF Table(Ccy)'!$C$2),2)</f>
        <v>0</v>
      </c>
      <c r="AP37" s="338">
        <f>ROUND(SUMIFS(BS_RE33!$H$7:$H$874,BS_RE33!$S$7:$S$874,$AP$2,BS_RE33!$N$7:$N$874,I37,BS_RE33!$P$7:$P$874,'30 days CF Table(Ccy)'!G37,BS_RE33!$F$7:$F$874,'30 days CF Table(Ccy)'!$C$2),2)</f>
        <v>0</v>
      </c>
      <c r="AR37" s="379">
        <f>ROUND(SUMIFS(BS_RE33!$H$7:$H$874,BS_RE33!$S$7:$S$874,$AR$2,BS_RE33!$N$7:$N$874,I37,BS_RE33!$P$7:$P$874,'30 days CF Table(Ccy)'!G37,BS_RE33!$F$7:$F$874,'30 days CF Table(Ccy)'!$C$2),2)</f>
        <v>0</v>
      </c>
      <c r="AS37" s="379">
        <f>ROUND(SUMIFS(BS_RE33!$H$7:$H$874,BS_RE33!$S$7:$S$874,$AS$2,BS_RE33!$N$7:$N$874,I37,BS_RE33!$P$7:$P$874,'30 days CF Table(Ccy)'!G37,BS_RE33!$F$7:$F$874,'30 days CF Table(Ccy)'!$C$2),2)</f>
        <v>0</v>
      </c>
      <c r="AT37" s="379">
        <f>ROUND(SUMIFS(BS_RE33!$H$7:$H$874,BS_RE33!$S$7:$S$874,$AT$2,BS_RE33!$N$7:$N$874,I37,BS_RE33!$P$7:$P$874,'30 days CF Table(Ccy)'!G37,BS_RE33!$F$7:$F$874,'30 days CF Table(Ccy)'!$C$2),2)</f>
        <v>0</v>
      </c>
      <c r="AU37" s="379">
        <f>ROUND(SUMIFS(BS_RE33!$H$7:$H$874,BS_RE33!$S$7:$S$874,$AU$2,BS_RE33!$N$7:$N$874,I37,BS_RE33!$P$7:$P$874,'30 days CF Table(Ccy)'!G37,BS_RE33!$F$7:$F$874,'30 days CF Table(Ccy)'!$C$2),2)</f>
        <v>0</v>
      </c>
      <c r="AV37" s="379">
        <f>ROUND(SUMIFS(BS_RE33!$H$7:$H$874,BS_RE33!$S$7:$S$874,$AV$2,BS_RE33!$N$7:$N$874,I37,BS_RE33!$P$7:$P$874,'30 days CF Table(Ccy)'!G37,BS_RE33!$F$7:$F$874,'30 days CF Table(Ccy)'!$C$2),2)</f>
        <v>0</v>
      </c>
      <c r="AW37" s="379">
        <f>ROUND(SUMIFS(BS_RE33!$H$7:$H$874,BS_RE33!$S$7:$S$874,$AW$2,BS_RE33!$N$7:$N$874,I37,BS_RE33!$P$7:$P$874,'30 days CF Table(Ccy)'!G37,BS_RE33!$F$7:$F$874,'30 days CF Table(Ccy)'!$C$2),2)</f>
        <v>0</v>
      </c>
      <c r="AX37" s="379">
        <f>ROUND(SUMIFS(BS_RE33!$H$7:$H$874,BS_RE33!$S$7:$S$874,$AX$2,BS_RE33!$N$7:$N$874,I37,BS_RE33!$P$7:$P$874,'30 days CF Table(Ccy)'!G37,BS_RE33!$F$7:$F$874,'30 days CF Table(Ccy)'!$C$2),2)</f>
        <v>0</v>
      </c>
      <c r="AY37" s="379">
        <f>ROUND(SUMIFS(BS_RE33!$H$7:$H$874,BS_RE33!$S$7:$S$874,$AY$2,BS_RE33!$N$7:$N$874,I37,BS_RE33!$P$7:$P$874,'30 days CF Table(Ccy)'!G37,BS_RE33!$F$7:$F$874,'30 days CF Table(Ccy)'!$C$2),2)</f>
        <v>0</v>
      </c>
      <c r="AZ37" s="379">
        <f>ROUND(SUMIFS(BS_RE33!$H$7:$H$874,BS_RE33!$S$7:$S$874,$AZ$2,BS_RE33!$N$7:$N$874,I37,BS_RE33!$P$7:$P$874,'30 days CF Table(Ccy)'!G37,BS_RE33!$F$7:$F$874,'30 days CF Table(Ccy)'!$C$2),2)</f>
        <v>0</v>
      </c>
      <c r="BA37" s="379">
        <f>ROUND(SUMIFS(BS_RE33!$H$7:$H$874,BS_RE33!$S$7:$S$874,$BA$2,BS_RE33!$N$7:$N$874,I37,BS_RE33!$P$7:$P$874,'30 days CF Table(Ccy)'!G37,BS_RE33!$F$7:$F$874,'30 days CF Table(Ccy)'!$C$2),2)</f>
        <v>0</v>
      </c>
      <c r="BB37" s="379">
        <f>ROUND(SUMIFS(BS_RE33!$H$7:$H$874,BS_RE33!$S$7:$S$874,$BB$2,BS_RE33!$N$7:$N$874,I37,BS_RE33!$P$7:$P$874,'30 days CF Table(Ccy)'!G37,BS_RE33!$F$7:$F$874,'30 days CF Table(Ccy)'!$C$2),2)</f>
        <v>0</v>
      </c>
      <c r="BC37" s="379">
        <f>ROUND(SUMIFS(BS_RE33!$H$7:$H$874,BS_RE33!$S$7:$S$874,$BC$2,BS_RE33!$N$7:$N$874,I37,BS_RE33!$P$7:$P$874,'30 days CF Table(Ccy)'!G37,BS_RE33!$F$7:$F$874,'30 days CF Table(Ccy)'!$C$2),2)</f>
        <v>0</v>
      </c>
      <c r="BD37" s="379">
        <f>ROUND(SUMIFS(BS_RE33!$H$7:$H$874,BS_RE33!$S$7:$S$874,$BD$2,BS_RE33!$N$7:$N$874,I37,BS_RE33!$P$7:$P$874,'30 days CF Table(Ccy)'!G37,BS_RE33!$F$7:$F$874,'30 days CF Table(Ccy)'!$C$2),2)</f>
        <v>0</v>
      </c>
      <c r="BE37" s="379">
        <f>ROUND(SUMIFS(BS_RE33!$H$7:$H$874,BS_RE33!$S$7:$S$874,$BE$2,BS_RE33!$N$7:$N$874,I37,BS_RE33!$P$7:$P$874,'30 days CF Table(Ccy)'!G37,BS_RE33!$F$7:$F$874,'30 days CF Table(Ccy)'!$C$2),2)</f>
        <v>0</v>
      </c>
      <c r="BF37" s="379">
        <f>ROUND(SUMIFS(BS_RE33!$H$7:$H$874,BS_RE33!$S$7:$S$874,$BF$2,BS_RE33!$N$7:$N$874,I37,BS_RE33!$P$7:$P$874,'30 days CF Table(Ccy)'!G37,BS_RE33!$F$7:$F$874,'30 days CF Table(Ccy)'!$C$2),2)</f>
        <v>0</v>
      </c>
      <c r="BG37" s="379">
        <f>ROUND(SUMIFS(BS_RE33!$H$7:$H$874,BS_RE33!$S$7:$S$874,$BG$2,BS_RE33!$N$7:$N$874,I37,BS_RE33!$P$7:$P$874,'30 days CF Table(Ccy)'!G37,BS_RE33!$F$7:$F$874,'30 days CF Table(Ccy)'!$C$2),2)</f>
        <v>0</v>
      </c>
      <c r="BH37" s="379">
        <f>ROUND(SUMIFS(BS_RE33!$H$7:$H$874,BS_RE33!$S$7:$S$874,$BH$2,BS_RE33!$N$7:$N$874,I37,BS_RE33!$P$7:$P$874,'30 days CF Table(Ccy)'!G37,BS_RE33!$F$7:$F$874,'30 days CF Table(Ccy)'!$C$2),2)</f>
        <v>0</v>
      </c>
      <c r="BI37" s="379">
        <f>ROUND(SUMIFS(BS_RE33!$H$7:$H$874,BS_RE33!$S$7:$S$874,$BI$2,BS_RE33!$N$7:$N$874,I37,BS_RE33!$P$7:$P$874,'30 days CF Table(Ccy)'!G37,BS_RE33!$F$7:$F$874,'30 days CF Table(Ccy)'!$C$2),2)</f>
        <v>0</v>
      </c>
      <c r="BJ37" s="379">
        <f>ROUND(SUMIFS(BS_RE33!$H$7:$H$874,BS_RE33!$S$7:$S$874,$BJ$2,BS_RE33!$N$7:$N$874,I37,BS_RE33!$P$7:$P$874,'30 days CF Table(Ccy)'!G37,BS_RE33!$F$7:$F$874,'30 days CF Table(Ccy)'!$C$2),2)</f>
        <v>0</v>
      </c>
      <c r="BK37" s="379">
        <f>ROUND(SUMIFS(BS_RE33!$H$7:$H$874,BS_RE33!$S$7:$S$874,$BK$2,BS_RE33!$N$7:$N$874,I37,BS_RE33!$P$7:$P$874,'30 days CF Table(Ccy)'!G37,BS_RE33!$F$7:$F$874,'30 days CF Table(Ccy)'!$C$2),2)</f>
        <v>0</v>
      </c>
    </row>
    <row r="38" spans="3:63">
      <c r="C38" s="1029"/>
      <c r="D38" s="1040"/>
      <c r="E38" s="105" t="s">
        <v>556</v>
      </c>
      <c r="F38" s="309"/>
      <c r="G38" s="392" t="s">
        <v>557</v>
      </c>
      <c r="H38" s="314">
        <v>1</v>
      </c>
      <c r="I38" s="315" t="s">
        <v>80</v>
      </c>
      <c r="J38" s="479">
        <f t="shared" si="2"/>
        <v>0</v>
      </c>
      <c r="K38" s="336">
        <f t="shared" si="3"/>
        <v>0</v>
      </c>
      <c r="L38" s="337">
        <f>ROUND(SUMIFS(BS_RE33!$H$7:$H$874,BS_RE33!$S$7:$S$874,$L$2,BS_RE33!$N$7:$N$874,I38,BS_RE33!$P$7:$P$874,'30 days CF Table(Ccy)'!G38,BS_RE33!$F$7:$F$874,'30 days CF Table(Ccy)'!$C$2),2)</f>
        <v>0</v>
      </c>
      <c r="M38" s="337">
        <f>ROUND(SUMIFS(BS_RE33!$H$7:$H$874,BS_RE33!$S$7:$S$874,$M$2,BS_RE33!$N$7:$N$874,I38,BS_RE33!$P$7:$P$874,'30 days CF Table(Ccy)'!G38,BS_RE33!$F$7:$F$874,'30 days CF Table(Ccy)'!$C$2),2)</f>
        <v>0</v>
      </c>
      <c r="N38" s="337">
        <f>ROUND(SUMIFS(BS_RE33!$H$7:$H$874,BS_RE33!$S$7:$S$874,$N$2,BS_RE33!$N$7:$N$874,I38,BS_RE33!$P$7:$P$874,'30 days CF Table(Ccy)'!G38,BS_RE33!$F$7:$F$874,'30 days CF Table(Ccy)'!$C$2),2)</f>
        <v>0</v>
      </c>
      <c r="O38" s="337">
        <f>ROUND(SUMIFS(BS_RE33!$H$7:$H$874,BS_RE33!$S$7:$S$874,$O$2,BS_RE33!$N$7:$N$874,I38,BS_RE33!$P$7:$P$874,'30 days CF Table(Ccy)'!G38,BS_RE33!$F$7:$F$874,'30 days CF Table(Ccy)'!$C$2),2)</f>
        <v>0</v>
      </c>
      <c r="P38" s="337">
        <f>ROUND(SUMIFS(BS_RE33!$H$7:$H$874,BS_RE33!$S$7:$S$874,$P$2,BS_RE33!$N$7:$N$874,I38,BS_RE33!$P$7:$P$874,'30 days CF Table(Ccy)'!G38,BS_RE33!$F$7:$F$874,'30 days CF Table(Ccy)'!$C$2),2)</f>
        <v>0</v>
      </c>
      <c r="Q38" s="337">
        <f>ROUND(SUMIFS(BS_RE33!$H$7:$H$874,BS_RE33!$S$7:$S$874,$Q$2,BS_RE33!$N$7:$N$874,I38,BS_RE33!$P$7:$P$874,'30 days CF Table(Ccy)'!G38,BS_RE33!$F$7:$F$874,'30 days CF Table(Ccy)'!$C$2),2)</f>
        <v>0</v>
      </c>
      <c r="R38" s="337">
        <f>ROUND(SUMIFS(BS_RE33!$H$7:$H$874,BS_RE33!$S$7:$S$874,$R$2,BS_RE33!$N$7:$N$874,I38,BS_RE33!$P$7:$P$874,'30 days CF Table(Ccy)'!G38,BS_RE33!$F$7:$F$874,'30 days CF Table(Ccy)'!$C$2),2)</f>
        <v>0</v>
      </c>
      <c r="S38" s="337">
        <f>ROUND(SUMIFS(BS_RE33!$H$7:$H$874,BS_RE33!$S$7:$S$874,$S$2,BS_RE33!$N$7:$N$874,I38,BS_RE33!$P$7:$P$874,'30 days CF Table(Ccy)'!G38,BS_RE33!$F$7:$F$874,'30 days CF Table(Ccy)'!$C$2),2)</f>
        <v>0</v>
      </c>
      <c r="T38" s="337">
        <f>ROUND(SUMIFS(BS_RE33!$H$7:$H$874,BS_RE33!$S$7:$S$874,$T$2,BS_RE33!$N$7:$N$874,I38,BS_RE33!$P$7:$P$874,'30 days CF Table(Ccy)'!G38,BS_RE33!$F$7:$F$874,'30 days CF Table(Ccy)'!$C$2),2)</f>
        <v>0</v>
      </c>
      <c r="U38" s="337">
        <f>ROUND(SUMIFS(BS_RE33!$H$7:$H$874,BS_RE33!$S$7:$S$874,$U$2,BS_RE33!$N$7:$N$874,I38,BS_RE33!$P$7:$P$874,'30 days CF Table(Ccy)'!G38,BS_RE33!$F$7:$F$874,'30 days CF Table(Ccy)'!$C$2),2)</f>
        <v>0</v>
      </c>
      <c r="V38" s="337">
        <f>ROUND(SUMIFS(BS_RE33!$H$7:$H$874,BS_RE33!$S$7:$S$874,$V$2,BS_RE33!$N$7:$N$874,I38,BS_RE33!$P$7:$P$874,'30 days CF Table(Ccy)'!G38,BS_RE33!$F$7:$F$874,'30 days CF Table(Ccy)'!$C$2),2)</f>
        <v>0</v>
      </c>
      <c r="W38" s="337">
        <f>ROUND(SUMIFS(BS_RE33!$H$7:$H$874,BS_RE33!$S$7:$S$874,$W$2,BS_RE33!$N$7:$N$874,I38,BS_RE33!$P$7:$P$874,'30 days CF Table(Ccy)'!G38,BS_RE33!$F$7:$F$874,'30 days CF Table(Ccy)'!$C$2),2)</f>
        <v>0</v>
      </c>
      <c r="X38" s="337">
        <f>ROUND(SUMIFS(BS_RE33!$H$7:$H$874,BS_RE33!$S$7:$S$874,$X$2,BS_RE33!$N$7:$N$874,I38,BS_RE33!$P$7:$P$874,'30 days CF Table(Ccy)'!G38,BS_RE33!$F$7:$F$874,'30 days CF Table(Ccy)'!$C$2),2)</f>
        <v>0</v>
      </c>
      <c r="Y38" s="337">
        <f>ROUND(SUMIFS(BS_RE33!$H$7:$H$874,BS_RE33!$S$7:$S$874,$Y$2,BS_RE33!$N$7:$N$874,I38,BS_RE33!$P$7:$P$874,'30 days CF Table(Ccy)'!G38,BS_RE33!$F$7:$F$874,'30 days CF Table(Ccy)'!$C$2),2)</f>
        <v>0</v>
      </c>
      <c r="Z38" s="337">
        <f>ROUND(SUMIFS(BS_RE33!$H$7:$H$874,BS_RE33!$S$7:$S$874,$Z$2,BS_RE33!$N$7:$N$874,I38,BS_RE33!$P$7:$P$874,'30 days CF Table(Ccy)'!G38,BS_RE33!$F$7:$F$874,'30 days CF Table(Ccy)'!$C$2),2)</f>
        <v>0</v>
      </c>
      <c r="AA38" s="337">
        <f>ROUND(SUMIFS(BS_RE33!$H$7:$H$874,BS_RE33!$S$7:$S$874,$AA$2,BS_RE33!$N$7:$N$874,I38,BS_RE33!$P$7:$P$874,'30 days CF Table(Ccy)'!G38,BS_RE33!$F$7:$F$874,'30 days CF Table(Ccy)'!$C$2),2)</f>
        <v>0</v>
      </c>
      <c r="AB38" s="337">
        <f>ROUND(SUMIFS(BS_RE33!$H$7:$H$874,BS_RE33!$S$7:$S$874,$AB$2,BS_RE33!$N$7:$N$874,I38,BS_RE33!$P$7:$P$874,'30 days CF Table(Ccy)'!G38,BS_RE33!$F$7:$F$874,'30 days CF Table(Ccy)'!$C$2),2)</f>
        <v>0</v>
      </c>
      <c r="AC38" s="337">
        <f>ROUND(SUMIFS(BS_RE33!$H$7:$H$874,BS_RE33!$S$7:$S$874,$AC$2,BS_RE33!$N$7:$N$874,I38,BS_RE33!$P$7:$P$874,'30 days CF Table(Ccy)'!G38,BS_RE33!$F$7:$F$874,'30 days CF Table(Ccy)'!$C$2),2)</f>
        <v>0</v>
      </c>
      <c r="AD38" s="337">
        <f>ROUND(SUMIFS(BS_RE33!$H$7:$H$874,BS_RE33!$S$7:$S$874,$AD$2,BS_RE33!$N$7:$N$874,I38,BS_RE33!$P$7:$P$874,'30 days CF Table(Ccy)'!G38,BS_RE33!$F$7:$F$874,'30 days CF Table(Ccy)'!$C$2),2)</f>
        <v>0</v>
      </c>
      <c r="AE38" s="337">
        <f>ROUND(SUMIFS(BS_RE33!$H$7:$H$874,BS_RE33!$S$7:$S$874,$AE$2,BS_RE33!$N$7:$N$874,I38,BS_RE33!$P$7:$P$874,'30 days CF Table(Ccy)'!G38,BS_RE33!$F$7:$F$874,'30 days CF Table(Ccy)'!$C$2),2)</f>
        <v>0</v>
      </c>
      <c r="AF38" s="337">
        <f>ROUND(SUMIFS(BS_RE33!$H$7:$H$874,BS_RE33!$S$7:$S$874,$AF$2,BS_RE33!$N$7:$N$874,I38,BS_RE33!$P$7:$P$874,'30 days CF Table(Ccy)'!G38,BS_RE33!$F$7:$F$874,'30 days CF Table(Ccy)'!$C$2),2)</f>
        <v>0</v>
      </c>
      <c r="AG38" s="337">
        <f>ROUND(SUMIFS(BS_RE33!$H$7:$H$874,BS_RE33!$S$7:$S$874,$AG$2,BS_RE33!$N$7:$N$874,I38,BS_RE33!$P$7:$P$874,'30 days CF Table(Ccy)'!G38,BS_RE33!$F$7:$F$874,'30 days CF Table(Ccy)'!$C$2),2)</f>
        <v>0</v>
      </c>
      <c r="AH38" s="337">
        <f>ROUND(SUMIFS(BS_RE33!$H$7:$H$874,BS_RE33!$S$7:$S$874,$AH$2,BS_RE33!$N$7:$N$874,I38,BS_RE33!$P$7:$P$874,'30 days CF Table(Ccy)'!G38,BS_RE33!$F$7:$F$874,'30 days CF Table(Ccy)'!$C$2),2)</f>
        <v>0</v>
      </c>
      <c r="AI38" s="337">
        <f>ROUND(SUMIFS(BS_RE33!$H$7:$H$874,BS_RE33!$S$7:$S$874,$AI$2,BS_RE33!$N$7:$N$874,I38,BS_RE33!$P$7:$P$874,'30 days CF Table(Ccy)'!G38,BS_RE33!$F$7:$F$874,'30 days CF Table(Ccy)'!$C$2),2)</f>
        <v>0</v>
      </c>
      <c r="AJ38" s="337">
        <f>ROUND(SUMIFS(BS_RE33!$H$7:$H$874,BS_RE33!$S$7:$S$874,$AJ$2,BS_RE33!$N$7:$N$874,I38,BS_RE33!$P$7:$P$874,'30 days CF Table(Ccy)'!G38,BS_RE33!$F$7:$F$874,'30 days CF Table(Ccy)'!$C$2),2)</f>
        <v>0</v>
      </c>
      <c r="AK38" s="337">
        <f>ROUND(SUMIFS(BS_RE33!$H$7:$H$874,BS_RE33!$S$7:$S$874,$AK$2,BS_RE33!$N$7:$N$874,I38,BS_RE33!$P$7:$P$874,'30 days CF Table(Ccy)'!G38,BS_RE33!$F$7:$F$874,'30 days CF Table(Ccy)'!$C$2),2)</f>
        <v>0</v>
      </c>
      <c r="AL38" s="337">
        <f>ROUND(SUMIFS(BS_RE33!$H$7:$H$874,BS_RE33!$S$7:$S$874,$AL$2,BS_RE33!$N$7:$N$874,I38,BS_RE33!$P$7:$P$874,'30 days CF Table(Ccy)'!G38,BS_RE33!$F$7:$F$874,'30 days CF Table(Ccy)'!$C$2),2)</f>
        <v>0</v>
      </c>
      <c r="AM38" s="337">
        <f>ROUND(SUMIFS(BS_RE33!$H$7:$H$874,BS_RE33!$S$7:$S$874,$AM$2,BS_RE33!$N$7:$N$874,I38,BS_RE33!$P$7:$P$874,'30 days CF Table(Ccy)'!G38,BS_RE33!$F$7:$F$874,'30 days CF Table(Ccy)'!$C$2),2)</f>
        <v>0</v>
      </c>
      <c r="AN38" s="337">
        <f>ROUND(SUMIFS(BS_RE33!$H$7:$H$874,BS_RE33!$S$7:$S$874,$AN$2,BS_RE33!$N$7:$N$874,I38,BS_RE33!$P$7:$P$874,'30 days CF Table(Ccy)'!G38,BS_RE33!$F$7:$F$874,'30 days CF Table(Ccy)'!$C$2),2)</f>
        <v>0</v>
      </c>
      <c r="AO38" s="337">
        <f>ROUND(SUMIFS(BS_RE33!$H$7:$H$874,BS_RE33!$S$7:$S$874,$AO$2,BS_RE33!$N$7:$N$874,I38,BS_RE33!$P$7:$P$874,'30 days CF Table(Ccy)'!G38,BS_RE33!$F$7:$F$874,'30 days CF Table(Ccy)'!$C$2),2)</f>
        <v>0</v>
      </c>
      <c r="AP38" s="338">
        <f>ROUND(SUMIFS(BS_RE33!$H$7:$H$874,BS_RE33!$S$7:$S$874,$AP$2,BS_RE33!$N$7:$N$874,I38,BS_RE33!$P$7:$P$874,'30 days CF Table(Ccy)'!G38,BS_RE33!$F$7:$F$874,'30 days CF Table(Ccy)'!$C$2),2)</f>
        <v>0</v>
      </c>
      <c r="AR38" s="379">
        <f>ROUND(SUMIFS(BS_RE33!$H$7:$H$874,BS_RE33!$S$7:$S$874,$AR$2,BS_RE33!$N$7:$N$874,I38,BS_RE33!$P$7:$P$874,'30 days CF Table(Ccy)'!G38,BS_RE33!$F$7:$F$874,'30 days CF Table(Ccy)'!$C$2),2)</f>
        <v>0</v>
      </c>
      <c r="AS38" s="379">
        <f>ROUND(SUMIFS(BS_RE33!$H$7:$H$874,BS_RE33!$S$7:$S$874,$AS$2,BS_RE33!$N$7:$N$874,I38,BS_RE33!$P$7:$P$874,'30 days CF Table(Ccy)'!G38,BS_RE33!$F$7:$F$874,'30 days CF Table(Ccy)'!$C$2),2)</f>
        <v>0</v>
      </c>
      <c r="AT38" s="379">
        <f>ROUND(SUMIFS(BS_RE33!$H$7:$H$874,BS_RE33!$S$7:$S$874,$AT$2,BS_RE33!$N$7:$N$874,I38,BS_RE33!$P$7:$P$874,'30 days CF Table(Ccy)'!G38,BS_RE33!$F$7:$F$874,'30 days CF Table(Ccy)'!$C$2),2)</f>
        <v>0</v>
      </c>
      <c r="AU38" s="379">
        <f>ROUND(SUMIFS(BS_RE33!$H$7:$H$874,BS_RE33!$S$7:$S$874,$AU$2,BS_RE33!$N$7:$N$874,I38,BS_RE33!$P$7:$P$874,'30 days CF Table(Ccy)'!G38,BS_RE33!$F$7:$F$874,'30 days CF Table(Ccy)'!$C$2),2)</f>
        <v>0</v>
      </c>
      <c r="AV38" s="379">
        <f>ROUND(SUMIFS(BS_RE33!$H$7:$H$874,BS_RE33!$S$7:$S$874,$AV$2,BS_RE33!$N$7:$N$874,I38,BS_RE33!$P$7:$P$874,'30 days CF Table(Ccy)'!G38,BS_RE33!$F$7:$F$874,'30 days CF Table(Ccy)'!$C$2),2)</f>
        <v>0</v>
      </c>
      <c r="AW38" s="379">
        <f>ROUND(SUMIFS(BS_RE33!$H$7:$H$874,BS_RE33!$S$7:$S$874,$AW$2,BS_RE33!$N$7:$N$874,I38,BS_RE33!$P$7:$P$874,'30 days CF Table(Ccy)'!G38,BS_RE33!$F$7:$F$874,'30 days CF Table(Ccy)'!$C$2),2)</f>
        <v>0</v>
      </c>
      <c r="AX38" s="379">
        <f>ROUND(SUMIFS(BS_RE33!$H$7:$H$874,BS_RE33!$S$7:$S$874,$AX$2,BS_RE33!$N$7:$N$874,I38,BS_RE33!$P$7:$P$874,'30 days CF Table(Ccy)'!G38,BS_RE33!$F$7:$F$874,'30 days CF Table(Ccy)'!$C$2),2)</f>
        <v>0</v>
      </c>
      <c r="AY38" s="379">
        <f>ROUND(SUMIFS(BS_RE33!$H$7:$H$874,BS_RE33!$S$7:$S$874,$AY$2,BS_RE33!$N$7:$N$874,I38,BS_RE33!$P$7:$P$874,'30 days CF Table(Ccy)'!G38,BS_RE33!$F$7:$F$874,'30 days CF Table(Ccy)'!$C$2),2)</f>
        <v>0</v>
      </c>
      <c r="AZ38" s="379">
        <f>ROUND(SUMIFS(BS_RE33!$H$7:$H$874,BS_RE33!$S$7:$S$874,$AZ$2,BS_RE33!$N$7:$N$874,I38,BS_RE33!$P$7:$P$874,'30 days CF Table(Ccy)'!G38,BS_RE33!$F$7:$F$874,'30 days CF Table(Ccy)'!$C$2),2)</f>
        <v>0</v>
      </c>
      <c r="BA38" s="379">
        <f>ROUND(SUMIFS(BS_RE33!$H$7:$H$874,BS_RE33!$S$7:$S$874,$BA$2,BS_RE33!$N$7:$N$874,I38,BS_RE33!$P$7:$P$874,'30 days CF Table(Ccy)'!G38,BS_RE33!$F$7:$F$874,'30 days CF Table(Ccy)'!$C$2),2)</f>
        <v>0</v>
      </c>
      <c r="BB38" s="379">
        <f>ROUND(SUMIFS(BS_RE33!$H$7:$H$874,BS_RE33!$S$7:$S$874,$BB$2,BS_RE33!$N$7:$N$874,I38,BS_RE33!$P$7:$P$874,'30 days CF Table(Ccy)'!G38,BS_RE33!$F$7:$F$874,'30 days CF Table(Ccy)'!$C$2),2)</f>
        <v>0</v>
      </c>
      <c r="BC38" s="379">
        <f>ROUND(SUMIFS(BS_RE33!$H$7:$H$874,BS_RE33!$S$7:$S$874,$BC$2,BS_RE33!$N$7:$N$874,I38,BS_RE33!$P$7:$P$874,'30 days CF Table(Ccy)'!G38,BS_RE33!$F$7:$F$874,'30 days CF Table(Ccy)'!$C$2),2)</f>
        <v>0</v>
      </c>
      <c r="BD38" s="379">
        <f>ROUND(SUMIFS(BS_RE33!$H$7:$H$874,BS_RE33!$S$7:$S$874,$BD$2,BS_RE33!$N$7:$N$874,I38,BS_RE33!$P$7:$P$874,'30 days CF Table(Ccy)'!G38,BS_RE33!$F$7:$F$874,'30 days CF Table(Ccy)'!$C$2),2)</f>
        <v>0</v>
      </c>
      <c r="BE38" s="379">
        <f>ROUND(SUMIFS(BS_RE33!$H$7:$H$874,BS_RE33!$S$7:$S$874,$BE$2,BS_RE33!$N$7:$N$874,I38,BS_RE33!$P$7:$P$874,'30 days CF Table(Ccy)'!G38,BS_RE33!$F$7:$F$874,'30 days CF Table(Ccy)'!$C$2),2)</f>
        <v>0</v>
      </c>
      <c r="BF38" s="379">
        <f>ROUND(SUMIFS(BS_RE33!$H$7:$H$874,BS_RE33!$S$7:$S$874,$BF$2,BS_RE33!$N$7:$N$874,I38,BS_RE33!$P$7:$P$874,'30 days CF Table(Ccy)'!G38,BS_RE33!$F$7:$F$874,'30 days CF Table(Ccy)'!$C$2),2)</f>
        <v>0</v>
      </c>
      <c r="BG38" s="379">
        <f>ROUND(SUMIFS(BS_RE33!$H$7:$H$874,BS_RE33!$S$7:$S$874,$BG$2,BS_RE33!$N$7:$N$874,I38,BS_RE33!$P$7:$P$874,'30 days CF Table(Ccy)'!G38,BS_RE33!$F$7:$F$874,'30 days CF Table(Ccy)'!$C$2),2)</f>
        <v>0</v>
      </c>
      <c r="BH38" s="379">
        <f>ROUND(SUMIFS(BS_RE33!$H$7:$H$874,BS_RE33!$S$7:$S$874,$BH$2,BS_RE33!$N$7:$N$874,I38,BS_RE33!$P$7:$P$874,'30 days CF Table(Ccy)'!G38,BS_RE33!$F$7:$F$874,'30 days CF Table(Ccy)'!$C$2),2)</f>
        <v>0</v>
      </c>
      <c r="BI38" s="379">
        <f>ROUND(SUMIFS(BS_RE33!$H$7:$H$874,BS_RE33!$S$7:$S$874,$BI$2,BS_RE33!$N$7:$N$874,I38,BS_RE33!$P$7:$P$874,'30 days CF Table(Ccy)'!G38,BS_RE33!$F$7:$F$874,'30 days CF Table(Ccy)'!$C$2),2)</f>
        <v>0</v>
      </c>
      <c r="BJ38" s="379">
        <f>ROUND(SUMIFS(BS_RE33!$H$7:$H$874,BS_RE33!$S$7:$S$874,$BJ$2,BS_RE33!$N$7:$N$874,I38,BS_RE33!$P$7:$P$874,'30 days CF Table(Ccy)'!G38,BS_RE33!$F$7:$F$874,'30 days CF Table(Ccy)'!$C$2),2)</f>
        <v>0</v>
      </c>
      <c r="BK38" s="379">
        <f>ROUND(SUMIFS(BS_RE33!$H$7:$H$874,BS_RE33!$S$7:$S$874,$BK$2,BS_RE33!$N$7:$N$874,I38,BS_RE33!$P$7:$P$874,'30 days CF Table(Ccy)'!G38,BS_RE33!$F$7:$F$874,'30 days CF Table(Ccy)'!$C$2),2)</f>
        <v>0</v>
      </c>
    </row>
    <row r="39" spans="3:63" ht="20.25">
      <c r="C39" s="1029"/>
      <c r="D39" s="520" t="s">
        <v>763</v>
      </c>
      <c r="E39" s="108" t="s">
        <v>753</v>
      </c>
      <c r="F39" s="309"/>
      <c r="G39" s="392" t="s">
        <v>561</v>
      </c>
      <c r="H39" s="314">
        <v>1</v>
      </c>
      <c r="I39" s="315" t="s">
        <v>80</v>
      </c>
      <c r="J39" s="479">
        <f t="shared" si="2"/>
        <v>0</v>
      </c>
      <c r="K39" s="336">
        <f t="shared" si="3"/>
        <v>0</v>
      </c>
      <c r="L39" s="337">
        <f>ROUND(SUMIFS(BS_RE33!$H$7:$H$874,BS_RE33!$S$7:$S$874,$L$2,BS_RE33!$N$7:$N$874,I39,BS_RE33!$P$7:$P$874,'30 days CF Table(Ccy)'!G39,BS_RE33!$F$7:$F$874,'30 days CF Table(Ccy)'!$C$2),2)</f>
        <v>0</v>
      </c>
      <c r="M39" s="337">
        <f>ROUND(SUMIFS(BS_RE33!$H$7:$H$874,BS_RE33!$S$7:$S$874,$M$2,BS_RE33!$N$7:$N$874,I39,BS_RE33!$P$7:$P$874,'30 days CF Table(Ccy)'!G39,BS_RE33!$F$7:$F$874,'30 days CF Table(Ccy)'!$C$2),2)</f>
        <v>0</v>
      </c>
      <c r="N39" s="337">
        <f>ROUND(SUMIFS(BS_RE33!$H$7:$H$874,BS_RE33!$S$7:$S$874,$N$2,BS_RE33!$N$7:$N$874,I39,BS_RE33!$P$7:$P$874,'30 days CF Table(Ccy)'!G39,BS_RE33!$F$7:$F$874,'30 days CF Table(Ccy)'!$C$2),2)</f>
        <v>0</v>
      </c>
      <c r="O39" s="337">
        <f>ROUND(SUMIFS(BS_RE33!$H$7:$H$874,BS_RE33!$S$7:$S$874,$O$2,BS_RE33!$N$7:$N$874,I39,BS_RE33!$P$7:$P$874,'30 days CF Table(Ccy)'!G39,BS_RE33!$F$7:$F$874,'30 days CF Table(Ccy)'!$C$2),2)</f>
        <v>0</v>
      </c>
      <c r="P39" s="337">
        <f>ROUND(SUMIFS(BS_RE33!$H$7:$H$874,BS_RE33!$S$7:$S$874,$P$2,BS_RE33!$N$7:$N$874,I39,BS_RE33!$P$7:$P$874,'30 days CF Table(Ccy)'!G39,BS_RE33!$F$7:$F$874,'30 days CF Table(Ccy)'!$C$2),2)</f>
        <v>0</v>
      </c>
      <c r="Q39" s="337">
        <f>ROUND(SUMIFS(BS_RE33!$H$7:$H$874,BS_RE33!$S$7:$S$874,$Q$2,BS_RE33!$N$7:$N$874,I39,BS_RE33!$P$7:$P$874,'30 days CF Table(Ccy)'!G39,BS_RE33!$F$7:$F$874,'30 days CF Table(Ccy)'!$C$2),2)</f>
        <v>0</v>
      </c>
      <c r="R39" s="337">
        <f>ROUND(SUMIFS(BS_RE33!$H$7:$H$874,BS_RE33!$S$7:$S$874,$R$2,BS_RE33!$N$7:$N$874,I39,BS_RE33!$P$7:$P$874,'30 days CF Table(Ccy)'!G39,BS_RE33!$F$7:$F$874,'30 days CF Table(Ccy)'!$C$2),2)</f>
        <v>0</v>
      </c>
      <c r="S39" s="337">
        <f>ROUND(SUMIFS(BS_RE33!$H$7:$H$874,BS_RE33!$S$7:$S$874,$S$2,BS_RE33!$N$7:$N$874,I39,BS_RE33!$P$7:$P$874,'30 days CF Table(Ccy)'!G39,BS_RE33!$F$7:$F$874,'30 days CF Table(Ccy)'!$C$2),2)</f>
        <v>0</v>
      </c>
      <c r="T39" s="337">
        <f>ROUND(SUMIFS(BS_RE33!$H$7:$H$874,BS_RE33!$S$7:$S$874,$T$2,BS_RE33!$N$7:$N$874,I39,BS_RE33!$P$7:$P$874,'30 days CF Table(Ccy)'!G39,BS_RE33!$F$7:$F$874,'30 days CF Table(Ccy)'!$C$2),2)</f>
        <v>0</v>
      </c>
      <c r="U39" s="337">
        <f>ROUND(SUMIFS(BS_RE33!$H$7:$H$874,BS_RE33!$S$7:$S$874,$U$2,BS_RE33!$N$7:$N$874,I39,BS_RE33!$P$7:$P$874,'30 days CF Table(Ccy)'!G39,BS_RE33!$F$7:$F$874,'30 days CF Table(Ccy)'!$C$2),2)</f>
        <v>0</v>
      </c>
      <c r="V39" s="337">
        <f>ROUND(SUMIFS(BS_RE33!$H$7:$H$874,BS_RE33!$S$7:$S$874,$V$2,BS_RE33!$N$7:$N$874,I39,BS_RE33!$P$7:$P$874,'30 days CF Table(Ccy)'!G39,BS_RE33!$F$7:$F$874,'30 days CF Table(Ccy)'!$C$2),2)</f>
        <v>0</v>
      </c>
      <c r="W39" s="337">
        <f>ROUND(SUMIFS(BS_RE33!$H$7:$H$874,BS_RE33!$S$7:$S$874,$W$2,BS_RE33!$N$7:$N$874,I39,BS_RE33!$P$7:$P$874,'30 days CF Table(Ccy)'!G39,BS_RE33!$F$7:$F$874,'30 days CF Table(Ccy)'!$C$2),2)</f>
        <v>0</v>
      </c>
      <c r="X39" s="337">
        <f>ROUND(SUMIFS(BS_RE33!$H$7:$H$874,BS_RE33!$S$7:$S$874,$X$2,BS_RE33!$N$7:$N$874,I39,BS_RE33!$P$7:$P$874,'30 days CF Table(Ccy)'!G39,BS_RE33!$F$7:$F$874,'30 days CF Table(Ccy)'!$C$2),2)</f>
        <v>0</v>
      </c>
      <c r="Y39" s="337">
        <f>ROUND(SUMIFS(BS_RE33!$H$7:$H$874,BS_RE33!$S$7:$S$874,$Y$2,BS_RE33!$N$7:$N$874,I39,BS_RE33!$P$7:$P$874,'30 days CF Table(Ccy)'!G39,BS_RE33!$F$7:$F$874,'30 days CF Table(Ccy)'!$C$2),2)</f>
        <v>0</v>
      </c>
      <c r="Z39" s="337">
        <f>ROUND(SUMIFS(BS_RE33!$H$7:$H$874,BS_RE33!$S$7:$S$874,$Z$2,BS_RE33!$N$7:$N$874,I39,BS_RE33!$P$7:$P$874,'30 days CF Table(Ccy)'!G39,BS_RE33!$F$7:$F$874,'30 days CF Table(Ccy)'!$C$2),2)</f>
        <v>0</v>
      </c>
      <c r="AA39" s="337">
        <f>ROUND(SUMIFS(BS_RE33!$H$7:$H$874,BS_RE33!$S$7:$S$874,$AA$2,BS_RE33!$N$7:$N$874,I39,BS_RE33!$P$7:$P$874,'30 days CF Table(Ccy)'!G39,BS_RE33!$F$7:$F$874,'30 days CF Table(Ccy)'!$C$2),2)</f>
        <v>0</v>
      </c>
      <c r="AB39" s="337">
        <f>ROUND(SUMIFS(BS_RE33!$H$7:$H$874,BS_RE33!$S$7:$S$874,$AB$2,BS_RE33!$N$7:$N$874,I39,BS_RE33!$P$7:$P$874,'30 days CF Table(Ccy)'!G39,BS_RE33!$F$7:$F$874,'30 days CF Table(Ccy)'!$C$2),2)</f>
        <v>0</v>
      </c>
      <c r="AC39" s="337">
        <f>ROUND(SUMIFS(BS_RE33!$H$7:$H$874,BS_RE33!$S$7:$S$874,$AC$2,BS_RE33!$N$7:$N$874,I39,BS_RE33!$P$7:$P$874,'30 days CF Table(Ccy)'!G39,BS_RE33!$F$7:$F$874,'30 days CF Table(Ccy)'!$C$2),2)</f>
        <v>0</v>
      </c>
      <c r="AD39" s="337">
        <f>ROUND(SUMIFS(BS_RE33!$H$7:$H$874,BS_RE33!$S$7:$S$874,$AD$2,BS_RE33!$N$7:$N$874,I39,BS_RE33!$P$7:$P$874,'30 days CF Table(Ccy)'!G39,BS_RE33!$F$7:$F$874,'30 days CF Table(Ccy)'!$C$2),2)</f>
        <v>0</v>
      </c>
      <c r="AE39" s="337">
        <f>ROUND(SUMIFS(BS_RE33!$H$7:$H$874,BS_RE33!$S$7:$S$874,$AE$2,BS_RE33!$N$7:$N$874,I39,BS_RE33!$P$7:$P$874,'30 days CF Table(Ccy)'!G39,BS_RE33!$F$7:$F$874,'30 days CF Table(Ccy)'!$C$2),2)</f>
        <v>0</v>
      </c>
      <c r="AF39" s="337">
        <f>ROUND(SUMIFS(BS_RE33!$H$7:$H$874,BS_RE33!$S$7:$S$874,$AF$2,BS_RE33!$N$7:$N$874,I39,BS_RE33!$P$7:$P$874,'30 days CF Table(Ccy)'!G39,BS_RE33!$F$7:$F$874,'30 days CF Table(Ccy)'!$C$2),2)</f>
        <v>0</v>
      </c>
      <c r="AG39" s="337">
        <f>ROUND(SUMIFS(BS_RE33!$H$7:$H$874,BS_RE33!$S$7:$S$874,$AG$2,BS_RE33!$N$7:$N$874,I39,BS_RE33!$P$7:$P$874,'30 days CF Table(Ccy)'!G39,BS_RE33!$F$7:$F$874,'30 days CF Table(Ccy)'!$C$2),2)</f>
        <v>0</v>
      </c>
      <c r="AH39" s="337">
        <f>ROUND(SUMIFS(BS_RE33!$H$7:$H$874,BS_RE33!$S$7:$S$874,$AH$2,BS_RE33!$N$7:$N$874,I39,BS_RE33!$P$7:$P$874,'30 days CF Table(Ccy)'!G39,BS_RE33!$F$7:$F$874,'30 days CF Table(Ccy)'!$C$2),2)</f>
        <v>0</v>
      </c>
      <c r="AI39" s="337">
        <f>ROUND(SUMIFS(BS_RE33!$H$7:$H$874,BS_RE33!$S$7:$S$874,$AI$2,BS_RE33!$N$7:$N$874,I39,BS_RE33!$P$7:$P$874,'30 days CF Table(Ccy)'!G39,BS_RE33!$F$7:$F$874,'30 days CF Table(Ccy)'!$C$2),2)</f>
        <v>0</v>
      </c>
      <c r="AJ39" s="337">
        <f>ROUND(SUMIFS(BS_RE33!$H$7:$H$874,BS_RE33!$S$7:$S$874,$AJ$2,BS_RE33!$N$7:$N$874,I39,BS_RE33!$P$7:$P$874,'30 days CF Table(Ccy)'!G39,BS_RE33!$F$7:$F$874,'30 days CF Table(Ccy)'!$C$2),2)</f>
        <v>0</v>
      </c>
      <c r="AK39" s="337">
        <f>ROUND(SUMIFS(BS_RE33!$H$7:$H$874,BS_RE33!$S$7:$S$874,$AK$2,BS_RE33!$N$7:$N$874,I39,BS_RE33!$P$7:$P$874,'30 days CF Table(Ccy)'!G39,BS_RE33!$F$7:$F$874,'30 days CF Table(Ccy)'!$C$2),2)</f>
        <v>0</v>
      </c>
      <c r="AL39" s="337">
        <f>ROUND(SUMIFS(BS_RE33!$H$7:$H$874,BS_RE33!$S$7:$S$874,$AL$2,BS_RE33!$N$7:$N$874,I39,BS_RE33!$P$7:$P$874,'30 days CF Table(Ccy)'!G39,BS_RE33!$F$7:$F$874,'30 days CF Table(Ccy)'!$C$2),2)</f>
        <v>0</v>
      </c>
      <c r="AM39" s="337">
        <f>ROUND(SUMIFS(BS_RE33!$H$7:$H$874,BS_RE33!$S$7:$S$874,$AM$2,BS_RE33!$N$7:$N$874,I39,BS_RE33!$P$7:$P$874,'30 days CF Table(Ccy)'!G39,BS_RE33!$F$7:$F$874,'30 days CF Table(Ccy)'!$C$2),2)</f>
        <v>0</v>
      </c>
      <c r="AN39" s="337">
        <f>ROUND(SUMIFS(BS_RE33!$H$7:$H$874,BS_RE33!$S$7:$S$874,$AN$2,BS_RE33!$N$7:$N$874,I39,BS_RE33!$P$7:$P$874,'30 days CF Table(Ccy)'!G39,BS_RE33!$F$7:$F$874,'30 days CF Table(Ccy)'!$C$2),2)</f>
        <v>0</v>
      </c>
      <c r="AO39" s="337">
        <f>ROUND(SUMIFS(BS_RE33!$H$7:$H$874,BS_RE33!$S$7:$S$874,$AO$2,BS_RE33!$N$7:$N$874,I39,BS_RE33!$P$7:$P$874,'30 days CF Table(Ccy)'!G39,BS_RE33!$F$7:$F$874,'30 days CF Table(Ccy)'!$C$2),2)</f>
        <v>0</v>
      </c>
      <c r="AP39" s="338">
        <f>ROUND(SUMIFS(BS_RE33!$H$7:$H$874,BS_RE33!$S$7:$S$874,$AP$2,BS_RE33!$N$7:$N$874,I39,BS_RE33!$P$7:$P$874,'30 days CF Table(Ccy)'!G39,BS_RE33!$F$7:$F$874,'30 days CF Table(Ccy)'!$C$2),2)</f>
        <v>0</v>
      </c>
      <c r="AR39" s="379">
        <f>ROUND(SUMIFS(BS_RE33!$H$7:$H$874,BS_RE33!$S$7:$S$874,$AR$2,BS_RE33!$N$7:$N$874,I39,BS_RE33!$P$7:$P$874,'30 days CF Table(Ccy)'!G39,BS_RE33!$F$7:$F$874,'30 days CF Table(Ccy)'!$C$2),2)</f>
        <v>0</v>
      </c>
      <c r="AS39" s="379">
        <f>ROUND(SUMIFS(BS_RE33!$H$7:$H$874,BS_RE33!$S$7:$S$874,$AS$2,BS_RE33!$N$7:$N$874,I39,BS_RE33!$P$7:$P$874,'30 days CF Table(Ccy)'!G39,BS_RE33!$F$7:$F$874,'30 days CF Table(Ccy)'!$C$2),2)</f>
        <v>0</v>
      </c>
      <c r="AT39" s="379">
        <f>ROUND(SUMIFS(BS_RE33!$H$7:$H$874,BS_RE33!$S$7:$S$874,$AT$2,BS_RE33!$N$7:$N$874,I39,BS_RE33!$P$7:$P$874,'30 days CF Table(Ccy)'!G39,BS_RE33!$F$7:$F$874,'30 days CF Table(Ccy)'!$C$2),2)</f>
        <v>0</v>
      </c>
      <c r="AU39" s="379">
        <f>ROUND(SUMIFS(BS_RE33!$H$7:$H$874,BS_RE33!$S$7:$S$874,$AU$2,BS_RE33!$N$7:$N$874,I39,BS_RE33!$P$7:$P$874,'30 days CF Table(Ccy)'!G39,BS_RE33!$F$7:$F$874,'30 days CF Table(Ccy)'!$C$2),2)</f>
        <v>0</v>
      </c>
      <c r="AV39" s="379">
        <f>ROUND(SUMIFS(BS_RE33!$H$7:$H$874,BS_RE33!$S$7:$S$874,$AV$2,BS_RE33!$N$7:$N$874,I39,BS_RE33!$P$7:$P$874,'30 days CF Table(Ccy)'!G39,BS_RE33!$F$7:$F$874,'30 days CF Table(Ccy)'!$C$2),2)</f>
        <v>0</v>
      </c>
      <c r="AW39" s="379">
        <f>ROUND(SUMIFS(BS_RE33!$H$7:$H$874,BS_RE33!$S$7:$S$874,$AW$2,BS_RE33!$N$7:$N$874,I39,BS_RE33!$P$7:$P$874,'30 days CF Table(Ccy)'!G39,BS_RE33!$F$7:$F$874,'30 days CF Table(Ccy)'!$C$2),2)</f>
        <v>0</v>
      </c>
      <c r="AX39" s="379">
        <f>ROUND(SUMIFS(BS_RE33!$H$7:$H$874,BS_RE33!$S$7:$S$874,$AX$2,BS_RE33!$N$7:$N$874,I39,BS_RE33!$P$7:$P$874,'30 days CF Table(Ccy)'!G39,BS_RE33!$F$7:$F$874,'30 days CF Table(Ccy)'!$C$2),2)</f>
        <v>0</v>
      </c>
      <c r="AY39" s="379">
        <f>ROUND(SUMIFS(BS_RE33!$H$7:$H$874,BS_RE33!$S$7:$S$874,$AY$2,BS_RE33!$N$7:$N$874,I39,BS_RE33!$P$7:$P$874,'30 days CF Table(Ccy)'!G39,BS_RE33!$F$7:$F$874,'30 days CF Table(Ccy)'!$C$2),2)</f>
        <v>0</v>
      </c>
      <c r="AZ39" s="379">
        <f>ROUND(SUMIFS(BS_RE33!$H$7:$H$874,BS_RE33!$S$7:$S$874,$AZ$2,BS_RE33!$N$7:$N$874,I39,BS_RE33!$P$7:$P$874,'30 days CF Table(Ccy)'!G39,BS_RE33!$F$7:$F$874,'30 days CF Table(Ccy)'!$C$2),2)</f>
        <v>0</v>
      </c>
      <c r="BA39" s="379">
        <f>ROUND(SUMIFS(BS_RE33!$H$7:$H$874,BS_RE33!$S$7:$S$874,$BA$2,BS_RE33!$N$7:$N$874,I39,BS_RE33!$P$7:$P$874,'30 days CF Table(Ccy)'!G39,BS_RE33!$F$7:$F$874,'30 days CF Table(Ccy)'!$C$2),2)</f>
        <v>0</v>
      </c>
      <c r="BB39" s="379">
        <f>ROUND(SUMIFS(BS_RE33!$H$7:$H$874,BS_RE33!$S$7:$S$874,$BB$2,BS_RE33!$N$7:$N$874,I39,BS_RE33!$P$7:$P$874,'30 days CF Table(Ccy)'!G39,BS_RE33!$F$7:$F$874,'30 days CF Table(Ccy)'!$C$2),2)</f>
        <v>0</v>
      </c>
      <c r="BC39" s="379">
        <f>ROUND(SUMIFS(BS_RE33!$H$7:$H$874,BS_RE33!$S$7:$S$874,$BC$2,BS_RE33!$N$7:$N$874,I39,BS_RE33!$P$7:$P$874,'30 days CF Table(Ccy)'!G39,BS_RE33!$F$7:$F$874,'30 days CF Table(Ccy)'!$C$2),2)</f>
        <v>0</v>
      </c>
      <c r="BD39" s="379">
        <f>ROUND(SUMIFS(BS_RE33!$H$7:$H$874,BS_RE33!$S$7:$S$874,$BD$2,BS_RE33!$N$7:$N$874,I39,BS_RE33!$P$7:$P$874,'30 days CF Table(Ccy)'!G39,BS_RE33!$F$7:$F$874,'30 days CF Table(Ccy)'!$C$2),2)</f>
        <v>0</v>
      </c>
      <c r="BE39" s="379">
        <f>ROUND(SUMIFS(BS_RE33!$H$7:$H$874,BS_RE33!$S$7:$S$874,$BE$2,BS_RE33!$N$7:$N$874,I39,BS_RE33!$P$7:$P$874,'30 days CF Table(Ccy)'!G39,BS_RE33!$F$7:$F$874,'30 days CF Table(Ccy)'!$C$2),2)</f>
        <v>0</v>
      </c>
      <c r="BF39" s="379">
        <f>ROUND(SUMIFS(BS_RE33!$H$7:$H$874,BS_RE33!$S$7:$S$874,$BF$2,BS_RE33!$N$7:$N$874,I39,BS_RE33!$P$7:$P$874,'30 days CF Table(Ccy)'!G39,BS_RE33!$F$7:$F$874,'30 days CF Table(Ccy)'!$C$2),2)</f>
        <v>0</v>
      </c>
      <c r="BG39" s="379">
        <f>ROUND(SUMIFS(BS_RE33!$H$7:$H$874,BS_RE33!$S$7:$S$874,$BG$2,BS_RE33!$N$7:$N$874,I39,BS_RE33!$P$7:$P$874,'30 days CF Table(Ccy)'!G39,BS_RE33!$F$7:$F$874,'30 days CF Table(Ccy)'!$C$2),2)</f>
        <v>0</v>
      </c>
      <c r="BH39" s="379">
        <f>ROUND(SUMIFS(BS_RE33!$H$7:$H$874,BS_RE33!$S$7:$S$874,$BH$2,BS_RE33!$N$7:$N$874,I39,BS_RE33!$P$7:$P$874,'30 days CF Table(Ccy)'!G39,BS_RE33!$F$7:$F$874,'30 days CF Table(Ccy)'!$C$2),2)</f>
        <v>0</v>
      </c>
      <c r="BI39" s="379">
        <f>ROUND(SUMIFS(BS_RE33!$H$7:$H$874,BS_RE33!$S$7:$S$874,$BI$2,BS_RE33!$N$7:$N$874,I39,BS_RE33!$P$7:$P$874,'30 days CF Table(Ccy)'!G39,BS_RE33!$F$7:$F$874,'30 days CF Table(Ccy)'!$C$2),2)</f>
        <v>0</v>
      </c>
      <c r="BJ39" s="379">
        <f>ROUND(SUMIFS(BS_RE33!$H$7:$H$874,BS_RE33!$S$7:$S$874,$BJ$2,BS_RE33!$N$7:$N$874,I39,BS_RE33!$P$7:$P$874,'30 days CF Table(Ccy)'!G39,BS_RE33!$F$7:$F$874,'30 days CF Table(Ccy)'!$C$2),2)</f>
        <v>0</v>
      </c>
      <c r="BK39" s="379">
        <f>ROUND(SUMIFS(BS_RE33!$H$7:$H$874,BS_RE33!$S$7:$S$874,$BK$2,BS_RE33!$N$7:$N$874,I39,BS_RE33!$P$7:$P$874,'30 days CF Table(Ccy)'!G39,BS_RE33!$F$7:$F$874,'30 days CF Table(Ccy)'!$C$2),2)</f>
        <v>0</v>
      </c>
    </row>
    <row r="40" spans="3:63" ht="20.25">
      <c r="C40" s="1029"/>
      <c r="D40" s="304" t="s">
        <v>740</v>
      </c>
      <c r="E40" s="105" t="s">
        <v>585</v>
      </c>
      <c r="F40" s="309"/>
      <c r="G40" s="392" t="s">
        <v>754</v>
      </c>
      <c r="H40" s="314">
        <v>1</v>
      </c>
      <c r="I40" s="315" t="s">
        <v>80</v>
      </c>
      <c r="J40" s="479">
        <f t="shared" si="2"/>
        <v>0</v>
      </c>
      <c r="K40" s="336">
        <f t="shared" si="3"/>
        <v>0</v>
      </c>
      <c r="L40" s="337">
        <f>ROUND(SUMIFS(BS_RE33!$H$7:$H$874,BS_RE33!$S$7:$S$874,$L$2,BS_RE33!$N$7:$N$874,I40,BS_RE33!$P$7:$P$874,'30 days CF Table(Ccy)'!G40,BS_RE33!$F$7:$F$874,'30 days CF Table(Ccy)'!$C$2),2)</f>
        <v>0</v>
      </c>
      <c r="M40" s="337">
        <f>ROUND(SUMIFS(BS_RE33!$H$7:$H$874,BS_RE33!$S$7:$S$874,$M$2,BS_RE33!$N$7:$N$874,I40,BS_RE33!$P$7:$P$874,'30 days CF Table(Ccy)'!G40,BS_RE33!$F$7:$F$874,'30 days CF Table(Ccy)'!$C$2),2)</f>
        <v>0</v>
      </c>
      <c r="N40" s="337">
        <f>ROUND(SUMIFS(BS_RE33!$H$7:$H$874,BS_RE33!$S$7:$S$874,$N$2,BS_RE33!$N$7:$N$874,I40,BS_RE33!$P$7:$P$874,'30 days CF Table(Ccy)'!G40,BS_RE33!$F$7:$F$874,'30 days CF Table(Ccy)'!$C$2),2)</f>
        <v>0</v>
      </c>
      <c r="O40" s="337">
        <f>ROUND(SUMIFS(BS_RE33!$H$7:$H$874,BS_RE33!$S$7:$S$874,$O$2,BS_RE33!$N$7:$N$874,I40,BS_RE33!$P$7:$P$874,'30 days CF Table(Ccy)'!G40,BS_RE33!$F$7:$F$874,'30 days CF Table(Ccy)'!$C$2),2)</f>
        <v>0</v>
      </c>
      <c r="P40" s="337">
        <f>ROUND(SUMIFS(BS_RE33!$H$7:$H$874,BS_RE33!$S$7:$S$874,$P$2,BS_RE33!$N$7:$N$874,I40,BS_RE33!$P$7:$P$874,'30 days CF Table(Ccy)'!G40,BS_RE33!$F$7:$F$874,'30 days CF Table(Ccy)'!$C$2),2)</f>
        <v>0</v>
      </c>
      <c r="Q40" s="337">
        <f>ROUND(SUMIFS(BS_RE33!$H$7:$H$874,BS_RE33!$S$7:$S$874,$Q$2,BS_RE33!$N$7:$N$874,I40,BS_RE33!$P$7:$P$874,'30 days CF Table(Ccy)'!G40,BS_RE33!$F$7:$F$874,'30 days CF Table(Ccy)'!$C$2),2)</f>
        <v>0</v>
      </c>
      <c r="R40" s="337">
        <f>ROUND(SUMIFS(BS_RE33!$H$7:$H$874,BS_RE33!$S$7:$S$874,$R$2,BS_RE33!$N$7:$N$874,I40,BS_RE33!$P$7:$P$874,'30 days CF Table(Ccy)'!G40,BS_RE33!$F$7:$F$874,'30 days CF Table(Ccy)'!$C$2),2)</f>
        <v>0</v>
      </c>
      <c r="S40" s="337">
        <f>ROUND(SUMIFS(BS_RE33!$H$7:$H$874,BS_RE33!$S$7:$S$874,$S$2,BS_RE33!$N$7:$N$874,I40,BS_RE33!$P$7:$P$874,'30 days CF Table(Ccy)'!G40,BS_RE33!$F$7:$F$874,'30 days CF Table(Ccy)'!$C$2),2)</f>
        <v>0</v>
      </c>
      <c r="T40" s="337">
        <f>ROUND(SUMIFS(BS_RE33!$H$7:$H$874,BS_RE33!$S$7:$S$874,$T$2,BS_RE33!$N$7:$N$874,I40,BS_RE33!$P$7:$P$874,'30 days CF Table(Ccy)'!G40,BS_RE33!$F$7:$F$874,'30 days CF Table(Ccy)'!$C$2),2)</f>
        <v>0</v>
      </c>
      <c r="U40" s="337">
        <f>ROUND(SUMIFS(BS_RE33!$H$7:$H$874,BS_RE33!$S$7:$S$874,$U$2,BS_RE33!$N$7:$N$874,I40,BS_RE33!$P$7:$P$874,'30 days CF Table(Ccy)'!G40,BS_RE33!$F$7:$F$874,'30 days CF Table(Ccy)'!$C$2),2)</f>
        <v>0</v>
      </c>
      <c r="V40" s="337">
        <f>ROUND(SUMIFS(BS_RE33!$H$7:$H$874,BS_RE33!$S$7:$S$874,$V$2,BS_RE33!$N$7:$N$874,I40,BS_RE33!$P$7:$P$874,'30 days CF Table(Ccy)'!G40,BS_RE33!$F$7:$F$874,'30 days CF Table(Ccy)'!$C$2),2)</f>
        <v>0</v>
      </c>
      <c r="W40" s="337">
        <f>ROUND(SUMIFS(BS_RE33!$H$7:$H$874,BS_RE33!$S$7:$S$874,$W$2,BS_RE33!$N$7:$N$874,I40,BS_RE33!$P$7:$P$874,'30 days CF Table(Ccy)'!G40,BS_RE33!$F$7:$F$874,'30 days CF Table(Ccy)'!$C$2),2)</f>
        <v>0</v>
      </c>
      <c r="X40" s="337">
        <f>ROUND(SUMIFS(BS_RE33!$H$7:$H$874,BS_RE33!$S$7:$S$874,$X$2,BS_RE33!$N$7:$N$874,I40,BS_RE33!$P$7:$P$874,'30 days CF Table(Ccy)'!G40,BS_RE33!$F$7:$F$874,'30 days CF Table(Ccy)'!$C$2),2)</f>
        <v>0</v>
      </c>
      <c r="Y40" s="337">
        <f>ROUND(SUMIFS(BS_RE33!$H$7:$H$874,BS_RE33!$S$7:$S$874,$Y$2,BS_RE33!$N$7:$N$874,I40,BS_RE33!$P$7:$P$874,'30 days CF Table(Ccy)'!G40,BS_RE33!$F$7:$F$874,'30 days CF Table(Ccy)'!$C$2),2)</f>
        <v>0</v>
      </c>
      <c r="Z40" s="337">
        <f>ROUND(SUMIFS(BS_RE33!$H$7:$H$874,BS_RE33!$S$7:$S$874,$Z$2,BS_RE33!$N$7:$N$874,I40,BS_RE33!$P$7:$P$874,'30 days CF Table(Ccy)'!G40,BS_RE33!$F$7:$F$874,'30 days CF Table(Ccy)'!$C$2),2)</f>
        <v>0</v>
      </c>
      <c r="AA40" s="337">
        <f>ROUND(SUMIFS(BS_RE33!$H$7:$H$874,BS_RE33!$S$7:$S$874,$AA$2,BS_RE33!$N$7:$N$874,I40,BS_RE33!$P$7:$P$874,'30 days CF Table(Ccy)'!G40,BS_RE33!$F$7:$F$874,'30 days CF Table(Ccy)'!$C$2),2)</f>
        <v>0</v>
      </c>
      <c r="AB40" s="337">
        <f>ROUND(SUMIFS(BS_RE33!$H$7:$H$874,BS_RE33!$S$7:$S$874,$AB$2,BS_RE33!$N$7:$N$874,I40,BS_RE33!$P$7:$P$874,'30 days CF Table(Ccy)'!G40,BS_RE33!$F$7:$F$874,'30 days CF Table(Ccy)'!$C$2),2)</f>
        <v>0</v>
      </c>
      <c r="AC40" s="337">
        <f>ROUND(SUMIFS(BS_RE33!$H$7:$H$874,BS_RE33!$S$7:$S$874,$AC$2,BS_RE33!$N$7:$N$874,I40,BS_RE33!$P$7:$P$874,'30 days CF Table(Ccy)'!G40,BS_RE33!$F$7:$F$874,'30 days CF Table(Ccy)'!$C$2),2)</f>
        <v>0</v>
      </c>
      <c r="AD40" s="337">
        <f>ROUND(SUMIFS(BS_RE33!$H$7:$H$874,BS_RE33!$S$7:$S$874,$AD$2,BS_RE33!$N$7:$N$874,I40,BS_RE33!$P$7:$P$874,'30 days CF Table(Ccy)'!G40,BS_RE33!$F$7:$F$874,'30 days CF Table(Ccy)'!$C$2),2)</f>
        <v>0</v>
      </c>
      <c r="AE40" s="337">
        <f>ROUND(SUMIFS(BS_RE33!$H$7:$H$874,BS_RE33!$S$7:$S$874,$AE$2,BS_RE33!$N$7:$N$874,I40,BS_RE33!$P$7:$P$874,'30 days CF Table(Ccy)'!G40,BS_RE33!$F$7:$F$874,'30 days CF Table(Ccy)'!$C$2),2)</f>
        <v>0</v>
      </c>
      <c r="AF40" s="337">
        <f>ROUND(SUMIFS(BS_RE33!$H$7:$H$874,BS_RE33!$S$7:$S$874,$AF$2,BS_RE33!$N$7:$N$874,I40,BS_RE33!$P$7:$P$874,'30 days CF Table(Ccy)'!G40,BS_RE33!$F$7:$F$874,'30 days CF Table(Ccy)'!$C$2),2)</f>
        <v>0</v>
      </c>
      <c r="AG40" s="337">
        <f>ROUND(SUMIFS(BS_RE33!$H$7:$H$874,BS_RE33!$S$7:$S$874,$AG$2,BS_RE33!$N$7:$N$874,I40,BS_RE33!$P$7:$P$874,'30 days CF Table(Ccy)'!G40,BS_RE33!$F$7:$F$874,'30 days CF Table(Ccy)'!$C$2),2)</f>
        <v>0</v>
      </c>
      <c r="AH40" s="337">
        <f>ROUND(SUMIFS(BS_RE33!$H$7:$H$874,BS_RE33!$S$7:$S$874,$AH$2,BS_RE33!$N$7:$N$874,I40,BS_RE33!$P$7:$P$874,'30 days CF Table(Ccy)'!G40,BS_RE33!$F$7:$F$874,'30 days CF Table(Ccy)'!$C$2),2)</f>
        <v>0</v>
      </c>
      <c r="AI40" s="337">
        <f>ROUND(SUMIFS(BS_RE33!$H$7:$H$874,BS_RE33!$S$7:$S$874,$AI$2,BS_RE33!$N$7:$N$874,I40,BS_RE33!$P$7:$P$874,'30 days CF Table(Ccy)'!G40,BS_RE33!$F$7:$F$874,'30 days CF Table(Ccy)'!$C$2),2)</f>
        <v>0</v>
      </c>
      <c r="AJ40" s="337">
        <f>ROUND(SUMIFS(BS_RE33!$H$7:$H$874,BS_RE33!$S$7:$S$874,$AJ$2,BS_RE33!$N$7:$N$874,I40,BS_RE33!$P$7:$P$874,'30 days CF Table(Ccy)'!G40,BS_RE33!$F$7:$F$874,'30 days CF Table(Ccy)'!$C$2),2)</f>
        <v>0</v>
      </c>
      <c r="AK40" s="337">
        <f>ROUND(SUMIFS(BS_RE33!$H$7:$H$874,BS_RE33!$S$7:$S$874,$AK$2,BS_RE33!$N$7:$N$874,I40,BS_RE33!$P$7:$P$874,'30 days CF Table(Ccy)'!G40,BS_RE33!$F$7:$F$874,'30 days CF Table(Ccy)'!$C$2),2)</f>
        <v>0</v>
      </c>
      <c r="AL40" s="337">
        <f>ROUND(SUMIFS(BS_RE33!$H$7:$H$874,BS_RE33!$S$7:$S$874,$AL$2,BS_RE33!$N$7:$N$874,I40,BS_RE33!$P$7:$P$874,'30 days CF Table(Ccy)'!G40,BS_RE33!$F$7:$F$874,'30 days CF Table(Ccy)'!$C$2),2)</f>
        <v>0</v>
      </c>
      <c r="AM40" s="337">
        <f>ROUND(SUMIFS(BS_RE33!$H$7:$H$874,BS_RE33!$S$7:$S$874,$AM$2,BS_RE33!$N$7:$N$874,I40,BS_RE33!$P$7:$P$874,'30 days CF Table(Ccy)'!G40,BS_RE33!$F$7:$F$874,'30 days CF Table(Ccy)'!$C$2),2)</f>
        <v>0</v>
      </c>
      <c r="AN40" s="337">
        <f>ROUND(SUMIFS(BS_RE33!$H$7:$H$874,BS_RE33!$S$7:$S$874,$AN$2,BS_RE33!$N$7:$N$874,I40,BS_RE33!$P$7:$P$874,'30 days CF Table(Ccy)'!G40,BS_RE33!$F$7:$F$874,'30 days CF Table(Ccy)'!$C$2),2)</f>
        <v>0</v>
      </c>
      <c r="AO40" s="337">
        <f>ROUND(SUMIFS(BS_RE33!$H$7:$H$874,BS_RE33!$S$7:$S$874,$AO$2,BS_RE33!$N$7:$N$874,I40,BS_RE33!$P$7:$P$874,'30 days CF Table(Ccy)'!G40,BS_RE33!$F$7:$F$874,'30 days CF Table(Ccy)'!$C$2),2)</f>
        <v>0</v>
      </c>
      <c r="AP40" s="338">
        <f>ROUND(SUMIFS(BS_RE33!$H$7:$H$874,BS_RE33!$S$7:$S$874,$AP$2,BS_RE33!$N$7:$N$874,I40,BS_RE33!$P$7:$P$874,'30 days CF Table(Ccy)'!G40,BS_RE33!$F$7:$F$874,'30 days CF Table(Ccy)'!$C$2),2)</f>
        <v>0</v>
      </c>
      <c r="AR40" s="379">
        <f>ROUND(SUMIFS(BS_RE33!$H$7:$H$874,BS_RE33!$S$7:$S$874,$AR$2,BS_RE33!$N$7:$N$874,I40,BS_RE33!$P$7:$P$874,'30 days CF Table(Ccy)'!G40,BS_RE33!$F$7:$F$874,'30 days CF Table(Ccy)'!$C$2),2)</f>
        <v>0</v>
      </c>
      <c r="AS40" s="379">
        <f>ROUND(SUMIFS(BS_RE33!$H$7:$H$874,BS_RE33!$S$7:$S$874,$AS$2,BS_RE33!$N$7:$N$874,I40,BS_RE33!$P$7:$P$874,'30 days CF Table(Ccy)'!G40,BS_RE33!$F$7:$F$874,'30 days CF Table(Ccy)'!$C$2),2)</f>
        <v>0</v>
      </c>
      <c r="AT40" s="379">
        <f>ROUND(SUMIFS(BS_RE33!$H$7:$H$874,BS_RE33!$S$7:$S$874,$AT$2,BS_RE33!$N$7:$N$874,I40,BS_RE33!$P$7:$P$874,'30 days CF Table(Ccy)'!G40,BS_RE33!$F$7:$F$874,'30 days CF Table(Ccy)'!$C$2),2)</f>
        <v>0</v>
      </c>
      <c r="AU40" s="379">
        <f>ROUND(SUMIFS(BS_RE33!$H$7:$H$874,BS_RE33!$S$7:$S$874,$AU$2,BS_RE33!$N$7:$N$874,I40,BS_RE33!$P$7:$P$874,'30 days CF Table(Ccy)'!G40,BS_RE33!$F$7:$F$874,'30 days CF Table(Ccy)'!$C$2),2)</f>
        <v>0</v>
      </c>
      <c r="AV40" s="379">
        <f>ROUND(SUMIFS(BS_RE33!$H$7:$H$874,BS_RE33!$S$7:$S$874,$AV$2,BS_RE33!$N$7:$N$874,I40,BS_RE33!$P$7:$P$874,'30 days CF Table(Ccy)'!G40,BS_RE33!$F$7:$F$874,'30 days CF Table(Ccy)'!$C$2),2)</f>
        <v>0</v>
      </c>
      <c r="AW40" s="379">
        <f>ROUND(SUMIFS(BS_RE33!$H$7:$H$874,BS_RE33!$S$7:$S$874,$AW$2,BS_RE33!$N$7:$N$874,I40,BS_RE33!$P$7:$P$874,'30 days CF Table(Ccy)'!G40,BS_RE33!$F$7:$F$874,'30 days CF Table(Ccy)'!$C$2),2)</f>
        <v>0</v>
      </c>
      <c r="AX40" s="379">
        <f>ROUND(SUMIFS(BS_RE33!$H$7:$H$874,BS_RE33!$S$7:$S$874,$AX$2,BS_RE33!$N$7:$N$874,I40,BS_RE33!$P$7:$P$874,'30 days CF Table(Ccy)'!G40,BS_RE33!$F$7:$F$874,'30 days CF Table(Ccy)'!$C$2),2)</f>
        <v>0</v>
      </c>
      <c r="AY40" s="379">
        <f>ROUND(SUMIFS(BS_RE33!$H$7:$H$874,BS_RE33!$S$7:$S$874,$AY$2,BS_RE33!$N$7:$N$874,I40,BS_RE33!$P$7:$P$874,'30 days CF Table(Ccy)'!G40,BS_RE33!$F$7:$F$874,'30 days CF Table(Ccy)'!$C$2),2)</f>
        <v>0</v>
      </c>
      <c r="AZ40" s="379">
        <f>ROUND(SUMIFS(BS_RE33!$H$7:$H$874,BS_RE33!$S$7:$S$874,$AZ$2,BS_RE33!$N$7:$N$874,I40,BS_RE33!$P$7:$P$874,'30 days CF Table(Ccy)'!G40,BS_RE33!$F$7:$F$874,'30 days CF Table(Ccy)'!$C$2),2)</f>
        <v>0</v>
      </c>
      <c r="BA40" s="379">
        <f>ROUND(SUMIFS(BS_RE33!$H$7:$H$874,BS_RE33!$S$7:$S$874,$BA$2,BS_RE33!$N$7:$N$874,I40,BS_RE33!$P$7:$P$874,'30 days CF Table(Ccy)'!G40,BS_RE33!$F$7:$F$874,'30 days CF Table(Ccy)'!$C$2),2)</f>
        <v>0</v>
      </c>
      <c r="BB40" s="379">
        <f>ROUND(SUMIFS(BS_RE33!$H$7:$H$874,BS_RE33!$S$7:$S$874,$BB$2,BS_RE33!$N$7:$N$874,I40,BS_RE33!$P$7:$P$874,'30 days CF Table(Ccy)'!G40,BS_RE33!$F$7:$F$874,'30 days CF Table(Ccy)'!$C$2),2)</f>
        <v>0</v>
      </c>
      <c r="BC40" s="379">
        <f>ROUND(SUMIFS(BS_RE33!$H$7:$H$874,BS_RE33!$S$7:$S$874,$BC$2,BS_RE33!$N$7:$N$874,I40,BS_RE33!$P$7:$P$874,'30 days CF Table(Ccy)'!G40,BS_RE33!$F$7:$F$874,'30 days CF Table(Ccy)'!$C$2),2)</f>
        <v>0</v>
      </c>
      <c r="BD40" s="379">
        <f>ROUND(SUMIFS(BS_RE33!$H$7:$H$874,BS_RE33!$S$7:$S$874,$BD$2,BS_RE33!$N$7:$N$874,I40,BS_RE33!$P$7:$P$874,'30 days CF Table(Ccy)'!G40,BS_RE33!$F$7:$F$874,'30 days CF Table(Ccy)'!$C$2),2)</f>
        <v>0</v>
      </c>
      <c r="BE40" s="379">
        <f>ROUND(SUMIFS(BS_RE33!$H$7:$H$874,BS_RE33!$S$7:$S$874,$BE$2,BS_RE33!$N$7:$N$874,I40,BS_RE33!$P$7:$P$874,'30 days CF Table(Ccy)'!G40,BS_RE33!$F$7:$F$874,'30 days CF Table(Ccy)'!$C$2),2)</f>
        <v>0</v>
      </c>
      <c r="BF40" s="379">
        <f>ROUND(SUMIFS(BS_RE33!$H$7:$H$874,BS_RE33!$S$7:$S$874,$BF$2,BS_RE33!$N$7:$N$874,I40,BS_RE33!$P$7:$P$874,'30 days CF Table(Ccy)'!G40,BS_RE33!$F$7:$F$874,'30 days CF Table(Ccy)'!$C$2),2)</f>
        <v>0</v>
      </c>
      <c r="BG40" s="379">
        <f>ROUND(SUMIFS(BS_RE33!$H$7:$H$874,BS_RE33!$S$7:$S$874,$BG$2,BS_RE33!$N$7:$N$874,I40,BS_RE33!$P$7:$P$874,'30 days CF Table(Ccy)'!G40,BS_RE33!$F$7:$F$874,'30 days CF Table(Ccy)'!$C$2),2)</f>
        <v>0</v>
      </c>
      <c r="BH40" s="379">
        <f>ROUND(SUMIFS(BS_RE33!$H$7:$H$874,BS_RE33!$S$7:$S$874,$BH$2,BS_RE33!$N$7:$N$874,I40,BS_RE33!$P$7:$P$874,'30 days CF Table(Ccy)'!G40,BS_RE33!$F$7:$F$874,'30 days CF Table(Ccy)'!$C$2),2)</f>
        <v>0</v>
      </c>
      <c r="BI40" s="379">
        <f>ROUND(SUMIFS(BS_RE33!$H$7:$H$874,BS_RE33!$S$7:$S$874,$BI$2,BS_RE33!$N$7:$N$874,I40,BS_RE33!$P$7:$P$874,'30 days CF Table(Ccy)'!G40,BS_RE33!$F$7:$F$874,'30 days CF Table(Ccy)'!$C$2),2)</f>
        <v>0</v>
      </c>
      <c r="BJ40" s="379">
        <f>ROUND(SUMIFS(BS_RE33!$H$7:$H$874,BS_RE33!$S$7:$S$874,$BJ$2,BS_RE33!$N$7:$N$874,I40,BS_RE33!$P$7:$P$874,'30 days CF Table(Ccy)'!G40,BS_RE33!$F$7:$F$874,'30 days CF Table(Ccy)'!$C$2),2)</f>
        <v>0</v>
      </c>
      <c r="BK40" s="379">
        <f>ROUND(SUMIFS(BS_RE33!$H$7:$H$874,BS_RE33!$S$7:$S$874,$BK$2,BS_RE33!$N$7:$N$874,I40,BS_RE33!$P$7:$P$874,'30 days CF Table(Ccy)'!G40,BS_RE33!$F$7:$F$874,'30 days CF Table(Ccy)'!$C$2),2)</f>
        <v>0</v>
      </c>
    </row>
    <row r="41" spans="3:63">
      <c r="C41" s="1029"/>
      <c r="D41" s="1041" t="s">
        <v>764</v>
      </c>
      <c r="E41" s="108" t="s">
        <v>87</v>
      </c>
      <c r="F41" s="309"/>
      <c r="G41" s="392" t="s">
        <v>525</v>
      </c>
      <c r="H41" s="314">
        <v>1</v>
      </c>
      <c r="I41" s="315" t="s">
        <v>80</v>
      </c>
      <c r="J41" s="479">
        <f t="shared" si="2"/>
        <v>0</v>
      </c>
      <c r="K41" s="336">
        <f t="shared" si="3"/>
        <v>0</v>
      </c>
      <c r="L41" s="337">
        <f>ROUND(SUMIFS(BS_RE33!$H$7:$H$874,BS_RE33!$S$7:$S$874,$L$2,BS_RE33!$N$7:$N$874,I41,BS_RE33!$P$7:$P$874,'30 days CF Table(Ccy)'!G41,BS_RE33!$F$7:$F$874,'30 days CF Table(Ccy)'!$C$2),2)</f>
        <v>0</v>
      </c>
      <c r="M41" s="337">
        <f>ROUND(SUMIFS(BS_RE33!$H$7:$H$874,BS_RE33!$S$7:$S$874,$M$2,BS_RE33!$N$7:$N$874,I41,BS_RE33!$P$7:$P$874,'30 days CF Table(Ccy)'!G41,BS_RE33!$F$7:$F$874,'30 days CF Table(Ccy)'!$C$2),2)</f>
        <v>0</v>
      </c>
      <c r="N41" s="337">
        <f>ROUND(SUMIFS(BS_RE33!$H$7:$H$874,BS_RE33!$S$7:$S$874,$N$2,BS_RE33!$N$7:$N$874,I41,BS_RE33!$P$7:$P$874,'30 days CF Table(Ccy)'!G41,BS_RE33!$F$7:$F$874,'30 days CF Table(Ccy)'!$C$2),2)</f>
        <v>0</v>
      </c>
      <c r="O41" s="337">
        <f>ROUND(SUMIFS(BS_RE33!$H$7:$H$874,BS_RE33!$S$7:$S$874,$O$2,BS_RE33!$N$7:$N$874,I41,BS_RE33!$P$7:$P$874,'30 days CF Table(Ccy)'!G41,BS_RE33!$F$7:$F$874,'30 days CF Table(Ccy)'!$C$2),2)</f>
        <v>0</v>
      </c>
      <c r="P41" s="337">
        <f>ROUND(SUMIFS(BS_RE33!$H$7:$H$874,BS_RE33!$S$7:$S$874,$P$2,BS_RE33!$N$7:$N$874,I41,BS_RE33!$P$7:$P$874,'30 days CF Table(Ccy)'!G41,BS_RE33!$F$7:$F$874,'30 days CF Table(Ccy)'!$C$2),2)</f>
        <v>0</v>
      </c>
      <c r="Q41" s="337">
        <f>ROUND(SUMIFS(BS_RE33!$H$7:$H$874,BS_RE33!$S$7:$S$874,$Q$2,BS_RE33!$N$7:$N$874,I41,BS_RE33!$P$7:$P$874,'30 days CF Table(Ccy)'!G41,BS_RE33!$F$7:$F$874,'30 days CF Table(Ccy)'!$C$2),2)</f>
        <v>0</v>
      </c>
      <c r="R41" s="337">
        <f>ROUND(SUMIFS(BS_RE33!$H$7:$H$874,BS_RE33!$S$7:$S$874,$R$2,BS_RE33!$N$7:$N$874,I41,BS_RE33!$P$7:$P$874,'30 days CF Table(Ccy)'!G41,BS_RE33!$F$7:$F$874,'30 days CF Table(Ccy)'!$C$2),2)</f>
        <v>0</v>
      </c>
      <c r="S41" s="337">
        <f>ROUND(SUMIFS(BS_RE33!$H$7:$H$874,BS_RE33!$S$7:$S$874,$S$2,BS_RE33!$N$7:$N$874,I41,BS_RE33!$P$7:$P$874,'30 days CF Table(Ccy)'!G41,BS_RE33!$F$7:$F$874,'30 days CF Table(Ccy)'!$C$2),2)</f>
        <v>0</v>
      </c>
      <c r="T41" s="337">
        <f>ROUND(SUMIFS(BS_RE33!$H$7:$H$874,BS_RE33!$S$7:$S$874,$T$2,BS_RE33!$N$7:$N$874,I41,BS_RE33!$P$7:$P$874,'30 days CF Table(Ccy)'!G41,BS_RE33!$F$7:$F$874,'30 days CF Table(Ccy)'!$C$2),2)</f>
        <v>0</v>
      </c>
      <c r="U41" s="337">
        <f>ROUND(SUMIFS(BS_RE33!$H$7:$H$874,BS_RE33!$S$7:$S$874,$U$2,BS_RE33!$N$7:$N$874,I41,BS_RE33!$P$7:$P$874,'30 days CF Table(Ccy)'!G41,BS_RE33!$F$7:$F$874,'30 days CF Table(Ccy)'!$C$2),2)</f>
        <v>0</v>
      </c>
      <c r="V41" s="337">
        <f>ROUND(SUMIFS(BS_RE33!$H$7:$H$874,BS_RE33!$S$7:$S$874,$V$2,BS_RE33!$N$7:$N$874,I41,BS_RE33!$P$7:$P$874,'30 days CF Table(Ccy)'!G41,BS_RE33!$F$7:$F$874,'30 days CF Table(Ccy)'!$C$2),2)</f>
        <v>0</v>
      </c>
      <c r="W41" s="337">
        <f>ROUND(SUMIFS(BS_RE33!$H$7:$H$874,BS_RE33!$S$7:$S$874,$W$2,BS_RE33!$N$7:$N$874,I41,BS_RE33!$P$7:$P$874,'30 days CF Table(Ccy)'!G41,BS_RE33!$F$7:$F$874,'30 days CF Table(Ccy)'!$C$2),2)</f>
        <v>0</v>
      </c>
      <c r="X41" s="337">
        <f>ROUND(SUMIFS(BS_RE33!$H$7:$H$874,BS_RE33!$S$7:$S$874,$X$2,BS_RE33!$N$7:$N$874,I41,BS_RE33!$P$7:$P$874,'30 days CF Table(Ccy)'!G41,BS_RE33!$F$7:$F$874,'30 days CF Table(Ccy)'!$C$2),2)</f>
        <v>0</v>
      </c>
      <c r="Y41" s="337">
        <f>ROUND(SUMIFS(BS_RE33!$H$7:$H$874,BS_RE33!$S$7:$S$874,$Y$2,BS_RE33!$N$7:$N$874,I41,BS_RE33!$P$7:$P$874,'30 days CF Table(Ccy)'!G41,BS_RE33!$F$7:$F$874,'30 days CF Table(Ccy)'!$C$2),2)</f>
        <v>0</v>
      </c>
      <c r="Z41" s="337">
        <f>ROUND(SUMIFS(BS_RE33!$H$7:$H$874,BS_RE33!$S$7:$S$874,$Z$2,BS_RE33!$N$7:$N$874,I41,BS_RE33!$P$7:$P$874,'30 days CF Table(Ccy)'!G41,BS_RE33!$F$7:$F$874,'30 days CF Table(Ccy)'!$C$2),2)</f>
        <v>0</v>
      </c>
      <c r="AA41" s="337">
        <f>ROUND(SUMIFS(BS_RE33!$H$7:$H$874,BS_RE33!$S$7:$S$874,$AA$2,BS_RE33!$N$7:$N$874,I41,BS_RE33!$P$7:$P$874,'30 days CF Table(Ccy)'!G41,BS_RE33!$F$7:$F$874,'30 days CF Table(Ccy)'!$C$2),2)</f>
        <v>0</v>
      </c>
      <c r="AB41" s="337">
        <f>ROUND(SUMIFS(BS_RE33!$H$7:$H$874,BS_RE33!$S$7:$S$874,$AB$2,BS_RE33!$N$7:$N$874,I41,BS_RE33!$P$7:$P$874,'30 days CF Table(Ccy)'!G41,BS_RE33!$F$7:$F$874,'30 days CF Table(Ccy)'!$C$2),2)</f>
        <v>0</v>
      </c>
      <c r="AC41" s="337">
        <f>ROUND(SUMIFS(BS_RE33!$H$7:$H$874,BS_RE33!$S$7:$S$874,$AC$2,BS_RE33!$N$7:$N$874,I41,BS_RE33!$P$7:$P$874,'30 days CF Table(Ccy)'!G41,BS_RE33!$F$7:$F$874,'30 days CF Table(Ccy)'!$C$2),2)</f>
        <v>0</v>
      </c>
      <c r="AD41" s="337">
        <f>ROUND(SUMIFS(BS_RE33!$H$7:$H$874,BS_RE33!$S$7:$S$874,$AD$2,BS_RE33!$N$7:$N$874,I41,BS_RE33!$P$7:$P$874,'30 days CF Table(Ccy)'!G41,BS_RE33!$F$7:$F$874,'30 days CF Table(Ccy)'!$C$2),2)</f>
        <v>0</v>
      </c>
      <c r="AE41" s="337">
        <f>ROUND(SUMIFS(BS_RE33!$H$7:$H$874,BS_RE33!$S$7:$S$874,$AE$2,BS_RE33!$N$7:$N$874,I41,BS_RE33!$P$7:$P$874,'30 days CF Table(Ccy)'!G41,BS_RE33!$F$7:$F$874,'30 days CF Table(Ccy)'!$C$2),2)</f>
        <v>0</v>
      </c>
      <c r="AF41" s="337">
        <f>ROUND(SUMIFS(BS_RE33!$H$7:$H$874,BS_RE33!$S$7:$S$874,$AF$2,BS_RE33!$N$7:$N$874,I41,BS_RE33!$P$7:$P$874,'30 days CF Table(Ccy)'!G41,BS_RE33!$F$7:$F$874,'30 days CF Table(Ccy)'!$C$2),2)</f>
        <v>0</v>
      </c>
      <c r="AG41" s="337">
        <f>ROUND(SUMIFS(BS_RE33!$H$7:$H$874,BS_RE33!$S$7:$S$874,$AG$2,BS_RE33!$N$7:$N$874,I41,BS_RE33!$P$7:$P$874,'30 days CF Table(Ccy)'!G41,BS_RE33!$F$7:$F$874,'30 days CF Table(Ccy)'!$C$2),2)</f>
        <v>0</v>
      </c>
      <c r="AH41" s="337">
        <f>ROUND(SUMIFS(BS_RE33!$H$7:$H$874,BS_RE33!$S$7:$S$874,$AH$2,BS_RE33!$N$7:$N$874,I41,BS_RE33!$P$7:$P$874,'30 days CF Table(Ccy)'!G41,BS_RE33!$F$7:$F$874,'30 days CF Table(Ccy)'!$C$2),2)</f>
        <v>0</v>
      </c>
      <c r="AI41" s="337">
        <f>ROUND(SUMIFS(BS_RE33!$H$7:$H$874,BS_RE33!$S$7:$S$874,$AI$2,BS_RE33!$N$7:$N$874,I41,BS_RE33!$P$7:$P$874,'30 days CF Table(Ccy)'!G41,BS_RE33!$F$7:$F$874,'30 days CF Table(Ccy)'!$C$2),2)</f>
        <v>0</v>
      </c>
      <c r="AJ41" s="337">
        <f>ROUND(SUMIFS(BS_RE33!$H$7:$H$874,BS_RE33!$S$7:$S$874,$AJ$2,BS_RE33!$N$7:$N$874,I41,BS_RE33!$P$7:$P$874,'30 days CF Table(Ccy)'!G41,BS_RE33!$F$7:$F$874,'30 days CF Table(Ccy)'!$C$2),2)</f>
        <v>0</v>
      </c>
      <c r="AK41" s="337">
        <f>ROUND(SUMIFS(BS_RE33!$H$7:$H$874,BS_RE33!$S$7:$S$874,$AK$2,BS_RE33!$N$7:$N$874,I41,BS_RE33!$P$7:$P$874,'30 days CF Table(Ccy)'!G41,BS_RE33!$F$7:$F$874,'30 days CF Table(Ccy)'!$C$2),2)</f>
        <v>0</v>
      </c>
      <c r="AL41" s="337">
        <f>ROUND(SUMIFS(BS_RE33!$H$7:$H$874,BS_RE33!$S$7:$S$874,$AL$2,BS_RE33!$N$7:$N$874,I41,BS_RE33!$P$7:$P$874,'30 days CF Table(Ccy)'!G41,BS_RE33!$F$7:$F$874,'30 days CF Table(Ccy)'!$C$2),2)</f>
        <v>0</v>
      </c>
      <c r="AM41" s="337">
        <f>ROUND(SUMIFS(BS_RE33!$H$7:$H$874,BS_RE33!$S$7:$S$874,$AM$2,BS_RE33!$N$7:$N$874,I41,BS_RE33!$P$7:$P$874,'30 days CF Table(Ccy)'!G41,BS_RE33!$F$7:$F$874,'30 days CF Table(Ccy)'!$C$2),2)</f>
        <v>0</v>
      </c>
      <c r="AN41" s="337">
        <f>ROUND(SUMIFS(BS_RE33!$H$7:$H$874,BS_RE33!$S$7:$S$874,$AN$2,BS_RE33!$N$7:$N$874,I41,BS_RE33!$P$7:$P$874,'30 days CF Table(Ccy)'!G41,BS_RE33!$F$7:$F$874,'30 days CF Table(Ccy)'!$C$2),2)</f>
        <v>0</v>
      </c>
      <c r="AO41" s="337">
        <f>ROUND(SUMIFS(BS_RE33!$H$7:$H$874,BS_RE33!$S$7:$S$874,$AO$2,BS_RE33!$N$7:$N$874,I41,BS_RE33!$P$7:$P$874,'30 days CF Table(Ccy)'!G41,BS_RE33!$F$7:$F$874,'30 days CF Table(Ccy)'!$C$2),2)</f>
        <v>0</v>
      </c>
      <c r="AP41" s="338">
        <f>ROUND(SUMIFS(BS_RE33!$H$7:$H$874,BS_RE33!$S$7:$S$874,$AP$2,BS_RE33!$N$7:$N$874,I41,BS_RE33!$P$7:$P$874,'30 days CF Table(Ccy)'!G41,BS_RE33!$F$7:$F$874,'30 days CF Table(Ccy)'!$C$2),2)</f>
        <v>0</v>
      </c>
      <c r="AR41" s="379">
        <f>ROUND(SUMIFS(BS_RE33!$H$7:$H$874,BS_RE33!$S$7:$S$874,$AR$2,BS_RE33!$N$7:$N$874,I41,BS_RE33!$P$7:$P$874,'30 days CF Table(Ccy)'!G41,BS_RE33!$F$7:$F$874,'30 days CF Table(Ccy)'!$C$2),2)</f>
        <v>0</v>
      </c>
      <c r="AS41" s="379">
        <f>ROUND(SUMIFS(BS_RE33!$H$7:$H$874,BS_RE33!$S$7:$S$874,$AS$2,BS_RE33!$N$7:$N$874,I41,BS_RE33!$P$7:$P$874,'30 days CF Table(Ccy)'!G41,BS_RE33!$F$7:$F$874,'30 days CF Table(Ccy)'!$C$2),2)</f>
        <v>0</v>
      </c>
      <c r="AT41" s="379">
        <f>ROUND(SUMIFS(BS_RE33!$H$7:$H$874,BS_RE33!$S$7:$S$874,$AT$2,BS_RE33!$N$7:$N$874,I41,BS_RE33!$P$7:$P$874,'30 days CF Table(Ccy)'!G41,BS_RE33!$F$7:$F$874,'30 days CF Table(Ccy)'!$C$2),2)</f>
        <v>0</v>
      </c>
      <c r="AU41" s="379">
        <f>ROUND(SUMIFS(BS_RE33!$H$7:$H$874,BS_RE33!$S$7:$S$874,$AU$2,BS_RE33!$N$7:$N$874,I41,BS_RE33!$P$7:$P$874,'30 days CF Table(Ccy)'!G41,BS_RE33!$F$7:$F$874,'30 days CF Table(Ccy)'!$C$2),2)</f>
        <v>0</v>
      </c>
      <c r="AV41" s="379">
        <f>ROUND(SUMIFS(BS_RE33!$H$7:$H$874,BS_RE33!$S$7:$S$874,$AV$2,BS_RE33!$N$7:$N$874,I41,BS_RE33!$P$7:$P$874,'30 days CF Table(Ccy)'!G41,BS_RE33!$F$7:$F$874,'30 days CF Table(Ccy)'!$C$2),2)</f>
        <v>0</v>
      </c>
      <c r="AW41" s="379">
        <f>ROUND(SUMIFS(BS_RE33!$H$7:$H$874,BS_RE33!$S$7:$S$874,$AW$2,BS_RE33!$N$7:$N$874,I41,BS_RE33!$P$7:$P$874,'30 days CF Table(Ccy)'!G41,BS_RE33!$F$7:$F$874,'30 days CF Table(Ccy)'!$C$2),2)</f>
        <v>0</v>
      </c>
      <c r="AX41" s="379">
        <f>ROUND(SUMIFS(BS_RE33!$H$7:$H$874,BS_RE33!$S$7:$S$874,$AX$2,BS_RE33!$N$7:$N$874,I41,BS_RE33!$P$7:$P$874,'30 days CF Table(Ccy)'!G41,BS_RE33!$F$7:$F$874,'30 days CF Table(Ccy)'!$C$2),2)</f>
        <v>0</v>
      </c>
      <c r="AY41" s="379">
        <f>ROUND(SUMIFS(BS_RE33!$H$7:$H$874,BS_RE33!$S$7:$S$874,$AY$2,BS_RE33!$N$7:$N$874,I41,BS_RE33!$P$7:$P$874,'30 days CF Table(Ccy)'!G41,BS_RE33!$F$7:$F$874,'30 days CF Table(Ccy)'!$C$2),2)</f>
        <v>0</v>
      </c>
      <c r="AZ41" s="379">
        <f>ROUND(SUMIFS(BS_RE33!$H$7:$H$874,BS_RE33!$S$7:$S$874,$AZ$2,BS_RE33!$N$7:$N$874,I41,BS_RE33!$P$7:$P$874,'30 days CF Table(Ccy)'!G41,BS_RE33!$F$7:$F$874,'30 days CF Table(Ccy)'!$C$2),2)</f>
        <v>0</v>
      </c>
      <c r="BA41" s="379">
        <f>ROUND(SUMIFS(BS_RE33!$H$7:$H$874,BS_RE33!$S$7:$S$874,$BA$2,BS_RE33!$N$7:$N$874,I41,BS_RE33!$P$7:$P$874,'30 days CF Table(Ccy)'!G41,BS_RE33!$F$7:$F$874,'30 days CF Table(Ccy)'!$C$2),2)</f>
        <v>0</v>
      </c>
      <c r="BB41" s="379">
        <f>ROUND(SUMIFS(BS_RE33!$H$7:$H$874,BS_RE33!$S$7:$S$874,$BB$2,BS_RE33!$N$7:$N$874,I41,BS_RE33!$P$7:$P$874,'30 days CF Table(Ccy)'!G41,BS_RE33!$F$7:$F$874,'30 days CF Table(Ccy)'!$C$2),2)</f>
        <v>0</v>
      </c>
      <c r="BC41" s="379">
        <f>ROUND(SUMIFS(BS_RE33!$H$7:$H$874,BS_RE33!$S$7:$S$874,$BC$2,BS_RE33!$N$7:$N$874,I41,BS_RE33!$P$7:$P$874,'30 days CF Table(Ccy)'!G41,BS_RE33!$F$7:$F$874,'30 days CF Table(Ccy)'!$C$2),2)</f>
        <v>0</v>
      </c>
      <c r="BD41" s="379">
        <f>ROUND(SUMIFS(BS_RE33!$H$7:$H$874,BS_RE33!$S$7:$S$874,$BD$2,BS_RE33!$N$7:$N$874,I41,BS_RE33!$P$7:$P$874,'30 days CF Table(Ccy)'!G41,BS_RE33!$F$7:$F$874,'30 days CF Table(Ccy)'!$C$2),2)</f>
        <v>0</v>
      </c>
      <c r="BE41" s="379">
        <f>ROUND(SUMIFS(BS_RE33!$H$7:$H$874,BS_RE33!$S$7:$S$874,$BE$2,BS_RE33!$N$7:$N$874,I41,BS_RE33!$P$7:$P$874,'30 days CF Table(Ccy)'!G41,BS_RE33!$F$7:$F$874,'30 days CF Table(Ccy)'!$C$2),2)</f>
        <v>0</v>
      </c>
      <c r="BF41" s="379">
        <f>ROUND(SUMIFS(BS_RE33!$H$7:$H$874,BS_RE33!$S$7:$S$874,$BF$2,BS_RE33!$N$7:$N$874,I41,BS_RE33!$P$7:$P$874,'30 days CF Table(Ccy)'!G41,BS_RE33!$F$7:$F$874,'30 days CF Table(Ccy)'!$C$2),2)</f>
        <v>0</v>
      </c>
      <c r="BG41" s="379">
        <f>ROUND(SUMIFS(BS_RE33!$H$7:$H$874,BS_RE33!$S$7:$S$874,$BG$2,BS_RE33!$N$7:$N$874,I41,BS_RE33!$P$7:$P$874,'30 days CF Table(Ccy)'!G41,BS_RE33!$F$7:$F$874,'30 days CF Table(Ccy)'!$C$2),2)</f>
        <v>0</v>
      </c>
      <c r="BH41" s="379">
        <f>ROUND(SUMIFS(BS_RE33!$H$7:$H$874,BS_RE33!$S$7:$S$874,$BH$2,BS_RE33!$N$7:$N$874,I41,BS_RE33!$P$7:$P$874,'30 days CF Table(Ccy)'!G41,BS_RE33!$F$7:$F$874,'30 days CF Table(Ccy)'!$C$2),2)</f>
        <v>0</v>
      </c>
      <c r="BI41" s="379">
        <f>ROUND(SUMIFS(BS_RE33!$H$7:$H$874,BS_RE33!$S$7:$S$874,$BI$2,BS_RE33!$N$7:$N$874,I41,BS_RE33!$P$7:$P$874,'30 days CF Table(Ccy)'!G41,BS_RE33!$F$7:$F$874,'30 days CF Table(Ccy)'!$C$2),2)</f>
        <v>0</v>
      </c>
      <c r="BJ41" s="379">
        <f>ROUND(SUMIFS(BS_RE33!$H$7:$H$874,BS_RE33!$S$7:$S$874,$BJ$2,BS_RE33!$N$7:$N$874,I41,BS_RE33!$P$7:$P$874,'30 days CF Table(Ccy)'!G41,BS_RE33!$F$7:$F$874,'30 days CF Table(Ccy)'!$C$2),2)</f>
        <v>0</v>
      </c>
      <c r="BK41" s="379">
        <f>ROUND(SUMIFS(BS_RE33!$H$7:$H$874,BS_RE33!$S$7:$S$874,$BK$2,BS_RE33!$N$7:$N$874,I41,BS_RE33!$P$7:$P$874,'30 days CF Table(Ccy)'!G41,BS_RE33!$F$7:$F$874,'30 days CF Table(Ccy)'!$C$2),2)</f>
        <v>0</v>
      </c>
    </row>
    <row r="42" spans="3:63">
      <c r="C42" s="1029"/>
      <c r="D42" s="1043"/>
      <c r="E42" s="108" t="s">
        <v>564</v>
      </c>
      <c r="F42" s="561"/>
      <c r="G42" s="392" t="s">
        <v>755</v>
      </c>
      <c r="H42" s="314">
        <v>1</v>
      </c>
      <c r="I42" s="315" t="s">
        <v>80</v>
      </c>
      <c r="J42" s="479">
        <f t="shared" si="2"/>
        <v>0</v>
      </c>
      <c r="K42" s="336">
        <f t="shared" si="3"/>
        <v>0</v>
      </c>
      <c r="L42" s="337">
        <f>ROUND(SUMIFS(BS_RE33!$H$7:$H$874,BS_RE33!$S$7:$S$874,$L$2,BS_RE33!$N$7:$N$874,I42,BS_RE33!$P$7:$P$874,'30 days CF Table(Ccy)'!G42,BS_RE33!$F$7:$F$874,'30 days CF Table(Ccy)'!$C$2),2)</f>
        <v>0</v>
      </c>
      <c r="M42" s="337">
        <f>ROUND(SUMIFS(BS_RE33!$H$7:$H$874,BS_RE33!$S$7:$S$874,$M$2,BS_RE33!$N$7:$N$874,I42,BS_RE33!$P$7:$P$874,'30 days CF Table(Ccy)'!G42,BS_RE33!$F$7:$F$874,'30 days CF Table(Ccy)'!$C$2),2)</f>
        <v>0</v>
      </c>
      <c r="N42" s="337">
        <f>ROUND(SUMIFS(BS_RE33!$H$7:$H$874,BS_RE33!$S$7:$S$874,$N$2,BS_RE33!$N$7:$N$874,I42,BS_RE33!$P$7:$P$874,'30 days CF Table(Ccy)'!G42,BS_RE33!$F$7:$F$874,'30 days CF Table(Ccy)'!$C$2),2)</f>
        <v>0</v>
      </c>
      <c r="O42" s="337">
        <f>ROUND(SUMIFS(BS_RE33!$H$7:$H$874,BS_RE33!$S$7:$S$874,$O$2,BS_RE33!$N$7:$N$874,I42,BS_RE33!$P$7:$P$874,'30 days CF Table(Ccy)'!G42,BS_RE33!$F$7:$F$874,'30 days CF Table(Ccy)'!$C$2),2)</f>
        <v>0</v>
      </c>
      <c r="P42" s="337">
        <f>ROUND(SUMIFS(BS_RE33!$H$7:$H$874,BS_RE33!$S$7:$S$874,$P$2,BS_RE33!$N$7:$N$874,I42,BS_RE33!$P$7:$P$874,'30 days CF Table(Ccy)'!G42,BS_RE33!$F$7:$F$874,'30 days CF Table(Ccy)'!$C$2),2)</f>
        <v>0</v>
      </c>
      <c r="Q42" s="337">
        <f>ROUND(SUMIFS(BS_RE33!$H$7:$H$874,BS_RE33!$S$7:$S$874,$Q$2,BS_RE33!$N$7:$N$874,I42,BS_RE33!$P$7:$P$874,'30 days CF Table(Ccy)'!G42,BS_RE33!$F$7:$F$874,'30 days CF Table(Ccy)'!$C$2),2)</f>
        <v>0</v>
      </c>
      <c r="R42" s="337">
        <f>ROUND(SUMIFS(BS_RE33!$H$7:$H$874,BS_RE33!$S$7:$S$874,$R$2,BS_RE33!$N$7:$N$874,I42,BS_RE33!$P$7:$P$874,'30 days CF Table(Ccy)'!G42,BS_RE33!$F$7:$F$874,'30 days CF Table(Ccy)'!$C$2),2)</f>
        <v>0</v>
      </c>
      <c r="S42" s="337">
        <f>ROUND(SUMIFS(BS_RE33!$H$7:$H$874,BS_RE33!$S$7:$S$874,$S$2,BS_RE33!$N$7:$N$874,I42,BS_RE33!$P$7:$P$874,'30 days CF Table(Ccy)'!G42,BS_RE33!$F$7:$F$874,'30 days CF Table(Ccy)'!$C$2),2)</f>
        <v>0</v>
      </c>
      <c r="T42" s="337">
        <f>ROUND(SUMIFS(BS_RE33!$H$7:$H$874,BS_RE33!$S$7:$S$874,$T$2,BS_RE33!$N$7:$N$874,I42,BS_RE33!$P$7:$P$874,'30 days CF Table(Ccy)'!G42,BS_RE33!$F$7:$F$874,'30 days CF Table(Ccy)'!$C$2),2)</f>
        <v>0</v>
      </c>
      <c r="U42" s="337">
        <f>ROUND(SUMIFS(BS_RE33!$H$7:$H$874,BS_RE33!$S$7:$S$874,$U$2,BS_RE33!$N$7:$N$874,I42,BS_RE33!$P$7:$P$874,'30 days CF Table(Ccy)'!G42,BS_RE33!$F$7:$F$874,'30 days CF Table(Ccy)'!$C$2),2)</f>
        <v>0</v>
      </c>
      <c r="V42" s="337">
        <f>ROUND(SUMIFS(BS_RE33!$H$7:$H$874,BS_RE33!$S$7:$S$874,$V$2,BS_RE33!$N$7:$N$874,I42,BS_RE33!$P$7:$P$874,'30 days CF Table(Ccy)'!G42,BS_RE33!$F$7:$F$874,'30 days CF Table(Ccy)'!$C$2),2)</f>
        <v>0</v>
      </c>
      <c r="W42" s="337">
        <f>ROUND(SUMIFS(BS_RE33!$H$7:$H$874,BS_RE33!$S$7:$S$874,$W$2,BS_RE33!$N$7:$N$874,I42,BS_RE33!$P$7:$P$874,'30 days CF Table(Ccy)'!G42,BS_RE33!$F$7:$F$874,'30 days CF Table(Ccy)'!$C$2),2)</f>
        <v>0</v>
      </c>
      <c r="X42" s="337">
        <f>ROUND(SUMIFS(BS_RE33!$H$7:$H$874,BS_RE33!$S$7:$S$874,$X$2,BS_RE33!$N$7:$N$874,I42,BS_RE33!$P$7:$P$874,'30 days CF Table(Ccy)'!G42,BS_RE33!$F$7:$F$874,'30 days CF Table(Ccy)'!$C$2),2)</f>
        <v>0</v>
      </c>
      <c r="Y42" s="337">
        <f>ROUND(SUMIFS(BS_RE33!$H$7:$H$874,BS_RE33!$S$7:$S$874,$Y$2,BS_RE33!$N$7:$N$874,I42,BS_RE33!$P$7:$P$874,'30 days CF Table(Ccy)'!G42,BS_RE33!$F$7:$F$874,'30 days CF Table(Ccy)'!$C$2),2)</f>
        <v>0</v>
      </c>
      <c r="Z42" s="337">
        <f>ROUND(SUMIFS(BS_RE33!$H$7:$H$874,BS_RE33!$S$7:$S$874,$Z$2,BS_RE33!$N$7:$N$874,I42,BS_RE33!$P$7:$P$874,'30 days CF Table(Ccy)'!G42,BS_RE33!$F$7:$F$874,'30 days CF Table(Ccy)'!$C$2),2)</f>
        <v>0</v>
      </c>
      <c r="AA42" s="337">
        <f>ROUND(SUMIFS(BS_RE33!$H$7:$H$874,BS_RE33!$S$7:$S$874,$AA$2,BS_RE33!$N$7:$N$874,I42,BS_RE33!$P$7:$P$874,'30 days CF Table(Ccy)'!G42,BS_RE33!$F$7:$F$874,'30 days CF Table(Ccy)'!$C$2),2)</f>
        <v>0</v>
      </c>
      <c r="AB42" s="337">
        <f>ROUND(SUMIFS(BS_RE33!$H$7:$H$874,BS_RE33!$S$7:$S$874,$AB$2,BS_RE33!$N$7:$N$874,I42,BS_RE33!$P$7:$P$874,'30 days CF Table(Ccy)'!G42,BS_RE33!$F$7:$F$874,'30 days CF Table(Ccy)'!$C$2),2)</f>
        <v>0</v>
      </c>
      <c r="AC42" s="337">
        <f>ROUND(SUMIFS(BS_RE33!$H$7:$H$874,BS_RE33!$S$7:$S$874,$AC$2,BS_RE33!$N$7:$N$874,I42,BS_RE33!$P$7:$P$874,'30 days CF Table(Ccy)'!G42,BS_RE33!$F$7:$F$874,'30 days CF Table(Ccy)'!$C$2),2)</f>
        <v>0</v>
      </c>
      <c r="AD42" s="337">
        <f>ROUND(SUMIFS(BS_RE33!$H$7:$H$874,BS_RE33!$S$7:$S$874,$AD$2,BS_RE33!$N$7:$N$874,I42,BS_RE33!$P$7:$P$874,'30 days CF Table(Ccy)'!G42,BS_RE33!$F$7:$F$874,'30 days CF Table(Ccy)'!$C$2),2)</f>
        <v>0</v>
      </c>
      <c r="AE42" s="337">
        <f>ROUND(SUMIFS(BS_RE33!$H$7:$H$874,BS_RE33!$S$7:$S$874,$AE$2,BS_RE33!$N$7:$N$874,I42,BS_RE33!$P$7:$P$874,'30 days CF Table(Ccy)'!G42,BS_RE33!$F$7:$F$874,'30 days CF Table(Ccy)'!$C$2),2)</f>
        <v>0</v>
      </c>
      <c r="AF42" s="337">
        <f>ROUND(SUMIFS(BS_RE33!$H$7:$H$874,BS_RE33!$S$7:$S$874,$AF$2,BS_RE33!$N$7:$N$874,I42,BS_RE33!$P$7:$P$874,'30 days CF Table(Ccy)'!G42,BS_RE33!$F$7:$F$874,'30 days CF Table(Ccy)'!$C$2),2)</f>
        <v>0</v>
      </c>
      <c r="AG42" s="337">
        <f>ROUND(SUMIFS(BS_RE33!$H$7:$H$874,BS_RE33!$S$7:$S$874,$AG$2,BS_RE33!$N$7:$N$874,I42,BS_RE33!$P$7:$P$874,'30 days CF Table(Ccy)'!G42,BS_RE33!$F$7:$F$874,'30 days CF Table(Ccy)'!$C$2),2)</f>
        <v>0</v>
      </c>
      <c r="AH42" s="337">
        <f>ROUND(SUMIFS(BS_RE33!$H$7:$H$874,BS_RE33!$S$7:$S$874,$AH$2,BS_RE33!$N$7:$N$874,I42,BS_RE33!$P$7:$P$874,'30 days CF Table(Ccy)'!G42,BS_RE33!$F$7:$F$874,'30 days CF Table(Ccy)'!$C$2),2)</f>
        <v>0</v>
      </c>
      <c r="AI42" s="337">
        <f>ROUND(SUMIFS(BS_RE33!$H$7:$H$874,BS_RE33!$S$7:$S$874,$AI$2,BS_RE33!$N$7:$N$874,I42,BS_RE33!$P$7:$P$874,'30 days CF Table(Ccy)'!G42,BS_RE33!$F$7:$F$874,'30 days CF Table(Ccy)'!$C$2),2)</f>
        <v>0</v>
      </c>
      <c r="AJ42" s="337">
        <f>ROUND(SUMIFS(BS_RE33!$H$7:$H$874,BS_RE33!$S$7:$S$874,$AJ$2,BS_RE33!$N$7:$N$874,I42,BS_RE33!$P$7:$P$874,'30 days CF Table(Ccy)'!G42,BS_RE33!$F$7:$F$874,'30 days CF Table(Ccy)'!$C$2),2)</f>
        <v>0</v>
      </c>
      <c r="AK42" s="337">
        <f>ROUND(SUMIFS(BS_RE33!$H$7:$H$874,BS_RE33!$S$7:$S$874,$AK$2,BS_RE33!$N$7:$N$874,I42,BS_RE33!$P$7:$P$874,'30 days CF Table(Ccy)'!G42,BS_RE33!$F$7:$F$874,'30 days CF Table(Ccy)'!$C$2),2)</f>
        <v>0</v>
      </c>
      <c r="AL42" s="337">
        <f>ROUND(SUMIFS(BS_RE33!$H$7:$H$874,BS_RE33!$S$7:$S$874,$AL$2,BS_RE33!$N$7:$N$874,I42,BS_RE33!$P$7:$P$874,'30 days CF Table(Ccy)'!G42,BS_RE33!$F$7:$F$874,'30 days CF Table(Ccy)'!$C$2),2)</f>
        <v>0</v>
      </c>
      <c r="AM42" s="337">
        <f>ROUND(SUMIFS(BS_RE33!$H$7:$H$874,BS_RE33!$S$7:$S$874,$AM$2,BS_RE33!$N$7:$N$874,I42,BS_RE33!$P$7:$P$874,'30 days CF Table(Ccy)'!G42,BS_RE33!$F$7:$F$874,'30 days CF Table(Ccy)'!$C$2),2)</f>
        <v>0</v>
      </c>
      <c r="AN42" s="337">
        <f>ROUND(SUMIFS(BS_RE33!$H$7:$H$874,BS_RE33!$S$7:$S$874,$AN$2,BS_RE33!$N$7:$N$874,I42,BS_RE33!$P$7:$P$874,'30 days CF Table(Ccy)'!G42,BS_RE33!$F$7:$F$874,'30 days CF Table(Ccy)'!$C$2),2)</f>
        <v>0</v>
      </c>
      <c r="AO42" s="337">
        <f>ROUND(SUMIFS(BS_RE33!$H$7:$H$874,BS_RE33!$S$7:$S$874,$AO$2,BS_RE33!$N$7:$N$874,I42,BS_RE33!$P$7:$P$874,'30 days CF Table(Ccy)'!G42,BS_RE33!$F$7:$F$874,'30 days CF Table(Ccy)'!$C$2),2)</f>
        <v>0</v>
      </c>
      <c r="AP42" s="338">
        <f>ROUND(SUMIFS(BS_RE33!$H$7:$H$874,BS_RE33!$S$7:$S$874,$AP$2,BS_RE33!$N$7:$N$874,I42,BS_RE33!$P$7:$P$874,'30 days CF Table(Ccy)'!G42,BS_RE33!$F$7:$F$874,'30 days CF Table(Ccy)'!$C$2),2)</f>
        <v>0</v>
      </c>
      <c r="AR42" s="379">
        <f>ROUND(SUMIFS(BS_RE33!$H$7:$H$874,BS_RE33!$S$7:$S$874,$AR$2,BS_RE33!$N$7:$N$874,I42,BS_RE33!$P$7:$P$874,'30 days CF Table(Ccy)'!G42,BS_RE33!$F$7:$F$874,'30 days CF Table(Ccy)'!$C$2),2)</f>
        <v>0</v>
      </c>
      <c r="AS42" s="379">
        <f>ROUND(SUMIFS(BS_RE33!$H$7:$H$874,BS_RE33!$S$7:$S$874,$AS$2,BS_RE33!$N$7:$N$874,I42,BS_RE33!$P$7:$P$874,'30 days CF Table(Ccy)'!G42,BS_RE33!$F$7:$F$874,'30 days CF Table(Ccy)'!$C$2),2)</f>
        <v>0</v>
      </c>
      <c r="AT42" s="379">
        <f>ROUND(SUMIFS(BS_RE33!$H$7:$H$874,BS_RE33!$S$7:$S$874,$AT$2,BS_RE33!$N$7:$N$874,I42,BS_RE33!$P$7:$P$874,'30 days CF Table(Ccy)'!G42,BS_RE33!$F$7:$F$874,'30 days CF Table(Ccy)'!$C$2),2)</f>
        <v>0</v>
      </c>
      <c r="AU42" s="379">
        <f>ROUND(SUMIFS(BS_RE33!$H$7:$H$874,BS_RE33!$S$7:$S$874,$AU$2,BS_RE33!$N$7:$N$874,I42,BS_RE33!$P$7:$P$874,'30 days CF Table(Ccy)'!G42,BS_RE33!$F$7:$F$874,'30 days CF Table(Ccy)'!$C$2),2)</f>
        <v>0</v>
      </c>
      <c r="AV42" s="379">
        <f>ROUND(SUMIFS(BS_RE33!$H$7:$H$874,BS_RE33!$S$7:$S$874,$AV$2,BS_RE33!$N$7:$N$874,I42,BS_RE33!$P$7:$P$874,'30 days CF Table(Ccy)'!G42,BS_RE33!$F$7:$F$874,'30 days CF Table(Ccy)'!$C$2),2)</f>
        <v>0</v>
      </c>
      <c r="AW42" s="379">
        <f>ROUND(SUMIFS(BS_RE33!$H$7:$H$874,BS_RE33!$S$7:$S$874,$AW$2,BS_RE33!$N$7:$N$874,I42,BS_RE33!$P$7:$P$874,'30 days CF Table(Ccy)'!G42,BS_RE33!$F$7:$F$874,'30 days CF Table(Ccy)'!$C$2),2)</f>
        <v>0</v>
      </c>
      <c r="AX42" s="379">
        <f>ROUND(SUMIFS(BS_RE33!$H$7:$H$874,BS_RE33!$S$7:$S$874,$AX$2,BS_RE33!$N$7:$N$874,I42,BS_RE33!$P$7:$P$874,'30 days CF Table(Ccy)'!G42,BS_RE33!$F$7:$F$874,'30 days CF Table(Ccy)'!$C$2),2)</f>
        <v>0</v>
      </c>
      <c r="AY42" s="379">
        <f>ROUND(SUMIFS(BS_RE33!$H$7:$H$874,BS_RE33!$S$7:$S$874,$AY$2,BS_RE33!$N$7:$N$874,I42,BS_RE33!$P$7:$P$874,'30 days CF Table(Ccy)'!G42,BS_RE33!$F$7:$F$874,'30 days CF Table(Ccy)'!$C$2),2)</f>
        <v>0</v>
      </c>
      <c r="AZ42" s="379">
        <f>ROUND(SUMIFS(BS_RE33!$H$7:$H$874,BS_RE33!$S$7:$S$874,$AZ$2,BS_RE33!$N$7:$N$874,I42,BS_RE33!$P$7:$P$874,'30 days CF Table(Ccy)'!G42,BS_RE33!$F$7:$F$874,'30 days CF Table(Ccy)'!$C$2),2)</f>
        <v>0</v>
      </c>
      <c r="BA42" s="379">
        <f>ROUND(SUMIFS(BS_RE33!$H$7:$H$874,BS_RE33!$S$7:$S$874,$BA$2,BS_RE33!$N$7:$N$874,I42,BS_RE33!$P$7:$P$874,'30 days CF Table(Ccy)'!G42,BS_RE33!$F$7:$F$874,'30 days CF Table(Ccy)'!$C$2),2)</f>
        <v>0</v>
      </c>
      <c r="BB42" s="379">
        <f>ROUND(SUMIFS(BS_RE33!$H$7:$H$874,BS_RE33!$S$7:$S$874,$BB$2,BS_RE33!$N$7:$N$874,I42,BS_RE33!$P$7:$P$874,'30 days CF Table(Ccy)'!G42,BS_RE33!$F$7:$F$874,'30 days CF Table(Ccy)'!$C$2),2)</f>
        <v>0</v>
      </c>
      <c r="BC42" s="379">
        <f>ROUND(SUMIFS(BS_RE33!$H$7:$H$874,BS_RE33!$S$7:$S$874,$BC$2,BS_RE33!$N$7:$N$874,I42,BS_RE33!$P$7:$P$874,'30 days CF Table(Ccy)'!G42,BS_RE33!$F$7:$F$874,'30 days CF Table(Ccy)'!$C$2),2)</f>
        <v>0</v>
      </c>
      <c r="BD42" s="379">
        <f>ROUND(SUMIFS(BS_RE33!$H$7:$H$874,BS_RE33!$S$7:$S$874,$BD$2,BS_RE33!$N$7:$N$874,I42,BS_RE33!$P$7:$P$874,'30 days CF Table(Ccy)'!G42,BS_RE33!$F$7:$F$874,'30 days CF Table(Ccy)'!$C$2),2)</f>
        <v>0</v>
      </c>
      <c r="BE42" s="379">
        <f>ROUND(SUMIFS(BS_RE33!$H$7:$H$874,BS_RE33!$S$7:$S$874,$BE$2,BS_RE33!$N$7:$N$874,I42,BS_RE33!$P$7:$P$874,'30 days CF Table(Ccy)'!G42,BS_RE33!$F$7:$F$874,'30 days CF Table(Ccy)'!$C$2),2)</f>
        <v>0</v>
      </c>
      <c r="BF42" s="379">
        <f>ROUND(SUMIFS(BS_RE33!$H$7:$H$874,BS_RE33!$S$7:$S$874,$BF$2,BS_RE33!$N$7:$N$874,I42,BS_RE33!$P$7:$P$874,'30 days CF Table(Ccy)'!G42,BS_RE33!$F$7:$F$874,'30 days CF Table(Ccy)'!$C$2),2)</f>
        <v>0</v>
      </c>
      <c r="BG42" s="379">
        <f>ROUND(SUMIFS(BS_RE33!$H$7:$H$874,BS_RE33!$S$7:$S$874,$BG$2,BS_RE33!$N$7:$N$874,I42,BS_RE33!$P$7:$P$874,'30 days CF Table(Ccy)'!G42,BS_RE33!$F$7:$F$874,'30 days CF Table(Ccy)'!$C$2),2)</f>
        <v>0</v>
      </c>
      <c r="BH42" s="379">
        <f>ROUND(SUMIFS(BS_RE33!$H$7:$H$874,BS_RE33!$S$7:$S$874,$BH$2,BS_RE33!$N$7:$N$874,I42,BS_RE33!$P$7:$P$874,'30 days CF Table(Ccy)'!G42,BS_RE33!$F$7:$F$874,'30 days CF Table(Ccy)'!$C$2),2)</f>
        <v>0</v>
      </c>
      <c r="BI42" s="379">
        <f>ROUND(SUMIFS(BS_RE33!$H$7:$H$874,BS_RE33!$S$7:$S$874,$BI$2,BS_RE33!$N$7:$N$874,I42,BS_RE33!$P$7:$P$874,'30 days CF Table(Ccy)'!G42,BS_RE33!$F$7:$F$874,'30 days CF Table(Ccy)'!$C$2),2)</f>
        <v>0</v>
      </c>
      <c r="BJ42" s="379">
        <f>ROUND(SUMIFS(BS_RE33!$H$7:$H$874,BS_RE33!$S$7:$S$874,$BJ$2,BS_RE33!$N$7:$N$874,I42,BS_RE33!$P$7:$P$874,'30 days CF Table(Ccy)'!G42,BS_RE33!$F$7:$F$874,'30 days CF Table(Ccy)'!$C$2),2)</f>
        <v>0</v>
      </c>
      <c r="BK42" s="379">
        <f>ROUND(SUMIFS(BS_RE33!$H$7:$H$874,BS_RE33!$S$7:$S$874,$BK$2,BS_RE33!$N$7:$N$874,I42,BS_RE33!$P$7:$P$874,'30 days CF Table(Ccy)'!G42,BS_RE33!$F$7:$F$874,'30 days CF Table(Ccy)'!$C$2),2)</f>
        <v>0</v>
      </c>
    </row>
    <row r="43" spans="3:63">
      <c r="C43" s="1029"/>
      <c r="D43" s="1042"/>
      <c r="E43" s="108" t="s">
        <v>88</v>
      </c>
      <c r="F43" s="309"/>
      <c r="G43" s="392" t="s">
        <v>526</v>
      </c>
      <c r="H43" s="314">
        <v>1</v>
      </c>
      <c r="I43" s="315" t="s">
        <v>80</v>
      </c>
      <c r="J43" s="479">
        <f t="shared" si="2"/>
        <v>0</v>
      </c>
      <c r="K43" s="336">
        <f t="shared" si="3"/>
        <v>0</v>
      </c>
      <c r="L43" s="337">
        <f>ROUND(SUMIFS(BS_RE33!$H$7:$H$874,BS_RE33!$S$7:$S$874,$L$2,BS_RE33!$N$7:$N$874,I43,BS_RE33!$P$7:$P$874,'30 days CF Table(Ccy)'!G43,BS_RE33!$F$7:$F$874,'30 days CF Table(Ccy)'!$C$2),2)</f>
        <v>0</v>
      </c>
      <c r="M43" s="337">
        <f>ROUND(SUMIFS(BS_RE33!$H$7:$H$874,BS_RE33!$S$7:$S$874,$M$2,BS_RE33!$N$7:$N$874,I43,BS_RE33!$P$7:$P$874,'30 days CF Table(Ccy)'!G43,BS_RE33!$F$7:$F$874,'30 days CF Table(Ccy)'!$C$2),2)</f>
        <v>0</v>
      </c>
      <c r="N43" s="337">
        <f>ROUND(SUMIFS(BS_RE33!$H$7:$H$874,BS_RE33!$S$7:$S$874,$N$2,BS_RE33!$N$7:$N$874,I43,BS_RE33!$P$7:$P$874,'30 days CF Table(Ccy)'!G43,BS_RE33!$F$7:$F$874,'30 days CF Table(Ccy)'!$C$2),2)</f>
        <v>0</v>
      </c>
      <c r="O43" s="337">
        <f>ROUND(SUMIFS(BS_RE33!$H$7:$H$874,BS_RE33!$S$7:$S$874,$O$2,BS_RE33!$N$7:$N$874,I43,BS_RE33!$P$7:$P$874,'30 days CF Table(Ccy)'!G43,BS_RE33!$F$7:$F$874,'30 days CF Table(Ccy)'!$C$2),2)</f>
        <v>0</v>
      </c>
      <c r="P43" s="337">
        <f>ROUND(SUMIFS(BS_RE33!$H$7:$H$874,BS_RE33!$S$7:$S$874,$P$2,BS_RE33!$N$7:$N$874,I43,BS_RE33!$P$7:$P$874,'30 days CF Table(Ccy)'!G43,BS_RE33!$F$7:$F$874,'30 days CF Table(Ccy)'!$C$2),2)</f>
        <v>0</v>
      </c>
      <c r="Q43" s="337">
        <f>ROUND(SUMIFS(BS_RE33!$H$7:$H$874,BS_RE33!$S$7:$S$874,$Q$2,BS_RE33!$N$7:$N$874,I43,BS_RE33!$P$7:$P$874,'30 days CF Table(Ccy)'!G43,BS_RE33!$F$7:$F$874,'30 days CF Table(Ccy)'!$C$2),2)</f>
        <v>0</v>
      </c>
      <c r="R43" s="337">
        <f>ROUND(SUMIFS(BS_RE33!$H$7:$H$874,BS_RE33!$S$7:$S$874,$R$2,BS_RE33!$N$7:$N$874,I43,BS_RE33!$P$7:$P$874,'30 days CF Table(Ccy)'!G43,BS_RE33!$F$7:$F$874,'30 days CF Table(Ccy)'!$C$2),2)</f>
        <v>0</v>
      </c>
      <c r="S43" s="337">
        <f>ROUND(SUMIFS(BS_RE33!$H$7:$H$874,BS_RE33!$S$7:$S$874,$S$2,BS_RE33!$N$7:$N$874,I43,BS_RE33!$P$7:$P$874,'30 days CF Table(Ccy)'!G43,BS_RE33!$F$7:$F$874,'30 days CF Table(Ccy)'!$C$2),2)</f>
        <v>0</v>
      </c>
      <c r="T43" s="337">
        <f>ROUND(SUMIFS(BS_RE33!$H$7:$H$874,BS_RE33!$S$7:$S$874,$T$2,BS_RE33!$N$7:$N$874,I43,BS_RE33!$P$7:$P$874,'30 days CF Table(Ccy)'!G43,BS_RE33!$F$7:$F$874,'30 days CF Table(Ccy)'!$C$2),2)</f>
        <v>0</v>
      </c>
      <c r="U43" s="337">
        <f>ROUND(SUMIFS(BS_RE33!$H$7:$H$874,BS_RE33!$S$7:$S$874,$U$2,BS_RE33!$N$7:$N$874,I43,BS_RE33!$P$7:$P$874,'30 days CF Table(Ccy)'!G43,BS_RE33!$F$7:$F$874,'30 days CF Table(Ccy)'!$C$2),2)</f>
        <v>0</v>
      </c>
      <c r="V43" s="337">
        <f>ROUND(SUMIFS(BS_RE33!$H$7:$H$874,BS_RE33!$S$7:$S$874,$V$2,BS_RE33!$N$7:$N$874,I43,BS_RE33!$P$7:$P$874,'30 days CF Table(Ccy)'!G43,BS_RE33!$F$7:$F$874,'30 days CF Table(Ccy)'!$C$2),2)</f>
        <v>0</v>
      </c>
      <c r="W43" s="337">
        <f>ROUND(SUMIFS(BS_RE33!$H$7:$H$874,BS_RE33!$S$7:$S$874,$W$2,BS_RE33!$N$7:$N$874,I43,BS_RE33!$P$7:$P$874,'30 days CF Table(Ccy)'!G43,BS_RE33!$F$7:$F$874,'30 days CF Table(Ccy)'!$C$2),2)</f>
        <v>0</v>
      </c>
      <c r="X43" s="337">
        <f>ROUND(SUMIFS(BS_RE33!$H$7:$H$874,BS_RE33!$S$7:$S$874,$X$2,BS_RE33!$N$7:$N$874,I43,BS_RE33!$P$7:$P$874,'30 days CF Table(Ccy)'!G43,BS_RE33!$F$7:$F$874,'30 days CF Table(Ccy)'!$C$2),2)</f>
        <v>0</v>
      </c>
      <c r="Y43" s="337">
        <f>ROUND(SUMIFS(BS_RE33!$H$7:$H$874,BS_RE33!$S$7:$S$874,$Y$2,BS_RE33!$N$7:$N$874,I43,BS_RE33!$P$7:$P$874,'30 days CF Table(Ccy)'!G43,BS_RE33!$F$7:$F$874,'30 days CF Table(Ccy)'!$C$2),2)</f>
        <v>0</v>
      </c>
      <c r="Z43" s="337">
        <f>ROUND(SUMIFS(BS_RE33!$H$7:$H$874,BS_RE33!$S$7:$S$874,$Z$2,BS_RE33!$N$7:$N$874,I43,BS_RE33!$P$7:$P$874,'30 days CF Table(Ccy)'!G43,BS_RE33!$F$7:$F$874,'30 days CF Table(Ccy)'!$C$2),2)</f>
        <v>0</v>
      </c>
      <c r="AA43" s="337">
        <f>ROUND(SUMIFS(BS_RE33!$H$7:$H$874,BS_RE33!$S$7:$S$874,$AA$2,BS_RE33!$N$7:$N$874,I43,BS_RE33!$P$7:$P$874,'30 days CF Table(Ccy)'!G43,BS_RE33!$F$7:$F$874,'30 days CF Table(Ccy)'!$C$2),2)</f>
        <v>0</v>
      </c>
      <c r="AB43" s="337">
        <f>ROUND(SUMIFS(BS_RE33!$H$7:$H$874,BS_RE33!$S$7:$S$874,$AB$2,BS_RE33!$N$7:$N$874,I43,BS_RE33!$P$7:$P$874,'30 days CF Table(Ccy)'!G43,BS_RE33!$F$7:$F$874,'30 days CF Table(Ccy)'!$C$2),2)</f>
        <v>0</v>
      </c>
      <c r="AC43" s="337">
        <f>ROUND(SUMIFS(BS_RE33!$H$7:$H$874,BS_RE33!$S$7:$S$874,$AC$2,BS_RE33!$N$7:$N$874,I43,BS_RE33!$P$7:$P$874,'30 days CF Table(Ccy)'!G43,BS_RE33!$F$7:$F$874,'30 days CF Table(Ccy)'!$C$2),2)</f>
        <v>0</v>
      </c>
      <c r="AD43" s="337">
        <f>ROUND(SUMIFS(BS_RE33!$H$7:$H$874,BS_RE33!$S$7:$S$874,$AD$2,BS_RE33!$N$7:$N$874,I43,BS_RE33!$P$7:$P$874,'30 days CF Table(Ccy)'!G43,BS_RE33!$F$7:$F$874,'30 days CF Table(Ccy)'!$C$2),2)</f>
        <v>0</v>
      </c>
      <c r="AE43" s="337">
        <f>ROUND(SUMIFS(BS_RE33!$H$7:$H$874,BS_RE33!$S$7:$S$874,$AE$2,BS_RE33!$N$7:$N$874,I43,BS_RE33!$P$7:$P$874,'30 days CF Table(Ccy)'!G43,BS_RE33!$F$7:$F$874,'30 days CF Table(Ccy)'!$C$2),2)</f>
        <v>0</v>
      </c>
      <c r="AF43" s="337">
        <f>ROUND(SUMIFS(BS_RE33!$H$7:$H$874,BS_RE33!$S$7:$S$874,$AF$2,BS_RE33!$N$7:$N$874,I43,BS_RE33!$P$7:$P$874,'30 days CF Table(Ccy)'!G43,BS_RE33!$F$7:$F$874,'30 days CF Table(Ccy)'!$C$2),2)</f>
        <v>0</v>
      </c>
      <c r="AG43" s="337">
        <f>ROUND(SUMIFS(BS_RE33!$H$7:$H$874,BS_RE33!$S$7:$S$874,$AG$2,BS_RE33!$N$7:$N$874,I43,BS_RE33!$P$7:$P$874,'30 days CF Table(Ccy)'!G43,BS_RE33!$F$7:$F$874,'30 days CF Table(Ccy)'!$C$2),2)</f>
        <v>0</v>
      </c>
      <c r="AH43" s="337">
        <f>ROUND(SUMIFS(BS_RE33!$H$7:$H$874,BS_RE33!$S$7:$S$874,$AH$2,BS_RE33!$N$7:$N$874,I43,BS_RE33!$P$7:$P$874,'30 days CF Table(Ccy)'!G43,BS_RE33!$F$7:$F$874,'30 days CF Table(Ccy)'!$C$2),2)</f>
        <v>0</v>
      </c>
      <c r="AI43" s="337">
        <f>ROUND(SUMIFS(BS_RE33!$H$7:$H$874,BS_RE33!$S$7:$S$874,$AI$2,BS_RE33!$N$7:$N$874,I43,BS_RE33!$P$7:$P$874,'30 days CF Table(Ccy)'!G43,BS_RE33!$F$7:$F$874,'30 days CF Table(Ccy)'!$C$2),2)</f>
        <v>0</v>
      </c>
      <c r="AJ43" s="337">
        <f>ROUND(SUMIFS(BS_RE33!$H$7:$H$874,BS_RE33!$S$7:$S$874,$AJ$2,BS_RE33!$N$7:$N$874,I43,BS_RE33!$P$7:$P$874,'30 days CF Table(Ccy)'!G43,BS_RE33!$F$7:$F$874,'30 days CF Table(Ccy)'!$C$2),2)</f>
        <v>0</v>
      </c>
      <c r="AK43" s="337">
        <f>ROUND(SUMIFS(BS_RE33!$H$7:$H$874,BS_RE33!$S$7:$S$874,$AK$2,BS_RE33!$N$7:$N$874,I43,BS_RE33!$P$7:$P$874,'30 days CF Table(Ccy)'!G43,BS_RE33!$F$7:$F$874,'30 days CF Table(Ccy)'!$C$2),2)</f>
        <v>0</v>
      </c>
      <c r="AL43" s="337">
        <f>ROUND(SUMIFS(BS_RE33!$H$7:$H$874,BS_RE33!$S$7:$S$874,$AL$2,BS_RE33!$N$7:$N$874,I43,BS_RE33!$P$7:$P$874,'30 days CF Table(Ccy)'!G43,BS_RE33!$F$7:$F$874,'30 days CF Table(Ccy)'!$C$2),2)</f>
        <v>0</v>
      </c>
      <c r="AM43" s="337">
        <f>ROUND(SUMIFS(BS_RE33!$H$7:$H$874,BS_RE33!$S$7:$S$874,$AM$2,BS_RE33!$N$7:$N$874,I43,BS_RE33!$P$7:$P$874,'30 days CF Table(Ccy)'!G43,BS_RE33!$F$7:$F$874,'30 days CF Table(Ccy)'!$C$2),2)</f>
        <v>0</v>
      </c>
      <c r="AN43" s="337">
        <f>ROUND(SUMIFS(BS_RE33!$H$7:$H$874,BS_RE33!$S$7:$S$874,$AN$2,BS_RE33!$N$7:$N$874,I43,BS_RE33!$P$7:$P$874,'30 days CF Table(Ccy)'!G43,BS_RE33!$F$7:$F$874,'30 days CF Table(Ccy)'!$C$2),2)</f>
        <v>0</v>
      </c>
      <c r="AO43" s="337">
        <f>ROUND(SUMIFS(BS_RE33!$H$7:$H$874,BS_RE33!$S$7:$S$874,$AO$2,BS_RE33!$N$7:$N$874,I43,BS_RE33!$P$7:$P$874,'30 days CF Table(Ccy)'!G43,BS_RE33!$F$7:$F$874,'30 days CF Table(Ccy)'!$C$2),2)</f>
        <v>0</v>
      </c>
      <c r="AP43" s="338">
        <f>ROUND(SUMIFS(BS_RE33!$H$7:$H$874,BS_RE33!$S$7:$S$874,$AP$2,BS_RE33!$N$7:$N$874,I43,BS_RE33!$P$7:$P$874,'30 days CF Table(Ccy)'!G43,BS_RE33!$F$7:$F$874,'30 days CF Table(Ccy)'!$C$2),2)</f>
        <v>0</v>
      </c>
      <c r="AR43" s="379">
        <f>ROUND(SUMIFS(BS_RE33!$H$7:$H$874,BS_RE33!$S$7:$S$874,$AR$2,BS_RE33!$N$7:$N$874,I43,BS_RE33!$P$7:$P$874,'30 days CF Table(Ccy)'!G43,BS_RE33!$F$7:$F$874,'30 days CF Table(Ccy)'!$C$2),2)</f>
        <v>0</v>
      </c>
      <c r="AS43" s="379">
        <f>ROUND(SUMIFS(BS_RE33!$H$7:$H$874,BS_RE33!$S$7:$S$874,$AS$2,BS_RE33!$N$7:$N$874,I43,BS_RE33!$P$7:$P$874,'30 days CF Table(Ccy)'!G43,BS_RE33!$F$7:$F$874,'30 days CF Table(Ccy)'!$C$2),2)</f>
        <v>0</v>
      </c>
      <c r="AT43" s="379">
        <f>ROUND(SUMIFS(BS_RE33!$H$7:$H$874,BS_RE33!$S$7:$S$874,$AT$2,BS_RE33!$N$7:$N$874,I43,BS_RE33!$P$7:$P$874,'30 days CF Table(Ccy)'!G43,BS_RE33!$F$7:$F$874,'30 days CF Table(Ccy)'!$C$2),2)</f>
        <v>0</v>
      </c>
      <c r="AU43" s="379">
        <f>ROUND(SUMIFS(BS_RE33!$H$7:$H$874,BS_RE33!$S$7:$S$874,$AU$2,BS_RE33!$N$7:$N$874,I43,BS_RE33!$P$7:$P$874,'30 days CF Table(Ccy)'!G43,BS_RE33!$F$7:$F$874,'30 days CF Table(Ccy)'!$C$2),2)</f>
        <v>0</v>
      </c>
      <c r="AV43" s="379">
        <f>ROUND(SUMIFS(BS_RE33!$H$7:$H$874,BS_RE33!$S$7:$S$874,$AV$2,BS_RE33!$N$7:$N$874,I43,BS_RE33!$P$7:$P$874,'30 days CF Table(Ccy)'!G43,BS_RE33!$F$7:$F$874,'30 days CF Table(Ccy)'!$C$2),2)</f>
        <v>0</v>
      </c>
      <c r="AW43" s="379">
        <f>ROUND(SUMIFS(BS_RE33!$H$7:$H$874,BS_RE33!$S$7:$S$874,$AW$2,BS_RE33!$N$7:$N$874,I43,BS_RE33!$P$7:$P$874,'30 days CF Table(Ccy)'!G43,BS_RE33!$F$7:$F$874,'30 days CF Table(Ccy)'!$C$2),2)</f>
        <v>0</v>
      </c>
      <c r="AX43" s="379">
        <f>ROUND(SUMIFS(BS_RE33!$H$7:$H$874,BS_RE33!$S$7:$S$874,$AX$2,BS_RE33!$N$7:$N$874,I43,BS_RE33!$P$7:$P$874,'30 days CF Table(Ccy)'!G43,BS_RE33!$F$7:$F$874,'30 days CF Table(Ccy)'!$C$2),2)</f>
        <v>0</v>
      </c>
      <c r="AY43" s="379">
        <f>ROUND(SUMIFS(BS_RE33!$H$7:$H$874,BS_RE33!$S$7:$S$874,$AY$2,BS_RE33!$N$7:$N$874,I43,BS_RE33!$P$7:$P$874,'30 days CF Table(Ccy)'!G43,BS_RE33!$F$7:$F$874,'30 days CF Table(Ccy)'!$C$2),2)</f>
        <v>0</v>
      </c>
      <c r="AZ43" s="379">
        <f>ROUND(SUMIFS(BS_RE33!$H$7:$H$874,BS_RE33!$S$7:$S$874,$AZ$2,BS_RE33!$N$7:$N$874,I43,BS_RE33!$P$7:$P$874,'30 days CF Table(Ccy)'!G43,BS_RE33!$F$7:$F$874,'30 days CF Table(Ccy)'!$C$2),2)</f>
        <v>0</v>
      </c>
      <c r="BA43" s="379">
        <f>ROUND(SUMIFS(BS_RE33!$H$7:$H$874,BS_RE33!$S$7:$S$874,$BA$2,BS_RE33!$N$7:$N$874,I43,BS_RE33!$P$7:$P$874,'30 days CF Table(Ccy)'!G43,BS_RE33!$F$7:$F$874,'30 days CF Table(Ccy)'!$C$2),2)</f>
        <v>0</v>
      </c>
      <c r="BB43" s="379">
        <f>ROUND(SUMIFS(BS_RE33!$H$7:$H$874,BS_RE33!$S$7:$S$874,$BB$2,BS_RE33!$N$7:$N$874,I43,BS_RE33!$P$7:$P$874,'30 days CF Table(Ccy)'!G43,BS_RE33!$F$7:$F$874,'30 days CF Table(Ccy)'!$C$2),2)</f>
        <v>0</v>
      </c>
      <c r="BC43" s="379">
        <f>ROUND(SUMIFS(BS_RE33!$H$7:$H$874,BS_RE33!$S$7:$S$874,$BC$2,BS_RE33!$N$7:$N$874,I43,BS_RE33!$P$7:$P$874,'30 days CF Table(Ccy)'!G43,BS_RE33!$F$7:$F$874,'30 days CF Table(Ccy)'!$C$2),2)</f>
        <v>0</v>
      </c>
      <c r="BD43" s="379">
        <f>ROUND(SUMIFS(BS_RE33!$H$7:$H$874,BS_RE33!$S$7:$S$874,$BD$2,BS_RE33!$N$7:$N$874,I43,BS_RE33!$P$7:$P$874,'30 days CF Table(Ccy)'!G43,BS_RE33!$F$7:$F$874,'30 days CF Table(Ccy)'!$C$2),2)</f>
        <v>0</v>
      </c>
      <c r="BE43" s="379">
        <f>ROUND(SUMIFS(BS_RE33!$H$7:$H$874,BS_RE33!$S$7:$S$874,$BE$2,BS_RE33!$N$7:$N$874,I43,BS_RE33!$P$7:$P$874,'30 days CF Table(Ccy)'!G43,BS_RE33!$F$7:$F$874,'30 days CF Table(Ccy)'!$C$2),2)</f>
        <v>0</v>
      </c>
      <c r="BF43" s="379">
        <f>ROUND(SUMIFS(BS_RE33!$H$7:$H$874,BS_RE33!$S$7:$S$874,$BF$2,BS_RE33!$N$7:$N$874,I43,BS_RE33!$P$7:$P$874,'30 days CF Table(Ccy)'!G43,BS_RE33!$F$7:$F$874,'30 days CF Table(Ccy)'!$C$2),2)</f>
        <v>0</v>
      </c>
      <c r="BG43" s="379">
        <f>ROUND(SUMIFS(BS_RE33!$H$7:$H$874,BS_RE33!$S$7:$S$874,$BG$2,BS_RE33!$N$7:$N$874,I43,BS_RE33!$P$7:$P$874,'30 days CF Table(Ccy)'!G43,BS_RE33!$F$7:$F$874,'30 days CF Table(Ccy)'!$C$2),2)</f>
        <v>0</v>
      </c>
      <c r="BH43" s="379">
        <f>ROUND(SUMIFS(BS_RE33!$H$7:$H$874,BS_RE33!$S$7:$S$874,$BH$2,BS_RE33!$N$7:$N$874,I43,BS_RE33!$P$7:$P$874,'30 days CF Table(Ccy)'!G43,BS_RE33!$F$7:$F$874,'30 days CF Table(Ccy)'!$C$2),2)</f>
        <v>0</v>
      </c>
      <c r="BI43" s="379">
        <f>ROUND(SUMIFS(BS_RE33!$H$7:$H$874,BS_RE33!$S$7:$S$874,$BI$2,BS_RE33!$N$7:$N$874,I43,BS_RE33!$P$7:$P$874,'30 days CF Table(Ccy)'!G43,BS_RE33!$F$7:$F$874,'30 days CF Table(Ccy)'!$C$2),2)</f>
        <v>0</v>
      </c>
      <c r="BJ43" s="379">
        <f>ROUND(SUMIFS(BS_RE33!$H$7:$H$874,BS_RE33!$S$7:$S$874,$BJ$2,BS_RE33!$N$7:$N$874,I43,BS_RE33!$P$7:$P$874,'30 days CF Table(Ccy)'!G43,BS_RE33!$F$7:$F$874,'30 days CF Table(Ccy)'!$C$2),2)</f>
        <v>0</v>
      </c>
      <c r="BK43" s="379">
        <f>ROUND(SUMIFS(BS_RE33!$H$7:$H$874,BS_RE33!$S$7:$S$874,$BK$2,BS_RE33!$N$7:$N$874,I43,BS_RE33!$P$7:$P$874,'30 days CF Table(Ccy)'!G43,BS_RE33!$F$7:$F$874,'30 days CF Table(Ccy)'!$C$2),2)</f>
        <v>0</v>
      </c>
    </row>
    <row r="44" spans="3:63">
      <c r="C44" s="1029"/>
      <c r="D44" s="1038" t="s">
        <v>766</v>
      </c>
      <c r="E44" s="105" t="s">
        <v>582</v>
      </c>
      <c r="F44" s="309"/>
      <c r="G44" s="392" t="s">
        <v>587</v>
      </c>
      <c r="H44" s="314">
        <v>1</v>
      </c>
      <c r="I44" s="315" t="s">
        <v>80</v>
      </c>
      <c r="J44" s="581">
        <f t="shared" si="2"/>
        <v>0</v>
      </c>
      <c r="K44" s="336">
        <f t="shared" si="3"/>
        <v>0</v>
      </c>
      <c r="L44" s="337">
        <f>ROUND(SUMIFS(BS_RE33!$H$7:$H$874,BS_RE33!$S$7:$S$874,$L$2,BS_RE33!$N$7:$N$874,I44,BS_RE33!$P$7:$P$874,'30 days CF Table(Ccy)'!G44,BS_RE33!$F$7:$F$874,'30 days CF Table(Ccy)'!$C$2),2)</f>
        <v>0</v>
      </c>
      <c r="M44" s="337">
        <f>ROUND(SUMIFS(BS_RE33!$H$7:$H$874,BS_RE33!$S$7:$S$874,$M$2,BS_RE33!$N$7:$N$874,I44,BS_RE33!$P$7:$P$874,'30 days CF Table(Ccy)'!G44,BS_RE33!$F$7:$F$874,'30 days CF Table(Ccy)'!$C$2),2)</f>
        <v>0</v>
      </c>
      <c r="N44" s="337">
        <f>ROUND(SUMIFS(BS_RE33!$H$7:$H$874,BS_RE33!$S$7:$S$874,$N$2,BS_RE33!$N$7:$N$874,I44,BS_RE33!$P$7:$P$874,'30 days CF Table(Ccy)'!G44,BS_RE33!$F$7:$F$874,'30 days CF Table(Ccy)'!$C$2),2)</f>
        <v>0</v>
      </c>
      <c r="O44" s="337">
        <f>ROUND(SUMIFS(BS_RE33!$H$7:$H$874,BS_RE33!$S$7:$S$874,$O$2,BS_RE33!$N$7:$N$874,I44,BS_RE33!$P$7:$P$874,'30 days CF Table(Ccy)'!G44,BS_RE33!$F$7:$F$874,'30 days CF Table(Ccy)'!$C$2),2)</f>
        <v>0</v>
      </c>
      <c r="P44" s="337">
        <f>ROUND(SUMIFS(BS_RE33!$H$7:$H$874,BS_RE33!$S$7:$S$874,$P$2,BS_RE33!$N$7:$N$874,I44,BS_RE33!$P$7:$P$874,'30 days CF Table(Ccy)'!G44,BS_RE33!$F$7:$F$874,'30 days CF Table(Ccy)'!$C$2),2)</f>
        <v>0</v>
      </c>
      <c r="Q44" s="337">
        <f>ROUND(SUMIFS(BS_RE33!$H$7:$H$874,BS_RE33!$S$7:$S$874,$Q$2,BS_RE33!$N$7:$N$874,I44,BS_RE33!$P$7:$P$874,'30 days CF Table(Ccy)'!G44,BS_RE33!$F$7:$F$874,'30 days CF Table(Ccy)'!$C$2),2)</f>
        <v>0</v>
      </c>
      <c r="R44" s="337">
        <f>ROUND(SUMIFS(BS_RE33!$H$7:$H$874,BS_RE33!$S$7:$S$874,$R$2,BS_RE33!$N$7:$N$874,I44,BS_RE33!$P$7:$P$874,'30 days CF Table(Ccy)'!G44,BS_RE33!$F$7:$F$874,'30 days CF Table(Ccy)'!$C$2),2)</f>
        <v>0</v>
      </c>
      <c r="S44" s="337">
        <f>ROUND(SUMIFS(BS_RE33!$H$7:$H$874,BS_RE33!$S$7:$S$874,$S$2,BS_RE33!$N$7:$N$874,I44,BS_RE33!$P$7:$P$874,'30 days CF Table(Ccy)'!G44,BS_RE33!$F$7:$F$874,'30 days CF Table(Ccy)'!$C$2),2)</f>
        <v>0</v>
      </c>
      <c r="T44" s="337">
        <f>ROUND(SUMIFS(BS_RE33!$H$7:$H$874,BS_RE33!$S$7:$S$874,$T$2,BS_RE33!$N$7:$N$874,I44,BS_RE33!$P$7:$P$874,'30 days CF Table(Ccy)'!G44,BS_RE33!$F$7:$F$874,'30 days CF Table(Ccy)'!$C$2),2)</f>
        <v>0</v>
      </c>
      <c r="U44" s="337">
        <f>ROUND(SUMIFS(BS_RE33!$H$7:$H$874,BS_RE33!$S$7:$S$874,$U$2,BS_RE33!$N$7:$N$874,I44,BS_RE33!$P$7:$P$874,'30 days CF Table(Ccy)'!G44,BS_RE33!$F$7:$F$874,'30 days CF Table(Ccy)'!$C$2),2)</f>
        <v>0</v>
      </c>
      <c r="V44" s="337">
        <f>ROUND(SUMIFS(BS_RE33!$H$7:$H$874,BS_RE33!$S$7:$S$874,$V$2,BS_RE33!$N$7:$N$874,I44,BS_RE33!$P$7:$P$874,'30 days CF Table(Ccy)'!G44,BS_RE33!$F$7:$F$874,'30 days CF Table(Ccy)'!$C$2),2)</f>
        <v>0</v>
      </c>
      <c r="W44" s="337">
        <f>ROUND(SUMIFS(BS_RE33!$H$7:$H$874,BS_RE33!$S$7:$S$874,$W$2,BS_RE33!$N$7:$N$874,I44,BS_RE33!$P$7:$P$874,'30 days CF Table(Ccy)'!G44,BS_RE33!$F$7:$F$874,'30 days CF Table(Ccy)'!$C$2),2)</f>
        <v>0</v>
      </c>
      <c r="X44" s="337">
        <f>ROUND(SUMIFS(BS_RE33!$H$7:$H$874,BS_RE33!$S$7:$S$874,$X$2,BS_RE33!$N$7:$N$874,I44,BS_RE33!$P$7:$P$874,'30 days CF Table(Ccy)'!G44,BS_RE33!$F$7:$F$874,'30 days CF Table(Ccy)'!$C$2),2)</f>
        <v>0</v>
      </c>
      <c r="Y44" s="337">
        <f>ROUND(SUMIFS(BS_RE33!$H$7:$H$874,BS_RE33!$S$7:$S$874,$Y$2,BS_RE33!$N$7:$N$874,I44,BS_RE33!$P$7:$P$874,'30 days CF Table(Ccy)'!G44,BS_RE33!$F$7:$F$874,'30 days CF Table(Ccy)'!$C$2),2)</f>
        <v>0</v>
      </c>
      <c r="Z44" s="337">
        <f>ROUND(SUMIFS(BS_RE33!$H$7:$H$874,BS_RE33!$S$7:$S$874,$Z$2,BS_RE33!$N$7:$N$874,I44,BS_RE33!$P$7:$P$874,'30 days CF Table(Ccy)'!G44,BS_RE33!$F$7:$F$874,'30 days CF Table(Ccy)'!$C$2),2)</f>
        <v>0</v>
      </c>
      <c r="AA44" s="337">
        <f>ROUND(SUMIFS(BS_RE33!$H$7:$H$874,BS_RE33!$S$7:$S$874,$AA$2,BS_RE33!$N$7:$N$874,I44,BS_RE33!$P$7:$P$874,'30 days CF Table(Ccy)'!G44,BS_RE33!$F$7:$F$874,'30 days CF Table(Ccy)'!$C$2),2)</f>
        <v>0</v>
      </c>
      <c r="AB44" s="337">
        <f>ROUND(SUMIFS(BS_RE33!$H$7:$H$874,BS_RE33!$S$7:$S$874,$AB$2,BS_RE33!$N$7:$N$874,I44,BS_RE33!$P$7:$P$874,'30 days CF Table(Ccy)'!G44,BS_RE33!$F$7:$F$874,'30 days CF Table(Ccy)'!$C$2),2)</f>
        <v>0</v>
      </c>
      <c r="AC44" s="337">
        <f>ROUND(SUMIFS(BS_RE33!$H$7:$H$874,BS_RE33!$S$7:$S$874,$AC$2,BS_RE33!$N$7:$N$874,I44,BS_RE33!$P$7:$P$874,'30 days CF Table(Ccy)'!G44,BS_RE33!$F$7:$F$874,'30 days CF Table(Ccy)'!$C$2),2)</f>
        <v>0</v>
      </c>
      <c r="AD44" s="337">
        <f>ROUND(SUMIFS(BS_RE33!$H$7:$H$874,BS_RE33!$S$7:$S$874,$AD$2,BS_RE33!$N$7:$N$874,I44,BS_RE33!$P$7:$P$874,'30 days CF Table(Ccy)'!G44,BS_RE33!$F$7:$F$874,'30 days CF Table(Ccy)'!$C$2),2)</f>
        <v>0</v>
      </c>
      <c r="AE44" s="337">
        <f>ROUND(SUMIFS(BS_RE33!$H$7:$H$874,BS_RE33!$S$7:$S$874,$AE$2,BS_RE33!$N$7:$N$874,I44,BS_RE33!$P$7:$P$874,'30 days CF Table(Ccy)'!G44,BS_RE33!$F$7:$F$874,'30 days CF Table(Ccy)'!$C$2),2)</f>
        <v>0</v>
      </c>
      <c r="AF44" s="337">
        <f>ROUND(SUMIFS(BS_RE33!$H$7:$H$874,BS_RE33!$S$7:$S$874,$AF$2,BS_RE33!$N$7:$N$874,I44,BS_RE33!$P$7:$P$874,'30 days CF Table(Ccy)'!G44,BS_RE33!$F$7:$F$874,'30 days CF Table(Ccy)'!$C$2),2)</f>
        <v>0</v>
      </c>
      <c r="AG44" s="337">
        <f>ROUND(SUMIFS(BS_RE33!$H$7:$H$874,BS_RE33!$S$7:$S$874,$AG$2,BS_RE33!$N$7:$N$874,I44,BS_RE33!$P$7:$P$874,'30 days CF Table(Ccy)'!G44,BS_RE33!$F$7:$F$874,'30 days CF Table(Ccy)'!$C$2),2)</f>
        <v>0</v>
      </c>
      <c r="AH44" s="337">
        <f>ROUND(SUMIFS(BS_RE33!$H$7:$H$874,BS_RE33!$S$7:$S$874,$AH$2,BS_RE33!$N$7:$N$874,I44,BS_RE33!$P$7:$P$874,'30 days CF Table(Ccy)'!G44,BS_RE33!$F$7:$F$874,'30 days CF Table(Ccy)'!$C$2),2)</f>
        <v>0</v>
      </c>
      <c r="AI44" s="337">
        <f>ROUND(SUMIFS(BS_RE33!$H$7:$H$874,BS_RE33!$S$7:$S$874,$AI$2,BS_RE33!$N$7:$N$874,I44,BS_RE33!$P$7:$P$874,'30 days CF Table(Ccy)'!G44,BS_RE33!$F$7:$F$874,'30 days CF Table(Ccy)'!$C$2),2)</f>
        <v>0</v>
      </c>
      <c r="AJ44" s="337">
        <f>ROUND(SUMIFS(BS_RE33!$H$7:$H$874,BS_RE33!$S$7:$S$874,$AJ$2,BS_RE33!$N$7:$N$874,I44,BS_RE33!$P$7:$P$874,'30 days CF Table(Ccy)'!G44,BS_RE33!$F$7:$F$874,'30 days CF Table(Ccy)'!$C$2),2)</f>
        <v>0</v>
      </c>
      <c r="AK44" s="337">
        <f>ROUND(SUMIFS(BS_RE33!$H$7:$H$874,BS_RE33!$S$7:$S$874,$AK$2,BS_RE33!$N$7:$N$874,I44,BS_RE33!$P$7:$P$874,'30 days CF Table(Ccy)'!G44,BS_RE33!$F$7:$F$874,'30 days CF Table(Ccy)'!$C$2),2)</f>
        <v>0</v>
      </c>
      <c r="AL44" s="337">
        <f>ROUND(SUMIFS(BS_RE33!$H$7:$H$874,BS_RE33!$S$7:$S$874,$AL$2,BS_RE33!$N$7:$N$874,I44,BS_RE33!$P$7:$P$874,'30 days CF Table(Ccy)'!G44,BS_RE33!$F$7:$F$874,'30 days CF Table(Ccy)'!$C$2),2)</f>
        <v>0</v>
      </c>
      <c r="AM44" s="337">
        <f>ROUND(SUMIFS(BS_RE33!$H$7:$H$874,BS_RE33!$S$7:$S$874,$AM$2,BS_RE33!$N$7:$N$874,I44,BS_RE33!$P$7:$P$874,'30 days CF Table(Ccy)'!G44,BS_RE33!$F$7:$F$874,'30 days CF Table(Ccy)'!$C$2),2)</f>
        <v>0</v>
      </c>
      <c r="AN44" s="337">
        <f>ROUND(SUMIFS(BS_RE33!$H$7:$H$874,BS_RE33!$S$7:$S$874,$AN$2,BS_RE33!$N$7:$N$874,I44,BS_RE33!$P$7:$P$874,'30 days CF Table(Ccy)'!G44,BS_RE33!$F$7:$F$874,'30 days CF Table(Ccy)'!$C$2),2)</f>
        <v>0</v>
      </c>
      <c r="AO44" s="337">
        <f>ROUND(SUMIFS(BS_RE33!$H$7:$H$874,BS_RE33!$S$7:$S$874,$AO$2,BS_RE33!$N$7:$N$874,I44,BS_RE33!$P$7:$P$874,'30 days CF Table(Ccy)'!G44,BS_RE33!$F$7:$F$874,'30 days CF Table(Ccy)'!$C$2),2)</f>
        <v>0</v>
      </c>
      <c r="AP44" s="338">
        <f>ROUND(SUMIFS(BS_RE33!$H$7:$H$874,BS_RE33!$S$7:$S$874,$AP$2,BS_RE33!$N$7:$N$874,I44,BS_RE33!$P$7:$P$874,'30 days CF Table(Ccy)'!G44,BS_RE33!$F$7:$F$874,'30 days CF Table(Ccy)'!$C$2),2)</f>
        <v>0</v>
      </c>
      <c r="AR44" s="379">
        <f>ROUND(SUMIFS(BS_RE33!$H$7:$H$874,BS_RE33!$S$7:$S$874,$AR$2,BS_RE33!$N$7:$N$874,I44,BS_RE33!$P$7:$P$874,'30 days CF Table(Ccy)'!G44,BS_RE33!$F$7:$F$874,'30 days CF Table(Ccy)'!$C$2),2)</f>
        <v>0</v>
      </c>
      <c r="AS44" s="379">
        <f>ROUND(SUMIFS(BS_RE33!$H$7:$H$874,BS_RE33!$S$7:$S$874,$AS$2,BS_RE33!$N$7:$N$874,I44,BS_RE33!$P$7:$P$874,'30 days CF Table(Ccy)'!G44,BS_RE33!$F$7:$F$874,'30 days CF Table(Ccy)'!$C$2),2)</f>
        <v>0</v>
      </c>
      <c r="AT44" s="379">
        <f>ROUND(SUMIFS(BS_RE33!$H$7:$H$874,BS_RE33!$S$7:$S$874,$AT$2,BS_RE33!$N$7:$N$874,I44,BS_RE33!$P$7:$P$874,'30 days CF Table(Ccy)'!G44,BS_RE33!$F$7:$F$874,'30 days CF Table(Ccy)'!$C$2),2)</f>
        <v>0</v>
      </c>
      <c r="AU44" s="379">
        <f>ROUND(SUMIFS(BS_RE33!$H$7:$H$874,BS_RE33!$S$7:$S$874,$AU$2,BS_RE33!$N$7:$N$874,I44,BS_RE33!$P$7:$P$874,'30 days CF Table(Ccy)'!G44,BS_RE33!$F$7:$F$874,'30 days CF Table(Ccy)'!$C$2),2)</f>
        <v>0</v>
      </c>
      <c r="AV44" s="379">
        <f>ROUND(SUMIFS(BS_RE33!$H$7:$H$874,BS_RE33!$S$7:$S$874,$AV$2,BS_RE33!$N$7:$N$874,I44,BS_RE33!$P$7:$P$874,'30 days CF Table(Ccy)'!G44,BS_RE33!$F$7:$F$874,'30 days CF Table(Ccy)'!$C$2),2)</f>
        <v>0</v>
      </c>
      <c r="AW44" s="379">
        <f>ROUND(SUMIFS(BS_RE33!$H$7:$H$874,BS_RE33!$S$7:$S$874,$AW$2,BS_RE33!$N$7:$N$874,I44,BS_RE33!$P$7:$P$874,'30 days CF Table(Ccy)'!G44,BS_RE33!$F$7:$F$874,'30 days CF Table(Ccy)'!$C$2),2)</f>
        <v>0</v>
      </c>
      <c r="AX44" s="379">
        <f>ROUND(SUMIFS(BS_RE33!$H$7:$H$874,BS_RE33!$S$7:$S$874,$AX$2,BS_RE33!$N$7:$N$874,I44,BS_RE33!$P$7:$P$874,'30 days CF Table(Ccy)'!G44,BS_RE33!$F$7:$F$874,'30 days CF Table(Ccy)'!$C$2),2)</f>
        <v>0</v>
      </c>
      <c r="AY44" s="379">
        <f>ROUND(SUMIFS(BS_RE33!$H$7:$H$874,BS_RE33!$S$7:$S$874,$AY$2,BS_RE33!$N$7:$N$874,I44,BS_RE33!$P$7:$P$874,'30 days CF Table(Ccy)'!G44,BS_RE33!$F$7:$F$874,'30 days CF Table(Ccy)'!$C$2),2)</f>
        <v>0</v>
      </c>
      <c r="AZ44" s="379">
        <f>ROUND(SUMIFS(BS_RE33!$H$7:$H$874,BS_RE33!$S$7:$S$874,$AZ$2,BS_RE33!$N$7:$N$874,I44,BS_RE33!$P$7:$P$874,'30 days CF Table(Ccy)'!G44,BS_RE33!$F$7:$F$874,'30 days CF Table(Ccy)'!$C$2),2)</f>
        <v>0</v>
      </c>
      <c r="BA44" s="379">
        <f>ROUND(SUMIFS(BS_RE33!$H$7:$H$874,BS_RE33!$S$7:$S$874,$BA$2,BS_RE33!$N$7:$N$874,I44,BS_RE33!$P$7:$P$874,'30 days CF Table(Ccy)'!G44,BS_RE33!$F$7:$F$874,'30 days CF Table(Ccy)'!$C$2),2)</f>
        <v>0</v>
      </c>
      <c r="BB44" s="379">
        <f>ROUND(SUMIFS(BS_RE33!$H$7:$H$874,BS_RE33!$S$7:$S$874,$BB$2,BS_RE33!$N$7:$N$874,I44,BS_RE33!$P$7:$P$874,'30 days CF Table(Ccy)'!G44,BS_RE33!$F$7:$F$874,'30 days CF Table(Ccy)'!$C$2),2)</f>
        <v>0</v>
      </c>
      <c r="BC44" s="379">
        <f>ROUND(SUMIFS(BS_RE33!$H$7:$H$874,BS_RE33!$S$7:$S$874,$BC$2,BS_RE33!$N$7:$N$874,I44,BS_RE33!$P$7:$P$874,'30 days CF Table(Ccy)'!G44,BS_RE33!$F$7:$F$874,'30 days CF Table(Ccy)'!$C$2),2)</f>
        <v>0</v>
      </c>
      <c r="BD44" s="379">
        <f>ROUND(SUMIFS(BS_RE33!$H$7:$H$874,BS_RE33!$S$7:$S$874,$BD$2,BS_RE33!$N$7:$N$874,I44,BS_RE33!$P$7:$P$874,'30 days CF Table(Ccy)'!G44,BS_RE33!$F$7:$F$874,'30 days CF Table(Ccy)'!$C$2),2)</f>
        <v>0</v>
      </c>
      <c r="BE44" s="379">
        <f>ROUND(SUMIFS(BS_RE33!$H$7:$H$874,BS_RE33!$S$7:$S$874,$BE$2,BS_RE33!$N$7:$N$874,I44,BS_RE33!$P$7:$P$874,'30 days CF Table(Ccy)'!G44,BS_RE33!$F$7:$F$874,'30 days CF Table(Ccy)'!$C$2),2)</f>
        <v>0</v>
      </c>
      <c r="BF44" s="379">
        <f>ROUND(SUMIFS(BS_RE33!$H$7:$H$874,BS_RE33!$S$7:$S$874,$BF$2,BS_RE33!$N$7:$N$874,I44,BS_RE33!$P$7:$P$874,'30 days CF Table(Ccy)'!G44,BS_RE33!$F$7:$F$874,'30 days CF Table(Ccy)'!$C$2),2)</f>
        <v>0</v>
      </c>
      <c r="BG44" s="379">
        <f>ROUND(SUMIFS(BS_RE33!$H$7:$H$874,BS_RE33!$S$7:$S$874,$BG$2,BS_RE33!$N$7:$N$874,I44,BS_RE33!$P$7:$P$874,'30 days CF Table(Ccy)'!G44,BS_RE33!$F$7:$F$874,'30 days CF Table(Ccy)'!$C$2),2)</f>
        <v>0</v>
      </c>
      <c r="BH44" s="379">
        <f>ROUND(SUMIFS(BS_RE33!$H$7:$H$874,BS_RE33!$S$7:$S$874,$BH$2,BS_RE33!$N$7:$N$874,I44,BS_RE33!$P$7:$P$874,'30 days CF Table(Ccy)'!G44,BS_RE33!$F$7:$F$874,'30 days CF Table(Ccy)'!$C$2),2)</f>
        <v>0</v>
      </c>
      <c r="BI44" s="379">
        <f>ROUND(SUMIFS(BS_RE33!$H$7:$H$874,BS_RE33!$S$7:$S$874,$BI$2,BS_RE33!$N$7:$N$874,I44,BS_RE33!$P$7:$P$874,'30 days CF Table(Ccy)'!G44,BS_RE33!$F$7:$F$874,'30 days CF Table(Ccy)'!$C$2),2)</f>
        <v>0</v>
      </c>
      <c r="BJ44" s="379">
        <f>ROUND(SUMIFS(BS_RE33!$H$7:$H$874,BS_RE33!$S$7:$S$874,$BJ$2,BS_RE33!$N$7:$N$874,I44,BS_RE33!$P$7:$P$874,'30 days CF Table(Ccy)'!G44,BS_RE33!$F$7:$F$874,'30 days CF Table(Ccy)'!$C$2),2)</f>
        <v>0</v>
      </c>
      <c r="BK44" s="379">
        <f>ROUND(SUMIFS(BS_RE33!$H$7:$H$874,BS_RE33!$S$7:$S$874,$BK$2,BS_RE33!$N$7:$N$874,I44,BS_RE33!$P$7:$P$874,'30 days CF Table(Ccy)'!G44,BS_RE33!$F$7:$F$874,'30 days CF Table(Ccy)'!$C$2),2)</f>
        <v>0</v>
      </c>
    </row>
    <row r="45" spans="3:63">
      <c r="C45" s="1029"/>
      <c r="D45" s="1039"/>
      <c r="E45" s="105" t="s">
        <v>569</v>
      </c>
      <c r="F45" s="309"/>
      <c r="G45" s="392" t="s">
        <v>571</v>
      </c>
      <c r="H45" s="314">
        <v>1</v>
      </c>
      <c r="I45" s="315" t="s">
        <v>80</v>
      </c>
      <c r="J45" s="479">
        <f t="shared" si="2"/>
        <v>0</v>
      </c>
      <c r="K45" s="336">
        <f t="shared" si="3"/>
        <v>0</v>
      </c>
      <c r="L45" s="337">
        <f>ROUND(SUMIFS(BS_RE33!$H$7:$H$874,BS_RE33!$S$7:$S$874,$L$2,BS_RE33!$N$7:$N$874,I45,BS_RE33!$P$7:$P$874,'30 days CF Table(Ccy)'!G45,BS_RE33!$F$7:$F$874,'30 days CF Table(Ccy)'!$C$2),2)</f>
        <v>0</v>
      </c>
      <c r="M45" s="337">
        <f>ROUND(SUMIFS(BS_RE33!$H$7:$H$874,BS_RE33!$S$7:$S$874,$M$2,BS_RE33!$N$7:$N$874,I45,BS_RE33!$P$7:$P$874,'30 days CF Table(Ccy)'!G45,BS_RE33!$F$7:$F$874,'30 days CF Table(Ccy)'!$C$2),2)</f>
        <v>0</v>
      </c>
      <c r="N45" s="337">
        <f>ROUND(SUMIFS(BS_RE33!$H$7:$H$874,BS_RE33!$S$7:$S$874,$N$2,BS_RE33!$N$7:$N$874,I45,BS_RE33!$P$7:$P$874,'30 days CF Table(Ccy)'!G45,BS_RE33!$F$7:$F$874,'30 days CF Table(Ccy)'!$C$2),2)</f>
        <v>0</v>
      </c>
      <c r="O45" s="337">
        <f>ROUND(SUMIFS(BS_RE33!$H$7:$H$874,BS_RE33!$S$7:$S$874,$O$2,BS_RE33!$N$7:$N$874,I45,BS_RE33!$P$7:$P$874,'30 days CF Table(Ccy)'!G45,BS_RE33!$F$7:$F$874,'30 days CF Table(Ccy)'!$C$2),2)</f>
        <v>0</v>
      </c>
      <c r="P45" s="337">
        <f>ROUND(SUMIFS(BS_RE33!$H$7:$H$874,BS_RE33!$S$7:$S$874,$P$2,BS_RE33!$N$7:$N$874,I45,BS_RE33!$P$7:$P$874,'30 days CF Table(Ccy)'!G45,BS_RE33!$F$7:$F$874,'30 days CF Table(Ccy)'!$C$2),2)</f>
        <v>0</v>
      </c>
      <c r="Q45" s="337">
        <f>ROUND(SUMIFS(BS_RE33!$H$7:$H$874,BS_RE33!$S$7:$S$874,$Q$2,BS_RE33!$N$7:$N$874,I45,BS_RE33!$P$7:$P$874,'30 days CF Table(Ccy)'!G45,BS_RE33!$F$7:$F$874,'30 days CF Table(Ccy)'!$C$2),2)</f>
        <v>0</v>
      </c>
      <c r="R45" s="337">
        <f>ROUND(SUMIFS(BS_RE33!$H$7:$H$874,BS_RE33!$S$7:$S$874,$R$2,BS_RE33!$N$7:$N$874,I45,BS_RE33!$P$7:$P$874,'30 days CF Table(Ccy)'!G45,BS_RE33!$F$7:$F$874,'30 days CF Table(Ccy)'!$C$2),2)</f>
        <v>0</v>
      </c>
      <c r="S45" s="337">
        <f>ROUND(SUMIFS(BS_RE33!$H$7:$H$874,BS_RE33!$S$7:$S$874,$S$2,BS_RE33!$N$7:$N$874,I45,BS_RE33!$P$7:$P$874,'30 days CF Table(Ccy)'!G45,BS_RE33!$F$7:$F$874,'30 days CF Table(Ccy)'!$C$2),2)</f>
        <v>0</v>
      </c>
      <c r="T45" s="337">
        <f>ROUND(SUMIFS(BS_RE33!$H$7:$H$874,BS_RE33!$S$7:$S$874,$T$2,BS_RE33!$N$7:$N$874,I45,BS_RE33!$P$7:$P$874,'30 days CF Table(Ccy)'!G45,BS_RE33!$F$7:$F$874,'30 days CF Table(Ccy)'!$C$2),2)</f>
        <v>0</v>
      </c>
      <c r="U45" s="337">
        <f>ROUND(SUMIFS(BS_RE33!$H$7:$H$874,BS_RE33!$S$7:$S$874,$U$2,BS_RE33!$N$7:$N$874,I45,BS_RE33!$P$7:$P$874,'30 days CF Table(Ccy)'!G45,BS_RE33!$F$7:$F$874,'30 days CF Table(Ccy)'!$C$2),2)</f>
        <v>0</v>
      </c>
      <c r="V45" s="337">
        <f>ROUND(SUMIFS(BS_RE33!$H$7:$H$874,BS_RE33!$S$7:$S$874,$V$2,BS_RE33!$N$7:$N$874,I45,BS_RE33!$P$7:$P$874,'30 days CF Table(Ccy)'!G45,BS_RE33!$F$7:$F$874,'30 days CF Table(Ccy)'!$C$2),2)</f>
        <v>0</v>
      </c>
      <c r="W45" s="337">
        <f>ROUND(SUMIFS(BS_RE33!$H$7:$H$874,BS_RE33!$S$7:$S$874,$W$2,BS_RE33!$N$7:$N$874,I45,BS_RE33!$P$7:$P$874,'30 days CF Table(Ccy)'!G45,BS_RE33!$F$7:$F$874,'30 days CF Table(Ccy)'!$C$2),2)</f>
        <v>0</v>
      </c>
      <c r="X45" s="337">
        <f>ROUND(SUMIFS(BS_RE33!$H$7:$H$874,BS_RE33!$S$7:$S$874,$X$2,BS_RE33!$N$7:$N$874,I45,BS_RE33!$P$7:$P$874,'30 days CF Table(Ccy)'!G45,BS_RE33!$F$7:$F$874,'30 days CF Table(Ccy)'!$C$2),2)</f>
        <v>0</v>
      </c>
      <c r="Y45" s="337">
        <f>ROUND(SUMIFS(BS_RE33!$H$7:$H$874,BS_RE33!$S$7:$S$874,$Y$2,BS_RE33!$N$7:$N$874,I45,BS_RE33!$P$7:$P$874,'30 days CF Table(Ccy)'!G45,BS_RE33!$F$7:$F$874,'30 days CF Table(Ccy)'!$C$2),2)</f>
        <v>0</v>
      </c>
      <c r="Z45" s="337">
        <f>ROUND(SUMIFS(BS_RE33!$H$7:$H$874,BS_RE33!$S$7:$S$874,$Z$2,BS_RE33!$N$7:$N$874,I45,BS_RE33!$P$7:$P$874,'30 days CF Table(Ccy)'!G45,BS_RE33!$F$7:$F$874,'30 days CF Table(Ccy)'!$C$2),2)</f>
        <v>0</v>
      </c>
      <c r="AA45" s="337">
        <f>ROUND(SUMIFS(BS_RE33!$H$7:$H$874,BS_RE33!$S$7:$S$874,$AA$2,BS_RE33!$N$7:$N$874,I45,BS_RE33!$P$7:$P$874,'30 days CF Table(Ccy)'!G45,BS_RE33!$F$7:$F$874,'30 days CF Table(Ccy)'!$C$2),2)</f>
        <v>0</v>
      </c>
      <c r="AB45" s="337">
        <f>ROUND(SUMIFS(BS_RE33!$H$7:$H$874,BS_RE33!$S$7:$S$874,$AB$2,BS_RE33!$N$7:$N$874,I45,BS_RE33!$P$7:$P$874,'30 days CF Table(Ccy)'!G45,BS_RE33!$F$7:$F$874,'30 days CF Table(Ccy)'!$C$2),2)</f>
        <v>0</v>
      </c>
      <c r="AC45" s="337">
        <f>ROUND(SUMIFS(BS_RE33!$H$7:$H$874,BS_RE33!$S$7:$S$874,$AC$2,BS_RE33!$N$7:$N$874,I45,BS_RE33!$P$7:$P$874,'30 days CF Table(Ccy)'!G45,BS_RE33!$F$7:$F$874,'30 days CF Table(Ccy)'!$C$2),2)</f>
        <v>0</v>
      </c>
      <c r="AD45" s="337">
        <f>ROUND(SUMIFS(BS_RE33!$H$7:$H$874,BS_RE33!$S$7:$S$874,$AD$2,BS_RE33!$N$7:$N$874,I45,BS_RE33!$P$7:$P$874,'30 days CF Table(Ccy)'!G45,BS_RE33!$F$7:$F$874,'30 days CF Table(Ccy)'!$C$2),2)</f>
        <v>0</v>
      </c>
      <c r="AE45" s="337">
        <f>ROUND(SUMIFS(BS_RE33!$H$7:$H$874,BS_RE33!$S$7:$S$874,$AE$2,BS_RE33!$N$7:$N$874,I45,BS_RE33!$P$7:$P$874,'30 days CF Table(Ccy)'!G45,BS_RE33!$F$7:$F$874,'30 days CF Table(Ccy)'!$C$2),2)</f>
        <v>0</v>
      </c>
      <c r="AF45" s="337">
        <f>ROUND(SUMIFS(BS_RE33!$H$7:$H$874,BS_RE33!$S$7:$S$874,$AF$2,BS_RE33!$N$7:$N$874,I45,BS_RE33!$P$7:$P$874,'30 days CF Table(Ccy)'!G45,BS_RE33!$F$7:$F$874,'30 days CF Table(Ccy)'!$C$2),2)</f>
        <v>0</v>
      </c>
      <c r="AG45" s="337">
        <f>ROUND(SUMIFS(BS_RE33!$H$7:$H$874,BS_RE33!$S$7:$S$874,$AG$2,BS_RE33!$N$7:$N$874,I45,BS_RE33!$P$7:$P$874,'30 days CF Table(Ccy)'!G45,BS_RE33!$F$7:$F$874,'30 days CF Table(Ccy)'!$C$2),2)</f>
        <v>0</v>
      </c>
      <c r="AH45" s="337">
        <f>ROUND(SUMIFS(BS_RE33!$H$7:$H$874,BS_RE33!$S$7:$S$874,$AH$2,BS_RE33!$N$7:$N$874,I45,BS_RE33!$P$7:$P$874,'30 days CF Table(Ccy)'!G45,BS_RE33!$F$7:$F$874,'30 days CF Table(Ccy)'!$C$2),2)</f>
        <v>0</v>
      </c>
      <c r="AI45" s="337">
        <f>ROUND(SUMIFS(BS_RE33!$H$7:$H$874,BS_RE33!$S$7:$S$874,$AI$2,BS_RE33!$N$7:$N$874,I45,BS_RE33!$P$7:$P$874,'30 days CF Table(Ccy)'!G45,BS_RE33!$F$7:$F$874,'30 days CF Table(Ccy)'!$C$2),2)</f>
        <v>0</v>
      </c>
      <c r="AJ45" s="337">
        <f>ROUND(SUMIFS(BS_RE33!$H$7:$H$874,BS_RE33!$S$7:$S$874,$AJ$2,BS_RE33!$N$7:$N$874,I45,BS_RE33!$P$7:$P$874,'30 days CF Table(Ccy)'!G45,BS_RE33!$F$7:$F$874,'30 days CF Table(Ccy)'!$C$2),2)</f>
        <v>0</v>
      </c>
      <c r="AK45" s="337">
        <f>ROUND(SUMIFS(BS_RE33!$H$7:$H$874,BS_RE33!$S$7:$S$874,$AK$2,BS_RE33!$N$7:$N$874,I45,BS_RE33!$P$7:$P$874,'30 days CF Table(Ccy)'!G45,BS_RE33!$F$7:$F$874,'30 days CF Table(Ccy)'!$C$2),2)</f>
        <v>0</v>
      </c>
      <c r="AL45" s="337">
        <f>ROUND(SUMIFS(BS_RE33!$H$7:$H$874,BS_RE33!$S$7:$S$874,$AL$2,BS_RE33!$N$7:$N$874,I45,BS_RE33!$P$7:$P$874,'30 days CF Table(Ccy)'!G45,BS_RE33!$F$7:$F$874,'30 days CF Table(Ccy)'!$C$2),2)</f>
        <v>0</v>
      </c>
      <c r="AM45" s="337">
        <f>ROUND(SUMIFS(BS_RE33!$H$7:$H$874,BS_RE33!$S$7:$S$874,$AM$2,BS_RE33!$N$7:$N$874,I45,BS_RE33!$P$7:$P$874,'30 days CF Table(Ccy)'!G45,BS_RE33!$F$7:$F$874,'30 days CF Table(Ccy)'!$C$2),2)</f>
        <v>0</v>
      </c>
      <c r="AN45" s="337">
        <f>ROUND(SUMIFS(BS_RE33!$H$7:$H$874,BS_RE33!$S$7:$S$874,$AN$2,BS_RE33!$N$7:$N$874,I45,BS_RE33!$P$7:$P$874,'30 days CF Table(Ccy)'!G45,BS_RE33!$F$7:$F$874,'30 days CF Table(Ccy)'!$C$2),2)</f>
        <v>0</v>
      </c>
      <c r="AO45" s="337">
        <f>ROUND(SUMIFS(BS_RE33!$H$7:$H$874,BS_RE33!$S$7:$S$874,$AO$2,BS_RE33!$N$7:$N$874,I45,BS_RE33!$P$7:$P$874,'30 days CF Table(Ccy)'!G45,BS_RE33!$F$7:$F$874,'30 days CF Table(Ccy)'!$C$2),2)</f>
        <v>0</v>
      </c>
      <c r="AP45" s="338">
        <f>ROUND(SUMIFS(BS_RE33!$H$7:$H$874,BS_RE33!$S$7:$S$874,$AP$2,BS_RE33!$N$7:$N$874,I45,BS_RE33!$P$7:$P$874,'30 days CF Table(Ccy)'!G45,BS_RE33!$F$7:$F$874,'30 days CF Table(Ccy)'!$C$2),2)</f>
        <v>0</v>
      </c>
      <c r="AR45" s="379">
        <f>ROUND(SUMIFS(BS_RE33!$H$7:$H$874,BS_RE33!$S$7:$S$874,$AR$2,BS_RE33!$N$7:$N$874,I45,BS_RE33!$P$7:$P$874,'30 days CF Table(Ccy)'!G45,BS_RE33!$F$7:$F$874,'30 days CF Table(Ccy)'!$C$2),2)</f>
        <v>0</v>
      </c>
      <c r="AS45" s="379">
        <f>ROUND(SUMIFS(BS_RE33!$H$7:$H$874,BS_RE33!$S$7:$S$874,$AS$2,BS_RE33!$N$7:$N$874,I45,BS_RE33!$P$7:$P$874,'30 days CF Table(Ccy)'!G45,BS_RE33!$F$7:$F$874,'30 days CF Table(Ccy)'!$C$2),2)</f>
        <v>0</v>
      </c>
      <c r="AT45" s="379">
        <f>ROUND(SUMIFS(BS_RE33!$H$7:$H$874,BS_RE33!$S$7:$S$874,$AT$2,BS_RE33!$N$7:$N$874,I45,BS_RE33!$P$7:$P$874,'30 days CF Table(Ccy)'!G45,BS_RE33!$F$7:$F$874,'30 days CF Table(Ccy)'!$C$2),2)</f>
        <v>0</v>
      </c>
      <c r="AU45" s="379">
        <f>ROUND(SUMIFS(BS_RE33!$H$7:$H$874,BS_RE33!$S$7:$S$874,$AU$2,BS_RE33!$N$7:$N$874,I45,BS_RE33!$P$7:$P$874,'30 days CF Table(Ccy)'!G45,BS_RE33!$F$7:$F$874,'30 days CF Table(Ccy)'!$C$2),2)</f>
        <v>0</v>
      </c>
      <c r="AV45" s="379">
        <f>ROUND(SUMIFS(BS_RE33!$H$7:$H$874,BS_RE33!$S$7:$S$874,$AV$2,BS_RE33!$N$7:$N$874,I45,BS_RE33!$P$7:$P$874,'30 days CF Table(Ccy)'!G45,BS_RE33!$F$7:$F$874,'30 days CF Table(Ccy)'!$C$2),2)</f>
        <v>0</v>
      </c>
      <c r="AW45" s="379">
        <f>ROUND(SUMIFS(BS_RE33!$H$7:$H$874,BS_RE33!$S$7:$S$874,$AW$2,BS_RE33!$N$7:$N$874,I45,BS_RE33!$P$7:$P$874,'30 days CF Table(Ccy)'!G45,BS_RE33!$F$7:$F$874,'30 days CF Table(Ccy)'!$C$2),2)</f>
        <v>0</v>
      </c>
      <c r="AX45" s="379">
        <f>ROUND(SUMIFS(BS_RE33!$H$7:$H$874,BS_RE33!$S$7:$S$874,$AX$2,BS_RE33!$N$7:$N$874,I45,BS_RE33!$P$7:$P$874,'30 days CF Table(Ccy)'!G45,BS_RE33!$F$7:$F$874,'30 days CF Table(Ccy)'!$C$2),2)</f>
        <v>0</v>
      </c>
      <c r="AY45" s="379">
        <f>ROUND(SUMIFS(BS_RE33!$H$7:$H$874,BS_RE33!$S$7:$S$874,$AY$2,BS_RE33!$N$7:$N$874,I45,BS_RE33!$P$7:$P$874,'30 days CF Table(Ccy)'!G45,BS_RE33!$F$7:$F$874,'30 days CF Table(Ccy)'!$C$2),2)</f>
        <v>0</v>
      </c>
      <c r="AZ45" s="379">
        <f>ROUND(SUMIFS(BS_RE33!$H$7:$H$874,BS_RE33!$S$7:$S$874,$AZ$2,BS_RE33!$N$7:$N$874,I45,BS_RE33!$P$7:$P$874,'30 days CF Table(Ccy)'!G45,BS_RE33!$F$7:$F$874,'30 days CF Table(Ccy)'!$C$2),2)</f>
        <v>0</v>
      </c>
      <c r="BA45" s="379">
        <f>ROUND(SUMIFS(BS_RE33!$H$7:$H$874,BS_RE33!$S$7:$S$874,$BA$2,BS_RE33!$N$7:$N$874,I45,BS_RE33!$P$7:$P$874,'30 days CF Table(Ccy)'!G45,BS_RE33!$F$7:$F$874,'30 days CF Table(Ccy)'!$C$2),2)</f>
        <v>0</v>
      </c>
      <c r="BB45" s="379">
        <f>ROUND(SUMIFS(BS_RE33!$H$7:$H$874,BS_RE33!$S$7:$S$874,$BB$2,BS_RE33!$N$7:$N$874,I45,BS_RE33!$P$7:$P$874,'30 days CF Table(Ccy)'!G45,BS_RE33!$F$7:$F$874,'30 days CF Table(Ccy)'!$C$2),2)</f>
        <v>0</v>
      </c>
      <c r="BC45" s="379">
        <f>ROUND(SUMIFS(BS_RE33!$H$7:$H$874,BS_RE33!$S$7:$S$874,$BC$2,BS_RE33!$N$7:$N$874,I45,BS_RE33!$P$7:$P$874,'30 days CF Table(Ccy)'!G45,BS_RE33!$F$7:$F$874,'30 days CF Table(Ccy)'!$C$2),2)</f>
        <v>0</v>
      </c>
      <c r="BD45" s="379">
        <f>ROUND(SUMIFS(BS_RE33!$H$7:$H$874,BS_RE33!$S$7:$S$874,$BD$2,BS_RE33!$N$7:$N$874,I45,BS_RE33!$P$7:$P$874,'30 days CF Table(Ccy)'!G45,BS_RE33!$F$7:$F$874,'30 days CF Table(Ccy)'!$C$2),2)</f>
        <v>0</v>
      </c>
      <c r="BE45" s="379">
        <f>ROUND(SUMIFS(BS_RE33!$H$7:$H$874,BS_RE33!$S$7:$S$874,$BE$2,BS_RE33!$N$7:$N$874,I45,BS_RE33!$P$7:$P$874,'30 days CF Table(Ccy)'!G45,BS_RE33!$F$7:$F$874,'30 days CF Table(Ccy)'!$C$2),2)</f>
        <v>0</v>
      </c>
      <c r="BF45" s="379">
        <f>ROUND(SUMIFS(BS_RE33!$H$7:$H$874,BS_RE33!$S$7:$S$874,$BF$2,BS_RE33!$N$7:$N$874,I45,BS_RE33!$P$7:$P$874,'30 days CF Table(Ccy)'!G45,BS_RE33!$F$7:$F$874,'30 days CF Table(Ccy)'!$C$2),2)</f>
        <v>0</v>
      </c>
      <c r="BG45" s="379">
        <f>ROUND(SUMIFS(BS_RE33!$H$7:$H$874,BS_RE33!$S$7:$S$874,$BG$2,BS_RE33!$N$7:$N$874,I45,BS_RE33!$P$7:$P$874,'30 days CF Table(Ccy)'!G45,BS_RE33!$F$7:$F$874,'30 days CF Table(Ccy)'!$C$2),2)</f>
        <v>0</v>
      </c>
      <c r="BH45" s="379">
        <f>ROUND(SUMIFS(BS_RE33!$H$7:$H$874,BS_RE33!$S$7:$S$874,$BH$2,BS_RE33!$N$7:$N$874,I45,BS_RE33!$P$7:$P$874,'30 days CF Table(Ccy)'!G45,BS_RE33!$F$7:$F$874,'30 days CF Table(Ccy)'!$C$2),2)</f>
        <v>0</v>
      </c>
      <c r="BI45" s="379">
        <f>ROUND(SUMIFS(BS_RE33!$H$7:$H$874,BS_RE33!$S$7:$S$874,$BI$2,BS_RE33!$N$7:$N$874,I45,BS_RE33!$P$7:$P$874,'30 days CF Table(Ccy)'!G45,BS_RE33!$F$7:$F$874,'30 days CF Table(Ccy)'!$C$2),2)</f>
        <v>0</v>
      </c>
      <c r="BJ45" s="379">
        <f>ROUND(SUMIFS(BS_RE33!$H$7:$H$874,BS_RE33!$S$7:$S$874,$BJ$2,BS_RE33!$N$7:$N$874,I45,BS_RE33!$P$7:$P$874,'30 days CF Table(Ccy)'!G45,BS_RE33!$F$7:$F$874,'30 days CF Table(Ccy)'!$C$2),2)</f>
        <v>0</v>
      </c>
      <c r="BK45" s="379">
        <f>ROUND(SUMIFS(BS_RE33!$H$7:$H$874,BS_RE33!$S$7:$S$874,$BK$2,BS_RE33!$N$7:$N$874,I45,BS_RE33!$P$7:$P$874,'30 days CF Table(Ccy)'!G45,BS_RE33!$F$7:$F$874,'30 days CF Table(Ccy)'!$C$2),2)</f>
        <v>0</v>
      </c>
    </row>
    <row r="46" spans="3:63">
      <c r="C46" s="1029"/>
      <c r="D46" s="1039"/>
      <c r="E46" s="108" t="s">
        <v>90</v>
      </c>
      <c r="F46" s="309"/>
      <c r="G46" s="392" t="s">
        <v>527</v>
      </c>
      <c r="H46" s="168">
        <v>0</v>
      </c>
      <c r="I46" s="307" t="s">
        <v>167</v>
      </c>
      <c r="J46" s="478">
        <f t="shared" si="2"/>
        <v>0</v>
      </c>
      <c r="K46" s="547">
        <f t="shared" si="3"/>
        <v>0</v>
      </c>
      <c r="L46" s="548">
        <f>ROUND(SUMIFS(BS_RE33!$H$7:$H$874,BS_RE33!$S$7:$S$874,$L$2,BS_RE33!$N$7:$N$874,I46,BS_RE33!$P$7:$P$874,'30 days CF Table(Ccy)'!G46,BS_RE33!$F$7:$F$874,'30 days CF Table(Ccy)'!$C$2),2)</f>
        <v>0</v>
      </c>
      <c r="M46" s="548">
        <f>ROUND(SUMIFS(BS_RE33!$H$7:$H$874,BS_RE33!$S$7:$S$874,$M$2,BS_RE33!$N$7:$N$874,I46,BS_RE33!$P$7:$P$874,'30 days CF Table(Ccy)'!G46,BS_RE33!$F$7:$F$874,'30 days CF Table(Ccy)'!$C$2),2)</f>
        <v>0</v>
      </c>
      <c r="N46" s="548">
        <f>ROUND(SUMIFS(BS_RE33!$H$7:$H$874,BS_RE33!$S$7:$S$874,$N$2,BS_RE33!$N$7:$N$874,I46,BS_RE33!$P$7:$P$874,'30 days CF Table(Ccy)'!G46,BS_RE33!$F$7:$F$874,'30 days CF Table(Ccy)'!$C$2),2)</f>
        <v>0</v>
      </c>
      <c r="O46" s="548">
        <f>ROUND(SUMIFS(BS_RE33!$H$7:$H$874,BS_RE33!$S$7:$S$874,$O$2,BS_RE33!$N$7:$N$874,I46,BS_RE33!$P$7:$P$874,'30 days CF Table(Ccy)'!G46,BS_RE33!$F$7:$F$874,'30 days CF Table(Ccy)'!$C$2),2)</f>
        <v>0</v>
      </c>
      <c r="P46" s="548">
        <f>ROUND(SUMIFS(BS_RE33!$H$7:$H$874,BS_RE33!$S$7:$S$874,$P$2,BS_RE33!$N$7:$N$874,I46,BS_RE33!$P$7:$P$874,'30 days CF Table(Ccy)'!G46,BS_RE33!$F$7:$F$874,'30 days CF Table(Ccy)'!$C$2),2)</f>
        <v>0</v>
      </c>
      <c r="Q46" s="548">
        <f>ROUND(SUMIFS(BS_RE33!$H$7:$H$874,BS_RE33!$S$7:$S$874,$Q$2,BS_RE33!$N$7:$N$874,I46,BS_RE33!$P$7:$P$874,'30 days CF Table(Ccy)'!G46,BS_RE33!$F$7:$F$874,'30 days CF Table(Ccy)'!$C$2),2)</f>
        <v>0</v>
      </c>
      <c r="R46" s="548">
        <f>ROUND(SUMIFS(BS_RE33!$H$7:$H$874,BS_RE33!$S$7:$S$874,$R$2,BS_RE33!$N$7:$N$874,I46,BS_RE33!$P$7:$P$874,'30 days CF Table(Ccy)'!G46,BS_RE33!$F$7:$F$874,'30 days CF Table(Ccy)'!$C$2),2)</f>
        <v>0</v>
      </c>
      <c r="S46" s="548">
        <f>ROUND(SUMIFS(BS_RE33!$H$7:$H$874,BS_RE33!$S$7:$S$874,$S$2,BS_RE33!$N$7:$N$874,I46,BS_RE33!$P$7:$P$874,'30 days CF Table(Ccy)'!G46,BS_RE33!$F$7:$F$874,'30 days CF Table(Ccy)'!$C$2),2)</f>
        <v>0</v>
      </c>
      <c r="T46" s="548">
        <f>ROUND(SUMIFS(BS_RE33!$H$7:$H$874,BS_RE33!$S$7:$S$874,$T$2,BS_RE33!$N$7:$N$874,I46,BS_RE33!$P$7:$P$874,'30 days CF Table(Ccy)'!G46,BS_RE33!$F$7:$F$874,'30 days CF Table(Ccy)'!$C$2),2)</f>
        <v>0</v>
      </c>
      <c r="U46" s="548">
        <f>ROUND(SUMIFS(BS_RE33!$H$7:$H$874,BS_RE33!$S$7:$S$874,$U$2,BS_RE33!$N$7:$N$874,I46,BS_RE33!$P$7:$P$874,'30 days CF Table(Ccy)'!G46,BS_RE33!$F$7:$F$874,'30 days CF Table(Ccy)'!$C$2),2)</f>
        <v>0</v>
      </c>
      <c r="V46" s="548">
        <f>ROUND(SUMIFS(BS_RE33!$H$7:$H$874,BS_RE33!$S$7:$S$874,$V$2,BS_RE33!$N$7:$N$874,I46,BS_RE33!$P$7:$P$874,'30 days CF Table(Ccy)'!G46,BS_RE33!$F$7:$F$874,'30 days CF Table(Ccy)'!$C$2),2)</f>
        <v>0</v>
      </c>
      <c r="W46" s="548">
        <f>ROUND(SUMIFS(BS_RE33!$H$7:$H$874,BS_RE33!$S$7:$S$874,$W$2,BS_RE33!$N$7:$N$874,I46,BS_RE33!$P$7:$P$874,'30 days CF Table(Ccy)'!G46,BS_RE33!$F$7:$F$874,'30 days CF Table(Ccy)'!$C$2),2)</f>
        <v>0</v>
      </c>
      <c r="X46" s="548">
        <f>ROUND(SUMIFS(BS_RE33!$H$7:$H$874,BS_RE33!$S$7:$S$874,$X$2,BS_RE33!$N$7:$N$874,I46,BS_RE33!$P$7:$P$874,'30 days CF Table(Ccy)'!G46,BS_RE33!$F$7:$F$874,'30 days CF Table(Ccy)'!$C$2),2)</f>
        <v>0</v>
      </c>
      <c r="Y46" s="548">
        <f>ROUND(SUMIFS(BS_RE33!$H$7:$H$874,BS_RE33!$S$7:$S$874,$Y$2,BS_RE33!$N$7:$N$874,I46,BS_RE33!$P$7:$P$874,'30 days CF Table(Ccy)'!G46,BS_RE33!$F$7:$F$874,'30 days CF Table(Ccy)'!$C$2),2)</f>
        <v>0</v>
      </c>
      <c r="Z46" s="548">
        <f>ROUND(SUMIFS(BS_RE33!$H$7:$H$874,BS_RE33!$S$7:$S$874,$Z$2,BS_RE33!$N$7:$N$874,I46,BS_RE33!$P$7:$P$874,'30 days CF Table(Ccy)'!G46,BS_RE33!$F$7:$F$874,'30 days CF Table(Ccy)'!$C$2),2)</f>
        <v>0</v>
      </c>
      <c r="AA46" s="548">
        <f>ROUND(SUMIFS(BS_RE33!$H$7:$H$874,BS_RE33!$S$7:$S$874,$AA$2,BS_RE33!$N$7:$N$874,I46,BS_RE33!$P$7:$P$874,'30 days CF Table(Ccy)'!G46,BS_RE33!$F$7:$F$874,'30 days CF Table(Ccy)'!$C$2),2)</f>
        <v>0</v>
      </c>
      <c r="AB46" s="548">
        <f>ROUND(SUMIFS(BS_RE33!$H$7:$H$874,BS_RE33!$S$7:$S$874,$AB$2,BS_RE33!$N$7:$N$874,I46,BS_RE33!$P$7:$P$874,'30 days CF Table(Ccy)'!G46,BS_RE33!$F$7:$F$874,'30 days CF Table(Ccy)'!$C$2),2)</f>
        <v>0</v>
      </c>
      <c r="AC46" s="548">
        <f>ROUND(SUMIFS(BS_RE33!$H$7:$H$874,BS_RE33!$S$7:$S$874,$AC$2,BS_RE33!$N$7:$N$874,I46,BS_RE33!$P$7:$P$874,'30 days CF Table(Ccy)'!G46,BS_RE33!$F$7:$F$874,'30 days CF Table(Ccy)'!$C$2),2)</f>
        <v>0</v>
      </c>
      <c r="AD46" s="548">
        <f>ROUND(SUMIFS(BS_RE33!$H$7:$H$874,BS_RE33!$S$7:$S$874,$AD$2,BS_RE33!$N$7:$N$874,I46,BS_RE33!$P$7:$P$874,'30 days CF Table(Ccy)'!G46,BS_RE33!$F$7:$F$874,'30 days CF Table(Ccy)'!$C$2),2)</f>
        <v>0</v>
      </c>
      <c r="AE46" s="548">
        <f>ROUND(SUMIFS(BS_RE33!$H$7:$H$874,BS_RE33!$S$7:$S$874,$AE$2,BS_RE33!$N$7:$N$874,I46,BS_RE33!$P$7:$P$874,'30 days CF Table(Ccy)'!G46,BS_RE33!$F$7:$F$874,'30 days CF Table(Ccy)'!$C$2),2)</f>
        <v>0</v>
      </c>
      <c r="AF46" s="548">
        <f>ROUND(SUMIFS(BS_RE33!$H$7:$H$874,BS_RE33!$S$7:$S$874,$AF$2,BS_RE33!$N$7:$N$874,I46,BS_RE33!$P$7:$P$874,'30 days CF Table(Ccy)'!G46,BS_RE33!$F$7:$F$874,'30 days CF Table(Ccy)'!$C$2),2)</f>
        <v>0</v>
      </c>
      <c r="AG46" s="548">
        <f>ROUND(SUMIFS(BS_RE33!$H$7:$H$874,BS_RE33!$S$7:$S$874,$AG$2,BS_RE33!$N$7:$N$874,I46,BS_RE33!$P$7:$P$874,'30 days CF Table(Ccy)'!G46,BS_RE33!$F$7:$F$874,'30 days CF Table(Ccy)'!$C$2),2)</f>
        <v>0</v>
      </c>
      <c r="AH46" s="548">
        <f>ROUND(SUMIFS(BS_RE33!$H$7:$H$874,BS_RE33!$S$7:$S$874,$AH$2,BS_RE33!$N$7:$N$874,I46,BS_RE33!$P$7:$P$874,'30 days CF Table(Ccy)'!G46,BS_RE33!$F$7:$F$874,'30 days CF Table(Ccy)'!$C$2),2)</f>
        <v>0</v>
      </c>
      <c r="AI46" s="548">
        <f>ROUND(SUMIFS(BS_RE33!$H$7:$H$874,BS_RE33!$S$7:$S$874,$AI$2,BS_RE33!$N$7:$N$874,I46,BS_RE33!$P$7:$P$874,'30 days CF Table(Ccy)'!G46,BS_RE33!$F$7:$F$874,'30 days CF Table(Ccy)'!$C$2),2)</f>
        <v>0</v>
      </c>
      <c r="AJ46" s="548">
        <f>ROUND(SUMIFS(BS_RE33!$H$7:$H$874,BS_RE33!$S$7:$S$874,$AJ$2,BS_RE33!$N$7:$N$874,I46,BS_RE33!$P$7:$P$874,'30 days CF Table(Ccy)'!G46,BS_RE33!$F$7:$F$874,'30 days CF Table(Ccy)'!$C$2),2)</f>
        <v>0</v>
      </c>
      <c r="AK46" s="548">
        <f>ROUND(SUMIFS(BS_RE33!$H$7:$H$874,BS_RE33!$S$7:$S$874,$AK$2,BS_RE33!$N$7:$N$874,I46,BS_RE33!$P$7:$P$874,'30 days CF Table(Ccy)'!G46,BS_RE33!$F$7:$F$874,'30 days CF Table(Ccy)'!$C$2),2)</f>
        <v>0</v>
      </c>
      <c r="AL46" s="548">
        <f>ROUND(SUMIFS(BS_RE33!$H$7:$H$874,BS_RE33!$S$7:$S$874,$AL$2,BS_RE33!$N$7:$N$874,I46,BS_RE33!$P$7:$P$874,'30 days CF Table(Ccy)'!G46,BS_RE33!$F$7:$F$874,'30 days CF Table(Ccy)'!$C$2),2)</f>
        <v>0</v>
      </c>
      <c r="AM46" s="548">
        <f>ROUND(SUMIFS(BS_RE33!$H$7:$H$874,BS_RE33!$S$7:$S$874,$AM$2,BS_RE33!$N$7:$N$874,I46,BS_RE33!$P$7:$P$874,'30 days CF Table(Ccy)'!G46,BS_RE33!$F$7:$F$874,'30 days CF Table(Ccy)'!$C$2),2)</f>
        <v>0</v>
      </c>
      <c r="AN46" s="548">
        <f>ROUND(SUMIFS(BS_RE33!$H$7:$H$874,BS_RE33!$S$7:$S$874,$AN$2,BS_RE33!$N$7:$N$874,I46,BS_RE33!$P$7:$P$874,'30 days CF Table(Ccy)'!G46,BS_RE33!$F$7:$F$874,'30 days CF Table(Ccy)'!$C$2),2)</f>
        <v>0</v>
      </c>
      <c r="AO46" s="548">
        <f>ROUND(SUMIFS(BS_RE33!$H$7:$H$874,BS_RE33!$S$7:$S$874,$AO$2,BS_RE33!$N$7:$N$874,I46,BS_RE33!$P$7:$P$874,'30 days CF Table(Ccy)'!G46,BS_RE33!$F$7:$F$874,'30 days CF Table(Ccy)'!$C$2),2)</f>
        <v>0</v>
      </c>
      <c r="AP46" s="549">
        <f>ROUND(SUMIFS(BS_RE33!$H$7:$H$874,BS_RE33!$S$7:$S$874,$AP$2,BS_RE33!$N$7:$N$874,I46,BS_RE33!$P$7:$P$874,'30 days CF Table(Ccy)'!G46,BS_RE33!$F$7:$F$874,'30 days CF Table(Ccy)'!$C$2),2)</f>
        <v>0</v>
      </c>
      <c r="AQ46" s="550"/>
      <c r="AR46" s="380">
        <f>ROUND(SUMIFS(BS_RE33!$H$7:$H$874,BS_RE33!$S$7:$S$874,$AR$2,BS_RE33!$N$7:$N$874,I46,BS_RE33!$P$7:$P$874,'30 days CF Table(Ccy)'!G46,BS_RE33!$F$7:$F$874,'30 days CF Table(Ccy)'!$C$2),2)</f>
        <v>0</v>
      </c>
      <c r="AS46" s="380">
        <f>ROUND(SUMIFS(BS_RE33!$H$7:$H$874,BS_RE33!$S$7:$S$874,$AS$2,BS_RE33!$N$7:$N$874,I46,BS_RE33!$P$7:$P$874,'30 days CF Table(Ccy)'!G46,BS_RE33!$F$7:$F$874,'30 days CF Table(Ccy)'!$C$2),2)</f>
        <v>0</v>
      </c>
      <c r="AT46" s="380">
        <f>ROUND(SUMIFS(BS_RE33!$H$7:$H$874,BS_RE33!$S$7:$S$874,$AT$2,BS_RE33!$N$7:$N$874,I46,BS_RE33!$P$7:$P$874,'30 days CF Table(Ccy)'!G46,BS_RE33!$F$7:$F$874,'30 days CF Table(Ccy)'!$C$2),2)</f>
        <v>0</v>
      </c>
      <c r="AU46" s="380">
        <f>ROUND(SUMIFS(BS_RE33!$H$7:$H$874,BS_RE33!$S$7:$S$874,$AU$2,BS_RE33!$N$7:$N$874,I46,BS_RE33!$P$7:$P$874,'30 days CF Table(Ccy)'!G46,BS_RE33!$F$7:$F$874,'30 days CF Table(Ccy)'!$C$2),2)</f>
        <v>0</v>
      </c>
      <c r="AV46" s="380">
        <f>ROUND(SUMIFS(BS_RE33!$H$7:$H$874,BS_RE33!$S$7:$S$874,$AV$2,BS_RE33!$N$7:$N$874,I46,BS_RE33!$P$7:$P$874,'30 days CF Table(Ccy)'!G46,BS_RE33!$F$7:$F$874,'30 days CF Table(Ccy)'!$C$2),2)</f>
        <v>0</v>
      </c>
      <c r="AW46" s="380">
        <f>ROUND(SUMIFS(BS_RE33!$H$7:$H$874,BS_RE33!$S$7:$S$874,$AW$2,BS_RE33!$N$7:$N$874,I46,BS_RE33!$P$7:$P$874,'30 days CF Table(Ccy)'!G46,BS_RE33!$F$7:$F$874,'30 days CF Table(Ccy)'!$C$2),2)</f>
        <v>0</v>
      </c>
      <c r="AX46" s="380">
        <f>ROUND(SUMIFS(BS_RE33!$H$7:$H$874,BS_RE33!$S$7:$S$874,$AX$2,BS_RE33!$N$7:$N$874,I46,BS_RE33!$P$7:$P$874,'30 days CF Table(Ccy)'!G46,BS_RE33!$F$7:$F$874,'30 days CF Table(Ccy)'!$C$2),2)</f>
        <v>0</v>
      </c>
      <c r="AY46" s="380">
        <f>ROUND(SUMIFS(BS_RE33!$H$7:$H$874,BS_RE33!$S$7:$S$874,$AY$2,BS_RE33!$N$7:$N$874,I46,BS_RE33!$P$7:$P$874,'30 days CF Table(Ccy)'!G46,BS_RE33!$F$7:$F$874,'30 days CF Table(Ccy)'!$C$2),2)</f>
        <v>0</v>
      </c>
      <c r="AZ46" s="380">
        <f>ROUND(SUMIFS(BS_RE33!$H$7:$H$874,BS_RE33!$S$7:$S$874,$AZ$2,BS_RE33!$N$7:$N$874,I46,BS_RE33!$P$7:$P$874,'30 days CF Table(Ccy)'!G46,BS_RE33!$F$7:$F$874,'30 days CF Table(Ccy)'!$C$2),2)</f>
        <v>0</v>
      </c>
      <c r="BA46" s="380">
        <f>ROUND(SUMIFS(BS_RE33!$H$7:$H$874,BS_RE33!$S$7:$S$874,$BA$2,BS_RE33!$N$7:$N$874,I46,BS_RE33!$P$7:$P$874,'30 days CF Table(Ccy)'!G46,BS_RE33!$F$7:$F$874,'30 days CF Table(Ccy)'!$C$2),2)</f>
        <v>0</v>
      </c>
      <c r="BB46" s="380">
        <f>ROUND(SUMIFS(BS_RE33!$H$7:$H$874,BS_RE33!$S$7:$S$874,$BB$2,BS_RE33!$N$7:$N$874,I46,BS_RE33!$P$7:$P$874,'30 days CF Table(Ccy)'!G46,BS_RE33!$F$7:$F$874,'30 days CF Table(Ccy)'!$C$2),2)</f>
        <v>0</v>
      </c>
      <c r="BC46" s="380">
        <f>ROUND(SUMIFS(BS_RE33!$H$7:$H$874,BS_RE33!$S$7:$S$874,$BC$2,BS_RE33!$N$7:$N$874,I46,BS_RE33!$P$7:$P$874,'30 days CF Table(Ccy)'!G46,BS_RE33!$F$7:$F$874,'30 days CF Table(Ccy)'!$C$2),2)</f>
        <v>0</v>
      </c>
      <c r="BD46" s="380">
        <f>ROUND(SUMIFS(BS_RE33!$H$7:$H$874,BS_RE33!$S$7:$S$874,$BD$2,BS_RE33!$N$7:$N$874,I46,BS_RE33!$P$7:$P$874,'30 days CF Table(Ccy)'!G46,BS_RE33!$F$7:$F$874,'30 days CF Table(Ccy)'!$C$2),2)</f>
        <v>0</v>
      </c>
      <c r="BE46" s="380">
        <f>ROUND(SUMIFS(BS_RE33!$H$7:$H$874,BS_RE33!$S$7:$S$874,$BE$2,BS_RE33!$N$7:$N$874,I46,BS_RE33!$P$7:$P$874,'30 days CF Table(Ccy)'!G46,BS_RE33!$F$7:$F$874,'30 days CF Table(Ccy)'!$C$2),2)</f>
        <v>0</v>
      </c>
      <c r="BF46" s="380">
        <f>ROUND(SUMIFS(BS_RE33!$H$7:$H$874,BS_RE33!$S$7:$S$874,$BF$2,BS_RE33!$N$7:$N$874,I46,BS_RE33!$P$7:$P$874,'30 days CF Table(Ccy)'!G46,BS_RE33!$F$7:$F$874,'30 days CF Table(Ccy)'!$C$2),2)</f>
        <v>0</v>
      </c>
      <c r="BG46" s="380">
        <f>ROUND(SUMIFS(BS_RE33!$H$7:$H$874,BS_RE33!$S$7:$S$874,$BG$2,BS_RE33!$N$7:$N$874,I46,BS_RE33!$P$7:$P$874,'30 days CF Table(Ccy)'!G46,BS_RE33!$F$7:$F$874,'30 days CF Table(Ccy)'!$C$2),2)</f>
        <v>0</v>
      </c>
      <c r="BH46" s="380">
        <f>ROUND(SUMIFS(BS_RE33!$H$7:$H$874,BS_RE33!$S$7:$S$874,$BH$2,BS_RE33!$N$7:$N$874,I46,BS_RE33!$P$7:$P$874,'30 days CF Table(Ccy)'!G46,BS_RE33!$F$7:$F$874,'30 days CF Table(Ccy)'!$C$2),2)</f>
        <v>0</v>
      </c>
      <c r="BI46" s="380">
        <f>ROUND(SUMIFS(BS_RE33!$H$7:$H$874,BS_RE33!$S$7:$S$874,$BI$2,BS_RE33!$N$7:$N$874,I46,BS_RE33!$P$7:$P$874,'30 days CF Table(Ccy)'!G46,BS_RE33!$F$7:$F$874,'30 days CF Table(Ccy)'!$C$2),2)</f>
        <v>0</v>
      </c>
      <c r="BJ46" s="380">
        <f>ROUND(SUMIFS(BS_RE33!$H$7:$H$874,BS_RE33!$S$7:$S$874,$BJ$2,BS_RE33!$N$7:$N$874,I46,BS_RE33!$P$7:$P$874,'30 days CF Table(Ccy)'!G46,BS_RE33!$F$7:$F$874,'30 days CF Table(Ccy)'!$C$2),2)</f>
        <v>0</v>
      </c>
      <c r="BK46" s="380">
        <f>ROUND(SUMIFS(BS_RE33!$H$7:$H$874,BS_RE33!$S$7:$S$874,$BK$2,BS_RE33!$N$7:$N$874,I46,BS_RE33!$P$7:$P$874,'30 days CF Table(Ccy)'!G46,BS_RE33!$F$7:$F$874,'30 days CF Table(Ccy)'!$C$2),2)</f>
        <v>0</v>
      </c>
    </row>
    <row r="47" spans="3:63">
      <c r="C47" s="1029"/>
      <c r="D47" s="1039"/>
      <c r="E47" s="108" t="s">
        <v>765</v>
      </c>
      <c r="F47" s="309"/>
      <c r="G47" s="392" t="s">
        <v>756</v>
      </c>
      <c r="H47" s="168">
        <v>0</v>
      </c>
      <c r="I47" s="307" t="s">
        <v>167</v>
      </c>
      <c r="J47" s="478">
        <f t="shared" si="2"/>
        <v>0</v>
      </c>
      <c r="K47" s="547">
        <f t="shared" si="3"/>
        <v>0</v>
      </c>
      <c r="L47" s="548">
        <f>ROUND(SUMIFS(BS_RE33!$H$7:$H$874,BS_RE33!$S$7:$S$874,$L$2,BS_RE33!$N$7:$N$874,I47,BS_RE33!$P$7:$P$874,'30 days CF Table(Ccy)'!G47,BS_RE33!$F$7:$F$874,'30 days CF Table(Ccy)'!$C$2),2)</f>
        <v>0</v>
      </c>
      <c r="M47" s="548">
        <f>ROUND(SUMIFS(BS_RE33!$H$7:$H$874,BS_RE33!$S$7:$S$874,$M$2,BS_RE33!$N$7:$N$874,I47,BS_RE33!$P$7:$P$874,'30 days CF Table(Ccy)'!G47,BS_RE33!$F$7:$F$874,'30 days CF Table(Ccy)'!$C$2),2)</f>
        <v>0</v>
      </c>
      <c r="N47" s="548">
        <f>ROUND(SUMIFS(BS_RE33!$H$7:$H$874,BS_RE33!$S$7:$S$874,$N$2,BS_RE33!$N$7:$N$874,I47,BS_RE33!$P$7:$P$874,'30 days CF Table(Ccy)'!G47,BS_RE33!$F$7:$F$874,'30 days CF Table(Ccy)'!$C$2),2)</f>
        <v>0</v>
      </c>
      <c r="O47" s="548">
        <f>ROUND(SUMIFS(BS_RE33!$H$7:$H$874,BS_RE33!$S$7:$S$874,$O$2,BS_RE33!$N$7:$N$874,I47,BS_RE33!$P$7:$P$874,'30 days CF Table(Ccy)'!G47,BS_RE33!$F$7:$F$874,'30 days CF Table(Ccy)'!$C$2),2)</f>
        <v>0</v>
      </c>
      <c r="P47" s="548">
        <f>ROUND(SUMIFS(BS_RE33!$H$7:$H$874,BS_RE33!$S$7:$S$874,$P$2,BS_RE33!$N$7:$N$874,I47,BS_RE33!$P$7:$P$874,'30 days CF Table(Ccy)'!G47,BS_RE33!$F$7:$F$874,'30 days CF Table(Ccy)'!$C$2),2)</f>
        <v>0</v>
      </c>
      <c r="Q47" s="548">
        <f>ROUND(SUMIFS(BS_RE33!$H$7:$H$874,BS_RE33!$S$7:$S$874,$Q$2,BS_RE33!$N$7:$N$874,I47,BS_RE33!$P$7:$P$874,'30 days CF Table(Ccy)'!G47,BS_RE33!$F$7:$F$874,'30 days CF Table(Ccy)'!$C$2),2)</f>
        <v>0</v>
      </c>
      <c r="R47" s="548">
        <f>ROUND(SUMIFS(BS_RE33!$H$7:$H$874,BS_RE33!$S$7:$S$874,$R$2,BS_RE33!$N$7:$N$874,I47,BS_RE33!$P$7:$P$874,'30 days CF Table(Ccy)'!G47,BS_RE33!$F$7:$F$874,'30 days CF Table(Ccy)'!$C$2),2)</f>
        <v>0</v>
      </c>
      <c r="S47" s="548">
        <f>ROUND(SUMIFS(BS_RE33!$H$7:$H$874,BS_RE33!$S$7:$S$874,$S$2,BS_RE33!$N$7:$N$874,I47,BS_RE33!$P$7:$P$874,'30 days CF Table(Ccy)'!G47,BS_RE33!$F$7:$F$874,'30 days CF Table(Ccy)'!$C$2),2)</f>
        <v>0</v>
      </c>
      <c r="T47" s="548">
        <f>ROUND(SUMIFS(BS_RE33!$H$7:$H$874,BS_RE33!$S$7:$S$874,$T$2,BS_RE33!$N$7:$N$874,I47,BS_RE33!$P$7:$P$874,'30 days CF Table(Ccy)'!G47,BS_RE33!$F$7:$F$874,'30 days CF Table(Ccy)'!$C$2),2)</f>
        <v>0</v>
      </c>
      <c r="U47" s="548">
        <f>ROUND(SUMIFS(BS_RE33!$H$7:$H$874,BS_RE33!$S$7:$S$874,$U$2,BS_RE33!$N$7:$N$874,I47,BS_RE33!$P$7:$P$874,'30 days CF Table(Ccy)'!G47,BS_RE33!$F$7:$F$874,'30 days CF Table(Ccy)'!$C$2),2)</f>
        <v>0</v>
      </c>
      <c r="V47" s="548">
        <f>ROUND(SUMIFS(BS_RE33!$H$7:$H$874,BS_RE33!$S$7:$S$874,$V$2,BS_RE33!$N$7:$N$874,I47,BS_RE33!$P$7:$P$874,'30 days CF Table(Ccy)'!G47,BS_RE33!$F$7:$F$874,'30 days CF Table(Ccy)'!$C$2),2)</f>
        <v>0</v>
      </c>
      <c r="W47" s="548">
        <f>ROUND(SUMIFS(BS_RE33!$H$7:$H$874,BS_RE33!$S$7:$S$874,$W$2,BS_RE33!$N$7:$N$874,I47,BS_RE33!$P$7:$P$874,'30 days CF Table(Ccy)'!G47,BS_RE33!$F$7:$F$874,'30 days CF Table(Ccy)'!$C$2),2)</f>
        <v>0</v>
      </c>
      <c r="X47" s="548">
        <f>ROUND(SUMIFS(BS_RE33!$H$7:$H$874,BS_RE33!$S$7:$S$874,$X$2,BS_RE33!$N$7:$N$874,I47,BS_RE33!$P$7:$P$874,'30 days CF Table(Ccy)'!G47,BS_RE33!$F$7:$F$874,'30 days CF Table(Ccy)'!$C$2),2)</f>
        <v>0</v>
      </c>
      <c r="Y47" s="548">
        <f>ROUND(SUMIFS(BS_RE33!$H$7:$H$874,BS_RE33!$S$7:$S$874,$Y$2,BS_RE33!$N$7:$N$874,I47,BS_RE33!$P$7:$P$874,'30 days CF Table(Ccy)'!G47,BS_RE33!$F$7:$F$874,'30 days CF Table(Ccy)'!$C$2),2)</f>
        <v>0</v>
      </c>
      <c r="Z47" s="548">
        <f>ROUND(SUMIFS(BS_RE33!$H$7:$H$874,BS_RE33!$S$7:$S$874,$Z$2,BS_RE33!$N$7:$N$874,I47,BS_RE33!$P$7:$P$874,'30 days CF Table(Ccy)'!G47,BS_RE33!$F$7:$F$874,'30 days CF Table(Ccy)'!$C$2),2)</f>
        <v>0</v>
      </c>
      <c r="AA47" s="548">
        <f>ROUND(SUMIFS(BS_RE33!$H$7:$H$874,BS_RE33!$S$7:$S$874,$AA$2,BS_RE33!$N$7:$N$874,I47,BS_RE33!$P$7:$P$874,'30 days CF Table(Ccy)'!G47,BS_RE33!$F$7:$F$874,'30 days CF Table(Ccy)'!$C$2),2)</f>
        <v>0</v>
      </c>
      <c r="AB47" s="548">
        <f>ROUND(SUMIFS(BS_RE33!$H$7:$H$874,BS_RE33!$S$7:$S$874,$AB$2,BS_RE33!$N$7:$N$874,I47,BS_RE33!$P$7:$P$874,'30 days CF Table(Ccy)'!G47,BS_RE33!$F$7:$F$874,'30 days CF Table(Ccy)'!$C$2),2)</f>
        <v>0</v>
      </c>
      <c r="AC47" s="548">
        <f>ROUND(SUMIFS(BS_RE33!$H$7:$H$874,BS_RE33!$S$7:$S$874,$AC$2,BS_RE33!$N$7:$N$874,I47,BS_RE33!$P$7:$P$874,'30 days CF Table(Ccy)'!G47,BS_RE33!$F$7:$F$874,'30 days CF Table(Ccy)'!$C$2),2)</f>
        <v>0</v>
      </c>
      <c r="AD47" s="548">
        <f>ROUND(SUMIFS(BS_RE33!$H$7:$H$874,BS_RE33!$S$7:$S$874,$AD$2,BS_RE33!$N$7:$N$874,I47,BS_RE33!$P$7:$P$874,'30 days CF Table(Ccy)'!G47,BS_RE33!$F$7:$F$874,'30 days CF Table(Ccy)'!$C$2),2)</f>
        <v>0</v>
      </c>
      <c r="AE47" s="548">
        <f>ROUND(SUMIFS(BS_RE33!$H$7:$H$874,BS_RE33!$S$7:$S$874,$AE$2,BS_RE33!$N$7:$N$874,I47,BS_RE33!$P$7:$P$874,'30 days CF Table(Ccy)'!G47,BS_RE33!$F$7:$F$874,'30 days CF Table(Ccy)'!$C$2),2)</f>
        <v>0</v>
      </c>
      <c r="AF47" s="548">
        <f>ROUND(SUMIFS(BS_RE33!$H$7:$H$874,BS_RE33!$S$7:$S$874,$AF$2,BS_RE33!$N$7:$N$874,I47,BS_RE33!$P$7:$P$874,'30 days CF Table(Ccy)'!G47,BS_RE33!$F$7:$F$874,'30 days CF Table(Ccy)'!$C$2),2)</f>
        <v>0</v>
      </c>
      <c r="AG47" s="548">
        <f>ROUND(SUMIFS(BS_RE33!$H$7:$H$874,BS_RE33!$S$7:$S$874,$AG$2,BS_RE33!$N$7:$N$874,I47,BS_RE33!$P$7:$P$874,'30 days CF Table(Ccy)'!G47,BS_RE33!$F$7:$F$874,'30 days CF Table(Ccy)'!$C$2),2)</f>
        <v>0</v>
      </c>
      <c r="AH47" s="548">
        <f>ROUND(SUMIFS(BS_RE33!$H$7:$H$874,BS_RE33!$S$7:$S$874,$AH$2,BS_RE33!$N$7:$N$874,I47,BS_RE33!$P$7:$P$874,'30 days CF Table(Ccy)'!G47,BS_RE33!$F$7:$F$874,'30 days CF Table(Ccy)'!$C$2),2)</f>
        <v>0</v>
      </c>
      <c r="AI47" s="548">
        <f>ROUND(SUMIFS(BS_RE33!$H$7:$H$874,BS_RE33!$S$7:$S$874,$AI$2,BS_RE33!$N$7:$N$874,I47,BS_RE33!$P$7:$P$874,'30 days CF Table(Ccy)'!G47,BS_RE33!$F$7:$F$874,'30 days CF Table(Ccy)'!$C$2),2)</f>
        <v>0</v>
      </c>
      <c r="AJ47" s="548">
        <f>ROUND(SUMIFS(BS_RE33!$H$7:$H$874,BS_RE33!$S$7:$S$874,$AJ$2,BS_RE33!$N$7:$N$874,I47,BS_RE33!$P$7:$P$874,'30 days CF Table(Ccy)'!G47,BS_RE33!$F$7:$F$874,'30 days CF Table(Ccy)'!$C$2),2)</f>
        <v>0</v>
      </c>
      <c r="AK47" s="548">
        <f>ROUND(SUMIFS(BS_RE33!$H$7:$H$874,BS_RE33!$S$7:$S$874,$AK$2,BS_RE33!$N$7:$N$874,I47,BS_RE33!$P$7:$P$874,'30 days CF Table(Ccy)'!G47,BS_RE33!$F$7:$F$874,'30 days CF Table(Ccy)'!$C$2),2)</f>
        <v>0</v>
      </c>
      <c r="AL47" s="548">
        <f>ROUND(SUMIFS(BS_RE33!$H$7:$H$874,BS_RE33!$S$7:$S$874,$AL$2,BS_RE33!$N$7:$N$874,I47,BS_RE33!$P$7:$P$874,'30 days CF Table(Ccy)'!G47,BS_RE33!$F$7:$F$874,'30 days CF Table(Ccy)'!$C$2),2)</f>
        <v>0</v>
      </c>
      <c r="AM47" s="548">
        <f>ROUND(SUMIFS(BS_RE33!$H$7:$H$874,BS_RE33!$S$7:$S$874,$AM$2,BS_RE33!$N$7:$N$874,I47,BS_RE33!$P$7:$P$874,'30 days CF Table(Ccy)'!G47,BS_RE33!$F$7:$F$874,'30 days CF Table(Ccy)'!$C$2),2)</f>
        <v>0</v>
      </c>
      <c r="AN47" s="548">
        <f>ROUND(SUMIFS(BS_RE33!$H$7:$H$874,BS_RE33!$S$7:$S$874,$AN$2,BS_RE33!$N$7:$N$874,I47,BS_RE33!$P$7:$P$874,'30 days CF Table(Ccy)'!G47,BS_RE33!$F$7:$F$874,'30 days CF Table(Ccy)'!$C$2),2)</f>
        <v>0</v>
      </c>
      <c r="AO47" s="548">
        <f>ROUND(SUMIFS(BS_RE33!$H$7:$H$874,BS_RE33!$S$7:$S$874,$AO$2,BS_RE33!$N$7:$N$874,I47,BS_RE33!$P$7:$P$874,'30 days CF Table(Ccy)'!G47,BS_RE33!$F$7:$F$874,'30 days CF Table(Ccy)'!$C$2),2)</f>
        <v>0</v>
      </c>
      <c r="AP47" s="549">
        <f>ROUND(SUMIFS(BS_RE33!$H$7:$H$874,BS_RE33!$S$7:$S$874,$AP$2,BS_RE33!$N$7:$N$874,I47,BS_RE33!$P$7:$P$874,'30 days CF Table(Ccy)'!G47,BS_RE33!$F$7:$F$874,'30 days CF Table(Ccy)'!$C$2),2)</f>
        <v>0</v>
      </c>
      <c r="AQ47" s="550"/>
      <c r="AR47" s="380">
        <f>ROUND(SUMIFS(BS_RE33!$H$7:$H$874,BS_RE33!$S$7:$S$874,$AR$2,BS_RE33!$N$7:$N$874,I47,BS_RE33!$P$7:$P$874,'30 days CF Table(Ccy)'!G47,BS_RE33!$F$7:$F$874,'30 days CF Table(Ccy)'!$C$2),2)</f>
        <v>0</v>
      </c>
      <c r="AS47" s="380">
        <f>ROUND(SUMIFS(BS_RE33!$H$7:$H$874,BS_RE33!$S$7:$S$874,$AS$2,BS_RE33!$N$7:$N$874,I47,BS_RE33!$P$7:$P$874,'30 days CF Table(Ccy)'!G47,BS_RE33!$F$7:$F$874,'30 days CF Table(Ccy)'!$C$2),2)</f>
        <v>0</v>
      </c>
      <c r="AT47" s="380">
        <f>ROUND(SUMIFS(BS_RE33!$H$7:$H$874,BS_RE33!$S$7:$S$874,$AT$2,BS_RE33!$N$7:$N$874,I47,BS_RE33!$P$7:$P$874,'30 days CF Table(Ccy)'!G47,BS_RE33!$F$7:$F$874,'30 days CF Table(Ccy)'!$C$2),2)</f>
        <v>0</v>
      </c>
      <c r="AU47" s="380">
        <f>ROUND(SUMIFS(BS_RE33!$H$7:$H$874,BS_RE33!$S$7:$S$874,$AU$2,BS_RE33!$N$7:$N$874,I47,BS_RE33!$P$7:$P$874,'30 days CF Table(Ccy)'!G47,BS_RE33!$F$7:$F$874,'30 days CF Table(Ccy)'!$C$2),2)</f>
        <v>0</v>
      </c>
      <c r="AV47" s="380">
        <f>ROUND(SUMIFS(BS_RE33!$H$7:$H$874,BS_RE33!$S$7:$S$874,$AV$2,BS_RE33!$N$7:$N$874,I47,BS_RE33!$P$7:$P$874,'30 days CF Table(Ccy)'!G47,BS_RE33!$F$7:$F$874,'30 days CF Table(Ccy)'!$C$2),2)</f>
        <v>0</v>
      </c>
      <c r="AW47" s="380">
        <f>ROUND(SUMIFS(BS_RE33!$H$7:$H$874,BS_RE33!$S$7:$S$874,$AW$2,BS_RE33!$N$7:$N$874,I47,BS_RE33!$P$7:$P$874,'30 days CF Table(Ccy)'!G47,BS_RE33!$F$7:$F$874,'30 days CF Table(Ccy)'!$C$2),2)</f>
        <v>0</v>
      </c>
      <c r="AX47" s="380">
        <f>ROUND(SUMIFS(BS_RE33!$H$7:$H$874,BS_RE33!$S$7:$S$874,$AX$2,BS_RE33!$N$7:$N$874,I47,BS_RE33!$P$7:$P$874,'30 days CF Table(Ccy)'!G47,BS_RE33!$F$7:$F$874,'30 days CF Table(Ccy)'!$C$2),2)</f>
        <v>0</v>
      </c>
      <c r="AY47" s="380">
        <f>ROUND(SUMIFS(BS_RE33!$H$7:$H$874,BS_RE33!$S$7:$S$874,$AY$2,BS_RE33!$N$7:$N$874,I47,BS_RE33!$P$7:$P$874,'30 days CF Table(Ccy)'!G47,BS_RE33!$F$7:$F$874,'30 days CF Table(Ccy)'!$C$2),2)</f>
        <v>0</v>
      </c>
      <c r="AZ47" s="380">
        <f>ROUND(SUMIFS(BS_RE33!$H$7:$H$874,BS_RE33!$S$7:$S$874,$AZ$2,BS_RE33!$N$7:$N$874,I47,BS_RE33!$P$7:$P$874,'30 days CF Table(Ccy)'!G47,BS_RE33!$F$7:$F$874,'30 days CF Table(Ccy)'!$C$2),2)</f>
        <v>0</v>
      </c>
      <c r="BA47" s="380">
        <f>ROUND(SUMIFS(BS_RE33!$H$7:$H$874,BS_RE33!$S$7:$S$874,$BA$2,BS_RE33!$N$7:$N$874,I47,BS_RE33!$P$7:$P$874,'30 days CF Table(Ccy)'!G47,BS_RE33!$F$7:$F$874,'30 days CF Table(Ccy)'!$C$2),2)</f>
        <v>0</v>
      </c>
      <c r="BB47" s="380">
        <f>ROUND(SUMIFS(BS_RE33!$H$7:$H$874,BS_RE33!$S$7:$S$874,$BB$2,BS_RE33!$N$7:$N$874,I47,BS_RE33!$P$7:$P$874,'30 days CF Table(Ccy)'!G47,BS_RE33!$F$7:$F$874,'30 days CF Table(Ccy)'!$C$2),2)</f>
        <v>0</v>
      </c>
      <c r="BC47" s="380">
        <f>ROUND(SUMIFS(BS_RE33!$H$7:$H$874,BS_RE33!$S$7:$S$874,$BC$2,BS_RE33!$N$7:$N$874,I47,BS_RE33!$P$7:$P$874,'30 days CF Table(Ccy)'!G47,BS_RE33!$F$7:$F$874,'30 days CF Table(Ccy)'!$C$2),2)</f>
        <v>0</v>
      </c>
      <c r="BD47" s="380">
        <f>ROUND(SUMIFS(BS_RE33!$H$7:$H$874,BS_RE33!$S$7:$S$874,$BD$2,BS_RE33!$N$7:$N$874,I47,BS_RE33!$P$7:$P$874,'30 days CF Table(Ccy)'!G47,BS_RE33!$F$7:$F$874,'30 days CF Table(Ccy)'!$C$2),2)</f>
        <v>0</v>
      </c>
      <c r="BE47" s="380">
        <f>ROUND(SUMIFS(BS_RE33!$H$7:$H$874,BS_RE33!$S$7:$S$874,$BE$2,BS_RE33!$N$7:$N$874,I47,BS_RE33!$P$7:$P$874,'30 days CF Table(Ccy)'!G47,BS_RE33!$F$7:$F$874,'30 days CF Table(Ccy)'!$C$2),2)</f>
        <v>0</v>
      </c>
      <c r="BF47" s="380">
        <f>ROUND(SUMIFS(BS_RE33!$H$7:$H$874,BS_RE33!$S$7:$S$874,$BF$2,BS_RE33!$N$7:$N$874,I47,BS_RE33!$P$7:$P$874,'30 days CF Table(Ccy)'!G47,BS_RE33!$F$7:$F$874,'30 days CF Table(Ccy)'!$C$2),2)</f>
        <v>0</v>
      </c>
      <c r="BG47" s="380">
        <f>ROUND(SUMIFS(BS_RE33!$H$7:$H$874,BS_RE33!$S$7:$S$874,$BG$2,BS_RE33!$N$7:$N$874,I47,BS_RE33!$P$7:$P$874,'30 days CF Table(Ccy)'!G47,BS_RE33!$F$7:$F$874,'30 days CF Table(Ccy)'!$C$2),2)</f>
        <v>0</v>
      </c>
      <c r="BH47" s="380">
        <f>ROUND(SUMIFS(BS_RE33!$H$7:$H$874,BS_RE33!$S$7:$S$874,$BH$2,BS_RE33!$N$7:$N$874,I47,BS_RE33!$P$7:$P$874,'30 days CF Table(Ccy)'!G47,BS_RE33!$F$7:$F$874,'30 days CF Table(Ccy)'!$C$2),2)</f>
        <v>0</v>
      </c>
      <c r="BI47" s="380">
        <f>ROUND(SUMIFS(BS_RE33!$H$7:$H$874,BS_RE33!$S$7:$S$874,$BI$2,BS_RE33!$N$7:$N$874,I47,BS_RE33!$P$7:$P$874,'30 days CF Table(Ccy)'!G47,BS_RE33!$F$7:$F$874,'30 days CF Table(Ccy)'!$C$2),2)</f>
        <v>0</v>
      </c>
      <c r="BJ47" s="380">
        <f>ROUND(SUMIFS(BS_RE33!$H$7:$H$874,BS_RE33!$S$7:$S$874,$BJ$2,BS_RE33!$N$7:$N$874,I47,BS_RE33!$P$7:$P$874,'30 days CF Table(Ccy)'!G47,BS_RE33!$F$7:$F$874,'30 days CF Table(Ccy)'!$C$2),2)</f>
        <v>0</v>
      </c>
      <c r="BK47" s="380">
        <f>ROUND(SUMIFS(BS_RE33!$H$7:$H$874,BS_RE33!$S$7:$S$874,$BK$2,BS_RE33!$N$7:$N$874,I47,BS_RE33!$P$7:$P$874,'30 days CF Table(Ccy)'!G47,BS_RE33!$F$7:$F$874,'30 days CF Table(Ccy)'!$C$2),2)</f>
        <v>0</v>
      </c>
    </row>
    <row r="48" spans="3:63">
      <c r="C48" s="1029"/>
      <c r="D48" s="1039"/>
      <c r="E48" s="105" t="s">
        <v>567</v>
      </c>
      <c r="F48" s="309"/>
      <c r="G48" s="145" t="s">
        <v>568</v>
      </c>
      <c r="H48" s="168">
        <v>0</v>
      </c>
      <c r="I48" s="307" t="s">
        <v>167</v>
      </c>
      <c r="J48" s="478">
        <f t="shared" si="2"/>
        <v>0</v>
      </c>
      <c r="K48" s="547">
        <f t="shared" si="3"/>
        <v>0</v>
      </c>
      <c r="L48" s="548">
        <f>ROUND(SUMIFS(BS_RE33!$H$7:$H$874,BS_RE33!$S$7:$S$874,$L$2,BS_RE33!$N$7:$N$874,I48,BS_RE33!$P$7:$P$874,'30 days CF Table(Ccy)'!G48,BS_RE33!$F$7:$F$874,'30 days CF Table(Ccy)'!$C$2),2)</f>
        <v>0</v>
      </c>
      <c r="M48" s="548">
        <f>ROUND(SUMIFS(BS_RE33!$H$7:$H$874,BS_RE33!$S$7:$S$874,$M$2,BS_RE33!$N$7:$N$874,I48,BS_RE33!$P$7:$P$874,'30 days CF Table(Ccy)'!G48,BS_RE33!$F$7:$F$874,'30 days CF Table(Ccy)'!$C$2),2)</f>
        <v>0</v>
      </c>
      <c r="N48" s="548">
        <f>ROUND(SUMIFS(BS_RE33!$H$7:$H$874,BS_RE33!$S$7:$S$874,$N$2,BS_RE33!$N$7:$N$874,I48,BS_RE33!$P$7:$P$874,'30 days CF Table(Ccy)'!G48,BS_RE33!$F$7:$F$874,'30 days CF Table(Ccy)'!$C$2),2)</f>
        <v>0</v>
      </c>
      <c r="O48" s="548">
        <f>ROUND(SUMIFS(BS_RE33!$H$7:$H$874,BS_RE33!$S$7:$S$874,$O$2,BS_RE33!$N$7:$N$874,I48,BS_RE33!$P$7:$P$874,'30 days CF Table(Ccy)'!G48,BS_RE33!$F$7:$F$874,'30 days CF Table(Ccy)'!$C$2),2)</f>
        <v>0</v>
      </c>
      <c r="P48" s="548">
        <f>ROUND(SUMIFS(BS_RE33!$H$7:$H$874,BS_RE33!$S$7:$S$874,$P$2,BS_RE33!$N$7:$N$874,I48,BS_RE33!$P$7:$P$874,'30 days CF Table(Ccy)'!G48,BS_RE33!$F$7:$F$874,'30 days CF Table(Ccy)'!$C$2),2)</f>
        <v>0</v>
      </c>
      <c r="Q48" s="548">
        <f>ROUND(SUMIFS(BS_RE33!$H$7:$H$874,BS_RE33!$S$7:$S$874,$Q$2,BS_RE33!$N$7:$N$874,I48,BS_RE33!$P$7:$P$874,'30 days CF Table(Ccy)'!G48,BS_RE33!$F$7:$F$874,'30 days CF Table(Ccy)'!$C$2),2)</f>
        <v>0</v>
      </c>
      <c r="R48" s="548">
        <f>ROUND(SUMIFS(BS_RE33!$H$7:$H$874,BS_RE33!$S$7:$S$874,$R$2,BS_RE33!$N$7:$N$874,I48,BS_RE33!$P$7:$P$874,'30 days CF Table(Ccy)'!G48,BS_RE33!$F$7:$F$874,'30 days CF Table(Ccy)'!$C$2),2)</f>
        <v>0</v>
      </c>
      <c r="S48" s="548">
        <f>ROUND(SUMIFS(BS_RE33!$H$7:$H$874,BS_RE33!$S$7:$S$874,$S$2,BS_RE33!$N$7:$N$874,I48,BS_RE33!$P$7:$P$874,'30 days CF Table(Ccy)'!G48,BS_RE33!$F$7:$F$874,'30 days CF Table(Ccy)'!$C$2),2)</f>
        <v>0</v>
      </c>
      <c r="T48" s="548">
        <f>ROUND(SUMIFS(BS_RE33!$H$7:$H$874,BS_RE33!$S$7:$S$874,$T$2,BS_RE33!$N$7:$N$874,I48,BS_RE33!$P$7:$P$874,'30 days CF Table(Ccy)'!G48,BS_RE33!$F$7:$F$874,'30 days CF Table(Ccy)'!$C$2),2)</f>
        <v>0</v>
      </c>
      <c r="U48" s="548">
        <f>ROUND(SUMIFS(BS_RE33!$H$7:$H$874,BS_RE33!$S$7:$S$874,$U$2,BS_RE33!$N$7:$N$874,I48,BS_RE33!$P$7:$P$874,'30 days CF Table(Ccy)'!G48,BS_RE33!$F$7:$F$874,'30 days CF Table(Ccy)'!$C$2),2)</f>
        <v>0</v>
      </c>
      <c r="V48" s="548">
        <f>ROUND(SUMIFS(BS_RE33!$H$7:$H$874,BS_RE33!$S$7:$S$874,$V$2,BS_RE33!$N$7:$N$874,I48,BS_RE33!$P$7:$P$874,'30 days CF Table(Ccy)'!G48,BS_RE33!$F$7:$F$874,'30 days CF Table(Ccy)'!$C$2),2)</f>
        <v>0</v>
      </c>
      <c r="W48" s="548">
        <f>ROUND(SUMIFS(BS_RE33!$H$7:$H$874,BS_RE33!$S$7:$S$874,$W$2,BS_RE33!$N$7:$N$874,I48,BS_RE33!$P$7:$P$874,'30 days CF Table(Ccy)'!G48,BS_RE33!$F$7:$F$874,'30 days CF Table(Ccy)'!$C$2),2)</f>
        <v>0</v>
      </c>
      <c r="X48" s="548">
        <f>ROUND(SUMIFS(BS_RE33!$H$7:$H$874,BS_RE33!$S$7:$S$874,$X$2,BS_RE33!$N$7:$N$874,I48,BS_RE33!$P$7:$P$874,'30 days CF Table(Ccy)'!G48,BS_RE33!$F$7:$F$874,'30 days CF Table(Ccy)'!$C$2),2)</f>
        <v>0</v>
      </c>
      <c r="Y48" s="548">
        <f>ROUND(SUMIFS(BS_RE33!$H$7:$H$874,BS_RE33!$S$7:$S$874,$Y$2,BS_RE33!$N$7:$N$874,I48,BS_RE33!$P$7:$P$874,'30 days CF Table(Ccy)'!G48,BS_RE33!$F$7:$F$874,'30 days CF Table(Ccy)'!$C$2),2)</f>
        <v>0</v>
      </c>
      <c r="Z48" s="548">
        <f>ROUND(SUMIFS(BS_RE33!$H$7:$H$874,BS_RE33!$S$7:$S$874,$Z$2,BS_RE33!$N$7:$N$874,I48,BS_RE33!$P$7:$P$874,'30 days CF Table(Ccy)'!G48,BS_RE33!$F$7:$F$874,'30 days CF Table(Ccy)'!$C$2),2)</f>
        <v>0</v>
      </c>
      <c r="AA48" s="548">
        <f>ROUND(SUMIFS(BS_RE33!$H$7:$H$874,BS_RE33!$S$7:$S$874,$AA$2,BS_RE33!$N$7:$N$874,I48,BS_RE33!$P$7:$P$874,'30 days CF Table(Ccy)'!G48,BS_RE33!$F$7:$F$874,'30 days CF Table(Ccy)'!$C$2),2)</f>
        <v>0</v>
      </c>
      <c r="AB48" s="548">
        <f>ROUND(SUMIFS(BS_RE33!$H$7:$H$874,BS_RE33!$S$7:$S$874,$AB$2,BS_RE33!$N$7:$N$874,I48,BS_RE33!$P$7:$P$874,'30 days CF Table(Ccy)'!G48,BS_RE33!$F$7:$F$874,'30 days CF Table(Ccy)'!$C$2),2)</f>
        <v>0</v>
      </c>
      <c r="AC48" s="548">
        <f>ROUND(SUMIFS(BS_RE33!$H$7:$H$874,BS_RE33!$S$7:$S$874,$AC$2,BS_RE33!$N$7:$N$874,I48,BS_RE33!$P$7:$P$874,'30 days CF Table(Ccy)'!G48,BS_RE33!$F$7:$F$874,'30 days CF Table(Ccy)'!$C$2),2)</f>
        <v>0</v>
      </c>
      <c r="AD48" s="548">
        <f>ROUND(SUMIFS(BS_RE33!$H$7:$H$874,BS_RE33!$S$7:$S$874,$AD$2,BS_RE33!$N$7:$N$874,I48,BS_RE33!$P$7:$P$874,'30 days CF Table(Ccy)'!G48,BS_RE33!$F$7:$F$874,'30 days CF Table(Ccy)'!$C$2),2)</f>
        <v>0</v>
      </c>
      <c r="AE48" s="548">
        <f>ROUND(SUMIFS(BS_RE33!$H$7:$H$874,BS_RE33!$S$7:$S$874,$AE$2,BS_RE33!$N$7:$N$874,I48,BS_RE33!$P$7:$P$874,'30 days CF Table(Ccy)'!G48,BS_RE33!$F$7:$F$874,'30 days CF Table(Ccy)'!$C$2),2)</f>
        <v>0</v>
      </c>
      <c r="AF48" s="548">
        <f>ROUND(SUMIFS(BS_RE33!$H$7:$H$874,BS_RE33!$S$7:$S$874,$AF$2,BS_RE33!$N$7:$N$874,I48,BS_RE33!$P$7:$P$874,'30 days CF Table(Ccy)'!G48,BS_RE33!$F$7:$F$874,'30 days CF Table(Ccy)'!$C$2),2)</f>
        <v>0</v>
      </c>
      <c r="AG48" s="548">
        <f>ROUND(SUMIFS(BS_RE33!$H$7:$H$874,BS_RE33!$S$7:$S$874,$AG$2,BS_RE33!$N$7:$N$874,I48,BS_RE33!$P$7:$P$874,'30 days CF Table(Ccy)'!G48,BS_RE33!$F$7:$F$874,'30 days CF Table(Ccy)'!$C$2),2)</f>
        <v>0</v>
      </c>
      <c r="AH48" s="548">
        <f>ROUND(SUMIFS(BS_RE33!$H$7:$H$874,BS_RE33!$S$7:$S$874,$AH$2,BS_RE33!$N$7:$N$874,I48,BS_RE33!$P$7:$P$874,'30 days CF Table(Ccy)'!G48,BS_RE33!$F$7:$F$874,'30 days CF Table(Ccy)'!$C$2),2)</f>
        <v>0</v>
      </c>
      <c r="AI48" s="548">
        <f>ROUND(SUMIFS(BS_RE33!$H$7:$H$874,BS_RE33!$S$7:$S$874,$AI$2,BS_RE33!$N$7:$N$874,I48,BS_RE33!$P$7:$P$874,'30 days CF Table(Ccy)'!G48,BS_RE33!$F$7:$F$874,'30 days CF Table(Ccy)'!$C$2),2)</f>
        <v>0</v>
      </c>
      <c r="AJ48" s="548">
        <f>ROUND(SUMIFS(BS_RE33!$H$7:$H$874,BS_RE33!$S$7:$S$874,$AJ$2,BS_RE33!$N$7:$N$874,I48,BS_RE33!$P$7:$P$874,'30 days CF Table(Ccy)'!G48,BS_RE33!$F$7:$F$874,'30 days CF Table(Ccy)'!$C$2),2)</f>
        <v>0</v>
      </c>
      <c r="AK48" s="548">
        <f>ROUND(SUMIFS(BS_RE33!$H$7:$H$874,BS_RE33!$S$7:$S$874,$AK$2,BS_RE33!$N$7:$N$874,I48,BS_RE33!$P$7:$P$874,'30 days CF Table(Ccy)'!G48,BS_RE33!$F$7:$F$874,'30 days CF Table(Ccy)'!$C$2),2)</f>
        <v>0</v>
      </c>
      <c r="AL48" s="548">
        <f>ROUND(SUMIFS(BS_RE33!$H$7:$H$874,BS_RE33!$S$7:$S$874,$AL$2,BS_RE33!$N$7:$N$874,I48,BS_RE33!$P$7:$P$874,'30 days CF Table(Ccy)'!G48,BS_RE33!$F$7:$F$874,'30 days CF Table(Ccy)'!$C$2),2)</f>
        <v>0</v>
      </c>
      <c r="AM48" s="548">
        <f>ROUND(SUMIFS(BS_RE33!$H$7:$H$874,BS_RE33!$S$7:$S$874,$AM$2,BS_RE33!$N$7:$N$874,I48,BS_RE33!$P$7:$P$874,'30 days CF Table(Ccy)'!G48,BS_RE33!$F$7:$F$874,'30 days CF Table(Ccy)'!$C$2),2)</f>
        <v>0</v>
      </c>
      <c r="AN48" s="548">
        <f>ROUND(SUMIFS(BS_RE33!$H$7:$H$874,BS_RE33!$S$7:$S$874,$AN$2,BS_RE33!$N$7:$N$874,I48,BS_RE33!$P$7:$P$874,'30 days CF Table(Ccy)'!G48,BS_RE33!$F$7:$F$874,'30 days CF Table(Ccy)'!$C$2),2)</f>
        <v>0</v>
      </c>
      <c r="AO48" s="548">
        <f>ROUND(SUMIFS(BS_RE33!$H$7:$H$874,BS_RE33!$S$7:$S$874,$AO$2,BS_RE33!$N$7:$N$874,I48,BS_RE33!$P$7:$P$874,'30 days CF Table(Ccy)'!G48,BS_RE33!$F$7:$F$874,'30 days CF Table(Ccy)'!$C$2),2)</f>
        <v>0</v>
      </c>
      <c r="AP48" s="549">
        <f>ROUND(SUMIFS(BS_RE33!$H$7:$H$874,BS_RE33!$S$7:$S$874,$AP$2,BS_RE33!$N$7:$N$874,I48,BS_RE33!$P$7:$P$874,'30 days CF Table(Ccy)'!G48,BS_RE33!$F$7:$F$874,'30 days CF Table(Ccy)'!$C$2),2)</f>
        <v>0</v>
      </c>
      <c r="AQ48" s="550"/>
      <c r="AR48" s="380">
        <f>ROUND(SUMIFS(BS_RE33!$H$7:$H$874,BS_RE33!$S$7:$S$874,$AR$2,BS_RE33!$N$7:$N$874,I48,BS_RE33!$P$7:$P$874,'30 days CF Table(Ccy)'!G48,BS_RE33!$F$7:$F$874,'30 days CF Table(Ccy)'!$C$2),2)</f>
        <v>0</v>
      </c>
      <c r="AS48" s="380">
        <f>ROUND(SUMIFS(BS_RE33!$H$7:$H$874,BS_RE33!$S$7:$S$874,$AS$2,BS_RE33!$N$7:$N$874,I48,BS_RE33!$P$7:$P$874,'30 days CF Table(Ccy)'!G48,BS_RE33!$F$7:$F$874,'30 days CF Table(Ccy)'!$C$2),2)</f>
        <v>0</v>
      </c>
      <c r="AT48" s="380">
        <f>ROUND(SUMIFS(BS_RE33!$H$7:$H$874,BS_RE33!$S$7:$S$874,$AT$2,BS_RE33!$N$7:$N$874,I48,BS_RE33!$P$7:$P$874,'30 days CF Table(Ccy)'!G48,BS_RE33!$F$7:$F$874,'30 days CF Table(Ccy)'!$C$2),2)</f>
        <v>0</v>
      </c>
      <c r="AU48" s="380">
        <f>ROUND(SUMIFS(BS_RE33!$H$7:$H$874,BS_RE33!$S$7:$S$874,$AU$2,BS_RE33!$N$7:$N$874,I48,BS_RE33!$P$7:$P$874,'30 days CF Table(Ccy)'!G48,BS_RE33!$F$7:$F$874,'30 days CF Table(Ccy)'!$C$2),2)</f>
        <v>0</v>
      </c>
      <c r="AV48" s="380">
        <f>ROUND(SUMIFS(BS_RE33!$H$7:$H$874,BS_RE33!$S$7:$S$874,$AV$2,BS_RE33!$N$7:$N$874,I48,BS_RE33!$P$7:$P$874,'30 days CF Table(Ccy)'!G48,BS_RE33!$F$7:$F$874,'30 days CF Table(Ccy)'!$C$2),2)</f>
        <v>0</v>
      </c>
      <c r="AW48" s="380">
        <f>ROUND(SUMIFS(BS_RE33!$H$7:$H$874,BS_RE33!$S$7:$S$874,$AW$2,BS_RE33!$N$7:$N$874,I48,BS_RE33!$P$7:$P$874,'30 days CF Table(Ccy)'!G48,BS_RE33!$F$7:$F$874,'30 days CF Table(Ccy)'!$C$2),2)</f>
        <v>0</v>
      </c>
      <c r="AX48" s="380">
        <f>ROUND(SUMIFS(BS_RE33!$H$7:$H$874,BS_RE33!$S$7:$S$874,$AX$2,BS_RE33!$N$7:$N$874,I48,BS_RE33!$P$7:$P$874,'30 days CF Table(Ccy)'!G48,BS_RE33!$F$7:$F$874,'30 days CF Table(Ccy)'!$C$2),2)</f>
        <v>0</v>
      </c>
      <c r="AY48" s="380">
        <f>ROUND(SUMIFS(BS_RE33!$H$7:$H$874,BS_RE33!$S$7:$S$874,$AY$2,BS_RE33!$N$7:$N$874,I48,BS_RE33!$P$7:$P$874,'30 days CF Table(Ccy)'!G48,BS_RE33!$F$7:$F$874,'30 days CF Table(Ccy)'!$C$2),2)</f>
        <v>0</v>
      </c>
      <c r="AZ48" s="380">
        <f>ROUND(SUMIFS(BS_RE33!$H$7:$H$874,BS_RE33!$S$7:$S$874,$AZ$2,BS_RE33!$N$7:$N$874,I48,BS_RE33!$P$7:$P$874,'30 days CF Table(Ccy)'!G48,BS_RE33!$F$7:$F$874,'30 days CF Table(Ccy)'!$C$2),2)</f>
        <v>0</v>
      </c>
      <c r="BA48" s="380">
        <f>ROUND(SUMIFS(BS_RE33!$H$7:$H$874,BS_RE33!$S$7:$S$874,$BA$2,BS_RE33!$N$7:$N$874,I48,BS_RE33!$P$7:$P$874,'30 days CF Table(Ccy)'!G48,BS_RE33!$F$7:$F$874,'30 days CF Table(Ccy)'!$C$2),2)</f>
        <v>0</v>
      </c>
      <c r="BB48" s="380">
        <f>ROUND(SUMIFS(BS_RE33!$H$7:$H$874,BS_RE33!$S$7:$S$874,$BB$2,BS_RE33!$N$7:$N$874,I48,BS_RE33!$P$7:$P$874,'30 days CF Table(Ccy)'!G48,BS_RE33!$F$7:$F$874,'30 days CF Table(Ccy)'!$C$2),2)</f>
        <v>0</v>
      </c>
      <c r="BC48" s="380">
        <f>ROUND(SUMIFS(BS_RE33!$H$7:$H$874,BS_RE33!$S$7:$S$874,$BC$2,BS_RE33!$N$7:$N$874,I48,BS_RE33!$P$7:$P$874,'30 days CF Table(Ccy)'!G48,BS_RE33!$F$7:$F$874,'30 days CF Table(Ccy)'!$C$2),2)</f>
        <v>0</v>
      </c>
      <c r="BD48" s="380">
        <f>ROUND(SUMIFS(BS_RE33!$H$7:$H$874,BS_RE33!$S$7:$S$874,$BD$2,BS_RE33!$N$7:$N$874,I48,BS_RE33!$P$7:$P$874,'30 days CF Table(Ccy)'!G48,BS_RE33!$F$7:$F$874,'30 days CF Table(Ccy)'!$C$2),2)</f>
        <v>0</v>
      </c>
      <c r="BE48" s="380">
        <f>ROUND(SUMIFS(BS_RE33!$H$7:$H$874,BS_RE33!$S$7:$S$874,$BE$2,BS_RE33!$N$7:$N$874,I48,BS_RE33!$P$7:$P$874,'30 days CF Table(Ccy)'!G48,BS_RE33!$F$7:$F$874,'30 days CF Table(Ccy)'!$C$2),2)</f>
        <v>0</v>
      </c>
      <c r="BF48" s="380">
        <f>ROUND(SUMIFS(BS_RE33!$H$7:$H$874,BS_RE33!$S$7:$S$874,$BF$2,BS_RE33!$N$7:$N$874,I48,BS_RE33!$P$7:$P$874,'30 days CF Table(Ccy)'!G48,BS_RE33!$F$7:$F$874,'30 days CF Table(Ccy)'!$C$2),2)</f>
        <v>0</v>
      </c>
      <c r="BG48" s="380">
        <f>ROUND(SUMIFS(BS_RE33!$H$7:$H$874,BS_RE33!$S$7:$S$874,$BG$2,BS_RE33!$N$7:$N$874,I48,BS_RE33!$P$7:$P$874,'30 days CF Table(Ccy)'!G48,BS_RE33!$F$7:$F$874,'30 days CF Table(Ccy)'!$C$2),2)</f>
        <v>0</v>
      </c>
      <c r="BH48" s="380">
        <f>ROUND(SUMIFS(BS_RE33!$H$7:$H$874,BS_RE33!$S$7:$S$874,$BH$2,BS_RE33!$N$7:$N$874,I48,BS_RE33!$P$7:$P$874,'30 days CF Table(Ccy)'!G48,BS_RE33!$F$7:$F$874,'30 days CF Table(Ccy)'!$C$2),2)</f>
        <v>0</v>
      </c>
      <c r="BI48" s="380">
        <f>ROUND(SUMIFS(BS_RE33!$H$7:$H$874,BS_RE33!$S$7:$S$874,$BI$2,BS_RE33!$N$7:$N$874,I48,BS_RE33!$P$7:$P$874,'30 days CF Table(Ccy)'!G48,BS_RE33!$F$7:$F$874,'30 days CF Table(Ccy)'!$C$2),2)</f>
        <v>0</v>
      </c>
      <c r="BJ48" s="380">
        <f>ROUND(SUMIFS(BS_RE33!$H$7:$H$874,BS_RE33!$S$7:$S$874,$BJ$2,BS_RE33!$N$7:$N$874,I48,BS_RE33!$P$7:$P$874,'30 days CF Table(Ccy)'!G48,BS_RE33!$F$7:$F$874,'30 days CF Table(Ccy)'!$C$2),2)</f>
        <v>0</v>
      </c>
      <c r="BK48" s="380">
        <f>ROUND(SUMIFS(BS_RE33!$H$7:$H$874,BS_RE33!$S$7:$S$874,$BK$2,BS_RE33!$N$7:$N$874,I48,BS_RE33!$P$7:$P$874,'30 days CF Table(Ccy)'!G48,BS_RE33!$F$7:$F$874,'30 days CF Table(Ccy)'!$C$2),2)</f>
        <v>0</v>
      </c>
    </row>
    <row r="49" spans="3:63">
      <c r="C49" s="1029"/>
      <c r="D49" s="1039"/>
      <c r="E49" s="105" t="s">
        <v>91</v>
      </c>
      <c r="F49" s="309"/>
      <c r="G49" s="392" t="s">
        <v>528</v>
      </c>
      <c r="H49" s="168">
        <v>0</v>
      </c>
      <c r="I49" s="307" t="s">
        <v>167</v>
      </c>
      <c r="J49" s="478">
        <f t="shared" si="2"/>
        <v>0</v>
      </c>
      <c r="K49" s="547">
        <f t="shared" si="3"/>
        <v>0</v>
      </c>
      <c r="L49" s="548">
        <f>ROUND(SUMIFS(BS_RE33!$H$7:$H$874,BS_RE33!$S$7:$S$874,$L$2,BS_RE33!$N$7:$N$874,I49,BS_RE33!$P$7:$P$874,'30 days CF Table(Ccy)'!G49,BS_RE33!$F$7:$F$874,'30 days CF Table(Ccy)'!$C$2),2)</f>
        <v>0</v>
      </c>
      <c r="M49" s="548">
        <f>ROUND(SUMIFS(BS_RE33!$H$7:$H$874,BS_RE33!$S$7:$S$874,$M$2,BS_RE33!$N$7:$N$874,I49,BS_RE33!$P$7:$P$874,'30 days CF Table(Ccy)'!G49,BS_RE33!$F$7:$F$874,'30 days CF Table(Ccy)'!$C$2),2)</f>
        <v>0</v>
      </c>
      <c r="N49" s="548">
        <f>ROUND(SUMIFS(BS_RE33!$H$7:$H$874,BS_RE33!$S$7:$S$874,$N$2,BS_RE33!$N$7:$N$874,I49,BS_RE33!$P$7:$P$874,'30 days CF Table(Ccy)'!G49,BS_RE33!$F$7:$F$874,'30 days CF Table(Ccy)'!$C$2),2)</f>
        <v>0</v>
      </c>
      <c r="O49" s="548">
        <f>ROUND(SUMIFS(BS_RE33!$H$7:$H$874,BS_RE33!$S$7:$S$874,$O$2,BS_RE33!$N$7:$N$874,I49,BS_RE33!$P$7:$P$874,'30 days CF Table(Ccy)'!G49,BS_RE33!$F$7:$F$874,'30 days CF Table(Ccy)'!$C$2),2)</f>
        <v>0</v>
      </c>
      <c r="P49" s="548">
        <f>ROUND(SUMIFS(BS_RE33!$H$7:$H$874,BS_RE33!$S$7:$S$874,$P$2,BS_RE33!$N$7:$N$874,I49,BS_RE33!$P$7:$P$874,'30 days CF Table(Ccy)'!G49,BS_RE33!$F$7:$F$874,'30 days CF Table(Ccy)'!$C$2),2)</f>
        <v>0</v>
      </c>
      <c r="Q49" s="548">
        <f>ROUND(SUMIFS(BS_RE33!$H$7:$H$874,BS_RE33!$S$7:$S$874,$Q$2,BS_RE33!$N$7:$N$874,I49,BS_RE33!$P$7:$P$874,'30 days CF Table(Ccy)'!G49,BS_RE33!$F$7:$F$874,'30 days CF Table(Ccy)'!$C$2),2)</f>
        <v>0</v>
      </c>
      <c r="R49" s="548">
        <f>ROUND(SUMIFS(BS_RE33!$H$7:$H$874,BS_RE33!$S$7:$S$874,$R$2,BS_RE33!$N$7:$N$874,I49,BS_RE33!$P$7:$P$874,'30 days CF Table(Ccy)'!G49,BS_RE33!$F$7:$F$874,'30 days CF Table(Ccy)'!$C$2),2)</f>
        <v>0</v>
      </c>
      <c r="S49" s="548">
        <f>ROUND(SUMIFS(BS_RE33!$H$7:$H$874,BS_RE33!$S$7:$S$874,$S$2,BS_RE33!$N$7:$N$874,I49,BS_RE33!$P$7:$P$874,'30 days CF Table(Ccy)'!G49,BS_RE33!$F$7:$F$874,'30 days CF Table(Ccy)'!$C$2),2)</f>
        <v>0</v>
      </c>
      <c r="T49" s="548">
        <f>ROUND(SUMIFS(BS_RE33!$H$7:$H$874,BS_RE33!$S$7:$S$874,$T$2,BS_RE33!$N$7:$N$874,I49,BS_RE33!$P$7:$P$874,'30 days CF Table(Ccy)'!G49,BS_RE33!$F$7:$F$874,'30 days CF Table(Ccy)'!$C$2),2)</f>
        <v>0</v>
      </c>
      <c r="U49" s="548">
        <f>ROUND(SUMIFS(BS_RE33!$H$7:$H$874,BS_RE33!$S$7:$S$874,$U$2,BS_RE33!$N$7:$N$874,I49,BS_RE33!$P$7:$P$874,'30 days CF Table(Ccy)'!G49,BS_RE33!$F$7:$F$874,'30 days CF Table(Ccy)'!$C$2),2)</f>
        <v>0</v>
      </c>
      <c r="V49" s="548">
        <f>ROUND(SUMIFS(BS_RE33!$H$7:$H$874,BS_RE33!$S$7:$S$874,$V$2,BS_RE33!$N$7:$N$874,I49,BS_RE33!$P$7:$P$874,'30 days CF Table(Ccy)'!G49,BS_RE33!$F$7:$F$874,'30 days CF Table(Ccy)'!$C$2),2)</f>
        <v>0</v>
      </c>
      <c r="W49" s="548">
        <f>ROUND(SUMIFS(BS_RE33!$H$7:$H$874,BS_RE33!$S$7:$S$874,$W$2,BS_RE33!$N$7:$N$874,I49,BS_RE33!$P$7:$P$874,'30 days CF Table(Ccy)'!G49,BS_RE33!$F$7:$F$874,'30 days CF Table(Ccy)'!$C$2),2)</f>
        <v>0</v>
      </c>
      <c r="X49" s="548">
        <f>ROUND(SUMIFS(BS_RE33!$H$7:$H$874,BS_RE33!$S$7:$S$874,$X$2,BS_RE33!$N$7:$N$874,I49,BS_RE33!$P$7:$P$874,'30 days CF Table(Ccy)'!G49,BS_RE33!$F$7:$F$874,'30 days CF Table(Ccy)'!$C$2),2)</f>
        <v>0</v>
      </c>
      <c r="Y49" s="548">
        <f>ROUND(SUMIFS(BS_RE33!$H$7:$H$874,BS_RE33!$S$7:$S$874,$Y$2,BS_RE33!$N$7:$N$874,I49,BS_RE33!$P$7:$P$874,'30 days CF Table(Ccy)'!G49,BS_RE33!$F$7:$F$874,'30 days CF Table(Ccy)'!$C$2),2)</f>
        <v>0</v>
      </c>
      <c r="Z49" s="548">
        <f>ROUND(SUMIFS(BS_RE33!$H$7:$H$874,BS_RE33!$S$7:$S$874,$Z$2,BS_RE33!$N$7:$N$874,I49,BS_RE33!$P$7:$P$874,'30 days CF Table(Ccy)'!G49,BS_RE33!$F$7:$F$874,'30 days CF Table(Ccy)'!$C$2),2)</f>
        <v>0</v>
      </c>
      <c r="AA49" s="548">
        <f>ROUND(SUMIFS(BS_RE33!$H$7:$H$874,BS_RE33!$S$7:$S$874,$AA$2,BS_RE33!$N$7:$N$874,I49,BS_RE33!$P$7:$P$874,'30 days CF Table(Ccy)'!G49,BS_RE33!$F$7:$F$874,'30 days CF Table(Ccy)'!$C$2),2)</f>
        <v>0</v>
      </c>
      <c r="AB49" s="548">
        <f>ROUND(SUMIFS(BS_RE33!$H$7:$H$874,BS_RE33!$S$7:$S$874,$AB$2,BS_RE33!$N$7:$N$874,I49,BS_RE33!$P$7:$P$874,'30 days CF Table(Ccy)'!G49,BS_RE33!$F$7:$F$874,'30 days CF Table(Ccy)'!$C$2),2)</f>
        <v>0</v>
      </c>
      <c r="AC49" s="548">
        <f>ROUND(SUMIFS(BS_RE33!$H$7:$H$874,BS_RE33!$S$7:$S$874,$AC$2,BS_RE33!$N$7:$N$874,I49,BS_RE33!$P$7:$P$874,'30 days CF Table(Ccy)'!G49,BS_RE33!$F$7:$F$874,'30 days CF Table(Ccy)'!$C$2),2)</f>
        <v>0</v>
      </c>
      <c r="AD49" s="548">
        <f>ROUND(SUMIFS(BS_RE33!$H$7:$H$874,BS_RE33!$S$7:$S$874,$AD$2,BS_RE33!$N$7:$N$874,I49,BS_RE33!$P$7:$P$874,'30 days CF Table(Ccy)'!G49,BS_RE33!$F$7:$F$874,'30 days CF Table(Ccy)'!$C$2),2)</f>
        <v>0</v>
      </c>
      <c r="AE49" s="548">
        <f>ROUND(SUMIFS(BS_RE33!$H$7:$H$874,BS_RE33!$S$7:$S$874,$AE$2,BS_RE33!$N$7:$N$874,I49,BS_RE33!$P$7:$P$874,'30 days CF Table(Ccy)'!G49,BS_RE33!$F$7:$F$874,'30 days CF Table(Ccy)'!$C$2),2)</f>
        <v>0</v>
      </c>
      <c r="AF49" s="548">
        <f>ROUND(SUMIFS(BS_RE33!$H$7:$H$874,BS_RE33!$S$7:$S$874,$AF$2,BS_RE33!$N$7:$N$874,I49,BS_RE33!$P$7:$P$874,'30 days CF Table(Ccy)'!G49,BS_RE33!$F$7:$F$874,'30 days CF Table(Ccy)'!$C$2),2)</f>
        <v>0</v>
      </c>
      <c r="AG49" s="548">
        <f>ROUND(SUMIFS(BS_RE33!$H$7:$H$874,BS_RE33!$S$7:$S$874,$AG$2,BS_RE33!$N$7:$N$874,I49,BS_RE33!$P$7:$P$874,'30 days CF Table(Ccy)'!G49,BS_RE33!$F$7:$F$874,'30 days CF Table(Ccy)'!$C$2),2)</f>
        <v>0</v>
      </c>
      <c r="AH49" s="548">
        <f>ROUND(SUMIFS(BS_RE33!$H$7:$H$874,BS_RE33!$S$7:$S$874,$AH$2,BS_RE33!$N$7:$N$874,I49,BS_RE33!$P$7:$P$874,'30 days CF Table(Ccy)'!G49,BS_RE33!$F$7:$F$874,'30 days CF Table(Ccy)'!$C$2),2)</f>
        <v>0</v>
      </c>
      <c r="AI49" s="548">
        <f>ROUND(SUMIFS(BS_RE33!$H$7:$H$874,BS_RE33!$S$7:$S$874,$AI$2,BS_RE33!$N$7:$N$874,I49,BS_RE33!$P$7:$P$874,'30 days CF Table(Ccy)'!G49,BS_RE33!$F$7:$F$874,'30 days CF Table(Ccy)'!$C$2),2)</f>
        <v>0</v>
      </c>
      <c r="AJ49" s="548">
        <f>ROUND(SUMIFS(BS_RE33!$H$7:$H$874,BS_RE33!$S$7:$S$874,$AJ$2,BS_RE33!$N$7:$N$874,I49,BS_RE33!$P$7:$P$874,'30 days CF Table(Ccy)'!G49,BS_RE33!$F$7:$F$874,'30 days CF Table(Ccy)'!$C$2),2)</f>
        <v>0</v>
      </c>
      <c r="AK49" s="548">
        <f>ROUND(SUMIFS(BS_RE33!$H$7:$H$874,BS_RE33!$S$7:$S$874,$AK$2,BS_RE33!$N$7:$N$874,I49,BS_RE33!$P$7:$P$874,'30 days CF Table(Ccy)'!G49,BS_RE33!$F$7:$F$874,'30 days CF Table(Ccy)'!$C$2),2)</f>
        <v>0</v>
      </c>
      <c r="AL49" s="548">
        <f>ROUND(SUMIFS(BS_RE33!$H$7:$H$874,BS_RE33!$S$7:$S$874,$AL$2,BS_RE33!$N$7:$N$874,I49,BS_RE33!$P$7:$P$874,'30 days CF Table(Ccy)'!G49,BS_RE33!$F$7:$F$874,'30 days CF Table(Ccy)'!$C$2),2)</f>
        <v>0</v>
      </c>
      <c r="AM49" s="548">
        <f>ROUND(SUMIFS(BS_RE33!$H$7:$H$874,BS_RE33!$S$7:$S$874,$AM$2,BS_RE33!$N$7:$N$874,I49,BS_RE33!$P$7:$P$874,'30 days CF Table(Ccy)'!G49,BS_RE33!$F$7:$F$874,'30 days CF Table(Ccy)'!$C$2),2)</f>
        <v>0</v>
      </c>
      <c r="AN49" s="548">
        <f>ROUND(SUMIFS(BS_RE33!$H$7:$H$874,BS_RE33!$S$7:$S$874,$AN$2,BS_RE33!$N$7:$N$874,I49,BS_RE33!$P$7:$P$874,'30 days CF Table(Ccy)'!G49,BS_RE33!$F$7:$F$874,'30 days CF Table(Ccy)'!$C$2),2)</f>
        <v>0</v>
      </c>
      <c r="AO49" s="548">
        <f>ROUND(SUMIFS(BS_RE33!$H$7:$H$874,BS_RE33!$S$7:$S$874,$AO$2,BS_RE33!$N$7:$N$874,I49,BS_RE33!$P$7:$P$874,'30 days CF Table(Ccy)'!G49,BS_RE33!$F$7:$F$874,'30 days CF Table(Ccy)'!$C$2),2)</f>
        <v>0</v>
      </c>
      <c r="AP49" s="549">
        <f>ROUND(SUMIFS(BS_RE33!$H$7:$H$874,BS_RE33!$S$7:$S$874,$AP$2,BS_RE33!$N$7:$N$874,I49,BS_RE33!$P$7:$P$874,'30 days CF Table(Ccy)'!G49,BS_RE33!$F$7:$F$874,'30 days CF Table(Ccy)'!$C$2),2)</f>
        <v>0</v>
      </c>
      <c r="AQ49" s="550"/>
      <c r="AR49" s="380">
        <f>ROUND(SUMIFS(BS_RE33!$H$7:$H$874,BS_RE33!$S$7:$S$874,$AR$2,BS_RE33!$N$7:$N$874,I49,BS_RE33!$P$7:$P$874,'30 days CF Table(Ccy)'!G49,BS_RE33!$F$7:$F$874,'30 days CF Table(Ccy)'!$C$2),2)</f>
        <v>0</v>
      </c>
      <c r="AS49" s="380">
        <f>ROUND(SUMIFS(BS_RE33!$H$7:$H$874,BS_RE33!$S$7:$S$874,$AS$2,BS_RE33!$N$7:$N$874,I49,BS_RE33!$P$7:$P$874,'30 days CF Table(Ccy)'!G49,BS_RE33!$F$7:$F$874,'30 days CF Table(Ccy)'!$C$2),2)</f>
        <v>0</v>
      </c>
      <c r="AT49" s="380">
        <f>ROUND(SUMIFS(BS_RE33!$H$7:$H$874,BS_RE33!$S$7:$S$874,$AT$2,BS_RE33!$N$7:$N$874,I49,BS_RE33!$P$7:$P$874,'30 days CF Table(Ccy)'!G49,BS_RE33!$F$7:$F$874,'30 days CF Table(Ccy)'!$C$2),2)</f>
        <v>0</v>
      </c>
      <c r="AU49" s="380">
        <f>ROUND(SUMIFS(BS_RE33!$H$7:$H$874,BS_RE33!$S$7:$S$874,$AU$2,BS_RE33!$N$7:$N$874,I49,BS_RE33!$P$7:$P$874,'30 days CF Table(Ccy)'!G49,BS_RE33!$F$7:$F$874,'30 days CF Table(Ccy)'!$C$2),2)</f>
        <v>0</v>
      </c>
      <c r="AV49" s="380">
        <f>ROUND(SUMIFS(BS_RE33!$H$7:$H$874,BS_RE33!$S$7:$S$874,$AV$2,BS_RE33!$N$7:$N$874,I49,BS_RE33!$P$7:$P$874,'30 days CF Table(Ccy)'!G49,BS_RE33!$F$7:$F$874,'30 days CF Table(Ccy)'!$C$2),2)</f>
        <v>0</v>
      </c>
      <c r="AW49" s="380">
        <f>ROUND(SUMIFS(BS_RE33!$H$7:$H$874,BS_RE33!$S$7:$S$874,$AW$2,BS_RE33!$N$7:$N$874,I49,BS_RE33!$P$7:$P$874,'30 days CF Table(Ccy)'!G49,BS_RE33!$F$7:$F$874,'30 days CF Table(Ccy)'!$C$2),2)</f>
        <v>0</v>
      </c>
      <c r="AX49" s="380">
        <f>ROUND(SUMIFS(BS_RE33!$H$7:$H$874,BS_RE33!$S$7:$S$874,$AX$2,BS_RE33!$N$7:$N$874,I49,BS_RE33!$P$7:$P$874,'30 days CF Table(Ccy)'!G49,BS_RE33!$F$7:$F$874,'30 days CF Table(Ccy)'!$C$2),2)</f>
        <v>0</v>
      </c>
      <c r="AY49" s="380">
        <f>ROUND(SUMIFS(BS_RE33!$H$7:$H$874,BS_RE33!$S$7:$S$874,$AY$2,BS_RE33!$N$7:$N$874,I49,BS_RE33!$P$7:$P$874,'30 days CF Table(Ccy)'!G49,BS_RE33!$F$7:$F$874,'30 days CF Table(Ccy)'!$C$2),2)</f>
        <v>0</v>
      </c>
      <c r="AZ49" s="380">
        <f>ROUND(SUMIFS(BS_RE33!$H$7:$H$874,BS_RE33!$S$7:$S$874,$AZ$2,BS_RE33!$N$7:$N$874,I49,BS_RE33!$P$7:$P$874,'30 days CF Table(Ccy)'!G49,BS_RE33!$F$7:$F$874,'30 days CF Table(Ccy)'!$C$2),2)</f>
        <v>0</v>
      </c>
      <c r="BA49" s="380">
        <f>ROUND(SUMIFS(BS_RE33!$H$7:$H$874,BS_RE33!$S$7:$S$874,$BA$2,BS_RE33!$N$7:$N$874,I49,BS_RE33!$P$7:$P$874,'30 days CF Table(Ccy)'!G49,BS_RE33!$F$7:$F$874,'30 days CF Table(Ccy)'!$C$2),2)</f>
        <v>0</v>
      </c>
      <c r="BB49" s="380">
        <f>ROUND(SUMIFS(BS_RE33!$H$7:$H$874,BS_RE33!$S$7:$S$874,$BB$2,BS_RE33!$N$7:$N$874,I49,BS_RE33!$P$7:$P$874,'30 days CF Table(Ccy)'!G49,BS_RE33!$F$7:$F$874,'30 days CF Table(Ccy)'!$C$2),2)</f>
        <v>0</v>
      </c>
      <c r="BC49" s="380">
        <f>ROUND(SUMIFS(BS_RE33!$H$7:$H$874,BS_RE33!$S$7:$S$874,$BC$2,BS_RE33!$N$7:$N$874,I49,BS_RE33!$P$7:$P$874,'30 days CF Table(Ccy)'!G49,BS_RE33!$F$7:$F$874,'30 days CF Table(Ccy)'!$C$2),2)</f>
        <v>0</v>
      </c>
      <c r="BD49" s="380">
        <f>ROUND(SUMIFS(BS_RE33!$H$7:$H$874,BS_RE33!$S$7:$S$874,$BD$2,BS_RE33!$N$7:$N$874,I49,BS_RE33!$P$7:$P$874,'30 days CF Table(Ccy)'!G49,BS_RE33!$F$7:$F$874,'30 days CF Table(Ccy)'!$C$2),2)</f>
        <v>0</v>
      </c>
      <c r="BE49" s="380">
        <f>ROUND(SUMIFS(BS_RE33!$H$7:$H$874,BS_RE33!$S$7:$S$874,$BE$2,BS_RE33!$N$7:$N$874,I49,BS_RE33!$P$7:$P$874,'30 days CF Table(Ccy)'!G49,BS_RE33!$F$7:$F$874,'30 days CF Table(Ccy)'!$C$2),2)</f>
        <v>0</v>
      </c>
      <c r="BF49" s="380">
        <f>ROUND(SUMIFS(BS_RE33!$H$7:$H$874,BS_RE33!$S$7:$S$874,$BF$2,BS_RE33!$N$7:$N$874,I49,BS_RE33!$P$7:$P$874,'30 days CF Table(Ccy)'!G49,BS_RE33!$F$7:$F$874,'30 days CF Table(Ccy)'!$C$2),2)</f>
        <v>0</v>
      </c>
      <c r="BG49" s="380">
        <f>ROUND(SUMIFS(BS_RE33!$H$7:$H$874,BS_RE33!$S$7:$S$874,$BG$2,BS_RE33!$N$7:$N$874,I49,BS_RE33!$P$7:$P$874,'30 days CF Table(Ccy)'!G49,BS_RE33!$F$7:$F$874,'30 days CF Table(Ccy)'!$C$2),2)</f>
        <v>0</v>
      </c>
      <c r="BH49" s="380">
        <f>ROUND(SUMIFS(BS_RE33!$H$7:$H$874,BS_RE33!$S$7:$S$874,$BH$2,BS_RE33!$N$7:$N$874,I49,BS_RE33!$P$7:$P$874,'30 days CF Table(Ccy)'!G49,BS_RE33!$F$7:$F$874,'30 days CF Table(Ccy)'!$C$2),2)</f>
        <v>0</v>
      </c>
      <c r="BI49" s="380">
        <f>ROUND(SUMIFS(BS_RE33!$H$7:$H$874,BS_RE33!$S$7:$S$874,$BI$2,BS_RE33!$N$7:$N$874,I49,BS_RE33!$P$7:$P$874,'30 days CF Table(Ccy)'!G49,BS_RE33!$F$7:$F$874,'30 days CF Table(Ccy)'!$C$2),2)</f>
        <v>0</v>
      </c>
      <c r="BJ49" s="380">
        <f>ROUND(SUMIFS(BS_RE33!$H$7:$H$874,BS_RE33!$S$7:$S$874,$BJ$2,BS_RE33!$N$7:$N$874,I49,BS_RE33!$P$7:$P$874,'30 days CF Table(Ccy)'!G49,BS_RE33!$F$7:$F$874,'30 days CF Table(Ccy)'!$C$2),2)</f>
        <v>0</v>
      </c>
      <c r="BK49" s="380">
        <f>ROUND(SUMIFS(BS_RE33!$H$7:$H$874,BS_RE33!$S$7:$S$874,$BK$2,BS_RE33!$N$7:$N$874,I49,BS_RE33!$P$7:$P$874,'30 days CF Table(Ccy)'!G49,BS_RE33!$F$7:$F$874,'30 days CF Table(Ccy)'!$C$2),2)</f>
        <v>0</v>
      </c>
    </row>
    <row r="50" spans="3:63">
      <c r="C50" s="1029"/>
      <c r="D50" s="1040"/>
      <c r="E50" s="108" t="s">
        <v>101</v>
      </c>
      <c r="F50" s="309"/>
      <c r="G50" s="392" t="s">
        <v>529</v>
      </c>
      <c r="H50" s="169">
        <v>0</v>
      </c>
      <c r="I50" s="307" t="s">
        <v>167</v>
      </c>
      <c r="J50" s="478">
        <f t="shared" si="2"/>
        <v>0</v>
      </c>
      <c r="K50" s="547">
        <f t="shared" si="3"/>
        <v>0</v>
      </c>
      <c r="L50" s="548">
        <f>ROUND(SUMIFS(BS_RE33!$H$7:$H$874,BS_RE33!$S$7:$S$874,$L$2,BS_RE33!$N$7:$N$874,I50,BS_RE33!$P$7:$P$874,'30 days CF Table(Ccy)'!G50,BS_RE33!$F$7:$F$874,'30 days CF Table(Ccy)'!$C$2),2)</f>
        <v>0</v>
      </c>
      <c r="M50" s="548">
        <f>ROUND(SUMIFS(BS_RE33!$H$7:$H$874,BS_RE33!$S$7:$S$874,$M$2,BS_RE33!$N$7:$N$874,I50,BS_RE33!$P$7:$P$874,'30 days CF Table(Ccy)'!G50,BS_RE33!$F$7:$F$874,'30 days CF Table(Ccy)'!$C$2),2)</f>
        <v>0</v>
      </c>
      <c r="N50" s="548">
        <f>ROUND(SUMIFS(BS_RE33!$H$7:$H$874,BS_RE33!$S$7:$S$874,$N$2,BS_RE33!$N$7:$N$874,I50,BS_RE33!$P$7:$P$874,'30 days CF Table(Ccy)'!G50,BS_RE33!$F$7:$F$874,'30 days CF Table(Ccy)'!$C$2),2)</f>
        <v>0</v>
      </c>
      <c r="O50" s="548">
        <f>ROUND(SUMIFS(BS_RE33!$H$7:$H$874,BS_RE33!$S$7:$S$874,$O$2,BS_RE33!$N$7:$N$874,I50,BS_RE33!$P$7:$P$874,'30 days CF Table(Ccy)'!G50,BS_RE33!$F$7:$F$874,'30 days CF Table(Ccy)'!$C$2),2)</f>
        <v>0</v>
      </c>
      <c r="P50" s="548">
        <f>ROUND(SUMIFS(BS_RE33!$H$7:$H$874,BS_RE33!$S$7:$S$874,$P$2,BS_RE33!$N$7:$N$874,I50,BS_RE33!$P$7:$P$874,'30 days CF Table(Ccy)'!G50,BS_RE33!$F$7:$F$874,'30 days CF Table(Ccy)'!$C$2),2)</f>
        <v>0</v>
      </c>
      <c r="Q50" s="548">
        <f>ROUND(SUMIFS(BS_RE33!$H$7:$H$874,BS_RE33!$S$7:$S$874,$Q$2,BS_RE33!$N$7:$N$874,I50,BS_RE33!$P$7:$P$874,'30 days CF Table(Ccy)'!G50,BS_RE33!$F$7:$F$874,'30 days CF Table(Ccy)'!$C$2),2)</f>
        <v>0</v>
      </c>
      <c r="R50" s="548">
        <f>ROUND(SUMIFS(BS_RE33!$H$7:$H$874,BS_RE33!$S$7:$S$874,$R$2,BS_RE33!$N$7:$N$874,I50,BS_RE33!$P$7:$P$874,'30 days CF Table(Ccy)'!G50,BS_RE33!$F$7:$F$874,'30 days CF Table(Ccy)'!$C$2),2)</f>
        <v>0</v>
      </c>
      <c r="S50" s="548">
        <f>ROUND(SUMIFS(BS_RE33!$H$7:$H$874,BS_RE33!$S$7:$S$874,$S$2,BS_RE33!$N$7:$N$874,I50,BS_RE33!$P$7:$P$874,'30 days CF Table(Ccy)'!G50,BS_RE33!$F$7:$F$874,'30 days CF Table(Ccy)'!$C$2),2)</f>
        <v>0</v>
      </c>
      <c r="T50" s="548">
        <f>ROUND(SUMIFS(BS_RE33!$H$7:$H$874,BS_RE33!$S$7:$S$874,$T$2,BS_RE33!$N$7:$N$874,I50,BS_RE33!$P$7:$P$874,'30 days CF Table(Ccy)'!G50,BS_RE33!$F$7:$F$874,'30 days CF Table(Ccy)'!$C$2),2)</f>
        <v>0</v>
      </c>
      <c r="U50" s="548">
        <f>ROUND(SUMIFS(BS_RE33!$H$7:$H$874,BS_RE33!$S$7:$S$874,$U$2,BS_RE33!$N$7:$N$874,I50,BS_RE33!$P$7:$P$874,'30 days CF Table(Ccy)'!G50,BS_RE33!$F$7:$F$874,'30 days CF Table(Ccy)'!$C$2),2)</f>
        <v>0</v>
      </c>
      <c r="V50" s="548">
        <f>ROUND(SUMIFS(BS_RE33!$H$7:$H$874,BS_RE33!$S$7:$S$874,$V$2,BS_RE33!$N$7:$N$874,I50,BS_RE33!$P$7:$P$874,'30 days CF Table(Ccy)'!G50,BS_RE33!$F$7:$F$874,'30 days CF Table(Ccy)'!$C$2),2)</f>
        <v>0</v>
      </c>
      <c r="W50" s="548">
        <f>ROUND(SUMIFS(BS_RE33!$H$7:$H$874,BS_RE33!$S$7:$S$874,$W$2,BS_RE33!$N$7:$N$874,I50,BS_RE33!$P$7:$P$874,'30 days CF Table(Ccy)'!G50,BS_RE33!$F$7:$F$874,'30 days CF Table(Ccy)'!$C$2),2)</f>
        <v>0</v>
      </c>
      <c r="X50" s="548">
        <f>ROUND(SUMIFS(BS_RE33!$H$7:$H$874,BS_RE33!$S$7:$S$874,$X$2,BS_RE33!$N$7:$N$874,I50,BS_RE33!$P$7:$P$874,'30 days CF Table(Ccy)'!G50,BS_RE33!$F$7:$F$874,'30 days CF Table(Ccy)'!$C$2),2)</f>
        <v>0</v>
      </c>
      <c r="Y50" s="548">
        <f>ROUND(SUMIFS(BS_RE33!$H$7:$H$874,BS_RE33!$S$7:$S$874,$Y$2,BS_RE33!$N$7:$N$874,I50,BS_RE33!$P$7:$P$874,'30 days CF Table(Ccy)'!G50,BS_RE33!$F$7:$F$874,'30 days CF Table(Ccy)'!$C$2),2)</f>
        <v>0</v>
      </c>
      <c r="Z50" s="548">
        <f>ROUND(SUMIFS(BS_RE33!$H$7:$H$874,BS_RE33!$S$7:$S$874,$Z$2,BS_RE33!$N$7:$N$874,I50,BS_RE33!$P$7:$P$874,'30 days CF Table(Ccy)'!G50,BS_RE33!$F$7:$F$874,'30 days CF Table(Ccy)'!$C$2),2)</f>
        <v>0</v>
      </c>
      <c r="AA50" s="548">
        <f>ROUND(SUMIFS(BS_RE33!$H$7:$H$874,BS_RE33!$S$7:$S$874,$AA$2,BS_RE33!$N$7:$N$874,I50,BS_RE33!$P$7:$P$874,'30 days CF Table(Ccy)'!G50,BS_RE33!$F$7:$F$874,'30 days CF Table(Ccy)'!$C$2),2)</f>
        <v>0</v>
      </c>
      <c r="AB50" s="548">
        <f>ROUND(SUMIFS(BS_RE33!$H$7:$H$874,BS_RE33!$S$7:$S$874,$AB$2,BS_RE33!$N$7:$N$874,I50,BS_RE33!$P$7:$P$874,'30 days CF Table(Ccy)'!G50,BS_RE33!$F$7:$F$874,'30 days CF Table(Ccy)'!$C$2),2)</f>
        <v>0</v>
      </c>
      <c r="AC50" s="548">
        <f>ROUND(SUMIFS(BS_RE33!$H$7:$H$874,BS_RE33!$S$7:$S$874,$AC$2,BS_RE33!$N$7:$N$874,I50,BS_RE33!$P$7:$P$874,'30 days CF Table(Ccy)'!G50,BS_RE33!$F$7:$F$874,'30 days CF Table(Ccy)'!$C$2),2)</f>
        <v>0</v>
      </c>
      <c r="AD50" s="548">
        <f>ROUND(SUMIFS(BS_RE33!$H$7:$H$874,BS_RE33!$S$7:$S$874,$AD$2,BS_RE33!$N$7:$N$874,I50,BS_RE33!$P$7:$P$874,'30 days CF Table(Ccy)'!G50,BS_RE33!$F$7:$F$874,'30 days CF Table(Ccy)'!$C$2),2)</f>
        <v>0</v>
      </c>
      <c r="AE50" s="548">
        <f>ROUND(SUMIFS(BS_RE33!$H$7:$H$874,BS_RE33!$S$7:$S$874,$AE$2,BS_RE33!$N$7:$N$874,I50,BS_RE33!$P$7:$P$874,'30 days CF Table(Ccy)'!G50,BS_RE33!$F$7:$F$874,'30 days CF Table(Ccy)'!$C$2),2)</f>
        <v>0</v>
      </c>
      <c r="AF50" s="548">
        <f>ROUND(SUMIFS(BS_RE33!$H$7:$H$874,BS_RE33!$S$7:$S$874,$AF$2,BS_RE33!$N$7:$N$874,I50,BS_RE33!$P$7:$P$874,'30 days CF Table(Ccy)'!G50,BS_RE33!$F$7:$F$874,'30 days CF Table(Ccy)'!$C$2),2)</f>
        <v>0</v>
      </c>
      <c r="AG50" s="548">
        <f>ROUND(SUMIFS(BS_RE33!$H$7:$H$874,BS_RE33!$S$7:$S$874,$AG$2,BS_RE33!$N$7:$N$874,I50,BS_RE33!$P$7:$P$874,'30 days CF Table(Ccy)'!G50,BS_RE33!$F$7:$F$874,'30 days CF Table(Ccy)'!$C$2),2)</f>
        <v>0</v>
      </c>
      <c r="AH50" s="548">
        <f>ROUND(SUMIFS(BS_RE33!$H$7:$H$874,BS_RE33!$S$7:$S$874,$AH$2,BS_RE33!$N$7:$N$874,I50,BS_RE33!$P$7:$P$874,'30 days CF Table(Ccy)'!G50,BS_RE33!$F$7:$F$874,'30 days CF Table(Ccy)'!$C$2),2)</f>
        <v>0</v>
      </c>
      <c r="AI50" s="548">
        <f>ROUND(SUMIFS(BS_RE33!$H$7:$H$874,BS_RE33!$S$7:$S$874,$AI$2,BS_RE33!$N$7:$N$874,I50,BS_RE33!$P$7:$P$874,'30 days CF Table(Ccy)'!G50,BS_RE33!$F$7:$F$874,'30 days CF Table(Ccy)'!$C$2),2)</f>
        <v>0</v>
      </c>
      <c r="AJ50" s="548">
        <f>ROUND(SUMIFS(BS_RE33!$H$7:$H$874,BS_RE33!$S$7:$S$874,$AJ$2,BS_RE33!$N$7:$N$874,I50,BS_RE33!$P$7:$P$874,'30 days CF Table(Ccy)'!G50,BS_RE33!$F$7:$F$874,'30 days CF Table(Ccy)'!$C$2),2)</f>
        <v>0</v>
      </c>
      <c r="AK50" s="548">
        <f>ROUND(SUMIFS(BS_RE33!$H$7:$H$874,BS_RE33!$S$7:$S$874,$AK$2,BS_RE33!$N$7:$N$874,I50,BS_RE33!$P$7:$P$874,'30 days CF Table(Ccy)'!G50,BS_RE33!$F$7:$F$874,'30 days CF Table(Ccy)'!$C$2),2)</f>
        <v>0</v>
      </c>
      <c r="AL50" s="548">
        <f>ROUND(SUMIFS(BS_RE33!$H$7:$H$874,BS_RE33!$S$7:$S$874,$AL$2,BS_RE33!$N$7:$N$874,I50,BS_RE33!$P$7:$P$874,'30 days CF Table(Ccy)'!G50,BS_RE33!$F$7:$F$874,'30 days CF Table(Ccy)'!$C$2),2)</f>
        <v>0</v>
      </c>
      <c r="AM50" s="548">
        <f>ROUND(SUMIFS(BS_RE33!$H$7:$H$874,BS_RE33!$S$7:$S$874,$AM$2,BS_RE33!$N$7:$N$874,I50,BS_RE33!$P$7:$P$874,'30 days CF Table(Ccy)'!G50,BS_RE33!$F$7:$F$874,'30 days CF Table(Ccy)'!$C$2),2)</f>
        <v>0</v>
      </c>
      <c r="AN50" s="548">
        <f>ROUND(SUMIFS(BS_RE33!$H$7:$H$874,BS_RE33!$S$7:$S$874,$AN$2,BS_RE33!$N$7:$N$874,I50,BS_RE33!$P$7:$P$874,'30 days CF Table(Ccy)'!G50,BS_RE33!$F$7:$F$874,'30 days CF Table(Ccy)'!$C$2),2)</f>
        <v>0</v>
      </c>
      <c r="AO50" s="548">
        <f>ROUND(SUMIFS(BS_RE33!$H$7:$H$874,BS_RE33!$S$7:$S$874,$AO$2,BS_RE33!$N$7:$N$874,I50,BS_RE33!$P$7:$P$874,'30 days CF Table(Ccy)'!G50,BS_RE33!$F$7:$F$874,'30 days CF Table(Ccy)'!$C$2),2)</f>
        <v>0</v>
      </c>
      <c r="AP50" s="549">
        <f>ROUND(SUMIFS(BS_RE33!$H$7:$H$874,BS_RE33!$S$7:$S$874,$AP$2,BS_RE33!$N$7:$N$874,I50,BS_RE33!$P$7:$P$874,'30 days CF Table(Ccy)'!G50,BS_RE33!$F$7:$F$874,'30 days CF Table(Ccy)'!$C$2),2)</f>
        <v>0</v>
      </c>
      <c r="AQ50" s="550"/>
      <c r="AR50" s="380">
        <f>ROUND(SUMIFS(BS_RE33!$H$7:$H$874,BS_RE33!$S$7:$S$874,$AR$2,BS_RE33!$N$7:$N$874,I50,BS_RE33!$P$7:$P$874,'30 days CF Table(Ccy)'!G50,BS_RE33!$F$7:$F$874,'30 days CF Table(Ccy)'!$C$2),2)</f>
        <v>0</v>
      </c>
      <c r="AS50" s="380">
        <f>ROUND(SUMIFS(BS_RE33!$H$7:$H$874,BS_RE33!$S$7:$S$874,$AS$2,BS_RE33!$N$7:$N$874,I50,BS_RE33!$P$7:$P$874,'30 days CF Table(Ccy)'!G50,BS_RE33!$F$7:$F$874,'30 days CF Table(Ccy)'!$C$2),2)</f>
        <v>0</v>
      </c>
      <c r="AT50" s="380">
        <f>ROUND(SUMIFS(BS_RE33!$H$7:$H$874,BS_RE33!$S$7:$S$874,$AT$2,BS_RE33!$N$7:$N$874,I50,BS_RE33!$P$7:$P$874,'30 days CF Table(Ccy)'!G50,BS_RE33!$F$7:$F$874,'30 days CF Table(Ccy)'!$C$2),2)</f>
        <v>0</v>
      </c>
      <c r="AU50" s="380">
        <f>ROUND(SUMIFS(BS_RE33!$H$7:$H$874,BS_RE33!$S$7:$S$874,$AU$2,BS_RE33!$N$7:$N$874,I50,BS_RE33!$P$7:$P$874,'30 days CF Table(Ccy)'!G50,BS_RE33!$F$7:$F$874,'30 days CF Table(Ccy)'!$C$2),2)</f>
        <v>0</v>
      </c>
      <c r="AV50" s="380">
        <f>ROUND(SUMIFS(BS_RE33!$H$7:$H$874,BS_RE33!$S$7:$S$874,$AV$2,BS_RE33!$N$7:$N$874,I50,BS_RE33!$P$7:$P$874,'30 days CF Table(Ccy)'!G50,BS_RE33!$F$7:$F$874,'30 days CF Table(Ccy)'!$C$2),2)</f>
        <v>0</v>
      </c>
      <c r="AW50" s="380">
        <f>ROUND(SUMIFS(BS_RE33!$H$7:$H$874,BS_RE33!$S$7:$S$874,$AW$2,BS_RE33!$N$7:$N$874,I50,BS_RE33!$P$7:$P$874,'30 days CF Table(Ccy)'!G50,BS_RE33!$F$7:$F$874,'30 days CF Table(Ccy)'!$C$2),2)</f>
        <v>0</v>
      </c>
      <c r="AX50" s="380">
        <f>ROUND(SUMIFS(BS_RE33!$H$7:$H$874,BS_RE33!$S$7:$S$874,$AX$2,BS_RE33!$N$7:$N$874,I50,BS_RE33!$P$7:$P$874,'30 days CF Table(Ccy)'!G50,BS_RE33!$F$7:$F$874,'30 days CF Table(Ccy)'!$C$2),2)</f>
        <v>0</v>
      </c>
      <c r="AY50" s="380">
        <f>ROUND(SUMIFS(BS_RE33!$H$7:$H$874,BS_RE33!$S$7:$S$874,$AY$2,BS_RE33!$N$7:$N$874,I50,BS_RE33!$P$7:$P$874,'30 days CF Table(Ccy)'!G50,BS_RE33!$F$7:$F$874,'30 days CF Table(Ccy)'!$C$2),2)</f>
        <v>0</v>
      </c>
      <c r="AZ50" s="380">
        <f>ROUND(SUMIFS(BS_RE33!$H$7:$H$874,BS_RE33!$S$7:$S$874,$AZ$2,BS_RE33!$N$7:$N$874,I50,BS_RE33!$P$7:$P$874,'30 days CF Table(Ccy)'!G50,BS_RE33!$F$7:$F$874,'30 days CF Table(Ccy)'!$C$2),2)</f>
        <v>0</v>
      </c>
      <c r="BA50" s="380">
        <f>ROUND(SUMIFS(BS_RE33!$H$7:$H$874,BS_RE33!$S$7:$S$874,$BA$2,BS_RE33!$N$7:$N$874,I50,BS_RE33!$P$7:$P$874,'30 days CF Table(Ccy)'!G50,BS_RE33!$F$7:$F$874,'30 days CF Table(Ccy)'!$C$2),2)</f>
        <v>0</v>
      </c>
      <c r="BB50" s="380">
        <f>ROUND(SUMIFS(BS_RE33!$H$7:$H$874,BS_RE33!$S$7:$S$874,$BB$2,BS_RE33!$N$7:$N$874,I50,BS_RE33!$P$7:$P$874,'30 days CF Table(Ccy)'!G50,BS_RE33!$F$7:$F$874,'30 days CF Table(Ccy)'!$C$2),2)</f>
        <v>0</v>
      </c>
      <c r="BC50" s="380">
        <f>ROUND(SUMIFS(BS_RE33!$H$7:$H$874,BS_RE33!$S$7:$S$874,$BC$2,BS_RE33!$N$7:$N$874,I50,BS_RE33!$P$7:$P$874,'30 days CF Table(Ccy)'!G50,BS_RE33!$F$7:$F$874,'30 days CF Table(Ccy)'!$C$2),2)</f>
        <v>0</v>
      </c>
      <c r="BD50" s="380">
        <f>ROUND(SUMIFS(BS_RE33!$H$7:$H$874,BS_RE33!$S$7:$S$874,$BD$2,BS_RE33!$N$7:$N$874,I50,BS_RE33!$P$7:$P$874,'30 days CF Table(Ccy)'!G50,BS_RE33!$F$7:$F$874,'30 days CF Table(Ccy)'!$C$2),2)</f>
        <v>0</v>
      </c>
      <c r="BE50" s="380">
        <f>ROUND(SUMIFS(BS_RE33!$H$7:$H$874,BS_RE33!$S$7:$S$874,$BE$2,BS_RE33!$N$7:$N$874,I50,BS_RE33!$P$7:$P$874,'30 days CF Table(Ccy)'!G50,BS_RE33!$F$7:$F$874,'30 days CF Table(Ccy)'!$C$2),2)</f>
        <v>0</v>
      </c>
      <c r="BF50" s="380">
        <f>ROUND(SUMIFS(BS_RE33!$H$7:$H$874,BS_RE33!$S$7:$S$874,$BF$2,BS_RE33!$N$7:$N$874,I50,BS_RE33!$P$7:$P$874,'30 days CF Table(Ccy)'!G50,BS_RE33!$F$7:$F$874,'30 days CF Table(Ccy)'!$C$2),2)</f>
        <v>0</v>
      </c>
      <c r="BG50" s="380">
        <f>ROUND(SUMIFS(BS_RE33!$H$7:$H$874,BS_RE33!$S$7:$S$874,$BG$2,BS_RE33!$N$7:$N$874,I50,BS_RE33!$P$7:$P$874,'30 days CF Table(Ccy)'!G50,BS_RE33!$F$7:$F$874,'30 days CF Table(Ccy)'!$C$2),2)</f>
        <v>0</v>
      </c>
      <c r="BH50" s="380">
        <f>ROUND(SUMIFS(BS_RE33!$H$7:$H$874,BS_RE33!$S$7:$S$874,$BH$2,BS_RE33!$N$7:$N$874,I50,BS_RE33!$P$7:$P$874,'30 days CF Table(Ccy)'!G50,BS_RE33!$F$7:$F$874,'30 days CF Table(Ccy)'!$C$2),2)</f>
        <v>0</v>
      </c>
      <c r="BI50" s="380">
        <f>ROUND(SUMIFS(BS_RE33!$H$7:$H$874,BS_RE33!$S$7:$S$874,$BI$2,BS_RE33!$N$7:$N$874,I50,BS_RE33!$P$7:$P$874,'30 days CF Table(Ccy)'!G50,BS_RE33!$F$7:$F$874,'30 days CF Table(Ccy)'!$C$2),2)</f>
        <v>0</v>
      </c>
      <c r="BJ50" s="380">
        <f>ROUND(SUMIFS(BS_RE33!$H$7:$H$874,BS_RE33!$S$7:$S$874,$BJ$2,BS_RE33!$N$7:$N$874,I50,BS_RE33!$P$7:$P$874,'30 days CF Table(Ccy)'!G50,BS_RE33!$F$7:$F$874,'30 days CF Table(Ccy)'!$C$2),2)</f>
        <v>0</v>
      </c>
      <c r="BK50" s="380">
        <f>ROUND(SUMIFS(BS_RE33!$H$7:$H$874,BS_RE33!$S$7:$S$874,$BK$2,BS_RE33!$N$7:$N$874,I50,BS_RE33!$P$7:$P$874,'30 days CF Table(Ccy)'!G50,BS_RE33!$F$7:$F$874,'30 days CF Table(Ccy)'!$C$2),2)</f>
        <v>0</v>
      </c>
    </row>
    <row r="51" spans="3:63" ht="20.25">
      <c r="C51" s="323" t="s">
        <v>92</v>
      </c>
      <c r="D51" s="520" t="s">
        <v>92</v>
      </c>
      <c r="E51" s="108" t="s">
        <v>92</v>
      </c>
      <c r="F51" s="309"/>
      <c r="G51" s="392" t="s">
        <v>530</v>
      </c>
      <c r="H51" s="316">
        <v>0</v>
      </c>
      <c r="I51" s="307" t="s">
        <v>167</v>
      </c>
      <c r="J51" s="478">
        <f t="shared" si="2"/>
        <v>0</v>
      </c>
      <c r="K51" s="547">
        <f t="shared" si="3"/>
        <v>0</v>
      </c>
      <c r="L51" s="548">
        <f>ROUND(SUMIFS(BS_RE33!$H$7:$H$874,BS_RE33!$S$7:$S$874,$L$2,BS_RE33!$N$7:$N$874,I51,BS_RE33!$P$7:$P$874,'30 days CF Table(Ccy)'!G51,BS_RE33!$F$7:$F$874,'30 days CF Table(Ccy)'!$C$2),2)</f>
        <v>0</v>
      </c>
      <c r="M51" s="548">
        <f>ROUND(SUMIFS(BS_RE33!$H$7:$H$874,BS_RE33!$S$7:$S$874,$M$2,BS_RE33!$N$7:$N$874,I51,BS_RE33!$P$7:$P$874,'30 days CF Table(Ccy)'!G51,BS_RE33!$F$7:$F$874,'30 days CF Table(Ccy)'!$C$2),2)</f>
        <v>0</v>
      </c>
      <c r="N51" s="548">
        <f>ROUND(SUMIFS(BS_RE33!$H$7:$H$874,BS_RE33!$S$7:$S$874,$N$2,BS_RE33!$N$7:$N$874,I51,BS_RE33!$P$7:$P$874,'30 days CF Table(Ccy)'!G51,BS_RE33!$F$7:$F$874,'30 days CF Table(Ccy)'!$C$2),2)</f>
        <v>0</v>
      </c>
      <c r="O51" s="548">
        <f>ROUND(SUMIFS(BS_RE33!$H$7:$H$874,BS_RE33!$S$7:$S$874,$O$2,BS_RE33!$N$7:$N$874,I51,BS_RE33!$P$7:$P$874,'30 days CF Table(Ccy)'!G51,BS_RE33!$F$7:$F$874,'30 days CF Table(Ccy)'!$C$2),2)</f>
        <v>0</v>
      </c>
      <c r="P51" s="548">
        <f>ROUND(SUMIFS(BS_RE33!$H$7:$H$874,BS_RE33!$S$7:$S$874,$P$2,BS_RE33!$N$7:$N$874,I51,BS_RE33!$P$7:$P$874,'30 days CF Table(Ccy)'!G51,BS_RE33!$F$7:$F$874,'30 days CF Table(Ccy)'!$C$2),2)</f>
        <v>0</v>
      </c>
      <c r="Q51" s="548">
        <f>ROUND(SUMIFS(BS_RE33!$H$7:$H$874,BS_RE33!$S$7:$S$874,$Q$2,BS_RE33!$N$7:$N$874,I51,BS_RE33!$P$7:$P$874,'30 days CF Table(Ccy)'!G51,BS_RE33!$F$7:$F$874,'30 days CF Table(Ccy)'!$C$2),2)</f>
        <v>0</v>
      </c>
      <c r="R51" s="548">
        <f>ROUND(SUMIFS(BS_RE33!$H$7:$H$874,BS_RE33!$S$7:$S$874,$R$2,BS_RE33!$N$7:$N$874,I51,BS_RE33!$P$7:$P$874,'30 days CF Table(Ccy)'!G51,BS_RE33!$F$7:$F$874,'30 days CF Table(Ccy)'!$C$2),2)</f>
        <v>0</v>
      </c>
      <c r="S51" s="548">
        <f>ROUND(SUMIFS(BS_RE33!$H$7:$H$874,BS_RE33!$S$7:$S$874,$S$2,BS_RE33!$N$7:$N$874,I51,BS_RE33!$P$7:$P$874,'30 days CF Table(Ccy)'!G51,BS_RE33!$F$7:$F$874,'30 days CF Table(Ccy)'!$C$2),2)</f>
        <v>0</v>
      </c>
      <c r="T51" s="548">
        <f>ROUND(SUMIFS(BS_RE33!$H$7:$H$874,BS_RE33!$S$7:$S$874,$T$2,BS_RE33!$N$7:$N$874,I51,BS_RE33!$P$7:$P$874,'30 days CF Table(Ccy)'!G51,BS_RE33!$F$7:$F$874,'30 days CF Table(Ccy)'!$C$2),2)</f>
        <v>0</v>
      </c>
      <c r="U51" s="548">
        <f>ROUND(SUMIFS(BS_RE33!$H$7:$H$874,BS_RE33!$S$7:$S$874,$U$2,BS_RE33!$N$7:$N$874,I51,BS_RE33!$P$7:$P$874,'30 days CF Table(Ccy)'!G51,BS_RE33!$F$7:$F$874,'30 days CF Table(Ccy)'!$C$2),2)</f>
        <v>0</v>
      </c>
      <c r="V51" s="548">
        <f>ROUND(SUMIFS(BS_RE33!$H$7:$H$874,BS_RE33!$S$7:$S$874,$V$2,BS_RE33!$N$7:$N$874,I51,BS_RE33!$P$7:$P$874,'30 days CF Table(Ccy)'!G51,BS_RE33!$F$7:$F$874,'30 days CF Table(Ccy)'!$C$2),2)</f>
        <v>0</v>
      </c>
      <c r="W51" s="548">
        <f>ROUND(SUMIFS(BS_RE33!$H$7:$H$874,BS_RE33!$S$7:$S$874,$W$2,BS_RE33!$N$7:$N$874,I51,BS_RE33!$P$7:$P$874,'30 days CF Table(Ccy)'!G51,BS_RE33!$F$7:$F$874,'30 days CF Table(Ccy)'!$C$2),2)</f>
        <v>0</v>
      </c>
      <c r="X51" s="548">
        <f>ROUND(SUMIFS(BS_RE33!$H$7:$H$874,BS_RE33!$S$7:$S$874,$X$2,BS_RE33!$N$7:$N$874,I51,BS_RE33!$P$7:$P$874,'30 days CF Table(Ccy)'!G51,BS_RE33!$F$7:$F$874,'30 days CF Table(Ccy)'!$C$2),2)</f>
        <v>0</v>
      </c>
      <c r="Y51" s="548">
        <f>ROUND(SUMIFS(BS_RE33!$H$7:$H$874,BS_RE33!$S$7:$S$874,$Y$2,BS_RE33!$N$7:$N$874,I51,BS_RE33!$P$7:$P$874,'30 days CF Table(Ccy)'!G51,BS_RE33!$F$7:$F$874,'30 days CF Table(Ccy)'!$C$2),2)</f>
        <v>0</v>
      </c>
      <c r="Z51" s="548">
        <f>ROUND(SUMIFS(BS_RE33!$H$7:$H$874,BS_RE33!$S$7:$S$874,$Z$2,BS_RE33!$N$7:$N$874,I51,BS_RE33!$P$7:$P$874,'30 days CF Table(Ccy)'!G51,BS_RE33!$F$7:$F$874,'30 days CF Table(Ccy)'!$C$2),2)</f>
        <v>0</v>
      </c>
      <c r="AA51" s="548">
        <f>ROUND(SUMIFS(BS_RE33!$H$7:$H$874,BS_RE33!$S$7:$S$874,$AA$2,BS_RE33!$N$7:$N$874,I51,BS_RE33!$P$7:$P$874,'30 days CF Table(Ccy)'!G51,BS_RE33!$F$7:$F$874,'30 days CF Table(Ccy)'!$C$2),2)</f>
        <v>0</v>
      </c>
      <c r="AB51" s="548">
        <f>ROUND(SUMIFS(BS_RE33!$H$7:$H$874,BS_RE33!$S$7:$S$874,$AB$2,BS_RE33!$N$7:$N$874,I51,BS_RE33!$P$7:$P$874,'30 days CF Table(Ccy)'!G51,BS_RE33!$F$7:$F$874,'30 days CF Table(Ccy)'!$C$2),2)</f>
        <v>0</v>
      </c>
      <c r="AC51" s="548">
        <f>ROUND(SUMIFS(BS_RE33!$H$7:$H$874,BS_RE33!$S$7:$S$874,$AC$2,BS_RE33!$N$7:$N$874,I51,BS_RE33!$P$7:$P$874,'30 days CF Table(Ccy)'!G51,BS_RE33!$F$7:$F$874,'30 days CF Table(Ccy)'!$C$2),2)</f>
        <v>0</v>
      </c>
      <c r="AD51" s="548">
        <f>ROUND(SUMIFS(BS_RE33!$H$7:$H$874,BS_RE33!$S$7:$S$874,$AD$2,BS_RE33!$N$7:$N$874,I51,BS_RE33!$P$7:$P$874,'30 days CF Table(Ccy)'!G51,BS_RE33!$F$7:$F$874,'30 days CF Table(Ccy)'!$C$2),2)</f>
        <v>0</v>
      </c>
      <c r="AE51" s="548">
        <f>ROUND(SUMIFS(BS_RE33!$H$7:$H$874,BS_RE33!$S$7:$S$874,$AE$2,BS_RE33!$N$7:$N$874,I51,BS_RE33!$P$7:$P$874,'30 days CF Table(Ccy)'!G51,BS_RE33!$F$7:$F$874,'30 days CF Table(Ccy)'!$C$2),2)</f>
        <v>0</v>
      </c>
      <c r="AF51" s="548">
        <f>ROUND(SUMIFS(BS_RE33!$H$7:$H$874,BS_RE33!$S$7:$S$874,$AF$2,BS_RE33!$N$7:$N$874,I51,BS_RE33!$P$7:$P$874,'30 days CF Table(Ccy)'!G51,BS_RE33!$F$7:$F$874,'30 days CF Table(Ccy)'!$C$2),2)</f>
        <v>0</v>
      </c>
      <c r="AG51" s="548">
        <f>ROUND(SUMIFS(BS_RE33!$H$7:$H$874,BS_RE33!$S$7:$S$874,$AG$2,BS_RE33!$N$7:$N$874,I51,BS_RE33!$P$7:$P$874,'30 days CF Table(Ccy)'!G51,BS_RE33!$F$7:$F$874,'30 days CF Table(Ccy)'!$C$2),2)</f>
        <v>0</v>
      </c>
      <c r="AH51" s="548">
        <f>ROUND(SUMIFS(BS_RE33!$H$7:$H$874,BS_RE33!$S$7:$S$874,$AH$2,BS_RE33!$N$7:$N$874,I51,BS_RE33!$P$7:$P$874,'30 days CF Table(Ccy)'!G51,BS_RE33!$F$7:$F$874,'30 days CF Table(Ccy)'!$C$2),2)</f>
        <v>0</v>
      </c>
      <c r="AI51" s="548">
        <f>ROUND(SUMIFS(BS_RE33!$H$7:$H$874,BS_RE33!$S$7:$S$874,$AI$2,BS_RE33!$N$7:$N$874,I51,BS_RE33!$P$7:$P$874,'30 days CF Table(Ccy)'!G51,BS_RE33!$F$7:$F$874,'30 days CF Table(Ccy)'!$C$2),2)</f>
        <v>0</v>
      </c>
      <c r="AJ51" s="548">
        <f>ROUND(SUMIFS(BS_RE33!$H$7:$H$874,BS_RE33!$S$7:$S$874,$AJ$2,BS_RE33!$N$7:$N$874,I51,BS_RE33!$P$7:$P$874,'30 days CF Table(Ccy)'!G51,BS_RE33!$F$7:$F$874,'30 days CF Table(Ccy)'!$C$2),2)</f>
        <v>0</v>
      </c>
      <c r="AK51" s="548">
        <f>ROUND(SUMIFS(BS_RE33!$H$7:$H$874,BS_RE33!$S$7:$S$874,$AK$2,BS_RE33!$N$7:$N$874,I51,BS_RE33!$P$7:$P$874,'30 days CF Table(Ccy)'!G51,BS_RE33!$F$7:$F$874,'30 days CF Table(Ccy)'!$C$2),2)</f>
        <v>0</v>
      </c>
      <c r="AL51" s="548">
        <f>ROUND(SUMIFS(BS_RE33!$H$7:$H$874,BS_RE33!$S$7:$S$874,$AL$2,BS_RE33!$N$7:$N$874,I51,BS_RE33!$P$7:$P$874,'30 days CF Table(Ccy)'!G51,BS_RE33!$F$7:$F$874,'30 days CF Table(Ccy)'!$C$2),2)</f>
        <v>0</v>
      </c>
      <c r="AM51" s="548">
        <f>ROUND(SUMIFS(BS_RE33!$H$7:$H$874,BS_RE33!$S$7:$S$874,$AM$2,BS_RE33!$N$7:$N$874,I51,BS_RE33!$P$7:$P$874,'30 days CF Table(Ccy)'!G51,BS_RE33!$F$7:$F$874,'30 days CF Table(Ccy)'!$C$2),2)</f>
        <v>0</v>
      </c>
      <c r="AN51" s="548">
        <f>ROUND(SUMIFS(BS_RE33!$H$7:$H$874,BS_RE33!$S$7:$S$874,$AN$2,BS_RE33!$N$7:$N$874,I51,BS_RE33!$P$7:$P$874,'30 days CF Table(Ccy)'!G51,BS_RE33!$F$7:$F$874,'30 days CF Table(Ccy)'!$C$2),2)</f>
        <v>0</v>
      </c>
      <c r="AO51" s="548">
        <f>ROUND(SUMIFS(BS_RE33!$H$7:$H$874,BS_RE33!$S$7:$S$874,$AO$2,BS_RE33!$N$7:$N$874,I51,BS_RE33!$P$7:$P$874,'30 days CF Table(Ccy)'!G51,BS_RE33!$F$7:$F$874,'30 days CF Table(Ccy)'!$C$2),2)</f>
        <v>0</v>
      </c>
      <c r="AP51" s="549">
        <f>ROUND(SUMIFS(BS_RE33!$H$7:$H$874,BS_RE33!$S$7:$S$874,$AP$2,BS_RE33!$N$7:$N$874,I51,BS_RE33!$P$7:$P$874,'30 days CF Table(Ccy)'!G51,BS_RE33!$F$7:$F$874,'30 days CF Table(Ccy)'!$C$2),2)</f>
        <v>0</v>
      </c>
      <c r="AQ51" s="550"/>
      <c r="AR51" s="380">
        <f>ROUND(SUMIFS(BS_RE33!$H$7:$H$874,BS_RE33!$S$7:$S$874,$AR$2,BS_RE33!$N$7:$N$874,I51,BS_RE33!$P$7:$P$874,'30 days CF Table(Ccy)'!G51,BS_RE33!$F$7:$F$874,'30 days CF Table(Ccy)'!$C$2),2)</f>
        <v>0</v>
      </c>
      <c r="AS51" s="380">
        <f>ROUND(SUMIFS(BS_RE33!$H$7:$H$874,BS_RE33!$S$7:$S$874,$AS$2,BS_RE33!$N$7:$N$874,I51,BS_RE33!$P$7:$P$874,'30 days CF Table(Ccy)'!G51,BS_RE33!$F$7:$F$874,'30 days CF Table(Ccy)'!$C$2),2)</f>
        <v>0</v>
      </c>
      <c r="AT51" s="380">
        <f>ROUND(SUMIFS(BS_RE33!$H$7:$H$874,BS_RE33!$S$7:$S$874,$AT$2,BS_RE33!$N$7:$N$874,I51,BS_RE33!$P$7:$P$874,'30 days CF Table(Ccy)'!G51,BS_RE33!$F$7:$F$874,'30 days CF Table(Ccy)'!$C$2),2)</f>
        <v>0</v>
      </c>
      <c r="AU51" s="380">
        <f>ROUND(SUMIFS(BS_RE33!$H$7:$H$874,BS_RE33!$S$7:$S$874,$AU$2,BS_RE33!$N$7:$N$874,I51,BS_RE33!$P$7:$P$874,'30 days CF Table(Ccy)'!G51,BS_RE33!$F$7:$F$874,'30 days CF Table(Ccy)'!$C$2),2)</f>
        <v>0</v>
      </c>
      <c r="AV51" s="380">
        <f>ROUND(SUMIFS(BS_RE33!$H$7:$H$874,BS_RE33!$S$7:$S$874,$AV$2,BS_RE33!$N$7:$N$874,I51,BS_RE33!$P$7:$P$874,'30 days CF Table(Ccy)'!G51,BS_RE33!$F$7:$F$874,'30 days CF Table(Ccy)'!$C$2),2)</f>
        <v>0</v>
      </c>
      <c r="AW51" s="380">
        <f>ROUND(SUMIFS(BS_RE33!$H$7:$H$874,BS_RE33!$S$7:$S$874,$AW$2,BS_RE33!$N$7:$N$874,I51,BS_RE33!$P$7:$P$874,'30 days CF Table(Ccy)'!G51,BS_RE33!$F$7:$F$874,'30 days CF Table(Ccy)'!$C$2),2)</f>
        <v>0</v>
      </c>
      <c r="AX51" s="380">
        <f>ROUND(SUMIFS(BS_RE33!$H$7:$H$874,BS_RE33!$S$7:$S$874,$AX$2,BS_RE33!$N$7:$N$874,I51,BS_RE33!$P$7:$P$874,'30 days CF Table(Ccy)'!G51,BS_RE33!$F$7:$F$874,'30 days CF Table(Ccy)'!$C$2),2)</f>
        <v>0</v>
      </c>
      <c r="AY51" s="380">
        <f>ROUND(SUMIFS(BS_RE33!$H$7:$H$874,BS_RE33!$S$7:$S$874,$AY$2,BS_RE33!$N$7:$N$874,I51,BS_RE33!$P$7:$P$874,'30 days CF Table(Ccy)'!G51,BS_RE33!$F$7:$F$874,'30 days CF Table(Ccy)'!$C$2),2)</f>
        <v>0</v>
      </c>
      <c r="AZ51" s="380">
        <f>ROUND(SUMIFS(BS_RE33!$H$7:$H$874,BS_RE33!$S$7:$S$874,$AZ$2,BS_RE33!$N$7:$N$874,I51,BS_RE33!$P$7:$P$874,'30 days CF Table(Ccy)'!G51,BS_RE33!$F$7:$F$874,'30 days CF Table(Ccy)'!$C$2),2)</f>
        <v>0</v>
      </c>
      <c r="BA51" s="380">
        <f>ROUND(SUMIFS(BS_RE33!$H$7:$H$874,BS_RE33!$S$7:$S$874,$BA$2,BS_RE33!$N$7:$N$874,I51,BS_RE33!$P$7:$P$874,'30 days CF Table(Ccy)'!G51,BS_RE33!$F$7:$F$874,'30 days CF Table(Ccy)'!$C$2),2)</f>
        <v>0</v>
      </c>
      <c r="BB51" s="380">
        <f>ROUND(SUMIFS(BS_RE33!$H$7:$H$874,BS_RE33!$S$7:$S$874,$BB$2,BS_RE33!$N$7:$N$874,I51,BS_RE33!$P$7:$P$874,'30 days CF Table(Ccy)'!G51,BS_RE33!$F$7:$F$874,'30 days CF Table(Ccy)'!$C$2),2)</f>
        <v>0</v>
      </c>
      <c r="BC51" s="380">
        <f>ROUND(SUMIFS(BS_RE33!$H$7:$H$874,BS_RE33!$S$7:$S$874,$BC$2,BS_RE33!$N$7:$N$874,I51,BS_RE33!$P$7:$P$874,'30 days CF Table(Ccy)'!G51,BS_RE33!$F$7:$F$874,'30 days CF Table(Ccy)'!$C$2),2)</f>
        <v>0</v>
      </c>
      <c r="BD51" s="380">
        <f>ROUND(SUMIFS(BS_RE33!$H$7:$H$874,BS_RE33!$S$7:$S$874,$BD$2,BS_RE33!$N$7:$N$874,I51,BS_RE33!$P$7:$P$874,'30 days CF Table(Ccy)'!G51,BS_RE33!$F$7:$F$874,'30 days CF Table(Ccy)'!$C$2),2)</f>
        <v>0</v>
      </c>
      <c r="BE51" s="380">
        <f>ROUND(SUMIFS(BS_RE33!$H$7:$H$874,BS_RE33!$S$7:$S$874,$BE$2,BS_RE33!$N$7:$N$874,I51,BS_RE33!$P$7:$P$874,'30 days CF Table(Ccy)'!G51,BS_RE33!$F$7:$F$874,'30 days CF Table(Ccy)'!$C$2),2)</f>
        <v>0</v>
      </c>
      <c r="BF51" s="380">
        <f>ROUND(SUMIFS(BS_RE33!$H$7:$H$874,BS_RE33!$S$7:$S$874,$BF$2,BS_RE33!$N$7:$N$874,I51,BS_RE33!$P$7:$P$874,'30 days CF Table(Ccy)'!G51,BS_RE33!$F$7:$F$874,'30 days CF Table(Ccy)'!$C$2),2)</f>
        <v>0</v>
      </c>
      <c r="BG51" s="380">
        <f>ROUND(SUMIFS(BS_RE33!$H$7:$H$874,BS_RE33!$S$7:$S$874,$BG$2,BS_RE33!$N$7:$N$874,I51,BS_RE33!$P$7:$P$874,'30 days CF Table(Ccy)'!G51,BS_RE33!$F$7:$F$874,'30 days CF Table(Ccy)'!$C$2),2)</f>
        <v>0</v>
      </c>
      <c r="BH51" s="380">
        <f>ROUND(SUMIFS(BS_RE33!$H$7:$H$874,BS_RE33!$S$7:$S$874,$BH$2,BS_RE33!$N$7:$N$874,I51,BS_RE33!$P$7:$P$874,'30 days CF Table(Ccy)'!G51,BS_RE33!$F$7:$F$874,'30 days CF Table(Ccy)'!$C$2),2)</f>
        <v>0</v>
      </c>
      <c r="BI51" s="380">
        <f>ROUND(SUMIFS(BS_RE33!$H$7:$H$874,BS_RE33!$S$7:$S$874,$BI$2,BS_RE33!$N$7:$N$874,I51,BS_RE33!$P$7:$P$874,'30 days CF Table(Ccy)'!G51,BS_RE33!$F$7:$F$874,'30 days CF Table(Ccy)'!$C$2),2)</f>
        <v>0</v>
      </c>
      <c r="BJ51" s="380">
        <f>ROUND(SUMIFS(BS_RE33!$H$7:$H$874,BS_RE33!$S$7:$S$874,$BJ$2,BS_RE33!$N$7:$N$874,I51,BS_RE33!$P$7:$P$874,'30 days CF Table(Ccy)'!G51,BS_RE33!$F$7:$F$874,'30 days CF Table(Ccy)'!$C$2),2)</f>
        <v>0</v>
      </c>
      <c r="BK51" s="380">
        <f>ROUND(SUMIFS(BS_RE33!$H$7:$H$874,BS_RE33!$S$7:$S$874,$BK$2,BS_RE33!$N$7:$N$874,I51,BS_RE33!$P$7:$P$874,'30 days CF Table(Ccy)'!G51,BS_RE33!$F$7:$F$874,'30 days CF Table(Ccy)'!$C$2),2)</f>
        <v>0</v>
      </c>
    </row>
    <row r="52" spans="3:63">
      <c r="C52" s="1027" t="s">
        <v>758</v>
      </c>
      <c r="D52" s="1038" t="s">
        <v>776</v>
      </c>
      <c r="E52" s="110" t="s">
        <v>93</v>
      </c>
      <c r="F52" s="309"/>
      <c r="G52" s="392" t="s">
        <v>531</v>
      </c>
      <c r="H52" s="317">
        <v>0</v>
      </c>
      <c r="I52" s="315" t="s">
        <v>80</v>
      </c>
      <c r="J52" s="479">
        <f t="shared" si="2"/>
        <v>0</v>
      </c>
      <c r="K52" s="336">
        <f t="shared" si="3"/>
        <v>0</v>
      </c>
      <c r="L52" s="337">
        <f>ROUND(SUMIFS(BS_RE33!$H$7:$H$874,BS_RE33!$S$7:$S$874,$L$2,BS_RE33!$N$7:$N$874,I52,BS_RE33!$P$7:$P$874,'30 days CF Table(Ccy)'!G52,BS_RE33!$F$7:$F$874,'30 days CF Table(Ccy)'!$C$2),2)</f>
        <v>0</v>
      </c>
      <c r="M52" s="337">
        <f>ROUND(SUMIFS(BS_RE33!$H$7:$H$874,BS_RE33!$S$7:$S$874,$M$2,BS_RE33!$N$7:$N$874,I52,BS_RE33!$P$7:$P$874,'30 days CF Table(Ccy)'!G52,BS_RE33!$F$7:$F$874,'30 days CF Table(Ccy)'!$C$2),2)</f>
        <v>0</v>
      </c>
      <c r="N52" s="337">
        <f>ROUND(SUMIFS(BS_RE33!$H$7:$H$874,BS_RE33!$S$7:$S$874,$N$2,BS_RE33!$N$7:$N$874,I52,BS_RE33!$P$7:$P$874,'30 days CF Table(Ccy)'!G52,BS_RE33!$F$7:$F$874,'30 days CF Table(Ccy)'!$C$2),2)</f>
        <v>0</v>
      </c>
      <c r="O52" s="337">
        <f>ROUND(SUMIFS(BS_RE33!$H$7:$H$874,BS_RE33!$S$7:$S$874,$O$2,BS_RE33!$N$7:$N$874,I52,BS_RE33!$P$7:$P$874,'30 days CF Table(Ccy)'!G52,BS_RE33!$F$7:$F$874,'30 days CF Table(Ccy)'!$C$2),2)</f>
        <v>0</v>
      </c>
      <c r="P52" s="337">
        <f>ROUND(SUMIFS(BS_RE33!$H$7:$H$874,BS_RE33!$S$7:$S$874,$P$2,BS_RE33!$N$7:$N$874,I52,BS_RE33!$P$7:$P$874,'30 days CF Table(Ccy)'!G52,BS_RE33!$F$7:$F$874,'30 days CF Table(Ccy)'!$C$2),2)</f>
        <v>0</v>
      </c>
      <c r="Q52" s="337">
        <f>ROUND(SUMIFS(BS_RE33!$H$7:$H$874,BS_RE33!$S$7:$S$874,$Q$2,BS_RE33!$N$7:$N$874,I52,BS_RE33!$P$7:$P$874,'30 days CF Table(Ccy)'!G52,BS_RE33!$F$7:$F$874,'30 days CF Table(Ccy)'!$C$2),2)</f>
        <v>0</v>
      </c>
      <c r="R52" s="337">
        <f>ROUND(SUMIFS(BS_RE33!$H$7:$H$874,BS_RE33!$S$7:$S$874,$R$2,BS_RE33!$N$7:$N$874,I52,BS_RE33!$P$7:$P$874,'30 days CF Table(Ccy)'!G52,BS_RE33!$F$7:$F$874,'30 days CF Table(Ccy)'!$C$2),2)</f>
        <v>0</v>
      </c>
      <c r="S52" s="337">
        <f>ROUND(SUMIFS(BS_RE33!$H$7:$H$874,BS_RE33!$S$7:$S$874,$S$2,BS_RE33!$N$7:$N$874,I52,BS_RE33!$P$7:$P$874,'30 days CF Table(Ccy)'!G52,BS_RE33!$F$7:$F$874,'30 days CF Table(Ccy)'!$C$2),2)</f>
        <v>0</v>
      </c>
      <c r="T52" s="337">
        <f>ROUND(SUMIFS(BS_RE33!$H$7:$H$874,BS_RE33!$S$7:$S$874,$T$2,BS_RE33!$N$7:$N$874,I52,BS_RE33!$P$7:$P$874,'30 days CF Table(Ccy)'!G52,BS_RE33!$F$7:$F$874,'30 days CF Table(Ccy)'!$C$2),2)</f>
        <v>0</v>
      </c>
      <c r="U52" s="337">
        <f>ROUND(SUMIFS(BS_RE33!$H$7:$H$874,BS_RE33!$S$7:$S$874,$U$2,BS_RE33!$N$7:$N$874,I52,BS_RE33!$P$7:$P$874,'30 days CF Table(Ccy)'!G52,BS_RE33!$F$7:$F$874,'30 days CF Table(Ccy)'!$C$2),2)</f>
        <v>0</v>
      </c>
      <c r="V52" s="337">
        <f>ROUND(SUMIFS(BS_RE33!$H$7:$H$874,BS_RE33!$S$7:$S$874,$V$2,BS_RE33!$N$7:$N$874,I52,BS_RE33!$P$7:$P$874,'30 days CF Table(Ccy)'!G52,BS_RE33!$F$7:$F$874,'30 days CF Table(Ccy)'!$C$2),2)</f>
        <v>0</v>
      </c>
      <c r="W52" s="337">
        <f>ROUND(SUMIFS(BS_RE33!$H$7:$H$874,BS_RE33!$S$7:$S$874,$W$2,BS_RE33!$N$7:$N$874,I52,BS_RE33!$P$7:$P$874,'30 days CF Table(Ccy)'!G52,BS_RE33!$F$7:$F$874,'30 days CF Table(Ccy)'!$C$2),2)</f>
        <v>0</v>
      </c>
      <c r="X52" s="337">
        <f>ROUND(SUMIFS(BS_RE33!$H$7:$H$874,BS_RE33!$S$7:$S$874,$X$2,BS_RE33!$N$7:$N$874,I52,BS_RE33!$P$7:$P$874,'30 days CF Table(Ccy)'!G52,BS_RE33!$F$7:$F$874,'30 days CF Table(Ccy)'!$C$2),2)</f>
        <v>0</v>
      </c>
      <c r="Y52" s="337">
        <f>ROUND(SUMIFS(BS_RE33!$H$7:$H$874,BS_RE33!$S$7:$S$874,$Y$2,BS_RE33!$N$7:$N$874,I52,BS_RE33!$P$7:$P$874,'30 days CF Table(Ccy)'!G52,BS_RE33!$F$7:$F$874,'30 days CF Table(Ccy)'!$C$2),2)</f>
        <v>0</v>
      </c>
      <c r="Z52" s="337">
        <f>ROUND(SUMIFS(BS_RE33!$H$7:$H$874,BS_RE33!$S$7:$S$874,$Z$2,BS_RE33!$N$7:$N$874,I52,BS_RE33!$P$7:$P$874,'30 days CF Table(Ccy)'!G52,BS_RE33!$F$7:$F$874,'30 days CF Table(Ccy)'!$C$2),2)</f>
        <v>0</v>
      </c>
      <c r="AA52" s="337">
        <f>ROUND(SUMIFS(BS_RE33!$H$7:$H$874,BS_RE33!$S$7:$S$874,$AA$2,BS_RE33!$N$7:$N$874,I52,BS_RE33!$P$7:$P$874,'30 days CF Table(Ccy)'!G52,BS_RE33!$F$7:$F$874,'30 days CF Table(Ccy)'!$C$2),2)</f>
        <v>0</v>
      </c>
      <c r="AB52" s="337">
        <f>ROUND(SUMIFS(BS_RE33!$H$7:$H$874,BS_RE33!$S$7:$S$874,$AB$2,BS_RE33!$N$7:$N$874,I52,BS_RE33!$P$7:$P$874,'30 days CF Table(Ccy)'!G52,BS_RE33!$F$7:$F$874,'30 days CF Table(Ccy)'!$C$2),2)</f>
        <v>0</v>
      </c>
      <c r="AC52" s="337">
        <f>ROUND(SUMIFS(BS_RE33!$H$7:$H$874,BS_RE33!$S$7:$S$874,$AC$2,BS_RE33!$N$7:$N$874,I52,BS_RE33!$P$7:$P$874,'30 days CF Table(Ccy)'!G52,BS_RE33!$F$7:$F$874,'30 days CF Table(Ccy)'!$C$2),2)</f>
        <v>0</v>
      </c>
      <c r="AD52" s="337">
        <f>ROUND(SUMIFS(BS_RE33!$H$7:$H$874,BS_RE33!$S$7:$S$874,$AD$2,BS_RE33!$N$7:$N$874,I52,BS_RE33!$P$7:$P$874,'30 days CF Table(Ccy)'!G52,BS_RE33!$F$7:$F$874,'30 days CF Table(Ccy)'!$C$2),2)</f>
        <v>0</v>
      </c>
      <c r="AE52" s="337">
        <f>ROUND(SUMIFS(BS_RE33!$H$7:$H$874,BS_RE33!$S$7:$S$874,$AE$2,BS_RE33!$N$7:$N$874,I52,BS_RE33!$P$7:$P$874,'30 days CF Table(Ccy)'!G52,BS_RE33!$F$7:$F$874,'30 days CF Table(Ccy)'!$C$2),2)</f>
        <v>0</v>
      </c>
      <c r="AF52" s="337">
        <f>ROUND(SUMIFS(BS_RE33!$H$7:$H$874,BS_RE33!$S$7:$S$874,$AF$2,BS_RE33!$N$7:$N$874,I52,BS_RE33!$P$7:$P$874,'30 days CF Table(Ccy)'!G52,BS_RE33!$F$7:$F$874,'30 days CF Table(Ccy)'!$C$2),2)</f>
        <v>0</v>
      </c>
      <c r="AG52" s="337">
        <f>ROUND(SUMIFS(BS_RE33!$H$7:$H$874,BS_RE33!$S$7:$S$874,$AG$2,BS_RE33!$N$7:$N$874,I52,BS_RE33!$P$7:$P$874,'30 days CF Table(Ccy)'!G52,BS_RE33!$F$7:$F$874,'30 days CF Table(Ccy)'!$C$2),2)</f>
        <v>0</v>
      </c>
      <c r="AH52" s="337">
        <f>ROUND(SUMIFS(BS_RE33!$H$7:$H$874,BS_RE33!$S$7:$S$874,$AH$2,BS_RE33!$N$7:$N$874,I52,BS_RE33!$P$7:$P$874,'30 days CF Table(Ccy)'!G52,BS_RE33!$F$7:$F$874,'30 days CF Table(Ccy)'!$C$2),2)</f>
        <v>0</v>
      </c>
      <c r="AI52" s="337">
        <f>ROUND(SUMIFS(BS_RE33!$H$7:$H$874,BS_RE33!$S$7:$S$874,$AI$2,BS_RE33!$N$7:$N$874,I52,BS_RE33!$P$7:$P$874,'30 days CF Table(Ccy)'!G52,BS_RE33!$F$7:$F$874,'30 days CF Table(Ccy)'!$C$2),2)</f>
        <v>0</v>
      </c>
      <c r="AJ52" s="337">
        <f>ROUND(SUMIFS(BS_RE33!$H$7:$H$874,BS_RE33!$S$7:$S$874,$AJ$2,BS_RE33!$N$7:$N$874,I52,BS_RE33!$P$7:$P$874,'30 days CF Table(Ccy)'!G52,BS_RE33!$F$7:$F$874,'30 days CF Table(Ccy)'!$C$2),2)</f>
        <v>0</v>
      </c>
      <c r="AK52" s="337">
        <f>ROUND(SUMIFS(BS_RE33!$H$7:$H$874,BS_RE33!$S$7:$S$874,$AK$2,BS_RE33!$N$7:$N$874,I52,BS_RE33!$P$7:$P$874,'30 days CF Table(Ccy)'!G52,BS_RE33!$F$7:$F$874,'30 days CF Table(Ccy)'!$C$2),2)</f>
        <v>0</v>
      </c>
      <c r="AL52" s="337">
        <f>ROUND(SUMIFS(BS_RE33!$H$7:$H$874,BS_RE33!$S$7:$S$874,$AL$2,BS_RE33!$N$7:$N$874,I52,BS_RE33!$P$7:$P$874,'30 days CF Table(Ccy)'!G52,BS_RE33!$F$7:$F$874,'30 days CF Table(Ccy)'!$C$2),2)</f>
        <v>0</v>
      </c>
      <c r="AM52" s="337">
        <f>ROUND(SUMIFS(BS_RE33!$H$7:$H$874,BS_RE33!$S$7:$S$874,$AM$2,BS_RE33!$N$7:$N$874,I52,BS_RE33!$P$7:$P$874,'30 days CF Table(Ccy)'!G52,BS_RE33!$F$7:$F$874,'30 days CF Table(Ccy)'!$C$2),2)</f>
        <v>0</v>
      </c>
      <c r="AN52" s="337">
        <f>ROUND(SUMIFS(BS_RE33!$H$7:$H$874,BS_RE33!$S$7:$S$874,$AN$2,BS_RE33!$N$7:$N$874,I52,BS_RE33!$P$7:$P$874,'30 days CF Table(Ccy)'!G52,BS_RE33!$F$7:$F$874,'30 days CF Table(Ccy)'!$C$2),2)</f>
        <v>0</v>
      </c>
      <c r="AO52" s="337">
        <f>ROUND(SUMIFS(BS_RE33!$H$7:$H$874,BS_RE33!$S$7:$S$874,$AO$2,BS_RE33!$N$7:$N$874,I52,BS_RE33!$P$7:$P$874,'30 days CF Table(Ccy)'!G52,BS_RE33!$F$7:$F$874,'30 days CF Table(Ccy)'!$C$2),2)</f>
        <v>0</v>
      </c>
      <c r="AP52" s="338">
        <f>ROUND(SUMIFS(BS_RE33!$H$7:$H$874,BS_RE33!$S$7:$S$874,$AP$2,BS_RE33!$N$7:$N$874,I52,BS_RE33!$P$7:$P$874,'30 days CF Table(Ccy)'!G52,BS_RE33!$F$7:$F$874,'30 days CF Table(Ccy)'!$C$2),2)</f>
        <v>0</v>
      </c>
      <c r="AR52" s="379">
        <f>ROUND(SUMIFS(BS_RE33!$H$7:$H$874,BS_RE33!$S$7:$S$874,$AR$2,BS_RE33!$N$7:$N$874,I52,BS_RE33!$P$7:$P$874,'30 days CF Table(Ccy)'!G52,BS_RE33!$F$7:$F$874,'30 days CF Table(Ccy)'!$C$2),2)</f>
        <v>0</v>
      </c>
      <c r="AS52" s="379">
        <f>ROUND(SUMIFS(BS_RE33!$H$7:$H$874,BS_RE33!$S$7:$S$874,$AS$2,BS_RE33!$N$7:$N$874,I52,BS_RE33!$P$7:$P$874,'30 days CF Table(Ccy)'!G52,BS_RE33!$F$7:$F$874,'30 days CF Table(Ccy)'!$C$2),2)</f>
        <v>0</v>
      </c>
      <c r="AT52" s="379">
        <f>ROUND(SUMIFS(BS_RE33!$H$7:$H$874,BS_RE33!$S$7:$S$874,$AT$2,BS_RE33!$N$7:$N$874,I52,BS_RE33!$P$7:$P$874,'30 days CF Table(Ccy)'!G52,BS_RE33!$F$7:$F$874,'30 days CF Table(Ccy)'!$C$2),2)</f>
        <v>0</v>
      </c>
      <c r="AU52" s="379">
        <f>ROUND(SUMIFS(BS_RE33!$H$7:$H$874,BS_RE33!$S$7:$S$874,$AU$2,BS_RE33!$N$7:$N$874,I52,BS_RE33!$P$7:$P$874,'30 days CF Table(Ccy)'!G52,BS_RE33!$F$7:$F$874,'30 days CF Table(Ccy)'!$C$2),2)</f>
        <v>0</v>
      </c>
      <c r="AV52" s="379">
        <f>ROUND(SUMIFS(BS_RE33!$H$7:$H$874,BS_RE33!$S$7:$S$874,$AV$2,BS_RE33!$N$7:$N$874,I52,BS_RE33!$P$7:$P$874,'30 days CF Table(Ccy)'!G52,BS_RE33!$F$7:$F$874,'30 days CF Table(Ccy)'!$C$2),2)</f>
        <v>0</v>
      </c>
      <c r="AW52" s="379">
        <f>ROUND(SUMIFS(BS_RE33!$H$7:$H$874,BS_RE33!$S$7:$S$874,$AW$2,BS_RE33!$N$7:$N$874,I52,BS_RE33!$P$7:$P$874,'30 days CF Table(Ccy)'!G52,BS_RE33!$F$7:$F$874,'30 days CF Table(Ccy)'!$C$2),2)</f>
        <v>0</v>
      </c>
      <c r="AX52" s="379">
        <f>ROUND(SUMIFS(BS_RE33!$H$7:$H$874,BS_RE33!$S$7:$S$874,$AX$2,BS_RE33!$N$7:$N$874,I52,BS_RE33!$P$7:$P$874,'30 days CF Table(Ccy)'!G52,BS_RE33!$F$7:$F$874,'30 days CF Table(Ccy)'!$C$2),2)</f>
        <v>0</v>
      </c>
      <c r="AY52" s="379">
        <f>ROUND(SUMIFS(BS_RE33!$H$7:$H$874,BS_RE33!$S$7:$S$874,$AY$2,BS_RE33!$N$7:$N$874,I52,BS_RE33!$P$7:$P$874,'30 days CF Table(Ccy)'!G52,BS_RE33!$F$7:$F$874,'30 days CF Table(Ccy)'!$C$2),2)</f>
        <v>0</v>
      </c>
      <c r="AZ52" s="379">
        <f>ROUND(SUMIFS(BS_RE33!$H$7:$H$874,BS_RE33!$S$7:$S$874,$AZ$2,BS_RE33!$N$7:$N$874,I52,BS_RE33!$P$7:$P$874,'30 days CF Table(Ccy)'!G52,BS_RE33!$F$7:$F$874,'30 days CF Table(Ccy)'!$C$2),2)</f>
        <v>0</v>
      </c>
      <c r="BA52" s="379">
        <f>ROUND(SUMIFS(BS_RE33!$H$7:$H$874,BS_RE33!$S$7:$S$874,$BA$2,BS_RE33!$N$7:$N$874,I52,BS_RE33!$P$7:$P$874,'30 days CF Table(Ccy)'!G52,BS_RE33!$F$7:$F$874,'30 days CF Table(Ccy)'!$C$2),2)</f>
        <v>0</v>
      </c>
      <c r="BB52" s="379">
        <f>ROUND(SUMIFS(BS_RE33!$H$7:$H$874,BS_RE33!$S$7:$S$874,$BB$2,BS_RE33!$N$7:$N$874,I52,BS_RE33!$P$7:$P$874,'30 days CF Table(Ccy)'!G52,BS_RE33!$F$7:$F$874,'30 days CF Table(Ccy)'!$C$2),2)</f>
        <v>0</v>
      </c>
      <c r="BC52" s="379">
        <f>ROUND(SUMIFS(BS_RE33!$H$7:$H$874,BS_RE33!$S$7:$S$874,$BC$2,BS_RE33!$N$7:$N$874,I52,BS_RE33!$P$7:$P$874,'30 days CF Table(Ccy)'!G52,BS_RE33!$F$7:$F$874,'30 days CF Table(Ccy)'!$C$2),2)</f>
        <v>0</v>
      </c>
      <c r="BD52" s="379">
        <f>ROUND(SUMIFS(BS_RE33!$H$7:$H$874,BS_RE33!$S$7:$S$874,$BD$2,BS_RE33!$N$7:$N$874,I52,BS_RE33!$P$7:$P$874,'30 days CF Table(Ccy)'!G52,BS_RE33!$F$7:$F$874,'30 days CF Table(Ccy)'!$C$2),2)</f>
        <v>0</v>
      </c>
      <c r="BE52" s="379">
        <f>ROUND(SUMIFS(BS_RE33!$H$7:$H$874,BS_RE33!$S$7:$S$874,$BE$2,BS_RE33!$N$7:$N$874,I52,BS_RE33!$P$7:$P$874,'30 days CF Table(Ccy)'!G52,BS_RE33!$F$7:$F$874,'30 days CF Table(Ccy)'!$C$2),2)</f>
        <v>0</v>
      </c>
      <c r="BF52" s="379">
        <f>ROUND(SUMIFS(BS_RE33!$H$7:$H$874,BS_RE33!$S$7:$S$874,$BF$2,BS_RE33!$N$7:$N$874,I52,BS_RE33!$P$7:$P$874,'30 days CF Table(Ccy)'!G52,BS_RE33!$F$7:$F$874,'30 days CF Table(Ccy)'!$C$2),2)</f>
        <v>0</v>
      </c>
      <c r="BG52" s="379">
        <f>ROUND(SUMIFS(BS_RE33!$H$7:$H$874,BS_RE33!$S$7:$S$874,$BG$2,BS_RE33!$N$7:$N$874,I52,BS_RE33!$P$7:$P$874,'30 days CF Table(Ccy)'!G52,BS_RE33!$F$7:$F$874,'30 days CF Table(Ccy)'!$C$2),2)</f>
        <v>0</v>
      </c>
      <c r="BH52" s="379">
        <f>ROUND(SUMIFS(BS_RE33!$H$7:$H$874,BS_RE33!$S$7:$S$874,$BH$2,BS_RE33!$N$7:$N$874,I52,BS_RE33!$P$7:$P$874,'30 days CF Table(Ccy)'!G52,BS_RE33!$F$7:$F$874,'30 days CF Table(Ccy)'!$C$2),2)</f>
        <v>0</v>
      </c>
      <c r="BI52" s="379">
        <f>ROUND(SUMIFS(BS_RE33!$H$7:$H$874,BS_RE33!$S$7:$S$874,$BI$2,BS_RE33!$N$7:$N$874,I52,BS_RE33!$P$7:$P$874,'30 days CF Table(Ccy)'!G52,BS_RE33!$F$7:$F$874,'30 days CF Table(Ccy)'!$C$2),2)</f>
        <v>0</v>
      </c>
      <c r="BJ52" s="379">
        <f>ROUND(SUMIFS(BS_RE33!$H$7:$H$874,BS_RE33!$S$7:$S$874,$BJ$2,BS_RE33!$N$7:$N$874,I52,BS_RE33!$P$7:$P$874,'30 days CF Table(Ccy)'!G52,BS_RE33!$F$7:$F$874,'30 days CF Table(Ccy)'!$C$2),2)</f>
        <v>0</v>
      </c>
      <c r="BK52" s="379">
        <f>ROUND(SUMIFS(BS_RE33!$H$7:$H$874,BS_RE33!$S$7:$S$874,$BK$2,BS_RE33!$N$7:$N$874,I52,BS_RE33!$P$7:$P$874,'30 days CF Table(Ccy)'!G52,BS_RE33!$F$7:$F$874,'30 days CF Table(Ccy)'!$C$2),2)</f>
        <v>0</v>
      </c>
    </row>
    <row r="53" spans="3:63">
      <c r="C53" s="1027"/>
      <c r="D53" s="1039"/>
      <c r="E53" s="110" t="s">
        <v>94</v>
      </c>
      <c r="F53" s="309"/>
      <c r="G53" s="392" t="s">
        <v>532</v>
      </c>
      <c r="H53" s="317">
        <v>0</v>
      </c>
      <c r="I53" s="315" t="s">
        <v>80</v>
      </c>
      <c r="J53" s="479">
        <f t="shared" si="2"/>
        <v>0</v>
      </c>
      <c r="K53" s="336">
        <f t="shared" si="3"/>
        <v>0</v>
      </c>
      <c r="L53" s="337">
        <f>ROUND(SUMIFS(BS_RE33!$H$7:$H$874,BS_RE33!$S$7:$S$874,$L$2,BS_RE33!$N$7:$N$874,I53,BS_RE33!$P$7:$P$874,'30 days CF Table(Ccy)'!G53,BS_RE33!$F$7:$F$874,'30 days CF Table(Ccy)'!$C$2),2)</f>
        <v>0</v>
      </c>
      <c r="M53" s="337">
        <f>ROUND(SUMIFS(BS_RE33!$H$7:$H$874,BS_RE33!$S$7:$S$874,$M$2,BS_RE33!$N$7:$N$874,I53,BS_RE33!$P$7:$P$874,'30 days CF Table(Ccy)'!G53,BS_RE33!$F$7:$F$874,'30 days CF Table(Ccy)'!$C$2),2)</f>
        <v>0</v>
      </c>
      <c r="N53" s="337">
        <f>ROUND(SUMIFS(BS_RE33!$H$7:$H$874,BS_RE33!$S$7:$S$874,$N$2,BS_RE33!$N$7:$N$874,I53,BS_RE33!$P$7:$P$874,'30 days CF Table(Ccy)'!G53,BS_RE33!$F$7:$F$874,'30 days CF Table(Ccy)'!$C$2),2)</f>
        <v>0</v>
      </c>
      <c r="O53" s="337">
        <f>ROUND(SUMIFS(BS_RE33!$H$7:$H$874,BS_RE33!$S$7:$S$874,$O$2,BS_RE33!$N$7:$N$874,I53,BS_RE33!$P$7:$P$874,'30 days CF Table(Ccy)'!G53,BS_RE33!$F$7:$F$874,'30 days CF Table(Ccy)'!$C$2),2)</f>
        <v>0</v>
      </c>
      <c r="P53" s="337">
        <f>ROUND(SUMIFS(BS_RE33!$H$7:$H$874,BS_RE33!$S$7:$S$874,$P$2,BS_RE33!$N$7:$N$874,I53,BS_RE33!$P$7:$P$874,'30 days CF Table(Ccy)'!G53,BS_RE33!$F$7:$F$874,'30 days CF Table(Ccy)'!$C$2),2)</f>
        <v>0</v>
      </c>
      <c r="Q53" s="337">
        <f>ROUND(SUMIFS(BS_RE33!$H$7:$H$874,BS_RE33!$S$7:$S$874,$Q$2,BS_RE33!$N$7:$N$874,I53,BS_RE33!$P$7:$P$874,'30 days CF Table(Ccy)'!G53,BS_RE33!$F$7:$F$874,'30 days CF Table(Ccy)'!$C$2),2)</f>
        <v>0</v>
      </c>
      <c r="R53" s="337">
        <f>ROUND(SUMIFS(BS_RE33!$H$7:$H$874,BS_RE33!$S$7:$S$874,$R$2,BS_RE33!$N$7:$N$874,I53,BS_RE33!$P$7:$P$874,'30 days CF Table(Ccy)'!G53,BS_RE33!$F$7:$F$874,'30 days CF Table(Ccy)'!$C$2),2)</f>
        <v>0</v>
      </c>
      <c r="S53" s="337">
        <f>ROUND(SUMIFS(BS_RE33!$H$7:$H$874,BS_RE33!$S$7:$S$874,$S$2,BS_RE33!$N$7:$N$874,I53,BS_RE33!$P$7:$P$874,'30 days CF Table(Ccy)'!G53,BS_RE33!$F$7:$F$874,'30 days CF Table(Ccy)'!$C$2),2)</f>
        <v>0</v>
      </c>
      <c r="T53" s="337">
        <f>ROUND(SUMIFS(BS_RE33!$H$7:$H$874,BS_RE33!$S$7:$S$874,$T$2,BS_RE33!$N$7:$N$874,I53,BS_RE33!$P$7:$P$874,'30 days CF Table(Ccy)'!G53,BS_RE33!$F$7:$F$874,'30 days CF Table(Ccy)'!$C$2),2)</f>
        <v>0</v>
      </c>
      <c r="U53" s="337">
        <f>ROUND(SUMIFS(BS_RE33!$H$7:$H$874,BS_RE33!$S$7:$S$874,$U$2,BS_RE33!$N$7:$N$874,I53,BS_RE33!$P$7:$P$874,'30 days CF Table(Ccy)'!G53,BS_RE33!$F$7:$F$874,'30 days CF Table(Ccy)'!$C$2),2)</f>
        <v>0</v>
      </c>
      <c r="V53" s="337">
        <f>ROUND(SUMIFS(BS_RE33!$H$7:$H$874,BS_RE33!$S$7:$S$874,$V$2,BS_RE33!$N$7:$N$874,I53,BS_RE33!$P$7:$P$874,'30 days CF Table(Ccy)'!G53,BS_RE33!$F$7:$F$874,'30 days CF Table(Ccy)'!$C$2),2)</f>
        <v>0</v>
      </c>
      <c r="W53" s="337">
        <f>ROUND(SUMIFS(BS_RE33!$H$7:$H$874,BS_RE33!$S$7:$S$874,$W$2,BS_RE33!$N$7:$N$874,I53,BS_RE33!$P$7:$P$874,'30 days CF Table(Ccy)'!G53,BS_RE33!$F$7:$F$874,'30 days CF Table(Ccy)'!$C$2),2)</f>
        <v>0</v>
      </c>
      <c r="X53" s="337">
        <f>ROUND(SUMIFS(BS_RE33!$H$7:$H$874,BS_RE33!$S$7:$S$874,$X$2,BS_RE33!$N$7:$N$874,I53,BS_RE33!$P$7:$P$874,'30 days CF Table(Ccy)'!G53,BS_RE33!$F$7:$F$874,'30 days CF Table(Ccy)'!$C$2),2)</f>
        <v>0</v>
      </c>
      <c r="Y53" s="337">
        <f>ROUND(SUMIFS(BS_RE33!$H$7:$H$874,BS_RE33!$S$7:$S$874,$Y$2,BS_RE33!$N$7:$N$874,I53,BS_RE33!$P$7:$P$874,'30 days CF Table(Ccy)'!G53,BS_RE33!$F$7:$F$874,'30 days CF Table(Ccy)'!$C$2),2)</f>
        <v>0</v>
      </c>
      <c r="Z53" s="337">
        <f>ROUND(SUMIFS(BS_RE33!$H$7:$H$874,BS_RE33!$S$7:$S$874,$Z$2,BS_RE33!$N$7:$N$874,I53,BS_RE33!$P$7:$P$874,'30 days CF Table(Ccy)'!G53,BS_RE33!$F$7:$F$874,'30 days CF Table(Ccy)'!$C$2),2)</f>
        <v>0</v>
      </c>
      <c r="AA53" s="337">
        <f>ROUND(SUMIFS(BS_RE33!$H$7:$H$874,BS_RE33!$S$7:$S$874,$AA$2,BS_RE33!$N$7:$N$874,I53,BS_RE33!$P$7:$P$874,'30 days CF Table(Ccy)'!G53,BS_RE33!$F$7:$F$874,'30 days CF Table(Ccy)'!$C$2),2)</f>
        <v>0</v>
      </c>
      <c r="AB53" s="337">
        <f>ROUND(SUMIFS(BS_RE33!$H$7:$H$874,BS_RE33!$S$7:$S$874,$AB$2,BS_RE33!$N$7:$N$874,I53,BS_RE33!$P$7:$P$874,'30 days CF Table(Ccy)'!G53,BS_RE33!$F$7:$F$874,'30 days CF Table(Ccy)'!$C$2),2)</f>
        <v>0</v>
      </c>
      <c r="AC53" s="337">
        <f>ROUND(SUMIFS(BS_RE33!$H$7:$H$874,BS_RE33!$S$7:$S$874,$AC$2,BS_RE33!$N$7:$N$874,I53,BS_RE33!$P$7:$P$874,'30 days CF Table(Ccy)'!G53,BS_RE33!$F$7:$F$874,'30 days CF Table(Ccy)'!$C$2),2)</f>
        <v>0</v>
      </c>
      <c r="AD53" s="337">
        <f>ROUND(SUMIFS(BS_RE33!$H$7:$H$874,BS_RE33!$S$7:$S$874,$AD$2,BS_RE33!$N$7:$N$874,I53,BS_RE33!$P$7:$P$874,'30 days CF Table(Ccy)'!G53,BS_RE33!$F$7:$F$874,'30 days CF Table(Ccy)'!$C$2),2)</f>
        <v>0</v>
      </c>
      <c r="AE53" s="337">
        <f>ROUND(SUMIFS(BS_RE33!$H$7:$H$874,BS_RE33!$S$7:$S$874,$AE$2,BS_RE33!$N$7:$N$874,I53,BS_RE33!$P$7:$P$874,'30 days CF Table(Ccy)'!G53,BS_RE33!$F$7:$F$874,'30 days CF Table(Ccy)'!$C$2),2)</f>
        <v>0</v>
      </c>
      <c r="AF53" s="337">
        <f>ROUND(SUMIFS(BS_RE33!$H$7:$H$874,BS_RE33!$S$7:$S$874,$AF$2,BS_RE33!$N$7:$N$874,I53,BS_RE33!$P$7:$P$874,'30 days CF Table(Ccy)'!G53,BS_RE33!$F$7:$F$874,'30 days CF Table(Ccy)'!$C$2),2)</f>
        <v>0</v>
      </c>
      <c r="AG53" s="337">
        <f>ROUND(SUMIFS(BS_RE33!$H$7:$H$874,BS_RE33!$S$7:$S$874,$AG$2,BS_RE33!$N$7:$N$874,I53,BS_RE33!$P$7:$P$874,'30 days CF Table(Ccy)'!G53,BS_RE33!$F$7:$F$874,'30 days CF Table(Ccy)'!$C$2),2)</f>
        <v>0</v>
      </c>
      <c r="AH53" s="337">
        <f>ROUND(SUMIFS(BS_RE33!$H$7:$H$874,BS_RE33!$S$7:$S$874,$AH$2,BS_RE33!$N$7:$N$874,I53,BS_RE33!$P$7:$P$874,'30 days CF Table(Ccy)'!G53,BS_RE33!$F$7:$F$874,'30 days CF Table(Ccy)'!$C$2),2)</f>
        <v>0</v>
      </c>
      <c r="AI53" s="337">
        <f>ROUND(SUMIFS(BS_RE33!$H$7:$H$874,BS_RE33!$S$7:$S$874,$AI$2,BS_RE33!$N$7:$N$874,I53,BS_RE33!$P$7:$P$874,'30 days CF Table(Ccy)'!G53,BS_RE33!$F$7:$F$874,'30 days CF Table(Ccy)'!$C$2),2)</f>
        <v>0</v>
      </c>
      <c r="AJ53" s="337">
        <f>ROUND(SUMIFS(BS_RE33!$H$7:$H$874,BS_RE33!$S$7:$S$874,$AJ$2,BS_RE33!$N$7:$N$874,I53,BS_RE33!$P$7:$P$874,'30 days CF Table(Ccy)'!G53,BS_RE33!$F$7:$F$874,'30 days CF Table(Ccy)'!$C$2),2)</f>
        <v>0</v>
      </c>
      <c r="AK53" s="337">
        <f>ROUND(SUMIFS(BS_RE33!$H$7:$H$874,BS_RE33!$S$7:$S$874,$AK$2,BS_RE33!$N$7:$N$874,I53,BS_RE33!$P$7:$P$874,'30 days CF Table(Ccy)'!G53,BS_RE33!$F$7:$F$874,'30 days CF Table(Ccy)'!$C$2),2)</f>
        <v>0</v>
      </c>
      <c r="AL53" s="337">
        <f>ROUND(SUMIFS(BS_RE33!$H$7:$H$874,BS_RE33!$S$7:$S$874,$AL$2,BS_RE33!$N$7:$N$874,I53,BS_RE33!$P$7:$P$874,'30 days CF Table(Ccy)'!G53,BS_RE33!$F$7:$F$874,'30 days CF Table(Ccy)'!$C$2),2)</f>
        <v>0</v>
      </c>
      <c r="AM53" s="337">
        <f>ROUND(SUMIFS(BS_RE33!$H$7:$H$874,BS_RE33!$S$7:$S$874,$AM$2,BS_RE33!$N$7:$N$874,I53,BS_RE33!$P$7:$P$874,'30 days CF Table(Ccy)'!G53,BS_RE33!$F$7:$F$874,'30 days CF Table(Ccy)'!$C$2),2)</f>
        <v>0</v>
      </c>
      <c r="AN53" s="337">
        <f>ROUND(SUMIFS(BS_RE33!$H$7:$H$874,BS_RE33!$S$7:$S$874,$AN$2,BS_RE33!$N$7:$N$874,I53,BS_RE33!$P$7:$P$874,'30 days CF Table(Ccy)'!G53,BS_RE33!$F$7:$F$874,'30 days CF Table(Ccy)'!$C$2),2)</f>
        <v>0</v>
      </c>
      <c r="AO53" s="337">
        <f>ROUND(SUMIFS(BS_RE33!$H$7:$H$874,BS_RE33!$S$7:$S$874,$AO$2,BS_RE33!$N$7:$N$874,I53,BS_RE33!$P$7:$P$874,'30 days CF Table(Ccy)'!G53,BS_RE33!$F$7:$F$874,'30 days CF Table(Ccy)'!$C$2),2)</f>
        <v>0</v>
      </c>
      <c r="AP53" s="338">
        <f>ROUND(SUMIFS(BS_RE33!$H$7:$H$874,BS_RE33!$S$7:$S$874,$AP$2,BS_RE33!$N$7:$N$874,I53,BS_RE33!$P$7:$P$874,'30 days CF Table(Ccy)'!G53,BS_RE33!$F$7:$F$874,'30 days CF Table(Ccy)'!$C$2),2)</f>
        <v>0</v>
      </c>
      <c r="AR53" s="379">
        <f>ROUND(SUMIFS(BS_RE33!$H$7:$H$874,BS_RE33!$S$7:$S$874,$AR$2,BS_RE33!$N$7:$N$874,I53,BS_RE33!$P$7:$P$874,'30 days CF Table(Ccy)'!G53,BS_RE33!$F$7:$F$874,'30 days CF Table(Ccy)'!$C$2),2)</f>
        <v>0</v>
      </c>
      <c r="AS53" s="379">
        <f>ROUND(SUMIFS(BS_RE33!$H$7:$H$874,BS_RE33!$S$7:$S$874,$AS$2,BS_RE33!$N$7:$N$874,I53,BS_RE33!$P$7:$P$874,'30 days CF Table(Ccy)'!G53,BS_RE33!$F$7:$F$874,'30 days CF Table(Ccy)'!$C$2),2)</f>
        <v>0</v>
      </c>
      <c r="AT53" s="379">
        <f>ROUND(SUMIFS(BS_RE33!$H$7:$H$874,BS_RE33!$S$7:$S$874,$AT$2,BS_RE33!$N$7:$N$874,I53,BS_RE33!$P$7:$P$874,'30 days CF Table(Ccy)'!G53,BS_RE33!$F$7:$F$874,'30 days CF Table(Ccy)'!$C$2),2)</f>
        <v>0</v>
      </c>
      <c r="AU53" s="379">
        <f>ROUND(SUMIFS(BS_RE33!$H$7:$H$874,BS_RE33!$S$7:$S$874,$AU$2,BS_RE33!$N$7:$N$874,I53,BS_RE33!$P$7:$P$874,'30 days CF Table(Ccy)'!G53,BS_RE33!$F$7:$F$874,'30 days CF Table(Ccy)'!$C$2),2)</f>
        <v>0</v>
      </c>
      <c r="AV53" s="379">
        <f>ROUND(SUMIFS(BS_RE33!$H$7:$H$874,BS_RE33!$S$7:$S$874,$AV$2,BS_RE33!$N$7:$N$874,I53,BS_RE33!$P$7:$P$874,'30 days CF Table(Ccy)'!G53,BS_RE33!$F$7:$F$874,'30 days CF Table(Ccy)'!$C$2),2)</f>
        <v>0</v>
      </c>
      <c r="AW53" s="379">
        <f>ROUND(SUMIFS(BS_RE33!$H$7:$H$874,BS_RE33!$S$7:$S$874,$AW$2,BS_RE33!$N$7:$N$874,I53,BS_RE33!$P$7:$P$874,'30 days CF Table(Ccy)'!G53,BS_RE33!$F$7:$F$874,'30 days CF Table(Ccy)'!$C$2),2)</f>
        <v>0</v>
      </c>
      <c r="AX53" s="379">
        <f>ROUND(SUMIFS(BS_RE33!$H$7:$H$874,BS_RE33!$S$7:$S$874,$AX$2,BS_RE33!$N$7:$N$874,I53,BS_RE33!$P$7:$P$874,'30 days CF Table(Ccy)'!G53,BS_RE33!$F$7:$F$874,'30 days CF Table(Ccy)'!$C$2),2)</f>
        <v>0</v>
      </c>
      <c r="AY53" s="379">
        <f>ROUND(SUMIFS(BS_RE33!$H$7:$H$874,BS_RE33!$S$7:$S$874,$AY$2,BS_RE33!$N$7:$N$874,I53,BS_RE33!$P$7:$P$874,'30 days CF Table(Ccy)'!G53,BS_RE33!$F$7:$F$874,'30 days CF Table(Ccy)'!$C$2),2)</f>
        <v>0</v>
      </c>
      <c r="AZ53" s="379">
        <f>ROUND(SUMIFS(BS_RE33!$H$7:$H$874,BS_RE33!$S$7:$S$874,$AZ$2,BS_RE33!$N$7:$N$874,I53,BS_RE33!$P$7:$P$874,'30 days CF Table(Ccy)'!G53,BS_RE33!$F$7:$F$874,'30 days CF Table(Ccy)'!$C$2),2)</f>
        <v>0</v>
      </c>
      <c r="BA53" s="379">
        <f>ROUND(SUMIFS(BS_RE33!$H$7:$H$874,BS_RE33!$S$7:$S$874,$BA$2,BS_RE33!$N$7:$N$874,I53,BS_RE33!$P$7:$P$874,'30 days CF Table(Ccy)'!G53,BS_RE33!$F$7:$F$874,'30 days CF Table(Ccy)'!$C$2),2)</f>
        <v>0</v>
      </c>
      <c r="BB53" s="379">
        <f>ROUND(SUMIFS(BS_RE33!$H$7:$H$874,BS_RE33!$S$7:$S$874,$BB$2,BS_RE33!$N$7:$N$874,I53,BS_RE33!$P$7:$P$874,'30 days CF Table(Ccy)'!G53,BS_RE33!$F$7:$F$874,'30 days CF Table(Ccy)'!$C$2),2)</f>
        <v>0</v>
      </c>
      <c r="BC53" s="379">
        <f>ROUND(SUMIFS(BS_RE33!$H$7:$H$874,BS_RE33!$S$7:$S$874,$BC$2,BS_RE33!$N$7:$N$874,I53,BS_RE33!$P$7:$P$874,'30 days CF Table(Ccy)'!G53,BS_RE33!$F$7:$F$874,'30 days CF Table(Ccy)'!$C$2),2)</f>
        <v>0</v>
      </c>
      <c r="BD53" s="379">
        <f>ROUND(SUMIFS(BS_RE33!$H$7:$H$874,BS_RE33!$S$7:$S$874,$BD$2,BS_RE33!$N$7:$N$874,I53,BS_RE33!$P$7:$P$874,'30 days CF Table(Ccy)'!G53,BS_RE33!$F$7:$F$874,'30 days CF Table(Ccy)'!$C$2),2)</f>
        <v>0</v>
      </c>
      <c r="BE53" s="379">
        <f>ROUND(SUMIFS(BS_RE33!$H$7:$H$874,BS_RE33!$S$7:$S$874,$BE$2,BS_RE33!$N$7:$N$874,I53,BS_RE33!$P$7:$P$874,'30 days CF Table(Ccy)'!G53,BS_RE33!$F$7:$F$874,'30 days CF Table(Ccy)'!$C$2),2)</f>
        <v>0</v>
      </c>
      <c r="BF53" s="379">
        <f>ROUND(SUMIFS(BS_RE33!$H$7:$H$874,BS_RE33!$S$7:$S$874,$BF$2,BS_RE33!$N$7:$N$874,I53,BS_RE33!$P$7:$P$874,'30 days CF Table(Ccy)'!G53,BS_RE33!$F$7:$F$874,'30 days CF Table(Ccy)'!$C$2),2)</f>
        <v>0</v>
      </c>
      <c r="BG53" s="379">
        <f>ROUND(SUMIFS(BS_RE33!$H$7:$H$874,BS_RE33!$S$7:$S$874,$BG$2,BS_RE33!$N$7:$N$874,I53,BS_RE33!$P$7:$P$874,'30 days CF Table(Ccy)'!G53,BS_RE33!$F$7:$F$874,'30 days CF Table(Ccy)'!$C$2),2)</f>
        <v>0</v>
      </c>
      <c r="BH53" s="379">
        <f>ROUND(SUMIFS(BS_RE33!$H$7:$H$874,BS_RE33!$S$7:$S$874,$BH$2,BS_RE33!$N$7:$N$874,I53,BS_RE33!$P$7:$P$874,'30 days CF Table(Ccy)'!G53,BS_RE33!$F$7:$F$874,'30 days CF Table(Ccy)'!$C$2),2)</f>
        <v>0</v>
      </c>
      <c r="BI53" s="379">
        <f>ROUND(SUMIFS(BS_RE33!$H$7:$H$874,BS_RE33!$S$7:$S$874,$BI$2,BS_RE33!$N$7:$N$874,I53,BS_RE33!$P$7:$P$874,'30 days CF Table(Ccy)'!G53,BS_RE33!$F$7:$F$874,'30 days CF Table(Ccy)'!$C$2),2)</f>
        <v>0</v>
      </c>
      <c r="BJ53" s="379">
        <f>ROUND(SUMIFS(BS_RE33!$H$7:$H$874,BS_RE33!$S$7:$S$874,$BJ$2,BS_RE33!$N$7:$N$874,I53,BS_RE33!$P$7:$P$874,'30 days CF Table(Ccy)'!G53,BS_RE33!$F$7:$F$874,'30 days CF Table(Ccy)'!$C$2),2)</f>
        <v>0</v>
      </c>
      <c r="BK53" s="379">
        <f>ROUND(SUMIFS(BS_RE33!$H$7:$H$874,BS_RE33!$S$7:$S$874,$BK$2,BS_RE33!$N$7:$N$874,I53,BS_RE33!$P$7:$P$874,'30 days CF Table(Ccy)'!G53,BS_RE33!$F$7:$F$874,'30 days CF Table(Ccy)'!$C$2),2)</f>
        <v>0</v>
      </c>
    </row>
    <row r="54" spans="3:63">
      <c r="C54" s="1027"/>
      <c r="D54" s="1043" t="s">
        <v>768</v>
      </c>
      <c r="E54" s="334" t="s">
        <v>767</v>
      </c>
      <c r="F54" s="309"/>
      <c r="G54" s="392" t="s">
        <v>533</v>
      </c>
      <c r="H54" s="317">
        <v>0</v>
      </c>
      <c r="I54" s="315" t="s">
        <v>80</v>
      </c>
      <c r="J54" s="479">
        <f t="shared" si="2"/>
        <v>0</v>
      </c>
      <c r="K54" s="336">
        <f t="shared" si="3"/>
        <v>0</v>
      </c>
      <c r="L54" s="337">
        <f>ROUND(SUMIFS(BS_RE33!$H$7:$H$874,BS_RE33!$S$7:$S$874,$L$2,BS_RE33!$N$7:$N$874,I54,BS_RE33!$P$7:$P$874,'30 days CF Table(Ccy)'!G54,BS_RE33!$F$7:$F$874,'30 days CF Table(Ccy)'!$C$2),2)</f>
        <v>0</v>
      </c>
      <c r="M54" s="337">
        <f>ROUND(SUMIFS(BS_RE33!$H$7:$H$874,BS_RE33!$S$7:$S$874,$M$2,BS_RE33!$N$7:$N$874,I54,BS_RE33!$P$7:$P$874,'30 days CF Table(Ccy)'!G54,BS_RE33!$F$7:$F$874,'30 days CF Table(Ccy)'!$C$2),2)</f>
        <v>0</v>
      </c>
      <c r="N54" s="337">
        <f>ROUND(SUMIFS(BS_RE33!$H$7:$H$874,BS_RE33!$S$7:$S$874,$N$2,BS_RE33!$N$7:$N$874,I54,BS_RE33!$P$7:$P$874,'30 days CF Table(Ccy)'!G54,BS_RE33!$F$7:$F$874,'30 days CF Table(Ccy)'!$C$2),2)</f>
        <v>0</v>
      </c>
      <c r="O54" s="337">
        <f>ROUND(SUMIFS(BS_RE33!$H$7:$H$874,BS_RE33!$S$7:$S$874,$O$2,BS_RE33!$N$7:$N$874,I54,BS_RE33!$P$7:$P$874,'30 days CF Table(Ccy)'!G54,BS_RE33!$F$7:$F$874,'30 days CF Table(Ccy)'!$C$2),2)</f>
        <v>0</v>
      </c>
      <c r="P54" s="337">
        <f>ROUND(SUMIFS(BS_RE33!$H$7:$H$874,BS_RE33!$S$7:$S$874,$P$2,BS_RE33!$N$7:$N$874,I54,BS_RE33!$P$7:$P$874,'30 days CF Table(Ccy)'!G54,BS_RE33!$F$7:$F$874,'30 days CF Table(Ccy)'!$C$2),2)</f>
        <v>0</v>
      </c>
      <c r="Q54" s="337">
        <f>ROUND(SUMIFS(BS_RE33!$H$7:$H$874,BS_RE33!$S$7:$S$874,$Q$2,BS_RE33!$N$7:$N$874,I54,BS_RE33!$P$7:$P$874,'30 days CF Table(Ccy)'!G54,BS_RE33!$F$7:$F$874,'30 days CF Table(Ccy)'!$C$2),2)</f>
        <v>0</v>
      </c>
      <c r="R54" s="337">
        <f>ROUND(SUMIFS(BS_RE33!$H$7:$H$874,BS_RE33!$S$7:$S$874,$R$2,BS_RE33!$N$7:$N$874,I54,BS_RE33!$P$7:$P$874,'30 days CF Table(Ccy)'!G54,BS_RE33!$F$7:$F$874,'30 days CF Table(Ccy)'!$C$2),2)</f>
        <v>0</v>
      </c>
      <c r="S54" s="337">
        <f>ROUND(SUMIFS(BS_RE33!$H$7:$H$874,BS_RE33!$S$7:$S$874,$S$2,BS_RE33!$N$7:$N$874,I54,BS_RE33!$P$7:$P$874,'30 days CF Table(Ccy)'!G54,BS_RE33!$F$7:$F$874,'30 days CF Table(Ccy)'!$C$2),2)</f>
        <v>0</v>
      </c>
      <c r="T54" s="337">
        <f>ROUND(SUMIFS(BS_RE33!$H$7:$H$874,BS_RE33!$S$7:$S$874,$T$2,BS_RE33!$N$7:$N$874,I54,BS_RE33!$P$7:$P$874,'30 days CF Table(Ccy)'!G54,BS_RE33!$F$7:$F$874,'30 days CF Table(Ccy)'!$C$2),2)</f>
        <v>0</v>
      </c>
      <c r="U54" s="337">
        <f>ROUND(SUMIFS(BS_RE33!$H$7:$H$874,BS_RE33!$S$7:$S$874,$U$2,BS_RE33!$N$7:$N$874,I54,BS_RE33!$P$7:$P$874,'30 days CF Table(Ccy)'!G54,BS_RE33!$F$7:$F$874,'30 days CF Table(Ccy)'!$C$2),2)</f>
        <v>0</v>
      </c>
      <c r="V54" s="337">
        <f>ROUND(SUMIFS(BS_RE33!$H$7:$H$874,BS_RE33!$S$7:$S$874,$V$2,BS_RE33!$N$7:$N$874,I54,BS_RE33!$P$7:$P$874,'30 days CF Table(Ccy)'!G54,BS_RE33!$F$7:$F$874,'30 days CF Table(Ccy)'!$C$2),2)</f>
        <v>0</v>
      </c>
      <c r="W54" s="337">
        <f>ROUND(SUMIFS(BS_RE33!$H$7:$H$874,BS_RE33!$S$7:$S$874,$W$2,BS_RE33!$N$7:$N$874,I54,BS_RE33!$P$7:$P$874,'30 days CF Table(Ccy)'!G54,BS_RE33!$F$7:$F$874,'30 days CF Table(Ccy)'!$C$2),2)</f>
        <v>0</v>
      </c>
      <c r="X54" s="337">
        <f>ROUND(SUMIFS(BS_RE33!$H$7:$H$874,BS_RE33!$S$7:$S$874,$X$2,BS_RE33!$N$7:$N$874,I54,BS_RE33!$P$7:$P$874,'30 days CF Table(Ccy)'!G54,BS_RE33!$F$7:$F$874,'30 days CF Table(Ccy)'!$C$2),2)</f>
        <v>0</v>
      </c>
      <c r="Y54" s="337">
        <f>ROUND(SUMIFS(BS_RE33!$H$7:$H$874,BS_RE33!$S$7:$S$874,$Y$2,BS_RE33!$N$7:$N$874,I54,BS_RE33!$P$7:$P$874,'30 days CF Table(Ccy)'!G54,BS_RE33!$F$7:$F$874,'30 days CF Table(Ccy)'!$C$2),2)</f>
        <v>0</v>
      </c>
      <c r="Z54" s="337">
        <f>ROUND(SUMIFS(BS_RE33!$H$7:$H$874,BS_RE33!$S$7:$S$874,$Z$2,BS_RE33!$N$7:$N$874,I54,BS_RE33!$P$7:$P$874,'30 days CF Table(Ccy)'!G54,BS_RE33!$F$7:$F$874,'30 days CF Table(Ccy)'!$C$2),2)</f>
        <v>0</v>
      </c>
      <c r="AA54" s="337">
        <f>ROUND(SUMIFS(BS_RE33!$H$7:$H$874,BS_RE33!$S$7:$S$874,$AA$2,BS_RE33!$N$7:$N$874,I54,BS_RE33!$P$7:$P$874,'30 days CF Table(Ccy)'!G54,BS_RE33!$F$7:$F$874,'30 days CF Table(Ccy)'!$C$2),2)</f>
        <v>0</v>
      </c>
      <c r="AB54" s="337">
        <f>ROUND(SUMIFS(BS_RE33!$H$7:$H$874,BS_RE33!$S$7:$S$874,$AB$2,BS_RE33!$N$7:$N$874,I54,BS_RE33!$P$7:$P$874,'30 days CF Table(Ccy)'!G54,BS_RE33!$F$7:$F$874,'30 days CF Table(Ccy)'!$C$2),2)</f>
        <v>0</v>
      </c>
      <c r="AC54" s="337">
        <f>ROUND(SUMIFS(BS_RE33!$H$7:$H$874,BS_RE33!$S$7:$S$874,$AC$2,BS_RE33!$N$7:$N$874,I54,BS_RE33!$P$7:$P$874,'30 days CF Table(Ccy)'!G54,BS_RE33!$F$7:$F$874,'30 days CF Table(Ccy)'!$C$2),2)</f>
        <v>0</v>
      </c>
      <c r="AD54" s="337">
        <f>ROUND(SUMIFS(BS_RE33!$H$7:$H$874,BS_RE33!$S$7:$S$874,$AD$2,BS_RE33!$N$7:$N$874,I54,BS_RE33!$P$7:$P$874,'30 days CF Table(Ccy)'!G54,BS_RE33!$F$7:$F$874,'30 days CF Table(Ccy)'!$C$2),2)</f>
        <v>0</v>
      </c>
      <c r="AE54" s="337">
        <f>ROUND(SUMIFS(BS_RE33!$H$7:$H$874,BS_RE33!$S$7:$S$874,$AE$2,BS_RE33!$N$7:$N$874,I54,BS_RE33!$P$7:$P$874,'30 days CF Table(Ccy)'!G54,BS_RE33!$F$7:$F$874,'30 days CF Table(Ccy)'!$C$2),2)</f>
        <v>0</v>
      </c>
      <c r="AF54" s="337">
        <f>ROUND(SUMIFS(BS_RE33!$H$7:$H$874,BS_RE33!$S$7:$S$874,$AF$2,BS_RE33!$N$7:$N$874,I54,BS_RE33!$P$7:$P$874,'30 days CF Table(Ccy)'!G54,BS_RE33!$F$7:$F$874,'30 days CF Table(Ccy)'!$C$2),2)</f>
        <v>0</v>
      </c>
      <c r="AG54" s="337">
        <f>ROUND(SUMIFS(BS_RE33!$H$7:$H$874,BS_RE33!$S$7:$S$874,$AG$2,BS_RE33!$N$7:$N$874,I54,BS_RE33!$P$7:$P$874,'30 days CF Table(Ccy)'!G54,BS_RE33!$F$7:$F$874,'30 days CF Table(Ccy)'!$C$2),2)</f>
        <v>0</v>
      </c>
      <c r="AH54" s="337">
        <f>ROUND(SUMIFS(BS_RE33!$H$7:$H$874,BS_RE33!$S$7:$S$874,$AH$2,BS_RE33!$N$7:$N$874,I54,BS_RE33!$P$7:$P$874,'30 days CF Table(Ccy)'!G54,BS_RE33!$F$7:$F$874,'30 days CF Table(Ccy)'!$C$2),2)</f>
        <v>0</v>
      </c>
      <c r="AI54" s="337">
        <f>ROUND(SUMIFS(BS_RE33!$H$7:$H$874,BS_RE33!$S$7:$S$874,$AI$2,BS_RE33!$N$7:$N$874,I54,BS_RE33!$P$7:$P$874,'30 days CF Table(Ccy)'!G54,BS_RE33!$F$7:$F$874,'30 days CF Table(Ccy)'!$C$2),2)</f>
        <v>0</v>
      </c>
      <c r="AJ54" s="337">
        <f>ROUND(SUMIFS(BS_RE33!$H$7:$H$874,BS_RE33!$S$7:$S$874,$AJ$2,BS_RE33!$N$7:$N$874,I54,BS_RE33!$P$7:$P$874,'30 days CF Table(Ccy)'!G54,BS_RE33!$F$7:$F$874,'30 days CF Table(Ccy)'!$C$2),2)</f>
        <v>0</v>
      </c>
      <c r="AK54" s="337">
        <f>ROUND(SUMIFS(BS_RE33!$H$7:$H$874,BS_RE33!$S$7:$S$874,$AK$2,BS_RE33!$N$7:$N$874,I54,BS_RE33!$P$7:$P$874,'30 days CF Table(Ccy)'!G54,BS_RE33!$F$7:$F$874,'30 days CF Table(Ccy)'!$C$2),2)</f>
        <v>0</v>
      </c>
      <c r="AL54" s="337">
        <f>ROUND(SUMIFS(BS_RE33!$H$7:$H$874,BS_RE33!$S$7:$S$874,$AL$2,BS_RE33!$N$7:$N$874,I54,BS_RE33!$P$7:$P$874,'30 days CF Table(Ccy)'!G54,BS_RE33!$F$7:$F$874,'30 days CF Table(Ccy)'!$C$2),2)</f>
        <v>0</v>
      </c>
      <c r="AM54" s="337">
        <f>ROUND(SUMIFS(BS_RE33!$H$7:$H$874,BS_RE33!$S$7:$S$874,$AM$2,BS_RE33!$N$7:$N$874,I54,BS_RE33!$P$7:$P$874,'30 days CF Table(Ccy)'!G54,BS_RE33!$F$7:$F$874,'30 days CF Table(Ccy)'!$C$2),2)</f>
        <v>0</v>
      </c>
      <c r="AN54" s="337">
        <f>ROUND(SUMIFS(BS_RE33!$H$7:$H$874,BS_RE33!$S$7:$S$874,$AN$2,BS_RE33!$N$7:$N$874,I54,BS_RE33!$P$7:$P$874,'30 days CF Table(Ccy)'!G54,BS_RE33!$F$7:$F$874,'30 days CF Table(Ccy)'!$C$2),2)</f>
        <v>0</v>
      </c>
      <c r="AO54" s="337">
        <f>ROUND(SUMIFS(BS_RE33!$H$7:$H$874,BS_RE33!$S$7:$S$874,$AO$2,BS_RE33!$N$7:$N$874,I54,BS_RE33!$P$7:$P$874,'30 days CF Table(Ccy)'!G54,BS_RE33!$F$7:$F$874,'30 days CF Table(Ccy)'!$C$2),2)</f>
        <v>0</v>
      </c>
      <c r="AP54" s="338">
        <f>ROUND(SUMIFS(BS_RE33!$H$7:$H$874,BS_RE33!$S$7:$S$874,$AP$2,BS_RE33!$N$7:$N$874,I54,BS_RE33!$P$7:$P$874,'30 days CF Table(Ccy)'!G54,BS_RE33!$F$7:$F$874,'30 days CF Table(Ccy)'!$C$2),2)</f>
        <v>0</v>
      </c>
      <c r="AR54" s="379">
        <f>ROUND(SUMIFS(BS_RE33!$H$7:$H$874,BS_RE33!$S$7:$S$874,$AR$2,BS_RE33!$N$7:$N$874,I54,BS_RE33!$P$7:$P$874,'30 days CF Table(Ccy)'!G54,BS_RE33!$F$7:$F$874,'30 days CF Table(Ccy)'!$C$2),2)</f>
        <v>0</v>
      </c>
      <c r="AS54" s="379">
        <f>ROUND(SUMIFS(BS_RE33!$H$7:$H$874,BS_RE33!$S$7:$S$874,$AS$2,BS_RE33!$N$7:$N$874,I54,BS_RE33!$P$7:$P$874,'30 days CF Table(Ccy)'!G54,BS_RE33!$F$7:$F$874,'30 days CF Table(Ccy)'!$C$2),2)</f>
        <v>0</v>
      </c>
      <c r="AT54" s="379">
        <f>ROUND(SUMIFS(BS_RE33!$H$7:$H$874,BS_RE33!$S$7:$S$874,$AT$2,BS_RE33!$N$7:$N$874,I54,BS_RE33!$P$7:$P$874,'30 days CF Table(Ccy)'!G54,BS_RE33!$F$7:$F$874,'30 days CF Table(Ccy)'!$C$2),2)</f>
        <v>0</v>
      </c>
      <c r="AU54" s="379">
        <f>ROUND(SUMIFS(BS_RE33!$H$7:$H$874,BS_RE33!$S$7:$S$874,$AU$2,BS_RE33!$N$7:$N$874,I54,BS_RE33!$P$7:$P$874,'30 days CF Table(Ccy)'!G54,BS_RE33!$F$7:$F$874,'30 days CF Table(Ccy)'!$C$2),2)</f>
        <v>0</v>
      </c>
      <c r="AV54" s="379">
        <f>ROUND(SUMIFS(BS_RE33!$H$7:$H$874,BS_RE33!$S$7:$S$874,$AV$2,BS_RE33!$N$7:$N$874,I54,BS_RE33!$P$7:$P$874,'30 days CF Table(Ccy)'!G54,BS_RE33!$F$7:$F$874,'30 days CF Table(Ccy)'!$C$2),2)</f>
        <v>0</v>
      </c>
      <c r="AW54" s="379">
        <f>ROUND(SUMIFS(BS_RE33!$H$7:$H$874,BS_RE33!$S$7:$S$874,$AW$2,BS_RE33!$N$7:$N$874,I54,BS_RE33!$P$7:$P$874,'30 days CF Table(Ccy)'!G54,BS_RE33!$F$7:$F$874,'30 days CF Table(Ccy)'!$C$2),2)</f>
        <v>0</v>
      </c>
      <c r="AX54" s="379">
        <f>ROUND(SUMIFS(BS_RE33!$H$7:$H$874,BS_RE33!$S$7:$S$874,$AX$2,BS_RE33!$N$7:$N$874,I54,BS_RE33!$P$7:$P$874,'30 days CF Table(Ccy)'!G54,BS_RE33!$F$7:$F$874,'30 days CF Table(Ccy)'!$C$2),2)</f>
        <v>0</v>
      </c>
      <c r="AY54" s="379">
        <f>ROUND(SUMIFS(BS_RE33!$H$7:$H$874,BS_RE33!$S$7:$S$874,$AY$2,BS_RE33!$N$7:$N$874,I54,BS_RE33!$P$7:$P$874,'30 days CF Table(Ccy)'!G54,BS_RE33!$F$7:$F$874,'30 days CF Table(Ccy)'!$C$2),2)</f>
        <v>0</v>
      </c>
      <c r="AZ54" s="379">
        <f>ROUND(SUMIFS(BS_RE33!$H$7:$H$874,BS_RE33!$S$7:$S$874,$AZ$2,BS_RE33!$N$7:$N$874,I54,BS_RE33!$P$7:$P$874,'30 days CF Table(Ccy)'!G54,BS_RE33!$F$7:$F$874,'30 days CF Table(Ccy)'!$C$2),2)</f>
        <v>0</v>
      </c>
      <c r="BA54" s="379">
        <f>ROUND(SUMIFS(BS_RE33!$H$7:$H$874,BS_RE33!$S$7:$S$874,$BA$2,BS_RE33!$N$7:$N$874,I54,BS_RE33!$P$7:$P$874,'30 days CF Table(Ccy)'!G54,BS_RE33!$F$7:$F$874,'30 days CF Table(Ccy)'!$C$2),2)</f>
        <v>0</v>
      </c>
      <c r="BB54" s="379">
        <f>ROUND(SUMIFS(BS_RE33!$H$7:$H$874,BS_RE33!$S$7:$S$874,$BB$2,BS_RE33!$N$7:$N$874,I54,BS_RE33!$P$7:$P$874,'30 days CF Table(Ccy)'!G54,BS_RE33!$F$7:$F$874,'30 days CF Table(Ccy)'!$C$2),2)</f>
        <v>0</v>
      </c>
      <c r="BC54" s="379">
        <f>ROUND(SUMIFS(BS_RE33!$H$7:$H$874,BS_RE33!$S$7:$S$874,$BC$2,BS_RE33!$N$7:$N$874,I54,BS_RE33!$P$7:$P$874,'30 days CF Table(Ccy)'!G54,BS_RE33!$F$7:$F$874,'30 days CF Table(Ccy)'!$C$2),2)</f>
        <v>0</v>
      </c>
      <c r="BD54" s="379">
        <f>ROUND(SUMIFS(BS_RE33!$H$7:$H$874,BS_RE33!$S$7:$S$874,$BD$2,BS_RE33!$N$7:$N$874,I54,BS_RE33!$P$7:$P$874,'30 days CF Table(Ccy)'!G54,BS_RE33!$F$7:$F$874,'30 days CF Table(Ccy)'!$C$2),2)</f>
        <v>0</v>
      </c>
      <c r="BE54" s="379">
        <f>ROUND(SUMIFS(BS_RE33!$H$7:$H$874,BS_RE33!$S$7:$S$874,$BE$2,BS_RE33!$N$7:$N$874,I54,BS_RE33!$P$7:$P$874,'30 days CF Table(Ccy)'!G54,BS_RE33!$F$7:$F$874,'30 days CF Table(Ccy)'!$C$2),2)</f>
        <v>0</v>
      </c>
      <c r="BF54" s="379">
        <f>ROUND(SUMIFS(BS_RE33!$H$7:$H$874,BS_RE33!$S$7:$S$874,$BF$2,BS_RE33!$N$7:$N$874,I54,BS_RE33!$P$7:$P$874,'30 days CF Table(Ccy)'!G54,BS_RE33!$F$7:$F$874,'30 days CF Table(Ccy)'!$C$2),2)</f>
        <v>0</v>
      </c>
      <c r="BG54" s="379">
        <f>ROUND(SUMIFS(BS_RE33!$H$7:$H$874,BS_RE33!$S$7:$S$874,$BG$2,BS_RE33!$N$7:$N$874,I54,BS_RE33!$P$7:$P$874,'30 days CF Table(Ccy)'!G54,BS_RE33!$F$7:$F$874,'30 days CF Table(Ccy)'!$C$2),2)</f>
        <v>0</v>
      </c>
      <c r="BH54" s="379">
        <f>ROUND(SUMIFS(BS_RE33!$H$7:$H$874,BS_RE33!$S$7:$S$874,$BH$2,BS_RE33!$N$7:$N$874,I54,BS_RE33!$P$7:$P$874,'30 days CF Table(Ccy)'!G54,BS_RE33!$F$7:$F$874,'30 days CF Table(Ccy)'!$C$2),2)</f>
        <v>0</v>
      </c>
      <c r="BI54" s="379">
        <f>ROUND(SUMIFS(BS_RE33!$H$7:$H$874,BS_RE33!$S$7:$S$874,$BI$2,BS_RE33!$N$7:$N$874,I54,BS_RE33!$P$7:$P$874,'30 days CF Table(Ccy)'!G54,BS_RE33!$F$7:$F$874,'30 days CF Table(Ccy)'!$C$2),2)</f>
        <v>0</v>
      </c>
      <c r="BJ54" s="379">
        <f>ROUND(SUMIFS(BS_RE33!$H$7:$H$874,BS_RE33!$S$7:$S$874,$BJ$2,BS_RE33!$N$7:$N$874,I54,BS_RE33!$P$7:$P$874,'30 days CF Table(Ccy)'!G54,BS_RE33!$F$7:$F$874,'30 days CF Table(Ccy)'!$C$2),2)</f>
        <v>0</v>
      </c>
      <c r="BK54" s="379">
        <f>ROUND(SUMIFS(BS_RE33!$H$7:$H$874,BS_RE33!$S$7:$S$874,$BK$2,BS_RE33!$N$7:$N$874,I54,BS_RE33!$P$7:$P$874,'30 days CF Table(Ccy)'!G54,BS_RE33!$F$7:$F$874,'30 days CF Table(Ccy)'!$C$2),2)</f>
        <v>0</v>
      </c>
    </row>
    <row r="55" spans="3:63">
      <c r="C55" s="1027"/>
      <c r="D55" s="1043"/>
      <c r="E55" s="334" t="s">
        <v>95</v>
      </c>
      <c r="F55" s="309"/>
      <c r="G55" s="392" t="s">
        <v>533</v>
      </c>
      <c r="H55" s="317">
        <v>0</v>
      </c>
      <c r="I55" s="315" t="s">
        <v>80</v>
      </c>
      <c r="J55" s="479">
        <f t="shared" si="2"/>
        <v>0</v>
      </c>
      <c r="K55" s="336">
        <f t="shared" si="3"/>
        <v>0</v>
      </c>
      <c r="L55" s="337">
        <f>ROUND(SUMIFS(BS_RE33!$H$7:$H$874,BS_RE33!$S$7:$S$874,$L$2,BS_RE33!$N$7:$N$874,I55,BS_RE33!$P$7:$P$874,'30 days CF Table(Ccy)'!G55,BS_RE33!$F$7:$F$874,'30 days CF Table(Ccy)'!$C$2),2)</f>
        <v>0</v>
      </c>
      <c r="M55" s="337">
        <f>ROUND(SUMIFS(BS_RE33!$H$7:$H$874,BS_RE33!$S$7:$S$874,$M$2,BS_RE33!$N$7:$N$874,I55,BS_RE33!$P$7:$P$874,'30 days CF Table(Ccy)'!G55,BS_RE33!$F$7:$F$874,'30 days CF Table(Ccy)'!$C$2),2)</f>
        <v>0</v>
      </c>
      <c r="N55" s="337">
        <f>ROUND(SUMIFS(BS_RE33!$H$7:$H$874,BS_RE33!$S$7:$S$874,$N$2,BS_RE33!$N$7:$N$874,I55,BS_RE33!$P$7:$P$874,'30 days CF Table(Ccy)'!G55,BS_RE33!$F$7:$F$874,'30 days CF Table(Ccy)'!$C$2),2)</f>
        <v>0</v>
      </c>
      <c r="O55" s="337">
        <f>ROUND(SUMIFS(BS_RE33!$H$7:$H$874,BS_RE33!$S$7:$S$874,$O$2,BS_RE33!$N$7:$N$874,I55,BS_RE33!$P$7:$P$874,'30 days CF Table(Ccy)'!G55,BS_RE33!$F$7:$F$874,'30 days CF Table(Ccy)'!$C$2),2)</f>
        <v>0</v>
      </c>
      <c r="P55" s="337">
        <f>ROUND(SUMIFS(BS_RE33!$H$7:$H$874,BS_RE33!$S$7:$S$874,$P$2,BS_RE33!$N$7:$N$874,I55,BS_RE33!$P$7:$P$874,'30 days CF Table(Ccy)'!G55,BS_RE33!$F$7:$F$874,'30 days CF Table(Ccy)'!$C$2),2)</f>
        <v>0</v>
      </c>
      <c r="Q55" s="337">
        <f>ROUND(SUMIFS(BS_RE33!$H$7:$H$874,BS_RE33!$S$7:$S$874,$Q$2,BS_RE33!$N$7:$N$874,I55,BS_RE33!$P$7:$P$874,'30 days CF Table(Ccy)'!G55,BS_RE33!$F$7:$F$874,'30 days CF Table(Ccy)'!$C$2),2)</f>
        <v>0</v>
      </c>
      <c r="R55" s="337">
        <f>ROUND(SUMIFS(BS_RE33!$H$7:$H$874,BS_RE33!$S$7:$S$874,$R$2,BS_RE33!$N$7:$N$874,I55,BS_RE33!$P$7:$P$874,'30 days CF Table(Ccy)'!G55,BS_RE33!$F$7:$F$874,'30 days CF Table(Ccy)'!$C$2),2)</f>
        <v>0</v>
      </c>
      <c r="S55" s="337">
        <f>ROUND(SUMIFS(BS_RE33!$H$7:$H$874,BS_RE33!$S$7:$S$874,$S$2,BS_RE33!$N$7:$N$874,I55,BS_RE33!$P$7:$P$874,'30 days CF Table(Ccy)'!G55,BS_RE33!$F$7:$F$874,'30 days CF Table(Ccy)'!$C$2),2)</f>
        <v>0</v>
      </c>
      <c r="T55" s="337">
        <f>ROUND(SUMIFS(BS_RE33!$H$7:$H$874,BS_RE33!$S$7:$S$874,$T$2,BS_RE33!$N$7:$N$874,I55,BS_RE33!$P$7:$P$874,'30 days CF Table(Ccy)'!G55,BS_RE33!$F$7:$F$874,'30 days CF Table(Ccy)'!$C$2),2)</f>
        <v>0</v>
      </c>
      <c r="U55" s="337">
        <f>ROUND(SUMIFS(BS_RE33!$H$7:$H$874,BS_RE33!$S$7:$S$874,$U$2,BS_RE33!$N$7:$N$874,I55,BS_RE33!$P$7:$P$874,'30 days CF Table(Ccy)'!G55,BS_RE33!$F$7:$F$874,'30 days CF Table(Ccy)'!$C$2),2)</f>
        <v>0</v>
      </c>
      <c r="V55" s="337">
        <f>ROUND(SUMIFS(BS_RE33!$H$7:$H$874,BS_RE33!$S$7:$S$874,$V$2,BS_RE33!$N$7:$N$874,I55,BS_RE33!$P$7:$P$874,'30 days CF Table(Ccy)'!G55,BS_RE33!$F$7:$F$874,'30 days CF Table(Ccy)'!$C$2),2)</f>
        <v>0</v>
      </c>
      <c r="W55" s="337">
        <f>ROUND(SUMIFS(BS_RE33!$H$7:$H$874,BS_RE33!$S$7:$S$874,$W$2,BS_RE33!$N$7:$N$874,I55,BS_RE33!$P$7:$P$874,'30 days CF Table(Ccy)'!G55,BS_RE33!$F$7:$F$874,'30 days CF Table(Ccy)'!$C$2),2)</f>
        <v>0</v>
      </c>
      <c r="X55" s="337">
        <f>ROUND(SUMIFS(BS_RE33!$H$7:$H$874,BS_RE33!$S$7:$S$874,$X$2,BS_RE33!$N$7:$N$874,I55,BS_RE33!$P$7:$P$874,'30 days CF Table(Ccy)'!G55,BS_RE33!$F$7:$F$874,'30 days CF Table(Ccy)'!$C$2),2)</f>
        <v>0</v>
      </c>
      <c r="Y55" s="337">
        <f>ROUND(SUMIFS(BS_RE33!$H$7:$H$874,BS_RE33!$S$7:$S$874,$Y$2,BS_RE33!$N$7:$N$874,I55,BS_RE33!$P$7:$P$874,'30 days CF Table(Ccy)'!G55,BS_RE33!$F$7:$F$874,'30 days CF Table(Ccy)'!$C$2),2)</f>
        <v>0</v>
      </c>
      <c r="Z55" s="337">
        <f>ROUND(SUMIFS(BS_RE33!$H$7:$H$874,BS_RE33!$S$7:$S$874,$Z$2,BS_RE33!$N$7:$N$874,I55,BS_RE33!$P$7:$P$874,'30 days CF Table(Ccy)'!G55,BS_RE33!$F$7:$F$874,'30 days CF Table(Ccy)'!$C$2),2)</f>
        <v>0</v>
      </c>
      <c r="AA55" s="337">
        <f>ROUND(SUMIFS(BS_RE33!$H$7:$H$874,BS_RE33!$S$7:$S$874,$AA$2,BS_RE33!$N$7:$N$874,I55,BS_RE33!$P$7:$P$874,'30 days CF Table(Ccy)'!G55,BS_RE33!$F$7:$F$874,'30 days CF Table(Ccy)'!$C$2),2)</f>
        <v>0</v>
      </c>
      <c r="AB55" s="337">
        <f>ROUND(SUMIFS(BS_RE33!$H$7:$H$874,BS_RE33!$S$7:$S$874,$AB$2,BS_RE33!$N$7:$N$874,I55,BS_RE33!$P$7:$P$874,'30 days CF Table(Ccy)'!G55,BS_RE33!$F$7:$F$874,'30 days CF Table(Ccy)'!$C$2),2)</f>
        <v>0</v>
      </c>
      <c r="AC55" s="337">
        <f>ROUND(SUMIFS(BS_RE33!$H$7:$H$874,BS_RE33!$S$7:$S$874,$AC$2,BS_RE33!$N$7:$N$874,I55,BS_RE33!$P$7:$P$874,'30 days CF Table(Ccy)'!G55,BS_RE33!$F$7:$F$874,'30 days CF Table(Ccy)'!$C$2),2)</f>
        <v>0</v>
      </c>
      <c r="AD55" s="337">
        <f>ROUND(SUMIFS(BS_RE33!$H$7:$H$874,BS_RE33!$S$7:$S$874,$AD$2,BS_RE33!$N$7:$N$874,I55,BS_RE33!$P$7:$P$874,'30 days CF Table(Ccy)'!G55,BS_RE33!$F$7:$F$874,'30 days CF Table(Ccy)'!$C$2),2)</f>
        <v>0</v>
      </c>
      <c r="AE55" s="337">
        <f>ROUND(SUMIFS(BS_RE33!$H$7:$H$874,BS_RE33!$S$7:$S$874,$AE$2,BS_RE33!$N$7:$N$874,I55,BS_RE33!$P$7:$P$874,'30 days CF Table(Ccy)'!G55,BS_RE33!$F$7:$F$874,'30 days CF Table(Ccy)'!$C$2),2)</f>
        <v>0</v>
      </c>
      <c r="AF55" s="337">
        <f>ROUND(SUMIFS(BS_RE33!$H$7:$H$874,BS_RE33!$S$7:$S$874,$AF$2,BS_RE33!$N$7:$N$874,I55,BS_RE33!$P$7:$P$874,'30 days CF Table(Ccy)'!G55,BS_RE33!$F$7:$F$874,'30 days CF Table(Ccy)'!$C$2),2)</f>
        <v>0</v>
      </c>
      <c r="AG55" s="337">
        <f>ROUND(SUMIFS(BS_RE33!$H$7:$H$874,BS_RE33!$S$7:$S$874,$AG$2,BS_RE33!$N$7:$N$874,I55,BS_RE33!$P$7:$P$874,'30 days CF Table(Ccy)'!G55,BS_RE33!$F$7:$F$874,'30 days CF Table(Ccy)'!$C$2),2)</f>
        <v>0</v>
      </c>
      <c r="AH55" s="337">
        <f>ROUND(SUMIFS(BS_RE33!$H$7:$H$874,BS_RE33!$S$7:$S$874,$AH$2,BS_RE33!$N$7:$N$874,I55,BS_RE33!$P$7:$P$874,'30 days CF Table(Ccy)'!G55,BS_RE33!$F$7:$F$874,'30 days CF Table(Ccy)'!$C$2),2)</f>
        <v>0</v>
      </c>
      <c r="AI55" s="337">
        <f>ROUND(SUMIFS(BS_RE33!$H$7:$H$874,BS_RE33!$S$7:$S$874,$AI$2,BS_RE33!$N$7:$N$874,I55,BS_RE33!$P$7:$P$874,'30 days CF Table(Ccy)'!G55,BS_RE33!$F$7:$F$874,'30 days CF Table(Ccy)'!$C$2),2)</f>
        <v>0</v>
      </c>
      <c r="AJ55" s="337">
        <f>ROUND(SUMIFS(BS_RE33!$H$7:$H$874,BS_RE33!$S$7:$S$874,$AJ$2,BS_RE33!$N$7:$N$874,I55,BS_RE33!$P$7:$P$874,'30 days CF Table(Ccy)'!G55,BS_RE33!$F$7:$F$874,'30 days CF Table(Ccy)'!$C$2),2)</f>
        <v>0</v>
      </c>
      <c r="AK55" s="337">
        <f>ROUND(SUMIFS(BS_RE33!$H$7:$H$874,BS_RE33!$S$7:$S$874,$AK$2,BS_RE33!$N$7:$N$874,I55,BS_RE33!$P$7:$P$874,'30 days CF Table(Ccy)'!G55,BS_RE33!$F$7:$F$874,'30 days CF Table(Ccy)'!$C$2),2)</f>
        <v>0</v>
      </c>
      <c r="AL55" s="337">
        <f>ROUND(SUMIFS(BS_RE33!$H$7:$H$874,BS_RE33!$S$7:$S$874,$AL$2,BS_RE33!$N$7:$N$874,I55,BS_RE33!$P$7:$P$874,'30 days CF Table(Ccy)'!G55,BS_RE33!$F$7:$F$874,'30 days CF Table(Ccy)'!$C$2),2)</f>
        <v>0</v>
      </c>
      <c r="AM55" s="337">
        <f>ROUND(SUMIFS(BS_RE33!$H$7:$H$874,BS_RE33!$S$7:$S$874,$AM$2,BS_RE33!$N$7:$N$874,I55,BS_RE33!$P$7:$P$874,'30 days CF Table(Ccy)'!G55,BS_RE33!$F$7:$F$874,'30 days CF Table(Ccy)'!$C$2),2)</f>
        <v>0</v>
      </c>
      <c r="AN55" s="337">
        <f>ROUND(SUMIFS(BS_RE33!$H$7:$H$874,BS_RE33!$S$7:$S$874,$AN$2,BS_RE33!$N$7:$N$874,I55,BS_RE33!$P$7:$P$874,'30 days CF Table(Ccy)'!G55,BS_RE33!$F$7:$F$874,'30 days CF Table(Ccy)'!$C$2),2)</f>
        <v>0</v>
      </c>
      <c r="AO55" s="337">
        <f>ROUND(SUMIFS(BS_RE33!$H$7:$H$874,BS_RE33!$S$7:$S$874,$AO$2,BS_RE33!$N$7:$N$874,I55,BS_RE33!$P$7:$P$874,'30 days CF Table(Ccy)'!G55,BS_RE33!$F$7:$F$874,'30 days CF Table(Ccy)'!$C$2),2)</f>
        <v>0</v>
      </c>
      <c r="AP55" s="338">
        <f>ROUND(SUMIFS(BS_RE33!$H$7:$H$874,BS_RE33!$S$7:$S$874,$AP$2,BS_RE33!$N$7:$N$874,I55,BS_RE33!$P$7:$P$874,'30 days CF Table(Ccy)'!G55,BS_RE33!$F$7:$F$874,'30 days CF Table(Ccy)'!$C$2),2)</f>
        <v>0</v>
      </c>
      <c r="AR55" s="379">
        <f>ROUND(SUMIFS(BS_RE33!$H$7:$H$874,BS_RE33!$S$7:$S$874,$AR$2,BS_RE33!$N$7:$N$874,I55,BS_RE33!$P$7:$P$874,'30 days CF Table(Ccy)'!G55,BS_RE33!$F$7:$F$874,'30 days CF Table(Ccy)'!$C$2),2)</f>
        <v>0</v>
      </c>
      <c r="AS55" s="379">
        <f>ROUND(SUMIFS(BS_RE33!$H$7:$H$874,BS_RE33!$S$7:$S$874,$AS$2,BS_RE33!$N$7:$N$874,I55,BS_RE33!$P$7:$P$874,'30 days CF Table(Ccy)'!G55,BS_RE33!$F$7:$F$874,'30 days CF Table(Ccy)'!$C$2),2)</f>
        <v>0</v>
      </c>
      <c r="AT55" s="379">
        <f>ROUND(SUMIFS(BS_RE33!$H$7:$H$874,BS_RE33!$S$7:$S$874,$AT$2,BS_RE33!$N$7:$N$874,I55,BS_RE33!$P$7:$P$874,'30 days CF Table(Ccy)'!G55,BS_RE33!$F$7:$F$874,'30 days CF Table(Ccy)'!$C$2),2)</f>
        <v>0</v>
      </c>
      <c r="AU55" s="379">
        <f>ROUND(SUMIFS(BS_RE33!$H$7:$H$874,BS_RE33!$S$7:$S$874,$AU$2,BS_RE33!$N$7:$N$874,I55,BS_RE33!$P$7:$P$874,'30 days CF Table(Ccy)'!G55,BS_RE33!$F$7:$F$874,'30 days CF Table(Ccy)'!$C$2),2)</f>
        <v>0</v>
      </c>
      <c r="AV55" s="379">
        <f>ROUND(SUMIFS(BS_RE33!$H$7:$H$874,BS_RE33!$S$7:$S$874,$AV$2,BS_RE33!$N$7:$N$874,I55,BS_RE33!$P$7:$P$874,'30 days CF Table(Ccy)'!G55,BS_RE33!$F$7:$F$874,'30 days CF Table(Ccy)'!$C$2),2)</f>
        <v>0</v>
      </c>
      <c r="AW55" s="379">
        <f>ROUND(SUMIFS(BS_RE33!$H$7:$H$874,BS_RE33!$S$7:$S$874,$AW$2,BS_RE33!$N$7:$N$874,I55,BS_RE33!$P$7:$P$874,'30 days CF Table(Ccy)'!G55,BS_RE33!$F$7:$F$874,'30 days CF Table(Ccy)'!$C$2),2)</f>
        <v>0</v>
      </c>
      <c r="AX55" s="379">
        <f>ROUND(SUMIFS(BS_RE33!$H$7:$H$874,BS_RE33!$S$7:$S$874,$AX$2,BS_RE33!$N$7:$N$874,I55,BS_RE33!$P$7:$P$874,'30 days CF Table(Ccy)'!G55,BS_RE33!$F$7:$F$874,'30 days CF Table(Ccy)'!$C$2),2)</f>
        <v>0</v>
      </c>
      <c r="AY55" s="379">
        <f>ROUND(SUMIFS(BS_RE33!$H$7:$H$874,BS_RE33!$S$7:$S$874,$AY$2,BS_RE33!$N$7:$N$874,I55,BS_RE33!$P$7:$P$874,'30 days CF Table(Ccy)'!G55,BS_RE33!$F$7:$F$874,'30 days CF Table(Ccy)'!$C$2),2)</f>
        <v>0</v>
      </c>
      <c r="AZ55" s="379">
        <f>ROUND(SUMIFS(BS_RE33!$H$7:$H$874,BS_RE33!$S$7:$S$874,$AZ$2,BS_RE33!$N$7:$N$874,I55,BS_RE33!$P$7:$P$874,'30 days CF Table(Ccy)'!G55,BS_RE33!$F$7:$F$874,'30 days CF Table(Ccy)'!$C$2),2)</f>
        <v>0</v>
      </c>
      <c r="BA55" s="379">
        <f>ROUND(SUMIFS(BS_RE33!$H$7:$H$874,BS_RE33!$S$7:$S$874,$BA$2,BS_RE33!$N$7:$N$874,I55,BS_RE33!$P$7:$P$874,'30 days CF Table(Ccy)'!G55,BS_RE33!$F$7:$F$874,'30 days CF Table(Ccy)'!$C$2),2)</f>
        <v>0</v>
      </c>
      <c r="BB55" s="379">
        <f>ROUND(SUMIFS(BS_RE33!$H$7:$H$874,BS_RE33!$S$7:$S$874,$BB$2,BS_RE33!$N$7:$N$874,I55,BS_RE33!$P$7:$P$874,'30 days CF Table(Ccy)'!G55,BS_RE33!$F$7:$F$874,'30 days CF Table(Ccy)'!$C$2),2)</f>
        <v>0</v>
      </c>
      <c r="BC55" s="379">
        <f>ROUND(SUMIFS(BS_RE33!$H$7:$H$874,BS_RE33!$S$7:$S$874,$BC$2,BS_RE33!$N$7:$N$874,I55,BS_RE33!$P$7:$P$874,'30 days CF Table(Ccy)'!G55,BS_RE33!$F$7:$F$874,'30 days CF Table(Ccy)'!$C$2),2)</f>
        <v>0</v>
      </c>
      <c r="BD55" s="379">
        <f>ROUND(SUMIFS(BS_RE33!$H$7:$H$874,BS_RE33!$S$7:$S$874,$BD$2,BS_RE33!$N$7:$N$874,I55,BS_RE33!$P$7:$P$874,'30 days CF Table(Ccy)'!G55,BS_RE33!$F$7:$F$874,'30 days CF Table(Ccy)'!$C$2),2)</f>
        <v>0</v>
      </c>
      <c r="BE55" s="379">
        <f>ROUND(SUMIFS(BS_RE33!$H$7:$H$874,BS_RE33!$S$7:$S$874,$BE$2,BS_RE33!$N$7:$N$874,I55,BS_RE33!$P$7:$P$874,'30 days CF Table(Ccy)'!G55,BS_RE33!$F$7:$F$874,'30 days CF Table(Ccy)'!$C$2),2)</f>
        <v>0</v>
      </c>
      <c r="BF55" s="379">
        <f>ROUND(SUMIFS(BS_RE33!$H$7:$H$874,BS_RE33!$S$7:$S$874,$BF$2,BS_RE33!$N$7:$N$874,I55,BS_RE33!$P$7:$P$874,'30 days CF Table(Ccy)'!G55,BS_RE33!$F$7:$F$874,'30 days CF Table(Ccy)'!$C$2),2)</f>
        <v>0</v>
      </c>
      <c r="BG55" s="379">
        <f>ROUND(SUMIFS(BS_RE33!$H$7:$H$874,BS_RE33!$S$7:$S$874,$BG$2,BS_RE33!$N$7:$N$874,I55,BS_RE33!$P$7:$P$874,'30 days CF Table(Ccy)'!G55,BS_RE33!$F$7:$F$874,'30 days CF Table(Ccy)'!$C$2),2)</f>
        <v>0</v>
      </c>
      <c r="BH55" s="379">
        <f>ROUND(SUMIFS(BS_RE33!$H$7:$H$874,BS_RE33!$S$7:$S$874,$BH$2,BS_RE33!$N$7:$N$874,I55,BS_RE33!$P$7:$P$874,'30 days CF Table(Ccy)'!G55,BS_RE33!$F$7:$F$874,'30 days CF Table(Ccy)'!$C$2),2)</f>
        <v>0</v>
      </c>
      <c r="BI55" s="379">
        <f>ROUND(SUMIFS(BS_RE33!$H$7:$H$874,BS_RE33!$S$7:$S$874,$BI$2,BS_RE33!$N$7:$N$874,I55,BS_RE33!$P$7:$P$874,'30 days CF Table(Ccy)'!G55,BS_RE33!$F$7:$F$874,'30 days CF Table(Ccy)'!$C$2),2)</f>
        <v>0</v>
      </c>
      <c r="BJ55" s="379">
        <f>ROUND(SUMIFS(BS_RE33!$H$7:$H$874,BS_RE33!$S$7:$S$874,$BJ$2,BS_RE33!$N$7:$N$874,I55,BS_RE33!$P$7:$P$874,'30 days CF Table(Ccy)'!G55,BS_RE33!$F$7:$F$874,'30 days CF Table(Ccy)'!$C$2),2)</f>
        <v>0</v>
      </c>
      <c r="BK55" s="379">
        <f>ROUND(SUMIFS(BS_RE33!$H$7:$H$874,BS_RE33!$S$7:$S$874,$BK$2,BS_RE33!$N$7:$N$874,I55,BS_RE33!$P$7:$P$874,'30 days CF Table(Ccy)'!G55,BS_RE33!$F$7:$F$874,'30 days CF Table(Ccy)'!$C$2),2)</f>
        <v>0</v>
      </c>
    </row>
    <row r="56" spans="3:63">
      <c r="C56" s="1027"/>
      <c r="D56" s="1039" t="s">
        <v>770</v>
      </c>
      <c r="E56" s="105" t="s">
        <v>769</v>
      </c>
      <c r="F56" s="312" t="s">
        <v>491</v>
      </c>
      <c r="G56" s="392" t="s">
        <v>534</v>
      </c>
      <c r="H56" s="317">
        <v>0.05</v>
      </c>
      <c r="I56" s="315" t="s">
        <v>80</v>
      </c>
      <c r="J56" s="479">
        <f t="shared" si="2"/>
        <v>0</v>
      </c>
      <c r="K56" s="336">
        <f t="shared" si="3"/>
        <v>0</v>
      </c>
      <c r="L56" s="337">
        <f>ROUND(SUMIFS(BS_RE33!$H$7:$H$874,BS_RE33!$S$7:$S$874,$L$2,BS_RE33!$N$7:$N$874,I56,BS_RE33!$P$7:$P$874,'30 days CF Table(Ccy)'!G56,BS_RE33!$F$7:$F$874,'30 days CF Table(Ccy)'!$C$2),2)</f>
        <v>0</v>
      </c>
      <c r="M56" s="337">
        <f>ROUND(SUMIFS(BS_RE33!$H$7:$H$874,BS_RE33!$S$7:$S$874,$M$2,BS_RE33!$N$7:$N$874,I56,BS_RE33!$P$7:$P$874,'30 days CF Table(Ccy)'!G56,BS_RE33!$F$7:$F$874,'30 days CF Table(Ccy)'!$C$2),2)</f>
        <v>0</v>
      </c>
      <c r="N56" s="337">
        <f>ROUND(SUMIFS(BS_RE33!$H$7:$H$874,BS_RE33!$S$7:$S$874,$N$2,BS_RE33!$N$7:$N$874,I56,BS_RE33!$P$7:$P$874,'30 days CF Table(Ccy)'!G56,BS_RE33!$F$7:$F$874,'30 days CF Table(Ccy)'!$C$2),2)</f>
        <v>0</v>
      </c>
      <c r="O56" s="337">
        <f>ROUND(SUMIFS(BS_RE33!$H$7:$H$874,BS_RE33!$S$7:$S$874,$O$2,BS_RE33!$N$7:$N$874,I56,BS_RE33!$P$7:$P$874,'30 days CF Table(Ccy)'!G56,BS_RE33!$F$7:$F$874,'30 days CF Table(Ccy)'!$C$2),2)</f>
        <v>0</v>
      </c>
      <c r="P56" s="337">
        <f>ROUND(SUMIFS(BS_RE33!$H$7:$H$874,BS_RE33!$S$7:$S$874,$P$2,BS_RE33!$N$7:$N$874,I56,BS_RE33!$P$7:$P$874,'30 days CF Table(Ccy)'!G56,BS_RE33!$F$7:$F$874,'30 days CF Table(Ccy)'!$C$2),2)</f>
        <v>0</v>
      </c>
      <c r="Q56" s="337">
        <f>ROUND(SUMIFS(BS_RE33!$H$7:$H$874,BS_RE33!$S$7:$S$874,$Q$2,BS_RE33!$N$7:$N$874,I56,BS_RE33!$P$7:$P$874,'30 days CF Table(Ccy)'!G56,BS_RE33!$F$7:$F$874,'30 days CF Table(Ccy)'!$C$2),2)</f>
        <v>0</v>
      </c>
      <c r="R56" s="337">
        <f>ROUND(SUMIFS(BS_RE33!$H$7:$H$874,BS_RE33!$S$7:$S$874,$R$2,BS_RE33!$N$7:$N$874,I56,BS_RE33!$P$7:$P$874,'30 days CF Table(Ccy)'!G56,BS_RE33!$F$7:$F$874,'30 days CF Table(Ccy)'!$C$2),2)</f>
        <v>0</v>
      </c>
      <c r="S56" s="337">
        <f>ROUND(SUMIFS(BS_RE33!$H$7:$H$874,BS_RE33!$S$7:$S$874,$S$2,BS_RE33!$N$7:$N$874,I56,BS_RE33!$P$7:$P$874,'30 days CF Table(Ccy)'!G56,BS_RE33!$F$7:$F$874,'30 days CF Table(Ccy)'!$C$2),2)</f>
        <v>0</v>
      </c>
      <c r="T56" s="337">
        <f>ROUND(SUMIFS(BS_RE33!$H$7:$H$874,BS_RE33!$S$7:$S$874,$T$2,BS_RE33!$N$7:$N$874,I56,BS_RE33!$P$7:$P$874,'30 days CF Table(Ccy)'!G56,BS_RE33!$F$7:$F$874,'30 days CF Table(Ccy)'!$C$2),2)</f>
        <v>0</v>
      </c>
      <c r="U56" s="337">
        <f>ROUND(SUMIFS(BS_RE33!$H$7:$H$874,BS_RE33!$S$7:$S$874,$U$2,BS_RE33!$N$7:$N$874,I56,BS_RE33!$P$7:$P$874,'30 days CF Table(Ccy)'!G56,BS_RE33!$F$7:$F$874,'30 days CF Table(Ccy)'!$C$2),2)</f>
        <v>0</v>
      </c>
      <c r="V56" s="337">
        <f>ROUND(SUMIFS(BS_RE33!$H$7:$H$874,BS_RE33!$S$7:$S$874,$V$2,BS_RE33!$N$7:$N$874,I56,BS_RE33!$P$7:$P$874,'30 days CF Table(Ccy)'!G56,BS_RE33!$F$7:$F$874,'30 days CF Table(Ccy)'!$C$2),2)</f>
        <v>0</v>
      </c>
      <c r="W56" s="337">
        <f>ROUND(SUMIFS(BS_RE33!$H$7:$H$874,BS_RE33!$S$7:$S$874,$W$2,BS_RE33!$N$7:$N$874,I56,BS_RE33!$P$7:$P$874,'30 days CF Table(Ccy)'!G56,BS_RE33!$F$7:$F$874,'30 days CF Table(Ccy)'!$C$2),2)</f>
        <v>0</v>
      </c>
      <c r="X56" s="337">
        <f>ROUND(SUMIFS(BS_RE33!$H$7:$H$874,BS_RE33!$S$7:$S$874,$X$2,BS_RE33!$N$7:$N$874,I56,BS_RE33!$P$7:$P$874,'30 days CF Table(Ccy)'!G56,BS_RE33!$F$7:$F$874,'30 days CF Table(Ccy)'!$C$2),2)</f>
        <v>0</v>
      </c>
      <c r="Y56" s="337">
        <f>ROUND(SUMIFS(BS_RE33!$H$7:$H$874,BS_RE33!$S$7:$S$874,$Y$2,BS_RE33!$N$7:$N$874,I56,BS_RE33!$P$7:$P$874,'30 days CF Table(Ccy)'!G56,BS_RE33!$F$7:$F$874,'30 days CF Table(Ccy)'!$C$2),2)</f>
        <v>0</v>
      </c>
      <c r="Z56" s="337">
        <f>ROUND(SUMIFS(BS_RE33!$H$7:$H$874,BS_RE33!$S$7:$S$874,$Z$2,BS_RE33!$N$7:$N$874,I56,BS_RE33!$P$7:$P$874,'30 days CF Table(Ccy)'!G56,BS_RE33!$F$7:$F$874,'30 days CF Table(Ccy)'!$C$2),2)</f>
        <v>0</v>
      </c>
      <c r="AA56" s="337">
        <f>ROUND(SUMIFS(BS_RE33!$H$7:$H$874,BS_RE33!$S$7:$S$874,$AA$2,BS_RE33!$N$7:$N$874,I56,BS_RE33!$P$7:$P$874,'30 days CF Table(Ccy)'!G56,BS_RE33!$F$7:$F$874,'30 days CF Table(Ccy)'!$C$2),2)</f>
        <v>0</v>
      </c>
      <c r="AB56" s="337">
        <f>ROUND(SUMIFS(BS_RE33!$H$7:$H$874,BS_RE33!$S$7:$S$874,$AB$2,BS_RE33!$N$7:$N$874,I56,BS_RE33!$P$7:$P$874,'30 days CF Table(Ccy)'!G56,BS_RE33!$F$7:$F$874,'30 days CF Table(Ccy)'!$C$2),2)</f>
        <v>0</v>
      </c>
      <c r="AC56" s="337">
        <f>ROUND(SUMIFS(BS_RE33!$H$7:$H$874,BS_RE33!$S$7:$S$874,$AC$2,BS_RE33!$N$7:$N$874,I56,BS_RE33!$P$7:$P$874,'30 days CF Table(Ccy)'!G56,BS_RE33!$F$7:$F$874,'30 days CF Table(Ccy)'!$C$2),2)</f>
        <v>0</v>
      </c>
      <c r="AD56" s="337">
        <f>ROUND(SUMIFS(BS_RE33!$H$7:$H$874,BS_RE33!$S$7:$S$874,$AD$2,BS_RE33!$N$7:$N$874,I56,BS_RE33!$P$7:$P$874,'30 days CF Table(Ccy)'!G56,BS_RE33!$F$7:$F$874,'30 days CF Table(Ccy)'!$C$2),2)</f>
        <v>0</v>
      </c>
      <c r="AE56" s="337">
        <f>ROUND(SUMIFS(BS_RE33!$H$7:$H$874,BS_RE33!$S$7:$S$874,$AE$2,BS_RE33!$N$7:$N$874,I56,BS_RE33!$P$7:$P$874,'30 days CF Table(Ccy)'!G56,BS_RE33!$F$7:$F$874,'30 days CF Table(Ccy)'!$C$2),2)</f>
        <v>0</v>
      </c>
      <c r="AF56" s="337">
        <f>ROUND(SUMIFS(BS_RE33!$H$7:$H$874,BS_RE33!$S$7:$S$874,$AF$2,BS_RE33!$N$7:$N$874,I56,BS_RE33!$P$7:$P$874,'30 days CF Table(Ccy)'!G56,BS_RE33!$F$7:$F$874,'30 days CF Table(Ccy)'!$C$2),2)</f>
        <v>0</v>
      </c>
      <c r="AG56" s="337">
        <f>ROUND(SUMIFS(BS_RE33!$H$7:$H$874,BS_RE33!$S$7:$S$874,$AG$2,BS_RE33!$N$7:$N$874,I56,BS_RE33!$P$7:$P$874,'30 days CF Table(Ccy)'!G56,BS_RE33!$F$7:$F$874,'30 days CF Table(Ccy)'!$C$2),2)</f>
        <v>0</v>
      </c>
      <c r="AH56" s="337">
        <f>ROUND(SUMIFS(BS_RE33!$H$7:$H$874,BS_RE33!$S$7:$S$874,$AH$2,BS_RE33!$N$7:$N$874,I56,BS_RE33!$P$7:$P$874,'30 days CF Table(Ccy)'!G56,BS_RE33!$F$7:$F$874,'30 days CF Table(Ccy)'!$C$2),2)</f>
        <v>0</v>
      </c>
      <c r="AI56" s="337">
        <f>ROUND(SUMIFS(BS_RE33!$H$7:$H$874,BS_RE33!$S$7:$S$874,$AI$2,BS_RE33!$N$7:$N$874,I56,BS_RE33!$P$7:$P$874,'30 days CF Table(Ccy)'!G56,BS_RE33!$F$7:$F$874,'30 days CF Table(Ccy)'!$C$2),2)</f>
        <v>0</v>
      </c>
      <c r="AJ56" s="337">
        <f>ROUND(SUMIFS(BS_RE33!$H$7:$H$874,BS_RE33!$S$7:$S$874,$AJ$2,BS_RE33!$N$7:$N$874,I56,BS_RE33!$P$7:$P$874,'30 days CF Table(Ccy)'!G56,BS_RE33!$F$7:$F$874,'30 days CF Table(Ccy)'!$C$2),2)</f>
        <v>0</v>
      </c>
      <c r="AK56" s="337">
        <f>ROUND(SUMIFS(BS_RE33!$H$7:$H$874,BS_RE33!$S$7:$S$874,$AK$2,BS_RE33!$N$7:$N$874,I56,BS_RE33!$P$7:$P$874,'30 days CF Table(Ccy)'!G56,BS_RE33!$F$7:$F$874,'30 days CF Table(Ccy)'!$C$2),2)</f>
        <v>0</v>
      </c>
      <c r="AL56" s="337">
        <f>ROUND(SUMIFS(BS_RE33!$H$7:$H$874,BS_RE33!$S$7:$S$874,$AL$2,BS_RE33!$N$7:$N$874,I56,BS_RE33!$P$7:$P$874,'30 days CF Table(Ccy)'!G56,BS_RE33!$F$7:$F$874,'30 days CF Table(Ccy)'!$C$2),2)</f>
        <v>0</v>
      </c>
      <c r="AM56" s="337">
        <f>ROUND(SUMIFS(BS_RE33!$H$7:$H$874,BS_RE33!$S$7:$S$874,$AM$2,BS_RE33!$N$7:$N$874,I56,BS_RE33!$P$7:$P$874,'30 days CF Table(Ccy)'!G56,BS_RE33!$F$7:$F$874,'30 days CF Table(Ccy)'!$C$2),2)</f>
        <v>0</v>
      </c>
      <c r="AN56" s="337">
        <f>ROUND(SUMIFS(BS_RE33!$H$7:$H$874,BS_RE33!$S$7:$S$874,$AN$2,BS_RE33!$N$7:$N$874,I56,BS_RE33!$P$7:$P$874,'30 days CF Table(Ccy)'!G56,BS_RE33!$F$7:$F$874,'30 days CF Table(Ccy)'!$C$2),2)</f>
        <v>0</v>
      </c>
      <c r="AO56" s="337">
        <f>ROUND(SUMIFS(BS_RE33!$H$7:$H$874,BS_RE33!$S$7:$S$874,$AO$2,BS_RE33!$N$7:$N$874,I56,BS_RE33!$P$7:$P$874,'30 days CF Table(Ccy)'!G56,BS_RE33!$F$7:$F$874,'30 days CF Table(Ccy)'!$C$2),2)</f>
        <v>0</v>
      </c>
      <c r="AP56" s="338">
        <f>ROUND(SUMIFS(BS_RE33!$H$7:$H$874,BS_RE33!$S$7:$S$874,$AP$2,BS_RE33!$N$7:$N$874,I56,BS_RE33!$P$7:$P$874,'30 days CF Table(Ccy)'!G56,BS_RE33!$F$7:$F$874,'30 days CF Table(Ccy)'!$C$2),2)</f>
        <v>0</v>
      </c>
      <c r="AR56" s="379">
        <f>ROUND(SUMIFS(BS_RE33!$H$7:$H$874,BS_RE33!$S$7:$S$874,$AR$2,BS_RE33!$N$7:$N$874,I56,BS_RE33!$P$7:$P$874,'30 days CF Table(Ccy)'!G56,BS_RE33!$F$7:$F$874,'30 days CF Table(Ccy)'!$C$2),2)</f>
        <v>0</v>
      </c>
      <c r="AS56" s="379">
        <f>ROUND(SUMIFS(BS_RE33!$H$7:$H$874,BS_RE33!$S$7:$S$874,$AS$2,BS_RE33!$N$7:$N$874,I56,BS_RE33!$P$7:$P$874,'30 days CF Table(Ccy)'!G56,BS_RE33!$F$7:$F$874,'30 days CF Table(Ccy)'!$C$2),2)</f>
        <v>0</v>
      </c>
      <c r="AT56" s="379">
        <f>ROUND(SUMIFS(BS_RE33!$H$7:$H$874,BS_RE33!$S$7:$S$874,$AT$2,BS_RE33!$N$7:$N$874,I56,BS_RE33!$P$7:$P$874,'30 days CF Table(Ccy)'!G56,BS_RE33!$F$7:$F$874,'30 days CF Table(Ccy)'!$C$2),2)</f>
        <v>0</v>
      </c>
      <c r="AU56" s="379">
        <f>ROUND(SUMIFS(BS_RE33!$H$7:$H$874,BS_RE33!$S$7:$S$874,$AU$2,BS_RE33!$N$7:$N$874,I56,BS_RE33!$P$7:$P$874,'30 days CF Table(Ccy)'!G56,BS_RE33!$F$7:$F$874,'30 days CF Table(Ccy)'!$C$2),2)</f>
        <v>0</v>
      </c>
      <c r="AV56" s="379">
        <f>ROUND(SUMIFS(BS_RE33!$H$7:$H$874,BS_RE33!$S$7:$S$874,$AV$2,BS_RE33!$N$7:$N$874,I56,BS_RE33!$P$7:$P$874,'30 days CF Table(Ccy)'!G56,BS_RE33!$F$7:$F$874,'30 days CF Table(Ccy)'!$C$2),2)</f>
        <v>0</v>
      </c>
      <c r="AW56" s="379">
        <f>ROUND(SUMIFS(BS_RE33!$H$7:$H$874,BS_RE33!$S$7:$S$874,$AW$2,BS_RE33!$N$7:$N$874,I56,BS_RE33!$P$7:$P$874,'30 days CF Table(Ccy)'!G56,BS_RE33!$F$7:$F$874,'30 days CF Table(Ccy)'!$C$2),2)</f>
        <v>0</v>
      </c>
      <c r="AX56" s="379">
        <f>ROUND(SUMIFS(BS_RE33!$H$7:$H$874,BS_RE33!$S$7:$S$874,$AX$2,BS_RE33!$N$7:$N$874,I56,BS_RE33!$P$7:$P$874,'30 days CF Table(Ccy)'!G56,BS_RE33!$F$7:$F$874,'30 days CF Table(Ccy)'!$C$2),2)</f>
        <v>0</v>
      </c>
      <c r="AY56" s="379">
        <f>ROUND(SUMIFS(BS_RE33!$H$7:$H$874,BS_RE33!$S$7:$S$874,$AY$2,BS_RE33!$N$7:$N$874,I56,BS_RE33!$P$7:$P$874,'30 days CF Table(Ccy)'!G56,BS_RE33!$F$7:$F$874,'30 days CF Table(Ccy)'!$C$2),2)</f>
        <v>0</v>
      </c>
      <c r="AZ56" s="379">
        <f>ROUND(SUMIFS(BS_RE33!$H$7:$H$874,BS_RE33!$S$7:$S$874,$AZ$2,BS_RE33!$N$7:$N$874,I56,BS_RE33!$P$7:$P$874,'30 days CF Table(Ccy)'!G56,BS_RE33!$F$7:$F$874,'30 days CF Table(Ccy)'!$C$2),2)</f>
        <v>0</v>
      </c>
      <c r="BA56" s="379">
        <f>ROUND(SUMIFS(BS_RE33!$H$7:$H$874,BS_RE33!$S$7:$S$874,$BA$2,BS_RE33!$N$7:$N$874,I56,BS_RE33!$P$7:$P$874,'30 days CF Table(Ccy)'!G56,BS_RE33!$F$7:$F$874,'30 days CF Table(Ccy)'!$C$2),2)</f>
        <v>0</v>
      </c>
      <c r="BB56" s="379">
        <f>ROUND(SUMIFS(BS_RE33!$H$7:$H$874,BS_RE33!$S$7:$S$874,$BB$2,BS_RE33!$N$7:$N$874,I56,BS_RE33!$P$7:$P$874,'30 days CF Table(Ccy)'!G56,BS_RE33!$F$7:$F$874,'30 days CF Table(Ccy)'!$C$2),2)</f>
        <v>0</v>
      </c>
      <c r="BC56" s="379">
        <f>ROUND(SUMIFS(BS_RE33!$H$7:$H$874,BS_RE33!$S$7:$S$874,$BC$2,BS_RE33!$N$7:$N$874,I56,BS_RE33!$P$7:$P$874,'30 days CF Table(Ccy)'!G56,BS_RE33!$F$7:$F$874,'30 days CF Table(Ccy)'!$C$2),2)</f>
        <v>0</v>
      </c>
      <c r="BD56" s="379">
        <f>ROUND(SUMIFS(BS_RE33!$H$7:$H$874,BS_RE33!$S$7:$S$874,$BD$2,BS_RE33!$N$7:$N$874,I56,BS_RE33!$P$7:$P$874,'30 days CF Table(Ccy)'!G56,BS_RE33!$F$7:$F$874,'30 days CF Table(Ccy)'!$C$2),2)</f>
        <v>0</v>
      </c>
      <c r="BE56" s="379">
        <f>ROUND(SUMIFS(BS_RE33!$H$7:$H$874,BS_RE33!$S$7:$S$874,$BE$2,BS_RE33!$N$7:$N$874,I56,BS_RE33!$P$7:$P$874,'30 days CF Table(Ccy)'!G56,BS_RE33!$F$7:$F$874,'30 days CF Table(Ccy)'!$C$2),2)</f>
        <v>0</v>
      </c>
      <c r="BF56" s="379">
        <f>ROUND(SUMIFS(BS_RE33!$H$7:$H$874,BS_RE33!$S$7:$S$874,$BF$2,BS_RE33!$N$7:$N$874,I56,BS_RE33!$P$7:$P$874,'30 days CF Table(Ccy)'!G56,BS_RE33!$F$7:$F$874,'30 days CF Table(Ccy)'!$C$2),2)</f>
        <v>0</v>
      </c>
      <c r="BG56" s="379">
        <f>ROUND(SUMIFS(BS_RE33!$H$7:$H$874,BS_RE33!$S$7:$S$874,$BG$2,BS_RE33!$N$7:$N$874,I56,BS_RE33!$P$7:$P$874,'30 days CF Table(Ccy)'!G56,BS_RE33!$F$7:$F$874,'30 days CF Table(Ccy)'!$C$2),2)</f>
        <v>0</v>
      </c>
      <c r="BH56" s="379">
        <f>ROUND(SUMIFS(BS_RE33!$H$7:$H$874,BS_RE33!$S$7:$S$874,$BH$2,BS_RE33!$N$7:$N$874,I56,BS_RE33!$P$7:$P$874,'30 days CF Table(Ccy)'!G56,BS_RE33!$F$7:$F$874,'30 days CF Table(Ccy)'!$C$2),2)</f>
        <v>0</v>
      </c>
      <c r="BI56" s="379">
        <f>ROUND(SUMIFS(BS_RE33!$H$7:$H$874,BS_RE33!$S$7:$S$874,$BI$2,BS_RE33!$N$7:$N$874,I56,BS_RE33!$P$7:$P$874,'30 days CF Table(Ccy)'!G56,BS_RE33!$F$7:$F$874,'30 days CF Table(Ccy)'!$C$2),2)</f>
        <v>0</v>
      </c>
      <c r="BJ56" s="379">
        <f>ROUND(SUMIFS(BS_RE33!$H$7:$H$874,BS_RE33!$S$7:$S$874,$BJ$2,BS_RE33!$N$7:$N$874,I56,BS_RE33!$P$7:$P$874,'30 days CF Table(Ccy)'!G56,BS_RE33!$F$7:$F$874,'30 days CF Table(Ccy)'!$C$2),2)</f>
        <v>0</v>
      </c>
      <c r="BK56" s="379">
        <f>ROUND(SUMIFS(BS_RE33!$H$7:$H$874,BS_RE33!$S$7:$S$874,$BK$2,BS_RE33!$N$7:$N$874,I56,BS_RE33!$P$7:$P$874,'30 days CF Table(Ccy)'!G56,BS_RE33!$F$7:$F$874,'30 days CF Table(Ccy)'!$C$2),2)</f>
        <v>0</v>
      </c>
    </row>
    <row r="57" spans="3:63">
      <c r="C57" s="1027"/>
      <c r="D57" s="1039"/>
      <c r="E57" s="105" t="s">
        <v>96</v>
      </c>
      <c r="F57" s="312" t="s">
        <v>490</v>
      </c>
      <c r="G57" s="392" t="s">
        <v>535</v>
      </c>
      <c r="H57" s="317">
        <v>0.05</v>
      </c>
      <c r="I57" s="315" t="s">
        <v>80</v>
      </c>
      <c r="J57" s="479">
        <f t="shared" si="2"/>
        <v>0</v>
      </c>
      <c r="K57" s="336">
        <f t="shared" si="3"/>
        <v>0</v>
      </c>
      <c r="L57" s="337">
        <f>ROUND(SUMIFS(BS_RE33!$H$7:$H$874,BS_RE33!$S$7:$S$874,$L$2,BS_RE33!$N$7:$N$874,I57,BS_RE33!$P$7:$P$874,'30 days CF Table(Ccy)'!G57,BS_RE33!$F$7:$F$874,'30 days CF Table(Ccy)'!$C$2),2)</f>
        <v>0</v>
      </c>
      <c r="M57" s="337">
        <f>ROUND(SUMIFS(BS_RE33!$H$7:$H$874,BS_RE33!$S$7:$S$874,$M$2,BS_RE33!$N$7:$N$874,I57,BS_RE33!$P$7:$P$874,'30 days CF Table(Ccy)'!G57,BS_RE33!$F$7:$F$874,'30 days CF Table(Ccy)'!$C$2),2)</f>
        <v>0</v>
      </c>
      <c r="N57" s="337">
        <f>ROUND(SUMIFS(BS_RE33!$H$7:$H$874,BS_RE33!$S$7:$S$874,$N$2,BS_RE33!$N$7:$N$874,I57,BS_RE33!$P$7:$P$874,'30 days CF Table(Ccy)'!G57,BS_RE33!$F$7:$F$874,'30 days CF Table(Ccy)'!$C$2),2)</f>
        <v>0</v>
      </c>
      <c r="O57" s="337">
        <f>ROUND(SUMIFS(BS_RE33!$H$7:$H$874,BS_RE33!$S$7:$S$874,$O$2,BS_RE33!$N$7:$N$874,I57,BS_RE33!$P$7:$P$874,'30 days CF Table(Ccy)'!G57,BS_RE33!$F$7:$F$874,'30 days CF Table(Ccy)'!$C$2),2)</f>
        <v>0</v>
      </c>
      <c r="P57" s="337">
        <f>ROUND(SUMIFS(BS_RE33!$H$7:$H$874,BS_RE33!$S$7:$S$874,$P$2,BS_RE33!$N$7:$N$874,I57,BS_RE33!$P$7:$P$874,'30 days CF Table(Ccy)'!G57,BS_RE33!$F$7:$F$874,'30 days CF Table(Ccy)'!$C$2),2)</f>
        <v>0</v>
      </c>
      <c r="Q57" s="337">
        <f>ROUND(SUMIFS(BS_RE33!$H$7:$H$874,BS_RE33!$S$7:$S$874,$Q$2,BS_RE33!$N$7:$N$874,I57,BS_RE33!$P$7:$P$874,'30 days CF Table(Ccy)'!G57,BS_RE33!$F$7:$F$874,'30 days CF Table(Ccy)'!$C$2),2)</f>
        <v>0</v>
      </c>
      <c r="R57" s="337">
        <f>ROUND(SUMIFS(BS_RE33!$H$7:$H$874,BS_RE33!$S$7:$S$874,$R$2,BS_RE33!$N$7:$N$874,I57,BS_RE33!$P$7:$P$874,'30 days CF Table(Ccy)'!G57,BS_RE33!$F$7:$F$874,'30 days CF Table(Ccy)'!$C$2),2)</f>
        <v>0</v>
      </c>
      <c r="S57" s="337">
        <f>ROUND(SUMIFS(BS_RE33!$H$7:$H$874,BS_RE33!$S$7:$S$874,$S$2,BS_RE33!$N$7:$N$874,I57,BS_RE33!$P$7:$P$874,'30 days CF Table(Ccy)'!G57,BS_RE33!$F$7:$F$874,'30 days CF Table(Ccy)'!$C$2),2)</f>
        <v>0</v>
      </c>
      <c r="T57" s="337">
        <f>ROUND(SUMIFS(BS_RE33!$H$7:$H$874,BS_RE33!$S$7:$S$874,$T$2,BS_RE33!$N$7:$N$874,I57,BS_RE33!$P$7:$P$874,'30 days CF Table(Ccy)'!G57,BS_RE33!$F$7:$F$874,'30 days CF Table(Ccy)'!$C$2),2)</f>
        <v>0</v>
      </c>
      <c r="U57" s="337">
        <f>ROUND(SUMIFS(BS_RE33!$H$7:$H$874,BS_RE33!$S$7:$S$874,$U$2,BS_RE33!$N$7:$N$874,I57,BS_RE33!$P$7:$P$874,'30 days CF Table(Ccy)'!G57,BS_RE33!$F$7:$F$874,'30 days CF Table(Ccy)'!$C$2),2)</f>
        <v>0</v>
      </c>
      <c r="V57" s="337">
        <f>ROUND(SUMIFS(BS_RE33!$H$7:$H$874,BS_RE33!$S$7:$S$874,$V$2,BS_RE33!$N$7:$N$874,I57,BS_RE33!$P$7:$P$874,'30 days CF Table(Ccy)'!G57,BS_RE33!$F$7:$F$874,'30 days CF Table(Ccy)'!$C$2),2)</f>
        <v>0</v>
      </c>
      <c r="W57" s="337">
        <f>ROUND(SUMIFS(BS_RE33!$H$7:$H$874,BS_RE33!$S$7:$S$874,$W$2,BS_RE33!$N$7:$N$874,I57,BS_RE33!$P$7:$P$874,'30 days CF Table(Ccy)'!G57,BS_RE33!$F$7:$F$874,'30 days CF Table(Ccy)'!$C$2),2)</f>
        <v>0</v>
      </c>
      <c r="X57" s="337">
        <f>ROUND(SUMIFS(BS_RE33!$H$7:$H$874,BS_RE33!$S$7:$S$874,$X$2,BS_RE33!$N$7:$N$874,I57,BS_RE33!$P$7:$P$874,'30 days CF Table(Ccy)'!G57,BS_RE33!$F$7:$F$874,'30 days CF Table(Ccy)'!$C$2),2)</f>
        <v>0</v>
      </c>
      <c r="Y57" s="337">
        <f>ROUND(SUMIFS(BS_RE33!$H$7:$H$874,BS_RE33!$S$7:$S$874,$Y$2,BS_RE33!$N$7:$N$874,I57,BS_RE33!$P$7:$P$874,'30 days CF Table(Ccy)'!G57,BS_RE33!$F$7:$F$874,'30 days CF Table(Ccy)'!$C$2),2)</f>
        <v>0</v>
      </c>
      <c r="Z57" s="337">
        <f>ROUND(SUMIFS(BS_RE33!$H$7:$H$874,BS_RE33!$S$7:$S$874,$Z$2,BS_RE33!$N$7:$N$874,I57,BS_RE33!$P$7:$P$874,'30 days CF Table(Ccy)'!G57,BS_RE33!$F$7:$F$874,'30 days CF Table(Ccy)'!$C$2),2)</f>
        <v>0</v>
      </c>
      <c r="AA57" s="337">
        <f>ROUND(SUMIFS(BS_RE33!$H$7:$H$874,BS_RE33!$S$7:$S$874,$AA$2,BS_RE33!$N$7:$N$874,I57,BS_RE33!$P$7:$P$874,'30 days CF Table(Ccy)'!G57,BS_RE33!$F$7:$F$874,'30 days CF Table(Ccy)'!$C$2),2)</f>
        <v>0</v>
      </c>
      <c r="AB57" s="337">
        <f>ROUND(SUMIFS(BS_RE33!$H$7:$H$874,BS_RE33!$S$7:$S$874,$AB$2,BS_RE33!$N$7:$N$874,I57,BS_RE33!$P$7:$P$874,'30 days CF Table(Ccy)'!G57,BS_RE33!$F$7:$F$874,'30 days CF Table(Ccy)'!$C$2),2)</f>
        <v>0</v>
      </c>
      <c r="AC57" s="337">
        <f>ROUND(SUMIFS(BS_RE33!$H$7:$H$874,BS_RE33!$S$7:$S$874,$AC$2,BS_RE33!$N$7:$N$874,I57,BS_RE33!$P$7:$P$874,'30 days CF Table(Ccy)'!G57,BS_RE33!$F$7:$F$874,'30 days CF Table(Ccy)'!$C$2),2)</f>
        <v>0</v>
      </c>
      <c r="AD57" s="337">
        <f>ROUND(SUMIFS(BS_RE33!$H$7:$H$874,BS_RE33!$S$7:$S$874,$AD$2,BS_RE33!$N$7:$N$874,I57,BS_RE33!$P$7:$P$874,'30 days CF Table(Ccy)'!G57,BS_RE33!$F$7:$F$874,'30 days CF Table(Ccy)'!$C$2),2)</f>
        <v>0</v>
      </c>
      <c r="AE57" s="337">
        <f>ROUND(SUMIFS(BS_RE33!$H$7:$H$874,BS_RE33!$S$7:$S$874,$AE$2,BS_RE33!$N$7:$N$874,I57,BS_RE33!$P$7:$P$874,'30 days CF Table(Ccy)'!G57,BS_RE33!$F$7:$F$874,'30 days CF Table(Ccy)'!$C$2),2)</f>
        <v>0</v>
      </c>
      <c r="AF57" s="337">
        <f>ROUND(SUMIFS(BS_RE33!$H$7:$H$874,BS_RE33!$S$7:$S$874,$AF$2,BS_RE33!$N$7:$N$874,I57,BS_RE33!$P$7:$P$874,'30 days CF Table(Ccy)'!G57,BS_RE33!$F$7:$F$874,'30 days CF Table(Ccy)'!$C$2),2)</f>
        <v>0</v>
      </c>
      <c r="AG57" s="337">
        <f>ROUND(SUMIFS(BS_RE33!$H$7:$H$874,BS_RE33!$S$7:$S$874,$AG$2,BS_RE33!$N$7:$N$874,I57,BS_RE33!$P$7:$P$874,'30 days CF Table(Ccy)'!G57,BS_RE33!$F$7:$F$874,'30 days CF Table(Ccy)'!$C$2),2)</f>
        <v>0</v>
      </c>
      <c r="AH57" s="337">
        <f>ROUND(SUMIFS(BS_RE33!$H$7:$H$874,BS_RE33!$S$7:$S$874,$AH$2,BS_RE33!$N$7:$N$874,I57,BS_RE33!$P$7:$P$874,'30 days CF Table(Ccy)'!G57,BS_RE33!$F$7:$F$874,'30 days CF Table(Ccy)'!$C$2),2)</f>
        <v>0</v>
      </c>
      <c r="AI57" s="337">
        <f>ROUND(SUMIFS(BS_RE33!$H$7:$H$874,BS_RE33!$S$7:$S$874,$AI$2,BS_RE33!$N$7:$N$874,I57,BS_RE33!$P$7:$P$874,'30 days CF Table(Ccy)'!G57,BS_RE33!$F$7:$F$874,'30 days CF Table(Ccy)'!$C$2),2)</f>
        <v>0</v>
      </c>
      <c r="AJ57" s="337">
        <f>ROUND(SUMIFS(BS_RE33!$H$7:$H$874,BS_RE33!$S$7:$S$874,$AJ$2,BS_RE33!$N$7:$N$874,I57,BS_RE33!$P$7:$P$874,'30 days CF Table(Ccy)'!G57,BS_RE33!$F$7:$F$874,'30 days CF Table(Ccy)'!$C$2),2)</f>
        <v>0</v>
      </c>
      <c r="AK57" s="337">
        <f>ROUND(SUMIFS(BS_RE33!$H$7:$H$874,BS_RE33!$S$7:$S$874,$AK$2,BS_RE33!$N$7:$N$874,I57,BS_RE33!$P$7:$P$874,'30 days CF Table(Ccy)'!G57,BS_RE33!$F$7:$F$874,'30 days CF Table(Ccy)'!$C$2),2)</f>
        <v>0</v>
      </c>
      <c r="AL57" s="337">
        <f>ROUND(SUMIFS(BS_RE33!$H$7:$H$874,BS_RE33!$S$7:$S$874,$AL$2,BS_RE33!$N$7:$N$874,I57,BS_RE33!$P$7:$P$874,'30 days CF Table(Ccy)'!G57,BS_RE33!$F$7:$F$874,'30 days CF Table(Ccy)'!$C$2),2)</f>
        <v>0</v>
      </c>
      <c r="AM57" s="337">
        <f>ROUND(SUMIFS(BS_RE33!$H$7:$H$874,BS_RE33!$S$7:$S$874,$AM$2,BS_RE33!$N$7:$N$874,I57,BS_RE33!$P$7:$P$874,'30 days CF Table(Ccy)'!G57,BS_RE33!$F$7:$F$874,'30 days CF Table(Ccy)'!$C$2),2)</f>
        <v>0</v>
      </c>
      <c r="AN57" s="337">
        <f>ROUND(SUMIFS(BS_RE33!$H$7:$H$874,BS_RE33!$S$7:$S$874,$AN$2,BS_RE33!$N$7:$N$874,I57,BS_RE33!$P$7:$P$874,'30 days CF Table(Ccy)'!G57,BS_RE33!$F$7:$F$874,'30 days CF Table(Ccy)'!$C$2),2)</f>
        <v>0</v>
      </c>
      <c r="AO57" s="337">
        <f>ROUND(SUMIFS(BS_RE33!$H$7:$H$874,BS_RE33!$S$7:$S$874,$AO$2,BS_RE33!$N$7:$N$874,I57,BS_RE33!$P$7:$P$874,'30 days CF Table(Ccy)'!G57,BS_RE33!$F$7:$F$874,'30 days CF Table(Ccy)'!$C$2),2)</f>
        <v>0</v>
      </c>
      <c r="AP57" s="338">
        <f>ROUND(SUMIFS(BS_RE33!$H$7:$H$874,BS_RE33!$S$7:$S$874,$AP$2,BS_RE33!$N$7:$N$874,I57,BS_RE33!$P$7:$P$874,'30 days CF Table(Ccy)'!G57,BS_RE33!$F$7:$F$874,'30 days CF Table(Ccy)'!$C$2),2)</f>
        <v>0</v>
      </c>
      <c r="AR57" s="379">
        <f>ROUND(SUMIFS(BS_RE33!$H$7:$H$874,BS_RE33!$S$7:$S$874,$AR$2,BS_RE33!$N$7:$N$874,I57,BS_RE33!$P$7:$P$874,'30 days CF Table(Ccy)'!G57,BS_RE33!$F$7:$F$874,'30 days CF Table(Ccy)'!$C$2),2)</f>
        <v>0</v>
      </c>
      <c r="AS57" s="379">
        <f>ROUND(SUMIFS(BS_RE33!$H$7:$H$874,BS_RE33!$S$7:$S$874,$AS$2,BS_RE33!$N$7:$N$874,I57,BS_RE33!$P$7:$P$874,'30 days CF Table(Ccy)'!G57,BS_RE33!$F$7:$F$874,'30 days CF Table(Ccy)'!$C$2),2)</f>
        <v>0</v>
      </c>
      <c r="AT57" s="379">
        <f>ROUND(SUMIFS(BS_RE33!$H$7:$H$874,BS_RE33!$S$7:$S$874,$AT$2,BS_RE33!$N$7:$N$874,I57,BS_RE33!$P$7:$P$874,'30 days CF Table(Ccy)'!G57,BS_RE33!$F$7:$F$874,'30 days CF Table(Ccy)'!$C$2),2)</f>
        <v>0</v>
      </c>
      <c r="AU57" s="379">
        <f>ROUND(SUMIFS(BS_RE33!$H$7:$H$874,BS_RE33!$S$7:$S$874,$AU$2,BS_RE33!$N$7:$N$874,I57,BS_RE33!$P$7:$P$874,'30 days CF Table(Ccy)'!G57,BS_RE33!$F$7:$F$874,'30 days CF Table(Ccy)'!$C$2),2)</f>
        <v>0</v>
      </c>
      <c r="AV57" s="379">
        <f>ROUND(SUMIFS(BS_RE33!$H$7:$H$874,BS_RE33!$S$7:$S$874,$AV$2,BS_RE33!$N$7:$N$874,I57,BS_RE33!$P$7:$P$874,'30 days CF Table(Ccy)'!G57,BS_RE33!$F$7:$F$874,'30 days CF Table(Ccy)'!$C$2),2)</f>
        <v>0</v>
      </c>
      <c r="AW57" s="379">
        <f>ROUND(SUMIFS(BS_RE33!$H$7:$H$874,BS_RE33!$S$7:$S$874,$AW$2,BS_RE33!$N$7:$N$874,I57,BS_RE33!$P$7:$P$874,'30 days CF Table(Ccy)'!G57,BS_RE33!$F$7:$F$874,'30 days CF Table(Ccy)'!$C$2),2)</f>
        <v>0</v>
      </c>
      <c r="AX57" s="379">
        <f>ROUND(SUMIFS(BS_RE33!$H$7:$H$874,BS_RE33!$S$7:$S$874,$AX$2,BS_RE33!$N$7:$N$874,I57,BS_RE33!$P$7:$P$874,'30 days CF Table(Ccy)'!G57,BS_RE33!$F$7:$F$874,'30 days CF Table(Ccy)'!$C$2),2)</f>
        <v>0</v>
      </c>
      <c r="AY57" s="379">
        <f>ROUND(SUMIFS(BS_RE33!$H$7:$H$874,BS_RE33!$S$7:$S$874,$AY$2,BS_RE33!$N$7:$N$874,I57,BS_RE33!$P$7:$P$874,'30 days CF Table(Ccy)'!G57,BS_RE33!$F$7:$F$874,'30 days CF Table(Ccy)'!$C$2),2)</f>
        <v>0</v>
      </c>
      <c r="AZ57" s="379">
        <f>ROUND(SUMIFS(BS_RE33!$H$7:$H$874,BS_RE33!$S$7:$S$874,$AZ$2,BS_RE33!$N$7:$N$874,I57,BS_RE33!$P$7:$P$874,'30 days CF Table(Ccy)'!G57,BS_RE33!$F$7:$F$874,'30 days CF Table(Ccy)'!$C$2),2)</f>
        <v>0</v>
      </c>
      <c r="BA57" s="379">
        <f>ROUND(SUMIFS(BS_RE33!$H$7:$H$874,BS_RE33!$S$7:$S$874,$BA$2,BS_RE33!$N$7:$N$874,I57,BS_RE33!$P$7:$P$874,'30 days CF Table(Ccy)'!G57,BS_RE33!$F$7:$F$874,'30 days CF Table(Ccy)'!$C$2),2)</f>
        <v>0</v>
      </c>
      <c r="BB57" s="379">
        <f>ROUND(SUMIFS(BS_RE33!$H$7:$H$874,BS_RE33!$S$7:$S$874,$BB$2,BS_RE33!$N$7:$N$874,I57,BS_RE33!$P$7:$P$874,'30 days CF Table(Ccy)'!G57,BS_RE33!$F$7:$F$874,'30 days CF Table(Ccy)'!$C$2),2)</f>
        <v>0</v>
      </c>
      <c r="BC57" s="379">
        <f>ROUND(SUMIFS(BS_RE33!$H$7:$H$874,BS_RE33!$S$7:$S$874,$BC$2,BS_RE33!$N$7:$N$874,I57,BS_RE33!$P$7:$P$874,'30 days CF Table(Ccy)'!G57,BS_RE33!$F$7:$F$874,'30 days CF Table(Ccy)'!$C$2),2)</f>
        <v>0</v>
      </c>
      <c r="BD57" s="379">
        <f>ROUND(SUMIFS(BS_RE33!$H$7:$H$874,BS_RE33!$S$7:$S$874,$BD$2,BS_RE33!$N$7:$N$874,I57,BS_RE33!$P$7:$P$874,'30 days CF Table(Ccy)'!G57,BS_RE33!$F$7:$F$874,'30 days CF Table(Ccy)'!$C$2),2)</f>
        <v>0</v>
      </c>
      <c r="BE57" s="379">
        <f>ROUND(SUMIFS(BS_RE33!$H$7:$H$874,BS_RE33!$S$7:$S$874,$BE$2,BS_RE33!$N$7:$N$874,I57,BS_RE33!$P$7:$P$874,'30 days CF Table(Ccy)'!G57,BS_RE33!$F$7:$F$874,'30 days CF Table(Ccy)'!$C$2),2)</f>
        <v>0</v>
      </c>
      <c r="BF57" s="379">
        <f>ROUND(SUMIFS(BS_RE33!$H$7:$H$874,BS_RE33!$S$7:$S$874,$BF$2,BS_RE33!$N$7:$N$874,I57,BS_RE33!$P$7:$P$874,'30 days CF Table(Ccy)'!G57,BS_RE33!$F$7:$F$874,'30 days CF Table(Ccy)'!$C$2),2)</f>
        <v>0</v>
      </c>
      <c r="BG57" s="379">
        <f>ROUND(SUMIFS(BS_RE33!$H$7:$H$874,BS_RE33!$S$7:$S$874,$BG$2,BS_RE33!$N$7:$N$874,I57,BS_RE33!$P$7:$P$874,'30 days CF Table(Ccy)'!G57,BS_RE33!$F$7:$F$874,'30 days CF Table(Ccy)'!$C$2),2)</f>
        <v>0</v>
      </c>
      <c r="BH57" s="379">
        <f>ROUND(SUMIFS(BS_RE33!$H$7:$H$874,BS_RE33!$S$7:$S$874,$BH$2,BS_RE33!$N$7:$N$874,I57,BS_RE33!$P$7:$P$874,'30 days CF Table(Ccy)'!G57,BS_RE33!$F$7:$F$874,'30 days CF Table(Ccy)'!$C$2),2)</f>
        <v>0</v>
      </c>
      <c r="BI57" s="379">
        <f>ROUND(SUMIFS(BS_RE33!$H$7:$H$874,BS_RE33!$S$7:$S$874,$BI$2,BS_RE33!$N$7:$N$874,I57,BS_RE33!$P$7:$P$874,'30 days CF Table(Ccy)'!G57,BS_RE33!$F$7:$F$874,'30 days CF Table(Ccy)'!$C$2),2)</f>
        <v>0</v>
      </c>
      <c r="BJ57" s="379">
        <f>ROUND(SUMIFS(BS_RE33!$H$7:$H$874,BS_RE33!$S$7:$S$874,$BJ$2,BS_RE33!$N$7:$N$874,I57,BS_RE33!$P$7:$P$874,'30 days CF Table(Ccy)'!G57,BS_RE33!$F$7:$F$874,'30 days CF Table(Ccy)'!$C$2),2)</f>
        <v>0</v>
      </c>
      <c r="BK57" s="379">
        <f>ROUND(SUMIFS(BS_RE33!$H$7:$H$874,BS_RE33!$S$7:$S$874,$BK$2,BS_RE33!$N$7:$N$874,I57,BS_RE33!$P$7:$P$874,'30 days CF Table(Ccy)'!G57,BS_RE33!$F$7:$F$874,'30 days CF Table(Ccy)'!$C$2),2)</f>
        <v>0</v>
      </c>
    </row>
    <row r="58" spans="3:63">
      <c r="C58" s="1044"/>
      <c r="D58" s="1039"/>
      <c r="E58" s="105" t="s">
        <v>96</v>
      </c>
      <c r="F58" s="312" t="s">
        <v>489</v>
      </c>
      <c r="G58" s="392" t="s">
        <v>536</v>
      </c>
      <c r="H58" s="317">
        <v>0.1</v>
      </c>
      <c r="I58" s="315" t="s">
        <v>80</v>
      </c>
      <c r="J58" s="479">
        <f>SUM(L58:AP58)/1000000</f>
        <v>0</v>
      </c>
      <c r="K58" s="336">
        <f>SUM(L58:AP58)*H58</f>
        <v>0</v>
      </c>
      <c r="L58" s="337">
        <f>ROUND(SUMIFS(BS_RE33!$H$7:$H$874,BS_RE33!$S$7:$S$874,$L$2,BS_RE33!$N$7:$N$874,I58,BS_RE33!$P$7:$P$874,'30 days CF Table(Ccy)'!G58,BS_RE33!$F$7:$F$874,'30 days CF Table(Ccy)'!$C$2),2)</f>
        <v>0</v>
      </c>
      <c r="M58" s="337">
        <f>ROUND(SUMIFS(BS_RE33!$H$7:$H$874,BS_RE33!$S$7:$S$874,$M$2,BS_RE33!$N$7:$N$874,I58,BS_RE33!$P$7:$P$874,'30 days CF Table(Ccy)'!G58,BS_RE33!$F$7:$F$874,'30 days CF Table(Ccy)'!$C$2),2)</f>
        <v>0</v>
      </c>
      <c r="N58" s="337">
        <f>ROUND(SUMIFS(BS_RE33!$H$7:$H$874,BS_RE33!$S$7:$S$874,$N$2,BS_RE33!$N$7:$N$874,I58,BS_RE33!$P$7:$P$874,'30 days CF Table(Ccy)'!G58,BS_RE33!$F$7:$F$874,'30 days CF Table(Ccy)'!$C$2),2)</f>
        <v>0</v>
      </c>
      <c r="O58" s="337">
        <f>ROUND(SUMIFS(BS_RE33!$H$7:$H$874,BS_RE33!$S$7:$S$874,$O$2,BS_RE33!$N$7:$N$874,I58,BS_RE33!$P$7:$P$874,'30 days CF Table(Ccy)'!G58,BS_RE33!$F$7:$F$874,'30 days CF Table(Ccy)'!$C$2),2)</f>
        <v>0</v>
      </c>
      <c r="P58" s="337">
        <f>ROUND(SUMIFS(BS_RE33!$H$7:$H$874,BS_RE33!$S$7:$S$874,$P$2,BS_RE33!$N$7:$N$874,I58,BS_RE33!$P$7:$P$874,'30 days CF Table(Ccy)'!G58,BS_RE33!$F$7:$F$874,'30 days CF Table(Ccy)'!$C$2),2)</f>
        <v>0</v>
      </c>
      <c r="Q58" s="337">
        <f>ROUND(SUMIFS(BS_RE33!$H$7:$H$874,BS_RE33!$S$7:$S$874,$Q$2,BS_RE33!$N$7:$N$874,I58,BS_RE33!$P$7:$P$874,'30 days CF Table(Ccy)'!G58,BS_RE33!$F$7:$F$874,'30 days CF Table(Ccy)'!$C$2),2)</f>
        <v>0</v>
      </c>
      <c r="R58" s="337">
        <f>ROUND(SUMIFS(BS_RE33!$H$7:$H$874,BS_RE33!$S$7:$S$874,$R$2,BS_RE33!$N$7:$N$874,I58,BS_RE33!$P$7:$P$874,'30 days CF Table(Ccy)'!G58,BS_RE33!$F$7:$F$874,'30 days CF Table(Ccy)'!$C$2),2)</f>
        <v>0</v>
      </c>
      <c r="S58" s="337">
        <f>ROUND(SUMIFS(BS_RE33!$H$7:$H$874,BS_RE33!$S$7:$S$874,$S$2,BS_RE33!$N$7:$N$874,I58,BS_RE33!$P$7:$P$874,'30 days CF Table(Ccy)'!G58,BS_RE33!$F$7:$F$874,'30 days CF Table(Ccy)'!$C$2),2)</f>
        <v>0</v>
      </c>
      <c r="T58" s="337">
        <f>ROUND(SUMIFS(BS_RE33!$H$7:$H$874,BS_RE33!$S$7:$S$874,$T$2,BS_RE33!$N$7:$N$874,I58,BS_RE33!$P$7:$P$874,'30 days CF Table(Ccy)'!G58,BS_RE33!$F$7:$F$874,'30 days CF Table(Ccy)'!$C$2),2)</f>
        <v>0</v>
      </c>
      <c r="U58" s="337">
        <f>ROUND(SUMIFS(BS_RE33!$H$7:$H$874,BS_RE33!$S$7:$S$874,$U$2,BS_RE33!$N$7:$N$874,I58,BS_RE33!$P$7:$P$874,'30 days CF Table(Ccy)'!G58,BS_RE33!$F$7:$F$874,'30 days CF Table(Ccy)'!$C$2),2)</f>
        <v>0</v>
      </c>
      <c r="V58" s="337">
        <f>ROUND(SUMIFS(BS_RE33!$H$7:$H$874,BS_RE33!$S$7:$S$874,$V$2,BS_RE33!$N$7:$N$874,I58,BS_RE33!$P$7:$P$874,'30 days CF Table(Ccy)'!G58,BS_RE33!$F$7:$F$874,'30 days CF Table(Ccy)'!$C$2),2)</f>
        <v>0</v>
      </c>
      <c r="W58" s="337">
        <f>ROUND(SUMIFS(BS_RE33!$H$7:$H$874,BS_RE33!$S$7:$S$874,$W$2,BS_RE33!$N$7:$N$874,I58,BS_RE33!$P$7:$P$874,'30 days CF Table(Ccy)'!G58,BS_RE33!$F$7:$F$874,'30 days CF Table(Ccy)'!$C$2),2)</f>
        <v>0</v>
      </c>
      <c r="X58" s="337">
        <f>ROUND(SUMIFS(BS_RE33!$H$7:$H$874,BS_RE33!$S$7:$S$874,$X$2,BS_RE33!$N$7:$N$874,I58,BS_RE33!$P$7:$P$874,'30 days CF Table(Ccy)'!G58,BS_RE33!$F$7:$F$874,'30 days CF Table(Ccy)'!$C$2),2)</f>
        <v>0</v>
      </c>
      <c r="Y58" s="337">
        <f>ROUND(SUMIFS(BS_RE33!$H$7:$H$874,BS_RE33!$S$7:$S$874,$Y$2,BS_RE33!$N$7:$N$874,I58,BS_RE33!$P$7:$P$874,'30 days CF Table(Ccy)'!G58,BS_RE33!$F$7:$F$874,'30 days CF Table(Ccy)'!$C$2),2)</f>
        <v>0</v>
      </c>
      <c r="Z58" s="337">
        <f>ROUND(SUMIFS(BS_RE33!$H$7:$H$874,BS_RE33!$S$7:$S$874,$Z$2,BS_RE33!$N$7:$N$874,I58,BS_RE33!$P$7:$P$874,'30 days CF Table(Ccy)'!G58,BS_RE33!$F$7:$F$874,'30 days CF Table(Ccy)'!$C$2),2)</f>
        <v>0</v>
      </c>
      <c r="AA58" s="337">
        <f>ROUND(SUMIFS(BS_RE33!$H$7:$H$874,BS_RE33!$S$7:$S$874,$AA$2,BS_RE33!$N$7:$N$874,I58,BS_RE33!$P$7:$P$874,'30 days CF Table(Ccy)'!G58,BS_RE33!$F$7:$F$874,'30 days CF Table(Ccy)'!$C$2),2)</f>
        <v>0</v>
      </c>
      <c r="AB58" s="337">
        <f>ROUND(SUMIFS(BS_RE33!$H$7:$H$874,BS_RE33!$S$7:$S$874,$AB$2,BS_RE33!$N$7:$N$874,I58,BS_RE33!$P$7:$P$874,'30 days CF Table(Ccy)'!G58,BS_RE33!$F$7:$F$874,'30 days CF Table(Ccy)'!$C$2),2)</f>
        <v>0</v>
      </c>
      <c r="AC58" s="337">
        <f>ROUND(SUMIFS(BS_RE33!$H$7:$H$874,BS_RE33!$S$7:$S$874,$AC$2,BS_RE33!$N$7:$N$874,I58,BS_RE33!$P$7:$P$874,'30 days CF Table(Ccy)'!G58,BS_RE33!$F$7:$F$874,'30 days CF Table(Ccy)'!$C$2),2)</f>
        <v>0</v>
      </c>
      <c r="AD58" s="337">
        <f>ROUND(SUMIFS(BS_RE33!$H$7:$H$874,BS_RE33!$S$7:$S$874,$AD$2,BS_RE33!$N$7:$N$874,I58,BS_RE33!$P$7:$P$874,'30 days CF Table(Ccy)'!G58,BS_RE33!$F$7:$F$874,'30 days CF Table(Ccy)'!$C$2),2)</f>
        <v>0</v>
      </c>
      <c r="AE58" s="337">
        <f>ROUND(SUMIFS(BS_RE33!$H$7:$H$874,BS_RE33!$S$7:$S$874,$AE$2,BS_RE33!$N$7:$N$874,I58,BS_RE33!$P$7:$P$874,'30 days CF Table(Ccy)'!G58,BS_RE33!$F$7:$F$874,'30 days CF Table(Ccy)'!$C$2),2)</f>
        <v>0</v>
      </c>
      <c r="AF58" s="337">
        <f>ROUND(SUMIFS(BS_RE33!$H$7:$H$874,BS_RE33!$S$7:$S$874,$AF$2,BS_RE33!$N$7:$N$874,I58,BS_RE33!$P$7:$P$874,'30 days CF Table(Ccy)'!G58,BS_RE33!$F$7:$F$874,'30 days CF Table(Ccy)'!$C$2),2)</f>
        <v>0</v>
      </c>
      <c r="AG58" s="337">
        <f>ROUND(SUMIFS(BS_RE33!$H$7:$H$874,BS_RE33!$S$7:$S$874,$AG$2,BS_RE33!$N$7:$N$874,I58,BS_RE33!$P$7:$P$874,'30 days CF Table(Ccy)'!G58,BS_RE33!$F$7:$F$874,'30 days CF Table(Ccy)'!$C$2),2)</f>
        <v>0</v>
      </c>
      <c r="AH58" s="337">
        <f>ROUND(SUMIFS(BS_RE33!$H$7:$H$874,BS_RE33!$S$7:$S$874,$AH$2,BS_RE33!$N$7:$N$874,I58,BS_RE33!$P$7:$P$874,'30 days CF Table(Ccy)'!G58,BS_RE33!$F$7:$F$874,'30 days CF Table(Ccy)'!$C$2),2)</f>
        <v>0</v>
      </c>
      <c r="AI58" s="337">
        <f>ROUND(SUMIFS(BS_RE33!$H$7:$H$874,BS_RE33!$S$7:$S$874,$AI$2,BS_RE33!$N$7:$N$874,I58,BS_RE33!$P$7:$P$874,'30 days CF Table(Ccy)'!G58,BS_RE33!$F$7:$F$874,'30 days CF Table(Ccy)'!$C$2),2)</f>
        <v>0</v>
      </c>
      <c r="AJ58" s="337">
        <f>ROUND(SUMIFS(BS_RE33!$H$7:$H$874,BS_RE33!$S$7:$S$874,$AJ$2,BS_RE33!$N$7:$N$874,I58,BS_RE33!$P$7:$P$874,'30 days CF Table(Ccy)'!G58,BS_RE33!$F$7:$F$874,'30 days CF Table(Ccy)'!$C$2),2)</f>
        <v>0</v>
      </c>
      <c r="AK58" s="337">
        <f>ROUND(SUMIFS(BS_RE33!$H$7:$H$874,BS_RE33!$S$7:$S$874,$AK$2,BS_RE33!$N$7:$N$874,I58,BS_RE33!$P$7:$P$874,'30 days CF Table(Ccy)'!G58,BS_RE33!$F$7:$F$874,'30 days CF Table(Ccy)'!$C$2),2)</f>
        <v>0</v>
      </c>
      <c r="AL58" s="337">
        <f>ROUND(SUMIFS(BS_RE33!$H$7:$H$874,BS_RE33!$S$7:$S$874,$AL$2,BS_RE33!$N$7:$N$874,I58,BS_RE33!$P$7:$P$874,'30 days CF Table(Ccy)'!G58,BS_RE33!$F$7:$F$874,'30 days CF Table(Ccy)'!$C$2),2)</f>
        <v>0</v>
      </c>
      <c r="AM58" s="337">
        <f>ROUND(SUMIFS(BS_RE33!$H$7:$H$874,BS_RE33!$S$7:$S$874,$AM$2,BS_RE33!$N$7:$N$874,I58,BS_RE33!$P$7:$P$874,'30 days CF Table(Ccy)'!G58,BS_RE33!$F$7:$F$874,'30 days CF Table(Ccy)'!$C$2),2)</f>
        <v>0</v>
      </c>
      <c r="AN58" s="337">
        <f>ROUND(SUMIFS(BS_RE33!$H$7:$H$874,BS_RE33!$S$7:$S$874,$AN$2,BS_RE33!$N$7:$N$874,I58,BS_RE33!$P$7:$P$874,'30 days CF Table(Ccy)'!G58,BS_RE33!$F$7:$F$874,'30 days CF Table(Ccy)'!$C$2),2)</f>
        <v>0</v>
      </c>
      <c r="AO58" s="337">
        <f>ROUND(SUMIFS(BS_RE33!$H$7:$H$874,BS_RE33!$S$7:$S$874,$AO$2,BS_RE33!$N$7:$N$874,I58,BS_RE33!$P$7:$P$874,'30 days CF Table(Ccy)'!G58,BS_RE33!$F$7:$F$874,'30 days CF Table(Ccy)'!$C$2),2)</f>
        <v>0</v>
      </c>
      <c r="AP58" s="338">
        <f>ROUND(SUMIFS(BS_RE33!$H$7:$H$874,BS_RE33!$S$7:$S$874,$AP$2,BS_RE33!$N$7:$N$874,I58,BS_RE33!$P$7:$P$874,'30 days CF Table(Ccy)'!G58,BS_RE33!$F$7:$F$874,'30 days CF Table(Ccy)'!$C$2),2)</f>
        <v>0</v>
      </c>
      <c r="AR58" s="379">
        <f>ROUND(SUMIFS(BS_RE33!$H$7:$H$874,BS_RE33!$S$7:$S$874,$AR$2,BS_RE33!$N$7:$N$874,I58,BS_RE33!$P$7:$P$874,'30 days CF Table(Ccy)'!G58,BS_RE33!$F$7:$F$874,'30 days CF Table(Ccy)'!$C$2),2)</f>
        <v>0</v>
      </c>
      <c r="AS58" s="379">
        <f>ROUND(SUMIFS(BS_RE33!$H$7:$H$874,BS_RE33!$S$7:$S$874,$AS$2,BS_RE33!$N$7:$N$874,I58,BS_RE33!$P$7:$P$874,'30 days CF Table(Ccy)'!G58,BS_RE33!$F$7:$F$874,'30 days CF Table(Ccy)'!$C$2),2)</f>
        <v>0</v>
      </c>
      <c r="AT58" s="379">
        <f>ROUND(SUMIFS(BS_RE33!$H$7:$H$874,BS_RE33!$S$7:$S$874,$AT$2,BS_RE33!$N$7:$N$874,I58,BS_RE33!$P$7:$P$874,'30 days CF Table(Ccy)'!G58,BS_RE33!$F$7:$F$874,'30 days CF Table(Ccy)'!$C$2),2)</f>
        <v>0</v>
      </c>
      <c r="AU58" s="379">
        <f>ROUND(SUMIFS(BS_RE33!$H$7:$H$874,BS_RE33!$S$7:$S$874,$AU$2,BS_RE33!$N$7:$N$874,I58,BS_RE33!$P$7:$P$874,'30 days CF Table(Ccy)'!G58,BS_RE33!$F$7:$F$874,'30 days CF Table(Ccy)'!$C$2),2)</f>
        <v>0</v>
      </c>
      <c r="AV58" s="379">
        <f>ROUND(SUMIFS(BS_RE33!$H$7:$H$874,BS_RE33!$S$7:$S$874,$AV$2,BS_RE33!$N$7:$N$874,I58,BS_RE33!$P$7:$P$874,'30 days CF Table(Ccy)'!G58,BS_RE33!$F$7:$F$874,'30 days CF Table(Ccy)'!$C$2),2)</f>
        <v>0</v>
      </c>
      <c r="AW58" s="379">
        <f>ROUND(SUMIFS(BS_RE33!$H$7:$H$874,BS_RE33!$S$7:$S$874,$AW$2,BS_RE33!$N$7:$N$874,I58,BS_RE33!$P$7:$P$874,'30 days CF Table(Ccy)'!G58,BS_RE33!$F$7:$F$874,'30 days CF Table(Ccy)'!$C$2),2)</f>
        <v>0</v>
      </c>
      <c r="AX58" s="379">
        <f>ROUND(SUMIFS(BS_RE33!$H$7:$H$874,BS_RE33!$S$7:$S$874,$AX$2,BS_RE33!$N$7:$N$874,I58,BS_RE33!$P$7:$P$874,'30 days CF Table(Ccy)'!G58,BS_RE33!$F$7:$F$874,'30 days CF Table(Ccy)'!$C$2),2)</f>
        <v>0</v>
      </c>
      <c r="AY58" s="379">
        <f>ROUND(SUMIFS(BS_RE33!$H$7:$H$874,BS_RE33!$S$7:$S$874,$AY$2,BS_RE33!$N$7:$N$874,I58,BS_RE33!$P$7:$P$874,'30 days CF Table(Ccy)'!G58,BS_RE33!$F$7:$F$874,'30 days CF Table(Ccy)'!$C$2),2)</f>
        <v>0</v>
      </c>
      <c r="AZ58" s="379">
        <f>ROUND(SUMIFS(BS_RE33!$H$7:$H$874,BS_RE33!$S$7:$S$874,$AZ$2,BS_RE33!$N$7:$N$874,I58,BS_RE33!$P$7:$P$874,'30 days CF Table(Ccy)'!G58,BS_RE33!$F$7:$F$874,'30 days CF Table(Ccy)'!$C$2),2)</f>
        <v>0</v>
      </c>
      <c r="BA58" s="379">
        <f>ROUND(SUMIFS(BS_RE33!$H$7:$H$874,BS_RE33!$S$7:$S$874,$BA$2,BS_RE33!$N$7:$N$874,I58,BS_RE33!$P$7:$P$874,'30 days CF Table(Ccy)'!G58,BS_RE33!$F$7:$F$874,'30 days CF Table(Ccy)'!$C$2),2)</f>
        <v>0</v>
      </c>
      <c r="BB58" s="379">
        <f>ROUND(SUMIFS(BS_RE33!$H$7:$H$874,BS_RE33!$S$7:$S$874,$BB$2,BS_RE33!$N$7:$N$874,I58,BS_RE33!$P$7:$P$874,'30 days CF Table(Ccy)'!G58,BS_RE33!$F$7:$F$874,'30 days CF Table(Ccy)'!$C$2),2)</f>
        <v>0</v>
      </c>
      <c r="BC58" s="379">
        <f>ROUND(SUMIFS(BS_RE33!$H$7:$H$874,BS_RE33!$S$7:$S$874,$BC$2,BS_RE33!$N$7:$N$874,I58,BS_RE33!$P$7:$P$874,'30 days CF Table(Ccy)'!G58,BS_RE33!$F$7:$F$874,'30 days CF Table(Ccy)'!$C$2),2)</f>
        <v>0</v>
      </c>
      <c r="BD58" s="379">
        <f>ROUND(SUMIFS(BS_RE33!$H$7:$H$874,BS_RE33!$S$7:$S$874,$BD$2,BS_RE33!$N$7:$N$874,I58,BS_RE33!$P$7:$P$874,'30 days CF Table(Ccy)'!G58,BS_RE33!$F$7:$F$874,'30 days CF Table(Ccy)'!$C$2),2)</f>
        <v>0</v>
      </c>
      <c r="BE58" s="379">
        <f>ROUND(SUMIFS(BS_RE33!$H$7:$H$874,BS_RE33!$S$7:$S$874,$BE$2,BS_RE33!$N$7:$N$874,I58,BS_RE33!$P$7:$P$874,'30 days CF Table(Ccy)'!G58,BS_RE33!$F$7:$F$874,'30 days CF Table(Ccy)'!$C$2),2)</f>
        <v>0</v>
      </c>
      <c r="BF58" s="379">
        <f>ROUND(SUMIFS(BS_RE33!$H$7:$H$874,BS_RE33!$S$7:$S$874,$BF$2,BS_RE33!$N$7:$N$874,I58,BS_RE33!$P$7:$P$874,'30 days CF Table(Ccy)'!G58,BS_RE33!$F$7:$F$874,'30 days CF Table(Ccy)'!$C$2),2)</f>
        <v>0</v>
      </c>
      <c r="BG58" s="379">
        <f>ROUND(SUMIFS(BS_RE33!$H$7:$H$874,BS_RE33!$S$7:$S$874,$BG$2,BS_RE33!$N$7:$N$874,I58,BS_RE33!$P$7:$P$874,'30 days CF Table(Ccy)'!G58,BS_RE33!$F$7:$F$874,'30 days CF Table(Ccy)'!$C$2),2)</f>
        <v>0</v>
      </c>
      <c r="BH58" s="379">
        <f>ROUND(SUMIFS(BS_RE33!$H$7:$H$874,BS_RE33!$S$7:$S$874,$BH$2,BS_RE33!$N$7:$N$874,I58,BS_RE33!$P$7:$P$874,'30 days CF Table(Ccy)'!G58,BS_RE33!$F$7:$F$874,'30 days CF Table(Ccy)'!$C$2),2)</f>
        <v>0</v>
      </c>
      <c r="BI58" s="379">
        <f>ROUND(SUMIFS(BS_RE33!$H$7:$H$874,BS_RE33!$S$7:$S$874,$BI$2,BS_RE33!$N$7:$N$874,I58,BS_RE33!$P$7:$P$874,'30 days CF Table(Ccy)'!G58,BS_RE33!$F$7:$F$874,'30 days CF Table(Ccy)'!$C$2),2)</f>
        <v>0</v>
      </c>
      <c r="BJ58" s="379">
        <f>ROUND(SUMIFS(BS_RE33!$H$7:$H$874,BS_RE33!$S$7:$S$874,$BJ$2,BS_RE33!$N$7:$N$874,I58,BS_RE33!$P$7:$P$874,'30 days CF Table(Ccy)'!G58,BS_RE33!$F$7:$F$874,'30 days CF Table(Ccy)'!$C$2),2)</f>
        <v>0</v>
      </c>
      <c r="BK58" s="379">
        <f>ROUND(SUMIFS(BS_RE33!$H$7:$H$874,BS_RE33!$S$7:$S$874,$BK$2,BS_RE33!$N$7:$N$874,I58,BS_RE33!$P$7:$P$874,'30 days CF Table(Ccy)'!G58,BS_RE33!$F$7:$F$874,'30 days CF Table(Ccy)'!$C$2),2)</f>
        <v>0</v>
      </c>
    </row>
    <row r="59" spans="3:63">
      <c r="C59" s="1027"/>
      <c r="D59" s="1039"/>
      <c r="E59" s="105" t="s">
        <v>96</v>
      </c>
      <c r="F59" s="312" t="s">
        <v>493</v>
      </c>
      <c r="G59" s="392" t="s">
        <v>1251</v>
      </c>
      <c r="H59" s="317">
        <v>0.4</v>
      </c>
      <c r="I59" s="315" t="s">
        <v>80</v>
      </c>
      <c r="J59" s="479">
        <f t="shared" si="2"/>
        <v>0</v>
      </c>
      <c r="K59" s="336">
        <f t="shared" si="3"/>
        <v>0</v>
      </c>
      <c r="L59" s="337">
        <f>ROUND(SUMIFS(BS_RE33!$H$7:$H$874,BS_RE33!$S$7:$S$874,$L$2,BS_RE33!$N$7:$N$874,I59,BS_RE33!$P$7:$P$874,'30 days CF Table(Ccy)'!G59,BS_RE33!$F$7:$F$874,'30 days CF Table(Ccy)'!$C$2),2)</f>
        <v>0</v>
      </c>
      <c r="M59" s="337">
        <f>ROUND(SUMIFS(BS_RE33!$H$7:$H$874,BS_RE33!$S$7:$S$874,$M$2,BS_RE33!$N$7:$N$874,I59,BS_RE33!$P$7:$P$874,'30 days CF Table(Ccy)'!G59,BS_RE33!$F$7:$F$874,'30 days CF Table(Ccy)'!$C$2),2)</f>
        <v>0</v>
      </c>
      <c r="N59" s="337">
        <f>ROUND(SUMIFS(BS_RE33!$H$7:$H$874,BS_RE33!$S$7:$S$874,$N$2,BS_RE33!$N$7:$N$874,I59,BS_RE33!$P$7:$P$874,'30 days CF Table(Ccy)'!G59,BS_RE33!$F$7:$F$874,'30 days CF Table(Ccy)'!$C$2),2)</f>
        <v>0</v>
      </c>
      <c r="O59" s="337">
        <f>ROUND(SUMIFS(BS_RE33!$H$7:$H$874,BS_RE33!$S$7:$S$874,$O$2,BS_RE33!$N$7:$N$874,I59,BS_RE33!$P$7:$P$874,'30 days CF Table(Ccy)'!G59,BS_RE33!$F$7:$F$874,'30 days CF Table(Ccy)'!$C$2),2)</f>
        <v>0</v>
      </c>
      <c r="P59" s="337">
        <f>ROUND(SUMIFS(BS_RE33!$H$7:$H$874,BS_RE33!$S$7:$S$874,$P$2,BS_RE33!$N$7:$N$874,I59,BS_RE33!$P$7:$P$874,'30 days CF Table(Ccy)'!G59,BS_RE33!$F$7:$F$874,'30 days CF Table(Ccy)'!$C$2),2)</f>
        <v>0</v>
      </c>
      <c r="Q59" s="337">
        <f>ROUND(SUMIFS(BS_RE33!$H$7:$H$874,BS_RE33!$S$7:$S$874,$Q$2,BS_RE33!$N$7:$N$874,I59,BS_RE33!$P$7:$P$874,'30 days CF Table(Ccy)'!G59,BS_RE33!$F$7:$F$874,'30 days CF Table(Ccy)'!$C$2),2)</f>
        <v>0</v>
      </c>
      <c r="R59" s="337">
        <f>ROUND(SUMIFS(BS_RE33!$H$7:$H$874,BS_RE33!$S$7:$S$874,$R$2,BS_RE33!$N$7:$N$874,I59,BS_RE33!$P$7:$P$874,'30 days CF Table(Ccy)'!G59,BS_RE33!$F$7:$F$874,'30 days CF Table(Ccy)'!$C$2),2)</f>
        <v>0</v>
      </c>
      <c r="S59" s="337">
        <f>ROUND(SUMIFS(BS_RE33!$H$7:$H$874,BS_RE33!$S$7:$S$874,$S$2,BS_RE33!$N$7:$N$874,I59,BS_RE33!$P$7:$P$874,'30 days CF Table(Ccy)'!G59,BS_RE33!$F$7:$F$874,'30 days CF Table(Ccy)'!$C$2),2)</f>
        <v>0</v>
      </c>
      <c r="T59" s="337">
        <f>ROUND(SUMIFS(BS_RE33!$H$7:$H$874,BS_RE33!$S$7:$S$874,$T$2,BS_RE33!$N$7:$N$874,I59,BS_RE33!$P$7:$P$874,'30 days CF Table(Ccy)'!G59,BS_RE33!$F$7:$F$874,'30 days CF Table(Ccy)'!$C$2),2)</f>
        <v>0</v>
      </c>
      <c r="U59" s="337">
        <f>ROUND(SUMIFS(BS_RE33!$H$7:$H$874,BS_RE33!$S$7:$S$874,$U$2,BS_RE33!$N$7:$N$874,I59,BS_RE33!$P$7:$P$874,'30 days CF Table(Ccy)'!G59,BS_RE33!$F$7:$F$874,'30 days CF Table(Ccy)'!$C$2),2)</f>
        <v>0</v>
      </c>
      <c r="V59" s="337">
        <f>ROUND(SUMIFS(BS_RE33!$H$7:$H$874,BS_RE33!$S$7:$S$874,$V$2,BS_RE33!$N$7:$N$874,I59,BS_RE33!$P$7:$P$874,'30 days CF Table(Ccy)'!G59,BS_RE33!$F$7:$F$874,'30 days CF Table(Ccy)'!$C$2),2)</f>
        <v>0</v>
      </c>
      <c r="W59" s="337">
        <f>ROUND(SUMIFS(BS_RE33!$H$7:$H$874,BS_RE33!$S$7:$S$874,$W$2,BS_RE33!$N$7:$N$874,I59,BS_RE33!$P$7:$P$874,'30 days CF Table(Ccy)'!G59,BS_RE33!$F$7:$F$874,'30 days CF Table(Ccy)'!$C$2),2)</f>
        <v>0</v>
      </c>
      <c r="X59" s="337">
        <f>ROUND(SUMIFS(BS_RE33!$H$7:$H$874,BS_RE33!$S$7:$S$874,$X$2,BS_RE33!$N$7:$N$874,I59,BS_RE33!$P$7:$P$874,'30 days CF Table(Ccy)'!G59,BS_RE33!$F$7:$F$874,'30 days CF Table(Ccy)'!$C$2),2)</f>
        <v>0</v>
      </c>
      <c r="Y59" s="337">
        <f>ROUND(SUMIFS(BS_RE33!$H$7:$H$874,BS_RE33!$S$7:$S$874,$Y$2,BS_RE33!$N$7:$N$874,I59,BS_RE33!$P$7:$P$874,'30 days CF Table(Ccy)'!G59,BS_RE33!$F$7:$F$874,'30 days CF Table(Ccy)'!$C$2),2)</f>
        <v>0</v>
      </c>
      <c r="Z59" s="337">
        <f>ROUND(SUMIFS(BS_RE33!$H$7:$H$874,BS_RE33!$S$7:$S$874,$Z$2,BS_RE33!$N$7:$N$874,I59,BS_RE33!$P$7:$P$874,'30 days CF Table(Ccy)'!G59,BS_RE33!$F$7:$F$874,'30 days CF Table(Ccy)'!$C$2),2)</f>
        <v>0</v>
      </c>
      <c r="AA59" s="337">
        <f>ROUND(SUMIFS(BS_RE33!$H$7:$H$874,BS_RE33!$S$7:$S$874,$AA$2,BS_RE33!$N$7:$N$874,I59,BS_RE33!$P$7:$P$874,'30 days CF Table(Ccy)'!G59,BS_RE33!$F$7:$F$874,'30 days CF Table(Ccy)'!$C$2),2)</f>
        <v>0</v>
      </c>
      <c r="AB59" s="337">
        <f>ROUND(SUMIFS(BS_RE33!$H$7:$H$874,BS_RE33!$S$7:$S$874,$AB$2,BS_RE33!$N$7:$N$874,I59,BS_RE33!$P$7:$P$874,'30 days CF Table(Ccy)'!G59,BS_RE33!$F$7:$F$874,'30 days CF Table(Ccy)'!$C$2),2)</f>
        <v>0</v>
      </c>
      <c r="AC59" s="337">
        <f>ROUND(SUMIFS(BS_RE33!$H$7:$H$874,BS_RE33!$S$7:$S$874,$AC$2,BS_RE33!$N$7:$N$874,I59,BS_RE33!$P$7:$P$874,'30 days CF Table(Ccy)'!G59,BS_RE33!$F$7:$F$874,'30 days CF Table(Ccy)'!$C$2),2)</f>
        <v>0</v>
      </c>
      <c r="AD59" s="337">
        <f>ROUND(SUMIFS(BS_RE33!$H$7:$H$874,BS_RE33!$S$7:$S$874,$AD$2,BS_RE33!$N$7:$N$874,I59,BS_RE33!$P$7:$P$874,'30 days CF Table(Ccy)'!G59,BS_RE33!$F$7:$F$874,'30 days CF Table(Ccy)'!$C$2),2)</f>
        <v>0</v>
      </c>
      <c r="AE59" s="337">
        <f>ROUND(SUMIFS(BS_RE33!$H$7:$H$874,BS_RE33!$S$7:$S$874,$AE$2,BS_RE33!$N$7:$N$874,I59,BS_RE33!$P$7:$P$874,'30 days CF Table(Ccy)'!G59,BS_RE33!$F$7:$F$874,'30 days CF Table(Ccy)'!$C$2),2)</f>
        <v>0</v>
      </c>
      <c r="AF59" s="337">
        <f>ROUND(SUMIFS(BS_RE33!$H$7:$H$874,BS_RE33!$S$7:$S$874,$AF$2,BS_RE33!$N$7:$N$874,I59,BS_RE33!$P$7:$P$874,'30 days CF Table(Ccy)'!G59,BS_RE33!$F$7:$F$874,'30 days CF Table(Ccy)'!$C$2),2)</f>
        <v>0</v>
      </c>
      <c r="AG59" s="337">
        <f>ROUND(SUMIFS(BS_RE33!$H$7:$H$874,BS_RE33!$S$7:$S$874,$AG$2,BS_RE33!$N$7:$N$874,I59,BS_RE33!$P$7:$P$874,'30 days CF Table(Ccy)'!G59,BS_RE33!$F$7:$F$874,'30 days CF Table(Ccy)'!$C$2),2)</f>
        <v>0</v>
      </c>
      <c r="AH59" s="337">
        <f>ROUND(SUMIFS(BS_RE33!$H$7:$H$874,BS_RE33!$S$7:$S$874,$AH$2,BS_RE33!$N$7:$N$874,I59,BS_RE33!$P$7:$P$874,'30 days CF Table(Ccy)'!G59,BS_RE33!$F$7:$F$874,'30 days CF Table(Ccy)'!$C$2),2)</f>
        <v>0</v>
      </c>
      <c r="AI59" s="337">
        <f>ROUND(SUMIFS(BS_RE33!$H$7:$H$874,BS_RE33!$S$7:$S$874,$AI$2,BS_RE33!$N$7:$N$874,I59,BS_RE33!$P$7:$P$874,'30 days CF Table(Ccy)'!G59,BS_RE33!$F$7:$F$874,'30 days CF Table(Ccy)'!$C$2),2)</f>
        <v>0</v>
      </c>
      <c r="AJ59" s="337">
        <f>ROUND(SUMIFS(BS_RE33!$H$7:$H$874,BS_RE33!$S$7:$S$874,$AJ$2,BS_RE33!$N$7:$N$874,I59,BS_RE33!$P$7:$P$874,'30 days CF Table(Ccy)'!G59,BS_RE33!$F$7:$F$874,'30 days CF Table(Ccy)'!$C$2),2)</f>
        <v>0</v>
      </c>
      <c r="AK59" s="337">
        <f>ROUND(SUMIFS(BS_RE33!$H$7:$H$874,BS_RE33!$S$7:$S$874,$AK$2,BS_RE33!$N$7:$N$874,I59,BS_RE33!$P$7:$P$874,'30 days CF Table(Ccy)'!G59,BS_RE33!$F$7:$F$874,'30 days CF Table(Ccy)'!$C$2),2)</f>
        <v>0</v>
      </c>
      <c r="AL59" s="337">
        <f>ROUND(SUMIFS(BS_RE33!$H$7:$H$874,BS_RE33!$S$7:$S$874,$AL$2,BS_RE33!$N$7:$N$874,I59,BS_RE33!$P$7:$P$874,'30 days CF Table(Ccy)'!G59,BS_RE33!$F$7:$F$874,'30 days CF Table(Ccy)'!$C$2),2)</f>
        <v>0</v>
      </c>
      <c r="AM59" s="337">
        <f>ROUND(SUMIFS(BS_RE33!$H$7:$H$874,BS_RE33!$S$7:$S$874,$AM$2,BS_RE33!$N$7:$N$874,I59,BS_RE33!$P$7:$P$874,'30 days CF Table(Ccy)'!G59,BS_RE33!$F$7:$F$874,'30 days CF Table(Ccy)'!$C$2),2)</f>
        <v>0</v>
      </c>
      <c r="AN59" s="337">
        <f>ROUND(SUMIFS(BS_RE33!$H$7:$H$874,BS_RE33!$S$7:$S$874,$AN$2,BS_RE33!$N$7:$N$874,I59,BS_RE33!$P$7:$P$874,'30 days CF Table(Ccy)'!G59,BS_RE33!$F$7:$F$874,'30 days CF Table(Ccy)'!$C$2),2)</f>
        <v>0</v>
      </c>
      <c r="AO59" s="337">
        <f>ROUND(SUMIFS(BS_RE33!$H$7:$H$874,BS_RE33!$S$7:$S$874,$AO$2,BS_RE33!$N$7:$N$874,I59,BS_RE33!$P$7:$P$874,'30 days CF Table(Ccy)'!G59,BS_RE33!$F$7:$F$874,'30 days CF Table(Ccy)'!$C$2),2)</f>
        <v>0</v>
      </c>
      <c r="AP59" s="338">
        <f>ROUND(SUMIFS(BS_RE33!$H$7:$H$874,BS_RE33!$S$7:$S$874,$AP$2,BS_RE33!$N$7:$N$874,I59,BS_RE33!$P$7:$P$874,'30 days CF Table(Ccy)'!G59,BS_RE33!$F$7:$F$874,'30 days CF Table(Ccy)'!$C$2),2)</f>
        <v>0</v>
      </c>
      <c r="AR59" s="379">
        <f>ROUND(SUMIFS(BS_RE33!$H$7:$H$874,BS_RE33!$S$7:$S$874,$AR$2,BS_RE33!$N$7:$N$874,I59,BS_RE33!$P$7:$P$874,'30 days CF Table(Ccy)'!G59,BS_RE33!$F$7:$F$874,'30 days CF Table(Ccy)'!$C$2),2)</f>
        <v>0</v>
      </c>
      <c r="AS59" s="379">
        <f>ROUND(SUMIFS(BS_RE33!$H$7:$H$874,BS_RE33!$S$7:$S$874,$AS$2,BS_RE33!$N$7:$N$874,I59,BS_RE33!$P$7:$P$874,'30 days CF Table(Ccy)'!G59,BS_RE33!$F$7:$F$874,'30 days CF Table(Ccy)'!$C$2),2)</f>
        <v>0</v>
      </c>
      <c r="AT59" s="379">
        <f>ROUND(SUMIFS(BS_RE33!$H$7:$H$874,BS_RE33!$S$7:$S$874,$AT$2,BS_RE33!$N$7:$N$874,I59,BS_RE33!$P$7:$P$874,'30 days CF Table(Ccy)'!G59,BS_RE33!$F$7:$F$874,'30 days CF Table(Ccy)'!$C$2),2)</f>
        <v>0</v>
      </c>
      <c r="AU59" s="379">
        <f>ROUND(SUMIFS(BS_RE33!$H$7:$H$874,BS_RE33!$S$7:$S$874,$AU$2,BS_RE33!$N$7:$N$874,I59,BS_RE33!$P$7:$P$874,'30 days CF Table(Ccy)'!G59,BS_RE33!$F$7:$F$874,'30 days CF Table(Ccy)'!$C$2),2)</f>
        <v>0</v>
      </c>
      <c r="AV59" s="379">
        <f>ROUND(SUMIFS(BS_RE33!$H$7:$H$874,BS_RE33!$S$7:$S$874,$AV$2,BS_RE33!$N$7:$N$874,I59,BS_RE33!$P$7:$P$874,'30 days CF Table(Ccy)'!G59,BS_RE33!$F$7:$F$874,'30 days CF Table(Ccy)'!$C$2),2)</f>
        <v>0</v>
      </c>
      <c r="AW59" s="379">
        <f>ROUND(SUMIFS(BS_RE33!$H$7:$H$874,BS_RE33!$S$7:$S$874,$AW$2,BS_RE33!$N$7:$N$874,I59,BS_RE33!$P$7:$P$874,'30 days CF Table(Ccy)'!G59,BS_RE33!$F$7:$F$874,'30 days CF Table(Ccy)'!$C$2),2)</f>
        <v>0</v>
      </c>
      <c r="AX59" s="379">
        <f>ROUND(SUMIFS(BS_RE33!$H$7:$H$874,BS_RE33!$S$7:$S$874,$AX$2,BS_RE33!$N$7:$N$874,I59,BS_RE33!$P$7:$P$874,'30 days CF Table(Ccy)'!G59,BS_RE33!$F$7:$F$874,'30 days CF Table(Ccy)'!$C$2),2)</f>
        <v>0</v>
      </c>
      <c r="AY59" s="379">
        <f>ROUND(SUMIFS(BS_RE33!$H$7:$H$874,BS_RE33!$S$7:$S$874,$AY$2,BS_RE33!$N$7:$N$874,I59,BS_RE33!$P$7:$P$874,'30 days CF Table(Ccy)'!G59,BS_RE33!$F$7:$F$874,'30 days CF Table(Ccy)'!$C$2),2)</f>
        <v>0</v>
      </c>
      <c r="AZ59" s="379">
        <f>ROUND(SUMIFS(BS_RE33!$H$7:$H$874,BS_RE33!$S$7:$S$874,$AZ$2,BS_RE33!$N$7:$N$874,I59,BS_RE33!$P$7:$P$874,'30 days CF Table(Ccy)'!G59,BS_RE33!$F$7:$F$874,'30 days CF Table(Ccy)'!$C$2),2)</f>
        <v>0</v>
      </c>
      <c r="BA59" s="379">
        <f>ROUND(SUMIFS(BS_RE33!$H$7:$H$874,BS_RE33!$S$7:$S$874,$BA$2,BS_RE33!$N$7:$N$874,I59,BS_RE33!$P$7:$P$874,'30 days CF Table(Ccy)'!G59,BS_RE33!$F$7:$F$874,'30 days CF Table(Ccy)'!$C$2),2)</f>
        <v>0</v>
      </c>
      <c r="BB59" s="379">
        <f>ROUND(SUMIFS(BS_RE33!$H$7:$H$874,BS_RE33!$S$7:$S$874,$BB$2,BS_RE33!$N$7:$N$874,I59,BS_RE33!$P$7:$P$874,'30 days CF Table(Ccy)'!G59,BS_RE33!$F$7:$F$874,'30 days CF Table(Ccy)'!$C$2),2)</f>
        <v>0</v>
      </c>
      <c r="BC59" s="379">
        <f>ROUND(SUMIFS(BS_RE33!$H$7:$H$874,BS_RE33!$S$7:$S$874,$BC$2,BS_RE33!$N$7:$N$874,I59,BS_RE33!$P$7:$P$874,'30 days CF Table(Ccy)'!G59,BS_RE33!$F$7:$F$874,'30 days CF Table(Ccy)'!$C$2),2)</f>
        <v>0</v>
      </c>
      <c r="BD59" s="379">
        <f>ROUND(SUMIFS(BS_RE33!$H$7:$H$874,BS_RE33!$S$7:$S$874,$BD$2,BS_RE33!$N$7:$N$874,I59,BS_RE33!$P$7:$P$874,'30 days CF Table(Ccy)'!G59,BS_RE33!$F$7:$F$874,'30 days CF Table(Ccy)'!$C$2),2)</f>
        <v>0</v>
      </c>
      <c r="BE59" s="379">
        <f>ROUND(SUMIFS(BS_RE33!$H$7:$H$874,BS_RE33!$S$7:$S$874,$BE$2,BS_RE33!$N$7:$N$874,I59,BS_RE33!$P$7:$P$874,'30 days CF Table(Ccy)'!G59,BS_RE33!$F$7:$F$874,'30 days CF Table(Ccy)'!$C$2),2)</f>
        <v>0</v>
      </c>
      <c r="BF59" s="379">
        <f>ROUND(SUMIFS(BS_RE33!$H$7:$H$874,BS_RE33!$S$7:$S$874,$BF$2,BS_RE33!$N$7:$N$874,I59,BS_RE33!$P$7:$P$874,'30 days CF Table(Ccy)'!G59,BS_RE33!$F$7:$F$874,'30 days CF Table(Ccy)'!$C$2),2)</f>
        <v>0</v>
      </c>
      <c r="BG59" s="379">
        <f>ROUND(SUMIFS(BS_RE33!$H$7:$H$874,BS_RE33!$S$7:$S$874,$BG$2,BS_RE33!$N$7:$N$874,I59,BS_RE33!$P$7:$P$874,'30 days CF Table(Ccy)'!G59,BS_RE33!$F$7:$F$874,'30 days CF Table(Ccy)'!$C$2),2)</f>
        <v>0</v>
      </c>
      <c r="BH59" s="379">
        <f>ROUND(SUMIFS(BS_RE33!$H$7:$H$874,BS_RE33!$S$7:$S$874,$BH$2,BS_RE33!$N$7:$N$874,I59,BS_RE33!$P$7:$P$874,'30 days CF Table(Ccy)'!G59,BS_RE33!$F$7:$F$874,'30 days CF Table(Ccy)'!$C$2),2)</f>
        <v>0</v>
      </c>
      <c r="BI59" s="379">
        <f>ROUND(SUMIFS(BS_RE33!$H$7:$H$874,BS_RE33!$S$7:$S$874,$BI$2,BS_RE33!$N$7:$N$874,I59,BS_RE33!$P$7:$P$874,'30 days CF Table(Ccy)'!G59,BS_RE33!$F$7:$F$874,'30 days CF Table(Ccy)'!$C$2),2)</f>
        <v>0</v>
      </c>
      <c r="BJ59" s="379">
        <f>ROUND(SUMIFS(BS_RE33!$H$7:$H$874,BS_RE33!$S$7:$S$874,$BJ$2,BS_RE33!$N$7:$N$874,I59,BS_RE33!$P$7:$P$874,'30 days CF Table(Ccy)'!G59,BS_RE33!$F$7:$F$874,'30 days CF Table(Ccy)'!$C$2),2)</f>
        <v>0</v>
      </c>
      <c r="BK59" s="379">
        <f>ROUND(SUMIFS(BS_RE33!$H$7:$H$874,BS_RE33!$S$7:$S$874,$BK$2,BS_RE33!$N$7:$N$874,I59,BS_RE33!$P$7:$P$874,'30 days CF Table(Ccy)'!G59,BS_RE33!$F$7:$F$874,'30 days CF Table(Ccy)'!$C$2),2)</f>
        <v>0</v>
      </c>
    </row>
    <row r="60" spans="3:63" ht="20.25">
      <c r="C60" s="1027"/>
      <c r="D60" s="520" t="s">
        <v>771</v>
      </c>
      <c r="E60" s="108" t="s">
        <v>98</v>
      </c>
      <c r="F60" s="312"/>
      <c r="G60" s="392" t="s">
        <v>537</v>
      </c>
      <c r="H60" s="317">
        <v>1</v>
      </c>
      <c r="I60" s="315" t="s">
        <v>80</v>
      </c>
      <c r="J60" s="479">
        <f t="shared" si="2"/>
        <v>0</v>
      </c>
      <c r="K60" s="336">
        <f t="shared" si="3"/>
        <v>0</v>
      </c>
      <c r="L60" s="337">
        <f>ROUND(SUMIFS(BS_RE33!$H$7:$H$874,BS_RE33!$S$7:$S$874,$L$2,BS_RE33!$N$7:$N$874,I60,BS_RE33!$P$7:$P$874,'30 days CF Table(Ccy)'!G60,BS_RE33!$F$7:$F$874,'30 days CF Table(Ccy)'!$C$2),2)</f>
        <v>0</v>
      </c>
      <c r="M60" s="337">
        <f>ROUND(SUMIFS(BS_RE33!$H$7:$H$874,BS_RE33!$S$7:$S$874,$M$2,BS_RE33!$N$7:$N$874,I60,BS_RE33!$P$7:$P$874,'30 days CF Table(Ccy)'!G60,BS_RE33!$F$7:$F$874,'30 days CF Table(Ccy)'!$C$2),2)</f>
        <v>0</v>
      </c>
      <c r="N60" s="337">
        <f>ROUND(SUMIFS(BS_RE33!$H$7:$H$874,BS_RE33!$S$7:$S$874,$N$2,BS_RE33!$N$7:$N$874,I60,BS_RE33!$P$7:$P$874,'30 days CF Table(Ccy)'!G60,BS_RE33!$F$7:$F$874,'30 days CF Table(Ccy)'!$C$2),2)</f>
        <v>0</v>
      </c>
      <c r="O60" s="337">
        <f>ROUND(SUMIFS(BS_RE33!$H$7:$H$874,BS_RE33!$S$7:$S$874,$O$2,BS_RE33!$N$7:$N$874,I60,BS_RE33!$P$7:$P$874,'30 days CF Table(Ccy)'!G60,BS_RE33!$F$7:$F$874,'30 days CF Table(Ccy)'!$C$2),2)</f>
        <v>0</v>
      </c>
      <c r="P60" s="337">
        <f>ROUND(SUMIFS(BS_RE33!$H$7:$H$874,BS_RE33!$S$7:$S$874,$P$2,BS_RE33!$N$7:$N$874,I60,BS_RE33!$P$7:$P$874,'30 days CF Table(Ccy)'!G60,BS_RE33!$F$7:$F$874,'30 days CF Table(Ccy)'!$C$2),2)</f>
        <v>0</v>
      </c>
      <c r="Q60" s="337">
        <f>ROUND(SUMIFS(BS_RE33!$H$7:$H$874,BS_RE33!$S$7:$S$874,$Q$2,BS_RE33!$N$7:$N$874,I60,BS_RE33!$P$7:$P$874,'30 days CF Table(Ccy)'!G60,BS_RE33!$F$7:$F$874,'30 days CF Table(Ccy)'!$C$2),2)</f>
        <v>0</v>
      </c>
      <c r="R60" s="337">
        <f>ROUND(SUMIFS(BS_RE33!$H$7:$H$874,BS_RE33!$S$7:$S$874,$R$2,BS_RE33!$N$7:$N$874,I60,BS_RE33!$P$7:$P$874,'30 days CF Table(Ccy)'!G60,BS_RE33!$F$7:$F$874,'30 days CF Table(Ccy)'!$C$2),2)</f>
        <v>0</v>
      </c>
      <c r="S60" s="337">
        <f>ROUND(SUMIFS(BS_RE33!$H$7:$H$874,BS_RE33!$S$7:$S$874,$S$2,BS_RE33!$N$7:$N$874,I60,BS_RE33!$P$7:$P$874,'30 days CF Table(Ccy)'!G60,BS_RE33!$F$7:$F$874,'30 days CF Table(Ccy)'!$C$2),2)</f>
        <v>0</v>
      </c>
      <c r="T60" s="337">
        <f>ROUND(SUMIFS(BS_RE33!$H$7:$H$874,BS_RE33!$S$7:$S$874,$T$2,BS_RE33!$N$7:$N$874,I60,BS_RE33!$P$7:$P$874,'30 days CF Table(Ccy)'!G60,BS_RE33!$F$7:$F$874,'30 days CF Table(Ccy)'!$C$2),2)</f>
        <v>0</v>
      </c>
      <c r="U60" s="337">
        <f>ROUND(SUMIFS(BS_RE33!$H$7:$H$874,BS_RE33!$S$7:$S$874,$U$2,BS_RE33!$N$7:$N$874,I60,BS_RE33!$P$7:$P$874,'30 days CF Table(Ccy)'!G60,BS_RE33!$F$7:$F$874,'30 days CF Table(Ccy)'!$C$2),2)</f>
        <v>0</v>
      </c>
      <c r="V60" s="337">
        <f>ROUND(SUMIFS(BS_RE33!$H$7:$H$874,BS_RE33!$S$7:$S$874,$V$2,BS_RE33!$N$7:$N$874,I60,BS_RE33!$P$7:$P$874,'30 days CF Table(Ccy)'!G60,BS_RE33!$F$7:$F$874,'30 days CF Table(Ccy)'!$C$2),2)</f>
        <v>0</v>
      </c>
      <c r="W60" s="337">
        <f>ROUND(SUMIFS(BS_RE33!$H$7:$H$874,BS_RE33!$S$7:$S$874,$W$2,BS_RE33!$N$7:$N$874,I60,BS_RE33!$P$7:$P$874,'30 days CF Table(Ccy)'!G60,BS_RE33!$F$7:$F$874,'30 days CF Table(Ccy)'!$C$2),2)</f>
        <v>0</v>
      </c>
      <c r="X60" s="337">
        <f>ROUND(SUMIFS(BS_RE33!$H$7:$H$874,BS_RE33!$S$7:$S$874,$X$2,BS_RE33!$N$7:$N$874,I60,BS_RE33!$P$7:$P$874,'30 days CF Table(Ccy)'!G60,BS_RE33!$F$7:$F$874,'30 days CF Table(Ccy)'!$C$2),2)</f>
        <v>0</v>
      </c>
      <c r="Y60" s="337">
        <f>ROUND(SUMIFS(BS_RE33!$H$7:$H$874,BS_RE33!$S$7:$S$874,$Y$2,BS_RE33!$N$7:$N$874,I60,BS_RE33!$P$7:$P$874,'30 days CF Table(Ccy)'!G60,BS_RE33!$F$7:$F$874,'30 days CF Table(Ccy)'!$C$2),2)</f>
        <v>0</v>
      </c>
      <c r="Z60" s="337">
        <f>ROUND(SUMIFS(BS_RE33!$H$7:$H$874,BS_RE33!$S$7:$S$874,$Z$2,BS_RE33!$N$7:$N$874,I60,BS_RE33!$P$7:$P$874,'30 days CF Table(Ccy)'!G60,BS_RE33!$F$7:$F$874,'30 days CF Table(Ccy)'!$C$2),2)</f>
        <v>0</v>
      </c>
      <c r="AA60" s="337">
        <f>ROUND(SUMIFS(BS_RE33!$H$7:$H$874,BS_RE33!$S$7:$S$874,$AA$2,BS_RE33!$N$7:$N$874,I60,BS_RE33!$P$7:$P$874,'30 days CF Table(Ccy)'!G60,BS_RE33!$F$7:$F$874,'30 days CF Table(Ccy)'!$C$2),2)</f>
        <v>0</v>
      </c>
      <c r="AB60" s="337">
        <f>ROUND(SUMIFS(BS_RE33!$H$7:$H$874,BS_RE33!$S$7:$S$874,$AB$2,BS_RE33!$N$7:$N$874,I60,BS_RE33!$P$7:$P$874,'30 days CF Table(Ccy)'!G60,BS_RE33!$F$7:$F$874,'30 days CF Table(Ccy)'!$C$2),2)</f>
        <v>0</v>
      </c>
      <c r="AC60" s="337">
        <f>ROUND(SUMIFS(BS_RE33!$H$7:$H$874,BS_RE33!$S$7:$S$874,$AC$2,BS_RE33!$N$7:$N$874,I60,BS_RE33!$P$7:$P$874,'30 days CF Table(Ccy)'!G60,BS_RE33!$F$7:$F$874,'30 days CF Table(Ccy)'!$C$2),2)</f>
        <v>0</v>
      </c>
      <c r="AD60" s="337">
        <f>ROUND(SUMIFS(BS_RE33!$H$7:$H$874,BS_RE33!$S$7:$S$874,$AD$2,BS_RE33!$N$7:$N$874,I60,BS_RE33!$P$7:$P$874,'30 days CF Table(Ccy)'!G60,BS_RE33!$F$7:$F$874,'30 days CF Table(Ccy)'!$C$2),2)</f>
        <v>0</v>
      </c>
      <c r="AE60" s="337">
        <f>ROUND(SUMIFS(BS_RE33!$H$7:$H$874,BS_RE33!$S$7:$S$874,$AE$2,BS_RE33!$N$7:$N$874,I60,BS_RE33!$P$7:$P$874,'30 days CF Table(Ccy)'!G60,BS_RE33!$F$7:$F$874,'30 days CF Table(Ccy)'!$C$2),2)</f>
        <v>0</v>
      </c>
      <c r="AF60" s="337">
        <f>ROUND(SUMIFS(BS_RE33!$H$7:$H$874,BS_RE33!$S$7:$S$874,$AF$2,BS_RE33!$N$7:$N$874,I60,BS_RE33!$P$7:$P$874,'30 days CF Table(Ccy)'!G60,BS_RE33!$F$7:$F$874,'30 days CF Table(Ccy)'!$C$2),2)</f>
        <v>0</v>
      </c>
      <c r="AG60" s="337">
        <f>ROUND(SUMIFS(BS_RE33!$H$7:$H$874,BS_RE33!$S$7:$S$874,$AG$2,BS_RE33!$N$7:$N$874,I60,BS_RE33!$P$7:$P$874,'30 days CF Table(Ccy)'!G60,BS_RE33!$F$7:$F$874,'30 days CF Table(Ccy)'!$C$2),2)</f>
        <v>0</v>
      </c>
      <c r="AH60" s="337">
        <f>ROUND(SUMIFS(BS_RE33!$H$7:$H$874,BS_RE33!$S$7:$S$874,$AH$2,BS_RE33!$N$7:$N$874,I60,BS_RE33!$P$7:$P$874,'30 days CF Table(Ccy)'!G60,BS_RE33!$F$7:$F$874,'30 days CF Table(Ccy)'!$C$2),2)</f>
        <v>0</v>
      </c>
      <c r="AI60" s="337">
        <f>ROUND(SUMIFS(BS_RE33!$H$7:$H$874,BS_RE33!$S$7:$S$874,$AI$2,BS_RE33!$N$7:$N$874,I60,BS_RE33!$P$7:$P$874,'30 days CF Table(Ccy)'!G60,BS_RE33!$F$7:$F$874,'30 days CF Table(Ccy)'!$C$2),2)</f>
        <v>0</v>
      </c>
      <c r="AJ60" s="337">
        <f>ROUND(SUMIFS(BS_RE33!$H$7:$H$874,BS_RE33!$S$7:$S$874,$AJ$2,BS_RE33!$N$7:$N$874,I60,BS_RE33!$P$7:$P$874,'30 days CF Table(Ccy)'!G60,BS_RE33!$F$7:$F$874,'30 days CF Table(Ccy)'!$C$2),2)</f>
        <v>0</v>
      </c>
      <c r="AK60" s="337">
        <f>ROUND(SUMIFS(BS_RE33!$H$7:$H$874,BS_RE33!$S$7:$S$874,$AK$2,BS_RE33!$N$7:$N$874,I60,BS_RE33!$P$7:$P$874,'30 days CF Table(Ccy)'!G60,BS_RE33!$F$7:$F$874,'30 days CF Table(Ccy)'!$C$2),2)</f>
        <v>0</v>
      </c>
      <c r="AL60" s="337">
        <f>ROUND(SUMIFS(BS_RE33!$H$7:$H$874,BS_RE33!$S$7:$S$874,$AL$2,BS_RE33!$N$7:$N$874,I60,BS_RE33!$P$7:$P$874,'30 days CF Table(Ccy)'!G60,BS_RE33!$F$7:$F$874,'30 days CF Table(Ccy)'!$C$2),2)</f>
        <v>0</v>
      </c>
      <c r="AM60" s="337">
        <f>ROUND(SUMIFS(BS_RE33!$H$7:$H$874,BS_RE33!$S$7:$S$874,$AM$2,BS_RE33!$N$7:$N$874,I60,BS_RE33!$P$7:$P$874,'30 days CF Table(Ccy)'!G60,BS_RE33!$F$7:$F$874,'30 days CF Table(Ccy)'!$C$2),2)</f>
        <v>0</v>
      </c>
      <c r="AN60" s="337">
        <f>ROUND(SUMIFS(BS_RE33!$H$7:$H$874,BS_RE33!$S$7:$S$874,$AN$2,BS_RE33!$N$7:$N$874,I60,BS_RE33!$P$7:$P$874,'30 days CF Table(Ccy)'!G60,BS_RE33!$F$7:$F$874,'30 days CF Table(Ccy)'!$C$2),2)</f>
        <v>0</v>
      </c>
      <c r="AO60" s="337">
        <f>ROUND(SUMIFS(BS_RE33!$H$7:$H$874,BS_RE33!$S$7:$S$874,$AO$2,BS_RE33!$N$7:$N$874,I60,BS_RE33!$P$7:$P$874,'30 days CF Table(Ccy)'!G60,BS_RE33!$F$7:$F$874,'30 days CF Table(Ccy)'!$C$2),2)</f>
        <v>0</v>
      </c>
      <c r="AP60" s="338">
        <f>ROUND(SUMIFS(BS_RE33!$H$7:$H$874,BS_RE33!$S$7:$S$874,$AP$2,BS_RE33!$N$7:$N$874,I60,BS_RE33!$P$7:$P$874,'30 days CF Table(Ccy)'!G60,BS_RE33!$F$7:$F$874,'30 days CF Table(Ccy)'!$C$2),2)</f>
        <v>0</v>
      </c>
      <c r="AR60" s="379">
        <f>ROUND(SUMIFS(BS_RE33!$H$7:$H$874,BS_RE33!$S$7:$S$874,$AR$2,BS_RE33!$N$7:$N$874,I60,BS_RE33!$P$7:$P$874,'30 days CF Table(Ccy)'!G60,BS_RE33!$F$7:$F$874,'30 days CF Table(Ccy)'!$C$2),2)</f>
        <v>0</v>
      </c>
      <c r="AS60" s="379">
        <f>ROUND(SUMIFS(BS_RE33!$H$7:$H$874,BS_RE33!$S$7:$S$874,$AS$2,BS_RE33!$N$7:$N$874,I60,BS_RE33!$P$7:$P$874,'30 days CF Table(Ccy)'!G60,BS_RE33!$F$7:$F$874,'30 days CF Table(Ccy)'!$C$2),2)</f>
        <v>0</v>
      </c>
      <c r="AT60" s="379">
        <f>ROUND(SUMIFS(BS_RE33!$H$7:$H$874,BS_RE33!$S$7:$S$874,$AT$2,BS_RE33!$N$7:$N$874,I60,BS_RE33!$P$7:$P$874,'30 days CF Table(Ccy)'!G60,BS_RE33!$F$7:$F$874,'30 days CF Table(Ccy)'!$C$2),2)</f>
        <v>0</v>
      </c>
      <c r="AU60" s="379">
        <f>ROUND(SUMIFS(BS_RE33!$H$7:$H$874,BS_RE33!$S$7:$S$874,$AU$2,BS_RE33!$N$7:$N$874,I60,BS_RE33!$P$7:$P$874,'30 days CF Table(Ccy)'!G60,BS_RE33!$F$7:$F$874,'30 days CF Table(Ccy)'!$C$2),2)</f>
        <v>0</v>
      </c>
      <c r="AV60" s="379">
        <f>ROUND(SUMIFS(BS_RE33!$H$7:$H$874,BS_RE33!$S$7:$S$874,$AV$2,BS_RE33!$N$7:$N$874,I60,BS_RE33!$P$7:$P$874,'30 days CF Table(Ccy)'!G60,BS_RE33!$F$7:$F$874,'30 days CF Table(Ccy)'!$C$2),2)</f>
        <v>0</v>
      </c>
      <c r="AW60" s="379">
        <f>ROUND(SUMIFS(BS_RE33!$H$7:$H$874,BS_RE33!$S$7:$S$874,$AW$2,BS_RE33!$N$7:$N$874,I60,BS_RE33!$P$7:$P$874,'30 days CF Table(Ccy)'!G60,BS_RE33!$F$7:$F$874,'30 days CF Table(Ccy)'!$C$2),2)</f>
        <v>0</v>
      </c>
      <c r="AX60" s="379">
        <f>ROUND(SUMIFS(BS_RE33!$H$7:$H$874,BS_RE33!$S$7:$S$874,$AX$2,BS_RE33!$N$7:$N$874,I60,BS_RE33!$P$7:$P$874,'30 days CF Table(Ccy)'!G60,BS_RE33!$F$7:$F$874,'30 days CF Table(Ccy)'!$C$2),2)</f>
        <v>0</v>
      </c>
      <c r="AY60" s="379">
        <f>ROUND(SUMIFS(BS_RE33!$H$7:$H$874,BS_RE33!$S$7:$S$874,$AY$2,BS_RE33!$N$7:$N$874,I60,BS_RE33!$P$7:$P$874,'30 days CF Table(Ccy)'!G60,BS_RE33!$F$7:$F$874,'30 days CF Table(Ccy)'!$C$2),2)</f>
        <v>0</v>
      </c>
      <c r="AZ60" s="379">
        <f>ROUND(SUMIFS(BS_RE33!$H$7:$H$874,BS_RE33!$S$7:$S$874,$AZ$2,BS_RE33!$N$7:$N$874,I60,BS_RE33!$P$7:$P$874,'30 days CF Table(Ccy)'!G60,BS_RE33!$F$7:$F$874,'30 days CF Table(Ccy)'!$C$2),2)</f>
        <v>0</v>
      </c>
      <c r="BA60" s="379">
        <f>ROUND(SUMIFS(BS_RE33!$H$7:$H$874,BS_RE33!$S$7:$S$874,$BA$2,BS_RE33!$N$7:$N$874,I60,BS_RE33!$P$7:$P$874,'30 days CF Table(Ccy)'!G60,BS_RE33!$F$7:$F$874,'30 days CF Table(Ccy)'!$C$2),2)</f>
        <v>0</v>
      </c>
      <c r="BB60" s="379">
        <f>ROUND(SUMIFS(BS_RE33!$H$7:$H$874,BS_RE33!$S$7:$S$874,$BB$2,BS_RE33!$N$7:$N$874,I60,BS_RE33!$P$7:$P$874,'30 days CF Table(Ccy)'!G60,BS_RE33!$F$7:$F$874,'30 days CF Table(Ccy)'!$C$2),2)</f>
        <v>0</v>
      </c>
      <c r="BC60" s="379">
        <f>ROUND(SUMIFS(BS_RE33!$H$7:$H$874,BS_RE33!$S$7:$S$874,$BC$2,BS_RE33!$N$7:$N$874,I60,BS_RE33!$P$7:$P$874,'30 days CF Table(Ccy)'!G60,BS_RE33!$F$7:$F$874,'30 days CF Table(Ccy)'!$C$2),2)</f>
        <v>0</v>
      </c>
      <c r="BD60" s="379">
        <f>ROUND(SUMIFS(BS_RE33!$H$7:$H$874,BS_RE33!$S$7:$S$874,$BD$2,BS_RE33!$N$7:$N$874,I60,BS_RE33!$P$7:$P$874,'30 days CF Table(Ccy)'!G60,BS_RE33!$F$7:$F$874,'30 days CF Table(Ccy)'!$C$2),2)</f>
        <v>0</v>
      </c>
      <c r="BE60" s="379">
        <f>ROUND(SUMIFS(BS_RE33!$H$7:$H$874,BS_RE33!$S$7:$S$874,$BE$2,BS_RE33!$N$7:$N$874,I60,BS_RE33!$P$7:$P$874,'30 days CF Table(Ccy)'!G60,BS_RE33!$F$7:$F$874,'30 days CF Table(Ccy)'!$C$2),2)</f>
        <v>0</v>
      </c>
      <c r="BF60" s="379">
        <f>ROUND(SUMIFS(BS_RE33!$H$7:$H$874,BS_RE33!$S$7:$S$874,$BF$2,BS_RE33!$N$7:$N$874,I60,BS_RE33!$P$7:$P$874,'30 days CF Table(Ccy)'!G60,BS_RE33!$F$7:$F$874,'30 days CF Table(Ccy)'!$C$2),2)</f>
        <v>0</v>
      </c>
      <c r="BG60" s="379">
        <f>ROUND(SUMIFS(BS_RE33!$H$7:$H$874,BS_RE33!$S$7:$S$874,$BG$2,BS_RE33!$N$7:$N$874,I60,BS_RE33!$P$7:$P$874,'30 days CF Table(Ccy)'!G60,BS_RE33!$F$7:$F$874,'30 days CF Table(Ccy)'!$C$2),2)</f>
        <v>0</v>
      </c>
      <c r="BH60" s="379">
        <f>ROUND(SUMIFS(BS_RE33!$H$7:$H$874,BS_RE33!$S$7:$S$874,$BH$2,BS_RE33!$N$7:$N$874,I60,BS_RE33!$P$7:$P$874,'30 days CF Table(Ccy)'!G60,BS_RE33!$F$7:$F$874,'30 days CF Table(Ccy)'!$C$2),2)</f>
        <v>0</v>
      </c>
      <c r="BI60" s="379">
        <f>ROUND(SUMIFS(BS_RE33!$H$7:$H$874,BS_RE33!$S$7:$S$874,$BI$2,BS_RE33!$N$7:$N$874,I60,BS_RE33!$P$7:$P$874,'30 days CF Table(Ccy)'!G60,BS_RE33!$F$7:$F$874,'30 days CF Table(Ccy)'!$C$2),2)</f>
        <v>0</v>
      </c>
      <c r="BJ60" s="379">
        <f>ROUND(SUMIFS(BS_RE33!$H$7:$H$874,BS_RE33!$S$7:$S$874,$BJ$2,BS_RE33!$N$7:$N$874,I60,BS_RE33!$P$7:$P$874,'30 days CF Table(Ccy)'!G60,BS_RE33!$F$7:$F$874,'30 days CF Table(Ccy)'!$C$2),2)</f>
        <v>0</v>
      </c>
      <c r="BK60" s="379">
        <f>ROUND(SUMIFS(BS_RE33!$H$7:$H$874,BS_RE33!$S$7:$S$874,$BK$2,BS_RE33!$N$7:$N$874,I60,BS_RE33!$P$7:$P$874,'30 days CF Table(Ccy)'!G60,BS_RE33!$F$7:$F$874,'30 days CF Table(Ccy)'!$C$2),2)</f>
        <v>0</v>
      </c>
    </row>
    <row r="61" spans="3:63" ht="20.25">
      <c r="C61" s="1027"/>
      <c r="D61" s="519" t="s">
        <v>773</v>
      </c>
      <c r="E61" s="105" t="s">
        <v>772</v>
      </c>
      <c r="F61" s="312"/>
      <c r="G61" s="392" t="s">
        <v>566</v>
      </c>
      <c r="H61" s="317">
        <v>1</v>
      </c>
      <c r="I61" s="315" t="s">
        <v>80</v>
      </c>
      <c r="J61" s="479">
        <f t="shared" si="2"/>
        <v>0</v>
      </c>
      <c r="K61" s="336">
        <f t="shared" si="3"/>
        <v>0</v>
      </c>
      <c r="L61" s="337">
        <f>ROUND(SUMIFS(BS_RE33!$H$7:$H$874,BS_RE33!$S$7:$S$874,$L$2,BS_RE33!$N$7:$N$874,I61,BS_RE33!$P$7:$P$874,'30 days CF Table(Ccy)'!G61,BS_RE33!$F$7:$F$874,'30 days CF Table(Ccy)'!$C$2),2)</f>
        <v>0</v>
      </c>
      <c r="M61" s="337">
        <f>ROUND(SUMIFS(BS_RE33!$H$7:$H$874,BS_RE33!$S$7:$S$874,$M$2,BS_RE33!$N$7:$N$874,I61,BS_RE33!$P$7:$P$874,'30 days CF Table(Ccy)'!G61,BS_RE33!$F$7:$F$874,'30 days CF Table(Ccy)'!$C$2),2)</f>
        <v>0</v>
      </c>
      <c r="N61" s="337">
        <f>ROUND(SUMIFS(BS_RE33!$H$7:$H$874,BS_RE33!$S$7:$S$874,$N$2,BS_RE33!$N$7:$N$874,I61,BS_RE33!$P$7:$P$874,'30 days CF Table(Ccy)'!G61,BS_RE33!$F$7:$F$874,'30 days CF Table(Ccy)'!$C$2),2)</f>
        <v>0</v>
      </c>
      <c r="O61" s="337">
        <f>ROUND(SUMIFS(BS_RE33!$H$7:$H$874,BS_RE33!$S$7:$S$874,$O$2,BS_RE33!$N$7:$N$874,I61,BS_RE33!$P$7:$P$874,'30 days CF Table(Ccy)'!G61,BS_RE33!$F$7:$F$874,'30 days CF Table(Ccy)'!$C$2),2)</f>
        <v>0</v>
      </c>
      <c r="P61" s="337">
        <f>ROUND(SUMIFS(BS_RE33!$H$7:$H$874,BS_RE33!$S$7:$S$874,$P$2,BS_RE33!$N$7:$N$874,I61,BS_RE33!$P$7:$P$874,'30 days CF Table(Ccy)'!G61,BS_RE33!$F$7:$F$874,'30 days CF Table(Ccy)'!$C$2),2)</f>
        <v>0</v>
      </c>
      <c r="Q61" s="337">
        <f>ROUND(SUMIFS(BS_RE33!$H$7:$H$874,BS_RE33!$S$7:$S$874,$Q$2,BS_RE33!$N$7:$N$874,I61,BS_RE33!$P$7:$P$874,'30 days CF Table(Ccy)'!G61,BS_RE33!$F$7:$F$874,'30 days CF Table(Ccy)'!$C$2),2)</f>
        <v>0</v>
      </c>
      <c r="R61" s="337">
        <f>ROUND(SUMIFS(BS_RE33!$H$7:$H$874,BS_RE33!$S$7:$S$874,$R$2,BS_RE33!$N$7:$N$874,I61,BS_RE33!$P$7:$P$874,'30 days CF Table(Ccy)'!G61,BS_RE33!$F$7:$F$874,'30 days CF Table(Ccy)'!$C$2),2)</f>
        <v>0</v>
      </c>
      <c r="S61" s="337">
        <f>ROUND(SUMIFS(BS_RE33!$H$7:$H$874,BS_RE33!$S$7:$S$874,$S$2,BS_RE33!$N$7:$N$874,I61,BS_RE33!$P$7:$P$874,'30 days CF Table(Ccy)'!G61,BS_RE33!$F$7:$F$874,'30 days CF Table(Ccy)'!$C$2),2)</f>
        <v>0</v>
      </c>
      <c r="T61" s="337">
        <f>ROUND(SUMIFS(BS_RE33!$H$7:$H$874,BS_RE33!$S$7:$S$874,$T$2,BS_RE33!$N$7:$N$874,I61,BS_RE33!$P$7:$P$874,'30 days CF Table(Ccy)'!G61,BS_RE33!$F$7:$F$874,'30 days CF Table(Ccy)'!$C$2),2)</f>
        <v>0</v>
      </c>
      <c r="U61" s="337">
        <f>ROUND(SUMIFS(BS_RE33!$H$7:$H$874,BS_RE33!$S$7:$S$874,$U$2,BS_RE33!$N$7:$N$874,I61,BS_RE33!$P$7:$P$874,'30 days CF Table(Ccy)'!G61,BS_RE33!$F$7:$F$874,'30 days CF Table(Ccy)'!$C$2),2)</f>
        <v>0</v>
      </c>
      <c r="V61" s="337">
        <f>ROUND(SUMIFS(BS_RE33!$H$7:$H$874,BS_RE33!$S$7:$S$874,$V$2,BS_RE33!$N$7:$N$874,I61,BS_RE33!$P$7:$P$874,'30 days CF Table(Ccy)'!G61,BS_RE33!$F$7:$F$874,'30 days CF Table(Ccy)'!$C$2),2)</f>
        <v>0</v>
      </c>
      <c r="W61" s="337">
        <f>ROUND(SUMIFS(BS_RE33!$H$7:$H$874,BS_RE33!$S$7:$S$874,$W$2,BS_RE33!$N$7:$N$874,I61,BS_RE33!$P$7:$P$874,'30 days CF Table(Ccy)'!G61,BS_RE33!$F$7:$F$874,'30 days CF Table(Ccy)'!$C$2),2)</f>
        <v>0</v>
      </c>
      <c r="X61" s="337">
        <f>ROUND(SUMIFS(BS_RE33!$H$7:$H$874,BS_RE33!$S$7:$S$874,$X$2,BS_RE33!$N$7:$N$874,I61,BS_RE33!$P$7:$P$874,'30 days CF Table(Ccy)'!G61,BS_RE33!$F$7:$F$874,'30 days CF Table(Ccy)'!$C$2),2)</f>
        <v>0</v>
      </c>
      <c r="Y61" s="337">
        <f>ROUND(SUMIFS(BS_RE33!$H$7:$H$874,BS_RE33!$S$7:$S$874,$Y$2,BS_RE33!$N$7:$N$874,I61,BS_RE33!$P$7:$P$874,'30 days CF Table(Ccy)'!G61,BS_RE33!$F$7:$F$874,'30 days CF Table(Ccy)'!$C$2),2)</f>
        <v>0</v>
      </c>
      <c r="Z61" s="337">
        <f>ROUND(SUMIFS(BS_RE33!$H$7:$H$874,BS_RE33!$S$7:$S$874,$Z$2,BS_RE33!$N$7:$N$874,I61,BS_RE33!$P$7:$P$874,'30 days CF Table(Ccy)'!G61,BS_RE33!$F$7:$F$874,'30 days CF Table(Ccy)'!$C$2),2)</f>
        <v>0</v>
      </c>
      <c r="AA61" s="337">
        <f>ROUND(SUMIFS(BS_RE33!$H$7:$H$874,BS_RE33!$S$7:$S$874,$AA$2,BS_RE33!$N$7:$N$874,I61,BS_RE33!$P$7:$P$874,'30 days CF Table(Ccy)'!G61,BS_RE33!$F$7:$F$874,'30 days CF Table(Ccy)'!$C$2),2)</f>
        <v>0</v>
      </c>
      <c r="AB61" s="337">
        <f>ROUND(SUMIFS(BS_RE33!$H$7:$H$874,BS_RE33!$S$7:$S$874,$AB$2,BS_RE33!$N$7:$N$874,I61,BS_RE33!$P$7:$P$874,'30 days CF Table(Ccy)'!G61,BS_RE33!$F$7:$F$874,'30 days CF Table(Ccy)'!$C$2),2)</f>
        <v>0</v>
      </c>
      <c r="AC61" s="337">
        <f>ROUND(SUMIFS(BS_RE33!$H$7:$H$874,BS_RE33!$S$7:$S$874,$AC$2,BS_RE33!$N$7:$N$874,I61,BS_RE33!$P$7:$P$874,'30 days CF Table(Ccy)'!G61,BS_RE33!$F$7:$F$874,'30 days CF Table(Ccy)'!$C$2),2)</f>
        <v>0</v>
      </c>
      <c r="AD61" s="337">
        <f>ROUND(SUMIFS(BS_RE33!$H$7:$H$874,BS_RE33!$S$7:$S$874,$AD$2,BS_RE33!$N$7:$N$874,I61,BS_RE33!$P$7:$P$874,'30 days CF Table(Ccy)'!G61,BS_RE33!$F$7:$F$874,'30 days CF Table(Ccy)'!$C$2),2)</f>
        <v>0</v>
      </c>
      <c r="AE61" s="337">
        <f>ROUND(SUMIFS(BS_RE33!$H$7:$H$874,BS_RE33!$S$7:$S$874,$AE$2,BS_RE33!$N$7:$N$874,I61,BS_RE33!$P$7:$P$874,'30 days CF Table(Ccy)'!G61,BS_RE33!$F$7:$F$874,'30 days CF Table(Ccy)'!$C$2),2)</f>
        <v>0</v>
      </c>
      <c r="AF61" s="337">
        <f>ROUND(SUMIFS(BS_RE33!$H$7:$H$874,BS_RE33!$S$7:$S$874,$AF$2,BS_RE33!$N$7:$N$874,I61,BS_RE33!$P$7:$P$874,'30 days CF Table(Ccy)'!G61,BS_RE33!$F$7:$F$874,'30 days CF Table(Ccy)'!$C$2),2)</f>
        <v>0</v>
      </c>
      <c r="AG61" s="337">
        <f>ROUND(SUMIFS(BS_RE33!$H$7:$H$874,BS_RE33!$S$7:$S$874,$AG$2,BS_RE33!$N$7:$N$874,I61,BS_RE33!$P$7:$P$874,'30 days CF Table(Ccy)'!G61,BS_RE33!$F$7:$F$874,'30 days CF Table(Ccy)'!$C$2),2)</f>
        <v>0</v>
      </c>
      <c r="AH61" s="337">
        <f>ROUND(SUMIFS(BS_RE33!$H$7:$H$874,BS_RE33!$S$7:$S$874,$AH$2,BS_RE33!$N$7:$N$874,I61,BS_RE33!$P$7:$P$874,'30 days CF Table(Ccy)'!G61,BS_RE33!$F$7:$F$874,'30 days CF Table(Ccy)'!$C$2),2)</f>
        <v>0</v>
      </c>
      <c r="AI61" s="337">
        <f>ROUND(SUMIFS(BS_RE33!$H$7:$H$874,BS_RE33!$S$7:$S$874,$AI$2,BS_RE33!$N$7:$N$874,I61,BS_RE33!$P$7:$P$874,'30 days CF Table(Ccy)'!G61,BS_RE33!$F$7:$F$874,'30 days CF Table(Ccy)'!$C$2),2)</f>
        <v>0</v>
      </c>
      <c r="AJ61" s="337">
        <f>ROUND(SUMIFS(BS_RE33!$H$7:$H$874,BS_RE33!$S$7:$S$874,$AJ$2,BS_RE33!$N$7:$N$874,I61,BS_RE33!$P$7:$P$874,'30 days CF Table(Ccy)'!G61,BS_RE33!$F$7:$F$874,'30 days CF Table(Ccy)'!$C$2),2)</f>
        <v>0</v>
      </c>
      <c r="AK61" s="337">
        <f>ROUND(SUMIFS(BS_RE33!$H$7:$H$874,BS_RE33!$S$7:$S$874,$AK$2,BS_RE33!$N$7:$N$874,I61,BS_RE33!$P$7:$P$874,'30 days CF Table(Ccy)'!G61,BS_RE33!$F$7:$F$874,'30 days CF Table(Ccy)'!$C$2),2)</f>
        <v>0</v>
      </c>
      <c r="AL61" s="337">
        <f>ROUND(SUMIFS(BS_RE33!$H$7:$H$874,BS_RE33!$S$7:$S$874,$AL$2,BS_RE33!$N$7:$N$874,I61,BS_RE33!$P$7:$P$874,'30 days CF Table(Ccy)'!G61,BS_RE33!$F$7:$F$874,'30 days CF Table(Ccy)'!$C$2),2)</f>
        <v>0</v>
      </c>
      <c r="AM61" s="337">
        <f>ROUND(SUMIFS(BS_RE33!$H$7:$H$874,BS_RE33!$S$7:$S$874,$AM$2,BS_RE33!$N$7:$N$874,I61,BS_RE33!$P$7:$P$874,'30 days CF Table(Ccy)'!G61,BS_RE33!$F$7:$F$874,'30 days CF Table(Ccy)'!$C$2),2)</f>
        <v>0</v>
      </c>
      <c r="AN61" s="337">
        <f>ROUND(SUMIFS(BS_RE33!$H$7:$H$874,BS_RE33!$S$7:$S$874,$AN$2,BS_RE33!$N$7:$N$874,I61,BS_RE33!$P$7:$P$874,'30 days CF Table(Ccy)'!G61,BS_RE33!$F$7:$F$874,'30 days CF Table(Ccy)'!$C$2),2)</f>
        <v>0</v>
      </c>
      <c r="AO61" s="337">
        <f>ROUND(SUMIFS(BS_RE33!$H$7:$H$874,BS_RE33!$S$7:$S$874,$AO$2,BS_RE33!$N$7:$N$874,I61,BS_RE33!$P$7:$P$874,'30 days CF Table(Ccy)'!G61,BS_RE33!$F$7:$F$874,'30 days CF Table(Ccy)'!$C$2),2)</f>
        <v>0</v>
      </c>
      <c r="AP61" s="338">
        <f>ROUND(SUMIFS(BS_RE33!$H$7:$H$874,BS_RE33!$S$7:$S$874,$AP$2,BS_RE33!$N$7:$N$874,I61,BS_RE33!$P$7:$P$874,'30 days CF Table(Ccy)'!G61,BS_RE33!$F$7:$F$874,'30 days CF Table(Ccy)'!$C$2),2)</f>
        <v>0</v>
      </c>
      <c r="AR61" s="379">
        <f>ROUND(SUMIFS(BS_RE33!$H$7:$H$874,BS_RE33!$S$7:$S$874,$AR$2,BS_RE33!$N$7:$N$874,I61,BS_RE33!$P$7:$P$874,'30 days CF Table(Ccy)'!G61,BS_RE33!$F$7:$F$874,'30 days CF Table(Ccy)'!$C$2),2)</f>
        <v>0</v>
      </c>
      <c r="AS61" s="379">
        <f>ROUND(SUMIFS(BS_RE33!$H$7:$H$874,BS_RE33!$S$7:$S$874,$AS$2,BS_RE33!$N$7:$N$874,I61,BS_RE33!$P$7:$P$874,'30 days CF Table(Ccy)'!G61,BS_RE33!$F$7:$F$874,'30 days CF Table(Ccy)'!$C$2),2)</f>
        <v>0</v>
      </c>
      <c r="AT61" s="379">
        <f>ROUND(SUMIFS(BS_RE33!$H$7:$H$874,BS_RE33!$S$7:$S$874,$AT$2,BS_RE33!$N$7:$N$874,I61,BS_RE33!$P$7:$P$874,'30 days CF Table(Ccy)'!G61,BS_RE33!$F$7:$F$874,'30 days CF Table(Ccy)'!$C$2),2)</f>
        <v>0</v>
      </c>
      <c r="AU61" s="379">
        <f>ROUND(SUMIFS(BS_RE33!$H$7:$H$874,BS_RE33!$S$7:$S$874,$AU$2,BS_RE33!$N$7:$N$874,I61,BS_RE33!$P$7:$P$874,'30 days CF Table(Ccy)'!G61,BS_RE33!$F$7:$F$874,'30 days CF Table(Ccy)'!$C$2),2)</f>
        <v>0</v>
      </c>
      <c r="AV61" s="379">
        <f>ROUND(SUMIFS(BS_RE33!$H$7:$H$874,BS_RE33!$S$7:$S$874,$AV$2,BS_RE33!$N$7:$N$874,I61,BS_RE33!$P$7:$P$874,'30 days CF Table(Ccy)'!G61,BS_RE33!$F$7:$F$874,'30 days CF Table(Ccy)'!$C$2),2)</f>
        <v>0</v>
      </c>
      <c r="AW61" s="379">
        <f>ROUND(SUMIFS(BS_RE33!$H$7:$H$874,BS_RE33!$S$7:$S$874,$AW$2,BS_RE33!$N$7:$N$874,I61,BS_RE33!$P$7:$P$874,'30 days CF Table(Ccy)'!G61,BS_RE33!$F$7:$F$874,'30 days CF Table(Ccy)'!$C$2),2)</f>
        <v>0</v>
      </c>
      <c r="AX61" s="379">
        <f>ROUND(SUMIFS(BS_RE33!$H$7:$H$874,BS_RE33!$S$7:$S$874,$AX$2,BS_RE33!$N$7:$N$874,I61,BS_RE33!$P$7:$P$874,'30 days CF Table(Ccy)'!G61,BS_RE33!$F$7:$F$874,'30 days CF Table(Ccy)'!$C$2),2)</f>
        <v>0</v>
      </c>
      <c r="AY61" s="379">
        <f>ROUND(SUMIFS(BS_RE33!$H$7:$H$874,BS_RE33!$S$7:$S$874,$AY$2,BS_RE33!$N$7:$N$874,I61,BS_RE33!$P$7:$P$874,'30 days CF Table(Ccy)'!G61,BS_RE33!$F$7:$F$874,'30 days CF Table(Ccy)'!$C$2),2)</f>
        <v>0</v>
      </c>
      <c r="AZ61" s="379">
        <f>ROUND(SUMIFS(BS_RE33!$H$7:$H$874,BS_RE33!$S$7:$S$874,$AZ$2,BS_RE33!$N$7:$N$874,I61,BS_RE33!$P$7:$P$874,'30 days CF Table(Ccy)'!G61,BS_RE33!$F$7:$F$874,'30 days CF Table(Ccy)'!$C$2),2)</f>
        <v>0</v>
      </c>
      <c r="BA61" s="379">
        <f>ROUND(SUMIFS(BS_RE33!$H$7:$H$874,BS_RE33!$S$7:$S$874,$BA$2,BS_RE33!$N$7:$N$874,I61,BS_RE33!$P$7:$P$874,'30 days CF Table(Ccy)'!G61,BS_RE33!$F$7:$F$874,'30 days CF Table(Ccy)'!$C$2),2)</f>
        <v>0</v>
      </c>
      <c r="BB61" s="379">
        <f>ROUND(SUMIFS(BS_RE33!$H$7:$H$874,BS_RE33!$S$7:$S$874,$BB$2,BS_RE33!$N$7:$N$874,I61,BS_RE33!$P$7:$P$874,'30 days CF Table(Ccy)'!G61,BS_RE33!$F$7:$F$874,'30 days CF Table(Ccy)'!$C$2),2)</f>
        <v>0</v>
      </c>
      <c r="BC61" s="379">
        <f>ROUND(SUMIFS(BS_RE33!$H$7:$H$874,BS_RE33!$S$7:$S$874,$BC$2,BS_RE33!$N$7:$N$874,I61,BS_RE33!$P$7:$P$874,'30 days CF Table(Ccy)'!G61,BS_RE33!$F$7:$F$874,'30 days CF Table(Ccy)'!$C$2),2)</f>
        <v>0</v>
      </c>
      <c r="BD61" s="379">
        <f>ROUND(SUMIFS(BS_RE33!$H$7:$H$874,BS_RE33!$S$7:$S$874,$BD$2,BS_RE33!$N$7:$N$874,I61,BS_RE33!$P$7:$P$874,'30 days CF Table(Ccy)'!G61,BS_RE33!$F$7:$F$874,'30 days CF Table(Ccy)'!$C$2),2)</f>
        <v>0</v>
      </c>
      <c r="BE61" s="379">
        <f>ROUND(SUMIFS(BS_RE33!$H$7:$H$874,BS_RE33!$S$7:$S$874,$BE$2,BS_RE33!$N$7:$N$874,I61,BS_RE33!$P$7:$P$874,'30 days CF Table(Ccy)'!G61,BS_RE33!$F$7:$F$874,'30 days CF Table(Ccy)'!$C$2),2)</f>
        <v>0</v>
      </c>
      <c r="BF61" s="379">
        <f>ROUND(SUMIFS(BS_RE33!$H$7:$H$874,BS_RE33!$S$7:$S$874,$BF$2,BS_RE33!$N$7:$N$874,I61,BS_RE33!$P$7:$P$874,'30 days CF Table(Ccy)'!G61,BS_RE33!$F$7:$F$874,'30 days CF Table(Ccy)'!$C$2),2)</f>
        <v>0</v>
      </c>
      <c r="BG61" s="379">
        <f>ROUND(SUMIFS(BS_RE33!$H$7:$H$874,BS_RE33!$S$7:$S$874,$BG$2,BS_RE33!$N$7:$N$874,I61,BS_RE33!$P$7:$P$874,'30 days CF Table(Ccy)'!G61,BS_RE33!$F$7:$F$874,'30 days CF Table(Ccy)'!$C$2),2)</f>
        <v>0</v>
      </c>
      <c r="BH61" s="379">
        <f>ROUND(SUMIFS(BS_RE33!$H$7:$H$874,BS_RE33!$S$7:$S$874,$BH$2,BS_RE33!$N$7:$N$874,I61,BS_RE33!$P$7:$P$874,'30 days CF Table(Ccy)'!G61,BS_RE33!$F$7:$F$874,'30 days CF Table(Ccy)'!$C$2),2)</f>
        <v>0</v>
      </c>
      <c r="BI61" s="379">
        <f>ROUND(SUMIFS(BS_RE33!$H$7:$H$874,BS_RE33!$S$7:$S$874,$BI$2,BS_RE33!$N$7:$N$874,I61,BS_RE33!$P$7:$P$874,'30 days CF Table(Ccy)'!G61,BS_RE33!$F$7:$F$874,'30 days CF Table(Ccy)'!$C$2),2)</f>
        <v>0</v>
      </c>
      <c r="BJ61" s="379">
        <f>ROUND(SUMIFS(BS_RE33!$H$7:$H$874,BS_RE33!$S$7:$S$874,$BJ$2,BS_RE33!$N$7:$N$874,I61,BS_RE33!$P$7:$P$874,'30 days CF Table(Ccy)'!G61,BS_RE33!$F$7:$F$874,'30 days CF Table(Ccy)'!$C$2),2)</f>
        <v>0</v>
      </c>
      <c r="BK61" s="379">
        <f>ROUND(SUMIFS(BS_RE33!$H$7:$H$874,BS_RE33!$S$7:$S$874,$BK$2,BS_RE33!$N$7:$N$874,I61,BS_RE33!$P$7:$P$874,'30 days CF Table(Ccy)'!G61,BS_RE33!$F$7:$F$874,'30 days CF Table(Ccy)'!$C$2),2)</f>
        <v>0</v>
      </c>
    </row>
    <row r="62" spans="3:63">
      <c r="C62" s="1027"/>
      <c r="D62" s="1028" t="s">
        <v>774</v>
      </c>
      <c r="E62" s="108" t="s">
        <v>99</v>
      </c>
      <c r="F62" s="312"/>
      <c r="G62" s="392" t="s">
        <v>538</v>
      </c>
      <c r="H62" s="317">
        <v>0</v>
      </c>
      <c r="I62" s="315" t="s">
        <v>80</v>
      </c>
      <c r="J62" s="479">
        <f t="shared" si="2"/>
        <v>0</v>
      </c>
      <c r="K62" s="336">
        <f t="shared" si="3"/>
        <v>0</v>
      </c>
      <c r="L62" s="337">
        <f>ROUND(SUMIFS(BS_RE33!$H$7:$H$874,BS_RE33!$S$7:$S$874,$L$2,BS_RE33!$N$7:$N$874,I62,BS_RE33!$P$7:$P$874,'30 days CF Table(Ccy)'!G62,BS_RE33!$F$7:$F$874,'30 days CF Table(Ccy)'!$C$2),2)</f>
        <v>0</v>
      </c>
      <c r="M62" s="337">
        <f>ROUND(SUMIFS(BS_RE33!$H$7:$H$874,BS_RE33!$S$7:$S$874,$M$2,BS_RE33!$N$7:$N$874,I62,BS_RE33!$P$7:$P$874,'30 days CF Table(Ccy)'!G62,BS_RE33!$F$7:$F$874,'30 days CF Table(Ccy)'!$C$2),2)</f>
        <v>0</v>
      </c>
      <c r="N62" s="337">
        <f>ROUND(SUMIFS(BS_RE33!$H$7:$H$874,BS_RE33!$S$7:$S$874,$N$2,BS_RE33!$N$7:$N$874,I62,BS_RE33!$P$7:$P$874,'30 days CF Table(Ccy)'!G62,BS_RE33!$F$7:$F$874,'30 days CF Table(Ccy)'!$C$2),2)</f>
        <v>0</v>
      </c>
      <c r="O62" s="337">
        <f>ROUND(SUMIFS(BS_RE33!$H$7:$H$874,BS_RE33!$S$7:$S$874,$O$2,BS_RE33!$N$7:$N$874,I62,BS_RE33!$P$7:$P$874,'30 days CF Table(Ccy)'!G62,BS_RE33!$F$7:$F$874,'30 days CF Table(Ccy)'!$C$2),2)</f>
        <v>0</v>
      </c>
      <c r="P62" s="337">
        <f>ROUND(SUMIFS(BS_RE33!$H$7:$H$874,BS_RE33!$S$7:$S$874,$P$2,BS_RE33!$N$7:$N$874,I62,BS_RE33!$P$7:$P$874,'30 days CF Table(Ccy)'!G62,BS_RE33!$F$7:$F$874,'30 days CF Table(Ccy)'!$C$2),2)</f>
        <v>0</v>
      </c>
      <c r="Q62" s="337">
        <f>ROUND(SUMIFS(BS_RE33!$H$7:$H$874,BS_RE33!$S$7:$S$874,$Q$2,BS_RE33!$N$7:$N$874,I62,BS_RE33!$P$7:$P$874,'30 days CF Table(Ccy)'!G62,BS_RE33!$F$7:$F$874,'30 days CF Table(Ccy)'!$C$2),2)</f>
        <v>0</v>
      </c>
      <c r="R62" s="337">
        <f>ROUND(SUMIFS(BS_RE33!$H$7:$H$874,BS_RE33!$S$7:$S$874,$R$2,BS_RE33!$N$7:$N$874,I62,BS_RE33!$P$7:$P$874,'30 days CF Table(Ccy)'!G62,BS_RE33!$F$7:$F$874,'30 days CF Table(Ccy)'!$C$2),2)</f>
        <v>0</v>
      </c>
      <c r="S62" s="337">
        <f>ROUND(SUMIFS(BS_RE33!$H$7:$H$874,BS_RE33!$S$7:$S$874,$S$2,BS_RE33!$N$7:$N$874,I62,BS_RE33!$P$7:$P$874,'30 days CF Table(Ccy)'!G62,BS_RE33!$F$7:$F$874,'30 days CF Table(Ccy)'!$C$2),2)</f>
        <v>0</v>
      </c>
      <c r="T62" s="337">
        <f>ROUND(SUMIFS(BS_RE33!$H$7:$H$874,BS_RE33!$S$7:$S$874,$T$2,BS_RE33!$N$7:$N$874,I62,BS_RE33!$P$7:$P$874,'30 days CF Table(Ccy)'!G62,BS_RE33!$F$7:$F$874,'30 days CF Table(Ccy)'!$C$2),2)</f>
        <v>0</v>
      </c>
      <c r="U62" s="337">
        <f>ROUND(SUMIFS(BS_RE33!$H$7:$H$874,BS_RE33!$S$7:$S$874,$U$2,BS_RE33!$N$7:$N$874,I62,BS_RE33!$P$7:$P$874,'30 days CF Table(Ccy)'!G62,BS_RE33!$F$7:$F$874,'30 days CF Table(Ccy)'!$C$2),2)</f>
        <v>0</v>
      </c>
      <c r="V62" s="337">
        <f>ROUND(SUMIFS(BS_RE33!$H$7:$H$874,BS_RE33!$S$7:$S$874,$V$2,BS_RE33!$N$7:$N$874,I62,BS_RE33!$P$7:$P$874,'30 days CF Table(Ccy)'!G62,BS_RE33!$F$7:$F$874,'30 days CF Table(Ccy)'!$C$2),2)</f>
        <v>0</v>
      </c>
      <c r="W62" s="337">
        <f>ROUND(SUMIFS(BS_RE33!$H$7:$H$874,BS_RE33!$S$7:$S$874,$W$2,BS_RE33!$N$7:$N$874,I62,BS_RE33!$P$7:$P$874,'30 days CF Table(Ccy)'!G62,BS_RE33!$F$7:$F$874,'30 days CF Table(Ccy)'!$C$2),2)</f>
        <v>0</v>
      </c>
      <c r="X62" s="337">
        <f>ROUND(SUMIFS(BS_RE33!$H$7:$H$874,BS_RE33!$S$7:$S$874,$X$2,BS_RE33!$N$7:$N$874,I62,BS_RE33!$P$7:$P$874,'30 days CF Table(Ccy)'!G62,BS_RE33!$F$7:$F$874,'30 days CF Table(Ccy)'!$C$2),2)</f>
        <v>0</v>
      </c>
      <c r="Y62" s="337">
        <f>ROUND(SUMIFS(BS_RE33!$H$7:$H$874,BS_RE33!$S$7:$S$874,$Y$2,BS_RE33!$N$7:$N$874,I62,BS_RE33!$P$7:$P$874,'30 days CF Table(Ccy)'!G62,BS_RE33!$F$7:$F$874,'30 days CF Table(Ccy)'!$C$2),2)</f>
        <v>0</v>
      </c>
      <c r="Z62" s="337">
        <f>ROUND(SUMIFS(BS_RE33!$H$7:$H$874,BS_RE33!$S$7:$S$874,$Z$2,BS_RE33!$N$7:$N$874,I62,BS_RE33!$P$7:$P$874,'30 days CF Table(Ccy)'!G62,BS_RE33!$F$7:$F$874,'30 days CF Table(Ccy)'!$C$2),2)</f>
        <v>0</v>
      </c>
      <c r="AA62" s="337">
        <f>ROUND(SUMIFS(BS_RE33!$H$7:$H$874,BS_RE33!$S$7:$S$874,$AA$2,BS_RE33!$N$7:$N$874,I62,BS_RE33!$P$7:$P$874,'30 days CF Table(Ccy)'!G62,BS_RE33!$F$7:$F$874,'30 days CF Table(Ccy)'!$C$2),2)</f>
        <v>0</v>
      </c>
      <c r="AB62" s="337">
        <f>ROUND(SUMIFS(BS_RE33!$H$7:$H$874,BS_RE33!$S$7:$S$874,$AB$2,BS_RE33!$N$7:$N$874,I62,BS_RE33!$P$7:$P$874,'30 days CF Table(Ccy)'!G62,BS_RE33!$F$7:$F$874,'30 days CF Table(Ccy)'!$C$2),2)</f>
        <v>0</v>
      </c>
      <c r="AC62" s="337">
        <f>ROUND(SUMIFS(BS_RE33!$H$7:$H$874,BS_RE33!$S$7:$S$874,$AC$2,BS_RE33!$N$7:$N$874,I62,BS_RE33!$P$7:$P$874,'30 days CF Table(Ccy)'!G62,BS_RE33!$F$7:$F$874,'30 days CF Table(Ccy)'!$C$2),2)</f>
        <v>0</v>
      </c>
      <c r="AD62" s="337">
        <f>ROUND(SUMIFS(BS_RE33!$H$7:$H$874,BS_RE33!$S$7:$S$874,$AD$2,BS_RE33!$N$7:$N$874,I62,BS_RE33!$P$7:$P$874,'30 days CF Table(Ccy)'!G62,BS_RE33!$F$7:$F$874,'30 days CF Table(Ccy)'!$C$2),2)</f>
        <v>0</v>
      </c>
      <c r="AE62" s="337">
        <f>ROUND(SUMIFS(BS_RE33!$H$7:$H$874,BS_RE33!$S$7:$S$874,$AE$2,BS_RE33!$N$7:$N$874,I62,BS_RE33!$P$7:$P$874,'30 days CF Table(Ccy)'!G62,BS_RE33!$F$7:$F$874,'30 days CF Table(Ccy)'!$C$2),2)</f>
        <v>0</v>
      </c>
      <c r="AF62" s="337">
        <f>ROUND(SUMIFS(BS_RE33!$H$7:$H$874,BS_RE33!$S$7:$S$874,$AF$2,BS_RE33!$N$7:$N$874,I62,BS_RE33!$P$7:$P$874,'30 days CF Table(Ccy)'!G62,BS_RE33!$F$7:$F$874,'30 days CF Table(Ccy)'!$C$2),2)</f>
        <v>0</v>
      </c>
      <c r="AG62" s="337">
        <f>ROUND(SUMIFS(BS_RE33!$H$7:$H$874,BS_RE33!$S$7:$S$874,$AG$2,BS_RE33!$N$7:$N$874,I62,BS_RE33!$P$7:$P$874,'30 days CF Table(Ccy)'!G62,BS_RE33!$F$7:$F$874,'30 days CF Table(Ccy)'!$C$2),2)</f>
        <v>0</v>
      </c>
      <c r="AH62" s="337">
        <f>ROUND(SUMIFS(BS_RE33!$H$7:$H$874,BS_RE33!$S$7:$S$874,$AH$2,BS_RE33!$N$7:$N$874,I62,BS_RE33!$P$7:$P$874,'30 days CF Table(Ccy)'!G62,BS_RE33!$F$7:$F$874,'30 days CF Table(Ccy)'!$C$2),2)</f>
        <v>0</v>
      </c>
      <c r="AI62" s="337">
        <f>ROUND(SUMIFS(BS_RE33!$H$7:$H$874,BS_RE33!$S$7:$S$874,$AI$2,BS_RE33!$N$7:$N$874,I62,BS_RE33!$P$7:$P$874,'30 days CF Table(Ccy)'!G62,BS_RE33!$F$7:$F$874,'30 days CF Table(Ccy)'!$C$2),2)</f>
        <v>0</v>
      </c>
      <c r="AJ62" s="337">
        <f>ROUND(SUMIFS(BS_RE33!$H$7:$H$874,BS_RE33!$S$7:$S$874,$AJ$2,BS_RE33!$N$7:$N$874,I62,BS_RE33!$P$7:$P$874,'30 days CF Table(Ccy)'!G62,BS_RE33!$F$7:$F$874,'30 days CF Table(Ccy)'!$C$2),2)</f>
        <v>0</v>
      </c>
      <c r="AK62" s="337">
        <f>ROUND(SUMIFS(BS_RE33!$H$7:$H$874,BS_RE33!$S$7:$S$874,$AK$2,BS_RE33!$N$7:$N$874,I62,BS_RE33!$P$7:$P$874,'30 days CF Table(Ccy)'!G62,BS_RE33!$F$7:$F$874,'30 days CF Table(Ccy)'!$C$2),2)</f>
        <v>0</v>
      </c>
      <c r="AL62" s="337">
        <f>ROUND(SUMIFS(BS_RE33!$H$7:$H$874,BS_RE33!$S$7:$S$874,$AL$2,BS_RE33!$N$7:$N$874,I62,BS_RE33!$P$7:$P$874,'30 days CF Table(Ccy)'!G62,BS_RE33!$F$7:$F$874,'30 days CF Table(Ccy)'!$C$2),2)</f>
        <v>0</v>
      </c>
      <c r="AM62" s="337">
        <f>ROUND(SUMIFS(BS_RE33!$H$7:$H$874,BS_RE33!$S$7:$S$874,$AM$2,BS_RE33!$N$7:$N$874,I62,BS_RE33!$P$7:$P$874,'30 days CF Table(Ccy)'!G62,BS_RE33!$F$7:$F$874,'30 days CF Table(Ccy)'!$C$2),2)</f>
        <v>0</v>
      </c>
      <c r="AN62" s="337">
        <f>ROUND(SUMIFS(BS_RE33!$H$7:$H$874,BS_RE33!$S$7:$S$874,$AN$2,BS_RE33!$N$7:$N$874,I62,BS_RE33!$P$7:$P$874,'30 days CF Table(Ccy)'!G62,BS_RE33!$F$7:$F$874,'30 days CF Table(Ccy)'!$C$2),2)</f>
        <v>0</v>
      </c>
      <c r="AO62" s="337">
        <f>ROUND(SUMIFS(BS_RE33!$H$7:$H$874,BS_RE33!$S$7:$S$874,$AO$2,BS_RE33!$N$7:$N$874,I62,BS_RE33!$P$7:$P$874,'30 days CF Table(Ccy)'!G62,BS_RE33!$F$7:$F$874,'30 days CF Table(Ccy)'!$C$2),2)</f>
        <v>0</v>
      </c>
      <c r="AP62" s="338">
        <f>ROUND(SUMIFS(BS_RE33!$H$7:$H$874,BS_RE33!$S$7:$S$874,$AP$2,BS_RE33!$N$7:$N$874,I62,BS_RE33!$P$7:$P$874,'30 days CF Table(Ccy)'!G62,BS_RE33!$F$7:$F$874,'30 days CF Table(Ccy)'!$C$2),2)</f>
        <v>0</v>
      </c>
      <c r="AR62" s="379">
        <f>ROUND(SUMIFS(BS_RE33!$H$7:$H$874,BS_RE33!$S$7:$S$874,$AR$2,BS_RE33!$N$7:$N$874,I62,BS_RE33!$P$7:$P$874,'30 days CF Table(Ccy)'!G62,BS_RE33!$F$7:$F$874,'30 days CF Table(Ccy)'!$C$2),2)</f>
        <v>0</v>
      </c>
      <c r="AS62" s="379">
        <f>ROUND(SUMIFS(BS_RE33!$H$7:$H$874,BS_RE33!$S$7:$S$874,$AS$2,BS_RE33!$N$7:$N$874,I62,BS_RE33!$P$7:$P$874,'30 days CF Table(Ccy)'!G62,BS_RE33!$F$7:$F$874,'30 days CF Table(Ccy)'!$C$2),2)</f>
        <v>0</v>
      </c>
      <c r="AT62" s="379">
        <f>ROUND(SUMIFS(BS_RE33!$H$7:$H$874,BS_RE33!$S$7:$S$874,$AT$2,BS_RE33!$N$7:$N$874,I62,BS_RE33!$P$7:$P$874,'30 days CF Table(Ccy)'!G62,BS_RE33!$F$7:$F$874,'30 days CF Table(Ccy)'!$C$2),2)</f>
        <v>0</v>
      </c>
      <c r="AU62" s="379">
        <f>ROUND(SUMIFS(BS_RE33!$H$7:$H$874,BS_RE33!$S$7:$S$874,$AU$2,BS_RE33!$N$7:$N$874,I62,BS_RE33!$P$7:$P$874,'30 days CF Table(Ccy)'!G62,BS_RE33!$F$7:$F$874,'30 days CF Table(Ccy)'!$C$2),2)</f>
        <v>0</v>
      </c>
      <c r="AV62" s="379">
        <f>ROUND(SUMIFS(BS_RE33!$H$7:$H$874,BS_RE33!$S$7:$S$874,$AV$2,BS_RE33!$N$7:$N$874,I62,BS_RE33!$P$7:$P$874,'30 days CF Table(Ccy)'!G62,BS_RE33!$F$7:$F$874,'30 days CF Table(Ccy)'!$C$2),2)</f>
        <v>0</v>
      </c>
      <c r="AW62" s="379">
        <f>ROUND(SUMIFS(BS_RE33!$H$7:$H$874,BS_RE33!$S$7:$S$874,$AW$2,BS_RE33!$N$7:$N$874,I62,BS_RE33!$P$7:$P$874,'30 days CF Table(Ccy)'!G62,BS_RE33!$F$7:$F$874,'30 days CF Table(Ccy)'!$C$2),2)</f>
        <v>0</v>
      </c>
      <c r="AX62" s="379">
        <f>ROUND(SUMIFS(BS_RE33!$H$7:$H$874,BS_RE33!$S$7:$S$874,$AX$2,BS_RE33!$N$7:$N$874,I62,BS_RE33!$P$7:$P$874,'30 days CF Table(Ccy)'!G62,BS_RE33!$F$7:$F$874,'30 days CF Table(Ccy)'!$C$2),2)</f>
        <v>0</v>
      </c>
      <c r="AY62" s="379">
        <f>ROUND(SUMIFS(BS_RE33!$H$7:$H$874,BS_RE33!$S$7:$S$874,$AY$2,BS_RE33!$N$7:$N$874,I62,BS_RE33!$P$7:$P$874,'30 days CF Table(Ccy)'!G62,BS_RE33!$F$7:$F$874,'30 days CF Table(Ccy)'!$C$2),2)</f>
        <v>0</v>
      </c>
      <c r="AZ62" s="379">
        <f>ROUND(SUMIFS(BS_RE33!$H$7:$H$874,BS_RE33!$S$7:$S$874,$AZ$2,BS_RE33!$N$7:$N$874,I62,BS_RE33!$P$7:$P$874,'30 days CF Table(Ccy)'!G62,BS_RE33!$F$7:$F$874,'30 days CF Table(Ccy)'!$C$2),2)</f>
        <v>0</v>
      </c>
      <c r="BA62" s="379">
        <f>ROUND(SUMIFS(BS_RE33!$H$7:$H$874,BS_RE33!$S$7:$S$874,$BA$2,BS_RE33!$N$7:$N$874,I62,BS_RE33!$P$7:$P$874,'30 days CF Table(Ccy)'!G62,BS_RE33!$F$7:$F$874,'30 days CF Table(Ccy)'!$C$2),2)</f>
        <v>0</v>
      </c>
      <c r="BB62" s="379">
        <f>ROUND(SUMIFS(BS_RE33!$H$7:$H$874,BS_RE33!$S$7:$S$874,$BB$2,BS_RE33!$N$7:$N$874,I62,BS_RE33!$P$7:$P$874,'30 days CF Table(Ccy)'!G62,BS_RE33!$F$7:$F$874,'30 days CF Table(Ccy)'!$C$2),2)</f>
        <v>0</v>
      </c>
      <c r="BC62" s="379">
        <f>ROUND(SUMIFS(BS_RE33!$H$7:$H$874,BS_RE33!$S$7:$S$874,$BC$2,BS_RE33!$N$7:$N$874,I62,BS_RE33!$P$7:$P$874,'30 days CF Table(Ccy)'!G62,BS_RE33!$F$7:$F$874,'30 days CF Table(Ccy)'!$C$2),2)</f>
        <v>0</v>
      </c>
      <c r="BD62" s="379">
        <f>ROUND(SUMIFS(BS_RE33!$H$7:$H$874,BS_RE33!$S$7:$S$874,$BD$2,BS_RE33!$N$7:$N$874,I62,BS_RE33!$P$7:$P$874,'30 days CF Table(Ccy)'!G62,BS_RE33!$F$7:$F$874,'30 days CF Table(Ccy)'!$C$2),2)</f>
        <v>0</v>
      </c>
      <c r="BE62" s="379">
        <f>ROUND(SUMIFS(BS_RE33!$H$7:$H$874,BS_RE33!$S$7:$S$874,$BE$2,BS_RE33!$N$7:$N$874,I62,BS_RE33!$P$7:$P$874,'30 days CF Table(Ccy)'!G62,BS_RE33!$F$7:$F$874,'30 days CF Table(Ccy)'!$C$2),2)</f>
        <v>0</v>
      </c>
      <c r="BF62" s="379">
        <f>ROUND(SUMIFS(BS_RE33!$H$7:$H$874,BS_RE33!$S$7:$S$874,$BF$2,BS_RE33!$N$7:$N$874,I62,BS_RE33!$P$7:$P$874,'30 days CF Table(Ccy)'!G62,BS_RE33!$F$7:$F$874,'30 days CF Table(Ccy)'!$C$2),2)</f>
        <v>0</v>
      </c>
      <c r="BG62" s="379">
        <f>ROUND(SUMIFS(BS_RE33!$H$7:$H$874,BS_RE33!$S$7:$S$874,$BG$2,BS_RE33!$N$7:$N$874,I62,BS_RE33!$P$7:$P$874,'30 days CF Table(Ccy)'!G62,BS_RE33!$F$7:$F$874,'30 days CF Table(Ccy)'!$C$2),2)</f>
        <v>0</v>
      </c>
      <c r="BH62" s="379">
        <f>ROUND(SUMIFS(BS_RE33!$H$7:$H$874,BS_RE33!$S$7:$S$874,$BH$2,BS_RE33!$N$7:$N$874,I62,BS_RE33!$P$7:$P$874,'30 days CF Table(Ccy)'!G62,BS_RE33!$F$7:$F$874,'30 days CF Table(Ccy)'!$C$2),2)</f>
        <v>0</v>
      </c>
      <c r="BI62" s="379">
        <f>ROUND(SUMIFS(BS_RE33!$H$7:$H$874,BS_RE33!$S$7:$S$874,$BI$2,BS_RE33!$N$7:$N$874,I62,BS_RE33!$P$7:$P$874,'30 days CF Table(Ccy)'!G62,BS_RE33!$F$7:$F$874,'30 days CF Table(Ccy)'!$C$2),2)</f>
        <v>0</v>
      </c>
      <c r="BJ62" s="379">
        <f>ROUND(SUMIFS(BS_RE33!$H$7:$H$874,BS_RE33!$S$7:$S$874,$BJ$2,BS_RE33!$N$7:$N$874,I62,BS_RE33!$P$7:$P$874,'30 days CF Table(Ccy)'!G62,BS_RE33!$F$7:$F$874,'30 days CF Table(Ccy)'!$C$2),2)</f>
        <v>0</v>
      </c>
      <c r="BK62" s="379">
        <f>ROUND(SUMIFS(BS_RE33!$H$7:$H$874,BS_RE33!$S$7:$S$874,$BK$2,BS_RE33!$N$7:$N$874,I62,BS_RE33!$P$7:$P$874,'30 days CF Table(Ccy)'!G62,BS_RE33!$F$7:$F$874,'30 days CF Table(Ccy)'!$C$2),2)</f>
        <v>0</v>
      </c>
    </row>
    <row r="63" spans="3:63">
      <c r="C63" s="1027"/>
      <c r="D63" s="1028"/>
      <c r="E63" s="108" t="s">
        <v>100</v>
      </c>
      <c r="F63" s="312"/>
      <c r="G63" s="392" t="s">
        <v>539</v>
      </c>
      <c r="H63" s="317">
        <v>0</v>
      </c>
      <c r="I63" s="315" t="s">
        <v>80</v>
      </c>
      <c r="J63" s="479">
        <f t="shared" si="2"/>
        <v>0</v>
      </c>
      <c r="K63" s="336">
        <f t="shared" si="3"/>
        <v>0</v>
      </c>
      <c r="L63" s="337">
        <f>ROUND(SUMIFS(BS_RE33!$H$7:$H$874,BS_RE33!$S$7:$S$874,$L$2,BS_RE33!$N$7:$N$874,I63,BS_RE33!$P$7:$P$874,'30 days CF Table(Ccy)'!G63,BS_RE33!$F$7:$F$874,'30 days CF Table(Ccy)'!$C$2),2)</f>
        <v>0</v>
      </c>
      <c r="M63" s="337">
        <f>ROUND(SUMIFS(BS_RE33!$H$7:$H$874,BS_RE33!$S$7:$S$874,$M$2,BS_RE33!$N$7:$N$874,I63,BS_RE33!$P$7:$P$874,'30 days CF Table(Ccy)'!G63,BS_RE33!$F$7:$F$874,'30 days CF Table(Ccy)'!$C$2),2)</f>
        <v>0</v>
      </c>
      <c r="N63" s="337">
        <f>ROUND(SUMIFS(BS_RE33!$H$7:$H$874,BS_RE33!$S$7:$S$874,$N$2,BS_RE33!$N$7:$N$874,I63,BS_RE33!$P$7:$P$874,'30 days CF Table(Ccy)'!G63,BS_RE33!$F$7:$F$874,'30 days CF Table(Ccy)'!$C$2),2)</f>
        <v>0</v>
      </c>
      <c r="O63" s="337">
        <f>ROUND(SUMIFS(BS_RE33!$H$7:$H$874,BS_RE33!$S$7:$S$874,$O$2,BS_RE33!$N$7:$N$874,I63,BS_RE33!$P$7:$P$874,'30 days CF Table(Ccy)'!G63,BS_RE33!$F$7:$F$874,'30 days CF Table(Ccy)'!$C$2),2)</f>
        <v>0</v>
      </c>
      <c r="P63" s="337">
        <f>ROUND(SUMIFS(BS_RE33!$H$7:$H$874,BS_RE33!$S$7:$S$874,$P$2,BS_RE33!$N$7:$N$874,I63,BS_RE33!$P$7:$P$874,'30 days CF Table(Ccy)'!G63,BS_RE33!$F$7:$F$874,'30 days CF Table(Ccy)'!$C$2),2)</f>
        <v>0</v>
      </c>
      <c r="Q63" s="337">
        <f>ROUND(SUMIFS(BS_RE33!$H$7:$H$874,BS_RE33!$S$7:$S$874,$Q$2,BS_RE33!$N$7:$N$874,I63,BS_RE33!$P$7:$P$874,'30 days CF Table(Ccy)'!G63,BS_RE33!$F$7:$F$874,'30 days CF Table(Ccy)'!$C$2),2)</f>
        <v>0</v>
      </c>
      <c r="R63" s="337">
        <f>ROUND(SUMIFS(BS_RE33!$H$7:$H$874,BS_RE33!$S$7:$S$874,$R$2,BS_RE33!$N$7:$N$874,I63,BS_RE33!$P$7:$P$874,'30 days CF Table(Ccy)'!G63,BS_RE33!$F$7:$F$874,'30 days CF Table(Ccy)'!$C$2),2)</f>
        <v>0</v>
      </c>
      <c r="S63" s="337">
        <f>ROUND(SUMIFS(BS_RE33!$H$7:$H$874,BS_RE33!$S$7:$S$874,$S$2,BS_RE33!$N$7:$N$874,I63,BS_RE33!$P$7:$P$874,'30 days CF Table(Ccy)'!G63,BS_RE33!$F$7:$F$874,'30 days CF Table(Ccy)'!$C$2),2)</f>
        <v>0</v>
      </c>
      <c r="T63" s="337">
        <f>ROUND(SUMIFS(BS_RE33!$H$7:$H$874,BS_RE33!$S$7:$S$874,$T$2,BS_RE33!$N$7:$N$874,I63,BS_RE33!$P$7:$P$874,'30 days CF Table(Ccy)'!G63,BS_RE33!$F$7:$F$874,'30 days CF Table(Ccy)'!$C$2),2)</f>
        <v>0</v>
      </c>
      <c r="U63" s="337">
        <f>ROUND(SUMIFS(BS_RE33!$H$7:$H$874,BS_RE33!$S$7:$S$874,$U$2,BS_RE33!$N$7:$N$874,I63,BS_RE33!$P$7:$P$874,'30 days CF Table(Ccy)'!G63,BS_RE33!$F$7:$F$874,'30 days CF Table(Ccy)'!$C$2),2)</f>
        <v>0</v>
      </c>
      <c r="V63" s="337">
        <f>ROUND(SUMIFS(BS_RE33!$H$7:$H$874,BS_RE33!$S$7:$S$874,$V$2,BS_RE33!$N$7:$N$874,I63,BS_RE33!$P$7:$P$874,'30 days CF Table(Ccy)'!G63,BS_RE33!$F$7:$F$874,'30 days CF Table(Ccy)'!$C$2),2)</f>
        <v>0</v>
      </c>
      <c r="W63" s="337">
        <f>ROUND(SUMIFS(BS_RE33!$H$7:$H$874,BS_RE33!$S$7:$S$874,$W$2,BS_RE33!$N$7:$N$874,I63,BS_RE33!$P$7:$P$874,'30 days CF Table(Ccy)'!G63,BS_RE33!$F$7:$F$874,'30 days CF Table(Ccy)'!$C$2),2)</f>
        <v>0</v>
      </c>
      <c r="X63" s="337">
        <f>ROUND(SUMIFS(BS_RE33!$H$7:$H$874,BS_RE33!$S$7:$S$874,$X$2,BS_RE33!$N$7:$N$874,I63,BS_RE33!$P$7:$P$874,'30 days CF Table(Ccy)'!G63,BS_RE33!$F$7:$F$874,'30 days CF Table(Ccy)'!$C$2),2)</f>
        <v>0</v>
      </c>
      <c r="Y63" s="337">
        <f>ROUND(SUMIFS(BS_RE33!$H$7:$H$874,BS_RE33!$S$7:$S$874,$Y$2,BS_RE33!$N$7:$N$874,I63,BS_RE33!$P$7:$P$874,'30 days CF Table(Ccy)'!G63,BS_RE33!$F$7:$F$874,'30 days CF Table(Ccy)'!$C$2),2)</f>
        <v>0</v>
      </c>
      <c r="Z63" s="337">
        <f>ROUND(SUMIFS(BS_RE33!$H$7:$H$874,BS_RE33!$S$7:$S$874,$Z$2,BS_RE33!$N$7:$N$874,I63,BS_RE33!$P$7:$P$874,'30 days CF Table(Ccy)'!G63,BS_RE33!$F$7:$F$874,'30 days CF Table(Ccy)'!$C$2),2)</f>
        <v>0</v>
      </c>
      <c r="AA63" s="337">
        <f>ROUND(SUMIFS(BS_RE33!$H$7:$H$874,BS_RE33!$S$7:$S$874,$AA$2,BS_RE33!$N$7:$N$874,I63,BS_RE33!$P$7:$P$874,'30 days CF Table(Ccy)'!G63,BS_RE33!$F$7:$F$874,'30 days CF Table(Ccy)'!$C$2),2)</f>
        <v>0</v>
      </c>
      <c r="AB63" s="337">
        <f>ROUND(SUMIFS(BS_RE33!$H$7:$H$874,BS_RE33!$S$7:$S$874,$AB$2,BS_RE33!$N$7:$N$874,I63,BS_RE33!$P$7:$P$874,'30 days CF Table(Ccy)'!G63,BS_RE33!$F$7:$F$874,'30 days CF Table(Ccy)'!$C$2),2)</f>
        <v>0</v>
      </c>
      <c r="AC63" s="337">
        <f>ROUND(SUMIFS(BS_RE33!$H$7:$H$874,BS_RE33!$S$7:$S$874,$AC$2,BS_RE33!$N$7:$N$874,I63,BS_RE33!$P$7:$P$874,'30 days CF Table(Ccy)'!G63,BS_RE33!$F$7:$F$874,'30 days CF Table(Ccy)'!$C$2),2)</f>
        <v>0</v>
      </c>
      <c r="AD63" s="337">
        <f>ROUND(SUMIFS(BS_RE33!$H$7:$H$874,BS_RE33!$S$7:$S$874,$AD$2,BS_RE33!$N$7:$N$874,I63,BS_RE33!$P$7:$P$874,'30 days CF Table(Ccy)'!G63,BS_RE33!$F$7:$F$874,'30 days CF Table(Ccy)'!$C$2),2)</f>
        <v>0</v>
      </c>
      <c r="AE63" s="337">
        <f>ROUND(SUMIFS(BS_RE33!$H$7:$H$874,BS_RE33!$S$7:$S$874,$AE$2,BS_RE33!$N$7:$N$874,I63,BS_RE33!$P$7:$P$874,'30 days CF Table(Ccy)'!G63,BS_RE33!$F$7:$F$874,'30 days CF Table(Ccy)'!$C$2),2)</f>
        <v>0</v>
      </c>
      <c r="AF63" s="337">
        <f>ROUND(SUMIFS(BS_RE33!$H$7:$H$874,BS_RE33!$S$7:$S$874,$AF$2,BS_RE33!$N$7:$N$874,I63,BS_RE33!$P$7:$P$874,'30 days CF Table(Ccy)'!G63,BS_RE33!$F$7:$F$874,'30 days CF Table(Ccy)'!$C$2),2)</f>
        <v>0</v>
      </c>
      <c r="AG63" s="337">
        <f>ROUND(SUMIFS(BS_RE33!$H$7:$H$874,BS_RE33!$S$7:$S$874,$AG$2,BS_RE33!$N$7:$N$874,I63,BS_RE33!$P$7:$P$874,'30 days CF Table(Ccy)'!G63,BS_RE33!$F$7:$F$874,'30 days CF Table(Ccy)'!$C$2),2)</f>
        <v>0</v>
      </c>
      <c r="AH63" s="337">
        <f>ROUND(SUMIFS(BS_RE33!$H$7:$H$874,BS_RE33!$S$7:$S$874,$AH$2,BS_RE33!$N$7:$N$874,I63,BS_RE33!$P$7:$P$874,'30 days CF Table(Ccy)'!G63,BS_RE33!$F$7:$F$874,'30 days CF Table(Ccy)'!$C$2),2)</f>
        <v>0</v>
      </c>
      <c r="AI63" s="337">
        <f>ROUND(SUMIFS(BS_RE33!$H$7:$H$874,BS_RE33!$S$7:$S$874,$AI$2,BS_RE33!$N$7:$N$874,I63,BS_RE33!$P$7:$P$874,'30 days CF Table(Ccy)'!G63,BS_RE33!$F$7:$F$874,'30 days CF Table(Ccy)'!$C$2),2)</f>
        <v>0</v>
      </c>
      <c r="AJ63" s="337">
        <f>ROUND(SUMIFS(BS_RE33!$H$7:$H$874,BS_RE33!$S$7:$S$874,$AJ$2,BS_RE33!$N$7:$N$874,I63,BS_RE33!$P$7:$P$874,'30 days CF Table(Ccy)'!G63,BS_RE33!$F$7:$F$874,'30 days CF Table(Ccy)'!$C$2),2)</f>
        <v>0</v>
      </c>
      <c r="AK63" s="337">
        <f>ROUND(SUMIFS(BS_RE33!$H$7:$H$874,BS_RE33!$S$7:$S$874,$AK$2,BS_RE33!$N$7:$N$874,I63,BS_RE33!$P$7:$P$874,'30 days CF Table(Ccy)'!G63,BS_RE33!$F$7:$F$874,'30 days CF Table(Ccy)'!$C$2),2)</f>
        <v>0</v>
      </c>
      <c r="AL63" s="337">
        <f>ROUND(SUMIFS(BS_RE33!$H$7:$H$874,BS_RE33!$S$7:$S$874,$AL$2,BS_RE33!$N$7:$N$874,I63,BS_RE33!$P$7:$P$874,'30 days CF Table(Ccy)'!G63,BS_RE33!$F$7:$F$874,'30 days CF Table(Ccy)'!$C$2),2)</f>
        <v>0</v>
      </c>
      <c r="AM63" s="337">
        <f>ROUND(SUMIFS(BS_RE33!$H$7:$H$874,BS_RE33!$S$7:$S$874,$AM$2,BS_RE33!$N$7:$N$874,I63,BS_RE33!$P$7:$P$874,'30 days CF Table(Ccy)'!G63,BS_RE33!$F$7:$F$874,'30 days CF Table(Ccy)'!$C$2),2)</f>
        <v>0</v>
      </c>
      <c r="AN63" s="337">
        <f>ROUND(SUMIFS(BS_RE33!$H$7:$H$874,BS_RE33!$S$7:$S$874,$AN$2,BS_RE33!$N$7:$N$874,I63,BS_RE33!$P$7:$P$874,'30 days CF Table(Ccy)'!G63,BS_RE33!$F$7:$F$874,'30 days CF Table(Ccy)'!$C$2),2)</f>
        <v>0</v>
      </c>
      <c r="AO63" s="337">
        <f>ROUND(SUMIFS(BS_RE33!$H$7:$H$874,BS_RE33!$S$7:$S$874,$AO$2,BS_RE33!$N$7:$N$874,I63,BS_RE33!$P$7:$P$874,'30 days CF Table(Ccy)'!G63,BS_RE33!$F$7:$F$874,'30 days CF Table(Ccy)'!$C$2),2)</f>
        <v>0</v>
      </c>
      <c r="AP63" s="338">
        <f>ROUND(SUMIFS(BS_RE33!$H$7:$H$874,BS_RE33!$S$7:$S$874,$AP$2,BS_RE33!$N$7:$N$874,I63,BS_RE33!$P$7:$P$874,'30 days CF Table(Ccy)'!G63,BS_RE33!$F$7:$F$874,'30 days CF Table(Ccy)'!$C$2),2)</f>
        <v>0</v>
      </c>
      <c r="AR63" s="379">
        <f>ROUND(SUMIFS(BS_RE33!$H$7:$H$874,BS_RE33!$S$7:$S$874,$AR$2,BS_RE33!$N$7:$N$874,I63,BS_RE33!$P$7:$P$874,'30 days CF Table(Ccy)'!G63,BS_RE33!$F$7:$F$874,'30 days CF Table(Ccy)'!$C$2),2)</f>
        <v>0</v>
      </c>
      <c r="AS63" s="379">
        <f>ROUND(SUMIFS(BS_RE33!$H$7:$H$874,BS_RE33!$S$7:$S$874,$AS$2,BS_RE33!$N$7:$N$874,I63,BS_RE33!$P$7:$P$874,'30 days CF Table(Ccy)'!G63,BS_RE33!$F$7:$F$874,'30 days CF Table(Ccy)'!$C$2),2)</f>
        <v>0</v>
      </c>
      <c r="AT63" s="379">
        <f>ROUND(SUMIFS(BS_RE33!$H$7:$H$874,BS_RE33!$S$7:$S$874,$AT$2,BS_RE33!$N$7:$N$874,I63,BS_RE33!$P$7:$P$874,'30 days CF Table(Ccy)'!G63,BS_RE33!$F$7:$F$874,'30 days CF Table(Ccy)'!$C$2),2)</f>
        <v>0</v>
      </c>
      <c r="AU63" s="379">
        <f>ROUND(SUMIFS(BS_RE33!$H$7:$H$874,BS_RE33!$S$7:$S$874,$AU$2,BS_RE33!$N$7:$N$874,I63,BS_RE33!$P$7:$P$874,'30 days CF Table(Ccy)'!G63,BS_RE33!$F$7:$F$874,'30 days CF Table(Ccy)'!$C$2),2)</f>
        <v>0</v>
      </c>
      <c r="AV63" s="379">
        <f>ROUND(SUMIFS(BS_RE33!$H$7:$H$874,BS_RE33!$S$7:$S$874,$AV$2,BS_RE33!$N$7:$N$874,I63,BS_RE33!$P$7:$P$874,'30 days CF Table(Ccy)'!G63,BS_RE33!$F$7:$F$874,'30 days CF Table(Ccy)'!$C$2),2)</f>
        <v>0</v>
      </c>
      <c r="AW63" s="379">
        <f>ROUND(SUMIFS(BS_RE33!$H$7:$H$874,BS_RE33!$S$7:$S$874,$AW$2,BS_RE33!$N$7:$N$874,I63,BS_RE33!$P$7:$P$874,'30 days CF Table(Ccy)'!G63,BS_RE33!$F$7:$F$874,'30 days CF Table(Ccy)'!$C$2),2)</f>
        <v>0</v>
      </c>
      <c r="AX63" s="379">
        <f>ROUND(SUMIFS(BS_RE33!$H$7:$H$874,BS_RE33!$S$7:$S$874,$AX$2,BS_RE33!$N$7:$N$874,I63,BS_RE33!$P$7:$P$874,'30 days CF Table(Ccy)'!G63,BS_RE33!$F$7:$F$874,'30 days CF Table(Ccy)'!$C$2),2)</f>
        <v>0</v>
      </c>
      <c r="AY63" s="379">
        <f>ROUND(SUMIFS(BS_RE33!$H$7:$H$874,BS_RE33!$S$7:$S$874,$AY$2,BS_RE33!$N$7:$N$874,I63,BS_RE33!$P$7:$P$874,'30 days CF Table(Ccy)'!G63,BS_RE33!$F$7:$F$874,'30 days CF Table(Ccy)'!$C$2),2)</f>
        <v>0</v>
      </c>
      <c r="AZ63" s="379">
        <f>ROUND(SUMIFS(BS_RE33!$H$7:$H$874,BS_RE33!$S$7:$S$874,$AZ$2,BS_RE33!$N$7:$N$874,I63,BS_RE33!$P$7:$P$874,'30 days CF Table(Ccy)'!G63,BS_RE33!$F$7:$F$874,'30 days CF Table(Ccy)'!$C$2),2)</f>
        <v>0</v>
      </c>
      <c r="BA63" s="379">
        <f>ROUND(SUMIFS(BS_RE33!$H$7:$H$874,BS_RE33!$S$7:$S$874,$BA$2,BS_RE33!$N$7:$N$874,I63,BS_RE33!$P$7:$P$874,'30 days CF Table(Ccy)'!G63,BS_RE33!$F$7:$F$874,'30 days CF Table(Ccy)'!$C$2),2)</f>
        <v>0</v>
      </c>
      <c r="BB63" s="379">
        <f>ROUND(SUMIFS(BS_RE33!$H$7:$H$874,BS_RE33!$S$7:$S$874,$BB$2,BS_RE33!$N$7:$N$874,I63,BS_RE33!$P$7:$P$874,'30 days CF Table(Ccy)'!G63,BS_RE33!$F$7:$F$874,'30 days CF Table(Ccy)'!$C$2),2)</f>
        <v>0</v>
      </c>
      <c r="BC63" s="379">
        <f>ROUND(SUMIFS(BS_RE33!$H$7:$H$874,BS_RE33!$S$7:$S$874,$BC$2,BS_RE33!$N$7:$N$874,I63,BS_RE33!$P$7:$P$874,'30 days CF Table(Ccy)'!G63,BS_RE33!$F$7:$F$874,'30 days CF Table(Ccy)'!$C$2),2)</f>
        <v>0</v>
      </c>
      <c r="BD63" s="379">
        <f>ROUND(SUMIFS(BS_RE33!$H$7:$H$874,BS_RE33!$S$7:$S$874,$BD$2,BS_RE33!$N$7:$N$874,I63,BS_RE33!$P$7:$P$874,'30 days CF Table(Ccy)'!G63,BS_RE33!$F$7:$F$874,'30 days CF Table(Ccy)'!$C$2),2)</f>
        <v>0</v>
      </c>
      <c r="BE63" s="379">
        <f>ROUND(SUMIFS(BS_RE33!$H$7:$H$874,BS_RE33!$S$7:$S$874,$BE$2,BS_RE33!$N$7:$N$874,I63,BS_RE33!$P$7:$P$874,'30 days CF Table(Ccy)'!G63,BS_RE33!$F$7:$F$874,'30 days CF Table(Ccy)'!$C$2),2)</f>
        <v>0</v>
      </c>
      <c r="BF63" s="379">
        <f>ROUND(SUMIFS(BS_RE33!$H$7:$H$874,BS_RE33!$S$7:$S$874,$BF$2,BS_RE33!$N$7:$N$874,I63,BS_RE33!$P$7:$P$874,'30 days CF Table(Ccy)'!G63,BS_RE33!$F$7:$F$874,'30 days CF Table(Ccy)'!$C$2),2)</f>
        <v>0</v>
      </c>
      <c r="BG63" s="379">
        <f>ROUND(SUMIFS(BS_RE33!$H$7:$H$874,BS_RE33!$S$7:$S$874,$BG$2,BS_RE33!$N$7:$N$874,I63,BS_RE33!$P$7:$P$874,'30 days CF Table(Ccy)'!G63,BS_RE33!$F$7:$F$874,'30 days CF Table(Ccy)'!$C$2),2)</f>
        <v>0</v>
      </c>
      <c r="BH63" s="379">
        <f>ROUND(SUMIFS(BS_RE33!$H$7:$H$874,BS_RE33!$S$7:$S$874,$BH$2,BS_RE33!$N$7:$N$874,I63,BS_RE33!$P$7:$P$874,'30 days CF Table(Ccy)'!G63,BS_RE33!$F$7:$F$874,'30 days CF Table(Ccy)'!$C$2),2)</f>
        <v>0</v>
      </c>
      <c r="BI63" s="379">
        <f>ROUND(SUMIFS(BS_RE33!$H$7:$H$874,BS_RE33!$S$7:$S$874,$BI$2,BS_RE33!$N$7:$N$874,I63,BS_RE33!$P$7:$P$874,'30 days CF Table(Ccy)'!G63,BS_RE33!$F$7:$F$874,'30 days CF Table(Ccy)'!$C$2),2)</f>
        <v>0</v>
      </c>
      <c r="BJ63" s="379">
        <f>ROUND(SUMIFS(BS_RE33!$H$7:$H$874,BS_RE33!$S$7:$S$874,$BJ$2,BS_RE33!$N$7:$N$874,I63,BS_RE33!$P$7:$P$874,'30 days CF Table(Ccy)'!G63,BS_RE33!$F$7:$F$874,'30 days CF Table(Ccy)'!$C$2),2)</f>
        <v>0</v>
      </c>
      <c r="BK63" s="379">
        <f>ROUND(SUMIFS(BS_RE33!$H$7:$H$874,BS_RE33!$S$7:$S$874,$BK$2,BS_RE33!$N$7:$N$874,I63,BS_RE33!$P$7:$P$874,'30 days CF Table(Ccy)'!G63,BS_RE33!$F$7:$F$874,'30 days CF Table(Ccy)'!$C$2),2)</f>
        <v>0</v>
      </c>
    </row>
    <row r="64" spans="3:63" ht="21" thickBot="1">
      <c r="C64" s="1045"/>
      <c r="D64" s="324" t="s">
        <v>775</v>
      </c>
      <c r="E64" s="325" t="s">
        <v>102</v>
      </c>
      <c r="F64" s="326"/>
      <c r="G64" s="327" t="s">
        <v>540</v>
      </c>
      <c r="H64" s="328">
        <v>0</v>
      </c>
      <c r="I64" s="329" t="s">
        <v>80</v>
      </c>
      <c r="J64" s="480">
        <f t="shared" si="2"/>
        <v>0</v>
      </c>
      <c r="K64" s="476">
        <f t="shared" si="3"/>
        <v>0</v>
      </c>
      <c r="L64" s="341">
        <f>ROUND(SUMIFS(BS_RE33!$H$7:$H$874,BS_RE33!$S$7:$S$874,$L$2,BS_RE33!$N$7:$N$874,I64,BS_RE33!$P$7:$P$874,'30 days CF Table(Ccy)'!G64,BS_RE33!$F$7:$F$874,'30 days CF Table(Ccy)'!$C$2),2)</f>
        <v>0</v>
      </c>
      <c r="M64" s="341">
        <f>ROUND(SUMIFS(BS_RE33!$H$7:$H$874,BS_RE33!$S$7:$S$874,$M$2,BS_RE33!$N$7:$N$874,I64,BS_RE33!$P$7:$P$874,'30 days CF Table(Ccy)'!G64,BS_RE33!$F$7:$F$874,'30 days CF Table(Ccy)'!$C$2),2)</f>
        <v>0</v>
      </c>
      <c r="N64" s="341">
        <f>ROUND(SUMIFS(BS_RE33!$H$7:$H$874,BS_RE33!$S$7:$S$874,$N$2,BS_RE33!$N$7:$N$874,I64,BS_RE33!$P$7:$P$874,'30 days CF Table(Ccy)'!G64,BS_RE33!$F$7:$F$874,'30 days CF Table(Ccy)'!$C$2),2)</f>
        <v>0</v>
      </c>
      <c r="O64" s="341">
        <f>ROUND(SUMIFS(BS_RE33!$H$7:$H$874,BS_RE33!$S$7:$S$874,$O$2,BS_RE33!$N$7:$N$874,I64,BS_RE33!$P$7:$P$874,'30 days CF Table(Ccy)'!G64,BS_RE33!$F$7:$F$874,'30 days CF Table(Ccy)'!$C$2),2)</f>
        <v>0</v>
      </c>
      <c r="P64" s="341">
        <f>ROUND(SUMIFS(BS_RE33!$H$7:$H$874,BS_RE33!$S$7:$S$874,$P$2,BS_RE33!$N$7:$N$874,I64,BS_RE33!$P$7:$P$874,'30 days CF Table(Ccy)'!G64,BS_RE33!$F$7:$F$874,'30 days CF Table(Ccy)'!$C$2),2)</f>
        <v>0</v>
      </c>
      <c r="Q64" s="341">
        <f>ROUND(SUMIFS(BS_RE33!$H$7:$H$874,BS_RE33!$S$7:$S$874,$Q$2,BS_RE33!$N$7:$N$874,I64,BS_RE33!$P$7:$P$874,'30 days CF Table(Ccy)'!G64,BS_RE33!$F$7:$F$874,'30 days CF Table(Ccy)'!$C$2),2)</f>
        <v>0</v>
      </c>
      <c r="R64" s="341">
        <f>ROUND(SUMIFS(BS_RE33!$H$7:$H$874,BS_RE33!$S$7:$S$874,$R$2,BS_RE33!$N$7:$N$874,I64,BS_RE33!$P$7:$P$874,'30 days CF Table(Ccy)'!G64,BS_RE33!$F$7:$F$874,'30 days CF Table(Ccy)'!$C$2),2)</f>
        <v>0</v>
      </c>
      <c r="S64" s="341">
        <f>ROUND(SUMIFS(BS_RE33!$H$7:$H$874,BS_RE33!$S$7:$S$874,$S$2,BS_RE33!$N$7:$N$874,I64,BS_RE33!$P$7:$P$874,'30 days CF Table(Ccy)'!G64,BS_RE33!$F$7:$F$874,'30 days CF Table(Ccy)'!$C$2),2)</f>
        <v>0</v>
      </c>
      <c r="T64" s="341">
        <f>ROUND(SUMIFS(BS_RE33!$H$7:$H$874,BS_RE33!$S$7:$S$874,$T$2,BS_RE33!$N$7:$N$874,I64,BS_RE33!$P$7:$P$874,'30 days CF Table(Ccy)'!G64,BS_RE33!$F$7:$F$874,'30 days CF Table(Ccy)'!$C$2),2)</f>
        <v>0</v>
      </c>
      <c r="U64" s="341">
        <f>ROUND(SUMIFS(BS_RE33!$H$7:$H$874,BS_RE33!$S$7:$S$874,$U$2,BS_RE33!$N$7:$N$874,I64,BS_RE33!$P$7:$P$874,'30 days CF Table(Ccy)'!G64,BS_RE33!$F$7:$F$874,'30 days CF Table(Ccy)'!$C$2),2)</f>
        <v>0</v>
      </c>
      <c r="V64" s="341">
        <f>ROUND(SUMIFS(BS_RE33!$H$7:$H$874,BS_RE33!$S$7:$S$874,$V$2,BS_RE33!$N$7:$N$874,I64,BS_RE33!$P$7:$P$874,'30 days CF Table(Ccy)'!G64,BS_RE33!$F$7:$F$874,'30 days CF Table(Ccy)'!$C$2),2)</f>
        <v>0</v>
      </c>
      <c r="W64" s="341">
        <f>ROUND(SUMIFS(BS_RE33!$H$7:$H$874,BS_RE33!$S$7:$S$874,$W$2,BS_RE33!$N$7:$N$874,I64,BS_RE33!$P$7:$P$874,'30 days CF Table(Ccy)'!G64,BS_RE33!$F$7:$F$874,'30 days CF Table(Ccy)'!$C$2),2)</f>
        <v>0</v>
      </c>
      <c r="X64" s="341">
        <f>ROUND(SUMIFS(BS_RE33!$H$7:$H$874,BS_RE33!$S$7:$S$874,$X$2,BS_RE33!$N$7:$N$874,I64,BS_RE33!$P$7:$P$874,'30 days CF Table(Ccy)'!G64,BS_RE33!$F$7:$F$874,'30 days CF Table(Ccy)'!$C$2),2)</f>
        <v>0</v>
      </c>
      <c r="Y64" s="341">
        <f>ROUND(SUMIFS(BS_RE33!$H$7:$H$874,BS_RE33!$S$7:$S$874,$Y$2,BS_RE33!$N$7:$N$874,I64,BS_RE33!$P$7:$P$874,'30 days CF Table(Ccy)'!G64,BS_RE33!$F$7:$F$874,'30 days CF Table(Ccy)'!$C$2),2)</f>
        <v>0</v>
      </c>
      <c r="Z64" s="341">
        <f>ROUND(SUMIFS(BS_RE33!$H$7:$H$874,BS_RE33!$S$7:$S$874,$Z$2,BS_RE33!$N$7:$N$874,I64,BS_RE33!$P$7:$P$874,'30 days CF Table(Ccy)'!G64,BS_RE33!$F$7:$F$874,'30 days CF Table(Ccy)'!$C$2),2)</f>
        <v>0</v>
      </c>
      <c r="AA64" s="341">
        <f>ROUND(SUMIFS(BS_RE33!$H$7:$H$874,BS_RE33!$S$7:$S$874,$AA$2,BS_RE33!$N$7:$N$874,I64,BS_RE33!$P$7:$P$874,'30 days CF Table(Ccy)'!G64,BS_RE33!$F$7:$F$874,'30 days CF Table(Ccy)'!$C$2),2)</f>
        <v>0</v>
      </c>
      <c r="AB64" s="341">
        <f>ROUND(SUMIFS(BS_RE33!$H$7:$H$874,BS_RE33!$S$7:$S$874,$AB$2,BS_RE33!$N$7:$N$874,I64,BS_RE33!$P$7:$P$874,'30 days CF Table(Ccy)'!G64,BS_RE33!$F$7:$F$874,'30 days CF Table(Ccy)'!$C$2),2)</f>
        <v>0</v>
      </c>
      <c r="AC64" s="341">
        <f>ROUND(SUMIFS(BS_RE33!$H$7:$H$874,BS_RE33!$S$7:$S$874,$AC$2,BS_RE33!$N$7:$N$874,I64,BS_RE33!$P$7:$P$874,'30 days CF Table(Ccy)'!G64,BS_RE33!$F$7:$F$874,'30 days CF Table(Ccy)'!$C$2),2)</f>
        <v>0</v>
      </c>
      <c r="AD64" s="341">
        <f>ROUND(SUMIFS(BS_RE33!$H$7:$H$874,BS_RE33!$S$7:$S$874,$AD$2,BS_RE33!$N$7:$N$874,I64,BS_RE33!$P$7:$P$874,'30 days CF Table(Ccy)'!G64,BS_RE33!$F$7:$F$874,'30 days CF Table(Ccy)'!$C$2),2)</f>
        <v>0</v>
      </c>
      <c r="AE64" s="341">
        <f>ROUND(SUMIFS(BS_RE33!$H$7:$H$874,BS_RE33!$S$7:$S$874,$AE$2,BS_RE33!$N$7:$N$874,I64,BS_RE33!$P$7:$P$874,'30 days CF Table(Ccy)'!G64,BS_RE33!$F$7:$F$874,'30 days CF Table(Ccy)'!$C$2),2)</f>
        <v>0</v>
      </c>
      <c r="AF64" s="341">
        <f>ROUND(SUMIFS(BS_RE33!$H$7:$H$874,BS_RE33!$S$7:$S$874,$AF$2,BS_RE33!$N$7:$N$874,I64,BS_RE33!$P$7:$P$874,'30 days CF Table(Ccy)'!G64,BS_RE33!$F$7:$F$874,'30 days CF Table(Ccy)'!$C$2),2)</f>
        <v>0</v>
      </c>
      <c r="AG64" s="341">
        <f>ROUND(SUMIFS(BS_RE33!$H$7:$H$874,BS_RE33!$S$7:$S$874,$AG$2,BS_RE33!$N$7:$N$874,I64,BS_RE33!$P$7:$P$874,'30 days CF Table(Ccy)'!G64,BS_RE33!$F$7:$F$874,'30 days CF Table(Ccy)'!$C$2),2)</f>
        <v>0</v>
      </c>
      <c r="AH64" s="341">
        <f>ROUND(SUMIFS(BS_RE33!$H$7:$H$874,BS_RE33!$S$7:$S$874,$AH$2,BS_RE33!$N$7:$N$874,I64,BS_RE33!$P$7:$P$874,'30 days CF Table(Ccy)'!G64,BS_RE33!$F$7:$F$874,'30 days CF Table(Ccy)'!$C$2),2)</f>
        <v>0</v>
      </c>
      <c r="AI64" s="341">
        <f>ROUND(SUMIFS(BS_RE33!$H$7:$H$874,BS_RE33!$S$7:$S$874,$AI$2,BS_RE33!$N$7:$N$874,I64,BS_RE33!$P$7:$P$874,'30 days CF Table(Ccy)'!G64,BS_RE33!$F$7:$F$874,'30 days CF Table(Ccy)'!$C$2),2)</f>
        <v>0</v>
      </c>
      <c r="AJ64" s="341">
        <f>ROUND(SUMIFS(BS_RE33!$H$7:$H$874,BS_RE33!$S$7:$S$874,$AJ$2,BS_RE33!$N$7:$N$874,I64,BS_RE33!$P$7:$P$874,'30 days CF Table(Ccy)'!G64,BS_RE33!$F$7:$F$874,'30 days CF Table(Ccy)'!$C$2),2)</f>
        <v>0</v>
      </c>
      <c r="AK64" s="341">
        <f>ROUND(SUMIFS(BS_RE33!$H$7:$H$874,BS_RE33!$S$7:$S$874,$AK$2,BS_RE33!$N$7:$N$874,I64,BS_RE33!$P$7:$P$874,'30 days CF Table(Ccy)'!G64,BS_RE33!$F$7:$F$874,'30 days CF Table(Ccy)'!$C$2),2)</f>
        <v>0</v>
      </c>
      <c r="AL64" s="341">
        <f>ROUND(SUMIFS(BS_RE33!$H$7:$H$874,BS_RE33!$S$7:$S$874,$AL$2,BS_RE33!$N$7:$N$874,I64,BS_RE33!$P$7:$P$874,'30 days CF Table(Ccy)'!G64,BS_RE33!$F$7:$F$874,'30 days CF Table(Ccy)'!$C$2),2)</f>
        <v>0</v>
      </c>
      <c r="AM64" s="341">
        <f>ROUND(SUMIFS(BS_RE33!$H$7:$H$874,BS_RE33!$S$7:$S$874,$AM$2,BS_RE33!$N$7:$N$874,I64,BS_RE33!$P$7:$P$874,'30 days CF Table(Ccy)'!G64,BS_RE33!$F$7:$F$874,'30 days CF Table(Ccy)'!$C$2),2)</f>
        <v>0</v>
      </c>
      <c r="AN64" s="341">
        <f>ROUND(SUMIFS(BS_RE33!$H$7:$H$874,BS_RE33!$S$7:$S$874,$AN$2,BS_RE33!$N$7:$N$874,I64,BS_RE33!$P$7:$P$874,'30 days CF Table(Ccy)'!G64,BS_RE33!$F$7:$F$874,'30 days CF Table(Ccy)'!$C$2),2)</f>
        <v>0</v>
      </c>
      <c r="AO64" s="341">
        <f>ROUND(SUMIFS(BS_RE33!$H$7:$H$874,BS_RE33!$S$7:$S$874,$AO$2,BS_RE33!$N$7:$N$874,I64,BS_RE33!$P$7:$P$874,'30 days CF Table(Ccy)'!G64,BS_RE33!$F$7:$F$874,'30 days CF Table(Ccy)'!$C$2),2)</f>
        <v>0</v>
      </c>
      <c r="AP64" s="342">
        <f>ROUND(SUMIFS(BS_RE33!$H$7:$H$874,BS_RE33!$S$7:$S$874,$AP$2,BS_RE33!$N$7:$N$874,I64,BS_RE33!$P$7:$P$874,'30 days CF Table(Ccy)'!G64,BS_RE33!$F$7:$F$874,'30 days CF Table(Ccy)'!$C$2),2)</f>
        <v>0</v>
      </c>
      <c r="AR64" s="381">
        <f>ROUND(SUMIFS(BS_RE33!$H$7:$H$874,BS_RE33!$S$7:$S$874,$AR$2,BS_RE33!$N$7:$N$874,I64,BS_RE33!$P$7:$P$874,'30 days CF Table(Ccy)'!G64,BS_RE33!$F$7:$F$874,'30 days CF Table(Ccy)'!$C$2),2)</f>
        <v>0</v>
      </c>
      <c r="AS64" s="381">
        <f>ROUND(SUMIFS(BS_RE33!$H$7:$H$874,BS_RE33!$S$7:$S$874,$AS$2,BS_RE33!$N$7:$N$874,I64,BS_RE33!$P$7:$P$874,'30 days CF Table(Ccy)'!G64,BS_RE33!$F$7:$F$874,'30 days CF Table(Ccy)'!$C$2),2)</f>
        <v>0</v>
      </c>
      <c r="AT64" s="381">
        <f>ROUND(SUMIFS(BS_RE33!$H$7:$H$874,BS_RE33!$S$7:$S$874,$AT$2,BS_RE33!$N$7:$N$874,I64,BS_RE33!$P$7:$P$874,'30 days CF Table(Ccy)'!G64,BS_RE33!$F$7:$F$874,'30 days CF Table(Ccy)'!$C$2),2)</f>
        <v>0</v>
      </c>
      <c r="AU64" s="381">
        <f>ROUND(SUMIFS(BS_RE33!$H$7:$H$874,BS_RE33!$S$7:$S$874,$AU$2,BS_RE33!$N$7:$N$874,I64,BS_RE33!$P$7:$P$874,'30 days CF Table(Ccy)'!G64,BS_RE33!$F$7:$F$874,'30 days CF Table(Ccy)'!$C$2),2)</f>
        <v>0</v>
      </c>
      <c r="AV64" s="381">
        <f>ROUND(SUMIFS(BS_RE33!$H$7:$H$874,BS_RE33!$S$7:$S$874,$AV$2,BS_RE33!$N$7:$N$874,I64,BS_RE33!$P$7:$P$874,'30 days CF Table(Ccy)'!G64,BS_RE33!$F$7:$F$874,'30 days CF Table(Ccy)'!$C$2),2)</f>
        <v>0</v>
      </c>
      <c r="AW64" s="381">
        <f>ROUND(SUMIFS(BS_RE33!$H$7:$H$874,BS_RE33!$S$7:$S$874,$AW$2,BS_RE33!$N$7:$N$874,I64,BS_RE33!$P$7:$P$874,'30 days CF Table(Ccy)'!G64,BS_RE33!$F$7:$F$874,'30 days CF Table(Ccy)'!$C$2),2)</f>
        <v>0</v>
      </c>
      <c r="AX64" s="381">
        <f>ROUND(SUMIFS(BS_RE33!$H$7:$H$874,BS_RE33!$S$7:$S$874,$AX$2,BS_RE33!$N$7:$N$874,I64,BS_RE33!$P$7:$P$874,'30 days CF Table(Ccy)'!G64,BS_RE33!$F$7:$F$874,'30 days CF Table(Ccy)'!$C$2),2)</f>
        <v>0</v>
      </c>
      <c r="AY64" s="381">
        <f>ROUND(SUMIFS(BS_RE33!$H$7:$H$874,BS_RE33!$S$7:$S$874,$AY$2,BS_RE33!$N$7:$N$874,I64,BS_RE33!$P$7:$P$874,'30 days CF Table(Ccy)'!G64,BS_RE33!$F$7:$F$874,'30 days CF Table(Ccy)'!$C$2),2)</f>
        <v>0</v>
      </c>
      <c r="AZ64" s="381">
        <f>ROUND(SUMIFS(BS_RE33!$H$7:$H$874,BS_RE33!$S$7:$S$874,$AZ$2,BS_RE33!$N$7:$N$874,I64,BS_RE33!$P$7:$P$874,'30 days CF Table(Ccy)'!G64,BS_RE33!$F$7:$F$874,'30 days CF Table(Ccy)'!$C$2),2)</f>
        <v>0</v>
      </c>
      <c r="BA64" s="381">
        <f>ROUND(SUMIFS(BS_RE33!$H$7:$H$874,BS_RE33!$S$7:$S$874,$BA$2,BS_RE33!$N$7:$N$874,I64,BS_RE33!$P$7:$P$874,'30 days CF Table(Ccy)'!G64,BS_RE33!$F$7:$F$874,'30 days CF Table(Ccy)'!$C$2),2)</f>
        <v>0</v>
      </c>
      <c r="BB64" s="381">
        <f>ROUND(SUMIFS(BS_RE33!$H$7:$H$874,BS_RE33!$S$7:$S$874,$BB$2,BS_RE33!$N$7:$N$874,I64,BS_RE33!$P$7:$P$874,'30 days CF Table(Ccy)'!G64,BS_RE33!$F$7:$F$874,'30 days CF Table(Ccy)'!$C$2),2)</f>
        <v>0</v>
      </c>
      <c r="BC64" s="381">
        <f>ROUND(SUMIFS(BS_RE33!$H$7:$H$874,BS_RE33!$S$7:$S$874,$BC$2,BS_RE33!$N$7:$N$874,I64,BS_RE33!$P$7:$P$874,'30 days CF Table(Ccy)'!G64,BS_RE33!$F$7:$F$874,'30 days CF Table(Ccy)'!$C$2),2)</f>
        <v>0</v>
      </c>
      <c r="BD64" s="381">
        <f>ROUND(SUMIFS(BS_RE33!$H$7:$H$874,BS_RE33!$S$7:$S$874,$BD$2,BS_RE33!$N$7:$N$874,I64,BS_RE33!$P$7:$P$874,'30 days CF Table(Ccy)'!G64,BS_RE33!$F$7:$F$874,'30 days CF Table(Ccy)'!$C$2),2)</f>
        <v>0</v>
      </c>
      <c r="BE64" s="381">
        <f>ROUND(SUMIFS(BS_RE33!$H$7:$H$874,BS_RE33!$S$7:$S$874,$BE$2,BS_RE33!$N$7:$N$874,I64,BS_RE33!$P$7:$P$874,'30 days CF Table(Ccy)'!G64,BS_RE33!$F$7:$F$874,'30 days CF Table(Ccy)'!$C$2),2)</f>
        <v>0</v>
      </c>
      <c r="BF64" s="381">
        <f>ROUND(SUMIFS(BS_RE33!$H$7:$H$874,BS_RE33!$S$7:$S$874,$BF$2,BS_RE33!$N$7:$N$874,I64,BS_RE33!$P$7:$P$874,'30 days CF Table(Ccy)'!G64,BS_RE33!$F$7:$F$874,'30 days CF Table(Ccy)'!$C$2),2)</f>
        <v>0</v>
      </c>
      <c r="BG64" s="381">
        <f>ROUND(SUMIFS(BS_RE33!$H$7:$H$874,BS_RE33!$S$7:$S$874,$BG$2,BS_RE33!$N$7:$N$874,I64,BS_RE33!$P$7:$P$874,'30 days CF Table(Ccy)'!G64,BS_RE33!$F$7:$F$874,'30 days CF Table(Ccy)'!$C$2),2)</f>
        <v>0</v>
      </c>
      <c r="BH64" s="381">
        <f>ROUND(SUMIFS(BS_RE33!$H$7:$H$874,BS_RE33!$S$7:$S$874,$BH$2,BS_RE33!$N$7:$N$874,I64,BS_RE33!$P$7:$P$874,'30 days CF Table(Ccy)'!G64,BS_RE33!$F$7:$F$874,'30 days CF Table(Ccy)'!$C$2),2)</f>
        <v>0</v>
      </c>
      <c r="BI64" s="381">
        <f>ROUND(SUMIFS(BS_RE33!$H$7:$H$874,BS_RE33!$S$7:$S$874,$BI$2,BS_RE33!$N$7:$N$874,I64,BS_RE33!$P$7:$P$874,'30 days CF Table(Ccy)'!G64,BS_RE33!$F$7:$F$874,'30 days CF Table(Ccy)'!$C$2),2)</f>
        <v>0</v>
      </c>
      <c r="BJ64" s="381">
        <f>ROUND(SUMIFS(BS_RE33!$H$7:$H$874,BS_RE33!$S$7:$S$874,$BJ$2,BS_RE33!$N$7:$N$874,I64,BS_RE33!$P$7:$P$874,'30 days CF Table(Ccy)'!G64,BS_RE33!$F$7:$F$874,'30 days CF Table(Ccy)'!$C$2),2)</f>
        <v>0</v>
      </c>
      <c r="BK64" s="381">
        <f>ROUND(SUMIFS(BS_RE33!$H$7:$H$874,BS_RE33!$S$7:$S$874,$BK$2,BS_RE33!$N$7:$N$874,I64,BS_RE33!$P$7:$P$874,'30 days CF Table(Ccy)'!G64,BS_RE33!$F$7:$F$874,'30 days CF Table(Ccy)'!$C$2),2)</f>
        <v>0</v>
      </c>
    </row>
    <row r="65" spans="3:11" ht="18" thickTop="1" thickBot="1">
      <c r="F65" s="630"/>
      <c r="H65" s="267" t="s">
        <v>1473</v>
      </c>
    </row>
    <row r="66" spans="3:11" ht="17.25" thickBot="1">
      <c r="F66" s="630"/>
      <c r="H66" s="641" t="s">
        <v>724</v>
      </c>
      <c r="I66" s="642" t="s">
        <v>80</v>
      </c>
      <c r="J66" s="631">
        <f>IF($D$2&lt;('Summary &amp; Working File(Ccy)'!E15-30),'Summary &amp; Working File(Ccy)'!E14/1000000,0)+IF($D$2&lt;('Summary &amp; Working File(Ccy)'!F15-30),'Summary &amp; Working File(Ccy)'!F14/1000000,0)+IF($D$2&lt;('Summary &amp; Working File(Ccy)'!G15-30),'Summary &amp; Working File(Ccy)'!G14/1000000,0)+IF($D$2&lt;('Summary &amp; Working File(Ccy)'!H15-30),'Summary &amp; Working File(Ccy)'!H14/1000000,0)+IF($D$2&lt;('Summary &amp; Working File(Ccy)'!I15-30),'Summary &amp; Working File(Ccy)'!I14/1000000,0)+IF($D$2&lt;('Summary &amp; Working File(Ccy)'!J15-30),'Summary &amp; Working File(Ccy)'!J14/1000000,0)</f>
        <v>0</v>
      </c>
      <c r="K66" s="633">
        <f>J66*1000000*10%</f>
        <v>0</v>
      </c>
    </row>
    <row r="67" spans="3:11" ht="17.25" thickBot="1">
      <c r="F67" s="630"/>
      <c r="H67" s="641" t="s">
        <v>723</v>
      </c>
      <c r="I67" s="642" t="s">
        <v>80</v>
      </c>
      <c r="J67" s="631">
        <f>IF($D$2&lt;('Summary &amp; Working File(Ccy)'!E11-30),'Summary &amp; Working File(Ccy)'!E10/1000000,0)+IF($D$2&lt;('Summary &amp; Working File(Ccy)'!F11-30),'Summary &amp; Working File(Ccy)'!F10/1000000,0)+IF($D$2&lt;('Summary &amp; Working File(Ccy)'!G11-30),'Summary &amp; Working File(Ccy)'!G10/1000000,0)+IF($D$2&lt;('Summary &amp; Working File(Ccy)'!H11-30),'Summary &amp; Working File(Ccy)'!H10/1000000,0)</f>
        <v>0</v>
      </c>
      <c r="K67" s="633">
        <f>J67*1000000*5%</f>
        <v>0</v>
      </c>
    </row>
    <row r="68" spans="3:11" ht="17.25" thickBot="1"/>
    <row r="69" spans="3:11" ht="21" thickTop="1">
      <c r="D69" s="533"/>
      <c r="H69" s="534" t="s">
        <v>1200</v>
      </c>
      <c r="J69" s="539">
        <f>SUM(J25:J45)+SUM(J52:J64)+SUM(J66:J67)</f>
        <v>0</v>
      </c>
      <c r="K69" s="567">
        <f>(SUM(K25:K45)+SUM(K52:K64)+SUM(K66:K67))/1000000</f>
        <v>0</v>
      </c>
    </row>
    <row r="70" spans="3:11" ht="21" thickBot="1">
      <c r="H70" s="535" t="s">
        <v>1199</v>
      </c>
      <c r="J70" s="568">
        <f>SUM(J4:J18)+SUM(J22:J24)</f>
        <v>0</v>
      </c>
      <c r="K70" s="569">
        <f>(SUM(K4:K18)+SUM(K22:K24))/1000000</f>
        <v>0</v>
      </c>
    </row>
    <row r="71" spans="3:11" ht="17.25" thickTop="1"/>
    <row r="72" spans="3:11" ht="17.25" thickBot="1"/>
    <row r="73" spans="3:11" ht="17.25" thickTop="1">
      <c r="C73" s="1032" t="s">
        <v>892</v>
      </c>
      <c r="D73" s="1035" t="s">
        <v>897</v>
      </c>
      <c r="E73" s="499" t="s">
        <v>898</v>
      </c>
      <c r="F73" s="500" t="s">
        <v>1181</v>
      </c>
      <c r="G73" s="505" t="str">
        <f>"HQLA_"&amp;F73</f>
        <v>HQLA_Australian Government</v>
      </c>
      <c r="H73" s="501"/>
      <c r="I73" s="501"/>
      <c r="J73" s="513">
        <f>SUMIFS(BS_RE33!$H$7:$H$874,BS_RE33!$P$7:$P$874,G73,BS_RE33!$F$7:$F$874,'30 days CF Table(Ccy)'!$C$2)/1000000</f>
        <v>0</v>
      </c>
    </row>
    <row r="74" spans="3:11">
      <c r="C74" s="1033"/>
      <c r="D74" s="1036"/>
      <c r="E74" s="497" t="s">
        <v>1179</v>
      </c>
      <c r="F74" s="498" t="s">
        <v>1180</v>
      </c>
      <c r="G74" s="506" t="str">
        <f t="shared" ref="G74:G80" si="4">"HQLA_"&amp;F74</f>
        <v>HQLA_Australian State Government or Territory Central Borrowing Authorities</v>
      </c>
      <c r="H74" s="354"/>
      <c r="I74" s="354"/>
      <c r="J74" s="514">
        <f>SUMIFS(BS_RE33!$H$7:$H$874,BS_RE33!$P$7:$P$874,G74,BS_RE33!$F$7:$F$874,'30 days CF Table(Ccy)'!$C$2)/1000000</f>
        <v>0</v>
      </c>
    </row>
    <row r="75" spans="3:11">
      <c r="C75" s="1033"/>
      <c r="D75" s="1036"/>
      <c r="E75" s="497" t="s">
        <v>899</v>
      </c>
      <c r="F75" s="498" t="s">
        <v>1183</v>
      </c>
      <c r="G75" s="506" t="str">
        <f t="shared" si="4"/>
        <v>HQLA_Issued by foreign sovereigns</v>
      </c>
      <c r="H75" s="354"/>
      <c r="I75" s="354"/>
      <c r="J75" s="514">
        <f>SUMIFS(BS_RE33!$H$7:$H$874,BS_RE33!$P$7:$P$874,G75,BS_RE33!$F$7:$F$874,'30 days CF Table(Ccy)'!$C$2)/1000000</f>
        <v>0</v>
      </c>
    </row>
    <row r="76" spans="3:11">
      <c r="C76" s="1033"/>
      <c r="D76" s="1036"/>
      <c r="E76" s="497" t="s">
        <v>900</v>
      </c>
      <c r="F76" s="498" t="s">
        <v>1184</v>
      </c>
      <c r="G76" s="506" t="str">
        <f t="shared" si="4"/>
        <v>HQLA_Guaranteed by the Australian Government</v>
      </c>
      <c r="H76" s="354"/>
      <c r="I76" s="354"/>
      <c r="J76" s="514">
        <f>SUMIFS(BS_RE33!$H$7:$H$874,BS_RE33!$P$7:$P$874,G76,BS_RE33!$F$7:$F$874,'30 days CF Table(Ccy)'!$C$2)/1000000</f>
        <v>0</v>
      </c>
    </row>
    <row r="77" spans="3:11">
      <c r="C77" s="1033"/>
      <c r="D77" s="1036"/>
      <c r="E77" s="497" t="s">
        <v>901</v>
      </c>
      <c r="F77" s="498" t="s">
        <v>1185</v>
      </c>
      <c r="G77" s="506" t="str">
        <f t="shared" si="4"/>
        <v>HQLA_Guaranteed by foreign sovereigns</v>
      </c>
      <c r="H77" s="354"/>
      <c r="I77" s="354"/>
      <c r="J77" s="514">
        <f>SUMIFS(BS_RE33!$H$7:$H$874,BS_RE33!$P$7:$P$874,G77,BS_RE33!$F$7:$F$874,'30 days CF Table(Ccy)'!$C$2)/1000000</f>
        <v>0</v>
      </c>
    </row>
    <row r="78" spans="3:11">
      <c r="C78" s="1033"/>
      <c r="D78" s="1036"/>
      <c r="E78" s="497" t="s">
        <v>902</v>
      </c>
      <c r="F78" s="498" t="s">
        <v>1186</v>
      </c>
      <c r="G78" s="506" t="str">
        <f t="shared" si="4"/>
        <v>HQLA_Issued or guaranteed by central banks</v>
      </c>
      <c r="H78" s="354"/>
      <c r="I78" s="354"/>
      <c r="J78" s="514">
        <f>SUMIFS(BS_RE33!$H$7:$H$874,BS_RE33!$P$7:$P$874,G78,BS_RE33!$F$7:$F$874,'30 days CF Table(Ccy)'!$C$2)/1000000</f>
        <v>0</v>
      </c>
    </row>
    <row r="79" spans="3:11">
      <c r="C79" s="1033"/>
      <c r="D79" s="1036"/>
      <c r="E79" s="497" t="s">
        <v>903</v>
      </c>
      <c r="F79" s="498" t="s">
        <v>1187</v>
      </c>
      <c r="G79" s="506" t="str">
        <f t="shared" si="4"/>
        <v>HQLA_Issued or guaranteed by PSEs</v>
      </c>
      <c r="H79" s="354"/>
      <c r="I79" s="354"/>
      <c r="J79" s="514">
        <f>SUMIFS(BS_RE33!$H$7:$H$874,BS_RE33!$P$7:$P$874,G79,BS_RE33!$F$7:$F$874,'30 days CF Table(Ccy)'!$C$2)/1000000</f>
        <v>0</v>
      </c>
    </row>
    <row r="80" spans="3:11" ht="17.25" thickBot="1">
      <c r="C80" s="1034"/>
      <c r="D80" s="1037"/>
      <c r="E80" s="502" t="s">
        <v>904</v>
      </c>
      <c r="F80" s="503" t="s">
        <v>1188</v>
      </c>
      <c r="G80" s="507" t="str">
        <f t="shared" si="4"/>
        <v>HQLA_Issued or guaranteed by BIS, IMF, ECB and EC or MDBs</v>
      </c>
      <c r="H80" s="504"/>
      <c r="I80" s="504"/>
      <c r="J80" s="515">
        <f>SUMIFS(BS_RE33!$H$7:$H$874,BS_RE33!$P$7:$P$874,G80,BS_RE33!$F$7:$F$874,'30 days CF Table(Ccy)'!$C$2)/1000000</f>
        <v>0</v>
      </c>
    </row>
    <row r="81" spans="2:10" ht="17.25" thickTop="1">
      <c r="C81" s="415"/>
      <c r="E81" s="425"/>
    </row>
    <row r="82" spans="2:10" ht="17.25" thickBot="1">
      <c r="C82" s="415"/>
      <c r="E82" s="425"/>
      <c r="H82" s="511" t="s">
        <v>60</v>
      </c>
    </row>
    <row r="83" spans="2:10" ht="17.25" thickTop="1">
      <c r="C83" s="415"/>
      <c r="E83" s="425"/>
      <c r="H83" s="508" t="s">
        <v>951</v>
      </c>
      <c r="I83" s="501" t="s">
        <v>1189</v>
      </c>
      <c r="J83" s="513">
        <f>SUMIFS(BS_RE33!$H$7:$H$874,BS_RE33!$N$7:$N$874,$H$82,BS_RE33!$F$7:$F$874,I83)/1000000</f>
        <v>0</v>
      </c>
    </row>
    <row r="84" spans="2:10">
      <c r="C84" s="415"/>
      <c r="E84" s="425"/>
      <c r="H84" s="509" t="s">
        <v>952</v>
      </c>
      <c r="I84" s="354" t="s">
        <v>1190</v>
      </c>
      <c r="J84" s="514">
        <f>SUMIFS(BS_RE33!$H$7:$H$874,BS_RE33!$N$7:$N$874,$H$82,BS_RE33!$F$7:$F$874,I84)/1000000</f>
        <v>0</v>
      </c>
    </row>
    <row r="85" spans="2:10">
      <c r="C85" s="415"/>
      <c r="E85" s="425"/>
      <c r="H85" s="509" t="s">
        <v>953</v>
      </c>
      <c r="I85" s="354" t="s">
        <v>1191</v>
      </c>
      <c r="J85" s="514">
        <f>SUMIFS(BS_RE33!$H$7:$H$874,BS_RE33!$N$7:$N$874,$H$82,BS_RE33!$F$7:$F$874,I85)/1000000</f>
        <v>0</v>
      </c>
    </row>
    <row r="86" spans="2:10">
      <c r="C86" s="415"/>
      <c r="E86" s="425"/>
      <c r="H86" s="509" t="s">
        <v>954</v>
      </c>
      <c r="I86" s="354" t="s">
        <v>1192</v>
      </c>
      <c r="J86" s="514">
        <f>SUMIFS(BS_RE33!$H$7:$H$874,BS_RE33!$N$7:$N$874,$H$82,BS_RE33!$F$7:$F$874,I86)/1000000</f>
        <v>0</v>
      </c>
    </row>
    <row r="87" spans="2:10">
      <c r="C87" s="415"/>
      <c r="E87" s="425"/>
      <c r="H87" s="509" t="s">
        <v>955</v>
      </c>
      <c r="I87" s="354" t="s">
        <v>1193</v>
      </c>
      <c r="J87" s="514">
        <f>SUMIFS(BS_RE33!$H$7:$H$874,BS_RE33!$N$7:$N$874,$H$82,BS_RE33!$F$7:$F$874,I87)/1000000</f>
        <v>0</v>
      </c>
    </row>
    <row r="88" spans="2:10">
      <c r="C88" s="415"/>
      <c r="E88" s="425"/>
      <c r="H88" s="509" t="s">
        <v>956</v>
      </c>
      <c r="I88" s="354" t="s">
        <v>1194</v>
      </c>
      <c r="J88" s="514">
        <f>SUMIFS(BS_RE33!$H$7:$H$874,BS_RE33!$N$7:$N$874,$H$82,BS_RE33!$F$7:$F$874,I88)/1000000</f>
        <v>0</v>
      </c>
    </row>
    <row r="89" spans="2:10">
      <c r="C89" s="415"/>
      <c r="E89" s="425"/>
      <c r="H89" s="509" t="s">
        <v>957</v>
      </c>
      <c r="I89" s="354" t="s">
        <v>1195</v>
      </c>
      <c r="J89" s="514">
        <f>SUMIFS(BS_RE33!$H$7:$H$874,BS_RE33!$N$7:$N$874,$H$82,BS_RE33!$F$7:$F$874,I89)/1000000</f>
        <v>0</v>
      </c>
    </row>
    <row r="90" spans="2:10" ht="17.25" thickBot="1">
      <c r="E90" s="425"/>
      <c r="H90" s="510" t="s">
        <v>958</v>
      </c>
      <c r="I90" s="504" t="s">
        <v>1196</v>
      </c>
      <c r="J90" s="515">
        <f>SUMIF(BS_RE33!$N$7:$N$874,$H$82,BS_RE33!$H$7:$H$874)/1000000-SUM(J83:J89)</f>
        <v>0</v>
      </c>
    </row>
    <row r="91" spans="2:10" ht="17.25" thickTop="1">
      <c r="J91" s="512" t="b">
        <f>SUM(J73:J80)=SUMIF($I$83:$I$90,C2,$J$83:$J$90)</f>
        <v>1</v>
      </c>
    </row>
    <row r="93" spans="2:10" ht="17.25" thickBot="1"/>
    <row r="94" spans="2:10" ht="17.25" thickBot="1">
      <c r="C94" s="343">
        <f>BS_RE33!N4</f>
        <v>46058</v>
      </c>
      <c r="D94" s="344" t="s">
        <v>809</v>
      </c>
    </row>
    <row r="95" spans="2:10" ht="17.25" thickBot="1"/>
    <row r="96" spans="2:10">
      <c r="B96" s="358"/>
      <c r="C96" s="359"/>
      <c r="D96" s="359"/>
      <c r="E96" s="359"/>
      <c r="F96" s="360"/>
    </row>
    <row r="97" spans="2:6">
      <c r="B97" s="361"/>
      <c r="C97" s="345" t="s">
        <v>80</v>
      </c>
      <c r="D97" s="346">
        <f>SUMIF($I$4:$I$64,C97,$K$4:$K$64)</f>
        <v>0</v>
      </c>
      <c r="E97" s="369"/>
      <c r="F97" s="362"/>
    </row>
    <row r="98" spans="2:6">
      <c r="B98" s="361"/>
      <c r="C98" s="353"/>
      <c r="D98" s="353"/>
      <c r="E98" s="354"/>
      <c r="F98" s="362"/>
    </row>
    <row r="99" spans="2:6">
      <c r="B99" s="361"/>
      <c r="C99" s="353"/>
      <c r="D99" s="629">
        <f>'Summary &amp; Working File(Ccy)'!F21</f>
        <v>0</v>
      </c>
      <c r="E99" s="355" t="s">
        <v>813</v>
      </c>
      <c r="F99" s="362"/>
    </row>
    <row r="100" spans="2:6">
      <c r="B100" s="361"/>
      <c r="C100" s="353"/>
      <c r="D100" s="353"/>
      <c r="E100" s="354"/>
      <c r="F100" s="362"/>
    </row>
    <row r="101" spans="2:6">
      <c r="B101" s="361"/>
      <c r="C101" s="353"/>
      <c r="D101" s="347">
        <f>'Summary &amp; Working File(Ccy)'!G21</f>
        <v>0</v>
      </c>
      <c r="E101" s="355" t="s">
        <v>814</v>
      </c>
      <c r="F101" s="362"/>
    </row>
    <row r="102" spans="2:6">
      <c r="B102" s="361"/>
      <c r="C102" s="353"/>
      <c r="D102" s="353"/>
      <c r="E102" s="354"/>
      <c r="F102" s="362"/>
    </row>
    <row r="103" spans="2:6">
      <c r="B103" s="361"/>
      <c r="C103" s="345" t="s">
        <v>811</v>
      </c>
      <c r="D103" s="348">
        <f>D97+D99+D101</f>
        <v>0</v>
      </c>
      <c r="E103" s="356"/>
      <c r="F103" s="362"/>
    </row>
    <row r="104" spans="2:6" ht="17.25" thickBot="1">
      <c r="B104" s="363"/>
      <c r="C104" s="364"/>
      <c r="D104" s="364"/>
      <c r="E104" s="365"/>
      <c r="F104" s="366"/>
    </row>
    <row r="105" spans="2:6">
      <c r="B105" s="358"/>
      <c r="C105" s="367"/>
      <c r="D105" s="367"/>
      <c r="E105" s="359"/>
      <c r="F105" s="360"/>
    </row>
    <row r="106" spans="2:6">
      <c r="B106" s="361"/>
      <c r="C106" s="349" t="s">
        <v>63</v>
      </c>
      <c r="D106" s="350">
        <f>SUMIF($I$4:$I$64,C106,$K$4:$K$64)</f>
        <v>0</v>
      </c>
      <c r="E106" s="369"/>
      <c r="F106" s="362"/>
    </row>
    <row r="107" spans="2:6">
      <c r="B107" s="361"/>
      <c r="C107" s="353"/>
      <c r="D107" s="353"/>
      <c r="E107" s="354"/>
      <c r="F107" s="362"/>
    </row>
    <row r="108" spans="2:6">
      <c r="B108" s="361"/>
      <c r="C108" s="353"/>
      <c r="D108" s="383">
        <f>D103*20%</f>
        <v>0</v>
      </c>
      <c r="E108" s="384" t="s">
        <v>812</v>
      </c>
      <c r="F108" s="385"/>
    </row>
    <row r="109" spans="2:6">
      <c r="B109" s="361"/>
      <c r="C109" s="353"/>
      <c r="D109" s="353"/>
      <c r="E109" s="354"/>
      <c r="F109" s="362"/>
    </row>
    <row r="110" spans="2:6">
      <c r="B110" s="361"/>
      <c r="C110" s="349" t="s">
        <v>815</v>
      </c>
      <c r="D110" s="350">
        <f>D106+D108</f>
        <v>0</v>
      </c>
      <c r="E110" s="356"/>
      <c r="F110" s="362"/>
    </row>
    <row r="111" spans="2:6">
      <c r="B111" s="361"/>
      <c r="C111" s="353"/>
      <c r="D111" s="353"/>
      <c r="E111" s="354"/>
      <c r="F111" s="362"/>
    </row>
    <row r="112" spans="2:6">
      <c r="B112" s="361"/>
      <c r="C112" s="349" t="s">
        <v>816</v>
      </c>
      <c r="D112" s="351">
        <f>MIN(D110,D103*75%)</f>
        <v>0</v>
      </c>
      <c r="E112" s="357" t="s">
        <v>819</v>
      </c>
      <c r="F112" s="362"/>
    </row>
    <row r="113" spans="2:6" ht="17.25" thickBot="1">
      <c r="B113" s="363"/>
      <c r="C113" s="365"/>
      <c r="D113" s="365"/>
      <c r="E113" s="365"/>
      <c r="F113" s="366"/>
    </row>
    <row r="114" spans="2:6">
      <c r="B114" s="358"/>
      <c r="C114" s="359"/>
      <c r="D114" s="359"/>
      <c r="E114" s="359"/>
      <c r="F114" s="360"/>
    </row>
    <row r="115" spans="2:6">
      <c r="B115" s="361"/>
      <c r="C115" s="372"/>
      <c r="D115" s="352">
        <f>D103-D112</f>
        <v>0</v>
      </c>
      <c r="E115" s="356" t="s">
        <v>818</v>
      </c>
      <c r="F115" s="362"/>
    </row>
    <row r="116" spans="2:6">
      <c r="B116" s="361"/>
      <c r="C116" s="354"/>
      <c r="D116" s="354"/>
      <c r="E116" s="354"/>
      <c r="F116" s="362"/>
    </row>
    <row r="117" spans="2:6">
      <c r="B117" s="361"/>
      <c r="C117" s="354"/>
      <c r="D117" s="352">
        <f>J83*1000000</f>
        <v>0</v>
      </c>
      <c r="E117" s="356" t="s">
        <v>820</v>
      </c>
      <c r="F117" s="362"/>
    </row>
    <row r="118" spans="2:6" ht="17.25" thickBot="1">
      <c r="B118" s="361"/>
      <c r="C118" s="354"/>
      <c r="D118" s="354"/>
      <c r="E118" s="354"/>
      <c r="F118" s="362"/>
    </row>
    <row r="119" spans="2:6" ht="18" thickTop="1" thickBot="1">
      <c r="B119" s="361"/>
      <c r="C119" s="354"/>
      <c r="D119" s="368" t="e">
        <f>D117/D115</f>
        <v>#DIV/0!</v>
      </c>
      <c r="E119" s="370" t="s">
        <v>821</v>
      </c>
      <c r="F119" s="362"/>
    </row>
    <row r="120" spans="2:6" ht="18" thickTop="1" thickBot="1">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13" priority="1" operator="containsText" text="false">
      <formula>NOT(ISERROR(SEARCH("false",J91)))</formula>
    </cfRule>
    <cfRule type="containsText" dxfId="12" priority="2" operator="containsText" text="true">
      <formula>NOT(ISERROR(SEARCH("true",J91)))</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1203</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Table(NZD)'!G4,BS_RE33!$F$7:$F$874,'30 days CF Table(NZD)'!$C$2)</f>
        <v>0</v>
      </c>
      <c r="M4" s="337">
        <f>SUMIFS(BS_RE33!$H$7:$H$874,BS_RE33!$S$7:$S$874,$M$2,BS_RE33!$N$7:$N$874,I4,BS_RE33!$P$7:$P$874,'30 days CF Table(NZD)'!G4,BS_RE33!$F$7:$F$874,'30 days CF Table(NZD)'!$C$2)</f>
        <v>0</v>
      </c>
      <c r="N4" s="337">
        <f>SUMIFS(BS_RE33!$H$7:$H$874,BS_RE33!$S$7:$S$874,$N$2,BS_RE33!$N$7:$N$874,I4,BS_RE33!$P$7:$P$874,'30 days CF Table(NZD)'!G4,BS_RE33!$F$7:$F$874,'30 days CF Table(NZD)'!$C$2)</f>
        <v>0</v>
      </c>
      <c r="O4" s="337">
        <f>SUMIFS(BS_RE33!$H$7:$H$874,BS_RE33!$S$7:$S$874,$O$2,BS_RE33!$N$7:$N$874,I4,BS_RE33!$P$7:$P$874,'30 days CF Table(NZD)'!G4,BS_RE33!$F$7:$F$874,'30 days CF Table(NZD)'!$C$2)</f>
        <v>0</v>
      </c>
      <c r="P4" s="337">
        <f>SUMIFS(BS_RE33!$H$7:$H$874,BS_RE33!$S$7:$S$874,$P$2,BS_RE33!$N$7:$N$874,I4,BS_RE33!$P$7:$P$874,'30 days CF Table(NZD)'!G4,BS_RE33!$F$7:$F$874,'30 days CF Table(NZD)'!$C$2)</f>
        <v>0</v>
      </c>
      <c r="Q4" s="337">
        <f>SUMIFS(BS_RE33!$H$7:$H$874,BS_RE33!$S$7:$S$874,$Q$2,BS_RE33!$N$7:$N$874,I4,BS_RE33!$P$7:$P$874,'30 days CF Table(NZD)'!G4,BS_RE33!$F$7:$F$874,'30 days CF Table(NZD)'!$C$2)</f>
        <v>0</v>
      </c>
      <c r="R4" s="337">
        <f>SUMIFS(BS_RE33!$H$7:$H$874,BS_RE33!$S$7:$S$874,$R$2,BS_RE33!$N$7:$N$874,I4,BS_RE33!$P$7:$P$874,'30 days CF Table(NZD)'!G4,BS_RE33!$F$7:$F$874,'30 days CF Table(NZD)'!$C$2)</f>
        <v>0</v>
      </c>
      <c r="S4" s="337">
        <f>SUMIFS(BS_RE33!$H$7:$H$874,BS_RE33!$S$7:$S$874,$S$2,BS_RE33!$N$7:$N$874,I4,BS_RE33!$P$7:$P$874,'30 days CF Table(NZD)'!G4,BS_RE33!$F$7:$F$874,'30 days CF Table(NZD)'!$C$2)</f>
        <v>0</v>
      </c>
      <c r="T4" s="337">
        <f>SUMIFS(BS_RE33!$H$7:$H$874,BS_RE33!$S$7:$S$874,$T$2,BS_RE33!$N$7:$N$874,I4,BS_RE33!$P$7:$P$874,'30 days CF Table(NZD)'!G4,BS_RE33!$F$7:$F$874,'30 days CF Table(NZD)'!$C$2)</f>
        <v>0</v>
      </c>
      <c r="U4" s="337">
        <f>SUMIFS(BS_RE33!$H$7:$H$874,BS_RE33!$S$7:$S$874,$U$2,BS_RE33!$N$7:$N$874,I4,BS_RE33!$P$7:$P$874,'30 days CF Table(NZD)'!G4,BS_RE33!$F$7:$F$874,'30 days CF Table(NZD)'!$C$2)</f>
        <v>0</v>
      </c>
      <c r="V4" s="337">
        <f>SUMIFS(BS_RE33!$H$7:$H$874,BS_RE33!$S$7:$S$874,$V$2,BS_RE33!$N$7:$N$874,I4,BS_RE33!$P$7:$P$874,'30 days CF Table(NZD)'!G4,BS_RE33!$F$7:$F$874,'30 days CF Table(NZD)'!$C$2)</f>
        <v>0</v>
      </c>
      <c r="W4" s="337">
        <f>SUMIFS(BS_RE33!$H$7:$H$874,BS_RE33!$S$7:$S$874,$W$2,BS_RE33!$N$7:$N$874,I4,BS_RE33!$P$7:$P$874,'30 days CF Table(NZD)'!G4,BS_RE33!$F$7:$F$874,'30 days CF Table(NZD)'!$C$2)</f>
        <v>0</v>
      </c>
      <c r="X4" s="337">
        <f>SUMIFS(BS_RE33!$H$7:$H$874,BS_RE33!$S$7:$S$874,$X$2,BS_RE33!$N$7:$N$874,I4,BS_RE33!$P$7:$P$874,'30 days CF Table(NZD)'!G4,BS_RE33!$F$7:$F$874,'30 days CF Table(NZD)'!$C$2)</f>
        <v>0</v>
      </c>
      <c r="Y4" s="337">
        <f>SUMIFS(BS_RE33!$H$7:$H$874,BS_RE33!$S$7:$S$874,$Y$2,BS_RE33!$N$7:$N$874,I4,BS_RE33!$P$7:$P$874,'30 days CF Table(NZD)'!G4,BS_RE33!$F$7:$F$874,'30 days CF Table(NZD)'!$C$2)</f>
        <v>0</v>
      </c>
      <c r="Z4" s="337">
        <f>SUMIFS(BS_RE33!$H$7:$H$874,BS_RE33!$S$7:$S$874,$Z$2,BS_RE33!$N$7:$N$874,I4,BS_RE33!$P$7:$P$874,'30 days CF Table(NZD)'!G4,BS_RE33!$F$7:$F$874,'30 days CF Table(NZD)'!$C$2)</f>
        <v>0</v>
      </c>
      <c r="AA4" s="337">
        <f>SUMIFS(BS_RE33!$H$7:$H$874,BS_RE33!$S$7:$S$874,$AA$2,BS_RE33!$N$7:$N$874,I4,BS_RE33!$P$7:$P$874,'30 days CF Table(NZD)'!G4,BS_RE33!$F$7:$F$874,'30 days CF Table(NZD)'!$C$2)</f>
        <v>0</v>
      </c>
      <c r="AB4" s="337">
        <f>SUMIFS(BS_RE33!$H$7:$H$874,BS_RE33!$S$7:$S$874,$AB$2,BS_RE33!$N$7:$N$874,I4,BS_RE33!$P$7:$P$874,'30 days CF Table(NZD)'!G4,BS_RE33!$F$7:$F$874,'30 days CF Table(NZD)'!$C$2)</f>
        <v>0</v>
      </c>
      <c r="AC4" s="337">
        <f>SUMIFS(BS_RE33!$H$7:$H$874,BS_RE33!$S$7:$S$874,$AC$2,BS_RE33!$N$7:$N$874,I4,BS_RE33!$P$7:$P$874,'30 days CF Table(NZD)'!G4,BS_RE33!$F$7:$F$874,'30 days CF Table(NZD)'!$C$2)</f>
        <v>0</v>
      </c>
      <c r="AD4" s="337">
        <f>SUMIFS(BS_RE33!$H$7:$H$874,BS_RE33!$S$7:$S$874,$AD$2,BS_RE33!$N$7:$N$874,I4,BS_RE33!$P$7:$P$874,'30 days CF Table(NZD)'!G4,BS_RE33!$F$7:$F$874,'30 days CF Table(NZD)'!$C$2)</f>
        <v>0</v>
      </c>
      <c r="AE4" s="337">
        <f>SUMIFS(BS_RE33!$H$7:$H$874,BS_RE33!$S$7:$S$874,$AE$2,BS_RE33!$N$7:$N$874,I4,BS_RE33!$P$7:$P$874,'30 days CF Table(NZD)'!G4,BS_RE33!$F$7:$F$874,'30 days CF Table(NZD)'!$C$2)</f>
        <v>0</v>
      </c>
      <c r="AF4" s="337">
        <f>SUMIFS(BS_RE33!$H$7:$H$874,BS_RE33!$S$7:$S$874,$AF$2,BS_RE33!$N$7:$N$874,I4,BS_RE33!$P$7:$P$874,'30 days CF Table(NZD)'!G4,BS_RE33!$F$7:$F$874,'30 days CF Table(NZD)'!$C$2)</f>
        <v>0</v>
      </c>
      <c r="AG4" s="337">
        <f>SUMIFS(BS_RE33!$H$7:$H$874,BS_RE33!$S$7:$S$874,$AG$2,BS_RE33!$N$7:$N$874,I4,BS_RE33!$P$7:$P$874,'30 days CF Table(NZD)'!G4,BS_RE33!$F$7:$F$874,'30 days CF Table(NZD)'!$C$2)</f>
        <v>0</v>
      </c>
      <c r="AH4" s="337">
        <f>SUMIFS(BS_RE33!$H$7:$H$874,BS_RE33!$S$7:$S$874,$AH$2,BS_RE33!$N$7:$N$874,I4,BS_RE33!$P$7:$P$874,'30 days CF Table(NZD)'!G4,BS_RE33!$F$7:$F$874,'30 days CF Table(NZD)'!$C$2)</f>
        <v>0</v>
      </c>
      <c r="AI4" s="337">
        <f>SUMIFS(BS_RE33!$H$7:$H$874,BS_RE33!$S$7:$S$874,$AI$2,BS_RE33!$N$7:$N$874,I4,BS_RE33!$P$7:$P$874,'30 days CF Table(NZD)'!G4,BS_RE33!$F$7:$F$874,'30 days CF Table(NZD)'!$C$2)</f>
        <v>0</v>
      </c>
      <c r="AJ4" s="337">
        <f>SUMIFS(BS_RE33!$H$7:$H$874,BS_RE33!$S$7:$S$874,$AJ$2,BS_RE33!$N$7:$N$874,I4,BS_RE33!$P$7:$P$874,'30 days CF Table(NZD)'!G4,BS_RE33!$F$7:$F$874,'30 days CF Table(NZD)'!$C$2)</f>
        <v>0</v>
      </c>
      <c r="AK4" s="337">
        <f>SUMIFS(BS_RE33!$H$7:$H$874,BS_RE33!$S$7:$S$874,$AK$2,BS_RE33!$N$7:$N$874,I4,BS_RE33!$P$7:$P$874,'30 days CF Table(NZD)'!G4,BS_RE33!$F$7:$F$874,'30 days CF Table(NZD)'!$C$2)</f>
        <v>0</v>
      </c>
      <c r="AL4" s="337">
        <f>SUMIFS(BS_RE33!$H$7:$H$874,BS_RE33!$S$7:$S$874,$AL$2,BS_RE33!$N$7:$N$874,I4,BS_RE33!$P$7:$P$874,'30 days CF Table(NZD)'!G4,BS_RE33!$F$7:$F$874,'30 days CF Table(NZD)'!$C$2)</f>
        <v>0</v>
      </c>
      <c r="AM4" s="337">
        <f>SUMIFS(BS_RE33!$H$7:$H$874,BS_RE33!$S$7:$S$874,$AM$2,BS_RE33!$N$7:$N$874,I4,BS_RE33!$P$7:$P$874,'30 days CF Table(NZD)'!G4,BS_RE33!$F$7:$F$874,'30 days CF Table(NZD)'!$C$2)</f>
        <v>0</v>
      </c>
      <c r="AN4" s="337">
        <f>SUMIFS(BS_RE33!$H$7:$H$874,BS_RE33!$S$7:$S$874,$AN$2,BS_RE33!$N$7:$N$874,I4,BS_RE33!$P$7:$P$874,'30 days CF Table(NZD)'!G4,BS_RE33!$F$7:$F$874,'30 days CF Table(NZD)'!$C$2)</f>
        <v>0</v>
      </c>
      <c r="AO4" s="337">
        <f>SUMIFS(BS_RE33!$H$7:$H$874,BS_RE33!$S$7:$S$874,$AO$2,BS_RE33!$N$7:$N$874,I4,BS_RE33!$P$7:$P$874,'30 days CF Table(NZD)'!G4,BS_RE33!$F$7:$F$874,'30 days CF Table(NZD)'!$C$2)</f>
        <v>0</v>
      </c>
      <c r="AP4" s="338">
        <f>SUMIFS(BS_RE33!$H$7:$H$874,BS_RE33!$S$7:$S$874,$AP$2,BS_RE33!$N$7:$N$874,I4,BS_RE33!$P$7:$P$874,'30 days CF Table(NZD)'!G4,BS_RE33!$F$7:$F$874,'30 days CF Table(NZD)'!$C$2)</f>
        <v>0</v>
      </c>
      <c r="AQ4" s="545"/>
      <c r="AR4" s="379">
        <f>SUMIFS(BS_RE33!$H$7:$H$874,BS_RE33!$S$7:$S$874,$AR$2,BS_RE33!$N$7:$N$874,I4,BS_RE33!$P$7:$P$874,'30 days CF Table(NZD)'!G4,BS_RE33!$F$7:$F$874,'30 days CF Table(NZD)'!$C$2)</f>
        <v>0</v>
      </c>
      <c r="AS4" s="379">
        <f>SUMIFS(BS_RE33!$H$7:$H$874,BS_RE33!$S$7:$S$874,$AS$2,BS_RE33!$N$7:$N$874,I4,BS_RE33!$P$7:$P$874,'30 days CF Table(NZD)'!G4,BS_RE33!$F$7:$F$874,'30 days CF Table(NZD)'!$C$2)</f>
        <v>0</v>
      </c>
      <c r="AT4" s="379">
        <f>SUMIFS(BS_RE33!$H$7:$H$874,BS_RE33!$S$7:$S$874,$AT$2,BS_RE33!$N$7:$N$874,I4,BS_RE33!$P$7:$P$874,'30 days CF Table(NZD)'!G4,BS_RE33!$F$7:$F$874,'30 days CF Table(NZD)'!$C$2)</f>
        <v>0</v>
      </c>
      <c r="AU4" s="379">
        <f>SUMIFS(BS_RE33!$H$7:$H$874,BS_RE33!$S$7:$S$874,$AU$2,BS_RE33!$N$7:$N$874,I4,BS_RE33!$P$7:$P$874,'30 days CF Table(NZD)'!G4,BS_RE33!$F$7:$F$874,'30 days CF Table(NZD)'!$C$2)</f>
        <v>0</v>
      </c>
      <c r="AV4" s="379">
        <f>SUMIFS(BS_RE33!$H$7:$H$874,BS_RE33!$S$7:$S$874,$AV$2,BS_RE33!$N$7:$N$874,I4,BS_RE33!$P$7:$P$874,'30 days CF Table(NZD)'!G4,BS_RE33!$F$7:$F$874,'30 days CF Table(NZD)'!$C$2)</f>
        <v>0</v>
      </c>
      <c r="AW4" s="379">
        <f>SUMIFS(BS_RE33!$H$7:$H$874,BS_RE33!$S$7:$S$874,$AW$2,BS_RE33!$N$7:$N$874,I4,BS_RE33!$P$7:$P$874,'30 days CF Table(NZD)'!G4,BS_RE33!$F$7:$F$874,'30 days CF Table(NZD)'!$C$2)</f>
        <v>0</v>
      </c>
      <c r="AX4" s="379">
        <f>SUMIFS(BS_RE33!$H$7:$H$874,BS_RE33!$S$7:$S$874,$AX$2,BS_RE33!$N$7:$N$874,I4,BS_RE33!$P$7:$P$874,'30 days CF Table(NZD)'!G4,BS_RE33!$F$7:$F$874,'30 days CF Table(NZD)'!$C$2)</f>
        <v>0</v>
      </c>
      <c r="AY4" s="379">
        <f>SUMIFS(BS_RE33!$H$7:$H$874,BS_RE33!$S$7:$S$874,$AY$2,BS_RE33!$N$7:$N$874,I4,BS_RE33!$P$7:$P$874,'30 days CF Table(NZD)'!G4,BS_RE33!$F$7:$F$874,'30 days CF Table(NZD)'!$C$2)</f>
        <v>0</v>
      </c>
      <c r="AZ4" s="379">
        <f>SUMIFS(BS_RE33!$H$7:$H$874,BS_RE33!$S$7:$S$874,$AZ$2,BS_RE33!$N$7:$N$874,I4,BS_RE33!$P$7:$P$874,'30 days CF Table(NZD)'!G4,BS_RE33!$F$7:$F$874,'30 days CF Table(NZD)'!$C$2)</f>
        <v>0</v>
      </c>
      <c r="BA4" s="379">
        <f>SUMIFS(BS_RE33!$H$7:$H$874,BS_RE33!$S$7:$S$874,$BA$2,BS_RE33!$N$7:$N$874,I4,BS_RE33!$P$7:$P$874,'30 days CF Table(NZD)'!G4,BS_RE33!$F$7:$F$874,'30 days CF Table(NZD)'!$C$2)</f>
        <v>0</v>
      </c>
      <c r="BB4" s="379">
        <f>SUMIFS(BS_RE33!$H$7:$H$874,BS_RE33!$S$7:$S$874,$BB$2,BS_RE33!$N$7:$N$874,I4,BS_RE33!$P$7:$P$874,'30 days CF Table(NZD)'!G4,BS_RE33!$F$7:$F$874,'30 days CF Table(NZD)'!$C$2)</f>
        <v>0</v>
      </c>
      <c r="BC4" s="379">
        <f>SUMIFS(BS_RE33!$H$7:$H$874,BS_RE33!$S$7:$S$874,$BC$2,BS_RE33!$N$7:$N$874,I4,BS_RE33!$P$7:$P$874,'30 days CF Table(NZD)'!G4,BS_RE33!$F$7:$F$874,'30 days CF Table(NZD)'!$C$2)</f>
        <v>0</v>
      </c>
      <c r="BD4" s="379">
        <f>SUMIFS(BS_RE33!$H$7:$H$874,BS_RE33!$S$7:$S$874,$BD$2,BS_RE33!$N$7:$N$874,I4,BS_RE33!$P$7:$P$874,'30 days CF Table(NZD)'!G4,BS_RE33!$F$7:$F$874,'30 days CF Table(NZD)'!$C$2)</f>
        <v>0</v>
      </c>
      <c r="BE4" s="379">
        <f>SUMIFS(BS_RE33!$H$7:$H$874,BS_RE33!$S$7:$S$874,$BE$2,BS_RE33!$N$7:$N$874,I4,BS_RE33!$P$7:$P$874,'30 days CF Table(NZD)'!G4,BS_RE33!$F$7:$F$874,'30 days CF Table(NZD)'!$C$2)</f>
        <v>0</v>
      </c>
      <c r="BF4" s="379">
        <f>SUMIFS(BS_RE33!$H$7:$H$874,BS_RE33!$S$7:$S$874,$BF$2,BS_RE33!$N$7:$N$874,I4,BS_RE33!$P$7:$P$874,'30 days CF Table(NZD)'!G4,BS_RE33!$F$7:$F$874,'30 days CF Table(NZD)'!$C$2)</f>
        <v>0</v>
      </c>
      <c r="BG4" s="379">
        <f>SUMIFS(BS_RE33!$H$7:$H$874,BS_RE33!$S$7:$S$874,$BG$2,BS_RE33!$N$7:$N$874,I4,BS_RE33!$P$7:$P$874,'30 days CF Table(NZD)'!G4,BS_RE33!$F$7:$F$874,'30 days CF Table(NZD)'!$C$2)</f>
        <v>0</v>
      </c>
      <c r="BH4" s="379">
        <f>SUMIFS(BS_RE33!$H$7:$H$874,BS_RE33!$S$7:$S$874,$BH$2,BS_RE33!$N$7:$N$874,I4,BS_RE33!$P$7:$P$874,'30 days CF Table(NZD)'!G4,BS_RE33!$F$7:$F$874,'30 days CF Table(NZD)'!$C$2)</f>
        <v>0</v>
      </c>
      <c r="BI4" s="379">
        <f>SUMIFS(BS_RE33!$H$7:$H$874,BS_RE33!$S$7:$S$874,$BI$2,BS_RE33!$N$7:$N$874,I4,BS_RE33!$P$7:$P$874,'30 days CF Table(NZD)'!G4,BS_RE33!$F$7:$F$874,'30 days CF Table(NZD)'!$C$2)</f>
        <v>0</v>
      </c>
      <c r="BJ4" s="379">
        <f>SUMIFS(BS_RE33!$H$7:$H$874,BS_RE33!$S$7:$S$874,$BJ$2,BS_RE33!$N$7:$N$874,I4,BS_RE33!$P$7:$P$874,'30 days CF Table(NZD)'!G4,BS_RE33!$F$7:$F$874,'30 days CF Table(NZD)'!$C$2)</f>
        <v>0</v>
      </c>
      <c r="BK4" s="379">
        <f>SUMIFS(BS_RE33!$H$7:$H$874,BS_RE33!$S$7:$S$874,$BK$2,BS_RE33!$N$7:$N$874,I4,BS_RE33!$P$7:$P$874,'30 days CF Table(NZD)'!G4,BS_RE33!$F$7:$F$874,'30 days CF Table(NZD)'!$C$2)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Table(NZD)'!G5,BS_RE33!$F$7:$F$874,'30 days CF Table(NZD)'!$C$2)</f>
        <v>0</v>
      </c>
      <c r="M5" s="337">
        <f>SUMIFS(BS_RE33!$H$7:$H$874,BS_RE33!$S$7:$S$874,$M$2,BS_RE33!$N$7:$N$874,I5,BS_RE33!$P$7:$P$874,'30 days CF Table(NZD)'!G5,BS_RE33!$F$7:$F$874,'30 days CF Table(NZD)'!$C$2)</f>
        <v>0</v>
      </c>
      <c r="N5" s="337">
        <f>SUMIFS(BS_RE33!$H$7:$H$874,BS_RE33!$S$7:$S$874,$N$2,BS_RE33!$N$7:$N$874,I5,BS_RE33!$P$7:$P$874,'30 days CF Table(NZD)'!G5,BS_RE33!$F$7:$F$874,'30 days CF Table(NZD)'!$C$2)</f>
        <v>0</v>
      </c>
      <c r="O5" s="337">
        <f>SUMIFS(BS_RE33!$H$7:$H$874,BS_RE33!$S$7:$S$874,$O$2,BS_RE33!$N$7:$N$874,I5,BS_RE33!$P$7:$P$874,'30 days CF Table(NZD)'!G5,BS_RE33!$F$7:$F$874,'30 days CF Table(NZD)'!$C$2)</f>
        <v>0</v>
      </c>
      <c r="P5" s="337">
        <f>SUMIFS(BS_RE33!$H$7:$H$874,BS_RE33!$S$7:$S$874,$P$2,BS_RE33!$N$7:$N$874,I5,BS_RE33!$P$7:$P$874,'30 days CF Table(NZD)'!G5,BS_RE33!$F$7:$F$874,'30 days CF Table(NZD)'!$C$2)</f>
        <v>0</v>
      </c>
      <c r="Q5" s="337">
        <f>SUMIFS(BS_RE33!$H$7:$H$874,BS_RE33!$S$7:$S$874,$Q$2,BS_RE33!$N$7:$N$874,I5,BS_RE33!$P$7:$P$874,'30 days CF Table(NZD)'!G5,BS_RE33!$F$7:$F$874,'30 days CF Table(NZD)'!$C$2)</f>
        <v>0</v>
      </c>
      <c r="R5" s="337">
        <f>SUMIFS(BS_RE33!$H$7:$H$874,BS_RE33!$S$7:$S$874,$R$2,BS_RE33!$N$7:$N$874,I5,BS_RE33!$P$7:$P$874,'30 days CF Table(NZD)'!G5,BS_RE33!$F$7:$F$874,'30 days CF Table(NZD)'!$C$2)</f>
        <v>0</v>
      </c>
      <c r="S5" s="337">
        <f>SUMIFS(BS_RE33!$H$7:$H$874,BS_RE33!$S$7:$S$874,$S$2,BS_RE33!$N$7:$N$874,I5,BS_RE33!$P$7:$P$874,'30 days CF Table(NZD)'!G5,BS_RE33!$F$7:$F$874,'30 days CF Table(NZD)'!$C$2)</f>
        <v>0</v>
      </c>
      <c r="T5" s="337">
        <f>SUMIFS(BS_RE33!$H$7:$H$874,BS_RE33!$S$7:$S$874,$T$2,BS_RE33!$N$7:$N$874,I5,BS_RE33!$P$7:$P$874,'30 days CF Table(NZD)'!G5,BS_RE33!$F$7:$F$874,'30 days CF Table(NZD)'!$C$2)</f>
        <v>0</v>
      </c>
      <c r="U5" s="337">
        <f>SUMIFS(BS_RE33!$H$7:$H$874,BS_RE33!$S$7:$S$874,$U$2,BS_RE33!$N$7:$N$874,I5,BS_RE33!$P$7:$P$874,'30 days CF Table(NZD)'!G5,BS_RE33!$F$7:$F$874,'30 days CF Table(NZD)'!$C$2)</f>
        <v>0</v>
      </c>
      <c r="V5" s="337">
        <f>SUMIFS(BS_RE33!$H$7:$H$874,BS_RE33!$S$7:$S$874,$V$2,BS_RE33!$N$7:$N$874,I5,BS_RE33!$P$7:$P$874,'30 days CF Table(NZD)'!G5,BS_RE33!$F$7:$F$874,'30 days CF Table(NZD)'!$C$2)</f>
        <v>0</v>
      </c>
      <c r="W5" s="337">
        <f>SUMIFS(BS_RE33!$H$7:$H$874,BS_RE33!$S$7:$S$874,$W$2,BS_RE33!$N$7:$N$874,I5,BS_RE33!$P$7:$P$874,'30 days CF Table(NZD)'!G5,BS_RE33!$F$7:$F$874,'30 days CF Table(NZD)'!$C$2)</f>
        <v>0</v>
      </c>
      <c r="X5" s="337">
        <f>SUMIFS(BS_RE33!$H$7:$H$874,BS_RE33!$S$7:$S$874,$X$2,BS_RE33!$N$7:$N$874,I5,BS_RE33!$P$7:$P$874,'30 days CF Table(NZD)'!G5,BS_RE33!$F$7:$F$874,'30 days CF Table(NZD)'!$C$2)</f>
        <v>0</v>
      </c>
      <c r="Y5" s="337">
        <f>SUMIFS(BS_RE33!$H$7:$H$874,BS_RE33!$S$7:$S$874,$Y$2,BS_RE33!$N$7:$N$874,I5,BS_RE33!$P$7:$P$874,'30 days CF Table(NZD)'!G5,BS_RE33!$F$7:$F$874,'30 days CF Table(NZD)'!$C$2)</f>
        <v>0</v>
      </c>
      <c r="Z5" s="337">
        <f>SUMIFS(BS_RE33!$H$7:$H$874,BS_RE33!$S$7:$S$874,$Z$2,BS_RE33!$N$7:$N$874,I5,BS_RE33!$P$7:$P$874,'30 days CF Table(NZD)'!G5,BS_RE33!$F$7:$F$874,'30 days CF Table(NZD)'!$C$2)</f>
        <v>0</v>
      </c>
      <c r="AA5" s="337">
        <f>SUMIFS(BS_RE33!$H$7:$H$874,BS_RE33!$S$7:$S$874,$AA$2,BS_RE33!$N$7:$N$874,I5,BS_RE33!$P$7:$P$874,'30 days CF Table(NZD)'!G5,BS_RE33!$F$7:$F$874,'30 days CF Table(NZD)'!$C$2)</f>
        <v>0</v>
      </c>
      <c r="AB5" s="337">
        <f>SUMIFS(BS_RE33!$H$7:$H$874,BS_RE33!$S$7:$S$874,$AB$2,BS_RE33!$N$7:$N$874,I5,BS_RE33!$P$7:$P$874,'30 days CF Table(NZD)'!G5,BS_RE33!$F$7:$F$874,'30 days CF Table(NZD)'!$C$2)</f>
        <v>0</v>
      </c>
      <c r="AC5" s="337">
        <f>SUMIFS(BS_RE33!$H$7:$H$874,BS_RE33!$S$7:$S$874,$AC$2,BS_RE33!$N$7:$N$874,I5,BS_RE33!$P$7:$P$874,'30 days CF Table(NZD)'!G5,BS_RE33!$F$7:$F$874,'30 days CF Table(NZD)'!$C$2)</f>
        <v>0</v>
      </c>
      <c r="AD5" s="337">
        <f>SUMIFS(BS_RE33!$H$7:$H$874,BS_RE33!$S$7:$S$874,$AD$2,BS_RE33!$N$7:$N$874,I5,BS_RE33!$P$7:$P$874,'30 days CF Table(NZD)'!G5,BS_RE33!$F$7:$F$874,'30 days CF Table(NZD)'!$C$2)</f>
        <v>0</v>
      </c>
      <c r="AE5" s="337">
        <f>SUMIFS(BS_RE33!$H$7:$H$874,BS_RE33!$S$7:$S$874,$AE$2,BS_RE33!$N$7:$N$874,I5,BS_RE33!$P$7:$P$874,'30 days CF Table(NZD)'!G5,BS_RE33!$F$7:$F$874,'30 days CF Table(NZD)'!$C$2)</f>
        <v>0</v>
      </c>
      <c r="AF5" s="337">
        <f>SUMIFS(BS_RE33!$H$7:$H$874,BS_RE33!$S$7:$S$874,$AF$2,BS_RE33!$N$7:$N$874,I5,BS_RE33!$P$7:$P$874,'30 days CF Table(NZD)'!G5,BS_RE33!$F$7:$F$874,'30 days CF Table(NZD)'!$C$2)</f>
        <v>0</v>
      </c>
      <c r="AG5" s="337">
        <f>SUMIFS(BS_RE33!$H$7:$H$874,BS_RE33!$S$7:$S$874,$AG$2,BS_RE33!$N$7:$N$874,I5,BS_RE33!$P$7:$P$874,'30 days CF Table(NZD)'!G5,BS_RE33!$F$7:$F$874,'30 days CF Table(NZD)'!$C$2)</f>
        <v>0</v>
      </c>
      <c r="AH5" s="337">
        <f>SUMIFS(BS_RE33!$H$7:$H$874,BS_RE33!$S$7:$S$874,$AH$2,BS_RE33!$N$7:$N$874,I5,BS_RE33!$P$7:$P$874,'30 days CF Table(NZD)'!G5,BS_RE33!$F$7:$F$874,'30 days CF Table(NZD)'!$C$2)</f>
        <v>0</v>
      </c>
      <c r="AI5" s="337">
        <f>SUMIFS(BS_RE33!$H$7:$H$874,BS_RE33!$S$7:$S$874,$AI$2,BS_RE33!$N$7:$N$874,I5,BS_RE33!$P$7:$P$874,'30 days CF Table(NZD)'!G5,BS_RE33!$F$7:$F$874,'30 days CF Table(NZD)'!$C$2)</f>
        <v>0</v>
      </c>
      <c r="AJ5" s="337">
        <f>SUMIFS(BS_RE33!$H$7:$H$874,BS_RE33!$S$7:$S$874,$AJ$2,BS_RE33!$N$7:$N$874,I5,BS_RE33!$P$7:$P$874,'30 days CF Table(NZD)'!G5,BS_RE33!$F$7:$F$874,'30 days CF Table(NZD)'!$C$2)</f>
        <v>0</v>
      </c>
      <c r="AK5" s="337">
        <f>SUMIFS(BS_RE33!$H$7:$H$874,BS_RE33!$S$7:$S$874,$AK$2,BS_RE33!$N$7:$N$874,I5,BS_RE33!$P$7:$P$874,'30 days CF Table(NZD)'!G5,BS_RE33!$F$7:$F$874,'30 days CF Table(NZD)'!$C$2)</f>
        <v>0</v>
      </c>
      <c r="AL5" s="337">
        <f>SUMIFS(BS_RE33!$H$7:$H$874,BS_RE33!$S$7:$S$874,$AL$2,BS_RE33!$N$7:$N$874,I5,BS_RE33!$P$7:$P$874,'30 days CF Table(NZD)'!G5,BS_RE33!$F$7:$F$874,'30 days CF Table(NZD)'!$C$2)</f>
        <v>0</v>
      </c>
      <c r="AM5" s="337">
        <f>SUMIFS(BS_RE33!$H$7:$H$874,BS_RE33!$S$7:$S$874,$AM$2,BS_RE33!$N$7:$N$874,I5,BS_RE33!$P$7:$P$874,'30 days CF Table(NZD)'!G5,BS_RE33!$F$7:$F$874,'30 days CF Table(NZD)'!$C$2)</f>
        <v>0</v>
      </c>
      <c r="AN5" s="337">
        <f>SUMIFS(BS_RE33!$H$7:$H$874,BS_RE33!$S$7:$S$874,$AN$2,BS_RE33!$N$7:$N$874,I5,BS_RE33!$P$7:$P$874,'30 days CF Table(NZD)'!G5,BS_RE33!$F$7:$F$874,'30 days CF Table(NZD)'!$C$2)</f>
        <v>0</v>
      </c>
      <c r="AO5" s="337">
        <f>SUMIFS(BS_RE33!$H$7:$H$874,BS_RE33!$S$7:$S$874,$AO$2,BS_RE33!$N$7:$N$874,I5,BS_RE33!$P$7:$P$874,'30 days CF Table(NZD)'!G5,BS_RE33!$F$7:$F$874,'30 days CF Table(NZD)'!$C$2)</f>
        <v>0</v>
      </c>
      <c r="AP5" s="338">
        <f>SUMIFS(BS_RE33!$H$7:$H$874,BS_RE33!$S$7:$S$874,$AP$2,BS_RE33!$N$7:$N$874,I5,BS_RE33!$P$7:$P$874,'30 days CF Table(NZD)'!G5,BS_RE33!$F$7:$F$874,'30 days CF Table(NZD)'!$C$2)</f>
        <v>0</v>
      </c>
      <c r="AQ5" s="545"/>
      <c r="AR5" s="379">
        <f>SUMIFS(BS_RE33!$H$7:$H$874,BS_RE33!$S$7:$S$874,$AR$2,BS_RE33!$N$7:$N$874,I5,BS_RE33!$P$7:$P$874,'30 days CF Table(NZD)'!G5,BS_RE33!$F$7:$F$874,'30 days CF Table(NZD)'!$C$2)</f>
        <v>0</v>
      </c>
      <c r="AS5" s="379">
        <f>SUMIFS(BS_RE33!$H$7:$H$874,BS_RE33!$S$7:$S$874,$AS$2,BS_RE33!$N$7:$N$874,I5,BS_RE33!$P$7:$P$874,'30 days CF Table(NZD)'!G5,BS_RE33!$F$7:$F$874,'30 days CF Table(NZD)'!$C$2)</f>
        <v>0</v>
      </c>
      <c r="AT5" s="379">
        <f>SUMIFS(BS_RE33!$H$7:$H$874,BS_RE33!$S$7:$S$874,$AT$2,BS_RE33!$N$7:$N$874,I5,BS_RE33!$P$7:$P$874,'30 days CF Table(NZD)'!G5,BS_RE33!$F$7:$F$874,'30 days CF Table(NZD)'!$C$2)</f>
        <v>0</v>
      </c>
      <c r="AU5" s="379">
        <f>SUMIFS(BS_RE33!$H$7:$H$874,BS_RE33!$S$7:$S$874,$AU$2,BS_RE33!$N$7:$N$874,I5,BS_RE33!$P$7:$P$874,'30 days CF Table(NZD)'!G5,BS_RE33!$F$7:$F$874,'30 days CF Table(NZD)'!$C$2)</f>
        <v>0</v>
      </c>
      <c r="AV5" s="379">
        <f>SUMIFS(BS_RE33!$H$7:$H$874,BS_RE33!$S$7:$S$874,$AV$2,BS_RE33!$N$7:$N$874,I5,BS_RE33!$P$7:$P$874,'30 days CF Table(NZD)'!G5,BS_RE33!$F$7:$F$874,'30 days CF Table(NZD)'!$C$2)</f>
        <v>0</v>
      </c>
      <c r="AW5" s="379">
        <f>SUMIFS(BS_RE33!$H$7:$H$874,BS_RE33!$S$7:$S$874,$AW$2,BS_RE33!$N$7:$N$874,I5,BS_RE33!$P$7:$P$874,'30 days CF Table(NZD)'!G5,BS_RE33!$F$7:$F$874,'30 days CF Table(NZD)'!$C$2)</f>
        <v>0</v>
      </c>
      <c r="AX5" s="379">
        <f>SUMIFS(BS_RE33!$H$7:$H$874,BS_RE33!$S$7:$S$874,$AX$2,BS_RE33!$N$7:$N$874,I5,BS_RE33!$P$7:$P$874,'30 days CF Table(NZD)'!G5,BS_RE33!$F$7:$F$874,'30 days CF Table(NZD)'!$C$2)</f>
        <v>0</v>
      </c>
      <c r="AY5" s="379">
        <f>SUMIFS(BS_RE33!$H$7:$H$874,BS_RE33!$S$7:$S$874,$AY$2,BS_RE33!$N$7:$N$874,I5,BS_RE33!$P$7:$P$874,'30 days CF Table(NZD)'!G5,BS_RE33!$F$7:$F$874,'30 days CF Table(NZD)'!$C$2)</f>
        <v>0</v>
      </c>
      <c r="AZ5" s="379">
        <f>SUMIFS(BS_RE33!$H$7:$H$874,BS_RE33!$S$7:$S$874,$AZ$2,BS_RE33!$N$7:$N$874,I5,BS_RE33!$P$7:$P$874,'30 days CF Table(NZD)'!G5,BS_RE33!$F$7:$F$874,'30 days CF Table(NZD)'!$C$2)</f>
        <v>0</v>
      </c>
      <c r="BA5" s="379">
        <f>SUMIFS(BS_RE33!$H$7:$H$874,BS_RE33!$S$7:$S$874,$BA$2,BS_RE33!$N$7:$N$874,I5,BS_RE33!$P$7:$P$874,'30 days CF Table(NZD)'!G5,BS_RE33!$F$7:$F$874,'30 days CF Table(NZD)'!$C$2)</f>
        <v>0</v>
      </c>
      <c r="BB5" s="379">
        <f>SUMIFS(BS_RE33!$H$7:$H$874,BS_RE33!$S$7:$S$874,$BB$2,BS_RE33!$N$7:$N$874,I5,BS_RE33!$P$7:$P$874,'30 days CF Table(NZD)'!G5,BS_RE33!$F$7:$F$874,'30 days CF Table(NZD)'!$C$2)</f>
        <v>0</v>
      </c>
      <c r="BC5" s="379">
        <f>SUMIFS(BS_RE33!$H$7:$H$874,BS_RE33!$S$7:$S$874,$BC$2,BS_RE33!$N$7:$N$874,I5,BS_RE33!$P$7:$P$874,'30 days CF Table(NZD)'!G5,BS_RE33!$F$7:$F$874,'30 days CF Table(NZD)'!$C$2)</f>
        <v>0</v>
      </c>
      <c r="BD5" s="379">
        <f>SUMIFS(BS_RE33!$H$7:$H$874,BS_RE33!$S$7:$S$874,$BD$2,BS_RE33!$N$7:$N$874,I5,BS_RE33!$P$7:$P$874,'30 days CF Table(NZD)'!G5,BS_RE33!$F$7:$F$874,'30 days CF Table(NZD)'!$C$2)</f>
        <v>0</v>
      </c>
      <c r="BE5" s="379">
        <f>SUMIFS(BS_RE33!$H$7:$H$874,BS_RE33!$S$7:$S$874,$BE$2,BS_RE33!$N$7:$N$874,I5,BS_RE33!$P$7:$P$874,'30 days CF Table(NZD)'!G5,BS_RE33!$F$7:$F$874,'30 days CF Table(NZD)'!$C$2)</f>
        <v>0</v>
      </c>
      <c r="BF5" s="379">
        <f>SUMIFS(BS_RE33!$H$7:$H$874,BS_RE33!$S$7:$S$874,$BF$2,BS_RE33!$N$7:$N$874,I5,BS_RE33!$P$7:$P$874,'30 days CF Table(NZD)'!G5,BS_RE33!$F$7:$F$874,'30 days CF Table(NZD)'!$C$2)</f>
        <v>0</v>
      </c>
      <c r="BG5" s="379">
        <f>SUMIFS(BS_RE33!$H$7:$H$874,BS_RE33!$S$7:$S$874,$BG$2,BS_RE33!$N$7:$N$874,I5,BS_RE33!$P$7:$P$874,'30 days CF Table(NZD)'!G5,BS_RE33!$F$7:$F$874,'30 days CF Table(NZD)'!$C$2)</f>
        <v>0</v>
      </c>
      <c r="BH5" s="379">
        <f>SUMIFS(BS_RE33!$H$7:$H$874,BS_RE33!$S$7:$S$874,$BH$2,BS_RE33!$N$7:$N$874,I5,BS_RE33!$P$7:$P$874,'30 days CF Table(NZD)'!G5,BS_RE33!$F$7:$F$874,'30 days CF Table(NZD)'!$C$2)</f>
        <v>0</v>
      </c>
      <c r="BI5" s="379">
        <f>SUMIFS(BS_RE33!$H$7:$H$874,BS_RE33!$S$7:$S$874,$BI$2,BS_RE33!$N$7:$N$874,I5,BS_RE33!$P$7:$P$874,'30 days CF Table(NZD)'!G5,BS_RE33!$F$7:$F$874,'30 days CF Table(NZD)'!$C$2)</f>
        <v>0</v>
      </c>
      <c r="BJ5" s="379">
        <f>SUMIFS(BS_RE33!$H$7:$H$874,BS_RE33!$S$7:$S$874,$BJ$2,BS_RE33!$N$7:$N$874,I5,BS_RE33!$P$7:$P$874,'30 days CF Table(NZD)'!G5,BS_RE33!$F$7:$F$874,'30 days CF Table(NZD)'!$C$2)</f>
        <v>0</v>
      </c>
      <c r="BK5" s="379">
        <f>SUMIFS(BS_RE33!$H$7:$H$874,BS_RE33!$S$7:$S$874,$BK$2,BS_RE33!$N$7:$N$874,I5,BS_RE33!$P$7:$P$874,'30 days CF Table(NZD)'!G5,BS_RE33!$F$7:$F$874,'30 days CF Table(NZD)'!$C$2)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Table(NZD)'!G6,BS_RE33!$F$7:$F$874,'30 days CF Table(NZD)'!$C$2)</f>
        <v>0</v>
      </c>
      <c r="M6" s="337">
        <f>SUMIFS(BS_RE33!$H$7:$H$874,BS_RE33!$S$7:$S$874,$M$2,BS_RE33!$N$7:$N$874,I6,BS_RE33!$P$7:$P$874,'30 days CF Table(NZD)'!G6,BS_RE33!$F$7:$F$874,'30 days CF Table(NZD)'!$C$2)</f>
        <v>0</v>
      </c>
      <c r="N6" s="337">
        <f>SUMIFS(BS_RE33!$H$7:$H$874,BS_RE33!$S$7:$S$874,$N$2,BS_RE33!$N$7:$N$874,I6,BS_RE33!$P$7:$P$874,'30 days CF Table(NZD)'!G6,BS_RE33!$F$7:$F$874,'30 days CF Table(NZD)'!$C$2)</f>
        <v>0</v>
      </c>
      <c r="O6" s="337">
        <f>SUMIFS(BS_RE33!$H$7:$H$874,BS_RE33!$S$7:$S$874,$O$2,BS_RE33!$N$7:$N$874,I6,BS_RE33!$P$7:$P$874,'30 days CF Table(NZD)'!G6,BS_RE33!$F$7:$F$874,'30 days CF Table(NZD)'!$C$2)</f>
        <v>0</v>
      </c>
      <c r="P6" s="337">
        <f>SUMIFS(BS_RE33!$H$7:$H$874,BS_RE33!$S$7:$S$874,$P$2,BS_RE33!$N$7:$N$874,I6,BS_RE33!$P$7:$P$874,'30 days CF Table(NZD)'!G6,BS_RE33!$F$7:$F$874,'30 days CF Table(NZD)'!$C$2)</f>
        <v>0</v>
      </c>
      <c r="Q6" s="337">
        <f>SUMIFS(BS_RE33!$H$7:$H$874,BS_RE33!$S$7:$S$874,$Q$2,BS_RE33!$N$7:$N$874,I6,BS_RE33!$P$7:$P$874,'30 days CF Table(NZD)'!G6,BS_RE33!$F$7:$F$874,'30 days CF Table(NZD)'!$C$2)</f>
        <v>0</v>
      </c>
      <c r="R6" s="337">
        <f>SUMIFS(BS_RE33!$H$7:$H$874,BS_RE33!$S$7:$S$874,$R$2,BS_RE33!$N$7:$N$874,I6,BS_RE33!$P$7:$P$874,'30 days CF Table(NZD)'!G6,BS_RE33!$F$7:$F$874,'30 days CF Table(NZD)'!$C$2)</f>
        <v>0</v>
      </c>
      <c r="S6" s="337">
        <f>SUMIFS(BS_RE33!$H$7:$H$874,BS_RE33!$S$7:$S$874,$S$2,BS_RE33!$N$7:$N$874,I6,BS_RE33!$P$7:$P$874,'30 days CF Table(NZD)'!G6,BS_RE33!$F$7:$F$874,'30 days CF Table(NZD)'!$C$2)</f>
        <v>0</v>
      </c>
      <c r="T6" s="337">
        <f>SUMIFS(BS_RE33!$H$7:$H$874,BS_RE33!$S$7:$S$874,$T$2,BS_RE33!$N$7:$N$874,I6,BS_RE33!$P$7:$P$874,'30 days CF Table(NZD)'!G6,BS_RE33!$F$7:$F$874,'30 days CF Table(NZD)'!$C$2)</f>
        <v>0</v>
      </c>
      <c r="U6" s="337">
        <f>SUMIFS(BS_RE33!$H$7:$H$874,BS_RE33!$S$7:$S$874,$U$2,BS_RE33!$N$7:$N$874,I6,BS_RE33!$P$7:$P$874,'30 days CF Table(NZD)'!G6,BS_RE33!$F$7:$F$874,'30 days CF Table(NZD)'!$C$2)</f>
        <v>0</v>
      </c>
      <c r="V6" s="337">
        <f>SUMIFS(BS_RE33!$H$7:$H$874,BS_RE33!$S$7:$S$874,$V$2,BS_RE33!$N$7:$N$874,I6,BS_RE33!$P$7:$P$874,'30 days CF Table(NZD)'!G6,BS_RE33!$F$7:$F$874,'30 days CF Table(NZD)'!$C$2)</f>
        <v>0</v>
      </c>
      <c r="W6" s="337">
        <f>SUMIFS(BS_RE33!$H$7:$H$874,BS_RE33!$S$7:$S$874,$W$2,BS_RE33!$N$7:$N$874,I6,BS_RE33!$P$7:$P$874,'30 days CF Table(NZD)'!G6,BS_RE33!$F$7:$F$874,'30 days CF Table(NZD)'!$C$2)</f>
        <v>0</v>
      </c>
      <c r="X6" s="337">
        <f>SUMIFS(BS_RE33!$H$7:$H$874,BS_RE33!$S$7:$S$874,$X$2,BS_RE33!$N$7:$N$874,I6,BS_RE33!$P$7:$P$874,'30 days CF Table(NZD)'!G6,BS_RE33!$F$7:$F$874,'30 days CF Table(NZD)'!$C$2)</f>
        <v>0</v>
      </c>
      <c r="Y6" s="337">
        <f>SUMIFS(BS_RE33!$H$7:$H$874,BS_RE33!$S$7:$S$874,$Y$2,BS_RE33!$N$7:$N$874,I6,BS_RE33!$P$7:$P$874,'30 days CF Table(NZD)'!G6,BS_RE33!$F$7:$F$874,'30 days CF Table(NZD)'!$C$2)</f>
        <v>0</v>
      </c>
      <c r="Z6" s="337">
        <f>SUMIFS(BS_RE33!$H$7:$H$874,BS_RE33!$S$7:$S$874,$Z$2,BS_RE33!$N$7:$N$874,I6,BS_RE33!$P$7:$P$874,'30 days CF Table(NZD)'!G6,BS_RE33!$F$7:$F$874,'30 days CF Table(NZD)'!$C$2)</f>
        <v>0</v>
      </c>
      <c r="AA6" s="337">
        <f>SUMIFS(BS_RE33!$H$7:$H$874,BS_RE33!$S$7:$S$874,$AA$2,BS_RE33!$N$7:$N$874,I6,BS_RE33!$P$7:$P$874,'30 days CF Table(NZD)'!G6,BS_RE33!$F$7:$F$874,'30 days CF Table(NZD)'!$C$2)</f>
        <v>0</v>
      </c>
      <c r="AB6" s="337">
        <f>SUMIFS(BS_RE33!$H$7:$H$874,BS_RE33!$S$7:$S$874,$AB$2,BS_RE33!$N$7:$N$874,I6,BS_RE33!$P$7:$P$874,'30 days CF Table(NZD)'!G6,BS_RE33!$F$7:$F$874,'30 days CF Table(NZD)'!$C$2)</f>
        <v>0</v>
      </c>
      <c r="AC6" s="337">
        <f>SUMIFS(BS_RE33!$H$7:$H$874,BS_RE33!$S$7:$S$874,$AC$2,BS_RE33!$N$7:$N$874,I6,BS_RE33!$P$7:$P$874,'30 days CF Table(NZD)'!G6,BS_RE33!$F$7:$F$874,'30 days CF Table(NZD)'!$C$2)</f>
        <v>0</v>
      </c>
      <c r="AD6" s="337">
        <f>SUMIFS(BS_RE33!$H$7:$H$874,BS_RE33!$S$7:$S$874,$AD$2,BS_RE33!$N$7:$N$874,I6,BS_RE33!$P$7:$P$874,'30 days CF Table(NZD)'!G6,BS_RE33!$F$7:$F$874,'30 days CF Table(NZD)'!$C$2)</f>
        <v>0</v>
      </c>
      <c r="AE6" s="337">
        <f>SUMIFS(BS_RE33!$H$7:$H$874,BS_RE33!$S$7:$S$874,$AE$2,BS_RE33!$N$7:$N$874,I6,BS_RE33!$P$7:$P$874,'30 days CF Table(NZD)'!G6,BS_RE33!$F$7:$F$874,'30 days CF Table(NZD)'!$C$2)</f>
        <v>0</v>
      </c>
      <c r="AF6" s="337">
        <f>SUMIFS(BS_RE33!$H$7:$H$874,BS_RE33!$S$7:$S$874,$AF$2,BS_RE33!$N$7:$N$874,I6,BS_RE33!$P$7:$P$874,'30 days CF Table(NZD)'!G6,BS_RE33!$F$7:$F$874,'30 days CF Table(NZD)'!$C$2)</f>
        <v>0</v>
      </c>
      <c r="AG6" s="337">
        <f>SUMIFS(BS_RE33!$H$7:$H$874,BS_RE33!$S$7:$S$874,$AG$2,BS_RE33!$N$7:$N$874,I6,BS_RE33!$P$7:$P$874,'30 days CF Table(NZD)'!G6,BS_RE33!$F$7:$F$874,'30 days CF Table(NZD)'!$C$2)</f>
        <v>0</v>
      </c>
      <c r="AH6" s="337">
        <f>SUMIFS(BS_RE33!$H$7:$H$874,BS_RE33!$S$7:$S$874,$AH$2,BS_RE33!$N$7:$N$874,I6,BS_RE33!$P$7:$P$874,'30 days CF Table(NZD)'!G6,BS_RE33!$F$7:$F$874,'30 days CF Table(NZD)'!$C$2)</f>
        <v>0</v>
      </c>
      <c r="AI6" s="337">
        <f>SUMIFS(BS_RE33!$H$7:$H$874,BS_RE33!$S$7:$S$874,$AI$2,BS_RE33!$N$7:$N$874,I6,BS_RE33!$P$7:$P$874,'30 days CF Table(NZD)'!G6,BS_RE33!$F$7:$F$874,'30 days CF Table(NZD)'!$C$2)</f>
        <v>0</v>
      </c>
      <c r="AJ6" s="337">
        <f>SUMIFS(BS_RE33!$H$7:$H$874,BS_RE33!$S$7:$S$874,$AJ$2,BS_RE33!$N$7:$N$874,I6,BS_RE33!$P$7:$P$874,'30 days CF Table(NZD)'!G6,BS_RE33!$F$7:$F$874,'30 days CF Table(NZD)'!$C$2)</f>
        <v>0</v>
      </c>
      <c r="AK6" s="337">
        <f>SUMIFS(BS_RE33!$H$7:$H$874,BS_RE33!$S$7:$S$874,$AK$2,BS_RE33!$N$7:$N$874,I6,BS_RE33!$P$7:$P$874,'30 days CF Table(NZD)'!G6,BS_RE33!$F$7:$F$874,'30 days CF Table(NZD)'!$C$2)</f>
        <v>0</v>
      </c>
      <c r="AL6" s="337">
        <f>SUMIFS(BS_RE33!$H$7:$H$874,BS_RE33!$S$7:$S$874,$AL$2,BS_RE33!$N$7:$N$874,I6,BS_RE33!$P$7:$P$874,'30 days CF Table(NZD)'!G6,BS_RE33!$F$7:$F$874,'30 days CF Table(NZD)'!$C$2)</f>
        <v>0</v>
      </c>
      <c r="AM6" s="337">
        <f>SUMIFS(BS_RE33!$H$7:$H$874,BS_RE33!$S$7:$S$874,$AM$2,BS_RE33!$N$7:$N$874,I6,BS_RE33!$P$7:$P$874,'30 days CF Table(NZD)'!G6,BS_RE33!$F$7:$F$874,'30 days CF Table(NZD)'!$C$2)</f>
        <v>0</v>
      </c>
      <c r="AN6" s="337">
        <f>SUMIFS(BS_RE33!$H$7:$H$874,BS_RE33!$S$7:$S$874,$AN$2,BS_RE33!$N$7:$N$874,I6,BS_RE33!$P$7:$P$874,'30 days CF Table(NZD)'!G6,BS_RE33!$F$7:$F$874,'30 days CF Table(NZD)'!$C$2)</f>
        <v>0</v>
      </c>
      <c r="AO6" s="337">
        <f>SUMIFS(BS_RE33!$H$7:$H$874,BS_RE33!$S$7:$S$874,$AO$2,BS_RE33!$N$7:$N$874,I6,BS_RE33!$P$7:$P$874,'30 days CF Table(NZD)'!G6,BS_RE33!$F$7:$F$874,'30 days CF Table(NZD)'!$C$2)</f>
        <v>0</v>
      </c>
      <c r="AP6" s="338">
        <f>SUMIFS(BS_RE33!$H$7:$H$874,BS_RE33!$S$7:$S$874,$AP$2,BS_RE33!$N$7:$N$874,I6,BS_RE33!$P$7:$P$874,'30 days CF Table(NZD)'!G6,BS_RE33!$F$7:$F$874,'30 days CF Table(NZD)'!$C$2)</f>
        <v>0</v>
      </c>
      <c r="AQ6" s="545"/>
      <c r="AR6" s="379">
        <f>SUMIFS(BS_RE33!$H$7:$H$874,BS_RE33!$S$7:$S$874,$AR$2,BS_RE33!$N$7:$N$874,I6,BS_RE33!$P$7:$P$874,'30 days CF Table(NZD)'!G6,BS_RE33!$F$7:$F$874,'30 days CF Table(NZD)'!$C$2)</f>
        <v>0</v>
      </c>
      <c r="AS6" s="379">
        <f>SUMIFS(BS_RE33!$H$7:$H$874,BS_RE33!$S$7:$S$874,$AS$2,BS_RE33!$N$7:$N$874,I6,BS_RE33!$P$7:$P$874,'30 days CF Table(NZD)'!G6,BS_RE33!$F$7:$F$874,'30 days CF Table(NZD)'!$C$2)</f>
        <v>0</v>
      </c>
      <c r="AT6" s="379">
        <f>SUMIFS(BS_RE33!$H$7:$H$874,BS_RE33!$S$7:$S$874,$AT$2,BS_RE33!$N$7:$N$874,I6,BS_RE33!$P$7:$P$874,'30 days CF Table(NZD)'!G6,BS_RE33!$F$7:$F$874,'30 days CF Table(NZD)'!$C$2)</f>
        <v>0</v>
      </c>
      <c r="AU6" s="379">
        <f>SUMIFS(BS_RE33!$H$7:$H$874,BS_RE33!$S$7:$S$874,$AU$2,BS_RE33!$N$7:$N$874,I6,BS_RE33!$P$7:$P$874,'30 days CF Table(NZD)'!G6,BS_RE33!$F$7:$F$874,'30 days CF Table(NZD)'!$C$2)</f>
        <v>0</v>
      </c>
      <c r="AV6" s="379">
        <f>SUMIFS(BS_RE33!$H$7:$H$874,BS_RE33!$S$7:$S$874,$AV$2,BS_RE33!$N$7:$N$874,I6,BS_RE33!$P$7:$P$874,'30 days CF Table(NZD)'!G6,BS_RE33!$F$7:$F$874,'30 days CF Table(NZD)'!$C$2)</f>
        <v>0</v>
      </c>
      <c r="AW6" s="379">
        <f>SUMIFS(BS_RE33!$H$7:$H$874,BS_RE33!$S$7:$S$874,$AW$2,BS_RE33!$N$7:$N$874,I6,BS_RE33!$P$7:$P$874,'30 days CF Table(NZD)'!G6,BS_RE33!$F$7:$F$874,'30 days CF Table(NZD)'!$C$2)</f>
        <v>0</v>
      </c>
      <c r="AX6" s="379">
        <f>SUMIFS(BS_RE33!$H$7:$H$874,BS_RE33!$S$7:$S$874,$AX$2,BS_RE33!$N$7:$N$874,I6,BS_RE33!$P$7:$P$874,'30 days CF Table(NZD)'!G6,BS_RE33!$F$7:$F$874,'30 days CF Table(NZD)'!$C$2)</f>
        <v>0</v>
      </c>
      <c r="AY6" s="379">
        <f>SUMIFS(BS_RE33!$H$7:$H$874,BS_RE33!$S$7:$S$874,$AY$2,BS_RE33!$N$7:$N$874,I6,BS_RE33!$P$7:$P$874,'30 days CF Table(NZD)'!G6,BS_RE33!$F$7:$F$874,'30 days CF Table(NZD)'!$C$2)</f>
        <v>0</v>
      </c>
      <c r="AZ6" s="379">
        <f>SUMIFS(BS_RE33!$H$7:$H$874,BS_RE33!$S$7:$S$874,$AZ$2,BS_RE33!$N$7:$N$874,I6,BS_RE33!$P$7:$P$874,'30 days CF Table(NZD)'!G6,BS_RE33!$F$7:$F$874,'30 days CF Table(NZD)'!$C$2)</f>
        <v>0</v>
      </c>
      <c r="BA6" s="379">
        <f>SUMIFS(BS_RE33!$H$7:$H$874,BS_RE33!$S$7:$S$874,$BA$2,BS_RE33!$N$7:$N$874,I6,BS_RE33!$P$7:$P$874,'30 days CF Table(NZD)'!G6,BS_RE33!$F$7:$F$874,'30 days CF Table(NZD)'!$C$2)</f>
        <v>0</v>
      </c>
      <c r="BB6" s="379">
        <f>SUMIFS(BS_RE33!$H$7:$H$874,BS_RE33!$S$7:$S$874,$BB$2,BS_RE33!$N$7:$N$874,I6,BS_RE33!$P$7:$P$874,'30 days CF Table(NZD)'!G6,BS_RE33!$F$7:$F$874,'30 days CF Table(NZD)'!$C$2)</f>
        <v>0</v>
      </c>
      <c r="BC6" s="379">
        <f>SUMIFS(BS_RE33!$H$7:$H$874,BS_RE33!$S$7:$S$874,$BC$2,BS_RE33!$N$7:$N$874,I6,BS_RE33!$P$7:$P$874,'30 days CF Table(NZD)'!G6,BS_RE33!$F$7:$F$874,'30 days CF Table(NZD)'!$C$2)</f>
        <v>0</v>
      </c>
      <c r="BD6" s="379">
        <f>SUMIFS(BS_RE33!$H$7:$H$874,BS_RE33!$S$7:$S$874,$BD$2,BS_RE33!$N$7:$N$874,I6,BS_RE33!$P$7:$P$874,'30 days CF Table(NZD)'!G6,BS_RE33!$F$7:$F$874,'30 days CF Table(NZD)'!$C$2)</f>
        <v>0</v>
      </c>
      <c r="BE6" s="379">
        <f>SUMIFS(BS_RE33!$H$7:$H$874,BS_RE33!$S$7:$S$874,$BE$2,BS_RE33!$N$7:$N$874,I6,BS_RE33!$P$7:$P$874,'30 days CF Table(NZD)'!G6,BS_RE33!$F$7:$F$874,'30 days CF Table(NZD)'!$C$2)</f>
        <v>0</v>
      </c>
      <c r="BF6" s="379">
        <f>SUMIFS(BS_RE33!$H$7:$H$874,BS_RE33!$S$7:$S$874,$BF$2,BS_RE33!$N$7:$N$874,I6,BS_RE33!$P$7:$P$874,'30 days CF Table(NZD)'!G6,BS_RE33!$F$7:$F$874,'30 days CF Table(NZD)'!$C$2)</f>
        <v>0</v>
      </c>
      <c r="BG6" s="379">
        <f>SUMIFS(BS_RE33!$H$7:$H$874,BS_RE33!$S$7:$S$874,$BG$2,BS_RE33!$N$7:$N$874,I6,BS_RE33!$P$7:$P$874,'30 days CF Table(NZD)'!G6,BS_RE33!$F$7:$F$874,'30 days CF Table(NZD)'!$C$2)</f>
        <v>0</v>
      </c>
      <c r="BH6" s="379">
        <f>SUMIFS(BS_RE33!$H$7:$H$874,BS_RE33!$S$7:$S$874,$BH$2,BS_RE33!$N$7:$N$874,I6,BS_RE33!$P$7:$P$874,'30 days CF Table(NZD)'!G6,BS_RE33!$F$7:$F$874,'30 days CF Table(NZD)'!$C$2)</f>
        <v>0</v>
      </c>
      <c r="BI6" s="379">
        <f>SUMIFS(BS_RE33!$H$7:$H$874,BS_RE33!$S$7:$S$874,$BI$2,BS_RE33!$N$7:$N$874,I6,BS_RE33!$P$7:$P$874,'30 days CF Table(NZD)'!G6,BS_RE33!$F$7:$F$874,'30 days CF Table(NZD)'!$C$2)</f>
        <v>0</v>
      </c>
      <c r="BJ6" s="379">
        <f>SUMIFS(BS_RE33!$H$7:$H$874,BS_RE33!$S$7:$S$874,$BJ$2,BS_RE33!$N$7:$N$874,I6,BS_RE33!$P$7:$P$874,'30 days CF Table(NZD)'!G6,BS_RE33!$F$7:$F$874,'30 days CF Table(NZD)'!$C$2)</f>
        <v>0</v>
      </c>
      <c r="BK6" s="379">
        <f>SUMIFS(BS_RE33!$H$7:$H$874,BS_RE33!$S$7:$S$874,$BK$2,BS_RE33!$N$7:$N$874,I6,BS_RE33!$P$7:$P$874,'30 days CF Table(NZD)'!G6,BS_RE33!$F$7:$F$874,'30 days CF Table(NZD)'!$C$2)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Table(NZD)'!G7,BS_RE33!$F$7:$F$874,'30 days CF Table(NZD)'!$C$2)</f>
        <v>0</v>
      </c>
      <c r="M7" s="337">
        <f>SUMIFS(BS_RE33!$H$7:$H$874,BS_RE33!$S$7:$S$874,$M$2,BS_RE33!$N$7:$N$874,I7,BS_RE33!$P$7:$P$874,'30 days CF Table(NZD)'!G7,BS_RE33!$F$7:$F$874,'30 days CF Table(NZD)'!$C$2)</f>
        <v>0</v>
      </c>
      <c r="N7" s="337">
        <f>SUMIFS(BS_RE33!$H$7:$H$874,BS_RE33!$S$7:$S$874,$N$2,BS_RE33!$N$7:$N$874,I7,BS_RE33!$P$7:$P$874,'30 days CF Table(NZD)'!G7,BS_RE33!$F$7:$F$874,'30 days CF Table(NZD)'!$C$2)</f>
        <v>0</v>
      </c>
      <c r="O7" s="337">
        <f>SUMIFS(BS_RE33!$H$7:$H$874,BS_RE33!$S$7:$S$874,$O$2,BS_RE33!$N$7:$N$874,I7,BS_RE33!$P$7:$P$874,'30 days CF Table(NZD)'!G7,BS_RE33!$F$7:$F$874,'30 days CF Table(NZD)'!$C$2)</f>
        <v>0</v>
      </c>
      <c r="P7" s="337">
        <f>SUMIFS(BS_RE33!$H$7:$H$874,BS_RE33!$S$7:$S$874,$P$2,BS_RE33!$N$7:$N$874,I7,BS_RE33!$P$7:$P$874,'30 days CF Table(NZD)'!G7,BS_RE33!$F$7:$F$874,'30 days CF Table(NZD)'!$C$2)</f>
        <v>0</v>
      </c>
      <c r="Q7" s="337">
        <f>SUMIFS(BS_RE33!$H$7:$H$874,BS_RE33!$S$7:$S$874,$Q$2,BS_RE33!$N$7:$N$874,I7,BS_RE33!$P$7:$P$874,'30 days CF Table(NZD)'!G7,BS_RE33!$F$7:$F$874,'30 days CF Table(NZD)'!$C$2)</f>
        <v>0</v>
      </c>
      <c r="R7" s="337">
        <f>SUMIFS(BS_RE33!$H$7:$H$874,BS_RE33!$S$7:$S$874,$R$2,BS_RE33!$N$7:$N$874,I7,BS_RE33!$P$7:$P$874,'30 days CF Table(NZD)'!G7,BS_RE33!$F$7:$F$874,'30 days CF Table(NZD)'!$C$2)</f>
        <v>0</v>
      </c>
      <c r="S7" s="337">
        <f>SUMIFS(BS_RE33!$H$7:$H$874,BS_RE33!$S$7:$S$874,$S$2,BS_RE33!$N$7:$N$874,I7,BS_RE33!$P$7:$P$874,'30 days CF Table(NZD)'!G7,BS_RE33!$F$7:$F$874,'30 days CF Table(NZD)'!$C$2)</f>
        <v>0</v>
      </c>
      <c r="T7" s="337">
        <f>SUMIFS(BS_RE33!$H$7:$H$874,BS_RE33!$S$7:$S$874,$T$2,BS_RE33!$N$7:$N$874,I7,BS_RE33!$P$7:$P$874,'30 days CF Table(NZD)'!G7,BS_RE33!$F$7:$F$874,'30 days CF Table(NZD)'!$C$2)</f>
        <v>0</v>
      </c>
      <c r="U7" s="337">
        <f>SUMIFS(BS_RE33!$H$7:$H$874,BS_RE33!$S$7:$S$874,$U$2,BS_RE33!$N$7:$N$874,I7,BS_RE33!$P$7:$P$874,'30 days CF Table(NZD)'!G7,BS_RE33!$F$7:$F$874,'30 days CF Table(NZD)'!$C$2)</f>
        <v>0</v>
      </c>
      <c r="V7" s="337">
        <f>SUMIFS(BS_RE33!$H$7:$H$874,BS_RE33!$S$7:$S$874,$V$2,BS_RE33!$N$7:$N$874,I7,BS_RE33!$P$7:$P$874,'30 days CF Table(NZD)'!G7,BS_RE33!$F$7:$F$874,'30 days CF Table(NZD)'!$C$2)</f>
        <v>0</v>
      </c>
      <c r="W7" s="337">
        <f>SUMIFS(BS_RE33!$H$7:$H$874,BS_RE33!$S$7:$S$874,$W$2,BS_RE33!$N$7:$N$874,I7,BS_RE33!$P$7:$P$874,'30 days CF Table(NZD)'!G7,BS_RE33!$F$7:$F$874,'30 days CF Table(NZD)'!$C$2)</f>
        <v>0</v>
      </c>
      <c r="X7" s="337">
        <f>SUMIFS(BS_RE33!$H$7:$H$874,BS_RE33!$S$7:$S$874,$X$2,BS_RE33!$N$7:$N$874,I7,BS_RE33!$P$7:$P$874,'30 days CF Table(NZD)'!G7,BS_RE33!$F$7:$F$874,'30 days CF Table(NZD)'!$C$2)</f>
        <v>0</v>
      </c>
      <c r="Y7" s="337">
        <f>SUMIFS(BS_RE33!$H$7:$H$874,BS_RE33!$S$7:$S$874,$Y$2,BS_RE33!$N$7:$N$874,I7,BS_RE33!$P$7:$P$874,'30 days CF Table(NZD)'!G7,BS_RE33!$F$7:$F$874,'30 days CF Table(NZD)'!$C$2)</f>
        <v>0</v>
      </c>
      <c r="Z7" s="337">
        <f>SUMIFS(BS_RE33!$H$7:$H$874,BS_RE33!$S$7:$S$874,$Z$2,BS_RE33!$N$7:$N$874,I7,BS_RE33!$P$7:$P$874,'30 days CF Table(NZD)'!G7,BS_RE33!$F$7:$F$874,'30 days CF Table(NZD)'!$C$2)</f>
        <v>0</v>
      </c>
      <c r="AA7" s="337">
        <f>SUMIFS(BS_RE33!$H$7:$H$874,BS_RE33!$S$7:$S$874,$AA$2,BS_RE33!$N$7:$N$874,I7,BS_RE33!$P$7:$P$874,'30 days CF Table(NZD)'!G7,BS_RE33!$F$7:$F$874,'30 days CF Table(NZD)'!$C$2)</f>
        <v>0</v>
      </c>
      <c r="AB7" s="337">
        <f>SUMIFS(BS_RE33!$H$7:$H$874,BS_RE33!$S$7:$S$874,$AB$2,BS_RE33!$N$7:$N$874,I7,BS_RE33!$P$7:$P$874,'30 days CF Table(NZD)'!G7,BS_RE33!$F$7:$F$874,'30 days CF Table(NZD)'!$C$2)</f>
        <v>0</v>
      </c>
      <c r="AC7" s="337">
        <f>SUMIFS(BS_RE33!$H$7:$H$874,BS_RE33!$S$7:$S$874,$AC$2,BS_RE33!$N$7:$N$874,I7,BS_RE33!$P$7:$P$874,'30 days CF Table(NZD)'!G7,BS_RE33!$F$7:$F$874,'30 days CF Table(NZD)'!$C$2)</f>
        <v>0</v>
      </c>
      <c r="AD7" s="337">
        <f>SUMIFS(BS_RE33!$H$7:$H$874,BS_RE33!$S$7:$S$874,$AD$2,BS_RE33!$N$7:$N$874,I7,BS_RE33!$P$7:$P$874,'30 days CF Table(NZD)'!G7,BS_RE33!$F$7:$F$874,'30 days CF Table(NZD)'!$C$2)</f>
        <v>0</v>
      </c>
      <c r="AE7" s="337">
        <f>SUMIFS(BS_RE33!$H$7:$H$874,BS_RE33!$S$7:$S$874,$AE$2,BS_RE33!$N$7:$N$874,I7,BS_RE33!$P$7:$P$874,'30 days CF Table(NZD)'!G7,BS_RE33!$F$7:$F$874,'30 days CF Table(NZD)'!$C$2)</f>
        <v>0</v>
      </c>
      <c r="AF7" s="337">
        <f>SUMIFS(BS_RE33!$H$7:$H$874,BS_RE33!$S$7:$S$874,$AF$2,BS_RE33!$N$7:$N$874,I7,BS_RE33!$P$7:$P$874,'30 days CF Table(NZD)'!G7,BS_RE33!$F$7:$F$874,'30 days CF Table(NZD)'!$C$2)</f>
        <v>0</v>
      </c>
      <c r="AG7" s="337">
        <f>SUMIFS(BS_RE33!$H$7:$H$874,BS_RE33!$S$7:$S$874,$AG$2,BS_RE33!$N$7:$N$874,I7,BS_RE33!$P$7:$P$874,'30 days CF Table(NZD)'!G7,BS_RE33!$F$7:$F$874,'30 days CF Table(NZD)'!$C$2)</f>
        <v>0</v>
      </c>
      <c r="AH7" s="337">
        <f>SUMIFS(BS_RE33!$H$7:$H$874,BS_RE33!$S$7:$S$874,$AH$2,BS_RE33!$N$7:$N$874,I7,BS_RE33!$P$7:$P$874,'30 days CF Table(NZD)'!G7,BS_RE33!$F$7:$F$874,'30 days CF Table(NZD)'!$C$2)</f>
        <v>0</v>
      </c>
      <c r="AI7" s="337">
        <f>SUMIFS(BS_RE33!$H$7:$H$874,BS_RE33!$S$7:$S$874,$AI$2,BS_RE33!$N$7:$N$874,I7,BS_RE33!$P$7:$P$874,'30 days CF Table(NZD)'!G7,BS_RE33!$F$7:$F$874,'30 days CF Table(NZD)'!$C$2)</f>
        <v>0</v>
      </c>
      <c r="AJ7" s="337">
        <f>SUMIFS(BS_RE33!$H$7:$H$874,BS_RE33!$S$7:$S$874,$AJ$2,BS_RE33!$N$7:$N$874,I7,BS_RE33!$P$7:$P$874,'30 days CF Table(NZD)'!G7,BS_RE33!$F$7:$F$874,'30 days CF Table(NZD)'!$C$2)</f>
        <v>0</v>
      </c>
      <c r="AK7" s="337">
        <f>SUMIFS(BS_RE33!$H$7:$H$874,BS_RE33!$S$7:$S$874,$AK$2,BS_RE33!$N$7:$N$874,I7,BS_RE33!$P$7:$P$874,'30 days CF Table(NZD)'!G7,BS_RE33!$F$7:$F$874,'30 days CF Table(NZD)'!$C$2)</f>
        <v>0</v>
      </c>
      <c r="AL7" s="337">
        <f>SUMIFS(BS_RE33!$H$7:$H$874,BS_RE33!$S$7:$S$874,$AL$2,BS_RE33!$N$7:$N$874,I7,BS_RE33!$P$7:$P$874,'30 days CF Table(NZD)'!G7,BS_RE33!$F$7:$F$874,'30 days CF Table(NZD)'!$C$2)</f>
        <v>0</v>
      </c>
      <c r="AM7" s="337">
        <f>SUMIFS(BS_RE33!$H$7:$H$874,BS_RE33!$S$7:$S$874,$AM$2,BS_RE33!$N$7:$N$874,I7,BS_RE33!$P$7:$P$874,'30 days CF Table(NZD)'!G7,BS_RE33!$F$7:$F$874,'30 days CF Table(NZD)'!$C$2)</f>
        <v>0</v>
      </c>
      <c r="AN7" s="337">
        <f>SUMIFS(BS_RE33!$H$7:$H$874,BS_RE33!$S$7:$S$874,$AN$2,BS_RE33!$N$7:$N$874,I7,BS_RE33!$P$7:$P$874,'30 days CF Table(NZD)'!G7,BS_RE33!$F$7:$F$874,'30 days CF Table(NZD)'!$C$2)</f>
        <v>0</v>
      </c>
      <c r="AO7" s="337">
        <f>SUMIFS(BS_RE33!$H$7:$H$874,BS_RE33!$S$7:$S$874,$AO$2,BS_RE33!$N$7:$N$874,I7,BS_RE33!$P$7:$P$874,'30 days CF Table(NZD)'!G7,BS_RE33!$F$7:$F$874,'30 days CF Table(NZD)'!$C$2)</f>
        <v>0</v>
      </c>
      <c r="AP7" s="338">
        <f>SUMIFS(BS_RE33!$H$7:$H$874,BS_RE33!$S$7:$S$874,$AP$2,BS_RE33!$N$7:$N$874,I7,BS_RE33!$P$7:$P$874,'30 days CF Table(NZD)'!G7,BS_RE33!$F$7:$F$874,'30 days CF Table(NZD)'!$C$2)</f>
        <v>0</v>
      </c>
      <c r="AQ7" s="545"/>
      <c r="AR7" s="379">
        <f>SUMIFS(BS_RE33!$H$7:$H$874,BS_RE33!$S$7:$S$874,$AR$2,BS_RE33!$N$7:$N$874,I7,BS_RE33!$P$7:$P$874,'30 days CF Table(NZD)'!G7,BS_RE33!$F$7:$F$874,'30 days CF Table(NZD)'!$C$2)</f>
        <v>0</v>
      </c>
      <c r="AS7" s="379">
        <f>SUMIFS(BS_RE33!$H$7:$H$874,BS_RE33!$S$7:$S$874,$AS$2,BS_RE33!$N$7:$N$874,I7,BS_RE33!$P$7:$P$874,'30 days CF Table(NZD)'!G7,BS_RE33!$F$7:$F$874,'30 days CF Table(NZD)'!$C$2)</f>
        <v>0</v>
      </c>
      <c r="AT7" s="379">
        <f>SUMIFS(BS_RE33!$H$7:$H$874,BS_RE33!$S$7:$S$874,$AT$2,BS_RE33!$N$7:$N$874,I7,BS_RE33!$P$7:$P$874,'30 days CF Table(NZD)'!G7,BS_RE33!$F$7:$F$874,'30 days CF Table(NZD)'!$C$2)</f>
        <v>0</v>
      </c>
      <c r="AU7" s="379">
        <f>SUMIFS(BS_RE33!$H$7:$H$874,BS_RE33!$S$7:$S$874,$AU$2,BS_RE33!$N$7:$N$874,I7,BS_RE33!$P$7:$P$874,'30 days CF Table(NZD)'!G7,BS_RE33!$F$7:$F$874,'30 days CF Table(NZD)'!$C$2)</f>
        <v>0</v>
      </c>
      <c r="AV7" s="379">
        <f>SUMIFS(BS_RE33!$H$7:$H$874,BS_RE33!$S$7:$S$874,$AV$2,BS_RE33!$N$7:$N$874,I7,BS_RE33!$P$7:$P$874,'30 days CF Table(NZD)'!G7,BS_RE33!$F$7:$F$874,'30 days CF Table(NZD)'!$C$2)</f>
        <v>0</v>
      </c>
      <c r="AW7" s="379">
        <f>SUMIFS(BS_RE33!$H$7:$H$874,BS_RE33!$S$7:$S$874,$AW$2,BS_RE33!$N$7:$N$874,I7,BS_RE33!$P$7:$P$874,'30 days CF Table(NZD)'!G7,BS_RE33!$F$7:$F$874,'30 days CF Table(NZD)'!$C$2)</f>
        <v>0</v>
      </c>
      <c r="AX7" s="379">
        <f>SUMIFS(BS_RE33!$H$7:$H$874,BS_RE33!$S$7:$S$874,$AX$2,BS_RE33!$N$7:$N$874,I7,BS_RE33!$P$7:$P$874,'30 days CF Table(NZD)'!G7,BS_RE33!$F$7:$F$874,'30 days CF Table(NZD)'!$C$2)</f>
        <v>0</v>
      </c>
      <c r="AY7" s="379">
        <f>SUMIFS(BS_RE33!$H$7:$H$874,BS_RE33!$S$7:$S$874,$AY$2,BS_RE33!$N$7:$N$874,I7,BS_RE33!$P$7:$P$874,'30 days CF Table(NZD)'!G7,BS_RE33!$F$7:$F$874,'30 days CF Table(NZD)'!$C$2)</f>
        <v>0</v>
      </c>
      <c r="AZ7" s="379">
        <f>SUMIFS(BS_RE33!$H$7:$H$874,BS_RE33!$S$7:$S$874,$AZ$2,BS_RE33!$N$7:$N$874,I7,BS_RE33!$P$7:$P$874,'30 days CF Table(NZD)'!G7,BS_RE33!$F$7:$F$874,'30 days CF Table(NZD)'!$C$2)</f>
        <v>0</v>
      </c>
      <c r="BA7" s="379">
        <f>SUMIFS(BS_RE33!$H$7:$H$874,BS_RE33!$S$7:$S$874,$BA$2,BS_RE33!$N$7:$N$874,I7,BS_RE33!$P$7:$P$874,'30 days CF Table(NZD)'!G7,BS_RE33!$F$7:$F$874,'30 days CF Table(NZD)'!$C$2)</f>
        <v>0</v>
      </c>
      <c r="BB7" s="379">
        <f>SUMIFS(BS_RE33!$H$7:$H$874,BS_RE33!$S$7:$S$874,$BB$2,BS_RE33!$N$7:$N$874,I7,BS_RE33!$P$7:$P$874,'30 days CF Table(NZD)'!G7,BS_RE33!$F$7:$F$874,'30 days CF Table(NZD)'!$C$2)</f>
        <v>0</v>
      </c>
      <c r="BC7" s="379">
        <f>SUMIFS(BS_RE33!$H$7:$H$874,BS_RE33!$S$7:$S$874,$BC$2,BS_RE33!$N$7:$N$874,I7,BS_RE33!$P$7:$P$874,'30 days CF Table(NZD)'!G7,BS_RE33!$F$7:$F$874,'30 days CF Table(NZD)'!$C$2)</f>
        <v>0</v>
      </c>
      <c r="BD7" s="379">
        <f>SUMIFS(BS_RE33!$H$7:$H$874,BS_RE33!$S$7:$S$874,$BD$2,BS_RE33!$N$7:$N$874,I7,BS_RE33!$P$7:$P$874,'30 days CF Table(NZD)'!G7,BS_RE33!$F$7:$F$874,'30 days CF Table(NZD)'!$C$2)</f>
        <v>0</v>
      </c>
      <c r="BE7" s="379">
        <f>SUMIFS(BS_RE33!$H$7:$H$874,BS_RE33!$S$7:$S$874,$BE$2,BS_RE33!$N$7:$N$874,I7,BS_RE33!$P$7:$P$874,'30 days CF Table(NZD)'!G7,BS_RE33!$F$7:$F$874,'30 days CF Table(NZD)'!$C$2)</f>
        <v>0</v>
      </c>
      <c r="BF7" s="379">
        <f>SUMIFS(BS_RE33!$H$7:$H$874,BS_RE33!$S$7:$S$874,$BF$2,BS_RE33!$N$7:$N$874,I7,BS_RE33!$P$7:$P$874,'30 days CF Table(NZD)'!G7,BS_RE33!$F$7:$F$874,'30 days CF Table(NZD)'!$C$2)</f>
        <v>0</v>
      </c>
      <c r="BG7" s="379">
        <f>SUMIFS(BS_RE33!$H$7:$H$874,BS_RE33!$S$7:$S$874,$BG$2,BS_RE33!$N$7:$N$874,I7,BS_RE33!$P$7:$P$874,'30 days CF Table(NZD)'!G7,BS_RE33!$F$7:$F$874,'30 days CF Table(NZD)'!$C$2)</f>
        <v>0</v>
      </c>
      <c r="BH7" s="379">
        <f>SUMIFS(BS_RE33!$H$7:$H$874,BS_RE33!$S$7:$S$874,$BH$2,BS_RE33!$N$7:$N$874,I7,BS_RE33!$P$7:$P$874,'30 days CF Table(NZD)'!G7,BS_RE33!$F$7:$F$874,'30 days CF Table(NZD)'!$C$2)</f>
        <v>0</v>
      </c>
      <c r="BI7" s="379">
        <f>SUMIFS(BS_RE33!$H$7:$H$874,BS_RE33!$S$7:$S$874,$BI$2,BS_RE33!$N$7:$N$874,I7,BS_RE33!$P$7:$P$874,'30 days CF Table(NZD)'!G7,BS_RE33!$F$7:$F$874,'30 days CF Table(NZD)'!$C$2)</f>
        <v>0</v>
      </c>
      <c r="BJ7" s="379">
        <f>SUMIFS(BS_RE33!$H$7:$H$874,BS_RE33!$S$7:$S$874,$BJ$2,BS_RE33!$N$7:$N$874,I7,BS_RE33!$P$7:$P$874,'30 days CF Table(NZD)'!G7,BS_RE33!$F$7:$F$874,'30 days CF Table(NZD)'!$C$2)</f>
        <v>0</v>
      </c>
      <c r="BK7" s="379">
        <f>SUMIFS(BS_RE33!$H$7:$H$874,BS_RE33!$S$7:$S$874,$BK$2,BS_RE33!$N$7:$N$874,I7,BS_RE33!$P$7:$P$874,'30 days CF Table(NZD)'!G7,BS_RE33!$F$7:$F$874,'30 days CF Table(NZD)'!$C$2)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Table(NZD)'!G8,BS_RE33!$F$7:$F$874,'30 days CF Table(NZD)'!$C$2)</f>
        <v>0</v>
      </c>
      <c r="M8" s="337">
        <f>SUMIFS(BS_RE33!$H$7:$H$874,BS_RE33!$S$7:$S$874,$M$2,BS_RE33!$N$7:$N$874,I8,BS_RE33!$P$7:$P$874,'30 days CF Table(NZD)'!G8,BS_RE33!$F$7:$F$874,'30 days CF Table(NZD)'!$C$2)</f>
        <v>0</v>
      </c>
      <c r="N8" s="337">
        <f>SUMIFS(BS_RE33!$H$7:$H$874,BS_RE33!$S$7:$S$874,$N$2,BS_RE33!$N$7:$N$874,I8,BS_RE33!$P$7:$P$874,'30 days CF Table(NZD)'!G8,BS_RE33!$F$7:$F$874,'30 days CF Table(NZD)'!$C$2)</f>
        <v>0</v>
      </c>
      <c r="O8" s="337">
        <f>SUMIFS(BS_RE33!$H$7:$H$874,BS_RE33!$S$7:$S$874,$O$2,BS_RE33!$N$7:$N$874,I8,BS_RE33!$P$7:$P$874,'30 days CF Table(NZD)'!G8,BS_RE33!$F$7:$F$874,'30 days CF Table(NZD)'!$C$2)</f>
        <v>0</v>
      </c>
      <c r="P8" s="337">
        <f>SUMIFS(BS_RE33!$H$7:$H$874,BS_RE33!$S$7:$S$874,$P$2,BS_RE33!$N$7:$N$874,I8,BS_RE33!$P$7:$P$874,'30 days CF Table(NZD)'!G8,BS_RE33!$F$7:$F$874,'30 days CF Table(NZD)'!$C$2)</f>
        <v>0</v>
      </c>
      <c r="Q8" s="337">
        <f>SUMIFS(BS_RE33!$H$7:$H$874,BS_RE33!$S$7:$S$874,$Q$2,BS_RE33!$N$7:$N$874,I8,BS_RE33!$P$7:$P$874,'30 days CF Table(NZD)'!G8,BS_RE33!$F$7:$F$874,'30 days CF Table(NZD)'!$C$2)</f>
        <v>0</v>
      </c>
      <c r="R8" s="337">
        <f>SUMIFS(BS_RE33!$H$7:$H$874,BS_RE33!$S$7:$S$874,$R$2,BS_RE33!$N$7:$N$874,I8,BS_RE33!$P$7:$P$874,'30 days CF Table(NZD)'!G8,BS_RE33!$F$7:$F$874,'30 days CF Table(NZD)'!$C$2)</f>
        <v>0</v>
      </c>
      <c r="S8" s="337">
        <f>SUMIFS(BS_RE33!$H$7:$H$874,BS_RE33!$S$7:$S$874,$S$2,BS_RE33!$N$7:$N$874,I8,BS_RE33!$P$7:$P$874,'30 days CF Table(NZD)'!G8,BS_RE33!$F$7:$F$874,'30 days CF Table(NZD)'!$C$2)</f>
        <v>0</v>
      </c>
      <c r="T8" s="337">
        <f>SUMIFS(BS_RE33!$H$7:$H$874,BS_RE33!$S$7:$S$874,$T$2,BS_RE33!$N$7:$N$874,I8,BS_RE33!$P$7:$P$874,'30 days CF Table(NZD)'!G8,BS_RE33!$F$7:$F$874,'30 days CF Table(NZD)'!$C$2)</f>
        <v>0</v>
      </c>
      <c r="U8" s="337">
        <f>SUMIFS(BS_RE33!$H$7:$H$874,BS_RE33!$S$7:$S$874,$U$2,BS_RE33!$N$7:$N$874,I8,BS_RE33!$P$7:$P$874,'30 days CF Table(NZD)'!G8,BS_RE33!$F$7:$F$874,'30 days CF Table(NZD)'!$C$2)</f>
        <v>0</v>
      </c>
      <c r="V8" s="337">
        <f>SUMIFS(BS_RE33!$H$7:$H$874,BS_RE33!$S$7:$S$874,$V$2,BS_RE33!$N$7:$N$874,I8,BS_RE33!$P$7:$P$874,'30 days CF Table(NZD)'!G8,BS_RE33!$F$7:$F$874,'30 days CF Table(NZD)'!$C$2)</f>
        <v>0</v>
      </c>
      <c r="W8" s="337">
        <f>SUMIFS(BS_RE33!$H$7:$H$874,BS_RE33!$S$7:$S$874,$W$2,BS_RE33!$N$7:$N$874,I8,BS_RE33!$P$7:$P$874,'30 days CF Table(NZD)'!G8,BS_RE33!$F$7:$F$874,'30 days CF Table(NZD)'!$C$2)</f>
        <v>0</v>
      </c>
      <c r="X8" s="337">
        <f>SUMIFS(BS_RE33!$H$7:$H$874,BS_RE33!$S$7:$S$874,$X$2,BS_RE33!$N$7:$N$874,I8,BS_RE33!$P$7:$P$874,'30 days CF Table(NZD)'!G8,BS_RE33!$F$7:$F$874,'30 days CF Table(NZD)'!$C$2)</f>
        <v>0</v>
      </c>
      <c r="Y8" s="337">
        <f>SUMIFS(BS_RE33!$H$7:$H$874,BS_RE33!$S$7:$S$874,$Y$2,BS_RE33!$N$7:$N$874,I8,BS_RE33!$P$7:$P$874,'30 days CF Table(NZD)'!G8,BS_RE33!$F$7:$F$874,'30 days CF Table(NZD)'!$C$2)</f>
        <v>0</v>
      </c>
      <c r="Z8" s="337">
        <f>SUMIFS(BS_RE33!$H$7:$H$874,BS_RE33!$S$7:$S$874,$Z$2,BS_RE33!$N$7:$N$874,I8,BS_RE33!$P$7:$P$874,'30 days CF Table(NZD)'!G8,BS_RE33!$F$7:$F$874,'30 days CF Table(NZD)'!$C$2)</f>
        <v>0</v>
      </c>
      <c r="AA8" s="337">
        <f>SUMIFS(BS_RE33!$H$7:$H$874,BS_RE33!$S$7:$S$874,$AA$2,BS_RE33!$N$7:$N$874,I8,BS_RE33!$P$7:$P$874,'30 days CF Table(NZD)'!G8,BS_RE33!$F$7:$F$874,'30 days CF Table(NZD)'!$C$2)</f>
        <v>0</v>
      </c>
      <c r="AB8" s="337">
        <f>SUMIFS(BS_RE33!$H$7:$H$874,BS_RE33!$S$7:$S$874,$AB$2,BS_RE33!$N$7:$N$874,I8,BS_RE33!$P$7:$P$874,'30 days CF Table(NZD)'!G8,BS_RE33!$F$7:$F$874,'30 days CF Table(NZD)'!$C$2)</f>
        <v>0</v>
      </c>
      <c r="AC8" s="337">
        <f>SUMIFS(BS_RE33!$H$7:$H$874,BS_RE33!$S$7:$S$874,$AC$2,BS_RE33!$N$7:$N$874,I8,BS_RE33!$P$7:$P$874,'30 days CF Table(NZD)'!G8,BS_RE33!$F$7:$F$874,'30 days CF Table(NZD)'!$C$2)</f>
        <v>0</v>
      </c>
      <c r="AD8" s="337">
        <f>SUMIFS(BS_RE33!$H$7:$H$874,BS_RE33!$S$7:$S$874,$AD$2,BS_RE33!$N$7:$N$874,I8,BS_RE33!$P$7:$P$874,'30 days CF Table(NZD)'!G8,BS_RE33!$F$7:$F$874,'30 days CF Table(NZD)'!$C$2)</f>
        <v>0</v>
      </c>
      <c r="AE8" s="337">
        <f>SUMIFS(BS_RE33!$H$7:$H$874,BS_RE33!$S$7:$S$874,$AE$2,BS_RE33!$N$7:$N$874,I8,BS_RE33!$P$7:$P$874,'30 days CF Table(NZD)'!G8,BS_RE33!$F$7:$F$874,'30 days CF Table(NZD)'!$C$2)</f>
        <v>0</v>
      </c>
      <c r="AF8" s="337">
        <f>SUMIFS(BS_RE33!$H$7:$H$874,BS_RE33!$S$7:$S$874,$AF$2,BS_RE33!$N$7:$N$874,I8,BS_RE33!$P$7:$P$874,'30 days CF Table(NZD)'!G8,BS_RE33!$F$7:$F$874,'30 days CF Table(NZD)'!$C$2)</f>
        <v>0</v>
      </c>
      <c r="AG8" s="337">
        <f>SUMIFS(BS_RE33!$H$7:$H$874,BS_RE33!$S$7:$S$874,$AG$2,BS_RE33!$N$7:$N$874,I8,BS_RE33!$P$7:$P$874,'30 days CF Table(NZD)'!G8,BS_RE33!$F$7:$F$874,'30 days CF Table(NZD)'!$C$2)</f>
        <v>0</v>
      </c>
      <c r="AH8" s="337">
        <f>SUMIFS(BS_RE33!$H$7:$H$874,BS_RE33!$S$7:$S$874,$AH$2,BS_RE33!$N$7:$N$874,I8,BS_RE33!$P$7:$P$874,'30 days CF Table(NZD)'!G8,BS_RE33!$F$7:$F$874,'30 days CF Table(NZD)'!$C$2)</f>
        <v>0</v>
      </c>
      <c r="AI8" s="337">
        <f>SUMIFS(BS_RE33!$H$7:$H$874,BS_RE33!$S$7:$S$874,$AI$2,BS_RE33!$N$7:$N$874,I8,BS_RE33!$P$7:$P$874,'30 days CF Table(NZD)'!G8,BS_RE33!$F$7:$F$874,'30 days CF Table(NZD)'!$C$2)</f>
        <v>0</v>
      </c>
      <c r="AJ8" s="337">
        <f>SUMIFS(BS_RE33!$H$7:$H$874,BS_RE33!$S$7:$S$874,$AJ$2,BS_RE33!$N$7:$N$874,I8,BS_RE33!$P$7:$P$874,'30 days CF Table(NZD)'!G8,BS_RE33!$F$7:$F$874,'30 days CF Table(NZD)'!$C$2)</f>
        <v>0</v>
      </c>
      <c r="AK8" s="337">
        <f>SUMIFS(BS_RE33!$H$7:$H$874,BS_RE33!$S$7:$S$874,$AK$2,BS_RE33!$N$7:$N$874,I8,BS_RE33!$P$7:$P$874,'30 days CF Table(NZD)'!G8,BS_RE33!$F$7:$F$874,'30 days CF Table(NZD)'!$C$2)</f>
        <v>0</v>
      </c>
      <c r="AL8" s="337">
        <f>SUMIFS(BS_RE33!$H$7:$H$874,BS_RE33!$S$7:$S$874,$AL$2,BS_RE33!$N$7:$N$874,I8,BS_RE33!$P$7:$P$874,'30 days CF Table(NZD)'!G8,BS_RE33!$F$7:$F$874,'30 days CF Table(NZD)'!$C$2)</f>
        <v>0</v>
      </c>
      <c r="AM8" s="337">
        <f>SUMIFS(BS_RE33!$H$7:$H$874,BS_RE33!$S$7:$S$874,$AM$2,BS_RE33!$N$7:$N$874,I8,BS_RE33!$P$7:$P$874,'30 days CF Table(NZD)'!G8,BS_RE33!$F$7:$F$874,'30 days CF Table(NZD)'!$C$2)</f>
        <v>0</v>
      </c>
      <c r="AN8" s="337">
        <f>SUMIFS(BS_RE33!$H$7:$H$874,BS_RE33!$S$7:$S$874,$AN$2,BS_RE33!$N$7:$N$874,I8,BS_RE33!$P$7:$P$874,'30 days CF Table(NZD)'!G8,BS_RE33!$F$7:$F$874,'30 days CF Table(NZD)'!$C$2)</f>
        <v>0</v>
      </c>
      <c r="AO8" s="337">
        <f>SUMIFS(BS_RE33!$H$7:$H$874,BS_RE33!$S$7:$S$874,$AO$2,BS_RE33!$N$7:$N$874,I8,BS_RE33!$P$7:$P$874,'30 days CF Table(NZD)'!G8,BS_RE33!$F$7:$F$874,'30 days CF Table(NZD)'!$C$2)</f>
        <v>0</v>
      </c>
      <c r="AP8" s="338">
        <f>SUMIFS(BS_RE33!$H$7:$H$874,BS_RE33!$S$7:$S$874,$AP$2,BS_RE33!$N$7:$N$874,I8,BS_RE33!$P$7:$P$874,'30 days CF Table(NZD)'!G8,BS_RE33!$F$7:$F$874,'30 days CF Table(NZD)'!$C$2)</f>
        <v>0</v>
      </c>
      <c r="AQ8" s="545"/>
      <c r="AR8" s="379">
        <f>SUMIFS(BS_RE33!$H$7:$H$874,BS_RE33!$S$7:$S$874,$AR$2,BS_RE33!$N$7:$N$874,I8,BS_RE33!$P$7:$P$874,'30 days CF Table(NZD)'!G8,BS_RE33!$F$7:$F$874,'30 days CF Table(NZD)'!$C$2)</f>
        <v>0</v>
      </c>
      <c r="AS8" s="379">
        <f>SUMIFS(BS_RE33!$H$7:$H$874,BS_RE33!$S$7:$S$874,$AS$2,BS_RE33!$N$7:$N$874,I8,BS_RE33!$P$7:$P$874,'30 days CF Table(NZD)'!G8,BS_RE33!$F$7:$F$874,'30 days CF Table(NZD)'!$C$2)</f>
        <v>0</v>
      </c>
      <c r="AT8" s="379">
        <f>SUMIFS(BS_RE33!$H$7:$H$874,BS_RE33!$S$7:$S$874,$AT$2,BS_RE33!$N$7:$N$874,I8,BS_RE33!$P$7:$P$874,'30 days CF Table(NZD)'!G8,BS_RE33!$F$7:$F$874,'30 days CF Table(NZD)'!$C$2)</f>
        <v>0</v>
      </c>
      <c r="AU8" s="379">
        <f>SUMIFS(BS_RE33!$H$7:$H$874,BS_RE33!$S$7:$S$874,$AU$2,BS_RE33!$N$7:$N$874,I8,BS_RE33!$P$7:$P$874,'30 days CF Table(NZD)'!G8,BS_RE33!$F$7:$F$874,'30 days CF Table(NZD)'!$C$2)</f>
        <v>0</v>
      </c>
      <c r="AV8" s="379">
        <f>SUMIFS(BS_RE33!$H$7:$H$874,BS_RE33!$S$7:$S$874,$AV$2,BS_RE33!$N$7:$N$874,I8,BS_RE33!$P$7:$P$874,'30 days CF Table(NZD)'!G8,BS_RE33!$F$7:$F$874,'30 days CF Table(NZD)'!$C$2)</f>
        <v>0</v>
      </c>
      <c r="AW8" s="379">
        <f>SUMIFS(BS_RE33!$H$7:$H$874,BS_RE33!$S$7:$S$874,$AW$2,BS_RE33!$N$7:$N$874,I8,BS_RE33!$P$7:$P$874,'30 days CF Table(NZD)'!G8,BS_RE33!$F$7:$F$874,'30 days CF Table(NZD)'!$C$2)</f>
        <v>0</v>
      </c>
      <c r="AX8" s="379">
        <f>SUMIFS(BS_RE33!$H$7:$H$874,BS_RE33!$S$7:$S$874,$AX$2,BS_RE33!$N$7:$N$874,I8,BS_RE33!$P$7:$P$874,'30 days CF Table(NZD)'!G8,BS_RE33!$F$7:$F$874,'30 days CF Table(NZD)'!$C$2)</f>
        <v>0</v>
      </c>
      <c r="AY8" s="379">
        <f>SUMIFS(BS_RE33!$H$7:$H$874,BS_RE33!$S$7:$S$874,$AY$2,BS_RE33!$N$7:$N$874,I8,BS_RE33!$P$7:$P$874,'30 days CF Table(NZD)'!G8,BS_RE33!$F$7:$F$874,'30 days CF Table(NZD)'!$C$2)</f>
        <v>0</v>
      </c>
      <c r="AZ8" s="379">
        <f>SUMIFS(BS_RE33!$H$7:$H$874,BS_RE33!$S$7:$S$874,$AZ$2,BS_RE33!$N$7:$N$874,I8,BS_RE33!$P$7:$P$874,'30 days CF Table(NZD)'!G8,BS_RE33!$F$7:$F$874,'30 days CF Table(NZD)'!$C$2)</f>
        <v>0</v>
      </c>
      <c r="BA8" s="379">
        <f>SUMIFS(BS_RE33!$H$7:$H$874,BS_RE33!$S$7:$S$874,$BA$2,BS_RE33!$N$7:$N$874,I8,BS_RE33!$P$7:$P$874,'30 days CF Table(NZD)'!G8,BS_RE33!$F$7:$F$874,'30 days CF Table(NZD)'!$C$2)</f>
        <v>0</v>
      </c>
      <c r="BB8" s="379">
        <f>SUMIFS(BS_RE33!$H$7:$H$874,BS_RE33!$S$7:$S$874,$BB$2,BS_RE33!$N$7:$N$874,I8,BS_RE33!$P$7:$P$874,'30 days CF Table(NZD)'!G8,BS_RE33!$F$7:$F$874,'30 days CF Table(NZD)'!$C$2)</f>
        <v>0</v>
      </c>
      <c r="BC8" s="379">
        <f>SUMIFS(BS_RE33!$H$7:$H$874,BS_RE33!$S$7:$S$874,$BC$2,BS_RE33!$N$7:$N$874,I8,BS_RE33!$P$7:$P$874,'30 days CF Table(NZD)'!G8,BS_RE33!$F$7:$F$874,'30 days CF Table(NZD)'!$C$2)</f>
        <v>0</v>
      </c>
      <c r="BD8" s="379">
        <f>SUMIFS(BS_RE33!$H$7:$H$874,BS_RE33!$S$7:$S$874,$BD$2,BS_RE33!$N$7:$N$874,I8,BS_RE33!$P$7:$P$874,'30 days CF Table(NZD)'!G8,BS_RE33!$F$7:$F$874,'30 days CF Table(NZD)'!$C$2)</f>
        <v>0</v>
      </c>
      <c r="BE8" s="379">
        <f>SUMIFS(BS_RE33!$H$7:$H$874,BS_RE33!$S$7:$S$874,$BE$2,BS_RE33!$N$7:$N$874,I8,BS_RE33!$P$7:$P$874,'30 days CF Table(NZD)'!G8,BS_RE33!$F$7:$F$874,'30 days CF Table(NZD)'!$C$2)</f>
        <v>0</v>
      </c>
      <c r="BF8" s="379">
        <f>SUMIFS(BS_RE33!$H$7:$H$874,BS_RE33!$S$7:$S$874,$BF$2,BS_RE33!$N$7:$N$874,I8,BS_RE33!$P$7:$P$874,'30 days CF Table(NZD)'!G8,BS_RE33!$F$7:$F$874,'30 days CF Table(NZD)'!$C$2)</f>
        <v>0</v>
      </c>
      <c r="BG8" s="379">
        <f>SUMIFS(BS_RE33!$H$7:$H$874,BS_RE33!$S$7:$S$874,$BG$2,BS_RE33!$N$7:$N$874,I8,BS_RE33!$P$7:$P$874,'30 days CF Table(NZD)'!G8,BS_RE33!$F$7:$F$874,'30 days CF Table(NZD)'!$C$2)</f>
        <v>0</v>
      </c>
      <c r="BH8" s="379">
        <f>SUMIFS(BS_RE33!$H$7:$H$874,BS_RE33!$S$7:$S$874,$BH$2,BS_RE33!$N$7:$N$874,I8,BS_RE33!$P$7:$P$874,'30 days CF Table(NZD)'!G8,BS_RE33!$F$7:$F$874,'30 days CF Table(NZD)'!$C$2)</f>
        <v>0</v>
      </c>
      <c r="BI8" s="379">
        <f>SUMIFS(BS_RE33!$H$7:$H$874,BS_RE33!$S$7:$S$874,$BI$2,BS_RE33!$N$7:$N$874,I8,BS_RE33!$P$7:$P$874,'30 days CF Table(NZD)'!G8,BS_RE33!$F$7:$F$874,'30 days CF Table(NZD)'!$C$2)</f>
        <v>0</v>
      </c>
      <c r="BJ8" s="379">
        <f>SUMIFS(BS_RE33!$H$7:$H$874,BS_RE33!$S$7:$S$874,$BJ$2,BS_RE33!$N$7:$N$874,I8,BS_RE33!$P$7:$P$874,'30 days CF Table(NZD)'!G8,BS_RE33!$F$7:$F$874,'30 days CF Table(NZD)'!$C$2)</f>
        <v>0</v>
      </c>
      <c r="BK8" s="379">
        <f>SUMIFS(BS_RE33!$H$7:$H$874,BS_RE33!$S$7:$S$874,$BK$2,BS_RE33!$N$7:$N$874,I8,BS_RE33!$P$7:$P$874,'30 days CF Table(NZD)'!G8,BS_RE33!$F$7:$F$874,'30 days CF Table(NZD)'!$C$2)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Table(NZD)'!G9,BS_RE33!$F$7:$F$874,'30 days CF Table(NZD)'!$C$2)</f>
        <v>0</v>
      </c>
      <c r="M9" s="337">
        <f>SUMIFS(BS_RE33!$H$7:$H$874,BS_RE33!$S$7:$S$874,$M$2,BS_RE33!$N$7:$N$874,I9,BS_RE33!$P$7:$P$874,'30 days CF Table(NZD)'!G9,BS_RE33!$F$7:$F$874,'30 days CF Table(NZD)'!$C$2)</f>
        <v>0</v>
      </c>
      <c r="N9" s="337">
        <f>SUMIFS(BS_RE33!$H$7:$H$874,BS_RE33!$S$7:$S$874,$N$2,BS_RE33!$N$7:$N$874,I9,BS_RE33!$P$7:$P$874,'30 days CF Table(NZD)'!G9,BS_RE33!$F$7:$F$874,'30 days CF Table(NZD)'!$C$2)</f>
        <v>0</v>
      </c>
      <c r="O9" s="337">
        <f>SUMIFS(BS_RE33!$H$7:$H$874,BS_RE33!$S$7:$S$874,$O$2,BS_RE33!$N$7:$N$874,I9,BS_RE33!$P$7:$P$874,'30 days CF Table(NZD)'!G9,BS_RE33!$F$7:$F$874,'30 days CF Table(NZD)'!$C$2)</f>
        <v>0</v>
      </c>
      <c r="P9" s="337">
        <f>SUMIFS(BS_RE33!$H$7:$H$874,BS_RE33!$S$7:$S$874,$P$2,BS_RE33!$N$7:$N$874,I9,BS_RE33!$P$7:$P$874,'30 days CF Table(NZD)'!G9,BS_RE33!$F$7:$F$874,'30 days CF Table(NZD)'!$C$2)</f>
        <v>0</v>
      </c>
      <c r="Q9" s="337">
        <f>SUMIFS(BS_RE33!$H$7:$H$874,BS_RE33!$S$7:$S$874,$Q$2,BS_RE33!$N$7:$N$874,I9,BS_RE33!$P$7:$P$874,'30 days CF Table(NZD)'!G9,BS_RE33!$F$7:$F$874,'30 days CF Table(NZD)'!$C$2)</f>
        <v>0</v>
      </c>
      <c r="R9" s="337">
        <f>SUMIFS(BS_RE33!$H$7:$H$874,BS_RE33!$S$7:$S$874,$R$2,BS_RE33!$N$7:$N$874,I9,BS_RE33!$P$7:$P$874,'30 days CF Table(NZD)'!G9,BS_RE33!$F$7:$F$874,'30 days CF Table(NZD)'!$C$2)</f>
        <v>0</v>
      </c>
      <c r="S9" s="337">
        <f>SUMIFS(BS_RE33!$H$7:$H$874,BS_RE33!$S$7:$S$874,$S$2,BS_RE33!$N$7:$N$874,I9,BS_RE33!$P$7:$P$874,'30 days CF Table(NZD)'!G9,BS_RE33!$F$7:$F$874,'30 days CF Table(NZD)'!$C$2)</f>
        <v>0</v>
      </c>
      <c r="T9" s="337">
        <f>SUMIFS(BS_RE33!$H$7:$H$874,BS_RE33!$S$7:$S$874,$T$2,BS_RE33!$N$7:$N$874,I9,BS_RE33!$P$7:$P$874,'30 days CF Table(NZD)'!G9,BS_RE33!$F$7:$F$874,'30 days CF Table(NZD)'!$C$2)</f>
        <v>0</v>
      </c>
      <c r="U9" s="337">
        <f>SUMIFS(BS_RE33!$H$7:$H$874,BS_RE33!$S$7:$S$874,$U$2,BS_RE33!$N$7:$N$874,I9,BS_RE33!$P$7:$P$874,'30 days CF Table(NZD)'!G9,BS_RE33!$F$7:$F$874,'30 days CF Table(NZD)'!$C$2)</f>
        <v>0</v>
      </c>
      <c r="V9" s="337">
        <f>SUMIFS(BS_RE33!$H$7:$H$874,BS_RE33!$S$7:$S$874,$V$2,BS_RE33!$N$7:$N$874,I9,BS_RE33!$P$7:$P$874,'30 days CF Table(NZD)'!G9,BS_RE33!$F$7:$F$874,'30 days CF Table(NZD)'!$C$2)</f>
        <v>0</v>
      </c>
      <c r="W9" s="337">
        <f>SUMIFS(BS_RE33!$H$7:$H$874,BS_RE33!$S$7:$S$874,$W$2,BS_RE33!$N$7:$N$874,I9,BS_RE33!$P$7:$P$874,'30 days CF Table(NZD)'!G9,BS_RE33!$F$7:$F$874,'30 days CF Table(NZD)'!$C$2)</f>
        <v>0</v>
      </c>
      <c r="X9" s="337">
        <f>SUMIFS(BS_RE33!$H$7:$H$874,BS_RE33!$S$7:$S$874,$X$2,BS_RE33!$N$7:$N$874,I9,BS_RE33!$P$7:$P$874,'30 days CF Table(NZD)'!G9,BS_RE33!$F$7:$F$874,'30 days CF Table(NZD)'!$C$2)</f>
        <v>0</v>
      </c>
      <c r="Y9" s="337">
        <f>SUMIFS(BS_RE33!$H$7:$H$874,BS_RE33!$S$7:$S$874,$Y$2,BS_RE33!$N$7:$N$874,I9,BS_RE33!$P$7:$P$874,'30 days CF Table(NZD)'!G9,BS_RE33!$F$7:$F$874,'30 days CF Table(NZD)'!$C$2)</f>
        <v>0</v>
      </c>
      <c r="Z9" s="337">
        <f>SUMIFS(BS_RE33!$H$7:$H$874,BS_RE33!$S$7:$S$874,$Z$2,BS_RE33!$N$7:$N$874,I9,BS_RE33!$P$7:$P$874,'30 days CF Table(NZD)'!G9,BS_RE33!$F$7:$F$874,'30 days CF Table(NZD)'!$C$2)</f>
        <v>0</v>
      </c>
      <c r="AA9" s="337">
        <f>SUMIFS(BS_RE33!$H$7:$H$874,BS_RE33!$S$7:$S$874,$AA$2,BS_RE33!$N$7:$N$874,I9,BS_RE33!$P$7:$P$874,'30 days CF Table(NZD)'!G9,BS_RE33!$F$7:$F$874,'30 days CF Table(NZD)'!$C$2)</f>
        <v>0</v>
      </c>
      <c r="AB9" s="337">
        <f>SUMIFS(BS_RE33!$H$7:$H$874,BS_RE33!$S$7:$S$874,$AB$2,BS_RE33!$N$7:$N$874,I9,BS_RE33!$P$7:$P$874,'30 days CF Table(NZD)'!G9,BS_RE33!$F$7:$F$874,'30 days CF Table(NZD)'!$C$2)</f>
        <v>0</v>
      </c>
      <c r="AC9" s="337">
        <f>SUMIFS(BS_RE33!$H$7:$H$874,BS_RE33!$S$7:$S$874,$AC$2,BS_RE33!$N$7:$N$874,I9,BS_RE33!$P$7:$P$874,'30 days CF Table(NZD)'!G9,BS_RE33!$F$7:$F$874,'30 days CF Table(NZD)'!$C$2)</f>
        <v>0</v>
      </c>
      <c r="AD9" s="337">
        <f>SUMIFS(BS_RE33!$H$7:$H$874,BS_RE33!$S$7:$S$874,$AD$2,BS_RE33!$N$7:$N$874,I9,BS_RE33!$P$7:$P$874,'30 days CF Table(NZD)'!G9,BS_RE33!$F$7:$F$874,'30 days CF Table(NZD)'!$C$2)</f>
        <v>0</v>
      </c>
      <c r="AE9" s="337">
        <f>SUMIFS(BS_RE33!$H$7:$H$874,BS_RE33!$S$7:$S$874,$AE$2,BS_RE33!$N$7:$N$874,I9,BS_RE33!$P$7:$P$874,'30 days CF Table(NZD)'!G9,BS_RE33!$F$7:$F$874,'30 days CF Table(NZD)'!$C$2)</f>
        <v>0</v>
      </c>
      <c r="AF9" s="337">
        <f>SUMIFS(BS_RE33!$H$7:$H$874,BS_RE33!$S$7:$S$874,$AF$2,BS_RE33!$N$7:$N$874,I9,BS_RE33!$P$7:$P$874,'30 days CF Table(NZD)'!G9,BS_RE33!$F$7:$F$874,'30 days CF Table(NZD)'!$C$2)</f>
        <v>0</v>
      </c>
      <c r="AG9" s="337">
        <f>SUMIFS(BS_RE33!$H$7:$H$874,BS_RE33!$S$7:$S$874,$AG$2,BS_RE33!$N$7:$N$874,I9,BS_RE33!$P$7:$P$874,'30 days CF Table(NZD)'!G9,BS_RE33!$F$7:$F$874,'30 days CF Table(NZD)'!$C$2)</f>
        <v>0</v>
      </c>
      <c r="AH9" s="337">
        <f>SUMIFS(BS_RE33!$H$7:$H$874,BS_RE33!$S$7:$S$874,$AH$2,BS_RE33!$N$7:$N$874,I9,BS_RE33!$P$7:$P$874,'30 days CF Table(NZD)'!G9,BS_RE33!$F$7:$F$874,'30 days CF Table(NZD)'!$C$2)</f>
        <v>0</v>
      </c>
      <c r="AI9" s="337">
        <f>SUMIFS(BS_RE33!$H$7:$H$874,BS_RE33!$S$7:$S$874,$AI$2,BS_RE33!$N$7:$N$874,I9,BS_RE33!$P$7:$P$874,'30 days CF Table(NZD)'!G9,BS_RE33!$F$7:$F$874,'30 days CF Table(NZD)'!$C$2)</f>
        <v>0</v>
      </c>
      <c r="AJ9" s="337">
        <f>SUMIFS(BS_RE33!$H$7:$H$874,BS_RE33!$S$7:$S$874,$AJ$2,BS_RE33!$N$7:$N$874,I9,BS_RE33!$P$7:$P$874,'30 days CF Table(NZD)'!G9,BS_RE33!$F$7:$F$874,'30 days CF Table(NZD)'!$C$2)</f>
        <v>0</v>
      </c>
      <c r="AK9" s="337">
        <f>SUMIFS(BS_RE33!$H$7:$H$874,BS_RE33!$S$7:$S$874,$AK$2,BS_RE33!$N$7:$N$874,I9,BS_RE33!$P$7:$P$874,'30 days CF Table(NZD)'!G9,BS_RE33!$F$7:$F$874,'30 days CF Table(NZD)'!$C$2)</f>
        <v>0</v>
      </c>
      <c r="AL9" s="337">
        <f>SUMIFS(BS_RE33!$H$7:$H$874,BS_RE33!$S$7:$S$874,$AL$2,BS_RE33!$N$7:$N$874,I9,BS_RE33!$P$7:$P$874,'30 days CF Table(NZD)'!G9,BS_RE33!$F$7:$F$874,'30 days CF Table(NZD)'!$C$2)</f>
        <v>0</v>
      </c>
      <c r="AM9" s="337">
        <f>SUMIFS(BS_RE33!$H$7:$H$874,BS_RE33!$S$7:$S$874,$AM$2,BS_RE33!$N$7:$N$874,I9,BS_RE33!$P$7:$P$874,'30 days CF Table(NZD)'!G9,BS_RE33!$F$7:$F$874,'30 days CF Table(NZD)'!$C$2)</f>
        <v>0</v>
      </c>
      <c r="AN9" s="337">
        <f>SUMIFS(BS_RE33!$H$7:$H$874,BS_RE33!$S$7:$S$874,$AN$2,BS_RE33!$N$7:$N$874,I9,BS_RE33!$P$7:$P$874,'30 days CF Table(NZD)'!G9,BS_RE33!$F$7:$F$874,'30 days CF Table(NZD)'!$C$2)</f>
        <v>0</v>
      </c>
      <c r="AO9" s="337">
        <f>SUMIFS(BS_RE33!$H$7:$H$874,BS_RE33!$S$7:$S$874,$AO$2,BS_RE33!$N$7:$N$874,I9,BS_RE33!$P$7:$P$874,'30 days CF Table(NZD)'!G9,BS_RE33!$F$7:$F$874,'30 days CF Table(NZD)'!$C$2)</f>
        <v>0</v>
      </c>
      <c r="AP9" s="338">
        <f>SUMIFS(BS_RE33!$H$7:$H$874,BS_RE33!$S$7:$S$874,$AP$2,BS_RE33!$N$7:$N$874,I9,BS_RE33!$P$7:$P$874,'30 days CF Table(NZD)'!G9,BS_RE33!$F$7:$F$874,'30 days CF Table(NZD)'!$C$2)</f>
        <v>0</v>
      </c>
      <c r="AQ9" s="545"/>
      <c r="AR9" s="379">
        <f>SUMIFS(BS_RE33!$H$7:$H$874,BS_RE33!$S$7:$S$874,$AR$2,BS_RE33!$N$7:$N$874,I9,BS_RE33!$P$7:$P$874,'30 days CF Table(NZD)'!G9,BS_RE33!$F$7:$F$874,'30 days CF Table(NZD)'!$C$2)</f>
        <v>0</v>
      </c>
      <c r="AS9" s="379">
        <f>SUMIFS(BS_RE33!$H$7:$H$874,BS_RE33!$S$7:$S$874,$AS$2,BS_RE33!$N$7:$N$874,I9,BS_RE33!$P$7:$P$874,'30 days CF Table(NZD)'!G9,BS_RE33!$F$7:$F$874,'30 days CF Table(NZD)'!$C$2)</f>
        <v>0</v>
      </c>
      <c r="AT9" s="379">
        <f>SUMIFS(BS_RE33!$H$7:$H$874,BS_RE33!$S$7:$S$874,$AT$2,BS_RE33!$N$7:$N$874,I9,BS_RE33!$P$7:$P$874,'30 days CF Table(NZD)'!G9,BS_RE33!$F$7:$F$874,'30 days CF Table(NZD)'!$C$2)</f>
        <v>0</v>
      </c>
      <c r="AU9" s="379">
        <f>SUMIFS(BS_RE33!$H$7:$H$874,BS_RE33!$S$7:$S$874,$AU$2,BS_RE33!$N$7:$N$874,I9,BS_RE33!$P$7:$P$874,'30 days CF Table(NZD)'!G9,BS_RE33!$F$7:$F$874,'30 days CF Table(NZD)'!$C$2)</f>
        <v>0</v>
      </c>
      <c r="AV9" s="379">
        <f>SUMIFS(BS_RE33!$H$7:$H$874,BS_RE33!$S$7:$S$874,$AV$2,BS_RE33!$N$7:$N$874,I9,BS_RE33!$P$7:$P$874,'30 days CF Table(NZD)'!G9,BS_RE33!$F$7:$F$874,'30 days CF Table(NZD)'!$C$2)</f>
        <v>0</v>
      </c>
      <c r="AW9" s="379">
        <f>SUMIFS(BS_RE33!$H$7:$H$874,BS_RE33!$S$7:$S$874,$AW$2,BS_RE33!$N$7:$N$874,I9,BS_RE33!$P$7:$P$874,'30 days CF Table(NZD)'!G9,BS_RE33!$F$7:$F$874,'30 days CF Table(NZD)'!$C$2)</f>
        <v>0</v>
      </c>
      <c r="AX9" s="379">
        <f>SUMIFS(BS_RE33!$H$7:$H$874,BS_RE33!$S$7:$S$874,$AX$2,BS_RE33!$N$7:$N$874,I9,BS_RE33!$P$7:$P$874,'30 days CF Table(NZD)'!G9,BS_RE33!$F$7:$F$874,'30 days CF Table(NZD)'!$C$2)</f>
        <v>0</v>
      </c>
      <c r="AY9" s="379">
        <f>SUMIFS(BS_RE33!$H$7:$H$874,BS_RE33!$S$7:$S$874,$AY$2,BS_RE33!$N$7:$N$874,I9,BS_RE33!$P$7:$P$874,'30 days CF Table(NZD)'!G9,BS_RE33!$F$7:$F$874,'30 days CF Table(NZD)'!$C$2)</f>
        <v>0</v>
      </c>
      <c r="AZ9" s="379">
        <f>SUMIFS(BS_RE33!$H$7:$H$874,BS_RE33!$S$7:$S$874,$AZ$2,BS_RE33!$N$7:$N$874,I9,BS_RE33!$P$7:$P$874,'30 days CF Table(NZD)'!G9,BS_RE33!$F$7:$F$874,'30 days CF Table(NZD)'!$C$2)</f>
        <v>0</v>
      </c>
      <c r="BA9" s="379">
        <f>SUMIFS(BS_RE33!$H$7:$H$874,BS_RE33!$S$7:$S$874,$BA$2,BS_RE33!$N$7:$N$874,I9,BS_RE33!$P$7:$P$874,'30 days CF Table(NZD)'!G9,BS_RE33!$F$7:$F$874,'30 days CF Table(NZD)'!$C$2)</f>
        <v>0</v>
      </c>
      <c r="BB9" s="379">
        <f>SUMIFS(BS_RE33!$H$7:$H$874,BS_RE33!$S$7:$S$874,$BB$2,BS_RE33!$N$7:$N$874,I9,BS_RE33!$P$7:$P$874,'30 days CF Table(NZD)'!G9,BS_RE33!$F$7:$F$874,'30 days CF Table(NZD)'!$C$2)</f>
        <v>0</v>
      </c>
      <c r="BC9" s="379">
        <f>SUMIFS(BS_RE33!$H$7:$H$874,BS_RE33!$S$7:$S$874,$BC$2,BS_RE33!$N$7:$N$874,I9,BS_RE33!$P$7:$P$874,'30 days CF Table(NZD)'!G9,BS_RE33!$F$7:$F$874,'30 days CF Table(NZD)'!$C$2)</f>
        <v>0</v>
      </c>
      <c r="BD9" s="379">
        <f>SUMIFS(BS_RE33!$H$7:$H$874,BS_RE33!$S$7:$S$874,$BD$2,BS_RE33!$N$7:$N$874,I9,BS_RE33!$P$7:$P$874,'30 days CF Table(NZD)'!G9,BS_RE33!$F$7:$F$874,'30 days CF Table(NZD)'!$C$2)</f>
        <v>0</v>
      </c>
      <c r="BE9" s="379">
        <f>SUMIFS(BS_RE33!$H$7:$H$874,BS_RE33!$S$7:$S$874,$BE$2,BS_RE33!$N$7:$N$874,I9,BS_RE33!$P$7:$P$874,'30 days CF Table(NZD)'!G9,BS_RE33!$F$7:$F$874,'30 days CF Table(NZD)'!$C$2)</f>
        <v>0</v>
      </c>
      <c r="BF9" s="379">
        <f>SUMIFS(BS_RE33!$H$7:$H$874,BS_RE33!$S$7:$S$874,$BF$2,BS_RE33!$N$7:$N$874,I9,BS_RE33!$P$7:$P$874,'30 days CF Table(NZD)'!G9,BS_RE33!$F$7:$F$874,'30 days CF Table(NZD)'!$C$2)</f>
        <v>0</v>
      </c>
      <c r="BG9" s="379">
        <f>SUMIFS(BS_RE33!$H$7:$H$874,BS_RE33!$S$7:$S$874,$BG$2,BS_RE33!$N$7:$N$874,I9,BS_RE33!$P$7:$P$874,'30 days CF Table(NZD)'!G9,BS_RE33!$F$7:$F$874,'30 days CF Table(NZD)'!$C$2)</f>
        <v>0</v>
      </c>
      <c r="BH9" s="379">
        <f>SUMIFS(BS_RE33!$H$7:$H$874,BS_RE33!$S$7:$S$874,$BH$2,BS_RE33!$N$7:$N$874,I9,BS_RE33!$P$7:$P$874,'30 days CF Table(NZD)'!G9,BS_RE33!$F$7:$F$874,'30 days CF Table(NZD)'!$C$2)</f>
        <v>0</v>
      </c>
      <c r="BI9" s="379">
        <f>SUMIFS(BS_RE33!$H$7:$H$874,BS_RE33!$S$7:$S$874,$BI$2,BS_RE33!$N$7:$N$874,I9,BS_RE33!$P$7:$P$874,'30 days CF Table(NZD)'!G9,BS_RE33!$F$7:$F$874,'30 days CF Table(NZD)'!$C$2)</f>
        <v>0</v>
      </c>
      <c r="BJ9" s="379">
        <f>SUMIFS(BS_RE33!$H$7:$H$874,BS_RE33!$S$7:$S$874,$BJ$2,BS_RE33!$N$7:$N$874,I9,BS_RE33!$P$7:$P$874,'30 days CF Table(NZD)'!G9,BS_RE33!$F$7:$F$874,'30 days CF Table(NZD)'!$C$2)</f>
        <v>0</v>
      </c>
      <c r="BK9" s="379">
        <f>SUMIFS(BS_RE33!$H$7:$H$874,BS_RE33!$S$7:$S$874,$BK$2,BS_RE33!$N$7:$N$874,I9,BS_RE33!$P$7:$P$874,'30 days CF Table(NZD)'!G9,BS_RE33!$F$7:$F$874,'30 days CF Table(NZD)'!$C$2)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Table(NZD)'!G10,BS_RE33!$F$7:$F$874,'30 days CF Table(NZD)'!$C$2)</f>
        <v>0</v>
      </c>
      <c r="M10" s="337">
        <f>SUMIFS(BS_RE33!$H$7:$H$874,BS_RE33!$S$7:$S$874,$M$2,BS_RE33!$N$7:$N$874,I10,BS_RE33!$P$7:$P$874,'30 days CF Table(NZD)'!G10,BS_RE33!$F$7:$F$874,'30 days CF Table(NZD)'!$C$2)</f>
        <v>0</v>
      </c>
      <c r="N10" s="337">
        <f>SUMIFS(BS_RE33!$H$7:$H$874,BS_RE33!$S$7:$S$874,$N$2,BS_RE33!$N$7:$N$874,I10,BS_RE33!$P$7:$P$874,'30 days CF Table(NZD)'!G10,BS_RE33!$F$7:$F$874,'30 days CF Table(NZD)'!$C$2)</f>
        <v>0</v>
      </c>
      <c r="O10" s="337">
        <f>SUMIFS(BS_RE33!$H$7:$H$874,BS_RE33!$S$7:$S$874,$O$2,BS_RE33!$N$7:$N$874,I10,BS_RE33!$P$7:$P$874,'30 days CF Table(NZD)'!G10,BS_RE33!$F$7:$F$874,'30 days CF Table(NZD)'!$C$2)</f>
        <v>0</v>
      </c>
      <c r="P10" s="337">
        <f>SUMIFS(BS_RE33!$H$7:$H$874,BS_RE33!$S$7:$S$874,$P$2,BS_RE33!$N$7:$N$874,I10,BS_RE33!$P$7:$P$874,'30 days CF Table(NZD)'!G10,BS_RE33!$F$7:$F$874,'30 days CF Table(NZD)'!$C$2)</f>
        <v>0</v>
      </c>
      <c r="Q10" s="337">
        <f>SUMIFS(BS_RE33!$H$7:$H$874,BS_RE33!$S$7:$S$874,$Q$2,BS_RE33!$N$7:$N$874,I10,BS_RE33!$P$7:$P$874,'30 days CF Table(NZD)'!G10,BS_RE33!$F$7:$F$874,'30 days CF Table(NZD)'!$C$2)</f>
        <v>0</v>
      </c>
      <c r="R10" s="337">
        <f>SUMIFS(BS_RE33!$H$7:$H$874,BS_RE33!$S$7:$S$874,$R$2,BS_RE33!$N$7:$N$874,I10,BS_RE33!$P$7:$P$874,'30 days CF Table(NZD)'!G10,BS_RE33!$F$7:$F$874,'30 days CF Table(NZD)'!$C$2)</f>
        <v>0</v>
      </c>
      <c r="S10" s="337">
        <f>SUMIFS(BS_RE33!$H$7:$H$874,BS_RE33!$S$7:$S$874,$S$2,BS_RE33!$N$7:$N$874,I10,BS_RE33!$P$7:$P$874,'30 days CF Table(NZD)'!G10,BS_RE33!$F$7:$F$874,'30 days CF Table(NZD)'!$C$2)</f>
        <v>0</v>
      </c>
      <c r="T10" s="337">
        <f>SUMIFS(BS_RE33!$H$7:$H$874,BS_RE33!$S$7:$S$874,$T$2,BS_RE33!$N$7:$N$874,I10,BS_RE33!$P$7:$P$874,'30 days CF Table(NZD)'!G10,BS_RE33!$F$7:$F$874,'30 days CF Table(NZD)'!$C$2)</f>
        <v>0</v>
      </c>
      <c r="U10" s="337">
        <f>SUMIFS(BS_RE33!$H$7:$H$874,BS_RE33!$S$7:$S$874,$U$2,BS_RE33!$N$7:$N$874,I10,BS_RE33!$P$7:$P$874,'30 days CF Table(NZD)'!G10,BS_RE33!$F$7:$F$874,'30 days CF Table(NZD)'!$C$2)</f>
        <v>0</v>
      </c>
      <c r="V10" s="337">
        <f>SUMIFS(BS_RE33!$H$7:$H$874,BS_RE33!$S$7:$S$874,$V$2,BS_RE33!$N$7:$N$874,I10,BS_RE33!$P$7:$P$874,'30 days CF Table(NZD)'!G10,BS_RE33!$F$7:$F$874,'30 days CF Table(NZD)'!$C$2)</f>
        <v>0</v>
      </c>
      <c r="W10" s="337">
        <f>SUMIFS(BS_RE33!$H$7:$H$874,BS_RE33!$S$7:$S$874,$W$2,BS_RE33!$N$7:$N$874,I10,BS_RE33!$P$7:$P$874,'30 days CF Table(NZD)'!G10,BS_RE33!$F$7:$F$874,'30 days CF Table(NZD)'!$C$2)</f>
        <v>0</v>
      </c>
      <c r="X10" s="337">
        <f>SUMIFS(BS_RE33!$H$7:$H$874,BS_RE33!$S$7:$S$874,$X$2,BS_RE33!$N$7:$N$874,I10,BS_RE33!$P$7:$P$874,'30 days CF Table(NZD)'!G10,BS_RE33!$F$7:$F$874,'30 days CF Table(NZD)'!$C$2)</f>
        <v>0</v>
      </c>
      <c r="Y10" s="337">
        <f>SUMIFS(BS_RE33!$H$7:$H$874,BS_RE33!$S$7:$S$874,$Y$2,BS_RE33!$N$7:$N$874,I10,BS_RE33!$P$7:$P$874,'30 days CF Table(NZD)'!G10,BS_RE33!$F$7:$F$874,'30 days CF Table(NZD)'!$C$2)</f>
        <v>0</v>
      </c>
      <c r="Z10" s="337">
        <f>SUMIFS(BS_RE33!$H$7:$H$874,BS_RE33!$S$7:$S$874,$Z$2,BS_RE33!$N$7:$N$874,I10,BS_RE33!$P$7:$P$874,'30 days CF Table(NZD)'!G10,BS_RE33!$F$7:$F$874,'30 days CF Table(NZD)'!$C$2)</f>
        <v>0</v>
      </c>
      <c r="AA10" s="337">
        <f>SUMIFS(BS_RE33!$H$7:$H$874,BS_RE33!$S$7:$S$874,$AA$2,BS_RE33!$N$7:$N$874,I10,BS_RE33!$P$7:$P$874,'30 days CF Table(NZD)'!G10,BS_RE33!$F$7:$F$874,'30 days CF Table(NZD)'!$C$2)</f>
        <v>0</v>
      </c>
      <c r="AB10" s="337">
        <f>SUMIFS(BS_RE33!$H$7:$H$874,BS_RE33!$S$7:$S$874,$AB$2,BS_RE33!$N$7:$N$874,I10,BS_RE33!$P$7:$P$874,'30 days CF Table(NZD)'!G10,BS_RE33!$F$7:$F$874,'30 days CF Table(NZD)'!$C$2)</f>
        <v>0</v>
      </c>
      <c r="AC10" s="337">
        <f>SUMIFS(BS_RE33!$H$7:$H$874,BS_RE33!$S$7:$S$874,$AC$2,BS_RE33!$N$7:$N$874,I10,BS_RE33!$P$7:$P$874,'30 days CF Table(NZD)'!G10,BS_RE33!$F$7:$F$874,'30 days CF Table(NZD)'!$C$2)</f>
        <v>0</v>
      </c>
      <c r="AD10" s="337">
        <f>SUMIFS(BS_RE33!$H$7:$H$874,BS_RE33!$S$7:$S$874,$AD$2,BS_RE33!$N$7:$N$874,I10,BS_RE33!$P$7:$P$874,'30 days CF Table(NZD)'!G10,BS_RE33!$F$7:$F$874,'30 days CF Table(NZD)'!$C$2)</f>
        <v>0</v>
      </c>
      <c r="AE10" s="337">
        <f>SUMIFS(BS_RE33!$H$7:$H$874,BS_RE33!$S$7:$S$874,$AE$2,BS_RE33!$N$7:$N$874,I10,BS_RE33!$P$7:$P$874,'30 days CF Table(NZD)'!G10,BS_RE33!$F$7:$F$874,'30 days CF Table(NZD)'!$C$2)</f>
        <v>0</v>
      </c>
      <c r="AF10" s="337">
        <f>SUMIFS(BS_RE33!$H$7:$H$874,BS_RE33!$S$7:$S$874,$AF$2,BS_RE33!$N$7:$N$874,I10,BS_RE33!$P$7:$P$874,'30 days CF Table(NZD)'!G10,BS_RE33!$F$7:$F$874,'30 days CF Table(NZD)'!$C$2)</f>
        <v>0</v>
      </c>
      <c r="AG10" s="337">
        <f>SUMIFS(BS_RE33!$H$7:$H$874,BS_RE33!$S$7:$S$874,$AG$2,BS_RE33!$N$7:$N$874,I10,BS_RE33!$P$7:$P$874,'30 days CF Table(NZD)'!G10,BS_RE33!$F$7:$F$874,'30 days CF Table(NZD)'!$C$2)</f>
        <v>0</v>
      </c>
      <c r="AH10" s="337">
        <f>SUMIFS(BS_RE33!$H$7:$H$874,BS_RE33!$S$7:$S$874,$AH$2,BS_RE33!$N$7:$N$874,I10,BS_RE33!$P$7:$P$874,'30 days CF Table(NZD)'!G10,BS_RE33!$F$7:$F$874,'30 days CF Table(NZD)'!$C$2)</f>
        <v>0</v>
      </c>
      <c r="AI10" s="337">
        <f>SUMIFS(BS_RE33!$H$7:$H$874,BS_RE33!$S$7:$S$874,$AI$2,BS_RE33!$N$7:$N$874,I10,BS_RE33!$P$7:$P$874,'30 days CF Table(NZD)'!G10,BS_RE33!$F$7:$F$874,'30 days CF Table(NZD)'!$C$2)</f>
        <v>0</v>
      </c>
      <c r="AJ10" s="337">
        <f>SUMIFS(BS_RE33!$H$7:$H$874,BS_RE33!$S$7:$S$874,$AJ$2,BS_RE33!$N$7:$N$874,I10,BS_RE33!$P$7:$P$874,'30 days CF Table(NZD)'!G10,BS_RE33!$F$7:$F$874,'30 days CF Table(NZD)'!$C$2)</f>
        <v>0</v>
      </c>
      <c r="AK10" s="337">
        <f>SUMIFS(BS_RE33!$H$7:$H$874,BS_RE33!$S$7:$S$874,$AK$2,BS_RE33!$N$7:$N$874,I10,BS_RE33!$P$7:$P$874,'30 days CF Table(NZD)'!G10,BS_RE33!$F$7:$F$874,'30 days CF Table(NZD)'!$C$2)</f>
        <v>0</v>
      </c>
      <c r="AL10" s="337">
        <f>SUMIFS(BS_RE33!$H$7:$H$874,BS_RE33!$S$7:$S$874,$AL$2,BS_RE33!$N$7:$N$874,I10,BS_RE33!$P$7:$P$874,'30 days CF Table(NZD)'!G10,BS_RE33!$F$7:$F$874,'30 days CF Table(NZD)'!$C$2)</f>
        <v>0</v>
      </c>
      <c r="AM10" s="337">
        <f>SUMIFS(BS_RE33!$H$7:$H$874,BS_RE33!$S$7:$S$874,$AM$2,BS_RE33!$N$7:$N$874,I10,BS_RE33!$P$7:$P$874,'30 days CF Table(NZD)'!G10,BS_RE33!$F$7:$F$874,'30 days CF Table(NZD)'!$C$2)</f>
        <v>0</v>
      </c>
      <c r="AN10" s="337">
        <f>SUMIFS(BS_RE33!$H$7:$H$874,BS_RE33!$S$7:$S$874,$AN$2,BS_RE33!$N$7:$N$874,I10,BS_RE33!$P$7:$P$874,'30 days CF Table(NZD)'!G10,BS_RE33!$F$7:$F$874,'30 days CF Table(NZD)'!$C$2)</f>
        <v>0</v>
      </c>
      <c r="AO10" s="337">
        <f>SUMIFS(BS_RE33!$H$7:$H$874,BS_RE33!$S$7:$S$874,$AO$2,BS_RE33!$N$7:$N$874,I10,BS_RE33!$P$7:$P$874,'30 days CF Table(NZD)'!G10,BS_RE33!$F$7:$F$874,'30 days CF Table(NZD)'!$C$2)</f>
        <v>0</v>
      </c>
      <c r="AP10" s="338">
        <f>SUMIFS(BS_RE33!$H$7:$H$874,BS_RE33!$S$7:$S$874,$AP$2,BS_RE33!$N$7:$N$874,I10,BS_RE33!$P$7:$P$874,'30 days CF Table(NZD)'!G10,BS_RE33!$F$7:$F$874,'30 days CF Table(NZD)'!$C$2)</f>
        <v>0</v>
      </c>
      <c r="AQ10" s="545"/>
      <c r="AR10" s="379">
        <f>SUMIFS(BS_RE33!$H$7:$H$874,BS_RE33!$S$7:$S$874,$AR$2,BS_RE33!$N$7:$N$874,I10,BS_RE33!$P$7:$P$874,'30 days CF Table(NZD)'!G10,BS_RE33!$F$7:$F$874,'30 days CF Table(NZD)'!$C$2)</f>
        <v>0</v>
      </c>
      <c r="AS10" s="379">
        <f>SUMIFS(BS_RE33!$H$7:$H$874,BS_RE33!$S$7:$S$874,$AS$2,BS_RE33!$N$7:$N$874,I10,BS_RE33!$P$7:$P$874,'30 days CF Table(NZD)'!G10,BS_RE33!$F$7:$F$874,'30 days CF Table(NZD)'!$C$2)</f>
        <v>0</v>
      </c>
      <c r="AT10" s="379">
        <f>SUMIFS(BS_RE33!$H$7:$H$874,BS_RE33!$S$7:$S$874,$AT$2,BS_RE33!$N$7:$N$874,I10,BS_RE33!$P$7:$P$874,'30 days CF Table(NZD)'!G10,BS_RE33!$F$7:$F$874,'30 days CF Table(NZD)'!$C$2)</f>
        <v>0</v>
      </c>
      <c r="AU10" s="379">
        <f>SUMIFS(BS_RE33!$H$7:$H$874,BS_RE33!$S$7:$S$874,$AU$2,BS_RE33!$N$7:$N$874,I10,BS_RE33!$P$7:$P$874,'30 days CF Table(NZD)'!G10,BS_RE33!$F$7:$F$874,'30 days CF Table(NZD)'!$C$2)</f>
        <v>0</v>
      </c>
      <c r="AV10" s="379">
        <f>SUMIFS(BS_RE33!$H$7:$H$874,BS_RE33!$S$7:$S$874,$AV$2,BS_RE33!$N$7:$N$874,I10,BS_RE33!$P$7:$P$874,'30 days CF Table(NZD)'!G10,BS_RE33!$F$7:$F$874,'30 days CF Table(NZD)'!$C$2)</f>
        <v>0</v>
      </c>
      <c r="AW10" s="379">
        <f>SUMIFS(BS_RE33!$H$7:$H$874,BS_RE33!$S$7:$S$874,$AW$2,BS_RE33!$N$7:$N$874,I10,BS_RE33!$P$7:$P$874,'30 days CF Table(NZD)'!G10,BS_RE33!$F$7:$F$874,'30 days CF Table(NZD)'!$C$2)</f>
        <v>0</v>
      </c>
      <c r="AX10" s="379">
        <f>SUMIFS(BS_RE33!$H$7:$H$874,BS_RE33!$S$7:$S$874,$AX$2,BS_RE33!$N$7:$N$874,I10,BS_RE33!$P$7:$P$874,'30 days CF Table(NZD)'!G10,BS_RE33!$F$7:$F$874,'30 days CF Table(NZD)'!$C$2)</f>
        <v>0</v>
      </c>
      <c r="AY10" s="379">
        <f>SUMIFS(BS_RE33!$H$7:$H$874,BS_RE33!$S$7:$S$874,$AY$2,BS_RE33!$N$7:$N$874,I10,BS_RE33!$P$7:$P$874,'30 days CF Table(NZD)'!G10,BS_RE33!$F$7:$F$874,'30 days CF Table(NZD)'!$C$2)</f>
        <v>0</v>
      </c>
      <c r="AZ10" s="379">
        <f>SUMIFS(BS_RE33!$H$7:$H$874,BS_RE33!$S$7:$S$874,$AZ$2,BS_RE33!$N$7:$N$874,I10,BS_RE33!$P$7:$P$874,'30 days CF Table(NZD)'!G10,BS_RE33!$F$7:$F$874,'30 days CF Table(NZD)'!$C$2)</f>
        <v>0</v>
      </c>
      <c r="BA10" s="379">
        <f>SUMIFS(BS_RE33!$H$7:$H$874,BS_RE33!$S$7:$S$874,$BA$2,BS_RE33!$N$7:$N$874,I10,BS_RE33!$P$7:$P$874,'30 days CF Table(NZD)'!G10,BS_RE33!$F$7:$F$874,'30 days CF Table(NZD)'!$C$2)</f>
        <v>0</v>
      </c>
      <c r="BB10" s="379">
        <f>SUMIFS(BS_RE33!$H$7:$H$874,BS_RE33!$S$7:$S$874,$BB$2,BS_RE33!$N$7:$N$874,I10,BS_RE33!$P$7:$P$874,'30 days CF Table(NZD)'!G10,BS_RE33!$F$7:$F$874,'30 days CF Table(NZD)'!$C$2)</f>
        <v>0</v>
      </c>
      <c r="BC10" s="379">
        <f>SUMIFS(BS_RE33!$H$7:$H$874,BS_RE33!$S$7:$S$874,$BC$2,BS_RE33!$N$7:$N$874,I10,BS_RE33!$P$7:$P$874,'30 days CF Table(NZD)'!G10,BS_RE33!$F$7:$F$874,'30 days CF Table(NZD)'!$C$2)</f>
        <v>0</v>
      </c>
      <c r="BD10" s="379">
        <f>SUMIFS(BS_RE33!$H$7:$H$874,BS_RE33!$S$7:$S$874,$BD$2,BS_RE33!$N$7:$N$874,I10,BS_RE33!$P$7:$P$874,'30 days CF Table(NZD)'!G10,BS_RE33!$F$7:$F$874,'30 days CF Table(NZD)'!$C$2)</f>
        <v>0</v>
      </c>
      <c r="BE10" s="379">
        <f>SUMIFS(BS_RE33!$H$7:$H$874,BS_RE33!$S$7:$S$874,$BE$2,BS_RE33!$N$7:$N$874,I10,BS_RE33!$P$7:$P$874,'30 days CF Table(NZD)'!G10,BS_RE33!$F$7:$F$874,'30 days CF Table(NZD)'!$C$2)</f>
        <v>0</v>
      </c>
      <c r="BF10" s="379">
        <f>SUMIFS(BS_RE33!$H$7:$H$874,BS_RE33!$S$7:$S$874,$BF$2,BS_RE33!$N$7:$N$874,I10,BS_RE33!$P$7:$P$874,'30 days CF Table(NZD)'!G10,BS_RE33!$F$7:$F$874,'30 days CF Table(NZD)'!$C$2)</f>
        <v>0</v>
      </c>
      <c r="BG10" s="379">
        <f>SUMIFS(BS_RE33!$H$7:$H$874,BS_RE33!$S$7:$S$874,$BG$2,BS_RE33!$N$7:$N$874,I10,BS_RE33!$P$7:$P$874,'30 days CF Table(NZD)'!G10,BS_RE33!$F$7:$F$874,'30 days CF Table(NZD)'!$C$2)</f>
        <v>0</v>
      </c>
      <c r="BH10" s="379">
        <f>SUMIFS(BS_RE33!$H$7:$H$874,BS_RE33!$S$7:$S$874,$BH$2,BS_RE33!$N$7:$N$874,I10,BS_RE33!$P$7:$P$874,'30 days CF Table(NZD)'!G10,BS_RE33!$F$7:$F$874,'30 days CF Table(NZD)'!$C$2)</f>
        <v>0</v>
      </c>
      <c r="BI10" s="379">
        <f>SUMIFS(BS_RE33!$H$7:$H$874,BS_RE33!$S$7:$S$874,$BI$2,BS_RE33!$N$7:$N$874,I10,BS_RE33!$P$7:$P$874,'30 days CF Table(NZD)'!G10,BS_RE33!$F$7:$F$874,'30 days CF Table(NZD)'!$C$2)</f>
        <v>0</v>
      </c>
      <c r="BJ10" s="379">
        <f>SUMIFS(BS_RE33!$H$7:$H$874,BS_RE33!$S$7:$S$874,$BJ$2,BS_RE33!$N$7:$N$874,I10,BS_RE33!$P$7:$P$874,'30 days CF Table(NZD)'!G10,BS_RE33!$F$7:$F$874,'30 days CF Table(NZD)'!$C$2)</f>
        <v>0</v>
      </c>
      <c r="BK10" s="379">
        <f>SUMIFS(BS_RE33!$H$7:$H$874,BS_RE33!$S$7:$S$874,$BK$2,BS_RE33!$N$7:$N$874,I10,BS_RE33!$P$7:$P$874,'30 days CF Table(NZD)'!G10,BS_RE33!$F$7:$F$874,'30 days CF Table(NZD)'!$C$2)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Table(NZD)'!G11,BS_RE33!$F$7:$F$874,'30 days CF Table(NZD)'!$C$2)</f>
        <v>0</v>
      </c>
      <c r="M11" s="337">
        <f>SUMIFS(BS_RE33!$H$7:$H$874,BS_RE33!$S$7:$S$874,$M$2,BS_RE33!$N$7:$N$874,I11,BS_RE33!$P$7:$P$874,'30 days CF Table(NZD)'!G11,BS_RE33!$F$7:$F$874,'30 days CF Table(NZD)'!$C$2)</f>
        <v>0</v>
      </c>
      <c r="N11" s="337">
        <f>SUMIFS(BS_RE33!$H$7:$H$874,BS_RE33!$S$7:$S$874,$N$2,BS_RE33!$N$7:$N$874,I11,BS_RE33!$P$7:$P$874,'30 days CF Table(NZD)'!G11,BS_RE33!$F$7:$F$874,'30 days CF Table(NZD)'!$C$2)</f>
        <v>0</v>
      </c>
      <c r="O11" s="337">
        <f>SUMIFS(BS_RE33!$H$7:$H$874,BS_RE33!$S$7:$S$874,$O$2,BS_RE33!$N$7:$N$874,I11,BS_RE33!$P$7:$P$874,'30 days CF Table(NZD)'!G11,BS_RE33!$F$7:$F$874,'30 days CF Table(NZD)'!$C$2)</f>
        <v>0</v>
      </c>
      <c r="P11" s="337">
        <f>SUMIFS(BS_RE33!$H$7:$H$874,BS_RE33!$S$7:$S$874,$P$2,BS_RE33!$N$7:$N$874,I11,BS_RE33!$P$7:$P$874,'30 days CF Table(NZD)'!G11,BS_RE33!$F$7:$F$874,'30 days CF Table(NZD)'!$C$2)</f>
        <v>0</v>
      </c>
      <c r="Q11" s="337">
        <f>SUMIFS(BS_RE33!$H$7:$H$874,BS_RE33!$S$7:$S$874,$Q$2,BS_RE33!$N$7:$N$874,I11,BS_RE33!$P$7:$P$874,'30 days CF Table(NZD)'!G11,BS_RE33!$F$7:$F$874,'30 days CF Table(NZD)'!$C$2)</f>
        <v>0</v>
      </c>
      <c r="R11" s="337">
        <f>SUMIFS(BS_RE33!$H$7:$H$874,BS_RE33!$S$7:$S$874,$R$2,BS_RE33!$N$7:$N$874,I11,BS_RE33!$P$7:$P$874,'30 days CF Table(NZD)'!G11,BS_RE33!$F$7:$F$874,'30 days CF Table(NZD)'!$C$2)</f>
        <v>0</v>
      </c>
      <c r="S11" s="337">
        <f>SUMIFS(BS_RE33!$H$7:$H$874,BS_RE33!$S$7:$S$874,$S$2,BS_RE33!$N$7:$N$874,I11,BS_RE33!$P$7:$P$874,'30 days CF Table(NZD)'!G11,BS_RE33!$F$7:$F$874,'30 days CF Table(NZD)'!$C$2)</f>
        <v>0</v>
      </c>
      <c r="T11" s="337">
        <f>SUMIFS(BS_RE33!$H$7:$H$874,BS_RE33!$S$7:$S$874,$T$2,BS_RE33!$N$7:$N$874,I11,BS_RE33!$P$7:$P$874,'30 days CF Table(NZD)'!G11,BS_RE33!$F$7:$F$874,'30 days CF Table(NZD)'!$C$2)</f>
        <v>0</v>
      </c>
      <c r="U11" s="337">
        <f>SUMIFS(BS_RE33!$H$7:$H$874,BS_RE33!$S$7:$S$874,$U$2,BS_RE33!$N$7:$N$874,I11,BS_RE33!$P$7:$P$874,'30 days CF Table(NZD)'!G11,BS_RE33!$F$7:$F$874,'30 days CF Table(NZD)'!$C$2)</f>
        <v>0</v>
      </c>
      <c r="V11" s="337">
        <f>SUMIFS(BS_RE33!$H$7:$H$874,BS_RE33!$S$7:$S$874,$V$2,BS_RE33!$N$7:$N$874,I11,BS_RE33!$P$7:$P$874,'30 days CF Table(NZD)'!G11,BS_RE33!$F$7:$F$874,'30 days CF Table(NZD)'!$C$2)</f>
        <v>0</v>
      </c>
      <c r="W11" s="337">
        <f>SUMIFS(BS_RE33!$H$7:$H$874,BS_RE33!$S$7:$S$874,$W$2,BS_RE33!$N$7:$N$874,I11,BS_RE33!$P$7:$P$874,'30 days CF Table(NZD)'!G11,BS_RE33!$F$7:$F$874,'30 days CF Table(NZD)'!$C$2)</f>
        <v>0</v>
      </c>
      <c r="X11" s="337">
        <f>SUMIFS(BS_RE33!$H$7:$H$874,BS_RE33!$S$7:$S$874,$X$2,BS_RE33!$N$7:$N$874,I11,BS_RE33!$P$7:$P$874,'30 days CF Table(NZD)'!G11,BS_RE33!$F$7:$F$874,'30 days CF Table(NZD)'!$C$2)</f>
        <v>0</v>
      </c>
      <c r="Y11" s="337">
        <f>SUMIFS(BS_RE33!$H$7:$H$874,BS_RE33!$S$7:$S$874,$Y$2,BS_RE33!$N$7:$N$874,I11,BS_RE33!$P$7:$P$874,'30 days CF Table(NZD)'!G11,BS_RE33!$F$7:$F$874,'30 days CF Table(NZD)'!$C$2)</f>
        <v>0</v>
      </c>
      <c r="Z11" s="337">
        <f>SUMIFS(BS_RE33!$H$7:$H$874,BS_RE33!$S$7:$S$874,$Z$2,BS_RE33!$N$7:$N$874,I11,BS_RE33!$P$7:$P$874,'30 days CF Table(NZD)'!G11,BS_RE33!$F$7:$F$874,'30 days CF Table(NZD)'!$C$2)</f>
        <v>0</v>
      </c>
      <c r="AA11" s="337">
        <f>SUMIFS(BS_RE33!$H$7:$H$874,BS_RE33!$S$7:$S$874,$AA$2,BS_RE33!$N$7:$N$874,I11,BS_RE33!$P$7:$P$874,'30 days CF Table(NZD)'!G11,BS_RE33!$F$7:$F$874,'30 days CF Table(NZD)'!$C$2)</f>
        <v>0</v>
      </c>
      <c r="AB11" s="337">
        <f>SUMIFS(BS_RE33!$H$7:$H$874,BS_RE33!$S$7:$S$874,$AB$2,BS_RE33!$N$7:$N$874,I11,BS_RE33!$P$7:$P$874,'30 days CF Table(NZD)'!G11,BS_RE33!$F$7:$F$874,'30 days CF Table(NZD)'!$C$2)</f>
        <v>0</v>
      </c>
      <c r="AC11" s="337">
        <f>SUMIFS(BS_RE33!$H$7:$H$874,BS_RE33!$S$7:$S$874,$AC$2,BS_RE33!$N$7:$N$874,I11,BS_RE33!$P$7:$P$874,'30 days CF Table(NZD)'!G11,BS_RE33!$F$7:$F$874,'30 days CF Table(NZD)'!$C$2)</f>
        <v>0</v>
      </c>
      <c r="AD11" s="337">
        <f>SUMIFS(BS_RE33!$H$7:$H$874,BS_RE33!$S$7:$S$874,$AD$2,BS_RE33!$N$7:$N$874,I11,BS_RE33!$P$7:$P$874,'30 days CF Table(NZD)'!G11,BS_RE33!$F$7:$F$874,'30 days CF Table(NZD)'!$C$2)</f>
        <v>0</v>
      </c>
      <c r="AE11" s="337">
        <f>SUMIFS(BS_RE33!$H$7:$H$874,BS_RE33!$S$7:$S$874,$AE$2,BS_RE33!$N$7:$N$874,I11,BS_RE33!$P$7:$P$874,'30 days CF Table(NZD)'!G11,BS_RE33!$F$7:$F$874,'30 days CF Table(NZD)'!$C$2)</f>
        <v>0</v>
      </c>
      <c r="AF11" s="337">
        <f>SUMIFS(BS_RE33!$H$7:$H$874,BS_RE33!$S$7:$S$874,$AF$2,BS_RE33!$N$7:$N$874,I11,BS_RE33!$P$7:$P$874,'30 days CF Table(NZD)'!G11,BS_RE33!$F$7:$F$874,'30 days CF Table(NZD)'!$C$2)</f>
        <v>0</v>
      </c>
      <c r="AG11" s="337">
        <f>SUMIFS(BS_RE33!$H$7:$H$874,BS_RE33!$S$7:$S$874,$AG$2,BS_RE33!$N$7:$N$874,I11,BS_RE33!$P$7:$P$874,'30 days CF Table(NZD)'!G11,BS_RE33!$F$7:$F$874,'30 days CF Table(NZD)'!$C$2)</f>
        <v>0</v>
      </c>
      <c r="AH11" s="337">
        <f>SUMIFS(BS_RE33!$H$7:$H$874,BS_RE33!$S$7:$S$874,$AH$2,BS_RE33!$N$7:$N$874,I11,BS_RE33!$P$7:$P$874,'30 days CF Table(NZD)'!G11,BS_RE33!$F$7:$F$874,'30 days CF Table(NZD)'!$C$2)</f>
        <v>0</v>
      </c>
      <c r="AI11" s="337">
        <f>SUMIFS(BS_RE33!$H$7:$H$874,BS_RE33!$S$7:$S$874,$AI$2,BS_RE33!$N$7:$N$874,I11,BS_RE33!$P$7:$P$874,'30 days CF Table(NZD)'!G11,BS_RE33!$F$7:$F$874,'30 days CF Table(NZD)'!$C$2)</f>
        <v>0</v>
      </c>
      <c r="AJ11" s="337">
        <f>SUMIFS(BS_RE33!$H$7:$H$874,BS_RE33!$S$7:$S$874,$AJ$2,BS_RE33!$N$7:$N$874,I11,BS_RE33!$P$7:$P$874,'30 days CF Table(NZD)'!G11,BS_RE33!$F$7:$F$874,'30 days CF Table(NZD)'!$C$2)</f>
        <v>0</v>
      </c>
      <c r="AK11" s="337">
        <f>SUMIFS(BS_RE33!$H$7:$H$874,BS_RE33!$S$7:$S$874,$AK$2,BS_RE33!$N$7:$N$874,I11,BS_RE33!$P$7:$P$874,'30 days CF Table(NZD)'!G11,BS_RE33!$F$7:$F$874,'30 days CF Table(NZD)'!$C$2)</f>
        <v>0</v>
      </c>
      <c r="AL11" s="337">
        <f>SUMIFS(BS_RE33!$H$7:$H$874,BS_RE33!$S$7:$S$874,$AL$2,BS_RE33!$N$7:$N$874,I11,BS_RE33!$P$7:$P$874,'30 days CF Table(NZD)'!G11,BS_RE33!$F$7:$F$874,'30 days CF Table(NZD)'!$C$2)</f>
        <v>0</v>
      </c>
      <c r="AM11" s="337">
        <f>SUMIFS(BS_RE33!$H$7:$H$874,BS_RE33!$S$7:$S$874,$AM$2,BS_RE33!$N$7:$N$874,I11,BS_RE33!$P$7:$P$874,'30 days CF Table(NZD)'!G11,BS_RE33!$F$7:$F$874,'30 days CF Table(NZD)'!$C$2)</f>
        <v>0</v>
      </c>
      <c r="AN11" s="337">
        <f>SUMIFS(BS_RE33!$H$7:$H$874,BS_RE33!$S$7:$S$874,$AN$2,BS_RE33!$N$7:$N$874,I11,BS_RE33!$P$7:$P$874,'30 days CF Table(NZD)'!G11,BS_RE33!$F$7:$F$874,'30 days CF Table(NZD)'!$C$2)</f>
        <v>0</v>
      </c>
      <c r="AO11" s="337">
        <f>SUMIFS(BS_RE33!$H$7:$H$874,BS_RE33!$S$7:$S$874,$AO$2,BS_RE33!$N$7:$N$874,I11,BS_RE33!$P$7:$P$874,'30 days CF Table(NZD)'!G11,BS_RE33!$F$7:$F$874,'30 days CF Table(NZD)'!$C$2)</f>
        <v>0</v>
      </c>
      <c r="AP11" s="338">
        <f>SUMIFS(BS_RE33!$H$7:$H$874,BS_RE33!$S$7:$S$874,$AP$2,BS_RE33!$N$7:$N$874,I11,BS_RE33!$P$7:$P$874,'30 days CF Table(NZD)'!G11,BS_RE33!$F$7:$F$874,'30 days CF Table(NZD)'!$C$2)</f>
        <v>0</v>
      </c>
      <c r="AQ11" s="545"/>
      <c r="AR11" s="379">
        <f>SUMIFS(BS_RE33!$H$7:$H$874,BS_RE33!$S$7:$S$874,$AR$2,BS_RE33!$N$7:$N$874,I11,BS_RE33!$P$7:$P$874,'30 days CF Table(NZD)'!G11,BS_RE33!$F$7:$F$874,'30 days CF Table(NZD)'!$C$2)</f>
        <v>0</v>
      </c>
      <c r="AS11" s="379">
        <f>SUMIFS(BS_RE33!$H$7:$H$874,BS_RE33!$S$7:$S$874,$AS$2,BS_RE33!$N$7:$N$874,I11,BS_RE33!$P$7:$P$874,'30 days CF Table(NZD)'!G11,BS_RE33!$F$7:$F$874,'30 days CF Table(NZD)'!$C$2)</f>
        <v>0</v>
      </c>
      <c r="AT11" s="379">
        <f>SUMIFS(BS_RE33!$H$7:$H$874,BS_RE33!$S$7:$S$874,$AT$2,BS_RE33!$N$7:$N$874,I11,BS_RE33!$P$7:$P$874,'30 days CF Table(NZD)'!G11,BS_RE33!$F$7:$F$874,'30 days CF Table(NZD)'!$C$2)</f>
        <v>0</v>
      </c>
      <c r="AU11" s="379">
        <f>SUMIFS(BS_RE33!$H$7:$H$874,BS_RE33!$S$7:$S$874,$AU$2,BS_RE33!$N$7:$N$874,I11,BS_RE33!$P$7:$P$874,'30 days CF Table(NZD)'!G11,BS_RE33!$F$7:$F$874,'30 days CF Table(NZD)'!$C$2)</f>
        <v>0</v>
      </c>
      <c r="AV11" s="379">
        <f>SUMIFS(BS_RE33!$H$7:$H$874,BS_RE33!$S$7:$S$874,$AV$2,BS_RE33!$N$7:$N$874,I11,BS_RE33!$P$7:$P$874,'30 days CF Table(NZD)'!G11,BS_RE33!$F$7:$F$874,'30 days CF Table(NZD)'!$C$2)</f>
        <v>0</v>
      </c>
      <c r="AW11" s="379">
        <f>SUMIFS(BS_RE33!$H$7:$H$874,BS_RE33!$S$7:$S$874,$AW$2,BS_RE33!$N$7:$N$874,I11,BS_RE33!$P$7:$P$874,'30 days CF Table(NZD)'!G11,BS_RE33!$F$7:$F$874,'30 days CF Table(NZD)'!$C$2)</f>
        <v>0</v>
      </c>
      <c r="AX11" s="379">
        <f>SUMIFS(BS_RE33!$H$7:$H$874,BS_RE33!$S$7:$S$874,$AX$2,BS_RE33!$N$7:$N$874,I11,BS_RE33!$P$7:$P$874,'30 days CF Table(NZD)'!G11,BS_RE33!$F$7:$F$874,'30 days CF Table(NZD)'!$C$2)</f>
        <v>0</v>
      </c>
      <c r="AY11" s="379">
        <f>SUMIFS(BS_RE33!$H$7:$H$874,BS_RE33!$S$7:$S$874,$AY$2,BS_RE33!$N$7:$N$874,I11,BS_RE33!$P$7:$P$874,'30 days CF Table(NZD)'!G11,BS_RE33!$F$7:$F$874,'30 days CF Table(NZD)'!$C$2)</f>
        <v>0</v>
      </c>
      <c r="AZ11" s="379">
        <f>SUMIFS(BS_RE33!$H$7:$H$874,BS_RE33!$S$7:$S$874,$AZ$2,BS_RE33!$N$7:$N$874,I11,BS_RE33!$P$7:$P$874,'30 days CF Table(NZD)'!G11,BS_RE33!$F$7:$F$874,'30 days CF Table(NZD)'!$C$2)</f>
        <v>0</v>
      </c>
      <c r="BA11" s="379">
        <f>SUMIFS(BS_RE33!$H$7:$H$874,BS_RE33!$S$7:$S$874,$BA$2,BS_RE33!$N$7:$N$874,I11,BS_RE33!$P$7:$P$874,'30 days CF Table(NZD)'!G11,BS_RE33!$F$7:$F$874,'30 days CF Table(NZD)'!$C$2)</f>
        <v>0</v>
      </c>
      <c r="BB11" s="379">
        <f>SUMIFS(BS_RE33!$H$7:$H$874,BS_RE33!$S$7:$S$874,$BB$2,BS_RE33!$N$7:$N$874,I11,BS_RE33!$P$7:$P$874,'30 days CF Table(NZD)'!G11,BS_RE33!$F$7:$F$874,'30 days CF Table(NZD)'!$C$2)</f>
        <v>0</v>
      </c>
      <c r="BC11" s="379">
        <f>SUMIFS(BS_RE33!$H$7:$H$874,BS_RE33!$S$7:$S$874,$BC$2,BS_RE33!$N$7:$N$874,I11,BS_RE33!$P$7:$P$874,'30 days CF Table(NZD)'!G11,BS_RE33!$F$7:$F$874,'30 days CF Table(NZD)'!$C$2)</f>
        <v>0</v>
      </c>
      <c r="BD11" s="379">
        <f>SUMIFS(BS_RE33!$H$7:$H$874,BS_RE33!$S$7:$S$874,$BD$2,BS_RE33!$N$7:$N$874,I11,BS_RE33!$P$7:$P$874,'30 days CF Table(NZD)'!G11,BS_RE33!$F$7:$F$874,'30 days CF Table(NZD)'!$C$2)</f>
        <v>0</v>
      </c>
      <c r="BE11" s="379">
        <f>SUMIFS(BS_RE33!$H$7:$H$874,BS_RE33!$S$7:$S$874,$BE$2,BS_RE33!$N$7:$N$874,I11,BS_RE33!$P$7:$P$874,'30 days CF Table(NZD)'!G11,BS_RE33!$F$7:$F$874,'30 days CF Table(NZD)'!$C$2)</f>
        <v>0</v>
      </c>
      <c r="BF11" s="379">
        <f>SUMIFS(BS_RE33!$H$7:$H$874,BS_RE33!$S$7:$S$874,$BF$2,BS_RE33!$N$7:$N$874,I11,BS_RE33!$P$7:$P$874,'30 days CF Table(NZD)'!G11,BS_RE33!$F$7:$F$874,'30 days CF Table(NZD)'!$C$2)</f>
        <v>0</v>
      </c>
      <c r="BG11" s="379">
        <f>SUMIFS(BS_RE33!$H$7:$H$874,BS_RE33!$S$7:$S$874,$BG$2,BS_RE33!$N$7:$N$874,I11,BS_RE33!$P$7:$P$874,'30 days CF Table(NZD)'!G11,BS_RE33!$F$7:$F$874,'30 days CF Table(NZD)'!$C$2)</f>
        <v>0</v>
      </c>
      <c r="BH11" s="379">
        <f>SUMIFS(BS_RE33!$H$7:$H$874,BS_RE33!$S$7:$S$874,$BH$2,BS_RE33!$N$7:$N$874,I11,BS_RE33!$P$7:$P$874,'30 days CF Table(NZD)'!G11,BS_RE33!$F$7:$F$874,'30 days CF Table(NZD)'!$C$2)</f>
        <v>0</v>
      </c>
      <c r="BI11" s="379">
        <f>SUMIFS(BS_RE33!$H$7:$H$874,BS_RE33!$S$7:$S$874,$BI$2,BS_RE33!$N$7:$N$874,I11,BS_RE33!$P$7:$P$874,'30 days CF Table(NZD)'!G11,BS_RE33!$F$7:$F$874,'30 days CF Table(NZD)'!$C$2)</f>
        <v>0</v>
      </c>
      <c r="BJ11" s="379">
        <f>SUMIFS(BS_RE33!$H$7:$H$874,BS_RE33!$S$7:$S$874,$BJ$2,BS_RE33!$N$7:$N$874,I11,BS_RE33!$P$7:$P$874,'30 days CF Table(NZD)'!G11,BS_RE33!$F$7:$F$874,'30 days CF Table(NZD)'!$C$2)</f>
        <v>0</v>
      </c>
      <c r="BK11" s="379">
        <f>SUMIFS(BS_RE33!$H$7:$H$874,BS_RE33!$S$7:$S$874,$BK$2,BS_RE33!$N$7:$N$874,I11,BS_RE33!$P$7:$P$874,'30 days CF Table(NZD)'!G11,BS_RE33!$F$7:$F$874,'30 days CF Table(NZD)'!$C$2)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Table(NZD)'!G12,BS_RE33!$F$7:$F$874,'30 days CF Table(NZD)'!$C$2)</f>
        <v>0</v>
      </c>
      <c r="M12" s="337">
        <f>SUMIFS(BS_RE33!$H$7:$H$874,BS_RE33!$S$7:$S$874,$M$2,BS_RE33!$N$7:$N$874,I12,BS_RE33!$P$7:$P$874,'30 days CF Table(NZD)'!G12,BS_RE33!$F$7:$F$874,'30 days CF Table(NZD)'!$C$2)</f>
        <v>0</v>
      </c>
      <c r="N12" s="337">
        <f>SUMIFS(BS_RE33!$H$7:$H$874,BS_RE33!$S$7:$S$874,$N$2,BS_RE33!$N$7:$N$874,I12,BS_RE33!$P$7:$P$874,'30 days CF Table(NZD)'!G12,BS_RE33!$F$7:$F$874,'30 days CF Table(NZD)'!$C$2)</f>
        <v>0</v>
      </c>
      <c r="O12" s="337">
        <f>SUMIFS(BS_RE33!$H$7:$H$874,BS_RE33!$S$7:$S$874,$O$2,BS_RE33!$N$7:$N$874,I12,BS_RE33!$P$7:$P$874,'30 days CF Table(NZD)'!G12,BS_RE33!$F$7:$F$874,'30 days CF Table(NZD)'!$C$2)</f>
        <v>0</v>
      </c>
      <c r="P12" s="337">
        <f>SUMIFS(BS_RE33!$H$7:$H$874,BS_RE33!$S$7:$S$874,$P$2,BS_RE33!$N$7:$N$874,I12,BS_RE33!$P$7:$P$874,'30 days CF Table(NZD)'!G12,BS_RE33!$F$7:$F$874,'30 days CF Table(NZD)'!$C$2)</f>
        <v>0</v>
      </c>
      <c r="Q12" s="337">
        <f>SUMIFS(BS_RE33!$H$7:$H$874,BS_RE33!$S$7:$S$874,$Q$2,BS_RE33!$N$7:$N$874,I12,BS_RE33!$P$7:$P$874,'30 days CF Table(NZD)'!G12,BS_RE33!$F$7:$F$874,'30 days CF Table(NZD)'!$C$2)</f>
        <v>0</v>
      </c>
      <c r="R12" s="337">
        <f>SUMIFS(BS_RE33!$H$7:$H$874,BS_RE33!$S$7:$S$874,$R$2,BS_RE33!$N$7:$N$874,I12,BS_RE33!$P$7:$P$874,'30 days CF Table(NZD)'!G12,BS_RE33!$F$7:$F$874,'30 days CF Table(NZD)'!$C$2)</f>
        <v>0</v>
      </c>
      <c r="S12" s="337">
        <f>SUMIFS(BS_RE33!$H$7:$H$874,BS_RE33!$S$7:$S$874,$S$2,BS_RE33!$N$7:$N$874,I12,BS_RE33!$P$7:$P$874,'30 days CF Table(NZD)'!G12,BS_RE33!$F$7:$F$874,'30 days CF Table(NZD)'!$C$2)</f>
        <v>0</v>
      </c>
      <c r="T12" s="337">
        <f>SUMIFS(BS_RE33!$H$7:$H$874,BS_RE33!$S$7:$S$874,$T$2,BS_RE33!$N$7:$N$874,I12,BS_RE33!$P$7:$P$874,'30 days CF Table(NZD)'!G12,BS_RE33!$F$7:$F$874,'30 days CF Table(NZD)'!$C$2)</f>
        <v>0</v>
      </c>
      <c r="U12" s="337">
        <f>SUMIFS(BS_RE33!$H$7:$H$874,BS_RE33!$S$7:$S$874,$U$2,BS_RE33!$N$7:$N$874,I12,BS_RE33!$P$7:$P$874,'30 days CF Table(NZD)'!G12,BS_RE33!$F$7:$F$874,'30 days CF Table(NZD)'!$C$2)</f>
        <v>0</v>
      </c>
      <c r="V12" s="337">
        <f>SUMIFS(BS_RE33!$H$7:$H$874,BS_RE33!$S$7:$S$874,$V$2,BS_RE33!$N$7:$N$874,I12,BS_RE33!$P$7:$P$874,'30 days CF Table(NZD)'!G12,BS_RE33!$F$7:$F$874,'30 days CF Table(NZD)'!$C$2)</f>
        <v>0</v>
      </c>
      <c r="W12" s="337">
        <f>SUMIFS(BS_RE33!$H$7:$H$874,BS_RE33!$S$7:$S$874,$W$2,BS_RE33!$N$7:$N$874,I12,BS_RE33!$P$7:$P$874,'30 days CF Table(NZD)'!G12,BS_RE33!$F$7:$F$874,'30 days CF Table(NZD)'!$C$2)</f>
        <v>0</v>
      </c>
      <c r="X12" s="337">
        <f>SUMIFS(BS_RE33!$H$7:$H$874,BS_RE33!$S$7:$S$874,$X$2,BS_RE33!$N$7:$N$874,I12,BS_RE33!$P$7:$P$874,'30 days CF Table(NZD)'!G12,BS_RE33!$F$7:$F$874,'30 days CF Table(NZD)'!$C$2)</f>
        <v>0</v>
      </c>
      <c r="Y12" s="337">
        <f>SUMIFS(BS_RE33!$H$7:$H$874,BS_RE33!$S$7:$S$874,$Y$2,BS_RE33!$N$7:$N$874,I12,BS_RE33!$P$7:$P$874,'30 days CF Table(NZD)'!G12,BS_RE33!$F$7:$F$874,'30 days CF Table(NZD)'!$C$2)</f>
        <v>0</v>
      </c>
      <c r="Z12" s="337">
        <f>SUMIFS(BS_RE33!$H$7:$H$874,BS_RE33!$S$7:$S$874,$Z$2,BS_RE33!$N$7:$N$874,I12,BS_RE33!$P$7:$P$874,'30 days CF Table(NZD)'!G12,BS_RE33!$F$7:$F$874,'30 days CF Table(NZD)'!$C$2)</f>
        <v>0</v>
      </c>
      <c r="AA12" s="337">
        <f>SUMIFS(BS_RE33!$H$7:$H$874,BS_RE33!$S$7:$S$874,$AA$2,BS_RE33!$N$7:$N$874,I12,BS_RE33!$P$7:$P$874,'30 days CF Table(NZD)'!G12,BS_RE33!$F$7:$F$874,'30 days CF Table(NZD)'!$C$2)</f>
        <v>0</v>
      </c>
      <c r="AB12" s="337">
        <f>SUMIFS(BS_RE33!$H$7:$H$874,BS_RE33!$S$7:$S$874,$AB$2,BS_RE33!$N$7:$N$874,I12,BS_RE33!$P$7:$P$874,'30 days CF Table(NZD)'!G12,BS_RE33!$F$7:$F$874,'30 days CF Table(NZD)'!$C$2)</f>
        <v>0</v>
      </c>
      <c r="AC12" s="337">
        <f>SUMIFS(BS_RE33!$H$7:$H$874,BS_RE33!$S$7:$S$874,$AC$2,BS_RE33!$N$7:$N$874,I12,BS_RE33!$P$7:$P$874,'30 days CF Table(NZD)'!G12,BS_RE33!$F$7:$F$874,'30 days CF Table(NZD)'!$C$2)</f>
        <v>0</v>
      </c>
      <c r="AD12" s="337">
        <f>SUMIFS(BS_RE33!$H$7:$H$874,BS_RE33!$S$7:$S$874,$AD$2,BS_RE33!$N$7:$N$874,I12,BS_RE33!$P$7:$P$874,'30 days CF Table(NZD)'!G12,BS_RE33!$F$7:$F$874,'30 days CF Table(NZD)'!$C$2)</f>
        <v>0</v>
      </c>
      <c r="AE12" s="337">
        <f>SUMIFS(BS_RE33!$H$7:$H$874,BS_RE33!$S$7:$S$874,$AE$2,BS_RE33!$N$7:$N$874,I12,BS_RE33!$P$7:$P$874,'30 days CF Table(NZD)'!G12,BS_RE33!$F$7:$F$874,'30 days CF Table(NZD)'!$C$2)</f>
        <v>0</v>
      </c>
      <c r="AF12" s="337">
        <f>SUMIFS(BS_RE33!$H$7:$H$874,BS_RE33!$S$7:$S$874,$AF$2,BS_RE33!$N$7:$N$874,I12,BS_RE33!$P$7:$P$874,'30 days CF Table(NZD)'!G12,BS_RE33!$F$7:$F$874,'30 days CF Table(NZD)'!$C$2)</f>
        <v>0</v>
      </c>
      <c r="AG12" s="337">
        <f>SUMIFS(BS_RE33!$H$7:$H$874,BS_RE33!$S$7:$S$874,$AG$2,BS_RE33!$N$7:$N$874,I12,BS_RE33!$P$7:$P$874,'30 days CF Table(NZD)'!G12,BS_RE33!$F$7:$F$874,'30 days CF Table(NZD)'!$C$2)</f>
        <v>0</v>
      </c>
      <c r="AH12" s="337">
        <f>SUMIFS(BS_RE33!$H$7:$H$874,BS_RE33!$S$7:$S$874,$AH$2,BS_RE33!$N$7:$N$874,I12,BS_RE33!$P$7:$P$874,'30 days CF Table(NZD)'!G12,BS_RE33!$F$7:$F$874,'30 days CF Table(NZD)'!$C$2)</f>
        <v>0</v>
      </c>
      <c r="AI12" s="337">
        <f>SUMIFS(BS_RE33!$H$7:$H$874,BS_RE33!$S$7:$S$874,$AI$2,BS_RE33!$N$7:$N$874,I12,BS_RE33!$P$7:$P$874,'30 days CF Table(NZD)'!G12,BS_RE33!$F$7:$F$874,'30 days CF Table(NZD)'!$C$2)</f>
        <v>0</v>
      </c>
      <c r="AJ12" s="337">
        <f>SUMIFS(BS_RE33!$H$7:$H$874,BS_RE33!$S$7:$S$874,$AJ$2,BS_RE33!$N$7:$N$874,I12,BS_RE33!$P$7:$P$874,'30 days CF Table(NZD)'!G12,BS_RE33!$F$7:$F$874,'30 days CF Table(NZD)'!$C$2)</f>
        <v>0</v>
      </c>
      <c r="AK12" s="337">
        <f>SUMIFS(BS_RE33!$H$7:$H$874,BS_RE33!$S$7:$S$874,$AK$2,BS_RE33!$N$7:$N$874,I12,BS_RE33!$P$7:$P$874,'30 days CF Table(NZD)'!G12,BS_RE33!$F$7:$F$874,'30 days CF Table(NZD)'!$C$2)</f>
        <v>0</v>
      </c>
      <c r="AL12" s="337">
        <f>SUMIFS(BS_RE33!$H$7:$H$874,BS_RE33!$S$7:$S$874,$AL$2,BS_RE33!$N$7:$N$874,I12,BS_RE33!$P$7:$P$874,'30 days CF Table(NZD)'!G12,BS_RE33!$F$7:$F$874,'30 days CF Table(NZD)'!$C$2)</f>
        <v>0</v>
      </c>
      <c r="AM12" s="337">
        <f>SUMIFS(BS_RE33!$H$7:$H$874,BS_RE33!$S$7:$S$874,$AM$2,BS_RE33!$N$7:$N$874,I12,BS_RE33!$P$7:$P$874,'30 days CF Table(NZD)'!G12,BS_RE33!$F$7:$F$874,'30 days CF Table(NZD)'!$C$2)</f>
        <v>0</v>
      </c>
      <c r="AN12" s="337">
        <f>SUMIFS(BS_RE33!$H$7:$H$874,BS_RE33!$S$7:$S$874,$AN$2,BS_RE33!$N$7:$N$874,I12,BS_RE33!$P$7:$P$874,'30 days CF Table(NZD)'!G12,BS_RE33!$F$7:$F$874,'30 days CF Table(NZD)'!$C$2)</f>
        <v>0</v>
      </c>
      <c r="AO12" s="337">
        <f>SUMIFS(BS_RE33!$H$7:$H$874,BS_RE33!$S$7:$S$874,$AO$2,BS_RE33!$N$7:$N$874,I12,BS_RE33!$P$7:$P$874,'30 days CF Table(NZD)'!G12,BS_RE33!$F$7:$F$874,'30 days CF Table(NZD)'!$C$2)</f>
        <v>0</v>
      </c>
      <c r="AP12" s="338">
        <f>SUMIFS(BS_RE33!$H$7:$H$874,BS_RE33!$S$7:$S$874,$AP$2,BS_RE33!$N$7:$N$874,I12,BS_RE33!$P$7:$P$874,'30 days CF Table(NZD)'!G12,BS_RE33!$F$7:$F$874,'30 days CF Table(NZD)'!$C$2)</f>
        <v>0</v>
      </c>
      <c r="AQ12" s="545"/>
      <c r="AR12" s="379">
        <f>SUMIFS(BS_RE33!$H$7:$H$874,BS_RE33!$S$7:$S$874,$AR$2,BS_RE33!$N$7:$N$874,I12,BS_RE33!$P$7:$P$874,'30 days CF Table(NZD)'!G12,BS_RE33!$F$7:$F$874,'30 days CF Table(NZD)'!$C$2)</f>
        <v>0</v>
      </c>
      <c r="AS12" s="379">
        <f>SUMIFS(BS_RE33!$H$7:$H$874,BS_RE33!$S$7:$S$874,$AS$2,BS_RE33!$N$7:$N$874,I12,BS_RE33!$P$7:$P$874,'30 days CF Table(NZD)'!G12,BS_RE33!$F$7:$F$874,'30 days CF Table(NZD)'!$C$2)</f>
        <v>0</v>
      </c>
      <c r="AT12" s="379">
        <f>SUMIFS(BS_RE33!$H$7:$H$874,BS_RE33!$S$7:$S$874,$AT$2,BS_RE33!$N$7:$N$874,I12,BS_RE33!$P$7:$P$874,'30 days CF Table(NZD)'!G12,BS_RE33!$F$7:$F$874,'30 days CF Table(NZD)'!$C$2)</f>
        <v>0</v>
      </c>
      <c r="AU12" s="379">
        <f>SUMIFS(BS_RE33!$H$7:$H$874,BS_RE33!$S$7:$S$874,$AU$2,BS_RE33!$N$7:$N$874,I12,BS_RE33!$P$7:$P$874,'30 days CF Table(NZD)'!G12,BS_RE33!$F$7:$F$874,'30 days CF Table(NZD)'!$C$2)</f>
        <v>0</v>
      </c>
      <c r="AV12" s="379">
        <f>SUMIFS(BS_RE33!$H$7:$H$874,BS_RE33!$S$7:$S$874,$AV$2,BS_RE33!$N$7:$N$874,I12,BS_RE33!$P$7:$P$874,'30 days CF Table(NZD)'!G12,BS_RE33!$F$7:$F$874,'30 days CF Table(NZD)'!$C$2)</f>
        <v>0</v>
      </c>
      <c r="AW12" s="379">
        <f>SUMIFS(BS_RE33!$H$7:$H$874,BS_RE33!$S$7:$S$874,$AW$2,BS_RE33!$N$7:$N$874,I12,BS_RE33!$P$7:$P$874,'30 days CF Table(NZD)'!G12,BS_RE33!$F$7:$F$874,'30 days CF Table(NZD)'!$C$2)</f>
        <v>0</v>
      </c>
      <c r="AX12" s="379">
        <f>SUMIFS(BS_RE33!$H$7:$H$874,BS_RE33!$S$7:$S$874,$AX$2,BS_RE33!$N$7:$N$874,I12,BS_RE33!$P$7:$P$874,'30 days CF Table(NZD)'!G12,BS_RE33!$F$7:$F$874,'30 days CF Table(NZD)'!$C$2)</f>
        <v>0</v>
      </c>
      <c r="AY12" s="379">
        <f>SUMIFS(BS_RE33!$H$7:$H$874,BS_RE33!$S$7:$S$874,$AY$2,BS_RE33!$N$7:$N$874,I12,BS_RE33!$P$7:$P$874,'30 days CF Table(NZD)'!G12,BS_RE33!$F$7:$F$874,'30 days CF Table(NZD)'!$C$2)</f>
        <v>0</v>
      </c>
      <c r="AZ12" s="379">
        <f>SUMIFS(BS_RE33!$H$7:$H$874,BS_RE33!$S$7:$S$874,$AZ$2,BS_RE33!$N$7:$N$874,I12,BS_RE33!$P$7:$P$874,'30 days CF Table(NZD)'!G12,BS_RE33!$F$7:$F$874,'30 days CF Table(NZD)'!$C$2)</f>
        <v>0</v>
      </c>
      <c r="BA12" s="379">
        <f>SUMIFS(BS_RE33!$H$7:$H$874,BS_RE33!$S$7:$S$874,$BA$2,BS_RE33!$N$7:$N$874,I12,BS_RE33!$P$7:$P$874,'30 days CF Table(NZD)'!G12,BS_RE33!$F$7:$F$874,'30 days CF Table(NZD)'!$C$2)</f>
        <v>0</v>
      </c>
      <c r="BB12" s="379">
        <f>SUMIFS(BS_RE33!$H$7:$H$874,BS_RE33!$S$7:$S$874,$BB$2,BS_RE33!$N$7:$N$874,I12,BS_RE33!$P$7:$P$874,'30 days CF Table(NZD)'!G12,BS_RE33!$F$7:$F$874,'30 days CF Table(NZD)'!$C$2)</f>
        <v>0</v>
      </c>
      <c r="BC12" s="379">
        <f>SUMIFS(BS_RE33!$H$7:$H$874,BS_RE33!$S$7:$S$874,$BC$2,BS_RE33!$N$7:$N$874,I12,BS_RE33!$P$7:$P$874,'30 days CF Table(NZD)'!G12,BS_RE33!$F$7:$F$874,'30 days CF Table(NZD)'!$C$2)</f>
        <v>0</v>
      </c>
      <c r="BD12" s="379">
        <f>SUMIFS(BS_RE33!$H$7:$H$874,BS_RE33!$S$7:$S$874,$BD$2,BS_RE33!$N$7:$N$874,I12,BS_RE33!$P$7:$P$874,'30 days CF Table(NZD)'!G12,BS_RE33!$F$7:$F$874,'30 days CF Table(NZD)'!$C$2)</f>
        <v>0</v>
      </c>
      <c r="BE12" s="379">
        <f>SUMIFS(BS_RE33!$H$7:$H$874,BS_RE33!$S$7:$S$874,$BE$2,BS_RE33!$N$7:$N$874,I12,BS_RE33!$P$7:$P$874,'30 days CF Table(NZD)'!G12,BS_RE33!$F$7:$F$874,'30 days CF Table(NZD)'!$C$2)</f>
        <v>0</v>
      </c>
      <c r="BF12" s="379">
        <f>SUMIFS(BS_RE33!$H$7:$H$874,BS_RE33!$S$7:$S$874,$BF$2,BS_RE33!$N$7:$N$874,I12,BS_RE33!$P$7:$P$874,'30 days CF Table(NZD)'!G12,BS_RE33!$F$7:$F$874,'30 days CF Table(NZD)'!$C$2)</f>
        <v>0</v>
      </c>
      <c r="BG12" s="379">
        <f>SUMIFS(BS_RE33!$H$7:$H$874,BS_RE33!$S$7:$S$874,$BG$2,BS_RE33!$N$7:$N$874,I12,BS_RE33!$P$7:$P$874,'30 days CF Table(NZD)'!G12,BS_RE33!$F$7:$F$874,'30 days CF Table(NZD)'!$C$2)</f>
        <v>0</v>
      </c>
      <c r="BH12" s="379">
        <f>SUMIFS(BS_RE33!$H$7:$H$874,BS_RE33!$S$7:$S$874,$BH$2,BS_RE33!$N$7:$N$874,I12,BS_RE33!$P$7:$P$874,'30 days CF Table(NZD)'!G12,BS_RE33!$F$7:$F$874,'30 days CF Table(NZD)'!$C$2)</f>
        <v>0</v>
      </c>
      <c r="BI12" s="379">
        <f>SUMIFS(BS_RE33!$H$7:$H$874,BS_RE33!$S$7:$S$874,$BI$2,BS_RE33!$N$7:$N$874,I12,BS_RE33!$P$7:$P$874,'30 days CF Table(NZD)'!G12,BS_RE33!$F$7:$F$874,'30 days CF Table(NZD)'!$C$2)</f>
        <v>0</v>
      </c>
      <c r="BJ12" s="379">
        <f>SUMIFS(BS_RE33!$H$7:$H$874,BS_RE33!$S$7:$S$874,$BJ$2,BS_RE33!$N$7:$N$874,I12,BS_RE33!$P$7:$P$874,'30 days CF Table(NZD)'!G12,BS_RE33!$F$7:$F$874,'30 days CF Table(NZD)'!$C$2)</f>
        <v>0</v>
      </c>
      <c r="BK12" s="379">
        <f>SUMIFS(BS_RE33!$H$7:$H$874,BS_RE33!$S$7:$S$874,$BK$2,BS_RE33!$N$7:$N$874,I12,BS_RE33!$P$7:$P$874,'30 days CF Table(NZD)'!G12,BS_RE33!$F$7:$F$874,'30 days CF Table(NZD)'!$C$2)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Table(NZD)'!G13,BS_RE33!$F$7:$F$874,'30 days CF Table(NZD)'!$C$2)</f>
        <v>0</v>
      </c>
      <c r="M13" s="337">
        <f>SUMIFS(BS_RE33!$H$7:$H$874,BS_RE33!$S$7:$S$874,$M$2,BS_RE33!$N$7:$N$874,I13,BS_RE33!$P$7:$P$874,'30 days CF Table(NZD)'!G13,BS_RE33!$F$7:$F$874,'30 days CF Table(NZD)'!$C$2)</f>
        <v>0</v>
      </c>
      <c r="N13" s="337">
        <f>SUMIFS(BS_RE33!$H$7:$H$874,BS_RE33!$S$7:$S$874,$N$2,BS_RE33!$N$7:$N$874,I13,BS_RE33!$P$7:$P$874,'30 days CF Table(NZD)'!G13,BS_RE33!$F$7:$F$874,'30 days CF Table(NZD)'!$C$2)</f>
        <v>0</v>
      </c>
      <c r="O13" s="337">
        <f>SUMIFS(BS_RE33!$H$7:$H$874,BS_RE33!$S$7:$S$874,$O$2,BS_RE33!$N$7:$N$874,I13,BS_RE33!$P$7:$P$874,'30 days CF Table(NZD)'!G13,BS_RE33!$F$7:$F$874,'30 days CF Table(NZD)'!$C$2)</f>
        <v>0</v>
      </c>
      <c r="P13" s="337">
        <f>SUMIFS(BS_RE33!$H$7:$H$874,BS_RE33!$S$7:$S$874,$P$2,BS_RE33!$N$7:$N$874,I13,BS_RE33!$P$7:$P$874,'30 days CF Table(NZD)'!G13,BS_RE33!$F$7:$F$874,'30 days CF Table(NZD)'!$C$2)</f>
        <v>0</v>
      </c>
      <c r="Q13" s="337">
        <f>SUMIFS(BS_RE33!$H$7:$H$874,BS_RE33!$S$7:$S$874,$Q$2,BS_RE33!$N$7:$N$874,I13,BS_RE33!$P$7:$P$874,'30 days CF Table(NZD)'!G13,BS_RE33!$F$7:$F$874,'30 days CF Table(NZD)'!$C$2)</f>
        <v>0</v>
      </c>
      <c r="R13" s="337">
        <f>SUMIFS(BS_RE33!$H$7:$H$874,BS_RE33!$S$7:$S$874,$R$2,BS_RE33!$N$7:$N$874,I13,BS_RE33!$P$7:$P$874,'30 days CF Table(NZD)'!G13,BS_RE33!$F$7:$F$874,'30 days CF Table(NZD)'!$C$2)</f>
        <v>0</v>
      </c>
      <c r="S13" s="337">
        <f>SUMIFS(BS_RE33!$H$7:$H$874,BS_RE33!$S$7:$S$874,$S$2,BS_RE33!$N$7:$N$874,I13,BS_RE33!$P$7:$P$874,'30 days CF Table(NZD)'!G13,BS_RE33!$F$7:$F$874,'30 days CF Table(NZD)'!$C$2)</f>
        <v>0</v>
      </c>
      <c r="T13" s="337">
        <f>SUMIFS(BS_RE33!$H$7:$H$874,BS_RE33!$S$7:$S$874,$T$2,BS_RE33!$N$7:$N$874,I13,BS_RE33!$P$7:$P$874,'30 days CF Table(NZD)'!G13,BS_RE33!$F$7:$F$874,'30 days CF Table(NZD)'!$C$2)</f>
        <v>0</v>
      </c>
      <c r="U13" s="337">
        <f>SUMIFS(BS_RE33!$H$7:$H$874,BS_RE33!$S$7:$S$874,$U$2,BS_RE33!$N$7:$N$874,I13,BS_RE33!$P$7:$P$874,'30 days CF Table(NZD)'!G13,BS_RE33!$F$7:$F$874,'30 days CF Table(NZD)'!$C$2)</f>
        <v>0</v>
      </c>
      <c r="V13" s="337">
        <f>SUMIFS(BS_RE33!$H$7:$H$874,BS_RE33!$S$7:$S$874,$V$2,BS_RE33!$N$7:$N$874,I13,BS_RE33!$P$7:$P$874,'30 days CF Table(NZD)'!G13,BS_RE33!$F$7:$F$874,'30 days CF Table(NZD)'!$C$2)</f>
        <v>0</v>
      </c>
      <c r="W13" s="337">
        <f>SUMIFS(BS_RE33!$H$7:$H$874,BS_RE33!$S$7:$S$874,$W$2,BS_RE33!$N$7:$N$874,I13,BS_RE33!$P$7:$P$874,'30 days CF Table(NZD)'!G13,BS_RE33!$F$7:$F$874,'30 days CF Table(NZD)'!$C$2)</f>
        <v>0</v>
      </c>
      <c r="X13" s="337">
        <f>SUMIFS(BS_RE33!$H$7:$H$874,BS_RE33!$S$7:$S$874,$X$2,BS_RE33!$N$7:$N$874,I13,BS_RE33!$P$7:$P$874,'30 days CF Table(NZD)'!G13,BS_RE33!$F$7:$F$874,'30 days CF Table(NZD)'!$C$2)</f>
        <v>0</v>
      </c>
      <c r="Y13" s="337">
        <f>SUMIFS(BS_RE33!$H$7:$H$874,BS_RE33!$S$7:$S$874,$Y$2,BS_RE33!$N$7:$N$874,I13,BS_RE33!$P$7:$P$874,'30 days CF Table(NZD)'!G13,BS_RE33!$F$7:$F$874,'30 days CF Table(NZD)'!$C$2)</f>
        <v>0</v>
      </c>
      <c r="Z13" s="337">
        <f>SUMIFS(BS_RE33!$H$7:$H$874,BS_RE33!$S$7:$S$874,$Z$2,BS_RE33!$N$7:$N$874,I13,BS_RE33!$P$7:$P$874,'30 days CF Table(NZD)'!G13,BS_RE33!$F$7:$F$874,'30 days CF Table(NZD)'!$C$2)</f>
        <v>0</v>
      </c>
      <c r="AA13" s="337">
        <f>SUMIFS(BS_RE33!$H$7:$H$874,BS_RE33!$S$7:$S$874,$AA$2,BS_RE33!$N$7:$N$874,I13,BS_RE33!$P$7:$P$874,'30 days CF Table(NZD)'!G13,BS_RE33!$F$7:$F$874,'30 days CF Table(NZD)'!$C$2)</f>
        <v>0</v>
      </c>
      <c r="AB13" s="337">
        <f>SUMIFS(BS_RE33!$H$7:$H$874,BS_RE33!$S$7:$S$874,$AB$2,BS_RE33!$N$7:$N$874,I13,BS_RE33!$P$7:$P$874,'30 days CF Table(NZD)'!G13,BS_RE33!$F$7:$F$874,'30 days CF Table(NZD)'!$C$2)</f>
        <v>0</v>
      </c>
      <c r="AC13" s="337">
        <f>SUMIFS(BS_RE33!$H$7:$H$874,BS_RE33!$S$7:$S$874,$AC$2,BS_RE33!$N$7:$N$874,I13,BS_RE33!$P$7:$P$874,'30 days CF Table(NZD)'!G13,BS_RE33!$F$7:$F$874,'30 days CF Table(NZD)'!$C$2)</f>
        <v>0</v>
      </c>
      <c r="AD13" s="337">
        <f>SUMIFS(BS_RE33!$H$7:$H$874,BS_RE33!$S$7:$S$874,$AD$2,BS_RE33!$N$7:$N$874,I13,BS_RE33!$P$7:$P$874,'30 days CF Table(NZD)'!G13,BS_RE33!$F$7:$F$874,'30 days CF Table(NZD)'!$C$2)</f>
        <v>0</v>
      </c>
      <c r="AE13" s="337">
        <f>SUMIFS(BS_RE33!$H$7:$H$874,BS_RE33!$S$7:$S$874,$AE$2,BS_RE33!$N$7:$N$874,I13,BS_RE33!$P$7:$P$874,'30 days CF Table(NZD)'!G13,BS_RE33!$F$7:$F$874,'30 days CF Table(NZD)'!$C$2)</f>
        <v>0</v>
      </c>
      <c r="AF13" s="337">
        <f>SUMIFS(BS_RE33!$H$7:$H$874,BS_RE33!$S$7:$S$874,$AF$2,BS_RE33!$N$7:$N$874,I13,BS_RE33!$P$7:$P$874,'30 days CF Table(NZD)'!G13,BS_RE33!$F$7:$F$874,'30 days CF Table(NZD)'!$C$2)</f>
        <v>0</v>
      </c>
      <c r="AG13" s="337">
        <f>SUMIFS(BS_RE33!$H$7:$H$874,BS_RE33!$S$7:$S$874,$AG$2,BS_RE33!$N$7:$N$874,I13,BS_RE33!$P$7:$P$874,'30 days CF Table(NZD)'!G13,BS_RE33!$F$7:$F$874,'30 days CF Table(NZD)'!$C$2)</f>
        <v>0</v>
      </c>
      <c r="AH13" s="337">
        <f>SUMIFS(BS_RE33!$H$7:$H$874,BS_RE33!$S$7:$S$874,$AH$2,BS_RE33!$N$7:$N$874,I13,BS_RE33!$P$7:$P$874,'30 days CF Table(NZD)'!G13,BS_RE33!$F$7:$F$874,'30 days CF Table(NZD)'!$C$2)</f>
        <v>0</v>
      </c>
      <c r="AI13" s="337">
        <f>SUMIFS(BS_RE33!$H$7:$H$874,BS_RE33!$S$7:$S$874,$AI$2,BS_RE33!$N$7:$N$874,I13,BS_RE33!$P$7:$P$874,'30 days CF Table(NZD)'!G13,BS_RE33!$F$7:$F$874,'30 days CF Table(NZD)'!$C$2)</f>
        <v>0</v>
      </c>
      <c r="AJ13" s="337">
        <f>SUMIFS(BS_RE33!$H$7:$H$874,BS_RE33!$S$7:$S$874,$AJ$2,BS_RE33!$N$7:$N$874,I13,BS_RE33!$P$7:$P$874,'30 days CF Table(NZD)'!G13,BS_RE33!$F$7:$F$874,'30 days CF Table(NZD)'!$C$2)</f>
        <v>0</v>
      </c>
      <c r="AK13" s="337">
        <f>SUMIFS(BS_RE33!$H$7:$H$874,BS_RE33!$S$7:$S$874,$AK$2,BS_RE33!$N$7:$N$874,I13,BS_RE33!$P$7:$P$874,'30 days CF Table(NZD)'!G13,BS_RE33!$F$7:$F$874,'30 days CF Table(NZD)'!$C$2)</f>
        <v>0</v>
      </c>
      <c r="AL13" s="337">
        <f>SUMIFS(BS_RE33!$H$7:$H$874,BS_RE33!$S$7:$S$874,$AL$2,BS_RE33!$N$7:$N$874,I13,BS_RE33!$P$7:$P$874,'30 days CF Table(NZD)'!G13,BS_RE33!$F$7:$F$874,'30 days CF Table(NZD)'!$C$2)</f>
        <v>0</v>
      </c>
      <c r="AM13" s="337">
        <f>SUMIFS(BS_RE33!$H$7:$H$874,BS_RE33!$S$7:$S$874,$AM$2,BS_RE33!$N$7:$N$874,I13,BS_RE33!$P$7:$P$874,'30 days CF Table(NZD)'!G13,BS_RE33!$F$7:$F$874,'30 days CF Table(NZD)'!$C$2)</f>
        <v>0</v>
      </c>
      <c r="AN13" s="337">
        <f>SUMIFS(BS_RE33!$H$7:$H$874,BS_RE33!$S$7:$S$874,$AN$2,BS_RE33!$N$7:$N$874,I13,BS_RE33!$P$7:$P$874,'30 days CF Table(NZD)'!G13,BS_RE33!$F$7:$F$874,'30 days CF Table(NZD)'!$C$2)</f>
        <v>0</v>
      </c>
      <c r="AO13" s="337">
        <f>SUMIFS(BS_RE33!$H$7:$H$874,BS_RE33!$S$7:$S$874,$AO$2,BS_RE33!$N$7:$N$874,I13,BS_RE33!$P$7:$P$874,'30 days CF Table(NZD)'!G13,BS_RE33!$F$7:$F$874,'30 days CF Table(NZD)'!$C$2)</f>
        <v>0</v>
      </c>
      <c r="AP13" s="338">
        <f>SUMIFS(BS_RE33!$H$7:$H$874,BS_RE33!$S$7:$S$874,$AP$2,BS_RE33!$N$7:$N$874,I13,BS_RE33!$P$7:$P$874,'30 days CF Table(NZD)'!G13,BS_RE33!$F$7:$F$874,'30 days CF Table(NZD)'!$C$2)</f>
        <v>0</v>
      </c>
      <c r="AQ13" s="545"/>
      <c r="AR13" s="379">
        <f>SUMIFS(BS_RE33!$H$7:$H$874,BS_RE33!$S$7:$S$874,$AR$2,BS_RE33!$N$7:$N$874,I13,BS_RE33!$P$7:$P$874,'30 days CF Table(NZD)'!G13,BS_RE33!$F$7:$F$874,'30 days CF Table(NZD)'!$C$2)</f>
        <v>0</v>
      </c>
      <c r="AS13" s="379">
        <f>SUMIFS(BS_RE33!$H$7:$H$874,BS_RE33!$S$7:$S$874,$AS$2,BS_RE33!$N$7:$N$874,I13,BS_RE33!$P$7:$P$874,'30 days CF Table(NZD)'!G13,BS_RE33!$F$7:$F$874,'30 days CF Table(NZD)'!$C$2)</f>
        <v>0</v>
      </c>
      <c r="AT13" s="379">
        <f>SUMIFS(BS_RE33!$H$7:$H$874,BS_RE33!$S$7:$S$874,$AT$2,BS_RE33!$N$7:$N$874,I13,BS_RE33!$P$7:$P$874,'30 days CF Table(NZD)'!G13,BS_RE33!$F$7:$F$874,'30 days CF Table(NZD)'!$C$2)</f>
        <v>0</v>
      </c>
      <c r="AU13" s="379">
        <f>SUMIFS(BS_RE33!$H$7:$H$874,BS_RE33!$S$7:$S$874,$AU$2,BS_RE33!$N$7:$N$874,I13,BS_RE33!$P$7:$P$874,'30 days CF Table(NZD)'!G13,BS_RE33!$F$7:$F$874,'30 days CF Table(NZD)'!$C$2)</f>
        <v>0</v>
      </c>
      <c r="AV13" s="379">
        <f>SUMIFS(BS_RE33!$H$7:$H$874,BS_RE33!$S$7:$S$874,$AV$2,BS_RE33!$N$7:$N$874,I13,BS_RE33!$P$7:$P$874,'30 days CF Table(NZD)'!G13,BS_RE33!$F$7:$F$874,'30 days CF Table(NZD)'!$C$2)</f>
        <v>0</v>
      </c>
      <c r="AW13" s="379">
        <f>SUMIFS(BS_RE33!$H$7:$H$874,BS_RE33!$S$7:$S$874,$AW$2,BS_RE33!$N$7:$N$874,I13,BS_RE33!$P$7:$P$874,'30 days CF Table(NZD)'!G13,BS_RE33!$F$7:$F$874,'30 days CF Table(NZD)'!$C$2)</f>
        <v>0</v>
      </c>
      <c r="AX13" s="379">
        <f>SUMIFS(BS_RE33!$H$7:$H$874,BS_RE33!$S$7:$S$874,$AX$2,BS_RE33!$N$7:$N$874,I13,BS_RE33!$P$7:$P$874,'30 days CF Table(NZD)'!G13,BS_RE33!$F$7:$F$874,'30 days CF Table(NZD)'!$C$2)</f>
        <v>0</v>
      </c>
      <c r="AY13" s="379">
        <f>SUMIFS(BS_RE33!$H$7:$H$874,BS_RE33!$S$7:$S$874,$AY$2,BS_RE33!$N$7:$N$874,I13,BS_RE33!$P$7:$P$874,'30 days CF Table(NZD)'!G13,BS_RE33!$F$7:$F$874,'30 days CF Table(NZD)'!$C$2)</f>
        <v>0</v>
      </c>
      <c r="AZ13" s="379">
        <f>SUMIFS(BS_RE33!$H$7:$H$874,BS_RE33!$S$7:$S$874,$AZ$2,BS_RE33!$N$7:$N$874,I13,BS_RE33!$P$7:$P$874,'30 days CF Table(NZD)'!G13,BS_RE33!$F$7:$F$874,'30 days CF Table(NZD)'!$C$2)</f>
        <v>0</v>
      </c>
      <c r="BA13" s="379">
        <f>SUMIFS(BS_RE33!$H$7:$H$874,BS_RE33!$S$7:$S$874,$BA$2,BS_RE33!$N$7:$N$874,I13,BS_RE33!$P$7:$P$874,'30 days CF Table(NZD)'!G13,BS_RE33!$F$7:$F$874,'30 days CF Table(NZD)'!$C$2)</f>
        <v>0</v>
      </c>
      <c r="BB13" s="379">
        <f>SUMIFS(BS_RE33!$H$7:$H$874,BS_RE33!$S$7:$S$874,$BB$2,BS_RE33!$N$7:$N$874,I13,BS_RE33!$P$7:$P$874,'30 days CF Table(NZD)'!G13,BS_RE33!$F$7:$F$874,'30 days CF Table(NZD)'!$C$2)</f>
        <v>0</v>
      </c>
      <c r="BC13" s="379">
        <f>SUMIFS(BS_RE33!$H$7:$H$874,BS_RE33!$S$7:$S$874,$BC$2,BS_RE33!$N$7:$N$874,I13,BS_RE33!$P$7:$P$874,'30 days CF Table(NZD)'!G13,BS_RE33!$F$7:$F$874,'30 days CF Table(NZD)'!$C$2)</f>
        <v>0</v>
      </c>
      <c r="BD13" s="379">
        <f>SUMIFS(BS_RE33!$H$7:$H$874,BS_RE33!$S$7:$S$874,$BD$2,BS_RE33!$N$7:$N$874,I13,BS_RE33!$P$7:$P$874,'30 days CF Table(NZD)'!G13,BS_RE33!$F$7:$F$874,'30 days CF Table(NZD)'!$C$2)</f>
        <v>0</v>
      </c>
      <c r="BE13" s="379">
        <f>SUMIFS(BS_RE33!$H$7:$H$874,BS_RE33!$S$7:$S$874,$BE$2,BS_RE33!$N$7:$N$874,I13,BS_RE33!$P$7:$P$874,'30 days CF Table(NZD)'!G13,BS_RE33!$F$7:$F$874,'30 days CF Table(NZD)'!$C$2)</f>
        <v>0</v>
      </c>
      <c r="BF13" s="379">
        <f>SUMIFS(BS_RE33!$H$7:$H$874,BS_RE33!$S$7:$S$874,$BF$2,BS_RE33!$N$7:$N$874,I13,BS_RE33!$P$7:$P$874,'30 days CF Table(NZD)'!G13,BS_RE33!$F$7:$F$874,'30 days CF Table(NZD)'!$C$2)</f>
        <v>0</v>
      </c>
      <c r="BG13" s="379">
        <f>SUMIFS(BS_RE33!$H$7:$H$874,BS_RE33!$S$7:$S$874,$BG$2,BS_RE33!$N$7:$N$874,I13,BS_RE33!$P$7:$P$874,'30 days CF Table(NZD)'!G13,BS_RE33!$F$7:$F$874,'30 days CF Table(NZD)'!$C$2)</f>
        <v>0</v>
      </c>
      <c r="BH13" s="379">
        <f>SUMIFS(BS_RE33!$H$7:$H$874,BS_RE33!$S$7:$S$874,$BH$2,BS_RE33!$N$7:$N$874,I13,BS_RE33!$P$7:$P$874,'30 days CF Table(NZD)'!G13,BS_RE33!$F$7:$F$874,'30 days CF Table(NZD)'!$C$2)</f>
        <v>0</v>
      </c>
      <c r="BI13" s="379">
        <f>SUMIFS(BS_RE33!$H$7:$H$874,BS_RE33!$S$7:$S$874,$BI$2,BS_RE33!$N$7:$N$874,I13,BS_RE33!$P$7:$P$874,'30 days CF Table(NZD)'!G13,BS_RE33!$F$7:$F$874,'30 days CF Table(NZD)'!$C$2)</f>
        <v>0</v>
      </c>
      <c r="BJ13" s="379">
        <f>SUMIFS(BS_RE33!$H$7:$H$874,BS_RE33!$S$7:$S$874,$BJ$2,BS_RE33!$N$7:$N$874,I13,BS_RE33!$P$7:$P$874,'30 days CF Table(NZD)'!G13,BS_RE33!$F$7:$F$874,'30 days CF Table(NZD)'!$C$2)</f>
        <v>0</v>
      </c>
      <c r="BK13" s="379">
        <f>SUMIFS(BS_RE33!$H$7:$H$874,BS_RE33!$S$7:$S$874,$BK$2,BS_RE33!$N$7:$N$874,I13,BS_RE33!$P$7:$P$874,'30 days CF Table(NZD)'!G13,BS_RE33!$F$7:$F$874,'30 days CF Table(NZD)'!$C$2)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Table(NZD)'!G14,BS_RE33!$F$7:$F$874,'30 days CF Table(NZD)'!$C$2)</f>
        <v>0</v>
      </c>
      <c r="M14" s="337">
        <f>SUMIFS(BS_RE33!$H$7:$H$874,BS_RE33!$S$7:$S$874,$M$2,BS_RE33!$N$7:$N$874,I14,BS_RE33!$P$7:$P$874,'30 days CF Table(NZD)'!G14,BS_RE33!$F$7:$F$874,'30 days CF Table(NZD)'!$C$2)</f>
        <v>0</v>
      </c>
      <c r="N14" s="337">
        <f>SUMIFS(BS_RE33!$H$7:$H$874,BS_RE33!$S$7:$S$874,$N$2,BS_RE33!$N$7:$N$874,I14,BS_RE33!$P$7:$P$874,'30 days CF Table(NZD)'!G14,BS_RE33!$F$7:$F$874,'30 days CF Table(NZD)'!$C$2)</f>
        <v>0</v>
      </c>
      <c r="O14" s="337">
        <f>SUMIFS(BS_RE33!$H$7:$H$874,BS_RE33!$S$7:$S$874,$O$2,BS_RE33!$N$7:$N$874,I14,BS_RE33!$P$7:$P$874,'30 days CF Table(NZD)'!G14,BS_RE33!$F$7:$F$874,'30 days CF Table(NZD)'!$C$2)</f>
        <v>0</v>
      </c>
      <c r="P14" s="337">
        <f>SUMIFS(BS_RE33!$H$7:$H$874,BS_RE33!$S$7:$S$874,$P$2,BS_RE33!$N$7:$N$874,I14,BS_RE33!$P$7:$P$874,'30 days CF Table(NZD)'!G14,BS_RE33!$F$7:$F$874,'30 days CF Table(NZD)'!$C$2)</f>
        <v>0</v>
      </c>
      <c r="Q14" s="337">
        <f>SUMIFS(BS_RE33!$H$7:$H$874,BS_RE33!$S$7:$S$874,$Q$2,BS_RE33!$N$7:$N$874,I14,BS_RE33!$P$7:$P$874,'30 days CF Table(NZD)'!G14,BS_RE33!$F$7:$F$874,'30 days CF Table(NZD)'!$C$2)</f>
        <v>0</v>
      </c>
      <c r="R14" s="337">
        <f>SUMIFS(BS_RE33!$H$7:$H$874,BS_RE33!$S$7:$S$874,$R$2,BS_RE33!$N$7:$N$874,I14,BS_RE33!$P$7:$P$874,'30 days CF Table(NZD)'!G14,BS_RE33!$F$7:$F$874,'30 days CF Table(NZD)'!$C$2)</f>
        <v>0</v>
      </c>
      <c r="S14" s="337">
        <f>SUMIFS(BS_RE33!$H$7:$H$874,BS_RE33!$S$7:$S$874,$S$2,BS_RE33!$N$7:$N$874,I14,BS_RE33!$P$7:$P$874,'30 days CF Table(NZD)'!G14,BS_RE33!$F$7:$F$874,'30 days CF Table(NZD)'!$C$2)</f>
        <v>0</v>
      </c>
      <c r="T14" s="337">
        <f>SUMIFS(BS_RE33!$H$7:$H$874,BS_RE33!$S$7:$S$874,$T$2,BS_RE33!$N$7:$N$874,I14,BS_RE33!$P$7:$P$874,'30 days CF Table(NZD)'!G14,BS_RE33!$F$7:$F$874,'30 days CF Table(NZD)'!$C$2)</f>
        <v>0</v>
      </c>
      <c r="U14" s="337">
        <f>SUMIFS(BS_RE33!$H$7:$H$874,BS_RE33!$S$7:$S$874,$U$2,BS_RE33!$N$7:$N$874,I14,BS_RE33!$P$7:$P$874,'30 days CF Table(NZD)'!G14,BS_RE33!$F$7:$F$874,'30 days CF Table(NZD)'!$C$2)</f>
        <v>0</v>
      </c>
      <c r="V14" s="337">
        <f>SUMIFS(BS_RE33!$H$7:$H$874,BS_RE33!$S$7:$S$874,$V$2,BS_RE33!$N$7:$N$874,I14,BS_RE33!$P$7:$P$874,'30 days CF Table(NZD)'!G14,BS_RE33!$F$7:$F$874,'30 days CF Table(NZD)'!$C$2)</f>
        <v>0</v>
      </c>
      <c r="W14" s="337">
        <f>SUMIFS(BS_RE33!$H$7:$H$874,BS_RE33!$S$7:$S$874,$W$2,BS_RE33!$N$7:$N$874,I14,BS_RE33!$P$7:$P$874,'30 days CF Table(NZD)'!G14,BS_RE33!$F$7:$F$874,'30 days CF Table(NZD)'!$C$2)</f>
        <v>0</v>
      </c>
      <c r="X14" s="337">
        <f>SUMIFS(BS_RE33!$H$7:$H$874,BS_RE33!$S$7:$S$874,$X$2,BS_RE33!$N$7:$N$874,I14,BS_RE33!$P$7:$P$874,'30 days CF Table(NZD)'!G14,BS_RE33!$F$7:$F$874,'30 days CF Table(NZD)'!$C$2)</f>
        <v>0</v>
      </c>
      <c r="Y14" s="337">
        <f>SUMIFS(BS_RE33!$H$7:$H$874,BS_RE33!$S$7:$S$874,$Y$2,BS_RE33!$N$7:$N$874,I14,BS_RE33!$P$7:$P$874,'30 days CF Table(NZD)'!G14,BS_RE33!$F$7:$F$874,'30 days CF Table(NZD)'!$C$2)</f>
        <v>0</v>
      </c>
      <c r="Z14" s="337">
        <f>SUMIFS(BS_RE33!$H$7:$H$874,BS_RE33!$S$7:$S$874,$Z$2,BS_RE33!$N$7:$N$874,I14,BS_RE33!$P$7:$P$874,'30 days CF Table(NZD)'!G14,BS_RE33!$F$7:$F$874,'30 days CF Table(NZD)'!$C$2)</f>
        <v>0</v>
      </c>
      <c r="AA14" s="337">
        <f>SUMIFS(BS_RE33!$H$7:$H$874,BS_RE33!$S$7:$S$874,$AA$2,BS_RE33!$N$7:$N$874,I14,BS_RE33!$P$7:$P$874,'30 days CF Table(NZD)'!G14,BS_RE33!$F$7:$F$874,'30 days CF Table(NZD)'!$C$2)</f>
        <v>0</v>
      </c>
      <c r="AB14" s="337">
        <f>SUMIFS(BS_RE33!$H$7:$H$874,BS_RE33!$S$7:$S$874,$AB$2,BS_RE33!$N$7:$N$874,I14,BS_RE33!$P$7:$P$874,'30 days CF Table(NZD)'!G14,BS_RE33!$F$7:$F$874,'30 days CF Table(NZD)'!$C$2)</f>
        <v>0</v>
      </c>
      <c r="AC14" s="337">
        <f>SUMIFS(BS_RE33!$H$7:$H$874,BS_RE33!$S$7:$S$874,$AC$2,BS_RE33!$N$7:$N$874,I14,BS_RE33!$P$7:$P$874,'30 days CF Table(NZD)'!G14,BS_RE33!$F$7:$F$874,'30 days CF Table(NZD)'!$C$2)</f>
        <v>0</v>
      </c>
      <c r="AD14" s="337">
        <f>SUMIFS(BS_RE33!$H$7:$H$874,BS_RE33!$S$7:$S$874,$AD$2,BS_RE33!$N$7:$N$874,I14,BS_RE33!$P$7:$P$874,'30 days CF Table(NZD)'!G14,BS_RE33!$F$7:$F$874,'30 days CF Table(NZD)'!$C$2)</f>
        <v>0</v>
      </c>
      <c r="AE14" s="337">
        <f>SUMIFS(BS_RE33!$H$7:$H$874,BS_RE33!$S$7:$S$874,$AE$2,BS_RE33!$N$7:$N$874,I14,BS_RE33!$P$7:$P$874,'30 days CF Table(NZD)'!G14,BS_RE33!$F$7:$F$874,'30 days CF Table(NZD)'!$C$2)</f>
        <v>0</v>
      </c>
      <c r="AF14" s="337">
        <f>SUMIFS(BS_RE33!$H$7:$H$874,BS_RE33!$S$7:$S$874,$AF$2,BS_RE33!$N$7:$N$874,I14,BS_RE33!$P$7:$P$874,'30 days CF Table(NZD)'!G14,BS_RE33!$F$7:$F$874,'30 days CF Table(NZD)'!$C$2)</f>
        <v>0</v>
      </c>
      <c r="AG14" s="337">
        <f>SUMIFS(BS_RE33!$H$7:$H$874,BS_RE33!$S$7:$S$874,$AG$2,BS_RE33!$N$7:$N$874,I14,BS_RE33!$P$7:$P$874,'30 days CF Table(NZD)'!G14,BS_RE33!$F$7:$F$874,'30 days CF Table(NZD)'!$C$2)</f>
        <v>0</v>
      </c>
      <c r="AH14" s="337">
        <f>SUMIFS(BS_RE33!$H$7:$H$874,BS_RE33!$S$7:$S$874,$AH$2,BS_RE33!$N$7:$N$874,I14,BS_RE33!$P$7:$P$874,'30 days CF Table(NZD)'!G14,BS_RE33!$F$7:$F$874,'30 days CF Table(NZD)'!$C$2)</f>
        <v>0</v>
      </c>
      <c r="AI14" s="337">
        <f>SUMIFS(BS_RE33!$H$7:$H$874,BS_RE33!$S$7:$S$874,$AI$2,BS_RE33!$N$7:$N$874,I14,BS_RE33!$P$7:$P$874,'30 days CF Table(NZD)'!G14,BS_RE33!$F$7:$F$874,'30 days CF Table(NZD)'!$C$2)</f>
        <v>0</v>
      </c>
      <c r="AJ14" s="337">
        <f>SUMIFS(BS_RE33!$H$7:$H$874,BS_RE33!$S$7:$S$874,$AJ$2,BS_RE33!$N$7:$N$874,I14,BS_RE33!$P$7:$P$874,'30 days CF Table(NZD)'!G14,BS_RE33!$F$7:$F$874,'30 days CF Table(NZD)'!$C$2)</f>
        <v>0</v>
      </c>
      <c r="AK14" s="337">
        <f>SUMIFS(BS_RE33!$H$7:$H$874,BS_RE33!$S$7:$S$874,$AK$2,BS_RE33!$N$7:$N$874,I14,BS_RE33!$P$7:$P$874,'30 days CF Table(NZD)'!G14,BS_RE33!$F$7:$F$874,'30 days CF Table(NZD)'!$C$2)</f>
        <v>0</v>
      </c>
      <c r="AL14" s="337">
        <f>SUMIFS(BS_RE33!$H$7:$H$874,BS_RE33!$S$7:$S$874,$AL$2,BS_RE33!$N$7:$N$874,I14,BS_RE33!$P$7:$P$874,'30 days CF Table(NZD)'!G14,BS_RE33!$F$7:$F$874,'30 days CF Table(NZD)'!$C$2)</f>
        <v>0</v>
      </c>
      <c r="AM14" s="337">
        <f>SUMIFS(BS_RE33!$H$7:$H$874,BS_RE33!$S$7:$S$874,$AM$2,BS_RE33!$N$7:$N$874,I14,BS_RE33!$P$7:$P$874,'30 days CF Table(NZD)'!G14,BS_RE33!$F$7:$F$874,'30 days CF Table(NZD)'!$C$2)</f>
        <v>0</v>
      </c>
      <c r="AN14" s="337">
        <f>SUMIFS(BS_RE33!$H$7:$H$874,BS_RE33!$S$7:$S$874,$AN$2,BS_RE33!$N$7:$N$874,I14,BS_RE33!$P$7:$P$874,'30 days CF Table(NZD)'!G14,BS_RE33!$F$7:$F$874,'30 days CF Table(NZD)'!$C$2)</f>
        <v>0</v>
      </c>
      <c r="AO14" s="337">
        <f>SUMIFS(BS_RE33!$H$7:$H$874,BS_RE33!$S$7:$S$874,$AO$2,BS_RE33!$N$7:$N$874,I14,BS_RE33!$P$7:$P$874,'30 days CF Table(NZD)'!G14,BS_RE33!$F$7:$F$874,'30 days CF Table(NZD)'!$C$2)</f>
        <v>0</v>
      </c>
      <c r="AP14" s="338">
        <f>SUMIFS(BS_RE33!$H$7:$H$874,BS_RE33!$S$7:$S$874,$AP$2,BS_RE33!$N$7:$N$874,I14,BS_RE33!$P$7:$P$874,'30 days CF Table(NZD)'!G14,BS_RE33!$F$7:$F$874,'30 days CF Table(NZD)'!$C$2)</f>
        <v>0</v>
      </c>
      <c r="AQ14" s="545"/>
      <c r="AR14" s="379">
        <f>SUMIFS(BS_RE33!$H$7:$H$874,BS_RE33!$S$7:$S$874,$AR$2,BS_RE33!$N$7:$N$874,I14,BS_RE33!$P$7:$P$874,'30 days CF Table(NZD)'!G14,BS_RE33!$F$7:$F$874,'30 days CF Table(NZD)'!$C$2)</f>
        <v>0</v>
      </c>
      <c r="AS14" s="379">
        <f>SUMIFS(BS_RE33!$H$7:$H$874,BS_RE33!$S$7:$S$874,$AS$2,BS_RE33!$N$7:$N$874,I14,BS_RE33!$P$7:$P$874,'30 days CF Table(NZD)'!G14,BS_RE33!$F$7:$F$874,'30 days CF Table(NZD)'!$C$2)</f>
        <v>0</v>
      </c>
      <c r="AT14" s="379">
        <f>SUMIFS(BS_RE33!$H$7:$H$874,BS_RE33!$S$7:$S$874,$AT$2,BS_RE33!$N$7:$N$874,I14,BS_RE33!$P$7:$P$874,'30 days CF Table(NZD)'!G14,BS_RE33!$F$7:$F$874,'30 days CF Table(NZD)'!$C$2)</f>
        <v>0</v>
      </c>
      <c r="AU14" s="379">
        <f>SUMIFS(BS_RE33!$H$7:$H$874,BS_RE33!$S$7:$S$874,$AU$2,BS_RE33!$N$7:$N$874,I14,BS_RE33!$P$7:$P$874,'30 days CF Table(NZD)'!G14,BS_RE33!$F$7:$F$874,'30 days CF Table(NZD)'!$C$2)</f>
        <v>0</v>
      </c>
      <c r="AV14" s="379">
        <f>SUMIFS(BS_RE33!$H$7:$H$874,BS_RE33!$S$7:$S$874,$AV$2,BS_RE33!$N$7:$N$874,I14,BS_RE33!$P$7:$P$874,'30 days CF Table(NZD)'!G14,BS_RE33!$F$7:$F$874,'30 days CF Table(NZD)'!$C$2)</f>
        <v>0</v>
      </c>
      <c r="AW14" s="379">
        <f>SUMIFS(BS_RE33!$H$7:$H$874,BS_RE33!$S$7:$S$874,$AW$2,BS_RE33!$N$7:$N$874,I14,BS_RE33!$P$7:$P$874,'30 days CF Table(NZD)'!G14,BS_RE33!$F$7:$F$874,'30 days CF Table(NZD)'!$C$2)</f>
        <v>0</v>
      </c>
      <c r="AX14" s="379">
        <f>SUMIFS(BS_RE33!$H$7:$H$874,BS_RE33!$S$7:$S$874,$AX$2,BS_RE33!$N$7:$N$874,I14,BS_RE33!$P$7:$P$874,'30 days CF Table(NZD)'!G14,BS_RE33!$F$7:$F$874,'30 days CF Table(NZD)'!$C$2)</f>
        <v>0</v>
      </c>
      <c r="AY14" s="379">
        <f>SUMIFS(BS_RE33!$H$7:$H$874,BS_RE33!$S$7:$S$874,$AY$2,BS_RE33!$N$7:$N$874,I14,BS_RE33!$P$7:$P$874,'30 days CF Table(NZD)'!G14,BS_RE33!$F$7:$F$874,'30 days CF Table(NZD)'!$C$2)</f>
        <v>0</v>
      </c>
      <c r="AZ14" s="379">
        <f>SUMIFS(BS_RE33!$H$7:$H$874,BS_RE33!$S$7:$S$874,$AZ$2,BS_RE33!$N$7:$N$874,I14,BS_RE33!$P$7:$P$874,'30 days CF Table(NZD)'!G14,BS_RE33!$F$7:$F$874,'30 days CF Table(NZD)'!$C$2)</f>
        <v>0</v>
      </c>
      <c r="BA14" s="379">
        <f>SUMIFS(BS_RE33!$H$7:$H$874,BS_RE33!$S$7:$S$874,$BA$2,BS_RE33!$N$7:$N$874,I14,BS_RE33!$P$7:$P$874,'30 days CF Table(NZD)'!G14,BS_RE33!$F$7:$F$874,'30 days CF Table(NZD)'!$C$2)</f>
        <v>0</v>
      </c>
      <c r="BB14" s="379">
        <f>SUMIFS(BS_RE33!$H$7:$H$874,BS_RE33!$S$7:$S$874,$BB$2,BS_RE33!$N$7:$N$874,I14,BS_RE33!$P$7:$P$874,'30 days CF Table(NZD)'!G14,BS_RE33!$F$7:$F$874,'30 days CF Table(NZD)'!$C$2)</f>
        <v>0</v>
      </c>
      <c r="BC14" s="379">
        <f>SUMIFS(BS_RE33!$H$7:$H$874,BS_RE33!$S$7:$S$874,$BC$2,BS_RE33!$N$7:$N$874,I14,BS_RE33!$P$7:$P$874,'30 days CF Table(NZD)'!G14,BS_RE33!$F$7:$F$874,'30 days CF Table(NZD)'!$C$2)</f>
        <v>0</v>
      </c>
      <c r="BD14" s="379">
        <f>SUMIFS(BS_RE33!$H$7:$H$874,BS_RE33!$S$7:$S$874,$BD$2,BS_RE33!$N$7:$N$874,I14,BS_RE33!$P$7:$P$874,'30 days CF Table(NZD)'!G14,BS_RE33!$F$7:$F$874,'30 days CF Table(NZD)'!$C$2)</f>
        <v>0</v>
      </c>
      <c r="BE14" s="379">
        <f>SUMIFS(BS_RE33!$H$7:$H$874,BS_RE33!$S$7:$S$874,$BE$2,BS_RE33!$N$7:$N$874,I14,BS_RE33!$P$7:$P$874,'30 days CF Table(NZD)'!G14,BS_RE33!$F$7:$F$874,'30 days CF Table(NZD)'!$C$2)</f>
        <v>0</v>
      </c>
      <c r="BF14" s="379">
        <f>SUMIFS(BS_RE33!$H$7:$H$874,BS_RE33!$S$7:$S$874,$BF$2,BS_RE33!$N$7:$N$874,I14,BS_RE33!$P$7:$P$874,'30 days CF Table(NZD)'!G14,BS_RE33!$F$7:$F$874,'30 days CF Table(NZD)'!$C$2)</f>
        <v>0</v>
      </c>
      <c r="BG14" s="379">
        <f>SUMIFS(BS_RE33!$H$7:$H$874,BS_RE33!$S$7:$S$874,$BG$2,BS_RE33!$N$7:$N$874,I14,BS_RE33!$P$7:$P$874,'30 days CF Table(NZD)'!G14,BS_RE33!$F$7:$F$874,'30 days CF Table(NZD)'!$C$2)</f>
        <v>0</v>
      </c>
      <c r="BH14" s="379">
        <f>SUMIFS(BS_RE33!$H$7:$H$874,BS_RE33!$S$7:$S$874,$BH$2,BS_RE33!$N$7:$N$874,I14,BS_RE33!$P$7:$P$874,'30 days CF Table(NZD)'!G14,BS_RE33!$F$7:$F$874,'30 days CF Table(NZD)'!$C$2)</f>
        <v>0</v>
      </c>
      <c r="BI14" s="379">
        <f>SUMIFS(BS_RE33!$H$7:$H$874,BS_RE33!$S$7:$S$874,$BI$2,BS_RE33!$N$7:$N$874,I14,BS_RE33!$P$7:$P$874,'30 days CF Table(NZD)'!G14,BS_RE33!$F$7:$F$874,'30 days CF Table(NZD)'!$C$2)</f>
        <v>0</v>
      </c>
      <c r="BJ14" s="379">
        <f>SUMIFS(BS_RE33!$H$7:$H$874,BS_RE33!$S$7:$S$874,$BJ$2,BS_RE33!$N$7:$N$874,I14,BS_RE33!$P$7:$P$874,'30 days CF Table(NZD)'!G14,BS_RE33!$F$7:$F$874,'30 days CF Table(NZD)'!$C$2)</f>
        <v>0</v>
      </c>
      <c r="BK14" s="379">
        <f>SUMIFS(BS_RE33!$H$7:$H$874,BS_RE33!$S$7:$S$874,$BK$2,BS_RE33!$N$7:$N$874,I14,BS_RE33!$P$7:$P$874,'30 days CF Table(NZD)'!G14,BS_RE33!$F$7:$F$874,'30 days CF Table(NZD)'!$C$2)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Table(NZD)'!G15,BS_RE33!$F$7:$F$874,'30 days CF Table(NZD)'!$C$2)</f>
        <v>0</v>
      </c>
      <c r="M15" s="337">
        <f>SUMIFS(BS_RE33!$H$7:$H$874,BS_RE33!$S$7:$S$874,$M$2,BS_RE33!$N$7:$N$874,I15,BS_RE33!$P$7:$P$874,'30 days CF Table(NZD)'!G15,BS_RE33!$F$7:$F$874,'30 days CF Table(NZD)'!$C$2)</f>
        <v>0</v>
      </c>
      <c r="N15" s="337">
        <f>SUMIFS(BS_RE33!$H$7:$H$874,BS_RE33!$S$7:$S$874,$N$2,BS_RE33!$N$7:$N$874,I15,BS_RE33!$P$7:$P$874,'30 days CF Table(NZD)'!G15,BS_RE33!$F$7:$F$874,'30 days CF Table(NZD)'!$C$2)</f>
        <v>0</v>
      </c>
      <c r="O15" s="337">
        <f>SUMIFS(BS_RE33!$H$7:$H$874,BS_RE33!$S$7:$S$874,$O$2,BS_RE33!$N$7:$N$874,I15,BS_RE33!$P$7:$P$874,'30 days CF Table(NZD)'!G15,BS_RE33!$F$7:$F$874,'30 days CF Table(NZD)'!$C$2)</f>
        <v>0</v>
      </c>
      <c r="P15" s="337">
        <f>SUMIFS(BS_RE33!$H$7:$H$874,BS_RE33!$S$7:$S$874,$P$2,BS_RE33!$N$7:$N$874,I15,BS_RE33!$P$7:$P$874,'30 days CF Table(NZD)'!G15,BS_RE33!$F$7:$F$874,'30 days CF Table(NZD)'!$C$2)</f>
        <v>0</v>
      </c>
      <c r="Q15" s="337">
        <f>SUMIFS(BS_RE33!$H$7:$H$874,BS_RE33!$S$7:$S$874,$Q$2,BS_RE33!$N$7:$N$874,I15,BS_RE33!$P$7:$P$874,'30 days CF Table(NZD)'!G15,BS_RE33!$F$7:$F$874,'30 days CF Table(NZD)'!$C$2)</f>
        <v>0</v>
      </c>
      <c r="R15" s="337">
        <f>SUMIFS(BS_RE33!$H$7:$H$874,BS_RE33!$S$7:$S$874,$R$2,BS_RE33!$N$7:$N$874,I15,BS_RE33!$P$7:$P$874,'30 days CF Table(NZD)'!G15,BS_RE33!$F$7:$F$874,'30 days CF Table(NZD)'!$C$2)</f>
        <v>0</v>
      </c>
      <c r="S15" s="337">
        <f>SUMIFS(BS_RE33!$H$7:$H$874,BS_RE33!$S$7:$S$874,$S$2,BS_RE33!$N$7:$N$874,I15,BS_RE33!$P$7:$P$874,'30 days CF Table(NZD)'!G15,BS_RE33!$F$7:$F$874,'30 days CF Table(NZD)'!$C$2)</f>
        <v>0</v>
      </c>
      <c r="T15" s="337">
        <f>SUMIFS(BS_RE33!$H$7:$H$874,BS_RE33!$S$7:$S$874,$T$2,BS_RE33!$N$7:$N$874,I15,BS_RE33!$P$7:$P$874,'30 days CF Table(NZD)'!G15,BS_RE33!$F$7:$F$874,'30 days CF Table(NZD)'!$C$2)</f>
        <v>0</v>
      </c>
      <c r="U15" s="337">
        <f>SUMIFS(BS_RE33!$H$7:$H$874,BS_RE33!$S$7:$S$874,$U$2,BS_RE33!$N$7:$N$874,I15,BS_RE33!$P$7:$P$874,'30 days CF Table(NZD)'!G15,BS_RE33!$F$7:$F$874,'30 days CF Table(NZD)'!$C$2)</f>
        <v>0</v>
      </c>
      <c r="V15" s="337">
        <f>SUMIFS(BS_RE33!$H$7:$H$874,BS_RE33!$S$7:$S$874,$V$2,BS_RE33!$N$7:$N$874,I15,BS_RE33!$P$7:$P$874,'30 days CF Table(NZD)'!G15,BS_RE33!$F$7:$F$874,'30 days CF Table(NZD)'!$C$2)</f>
        <v>0</v>
      </c>
      <c r="W15" s="337">
        <f>SUMIFS(BS_RE33!$H$7:$H$874,BS_RE33!$S$7:$S$874,$W$2,BS_RE33!$N$7:$N$874,I15,BS_RE33!$P$7:$P$874,'30 days CF Table(NZD)'!G15,BS_RE33!$F$7:$F$874,'30 days CF Table(NZD)'!$C$2)</f>
        <v>0</v>
      </c>
      <c r="X15" s="337">
        <f>SUMIFS(BS_RE33!$H$7:$H$874,BS_RE33!$S$7:$S$874,$X$2,BS_RE33!$N$7:$N$874,I15,BS_RE33!$P$7:$P$874,'30 days CF Table(NZD)'!G15,BS_RE33!$F$7:$F$874,'30 days CF Table(NZD)'!$C$2)</f>
        <v>0</v>
      </c>
      <c r="Y15" s="337">
        <f>SUMIFS(BS_RE33!$H$7:$H$874,BS_RE33!$S$7:$S$874,$Y$2,BS_RE33!$N$7:$N$874,I15,BS_RE33!$P$7:$P$874,'30 days CF Table(NZD)'!G15,BS_RE33!$F$7:$F$874,'30 days CF Table(NZD)'!$C$2)</f>
        <v>0</v>
      </c>
      <c r="Z15" s="337">
        <f>SUMIFS(BS_RE33!$H$7:$H$874,BS_RE33!$S$7:$S$874,$Z$2,BS_RE33!$N$7:$N$874,I15,BS_RE33!$P$7:$P$874,'30 days CF Table(NZD)'!G15,BS_RE33!$F$7:$F$874,'30 days CF Table(NZD)'!$C$2)</f>
        <v>0</v>
      </c>
      <c r="AA15" s="337">
        <f>SUMIFS(BS_RE33!$H$7:$H$874,BS_RE33!$S$7:$S$874,$AA$2,BS_RE33!$N$7:$N$874,I15,BS_RE33!$P$7:$P$874,'30 days CF Table(NZD)'!G15,BS_RE33!$F$7:$F$874,'30 days CF Table(NZD)'!$C$2)</f>
        <v>0</v>
      </c>
      <c r="AB15" s="337">
        <f>SUMIFS(BS_RE33!$H$7:$H$874,BS_RE33!$S$7:$S$874,$AB$2,BS_RE33!$N$7:$N$874,I15,BS_RE33!$P$7:$P$874,'30 days CF Table(NZD)'!G15,BS_RE33!$F$7:$F$874,'30 days CF Table(NZD)'!$C$2)</f>
        <v>0</v>
      </c>
      <c r="AC15" s="337">
        <f>SUMIFS(BS_RE33!$H$7:$H$874,BS_RE33!$S$7:$S$874,$AC$2,BS_RE33!$N$7:$N$874,I15,BS_RE33!$P$7:$P$874,'30 days CF Table(NZD)'!G15,BS_RE33!$F$7:$F$874,'30 days CF Table(NZD)'!$C$2)</f>
        <v>0</v>
      </c>
      <c r="AD15" s="337">
        <f>SUMIFS(BS_RE33!$H$7:$H$874,BS_RE33!$S$7:$S$874,$AD$2,BS_RE33!$N$7:$N$874,I15,BS_RE33!$P$7:$P$874,'30 days CF Table(NZD)'!G15,BS_RE33!$F$7:$F$874,'30 days CF Table(NZD)'!$C$2)</f>
        <v>0</v>
      </c>
      <c r="AE15" s="337">
        <f>SUMIFS(BS_RE33!$H$7:$H$874,BS_RE33!$S$7:$S$874,$AE$2,BS_RE33!$N$7:$N$874,I15,BS_RE33!$P$7:$P$874,'30 days CF Table(NZD)'!G15,BS_RE33!$F$7:$F$874,'30 days CF Table(NZD)'!$C$2)</f>
        <v>0</v>
      </c>
      <c r="AF15" s="337">
        <f>SUMIFS(BS_RE33!$H$7:$H$874,BS_RE33!$S$7:$S$874,$AF$2,BS_RE33!$N$7:$N$874,I15,BS_RE33!$P$7:$P$874,'30 days CF Table(NZD)'!G15,BS_RE33!$F$7:$F$874,'30 days CF Table(NZD)'!$C$2)</f>
        <v>0</v>
      </c>
      <c r="AG15" s="337">
        <f>SUMIFS(BS_RE33!$H$7:$H$874,BS_RE33!$S$7:$S$874,$AG$2,BS_RE33!$N$7:$N$874,I15,BS_RE33!$P$7:$P$874,'30 days CF Table(NZD)'!G15,BS_RE33!$F$7:$F$874,'30 days CF Table(NZD)'!$C$2)</f>
        <v>0</v>
      </c>
      <c r="AH15" s="337">
        <f>SUMIFS(BS_RE33!$H$7:$H$874,BS_RE33!$S$7:$S$874,$AH$2,BS_RE33!$N$7:$N$874,I15,BS_RE33!$P$7:$P$874,'30 days CF Table(NZD)'!G15,BS_RE33!$F$7:$F$874,'30 days CF Table(NZD)'!$C$2)</f>
        <v>0</v>
      </c>
      <c r="AI15" s="337">
        <f>SUMIFS(BS_RE33!$H$7:$H$874,BS_RE33!$S$7:$S$874,$AI$2,BS_RE33!$N$7:$N$874,I15,BS_RE33!$P$7:$P$874,'30 days CF Table(NZD)'!G15,BS_RE33!$F$7:$F$874,'30 days CF Table(NZD)'!$C$2)</f>
        <v>0</v>
      </c>
      <c r="AJ15" s="337">
        <f>SUMIFS(BS_RE33!$H$7:$H$874,BS_RE33!$S$7:$S$874,$AJ$2,BS_RE33!$N$7:$N$874,I15,BS_RE33!$P$7:$P$874,'30 days CF Table(NZD)'!G15,BS_RE33!$F$7:$F$874,'30 days CF Table(NZD)'!$C$2)</f>
        <v>0</v>
      </c>
      <c r="AK15" s="337">
        <f>SUMIFS(BS_RE33!$H$7:$H$874,BS_RE33!$S$7:$S$874,$AK$2,BS_RE33!$N$7:$N$874,I15,BS_RE33!$P$7:$P$874,'30 days CF Table(NZD)'!G15,BS_RE33!$F$7:$F$874,'30 days CF Table(NZD)'!$C$2)</f>
        <v>0</v>
      </c>
      <c r="AL15" s="337">
        <f>SUMIFS(BS_RE33!$H$7:$H$874,BS_RE33!$S$7:$S$874,$AL$2,BS_RE33!$N$7:$N$874,I15,BS_RE33!$P$7:$P$874,'30 days CF Table(NZD)'!G15,BS_RE33!$F$7:$F$874,'30 days CF Table(NZD)'!$C$2)</f>
        <v>0</v>
      </c>
      <c r="AM15" s="337">
        <f>SUMIFS(BS_RE33!$H$7:$H$874,BS_RE33!$S$7:$S$874,$AM$2,BS_RE33!$N$7:$N$874,I15,BS_RE33!$P$7:$P$874,'30 days CF Table(NZD)'!G15,BS_RE33!$F$7:$F$874,'30 days CF Table(NZD)'!$C$2)</f>
        <v>0</v>
      </c>
      <c r="AN15" s="337">
        <f>SUMIFS(BS_RE33!$H$7:$H$874,BS_RE33!$S$7:$S$874,$AN$2,BS_RE33!$N$7:$N$874,I15,BS_RE33!$P$7:$P$874,'30 days CF Table(NZD)'!G15,BS_RE33!$F$7:$F$874,'30 days CF Table(NZD)'!$C$2)</f>
        <v>0</v>
      </c>
      <c r="AO15" s="337">
        <f>SUMIFS(BS_RE33!$H$7:$H$874,BS_RE33!$S$7:$S$874,$AO$2,BS_RE33!$N$7:$N$874,I15,BS_RE33!$P$7:$P$874,'30 days CF Table(NZD)'!G15,BS_RE33!$F$7:$F$874,'30 days CF Table(NZD)'!$C$2)</f>
        <v>0</v>
      </c>
      <c r="AP15" s="338">
        <f>SUMIFS(BS_RE33!$H$7:$H$874,BS_RE33!$S$7:$S$874,$AP$2,BS_RE33!$N$7:$N$874,I15,BS_RE33!$P$7:$P$874,'30 days CF Table(NZD)'!G15,BS_RE33!$F$7:$F$874,'30 days CF Table(NZD)'!$C$2)</f>
        <v>0</v>
      </c>
      <c r="AQ15" s="545"/>
      <c r="AR15" s="379">
        <f>SUMIFS(BS_RE33!$H$7:$H$874,BS_RE33!$S$7:$S$874,$AR$2,BS_RE33!$N$7:$N$874,I15,BS_RE33!$P$7:$P$874,'30 days CF Table(NZD)'!G15,BS_RE33!$F$7:$F$874,'30 days CF Table(NZD)'!$C$2)</f>
        <v>0</v>
      </c>
      <c r="AS15" s="379">
        <f>SUMIFS(BS_RE33!$H$7:$H$874,BS_RE33!$S$7:$S$874,$AS$2,BS_RE33!$N$7:$N$874,I15,BS_RE33!$P$7:$P$874,'30 days CF Table(NZD)'!G15,BS_RE33!$F$7:$F$874,'30 days CF Table(NZD)'!$C$2)</f>
        <v>0</v>
      </c>
      <c r="AT15" s="379">
        <f>SUMIFS(BS_RE33!$H$7:$H$874,BS_RE33!$S$7:$S$874,$AT$2,BS_RE33!$N$7:$N$874,I15,BS_RE33!$P$7:$P$874,'30 days CF Table(NZD)'!G15,BS_RE33!$F$7:$F$874,'30 days CF Table(NZD)'!$C$2)</f>
        <v>0</v>
      </c>
      <c r="AU15" s="379">
        <f>SUMIFS(BS_RE33!$H$7:$H$874,BS_RE33!$S$7:$S$874,$AU$2,BS_RE33!$N$7:$N$874,I15,BS_RE33!$P$7:$P$874,'30 days CF Table(NZD)'!G15,BS_RE33!$F$7:$F$874,'30 days CF Table(NZD)'!$C$2)</f>
        <v>0</v>
      </c>
      <c r="AV15" s="379">
        <f>SUMIFS(BS_RE33!$H$7:$H$874,BS_RE33!$S$7:$S$874,$AV$2,BS_RE33!$N$7:$N$874,I15,BS_RE33!$P$7:$P$874,'30 days CF Table(NZD)'!G15,BS_RE33!$F$7:$F$874,'30 days CF Table(NZD)'!$C$2)</f>
        <v>0</v>
      </c>
      <c r="AW15" s="379">
        <f>SUMIFS(BS_RE33!$H$7:$H$874,BS_RE33!$S$7:$S$874,$AW$2,BS_RE33!$N$7:$N$874,I15,BS_RE33!$P$7:$P$874,'30 days CF Table(NZD)'!G15,BS_RE33!$F$7:$F$874,'30 days CF Table(NZD)'!$C$2)</f>
        <v>0</v>
      </c>
      <c r="AX15" s="379">
        <f>SUMIFS(BS_RE33!$H$7:$H$874,BS_RE33!$S$7:$S$874,$AX$2,BS_RE33!$N$7:$N$874,I15,BS_RE33!$P$7:$P$874,'30 days CF Table(NZD)'!G15,BS_RE33!$F$7:$F$874,'30 days CF Table(NZD)'!$C$2)</f>
        <v>0</v>
      </c>
      <c r="AY15" s="379">
        <f>SUMIFS(BS_RE33!$H$7:$H$874,BS_RE33!$S$7:$S$874,$AY$2,BS_RE33!$N$7:$N$874,I15,BS_RE33!$P$7:$P$874,'30 days CF Table(NZD)'!G15,BS_RE33!$F$7:$F$874,'30 days CF Table(NZD)'!$C$2)</f>
        <v>0</v>
      </c>
      <c r="AZ15" s="379">
        <f>SUMIFS(BS_RE33!$H$7:$H$874,BS_RE33!$S$7:$S$874,$AZ$2,BS_RE33!$N$7:$N$874,I15,BS_RE33!$P$7:$P$874,'30 days CF Table(NZD)'!G15,BS_RE33!$F$7:$F$874,'30 days CF Table(NZD)'!$C$2)</f>
        <v>0</v>
      </c>
      <c r="BA15" s="379">
        <f>SUMIFS(BS_RE33!$H$7:$H$874,BS_RE33!$S$7:$S$874,$BA$2,BS_RE33!$N$7:$N$874,I15,BS_RE33!$P$7:$P$874,'30 days CF Table(NZD)'!G15,BS_RE33!$F$7:$F$874,'30 days CF Table(NZD)'!$C$2)</f>
        <v>0</v>
      </c>
      <c r="BB15" s="379">
        <f>SUMIFS(BS_RE33!$H$7:$H$874,BS_RE33!$S$7:$S$874,$BB$2,BS_RE33!$N$7:$N$874,I15,BS_RE33!$P$7:$P$874,'30 days CF Table(NZD)'!G15,BS_RE33!$F$7:$F$874,'30 days CF Table(NZD)'!$C$2)</f>
        <v>0</v>
      </c>
      <c r="BC15" s="379">
        <f>SUMIFS(BS_RE33!$H$7:$H$874,BS_RE33!$S$7:$S$874,$BC$2,BS_RE33!$N$7:$N$874,I15,BS_RE33!$P$7:$P$874,'30 days CF Table(NZD)'!G15,BS_RE33!$F$7:$F$874,'30 days CF Table(NZD)'!$C$2)</f>
        <v>0</v>
      </c>
      <c r="BD15" s="379">
        <f>SUMIFS(BS_RE33!$H$7:$H$874,BS_RE33!$S$7:$S$874,$BD$2,BS_RE33!$N$7:$N$874,I15,BS_RE33!$P$7:$P$874,'30 days CF Table(NZD)'!G15,BS_RE33!$F$7:$F$874,'30 days CF Table(NZD)'!$C$2)</f>
        <v>0</v>
      </c>
      <c r="BE15" s="379">
        <f>SUMIFS(BS_RE33!$H$7:$H$874,BS_RE33!$S$7:$S$874,$BE$2,BS_RE33!$N$7:$N$874,I15,BS_RE33!$P$7:$P$874,'30 days CF Table(NZD)'!G15,BS_RE33!$F$7:$F$874,'30 days CF Table(NZD)'!$C$2)</f>
        <v>0</v>
      </c>
      <c r="BF15" s="379">
        <f>SUMIFS(BS_RE33!$H$7:$H$874,BS_RE33!$S$7:$S$874,$BF$2,BS_RE33!$N$7:$N$874,I15,BS_RE33!$P$7:$P$874,'30 days CF Table(NZD)'!G15,BS_RE33!$F$7:$F$874,'30 days CF Table(NZD)'!$C$2)</f>
        <v>0</v>
      </c>
      <c r="BG15" s="379">
        <f>SUMIFS(BS_RE33!$H$7:$H$874,BS_RE33!$S$7:$S$874,$BG$2,BS_RE33!$N$7:$N$874,I15,BS_RE33!$P$7:$P$874,'30 days CF Table(NZD)'!G15,BS_RE33!$F$7:$F$874,'30 days CF Table(NZD)'!$C$2)</f>
        <v>0</v>
      </c>
      <c r="BH15" s="379">
        <f>SUMIFS(BS_RE33!$H$7:$H$874,BS_RE33!$S$7:$S$874,$BH$2,BS_RE33!$N$7:$N$874,I15,BS_RE33!$P$7:$P$874,'30 days CF Table(NZD)'!G15,BS_RE33!$F$7:$F$874,'30 days CF Table(NZD)'!$C$2)</f>
        <v>0</v>
      </c>
      <c r="BI15" s="379">
        <f>SUMIFS(BS_RE33!$H$7:$H$874,BS_RE33!$S$7:$S$874,$BI$2,BS_RE33!$N$7:$N$874,I15,BS_RE33!$P$7:$P$874,'30 days CF Table(NZD)'!G15,BS_RE33!$F$7:$F$874,'30 days CF Table(NZD)'!$C$2)</f>
        <v>0</v>
      </c>
      <c r="BJ15" s="379">
        <f>SUMIFS(BS_RE33!$H$7:$H$874,BS_RE33!$S$7:$S$874,$BJ$2,BS_RE33!$N$7:$N$874,I15,BS_RE33!$P$7:$P$874,'30 days CF Table(NZD)'!G15,BS_RE33!$F$7:$F$874,'30 days CF Table(NZD)'!$C$2)</f>
        <v>0</v>
      </c>
      <c r="BK15" s="379">
        <f>SUMIFS(BS_RE33!$H$7:$H$874,BS_RE33!$S$7:$S$874,$BK$2,BS_RE33!$N$7:$N$874,I15,BS_RE33!$P$7:$P$874,'30 days CF Table(NZD)'!G15,BS_RE33!$F$7:$F$874,'30 days CF Table(NZD)'!$C$2)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Table(NZD)'!G16,BS_RE33!$F$7:$F$874,'30 days CF Table(NZD)'!$C$2)</f>
        <v>0</v>
      </c>
      <c r="M16" s="337">
        <f>SUMIFS(BS_RE33!$H$7:$H$874,BS_RE33!$S$7:$S$874,$M$2,BS_RE33!$N$7:$N$874,I16,BS_RE33!$P$7:$P$874,'30 days CF Table(NZD)'!G16,BS_RE33!$F$7:$F$874,'30 days CF Table(NZD)'!$C$2)</f>
        <v>0</v>
      </c>
      <c r="N16" s="337">
        <f>SUMIFS(BS_RE33!$H$7:$H$874,BS_RE33!$S$7:$S$874,$N$2,BS_RE33!$N$7:$N$874,I16,BS_RE33!$P$7:$P$874,'30 days CF Table(NZD)'!G16,BS_RE33!$F$7:$F$874,'30 days CF Table(NZD)'!$C$2)</f>
        <v>0</v>
      </c>
      <c r="O16" s="337">
        <f>SUMIFS(BS_RE33!$H$7:$H$874,BS_RE33!$S$7:$S$874,$O$2,BS_RE33!$N$7:$N$874,I16,BS_RE33!$P$7:$P$874,'30 days CF Table(NZD)'!G16,BS_RE33!$F$7:$F$874,'30 days CF Table(NZD)'!$C$2)</f>
        <v>0</v>
      </c>
      <c r="P16" s="337">
        <f>SUMIFS(BS_RE33!$H$7:$H$874,BS_RE33!$S$7:$S$874,$P$2,BS_RE33!$N$7:$N$874,I16,BS_RE33!$P$7:$P$874,'30 days CF Table(NZD)'!G16,BS_RE33!$F$7:$F$874,'30 days CF Table(NZD)'!$C$2)</f>
        <v>0</v>
      </c>
      <c r="Q16" s="337">
        <f>SUMIFS(BS_RE33!$H$7:$H$874,BS_RE33!$S$7:$S$874,$Q$2,BS_RE33!$N$7:$N$874,I16,BS_RE33!$P$7:$P$874,'30 days CF Table(NZD)'!G16,BS_RE33!$F$7:$F$874,'30 days CF Table(NZD)'!$C$2)</f>
        <v>0</v>
      </c>
      <c r="R16" s="337">
        <f>SUMIFS(BS_RE33!$H$7:$H$874,BS_RE33!$S$7:$S$874,$R$2,BS_RE33!$N$7:$N$874,I16,BS_RE33!$P$7:$P$874,'30 days CF Table(NZD)'!G16,BS_RE33!$F$7:$F$874,'30 days CF Table(NZD)'!$C$2)</f>
        <v>0</v>
      </c>
      <c r="S16" s="337">
        <f>SUMIFS(BS_RE33!$H$7:$H$874,BS_RE33!$S$7:$S$874,$S$2,BS_RE33!$N$7:$N$874,I16,BS_RE33!$P$7:$P$874,'30 days CF Table(NZD)'!G16,BS_RE33!$F$7:$F$874,'30 days CF Table(NZD)'!$C$2)</f>
        <v>0</v>
      </c>
      <c r="T16" s="337">
        <f>SUMIFS(BS_RE33!$H$7:$H$874,BS_RE33!$S$7:$S$874,$T$2,BS_RE33!$N$7:$N$874,I16,BS_RE33!$P$7:$P$874,'30 days CF Table(NZD)'!G16,BS_RE33!$F$7:$F$874,'30 days CF Table(NZD)'!$C$2)</f>
        <v>0</v>
      </c>
      <c r="U16" s="337">
        <f>SUMIFS(BS_RE33!$H$7:$H$874,BS_RE33!$S$7:$S$874,$U$2,BS_RE33!$N$7:$N$874,I16,BS_RE33!$P$7:$P$874,'30 days CF Table(NZD)'!G16,BS_RE33!$F$7:$F$874,'30 days CF Table(NZD)'!$C$2)</f>
        <v>0</v>
      </c>
      <c r="V16" s="337">
        <f>SUMIFS(BS_RE33!$H$7:$H$874,BS_RE33!$S$7:$S$874,$V$2,BS_RE33!$N$7:$N$874,I16,BS_RE33!$P$7:$P$874,'30 days CF Table(NZD)'!G16,BS_RE33!$F$7:$F$874,'30 days CF Table(NZD)'!$C$2)</f>
        <v>0</v>
      </c>
      <c r="W16" s="337">
        <f>SUMIFS(BS_RE33!$H$7:$H$874,BS_RE33!$S$7:$S$874,$W$2,BS_RE33!$N$7:$N$874,I16,BS_RE33!$P$7:$P$874,'30 days CF Table(NZD)'!G16,BS_RE33!$F$7:$F$874,'30 days CF Table(NZD)'!$C$2)</f>
        <v>0</v>
      </c>
      <c r="X16" s="337">
        <f>SUMIFS(BS_RE33!$H$7:$H$874,BS_RE33!$S$7:$S$874,$X$2,BS_RE33!$N$7:$N$874,I16,BS_RE33!$P$7:$P$874,'30 days CF Table(NZD)'!G16,BS_RE33!$F$7:$F$874,'30 days CF Table(NZD)'!$C$2)</f>
        <v>0</v>
      </c>
      <c r="Y16" s="337">
        <f>SUMIFS(BS_RE33!$H$7:$H$874,BS_RE33!$S$7:$S$874,$Y$2,BS_RE33!$N$7:$N$874,I16,BS_RE33!$P$7:$P$874,'30 days CF Table(NZD)'!G16,BS_RE33!$F$7:$F$874,'30 days CF Table(NZD)'!$C$2)</f>
        <v>0</v>
      </c>
      <c r="Z16" s="337">
        <f>SUMIFS(BS_RE33!$H$7:$H$874,BS_RE33!$S$7:$S$874,$Z$2,BS_RE33!$N$7:$N$874,I16,BS_RE33!$P$7:$P$874,'30 days CF Table(NZD)'!G16,BS_RE33!$F$7:$F$874,'30 days CF Table(NZD)'!$C$2)</f>
        <v>0</v>
      </c>
      <c r="AA16" s="337">
        <f>SUMIFS(BS_RE33!$H$7:$H$874,BS_RE33!$S$7:$S$874,$AA$2,BS_RE33!$N$7:$N$874,I16,BS_RE33!$P$7:$P$874,'30 days CF Table(NZD)'!G16,BS_RE33!$F$7:$F$874,'30 days CF Table(NZD)'!$C$2)</f>
        <v>0</v>
      </c>
      <c r="AB16" s="337">
        <f>SUMIFS(BS_RE33!$H$7:$H$874,BS_RE33!$S$7:$S$874,$AB$2,BS_RE33!$N$7:$N$874,I16,BS_RE33!$P$7:$P$874,'30 days CF Table(NZD)'!G16,BS_RE33!$F$7:$F$874,'30 days CF Table(NZD)'!$C$2)</f>
        <v>0</v>
      </c>
      <c r="AC16" s="337">
        <f>SUMIFS(BS_RE33!$H$7:$H$874,BS_RE33!$S$7:$S$874,$AC$2,BS_RE33!$N$7:$N$874,I16,BS_RE33!$P$7:$P$874,'30 days CF Table(NZD)'!G16,BS_RE33!$F$7:$F$874,'30 days CF Table(NZD)'!$C$2)</f>
        <v>0</v>
      </c>
      <c r="AD16" s="337">
        <f>SUMIFS(BS_RE33!$H$7:$H$874,BS_RE33!$S$7:$S$874,$AD$2,BS_RE33!$N$7:$N$874,I16,BS_RE33!$P$7:$P$874,'30 days CF Table(NZD)'!G16,BS_RE33!$F$7:$F$874,'30 days CF Table(NZD)'!$C$2)</f>
        <v>0</v>
      </c>
      <c r="AE16" s="337">
        <f>SUMIFS(BS_RE33!$H$7:$H$874,BS_RE33!$S$7:$S$874,$AE$2,BS_RE33!$N$7:$N$874,I16,BS_RE33!$P$7:$P$874,'30 days CF Table(NZD)'!G16,BS_RE33!$F$7:$F$874,'30 days CF Table(NZD)'!$C$2)</f>
        <v>0</v>
      </c>
      <c r="AF16" s="337">
        <f>SUMIFS(BS_RE33!$H$7:$H$874,BS_RE33!$S$7:$S$874,$AF$2,BS_RE33!$N$7:$N$874,I16,BS_RE33!$P$7:$P$874,'30 days CF Table(NZD)'!G16,BS_RE33!$F$7:$F$874,'30 days CF Table(NZD)'!$C$2)</f>
        <v>0</v>
      </c>
      <c r="AG16" s="337">
        <f>SUMIFS(BS_RE33!$H$7:$H$874,BS_RE33!$S$7:$S$874,$AG$2,BS_RE33!$N$7:$N$874,I16,BS_RE33!$P$7:$P$874,'30 days CF Table(NZD)'!G16,BS_RE33!$F$7:$F$874,'30 days CF Table(NZD)'!$C$2)</f>
        <v>0</v>
      </c>
      <c r="AH16" s="337">
        <f>SUMIFS(BS_RE33!$H$7:$H$874,BS_RE33!$S$7:$S$874,$AH$2,BS_RE33!$N$7:$N$874,I16,BS_RE33!$P$7:$P$874,'30 days CF Table(NZD)'!G16,BS_RE33!$F$7:$F$874,'30 days CF Table(NZD)'!$C$2)</f>
        <v>0</v>
      </c>
      <c r="AI16" s="337">
        <f>SUMIFS(BS_RE33!$H$7:$H$874,BS_RE33!$S$7:$S$874,$AI$2,BS_RE33!$N$7:$N$874,I16,BS_RE33!$P$7:$P$874,'30 days CF Table(NZD)'!G16,BS_RE33!$F$7:$F$874,'30 days CF Table(NZD)'!$C$2)</f>
        <v>0</v>
      </c>
      <c r="AJ16" s="337">
        <f>SUMIFS(BS_RE33!$H$7:$H$874,BS_RE33!$S$7:$S$874,$AJ$2,BS_RE33!$N$7:$N$874,I16,BS_RE33!$P$7:$P$874,'30 days CF Table(NZD)'!G16,BS_RE33!$F$7:$F$874,'30 days CF Table(NZD)'!$C$2)</f>
        <v>0</v>
      </c>
      <c r="AK16" s="337">
        <f>SUMIFS(BS_RE33!$H$7:$H$874,BS_RE33!$S$7:$S$874,$AK$2,BS_RE33!$N$7:$N$874,I16,BS_RE33!$P$7:$P$874,'30 days CF Table(NZD)'!G16,BS_RE33!$F$7:$F$874,'30 days CF Table(NZD)'!$C$2)</f>
        <v>0</v>
      </c>
      <c r="AL16" s="337">
        <f>SUMIFS(BS_RE33!$H$7:$H$874,BS_RE33!$S$7:$S$874,$AL$2,BS_RE33!$N$7:$N$874,I16,BS_RE33!$P$7:$P$874,'30 days CF Table(NZD)'!G16,BS_RE33!$F$7:$F$874,'30 days CF Table(NZD)'!$C$2)</f>
        <v>0</v>
      </c>
      <c r="AM16" s="337">
        <f>SUMIFS(BS_RE33!$H$7:$H$874,BS_RE33!$S$7:$S$874,$AM$2,BS_RE33!$N$7:$N$874,I16,BS_RE33!$P$7:$P$874,'30 days CF Table(NZD)'!G16,BS_RE33!$F$7:$F$874,'30 days CF Table(NZD)'!$C$2)</f>
        <v>0</v>
      </c>
      <c r="AN16" s="337">
        <f>SUMIFS(BS_RE33!$H$7:$H$874,BS_RE33!$S$7:$S$874,$AN$2,BS_RE33!$N$7:$N$874,I16,BS_RE33!$P$7:$P$874,'30 days CF Table(NZD)'!G16,BS_RE33!$F$7:$F$874,'30 days CF Table(NZD)'!$C$2)</f>
        <v>0</v>
      </c>
      <c r="AO16" s="337">
        <f>SUMIFS(BS_RE33!$H$7:$H$874,BS_RE33!$S$7:$S$874,$AO$2,BS_RE33!$N$7:$N$874,I16,BS_RE33!$P$7:$P$874,'30 days CF Table(NZD)'!G16,BS_RE33!$F$7:$F$874,'30 days CF Table(NZD)'!$C$2)</f>
        <v>0</v>
      </c>
      <c r="AP16" s="338">
        <f>SUMIFS(BS_RE33!$H$7:$H$874,BS_RE33!$S$7:$S$874,$AP$2,BS_RE33!$N$7:$N$874,I16,BS_RE33!$P$7:$P$874,'30 days CF Table(NZD)'!G16,BS_RE33!$F$7:$F$874,'30 days CF Table(NZD)'!$C$2)</f>
        <v>0</v>
      </c>
      <c r="AQ16" s="545"/>
      <c r="AR16" s="379">
        <f>SUMIFS(BS_RE33!$H$7:$H$874,BS_RE33!$S$7:$S$874,$AR$2,BS_RE33!$N$7:$N$874,I16,BS_RE33!$P$7:$P$874,'30 days CF Table(NZD)'!G16,BS_RE33!$F$7:$F$874,'30 days CF Table(NZD)'!$C$2)</f>
        <v>0</v>
      </c>
      <c r="AS16" s="379">
        <f>SUMIFS(BS_RE33!$H$7:$H$874,BS_RE33!$S$7:$S$874,$AS$2,BS_RE33!$N$7:$N$874,I16,BS_RE33!$P$7:$P$874,'30 days CF Table(NZD)'!G16,BS_RE33!$F$7:$F$874,'30 days CF Table(NZD)'!$C$2)</f>
        <v>0</v>
      </c>
      <c r="AT16" s="379">
        <f>SUMIFS(BS_RE33!$H$7:$H$874,BS_RE33!$S$7:$S$874,$AT$2,BS_RE33!$N$7:$N$874,I16,BS_RE33!$P$7:$P$874,'30 days CF Table(NZD)'!G16,BS_RE33!$F$7:$F$874,'30 days CF Table(NZD)'!$C$2)</f>
        <v>0</v>
      </c>
      <c r="AU16" s="379">
        <f>SUMIFS(BS_RE33!$H$7:$H$874,BS_RE33!$S$7:$S$874,$AU$2,BS_RE33!$N$7:$N$874,I16,BS_RE33!$P$7:$P$874,'30 days CF Table(NZD)'!G16,BS_RE33!$F$7:$F$874,'30 days CF Table(NZD)'!$C$2)</f>
        <v>0</v>
      </c>
      <c r="AV16" s="379">
        <f>SUMIFS(BS_RE33!$H$7:$H$874,BS_RE33!$S$7:$S$874,$AV$2,BS_RE33!$N$7:$N$874,I16,BS_RE33!$P$7:$P$874,'30 days CF Table(NZD)'!G16,BS_RE33!$F$7:$F$874,'30 days CF Table(NZD)'!$C$2)</f>
        <v>0</v>
      </c>
      <c r="AW16" s="379">
        <f>SUMIFS(BS_RE33!$H$7:$H$874,BS_RE33!$S$7:$S$874,$AW$2,BS_RE33!$N$7:$N$874,I16,BS_RE33!$P$7:$P$874,'30 days CF Table(NZD)'!G16,BS_RE33!$F$7:$F$874,'30 days CF Table(NZD)'!$C$2)</f>
        <v>0</v>
      </c>
      <c r="AX16" s="379">
        <f>SUMIFS(BS_RE33!$H$7:$H$874,BS_RE33!$S$7:$S$874,$AX$2,BS_RE33!$N$7:$N$874,I16,BS_RE33!$P$7:$P$874,'30 days CF Table(NZD)'!G16,BS_RE33!$F$7:$F$874,'30 days CF Table(NZD)'!$C$2)</f>
        <v>0</v>
      </c>
      <c r="AY16" s="379">
        <f>SUMIFS(BS_RE33!$H$7:$H$874,BS_RE33!$S$7:$S$874,$AY$2,BS_RE33!$N$7:$N$874,I16,BS_RE33!$P$7:$P$874,'30 days CF Table(NZD)'!G16,BS_RE33!$F$7:$F$874,'30 days CF Table(NZD)'!$C$2)</f>
        <v>0</v>
      </c>
      <c r="AZ16" s="379">
        <f>SUMIFS(BS_RE33!$H$7:$H$874,BS_RE33!$S$7:$S$874,$AZ$2,BS_RE33!$N$7:$N$874,I16,BS_RE33!$P$7:$P$874,'30 days CF Table(NZD)'!G16,BS_RE33!$F$7:$F$874,'30 days CF Table(NZD)'!$C$2)</f>
        <v>0</v>
      </c>
      <c r="BA16" s="379">
        <f>SUMIFS(BS_RE33!$H$7:$H$874,BS_RE33!$S$7:$S$874,$BA$2,BS_RE33!$N$7:$N$874,I16,BS_RE33!$P$7:$P$874,'30 days CF Table(NZD)'!G16,BS_RE33!$F$7:$F$874,'30 days CF Table(NZD)'!$C$2)</f>
        <v>0</v>
      </c>
      <c r="BB16" s="379">
        <f>SUMIFS(BS_RE33!$H$7:$H$874,BS_RE33!$S$7:$S$874,$BB$2,BS_RE33!$N$7:$N$874,I16,BS_RE33!$P$7:$P$874,'30 days CF Table(NZD)'!G16,BS_RE33!$F$7:$F$874,'30 days CF Table(NZD)'!$C$2)</f>
        <v>0</v>
      </c>
      <c r="BC16" s="379">
        <f>SUMIFS(BS_RE33!$H$7:$H$874,BS_RE33!$S$7:$S$874,$BC$2,BS_RE33!$N$7:$N$874,I16,BS_RE33!$P$7:$P$874,'30 days CF Table(NZD)'!G16,BS_RE33!$F$7:$F$874,'30 days CF Table(NZD)'!$C$2)</f>
        <v>0</v>
      </c>
      <c r="BD16" s="379">
        <f>SUMIFS(BS_RE33!$H$7:$H$874,BS_RE33!$S$7:$S$874,$BD$2,BS_RE33!$N$7:$N$874,I16,BS_RE33!$P$7:$P$874,'30 days CF Table(NZD)'!G16,BS_RE33!$F$7:$F$874,'30 days CF Table(NZD)'!$C$2)</f>
        <v>0</v>
      </c>
      <c r="BE16" s="379">
        <f>SUMIFS(BS_RE33!$H$7:$H$874,BS_RE33!$S$7:$S$874,$BE$2,BS_RE33!$N$7:$N$874,I16,BS_RE33!$P$7:$P$874,'30 days CF Table(NZD)'!G16,BS_RE33!$F$7:$F$874,'30 days CF Table(NZD)'!$C$2)</f>
        <v>0</v>
      </c>
      <c r="BF16" s="379">
        <f>SUMIFS(BS_RE33!$H$7:$H$874,BS_RE33!$S$7:$S$874,$BF$2,BS_RE33!$N$7:$N$874,I16,BS_RE33!$P$7:$P$874,'30 days CF Table(NZD)'!G16,BS_RE33!$F$7:$F$874,'30 days CF Table(NZD)'!$C$2)</f>
        <v>0</v>
      </c>
      <c r="BG16" s="379">
        <f>SUMIFS(BS_RE33!$H$7:$H$874,BS_RE33!$S$7:$S$874,$BG$2,BS_RE33!$N$7:$N$874,I16,BS_RE33!$P$7:$P$874,'30 days CF Table(NZD)'!G16,BS_RE33!$F$7:$F$874,'30 days CF Table(NZD)'!$C$2)</f>
        <v>0</v>
      </c>
      <c r="BH16" s="379">
        <f>SUMIFS(BS_RE33!$H$7:$H$874,BS_RE33!$S$7:$S$874,$BH$2,BS_RE33!$N$7:$N$874,I16,BS_RE33!$P$7:$P$874,'30 days CF Table(NZD)'!G16,BS_RE33!$F$7:$F$874,'30 days CF Table(NZD)'!$C$2)</f>
        <v>0</v>
      </c>
      <c r="BI16" s="379">
        <f>SUMIFS(BS_RE33!$H$7:$H$874,BS_RE33!$S$7:$S$874,$BI$2,BS_RE33!$N$7:$N$874,I16,BS_RE33!$P$7:$P$874,'30 days CF Table(NZD)'!G16,BS_RE33!$F$7:$F$874,'30 days CF Table(NZD)'!$C$2)</f>
        <v>0</v>
      </c>
      <c r="BJ16" s="379">
        <f>SUMIFS(BS_RE33!$H$7:$H$874,BS_RE33!$S$7:$S$874,$BJ$2,BS_RE33!$N$7:$N$874,I16,BS_RE33!$P$7:$P$874,'30 days CF Table(NZD)'!G16,BS_RE33!$F$7:$F$874,'30 days CF Table(NZD)'!$C$2)</f>
        <v>0</v>
      </c>
      <c r="BK16" s="379">
        <f>SUMIFS(BS_RE33!$H$7:$H$874,BS_RE33!$S$7:$S$874,$BK$2,BS_RE33!$N$7:$N$874,I16,BS_RE33!$P$7:$P$874,'30 days CF Table(NZD)'!G16,BS_RE33!$F$7:$F$874,'30 days CF Table(NZD)'!$C$2)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Table(NZD)'!G17,BS_RE33!$F$7:$F$874,'30 days CF Table(NZD)'!$C$2)</f>
        <v>0</v>
      </c>
      <c r="M17" s="337">
        <f>SUMIFS(BS_RE33!$H$7:$H$874,BS_RE33!$S$7:$S$874,$M$2,BS_RE33!$N$7:$N$874,I17,BS_RE33!$P$7:$P$874,'30 days CF Table(NZD)'!G17,BS_RE33!$F$7:$F$874,'30 days CF Table(NZD)'!$C$2)</f>
        <v>0</v>
      </c>
      <c r="N17" s="337">
        <f>SUMIFS(BS_RE33!$H$7:$H$874,BS_RE33!$S$7:$S$874,$N$2,BS_RE33!$N$7:$N$874,I17,BS_RE33!$P$7:$P$874,'30 days CF Table(NZD)'!G17,BS_RE33!$F$7:$F$874,'30 days CF Table(NZD)'!$C$2)</f>
        <v>0</v>
      </c>
      <c r="O17" s="337">
        <f>SUMIFS(BS_RE33!$H$7:$H$874,BS_RE33!$S$7:$S$874,$O$2,BS_RE33!$N$7:$N$874,I17,BS_RE33!$P$7:$P$874,'30 days CF Table(NZD)'!G17,BS_RE33!$F$7:$F$874,'30 days CF Table(NZD)'!$C$2)</f>
        <v>0</v>
      </c>
      <c r="P17" s="337">
        <f>SUMIFS(BS_RE33!$H$7:$H$874,BS_RE33!$S$7:$S$874,$P$2,BS_RE33!$N$7:$N$874,I17,BS_RE33!$P$7:$P$874,'30 days CF Table(NZD)'!G17,BS_RE33!$F$7:$F$874,'30 days CF Table(NZD)'!$C$2)</f>
        <v>0</v>
      </c>
      <c r="Q17" s="337">
        <f>SUMIFS(BS_RE33!$H$7:$H$874,BS_RE33!$S$7:$S$874,$Q$2,BS_RE33!$N$7:$N$874,I17,BS_RE33!$P$7:$P$874,'30 days CF Table(NZD)'!G17,BS_RE33!$F$7:$F$874,'30 days CF Table(NZD)'!$C$2)</f>
        <v>0</v>
      </c>
      <c r="R17" s="337">
        <f>SUMIFS(BS_RE33!$H$7:$H$874,BS_RE33!$S$7:$S$874,$R$2,BS_RE33!$N$7:$N$874,I17,BS_RE33!$P$7:$P$874,'30 days CF Table(NZD)'!G17,BS_RE33!$F$7:$F$874,'30 days CF Table(NZD)'!$C$2)</f>
        <v>0</v>
      </c>
      <c r="S17" s="337">
        <f>SUMIFS(BS_RE33!$H$7:$H$874,BS_RE33!$S$7:$S$874,$S$2,BS_RE33!$N$7:$N$874,I17,BS_RE33!$P$7:$P$874,'30 days CF Table(NZD)'!G17,BS_RE33!$F$7:$F$874,'30 days CF Table(NZD)'!$C$2)</f>
        <v>0</v>
      </c>
      <c r="T17" s="337">
        <f>SUMIFS(BS_RE33!$H$7:$H$874,BS_RE33!$S$7:$S$874,$T$2,BS_RE33!$N$7:$N$874,I17,BS_RE33!$P$7:$P$874,'30 days CF Table(NZD)'!G17,BS_RE33!$F$7:$F$874,'30 days CF Table(NZD)'!$C$2)</f>
        <v>0</v>
      </c>
      <c r="U17" s="337">
        <f>SUMIFS(BS_RE33!$H$7:$H$874,BS_RE33!$S$7:$S$874,$U$2,BS_RE33!$N$7:$N$874,I17,BS_RE33!$P$7:$P$874,'30 days CF Table(NZD)'!G17,BS_RE33!$F$7:$F$874,'30 days CF Table(NZD)'!$C$2)</f>
        <v>0</v>
      </c>
      <c r="V17" s="337">
        <f>SUMIFS(BS_RE33!$H$7:$H$874,BS_RE33!$S$7:$S$874,$V$2,BS_RE33!$N$7:$N$874,I17,BS_RE33!$P$7:$P$874,'30 days CF Table(NZD)'!G17,BS_RE33!$F$7:$F$874,'30 days CF Table(NZD)'!$C$2)</f>
        <v>0</v>
      </c>
      <c r="W17" s="337">
        <f>SUMIFS(BS_RE33!$H$7:$H$874,BS_RE33!$S$7:$S$874,$W$2,BS_RE33!$N$7:$N$874,I17,BS_RE33!$P$7:$P$874,'30 days CF Table(NZD)'!G17,BS_RE33!$F$7:$F$874,'30 days CF Table(NZD)'!$C$2)</f>
        <v>0</v>
      </c>
      <c r="X17" s="337">
        <f>SUMIFS(BS_RE33!$H$7:$H$874,BS_RE33!$S$7:$S$874,$X$2,BS_RE33!$N$7:$N$874,I17,BS_RE33!$P$7:$P$874,'30 days CF Table(NZD)'!G17,BS_RE33!$F$7:$F$874,'30 days CF Table(NZD)'!$C$2)</f>
        <v>0</v>
      </c>
      <c r="Y17" s="337">
        <f>SUMIFS(BS_RE33!$H$7:$H$874,BS_RE33!$S$7:$S$874,$Y$2,BS_RE33!$N$7:$N$874,I17,BS_RE33!$P$7:$P$874,'30 days CF Table(NZD)'!G17,BS_RE33!$F$7:$F$874,'30 days CF Table(NZD)'!$C$2)</f>
        <v>0</v>
      </c>
      <c r="Z17" s="337">
        <f>SUMIFS(BS_RE33!$H$7:$H$874,BS_RE33!$S$7:$S$874,$Z$2,BS_RE33!$N$7:$N$874,I17,BS_RE33!$P$7:$P$874,'30 days CF Table(NZD)'!G17,BS_RE33!$F$7:$F$874,'30 days CF Table(NZD)'!$C$2)</f>
        <v>0</v>
      </c>
      <c r="AA17" s="337">
        <f>SUMIFS(BS_RE33!$H$7:$H$874,BS_RE33!$S$7:$S$874,$AA$2,BS_RE33!$N$7:$N$874,I17,BS_RE33!$P$7:$P$874,'30 days CF Table(NZD)'!G17,BS_RE33!$F$7:$F$874,'30 days CF Table(NZD)'!$C$2)</f>
        <v>0</v>
      </c>
      <c r="AB17" s="337">
        <f>SUMIFS(BS_RE33!$H$7:$H$874,BS_RE33!$S$7:$S$874,$AB$2,BS_RE33!$N$7:$N$874,I17,BS_RE33!$P$7:$P$874,'30 days CF Table(NZD)'!G17,BS_RE33!$F$7:$F$874,'30 days CF Table(NZD)'!$C$2)</f>
        <v>0</v>
      </c>
      <c r="AC17" s="337">
        <f>SUMIFS(BS_RE33!$H$7:$H$874,BS_RE33!$S$7:$S$874,$AC$2,BS_RE33!$N$7:$N$874,I17,BS_RE33!$P$7:$P$874,'30 days CF Table(NZD)'!G17,BS_RE33!$F$7:$F$874,'30 days CF Table(NZD)'!$C$2)</f>
        <v>0</v>
      </c>
      <c r="AD17" s="337">
        <f>SUMIFS(BS_RE33!$H$7:$H$874,BS_RE33!$S$7:$S$874,$AD$2,BS_RE33!$N$7:$N$874,I17,BS_RE33!$P$7:$P$874,'30 days CF Table(NZD)'!G17,BS_RE33!$F$7:$F$874,'30 days CF Table(NZD)'!$C$2)</f>
        <v>0</v>
      </c>
      <c r="AE17" s="337">
        <f>SUMIFS(BS_RE33!$H$7:$H$874,BS_RE33!$S$7:$S$874,$AE$2,BS_RE33!$N$7:$N$874,I17,BS_RE33!$P$7:$P$874,'30 days CF Table(NZD)'!G17,BS_RE33!$F$7:$F$874,'30 days CF Table(NZD)'!$C$2)</f>
        <v>0</v>
      </c>
      <c r="AF17" s="337">
        <f>SUMIFS(BS_RE33!$H$7:$H$874,BS_RE33!$S$7:$S$874,$AF$2,BS_RE33!$N$7:$N$874,I17,BS_RE33!$P$7:$P$874,'30 days CF Table(NZD)'!G17,BS_RE33!$F$7:$F$874,'30 days CF Table(NZD)'!$C$2)</f>
        <v>0</v>
      </c>
      <c r="AG17" s="337">
        <f>SUMIFS(BS_RE33!$H$7:$H$874,BS_RE33!$S$7:$S$874,$AG$2,BS_RE33!$N$7:$N$874,I17,BS_RE33!$P$7:$P$874,'30 days CF Table(NZD)'!G17,BS_RE33!$F$7:$F$874,'30 days CF Table(NZD)'!$C$2)</f>
        <v>0</v>
      </c>
      <c r="AH17" s="337">
        <f>SUMIFS(BS_RE33!$H$7:$H$874,BS_RE33!$S$7:$S$874,$AH$2,BS_RE33!$N$7:$N$874,I17,BS_RE33!$P$7:$P$874,'30 days CF Table(NZD)'!G17,BS_RE33!$F$7:$F$874,'30 days CF Table(NZD)'!$C$2)</f>
        <v>0</v>
      </c>
      <c r="AI17" s="337">
        <f>SUMIFS(BS_RE33!$H$7:$H$874,BS_RE33!$S$7:$S$874,$AI$2,BS_RE33!$N$7:$N$874,I17,BS_RE33!$P$7:$P$874,'30 days CF Table(NZD)'!G17,BS_RE33!$F$7:$F$874,'30 days CF Table(NZD)'!$C$2)</f>
        <v>0</v>
      </c>
      <c r="AJ17" s="337">
        <f>SUMIFS(BS_RE33!$H$7:$H$874,BS_RE33!$S$7:$S$874,$AJ$2,BS_RE33!$N$7:$N$874,I17,BS_RE33!$P$7:$P$874,'30 days CF Table(NZD)'!G17,BS_RE33!$F$7:$F$874,'30 days CF Table(NZD)'!$C$2)</f>
        <v>0</v>
      </c>
      <c r="AK17" s="337">
        <f>SUMIFS(BS_RE33!$H$7:$H$874,BS_RE33!$S$7:$S$874,$AK$2,BS_RE33!$N$7:$N$874,I17,BS_RE33!$P$7:$P$874,'30 days CF Table(NZD)'!G17,BS_RE33!$F$7:$F$874,'30 days CF Table(NZD)'!$C$2)</f>
        <v>0</v>
      </c>
      <c r="AL17" s="337">
        <f>SUMIFS(BS_RE33!$H$7:$H$874,BS_RE33!$S$7:$S$874,$AL$2,BS_RE33!$N$7:$N$874,I17,BS_RE33!$P$7:$P$874,'30 days CF Table(NZD)'!G17,BS_RE33!$F$7:$F$874,'30 days CF Table(NZD)'!$C$2)</f>
        <v>0</v>
      </c>
      <c r="AM17" s="337">
        <f>SUMIFS(BS_RE33!$H$7:$H$874,BS_RE33!$S$7:$S$874,$AM$2,BS_RE33!$N$7:$N$874,I17,BS_RE33!$P$7:$P$874,'30 days CF Table(NZD)'!G17,BS_RE33!$F$7:$F$874,'30 days CF Table(NZD)'!$C$2)</f>
        <v>0</v>
      </c>
      <c r="AN17" s="337">
        <f>SUMIFS(BS_RE33!$H$7:$H$874,BS_RE33!$S$7:$S$874,$AN$2,BS_RE33!$N$7:$N$874,I17,BS_RE33!$P$7:$P$874,'30 days CF Table(NZD)'!G17,BS_RE33!$F$7:$F$874,'30 days CF Table(NZD)'!$C$2)</f>
        <v>0</v>
      </c>
      <c r="AO17" s="337">
        <f>SUMIFS(BS_RE33!$H$7:$H$874,BS_RE33!$S$7:$S$874,$AO$2,BS_RE33!$N$7:$N$874,I17,BS_RE33!$P$7:$P$874,'30 days CF Table(NZD)'!G17,BS_RE33!$F$7:$F$874,'30 days CF Table(NZD)'!$C$2)</f>
        <v>0</v>
      </c>
      <c r="AP17" s="338">
        <f>SUMIFS(BS_RE33!$H$7:$H$874,BS_RE33!$S$7:$S$874,$AP$2,BS_RE33!$N$7:$N$874,I17,BS_RE33!$P$7:$P$874,'30 days CF Table(NZD)'!G17,BS_RE33!$F$7:$F$874,'30 days CF Table(NZD)'!$C$2)</f>
        <v>0</v>
      </c>
      <c r="AQ17" s="545"/>
      <c r="AR17" s="379">
        <f>SUMIFS(BS_RE33!$H$7:$H$874,BS_RE33!$S$7:$S$874,$AR$2,BS_RE33!$N$7:$N$874,I17,BS_RE33!$P$7:$P$874,'30 days CF Table(NZD)'!G17,BS_RE33!$F$7:$F$874,'30 days CF Table(NZD)'!$C$2)</f>
        <v>0</v>
      </c>
      <c r="AS17" s="379">
        <f>SUMIFS(BS_RE33!$H$7:$H$874,BS_RE33!$S$7:$S$874,$AS$2,BS_RE33!$N$7:$N$874,I17,BS_RE33!$P$7:$P$874,'30 days CF Table(NZD)'!G17,BS_RE33!$F$7:$F$874,'30 days CF Table(NZD)'!$C$2)</f>
        <v>0</v>
      </c>
      <c r="AT17" s="379">
        <f>SUMIFS(BS_RE33!$H$7:$H$874,BS_RE33!$S$7:$S$874,$AT$2,BS_RE33!$N$7:$N$874,I17,BS_RE33!$P$7:$P$874,'30 days CF Table(NZD)'!G17,BS_RE33!$F$7:$F$874,'30 days CF Table(NZD)'!$C$2)</f>
        <v>0</v>
      </c>
      <c r="AU17" s="379">
        <f>SUMIFS(BS_RE33!$H$7:$H$874,BS_RE33!$S$7:$S$874,$AU$2,BS_RE33!$N$7:$N$874,I17,BS_RE33!$P$7:$P$874,'30 days CF Table(NZD)'!G17,BS_RE33!$F$7:$F$874,'30 days CF Table(NZD)'!$C$2)</f>
        <v>0</v>
      </c>
      <c r="AV17" s="379">
        <f>SUMIFS(BS_RE33!$H$7:$H$874,BS_RE33!$S$7:$S$874,$AV$2,BS_RE33!$N$7:$N$874,I17,BS_RE33!$P$7:$P$874,'30 days CF Table(NZD)'!G17,BS_RE33!$F$7:$F$874,'30 days CF Table(NZD)'!$C$2)</f>
        <v>0</v>
      </c>
      <c r="AW17" s="379">
        <f>SUMIFS(BS_RE33!$H$7:$H$874,BS_RE33!$S$7:$S$874,$AW$2,BS_RE33!$N$7:$N$874,I17,BS_RE33!$P$7:$P$874,'30 days CF Table(NZD)'!G17,BS_RE33!$F$7:$F$874,'30 days CF Table(NZD)'!$C$2)</f>
        <v>0</v>
      </c>
      <c r="AX17" s="379">
        <f>SUMIFS(BS_RE33!$H$7:$H$874,BS_RE33!$S$7:$S$874,$AX$2,BS_RE33!$N$7:$N$874,I17,BS_RE33!$P$7:$P$874,'30 days CF Table(NZD)'!G17,BS_RE33!$F$7:$F$874,'30 days CF Table(NZD)'!$C$2)</f>
        <v>0</v>
      </c>
      <c r="AY17" s="379">
        <f>SUMIFS(BS_RE33!$H$7:$H$874,BS_RE33!$S$7:$S$874,$AY$2,BS_RE33!$N$7:$N$874,I17,BS_RE33!$P$7:$P$874,'30 days CF Table(NZD)'!G17,BS_RE33!$F$7:$F$874,'30 days CF Table(NZD)'!$C$2)</f>
        <v>0</v>
      </c>
      <c r="AZ17" s="379">
        <f>SUMIFS(BS_RE33!$H$7:$H$874,BS_RE33!$S$7:$S$874,$AZ$2,BS_RE33!$N$7:$N$874,I17,BS_RE33!$P$7:$P$874,'30 days CF Table(NZD)'!G17,BS_RE33!$F$7:$F$874,'30 days CF Table(NZD)'!$C$2)</f>
        <v>0</v>
      </c>
      <c r="BA17" s="379">
        <f>SUMIFS(BS_RE33!$H$7:$H$874,BS_RE33!$S$7:$S$874,$BA$2,BS_RE33!$N$7:$N$874,I17,BS_RE33!$P$7:$P$874,'30 days CF Table(NZD)'!G17,BS_RE33!$F$7:$F$874,'30 days CF Table(NZD)'!$C$2)</f>
        <v>0</v>
      </c>
      <c r="BB17" s="379">
        <f>SUMIFS(BS_RE33!$H$7:$H$874,BS_RE33!$S$7:$S$874,$BB$2,BS_RE33!$N$7:$N$874,I17,BS_RE33!$P$7:$P$874,'30 days CF Table(NZD)'!G17,BS_RE33!$F$7:$F$874,'30 days CF Table(NZD)'!$C$2)</f>
        <v>0</v>
      </c>
      <c r="BC17" s="379">
        <f>SUMIFS(BS_RE33!$H$7:$H$874,BS_RE33!$S$7:$S$874,$BC$2,BS_RE33!$N$7:$N$874,I17,BS_RE33!$P$7:$P$874,'30 days CF Table(NZD)'!G17,BS_RE33!$F$7:$F$874,'30 days CF Table(NZD)'!$C$2)</f>
        <v>0</v>
      </c>
      <c r="BD17" s="379">
        <f>SUMIFS(BS_RE33!$H$7:$H$874,BS_RE33!$S$7:$S$874,$BD$2,BS_RE33!$N$7:$N$874,I17,BS_RE33!$P$7:$P$874,'30 days CF Table(NZD)'!G17,BS_RE33!$F$7:$F$874,'30 days CF Table(NZD)'!$C$2)</f>
        <v>0</v>
      </c>
      <c r="BE17" s="379">
        <f>SUMIFS(BS_RE33!$H$7:$H$874,BS_RE33!$S$7:$S$874,$BE$2,BS_RE33!$N$7:$N$874,I17,BS_RE33!$P$7:$P$874,'30 days CF Table(NZD)'!G17,BS_RE33!$F$7:$F$874,'30 days CF Table(NZD)'!$C$2)</f>
        <v>0</v>
      </c>
      <c r="BF17" s="379">
        <f>SUMIFS(BS_RE33!$H$7:$H$874,BS_RE33!$S$7:$S$874,$BF$2,BS_RE33!$N$7:$N$874,I17,BS_RE33!$P$7:$P$874,'30 days CF Table(NZD)'!G17,BS_RE33!$F$7:$F$874,'30 days CF Table(NZD)'!$C$2)</f>
        <v>0</v>
      </c>
      <c r="BG17" s="379">
        <f>SUMIFS(BS_RE33!$H$7:$H$874,BS_RE33!$S$7:$S$874,$BG$2,BS_RE33!$N$7:$N$874,I17,BS_RE33!$P$7:$P$874,'30 days CF Table(NZD)'!G17,BS_RE33!$F$7:$F$874,'30 days CF Table(NZD)'!$C$2)</f>
        <v>0</v>
      </c>
      <c r="BH17" s="379">
        <f>SUMIFS(BS_RE33!$H$7:$H$874,BS_RE33!$S$7:$S$874,$BH$2,BS_RE33!$N$7:$N$874,I17,BS_RE33!$P$7:$P$874,'30 days CF Table(NZD)'!G17,BS_RE33!$F$7:$F$874,'30 days CF Table(NZD)'!$C$2)</f>
        <v>0</v>
      </c>
      <c r="BI17" s="379">
        <f>SUMIFS(BS_RE33!$H$7:$H$874,BS_RE33!$S$7:$S$874,$BI$2,BS_RE33!$N$7:$N$874,I17,BS_RE33!$P$7:$P$874,'30 days CF Table(NZD)'!G17,BS_RE33!$F$7:$F$874,'30 days CF Table(NZD)'!$C$2)</f>
        <v>0</v>
      </c>
      <c r="BJ17" s="379">
        <f>SUMIFS(BS_RE33!$H$7:$H$874,BS_RE33!$S$7:$S$874,$BJ$2,BS_RE33!$N$7:$N$874,I17,BS_RE33!$P$7:$P$874,'30 days CF Table(NZD)'!G17,BS_RE33!$F$7:$F$874,'30 days CF Table(NZD)'!$C$2)</f>
        <v>0</v>
      </c>
      <c r="BK17" s="379">
        <f>SUMIFS(BS_RE33!$H$7:$H$874,BS_RE33!$S$7:$S$874,$BK$2,BS_RE33!$N$7:$N$874,I17,BS_RE33!$P$7:$P$874,'30 days CF Table(NZD)'!G17,BS_RE33!$F$7:$F$874,'30 days CF Table(NZD)'!$C$2)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Table(NZD)'!G18,BS_RE33!$F$7:$F$874,'30 days CF Table(NZD)'!$C$2)</f>
        <v>0</v>
      </c>
      <c r="M18" s="337">
        <f>SUMIFS(BS_RE33!$H$7:$H$874,BS_RE33!$S$7:$S$874,$M$2,BS_RE33!$N$7:$N$874,I18,BS_RE33!$P$7:$P$874,'30 days CF Table(NZD)'!G18,BS_RE33!$F$7:$F$874,'30 days CF Table(NZD)'!$C$2)</f>
        <v>0</v>
      </c>
      <c r="N18" s="337">
        <f>SUMIFS(BS_RE33!$H$7:$H$874,BS_RE33!$S$7:$S$874,$N$2,BS_RE33!$N$7:$N$874,I18,BS_RE33!$P$7:$P$874,'30 days CF Table(NZD)'!G18,BS_RE33!$F$7:$F$874,'30 days CF Table(NZD)'!$C$2)</f>
        <v>0</v>
      </c>
      <c r="O18" s="337">
        <f>SUMIFS(BS_RE33!$H$7:$H$874,BS_RE33!$S$7:$S$874,$O$2,BS_RE33!$N$7:$N$874,I18,BS_RE33!$P$7:$P$874,'30 days CF Table(NZD)'!G18,BS_RE33!$F$7:$F$874,'30 days CF Table(NZD)'!$C$2)</f>
        <v>0</v>
      </c>
      <c r="P18" s="337">
        <f>SUMIFS(BS_RE33!$H$7:$H$874,BS_RE33!$S$7:$S$874,$P$2,BS_RE33!$N$7:$N$874,I18,BS_RE33!$P$7:$P$874,'30 days CF Table(NZD)'!G18,BS_RE33!$F$7:$F$874,'30 days CF Table(NZD)'!$C$2)</f>
        <v>0</v>
      </c>
      <c r="Q18" s="337">
        <f>SUMIFS(BS_RE33!$H$7:$H$874,BS_RE33!$S$7:$S$874,$Q$2,BS_RE33!$N$7:$N$874,I18,BS_RE33!$P$7:$P$874,'30 days CF Table(NZD)'!G18,BS_RE33!$F$7:$F$874,'30 days CF Table(NZD)'!$C$2)</f>
        <v>0</v>
      </c>
      <c r="R18" s="337">
        <f>SUMIFS(BS_RE33!$H$7:$H$874,BS_RE33!$S$7:$S$874,$R$2,BS_RE33!$N$7:$N$874,I18,BS_RE33!$P$7:$P$874,'30 days CF Table(NZD)'!G18,BS_RE33!$F$7:$F$874,'30 days CF Table(NZD)'!$C$2)</f>
        <v>0</v>
      </c>
      <c r="S18" s="337">
        <f>SUMIFS(BS_RE33!$H$7:$H$874,BS_RE33!$S$7:$S$874,$S$2,BS_RE33!$N$7:$N$874,I18,BS_RE33!$P$7:$P$874,'30 days CF Table(NZD)'!G18,BS_RE33!$F$7:$F$874,'30 days CF Table(NZD)'!$C$2)</f>
        <v>0</v>
      </c>
      <c r="T18" s="337">
        <f>SUMIFS(BS_RE33!$H$7:$H$874,BS_RE33!$S$7:$S$874,$T$2,BS_RE33!$N$7:$N$874,I18,BS_RE33!$P$7:$P$874,'30 days CF Table(NZD)'!G18,BS_RE33!$F$7:$F$874,'30 days CF Table(NZD)'!$C$2)</f>
        <v>0</v>
      </c>
      <c r="U18" s="337">
        <f>SUMIFS(BS_RE33!$H$7:$H$874,BS_RE33!$S$7:$S$874,$U$2,BS_RE33!$N$7:$N$874,I18,BS_RE33!$P$7:$P$874,'30 days CF Table(NZD)'!G18,BS_RE33!$F$7:$F$874,'30 days CF Table(NZD)'!$C$2)</f>
        <v>0</v>
      </c>
      <c r="V18" s="337">
        <f>SUMIFS(BS_RE33!$H$7:$H$874,BS_RE33!$S$7:$S$874,$V$2,BS_RE33!$N$7:$N$874,I18,BS_RE33!$P$7:$P$874,'30 days CF Table(NZD)'!G18,BS_RE33!$F$7:$F$874,'30 days CF Table(NZD)'!$C$2)</f>
        <v>0</v>
      </c>
      <c r="W18" s="337">
        <f>SUMIFS(BS_RE33!$H$7:$H$874,BS_RE33!$S$7:$S$874,$W$2,BS_RE33!$N$7:$N$874,I18,BS_RE33!$P$7:$P$874,'30 days CF Table(NZD)'!G18,BS_RE33!$F$7:$F$874,'30 days CF Table(NZD)'!$C$2)</f>
        <v>0</v>
      </c>
      <c r="X18" s="337">
        <f>SUMIFS(BS_RE33!$H$7:$H$874,BS_RE33!$S$7:$S$874,$X$2,BS_RE33!$N$7:$N$874,I18,BS_RE33!$P$7:$P$874,'30 days CF Table(NZD)'!G18,BS_RE33!$F$7:$F$874,'30 days CF Table(NZD)'!$C$2)</f>
        <v>0</v>
      </c>
      <c r="Y18" s="337">
        <f>SUMIFS(BS_RE33!$H$7:$H$874,BS_RE33!$S$7:$S$874,$Y$2,BS_RE33!$N$7:$N$874,I18,BS_RE33!$P$7:$P$874,'30 days CF Table(NZD)'!G18,BS_RE33!$F$7:$F$874,'30 days CF Table(NZD)'!$C$2)</f>
        <v>0</v>
      </c>
      <c r="Z18" s="337">
        <f>SUMIFS(BS_RE33!$H$7:$H$874,BS_RE33!$S$7:$S$874,$Z$2,BS_RE33!$N$7:$N$874,I18,BS_RE33!$P$7:$P$874,'30 days CF Table(NZD)'!G18,BS_RE33!$F$7:$F$874,'30 days CF Table(NZD)'!$C$2)</f>
        <v>0</v>
      </c>
      <c r="AA18" s="337">
        <f>SUMIFS(BS_RE33!$H$7:$H$874,BS_RE33!$S$7:$S$874,$AA$2,BS_RE33!$N$7:$N$874,I18,BS_RE33!$P$7:$P$874,'30 days CF Table(NZD)'!G18,BS_RE33!$F$7:$F$874,'30 days CF Table(NZD)'!$C$2)</f>
        <v>0</v>
      </c>
      <c r="AB18" s="337">
        <f>SUMIFS(BS_RE33!$H$7:$H$874,BS_RE33!$S$7:$S$874,$AB$2,BS_RE33!$N$7:$N$874,I18,BS_RE33!$P$7:$P$874,'30 days CF Table(NZD)'!G18,BS_RE33!$F$7:$F$874,'30 days CF Table(NZD)'!$C$2)</f>
        <v>0</v>
      </c>
      <c r="AC18" s="337">
        <f>SUMIFS(BS_RE33!$H$7:$H$874,BS_RE33!$S$7:$S$874,$AC$2,BS_RE33!$N$7:$N$874,I18,BS_RE33!$P$7:$P$874,'30 days CF Table(NZD)'!G18,BS_RE33!$F$7:$F$874,'30 days CF Table(NZD)'!$C$2)</f>
        <v>0</v>
      </c>
      <c r="AD18" s="337">
        <f>SUMIFS(BS_RE33!$H$7:$H$874,BS_RE33!$S$7:$S$874,$AD$2,BS_RE33!$N$7:$N$874,I18,BS_RE33!$P$7:$P$874,'30 days CF Table(NZD)'!G18,BS_RE33!$F$7:$F$874,'30 days CF Table(NZD)'!$C$2)</f>
        <v>0</v>
      </c>
      <c r="AE18" s="337">
        <f>SUMIFS(BS_RE33!$H$7:$H$874,BS_RE33!$S$7:$S$874,$AE$2,BS_RE33!$N$7:$N$874,I18,BS_RE33!$P$7:$P$874,'30 days CF Table(NZD)'!G18,BS_RE33!$F$7:$F$874,'30 days CF Table(NZD)'!$C$2)</f>
        <v>0</v>
      </c>
      <c r="AF18" s="337">
        <f>SUMIFS(BS_RE33!$H$7:$H$874,BS_RE33!$S$7:$S$874,$AF$2,BS_RE33!$N$7:$N$874,I18,BS_RE33!$P$7:$P$874,'30 days CF Table(NZD)'!G18,BS_RE33!$F$7:$F$874,'30 days CF Table(NZD)'!$C$2)</f>
        <v>0</v>
      </c>
      <c r="AG18" s="337">
        <f>SUMIFS(BS_RE33!$H$7:$H$874,BS_RE33!$S$7:$S$874,$AG$2,BS_RE33!$N$7:$N$874,I18,BS_RE33!$P$7:$P$874,'30 days CF Table(NZD)'!G18,BS_RE33!$F$7:$F$874,'30 days CF Table(NZD)'!$C$2)</f>
        <v>0</v>
      </c>
      <c r="AH18" s="337">
        <f>SUMIFS(BS_RE33!$H$7:$H$874,BS_RE33!$S$7:$S$874,$AH$2,BS_RE33!$N$7:$N$874,I18,BS_RE33!$P$7:$P$874,'30 days CF Table(NZD)'!G18,BS_RE33!$F$7:$F$874,'30 days CF Table(NZD)'!$C$2)</f>
        <v>0</v>
      </c>
      <c r="AI18" s="337">
        <f>SUMIFS(BS_RE33!$H$7:$H$874,BS_RE33!$S$7:$S$874,$AI$2,BS_RE33!$N$7:$N$874,I18,BS_RE33!$P$7:$P$874,'30 days CF Table(NZD)'!G18,BS_RE33!$F$7:$F$874,'30 days CF Table(NZD)'!$C$2)</f>
        <v>0</v>
      </c>
      <c r="AJ18" s="337">
        <f>SUMIFS(BS_RE33!$H$7:$H$874,BS_RE33!$S$7:$S$874,$AJ$2,BS_RE33!$N$7:$N$874,I18,BS_RE33!$P$7:$P$874,'30 days CF Table(NZD)'!G18,BS_RE33!$F$7:$F$874,'30 days CF Table(NZD)'!$C$2)</f>
        <v>0</v>
      </c>
      <c r="AK18" s="337">
        <f>SUMIFS(BS_RE33!$H$7:$H$874,BS_RE33!$S$7:$S$874,$AK$2,BS_RE33!$N$7:$N$874,I18,BS_RE33!$P$7:$P$874,'30 days CF Table(NZD)'!G18,BS_RE33!$F$7:$F$874,'30 days CF Table(NZD)'!$C$2)</f>
        <v>0</v>
      </c>
      <c r="AL18" s="337">
        <f>SUMIFS(BS_RE33!$H$7:$H$874,BS_RE33!$S$7:$S$874,$AL$2,BS_RE33!$N$7:$N$874,I18,BS_RE33!$P$7:$P$874,'30 days CF Table(NZD)'!G18,BS_RE33!$F$7:$F$874,'30 days CF Table(NZD)'!$C$2)</f>
        <v>0</v>
      </c>
      <c r="AM18" s="337">
        <f>SUMIFS(BS_RE33!$H$7:$H$874,BS_RE33!$S$7:$S$874,$AM$2,BS_RE33!$N$7:$N$874,I18,BS_RE33!$P$7:$P$874,'30 days CF Table(NZD)'!G18,BS_RE33!$F$7:$F$874,'30 days CF Table(NZD)'!$C$2)</f>
        <v>0</v>
      </c>
      <c r="AN18" s="337">
        <f>SUMIFS(BS_RE33!$H$7:$H$874,BS_RE33!$S$7:$S$874,$AN$2,BS_RE33!$N$7:$N$874,I18,BS_RE33!$P$7:$P$874,'30 days CF Table(NZD)'!G18,BS_RE33!$F$7:$F$874,'30 days CF Table(NZD)'!$C$2)</f>
        <v>0</v>
      </c>
      <c r="AO18" s="337">
        <f>SUMIFS(BS_RE33!$H$7:$H$874,BS_RE33!$S$7:$S$874,$AO$2,BS_RE33!$N$7:$N$874,I18,BS_RE33!$P$7:$P$874,'30 days CF Table(NZD)'!G18,BS_RE33!$F$7:$F$874,'30 days CF Table(NZD)'!$C$2)</f>
        <v>0</v>
      </c>
      <c r="AP18" s="338">
        <f>SUMIFS(BS_RE33!$H$7:$H$874,BS_RE33!$S$7:$S$874,$AP$2,BS_RE33!$N$7:$N$874,I18,BS_RE33!$P$7:$P$874,'30 days CF Table(NZD)'!G18,BS_RE33!$F$7:$F$874,'30 days CF Table(NZD)'!$C$2)</f>
        <v>0</v>
      </c>
      <c r="AQ18" s="545"/>
      <c r="AR18" s="379">
        <f>SUMIFS(BS_RE33!$H$7:$H$874,BS_RE33!$S$7:$S$874,$AR$2,BS_RE33!$N$7:$N$874,I18,BS_RE33!$P$7:$P$874,'30 days CF Table(NZD)'!G18,BS_RE33!$F$7:$F$874,'30 days CF Table(NZD)'!$C$2)</f>
        <v>0</v>
      </c>
      <c r="AS18" s="379">
        <f>SUMIFS(BS_RE33!$H$7:$H$874,BS_RE33!$S$7:$S$874,$AS$2,BS_RE33!$N$7:$N$874,I18,BS_RE33!$P$7:$P$874,'30 days CF Table(NZD)'!G18,BS_RE33!$F$7:$F$874,'30 days CF Table(NZD)'!$C$2)</f>
        <v>0</v>
      </c>
      <c r="AT18" s="379">
        <f>SUMIFS(BS_RE33!$H$7:$H$874,BS_RE33!$S$7:$S$874,$AT$2,BS_RE33!$N$7:$N$874,I18,BS_RE33!$P$7:$P$874,'30 days CF Table(NZD)'!G18,BS_RE33!$F$7:$F$874,'30 days CF Table(NZD)'!$C$2)</f>
        <v>0</v>
      </c>
      <c r="AU18" s="379">
        <f>SUMIFS(BS_RE33!$H$7:$H$874,BS_RE33!$S$7:$S$874,$AU$2,BS_RE33!$N$7:$N$874,I18,BS_RE33!$P$7:$P$874,'30 days CF Table(NZD)'!G18,BS_RE33!$F$7:$F$874,'30 days CF Table(NZD)'!$C$2)</f>
        <v>0</v>
      </c>
      <c r="AV18" s="379">
        <f>SUMIFS(BS_RE33!$H$7:$H$874,BS_RE33!$S$7:$S$874,$AV$2,BS_RE33!$N$7:$N$874,I18,BS_RE33!$P$7:$P$874,'30 days CF Table(NZD)'!G18,BS_RE33!$F$7:$F$874,'30 days CF Table(NZD)'!$C$2)</f>
        <v>0</v>
      </c>
      <c r="AW18" s="379">
        <f>SUMIFS(BS_RE33!$H$7:$H$874,BS_RE33!$S$7:$S$874,$AW$2,BS_RE33!$N$7:$N$874,I18,BS_RE33!$P$7:$P$874,'30 days CF Table(NZD)'!G18,BS_RE33!$F$7:$F$874,'30 days CF Table(NZD)'!$C$2)</f>
        <v>0</v>
      </c>
      <c r="AX18" s="379">
        <f>SUMIFS(BS_RE33!$H$7:$H$874,BS_RE33!$S$7:$S$874,$AX$2,BS_RE33!$N$7:$N$874,I18,BS_RE33!$P$7:$P$874,'30 days CF Table(NZD)'!G18,BS_RE33!$F$7:$F$874,'30 days CF Table(NZD)'!$C$2)</f>
        <v>0</v>
      </c>
      <c r="AY18" s="379">
        <f>SUMIFS(BS_RE33!$H$7:$H$874,BS_RE33!$S$7:$S$874,$AY$2,BS_RE33!$N$7:$N$874,I18,BS_RE33!$P$7:$P$874,'30 days CF Table(NZD)'!G18,BS_RE33!$F$7:$F$874,'30 days CF Table(NZD)'!$C$2)</f>
        <v>0</v>
      </c>
      <c r="AZ18" s="379">
        <f>SUMIFS(BS_RE33!$H$7:$H$874,BS_RE33!$S$7:$S$874,$AZ$2,BS_RE33!$N$7:$N$874,I18,BS_RE33!$P$7:$P$874,'30 days CF Table(NZD)'!G18,BS_RE33!$F$7:$F$874,'30 days CF Table(NZD)'!$C$2)</f>
        <v>0</v>
      </c>
      <c r="BA18" s="379">
        <f>SUMIFS(BS_RE33!$H$7:$H$874,BS_RE33!$S$7:$S$874,$BA$2,BS_RE33!$N$7:$N$874,I18,BS_RE33!$P$7:$P$874,'30 days CF Table(NZD)'!G18,BS_RE33!$F$7:$F$874,'30 days CF Table(NZD)'!$C$2)</f>
        <v>0</v>
      </c>
      <c r="BB18" s="379">
        <f>SUMIFS(BS_RE33!$H$7:$H$874,BS_RE33!$S$7:$S$874,$BB$2,BS_RE33!$N$7:$N$874,I18,BS_RE33!$P$7:$P$874,'30 days CF Table(NZD)'!G18,BS_RE33!$F$7:$F$874,'30 days CF Table(NZD)'!$C$2)</f>
        <v>0</v>
      </c>
      <c r="BC18" s="379">
        <f>SUMIFS(BS_RE33!$H$7:$H$874,BS_RE33!$S$7:$S$874,$BC$2,BS_RE33!$N$7:$N$874,I18,BS_RE33!$P$7:$P$874,'30 days CF Table(NZD)'!G18,BS_RE33!$F$7:$F$874,'30 days CF Table(NZD)'!$C$2)</f>
        <v>0</v>
      </c>
      <c r="BD18" s="379">
        <f>SUMIFS(BS_RE33!$H$7:$H$874,BS_RE33!$S$7:$S$874,$BD$2,BS_RE33!$N$7:$N$874,I18,BS_RE33!$P$7:$P$874,'30 days CF Table(NZD)'!G18,BS_RE33!$F$7:$F$874,'30 days CF Table(NZD)'!$C$2)</f>
        <v>0</v>
      </c>
      <c r="BE18" s="379">
        <f>SUMIFS(BS_RE33!$H$7:$H$874,BS_RE33!$S$7:$S$874,$BE$2,BS_RE33!$N$7:$N$874,I18,BS_RE33!$P$7:$P$874,'30 days CF Table(NZD)'!G18,BS_RE33!$F$7:$F$874,'30 days CF Table(NZD)'!$C$2)</f>
        <v>0</v>
      </c>
      <c r="BF18" s="379">
        <f>SUMIFS(BS_RE33!$H$7:$H$874,BS_RE33!$S$7:$S$874,$BF$2,BS_RE33!$N$7:$N$874,I18,BS_RE33!$P$7:$P$874,'30 days CF Table(NZD)'!G18,BS_RE33!$F$7:$F$874,'30 days CF Table(NZD)'!$C$2)</f>
        <v>0</v>
      </c>
      <c r="BG18" s="379">
        <f>SUMIFS(BS_RE33!$H$7:$H$874,BS_RE33!$S$7:$S$874,$BG$2,BS_RE33!$N$7:$N$874,I18,BS_RE33!$P$7:$P$874,'30 days CF Table(NZD)'!G18,BS_RE33!$F$7:$F$874,'30 days CF Table(NZD)'!$C$2)</f>
        <v>0</v>
      </c>
      <c r="BH18" s="379">
        <f>SUMIFS(BS_RE33!$H$7:$H$874,BS_RE33!$S$7:$S$874,$BH$2,BS_RE33!$N$7:$N$874,I18,BS_RE33!$P$7:$P$874,'30 days CF Table(NZD)'!G18,BS_RE33!$F$7:$F$874,'30 days CF Table(NZD)'!$C$2)</f>
        <v>0</v>
      </c>
      <c r="BI18" s="379">
        <f>SUMIFS(BS_RE33!$H$7:$H$874,BS_RE33!$S$7:$S$874,$BI$2,BS_RE33!$N$7:$N$874,I18,BS_RE33!$P$7:$P$874,'30 days CF Table(NZD)'!G18,BS_RE33!$F$7:$F$874,'30 days CF Table(NZD)'!$C$2)</f>
        <v>0</v>
      </c>
      <c r="BJ18" s="379">
        <f>SUMIFS(BS_RE33!$H$7:$H$874,BS_RE33!$S$7:$S$874,$BJ$2,BS_RE33!$N$7:$N$874,I18,BS_RE33!$P$7:$P$874,'30 days CF Table(NZD)'!G18,BS_RE33!$F$7:$F$874,'30 days CF Table(NZD)'!$C$2)</f>
        <v>0</v>
      </c>
      <c r="BK18" s="379">
        <f>SUMIFS(BS_RE33!$H$7:$H$874,BS_RE33!$S$7:$S$874,$BK$2,BS_RE33!$N$7:$N$874,I18,BS_RE33!$P$7:$P$874,'30 days CF Table(NZD)'!G18,BS_RE33!$F$7:$F$874,'30 days CF Table(NZD)'!$C$2)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Table(NZD)'!G19,BS_RE33!$F$7:$F$874,'30 days CF Table(NZD)'!$C$2)</f>
        <v>0</v>
      </c>
      <c r="M19" s="548">
        <f>SUMIFS(BS_RE33!$H$7:$H$874,BS_RE33!$S$7:$S$874,$M$2,BS_RE33!$N$7:$N$874,I19,BS_RE33!$P$7:$P$874,'30 days CF Table(NZD)'!G19,BS_RE33!$F$7:$F$874,'30 days CF Table(NZD)'!$C$2)</f>
        <v>0</v>
      </c>
      <c r="N19" s="548">
        <f>SUMIFS(BS_RE33!$H$7:$H$874,BS_RE33!$S$7:$S$874,$N$2,BS_RE33!$N$7:$N$874,I19,BS_RE33!$P$7:$P$874,'30 days CF Table(NZD)'!G19,BS_RE33!$F$7:$F$874,'30 days CF Table(NZD)'!$C$2)</f>
        <v>0</v>
      </c>
      <c r="O19" s="548">
        <f>SUMIFS(BS_RE33!$H$7:$H$874,BS_RE33!$S$7:$S$874,$O$2,BS_RE33!$N$7:$N$874,I19,BS_RE33!$P$7:$P$874,'30 days CF Table(NZD)'!G19,BS_RE33!$F$7:$F$874,'30 days CF Table(NZD)'!$C$2)</f>
        <v>0</v>
      </c>
      <c r="P19" s="548">
        <f>SUMIFS(BS_RE33!$H$7:$H$874,BS_RE33!$S$7:$S$874,$P$2,BS_RE33!$N$7:$N$874,I19,BS_RE33!$P$7:$P$874,'30 days CF Table(NZD)'!G19,BS_RE33!$F$7:$F$874,'30 days CF Table(NZD)'!$C$2)</f>
        <v>0</v>
      </c>
      <c r="Q19" s="548">
        <f>SUMIFS(BS_RE33!$H$7:$H$874,BS_RE33!$S$7:$S$874,$Q$2,BS_RE33!$N$7:$N$874,I19,BS_RE33!$P$7:$P$874,'30 days CF Table(NZD)'!G19,BS_RE33!$F$7:$F$874,'30 days CF Table(NZD)'!$C$2)</f>
        <v>0</v>
      </c>
      <c r="R19" s="548">
        <f>SUMIFS(BS_RE33!$H$7:$H$874,BS_RE33!$S$7:$S$874,$R$2,BS_RE33!$N$7:$N$874,I19,BS_RE33!$P$7:$P$874,'30 days CF Table(NZD)'!G19,BS_RE33!$F$7:$F$874,'30 days CF Table(NZD)'!$C$2)</f>
        <v>0</v>
      </c>
      <c r="S19" s="548">
        <f>SUMIFS(BS_RE33!$H$7:$H$874,BS_RE33!$S$7:$S$874,$S$2,BS_RE33!$N$7:$N$874,I19,BS_RE33!$P$7:$P$874,'30 days CF Table(NZD)'!G19,BS_RE33!$F$7:$F$874,'30 days CF Table(NZD)'!$C$2)</f>
        <v>0</v>
      </c>
      <c r="T19" s="548">
        <f>SUMIFS(BS_RE33!$H$7:$H$874,BS_RE33!$S$7:$S$874,$T$2,BS_RE33!$N$7:$N$874,I19,BS_RE33!$P$7:$P$874,'30 days CF Table(NZD)'!G19,BS_RE33!$F$7:$F$874,'30 days CF Table(NZD)'!$C$2)</f>
        <v>0</v>
      </c>
      <c r="U19" s="548">
        <f>SUMIFS(BS_RE33!$H$7:$H$874,BS_RE33!$S$7:$S$874,$U$2,BS_RE33!$N$7:$N$874,I19,BS_RE33!$P$7:$P$874,'30 days CF Table(NZD)'!G19,BS_RE33!$F$7:$F$874,'30 days CF Table(NZD)'!$C$2)</f>
        <v>0</v>
      </c>
      <c r="V19" s="548">
        <f>SUMIFS(BS_RE33!$H$7:$H$874,BS_RE33!$S$7:$S$874,$V$2,BS_RE33!$N$7:$N$874,I19,BS_RE33!$P$7:$P$874,'30 days CF Table(NZD)'!G19,BS_RE33!$F$7:$F$874,'30 days CF Table(NZD)'!$C$2)</f>
        <v>0</v>
      </c>
      <c r="W19" s="548">
        <f>SUMIFS(BS_RE33!$H$7:$H$874,BS_RE33!$S$7:$S$874,$W$2,BS_RE33!$N$7:$N$874,I19,BS_RE33!$P$7:$P$874,'30 days CF Table(NZD)'!G19,BS_RE33!$F$7:$F$874,'30 days CF Table(NZD)'!$C$2)</f>
        <v>0</v>
      </c>
      <c r="X19" s="548">
        <f>SUMIFS(BS_RE33!$H$7:$H$874,BS_RE33!$S$7:$S$874,$X$2,BS_RE33!$N$7:$N$874,I19,BS_RE33!$P$7:$P$874,'30 days CF Table(NZD)'!G19,BS_RE33!$F$7:$F$874,'30 days CF Table(NZD)'!$C$2)</f>
        <v>0</v>
      </c>
      <c r="Y19" s="548">
        <f>SUMIFS(BS_RE33!$H$7:$H$874,BS_RE33!$S$7:$S$874,$Y$2,BS_RE33!$N$7:$N$874,I19,BS_RE33!$P$7:$P$874,'30 days CF Table(NZD)'!G19,BS_RE33!$F$7:$F$874,'30 days CF Table(NZD)'!$C$2)</f>
        <v>0</v>
      </c>
      <c r="Z19" s="548">
        <f>SUMIFS(BS_RE33!$H$7:$H$874,BS_RE33!$S$7:$S$874,$Z$2,BS_RE33!$N$7:$N$874,I19,BS_RE33!$P$7:$P$874,'30 days CF Table(NZD)'!G19,BS_RE33!$F$7:$F$874,'30 days CF Table(NZD)'!$C$2)</f>
        <v>0</v>
      </c>
      <c r="AA19" s="548">
        <f>SUMIFS(BS_RE33!$H$7:$H$874,BS_RE33!$S$7:$S$874,$AA$2,BS_RE33!$N$7:$N$874,I19,BS_RE33!$P$7:$P$874,'30 days CF Table(NZD)'!G19,BS_RE33!$F$7:$F$874,'30 days CF Table(NZD)'!$C$2)</f>
        <v>0</v>
      </c>
      <c r="AB19" s="548">
        <f>SUMIFS(BS_RE33!$H$7:$H$874,BS_RE33!$S$7:$S$874,$AB$2,BS_RE33!$N$7:$N$874,I19,BS_RE33!$P$7:$P$874,'30 days CF Table(NZD)'!G19,BS_RE33!$F$7:$F$874,'30 days CF Table(NZD)'!$C$2)</f>
        <v>0</v>
      </c>
      <c r="AC19" s="548">
        <f>SUMIFS(BS_RE33!$H$7:$H$874,BS_RE33!$S$7:$S$874,$AC$2,BS_RE33!$N$7:$N$874,I19,BS_RE33!$P$7:$P$874,'30 days CF Table(NZD)'!G19,BS_RE33!$F$7:$F$874,'30 days CF Table(NZD)'!$C$2)</f>
        <v>0</v>
      </c>
      <c r="AD19" s="548">
        <f>SUMIFS(BS_RE33!$H$7:$H$874,BS_RE33!$S$7:$S$874,$AD$2,BS_RE33!$N$7:$N$874,I19,BS_RE33!$P$7:$P$874,'30 days CF Table(NZD)'!G19,BS_RE33!$F$7:$F$874,'30 days CF Table(NZD)'!$C$2)</f>
        <v>0</v>
      </c>
      <c r="AE19" s="548">
        <f>SUMIFS(BS_RE33!$H$7:$H$874,BS_RE33!$S$7:$S$874,$AE$2,BS_RE33!$N$7:$N$874,I19,BS_RE33!$P$7:$P$874,'30 days CF Table(NZD)'!G19,BS_RE33!$F$7:$F$874,'30 days CF Table(NZD)'!$C$2)</f>
        <v>0</v>
      </c>
      <c r="AF19" s="548">
        <f>SUMIFS(BS_RE33!$H$7:$H$874,BS_RE33!$S$7:$S$874,$AF$2,BS_RE33!$N$7:$N$874,I19,BS_RE33!$P$7:$P$874,'30 days CF Table(NZD)'!G19,BS_RE33!$F$7:$F$874,'30 days CF Table(NZD)'!$C$2)</f>
        <v>0</v>
      </c>
      <c r="AG19" s="548">
        <f>SUMIFS(BS_RE33!$H$7:$H$874,BS_RE33!$S$7:$S$874,$AG$2,BS_RE33!$N$7:$N$874,I19,BS_RE33!$P$7:$P$874,'30 days CF Table(NZD)'!G19,BS_RE33!$F$7:$F$874,'30 days CF Table(NZD)'!$C$2)</f>
        <v>0</v>
      </c>
      <c r="AH19" s="548">
        <f>SUMIFS(BS_RE33!$H$7:$H$874,BS_RE33!$S$7:$S$874,$AH$2,BS_RE33!$N$7:$N$874,I19,BS_RE33!$P$7:$P$874,'30 days CF Table(NZD)'!G19,BS_RE33!$F$7:$F$874,'30 days CF Table(NZD)'!$C$2)</f>
        <v>0</v>
      </c>
      <c r="AI19" s="548">
        <f>SUMIFS(BS_RE33!$H$7:$H$874,BS_RE33!$S$7:$S$874,$AI$2,BS_RE33!$N$7:$N$874,I19,BS_RE33!$P$7:$P$874,'30 days CF Table(NZD)'!G19,BS_RE33!$F$7:$F$874,'30 days CF Table(NZD)'!$C$2)</f>
        <v>0</v>
      </c>
      <c r="AJ19" s="548">
        <f>SUMIFS(BS_RE33!$H$7:$H$874,BS_RE33!$S$7:$S$874,$AJ$2,BS_RE33!$N$7:$N$874,I19,BS_RE33!$P$7:$P$874,'30 days CF Table(NZD)'!G19,BS_RE33!$F$7:$F$874,'30 days CF Table(NZD)'!$C$2)</f>
        <v>0</v>
      </c>
      <c r="AK19" s="548">
        <f>SUMIFS(BS_RE33!$H$7:$H$874,BS_RE33!$S$7:$S$874,$AK$2,BS_RE33!$N$7:$N$874,I19,BS_RE33!$P$7:$P$874,'30 days CF Table(NZD)'!G19,BS_RE33!$F$7:$F$874,'30 days CF Table(NZD)'!$C$2)</f>
        <v>0</v>
      </c>
      <c r="AL19" s="548">
        <f>SUMIFS(BS_RE33!$H$7:$H$874,BS_RE33!$S$7:$S$874,$AL$2,BS_RE33!$N$7:$N$874,I19,BS_RE33!$P$7:$P$874,'30 days CF Table(NZD)'!G19,BS_RE33!$F$7:$F$874,'30 days CF Table(NZD)'!$C$2)</f>
        <v>0</v>
      </c>
      <c r="AM19" s="548">
        <f>SUMIFS(BS_RE33!$H$7:$H$874,BS_RE33!$S$7:$S$874,$AM$2,BS_RE33!$N$7:$N$874,I19,BS_RE33!$P$7:$P$874,'30 days CF Table(NZD)'!G19,BS_RE33!$F$7:$F$874,'30 days CF Table(NZD)'!$C$2)</f>
        <v>0</v>
      </c>
      <c r="AN19" s="548">
        <f>SUMIFS(BS_RE33!$H$7:$H$874,BS_RE33!$S$7:$S$874,$AN$2,BS_RE33!$N$7:$N$874,I19,BS_RE33!$P$7:$P$874,'30 days CF Table(NZD)'!G19,BS_RE33!$F$7:$F$874,'30 days CF Table(NZD)'!$C$2)</f>
        <v>0</v>
      </c>
      <c r="AO19" s="548">
        <f>SUMIFS(BS_RE33!$H$7:$H$874,BS_RE33!$S$7:$S$874,$AO$2,BS_RE33!$N$7:$N$874,I19,BS_RE33!$P$7:$P$874,'30 days CF Table(NZD)'!G19,BS_RE33!$F$7:$F$874,'30 days CF Table(NZD)'!$C$2)</f>
        <v>0</v>
      </c>
      <c r="AP19" s="549">
        <f>SUMIFS(BS_RE33!$H$7:$H$874,BS_RE33!$S$7:$S$874,$AP$2,BS_RE33!$N$7:$N$874,I19,BS_RE33!$P$7:$P$874,'30 days CF Table(NZD)'!G19,BS_RE33!$F$7:$F$874,'30 days CF Table(NZD)'!$C$2)</f>
        <v>0</v>
      </c>
      <c r="AQ19" s="550"/>
      <c r="AR19" s="380">
        <f>SUMIFS(BS_RE33!$H$7:$H$874,BS_RE33!$S$7:$S$874,$AR$2,BS_RE33!$N$7:$N$874,I19,BS_RE33!$P$7:$P$874,'30 days CF Table(NZD)'!G19,BS_RE33!$F$7:$F$874,'30 days CF Table(NZD)'!$C$2)</f>
        <v>0</v>
      </c>
      <c r="AS19" s="380">
        <f>SUMIFS(BS_RE33!$H$7:$H$874,BS_RE33!$S$7:$S$874,$AS$2,BS_RE33!$N$7:$N$874,I19,BS_RE33!$P$7:$P$874,'30 days CF Table(NZD)'!G19,BS_RE33!$F$7:$F$874,'30 days CF Table(NZD)'!$C$2)</f>
        <v>0</v>
      </c>
      <c r="AT19" s="380">
        <f>SUMIFS(BS_RE33!$H$7:$H$874,BS_RE33!$S$7:$S$874,$AT$2,BS_RE33!$N$7:$N$874,I19,BS_RE33!$P$7:$P$874,'30 days CF Table(NZD)'!G19,BS_RE33!$F$7:$F$874,'30 days CF Table(NZD)'!$C$2)</f>
        <v>0</v>
      </c>
      <c r="AU19" s="380">
        <f>SUMIFS(BS_RE33!$H$7:$H$874,BS_RE33!$S$7:$S$874,$AU$2,BS_RE33!$N$7:$N$874,I19,BS_RE33!$P$7:$P$874,'30 days CF Table(NZD)'!G19,BS_RE33!$F$7:$F$874,'30 days CF Table(NZD)'!$C$2)</f>
        <v>0</v>
      </c>
      <c r="AV19" s="380">
        <f>SUMIFS(BS_RE33!$H$7:$H$874,BS_RE33!$S$7:$S$874,$AV$2,BS_RE33!$N$7:$N$874,I19,BS_RE33!$P$7:$P$874,'30 days CF Table(NZD)'!G19,BS_RE33!$F$7:$F$874,'30 days CF Table(NZD)'!$C$2)</f>
        <v>0</v>
      </c>
      <c r="AW19" s="380">
        <f>SUMIFS(BS_RE33!$H$7:$H$874,BS_RE33!$S$7:$S$874,$AW$2,BS_RE33!$N$7:$N$874,I19,BS_RE33!$P$7:$P$874,'30 days CF Table(NZD)'!G19,BS_RE33!$F$7:$F$874,'30 days CF Table(NZD)'!$C$2)</f>
        <v>0</v>
      </c>
      <c r="AX19" s="380">
        <f>SUMIFS(BS_RE33!$H$7:$H$874,BS_RE33!$S$7:$S$874,$AX$2,BS_RE33!$N$7:$N$874,I19,BS_RE33!$P$7:$P$874,'30 days CF Table(NZD)'!G19,BS_RE33!$F$7:$F$874,'30 days CF Table(NZD)'!$C$2)</f>
        <v>0</v>
      </c>
      <c r="AY19" s="380">
        <f>SUMIFS(BS_RE33!$H$7:$H$874,BS_RE33!$S$7:$S$874,$AY$2,BS_RE33!$N$7:$N$874,I19,BS_RE33!$P$7:$P$874,'30 days CF Table(NZD)'!G19,BS_RE33!$F$7:$F$874,'30 days CF Table(NZD)'!$C$2)</f>
        <v>0</v>
      </c>
      <c r="AZ19" s="380">
        <f>SUMIFS(BS_RE33!$H$7:$H$874,BS_RE33!$S$7:$S$874,$AZ$2,BS_RE33!$N$7:$N$874,I19,BS_RE33!$P$7:$P$874,'30 days CF Table(NZD)'!G19,BS_RE33!$F$7:$F$874,'30 days CF Table(NZD)'!$C$2)</f>
        <v>0</v>
      </c>
      <c r="BA19" s="380">
        <f>SUMIFS(BS_RE33!$H$7:$H$874,BS_RE33!$S$7:$S$874,$BA$2,BS_RE33!$N$7:$N$874,I19,BS_RE33!$P$7:$P$874,'30 days CF Table(NZD)'!G19,BS_RE33!$F$7:$F$874,'30 days CF Table(NZD)'!$C$2)</f>
        <v>0</v>
      </c>
      <c r="BB19" s="380">
        <f>SUMIFS(BS_RE33!$H$7:$H$874,BS_RE33!$S$7:$S$874,$BB$2,BS_RE33!$N$7:$N$874,I19,BS_RE33!$P$7:$P$874,'30 days CF Table(NZD)'!G19,BS_RE33!$F$7:$F$874,'30 days CF Table(NZD)'!$C$2)</f>
        <v>0</v>
      </c>
      <c r="BC19" s="380">
        <f>SUMIFS(BS_RE33!$H$7:$H$874,BS_RE33!$S$7:$S$874,$BC$2,BS_RE33!$N$7:$N$874,I19,BS_RE33!$P$7:$P$874,'30 days CF Table(NZD)'!G19,BS_RE33!$F$7:$F$874,'30 days CF Table(NZD)'!$C$2)</f>
        <v>0</v>
      </c>
      <c r="BD19" s="380">
        <f>SUMIFS(BS_RE33!$H$7:$H$874,BS_RE33!$S$7:$S$874,$BD$2,BS_RE33!$N$7:$N$874,I19,BS_RE33!$P$7:$P$874,'30 days CF Table(NZD)'!G19,BS_RE33!$F$7:$F$874,'30 days CF Table(NZD)'!$C$2)</f>
        <v>0</v>
      </c>
      <c r="BE19" s="380">
        <f>SUMIFS(BS_RE33!$H$7:$H$874,BS_RE33!$S$7:$S$874,$BE$2,BS_RE33!$N$7:$N$874,I19,BS_RE33!$P$7:$P$874,'30 days CF Table(NZD)'!G19,BS_RE33!$F$7:$F$874,'30 days CF Table(NZD)'!$C$2)</f>
        <v>0</v>
      </c>
      <c r="BF19" s="380">
        <f>SUMIFS(BS_RE33!$H$7:$H$874,BS_RE33!$S$7:$S$874,$BF$2,BS_RE33!$N$7:$N$874,I19,BS_RE33!$P$7:$P$874,'30 days CF Table(NZD)'!G19,BS_RE33!$F$7:$F$874,'30 days CF Table(NZD)'!$C$2)</f>
        <v>0</v>
      </c>
      <c r="BG19" s="380">
        <f>SUMIFS(BS_RE33!$H$7:$H$874,BS_RE33!$S$7:$S$874,$BG$2,BS_RE33!$N$7:$N$874,I19,BS_RE33!$P$7:$P$874,'30 days CF Table(NZD)'!G19,BS_RE33!$F$7:$F$874,'30 days CF Table(NZD)'!$C$2)</f>
        <v>0</v>
      </c>
      <c r="BH19" s="380">
        <f>SUMIFS(BS_RE33!$H$7:$H$874,BS_RE33!$S$7:$S$874,$BH$2,BS_RE33!$N$7:$N$874,I19,BS_RE33!$P$7:$P$874,'30 days CF Table(NZD)'!G19,BS_RE33!$F$7:$F$874,'30 days CF Table(NZD)'!$C$2)</f>
        <v>0</v>
      </c>
      <c r="BI19" s="380">
        <f>SUMIFS(BS_RE33!$H$7:$H$874,BS_RE33!$S$7:$S$874,$BI$2,BS_RE33!$N$7:$N$874,I19,BS_RE33!$P$7:$P$874,'30 days CF Table(NZD)'!G19,BS_RE33!$F$7:$F$874,'30 days CF Table(NZD)'!$C$2)</f>
        <v>0</v>
      </c>
      <c r="BJ19" s="380">
        <f>SUMIFS(BS_RE33!$H$7:$H$874,BS_RE33!$S$7:$S$874,$BJ$2,BS_RE33!$N$7:$N$874,I19,BS_RE33!$P$7:$P$874,'30 days CF Table(NZD)'!G19,BS_RE33!$F$7:$F$874,'30 days CF Table(NZD)'!$C$2)</f>
        <v>0</v>
      </c>
      <c r="BK19" s="380">
        <f>SUMIFS(BS_RE33!$H$7:$H$874,BS_RE33!$S$7:$S$874,$BK$2,BS_RE33!$N$7:$N$874,I19,BS_RE33!$P$7:$P$874,'30 days CF Table(NZD)'!G19,BS_RE33!$F$7:$F$874,'30 days CF Table(NZD)'!$C$2)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Table(NZD)'!G20,BS_RE33!$F$7:$F$874,'30 days CF Table(NZD)'!$C$2)</f>
        <v>0</v>
      </c>
      <c r="M20" s="548">
        <f>SUMIFS(BS_RE33!$H$7:$H$874,BS_RE33!$S$7:$S$874,$M$2,BS_RE33!$N$7:$N$874,I20,BS_RE33!$P$7:$P$874,'30 days CF Table(NZD)'!G20,BS_RE33!$F$7:$F$874,'30 days CF Table(NZD)'!$C$2)</f>
        <v>0</v>
      </c>
      <c r="N20" s="548">
        <f>SUMIFS(BS_RE33!$H$7:$H$874,BS_RE33!$S$7:$S$874,$N$2,BS_RE33!$N$7:$N$874,I20,BS_RE33!$P$7:$P$874,'30 days CF Table(NZD)'!G20,BS_RE33!$F$7:$F$874,'30 days CF Table(NZD)'!$C$2)</f>
        <v>0</v>
      </c>
      <c r="O20" s="548">
        <f>SUMIFS(BS_RE33!$H$7:$H$874,BS_RE33!$S$7:$S$874,$O$2,BS_RE33!$N$7:$N$874,I20,BS_RE33!$P$7:$P$874,'30 days CF Table(NZD)'!G20,BS_RE33!$F$7:$F$874,'30 days CF Table(NZD)'!$C$2)</f>
        <v>0</v>
      </c>
      <c r="P20" s="548">
        <f>SUMIFS(BS_RE33!$H$7:$H$874,BS_RE33!$S$7:$S$874,$P$2,BS_RE33!$N$7:$N$874,I20,BS_RE33!$P$7:$P$874,'30 days CF Table(NZD)'!G20,BS_RE33!$F$7:$F$874,'30 days CF Table(NZD)'!$C$2)</f>
        <v>0</v>
      </c>
      <c r="Q20" s="548">
        <f>SUMIFS(BS_RE33!$H$7:$H$874,BS_RE33!$S$7:$S$874,$Q$2,BS_RE33!$N$7:$N$874,I20,BS_RE33!$P$7:$P$874,'30 days CF Table(NZD)'!G20,BS_RE33!$F$7:$F$874,'30 days CF Table(NZD)'!$C$2)</f>
        <v>0</v>
      </c>
      <c r="R20" s="548">
        <f>SUMIFS(BS_RE33!$H$7:$H$874,BS_RE33!$S$7:$S$874,$R$2,BS_RE33!$N$7:$N$874,I20,BS_RE33!$P$7:$P$874,'30 days CF Table(NZD)'!G20,BS_RE33!$F$7:$F$874,'30 days CF Table(NZD)'!$C$2)</f>
        <v>0</v>
      </c>
      <c r="S20" s="548">
        <f>SUMIFS(BS_RE33!$H$7:$H$874,BS_RE33!$S$7:$S$874,$S$2,BS_RE33!$N$7:$N$874,I20,BS_RE33!$P$7:$P$874,'30 days CF Table(NZD)'!G20,BS_RE33!$F$7:$F$874,'30 days CF Table(NZD)'!$C$2)</f>
        <v>0</v>
      </c>
      <c r="T20" s="548">
        <f>SUMIFS(BS_RE33!$H$7:$H$874,BS_RE33!$S$7:$S$874,$T$2,BS_RE33!$N$7:$N$874,I20,BS_RE33!$P$7:$P$874,'30 days CF Table(NZD)'!G20,BS_RE33!$F$7:$F$874,'30 days CF Table(NZD)'!$C$2)</f>
        <v>0</v>
      </c>
      <c r="U20" s="548">
        <f>SUMIFS(BS_RE33!$H$7:$H$874,BS_RE33!$S$7:$S$874,$U$2,BS_RE33!$N$7:$N$874,I20,BS_RE33!$P$7:$P$874,'30 days CF Table(NZD)'!G20,BS_RE33!$F$7:$F$874,'30 days CF Table(NZD)'!$C$2)</f>
        <v>0</v>
      </c>
      <c r="V20" s="548">
        <f>SUMIFS(BS_RE33!$H$7:$H$874,BS_RE33!$S$7:$S$874,$V$2,BS_RE33!$N$7:$N$874,I20,BS_RE33!$P$7:$P$874,'30 days CF Table(NZD)'!G20,BS_RE33!$F$7:$F$874,'30 days CF Table(NZD)'!$C$2)</f>
        <v>0</v>
      </c>
      <c r="W20" s="548">
        <f>SUMIFS(BS_RE33!$H$7:$H$874,BS_RE33!$S$7:$S$874,$W$2,BS_RE33!$N$7:$N$874,I20,BS_RE33!$P$7:$P$874,'30 days CF Table(NZD)'!G20,BS_RE33!$F$7:$F$874,'30 days CF Table(NZD)'!$C$2)</f>
        <v>0</v>
      </c>
      <c r="X20" s="548">
        <f>SUMIFS(BS_RE33!$H$7:$H$874,BS_RE33!$S$7:$S$874,$X$2,BS_RE33!$N$7:$N$874,I20,BS_RE33!$P$7:$P$874,'30 days CF Table(NZD)'!G20,BS_RE33!$F$7:$F$874,'30 days CF Table(NZD)'!$C$2)</f>
        <v>0</v>
      </c>
      <c r="Y20" s="548">
        <f>SUMIFS(BS_RE33!$H$7:$H$874,BS_RE33!$S$7:$S$874,$Y$2,BS_RE33!$N$7:$N$874,I20,BS_RE33!$P$7:$P$874,'30 days CF Table(NZD)'!G20,BS_RE33!$F$7:$F$874,'30 days CF Table(NZD)'!$C$2)</f>
        <v>0</v>
      </c>
      <c r="Z20" s="548">
        <f>SUMIFS(BS_RE33!$H$7:$H$874,BS_RE33!$S$7:$S$874,$Z$2,BS_RE33!$N$7:$N$874,I20,BS_RE33!$P$7:$P$874,'30 days CF Table(NZD)'!G20,BS_RE33!$F$7:$F$874,'30 days CF Table(NZD)'!$C$2)</f>
        <v>0</v>
      </c>
      <c r="AA20" s="548">
        <f>SUMIFS(BS_RE33!$H$7:$H$874,BS_RE33!$S$7:$S$874,$AA$2,BS_RE33!$N$7:$N$874,I20,BS_RE33!$P$7:$P$874,'30 days CF Table(NZD)'!G20,BS_RE33!$F$7:$F$874,'30 days CF Table(NZD)'!$C$2)</f>
        <v>0</v>
      </c>
      <c r="AB20" s="548">
        <f>SUMIFS(BS_RE33!$H$7:$H$874,BS_RE33!$S$7:$S$874,$AB$2,BS_RE33!$N$7:$N$874,I20,BS_RE33!$P$7:$P$874,'30 days CF Table(NZD)'!G20,BS_RE33!$F$7:$F$874,'30 days CF Table(NZD)'!$C$2)</f>
        <v>0</v>
      </c>
      <c r="AC20" s="548">
        <f>SUMIFS(BS_RE33!$H$7:$H$874,BS_RE33!$S$7:$S$874,$AC$2,BS_RE33!$N$7:$N$874,I20,BS_RE33!$P$7:$P$874,'30 days CF Table(NZD)'!G20,BS_RE33!$F$7:$F$874,'30 days CF Table(NZD)'!$C$2)</f>
        <v>0</v>
      </c>
      <c r="AD20" s="548">
        <f>SUMIFS(BS_RE33!$H$7:$H$874,BS_RE33!$S$7:$S$874,$AD$2,BS_RE33!$N$7:$N$874,I20,BS_RE33!$P$7:$P$874,'30 days CF Table(NZD)'!G20,BS_RE33!$F$7:$F$874,'30 days CF Table(NZD)'!$C$2)</f>
        <v>0</v>
      </c>
      <c r="AE20" s="548">
        <f>SUMIFS(BS_RE33!$H$7:$H$874,BS_RE33!$S$7:$S$874,$AE$2,BS_RE33!$N$7:$N$874,I20,BS_RE33!$P$7:$P$874,'30 days CF Table(NZD)'!G20,BS_RE33!$F$7:$F$874,'30 days CF Table(NZD)'!$C$2)</f>
        <v>0</v>
      </c>
      <c r="AF20" s="548">
        <f>SUMIFS(BS_RE33!$H$7:$H$874,BS_RE33!$S$7:$S$874,$AF$2,BS_RE33!$N$7:$N$874,I20,BS_RE33!$P$7:$P$874,'30 days CF Table(NZD)'!G20,BS_RE33!$F$7:$F$874,'30 days CF Table(NZD)'!$C$2)</f>
        <v>0</v>
      </c>
      <c r="AG20" s="548">
        <f>SUMIFS(BS_RE33!$H$7:$H$874,BS_RE33!$S$7:$S$874,$AG$2,BS_RE33!$N$7:$N$874,I20,BS_RE33!$P$7:$P$874,'30 days CF Table(NZD)'!G20,BS_RE33!$F$7:$F$874,'30 days CF Table(NZD)'!$C$2)</f>
        <v>0</v>
      </c>
      <c r="AH20" s="548">
        <f>SUMIFS(BS_RE33!$H$7:$H$874,BS_RE33!$S$7:$S$874,$AH$2,BS_RE33!$N$7:$N$874,I20,BS_RE33!$P$7:$P$874,'30 days CF Table(NZD)'!G20,BS_RE33!$F$7:$F$874,'30 days CF Table(NZD)'!$C$2)</f>
        <v>0</v>
      </c>
      <c r="AI20" s="548">
        <f>SUMIFS(BS_RE33!$H$7:$H$874,BS_RE33!$S$7:$S$874,$AI$2,BS_RE33!$N$7:$N$874,I20,BS_RE33!$P$7:$P$874,'30 days CF Table(NZD)'!G20,BS_RE33!$F$7:$F$874,'30 days CF Table(NZD)'!$C$2)</f>
        <v>0</v>
      </c>
      <c r="AJ20" s="548">
        <f>SUMIFS(BS_RE33!$H$7:$H$874,BS_RE33!$S$7:$S$874,$AJ$2,BS_RE33!$N$7:$N$874,I20,BS_RE33!$P$7:$P$874,'30 days CF Table(NZD)'!G20,BS_RE33!$F$7:$F$874,'30 days CF Table(NZD)'!$C$2)</f>
        <v>0</v>
      </c>
      <c r="AK20" s="548">
        <f>SUMIFS(BS_RE33!$H$7:$H$874,BS_RE33!$S$7:$S$874,$AK$2,BS_RE33!$N$7:$N$874,I20,BS_RE33!$P$7:$P$874,'30 days CF Table(NZD)'!G20,BS_RE33!$F$7:$F$874,'30 days CF Table(NZD)'!$C$2)</f>
        <v>0</v>
      </c>
      <c r="AL20" s="548">
        <f>SUMIFS(BS_RE33!$H$7:$H$874,BS_RE33!$S$7:$S$874,$AL$2,BS_RE33!$N$7:$N$874,I20,BS_RE33!$P$7:$P$874,'30 days CF Table(NZD)'!G20,BS_RE33!$F$7:$F$874,'30 days CF Table(NZD)'!$C$2)</f>
        <v>0</v>
      </c>
      <c r="AM20" s="548">
        <f>SUMIFS(BS_RE33!$H$7:$H$874,BS_RE33!$S$7:$S$874,$AM$2,BS_RE33!$N$7:$N$874,I20,BS_RE33!$P$7:$P$874,'30 days CF Table(NZD)'!G20,BS_RE33!$F$7:$F$874,'30 days CF Table(NZD)'!$C$2)</f>
        <v>0</v>
      </c>
      <c r="AN20" s="548">
        <f>SUMIFS(BS_RE33!$H$7:$H$874,BS_RE33!$S$7:$S$874,$AN$2,BS_RE33!$N$7:$N$874,I20,BS_RE33!$P$7:$P$874,'30 days CF Table(NZD)'!G20,BS_RE33!$F$7:$F$874,'30 days CF Table(NZD)'!$C$2)</f>
        <v>0</v>
      </c>
      <c r="AO20" s="548">
        <f>SUMIFS(BS_RE33!$H$7:$H$874,BS_RE33!$S$7:$S$874,$AO$2,BS_RE33!$N$7:$N$874,I20,BS_RE33!$P$7:$P$874,'30 days CF Table(NZD)'!G20,BS_RE33!$F$7:$F$874,'30 days CF Table(NZD)'!$C$2)</f>
        <v>0</v>
      </c>
      <c r="AP20" s="549">
        <f>SUMIFS(BS_RE33!$H$7:$H$874,BS_RE33!$S$7:$S$874,$AP$2,BS_RE33!$N$7:$N$874,I20,BS_RE33!$P$7:$P$874,'30 days CF Table(NZD)'!G20,BS_RE33!$F$7:$F$874,'30 days CF Table(NZD)'!$C$2)</f>
        <v>0</v>
      </c>
      <c r="AQ20" s="550"/>
      <c r="AR20" s="380">
        <f>SUMIFS(BS_RE33!$H$7:$H$874,BS_RE33!$S$7:$S$874,$AR$2,BS_RE33!$N$7:$N$874,I20,BS_RE33!$P$7:$P$874,'30 days CF Table(NZD)'!G20,BS_RE33!$F$7:$F$874,'30 days CF Table(NZD)'!$C$2)</f>
        <v>0</v>
      </c>
      <c r="AS20" s="380">
        <f>SUMIFS(BS_RE33!$H$7:$H$874,BS_RE33!$S$7:$S$874,$AS$2,BS_RE33!$N$7:$N$874,I20,BS_RE33!$P$7:$P$874,'30 days CF Table(NZD)'!G20,BS_RE33!$F$7:$F$874,'30 days CF Table(NZD)'!$C$2)</f>
        <v>0</v>
      </c>
      <c r="AT20" s="380">
        <f>SUMIFS(BS_RE33!$H$7:$H$874,BS_RE33!$S$7:$S$874,$AT$2,BS_RE33!$N$7:$N$874,I20,BS_RE33!$P$7:$P$874,'30 days CF Table(NZD)'!G20,BS_RE33!$F$7:$F$874,'30 days CF Table(NZD)'!$C$2)</f>
        <v>0</v>
      </c>
      <c r="AU20" s="380">
        <f>SUMIFS(BS_RE33!$H$7:$H$874,BS_RE33!$S$7:$S$874,$AU$2,BS_RE33!$N$7:$N$874,I20,BS_RE33!$P$7:$P$874,'30 days CF Table(NZD)'!G20,BS_RE33!$F$7:$F$874,'30 days CF Table(NZD)'!$C$2)</f>
        <v>0</v>
      </c>
      <c r="AV20" s="380">
        <f>SUMIFS(BS_RE33!$H$7:$H$874,BS_RE33!$S$7:$S$874,$AV$2,BS_RE33!$N$7:$N$874,I20,BS_RE33!$P$7:$P$874,'30 days CF Table(NZD)'!G20,BS_RE33!$F$7:$F$874,'30 days CF Table(NZD)'!$C$2)</f>
        <v>0</v>
      </c>
      <c r="AW20" s="380">
        <f>SUMIFS(BS_RE33!$H$7:$H$874,BS_RE33!$S$7:$S$874,$AW$2,BS_RE33!$N$7:$N$874,I20,BS_RE33!$P$7:$P$874,'30 days CF Table(NZD)'!G20,BS_RE33!$F$7:$F$874,'30 days CF Table(NZD)'!$C$2)</f>
        <v>0</v>
      </c>
      <c r="AX20" s="380">
        <f>SUMIFS(BS_RE33!$H$7:$H$874,BS_RE33!$S$7:$S$874,$AX$2,BS_RE33!$N$7:$N$874,I20,BS_RE33!$P$7:$P$874,'30 days CF Table(NZD)'!G20,BS_RE33!$F$7:$F$874,'30 days CF Table(NZD)'!$C$2)</f>
        <v>0</v>
      </c>
      <c r="AY20" s="380">
        <f>SUMIFS(BS_RE33!$H$7:$H$874,BS_RE33!$S$7:$S$874,$AY$2,BS_RE33!$N$7:$N$874,I20,BS_RE33!$P$7:$P$874,'30 days CF Table(NZD)'!G20,BS_RE33!$F$7:$F$874,'30 days CF Table(NZD)'!$C$2)</f>
        <v>0</v>
      </c>
      <c r="AZ20" s="380">
        <f>SUMIFS(BS_RE33!$H$7:$H$874,BS_RE33!$S$7:$S$874,$AZ$2,BS_RE33!$N$7:$N$874,I20,BS_RE33!$P$7:$P$874,'30 days CF Table(NZD)'!G20,BS_RE33!$F$7:$F$874,'30 days CF Table(NZD)'!$C$2)</f>
        <v>0</v>
      </c>
      <c r="BA20" s="380">
        <f>SUMIFS(BS_RE33!$H$7:$H$874,BS_RE33!$S$7:$S$874,$BA$2,BS_RE33!$N$7:$N$874,I20,BS_RE33!$P$7:$P$874,'30 days CF Table(NZD)'!G20,BS_RE33!$F$7:$F$874,'30 days CF Table(NZD)'!$C$2)</f>
        <v>0</v>
      </c>
      <c r="BB20" s="380">
        <f>SUMIFS(BS_RE33!$H$7:$H$874,BS_RE33!$S$7:$S$874,$BB$2,BS_RE33!$N$7:$N$874,I20,BS_RE33!$P$7:$P$874,'30 days CF Table(NZD)'!G20,BS_RE33!$F$7:$F$874,'30 days CF Table(NZD)'!$C$2)</f>
        <v>0</v>
      </c>
      <c r="BC20" s="380">
        <f>SUMIFS(BS_RE33!$H$7:$H$874,BS_RE33!$S$7:$S$874,$BC$2,BS_RE33!$N$7:$N$874,I20,BS_RE33!$P$7:$P$874,'30 days CF Table(NZD)'!G20,BS_RE33!$F$7:$F$874,'30 days CF Table(NZD)'!$C$2)</f>
        <v>0</v>
      </c>
      <c r="BD20" s="380">
        <f>SUMIFS(BS_RE33!$H$7:$H$874,BS_RE33!$S$7:$S$874,$BD$2,BS_RE33!$N$7:$N$874,I20,BS_RE33!$P$7:$P$874,'30 days CF Table(NZD)'!G20,BS_RE33!$F$7:$F$874,'30 days CF Table(NZD)'!$C$2)</f>
        <v>0</v>
      </c>
      <c r="BE20" s="380">
        <f>SUMIFS(BS_RE33!$H$7:$H$874,BS_RE33!$S$7:$S$874,$BE$2,BS_RE33!$N$7:$N$874,I20,BS_RE33!$P$7:$P$874,'30 days CF Table(NZD)'!G20,BS_RE33!$F$7:$F$874,'30 days CF Table(NZD)'!$C$2)</f>
        <v>0</v>
      </c>
      <c r="BF20" s="380">
        <f>SUMIFS(BS_RE33!$H$7:$H$874,BS_RE33!$S$7:$S$874,$BF$2,BS_RE33!$N$7:$N$874,I20,BS_RE33!$P$7:$P$874,'30 days CF Table(NZD)'!G20,BS_RE33!$F$7:$F$874,'30 days CF Table(NZD)'!$C$2)</f>
        <v>0</v>
      </c>
      <c r="BG20" s="380">
        <f>SUMIFS(BS_RE33!$H$7:$H$874,BS_RE33!$S$7:$S$874,$BG$2,BS_RE33!$N$7:$N$874,I20,BS_RE33!$P$7:$P$874,'30 days CF Table(NZD)'!G20,BS_RE33!$F$7:$F$874,'30 days CF Table(NZD)'!$C$2)</f>
        <v>0</v>
      </c>
      <c r="BH20" s="380">
        <f>SUMIFS(BS_RE33!$H$7:$H$874,BS_RE33!$S$7:$S$874,$BH$2,BS_RE33!$N$7:$N$874,I20,BS_RE33!$P$7:$P$874,'30 days CF Table(NZD)'!G20,BS_RE33!$F$7:$F$874,'30 days CF Table(NZD)'!$C$2)</f>
        <v>0</v>
      </c>
      <c r="BI20" s="380">
        <f>SUMIFS(BS_RE33!$H$7:$H$874,BS_RE33!$S$7:$S$874,$BI$2,BS_RE33!$N$7:$N$874,I20,BS_RE33!$P$7:$P$874,'30 days CF Table(NZD)'!G20,BS_RE33!$F$7:$F$874,'30 days CF Table(NZD)'!$C$2)</f>
        <v>0</v>
      </c>
      <c r="BJ20" s="380">
        <f>SUMIFS(BS_RE33!$H$7:$H$874,BS_RE33!$S$7:$S$874,$BJ$2,BS_RE33!$N$7:$N$874,I20,BS_RE33!$P$7:$P$874,'30 days CF Table(NZD)'!G20,BS_RE33!$F$7:$F$874,'30 days CF Table(NZD)'!$C$2)</f>
        <v>0</v>
      </c>
      <c r="BK20" s="380">
        <f>SUMIFS(BS_RE33!$H$7:$H$874,BS_RE33!$S$7:$S$874,$BK$2,BS_RE33!$N$7:$N$874,I20,BS_RE33!$P$7:$P$874,'30 days CF Table(NZD)'!G20,BS_RE33!$F$7:$F$874,'30 days CF Table(NZD)'!$C$2)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Table(NZD)'!G21,BS_RE33!$F$7:$F$874,'30 days CF Table(NZD)'!$C$2)</f>
        <v>0</v>
      </c>
      <c r="M21" s="548">
        <f>SUMIFS(BS_RE33!$H$7:$H$874,BS_RE33!$S$7:$S$874,$M$2,BS_RE33!$N$7:$N$874,I21,BS_RE33!$P$7:$P$874,'30 days CF Table(NZD)'!G21,BS_RE33!$F$7:$F$874,'30 days CF Table(NZD)'!$C$2)</f>
        <v>0</v>
      </c>
      <c r="N21" s="548">
        <f>SUMIFS(BS_RE33!$H$7:$H$874,BS_RE33!$S$7:$S$874,$N$2,BS_RE33!$N$7:$N$874,I21,BS_RE33!$P$7:$P$874,'30 days CF Table(NZD)'!G21,BS_RE33!$F$7:$F$874,'30 days CF Table(NZD)'!$C$2)</f>
        <v>0</v>
      </c>
      <c r="O21" s="548">
        <f>SUMIFS(BS_RE33!$H$7:$H$874,BS_RE33!$S$7:$S$874,$O$2,BS_RE33!$N$7:$N$874,I21,BS_RE33!$P$7:$P$874,'30 days CF Table(NZD)'!G21,BS_RE33!$F$7:$F$874,'30 days CF Table(NZD)'!$C$2)</f>
        <v>0</v>
      </c>
      <c r="P21" s="548">
        <f>SUMIFS(BS_RE33!$H$7:$H$874,BS_RE33!$S$7:$S$874,$P$2,BS_RE33!$N$7:$N$874,I21,BS_RE33!$P$7:$P$874,'30 days CF Table(NZD)'!G21,BS_RE33!$F$7:$F$874,'30 days CF Table(NZD)'!$C$2)</f>
        <v>0</v>
      </c>
      <c r="Q21" s="548">
        <f>SUMIFS(BS_RE33!$H$7:$H$874,BS_RE33!$S$7:$S$874,$Q$2,BS_RE33!$N$7:$N$874,I21,BS_RE33!$P$7:$P$874,'30 days CF Table(NZD)'!G21,BS_RE33!$F$7:$F$874,'30 days CF Table(NZD)'!$C$2)</f>
        <v>0</v>
      </c>
      <c r="R21" s="548">
        <f>SUMIFS(BS_RE33!$H$7:$H$874,BS_RE33!$S$7:$S$874,$R$2,BS_RE33!$N$7:$N$874,I21,BS_RE33!$P$7:$P$874,'30 days CF Table(NZD)'!G21,BS_RE33!$F$7:$F$874,'30 days CF Table(NZD)'!$C$2)</f>
        <v>0</v>
      </c>
      <c r="S21" s="548">
        <f>SUMIFS(BS_RE33!$H$7:$H$874,BS_RE33!$S$7:$S$874,$S$2,BS_RE33!$N$7:$N$874,I21,BS_RE33!$P$7:$P$874,'30 days CF Table(NZD)'!G21,BS_RE33!$F$7:$F$874,'30 days CF Table(NZD)'!$C$2)</f>
        <v>0</v>
      </c>
      <c r="T21" s="548">
        <f>SUMIFS(BS_RE33!$H$7:$H$874,BS_RE33!$S$7:$S$874,$T$2,BS_RE33!$N$7:$N$874,I21,BS_RE33!$P$7:$P$874,'30 days CF Table(NZD)'!G21,BS_RE33!$F$7:$F$874,'30 days CF Table(NZD)'!$C$2)</f>
        <v>0</v>
      </c>
      <c r="U21" s="548">
        <f>SUMIFS(BS_RE33!$H$7:$H$874,BS_RE33!$S$7:$S$874,$U$2,BS_RE33!$N$7:$N$874,I21,BS_RE33!$P$7:$P$874,'30 days CF Table(NZD)'!G21,BS_RE33!$F$7:$F$874,'30 days CF Table(NZD)'!$C$2)</f>
        <v>0</v>
      </c>
      <c r="V21" s="548">
        <f>SUMIFS(BS_RE33!$H$7:$H$874,BS_RE33!$S$7:$S$874,$V$2,BS_RE33!$N$7:$N$874,I21,BS_RE33!$P$7:$P$874,'30 days CF Table(NZD)'!G21,BS_RE33!$F$7:$F$874,'30 days CF Table(NZD)'!$C$2)</f>
        <v>0</v>
      </c>
      <c r="W21" s="548">
        <f>SUMIFS(BS_RE33!$H$7:$H$874,BS_RE33!$S$7:$S$874,$W$2,BS_RE33!$N$7:$N$874,I21,BS_RE33!$P$7:$P$874,'30 days CF Table(NZD)'!G21,BS_RE33!$F$7:$F$874,'30 days CF Table(NZD)'!$C$2)</f>
        <v>0</v>
      </c>
      <c r="X21" s="548">
        <f>SUMIFS(BS_RE33!$H$7:$H$874,BS_RE33!$S$7:$S$874,$X$2,BS_RE33!$N$7:$N$874,I21,BS_RE33!$P$7:$P$874,'30 days CF Table(NZD)'!G21,BS_RE33!$F$7:$F$874,'30 days CF Table(NZD)'!$C$2)</f>
        <v>0</v>
      </c>
      <c r="Y21" s="548">
        <f>SUMIFS(BS_RE33!$H$7:$H$874,BS_RE33!$S$7:$S$874,$Y$2,BS_RE33!$N$7:$N$874,I21,BS_RE33!$P$7:$P$874,'30 days CF Table(NZD)'!G21,BS_RE33!$F$7:$F$874,'30 days CF Table(NZD)'!$C$2)</f>
        <v>0</v>
      </c>
      <c r="Z21" s="548">
        <f>SUMIFS(BS_RE33!$H$7:$H$874,BS_RE33!$S$7:$S$874,$Z$2,BS_RE33!$N$7:$N$874,I21,BS_RE33!$P$7:$P$874,'30 days CF Table(NZD)'!G21,BS_RE33!$F$7:$F$874,'30 days CF Table(NZD)'!$C$2)</f>
        <v>0</v>
      </c>
      <c r="AA21" s="548">
        <f>SUMIFS(BS_RE33!$H$7:$H$874,BS_RE33!$S$7:$S$874,$AA$2,BS_RE33!$N$7:$N$874,I21,BS_RE33!$P$7:$P$874,'30 days CF Table(NZD)'!G21,BS_RE33!$F$7:$F$874,'30 days CF Table(NZD)'!$C$2)</f>
        <v>0</v>
      </c>
      <c r="AB21" s="548">
        <f>SUMIFS(BS_RE33!$H$7:$H$874,BS_RE33!$S$7:$S$874,$AB$2,BS_RE33!$N$7:$N$874,I21,BS_RE33!$P$7:$P$874,'30 days CF Table(NZD)'!G21,BS_RE33!$F$7:$F$874,'30 days CF Table(NZD)'!$C$2)</f>
        <v>0</v>
      </c>
      <c r="AC21" s="548">
        <f>SUMIFS(BS_RE33!$H$7:$H$874,BS_RE33!$S$7:$S$874,$AC$2,BS_RE33!$N$7:$N$874,I21,BS_RE33!$P$7:$P$874,'30 days CF Table(NZD)'!G21,BS_RE33!$F$7:$F$874,'30 days CF Table(NZD)'!$C$2)</f>
        <v>0</v>
      </c>
      <c r="AD21" s="548">
        <f>SUMIFS(BS_RE33!$H$7:$H$874,BS_RE33!$S$7:$S$874,$AD$2,BS_RE33!$N$7:$N$874,I21,BS_RE33!$P$7:$P$874,'30 days CF Table(NZD)'!G21,BS_RE33!$F$7:$F$874,'30 days CF Table(NZD)'!$C$2)</f>
        <v>0</v>
      </c>
      <c r="AE21" s="548">
        <f>SUMIFS(BS_RE33!$H$7:$H$874,BS_RE33!$S$7:$S$874,$AE$2,BS_RE33!$N$7:$N$874,I21,BS_RE33!$P$7:$P$874,'30 days CF Table(NZD)'!G21,BS_RE33!$F$7:$F$874,'30 days CF Table(NZD)'!$C$2)</f>
        <v>0</v>
      </c>
      <c r="AF21" s="548">
        <f>SUMIFS(BS_RE33!$H$7:$H$874,BS_RE33!$S$7:$S$874,$AF$2,BS_RE33!$N$7:$N$874,I21,BS_RE33!$P$7:$P$874,'30 days CF Table(NZD)'!G21,BS_RE33!$F$7:$F$874,'30 days CF Table(NZD)'!$C$2)</f>
        <v>0</v>
      </c>
      <c r="AG21" s="548">
        <f>SUMIFS(BS_RE33!$H$7:$H$874,BS_RE33!$S$7:$S$874,$AG$2,BS_RE33!$N$7:$N$874,I21,BS_RE33!$P$7:$P$874,'30 days CF Table(NZD)'!G21,BS_RE33!$F$7:$F$874,'30 days CF Table(NZD)'!$C$2)</f>
        <v>0</v>
      </c>
      <c r="AH21" s="548">
        <f>SUMIFS(BS_RE33!$H$7:$H$874,BS_RE33!$S$7:$S$874,$AH$2,BS_RE33!$N$7:$N$874,I21,BS_RE33!$P$7:$P$874,'30 days CF Table(NZD)'!G21,BS_RE33!$F$7:$F$874,'30 days CF Table(NZD)'!$C$2)</f>
        <v>0</v>
      </c>
      <c r="AI21" s="548">
        <f>SUMIFS(BS_RE33!$H$7:$H$874,BS_RE33!$S$7:$S$874,$AI$2,BS_RE33!$N$7:$N$874,I21,BS_RE33!$P$7:$P$874,'30 days CF Table(NZD)'!G21,BS_RE33!$F$7:$F$874,'30 days CF Table(NZD)'!$C$2)</f>
        <v>0</v>
      </c>
      <c r="AJ21" s="548">
        <f>SUMIFS(BS_RE33!$H$7:$H$874,BS_RE33!$S$7:$S$874,$AJ$2,BS_RE33!$N$7:$N$874,I21,BS_RE33!$P$7:$P$874,'30 days CF Table(NZD)'!G21,BS_RE33!$F$7:$F$874,'30 days CF Table(NZD)'!$C$2)</f>
        <v>0</v>
      </c>
      <c r="AK21" s="548">
        <f>SUMIFS(BS_RE33!$H$7:$H$874,BS_RE33!$S$7:$S$874,$AK$2,BS_RE33!$N$7:$N$874,I21,BS_RE33!$P$7:$P$874,'30 days CF Table(NZD)'!G21,BS_RE33!$F$7:$F$874,'30 days CF Table(NZD)'!$C$2)</f>
        <v>0</v>
      </c>
      <c r="AL21" s="548">
        <f>SUMIFS(BS_RE33!$H$7:$H$874,BS_RE33!$S$7:$S$874,$AL$2,BS_RE33!$N$7:$N$874,I21,BS_RE33!$P$7:$P$874,'30 days CF Table(NZD)'!G21,BS_RE33!$F$7:$F$874,'30 days CF Table(NZD)'!$C$2)</f>
        <v>0</v>
      </c>
      <c r="AM21" s="548">
        <f>SUMIFS(BS_RE33!$H$7:$H$874,BS_RE33!$S$7:$S$874,$AM$2,BS_RE33!$N$7:$N$874,I21,BS_RE33!$P$7:$P$874,'30 days CF Table(NZD)'!G21,BS_RE33!$F$7:$F$874,'30 days CF Table(NZD)'!$C$2)</f>
        <v>0</v>
      </c>
      <c r="AN21" s="548">
        <f>SUMIFS(BS_RE33!$H$7:$H$874,BS_RE33!$S$7:$S$874,$AN$2,BS_RE33!$N$7:$N$874,I21,BS_RE33!$P$7:$P$874,'30 days CF Table(NZD)'!G21,BS_RE33!$F$7:$F$874,'30 days CF Table(NZD)'!$C$2)</f>
        <v>0</v>
      </c>
      <c r="AO21" s="548">
        <f>SUMIFS(BS_RE33!$H$7:$H$874,BS_RE33!$S$7:$S$874,$AO$2,BS_RE33!$N$7:$N$874,I21,BS_RE33!$P$7:$P$874,'30 days CF Table(NZD)'!G21,BS_RE33!$F$7:$F$874,'30 days CF Table(NZD)'!$C$2)</f>
        <v>0</v>
      </c>
      <c r="AP21" s="549">
        <f>SUMIFS(BS_RE33!$H$7:$H$874,BS_RE33!$S$7:$S$874,$AP$2,BS_RE33!$N$7:$N$874,I21,BS_RE33!$P$7:$P$874,'30 days CF Table(NZD)'!G21,BS_RE33!$F$7:$F$874,'30 days CF Table(NZD)'!$C$2)</f>
        <v>0</v>
      </c>
      <c r="AQ21" s="550"/>
      <c r="AR21" s="380">
        <f>SUMIFS(BS_RE33!$H$7:$H$874,BS_RE33!$S$7:$S$874,$AR$2,BS_RE33!$N$7:$N$874,I21,BS_RE33!$P$7:$P$874,'30 days CF Table(NZD)'!G21,BS_RE33!$F$7:$F$874,'30 days CF Table(NZD)'!$C$2)</f>
        <v>0</v>
      </c>
      <c r="AS21" s="380">
        <f>SUMIFS(BS_RE33!$H$7:$H$874,BS_RE33!$S$7:$S$874,$AS$2,BS_RE33!$N$7:$N$874,I21,BS_RE33!$P$7:$P$874,'30 days CF Table(NZD)'!G21,BS_RE33!$F$7:$F$874,'30 days CF Table(NZD)'!$C$2)</f>
        <v>0</v>
      </c>
      <c r="AT21" s="380">
        <f>SUMIFS(BS_RE33!$H$7:$H$874,BS_RE33!$S$7:$S$874,$AT$2,BS_RE33!$N$7:$N$874,I21,BS_RE33!$P$7:$P$874,'30 days CF Table(NZD)'!G21,BS_RE33!$F$7:$F$874,'30 days CF Table(NZD)'!$C$2)</f>
        <v>0</v>
      </c>
      <c r="AU21" s="380">
        <f>SUMIFS(BS_RE33!$H$7:$H$874,BS_RE33!$S$7:$S$874,$AU$2,BS_RE33!$N$7:$N$874,I21,BS_RE33!$P$7:$P$874,'30 days CF Table(NZD)'!G21,BS_RE33!$F$7:$F$874,'30 days CF Table(NZD)'!$C$2)</f>
        <v>0</v>
      </c>
      <c r="AV21" s="380">
        <f>SUMIFS(BS_RE33!$H$7:$H$874,BS_RE33!$S$7:$S$874,$AV$2,BS_RE33!$N$7:$N$874,I21,BS_RE33!$P$7:$P$874,'30 days CF Table(NZD)'!G21,BS_RE33!$F$7:$F$874,'30 days CF Table(NZD)'!$C$2)</f>
        <v>0</v>
      </c>
      <c r="AW21" s="380">
        <f>SUMIFS(BS_RE33!$H$7:$H$874,BS_RE33!$S$7:$S$874,$AW$2,BS_RE33!$N$7:$N$874,I21,BS_RE33!$P$7:$P$874,'30 days CF Table(NZD)'!G21,BS_RE33!$F$7:$F$874,'30 days CF Table(NZD)'!$C$2)</f>
        <v>0</v>
      </c>
      <c r="AX21" s="380">
        <f>SUMIFS(BS_RE33!$H$7:$H$874,BS_RE33!$S$7:$S$874,$AX$2,BS_RE33!$N$7:$N$874,I21,BS_RE33!$P$7:$P$874,'30 days CF Table(NZD)'!G21,BS_RE33!$F$7:$F$874,'30 days CF Table(NZD)'!$C$2)</f>
        <v>0</v>
      </c>
      <c r="AY21" s="380">
        <f>SUMIFS(BS_RE33!$H$7:$H$874,BS_RE33!$S$7:$S$874,$AY$2,BS_RE33!$N$7:$N$874,I21,BS_RE33!$P$7:$P$874,'30 days CF Table(NZD)'!G21,BS_RE33!$F$7:$F$874,'30 days CF Table(NZD)'!$C$2)</f>
        <v>0</v>
      </c>
      <c r="AZ21" s="380">
        <f>SUMIFS(BS_RE33!$H$7:$H$874,BS_RE33!$S$7:$S$874,$AZ$2,BS_RE33!$N$7:$N$874,I21,BS_RE33!$P$7:$P$874,'30 days CF Table(NZD)'!G21,BS_RE33!$F$7:$F$874,'30 days CF Table(NZD)'!$C$2)</f>
        <v>0</v>
      </c>
      <c r="BA21" s="380">
        <f>SUMIFS(BS_RE33!$H$7:$H$874,BS_RE33!$S$7:$S$874,$BA$2,BS_RE33!$N$7:$N$874,I21,BS_RE33!$P$7:$P$874,'30 days CF Table(NZD)'!G21,BS_RE33!$F$7:$F$874,'30 days CF Table(NZD)'!$C$2)</f>
        <v>0</v>
      </c>
      <c r="BB21" s="380">
        <f>SUMIFS(BS_RE33!$H$7:$H$874,BS_RE33!$S$7:$S$874,$BB$2,BS_RE33!$N$7:$N$874,I21,BS_RE33!$P$7:$P$874,'30 days CF Table(NZD)'!G21,BS_RE33!$F$7:$F$874,'30 days CF Table(NZD)'!$C$2)</f>
        <v>0</v>
      </c>
      <c r="BC21" s="380">
        <f>SUMIFS(BS_RE33!$H$7:$H$874,BS_RE33!$S$7:$S$874,$BC$2,BS_RE33!$N$7:$N$874,I21,BS_RE33!$P$7:$P$874,'30 days CF Table(NZD)'!G21,BS_RE33!$F$7:$F$874,'30 days CF Table(NZD)'!$C$2)</f>
        <v>0</v>
      </c>
      <c r="BD21" s="380">
        <f>SUMIFS(BS_RE33!$H$7:$H$874,BS_RE33!$S$7:$S$874,$BD$2,BS_RE33!$N$7:$N$874,I21,BS_RE33!$P$7:$P$874,'30 days CF Table(NZD)'!G21,BS_RE33!$F$7:$F$874,'30 days CF Table(NZD)'!$C$2)</f>
        <v>0</v>
      </c>
      <c r="BE21" s="380">
        <f>SUMIFS(BS_RE33!$H$7:$H$874,BS_RE33!$S$7:$S$874,$BE$2,BS_RE33!$N$7:$N$874,I21,BS_RE33!$P$7:$P$874,'30 days CF Table(NZD)'!G21,BS_RE33!$F$7:$F$874,'30 days CF Table(NZD)'!$C$2)</f>
        <v>0</v>
      </c>
      <c r="BF21" s="380">
        <f>SUMIFS(BS_RE33!$H$7:$H$874,BS_RE33!$S$7:$S$874,$BF$2,BS_RE33!$N$7:$N$874,I21,BS_RE33!$P$7:$P$874,'30 days CF Table(NZD)'!G21,BS_RE33!$F$7:$F$874,'30 days CF Table(NZD)'!$C$2)</f>
        <v>0</v>
      </c>
      <c r="BG21" s="380">
        <f>SUMIFS(BS_RE33!$H$7:$H$874,BS_RE33!$S$7:$S$874,$BG$2,BS_RE33!$N$7:$N$874,I21,BS_RE33!$P$7:$P$874,'30 days CF Table(NZD)'!G21,BS_RE33!$F$7:$F$874,'30 days CF Table(NZD)'!$C$2)</f>
        <v>0</v>
      </c>
      <c r="BH21" s="380">
        <f>SUMIFS(BS_RE33!$H$7:$H$874,BS_RE33!$S$7:$S$874,$BH$2,BS_RE33!$N$7:$N$874,I21,BS_RE33!$P$7:$P$874,'30 days CF Table(NZD)'!G21,BS_RE33!$F$7:$F$874,'30 days CF Table(NZD)'!$C$2)</f>
        <v>0</v>
      </c>
      <c r="BI21" s="380">
        <f>SUMIFS(BS_RE33!$H$7:$H$874,BS_RE33!$S$7:$S$874,$BI$2,BS_RE33!$N$7:$N$874,I21,BS_RE33!$P$7:$P$874,'30 days CF Table(NZD)'!G21,BS_RE33!$F$7:$F$874,'30 days CF Table(NZD)'!$C$2)</f>
        <v>0</v>
      </c>
      <c r="BJ21" s="380">
        <f>SUMIFS(BS_RE33!$H$7:$H$874,BS_RE33!$S$7:$S$874,$BJ$2,BS_RE33!$N$7:$N$874,I21,BS_RE33!$P$7:$P$874,'30 days CF Table(NZD)'!G21,BS_RE33!$F$7:$F$874,'30 days CF Table(NZD)'!$C$2)</f>
        <v>0</v>
      </c>
      <c r="BK21" s="380">
        <f>SUMIFS(BS_RE33!$H$7:$H$874,BS_RE33!$S$7:$S$874,$BK$2,BS_RE33!$N$7:$N$874,I21,BS_RE33!$P$7:$P$874,'30 days CF Table(NZD)'!G21,BS_RE33!$F$7:$F$874,'30 days CF Table(NZD)'!$C$2)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Table(NZD)'!G22,BS_RE33!$F$7:$F$874,'30 days CF Table(NZD)'!$C$2)</f>
        <v>0</v>
      </c>
      <c r="M22" s="337">
        <f>SUMIFS(BS_RE33!$H$7:$H$874,BS_RE33!$S$7:$S$874,$M$2,BS_RE33!$N$7:$N$874,I22,BS_RE33!$P$7:$P$874,'30 days CF Table(NZD)'!G22,BS_RE33!$F$7:$F$874,'30 days CF Table(NZD)'!$C$2)</f>
        <v>0</v>
      </c>
      <c r="N22" s="337">
        <f>SUMIFS(BS_RE33!$H$7:$H$874,BS_RE33!$S$7:$S$874,$N$2,BS_RE33!$N$7:$N$874,I22,BS_RE33!$P$7:$P$874,'30 days CF Table(NZD)'!G22,BS_RE33!$F$7:$F$874,'30 days CF Table(NZD)'!$C$2)</f>
        <v>0</v>
      </c>
      <c r="O22" s="337">
        <f>SUMIFS(BS_RE33!$H$7:$H$874,BS_RE33!$S$7:$S$874,$O$2,BS_RE33!$N$7:$N$874,I22,BS_RE33!$P$7:$P$874,'30 days CF Table(NZD)'!G22,BS_RE33!$F$7:$F$874,'30 days CF Table(NZD)'!$C$2)</f>
        <v>0</v>
      </c>
      <c r="P22" s="337">
        <f>SUMIFS(BS_RE33!$H$7:$H$874,BS_RE33!$S$7:$S$874,$P$2,BS_RE33!$N$7:$N$874,I22,BS_RE33!$P$7:$P$874,'30 days CF Table(NZD)'!G22,BS_RE33!$F$7:$F$874,'30 days CF Table(NZD)'!$C$2)</f>
        <v>0</v>
      </c>
      <c r="Q22" s="337">
        <f>SUMIFS(BS_RE33!$H$7:$H$874,BS_RE33!$S$7:$S$874,$Q$2,BS_RE33!$N$7:$N$874,I22,BS_RE33!$P$7:$P$874,'30 days CF Table(NZD)'!G22,BS_RE33!$F$7:$F$874,'30 days CF Table(NZD)'!$C$2)</f>
        <v>0</v>
      </c>
      <c r="R22" s="337">
        <f>SUMIFS(BS_RE33!$H$7:$H$874,BS_RE33!$S$7:$S$874,$R$2,BS_RE33!$N$7:$N$874,I22,BS_RE33!$P$7:$P$874,'30 days CF Table(NZD)'!G22,BS_RE33!$F$7:$F$874,'30 days CF Table(NZD)'!$C$2)</f>
        <v>0</v>
      </c>
      <c r="S22" s="337">
        <f>SUMIFS(BS_RE33!$H$7:$H$874,BS_RE33!$S$7:$S$874,$S$2,BS_RE33!$N$7:$N$874,I22,BS_RE33!$P$7:$P$874,'30 days CF Table(NZD)'!G22,BS_RE33!$F$7:$F$874,'30 days CF Table(NZD)'!$C$2)</f>
        <v>0</v>
      </c>
      <c r="T22" s="337">
        <f>SUMIFS(BS_RE33!$H$7:$H$874,BS_RE33!$S$7:$S$874,$T$2,BS_RE33!$N$7:$N$874,I22,BS_RE33!$P$7:$P$874,'30 days CF Table(NZD)'!G22,BS_RE33!$F$7:$F$874,'30 days CF Table(NZD)'!$C$2)</f>
        <v>0</v>
      </c>
      <c r="U22" s="337">
        <f>SUMIFS(BS_RE33!$H$7:$H$874,BS_RE33!$S$7:$S$874,$U$2,BS_RE33!$N$7:$N$874,I22,BS_RE33!$P$7:$P$874,'30 days CF Table(NZD)'!G22,BS_RE33!$F$7:$F$874,'30 days CF Table(NZD)'!$C$2)</f>
        <v>0</v>
      </c>
      <c r="V22" s="337">
        <f>SUMIFS(BS_RE33!$H$7:$H$874,BS_RE33!$S$7:$S$874,$V$2,BS_RE33!$N$7:$N$874,I22,BS_RE33!$P$7:$P$874,'30 days CF Table(NZD)'!G22,BS_RE33!$F$7:$F$874,'30 days CF Table(NZD)'!$C$2)</f>
        <v>0</v>
      </c>
      <c r="W22" s="337">
        <f>SUMIFS(BS_RE33!$H$7:$H$874,BS_RE33!$S$7:$S$874,$W$2,BS_RE33!$N$7:$N$874,I22,BS_RE33!$P$7:$P$874,'30 days CF Table(NZD)'!G22,BS_RE33!$F$7:$F$874,'30 days CF Table(NZD)'!$C$2)</f>
        <v>0</v>
      </c>
      <c r="X22" s="337">
        <f>SUMIFS(BS_RE33!$H$7:$H$874,BS_RE33!$S$7:$S$874,$X$2,BS_RE33!$N$7:$N$874,I22,BS_RE33!$P$7:$P$874,'30 days CF Table(NZD)'!G22,BS_RE33!$F$7:$F$874,'30 days CF Table(NZD)'!$C$2)</f>
        <v>0</v>
      </c>
      <c r="Y22" s="337">
        <f>SUMIFS(BS_RE33!$H$7:$H$874,BS_RE33!$S$7:$S$874,$Y$2,BS_RE33!$N$7:$N$874,I22,BS_RE33!$P$7:$P$874,'30 days CF Table(NZD)'!G22,BS_RE33!$F$7:$F$874,'30 days CF Table(NZD)'!$C$2)</f>
        <v>0</v>
      </c>
      <c r="Z22" s="337">
        <f>SUMIFS(BS_RE33!$H$7:$H$874,BS_RE33!$S$7:$S$874,$Z$2,BS_RE33!$N$7:$N$874,I22,BS_RE33!$P$7:$P$874,'30 days CF Table(NZD)'!G22,BS_RE33!$F$7:$F$874,'30 days CF Table(NZD)'!$C$2)</f>
        <v>0</v>
      </c>
      <c r="AA22" s="337">
        <f>SUMIFS(BS_RE33!$H$7:$H$874,BS_RE33!$S$7:$S$874,$AA$2,BS_RE33!$N$7:$N$874,I22,BS_RE33!$P$7:$P$874,'30 days CF Table(NZD)'!G22,BS_RE33!$F$7:$F$874,'30 days CF Table(NZD)'!$C$2)</f>
        <v>0</v>
      </c>
      <c r="AB22" s="337">
        <f>SUMIFS(BS_RE33!$H$7:$H$874,BS_RE33!$S$7:$S$874,$AB$2,BS_RE33!$N$7:$N$874,I22,BS_RE33!$P$7:$P$874,'30 days CF Table(NZD)'!G22,BS_RE33!$F$7:$F$874,'30 days CF Table(NZD)'!$C$2)</f>
        <v>0</v>
      </c>
      <c r="AC22" s="337">
        <f>SUMIFS(BS_RE33!$H$7:$H$874,BS_RE33!$S$7:$S$874,$AC$2,BS_RE33!$N$7:$N$874,I22,BS_RE33!$P$7:$P$874,'30 days CF Table(NZD)'!G22,BS_RE33!$F$7:$F$874,'30 days CF Table(NZD)'!$C$2)</f>
        <v>0</v>
      </c>
      <c r="AD22" s="337">
        <f>SUMIFS(BS_RE33!$H$7:$H$874,BS_RE33!$S$7:$S$874,$AD$2,BS_RE33!$N$7:$N$874,I22,BS_RE33!$P$7:$P$874,'30 days CF Table(NZD)'!G22,BS_RE33!$F$7:$F$874,'30 days CF Table(NZD)'!$C$2)</f>
        <v>0</v>
      </c>
      <c r="AE22" s="337">
        <f>SUMIFS(BS_RE33!$H$7:$H$874,BS_RE33!$S$7:$S$874,$AE$2,BS_RE33!$N$7:$N$874,I22,BS_RE33!$P$7:$P$874,'30 days CF Table(NZD)'!G22,BS_RE33!$F$7:$F$874,'30 days CF Table(NZD)'!$C$2)</f>
        <v>0</v>
      </c>
      <c r="AF22" s="337">
        <f>SUMIFS(BS_RE33!$H$7:$H$874,BS_RE33!$S$7:$S$874,$AF$2,BS_RE33!$N$7:$N$874,I22,BS_RE33!$P$7:$P$874,'30 days CF Table(NZD)'!G22,BS_RE33!$F$7:$F$874,'30 days CF Table(NZD)'!$C$2)</f>
        <v>0</v>
      </c>
      <c r="AG22" s="337">
        <f>SUMIFS(BS_RE33!$H$7:$H$874,BS_RE33!$S$7:$S$874,$AG$2,BS_RE33!$N$7:$N$874,I22,BS_RE33!$P$7:$P$874,'30 days CF Table(NZD)'!G22,BS_RE33!$F$7:$F$874,'30 days CF Table(NZD)'!$C$2)</f>
        <v>0</v>
      </c>
      <c r="AH22" s="337">
        <f>SUMIFS(BS_RE33!$H$7:$H$874,BS_RE33!$S$7:$S$874,$AH$2,BS_RE33!$N$7:$N$874,I22,BS_RE33!$P$7:$P$874,'30 days CF Table(NZD)'!G22,BS_RE33!$F$7:$F$874,'30 days CF Table(NZD)'!$C$2)</f>
        <v>0</v>
      </c>
      <c r="AI22" s="337">
        <f>SUMIFS(BS_RE33!$H$7:$H$874,BS_RE33!$S$7:$S$874,$AI$2,BS_RE33!$N$7:$N$874,I22,BS_RE33!$P$7:$P$874,'30 days CF Table(NZD)'!G22,BS_RE33!$F$7:$F$874,'30 days CF Table(NZD)'!$C$2)</f>
        <v>0</v>
      </c>
      <c r="AJ22" s="337">
        <f>SUMIFS(BS_RE33!$H$7:$H$874,BS_RE33!$S$7:$S$874,$AJ$2,BS_RE33!$N$7:$N$874,I22,BS_RE33!$P$7:$P$874,'30 days CF Table(NZD)'!G22,BS_RE33!$F$7:$F$874,'30 days CF Table(NZD)'!$C$2)</f>
        <v>0</v>
      </c>
      <c r="AK22" s="337">
        <f>SUMIFS(BS_RE33!$H$7:$H$874,BS_RE33!$S$7:$S$874,$AK$2,BS_RE33!$N$7:$N$874,I22,BS_RE33!$P$7:$P$874,'30 days CF Table(NZD)'!G22,BS_RE33!$F$7:$F$874,'30 days CF Table(NZD)'!$C$2)</f>
        <v>0</v>
      </c>
      <c r="AL22" s="337">
        <f>SUMIFS(BS_RE33!$H$7:$H$874,BS_RE33!$S$7:$S$874,$AL$2,BS_RE33!$N$7:$N$874,I22,BS_RE33!$P$7:$P$874,'30 days CF Table(NZD)'!G22,BS_RE33!$F$7:$F$874,'30 days CF Table(NZD)'!$C$2)</f>
        <v>0</v>
      </c>
      <c r="AM22" s="337">
        <f>SUMIFS(BS_RE33!$H$7:$H$874,BS_RE33!$S$7:$S$874,$AM$2,BS_RE33!$N$7:$N$874,I22,BS_RE33!$P$7:$P$874,'30 days CF Table(NZD)'!G22,BS_RE33!$F$7:$F$874,'30 days CF Table(NZD)'!$C$2)</f>
        <v>0</v>
      </c>
      <c r="AN22" s="337">
        <f>SUMIFS(BS_RE33!$H$7:$H$874,BS_RE33!$S$7:$S$874,$AN$2,BS_RE33!$N$7:$N$874,I22,BS_RE33!$P$7:$P$874,'30 days CF Table(NZD)'!G22,BS_RE33!$F$7:$F$874,'30 days CF Table(NZD)'!$C$2)</f>
        <v>0</v>
      </c>
      <c r="AO22" s="337">
        <f>SUMIFS(BS_RE33!$H$7:$H$874,BS_RE33!$S$7:$S$874,$AO$2,BS_RE33!$N$7:$N$874,I22,BS_RE33!$P$7:$P$874,'30 days CF Table(NZD)'!G22,BS_RE33!$F$7:$F$874,'30 days CF Table(NZD)'!$C$2)</f>
        <v>0</v>
      </c>
      <c r="AP22" s="338">
        <f>SUMIFS(BS_RE33!$H$7:$H$874,BS_RE33!$S$7:$S$874,$AP$2,BS_RE33!$N$7:$N$874,I22,BS_RE33!$P$7:$P$874,'30 days CF Table(NZD)'!G22,BS_RE33!$F$7:$F$874,'30 days CF Table(NZD)'!$C$2)</f>
        <v>0</v>
      </c>
      <c r="AQ22" s="545"/>
      <c r="AR22" s="379">
        <f>SUMIFS(BS_RE33!$H$7:$H$874,BS_RE33!$S$7:$S$874,$AR$2,BS_RE33!$N$7:$N$874,I22,BS_RE33!$P$7:$P$874,'30 days CF Table(NZD)'!G22,BS_RE33!$F$7:$F$874,'30 days CF Table(NZD)'!$C$2)</f>
        <v>0</v>
      </c>
      <c r="AS22" s="379">
        <f>SUMIFS(BS_RE33!$H$7:$H$874,BS_RE33!$S$7:$S$874,$AS$2,BS_RE33!$N$7:$N$874,I22,BS_RE33!$P$7:$P$874,'30 days CF Table(NZD)'!G22,BS_RE33!$F$7:$F$874,'30 days CF Table(NZD)'!$C$2)</f>
        <v>0</v>
      </c>
      <c r="AT22" s="379">
        <f>SUMIFS(BS_RE33!$H$7:$H$874,BS_RE33!$S$7:$S$874,$AT$2,BS_RE33!$N$7:$N$874,I22,BS_RE33!$P$7:$P$874,'30 days CF Table(NZD)'!G22,BS_RE33!$F$7:$F$874,'30 days CF Table(NZD)'!$C$2)</f>
        <v>0</v>
      </c>
      <c r="AU22" s="379">
        <f>SUMIFS(BS_RE33!$H$7:$H$874,BS_RE33!$S$7:$S$874,$AU$2,BS_RE33!$N$7:$N$874,I22,BS_RE33!$P$7:$P$874,'30 days CF Table(NZD)'!G22,BS_RE33!$F$7:$F$874,'30 days CF Table(NZD)'!$C$2)</f>
        <v>0</v>
      </c>
      <c r="AV22" s="379">
        <f>SUMIFS(BS_RE33!$H$7:$H$874,BS_RE33!$S$7:$S$874,$AV$2,BS_RE33!$N$7:$N$874,I22,BS_RE33!$P$7:$P$874,'30 days CF Table(NZD)'!G22,BS_RE33!$F$7:$F$874,'30 days CF Table(NZD)'!$C$2)</f>
        <v>0</v>
      </c>
      <c r="AW22" s="379">
        <f>SUMIFS(BS_RE33!$H$7:$H$874,BS_RE33!$S$7:$S$874,$AW$2,BS_RE33!$N$7:$N$874,I22,BS_RE33!$P$7:$P$874,'30 days CF Table(NZD)'!G22,BS_RE33!$F$7:$F$874,'30 days CF Table(NZD)'!$C$2)</f>
        <v>0</v>
      </c>
      <c r="AX22" s="379">
        <f>SUMIFS(BS_RE33!$H$7:$H$874,BS_RE33!$S$7:$S$874,$AX$2,BS_RE33!$N$7:$N$874,I22,BS_RE33!$P$7:$P$874,'30 days CF Table(NZD)'!G22,BS_RE33!$F$7:$F$874,'30 days CF Table(NZD)'!$C$2)</f>
        <v>0</v>
      </c>
      <c r="AY22" s="379">
        <f>SUMIFS(BS_RE33!$H$7:$H$874,BS_RE33!$S$7:$S$874,$AY$2,BS_RE33!$N$7:$N$874,I22,BS_RE33!$P$7:$P$874,'30 days CF Table(NZD)'!G22,BS_RE33!$F$7:$F$874,'30 days CF Table(NZD)'!$C$2)</f>
        <v>0</v>
      </c>
      <c r="AZ22" s="379">
        <f>SUMIFS(BS_RE33!$H$7:$H$874,BS_RE33!$S$7:$S$874,$AZ$2,BS_RE33!$N$7:$N$874,I22,BS_RE33!$P$7:$P$874,'30 days CF Table(NZD)'!G22,BS_RE33!$F$7:$F$874,'30 days CF Table(NZD)'!$C$2)</f>
        <v>0</v>
      </c>
      <c r="BA22" s="379">
        <f>SUMIFS(BS_RE33!$H$7:$H$874,BS_RE33!$S$7:$S$874,$BA$2,BS_RE33!$N$7:$N$874,I22,BS_RE33!$P$7:$P$874,'30 days CF Table(NZD)'!G22,BS_RE33!$F$7:$F$874,'30 days CF Table(NZD)'!$C$2)</f>
        <v>0</v>
      </c>
      <c r="BB22" s="379">
        <f>SUMIFS(BS_RE33!$H$7:$H$874,BS_RE33!$S$7:$S$874,$BB$2,BS_RE33!$N$7:$N$874,I22,BS_RE33!$P$7:$P$874,'30 days CF Table(NZD)'!G22,BS_RE33!$F$7:$F$874,'30 days CF Table(NZD)'!$C$2)</f>
        <v>0</v>
      </c>
      <c r="BC22" s="379">
        <f>SUMIFS(BS_RE33!$H$7:$H$874,BS_RE33!$S$7:$S$874,$BC$2,BS_RE33!$N$7:$N$874,I22,BS_RE33!$P$7:$P$874,'30 days CF Table(NZD)'!G22,BS_RE33!$F$7:$F$874,'30 days CF Table(NZD)'!$C$2)</f>
        <v>0</v>
      </c>
      <c r="BD22" s="379">
        <f>SUMIFS(BS_RE33!$H$7:$H$874,BS_RE33!$S$7:$S$874,$BD$2,BS_RE33!$N$7:$N$874,I22,BS_RE33!$P$7:$P$874,'30 days CF Table(NZD)'!G22,BS_RE33!$F$7:$F$874,'30 days CF Table(NZD)'!$C$2)</f>
        <v>0</v>
      </c>
      <c r="BE22" s="379">
        <f>SUMIFS(BS_RE33!$H$7:$H$874,BS_RE33!$S$7:$S$874,$BE$2,BS_RE33!$N$7:$N$874,I22,BS_RE33!$P$7:$P$874,'30 days CF Table(NZD)'!G22,BS_RE33!$F$7:$F$874,'30 days CF Table(NZD)'!$C$2)</f>
        <v>0</v>
      </c>
      <c r="BF22" s="379">
        <f>SUMIFS(BS_RE33!$H$7:$H$874,BS_RE33!$S$7:$S$874,$BF$2,BS_RE33!$N$7:$N$874,I22,BS_RE33!$P$7:$P$874,'30 days CF Table(NZD)'!G22,BS_RE33!$F$7:$F$874,'30 days CF Table(NZD)'!$C$2)</f>
        <v>0</v>
      </c>
      <c r="BG22" s="379">
        <f>SUMIFS(BS_RE33!$H$7:$H$874,BS_RE33!$S$7:$S$874,$BG$2,BS_RE33!$N$7:$N$874,I22,BS_RE33!$P$7:$P$874,'30 days CF Table(NZD)'!G22,BS_RE33!$F$7:$F$874,'30 days CF Table(NZD)'!$C$2)</f>
        <v>0</v>
      </c>
      <c r="BH22" s="379">
        <f>SUMIFS(BS_RE33!$H$7:$H$874,BS_RE33!$S$7:$S$874,$BH$2,BS_RE33!$N$7:$N$874,I22,BS_RE33!$P$7:$P$874,'30 days CF Table(NZD)'!G22,BS_RE33!$F$7:$F$874,'30 days CF Table(NZD)'!$C$2)</f>
        <v>0</v>
      </c>
      <c r="BI22" s="379">
        <f>SUMIFS(BS_RE33!$H$7:$H$874,BS_RE33!$S$7:$S$874,$BI$2,BS_RE33!$N$7:$N$874,I22,BS_RE33!$P$7:$P$874,'30 days CF Table(NZD)'!G22,BS_RE33!$F$7:$F$874,'30 days CF Table(NZD)'!$C$2)</f>
        <v>0</v>
      </c>
      <c r="BJ22" s="379">
        <f>SUMIFS(BS_RE33!$H$7:$H$874,BS_RE33!$S$7:$S$874,$BJ$2,BS_RE33!$N$7:$N$874,I22,BS_RE33!$P$7:$P$874,'30 days CF Table(NZD)'!G22,BS_RE33!$F$7:$F$874,'30 days CF Table(NZD)'!$C$2)</f>
        <v>0</v>
      </c>
      <c r="BK22" s="379">
        <f>SUMIFS(BS_RE33!$H$7:$H$874,BS_RE33!$S$7:$S$874,$BK$2,BS_RE33!$N$7:$N$874,I22,BS_RE33!$P$7:$P$874,'30 days CF Table(NZD)'!G22,BS_RE33!$F$7:$F$874,'30 days CF Table(NZD)'!$C$2)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Table(NZD)'!G23,BS_RE33!$F$7:$F$874,'30 days CF Table(NZD)'!$C$2)</f>
        <v>0</v>
      </c>
      <c r="M23" s="337">
        <f>SUMIFS(BS_RE33!$H$7:$H$874,BS_RE33!$S$7:$S$874,$M$2,BS_RE33!$N$7:$N$874,I23,BS_RE33!$P$7:$P$874,'30 days CF Table(NZD)'!G23,BS_RE33!$F$7:$F$874,'30 days CF Table(NZD)'!$C$2)</f>
        <v>0</v>
      </c>
      <c r="N23" s="337">
        <f>SUMIFS(BS_RE33!$H$7:$H$874,BS_RE33!$S$7:$S$874,$N$2,BS_RE33!$N$7:$N$874,I23,BS_RE33!$P$7:$P$874,'30 days CF Table(NZD)'!G23,BS_RE33!$F$7:$F$874,'30 days CF Table(NZD)'!$C$2)</f>
        <v>0</v>
      </c>
      <c r="O23" s="337">
        <f>SUMIFS(BS_RE33!$H$7:$H$874,BS_RE33!$S$7:$S$874,$O$2,BS_RE33!$N$7:$N$874,I23,BS_RE33!$P$7:$P$874,'30 days CF Table(NZD)'!G23,BS_RE33!$F$7:$F$874,'30 days CF Table(NZD)'!$C$2)</f>
        <v>0</v>
      </c>
      <c r="P23" s="337">
        <f>SUMIFS(BS_RE33!$H$7:$H$874,BS_RE33!$S$7:$S$874,$P$2,BS_RE33!$N$7:$N$874,I23,BS_RE33!$P$7:$P$874,'30 days CF Table(NZD)'!G23,BS_RE33!$F$7:$F$874,'30 days CF Table(NZD)'!$C$2)</f>
        <v>0</v>
      </c>
      <c r="Q23" s="337">
        <f>SUMIFS(BS_RE33!$H$7:$H$874,BS_RE33!$S$7:$S$874,$Q$2,BS_RE33!$N$7:$N$874,I23,BS_RE33!$P$7:$P$874,'30 days CF Table(NZD)'!G23,BS_RE33!$F$7:$F$874,'30 days CF Table(NZD)'!$C$2)</f>
        <v>0</v>
      </c>
      <c r="R23" s="337">
        <f>SUMIFS(BS_RE33!$H$7:$H$874,BS_RE33!$S$7:$S$874,$R$2,BS_RE33!$N$7:$N$874,I23,BS_RE33!$P$7:$P$874,'30 days CF Table(NZD)'!G23,BS_RE33!$F$7:$F$874,'30 days CF Table(NZD)'!$C$2)</f>
        <v>0</v>
      </c>
      <c r="S23" s="337">
        <f>SUMIFS(BS_RE33!$H$7:$H$874,BS_RE33!$S$7:$S$874,$S$2,BS_RE33!$N$7:$N$874,I23,BS_RE33!$P$7:$P$874,'30 days CF Table(NZD)'!G23,BS_RE33!$F$7:$F$874,'30 days CF Table(NZD)'!$C$2)</f>
        <v>0</v>
      </c>
      <c r="T23" s="337">
        <f>SUMIFS(BS_RE33!$H$7:$H$874,BS_RE33!$S$7:$S$874,$T$2,BS_RE33!$N$7:$N$874,I23,BS_RE33!$P$7:$P$874,'30 days CF Table(NZD)'!G23,BS_RE33!$F$7:$F$874,'30 days CF Table(NZD)'!$C$2)</f>
        <v>0</v>
      </c>
      <c r="U23" s="337">
        <f>SUMIFS(BS_RE33!$H$7:$H$874,BS_RE33!$S$7:$S$874,$U$2,BS_RE33!$N$7:$N$874,I23,BS_RE33!$P$7:$P$874,'30 days CF Table(NZD)'!G23,BS_RE33!$F$7:$F$874,'30 days CF Table(NZD)'!$C$2)</f>
        <v>0</v>
      </c>
      <c r="V23" s="337">
        <f>SUMIFS(BS_RE33!$H$7:$H$874,BS_RE33!$S$7:$S$874,$V$2,BS_RE33!$N$7:$N$874,I23,BS_RE33!$P$7:$P$874,'30 days CF Table(NZD)'!G23,BS_RE33!$F$7:$F$874,'30 days CF Table(NZD)'!$C$2)</f>
        <v>0</v>
      </c>
      <c r="W23" s="337">
        <f>SUMIFS(BS_RE33!$H$7:$H$874,BS_RE33!$S$7:$S$874,$W$2,BS_RE33!$N$7:$N$874,I23,BS_RE33!$P$7:$P$874,'30 days CF Table(NZD)'!G23,BS_RE33!$F$7:$F$874,'30 days CF Table(NZD)'!$C$2)</f>
        <v>0</v>
      </c>
      <c r="X23" s="337">
        <f>SUMIFS(BS_RE33!$H$7:$H$874,BS_RE33!$S$7:$S$874,$X$2,BS_RE33!$N$7:$N$874,I23,BS_RE33!$P$7:$P$874,'30 days CF Table(NZD)'!G23,BS_RE33!$F$7:$F$874,'30 days CF Table(NZD)'!$C$2)</f>
        <v>0</v>
      </c>
      <c r="Y23" s="337">
        <f>SUMIFS(BS_RE33!$H$7:$H$874,BS_RE33!$S$7:$S$874,$Y$2,BS_RE33!$N$7:$N$874,I23,BS_RE33!$P$7:$P$874,'30 days CF Table(NZD)'!G23,BS_RE33!$F$7:$F$874,'30 days CF Table(NZD)'!$C$2)</f>
        <v>0</v>
      </c>
      <c r="Z23" s="337">
        <f>SUMIFS(BS_RE33!$H$7:$H$874,BS_RE33!$S$7:$S$874,$Z$2,BS_RE33!$N$7:$N$874,I23,BS_RE33!$P$7:$P$874,'30 days CF Table(NZD)'!G23,BS_RE33!$F$7:$F$874,'30 days CF Table(NZD)'!$C$2)</f>
        <v>0</v>
      </c>
      <c r="AA23" s="337">
        <f>SUMIFS(BS_RE33!$H$7:$H$874,BS_RE33!$S$7:$S$874,$AA$2,BS_RE33!$N$7:$N$874,I23,BS_RE33!$P$7:$P$874,'30 days CF Table(NZD)'!G23,BS_RE33!$F$7:$F$874,'30 days CF Table(NZD)'!$C$2)</f>
        <v>0</v>
      </c>
      <c r="AB23" s="337">
        <f>SUMIFS(BS_RE33!$H$7:$H$874,BS_RE33!$S$7:$S$874,$AB$2,BS_RE33!$N$7:$N$874,I23,BS_RE33!$P$7:$P$874,'30 days CF Table(NZD)'!G23,BS_RE33!$F$7:$F$874,'30 days CF Table(NZD)'!$C$2)</f>
        <v>0</v>
      </c>
      <c r="AC23" s="337">
        <f>SUMIFS(BS_RE33!$H$7:$H$874,BS_RE33!$S$7:$S$874,$AC$2,BS_RE33!$N$7:$N$874,I23,BS_RE33!$P$7:$P$874,'30 days CF Table(NZD)'!G23,BS_RE33!$F$7:$F$874,'30 days CF Table(NZD)'!$C$2)</f>
        <v>0</v>
      </c>
      <c r="AD23" s="337">
        <f>SUMIFS(BS_RE33!$H$7:$H$874,BS_RE33!$S$7:$S$874,$AD$2,BS_RE33!$N$7:$N$874,I23,BS_RE33!$P$7:$P$874,'30 days CF Table(NZD)'!G23,BS_RE33!$F$7:$F$874,'30 days CF Table(NZD)'!$C$2)</f>
        <v>0</v>
      </c>
      <c r="AE23" s="337">
        <f>SUMIFS(BS_RE33!$H$7:$H$874,BS_RE33!$S$7:$S$874,$AE$2,BS_RE33!$N$7:$N$874,I23,BS_RE33!$P$7:$P$874,'30 days CF Table(NZD)'!G23,BS_RE33!$F$7:$F$874,'30 days CF Table(NZD)'!$C$2)</f>
        <v>0</v>
      </c>
      <c r="AF23" s="337">
        <f>SUMIFS(BS_RE33!$H$7:$H$874,BS_RE33!$S$7:$S$874,$AF$2,BS_RE33!$N$7:$N$874,I23,BS_RE33!$P$7:$P$874,'30 days CF Table(NZD)'!G23,BS_RE33!$F$7:$F$874,'30 days CF Table(NZD)'!$C$2)</f>
        <v>0</v>
      </c>
      <c r="AG23" s="337">
        <f>SUMIFS(BS_RE33!$H$7:$H$874,BS_RE33!$S$7:$S$874,$AG$2,BS_RE33!$N$7:$N$874,I23,BS_RE33!$P$7:$P$874,'30 days CF Table(NZD)'!G23,BS_RE33!$F$7:$F$874,'30 days CF Table(NZD)'!$C$2)</f>
        <v>0</v>
      </c>
      <c r="AH23" s="337">
        <f>SUMIFS(BS_RE33!$H$7:$H$874,BS_RE33!$S$7:$S$874,$AH$2,BS_RE33!$N$7:$N$874,I23,BS_RE33!$P$7:$P$874,'30 days CF Table(NZD)'!G23,BS_RE33!$F$7:$F$874,'30 days CF Table(NZD)'!$C$2)</f>
        <v>0</v>
      </c>
      <c r="AI23" s="337">
        <f>SUMIFS(BS_RE33!$H$7:$H$874,BS_RE33!$S$7:$S$874,$AI$2,BS_RE33!$N$7:$N$874,I23,BS_RE33!$P$7:$P$874,'30 days CF Table(NZD)'!G23,BS_RE33!$F$7:$F$874,'30 days CF Table(NZD)'!$C$2)</f>
        <v>0</v>
      </c>
      <c r="AJ23" s="337">
        <f>SUMIFS(BS_RE33!$H$7:$H$874,BS_RE33!$S$7:$S$874,$AJ$2,BS_RE33!$N$7:$N$874,I23,BS_RE33!$P$7:$P$874,'30 days CF Table(NZD)'!G23,BS_RE33!$F$7:$F$874,'30 days CF Table(NZD)'!$C$2)</f>
        <v>0</v>
      </c>
      <c r="AK23" s="337">
        <f>SUMIFS(BS_RE33!$H$7:$H$874,BS_RE33!$S$7:$S$874,$AK$2,BS_RE33!$N$7:$N$874,I23,BS_RE33!$P$7:$P$874,'30 days CF Table(NZD)'!G23,BS_RE33!$F$7:$F$874,'30 days CF Table(NZD)'!$C$2)</f>
        <v>0</v>
      </c>
      <c r="AL23" s="337">
        <f>SUMIFS(BS_RE33!$H$7:$H$874,BS_RE33!$S$7:$S$874,$AL$2,BS_RE33!$N$7:$N$874,I23,BS_RE33!$P$7:$P$874,'30 days CF Table(NZD)'!G23,BS_RE33!$F$7:$F$874,'30 days CF Table(NZD)'!$C$2)</f>
        <v>0</v>
      </c>
      <c r="AM23" s="337">
        <f>SUMIFS(BS_RE33!$H$7:$H$874,BS_RE33!$S$7:$S$874,$AM$2,BS_RE33!$N$7:$N$874,I23,BS_RE33!$P$7:$P$874,'30 days CF Table(NZD)'!G23,BS_RE33!$F$7:$F$874,'30 days CF Table(NZD)'!$C$2)</f>
        <v>0</v>
      </c>
      <c r="AN23" s="337">
        <f>SUMIFS(BS_RE33!$H$7:$H$874,BS_RE33!$S$7:$S$874,$AN$2,BS_RE33!$N$7:$N$874,I23,BS_RE33!$P$7:$P$874,'30 days CF Table(NZD)'!G23,BS_RE33!$F$7:$F$874,'30 days CF Table(NZD)'!$C$2)</f>
        <v>0</v>
      </c>
      <c r="AO23" s="337">
        <f>SUMIFS(BS_RE33!$H$7:$H$874,BS_RE33!$S$7:$S$874,$AO$2,BS_RE33!$N$7:$N$874,I23,BS_RE33!$P$7:$P$874,'30 days CF Table(NZD)'!G23,BS_RE33!$F$7:$F$874,'30 days CF Table(NZD)'!$C$2)</f>
        <v>0</v>
      </c>
      <c r="AP23" s="338">
        <f>SUMIFS(BS_RE33!$H$7:$H$874,BS_RE33!$S$7:$S$874,$AP$2,BS_RE33!$N$7:$N$874,I23,BS_RE33!$P$7:$P$874,'30 days CF Table(NZD)'!G23,BS_RE33!$F$7:$F$874,'30 days CF Table(NZD)'!$C$2)</f>
        <v>0</v>
      </c>
      <c r="AQ23" s="545"/>
      <c r="AR23" s="379">
        <f>SUMIFS(BS_RE33!$H$7:$H$874,BS_RE33!$S$7:$S$874,$AR$2,BS_RE33!$N$7:$N$874,I23,BS_RE33!$P$7:$P$874,'30 days CF Table(NZD)'!G23,BS_RE33!$F$7:$F$874,'30 days CF Table(NZD)'!$C$2)</f>
        <v>0</v>
      </c>
      <c r="AS23" s="379">
        <f>SUMIFS(BS_RE33!$H$7:$H$874,BS_RE33!$S$7:$S$874,$AS$2,BS_RE33!$N$7:$N$874,I23,BS_RE33!$P$7:$P$874,'30 days CF Table(NZD)'!G23,BS_RE33!$F$7:$F$874,'30 days CF Table(NZD)'!$C$2)</f>
        <v>0</v>
      </c>
      <c r="AT23" s="379">
        <f>SUMIFS(BS_RE33!$H$7:$H$874,BS_RE33!$S$7:$S$874,$AT$2,BS_RE33!$N$7:$N$874,I23,BS_RE33!$P$7:$P$874,'30 days CF Table(NZD)'!G23,BS_RE33!$F$7:$F$874,'30 days CF Table(NZD)'!$C$2)</f>
        <v>0</v>
      </c>
      <c r="AU23" s="379">
        <f>SUMIFS(BS_RE33!$H$7:$H$874,BS_RE33!$S$7:$S$874,$AU$2,BS_RE33!$N$7:$N$874,I23,BS_RE33!$P$7:$P$874,'30 days CF Table(NZD)'!G23,BS_RE33!$F$7:$F$874,'30 days CF Table(NZD)'!$C$2)</f>
        <v>0</v>
      </c>
      <c r="AV23" s="379">
        <f>SUMIFS(BS_RE33!$H$7:$H$874,BS_RE33!$S$7:$S$874,$AV$2,BS_RE33!$N$7:$N$874,I23,BS_RE33!$P$7:$P$874,'30 days CF Table(NZD)'!G23,BS_RE33!$F$7:$F$874,'30 days CF Table(NZD)'!$C$2)</f>
        <v>0</v>
      </c>
      <c r="AW23" s="379">
        <f>SUMIFS(BS_RE33!$H$7:$H$874,BS_RE33!$S$7:$S$874,$AW$2,BS_RE33!$N$7:$N$874,I23,BS_RE33!$P$7:$P$874,'30 days CF Table(NZD)'!G23,BS_RE33!$F$7:$F$874,'30 days CF Table(NZD)'!$C$2)</f>
        <v>0</v>
      </c>
      <c r="AX23" s="379">
        <f>SUMIFS(BS_RE33!$H$7:$H$874,BS_RE33!$S$7:$S$874,$AX$2,BS_RE33!$N$7:$N$874,I23,BS_RE33!$P$7:$P$874,'30 days CF Table(NZD)'!G23,BS_RE33!$F$7:$F$874,'30 days CF Table(NZD)'!$C$2)</f>
        <v>0</v>
      </c>
      <c r="AY23" s="379">
        <f>SUMIFS(BS_RE33!$H$7:$H$874,BS_RE33!$S$7:$S$874,$AY$2,BS_RE33!$N$7:$N$874,I23,BS_RE33!$P$7:$P$874,'30 days CF Table(NZD)'!G23,BS_RE33!$F$7:$F$874,'30 days CF Table(NZD)'!$C$2)</f>
        <v>0</v>
      </c>
      <c r="AZ23" s="379">
        <f>SUMIFS(BS_RE33!$H$7:$H$874,BS_RE33!$S$7:$S$874,$AZ$2,BS_RE33!$N$7:$N$874,I23,BS_RE33!$P$7:$P$874,'30 days CF Table(NZD)'!G23,BS_RE33!$F$7:$F$874,'30 days CF Table(NZD)'!$C$2)</f>
        <v>0</v>
      </c>
      <c r="BA23" s="379">
        <f>SUMIFS(BS_RE33!$H$7:$H$874,BS_RE33!$S$7:$S$874,$BA$2,BS_RE33!$N$7:$N$874,I23,BS_RE33!$P$7:$P$874,'30 days CF Table(NZD)'!G23,BS_RE33!$F$7:$F$874,'30 days CF Table(NZD)'!$C$2)</f>
        <v>0</v>
      </c>
      <c r="BB23" s="379">
        <f>SUMIFS(BS_RE33!$H$7:$H$874,BS_RE33!$S$7:$S$874,$BB$2,BS_RE33!$N$7:$N$874,I23,BS_RE33!$P$7:$P$874,'30 days CF Table(NZD)'!G23,BS_RE33!$F$7:$F$874,'30 days CF Table(NZD)'!$C$2)</f>
        <v>0</v>
      </c>
      <c r="BC23" s="379">
        <f>SUMIFS(BS_RE33!$H$7:$H$874,BS_RE33!$S$7:$S$874,$BC$2,BS_RE33!$N$7:$N$874,I23,BS_RE33!$P$7:$P$874,'30 days CF Table(NZD)'!G23,BS_RE33!$F$7:$F$874,'30 days CF Table(NZD)'!$C$2)</f>
        <v>0</v>
      </c>
      <c r="BD23" s="379">
        <f>SUMIFS(BS_RE33!$H$7:$H$874,BS_RE33!$S$7:$S$874,$BD$2,BS_RE33!$N$7:$N$874,I23,BS_RE33!$P$7:$P$874,'30 days CF Table(NZD)'!G23,BS_RE33!$F$7:$F$874,'30 days CF Table(NZD)'!$C$2)</f>
        <v>0</v>
      </c>
      <c r="BE23" s="379">
        <f>SUMIFS(BS_RE33!$H$7:$H$874,BS_RE33!$S$7:$S$874,$BE$2,BS_RE33!$N$7:$N$874,I23,BS_RE33!$P$7:$P$874,'30 days CF Table(NZD)'!G23,BS_RE33!$F$7:$F$874,'30 days CF Table(NZD)'!$C$2)</f>
        <v>0</v>
      </c>
      <c r="BF23" s="379">
        <f>SUMIFS(BS_RE33!$H$7:$H$874,BS_RE33!$S$7:$S$874,$BF$2,BS_RE33!$N$7:$N$874,I23,BS_RE33!$P$7:$P$874,'30 days CF Table(NZD)'!G23,BS_RE33!$F$7:$F$874,'30 days CF Table(NZD)'!$C$2)</f>
        <v>0</v>
      </c>
      <c r="BG23" s="379">
        <f>SUMIFS(BS_RE33!$H$7:$H$874,BS_RE33!$S$7:$S$874,$BG$2,BS_RE33!$N$7:$N$874,I23,BS_RE33!$P$7:$P$874,'30 days CF Table(NZD)'!G23,BS_RE33!$F$7:$F$874,'30 days CF Table(NZD)'!$C$2)</f>
        <v>0</v>
      </c>
      <c r="BH23" s="379">
        <f>SUMIFS(BS_RE33!$H$7:$H$874,BS_RE33!$S$7:$S$874,$BH$2,BS_RE33!$N$7:$N$874,I23,BS_RE33!$P$7:$P$874,'30 days CF Table(NZD)'!G23,BS_RE33!$F$7:$F$874,'30 days CF Table(NZD)'!$C$2)</f>
        <v>0</v>
      </c>
      <c r="BI23" s="379">
        <f>SUMIFS(BS_RE33!$H$7:$H$874,BS_RE33!$S$7:$S$874,$BI$2,BS_RE33!$N$7:$N$874,I23,BS_RE33!$P$7:$P$874,'30 days CF Table(NZD)'!G23,BS_RE33!$F$7:$F$874,'30 days CF Table(NZD)'!$C$2)</f>
        <v>0</v>
      </c>
      <c r="BJ23" s="379">
        <f>SUMIFS(BS_RE33!$H$7:$H$874,BS_RE33!$S$7:$S$874,$BJ$2,BS_RE33!$N$7:$N$874,I23,BS_RE33!$P$7:$P$874,'30 days CF Table(NZD)'!G23,BS_RE33!$F$7:$F$874,'30 days CF Table(NZD)'!$C$2)</f>
        <v>0</v>
      </c>
      <c r="BK23" s="379">
        <f>SUMIFS(BS_RE33!$H$7:$H$874,BS_RE33!$S$7:$S$874,$BK$2,BS_RE33!$N$7:$N$874,I23,BS_RE33!$P$7:$P$874,'30 days CF Table(NZD)'!G23,BS_RE33!$F$7:$F$874,'30 days CF Table(NZD)'!$C$2)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Table(NZD)'!G24,BS_RE33!$F$7:$F$874,'30 days CF Table(NZD)'!$C$2)</f>
        <v>0</v>
      </c>
      <c r="M24" s="337">
        <f>SUMIFS(BS_RE33!$H$7:$H$874,BS_RE33!$S$7:$S$874,$M$2,BS_RE33!$N$7:$N$874,I24,BS_RE33!$P$7:$P$874,'30 days CF Table(NZD)'!G24,BS_RE33!$F$7:$F$874,'30 days CF Table(NZD)'!$C$2)</f>
        <v>0</v>
      </c>
      <c r="N24" s="337">
        <f>SUMIFS(BS_RE33!$H$7:$H$874,BS_RE33!$S$7:$S$874,$N$2,BS_RE33!$N$7:$N$874,I24,BS_RE33!$P$7:$P$874,'30 days CF Table(NZD)'!G24,BS_RE33!$F$7:$F$874,'30 days CF Table(NZD)'!$C$2)</f>
        <v>0</v>
      </c>
      <c r="O24" s="337">
        <f>SUMIFS(BS_RE33!$H$7:$H$874,BS_RE33!$S$7:$S$874,$O$2,BS_RE33!$N$7:$N$874,I24,BS_RE33!$P$7:$P$874,'30 days CF Table(NZD)'!G24,BS_RE33!$F$7:$F$874,'30 days CF Table(NZD)'!$C$2)</f>
        <v>0</v>
      </c>
      <c r="P24" s="337">
        <f>SUMIFS(BS_RE33!$H$7:$H$874,BS_RE33!$S$7:$S$874,$P$2,BS_RE33!$N$7:$N$874,I24,BS_RE33!$P$7:$P$874,'30 days CF Table(NZD)'!G24,BS_RE33!$F$7:$F$874,'30 days CF Table(NZD)'!$C$2)</f>
        <v>0</v>
      </c>
      <c r="Q24" s="337">
        <f>SUMIFS(BS_RE33!$H$7:$H$874,BS_RE33!$S$7:$S$874,$Q$2,BS_RE33!$N$7:$N$874,I24,BS_RE33!$P$7:$P$874,'30 days CF Table(NZD)'!G24,BS_RE33!$F$7:$F$874,'30 days CF Table(NZD)'!$C$2)</f>
        <v>0</v>
      </c>
      <c r="R24" s="337">
        <f>SUMIFS(BS_RE33!$H$7:$H$874,BS_RE33!$S$7:$S$874,$R$2,BS_RE33!$N$7:$N$874,I24,BS_RE33!$P$7:$P$874,'30 days CF Table(NZD)'!G24,BS_RE33!$F$7:$F$874,'30 days CF Table(NZD)'!$C$2)</f>
        <v>0</v>
      </c>
      <c r="S24" s="337">
        <f>SUMIFS(BS_RE33!$H$7:$H$874,BS_RE33!$S$7:$S$874,$S$2,BS_RE33!$N$7:$N$874,I24,BS_RE33!$P$7:$P$874,'30 days CF Table(NZD)'!G24,BS_RE33!$F$7:$F$874,'30 days CF Table(NZD)'!$C$2)</f>
        <v>0</v>
      </c>
      <c r="T24" s="337">
        <f>SUMIFS(BS_RE33!$H$7:$H$874,BS_RE33!$S$7:$S$874,$T$2,BS_RE33!$N$7:$N$874,I24,BS_RE33!$P$7:$P$874,'30 days CF Table(NZD)'!G24,BS_RE33!$F$7:$F$874,'30 days CF Table(NZD)'!$C$2)</f>
        <v>0</v>
      </c>
      <c r="U24" s="337">
        <f>SUMIFS(BS_RE33!$H$7:$H$874,BS_RE33!$S$7:$S$874,$U$2,BS_RE33!$N$7:$N$874,I24,BS_RE33!$P$7:$P$874,'30 days CF Table(NZD)'!G24,BS_RE33!$F$7:$F$874,'30 days CF Table(NZD)'!$C$2)</f>
        <v>0</v>
      </c>
      <c r="V24" s="337">
        <f>SUMIFS(BS_RE33!$H$7:$H$874,BS_RE33!$S$7:$S$874,$V$2,BS_RE33!$N$7:$N$874,I24,BS_RE33!$P$7:$P$874,'30 days CF Table(NZD)'!G24,BS_RE33!$F$7:$F$874,'30 days CF Table(NZD)'!$C$2)</f>
        <v>0</v>
      </c>
      <c r="W24" s="337">
        <f>SUMIFS(BS_RE33!$H$7:$H$874,BS_RE33!$S$7:$S$874,$W$2,BS_RE33!$N$7:$N$874,I24,BS_RE33!$P$7:$P$874,'30 days CF Table(NZD)'!G24,BS_RE33!$F$7:$F$874,'30 days CF Table(NZD)'!$C$2)</f>
        <v>0</v>
      </c>
      <c r="X24" s="337">
        <f>SUMIFS(BS_RE33!$H$7:$H$874,BS_RE33!$S$7:$S$874,$X$2,BS_RE33!$N$7:$N$874,I24,BS_RE33!$P$7:$P$874,'30 days CF Table(NZD)'!G24,BS_RE33!$F$7:$F$874,'30 days CF Table(NZD)'!$C$2)</f>
        <v>0</v>
      </c>
      <c r="Y24" s="337">
        <f>SUMIFS(BS_RE33!$H$7:$H$874,BS_RE33!$S$7:$S$874,$Y$2,BS_RE33!$N$7:$N$874,I24,BS_RE33!$P$7:$P$874,'30 days CF Table(NZD)'!G24,BS_RE33!$F$7:$F$874,'30 days CF Table(NZD)'!$C$2)</f>
        <v>0</v>
      </c>
      <c r="Z24" s="337">
        <f>SUMIFS(BS_RE33!$H$7:$H$874,BS_RE33!$S$7:$S$874,$Z$2,BS_RE33!$N$7:$N$874,I24,BS_RE33!$P$7:$P$874,'30 days CF Table(NZD)'!G24,BS_RE33!$F$7:$F$874,'30 days CF Table(NZD)'!$C$2)</f>
        <v>0</v>
      </c>
      <c r="AA24" s="337">
        <f>SUMIFS(BS_RE33!$H$7:$H$874,BS_RE33!$S$7:$S$874,$AA$2,BS_RE33!$N$7:$N$874,I24,BS_RE33!$P$7:$P$874,'30 days CF Table(NZD)'!G24,BS_RE33!$F$7:$F$874,'30 days CF Table(NZD)'!$C$2)</f>
        <v>0</v>
      </c>
      <c r="AB24" s="337">
        <f>SUMIFS(BS_RE33!$H$7:$H$874,BS_RE33!$S$7:$S$874,$AB$2,BS_RE33!$N$7:$N$874,I24,BS_RE33!$P$7:$P$874,'30 days CF Table(NZD)'!G24,BS_RE33!$F$7:$F$874,'30 days CF Table(NZD)'!$C$2)</f>
        <v>0</v>
      </c>
      <c r="AC24" s="337">
        <f>SUMIFS(BS_RE33!$H$7:$H$874,BS_RE33!$S$7:$S$874,$AC$2,BS_RE33!$N$7:$N$874,I24,BS_RE33!$P$7:$P$874,'30 days CF Table(NZD)'!G24,BS_RE33!$F$7:$F$874,'30 days CF Table(NZD)'!$C$2)</f>
        <v>0</v>
      </c>
      <c r="AD24" s="337">
        <f>SUMIFS(BS_RE33!$H$7:$H$874,BS_RE33!$S$7:$S$874,$AD$2,BS_RE33!$N$7:$N$874,I24,BS_RE33!$P$7:$P$874,'30 days CF Table(NZD)'!G24,BS_RE33!$F$7:$F$874,'30 days CF Table(NZD)'!$C$2)</f>
        <v>0</v>
      </c>
      <c r="AE24" s="337">
        <f>SUMIFS(BS_RE33!$H$7:$H$874,BS_RE33!$S$7:$S$874,$AE$2,BS_RE33!$N$7:$N$874,I24,BS_RE33!$P$7:$P$874,'30 days CF Table(NZD)'!G24,BS_RE33!$F$7:$F$874,'30 days CF Table(NZD)'!$C$2)</f>
        <v>0</v>
      </c>
      <c r="AF24" s="337">
        <f>SUMIFS(BS_RE33!$H$7:$H$874,BS_RE33!$S$7:$S$874,$AF$2,BS_RE33!$N$7:$N$874,I24,BS_RE33!$P$7:$P$874,'30 days CF Table(NZD)'!G24,BS_RE33!$F$7:$F$874,'30 days CF Table(NZD)'!$C$2)</f>
        <v>0</v>
      </c>
      <c r="AG24" s="337">
        <f>SUMIFS(BS_RE33!$H$7:$H$874,BS_RE33!$S$7:$S$874,$AG$2,BS_RE33!$N$7:$N$874,I24,BS_RE33!$P$7:$P$874,'30 days CF Table(NZD)'!G24,BS_RE33!$F$7:$F$874,'30 days CF Table(NZD)'!$C$2)</f>
        <v>0</v>
      </c>
      <c r="AH24" s="337">
        <f>SUMIFS(BS_RE33!$H$7:$H$874,BS_RE33!$S$7:$S$874,$AH$2,BS_RE33!$N$7:$N$874,I24,BS_RE33!$P$7:$P$874,'30 days CF Table(NZD)'!G24,BS_RE33!$F$7:$F$874,'30 days CF Table(NZD)'!$C$2)</f>
        <v>0</v>
      </c>
      <c r="AI24" s="337">
        <f>SUMIFS(BS_RE33!$H$7:$H$874,BS_RE33!$S$7:$S$874,$AI$2,BS_RE33!$N$7:$N$874,I24,BS_RE33!$P$7:$P$874,'30 days CF Table(NZD)'!G24,BS_RE33!$F$7:$F$874,'30 days CF Table(NZD)'!$C$2)</f>
        <v>0</v>
      </c>
      <c r="AJ24" s="337">
        <f>SUMIFS(BS_RE33!$H$7:$H$874,BS_RE33!$S$7:$S$874,$AJ$2,BS_RE33!$N$7:$N$874,I24,BS_RE33!$P$7:$P$874,'30 days CF Table(NZD)'!G24,BS_RE33!$F$7:$F$874,'30 days CF Table(NZD)'!$C$2)</f>
        <v>0</v>
      </c>
      <c r="AK24" s="337">
        <f>SUMIFS(BS_RE33!$H$7:$H$874,BS_RE33!$S$7:$S$874,$AK$2,BS_RE33!$N$7:$N$874,I24,BS_RE33!$P$7:$P$874,'30 days CF Table(NZD)'!G24,BS_RE33!$F$7:$F$874,'30 days CF Table(NZD)'!$C$2)</f>
        <v>0</v>
      </c>
      <c r="AL24" s="337">
        <f>SUMIFS(BS_RE33!$H$7:$H$874,BS_RE33!$S$7:$S$874,$AL$2,BS_RE33!$N$7:$N$874,I24,BS_RE33!$P$7:$P$874,'30 days CF Table(NZD)'!G24,BS_RE33!$F$7:$F$874,'30 days CF Table(NZD)'!$C$2)</f>
        <v>0</v>
      </c>
      <c r="AM24" s="337">
        <f>SUMIFS(BS_RE33!$H$7:$H$874,BS_RE33!$S$7:$S$874,$AM$2,BS_RE33!$N$7:$N$874,I24,BS_RE33!$P$7:$P$874,'30 days CF Table(NZD)'!G24,BS_RE33!$F$7:$F$874,'30 days CF Table(NZD)'!$C$2)</f>
        <v>0</v>
      </c>
      <c r="AN24" s="337">
        <f>SUMIFS(BS_RE33!$H$7:$H$874,BS_RE33!$S$7:$S$874,$AN$2,BS_RE33!$N$7:$N$874,I24,BS_RE33!$P$7:$P$874,'30 days CF Table(NZD)'!G24,BS_RE33!$F$7:$F$874,'30 days CF Table(NZD)'!$C$2)</f>
        <v>0</v>
      </c>
      <c r="AO24" s="337">
        <f>SUMIFS(BS_RE33!$H$7:$H$874,BS_RE33!$S$7:$S$874,$AO$2,BS_RE33!$N$7:$N$874,I24,BS_RE33!$P$7:$P$874,'30 days CF Table(NZD)'!G24,BS_RE33!$F$7:$F$874,'30 days CF Table(NZD)'!$C$2)</f>
        <v>0</v>
      </c>
      <c r="AP24" s="338">
        <f>SUMIFS(BS_RE33!$H$7:$H$874,BS_RE33!$S$7:$S$874,$AP$2,BS_RE33!$N$7:$N$874,I24,BS_RE33!$P$7:$P$874,'30 days CF Table(NZD)'!G24,BS_RE33!$F$7:$F$874,'30 days CF Table(NZD)'!$C$2)</f>
        <v>0</v>
      </c>
      <c r="AQ24" s="545"/>
      <c r="AR24" s="379">
        <f>SUMIFS(BS_RE33!$H$7:$H$874,BS_RE33!$S$7:$S$874,$AR$2,BS_RE33!$N$7:$N$874,I24,BS_RE33!$P$7:$P$874,'30 days CF Table(NZD)'!G24,BS_RE33!$F$7:$F$874,'30 days CF Table(NZD)'!$C$2)</f>
        <v>0</v>
      </c>
      <c r="AS24" s="379">
        <f>SUMIFS(BS_RE33!$H$7:$H$874,BS_RE33!$S$7:$S$874,$AS$2,BS_RE33!$N$7:$N$874,I24,BS_RE33!$P$7:$P$874,'30 days CF Table(NZD)'!G24,BS_RE33!$F$7:$F$874,'30 days CF Table(NZD)'!$C$2)</f>
        <v>0</v>
      </c>
      <c r="AT24" s="379">
        <f>SUMIFS(BS_RE33!$H$7:$H$874,BS_RE33!$S$7:$S$874,$AT$2,BS_RE33!$N$7:$N$874,I24,BS_RE33!$P$7:$P$874,'30 days CF Table(NZD)'!G24,BS_RE33!$F$7:$F$874,'30 days CF Table(NZD)'!$C$2)</f>
        <v>0</v>
      </c>
      <c r="AU24" s="379">
        <f>SUMIFS(BS_RE33!$H$7:$H$874,BS_RE33!$S$7:$S$874,$AU$2,BS_RE33!$N$7:$N$874,I24,BS_RE33!$P$7:$P$874,'30 days CF Table(NZD)'!G24,BS_RE33!$F$7:$F$874,'30 days CF Table(NZD)'!$C$2)</f>
        <v>0</v>
      </c>
      <c r="AV24" s="379">
        <f>SUMIFS(BS_RE33!$H$7:$H$874,BS_RE33!$S$7:$S$874,$AV$2,BS_RE33!$N$7:$N$874,I24,BS_RE33!$P$7:$P$874,'30 days CF Table(NZD)'!G24,BS_RE33!$F$7:$F$874,'30 days CF Table(NZD)'!$C$2)</f>
        <v>0</v>
      </c>
      <c r="AW24" s="379">
        <f>SUMIFS(BS_RE33!$H$7:$H$874,BS_RE33!$S$7:$S$874,$AW$2,BS_RE33!$N$7:$N$874,I24,BS_RE33!$P$7:$P$874,'30 days CF Table(NZD)'!G24,BS_RE33!$F$7:$F$874,'30 days CF Table(NZD)'!$C$2)</f>
        <v>0</v>
      </c>
      <c r="AX24" s="379">
        <f>SUMIFS(BS_RE33!$H$7:$H$874,BS_RE33!$S$7:$S$874,$AX$2,BS_RE33!$N$7:$N$874,I24,BS_RE33!$P$7:$P$874,'30 days CF Table(NZD)'!G24,BS_RE33!$F$7:$F$874,'30 days CF Table(NZD)'!$C$2)</f>
        <v>0</v>
      </c>
      <c r="AY24" s="379">
        <f>SUMIFS(BS_RE33!$H$7:$H$874,BS_RE33!$S$7:$S$874,$AY$2,BS_RE33!$N$7:$N$874,I24,BS_RE33!$P$7:$P$874,'30 days CF Table(NZD)'!G24,BS_RE33!$F$7:$F$874,'30 days CF Table(NZD)'!$C$2)</f>
        <v>0</v>
      </c>
      <c r="AZ24" s="379">
        <f>SUMIFS(BS_RE33!$H$7:$H$874,BS_RE33!$S$7:$S$874,$AZ$2,BS_RE33!$N$7:$N$874,I24,BS_RE33!$P$7:$P$874,'30 days CF Table(NZD)'!G24,BS_RE33!$F$7:$F$874,'30 days CF Table(NZD)'!$C$2)</f>
        <v>0</v>
      </c>
      <c r="BA24" s="379">
        <f>SUMIFS(BS_RE33!$H$7:$H$874,BS_RE33!$S$7:$S$874,$BA$2,BS_RE33!$N$7:$N$874,I24,BS_RE33!$P$7:$P$874,'30 days CF Table(NZD)'!G24,BS_RE33!$F$7:$F$874,'30 days CF Table(NZD)'!$C$2)</f>
        <v>0</v>
      </c>
      <c r="BB24" s="379">
        <f>SUMIFS(BS_RE33!$H$7:$H$874,BS_RE33!$S$7:$S$874,$BB$2,BS_RE33!$N$7:$N$874,I24,BS_RE33!$P$7:$P$874,'30 days CF Table(NZD)'!G24,BS_RE33!$F$7:$F$874,'30 days CF Table(NZD)'!$C$2)</f>
        <v>0</v>
      </c>
      <c r="BC24" s="379">
        <f>SUMIFS(BS_RE33!$H$7:$H$874,BS_RE33!$S$7:$S$874,$BC$2,BS_RE33!$N$7:$N$874,I24,BS_RE33!$P$7:$P$874,'30 days CF Table(NZD)'!G24,BS_RE33!$F$7:$F$874,'30 days CF Table(NZD)'!$C$2)</f>
        <v>0</v>
      </c>
      <c r="BD24" s="379">
        <f>SUMIFS(BS_RE33!$H$7:$H$874,BS_RE33!$S$7:$S$874,$BD$2,BS_RE33!$N$7:$N$874,I24,BS_RE33!$P$7:$P$874,'30 days CF Table(NZD)'!G24,BS_RE33!$F$7:$F$874,'30 days CF Table(NZD)'!$C$2)</f>
        <v>0</v>
      </c>
      <c r="BE24" s="379">
        <f>SUMIFS(BS_RE33!$H$7:$H$874,BS_RE33!$S$7:$S$874,$BE$2,BS_RE33!$N$7:$N$874,I24,BS_RE33!$P$7:$P$874,'30 days CF Table(NZD)'!G24,BS_RE33!$F$7:$F$874,'30 days CF Table(NZD)'!$C$2)</f>
        <v>0</v>
      </c>
      <c r="BF24" s="379">
        <f>SUMIFS(BS_RE33!$H$7:$H$874,BS_RE33!$S$7:$S$874,$BF$2,BS_RE33!$N$7:$N$874,I24,BS_RE33!$P$7:$P$874,'30 days CF Table(NZD)'!G24,BS_RE33!$F$7:$F$874,'30 days CF Table(NZD)'!$C$2)</f>
        <v>0</v>
      </c>
      <c r="BG24" s="379">
        <f>SUMIFS(BS_RE33!$H$7:$H$874,BS_RE33!$S$7:$S$874,$BG$2,BS_RE33!$N$7:$N$874,I24,BS_RE33!$P$7:$P$874,'30 days CF Table(NZD)'!G24,BS_RE33!$F$7:$F$874,'30 days CF Table(NZD)'!$C$2)</f>
        <v>0</v>
      </c>
      <c r="BH24" s="379">
        <f>SUMIFS(BS_RE33!$H$7:$H$874,BS_RE33!$S$7:$S$874,$BH$2,BS_RE33!$N$7:$N$874,I24,BS_RE33!$P$7:$P$874,'30 days CF Table(NZD)'!G24,BS_RE33!$F$7:$F$874,'30 days CF Table(NZD)'!$C$2)</f>
        <v>0</v>
      </c>
      <c r="BI24" s="379">
        <f>SUMIFS(BS_RE33!$H$7:$H$874,BS_RE33!$S$7:$S$874,$BI$2,BS_RE33!$N$7:$N$874,I24,BS_RE33!$P$7:$P$874,'30 days CF Table(NZD)'!G24,BS_RE33!$F$7:$F$874,'30 days CF Table(NZD)'!$C$2)</f>
        <v>0</v>
      </c>
      <c r="BJ24" s="379">
        <f>SUMIFS(BS_RE33!$H$7:$H$874,BS_RE33!$S$7:$S$874,$BJ$2,BS_RE33!$N$7:$N$874,I24,BS_RE33!$P$7:$P$874,'30 days CF Table(NZD)'!G24,BS_RE33!$F$7:$F$874,'30 days CF Table(NZD)'!$C$2)</f>
        <v>0</v>
      </c>
      <c r="BK24" s="379">
        <f>SUMIFS(BS_RE33!$H$7:$H$874,BS_RE33!$S$7:$S$874,$BK$2,BS_RE33!$N$7:$N$874,I24,BS_RE33!$P$7:$P$874,'30 days CF Table(NZD)'!G24,BS_RE33!$F$7:$F$874,'30 days CF Table(NZD)'!$C$2)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Table(NZD)'!G25,BS_RE33!$F$7:$F$874,'30 days CF Table(NZD)'!$C$2)</f>
        <v>0</v>
      </c>
      <c r="M25" s="337">
        <f>SUMIFS(BS_RE33!$H$7:$H$874,BS_RE33!$S$7:$S$874,$M$2,BS_RE33!$N$7:$N$874,I25,BS_RE33!$P$7:$P$874,'30 days CF Table(NZD)'!G25,BS_RE33!$F$7:$F$874,'30 days CF Table(NZD)'!$C$2)</f>
        <v>0</v>
      </c>
      <c r="N25" s="337">
        <f>SUMIFS(BS_RE33!$H$7:$H$874,BS_RE33!$S$7:$S$874,$N$2,BS_RE33!$N$7:$N$874,I25,BS_RE33!$P$7:$P$874,'30 days CF Table(NZD)'!G25,BS_RE33!$F$7:$F$874,'30 days CF Table(NZD)'!$C$2)</f>
        <v>0</v>
      </c>
      <c r="O25" s="337">
        <f>SUMIFS(BS_RE33!$H$7:$H$874,BS_RE33!$S$7:$S$874,$O$2,BS_RE33!$N$7:$N$874,I25,BS_RE33!$P$7:$P$874,'30 days CF Table(NZD)'!G25,BS_RE33!$F$7:$F$874,'30 days CF Table(NZD)'!$C$2)</f>
        <v>0</v>
      </c>
      <c r="P25" s="337">
        <f>SUMIFS(BS_RE33!$H$7:$H$874,BS_RE33!$S$7:$S$874,$P$2,BS_RE33!$N$7:$N$874,I25,BS_RE33!$P$7:$P$874,'30 days CF Table(NZD)'!G25,BS_RE33!$F$7:$F$874,'30 days CF Table(NZD)'!$C$2)</f>
        <v>0</v>
      </c>
      <c r="Q25" s="337">
        <f>SUMIFS(BS_RE33!$H$7:$H$874,BS_RE33!$S$7:$S$874,$Q$2,BS_RE33!$N$7:$N$874,I25,BS_RE33!$P$7:$P$874,'30 days CF Table(NZD)'!G25,BS_RE33!$F$7:$F$874,'30 days CF Table(NZD)'!$C$2)</f>
        <v>0</v>
      </c>
      <c r="R25" s="337">
        <f>SUMIFS(BS_RE33!$H$7:$H$874,BS_RE33!$S$7:$S$874,$R$2,BS_RE33!$N$7:$N$874,I25,BS_RE33!$P$7:$P$874,'30 days CF Table(NZD)'!G25,BS_RE33!$F$7:$F$874,'30 days CF Table(NZD)'!$C$2)</f>
        <v>0</v>
      </c>
      <c r="S25" s="337">
        <f>SUMIFS(BS_RE33!$H$7:$H$874,BS_RE33!$S$7:$S$874,$S$2,BS_RE33!$N$7:$N$874,I25,BS_RE33!$P$7:$P$874,'30 days CF Table(NZD)'!G25,BS_RE33!$F$7:$F$874,'30 days CF Table(NZD)'!$C$2)</f>
        <v>0</v>
      </c>
      <c r="T25" s="337">
        <f>SUMIFS(BS_RE33!$H$7:$H$874,BS_RE33!$S$7:$S$874,$T$2,BS_RE33!$N$7:$N$874,I25,BS_RE33!$P$7:$P$874,'30 days CF Table(NZD)'!G25,BS_RE33!$F$7:$F$874,'30 days CF Table(NZD)'!$C$2)</f>
        <v>0</v>
      </c>
      <c r="U25" s="337">
        <f>SUMIFS(BS_RE33!$H$7:$H$874,BS_RE33!$S$7:$S$874,$U$2,BS_RE33!$N$7:$N$874,I25,BS_RE33!$P$7:$P$874,'30 days CF Table(NZD)'!G25,BS_RE33!$F$7:$F$874,'30 days CF Table(NZD)'!$C$2)</f>
        <v>0</v>
      </c>
      <c r="V25" s="337">
        <f>SUMIFS(BS_RE33!$H$7:$H$874,BS_RE33!$S$7:$S$874,$V$2,BS_RE33!$N$7:$N$874,I25,BS_RE33!$P$7:$P$874,'30 days CF Table(NZD)'!G25,BS_RE33!$F$7:$F$874,'30 days CF Table(NZD)'!$C$2)</f>
        <v>0</v>
      </c>
      <c r="W25" s="337">
        <f>SUMIFS(BS_RE33!$H$7:$H$874,BS_RE33!$S$7:$S$874,$W$2,BS_RE33!$N$7:$N$874,I25,BS_RE33!$P$7:$P$874,'30 days CF Table(NZD)'!G25,BS_RE33!$F$7:$F$874,'30 days CF Table(NZD)'!$C$2)</f>
        <v>0</v>
      </c>
      <c r="X25" s="337">
        <f>SUMIFS(BS_RE33!$H$7:$H$874,BS_RE33!$S$7:$S$874,$X$2,BS_RE33!$N$7:$N$874,I25,BS_RE33!$P$7:$P$874,'30 days CF Table(NZD)'!G25,BS_RE33!$F$7:$F$874,'30 days CF Table(NZD)'!$C$2)</f>
        <v>0</v>
      </c>
      <c r="Y25" s="337">
        <f>SUMIFS(BS_RE33!$H$7:$H$874,BS_RE33!$S$7:$S$874,$Y$2,BS_RE33!$N$7:$N$874,I25,BS_RE33!$P$7:$P$874,'30 days CF Table(NZD)'!G25,BS_RE33!$F$7:$F$874,'30 days CF Table(NZD)'!$C$2)</f>
        <v>0</v>
      </c>
      <c r="Z25" s="337">
        <f>SUMIFS(BS_RE33!$H$7:$H$874,BS_RE33!$S$7:$S$874,$Z$2,BS_RE33!$N$7:$N$874,I25,BS_RE33!$P$7:$P$874,'30 days CF Table(NZD)'!G25,BS_RE33!$F$7:$F$874,'30 days CF Table(NZD)'!$C$2)</f>
        <v>0</v>
      </c>
      <c r="AA25" s="337">
        <f>SUMIFS(BS_RE33!$H$7:$H$874,BS_RE33!$S$7:$S$874,$AA$2,BS_RE33!$N$7:$N$874,I25,BS_RE33!$P$7:$P$874,'30 days CF Table(NZD)'!G25,BS_RE33!$F$7:$F$874,'30 days CF Table(NZD)'!$C$2)</f>
        <v>0</v>
      </c>
      <c r="AB25" s="337">
        <f>SUMIFS(BS_RE33!$H$7:$H$874,BS_RE33!$S$7:$S$874,$AB$2,BS_RE33!$N$7:$N$874,I25,BS_RE33!$P$7:$P$874,'30 days CF Table(NZD)'!G25,BS_RE33!$F$7:$F$874,'30 days CF Table(NZD)'!$C$2)</f>
        <v>0</v>
      </c>
      <c r="AC25" s="337">
        <f>SUMIFS(BS_RE33!$H$7:$H$874,BS_RE33!$S$7:$S$874,$AC$2,BS_RE33!$N$7:$N$874,I25,BS_RE33!$P$7:$P$874,'30 days CF Table(NZD)'!G25,BS_RE33!$F$7:$F$874,'30 days CF Table(NZD)'!$C$2)</f>
        <v>0</v>
      </c>
      <c r="AD25" s="337">
        <f>SUMIFS(BS_RE33!$H$7:$H$874,BS_RE33!$S$7:$S$874,$AD$2,BS_RE33!$N$7:$N$874,I25,BS_RE33!$P$7:$P$874,'30 days CF Table(NZD)'!G25,BS_RE33!$F$7:$F$874,'30 days CF Table(NZD)'!$C$2)</f>
        <v>0</v>
      </c>
      <c r="AE25" s="337">
        <f>SUMIFS(BS_RE33!$H$7:$H$874,BS_RE33!$S$7:$S$874,$AE$2,BS_RE33!$N$7:$N$874,I25,BS_RE33!$P$7:$P$874,'30 days CF Table(NZD)'!G25,BS_RE33!$F$7:$F$874,'30 days CF Table(NZD)'!$C$2)</f>
        <v>0</v>
      </c>
      <c r="AF25" s="337">
        <f>SUMIFS(BS_RE33!$H$7:$H$874,BS_RE33!$S$7:$S$874,$AF$2,BS_RE33!$N$7:$N$874,I25,BS_RE33!$P$7:$P$874,'30 days CF Table(NZD)'!G25,BS_RE33!$F$7:$F$874,'30 days CF Table(NZD)'!$C$2)</f>
        <v>0</v>
      </c>
      <c r="AG25" s="337">
        <f>SUMIFS(BS_RE33!$H$7:$H$874,BS_RE33!$S$7:$S$874,$AG$2,BS_RE33!$N$7:$N$874,I25,BS_RE33!$P$7:$P$874,'30 days CF Table(NZD)'!G25,BS_RE33!$F$7:$F$874,'30 days CF Table(NZD)'!$C$2)</f>
        <v>0</v>
      </c>
      <c r="AH25" s="337">
        <f>SUMIFS(BS_RE33!$H$7:$H$874,BS_RE33!$S$7:$S$874,$AH$2,BS_RE33!$N$7:$N$874,I25,BS_RE33!$P$7:$P$874,'30 days CF Table(NZD)'!G25,BS_RE33!$F$7:$F$874,'30 days CF Table(NZD)'!$C$2)</f>
        <v>0</v>
      </c>
      <c r="AI25" s="337">
        <f>SUMIFS(BS_RE33!$H$7:$H$874,BS_RE33!$S$7:$S$874,$AI$2,BS_RE33!$N$7:$N$874,I25,BS_RE33!$P$7:$P$874,'30 days CF Table(NZD)'!G25,BS_RE33!$F$7:$F$874,'30 days CF Table(NZD)'!$C$2)</f>
        <v>0</v>
      </c>
      <c r="AJ25" s="337">
        <f>SUMIFS(BS_RE33!$H$7:$H$874,BS_RE33!$S$7:$S$874,$AJ$2,BS_RE33!$N$7:$N$874,I25,BS_RE33!$P$7:$P$874,'30 days CF Table(NZD)'!G25,BS_RE33!$F$7:$F$874,'30 days CF Table(NZD)'!$C$2)</f>
        <v>0</v>
      </c>
      <c r="AK25" s="337">
        <f>SUMIFS(BS_RE33!$H$7:$H$874,BS_RE33!$S$7:$S$874,$AK$2,BS_RE33!$N$7:$N$874,I25,BS_RE33!$P$7:$P$874,'30 days CF Table(NZD)'!G25,BS_RE33!$F$7:$F$874,'30 days CF Table(NZD)'!$C$2)</f>
        <v>0</v>
      </c>
      <c r="AL25" s="337">
        <f>SUMIFS(BS_RE33!$H$7:$H$874,BS_RE33!$S$7:$S$874,$AL$2,BS_RE33!$N$7:$N$874,I25,BS_RE33!$P$7:$P$874,'30 days CF Table(NZD)'!G25,BS_RE33!$F$7:$F$874,'30 days CF Table(NZD)'!$C$2)</f>
        <v>0</v>
      </c>
      <c r="AM25" s="337">
        <f>SUMIFS(BS_RE33!$H$7:$H$874,BS_RE33!$S$7:$S$874,$AM$2,BS_RE33!$N$7:$N$874,I25,BS_RE33!$P$7:$P$874,'30 days CF Table(NZD)'!G25,BS_RE33!$F$7:$F$874,'30 days CF Table(NZD)'!$C$2)</f>
        <v>0</v>
      </c>
      <c r="AN25" s="337">
        <f>SUMIFS(BS_RE33!$H$7:$H$874,BS_RE33!$S$7:$S$874,$AN$2,BS_RE33!$N$7:$N$874,I25,BS_RE33!$P$7:$P$874,'30 days CF Table(NZD)'!G25,BS_RE33!$F$7:$F$874,'30 days CF Table(NZD)'!$C$2)</f>
        <v>0</v>
      </c>
      <c r="AO25" s="337">
        <f>SUMIFS(BS_RE33!$H$7:$H$874,BS_RE33!$S$7:$S$874,$AO$2,BS_RE33!$N$7:$N$874,I25,BS_RE33!$P$7:$P$874,'30 days CF Table(NZD)'!G25,BS_RE33!$F$7:$F$874,'30 days CF Table(NZD)'!$C$2)</f>
        <v>0</v>
      </c>
      <c r="AP25" s="338">
        <f>SUMIFS(BS_RE33!$H$7:$H$874,BS_RE33!$S$7:$S$874,$AP$2,BS_RE33!$N$7:$N$874,I25,BS_RE33!$P$7:$P$874,'30 days CF Table(NZD)'!G25,BS_RE33!$F$7:$F$874,'30 days CF Table(NZD)'!$C$2)</f>
        <v>0</v>
      </c>
      <c r="AR25" s="379">
        <f>SUMIFS(BS_RE33!$H$7:$H$874,BS_RE33!$S$7:$S$874,$AR$2,BS_RE33!$N$7:$N$874,I25,BS_RE33!$P$7:$P$874,'30 days CF Table(NZD)'!G25,BS_RE33!$F$7:$F$874,'30 days CF Table(NZD)'!$C$2)</f>
        <v>0</v>
      </c>
      <c r="AS25" s="379">
        <f>SUMIFS(BS_RE33!$H$7:$H$874,BS_RE33!$S$7:$S$874,$AS$2,BS_RE33!$N$7:$N$874,I25,BS_RE33!$P$7:$P$874,'30 days CF Table(NZD)'!G25,BS_RE33!$F$7:$F$874,'30 days CF Table(NZD)'!$C$2)</f>
        <v>0</v>
      </c>
      <c r="AT25" s="379">
        <f>SUMIFS(BS_RE33!$H$7:$H$874,BS_RE33!$S$7:$S$874,$AT$2,BS_RE33!$N$7:$N$874,I25,BS_RE33!$P$7:$P$874,'30 days CF Table(NZD)'!G25,BS_RE33!$F$7:$F$874,'30 days CF Table(NZD)'!$C$2)</f>
        <v>0</v>
      </c>
      <c r="AU25" s="379">
        <f>SUMIFS(BS_RE33!$H$7:$H$874,BS_RE33!$S$7:$S$874,$AU$2,BS_RE33!$N$7:$N$874,I25,BS_RE33!$P$7:$P$874,'30 days CF Table(NZD)'!G25,BS_RE33!$F$7:$F$874,'30 days CF Table(NZD)'!$C$2)</f>
        <v>0</v>
      </c>
      <c r="AV25" s="379">
        <f>SUMIFS(BS_RE33!$H$7:$H$874,BS_RE33!$S$7:$S$874,$AV$2,BS_RE33!$N$7:$N$874,I25,BS_RE33!$P$7:$P$874,'30 days CF Table(NZD)'!G25,BS_RE33!$F$7:$F$874,'30 days CF Table(NZD)'!$C$2)</f>
        <v>0</v>
      </c>
      <c r="AW25" s="379">
        <f>SUMIFS(BS_RE33!$H$7:$H$874,BS_RE33!$S$7:$S$874,$AW$2,BS_RE33!$N$7:$N$874,I25,BS_RE33!$P$7:$P$874,'30 days CF Table(NZD)'!G25,BS_RE33!$F$7:$F$874,'30 days CF Table(NZD)'!$C$2)</f>
        <v>0</v>
      </c>
      <c r="AX25" s="379">
        <f>SUMIFS(BS_RE33!$H$7:$H$874,BS_RE33!$S$7:$S$874,$AX$2,BS_RE33!$N$7:$N$874,I25,BS_RE33!$P$7:$P$874,'30 days CF Table(NZD)'!G25,BS_RE33!$F$7:$F$874,'30 days CF Table(NZD)'!$C$2)</f>
        <v>0</v>
      </c>
      <c r="AY25" s="379">
        <f>SUMIFS(BS_RE33!$H$7:$H$874,BS_RE33!$S$7:$S$874,$AY$2,BS_RE33!$N$7:$N$874,I25,BS_RE33!$P$7:$P$874,'30 days CF Table(NZD)'!G25,BS_RE33!$F$7:$F$874,'30 days CF Table(NZD)'!$C$2)</f>
        <v>0</v>
      </c>
      <c r="AZ25" s="379">
        <f>SUMIFS(BS_RE33!$H$7:$H$874,BS_RE33!$S$7:$S$874,$AZ$2,BS_RE33!$N$7:$N$874,I25,BS_RE33!$P$7:$P$874,'30 days CF Table(NZD)'!G25,BS_RE33!$F$7:$F$874,'30 days CF Table(NZD)'!$C$2)</f>
        <v>0</v>
      </c>
      <c r="BA25" s="379">
        <f>SUMIFS(BS_RE33!$H$7:$H$874,BS_RE33!$S$7:$S$874,$BA$2,BS_RE33!$N$7:$N$874,I25,BS_RE33!$P$7:$P$874,'30 days CF Table(NZD)'!G25,BS_RE33!$F$7:$F$874,'30 days CF Table(NZD)'!$C$2)</f>
        <v>0</v>
      </c>
      <c r="BB25" s="379">
        <f>SUMIFS(BS_RE33!$H$7:$H$874,BS_RE33!$S$7:$S$874,$BB$2,BS_RE33!$N$7:$N$874,I25,BS_RE33!$P$7:$P$874,'30 days CF Table(NZD)'!G25,BS_RE33!$F$7:$F$874,'30 days CF Table(NZD)'!$C$2)</f>
        <v>0</v>
      </c>
      <c r="BC25" s="379">
        <f>SUMIFS(BS_RE33!$H$7:$H$874,BS_RE33!$S$7:$S$874,$BC$2,BS_RE33!$N$7:$N$874,I25,BS_RE33!$P$7:$P$874,'30 days CF Table(NZD)'!G25,BS_RE33!$F$7:$F$874,'30 days CF Table(NZD)'!$C$2)</f>
        <v>0</v>
      </c>
      <c r="BD25" s="379">
        <f>SUMIFS(BS_RE33!$H$7:$H$874,BS_RE33!$S$7:$S$874,$BD$2,BS_RE33!$N$7:$N$874,I25,BS_RE33!$P$7:$P$874,'30 days CF Table(NZD)'!G25,BS_RE33!$F$7:$F$874,'30 days CF Table(NZD)'!$C$2)</f>
        <v>0</v>
      </c>
      <c r="BE25" s="379">
        <f>SUMIFS(BS_RE33!$H$7:$H$874,BS_RE33!$S$7:$S$874,$BE$2,BS_RE33!$N$7:$N$874,I25,BS_RE33!$P$7:$P$874,'30 days CF Table(NZD)'!G25,BS_RE33!$F$7:$F$874,'30 days CF Table(NZD)'!$C$2)</f>
        <v>0</v>
      </c>
      <c r="BF25" s="379">
        <f>SUMIFS(BS_RE33!$H$7:$H$874,BS_RE33!$S$7:$S$874,$BF$2,BS_RE33!$N$7:$N$874,I25,BS_RE33!$P$7:$P$874,'30 days CF Table(NZD)'!G25,BS_RE33!$F$7:$F$874,'30 days CF Table(NZD)'!$C$2)</f>
        <v>0</v>
      </c>
      <c r="BG25" s="379">
        <f>SUMIFS(BS_RE33!$H$7:$H$874,BS_RE33!$S$7:$S$874,$BG$2,BS_RE33!$N$7:$N$874,I25,BS_RE33!$P$7:$P$874,'30 days CF Table(NZD)'!G25,BS_RE33!$F$7:$F$874,'30 days CF Table(NZD)'!$C$2)</f>
        <v>0</v>
      </c>
      <c r="BH25" s="379">
        <f>SUMIFS(BS_RE33!$H$7:$H$874,BS_RE33!$S$7:$S$874,$BH$2,BS_RE33!$N$7:$N$874,I25,BS_RE33!$P$7:$P$874,'30 days CF Table(NZD)'!G25,BS_RE33!$F$7:$F$874,'30 days CF Table(NZD)'!$C$2)</f>
        <v>0</v>
      </c>
      <c r="BI25" s="379">
        <f>SUMIFS(BS_RE33!$H$7:$H$874,BS_RE33!$S$7:$S$874,$BI$2,BS_RE33!$N$7:$N$874,I25,BS_RE33!$P$7:$P$874,'30 days CF Table(NZD)'!G25,BS_RE33!$F$7:$F$874,'30 days CF Table(NZD)'!$C$2)</f>
        <v>0</v>
      </c>
      <c r="BJ25" s="379">
        <f>SUMIFS(BS_RE33!$H$7:$H$874,BS_RE33!$S$7:$S$874,$BJ$2,BS_RE33!$N$7:$N$874,I25,BS_RE33!$P$7:$P$874,'30 days CF Table(NZD)'!G25,BS_RE33!$F$7:$F$874,'30 days CF Table(NZD)'!$C$2)</f>
        <v>0</v>
      </c>
      <c r="BK25" s="379">
        <f>SUMIFS(BS_RE33!$H$7:$H$874,BS_RE33!$S$7:$S$874,$BK$2,BS_RE33!$N$7:$N$874,I25,BS_RE33!$P$7:$P$874,'30 days CF Table(NZD)'!G25,BS_RE33!$F$7:$F$874,'30 days CF Table(NZD)'!$C$2)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Table(NZD)'!G26,BS_RE33!$F$7:$F$874,'30 days CF Table(NZD)'!$C$2)</f>
        <v>0</v>
      </c>
      <c r="M26" s="337">
        <f>SUMIFS(BS_RE33!$H$7:$H$874,BS_RE33!$S$7:$S$874,$M$2,BS_RE33!$N$7:$N$874,I26,BS_RE33!$P$7:$P$874,'30 days CF Table(NZD)'!G26,BS_RE33!$F$7:$F$874,'30 days CF Table(NZD)'!$C$2)</f>
        <v>0</v>
      </c>
      <c r="N26" s="337">
        <f>SUMIFS(BS_RE33!$H$7:$H$874,BS_RE33!$S$7:$S$874,$N$2,BS_RE33!$N$7:$N$874,I26,BS_RE33!$P$7:$P$874,'30 days CF Table(NZD)'!G26,BS_RE33!$F$7:$F$874,'30 days CF Table(NZD)'!$C$2)</f>
        <v>0</v>
      </c>
      <c r="O26" s="337">
        <f>SUMIFS(BS_RE33!$H$7:$H$874,BS_RE33!$S$7:$S$874,$O$2,BS_RE33!$N$7:$N$874,I26,BS_RE33!$P$7:$P$874,'30 days CF Table(NZD)'!G26,BS_RE33!$F$7:$F$874,'30 days CF Table(NZD)'!$C$2)</f>
        <v>0</v>
      </c>
      <c r="P26" s="337">
        <f>SUMIFS(BS_RE33!$H$7:$H$874,BS_RE33!$S$7:$S$874,$P$2,BS_RE33!$N$7:$N$874,I26,BS_RE33!$P$7:$P$874,'30 days CF Table(NZD)'!G26,BS_RE33!$F$7:$F$874,'30 days CF Table(NZD)'!$C$2)</f>
        <v>0</v>
      </c>
      <c r="Q26" s="337">
        <f>SUMIFS(BS_RE33!$H$7:$H$874,BS_RE33!$S$7:$S$874,$Q$2,BS_RE33!$N$7:$N$874,I26,BS_RE33!$P$7:$P$874,'30 days CF Table(NZD)'!G26,BS_RE33!$F$7:$F$874,'30 days CF Table(NZD)'!$C$2)</f>
        <v>0</v>
      </c>
      <c r="R26" s="337">
        <f>SUMIFS(BS_RE33!$H$7:$H$874,BS_RE33!$S$7:$S$874,$R$2,BS_RE33!$N$7:$N$874,I26,BS_RE33!$P$7:$P$874,'30 days CF Table(NZD)'!G26,BS_RE33!$F$7:$F$874,'30 days CF Table(NZD)'!$C$2)</f>
        <v>0</v>
      </c>
      <c r="S26" s="337">
        <f>SUMIFS(BS_RE33!$H$7:$H$874,BS_RE33!$S$7:$S$874,$S$2,BS_RE33!$N$7:$N$874,I26,BS_RE33!$P$7:$P$874,'30 days CF Table(NZD)'!G26,BS_RE33!$F$7:$F$874,'30 days CF Table(NZD)'!$C$2)</f>
        <v>0</v>
      </c>
      <c r="T26" s="337">
        <f>SUMIFS(BS_RE33!$H$7:$H$874,BS_RE33!$S$7:$S$874,$T$2,BS_RE33!$N$7:$N$874,I26,BS_RE33!$P$7:$P$874,'30 days CF Table(NZD)'!G26,BS_RE33!$F$7:$F$874,'30 days CF Table(NZD)'!$C$2)</f>
        <v>0</v>
      </c>
      <c r="U26" s="337">
        <f>SUMIFS(BS_RE33!$H$7:$H$874,BS_RE33!$S$7:$S$874,$U$2,BS_RE33!$N$7:$N$874,I26,BS_RE33!$P$7:$P$874,'30 days CF Table(NZD)'!G26,BS_RE33!$F$7:$F$874,'30 days CF Table(NZD)'!$C$2)</f>
        <v>0</v>
      </c>
      <c r="V26" s="337">
        <f>SUMIFS(BS_RE33!$H$7:$H$874,BS_RE33!$S$7:$S$874,$V$2,BS_RE33!$N$7:$N$874,I26,BS_RE33!$P$7:$P$874,'30 days CF Table(NZD)'!G26,BS_RE33!$F$7:$F$874,'30 days CF Table(NZD)'!$C$2)</f>
        <v>0</v>
      </c>
      <c r="W26" s="337">
        <f>SUMIFS(BS_RE33!$H$7:$H$874,BS_RE33!$S$7:$S$874,$W$2,BS_RE33!$N$7:$N$874,I26,BS_RE33!$P$7:$P$874,'30 days CF Table(NZD)'!G26,BS_RE33!$F$7:$F$874,'30 days CF Table(NZD)'!$C$2)</f>
        <v>0</v>
      </c>
      <c r="X26" s="337">
        <f>SUMIFS(BS_RE33!$H$7:$H$874,BS_RE33!$S$7:$S$874,$X$2,BS_RE33!$N$7:$N$874,I26,BS_RE33!$P$7:$P$874,'30 days CF Table(NZD)'!G26,BS_RE33!$F$7:$F$874,'30 days CF Table(NZD)'!$C$2)</f>
        <v>0</v>
      </c>
      <c r="Y26" s="337">
        <f>SUMIFS(BS_RE33!$H$7:$H$874,BS_RE33!$S$7:$S$874,$Y$2,BS_RE33!$N$7:$N$874,I26,BS_RE33!$P$7:$P$874,'30 days CF Table(NZD)'!G26,BS_RE33!$F$7:$F$874,'30 days CF Table(NZD)'!$C$2)</f>
        <v>0</v>
      </c>
      <c r="Z26" s="337">
        <f>SUMIFS(BS_RE33!$H$7:$H$874,BS_RE33!$S$7:$S$874,$Z$2,BS_RE33!$N$7:$N$874,I26,BS_RE33!$P$7:$P$874,'30 days CF Table(NZD)'!G26,BS_RE33!$F$7:$F$874,'30 days CF Table(NZD)'!$C$2)</f>
        <v>0</v>
      </c>
      <c r="AA26" s="337">
        <f>SUMIFS(BS_RE33!$H$7:$H$874,BS_RE33!$S$7:$S$874,$AA$2,BS_RE33!$N$7:$N$874,I26,BS_RE33!$P$7:$P$874,'30 days CF Table(NZD)'!G26,BS_RE33!$F$7:$F$874,'30 days CF Table(NZD)'!$C$2)</f>
        <v>0</v>
      </c>
      <c r="AB26" s="337">
        <f>SUMIFS(BS_RE33!$H$7:$H$874,BS_RE33!$S$7:$S$874,$AB$2,BS_RE33!$N$7:$N$874,I26,BS_RE33!$P$7:$P$874,'30 days CF Table(NZD)'!G26,BS_RE33!$F$7:$F$874,'30 days CF Table(NZD)'!$C$2)</f>
        <v>0</v>
      </c>
      <c r="AC26" s="337">
        <f>SUMIFS(BS_RE33!$H$7:$H$874,BS_RE33!$S$7:$S$874,$AC$2,BS_RE33!$N$7:$N$874,I26,BS_RE33!$P$7:$P$874,'30 days CF Table(NZD)'!G26,BS_RE33!$F$7:$F$874,'30 days CF Table(NZD)'!$C$2)</f>
        <v>0</v>
      </c>
      <c r="AD26" s="337">
        <f>SUMIFS(BS_RE33!$H$7:$H$874,BS_RE33!$S$7:$S$874,$AD$2,BS_RE33!$N$7:$N$874,I26,BS_RE33!$P$7:$P$874,'30 days CF Table(NZD)'!G26,BS_RE33!$F$7:$F$874,'30 days CF Table(NZD)'!$C$2)</f>
        <v>0</v>
      </c>
      <c r="AE26" s="337">
        <f>SUMIFS(BS_RE33!$H$7:$H$874,BS_RE33!$S$7:$S$874,$AE$2,BS_RE33!$N$7:$N$874,I26,BS_RE33!$P$7:$P$874,'30 days CF Table(NZD)'!G26,BS_RE33!$F$7:$F$874,'30 days CF Table(NZD)'!$C$2)</f>
        <v>0</v>
      </c>
      <c r="AF26" s="337">
        <f>SUMIFS(BS_RE33!$H$7:$H$874,BS_RE33!$S$7:$S$874,$AF$2,BS_RE33!$N$7:$N$874,I26,BS_RE33!$P$7:$P$874,'30 days CF Table(NZD)'!G26,BS_RE33!$F$7:$F$874,'30 days CF Table(NZD)'!$C$2)</f>
        <v>0</v>
      </c>
      <c r="AG26" s="337">
        <f>SUMIFS(BS_RE33!$H$7:$H$874,BS_RE33!$S$7:$S$874,$AG$2,BS_RE33!$N$7:$N$874,I26,BS_RE33!$P$7:$P$874,'30 days CF Table(NZD)'!G26,BS_RE33!$F$7:$F$874,'30 days CF Table(NZD)'!$C$2)</f>
        <v>0</v>
      </c>
      <c r="AH26" s="337">
        <f>SUMIFS(BS_RE33!$H$7:$H$874,BS_RE33!$S$7:$S$874,$AH$2,BS_RE33!$N$7:$N$874,I26,BS_RE33!$P$7:$P$874,'30 days CF Table(NZD)'!G26,BS_RE33!$F$7:$F$874,'30 days CF Table(NZD)'!$C$2)</f>
        <v>0</v>
      </c>
      <c r="AI26" s="337">
        <f>SUMIFS(BS_RE33!$H$7:$H$874,BS_RE33!$S$7:$S$874,$AI$2,BS_RE33!$N$7:$N$874,I26,BS_RE33!$P$7:$P$874,'30 days CF Table(NZD)'!G26,BS_RE33!$F$7:$F$874,'30 days CF Table(NZD)'!$C$2)</f>
        <v>0</v>
      </c>
      <c r="AJ26" s="337">
        <f>SUMIFS(BS_RE33!$H$7:$H$874,BS_RE33!$S$7:$S$874,$AJ$2,BS_RE33!$N$7:$N$874,I26,BS_RE33!$P$7:$P$874,'30 days CF Table(NZD)'!G26,BS_RE33!$F$7:$F$874,'30 days CF Table(NZD)'!$C$2)</f>
        <v>0</v>
      </c>
      <c r="AK26" s="337">
        <f>SUMIFS(BS_RE33!$H$7:$H$874,BS_RE33!$S$7:$S$874,$AK$2,BS_RE33!$N$7:$N$874,I26,BS_RE33!$P$7:$P$874,'30 days CF Table(NZD)'!G26,BS_RE33!$F$7:$F$874,'30 days CF Table(NZD)'!$C$2)</f>
        <v>0</v>
      </c>
      <c r="AL26" s="337">
        <f>SUMIFS(BS_RE33!$H$7:$H$874,BS_RE33!$S$7:$S$874,$AL$2,BS_RE33!$N$7:$N$874,I26,BS_RE33!$P$7:$P$874,'30 days CF Table(NZD)'!G26,BS_RE33!$F$7:$F$874,'30 days CF Table(NZD)'!$C$2)</f>
        <v>0</v>
      </c>
      <c r="AM26" s="337">
        <f>SUMIFS(BS_RE33!$H$7:$H$874,BS_RE33!$S$7:$S$874,$AM$2,BS_RE33!$N$7:$N$874,I26,BS_RE33!$P$7:$P$874,'30 days CF Table(NZD)'!G26,BS_RE33!$F$7:$F$874,'30 days CF Table(NZD)'!$C$2)</f>
        <v>0</v>
      </c>
      <c r="AN26" s="337">
        <f>SUMIFS(BS_RE33!$H$7:$H$874,BS_RE33!$S$7:$S$874,$AN$2,BS_RE33!$N$7:$N$874,I26,BS_RE33!$P$7:$P$874,'30 days CF Table(NZD)'!G26,BS_RE33!$F$7:$F$874,'30 days CF Table(NZD)'!$C$2)</f>
        <v>0</v>
      </c>
      <c r="AO26" s="337">
        <f>SUMIFS(BS_RE33!$H$7:$H$874,BS_RE33!$S$7:$S$874,$AO$2,BS_RE33!$N$7:$N$874,I26,BS_RE33!$P$7:$P$874,'30 days CF Table(NZD)'!G26,BS_RE33!$F$7:$F$874,'30 days CF Table(NZD)'!$C$2)</f>
        <v>0</v>
      </c>
      <c r="AP26" s="338">
        <f>SUMIFS(BS_RE33!$H$7:$H$874,BS_RE33!$S$7:$S$874,$AP$2,BS_RE33!$N$7:$N$874,I26,BS_RE33!$P$7:$P$874,'30 days CF Table(NZD)'!G26,BS_RE33!$F$7:$F$874,'30 days CF Table(NZD)'!$C$2)</f>
        <v>0</v>
      </c>
      <c r="AR26" s="379">
        <f>SUMIFS(BS_RE33!$H$7:$H$874,BS_RE33!$S$7:$S$874,$AR$2,BS_RE33!$N$7:$N$874,I26,BS_RE33!$P$7:$P$874,'30 days CF Table(NZD)'!G26,BS_RE33!$F$7:$F$874,'30 days CF Table(NZD)'!$C$2)</f>
        <v>0</v>
      </c>
      <c r="AS26" s="379">
        <f>SUMIFS(BS_RE33!$H$7:$H$874,BS_RE33!$S$7:$S$874,$AS$2,BS_RE33!$N$7:$N$874,I26,BS_RE33!$P$7:$P$874,'30 days CF Table(NZD)'!G26,BS_RE33!$F$7:$F$874,'30 days CF Table(NZD)'!$C$2)</f>
        <v>0</v>
      </c>
      <c r="AT26" s="379">
        <f>SUMIFS(BS_RE33!$H$7:$H$874,BS_RE33!$S$7:$S$874,$AT$2,BS_RE33!$N$7:$N$874,I26,BS_RE33!$P$7:$P$874,'30 days CF Table(NZD)'!G26,BS_RE33!$F$7:$F$874,'30 days CF Table(NZD)'!$C$2)</f>
        <v>0</v>
      </c>
      <c r="AU26" s="379">
        <f>SUMIFS(BS_RE33!$H$7:$H$874,BS_RE33!$S$7:$S$874,$AU$2,BS_RE33!$N$7:$N$874,I26,BS_RE33!$P$7:$P$874,'30 days CF Table(NZD)'!G26,BS_RE33!$F$7:$F$874,'30 days CF Table(NZD)'!$C$2)</f>
        <v>0</v>
      </c>
      <c r="AV26" s="379">
        <f>SUMIFS(BS_RE33!$H$7:$H$874,BS_RE33!$S$7:$S$874,$AV$2,BS_RE33!$N$7:$N$874,I26,BS_RE33!$P$7:$P$874,'30 days CF Table(NZD)'!G26,BS_RE33!$F$7:$F$874,'30 days CF Table(NZD)'!$C$2)</f>
        <v>0</v>
      </c>
      <c r="AW26" s="379">
        <f>SUMIFS(BS_RE33!$H$7:$H$874,BS_RE33!$S$7:$S$874,$AW$2,BS_RE33!$N$7:$N$874,I26,BS_RE33!$P$7:$P$874,'30 days CF Table(NZD)'!G26,BS_RE33!$F$7:$F$874,'30 days CF Table(NZD)'!$C$2)</f>
        <v>0</v>
      </c>
      <c r="AX26" s="379">
        <f>SUMIFS(BS_RE33!$H$7:$H$874,BS_RE33!$S$7:$S$874,$AX$2,BS_RE33!$N$7:$N$874,I26,BS_RE33!$P$7:$P$874,'30 days CF Table(NZD)'!G26,BS_RE33!$F$7:$F$874,'30 days CF Table(NZD)'!$C$2)</f>
        <v>0</v>
      </c>
      <c r="AY26" s="379">
        <f>SUMIFS(BS_RE33!$H$7:$H$874,BS_RE33!$S$7:$S$874,$AY$2,BS_RE33!$N$7:$N$874,I26,BS_RE33!$P$7:$P$874,'30 days CF Table(NZD)'!G26,BS_RE33!$F$7:$F$874,'30 days CF Table(NZD)'!$C$2)</f>
        <v>0</v>
      </c>
      <c r="AZ26" s="379">
        <f>SUMIFS(BS_RE33!$H$7:$H$874,BS_RE33!$S$7:$S$874,$AZ$2,BS_RE33!$N$7:$N$874,I26,BS_RE33!$P$7:$P$874,'30 days CF Table(NZD)'!G26,BS_RE33!$F$7:$F$874,'30 days CF Table(NZD)'!$C$2)</f>
        <v>0</v>
      </c>
      <c r="BA26" s="379">
        <f>SUMIFS(BS_RE33!$H$7:$H$874,BS_RE33!$S$7:$S$874,$BA$2,BS_RE33!$N$7:$N$874,I26,BS_RE33!$P$7:$P$874,'30 days CF Table(NZD)'!G26,BS_RE33!$F$7:$F$874,'30 days CF Table(NZD)'!$C$2)</f>
        <v>0</v>
      </c>
      <c r="BB26" s="379">
        <f>SUMIFS(BS_RE33!$H$7:$H$874,BS_RE33!$S$7:$S$874,$BB$2,BS_RE33!$N$7:$N$874,I26,BS_RE33!$P$7:$P$874,'30 days CF Table(NZD)'!G26,BS_RE33!$F$7:$F$874,'30 days CF Table(NZD)'!$C$2)</f>
        <v>0</v>
      </c>
      <c r="BC26" s="379">
        <f>SUMIFS(BS_RE33!$H$7:$H$874,BS_RE33!$S$7:$S$874,$BC$2,BS_RE33!$N$7:$N$874,I26,BS_RE33!$P$7:$P$874,'30 days CF Table(NZD)'!G26,BS_RE33!$F$7:$F$874,'30 days CF Table(NZD)'!$C$2)</f>
        <v>0</v>
      </c>
      <c r="BD26" s="379">
        <f>SUMIFS(BS_RE33!$H$7:$H$874,BS_RE33!$S$7:$S$874,$BD$2,BS_RE33!$N$7:$N$874,I26,BS_RE33!$P$7:$P$874,'30 days CF Table(NZD)'!G26,BS_RE33!$F$7:$F$874,'30 days CF Table(NZD)'!$C$2)</f>
        <v>0</v>
      </c>
      <c r="BE26" s="379">
        <f>SUMIFS(BS_RE33!$H$7:$H$874,BS_RE33!$S$7:$S$874,$BE$2,BS_RE33!$N$7:$N$874,I26,BS_RE33!$P$7:$P$874,'30 days CF Table(NZD)'!G26,BS_RE33!$F$7:$F$874,'30 days CF Table(NZD)'!$C$2)</f>
        <v>0</v>
      </c>
      <c r="BF26" s="379">
        <f>SUMIFS(BS_RE33!$H$7:$H$874,BS_RE33!$S$7:$S$874,$BF$2,BS_RE33!$N$7:$N$874,I26,BS_RE33!$P$7:$P$874,'30 days CF Table(NZD)'!G26,BS_RE33!$F$7:$F$874,'30 days CF Table(NZD)'!$C$2)</f>
        <v>0</v>
      </c>
      <c r="BG26" s="379">
        <f>SUMIFS(BS_RE33!$H$7:$H$874,BS_RE33!$S$7:$S$874,$BG$2,BS_RE33!$N$7:$N$874,I26,BS_RE33!$P$7:$P$874,'30 days CF Table(NZD)'!G26,BS_RE33!$F$7:$F$874,'30 days CF Table(NZD)'!$C$2)</f>
        <v>0</v>
      </c>
      <c r="BH26" s="379">
        <f>SUMIFS(BS_RE33!$H$7:$H$874,BS_RE33!$S$7:$S$874,$BH$2,BS_RE33!$N$7:$N$874,I26,BS_RE33!$P$7:$P$874,'30 days CF Table(NZD)'!G26,BS_RE33!$F$7:$F$874,'30 days CF Table(NZD)'!$C$2)</f>
        <v>0</v>
      </c>
      <c r="BI26" s="379">
        <f>SUMIFS(BS_RE33!$H$7:$H$874,BS_RE33!$S$7:$S$874,$BI$2,BS_RE33!$N$7:$N$874,I26,BS_RE33!$P$7:$P$874,'30 days CF Table(NZD)'!G26,BS_RE33!$F$7:$F$874,'30 days CF Table(NZD)'!$C$2)</f>
        <v>0</v>
      </c>
      <c r="BJ26" s="379">
        <f>SUMIFS(BS_RE33!$H$7:$H$874,BS_RE33!$S$7:$S$874,$BJ$2,BS_RE33!$N$7:$N$874,I26,BS_RE33!$P$7:$P$874,'30 days CF Table(NZD)'!G26,BS_RE33!$F$7:$F$874,'30 days CF Table(NZD)'!$C$2)</f>
        <v>0</v>
      </c>
      <c r="BK26" s="379">
        <f>SUMIFS(BS_RE33!$H$7:$H$874,BS_RE33!$S$7:$S$874,$BK$2,BS_RE33!$N$7:$N$874,I26,BS_RE33!$P$7:$P$874,'30 days CF Table(NZD)'!G26,BS_RE33!$F$7:$F$874,'30 days CF Table(NZD)'!$C$2)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Table(NZD)'!G27,BS_RE33!$F$7:$F$874,'30 days CF Table(NZD)'!$C$2)</f>
        <v>0</v>
      </c>
      <c r="M27" s="337">
        <f>SUMIFS(BS_RE33!$H$7:$H$874,BS_RE33!$S$7:$S$874,$M$2,BS_RE33!$N$7:$N$874,I27,BS_RE33!$P$7:$P$874,'30 days CF Table(NZD)'!G27,BS_RE33!$F$7:$F$874,'30 days CF Table(NZD)'!$C$2)</f>
        <v>0</v>
      </c>
      <c r="N27" s="337">
        <f>SUMIFS(BS_RE33!$H$7:$H$874,BS_RE33!$S$7:$S$874,$N$2,BS_RE33!$N$7:$N$874,I27,BS_RE33!$P$7:$P$874,'30 days CF Table(NZD)'!G27,BS_RE33!$F$7:$F$874,'30 days CF Table(NZD)'!$C$2)</f>
        <v>0</v>
      </c>
      <c r="O27" s="337">
        <f>SUMIFS(BS_RE33!$H$7:$H$874,BS_RE33!$S$7:$S$874,$O$2,BS_RE33!$N$7:$N$874,I27,BS_RE33!$P$7:$P$874,'30 days CF Table(NZD)'!G27,BS_RE33!$F$7:$F$874,'30 days CF Table(NZD)'!$C$2)</f>
        <v>0</v>
      </c>
      <c r="P27" s="337">
        <f>SUMIFS(BS_RE33!$H$7:$H$874,BS_RE33!$S$7:$S$874,$P$2,BS_RE33!$N$7:$N$874,I27,BS_RE33!$P$7:$P$874,'30 days CF Table(NZD)'!G27,BS_RE33!$F$7:$F$874,'30 days CF Table(NZD)'!$C$2)</f>
        <v>0</v>
      </c>
      <c r="Q27" s="337">
        <f>SUMIFS(BS_RE33!$H$7:$H$874,BS_RE33!$S$7:$S$874,$Q$2,BS_RE33!$N$7:$N$874,I27,BS_RE33!$P$7:$P$874,'30 days CF Table(NZD)'!G27,BS_RE33!$F$7:$F$874,'30 days CF Table(NZD)'!$C$2)</f>
        <v>0</v>
      </c>
      <c r="R27" s="337">
        <f>SUMIFS(BS_RE33!$H$7:$H$874,BS_RE33!$S$7:$S$874,$R$2,BS_RE33!$N$7:$N$874,I27,BS_RE33!$P$7:$P$874,'30 days CF Table(NZD)'!G27,BS_RE33!$F$7:$F$874,'30 days CF Table(NZD)'!$C$2)</f>
        <v>0</v>
      </c>
      <c r="S27" s="337">
        <f>SUMIFS(BS_RE33!$H$7:$H$874,BS_RE33!$S$7:$S$874,$S$2,BS_RE33!$N$7:$N$874,I27,BS_RE33!$P$7:$P$874,'30 days CF Table(NZD)'!G27,BS_RE33!$F$7:$F$874,'30 days CF Table(NZD)'!$C$2)</f>
        <v>0</v>
      </c>
      <c r="T27" s="337">
        <f>SUMIFS(BS_RE33!$H$7:$H$874,BS_RE33!$S$7:$S$874,$T$2,BS_RE33!$N$7:$N$874,I27,BS_RE33!$P$7:$P$874,'30 days CF Table(NZD)'!G27,BS_RE33!$F$7:$F$874,'30 days CF Table(NZD)'!$C$2)</f>
        <v>0</v>
      </c>
      <c r="U27" s="337">
        <f>SUMIFS(BS_RE33!$H$7:$H$874,BS_RE33!$S$7:$S$874,$U$2,BS_RE33!$N$7:$N$874,I27,BS_RE33!$P$7:$P$874,'30 days CF Table(NZD)'!G27,BS_RE33!$F$7:$F$874,'30 days CF Table(NZD)'!$C$2)</f>
        <v>0</v>
      </c>
      <c r="V27" s="337">
        <f>SUMIFS(BS_RE33!$H$7:$H$874,BS_RE33!$S$7:$S$874,$V$2,BS_RE33!$N$7:$N$874,I27,BS_RE33!$P$7:$P$874,'30 days CF Table(NZD)'!G27,BS_RE33!$F$7:$F$874,'30 days CF Table(NZD)'!$C$2)</f>
        <v>0</v>
      </c>
      <c r="W27" s="337">
        <f>SUMIFS(BS_RE33!$H$7:$H$874,BS_RE33!$S$7:$S$874,$W$2,BS_RE33!$N$7:$N$874,I27,BS_RE33!$P$7:$P$874,'30 days CF Table(NZD)'!G27,BS_RE33!$F$7:$F$874,'30 days CF Table(NZD)'!$C$2)</f>
        <v>0</v>
      </c>
      <c r="X27" s="337">
        <f>SUMIFS(BS_RE33!$H$7:$H$874,BS_RE33!$S$7:$S$874,$X$2,BS_RE33!$N$7:$N$874,I27,BS_RE33!$P$7:$P$874,'30 days CF Table(NZD)'!G27,BS_RE33!$F$7:$F$874,'30 days CF Table(NZD)'!$C$2)</f>
        <v>0</v>
      </c>
      <c r="Y27" s="337">
        <f>SUMIFS(BS_RE33!$H$7:$H$874,BS_RE33!$S$7:$S$874,$Y$2,BS_RE33!$N$7:$N$874,I27,BS_RE33!$P$7:$P$874,'30 days CF Table(NZD)'!G27,BS_RE33!$F$7:$F$874,'30 days CF Table(NZD)'!$C$2)</f>
        <v>0</v>
      </c>
      <c r="Z27" s="337">
        <f>SUMIFS(BS_RE33!$H$7:$H$874,BS_RE33!$S$7:$S$874,$Z$2,BS_RE33!$N$7:$N$874,I27,BS_RE33!$P$7:$P$874,'30 days CF Table(NZD)'!G27,BS_RE33!$F$7:$F$874,'30 days CF Table(NZD)'!$C$2)</f>
        <v>0</v>
      </c>
      <c r="AA27" s="337">
        <f>SUMIFS(BS_RE33!$H$7:$H$874,BS_RE33!$S$7:$S$874,$AA$2,BS_RE33!$N$7:$N$874,I27,BS_RE33!$P$7:$P$874,'30 days CF Table(NZD)'!G27,BS_RE33!$F$7:$F$874,'30 days CF Table(NZD)'!$C$2)</f>
        <v>0</v>
      </c>
      <c r="AB27" s="337">
        <f>SUMIFS(BS_RE33!$H$7:$H$874,BS_RE33!$S$7:$S$874,$AB$2,BS_RE33!$N$7:$N$874,I27,BS_RE33!$P$7:$P$874,'30 days CF Table(NZD)'!G27,BS_RE33!$F$7:$F$874,'30 days CF Table(NZD)'!$C$2)</f>
        <v>0</v>
      </c>
      <c r="AC27" s="337">
        <f>SUMIFS(BS_RE33!$H$7:$H$874,BS_RE33!$S$7:$S$874,$AC$2,BS_RE33!$N$7:$N$874,I27,BS_RE33!$P$7:$P$874,'30 days CF Table(NZD)'!G27,BS_RE33!$F$7:$F$874,'30 days CF Table(NZD)'!$C$2)</f>
        <v>0</v>
      </c>
      <c r="AD27" s="337">
        <f>SUMIFS(BS_RE33!$H$7:$H$874,BS_RE33!$S$7:$S$874,$AD$2,BS_RE33!$N$7:$N$874,I27,BS_RE33!$P$7:$P$874,'30 days CF Table(NZD)'!G27,BS_RE33!$F$7:$F$874,'30 days CF Table(NZD)'!$C$2)</f>
        <v>0</v>
      </c>
      <c r="AE27" s="337">
        <f>SUMIFS(BS_RE33!$H$7:$H$874,BS_RE33!$S$7:$S$874,$AE$2,BS_RE33!$N$7:$N$874,I27,BS_RE33!$P$7:$P$874,'30 days CF Table(NZD)'!G27,BS_RE33!$F$7:$F$874,'30 days CF Table(NZD)'!$C$2)</f>
        <v>0</v>
      </c>
      <c r="AF27" s="337">
        <f>SUMIFS(BS_RE33!$H$7:$H$874,BS_RE33!$S$7:$S$874,$AF$2,BS_RE33!$N$7:$N$874,I27,BS_RE33!$P$7:$P$874,'30 days CF Table(NZD)'!G27,BS_RE33!$F$7:$F$874,'30 days CF Table(NZD)'!$C$2)</f>
        <v>0</v>
      </c>
      <c r="AG27" s="337">
        <f>SUMIFS(BS_RE33!$H$7:$H$874,BS_RE33!$S$7:$S$874,$AG$2,BS_RE33!$N$7:$N$874,I27,BS_RE33!$P$7:$P$874,'30 days CF Table(NZD)'!G27,BS_RE33!$F$7:$F$874,'30 days CF Table(NZD)'!$C$2)</f>
        <v>0</v>
      </c>
      <c r="AH27" s="337">
        <f>SUMIFS(BS_RE33!$H$7:$H$874,BS_RE33!$S$7:$S$874,$AH$2,BS_RE33!$N$7:$N$874,I27,BS_RE33!$P$7:$P$874,'30 days CF Table(NZD)'!G27,BS_RE33!$F$7:$F$874,'30 days CF Table(NZD)'!$C$2)</f>
        <v>0</v>
      </c>
      <c r="AI27" s="337">
        <f>SUMIFS(BS_RE33!$H$7:$H$874,BS_RE33!$S$7:$S$874,$AI$2,BS_RE33!$N$7:$N$874,I27,BS_RE33!$P$7:$P$874,'30 days CF Table(NZD)'!G27,BS_RE33!$F$7:$F$874,'30 days CF Table(NZD)'!$C$2)</f>
        <v>0</v>
      </c>
      <c r="AJ27" s="337">
        <f>SUMIFS(BS_RE33!$H$7:$H$874,BS_RE33!$S$7:$S$874,$AJ$2,BS_RE33!$N$7:$N$874,I27,BS_RE33!$P$7:$P$874,'30 days CF Table(NZD)'!G27,BS_RE33!$F$7:$F$874,'30 days CF Table(NZD)'!$C$2)</f>
        <v>0</v>
      </c>
      <c r="AK27" s="337">
        <f>SUMIFS(BS_RE33!$H$7:$H$874,BS_RE33!$S$7:$S$874,$AK$2,BS_RE33!$N$7:$N$874,I27,BS_RE33!$P$7:$P$874,'30 days CF Table(NZD)'!G27,BS_RE33!$F$7:$F$874,'30 days CF Table(NZD)'!$C$2)</f>
        <v>0</v>
      </c>
      <c r="AL27" s="337">
        <f>SUMIFS(BS_RE33!$H$7:$H$874,BS_RE33!$S$7:$S$874,$AL$2,BS_RE33!$N$7:$N$874,I27,BS_RE33!$P$7:$P$874,'30 days CF Table(NZD)'!G27,BS_RE33!$F$7:$F$874,'30 days CF Table(NZD)'!$C$2)</f>
        <v>0</v>
      </c>
      <c r="AM27" s="337">
        <f>SUMIFS(BS_RE33!$H$7:$H$874,BS_RE33!$S$7:$S$874,$AM$2,BS_RE33!$N$7:$N$874,I27,BS_RE33!$P$7:$P$874,'30 days CF Table(NZD)'!G27,BS_RE33!$F$7:$F$874,'30 days CF Table(NZD)'!$C$2)</f>
        <v>0</v>
      </c>
      <c r="AN27" s="337">
        <f>SUMIFS(BS_RE33!$H$7:$H$874,BS_RE33!$S$7:$S$874,$AN$2,BS_RE33!$N$7:$N$874,I27,BS_RE33!$P$7:$P$874,'30 days CF Table(NZD)'!G27,BS_RE33!$F$7:$F$874,'30 days CF Table(NZD)'!$C$2)</f>
        <v>0</v>
      </c>
      <c r="AO27" s="337">
        <f>SUMIFS(BS_RE33!$H$7:$H$874,BS_RE33!$S$7:$S$874,$AO$2,BS_RE33!$N$7:$N$874,I27,BS_RE33!$P$7:$P$874,'30 days CF Table(NZD)'!G27,BS_RE33!$F$7:$F$874,'30 days CF Table(NZD)'!$C$2)</f>
        <v>0</v>
      </c>
      <c r="AP27" s="338">
        <f>SUMIFS(BS_RE33!$H$7:$H$874,BS_RE33!$S$7:$S$874,$AP$2,BS_RE33!$N$7:$N$874,I27,BS_RE33!$P$7:$P$874,'30 days CF Table(NZD)'!G27,BS_RE33!$F$7:$F$874,'30 days CF Table(NZD)'!$C$2)</f>
        <v>0</v>
      </c>
      <c r="AR27" s="379">
        <f>SUMIFS(BS_RE33!$H$7:$H$874,BS_RE33!$S$7:$S$874,$AR$2,BS_RE33!$N$7:$N$874,I27,BS_RE33!$P$7:$P$874,'30 days CF Table(NZD)'!G27,BS_RE33!$F$7:$F$874,'30 days CF Table(NZD)'!$C$2)</f>
        <v>0</v>
      </c>
      <c r="AS27" s="379">
        <f>SUMIFS(BS_RE33!$H$7:$H$874,BS_RE33!$S$7:$S$874,$AS$2,BS_RE33!$N$7:$N$874,I27,BS_RE33!$P$7:$P$874,'30 days CF Table(NZD)'!G27,BS_RE33!$F$7:$F$874,'30 days CF Table(NZD)'!$C$2)</f>
        <v>0</v>
      </c>
      <c r="AT27" s="379">
        <f>SUMIFS(BS_RE33!$H$7:$H$874,BS_RE33!$S$7:$S$874,$AT$2,BS_RE33!$N$7:$N$874,I27,BS_RE33!$P$7:$P$874,'30 days CF Table(NZD)'!G27,BS_RE33!$F$7:$F$874,'30 days CF Table(NZD)'!$C$2)</f>
        <v>0</v>
      </c>
      <c r="AU27" s="379">
        <f>SUMIFS(BS_RE33!$H$7:$H$874,BS_RE33!$S$7:$S$874,$AU$2,BS_RE33!$N$7:$N$874,I27,BS_RE33!$P$7:$P$874,'30 days CF Table(NZD)'!G27,BS_RE33!$F$7:$F$874,'30 days CF Table(NZD)'!$C$2)</f>
        <v>0</v>
      </c>
      <c r="AV27" s="379">
        <f>SUMIFS(BS_RE33!$H$7:$H$874,BS_RE33!$S$7:$S$874,$AV$2,BS_RE33!$N$7:$N$874,I27,BS_RE33!$P$7:$P$874,'30 days CF Table(NZD)'!G27,BS_RE33!$F$7:$F$874,'30 days CF Table(NZD)'!$C$2)</f>
        <v>0</v>
      </c>
      <c r="AW27" s="379">
        <f>SUMIFS(BS_RE33!$H$7:$H$874,BS_RE33!$S$7:$S$874,$AW$2,BS_RE33!$N$7:$N$874,I27,BS_RE33!$P$7:$P$874,'30 days CF Table(NZD)'!G27,BS_RE33!$F$7:$F$874,'30 days CF Table(NZD)'!$C$2)</f>
        <v>0</v>
      </c>
      <c r="AX27" s="379">
        <f>SUMIFS(BS_RE33!$H$7:$H$874,BS_RE33!$S$7:$S$874,$AX$2,BS_RE33!$N$7:$N$874,I27,BS_RE33!$P$7:$P$874,'30 days CF Table(NZD)'!G27,BS_RE33!$F$7:$F$874,'30 days CF Table(NZD)'!$C$2)</f>
        <v>0</v>
      </c>
      <c r="AY27" s="379">
        <f>SUMIFS(BS_RE33!$H$7:$H$874,BS_RE33!$S$7:$S$874,$AY$2,BS_RE33!$N$7:$N$874,I27,BS_RE33!$P$7:$P$874,'30 days CF Table(NZD)'!G27,BS_RE33!$F$7:$F$874,'30 days CF Table(NZD)'!$C$2)</f>
        <v>0</v>
      </c>
      <c r="AZ27" s="379">
        <f>SUMIFS(BS_RE33!$H$7:$H$874,BS_RE33!$S$7:$S$874,$AZ$2,BS_RE33!$N$7:$N$874,I27,BS_RE33!$P$7:$P$874,'30 days CF Table(NZD)'!G27,BS_RE33!$F$7:$F$874,'30 days CF Table(NZD)'!$C$2)</f>
        <v>0</v>
      </c>
      <c r="BA27" s="379">
        <f>SUMIFS(BS_RE33!$H$7:$H$874,BS_RE33!$S$7:$S$874,$BA$2,BS_RE33!$N$7:$N$874,I27,BS_RE33!$P$7:$P$874,'30 days CF Table(NZD)'!G27,BS_RE33!$F$7:$F$874,'30 days CF Table(NZD)'!$C$2)</f>
        <v>0</v>
      </c>
      <c r="BB27" s="379">
        <f>SUMIFS(BS_RE33!$H$7:$H$874,BS_RE33!$S$7:$S$874,$BB$2,BS_RE33!$N$7:$N$874,I27,BS_RE33!$P$7:$P$874,'30 days CF Table(NZD)'!G27,BS_RE33!$F$7:$F$874,'30 days CF Table(NZD)'!$C$2)</f>
        <v>0</v>
      </c>
      <c r="BC27" s="379">
        <f>SUMIFS(BS_RE33!$H$7:$H$874,BS_RE33!$S$7:$S$874,$BC$2,BS_RE33!$N$7:$N$874,I27,BS_RE33!$P$7:$P$874,'30 days CF Table(NZD)'!G27,BS_RE33!$F$7:$F$874,'30 days CF Table(NZD)'!$C$2)</f>
        <v>0</v>
      </c>
      <c r="BD27" s="379">
        <f>SUMIFS(BS_RE33!$H$7:$H$874,BS_RE33!$S$7:$S$874,$BD$2,BS_RE33!$N$7:$N$874,I27,BS_RE33!$P$7:$P$874,'30 days CF Table(NZD)'!G27,BS_RE33!$F$7:$F$874,'30 days CF Table(NZD)'!$C$2)</f>
        <v>0</v>
      </c>
      <c r="BE27" s="379">
        <f>SUMIFS(BS_RE33!$H$7:$H$874,BS_RE33!$S$7:$S$874,$BE$2,BS_RE33!$N$7:$N$874,I27,BS_RE33!$P$7:$P$874,'30 days CF Table(NZD)'!G27,BS_RE33!$F$7:$F$874,'30 days CF Table(NZD)'!$C$2)</f>
        <v>0</v>
      </c>
      <c r="BF27" s="379">
        <f>SUMIFS(BS_RE33!$H$7:$H$874,BS_RE33!$S$7:$S$874,$BF$2,BS_RE33!$N$7:$N$874,I27,BS_RE33!$P$7:$P$874,'30 days CF Table(NZD)'!G27,BS_RE33!$F$7:$F$874,'30 days CF Table(NZD)'!$C$2)</f>
        <v>0</v>
      </c>
      <c r="BG27" s="379">
        <f>SUMIFS(BS_RE33!$H$7:$H$874,BS_RE33!$S$7:$S$874,$BG$2,BS_RE33!$N$7:$N$874,I27,BS_RE33!$P$7:$P$874,'30 days CF Table(NZD)'!G27,BS_RE33!$F$7:$F$874,'30 days CF Table(NZD)'!$C$2)</f>
        <v>0</v>
      </c>
      <c r="BH27" s="379">
        <f>SUMIFS(BS_RE33!$H$7:$H$874,BS_RE33!$S$7:$S$874,$BH$2,BS_RE33!$N$7:$N$874,I27,BS_RE33!$P$7:$P$874,'30 days CF Table(NZD)'!G27,BS_RE33!$F$7:$F$874,'30 days CF Table(NZD)'!$C$2)</f>
        <v>0</v>
      </c>
      <c r="BI27" s="379">
        <f>SUMIFS(BS_RE33!$H$7:$H$874,BS_RE33!$S$7:$S$874,$BI$2,BS_RE33!$N$7:$N$874,I27,BS_RE33!$P$7:$P$874,'30 days CF Table(NZD)'!G27,BS_RE33!$F$7:$F$874,'30 days CF Table(NZD)'!$C$2)</f>
        <v>0</v>
      </c>
      <c r="BJ27" s="379">
        <f>SUMIFS(BS_RE33!$H$7:$H$874,BS_RE33!$S$7:$S$874,$BJ$2,BS_RE33!$N$7:$N$874,I27,BS_RE33!$P$7:$P$874,'30 days CF Table(NZD)'!G27,BS_RE33!$F$7:$F$874,'30 days CF Table(NZD)'!$C$2)</f>
        <v>0</v>
      </c>
      <c r="BK27" s="379">
        <f>SUMIFS(BS_RE33!$H$7:$H$874,BS_RE33!$S$7:$S$874,$BK$2,BS_RE33!$N$7:$N$874,I27,BS_RE33!$P$7:$P$874,'30 days CF Table(NZD)'!G27,BS_RE33!$F$7:$F$874,'30 days CF Table(NZD)'!$C$2)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Table(NZD)'!G28,BS_RE33!$F$7:$F$874,'30 days CF Table(NZD)'!$C$2)</f>
        <v>0</v>
      </c>
      <c r="M28" s="337">
        <f>SUMIFS(BS_RE33!$H$7:$H$874,BS_RE33!$S$7:$S$874,$M$2,BS_RE33!$N$7:$N$874,I28,BS_RE33!$P$7:$P$874,'30 days CF Table(NZD)'!G28,BS_RE33!$F$7:$F$874,'30 days CF Table(NZD)'!$C$2)</f>
        <v>0</v>
      </c>
      <c r="N28" s="337">
        <f>SUMIFS(BS_RE33!$H$7:$H$874,BS_RE33!$S$7:$S$874,$N$2,BS_RE33!$N$7:$N$874,I28,BS_RE33!$P$7:$P$874,'30 days CF Table(NZD)'!G28,BS_RE33!$F$7:$F$874,'30 days CF Table(NZD)'!$C$2)</f>
        <v>0</v>
      </c>
      <c r="O28" s="337">
        <f>SUMIFS(BS_RE33!$H$7:$H$874,BS_RE33!$S$7:$S$874,$O$2,BS_RE33!$N$7:$N$874,I28,BS_RE33!$P$7:$P$874,'30 days CF Table(NZD)'!G28,BS_RE33!$F$7:$F$874,'30 days CF Table(NZD)'!$C$2)</f>
        <v>0</v>
      </c>
      <c r="P28" s="337">
        <f>SUMIFS(BS_RE33!$H$7:$H$874,BS_RE33!$S$7:$S$874,$P$2,BS_RE33!$N$7:$N$874,I28,BS_RE33!$P$7:$P$874,'30 days CF Table(NZD)'!G28,BS_RE33!$F$7:$F$874,'30 days CF Table(NZD)'!$C$2)</f>
        <v>0</v>
      </c>
      <c r="Q28" s="337">
        <f>SUMIFS(BS_RE33!$H$7:$H$874,BS_RE33!$S$7:$S$874,$Q$2,BS_RE33!$N$7:$N$874,I28,BS_RE33!$P$7:$P$874,'30 days CF Table(NZD)'!G28,BS_RE33!$F$7:$F$874,'30 days CF Table(NZD)'!$C$2)</f>
        <v>0</v>
      </c>
      <c r="R28" s="337">
        <f>SUMIFS(BS_RE33!$H$7:$H$874,BS_RE33!$S$7:$S$874,$R$2,BS_RE33!$N$7:$N$874,I28,BS_RE33!$P$7:$P$874,'30 days CF Table(NZD)'!G28,BS_RE33!$F$7:$F$874,'30 days CF Table(NZD)'!$C$2)</f>
        <v>0</v>
      </c>
      <c r="S28" s="337">
        <f>SUMIFS(BS_RE33!$H$7:$H$874,BS_RE33!$S$7:$S$874,$S$2,BS_RE33!$N$7:$N$874,I28,BS_RE33!$P$7:$P$874,'30 days CF Table(NZD)'!G28,BS_RE33!$F$7:$F$874,'30 days CF Table(NZD)'!$C$2)</f>
        <v>0</v>
      </c>
      <c r="T28" s="337">
        <f>SUMIFS(BS_RE33!$H$7:$H$874,BS_RE33!$S$7:$S$874,$T$2,BS_RE33!$N$7:$N$874,I28,BS_RE33!$P$7:$P$874,'30 days CF Table(NZD)'!G28,BS_RE33!$F$7:$F$874,'30 days CF Table(NZD)'!$C$2)</f>
        <v>0</v>
      </c>
      <c r="U28" s="337">
        <f>SUMIFS(BS_RE33!$H$7:$H$874,BS_RE33!$S$7:$S$874,$U$2,BS_RE33!$N$7:$N$874,I28,BS_RE33!$P$7:$P$874,'30 days CF Table(NZD)'!G28,BS_RE33!$F$7:$F$874,'30 days CF Table(NZD)'!$C$2)</f>
        <v>0</v>
      </c>
      <c r="V28" s="337">
        <f>SUMIFS(BS_RE33!$H$7:$H$874,BS_RE33!$S$7:$S$874,$V$2,BS_RE33!$N$7:$N$874,I28,BS_RE33!$P$7:$P$874,'30 days CF Table(NZD)'!G28,BS_RE33!$F$7:$F$874,'30 days CF Table(NZD)'!$C$2)</f>
        <v>0</v>
      </c>
      <c r="W28" s="337">
        <f>SUMIFS(BS_RE33!$H$7:$H$874,BS_RE33!$S$7:$S$874,$W$2,BS_RE33!$N$7:$N$874,I28,BS_RE33!$P$7:$P$874,'30 days CF Table(NZD)'!G28,BS_RE33!$F$7:$F$874,'30 days CF Table(NZD)'!$C$2)</f>
        <v>0</v>
      </c>
      <c r="X28" s="337">
        <f>SUMIFS(BS_RE33!$H$7:$H$874,BS_RE33!$S$7:$S$874,$X$2,BS_RE33!$N$7:$N$874,I28,BS_RE33!$P$7:$P$874,'30 days CF Table(NZD)'!G28,BS_RE33!$F$7:$F$874,'30 days CF Table(NZD)'!$C$2)</f>
        <v>0</v>
      </c>
      <c r="Y28" s="337">
        <f>SUMIFS(BS_RE33!$H$7:$H$874,BS_RE33!$S$7:$S$874,$Y$2,BS_RE33!$N$7:$N$874,I28,BS_RE33!$P$7:$P$874,'30 days CF Table(NZD)'!G28,BS_RE33!$F$7:$F$874,'30 days CF Table(NZD)'!$C$2)</f>
        <v>0</v>
      </c>
      <c r="Z28" s="337">
        <f>SUMIFS(BS_RE33!$H$7:$H$874,BS_RE33!$S$7:$S$874,$Z$2,BS_RE33!$N$7:$N$874,I28,BS_RE33!$P$7:$P$874,'30 days CF Table(NZD)'!G28,BS_RE33!$F$7:$F$874,'30 days CF Table(NZD)'!$C$2)</f>
        <v>0</v>
      </c>
      <c r="AA28" s="337">
        <f>SUMIFS(BS_RE33!$H$7:$H$874,BS_RE33!$S$7:$S$874,$AA$2,BS_RE33!$N$7:$N$874,I28,BS_RE33!$P$7:$P$874,'30 days CF Table(NZD)'!G28,BS_RE33!$F$7:$F$874,'30 days CF Table(NZD)'!$C$2)</f>
        <v>0</v>
      </c>
      <c r="AB28" s="337">
        <f>SUMIFS(BS_RE33!$H$7:$H$874,BS_RE33!$S$7:$S$874,$AB$2,BS_RE33!$N$7:$N$874,I28,BS_RE33!$P$7:$P$874,'30 days CF Table(NZD)'!G28,BS_RE33!$F$7:$F$874,'30 days CF Table(NZD)'!$C$2)</f>
        <v>0</v>
      </c>
      <c r="AC28" s="337">
        <f>SUMIFS(BS_RE33!$H$7:$H$874,BS_RE33!$S$7:$S$874,$AC$2,BS_RE33!$N$7:$N$874,I28,BS_RE33!$P$7:$P$874,'30 days CF Table(NZD)'!G28,BS_RE33!$F$7:$F$874,'30 days CF Table(NZD)'!$C$2)</f>
        <v>0</v>
      </c>
      <c r="AD28" s="337">
        <f>SUMIFS(BS_RE33!$H$7:$H$874,BS_RE33!$S$7:$S$874,$AD$2,BS_RE33!$N$7:$N$874,I28,BS_RE33!$P$7:$P$874,'30 days CF Table(NZD)'!G28,BS_RE33!$F$7:$F$874,'30 days CF Table(NZD)'!$C$2)</f>
        <v>0</v>
      </c>
      <c r="AE28" s="337">
        <f>SUMIFS(BS_RE33!$H$7:$H$874,BS_RE33!$S$7:$S$874,$AE$2,BS_RE33!$N$7:$N$874,I28,BS_RE33!$P$7:$P$874,'30 days CF Table(NZD)'!G28,BS_RE33!$F$7:$F$874,'30 days CF Table(NZD)'!$C$2)</f>
        <v>0</v>
      </c>
      <c r="AF28" s="337">
        <f>SUMIFS(BS_RE33!$H$7:$H$874,BS_RE33!$S$7:$S$874,$AF$2,BS_RE33!$N$7:$N$874,I28,BS_RE33!$P$7:$P$874,'30 days CF Table(NZD)'!G28,BS_RE33!$F$7:$F$874,'30 days CF Table(NZD)'!$C$2)</f>
        <v>0</v>
      </c>
      <c r="AG28" s="337">
        <f>SUMIFS(BS_RE33!$H$7:$H$874,BS_RE33!$S$7:$S$874,$AG$2,BS_RE33!$N$7:$N$874,I28,BS_RE33!$P$7:$P$874,'30 days CF Table(NZD)'!G28,BS_RE33!$F$7:$F$874,'30 days CF Table(NZD)'!$C$2)</f>
        <v>0</v>
      </c>
      <c r="AH28" s="337">
        <f>SUMIFS(BS_RE33!$H$7:$H$874,BS_RE33!$S$7:$S$874,$AH$2,BS_RE33!$N$7:$N$874,I28,BS_RE33!$P$7:$P$874,'30 days CF Table(NZD)'!G28,BS_RE33!$F$7:$F$874,'30 days CF Table(NZD)'!$C$2)</f>
        <v>0</v>
      </c>
      <c r="AI28" s="337">
        <f>SUMIFS(BS_RE33!$H$7:$H$874,BS_RE33!$S$7:$S$874,$AI$2,BS_RE33!$N$7:$N$874,I28,BS_RE33!$P$7:$P$874,'30 days CF Table(NZD)'!G28,BS_RE33!$F$7:$F$874,'30 days CF Table(NZD)'!$C$2)</f>
        <v>0</v>
      </c>
      <c r="AJ28" s="337">
        <f>SUMIFS(BS_RE33!$H$7:$H$874,BS_RE33!$S$7:$S$874,$AJ$2,BS_RE33!$N$7:$N$874,I28,BS_RE33!$P$7:$P$874,'30 days CF Table(NZD)'!G28,BS_RE33!$F$7:$F$874,'30 days CF Table(NZD)'!$C$2)</f>
        <v>0</v>
      </c>
      <c r="AK28" s="337">
        <f>SUMIFS(BS_RE33!$H$7:$H$874,BS_RE33!$S$7:$S$874,$AK$2,BS_RE33!$N$7:$N$874,I28,BS_RE33!$P$7:$P$874,'30 days CF Table(NZD)'!G28,BS_RE33!$F$7:$F$874,'30 days CF Table(NZD)'!$C$2)</f>
        <v>0</v>
      </c>
      <c r="AL28" s="337">
        <f>SUMIFS(BS_RE33!$H$7:$H$874,BS_RE33!$S$7:$S$874,$AL$2,BS_RE33!$N$7:$N$874,I28,BS_RE33!$P$7:$P$874,'30 days CF Table(NZD)'!G28,BS_RE33!$F$7:$F$874,'30 days CF Table(NZD)'!$C$2)</f>
        <v>0</v>
      </c>
      <c r="AM28" s="337">
        <f>SUMIFS(BS_RE33!$H$7:$H$874,BS_RE33!$S$7:$S$874,$AM$2,BS_RE33!$N$7:$N$874,I28,BS_RE33!$P$7:$P$874,'30 days CF Table(NZD)'!G28,BS_RE33!$F$7:$F$874,'30 days CF Table(NZD)'!$C$2)</f>
        <v>0</v>
      </c>
      <c r="AN28" s="337">
        <f>SUMIFS(BS_RE33!$H$7:$H$874,BS_RE33!$S$7:$S$874,$AN$2,BS_RE33!$N$7:$N$874,I28,BS_RE33!$P$7:$P$874,'30 days CF Table(NZD)'!G28,BS_RE33!$F$7:$F$874,'30 days CF Table(NZD)'!$C$2)</f>
        <v>0</v>
      </c>
      <c r="AO28" s="337">
        <f>SUMIFS(BS_RE33!$H$7:$H$874,BS_RE33!$S$7:$S$874,$AO$2,BS_RE33!$N$7:$N$874,I28,BS_RE33!$P$7:$P$874,'30 days CF Table(NZD)'!G28,BS_RE33!$F$7:$F$874,'30 days CF Table(NZD)'!$C$2)</f>
        <v>0</v>
      </c>
      <c r="AP28" s="338">
        <f>SUMIFS(BS_RE33!$H$7:$H$874,BS_RE33!$S$7:$S$874,$AP$2,BS_RE33!$N$7:$N$874,I28,BS_RE33!$P$7:$P$874,'30 days CF Table(NZD)'!G28,BS_RE33!$F$7:$F$874,'30 days CF Table(NZD)'!$C$2)</f>
        <v>0</v>
      </c>
      <c r="AR28" s="379">
        <f>SUMIFS(BS_RE33!$H$7:$H$874,BS_RE33!$S$7:$S$874,$AR$2,BS_RE33!$N$7:$N$874,I28,BS_RE33!$P$7:$P$874,'30 days CF Table(NZD)'!G28,BS_RE33!$F$7:$F$874,'30 days CF Table(NZD)'!$C$2)</f>
        <v>0</v>
      </c>
      <c r="AS28" s="379">
        <f>SUMIFS(BS_RE33!$H$7:$H$874,BS_RE33!$S$7:$S$874,$AS$2,BS_RE33!$N$7:$N$874,I28,BS_RE33!$P$7:$P$874,'30 days CF Table(NZD)'!G28,BS_RE33!$F$7:$F$874,'30 days CF Table(NZD)'!$C$2)</f>
        <v>0</v>
      </c>
      <c r="AT28" s="379">
        <f>SUMIFS(BS_RE33!$H$7:$H$874,BS_RE33!$S$7:$S$874,$AT$2,BS_RE33!$N$7:$N$874,I28,BS_RE33!$P$7:$P$874,'30 days CF Table(NZD)'!G28,BS_RE33!$F$7:$F$874,'30 days CF Table(NZD)'!$C$2)</f>
        <v>0</v>
      </c>
      <c r="AU28" s="379">
        <f>SUMIFS(BS_RE33!$H$7:$H$874,BS_RE33!$S$7:$S$874,$AU$2,BS_RE33!$N$7:$N$874,I28,BS_RE33!$P$7:$P$874,'30 days CF Table(NZD)'!G28,BS_RE33!$F$7:$F$874,'30 days CF Table(NZD)'!$C$2)</f>
        <v>0</v>
      </c>
      <c r="AV28" s="379">
        <f>SUMIFS(BS_RE33!$H$7:$H$874,BS_RE33!$S$7:$S$874,$AV$2,BS_RE33!$N$7:$N$874,I28,BS_RE33!$P$7:$P$874,'30 days CF Table(NZD)'!G28,BS_RE33!$F$7:$F$874,'30 days CF Table(NZD)'!$C$2)</f>
        <v>0</v>
      </c>
      <c r="AW28" s="379">
        <f>SUMIFS(BS_RE33!$H$7:$H$874,BS_RE33!$S$7:$S$874,$AW$2,BS_RE33!$N$7:$N$874,I28,BS_RE33!$P$7:$P$874,'30 days CF Table(NZD)'!G28,BS_RE33!$F$7:$F$874,'30 days CF Table(NZD)'!$C$2)</f>
        <v>0</v>
      </c>
      <c r="AX28" s="379">
        <f>SUMIFS(BS_RE33!$H$7:$H$874,BS_RE33!$S$7:$S$874,$AX$2,BS_RE33!$N$7:$N$874,I28,BS_RE33!$P$7:$P$874,'30 days CF Table(NZD)'!G28,BS_RE33!$F$7:$F$874,'30 days CF Table(NZD)'!$C$2)</f>
        <v>0</v>
      </c>
      <c r="AY28" s="379">
        <f>SUMIFS(BS_RE33!$H$7:$H$874,BS_RE33!$S$7:$S$874,$AY$2,BS_RE33!$N$7:$N$874,I28,BS_RE33!$P$7:$P$874,'30 days CF Table(NZD)'!G28,BS_RE33!$F$7:$F$874,'30 days CF Table(NZD)'!$C$2)</f>
        <v>0</v>
      </c>
      <c r="AZ28" s="379">
        <f>SUMIFS(BS_RE33!$H$7:$H$874,BS_RE33!$S$7:$S$874,$AZ$2,BS_RE33!$N$7:$N$874,I28,BS_RE33!$P$7:$P$874,'30 days CF Table(NZD)'!G28,BS_RE33!$F$7:$F$874,'30 days CF Table(NZD)'!$C$2)</f>
        <v>0</v>
      </c>
      <c r="BA28" s="379">
        <f>SUMIFS(BS_RE33!$H$7:$H$874,BS_RE33!$S$7:$S$874,$BA$2,BS_RE33!$N$7:$N$874,I28,BS_RE33!$P$7:$P$874,'30 days CF Table(NZD)'!G28,BS_RE33!$F$7:$F$874,'30 days CF Table(NZD)'!$C$2)</f>
        <v>0</v>
      </c>
      <c r="BB28" s="379">
        <f>SUMIFS(BS_RE33!$H$7:$H$874,BS_RE33!$S$7:$S$874,$BB$2,BS_RE33!$N$7:$N$874,I28,BS_RE33!$P$7:$P$874,'30 days CF Table(NZD)'!G28,BS_RE33!$F$7:$F$874,'30 days CF Table(NZD)'!$C$2)</f>
        <v>0</v>
      </c>
      <c r="BC28" s="379">
        <f>SUMIFS(BS_RE33!$H$7:$H$874,BS_RE33!$S$7:$S$874,$BC$2,BS_RE33!$N$7:$N$874,I28,BS_RE33!$P$7:$P$874,'30 days CF Table(NZD)'!G28,BS_RE33!$F$7:$F$874,'30 days CF Table(NZD)'!$C$2)</f>
        <v>0</v>
      </c>
      <c r="BD28" s="379">
        <f>SUMIFS(BS_RE33!$H$7:$H$874,BS_RE33!$S$7:$S$874,$BD$2,BS_RE33!$N$7:$N$874,I28,BS_RE33!$P$7:$P$874,'30 days CF Table(NZD)'!G28,BS_RE33!$F$7:$F$874,'30 days CF Table(NZD)'!$C$2)</f>
        <v>0</v>
      </c>
      <c r="BE28" s="379">
        <f>SUMIFS(BS_RE33!$H$7:$H$874,BS_RE33!$S$7:$S$874,$BE$2,BS_RE33!$N$7:$N$874,I28,BS_RE33!$P$7:$P$874,'30 days CF Table(NZD)'!G28,BS_RE33!$F$7:$F$874,'30 days CF Table(NZD)'!$C$2)</f>
        <v>0</v>
      </c>
      <c r="BF28" s="379">
        <f>SUMIFS(BS_RE33!$H$7:$H$874,BS_RE33!$S$7:$S$874,$BF$2,BS_RE33!$N$7:$N$874,I28,BS_RE33!$P$7:$P$874,'30 days CF Table(NZD)'!G28,BS_RE33!$F$7:$F$874,'30 days CF Table(NZD)'!$C$2)</f>
        <v>0</v>
      </c>
      <c r="BG28" s="379">
        <f>SUMIFS(BS_RE33!$H$7:$H$874,BS_RE33!$S$7:$S$874,$BG$2,BS_RE33!$N$7:$N$874,I28,BS_RE33!$P$7:$P$874,'30 days CF Table(NZD)'!G28,BS_RE33!$F$7:$F$874,'30 days CF Table(NZD)'!$C$2)</f>
        <v>0</v>
      </c>
      <c r="BH28" s="379">
        <f>SUMIFS(BS_RE33!$H$7:$H$874,BS_RE33!$S$7:$S$874,$BH$2,BS_RE33!$N$7:$N$874,I28,BS_RE33!$P$7:$P$874,'30 days CF Table(NZD)'!G28,BS_RE33!$F$7:$F$874,'30 days CF Table(NZD)'!$C$2)</f>
        <v>0</v>
      </c>
      <c r="BI28" s="379">
        <f>SUMIFS(BS_RE33!$H$7:$H$874,BS_RE33!$S$7:$S$874,$BI$2,BS_RE33!$N$7:$N$874,I28,BS_RE33!$P$7:$P$874,'30 days CF Table(NZD)'!G28,BS_RE33!$F$7:$F$874,'30 days CF Table(NZD)'!$C$2)</f>
        <v>0</v>
      </c>
      <c r="BJ28" s="379">
        <f>SUMIFS(BS_RE33!$H$7:$H$874,BS_RE33!$S$7:$S$874,$BJ$2,BS_RE33!$N$7:$N$874,I28,BS_RE33!$P$7:$P$874,'30 days CF Table(NZD)'!G28,BS_RE33!$F$7:$F$874,'30 days CF Table(NZD)'!$C$2)</f>
        <v>0</v>
      </c>
      <c r="BK28" s="379">
        <f>SUMIFS(BS_RE33!$H$7:$H$874,BS_RE33!$S$7:$S$874,$BK$2,BS_RE33!$N$7:$N$874,I28,BS_RE33!$P$7:$P$874,'30 days CF Table(NZD)'!G28,BS_RE33!$F$7:$F$874,'30 days CF Table(NZD)'!$C$2)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Table(NZD)'!G29,BS_RE33!$F$7:$F$874,'30 days CF Table(NZD)'!$C$2)</f>
        <v>0</v>
      </c>
      <c r="M29" s="337">
        <f>SUMIFS(BS_RE33!$H$7:$H$874,BS_RE33!$S$7:$S$874,$M$2,BS_RE33!$N$7:$N$874,I29,BS_RE33!$P$7:$P$874,'30 days CF Table(NZD)'!G29,BS_RE33!$F$7:$F$874,'30 days CF Table(NZD)'!$C$2)</f>
        <v>0</v>
      </c>
      <c r="N29" s="337">
        <f>SUMIFS(BS_RE33!$H$7:$H$874,BS_RE33!$S$7:$S$874,$N$2,BS_RE33!$N$7:$N$874,I29,BS_RE33!$P$7:$P$874,'30 days CF Table(NZD)'!G29,BS_RE33!$F$7:$F$874,'30 days CF Table(NZD)'!$C$2)</f>
        <v>0</v>
      </c>
      <c r="O29" s="337">
        <f>SUMIFS(BS_RE33!$H$7:$H$874,BS_RE33!$S$7:$S$874,$O$2,BS_RE33!$N$7:$N$874,I29,BS_RE33!$P$7:$P$874,'30 days CF Table(NZD)'!G29,BS_RE33!$F$7:$F$874,'30 days CF Table(NZD)'!$C$2)</f>
        <v>0</v>
      </c>
      <c r="P29" s="337">
        <f>SUMIFS(BS_RE33!$H$7:$H$874,BS_RE33!$S$7:$S$874,$P$2,BS_RE33!$N$7:$N$874,I29,BS_RE33!$P$7:$P$874,'30 days CF Table(NZD)'!G29,BS_RE33!$F$7:$F$874,'30 days CF Table(NZD)'!$C$2)</f>
        <v>0</v>
      </c>
      <c r="Q29" s="337">
        <f>SUMIFS(BS_RE33!$H$7:$H$874,BS_RE33!$S$7:$S$874,$Q$2,BS_RE33!$N$7:$N$874,I29,BS_RE33!$P$7:$P$874,'30 days CF Table(NZD)'!G29,BS_RE33!$F$7:$F$874,'30 days CF Table(NZD)'!$C$2)</f>
        <v>0</v>
      </c>
      <c r="R29" s="337">
        <f>SUMIFS(BS_RE33!$H$7:$H$874,BS_RE33!$S$7:$S$874,$R$2,BS_RE33!$N$7:$N$874,I29,BS_RE33!$P$7:$P$874,'30 days CF Table(NZD)'!G29,BS_RE33!$F$7:$F$874,'30 days CF Table(NZD)'!$C$2)</f>
        <v>0</v>
      </c>
      <c r="S29" s="337">
        <f>SUMIFS(BS_RE33!$H$7:$H$874,BS_RE33!$S$7:$S$874,$S$2,BS_RE33!$N$7:$N$874,I29,BS_RE33!$P$7:$P$874,'30 days CF Table(NZD)'!G29,BS_RE33!$F$7:$F$874,'30 days CF Table(NZD)'!$C$2)</f>
        <v>0</v>
      </c>
      <c r="T29" s="337">
        <f>SUMIFS(BS_RE33!$H$7:$H$874,BS_RE33!$S$7:$S$874,$T$2,BS_RE33!$N$7:$N$874,I29,BS_RE33!$P$7:$P$874,'30 days CF Table(NZD)'!G29,BS_RE33!$F$7:$F$874,'30 days CF Table(NZD)'!$C$2)</f>
        <v>0</v>
      </c>
      <c r="U29" s="337">
        <f>SUMIFS(BS_RE33!$H$7:$H$874,BS_RE33!$S$7:$S$874,$U$2,BS_RE33!$N$7:$N$874,I29,BS_RE33!$P$7:$P$874,'30 days CF Table(NZD)'!G29,BS_RE33!$F$7:$F$874,'30 days CF Table(NZD)'!$C$2)</f>
        <v>0</v>
      </c>
      <c r="V29" s="337">
        <f>SUMIFS(BS_RE33!$H$7:$H$874,BS_RE33!$S$7:$S$874,$V$2,BS_RE33!$N$7:$N$874,I29,BS_RE33!$P$7:$P$874,'30 days CF Table(NZD)'!G29,BS_RE33!$F$7:$F$874,'30 days CF Table(NZD)'!$C$2)</f>
        <v>0</v>
      </c>
      <c r="W29" s="337">
        <f>SUMIFS(BS_RE33!$H$7:$H$874,BS_RE33!$S$7:$S$874,$W$2,BS_RE33!$N$7:$N$874,I29,BS_RE33!$P$7:$P$874,'30 days CF Table(NZD)'!G29,BS_RE33!$F$7:$F$874,'30 days CF Table(NZD)'!$C$2)</f>
        <v>0</v>
      </c>
      <c r="X29" s="337">
        <f>SUMIFS(BS_RE33!$H$7:$H$874,BS_RE33!$S$7:$S$874,$X$2,BS_RE33!$N$7:$N$874,I29,BS_RE33!$P$7:$P$874,'30 days CF Table(NZD)'!G29,BS_RE33!$F$7:$F$874,'30 days CF Table(NZD)'!$C$2)</f>
        <v>0</v>
      </c>
      <c r="Y29" s="337">
        <f>SUMIFS(BS_RE33!$H$7:$H$874,BS_RE33!$S$7:$S$874,$Y$2,BS_RE33!$N$7:$N$874,I29,BS_RE33!$P$7:$P$874,'30 days CF Table(NZD)'!G29,BS_RE33!$F$7:$F$874,'30 days CF Table(NZD)'!$C$2)</f>
        <v>0</v>
      </c>
      <c r="Z29" s="337">
        <f>SUMIFS(BS_RE33!$H$7:$H$874,BS_RE33!$S$7:$S$874,$Z$2,BS_RE33!$N$7:$N$874,I29,BS_RE33!$P$7:$P$874,'30 days CF Table(NZD)'!G29,BS_RE33!$F$7:$F$874,'30 days CF Table(NZD)'!$C$2)</f>
        <v>0</v>
      </c>
      <c r="AA29" s="337">
        <f>SUMIFS(BS_RE33!$H$7:$H$874,BS_RE33!$S$7:$S$874,$AA$2,BS_RE33!$N$7:$N$874,I29,BS_RE33!$P$7:$P$874,'30 days CF Table(NZD)'!G29,BS_RE33!$F$7:$F$874,'30 days CF Table(NZD)'!$C$2)</f>
        <v>0</v>
      </c>
      <c r="AB29" s="337">
        <f>SUMIFS(BS_RE33!$H$7:$H$874,BS_RE33!$S$7:$S$874,$AB$2,BS_RE33!$N$7:$N$874,I29,BS_RE33!$P$7:$P$874,'30 days CF Table(NZD)'!G29,BS_RE33!$F$7:$F$874,'30 days CF Table(NZD)'!$C$2)</f>
        <v>0</v>
      </c>
      <c r="AC29" s="337">
        <f>SUMIFS(BS_RE33!$H$7:$H$874,BS_RE33!$S$7:$S$874,$AC$2,BS_RE33!$N$7:$N$874,I29,BS_RE33!$P$7:$P$874,'30 days CF Table(NZD)'!G29,BS_RE33!$F$7:$F$874,'30 days CF Table(NZD)'!$C$2)</f>
        <v>0</v>
      </c>
      <c r="AD29" s="337">
        <f>SUMIFS(BS_RE33!$H$7:$H$874,BS_RE33!$S$7:$S$874,$AD$2,BS_RE33!$N$7:$N$874,I29,BS_RE33!$P$7:$P$874,'30 days CF Table(NZD)'!G29,BS_RE33!$F$7:$F$874,'30 days CF Table(NZD)'!$C$2)</f>
        <v>0</v>
      </c>
      <c r="AE29" s="337">
        <f>SUMIFS(BS_RE33!$H$7:$H$874,BS_RE33!$S$7:$S$874,$AE$2,BS_RE33!$N$7:$N$874,I29,BS_RE33!$P$7:$P$874,'30 days CF Table(NZD)'!G29,BS_RE33!$F$7:$F$874,'30 days CF Table(NZD)'!$C$2)</f>
        <v>0</v>
      </c>
      <c r="AF29" s="337">
        <f>SUMIFS(BS_RE33!$H$7:$H$874,BS_RE33!$S$7:$S$874,$AF$2,BS_RE33!$N$7:$N$874,I29,BS_RE33!$P$7:$P$874,'30 days CF Table(NZD)'!G29,BS_RE33!$F$7:$F$874,'30 days CF Table(NZD)'!$C$2)</f>
        <v>0</v>
      </c>
      <c r="AG29" s="337">
        <f>SUMIFS(BS_RE33!$H$7:$H$874,BS_RE33!$S$7:$S$874,$AG$2,BS_RE33!$N$7:$N$874,I29,BS_RE33!$P$7:$P$874,'30 days CF Table(NZD)'!G29,BS_RE33!$F$7:$F$874,'30 days CF Table(NZD)'!$C$2)</f>
        <v>0</v>
      </c>
      <c r="AH29" s="337">
        <f>SUMIFS(BS_RE33!$H$7:$H$874,BS_RE33!$S$7:$S$874,$AH$2,BS_RE33!$N$7:$N$874,I29,BS_RE33!$P$7:$P$874,'30 days CF Table(NZD)'!G29,BS_RE33!$F$7:$F$874,'30 days CF Table(NZD)'!$C$2)</f>
        <v>0</v>
      </c>
      <c r="AI29" s="337">
        <f>SUMIFS(BS_RE33!$H$7:$H$874,BS_RE33!$S$7:$S$874,$AI$2,BS_RE33!$N$7:$N$874,I29,BS_RE33!$P$7:$P$874,'30 days CF Table(NZD)'!G29,BS_RE33!$F$7:$F$874,'30 days CF Table(NZD)'!$C$2)</f>
        <v>0</v>
      </c>
      <c r="AJ29" s="337">
        <f>SUMIFS(BS_RE33!$H$7:$H$874,BS_RE33!$S$7:$S$874,$AJ$2,BS_RE33!$N$7:$N$874,I29,BS_RE33!$P$7:$P$874,'30 days CF Table(NZD)'!G29,BS_RE33!$F$7:$F$874,'30 days CF Table(NZD)'!$C$2)</f>
        <v>0</v>
      </c>
      <c r="AK29" s="337">
        <f>SUMIFS(BS_RE33!$H$7:$H$874,BS_RE33!$S$7:$S$874,$AK$2,BS_RE33!$N$7:$N$874,I29,BS_RE33!$P$7:$P$874,'30 days CF Table(NZD)'!G29,BS_RE33!$F$7:$F$874,'30 days CF Table(NZD)'!$C$2)</f>
        <v>0</v>
      </c>
      <c r="AL29" s="337">
        <f>SUMIFS(BS_RE33!$H$7:$H$874,BS_RE33!$S$7:$S$874,$AL$2,BS_RE33!$N$7:$N$874,I29,BS_RE33!$P$7:$P$874,'30 days CF Table(NZD)'!G29,BS_RE33!$F$7:$F$874,'30 days CF Table(NZD)'!$C$2)</f>
        <v>0</v>
      </c>
      <c r="AM29" s="337">
        <f>SUMIFS(BS_RE33!$H$7:$H$874,BS_RE33!$S$7:$S$874,$AM$2,BS_RE33!$N$7:$N$874,I29,BS_RE33!$P$7:$P$874,'30 days CF Table(NZD)'!G29,BS_RE33!$F$7:$F$874,'30 days CF Table(NZD)'!$C$2)</f>
        <v>0</v>
      </c>
      <c r="AN29" s="337">
        <f>SUMIFS(BS_RE33!$H$7:$H$874,BS_RE33!$S$7:$S$874,$AN$2,BS_RE33!$N$7:$N$874,I29,BS_RE33!$P$7:$P$874,'30 days CF Table(NZD)'!G29,BS_RE33!$F$7:$F$874,'30 days CF Table(NZD)'!$C$2)</f>
        <v>0</v>
      </c>
      <c r="AO29" s="337">
        <f>SUMIFS(BS_RE33!$H$7:$H$874,BS_RE33!$S$7:$S$874,$AO$2,BS_RE33!$N$7:$N$874,I29,BS_RE33!$P$7:$P$874,'30 days CF Table(NZD)'!G29,BS_RE33!$F$7:$F$874,'30 days CF Table(NZD)'!$C$2)</f>
        <v>0</v>
      </c>
      <c r="AP29" s="338">
        <f>SUMIFS(BS_RE33!$H$7:$H$874,BS_RE33!$S$7:$S$874,$AP$2,BS_RE33!$N$7:$N$874,I29,BS_RE33!$P$7:$P$874,'30 days CF Table(NZD)'!G29,BS_RE33!$F$7:$F$874,'30 days CF Table(NZD)'!$C$2)</f>
        <v>0</v>
      </c>
      <c r="AR29" s="379">
        <f>SUMIFS(BS_RE33!$H$7:$H$874,BS_RE33!$S$7:$S$874,$AR$2,BS_RE33!$N$7:$N$874,I29,BS_RE33!$P$7:$P$874,'30 days CF Table(NZD)'!G29,BS_RE33!$F$7:$F$874,'30 days CF Table(NZD)'!$C$2)</f>
        <v>0</v>
      </c>
      <c r="AS29" s="379">
        <f>SUMIFS(BS_RE33!$H$7:$H$874,BS_RE33!$S$7:$S$874,$AS$2,BS_RE33!$N$7:$N$874,I29,BS_RE33!$P$7:$P$874,'30 days CF Table(NZD)'!G29,BS_RE33!$F$7:$F$874,'30 days CF Table(NZD)'!$C$2)</f>
        <v>0</v>
      </c>
      <c r="AT29" s="379">
        <f>SUMIFS(BS_RE33!$H$7:$H$874,BS_RE33!$S$7:$S$874,$AT$2,BS_RE33!$N$7:$N$874,I29,BS_RE33!$P$7:$P$874,'30 days CF Table(NZD)'!G29,BS_RE33!$F$7:$F$874,'30 days CF Table(NZD)'!$C$2)</f>
        <v>0</v>
      </c>
      <c r="AU29" s="379">
        <f>SUMIFS(BS_RE33!$H$7:$H$874,BS_RE33!$S$7:$S$874,$AU$2,BS_RE33!$N$7:$N$874,I29,BS_RE33!$P$7:$P$874,'30 days CF Table(NZD)'!G29,BS_RE33!$F$7:$F$874,'30 days CF Table(NZD)'!$C$2)</f>
        <v>0</v>
      </c>
      <c r="AV29" s="379">
        <f>SUMIFS(BS_RE33!$H$7:$H$874,BS_RE33!$S$7:$S$874,$AV$2,BS_RE33!$N$7:$N$874,I29,BS_RE33!$P$7:$P$874,'30 days CF Table(NZD)'!G29,BS_RE33!$F$7:$F$874,'30 days CF Table(NZD)'!$C$2)</f>
        <v>0</v>
      </c>
      <c r="AW29" s="379">
        <f>SUMIFS(BS_RE33!$H$7:$H$874,BS_RE33!$S$7:$S$874,$AW$2,BS_RE33!$N$7:$N$874,I29,BS_RE33!$P$7:$P$874,'30 days CF Table(NZD)'!G29,BS_RE33!$F$7:$F$874,'30 days CF Table(NZD)'!$C$2)</f>
        <v>0</v>
      </c>
      <c r="AX29" s="379">
        <f>SUMIFS(BS_RE33!$H$7:$H$874,BS_RE33!$S$7:$S$874,$AX$2,BS_RE33!$N$7:$N$874,I29,BS_RE33!$P$7:$P$874,'30 days CF Table(NZD)'!G29,BS_RE33!$F$7:$F$874,'30 days CF Table(NZD)'!$C$2)</f>
        <v>0</v>
      </c>
      <c r="AY29" s="379">
        <f>SUMIFS(BS_RE33!$H$7:$H$874,BS_RE33!$S$7:$S$874,$AY$2,BS_RE33!$N$7:$N$874,I29,BS_RE33!$P$7:$P$874,'30 days CF Table(NZD)'!G29,BS_RE33!$F$7:$F$874,'30 days CF Table(NZD)'!$C$2)</f>
        <v>0</v>
      </c>
      <c r="AZ29" s="379">
        <f>SUMIFS(BS_RE33!$H$7:$H$874,BS_RE33!$S$7:$S$874,$AZ$2,BS_RE33!$N$7:$N$874,I29,BS_RE33!$P$7:$P$874,'30 days CF Table(NZD)'!G29,BS_RE33!$F$7:$F$874,'30 days CF Table(NZD)'!$C$2)</f>
        <v>0</v>
      </c>
      <c r="BA29" s="379">
        <f>SUMIFS(BS_RE33!$H$7:$H$874,BS_RE33!$S$7:$S$874,$BA$2,BS_RE33!$N$7:$N$874,I29,BS_RE33!$P$7:$P$874,'30 days CF Table(NZD)'!G29,BS_RE33!$F$7:$F$874,'30 days CF Table(NZD)'!$C$2)</f>
        <v>0</v>
      </c>
      <c r="BB29" s="379">
        <f>SUMIFS(BS_RE33!$H$7:$H$874,BS_RE33!$S$7:$S$874,$BB$2,BS_RE33!$N$7:$N$874,I29,BS_RE33!$P$7:$P$874,'30 days CF Table(NZD)'!G29,BS_RE33!$F$7:$F$874,'30 days CF Table(NZD)'!$C$2)</f>
        <v>0</v>
      </c>
      <c r="BC29" s="379">
        <f>SUMIFS(BS_RE33!$H$7:$H$874,BS_RE33!$S$7:$S$874,$BC$2,BS_RE33!$N$7:$N$874,I29,BS_RE33!$P$7:$P$874,'30 days CF Table(NZD)'!G29,BS_RE33!$F$7:$F$874,'30 days CF Table(NZD)'!$C$2)</f>
        <v>0</v>
      </c>
      <c r="BD29" s="379">
        <f>SUMIFS(BS_RE33!$H$7:$H$874,BS_RE33!$S$7:$S$874,$BD$2,BS_RE33!$N$7:$N$874,I29,BS_RE33!$P$7:$P$874,'30 days CF Table(NZD)'!G29,BS_RE33!$F$7:$F$874,'30 days CF Table(NZD)'!$C$2)</f>
        <v>0</v>
      </c>
      <c r="BE29" s="379">
        <f>SUMIFS(BS_RE33!$H$7:$H$874,BS_RE33!$S$7:$S$874,$BE$2,BS_RE33!$N$7:$N$874,I29,BS_RE33!$P$7:$P$874,'30 days CF Table(NZD)'!G29,BS_RE33!$F$7:$F$874,'30 days CF Table(NZD)'!$C$2)</f>
        <v>0</v>
      </c>
      <c r="BF29" s="379">
        <f>SUMIFS(BS_RE33!$H$7:$H$874,BS_RE33!$S$7:$S$874,$BF$2,BS_RE33!$N$7:$N$874,I29,BS_RE33!$P$7:$P$874,'30 days CF Table(NZD)'!G29,BS_RE33!$F$7:$F$874,'30 days CF Table(NZD)'!$C$2)</f>
        <v>0</v>
      </c>
      <c r="BG29" s="379">
        <f>SUMIFS(BS_RE33!$H$7:$H$874,BS_RE33!$S$7:$S$874,$BG$2,BS_RE33!$N$7:$N$874,I29,BS_RE33!$P$7:$P$874,'30 days CF Table(NZD)'!G29,BS_RE33!$F$7:$F$874,'30 days CF Table(NZD)'!$C$2)</f>
        <v>0</v>
      </c>
      <c r="BH29" s="379">
        <f>SUMIFS(BS_RE33!$H$7:$H$874,BS_RE33!$S$7:$S$874,$BH$2,BS_RE33!$N$7:$N$874,I29,BS_RE33!$P$7:$P$874,'30 days CF Table(NZD)'!G29,BS_RE33!$F$7:$F$874,'30 days CF Table(NZD)'!$C$2)</f>
        <v>0</v>
      </c>
      <c r="BI29" s="379">
        <f>SUMIFS(BS_RE33!$H$7:$H$874,BS_RE33!$S$7:$S$874,$BI$2,BS_RE33!$N$7:$N$874,I29,BS_RE33!$P$7:$P$874,'30 days CF Table(NZD)'!G29,BS_RE33!$F$7:$F$874,'30 days CF Table(NZD)'!$C$2)</f>
        <v>0</v>
      </c>
      <c r="BJ29" s="379">
        <f>SUMIFS(BS_RE33!$H$7:$H$874,BS_RE33!$S$7:$S$874,$BJ$2,BS_RE33!$N$7:$N$874,I29,BS_RE33!$P$7:$P$874,'30 days CF Table(NZD)'!G29,BS_RE33!$F$7:$F$874,'30 days CF Table(NZD)'!$C$2)</f>
        <v>0</v>
      </c>
      <c r="BK29" s="379">
        <f>SUMIFS(BS_RE33!$H$7:$H$874,BS_RE33!$S$7:$S$874,$BK$2,BS_RE33!$N$7:$N$874,I29,BS_RE33!$P$7:$P$874,'30 days CF Table(NZD)'!G29,BS_RE33!$F$7:$F$874,'30 days CF Table(NZD)'!$C$2)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Table(NZD)'!G30,BS_RE33!$F$7:$F$874,'30 days CF Table(NZD)'!$C$2)</f>
        <v>0</v>
      </c>
      <c r="M30" s="337">
        <f>SUMIFS(BS_RE33!$H$7:$H$874,BS_RE33!$S$7:$S$874,$M$2,BS_RE33!$N$7:$N$874,I30,BS_RE33!$P$7:$P$874,'30 days CF Table(NZD)'!G30,BS_RE33!$F$7:$F$874,'30 days CF Table(NZD)'!$C$2)</f>
        <v>0</v>
      </c>
      <c r="N30" s="337">
        <f>SUMIFS(BS_RE33!$H$7:$H$874,BS_RE33!$S$7:$S$874,$N$2,BS_RE33!$N$7:$N$874,I30,BS_RE33!$P$7:$P$874,'30 days CF Table(NZD)'!G30,BS_RE33!$F$7:$F$874,'30 days CF Table(NZD)'!$C$2)</f>
        <v>0</v>
      </c>
      <c r="O30" s="337">
        <f>SUMIFS(BS_RE33!$H$7:$H$874,BS_RE33!$S$7:$S$874,$O$2,BS_RE33!$N$7:$N$874,I30,BS_RE33!$P$7:$P$874,'30 days CF Table(NZD)'!G30,BS_RE33!$F$7:$F$874,'30 days CF Table(NZD)'!$C$2)</f>
        <v>0</v>
      </c>
      <c r="P30" s="337">
        <f>SUMIFS(BS_RE33!$H$7:$H$874,BS_RE33!$S$7:$S$874,$P$2,BS_RE33!$N$7:$N$874,I30,BS_RE33!$P$7:$P$874,'30 days CF Table(NZD)'!G30,BS_RE33!$F$7:$F$874,'30 days CF Table(NZD)'!$C$2)</f>
        <v>0</v>
      </c>
      <c r="Q30" s="337">
        <f>SUMIFS(BS_RE33!$H$7:$H$874,BS_RE33!$S$7:$S$874,$Q$2,BS_RE33!$N$7:$N$874,I30,BS_RE33!$P$7:$P$874,'30 days CF Table(NZD)'!G30,BS_RE33!$F$7:$F$874,'30 days CF Table(NZD)'!$C$2)</f>
        <v>0</v>
      </c>
      <c r="R30" s="337">
        <f>SUMIFS(BS_RE33!$H$7:$H$874,BS_RE33!$S$7:$S$874,$R$2,BS_RE33!$N$7:$N$874,I30,BS_RE33!$P$7:$P$874,'30 days CF Table(NZD)'!G30,BS_RE33!$F$7:$F$874,'30 days CF Table(NZD)'!$C$2)</f>
        <v>0</v>
      </c>
      <c r="S30" s="337">
        <f>SUMIFS(BS_RE33!$H$7:$H$874,BS_RE33!$S$7:$S$874,$S$2,BS_RE33!$N$7:$N$874,I30,BS_RE33!$P$7:$P$874,'30 days CF Table(NZD)'!G30,BS_RE33!$F$7:$F$874,'30 days CF Table(NZD)'!$C$2)</f>
        <v>0</v>
      </c>
      <c r="T30" s="337">
        <f>SUMIFS(BS_RE33!$H$7:$H$874,BS_RE33!$S$7:$S$874,$T$2,BS_RE33!$N$7:$N$874,I30,BS_RE33!$P$7:$P$874,'30 days CF Table(NZD)'!G30,BS_RE33!$F$7:$F$874,'30 days CF Table(NZD)'!$C$2)</f>
        <v>0</v>
      </c>
      <c r="U30" s="337">
        <f>SUMIFS(BS_RE33!$H$7:$H$874,BS_RE33!$S$7:$S$874,$U$2,BS_RE33!$N$7:$N$874,I30,BS_RE33!$P$7:$P$874,'30 days CF Table(NZD)'!G30,BS_RE33!$F$7:$F$874,'30 days CF Table(NZD)'!$C$2)</f>
        <v>0</v>
      </c>
      <c r="V30" s="337">
        <f>SUMIFS(BS_RE33!$H$7:$H$874,BS_RE33!$S$7:$S$874,$V$2,BS_RE33!$N$7:$N$874,I30,BS_RE33!$P$7:$P$874,'30 days CF Table(NZD)'!G30,BS_RE33!$F$7:$F$874,'30 days CF Table(NZD)'!$C$2)</f>
        <v>0</v>
      </c>
      <c r="W30" s="337">
        <f>SUMIFS(BS_RE33!$H$7:$H$874,BS_RE33!$S$7:$S$874,$W$2,BS_RE33!$N$7:$N$874,I30,BS_RE33!$P$7:$P$874,'30 days CF Table(NZD)'!G30,BS_RE33!$F$7:$F$874,'30 days CF Table(NZD)'!$C$2)</f>
        <v>0</v>
      </c>
      <c r="X30" s="337">
        <f>SUMIFS(BS_RE33!$H$7:$H$874,BS_RE33!$S$7:$S$874,$X$2,BS_RE33!$N$7:$N$874,I30,BS_RE33!$P$7:$P$874,'30 days CF Table(NZD)'!G30,BS_RE33!$F$7:$F$874,'30 days CF Table(NZD)'!$C$2)</f>
        <v>0</v>
      </c>
      <c r="Y30" s="337">
        <f>SUMIFS(BS_RE33!$H$7:$H$874,BS_RE33!$S$7:$S$874,$Y$2,BS_RE33!$N$7:$N$874,I30,BS_RE33!$P$7:$P$874,'30 days CF Table(NZD)'!G30,BS_RE33!$F$7:$F$874,'30 days CF Table(NZD)'!$C$2)</f>
        <v>0</v>
      </c>
      <c r="Z30" s="337">
        <f>SUMIFS(BS_RE33!$H$7:$H$874,BS_RE33!$S$7:$S$874,$Z$2,BS_RE33!$N$7:$N$874,I30,BS_RE33!$P$7:$P$874,'30 days CF Table(NZD)'!G30,BS_RE33!$F$7:$F$874,'30 days CF Table(NZD)'!$C$2)</f>
        <v>0</v>
      </c>
      <c r="AA30" s="337">
        <f>SUMIFS(BS_RE33!$H$7:$H$874,BS_RE33!$S$7:$S$874,$AA$2,BS_RE33!$N$7:$N$874,I30,BS_RE33!$P$7:$P$874,'30 days CF Table(NZD)'!G30,BS_RE33!$F$7:$F$874,'30 days CF Table(NZD)'!$C$2)</f>
        <v>0</v>
      </c>
      <c r="AB30" s="337">
        <f>SUMIFS(BS_RE33!$H$7:$H$874,BS_RE33!$S$7:$S$874,$AB$2,BS_RE33!$N$7:$N$874,I30,BS_RE33!$P$7:$P$874,'30 days CF Table(NZD)'!G30,BS_RE33!$F$7:$F$874,'30 days CF Table(NZD)'!$C$2)</f>
        <v>0</v>
      </c>
      <c r="AC30" s="337">
        <f>SUMIFS(BS_RE33!$H$7:$H$874,BS_RE33!$S$7:$S$874,$AC$2,BS_RE33!$N$7:$N$874,I30,BS_RE33!$P$7:$P$874,'30 days CF Table(NZD)'!G30,BS_RE33!$F$7:$F$874,'30 days CF Table(NZD)'!$C$2)</f>
        <v>0</v>
      </c>
      <c r="AD30" s="337">
        <f>SUMIFS(BS_RE33!$H$7:$H$874,BS_RE33!$S$7:$S$874,$AD$2,BS_RE33!$N$7:$N$874,I30,BS_RE33!$P$7:$P$874,'30 days CF Table(NZD)'!G30,BS_RE33!$F$7:$F$874,'30 days CF Table(NZD)'!$C$2)</f>
        <v>0</v>
      </c>
      <c r="AE30" s="337">
        <f>SUMIFS(BS_RE33!$H$7:$H$874,BS_RE33!$S$7:$S$874,$AE$2,BS_RE33!$N$7:$N$874,I30,BS_RE33!$P$7:$P$874,'30 days CF Table(NZD)'!G30,BS_RE33!$F$7:$F$874,'30 days CF Table(NZD)'!$C$2)</f>
        <v>0</v>
      </c>
      <c r="AF30" s="337">
        <f>SUMIFS(BS_RE33!$H$7:$H$874,BS_RE33!$S$7:$S$874,$AF$2,BS_RE33!$N$7:$N$874,I30,BS_RE33!$P$7:$P$874,'30 days CF Table(NZD)'!G30,BS_RE33!$F$7:$F$874,'30 days CF Table(NZD)'!$C$2)</f>
        <v>0</v>
      </c>
      <c r="AG30" s="337">
        <f>SUMIFS(BS_RE33!$H$7:$H$874,BS_RE33!$S$7:$S$874,$AG$2,BS_RE33!$N$7:$N$874,I30,BS_RE33!$P$7:$P$874,'30 days CF Table(NZD)'!G30,BS_RE33!$F$7:$F$874,'30 days CF Table(NZD)'!$C$2)</f>
        <v>0</v>
      </c>
      <c r="AH30" s="337">
        <f>SUMIFS(BS_RE33!$H$7:$H$874,BS_RE33!$S$7:$S$874,$AH$2,BS_RE33!$N$7:$N$874,I30,BS_RE33!$P$7:$P$874,'30 days CF Table(NZD)'!G30,BS_RE33!$F$7:$F$874,'30 days CF Table(NZD)'!$C$2)</f>
        <v>0</v>
      </c>
      <c r="AI30" s="337">
        <f>SUMIFS(BS_RE33!$H$7:$H$874,BS_RE33!$S$7:$S$874,$AI$2,BS_RE33!$N$7:$N$874,I30,BS_RE33!$P$7:$P$874,'30 days CF Table(NZD)'!G30,BS_RE33!$F$7:$F$874,'30 days CF Table(NZD)'!$C$2)</f>
        <v>0</v>
      </c>
      <c r="AJ30" s="337">
        <f>SUMIFS(BS_RE33!$H$7:$H$874,BS_RE33!$S$7:$S$874,$AJ$2,BS_RE33!$N$7:$N$874,I30,BS_RE33!$P$7:$P$874,'30 days CF Table(NZD)'!G30,BS_RE33!$F$7:$F$874,'30 days CF Table(NZD)'!$C$2)</f>
        <v>0</v>
      </c>
      <c r="AK30" s="337">
        <f>SUMIFS(BS_RE33!$H$7:$H$874,BS_RE33!$S$7:$S$874,$AK$2,BS_RE33!$N$7:$N$874,I30,BS_RE33!$P$7:$P$874,'30 days CF Table(NZD)'!G30,BS_RE33!$F$7:$F$874,'30 days CF Table(NZD)'!$C$2)</f>
        <v>0</v>
      </c>
      <c r="AL30" s="337">
        <f>SUMIFS(BS_RE33!$H$7:$H$874,BS_RE33!$S$7:$S$874,$AL$2,BS_RE33!$N$7:$N$874,I30,BS_RE33!$P$7:$P$874,'30 days CF Table(NZD)'!G30,BS_RE33!$F$7:$F$874,'30 days CF Table(NZD)'!$C$2)</f>
        <v>0</v>
      </c>
      <c r="AM30" s="337">
        <f>SUMIFS(BS_RE33!$H$7:$H$874,BS_RE33!$S$7:$S$874,$AM$2,BS_RE33!$N$7:$N$874,I30,BS_RE33!$P$7:$P$874,'30 days CF Table(NZD)'!G30,BS_RE33!$F$7:$F$874,'30 days CF Table(NZD)'!$C$2)</f>
        <v>0</v>
      </c>
      <c r="AN30" s="337">
        <f>SUMIFS(BS_RE33!$H$7:$H$874,BS_RE33!$S$7:$S$874,$AN$2,BS_RE33!$N$7:$N$874,I30,BS_RE33!$P$7:$P$874,'30 days CF Table(NZD)'!G30,BS_RE33!$F$7:$F$874,'30 days CF Table(NZD)'!$C$2)</f>
        <v>0</v>
      </c>
      <c r="AO30" s="337">
        <f>SUMIFS(BS_RE33!$H$7:$H$874,BS_RE33!$S$7:$S$874,$AO$2,BS_RE33!$N$7:$N$874,I30,BS_RE33!$P$7:$P$874,'30 days CF Table(NZD)'!G30,BS_RE33!$F$7:$F$874,'30 days CF Table(NZD)'!$C$2)</f>
        <v>0</v>
      </c>
      <c r="AP30" s="338">
        <f>SUMIFS(BS_RE33!$H$7:$H$874,BS_RE33!$S$7:$S$874,$AP$2,BS_RE33!$N$7:$N$874,I30,BS_RE33!$P$7:$P$874,'30 days CF Table(NZD)'!G30,BS_RE33!$F$7:$F$874,'30 days CF Table(NZD)'!$C$2)</f>
        <v>0</v>
      </c>
      <c r="AR30" s="379">
        <f>SUMIFS(BS_RE33!$H$7:$H$874,BS_RE33!$S$7:$S$874,$AR$2,BS_RE33!$N$7:$N$874,I30,BS_RE33!$P$7:$P$874,'30 days CF Table(NZD)'!G30,BS_RE33!$F$7:$F$874,'30 days CF Table(NZD)'!$C$2)</f>
        <v>0</v>
      </c>
      <c r="AS30" s="379">
        <f>SUMIFS(BS_RE33!$H$7:$H$874,BS_RE33!$S$7:$S$874,$AS$2,BS_RE33!$N$7:$N$874,I30,BS_RE33!$P$7:$P$874,'30 days CF Table(NZD)'!G30,BS_RE33!$F$7:$F$874,'30 days CF Table(NZD)'!$C$2)</f>
        <v>0</v>
      </c>
      <c r="AT30" s="379">
        <f>SUMIFS(BS_RE33!$H$7:$H$874,BS_RE33!$S$7:$S$874,$AT$2,BS_RE33!$N$7:$N$874,I30,BS_RE33!$P$7:$P$874,'30 days CF Table(NZD)'!G30,BS_RE33!$F$7:$F$874,'30 days CF Table(NZD)'!$C$2)</f>
        <v>0</v>
      </c>
      <c r="AU30" s="379">
        <f>SUMIFS(BS_RE33!$H$7:$H$874,BS_RE33!$S$7:$S$874,$AU$2,BS_RE33!$N$7:$N$874,I30,BS_RE33!$P$7:$P$874,'30 days CF Table(NZD)'!G30,BS_RE33!$F$7:$F$874,'30 days CF Table(NZD)'!$C$2)</f>
        <v>0</v>
      </c>
      <c r="AV30" s="379">
        <f>SUMIFS(BS_RE33!$H$7:$H$874,BS_RE33!$S$7:$S$874,$AV$2,BS_RE33!$N$7:$N$874,I30,BS_RE33!$P$7:$P$874,'30 days CF Table(NZD)'!G30,BS_RE33!$F$7:$F$874,'30 days CF Table(NZD)'!$C$2)</f>
        <v>0</v>
      </c>
      <c r="AW30" s="379">
        <f>SUMIFS(BS_RE33!$H$7:$H$874,BS_RE33!$S$7:$S$874,$AW$2,BS_RE33!$N$7:$N$874,I30,BS_RE33!$P$7:$P$874,'30 days CF Table(NZD)'!G30,BS_RE33!$F$7:$F$874,'30 days CF Table(NZD)'!$C$2)</f>
        <v>0</v>
      </c>
      <c r="AX30" s="379">
        <f>SUMIFS(BS_RE33!$H$7:$H$874,BS_RE33!$S$7:$S$874,$AX$2,BS_RE33!$N$7:$N$874,I30,BS_RE33!$P$7:$P$874,'30 days CF Table(NZD)'!G30,BS_RE33!$F$7:$F$874,'30 days CF Table(NZD)'!$C$2)</f>
        <v>0</v>
      </c>
      <c r="AY30" s="379">
        <f>SUMIFS(BS_RE33!$H$7:$H$874,BS_RE33!$S$7:$S$874,$AY$2,BS_RE33!$N$7:$N$874,I30,BS_RE33!$P$7:$P$874,'30 days CF Table(NZD)'!G30,BS_RE33!$F$7:$F$874,'30 days CF Table(NZD)'!$C$2)</f>
        <v>0</v>
      </c>
      <c r="AZ30" s="379">
        <f>SUMIFS(BS_RE33!$H$7:$H$874,BS_RE33!$S$7:$S$874,$AZ$2,BS_RE33!$N$7:$N$874,I30,BS_RE33!$P$7:$P$874,'30 days CF Table(NZD)'!G30,BS_RE33!$F$7:$F$874,'30 days CF Table(NZD)'!$C$2)</f>
        <v>0</v>
      </c>
      <c r="BA30" s="379">
        <f>SUMIFS(BS_RE33!$H$7:$H$874,BS_RE33!$S$7:$S$874,$BA$2,BS_RE33!$N$7:$N$874,I30,BS_RE33!$P$7:$P$874,'30 days CF Table(NZD)'!G30,BS_RE33!$F$7:$F$874,'30 days CF Table(NZD)'!$C$2)</f>
        <v>0</v>
      </c>
      <c r="BB30" s="379">
        <f>SUMIFS(BS_RE33!$H$7:$H$874,BS_RE33!$S$7:$S$874,$BB$2,BS_RE33!$N$7:$N$874,I30,BS_RE33!$P$7:$P$874,'30 days CF Table(NZD)'!G30,BS_RE33!$F$7:$F$874,'30 days CF Table(NZD)'!$C$2)</f>
        <v>0</v>
      </c>
      <c r="BC30" s="379">
        <f>SUMIFS(BS_RE33!$H$7:$H$874,BS_RE33!$S$7:$S$874,$BC$2,BS_RE33!$N$7:$N$874,I30,BS_RE33!$P$7:$P$874,'30 days CF Table(NZD)'!G30,BS_RE33!$F$7:$F$874,'30 days CF Table(NZD)'!$C$2)</f>
        <v>0</v>
      </c>
      <c r="BD30" s="379">
        <f>SUMIFS(BS_RE33!$H$7:$H$874,BS_RE33!$S$7:$S$874,$BD$2,BS_RE33!$N$7:$N$874,I30,BS_RE33!$P$7:$P$874,'30 days CF Table(NZD)'!G30,BS_RE33!$F$7:$F$874,'30 days CF Table(NZD)'!$C$2)</f>
        <v>0</v>
      </c>
      <c r="BE30" s="379">
        <f>SUMIFS(BS_RE33!$H$7:$H$874,BS_RE33!$S$7:$S$874,$BE$2,BS_RE33!$N$7:$N$874,I30,BS_RE33!$P$7:$P$874,'30 days CF Table(NZD)'!G30,BS_RE33!$F$7:$F$874,'30 days CF Table(NZD)'!$C$2)</f>
        <v>0</v>
      </c>
      <c r="BF30" s="379">
        <f>SUMIFS(BS_RE33!$H$7:$H$874,BS_RE33!$S$7:$S$874,$BF$2,BS_RE33!$N$7:$N$874,I30,BS_RE33!$P$7:$P$874,'30 days CF Table(NZD)'!G30,BS_RE33!$F$7:$F$874,'30 days CF Table(NZD)'!$C$2)</f>
        <v>0</v>
      </c>
      <c r="BG30" s="379">
        <f>SUMIFS(BS_RE33!$H$7:$H$874,BS_RE33!$S$7:$S$874,$BG$2,BS_RE33!$N$7:$N$874,I30,BS_RE33!$P$7:$P$874,'30 days CF Table(NZD)'!G30,BS_RE33!$F$7:$F$874,'30 days CF Table(NZD)'!$C$2)</f>
        <v>0</v>
      </c>
      <c r="BH30" s="379">
        <f>SUMIFS(BS_RE33!$H$7:$H$874,BS_RE33!$S$7:$S$874,$BH$2,BS_RE33!$N$7:$N$874,I30,BS_RE33!$P$7:$P$874,'30 days CF Table(NZD)'!G30,BS_RE33!$F$7:$F$874,'30 days CF Table(NZD)'!$C$2)</f>
        <v>0</v>
      </c>
      <c r="BI30" s="379">
        <f>SUMIFS(BS_RE33!$H$7:$H$874,BS_RE33!$S$7:$S$874,$BI$2,BS_RE33!$N$7:$N$874,I30,BS_RE33!$P$7:$P$874,'30 days CF Table(NZD)'!G30,BS_RE33!$F$7:$F$874,'30 days CF Table(NZD)'!$C$2)</f>
        <v>0</v>
      </c>
      <c r="BJ30" s="379">
        <f>SUMIFS(BS_RE33!$H$7:$H$874,BS_RE33!$S$7:$S$874,$BJ$2,BS_RE33!$N$7:$N$874,I30,BS_RE33!$P$7:$P$874,'30 days CF Table(NZD)'!G30,BS_RE33!$F$7:$F$874,'30 days CF Table(NZD)'!$C$2)</f>
        <v>0</v>
      </c>
      <c r="BK30" s="379">
        <f>SUMIFS(BS_RE33!$H$7:$H$874,BS_RE33!$S$7:$S$874,$BK$2,BS_RE33!$N$7:$N$874,I30,BS_RE33!$P$7:$P$874,'30 days CF Table(NZD)'!G30,BS_RE33!$F$7:$F$874,'30 days CF Table(NZD)'!$C$2)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Table(NZD)'!G31,BS_RE33!$F$7:$F$874,'30 days CF Table(NZD)'!$C$2)</f>
        <v>0</v>
      </c>
      <c r="M31" s="337">
        <f>SUMIFS(BS_RE33!$H$7:$H$874,BS_RE33!$S$7:$S$874,$M$2,BS_RE33!$N$7:$N$874,I31,BS_RE33!$P$7:$P$874,'30 days CF Table(NZD)'!G31,BS_RE33!$F$7:$F$874,'30 days CF Table(NZD)'!$C$2)</f>
        <v>0</v>
      </c>
      <c r="N31" s="337">
        <f>SUMIFS(BS_RE33!$H$7:$H$874,BS_RE33!$S$7:$S$874,$N$2,BS_RE33!$N$7:$N$874,I31,BS_RE33!$P$7:$P$874,'30 days CF Table(NZD)'!G31,BS_RE33!$F$7:$F$874,'30 days CF Table(NZD)'!$C$2)</f>
        <v>0</v>
      </c>
      <c r="O31" s="337">
        <f>SUMIFS(BS_RE33!$H$7:$H$874,BS_RE33!$S$7:$S$874,$O$2,BS_RE33!$N$7:$N$874,I31,BS_RE33!$P$7:$P$874,'30 days CF Table(NZD)'!G31,BS_RE33!$F$7:$F$874,'30 days CF Table(NZD)'!$C$2)</f>
        <v>0</v>
      </c>
      <c r="P31" s="337">
        <f>SUMIFS(BS_RE33!$H$7:$H$874,BS_RE33!$S$7:$S$874,$P$2,BS_RE33!$N$7:$N$874,I31,BS_RE33!$P$7:$P$874,'30 days CF Table(NZD)'!G31,BS_RE33!$F$7:$F$874,'30 days CF Table(NZD)'!$C$2)</f>
        <v>0</v>
      </c>
      <c r="Q31" s="337">
        <f>SUMIFS(BS_RE33!$H$7:$H$874,BS_RE33!$S$7:$S$874,$Q$2,BS_RE33!$N$7:$N$874,I31,BS_RE33!$P$7:$P$874,'30 days CF Table(NZD)'!G31,BS_RE33!$F$7:$F$874,'30 days CF Table(NZD)'!$C$2)</f>
        <v>0</v>
      </c>
      <c r="R31" s="337">
        <f>SUMIFS(BS_RE33!$H$7:$H$874,BS_RE33!$S$7:$S$874,$R$2,BS_RE33!$N$7:$N$874,I31,BS_RE33!$P$7:$P$874,'30 days CF Table(NZD)'!G31,BS_RE33!$F$7:$F$874,'30 days CF Table(NZD)'!$C$2)</f>
        <v>0</v>
      </c>
      <c r="S31" s="337">
        <f>SUMIFS(BS_RE33!$H$7:$H$874,BS_RE33!$S$7:$S$874,$S$2,BS_RE33!$N$7:$N$874,I31,BS_RE33!$P$7:$P$874,'30 days CF Table(NZD)'!G31,BS_RE33!$F$7:$F$874,'30 days CF Table(NZD)'!$C$2)</f>
        <v>0</v>
      </c>
      <c r="T31" s="337">
        <f>SUMIFS(BS_RE33!$H$7:$H$874,BS_RE33!$S$7:$S$874,$T$2,BS_RE33!$N$7:$N$874,I31,BS_RE33!$P$7:$P$874,'30 days CF Table(NZD)'!G31,BS_RE33!$F$7:$F$874,'30 days CF Table(NZD)'!$C$2)</f>
        <v>0</v>
      </c>
      <c r="U31" s="337">
        <f>SUMIFS(BS_RE33!$H$7:$H$874,BS_RE33!$S$7:$S$874,$U$2,BS_RE33!$N$7:$N$874,I31,BS_RE33!$P$7:$P$874,'30 days CF Table(NZD)'!G31,BS_RE33!$F$7:$F$874,'30 days CF Table(NZD)'!$C$2)</f>
        <v>0</v>
      </c>
      <c r="V31" s="337">
        <f>SUMIFS(BS_RE33!$H$7:$H$874,BS_RE33!$S$7:$S$874,$V$2,BS_RE33!$N$7:$N$874,I31,BS_RE33!$P$7:$P$874,'30 days CF Table(NZD)'!G31,BS_RE33!$F$7:$F$874,'30 days CF Table(NZD)'!$C$2)</f>
        <v>0</v>
      </c>
      <c r="W31" s="337">
        <f>SUMIFS(BS_RE33!$H$7:$H$874,BS_RE33!$S$7:$S$874,$W$2,BS_RE33!$N$7:$N$874,I31,BS_RE33!$P$7:$P$874,'30 days CF Table(NZD)'!G31,BS_RE33!$F$7:$F$874,'30 days CF Table(NZD)'!$C$2)</f>
        <v>0</v>
      </c>
      <c r="X31" s="337">
        <f>SUMIFS(BS_RE33!$H$7:$H$874,BS_RE33!$S$7:$S$874,$X$2,BS_RE33!$N$7:$N$874,I31,BS_RE33!$P$7:$P$874,'30 days CF Table(NZD)'!G31,BS_RE33!$F$7:$F$874,'30 days CF Table(NZD)'!$C$2)</f>
        <v>0</v>
      </c>
      <c r="Y31" s="337">
        <f>SUMIFS(BS_RE33!$H$7:$H$874,BS_RE33!$S$7:$S$874,$Y$2,BS_RE33!$N$7:$N$874,I31,BS_RE33!$P$7:$P$874,'30 days CF Table(NZD)'!G31,BS_RE33!$F$7:$F$874,'30 days CF Table(NZD)'!$C$2)</f>
        <v>0</v>
      </c>
      <c r="Z31" s="337">
        <f>SUMIFS(BS_RE33!$H$7:$H$874,BS_RE33!$S$7:$S$874,$Z$2,BS_RE33!$N$7:$N$874,I31,BS_RE33!$P$7:$P$874,'30 days CF Table(NZD)'!G31,BS_RE33!$F$7:$F$874,'30 days CF Table(NZD)'!$C$2)</f>
        <v>0</v>
      </c>
      <c r="AA31" s="337">
        <f>SUMIFS(BS_RE33!$H$7:$H$874,BS_RE33!$S$7:$S$874,$AA$2,BS_RE33!$N$7:$N$874,I31,BS_RE33!$P$7:$P$874,'30 days CF Table(NZD)'!G31,BS_RE33!$F$7:$F$874,'30 days CF Table(NZD)'!$C$2)</f>
        <v>0</v>
      </c>
      <c r="AB31" s="337">
        <f>SUMIFS(BS_RE33!$H$7:$H$874,BS_RE33!$S$7:$S$874,$AB$2,BS_RE33!$N$7:$N$874,I31,BS_RE33!$P$7:$P$874,'30 days CF Table(NZD)'!G31,BS_RE33!$F$7:$F$874,'30 days CF Table(NZD)'!$C$2)</f>
        <v>0</v>
      </c>
      <c r="AC31" s="337">
        <f>SUMIFS(BS_RE33!$H$7:$H$874,BS_RE33!$S$7:$S$874,$AC$2,BS_RE33!$N$7:$N$874,I31,BS_RE33!$P$7:$P$874,'30 days CF Table(NZD)'!G31,BS_RE33!$F$7:$F$874,'30 days CF Table(NZD)'!$C$2)</f>
        <v>0</v>
      </c>
      <c r="AD31" s="337">
        <f>SUMIFS(BS_RE33!$H$7:$H$874,BS_RE33!$S$7:$S$874,$AD$2,BS_RE33!$N$7:$N$874,I31,BS_RE33!$P$7:$P$874,'30 days CF Table(NZD)'!G31,BS_RE33!$F$7:$F$874,'30 days CF Table(NZD)'!$C$2)</f>
        <v>0</v>
      </c>
      <c r="AE31" s="337">
        <f>SUMIFS(BS_RE33!$H$7:$H$874,BS_RE33!$S$7:$S$874,$AE$2,BS_RE33!$N$7:$N$874,I31,BS_RE33!$P$7:$P$874,'30 days CF Table(NZD)'!G31,BS_RE33!$F$7:$F$874,'30 days CF Table(NZD)'!$C$2)</f>
        <v>0</v>
      </c>
      <c r="AF31" s="337">
        <f>SUMIFS(BS_RE33!$H$7:$H$874,BS_RE33!$S$7:$S$874,$AF$2,BS_RE33!$N$7:$N$874,I31,BS_RE33!$P$7:$P$874,'30 days CF Table(NZD)'!G31,BS_RE33!$F$7:$F$874,'30 days CF Table(NZD)'!$C$2)</f>
        <v>0</v>
      </c>
      <c r="AG31" s="337">
        <f>SUMIFS(BS_RE33!$H$7:$H$874,BS_RE33!$S$7:$S$874,$AG$2,BS_RE33!$N$7:$N$874,I31,BS_RE33!$P$7:$P$874,'30 days CF Table(NZD)'!G31,BS_RE33!$F$7:$F$874,'30 days CF Table(NZD)'!$C$2)</f>
        <v>0</v>
      </c>
      <c r="AH31" s="337">
        <f>SUMIFS(BS_RE33!$H$7:$H$874,BS_RE33!$S$7:$S$874,$AH$2,BS_RE33!$N$7:$N$874,I31,BS_RE33!$P$7:$P$874,'30 days CF Table(NZD)'!G31,BS_RE33!$F$7:$F$874,'30 days CF Table(NZD)'!$C$2)</f>
        <v>0</v>
      </c>
      <c r="AI31" s="337">
        <f>SUMIFS(BS_RE33!$H$7:$H$874,BS_RE33!$S$7:$S$874,$AI$2,BS_RE33!$N$7:$N$874,I31,BS_RE33!$P$7:$P$874,'30 days CF Table(NZD)'!G31,BS_RE33!$F$7:$F$874,'30 days CF Table(NZD)'!$C$2)</f>
        <v>0</v>
      </c>
      <c r="AJ31" s="337">
        <f>SUMIFS(BS_RE33!$H$7:$H$874,BS_RE33!$S$7:$S$874,$AJ$2,BS_RE33!$N$7:$N$874,I31,BS_RE33!$P$7:$P$874,'30 days CF Table(NZD)'!G31,BS_RE33!$F$7:$F$874,'30 days CF Table(NZD)'!$C$2)</f>
        <v>0</v>
      </c>
      <c r="AK31" s="337">
        <f>SUMIFS(BS_RE33!$H$7:$H$874,BS_RE33!$S$7:$S$874,$AK$2,BS_RE33!$N$7:$N$874,I31,BS_RE33!$P$7:$P$874,'30 days CF Table(NZD)'!G31,BS_RE33!$F$7:$F$874,'30 days CF Table(NZD)'!$C$2)</f>
        <v>0</v>
      </c>
      <c r="AL31" s="337">
        <f>SUMIFS(BS_RE33!$H$7:$H$874,BS_RE33!$S$7:$S$874,$AL$2,BS_RE33!$N$7:$N$874,I31,BS_RE33!$P$7:$P$874,'30 days CF Table(NZD)'!G31,BS_RE33!$F$7:$F$874,'30 days CF Table(NZD)'!$C$2)</f>
        <v>0</v>
      </c>
      <c r="AM31" s="337">
        <f>SUMIFS(BS_RE33!$H$7:$H$874,BS_RE33!$S$7:$S$874,$AM$2,BS_RE33!$N$7:$N$874,I31,BS_RE33!$P$7:$P$874,'30 days CF Table(NZD)'!G31,BS_RE33!$F$7:$F$874,'30 days CF Table(NZD)'!$C$2)</f>
        <v>0</v>
      </c>
      <c r="AN31" s="337">
        <f>SUMIFS(BS_RE33!$H$7:$H$874,BS_RE33!$S$7:$S$874,$AN$2,BS_RE33!$N$7:$N$874,I31,BS_RE33!$P$7:$P$874,'30 days CF Table(NZD)'!G31,BS_RE33!$F$7:$F$874,'30 days CF Table(NZD)'!$C$2)</f>
        <v>0</v>
      </c>
      <c r="AO31" s="337">
        <f>SUMIFS(BS_RE33!$H$7:$H$874,BS_RE33!$S$7:$S$874,$AO$2,BS_RE33!$N$7:$N$874,I31,BS_RE33!$P$7:$P$874,'30 days CF Table(NZD)'!G31,BS_RE33!$F$7:$F$874,'30 days CF Table(NZD)'!$C$2)</f>
        <v>0</v>
      </c>
      <c r="AP31" s="338">
        <f>SUMIFS(BS_RE33!$H$7:$H$874,BS_RE33!$S$7:$S$874,$AP$2,BS_RE33!$N$7:$N$874,I31,BS_RE33!$P$7:$P$874,'30 days CF Table(NZD)'!G31,BS_RE33!$F$7:$F$874,'30 days CF Table(NZD)'!$C$2)</f>
        <v>0</v>
      </c>
      <c r="AR31" s="379">
        <f>SUMIFS(BS_RE33!$H$7:$H$874,BS_RE33!$S$7:$S$874,$AR$2,BS_RE33!$N$7:$N$874,I31,BS_RE33!$P$7:$P$874,'30 days CF Table(NZD)'!G31,BS_RE33!$F$7:$F$874,'30 days CF Table(NZD)'!$C$2)</f>
        <v>0</v>
      </c>
      <c r="AS31" s="379">
        <f>SUMIFS(BS_RE33!$H$7:$H$874,BS_RE33!$S$7:$S$874,$AS$2,BS_RE33!$N$7:$N$874,I31,BS_RE33!$P$7:$P$874,'30 days CF Table(NZD)'!G31,BS_RE33!$F$7:$F$874,'30 days CF Table(NZD)'!$C$2)</f>
        <v>0</v>
      </c>
      <c r="AT31" s="379">
        <f>SUMIFS(BS_RE33!$H$7:$H$874,BS_RE33!$S$7:$S$874,$AT$2,BS_RE33!$N$7:$N$874,I31,BS_RE33!$P$7:$P$874,'30 days CF Table(NZD)'!G31,BS_RE33!$F$7:$F$874,'30 days CF Table(NZD)'!$C$2)</f>
        <v>0</v>
      </c>
      <c r="AU31" s="379">
        <f>SUMIFS(BS_RE33!$H$7:$H$874,BS_RE33!$S$7:$S$874,$AU$2,BS_RE33!$N$7:$N$874,I31,BS_RE33!$P$7:$P$874,'30 days CF Table(NZD)'!G31,BS_RE33!$F$7:$F$874,'30 days CF Table(NZD)'!$C$2)</f>
        <v>0</v>
      </c>
      <c r="AV31" s="379">
        <f>SUMIFS(BS_RE33!$H$7:$H$874,BS_RE33!$S$7:$S$874,$AV$2,BS_RE33!$N$7:$N$874,I31,BS_RE33!$P$7:$P$874,'30 days CF Table(NZD)'!G31,BS_RE33!$F$7:$F$874,'30 days CF Table(NZD)'!$C$2)</f>
        <v>0</v>
      </c>
      <c r="AW31" s="379">
        <f>SUMIFS(BS_RE33!$H$7:$H$874,BS_RE33!$S$7:$S$874,$AW$2,BS_RE33!$N$7:$N$874,I31,BS_RE33!$P$7:$P$874,'30 days CF Table(NZD)'!G31,BS_RE33!$F$7:$F$874,'30 days CF Table(NZD)'!$C$2)</f>
        <v>0</v>
      </c>
      <c r="AX31" s="379">
        <f>SUMIFS(BS_RE33!$H$7:$H$874,BS_RE33!$S$7:$S$874,$AX$2,BS_RE33!$N$7:$N$874,I31,BS_RE33!$P$7:$P$874,'30 days CF Table(NZD)'!G31,BS_RE33!$F$7:$F$874,'30 days CF Table(NZD)'!$C$2)</f>
        <v>0</v>
      </c>
      <c r="AY31" s="379">
        <f>SUMIFS(BS_RE33!$H$7:$H$874,BS_RE33!$S$7:$S$874,$AY$2,BS_RE33!$N$7:$N$874,I31,BS_RE33!$P$7:$P$874,'30 days CF Table(NZD)'!G31,BS_RE33!$F$7:$F$874,'30 days CF Table(NZD)'!$C$2)</f>
        <v>0</v>
      </c>
      <c r="AZ31" s="379">
        <f>SUMIFS(BS_RE33!$H$7:$H$874,BS_RE33!$S$7:$S$874,$AZ$2,BS_RE33!$N$7:$N$874,I31,BS_RE33!$P$7:$P$874,'30 days CF Table(NZD)'!G31,BS_RE33!$F$7:$F$874,'30 days CF Table(NZD)'!$C$2)</f>
        <v>0</v>
      </c>
      <c r="BA31" s="379">
        <f>SUMIFS(BS_RE33!$H$7:$H$874,BS_RE33!$S$7:$S$874,$BA$2,BS_RE33!$N$7:$N$874,I31,BS_RE33!$P$7:$P$874,'30 days CF Table(NZD)'!G31,BS_RE33!$F$7:$F$874,'30 days CF Table(NZD)'!$C$2)</f>
        <v>0</v>
      </c>
      <c r="BB31" s="379">
        <f>SUMIFS(BS_RE33!$H$7:$H$874,BS_RE33!$S$7:$S$874,$BB$2,BS_RE33!$N$7:$N$874,I31,BS_RE33!$P$7:$P$874,'30 days CF Table(NZD)'!G31,BS_RE33!$F$7:$F$874,'30 days CF Table(NZD)'!$C$2)</f>
        <v>0</v>
      </c>
      <c r="BC31" s="379">
        <f>SUMIFS(BS_RE33!$H$7:$H$874,BS_RE33!$S$7:$S$874,$BC$2,BS_RE33!$N$7:$N$874,I31,BS_RE33!$P$7:$P$874,'30 days CF Table(NZD)'!G31,BS_RE33!$F$7:$F$874,'30 days CF Table(NZD)'!$C$2)</f>
        <v>0</v>
      </c>
      <c r="BD31" s="379">
        <f>SUMIFS(BS_RE33!$H$7:$H$874,BS_RE33!$S$7:$S$874,$BD$2,BS_RE33!$N$7:$N$874,I31,BS_RE33!$P$7:$P$874,'30 days CF Table(NZD)'!G31,BS_RE33!$F$7:$F$874,'30 days CF Table(NZD)'!$C$2)</f>
        <v>0</v>
      </c>
      <c r="BE31" s="379">
        <f>SUMIFS(BS_RE33!$H$7:$H$874,BS_RE33!$S$7:$S$874,$BE$2,BS_RE33!$N$7:$N$874,I31,BS_RE33!$P$7:$P$874,'30 days CF Table(NZD)'!G31,BS_RE33!$F$7:$F$874,'30 days CF Table(NZD)'!$C$2)</f>
        <v>0</v>
      </c>
      <c r="BF31" s="379">
        <f>SUMIFS(BS_RE33!$H$7:$H$874,BS_RE33!$S$7:$S$874,$BF$2,BS_RE33!$N$7:$N$874,I31,BS_RE33!$P$7:$P$874,'30 days CF Table(NZD)'!G31,BS_RE33!$F$7:$F$874,'30 days CF Table(NZD)'!$C$2)</f>
        <v>0</v>
      </c>
      <c r="BG31" s="379">
        <f>SUMIFS(BS_RE33!$H$7:$H$874,BS_RE33!$S$7:$S$874,$BG$2,BS_RE33!$N$7:$N$874,I31,BS_RE33!$P$7:$P$874,'30 days CF Table(NZD)'!G31,BS_RE33!$F$7:$F$874,'30 days CF Table(NZD)'!$C$2)</f>
        <v>0</v>
      </c>
      <c r="BH31" s="379">
        <f>SUMIFS(BS_RE33!$H$7:$H$874,BS_RE33!$S$7:$S$874,$BH$2,BS_RE33!$N$7:$N$874,I31,BS_RE33!$P$7:$P$874,'30 days CF Table(NZD)'!G31,BS_RE33!$F$7:$F$874,'30 days CF Table(NZD)'!$C$2)</f>
        <v>0</v>
      </c>
      <c r="BI31" s="379">
        <f>SUMIFS(BS_RE33!$H$7:$H$874,BS_RE33!$S$7:$S$874,$BI$2,BS_RE33!$N$7:$N$874,I31,BS_RE33!$P$7:$P$874,'30 days CF Table(NZD)'!G31,BS_RE33!$F$7:$F$874,'30 days CF Table(NZD)'!$C$2)</f>
        <v>0</v>
      </c>
      <c r="BJ31" s="379">
        <f>SUMIFS(BS_RE33!$H$7:$H$874,BS_RE33!$S$7:$S$874,$BJ$2,BS_RE33!$N$7:$N$874,I31,BS_RE33!$P$7:$P$874,'30 days CF Table(NZD)'!G31,BS_RE33!$F$7:$F$874,'30 days CF Table(NZD)'!$C$2)</f>
        <v>0</v>
      </c>
      <c r="BK31" s="379">
        <f>SUMIFS(BS_RE33!$H$7:$H$874,BS_RE33!$S$7:$S$874,$BK$2,BS_RE33!$N$7:$N$874,I31,BS_RE33!$P$7:$P$874,'30 days CF Table(NZD)'!G31,BS_RE33!$F$7:$F$874,'30 days CF Table(NZD)'!$C$2)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Table(NZD)'!G32,BS_RE33!$F$7:$F$874,'30 days CF Table(NZD)'!$C$2)</f>
        <v>0</v>
      </c>
      <c r="M32" s="337">
        <f>SUMIFS(BS_RE33!$H$7:$H$874,BS_RE33!$S$7:$S$874,$M$2,BS_RE33!$N$7:$N$874,I32,BS_RE33!$P$7:$P$874,'30 days CF Table(NZD)'!G32,BS_RE33!$F$7:$F$874,'30 days CF Table(NZD)'!$C$2)</f>
        <v>0</v>
      </c>
      <c r="N32" s="337">
        <f>SUMIFS(BS_RE33!$H$7:$H$874,BS_RE33!$S$7:$S$874,$N$2,BS_RE33!$N$7:$N$874,I32,BS_RE33!$P$7:$P$874,'30 days CF Table(NZD)'!G32,BS_RE33!$F$7:$F$874,'30 days CF Table(NZD)'!$C$2)</f>
        <v>0</v>
      </c>
      <c r="O32" s="337">
        <f>SUMIFS(BS_RE33!$H$7:$H$874,BS_RE33!$S$7:$S$874,$O$2,BS_RE33!$N$7:$N$874,I32,BS_RE33!$P$7:$P$874,'30 days CF Table(NZD)'!G32,BS_RE33!$F$7:$F$874,'30 days CF Table(NZD)'!$C$2)</f>
        <v>0</v>
      </c>
      <c r="P32" s="337">
        <f>SUMIFS(BS_RE33!$H$7:$H$874,BS_RE33!$S$7:$S$874,$P$2,BS_RE33!$N$7:$N$874,I32,BS_RE33!$P$7:$P$874,'30 days CF Table(NZD)'!G32,BS_RE33!$F$7:$F$874,'30 days CF Table(NZD)'!$C$2)</f>
        <v>0</v>
      </c>
      <c r="Q32" s="337">
        <f>SUMIFS(BS_RE33!$H$7:$H$874,BS_RE33!$S$7:$S$874,$Q$2,BS_RE33!$N$7:$N$874,I32,BS_RE33!$P$7:$P$874,'30 days CF Table(NZD)'!G32,BS_RE33!$F$7:$F$874,'30 days CF Table(NZD)'!$C$2)</f>
        <v>0</v>
      </c>
      <c r="R32" s="337">
        <f>SUMIFS(BS_RE33!$H$7:$H$874,BS_RE33!$S$7:$S$874,$R$2,BS_RE33!$N$7:$N$874,I32,BS_RE33!$P$7:$P$874,'30 days CF Table(NZD)'!G32,BS_RE33!$F$7:$F$874,'30 days CF Table(NZD)'!$C$2)</f>
        <v>0</v>
      </c>
      <c r="S32" s="337">
        <f>SUMIFS(BS_RE33!$H$7:$H$874,BS_RE33!$S$7:$S$874,$S$2,BS_RE33!$N$7:$N$874,I32,BS_RE33!$P$7:$P$874,'30 days CF Table(NZD)'!G32,BS_RE33!$F$7:$F$874,'30 days CF Table(NZD)'!$C$2)</f>
        <v>0</v>
      </c>
      <c r="T32" s="337">
        <f>SUMIFS(BS_RE33!$H$7:$H$874,BS_RE33!$S$7:$S$874,$T$2,BS_RE33!$N$7:$N$874,I32,BS_RE33!$P$7:$P$874,'30 days CF Table(NZD)'!G32,BS_RE33!$F$7:$F$874,'30 days CF Table(NZD)'!$C$2)</f>
        <v>0</v>
      </c>
      <c r="U32" s="337">
        <f>SUMIFS(BS_RE33!$H$7:$H$874,BS_RE33!$S$7:$S$874,$U$2,BS_RE33!$N$7:$N$874,I32,BS_RE33!$P$7:$P$874,'30 days CF Table(NZD)'!G32,BS_RE33!$F$7:$F$874,'30 days CF Table(NZD)'!$C$2)</f>
        <v>0</v>
      </c>
      <c r="V32" s="337">
        <f>SUMIFS(BS_RE33!$H$7:$H$874,BS_RE33!$S$7:$S$874,$V$2,BS_RE33!$N$7:$N$874,I32,BS_RE33!$P$7:$P$874,'30 days CF Table(NZD)'!G32,BS_RE33!$F$7:$F$874,'30 days CF Table(NZD)'!$C$2)</f>
        <v>0</v>
      </c>
      <c r="W32" s="337">
        <f>SUMIFS(BS_RE33!$H$7:$H$874,BS_RE33!$S$7:$S$874,$W$2,BS_RE33!$N$7:$N$874,I32,BS_RE33!$P$7:$P$874,'30 days CF Table(NZD)'!G32,BS_RE33!$F$7:$F$874,'30 days CF Table(NZD)'!$C$2)</f>
        <v>0</v>
      </c>
      <c r="X32" s="337">
        <f>SUMIFS(BS_RE33!$H$7:$H$874,BS_RE33!$S$7:$S$874,$X$2,BS_RE33!$N$7:$N$874,I32,BS_RE33!$P$7:$P$874,'30 days CF Table(NZD)'!G32,BS_RE33!$F$7:$F$874,'30 days CF Table(NZD)'!$C$2)</f>
        <v>0</v>
      </c>
      <c r="Y32" s="337">
        <f>SUMIFS(BS_RE33!$H$7:$H$874,BS_RE33!$S$7:$S$874,$Y$2,BS_RE33!$N$7:$N$874,I32,BS_RE33!$P$7:$P$874,'30 days CF Table(NZD)'!G32,BS_RE33!$F$7:$F$874,'30 days CF Table(NZD)'!$C$2)</f>
        <v>0</v>
      </c>
      <c r="Z32" s="337">
        <f>SUMIFS(BS_RE33!$H$7:$H$874,BS_RE33!$S$7:$S$874,$Z$2,BS_RE33!$N$7:$N$874,I32,BS_RE33!$P$7:$P$874,'30 days CF Table(NZD)'!G32,BS_RE33!$F$7:$F$874,'30 days CF Table(NZD)'!$C$2)</f>
        <v>0</v>
      </c>
      <c r="AA32" s="337">
        <f>SUMIFS(BS_RE33!$H$7:$H$874,BS_RE33!$S$7:$S$874,$AA$2,BS_RE33!$N$7:$N$874,I32,BS_RE33!$P$7:$P$874,'30 days CF Table(NZD)'!G32,BS_RE33!$F$7:$F$874,'30 days CF Table(NZD)'!$C$2)</f>
        <v>0</v>
      </c>
      <c r="AB32" s="337">
        <f>SUMIFS(BS_RE33!$H$7:$H$874,BS_RE33!$S$7:$S$874,$AB$2,BS_RE33!$N$7:$N$874,I32,BS_RE33!$P$7:$P$874,'30 days CF Table(NZD)'!G32,BS_RE33!$F$7:$F$874,'30 days CF Table(NZD)'!$C$2)</f>
        <v>0</v>
      </c>
      <c r="AC32" s="337">
        <f>SUMIFS(BS_RE33!$H$7:$H$874,BS_RE33!$S$7:$S$874,$AC$2,BS_RE33!$N$7:$N$874,I32,BS_RE33!$P$7:$P$874,'30 days CF Table(NZD)'!G32,BS_RE33!$F$7:$F$874,'30 days CF Table(NZD)'!$C$2)</f>
        <v>0</v>
      </c>
      <c r="AD32" s="337">
        <f>SUMIFS(BS_RE33!$H$7:$H$874,BS_RE33!$S$7:$S$874,$AD$2,BS_RE33!$N$7:$N$874,I32,BS_RE33!$P$7:$P$874,'30 days CF Table(NZD)'!G32,BS_RE33!$F$7:$F$874,'30 days CF Table(NZD)'!$C$2)</f>
        <v>0</v>
      </c>
      <c r="AE32" s="337">
        <f>SUMIFS(BS_RE33!$H$7:$H$874,BS_RE33!$S$7:$S$874,$AE$2,BS_RE33!$N$7:$N$874,I32,BS_RE33!$P$7:$P$874,'30 days CF Table(NZD)'!G32,BS_RE33!$F$7:$F$874,'30 days CF Table(NZD)'!$C$2)</f>
        <v>0</v>
      </c>
      <c r="AF32" s="337">
        <f>SUMIFS(BS_RE33!$H$7:$H$874,BS_RE33!$S$7:$S$874,$AF$2,BS_RE33!$N$7:$N$874,I32,BS_RE33!$P$7:$P$874,'30 days CF Table(NZD)'!G32,BS_RE33!$F$7:$F$874,'30 days CF Table(NZD)'!$C$2)</f>
        <v>0</v>
      </c>
      <c r="AG32" s="337">
        <f>SUMIFS(BS_RE33!$H$7:$H$874,BS_RE33!$S$7:$S$874,$AG$2,BS_RE33!$N$7:$N$874,I32,BS_RE33!$P$7:$P$874,'30 days CF Table(NZD)'!G32,BS_RE33!$F$7:$F$874,'30 days CF Table(NZD)'!$C$2)</f>
        <v>0</v>
      </c>
      <c r="AH32" s="337">
        <f>SUMIFS(BS_RE33!$H$7:$H$874,BS_RE33!$S$7:$S$874,$AH$2,BS_RE33!$N$7:$N$874,I32,BS_RE33!$P$7:$P$874,'30 days CF Table(NZD)'!G32,BS_RE33!$F$7:$F$874,'30 days CF Table(NZD)'!$C$2)</f>
        <v>0</v>
      </c>
      <c r="AI32" s="337">
        <f>SUMIFS(BS_RE33!$H$7:$H$874,BS_RE33!$S$7:$S$874,$AI$2,BS_RE33!$N$7:$N$874,I32,BS_RE33!$P$7:$P$874,'30 days CF Table(NZD)'!G32,BS_RE33!$F$7:$F$874,'30 days CF Table(NZD)'!$C$2)</f>
        <v>0</v>
      </c>
      <c r="AJ32" s="337">
        <f>SUMIFS(BS_RE33!$H$7:$H$874,BS_RE33!$S$7:$S$874,$AJ$2,BS_RE33!$N$7:$N$874,I32,BS_RE33!$P$7:$P$874,'30 days CF Table(NZD)'!G32,BS_RE33!$F$7:$F$874,'30 days CF Table(NZD)'!$C$2)</f>
        <v>0</v>
      </c>
      <c r="AK32" s="337">
        <f>SUMIFS(BS_RE33!$H$7:$H$874,BS_RE33!$S$7:$S$874,$AK$2,BS_RE33!$N$7:$N$874,I32,BS_RE33!$P$7:$P$874,'30 days CF Table(NZD)'!G32,BS_RE33!$F$7:$F$874,'30 days CF Table(NZD)'!$C$2)</f>
        <v>0</v>
      </c>
      <c r="AL32" s="337">
        <f>SUMIFS(BS_RE33!$H$7:$H$874,BS_RE33!$S$7:$S$874,$AL$2,BS_RE33!$N$7:$N$874,I32,BS_RE33!$P$7:$P$874,'30 days CF Table(NZD)'!G32,BS_RE33!$F$7:$F$874,'30 days CF Table(NZD)'!$C$2)</f>
        <v>0</v>
      </c>
      <c r="AM32" s="337">
        <f>SUMIFS(BS_RE33!$H$7:$H$874,BS_RE33!$S$7:$S$874,$AM$2,BS_RE33!$N$7:$N$874,I32,BS_RE33!$P$7:$P$874,'30 days CF Table(NZD)'!G32,BS_RE33!$F$7:$F$874,'30 days CF Table(NZD)'!$C$2)</f>
        <v>0</v>
      </c>
      <c r="AN32" s="337">
        <f>SUMIFS(BS_RE33!$H$7:$H$874,BS_RE33!$S$7:$S$874,$AN$2,BS_RE33!$N$7:$N$874,I32,BS_RE33!$P$7:$P$874,'30 days CF Table(NZD)'!G32,BS_RE33!$F$7:$F$874,'30 days CF Table(NZD)'!$C$2)</f>
        <v>0</v>
      </c>
      <c r="AO32" s="337">
        <f>SUMIFS(BS_RE33!$H$7:$H$874,BS_RE33!$S$7:$S$874,$AO$2,BS_RE33!$N$7:$N$874,I32,BS_RE33!$P$7:$P$874,'30 days CF Table(NZD)'!G32,BS_RE33!$F$7:$F$874,'30 days CF Table(NZD)'!$C$2)</f>
        <v>0</v>
      </c>
      <c r="AP32" s="338">
        <f>SUMIFS(BS_RE33!$H$7:$H$874,BS_RE33!$S$7:$S$874,$AP$2,BS_RE33!$N$7:$N$874,I32,BS_RE33!$P$7:$P$874,'30 days CF Table(NZD)'!G32,BS_RE33!$F$7:$F$874,'30 days CF Table(NZD)'!$C$2)</f>
        <v>0</v>
      </c>
      <c r="AR32" s="379">
        <f>SUMIFS(BS_RE33!$H$7:$H$874,BS_RE33!$S$7:$S$874,$AR$2,BS_RE33!$N$7:$N$874,I32,BS_RE33!$P$7:$P$874,'30 days CF Table(NZD)'!G32,BS_RE33!$F$7:$F$874,'30 days CF Table(NZD)'!$C$2)</f>
        <v>0</v>
      </c>
      <c r="AS32" s="379">
        <f>SUMIFS(BS_RE33!$H$7:$H$874,BS_RE33!$S$7:$S$874,$AS$2,BS_RE33!$N$7:$N$874,I32,BS_RE33!$P$7:$P$874,'30 days CF Table(NZD)'!G32,BS_RE33!$F$7:$F$874,'30 days CF Table(NZD)'!$C$2)</f>
        <v>0</v>
      </c>
      <c r="AT32" s="379">
        <f>SUMIFS(BS_RE33!$H$7:$H$874,BS_RE33!$S$7:$S$874,$AT$2,BS_RE33!$N$7:$N$874,I32,BS_RE33!$P$7:$P$874,'30 days CF Table(NZD)'!G32,BS_RE33!$F$7:$F$874,'30 days CF Table(NZD)'!$C$2)</f>
        <v>0</v>
      </c>
      <c r="AU32" s="379">
        <f>SUMIFS(BS_RE33!$H$7:$H$874,BS_RE33!$S$7:$S$874,$AU$2,BS_RE33!$N$7:$N$874,I32,BS_RE33!$P$7:$P$874,'30 days CF Table(NZD)'!G32,BS_RE33!$F$7:$F$874,'30 days CF Table(NZD)'!$C$2)</f>
        <v>0</v>
      </c>
      <c r="AV32" s="379">
        <f>SUMIFS(BS_RE33!$H$7:$H$874,BS_RE33!$S$7:$S$874,$AV$2,BS_RE33!$N$7:$N$874,I32,BS_RE33!$P$7:$P$874,'30 days CF Table(NZD)'!G32,BS_RE33!$F$7:$F$874,'30 days CF Table(NZD)'!$C$2)</f>
        <v>0</v>
      </c>
      <c r="AW32" s="379">
        <f>SUMIFS(BS_RE33!$H$7:$H$874,BS_RE33!$S$7:$S$874,$AW$2,BS_RE33!$N$7:$N$874,I32,BS_RE33!$P$7:$P$874,'30 days CF Table(NZD)'!G32,BS_RE33!$F$7:$F$874,'30 days CF Table(NZD)'!$C$2)</f>
        <v>0</v>
      </c>
      <c r="AX32" s="379">
        <f>SUMIFS(BS_RE33!$H$7:$H$874,BS_RE33!$S$7:$S$874,$AX$2,BS_RE33!$N$7:$N$874,I32,BS_RE33!$P$7:$P$874,'30 days CF Table(NZD)'!G32,BS_RE33!$F$7:$F$874,'30 days CF Table(NZD)'!$C$2)</f>
        <v>0</v>
      </c>
      <c r="AY32" s="379">
        <f>SUMIFS(BS_RE33!$H$7:$H$874,BS_RE33!$S$7:$S$874,$AY$2,BS_RE33!$N$7:$N$874,I32,BS_RE33!$P$7:$P$874,'30 days CF Table(NZD)'!G32,BS_RE33!$F$7:$F$874,'30 days CF Table(NZD)'!$C$2)</f>
        <v>0</v>
      </c>
      <c r="AZ32" s="379">
        <f>SUMIFS(BS_RE33!$H$7:$H$874,BS_RE33!$S$7:$S$874,$AZ$2,BS_RE33!$N$7:$N$874,I32,BS_RE33!$P$7:$P$874,'30 days CF Table(NZD)'!G32,BS_RE33!$F$7:$F$874,'30 days CF Table(NZD)'!$C$2)</f>
        <v>0</v>
      </c>
      <c r="BA32" s="379">
        <f>SUMIFS(BS_RE33!$H$7:$H$874,BS_RE33!$S$7:$S$874,$BA$2,BS_RE33!$N$7:$N$874,I32,BS_RE33!$P$7:$P$874,'30 days CF Table(NZD)'!G32,BS_RE33!$F$7:$F$874,'30 days CF Table(NZD)'!$C$2)</f>
        <v>0</v>
      </c>
      <c r="BB32" s="379">
        <f>SUMIFS(BS_RE33!$H$7:$H$874,BS_RE33!$S$7:$S$874,$BB$2,BS_RE33!$N$7:$N$874,I32,BS_RE33!$P$7:$P$874,'30 days CF Table(NZD)'!G32,BS_RE33!$F$7:$F$874,'30 days CF Table(NZD)'!$C$2)</f>
        <v>0</v>
      </c>
      <c r="BC32" s="379">
        <f>SUMIFS(BS_RE33!$H$7:$H$874,BS_RE33!$S$7:$S$874,$BC$2,BS_RE33!$N$7:$N$874,I32,BS_RE33!$P$7:$P$874,'30 days CF Table(NZD)'!G32,BS_RE33!$F$7:$F$874,'30 days CF Table(NZD)'!$C$2)</f>
        <v>0</v>
      </c>
      <c r="BD32" s="379">
        <f>SUMIFS(BS_RE33!$H$7:$H$874,BS_RE33!$S$7:$S$874,$BD$2,BS_RE33!$N$7:$N$874,I32,BS_RE33!$P$7:$P$874,'30 days CF Table(NZD)'!G32,BS_RE33!$F$7:$F$874,'30 days CF Table(NZD)'!$C$2)</f>
        <v>0</v>
      </c>
      <c r="BE32" s="379">
        <f>SUMIFS(BS_RE33!$H$7:$H$874,BS_RE33!$S$7:$S$874,$BE$2,BS_RE33!$N$7:$N$874,I32,BS_RE33!$P$7:$P$874,'30 days CF Table(NZD)'!G32,BS_RE33!$F$7:$F$874,'30 days CF Table(NZD)'!$C$2)</f>
        <v>0</v>
      </c>
      <c r="BF32" s="379">
        <f>SUMIFS(BS_RE33!$H$7:$H$874,BS_RE33!$S$7:$S$874,$BF$2,BS_RE33!$N$7:$N$874,I32,BS_RE33!$P$7:$P$874,'30 days CF Table(NZD)'!G32,BS_RE33!$F$7:$F$874,'30 days CF Table(NZD)'!$C$2)</f>
        <v>0</v>
      </c>
      <c r="BG32" s="379">
        <f>SUMIFS(BS_RE33!$H$7:$H$874,BS_RE33!$S$7:$S$874,$BG$2,BS_RE33!$N$7:$N$874,I32,BS_RE33!$P$7:$P$874,'30 days CF Table(NZD)'!G32,BS_RE33!$F$7:$F$874,'30 days CF Table(NZD)'!$C$2)</f>
        <v>0</v>
      </c>
      <c r="BH32" s="379">
        <f>SUMIFS(BS_RE33!$H$7:$H$874,BS_RE33!$S$7:$S$874,$BH$2,BS_RE33!$N$7:$N$874,I32,BS_RE33!$P$7:$P$874,'30 days CF Table(NZD)'!G32,BS_RE33!$F$7:$F$874,'30 days CF Table(NZD)'!$C$2)</f>
        <v>0</v>
      </c>
      <c r="BI32" s="379">
        <f>SUMIFS(BS_RE33!$H$7:$H$874,BS_RE33!$S$7:$S$874,$BI$2,BS_RE33!$N$7:$N$874,I32,BS_RE33!$P$7:$P$874,'30 days CF Table(NZD)'!G32,BS_RE33!$F$7:$F$874,'30 days CF Table(NZD)'!$C$2)</f>
        <v>0</v>
      </c>
      <c r="BJ32" s="379">
        <f>SUMIFS(BS_RE33!$H$7:$H$874,BS_RE33!$S$7:$S$874,$BJ$2,BS_RE33!$N$7:$N$874,I32,BS_RE33!$P$7:$P$874,'30 days CF Table(NZD)'!G32,BS_RE33!$F$7:$F$874,'30 days CF Table(NZD)'!$C$2)</f>
        <v>0</v>
      </c>
      <c r="BK32" s="379">
        <f>SUMIFS(BS_RE33!$H$7:$H$874,BS_RE33!$S$7:$S$874,$BK$2,BS_RE33!$N$7:$N$874,I32,BS_RE33!$P$7:$P$874,'30 days CF Table(NZD)'!G32,BS_RE33!$F$7:$F$874,'30 days CF Table(NZD)'!$C$2)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Table(NZD)'!G33,BS_RE33!$F$7:$F$874,'30 days CF Table(NZD)'!$C$2)</f>
        <v>0</v>
      </c>
      <c r="M33" s="337">
        <f>SUMIFS(BS_RE33!$H$7:$H$874,BS_RE33!$S$7:$S$874,$M$2,BS_RE33!$N$7:$N$874,I33,BS_RE33!$P$7:$P$874,'30 days CF Table(NZD)'!G33,BS_RE33!$F$7:$F$874,'30 days CF Table(NZD)'!$C$2)</f>
        <v>0</v>
      </c>
      <c r="N33" s="337">
        <f>SUMIFS(BS_RE33!$H$7:$H$874,BS_RE33!$S$7:$S$874,$N$2,BS_RE33!$N$7:$N$874,I33,BS_RE33!$P$7:$P$874,'30 days CF Table(NZD)'!G33,BS_RE33!$F$7:$F$874,'30 days CF Table(NZD)'!$C$2)</f>
        <v>0</v>
      </c>
      <c r="O33" s="337">
        <f>SUMIFS(BS_RE33!$H$7:$H$874,BS_RE33!$S$7:$S$874,$O$2,BS_RE33!$N$7:$N$874,I33,BS_RE33!$P$7:$P$874,'30 days CF Table(NZD)'!G33,BS_RE33!$F$7:$F$874,'30 days CF Table(NZD)'!$C$2)</f>
        <v>0</v>
      </c>
      <c r="P33" s="337">
        <f>SUMIFS(BS_RE33!$H$7:$H$874,BS_RE33!$S$7:$S$874,$P$2,BS_RE33!$N$7:$N$874,I33,BS_RE33!$P$7:$P$874,'30 days CF Table(NZD)'!G33,BS_RE33!$F$7:$F$874,'30 days CF Table(NZD)'!$C$2)</f>
        <v>0</v>
      </c>
      <c r="Q33" s="337">
        <f>SUMIFS(BS_RE33!$H$7:$H$874,BS_RE33!$S$7:$S$874,$Q$2,BS_RE33!$N$7:$N$874,I33,BS_RE33!$P$7:$P$874,'30 days CF Table(NZD)'!G33,BS_RE33!$F$7:$F$874,'30 days CF Table(NZD)'!$C$2)</f>
        <v>0</v>
      </c>
      <c r="R33" s="337">
        <f>SUMIFS(BS_RE33!$H$7:$H$874,BS_RE33!$S$7:$S$874,$R$2,BS_RE33!$N$7:$N$874,I33,BS_RE33!$P$7:$P$874,'30 days CF Table(NZD)'!G33,BS_RE33!$F$7:$F$874,'30 days CF Table(NZD)'!$C$2)</f>
        <v>0</v>
      </c>
      <c r="S33" s="337">
        <f>SUMIFS(BS_RE33!$H$7:$H$874,BS_RE33!$S$7:$S$874,$S$2,BS_RE33!$N$7:$N$874,I33,BS_RE33!$P$7:$P$874,'30 days CF Table(NZD)'!G33,BS_RE33!$F$7:$F$874,'30 days CF Table(NZD)'!$C$2)</f>
        <v>0</v>
      </c>
      <c r="T33" s="337">
        <f>SUMIFS(BS_RE33!$H$7:$H$874,BS_RE33!$S$7:$S$874,$T$2,BS_RE33!$N$7:$N$874,I33,BS_RE33!$P$7:$P$874,'30 days CF Table(NZD)'!G33,BS_RE33!$F$7:$F$874,'30 days CF Table(NZD)'!$C$2)</f>
        <v>0</v>
      </c>
      <c r="U33" s="337">
        <f>SUMIFS(BS_RE33!$H$7:$H$874,BS_RE33!$S$7:$S$874,$U$2,BS_RE33!$N$7:$N$874,I33,BS_RE33!$P$7:$P$874,'30 days CF Table(NZD)'!G33,BS_RE33!$F$7:$F$874,'30 days CF Table(NZD)'!$C$2)</f>
        <v>0</v>
      </c>
      <c r="V33" s="337">
        <f>SUMIFS(BS_RE33!$H$7:$H$874,BS_RE33!$S$7:$S$874,$V$2,BS_RE33!$N$7:$N$874,I33,BS_RE33!$P$7:$P$874,'30 days CF Table(NZD)'!G33,BS_RE33!$F$7:$F$874,'30 days CF Table(NZD)'!$C$2)</f>
        <v>0</v>
      </c>
      <c r="W33" s="337">
        <f>SUMIFS(BS_RE33!$H$7:$H$874,BS_RE33!$S$7:$S$874,$W$2,BS_RE33!$N$7:$N$874,I33,BS_RE33!$P$7:$P$874,'30 days CF Table(NZD)'!G33,BS_RE33!$F$7:$F$874,'30 days CF Table(NZD)'!$C$2)</f>
        <v>0</v>
      </c>
      <c r="X33" s="337">
        <f>SUMIFS(BS_RE33!$H$7:$H$874,BS_RE33!$S$7:$S$874,$X$2,BS_RE33!$N$7:$N$874,I33,BS_RE33!$P$7:$P$874,'30 days CF Table(NZD)'!G33,BS_RE33!$F$7:$F$874,'30 days CF Table(NZD)'!$C$2)</f>
        <v>0</v>
      </c>
      <c r="Y33" s="337">
        <f>SUMIFS(BS_RE33!$H$7:$H$874,BS_RE33!$S$7:$S$874,$Y$2,BS_RE33!$N$7:$N$874,I33,BS_RE33!$P$7:$P$874,'30 days CF Table(NZD)'!G33,BS_RE33!$F$7:$F$874,'30 days CF Table(NZD)'!$C$2)</f>
        <v>0</v>
      </c>
      <c r="Z33" s="337">
        <f>SUMIFS(BS_RE33!$H$7:$H$874,BS_RE33!$S$7:$S$874,$Z$2,BS_RE33!$N$7:$N$874,I33,BS_RE33!$P$7:$P$874,'30 days CF Table(NZD)'!G33,BS_RE33!$F$7:$F$874,'30 days CF Table(NZD)'!$C$2)</f>
        <v>0</v>
      </c>
      <c r="AA33" s="337">
        <f>SUMIFS(BS_RE33!$H$7:$H$874,BS_RE33!$S$7:$S$874,$AA$2,BS_RE33!$N$7:$N$874,I33,BS_RE33!$P$7:$P$874,'30 days CF Table(NZD)'!G33,BS_RE33!$F$7:$F$874,'30 days CF Table(NZD)'!$C$2)</f>
        <v>0</v>
      </c>
      <c r="AB33" s="337">
        <f>SUMIFS(BS_RE33!$H$7:$H$874,BS_RE33!$S$7:$S$874,$AB$2,BS_RE33!$N$7:$N$874,I33,BS_RE33!$P$7:$P$874,'30 days CF Table(NZD)'!G33,BS_RE33!$F$7:$F$874,'30 days CF Table(NZD)'!$C$2)</f>
        <v>0</v>
      </c>
      <c r="AC33" s="337">
        <f>SUMIFS(BS_RE33!$H$7:$H$874,BS_RE33!$S$7:$S$874,$AC$2,BS_RE33!$N$7:$N$874,I33,BS_RE33!$P$7:$P$874,'30 days CF Table(NZD)'!G33,BS_RE33!$F$7:$F$874,'30 days CF Table(NZD)'!$C$2)</f>
        <v>0</v>
      </c>
      <c r="AD33" s="337">
        <f>SUMIFS(BS_RE33!$H$7:$H$874,BS_RE33!$S$7:$S$874,$AD$2,BS_RE33!$N$7:$N$874,I33,BS_RE33!$P$7:$P$874,'30 days CF Table(NZD)'!G33,BS_RE33!$F$7:$F$874,'30 days CF Table(NZD)'!$C$2)</f>
        <v>0</v>
      </c>
      <c r="AE33" s="337">
        <f>SUMIFS(BS_RE33!$H$7:$H$874,BS_RE33!$S$7:$S$874,$AE$2,BS_RE33!$N$7:$N$874,I33,BS_RE33!$P$7:$P$874,'30 days CF Table(NZD)'!G33,BS_RE33!$F$7:$F$874,'30 days CF Table(NZD)'!$C$2)</f>
        <v>0</v>
      </c>
      <c r="AF33" s="337">
        <f>SUMIFS(BS_RE33!$H$7:$H$874,BS_RE33!$S$7:$S$874,$AF$2,BS_RE33!$N$7:$N$874,I33,BS_RE33!$P$7:$P$874,'30 days CF Table(NZD)'!G33,BS_RE33!$F$7:$F$874,'30 days CF Table(NZD)'!$C$2)</f>
        <v>0</v>
      </c>
      <c r="AG33" s="337">
        <f>SUMIFS(BS_RE33!$H$7:$H$874,BS_RE33!$S$7:$S$874,$AG$2,BS_RE33!$N$7:$N$874,I33,BS_RE33!$P$7:$P$874,'30 days CF Table(NZD)'!G33,BS_RE33!$F$7:$F$874,'30 days CF Table(NZD)'!$C$2)</f>
        <v>0</v>
      </c>
      <c r="AH33" s="337">
        <f>SUMIFS(BS_RE33!$H$7:$H$874,BS_RE33!$S$7:$S$874,$AH$2,BS_RE33!$N$7:$N$874,I33,BS_RE33!$P$7:$P$874,'30 days CF Table(NZD)'!G33,BS_RE33!$F$7:$F$874,'30 days CF Table(NZD)'!$C$2)</f>
        <v>0</v>
      </c>
      <c r="AI33" s="337">
        <f>SUMIFS(BS_RE33!$H$7:$H$874,BS_RE33!$S$7:$S$874,$AI$2,BS_RE33!$N$7:$N$874,I33,BS_RE33!$P$7:$P$874,'30 days CF Table(NZD)'!G33,BS_RE33!$F$7:$F$874,'30 days CF Table(NZD)'!$C$2)</f>
        <v>0</v>
      </c>
      <c r="AJ33" s="337">
        <f>SUMIFS(BS_RE33!$H$7:$H$874,BS_RE33!$S$7:$S$874,$AJ$2,BS_RE33!$N$7:$N$874,I33,BS_RE33!$P$7:$P$874,'30 days CF Table(NZD)'!G33,BS_RE33!$F$7:$F$874,'30 days CF Table(NZD)'!$C$2)</f>
        <v>0</v>
      </c>
      <c r="AK33" s="337">
        <f>SUMIFS(BS_RE33!$H$7:$H$874,BS_RE33!$S$7:$S$874,$AK$2,BS_RE33!$N$7:$N$874,I33,BS_RE33!$P$7:$P$874,'30 days CF Table(NZD)'!G33,BS_RE33!$F$7:$F$874,'30 days CF Table(NZD)'!$C$2)</f>
        <v>0</v>
      </c>
      <c r="AL33" s="337">
        <f>SUMIFS(BS_RE33!$H$7:$H$874,BS_RE33!$S$7:$S$874,$AL$2,BS_RE33!$N$7:$N$874,I33,BS_RE33!$P$7:$P$874,'30 days CF Table(NZD)'!G33,BS_RE33!$F$7:$F$874,'30 days CF Table(NZD)'!$C$2)</f>
        <v>0</v>
      </c>
      <c r="AM33" s="337">
        <f>SUMIFS(BS_RE33!$H$7:$H$874,BS_RE33!$S$7:$S$874,$AM$2,BS_RE33!$N$7:$N$874,I33,BS_RE33!$P$7:$P$874,'30 days CF Table(NZD)'!G33,BS_RE33!$F$7:$F$874,'30 days CF Table(NZD)'!$C$2)</f>
        <v>0</v>
      </c>
      <c r="AN33" s="337">
        <f>SUMIFS(BS_RE33!$H$7:$H$874,BS_RE33!$S$7:$S$874,$AN$2,BS_RE33!$N$7:$N$874,I33,BS_RE33!$P$7:$P$874,'30 days CF Table(NZD)'!G33,BS_RE33!$F$7:$F$874,'30 days CF Table(NZD)'!$C$2)</f>
        <v>0</v>
      </c>
      <c r="AO33" s="337">
        <f>SUMIFS(BS_RE33!$H$7:$H$874,BS_RE33!$S$7:$S$874,$AO$2,BS_RE33!$N$7:$N$874,I33,BS_RE33!$P$7:$P$874,'30 days CF Table(NZD)'!G33,BS_RE33!$F$7:$F$874,'30 days CF Table(NZD)'!$C$2)</f>
        <v>0</v>
      </c>
      <c r="AP33" s="338">
        <f>SUMIFS(BS_RE33!$H$7:$H$874,BS_RE33!$S$7:$S$874,$AP$2,BS_RE33!$N$7:$N$874,I33,BS_RE33!$P$7:$P$874,'30 days CF Table(NZD)'!G33,BS_RE33!$F$7:$F$874,'30 days CF Table(NZD)'!$C$2)</f>
        <v>0</v>
      </c>
      <c r="AR33" s="379">
        <f>SUMIFS(BS_RE33!$H$7:$H$874,BS_RE33!$S$7:$S$874,$AR$2,BS_RE33!$N$7:$N$874,I33,BS_RE33!$P$7:$P$874,'30 days CF Table(NZD)'!G33,BS_RE33!$F$7:$F$874,'30 days CF Table(NZD)'!$C$2)</f>
        <v>0</v>
      </c>
      <c r="AS33" s="379">
        <f>SUMIFS(BS_RE33!$H$7:$H$874,BS_RE33!$S$7:$S$874,$AS$2,BS_RE33!$N$7:$N$874,I33,BS_RE33!$P$7:$P$874,'30 days CF Table(NZD)'!G33,BS_RE33!$F$7:$F$874,'30 days CF Table(NZD)'!$C$2)</f>
        <v>0</v>
      </c>
      <c r="AT33" s="379">
        <f>SUMIFS(BS_RE33!$H$7:$H$874,BS_RE33!$S$7:$S$874,$AT$2,BS_RE33!$N$7:$N$874,I33,BS_RE33!$P$7:$P$874,'30 days CF Table(NZD)'!G33,BS_RE33!$F$7:$F$874,'30 days CF Table(NZD)'!$C$2)</f>
        <v>0</v>
      </c>
      <c r="AU33" s="379">
        <f>SUMIFS(BS_RE33!$H$7:$H$874,BS_RE33!$S$7:$S$874,$AU$2,BS_RE33!$N$7:$N$874,I33,BS_RE33!$P$7:$P$874,'30 days CF Table(NZD)'!G33,BS_RE33!$F$7:$F$874,'30 days CF Table(NZD)'!$C$2)</f>
        <v>0</v>
      </c>
      <c r="AV33" s="379">
        <f>SUMIFS(BS_RE33!$H$7:$H$874,BS_RE33!$S$7:$S$874,$AV$2,BS_RE33!$N$7:$N$874,I33,BS_RE33!$P$7:$P$874,'30 days CF Table(NZD)'!G33,BS_RE33!$F$7:$F$874,'30 days CF Table(NZD)'!$C$2)</f>
        <v>0</v>
      </c>
      <c r="AW33" s="379">
        <f>SUMIFS(BS_RE33!$H$7:$H$874,BS_RE33!$S$7:$S$874,$AW$2,BS_RE33!$N$7:$N$874,I33,BS_RE33!$P$7:$P$874,'30 days CF Table(NZD)'!G33,BS_RE33!$F$7:$F$874,'30 days CF Table(NZD)'!$C$2)</f>
        <v>0</v>
      </c>
      <c r="AX33" s="379">
        <f>SUMIFS(BS_RE33!$H$7:$H$874,BS_RE33!$S$7:$S$874,$AX$2,BS_RE33!$N$7:$N$874,I33,BS_RE33!$P$7:$P$874,'30 days CF Table(NZD)'!G33,BS_RE33!$F$7:$F$874,'30 days CF Table(NZD)'!$C$2)</f>
        <v>0</v>
      </c>
      <c r="AY33" s="379">
        <f>SUMIFS(BS_RE33!$H$7:$H$874,BS_RE33!$S$7:$S$874,$AY$2,BS_RE33!$N$7:$N$874,I33,BS_RE33!$P$7:$P$874,'30 days CF Table(NZD)'!G33,BS_RE33!$F$7:$F$874,'30 days CF Table(NZD)'!$C$2)</f>
        <v>0</v>
      </c>
      <c r="AZ33" s="379">
        <f>SUMIFS(BS_RE33!$H$7:$H$874,BS_RE33!$S$7:$S$874,$AZ$2,BS_RE33!$N$7:$N$874,I33,BS_RE33!$P$7:$P$874,'30 days CF Table(NZD)'!G33,BS_RE33!$F$7:$F$874,'30 days CF Table(NZD)'!$C$2)</f>
        <v>0</v>
      </c>
      <c r="BA33" s="379">
        <f>SUMIFS(BS_RE33!$H$7:$H$874,BS_RE33!$S$7:$S$874,$BA$2,BS_RE33!$N$7:$N$874,I33,BS_RE33!$P$7:$P$874,'30 days CF Table(NZD)'!G33,BS_RE33!$F$7:$F$874,'30 days CF Table(NZD)'!$C$2)</f>
        <v>0</v>
      </c>
      <c r="BB33" s="379">
        <f>SUMIFS(BS_RE33!$H$7:$H$874,BS_RE33!$S$7:$S$874,$BB$2,BS_RE33!$N$7:$N$874,I33,BS_RE33!$P$7:$P$874,'30 days CF Table(NZD)'!G33,BS_RE33!$F$7:$F$874,'30 days CF Table(NZD)'!$C$2)</f>
        <v>0</v>
      </c>
      <c r="BC33" s="379">
        <f>SUMIFS(BS_RE33!$H$7:$H$874,BS_RE33!$S$7:$S$874,$BC$2,BS_RE33!$N$7:$N$874,I33,BS_RE33!$P$7:$P$874,'30 days CF Table(NZD)'!G33,BS_RE33!$F$7:$F$874,'30 days CF Table(NZD)'!$C$2)</f>
        <v>0</v>
      </c>
      <c r="BD33" s="379">
        <f>SUMIFS(BS_RE33!$H$7:$H$874,BS_RE33!$S$7:$S$874,$BD$2,BS_RE33!$N$7:$N$874,I33,BS_RE33!$P$7:$P$874,'30 days CF Table(NZD)'!G33,BS_RE33!$F$7:$F$874,'30 days CF Table(NZD)'!$C$2)</f>
        <v>0</v>
      </c>
      <c r="BE33" s="379">
        <f>SUMIFS(BS_RE33!$H$7:$H$874,BS_RE33!$S$7:$S$874,$BE$2,BS_RE33!$N$7:$N$874,I33,BS_RE33!$P$7:$P$874,'30 days CF Table(NZD)'!G33,BS_RE33!$F$7:$F$874,'30 days CF Table(NZD)'!$C$2)</f>
        <v>0</v>
      </c>
      <c r="BF33" s="379">
        <f>SUMIFS(BS_RE33!$H$7:$H$874,BS_RE33!$S$7:$S$874,$BF$2,BS_RE33!$N$7:$N$874,I33,BS_RE33!$P$7:$P$874,'30 days CF Table(NZD)'!G33,BS_RE33!$F$7:$F$874,'30 days CF Table(NZD)'!$C$2)</f>
        <v>0</v>
      </c>
      <c r="BG33" s="379">
        <f>SUMIFS(BS_RE33!$H$7:$H$874,BS_RE33!$S$7:$S$874,$BG$2,BS_RE33!$N$7:$N$874,I33,BS_RE33!$P$7:$P$874,'30 days CF Table(NZD)'!G33,BS_RE33!$F$7:$F$874,'30 days CF Table(NZD)'!$C$2)</f>
        <v>0</v>
      </c>
      <c r="BH33" s="379">
        <f>SUMIFS(BS_RE33!$H$7:$H$874,BS_RE33!$S$7:$S$874,$BH$2,BS_RE33!$N$7:$N$874,I33,BS_RE33!$P$7:$P$874,'30 days CF Table(NZD)'!G33,BS_RE33!$F$7:$F$874,'30 days CF Table(NZD)'!$C$2)</f>
        <v>0</v>
      </c>
      <c r="BI33" s="379">
        <f>SUMIFS(BS_RE33!$H$7:$H$874,BS_RE33!$S$7:$S$874,$BI$2,BS_RE33!$N$7:$N$874,I33,BS_RE33!$P$7:$P$874,'30 days CF Table(NZD)'!G33,BS_RE33!$F$7:$F$874,'30 days CF Table(NZD)'!$C$2)</f>
        <v>0</v>
      </c>
      <c r="BJ33" s="379">
        <f>SUMIFS(BS_RE33!$H$7:$H$874,BS_RE33!$S$7:$S$874,$BJ$2,BS_RE33!$N$7:$N$874,I33,BS_RE33!$P$7:$P$874,'30 days CF Table(NZD)'!G33,BS_RE33!$F$7:$F$874,'30 days CF Table(NZD)'!$C$2)</f>
        <v>0</v>
      </c>
      <c r="BK33" s="379">
        <f>SUMIFS(BS_RE33!$H$7:$H$874,BS_RE33!$S$7:$S$874,$BK$2,BS_RE33!$N$7:$N$874,I33,BS_RE33!$P$7:$P$874,'30 days CF Table(NZD)'!G33,BS_RE33!$F$7:$F$874,'30 days CF Table(NZD)'!$C$2)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Table(NZD)'!G34,BS_RE33!$F$7:$F$874,'30 days CF Table(NZD)'!$C$2)</f>
        <v>0</v>
      </c>
      <c r="M34" s="337">
        <f>SUMIFS(BS_RE33!$H$7:$H$874,BS_RE33!$S$7:$S$874,$M$2,BS_RE33!$N$7:$N$874,I34,BS_RE33!$P$7:$P$874,'30 days CF Table(NZD)'!G34,BS_RE33!$F$7:$F$874,'30 days CF Table(NZD)'!$C$2)</f>
        <v>0</v>
      </c>
      <c r="N34" s="337">
        <f>SUMIFS(BS_RE33!$H$7:$H$874,BS_RE33!$S$7:$S$874,$N$2,BS_RE33!$N$7:$N$874,I34,BS_RE33!$P$7:$P$874,'30 days CF Table(NZD)'!G34,BS_RE33!$F$7:$F$874,'30 days CF Table(NZD)'!$C$2)</f>
        <v>0</v>
      </c>
      <c r="O34" s="337">
        <f>SUMIFS(BS_RE33!$H$7:$H$874,BS_RE33!$S$7:$S$874,$O$2,BS_RE33!$N$7:$N$874,I34,BS_RE33!$P$7:$P$874,'30 days CF Table(NZD)'!G34,BS_RE33!$F$7:$F$874,'30 days CF Table(NZD)'!$C$2)</f>
        <v>0</v>
      </c>
      <c r="P34" s="337">
        <f>SUMIFS(BS_RE33!$H$7:$H$874,BS_RE33!$S$7:$S$874,$P$2,BS_RE33!$N$7:$N$874,I34,BS_RE33!$P$7:$P$874,'30 days CF Table(NZD)'!G34,BS_RE33!$F$7:$F$874,'30 days CF Table(NZD)'!$C$2)</f>
        <v>0</v>
      </c>
      <c r="Q34" s="337">
        <f>SUMIFS(BS_RE33!$H$7:$H$874,BS_RE33!$S$7:$S$874,$Q$2,BS_RE33!$N$7:$N$874,I34,BS_RE33!$P$7:$P$874,'30 days CF Table(NZD)'!G34,BS_RE33!$F$7:$F$874,'30 days CF Table(NZD)'!$C$2)</f>
        <v>0</v>
      </c>
      <c r="R34" s="337">
        <f>SUMIFS(BS_RE33!$H$7:$H$874,BS_RE33!$S$7:$S$874,$R$2,BS_RE33!$N$7:$N$874,I34,BS_RE33!$P$7:$P$874,'30 days CF Table(NZD)'!G34,BS_RE33!$F$7:$F$874,'30 days CF Table(NZD)'!$C$2)</f>
        <v>0</v>
      </c>
      <c r="S34" s="337">
        <f>SUMIFS(BS_RE33!$H$7:$H$874,BS_RE33!$S$7:$S$874,$S$2,BS_RE33!$N$7:$N$874,I34,BS_RE33!$P$7:$P$874,'30 days CF Table(NZD)'!G34,BS_RE33!$F$7:$F$874,'30 days CF Table(NZD)'!$C$2)</f>
        <v>0</v>
      </c>
      <c r="T34" s="337">
        <f>SUMIFS(BS_RE33!$H$7:$H$874,BS_RE33!$S$7:$S$874,$T$2,BS_RE33!$N$7:$N$874,I34,BS_RE33!$P$7:$P$874,'30 days CF Table(NZD)'!G34,BS_RE33!$F$7:$F$874,'30 days CF Table(NZD)'!$C$2)</f>
        <v>0</v>
      </c>
      <c r="U34" s="337">
        <f>SUMIFS(BS_RE33!$H$7:$H$874,BS_RE33!$S$7:$S$874,$U$2,BS_RE33!$N$7:$N$874,I34,BS_RE33!$P$7:$P$874,'30 days CF Table(NZD)'!G34,BS_RE33!$F$7:$F$874,'30 days CF Table(NZD)'!$C$2)</f>
        <v>0</v>
      </c>
      <c r="V34" s="337">
        <f>SUMIFS(BS_RE33!$H$7:$H$874,BS_RE33!$S$7:$S$874,$V$2,BS_RE33!$N$7:$N$874,I34,BS_RE33!$P$7:$P$874,'30 days CF Table(NZD)'!G34,BS_RE33!$F$7:$F$874,'30 days CF Table(NZD)'!$C$2)</f>
        <v>0</v>
      </c>
      <c r="W34" s="337">
        <f>SUMIFS(BS_RE33!$H$7:$H$874,BS_RE33!$S$7:$S$874,$W$2,BS_RE33!$N$7:$N$874,I34,BS_RE33!$P$7:$P$874,'30 days CF Table(NZD)'!G34,BS_RE33!$F$7:$F$874,'30 days CF Table(NZD)'!$C$2)</f>
        <v>0</v>
      </c>
      <c r="X34" s="337">
        <f>SUMIFS(BS_RE33!$H$7:$H$874,BS_RE33!$S$7:$S$874,$X$2,BS_RE33!$N$7:$N$874,I34,BS_RE33!$P$7:$P$874,'30 days CF Table(NZD)'!G34,BS_RE33!$F$7:$F$874,'30 days CF Table(NZD)'!$C$2)</f>
        <v>0</v>
      </c>
      <c r="Y34" s="337">
        <f>SUMIFS(BS_RE33!$H$7:$H$874,BS_RE33!$S$7:$S$874,$Y$2,BS_RE33!$N$7:$N$874,I34,BS_RE33!$P$7:$P$874,'30 days CF Table(NZD)'!G34,BS_RE33!$F$7:$F$874,'30 days CF Table(NZD)'!$C$2)</f>
        <v>0</v>
      </c>
      <c r="Z34" s="337">
        <f>SUMIFS(BS_RE33!$H$7:$H$874,BS_RE33!$S$7:$S$874,$Z$2,BS_RE33!$N$7:$N$874,I34,BS_RE33!$P$7:$P$874,'30 days CF Table(NZD)'!G34,BS_RE33!$F$7:$F$874,'30 days CF Table(NZD)'!$C$2)</f>
        <v>0</v>
      </c>
      <c r="AA34" s="337">
        <f>SUMIFS(BS_RE33!$H$7:$H$874,BS_RE33!$S$7:$S$874,$AA$2,BS_RE33!$N$7:$N$874,I34,BS_RE33!$P$7:$P$874,'30 days CF Table(NZD)'!G34,BS_RE33!$F$7:$F$874,'30 days CF Table(NZD)'!$C$2)</f>
        <v>0</v>
      </c>
      <c r="AB34" s="337">
        <f>SUMIFS(BS_RE33!$H$7:$H$874,BS_RE33!$S$7:$S$874,$AB$2,BS_RE33!$N$7:$N$874,I34,BS_RE33!$P$7:$P$874,'30 days CF Table(NZD)'!G34,BS_RE33!$F$7:$F$874,'30 days CF Table(NZD)'!$C$2)</f>
        <v>0</v>
      </c>
      <c r="AC34" s="337">
        <f>SUMIFS(BS_RE33!$H$7:$H$874,BS_RE33!$S$7:$S$874,$AC$2,BS_RE33!$N$7:$N$874,I34,BS_RE33!$P$7:$P$874,'30 days CF Table(NZD)'!G34,BS_RE33!$F$7:$F$874,'30 days CF Table(NZD)'!$C$2)</f>
        <v>0</v>
      </c>
      <c r="AD34" s="337">
        <f>SUMIFS(BS_RE33!$H$7:$H$874,BS_RE33!$S$7:$S$874,$AD$2,BS_RE33!$N$7:$N$874,I34,BS_RE33!$P$7:$P$874,'30 days CF Table(NZD)'!G34,BS_RE33!$F$7:$F$874,'30 days CF Table(NZD)'!$C$2)</f>
        <v>0</v>
      </c>
      <c r="AE34" s="337">
        <f>SUMIFS(BS_RE33!$H$7:$H$874,BS_RE33!$S$7:$S$874,$AE$2,BS_RE33!$N$7:$N$874,I34,BS_RE33!$P$7:$P$874,'30 days CF Table(NZD)'!G34,BS_RE33!$F$7:$F$874,'30 days CF Table(NZD)'!$C$2)</f>
        <v>0</v>
      </c>
      <c r="AF34" s="337">
        <f>SUMIFS(BS_RE33!$H$7:$H$874,BS_RE33!$S$7:$S$874,$AF$2,BS_RE33!$N$7:$N$874,I34,BS_RE33!$P$7:$P$874,'30 days CF Table(NZD)'!G34,BS_RE33!$F$7:$F$874,'30 days CF Table(NZD)'!$C$2)</f>
        <v>0</v>
      </c>
      <c r="AG34" s="337">
        <f>SUMIFS(BS_RE33!$H$7:$H$874,BS_RE33!$S$7:$S$874,$AG$2,BS_RE33!$N$7:$N$874,I34,BS_RE33!$P$7:$P$874,'30 days CF Table(NZD)'!G34,BS_RE33!$F$7:$F$874,'30 days CF Table(NZD)'!$C$2)</f>
        <v>0</v>
      </c>
      <c r="AH34" s="337">
        <f>SUMIFS(BS_RE33!$H$7:$H$874,BS_RE33!$S$7:$S$874,$AH$2,BS_RE33!$N$7:$N$874,I34,BS_RE33!$P$7:$P$874,'30 days CF Table(NZD)'!G34,BS_RE33!$F$7:$F$874,'30 days CF Table(NZD)'!$C$2)</f>
        <v>0</v>
      </c>
      <c r="AI34" s="337">
        <f>SUMIFS(BS_RE33!$H$7:$H$874,BS_RE33!$S$7:$S$874,$AI$2,BS_RE33!$N$7:$N$874,I34,BS_RE33!$P$7:$P$874,'30 days CF Table(NZD)'!G34,BS_RE33!$F$7:$F$874,'30 days CF Table(NZD)'!$C$2)</f>
        <v>0</v>
      </c>
      <c r="AJ34" s="337">
        <f>SUMIFS(BS_RE33!$H$7:$H$874,BS_RE33!$S$7:$S$874,$AJ$2,BS_RE33!$N$7:$N$874,I34,BS_RE33!$P$7:$P$874,'30 days CF Table(NZD)'!G34,BS_RE33!$F$7:$F$874,'30 days CF Table(NZD)'!$C$2)</f>
        <v>0</v>
      </c>
      <c r="AK34" s="337">
        <f>SUMIFS(BS_RE33!$H$7:$H$874,BS_RE33!$S$7:$S$874,$AK$2,BS_RE33!$N$7:$N$874,I34,BS_RE33!$P$7:$P$874,'30 days CF Table(NZD)'!G34,BS_RE33!$F$7:$F$874,'30 days CF Table(NZD)'!$C$2)</f>
        <v>0</v>
      </c>
      <c r="AL34" s="337">
        <f>SUMIFS(BS_RE33!$H$7:$H$874,BS_RE33!$S$7:$S$874,$AL$2,BS_RE33!$N$7:$N$874,I34,BS_RE33!$P$7:$P$874,'30 days CF Table(NZD)'!G34,BS_RE33!$F$7:$F$874,'30 days CF Table(NZD)'!$C$2)</f>
        <v>0</v>
      </c>
      <c r="AM34" s="337">
        <f>SUMIFS(BS_RE33!$H$7:$H$874,BS_RE33!$S$7:$S$874,$AM$2,BS_RE33!$N$7:$N$874,I34,BS_RE33!$P$7:$P$874,'30 days CF Table(NZD)'!G34,BS_RE33!$F$7:$F$874,'30 days CF Table(NZD)'!$C$2)</f>
        <v>0</v>
      </c>
      <c r="AN34" s="337">
        <f>SUMIFS(BS_RE33!$H$7:$H$874,BS_RE33!$S$7:$S$874,$AN$2,BS_RE33!$N$7:$N$874,I34,BS_RE33!$P$7:$P$874,'30 days CF Table(NZD)'!G34,BS_RE33!$F$7:$F$874,'30 days CF Table(NZD)'!$C$2)</f>
        <v>0</v>
      </c>
      <c r="AO34" s="337">
        <f>SUMIFS(BS_RE33!$H$7:$H$874,BS_RE33!$S$7:$S$874,$AO$2,BS_RE33!$N$7:$N$874,I34,BS_RE33!$P$7:$P$874,'30 days CF Table(NZD)'!G34,BS_RE33!$F$7:$F$874,'30 days CF Table(NZD)'!$C$2)</f>
        <v>0</v>
      </c>
      <c r="AP34" s="338">
        <f>SUMIFS(BS_RE33!$H$7:$H$874,BS_RE33!$S$7:$S$874,$AP$2,BS_RE33!$N$7:$N$874,I34,BS_RE33!$P$7:$P$874,'30 days CF Table(NZD)'!G34,BS_RE33!$F$7:$F$874,'30 days CF Table(NZD)'!$C$2)</f>
        <v>0</v>
      </c>
      <c r="AR34" s="379">
        <f>SUMIFS(BS_RE33!$H$7:$H$874,BS_RE33!$S$7:$S$874,$AR$2,BS_RE33!$N$7:$N$874,I34,BS_RE33!$P$7:$P$874,'30 days CF Table(NZD)'!G34,BS_RE33!$F$7:$F$874,'30 days CF Table(NZD)'!$C$2)</f>
        <v>0</v>
      </c>
      <c r="AS34" s="379">
        <f>SUMIFS(BS_RE33!$H$7:$H$874,BS_RE33!$S$7:$S$874,$AS$2,BS_RE33!$N$7:$N$874,I34,BS_RE33!$P$7:$P$874,'30 days CF Table(NZD)'!G34,BS_RE33!$F$7:$F$874,'30 days CF Table(NZD)'!$C$2)</f>
        <v>0</v>
      </c>
      <c r="AT34" s="379">
        <f>SUMIFS(BS_RE33!$H$7:$H$874,BS_RE33!$S$7:$S$874,$AT$2,BS_RE33!$N$7:$N$874,I34,BS_RE33!$P$7:$P$874,'30 days CF Table(NZD)'!G34,BS_RE33!$F$7:$F$874,'30 days CF Table(NZD)'!$C$2)</f>
        <v>0</v>
      </c>
      <c r="AU34" s="379">
        <f>SUMIFS(BS_RE33!$H$7:$H$874,BS_RE33!$S$7:$S$874,$AU$2,BS_RE33!$N$7:$N$874,I34,BS_RE33!$P$7:$P$874,'30 days CF Table(NZD)'!G34,BS_RE33!$F$7:$F$874,'30 days CF Table(NZD)'!$C$2)</f>
        <v>0</v>
      </c>
      <c r="AV34" s="379">
        <f>SUMIFS(BS_RE33!$H$7:$H$874,BS_RE33!$S$7:$S$874,$AV$2,BS_RE33!$N$7:$N$874,I34,BS_RE33!$P$7:$P$874,'30 days CF Table(NZD)'!G34,BS_RE33!$F$7:$F$874,'30 days CF Table(NZD)'!$C$2)</f>
        <v>0</v>
      </c>
      <c r="AW34" s="379">
        <f>SUMIFS(BS_RE33!$H$7:$H$874,BS_RE33!$S$7:$S$874,$AW$2,BS_RE33!$N$7:$N$874,I34,BS_RE33!$P$7:$P$874,'30 days CF Table(NZD)'!G34,BS_RE33!$F$7:$F$874,'30 days CF Table(NZD)'!$C$2)</f>
        <v>0</v>
      </c>
      <c r="AX34" s="379">
        <f>SUMIFS(BS_RE33!$H$7:$H$874,BS_RE33!$S$7:$S$874,$AX$2,BS_RE33!$N$7:$N$874,I34,BS_RE33!$P$7:$P$874,'30 days CF Table(NZD)'!G34,BS_RE33!$F$7:$F$874,'30 days CF Table(NZD)'!$C$2)</f>
        <v>0</v>
      </c>
      <c r="AY34" s="379">
        <f>SUMIFS(BS_RE33!$H$7:$H$874,BS_RE33!$S$7:$S$874,$AY$2,BS_RE33!$N$7:$N$874,I34,BS_RE33!$P$7:$P$874,'30 days CF Table(NZD)'!G34,BS_RE33!$F$7:$F$874,'30 days CF Table(NZD)'!$C$2)</f>
        <v>0</v>
      </c>
      <c r="AZ34" s="379">
        <f>SUMIFS(BS_RE33!$H$7:$H$874,BS_RE33!$S$7:$S$874,$AZ$2,BS_RE33!$N$7:$N$874,I34,BS_RE33!$P$7:$P$874,'30 days CF Table(NZD)'!G34,BS_RE33!$F$7:$F$874,'30 days CF Table(NZD)'!$C$2)</f>
        <v>0</v>
      </c>
      <c r="BA34" s="379">
        <f>SUMIFS(BS_RE33!$H$7:$H$874,BS_RE33!$S$7:$S$874,$BA$2,BS_RE33!$N$7:$N$874,I34,BS_RE33!$P$7:$P$874,'30 days CF Table(NZD)'!G34,BS_RE33!$F$7:$F$874,'30 days CF Table(NZD)'!$C$2)</f>
        <v>0</v>
      </c>
      <c r="BB34" s="379">
        <f>SUMIFS(BS_RE33!$H$7:$H$874,BS_RE33!$S$7:$S$874,$BB$2,BS_RE33!$N$7:$N$874,I34,BS_RE33!$P$7:$P$874,'30 days CF Table(NZD)'!G34,BS_RE33!$F$7:$F$874,'30 days CF Table(NZD)'!$C$2)</f>
        <v>0</v>
      </c>
      <c r="BC34" s="379">
        <f>SUMIFS(BS_RE33!$H$7:$H$874,BS_RE33!$S$7:$S$874,$BC$2,BS_RE33!$N$7:$N$874,I34,BS_RE33!$P$7:$P$874,'30 days CF Table(NZD)'!G34,BS_RE33!$F$7:$F$874,'30 days CF Table(NZD)'!$C$2)</f>
        <v>0</v>
      </c>
      <c r="BD34" s="379">
        <f>SUMIFS(BS_RE33!$H$7:$H$874,BS_RE33!$S$7:$S$874,$BD$2,BS_RE33!$N$7:$N$874,I34,BS_RE33!$P$7:$P$874,'30 days CF Table(NZD)'!G34,BS_RE33!$F$7:$F$874,'30 days CF Table(NZD)'!$C$2)</f>
        <v>0</v>
      </c>
      <c r="BE34" s="379">
        <f>SUMIFS(BS_RE33!$H$7:$H$874,BS_RE33!$S$7:$S$874,$BE$2,BS_RE33!$N$7:$N$874,I34,BS_RE33!$P$7:$P$874,'30 days CF Table(NZD)'!G34,BS_RE33!$F$7:$F$874,'30 days CF Table(NZD)'!$C$2)</f>
        <v>0</v>
      </c>
      <c r="BF34" s="379">
        <f>SUMIFS(BS_RE33!$H$7:$H$874,BS_RE33!$S$7:$S$874,$BF$2,BS_RE33!$N$7:$N$874,I34,BS_RE33!$P$7:$P$874,'30 days CF Table(NZD)'!G34,BS_RE33!$F$7:$F$874,'30 days CF Table(NZD)'!$C$2)</f>
        <v>0</v>
      </c>
      <c r="BG34" s="379">
        <f>SUMIFS(BS_RE33!$H$7:$H$874,BS_RE33!$S$7:$S$874,$BG$2,BS_RE33!$N$7:$N$874,I34,BS_RE33!$P$7:$P$874,'30 days CF Table(NZD)'!G34,BS_RE33!$F$7:$F$874,'30 days CF Table(NZD)'!$C$2)</f>
        <v>0</v>
      </c>
      <c r="BH34" s="379">
        <f>SUMIFS(BS_RE33!$H$7:$H$874,BS_RE33!$S$7:$S$874,$BH$2,BS_RE33!$N$7:$N$874,I34,BS_RE33!$P$7:$P$874,'30 days CF Table(NZD)'!G34,BS_RE33!$F$7:$F$874,'30 days CF Table(NZD)'!$C$2)</f>
        <v>0</v>
      </c>
      <c r="BI34" s="379">
        <f>SUMIFS(BS_RE33!$H$7:$H$874,BS_RE33!$S$7:$S$874,$BI$2,BS_RE33!$N$7:$N$874,I34,BS_RE33!$P$7:$P$874,'30 days CF Table(NZD)'!G34,BS_RE33!$F$7:$F$874,'30 days CF Table(NZD)'!$C$2)</f>
        <v>0</v>
      </c>
      <c r="BJ34" s="379">
        <f>SUMIFS(BS_RE33!$H$7:$H$874,BS_RE33!$S$7:$S$874,$BJ$2,BS_RE33!$N$7:$N$874,I34,BS_RE33!$P$7:$P$874,'30 days CF Table(NZD)'!G34,BS_RE33!$F$7:$F$874,'30 days CF Table(NZD)'!$C$2)</f>
        <v>0</v>
      </c>
      <c r="BK34" s="379">
        <f>SUMIFS(BS_RE33!$H$7:$H$874,BS_RE33!$S$7:$S$874,$BK$2,BS_RE33!$N$7:$N$874,I34,BS_RE33!$P$7:$P$874,'30 days CF Table(NZD)'!G34,BS_RE33!$F$7:$F$874,'30 days CF Table(NZD)'!$C$2)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Table(NZD)'!G35,BS_RE33!$F$7:$F$874,'30 days CF Table(NZD)'!$C$2)</f>
        <v>0</v>
      </c>
      <c r="M35" s="337">
        <f>SUMIFS(BS_RE33!$H$7:$H$874,BS_RE33!$S$7:$S$874,$M$2,BS_RE33!$N$7:$N$874,I35,BS_RE33!$P$7:$P$874,'30 days CF Table(NZD)'!G35,BS_RE33!$F$7:$F$874,'30 days CF Table(NZD)'!$C$2)</f>
        <v>0</v>
      </c>
      <c r="N35" s="337">
        <f>SUMIFS(BS_RE33!$H$7:$H$874,BS_RE33!$S$7:$S$874,$N$2,BS_RE33!$N$7:$N$874,I35,BS_RE33!$P$7:$P$874,'30 days CF Table(NZD)'!G35,BS_RE33!$F$7:$F$874,'30 days CF Table(NZD)'!$C$2)</f>
        <v>0</v>
      </c>
      <c r="O35" s="337">
        <f>SUMIFS(BS_RE33!$H$7:$H$874,BS_RE33!$S$7:$S$874,$O$2,BS_RE33!$N$7:$N$874,I35,BS_RE33!$P$7:$P$874,'30 days CF Table(NZD)'!G35,BS_RE33!$F$7:$F$874,'30 days CF Table(NZD)'!$C$2)</f>
        <v>0</v>
      </c>
      <c r="P35" s="337">
        <f>SUMIFS(BS_RE33!$H$7:$H$874,BS_RE33!$S$7:$S$874,$P$2,BS_RE33!$N$7:$N$874,I35,BS_RE33!$P$7:$P$874,'30 days CF Table(NZD)'!G35,BS_RE33!$F$7:$F$874,'30 days CF Table(NZD)'!$C$2)</f>
        <v>0</v>
      </c>
      <c r="Q35" s="337">
        <f>SUMIFS(BS_RE33!$H$7:$H$874,BS_RE33!$S$7:$S$874,$Q$2,BS_RE33!$N$7:$N$874,I35,BS_RE33!$P$7:$P$874,'30 days CF Table(NZD)'!G35,BS_RE33!$F$7:$F$874,'30 days CF Table(NZD)'!$C$2)</f>
        <v>0</v>
      </c>
      <c r="R35" s="337">
        <f>SUMIFS(BS_RE33!$H$7:$H$874,BS_RE33!$S$7:$S$874,$R$2,BS_RE33!$N$7:$N$874,I35,BS_RE33!$P$7:$P$874,'30 days CF Table(NZD)'!G35,BS_RE33!$F$7:$F$874,'30 days CF Table(NZD)'!$C$2)</f>
        <v>0</v>
      </c>
      <c r="S35" s="337">
        <f>SUMIFS(BS_RE33!$H$7:$H$874,BS_RE33!$S$7:$S$874,$S$2,BS_RE33!$N$7:$N$874,I35,BS_RE33!$P$7:$P$874,'30 days CF Table(NZD)'!G35,BS_RE33!$F$7:$F$874,'30 days CF Table(NZD)'!$C$2)</f>
        <v>0</v>
      </c>
      <c r="T35" s="337">
        <f>SUMIFS(BS_RE33!$H$7:$H$874,BS_RE33!$S$7:$S$874,$T$2,BS_RE33!$N$7:$N$874,I35,BS_RE33!$P$7:$P$874,'30 days CF Table(NZD)'!G35,BS_RE33!$F$7:$F$874,'30 days CF Table(NZD)'!$C$2)</f>
        <v>0</v>
      </c>
      <c r="U35" s="337">
        <f>SUMIFS(BS_RE33!$H$7:$H$874,BS_RE33!$S$7:$S$874,$U$2,BS_RE33!$N$7:$N$874,I35,BS_RE33!$P$7:$P$874,'30 days CF Table(NZD)'!G35,BS_RE33!$F$7:$F$874,'30 days CF Table(NZD)'!$C$2)</f>
        <v>0</v>
      </c>
      <c r="V35" s="337">
        <f>SUMIFS(BS_RE33!$H$7:$H$874,BS_RE33!$S$7:$S$874,$V$2,BS_RE33!$N$7:$N$874,I35,BS_RE33!$P$7:$P$874,'30 days CF Table(NZD)'!G35,BS_RE33!$F$7:$F$874,'30 days CF Table(NZD)'!$C$2)</f>
        <v>0</v>
      </c>
      <c r="W35" s="337">
        <f>SUMIFS(BS_RE33!$H$7:$H$874,BS_RE33!$S$7:$S$874,$W$2,BS_RE33!$N$7:$N$874,I35,BS_RE33!$P$7:$P$874,'30 days CF Table(NZD)'!G35,BS_RE33!$F$7:$F$874,'30 days CF Table(NZD)'!$C$2)</f>
        <v>0</v>
      </c>
      <c r="X35" s="337">
        <f>SUMIFS(BS_RE33!$H$7:$H$874,BS_RE33!$S$7:$S$874,$X$2,BS_RE33!$N$7:$N$874,I35,BS_RE33!$P$7:$P$874,'30 days CF Table(NZD)'!G35,BS_RE33!$F$7:$F$874,'30 days CF Table(NZD)'!$C$2)</f>
        <v>0</v>
      </c>
      <c r="Y35" s="337">
        <f>SUMIFS(BS_RE33!$H$7:$H$874,BS_RE33!$S$7:$S$874,$Y$2,BS_RE33!$N$7:$N$874,I35,BS_RE33!$P$7:$P$874,'30 days CF Table(NZD)'!G35,BS_RE33!$F$7:$F$874,'30 days CF Table(NZD)'!$C$2)</f>
        <v>0</v>
      </c>
      <c r="Z35" s="337">
        <f>SUMIFS(BS_RE33!$H$7:$H$874,BS_RE33!$S$7:$S$874,$Z$2,BS_RE33!$N$7:$N$874,I35,BS_RE33!$P$7:$P$874,'30 days CF Table(NZD)'!G35,BS_RE33!$F$7:$F$874,'30 days CF Table(NZD)'!$C$2)</f>
        <v>0</v>
      </c>
      <c r="AA35" s="337">
        <f>SUMIFS(BS_RE33!$H$7:$H$874,BS_RE33!$S$7:$S$874,$AA$2,BS_RE33!$N$7:$N$874,I35,BS_RE33!$P$7:$P$874,'30 days CF Table(NZD)'!G35,BS_RE33!$F$7:$F$874,'30 days CF Table(NZD)'!$C$2)</f>
        <v>0</v>
      </c>
      <c r="AB35" s="337">
        <f>SUMIFS(BS_RE33!$H$7:$H$874,BS_RE33!$S$7:$S$874,$AB$2,BS_RE33!$N$7:$N$874,I35,BS_RE33!$P$7:$P$874,'30 days CF Table(NZD)'!G35,BS_RE33!$F$7:$F$874,'30 days CF Table(NZD)'!$C$2)</f>
        <v>0</v>
      </c>
      <c r="AC35" s="337">
        <f>SUMIFS(BS_RE33!$H$7:$H$874,BS_RE33!$S$7:$S$874,$AC$2,BS_RE33!$N$7:$N$874,I35,BS_RE33!$P$7:$P$874,'30 days CF Table(NZD)'!G35,BS_RE33!$F$7:$F$874,'30 days CF Table(NZD)'!$C$2)</f>
        <v>0</v>
      </c>
      <c r="AD35" s="337">
        <f>SUMIFS(BS_RE33!$H$7:$H$874,BS_RE33!$S$7:$S$874,$AD$2,BS_RE33!$N$7:$N$874,I35,BS_RE33!$P$7:$P$874,'30 days CF Table(NZD)'!G35,BS_RE33!$F$7:$F$874,'30 days CF Table(NZD)'!$C$2)</f>
        <v>0</v>
      </c>
      <c r="AE35" s="337">
        <f>SUMIFS(BS_RE33!$H$7:$H$874,BS_RE33!$S$7:$S$874,$AE$2,BS_RE33!$N$7:$N$874,I35,BS_RE33!$P$7:$P$874,'30 days CF Table(NZD)'!G35,BS_RE33!$F$7:$F$874,'30 days CF Table(NZD)'!$C$2)</f>
        <v>0</v>
      </c>
      <c r="AF35" s="337">
        <f>SUMIFS(BS_RE33!$H$7:$H$874,BS_RE33!$S$7:$S$874,$AF$2,BS_RE33!$N$7:$N$874,I35,BS_RE33!$P$7:$P$874,'30 days CF Table(NZD)'!G35,BS_RE33!$F$7:$F$874,'30 days CF Table(NZD)'!$C$2)</f>
        <v>0</v>
      </c>
      <c r="AG35" s="337">
        <f>SUMIFS(BS_RE33!$H$7:$H$874,BS_RE33!$S$7:$S$874,$AG$2,BS_RE33!$N$7:$N$874,I35,BS_RE33!$P$7:$P$874,'30 days CF Table(NZD)'!G35,BS_RE33!$F$7:$F$874,'30 days CF Table(NZD)'!$C$2)</f>
        <v>0</v>
      </c>
      <c r="AH35" s="337">
        <f>SUMIFS(BS_RE33!$H$7:$H$874,BS_RE33!$S$7:$S$874,$AH$2,BS_RE33!$N$7:$N$874,I35,BS_RE33!$P$7:$P$874,'30 days CF Table(NZD)'!G35,BS_RE33!$F$7:$F$874,'30 days CF Table(NZD)'!$C$2)</f>
        <v>0</v>
      </c>
      <c r="AI35" s="337">
        <f>SUMIFS(BS_RE33!$H$7:$H$874,BS_RE33!$S$7:$S$874,$AI$2,BS_RE33!$N$7:$N$874,I35,BS_RE33!$P$7:$P$874,'30 days CF Table(NZD)'!G35,BS_RE33!$F$7:$F$874,'30 days CF Table(NZD)'!$C$2)</f>
        <v>0</v>
      </c>
      <c r="AJ35" s="337">
        <f>SUMIFS(BS_RE33!$H$7:$H$874,BS_RE33!$S$7:$S$874,$AJ$2,BS_RE33!$N$7:$N$874,I35,BS_RE33!$P$7:$P$874,'30 days CF Table(NZD)'!G35,BS_RE33!$F$7:$F$874,'30 days CF Table(NZD)'!$C$2)</f>
        <v>0</v>
      </c>
      <c r="AK35" s="337">
        <f>SUMIFS(BS_RE33!$H$7:$H$874,BS_RE33!$S$7:$S$874,$AK$2,BS_RE33!$N$7:$N$874,I35,BS_RE33!$P$7:$P$874,'30 days CF Table(NZD)'!G35,BS_RE33!$F$7:$F$874,'30 days CF Table(NZD)'!$C$2)</f>
        <v>0</v>
      </c>
      <c r="AL35" s="337">
        <f>SUMIFS(BS_RE33!$H$7:$H$874,BS_RE33!$S$7:$S$874,$AL$2,BS_RE33!$N$7:$N$874,I35,BS_RE33!$P$7:$P$874,'30 days CF Table(NZD)'!G35,BS_RE33!$F$7:$F$874,'30 days CF Table(NZD)'!$C$2)</f>
        <v>0</v>
      </c>
      <c r="AM35" s="337">
        <f>SUMIFS(BS_RE33!$H$7:$H$874,BS_RE33!$S$7:$S$874,$AM$2,BS_RE33!$N$7:$N$874,I35,BS_RE33!$P$7:$P$874,'30 days CF Table(NZD)'!G35,BS_RE33!$F$7:$F$874,'30 days CF Table(NZD)'!$C$2)</f>
        <v>0</v>
      </c>
      <c r="AN35" s="337">
        <f>SUMIFS(BS_RE33!$H$7:$H$874,BS_RE33!$S$7:$S$874,$AN$2,BS_RE33!$N$7:$N$874,I35,BS_RE33!$P$7:$P$874,'30 days CF Table(NZD)'!G35,BS_RE33!$F$7:$F$874,'30 days CF Table(NZD)'!$C$2)</f>
        <v>0</v>
      </c>
      <c r="AO35" s="337">
        <f>SUMIFS(BS_RE33!$H$7:$H$874,BS_RE33!$S$7:$S$874,$AO$2,BS_RE33!$N$7:$N$874,I35,BS_RE33!$P$7:$P$874,'30 days CF Table(NZD)'!G35,BS_RE33!$F$7:$F$874,'30 days CF Table(NZD)'!$C$2)</f>
        <v>0</v>
      </c>
      <c r="AP35" s="338">
        <f>SUMIFS(BS_RE33!$H$7:$H$874,BS_RE33!$S$7:$S$874,$AP$2,BS_RE33!$N$7:$N$874,I35,BS_RE33!$P$7:$P$874,'30 days CF Table(NZD)'!G35,BS_RE33!$F$7:$F$874,'30 days CF Table(NZD)'!$C$2)</f>
        <v>0</v>
      </c>
      <c r="AR35" s="379">
        <f>SUMIFS(BS_RE33!$H$7:$H$874,BS_RE33!$S$7:$S$874,$AR$2,BS_RE33!$N$7:$N$874,I35,BS_RE33!$P$7:$P$874,'30 days CF Table(NZD)'!G35,BS_RE33!$F$7:$F$874,'30 days CF Table(NZD)'!$C$2)</f>
        <v>0</v>
      </c>
      <c r="AS35" s="379">
        <f>SUMIFS(BS_RE33!$H$7:$H$874,BS_RE33!$S$7:$S$874,$AS$2,BS_RE33!$N$7:$N$874,I35,BS_RE33!$P$7:$P$874,'30 days CF Table(NZD)'!G35,BS_RE33!$F$7:$F$874,'30 days CF Table(NZD)'!$C$2)</f>
        <v>0</v>
      </c>
      <c r="AT35" s="379">
        <f>SUMIFS(BS_RE33!$H$7:$H$874,BS_RE33!$S$7:$S$874,$AT$2,BS_RE33!$N$7:$N$874,I35,BS_RE33!$P$7:$P$874,'30 days CF Table(NZD)'!G35,BS_RE33!$F$7:$F$874,'30 days CF Table(NZD)'!$C$2)</f>
        <v>0</v>
      </c>
      <c r="AU35" s="379">
        <f>SUMIFS(BS_RE33!$H$7:$H$874,BS_RE33!$S$7:$S$874,$AU$2,BS_RE33!$N$7:$N$874,I35,BS_RE33!$P$7:$P$874,'30 days CF Table(NZD)'!G35,BS_RE33!$F$7:$F$874,'30 days CF Table(NZD)'!$C$2)</f>
        <v>0</v>
      </c>
      <c r="AV35" s="379">
        <f>SUMIFS(BS_RE33!$H$7:$H$874,BS_RE33!$S$7:$S$874,$AV$2,BS_RE33!$N$7:$N$874,I35,BS_RE33!$P$7:$P$874,'30 days CF Table(NZD)'!G35,BS_RE33!$F$7:$F$874,'30 days CF Table(NZD)'!$C$2)</f>
        <v>0</v>
      </c>
      <c r="AW35" s="379">
        <f>SUMIFS(BS_RE33!$H$7:$H$874,BS_RE33!$S$7:$S$874,$AW$2,BS_RE33!$N$7:$N$874,I35,BS_RE33!$P$7:$P$874,'30 days CF Table(NZD)'!G35,BS_RE33!$F$7:$F$874,'30 days CF Table(NZD)'!$C$2)</f>
        <v>0</v>
      </c>
      <c r="AX35" s="379">
        <f>SUMIFS(BS_RE33!$H$7:$H$874,BS_RE33!$S$7:$S$874,$AX$2,BS_RE33!$N$7:$N$874,I35,BS_RE33!$P$7:$P$874,'30 days CF Table(NZD)'!G35,BS_RE33!$F$7:$F$874,'30 days CF Table(NZD)'!$C$2)</f>
        <v>0</v>
      </c>
      <c r="AY35" s="379">
        <f>SUMIFS(BS_RE33!$H$7:$H$874,BS_RE33!$S$7:$S$874,$AY$2,BS_RE33!$N$7:$N$874,I35,BS_RE33!$P$7:$P$874,'30 days CF Table(NZD)'!G35,BS_RE33!$F$7:$F$874,'30 days CF Table(NZD)'!$C$2)</f>
        <v>0</v>
      </c>
      <c r="AZ35" s="379">
        <f>SUMIFS(BS_RE33!$H$7:$H$874,BS_RE33!$S$7:$S$874,$AZ$2,BS_RE33!$N$7:$N$874,I35,BS_RE33!$P$7:$P$874,'30 days CF Table(NZD)'!G35,BS_RE33!$F$7:$F$874,'30 days CF Table(NZD)'!$C$2)</f>
        <v>0</v>
      </c>
      <c r="BA35" s="379">
        <f>SUMIFS(BS_RE33!$H$7:$H$874,BS_RE33!$S$7:$S$874,$BA$2,BS_RE33!$N$7:$N$874,I35,BS_RE33!$P$7:$P$874,'30 days CF Table(NZD)'!G35,BS_RE33!$F$7:$F$874,'30 days CF Table(NZD)'!$C$2)</f>
        <v>0</v>
      </c>
      <c r="BB35" s="379">
        <f>SUMIFS(BS_RE33!$H$7:$H$874,BS_RE33!$S$7:$S$874,$BB$2,BS_RE33!$N$7:$N$874,I35,BS_RE33!$P$7:$P$874,'30 days CF Table(NZD)'!G35,BS_RE33!$F$7:$F$874,'30 days CF Table(NZD)'!$C$2)</f>
        <v>0</v>
      </c>
      <c r="BC35" s="379">
        <f>SUMIFS(BS_RE33!$H$7:$H$874,BS_RE33!$S$7:$S$874,$BC$2,BS_RE33!$N$7:$N$874,I35,BS_RE33!$P$7:$P$874,'30 days CF Table(NZD)'!G35,BS_RE33!$F$7:$F$874,'30 days CF Table(NZD)'!$C$2)</f>
        <v>0</v>
      </c>
      <c r="BD35" s="379">
        <f>SUMIFS(BS_RE33!$H$7:$H$874,BS_RE33!$S$7:$S$874,$BD$2,BS_RE33!$N$7:$N$874,I35,BS_RE33!$P$7:$P$874,'30 days CF Table(NZD)'!G35,BS_RE33!$F$7:$F$874,'30 days CF Table(NZD)'!$C$2)</f>
        <v>0</v>
      </c>
      <c r="BE35" s="379">
        <f>SUMIFS(BS_RE33!$H$7:$H$874,BS_RE33!$S$7:$S$874,$BE$2,BS_RE33!$N$7:$N$874,I35,BS_RE33!$P$7:$P$874,'30 days CF Table(NZD)'!G35,BS_RE33!$F$7:$F$874,'30 days CF Table(NZD)'!$C$2)</f>
        <v>0</v>
      </c>
      <c r="BF35" s="379">
        <f>SUMIFS(BS_RE33!$H$7:$H$874,BS_RE33!$S$7:$S$874,$BF$2,BS_RE33!$N$7:$N$874,I35,BS_RE33!$P$7:$P$874,'30 days CF Table(NZD)'!G35,BS_RE33!$F$7:$F$874,'30 days CF Table(NZD)'!$C$2)</f>
        <v>0</v>
      </c>
      <c r="BG35" s="379">
        <f>SUMIFS(BS_RE33!$H$7:$H$874,BS_RE33!$S$7:$S$874,$BG$2,BS_RE33!$N$7:$N$874,I35,BS_RE33!$P$7:$P$874,'30 days CF Table(NZD)'!G35,BS_RE33!$F$7:$F$874,'30 days CF Table(NZD)'!$C$2)</f>
        <v>0</v>
      </c>
      <c r="BH35" s="379">
        <f>SUMIFS(BS_RE33!$H$7:$H$874,BS_RE33!$S$7:$S$874,$BH$2,BS_RE33!$N$7:$N$874,I35,BS_RE33!$P$7:$P$874,'30 days CF Table(NZD)'!G35,BS_RE33!$F$7:$F$874,'30 days CF Table(NZD)'!$C$2)</f>
        <v>0</v>
      </c>
      <c r="BI35" s="379">
        <f>SUMIFS(BS_RE33!$H$7:$H$874,BS_RE33!$S$7:$S$874,$BI$2,BS_RE33!$N$7:$N$874,I35,BS_RE33!$P$7:$P$874,'30 days CF Table(NZD)'!G35,BS_RE33!$F$7:$F$874,'30 days CF Table(NZD)'!$C$2)</f>
        <v>0</v>
      </c>
      <c r="BJ35" s="379">
        <f>SUMIFS(BS_RE33!$H$7:$H$874,BS_RE33!$S$7:$S$874,$BJ$2,BS_RE33!$N$7:$N$874,I35,BS_RE33!$P$7:$P$874,'30 days CF Table(NZD)'!G35,BS_RE33!$F$7:$F$874,'30 days CF Table(NZD)'!$C$2)</f>
        <v>0</v>
      </c>
      <c r="BK35" s="379">
        <f>SUMIFS(BS_RE33!$H$7:$H$874,BS_RE33!$S$7:$S$874,$BK$2,BS_RE33!$N$7:$N$874,I35,BS_RE33!$P$7:$P$874,'30 days CF Table(NZD)'!G35,BS_RE33!$F$7:$F$874,'30 days CF Table(NZD)'!$C$2)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Table(NZD)'!G36,BS_RE33!$F$7:$F$874,'30 days CF Table(NZD)'!$C$2)</f>
        <v>0</v>
      </c>
      <c r="M36" s="337">
        <f>SUMIFS(BS_RE33!$H$7:$H$874,BS_RE33!$S$7:$S$874,$M$2,BS_RE33!$N$7:$N$874,I36,BS_RE33!$P$7:$P$874,'30 days CF Table(NZD)'!G36,BS_RE33!$F$7:$F$874,'30 days CF Table(NZD)'!$C$2)</f>
        <v>0</v>
      </c>
      <c r="N36" s="337">
        <f>SUMIFS(BS_RE33!$H$7:$H$874,BS_RE33!$S$7:$S$874,$N$2,BS_RE33!$N$7:$N$874,I36,BS_RE33!$P$7:$P$874,'30 days CF Table(NZD)'!G36,BS_RE33!$F$7:$F$874,'30 days CF Table(NZD)'!$C$2)</f>
        <v>0</v>
      </c>
      <c r="O36" s="337">
        <f>SUMIFS(BS_RE33!$H$7:$H$874,BS_RE33!$S$7:$S$874,$O$2,BS_RE33!$N$7:$N$874,I36,BS_RE33!$P$7:$P$874,'30 days CF Table(NZD)'!G36,BS_RE33!$F$7:$F$874,'30 days CF Table(NZD)'!$C$2)</f>
        <v>0</v>
      </c>
      <c r="P36" s="337">
        <f>SUMIFS(BS_RE33!$H$7:$H$874,BS_RE33!$S$7:$S$874,$P$2,BS_RE33!$N$7:$N$874,I36,BS_RE33!$P$7:$P$874,'30 days CF Table(NZD)'!G36,BS_RE33!$F$7:$F$874,'30 days CF Table(NZD)'!$C$2)</f>
        <v>0</v>
      </c>
      <c r="Q36" s="337">
        <f>SUMIFS(BS_RE33!$H$7:$H$874,BS_RE33!$S$7:$S$874,$Q$2,BS_RE33!$N$7:$N$874,I36,BS_RE33!$P$7:$P$874,'30 days CF Table(NZD)'!G36,BS_RE33!$F$7:$F$874,'30 days CF Table(NZD)'!$C$2)</f>
        <v>0</v>
      </c>
      <c r="R36" s="337">
        <f>SUMIFS(BS_RE33!$H$7:$H$874,BS_RE33!$S$7:$S$874,$R$2,BS_RE33!$N$7:$N$874,I36,BS_RE33!$P$7:$P$874,'30 days CF Table(NZD)'!G36,BS_RE33!$F$7:$F$874,'30 days CF Table(NZD)'!$C$2)</f>
        <v>0</v>
      </c>
      <c r="S36" s="337">
        <f>SUMIFS(BS_RE33!$H$7:$H$874,BS_RE33!$S$7:$S$874,$S$2,BS_RE33!$N$7:$N$874,I36,BS_RE33!$P$7:$P$874,'30 days CF Table(NZD)'!G36,BS_RE33!$F$7:$F$874,'30 days CF Table(NZD)'!$C$2)</f>
        <v>0</v>
      </c>
      <c r="T36" s="337">
        <f>SUMIFS(BS_RE33!$H$7:$H$874,BS_RE33!$S$7:$S$874,$T$2,BS_RE33!$N$7:$N$874,I36,BS_RE33!$P$7:$P$874,'30 days CF Table(NZD)'!G36,BS_RE33!$F$7:$F$874,'30 days CF Table(NZD)'!$C$2)</f>
        <v>0</v>
      </c>
      <c r="U36" s="337">
        <f>SUMIFS(BS_RE33!$H$7:$H$874,BS_RE33!$S$7:$S$874,$U$2,BS_RE33!$N$7:$N$874,I36,BS_RE33!$P$7:$P$874,'30 days CF Table(NZD)'!G36,BS_RE33!$F$7:$F$874,'30 days CF Table(NZD)'!$C$2)</f>
        <v>0</v>
      </c>
      <c r="V36" s="337">
        <f>SUMIFS(BS_RE33!$H$7:$H$874,BS_RE33!$S$7:$S$874,$V$2,BS_RE33!$N$7:$N$874,I36,BS_RE33!$P$7:$P$874,'30 days CF Table(NZD)'!G36,BS_RE33!$F$7:$F$874,'30 days CF Table(NZD)'!$C$2)</f>
        <v>0</v>
      </c>
      <c r="W36" s="337">
        <f>SUMIFS(BS_RE33!$H$7:$H$874,BS_RE33!$S$7:$S$874,$W$2,BS_RE33!$N$7:$N$874,I36,BS_RE33!$P$7:$P$874,'30 days CF Table(NZD)'!G36,BS_RE33!$F$7:$F$874,'30 days CF Table(NZD)'!$C$2)</f>
        <v>0</v>
      </c>
      <c r="X36" s="337">
        <f>SUMIFS(BS_RE33!$H$7:$H$874,BS_RE33!$S$7:$S$874,$X$2,BS_RE33!$N$7:$N$874,I36,BS_RE33!$P$7:$P$874,'30 days CF Table(NZD)'!G36,BS_RE33!$F$7:$F$874,'30 days CF Table(NZD)'!$C$2)</f>
        <v>0</v>
      </c>
      <c r="Y36" s="337">
        <f>SUMIFS(BS_RE33!$H$7:$H$874,BS_RE33!$S$7:$S$874,$Y$2,BS_RE33!$N$7:$N$874,I36,BS_RE33!$P$7:$P$874,'30 days CF Table(NZD)'!G36,BS_RE33!$F$7:$F$874,'30 days CF Table(NZD)'!$C$2)</f>
        <v>0</v>
      </c>
      <c r="Z36" s="337">
        <f>SUMIFS(BS_RE33!$H$7:$H$874,BS_RE33!$S$7:$S$874,$Z$2,BS_RE33!$N$7:$N$874,I36,BS_RE33!$P$7:$P$874,'30 days CF Table(NZD)'!G36,BS_RE33!$F$7:$F$874,'30 days CF Table(NZD)'!$C$2)</f>
        <v>0</v>
      </c>
      <c r="AA36" s="337">
        <f>SUMIFS(BS_RE33!$H$7:$H$874,BS_RE33!$S$7:$S$874,$AA$2,BS_RE33!$N$7:$N$874,I36,BS_RE33!$P$7:$P$874,'30 days CF Table(NZD)'!G36,BS_RE33!$F$7:$F$874,'30 days CF Table(NZD)'!$C$2)</f>
        <v>0</v>
      </c>
      <c r="AB36" s="337">
        <f>SUMIFS(BS_RE33!$H$7:$H$874,BS_RE33!$S$7:$S$874,$AB$2,BS_RE33!$N$7:$N$874,I36,BS_RE33!$P$7:$P$874,'30 days CF Table(NZD)'!G36,BS_RE33!$F$7:$F$874,'30 days CF Table(NZD)'!$C$2)</f>
        <v>0</v>
      </c>
      <c r="AC36" s="337">
        <f>SUMIFS(BS_RE33!$H$7:$H$874,BS_RE33!$S$7:$S$874,$AC$2,BS_RE33!$N$7:$N$874,I36,BS_RE33!$P$7:$P$874,'30 days CF Table(NZD)'!G36,BS_RE33!$F$7:$F$874,'30 days CF Table(NZD)'!$C$2)</f>
        <v>0</v>
      </c>
      <c r="AD36" s="337">
        <f>SUMIFS(BS_RE33!$H$7:$H$874,BS_RE33!$S$7:$S$874,$AD$2,BS_RE33!$N$7:$N$874,I36,BS_RE33!$P$7:$P$874,'30 days CF Table(NZD)'!G36,BS_RE33!$F$7:$F$874,'30 days CF Table(NZD)'!$C$2)</f>
        <v>0</v>
      </c>
      <c r="AE36" s="337">
        <f>SUMIFS(BS_RE33!$H$7:$H$874,BS_RE33!$S$7:$S$874,$AE$2,BS_RE33!$N$7:$N$874,I36,BS_RE33!$P$7:$P$874,'30 days CF Table(NZD)'!G36,BS_RE33!$F$7:$F$874,'30 days CF Table(NZD)'!$C$2)</f>
        <v>0</v>
      </c>
      <c r="AF36" s="337">
        <f>SUMIFS(BS_RE33!$H$7:$H$874,BS_RE33!$S$7:$S$874,$AF$2,BS_RE33!$N$7:$N$874,I36,BS_RE33!$P$7:$P$874,'30 days CF Table(NZD)'!G36,BS_RE33!$F$7:$F$874,'30 days CF Table(NZD)'!$C$2)</f>
        <v>0</v>
      </c>
      <c r="AG36" s="337">
        <f>SUMIFS(BS_RE33!$H$7:$H$874,BS_RE33!$S$7:$S$874,$AG$2,BS_RE33!$N$7:$N$874,I36,BS_RE33!$P$7:$P$874,'30 days CF Table(NZD)'!G36,BS_RE33!$F$7:$F$874,'30 days CF Table(NZD)'!$C$2)</f>
        <v>0</v>
      </c>
      <c r="AH36" s="337">
        <f>SUMIFS(BS_RE33!$H$7:$H$874,BS_RE33!$S$7:$S$874,$AH$2,BS_RE33!$N$7:$N$874,I36,BS_RE33!$P$7:$P$874,'30 days CF Table(NZD)'!G36,BS_RE33!$F$7:$F$874,'30 days CF Table(NZD)'!$C$2)</f>
        <v>0</v>
      </c>
      <c r="AI36" s="337">
        <f>SUMIFS(BS_RE33!$H$7:$H$874,BS_RE33!$S$7:$S$874,$AI$2,BS_RE33!$N$7:$N$874,I36,BS_RE33!$P$7:$P$874,'30 days CF Table(NZD)'!G36,BS_RE33!$F$7:$F$874,'30 days CF Table(NZD)'!$C$2)</f>
        <v>0</v>
      </c>
      <c r="AJ36" s="337">
        <f>SUMIFS(BS_RE33!$H$7:$H$874,BS_RE33!$S$7:$S$874,$AJ$2,BS_RE33!$N$7:$N$874,I36,BS_RE33!$P$7:$P$874,'30 days CF Table(NZD)'!G36,BS_RE33!$F$7:$F$874,'30 days CF Table(NZD)'!$C$2)</f>
        <v>0</v>
      </c>
      <c r="AK36" s="337">
        <f>SUMIFS(BS_RE33!$H$7:$H$874,BS_RE33!$S$7:$S$874,$AK$2,BS_RE33!$N$7:$N$874,I36,BS_RE33!$P$7:$P$874,'30 days CF Table(NZD)'!G36,BS_RE33!$F$7:$F$874,'30 days CF Table(NZD)'!$C$2)</f>
        <v>0</v>
      </c>
      <c r="AL36" s="337">
        <f>SUMIFS(BS_RE33!$H$7:$H$874,BS_RE33!$S$7:$S$874,$AL$2,BS_RE33!$N$7:$N$874,I36,BS_RE33!$P$7:$P$874,'30 days CF Table(NZD)'!G36,BS_RE33!$F$7:$F$874,'30 days CF Table(NZD)'!$C$2)</f>
        <v>0</v>
      </c>
      <c r="AM36" s="337">
        <f>SUMIFS(BS_RE33!$H$7:$H$874,BS_RE33!$S$7:$S$874,$AM$2,BS_RE33!$N$7:$N$874,I36,BS_RE33!$P$7:$P$874,'30 days CF Table(NZD)'!G36,BS_RE33!$F$7:$F$874,'30 days CF Table(NZD)'!$C$2)</f>
        <v>0</v>
      </c>
      <c r="AN36" s="337">
        <f>SUMIFS(BS_RE33!$H$7:$H$874,BS_RE33!$S$7:$S$874,$AN$2,BS_RE33!$N$7:$N$874,I36,BS_RE33!$P$7:$P$874,'30 days CF Table(NZD)'!G36,BS_RE33!$F$7:$F$874,'30 days CF Table(NZD)'!$C$2)</f>
        <v>0</v>
      </c>
      <c r="AO36" s="337">
        <f>SUMIFS(BS_RE33!$H$7:$H$874,BS_RE33!$S$7:$S$874,$AO$2,BS_RE33!$N$7:$N$874,I36,BS_RE33!$P$7:$P$874,'30 days CF Table(NZD)'!G36,BS_RE33!$F$7:$F$874,'30 days CF Table(NZD)'!$C$2)</f>
        <v>0</v>
      </c>
      <c r="AP36" s="338">
        <f>SUMIFS(BS_RE33!$H$7:$H$874,BS_RE33!$S$7:$S$874,$AP$2,BS_RE33!$N$7:$N$874,I36,BS_RE33!$P$7:$P$874,'30 days CF Table(NZD)'!G36,BS_RE33!$F$7:$F$874,'30 days CF Table(NZD)'!$C$2)</f>
        <v>0</v>
      </c>
      <c r="AR36" s="379">
        <f>SUMIFS(BS_RE33!$H$7:$H$874,BS_RE33!$S$7:$S$874,$AR$2,BS_RE33!$N$7:$N$874,I36,BS_RE33!$P$7:$P$874,'30 days CF Table(NZD)'!G36,BS_RE33!$F$7:$F$874,'30 days CF Table(NZD)'!$C$2)</f>
        <v>0</v>
      </c>
      <c r="AS36" s="379">
        <f>SUMIFS(BS_RE33!$H$7:$H$874,BS_RE33!$S$7:$S$874,$AS$2,BS_RE33!$N$7:$N$874,I36,BS_RE33!$P$7:$P$874,'30 days CF Table(NZD)'!G36,BS_RE33!$F$7:$F$874,'30 days CF Table(NZD)'!$C$2)</f>
        <v>0</v>
      </c>
      <c r="AT36" s="379">
        <f>SUMIFS(BS_RE33!$H$7:$H$874,BS_RE33!$S$7:$S$874,$AT$2,BS_RE33!$N$7:$N$874,I36,BS_RE33!$P$7:$P$874,'30 days CF Table(NZD)'!G36,BS_RE33!$F$7:$F$874,'30 days CF Table(NZD)'!$C$2)</f>
        <v>0</v>
      </c>
      <c r="AU36" s="379">
        <f>SUMIFS(BS_RE33!$H$7:$H$874,BS_RE33!$S$7:$S$874,$AU$2,BS_RE33!$N$7:$N$874,I36,BS_RE33!$P$7:$P$874,'30 days CF Table(NZD)'!G36,BS_RE33!$F$7:$F$874,'30 days CF Table(NZD)'!$C$2)</f>
        <v>0</v>
      </c>
      <c r="AV36" s="379">
        <f>SUMIFS(BS_RE33!$H$7:$H$874,BS_RE33!$S$7:$S$874,$AV$2,BS_RE33!$N$7:$N$874,I36,BS_RE33!$P$7:$P$874,'30 days CF Table(NZD)'!G36,BS_RE33!$F$7:$F$874,'30 days CF Table(NZD)'!$C$2)</f>
        <v>0</v>
      </c>
      <c r="AW36" s="379">
        <f>SUMIFS(BS_RE33!$H$7:$H$874,BS_RE33!$S$7:$S$874,$AW$2,BS_RE33!$N$7:$N$874,I36,BS_RE33!$P$7:$P$874,'30 days CF Table(NZD)'!G36,BS_RE33!$F$7:$F$874,'30 days CF Table(NZD)'!$C$2)</f>
        <v>0</v>
      </c>
      <c r="AX36" s="379">
        <f>SUMIFS(BS_RE33!$H$7:$H$874,BS_RE33!$S$7:$S$874,$AX$2,BS_RE33!$N$7:$N$874,I36,BS_RE33!$P$7:$P$874,'30 days CF Table(NZD)'!G36,BS_RE33!$F$7:$F$874,'30 days CF Table(NZD)'!$C$2)</f>
        <v>0</v>
      </c>
      <c r="AY36" s="379">
        <f>SUMIFS(BS_RE33!$H$7:$H$874,BS_RE33!$S$7:$S$874,$AY$2,BS_RE33!$N$7:$N$874,I36,BS_RE33!$P$7:$P$874,'30 days CF Table(NZD)'!G36,BS_RE33!$F$7:$F$874,'30 days CF Table(NZD)'!$C$2)</f>
        <v>0</v>
      </c>
      <c r="AZ36" s="379">
        <f>SUMIFS(BS_RE33!$H$7:$H$874,BS_RE33!$S$7:$S$874,$AZ$2,BS_RE33!$N$7:$N$874,I36,BS_RE33!$P$7:$P$874,'30 days CF Table(NZD)'!G36,BS_RE33!$F$7:$F$874,'30 days CF Table(NZD)'!$C$2)</f>
        <v>0</v>
      </c>
      <c r="BA36" s="379">
        <f>SUMIFS(BS_RE33!$H$7:$H$874,BS_RE33!$S$7:$S$874,$BA$2,BS_RE33!$N$7:$N$874,I36,BS_RE33!$P$7:$P$874,'30 days CF Table(NZD)'!G36,BS_RE33!$F$7:$F$874,'30 days CF Table(NZD)'!$C$2)</f>
        <v>0</v>
      </c>
      <c r="BB36" s="379">
        <f>SUMIFS(BS_RE33!$H$7:$H$874,BS_RE33!$S$7:$S$874,$BB$2,BS_RE33!$N$7:$N$874,I36,BS_RE33!$P$7:$P$874,'30 days CF Table(NZD)'!G36,BS_RE33!$F$7:$F$874,'30 days CF Table(NZD)'!$C$2)</f>
        <v>0</v>
      </c>
      <c r="BC36" s="379">
        <f>SUMIFS(BS_RE33!$H$7:$H$874,BS_RE33!$S$7:$S$874,$BC$2,BS_RE33!$N$7:$N$874,I36,BS_RE33!$P$7:$P$874,'30 days CF Table(NZD)'!G36,BS_RE33!$F$7:$F$874,'30 days CF Table(NZD)'!$C$2)</f>
        <v>0</v>
      </c>
      <c r="BD36" s="379">
        <f>SUMIFS(BS_RE33!$H$7:$H$874,BS_RE33!$S$7:$S$874,$BD$2,BS_RE33!$N$7:$N$874,I36,BS_RE33!$P$7:$P$874,'30 days CF Table(NZD)'!G36,BS_RE33!$F$7:$F$874,'30 days CF Table(NZD)'!$C$2)</f>
        <v>0</v>
      </c>
      <c r="BE36" s="379">
        <f>SUMIFS(BS_RE33!$H$7:$H$874,BS_RE33!$S$7:$S$874,$BE$2,BS_RE33!$N$7:$N$874,I36,BS_RE33!$P$7:$P$874,'30 days CF Table(NZD)'!G36,BS_RE33!$F$7:$F$874,'30 days CF Table(NZD)'!$C$2)</f>
        <v>0</v>
      </c>
      <c r="BF36" s="379">
        <f>SUMIFS(BS_RE33!$H$7:$H$874,BS_RE33!$S$7:$S$874,$BF$2,BS_RE33!$N$7:$N$874,I36,BS_RE33!$P$7:$P$874,'30 days CF Table(NZD)'!G36,BS_RE33!$F$7:$F$874,'30 days CF Table(NZD)'!$C$2)</f>
        <v>0</v>
      </c>
      <c r="BG36" s="379">
        <f>SUMIFS(BS_RE33!$H$7:$H$874,BS_RE33!$S$7:$S$874,$BG$2,BS_RE33!$N$7:$N$874,I36,BS_RE33!$P$7:$P$874,'30 days CF Table(NZD)'!G36,BS_RE33!$F$7:$F$874,'30 days CF Table(NZD)'!$C$2)</f>
        <v>0</v>
      </c>
      <c r="BH36" s="379">
        <f>SUMIFS(BS_RE33!$H$7:$H$874,BS_RE33!$S$7:$S$874,$BH$2,BS_RE33!$N$7:$N$874,I36,BS_RE33!$P$7:$P$874,'30 days CF Table(NZD)'!G36,BS_RE33!$F$7:$F$874,'30 days CF Table(NZD)'!$C$2)</f>
        <v>0</v>
      </c>
      <c r="BI36" s="379">
        <f>SUMIFS(BS_RE33!$H$7:$H$874,BS_RE33!$S$7:$S$874,$BI$2,BS_RE33!$N$7:$N$874,I36,BS_RE33!$P$7:$P$874,'30 days CF Table(NZD)'!G36,BS_RE33!$F$7:$F$874,'30 days CF Table(NZD)'!$C$2)</f>
        <v>0</v>
      </c>
      <c r="BJ36" s="379">
        <f>SUMIFS(BS_RE33!$H$7:$H$874,BS_RE33!$S$7:$S$874,$BJ$2,BS_RE33!$N$7:$N$874,I36,BS_RE33!$P$7:$P$874,'30 days CF Table(NZD)'!G36,BS_RE33!$F$7:$F$874,'30 days CF Table(NZD)'!$C$2)</f>
        <v>0</v>
      </c>
      <c r="BK36" s="379">
        <f>SUMIFS(BS_RE33!$H$7:$H$874,BS_RE33!$S$7:$S$874,$BK$2,BS_RE33!$N$7:$N$874,I36,BS_RE33!$P$7:$P$874,'30 days CF Table(NZD)'!G36,BS_RE33!$F$7:$F$874,'30 days CF Table(NZD)'!$C$2)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Table(NZD)'!G37,BS_RE33!$F$7:$F$874,'30 days CF Table(NZD)'!$C$2)</f>
        <v>0</v>
      </c>
      <c r="M37" s="337">
        <f>SUMIFS(BS_RE33!$H$7:$H$874,BS_RE33!$S$7:$S$874,$M$2,BS_RE33!$N$7:$N$874,I37,BS_RE33!$P$7:$P$874,'30 days CF Table(NZD)'!G37,BS_RE33!$F$7:$F$874,'30 days CF Table(NZD)'!$C$2)</f>
        <v>0</v>
      </c>
      <c r="N37" s="337">
        <f>SUMIFS(BS_RE33!$H$7:$H$874,BS_RE33!$S$7:$S$874,$N$2,BS_RE33!$N$7:$N$874,I37,BS_RE33!$P$7:$P$874,'30 days CF Table(NZD)'!G37,BS_RE33!$F$7:$F$874,'30 days CF Table(NZD)'!$C$2)</f>
        <v>0</v>
      </c>
      <c r="O37" s="337">
        <f>SUMIFS(BS_RE33!$H$7:$H$874,BS_RE33!$S$7:$S$874,$O$2,BS_RE33!$N$7:$N$874,I37,BS_RE33!$P$7:$P$874,'30 days CF Table(NZD)'!G37,BS_RE33!$F$7:$F$874,'30 days CF Table(NZD)'!$C$2)</f>
        <v>0</v>
      </c>
      <c r="P37" s="337">
        <f>SUMIFS(BS_RE33!$H$7:$H$874,BS_RE33!$S$7:$S$874,$P$2,BS_RE33!$N$7:$N$874,I37,BS_RE33!$P$7:$P$874,'30 days CF Table(NZD)'!G37,BS_RE33!$F$7:$F$874,'30 days CF Table(NZD)'!$C$2)</f>
        <v>0</v>
      </c>
      <c r="Q37" s="337">
        <f>SUMIFS(BS_RE33!$H$7:$H$874,BS_RE33!$S$7:$S$874,$Q$2,BS_RE33!$N$7:$N$874,I37,BS_RE33!$P$7:$P$874,'30 days CF Table(NZD)'!G37,BS_RE33!$F$7:$F$874,'30 days CF Table(NZD)'!$C$2)</f>
        <v>0</v>
      </c>
      <c r="R37" s="337">
        <f>SUMIFS(BS_RE33!$H$7:$H$874,BS_RE33!$S$7:$S$874,$R$2,BS_RE33!$N$7:$N$874,I37,BS_RE33!$P$7:$P$874,'30 days CF Table(NZD)'!G37,BS_RE33!$F$7:$F$874,'30 days CF Table(NZD)'!$C$2)</f>
        <v>0</v>
      </c>
      <c r="S37" s="337">
        <f>SUMIFS(BS_RE33!$H$7:$H$874,BS_RE33!$S$7:$S$874,$S$2,BS_RE33!$N$7:$N$874,I37,BS_RE33!$P$7:$P$874,'30 days CF Table(NZD)'!G37,BS_RE33!$F$7:$F$874,'30 days CF Table(NZD)'!$C$2)</f>
        <v>0</v>
      </c>
      <c r="T37" s="337">
        <f>SUMIFS(BS_RE33!$H$7:$H$874,BS_RE33!$S$7:$S$874,$T$2,BS_RE33!$N$7:$N$874,I37,BS_RE33!$P$7:$P$874,'30 days CF Table(NZD)'!G37,BS_RE33!$F$7:$F$874,'30 days CF Table(NZD)'!$C$2)</f>
        <v>0</v>
      </c>
      <c r="U37" s="337">
        <f>SUMIFS(BS_RE33!$H$7:$H$874,BS_RE33!$S$7:$S$874,$U$2,BS_RE33!$N$7:$N$874,I37,BS_RE33!$P$7:$P$874,'30 days CF Table(NZD)'!G37,BS_RE33!$F$7:$F$874,'30 days CF Table(NZD)'!$C$2)</f>
        <v>0</v>
      </c>
      <c r="V37" s="337">
        <f>SUMIFS(BS_RE33!$H$7:$H$874,BS_RE33!$S$7:$S$874,$V$2,BS_RE33!$N$7:$N$874,I37,BS_RE33!$P$7:$P$874,'30 days CF Table(NZD)'!G37,BS_RE33!$F$7:$F$874,'30 days CF Table(NZD)'!$C$2)</f>
        <v>0</v>
      </c>
      <c r="W37" s="337">
        <f>SUMIFS(BS_RE33!$H$7:$H$874,BS_RE33!$S$7:$S$874,$W$2,BS_RE33!$N$7:$N$874,I37,BS_RE33!$P$7:$P$874,'30 days CF Table(NZD)'!G37,BS_RE33!$F$7:$F$874,'30 days CF Table(NZD)'!$C$2)</f>
        <v>0</v>
      </c>
      <c r="X37" s="337">
        <f>SUMIFS(BS_RE33!$H$7:$H$874,BS_RE33!$S$7:$S$874,$X$2,BS_RE33!$N$7:$N$874,I37,BS_RE33!$P$7:$P$874,'30 days CF Table(NZD)'!G37,BS_RE33!$F$7:$F$874,'30 days CF Table(NZD)'!$C$2)</f>
        <v>0</v>
      </c>
      <c r="Y37" s="337">
        <f>SUMIFS(BS_RE33!$H$7:$H$874,BS_RE33!$S$7:$S$874,$Y$2,BS_RE33!$N$7:$N$874,I37,BS_RE33!$P$7:$P$874,'30 days CF Table(NZD)'!G37,BS_RE33!$F$7:$F$874,'30 days CF Table(NZD)'!$C$2)</f>
        <v>0</v>
      </c>
      <c r="Z37" s="337">
        <f>SUMIFS(BS_RE33!$H$7:$H$874,BS_RE33!$S$7:$S$874,$Z$2,BS_RE33!$N$7:$N$874,I37,BS_RE33!$P$7:$P$874,'30 days CF Table(NZD)'!G37,BS_RE33!$F$7:$F$874,'30 days CF Table(NZD)'!$C$2)</f>
        <v>0</v>
      </c>
      <c r="AA37" s="337">
        <f>SUMIFS(BS_RE33!$H$7:$H$874,BS_RE33!$S$7:$S$874,$AA$2,BS_RE33!$N$7:$N$874,I37,BS_RE33!$P$7:$P$874,'30 days CF Table(NZD)'!G37,BS_RE33!$F$7:$F$874,'30 days CF Table(NZD)'!$C$2)</f>
        <v>0</v>
      </c>
      <c r="AB37" s="337">
        <f>SUMIFS(BS_RE33!$H$7:$H$874,BS_RE33!$S$7:$S$874,$AB$2,BS_RE33!$N$7:$N$874,I37,BS_RE33!$P$7:$P$874,'30 days CF Table(NZD)'!G37,BS_RE33!$F$7:$F$874,'30 days CF Table(NZD)'!$C$2)</f>
        <v>0</v>
      </c>
      <c r="AC37" s="337">
        <f>SUMIFS(BS_RE33!$H$7:$H$874,BS_RE33!$S$7:$S$874,$AC$2,BS_RE33!$N$7:$N$874,I37,BS_RE33!$P$7:$P$874,'30 days CF Table(NZD)'!G37,BS_RE33!$F$7:$F$874,'30 days CF Table(NZD)'!$C$2)</f>
        <v>0</v>
      </c>
      <c r="AD37" s="337">
        <f>SUMIFS(BS_RE33!$H$7:$H$874,BS_RE33!$S$7:$S$874,$AD$2,BS_RE33!$N$7:$N$874,I37,BS_RE33!$P$7:$P$874,'30 days CF Table(NZD)'!G37,BS_RE33!$F$7:$F$874,'30 days CF Table(NZD)'!$C$2)</f>
        <v>0</v>
      </c>
      <c r="AE37" s="337">
        <f>SUMIFS(BS_RE33!$H$7:$H$874,BS_RE33!$S$7:$S$874,$AE$2,BS_RE33!$N$7:$N$874,I37,BS_RE33!$P$7:$P$874,'30 days CF Table(NZD)'!G37,BS_RE33!$F$7:$F$874,'30 days CF Table(NZD)'!$C$2)</f>
        <v>0</v>
      </c>
      <c r="AF37" s="337">
        <f>SUMIFS(BS_RE33!$H$7:$H$874,BS_RE33!$S$7:$S$874,$AF$2,BS_RE33!$N$7:$N$874,I37,BS_RE33!$P$7:$P$874,'30 days CF Table(NZD)'!G37,BS_RE33!$F$7:$F$874,'30 days CF Table(NZD)'!$C$2)</f>
        <v>0</v>
      </c>
      <c r="AG37" s="337">
        <f>SUMIFS(BS_RE33!$H$7:$H$874,BS_RE33!$S$7:$S$874,$AG$2,BS_RE33!$N$7:$N$874,I37,BS_RE33!$P$7:$P$874,'30 days CF Table(NZD)'!G37,BS_RE33!$F$7:$F$874,'30 days CF Table(NZD)'!$C$2)</f>
        <v>0</v>
      </c>
      <c r="AH37" s="337">
        <f>SUMIFS(BS_RE33!$H$7:$H$874,BS_RE33!$S$7:$S$874,$AH$2,BS_RE33!$N$7:$N$874,I37,BS_RE33!$P$7:$P$874,'30 days CF Table(NZD)'!G37,BS_RE33!$F$7:$F$874,'30 days CF Table(NZD)'!$C$2)</f>
        <v>0</v>
      </c>
      <c r="AI37" s="337">
        <f>SUMIFS(BS_RE33!$H$7:$H$874,BS_RE33!$S$7:$S$874,$AI$2,BS_RE33!$N$7:$N$874,I37,BS_RE33!$P$7:$P$874,'30 days CF Table(NZD)'!G37,BS_RE33!$F$7:$F$874,'30 days CF Table(NZD)'!$C$2)</f>
        <v>0</v>
      </c>
      <c r="AJ37" s="337">
        <f>SUMIFS(BS_RE33!$H$7:$H$874,BS_RE33!$S$7:$S$874,$AJ$2,BS_RE33!$N$7:$N$874,I37,BS_RE33!$P$7:$P$874,'30 days CF Table(NZD)'!G37,BS_RE33!$F$7:$F$874,'30 days CF Table(NZD)'!$C$2)</f>
        <v>0</v>
      </c>
      <c r="AK37" s="337">
        <f>SUMIFS(BS_RE33!$H$7:$H$874,BS_RE33!$S$7:$S$874,$AK$2,BS_RE33!$N$7:$N$874,I37,BS_RE33!$P$7:$P$874,'30 days CF Table(NZD)'!G37,BS_RE33!$F$7:$F$874,'30 days CF Table(NZD)'!$C$2)</f>
        <v>0</v>
      </c>
      <c r="AL37" s="337">
        <f>SUMIFS(BS_RE33!$H$7:$H$874,BS_RE33!$S$7:$S$874,$AL$2,BS_RE33!$N$7:$N$874,I37,BS_RE33!$P$7:$P$874,'30 days CF Table(NZD)'!G37,BS_RE33!$F$7:$F$874,'30 days CF Table(NZD)'!$C$2)</f>
        <v>0</v>
      </c>
      <c r="AM37" s="337">
        <f>SUMIFS(BS_RE33!$H$7:$H$874,BS_RE33!$S$7:$S$874,$AM$2,BS_RE33!$N$7:$N$874,I37,BS_RE33!$P$7:$P$874,'30 days CF Table(NZD)'!G37,BS_RE33!$F$7:$F$874,'30 days CF Table(NZD)'!$C$2)</f>
        <v>0</v>
      </c>
      <c r="AN37" s="337">
        <f>SUMIFS(BS_RE33!$H$7:$H$874,BS_RE33!$S$7:$S$874,$AN$2,BS_RE33!$N$7:$N$874,I37,BS_RE33!$P$7:$P$874,'30 days CF Table(NZD)'!G37,BS_RE33!$F$7:$F$874,'30 days CF Table(NZD)'!$C$2)</f>
        <v>0</v>
      </c>
      <c r="AO37" s="337">
        <f>SUMIFS(BS_RE33!$H$7:$H$874,BS_RE33!$S$7:$S$874,$AO$2,BS_RE33!$N$7:$N$874,I37,BS_RE33!$P$7:$P$874,'30 days CF Table(NZD)'!G37,BS_RE33!$F$7:$F$874,'30 days CF Table(NZD)'!$C$2)</f>
        <v>0</v>
      </c>
      <c r="AP37" s="338">
        <f>SUMIFS(BS_RE33!$H$7:$H$874,BS_RE33!$S$7:$S$874,$AP$2,BS_RE33!$N$7:$N$874,I37,BS_RE33!$P$7:$P$874,'30 days CF Table(NZD)'!G37,BS_RE33!$F$7:$F$874,'30 days CF Table(NZD)'!$C$2)</f>
        <v>0</v>
      </c>
      <c r="AR37" s="379">
        <f>SUMIFS(BS_RE33!$H$7:$H$874,BS_RE33!$S$7:$S$874,$AR$2,BS_RE33!$N$7:$N$874,I37,BS_RE33!$P$7:$P$874,'30 days CF Table(NZD)'!G37,BS_RE33!$F$7:$F$874,'30 days CF Table(NZD)'!$C$2)</f>
        <v>0</v>
      </c>
      <c r="AS37" s="379">
        <f>SUMIFS(BS_RE33!$H$7:$H$874,BS_RE33!$S$7:$S$874,$AS$2,BS_RE33!$N$7:$N$874,I37,BS_RE33!$P$7:$P$874,'30 days CF Table(NZD)'!G37,BS_RE33!$F$7:$F$874,'30 days CF Table(NZD)'!$C$2)</f>
        <v>0</v>
      </c>
      <c r="AT37" s="379">
        <f>SUMIFS(BS_RE33!$H$7:$H$874,BS_RE33!$S$7:$S$874,$AT$2,BS_RE33!$N$7:$N$874,I37,BS_RE33!$P$7:$P$874,'30 days CF Table(NZD)'!G37,BS_RE33!$F$7:$F$874,'30 days CF Table(NZD)'!$C$2)</f>
        <v>0</v>
      </c>
      <c r="AU37" s="379">
        <f>SUMIFS(BS_RE33!$H$7:$H$874,BS_RE33!$S$7:$S$874,$AU$2,BS_RE33!$N$7:$N$874,I37,BS_RE33!$P$7:$P$874,'30 days CF Table(NZD)'!G37,BS_RE33!$F$7:$F$874,'30 days CF Table(NZD)'!$C$2)</f>
        <v>0</v>
      </c>
      <c r="AV37" s="379">
        <f>SUMIFS(BS_RE33!$H$7:$H$874,BS_RE33!$S$7:$S$874,$AV$2,BS_RE33!$N$7:$N$874,I37,BS_RE33!$P$7:$P$874,'30 days CF Table(NZD)'!G37,BS_RE33!$F$7:$F$874,'30 days CF Table(NZD)'!$C$2)</f>
        <v>0</v>
      </c>
      <c r="AW37" s="379">
        <f>SUMIFS(BS_RE33!$H$7:$H$874,BS_RE33!$S$7:$S$874,$AW$2,BS_RE33!$N$7:$N$874,I37,BS_RE33!$P$7:$P$874,'30 days CF Table(NZD)'!G37,BS_RE33!$F$7:$F$874,'30 days CF Table(NZD)'!$C$2)</f>
        <v>0</v>
      </c>
      <c r="AX37" s="379">
        <f>SUMIFS(BS_RE33!$H$7:$H$874,BS_RE33!$S$7:$S$874,$AX$2,BS_RE33!$N$7:$N$874,I37,BS_RE33!$P$7:$P$874,'30 days CF Table(NZD)'!G37,BS_RE33!$F$7:$F$874,'30 days CF Table(NZD)'!$C$2)</f>
        <v>0</v>
      </c>
      <c r="AY37" s="379">
        <f>SUMIFS(BS_RE33!$H$7:$H$874,BS_RE33!$S$7:$S$874,$AY$2,BS_RE33!$N$7:$N$874,I37,BS_RE33!$P$7:$P$874,'30 days CF Table(NZD)'!G37,BS_RE33!$F$7:$F$874,'30 days CF Table(NZD)'!$C$2)</f>
        <v>0</v>
      </c>
      <c r="AZ37" s="379">
        <f>SUMIFS(BS_RE33!$H$7:$H$874,BS_RE33!$S$7:$S$874,$AZ$2,BS_RE33!$N$7:$N$874,I37,BS_RE33!$P$7:$P$874,'30 days CF Table(NZD)'!G37,BS_RE33!$F$7:$F$874,'30 days CF Table(NZD)'!$C$2)</f>
        <v>0</v>
      </c>
      <c r="BA37" s="379">
        <f>SUMIFS(BS_RE33!$H$7:$H$874,BS_RE33!$S$7:$S$874,$BA$2,BS_RE33!$N$7:$N$874,I37,BS_RE33!$P$7:$P$874,'30 days CF Table(NZD)'!G37,BS_RE33!$F$7:$F$874,'30 days CF Table(NZD)'!$C$2)</f>
        <v>0</v>
      </c>
      <c r="BB37" s="379">
        <f>SUMIFS(BS_RE33!$H$7:$H$874,BS_RE33!$S$7:$S$874,$BB$2,BS_RE33!$N$7:$N$874,I37,BS_RE33!$P$7:$P$874,'30 days CF Table(NZD)'!G37,BS_RE33!$F$7:$F$874,'30 days CF Table(NZD)'!$C$2)</f>
        <v>0</v>
      </c>
      <c r="BC37" s="379">
        <f>SUMIFS(BS_RE33!$H$7:$H$874,BS_RE33!$S$7:$S$874,$BC$2,BS_RE33!$N$7:$N$874,I37,BS_RE33!$P$7:$P$874,'30 days CF Table(NZD)'!G37,BS_RE33!$F$7:$F$874,'30 days CF Table(NZD)'!$C$2)</f>
        <v>0</v>
      </c>
      <c r="BD37" s="379">
        <f>SUMIFS(BS_RE33!$H$7:$H$874,BS_RE33!$S$7:$S$874,$BD$2,BS_RE33!$N$7:$N$874,I37,BS_RE33!$P$7:$P$874,'30 days CF Table(NZD)'!G37,BS_RE33!$F$7:$F$874,'30 days CF Table(NZD)'!$C$2)</f>
        <v>0</v>
      </c>
      <c r="BE37" s="379">
        <f>SUMIFS(BS_RE33!$H$7:$H$874,BS_RE33!$S$7:$S$874,$BE$2,BS_RE33!$N$7:$N$874,I37,BS_RE33!$P$7:$P$874,'30 days CF Table(NZD)'!G37,BS_RE33!$F$7:$F$874,'30 days CF Table(NZD)'!$C$2)</f>
        <v>0</v>
      </c>
      <c r="BF37" s="379">
        <f>SUMIFS(BS_RE33!$H$7:$H$874,BS_RE33!$S$7:$S$874,$BF$2,BS_RE33!$N$7:$N$874,I37,BS_RE33!$P$7:$P$874,'30 days CF Table(NZD)'!G37,BS_RE33!$F$7:$F$874,'30 days CF Table(NZD)'!$C$2)</f>
        <v>0</v>
      </c>
      <c r="BG37" s="379">
        <f>SUMIFS(BS_RE33!$H$7:$H$874,BS_RE33!$S$7:$S$874,$BG$2,BS_RE33!$N$7:$N$874,I37,BS_RE33!$P$7:$P$874,'30 days CF Table(NZD)'!G37,BS_RE33!$F$7:$F$874,'30 days CF Table(NZD)'!$C$2)</f>
        <v>0</v>
      </c>
      <c r="BH37" s="379">
        <f>SUMIFS(BS_RE33!$H$7:$H$874,BS_RE33!$S$7:$S$874,$BH$2,BS_RE33!$N$7:$N$874,I37,BS_RE33!$P$7:$P$874,'30 days CF Table(NZD)'!G37,BS_RE33!$F$7:$F$874,'30 days CF Table(NZD)'!$C$2)</f>
        <v>0</v>
      </c>
      <c r="BI37" s="379">
        <f>SUMIFS(BS_RE33!$H$7:$H$874,BS_RE33!$S$7:$S$874,$BI$2,BS_RE33!$N$7:$N$874,I37,BS_RE33!$P$7:$P$874,'30 days CF Table(NZD)'!G37,BS_RE33!$F$7:$F$874,'30 days CF Table(NZD)'!$C$2)</f>
        <v>0</v>
      </c>
      <c r="BJ37" s="379">
        <f>SUMIFS(BS_RE33!$H$7:$H$874,BS_RE33!$S$7:$S$874,$BJ$2,BS_RE33!$N$7:$N$874,I37,BS_RE33!$P$7:$P$874,'30 days CF Table(NZD)'!G37,BS_RE33!$F$7:$F$874,'30 days CF Table(NZD)'!$C$2)</f>
        <v>0</v>
      </c>
      <c r="BK37" s="379">
        <f>SUMIFS(BS_RE33!$H$7:$H$874,BS_RE33!$S$7:$S$874,$BK$2,BS_RE33!$N$7:$N$874,I37,BS_RE33!$P$7:$P$874,'30 days CF Table(NZD)'!G37,BS_RE33!$F$7:$F$874,'30 days CF Table(NZD)'!$C$2)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Table(NZD)'!G38,BS_RE33!$F$7:$F$874,'30 days CF Table(NZD)'!$C$2)</f>
        <v>0</v>
      </c>
      <c r="M38" s="337">
        <f>SUMIFS(BS_RE33!$H$7:$H$874,BS_RE33!$S$7:$S$874,$M$2,BS_RE33!$N$7:$N$874,I38,BS_RE33!$P$7:$P$874,'30 days CF Table(NZD)'!G38,BS_RE33!$F$7:$F$874,'30 days CF Table(NZD)'!$C$2)</f>
        <v>0</v>
      </c>
      <c r="N38" s="337">
        <f>SUMIFS(BS_RE33!$H$7:$H$874,BS_RE33!$S$7:$S$874,$N$2,BS_RE33!$N$7:$N$874,I38,BS_RE33!$P$7:$P$874,'30 days CF Table(NZD)'!G38,BS_RE33!$F$7:$F$874,'30 days CF Table(NZD)'!$C$2)</f>
        <v>0</v>
      </c>
      <c r="O38" s="337">
        <f>SUMIFS(BS_RE33!$H$7:$H$874,BS_RE33!$S$7:$S$874,$O$2,BS_RE33!$N$7:$N$874,I38,BS_RE33!$P$7:$P$874,'30 days CF Table(NZD)'!G38,BS_RE33!$F$7:$F$874,'30 days CF Table(NZD)'!$C$2)</f>
        <v>0</v>
      </c>
      <c r="P38" s="337">
        <f>SUMIFS(BS_RE33!$H$7:$H$874,BS_RE33!$S$7:$S$874,$P$2,BS_RE33!$N$7:$N$874,I38,BS_RE33!$P$7:$P$874,'30 days CF Table(NZD)'!G38,BS_RE33!$F$7:$F$874,'30 days CF Table(NZD)'!$C$2)</f>
        <v>0</v>
      </c>
      <c r="Q38" s="337">
        <f>SUMIFS(BS_RE33!$H$7:$H$874,BS_RE33!$S$7:$S$874,$Q$2,BS_RE33!$N$7:$N$874,I38,BS_RE33!$P$7:$P$874,'30 days CF Table(NZD)'!G38,BS_RE33!$F$7:$F$874,'30 days CF Table(NZD)'!$C$2)</f>
        <v>0</v>
      </c>
      <c r="R38" s="337">
        <f>SUMIFS(BS_RE33!$H$7:$H$874,BS_RE33!$S$7:$S$874,$R$2,BS_RE33!$N$7:$N$874,I38,BS_RE33!$P$7:$P$874,'30 days CF Table(NZD)'!G38,BS_RE33!$F$7:$F$874,'30 days CF Table(NZD)'!$C$2)</f>
        <v>0</v>
      </c>
      <c r="S38" s="337">
        <f>SUMIFS(BS_RE33!$H$7:$H$874,BS_RE33!$S$7:$S$874,$S$2,BS_RE33!$N$7:$N$874,I38,BS_RE33!$P$7:$P$874,'30 days CF Table(NZD)'!G38,BS_RE33!$F$7:$F$874,'30 days CF Table(NZD)'!$C$2)</f>
        <v>0</v>
      </c>
      <c r="T38" s="337">
        <f>SUMIFS(BS_RE33!$H$7:$H$874,BS_RE33!$S$7:$S$874,$T$2,BS_RE33!$N$7:$N$874,I38,BS_RE33!$P$7:$P$874,'30 days CF Table(NZD)'!G38,BS_RE33!$F$7:$F$874,'30 days CF Table(NZD)'!$C$2)</f>
        <v>0</v>
      </c>
      <c r="U38" s="337">
        <f>SUMIFS(BS_RE33!$H$7:$H$874,BS_RE33!$S$7:$S$874,$U$2,BS_RE33!$N$7:$N$874,I38,BS_RE33!$P$7:$P$874,'30 days CF Table(NZD)'!G38,BS_RE33!$F$7:$F$874,'30 days CF Table(NZD)'!$C$2)</f>
        <v>0</v>
      </c>
      <c r="V38" s="337">
        <f>SUMIFS(BS_RE33!$H$7:$H$874,BS_RE33!$S$7:$S$874,$V$2,BS_RE33!$N$7:$N$874,I38,BS_RE33!$P$7:$P$874,'30 days CF Table(NZD)'!G38,BS_RE33!$F$7:$F$874,'30 days CF Table(NZD)'!$C$2)</f>
        <v>0</v>
      </c>
      <c r="W38" s="337">
        <f>SUMIFS(BS_RE33!$H$7:$H$874,BS_RE33!$S$7:$S$874,$W$2,BS_RE33!$N$7:$N$874,I38,BS_RE33!$P$7:$P$874,'30 days CF Table(NZD)'!G38,BS_RE33!$F$7:$F$874,'30 days CF Table(NZD)'!$C$2)</f>
        <v>0</v>
      </c>
      <c r="X38" s="337">
        <f>SUMIFS(BS_RE33!$H$7:$H$874,BS_RE33!$S$7:$S$874,$X$2,BS_RE33!$N$7:$N$874,I38,BS_RE33!$P$7:$P$874,'30 days CF Table(NZD)'!G38,BS_RE33!$F$7:$F$874,'30 days CF Table(NZD)'!$C$2)</f>
        <v>0</v>
      </c>
      <c r="Y38" s="337">
        <f>SUMIFS(BS_RE33!$H$7:$H$874,BS_RE33!$S$7:$S$874,$Y$2,BS_RE33!$N$7:$N$874,I38,BS_RE33!$P$7:$P$874,'30 days CF Table(NZD)'!G38,BS_RE33!$F$7:$F$874,'30 days CF Table(NZD)'!$C$2)</f>
        <v>0</v>
      </c>
      <c r="Z38" s="337">
        <f>SUMIFS(BS_RE33!$H$7:$H$874,BS_RE33!$S$7:$S$874,$Z$2,BS_RE33!$N$7:$N$874,I38,BS_RE33!$P$7:$P$874,'30 days CF Table(NZD)'!G38,BS_RE33!$F$7:$F$874,'30 days CF Table(NZD)'!$C$2)</f>
        <v>0</v>
      </c>
      <c r="AA38" s="337">
        <f>SUMIFS(BS_RE33!$H$7:$H$874,BS_RE33!$S$7:$S$874,$AA$2,BS_RE33!$N$7:$N$874,I38,BS_RE33!$P$7:$P$874,'30 days CF Table(NZD)'!G38,BS_RE33!$F$7:$F$874,'30 days CF Table(NZD)'!$C$2)</f>
        <v>0</v>
      </c>
      <c r="AB38" s="337">
        <f>SUMIFS(BS_RE33!$H$7:$H$874,BS_RE33!$S$7:$S$874,$AB$2,BS_RE33!$N$7:$N$874,I38,BS_RE33!$P$7:$P$874,'30 days CF Table(NZD)'!G38,BS_RE33!$F$7:$F$874,'30 days CF Table(NZD)'!$C$2)</f>
        <v>0</v>
      </c>
      <c r="AC38" s="337">
        <f>SUMIFS(BS_RE33!$H$7:$H$874,BS_RE33!$S$7:$S$874,$AC$2,BS_RE33!$N$7:$N$874,I38,BS_RE33!$P$7:$P$874,'30 days CF Table(NZD)'!G38,BS_RE33!$F$7:$F$874,'30 days CF Table(NZD)'!$C$2)</f>
        <v>0</v>
      </c>
      <c r="AD38" s="337">
        <f>SUMIFS(BS_RE33!$H$7:$H$874,BS_RE33!$S$7:$S$874,$AD$2,BS_RE33!$N$7:$N$874,I38,BS_RE33!$P$7:$P$874,'30 days CF Table(NZD)'!G38,BS_RE33!$F$7:$F$874,'30 days CF Table(NZD)'!$C$2)</f>
        <v>0</v>
      </c>
      <c r="AE38" s="337">
        <f>SUMIFS(BS_RE33!$H$7:$H$874,BS_RE33!$S$7:$S$874,$AE$2,BS_RE33!$N$7:$N$874,I38,BS_RE33!$P$7:$P$874,'30 days CF Table(NZD)'!G38,BS_RE33!$F$7:$F$874,'30 days CF Table(NZD)'!$C$2)</f>
        <v>0</v>
      </c>
      <c r="AF38" s="337">
        <f>SUMIFS(BS_RE33!$H$7:$H$874,BS_RE33!$S$7:$S$874,$AF$2,BS_RE33!$N$7:$N$874,I38,BS_RE33!$P$7:$P$874,'30 days CF Table(NZD)'!G38,BS_RE33!$F$7:$F$874,'30 days CF Table(NZD)'!$C$2)</f>
        <v>0</v>
      </c>
      <c r="AG38" s="337">
        <f>SUMIFS(BS_RE33!$H$7:$H$874,BS_RE33!$S$7:$S$874,$AG$2,BS_RE33!$N$7:$N$874,I38,BS_RE33!$P$7:$P$874,'30 days CF Table(NZD)'!G38,BS_RE33!$F$7:$F$874,'30 days CF Table(NZD)'!$C$2)</f>
        <v>0</v>
      </c>
      <c r="AH38" s="337">
        <f>SUMIFS(BS_RE33!$H$7:$H$874,BS_RE33!$S$7:$S$874,$AH$2,BS_RE33!$N$7:$N$874,I38,BS_RE33!$P$7:$P$874,'30 days CF Table(NZD)'!G38,BS_RE33!$F$7:$F$874,'30 days CF Table(NZD)'!$C$2)</f>
        <v>0</v>
      </c>
      <c r="AI38" s="337">
        <f>SUMIFS(BS_RE33!$H$7:$H$874,BS_RE33!$S$7:$S$874,$AI$2,BS_RE33!$N$7:$N$874,I38,BS_RE33!$P$7:$P$874,'30 days CF Table(NZD)'!G38,BS_RE33!$F$7:$F$874,'30 days CF Table(NZD)'!$C$2)</f>
        <v>0</v>
      </c>
      <c r="AJ38" s="337">
        <f>SUMIFS(BS_RE33!$H$7:$H$874,BS_RE33!$S$7:$S$874,$AJ$2,BS_RE33!$N$7:$N$874,I38,BS_RE33!$P$7:$P$874,'30 days CF Table(NZD)'!G38,BS_RE33!$F$7:$F$874,'30 days CF Table(NZD)'!$C$2)</f>
        <v>0</v>
      </c>
      <c r="AK38" s="337">
        <f>SUMIFS(BS_RE33!$H$7:$H$874,BS_RE33!$S$7:$S$874,$AK$2,BS_RE33!$N$7:$N$874,I38,BS_RE33!$P$7:$P$874,'30 days CF Table(NZD)'!G38,BS_RE33!$F$7:$F$874,'30 days CF Table(NZD)'!$C$2)</f>
        <v>0</v>
      </c>
      <c r="AL38" s="337">
        <f>SUMIFS(BS_RE33!$H$7:$H$874,BS_RE33!$S$7:$S$874,$AL$2,BS_RE33!$N$7:$N$874,I38,BS_RE33!$P$7:$P$874,'30 days CF Table(NZD)'!G38,BS_RE33!$F$7:$F$874,'30 days CF Table(NZD)'!$C$2)</f>
        <v>0</v>
      </c>
      <c r="AM38" s="337">
        <f>SUMIFS(BS_RE33!$H$7:$H$874,BS_RE33!$S$7:$S$874,$AM$2,BS_RE33!$N$7:$N$874,I38,BS_RE33!$P$7:$P$874,'30 days CF Table(NZD)'!G38,BS_RE33!$F$7:$F$874,'30 days CF Table(NZD)'!$C$2)</f>
        <v>0</v>
      </c>
      <c r="AN38" s="337">
        <f>SUMIFS(BS_RE33!$H$7:$H$874,BS_RE33!$S$7:$S$874,$AN$2,BS_RE33!$N$7:$N$874,I38,BS_RE33!$P$7:$P$874,'30 days CF Table(NZD)'!G38,BS_RE33!$F$7:$F$874,'30 days CF Table(NZD)'!$C$2)</f>
        <v>0</v>
      </c>
      <c r="AO38" s="337">
        <f>SUMIFS(BS_RE33!$H$7:$H$874,BS_RE33!$S$7:$S$874,$AO$2,BS_RE33!$N$7:$N$874,I38,BS_RE33!$P$7:$P$874,'30 days CF Table(NZD)'!G38,BS_RE33!$F$7:$F$874,'30 days CF Table(NZD)'!$C$2)</f>
        <v>0</v>
      </c>
      <c r="AP38" s="338">
        <f>SUMIFS(BS_RE33!$H$7:$H$874,BS_RE33!$S$7:$S$874,$AP$2,BS_RE33!$N$7:$N$874,I38,BS_RE33!$P$7:$P$874,'30 days CF Table(NZD)'!G38,BS_RE33!$F$7:$F$874,'30 days CF Table(NZD)'!$C$2)</f>
        <v>0</v>
      </c>
      <c r="AR38" s="379">
        <f>SUMIFS(BS_RE33!$H$7:$H$874,BS_RE33!$S$7:$S$874,$AR$2,BS_RE33!$N$7:$N$874,I38,BS_RE33!$P$7:$P$874,'30 days CF Table(NZD)'!G38,BS_RE33!$F$7:$F$874,'30 days CF Table(NZD)'!$C$2)</f>
        <v>0</v>
      </c>
      <c r="AS38" s="379">
        <f>SUMIFS(BS_RE33!$H$7:$H$874,BS_RE33!$S$7:$S$874,$AS$2,BS_RE33!$N$7:$N$874,I38,BS_RE33!$P$7:$P$874,'30 days CF Table(NZD)'!G38,BS_RE33!$F$7:$F$874,'30 days CF Table(NZD)'!$C$2)</f>
        <v>0</v>
      </c>
      <c r="AT38" s="379">
        <f>SUMIFS(BS_RE33!$H$7:$H$874,BS_RE33!$S$7:$S$874,$AT$2,BS_RE33!$N$7:$N$874,I38,BS_RE33!$P$7:$P$874,'30 days CF Table(NZD)'!G38,BS_RE33!$F$7:$F$874,'30 days CF Table(NZD)'!$C$2)</f>
        <v>0</v>
      </c>
      <c r="AU38" s="379">
        <f>SUMIFS(BS_RE33!$H$7:$H$874,BS_RE33!$S$7:$S$874,$AU$2,BS_RE33!$N$7:$N$874,I38,BS_RE33!$P$7:$P$874,'30 days CF Table(NZD)'!G38,BS_RE33!$F$7:$F$874,'30 days CF Table(NZD)'!$C$2)</f>
        <v>0</v>
      </c>
      <c r="AV38" s="379">
        <f>SUMIFS(BS_RE33!$H$7:$H$874,BS_RE33!$S$7:$S$874,$AV$2,BS_RE33!$N$7:$N$874,I38,BS_RE33!$P$7:$P$874,'30 days CF Table(NZD)'!G38,BS_RE33!$F$7:$F$874,'30 days CF Table(NZD)'!$C$2)</f>
        <v>0</v>
      </c>
      <c r="AW38" s="379">
        <f>SUMIFS(BS_RE33!$H$7:$H$874,BS_RE33!$S$7:$S$874,$AW$2,BS_RE33!$N$7:$N$874,I38,BS_RE33!$P$7:$P$874,'30 days CF Table(NZD)'!G38,BS_RE33!$F$7:$F$874,'30 days CF Table(NZD)'!$C$2)</f>
        <v>0</v>
      </c>
      <c r="AX38" s="379">
        <f>SUMIFS(BS_RE33!$H$7:$H$874,BS_RE33!$S$7:$S$874,$AX$2,BS_RE33!$N$7:$N$874,I38,BS_RE33!$P$7:$P$874,'30 days CF Table(NZD)'!G38,BS_RE33!$F$7:$F$874,'30 days CF Table(NZD)'!$C$2)</f>
        <v>0</v>
      </c>
      <c r="AY38" s="379">
        <f>SUMIFS(BS_RE33!$H$7:$H$874,BS_RE33!$S$7:$S$874,$AY$2,BS_RE33!$N$7:$N$874,I38,BS_RE33!$P$7:$P$874,'30 days CF Table(NZD)'!G38,BS_RE33!$F$7:$F$874,'30 days CF Table(NZD)'!$C$2)</f>
        <v>0</v>
      </c>
      <c r="AZ38" s="379">
        <f>SUMIFS(BS_RE33!$H$7:$H$874,BS_RE33!$S$7:$S$874,$AZ$2,BS_RE33!$N$7:$N$874,I38,BS_RE33!$P$7:$P$874,'30 days CF Table(NZD)'!G38,BS_RE33!$F$7:$F$874,'30 days CF Table(NZD)'!$C$2)</f>
        <v>0</v>
      </c>
      <c r="BA38" s="379">
        <f>SUMIFS(BS_RE33!$H$7:$H$874,BS_RE33!$S$7:$S$874,$BA$2,BS_RE33!$N$7:$N$874,I38,BS_RE33!$P$7:$P$874,'30 days CF Table(NZD)'!G38,BS_RE33!$F$7:$F$874,'30 days CF Table(NZD)'!$C$2)</f>
        <v>0</v>
      </c>
      <c r="BB38" s="379">
        <f>SUMIFS(BS_RE33!$H$7:$H$874,BS_RE33!$S$7:$S$874,$BB$2,BS_RE33!$N$7:$N$874,I38,BS_RE33!$P$7:$P$874,'30 days CF Table(NZD)'!G38,BS_RE33!$F$7:$F$874,'30 days CF Table(NZD)'!$C$2)</f>
        <v>0</v>
      </c>
      <c r="BC38" s="379">
        <f>SUMIFS(BS_RE33!$H$7:$H$874,BS_RE33!$S$7:$S$874,$BC$2,BS_RE33!$N$7:$N$874,I38,BS_RE33!$P$7:$P$874,'30 days CF Table(NZD)'!G38,BS_RE33!$F$7:$F$874,'30 days CF Table(NZD)'!$C$2)</f>
        <v>0</v>
      </c>
      <c r="BD38" s="379">
        <f>SUMIFS(BS_RE33!$H$7:$H$874,BS_RE33!$S$7:$S$874,$BD$2,BS_RE33!$N$7:$N$874,I38,BS_RE33!$P$7:$P$874,'30 days CF Table(NZD)'!G38,BS_RE33!$F$7:$F$874,'30 days CF Table(NZD)'!$C$2)</f>
        <v>0</v>
      </c>
      <c r="BE38" s="379">
        <f>SUMIFS(BS_RE33!$H$7:$H$874,BS_RE33!$S$7:$S$874,$BE$2,BS_RE33!$N$7:$N$874,I38,BS_RE33!$P$7:$P$874,'30 days CF Table(NZD)'!G38,BS_RE33!$F$7:$F$874,'30 days CF Table(NZD)'!$C$2)</f>
        <v>0</v>
      </c>
      <c r="BF38" s="379">
        <f>SUMIFS(BS_RE33!$H$7:$H$874,BS_RE33!$S$7:$S$874,$BF$2,BS_RE33!$N$7:$N$874,I38,BS_RE33!$P$7:$P$874,'30 days CF Table(NZD)'!G38,BS_RE33!$F$7:$F$874,'30 days CF Table(NZD)'!$C$2)</f>
        <v>0</v>
      </c>
      <c r="BG38" s="379">
        <f>SUMIFS(BS_RE33!$H$7:$H$874,BS_RE33!$S$7:$S$874,$BG$2,BS_RE33!$N$7:$N$874,I38,BS_RE33!$P$7:$P$874,'30 days CF Table(NZD)'!G38,BS_RE33!$F$7:$F$874,'30 days CF Table(NZD)'!$C$2)</f>
        <v>0</v>
      </c>
      <c r="BH38" s="379">
        <f>SUMIFS(BS_RE33!$H$7:$H$874,BS_RE33!$S$7:$S$874,$BH$2,BS_RE33!$N$7:$N$874,I38,BS_RE33!$P$7:$P$874,'30 days CF Table(NZD)'!G38,BS_RE33!$F$7:$F$874,'30 days CF Table(NZD)'!$C$2)</f>
        <v>0</v>
      </c>
      <c r="BI38" s="379">
        <f>SUMIFS(BS_RE33!$H$7:$H$874,BS_RE33!$S$7:$S$874,$BI$2,BS_RE33!$N$7:$N$874,I38,BS_RE33!$P$7:$P$874,'30 days CF Table(NZD)'!G38,BS_RE33!$F$7:$F$874,'30 days CF Table(NZD)'!$C$2)</f>
        <v>0</v>
      </c>
      <c r="BJ38" s="379">
        <f>SUMIFS(BS_RE33!$H$7:$H$874,BS_RE33!$S$7:$S$874,$BJ$2,BS_RE33!$N$7:$N$874,I38,BS_RE33!$P$7:$P$874,'30 days CF Table(NZD)'!G38,BS_RE33!$F$7:$F$874,'30 days CF Table(NZD)'!$C$2)</f>
        <v>0</v>
      </c>
      <c r="BK38" s="379">
        <f>SUMIFS(BS_RE33!$H$7:$H$874,BS_RE33!$S$7:$S$874,$BK$2,BS_RE33!$N$7:$N$874,I38,BS_RE33!$P$7:$P$874,'30 days CF Table(NZD)'!G38,BS_RE33!$F$7:$F$874,'30 days CF Table(NZD)'!$C$2)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Table(NZD)'!G39,BS_RE33!$F$7:$F$874,'30 days CF Table(NZD)'!$C$2)</f>
        <v>0</v>
      </c>
      <c r="M39" s="337">
        <f>SUMIFS(BS_RE33!$H$7:$H$874,BS_RE33!$S$7:$S$874,$M$2,BS_RE33!$N$7:$N$874,I39,BS_RE33!$P$7:$P$874,'30 days CF Table(NZD)'!G39,BS_RE33!$F$7:$F$874,'30 days CF Table(NZD)'!$C$2)</f>
        <v>0</v>
      </c>
      <c r="N39" s="337">
        <f>SUMIFS(BS_RE33!$H$7:$H$874,BS_RE33!$S$7:$S$874,$N$2,BS_RE33!$N$7:$N$874,I39,BS_RE33!$P$7:$P$874,'30 days CF Table(NZD)'!G39,BS_RE33!$F$7:$F$874,'30 days CF Table(NZD)'!$C$2)</f>
        <v>0</v>
      </c>
      <c r="O39" s="337">
        <f>SUMIFS(BS_RE33!$H$7:$H$874,BS_RE33!$S$7:$S$874,$O$2,BS_RE33!$N$7:$N$874,I39,BS_RE33!$P$7:$P$874,'30 days CF Table(NZD)'!G39,BS_RE33!$F$7:$F$874,'30 days CF Table(NZD)'!$C$2)</f>
        <v>0</v>
      </c>
      <c r="P39" s="337">
        <f>SUMIFS(BS_RE33!$H$7:$H$874,BS_RE33!$S$7:$S$874,$P$2,BS_RE33!$N$7:$N$874,I39,BS_RE33!$P$7:$P$874,'30 days CF Table(NZD)'!G39,BS_RE33!$F$7:$F$874,'30 days CF Table(NZD)'!$C$2)</f>
        <v>0</v>
      </c>
      <c r="Q39" s="337">
        <f>SUMIFS(BS_RE33!$H$7:$H$874,BS_RE33!$S$7:$S$874,$Q$2,BS_RE33!$N$7:$N$874,I39,BS_RE33!$P$7:$P$874,'30 days CF Table(NZD)'!G39,BS_RE33!$F$7:$F$874,'30 days CF Table(NZD)'!$C$2)</f>
        <v>0</v>
      </c>
      <c r="R39" s="337">
        <f>SUMIFS(BS_RE33!$H$7:$H$874,BS_RE33!$S$7:$S$874,$R$2,BS_RE33!$N$7:$N$874,I39,BS_RE33!$P$7:$P$874,'30 days CF Table(NZD)'!G39,BS_RE33!$F$7:$F$874,'30 days CF Table(NZD)'!$C$2)</f>
        <v>0</v>
      </c>
      <c r="S39" s="337">
        <f>SUMIFS(BS_RE33!$H$7:$H$874,BS_RE33!$S$7:$S$874,$S$2,BS_RE33!$N$7:$N$874,I39,BS_RE33!$P$7:$P$874,'30 days CF Table(NZD)'!G39,BS_RE33!$F$7:$F$874,'30 days CF Table(NZD)'!$C$2)</f>
        <v>0</v>
      </c>
      <c r="T39" s="337">
        <f>SUMIFS(BS_RE33!$H$7:$H$874,BS_RE33!$S$7:$S$874,$T$2,BS_RE33!$N$7:$N$874,I39,BS_RE33!$P$7:$P$874,'30 days CF Table(NZD)'!G39,BS_RE33!$F$7:$F$874,'30 days CF Table(NZD)'!$C$2)</f>
        <v>0</v>
      </c>
      <c r="U39" s="337">
        <f>SUMIFS(BS_RE33!$H$7:$H$874,BS_RE33!$S$7:$S$874,$U$2,BS_RE33!$N$7:$N$874,I39,BS_RE33!$P$7:$P$874,'30 days CF Table(NZD)'!G39,BS_RE33!$F$7:$F$874,'30 days CF Table(NZD)'!$C$2)</f>
        <v>0</v>
      </c>
      <c r="V39" s="337">
        <f>SUMIFS(BS_RE33!$H$7:$H$874,BS_RE33!$S$7:$S$874,$V$2,BS_RE33!$N$7:$N$874,I39,BS_RE33!$P$7:$P$874,'30 days CF Table(NZD)'!G39,BS_RE33!$F$7:$F$874,'30 days CF Table(NZD)'!$C$2)</f>
        <v>0</v>
      </c>
      <c r="W39" s="337">
        <f>SUMIFS(BS_RE33!$H$7:$H$874,BS_RE33!$S$7:$S$874,$W$2,BS_RE33!$N$7:$N$874,I39,BS_RE33!$P$7:$P$874,'30 days CF Table(NZD)'!G39,BS_RE33!$F$7:$F$874,'30 days CF Table(NZD)'!$C$2)</f>
        <v>0</v>
      </c>
      <c r="X39" s="337">
        <f>SUMIFS(BS_RE33!$H$7:$H$874,BS_RE33!$S$7:$S$874,$X$2,BS_RE33!$N$7:$N$874,I39,BS_RE33!$P$7:$P$874,'30 days CF Table(NZD)'!G39,BS_RE33!$F$7:$F$874,'30 days CF Table(NZD)'!$C$2)</f>
        <v>0</v>
      </c>
      <c r="Y39" s="337">
        <f>SUMIFS(BS_RE33!$H$7:$H$874,BS_RE33!$S$7:$S$874,$Y$2,BS_RE33!$N$7:$N$874,I39,BS_RE33!$P$7:$P$874,'30 days CF Table(NZD)'!G39,BS_RE33!$F$7:$F$874,'30 days CF Table(NZD)'!$C$2)</f>
        <v>0</v>
      </c>
      <c r="Z39" s="337">
        <f>SUMIFS(BS_RE33!$H$7:$H$874,BS_RE33!$S$7:$S$874,$Z$2,BS_RE33!$N$7:$N$874,I39,BS_RE33!$P$7:$P$874,'30 days CF Table(NZD)'!G39,BS_RE33!$F$7:$F$874,'30 days CF Table(NZD)'!$C$2)</f>
        <v>0</v>
      </c>
      <c r="AA39" s="337">
        <f>SUMIFS(BS_RE33!$H$7:$H$874,BS_RE33!$S$7:$S$874,$AA$2,BS_RE33!$N$7:$N$874,I39,BS_RE33!$P$7:$P$874,'30 days CF Table(NZD)'!G39,BS_RE33!$F$7:$F$874,'30 days CF Table(NZD)'!$C$2)</f>
        <v>0</v>
      </c>
      <c r="AB39" s="337">
        <f>SUMIFS(BS_RE33!$H$7:$H$874,BS_RE33!$S$7:$S$874,$AB$2,BS_RE33!$N$7:$N$874,I39,BS_RE33!$P$7:$P$874,'30 days CF Table(NZD)'!G39,BS_RE33!$F$7:$F$874,'30 days CF Table(NZD)'!$C$2)</f>
        <v>0</v>
      </c>
      <c r="AC39" s="337">
        <f>SUMIFS(BS_RE33!$H$7:$H$874,BS_RE33!$S$7:$S$874,$AC$2,BS_RE33!$N$7:$N$874,I39,BS_RE33!$P$7:$P$874,'30 days CF Table(NZD)'!G39,BS_RE33!$F$7:$F$874,'30 days CF Table(NZD)'!$C$2)</f>
        <v>0</v>
      </c>
      <c r="AD39" s="337">
        <f>SUMIFS(BS_RE33!$H$7:$H$874,BS_RE33!$S$7:$S$874,$AD$2,BS_RE33!$N$7:$N$874,I39,BS_RE33!$P$7:$P$874,'30 days CF Table(NZD)'!G39,BS_RE33!$F$7:$F$874,'30 days CF Table(NZD)'!$C$2)</f>
        <v>0</v>
      </c>
      <c r="AE39" s="337">
        <f>SUMIFS(BS_RE33!$H$7:$H$874,BS_RE33!$S$7:$S$874,$AE$2,BS_RE33!$N$7:$N$874,I39,BS_RE33!$P$7:$P$874,'30 days CF Table(NZD)'!G39,BS_RE33!$F$7:$F$874,'30 days CF Table(NZD)'!$C$2)</f>
        <v>0</v>
      </c>
      <c r="AF39" s="337">
        <f>SUMIFS(BS_RE33!$H$7:$H$874,BS_RE33!$S$7:$S$874,$AF$2,BS_RE33!$N$7:$N$874,I39,BS_RE33!$P$7:$P$874,'30 days CF Table(NZD)'!G39,BS_RE33!$F$7:$F$874,'30 days CF Table(NZD)'!$C$2)</f>
        <v>0</v>
      </c>
      <c r="AG39" s="337">
        <f>SUMIFS(BS_RE33!$H$7:$H$874,BS_RE33!$S$7:$S$874,$AG$2,BS_RE33!$N$7:$N$874,I39,BS_RE33!$P$7:$P$874,'30 days CF Table(NZD)'!G39,BS_RE33!$F$7:$F$874,'30 days CF Table(NZD)'!$C$2)</f>
        <v>0</v>
      </c>
      <c r="AH39" s="337">
        <f>SUMIFS(BS_RE33!$H$7:$H$874,BS_RE33!$S$7:$S$874,$AH$2,BS_RE33!$N$7:$N$874,I39,BS_RE33!$P$7:$P$874,'30 days CF Table(NZD)'!G39,BS_RE33!$F$7:$F$874,'30 days CF Table(NZD)'!$C$2)</f>
        <v>0</v>
      </c>
      <c r="AI39" s="337">
        <f>SUMIFS(BS_RE33!$H$7:$H$874,BS_RE33!$S$7:$S$874,$AI$2,BS_RE33!$N$7:$N$874,I39,BS_RE33!$P$7:$P$874,'30 days CF Table(NZD)'!G39,BS_RE33!$F$7:$F$874,'30 days CF Table(NZD)'!$C$2)</f>
        <v>0</v>
      </c>
      <c r="AJ39" s="337">
        <f>SUMIFS(BS_RE33!$H$7:$H$874,BS_RE33!$S$7:$S$874,$AJ$2,BS_RE33!$N$7:$N$874,I39,BS_RE33!$P$7:$P$874,'30 days CF Table(NZD)'!G39,BS_RE33!$F$7:$F$874,'30 days CF Table(NZD)'!$C$2)</f>
        <v>0</v>
      </c>
      <c r="AK39" s="337">
        <f>SUMIFS(BS_RE33!$H$7:$H$874,BS_RE33!$S$7:$S$874,$AK$2,BS_RE33!$N$7:$N$874,I39,BS_RE33!$P$7:$P$874,'30 days CF Table(NZD)'!G39,BS_RE33!$F$7:$F$874,'30 days CF Table(NZD)'!$C$2)</f>
        <v>0</v>
      </c>
      <c r="AL39" s="337">
        <f>SUMIFS(BS_RE33!$H$7:$H$874,BS_RE33!$S$7:$S$874,$AL$2,BS_RE33!$N$7:$N$874,I39,BS_RE33!$P$7:$P$874,'30 days CF Table(NZD)'!G39,BS_RE33!$F$7:$F$874,'30 days CF Table(NZD)'!$C$2)</f>
        <v>0</v>
      </c>
      <c r="AM39" s="337">
        <f>SUMIFS(BS_RE33!$H$7:$H$874,BS_RE33!$S$7:$S$874,$AM$2,BS_RE33!$N$7:$N$874,I39,BS_RE33!$P$7:$P$874,'30 days CF Table(NZD)'!G39,BS_RE33!$F$7:$F$874,'30 days CF Table(NZD)'!$C$2)</f>
        <v>0</v>
      </c>
      <c r="AN39" s="337">
        <f>SUMIFS(BS_RE33!$H$7:$H$874,BS_RE33!$S$7:$S$874,$AN$2,BS_RE33!$N$7:$N$874,I39,BS_RE33!$P$7:$P$874,'30 days CF Table(NZD)'!G39,BS_RE33!$F$7:$F$874,'30 days CF Table(NZD)'!$C$2)</f>
        <v>0</v>
      </c>
      <c r="AO39" s="337">
        <f>SUMIFS(BS_RE33!$H$7:$H$874,BS_RE33!$S$7:$S$874,$AO$2,BS_RE33!$N$7:$N$874,I39,BS_RE33!$P$7:$P$874,'30 days CF Table(NZD)'!G39,BS_RE33!$F$7:$F$874,'30 days CF Table(NZD)'!$C$2)</f>
        <v>0</v>
      </c>
      <c r="AP39" s="338">
        <f>SUMIFS(BS_RE33!$H$7:$H$874,BS_RE33!$S$7:$S$874,$AP$2,BS_RE33!$N$7:$N$874,I39,BS_RE33!$P$7:$P$874,'30 days CF Table(NZD)'!G39,BS_RE33!$F$7:$F$874,'30 days CF Table(NZD)'!$C$2)</f>
        <v>0</v>
      </c>
      <c r="AR39" s="379">
        <f>SUMIFS(BS_RE33!$H$7:$H$874,BS_RE33!$S$7:$S$874,$AR$2,BS_RE33!$N$7:$N$874,I39,BS_RE33!$P$7:$P$874,'30 days CF Table(NZD)'!G39,BS_RE33!$F$7:$F$874,'30 days CF Table(NZD)'!$C$2)</f>
        <v>0</v>
      </c>
      <c r="AS39" s="379">
        <f>SUMIFS(BS_RE33!$H$7:$H$874,BS_RE33!$S$7:$S$874,$AS$2,BS_RE33!$N$7:$N$874,I39,BS_RE33!$P$7:$P$874,'30 days CF Table(NZD)'!G39,BS_RE33!$F$7:$F$874,'30 days CF Table(NZD)'!$C$2)</f>
        <v>0</v>
      </c>
      <c r="AT39" s="379">
        <f>SUMIFS(BS_RE33!$H$7:$H$874,BS_RE33!$S$7:$S$874,$AT$2,BS_RE33!$N$7:$N$874,I39,BS_RE33!$P$7:$P$874,'30 days CF Table(NZD)'!G39,BS_RE33!$F$7:$F$874,'30 days CF Table(NZD)'!$C$2)</f>
        <v>0</v>
      </c>
      <c r="AU39" s="379">
        <f>SUMIFS(BS_RE33!$H$7:$H$874,BS_RE33!$S$7:$S$874,$AU$2,BS_RE33!$N$7:$N$874,I39,BS_RE33!$P$7:$P$874,'30 days CF Table(NZD)'!G39,BS_RE33!$F$7:$F$874,'30 days CF Table(NZD)'!$C$2)</f>
        <v>0</v>
      </c>
      <c r="AV39" s="379">
        <f>SUMIFS(BS_RE33!$H$7:$H$874,BS_RE33!$S$7:$S$874,$AV$2,BS_RE33!$N$7:$N$874,I39,BS_RE33!$P$7:$P$874,'30 days CF Table(NZD)'!G39,BS_RE33!$F$7:$F$874,'30 days CF Table(NZD)'!$C$2)</f>
        <v>0</v>
      </c>
      <c r="AW39" s="379">
        <f>SUMIFS(BS_RE33!$H$7:$H$874,BS_RE33!$S$7:$S$874,$AW$2,BS_RE33!$N$7:$N$874,I39,BS_RE33!$P$7:$P$874,'30 days CF Table(NZD)'!G39,BS_RE33!$F$7:$F$874,'30 days CF Table(NZD)'!$C$2)</f>
        <v>0</v>
      </c>
      <c r="AX39" s="379">
        <f>SUMIFS(BS_RE33!$H$7:$H$874,BS_RE33!$S$7:$S$874,$AX$2,BS_RE33!$N$7:$N$874,I39,BS_RE33!$P$7:$P$874,'30 days CF Table(NZD)'!G39,BS_RE33!$F$7:$F$874,'30 days CF Table(NZD)'!$C$2)</f>
        <v>0</v>
      </c>
      <c r="AY39" s="379">
        <f>SUMIFS(BS_RE33!$H$7:$H$874,BS_RE33!$S$7:$S$874,$AY$2,BS_RE33!$N$7:$N$874,I39,BS_RE33!$P$7:$P$874,'30 days CF Table(NZD)'!G39,BS_RE33!$F$7:$F$874,'30 days CF Table(NZD)'!$C$2)</f>
        <v>0</v>
      </c>
      <c r="AZ39" s="379">
        <f>SUMIFS(BS_RE33!$H$7:$H$874,BS_RE33!$S$7:$S$874,$AZ$2,BS_RE33!$N$7:$N$874,I39,BS_RE33!$P$7:$P$874,'30 days CF Table(NZD)'!G39,BS_RE33!$F$7:$F$874,'30 days CF Table(NZD)'!$C$2)</f>
        <v>0</v>
      </c>
      <c r="BA39" s="379">
        <f>SUMIFS(BS_RE33!$H$7:$H$874,BS_RE33!$S$7:$S$874,$BA$2,BS_RE33!$N$7:$N$874,I39,BS_RE33!$P$7:$P$874,'30 days CF Table(NZD)'!G39,BS_RE33!$F$7:$F$874,'30 days CF Table(NZD)'!$C$2)</f>
        <v>0</v>
      </c>
      <c r="BB39" s="379">
        <f>SUMIFS(BS_RE33!$H$7:$H$874,BS_RE33!$S$7:$S$874,$BB$2,BS_RE33!$N$7:$N$874,I39,BS_RE33!$P$7:$P$874,'30 days CF Table(NZD)'!G39,BS_RE33!$F$7:$F$874,'30 days CF Table(NZD)'!$C$2)</f>
        <v>0</v>
      </c>
      <c r="BC39" s="379">
        <f>SUMIFS(BS_RE33!$H$7:$H$874,BS_RE33!$S$7:$S$874,$BC$2,BS_RE33!$N$7:$N$874,I39,BS_RE33!$P$7:$P$874,'30 days CF Table(NZD)'!G39,BS_RE33!$F$7:$F$874,'30 days CF Table(NZD)'!$C$2)</f>
        <v>0</v>
      </c>
      <c r="BD39" s="379">
        <f>SUMIFS(BS_RE33!$H$7:$H$874,BS_RE33!$S$7:$S$874,$BD$2,BS_RE33!$N$7:$N$874,I39,BS_RE33!$P$7:$P$874,'30 days CF Table(NZD)'!G39,BS_RE33!$F$7:$F$874,'30 days CF Table(NZD)'!$C$2)</f>
        <v>0</v>
      </c>
      <c r="BE39" s="379">
        <f>SUMIFS(BS_RE33!$H$7:$H$874,BS_RE33!$S$7:$S$874,$BE$2,BS_RE33!$N$7:$N$874,I39,BS_RE33!$P$7:$P$874,'30 days CF Table(NZD)'!G39,BS_RE33!$F$7:$F$874,'30 days CF Table(NZD)'!$C$2)</f>
        <v>0</v>
      </c>
      <c r="BF39" s="379">
        <f>SUMIFS(BS_RE33!$H$7:$H$874,BS_RE33!$S$7:$S$874,$BF$2,BS_RE33!$N$7:$N$874,I39,BS_RE33!$P$7:$P$874,'30 days CF Table(NZD)'!G39,BS_RE33!$F$7:$F$874,'30 days CF Table(NZD)'!$C$2)</f>
        <v>0</v>
      </c>
      <c r="BG39" s="379">
        <f>SUMIFS(BS_RE33!$H$7:$H$874,BS_RE33!$S$7:$S$874,$BG$2,BS_RE33!$N$7:$N$874,I39,BS_RE33!$P$7:$P$874,'30 days CF Table(NZD)'!G39,BS_RE33!$F$7:$F$874,'30 days CF Table(NZD)'!$C$2)</f>
        <v>0</v>
      </c>
      <c r="BH39" s="379">
        <f>SUMIFS(BS_RE33!$H$7:$H$874,BS_RE33!$S$7:$S$874,$BH$2,BS_RE33!$N$7:$N$874,I39,BS_RE33!$P$7:$P$874,'30 days CF Table(NZD)'!G39,BS_RE33!$F$7:$F$874,'30 days CF Table(NZD)'!$C$2)</f>
        <v>0</v>
      </c>
      <c r="BI39" s="379">
        <f>SUMIFS(BS_RE33!$H$7:$H$874,BS_RE33!$S$7:$S$874,$BI$2,BS_RE33!$N$7:$N$874,I39,BS_RE33!$P$7:$P$874,'30 days CF Table(NZD)'!G39,BS_RE33!$F$7:$F$874,'30 days CF Table(NZD)'!$C$2)</f>
        <v>0</v>
      </c>
      <c r="BJ39" s="379">
        <f>SUMIFS(BS_RE33!$H$7:$H$874,BS_RE33!$S$7:$S$874,$BJ$2,BS_RE33!$N$7:$N$874,I39,BS_RE33!$P$7:$P$874,'30 days CF Table(NZD)'!G39,BS_RE33!$F$7:$F$874,'30 days CF Table(NZD)'!$C$2)</f>
        <v>0</v>
      </c>
      <c r="BK39" s="379">
        <f>SUMIFS(BS_RE33!$H$7:$H$874,BS_RE33!$S$7:$S$874,$BK$2,BS_RE33!$N$7:$N$874,I39,BS_RE33!$P$7:$P$874,'30 days CF Table(NZD)'!G39,BS_RE33!$F$7:$F$874,'30 days CF Table(NZD)'!$C$2)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Table(NZD)'!G40,BS_RE33!$F$7:$F$874,'30 days CF Table(NZD)'!$C$2)</f>
        <v>0</v>
      </c>
      <c r="M40" s="337">
        <f>SUMIFS(BS_RE33!$H$7:$H$874,BS_RE33!$S$7:$S$874,$M$2,BS_RE33!$N$7:$N$874,I40,BS_RE33!$P$7:$P$874,'30 days CF Table(NZD)'!G40,BS_RE33!$F$7:$F$874,'30 days CF Table(NZD)'!$C$2)</f>
        <v>0</v>
      </c>
      <c r="N40" s="337">
        <f>SUMIFS(BS_RE33!$H$7:$H$874,BS_RE33!$S$7:$S$874,$N$2,BS_RE33!$N$7:$N$874,I40,BS_RE33!$P$7:$P$874,'30 days CF Table(NZD)'!G40,BS_RE33!$F$7:$F$874,'30 days CF Table(NZD)'!$C$2)</f>
        <v>0</v>
      </c>
      <c r="O40" s="337">
        <f>SUMIFS(BS_RE33!$H$7:$H$874,BS_RE33!$S$7:$S$874,$O$2,BS_RE33!$N$7:$N$874,I40,BS_RE33!$P$7:$P$874,'30 days CF Table(NZD)'!G40,BS_RE33!$F$7:$F$874,'30 days CF Table(NZD)'!$C$2)</f>
        <v>0</v>
      </c>
      <c r="P40" s="337">
        <f>SUMIFS(BS_RE33!$H$7:$H$874,BS_RE33!$S$7:$S$874,$P$2,BS_RE33!$N$7:$N$874,I40,BS_RE33!$P$7:$P$874,'30 days CF Table(NZD)'!G40,BS_RE33!$F$7:$F$874,'30 days CF Table(NZD)'!$C$2)</f>
        <v>0</v>
      </c>
      <c r="Q40" s="337">
        <f>SUMIFS(BS_RE33!$H$7:$H$874,BS_RE33!$S$7:$S$874,$Q$2,BS_RE33!$N$7:$N$874,I40,BS_RE33!$P$7:$P$874,'30 days CF Table(NZD)'!G40,BS_RE33!$F$7:$F$874,'30 days CF Table(NZD)'!$C$2)</f>
        <v>0</v>
      </c>
      <c r="R40" s="337">
        <f>SUMIFS(BS_RE33!$H$7:$H$874,BS_RE33!$S$7:$S$874,$R$2,BS_RE33!$N$7:$N$874,I40,BS_RE33!$P$7:$P$874,'30 days CF Table(NZD)'!G40,BS_RE33!$F$7:$F$874,'30 days CF Table(NZD)'!$C$2)</f>
        <v>0</v>
      </c>
      <c r="S40" s="337">
        <f>SUMIFS(BS_RE33!$H$7:$H$874,BS_RE33!$S$7:$S$874,$S$2,BS_RE33!$N$7:$N$874,I40,BS_RE33!$P$7:$P$874,'30 days CF Table(NZD)'!G40,BS_RE33!$F$7:$F$874,'30 days CF Table(NZD)'!$C$2)</f>
        <v>0</v>
      </c>
      <c r="T40" s="337">
        <f>SUMIFS(BS_RE33!$H$7:$H$874,BS_RE33!$S$7:$S$874,$T$2,BS_RE33!$N$7:$N$874,I40,BS_RE33!$P$7:$P$874,'30 days CF Table(NZD)'!G40,BS_RE33!$F$7:$F$874,'30 days CF Table(NZD)'!$C$2)</f>
        <v>0</v>
      </c>
      <c r="U40" s="337">
        <f>SUMIFS(BS_RE33!$H$7:$H$874,BS_RE33!$S$7:$S$874,$U$2,BS_RE33!$N$7:$N$874,I40,BS_RE33!$P$7:$P$874,'30 days CF Table(NZD)'!G40,BS_RE33!$F$7:$F$874,'30 days CF Table(NZD)'!$C$2)</f>
        <v>0</v>
      </c>
      <c r="V40" s="337">
        <f>SUMIFS(BS_RE33!$H$7:$H$874,BS_RE33!$S$7:$S$874,$V$2,BS_RE33!$N$7:$N$874,I40,BS_RE33!$P$7:$P$874,'30 days CF Table(NZD)'!G40,BS_RE33!$F$7:$F$874,'30 days CF Table(NZD)'!$C$2)</f>
        <v>0</v>
      </c>
      <c r="W40" s="337">
        <f>SUMIFS(BS_RE33!$H$7:$H$874,BS_RE33!$S$7:$S$874,$W$2,BS_RE33!$N$7:$N$874,I40,BS_RE33!$P$7:$P$874,'30 days CF Table(NZD)'!G40,BS_RE33!$F$7:$F$874,'30 days CF Table(NZD)'!$C$2)</f>
        <v>0</v>
      </c>
      <c r="X40" s="337">
        <f>SUMIFS(BS_RE33!$H$7:$H$874,BS_RE33!$S$7:$S$874,$X$2,BS_RE33!$N$7:$N$874,I40,BS_RE33!$P$7:$P$874,'30 days CF Table(NZD)'!G40,BS_RE33!$F$7:$F$874,'30 days CF Table(NZD)'!$C$2)</f>
        <v>0</v>
      </c>
      <c r="Y40" s="337">
        <f>SUMIFS(BS_RE33!$H$7:$H$874,BS_RE33!$S$7:$S$874,$Y$2,BS_RE33!$N$7:$N$874,I40,BS_RE33!$P$7:$P$874,'30 days CF Table(NZD)'!G40,BS_RE33!$F$7:$F$874,'30 days CF Table(NZD)'!$C$2)</f>
        <v>0</v>
      </c>
      <c r="Z40" s="337">
        <f>SUMIFS(BS_RE33!$H$7:$H$874,BS_RE33!$S$7:$S$874,$Z$2,BS_RE33!$N$7:$N$874,I40,BS_RE33!$P$7:$P$874,'30 days CF Table(NZD)'!G40,BS_RE33!$F$7:$F$874,'30 days CF Table(NZD)'!$C$2)</f>
        <v>0</v>
      </c>
      <c r="AA40" s="337">
        <f>SUMIFS(BS_RE33!$H$7:$H$874,BS_RE33!$S$7:$S$874,$AA$2,BS_RE33!$N$7:$N$874,I40,BS_RE33!$P$7:$P$874,'30 days CF Table(NZD)'!G40,BS_RE33!$F$7:$F$874,'30 days CF Table(NZD)'!$C$2)</f>
        <v>0</v>
      </c>
      <c r="AB40" s="337">
        <f>SUMIFS(BS_RE33!$H$7:$H$874,BS_RE33!$S$7:$S$874,$AB$2,BS_RE33!$N$7:$N$874,I40,BS_RE33!$P$7:$P$874,'30 days CF Table(NZD)'!G40,BS_RE33!$F$7:$F$874,'30 days CF Table(NZD)'!$C$2)</f>
        <v>0</v>
      </c>
      <c r="AC40" s="337">
        <f>SUMIFS(BS_RE33!$H$7:$H$874,BS_RE33!$S$7:$S$874,$AC$2,BS_RE33!$N$7:$N$874,I40,BS_RE33!$P$7:$P$874,'30 days CF Table(NZD)'!G40,BS_RE33!$F$7:$F$874,'30 days CF Table(NZD)'!$C$2)</f>
        <v>0</v>
      </c>
      <c r="AD40" s="337">
        <f>SUMIFS(BS_RE33!$H$7:$H$874,BS_RE33!$S$7:$S$874,$AD$2,BS_RE33!$N$7:$N$874,I40,BS_RE33!$P$7:$P$874,'30 days CF Table(NZD)'!G40,BS_RE33!$F$7:$F$874,'30 days CF Table(NZD)'!$C$2)</f>
        <v>0</v>
      </c>
      <c r="AE40" s="337">
        <f>SUMIFS(BS_RE33!$H$7:$H$874,BS_RE33!$S$7:$S$874,$AE$2,BS_RE33!$N$7:$N$874,I40,BS_RE33!$P$7:$P$874,'30 days CF Table(NZD)'!G40,BS_RE33!$F$7:$F$874,'30 days CF Table(NZD)'!$C$2)</f>
        <v>0</v>
      </c>
      <c r="AF40" s="337">
        <f>SUMIFS(BS_RE33!$H$7:$H$874,BS_RE33!$S$7:$S$874,$AF$2,BS_RE33!$N$7:$N$874,I40,BS_RE33!$P$7:$P$874,'30 days CF Table(NZD)'!G40,BS_RE33!$F$7:$F$874,'30 days CF Table(NZD)'!$C$2)</f>
        <v>0</v>
      </c>
      <c r="AG40" s="337">
        <f>SUMIFS(BS_RE33!$H$7:$H$874,BS_RE33!$S$7:$S$874,$AG$2,BS_RE33!$N$7:$N$874,I40,BS_RE33!$P$7:$P$874,'30 days CF Table(NZD)'!G40,BS_RE33!$F$7:$F$874,'30 days CF Table(NZD)'!$C$2)</f>
        <v>0</v>
      </c>
      <c r="AH40" s="337">
        <f>SUMIFS(BS_RE33!$H$7:$H$874,BS_RE33!$S$7:$S$874,$AH$2,BS_RE33!$N$7:$N$874,I40,BS_RE33!$P$7:$P$874,'30 days CF Table(NZD)'!G40,BS_RE33!$F$7:$F$874,'30 days CF Table(NZD)'!$C$2)</f>
        <v>0</v>
      </c>
      <c r="AI40" s="337">
        <f>SUMIFS(BS_RE33!$H$7:$H$874,BS_RE33!$S$7:$S$874,$AI$2,BS_RE33!$N$7:$N$874,I40,BS_RE33!$P$7:$P$874,'30 days CF Table(NZD)'!G40,BS_RE33!$F$7:$F$874,'30 days CF Table(NZD)'!$C$2)</f>
        <v>0</v>
      </c>
      <c r="AJ40" s="337">
        <f>SUMIFS(BS_RE33!$H$7:$H$874,BS_RE33!$S$7:$S$874,$AJ$2,BS_RE33!$N$7:$N$874,I40,BS_RE33!$P$7:$P$874,'30 days CF Table(NZD)'!G40,BS_RE33!$F$7:$F$874,'30 days CF Table(NZD)'!$C$2)</f>
        <v>0</v>
      </c>
      <c r="AK40" s="337">
        <f>SUMIFS(BS_RE33!$H$7:$H$874,BS_RE33!$S$7:$S$874,$AK$2,BS_RE33!$N$7:$N$874,I40,BS_RE33!$P$7:$P$874,'30 days CF Table(NZD)'!G40,BS_RE33!$F$7:$F$874,'30 days CF Table(NZD)'!$C$2)</f>
        <v>0</v>
      </c>
      <c r="AL40" s="337">
        <f>SUMIFS(BS_RE33!$H$7:$H$874,BS_RE33!$S$7:$S$874,$AL$2,BS_RE33!$N$7:$N$874,I40,BS_RE33!$P$7:$P$874,'30 days CF Table(NZD)'!G40,BS_RE33!$F$7:$F$874,'30 days CF Table(NZD)'!$C$2)</f>
        <v>0</v>
      </c>
      <c r="AM40" s="337">
        <f>SUMIFS(BS_RE33!$H$7:$H$874,BS_RE33!$S$7:$S$874,$AM$2,BS_RE33!$N$7:$N$874,I40,BS_RE33!$P$7:$P$874,'30 days CF Table(NZD)'!G40,BS_RE33!$F$7:$F$874,'30 days CF Table(NZD)'!$C$2)</f>
        <v>0</v>
      </c>
      <c r="AN40" s="337">
        <f>SUMIFS(BS_RE33!$H$7:$H$874,BS_RE33!$S$7:$S$874,$AN$2,BS_RE33!$N$7:$N$874,I40,BS_RE33!$P$7:$P$874,'30 days CF Table(NZD)'!G40,BS_RE33!$F$7:$F$874,'30 days CF Table(NZD)'!$C$2)</f>
        <v>0</v>
      </c>
      <c r="AO40" s="337">
        <f>SUMIFS(BS_RE33!$H$7:$H$874,BS_RE33!$S$7:$S$874,$AO$2,BS_RE33!$N$7:$N$874,I40,BS_RE33!$P$7:$P$874,'30 days CF Table(NZD)'!G40,BS_RE33!$F$7:$F$874,'30 days CF Table(NZD)'!$C$2)</f>
        <v>0</v>
      </c>
      <c r="AP40" s="338">
        <f>SUMIFS(BS_RE33!$H$7:$H$874,BS_RE33!$S$7:$S$874,$AP$2,BS_RE33!$N$7:$N$874,I40,BS_RE33!$P$7:$P$874,'30 days CF Table(NZD)'!G40,BS_RE33!$F$7:$F$874,'30 days CF Table(NZD)'!$C$2)</f>
        <v>0</v>
      </c>
      <c r="AR40" s="379">
        <f>SUMIFS(BS_RE33!$H$7:$H$874,BS_RE33!$S$7:$S$874,$AR$2,BS_RE33!$N$7:$N$874,I40,BS_RE33!$P$7:$P$874,'30 days CF Table(NZD)'!G40,BS_RE33!$F$7:$F$874,'30 days CF Table(NZD)'!$C$2)</f>
        <v>0</v>
      </c>
      <c r="AS40" s="379">
        <f>SUMIFS(BS_RE33!$H$7:$H$874,BS_RE33!$S$7:$S$874,$AS$2,BS_RE33!$N$7:$N$874,I40,BS_RE33!$P$7:$P$874,'30 days CF Table(NZD)'!G40,BS_RE33!$F$7:$F$874,'30 days CF Table(NZD)'!$C$2)</f>
        <v>0</v>
      </c>
      <c r="AT40" s="379">
        <f>SUMIFS(BS_RE33!$H$7:$H$874,BS_RE33!$S$7:$S$874,$AT$2,BS_RE33!$N$7:$N$874,I40,BS_RE33!$P$7:$P$874,'30 days CF Table(NZD)'!G40,BS_RE33!$F$7:$F$874,'30 days CF Table(NZD)'!$C$2)</f>
        <v>0</v>
      </c>
      <c r="AU40" s="379">
        <f>SUMIFS(BS_RE33!$H$7:$H$874,BS_RE33!$S$7:$S$874,$AU$2,BS_RE33!$N$7:$N$874,I40,BS_RE33!$P$7:$P$874,'30 days CF Table(NZD)'!G40,BS_RE33!$F$7:$F$874,'30 days CF Table(NZD)'!$C$2)</f>
        <v>0</v>
      </c>
      <c r="AV40" s="379">
        <f>SUMIFS(BS_RE33!$H$7:$H$874,BS_RE33!$S$7:$S$874,$AV$2,BS_RE33!$N$7:$N$874,I40,BS_RE33!$P$7:$P$874,'30 days CF Table(NZD)'!G40,BS_RE33!$F$7:$F$874,'30 days CF Table(NZD)'!$C$2)</f>
        <v>0</v>
      </c>
      <c r="AW40" s="379">
        <f>SUMIFS(BS_RE33!$H$7:$H$874,BS_RE33!$S$7:$S$874,$AW$2,BS_RE33!$N$7:$N$874,I40,BS_RE33!$P$7:$P$874,'30 days CF Table(NZD)'!G40,BS_RE33!$F$7:$F$874,'30 days CF Table(NZD)'!$C$2)</f>
        <v>0</v>
      </c>
      <c r="AX40" s="379">
        <f>SUMIFS(BS_RE33!$H$7:$H$874,BS_RE33!$S$7:$S$874,$AX$2,BS_RE33!$N$7:$N$874,I40,BS_RE33!$P$7:$P$874,'30 days CF Table(NZD)'!G40,BS_RE33!$F$7:$F$874,'30 days CF Table(NZD)'!$C$2)</f>
        <v>0</v>
      </c>
      <c r="AY40" s="379">
        <f>SUMIFS(BS_RE33!$H$7:$H$874,BS_RE33!$S$7:$S$874,$AY$2,BS_RE33!$N$7:$N$874,I40,BS_RE33!$P$7:$P$874,'30 days CF Table(NZD)'!G40,BS_RE33!$F$7:$F$874,'30 days CF Table(NZD)'!$C$2)</f>
        <v>0</v>
      </c>
      <c r="AZ40" s="379">
        <f>SUMIFS(BS_RE33!$H$7:$H$874,BS_RE33!$S$7:$S$874,$AZ$2,BS_RE33!$N$7:$N$874,I40,BS_RE33!$P$7:$P$874,'30 days CF Table(NZD)'!G40,BS_RE33!$F$7:$F$874,'30 days CF Table(NZD)'!$C$2)</f>
        <v>0</v>
      </c>
      <c r="BA40" s="379">
        <f>SUMIFS(BS_RE33!$H$7:$H$874,BS_RE33!$S$7:$S$874,$BA$2,BS_RE33!$N$7:$N$874,I40,BS_RE33!$P$7:$P$874,'30 days CF Table(NZD)'!G40,BS_RE33!$F$7:$F$874,'30 days CF Table(NZD)'!$C$2)</f>
        <v>0</v>
      </c>
      <c r="BB40" s="379">
        <f>SUMIFS(BS_RE33!$H$7:$H$874,BS_RE33!$S$7:$S$874,$BB$2,BS_RE33!$N$7:$N$874,I40,BS_RE33!$P$7:$P$874,'30 days CF Table(NZD)'!G40,BS_RE33!$F$7:$F$874,'30 days CF Table(NZD)'!$C$2)</f>
        <v>0</v>
      </c>
      <c r="BC40" s="379">
        <f>SUMIFS(BS_RE33!$H$7:$H$874,BS_RE33!$S$7:$S$874,$BC$2,BS_RE33!$N$7:$N$874,I40,BS_RE33!$P$7:$P$874,'30 days CF Table(NZD)'!G40,BS_RE33!$F$7:$F$874,'30 days CF Table(NZD)'!$C$2)</f>
        <v>0</v>
      </c>
      <c r="BD40" s="379">
        <f>SUMIFS(BS_RE33!$H$7:$H$874,BS_RE33!$S$7:$S$874,$BD$2,BS_RE33!$N$7:$N$874,I40,BS_RE33!$P$7:$P$874,'30 days CF Table(NZD)'!G40,BS_RE33!$F$7:$F$874,'30 days CF Table(NZD)'!$C$2)</f>
        <v>0</v>
      </c>
      <c r="BE40" s="379">
        <f>SUMIFS(BS_RE33!$H$7:$H$874,BS_RE33!$S$7:$S$874,$BE$2,BS_RE33!$N$7:$N$874,I40,BS_RE33!$P$7:$P$874,'30 days CF Table(NZD)'!G40,BS_RE33!$F$7:$F$874,'30 days CF Table(NZD)'!$C$2)</f>
        <v>0</v>
      </c>
      <c r="BF40" s="379">
        <f>SUMIFS(BS_RE33!$H$7:$H$874,BS_RE33!$S$7:$S$874,$BF$2,BS_RE33!$N$7:$N$874,I40,BS_RE33!$P$7:$P$874,'30 days CF Table(NZD)'!G40,BS_RE33!$F$7:$F$874,'30 days CF Table(NZD)'!$C$2)</f>
        <v>0</v>
      </c>
      <c r="BG40" s="379">
        <f>SUMIFS(BS_RE33!$H$7:$H$874,BS_RE33!$S$7:$S$874,$BG$2,BS_RE33!$N$7:$N$874,I40,BS_RE33!$P$7:$P$874,'30 days CF Table(NZD)'!G40,BS_RE33!$F$7:$F$874,'30 days CF Table(NZD)'!$C$2)</f>
        <v>0</v>
      </c>
      <c r="BH40" s="379">
        <f>SUMIFS(BS_RE33!$H$7:$H$874,BS_RE33!$S$7:$S$874,$BH$2,BS_RE33!$N$7:$N$874,I40,BS_RE33!$P$7:$P$874,'30 days CF Table(NZD)'!G40,BS_RE33!$F$7:$F$874,'30 days CF Table(NZD)'!$C$2)</f>
        <v>0</v>
      </c>
      <c r="BI40" s="379">
        <f>SUMIFS(BS_RE33!$H$7:$H$874,BS_RE33!$S$7:$S$874,$BI$2,BS_RE33!$N$7:$N$874,I40,BS_RE33!$P$7:$P$874,'30 days CF Table(NZD)'!G40,BS_RE33!$F$7:$F$874,'30 days CF Table(NZD)'!$C$2)</f>
        <v>0</v>
      </c>
      <c r="BJ40" s="379">
        <f>SUMIFS(BS_RE33!$H$7:$H$874,BS_RE33!$S$7:$S$874,$BJ$2,BS_RE33!$N$7:$N$874,I40,BS_RE33!$P$7:$P$874,'30 days CF Table(NZD)'!G40,BS_RE33!$F$7:$F$874,'30 days CF Table(NZD)'!$C$2)</f>
        <v>0</v>
      </c>
      <c r="BK40" s="379">
        <f>SUMIFS(BS_RE33!$H$7:$H$874,BS_RE33!$S$7:$S$874,$BK$2,BS_RE33!$N$7:$N$874,I40,BS_RE33!$P$7:$P$874,'30 days CF Table(NZD)'!G40,BS_RE33!$F$7:$F$874,'30 days CF Table(NZD)'!$C$2)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Table(NZD)'!G41,BS_RE33!$F$7:$F$874,'30 days CF Table(NZD)'!$C$2)</f>
        <v>0</v>
      </c>
      <c r="M41" s="337">
        <f>SUMIFS(BS_RE33!$H$7:$H$874,BS_RE33!$S$7:$S$874,$M$2,BS_RE33!$N$7:$N$874,I41,BS_RE33!$P$7:$P$874,'30 days CF Table(NZD)'!G41,BS_RE33!$F$7:$F$874,'30 days CF Table(NZD)'!$C$2)</f>
        <v>0</v>
      </c>
      <c r="N41" s="337">
        <f>SUMIFS(BS_RE33!$H$7:$H$874,BS_RE33!$S$7:$S$874,$N$2,BS_RE33!$N$7:$N$874,I41,BS_RE33!$P$7:$P$874,'30 days CF Table(NZD)'!G41,BS_RE33!$F$7:$F$874,'30 days CF Table(NZD)'!$C$2)</f>
        <v>0</v>
      </c>
      <c r="O41" s="337">
        <f>SUMIFS(BS_RE33!$H$7:$H$874,BS_RE33!$S$7:$S$874,$O$2,BS_RE33!$N$7:$N$874,I41,BS_RE33!$P$7:$P$874,'30 days CF Table(NZD)'!G41,BS_RE33!$F$7:$F$874,'30 days CF Table(NZD)'!$C$2)</f>
        <v>0</v>
      </c>
      <c r="P41" s="337">
        <f>SUMIFS(BS_RE33!$H$7:$H$874,BS_RE33!$S$7:$S$874,$P$2,BS_RE33!$N$7:$N$874,I41,BS_RE33!$P$7:$P$874,'30 days CF Table(NZD)'!G41,BS_RE33!$F$7:$F$874,'30 days CF Table(NZD)'!$C$2)</f>
        <v>0</v>
      </c>
      <c r="Q41" s="337">
        <f>SUMIFS(BS_RE33!$H$7:$H$874,BS_RE33!$S$7:$S$874,$Q$2,BS_RE33!$N$7:$N$874,I41,BS_RE33!$P$7:$P$874,'30 days CF Table(NZD)'!G41,BS_RE33!$F$7:$F$874,'30 days CF Table(NZD)'!$C$2)</f>
        <v>0</v>
      </c>
      <c r="R41" s="337">
        <f>SUMIFS(BS_RE33!$H$7:$H$874,BS_RE33!$S$7:$S$874,$R$2,BS_RE33!$N$7:$N$874,I41,BS_RE33!$P$7:$P$874,'30 days CF Table(NZD)'!G41,BS_RE33!$F$7:$F$874,'30 days CF Table(NZD)'!$C$2)</f>
        <v>0</v>
      </c>
      <c r="S41" s="337">
        <f>SUMIFS(BS_RE33!$H$7:$H$874,BS_RE33!$S$7:$S$874,$S$2,BS_RE33!$N$7:$N$874,I41,BS_RE33!$P$7:$P$874,'30 days CF Table(NZD)'!G41,BS_RE33!$F$7:$F$874,'30 days CF Table(NZD)'!$C$2)</f>
        <v>0</v>
      </c>
      <c r="T41" s="337">
        <f>SUMIFS(BS_RE33!$H$7:$H$874,BS_RE33!$S$7:$S$874,$T$2,BS_RE33!$N$7:$N$874,I41,BS_RE33!$P$7:$P$874,'30 days CF Table(NZD)'!G41,BS_RE33!$F$7:$F$874,'30 days CF Table(NZD)'!$C$2)</f>
        <v>0</v>
      </c>
      <c r="U41" s="337">
        <f>SUMIFS(BS_RE33!$H$7:$H$874,BS_RE33!$S$7:$S$874,$U$2,BS_RE33!$N$7:$N$874,I41,BS_RE33!$P$7:$P$874,'30 days CF Table(NZD)'!G41,BS_RE33!$F$7:$F$874,'30 days CF Table(NZD)'!$C$2)</f>
        <v>0</v>
      </c>
      <c r="V41" s="337">
        <f>SUMIFS(BS_RE33!$H$7:$H$874,BS_RE33!$S$7:$S$874,$V$2,BS_RE33!$N$7:$N$874,I41,BS_RE33!$P$7:$P$874,'30 days CF Table(NZD)'!G41,BS_RE33!$F$7:$F$874,'30 days CF Table(NZD)'!$C$2)</f>
        <v>0</v>
      </c>
      <c r="W41" s="337">
        <f>SUMIFS(BS_RE33!$H$7:$H$874,BS_RE33!$S$7:$S$874,$W$2,BS_RE33!$N$7:$N$874,I41,BS_RE33!$P$7:$P$874,'30 days CF Table(NZD)'!G41,BS_RE33!$F$7:$F$874,'30 days CF Table(NZD)'!$C$2)</f>
        <v>0</v>
      </c>
      <c r="X41" s="337">
        <f>SUMIFS(BS_RE33!$H$7:$H$874,BS_RE33!$S$7:$S$874,$X$2,BS_RE33!$N$7:$N$874,I41,BS_RE33!$P$7:$P$874,'30 days CF Table(NZD)'!G41,BS_RE33!$F$7:$F$874,'30 days CF Table(NZD)'!$C$2)</f>
        <v>0</v>
      </c>
      <c r="Y41" s="337">
        <f>SUMIFS(BS_RE33!$H$7:$H$874,BS_RE33!$S$7:$S$874,$Y$2,BS_RE33!$N$7:$N$874,I41,BS_RE33!$P$7:$P$874,'30 days CF Table(NZD)'!G41,BS_RE33!$F$7:$F$874,'30 days CF Table(NZD)'!$C$2)</f>
        <v>0</v>
      </c>
      <c r="Z41" s="337">
        <f>SUMIFS(BS_RE33!$H$7:$H$874,BS_RE33!$S$7:$S$874,$Z$2,BS_RE33!$N$7:$N$874,I41,BS_RE33!$P$7:$P$874,'30 days CF Table(NZD)'!G41,BS_RE33!$F$7:$F$874,'30 days CF Table(NZD)'!$C$2)</f>
        <v>0</v>
      </c>
      <c r="AA41" s="337">
        <f>SUMIFS(BS_RE33!$H$7:$H$874,BS_RE33!$S$7:$S$874,$AA$2,BS_RE33!$N$7:$N$874,I41,BS_RE33!$P$7:$P$874,'30 days CF Table(NZD)'!G41,BS_RE33!$F$7:$F$874,'30 days CF Table(NZD)'!$C$2)</f>
        <v>0</v>
      </c>
      <c r="AB41" s="337">
        <f>SUMIFS(BS_RE33!$H$7:$H$874,BS_RE33!$S$7:$S$874,$AB$2,BS_RE33!$N$7:$N$874,I41,BS_RE33!$P$7:$P$874,'30 days CF Table(NZD)'!G41,BS_RE33!$F$7:$F$874,'30 days CF Table(NZD)'!$C$2)</f>
        <v>0</v>
      </c>
      <c r="AC41" s="337">
        <f>SUMIFS(BS_RE33!$H$7:$H$874,BS_RE33!$S$7:$S$874,$AC$2,BS_RE33!$N$7:$N$874,I41,BS_RE33!$P$7:$P$874,'30 days CF Table(NZD)'!G41,BS_RE33!$F$7:$F$874,'30 days CF Table(NZD)'!$C$2)</f>
        <v>0</v>
      </c>
      <c r="AD41" s="337">
        <f>SUMIFS(BS_RE33!$H$7:$H$874,BS_RE33!$S$7:$S$874,$AD$2,BS_RE33!$N$7:$N$874,I41,BS_RE33!$P$7:$P$874,'30 days CF Table(NZD)'!G41,BS_RE33!$F$7:$F$874,'30 days CF Table(NZD)'!$C$2)</f>
        <v>0</v>
      </c>
      <c r="AE41" s="337">
        <f>SUMIFS(BS_RE33!$H$7:$H$874,BS_RE33!$S$7:$S$874,$AE$2,BS_RE33!$N$7:$N$874,I41,BS_RE33!$P$7:$P$874,'30 days CF Table(NZD)'!G41,BS_RE33!$F$7:$F$874,'30 days CF Table(NZD)'!$C$2)</f>
        <v>0</v>
      </c>
      <c r="AF41" s="337">
        <f>SUMIFS(BS_RE33!$H$7:$H$874,BS_RE33!$S$7:$S$874,$AF$2,BS_RE33!$N$7:$N$874,I41,BS_RE33!$P$7:$P$874,'30 days CF Table(NZD)'!G41,BS_RE33!$F$7:$F$874,'30 days CF Table(NZD)'!$C$2)</f>
        <v>0</v>
      </c>
      <c r="AG41" s="337">
        <f>SUMIFS(BS_RE33!$H$7:$H$874,BS_RE33!$S$7:$S$874,$AG$2,BS_RE33!$N$7:$N$874,I41,BS_RE33!$P$7:$P$874,'30 days CF Table(NZD)'!G41,BS_RE33!$F$7:$F$874,'30 days CF Table(NZD)'!$C$2)</f>
        <v>0</v>
      </c>
      <c r="AH41" s="337">
        <f>SUMIFS(BS_RE33!$H$7:$H$874,BS_RE33!$S$7:$S$874,$AH$2,BS_RE33!$N$7:$N$874,I41,BS_RE33!$P$7:$P$874,'30 days CF Table(NZD)'!G41,BS_RE33!$F$7:$F$874,'30 days CF Table(NZD)'!$C$2)</f>
        <v>0</v>
      </c>
      <c r="AI41" s="337">
        <f>SUMIFS(BS_RE33!$H$7:$H$874,BS_RE33!$S$7:$S$874,$AI$2,BS_RE33!$N$7:$N$874,I41,BS_RE33!$P$7:$P$874,'30 days CF Table(NZD)'!G41,BS_RE33!$F$7:$F$874,'30 days CF Table(NZD)'!$C$2)</f>
        <v>0</v>
      </c>
      <c r="AJ41" s="337">
        <f>SUMIFS(BS_RE33!$H$7:$H$874,BS_RE33!$S$7:$S$874,$AJ$2,BS_RE33!$N$7:$N$874,I41,BS_RE33!$P$7:$P$874,'30 days CF Table(NZD)'!G41,BS_RE33!$F$7:$F$874,'30 days CF Table(NZD)'!$C$2)</f>
        <v>0</v>
      </c>
      <c r="AK41" s="337">
        <f>SUMIFS(BS_RE33!$H$7:$H$874,BS_RE33!$S$7:$S$874,$AK$2,BS_RE33!$N$7:$N$874,I41,BS_RE33!$P$7:$P$874,'30 days CF Table(NZD)'!G41,BS_RE33!$F$7:$F$874,'30 days CF Table(NZD)'!$C$2)</f>
        <v>0</v>
      </c>
      <c r="AL41" s="337">
        <f>SUMIFS(BS_RE33!$H$7:$H$874,BS_RE33!$S$7:$S$874,$AL$2,BS_RE33!$N$7:$N$874,I41,BS_RE33!$P$7:$P$874,'30 days CF Table(NZD)'!G41,BS_RE33!$F$7:$F$874,'30 days CF Table(NZD)'!$C$2)</f>
        <v>0</v>
      </c>
      <c r="AM41" s="337">
        <f>SUMIFS(BS_RE33!$H$7:$H$874,BS_RE33!$S$7:$S$874,$AM$2,BS_RE33!$N$7:$N$874,I41,BS_RE33!$P$7:$P$874,'30 days CF Table(NZD)'!G41,BS_RE33!$F$7:$F$874,'30 days CF Table(NZD)'!$C$2)</f>
        <v>0</v>
      </c>
      <c r="AN41" s="337">
        <f>SUMIFS(BS_RE33!$H$7:$H$874,BS_RE33!$S$7:$S$874,$AN$2,BS_RE33!$N$7:$N$874,I41,BS_RE33!$P$7:$P$874,'30 days CF Table(NZD)'!G41,BS_RE33!$F$7:$F$874,'30 days CF Table(NZD)'!$C$2)</f>
        <v>0</v>
      </c>
      <c r="AO41" s="337">
        <f>SUMIFS(BS_RE33!$H$7:$H$874,BS_RE33!$S$7:$S$874,$AO$2,BS_RE33!$N$7:$N$874,I41,BS_RE33!$P$7:$P$874,'30 days CF Table(NZD)'!G41,BS_RE33!$F$7:$F$874,'30 days CF Table(NZD)'!$C$2)</f>
        <v>0</v>
      </c>
      <c r="AP41" s="338">
        <f>SUMIFS(BS_RE33!$H$7:$H$874,BS_RE33!$S$7:$S$874,$AP$2,BS_RE33!$N$7:$N$874,I41,BS_RE33!$P$7:$P$874,'30 days CF Table(NZD)'!G41,BS_RE33!$F$7:$F$874,'30 days CF Table(NZD)'!$C$2)</f>
        <v>0</v>
      </c>
      <c r="AR41" s="379">
        <f>SUMIFS(BS_RE33!$H$7:$H$874,BS_RE33!$S$7:$S$874,$AR$2,BS_RE33!$N$7:$N$874,I41,BS_RE33!$P$7:$P$874,'30 days CF Table(NZD)'!G41,BS_RE33!$F$7:$F$874,'30 days CF Table(NZD)'!$C$2)</f>
        <v>0</v>
      </c>
      <c r="AS41" s="379">
        <f>SUMIFS(BS_RE33!$H$7:$H$874,BS_RE33!$S$7:$S$874,$AS$2,BS_RE33!$N$7:$N$874,I41,BS_RE33!$P$7:$P$874,'30 days CF Table(NZD)'!G41,BS_RE33!$F$7:$F$874,'30 days CF Table(NZD)'!$C$2)</f>
        <v>0</v>
      </c>
      <c r="AT41" s="379">
        <f>SUMIFS(BS_RE33!$H$7:$H$874,BS_RE33!$S$7:$S$874,$AT$2,BS_RE33!$N$7:$N$874,I41,BS_RE33!$P$7:$P$874,'30 days CF Table(NZD)'!G41,BS_RE33!$F$7:$F$874,'30 days CF Table(NZD)'!$C$2)</f>
        <v>0</v>
      </c>
      <c r="AU41" s="379">
        <f>SUMIFS(BS_RE33!$H$7:$H$874,BS_RE33!$S$7:$S$874,$AU$2,BS_RE33!$N$7:$N$874,I41,BS_RE33!$P$7:$P$874,'30 days CF Table(NZD)'!G41,BS_RE33!$F$7:$F$874,'30 days CF Table(NZD)'!$C$2)</f>
        <v>0</v>
      </c>
      <c r="AV41" s="379">
        <f>SUMIFS(BS_RE33!$H$7:$H$874,BS_RE33!$S$7:$S$874,$AV$2,BS_RE33!$N$7:$N$874,I41,BS_RE33!$P$7:$P$874,'30 days CF Table(NZD)'!G41,BS_RE33!$F$7:$F$874,'30 days CF Table(NZD)'!$C$2)</f>
        <v>0</v>
      </c>
      <c r="AW41" s="379">
        <f>SUMIFS(BS_RE33!$H$7:$H$874,BS_RE33!$S$7:$S$874,$AW$2,BS_RE33!$N$7:$N$874,I41,BS_RE33!$P$7:$P$874,'30 days CF Table(NZD)'!G41,BS_RE33!$F$7:$F$874,'30 days CF Table(NZD)'!$C$2)</f>
        <v>0</v>
      </c>
      <c r="AX41" s="379">
        <f>SUMIFS(BS_RE33!$H$7:$H$874,BS_RE33!$S$7:$S$874,$AX$2,BS_RE33!$N$7:$N$874,I41,BS_RE33!$P$7:$P$874,'30 days CF Table(NZD)'!G41,BS_RE33!$F$7:$F$874,'30 days CF Table(NZD)'!$C$2)</f>
        <v>0</v>
      </c>
      <c r="AY41" s="379">
        <f>SUMIFS(BS_RE33!$H$7:$H$874,BS_RE33!$S$7:$S$874,$AY$2,BS_RE33!$N$7:$N$874,I41,BS_RE33!$P$7:$P$874,'30 days CF Table(NZD)'!G41,BS_RE33!$F$7:$F$874,'30 days CF Table(NZD)'!$C$2)</f>
        <v>0</v>
      </c>
      <c r="AZ41" s="379">
        <f>SUMIFS(BS_RE33!$H$7:$H$874,BS_RE33!$S$7:$S$874,$AZ$2,BS_RE33!$N$7:$N$874,I41,BS_RE33!$P$7:$P$874,'30 days CF Table(NZD)'!G41,BS_RE33!$F$7:$F$874,'30 days CF Table(NZD)'!$C$2)</f>
        <v>0</v>
      </c>
      <c r="BA41" s="379">
        <f>SUMIFS(BS_RE33!$H$7:$H$874,BS_RE33!$S$7:$S$874,$BA$2,BS_RE33!$N$7:$N$874,I41,BS_RE33!$P$7:$P$874,'30 days CF Table(NZD)'!G41,BS_RE33!$F$7:$F$874,'30 days CF Table(NZD)'!$C$2)</f>
        <v>0</v>
      </c>
      <c r="BB41" s="379">
        <f>SUMIFS(BS_RE33!$H$7:$H$874,BS_RE33!$S$7:$S$874,$BB$2,BS_RE33!$N$7:$N$874,I41,BS_RE33!$P$7:$P$874,'30 days CF Table(NZD)'!G41,BS_RE33!$F$7:$F$874,'30 days CF Table(NZD)'!$C$2)</f>
        <v>0</v>
      </c>
      <c r="BC41" s="379">
        <f>SUMIFS(BS_RE33!$H$7:$H$874,BS_RE33!$S$7:$S$874,$BC$2,BS_RE33!$N$7:$N$874,I41,BS_RE33!$P$7:$P$874,'30 days CF Table(NZD)'!G41,BS_RE33!$F$7:$F$874,'30 days CF Table(NZD)'!$C$2)</f>
        <v>0</v>
      </c>
      <c r="BD41" s="379">
        <f>SUMIFS(BS_RE33!$H$7:$H$874,BS_RE33!$S$7:$S$874,$BD$2,BS_RE33!$N$7:$N$874,I41,BS_RE33!$P$7:$P$874,'30 days CF Table(NZD)'!G41,BS_RE33!$F$7:$F$874,'30 days CF Table(NZD)'!$C$2)</f>
        <v>0</v>
      </c>
      <c r="BE41" s="379">
        <f>SUMIFS(BS_RE33!$H$7:$H$874,BS_RE33!$S$7:$S$874,$BE$2,BS_RE33!$N$7:$N$874,I41,BS_RE33!$P$7:$P$874,'30 days CF Table(NZD)'!G41,BS_RE33!$F$7:$F$874,'30 days CF Table(NZD)'!$C$2)</f>
        <v>0</v>
      </c>
      <c r="BF41" s="379">
        <f>SUMIFS(BS_RE33!$H$7:$H$874,BS_RE33!$S$7:$S$874,$BF$2,BS_RE33!$N$7:$N$874,I41,BS_RE33!$P$7:$P$874,'30 days CF Table(NZD)'!G41,BS_RE33!$F$7:$F$874,'30 days CF Table(NZD)'!$C$2)</f>
        <v>0</v>
      </c>
      <c r="BG41" s="379">
        <f>SUMIFS(BS_RE33!$H$7:$H$874,BS_RE33!$S$7:$S$874,$BG$2,BS_RE33!$N$7:$N$874,I41,BS_RE33!$P$7:$P$874,'30 days CF Table(NZD)'!G41,BS_RE33!$F$7:$F$874,'30 days CF Table(NZD)'!$C$2)</f>
        <v>0</v>
      </c>
      <c r="BH41" s="379">
        <f>SUMIFS(BS_RE33!$H$7:$H$874,BS_RE33!$S$7:$S$874,$BH$2,BS_RE33!$N$7:$N$874,I41,BS_RE33!$P$7:$P$874,'30 days CF Table(NZD)'!G41,BS_RE33!$F$7:$F$874,'30 days CF Table(NZD)'!$C$2)</f>
        <v>0</v>
      </c>
      <c r="BI41" s="379">
        <f>SUMIFS(BS_RE33!$H$7:$H$874,BS_RE33!$S$7:$S$874,$BI$2,BS_RE33!$N$7:$N$874,I41,BS_RE33!$P$7:$P$874,'30 days CF Table(NZD)'!G41,BS_RE33!$F$7:$F$874,'30 days CF Table(NZD)'!$C$2)</f>
        <v>0</v>
      </c>
      <c r="BJ41" s="379">
        <f>SUMIFS(BS_RE33!$H$7:$H$874,BS_RE33!$S$7:$S$874,$BJ$2,BS_RE33!$N$7:$N$874,I41,BS_RE33!$P$7:$P$874,'30 days CF Table(NZD)'!G41,BS_RE33!$F$7:$F$874,'30 days CF Table(NZD)'!$C$2)</f>
        <v>0</v>
      </c>
      <c r="BK41" s="379">
        <f>SUMIFS(BS_RE33!$H$7:$H$874,BS_RE33!$S$7:$S$874,$BK$2,BS_RE33!$N$7:$N$874,I41,BS_RE33!$P$7:$P$874,'30 days CF Table(NZD)'!G41,BS_RE33!$F$7:$F$874,'30 days CF Table(NZD)'!$C$2)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Table(NZD)'!G42,BS_RE33!$F$7:$F$874,'30 days CF Table(NZD)'!$C$2)</f>
        <v>0</v>
      </c>
      <c r="M42" s="337">
        <f>SUMIFS(BS_RE33!$H$7:$H$874,BS_RE33!$S$7:$S$874,$M$2,BS_RE33!$N$7:$N$874,I42,BS_RE33!$P$7:$P$874,'30 days CF Table(NZD)'!G42,BS_RE33!$F$7:$F$874,'30 days CF Table(NZD)'!$C$2)</f>
        <v>0</v>
      </c>
      <c r="N42" s="337">
        <f>SUMIFS(BS_RE33!$H$7:$H$874,BS_RE33!$S$7:$S$874,$N$2,BS_RE33!$N$7:$N$874,I42,BS_RE33!$P$7:$P$874,'30 days CF Table(NZD)'!G42,BS_RE33!$F$7:$F$874,'30 days CF Table(NZD)'!$C$2)</f>
        <v>0</v>
      </c>
      <c r="O42" s="337">
        <f>SUMIFS(BS_RE33!$H$7:$H$874,BS_RE33!$S$7:$S$874,$O$2,BS_RE33!$N$7:$N$874,I42,BS_RE33!$P$7:$P$874,'30 days CF Table(NZD)'!G42,BS_RE33!$F$7:$F$874,'30 days CF Table(NZD)'!$C$2)</f>
        <v>0</v>
      </c>
      <c r="P42" s="337">
        <f>SUMIFS(BS_RE33!$H$7:$H$874,BS_RE33!$S$7:$S$874,$P$2,BS_RE33!$N$7:$N$874,I42,BS_RE33!$P$7:$P$874,'30 days CF Table(NZD)'!G42,BS_RE33!$F$7:$F$874,'30 days CF Table(NZD)'!$C$2)</f>
        <v>0</v>
      </c>
      <c r="Q42" s="337">
        <f>SUMIFS(BS_RE33!$H$7:$H$874,BS_RE33!$S$7:$S$874,$Q$2,BS_RE33!$N$7:$N$874,I42,BS_RE33!$P$7:$P$874,'30 days CF Table(NZD)'!G42,BS_RE33!$F$7:$F$874,'30 days CF Table(NZD)'!$C$2)</f>
        <v>0</v>
      </c>
      <c r="R42" s="337">
        <f>SUMIFS(BS_RE33!$H$7:$H$874,BS_RE33!$S$7:$S$874,$R$2,BS_RE33!$N$7:$N$874,I42,BS_RE33!$P$7:$P$874,'30 days CF Table(NZD)'!G42,BS_RE33!$F$7:$F$874,'30 days CF Table(NZD)'!$C$2)</f>
        <v>0</v>
      </c>
      <c r="S42" s="337">
        <f>SUMIFS(BS_RE33!$H$7:$H$874,BS_RE33!$S$7:$S$874,$S$2,BS_RE33!$N$7:$N$874,I42,BS_RE33!$P$7:$P$874,'30 days CF Table(NZD)'!G42,BS_RE33!$F$7:$F$874,'30 days CF Table(NZD)'!$C$2)</f>
        <v>0</v>
      </c>
      <c r="T42" s="337">
        <f>SUMIFS(BS_RE33!$H$7:$H$874,BS_RE33!$S$7:$S$874,$T$2,BS_RE33!$N$7:$N$874,I42,BS_RE33!$P$7:$P$874,'30 days CF Table(NZD)'!G42,BS_RE33!$F$7:$F$874,'30 days CF Table(NZD)'!$C$2)</f>
        <v>0</v>
      </c>
      <c r="U42" s="337">
        <f>SUMIFS(BS_RE33!$H$7:$H$874,BS_RE33!$S$7:$S$874,$U$2,BS_RE33!$N$7:$N$874,I42,BS_RE33!$P$7:$P$874,'30 days CF Table(NZD)'!G42,BS_RE33!$F$7:$F$874,'30 days CF Table(NZD)'!$C$2)</f>
        <v>0</v>
      </c>
      <c r="V42" s="337">
        <f>SUMIFS(BS_RE33!$H$7:$H$874,BS_RE33!$S$7:$S$874,$V$2,BS_RE33!$N$7:$N$874,I42,BS_RE33!$P$7:$P$874,'30 days CF Table(NZD)'!G42,BS_RE33!$F$7:$F$874,'30 days CF Table(NZD)'!$C$2)</f>
        <v>0</v>
      </c>
      <c r="W42" s="337">
        <f>SUMIFS(BS_RE33!$H$7:$H$874,BS_RE33!$S$7:$S$874,$W$2,BS_RE33!$N$7:$N$874,I42,BS_RE33!$P$7:$P$874,'30 days CF Table(NZD)'!G42,BS_RE33!$F$7:$F$874,'30 days CF Table(NZD)'!$C$2)</f>
        <v>0</v>
      </c>
      <c r="X42" s="337">
        <f>SUMIFS(BS_RE33!$H$7:$H$874,BS_RE33!$S$7:$S$874,$X$2,BS_RE33!$N$7:$N$874,I42,BS_RE33!$P$7:$P$874,'30 days CF Table(NZD)'!G42,BS_RE33!$F$7:$F$874,'30 days CF Table(NZD)'!$C$2)</f>
        <v>0</v>
      </c>
      <c r="Y42" s="337">
        <f>SUMIFS(BS_RE33!$H$7:$H$874,BS_RE33!$S$7:$S$874,$Y$2,BS_RE33!$N$7:$N$874,I42,BS_RE33!$P$7:$P$874,'30 days CF Table(NZD)'!G42,BS_RE33!$F$7:$F$874,'30 days CF Table(NZD)'!$C$2)</f>
        <v>0</v>
      </c>
      <c r="Z42" s="337">
        <f>SUMIFS(BS_RE33!$H$7:$H$874,BS_RE33!$S$7:$S$874,$Z$2,BS_RE33!$N$7:$N$874,I42,BS_RE33!$P$7:$P$874,'30 days CF Table(NZD)'!G42,BS_RE33!$F$7:$F$874,'30 days CF Table(NZD)'!$C$2)</f>
        <v>0</v>
      </c>
      <c r="AA42" s="337">
        <f>SUMIFS(BS_RE33!$H$7:$H$874,BS_RE33!$S$7:$S$874,$AA$2,BS_RE33!$N$7:$N$874,I42,BS_RE33!$P$7:$P$874,'30 days CF Table(NZD)'!G42,BS_RE33!$F$7:$F$874,'30 days CF Table(NZD)'!$C$2)</f>
        <v>0</v>
      </c>
      <c r="AB42" s="337">
        <f>SUMIFS(BS_RE33!$H$7:$H$874,BS_RE33!$S$7:$S$874,$AB$2,BS_RE33!$N$7:$N$874,I42,BS_RE33!$P$7:$P$874,'30 days CF Table(NZD)'!G42,BS_RE33!$F$7:$F$874,'30 days CF Table(NZD)'!$C$2)</f>
        <v>0</v>
      </c>
      <c r="AC42" s="337">
        <f>SUMIFS(BS_RE33!$H$7:$H$874,BS_RE33!$S$7:$S$874,$AC$2,BS_RE33!$N$7:$N$874,I42,BS_RE33!$P$7:$P$874,'30 days CF Table(NZD)'!G42,BS_RE33!$F$7:$F$874,'30 days CF Table(NZD)'!$C$2)</f>
        <v>0</v>
      </c>
      <c r="AD42" s="337">
        <f>SUMIFS(BS_RE33!$H$7:$H$874,BS_RE33!$S$7:$S$874,$AD$2,BS_RE33!$N$7:$N$874,I42,BS_RE33!$P$7:$P$874,'30 days CF Table(NZD)'!G42,BS_RE33!$F$7:$F$874,'30 days CF Table(NZD)'!$C$2)</f>
        <v>0</v>
      </c>
      <c r="AE42" s="337">
        <f>SUMIFS(BS_RE33!$H$7:$H$874,BS_RE33!$S$7:$S$874,$AE$2,BS_RE33!$N$7:$N$874,I42,BS_RE33!$P$7:$P$874,'30 days CF Table(NZD)'!G42,BS_RE33!$F$7:$F$874,'30 days CF Table(NZD)'!$C$2)</f>
        <v>0</v>
      </c>
      <c r="AF42" s="337">
        <f>SUMIFS(BS_RE33!$H$7:$H$874,BS_RE33!$S$7:$S$874,$AF$2,BS_RE33!$N$7:$N$874,I42,BS_RE33!$P$7:$P$874,'30 days CF Table(NZD)'!G42,BS_RE33!$F$7:$F$874,'30 days CF Table(NZD)'!$C$2)</f>
        <v>0</v>
      </c>
      <c r="AG42" s="337">
        <f>SUMIFS(BS_RE33!$H$7:$H$874,BS_RE33!$S$7:$S$874,$AG$2,BS_RE33!$N$7:$N$874,I42,BS_RE33!$P$7:$P$874,'30 days CF Table(NZD)'!G42,BS_RE33!$F$7:$F$874,'30 days CF Table(NZD)'!$C$2)</f>
        <v>0</v>
      </c>
      <c r="AH42" s="337">
        <f>SUMIFS(BS_RE33!$H$7:$H$874,BS_RE33!$S$7:$S$874,$AH$2,BS_RE33!$N$7:$N$874,I42,BS_RE33!$P$7:$P$874,'30 days CF Table(NZD)'!G42,BS_RE33!$F$7:$F$874,'30 days CF Table(NZD)'!$C$2)</f>
        <v>0</v>
      </c>
      <c r="AI42" s="337">
        <f>SUMIFS(BS_RE33!$H$7:$H$874,BS_RE33!$S$7:$S$874,$AI$2,BS_RE33!$N$7:$N$874,I42,BS_RE33!$P$7:$P$874,'30 days CF Table(NZD)'!G42,BS_RE33!$F$7:$F$874,'30 days CF Table(NZD)'!$C$2)</f>
        <v>0</v>
      </c>
      <c r="AJ42" s="337">
        <f>SUMIFS(BS_RE33!$H$7:$H$874,BS_RE33!$S$7:$S$874,$AJ$2,BS_RE33!$N$7:$N$874,I42,BS_RE33!$P$7:$P$874,'30 days CF Table(NZD)'!G42,BS_RE33!$F$7:$F$874,'30 days CF Table(NZD)'!$C$2)</f>
        <v>0</v>
      </c>
      <c r="AK42" s="337">
        <f>SUMIFS(BS_RE33!$H$7:$H$874,BS_RE33!$S$7:$S$874,$AK$2,BS_RE33!$N$7:$N$874,I42,BS_RE33!$P$7:$P$874,'30 days CF Table(NZD)'!G42,BS_RE33!$F$7:$F$874,'30 days CF Table(NZD)'!$C$2)</f>
        <v>0</v>
      </c>
      <c r="AL42" s="337">
        <f>SUMIFS(BS_RE33!$H$7:$H$874,BS_RE33!$S$7:$S$874,$AL$2,BS_RE33!$N$7:$N$874,I42,BS_RE33!$P$7:$P$874,'30 days CF Table(NZD)'!G42,BS_RE33!$F$7:$F$874,'30 days CF Table(NZD)'!$C$2)</f>
        <v>0</v>
      </c>
      <c r="AM42" s="337">
        <f>SUMIFS(BS_RE33!$H$7:$H$874,BS_RE33!$S$7:$S$874,$AM$2,BS_RE33!$N$7:$N$874,I42,BS_RE33!$P$7:$P$874,'30 days CF Table(NZD)'!G42,BS_RE33!$F$7:$F$874,'30 days CF Table(NZD)'!$C$2)</f>
        <v>0</v>
      </c>
      <c r="AN42" s="337">
        <f>SUMIFS(BS_RE33!$H$7:$H$874,BS_RE33!$S$7:$S$874,$AN$2,BS_RE33!$N$7:$N$874,I42,BS_RE33!$P$7:$P$874,'30 days CF Table(NZD)'!G42,BS_RE33!$F$7:$F$874,'30 days CF Table(NZD)'!$C$2)</f>
        <v>0</v>
      </c>
      <c r="AO42" s="337">
        <f>SUMIFS(BS_RE33!$H$7:$H$874,BS_RE33!$S$7:$S$874,$AO$2,BS_RE33!$N$7:$N$874,I42,BS_RE33!$P$7:$P$874,'30 days CF Table(NZD)'!G42,BS_RE33!$F$7:$F$874,'30 days CF Table(NZD)'!$C$2)</f>
        <v>0</v>
      </c>
      <c r="AP42" s="338">
        <f>SUMIFS(BS_RE33!$H$7:$H$874,BS_RE33!$S$7:$S$874,$AP$2,BS_RE33!$N$7:$N$874,I42,BS_RE33!$P$7:$P$874,'30 days CF Table(NZD)'!G42,BS_RE33!$F$7:$F$874,'30 days CF Table(NZD)'!$C$2)</f>
        <v>0</v>
      </c>
      <c r="AR42" s="379">
        <f>SUMIFS(BS_RE33!$H$7:$H$874,BS_RE33!$S$7:$S$874,$AR$2,BS_RE33!$N$7:$N$874,I42,BS_RE33!$P$7:$P$874,'30 days CF Table(NZD)'!G42,BS_RE33!$F$7:$F$874,'30 days CF Table(NZD)'!$C$2)</f>
        <v>0</v>
      </c>
      <c r="AS42" s="379">
        <f>SUMIFS(BS_RE33!$H$7:$H$874,BS_RE33!$S$7:$S$874,$AS$2,BS_RE33!$N$7:$N$874,I42,BS_RE33!$P$7:$P$874,'30 days CF Table(NZD)'!G42,BS_RE33!$F$7:$F$874,'30 days CF Table(NZD)'!$C$2)</f>
        <v>0</v>
      </c>
      <c r="AT42" s="379">
        <f>SUMIFS(BS_RE33!$H$7:$H$874,BS_RE33!$S$7:$S$874,$AT$2,BS_RE33!$N$7:$N$874,I42,BS_RE33!$P$7:$P$874,'30 days CF Table(NZD)'!G42,BS_RE33!$F$7:$F$874,'30 days CF Table(NZD)'!$C$2)</f>
        <v>0</v>
      </c>
      <c r="AU42" s="379">
        <f>SUMIFS(BS_RE33!$H$7:$H$874,BS_RE33!$S$7:$S$874,$AU$2,BS_RE33!$N$7:$N$874,I42,BS_RE33!$P$7:$P$874,'30 days CF Table(NZD)'!G42,BS_RE33!$F$7:$F$874,'30 days CF Table(NZD)'!$C$2)</f>
        <v>0</v>
      </c>
      <c r="AV42" s="379">
        <f>SUMIFS(BS_RE33!$H$7:$H$874,BS_RE33!$S$7:$S$874,$AV$2,BS_RE33!$N$7:$N$874,I42,BS_RE33!$P$7:$P$874,'30 days CF Table(NZD)'!G42,BS_RE33!$F$7:$F$874,'30 days CF Table(NZD)'!$C$2)</f>
        <v>0</v>
      </c>
      <c r="AW42" s="379">
        <f>SUMIFS(BS_RE33!$H$7:$H$874,BS_RE33!$S$7:$S$874,$AW$2,BS_RE33!$N$7:$N$874,I42,BS_RE33!$P$7:$P$874,'30 days CF Table(NZD)'!G42,BS_RE33!$F$7:$F$874,'30 days CF Table(NZD)'!$C$2)</f>
        <v>0</v>
      </c>
      <c r="AX42" s="379">
        <f>SUMIFS(BS_RE33!$H$7:$H$874,BS_RE33!$S$7:$S$874,$AX$2,BS_RE33!$N$7:$N$874,I42,BS_RE33!$P$7:$P$874,'30 days CF Table(NZD)'!G42,BS_RE33!$F$7:$F$874,'30 days CF Table(NZD)'!$C$2)</f>
        <v>0</v>
      </c>
      <c r="AY42" s="379">
        <f>SUMIFS(BS_RE33!$H$7:$H$874,BS_RE33!$S$7:$S$874,$AY$2,BS_RE33!$N$7:$N$874,I42,BS_RE33!$P$7:$P$874,'30 days CF Table(NZD)'!G42,BS_RE33!$F$7:$F$874,'30 days CF Table(NZD)'!$C$2)</f>
        <v>0</v>
      </c>
      <c r="AZ42" s="379">
        <f>SUMIFS(BS_RE33!$H$7:$H$874,BS_RE33!$S$7:$S$874,$AZ$2,BS_RE33!$N$7:$N$874,I42,BS_RE33!$P$7:$P$874,'30 days CF Table(NZD)'!G42,BS_RE33!$F$7:$F$874,'30 days CF Table(NZD)'!$C$2)</f>
        <v>0</v>
      </c>
      <c r="BA42" s="379">
        <f>SUMIFS(BS_RE33!$H$7:$H$874,BS_RE33!$S$7:$S$874,$BA$2,BS_RE33!$N$7:$N$874,I42,BS_RE33!$P$7:$P$874,'30 days CF Table(NZD)'!G42,BS_RE33!$F$7:$F$874,'30 days CF Table(NZD)'!$C$2)</f>
        <v>0</v>
      </c>
      <c r="BB42" s="379">
        <f>SUMIFS(BS_RE33!$H$7:$H$874,BS_RE33!$S$7:$S$874,$BB$2,BS_RE33!$N$7:$N$874,I42,BS_RE33!$P$7:$P$874,'30 days CF Table(NZD)'!G42,BS_RE33!$F$7:$F$874,'30 days CF Table(NZD)'!$C$2)</f>
        <v>0</v>
      </c>
      <c r="BC42" s="379">
        <f>SUMIFS(BS_RE33!$H$7:$H$874,BS_RE33!$S$7:$S$874,$BC$2,BS_RE33!$N$7:$N$874,I42,BS_RE33!$P$7:$P$874,'30 days CF Table(NZD)'!G42,BS_RE33!$F$7:$F$874,'30 days CF Table(NZD)'!$C$2)</f>
        <v>0</v>
      </c>
      <c r="BD42" s="379">
        <f>SUMIFS(BS_RE33!$H$7:$H$874,BS_RE33!$S$7:$S$874,$BD$2,BS_RE33!$N$7:$N$874,I42,BS_RE33!$P$7:$P$874,'30 days CF Table(NZD)'!G42,BS_RE33!$F$7:$F$874,'30 days CF Table(NZD)'!$C$2)</f>
        <v>0</v>
      </c>
      <c r="BE42" s="379">
        <f>SUMIFS(BS_RE33!$H$7:$H$874,BS_RE33!$S$7:$S$874,$BE$2,BS_RE33!$N$7:$N$874,I42,BS_RE33!$P$7:$P$874,'30 days CF Table(NZD)'!G42,BS_RE33!$F$7:$F$874,'30 days CF Table(NZD)'!$C$2)</f>
        <v>0</v>
      </c>
      <c r="BF42" s="379">
        <f>SUMIFS(BS_RE33!$H$7:$H$874,BS_RE33!$S$7:$S$874,$BF$2,BS_RE33!$N$7:$N$874,I42,BS_RE33!$P$7:$P$874,'30 days CF Table(NZD)'!G42,BS_RE33!$F$7:$F$874,'30 days CF Table(NZD)'!$C$2)</f>
        <v>0</v>
      </c>
      <c r="BG42" s="379">
        <f>SUMIFS(BS_RE33!$H$7:$H$874,BS_RE33!$S$7:$S$874,$BG$2,BS_RE33!$N$7:$N$874,I42,BS_RE33!$P$7:$P$874,'30 days CF Table(NZD)'!G42,BS_RE33!$F$7:$F$874,'30 days CF Table(NZD)'!$C$2)</f>
        <v>0</v>
      </c>
      <c r="BH42" s="379">
        <f>SUMIFS(BS_RE33!$H$7:$H$874,BS_RE33!$S$7:$S$874,$BH$2,BS_RE33!$N$7:$N$874,I42,BS_RE33!$P$7:$P$874,'30 days CF Table(NZD)'!G42,BS_RE33!$F$7:$F$874,'30 days CF Table(NZD)'!$C$2)</f>
        <v>0</v>
      </c>
      <c r="BI42" s="379">
        <f>SUMIFS(BS_RE33!$H$7:$H$874,BS_RE33!$S$7:$S$874,$BI$2,BS_RE33!$N$7:$N$874,I42,BS_RE33!$P$7:$P$874,'30 days CF Table(NZD)'!G42,BS_RE33!$F$7:$F$874,'30 days CF Table(NZD)'!$C$2)</f>
        <v>0</v>
      </c>
      <c r="BJ42" s="379">
        <f>SUMIFS(BS_RE33!$H$7:$H$874,BS_RE33!$S$7:$S$874,$BJ$2,BS_RE33!$N$7:$N$874,I42,BS_RE33!$P$7:$P$874,'30 days CF Table(NZD)'!G42,BS_RE33!$F$7:$F$874,'30 days CF Table(NZD)'!$C$2)</f>
        <v>0</v>
      </c>
      <c r="BK42" s="379">
        <f>SUMIFS(BS_RE33!$H$7:$H$874,BS_RE33!$S$7:$S$874,$BK$2,BS_RE33!$N$7:$N$874,I42,BS_RE33!$P$7:$P$874,'30 days CF Table(NZD)'!G42,BS_RE33!$F$7:$F$874,'30 days CF Table(NZD)'!$C$2)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Table(NZD)'!G43,BS_RE33!$F$7:$F$874,'30 days CF Table(NZD)'!$C$2)</f>
        <v>0</v>
      </c>
      <c r="M43" s="337">
        <f>SUMIFS(BS_RE33!$H$7:$H$874,BS_RE33!$S$7:$S$874,$M$2,BS_RE33!$N$7:$N$874,I43,BS_RE33!$P$7:$P$874,'30 days CF Table(NZD)'!G43,BS_RE33!$F$7:$F$874,'30 days CF Table(NZD)'!$C$2)</f>
        <v>0</v>
      </c>
      <c r="N43" s="337">
        <f>SUMIFS(BS_RE33!$H$7:$H$874,BS_RE33!$S$7:$S$874,$N$2,BS_RE33!$N$7:$N$874,I43,BS_RE33!$P$7:$P$874,'30 days CF Table(NZD)'!G43,BS_RE33!$F$7:$F$874,'30 days CF Table(NZD)'!$C$2)</f>
        <v>0</v>
      </c>
      <c r="O43" s="337">
        <f>SUMIFS(BS_RE33!$H$7:$H$874,BS_RE33!$S$7:$S$874,$O$2,BS_RE33!$N$7:$N$874,I43,BS_RE33!$P$7:$P$874,'30 days CF Table(NZD)'!G43,BS_RE33!$F$7:$F$874,'30 days CF Table(NZD)'!$C$2)</f>
        <v>0</v>
      </c>
      <c r="P43" s="337">
        <f>SUMIFS(BS_RE33!$H$7:$H$874,BS_RE33!$S$7:$S$874,$P$2,BS_RE33!$N$7:$N$874,I43,BS_RE33!$P$7:$P$874,'30 days CF Table(NZD)'!G43,BS_RE33!$F$7:$F$874,'30 days CF Table(NZD)'!$C$2)</f>
        <v>0</v>
      </c>
      <c r="Q43" s="337">
        <f>SUMIFS(BS_RE33!$H$7:$H$874,BS_RE33!$S$7:$S$874,$Q$2,BS_RE33!$N$7:$N$874,I43,BS_RE33!$P$7:$P$874,'30 days CF Table(NZD)'!G43,BS_RE33!$F$7:$F$874,'30 days CF Table(NZD)'!$C$2)</f>
        <v>0</v>
      </c>
      <c r="R43" s="337">
        <f>SUMIFS(BS_RE33!$H$7:$H$874,BS_RE33!$S$7:$S$874,$R$2,BS_RE33!$N$7:$N$874,I43,BS_RE33!$P$7:$P$874,'30 days CF Table(NZD)'!G43,BS_RE33!$F$7:$F$874,'30 days CF Table(NZD)'!$C$2)</f>
        <v>0</v>
      </c>
      <c r="S43" s="337">
        <f>SUMIFS(BS_RE33!$H$7:$H$874,BS_RE33!$S$7:$S$874,$S$2,BS_RE33!$N$7:$N$874,I43,BS_RE33!$P$7:$P$874,'30 days CF Table(NZD)'!G43,BS_RE33!$F$7:$F$874,'30 days CF Table(NZD)'!$C$2)</f>
        <v>0</v>
      </c>
      <c r="T43" s="337">
        <f>SUMIFS(BS_RE33!$H$7:$H$874,BS_RE33!$S$7:$S$874,$T$2,BS_RE33!$N$7:$N$874,I43,BS_RE33!$P$7:$P$874,'30 days CF Table(NZD)'!G43,BS_RE33!$F$7:$F$874,'30 days CF Table(NZD)'!$C$2)</f>
        <v>0</v>
      </c>
      <c r="U43" s="337">
        <f>SUMIFS(BS_RE33!$H$7:$H$874,BS_RE33!$S$7:$S$874,$U$2,BS_RE33!$N$7:$N$874,I43,BS_RE33!$P$7:$P$874,'30 days CF Table(NZD)'!G43,BS_RE33!$F$7:$F$874,'30 days CF Table(NZD)'!$C$2)</f>
        <v>0</v>
      </c>
      <c r="V43" s="337">
        <f>SUMIFS(BS_RE33!$H$7:$H$874,BS_RE33!$S$7:$S$874,$V$2,BS_RE33!$N$7:$N$874,I43,BS_RE33!$P$7:$P$874,'30 days CF Table(NZD)'!G43,BS_RE33!$F$7:$F$874,'30 days CF Table(NZD)'!$C$2)</f>
        <v>0</v>
      </c>
      <c r="W43" s="337">
        <f>SUMIFS(BS_RE33!$H$7:$H$874,BS_RE33!$S$7:$S$874,$W$2,BS_RE33!$N$7:$N$874,I43,BS_RE33!$P$7:$P$874,'30 days CF Table(NZD)'!G43,BS_RE33!$F$7:$F$874,'30 days CF Table(NZD)'!$C$2)</f>
        <v>0</v>
      </c>
      <c r="X43" s="337">
        <f>SUMIFS(BS_RE33!$H$7:$H$874,BS_RE33!$S$7:$S$874,$X$2,BS_RE33!$N$7:$N$874,I43,BS_RE33!$P$7:$P$874,'30 days CF Table(NZD)'!G43,BS_RE33!$F$7:$F$874,'30 days CF Table(NZD)'!$C$2)</f>
        <v>0</v>
      </c>
      <c r="Y43" s="337">
        <f>SUMIFS(BS_RE33!$H$7:$H$874,BS_RE33!$S$7:$S$874,$Y$2,BS_RE33!$N$7:$N$874,I43,BS_RE33!$P$7:$P$874,'30 days CF Table(NZD)'!G43,BS_RE33!$F$7:$F$874,'30 days CF Table(NZD)'!$C$2)</f>
        <v>0</v>
      </c>
      <c r="Z43" s="337">
        <f>SUMIFS(BS_RE33!$H$7:$H$874,BS_RE33!$S$7:$S$874,$Z$2,BS_RE33!$N$7:$N$874,I43,BS_RE33!$P$7:$P$874,'30 days CF Table(NZD)'!G43,BS_RE33!$F$7:$F$874,'30 days CF Table(NZD)'!$C$2)</f>
        <v>0</v>
      </c>
      <c r="AA43" s="337">
        <f>SUMIFS(BS_RE33!$H$7:$H$874,BS_RE33!$S$7:$S$874,$AA$2,BS_RE33!$N$7:$N$874,I43,BS_RE33!$P$7:$P$874,'30 days CF Table(NZD)'!G43,BS_RE33!$F$7:$F$874,'30 days CF Table(NZD)'!$C$2)</f>
        <v>0</v>
      </c>
      <c r="AB43" s="337">
        <f>SUMIFS(BS_RE33!$H$7:$H$874,BS_RE33!$S$7:$S$874,$AB$2,BS_RE33!$N$7:$N$874,I43,BS_RE33!$P$7:$P$874,'30 days CF Table(NZD)'!G43,BS_RE33!$F$7:$F$874,'30 days CF Table(NZD)'!$C$2)</f>
        <v>0</v>
      </c>
      <c r="AC43" s="337">
        <f>SUMIFS(BS_RE33!$H$7:$H$874,BS_RE33!$S$7:$S$874,$AC$2,BS_RE33!$N$7:$N$874,I43,BS_RE33!$P$7:$P$874,'30 days CF Table(NZD)'!G43,BS_RE33!$F$7:$F$874,'30 days CF Table(NZD)'!$C$2)</f>
        <v>0</v>
      </c>
      <c r="AD43" s="337">
        <f>SUMIFS(BS_RE33!$H$7:$H$874,BS_RE33!$S$7:$S$874,$AD$2,BS_RE33!$N$7:$N$874,I43,BS_RE33!$P$7:$P$874,'30 days CF Table(NZD)'!G43,BS_RE33!$F$7:$F$874,'30 days CF Table(NZD)'!$C$2)</f>
        <v>0</v>
      </c>
      <c r="AE43" s="337">
        <f>SUMIFS(BS_RE33!$H$7:$H$874,BS_RE33!$S$7:$S$874,$AE$2,BS_RE33!$N$7:$N$874,I43,BS_RE33!$P$7:$P$874,'30 days CF Table(NZD)'!G43,BS_RE33!$F$7:$F$874,'30 days CF Table(NZD)'!$C$2)</f>
        <v>0</v>
      </c>
      <c r="AF43" s="337">
        <f>SUMIFS(BS_RE33!$H$7:$H$874,BS_RE33!$S$7:$S$874,$AF$2,BS_RE33!$N$7:$N$874,I43,BS_RE33!$P$7:$P$874,'30 days CF Table(NZD)'!G43,BS_RE33!$F$7:$F$874,'30 days CF Table(NZD)'!$C$2)</f>
        <v>0</v>
      </c>
      <c r="AG43" s="337">
        <f>SUMIFS(BS_RE33!$H$7:$H$874,BS_RE33!$S$7:$S$874,$AG$2,BS_RE33!$N$7:$N$874,I43,BS_RE33!$P$7:$P$874,'30 days CF Table(NZD)'!G43,BS_RE33!$F$7:$F$874,'30 days CF Table(NZD)'!$C$2)</f>
        <v>0</v>
      </c>
      <c r="AH43" s="337">
        <f>SUMIFS(BS_RE33!$H$7:$H$874,BS_RE33!$S$7:$S$874,$AH$2,BS_RE33!$N$7:$N$874,I43,BS_RE33!$P$7:$P$874,'30 days CF Table(NZD)'!G43,BS_RE33!$F$7:$F$874,'30 days CF Table(NZD)'!$C$2)</f>
        <v>0</v>
      </c>
      <c r="AI43" s="337">
        <f>SUMIFS(BS_RE33!$H$7:$H$874,BS_RE33!$S$7:$S$874,$AI$2,BS_RE33!$N$7:$N$874,I43,BS_RE33!$P$7:$P$874,'30 days CF Table(NZD)'!G43,BS_RE33!$F$7:$F$874,'30 days CF Table(NZD)'!$C$2)</f>
        <v>0</v>
      </c>
      <c r="AJ43" s="337">
        <f>SUMIFS(BS_RE33!$H$7:$H$874,BS_RE33!$S$7:$S$874,$AJ$2,BS_RE33!$N$7:$N$874,I43,BS_RE33!$P$7:$P$874,'30 days CF Table(NZD)'!G43,BS_RE33!$F$7:$F$874,'30 days CF Table(NZD)'!$C$2)</f>
        <v>0</v>
      </c>
      <c r="AK43" s="337">
        <f>SUMIFS(BS_RE33!$H$7:$H$874,BS_RE33!$S$7:$S$874,$AK$2,BS_RE33!$N$7:$N$874,I43,BS_RE33!$P$7:$P$874,'30 days CF Table(NZD)'!G43,BS_RE33!$F$7:$F$874,'30 days CF Table(NZD)'!$C$2)</f>
        <v>0</v>
      </c>
      <c r="AL43" s="337">
        <f>SUMIFS(BS_RE33!$H$7:$H$874,BS_RE33!$S$7:$S$874,$AL$2,BS_RE33!$N$7:$N$874,I43,BS_RE33!$P$7:$P$874,'30 days CF Table(NZD)'!G43,BS_RE33!$F$7:$F$874,'30 days CF Table(NZD)'!$C$2)</f>
        <v>0</v>
      </c>
      <c r="AM43" s="337">
        <f>SUMIFS(BS_RE33!$H$7:$H$874,BS_RE33!$S$7:$S$874,$AM$2,BS_RE33!$N$7:$N$874,I43,BS_RE33!$P$7:$P$874,'30 days CF Table(NZD)'!G43,BS_RE33!$F$7:$F$874,'30 days CF Table(NZD)'!$C$2)</f>
        <v>0</v>
      </c>
      <c r="AN43" s="337">
        <f>SUMIFS(BS_RE33!$H$7:$H$874,BS_RE33!$S$7:$S$874,$AN$2,BS_RE33!$N$7:$N$874,I43,BS_RE33!$P$7:$P$874,'30 days CF Table(NZD)'!G43,BS_RE33!$F$7:$F$874,'30 days CF Table(NZD)'!$C$2)</f>
        <v>0</v>
      </c>
      <c r="AO43" s="337">
        <f>SUMIFS(BS_RE33!$H$7:$H$874,BS_RE33!$S$7:$S$874,$AO$2,BS_RE33!$N$7:$N$874,I43,BS_RE33!$P$7:$P$874,'30 days CF Table(NZD)'!G43,BS_RE33!$F$7:$F$874,'30 days CF Table(NZD)'!$C$2)</f>
        <v>0</v>
      </c>
      <c r="AP43" s="338">
        <f>SUMIFS(BS_RE33!$H$7:$H$874,BS_RE33!$S$7:$S$874,$AP$2,BS_RE33!$N$7:$N$874,I43,BS_RE33!$P$7:$P$874,'30 days CF Table(NZD)'!G43,BS_RE33!$F$7:$F$874,'30 days CF Table(NZD)'!$C$2)</f>
        <v>0</v>
      </c>
      <c r="AR43" s="379">
        <f>SUMIFS(BS_RE33!$H$7:$H$874,BS_RE33!$S$7:$S$874,$AR$2,BS_RE33!$N$7:$N$874,I43,BS_RE33!$P$7:$P$874,'30 days CF Table(NZD)'!G43,BS_RE33!$F$7:$F$874,'30 days CF Table(NZD)'!$C$2)</f>
        <v>0</v>
      </c>
      <c r="AS43" s="379">
        <f>SUMIFS(BS_RE33!$H$7:$H$874,BS_RE33!$S$7:$S$874,$AS$2,BS_RE33!$N$7:$N$874,I43,BS_RE33!$P$7:$P$874,'30 days CF Table(NZD)'!G43,BS_RE33!$F$7:$F$874,'30 days CF Table(NZD)'!$C$2)</f>
        <v>0</v>
      </c>
      <c r="AT43" s="379">
        <f>SUMIFS(BS_RE33!$H$7:$H$874,BS_RE33!$S$7:$S$874,$AT$2,BS_RE33!$N$7:$N$874,I43,BS_RE33!$P$7:$P$874,'30 days CF Table(NZD)'!G43,BS_RE33!$F$7:$F$874,'30 days CF Table(NZD)'!$C$2)</f>
        <v>0</v>
      </c>
      <c r="AU43" s="379">
        <f>SUMIFS(BS_RE33!$H$7:$H$874,BS_RE33!$S$7:$S$874,$AU$2,BS_RE33!$N$7:$N$874,I43,BS_RE33!$P$7:$P$874,'30 days CF Table(NZD)'!G43,BS_RE33!$F$7:$F$874,'30 days CF Table(NZD)'!$C$2)</f>
        <v>0</v>
      </c>
      <c r="AV43" s="379">
        <f>SUMIFS(BS_RE33!$H$7:$H$874,BS_RE33!$S$7:$S$874,$AV$2,BS_RE33!$N$7:$N$874,I43,BS_RE33!$P$7:$P$874,'30 days CF Table(NZD)'!G43,BS_RE33!$F$7:$F$874,'30 days CF Table(NZD)'!$C$2)</f>
        <v>0</v>
      </c>
      <c r="AW43" s="379">
        <f>SUMIFS(BS_RE33!$H$7:$H$874,BS_RE33!$S$7:$S$874,$AW$2,BS_RE33!$N$7:$N$874,I43,BS_RE33!$P$7:$P$874,'30 days CF Table(NZD)'!G43,BS_RE33!$F$7:$F$874,'30 days CF Table(NZD)'!$C$2)</f>
        <v>0</v>
      </c>
      <c r="AX43" s="379">
        <f>SUMIFS(BS_RE33!$H$7:$H$874,BS_RE33!$S$7:$S$874,$AX$2,BS_RE33!$N$7:$N$874,I43,BS_RE33!$P$7:$P$874,'30 days CF Table(NZD)'!G43,BS_RE33!$F$7:$F$874,'30 days CF Table(NZD)'!$C$2)</f>
        <v>0</v>
      </c>
      <c r="AY43" s="379">
        <f>SUMIFS(BS_RE33!$H$7:$H$874,BS_RE33!$S$7:$S$874,$AY$2,BS_RE33!$N$7:$N$874,I43,BS_RE33!$P$7:$P$874,'30 days CF Table(NZD)'!G43,BS_RE33!$F$7:$F$874,'30 days CF Table(NZD)'!$C$2)</f>
        <v>0</v>
      </c>
      <c r="AZ43" s="379">
        <f>SUMIFS(BS_RE33!$H$7:$H$874,BS_RE33!$S$7:$S$874,$AZ$2,BS_RE33!$N$7:$N$874,I43,BS_RE33!$P$7:$P$874,'30 days CF Table(NZD)'!G43,BS_RE33!$F$7:$F$874,'30 days CF Table(NZD)'!$C$2)</f>
        <v>0</v>
      </c>
      <c r="BA43" s="379">
        <f>SUMIFS(BS_RE33!$H$7:$H$874,BS_RE33!$S$7:$S$874,$BA$2,BS_RE33!$N$7:$N$874,I43,BS_RE33!$P$7:$P$874,'30 days CF Table(NZD)'!G43,BS_RE33!$F$7:$F$874,'30 days CF Table(NZD)'!$C$2)</f>
        <v>0</v>
      </c>
      <c r="BB43" s="379">
        <f>SUMIFS(BS_RE33!$H$7:$H$874,BS_RE33!$S$7:$S$874,$BB$2,BS_RE33!$N$7:$N$874,I43,BS_RE33!$P$7:$P$874,'30 days CF Table(NZD)'!G43,BS_RE33!$F$7:$F$874,'30 days CF Table(NZD)'!$C$2)</f>
        <v>0</v>
      </c>
      <c r="BC43" s="379">
        <f>SUMIFS(BS_RE33!$H$7:$H$874,BS_RE33!$S$7:$S$874,$BC$2,BS_RE33!$N$7:$N$874,I43,BS_RE33!$P$7:$P$874,'30 days CF Table(NZD)'!G43,BS_RE33!$F$7:$F$874,'30 days CF Table(NZD)'!$C$2)</f>
        <v>0</v>
      </c>
      <c r="BD43" s="379">
        <f>SUMIFS(BS_RE33!$H$7:$H$874,BS_RE33!$S$7:$S$874,$BD$2,BS_RE33!$N$7:$N$874,I43,BS_RE33!$P$7:$P$874,'30 days CF Table(NZD)'!G43,BS_RE33!$F$7:$F$874,'30 days CF Table(NZD)'!$C$2)</f>
        <v>0</v>
      </c>
      <c r="BE43" s="379">
        <f>SUMIFS(BS_RE33!$H$7:$H$874,BS_RE33!$S$7:$S$874,$BE$2,BS_RE33!$N$7:$N$874,I43,BS_RE33!$P$7:$P$874,'30 days CF Table(NZD)'!G43,BS_RE33!$F$7:$F$874,'30 days CF Table(NZD)'!$C$2)</f>
        <v>0</v>
      </c>
      <c r="BF43" s="379">
        <f>SUMIFS(BS_RE33!$H$7:$H$874,BS_RE33!$S$7:$S$874,$BF$2,BS_RE33!$N$7:$N$874,I43,BS_RE33!$P$7:$P$874,'30 days CF Table(NZD)'!G43,BS_RE33!$F$7:$F$874,'30 days CF Table(NZD)'!$C$2)</f>
        <v>0</v>
      </c>
      <c r="BG43" s="379">
        <f>SUMIFS(BS_RE33!$H$7:$H$874,BS_RE33!$S$7:$S$874,$BG$2,BS_RE33!$N$7:$N$874,I43,BS_RE33!$P$7:$P$874,'30 days CF Table(NZD)'!G43,BS_RE33!$F$7:$F$874,'30 days CF Table(NZD)'!$C$2)</f>
        <v>0</v>
      </c>
      <c r="BH43" s="379">
        <f>SUMIFS(BS_RE33!$H$7:$H$874,BS_RE33!$S$7:$S$874,$BH$2,BS_RE33!$N$7:$N$874,I43,BS_RE33!$P$7:$P$874,'30 days CF Table(NZD)'!G43,BS_RE33!$F$7:$F$874,'30 days CF Table(NZD)'!$C$2)</f>
        <v>0</v>
      </c>
      <c r="BI43" s="379">
        <f>SUMIFS(BS_RE33!$H$7:$H$874,BS_RE33!$S$7:$S$874,$BI$2,BS_RE33!$N$7:$N$874,I43,BS_RE33!$P$7:$P$874,'30 days CF Table(NZD)'!G43,BS_RE33!$F$7:$F$874,'30 days CF Table(NZD)'!$C$2)</f>
        <v>0</v>
      </c>
      <c r="BJ43" s="379">
        <f>SUMIFS(BS_RE33!$H$7:$H$874,BS_RE33!$S$7:$S$874,$BJ$2,BS_RE33!$N$7:$N$874,I43,BS_RE33!$P$7:$P$874,'30 days CF Table(NZD)'!G43,BS_RE33!$F$7:$F$874,'30 days CF Table(NZD)'!$C$2)</f>
        <v>0</v>
      </c>
      <c r="BK43" s="379">
        <f>SUMIFS(BS_RE33!$H$7:$H$874,BS_RE33!$S$7:$S$874,$BK$2,BS_RE33!$N$7:$N$874,I43,BS_RE33!$P$7:$P$874,'30 days CF Table(NZD)'!G43,BS_RE33!$F$7:$F$874,'30 days CF Table(NZD)'!$C$2)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Table(NZD)'!G44,BS_RE33!$F$7:$F$874,'30 days CF Table(NZD)'!$C$2)</f>
        <v>0</v>
      </c>
      <c r="M44" s="337">
        <f>SUMIFS(BS_RE33!$H$7:$H$874,BS_RE33!$S$7:$S$874,$M$2,BS_RE33!$N$7:$N$874,I44,BS_RE33!$P$7:$P$874,'30 days CF Table(NZD)'!G44,BS_RE33!$F$7:$F$874,'30 days CF Table(NZD)'!$C$2)</f>
        <v>0</v>
      </c>
      <c r="N44" s="337">
        <f>SUMIFS(BS_RE33!$H$7:$H$874,BS_RE33!$S$7:$S$874,$N$2,BS_RE33!$N$7:$N$874,I44,BS_RE33!$P$7:$P$874,'30 days CF Table(NZD)'!G44,BS_RE33!$F$7:$F$874,'30 days CF Table(NZD)'!$C$2)</f>
        <v>0</v>
      </c>
      <c r="O44" s="337">
        <f>SUMIFS(BS_RE33!$H$7:$H$874,BS_RE33!$S$7:$S$874,$O$2,BS_RE33!$N$7:$N$874,I44,BS_RE33!$P$7:$P$874,'30 days CF Table(NZD)'!G44,BS_RE33!$F$7:$F$874,'30 days CF Table(NZD)'!$C$2)</f>
        <v>0</v>
      </c>
      <c r="P44" s="337">
        <f>SUMIFS(BS_RE33!$H$7:$H$874,BS_RE33!$S$7:$S$874,$P$2,BS_RE33!$N$7:$N$874,I44,BS_RE33!$P$7:$P$874,'30 days CF Table(NZD)'!G44,BS_RE33!$F$7:$F$874,'30 days CF Table(NZD)'!$C$2)</f>
        <v>0</v>
      </c>
      <c r="Q44" s="337">
        <f>SUMIFS(BS_RE33!$H$7:$H$874,BS_RE33!$S$7:$S$874,$Q$2,BS_RE33!$N$7:$N$874,I44,BS_RE33!$P$7:$P$874,'30 days CF Table(NZD)'!G44,BS_RE33!$F$7:$F$874,'30 days CF Table(NZD)'!$C$2)</f>
        <v>0</v>
      </c>
      <c r="R44" s="337">
        <f>SUMIFS(BS_RE33!$H$7:$H$874,BS_RE33!$S$7:$S$874,$R$2,BS_RE33!$N$7:$N$874,I44,BS_RE33!$P$7:$P$874,'30 days CF Table(NZD)'!G44,BS_RE33!$F$7:$F$874,'30 days CF Table(NZD)'!$C$2)</f>
        <v>0</v>
      </c>
      <c r="S44" s="337">
        <f>SUMIFS(BS_RE33!$H$7:$H$874,BS_RE33!$S$7:$S$874,$S$2,BS_RE33!$N$7:$N$874,I44,BS_RE33!$P$7:$P$874,'30 days CF Table(NZD)'!G44,BS_RE33!$F$7:$F$874,'30 days CF Table(NZD)'!$C$2)</f>
        <v>0</v>
      </c>
      <c r="T44" s="337">
        <f>SUMIFS(BS_RE33!$H$7:$H$874,BS_RE33!$S$7:$S$874,$T$2,BS_RE33!$N$7:$N$874,I44,BS_RE33!$P$7:$P$874,'30 days CF Table(NZD)'!G44,BS_RE33!$F$7:$F$874,'30 days CF Table(NZD)'!$C$2)</f>
        <v>0</v>
      </c>
      <c r="U44" s="337">
        <f>SUMIFS(BS_RE33!$H$7:$H$874,BS_RE33!$S$7:$S$874,$U$2,BS_RE33!$N$7:$N$874,I44,BS_RE33!$P$7:$P$874,'30 days CF Table(NZD)'!G44,BS_RE33!$F$7:$F$874,'30 days CF Table(NZD)'!$C$2)</f>
        <v>0</v>
      </c>
      <c r="V44" s="337">
        <f>SUMIFS(BS_RE33!$H$7:$H$874,BS_RE33!$S$7:$S$874,$V$2,BS_RE33!$N$7:$N$874,I44,BS_RE33!$P$7:$P$874,'30 days CF Table(NZD)'!G44,BS_RE33!$F$7:$F$874,'30 days CF Table(NZD)'!$C$2)</f>
        <v>0</v>
      </c>
      <c r="W44" s="337">
        <f>SUMIFS(BS_RE33!$H$7:$H$874,BS_RE33!$S$7:$S$874,$W$2,BS_RE33!$N$7:$N$874,I44,BS_RE33!$P$7:$P$874,'30 days CF Table(NZD)'!G44,BS_RE33!$F$7:$F$874,'30 days CF Table(NZD)'!$C$2)</f>
        <v>0</v>
      </c>
      <c r="X44" s="337">
        <f>SUMIFS(BS_RE33!$H$7:$H$874,BS_RE33!$S$7:$S$874,$X$2,BS_RE33!$N$7:$N$874,I44,BS_RE33!$P$7:$P$874,'30 days CF Table(NZD)'!G44,BS_RE33!$F$7:$F$874,'30 days CF Table(NZD)'!$C$2)</f>
        <v>0</v>
      </c>
      <c r="Y44" s="337">
        <f>SUMIFS(BS_RE33!$H$7:$H$874,BS_RE33!$S$7:$S$874,$Y$2,BS_RE33!$N$7:$N$874,I44,BS_RE33!$P$7:$P$874,'30 days CF Table(NZD)'!G44,BS_RE33!$F$7:$F$874,'30 days CF Table(NZD)'!$C$2)</f>
        <v>0</v>
      </c>
      <c r="Z44" s="337">
        <f>SUMIFS(BS_RE33!$H$7:$H$874,BS_RE33!$S$7:$S$874,$Z$2,BS_RE33!$N$7:$N$874,I44,BS_RE33!$P$7:$P$874,'30 days CF Table(NZD)'!G44,BS_RE33!$F$7:$F$874,'30 days CF Table(NZD)'!$C$2)</f>
        <v>0</v>
      </c>
      <c r="AA44" s="337">
        <f>SUMIFS(BS_RE33!$H$7:$H$874,BS_RE33!$S$7:$S$874,$AA$2,BS_RE33!$N$7:$N$874,I44,BS_RE33!$P$7:$P$874,'30 days CF Table(NZD)'!G44,BS_RE33!$F$7:$F$874,'30 days CF Table(NZD)'!$C$2)</f>
        <v>0</v>
      </c>
      <c r="AB44" s="337">
        <f>SUMIFS(BS_RE33!$H$7:$H$874,BS_RE33!$S$7:$S$874,$AB$2,BS_RE33!$N$7:$N$874,I44,BS_RE33!$P$7:$P$874,'30 days CF Table(NZD)'!G44,BS_RE33!$F$7:$F$874,'30 days CF Table(NZD)'!$C$2)</f>
        <v>0</v>
      </c>
      <c r="AC44" s="337">
        <f>SUMIFS(BS_RE33!$H$7:$H$874,BS_RE33!$S$7:$S$874,$AC$2,BS_RE33!$N$7:$N$874,I44,BS_RE33!$P$7:$P$874,'30 days CF Table(NZD)'!G44,BS_RE33!$F$7:$F$874,'30 days CF Table(NZD)'!$C$2)</f>
        <v>0</v>
      </c>
      <c r="AD44" s="337">
        <f>SUMIFS(BS_RE33!$H$7:$H$874,BS_RE33!$S$7:$S$874,$AD$2,BS_RE33!$N$7:$N$874,I44,BS_RE33!$P$7:$P$874,'30 days CF Table(NZD)'!G44,BS_RE33!$F$7:$F$874,'30 days CF Table(NZD)'!$C$2)</f>
        <v>0</v>
      </c>
      <c r="AE44" s="337">
        <f>SUMIFS(BS_RE33!$H$7:$H$874,BS_RE33!$S$7:$S$874,$AE$2,BS_RE33!$N$7:$N$874,I44,BS_RE33!$P$7:$P$874,'30 days CF Table(NZD)'!G44,BS_RE33!$F$7:$F$874,'30 days CF Table(NZD)'!$C$2)</f>
        <v>0</v>
      </c>
      <c r="AF44" s="337">
        <f>SUMIFS(BS_RE33!$H$7:$H$874,BS_RE33!$S$7:$S$874,$AF$2,BS_RE33!$N$7:$N$874,I44,BS_RE33!$P$7:$P$874,'30 days CF Table(NZD)'!G44,BS_RE33!$F$7:$F$874,'30 days CF Table(NZD)'!$C$2)</f>
        <v>0</v>
      </c>
      <c r="AG44" s="337">
        <f>SUMIFS(BS_RE33!$H$7:$H$874,BS_RE33!$S$7:$S$874,$AG$2,BS_RE33!$N$7:$N$874,I44,BS_RE33!$P$7:$P$874,'30 days CF Table(NZD)'!G44,BS_RE33!$F$7:$F$874,'30 days CF Table(NZD)'!$C$2)</f>
        <v>0</v>
      </c>
      <c r="AH44" s="337">
        <f>SUMIFS(BS_RE33!$H$7:$H$874,BS_RE33!$S$7:$S$874,$AH$2,BS_RE33!$N$7:$N$874,I44,BS_RE33!$P$7:$P$874,'30 days CF Table(NZD)'!G44,BS_RE33!$F$7:$F$874,'30 days CF Table(NZD)'!$C$2)</f>
        <v>0</v>
      </c>
      <c r="AI44" s="337">
        <f>SUMIFS(BS_RE33!$H$7:$H$874,BS_RE33!$S$7:$S$874,$AI$2,BS_RE33!$N$7:$N$874,I44,BS_RE33!$P$7:$P$874,'30 days CF Table(NZD)'!G44,BS_RE33!$F$7:$F$874,'30 days CF Table(NZD)'!$C$2)</f>
        <v>0</v>
      </c>
      <c r="AJ44" s="337">
        <f>SUMIFS(BS_RE33!$H$7:$H$874,BS_RE33!$S$7:$S$874,$AJ$2,BS_RE33!$N$7:$N$874,I44,BS_RE33!$P$7:$P$874,'30 days CF Table(NZD)'!G44,BS_RE33!$F$7:$F$874,'30 days CF Table(NZD)'!$C$2)</f>
        <v>0</v>
      </c>
      <c r="AK44" s="337">
        <f>SUMIFS(BS_RE33!$H$7:$H$874,BS_RE33!$S$7:$S$874,$AK$2,BS_RE33!$N$7:$N$874,I44,BS_RE33!$P$7:$P$874,'30 days CF Table(NZD)'!G44,BS_RE33!$F$7:$F$874,'30 days CF Table(NZD)'!$C$2)</f>
        <v>0</v>
      </c>
      <c r="AL44" s="337">
        <f>SUMIFS(BS_RE33!$H$7:$H$874,BS_RE33!$S$7:$S$874,$AL$2,BS_RE33!$N$7:$N$874,I44,BS_RE33!$P$7:$P$874,'30 days CF Table(NZD)'!G44,BS_RE33!$F$7:$F$874,'30 days CF Table(NZD)'!$C$2)</f>
        <v>0</v>
      </c>
      <c r="AM44" s="337">
        <f>SUMIFS(BS_RE33!$H$7:$H$874,BS_RE33!$S$7:$S$874,$AM$2,BS_RE33!$N$7:$N$874,I44,BS_RE33!$P$7:$P$874,'30 days CF Table(NZD)'!G44,BS_RE33!$F$7:$F$874,'30 days CF Table(NZD)'!$C$2)</f>
        <v>0</v>
      </c>
      <c r="AN44" s="337">
        <f>SUMIFS(BS_RE33!$H$7:$H$874,BS_RE33!$S$7:$S$874,$AN$2,BS_RE33!$N$7:$N$874,I44,BS_RE33!$P$7:$P$874,'30 days CF Table(NZD)'!G44,BS_RE33!$F$7:$F$874,'30 days CF Table(NZD)'!$C$2)</f>
        <v>0</v>
      </c>
      <c r="AO44" s="337">
        <f>SUMIFS(BS_RE33!$H$7:$H$874,BS_RE33!$S$7:$S$874,$AO$2,BS_RE33!$N$7:$N$874,I44,BS_RE33!$P$7:$P$874,'30 days CF Table(NZD)'!G44,BS_RE33!$F$7:$F$874,'30 days CF Table(NZD)'!$C$2)</f>
        <v>0</v>
      </c>
      <c r="AP44" s="338">
        <f>SUMIFS(BS_RE33!$H$7:$H$874,BS_RE33!$S$7:$S$874,$AP$2,BS_RE33!$N$7:$N$874,I44,BS_RE33!$P$7:$P$874,'30 days CF Table(NZD)'!G44,BS_RE33!$F$7:$F$874,'30 days CF Table(NZD)'!$C$2)</f>
        <v>0</v>
      </c>
      <c r="AR44" s="379">
        <f>SUMIFS(BS_RE33!$H$7:$H$874,BS_RE33!$S$7:$S$874,$AR$2,BS_RE33!$N$7:$N$874,I44,BS_RE33!$P$7:$P$874,'30 days CF Table(NZD)'!G44,BS_RE33!$F$7:$F$874,'30 days CF Table(NZD)'!$C$2)</f>
        <v>0</v>
      </c>
      <c r="AS44" s="379">
        <f>SUMIFS(BS_RE33!$H$7:$H$874,BS_RE33!$S$7:$S$874,$AS$2,BS_RE33!$N$7:$N$874,I44,BS_RE33!$P$7:$P$874,'30 days CF Table(NZD)'!G44,BS_RE33!$F$7:$F$874,'30 days CF Table(NZD)'!$C$2)</f>
        <v>0</v>
      </c>
      <c r="AT44" s="379">
        <f>SUMIFS(BS_RE33!$H$7:$H$874,BS_RE33!$S$7:$S$874,$AT$2,BS_RE33!$N$7:$N$874,I44,BS_RE33!$P$7:$P$874,'30 days CF Table(NZD)'!G44,BS_RE33!$F$7:$F$874,'30 days CF Table(NZD)'!$C$2)</f>
        <v>0</v>
      </c>
      <c r="AU44" s="379">
        <f>SUMIFS(BS_RE33!$H$7:$H$874,BS_RE33!$S$7:$S$874,$AU$2,BS_RE33!$N$7:$N$874,I44,BS_RE33!$P$7:$P$874,'30 days CF Table(NZD)'!G44,BS_RE33!$F$7:$F$874,'30 days CF Table(NZD)'!$C$2)</f>
        <v>0</v>
      </c>
      <c r="AV44" s="379">
        <f>SUMIFS(BS_RE33!$H$7:$H$874,BS_RE33!$S$7:$S$874,$AV$2,BS_RE33!$N$7:$N$874,I44,BS_RE33!$P$7:$P$874,'30 days CF Table(NZD)'!G44,BS_RE33!$F$7:$F$874,'30 days CF Table(NZD)'!$C$2)</f>
        <v>0</v>
      </c>
      <c r="AW44" s="379">
        <f>SUMIFS(BS_RE33!$H$7:$H$874,BS_RE33!$S$7:$S$874,$AW$2,BS_RE33!$N$7:$N$874,I44,BS_RE33!$P$7:$P$874,'30 days CF Table(NZD)'!G44,BS_RE33!$F$7:$F$874,'30 days CF Table(NZD)'!$C$2)</f>
        <v>0</v>
      </c>
      <c r="AX44" s="379">
        <f>SUMIFS(BS_RE33!$H$7:$H$874,BS_RE33!$S$7:$S$874,$AX$2,BS_RE33!$N$7:$N$874,I44,BS_RE33!$P$7:$P$874,'30 days CF Table(NZD)'!G44,BS_RE33!$F$7:$F$874,'30 days CF Table(NZD)'!$C$2)</f>
        <v>0</v>
      </c>
      <c r="AY44" s="379">
        <f>SUMIFS(BS_RE33!$H$7:$H$874,BS_RE33!$S$7:$S$874,$AY$2,BS_RE33!$N$7:$N$874,I44,BS_RE33!$P$7:$P$874,'30 days CF Table(NZD)'!G44,BS_RE33!$F$7:$F$874,'30 days CF Table(NZD)'!$C$2)</f>
        <v>0</v>
      </c>
      <c r="AZ44" s="379">
        <f>SUMIFS(BS_RE33!$H$7:$H$874,BS_RE33!$S$7:$S$874,$AZ$2,BS_RE33!$N$7:$N$874,I44,BS_RE33!$P$7:$P$874,'30 days CF Table(NZD)'!G44,BS_RE33!$F$7:$F$874,'30 days CF Table(NZD)'!$C$2)</f>
        <v>0</v>
      </c>
      <c r="BA44" s="379">
        <f>SUMIFS(BS_RE33!$H$7:$H$874,BS_RE33!$S$7:$S$874,$BA$2,BS_RE33!$N$7:$N$874,I44,BS_RE33!$P$7:$P$874,'30 days CF Table(NZD)'!G44,BS_RE33!$F$7:$F$874,'30 days CF Table(NZD)'!$C$2)</f>
        <v>0</v>
      </c>
      <c r="BB44" s="379">
        <f>SUMIFS(BS_RE33!$H$7:$H$874,BS_RE33!$S$7:$S$874,$BB$2,BS_RE33!$N$7:$N$874,I44,BS_RE33!$P$7:$P$874,'30 days CF Table(NZD)'!G44,BS_RE33!$F$7:$F$874,'30 days CF Table(NZD)'!$C$2)</f>
        <v>0</v>
      </c>
      <c r="BC44" s="379">
        <f>SUMIFS(BS_RE33!$H$7:$H$874,BS_RE33!$S$7:$S$874,$BC$2,BS_RE33!$N$7:$N$874,I44,BS_RE33!$P$7:$P$874,'30 days CF Table(NZD)'!G44,BS_RE33!$F$7:$F$874,'30 days CF Table(NZD)'!$C$2)</f>
        <v>0</v>
      </c>
      <c r="BD44" s="379">
        <f>SUMIFS(BS_RE33!$H$7:$H$874,BS_RE33!$S$7:$S$874,$BD$2,BS_RE33!$N$7:$N$874,I44,BS_RE33!$P$7:$P$874,'30 days CF Table(NZD)'!G44,BS_RE33!$F$7:$F$874,'30 days CF Table(NZD)'!$C$2)</f>
        <v>0</v>
      </c>
      <c r="BE44" s="379">
        <f>SUMIFS(BS_RE33!$H$7:$H$874,BS_RE33!$S$7:$S$874,$BE$2,BS_RE33!$N$7:$N$874,I44,BS_RE33!$P$7:$P$874,'30 days CF Table(NZD)'!G44,BS_RE33!$F$7:$F$874,'30 days CF Table(NZD)'!$C$2)</f>
        <v>0</v>
      </c>
      <c r="BF44" s="379">
        <f>SUMIFS(BS_RE33!$H$7:$H$874,BS_RE33!$S$7:$S$874,$BF$2,BS_RE33!$N$7:$N$874,I44,BS_RE33!$P$7:$P$874,'30 days CF Table(NZD)'!G44,BS_RE33!$F$7:$F$874,'30 days CF Table(NZD)'!$C$2)</f>
        <v>0</v>
      </c>
      <c r="BG44" s="379">
        <f>SUMIFS(BS_RE33!$H$7:$H$874,BS_RE33!$S$7:$S$874,$BG$2,BS_RE33!$N$7:$N$874,I44,BS_RE33!$P$7:$P$874,'30 days CF Table(NZD)'!G44,BS_RE33!$F$7:$F$874,'30 days CF Table(NZD)'!$C$2)</f>
        <v>0</v>
      </c>
      <c r="BH44" s="379">
        <f>SUMIFS(BS_RE33!$H$7:$H$874,BS_RE33!$S$7:$S$874,$BH$2,BS_RE33!$N$7:$N$874,I44,BS_RE33!$P$7:$P$874,'30 days CF Table(NZD)'!G44,BS_RE33!$F$7:$F$874,'30 days CF Table(NZD)'!$C$2)</f>
        <v>0</v>
      </c>
      <c r="BI44" s="379">
        <f>SUMIFS(BS_RE33!$H$7:$H$874,BS_RE33!$S$7:$S$874,$BI$2,BS_RE33!$N$7:$N$874,I44,BS_RE33!$P$7:$P$874,'30 days CF Table(NZD)'!G44,BS_RE33!$F$7:$F$874,'30 days CF Table(NZD)'!$C$2)</f>
        <v>0</v>
      </c>
      <c r="BJ44" s="379">
        <f>SUMIFS(BS_RE33!$H$7:$H$874,BS_RE33!$S$7:$S$874,$BJ$2,BS_RE33!$N$7:$N$874,I44,BS_RE33!$P$7:$P$874,'30 days CF Table(NZD)'!G44,BS_RE33!$F$7:$F$874,'30 days CF Table(NZD)'!$C$2)</f>
        <v>0</v>
      </c>
      <c r="BK44" s="379">
        <f>SUMIFS(BS_RE33!$H$7:$H$874,BS_RE33!$S$7:$S$874,$BK$2,BS_RE33!$N$7:$N$874,I44,BS_RE33!$P$7:$P$874,'30 days CF Table(NZD)'!G44,BS_RE33!$F$7:$F$874,'30 days CF Table(NZD)'!$C$2)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Table(NZD)'!G45,BS_RE33!$F$7:$F$874,'30 days CF Table(NZD)'!$C$2)</f>
        <v>0</v>
      </c>
      <c r="M45" s="337">
        <f>SUMIFS(BS_RE33!$H$7:$H$874,BS_RE33!$S$7:$S$874,$M$2,BS_RE33!$N$7:$N$874,I45,BS_RE33!$P$7:$P$874,'30 days CF Table(NZD)'!G45,BS_RE33!$F$7:$F$874,'30 days CF Table(NZD)'!$C$2)</f>
        <v>0</v>
      </c>
      <c r="N45" s="337">
        <f>SUMIFS(BS_RE33!$H$7:$H$874,BS_RE33!$S$7:$S$874,$N$2,BS_RE33!$N$7:$N$874,I45,BS_RE33!$P$7:$P$874,'30 days CF Table(NZD)'!G45,BS_RE33!$F$7:$F$874,'30 days CF Table(NZD)'!$C$2)</f>
        <v>0</v>
      </c>
      <c r="O45" s="337">
        <f>SUMIFS(BS_RE33!$H$7:$H$874,BS_RE33!$S$7:$S$874,$O$2,BS_RE33!$N$7:$N$874,I45,BS_RE33!$P$7:$P$874,'30 days CF Table(NZD)'!G45,BS_RE33!$F$7:$F$874,'30 days CF Table(NZD)'!$C$2)</f>
        <v>0</v>
      </c>
      <c r="P45" s="337">
        <f>SUMIFS(BS_RE33!$H$7:$H$874,BS_RE33!$S$7:$S$874,$P$2,BS_RE33!$N$7:$N$874,I45,BS_RE33!$P$7:$P$874,'30 days CF Table(NZD)'!G45,BS_RE33!$F$7:$F$874,'30 days CF Table(NZD)'!$C$2)</f>
        <v>0</v>
      </c>
      <c r="Q45" s="337">
        <f>SUMIFS(BS_RE33!$H$7:$H$874,BS_RE33!$S$7:$S$874,$Q$2,BS_RE33!$N$7:$N$874,I45,BS_RE33!$P$7:$P$874,'30 days CF Table(NZD)'!G45,BS_RE33!$F$7:$F$874,'30 days CF Table(NZD)'!$C$2)</f>
        <v>0</v>
      </c>
      <c r="R45" s="337">
        <f>SUMIFS(BS_RE33!$H$7:$H$874,BS_RE33!$S$7:$S$874,$R$2,BS_RE33!$N$7:$N$874,I45,BS_RE33!$P$7:$P$874,'30 days CF Table(NZD)'!G45,BS_RE33!$F$7:$F$874,'30 days CF Table(NZD)'!$C$2)</f>
        <v>0</v>
      </c>
      <c r="S45" s="337">
        <f>SUMIFS(BS_RE33!$H$7:$H$874,BS_RE33!$S$7:$S$874,$S$2,BS_RE33!$N$7:$N$874,I45,BS_RE33!$P$7:$P$874,'30 days CF Table(NZD)'!G45,BS_RE33!$F$7:$F$874,'30 days CF Table(NZD)'!$C$2)</f>
        <v>0</v>
      </c>
      <c r="T45" s="337">
        <f>SUMIFS(BS_RE33!$H$7:$H$874,BS_RE33!$S$7:$S$874,$T$2,BS_RE33!$N$7:$N$874,I45,BS_RE33!$P$7:$P$874,'30 days CF Table(NZD)'!G45,BS_RE33!$F$7:$F$874,'30 days CF Table(NZD)'!$C$2)</f>
        <v>0</v>
      </c>
      <c r="U45" s="337">
        <f>SUMIFS(BS_RE33!$H$7:$H$874,BS_RE33!$S$7:$S$874,$U$2,BS_RE33!$N$7:$N$874,I45,BS_RE33!$P$7:$P$874,'30 days CF Table(NZD)'!G45,BS_RE33!$F$7:$F$874,'30 days CF Table(NZD)'!$C$2)</f>
        <v>0</v>
      </c>
      <c r="V45" s="337">
        <f>SUMIFS(BS_RE33!$H$7:$H$874,BS_RE33!$S$7:$S$874,$V$2,BS_RE33!$N$7:$N$874,I45,BS_RE33!$P$7:$P$874,'30 days CF Table(NZD)'!G45,BS_RE33!$F$7:$F$874,'30 days CF Table(NZD)'!$C$2)</f>
        <v>0</v>
      </c>
      <c r="W45" s="337">
        <f>SUMIFS(BS_RE33!$H$7:$H$874,BS_RE33!$S$7:$S$874,$W$2,BS_RE33!$N$7:$N$874,I45,BS_RE33!$P$7:$P$874,'30 days CF Table(NZD)'!G45,BS_RE33!$F$7:$F$874,'30 days CF Table(NZD)'!$C$2)</f>
        <v>0</v>
      </c>
      <c r="X45" s="337">
        <f>SUMIFS(BS_RE33!$H$7:$H$874,BS_RE33!$S$7:$S$874,$X$2,BS_RE33!$N$7:$N$874,I45,BS_RE33!$P$7:$P$874,'30 days CF Table(NZD)'!G45,BS_RE33!$F$7:$F$874,'30 days CF Table(NZD)'!$C$2)</f>
        <v>0</v>
      </c>
      <c r="Y45" s="337">
        <f>SUMIFS(BS_RE33!$H$7:$H$874,BS_RE33!$S$7:$S$874,$Y$2,BS_RE33!$N$7:$N$874,I45,BS_RE33!$P$7:$P$874,'30 days CF Table(NZD)'!G45,BS_RE33!$F$7:$F$874,'30 days CF Table(NZD)'!$C$2)</f>
        <v>0</v>
      </c>
      <c r="Z45" s="337">
        <f>SUMIFS(BS_RE33!$H$7:$H$874,BS_RE33!$S$7:$S$874,$Z$2,BS_RE33!$N$7:$N$874,I45,BS_RE33!$P$7:$P$874,'30 days CF Table(NZD)'!G45,BS_RE33!$F$7:$F$874,'30 days CF Table(NZD)'!$C$2)</f>
        <v>0</v>
      </c>
      <c r="AA45" s="337">
        <f>SUMIFS(BS_RE33!$H$7:$H$874,BS_RE33!$S$7:$S$874,$AA$2,BS_RE33!$N$7:$N$874,I45,BS_RE33!$P$7:$P$874,'30 days CF Table(NZD)'!G45,BS_RE33!$F$7:$F$874,'30 days CF Table(NZD)'!$C$2)</f>
        <v>0</v>
      </c>
      <c r="AB45" s="337">
        <f>SUMIFS(BS_RE33!$H$7:$H$874,BS_RE33!$S$7:$S$874,$AB$2,BS_RE33!$N$7:$N$874,I45,BS_RE33!$P$7:$P$874,'30 days CF Table(NZD)'!G45,BS_RE33!$F$7:$F$874,'30 days CF Table(NZD)'!$C$2)</f>
        <v>0</v>
      </c>
      <c r="AC45" s="337">
        <f>SUMIFS(BS_RE33!$H$7:$H$874,BS_RE33!$S$7:$S$874,$AC$2,BS_RE33!$N$7:$N$874,I45,BS_RE33!$P$7:$P$874,'30 days CF Table(NZD)'!G45,BS_RE33!$F$7:$F$874,'30 days CF Table(NZD)'!$C$2)</f>
        <v>0</v>
      </c>
      <c r="AD45" s="337">
        <f>SUMIFS(BS_RE33!$H$7:$H$874,BS_RE33!$S$7:$S$874,$AD$2,BS_RE33!$N$7:$N$874,I45,BS_RE33!$P$7:$P$874,'30 days CF Table(NZD)'!G45,BS_RE33!$F$7:$F$874,'30 days CF Table(NZD)'!$C$2)</f>
        <v>0</v>
      </c>
      <c r="AE45" s="337">
        <f>SUMIFS(BS_RE33!$H$7:$H$874,BS_RE33!$S$7:$S$874,$AE$2,BS_RE33!$N$7:$N$874,I45,BS_RE33!$P$7:$P$874,'30 days CF Table(NZD)'!G45,BS_RE33!$F$7:$F$874,'30 days CF Table(NZD)'!$C$2)</f>
        <v>0</v>
      </c>
      <c r="AF45" s="337">
        <f>SUMIFS(BS_RE33!$H$7:$H$874,BS_RE33!$S$7:$S$874,$AF$2,BS_RE33!$N$7:$N$874,I45,BS_RE33!$P$7:$P$874,'30 days CF Table(NZD)'!G45,BS_RE33!$F$7:$F$874,'30 days CF Table(NZD)'!$C$2)</f>
        <v>0</v>
      </c>
      <c r="AG45" s="337">
        <f>SUMIFS(BS_RE33!$H$7:$H$874,BS_RE33!$S$7:$S$874,$AG$2,BS_RE33!$N$7:$N$874,I45,BS_RE33!$P$7:$P$874,'30 days CF Table(NZD)'!G45,BS_RE33!$F$7:$F$874,'30 days CF Table(NZD)'!$C$2)</f>
        <v>0</v>
      </c>
      <c r="AH45" s="337">
        <f>SUMIFS(BS_RE33!$H$7:$H$874,BS_RE33!$S$7:$S$874,$AH$2,BS_RE33!$N$7:$N$874,I45,BS_RE33!$P$7:$P$874,'30 days CF Table(NZD)'!G45,BS_RE33!$F$7:$F$874,'30 days CF Table(NZD)'!$C$2)</f>
        <v>0</v>
      </c>
      <c r="AI45" s="337">
        <f>SUMIFS(BS_RE33!$H$7:$H$874,BS_RE33!$S$7:$S$874,$AI$2,BS_RE33!$N$7:$N$874,I45,BS_RE33!$P$7:$P$874,'30 days CF Table(NZD)'!G45,BS_RE33!$F$7:$F$874,'30 days CF Table(NZD)'!$C$2)</f>
        <v>0</v>
      </c>
      <c r="AJ45" s="337">
        <f>SUMIFS(BS_RE33!$H$7:$H$874,BS_RE33!$S$7:$S$874,$AJ$2,BS_RE33!$N$7:$N$874,I45,BS_RE33!$P$7:$P$874,'30 days CF Table(NZD)'!G45,BS_RE33!$F$7:$F$874,'30 days CF Table(NZD)'!$C$2)</f>
        <v>0</v>
      </c>
      <c r="AK45" s="337">
        <f>SUMIFS(BS_RE33!$H$7:$H$874,BS_RE33!$S$7:$S$874,$AK$2,BS_RE33!$N$7:$N$874,I45,BS_RE33!$P$7:$P$874,'30 days CF Table(NZD)'!G45,BS_RE33!$F$7:$F$874,'30 days CF Table(NZD)'!$C$2)</f>
        <v>0</v>
      </c>
      <c r="AL45" s="337">
        <f>SUMIFS(BS_RE33!$H$7:$H$874,BS_RE33!$S$7:$S$874,$AL$2,BS_RE33!$N$7:$N$874,I45,BS_RE33!$P$7:$P$874,'30 days CF Table(NZD)'!G45,BS_RE33!$F$7:$F$874,'30 days CF Table(NZD)'!$C$2)</f>
        <v>0</v>
      </c>
      <c r="AM45" s="337">
        <f>SUMIFS(BS_RE33!$H$7:$H$874,BS_RE33!$S$7:$S$874,$AM$2,BS_RE33!$N$7:$N$874,I45,BS_RE33!$P$7:$P$874,'30 days CF Table(NZD)'!G45,BS_RE33!$F$7:$F$874,'30 days CF Table(NZD)'!$C$2)</f>
        <v>0</v>
      </c>
      <c r="AN45" s="337">
        <f>SUMIFS(BS_RE33!$H$7:$H$874,BS_RE33!$S$7:$S$874,$AN$2,BS_RE33!$N$7:$N$874,I45,BS_RE33!$P$7:$P$874,'30 days CF Table(NZD)'!G45,BS_RE33!$F$7:$F$874,'30 days CF Table(NZD)'!$C$2)</f>
        <v>0</v>
      </c>
      <c r="AO45" s="337">
        <f>SUMIFS(BS_RE33!$H$7:$H$874,BS_RE33!$S$7:$S$874,$AO$2,BS_RE33!$N$7:$N$874,I45,BS_RE33!$P$7:$P$874,'30 days CF Table(NZD)'!G45,BS_RE33!$F$7:$F$874,'30 days CF Table(NZD)'!$C$2)</f>
        <v>0</v>
      </c>
      <c r="AP45" s="338">
        <f>SUMIFS(BS_RE33!$H$7:$H$874,BS_RE33!$S$7:$S$874,$AP$2,BS_RE33!$N$7:$N$874,I45,BS_RE33!$P$7:$P$874,'30 days CF Table(NZD)'!G45,BS_RE33!$F$7:$F$874,'30 days CF Table(NZD)'!$C$2)</f>
        <v>0</v>
      </c>
      <c r="AR45" s="379">
        <f>SUMIFS(BS_RE33!$H$7:$H$874,BS_RE33!$S$7:$S$874,$AR$2,BS_RE33!$N$7:$N$874,I45,BS_RE33!$P$7:$P$874,'30 days CF Table(NZD)'!G45,BS_RE33!$F$7:$F$874,'30 days CF Table(NZD)'!$C$2)</f>
        <v>0</v>
      </c>
      <c r="AS45" s="379">
        <f>SUMIFS(BS_RE33!$H$7:$H$874,BS_RE33!$S$7:$S$874,$AS$2,BS_RE33!$N$7:$N$874,I45,BS_RE33!$P$7:$P$874,'30 days CF Table(NZD)'!G45,BS_RE33!$F$7:$F$874,'30 days CF Table(NZD)'!$C$2)</f>
        <v>0</v>
      </c>
      <c r="AT45" s="379">
        <f>SUMIFS(BS_RE33!$H$7:$H$874,BS_RE33!$S$7:$S$874,$AT$2,BS_RE33!$N$7:$N$874,I45,BS_RE33!$P$7:$P$874,'30 days CF Table(NZD)'!G45,BS_RE33!$F$7:$F$874,'30 days CF Table(NZD)'!$C$2)</f>
        <v>0</v>
      </c>
      <c r="AU45" s="379">
        <f>SUMIFS(BS_RE33!$H$7:$H$874,BS_RE33!$S$7:$S$874,$AU$2,BS_RE33!$N$7:$N$874,I45,BS_RE33!$P$7:$P$874,'30 days CF Table(NZD)'!G45,BS_RE33!$F$7:$F$874,'30 days CF Table(NZD)'!$C$2)</f>
        <v>0</v>
      </c>
      <c r="AV45" s="379">
        <f>SUMIFS(BS_RE33!$H$7:$H$874,BS_RE33!$S$7:$S$874,$AV$2,BS_RE33!$N$7:$N$874,I45,BS_RE33!$P$7:$P$874,'30 days CF Table(NZD)'!G45,BS_RE33!$F$7:$F$874,'30 days CF Table(NZD)'!$C$2)</f>
        <v>0</v>
      </c>
      <c r="AW45" s="379">
        <f>SUMIFS(BS_RE33!$H$7:$H$874,BS_RE33!$S$7:$S$874,$AW$2,BS_RE33!$N$7:$N$874,I45,BS_RE33!$P$7:$P$874,'30 days CF Table(NZD)'!G45,BS_RE33!$F$7:$F$874,'30 days CF Table(NZD)'!$C$2)</f>
        <v>0</v>
      </c>
      <c r="AX45" s="379">
        <f>SUMIFS(BS_RE33!$H$7:$H$874,BS_RE33!$S$7:$S$874,$AX$2,BS_RE33!$N$7:$N$874,I45,BS_RE33!$P$7:$P$874,'30 days CF Table(NZD)'!G45,BS_RE33!$F$7:$F$874,'30 days CF Table(NZD)'!$C$2)</f>
        <v>0</v>
      </c>
      <c r="AY45" s="379">
        <f>SUMIFS(BS_RE33!$H$7:$H$874,BS_RE33!$S$7:$S$874,$AY$2,BS_RE33!$N$7:$N$874,I45,BS_RE33!$P$7:$P$874,'30 days CF Table(NZD)'!G45,BS_RE33!$F$7:$F$874,'30 days CF Table(NZD)'!$C$2)</f>
        <v>0</v>
      </c>
      <c r="AZ45" s="379">
        <f>SUMIFS(BS_RE33!$H$7:$H$874,BS_RE33!$S$7:$S$874,$AZ$2,BS_RE33!$N$7:$N$874,I45,BS_RE33!$P$7:$P$874,'30 days CF Table(NZD)'!G45,BS_RE33!$F$7:$F$874,'30 days CF Table(NZD)'!$C$2)</f>
        <v>0</v>
      </c>
      <c r="BA45" s="379">
        <f>SUMIFS(BS_RE33!$H$7:$H$874,BS_RE33!$S$7:$S$874,$BA$2,BS_RE33!$N$7:$N$874,I45,BS_RE33!$P$7:$P$874,'30 days CF Table(NZD)'!G45,BS_RE33!$F$7:$F$874,'30 days CF Table(NZD)'!$C$2)</f>
        <v>0</v>
      </c>
      <c r="BB45" s="379">
        <f>SUMIFS(BS_RE33!$H$7:$H$874,BS_RE33!$S$7:$S$874,$BB$2,BS_RE33!$N$7:$N$874,I45,BS_RE33!$P$7:$P$874,'30 days CF Table(NZD)'!G45,BS_RE33!$F$7:$F$874,'30 days CF Table(NZD)'!$C$2)</f>
        <v>0</v>
      </c>
      <c r="BC45" s="379">
        <f>SUMIFS(BS_RE33!$H$7:$H$874,BS_RE33!$S$7:$S$874,$BC$2,BS_RE33!$N$7:$N$874,I45,BS_RE33!$P$7:$P$874,'30 days CF Table(NZD)'!G45,BS_RE33!$F$7:$F$874,'30 days CF Table(NZD)'!$C$2)</f>
        <v>0</v>
      </c>
      <c r="BD45" s="379">
        <f>SUMIFS(BS_RE33!$H$7:$H$874,BS_RE33!$S$7:$S$874,$BD$2,BS_RE33!$N$7:$N$874,I45,BS_RE33!$P$7:$P$874,'30 days CF Table(NZD)'!G45,BS_RE33!$F$7:$F$874,'30 days CF Table(NZD)'!$C$2)</f>
        <v>0</v>
      </c>
      <c r="BE45" s="379">
        <f>SUMIFS(BS_RE33!$H$7:$H$874,BS_RE33!$S$7:$S$874,$BE$2,BS_RE33!$N$7:$N$874,I45,BS_RE33!$P$7:$P$874,'30 days CF Table(NZD)'!G45,BS_RE33!$F$7:$F$874,'30 days CF Table(NZD)'!$C$2)</f>
        <v>0</v>
      </c>
      <c r="BF45" s="379">
        <f>SUMIFS(BS_RE33!$H$7:$H$874,BS_RE33!$S$7:$S$874,$BF$2,BS_RE33!$N$7:$N$874,I45,BS_RE33!$P$7:$P$874,'30 days CF Table(NZD)'!G45,BS_RE33!$F$7:$F$874,'30 days CF Table(NZD)'!$C$2)</f>
        <v>0</v>
      </c>
      <c r="BG45" s="379">
        <f>SUMIFS(BS_RE33!$H$7:$H$874,BS_RE33!$S$7:$S$874,$BG$2,BS_RE33!$N$7:$N$874,I45,BS_RE33!$P$7:$P$874,'30 days CF Table(NZD)'!G45,BS_RE33!$F$7:$F$874,'30 days CF Table(NZD)'!$C$2)</f>
        <v>0</v>
      </c>
      <c r="BH45" s="379">
        <f>SUMIFS(BS_RE33!$H$7:$H$874,BS_RE33!$S$7:$S$874,$BH$2,BS_RE33!$N$7:$N$874,I45,BS_RE33!$P$7:$P$874,'30 days CF Table(NZD)'!G45,BS_RE33!$F$7:$F$874,'30 days CF Table(NZD)'!$C$2)</f>
        <v>0</v>
      </c>
      <c r="BI45" s="379">
        <f>SUMIFS(BS_RE33!$H$7:$H$874,BS_RE33!$S$7:$S$874,$BI$2,BS_RE33!$N$7:$N$874,I45,BS_RE33!$P$7:$P$874,'30 days CF Table(NZD)'!G45,BS_RE33!$F$7:$F$874,'30 days CF Table(NZD)'!$C$2)</f>
        <v>0</v>
      </c>
      <c r="BJ45" s="379">
        <f>SUMIFS(BS_RE33!$H$7:$H$874,BS_RE33!$S$7:$S$874,$BJ$2,BS_RE33!$N$7:$N$874,I45,BS_RE33!$P$7:$P$874,'30 days CF Table(NZD)'!G45,BS_RE33!$F$7:$F$874,'30 days CF Table(NZD)'!$C$2)</f>
        <v>0</v>
      </c>
      <c r="BK45" s="379">
        <f>SUMIFS(BS_RE33!$H$7:$H$874,BS_RE33!$S$7:$S$874,$BK$2,BS_RE33!$N$7:$N$874,I45,BS_RE33!$P$7:$P$874,'30 days CF Table(NZD)'!G45,BS_RE33!$F$7:$F$874,'30 days CF Table(NZD)'!$C$2)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Table(NZD)'!G46,BS_RE33!$F$7:$F$874,'30 days CF Table(NZD)'!$C$2)</f>
        <v>0</v>
      </c>
      <c r="M46" s="548">
        <f>SUMIFS(BS_RE33!$H$7:$H$874,BS_RE33!$S$7:$S$874,$M$2,BS_RE33!$N$7:$N$874,I46,BS_RE33!$P$7:$P$874,'30 days CF Table(NZD)'!G46,BS_RE33!$F$7:$F$874,'30 days CF Table(NZD)'!$C$2)</f>
        <v>0</v>
      </c>
      <c r="N46" s="548">
        <f>SUMIFS(BS_RE33!$H$7:$H$874,BS_RE33!$S$7:$S$874,$N$2,BS_RE33!$N$7:$N$874,I46,BS_RE33!$P$7:$P$874,'30 days CF Table(NZD)'!G46,BS_RE33!$F$7:$F$874,'30 days CF Table(NZD)'!$C$2)</f>
        <v>0</v>
      </c>
      <c r="O46" s="548">
        <f>SUMIFS(BS_RE33!$H$7:$H$874,BS_RE33!$S$7:$S$874,$O$2,BS_RE33!$N$7:$N$874,I46,BS_RE33!$P$7:$P$874,'30 days CF Table(NZD)'!G46,BS_RE33!$F$7:$F$874,'30 days CF Table(NZD)'!$C$2)</f>
        <v>0</v>
      </c>
      <c r="P46" s="548">
        <f>SUMIFS(BS_RE33!$H$7:$H$874,BS_RE33!$S$7:$S$874,$P$2,BS_RE33!$N$7:$N$874,I46,BS_RE33!$P$7:$P$874,'30 days CF Table(NZD)'!G46,BS_RE33!$F$7:$F$874,'30 days CF Table(NZD)'!$C$2)</f>
        <v>0</v>
      </c>
      <c r="Q46" s="548">
        <f>SUMIFS(BS_RE33!$H$7:$H$874,BS_RE33!$S$7:$S$874,$Q$2,BS_RE33!$N$7:$N$874,I46,BS_RE33!$P$7:$P$874,'30 days CF Table(NZD)'!G46,BS_RE33!$F$7:$F$874,'30 days CF Table(NZD)'!$C$2)</f>
        <v>0</v>
      </c>
      <c r="R46" s="548">
        <f>SUMIFS(BS_RE33!$H$7:$H$874,BS_RE33!$S$7:$S$874,$R$2,BS_RE33!$N$7:$N$874,I46,BS_RE33!$P$7:$P$874,'30 days CF Table(NZD)'!G46,BS_RE33!$F$7:$F$874,'30 days CF Table(NZD)'!$C$2)</f>
        <v>0</v>
      </c>
      <c r="S46" s="548">
        <f>SUMIFS(BS_RE33!$H$7:$H$874,BS_RE33!$S$7:$S$874,$S$2,BS_RE33!$N$7:$N$874,I46,BS_RE33!$P$7:$P$874,'30 days CF Table(NZD)'!G46,BS_RE33!$F$7:$F$874,'30 days CF Table(NZD)'!$C$2)</f>
        <v>0</v>
      </c>
      <c r="T46" s="548">
        <f>SUMIFS(BS_RE33!$H$7:$H$874,BS_RE33!$S$7:$S$874,$T$2,BS_RE33!$N$7:$N$874,I46,BS_RE33!$P$7:$P$874,'30 days CF Table(NZD)'!G46,BS_RE33!$F$7:$F$874,'30 days CF Table(NZD)'!$C$2)</f>
        <v>0</v>
      </c>
      <c r="U46" s="548">
        <f>SUMIFS(BS_RE33!$H$7:$H$874,BS_RE33!$S$7:$S$874,$U$2,BS_RE33!$N$7:$N$874,I46,BS_RE33!$P$7:$P$874,'30 days CF Table(NZD)'!G46,BS_RE33!$F$7:$F$874,'30 days CF Table(NZD)'!$C$2)</f>
        <v>0</v>
      </c>
      <c r="V46" s="548">
        <f>SUMIFS(BS_RE33!$H$7:$H$874,BS_RE33!$S$7:$S$874,$V$2,BS_RE33!$N$7:$N$874,I46,BS_RE33!$P$7:$P$874,'30 days CF Table(NZD)'!G46,BS_RE33!$F$7:$F$874,'30 days CF Table(NZD)'!$C$2)</f>
        <v>0</v>
      </c>
      <c r="W46" s="548">
        <f>SUMIFS(BS_RE33!$H$7:$H$874,BS_RE33!$S$7:$S$874,$W$2,BS_RE33!$N$7:$N$874,I46,BS_RE33!$P$7:$P$874,'30 days CF Table(NZD)'!G46,BS_RE33!$F$7:$F$874,'30 days CF Table(NZD)'!$C$2)</f>
        <v>0</v>
      </c>
      <c r="X46" s="548">
        <f>SUMIFS(BS_RE33!$H$7:$H$874,BS_RE33!$S$7:$S$874,$X$2,BS_RE33!$N$7:$N$874,I46,BS_RE33!$P$7:$P$874,'30 days CF Table(NZD)'!G46,BS_RE33!$F$7:$F$874,'30 days CF Table(NZD)'!$C$2)</f>
        <v>0</v>
      </c>
      <c r="Y46" s="548">
        <f>SUMIFS(BS_RE33!$H$7:$H$874,BS_RE33!$S$7:$S$874,$Y$2,BS_RE33!$N$7:$N$874,I46,BS_RE33!$P$7:$P$874,'30 days CF Table(NZD)'!G46,BS_RE33!$F$7:$F$874,'30 days CF Table(NZD)'!$C$2)</f>
        <v>0</v>
      </c>
      <c r="Z46" s="548">
        <f>SUMIFS(BS_RE33!$H$7:$H$874,BS_RE33!$S$7:$S$874,$Z$2,BS_RE33!$N$7:$N$874,I46,BS_RE33!$P$7:$P$874,'30 days CF Table(NZD)'!G46,BS_RE33!$F$7:$F$874,'30 days CF Table(NZD)'!$C$2)</f>
        <v>0</v>
      </c>
      <c r="AA46" s="548">
        <f>SUMIFS(BS_RE33!$H$7:$H$874,BS_RE33!$S$7:$S$874,$AA$2,BS_RE33!$N$7:$N$874,I46,BS_RE33!$P$7:$P$874,'30 days CF Table(NZD)'!G46,BS_RE33!$F$7:$F$874,'30 days CF Table(NZD)'!$C$2)</f>
        <v>0</v>
      </c>
      <c r="AB46" s="548">
        <f>SUMIFS(BS_RE33!$H$7:$H$874,BS_RE33!$S$7:$S$874,$AB$2,BS_RE33!$N$7:$N$874,I46,BS_RE33!$P$7:$P$874,'30 days CF Table(NZD)'!G46,BS_RE33!$F$7:$F$874,'30 days CF Table(NZD)'!$C$2)</f>
        <v>0</v>
      </c>
      <c r="AC46" s="548">
        <f>SUMIFS(BS_RE33!$H$7:$H$874,BS_RE33!$S$7:$S$874,$AC$2,BS_RE33!$N$7:$N$874,I46,BS_RE33!$P$7:$P$874,'30 days CF Table(NZD)'!G46,BS_RE33!$F$7:$F$874,'30 days CF Table(NZD)'!$C$2)</f>
        <v>0</v>
      </c>
      <c r="AD46" s="548">
        <f>SUMIFS(BS_RE33!$H$7:$H$874,BS_RE33!$S$7:$S$874,$AD$2,BS_RE33!$N$7:$N$874,I46,BS_RE33!$P$7:$P$874,'30 days CF Table(NZD)'!G46,BS_RE33!$F$7:$F$874,'30 days CF Table(NZD)'!$C$2)</f>
        <v>0</v>
      </c>
      <c r="AE46" s="548">
        <f>SUMIFS(BS_RE33!$H$7:$H$874,BS_RE33!$S$7:$S$874,$AE$2,BS_RE33!$N$7:$N$874,I46,BS_RE33!$P$7:$P$874,'30 days CF Table(NZD)'!G46,BS_RE33!$F$7:$F$874,'30 days CF Table(NZD)'!$C$2)</f>
        <v>0</v>
      </c>
      <c r="AF46" s="548">
        <f>SUMIFS(BS_RE33!$H$7:$H$874,BS_RE33!$S$7:$S$874,$AF$2,BS_RE33!$N$7:$N$874,I46,BS_RE33!$P$7:$P$874,'30 days CF Table(NZD)'!G46,BS_RE33!$F$7:$F$874,'30 days CF Table(NZD)'!$C$2)</f>
        <v>0</v>
      </c>
      <c r="AG46" s="548">
        <f>SUMIFS(BS_RE33!$H$7:$H$874,BS_RE33!$S$7:$S$874,$AG$2,BS_RE33!$N$7:$N$874,I46,BS_RE33!$P$7:$P$874,'30 days CF Table(NZD)'!G46,BS_RE33!$F$7:$F$874,'30 days CF Table(NZD)'!$C$2)</f>
        <v>0</v>
      </c>
      <c r="AH46" s="548">
        <f>SUMIFS(BS_RE33!$H$7:$H$874,BS_RE33!$S$7:$S$874,$AH$2,BS_RE33!$N$7:$N$874,I46,BS_RE33!$P$7:$P$874,'30 days CF Table(NZD)'!G46,BS_RE33!$F$7:$F$874,'30 days CF Table(NZD)'!$C$2)</f>
        <v>0</v>
      </c>
      <c r="AI46" s="548">
        <f>SUMIFS(BS_RE33!$H$7:$H$874,BS_RE33!$S$7:$S$874,$AI$2,BS_RE33!$N$7:$N$874,I46,BS_RE33!$P$7:$P$874,'30 days CF Table(NZD)'!G46,BS_RE33!$F$7:$F$874,'30 days CF Table(NZD)'!$C$2)</f>
        <v>0</v>
      </c>
      <c r="AJ46" s="548">
        <f>SUMIFS(BS_RE33!$H$7:$H$874,BS_RE33!$S$7:$S$874,$AJ$2,BS_RE33!$N$7:$N$874,I46,BS_RE33!$P$7:$P$874,'30 days CF Table(NZD)'!G46,BS_RE33!$F$7:$F$874,'30 days CF Table(NZD)'!$C$2)</f>
        <v>0</v>
      </c>
      <c r="AK46" s="548">
        <f>SUMIFS(BS_RE33!$H$7:$H$874,BS_RE33!$S$7:$S$874,$AK$2,BS_RE33!$N$7:$N$874,I46,BS_RE33!$P$7:$P$874,'30 days CF Table(NZD)'!G46,BS_RE33!$F$7:$F$874,'30 days CF Table(NZD)'!$C$2)</f>
        <v>0</v>
      </c>
      <c r="AL46" s="548">
        <f>SUMIFS(BS_RE33!$H$7:$H$874,BS_RE33!$S$7:$S$874,$AL$2,BS_RE33!$N$7:$N$874,I46,BS_RE33!$P$7:$P$874,'30 days CF Table(NZD)'!G46,BS_RE33!$F$7:$F$874,'30 days CF Table(NZD)'!$C$2)</f>
        <v>0</v>
      </c>
      <c r="AM46" s="548">
        <f>SUMIFS(BS_RE33!$H$7:$H$874,BS_RE33!$S$7:$S$874,$AM$2,BS_RE33!$N$7:$N$874,I46,BS_RE33!$P$7:$P$874,'30 days CF Table(NZD)'!G46,BS_RE33!$F$7:$F$874,'30 days CF Table(NZD)'!$C$2)</f>
        <v>0</v>
      </c>
      <c r="AN46" s="548">
        <f>SUMIFS(BS_RE33!$H$7:$H$874,BS_RE33!$S$7:$S$874,$AN$2,BS_RE33!$N$7:$N$874,I46,BS_RE33!$P$7:$P$874,'30 days CF Table(NZD)'!G46,BS_RE33!$F$7:$F$874,'30 days CF Table(NZD)'!$C$2)</f>
        <v>0</v>
      </c>
      <c r="AO46" s="548">
        <f>SUMIFS(BS_RE33!$H$7:$H$874,BS_RE33!$S$7:$S$874,$AO$2,BS_RE33!$N$7:$N$874,I46,BS_RE33!$P$7:$P$874,'30 days CF Table(NZD)'!G46,BS_RE33!$F$7:$F$874,'30 days CF Table(NZD)'!$C$2)</f>
        <v>0</v>
      </c>
      <c r="AP46" s="549">
        <f>SUMIFS(BS_RE33!$H$7:$H$874,BS_RE33!$S$7:$S$874,$AP$2,BS_RE33!$N$7:$N$874,I46,BS_RE33!$P$7:$P$874,'30 days CF Table(NZD)'!G46,BS_RE33!$F$7:$F$874,'30 days CF Table(NZD)'!$C$2)</f>
        <v>0</v>
      </c>
      <c r="AQ46" s="550"/>
      <c r="AR46" s="380">
        <f>SUMIFS(BS_RE33!$H$7:$H$874,BS_RE33!$S$7:$S$874,$AR$2,BS_RE33!$N$7:$N$874,I46,BS_RE33!$P$7:$P$874,'30 days CF Table(NZD)'!G46,BS_RE33!$F$7:$F$874,'30 days CF Table(NZD)'!$C$2)</f>
        <v>0</v>
      </c>
      <c r="AS46" s="380">
        <f>SUMIFS(BS_RE33!$H$7:$H$874,BS_RE33!$S$7:$S$874,$AS$2,BS_RE33!$N$7:$N$874,I46,BS_RE33!$P$7:$P$874,'30 days CF Table(NZD)'!G46,BS_RE33!$F$7:$F$874,'30 days CF Table(NZD)'!$C$2)</f>
        <v>0</v>
      </c>
      <c r="AT46" s="380">
        <f>SUMIFS(BS_RE33!$H$7:$H$874,BS_RE33!$S$7:$S$874,$AT$2,BS_RE33!$N$7:$N$874,I46,BS_RE33!$P$7:$P$874,'30 days CF Table(NZD)'!G46,BS_RE33!$F$7:$F$874,'30 days CF Table(NZD)'!$C$2)</f>
        <v>0</v>
      </c>
      <c r="AU46" s="380">
        <f>SUMIFS(BS_RE33!$H$7:$H$874,BS_RE33!$S$7:$S$874,$AU$2,BS_RE33!$N$7:$N$874,I46,BS_RE33!$P$7:$P$874,'30 days CF Table(NZD)'!G46,BS_RE33!$F$7:$F$874,'30 days CF Table(NZD)'!$C$2)</f>
        <v>0</v>
      </c>
      <c r="AV46" s="380">
        <f>SUMIFS(BS_RE33!$H$7:$H$874,BS_RE33!$S$7:$S$874,$AV$2,BS_RE33!$N$7:$N$874,I46,BS_RE33!$P$7:$P$874,'30 days CF Table(NZD)'!G46,BS_RE33!$F$7:$F$874,'30 days CF Table(NZD)'!$C$2)</f>
        <v>0</v>
      </c>
      <c r="AW46" s="380">
        <f>SUMIFS(BS_RE33!$H$7:$H$874,BS_RE33!$S$7:$S$874,$AW$2,BS_RE33!$N$7:$N$874,I46,BS_RE33!$P$7:$P$874,'30 days CF Table(NZD)'!G46,BS_RE33!$F$7:$F$874,'30 days CF Table(NZD)'!$C$2)</f>
        <v>0</v>
      </c>
      <c r="AX46" s="380">
        <f>SUMIFS(BS_RE33!$H$7:$H$874,BS_RE33!$S$7:$S$874,$AX$2,BS_RE33!$N$7:$N$874,I46,BS_RE33!$P$7:$P$874,'30 days CF Table(NZD)'!G46,BS_RE33!$F$7:$F$874,'30 days CF Table(NZD)'!$C$2)</f>
        <v>0</v>
      </c>
      <c r="AY46" s="380">
        <f>SUMIFS(BS_RE33!$H$7:$H$874,BS_RE33!$S$7:$S$874,$AY$2,BS_RE33!$N$7:$N$874,I46,BS_RE33!$P$7:$P$874,'30 days CF Table(NZD)'!G46,BS_RE33!$F$7:$F$874,'30 days CF Table(NZD)'!$C$2)</f>
        <v>0</v>
      </c>
      <c r="AZ46" s="380">
        <f>SUMIFS(BS_RE33!$H$7:$H$874,BS_RE33!$S$7:$S$874,$AZ$2,BS_RE33!$N$7:$N$874,I46,BS_RE33!$P$7:$P$874,'30 days CF Table(NZD)'!G46,BS_RE33!$F$7:$F$874,'30 days CF Table(NZD)'!$C$2)</f>
        <v>0</v>
      </c>
      <c r="BA46" s="380">
        <f>SUMIFS(BS_RE33!$H$7:$H$874,BS_RE33!$S$7:$S$874,$BA$2,BS_RE33!$N$7:$N$874,I46,BS_RE33!$P$7:$P$874,'30 days CF Table(NZD)'!G46,BS_RE33!$F$7:$F$874,'30 days CF Table(NZD)'!$C$2)</f>
        <v>0</v>
      </c>
      <c r="BB46" s="380">
        <f>SUMIFS(BS_RE33!$H$7:$H$874,BS_RE33!$S$7:$S$874,$BB$2,BS_RE33!$N$7:$N$874,I46,BS_RE33!$P$7:$P$874,'30 days CF Table(NZD)'!G46,BS_RE33!$F$7:$F$874,'30 days CF Table(NZD)'!$C$2)</f>
        <v>0</v>
      </c>
      <c r="BC46" s="380">
        <f>SUMIFS(BS_RE33!$H$7:$H$874,BS_RE33!$S$7:$S$874,$BC$2,BS_RE33!$N$7:$N$874,I46,BS_RE33!$P$7:$P$874,'30 days CF Table(NZD)'!G46,BS_RE33!$F$7:$F$874,'30 days CF Table(NZD)'!$C$2)</f>
        <v>0</v>
      </c>
      <c r="BD46" s="380">
        <f>SUMIFS(BS_RE33!$H$7:$H$874,BS_RE33!$S$7:$S$874,$BD$2,BS_RE33!$N$7:$N$874,I46,BS_RE33!$P$7:$P$874,'30 days CF Table(NZD)'!G46,BS_RE33!$F$7:$F$874,'30 days CF Table(NZD)'!$C$2)</f>
        <v>0</v>
      </c>
      <c r="BE46" s="380">
        <f>SUMIFS(BS_RE33!$H$7:$H$874,BS_RE33!$S$7:$S$874,$BE$2,BS_RE33!$N$7:$N$874,I46,BS_RE33!$P$7:$P$874,'30 days CF Table(NZD)'!G46,BS_RE33!$F$7:$F$874,'30 days CF Table(NZD)'!$C$2)</f>
        <v>0</v>
      </c>
      <c r="BF46" s="380">
        <f>SUMIFS(BS_RE33!$H$7:$H$874,BS_RE33!$S$7:$S$874,$BF$2,BS_RE33!$N$7:$N$874,I46,BS_RE33!$P$7:$P$874,'30 days CF Table(NZD)'!G46,BS_RE33!$F$7:$F$874,'30 days CF Table(NZD)'!$C$2)</f>
        <v>0</v>
      </c>
      <c r="BG46" s="380">
        <f>SUMIFS(BS_RE33!$H$7:$H$874,BS_RE33!$S$7:$S$874,$BG$2,BS_RE33!$N$7:$N$874,I46,BS_RE33!$P$7:$P$874,'30 days CF Table(NZD)'!G46,BS_RE33!$F$7:$F$874,'30 days CF Table(NZD)'!$C$2)</f>
        <v>0</v>
      </c>
      <c r="BH46" s="380">
        <f>SUMIFS(BS_RE33!$H$7:$H$874,BS_RE33!$S$7:$S$874,$BH$2,BS_RE33!$N$7:$N$874,I46,BS_RE33!$P$7:$P$874,'30 days CF Table(NZD)'!G46,BS_RE33!$F$7:$F$874,'30 days CF Table(NZD)'!$C$2)</f>
        <v>0</v>
      </c>
      <c r="BI46" s="380">
        <f>SUMIFS(BS_RE33!$H$7:$H$874,BS_RE33!$S$7:$S$874,$BI$2,BS_RE33!$N$7:$N$874,I46,BS_RE33!$P$7:$P$874,'30 days CF Table(NZD)'!G46,BS_RE33!$F$7:$F$874,'30 days CF Table(NZD)'!$C$2)</f>
        <v>0</v>
      </c>
      <c r="BJ46" s="380">
        <f>SUMIFS(BS_RE33!$H$7:$H$874,BS_RE33!$S$7:$S$874,$BJ$2,BS_RE33!$N$7:$N$874,I46,BS_RE33!$P$7:$P$874,'30 days CF Table(NZD)'!G46,BS_RE33!$F$7:$F$874,'30 days CF Table(NZD)'!$C$2)</f>
        <v>0</v>
      </c>
      <c r="BK46" s="380">
        <f>SUMIFS(BS_RE33!$H$7:$H$874,BS_RE33!$S$7:$S$874,$BK$2,BS_RE33!$N$7:$N$874,I46,BS_RE33!$P$7:$P$874,'30 days CF Table(NZD)'!G46,BS_RE33!$F$7:$F$874,'30 days CF Table(NZD)'!$C$2)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Table(NZD)'!G47,BS_RE33!$F$7:$F$874,'30 days CF Table(NZD)'!$C$2)</f>
        <v>0</v>
      </c>
      <c r="M47" s="548">
        <f>SUMIFS(BS_RE33!$H$7:$H$874,BS_RE33!$S$7:$S$874,$M$2,BS_RE33!$N$7:$N$874,I47,BS_RE33!$P$7:$P$874,'30 days CF Table(NZD)'!G47,BS_RE33!$F$7:$F$874,'30 days CF Table(NZD)'!$C$2)</f>
        <v>0</v>
      </c>
      <c r="N47" s="548">
        <f>SUMIFS(BS_RE33!$H$7:$H$874,BS_RE33!$S$7:$S$874,$N$2,BS_RE33!$N$7:$N$874,I47,BS_RE33!$P$7:$P$874,'30 days CF Table(NZD)'!G47,BS_RE33!$F$7:$F$874,'30 days CF Table(NZD)'!$C$2)</f>
        <v>0</v>
      </c>
      <c r="O47" s="548">
        <f>SUMIFS(BS_RE33!$H$7:$H$874,BS_RE33!$S$7:$S$874,$O$2,BS_RE33!$N$7:$N$874,I47,BS_RE33!$P$7:$P$874,'30 days CF Table(NZD)'!G47,BS_RE33!$F$7:$F$874,'30 days CF Table(NZD)'!$C$2)</f>
        <v>0</v>
      </c>
      <c r="P47" s="548">
        <f>SUMIFS(BS_RE33!$H$7:$H$874,BS_RE33!$S$7:$S$874,$P$2,BS_RE33!$N$7:$N$874,I47,BS_RE33!$P$7:$P$874,'30 days CF Table(NZD)'!G47,BS_RE33!$F$7:$F$874,'30 days CF Table(NZD)'!$C$2)</f>
        <v>0</v>
      </c>
      <c r="Q47" s="548">
        <f>SUMIFS(BS_RE33!$H$7:$H$874,BS_RE33!$S$7:$S$874,$Q$2,BS_RE33!$N$7:$N$874,I47,BS_RE33!$P$7:$P$874,'30 days CF Table(NZD)'!G47,BS_RE33!$F$7:$F$874,'30 days CF Table(NZD)'!$C$2)</f>
        <v>0</v>
      </c>
      <c r="R47" s="548">
        <f>SUMIFS(BS_RE33!$H$7:$H$874,BS_RE33!$S$7:$S$874,$R$2,BS_RE33!$N$7:$N$874,I47,BS_RE33!$P$7:$P$874,'30 days CF Table(NZD)'!G47,BS_RE33!$F$7:$F$874,'30 days CF Table(NZD)'!$C$2)</f>
        <v>0</v>
      </c>
      <c r="S47" s="548">
        <f>SUMIFS(BS_RE33!$H$7:$H$874,BS_RE33!$S$7:$S$874,$S$2,BS_RE33!$N$7:$N$874,I47,BS_RE33!$P$7:$P$874,'30 days CF Table(NZD)'!G47,BS_RE33!$F$7:$F$874,'30 days CF Table(NZD)'!$C$2)</f>
        <v>0</v>
      </c>
      <c r="T47" s="548">
        <f>SUMIFS(BS_RE33!$H$7:$H$874,BS_RE33!$S$7:$S$874,$T$2,BS_RE33!$N$7:$N$874,I47,BS_RE33!$P$7:$P$874,'30 days CF Table(NZD)'!G47,BS_RE33!$F$7:$F$874,'30 days CF Table(NZD)'!$C$2)</f>
        <v>0</v>
      </c>
      <c r="U47" s="548">
        <f>SUMIFS(BS_RE33!$H$7:$H$874,BS_RE33!$S$7:$S$874,$U$2,BS_RE33!$N$7:$N$874,I47,BS_RE33!$P$7:$P$874,'30 days CF Table(NZD)'!G47,BS_RE33!$F$7:$F$874,'30 days CF Table(NZD)'!$C$2)</f>
        <v>0</v>
      </c>
      <c r="V47" s="548">
        <f>SUMIFS(BS_RE33!$H$7:$H$874,BS_RE33!$S$7:$S$874,$V$2,BS_RE33!$N$7:$N$874,I47,BS_RE33!$P$7:$P$874,'30 days CF Table(NZD)'!G47,BS_RE33!$F$7:$F$874,'30 days CF Table(NZD)'!$C$2)</f>
        <v>0</v>
      </c>
      <c r="W47" s="548">
        <f>SUMIFS(BS_RE33!$H$7:$H$874,BS_RE33!$S$7:$S$874,$W$2,BS_RE33!$N$7:$N$874,I47,BS_RE33!$P$7:$P$874,'30 days CF Table(NZD)'!G47,BS_RE33!$F$7:$F$874,'30 days CF Table(NZD)'!$C$2)</f>
        <v>0</v>
      </c>
      <c r="X47" s="548">
        <f>SUMIFS(BS_RE33!$H$7:$H$874,BS_RE33!$S$7:$S$874,$X$2,BS_RE33!$N$7:$N$874,I47,BS_RE33!$P$7:$P$874,'30 days CF Table(NZD)'!G47,BS_RE33!$F$7:$F$874,'30 days CF Table(NZD)'!$C$2)</f>
        <v>0</v>
      </c>
      <c r="Y47" s="548">
        <f>SUMIFS(BS_RE33!$H$7:$H$874,BS_RE33!$S$7:$S$874,$Y$2,BS_RE33!$N$7:$N$874,I47,BS_RE33!$P$7:$P$874,'30 days CF Table(NZD)'!G47,BS_RE33!$F$7:$F$874,'30 days CF Table(NZD)'!$C$2)</f>
        <v>0</v>
      </c>
      <c r="Z47" s="548">
        <f>SUMIFS(BS_RE33!$H$7:$H$874,BS_RE33!$S$7:$S$874,$Z$2,BS_RE33!$N$7:$N$874,I47,BS_RE33!$P$7:$P$874,'30 days CF Table(NZD)'!G47,BS_RE33!$F$7:$F$874,'30 days CF Table(NZD)'!$C$2)</f>
        <v>0</v>
      </c>
      <c r="AA47" s="548">
        <f>SUMIFS(BS_RE33!$H$7:$H$874,BS_RE33!$S$7:$S$874,$AA$2,BS_RE33!$N$7:$N$874,I47,BS_RE33!$P$7:$P$874,'30 days CF Table(NZD)'!G47,BS_RE33!$F$7:$F$874,'30 days CF Table(NZD)'!$C$2)</f>
        <v>0</v>
      </c>
      <c r="AB47" s="548">
        <f>SUMIFS(BS_RE33!$H$7:$H$874,BS_RE33!$S$7:$S$874,$AB$2,BS_RE33!$N$7:$N$874,I47,BS_RE33!$P$7:$P$874,'30 days CF Table(NZD)'!G47,BS_RE33!$F$7:$F$874,'30 days CF Table(NZD)'!$C$2)</f>
        <v>0</v>
      </c>
      <c r="AC47" s="548">
        <f>SUMIFS(BS_RE33!$H$7:$H$874,BS_RE33!$S$7:$S$874,$AC$2,BS_RE33!$N$7:$N$874,I47,BS_RE33!$P$7:$P$874,'30 days CF Table(NZD)'!G47,BS_RE33!$F$7:$F$874,'30 days CF Table(NZD)'!$C$2)</f>
        <v>0</v>
      </c>
      <c r="AD47" s="548">
        <f>SUMIFS(BS_RE33!$H$7:$H$874,BS_RE33!$S$7:$S$874,$AD$2,BS_RE33!$N$7:$N$874,I47,BS_RE33!$P$7:$P$874,'30 days CF Table(NZD)'!G47,BS_RE33!$F$7:$F$874,'30 days CF Table(NZD)'!$C$2)</f>
        <v>0</v>
      </c>
      <c r="AE47" s="548">
        <f>SUMIFS(BS_RE33!$H$7:$H$874,BS_RE33!$S$7:$S$874,$AE$2,BS_RE33!$N$7:$N$874,I47,BS_RE33!$P$7:$P$874,'30 days CF Table(NZD)'!G47,BS_RE33!$F$7:$F$874,'30 days CF Table(NZD)'!$C$2)</f>
        <v>0</v>
      </c>
      <c r="AF47" s="548">
        <f>SUMIFS(BS_RE33!$H$7:$H$874,BS_RE33!$S$7:$S$874,$AF$2,BS_RE33!$N$7:$N$874,I47,BS_RE33!$P$7:$P$874,'30 days CF Table(NZD)'!G47,BS_RE33!$F$7:$F$874,'30 days CF Table(NZD)'!$C$2)</f>
        <v>0</v>
      </c>
      <c r="AG47" s="548">
        <f>SUMIFS(BS_RE33!$H$7:$H$874,BS_RE33!$S$7:$S$874,$AG$2,BS_RE33!$N$7:$N$874,I47,BS_RE33!$P$7:$P$874,'30 days CF Table(NZD)'!G47,BS_RE33!$F$7:$F$874,'30 days CF Table(NZD)'!$C$2)</f>
        <v>0</v>
      </c>
      <c r="AH47" s="548">
        <f>SUMIFS(BS_RE33!$H$7:$H$874,BS_RE33!$S$7:$S$874,$AH$2,BS_RE33!$N$7:$N$874,I47,BS_RE33!$P$7:$P$874,'30 days CF Table(NZD)'!G47,BS_RE33!$F$7:$F$874,'30 days CF Table(NZD)'!$C$2)</f>
        <v>0</v>
      </c>
      <c r="AI47" s="548">
        <f>SUMIFS(BS_RE33!$H$7:$H$874,BS_RE33!$S$7:$S$874,$AI$2,BS_RE33!$N$7:$N$874,I47,BS_RE33!$P$7:$P$874,'30 days CF Table(NZD)'!G47,BS_RE33!$F$7:$F$874,'30 days CF Table(NZD)'!$C$2)</f>
        <v>0</v>
      </c>
      <c r="AJ47" s="548">
        <f>SUMIFS(BS_RE33!$H$7:$H$874,BS_RE33!$S$7:$S$874,$AJ$2,BS_RE33!$N$7:$N$874,I47,BS_RE33!$P$7:$P$874,'30 days CF Table(NZD)'!G47,BS_RE33!$F$7:$F$874,'30 days CF Table(NZD)'!$C$2)</f>
        <v>0</v>
      </c>
      <c r="AK47" s="548">
        <f>SUMIFS(BS_RE33!$H$7:$H$874,BS_RE33!$S$7:$S$874,$AK$2,BS_RE33!$N$7:$N$874,I47,BS_RE33!$P$7:$P$874,'30 days CF Table(NZD)'!G47,BS_RE33!$F$7:$F$874,'30 days CF Table(NZD)'!$C$2)</f>
        <v>0</v>
      </c>
      <c r="AL47" s="548">
        <f>SUMIFS(BS_RE33!$H$7:$H$874,BS_RE33!$S$7:$S$874,$AL$2,BS_RE33!$N$7:$N$874,I47,BS_RE33!$P$7:$P$874,'30 days CF Table(NZD)'!G47,BS_RE33!$F$7:$F$874,'30 days CF Table(NZD)'!$C$2)</f>
        <v>0</v>
      </c>
      <c r="AM47" s="548">
        <f>SUMIFS(BS_RE33!$H$7:$H$874,BS_RE33!$S$7:$S$874,$AM$2,BS_RE33!$N$7:$N$874,I47,BS_RE33!$P$7:$P$874,'30 days CF Table(NZD)'!G47,BS_RE33!$F$7:$F$874,'30 days CF Table(NZD)'!$C$2)</f>
        <v>0</v>
      </c>
      <c r="AN47" s="548">
        <f>SUMIFS(BS_RE33!$H$7:$H$874,BS_RE33!$S$7:$S$874,$AN$2,BS_RE33!$N$7:$N$874,I47,BS_RE33!$P$7:$P$874,'30 days CF Table(NZD)'!G47,BS_RE33!$F$7:$F$874,'30 days CF Table(NZD)'!$C$2)</f>
        <v>0</v>
      </c>
      <c r="AO47" s="548">
        <f>SUMIFS(BS_RE33!$H$7:$H$874,BS_RE33!$S$7:$S$874,$AO$2,BS_RE33!$N$7:$N$874,I47,BS_RE33!$P$7:$P$874,'30 days CF Table(NZD)'!G47,BS_RE33!$F$7:$F$874,'30 days CF Table(NZD)'!$C$2)</f>
        <v>0</v>
      </c>
      <c r="AP47" s="549">
        <f>SUMIFS(BS_RE33!$H$7:$H$874,BS_RE33!$S$7:$S$874,$AP$2,BS_RE33!$N$7:$N$874,I47,BS_RE33!$P$7:$P$874,'30 days CF Table(NZD)'!G47,BS_RE33!$F$7:$F$874,'30 days CF Table(NZD)'!$C$2)</f>
        <v>0</v>
      </c>
      <c r="AQ47" s="550"/>
      <c r="AR47" s="380">
        <f>SUMIFS(BS_RE33!$H$7:$H$874,BS_RE33!$S$7:$S$874,$AR$2,BS_RE33!$N$7:$N$874,I47,BS_RE33!$P$7:$P$874,'30 days CF Table(NZD)'!G47,BS_RE33!$F$7:$F$874,'30 days CF Table(NZD)'!$C$2)</f>
        <v>0</v>
      </c>
      <c r="AS47" s="380">
        <f>SUMIFS(BS_RE33!$H$7:$H$874,BS_RE33!$S$7:$S$874,$AS$2,BS_RE33!$N$7:$N$874,I47,BS_RE33!$P$7:$P$874,'30 days CF Table(NZD)'!G47,BS_RE33!$F$7:$F$874,'30 days CF Table(NZD)'!$C$2)</f>
        <v>0</v>
      </c>
      <c r="AT47" s="380">
        <f>SUMIFS(BS_RE33!$H$7:$H$874,BS_RE33!$S$7:$S$874,$AT$2,BS_RE33!$N$7:$N$874,I47,BS_RE33!$P$7:$P$874,'30 days CF Table(NZD)'!G47,BS_RE33!$F$7:$F$874,'30 days CF Table(NZD)'!$C$2)</f>
        <v>0</v>
      </c>
      <c r="AU47" s="380">
        <f>SUMIFS(BS_RE33!$H$7:$H$874,BS_RE33!$S$7:$S$874,$AU$2,BS_RE33!$N$7:$N$874,I47,BS_RE33!$P$7:$P$874,'30 days CF Table(NZD)'!G47,BS_RE33!$F$7:$F$874,'30 days CF Table(NZD)'!$C$2)</f>
        <v>0</v>
      </c>
      <c r="AV47" s="380">
        <f>SUMIFS(BS_RE33!$H$7:$H$874,BS_RE33!$S$7:$S$874,$AV$2,BS_RE33!$N$7:$N$874,I47,BS_RE33!$P$7:$P$874,'30 days CF Table(NZD)'!G47,BS_RE33!$F$7:$F$874,'30 days CF Table(NZD)'!$C$2)</f>
        <v>0</v>
      </c>
      <c r="AW47" s="380">
        <f>SUMIFS(BS_RE33!$H$7:$H$874,BS_RE33!$S$7:$S$874,$AW$2,BS_RE33!$N$7:$N$874,I47,BS_RE33!$P$7:$P$874,'30 days CF Table(NZD)'!G47,BS_RE33!$F$7:$F$874,'30 days CF Table(NZD)'!$C$2)</f>
        <v>0</v>
      </c>
      <c r="AX47" s="380">
        <f>SUMIFS(BS_RE33!$H$7:$H$874,BS_RE33!$S$7:$S$874,$AX$2,BS_RE33!$N$7:$N$874,I47,BS_RE33!$P$7:$P$874,'30 days CF Table(NZD)'!G47,BS_RE33!$F$7:$F$874,'30 days CF Table(NZD)'!$C$2)</f>
        <v>0</v>
      </c>
      <c r="AY47" s="380">
        <f>SUMIFS(BS_RE33!$H$7:$H$874,BS_RE33!$S$7:$S$874,$AY$2,BS_RE33!$N$7:$N$874,I47,BS_RE33!$P$7:$P$874,'30 days CF Table(NZD)'!G47,BS_RE33!$F$7:$F$874,'30 days CF Table(NZD)'!$C$2)</f>
        <v>0</v>
      </c>
      <c r="AZ47" s="380">
        <f>SUMIFS(BS_RE33!$H$7:$H$874,BS_RE33!$S$7:$S$874,$AZ$2,BS_RE33!$N$7:$N$874,I47,BS_RE33!$P$7:$P$874,'30 days CF Table(NZD)'!G47,BS_RE33!$F$7:$F$874,'30 days CF Table(NZD)'!$C$2)</f>
        <v>0</v>
      </c>
      <c r="BA47" s="380">
        <f>SUMIFS(BS_RE33!$H$7:$H$874,BS_RE33!$S$7:$S$874,$BA$2,BS_RE33!$N$7:$N$874,I47,BS_RE33!$P$7:$P$874,'30 days CF Table(NZD)'!G47,BS_RE33!$F$7:$F$874,'30 days CF Table(NZD)'!$C$2)</f>
        <v>0</v>
      </c>
      <c r="BB47" s="380">
        <f>SUMIFS(BS_RE33!$H$7:$H$874,BS_RE33!$S$7:$S$874,$BB$2,BS_RE33!$N$7:$N$874,I47,BS_RE33!$P$7:$P$874,'30 days CF Table(NZD)'!G47,BS_RE33!$F$7:$F$874,'30 days CF Table(NZD)'!$C$2)</f>
        <v>0</v>
      </c>
      <c r="BC47" s="380">
        <f>SUMIFS(BS_RE33!$H$7:$H$874,BS_RE33!$S$7:$S$874,$BC$2,BS_RE33!$N$7:$N$874,I47,BS_RE33!$P$7:$P$874,'30 days CF Table(NZD)'!G47,BS_RE33!$F$7:$F$874,'30 days CF Table(NZD)'!$C$2)</f>
        <v>0</v>
      </c>
      <c r="BD47" s="380">
        <f>SUMIFS(BS_RE33!$H$7:$H$874,BS_RE33!$S$7:$S$874,$BD$2,BS_RE33!$N$7:$N$874,I47,BS_RE33!$P$7:$P$874,'30 days CF Table(NZD)'!G47,BS_RE33!$F$7:$F$874,'30 days CF Table(NZD)'!$C$2)</f>
        <v>0</v>
      </c>
      <c r="BE47" s="380">
        <f>SUMIFS(BS_RE33!$H$7:$H$874,BS_RE33!$S$7:$S$874,$BE$2,BS_RE33!$N$7:$N$874,I47,BS_RE33!$P$7:$P$874,'30 days CF Table(NZD)'!G47,BS_RE33!$F$7:$F$874,'30 days CF Table(NZD)'!$C$2)</f>
        <v>0</v>
      </c>
      <c r="BF47" s="380">
        <f>SUMIFS(BS_RE33!$H$7:$H$874,BS_RE33!$S$7:$S$874,$BF$2,BS_RE33!$N$7:$N$874,I47,BS_RE33!$P$7:$P$874,'30 days CF Table(NZD)'!G47,BS_RE33!$F$7:$F$874,'30 days CF Table(NZD)'!$C$2)</f>
        <v>0</v>
      </c>
      <c r="BG47" s="380">
        <f>SUMIFS(BS_RE33!$H$7:$H$874,BS_RE33!$S$7:$S$874,$BG$2,BS_RE33!$N$7:$N$874,I47,BS_RE33!$P$7:$P$874,'30 days CF Table(NZD)'!G47,BS_RE33!$F$7:$F$874,'30 days CF Table(NZD)'!$C$2)</f>
        <v>0</v>
      </c>
      <c r="BH47" s="380">
        <f>SUMIFS(BS_RE33!$H$7:$H$874,BS_RE33!$S$7:$S$874,$BH$2,BS_RE33!$N$7:$N$874,I47,BS_RE33!$P$7:$P$874,'30 days CF Table(NZD)'!G47,BS_RE33!$F$7:$F$874,'30 days CF Table(NZD)'!$C$2)</f>
        <v>0</v>
      </c>
      <c r="BI47" s="380">
        <f>SUMIFS(BS_RE33!$H$7:$H$874,BS_RE33!$S$7:$S$874,$BI$2,BS_RE33!$N$7:$N$874,I47,BS_RE33!$P$7:$P$874,'30 days CF Table(NZD)'!G47,BS_RE33!$F$7:$F$874,'30 days CF Table(NZD)'!$C$2)</f>
        <v>0</v>
      </c>
      <c r="BJ47" s="380">
        <f>SUMIFS(BS_RE33!$H$7:$H$874,BS_RE33!$S$7:$S$874,$BJ$2,BS_RE33!$N$7:$N$874,I47,BS_RE33!$P$7:$P$874,'30 days CF Table(NZD)'!G47,BS_RE33!$F$7:$F$874,'30 days CF Table(NZD)'!$C$2)</f>
        <v>0</v>
      </c>
      <c r="BK47" s="380">
        <f>SUMIFS(BS_RE33!$H$7:$H$874,BS_RE33!$S$7:$S$874,$BK$2,BS_RE33!$N$7:$N$874,I47,BS_RE33!$P$7:$P$874,'30 days CF Table(NZD)'!G47,BS_RE33!$F$7:$F$874,'30 days CF Table(NZD)'!$C$2)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Table(NZD)'!G48,BS_RE33!$F$7:$F$874,'30 days CF Table(NZD)'!$C$2)</f>
        <v>0</v>
      </c>
      <c r="M48" s="548">
        <f>SUMIFS(BS_RE33!$H$7:$H$874,BS_RE33!$S$7:$S$874,$M$2,BS_RE33!$N$7:$N$874,I48,BS_RE33!$P$7:$P$874,'30 days CF Table(NZD)'!G48,BS_RE33!$F$7:$F$874,'30 days CF Table(NZD)'!$C$2)</f>
        <v>0</v>
      </c>
      <c r="N48" s="548">
        <f>SUMIFS(BS_RE33!$H$7:$H$874,BS_RE33!$S$7:$S$874,$N$2,BS_RE33!$N$7:$N$874,I48,BS_RE33!$P$7:$P$874,'30 days CF Table(NZD)'!G48,BS_RE33!$F$7:$F$874,'30 days CF Table(NZD)'!$C$2)</f>
        <v>0</v>
      </c>
      <c r="O48" s="548">
        <f>SUMIFS(BS_RE33!$H$7:$H$874,BS_RE33!$S$7:$S$874,$O$2,BS_RE33!$N$7:$N$874,I48,BS_RE33!$P$7:$P$874,'30 days CF Table(NZD)'!G48,BS_RE33!$F$7:$F$874,'30 days CF Table(NZD)'!$C$2)</f>
        <v>0</v>
      </c>
      <c r="P48" s="548">
        <f>SUMIFS(BS_RE33!$H$7:$H$874,BS_RE33!$S$7:$S$874,$P$2,BS_RE33!$N$7:$N$874,I48,BS_RE33!$P$7:$P$874,'30 days CF Table(NZD)'!G48,BS_RE33!$F$7:$F$874,'30 days CF Table(NZD)'!$C$2)</f>
        <v>0</v>
      </c>
      <c r="Q48" s="548">
        <f>SUMIFS(BS_RE33!$H$7:$H$874,BS_RE33!$S$7:$S$874,$Q$2,BS_RE33!$N$7:$N$874,I48,BS_RE33!$P$7:$P$874,'30 days CF Table(NZD)'!G48,BS_RE33!$F$7:$F$874,'30 days CF Table(NZD)'!$C$2)</f>
        <v>0</v>
      </c>
      <c r="R48" s="548">
        <f>SUMIFS(BS_RE33!$H$7:$H$874,BS_RE33!$S$7:$S$874,$R$2,BS_RE33!$N$7:$N$874,I48,BS_RE33!$P$7:$P$874,'30 days CF Table(NZD)'!G48,BS_RE33!$F$7:$F$874,'30 days CF Table(NZD)'!$C$2)</f>
        <v>0</v>
      </c>
      <c r="S48" s="548">
        <f>SUMIFS(BS_RE33!$H$7:$H$874,BS_RE33!$S$7:$S$874,$S$2,BS_RE33!$N$7:$N$874,I48,BS_RE33!$P$7:$P$874,'30 days CF Table(NZD)'!G48,BS_RE33!$F$7:$F$874,'30 days CF Table(NZD)'!$C$2)</f>
        <v>0</v>
      </c>
      <c r="T48" s="548">
        <f>SUMIFS(BS_RE33!$H$7:$H$874,BS_RE33!$S$7:$S$874,$T$2,BS_RE33!$N$7:$N$874,I48,BS_RE33!$P$7:$P$874,'30 days CF Table(NZD)'!G48,BS_RE33!$F$7:$F$874,'30 days CF Table(NZD)'!$C$2)</f>
        <v>0</v>
      </c>
      <c r="U48" s="548">
        <f>SUMIFS(BS_RE33!$H$7:$H$874,BS_RE33!$S$7:$S$874,$U$2,BS_RE33!$N$7:$N$874,I48,BS_RE33!$P$7:$P$874,'30 days CF Table(NZD)'!G48,BS_RE33!$F$7:$F$874,'30 days CF Table(NZD)'!$C$2)</f>
        <v>0</v>
      </c>
      <c r="V48" s="548">
        <f>SUMIFS(BS_RE33!$H$7:$H$874,BS_RE33!$S$7:$S$874,$V$2,BS_RE33!$N$7:$N$874,I48,BS_RE33!$P$7:$P$874,'30 days CF Table(NZD)'!G48,BS_RE33!$F$7:$F$874,'30 days CF Table(NZD)'!$C$2)</f>
        <v>0</v>
      </c>
      <c r="W48" s="548">
        <f>SUMIFS(BS_RE33!$H$7:$H$874,BS_RE33!$S$7:$S$874,$W$2,BS_RE33!$N$7:$N$874,I48,BS_RE33!$P$7:$P$874,'30 days CF Table(NZD)'!G48,BS_RE33!$F$7:$F$874,'30 days CF Table(NZD)'!$C$2)</f>
        <v>0</v>
      </c>
      <c r="X48" s="548">
        <f>SUMIFS(BS_RE33!$H$7:$H$874,BS_RE33!$S$7:$S$874,$X$2,BS_RE33!$N$7:$N$874,I48,BS_RE33!$P$7:$P$874,'30 days CF Table(NZD)'!G48,BS_RE33!$F$7:$F$874,'30 days CF Table(NZD)'!$C$2)</f>
        <v>0</v>
      </c>
      <c r="Y48" s="548">
        <f>SUMIFS(BS_RE33!$H$7:$H$874,BS_RE33!$S$7:$S$874,$Y$2,BS_RE33!$N$7:$N$874,I48,BS_RE33!$P$7:$P$874,'30 days CF Table(NZD)'!G48,BS_RE33!$F$7:$F$874,'30 days CF Table(NZD)'!$C$2)</f>
        <v>0</v>
      </c>
      <c r="Z48" s="548">
        <f>SUMIFS(BS_RE33!$H$7:$H$874,BS_RE33!$S$7:$S$874,$Z$2,BS_RE33!$N$7:$N$874,I48,BS_RE33!$P$7:$P$874,'30 days CF Table(NZD)'!G48,BS_RE33!$F$7:$F$874,'30 days CF Table(NZD)'!$C$2)</f>
        <v>0</v>
      </c>
      <c r="AA48" s="548">
        <f>SUMIFS(BS_RE33!$H$7:$H$874,BS_RE33!$S$7:$S$874,$AA$2,BS_RE33!$N$7:$N$874,I48,BS_RE33!$P$7:$P$874,'30 days CF Table(NZD)'!G48,BS_RE33!$F$7:$F$874,'30 days CF Table(NZD)'!$C$2)</f>
        <v>0</v>
      </c>
      <c r="AB48" s="548">
        <f>SUMIFS(BS_RE33!$H$7:$H$874,BS_RE33!$S$7:$S$874,$AB$2,BS_RE33!$N$7:$N$874,I48,BS_RE33!$P$7:$P$874,'30 days CF Table(NZD)'!G48,BS_RE33!$F$7:$F$874,'30 days CF Table(NZD)'!$C$2)</f>
        <v>0</v>
      </c>
      <c r="AC48" s="548">
        <f>SUMIFS(BS_RE33!$H$7:$H$874,BS_RE33!$S$7:$S$874,$AC$2,BS_RE33!$N$7:$N$874,I48,BS_RE33!$P$7:$P$874,'30 days CF Table(NZD)'!G48,BS_RE33!$F$7:$F$874,'30 days CF Table(NZD)'!$C$2)</f>
        <v>0</v>
      </c>
      <c r="AD48" s="548">
        <f>SUMIFS(BS_RE33!$H$7:$H$874,BS_RE33!$S$7:$S$874,$AD$2,BS_RE33!$N$7:$N$874,I48,BS_RE33!$P$7:$P$874,'30 days CF Table(NZD)'!G48,BS_RE33!$F$7:$F$874,'30 days CF Table(NZD)'!$C$2)</f>
        <v>0</v>
      </c>
      <c r="AE48" s="548">
        <f>SUMIFS(BS_RE33!$H$7:$H$874,BS_RE33!$S$7:$S$874,$AE$2,BS_RE33!$N$7:$N$874,I48,BS_RE33!$P$7:$P$874,'30 days CF Table(NZD)'!G48,BS_RE33!$F$7:$F$874,'30 days CF Table(NZD)'!$C$2)</f>
        <v>0</v>
      </c>
      <c r="AF48" s="548">
        <f>SUMIFS(BS_RE33!$H$7:$H$874,BS_RE33!$S$7:$S$874,$AF$2,BS_RE33!$N$7:$N$874,I48,BS_RE33!$P$7:$P$874,'30 days CF Table(NZD)'!G48,BS_RE33!$F$7:$F$874,'30 days CF Table(NZD)'!$C$2)</f>
        <v>0</v>
      </c>
      <c r="AG48" s="548">
        <f>SUMIFS(BS_RE33!$H$7:$H$874,BS_RE33!$S$7:$S$874,$AG$2,BS_RE33!$N$7:$N$874,I48,BS_RE33!$P$7:$P$874,'30 days CF Table(NZD)'!G48,BS_RE33!$F$7:$F$874,'30 days CF Table(NZD)'!$C$2)</f>
        <v>0</v>
      </c>
      <c r="AH48" s="548">
        <f>SUMIFS(BS_RE33!$H$7:$H$874,BS_RE33!$S$7:$S$874,$AH$2,BS_RE33!$N$7:$N$874,I48,BS_RE33!$P$7:$P$874,'30 days CF Table(NZD)'!G48,BS_RE33!$F$7:$F$874,'30 days CF Table(NZD)'!$C$2)</f>
        <v>0</v>
      </c>
      <c r="AI48" s="548">
        <f>SUMIFS(BS_RE33!$H$7:$H$874,BS_RE33!$S$7:$S$874,$AI$2,BS_RE33!$N$7:$N$874,I48,BS_RE33!$P$7:$P$874,'30 days CF Table(NZD)'!G48,BS_RE33!$F$7:$F$874,'30 days CF Table(NZD)'!$C$2)</f>
        <v>0</v>
      </c>
      <c r="AJ48" s="548">
        <f>SUMIFS(BS_RE33!$H$7:$H$874,BS_RE33!$S$7:$S$874,$AJ$2,BS_RE33!$N$7:$N$874,I48,BS_RE33!$P$7:$P$874,'30 days CF Table(NZD)'!G48,BS_RE33!$F$7:$F$874,'30 days CF Table(NZD)'!$C$2)</f>
        <v>0</v>
      </c>
      <c r="AK48" s="548">
        <f>SUMIFS(BS_RE33!$H$7:$H$874,BS_RE33!$S$7:$S$874,$AK$2,BS_RE33!$N$7:$N$874,I48,BS_RE33!$P$7:$P$874,'30 days CF Table(NZD)'!G48,BS_RE33!$F$7:$F$874,'30 days CF Table(NZD)'!$C$2)</f>
        <v>0</v>
      </c>
      <c r="AL48" s="548">
        <f>SUMIFS(BS_RE33!$H$7:$H$874,BS_RE33!$S$7:$S$874,$AL$2,BS_RE33!$N$7:$N$874,I48,BS_RE33!$P$7:$P$874,'30 days CF Table(NZD)'!G48,BS_RE33!$F$7:$F$874,'30 days CF Table(NZD)'!$C$2)</f>
        <v>0</v>
      </c>
      <c r="AM48" s="548">
        <f>SUMIFS(BS_RE33!$H$7:$H$874,BS_RE33!$S$7:$S$874,$AM$2,BS_RE33!$N$7:$N$874,I48,BS_RE33!$P$7:$P$874,'30 days CF Table(NZD)'!G48,BS_RE33!$F$7:$F$874,'30 days CF Table(NZD)'!$C$2)</f>
        <v>0</v>
      </c>
      <c r="AN48" s="548">
        <f>SUMIFS(BS_RE33!$H$7:$H$874,BS_RE33!$S$7:$S$874,$AN$2,BS_RE33!$N$7:$N$874,I48,BS_RE33!$P$7:$P$874,'30 days CF Table(NZD)'!G48,BS_RE33!$F$7:$F$874,'30 days CF Table(NZD)'!$C$2)</f>
        <v>0</v>
      </c>
      <c r="AO48" s="548">
        <f>SUMIFS(BS_RE33!$H$7:$H$874,BS_RE33!$S$7:$S$874,$AO$2,BS_RE33!$N$7:$N$874,I48,BS_RE33!$P$7:$P$874,'30 days CF Table(NZD)'!G48,BS_RE33!$F$7:$F$874,'30 days CF Table(NZD)'!$C$2)</f>
        <v>0</v>
      </c>
      <c r="AP48" s="549">
        <f>SUMIFS(BS_RE33!$H$7:$H$874,BS_RE33!$S$7:$S$874,$AP$2,BS_RE33!$N$7:$N$874,I48,BS_RE33!$P$7:$P$874,'30 days CF Table(NZD)'!G48,BS_RE33!$F$7:$F$874,'30 days CF Table(NZD)'!$C$2)</f>
        <v>0</v>
      </c>
      <c r="AQ48" s="550"/>
      <c r="AR48" s="380">
        <f>SUMIFS(BS_RE33!$H$7:$H$874,BS_RE33!$S$7:$S$874,$AR$2,BS_RE33!$N$7:$N$874,I48,BS_RE33!$P$7:$P$874,'30 days CF Table(NZD)'!G48,BS_RE33!$F$7:$F$874,'30 days CF Table(NZD)'!$C$2)</f>
        <v>0</v>
      </c>
      <c r="AS48" s="380">
        <f>SUMIFS(BS_RE33!$H$7:$H$874,BS_RE33!$S$7:$S$874,$AS$2,BS_RE33!$N$7:$N$874,I48,BS_RE33!$P$7:$P$874,'30 days CF Table(NZD)'!G48,BS_RE33!$F$7:$F$874,'30 days CF Table(NZD)'!$C$2)</f>
        <v>0</v>
      </c>
      <c r="AT48" s="380">
        <f>SUMIFS(BS_RE33!$H$7:$H$874,BS_RE33!$S$7:$S$874,$AT$2,BS_RE33!$N$7:$N$874,I48,BS_RE33!$P$7:$P$874,'30 days CF Table(NZD)'!G48,BS_RE33!$F$7:$F$874,'30 days CF Table(NZD)'!$C$2)</f>
        <v>0</v>
      </c>
      <c r="AU48" s="380">
        <f>SUMIFS(BS_RE33!$H$7:$H$874,BS_RE33!$S$7:$S$874,$AU$2,BS_RE33!$N$7:$N$874,I48,BS_RE33!$P$7:$P$874,'30 days CF Table(NZD)'!G48,BS_RE33!$F$7:$F$874,'30 days CF Table(NZD)'!$C$2)</f>
        <v>0</v>
      </c>
      <c r="AV48" s="380">
        <f>SUMIFS(BS_RE33!$H$7:$H$874,BS_RE33!$S$7:$S$874,$AV$2,BS_RE33!$N$7:$N$874,I48,BS_RE33!$P$7:$P$874,'30 days CF Table(NZD)'!G48,BS_RE33!$F$7:$F$874,'30 days CF Table(NZD)'!$C$2)</f>
        <v>0</v>
      </c>
      <c r="AW48" s="380">
        <f>SUMIFS(BS_RE33!$H$7:$H$874,BS_RE33!$S$7:$S$874,$AW$2,BS_RE33!$N$7:$N$874,I48,BS_RE33!$P$7:$P$874,'30 days CF Table(NZD)'!G48,BS_RE33!$F$7:$F$874,'30 days CF Table(NZD)'!$C$2)</f>
        <v>0</v>
      </c>
      <c r="AX48" s="380">
        <f>SUMIFS(BS_RE33!$H$7:$H$874,BS_RE33!$S$7:$S$874,$AX$2,BS_RE33!$N$7:$N$874,I48,BS_RE33!$P$7:$P$874,'30 days CF Table(NZD)'!G48,BS_RE33!$F$7:$F$874,'30 days CF Table(NZD)'!$C$2)</f>
        <v>0</v>
      </c>
      <c r="AY48" s="380">
        <f>SUMIFS(BS_RE33!$H$7:$H$874,BS_RE33!$S$7:$S$874,$AY$2,BS_RE33!$N$7:$N$874,I48,BS_RE33!$P$7:$P$874,'30 days CF Table(NZD)'!G48,BS_RE33!$F$7:$F$874,'30 days CF Table(NZD)'!$C$2)</f>
        <v>0</v>
      </c>
      <c r="AZ48" s="380">
        <f>SUMIFS(BS_RE33!$H$7:$H$874,BS_RE33!$S$7:$S$874,$AZ$2,BS_RE33!$N$7:$N$874,I48,BS_RE33!$P$7:$P$874,'30 days CF Table(NZD)'!G48,BS_RE33!$F$7:$F$874,'30 days CF Table(NZD)'!$C$2)</f>
        <v>0</v>
      </c>
      <c r="BA48" s="380">
        <f>SUMIFS(BS_RE33!$H$7:$H$874,BS_RE33!$S$7:$S$874,$BA$2,BS_RE33!$N$7:$N$874,I48,BS_RE33!$P$7:$P$874,'30 days CF Table(NZD)'!G48,BS_RE33!$F$7:$F$874,'30 days CF Table(NZD)'!$C$2)</f>
        <v>0</v>
      </c>
      <c r="BB48" s="380">
        <f>SUMIFS(BS_RE33!$H$7:$H$874,BS_RE33!$S$7:$S$874,$BB$2,BS_RE33!$N$7:$N$874,I48,BS_RE33!$P$7:$P$874,'30 days CF Table(NZD)'!G48,BS_RE33!$F$7:$F$874,'30 days CF Table(NZD)'!$C$2)</f>
        <v>0</v>
      </c>
      <c r="BC48" s="380">
        <f>SUMIFS(BS_RE33!$H$7:$H$874,BS_RE33!$S$7:$S$874,$BC$2,BS_RE33!$N$7:$N$874,I48,BS_RE33!$P$7:$P$874,'30 days CF Table(NZD)'!G48,BS_RE33!$F$7:$F$874,'30 days CF Table(NZD)'!$C$2)</f>
        <v>0</v>
      </c>
      <c r="BD48" s="380">
        <f>SUMIFS(BS_RE33!$H$7:$H$874,BS_RE33!$S$7:$S$874,$BD$2,BS_RE33!$N$7:$N$874,I48,BS_RE33!$P$7:$P$874,'30 days CF Table(NZD)'!G48,BS_RE33!$F$7:$F$874,'30 days CF Table(NZD)'!$C$2)</f>
        <v>0</v>
      </c>
      <c r="BE48" s="380">
        <f>SUMIFS(BS_RE33!$H$7:$H$874,BS_RE33!$S$7:$S$874,$BE$2,BS_RE33!$N$7:$N$874,I48,BS_RE33!$P$7:$P$874,'30 days CF Table(NZD)'!G48,BS_RE33!$F$7:$F$874,'30 days CF Table(NZD)'!$C$2)</f>
        <v>0</v>
      </c>
      <c r="BF48" s="380">
        <f>SUMIFS(BS_RE33!$H$7:$H$874,BS_RE33!$S$7:$S$874,$BF$2,BS_RE33!$N$7:$N$874,I48,BS_RE33!$P$7:$P$874,'30 days CF Table(NZD)'!G48,BS_RE33!$F$7:$F$874,'30 days CF Table(NZD)'!$C$2)</f>
        <v>0</v>
      </c>
      <c r="BG48" s="380">
        <f>SUMIFS(BS_RE33!$H$7:$H$874,BS_RE33!$S$7:$S$874,$BG$2,BS_RE33!$N$7:$N$874,I48,BS_RE33!$P$7:$P$874,'30 days CF Table(NZD)'!G48,BS_RE33!$F$7:$F$874,'30 days CF Table(NZD)'!$C$2)</f>
        <v>0</v>
      </c>
      <c r="BH48" s="380">
        <f>SUMIFS(BS_RE33!$H$7:$H$874,BS_RE33!$S$7:$S$874,$BH$2,BS_RE33!$N$7:$N$874,I48,BS_RE33!$P$7:$P$874,'30 days CF Table(NZD)'!G48,BS_RE33!$F$7:$F$874,'30 days CF Table(NZD)'!$C$2)</f>
        <v>0</v>
      </c>
      <c r="BI48" s="380">
        <f>SUMIFS(BS_RE33!$H$7:$H$874,BS_RE33!$S$7:$S$874,$BI$2,BS_RE33!$N$7:$N$874,I48,BS_RE33!$P$7:$P$874,'30 days CF Table(NZD)'!G48,BS_RE33!$F$7:$F$874,'30 days CF Table(NZD)'!$C$2)</f>
        <v>0</v>
      </c>
      <c r="BJ48" s="380">
        <f>SUMIFS(BS_RE33!$H$7:$H$874,BS_RE33!$S$7:$S$874,$BJ$2,BS_RE33!$N$7:$N$874,I48,BS_RE33!$P$7:$P$874,'30 days CF Table(NZD)'!G48,BS_RE33!$F$7:$F$874,'30 days CF Table(NZD)'!$C$2)</f>
        <v>0</v>
      </c>
      <c r="BK48" s="380">
        <f>SUMIFS(BS_RE33!$H$7:$H$874,BS_RE33!$S$7:$S$874,$BK$2,BS_RE33!$N$7:$N$874,I48,BS_RE33!$P$7:$P$874,'30 days CF Table(NZD)'!G48,BS_RE33!$F$7:$F$874,'30 days CF Table(NZD)'!$C$2)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Table(NZD)'!G49,BS_RE33!$F$7:$F$874,'30 days CF Table(NZD)'!$C$2)</f>
        <v>0</v>
      </c>
      <c r="M49" s="548">
        <f>SUMIFS(BS_RE33!$H$7:$H$874,BS_RE33!$S$7:$S$874,$M$2,BS_RE33!$N$7:$N$874,I49,BS_RE33!$P$7:$P$874,'30 days CF Table(NZD)'!G49,BS_RE33!$F$7:$F$874,'30 days CF Table(NZD)'!$C$2)</f>
        <v>0</v>
      </c>
      <c r="N49" s="548">
        <f>SUMIFS(BS_RE33!$H$7:$H$874,BS_RE33!$S$7:$S$874,$N$2,BS_RE33!$N$7:$N$874,I49,BS_RE33!$P$7:$P$874,'30 days CF Table(NZD)'!G49,BS_RE33!$F$7:$F$874,'30 days CF Table(NZD)'!$C$2)</f>
        <v>0</v>
      </c>
      <c r="O49" s="548">
        <f>SUMIFS(BS_RE33!$H$7:$H$874,BS_RE33!$S$7:$S$874,$O$2,BS_RE33!$N$7:$N$874,I49,BS_RE33!$P$7:$P$874,'30 days CF Table(NZD)'!G49,BS_RE33!$F$7:$F$874,'30 days CF Table(NZD)'!$C$2)</f>
        <v>0</v>
      </c>
      <c r="P49" s="548">
        <f>SUMIFS(BS_RE33!$H$7:$H$874,BS_RE33!$S$7:$S$874,$P$2,BS_RE33!$N$7:$N$874,I49,BS_RE33!$P$7:$P$874,'30 days CF Table(NZD)'!G49,BS_RE33!$F$7:$F$874,'30 days CF Table(NZD)'!$C$2)</f>
        <v>0</v>
      </c>
      <c r="Q49" s="548">
        <f>SUMIFS(BS_RE33!$H$7:$H$874,BS_RE33!$S$7:$S$874,$Q$2,BS_RE33!$N$7:$N$874,I49,BS_RE33!$P$7:$P$874,'30 days CF Table(NZD)'!G49,BS_RE33!$F$7:$F$874,'30 days CF Table(NZD)'!$C$2)</f>
        <v>0</v>
      </c>
      <c r="R49" s="548">
        <f>SUMIFS(BS_RE33!$H$7:$H$874,BS_RE33!$S$7:$S$874,$R$2,BS_RE33!$N$7:$N$874,I49,BS_RE33!$P$7:$P$874,'30 days CF Table(NZD)'!G49,BS_RE33!$F$7:$F$874,'30 days CF Table(NZD)'!$C$2)</f>
        <v>0</v>
      </c>
      <c r="S49" s="548">
        <f>SUMIFS(BS_RE33!$H$7:$H$874,BS_RE33!$S$7:$S$874,$S$2,BS_RE33!$N$7:$N$874,I49,BS_RE33!$P$7:$P$874,'30 days CF Table(NZD)'!G49,BS_RE33!$F$7:$F$874,'30 days CF Table(NZD)'!$C$2)</f>
        <v>0</v>
      </c>
      <c r="T49" s="548">
        <f>SUMIFS(BS_RE33!$H$7:$H$874,BS_RE33!$S$7:$S$874,$T$2,BS_RE33!$N$7:$N$874,I49,BS_RE33!$P$7:$P$874,'30 days CF Table(NZD)'!G49,BS_RE33!$F$7:$F$874,'30 days CF Table(NZD)'!$C$2)</f>
        <v>0</v>
      </c>
      <c r="U49" s="548">
        <f>SUMIFS(BS_RE33!$H$7:$H$874,BS_RE33!$S$7:$S$874,$U$2,BS_RE33!$N$7:$N$874,I49,BS_RE33!$P$7:$P$874,'30 days CF Table(NZD)'!G49,BS_RE33!$F$7:$F$874,'30 days CF Table(NZD)'!$C$2)</f>
        <v>0</v>
      </c>
      <c r="V49" s="548">
        <f>SUMIFS(BS_RE33!$H$7:$H$874,BS_RE33!$S$7:$S$874,$V$2,BS_RE33!$N$7:$N$874,I49,BS_RE33!$P$7:$P$874,'30 days CF Table(NZD)'!G49,BS_RE33!$F$7:$F$874,'30 days CF Table(NZD)'!$C$2)</f>
        <v>0</v>
      </c>
      <c r="W49" s="548">
        <f>SUMIFS(BS_RE33!$H$7:$H$874,BS_RE33!$S$7:$S$874,$W$2,BS_RE33!$N$7:$N$874,I49,BS_RE33!$P$7:$P$874,'30 days CF Table(NZD)'!G49,BS_RE33!$F$7:$F$874,'30 days CF Table(NZD)'!$C$2)</f>
        <v>0</v>
      </c>
      <c r="X49" s="548">
        <f>SUMIFS(BS_RE33!$H$7:$H$874,BS_RE33!$S$7:$S$874,$X$2,BS_RE33!$N$7:$N$874,I49,BS_RE33!$P$7:$P$874,'30 days CF Table(NZD)'!G49,BS_RE33!$F$7:$F$874,'30 days CF Table(NZD)'!$C$2)</f>
        <v>0</v>
      </c>
      <c r="Y49" s="548">
        <f>SUMIFS(BS_RE33!$H$7:$H$874,BS_RE33!$S$7:$S$874,$Y$2,BS_RE33!$N$7:$N$874,I49,BS_RE33!$P$7:$P$874,'30 days CF Table(NZD)'!G49,BS_RE33!$F$7:$F$874,'30 days CF Table(NZD)'!$C$2)</f>
        <v>0</v>
      </c>
      <c r="Z49" s="548">
        <f>SUMIFS(BS_RE33!$H$7:$H$874,BS_RE33!$S$7:$S$874,$Z$2,BS_RE33!$N$7:$N$874,I49,BS_RE33!$P$7:$P$874,'30 days CF Table(NZD)'!G49,BS_RE33!$F$7:$F$874,'30 days CF Table(NZD)'!$C$2)</f>
        <v>0</v>
      </c>
      <c r="AA49" s="548">
        <f>SUMIFS(BS_RE33!$H$7:$H$874,BS_RE33!$S$7:$S$874,$AA$2,BS_RE33!$N$7:$N$874,I49,BS_RE33!$P$7:$P$874,'30 days CF Table(NZD)'!G49,BS_RE33!$F$7:$F$874,'30 days CF Table(NZD)'!$C$2)</f>
        <v>0</v>
      </c>
      <c r="AB49" s="548">
        <f>SUMIFS(BS_RE33!$H$7:$H$874,BS_RE33!$S$7:$S$874,$AB$2,BS_RE33!$N$7:$N$874,I49,BS_RE33!$P$7:$P$874,'30 days CF Table(NZD)'!G49,BS_RE33!$F$7:$F$874,'30 days CF Table(NZD)'!$C$2)</f>
        <v>0</v>
      </c>
      <c r="AC49" s="548">
        <f>SUMIFS(BS_RE33!$H$7:$H$874,BS_RE33!$S$7:$S$874,$AC$2,BS_RE33!$N$7:$N$874,I49,BS_RE33!$P$7:$P$874,'30 days CF Table(NZD)'!G49,BS_RE33!$F$7:$F$874,'30 days CF Table(NZD)'!$C$2)</f>
        <v>0</v>
      </c>
      <c r="AD49" s="548">
        <f>SUMIFS(BS_RE33!$H$7:$H$874,BS_RE33!$S$7:$S$874,$AD$2,BS_RE33!$N$7:$N$874,I49,BS_RE33!$P$7:$P$874,'30 days CF Table(NZD)'!G49,BS_RE33!$F$7:$F$874,'30 days CF Table(NZD)'!$C$2)</f>
        <v>0</v>
      </c>
      <c r="AE49" s="548">
        <f>SUMIFS(BS_RE33!$H$7:$H$874,BS_RE33!$S$7:$S$874,$AE$2,BS_RE33!$N$7:$N$874,I49,BS_RE33!$P$7:$P$874,'30 days CF Table(NZD)'!G49,BS_RE33!$F$7:$F$874,'30 days CF Table(NZD)'!$C$2)</f>
        <v>0</v>
      </c>
      <c r="AF49" s="548">
        <f>SUMIFS(BS_RE33!$H$7:$H$874,BS_RE33!$S$7:$S$874,$AF$2,BS_RE33!$N$7:$N$874,I49,BS_RE33!$P$7:$P$874,'30 days CF Table(NZD)'!G49,BS_RE33!$F$7:$F$874,'30 days CF Table(NZD)'!$C$2)</f>
        <v>0</v>
      </c>
      <c r="AG49" s="548">
        <f>SUMIFS(BS_RE33!$H$7:$H$874,BS_RE33!$S$7:$S$874,$AG$2,BS_RE33!$N$7:$N$874,I49,BS_RE33!$P$7:$P$874,'30 days CF Table(NZD)'!G49,BS_RE33!$F$7:$F$874,'30 days CF Table(NZD)'!$C$2)</f>
        <v>0</v>
      </c>
      <c r="AH49" s="548">
        <f>SUMIFS(BS_RE33!$H$7:$H$874,BS_RE33!$S$7:$S$874,$AH$2,BS_RE33!$N$7:$N$874,I49,BS_RE33!$P$7:$P$874,'30 days CF Table(NZD)'!G49,BS_RE33!$F$7:$F$874,'30 days CF Table(NZD)'!$C$2)</f>
        <v>0</v>
      </c>
      <c r="AI49" s="548">
        <f>SUMIFS(BS_RE33!$H$7:$H$874,BS_RE33!$S$7:$S$874,$AI$2,BS_RE33!$N$7:$N$874,I49,BS_RE33!$P$7:$P$874,'30 days CF Table(NZD)'!G49,BS_RE33!$F$7:$F$874,'30 days CF Table(NZD)'!$C$2)</f>
        <v>0</v>
      </c>
      <c r="AJ49" s="548">
        <f>SUMIFS(BS_RE33!$H$7:$H$874,BS_RE33!$S$7:$S$874,$AJ$2,BS_RE33!$N$7:$N$874,I49,BS_RE33!$P$7:$P$874,'30 days CF Table(NZD)'!G49,BS_RE33!$F$7:$F$874,'30 days CF Table(NZD)'!$C$2)</f>
        <v>0</v>
      </c>
      <c r="AK49" s="548">
        <f>SUMIFS(BS_RE33!$H$7:$H$874,BS_RE33!$S$7:$S$874,$AK$2,BS_RE33!$N$7:$N$874,I49,BS_RE33!$P$7:$P$874,'30 days CF Table(NZD)'!G49,BS_RE33!$F$7:$F$874,'30 days CF Table(NZD)'!$C$2)</f>
        <v>0</v>
      </c>
      <c r="AL49" s="548">
        <f>SUMIFS(BS_RE33!$H$7:$H$874,BS_RE33!$S$7:$S$874,$AL$2,BS_RE33!$N$7:$N$874,I49,BS_RE33!$P$7:$P$874,'30 days CF Table(NZD)'!G49,BS_RE33!$F$7:$F$874,'30 days CF Table(NZD)'!$C$2)</f>
        <v>0</v>
      </c>
      <c r="AM49" s="548">
        <f>SUMIFS(BS_RE33!$H$7:$H$874,BS_RE33!$S$7:$S$874,$AM$2,BS_RE33!$N$7:$N$874,I49,BS_RE33!$P$7:$P$874,'30 days CF Table(NZD)'!G49,BS_RE33!$F$7:$F$874,'30 days CF Table(NZD)'!$C$2)</f>
        <v>0</v>
      </c>
      <c r="AN49" s="548">
        <f>SUMIFS(BS_RE33!$H$7:$H$874,BS_RE33!$S$7:$S$874,$AN$2,BS_RE33!$N$7:$N$874,I49,BS_RE33!$P$7:$P$874,'30 days CF Table(NZD)'!G49,BS_RE33!$F$7:$F$874,'30 days CF Table(NZD)'!$C$2)</f>
        <v>0</v>
      </c>
      <c r="AO49" s="548">
        <f>SUMIFS(BS_RE33!$H$7:$H$874,BS_RE33!$S$7:$S$874,$AO$2,BS_RE33!$N$7:$N$874,I49,BS_RE33!$P$7:$P$874,'30 days CF Table(NZD)'!G49,BS_RE33!$F$7:$F$874,'30 days CF Table(NZD)'!$C$2)</f>
        <v>0</v>
      </c>
      <c r="AP49" s="549">
        <f>SUMIFS(BS_RE33!$H$7:$H$874,BS_RE33!$S$7:$S$874,$AP$2,BS_RE33!$N$7:$N$874,I49,BS_RE33!$P$7:$P$874,'30 days CF Table(NZD)'!G49,BS_RE33!$F$7:$F$874,'30 days CF Table(NZD)'!$C$2)</f>
        <v>0</v>
      </c>
      <c r="AQ49" s="550"/>
      <c r="AR49" s="380">
        <f>SUMIFS(BS_RE33!$H$7:$H$874,BS_RE33!$S$7:$S$874,$AR$2,BS_RE33!$N$7:$N$874,I49,BS_RE33!$P$7:$P$874,'30 days CF Table(NZD)'!G49,BS_RE33!$F$7:$F$874,'30 days CF Table(NZD)'!$C$2)</f>
        <v>0</v>
      </c>
      <c r="AS49" s="380">
        <f>SUMIFS(BS_RE33!$H$7:$H$874,BS_RE33!$S$7:$S$874,$AS$2,BS_RE33!$N$7:$N$874,I49,BS_RE33!$P$7:$P$874,'30 days CF Table(NZD)'!G49,BS_RE33!$F$7:$F$874,'30 days CF Table(NZD)'!$C$2)</f>
        <v>0</v>
      </c>
      <c r="AT49" s="380">
        <f>SUMIFS(BS_RE33!$H$7:$H$874,BS_RE33!$S$7:$S$874,$AT$2,BS_RE33!$N$7:$N$874,I49,BS_RE33!$P$7:$P$874,'30 days CF Table(NZD)'!G49,BS_RE33!$F$7:$F$874,'30 days CF Table(NZD)'!$C$2)</f>
        <v>0</v>
      </c>
      <c r="AU49" s="380">
        <f>SUMIFS(BS_RE33!$H$7:$H$874,BS_RE33!$S$7:$S$874,$AU$2,BS_RE33!$N$7:$N$874,I49,BS_RE33!$P$7:$P$874,'30 days CF Table(NZD)'!G49,BS_RE33!$F$7:$F$874,'30 days CF Table(NZD)'!$C$2)</f>
        <v>0</v>
      </c>
      <c r="AV49" s="380">
        <f>SUMIFS(BS_RE33!$H$7:$H$874,BS_RE33!$S$7:$S$874,$AV$2,BS_RE33!$N$7:$N$874,I49,BS_RE33!$P$7:$P$874,'30 days CF Table(NZD)'!G49,BS_RE33!$F$7:$F$874,'30 days CF Table(NZD)'!$C$2)</f>
        <v>0</v>
      </c>
      <c r="AW49" s="380">
        <f>SUMIFS(BS_RE33!$H$7:$H$874,BS_RE33!$S$7:$S$874,$AW$2,BS_RE33!$N$7:$N$874,I49,BS_RE33!$P$7:$P$874,'30 days CF Table(NZD)'!G49,BS_RE33!$F$7:$F$874,'30 days CF Table(NZD)'!$C$2)</f>
        <v>0</v>
      </c>
      <c r="AX49" s="380">
        <f>SUMIFS(BS_RE33!$H$7:$H$874,BS_RE33!$S$7:$S$874,$AX$2,BS_RE33!$N$7:$N$874,I49,BS_RE33!$P$7:$P$874,'30 days CF Table(NZD)'!G49,BS_RE33!$F$7:$F$874,'30 days CF Table(NZD)'!$C$2)</f>
        <v>0</v>
      </c>
      <c r="AY49" s="380">
        <f>SUMIFS(BS_RE33!$H$7:$H$874,BS_RE33!$S$7:$S$874,$AY$2,BS_RE33!$N$7:$N$874,I49,BS_RE33!$P$7:$P$874,'30 days CF Table(NZD)'!G49,BS_RE33!$F$7:$F$874,'30 days CF Table(NZD)'!$C$2)</f>
        <v>0</v>
      </c>
      <c r="AZ49" s="380">
        <f>SUMIFS(BS_RE33!$H$7:$H$874,BS_RE33!$S$7:$S$874,$AZ$2,BS_RE33!$N$7:$N$874,I49,BS_RE33!$P$7:$P$874,'30 days CF Table(NZD)'!G49,BS_RE33!$F$7:$F$874,'30 days CF Table(NZD)'!$C$2)</f>
        <v>0</v>
      </c>
      <c r="BA49" s="380">
        <f>SUMIFS(BS_RE33!$H$7:$H$874,BS_RE33!$S$7:$S$874,$BA$2,BS_RE33!$N$7:$N$874,I49,BS_RE33!$P$7:$P$874,'30 days CF Table(NZD)'!G49,BS_RE33!$F$7:$F$874,'30 days CF Table(NZD)'!$C$2)</f>
        <v>0</v>
      </c>
      <c r="BB49" s="380">
        <f>SUMIFS(BS_RE33!$H$7:$H$874,BS_RE33!$S$7:$S$874,$BB$2,BS_RE33!$N$7:$N$874,I49,BS_RE33!$P$7:$P$874,'30 days CF Table(NZD)'!G49,BS_RE33!$F$7:$F$874,'30 days CF Table(NZD)'!$C$2)</f>
        <v>0</v>
      </c>
      <c r="BC49" s="380">
        <f>SUMIFS(BS_RE33!$H$7:$H$874,BS_RE33!$S$7:$S$874,$BC$2,BS_RE33!$N$7:$N$874,I49,BS_RE33!$P$7:$P$874,'30 days CF Table(NZD)'!G49,BS_RE33!$F$7:$F$874,'30 days CF Table(NZD)'!$C$2)</f>
        <v>0</v>
      </c>
      <c r="BD49" s="380">
        <f>SUMIFS(BS_RE33!$H$7:$H$874,BS_RE33!$S$7:$S$874,$BD$2,BS_RE33!$N$7:$N$874,I49,BS_RE33!$P$7:$P$874,'30 days CF Table(NZD)'!G49,BS_RE33!$F$7:$F$874,'30 days CF Table(NZD)'!$C$2)</f>
        <v>0</v>
      </c>
      <c r="BE49" s="380">
        <f>SUMIFS(BS_RE33!$H$7:$H$874,BS_RE33!$S$7:$S$874,$BE$2,BS_RE33!$N$7:$N$874,I49,BS_RE33!$P$7:$P$874,'30 days CF Table(NZD)'!G49,BS_RE33!$F$7:$F$874,'30 days CF Table(NZD)'!$C$2)</f>
        <v>0</v>
      </c>
      <c r="BF49" s="380">
        <f>SUMIFS(BS_RE33!$H$7:$H$874,BS_RE33!$S$7:$S$874,$BF$2,BS_RE33!$N$7:$N$874,I49,BS_RE33!$P$7:$P$874,'30 days CF Table(NZD)'!G49,BS_RE33!$F$7:$F$874,'30 days CF Table(NZD)'!$C$2)</f>
        <v>0</v>
      </c>
      <c r="BG49" s="380">
        <f>SUMIFS(BS_RE33!$H$7:$H$874,BS_RE33!$S$7:$S$874,$BG$2,BS_RE33!$N$7:$N$874,I49,BS_RE33!$P$7:$P$874,'30 days CF Table(NZD)'!G49,BS_RE33!$F$7:$F$874,'30 days CF Table(NZD)'!$C$2)</f>
        <v>0</v>
      </c>
      <c r="BH49" s="380">
        <f>SUMIFS(BS_RE33!$H$7:$H$874,BS_RE33!$S$7:$S$874,$BH$2,BS_RE33!$N$7:$N$874,I49,BS_RE33!$P$7:$P$874,'30 days CF Table(NZD)'!G49,BS_RE33!$F$7:$F$874,'30 days CF Table(NZD)'!$C$2)</f>
        <v>0</v>
      </c>
      <c r="BI49" s="380">
        <f>SUMIFS(BS_RE33!$H$7:$H$874,BS_RE33!$S$7:$S$874,$BI$2,BS_RE33!$N$7:$N$874,I49,BS_RE33!$P$7:$P$874,'30 days CF Table(NZD)'!G49,BS_RE33!$F$7:$F$874,'30 days CF Table(NZD)'!$C$2)</f>
        <v>0</v>
      </c>
      <c r="BJ49" s="380">
        <f>SUMIFS(BS_RE33!$H$7:$H$874,BS_RE33!$S$7:$S$874,$BJ$2,BS_RE33!$N$7:$N$874,I49,BS_RE33!$P$7:$P$874,'30 days CF Table(NZD)'!G49,BS_RE33!$F$7:$F$874,'30 days CF Table(NZD)'!$C$2)</f>
        <v>0</v>
      </c>
      <c r="BK49" s="380">
        <f>SUMIFS(BS_RE33!$H$7:$H$874,BS_RE33!$S$7:$S$874,$BK$2,BS_RE33!$N$7:$N$874,I49,BS_RE33!$P$7:$P$874,'30 days CF Table(NZD)'!G49,BS_RE33!$F$7:$F$874,'30 days CF Table(NZD)'!$C$2)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Table(NZD)'!G50,BS_RE33!$F$7:$F$874,'30 days CF Table(NZD)'!$C$2)</f>
        <v>0</v>
      </c>
      <c r="M50" s="548">
        <f>SUMIFS(BS_RE33!$H$7:$H$874,BS_RE33!$S$7:$S$874,$M$2,BS_RE33!$N$7:$N$874,I50,BS_RE33!$P$7:$P$874,'30 days CF Table(NZD)'!G50,BS_RE33!$F$7:$F$874,'30 days CF Table(NZD)'!$C$2)</f>
        <v>0</v>
      </c>
      <c r="N50" s="548">
        <f>SUMIFS(BS_RE33!$H$7:$H$874,BS_RE33!$S$7:$S$874,$N$2,BS_RE33!$N$7:$N$874,I50,BS_RE33!$P$7:$P$874,'30 days CF Table(NZD)'!G50,BS_RE33!$F$7:$F$874,'30 days CF Table(NZD)'!$C$2)</f>
        <v>0</v>
      </c>
      <c r="O50" s="548">
        <f>SUMIFS(BS_RE33!$H$7:$H$874,BS_RE33!$S$7:$S$874,$O$2,BS_RE33!$N$7:$N$874,I50,BS_RE33!$P$7:$P$874,'30 days CF Table(NZD)'!G50,BS_RE33!$F$7:$F$874,'30 days CF Table(NZD)'!$C$2)</f>
        <v>0</v>
      </c>
      <c r="P50" s="548">
        <f>SUMIFS(BS_RE33!$H$7:$H$874,BS_RE33!$S$7:$S$874,$P$2,BS_RE33!$N$7:$N$874,I50,BS_RE33!$P$7:$P$874,'30 days CF Table(NZD)'!G50,BS_RE33!$F$7:$F$874,'30 days CF Table(NZD)'!$C$2)</f>
        <v>0</v>
      </c>
      <c r="Q50" s="548">
        <f>SUMIFS(BS_RE33!$H$7:$H$874,BS_RE33!$S$7:$S$874,$Q$2,BS_RE33!$N$7:$N$874,I50,BS_RE33!$P$7:$P$874,'30 days CF Table(NZD)'!G50,BS_RE33!$F$7:$F$874,'30 days CF Table(NZD)'!$C$2)</f>
        <v>0</v>
      </c>
      <c r="R50" s="548">
        <f>SUMIFS(BS_RE33!$H$7:$H$874,BS_RE33!$S$7:$S$874,$R$2,BS_RE33!$N$7:$N$874,I50,BS_RE33!$P$7:$P$874,'30 days CF Table(NZD)'!G50,BS_RE33!$F$7:$F$874,'30 days CF Table(NZD)'!$C$2)</f>
        <v>0</v>
      </c>
      <c r="S50" s="548">
        <f>SUMIFS(BS_RE33!$H$7:$H$874,BS_RE33!$S$7:$S$874,$S$2,BS_RE33!$N$7:$N$874,I50,BS_RE33!$P$7:$P$874,'30 days CF Table(NZD)'!G50,BS_RE33!$F$7:$F$874,'30 days CF Table(NZD)'!$C$2)</f>
        <v>0</v>
      </c>
      <c r="T50" s="548">
        <f>SUMIFS(BS_RE33!$H$7:$H$874,BS_RE33!$S$7:$S$874,$T$2,BS_RE33!$N$7:$N$874,I50,BS_RE33!$P$7:$P$874,'30 days CF Table(NZD)'!G50,BS_RE33!$F$7:$F$874,'30 days CF Table(NZD)'!$C$2)</f>
        <v>0</v>
      </c>
      <c r="U50" s="548">
        <f>SUMIFS(BS_RE33!$H$7:$H$874,BS_RE33!$S$7:$S$874,$U$2,BS_RE33!$N$7:$N$874,I50,BS_RE33!$P$7:$P$874,'30 days CF Table(NZD)'!G50,BS_RE33!$F$7:$F$874,'30 days CF Table(NZD)'!$C$2)</f>
        <v>0</v>
      </c>
      <c r="V50" s="548">
        <f>SUMIFS(BS_RE33!$H$7:$H$874,BS_RE33!$S$7:$S$874,$V$2,BS_RE33!$N$7:$N$874,I50,BS_RE33!$P$7:$P$874,'30 days CF Table(NZD)'!G50,BS_RE33!$F$7:$F$874,'30 days CF Table(NZD)'!$C$2)</f>
        <v>0</v>
      </c>
      <c r="W50" s="548">
        <f>SUMIFS(BS_RE33!$H$7:$H$874,BS_RE33!$S$7:$S$874,$W$2,BS_RE33!$N$7:$N$874,I50,BS_RE33!$P$7:$P$874,'30 days CF Table(NZD)'!G50,BS_RE33!$F$7:$F$874,'30 days CF Table(NZD)'!$C$2)</f>
        <v>0</v>
      </c>
      <c r="X50" s="548">
        <f>SUMIFS(BS_RE33!$H$7:$H$874,BS_RE33!$S$7:$S$874,$X$2,BS_RE33!$N$7:$N$874,I50,BS_RE33!$P$7:$P$874,'30 days CF Table(NZD)'!G50,BS_RE33!$F$7:$F$874,'30 days CF Table(NZD)'!$C$2)</f>
        <v>0</v>
      </c>
      <c r="Y50" s="548">
        <f>SUMIFS(BS_RE33!$H$7:$H$874,BS_RE33!$S$7:$S$874,$Y$2,BS_RE33!$N$7:$N$874,I50,BS_RE33!$P$7:$P$874,'30 days CF Table(NZD)'!G50,BS_RE33!$F$7:$F$874,'30 days CF Table(NZD)'!$C$2)</f>
        <v>0</v>
      </c>
      <c r="Z50" s="548">
        <f>SUMIFS(BS_RE33!$H$7:$H$874,BS_RE33!$S$7:$S$874,$Z$2,BS_RE33!$N$7:$N$874,I50,BS_RE33!$P$7:$P$874,'30 days CF Table(NZD)'!G50,BS_RE33!$F$7:$F$874,'30 days CF Table(NZD)'!$C$2)</f>
        <v>0</v>
      </c>
      <c r="AA50" s="548">
        <f>SUMIFS(BS_RE33!$H$7:$H$874,BS_RE33!$S$7:$S$874,$AA$2,BS_RE33!$N$7:$N$874,I50,BS_RE33!$P$7:$P$874,'30 days CF Table(NZD)'!G50,BS_RE33!$F$7:$F$874,'30 days CF Table(NZD)'!$C$2)</f>
        <v>0</v>
      </c>
      <c r="AB50" s="548">
        <f>SUMIFS(BS_RE33!$H$7:$H$874,BS_RE33!$S$7:$S$874,$AB$2,BS_RE33!$N$7:$N$874,I50,BS_RE33!$P$7:$P$874,'30 days CF Table(NZD)'!G50,BS_RE33!$F$7:$F$874,'30 days CF Table(NZD)'!$C$2)</f>
        <v>0</v>
      </c>
      <c r="AC50" s="548">
        <f>SUMIFS(BS_RE33!$H$7:$H$874,BS_RE33!$S$7:$S$874,$AC$2,BS_RE33!$N$7:$N$874,I50,BS_RE33!$P$7:$P$874,'30 days CF Table(NZD)'!G50,BS_RE33!$F$7:$F$874,'30 days CF Table(NZD)'!$C$2)</f>
        <v>0</v>
      </c>
      <c r="AD50" s="548">
        <f>SUMIFS(BS_RE33!$H$7:$H$874,BS_RE33!$S$7:$S$874,$AD$2,BS_RE33!$N$7:$N$874,I50,BS_RE33!$P$7:$P$874,'30 days CF Table(NZD)'!G50,BS_RE33!$F$7:$F$874,'30 days CF Table(NZD)'!$C$2)</f>
        <v>0</v>
      </c>
      <c r="AE50" s="548">
        <f>SUMIFS(BS_RE33!$H$7:$H$874,BS_RE33!$S$7:$S$874,$AE$2,BS_RE33!$N$7:$N$874,I50,BS_RE33!$P$7:$P$874,'30 days CF Table(NZD)'!G50,BS_RE33!$F$7:$F$874,'30 days CF Table(NZD)'!$C$2)</f>
        <v>0</v>
      </c>
      <c r="AF50" s="548">
        <f>SUMIFS(BS_RE33!$H$7:$H$874,BS_RE33!$S$7:$S$874,$AF$2,BS_RE33!$N$7:$N$874,I50,BS_RE33!$P$7:$P$874,'30 days CF Table(NZD)'!G50,BS_RE33!$F$7:$F$874,'30 days CF Table(NZD)'!$C$2)</f>
        <v>0</v>
      </c>
      <c r="AG50" s="548">
        <f>SUMIFS(BS_RE33!$H$7:$H$874,BS_RE33!$S$7:$S$874,$AG$2,BS_RE33!$N$7:$N$874,I50,BS_RE33!$P$7:$P$874,'30 days CF Table(NZD)'!G50,BS_RE33!$F$7:$F$874,'30 days CF Table(NZD)'!$C$2)</f>
        <v>0</v>
      </c>
      <c r="AH50" s="548">
        <f>SUMIFS(BS_RE33!$H$7:$H$874,BS_RE33!$S$7:$S$874,$AH$2,BS_RE33!$N$7:$N$874,I50,BS_RE33!$P$7:$P$874,'30 days CF Table(NZD)'!G50,BS_RE33!$F$7:$F$874,'30 days CF Table(NZD)'!$C$2)</f>
        <v>0</v>
      </c>
      <c r="AI50" s="548">
        <f>SUMIFS(BS_RE33!$H$7:$H$874,BS_RE33!$S$7:$S$874,$AI$2,BS_RE33!$N$7:$N$874,I50,BS_RE33!$P$7:$P$874,'30 days CF Table(NZD)'!G50,BS_RE33!$F$7:$F$874,'30 days CF Table(NZD)'!$C$2)</f>
        <v>0</v>
      </c>
      <c r="AJ50" s="548">
        <f>SUMIFS(BS_RE33!$H$7:$H$874,BS_RE33!$S$7:$S$874,$AJ$2,BS_RE33!$N$7:$N$874,I50,BS_RE33!$P$7:$P$874,'30 days CF Table(NZD)'!G50,BS_RE33!$F$7:$F$874,'30 days CF Table(NZD)'!$C$2)</f>
        <v>0</v>
      </c>
      <c r="AK50" s="548">
        <f>SUMIFS(BS_RE33!$H$7:$H$874,BS_RE33!$S$7:$S$874,$AK$2,BS_RE33!$N$7:$N$874,I50,BS_RE33!$P$7:$P$874,'30 days CF Table(NZD)'!G50,BS_RE33!$F$7:$F$874,'30 days CF Table(NZD)'!$C$2)</f>
        <v>0</v>
      </c>
      <c r="AL50" s="548">
        <f>SUMIFS(BS_RE33!$H$7:$H$874,BS_RE33!$S$7:$S$874,$AL$2,BS_RE33!$N$7:$N$874,I50,BS_RE33!$P$7:$P$874,'30 days CF Table(NZD)'!G50,BS_RE33!$F$7:$F$874,'30 days CF Table(NZD)'!$C$2)</f>
        <v>0</v>
      </c>
      <c r="AM50" s="548">
        <f>SUMIFS(BS_RE33!$H$7:$H$874,BS_RE33!$S$7:$S$874,$AM$2,BS_RE33!$N$7:$N$874,I50,BS_RE33!$P$7:$P$874,'30 days CF Table(NZD)'!G50,BS_RE33!$F$7:$F$874,'30 days CF Table(NZD)'!$C$2)</f>
        <v>0</v>
      </c>
      <c r="AN50" s="548">
        <f>SUMIFS(BS_RE33!$H$7:$H$874,BS_RE33!$S$7:$S$874,$AN$2,BS_RE33!$N$7:$N$874,I50,BS_RE33!$P$7:$P$874,'30 days CF Table(NZD)'!G50,BS_RE33!$F$7:$F$874,'30 days CF Table(NZD)'!$C$2)</f>
        <v>0</v>
      </c>
      <c r="AO50" s="548">
        <f>SUMIFS(BS_RE33!$H$7:$H$874,BS_RE33!$S$7:$S$874,$AO$2,BS_RE33!$N$7:$N$874,I50,BS_RE33!$P$7:$P$874,'30 days CF Table(NZD)'!G50,BS_RE33!$F$7:$F$874,'30 days CF Table(NZD)'!$C$2)</f>
        <v>0</v>
      </c>
      <c r="AP50" s="549">
        <f>SUMIFS(BS_RE33!$H$7:$H$874,BS_RE33!$S$7:$S$874,$AP$2,BS_RE33!$N$7:$N$874,I50,BS_RE33!$P$7:$P$874,'30 days CF Table(NZD)'!G50,BS_RE33!$F$7:$F$874,'30 days CF Table(NZD)'!$C$2)</f>
        <v>0</v>
      </c>
      <c r="AQ50" s="550"/>
      <c r="AR50" s="380">
        <f>SUMIFS(BS_RE33!$H$7:$H$874,BS_RE33!$S$7:$S$874,$AR$2,BS_RE33!$N$7:$N$874,I50,BS_RE33!$P$7:$P$874,'30 days CF Table(NZD)'!G50,BS_RE33!$F$7:$F$874,'30 days CF Table(NZD)'!$C$2)</f>
        <v>0</v>
      </c>
      <c r="AS50" s="380">
        <f>SUMIFS(BS_RE33!$H$7:$H$874,BS_RE33!$S$7:$S$874,$AS$2,BS_RE33!$N$7:$N$874,I50,BS_RE33!$P$7:$P$874,'30 days CF Table(NZD)'!G50,BS_RE33!$F$7:$F$874,'30 days CF Table(NZD)'!$C$2)</f>
        <v>0</v>
      </c>
      <c r="AT50" s="380">
        <f>SUMIFS(BS_RE33!$H$7:$H$874,BS_RE33!$S$7:$S$874,$AT$2,BS_RE33!$N$7:$N$874,I50,BS_RE33!$P$7:$P$874,'30 days CF Table(NZD)'!G50,BS_RE33!$F$7:$F$874,'30 days CF Table(NZD)'!$C$2)</f>
        <v>0</v>
      </c>
      <c r="AU50" s="380">
        <f>SUMIFS(BS_RE33!$H$7:$H$874,BS_RE33!$S$7:$S$874,$AU$2,BS_RE33!$N$7:$N$874,I50,BS_RE33!$P$7:$P$874,'30 days CF Table(NZD)'!G50,BS_RE33!$F$7:$F$874,'30 days CF Table(NZD)'!$C$2)</f>
        <v>0</v>
      </c>
      <c r="AV50" s="380">
        <f>SUMIFS(BS_RE33!$H$7:$H$874,BS_RE33!$S$7:$S$874,$AV$2,BS_RE33!$N$7:$N$874,I50,BS_RE33!$P$7:$P$874,'30 days CF Table(NZD)'!G50,BS_RE33!$F$7:$F$874,'30 days CF Table(NZD)'!$C$2)</f>
        <v>0</v>
      </c>
      <c r="AW50" s="380">
        <f>SUMIFS(BS_RE33!$H$7:$H$874,BS_RE33!$S$7:$S$874,$AW$2,BS_RE33!$N$7:$N$874,I50,BS_RE33!$P$7:$P$874,'30 days CF Table(NZD)'!G50,BS_RE33!$F$7:$F$874,'30 days CF Table(NZD)'!$C$2)</f>
        <v>0</v>
      </c>
      <c r="AX50" s="380">
        <f>SUMIFS(BS_RE33!$H$7:$H$874,BS_RE33!$S$7:$S$874,$AX$2,BS_RE33!$N$7:$N$874,I50,BS_RE33!$P$7:$P$874,'30 days CF Table(NZD)'!G50,BS_RE33!$F$7:$F$874,'30 days CF Table(NZD)'!$C$2)</f>
        <v>0</v>
      </c>
      <c r="AY50" s="380">
        <f>SUMIFS(BS_RE33!$H$7:$H$874,BS_RE33!$S$7:$S$874,$AY$2,BS_RE33!$N$7:$N$874,I50,BS_RE33!$P$7:$P$874,'30 days CF Table(NZD)'!G50,BS_RE33!$F$7:$F$874,'30 days CF Table(NZD)'!$C$2)</f>
        <v>0</v>
      </c>
      <c r="AZ50" s="380">
        <f>SUMIFS(BS_RE33!$H$7:$H$874,BS_RE33!$S$7:$S$874,$AZ$2,BS_RE33!$N$7:$N$874,I50,BS_RE33!$P$7:$P$874,'30 days CF Table(NZD)'!G50,BS_RE33!$F$7:$F$874,'30 days CF Table(NZD)'!$C$2)</f>
        <v>0</v>
      </c>
      <c r="BA50" s="380">
        <f>SUMIFS(BS_RE33!$H$7:$H$874,BS_RE33!$S$7:$S$874,$BA$2,BS_RE33!$N$7:$N$874,I50,BS_RE33!$P$7:$P$874,'30 days CF Table(NZD)'!G50,BS_RE33!$F$7:$F$874,'30 days CF Table(NZD)'!$C$2)</f>
        <v>0</v>
      </c>
      <c r="BB50" s="380">
        <f>SUMIFS(BS_RE33!$H$7:$H$874,BS_RE33!$S$7:$S$874,$BB$2,BS_RE33!$N$7:$N$874,I50,BS_RE33!$P$7:$P$874,'30 days CF Table(NZD)'!G50,BS_RE33!$F$7:$F$874,'30 days CF Table(NZD)'!$C$2)</f>
        <v>0</v>
      </c>
      <c r="BC50" s="380">
        <f>SUMIFS(BS_RE33!$H$7:$H$874,BS_RE33!$S$7:$S$874,$BC$2,BS_RE33!$N$7:$N$874,I50,BS_RE33!$P$7:$P$874,'30 days CF Table(NZD)'!G50,BS_RE33!$F$7:$F$874,'30 days CF Table(NZD)'!$C$2)</f>
        <v>0</v>
      </c>
      <c r="BD50" s="380">
        <f>SUMIFS(BS_RE33!$H$7:$H$874,BS_RE33!$S$7:$S$874,$BD$2,BS_RE33!$N$7:$N$874,I50,BS_RE33!$P$7:$P$874,'30 days CF Table(NZD)'!G50,BS_RE33!$F$7:$F$874,'30 days CF Table(NZD)'!$C$2)</f>
        <v>0</v>
      </c>
      <c r="BE50" s="380">
        <f>SUMIFS(BS_RE33!$H$7:$H$874,BS_RE33!$S$7:$S$874,$BE$2,BS_RE33!$N$7:$N$874,I50,BS_RE33!$P$7:$P$874,'30 days CF Table(NZD)'!G50,BS_RE33!$F$7:$F$874,'30 days CF Table(NZD)'!$C$2)</f>
        <v>0</v>
      </c>
      <c r="BF50" s="380">
        <f>SUMIFS(BS_RE33!$H$7:$H$874,BS_RE33!$S$7:$S$874,$BF$2,BS_RE33!$N$7:$N$874,I50,BS_RE33!$P$7:$P$874,'30 days CF Table(NZD)'!G50,BS_RE33!$F$7:$F$874,'30 days CF Table(NZD)'!$C$2)</f>
        <v>0</v>
      </c>
      <c r="BG50" s="380">
        <f>SUMIFS(BS_RE33!$H$7:$H$874,BS_RE33!$S$7:$S$874,$BG$2,BS_RE33!$N$7:$N$874,I50,BS_RE33!$P$7:$P$874,'30 days CF Table(NZD)'!G50,BS_RE33!$F$7:$F$874,'30 days CF Table(NZD)'!$C$2)</f>
        <v>0</v>
      </c>
      <c r="BH50" s="380">
        <f>SUMIFS(BS_RE33!$H$7:$H$874,BS_RE33!$S$7:$S$874,$BH$2,BS_RE33!$N$7:$N$874,I50,BS_RE33!$P$7:$P$874,'30 days CF Table(NZD)'!G50,BS_RE33!$F$7:$F$874,'30 days CF Table(NZD)'!$C$2)</f>
        <v>0</v>
      </c>
      <c r="BI50" s="380">
        <f>SUMIFS(BS_RE33!$H$7:$H$874,BS_RE33!$S$7:$S$874,$BI$2,BS_RE33!$N$7:$N$874,I50,BS_RE33!$P$7:$P$874,'30 days CF Table(NZD)'!G50,BS_RE33!$F$7:$F$874,'30 days CF Table(NZD)'!$C$2)</f>
        <v>0</v>
      </c>
      <c r="BJ50" s="380">
        <f>SUMIFS(BS_RE33!$H$7:$H$874,BS_RE33!$S$7:$S$874,$BJ$2,BS_RE33!$N$7:$N$874,I50,BS_RE33!$P$7:$P$874,'30 days CF Table(NZD)'!G50,BS_RE33!$F$7:$F$874,'30 days CF Table(NZD)'!$C$2)</f>
        <v>0</v>
      </c>
      <c r="BK50" s="380">
        <f>SUMIFS(BS_RE33!$H$7:$H$874,BS_RE33!$S$7:$S$874,$BK$2,BS_RE33!$N$7:$N$874,I50,BS_RE33!$P$7:$P$874,'30 days CF Table(NZD)'!G50,BS_RE33!$F$7:$F$874,'30 days CF Table(NZD)'!$C$2)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Table(NZD)'!G51,BS_RE33!$F$7:$F$874,'30 days CF Table(NZD)'!$C$2)</f>
        <v>0</v>
      </c>
      <c r="M51" s="548">
        <f>SUMIFS(BS_RE33!$H$7:$H$874,BS_RE33!$S$7:$S$874,$M$2,BS_RE33!$N$7:$N$874,I51,BS_RE33!$P$7:$P$874,'30 days CF Table(NZD)'!G51,BS_RE33!$F$7:$F$874,'30 days CF Table(NZD)'!$C$2)</f>
        <v>0</v>
      </c>
      <c r="N51" s="548">
        <f>SUMIFS(BS_RE33!$H$7:$H$874,BS_RE33!$S$7:$S$874,$N$2,BS_RE33!$N$7:$N$874,I51,BS_RE33!$P$7:$P$874,'30 days CF Table(NZD)'!G51,BS_RE33!$F$7:$F$874,'30 days CF Table(NZD)'!$C$2)</f>
        <v>0</v>
      </c>
      <c r="O51" s="548">
        <f>SUMIFS(BS_RE33!$H$7:$H$874,BS_RE33!$S$7:$S$874,$O$2,BS_RE33!$N$7:$N$874,I51,BS_RE33!$P$7:$P$874,'30 days CF Table(NZD)'!G51,BS_RE33!$F$7:$F$874,'30 days CF Table(NZD)'!$C$2)</f>
        <v>0</v>
      </c>
      <c r="P51" s="548">
        <f>SUMIFS(BS_RE33!$H$7:$H$874,BS_RE33!$S$7:$S$874,$P$2,BS_RE33!$N$7:$N$874,I51,BS_RE33!$P$7:$P$874,'30 days CF Table(NZD)'!G51,BS_RE33!$F$7:$F$874,'30 days CF Table(NZD)'!$C$2)</f>
        <v>0</v>
      </c>
      <c r="Q51" s="548">
        <f>SUMIFS(BS_RE33!$H$7:$H$874,BS_RE33!$S$7:$S$874,$Q$2,BS_RE33!$N$7:$N$874,I51,BS_RE33!$P$7:$P$874,'30 days CF Table(NZD)'!G51,BS_RE33!$F$7:$F$874,'30 days CF Table(NZD)'!$C$2)</f>
        <v>0</v>
      </c>
      <c r="R51" s="548">
        <f>SUMIFS(BS_RE33!$H$7:$H$874,BS_RE33!$S$7:$S$874,$R$2,BS_RE33!$N$7:$N$874,I51,BS_RE33!$P$7:$P$874,'30 days CF Table(NZD)'!G51,BS_RE33!$F$7:$F$874,'30 days CF Table(NZD)'!$C$2)</f>
        <v>0</v>
      </c>
      <c r="S51" s="548">
        <f>SUMIFS(BS_RE33!$H$7:$H$874,BS_RE33!$S$7:$S$874,$S$2,BS_RE33!$N$7:$N$874,I51,BS_RE33!$P$7:$P$874,'30 days CF Table(NZD)'!G51,BS_RE33!$F$7:$F$874,'30 days CF Table(NZD)'!$C$2)</f>
        <v>0</v>
      </c>
      <c r="T51" s="548">
        <f>SUMIFS(BS_RE33!$H$7:$H$874,BS_RE33!$S$7:$S$874,$T$2,BS_RE33!$N$7:$N$874,I51,BS_RE33!$P$7:$P$874,'30 days CF Table(NZD)'!G51,BS_RE33!$F$7:$F$874,'30 days CF Table(NZD)'!$C$2)</f>
        <v>0</v>
      </c>
      <c r="U51" s="548">
        <f>SUMIFS(BS_RE33!$H$7:$H$874,BS_RE33!$S$7:$S$874,$U$2,BS_RE33!$N$7:$N$874,I51,BS_RE33!$P$7:$P$874,'30 days CF Table(NZD)'!G51,BS_RE33!$F$7:$F$874,'30 days CF Table(NZD)'!$C$2)</f>
        <v>0</v>
      </c>
      <c r="V51" s="548">
        <f>SUMIFS(BS_RE33!$H$7:$H$874,BS_RE33!$S$7:$S$874,$V$2,BS_RE33!$N$7:$N$874,I51,BS_RE33!$P$7:$P$874,'30 days CF Table(NZD)'!G51,BS_RE33!$F$7:$F$874,'30 days CF Table(NZD)'!$C$2)</f>
        <v>0</v>
      </c>
      <c r="W51" s="548">
        <f>SUMIFS(BS_RE33!$H$7:$H$874,BS_RE33!$S$7:$S$874,$W$2,BS_RE33!$N$7:$N$874,I51,BS_RE33!$P$7:$P$874,'30 days CF Table(NZD)'!G51,BS_RE33!$F$7:$F$874,'30 days CF Table(NZD)'!$C$2)</f>
        <v>0</v>
      </c>
      <c r="X51" s="548">
        <f>SUMIFS(BS_RE33!$H$7:$H$874,BS_RE33!$S$7:$S$874,$X$2,BS_RE33!$N$7:$N$874,I51,BS_RE33!$P$7:$P$874,'30 days CF Table(NZD)'!G51,BS_RE33!$F$7:$F$874,'30 days CF Table(NZD)'!$C$2)</f>
        <v>0</v>
      </c>
      <c r="Y51" s="548">
        <f>SUMIFS(BS_RE33!$H$7:$H$874,BS_RE33!$S$7:$S$874,$Y$2,BS_RE33!$N$7:$N$874,I51,BS_RE33!$P$7:$P$874,'30 days CF Table(NZD)'!G51,BS_RE33!$F$7:$F$874,'30 days CF Table(NZD)'!$C$2)</f>
        <v>0</v>
      </c>
      <c r="Z51" s="548">
        <f>SUMIFS(BS_RE33!$H$7:$H$874,BS_RE33!$S$7:$S$874,$Z$2,BS_RE33!$N$7:$N$874,I51,BS_RE33!$P$7:$P$874,'30 days CF Table(NZD)'!G51,BS_RE33!$F$7:$F$874,'30 days CF Table(NZD)'!$C$2)</f>
        <v>0</v>
      </c>
      <c r="AA51" s="548">
        <f>SUMIFS(BS_RE33!$H$7:$H$874,BS_RE33!$S$7:$S$874,$AA$2,BS_RE33!$N$7:$N$874,I51,BS_RE33!$P$7:$P$874,'30 days CF Table(NZD)'!G51,BS_RE33!$F$7:$F$874,'30 days CF Table(NZD)'!$C$2)</f>
        <v>0</v>
      </c>
      <c r="AB51" s="548">
        <f>SUMIFS(BS_RE33!$H$7:$H$874,BS_RE33!$S$7:$S$874,$AB$2,BS_RE33!$N$7:$N$874,I51,BS_RE33!$P$7:$P$874,'30 days CF Table(NZD)'!G51,BS_RE33!$F$7:$F$874,'30 days CF Table(NZD)'!$C$2)</f>
        <v>0</v>
      </c>
      <c r="AC51" s="548">
        <f>SUMIFS(BS_RE33!$H$7:$H$874,BS_RE33!$S$7:$S$874,$AC$2,BS_RE33!$N$7:$N$874,I51,BS_RE33!$P$7:$P$874,'30 days CF Table(NZD)'!G51,BS_RE33!$F$7:$F$874,'30 days CF Table(NZD)'!$C$2)</f>
        <v>0</v>
      </c>
      <c r="AD51" s="548">
        <f>SUMIFS(BS_RE33!$H$7:$H$874,BS_RE33!$S$7:$S$874,$AD$2,BS_RE33!$N$7:$N$874,I51,BS_RE33!$P$7:$P$874,'30 days CF Table(NZD)'!G51,BS_RE33!$F$7:$F$874,'30 days CF Table(NZD)'!$C$2)</f>
        <v>0</v>
      </c>
      <c r="AE51" s="548">
        <f>SUMIFS(BS_RE33!$H$7:$H$874,BS_RE33!$S$7:$S$874,$AE$2,BS_RE33!$N$7:$N$874,I51,BS_RE33!$P$7:$P$874,'30 days CF Table(NZD)'!G51,BS_RE33!$F$7:$F$874,'30 days CF Table(NZD)'!$C$2)</f>
        <v>0</v>
      </c>
      <c r="AF51" s="548">
        <f>SUMIFS(BS_RE33!$H$7:$H$874,BS_RE33!$S$7:$S$874,$AF$2,BS_RE33!$N$7:$N$874,I51,BS_RE33!$P$7:$P$874,'30 days CF Table(NZD)'!G51,BS_RE33!$F$7:$F$874,'30 days CF Table(NZD)'!$C$2)</f>
        <v>0</v>
      </c>
      <c r="AG51" s="548">
        <f>SUMIFS(BS_RE33!$H$7:$H$874,BS_RE33!$S$7:$S$874,$AG$2,BS_RE33!$N$7:$N$874,I51,BS_RE33!$P$7:$P$874,'30 days CF Table(NZD)'!G51,BS_RE33!$F$7:$F$874,'30 days CF Table(NZD)'!$C$2)</f>
        <v>0</v>
      </c>
      <c r="AH51" s="548">
        <f>SUMIFS(BS_RE33!$H$7:$H$874,BS_RE33!$S$7:$S$874,$AH$2,BS_RE33!$N$7:$N$874,I51,BS_RE33!$P$7:$P$874,'30 days CF Table(NZD)'!G51,BS_RE33!$F$7:$F$874,'30 days CF Table(NZD)'!$C$2)</f>
        <v>0</v>
      </c>
      <c r="AI51" s="548">
        <f>SUMIFS(BS_RE33!$H$7:$H$874,BS_RE33!$S$7:$S$874,$AI$2,BS_RE33!$N$7:$N$874,I51,BS_RE33!$P$7:$P$874,'30 days CF Table(NZD)'!G51,BS_RE33!$F$7:$F$874,'30 days CF Table(NZD)'!$C$2)</f>
        <v>0</v>
      </c>
      <c r="AJ51" s="548">
        <f>SUMIFS(BS_RE33!$H$7:$H$874,BS_RE33!$S$7:$S$874,$AJ$2,BS_RE33!$N$7:$N$874,I51,BS_RE33!$P$7:$P$874,'30 days CF Table(NZD)'!G51,BS_RE33!$F$7:$F$874,'30 days CF Table(NZD)'!$C$2)</f>
        <v>0</v>
      </c>
      <c r="AK51" s="548">
        <f>SUMIFS(BS_RE33!$H$7:$H$874,BS_RE33!$S$7:$S$874,$AK$2,BS_RE33!$N$7:$N$874,I51,BS_RE33!$P$7:$P$874,'30 days CF Table(NZD)'!G51,BS_RE33!$F$7:$F$874,'30 days CF Table(NZD)'!$C$2)</f>
        <v>0</v>
      </c>
      <c r="AL51" s="548">
        <f>SUMIFS(BS_RE33!$H$7:$H$874,BS_RE33!$S$7:$S$874,$AL$2,BS_RE33!$N$7:$N$874,I51,BS_RE33!$P$7:$P$874,'30 days CF Table(NZD)'!G51,BS_RE33!$F$7:$F$874,'30 days CF Table(NZD)'!$C$2)</f>
        <v>0</v>
      </c>
      <c r="AM51" s="548">
        <f>SUMIFS(BS_RE33!$H$7:$H$874,BS_RE33!$S$7:$S$874,$AM$2,BS_RE33!$N$7:$N$874,I51,BS_RE33!$P$7:$P$874,'30 days CF Table(NZD)'!G51,BS_RE33!$F$7:$F$874,'30 days CF Table(NZD)'!$C$2)</f>
        <v>0</v>
      </c>
      <c r="AN51" s="548">
        <f>SUMIFS(BS_RE33!$H$7:$H$874,BS_RE33!$S$7:$S$874,$AN$2,BS_RE33!$N$7:$N$874,I51,BS_RE33!$P$7:$P$874,'30 days CF Table(NZD)'!G51,BS_RE33!$F$7:$F$874,'30 days CF Table(NZD)'!$C$2)</f>
        <v>0</v>
      </c>
      <c r="AO51" s="548">
        <f>SUMIFS(BS_RE33!$H$7:$H$874,BS_RE33!$S$7:$S$874,$AO$2,BS_RE33!$N$7:$N$874,I51,BS_RE33!$P$7:$P$874,'30 days CF Table(NZD)'!G51,BS_RE33!$F$7:$F$874,'30 days CF Table(NZD)'!$C$2)</f>
        <v>0</v>
      </c>
      <c r="AP51" s="549">
        <f>SUMIFS(BS_RE33!$H$7:$H$874,BS_RE33!$S$7:$S$874,$AP$2,BS_RE33!$N$7:$N$874,I51,BS_RE33!$P$7:$P$874,'30 days CF Table(NZD)'!G51,BS_RE33!$F$7:$F$874,'30 days CF Table(NZD)'!$C$2)</f>
        <v>0</v>
      </c>
      <c r="AQ51" s="550"/>
      <c r="AR51" s="380">
        <f>SUMIFS(BS_RE33!$H$7:$H$874,BS_RE33!$S$7:$S$874,$AR$2,BS_RE33!$N$7:$N$874,I51,BS_RE33!$P$7:$P$874,'30 days CF Table(NZD)'!G51,BS_RE33!$F$7:$F$874,'30 days CF Table(NZD)'!$C$2)</f>
        <v>0</v>
      </c>
      <c r="AS51" s="380">
        <f>SUMIFS(BS_RE33!$H$7:$H$874,BS_RE33!$S$7:$S$874,$AS$2,BS_RE33!$N$7:$N$874,I51,BS_RE33!$P$7:$P$874,'30 days CF Table(NZD)'!G51,BS_RE33!$F$7:$F$874,'30 days CF Table(NZD)'!$C$2)</f>
        <v>0</v>
      </c>
      <c r="AT51" s="380">
        <f>SUMIFS(BS_RE33!$H$7:$H$874,BS_RE33!$S$7:$S$874,$AT$2,BS_RE33!$N$7:$N$874,I51,BS_RE33!$P$7:$P$874,'30 days CF Table(NZD)'!G51,BS_RE33!$F$7:$F$874,'30 days CF Table(NZD)'!$C$2)</f>
        <v>0</v>
      </c>
      <c r="AU51" s="380">
        <f>SUMIFS(BS_RE33!$H$7:$H$874,BS_RE33!$S$7:$S$874,$AU$2,BS_RE33!$N$7:$N$874,I51,BS_RE33!$P$7:$P$874,'30 days CF Table(NZD)'!G51,BS_RE33!$F$7:$F$874,'30 days CF Table(NZD)'!$C$2)</f>
        <v>0</v>
      </c>
      <c r="AV51" s="380">
        <f>SUMIFS(BS_RE33!$H$7:$H$874,BS_RE33!$S$7:$S$874,$AV$2,BS_RE33!$N$7:$N$874,I51,BS_RE33!$P$7:$P$874,'30 days CF Table(NZD)'!G51,BS_RE33!$F$7:$F$874,'30 days CF Table(NZD)'!$C$2)</f>
        <v>0</v>
      </c>
      <c r="AW51" s="380">
        <f>SUMIFS(BS_RE33!$H$7:$H$874,BS_RE33!$S$7:$S$874,$AW$2,BS_RE33!$N$7:$N$874,I51,BS_RE33!$P$7:$P$874,'30 days CF Table(NZD)'!G51,BS_RE33!$F$7:$F$874,'30 days CF Table(NZD)'!$C$2)</f>
        <v>0</v>
      </c>
      <c r="AX51" s="380">
        <f>SUMIFS(BS_RE33!$H$7:$H$874,BS_RE33!$S$7:$S$874,$AX$2,BS_RE33!$N$7:$N$874,I51,BS_RE33!$P$7:$P$874,'30 days CF Table(NZD)'!G51,BS_RE33!$F$7:$F$874,'30 days CF Table(NZD)'!$C$2)</f>
        <v>0</v>
      </c>
      <c r="AY51" s="380">
        <f>SUMIFS(BS_RE33!$H$7:$H$874,BS_RE33!$S$7:$S$874,$AY$2,BS_RE33!$N$7:$N$874,I51,BS_RE33!$P$7:$P$874,'30 days CF Table(NZD)'!G51,BS_RE33!$F$7:$F$874,'30 days CF Table(NZD)'!$C$2)</f>
        <v>0</v>
      </c>
      <c r="AZ51" s="380">
        <f>SUMIFS(BS_RE33!$H$7:$H$874,BS_RE33!$S$7:$S$874,$AZ$2,BS_RE33!$N$7:$N$874,I51,BS_RE33!$P$7:$P$874,'30 days CF Table(NZD)'!G51,BS_RE33!$F$7:$F$874,'30 days CF Table(NZD)'!$C$2)</f>
        <v>0</v>
      </c>
      <c r="BA51" s="380">
        <f>SUMIFS(BS_RE33!$H$7:$H$874,BS_RE33!$S$7:$S$874,$BA$2,BS_RE33!$N$7:$N$874,I51,BS_RE33!$P$7:$P$874,'30 days CF Table(NZD)'!G51,BS_RE33!$F$7:$F$874,'30 days CF Table(NZD)'!$C$2)</f>
        <v>0</v>
      </c>
      <c r="BB51" s="380">
        <f>SUMIFS(BS_RE33!$H$7:$H$874,BS_RE33!$S$7:$S$874,$BB$2,BS_RE33!$N$7:$N$874,I51,BS_RE33!$P$7:$P$874,'30 days CF Table(NZD)'!G51,BS_RE33!$F$7:$F$874,'30 days CF Table(NZD)'!$C$2)</f>
        <v>0</v>
      </c>
      <c r="BC51" s="380">
        <f>SUMIFS(BS_RE33!$H$7:$H$874,BS_RE33!$S$7:$S$874,$BC$2,BS_RE33!$N$7:$N$874,I51,BS_RE33!$P$7:$P$874,'30 days CF Table(NZD)'!G51,BS_RE33!$F$7:$F$874,'30 days CF Table(NZD)'!$C$2)</f>
        <v>0</v>
      </c>
      <c r="BD51" s="380">
        <f>SUMIFS(BS_RE33!$H$7:$H$874,BS_RE33!$S$7:$S$874,$BD$2,BS_RE33!$N$7:$N$874,I51,BS_RE33!$P$7:$P$874,'30 days CF Table(NZD)'!G51,BS_RE33!$F$7:$F$874,'30 days CF Table(NZD)'!$C$2)</f>
        <v>0</v>
      </c>
      <c r="BE51" s="380">
        <f>SUMIFS(BS_RE33!$H$7:$H$874,BS_RE33!$S$7:$S$874,$BE$2,BS_RE33!$N$7:$N$874,I51,BS_RE33!$P$7:$P$874,'30 days CF Table(NZD)'!G51,BS_RE33!$F$7:$F$874,'30 days CF Table(NZD)'!$C$2)</f>
        <v>0</v>
      </c>
      <c r="BF51" s="380">
        <f>SUMIFS(BS_RE33!$H$7:$H$874,BS_RE33!$S$7:$S$874,$BF$2,BS_RE33!$N$7:$N$874,I51,BS_RE33!$P$7:$P$874,'30 days CF Table(NZD)'!G51,BS_RE33!$F$7:$F$874,'30 days CF Table(NZD)'!$C$2)</f>
        <v>0</v>
      </c>
      <c r="BG51" s="380">
        <f>SUMIFS(BS_RE33!$H$7:$H$874,BS_RE33!$S$7:$S$874,$BG$2,BS_RE33!$N$7:$N$874,I51,BS_RE33!$P$7:$P$874,'30 days CF Table(NZD)'!G51,BS_RE33!$F$7:$F$874,'30 days CF Table(NZD)'!$C$2)</f>
        <v>0</v>
      </c>
      <c r="BH51" s="380">
        <f>SUMIFS(BS_RE33!$H$7:$H$874,BS_RE33!$S$7:$S$874,$BH$2,BS_RE33!$N$7:$N$874,I51,BS_RE33!$P$7:$P$874,'30 days CF Table(NZD)'!G51,BS_RE33!$F$7:$F$874,'30 days CF Table(NZD)'!$C$2)</f>
        <v>0</v>
      </c>
      <c r="BI51" s="380">
        <f>SUMIFS(BS_RE33!$H$7:$H$874,BS_RE33!$S$7:$S$874,$BI$2,BS_RE33!$N$7:$N$874,I51,BS_RE33!$P$7:$P$874,'30 days CF Table(NZD)'!G51,BS_RE33!$F$7:$F$874,'30 days CF Table(NZD)'!$C$2)</f>
        <v>0</v>
      </c>
      <c r="BJ51" s="380">
        <f>SUMIFS(BS_RE33!$H$7:$H$874,BS_RE33!$S$7:$S$874,$BJ$2,BS_RE33!$N$7:$N$874,I51,BS_RE33!$P$7:$P$874,'30 days CF Table(NZD)'!G51,BS_RE33!$F$7:$F$874,'30 days CF Table(NZD)'!$C$2)</f>
        <v>0</v>
      </c>
      <c r="BK51" s="380">
        <f>SUMIFS(BS_RE33!$H$7:$H$874,BS_RE33!$S$7:$S$874,$BK$2,BS_RE33!$N$7:$N$874,I51,BS_RE33!$P$7:$P$874,'30 days CF Table(NZD)'!G51,BS_RE33!$F$7:$F$874,'30 days CF Table(NZD)'!$C$2)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Table(NZD)'!G52,BS_RE33!$F$7:$F$874,'30 days CF Table(NZD)'!$C$2)</f>
        <v>0</v>
      </c>
      <c r="M52" s="337">
        <f>SUMIFS(BS_RE33!$H$7:$H$874,BS_RE33!$S$7:$S$874,$M$2,BS_RE33!$N$7:$N$874,I52,BS_RE33!$P$7:$P$874,'30 days CF Table(NZD)'!G52,BS_RE33!$F$7:$F$874,'30 days CF Table(NZD)'!$C$2)</f>
        <v>0</v>
      </c>
      <c r="N52" s="337">
        <f>SUMIFS(BS_RE33!$H$7:$H$874,BS_RE33!$S$7:$S$874,$N$2,BS_RE33!$N$7:$N$874,I52,BS_RE33!$P$7:$P$874,'30 days CF Table(NZD)'!G52,BS_RE33!$F$7:$F$874,'30 days CF Table(NZD)'!$C$2)</f>
        <v>0</v>
      </c>
      <c r="O52" s="337">
        <f>SUMIFS(BS_RE33!$H$7:$H$874,BS_RE33!$S$7:$S$874,$O$2,BS_RE33!$N$7:$N$874,I52,BS_RE33!$P$7:$P$874,'30 days CF Table(NZD)'!G52,BS_RE33!$F$7:$F$874,'30 days CF Table(NZD)'!$C$2)</f>
        <v>0</v>
      </c>
      <c r="P52" s="337">
        <f>SUMIFS(BS_RE33!$H$7:$H$874,BS_RE33!$S$7:$S$874,$P$2,BS_RE33!$N$7:$N$874,I52,BS_RE33!$P$7:$P$874,'30 days CF Table(NZD)'!G52,BS_RE33!$F$7:$F$874,'30 days CF Table(NZD)'!$C$2)</f>
        <v>0</v>
      </c>
      <c r="Q52" s="337">
        <f>SUMIFS(BS_RE33!$H$7:$H$874,BS_RE33!$S$7:$S$874,$Q$2,BS_RE33!$N$7:$N$874,I52,BS_RE33!$P$7:$P$874,'30 days CF Table(NZD)'!G52,BS_RE33!$F$7:$F$874,'30 days CF Table(NZD)'!$C$2)</f>
        <v>0</v>
      </c>
      <c r="R52" s="337">
        <f>SUMIFS(BS_RE33!$H$7:$H$874,BS_RE33!$S$7:$S$874,$R$2,BS_RE33!$N$7:$N$874,I52,BS_RE33!$P$7:$P$874,'30 days CF Table(NZD)'!G52,BS_RE33!$F$7:$F$874,'30 days CF Table(NZD)'!$C$2)</f>
        <v>0</v>
      </c>
      <c r="S52" s="337">
        <f>SUMIFS(BS_RE33!$H$7:$H$874,BS_RE33!$S$7:$S$874,$S$2,BS_RE33!$N$7:$N$874,I52,BS_RE33!$P$7:$P$874,'30 days CF Table(NZD)'!G52,BS_RE33!$F$7:$F$874,'30 days CF Table(NZD)'!$C$2)</f>
        <v>0</v>
      </c>
      <c r="T52" s="337">
        <f>SUMIFS(BS_RE33!$H$7:$H$874,BS_RE33!$S$7:$S$874,$T$2,BS_RE33!$N$7:$N$874,I52,BS_RE33!$P$7:$P$874,'30 days CF Table(NZD)'!G52,BS_RE33!$F$7:$F$874,'30 days CF Table(NZD)'!$C$2)</f>
        <v>0</v>
      </c>
      <c r="U52" s="337">
        <f>SUMIFS(BS_RE33!$H$7:$H$874,BS_RE33!$S$7:$S$874,$U$2,BS_RE33!$N$7:$N$874,I52,BS_RE33!$P$7:$P$874,'30 days CF Table(NZD)'!G52,BS_RE33!$F$7:$F$874,'30 days CF Table(NZD)'!$C$2)</f>
        <v>0</v>
      </c>
      <c r="V52" s="337">
        <f>SUMIFS(BS_RE33!$H$7:$H$874,BS_RE33!$S$7:$S$874,$V$2,BS_RE33!$N$7:$N$874,I52,BS_RE33!$P$7:$P$874,'30 days CF Table(NZD)'!G52,BS_RE33!$F$7:$F$874,'30 days CF Table(NZD)'!$C$2)</f>
        <v>0</v>
      </c>
      <c r="W52" s="337">
        <f>SUMIFS(BS_RE33!$H$7:$H$874,BS_RE33!$S$7:$S$874,$W$2,BS_RE33!$N$7:$N$874,I52,BS_RE33!$P$7:$P$874,'30 days CF Table(NZD)'!G52,BS_RE33!$F$7:$F$874,'30 days CF Table(NZD)'!$C$2)</f>
        <v>0</v>
      </c>
      <c r="X52" s="337">
        <f>SUMIFS(BS_RE33!$H$7:$H$874,BS_RE33!$S$7:$S$874,$X$2,BS_RE33!$N$7:$N$874,I52,BS_RE33!$P$7:$P$874,'30 days CF Table(NZD)'!G52,BS_RE33!$F$7:$F$874,'30 days CF Table(NZD)'!$C$2)</f>
        <v>0</v>
      </c>
      <c r="Y52" s="337">
        <f>SUMIFS(BS_RE33!$H$7:$H$874,BS_RE33!$S$7:$S$874,$Y$2,BS_RE33!$N$7:$N$874,I52,BS_RE33!$P$7:$P$874,'30 days CF Table(NZD)'!G52,BS_RE33!$F$7:$F$874,'30 days CF Table(NZD)'!$C$2)</f>
        <v>0</v>
      </c>
      <c r="Z52" s="337">
        <f>SUMIFS(BS_RE33!$H$7:$H$874,BS_RE33!$S$7:$S$874,$Z$2,BS_RE33!$N$7:$N$874,I52,BS_RE33!$P$7:$P$874,'30 days CF Table(NZD)'!G52,BS_RE33!$F$7:$F$874,'30 days CF Table(NZD)'!$C$2)</f>
        <v>0</v>
      </c>
      <c r="AA52" s="337">
        <f>SUMIFS(BS_RE33!$H$7:$H$874,BS_RE33!$S$7:$S$874,$AA$2,BS_RE33!$N$7:$N$874,I52,BS_RE33!$P$7:$P$874,'30 days CF Table(NZD)'!G52,BS_RE33!$F$7:$F$874,'30 days CF Table(NZD)'!$C$2)</f>
        <v>0</v>
      </c>
      <c r="AB52" s="337">
        <f>SUMIFS(BS_RE33!$H$7:$H$874,BS_RE33!$S$7:$S$874,$AB$2,BS_RE33!$N$7:$N$874,I52,BS_RE33!$P$7:$P$874,'30 days CF Table(NZD)'!G52,BS_RE33!$F$7:$F$874,'30 days CF Table(NZD)'!$C$2)</f>
        <v>0</v>
      </c>
      <c r="AC52" s="337">
        <f>SUMIFS(BS_RE33!$H$7:$H$874,BS_RE33!$S$7:$S$874,$AC$2,BS_RE33!$N$7:$N$874,I52,BS_RE33!$P$7:$P$874,'30 days CF Table(NZD)'!G52,BS_RE33!$F$7:$F$874,'30 days CF Table(NZD)'!$C$2)</f>
        <v>0</v>
      </c>
      <c r="AD52" s="337">
        <f>SUMIFS(BS_RE33!$H$7:$H$874,BS_RE33!$S$7:$S$874,$AD$2,BS_RE33!$N$7:$N$874,I52,BS_RE33!$P$7:$P$874,'30 days CF Table(NZD)'!G52,BS_RE33!$F$7:$F$874,'30 days CF Table(NZD)'!$C$2)</f>
        <v>0</v>
      </c>
      <c r="AE52" s="337">
        <f>SUMIFS(BS_RE33!$H$7:$H$874,BS_RE33!$S$7:$S$874,$AE$2,BS_RE33!$N$7:$N$874,I52,BS_RE33!$P$7:$P$874,'30 days CF Table(NZD)'!G52,BS_RE33!$F$7:$F$874,'30 days CF Table(NZD)'!$C$2)</f>
        <v>0</v>
      </c>
      <c r="AF52" s="337">
        <f>SUMIFS(BS_RE33!$H$7:$H$874,BS_RE33!$S$7:$S$874,$AF$2,BS_RE33!$N$7:$N$874,I52,BS_RE33!$P$7:$P$874,'30 days CF Table(NZD)'!G52,BS_RE33!$F$7:$F$874,'30 days CF Table(NZD)'!$C$2)</f>
        <v>0</v>
      </c>
      <c r="AG52" s="337">
        <f>SUMIFS(BS_RE33!$H$7:$H$874,BS_RE33!$S$7:$S$874,$AG$2,BS_RE33!$N$7:$N$874,I52,BS_RE33!$P$7:$P$874,'30 days CF Table(NZD)'!G52,BS_RE33!$F$7:$F$874,'30 days CF Table(NZD)'!$C$2)</f>
        <v>0</v>
      </c>
      <c r="AH52" s="337">
        <f>SUMIFS(BS_RE33!$H$7:$H$874,BS_RE33!$S$7:$S$874,$AH$2,BS_RE33!$N$7:$N$874,I52,BS_RE33!$P$7:$P$874,'30 days CF Table(NZD)'!G52,BS_RE33!$F$7:$F$874,'30 days CF Table(NZD)'!$C$2)</f>
        <v>0</v>
      </c>
      <c r="AI52" s="337">
        <f>SUMIFS(BS_RE33!$H$7:$H$874,BS_RE33!$S$7:$S$874,$AI$2,BS_RE33!$N$7:$N$874,I52,BS_RE33!$P$7:$P$874,'30 days CF Table(NZD)'!G52,BS_RE33!$F$7:$F$874,'30 days CF Table(NZD)'!$C$2)</f>
        <v>0</v>
      </c>
      <c r="AJ52" s="337">
        <f>SUMIFS(BS_RE33!$H$7:$H$874,BS_RE33!$S$7:$S$874,$AJ$2,BS_RE33!$N$7:$N$874,I52,BS_RE33!$P$7:$P$874,'30 days CF Table(NZD)'!G52,BS_RE33!$F$7:$F$874,'30 days CF Table(NZD)'!$C$2)</f>
        <v>0</v>
      </c>
      <c r="AK52" s="337">
        <f>SUMIFS(BS_RE33!$H$7:$H$874,BS_RE33!$S$7:$S$874,$AK$2,BS_RE33!$N$7:$N$874,I52,BS_RE33!$P$7:$P$874,'30 days CF Table(NZD)'!G52,BS_RE33!$F$7:$F$874,'30 days CF Table(NZD)'!$C$2)</f>
        <v>0</v>
      </c>
      <c r="AL52" s="337">
        <f>SUMIFS(BS_RE33!$H$7:$H$874,BS_RE33!$S$7:$S$874,$AL$2,BS_RE33!$N$7:$N$874,I52,BS_RE33!$P$7:$P$874,'30 days CF Table(NZD)'!G52,BS_RE33!$F$7:$F$874,'30 days CF Table(NZD)'!$C$2)</f>
        <v>0</v>
      </c>
      <c r="AM52" s="337">
        <f>SUMIFS(BS_RE33!$H$7:$H$874,BS_RE33!$S$7:$S$874,$AM$2,BS_RE33!$N$7:$N$874,I52,BS_RE33!$P$7:$P$874,'30 days CF Table(NZD)'!G52,BS_RE33!$F$7:$F$874,'30 days CF Table(NZD)'!$C$2)</f>
        <v>0</v>
      </c>
      <c r="AN52" s="337">
        <f>SUMIFS(BS_RE33!$H$7:$H$874,BS_RE33!$S$7:$S$874,$AN$2,BS_RE33!$N$7:$N$874,I52,BS_RE33!$P$7:$P$874,'30 days CF Table(NZD)'!G52,BS_RE33!$F$7:$F$874,'30 days CF Table(NZD)'!$C$2)</f>
        <v>0</v>
      </c>
      <c r="AO52" s="337">
        <f>SUMIFS(BS_RE33!$H$7:$H$874,BS_RE33!$S$7:$S$874,$AO$2,BS_RE33!$N$7:$N$874,I52,BS_RE33!$P$7:$P$874,'30 days CF Table(NZD)'!G52,BS_RE33!$F$7:$F$874,'30 days CF Table(NZD)'!$C$2)</f>
        <v>0</v>
      </c>
      <c r="AP52" s="338">
        <f>SUMIFS(BS_RE33!$H$7:$H$874,BS_RE33!$S$7:$S$874,$AP$2,BS_RE33!$N$7:$N$874,I52,BS_RE33!$P$7:$P$874,'30 days CF Table(NZD)'!G52,BS_RE33!$F$7:$F$874,'30 days CF Table(NZD)'!$C$2)</f>
        <v>0</v>
      </c>
      <c r="AR52" s="379">
        <f>SUMIFS(BS_RE33!$H$7:$H$874,BS_RE33!$S$7:$S$874,$AR$2,BS_RE33!$N$7:$N$874,I52,BS_RE33!$P$7:$P$874,'30 days CF Table(NZD)'!G52,BS_RE33!$F$7:$F$874,'30 days CF Table(NZD)'!$C$2)</f>
        <v>0</v>
      </c>
      <c r="AS52" s="379">
        <f>SUMIFS(BS_RE33!$H$7:$H$874,BS_RE33!$S$7:$S$874,$AS$2,BS_RE33!$N$7:$N$874,I52,BS_RE33!$P$7:$P$874,'30 days CF Table(NZD)'!G52,BS_RE33!$F$7:$F$874,'30 days CF Table(NZD)'!$C$2)</f>
        <v>0</v>
      </c>
      <c r="AT52" s="379">
        <f>SUMIFS(BS_RE33!$H$7:$H$874,BS_RE33!$S$7:$S$874,$AT$2,BS_RE33!$N$7:$N$874,I52,BS_RE33!$P$7:$P$874,'30 days CF Table(NZD)'!G52,BS_RE33!$F$7:$F$874,'30 days CF Table(NZD)'!$C$2)</f>
        <v>0</v>
      </c>
      <c r="AU52" s="379">
        <f>SUMIFS(BS_RE33!$H$7:$H$874,BS_RE33!$S$7:$S$874,$AU$2,BS_RE33!$N$7:$N$874,I52,BS_RE33!$P$7:$P$874,'30 days CF Table(NZD)'!G52,BS_RE33!$F$7:$F$874,'30 days CF Table(NZD)'!$C$2)</f>
        <v>0</v>
      </c>
      <c r="AV52" s="379">
        <f>SUMIFS(BS_RE33!$H$7:$H$874,BS_RE33!$S$7:$S$874,$AV$2,BS_RE33!$N$7:$N$874,I52,BS_RE33!$P$7:$P$874,'30 days CF Table(NZD)'!G52,BS_RE33!$F$7:$F$874,'30 days CF Table(NZD)'!$C$2)</f>
        <v>0</v>
      </c>
      <c r="AW52" s="379">
        <f>SUMIFS(BS_RE33!$H$7:$H$874,BS_RE33!$S$7:$S$874,$AW$2,BS_RE33!$N$7:$N$874,I52,BS_RE33!$P$7:$P$874,'30 days CF Table(NZD)'!G52,BS_RE33!$F$7:$F$874,'30 days CF Table(NZD)'!$C$2)</f>
        <v>0</v>
      </c>
      <c r="AX52" s="379">
        <f>SUMIFS(BS_RE33!$H$7:$H$874,BS_RE33!$S$7:$S$874,$AX$2,BS_RE33!$N$7:$N$874,I52,BS_RE33!$P$7:$P$874,'30 days CF Table(NZD)'!G52,BS_RE33!$F$7:$F$874,'30 days CF Table(NZD)'!$C$2)</f>
        <v>0</v>
      </c>
      <c r="AY52" s="379">
        <f>SUMIFS(BS_RE33!$H$7:$H$874,BS_RE33!$S$7:$S$874,$AY$2,BS_RE33!$N$7:$N$874,I52,BS_RE33!$P$7:$P$874,'30 days CF Table(NZD)'!G52,BS_RE33!$F$7:$F$874,'30 days CF Table(NZD)'!$C$2)</f>
        <v>0</v>
      </c>
      <c r="AZ52" s="379">
        <f>SUMIFS(BS_RE33!$H$7:$H$874,BS_RE33!$S$7:$S$874,$AZ$2,BS_RE33!$N$7:$N$874,I52,BS_RE33!$P$7:$P$874,'30 days CF Table(NZD)'!G52,BS_RE33!$F$7:$F$874,'30 days CF Table(NZD)'!$C$2)</f>
        <v>0</v>
      </c>
      <c r="BA52" s="379">
        <f>SUMIFS(BS_RE33!$H$7:$H$874,BS_RE33!$S$7:$S$874,$BA$2,BS_RE33!$N$7:$N$874,I52,BS_RE33!$P$7:$P$874,'30 days CF Table(NZD)'!G52,BS_RE33!$F$7:$F$874,'30 days CF Table(NZD)'!$C$2)</f>
        <v>0</v>
      </c>
      <c r="BB52" s="379">
        <f>SUMIFS(BS_RE33!$H$7:$H$874,BS_RE33!$S$7:$S$874,$BB$2,BS_RE33!$N$7:$N$874,I52,BS_RE33!$P$7:$P$874,'30 days CF Table(NZD)'!G52,BS_RE33!$F$7:$F$874,'30 days CF Table(NZD)'!$C$2)</f>
        <v>0</v>
      </c>
      <c r="BC52" s="379">
        <f>SUMIFS(BS_RE33!$H$7:$H$874,BS_RE33!$S$7:$S$874,$BC$2,BS_RE33!$N$7:$N$874,I52,BS_RE33!$P$7:$P$874,'30 days CF Table(NZD)'!G52,BS_RE33!$F$7:$F$874,'30 days CF Table(NZD)'!$C$2)</f>
        <v>0</v>
      </c>
      <c r="BD52" s="379">
        <f>SUMIFS(BS_RE33!$H$7:$H$874,BS_RE33!$S$7:$S$874,$BD$2,BS_RE33!$N$7:$N$874,I52,BS_RE33!$P$7:$P$874,'30 days CF Table(NZD)'!G52,BS_RE33!$F$7:$F$874,'30 days CF Table(NZD)'!$C$2)</f>
        <v>0</v>
      </c>
      <c r="BE52" s="379">
        <f>SUMIFS(BS_RE33!$H$7:$H$874,BS_RE33!$S$7:$S$874,$BE$2,BS_RE33!$N$7:$N$874,I52,BS_RE33!$P$7:$P$874,'30 days CF Table(NZD)'!G52,BS_RE33!$F$7:$F$874,'30 days CF Table(NZD)'!$C$2)</f>
        <v>0</v>
      </c>
      <c r="BF52" s="379">
        <f>SUMIFS(BS_RE33!$H$7:$H$874,BS_RE33!$S$7:$S$874,$BF$2,BS_RE33!$N$7:$N$874,I52,BS_RE33!$P$7:$P$874,'30 days CF Table(NZD)'!G52,BS_RE33!$F$7:$F$874,'30 days CF Table(NZD)'!$C$2)</f>
        <v>0</v>
      </c>
      <c r="BG52" s="379">
        <f>SUMIFS(BS_RE33!$H$7:$H$874,BS_RE33!$S$7:$S$874,$BG$2,BS_RE33!$N$7:$N$874,I52,BS_RE33!$P$7:$P$874,'30 days CF Table(NZD)'!G52,BS_RE33!$F$7:$F$874,'30 days CF Table(NZD)'!$C$2)</f>
        <v>0</v>
      </c>
      <c r="BH52" s="379">
        <f>SUMIFS(BS_RE33!$H$7:$H$874,BS_RE33!$S$7:$S$874,$BH$2,BS_RE33!$N$7:$N$874,I52,BS_RE33!$P$7:$P$874,'30 days CF Table(NZD)'!G52,BS_RE33!$F$7:$F$874,'30 days CF Table(NZD)'!$C$2)</f>
        <v>0</v>
      </c>
      <c r="BI52" s="379">
        <f>SUMIFS(BS_RE33!$H$7:$H$874,BS_RE33!$S$7:$S$874,$BI$2,BS_RE33!$N$7:$N$874,I52,BS_RE33!$P$7:$P$874,'30 days CF Table(NZD)'!G52,BS_RE33!$F$7:$F$874,'30 days CF Table(NZD)'!$C$2)</f>
        <v>0</v>
      </c>
      <c r="BJ52" s="379">
        <f>SUMIFS(BS_RE33!$H$7:$H$874,BS_RE33!$S$7:$S$874,$BJ$2,BS_RE33!$N$7:$N$874,I52,BS_RE33!$P$7:$P$874,'30 days CF Table(NZD)'!G52,BS_RE33!$F$7:$F$874,'30 days CF Table(NZD)'!$C$2)</f>
        <v>0</v>
      </c>
      <c r="BK52" s="379">
        <f>SUMIFS(BS_RE33!$H$7:$H$874,BS_RE33!$S$7:$S$874,$BK$2,BS_RE33!$N$7:$N$874,I52,BS_RE33!$P$7:$P$874,'30 days CF Table(NZD)'!G52,BS_RE33!$F$7:$F$874,'30 days CF Table(NZD)'!$C$2)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Table(NZD)'!G53,BS_RE33!$F$7:$F$874,'30 days CF Table(NZD)'!$C$2)</f>
        <v>0</v>
      </c>
      <c r="M53" s="337">
        <f>SUMIFS(BS_RE33!$H$7:$H$874,BS_RE33!$S$7:$S$874,$M$2,BS_RE33!$N$7:$N$874,I53,BS_RE33!$P$7:$P$874,'30 days CF Table(NZD)'!G53,BS_RE33!$F$7:$F$874,'30 days CF Table(NZD)'!$C$2)</f>
        <v>0</v>
      </c>
      <c r="N53" s="337">
        <f>SUMIFS(BS_RE33!$H$7:$H$874,BS_RE33!$S$7:$S$874,$N$2,BS_RE33!$N$7:$N$874,I53,BS_RE33!$P$7:$P$874,'30 days CF Table(NZD)'!G53,BS_RE33!$F$7:$F$874,'30 days CF Table(NZD)'!$C$2)</f>
        <v>0</v>
      </c>
      <c r="O53" s="337">
        <f>SUMIFS(BS_RE33!$H$7:$H$874,BS_RE33!$S$7:$S$874,$O$2,BS_RE33!$N$7:$N$874,I53,BS_RE33!$P$7:$P$874,'30 days CF Table(NZD)'!G53,BS_RE33!$F$7:$F$874,'30 days CF Table(NZD)'!$C$2)</f>
        <v>0</v>
      </c>
      <c r="P53" s="337">
        <f>SUMIFS(BS_RE33!$H$7:$H$874,BS_RE33!$S$7:$S$874,$P$2,BS_RE33!$N$7:$N$874,I53,BS_RE33!$P$7:$P$874,'30 days CF Table(NZD)'!G53,BS_RE33!$F$7:$F$874,'30 days CF Table(NZD)'!$C$2)</f>
        <v>0</v>
      </c>
      <c r="Q53" s="337">
        <f>SUMIFS(BS_RE33!$H$7:$H$874,BS_RE33!$S$7:$S$874,$Q$2,BS_RE33!$N$7:$N$874,I53,BS_RE33!$P$7:$P$874,'30 days CF Table(NZD)'!G53,BS_RE33!$F$7:$F$874,'30 days CF Table(NZD)'!$C$2)</f>
        <v>0</v>
      </c>
      <c r="R53" s="337">
        <f>SUMIFS(BS_RE33!$H$7:$H$874,BS_RE33!$S$7:$S$874,$R$2,BS_RE33!$N$7:$N$874,I53,BS_RE33!$P$7:$P$874,'30 days CF Table(NZD)'!G53,BS_RE33!$F$7:$F$874,'30 days CF Table(NZD)'!$C$2)</f>
        <v>0</v>
      </c>
      <c r="S53" s="337">
        <f>SUMIFS(BS_RE33!$H$7:$H$874,BS_RE33!$S$7:$S$874,$S$2,BS_RE33!$N$7:$N$874,I53,BS_RE33!$P$7:$P$874,'30 days CF Table(NZD)'!G53,BS_RE33!$F$7:$F$874,'30 days CF Table(NZD)'!$C$2)</f>
        <v>0</v>
      </c>
      <c r="T53" s="337">
        <f>SUMIFS(BS_RE33!$H$7:$H$874,BS_RE33!$S$7:$S$874,$T$2,BS_RE33!$N$7:$N$874,I53,BS_RE33!$P$7:$P$874,'30 days CF Table(NZD)'!G53,BS_RE33!$F$7:$F$874,'30 days CF Table(NZD)'!$C$2)</f>
        <v>0</v>
      </c>
      <c r="U53" s="337">
        <f>SUMIFS(BS_RE33!$H$7:$H$874,BS_RE33!$S$7:$S$874,$U$2,BS_RE33!$N$7:$N$874,I53,BS_RE33!$P$7:$P$874,'30 days CF Table(NZD)'!G53,BS_RE33!$F$7:$F$874,'30 days CF Table(NZD)'!$C$2)</f>
        <v>0</v>
      </c>
      <c r="V53" s="337">
        <f>SUMIFS(BS_RE33!$H$7:$H$874,BS_RE33!$S$7:$S$874,$V$2,BS_RE33!$N$7:$N$874,I53,BS_RE33!$P$7:$P$874,'30 days CF Table(NZD)'!G53,BS_RE33!$F$7:$F$874,'30 days CF Table(NZD)'!$C$2)</f>
        <v>0</v>
      </c>
      <c r="W53" s="337">
        <f>SUMIFS(BS_RE33!$H$7:$H$874,BS_RE33!$S$7:$S$874,$W$2,BS_RE33!$N$7:$N$874,I53,BS_RE33!$P$7:$P$874,'30 days CF Table(NZD)'!G53,BS_RE33!$F$7:$F$874,'30 days CF Table(NZD)'!$C$2)</f>
        <v>0</v>
      </c>
      <c r="X53" s="337">
        <f>SUMIFS(BS_RE33!$H$7:$H$874,BS_RE33!$S$7:$S$874,$X$2,BS_RE33!$N$7:$N$874,I53,BS_RE33!$P$7:$P$874,'30 days CF Table(NZD)'!G53,BS_RE33!$F$7:$F$874,'30 days CF Table(NZD)'!$C$2)</f>
        <v>0</v>
      </c>
      <c r="Y53" s="337">
        <f>SUMIFS(BS_RE33!$H$7:$H$874,BS_RE33!$S$7:$S$874,$Y$2,BS_RE33!$N$7:$N$874,I53,BS_RE33!$P$7:$P$874,'30 days CF Table(NZD)'!G53,BS_RE33!$F$7:$F$874,'30 days CF Table(NZD)'!$C$2)</f>
        <v>0</v>
      </c>
      <c r="Z53" s="337">
        <f>SUMIFS(BS_RE33!$H$7:$H$874,BS_RE33!$S$7:$S$874,$Z$2,BS_RE33!$N$7:$N$874,I53,BS_RE33!$P$7:$P$874,'30 days CF Table(NZD)'!G53,BS_RE33!$F$7:$F$874,'30 days CF Table(NZD)'!$C$2)</f>
        <v>0</v>
      </c>
      <c r="AA53" s="337">
        <f>SUMIFS(BS_RE33!$H$7:$H$874,BS_RE33!$S$7:$S$874,$AA$2,BS_RE33!$N$7:$N$874,I53,BS_RE33!$P$7:$P$874,'30 days CF Table(NZD)'!G53,BS_RE33!$F$7:$F$874,'30 days CF Table(NZD)'!$C$2)</f>
        <v>0</v>
      </c>
      <c r="AB53" s="337">
        <f>SUMIFS(BS_RE33!$H$7:$H$874,BS_RE33!$S$7:$S$874,$AB$2,BS_RE33!$N$7:$N$874,I53,BS_RE33!$P$7:$P$874,'30 days CF Table(NZD)'!G53,BS_RE33!$F$7:$F$874,'30 days CF Table(NZD)'!$C$2)</f>
        <v>0</v>
      </c>
      <c r="AC53" s="337">
        <f>SUMIFS(BS_RE33!$H$7:$H$874,BS_RE33!$S$7:$S$874,$AC$2,BS_RE33!$N$7:$N$874,I53,BS_RE33!$P$7:$P$874,'30 days CF Table(NZD)'!G53,BS_RE33!$F$7:$F$874,'30 days CF Table(NZD)'!$C$2)</f>
        <v>0</v>
      </c>
      <c r="AD53" s="337">
        <f>SUMIFS(BS_RE33!$H$7:$H$874,BS_RE33!$S$7:$S$874,$AD$2,BS_RE33!$N$7:$N$874,I53,BS_RE33!$P$7:$P$874,'30 days CF Table(NZD)'!G53,BS_RE33!$F$7:$F$874,'30 days CF Table(NZD)'!$C$2)</f>
        <v>0</v>
      </c>
      <c r="AE53" s="337">
        <f>SUMIFS(BS_RE33!$H$7:$H$874,BS_RE33!$S$7:$S$874,$AE$2,BS_RE33!$N$7:$N$874,I53,BS_RE33!$P$7:$P$874,'30 days CF Table(NZD)'!G53,BS_RE33!$F$7:$F$874,'30 days CF Table(NZD)'!$C$2)</f>
        <v>0</v>
      </c>
      <c r="AF53" s="337">
        <f>SUMIFS(BS_RE33!$H$7:$H$874,BS_RE33!$S$7:$S$874,$AF$2,BS_RE33!$N$7:$N$874,I53,BS_RE33!$P$7:$P$874,'30 days CF Table(NZD)'!G53,BS_RE33!$F$7:$F$874,'30 days CF Table(NZD)'!$C$2)</f>
        <v>0</v>
      </c>
      <c r="AG53" s="337">
        <f>SUMIFS(BS_RE33!$H$7:$H$874,BS_RE33!$S$7:$S$874,$AG$2,BS_RE33!$N$7:$N$874,I53,BS_RE33!$P$7:$P$874,'30 days CF Table(NZD)'!G53,BS_RE33!$F$7:$F$874,'30 days CF Table(NZD)'!$C$2)</f>
        <v>0</v>
      </c>
      <c r="AH53" s="337">
        <f>SUMIFS(BS_RE33!$H$7:$H$874,BS_RE33!$S$7:$S$874,$AH$2,BS_RE33!$N$7:$N$874,I53,BS_RE33!$P$7:$P$874,'30 days CF Table(NZD)'!G53,BS_RE33!$F$7:$F$874,'30 days CF Table(NZD)'!$C$2)</f>
        <v>0</v>
      </c>
      <c r="AI53" s="337">
        <f>SUMIFS(BS_RE33!$H$7:$H$874,BS_RE33!$S$7:$S$874,$AI$2,BS_RE33!$N$7:$N$874,I53,BS_RE33!$P$7:$P$874,'30 days CF Table(NZD)'!G53,BS_RE33!$F$7:$F$874,'30 days CF Table(NZD)'!$C$2)</f>
        <v>0</v>
      </c>
      <c r="AJ53" s="337">
        <f>SUMIFS(BS_RE33!$H$7:$H$874,BS_RE33!$S$7:$S$874,$AJ$2,BS_RE33!$N$7:$N$874,I53,BS_RE33!$P$7:$P$874,'30 days CF Table(NZD)'!G53,BS_RE33!$F$7:$F$874,'30 days CF Table(NZD)'!$C$2)</f>
        <v>0</v>
      </c>
      <c r="AK53" s="337">
        <f>SUMIFS(BS_RE33!$H$7:$H$874,BS_RE33!$S$7:$S$874,$AK$2,BS_RE33!$N$7:$N$874,I53,BS_RE33!$P$7:$P$874,'30 days CF Table(NZD)'!G53,BS_RE33!$F$7:$F$874,'30 days CF Table(NZD)'!$C$2)</f>
        <v>0</v>
      </c>
      <c r="AL53" s="337">
        <f>SUMIFS(BS_RE33!$H$7:$H$874,BS_RE33!$S$7:$S$874,$AL$2,BS_RE33!$N$7:$N$874,I53,BS_RE33!$P$7:$P$874,'30 days CF Table(NZD)'!G53,BS_RE33!$F$7:$F$874,'30 days CF Table(NZD)'!$C$2)</f>
        <v>0</v>
      </c>
      <c r="AM53" s="337">
        <f>SUMIFS(BS_RE33!$H$7:$H$874,BS_RE33!$S$7:$S$874,$AM$2,BS_RE33!$N$7:$N$874,I53,BS_RE33!$P$7:$P$874,'30 days CF Table(NZD)'!G53,BS_RE33!$F$7:$F$874,'30 days CF Table(NZD)'!$C$2)</f>
        <v>0</v>
      </c>
      <c r="AN53" s="337">
        <f>SUMIFS(BS_RE33!$H$7:$H$874,BS_RE33!$S$7:$S$874,$AN$2,BS_RE33!$N$7:$N$874,I53,BS_RE33!$P$7:$P$874,'30 days CF Table(NZD)'!G53,BS_RE33!$F$7:$F$874,'30 days CF Table(NZD)'!$C$2)</f>
        <v>0</v>
      </c>
      <c r="AO53" s="337">
        <f>SUMIFS(BS_RE33!$H$7:$H$874,BS_RE33!$S$7:$S$874,$AO$2,BS_RE33!$N$7:$N$874,I53,BS_RE33!$P$7:$P$874,'30 days CF Table(NZD)'!G53,BS_RE33!$F$7:$F$874,'30 days CF Table(NZD)'!$C$2)</f>
        <v>0</v>
      </c>
      <c r="AP53" s="338">
        <f>SUMIFS(BS_RE33!$H$7:$H$874,BS_RE33!$S$7:$S$874,$AP$2,BS_RE33!$N$7:$N$874,I53,BS_RE33!$P$7:$P$874,'30 days CF Table(NZD)'!G53,BS_RE33!$F$7:$F$874,'30 days CF Table(NZD)'!$C$2)</f>
        <v>0</v>
      </c>
      <c r="AR53" s="379">
        <f>SUMIFS(BS_RE33!$H$7:$H$874,BS_RE33!$S$7:$S$874,$AR$2,BS_RE33!$N$7:$N$874,I53,BS_RE33!$P$7:$P$874,'30 days CF Table(NZD)'!G53,BS_RE33!$F$7:$F$874,'30 days CF Table(NZD)'!$C$2)</f>
        <v>0</v>
      </c>
      <c r="AS53" s="379">
        <f>SUMIFS(BS_RE33!$H$7:$H$874,BS_RE33!$S$7:$S$874,$AS$2,BS_RE33!$N$7:$N$874,I53,BS_RE33!$P$7:$P$874,'30 days CF Table(NZD)'!G53,BS_RE33!$F$7:$F$874,'30 days CF Table(NZD)'!$C$2)</f>
        <v>0</v>
      </c>
      <c r="AT53" s="379">
        <f>SUMIFS(BS_RE33!$H$7:$H$874,BS_RE33!$S$7:$S$874,$AT$2,BS_RE33!$N$7:$N$874,I53,BS_RE33!$P$7:$P$874,'30 days CF Table(NZD)'!G53,BS_RE33!$F$7:$F$874,'30 days CF Table(NZD)'!$C$2)</f>
        <v>0</v>
      </c>
      <c r="AU53" s="379">
        <f>SUMIFS(BS_RE33!$H$7:$H$874,BS_RE33!$S$7:$S$874,$AU$2,BS_RE33!$N$7:$N$874,I53,BS_RE33!$P$7:$P$874,'30 days CF Table(NZD)'!G53,BS_RE33!$F$7:$F$874,'30 days CF Table(NZD)'!$C$2)</f>
        <v>0</v>
      </c>
      <c r="AV53" s="379">
        <f>SUMIFS(BS_RE33!$H$7:$H$874,BS_RE33!$S$7:$S$874,$AV$2,BS_RE33!$N$7:$N$874,I53,BS_RE33!$P$7:$P$874,'30 days CF Table(NZD)'!G53,BS_RE33!$F$7:$F$874,'30 days CF Table(NZD)'!$C$2)</f>
        <v>0</v>
      </c>
      <c r="AW53" s="379">
        <f>SUMIFS(BS_RE33!$H$7:$H$874,BS_RE33!$S$7:$S$874,$AW$2,BS_RE33!$N$7:$N$874,I53,BS_RE33!$P$7:$P$874,'30 days CF Table(NZD)'!G53,BS_RE33!$F$7:$F$874,'30 days CF Table(NZD)'!$C$2)</f>
        <v>0</v>
      </c>
      <c r="AX53" s="379">
        <f>SUMIFS(BS_RE33!$H$7:$H$874,BS_RE33!$S$7:$S$874,$AX$2,BS_RE33!$N$7:$N$874,I53,BS_RE33!$P$7:$P$874,'30 days CF Table(NZD)'!G53,BS_RE33!$F$7:$F$874,'30 days CF Table(NZD)'!$C$2)</f>
        <v>0</v>
      </c>
      <c r="AY53" s="379">
        <f>SUMIFS(BS_RE33!$H$7:$H$874,BS_RE33!$S$7:$S$874,$AY$2,BS_RE33!$N$7:$N$874,I53,BS_RE33!$P$7:$P$874,'30 days CF Table(NZD)'!G53,BS_RE33!$F$7:$F$874,'30 days CF Table(NZD)'!$C$2)</f>
        <v>0</v>
      </c>
      <c r="AZ53" s="379">
        <f>SUMIFS(BS_RE33!$H$7:$H$874,BS_RE33!$S$7:$S$874,$AZ$2,BS_RE33!$N$7:$N$874,I53,BS_RE33!$P$7:$P$874,'30 days CF Table(NZD)'!G53,BS_RE33!$F$7:$F$874,'30 days CF Table(NZD)'!$C$2)</f>
        <v>0</v>
      </c>
      <c r="BA53" s="379">
        <f>SUMIFS(BS_RE33!$H$7:$H$874,BS_RE33!$S$7:$S$874,$BA$2,BS_RE33!$N$7:$N$874,I53,BS_RE33!$P$7:$P$874,'30 days CF Table(NZD)'!G53,BS_RE33!$F$7:$F$874,'30 days CF Table(NZD)'!$C$2)</f>
        <v>0</v>
      </c>
      <c r="BB53" s="379">
        <f>SUMIFS(BS_RE33!$H$7:$H$874,BS_RE33!$S$7:$S$874,$BB$2,BS_RE33!$N$7:$N$874,I53,BS_RE33!$P$7:$P$874,'30 days CF Table(NZD)'!G53,BS_RE33!$F$7:$F$874,'30 days CF Table(NZD)'!$C$2)</f>
        <v>0</v>
      </c>
      <c r="BC53" s="379">
        <f>SUMIFS(BS_RE33!$H$7:$H$874,BS_RE33!$S$7:$S$874,$BC$2,BS_RE33!$N$7:$N$874,I53,BS_RE33!$P$7:$P$874,'30 days CF Table(NZD)'!G53,BS_RE33!$F$7:$F$874,'30 days CF Table(NZD)'!$C$2)</f>
        <v>0</v>
      </c>
      <c r="BD53" s="379">
        <f>SUMIFS(BS_RE33!$H$7:$H$874,BS_RE33!$S$7:$S$874,$BD$2,BS_RE33!$N$7:$N$874,I53,BS_RE33!$P$7:$P$874,'30 days CF Table(NZD)'!G53,BS_RE33!$F$7:$F$874,'30 days CF Table(NZD)'!$C$2)</f>
        <v>0</v>
      </c>
      <c r="BE53" s="379">
        <f>SUMIFS(BS_RE33!$H$7:$H$874,BS_RE33!$S$7:$S$874,$BE$2,BS_RE33!$N$7:$N$874,I53,BS_RE33!$P$7:$P$874,'30 days CF Table(NZD)'!G53,BS_RE33!$F$7:$F$874,'30 days CF Table(NZD)'!$C$2)</f>
        <v>0</v>
      </c>
      <c r="BF53" s="379">
        <f>SUMIFS(BS_RE33!$H$7:$H$874,BS_RE33!$S$7:$S$874,$BF$2,BS_RE33!$N$7:$N$874,I53,BS_RE33!$P$7:$P$874,'30 days CF Table(NZD)'!G53,BS_RE33!$F$7:$F$874,'30 days CF Table(NZD)'!$C$2)</f>
        <v>0</v>
      </c>
      <c r="BG53" s="379">
        <f>SUMIFS(BS_RE33!$H$7:$H$874,BS_RE33!$S$7:$S$874,$BG$2,BS_RE33!$N$7:$N$874,I53,BS_RE33!$P$7:$P$874,'30 days CF Table(NZD)'!G53,BS_RE33!$F$7:$F$874,'30 days CF Table(NZD)'!$C$2)</f>
        <v>0</v>
      </c>
      <c r="BH53" s="379">
        <f>SUMIFS(BS_RE33!$H$7:$H$874,BS_RE33!$S$7:$S$874,$BH$2,BS_RE33!$N$7:$N$874,I53,BS_RE33!$P$7:$P$874,'30 days CF Table(NZD)'!G53,BS_RE33!$F$7:$F$874,'30 days CF Table(NZD)'!$C$2)</f>
        <v>0</v>
      </c>
      <c r="BI53" s="379">
        <f>SUMIFS(BS_RE33!$H$7:$H$874,BS_RE33!$S$7:$S$874,$BI$2,BS_RE33!$N$7:$N$874,I53,BS_RE33!$P$7:$P$874,'30 days CF Table(NZD)'!G53,BS_RE33!$F$7:$F$874,'30 days CF Table(NZD)'!$C$2)</f>
        <v>0</v>
      </c>
      <c r="BJ53" s="379">
        <f>SUMIFS(BS_RE33!$H$7:$H$874,BS_RE33!$S$7:$S$874,$BJ$2,BS_RE33!$N$7:$N$874,I53,BS_RE33!$P$7:$P$874,'30 days CF Table(NZD)'!G53,BS_RE33!$F$7:$F$874,'30 days CF Table(NZD)'!$C$2)</f>
        <v>0</v>
      </c>
      <c r="BK53" s="379">
        <f>SUMIFS(BS_RE33!$H$7:$H$874,BS_RE33!$S$7:$S$874,$BK$2,BS_RE33!$N$7:$N$874,I53,BS_RE33!$P$7:$P$874,'30 days CF Table(NZD)'!G53,BS_RE33!$F$7:$F$874,'30 days CF Table(NZD)'!$C$2)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Table(NZD)'!G54,BS_RE33!$F$7:$F$874,'30 days CF Table(NZD)'!$C$2)</f>
        <v>0</v>
      </c>
      <c r="M54" s="337">
        <f>SUMIFS(BS_RE33!$H$7:$H$874,BS_RE33!$S$7:$S$874,$M$2,BS_RE33!$N$7:$N$874,I54,BS_RE33!$P$7:$P$874,'30 days CF Table(NZD)'!G54,BS_RE33!$F$7:$F$874,'30 days CF Table(NZD)'!$C$2)</f>
        <v>0</v>
      </c>
      <c r="N54" s="337">
        <f>SUMIFS(BS_RE33!$H$7:$H$874,BS_RE33!$S$7:$S$874,$N$2,BS_RE33!$N$7:$N$874,I54,BS_RE33!$P$7:$P$874,'30 days CF Table(NZD)'!G54,BS_RE33!$F$7:$F$874,'30 days CF Table(NZD)'!$C$2)</f>
        <v>0</v>
      </c>
      <c r="O54" s="337">
        <f>SUMIFS(BS_RE33!$H$7:$H$874,BS_RE33!$S$7:$S$874,$O$2,BS_RE33!$N$7:$N$874,I54,BS_RE33!$P$7:$P$874,'30 days CF Table(NZD)'!G54,BS_RE33!$F$7:$F$874,'30 days CF Table(NZD)'!$C$2)</f>
        <v>0</v>
      </c>
      <c r="P54" s="337">
        <f>SUMIFS(BS_RE33!$H$7:$H$874,BS_RE33!$S$7:$S$874,$P$2,BS_RE33!$N$7:$N$874,I54,BS_RE33!$P$7:$P$874,'30 days CF Table(NZD)'!G54,BS_RE33!$F$7:$F$874,'30 days CF Table(NZD)'!$C$2)</f>
        <v>0</v>
      </c>
      <c r="Q54" s="337">
        <f>SUMIFS(BS_RE33!$H$7:$H$874,BS_RE33!$S$7:$S$874,$Q$2,BS_RE33!$N$7:$N$874,I54,BS_RE33!$P$7:$P$874,'30 days CF Table(NZD)'!G54,BS_RE33!$F$7:$F$874,'30 days CF Table(NZD)'!$C$2)</f>
        <v>0</v>
      </c>
      <c r="R54" s="337">
        <f>SUMIFS(BS_RE33!$H$7:$H$874,BS_RE33!$S$7:$S$874,$R$2,BS_RE33!$N$7:$N$874,I54,BS_RE33!$P$7:$P$874,'30 days CF Table(NZD)'!G54,BS_RE33!$F$7:$F$874,'30 days CF Table(NZD)'!$C$2)</f>
        <v>0</v>
      </c>
      <c r="S54" s="337">
        <f>SUMIFS(BS_RE33!$H$7:$H$874,BS_RE33!$S$7:$S$874,$S$2,BS_RE33!$N$7:$N$874,I54,BS_RE33!$P$7:$P$874,'30 days CF Table(NZD)'!G54,BS_RE33!$F$7:$F$874,'30 days CF Table(NZD)'!$C$2)</f>
        <v>0</v>
      </c>
      <c r="T54" s="337">
        <f>SUMIFS(BS_RE33!$H$7:$H$874,BS_RE33!$S$7:$S$874,$T$2,BS_RE33!$N$7:$N$874,I54,BS_RE33!$P$7:$P$874,'30 days CF Table(NZD)'!G54,BS_RE33!$F$7:$F$874,'30 days CF Table(NZD)'!$C$2)</f>
        <v>0</v>
      </c>
      <c r="U54" s="337">
        <f>SUMIFS(BS_RE33!$H$7:$H$874,BS_RE33!$S$7:$S$874,$U$2,BS_RE33!$N$7:$N$874,I54,BS_RE33!$P$7:$P$874,'30 days CF Table(NZD)'!G54,BS_RE33!$F$7:$F$874,'30 days CF Table(NZD)'!$C$2)</f>
        <v>0</v>
      </c>
      <c r="V54" s="337">
        <f>SUMIFS(BS_RE33!$H$7:$H$874,BS_RE33!$S$7:$S$874,$V$2,BS_RE33!$N$7:$N$874,I54,BS_RE33!$P$7:$P$874,'30 days CF Table(NZD)'!G54,BS_RE33!$F$7:$F$874,'30 days CF Table(NZD)'!$C$2)</f>
        <v>0</v>
      </c>
      <c r="W54" s="337">
        <f>SUMIFS(BS_RE33!$H$7:$H$874,BS_RE33!$S$7:$S$874,$W$2,BS_RE33!$N$7:$N$874,I54,BS_RE33!$P$7:$P$874,'30 days CF Table(NZD)'!G54,BS_RE33!$F$7:$F$874,'30 days CF Table(NZD)'!$C$2)</f>
        <v>0</v>
      </c>
      <c r="X54" s="337">
        <f>SUMIFS(BS_RE33!$H$7:$H$874,BS_RE33!$S$7:$S$874,$X$2,BS_RE33!$N$7:$N$874,I54,BS_RE33!$P$7:$P$874,'30 days CF Table(NZD)'!G54,BS_RE33!$F$7:$F$874,'30 days CF Table(NZD)'!$C$2)</f>
        <v>0</v>
      </c>
      <c r="Y54" s="337">
        <f>SUMIFS(BS_RE33!$H$7:$H$874,BS_RE33!$S$7:$S$874,$Y$2,BS_RE33!$N$7:$N$874,I54,BS_RE33!$P$7:$P$874,'30 days CF Table(NZD)'!G54,BS_RE33!$F$7:$F$874,'30 days CF Table(NZD)'!$C$2)</f>
        <v>0</v>
      </c>
      <c r="Z54" s="337">
        <f>SUMIFS(BS_RE33!$H$7:$H$874,BS_RE33!$S$7:$S$874,$Z$2,BS_RE33!$N$7:$N$874,I54,BS_RE33!$P$7:$P$874,'30 days CF Table(NZD)'!G54,BS_RE33!$F$7:$F$874,'30 days CF Table(NZD)'!$C$2)</f>
        <v>0</v>
      </c>
      <c r="AA54" s="337">
        <f>SUMIFS(BS_RE33!$H$7:$H$874,BS_RE33!$S$7:$S$874,$AA$2,BS_RE33!$N$7:$N$874,I54,BS_RE33!$P$7:$P$874,'30 days CF Table(NZD)'!G54,BS_RE33!$F$7:$F$874,'30 days CF Table(NZD)'!$C$2)</f>
        <v>0</v>
      </c>
      <c r="AB54" s="337">
        <f>SUMIFS(BS_RE33!$H$7:$H$874,BS_RE33!$S$7:$S$874,$AB$2,BS_RE33!$N$7:$N$874,I54,BS_RE33!$P$7:$P$874,'30 days CF Table(NZD)'!G54,BS_RE33!$F$7:$F$874,'30 days CF Table(NZD)'!$C$2)</f>
        <v>0</v>
      </c>
      <c r="AC54" s="337">
        <f>SUMIFS(BS_RE33!$H$7:$H$874,BS_RE33!$S$7:$S$874,$AC$2,BS_RE33!$N$7:$N$874,I54,BS_RE33!$P$7:$P$874,'30 days CF Table(NZD)'!G54,BS_RE33!$F$7:$F$874,'30 days CF Table(NZD)'!$C$2)</f>
        <v>0</v>
      </c>
      <c r="AD54" s="337">
        <f>SUMIFS(BS_RE33!$H$7:$H$874,BS_RE33!$S$7:$S$874,$AD$2,BS_RE33!$N$7:$N$874,I54,BS_RE33!$P$7:$P$874,'30 days CF Table(NZD)'!G54,BS_RE33!$F$7:$F$874,'30 days CF Table(NZD)'!$C$2)</f>
        <v>0</v>
      </c>
      <c r="AE54" s="337">
        <f>SUMIFS(BS_RE33!$H$7:$H$874,BS_RE33!$S$7:$S$874,$AE$2,BS_RE33!$N$7:$N$874,I54,BS_RE33!$P$7:$P$874,'30 days CF Table(NZD)'!G54,BS_RE33!$F$7:$F$874,'30 days CF Table(NZD)'!$C$2)</f>
        <v>0</v>
      </c>
      <c r="AF54" s="337">
        <f>SUMIFS(BS_RE33!$H$7:$H$874,BS_RE33!$S$7:$S$874,$AF$2,BS_RE33!$N$7:$N$874,I54,BS_RE33!$P$7:$P$874,'30 days CF Table(NZD)'!G54,BS_RE33!$F$7:$F$874,'30 days CF Table(NZD)'!$C$2)</f>
        <v>0</v>
      </c>
      <c r="AG54" s="337">
        <f>SUMIFS(BS_RE33!$H$7:$H$874,BS_RE33!$S$7:$S$874,$AG$2,BS_RE33!$N$7:$N$874,I54,BS_RE33!$P$7:$P$874,'30 days CF Table(NZD)'!G54,BS_RE33!$F$7:$F$874,'30 days CF Table(NZD)'!$C$2)</f>
        <v>0</v>
      </c>
      <c r="AH54" s="337">
        <f>SUMIFS(BS_RE33!$H$7:$H$874,BS_RE33!$S$7:$S$874,$AH$2,BS_RE33!$N$7:$N$874,I54,BS_RE33!$P$7:$P$874,'30 days CF Table(NZD)'!G54,BS_RE33!$F$7:$F$874,'30 days CF Table(NZD)'!$C$2)</f>
        <v>0</v>
      </c>
      <c r="AI54" s="337">
        <f>SUMIFS(BS_RE33!$H$7:$H$874,BS_RE33!$S$7:$S$874,$AI$2,BS_RE33!$N$7:$N$874,I54,BS_RE33!$P$7:$P$874,'30 days CF Table(NZD)'!G54,BS_RE33!$F$7:$F$874,'30 days CF Table(NZD)'!$C$2)</f>
        <v>0</v>
      </c>
      <c r="AJ54" s="337">
        <f>SUMIFS(BS_RE33!$H$7:$H$874,BS_RE33!$S$7:$S$874,$AJ$2,BS_RE33!$N$7:$N$874,I54,BS_RE33!$P$7:$P$874,'30 days CF Table(NZD)'!G54,BS_RE33!$F$7:$F$874,'30 days CF Table(NZD)'!$C$2)</f>
        <v>0</v>
      </c>
      <c r="AK54" s="337">
        <f>SUMIFS(BS_RE33!$H$7:$H$874,BS_RE33!$S$7:$S$874,$AK$2,BS_RE33!$N$7:$N$874,I54,BS_RE33!$P$7:$P$874,'30 days CF Table(NZD)'!G54,BS_RE33!$F$7:$F$874,'30 days CF Table(NZD)'!$C$2)</f>
        <v>0</v>
      </c>
      <c r="AL54" s="337">
        <f>SUMIFS(BS_RE33!$H$7:$H$874,BS_RE33!$S$7:$S$874,$AL$2,BS_RE33!$N$7:$N$874,I54,BS_RE33!$P$7:$P$874,'30 days CF Table(NZD)'!G54,BS_RE33!$F$7:$F$874,'30 days CF Table(NZD)'!$C$2)</f>
        <v>0</v>
      </c>
      <c r="AM54" s="337">
        <f>SUMIFS(BS_RE33!$H$7:$H$874,BS_RE33!$S$7:$S$874,$AM$2,BS_RE33!$N$7:$N$874,I54,BS_RE33!$P$7:$P$874,'30 days CF Table(NZD)'!G54,BS_RE33!$F$7:$F$874,'30 days CF Table(NZD)'!$C$2)</f>
        <v>0</v>
      </c>
      <c r="AN54" s="337">
        <f>SUMIFS(BS_RE33!$H$7:$H$874,BS_RE33!$S$7:$S$874,$AN$2,BS_RE33!$N$7:$N$874,I54,BS_RE33!$P$7:$P$874,'30 days CF Table(NZD)'!G54,BS_RE33!$F$7:$F$874,'30 days CF Table(NZD)'!$C$2)</f>
        <v>0</v>
      </c>
      <c r="AO54" s="337">
        <f>SUMIFS(BS_RE33!$H$7:$H$874,BS_RE33!$S$7:$S$874,$AO$2,BS_RE33!$N$7:$N$874,I54,BS_RE33!$P$7:$P$874,'30 days CF Table(NZD)'!G54,BS_RE33!$F$7:$F$874,'30 days CF Table(NZD)'!$C$2)</f>
        <v>0</v>
      </c>
      <c r="AP54" s="338">
        <f>SUMIFS(BS_RE33!$H$7:$H$874,BS_RE33!$S$7:$S$874,$AP$2,BS_RE33!$N$7:$N$874,I54,BS_RE33!$P$7:$P$874,'30 days CF Table(NZD)'!G54,BS_RE33!$F$7:$F$874,'30 days CF Table(NZD)'!$C$2)</f>
        <v>0</v>
      </c>
      <c r="AR54" s="379">
        <f>SUMIFS(BS_RE33!$H$7:$H$874,BS_RE33!$S$7:$S$874,$AR$2,BS_RE33!$N$7:$N$874,I54,BS_RE33!$P$7:$P$874,'30 days CF Table(NZD)'!G54,BS_RE33!$F$7:$F$874,'30 days CF Table(NZD)'!$C$2)</f>
        <v>0</v>
      </c>
      <c r="AS54" s="379">
        <f>SUMIFS(BS_RE33!$H$7:$H$874,BS_RE33!$S$7:$S$874,$AS$2,BS_RE33!$N$7:$N$874,I54,BS_RE33!$P$7:$P$874,'30 days CF Table(NZD)'!G54,BS_RE33!$F$7:$F$874,'30 days CF Table(NZD)'!$C$2)</f>
        <v>0</v>
      </c>
      <c r="AT54" s="379">
        <f>SUMIFS(BS_RE33!$H$7:$H$874,BS_RE33!$S$7:$S$874,$AT$2,BS_RE33!$N$7:$N$874,I54,BS_RE33!$P$7:$P$874,'30 days CF Table(NZD)'!G54,BS_RE33!$F$7:$F$874,'30 days CF Table(NZD)'!$C$2)</f>
        <v>0</v>
      </c>
      <c r="AU54" s="379">
        <f>SUMIFS(BS_RE33!$H$7:$H$874,BS_RE33!$S$7:$S$874,$AU$2,BS_RE33!$N$7:$N$874,I54,BS_RE33!$P$7:$P$874,'30 days CF Table(NZD)'!G54,BS_RE33!$F$7:$F$874,'30 days CF Table(NZD)'!$C$2)</f>
        <v>0</v>
      </c>
      <c r="AV54" s="379">
        <f>SUMIFS(BS_RE33!$H$7:$H$874,BS_RE33!$S$7:$S$874,$AV$2,BS_RE33!$N$7:$N$874,I54,BS_RE33!$P$7:$P$874,'30 days CF Table(NZD)'!G54,BS_RE33!$F$7:$F$874,'30 days CF Table(NZD)'!$C$2)</f>
        <v>0</v>
      </c>
      <c r="AW54" s="379">
        <f>SUMIFS(BS_RE33!$H$7:$H$874,BS_RE33!$S$7:$S$874,$AW$2,BS_RE33!$N$7:$N$874,I54,BS_RE33!$P$7:$P$874,'30 days CF Table(NZD)'!G54,BS_RE33!$F$7:$F$874,'30 days CF Table(NZD)'!$C$2)</f>
        <v>0</v>
      </c>
      <c r="AX54" s="379">
        <f>SUMIFS(BS_RE33!$H$7:$H$874,BS_RE33!$S$7:$S$874,$AX$2,BS_RE33!$N$7:$N$874,I54,BS_RE33!$P$7:$P$874,'30 days CF Table(NZD)'!G54,BS_RE33!$F$7:$F$874,'30 days CF Table(NZD)'!$C$2)</f>
        <v>0</v>
      </c>
      <c r="AY54" s="379">
        <f>SUMIFS(BS_RE33!$H$7:$H$874,BS_RE33!$S$7:$S$874,$AY$2,BS_RE33!$N$7:$N$874,I54,BS_RE33!$P$7:$P$874,'30 days CF Table(NZD)'!G54,BS_RE33!$F$7:$F$874,'30 days CF Table(NZD)'!$C$2)</f>
        <v>0</v>
      </c>
      <c r="AZ54" s="379">
        <f>SUMIFS(BS_RE33!$H$7:$H$874,BS_RE33!$S$7:$S$874,$AZ$2,BS_RE33!$N$7:$N$874,I54,BS_RE33!$P$7:$P$874,'30 days CF Table(NZD)'!G54,BS_RE33!$F$7:$F$874,'30 days CF Table(NZD)'!$C$2)</f>
        <v>0</v>
      </c>
      <c r="BA54" s="379">
        <f>SUMIFS(BS_RE33!$H$7:$H$874,BS_RE33!$S$7:$S$874,$BA$2,BS_RE33!$N$7:$N$874,I54,BS_RE33!$P$7:$P$874,'30 days CF Table(NZD)'!G54,BS_RE33!$F$7:$F$874,'30 days CF Table(NZD)'!$C$2)</f>
        <v>0</v>
      </c>
      <c r="BB54" s="379">
        <f>SUMIFS(BS_RE33!$H$7:$H$874,BS_RE33!$S$7:$S$874,$BB$2,BS_RE33!$N$7:$N$874,I54,BS_RE33!$P$7:$P$874,'30 days CF Table(NZD)'!G54,BS_RE33!$F$7:$F$874,'30 days CF Table(NZD)'!$C$2)</f>
        <v>0</v>
      </c>
      <c r="BC54" s="379">
        <f>SUMIFS(BS_RE33!$H$7:$H$874,BS_RE33!$S$7:$S$874,$BC$2,BS_RE33!$N$7:$N$874,I54,BS_RE33!$P$7:$P$874,'30 days CF Table(NZD)'!G54,BS_RE33!$F$7:$F$874,'30 days CF Table(NZD)'!$C$2)</f>
        <v>0</v>
      </c>
      <c r="BD54" s="379">
        <f>SUMIFS(BS_RE33!$H$7:$H$874,BS_RE33!$S$7:$S$874,$BD$2,BS_RE33!$N$7:$N$874,I54,BS_RE33!$P$7:$P$874,'30 days CF Table(NZD)'!G54,BS_RE33!$F$7:$F$874,'30 days CF Table(NZD)'!$C$2)</f>
        <v>0</v>
      </c>
      <c r="BE54" s="379">
        <f>SUMIFS(BS_RE33!$H$7:$H$874,BS_RE33!$S$7:$S$874,$BE$2,BS_RE33!$N$7:$N$874,I54,BS_RE33!$P$7:$P$874,'30 days CF Table(NZD)'!G54,BS_RE33!$F$7:$F$874,'30 days CF Table(NZD)'!$C$2)</f>
        <v>0</v>
      </c>
      <c r="BF54" s="379">
        <f>SUMIFS(BS_RE33!$H$7:$H$874,BS_RE33!$S$7:$S$874,$BF$2,BS_RE33!$N$7:$N$874,I54,BS_RE33!$P$7:$P$874,'30 days CF Table(NZD)'!G54,BS_RE33!$F$7:$F$874,'30 days CF Table(NZD)'!$C$2)</f>
        <v>0</v>
      </c>
      <c r="BG54" s="379">
        <f>SUMIFS(BS_RE33!$H$7:$H$874,BS_RE33!$S$7:$S$874,$BG$2,BS_RE33!$N$7:$N$874,I54,BS_RE33!$P$7:$P$874,'30 days CF Table(NZD)'!G54,BS_RE33!$F$7:$F$874,'30 days CF Table(NZD)'!$C$2)</f>
        <v>0</v>
      </c>
      <c r="BH54" s="379">
        <f>SUMIFS(BS_RE33!$H$7:$H$874,BS_RE33!$S$7:$S$874,$BH$2,BS_RE33!$N$7:$N$874,I54,BS_RE33!$P$7:$P$874,'30 days CF Table(NZD)'!G54,BS_RE33!$F$7:$F$874,'30 days CF Table(NZD)'!$C$2)</f>
        <v>0</v>
      </c>
      <c r="BI54" s="379">
        <f>SUMIFS(BS_RE33!$H$7:$H$874,BS_RE33!$S$7:$S$874,$BI$2,BS_RE33!$N$7:$N$874,I54,BS_RE33!$P$7:$P$874,'30 days CF Table(NZD)'!G54,BS_RE33!$F$7:$F$874,'30 days CF Table(NZD)'!$C$2)</f>
        <v>0</v>
      </c>
      <c r="BJ54" s="379">
        <f>SUMIFS(BS_RE33!$H$7:$H$874,BS_RE33!$S$7:$S$874,$BJ$2,BS_RE33!$N$7:$N$874,I54,BS_RE33!$P$7:$P$874,'30 days CF Table(NZD)'!G54,BS_RE33!$F$7:$F$874,'30 days CF Table(NZD)'!$C$2)</f>
        <v>0</v>
      </c>
      <c r="BK54" s="379">
        <f>SUMIFS(BS_RE33!$H$7:$H$874,BS_RE33!$S$7:$S$874,$BK$2,BS_RE33!$N$7:$N$874,I54,BS_RE33!$P$7:$P$874,'30 days CF Table(NZD)'!G54,BS_RE33!$F$7:$F$874,'30 days CF Table(NZD)'!$C$2)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Table(NZD)'!G55,BS_RE33!$F$7:$F$874,'30 days CF Table(NZD)'!$C$2)</f>
        <v>0</v>
      </c>
      <c r="M55" s="337">
        <f>SUMIFS(BS_RE33!$H$7:$H$874,BS_RE33!$S$7:$S$874,$M$2,BS_RE33!$N$7:$N$874,I55,BS_RE33!$P$7:$P$874,'30 days CF Table(NZD)'!G55,BS_RE33!$F$7:$F$874,'30 days CF Table(NZD)'!$C$2)</f>
        <v>0</v>
      </c>
      <c r="N55" s="337">
        <f>SUMIFS(BS_RE33!$H$7:$H$874,BS_RE33!$S$7:$S$874,$N$2,BS_RE33!$N$7:$N$874,I55,BS_RE33!$P$7:$P$874,'30 days CF Table(NZD)'!G55,BS_RE33!$F$7:$F$874,'30 days CF Table(NZD)'!$C$2)</f>
        <v>0</v>
      </c>
      <c r="O55" s="337">
        <f>SUMIFS(BS_RE33!$H$7:$H$874,BS_RE33!$S$7:$S$874,$O$2,BS_RE33!$N$7:$N$874,I55,BS_RE33!$P$7:$P$874,'30 days CF Table(NZD)'!G55,BS_RE33!$F$7:$F$874,'30 days CF Table(NZD)'!$C$2)</f>
        <v>0</v>
      </c>
      <c r="P55" s="337">
        <f>SUMIFS(BS_RE33!$H$7:$H$874,BS_RE33!$S$7:$S$874,$P$2,BS_RE33!$N$7:$N$874,I55,BS_RE33!$P$7:$P$874,'30 days CF Table(NZD)'!G55,BS_RE33!$F$7:$F$874,'30 days CF Table(NZD)'!$C$2)</f>
        <v>0</v>
      </c>
      <c r="Q55" s="337">
        <f>SUMIFS(BS_RE33!$H$7:$H$874,BS_RE33!$S$7:$S$874,$Q$2,BS_RE33!$N$7:$N$874,I55,BS_RE33!$P$7:$P$874,'30 days CF Table(NZD)'!G55,BS_RE33!$F$7:$F$874,'30 days CF Table(NZD)'!$C$2)</f>
        <v>0</v>
      </c>
      <c r="R55" s="337">
        <f>SUMIFS(BS_RE33!$H$7:$H$874,BS_RE33!$S$7:$S$874,$R$2,BS_RE33!$N$7:$N$874,I55,BS_RE33!$P$7:$P$874,'30 days CF Table(NZD)'!G55,BS_RE33!$F$7:$F$874,'30 days CF Table(NZD)'!$C$2)</f>
        <v>0</v>
      </c>
      <c r="S55" s="337">
        <f>SUMIFS(BS_RE33!$H$7:$H$874,BS_RE33!$S$7:$S$874,$S$2,BS_RE33!$N$7:$N$874,I55,BS_RE33!$P$7:$P$874,'30 days CF Table(NZD)'!G55,BS_RE33!$F$7:$F$874,'30 days CF Table(NZD)'!$C$2)</f>
        <v>0</v>
      </c>
      <c r="T55" s="337">
        <f>SUMIFS(BS_RE33!$H$7:$H$874,BS_RE33!$S$7:$S$874,$T$2,BS_RE33!$N$7:$N$874,I55,BS_RE33!$P$7:$P$874,'30 days CF Table(NZD)'!G55,BS_RE33!$F$7:$F$874,'30 days CF Table(NZD)'!$C$2)</f>
        <v>0</v>
      </c>
      <c r="U55" s="337">
        <f>SUMIFS(BS_RE33!$H$7:$H$874,BS_RE33!$S$7:$S$874,$U$2,BS_RE33!$N$7:$N$874,I55,BS_RE33!$P$7:$P$874,'30 days CF Table(NZD)'!G55,BS_RE33!$F$7:$F$874,'30 days CF Table(NZD)'!$C$2)</f>
        <v>0</v>
      </c>
      <c r="V55" s="337">
        <f>SUMIFS(BS_RE33!$H$7:$H$874,BS_RE33!$S$7:$S$874,$V$2,BS_RE33!$N$7:$N$874,I55,BS_RE33!$P$7:$P$874,'30 days CF Table(NZD)'!G55,BS_RE33!$F$7:$F$874,'30 days CF Table(NZD)'!$C$2)</f>
        <v>0</v>
      </c>
      <c r="W55" s="337">
        <f>SUMIFS(BS_RE33!$H$7:$H$874,BS_RE33!$S$7:$S$874,$W$2,BS_RE33!$N$7:$N$874,I55,BS_RE33!$P$7:$P$874,'30 days CF Table(NZD)'!G55,BS_RE33!$F$7:$F$874,'30 days CF Table(NZD)'!$C$2)</f>
        <v>0</v>
      </c>
      <c r="X55" s="337">
        <f>SUMIFS(BS_RE33!$H$7:$H$874,BS_RE33!$S$7:$S$874,$X$2,BS_RE33!$N$7:$N$874,I55,BS_RE33!$P$7:$P$874,'30 days CF Table(NZD)'!G55,BS_RE33!$F$7:$F$874,'30 days CF Table(NZD)'!$C$2)</f>
        <v>0</v>
      </c>
      <c r="Y55" s="337">
        <f>SUMIFS(BS_RE33!$H$7:$H$874,BS_RE33!$S$7:$S$874,$Y$2,BS_RE33!$N$7:$N$874,I55,BS_RE33!$P$7:$P$874,'30 days CF Table(NZD)'!G55,BS_RE33!$F$7:$F$874,'30 days CF Table(NZD)'!$C$2)</f>
        <v>0</v>
      </c>
      <c r="Z55" s="337">
        <f>SUMIFS(BS_RE33!$H$7:$H$874,BS_RE33!$S$7:$S$874,$Z$2,BS_RE33!$N$7:$N$874,I55,BS_RE33!$P$7:$P$874,'30 days CF Table(NZD)'!G55,BS_RE33!$F$7:$F$874,'30 days CF Table(NZD)'!$C$2)</f>
        <v>0</v>
      </c>
      <c r="AA55" s="337">
        <f>SUMIFS(BS_RE33!$H$7:$H$874,BS_RE33!$S$7:$S$874,$AA$2,BS_RE33!$N$7:$N$874,I55,BS_RE33!$P$7:$P$874,'30 days CF Table(NZD)'!G55,BS_RE33!$F$7:$F$874,'30 days CF Table(NZD)'!$C$2)</f>
        <v>0</v>
      </c>
      <c r="AB55" s="337">
        <f>SUMIFS(BS_RE33!$H$7:$H$874,BS_RE33!$S$7:$S$874,$AB$2,BS_RE33!$N$7:$N$874,I55,BS_RE33!$P$7:$P$874,'30 days CF Table(NZD)'!G55,BS_RE33!$F$7:$F$874,'30 days CF Table(NZD)'!$C$2)</f>
        <v>0</v>
      </c>
      <c r="AC55" s="337">
        <f>SUMIFS(BS_RE33!$H$7:$H$874,BS_RE33!$S$7:$S$874,$AC$2,BS_RE33!$N$7:$N$874,I55,BS_RE33!$P$7:$P$874,'30 days CF Table(NZD)'!G55,BS_RE33!$F$7:$F$874,'30 days CF Table(NZD)'!$C$2)</f>
        <v>0</v>
      </c>
      <c r="AD55" s="337">
        <f>SUMIFS(BS_RE33!$H$7:$H$874,BS_RE33!$S$7:$S$874,$AD$2,BS_RE33!$N$7:$N$874,I55,BS_RE33!$P$7:$P$874,'30 days CF Table(NZD)'!G55,BS_RE33!$F$7:$F$874,'30 days CF Table(NZD)'!$C$2)</f>
        <v>0</v>
      </c>
      <c r="AE55" s="337">
        <f>SUMIFS(BS_RE33!$H$7:$H$874,BS_RE33!$S$7:$S$874,$AE$2,BS_RE33!$N$7:$N$874,I55,BS_RE33!$P$7:$P$874,'30 days CF Table(NZD)'!G55,BS_RE33!$F$7:$F$874,'30 days CF Table(NZD)'!$C$2)</f>
        <v>0</v>
      </c>
      <c r="AF55" s="337">
        <f>SUMIFS(BS_RE33!$H$7:$H$874,BS_RE33!$S$7:$S$874,$AF$2,BS_RE33!$N$7:$N$874,I55,BS_RE33!$P$7:$P$874,'30 days CF Table(NZD)'!G55,BS_RE33!$F$7:$F$874,'30 days CF Table(NZD)'!$C$2)</f>
        <v>0</v>
      </c>
      <c r="AG55" s="337">
        <f>SUMIFS(BS_RE33!$H$7:$H$874,BS_RE33!$S$7:$S$874,$AG$2,BS_RE33!$N$7:$N$874,I55,BS_RE33!$P$7:$P$874,'30 days CF Table(NZD)'!G55,BS_RE33!$F$7:$F$874,'30 days CF Table(NZD)'!$C$2)</f>
        <v>0</v>
      </c>
      <c r="AH55" s="337">
        <f>SUMIFS(BS_RE33!$H$7:$H$874,BS_RE33!$S$7:$S$874,$AH$2,BS_RE33!$N$7:$N$874,I55,BS_RE33!$P$7:$P$874,'30 days CF Table(NZD)'!G55,BS_RE33!$F$7:$F$874,'30 days CF Table(NZD)'!$C$2)</f>
        <v>0</v>
      </c>
      <c r="AI55" s="337">
        <f>SUMIFS(BS_RE33!$H$7:$H$874,BS_RE33!$S$7:$S$874,$AI$2,BS_RE33!$N$7:$N$874,I55,BS_RE33!$P$7:$P$874,'30 days CF Table(NZD)'!G55,BS_RE33!$F$7:$F$874,'30 days CF Table(NZD)'!$C$2)</f>
        <v>0</v>
      </c>
      <c r="AJ55" s="337">
        <f>SUMIFS(BS_RE33!$H$7:$H$874,BS_RE33!$S$7:$S$874,$AJ$2,BS_RE33!$N$7:$N$874,I55,BS_RE33!$P$7:$P$874,'30 days CF Table(NZD)'!G55,BS_RE33!$F$7:$F$874,'30 days CF Table(NZD)'!$C$2)</f>
        <v>0</v>
      </c>
      <c r="AK55" s="337">
        <f>SUMIFS(BS_RE33!$H$7:$H$874,BS_RE33!$S$7:$S$874,$AK$2,BS_RE33!$N$7:$N$874,I55,BS_RE33!$P$7:$P$874,'30 days CF Table(NZD)'!G55,BS_RE33!$F$7:$F$874,'30 days CF Table(NZD)'!$C$2)</f>
        <v>0</v>
      </c>
      <c r="AL55" s="337">
        <f>SUMIFS(BS_RE33!$H$7:$H$874,BS_RE33!$S$7:$S$874,$AL$2,BS_RE33!$N$7:$N$874,I55,BS_RE33!$P$7:$P$874,'30 days CF Table(NZD)'!G55,BS_RE33!$F$7:$F$874,'30 days CF Table(NZD)'!$C$2)</f>
        <v>0</v>
      </c>
      <c r="AM55" s="337">
        <f>SUMIFS(BS_RE33!$H$7:$H$874,BS_RE33!$S$7:$S$874,$AM$2,BS_RE33!$N$7:$N$874,I55,BS_RE33!$P$7:$P$874,'30 days CF Table(NZD)'!G55,BS_RE33!$F$7:$F$874,'30 days CF Table(NZD)'!$C$2)</f>
        <v>0</v>
      </c>
      <c r="AN55" s="337">
        <f>SUMIFS(BS_RE33!$H$7:$H$874,BS_RE33!$S$7:$S$874,$AN$2,BS_RE33!$N$7:$N$874,I55,BS_RE33!$P$7:$P$874,'30 days CF Table(NZD)'!G55,BS_RE33!$F$7:$F$874,'30 days CF Table(NZD)'!$C$2)</f>
        <v>0</v>
      </c>
      <c r="AO55" s="337">
        <f>SUMIFS(BS_RE33!$H$7:$H$874,BS_RE33!$S$7:$S$874,$AO$2,BS_RE33!$N$7:$N$874,I55,BS_RE33!$P$7:$P$874,'30 days CF Table(NZD)'!G55,BS_RE33!$F$7:$F$874,'30 days CF Table(NZD)'!$C$2)</f>
        <v>0</v>
      </c>
      <c r="AP55" s="338">
        <f>SUMIFS(BS_RE33!$H$7:$H$874,BS_RE33!$S$7:$S$874,$AP$2,BS_RE33!$N$7:$N$874,I55,BS_RE33!$P$7:$P$874,'30 days CF Table(NZD)'!G55,BS_RE33!$F$7:$F$874,'30 days CF Table(NZD)'!$C$2)</f>
        <v>0</v>
      </c>
      <c r="AR55" s="379">
        <f>SUMIFS(BS_RE33!$H$7:$H$874,BS_RE33!$S$7:$S$874,$AR$2,BS_RE33!$N$7:$N$874,I55,BS_RE33!$P$7:$P$874,'30 days CF Table(NZD)'!G55,BS_RE33!$F$7:$F$874,'30 days CF Table(NZD)'!$C$2)</f>
        <v>0</v>
      </c>
      <c r="AS55" s="379">
        <f>SUMIFS(BS_RE33!$H$7:$H$874,BS_RE33!$S$7:$S$874,$AS$2,BS_RE33!$N$7:$N$874,I55,BS_RE33!$P$7:$P$874,'30 days CF Table(NZD)'!G55,BS_RE33!$F$7:$F$874,'30 days CF Table(NZD)'!$C$2)</f>
        <v>0</v>
      </c>
      <c r="AT55" s="379">
        <f>SUMIFS(BS_RE33!$H$7:$H$874,BS_RE33!$S$7:$S$874,$AT$2,BS_RE33!$N$7:$N$874,I55,BS_RE33!$P$7:$P$874,'30 days CF Table(NZD)'!G55,BS_RE33!$F$7:$F$874,'30 days CF Table(NZD)'!$C$2)</f>
        <v>0</v>
      </c>
      <c r="AU55" s="379">
        <f>SUMIFS(BS_RE33!$H$7:$H$874,BS_RE33!$S$7:$S$874,$AU$2,BS_RE33!$N$7:$N$874,I55,BS_RE33!$P$7:$P$874,'30 days CF Table(NZD)'!G55,BS_RE33!$F$7:$F$874,'30 days CF Table(NZD)'!$C$2)</f>
        <v>0</v>
      </c>
      <c r="AV55" s="379">
        <f>SUMIFS(BS_RE33!$H$7:$H$874,BS_RE33!$S$7:$S$874,$AV$2,BS_RE33!$N$7:$N$874,I55,BS_RE33!$P$7:$P$874,'30 days CF Table(NZD)'!G55,BS_RE33!$F$7:$F$874,'30 days CF Table(NZD)'!$C$2)</f>
        <v>0</v>
      </c>
      <c r="AW55" s="379">
        <f>SUMIFS(BS_RE33!$H$7:$H$874,BS_RE33!$S$7:$S$874,$AW$2,BS_RE33!$N$7:$N$874,I55,BS_RE33!$P$7:$P$874,'30 days CF Table(NZD)'!G55,BS_RE33!$F$7:$F$874,'30 days CF Table(NZD)'!$C$2)</f>
        <v>0</v>
      </c>
      <c r="AX55" s="379">
        <f>SUMIFS(BS_RE33!$H$7:$H$874,BS_RE33!$S$7:$S$874,$AX$2,BS_RE33!$N$7:$N$874,I55,BS_RE33!$P$7:$P$874,'30 days CF Table(NZD)'!G55,BS_RE33!$F$7:$F$874,'30 days CF Table(NZD)'!$C$2)</f>
        <v>0</v>
      </c>
      <c r="AY55" s="379">
        <f>SUMIFS(BS_RE33!$H$7:$H$874,BS_RE33!$S$7:$S$874,$AY$2,BS_RE33!$N$7:$N$874,I55,BS_RE33!$P$7:$P$874,'30 days CF Table(NZD)'!G55,BS_RE33!$F$7:$F$874,'30 days CF Table(NZD)'!$C$2)</f>
        <v>0</v>
      </c>
      <c r="AZ55" s="379">
        <f>SUMIFS(BS_RE33!$H$7:$H$874,BS_RE33!$S$7:$S$874,$AZ$2,BS_RE33!$N$7:$N$874,I55,BS_RE33!$P$7:$P$874,'30 days CF Table(NZD)'!G55,BS_RE33!$F$7:$F$874,'30 days CF Table(NZD)'!$C$2)</f>
        <v>0</v>
      </c>
      <c r="BA55" s="379">
        <f>SUMIFS(BS_RE33!$H$7:$H$874,BS_RE33!$S$7:$S$874,$BA$2,BS_RE33!$N$7:$N$874,I55,BS_RE33!$P$7:$P$874,'30 days CF Table(NZD)'!G55,BS_RE33!$F$7:$F$874,'30 days CF Table(NZD)'!$C$2)</f>
        <v>0</v>
      </c>
      <c r="BB55" s="379">
        <f>SUMIFS(BS_RE33!$H$7:$H$874,BS_RE33!$S$7:$S$874,$BB$2,BS_RE33!$N$7:$N$874,I55,BS_RE33!$P$7:$P$874,'30 days CF Table(NZD)'!G55,BS_RE33!$F$7:$F$874,'30 days CF Table(NZD)'!$C$2)</f>
        <v>0</v>
      </c>
      <c r="BC55" s="379">
        <f>SUMIFS(BS_RE33!$H$7:$H$874,BS_RE33!$S$7:$S$874,$BC$2,BS_RE33!$N$7:$N$874,I55,BS_RE33!$P$7:$P$874,'30 days CF Table(NZD)'!G55,BS_RE33!$F$7:$F$874,'30 days CF Table(NZD)'!$C$2)</f>
        <v>0</v>
      </c>
      <c r="BD55" s="379">
        <f>SUMIFS(BS_RE33!$H$7:$H$874,BS_RE33!$S$7:$S$874,$BD$2,BS_RE33!$N$7:$N$874,I55,BS_RE33!$P$7:$P$874,'30 days CF Table(NZD)'!G55,BS_RE33!$F$7:$F$874,'30 days CF Table(NZD)'!$C$2)</f>
        <v>0</v>
      </c>
      <c r="BE55" s="379">
        <f>SUMIFS(BS_RE33!$H$7:$H$874,BS_RE33!$S$7:$S$874,$BE$2,BS_RE33!$N$7:$N$874,I55,BS_RE33!$P$7:$P$874,'30 days CF Table(NZD)'!G55,BS_RE33!$F$7:$F$874,'30 days CF Table(NZD)'!$C$2)</f>
        <v>0</v>
      </c>
      <c r="BF55" s="379">
        <f>SUMIFS(BS_RE33!$H$7:$H$874,BS_RE33!$S$7:$S$874,$BF$2,BS_RE33!$N$7:$N$874,I55,BS_RE33!$P$7:$P$874,'30 days CF Table(NZD)'!G55,BS_RE33!$F$7:$F$874,'30 days CF Table(NZD)'!$C$2)</f>
        <v>0</v>
      </c>
      <c r="BG55" s="379">
        <f>SUMIFS(BS_RE33!$H$7:$H$874,BS_RE33!$S$7:$S$874,$BG$2,BS_RE33!$N$7:$N$874,I55,BS_RE33!$P$7:$P$874,'30 days CF Table(NZD)'!G55,BS_RE33!$F$7:$F$874,'30 days CF Table(NZD)'!$C$2)</f>
        <v>0</v>
      </c>
      <c r="BH55" s="379">
        <f>SUMIFS(BS_RE33!$H$7:$H$874,BS_RE33!$S$7:$S$874,$BH$2,BS_RE33!$N$7:$N$874,I55,BS_RE33!$P$7:$P$874,'30 days CF Table(NZD)'!G55,BS_RE33!$F$7:$F$874,'30 days CF Table(NZD)'!$C$2)</f>
        <v>0</v>
      </c>
      <c r="BI55" s="379">
        <f>SUMIFS(BS_RE33!$H$7:$H$874,BS_RE33!$S$7:$S$874,$BI$2,BS_RE33!$N$7:$N$874,I55,BS_RE33!$P$7:$P$874,'30 days CF Table(NZD)'!G55,BS_RE33!$F$7:$F$874,'30 days CF Table(NZD)'!$C$2)</f>
        <v>0</v>
      </c>
      <c r="BJ55" s="379">
        <f>SUMIFS(BS_RE33!$H$7:$H$874,BS_RE33!$S$7:$S$874,$BJ$2,BS_RE33!$N$7:$N$874,I55,BS_RE33!$P$7:$P$874,'30 days CF Table(NZD)'!G55,BS_RE33!$F$7:$F$874,'30 days CF Table(NZD)'!$C$2)</f>
        <v>0</v>
      </c>
      <c r="BK55" s="379">
        <f>SUMIFS(BS_RE33!$H$7:$H$874,BS_RE33!$S$7:$S$874,$BK$2,BS_RE33!$N$7:$N$874,I55,BS_RE33!$P$7:$P$874,'30 days CF Table(NZD)'!G55,BS_RE33!$F$7:$F$874,'30 days CF Table(NZD)'!$C$2)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Table(NZD)'!G56,BS_RE33!$F$7:$F$874,'30 days CF Table(NZD)'!$C$2)</f>
        <v>0</v>
      </c>
      <c r="M56" s="337">
        <f>SUMIFS(BS_RE33!$H$7:$H$874,BS_RE33!$S$7:$S$874,$M$2,BS_RE33!$N$7:$N$874,I56,BS_RE33!$P$7:$P$874,'30 days CF Table(NZD)'!G56,BS_RE33!$F$7:$F$874,'30 days CF Table(NZD)'!$C$2)</f>
        <v>0</v>
      </c>
      <c r="N56" s="337">
        <f>SUMIFS(BS_RE33!$H$7:$H$874,BS_RE33!$S$7:$S$874,$N$2,BS_RE33!$N$7:$N$874,I56,BS_RE33!$P$7:$P$874,'30 days CF Table(NZD)'!G56,BS_RE33!$F$7:$F$874,'30 days CF Table(NZD)'!$C$2)</f>
        <v>0</v>
      </c>
      <c r="O56" s="337">
        <f>SUMIFS(BS_RE33!$H$7:$H$874,BS_RE33!$S$7:$S$874,$O$2,BS_RE33!$N$7:$N$874,I56,BS_RE33!$P$7:$P$874,'30 days CF Table(NZD)'!G56,BS_RE33!$F$7:$F$874,'30 days CF Table(NZD)'!$C$2)</f>
        <v>0</v>
      </c>
      <c r="P56" s="337">
        <f>SUMIFS(BS_RE33!$H$7:$H$874,BS_RE33!$S$7:$S$874,$P$2,BS_RE33!$N$7:$N$874,I56,BS_RE33!$P$7:$P$874,'30 days CF Table(NZD)'!G56,BS_RE33!$F$7:$F$874,'30 days CF Table(NZD)'!$C$2)</f>
        <v>0</v>
      </c>
      <c r="Q56" s="337">
        <f>SUMIFS(BS_RE33!$H$7:$H$874,BS_RE33!$S$7:$S$874,$Q$2,BS_RE33!$N$7:$N$874,I56,BS_RE33!$P$7:$P$874,'30 days CF Table(NZD)'!G56,BS_RE33!$F$7:$F$874,'30 days CF Table(NZD)'!$C$2)</f>
        <v>0</v>
      </c>
      <c r="R56" s="337">
        <f>SUMIFS(BS_RE33!$H$7:$H$874,BS_RE33!$S$7:$S$874,$R$2,BS_RE33!$N$7:$N$874,I56,BS_RE33!$P$7:$P$874,'30 days CF Table(NZD)'!G56,BS_RE33!$F$7:$F$874,'30 days CF Table(NZD)'!$C$2)</f>
        <v>0</v>
      </c>
      <c r="S56" s="337">
        <f>SUMIFS(BS_RE33!$H$7:$H$874,BS_RE33!$S$7:$S$874,$S$2,BS_RE33!$N$7:$N$874,I56,BS_RE33!$P$7:$P$874,'30 days CF Table(NZD)'!G56,BS_RE33!$F$7:$F$874,'30 days CF Table(NZD)'!$C$2)</f>
        <v>0</v>
      </c>
      <c r="T56" s="337">
        <f>SUMIFS(BS_RE33!$H$7:$H$874,BS_RE33!$S$7:$S$874,$T$2,BS_RE33!$N$7:$N$874,I56,BS_RE33!$P$7:$P$874,'30 days CF Table(NZD)'!G56,BS_RE33!$F$7:$F$874,'30 days CF Table(NZD)'!$C$2)</f>
        <v>0</v>
      </c>
      <c r="U56" s="337">
        <f>SUMIFS(BS_RE33!$H$7:$H$874,BS_RE33!$S$7:$S$874,$U$2,BS_RE33!$N$7:$N$874,I56,BS_RE33!$P$7:$P$874,'30 days CF Table(NZD)'!G56,BS_RE33!$F$7:$F$874,'30 days CF Table(NZD)'!$C$2)</f>
        <v>0</v>
      </c>
      <c r="V56" s="337">
        <f>SUMIFS(BS_RE33!$H$7:$H$874,BS_RE33!$S$7:$S$874,$V$2,BS_RE33!$N$7:$N$874,I56,BS_RE33!$P$7:$P$874,'30 days CF Table(NZD)'!G56,BS_RE33!$F$7:$F$874,'30 days CF Table(NZD)'!$C$2)</f>
        <v>0</v>
      </c>
      <c r="W56" s="337">
        <f>SUMIFS(BS_RE33!$H$7:$H$874,BS_RE33!$S$7:$S$874,$W$2,BS_RE33!$N$7:$N$874,I56,BS_RE33!$P$7:$P$874,'30 days CF Table(NZD)'!G56,BS_RE33!$F$7:$F$874,'30 days CF Table(NZD)'!$C$2)</f>
        <v>0</v>
      </c>
      <c r="X56" s="337">
        <f>SUMIFS(BS_RE33!$H$7:$H$874,BS_RE33!$S$7:$S$874,$X$2,BS_RE33!$N$7:$N$874,I56,BS_RE33!$P$7:$P$874,'30 days CF Table(NZD)'!G56,BS_RE33!$F$7:$F$874,'30 days CF Table(NZD)'!$C$2)</f>
        <v>0</v>
      </c>
      <c r="Y56" s="337">
        <f>SUMIFS(BS_RE33!$H$7:$H$874,BS_RE33!$S$7:$S$874,$Y$2,BS_RE33!$N$7:$N$874,I56,BS_RE33!$P$7:$P$874,'30 days CF Table(NZD)'!G56,BS_RE33!$F$7:$F$874,'30 days CF Table(NZD)'!$C$2)</f>
        <v>0</v>
      </c>
      <c r="Z56" s="337">
        <f>SUMIFS(BS_RE33!$H$7:$H$874,BS_RE33!$S$7:$S$874,$Z$2,BS_RE33!$N$7:$N$874,I56,BS_RE33!$P$7:$P$874,'30 days CF Table(NZD)'!G56,BS_RE33!$F$7:$F$874,'30 days CF Table(NZD)'!$C$2)</f>
        <v>0</v>
      </c>
      <c r="AA56" s="337">
        <f>SUMIFS(BS_RE33!$H$7:$H$874,BS_RE33!$S$7:$S$874,$AA$2,BS_RE33!$N$7:$N$874,I56,BS_RE33!$P$7:$P$874,'30 days CF Table(NZD)'!G56,BS_RE33!$F$7:$F$874,'30 days CF Table(NZD)'!$C$2)</f>
        <v>0</v>
      </c>
      <c r="AB56" s="337">
        <f>SUMIFS(BS_RE33!$H$7:$H$874,BS_RE33!$S$7:$S$874,$AB$2,BS_RE33!$N$7:$N$874,I56,BS_RE33!$P$7:$P$874,'30 days CF Table(NZD)'!G56,BS_RE33!$F$7:$F$874,'30 days CF Table(NZD)'!$C$2)</f>
        <v>0</v>
      </c>
      <c r="AC56" s="337">
        <f>SUMIFS(BS_RE33!$H$7:$H$874,BS_RE33!$S$7:$S$874,$AC$2,BS_RE33!$N$7:$N$874,I56,BS_RE33!$P$7:$P$874,'30 days CF Table(NZD)'!G56,BS_RE33!$F$7:$F$874,'30 days CF Table(NZD)'!$C$2)</f>
        <v>0</v>
      </c>
      <c r="AD56" s="337">
        <f>SUMIFS(BS_RE33!$H$7:$H$874,BS_RE33!$S$7:$S$874,$AD$2,BS_RE33!$N$7:$N$874,I56,BS_RE33!$P$7:$P$874,'30 days CF Table(NZD)'!G56,BS_RE33!$F$7:$F$874,'30 days CF Table(NZD)'!$C$2)</f>
        <v>0</v>
      </c>
      <c r="AE56" s="337">
        <f>SUMIFS(BS_RE33!$H$7:$H$874,BS_RE33!$S$7:$S$874,$AE$2,BS_RE33!$N$7:$N$874,I56,BS_RE33!$P$7:$P$874,'30 days CF Table(NZD)'!G56,BS_RE33!$F$7:$F$874,'30 days CF Table(NZD)'!$C$2)</f>
        <v>0</v>
      </c>
      <c r="AF56" s="337">
        <f>SUMIFS(BS_RE33!$H$7:$H$874,BS_RE33!$S$7:$S$874,$AF$2,BS_RE33!$N$7:$N$874,I56,BS_RE33!$P$7:$P$874,'30 days CF Table(NZD)'!G56,BS_RE33!$F$7:$F$874,'30 days CF Table(NZD)'!$C$2)</f>
        <v>0</v>
      </c>
      <c r="AG56" s="337">
        <f>SUMIFS(BS_RE33!$H$7:$H$874,BS_RE33!$S$7:$S$874,$AG$2,BS_RE33!$N$7:$N$874,I56,BS_RE33!$P$7:$P$874,'30 days CF Table(NZD)'!G56,BS_RE33!$F$7:$F$874,'30 days CF Table(NZD)'!$C$2)</f>
        <v>0</v>
      </c>
      <c r="AH56" s="337">
        <f>SUMIFS(BS_RE33!$H$7:$H$874,BS_RE33!$S$7:$S$874,$AH$2,BS_RE33!$N$7:$N$874,I56,BS_RE33!$P$7:$P$874,'30 days CF Table(NZD)'!G56,BS_RE33!$F$7:$F$874,'30 days CF Table(NZD)'!$C$2)</f>
        <v>0</v>
      </c>
      <c r="AI56" s="337">
        <f>SUMIFS(BS_RE33!$H$7:$H$874,BS_RE33!$S$7:$S$874,$AI$2,BS_RE33!$N$7:$N$874,I56,BS_RE33!$P$7:$P$874,'30 days CF Table(NZD)'!G56,BS_RE33!$F$7:$F$874,'30 days CF Table(NZD)'!$C$2)</f>
        <v>0</v>
      </c>
      <c r="AJ56" s="337">
        <f>SUMIFS(BS_RE33!$H$7:$H$874,BS_RE33!$S$7:$S$874,$AJ$2,BS_RE33!$N$7:$N$874,I56,BS_RE33!$P$7:$P$874,'30 days CF Table(NZD)'!G56,BS_RE33!$F$7:$F$874,'30 days CF Table(NZD)'!$C$2)</f>
        <v>0</v>
      </c>
      <c r="AK56" s="337">
        <f>SUMIFS(BS_RE33!$H$7:$H$874,BS_RE33!$S$7:$S$874,$AK$2,BS_RE33!$N$7:$N$874,I56,BS_RE33!$P$7:$P$874,'30 days CF Table(NZD)'!G56,BS_RE33!$F$7:$F$874,'30 days CF Table(NZD)'!$C$2)</f>
        <v>0</v>
      </c>
      <c r="AL56" s="337">
        <f>SUMIFS(BS_RE33!$H$7:$H$874,BS_RE33!$S$7:$S$874,$AL$2,BS_RE33!$N$7:$N$874,I56,BS_RE33!$P$7:$P$874,'30 days CF Table(NZD)'!G56,BS_RE33!$F$7:$F$874,'30 days CF Table(NZD)'!$C$2)</f>
        <v>0</v>
      </c>
      <c r="AM56" s="337">
        <f>SUMIFS(BS_RE33!$H$7:$H$874,BS_RE33!$S$7:$S$874,$AM$2,BS_RE33!$N$7:$N$874,I56,BS_RE33!$P$7:$P$874,'30 days CF Table(NZD)'!G56,BS_RE33!$F$7:$F$874,'30 days CF Table(NZD)'!$C$2)</f>
        <v>0</v>
      </c>
      <c r="AN56" s="337">
        <f>SUMIFS(BS_RE33!$H$7:$H$874,BS_RE33!$S$7:$S$874,$AN$2,BS_RE33!$N$7:$N$874,I56,BS_RE33!$P$7:$P$874,'30 days CF Table(NZD)'!G56,BS_RE33!$F$7:$F$874,'30 days CF Table(NZD)'!$C$2)</f>
        <v>0</v>
      </c>
      <c r="AO56" s="337">
        <f>SUMIFS(BS_RE33!$H$7:$H$874,BS_RE33!$S$7:$S$874,$AO$2,BS_RE33!$N$7:$N$874,I56,BS_RE33!$P$7:$P$874,'30 days CF Table(NZD)'!G56,BS_RE33!$F$7:$F$874,'30 days CF Table(NZD)'!$C$2)</f>
        <v>0</v>
      </c>
      <c r="AP56" s="338">
        <f>SUMIFS(BS_RE33!$H$7:$H$874,BS_RE33!$S$7:$S$874,$AP$2,BS_RE33!$N$7:$N$874,I56,BS_RE33!$P$7:$P$874,'30 days CF Table(NZD)'!G56,BS_RE33!$F$7:$F$874,'30 days CF Table(NZD)'!$C$2)</f>
        <v>0</v>
      </c>
      <c r="AR56" s="379">
        <f>SUMIFS(BS_RE33!$H$7:$H$874,BS_RE33!$S$7:$S$874,$AR$2,BS_RE33!$N$7:$N$874,I56,BS_RE33!$P$7:$P$874,'30 days CF Table(NZD)'!G56,BS_RE33!$F$7:$F$874,'30 days CF Table(NZD)'!$C$2)</f>
        <v>0</v>
      </c>
      <c r="AS56" s="379">
        <f>SUMIFS(BS_RE33!$H$7:$H$874,BS_RE33!$S$7:$S$874,$AS$2,BS_RE33!$N$7:$N$874,I56,BS_RE33!$P$7:$P$874,'30 days CF Table(NZD)'!G56,BS_RE33!$F$7:$F$874,'30 days CF Table(NZD)'!$C$2)</f>
        <v>0</v>
      </c>
      <c r="AT56" s="379">
        <f>SUMIFS(BS_RE33!$H$7:$H$874,BS_RE33!$S$7:$S$874,$AT$2,BS_RE33!$N$7:$N$874,I56,BS_RE33!$P$7:$P$874,'30 days CF Table(NZD)'!G56,BS_RE33!$F$7:$F$874,'30 days CF Table(NZD)'!$C$2)</f>
        <v>0</v>
      </c>
      <c r="AU56" s="379">
        <f>SUMIFS(BS_RE33!$H$7:$H$874,BS_RE33!$S$7:$S$874,$AU$2,BS_RE33!$N$7:$N$874,I56,BS_RE33!$P$7:$P$874,'30 days CF Table(NZD)'!G56,BS_RE33!$F$7:$F$874,'30 days CF Table(NZD)'!$C$2)</f>
        <v>0</v>
      </c>
      <c r="AV56" s="379">
        <f>SUMIFS(BS_RE33!$H$7:$H$874,BS_RE33!$S$7:$S$874,$AV$2,BS_RE33!$N$7:$N$874,I56,BS_RE33!$P$7:$P$874,'30 days CF Table(NZD)'!G56,BS_RE33!$F$7:$F$874,'30 days CF Table(NZD)'!$C$2)</f>
        <v>0</v>
      </c>
      <c r="AW56" s="379">
        <f>SUMIFS(BS_RE33!$H$7:$H$874,BS_RE33!$S$7:$S$874,$AW$2,BS_RE33!$N$7:$N$874,I56,BS_RE33!$P$7:$P$874,'30 days CF Table(NZD)'!G56,BS_RE33!$F$7:$F$874,'30 days CF Table(NZD)'!$C$2)</f>
        <v>0</v>
      </c>
      <c r="AX56" s="379">
        <f>SUMIFS(BS_RE33!$H$7:$H$874,BS_RE33!$S$7:$S$874,$AX$2,BS_RE33!$N$7:$N$874,I56,BS_RE33!$P$7:$P$874,'30 days CF Table(NZD)'!G56,BS_RE33!$F$7:$F$874,'30 days CF Table(NZD)'!$C$2)</f>
        <v>0</v>
      </c>
      <c r="AY56" s="379">
        <f>SUMIFS(BS_RE33!$H$7:$H$874,BS_RE33!$S$7:$S$874,$AY$2,BS_RE33!$N$7:$N$874,I56,BS_RE33!$P$7:$P$874,'30 days CF Table(NZD)'!G56,BS_RE33!$F$7:$F$874,'30 days CF Table(NZD)'!$C$2)</f>
        <v>0</v>
      </c>
      <c r="AZ56" s="379">
        <f>SUMIFS(BS_RE33!$H$7:$H$874,BS_RE33!$S$7:$S$874,$AZ$2,BS_RE33!$N$7:$N$874,I56,BS_RE33!$P$7:$P$874,'30 days CF Table(NZD)'!G56,BS_RE33!$F$7:$F$874,'30 days CF Table(NZD)'!$C$2)</f>
        <v>0</v>
      </c>
      <c r="BA56" s="379">
        <f>SUMIFS(BS_RE33!$H$7:$H$874,BS_RE33!$S$7:$S$874,$BA$2,BS_RE33!$N$7:$N$874,I56,BS_RE33!$P$7:$P$874,'30 days CF Table(NZD)'!G56,BS_RE33!$F$7:$F$874,'30 days CF Table(NZD)'!$C$2)</f>
        <v>0</v>
      </c>
      <c r="BB56" s="379">
        <f>SUMIFS(BS_RE33!$H$7:$H$874,BS_RE33!$S$7:$S$874,$BB$2,BS_RE33!$N$7:$N$874,I56,BS_RE33!$P$7:$P$874,'30 days CF Table(NZD)'!G56,BS_RE33!$F$7:$F$874,'30 days CF Table(NZD)'!$C$2)</f>
        <v>0</v>
      </c>
      <c r="BC56" s="379">
        <f>SUMIFS(BS_RE33!$H$7:$H$874,BS_RE33!$S$7:$S$874,$BC$2,BS_RE33!$N$7:$N$874,I56,BS_RE33!$P$7:$P$874,'30 days CF Table(NZD)'!G56,BS_RE33!$F$7:$F$874,'30 days CF Table(NZD)'!$C$2)</f>
        <v>0</v>
      </c>
      <c r="BD56" s="379">
        <f>SUMIFS(BS_RE33!$H$7:$H$874,BS_RE33!$S$7:$S$874,$BD$2,BS_RE33!$N$7:$N$874,I56,BS_RE33!$P$7:$P$874,'30 days CF Table(NZD)'!G56,BS_RE33!$F$7:$F$874,'30 days CF Table(NZD)'!$C$2)</f>
        <v>0</v>
      </c>
      <c r="BE56" s="379">
        <f>SUMIFS(BS_RE33!$H$7:$H$874,BS_RE33!$S$7:$S$874,$BE$2,BS_RE33!$N$7:$N$874,I56,BS_RE33!$P$7:$P$874,'30 days CF Table(NZD)'!G56,BS_RE33!$F$7:$F$874,'30 days CF Table(NZD)'!$C$2)</f>
        <v>0</v>
      </c>
      <c r="BF56" s="379">
        <f>SUMIFS(BS_RE33!$H$7:$H$874,BS_RE33!$S$7:$S$874,$BF$2,BS_RE33!$N$7:$N$874,I56,BS_RE33!$P$7:$P$874,'30 days CF Table(NZD)'!G56,BS_RE33!$F$7:$F$874,'30 days CF Table(NZD)'!$C$2)</f>
        <v>0</v>
      </c>
      <c r="BG56" s="379">
        <f>SUMIFS(BS_RE33!$H$7:$H$874,BS_RE33!$S$7:$S$874,$BG$2,BS_RE33!$N$7:$N$874,I56,BS_RE33!$P$7:$P$874,'30 days CF Table(NZD)'!G56,BS_RE33!$F$7:$F$874,'30 days CF Table(NZD)'!$C$2)</f>
        <v>0</v>
      </c>
      <c r="BH56" s="379">
        <f>SUMIFS(BS_RE33!$H$7:$H$874,BS_RE33!$S$7:$S$874,$BH$2,BS_RE33!$N$7:$N$874,I56,BS_RE33!$P$7:$P$874,'30 days CF Table(NZD)'!G56,BS_RE33!$F$7:$F$874,'30 days CF Table(NZD)'!$C$2)</f>
        <v>0</v>
      </c>
      <c r="BI56" s="379">
        <f>SUMIFS(BS_RE33!$H$7:$H$874,BS_RE33!$S$7:$S$874,$BI$2,BS_RE33!$N$7:$N$874,I56,BS_RE33!$P$7:$P$874,'30 days CF Table(NZD)'!G56,BS_RE33!$F$7:$F$874,'30 days CF Table(NZD)'!$C$2)</f>
        <v>0</v>
      </c>
      <c r="BJ56" s="379">
        <f>SUMIFS(BS_RE33!$H$7:$H$874,BS_RE33!$S$7:$S$874,$BJ$2,BS_RE33!$N$7:$N$874,I56,BS_RE33!$P$7:$P$874,'30 days CF Table(NZD)'!G56,BS_RE33!$F$7:$F$874,'30 days CF Table(NZD)'!$C$2)</f>
        <v>0</v>
      </c>
      <c r="BK56" s="379">
        <f>SUMIFS(BS_RE33!$H$7:$H$874,BS_RE33!$S$7:$S$874,$BK$2,BS_RE33!$N$7:$N$874,I56,BS_RE33!$P$7:$P$874,'30 days CF Table(NZD)'!G56,BS_RE33!$F$7:$F$874,'30 days CF Table(NZD)'!$C$2)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Table(NZD)'!G57,BS_RE33!$F$7:$F$874,'30 days CF Table(NZD)'!$C$2)</f>
        <v>0</v>
      </c>
      <c r="M57" s="337">
        <f>SUMIFS(BS_RE33!$H$7:$H$874,BS_RE33!$S$7:$S$874,$M$2,BS_RE33!$N$7:$N$874,I57,BS_RE33!$P$7:$P$874,'30 days CF Table(NZD)'!G57,BS_RE33!$F$7:$F$874,'30 days CF Table(NZD)'!$C$2)</f>
        <v>0</v>
      </c>
      <c r="N57" s="337">
        <f>SUMIFS(BS_RE33!$H$7:$H$874,BS_RE33!$S$7:$S$874,$N$2,BS_RE33!$N$7:$N$874,I57,BS_RE33!$P$7:$P$874,'30 days CF Table(NZD)'!G57,BS_RE33!$F$7:$F$874,'30 days CF Table(NZD)'!$C$2)</f>
        <v>0</v>
      </c>
      <c r="O57" s="337">
        <f>SUMIFS(BS_RE33!$H$7:$H$874,BS_RE33!$S$7:$S$874,$O$2,BS_RE33!$N$7:$N$874,I57,BS_RE33!$P$7:$P$874,'30 days CF Table(NZD)'!G57,BS_RE33!$F$7:$F$874,'30 days CF Table(NZD)'!$C$2)</f>
        <v>0</v>
      </c>
      <c r="P57" s="337">
        <f>SUMIFS(BS_RE33!$H$7:$H$874,BS_RE33!$S$7:$S$874,$P$2,BS_RE33!$N$7:$N$874,I57,BS_RE33!$P$7:$P$874,'30 days CF Table(NZD)'!G57,BS_RE33!$F$7:$F$874,'30 days CF Table(NZD)'!$C$2)</f>
        <v>0</v>
      </c>
      <c r="Q57" s="337">
        <f>SUMIFS(BS_RE33!$H$7:$H$874,BS_RE33!$S$7:$S$874,$Q$2,BS_RE33!$N$7:$N$874,I57,BS_RE33!$P$7:$P$874,'30 days CF Table(NZD)'!G57,BS_RE33!$F$7:$F$874,'30 days CF Table(NZD)'!$C$2)</f>
        <v>0</v>
      </c>
      <c r="R57" s="337">
        <f>SUMIFS(BS_RE33!$H$7:$H$874,BS_RE33!$S$7:$S$874,$R$2,BS_RE33!$N$7:$N$874,I57,BS_RE33!$P$7:$P$874,'30 days CF Table(NZD)'!G57,BS_RE33!$F$7:$F$874,'30 days CF Table(NZD)'!$C$2)</f>
        <v>0</v>
      </c>
      <c r="S57" s="337">
        <f>SUMIFS(BS_RE33!$H$7:$H$874,BS_RE33!$S$7:$S$874,$S$2,BS_RE33!$N$7:$N$874,I57,BS_RE33!$P$7:$P$874,'30 days CF Table(NZD)'!G57,BS_RE33!$F$7:$F$874,'30 days CF Table(NZD)'!$C$2)</f>
        <v>0</v>
      </c>
      <c r="T57" s="337">
        <f>SUMIFS(BS_RE33!$H$7:$H$874,BS_RE33!$S$7:$S$874,$T$2,BS_RE33!$N$7:$N$874,I57,BS_RE33!$P$7:$P$874,'30 days CF Table(NZD)'!G57,BS_RE33!$F$7:$F$874,'30 days CF Table(NZD)'!$C$2)</f>
        <v>0</v>
      </c>
      <c r="U57" s="337">
        <f>SUMIFS(BS_RE33!$H$7:$H$874,BS_RE33!$S$7:$S$874,$U$2,BS_RE33!$N$7:$N$874,I57,BS_RE33!$P$7:$P$874,'30 days CF Table(NZD)'!G57,BS_RE33!$F$7:$F$874,'30 days CF Table(NZD)'!$C$2)</f>
        <v>0</v>
      </c>
      <c r="V57" s="337">
        <f>SUMIFS(BS_RE33!$H$7:$H$874,BS_RE33!$S$7:$S$874,$V$2,BS_RE33!$N$7:$N$874,I57,BS_RE33!$P$7:$P$874,'30 days CF Table(NZD)'!G57,BS_RE33!$F$7:$F$874,'30 days CF Table(NZD)'!$C$2)</f>
        <v>0</v>
      </c>
      <c r="W57" s="337">
        <f>SUMIFS(BS_RE33!$H$7:$H$874,BS_RE33!$S$7:$S$874,$W$2,BS_RE33!$N$7:$N$874,I57,BS_RE33!$P$7:$P$874,'30 days CF Table(NZD)'!G57,BS_RE33!$F$7:$F$874,'30 days CF Table(NZD)'!$C$2)</f>
        <v>0</v>
      </c>
      <c r="X57" s="337">
        <f>SUMIFS(BS_RE33!$H$7:$H$874,BS_RE33!$S$7:$S$874,$X$2,BS_RE33!$N$7:$N$874,I57,BS_RE33!$P$7:$P$874,'30 days CF Table(NZD)'!G57,BS_RE33!$F$7:$F$874,'30 days CF Table(NZD)'!$C$2)</f>
        <v>0</v>
      </c>
      <c r="Y57" s="337">
        <f>SUMIFS(BS_RE33!$H$7:$H$874,BS_RE33!$S$7:$S$874,$Y$2,BS_RE33!$N$7:$N$874,I57,BS_RE33!$P$7:$P$874,'30 days CF Table(NZD)'!G57,BS_RE33!$F$7:$F$874,'30 days CF Table(NZD)'!$C$2)</f>
        <v>0</v>
      </c>
      <c r="Z57" s="337">
        <f>SUMIFS(BS_RE33!$H$7:$H$874,BS_RE33!$S$7:$S$874,$Z$2,BS_RE33!$N$7:$N$874,I57,BS_RE33!$P$7:$P$874,'30 days CF Table(NZD)'!G57,BS_RE33!$F$7:$F$874,'30 days CF Table(NZD)'!$C$2)</f>
        <v>0</v>
      </c>
      <c r="AA57" s="337">
        <f>SUMIFS(BS_RE33!$H$7:$H$874,BS_RE33!$S$7:$S$874,$AA$2,BS_RE33!$N$7:$N$874,I57,BS_RE33!$P$7:$P$874,'30 days CF Table(NZD)'!G57,BS_RE33!$F$7:$F$874,'30 days CF Table(NZD)'!$C$2)</f>
        <v>0</v>
      </c>
      <c r="AB57" s="337">
        <f>SUMIFS(BS_RE33!$H$7:$H$874,BS_RE33!$S$7:$S$874,$AB$2,BS_RE33!$N$7:$N$874,I57,BS_RE33!$P$7:$P$874,'30 days CF Table(NZD)'!G57,BS_RE33!$F$7:$F$874,'30 days CF Table(NZD)'!$C$2)</f>
        <v>0</v>
      </c>
      <c r="AC57" s="337">
        <f>SUMIFS(BS_RE33!$H$7:$H$874,BS_RE33!$S$7:$S$874,$AC$2,BS_RE33!$N$7:$N$874,I57,BS_RE33!$P$7:$P$874,'30 days CF Table(NZD)'!G57,BS_RE33!$F$7:$F$874,'30 days CF Table(NZD)'!$C$2)</f>
        <v>0</v>
      </c>
      <c r="AD57" s="337">
        <f>SUMIFS(BS_RE33!$H$7:$H$874,BS_RE33!$S$7:$S$874,$AD$2,BS_RE33!$N$7:$N$874,I57,BS_RE33!$P$7:$P$874,'30 days CF Table(NZD)'!G57,BS_RE33!$F$7:$F$874,'30 days CF Table(NZD)'!$C$2)</f>
        <v>0</v>
      </c>
      <c r="AE57" s="337">
        <f>SUMIFS(BS_RE33!$H$7:$H$874,BS_RE33!$S$7:$S$874,$AE$2,BS_RE33!$N$7:$N$874,I57,BS_RE33!$P$7:$P$874,'30 days CF Table(NZD)'!G57,BS_RE33!$F$7:$F$874,'30 days CF Table(NZD)'!$C$2)</f>
        <v>0</v>
      </c>
      <c r="AF57" s="337">
        <f>SUMIFS(BS_RE33!$H$7:$H$874,BS_RE33!$S$7:$S$874,$AF$2,BS_RE33!$N$7:$N$874,I57,BS_RE33!$P$7:$P$874,'30 days CF Table(NZD)'!G57,BS_RE33!$F$7:$F$874,'30 days CF Table(NZD)'!$C$2)</f>
        <v>0</v>
      </c>
      <c r="AG57" s="337">
        <f>SUMIFS(BS_RE33!$H$7:$H$874,BS_RE33!$S$7:$S$874,$AG$2,BS_RE33!$N$7:$N$874,I57,BS_RE33!$P$7:$P$874,'30 days CF Table(NZD)'!G57,BS_RE33!$F$7:$F$874,'30 days CF Table(NZD)'!$C$2)</f>
        <v>0</v>
      </c>
      <c r="AH57" s="337">
        <f>SUMIFS(BS_RE33!$H$7:$H$874,BS_RE33!$S$7:$S$874,$AH$2,BS_RE33!$N$7:$N$874,I57,BS_RE33!$P$7:$P$874,'30 days CF Table(NZD)'!G57,BS_RE33!$F$7:$F$874,'30 days CF Table(NZD)'!$C$2)</f>
        <v>0</v>
      </c>
      <c r="AI57" s="337">
        <f>SUMIFS(BS_RE33!$H$7:$H$874,BS_RE33!$S$7:$S$874,$AI$2,BS_RE33!$N$7:$N$874,I57,BS_RE33!$P$7:$P$874,'30 days CF Table(NZD)'!G57,BS_RE33!$F$7:$F$874,'30 days CF Table(NZD)'!$C$2)</f>
        <v>0</v>
      </c>
      <c r="AJ57" s="337">
        <f>SUMIFS(BS_RE33!$H$7:$H$874,BS_RE33!$S$7:$S$874,$AJ$2,BS_RE33!$N$7:$N$874,I57,BS_RE33!$P$7:$P$874,'30 days CF Table(NZD)'!G57,BS_RE33!$F$7:$F$874,'30 days CF Table(NZD)'!$C$2)</f>
        <v>0</v>
      </c>
      <c r="AK57" s="337">
        <f>SUMIFS(BS_RE33!$H$7:$H$874,BS_RE33!$S$7:$S$874,$AK$2,BS_RE33!$N$7:$N$874,I57,BS_RE33!$P$7:$P$874,'30 days CF Table(NZD)'!G57,BS_RE33!$F$7:$F$874,'30 days CF Table(NZD)'!$C$2)</f>
        <v>0</v>
      </c>
      <c r="AL57" s="337">
        <f>SUMIFS(BS_RE33!$H$7:$H$874,BS_RE33!$S$7:$S$874,$AL$2,BS_RE33!$N$7:$N$874,I57,BS_RE33!$P$7:$P$874,'30 days CF Table(NZD)'!G57,BS_RE33!$F$7:$F$874,'30 days CF Table(NZD)'!$C$2)</f>
        <v>0</v>
      </c>
      <c r="AM57" s="337">
        <f>SUMIFS(BS_RE33!$H$7:$H$874,BS_RE33!$S$7:$S$874,$AM$2,BS_RE33!$N$7:$N$874,I57,BS_RE33!$P$7:$P$874,'30 days CF Table(NZD)'!G57,BS_RE33!$F$7:$F$874,'30 days CF Table(NZD)'!$C$2)</f>
        <v>0</v>
      </c>
      <c r="AN57" s="337">
        <f>SUMIFS(BS_RE33!$H$7:$H$874,BS_RE33!$S$7:$S$874,$AN$2,BS_RE33!$N$7:$N$874,I57,BS_RE33!$P$7:$P$874,'30 days CF Table(NZD)'!G57,BS_RE33!$F$7:$F$874,'30 days CF Table(NZD)'!$C$2)</f>
        <v>0</v>
      </c>
      <c r="AO57" s="337">
        <f>SUMIFS(BS_RE33!$H$7:$H$874,BS_RE33!$S$7:$S$874,$AO$2,BS_RE33!$N$7:$N$874,I57,BS_RE33!$P$7:$P$874,'30 days CF Table(NZD)'!G57,BS_RE33!$F$7:$F$874,'30 days CF Table(NZD)'!$C$2)</f>
        <v>0</v>
      </c>
      <c r="AP57" s="338">
        <f>SUMIFS(BS_RE33!$H$7:$H$874,BS_RE33!$S$7:$S$874,$AP$2,BS_RE33!$N$7:$N$874,I57,BS_RE33!$P$7:$P$874,'30 days CF Table(NZD)'!G57,BS_RE33!$F$7:$F$874,'30 days CF Table(NZD)'!$C$2)</f>
        <v>0</v>
      </c>
      <c r="AR57" s="379">
        <f>SUMIFS(BS_RE33!$H$7:$H$874,BS_RE33!$S$7:$S$874,$AR$2,BS_RE33!$N$7:$N$874,I57,BS_RE33!$P$7:$P$874,'30 days CF Table(NZD)'!G57,BS_RE33!$F$7:$F$874,'30 days CF Table(NZD)'!$C$2)</f>
        <v>0</v>
      </c>
      <c r="AS57" s="379">
        <f>SUMIFS(BS_RE33!$H$7:$H$874,BS_RE33!$S$7:$S$874,$AS$2,BS_RE33!$N$7:$N$874,I57,BS_RE33!$P$7:$P$874,'30 days CF Table(NZD)'!G57,BS_RE33!$F$7:$F$874,'30 days CF Table(NZD)'!$C$2)</f>
        <v>0</v>
      </c>
      <c r="AT57" s="379">
        <f>SUMIFS(BS_RE33!$H$7:$H$874,BS_RE33!$S$7:$S$874,$AT$2,BS_RE33!$N$7:$N$874,I57,BS_RE33!$P$7:$P$874,'30 days CF Table(NZD)'!G57,BS_RE33!$F$7:$F$874,'30 days CF Table(NZD)'!$C$2)</f>
        <v>0</v>
      </c>
      <c r="AU57" s="379">
        <f>SUMIFS(BS_RE33!$H$7:$H$874,BS_RE33!$S$7:$S$874,$AU$2,BS_RE33!$N$7:$N$874,I57,BS_RE33!$P$7:$P$874,'30 days CF Table(NZD)'!G57,BS_RE33!$F$7:$F$874,'30 days CF Table(NZD)'!$C$2)</f>
        <v>0</v>
      </c>
      <c r="AV57" s="379">
        <f>SUMIFS(BS_RE33!$H$7:$H$874,BS_RE33!$S$7:$S$874,$AV$2,BS_RE33!$N$7:$N$874,I57,BS_RE33!$P$7:$P$874,'30 days CF Table(NZD)'!G57,BS_RE33!$F$7:$F$874,'30 days CF Table(NZD)'!$C$2)</f>
        <v>0</v>
      </c>
      <c r="AW57" s="379">
        <f>SUMIFS(BS_RE33!$H$7:$H$874,BS_RE33!$S$7:$S$874,$AW$2,BS_RE33!$N$7:$N$874,I57,BS_RE33!$P$7:$P$874,'30 days CF Table(NZD)'!G57,BS_RE33!$F$7:$F$874,'30 days CF Table(NZD)'!$C$2)</f>
        <v>0</v>
      </c>
      <c r="AX57" s="379">
        <f>SUMIFS(BS_RE33!$H$7:$H$874,BS_RE33!$S$7:$S$874,$AX$2,BS_RE33!$N$7:$N$874,I57,BS_RE33!$P$7:$P$874,'30 days CF Table(NZD)'!G57,BS_RE33!$F$7:$F$874,'30 days CF Table(NZD)'!$C$2)</f>
        <v>0</v>
      </c>
      <c r="AY57" s="379">
        <f>SUMIFS(BS_RE33!$H$7:$H$874,BS_RE33!$S$7:$S$874,$AY$2,BS_RE33!$N$7:$N$874,I57,BS_RE33!$P$7:$P$874,'30 days CF Table(NZD)'!G57,BS_RE33!$F$7:$F$874,'30 days CF Table(NZD)'!$C$2)</f>
        <v>0</v>
      </c>
      <c r="AZ57" s="379">
        <f>SUMIFS(BS_RE33!$H$7:$H$874,BS_RE33!$S$7:$S$874,$AZ$2,BS_RE33!$N$7:$N$874,I57,BS_RE33!$P$7:$P$874,'30 days CF Table(NZD)'!G57,BS_RE33!$F$7:$F$874,'30 days CF Table(NZD)'!$C$2)</f>
        <v>0</v>
      </c>
      <c r="BA57" s="379">
        <f>SUMIFS(BS_RE33!$H$7:$H$874,BS_RE33!$S$7:$S$874,$BA$2,BS_RE33!$N$7:$N$874,I57,BS_RE33!$P$7:$P$874,'30 days CF Table(NZD)'!G57,BS_RE33!$F$7:$F$874,'30 days CF Table(NZD)'!$C$2)</f>
        <v>0</v>
      </c>
      <c r="BB57" s="379">
        <f>SUMIFS(BS_RE33!$H$7:$H$874,BS_RE33!$S$7:$S$874,$BB$2,BS_RE33!$N$7:$N$874,I57,BS_RE33!$P$7:$P$874,'30 days CF Table(NZD)'!G57,BS_RE33!$F$7:$F$874,'30 days CF Table(NZD)'!$C$2)</f>
        <v>0</v>
      </c>
      <c r="BC57" s="379">
        <f>SUMIFS(BS_RE33!$H$7:$H$874,BS_RE33!$S$7:$S$874,$BC$2,BS_RE33!$N$7:$N$874,I57,BS_RE33!$P$7:$P$874,'30 days CF Table(NZD)'!G57,BS_RE33!$F$7:$F$874,'30 days CF Table(NZD)'!$C$2)</f>
        <v>0</v>
      </c>
      <c r="BD57" s="379">
        <f>SUMIFS(BS_RE33!$H$7:$H$874,BS_RE33!$S$7:$S$874,$BD$2,BS_RE33!$N$7:$N$874,I57,BS_RE33!$P$7:$P$874,'30 days CF Table(NZD)'!G57,BS_RE33!$F$7:$F$874,'30 days CF Table(NZD)'!$C$2)</f>
        <v>0</v>
      </c>
      <c r="BE57" s="379">
        <f>SUMIFS(BS_RE33!$H$7:$H$874,BS_RE33!$S$7:$S$874,$BE$2,BS_RE33!$N$7:$N$874,I57,BS_RE33!$P$7:$P$874,'30 days CF Table(NZD)'!G57,BS_RE33!$F$7:$F$874,'30 days CF Table(NZD)'!$C$2)</f>
        <v>0</v>
      </c>
      <c r="BF57" s="379">
        <f>SUMIFS(BS_RE33!$H$7:$H$874,BS_RE33!$S$7:$S$874,$BF$2,BS_RE33!$N$7:$N$874,I57,BS_RE33!$P$7:$P$874,'30 days CF Table(NZD)'!G57,BS_RE33!$F$7:$F$874,'30 days CF Table(NZD)'!$C$2)</f>
        <v>0</v>
      </c>
      <c r="BG57" s="379">
        <f>SUMIFS(BS_RE33!$H$7:$H$874,BS_RE33!$S$7:$S$874,$BG$2,BS_RE33!$N$7:$N$874,I57,BS_RE33!$P$7:$P$874,'30 days CF Table(NZD)'!G57,BS_RE33!$F$7:$F$874,'30 days CF Table(NZD)'!$C$2)</f>
        <v>0</v>
      </c>
      <c r="BH57" s="379">
        <f>SUMIFS(BS_RE33!$H$7:$H$874,BS_RE33!$S$7:$S$874,$BH$2,BS_RE33!$N$7:$N$874,I57,BS_RE33!$P$7:$P$874,'30 days CF Table(NZD)'!G57,BS_RE33!$F$7:$F$874,'30 days CF Table(NZD)'!$C$2)</f>
        <v>0</v>
      </c>
      <c r="BI57" s="379">
        <f>SUMIFS(BS_RE33!$H$7:$H$874,BS_RE33!$S$7:$S$874,$BI$2,BS_RE33!$N$7:$N$874,I57,BS_RE33!$P$7:$P$874,'30 days CF Table(NZD)'!G57,BS_RE33!$F$7:$F$874,'30 days CF Table(NZD)'!$C$2)</f>
        <v>0</v>
      </c>
      <c r="BJ57" s="379">
        <f>SUMIFS(BS_RE33!$H$7:$H$874,BS_RE33!$S$7:$S$874,$BJ$2,BS_RE33!$N$7:$N$874,I57,BS_RE33!$P$7:$P$874,'30 days CF Table(NZD)'!G57,BS_RE33!$F$7:$F$874,'30 days CF Table(NZD)'!$C$2)</f>
        <v>0</v>
      </c>
      <c r="BK57" s="379">
        <f>SUMIFS(BS_RE33!$H$7:$H$874,BS_RE33!$S$7:$S$874,$BK$2,BS_RE33!$N$7:$N$874,I57,BS_RE33!$P$7:$P$874,'30 days CF Table(NZD)'!G57,BS_RE33!$F$7:$F$874,'30 days CF Table(NZD)'!$C$2)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Table(NZD)'!G58,BS_RE33!$F$7:$F$874,'30 days CF Table(NZD)'!$C$2)</f>
        <v>0</v>
      </c>
      <c r="M58" s="337">
        <f>SUMIFS(BS_RE33!$H$7:$H$874,BS_RE33!$S$7:$S$874,$M$2,BS_RE33!$N$7:$N$874,I58,BS_RE33!$P$7:$P$874,'30 days CF Table(NZD)'!G58,BS_RE33!$F$7:$F$874,'30 days CF Table(NZD)'!$C$2)</f>
        <v>0</v>
      </c>
      <c r="N58" s="337">
        <f>SUMIFS(BS_RE33!$H$7:$H$874,BS_RE33!$S$7:$S$874,$N$2,BS_RE33!$N$7:$N$874,I58,BS_RE33!$P$7:$P$874,'30 days CF Table(NZD)'!G58,BS_RE33!$F$7:$F$874,'30 days CF Table(NZD)'!$C$2)</f>
        <v>0</v>
      </c>
      <c r="O58" s="337">
        <f>SUMIFS(BS_RE33!$H$7:$H$874,BS_RE33!$S$7:$S$874,$O$2,BS_RE33!$N$7:$N$874,I58,BS_RE33!$P$7:$P$874,'30 days CF Table(NZD)'!G58,BS_RE33!$F$7:$F$874,'30 days CF Table(NZD)'!$C$2)</f>
        <v>0</v>
      </c>
      <c r="P58" s="337">
        <f>SUMIFS(BS_RE33!$H$7:$H$874,BS_RE33!$S$7:$S$874,$P$2,BS_RE33!$N$7:$N$874,I58,BS_RE33!$P$7:$P$874,'30 days CF Table(NZD)'!G58,BS_RE33!$F$7:$F$874,'30 days CF Table(NZD)'!$C$2)</f>
        <v>0</v>
      </c>
      <c r="Q58" s="337">
        <f>SUMIFS(BS_RE33!$H$7:$H$874,BS_RE33!$S$7:$S$874,$Q$2,BS_RE33!$N$7:$N$874,I58,BS_RE33!$P$7:$P$874,'30 days CF Table(NZD)'!G58,BS_RE33!$F$7:$F$874,'30 days CF Table(NZD)'!$C$2)</f>
        <v>0</v>
      </c>
      <c r="R58" s="337">
        <f>SUMIFS(BS_RE33!$H$7:$H$874,BS_RE33!$S$7:$S$874,$R$2,BS_RE33!$N$7:$N$874,I58,BS_RE33!$P$7:$P$874,'30 days CF Table(NZD)'!G58,BS_RE33!$F$7:$F$874,'30 days CF Table(NZD)'!$C$2)</f>
        <v>0</v>
      </c>
      <c r="S58" s="337">
        <f>SUMIFS(BS_RE33!$H$7:$H$874,BS_RE33!$S$7:$S$874,$S$2,BS_RE33!$N$7:$N$874,I58,BS_RE33!$P$7:$P$874,'30 days CF Table(NZD)'!G58,BS_RE33!$F$7:$F$874,'30 days CF Table(NZD)'!$C$2)</f>
        <v>0</v>
      </c>
      <c r="T58" s="337">
        <f>SUMIFS(BS_RE33!$H$7:$H$874,BS_RE33!$S$7:$S$874,$T$2,BS_RE33!$N$7:$N$874,I58,BS_RE33!$P$7:$P$874,'30 days CF Table(NZD)'!G58,BS_RE33!$F$7:$F$874,'30 days CF Table(NZD)'!$C$2)</f>
        <v>0</v>
      </c>
      <c r="U58" s="337">
        <f>SUMIFS(BS_RE33!$H$7:$H$874,BS_RE33!$S$7:$S$874,$U$2,BS_RE33!$N$7:$N$874,I58,BS_RE33!$P$7:$P$874,'30 days CF Table(NZD)'!G58,BS_RE33!$F$7:$F$874,'30 days CF Table(NZD)'!$C$2)</f>
        <v>0</v>
      </c>
      <c r="V58" s="337">
        <f>SUMIFS(BS_RE33!$H$7:$H$874,BS_RE33!$S$7:$S$874,$V$2,BS_RE33!$N$7:$N$874,I58,BS_RE33!$P$7:$P$874,'30 days CF Table(NZD)'!G58,BS_RE33!$F$7:$F$874,'30 days CF Table(NZD)'!$C$2)</f>
        <v>0</v>
      </c>
      <c r="W58" s="337">
        <f>SUMIFS(BS_RE33!$H$7:$H$874,BS_RE33!$S$7:$S$874,$W$2,BS_RE33!$N$7:$N$874,I58,BS_RE33!$P$7:$P$874,'30 days CF Table(NZD)'!G58,BS_RE33!$F$7:$F$874,'30 days CF Table(NZD)'!$C$2)</f>
        <v>0</v>
      </c>
      <c r="X58" s="337">
        <f>SUMIFS(BS_RE33!$H$7:$H$874,BS_RE33!$S$7:$S$874,$X$2,BS_RE33!$N$7:$N$874,I58,BS_RE33!$P$7:$P$874,'30 days CF Table(NZD)'!G58,BS_RE33!$F$7:$F$874,'30 days CF Table(NZD)'!$C$2)</f>
        <v>0</v>
      </c>
      <c r="Y58" s="337">
        <f>SUMIFS(BS_RE33!$H$7:$H$874,BS_RE33!$S$7:$S$874,$Y$2,BS_RE33!$N$7:$N$874,I58,BS_RE33!$P$7:$P$874,'30 days CF Table(NZD)'!G58,BS_RE33!$F$7:$F$874,'30 days CF Table(NZD)'!$C$2)</f>
        <v>0</v>
      </c>
      <c r="Z58" s="337">
        <f>SUMIFS(BS_RE33!$H$7:$H$874,BS_RE33!$S$7:$S$874,$Z$2,BS_RE33!$N$7:$N$874,I58,BS_RE33!$P$7:$P$874,'30 days CF Table(NZD)'!G58,BS_RE33!$F$7:$F$874,'30 days CF Table(NZD)'!$C$2)</f>
        <v>0</v>
      </c>
      <c r="AA58" s="337">
        <f>SUMIFS(BS_RE33!$H$7:$H$874,BS_RE33!$S$7:$S$874,$AA$2,BS_RE33!$N$7:$N$874,I58,BS_RE33!$P$7:$P$874,'30 days CF Table(NZD)'!G58,BS_RE33!$F$7:$F$874,'30 days CF Table(NZD)'!$C$2)</f>
        <v>0</v>
      </c>
      <c r="AB58" s="337">
        <f>SUMIFS(BS_RE33!$H$7:$H$874,BS_RE33!$S$7:$S$874,$AB$2,BS_RE33!$N$7:$N$874,I58,BS_RE33!$P$7:$P$874,'30 days CF Table(NZD)'!G58,BS_RE33!$F$7:$F$874,'30 days CF Table(NZD)'!$C$2)</f>
        <v>0</v>
      </c>
      <c r="AC58" s="337">
        <f>SUMIFS(BS_RE33!$H$7:$H$874,BS_RE33!$S$7:$S$874,$AC$2,BS_RE33!$N$7:$N$874,I58,BS_RE33!$P$7:$P$874,'30 days CF Table(NZD)'!G58,BS_RE33!$F$7:$F$874,'30 days CF Table(NZD)'!$C$2)</f>
        <v>0</v>
      </c>
      <c r="AD58" s="337">
        <f>SUMIFS(BS_RE33!$H$7:$H$874,BS_RE33!$S$7:$S$874,$AD$2,BS_RE33!$N$7:$N$874,I58,BS_RE33!$P$7:$P$874,'30 days CF Table(NZD)'!G58,BS_RE33!$F$7:$F$874,'30 days CF Table(NZD)'!$C$2)</f>
        <v>0</v>
      </c>
      <c r="AE58" s="337">
        <f>SUMIFS(BS_RE33!$H$7:$H$874,BS_RE33!$S$7:$S$874,$AE$2,BS_RE33!$N$7:$N$874,I58,BS_RE33!$P$7:$P$874,'30 days CF Table(NZD)'!G58,BS_RE33!$F$7:$F$874,'30 days CF Table(NZD)'!$C$2)</f>
        <v>0</v>
      </c>
      <c r="AF58" s="337">
        <f>SUMIFS(BS_RE33!$H$7:$H$874,BS_RE33!$S$7:$S$874,$AF$2,BS_RE33!$N$7:$N$874,I58,BS_RE33!$P$7:$P$874,'30 days CF Table(NZD)'!G58,BS_RE33!$F$7:$F$874,'30 days CF Table(NZD)'!$C$2)</f>
        <v>0</v>
      </c>
      <c r="AG58" s="337">
        <f>SUMIFS(BS_RE33!$H$7:$H$874,BS_RE33!$S$7:$S$874,$AG$2,BS_RE33!$N$7:$N$874,I58,BS_RE33!$P$7:$P$874,'30 days CF Table(NZD)'!G58,BS_RE33!$F$7:$F$874,'30 days CF Table(NZD)'!$C$2)</f>
        <v>0</v>
      </c>
      <c r="AH58" s="337">
        <f>SUMIFS(BS_RE33!$H$7:$H$874,BS_RE33!$S$7:$S$874,$AH$2,BS_RE33!$N$7:$N$874,I58,BS_RE33!$P$7:$P$874,'30 days CF Table(NZD)'!G58,BS_RE33!$F$7:$F$874,'30 days CF Table(NZD)'!$C$2)</f>
        <v>0</v>
      </c>
      <c r="AI58" s="337">
        <f>SUMIFS(BS_RE33!$H$7:$H$874,BS_RE33!$S$7:$S$874,$AI$2,BS_RE33!$N$7:$N$874,I58,BS_RE33!$P$7:$P$874,'30 days CF Table(NZD)'!G58,BS_RE33!$F$7:$F$874,'30 days CF Table(NZD)'!$C$2)</f>
        <v>0</v>
      </c>
      <c r="AJ58" s="337">
        <f>SUMIFS(BS_RE33!$H$7:$H$874,BS_RE33!$S$7:$S$874,$AJ$2,BS_RE33!$N$7:$N$874,I58,BS_RE33!$P$7:$P$874,'30 days CF Table(NZD)'!G58,BS_RE33!$F$7:$F$874,'30 days CF Table(NZD)'!$C$2)</f>
        <v>0</v>
      </c>
      <c r="AK58" s="337">
        <f>SUMIFS(BS_RE33!$H$7:$H$874,BS_RE33!$S$7:$S$874,$AK$2,BS_RE33!$N$7:$N$874,I58,BS_RE33!$P$7:$P$874,'30 days CF Table(NZD)'!G58,BS_RE33!$F$7:$F$874,'30 days CF Table(NZD)'!$C$2)</f>
        <v>0</v>
      </c>
      <c r="AL58" s="337">
        <f>SUMIFS(BS_RE33!$H$7:$H$874,BS_RE33!$S$7:$S$874,$AL$2,BS_RE33!$N$7:$N$874,I58,BS_RE33!$P$7:$P$874,'30 days CF Table(NZD)'!G58,BS_RE33!$F$7:$F$874,'30 days CF Table(NZD)'!$C$2)</f>
        <v>0</v>
      </c>
      <c r="AM58" s="337">
        <f>SUMIFS(BS_RE33!$H$7:$H$874,BS_RE33!$S$7:$S$874,$AM$2,BS_RE33!$N$7:$N$874,I58,BS_RE33!$P$7:$P$874,'30 days CF Table(NZD)'!G58,BS_RE33!$F$7:$F$874,'30 days CF Table(NZD)'!$C$2)</f>
        <v>0</v>
      </c>
      <c r="AN58" s="337">
        <f>SUMIFS(BS_RE33!$H$7:$H$874,BS_RE33!$S$7:$S$874,$AN$2,BS_RE33!$N$7:$N$874,I58,BS_RE33!$P$7:$P$874,'30 days CF Table(NZD)'!G58,BS_RE33!$F$7:$F$874,'30 days CF Table(NZD)'!$C$2)</f>
        <v>0</v>
      </c>
      <c r="AO58" s="337">
        <f>SUMIFS(BS_RE33!$H$7:$H$874,BS_RE33!$S$7:$S$874,$AO$2,BS_RE33!$N$7:$N$874,I58,BS_RE33!$P$7:$P$874,'30 days CF Table(NZD)'!G58,BS_RE33!$F$7:$F$874,'30 days CF Table(NZD)'!$C$2)</f>
        <v>0</v>
      </c>
      <c r="AP58" s="338">
        <f>SUMIFS(BS_RE33!$H$7:$H$874,BS_RE33!$S$7:$S$874,$AP$2,BS_RE33!$N$7:$N$874,I58,BS_RE33!$P$7:$P$874,'30 days CF Table(NZD)'!G58,BS_RE33!$F$7:$F$874,'30 days CF Table(NZD)'!$C$2)</f>
        <v>0</v>
      </c>
      <c r="AR58" s="379">
        <f>SUMIFS(BS_RE33!$H$7:$H$874,BS_RE33!$S$7:$S$874,$AR$2,BS_RE33!$N$7:$N$874,I58,BS_RE33!$P$7:$P$874,'30 days CF Table(NZD)'!G58,BS_RE33!$F$7:$F$874,'30 days CF Table(NZD)'!$C$2)</f>
        <v>0</v>
      </c>
      <c r="AS58" s="379">
        <f>SUMIFS(BS_RE33!$H$7:$H$874,BS_RE33!$S$7:$S$874,$AS$2,BS_RE33!$N$7:$N$874,I58,BS_RE33!$P$7:$P$874,'30 days CF Table(NZD)'!G58,BS_RE33!$F$7:$F$874,'30 days CF Table(NZD)'!$C$2)</f>
        <v>0</v>
      </c>
      <c r="AT58" s="379">
        <f>SUMIFS(BS_RE33!$H$7:$H$874,BS_RE33!$S$7:$S$874,$AT$2,BS_RE33!$N$7:$N$874,I58,BS_RE33!$P$7:$P$874,'30 days CF Table(NZD)'!G58,BS_RE33!$F$7:$F$874,'30 days CF Table(NZD)'!$C$2)</f>
        <v>0</v>
      </c>
      <c r="AU58" s="379">
        <f>SUMIFS(BS_RE33!$H$7:$H$874,BS_RE33!$S$7:$S$874,$AU$2,BS_RE33!$N$7:$N$874,I58,BS_RE33!$P$7:$P$874,'30 days CF Table(NZD)'!G58,BS_RE33!$F$7:$F$874,'30 days CF Table(NZD)'!$C$2)</f>
        <v>0</v>
      </c>
      <c r="AV58" s="379">
        <f>SUMIFS(BS_RE33!$H$7:$H$874,BS_RE33!$S$7:$S$874,$AV$2,BS_RE33!$N$7:$N$874,I58,BS_RE33!$P$7:$P$874,'30 days CF Table(NZD)'!G58,BS_RE33!$F$7:$F$874,'30 days CF Table(NZD)'!$C$2)</f>
        <v>0</v>
      </c>
      <c r="AW58" s="379">
        <f>SUMIFS(BS_RE33!$H$7:$H$874,BS_RE33!$S$7:$S$874,$AW$2,BS_RE33!$N$7:$N$874,I58,BS_RE33!$P$7:$P$874,'30 days CF Table(NZD)'!G58,BS_RE33!$F$7:$F$874,'30 days CF Table(NZD)'!$C$2)</f>
        <v>0</v>
      </c>
      <c r="AX58" s="379">
        <f>SUMIFS(BS_RE33!$H$7:$H$874,BS_RE33!$S$7:$S$874,$AX$2,BS_RE33!$N$7:$N$874,I58,BS_RE33!$P$7:$P$874,'30 days CF Table(NZD)'!G58,BS_RE33!$F$7:$F$874,'30 days CF Table(NZD)'!$C$2)</f>
        <v>0</v>
      </c>
      <c r="AY58" s="379">
        <f>SUMIFS(BS_RE33!$H$7:$H$874,BS_RE33!$S$7:$S$874,$AY$2,BS_RE33!$N$7:$N$874,I58,BS_RE33!$P$7:$P$874,'30 days CF Table(NZD)'!G58,BS_RE33!$F$7:$F$874,'30 days CF Table(NZD)'!$C$2)</f>
        <v>0</v>
      </c>
      <c r="AZ58" s="379">
        <f>SUMIFS(BS_RE33!$H$7:$H$874,BS_RE33!$S$7:$S$874,$AZ$2,BS_RE33!$N$7:$N$874,I58,BS_RE33!$P$7:$P$874,'30 days CF Table(NZD)'!G58,BS_RE33!$F$7:$F$874,'30 days CF Table(NZD)'!$C$2)</f>
        <v>0</v>
      </c>
      <c r="BA58" s="379">
        <f>SUMIFS(BS_RE33!$H$7:$H$874,BS_RE33!$S$7:$S$874,$BA$2,BS_RE33!$N$7:$N$874,I58,BS_RE33!$P$7:$P$874,'30 days CF Table(NZD)'!G58,BS_RE33!$F$7:$F$874,'30 days CF Table(NZD)'!$C$2)</f>
        <v>0</v>
      </c>
      <c r="BB58" s="379">
        <f>SUMIFS(BS_RE33!$H$7:$H$874,BS_RE33!$S$7:$S$874,$BB$2,BS_RE33!$N$7:$N$874,I58,BS_RE33!$P$7:$P$874,'30 days CF Table(NZD)'!G58,BS_RE33!$F$7:$F$874,'30 days CF Table(NZD)'!$C$2)</f>
        <v>0</v>
      </c>
      <c r="BC58" s="379">
        <f>SUMIFS(BS_RE33!$H$7:$H$874,BS_RE33!$S$7:$S$874,$BC$2,BS_RE33!$N$7:$N$874,I58,BS_RE33!$P$7:$P$874,'30 days CF Table(NZD)'!G58,BS_RE33!$F$7:$F$874,'30 days CF Table(NZD)'!$C$2)</f>
        <v>0</v>
      </c>
      <c r="BD58" s="379">
        <f>SUMIFS(BS_RE33!$H$7:$H$874,BS_RE33!$S$7:$S$874,$BD$2,BS_RE33!$N$7:$N$874,I58,BS_RE33!$P$7:$P$874,'30 days CF Table(NZD)'!G58,BS_RE33!$F$7:$F$874,'30 days CF Table(NZD)'!$C$2)</f>
        <v>0</v>
      </c>
      <c r="BE58" s="379">
        <f>SUMIFS(BS_RE33!$H$7:$H$874,BS_RE33!$S$7:$S$874,$BE$2,BS_RE33!$N$7:$N$874,I58,BS_RE33!$P$7:$P$874,'30 days CF Table(NZD)'!G58,BS_RE33!$F$7:$F$874,'30 days CF Table(NZD)'!$C$2)</f>
        <v>0</v>
      </c>
      <c r="BF58" s="379">
        <f>SUMIFS(BS_RE33!$H$7:$H$874,BS_RE33!$S$7:$S$874,$BF$2,BS_RE33!$N$7:$N$874,I58,BS_RE33!$P$7:$P$874,'30 days CF Table(NZD)'!G58,BS_RE33!$F$7:$F$874,'30 days CF Table(NZD)'!$C$2)</f>
        <v>0</v>
      </c>
      <c r="BG58" s="379">
        <f>SUMIFS(BS_RE33!$H$7:$H$874,BS_RE33!$S$7:$S$874,$BG$2,BS_RE33!$N$7:$N$874,I58,BS_RE33!$P$7:$P$874,'30 days CF Table(NZD)'!G58,BS_RE33!$F$7:$F$874,'30 days CF Table(NZD)'!$C$2)</f>
        <v>0</v>
      </c>
      <c r="BH58" s="379">
        <f>SUMIFS(BS_RE33!$H$7:$H$874,BS_RE33!$S$7:$S$874,$BH$2,BS_RE33!$N$7:$N$874,I58,BS_RE33!$P$7:$P$874,'30 days CF Table(NZD)'!G58,BS_RE33!$F$7:$F$874,'30 days CF Table(NZD)'!$C$2)</f>
        <v>0</v>
      </c>
      <c r="BI58" s="379">
        <f>SUMIFS(BS_RE33!$H$7:$H$874,BS_RE33!$S$7:$S$874,$BI$2,BS_RE33!$N$7:$N$874,I58,BS_RE33!$P$7:$P$874,'30 days CF Table(NZD)'!G58,BS_RE33!$F$7:$F$874,'30 days CF Table(NZD)'!$C$2)</f>
        <v>0</v>
      </c>
      <c r="BJ58" s="379">
        <f>SUMIFS(BS_RE33!$H$7:$H$874,BS_RE33!$S$7:$S$874,$BJ$2,BS_RE33!$N$7:$N$874,I58,BS_RE33!$P$7:$P$874,'30 days CF Table(NZD)'!G58,BS_RE33!$F$7:$F$874,'30 days CF Table(NZD)'!$C$2)</f>
        <v>0</v>
      </c>
      <c r="BK58" s="379">
        <f>SUMIFS(BS_RE33!$H$7:$H$874,BS_RE33!$S$7:$S$874,$BK$2,BS_RE33!$N$7:$N$874,I58,BS_RE33!$P$7:$P$874,'30 days CF Table(NZD)'!G58,BS_RE33!$F$7:$F$874,'30 days CF Table(NZD)'!$C$2)</f>
        <v>0</v>
      </c>
    </row>
    <row r="59" spans="3:63">
      <c r="C59" s="1027"/>
      <c r="D59" s="1039"/>
      <c r="E59" s="105" t="s">
        <v>96</v>
      </c>
      <c r="F59" s="312" t="s">
        <v>493</v>
      </c>
      <c r="G59" s="392" t="s">
        <v>1252</v>
      </c>
      <c r="H59" s="317">
        <v>0.4</v>
      </c>
      <c r="I59" s="315" t="s">
        <v>80</v>
      </c>
      <c r="J59" s="479">
        <f t="shared" si="2"/>
        <v>0</v>
      </c>
      <c r="K59" s="336">
        <f t="shared" si="3"/>
        <v>0</v>
      </c>
      <c r="L59" s="337">
        <f>SUMIFS(BS_RE33!$H$7:$H$874,BS_RE33!$S$7:$S$874,$L$2,BS_RE33!$N$7:$N$874,I59,BS_RE33!$P$7:$P$874,'30 days CF Table(NZD)'!G59,BS_RE33!$F$7:$F$874,'30 days CF Table(NZD)'!$C$2)</f>
        <v>0</v>
      </c>
      <c r="M59" s="337">
        <f>SUMIFS(BS_RE33!$H$7:$H$874,BS_RE33!$S$7:$S$874,$M$2,BS_RE33!$N$7:$N$874,I59,BS_RE33!$P$7:$P$874,'30 days CF Table(NZD)'!G59,BS_RE33!$F$7:$F$874,'30 days CF Table(NZD)'!$C$2)</f>
        <v>0</v>
      </c>
      <c r="N59" s="337">
        <f>SUMIFS(BS_RE33!$H$7:$H$874,BS_RE33!$S$7:$S$874,$N$2,BS_RE33!$N$7:$N$874,I59,BS_RE33!$P$7:$P$874,'30 days CF Table(NZD)'!G59,BS_RE33!$F$7:$F$874,'30 days CF Table(NZD)'!$C$2)</f>
        <v>0</v>
      </c>
      <c r="O59" s="337">
        <f>SUMIFS(BS_RE33!$H$7:$H$874,BS_RE33!$S$7:$S$874,$O$2,BS_RE33!$N$7:$N$874,I59,BS_RE33!$P$7:$P$874,'30 days CF Table(NZD)'!G59,BS_RE33!$F$7:$F$874,'30 days CF Table(NZD)'!$C$2)</f>
        <v>0</v>
      </c>
      <c r="P59" s="337">
        <f>SUMIFS(BS_RE33!$H$7:$H$874,BS_RE33!$S$7:$S$874,$P$2,BS_RE33!$N$7:$N$874,I59,BS_RE33!$P$7:$P$874,'30 days CF Table(NZD)'!G59,BS_RE33!$F$7:$F$874,'30 days CF Table(NZD)'!$C$2)</f>
        <v>0</v>
      </c>
      <c r="Q59" s="337">
        <f>SUMIFS(BS_RE33!$H$7:$H$874,BS_RE33!$S$7:$S$874,$Q$2,BS_RE33!$N$7:$N$874,I59,BS_RE33!$P$7:$P$874,'30 days CF Table(NZD)'!G59,BS_RE33!$F$7:$F$874,'30 days CF Table(NZD)'!$C$2)</f>
        <v>0</v>
      </c>
      <c r="R59" s="337">
        <f>SUMIFS(BS_RE33!$H$7:$H$874,BS_RE33!$S$7:$S$874,$R$2,BS_RE33!$N$7:$N$874,I59,BS_RE33!$P$7:$P$874,'30 days CF Table(NZD)'!G59,BS_RE33!$F$7:$F$874,'30 days CF Table(NZD)'!$C$2)</f>
        <v>0</v>
      </c>
      <c r="S59" s="337">
        <f>SUMIFS(BS_RE33!$H$7:$H$874,BS_RE33!$S$7:$S$874,$S$2,BS_RE33!$N$7:$N$874,I59,BS_RE33!$P$7:$P$874,'30 days CF Table(NZD)'!G59,BS_RE33!$F$7:$F$874,'30 days CF Table(NZD)'!$C$2)</f>
        <v>0</v>
      </c>
      <c r="T59" s="337">
        <f>SUMIFS(BS_RE33!$H$7:$H$874,BS_RE33!$S$7:$S$874,$T$2,BS_RE33!$N$7:$N$874,I59,BS_RE33!$P$7:$P$874,'30 days CF Table(NZD)'!G59,BS_RE33!$F$7:$F$874,'30 days CF Table(NZD)'!$C$2)</f>
        <v>0</v>
      </c>
      <c r="U59" s="337">
        <f>SUMIFS(BS_RE33!$H$7:$H$874,BS_RE33!$S$7:$S$874,$U$2,BS_RE33!$N$7:$N$874,I59,BS_RE33!$P$7:$P$874,'30 days CF Table(NZD)'!G59,BS_RE33!$F$7:$F$874,'30 days CF Table(NZD)'!$C$2)</f>
        <v>0</v>
      </c>
      <c r="V59" s="337">
        <f>SUMIFS(BS_RE33!$H$7:$H$874,BS_RE33!$S$7:$S$874,$V$2,BS_RE33!$N$7:$N$874,I59,BS_RE33!$P$7:$P$874,'30 days CF Table(NZD)'!G59,BS_RE33!$F$7:$F$874,'30 days CF Table(NZD)'!$C$2)</f>
        <v>0</v>
      </c>
      <c r="W59" s="337">
        <f>SUMIFS(BS_RE33!$H$7:$H$874,BS_RE33!$S$7:$S$874,$W$2,BS_RE33!$N$7:$N$874,I59,BS_RE33!$P$7:$P$874,'30 days CF Table(NZD)'!G59,BS_RE33!$F$7:$F$874,'30 days CF Table(NZD)'!$C$2)</f>
        <v>0</v>
      </c>
      <c r="X59" s="337">
        <f>SUMIFS(BS_RE33!$H$7:$H$874,BS_RE33!$S$7:$S$874,$X$2,BS_RE33!$N$7:$N$874,I59,BS_RE33!$P$7:$P$874,'30 days CF Table(NZD)'!G59,BS_RE33!$F$7:$F$874,'30 days CF Table(NZD)'!$C$2)</f>
        <v>0</v>
      </c>
      <c r="Y59" s="337">
        <f>SUMIFS(BS_RE33!$H$7:$H$874,BS_RE33!$S$7:$S$874,$Y$2,BS_RE33!$N$7:$N$874,I59,BS_RE33!$P$7:$P$874,'30 days CF Table(NZD)'!G59,BS_RE33!$F$7:$F$874,'30 days CF Table(NZD)'!$C$2)</f>
        <v>0</v>
      </c>
      <c r="Z59" s="337">
        <f>SUMIFS(BS_RE33!$H$7:$H$874,BS_RE33!$S$7:$S$874,$Z$2,BS_RE33!$N$7:$N$874,I59,BS_RE33!$P$7:$P$874,'30 days CF Table(NZD)'!G59,BS_RE33!$F$7:$F$874,'30 days CF Table(NZD)'!$C$2)</f>
        <v>0</v>
      </c>
      <c r="AA59" s="337">
        <f>SUMIFS(BS_RE33!$H$7:$H$874,BS_RE33!$S$7:$S$874,$AA$2,BS_RE33!$N$7:$N$874,I59,BS_RE33!$P$7:$P$874,'30 days CF Table(NZD)'!G59,BS_RE33!$F$7:$F$874,'30 days CF Table(NZD)'!$C$2)</f>
        <v>0</v>
      </c>
      <c r="AB59" s="337">
        <f>SUMIFS(BS_RE33!$H$7:$H$874,BS_RE33!$S$7:$S$874,$AB$2,BS_RE33!$N$7:$N$874,I59,BS_RE33!$P$7:$P$874,'30 days CF Table(NZD)'!G59,BS_RE33!$F$7:$F$874,'30 days CF Table(NZD)'!$C$2)</f>
        <v>0</v>
      </c>
      <c r="AC59" s="337">
        <f>SUMIFS(BS_RE33!$H$7:$H$874,BS_RE33!$S$7:$S$874,$AC$2,BS_RE33!$N$7:$N$874,I59,BS_RE33!$P$7:$P$874,'30 days CF Table(NZD)'!G59,BS_RE33!$F$7:$F$874,'30 days CF Table(NZD)'!$C$2)</f>
        <v>0</v>
      </c>
      <c r="AD59" s="337">
        <f>SUMIFS(BS_RE33!$H$7:$H$874,BS_RE33!$S$7:$S$874,$AD$2,BS_RE33!$N$7:$N$874,I59,BS_RE33!$P$7:$P$874,'30 days CF Table(NZD)'!G59,BS_RE33!$F$7:$F$874,'30 days CF Table(NZD)'!$C$2)</f>
        <v>0</v>
      </c>
      <c r="AE59" s="337">
        <f>SUMIFS(BS_RE33!$H$7:$H$874,BS_RE33!$S$7:$S$874,$AE$2,BS_RE33!$N$7:$N$874,I59,BS_RE33!$P$7:$P$874,'30 days CF Table(NZD)'!G59,BS_RE33!$F$7:$F$874,'30 days CF Table(NZD)'!$C$2)</f>
        <v>0</v>
      </c>
      <c r="AF59" s="337">
        <f>SUMIFS(BS_RE33!$H$7:$H$874,BS_RE33!$S$7:$S$874,$AF$2,BS_RE33!$N$7:$N$874,I59,BS_RE33!$P$7:$P$874,'30 days CF Table(NZD)'!G59,BS_RE33!$F$7:$F$874,'30 days CF Table(NZD)'!$C$2)</f>
        <v>0</v>
      </c>
      <c r="AG59" s="337">
        <f>SUMIFS(BS_RE33!$H$7:$H$874,BS_RE33!$S$7:$S$874,$AG$2,BS_RE33!$N$7:$N$874,I59,BS_RE33!$P$7:$P$874,'30 days CF Table(NZD)'!G59,BS_RE33!$F$7:$F$874,'30 days CF Table(NZD)'!$C$2)</f>
        <v>0</v>
      </c>
      <c r="AH59" s="337">
        <f>SUMIFS(BS_RE33!$H$7:$H$874,BS_RE33!$S$7:$S$874,$AH$2,BS_RE33!$N$7:$N$874,I59,BS_RE33!$P$7:$P$874,'30 days CF Table(NZD)'!G59,BS_RE33!$F$7:$F$874,'30 days CF Table(NZD)'!$C$2)</f>
        <v>0</v>
      </c>
      <c r="AI59" s="337">
        <f>SUMIFS(BS_RE33!$H$7:$H$874,BS_RE33!$S$7:$S$874,$AI$2,BS_RE33!$N$7:$N$874,I59,BS_RE33!$P$7:$P$874,'30 days CF Table(NZD)'!G59,BS_RE33!$F$7:$F$874,'30 days CF Table(NZD)'!$C$2)</f>
        <v>0</v>
      </c>
      <c r="AJ59" s="337">
        <f>SUMIFS(BS_RE33!$H$7:$H$874,BS_RE33!$S$7:$S$874,$AJ$2,BS_RE33!$N$7:$N$874,I59,BS_RE33!$P$7:$P$874,'30 days CF Table(NZD)'!G59,BS_RE33!$F$7:$F$874,'30 days CF Table(NZD)'!$C$2)</f>
        <v>0</v>
      </c>
      <c r="AK59" s="337">
        <f>SUMIFS(BS_RE33!$H$7:$H$874,BS_RE33!$S$7:$S$874,$AK$2,BS_RE33!$N$7:$N$874,I59,BS_RE33!$P$7:$P$874,'30 days CF Table(NZD)'!G59,BS_RE33!$F$7:$F$874,'30 days CF Table(NZD)'!$C$2)</f>
        <v>0</v>
      </c>
      <c r="AL59" s="337">
        <f>SUMIFS(BS_RE33!$H$7:$H$874,BS_RE33!$S$7:$S$874,$AL$2,BS_RE33!$N$7:$N$874,I59,BS_RE33!$P$7:$P$874,'30 days CF Table(NZD)'!G59,BS_RE33!$F$7:$F$874,'30 days CF Table(NZD)'!$C$2)</f>
        <v>0</v>
      </c>
      <c r="AM59" s="337">
        <f>SUMIFS(BS_RE33!$H$7:$H$874,BS_RE33!$S$7:$S$874,$AM$2,BS_RE33!$N$7:$N$874,I59,BS_RE33!$P$7:$P$874,'30 days CF Table(NZD)'!G59,BS_RE33!$F$7:$F$874,'30 days CF Table(NZD)'!$C$2)</f>
        <v>0</v>
      </c>
      <c r="AN59" s="337">
        <f>SUMIFS(BS_RE33!$H$7:$H$874,BS_RE33!$S$7:$S$874,$AN$2,BS_RE33!$N$7:$N$874,I59,BS_RE33!$P$7:$P$874,'30 days CF Table(NZD)'!G59,BS_RE33!$F$7:$F$874,'30 days CF Table(NZD)'!$C$2)</f>
        <v>0</v>
      </c>
      <c r="AO59" s="337">
        <f>SUMIFS(BS_RE33!$H$7:$H$874,BS_RE33!$S$7:$S$874,$AO$2,BS_RE33!$N$7:$N$874,I59,BS_RE33!$P$7:$P$874,'30 days CF Table(NZD)'!G59,BS_RE33!$F$7:$F$874,'30 days CF Table(NZD)'!$C$2)</f>
        <v>0</v>
      </c>
      <c r="AP59" s="338">
        <f>SUMIFS(BS_RE33!$H$7:$H$874,BS_RE33!$S$7:$S$874,$AP$2,BS_RE33!$N$7:$N$874,I59,BS_RE33!$P$7:$P$874,'30 days CF Table(NZD)'!G59,BS_RE33!$F$7:$F$874,'30 days CF Table(NZD)'!$C$2)</f>
        <v>0</v>
      </c>
      <c r="AR59" s="379">
        <f>SUMIFS(BS_RE33!$H$7:$H$874,BS_RE33!$S$7:$S$874,$AR$2,BS_RE33!$N$7:$N$874,I59,BS_RE33!$P$7:$P$874,'30 days CF Table(NZD)'!G59,BS_RE33!$F$7:$F$874,'30 days CF Table(NZD)'!$C$2)</f>
        <v>0</v>
      </c>
      <c r="AS59" s="379">
        <f>SUMIFS(BS_RE33!$H$7:$H$874,BS_RE33!$S$7:$S$874,$AS$2,BS_RE33!$N$7:$N$874,I59,BS_RE33!$P$7:$P$874,'30 days CF Table(NZD)'!G59,BS_RE33!$F$7:$F$874,'30 days CF Table(NZD)'!$C$2)</f>
        <v>0</v>
      </c>
      <c r="AT59" s="379">
        <f>SUMIFS(BS_RE33!$H$7:$H$874,BS_RE33!$S$7:$S$874,$AT$2,BS_RE33!$N$7:$N$874,I59,BS_RE33!$P$7:$P$874,'30 days CF Table(NZD)'!G59,BS_RE33!$F$7:$F$874,'30 days CF Table(NZD)'!$C$2)</f>
        <v>0</v>
      </c>
      <c r="AU59" s="379">
        <f>SUMIFS(BS_RE33!$H$7:$H$874,BS_RE33!$S$7:$S$874,$AU$2,BS_RE33!$N$7:$N$874,I59,BS_RE33!$P$7:$P$874,'30 days CF Table(NZD)'!G59,BS_RE33!$F$7:$F$874,'30 days CF Table(NZD)'!$C$2)</f>
        <v>0</v>
      </c>
      <c r="AV59" s="379">
        <f>SUMIFS(BS_RE33!$H$7:$H$874,BS_RE33!$S$7:$S$874,$AV$2,BS_RE33!$N$7:$N$874,I59,BS_RE33!$P$7:$P$874,'30 days CF Table(NZD)'!G59,BS_RE33!$F$7:$F$874,'30 days CF Table(NZD)'!$C$2)</f>
        <v>0</v>
      </c>
      <c r="AW59" s="379">
        <f>SUMIFS(BS_RE33!$H$7:$H$874,BS_RE33!$S$7:$S$874,$AW$2,BS_RE33!$N$7:$N$874,I59,BS_RE33!$P$7:$P$874,'30 days CF Table(NZD)'!G59,BS_RE33!$F$7:$F$874,'30 days CF Table(NZD)'!$C$2)</f>
        <v>0</v>
      </c>
      <c r="AX59" s="379">
        <f>SUMIFS(BS_RE33!$H$7:$H$874,BS_RE33!$S$7:$S$874,$AX$2,BS_RE33!$N$7:$N$874,I59,BS_RE33!$P$7:$P$874,'30 days CF Table(NZD)'!G59,BS_RE33!$F$7:$F$874,'30 days CF Table(NZD)'!$C$2)</f>
        <v>0</v>
      </c>
      <c r="AY59" s="379">
        <f>SUMIFS(BS_RE33!$H$7:$H$874,BS_RE33!$S$7:$S$874,$AY$2,BS_RE33!$N$7:$N$874,I59,BS_RE33!$P$7:$P$874,'30 days CF Table(NZD)'!G59,BS_RE33!$F$7:$F$874,'30 days CF Table(NZD)'!$C$2)</f>
        <v>0</v>
      </c>
      <c r="AZ59" s="379">
        <f>SUMIFS(BS_RE33!$H$7:$H$874,BS_RE33!$S$7:$S$874,$AZ$2,BS_RE33!$N$7:$N$874,I59,BS_RE33!$P$7:$P$874,'30 days CF Table(NZD)'!G59,BS_RE33!$F$7:$F$874,'30 days CF Table(NZD)'!$C$2)</f>
        <v>0</v>
      </c>
      <c r="BA59" s="379">
        <f>SUMIFS(BS_RE33!$H$7:$H$874,BS_RE33!$S$7:$S$874,$BA$2,BS_RE33!$N$7:$N$874,I59,BS_RE33!$P$7:$P$874,'30 days CF Table(NZD)'!G59,BS_RE33!$F$7:$F$874,'30 days CF Table(NZD)'!$C$2)</f>
        <v>0</v>
      </c>
      <c r="BB59" s="379">
        <f>SUMIFS(BS_RE33!$H$7:$H$874,BS_RE33!$S$7:$S$874,$BB$2,BS_RE33!$N$7:$N$874,I59,BS_RE33!$P$7:$P$874,'30 days CF Table(NZD)'!G59,BS_RE33!$F$7:$F$874,'30 days CF Table(NZD)'!$C$2)</f>
        <v>0</v>
      </c>
      <c r="BC59" s="379">
        <f>SUMIFS(BS_RE33!$H$7:$H$874,BS_RE33!$S$7:$S$874,$BC$2,BS_RE33!$N$7:$N$874,I59,BS_RE33!$P$7:$P$874,'30 days CF Table(NZD)'!G59,BS_RE33!$F$7:$F$874,'30 days CF Table(NZD)'!$C$2)</f>
        <v>0</v>
      </c>
      <c r="BD59" s="379">
        <f>SUMIFS(BS_RE33!$H$7:$H$874,BS_RE33!$S$7:$S$874,$BD$2,BS_RE33!$N$7:$N$874,I59,BS_RE33!$P$7:$P$874,'30 days CF Table(NZD)'!G59,BS_RE33!$F$7:$F$874,'30 days CF Table(NZD)'!$C$2)</f>
        <v>0</v>
      </c>
      <c r="BE59" s="379">
        <f>SUMIFS(BS_RE33!$H$7:$H$874,BS_RE33!$S$7:$S$874,$BE$2,BS_RE33!$N$7:$N$874,I59,BS_RE33!$P$7:$P$874,'30 days CF Table(NZD)'!G59,BS_RE33!$F$7:$F$874,'30 days CF Table(NZD)'!$C$2)</f>
        <v>0</v>
      </c>
      <c r="BF59" s="379">
        <f>SUMIFS(BS_RE33!$H$7:$H$874,BS_RE33!$S$7:$S$874,$BF$2,BS_RE33!$N$7:$N$874,I59,BS_RE33!$P$7:$P$874,'30 days CF Table(NZD)'!G59,BS_RE33!$F$7:$F$874,'30 days CF Table(NZD)'!$C$2)</f>
        <v>0</v>
      </c>
      <c r="BG59" s="379">
        <f>SUMIFS(BS_RE33!$H$7:$H$874,BS_RE33!$S$7:$S$874,$BG$2,BS_RE33!$N$7:$N$874,I59,BS_RE33!$P$7:$P$874,'30 days CF Table(NZD)'!G59,BS_RE33!$F$7:$F$874,'30 days CF Table(NZD)'!$C$2)</f>
        <v>0</v>
      </c>
      <c r="BH59" s="379">
        <f>SUMIFS(BS_RE33!$H$7:$H$874,BS_RE33!$S$7:$S$874,$BH$2,BS_RE33!$N$7:$N$874,I59,BS_RE33!$P$7:$P$874,'30 days CF Table(NZD)'!G59,BS_RE33!$F$7:$F$874,'30 days CF Table(NZD)'!$C$2)</f>
        <v>0</v>
      </c>
      <c r="BI59" s="379">
        <f>SUMIFS(BS_RE33!$H$7:$H$874,BS_RE33!$S$7:$S$874,$BI$2,BS_RE33!$N$7:$N$874,I59,BS_RE33!$P$7:$P$874,'30 days CF Table(NZD)'!G59,BS_RE33!$F$7:$F$874,'30 days CF Table(NZD)'!$C$2)</f>
        <v>0</v>
      </c>
      <c r="BJ59" s="379">
        <f>SUMIFS(BS_RE33!$H$7:$H$874,BS_RE33!$S$7:$S$874,$BJ$2,BS_RE33!$N$7:$N$874,I59,BS_RE33!$P$7:$P$874,'30 days CF Table(NZD)'!G59,BS_RE33!$F$7:$F$874,'30 days CF Table(NZD)'!$C$2)</f>
        <v>0</v>
      </c>
      <c r="BK59" s="379">
        <f>SUMIFS(BS_RE33!$H$7:$H$874,BS_RE33!$S$7:$S$874,$BK$2,BS_RE33!$N$7:$N$874,I59,BS_RE33!$P$7:$P$874,'30 days CF Table(NZD)'!G59,BS_RE33!$F$7:$F$874,'30 days CF Table(NZD)'!$C$2)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Table(NZD)'!G60,BS_RE33!$F$7:$F$874,'30 days CF Table(NZD)'!$C$2)</f>
        <v>0</v>
      </c>
      <c r="M60" s="337">
        <f>SUMIFS(BS_RE33!$H$7:$H$874,BS_RE33!$S$7:$S$874,$M$2,BS_RE33!$N$7:$N$874,I60,BS_RE33!$P$7:$P$874,'30 days CF Table(NZD)'!G60,BS_RE33!$F$7:$F$874,'30 days CF Table(NZD)'!$C$2)</f>
        <v>0</v>
      </c>
      <c r="N60" s="337">
        <f>SUMIFS(BS_RE33!$H$7:$H$874,BS_RE33!$S$7:$S$874,$N$2,BS_RE33!$N$7:$N$874,I60,BS_RE33!$P$7:$P$874,'30 days CF Table(NZD)'!G60,BS_RE33!$F$7:$F$874,'30 days CF Table(NZD)'!$C$2)</f>
        <v>0</v>
      </c>
      <c r="O60" s="337">
        <f>SUMIFS(BS_RE33!$H$7:$H$874,BS_RE33!$S$7:$S$874,$O$2,BS_RE33!$N$7:$N$874,I60,BS_RE33!$P$7:$P$874,'30 days CF Table(NZD)'!G60,BS_RE33!$F$7:$F$874,'30 days CF Table(NZD)'!$C$2)</f>
        <v>0</v>
      </c>
      <c r="P60" s="337">
        <f>SUMIFS(BS_RE33!$H$7:$H$874,BS_RE33!$S$7:$S$874,$P$2,BS_RE33!$N$7:$N$874,I60,BS_RE33!$P$7:$P$874,'30 days CF Table(NZD)'!G60,BS_RE33!$F$7:$F$874,'30 days CF Table(NZD)'!$C$2)</f>
        <v>0</v>
      </c>
      <c r="Q60" s="337">
        <f>SUMIFS(BS_RE33!$H$7:$H$874,BS_RE33!$S$7:$S$874,$Q$2,BS_RE33!$N$7:$N$874,I60,BS_RE33!$P$7:$P$874,'30 days CF Table(NZD)'!G60,BS_RE33!$F$7:$F$874,'30 days CF Table(NZD)'!$C$2)</f>
        <v>0</v>
      </c>
      <c r="R60" s="337">
        <f>SUMIFS(BS_RE33!$H$7:$H$874,BS_RE33!$S$7:$S$874,$R$2,BS_RE33!$N$7:$N$874,I60,BS_RE33!$P$7:$P$874,'30 days CF Table(NZD)'!G60,BS_RE33!$F$7:$F$874,'30 days CF Table(NZD)'!$C$2)</f>
        <v>0</v>
      </c>
      <c r="S60" s="337">
        <f>SUMIFS(BS_RE33!$H$7:$H$874,BS_RE33!$S$7:$S$874,$S$2,BS_RE33!$N$7:$N$874,I60,BS_RE33!$P$7:$P$874,'30 days CF Table(NZD)'!G60,BS_RE33!$F$7:$F$874,'30 days CF Table(NZD)'!$C$2)</f>
        <v>0</v>
      </c>
      <c r="T60" s="337">
        <f>SUMIFS(BS_RE33!$H$7:$H$874,BS_RE33!$S$7:$S$874,$T$2,BS_RE33!$N$7:$N$874,I60,BS_RE33!$P$7:$P$874,'30 days CF Table(NZD)'!G60,BS_RE33!$F$7:$F$874,'30 days CF Table(NZD)'!$C$2)</f>
        <v>0</v>
      </c>
      <c r="U60" s="337">
        <f>SUMIFS(BS_RE33!$H$7:$H$874,BS_RE33!$S$7:$S$874,$U$2,BS_RE33!$N$7:$N$874,I60,BS_RE33!$P$7:$P$874,'30 days CF Table(NZD)'!G60,BS_RE33!$F$7:$F$874,'30 days CF Table(NZD)'!$C$2)</f>
        <v>0</v>
      </c>
      <c r="V60" s="337">
        <f>SUMIFS(BS_RE33!$H$7:$H$874,BS_RE33!$S$7:$S$874,$V$2,BS_RE33!$N$7:$N$874,I60,BS_RE33!$P$7:$P$874,'30 days CF Table(NZD)'!G60,BS_RE33!$F$7:$F$874,'30 days CF Table(NZD)'!$C$2)</f>
        <v>0</v>
      </c>
      <c r="W60" s="337">
        <f>SUMIFS(BS_RE33!$H$7:$H$874,BS_RE33!$S$7:$S$874,$W$2,BS_RE33!$N$7:$N$874,I60,BS_RE33!$P$7:$P$874,'30 days CF Table(NZD)'!G60,BS_RE33!$F$7:$F$874,'30 days CF Table(NZD)'!$C$2)</f>
        <v>0</v>
      </c>
      <c r="X60" s="337">
        <f>SUMIFS(BS_RE33!$H$7:$H$874,BS_RE33!$S$7:$S$874,$X$2,BS_RE33!$N$7:$N$874,I60,BS_RE33!$P$7:$P$874,'30 days CF Table(NZD)'!G60,BS_RE33!$F$7:$F$874,'30 days CF Table(NZD)'!$C$2)</f>
        <v>0</v>
      </c>
      <c r="Y60" s="337">
        <f>SUMIFS(BS_RE33!$H$7:$H$874,BS_RE33!$S$7:$S$874,$Y$2,BS_RE33!$N$7:$N$874,I60,BS_RE33!$P$7:$P$874,'30 days CF Table(NZD)'!G60,BS_RE33!$F$7:$F$874,'30 days CF Table(NZD)'!$C$2)</f>
        <v>0</v>
      </c>
      <c r="Z60" s="337">
        <f>SUMIFS(BS_RE33!$H$7:$H$874,BS_RE33!$S$7:$S$874,$Z$2,BS_RE33!$N$7:$N$874,I60,BS_RE33!$P$7:$P$874,'30 days CF Table(NZD)'!G60,BS_RE33!$F$7:$F$874,'30 days CF Table(NZD)'!$C$2)</f>
        <v>0</v>
      </c>
      <c r="AA60" s="337">
        <f>SUMIFS(BS_RE33!$H$7:$H$874,BS_RE33!$S$7:$S$874,$AA$2,BS_RE33!$N$7:$N$874,I60,BS_RE33!$P$7:$P$874,'30 days CF Table(NZD)'!G60,BS_RE33!$F$7:$F$874,'30 days CF Table(NZD)'!$C$2)</f>
        <v>0</v>
      </c>
      <c r="AB60" s="337">
        <f>SUMIFS(BS_RE33!$H$7:$H$874,BS_RE33!$S$7:$S$874,$AB$2,BS_RE33!$N$7:$N$874,I60,BS_RE33!$P$7:$P$874,'30 days CF Table(NZD)'!G60,BS_RE33!$F$7:$F$874,'30 days CF Table(NZD)'!$C$2)</f>
        <v>0</v>
      </c>
      <c r="AC60" s="337">
        <f>SUMIFS(BS_RE33!$H$7:$H$874,BS_RE33!$S$7:$S$874,$AC$2,BS_RE33!$N$7:$N$874,I60,BS_RE33!$P$7:$P$874,'30 days CF Table(NZD)'!G60,BS_RE33!$F$7:$F$874,'30 days CF Table(NZD)'!$C$2)</f>
        <v>0</v>
      </c>
      <c r="AD60" s="337">
        <f>SUMIFS(BS_RE33!$H$7:$H$874,BS_RE33!$S$7:$S$874,$AD$2,BS_RE33!$N$7:$N$874,I60,BS_RE33!$P$7:$P$874,'30 days CF Table(NZD)'!G60,BS_RE33!$F$7:$F$874,'30 days CF Table(NZD)'!$C$2)</f>
        <v>0</v>
      </c>
      <c r="AE60" s="337">
        <f>SUMIFS(BS_RE33!$H$7:$H$874,BS_RE33!$S$7:$S$874,$AE$2,BS_RE33!$N$7:$N$874,I60,BS_RE33!$P$7:$P$874,'30 days CF Table(NZD)'!G60,BS_RE33!$F$7:$F$874,'30 days CF Table(NZD)'!$C$2)</f>
        <v>0</v>
      </c>
      <c r="AF60" s="337">
        <f>SUMIFS(BS_RE33!$H$7:$H$874,BS_RE33!$S$7:$S$874,$AF$2,BS_RE33!$N$7:$N$874,I60,BS_RE33!$P$7:$P$874,'30 days CF Table(NZD)'!G60,BS_RE33!$F$7:$F$874,'30 days CF Table(NZD)'!$C$2)</f>
        <v>0</v>
      </c>
      <c r="AG60" s="337">
        <f>SUMIFS(BS_RE33!$H$7:$H$874,BS_RE33!$S$7:$S$874,$AG$2,BS_RE33!$N$7:$N$874,I60,BS_RE33!$P$7:$P$874,'30 days CF Table(NZD)'!G60,BS_RE33!$F$7:$F$874,'30 days CF Table(NZD)'!$C$2)</f>
        <v>0</v>
      </c>
      <c r="AH60" s="337">
        <f>SUMIFS(BS_RE33!$H$7:$H$874,BS_RE33!$S$7:$S$874,$AH$2,BS_RE33!$N$7:$N$874,I60,BS_RE33!$P$7:$P$874,'30 days CF Table(NZD)'!G60,BS_RE33!$F$7:$F$874,'30 days CF Table(NZD)'!$C$2)</f>
        <v>0</v>
      </c>
      <c r="AI60" s="337">
        <f>SUMIFS(BS_RE33!$H$7:$H$874,BS_RE33!$S$7:$S$874,$AI$2,BS_RE33!$N$7:$N$874,I60,BS_RE33!$P$7:$P$874,'30 days CF Table(NZD)'!G60,BS_RE33!$F$7:$F$874,'30 days CF Table(NZD)'!$C$2)</f>
        <v>0</v>
      </c>
      <c r="AJ60" s="337">
        <f>SUMIFS(BS_RE33!$H$7:$H$874,BS_RE33!$S$7:$S$874,$AJ$2,BS_RE33!$N$7:$N$874,I60,BS_RE33!$P$7:$P$874,'30 days CF Table(NZD)'!G60,BS_RE33!$F$7:$F$874,'30 days CF Table(NZD)'!$C$2)</f>
        <v>0</v>
      </c>
      <c r="AK60" s="337">
        <f>SUMIFS(BS_RE33!$H$7:$H$874,BS_RE33!$S$7:$S$874,$AK$2,BS_RE33!$N$7:$N$874,I60,BS_RE33!$P$7:$P$874,'30 days CF Table(NZD)'!G60,BS_RE33!$F$7:$F$874,'30 days CF Table(NZD)'!$C$2)</f>
        <v>0</v>
      </c>
      <c r="AL60" s="337">
        <f>SUMIFS(BS_RE33!$H$7:$H$874,BS_RE33!$S$7:$S$874,$AL$2,BS_RE33!$N$7:$N$874,I60,BS_RE33!$P$7:$P$874,'30 days CF Table(NZD)'!G60,BS_RE33!$F$7:$F$874,'30 days CF Table(NZD)'!$C$2)</f>
        <v>0</v>
      </c>
      <c r="AM60" s="337">
        <f>SUMIFS(BS_RE33!$H$7:$H$874,BS_RE33!$S$7:$S$874,$AM$2,BS_RE33!$N$7:$N$874,I60,BS_RE33!$P$7:$P$874,'30 days CF Table(NZD)'!G60,BS_RE33!$F$7:$F$874,'30 days CF Table(NZD)'!$C$2)</f>
        <v>0</v>
      </c>
      <c r="AN60" s="337">
        <f>SUMIFS(BS_RE33!$H$7:$H$874,BS_RE33!$S$7:$S$874,$AN$2,BS_RE33!$N$7:$N$874,I60,BS_RE33!$P$7:$P$874,'30 days CF Table(NZD)'!G60,BS_RE33!$F$7:$F$874,'30 days CF Table(NZD)'!$C$2)</f>
        <v>0</v>
      </c>
      <c r="AO60" s="337">
        <f>SUMIFS(BS_RE33!$H$7:$H$874,BS_RE33!$S$7:$S$874,$AO$2,BS_RE33!$N$7:$N$874,I60,BS_RE33!$P$7:$P$874,'30 days CF Table(NZD)'!G60,BS_RE33!$F$7:$F$874,'30 days CF Table(NZD)'!$C$2)</f>
        <v>0</v>
      </c>
      <c r="AP60" s="338">
        <f>SUMIFS(BS_RE33!$H$7:$H$874,BS_RE33!$S$7:$S$874,$AP$2,BS_RE33!$N$7:$N$874,I60,BS_RE33!$P$7:$P$874,'30 days CF Table(NZD)'!G60,BS_RE33!$F$7:$F$874,'30 days CF Table(NZD)'!$C$2)</f>
        <v>0</v>
      </c>
      <c r="AR60" s="379">
        <f>SUMIFS(BS_RE33!$H$7:$H$874,BS_RE33!$S$7:$S$874,$AR$2,BS_RE33!$N$7:$N$874,I60,BS_RE33!$P$7:$P$874,'30 days CF Table(NZD)'!G60,BS_RE33!$F$7:$F$874,'30 days CF Table(NZD)'!$C$2)</f>
        <v>0</v>
      </c>
      <c r="AS60" s="379">
        <f>SUMIFS(BS_RE33!$H$7:$H$874,BS_RE33!$S$7:$S$874,$AS$2,BS_RE33!$N$7:$N$874,I60,BS_RE33!$P$7:$P$874,'30 days CF Table(NZD)'!G60,BS_RE33!$F$7:$F$874,'30 days CF Table(NZD)'!$C$2)</f>
        <v>0</v>
      </c>
      <c r="AT60" s="379">
        <f>SUMIFS(BS_RE33!$H$7:$H$874,BS_RE33!$S$7:$S$874,$AT$2,BS_RE33!$N$7:$N$874,I60,BS_RE33!$P$7:$P$874,'30 days CF Table(NZD)'!G60,BS_RE33!$F$7:$F$874,'30 days CF Table(NZD)'!$C$2)</f>
        <v>0</v>
      </c>
      <c r="AU60" s="379">
        <f>SUMIFS(BS_RE33!$H$7:$H$874,BS_RE33!$S$7:$S$874,$AU$2,BS_RE33!$N$7:$N$874,I60,BS_RE33!$P$7:$P$874,'30 days CF Table(NZD)'!G60,BS_RE33!$F$7:$F$874,'30 days CF Table(NZD)'!$C$2)</f>
        <v>0</v>
      </c>
      <c r="AV60" s="379">
        <f>SUMIFS(BS_RE33!$H$7:$H$874,BS_RE33!$S$7:$S$874,$AV$2,BS_RE33!$N$7:$N$874,I60,BS_RE33!$P$7:$P$874,'30 days CF Table(NZD)'!G60,BS_RE33!$F$7:$F$874,'30 days CF Table(NZD)'!$C$2)</f>
        <v>0</v>
      </c>
      <c r="AW60" s="379">
        <f>SUMIFS(BS_RE33!$H$7:$H$874,BS_RE33!$S$7:$S$874,$AW$2,BS_RE33!$N$7:$N$874,I60,BS_RE33!$P$7:$P$874,'30 days CF Table(NZD)'!G60,BS_RE33!$F$7:$F$874,'30 days CF Table(NZD)'!$C$2)</f>
        <v>0</v>
      </c>
      <c r="AX60" s="379">
        <f>SUMIFS(BS_RE33!$H$7:$H$874,BS_RE33!$S$7:$S$874,$AX$2,BS_RE33!$N$7:$N$874,I60,BS_RE33!$P$7:$P$874,'30 days CF Table(NZD)'!G60,BS_RE33!$F$7:$F$874,'30 days CF Table(NZD)'!$C$2)</f>
        <v>0</v>
      </c>
      <c r="AY60" s="379">
        <f>SUMIFS(BS_RE33!$H$7:$H$874,BS_RE33!$S$7:$S$874,$AY$2,BS_RE33!$N$7:$N$874,I60,BS_RE33!$P$7:$P$874,'30 days CF Table(NZD)'!G60,BS_RE33!$F$7:$F$874,'30 days CF Table(NZD)'!$C$2)</f>
        <v>0</v>
      </c>
      <c r="AZ60" s="379">
        <f>SUMIFS(BS_RE33!$H$7:$H$874,BS_RE33!$S$7:$S$874,$AZ$2,BS_RE33!$N$7:$N$874,I60,BS_RE33!$P$7:$P$874,'30 days CF Table(NZD)'!G60,BS_RE33!$F$7:$F$874,'30 days CF Table(NZD)'!$C$2)</f>
        <v>0</v>
      </c>
      <c r="BA60" s="379">
        <f>SUMIFS(BS_RE33!$H$7:$H$874,BS_RE33!$S$7:$S$874,$BA$2,BS_RE33!$N$7:$N$874,I60,BS_RE33!$P$7:$P$874,'30 days CF Table(NZD)'!G60,BS_RE33!$F$7:$F$874,'30 days CF Table(NZD)'!$C$2)</f>
        <v>0</v>
      </c>
      <c r="BB60" s="379">
        <f>SUMIFS(BS_RE33!$H$7:$H$874,BS_RE33!$S$7:$S$874,$BB$2,BS_RE33!$N$7:$N$874,I60,BS_RE33!$P$7:$P$874,'30 days CF Table(NZD)'!G60,BS_RE33!$F$7:$F$874,'30 days CF Table(NZD)'!$C$2)</f>
        <v>0</v>
      </c>
      <c r="BC60" s="379">
        <f>SUMIFS(BS_RE33!$H$7:$H$874,BS_RE33!$S$7:$S$874,$BC$2,BS_RE33!$N$7:$N$874,I60,BS_RE33!$P$7:$P$874,'30 days CF Table(NZD)'!G60,BS_RE33!$F$7:$F$874,'30 days CF Table(NZD)'!$C$2)</f>
        <v>0</v>
      </c>
      <c r="BD60" s="379">
        <f>SUMIFS(BS_RE33!$H$7:$H$874,BS_RE33!$S$7:$S$874,$BD$2,BS_RE33!$N$7:$N$874,I60,BS_RE33!$P$7:$P$874,'30 days CF Table(NZD)'!G60,BS_RE33!$F$7:$F$874,'30 days CF Table(NZD)'!$C$2)</f>
        <v>0</v>
      </c>
      <c r="BE60" s="379">
        <f>SUMIFS(BS_RE33!$H$7:$H$874,BS_RE33!$S$7:$S$874,$BE$2,BS_RE33!$N$7:$N$874,I60,BS_RE33!$P$7:$P$874,'30 days CF Table(NZD)'!G60,BS_RE33!$F$7:$F$874,'30 days CF Table(NZD)'!$C$2)</f>
        <v>0</v>
      </c>
      <c r="BF60" s="379">
        <f>SUMIFS(BS_RE33!$H$7:$H$874,BS_RE33!$S$7:$S$874,$BF$2,BS_RE33!$N$7:$N$874,I60,BS_RE33!$P$7:$P$874,'30 days CF Table(NZD)'!G60,BS_RE33!$F$7:$F$874,'30 days CF Table(NZD)'!$C$2)</f>
        <v>0</v>
      </c>
      <c r="BG60" s="379">
        <f>SUMIFS(BS_RE33!$H$7:$H$874,BS_RE33!$S$7:$S$874,$BG$2,BS_RE33!$N$7:$N$874,I60,BS_RE33!$P$7:$P$874,'30 days CF Table(NZD)'!G60,BS_RE33!$F$7:$F$874,'30 days CF Table(NZD)'!$C$2)</f>
        <v>0</v>
      </c>
      <c r="BH60" s="379">
        <f>SUMIFS(BS_RE33!$H$7:$H$874,BS_RE33!$S$7:$S$874,$BH$2,BS_RE33!$N$7:$N$874,I60,BS_RE33!$P$7:$P$874,'30 days CF Table(NZD)'!G60,BS_RE33!$F$7:$F$874,'30 days CF Table(NZD)'!$C$2)</f>
        <v>0</v>
      </c>
      <c r="BI60" s="379">
        <f>SUMIFS(BS_RE33!$H$7:$H$874,BS_RE33!$S$7:$S$874,$BI$2,BS_RE33!$N$7:$N$874,I60,BS_RE33!$P$7:$P$874,'30 days CF Table(NZD)'!G60,BS_RE33!$F$7:$F$874,'30 days CF Table(NZD)'!$C$2)</f>
        <v>0</v>
      </c>
      <c r="BJ60" s="379">
        <f>SUMIFS(BS_RE33!$H$7:$H$874,BS_RE33!$S$7:$S$874,$BJ$2,BS_RE33!$N$7:$N$874,I60,BS_RE33!$P$7:$P$874,'30 days CF Table(NZD)'!G60,BS_RE33!$F$7:$F$874,'30 days CF Table(NZD)'!$C$2)</f>
        <v>0</v>
      </c>
      <c r="BK60" s="379">
        <f>SUMIFS(BS_RE33!$H$7:$H$874,BS_RE33!$S$7:$S$874,$BK$2,BS_RE33!$N$7:$N$874,I60,BS_RE33!$P$7:$P$874,'30 days CF Table(NZD)'!G60,BS_RE33!$F$7:$F$874,'30 days CF Table(NZD)'!$C$2)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Table(NZD)'!G61,BS_RE33!$F$7:$F$874,'30 days CF Table(NZD)'!$C$2)</f>
        <v>0</v>
      </c>
      <c r="M61" s="337">
        <f>SUMIFS(BS_RE33!$H$7:$H$874,BS_RE33!$S$7:$S$874,$M$2,BS_RE33!$N$7:$N$874,I61,BS_RE33!$P$7:$P$874,'30 days CF Table(NZD)'!G61,BS_RE33!$F$7:$F$874,'30 days CF Table(NZD)'!$C$2)</f>
        <v>0</v>
      </c>
      <c r="N61" s="337">
        <f>SUMIFS(BS_RE33!$H$7:$H$874,BS_RE33!$S$7:$S$874,$N$2,BS_RE33!$N$7:$N$874,I61,BS_RE33!$P$7:$P$874,'30 days CF Table(NZD)'!G61,BS_RE33!$F$7:$F$874,'30 days CF Table(NZD)'!$C$2)</f>
        <v>0</v>
      </c>
      <c r="O61" s="337">
        <f>SUMIFS(BS_RE33!$H$7:$H$874,BS_RE33!$S$7:$S$874,$O$2,BS_RE33!$N$7:$N$874,I61,BS_RE33!$P$7:$P$874,'30 days CF Table(NZD)'!G61,BS_RE33!$F$7:$F$874,'30 days CF Table(NZD)'!$C$2)</f>
        <v>0</v>
      </c>
      <c r="P61" s="337">
        <f>SUMIFS(BS_RE33!$H$7:$H$874,BS_RE33!$S$7:$S$874,$P$2,BS_RE33!$N$7:$N$874,I61,BS_RE33!$P$7:$P$874,'30 days CF Table(NZD)'!G61,BS_RE33!$F$7:$F$874,'30 days CF Table(NZD)'!$C$2)</f>
        <v>0</v>
      </c>
      <c r="Q61" s="337">
        <f>SUMIFS(BS_RE33!$H$7:$H$874,BS_RE33!$S$7:$S$874,$Q$2,BS_RE33!$N$7:$N$874,I61,BS_RE33!$P$7:$P$874,'30 days CF Table(NZD)'!G61,BS_RE33!$F$7:$F$874,'30 days CF Table(NZD)'!$C$2)</f>
        <v>0</v>
      </c>
      <c r="R61" s="337">
        <f>SUMIFS(BS_RE33!$H$7:$H$874,BS_RE33!$S$7:$S$874,$R$2,BS_RE33!$N$7:$N$874,I61,BS_RE33!$P$7:$P$874,'30 days CF Table(NZD)'!G61,BS_RE33!$F$7:$F$874,'30 days CF Table(NZD)'!$C$2)</f>
        <v>0</v>
      </c>
      <c r="S61" s="337">
        <f>SUMIFS(BS_RE33!$H$7:$H$874,BS_RE33!$S$7:$S$874,$S$2,BS_RE33!$N$7:$N$874,I61,BS_RE33!$P$7:$P$874,'30 days CF Table(NZD)'!G61,BS_RE33!$F$7:$F$874,'30 days CF Table(NZD)'!$C$2)</f>
        <v>0</v>
      </c>
      <c r="T61" s="337">
        <f>SUMIFS(BS_RE33!$H$7:$H$874,BS_RE33!$S$7:$S$874,$T$2,BS_RE33!$N$7:$N$874,I61,BS_RE33!$P$7:$P$874,'30 days CF Table(NZD)'!G61,BS_RE33!$F$7:$F$874,'30 days CF Table(NZD)'!$C$2)</f>
        <v>0</v>
      </c>
      <c r="U61" s="337">
        <f>SUMIFS(BS_RE33!$H$7:$H$874,BS_RE33!$S$7:$S$874,$U$2,BS_RE33!$N$7:$N$874,I61,BS_RE33!$P$7:$P$874,'30 days CF Table(NZD)'!G61,BS_RE33!$F$7:$F$874,'30 days CF Table(NZD)'!$C$2)</f>
        <v>0</v>
      </c>
      <c r="V61" s="337">
        <f>SUMIFS(BS_RE33!$H$7:$H$874,BS_RE33!$S$7:$S$874,$V$2,BS_RE33!$N$7:$N$874,I61,BS_RE33!$P$7:$P$874,'30 days CF Table(NZD)'!G61,BS_RE33!$F$7:$F$874,'30 days CF Table(NZD)'!$C$2)</f>
        <v>0</v>
      </c>
      <c r="W61" s="337">
        <f>SUMIFS(BS_RE33!$H$7:$H$874,BS_RE33!$S$7:$S$874,$W$2,BS_RE33!$N$7:$N$874,I61,BS_RE33!$P$7:$P$874,'30 days CF Table(NZD)'!G61,BS_RE33!$F$7:$F$874,'30 days CF Table(NZD)'!$C$2)</f>
        <v>0</v>
      </c>
      <c r="X61" s="337">
        <f>SUMIFS(BS_RE33!$H$7:$H$874,BS_RE33!$S$7:$S$874,$X$2,BS_RE33!$N$7:$N$874,I61,BS_RE33!$P$7:$P$874,'30 days CF Table(NZD)'!G61,BS_RE33!$F$7:$F$874,'30 days CF Table(NZD)'!$C$2)</f>
        <v>0</v>
      </c>
      <c r="Y61" s="337">
        <f>SUMIFS(BS_RE33!$H$7:$H$874,BS_RE33!$S$7:$S$874,$Y$2,BS_RE33!$N$7:$N$874,I61,BS_RE33!$P$7:$P$874,'30 days CF Table(NZD)'!G61,BS_RE33!$F$7:$F$874,'30 days CF Table(NZD)'!$C$2)</f>
        <v>0</v>
      </c>
      <c r="Z61" s="337">
        <f>SUMIFS(BS_RE33!$H$7:$H$874,BS_RE33!$S$7:$S$874,$Z$2,BS_RE33!$N$7:$N$874,I61,BS_RE33!$P$7:$P$874,'30 days CF Table(NZD)'!G61,BS_RE33!$F$7:$F$874,'30 days CF Table(NZD)'!$C$2)</f>
        <v>0</v>
      </c>
      <c r="AA61" s="337">
        <f>SUMIFS(BS_RE33!$H$7:$H$874,BS_RE33!$S$7:$S$874,$AA$2,BS_RE33!$N$7:$N$874,I61,BS_RE33!$P$7:$P$874,'30 days CF Table(NZD)'!G61,BS_RE33!$F$7:$F$874,'30 days CF Table(NZD)'!$C$2)</f>
        <v>0</v>
      </c>
      <c r="AB61" s="337">
        <f>SUMIFS(BS_RE33!$H$7:$H$874,BS_RE33!$S$7:$S$874,$AB$2,BS_RE33!$N$7:$N$874,I61,BS_RE33!$P$7:$P$874,'30 days CF Table(NZD)'!G61,BS_RE33!$F$7:$F$874,'30 days CF Table(NZD)'!$C$2)</f>
        <v>0</v>
      </c>
      <c r="AC61" s="337">
        <f>SUMIFS(BS_RE33!$H$7:$H$874,BS_RE33!$S$7:$S$874,$AC$2,BS_RE33!$N$7:$N$874,I61,BS_RE33!$P$7:$P$874,'30 days CF Table(NZD)'!G61,BS_RE33!$F$7:$F$874,'30 days CF Table(NZD)'!$C$2)</f>
        <v>0</v>
      </c>
      <c r="AD61" s="337">
        <f>SUMIFS(BS_RE33!$H$7:$H$874,BS_RE33!$S$7:$S$874,$AD$2,BS_RE33!$N$7:$N$874,I61,BS_RE33!$P$7:$P$874,'30 days CF Table(NZD)'!G61,BS_RE33!$F$7:$F$874,'30 days CF Table(NZD)'!$C$2)</f>
        <v>0</v>
      </c>
      <c r="AE61" s="337">
        <f>SUMIFS(BS_RE33!$H$7:$H$874,BS_RE33!$S$7:$S$874,$AE$2,BS_RE33!$N$7:$N$874,I61,BS_RE33!$P$7:$P$874,'30 days CF Table(NZD)'!G61,BS_RE33!$F$7:$F$874,'30 days CF Table(NZD)'!$C$2)</f>
        <v>0</v>
      </c>
      <c r="AF61" s="337">
        <f>SUMIFS(BS_RE33!$H$7:$H$874,BS_RE33!$S$7:$S$874,$AF$2,BS_RE33!$N$7:$N$874,I61,BS_RE33!$P$7:$P$874,'30 days CF Table(NZD)'!G61,BS_RE33!$F$7:$F$874,'30 days CF Table(NZD)'!$C$2)</f>
        <v>0</v>
      </c>
      <c r="AG61" s="337">
        <f>SUMIFS(BS_RE33!$H$7:$H$874,BS_RE33!$S$7:$S$874,$AG$2,BS_RE33!$N$7:$N$874,I61,BS_RE33!$P$7:$P$874,'30 days CF Table(NZD)'!G61,BS_RE33!$F$7:$F$874,'30 days CF Table(NZD)'!$C$2)</f>
        <v>0</v>
      </c>
      <c r="AH61" s="337">
        <f>SUMIFS(BS_RE33!$H$7:$H$874,BS_RE33!$S$7:$S$874,$AH$2,BS_RE33!$N$7:$N$874,I61,BS_RE33!$P$7:$P$874,'30 days CF Table(NZD)'!G61,BS_RE33!$F$7:$F$874,'30 days CF Table(NZD)'!$C$2)</f>
        <v>0</v>
      </c>
      <c r="AI61" s="337">
        <f>SUMIFS(BS_RE33!$H$7:$H$874,BS_RE33!$S$7:$S$874,$AI$2,BS_RE33!$N$7:$N$874,I61,BS_RE33!$P$7:$P$874,'30 days CF Table(NZD)'!G61,BS_RE33!$F$7:$F$874,'30 days CF Table(NZD)'!$C$2)</f>
        <v>0</v>
      </c>
      <c r="AJ61" s="337">
        <f>SUMIFS(BS_RE33!$H$7:$H$874,BS_RE33!$S$7:$S$874,$AJ$2,BS_RE33!$N$7:$N$874,I61,BS_RE33!$P$7:$P$874,'30 days CF Table(NZD)'!G61,BS_RE33!$F$7:$F$874,'30 days CF Table(NZD)'!$C$2)</f>
        <v>0</v>
      </c>
      <c r="AK61" s="337">
        <f>SUMIFS(BS_RE33!$H$7:$H$874,BS_RE33!$S$7:$S$874,$AK$2,BS_RE33!$N$7:$N$874,I61,BS_RE33!$P$7:$P$874,'30 days CF Table(NZD)'!G61,BS_RE33!$F$7:$F$874,'30 days CF Table(NZD)'!$C$2)</f>
        <v>0</v>
      </c>
      <c r="AL61" s="337">
        <f>SUMIFS(BS_RE33!$H$7:$H$874,BS_RE33!$S$7:$S$874,$AL$2,BS_RE33!$N$7:$N$874,I61,BS_RE33!$P$7:$P$874,'30 days CF Table(NZD)'!G61,BS_RE33!$F$7:$F$874,'30 days CF Table(NZD)'!$C$2)</f>
        <v>0</v>
      </c>
      <c r="AM61" s="337">
        <f>SUMIFS(BS_RE33!$H$7:$H$874,BS_RE33!$S$7:$S$874,$AM$2,BS_RE33!$N$7:$N$874,I61,BS_RE33!$P$7:$P$874,'30 days CF Table(NZD)'!G61,BS_RE33!$F$7:$F$874,'30 days CF Table(NZD)'!$C$2)</f>
        <v>0</v>
      </c>
      <c r="AN61" s="337">
        <f>SUMIFS(BS_RE33!$H$7:$H$874,BS_RE33!$S$7:$S$874,$AN$2,BS_RE33!$N$7:$N$874,I61,BS_RE33!$P$7:$P$874,'30 days CF Table(NZD)'!G61,BS_RE33!$F$7:$F$874,'30 days CF Table(NZD)'!$C$2)</f>
        <v>0</v>
      </c>
      <c r="AO61" s="337">
        <f>SUMIFS(BS_RE33!$H$7:$H$874,BS_RE33!$S$7:$S$874,$AO$2,BS_RE33!$N$7:$N$874,I61,BS_RE33!$P$7:$P$874,'30 days CF Table(NZD)'!G61,BS_RE33!$F$7:$F$874,'30 days CF Table(NZD)'!$C$2)</f>
        <v>0</v>
      </c>
      <c r="AP61" s="338">
        <f>SUMIFS(BS_RE33!$H$7:$H$874,BS_RE33!$S$7:$S$874,$AP$2,BS_RE33!$N$7:$N$874,I61,BS_RE33!$P$7:$P$874,'30 days CF Table(NZD)'!G61,BS_RE33!$F$7:$F$874,'30 days CF Table(NZD)'!$C$2)</f>
        <v>0</v>
      </c>
      <c r="AR61" s="379">
        <f>SUMIFS(BS_RE33!$H$7:$H$874,BS_RE33!$S$7:$S$874,$AR$2,BS_RE33!$N$7:$N$874,I61,BS_RE33!$P$7:$P$874,'30 days CF Table(NZD)'!G61,BS_RE33!$F$7:$F$874,'30 days CF Table(NZD)'!$C$2)</f>
        <v>0</v>
      </c>
      <c r="AS61" s="379">
        <f>SUMIFS(BS_RE33!$H$7:$H$874,BS_RE33!$S$7:$S$874,$AS$2,BS_RE33!$N$7:$N$874,I61,BS_RE33!$P$7:$P$874,'30 days CF Table(NZD)'!G61,BS_RE33!$F$7:$F$874,'30 days CF Table(NZD)'!$C$2)</f>
        <v>0</v>
      </c>
      <c r="AT61" s="379">
        <f>SUMIFS(BS_RE33!$H$7:$H$874,BS_RE33!$S$7:$S$874,$AT$2,BS_RE33!$N$7:$N$874,I61,BS_RE33!$P$7:$P$874,'30 days CF Table(NZD)'!G61,BS_RE33!$F$7:$F$874,'30 days CF Table(NZD)'!$C$2)</f>
        <v>0</v>
      </c>
      <c r="AU61" s="379">
        <f>SUMIFS(BS_RE33!$H$7:$H$874,BS_RE33!$S$7:$S$874,$AU$2,BS_RE33!$N$7:$N$874,I61,BS_RE33!$P$7:$P$874,'30 days CF Table(NZD)'!G61,BS_RE33!$F$7:$F$874,'30 days CF Table(NZD)'!$C$2)</f>
        <v>0</v>
      </c>
      <c r="AV61" s="379">
        <f>SUMIFS(BS_RE33!$H$7:$H$874,BS_RE33!$S$7:$S$874,$AV$2,BS_RE33!$N$7:$N$874,I61,BS_RE33!$P$7:$P$874,'30 days CF Table(NZD)'!G61,BS_RE33!$F$7:$F$874,'30 days CF Table(NZD)'!$C$2)</f>
        <v>0</v>
      </c>
      <c r="AW61" s="379">
        <f>SUMIFS(BS_RE33!$H$7:$H$874,BS_RE33!$S$7:$S$874,$AW$2,BS_RE33!$N$7:$N$874,I61,BS_RE33!$P$7:$P$874,'30 days CF Table(NZD)'!G61,BS_RE33!$F$7:$F$874,'30 days CF Table(NZD)'!$C$2)</f>
        <v>0</v>
      </c>
      <c r="AX61" s="379">
        <f>SUMIFS(BS_RE33!$H$7:$H$874,BS_RE33!$S$7:$S$874,$AX$2,BS_RE33!$N$7:$N$874,I61,BS_RE33!$P$7:$P$874,'30 days CF Table(NZD)'!G61,BS_RE33!$F$7:$F$874,'30 days CF Table(NZD)'!$C$2)</f>
        <v>0</v>
      </c>
      <c r="AY61" s="379">
        <f>SUMIFS(BS_RE33!$H$7:$H$874,BS_RE33!$S$7:$S$874,$AY$2,BS_RE33!$N$7:$N$874,I61,BS_RE33!$P$7:$P$874,'30 days CF Table(NZD)'!G61,BS_RE33!$F$7:$F$874,'30 days CF Table(NZD)'!$C$2)</f>
        <v>0</v>
      </c>
      <c r="AZ61" s="379">
        <f>SUMIFS(BS_RE33!$H$7:$H$874,BS_RE33!$S$7:$S$874,$AZ$2,BS_RE33!$N$7:$N$874,I61,BS_RE33!$P$7:$P$874,'30 days CF Table(NZD)'!G61,BS_RE33!$F$7:$F$874,'30 days CF Table(NZD)'!$C$2)</f>
        <v>0</v>
      </c>
      <c r="BA61" s="379">
        <f>SUMIFS(BS_RE33!$H$7:$H$874,BS_RE33!$S$7:$S$874,$BA$2,BS_RE33!$N$7:$N$874,I61,BS_RE33!$P$7:$P$874,'30 days CF Table(NZD)'!G61,BS_RE33!$F$7:$F$874,'30 days CF Table(NZD)'!$C$2)</f>
        <v>0</v>
      </c>
      <c r="BB61" s="379">
        <f>SUMIFS(BS_RE33!$H$7:$H$874,BS_RE33!$S$7:$S$874,$BB$2,BS_RE33!$N$7:$N$874,I61,BS_RE33!$P$7:$P$874,'30 days CF Table(NZD)'!G61,BS_RE33!$F$7:$F$874,'30 days CF Table(NZD)'!$C$2)</f>
        <v>0</v>
      </c>
      <c r="BC61" s="379">
        <f>SUMIFS(BS_RE33!$H$7:$H$874,BS_RE33!$S$7:$S$874,$BC$2,BS_RE33!$N$7:$N$874,I61,BS_RE33!$P$7:$P$874,'30 days CF Table(NZD)'!G61,BS_RE33!$F$7:$F$874,'30 days CF Table(NZD)'!$C$2)</f>
        <v>0</v>
      </c>
      <c r="BD61" s="379">
        <f>SUMIFS(BS_RE33!$H$7:$H$874,BS_RE33!$S$7:$S$874,$BD$2,BS_RE33!$N$7:$N$874,I61,BS_RE33!$P$7:$P$874,'30 days CF Table(NZD)'!G61,BS_RE33!$F$7:$F$874,'30 days CF Table(NZD)'!$C$2)</f>
        <v>0</v>
      </c>
      <c r="BE61" s="379">
        <f>SUMIFS(BS_RE33!$H$7:$H$874,BS_RE33!$S$7:$S$874,$BE$2,BS_RE33!$N$7:$N$874,I61,BS_RE33!$P$7:$P$874,'30 days CF Table(NZD)'!G61,BS_RE33!$F$7:$F$874,'30 days CF Table(NZD)'!$C$2)</f>
        <v>0</v>
      </c>
      <c r="BF61" s="379">
        <f>SUMIFS(BS_RE33!$H$7:$H$874,BS_RE33!$S$7:$S$874,$BF$2,BS_RE33!$N$7:$N$874,I61,BS_RE33!$P$7:$P$874,'30 days CF Table(NZD)'!G61,BS_RE33!$F$7:$F$874,'30 days CF Table(NZD)'!$C$2)</f>
        <v>0</v>
      </c>
      <c r="BG61" s="379">
        <f>SUMIFS(BS_RE33!$H$7:$H$874,BS_RE33!$S$7:$S$874,$BG$2,BS_RE33!$N$7:$N$874,I61,BS_RE33!$P$7:$P$874,'30 days CF Table(NZD)'!G61,BS_RE33!$F$7:$F$874,'30 days CF Table(NZD)'!$C$2)</f>
        <v>0</v>
      </c>
      <c r="BH61" s="379">
        <f>SUMIFS(BS_RE33!$H$7:$H$874,BS_RE33!$S$7:$S$874,$BH$2,BS_RE33!$N$7:$N$874,I61,BS_RE33!$P$7:$P$874,'30 days CF Table(NZD)'!G61,BS_RE33!$F$7:$F$874,'30 days CF Table(NZD)'!$C$2)</f>
        <v>0</v>
      </c>
      <c r="BI61" s="379">
        <f>SUMIFS(BS_RE33!$H$7:$H$874,BS_RE33!$S$7:$S$874,$BI$2,BS_RE33!$N$7:$N$874,I61,BS_RE33!$P$7:$P$874,'30 days CF Table(NZD)'!G61,BS_RE33!$F$7:$F$874,'30 days CF Table(NZD)'!$C$2)</f>
        <v>0</v>
      </c>
      <c r="BJ61" s="379">
        <f>SUMIFS(BS_RE33!$H$7:$H$874,BS_RE33!$S$7:$S$874,$BJ$2,BS_RE33!$N$7:$N$874,I61,BS_RE33!$P$7:$P$874,'30 days CF Table(NZD)'!G61,BS_RE33!$F$7:$F$874,'30 days CF Table(NZD)'!$C$2)</f>
        <v>0</v>
      </c>
      <c r="BK61" s="379">
        <f>SUMIFS(BS_RE33!$H$7:$H$874,BS_RE33!$S$7:$S$874,$BK$2,BS_RE33!$N$7:$N$874,I61,BS_RE33!$P$7:$P$874,'30 days CF Table(NZD)'!G61,BS_RE33!$F$7:$F$874,'30 days CF Table(NZD)'!$C$2)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Table(NZD)'!G62,BS_RE33!$F$7:$F$874,'30 days CF Table(NZD)'!$C$2)</f>
        <v>0</v>
      </c>
      <c r="M62" s="337">
        <f>SUMIFS(BS_RE33!$H$7:$H$874,BS_RE33!$S$7:$S$874,$M$2,BS_RE33!$N$7:$N$874,I62,BS_RE33!$P$7:$P$874,'30 days CF Table(NZD)'!G62,BS_RE33!$F$7:$F$874,'30 days CF Table(NZD)'!$C$2)</f>
        <v>0</v>
      </c>
      <c r="N62" s="337">
        <f>SUMIFS(BS_RE33!$H$7:$H$874,BS_RE33!$S$7:$S$874,$N$2,BS_RE33!$N$7:$N$874,I62,BS_RE33!$P$7:$P$874,'30 days CF Table(NZD)'!G62,BS_RE33!$F$7:$F$874,'30 days CF Table(NZD)'!$C$2)</f>
        <v>0</v>
      </c>
      <c r="O62" s="337">
        <f>SUMIFS(BS_RE33!$H$7:$H$874,BS_RE33!$S$7:$S$874,$O$2,BS_RE33!$N$7:$N$874,I62,BS_RE33!$P$7:$P$874,'30 days CF Table(NZD)'!G62,BS_RE33!$F$7:$F$874,'30 days CF Table(NZD)'!$C$2)</f>
        <v>0</v>
      </c>
      <c r="P62" s="337">
        <f>SUMIFS(BS_RE33!$H$7:$H$874,BS_RE33!$S$7:$S$874,$P$2,BS_RE33!$N$7:$N$874,I62,BS_RE33!$P$7:$P$874,'30 days CF Table(NZD)'!G62,BS_RE33!$F$7:$F$874,'30 days CF Table(NZD)'!$C$2)</f>
        <v>0</v>
      </c>
      <c r="Q62" s="337">
        <f>SUMIFS(BS_RE33!$H$7:$H$874,BS_RE33!$S$7:$S$874,$Q$2,BS_RE33!$N$7:$N$874,I62,BS_RE33!$P$7:$P$874,'30 days CF Table(NZD)'!G62,BS_RE33!$F$7:$F$874,'30 days CF Table(NZD)'!$C$2)</f>
        <v>0</v>
      </c>
      <c r="R62" s="337">
        <f>SUMIFS(BS_RE33!$H$7:$H$874,BS_RE33!$S$7:$S$874,$R$2,BS_RE33!$N$7:$N$874,I62,BS_RE33!$P$7:$P$874,'30 days CF Table(NZD)'!G62,BS_RE33!$F$7:$F$874,'30 days CF Table(NZD)'!$C$2)</f>
        <v>0</v>
      </c>
      <c r="S62" s="337">
        <f>SUMIFS(BS_RE33!$H$7:$H$874,BS_RE33!$S$7:$S$874,$S$2,BS_RE33!$N$7:$N$874,I62,BS_RE33!$P$7:$P$874,'30 days CF Table(NZD)'!G62,BS_RE33!$F$7:$F$874,'30 days CF Table(NZD)'!$C$2)</f>
        <v>0</v>
      </c>
      <c r="T62" s="337">
        <f>SUMIFS(BS_RE33!$H$7:$H$874,BS_RE33!$S$7:$S$874,$T$2,BS_RE33!$N$7:$N$874,I62,BS_RE33!$P$7:$P$874,'30 days CF Table(NZD)'!G62,BS_RE33!$F$7:$F$874,'30 days CF Table(NZD)'!$C$2)</f>
        <v>0</v>
      </c>
      <c r="U62" s="337">
        <f>SUMIFS(BS_RE33!$H$7:$H$874,BS_RE33!$S$7:$S$874,$U$2,BS_RE33!$N$7:$N$874,I62,BS_RE33!$P$7:$P$874,'30 days CF Table(NZD)'!G62,BS_RE33!$F$7:$F$874,'30 days CF Table(NZD)'!$C$2)</f>
        <v>0</v>
      </c>
      <c r="V62" s="337">
        <f>SUMIFS(BS_RE33!$H$7:$H$874,BS_RE33!$S$7:$S$874,$V$2,BS_RE33!$N$7:$N$874,I62,BS_RE33!$P$7:$P$874,'30 days CF Table(NZD)'!G62,BS_RE33!$F$7:$F$874,'30 days CF Table(NZD)'!$C$2)</f>
        <v>0</v>
      </c>
      <c r="W62" s="337">
        <f>SUMIFS(BS_RE33!$H$7:$H$874,BS_RE33!$S$7:$S$874,$W$2,BS_RE33!$N$7:$N$874,I62,BS_RE33!$P$7:$P$874,'30 days CF Table(NZD)'!G62,BS_RE33!$F$7:$F$874,'30 days CF Table(NZD)'!$C$2)</f>
        <v>0</v>
      </c>
      <c r="X62" s="337">
        <f>SUMIFS(BS_RE33!$H$7:$H$874,BS_RE33!$S$7:$S$874,$X$2,BS_RE33!$N$7:$N$874,I62,BS_RE33!$P$7:$P$874,'30 days CF Table(NZD)'!G62,BS_RE33!$F$7:$F$874,'30 days CF Table(NZD)'!$C$2)</f>
        <v>0</v>
      </c>
      <c r="Y62" s="337">
        <f>SUMIFS(BS_RE33!$H$7:$H$874,BS_RE33!$S$7:$S$874,$Y$2,BS_RE33!$N$7:$N$874,I62,BS_RE33!$P$7:$P$874,'30 days CF Table(NZD)'!G62,BS_RE33!$F$7:$F$874,'30 days CF Table(NZD)'!$C$2)</f>
        <v>0</v>
      </c>
      <c r="Z62" s="337">
        <f>SUMIFS(BS_RE33!$H$7:$H$874,BS_RE33!$S$7:$S$874,$Z$2,BS_RE33!$N$7:$N$874,I62,BS_RE33!$P$7:$P$874,'30 days CF Table(NZD)'!G62,BS_RE33!$F$7:$F$874,'30 days CF Table(NZD)'!$C$2)</f>
        <v>0</v>
      </c>
      <c r="AA62" s="337">
        <f>SUMIFS(BS_RE33!$H$7:$H$874,BS_RE33!$S$7:$S$874,$AA$2,BS_RE33!$N$7:$N$874,I62,BS_RE33!$P$7:$P$874,'30 days CF Table(NZD)'!G62,BS_RE33!$F$7:$F$874,'30 days CF Table(NZD)'!$C$2)</f>
        <v>0</v>
      </c>
      <c r="AB62" s="337">
        <f>SUMIFS(BS_RE33!$H$7:$H$874,BS_RE33!$S$7:$S$874,$AB$2,BS_RE33!$N$7:$N$874,I62,BS_RE33!$P$7:$P$874,'30 days CF Table(NZD)'!G62,BS_RE33!$F$7:$F$874,'30 days CF Table(NZD)'!$C$2)</f>
        <v>0</v>
      </c>
      <c r="AC62" s="337">
        <f>SUMIFS(BS_RE33!$H$7:$H$874,BS_RE33!$S$7:$S$874,$AC$2,BS_RE33!$N$7:$N$874,I62,BS_RE33!$P$7:$P$874,'30 days CF Table(NZD)'!G62,BS_RE33!$F$7:$F$874,'30 days CF Table(NZD)'!$C$2)</f>
        <v>0</v>
      </c>
      <c r="AD62" s="337">
        <f>SUMIFS(BS_RE33!$H$7:$H$874,BS_RE33!$S$7:$S$874,$AD$2,BS_RE33!$N$7:$N$874,I62,BS_RE33!$P$7:$P$874,'30 days CF Table(NZD)'!G62,BS_RE33!$F$7:$F$874,'30 days CF Table(NZD)'!$C$2)</f>
        <v>0</v>
      </c>
      <c r="AE62" s="337">
        <f>SUMIFS(BS_RE33!$H$7:$H$874,BS_RE33!$S$7:$S$874,$AE$2,BS_RE33!$N$7:$N$874,I62,BS_RE33!$P$7:$P$874,'30 days CF Table(NZD)'!G62,BS_RE33!$F$7:$F$874,'30 days CF Table(NZD)'!$C$2)</f>
        <v>0</v>
      </c>
      <c r="AF62" s="337">
        <f>SUMIFS(BS_RE33!$H$7:$H$874,BS_RE33!$S$7:$S$874,$AF$2,BS_RE33!$N$7:$N$874,I62,BS_RE33!$P$7:$P$874,'30 days CF Table(NZD)'!G62,BS_RE33!$F$7:$F$874,'30 days CF Table(NZD)'!$C$2)</f>
        <v>0</v>
      </c>
      <c r="AG62" s="337">
        <f>SUMIFS(BS_RE33!$H$7:$H$874,BS_RE33!$S$7:$S$874,$AG$2,BS_RE33!$N$7:$N$874,I62,BS_RE33!$P$7:$P$874,'30 days CF Table(NZD)'!G62,BS_RE33!$F$7:$F$874,'30 days CF Table(NZD)'!$C$2)</f>
        <v>0</v>
      </c>
      <c r="AH62" s="337">
        <f>SUMIFS(BS_RE33!$H$7:$H$874,BS_RE33!$S$7:$S$874,$AH$2,BS_RE33!$N$7:$N$874,I62,BS_RE33!$P$7:$P$874,'30 days CF Table(NZD)'!G62,BS_RE33!$F$7:$F$874,'30 days CF Table(NZD)'!$C$2)</f>
        <v>0</v>
      </c>
      <c r="AI62" s="337">
        <f>SUMIFS(BS_RE33!$H$7:$H$874,BS_RE33!$S$7:$S$874,$AI$2,BS_RE33!$N$7:$N$874,I62,BS_RE33!$P$7:$P$874,'30 days CF Table(NZD)'!G62,BS_RE33!$F$7:$F$874,'30 days CF Table(NZD)'!$C$2)</f>
        <v>0</v>
      </c>
      <c r="AJ62" s="337">
        <f>SUMIFS(BS_RE33!$H$7:$H$874,BS_RE33!$S$7:$S$874,$AJ$2,BS_RE33!$N$7:$N$874,I62,BS_RE33!$P$7:$P$874,'30 days CF Table(NZD)'!G62,BS_RE33!$F$7:$F$874,'30 days CF Table(NZD)'!$C$2)</f>
        <v>0</v>
      </c>
      <c r="AK62" s="337">
        <f>SUMIFS(BS_RE33!$H$7:$H$874,BS_RE33!$S$7:$S$874,$AK$2,BS_RE33!$N$7:$N$874,I62,BS_RE33!$P$7:$P$874,'30 days CF Table(NZD)'!G62,BS_RE33!$F$7:$F$874,'30 days CF Table(NZD)'!$C$2)</f>
        <v>0</v>
      </c>
      <c r="AL62" s="337">
        <f>SUMIFS(BS_RE33!$H$7:$H$874,BS_RE33!$S$7:$S$874,$AL$2,BS_RE33!$N$7:$N$874,I62,BS_RE33!$P$7:$P$874,'30 days CF Table(NZD)'!G62,BS_RE33!$F$7:$F$874,'30 days CF Table(NZD)'!$C$2)</f>
        <v>0</v>
      </c>
      <c r="AM62" s="337">
        <f>SUMIFS(BS_RE33!$H$7:$H$874,BS_RE33!$S$7:$S$874,$AM$2,BS_RE33!$N$7:$N$874,I62,BS_RE33!$P$7:$P$874,'30 days CF Table(NZD)'!G62,BS_RE33!$F$7:$F$874,'30 days CF Table(NZD)'!$C$2)</f>
        <v>0</v>
      </c>
      <c r="AN62" s="337">
        <f>SUMIFS(BS_RE33!$H$7:$H$874,BS_RE33!$S$7:$S$874,$AN$2,BS_RE33!$N$7:$N$874,I62,BS_RE33!$P$7:$P$874,'30 days CF Table(NZD)'!G62,BS_RE33!$F$7:$F$874,'30 days CF Table(NZD)'!$C$2)</f>
        <v>0</v>
      </c>
      <c r="AO62" s="337">
        <f>SUMIFS(BS_RE33!$H$7:$H$874,BS_RE33!$S$7:$S$874,$AO$2,BS_RE33!$N$7:$N$874,I62,BS_RE33!$P$7:$P$874,'30 days CF Table(NZD)'!G62,BS_RE33!$F$7:$F$874,'30 days CF Table(NZD)'!$C$2)</f>
        <v>0</v>
      </c>
      <c r="AP62" s="338">
        <f>SUMIFS(BS_RE33!$H$7:$H$874,BS_RE33!$S$7:$S$874,$AP$2,BS_RE33!$N$7:$N$874,I62,BS_RE33!$P$7:$P$874,'30 days CF Table(NZD)'!G62,BS_RE33!$F$7:$F$874,'30 days CF Table(NZD)'!$C$2)</f>
        <v>0</v>
      </c>
      <c r="AR62" s="379">
        <f>SUMIFS(BS_RE33!$H$7:$H$874,BS_RE33!$S$7:$S$874,$AR$2,BS_RE33!$N$7:$N$874,I62,BS_RE33!$P$7:$P$874,'30 days CF Table(NZD)'!G62,BS_RE33!$F$7:$F$874,'30 days CF Table(NZD)'!$C$2)</f>
        <v>0</v>
      </c>
      <c r="AS62" s="379">
        <f>SUMIFS(BS_RE33!$H$7:$H$874,BS_RE33!$S$7:$S$874,$AS$2,BS_RE33!$N$7:$N$874,I62,BS_RE33!$P$7:$P$874,'30 days CF Table(NZD)'!G62,BS_RE33!$F$7:$F$874,'30 days CF Table(NZD)'!$C$2)</f>
        <v>0</v>
      </c>
      <c r="AT62" s="379">
        <f>SUMIFS(BS_RE33!$H$7:$H$874,BS_RE33!$S$7:$S$874,$AT$2,BS_RE33!$N$7:$N$874,I62,BS_RE33!$P$7:$P$874,'30 days CF Table(NZD)'!G62,BS_RE33!$F$7:$F$874,'30 days CF Table(NZD)'!$C$2)</f>
        <v>0</v>
      </c>
      <c r="AU62" s="379">
        <f>SUMIFS(BS_RE33!$H$7:$H$874,BS_RE33!$S$7:$S$874,$AU$2,BS_RE33!$N$7:$N$874,I62,BS_RE33!$P$7:$P$874,'30 days CF Table(NZD)'!G62,BS_RE33!$F$7:$F$874,'30 days CF Table(NZD)'!$C$2)</f>
        <v>0</v>
      </c>
      <c r="AV62" s="379">
        <f>SUMIFS(BS_RE33!$H$7:$H$874,BS_RE33!$S$7:$S$874,$AV$2,BS_RE33!$N$7:$N$874,I62,BS_RE33!$P$7:$P$874,'30 days CF Table(NZD)'!G62,BS_RE33!$F$7:$F$874,'30 days CF Table(NZD)'!$C$2)</f>
        <v>0</v>
      </c>
      <c r="AW62" s="379">
        <f>SUMIFS(BS_RE33!$H$7:$H$874,BS_RE33!$S$7:$S$874,$AW$2,BS_RE33!$N$7:$N$874,I62,BS_RE33!$P$7:$P$874,'30 days CF Table(NZD)'!G62,BS_RE33!$F$7:$F$874,'30 days CF Table(NZD)'!$C$2)</f>
        <v>0</v>
      </c>
      <c r="AX62" s="379">
        <f>SUMIFS(BS_RE33!$H$7:$H$874,BS_RE33!$S$7:$S$874,$AX$2,BS_RE33!$N$7:$N$874,I62,BS_RE33!$P$7:$P$874,'30 days CF Table(NZD)'!G62,BS_RE33!$F$7:$F$874,'30 days CF Table(NZD)'!$C$2)</f>
        <v>0</v>
      </c>
      <c r="AY62" s="379">
        <f>SUMIFS(BS_RE33!$H$7:$H$874,BS_RE33!$S$7:$S$874,$AY$2,BS_RE33!$N$7:$N$874,I62,BS_RE33!$P$7:$P$874,'30 days CF Table(NZD)'!G62,BS_RE33!$F$7:$F$874,'30 days CF Table(NZD)'!$C$2)</f>
        <v>0</v>
      </c>
      <c r="AZ62" s="379">
        <f>SUMIFS(BS_RE33!$H$7:$H$874,BS_RE33!$S$7:$S$874,$AZ$2,BS_RE33!$N$7:$N$874,I62,BS_RE33!$P$7:$P$874,'30 days CF Table(NZD)'!G62,BS_RE33!$F$7:$F$874,'30 days CF Table(NZD)'!$C$2)</f>
        <v>0</v>
      </c>
      <c r="BA62" s="379">
        <f>SUMIFS(BS_RE33!$H$7:$H$874,BS_RE33!$S$7:$S$874,$BA$2,BS_RE33!$N$7:$N$874,I62,BS_RE33!$P$7:$P$874,'30 days CF Table(NZD)'!G62,BS_RE33!$F$7:$F$874,'30 days CF Table(NZD)'!$C$2)</f>
        <v>0</v>
      </c>
      <c r="BB62" s="379">
        <f>SUMIFS(BS_RE33!$H$7:$H$874,BS_RE33!$S$7:$S$874,$BB$2,BS_RE33!$N$7:$N$874,I62,BS_RE33!$P$7:$P$874,'30 days CF Table(NZD)'!G62,BS_RE33!$F$7:$F$874,'30 days CF Table(NZD)'!$C$2)</f>
        <v>0</v>
      </c>
      <c r="BC62" s="379">
        <f>SUMIFS(BS_RE33!$H$7:$H$874,BS_RE33!$S$7:$S$874,$BC$2,BS_RE33!$N$7:$N$874,I62,BS_RE33!$P$7:$P$874,'30 days CF Table(NZD)'!G62,BS_RE33!$F$7:$F$874,'30 days CF Table(NZD)'!$C$2)</f>
        <v>0</v>
      </c>
      <c r="BD62" s="379">
        <f>SUMIFS(BS_RE33!$H$7:$H$874,BS_RE33!$S$7:$S$874,$BD$2,BS_RE33!$N$7:$N$874,I62,BS_RE33!$P$7:$P$874,'30 days CF Table(NZD)'!G62,BS_RE33!$F$7:$F$874,'30 days CF Table(NZD)'!$C$2)</f>
        <v>0</v>
      </c>
      <c r="BE62" s="379">
        <f>SUMIFS(BS_RE33!$H$7:$H$874,BS_RE33!$S$7:$S$874,$BE$2,BS_RE33!$N$7:$N$874,I62,BS_RE33!$P$7:$P$874,'30 days CF Table(NZD)'!G62,BS_RE33!$F$7:$F$874,'30 days CF Table(NZD)'!$C$2)</f>
        <v>0</v>
      </c>
      <c r="BF62" s="379">
        <f>SUMIFS(BS_RE33!$H$7:$H$874,BS_RE33!$S$7:$S$874,$BF$2,BS_RE33!$N$7:$N$874,I62,BS_RE33!$P$7:$P$874,'30 days CF Table(NZD)'!G62,BS_RE33!$F$7:$F$874,'30 days CF Table(NZD)'!$C$2)</f>
        <v>0</v>
      </c>
      <c r="BG62" s="379">
        <f>SUMIFS(BS_RE33!$H$7:$H$874,BS_RE33!$S$7:$S$874,$BG$2,BS_RE33!$N$7:$N$874,I62,BS_RE33!$P$7:$P$874,'30 days CF Table(NZD)'!G62,BS_RE33!$F$7:$F$874,'30 days CF Table(NZD)'!$C$2)</f>
        <v>0</v>
      </c>
      <c r="BH62" s="379">
        <f>SUMIFS(BS_RE33!$H$7:$H$874,BS_RE33!$S$7:$S$874,$BH$2,BS_RE33!$N$7:$N$874,I62,BS_RE33!$P$7:$P$874,'30 days CF Table(NZD)'!G62,BS_RE33!$F$7:$F$874,'30 days CF Table(NZD)'!$C$2)</f>
        <v>0</v>
      </c>
      <c r="BI62" s="379">
        <f>SUMIFS(BS_RE33!$H$7:$H$874,BS_RE33!$S$7:$S$874,$BI$2,BS_RE33!$N$7:$N$874,I62,BS_RE33!$P$7:$P$874,'30 days CF Table(NZD)'!G62,BS_RE33!$F$7:$F$874,'30 days CF Table(NZD)'!$C$2)</f>
        <v>0</v>
      </c>
      <c r="BJ62" s="379">
        <f>SUMIFS(BS_RE33!$H$7:$H$874,BS_RE33!$S$7:$S$874,$BJ$2,BS_RE33!$N$7:$N$874,I62,BS_RE33!$P$7:$P$874,'30 days CF Table(NZD)'!G62,BS_RE33!$F$7:$F$874,'30 days CF Table(NZD)'!$C$2)</f>
        <v>0</v>
      </c>
      <c r="BK62" s="379">
        <f>SUMIFS(BS_RE33!$H$7:$H$874,BS_RE33!$S$7:$S$874,$BK$2,BS_RE33!$N$7:$N$874,I62,BS_RE33!$P$7:$P$874,'30 days CF Table(NZD)'!G62,BS_RE33!$F$7:$F$874,'30 days CF Table(NZD)'!$C$2)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Table(NZD)'!G63,BS_RE33!$F$7:$F$874,'30 days CF Table(NZD)'!$C$2)</f>
        <v>0</v>
      </c>
      <c r="M63" s="337">
        <f>SUMIFS(BS_RE33!$H$7:$H$874,BS_RE33!$S$7:$S$874,$M$2,BS_RE33!$N$7:$N$874,I63,BS_RE33!$P$7:$P$874,'30 days CF Table(NZD)'!G63,BS_RE33!$F$7:$F$874,'30 days CF Table(NZD)'!$C$2)</f>
        <v>0</v>
      </c>
      <c r="N63" s="337">
        <f>SUMIFS(BS_RE33!$H$7:$H$874,BS_RE33!$S$7:$S$874,$N$2,BS_RE33!$N$7:$N$874,I63,BS_RE33!$P$7:$P$874,'30 days CF Table(NZD)'!G63,BS_RE33!$F$7:$F$874,'30 days CF Table(NZD)'!$C$2)</f>
        <v>0</v>
      </c>
      <c r="O63" s="337">
        <f>SUMIFS(BS_RE33!$H$7:$H$874,BS_RE33!$S$7:$S$874,$O$2,BS_RE33!$N$7:$N$874,I63,BS_RE33!$P$7:$P$874,'30 days CF Table(NZD)'!G63,BS_RE33!$F$7:$F$874,'30 days CF Table(NZD)'!$C$2)</f>
        <v>0</v>
      </c>
      <c r="P63" s="337">
        <f>SUMIFS(BS_RE33!$H$7:$H$874,BS_RE33!$S$7:$S$874,$P$2,BS_RE33!$N$7:$N$874,I63,BS_RE33!$P$7:$P$874,'30 days CF Table(NZD)'!G63,BS_RE33!$F$7:$F$874,'30 days CF Table(NZD)'!$C$2)</f>
        <v>0</v>
      </c>
      <c r="Q63" s="337">
        <f>SUMIFS(BS_RE33!$H$7:$H$874,BS_RE33!$S$7:$S$874,$Q$2,BS_RE33!$N$7:$N$874,I63,BS_RE33!$P$7:$P$874,'30 days CF Table(NZD)'!G63,BS_RE33!$F$7:$F$874,'30 days CF Table(NZD)'!$C$2)</f>
        <v>0</v>
      </c>
      <c r="R63" s="337">
        <f>SUMIFS(BS_RE33!$H$7:$H$874,BS_RE33!$S$7:$S$874,$R$2,BS_RE33!$N$7:$N$874,I63,BS_RE33!$P$7:$P$874,'30 days CF Table(NZD)'!G63,BS_RE33!$F$7:$F$874,'30 days CF Table(NZD)'!$C$2)</f>
        <v>0</v>
      </c>
      <c r="S63" s="337">
        <f>SUMIFS(BS_RE33!$H$7:$H$874,BS_RE33!$S$7:$S$874,$S$2,BS_RE33!$N$7:$N$874,I63,BS_RE33!$P$7:$P$874,'30 days CF Table(NZD)'!G63,BS_RE33!$F$7:$F$874,'30 days CF Table(NZD)'!$C$2)</f>
        <v>0</v>
      </c>
      <c r="T63" s="337">
        <f>SUMIFS(BS_RE33!$H$7:$H$874,BS_RE33!$S$7:$S$874,$T$2,BS_RE33!$N$7:$N$874,I63,BS_RE33!$P$7:$P$874,'30 days CF Table(NZD)'!G63,BS_RE33!$F$7:$F$874,'30 days CF Table(NZD)'!$C$2)</f>
        <v>0</v>
      </c>
      <c r="U63" s="337">
        <f>SUMIFS(BS_RE33!$H$7:$H$874,BS_RE33!$S$7:$S$874,$U$2,BS_RE33!$N$7:$N$874,I63,BS_RE33!$P$7:$P$874,'30 days CF Table(NZD)'!G63,BS_RE33!$F$7:$F$874,'30 days CF Table(NZD)'!$C$2)</f>
        <v>0</v>
      </c>
      <c r="V63" s="337">
        <f>SUMIFS(BS_RE33!$H$7:$H$874,BS_RE33!$S$7:$S$874,$V$2,BS_RE33!$N$7:$N$874,I63,BS_RE33!$P$7:$P$874,'30 days CF Table(NZD)'!G63,BS_RE33!$F$7:$F$874,'30 days CF Table(NZD)'!$C$2)</f>
        <v>0</v>
      </c>
      <c r="W63" s="337">
        <f>SUMIFS(BS_RE33!$H$7:$H$874,BS_RE33!$S$7:$S$874,$W$2,BS_RE33!$N$7:$N$874,I63,BS_RE33!$P$7:$P$874,'30 days CF Table(NZD)'!G63,BS_RE33!$F$7:$F$874,'30 days CF Table(NZD)'!$C$2)</f>
        <v>0</v>
      </c>
      <c r="X63" s="337">
        <f>SUMIFS(BS_RE33!$H$7:$H$874,BS_RE33!$S$7:$S$874,$X$2,BS_RE33!$N$7:$N$874,I63,BS_RE33!$P$7:$P$874,'30 days CF Table(NZD)'!G63,BS_RE33!$F$7:$F$874,'30 days CF Table(NZD)'!$C$2)</f>
        <v>0</v>
      </c>
      <c r="Y63" s="337">
        <f>SUMIFS(BS_RE33!$H$7:$H$874,BS_RE33!$S$7:$S$874,$Y$2,BS_RE33!$N$7:$N$874,I63,BS_RE33!$P$7:$P$874,'30 days CF Table(NZD)'!G63,BS_RE33!$F$7:$F$874,'30 days CF Table(NZD)'!$C$2)</f>
        <v>0</v>
      </c>
      <c r="Z63" s="337">
        <f>SUMIFS(BS_RE33!$H$7:$H$874,BS_RE33!$S$7:$S$874,$Z$2,BS_RE33!$N$7:$N$874,I63,BS_RE33!$P$7:$P$874,'30 days CF Table(NZD)'!G63,BS_RE33!$F$7:$F$874,'30 days CF Table(NZD)'!$C$2)</f>
        <v>0</v>
      </c>
      <c r="AA63" s="337">
        <f>SUMIFS(BS_RE33!$H$7:$H$874,BS_RE33!$S$7:$S$874,$AA$2,BS_RE33!$N$7:$N$874,I63,BS_RE33!$P$7:$P$874,'30 days CF Table(NZD)'!G63,BS_RE33!$F$7:$F$874,'30 days CF Table(NZD)'!$C$2)</f>
        <v>0</v>
      </c>
      <c r="AB63" s="337">
        <f>SUMIFS(BS_RE33!$H$7:$H$874,BS_RE33!$S$7:$S$874,$AB$2,BS_RE33!$N$7:$N$874,I63,BS_RE33!$P$7:$P$874,'30 days CF Table(NZD)'!G63,BS_RE33!$F$7:$F$874,'30 days CF Table(NZD)'!$C$2)</f>
        <v>0</v>
      </c>
      <c r="AC63" s="337">
        <f>SUMIFS(BS_RE33!$H$7:$H$874,BS_RE33!$S$7:$S$874,$AC$2,BS_RE33!$N$7:$N$874,I63,BS_RE33!$P$7:$P$874,'30 days CF Table(NZD)'!G63,BS_RE33!$F$7:$F$874,'30 days CF Table(NZD)'!$C$2)</f>
        <v>0</v>
      </c>
      <c r="AD63" s="337">
        <f>SUMIFS(BS_RE33!$H$7:$H$874,BS_RE33!$S$7:$S$874,$AD$2,BS_RE33!$N$7:$N$874,I63,BS_RE33!$P$7:$P$874,'30 days CF Table(NZD)'!G63,BS_RE33!$F$7:$F$874,'30 days CF Table(NZD)'!$C$2)</f>
        <v>0</v>
      </c>
      <c r="AE63" s="337">
        <f>SUMIFS(BS_RE33!$H$7:$H$874,BS_RE33!$S$7:$S$874,$AE$2,BS_RE33!$N$7:$N$874,I63,BS_RE33!$P$7:$P$874,'30 days CF Table(NZD)'!G63,BS_RE33!$F$7:$F$874,'30 days CF Table(NZD)'!$C$2)</f>
        <v>0</v>
      </c>
      <c r="AF63" s="337">
        <f>SUMIFS(BS_RE33!$H$7:$H$874,BS_RE33!$S$7:$S$874,$AF$2,BS_RE33!$N$7:$N$874,I63,BS_RE33!$P$7:$P$874,'30 days CF Table(NZD)'!G63,BS_RE33!$F$7:$F$874,'30 days CF Table(NZD)'!$C$2)</f>
        <v>0</v>
      </c>
      <c r="AG63" s="337">
        <f>SUMIFS(BS_RE33!$H$7:$H$874,BS_RE33!$S$7:$S$874,$AG$2,BS_RE33!$N$7:$N$874,I63,BS_RE33!$P$7:$P$874,'30 days CF Table(NZD)'!G63,BS_RE33!$F$7:$F$874,'30 days CF Table(NZD)'!$C$2)</f>
        <v>0</v>
      </c>
      <c r="AH63" s="337">
        <f>SUMIFS(BS_RE33!$H$7:$H$874,BS_RE33!$S$7:$S$874,$AH$2,BS_RE33!$N$7:$N$874,I63,BS_RE33!$P$7:$P$874,'30 days CF Table(NZD)'!G63,BS_RE33!$F$7:$F$874,'30 days CF Table(NZD)'!$C$2)</f>
        <v>0</v>
      </c>
      <c r="AI63" s="337">
        <f>SUMIFS(BS_RE33!$H$7:$H$874,BS_RE33!$S$7:$S$874,$AI$2,BS_RE33!$N$7:$N$874,I63,BS_RE33!$P$7:$P$874,'30 days CF Table(NZD)'!G63,BS_RE33!$F$7:$F$874,'30 days CF Table(NZD)'!$C$2)</f>
        <v>0</v>
      </c>
      <c r="AJ63" s="337">
        <f>SUMIFS(BS_RE33!$H$7:$H$874,BS_RE33!$S$7:$S$874,$AJ$2,BS_RE33!$N$7:$N$874,I63,BS_RE33!$P$7:$P$874,'30 days CF Table(NZD)'!G63,BS_RE33!$F$7:$F$874,'30 days CF Table(NZD)'!$C$2)</f>
        <v>0</v>
      </c>
      <c r="AK63" s="337">
        <f>SUMIFS(BS_RE33!$H$7:$H$874,BS_RE33!$S$7:$S$874,$AK$2,BS_RE33!$N$7:$N$874,I63,BS_RE33!$P$7:$P$874,'30 days CF Table(NZD)'!G63,BS_RE33!$F$7:$F$874,'30 days CF Table(NZD)'!$C$2)</f>
        <v>0</v>
      </c>
      <c r="AL63" s="337">
        <f>SUMIFS(BS_RE33!$H$7:$H$874,BS_RE33!$S$7:$S$874,$AL$2,BS_RE33!$N$7:$N$874,I63,BS_RE33!$P$7:$P$874,'30 days CF Table(NZD)'!G63,BS_RE33!$F$7:$F$874,'30 days CF Table(NZD)'!$C$2)</f>
        <v>0</v>
      </c>
      <c r="AM63" s="337">
        <f>SUMIFS(BS_RE33!$H$7:$H$874,BS_RE33!$S$7:$S$874,$AM$2,BS_RE33!$N$7:$N$874,I63,BS_RE33!$P$7:$P$874,'30 days CF Table(NZD)'!G63,BS_RE33!$F$7:$F$874,'30 days CF Table(NZD)'!$C$2)</f>
        <v>0</v>
      </c>
      <c r="AN63" s="337">
        <f>SUMIFS(BS_RE33!$H$7:$H$874,BS_RE33!$S$7:$S$874,$AN$2,BS_RE33!$N$7:$N$874,I63,BS_RE33!$P$7:$P$874,'30 days CF Table(NZD)'!G63,BS_RE33!$F$7:$F$874,'30 days CF Table(NZD)'!$C$2)</f>
        <v>0</v>
      </c>
      <c r="AO63" s="337">
        <f>SUMIFS(BS_RE33!$H$7:$H$874,BS_RE33!$S$7:$S$874,$AO$2,BS_RE33!$N$7:$N$874,I63,BS_RE33!$P$7:$P$874,'30 days CF Table(NZD)'!G63,BS_RE33!$F$7:$F$874,'30 days CF Table(NZD)'!$C$2)</f>
        <v>0</v>
      </c>
      <c r="AP63" s="338">
        <f>SUMIFS(BS_RE33!$H$7:$H$874,BS_RE33!$S$7:$S$874,$AP$2,BS_RE33!$N$7:$N$874,I63,BS_RE33!$P$7:$P$874,'30 days CF Table(NZD)'!G63,BS_RE33!$F$7:$F$874,'30 days CF Table(NZD)'!$C$2)</f>
        <v>0</v>
      </c>
      <c r="AR63" s="379">
        <f>SUMIFS(BS_RE33!$H$7:$H$874,BS_RE33!$S$7:$S$874,$AR$2,BS_RE33!$N$7:$N$874,I63,BS_RE33!$P$7:$P$874,'30 days CF Table(NZD)'!G63,BS_RE33!$F$7:$F$874,'30 days CF Table(NZD)'!$C$2)</f>
        <v>0</v>
      </c>
      <c r="AS63" s="379">
        <f>SUMIFS(BS_RE33!$H$7:$H$874,BS_RE33!$S$7:$S$874,$AS$2,BS_RE33!$N$7:$N$874,I63,BS_RE33!$P$7:$P$874,'30 days CF Table(NZD)'!G63,BS_RE33!$F$7:$F$874,'30 days CF Table(NZD)'!$C$2)</f>
        <v>0</v>
      </c>
      <c r="AT63" s="379">
        <f>SUMIFS(BS_RE33!$H$7:$H$874,BS_RE33!$S$7:$S$874,$AT$2,BS_RE33!$N$7:$N$874,I63,BS_RE33!$P$7:$P$874,'30 days CF Table(NZD)'!G63,BS_RE33!$F$7:$F$874,'30 days CF Table(NZD)'!$C$2)</f>
        <v>0</v>
      </c>
      <c r="AU63" s="379">
        <f>SUMIFS(BS_RE33!$H$7:$H$874,BS_RE33!$S$7:$S$874,$AU$2,BS_RE33!$N$7:$N$874,I63,BS_RE33!$P$7:$P$874,'30 days CF Table(NZD)'!G63,BS_RE33!$F$7:$F$874,'30 days CF Table(NZD)'!$C$2)</f>
        <v>0</v>
      </c>
      <c r="AV63" s="379">
        <f>SUMIFS(BS_RE33!$H$7:$H$874,BS_RE33!$S$7:$S$874,$AV$2,BS_RE33!$N$7:$N$874,I63,BS_RE33!$P$7:$P$874,'30 days CF Table(NZD)'!G63,BS_RE33!$F$7:$F$874,'30 days CF Table(NZD)'!$C$2)</f>
        <v>0</v>
      </c>
      <c r="AW63" s="379">
        <f>SUMIFS(BS_RE33!$H$7:$H$874,BS_RE33!$S$7:$S$874,$AW$2,BS_RE33!$N$7:$N$874,I63,BS_RE33!$P$7:$P$874,'30 days CF Table(NZD)'!G63,BS_RE33!$F$7:$F$874,'30 days CF Table(NZD)'!$C$2)</f>
        <v>0</v>
      </c>
      <c r="AX63" s="379">
        <f>SUMIFS(BS_RE33!$H$7:$H$874,BS_RE33!$S$7:$S$874,$AX$2,BS_RE33!$N$7:$N$874,I63,BS_RE33!$P$7:$P$874,'30 days CF Table(NZD)'!G63,BS_RE33!$F$7:$F$874,'30 days CF Table(NZD)'!$C$2)</f>
        <v>0</v>
      </c>
      <c r="AY63" s="379">
        <f>SUMIFS(BS_RE33!$H$7:$H$874,BS_RE33!$S$7:$S$874,$AY$2,BS_RE33!$N$7:$N$874,I63,BS_RE33!$P$7:$P$874,'30 days CF Table(NZD)'!G63,BS_RE33!$F$7:$F$874,'30 days CF Table(NZD)'!$C$2)</f>
        <v>0</v>
      </c>
      <c r="AZ63" s="379">
        <f>SUMIFS(BS_RE33!$H$7:$H$874,BS_RE33!$S$7:$S$874,$AZ$2,BS_RE33!$N$7:$N$874,I63,BS_RE33!$P$7:$P$874,'30 days CF Table(NZD)'!G63,BS_RE33!$F$7:$F$874,'30 days CF Table(NZD)'!$C$2)</f>
        <v>0</v>
      </c>
      <c r="BA63" s="379">
        <f>SUMIFS(BS_RE33!$H$7:$H$874,BS_RE33!$S$7:$S$874,$BA$2,BS_RE33!$N$7:$N$874,I63,BS_RE33!$P$7:$P$874,'30 days CF Table(NZD)'!G63,BS_RE33!$F$7:$F$874,'30 days CF Table(NZD)'!$C$2)</f>
        <v>0</v>
      </c>
      <c r="BB63" s="379">
        <f>SUMIFS(BS_RE33!$H$7:$H$874,BS_RE33!$S$7:$S$874,$BB$2,BS_RE33!$N$7:$N$874,I63,BS_RE33!$P$7:$P$874,'30 days CF Table(NZD)'!G63,BS_RE33!$F$7:$F$874,'30 days CF Table(NZD)'!$C$2)</f>
        <v>0</v>
      </c>
      <c r="BC63" s="379">
        <f>SUMIFS(BS_RE33!$H$7:$H$874,BS_RE33!$S$7:$S$874,$BC$2,BS_RE33!$N$7:$N$874,I63,BS_RE33!$P$7:$P$874,'30 days CF Table(NZD)'!G63,BS_RE33!$F$7:$F$874,'30 days CF Table(NZD)'!$C$2)</f>
        <v>0</v>
      </c>
      <c r="BD63" s="379">
        <f>SUMIFS(BS_RE33!$H$7:$H$874,BS_RE33!$S$7:$S$874,$BD$2,BS_RE33!$N$7:$N$874,I63,BS_RE33!$P$7:$P$874,'30 days CF Table(NZD)'!G63,BS_RE33!$F$7:$F$874,'30 days CF Table(NZD)'!$C$2)</f>
        <v>0</v>
      </c>
      <c r="BE63" s="379">
        <f>SUMIFS(BS_RE33!$H$7:$H$874,BS_RE33!$S$7:$S$874,$BE$2,BS_RE33!$N$7:$N$874,I63,BS_RE33!$P$7:$P$874,'30 days CF Table(NZD)'!G63,BS_RE33!$F$7:$F$874,'30 days CF Table(NZD)'!$C$2)</f>
        <v>0</v>
      </c>
      <c r="BF63" s="379">
        <f>SUMIFS(BS_RE33!$H$7:$H$874,BS_RE33!$S$7:$S$874,$BF$2,BS_RE33!$N$7:$N$874,I63,BS_RE33!$P$7:$P$874,'30 days CF Table(NZD)'!G63,BS_RE33!$F$7:$F$874,'30 days CF Table(NZD)'!$C$2)</f>
        <v>0</v>
      </c>
      <c r="BG63" s="379">
        <f>SUMIFS(BS_RE33!$H$7:$H$874,BS_RE33!$S$7:$S$874,$BG$2,BS_RE33!$N$7:$N$874,I63,BS_RE33!$P$7:$P$874,'30 days CF Table(NZD)'!G63,BS_RE33!$F$7:$F$874,'30 days CF Table(NZD)'!$C$2)</f>
        <v>0</v>
      </c>
      <c r="BH63" s="379">
        <f>SUMIFS(BS_RE33!$H$7:$H$874,BS_RE33!$S$7:$S$874,$BH$2,BS_RE33!$N$7:$N$874,I63,BS_RE33!$P$7:$P$874,'30 days CF Table(NZD)'!G63,BS_RE33!$F$7:$F$874,'30 days CF Table(NZD)'!$C$2)</f>
        <v>0</v>
      </c>
      <c r="BI63" s="379">
        <f>SUMIFS(BS_RE33!$H$7:$H$874,BS_RE33!$S$7:$S$874,$BI$2,BS_RE33!$N$7:$N$874,I63,BS_RE33!$P$7:$P$874,'30 days CF Table(NZD)'!G63,BS_RE33!$F$7:$F$874,'30 days CF Table(NZD)'!$C$2)</f>
        <v>0</v>
      </c>
      <c r="BJ63" s="379">
        <f>SUMIFS(BS_RE33!$H$7:$H$874,BS_RE33!$S$7:$S$874,$BJ$2,BS_RE33!$N$7:$N$874,I63,BS_RE33!$P$7:$P$874,'30 days CF Table(NZD)'!G63,BS_RE33!$F$7:$F$874,'30 days CF Table(NZD)'!$C$2)</f>
        <v>0</v>
      </c>
      <c r="BK63" s="379">
        <f>SUMIFS(BS_RE33!$H$7:$H$874,BS_RE33!$S$7:$S$874,$BK$2,BS_RE33!$N$7:$N$874,I63,BS_RE33!$P$7:$P$874,'30 days CF Table(NZD)'!G63,BS_RE33!$F$7:$F$874,'30 days CF Table(NZD)'!$C$2)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Table(NZD)'!G64,BS_RE33!$F$7:$F$874,'30 days CF Table(NZD)'!$C$2)</f>
        <v>0</v>
      </c>
      <c r="M64" s="341">
        <f>SUMIFS(BS_RE33!$H$7:$H$874,BS_RE33!$S$7:$S$874,$M$2,BS_RE33!$N$7:$N$874,I64,BS_RE33!$P$7:$P$874,'30 days CF Table(NZD)'!G64,BS_RE33!$F$7:$F$874,'30 days CF Table(NZD)'!$C$2)</f>
        <v>0</v>
      </c>
      <c r="N64" s="341">
        <f>SUMIFS(BS_RE33!$H$7:$H$874,BS_RE33!$S$7:$S$874,$N$2,BS_RE33!$N$7:$N$874,I64,BS_RE33!$P$7:$P$874,'30 days CF Table(NZD)'!G64,BS_RE33!$F$7:$F$874,'30 days CF Table(NZD)'!$C$2)</f>
        <v>0</v>
      </c>
      <c r="O64" s="341">
        <f>SUMIFS(BS_RE33!$H$7:$H$874,BS_RE33!$S$7:$S$874,$O$2,BS_RE33!$N$7:$N$874,I64,BS_RE33!$P$7:$P$874,'30 days CF Table(NZD)'!G64,BS_RE33!$F$7:$F$874,'30 days CF Table(NZD)'!$C$2)</f>
        <v>0</v>
      </c>
      <c r="P64" s="341">
        <f>SUMIFS(BS_RE33!$H$7:$H$874,BS_RE33!$S$7:$S$874,$P$2,BS_RE33!$N$7:$N$874,I64,BS_RE33!$P$7:$P$874,'30 days CF Table(NZD)'!G64,BS_RE33!$F$7:$F$874,'30 days CF Table(NZD)'!$C$2)</f>
        <v>0</v>
      </c>
      <c r="Q64" s="341">
        <f>SUMIFS(BS_RE33!$H$7:$H$874,BS_RE33!$S$7:$S$874,$Q$2,BS_RE33!$N$7:$N$874,I64,BS_RE33!$P$7:$P$874,'30 days CF Table(NZD)'!G64,BS_RE33!$F$7:$F$874,'30 days CF Table(NZD)'!$C$2)</f>
        <v>0</v>
      </c>
      <c r="R64" s="341">
        <f>SUMIFS(BS_RE33!$H$7:$H$874,BS_RE33!$S$7:$S$874,$R$2,BS_RE33!$N$7:$N$874,I64,BS_RE33!$P$7:$P$874,'30 days CF Table(NZD)'!G64,BS_RE33!$F$7:$F$874,'30 days CF Table(NZD)'!$C$2)</f>
        <v>0</v>
      </c>
      <c r="S64" s="341">
        <f>SUMIFS(BS_RE33!$H$7:$H$874,BS_RE33!$S$7:$S$874,$S$2,BS_RE33!$N$7:$N$874,I64,BS_RE33!$P$7:$P$874,'30 days CF Table(NZD)'!G64,BS_RE33!$F$7:$F$874,'30 days CF Table(NZD)'!$C$2)</f>
        <v>0</v>
      </c>
      <c r="T64" s="341">
        <f>SUMIFS(BS_RE33!$H$7:$H$874,BS_RE33!$S$7:$S$874,$T$2,BS_RE33!$N$7:$N$874,I64,BS_RE33!$P$7:$P$874,'30 days CF Table(NZD)'!G64,BS_RE33!$F$7:$F$874,'30 days CF Table(NZD)'!$C$2)</f>
        <v>0</v>
      </c>
      <c r="U64" s="341">
        <f>SUMIFS(BS_RE33!$H$7:$H$874,BS_RE33!$S$7:$S$874,$U$2,BS_RE33!$N$7:$N$874,I64,BS_RE33!$P$7:$P$874,'30 days CF Table(NZD)'!G64,BS_RE33!$F$7:$F$874,'30 days CF Table(NZD)'!$C$2)</f>
        <v>0</v>
      </c>
      <c r="V64" s="341">
        <f>SUMIFS(BS_RE33!$H$7:$H$874,BS_RE33!$S$7:$S$874,$V$2,BS_RE33!$N$7:$N$874,I64,BS_RE33!$P$7:$P$874,'30 days CF Table(NZD)'!G64,BS_RE33!$F$7:$F$874,'30 days CF Table(NZD)'!$C$2)</f>
        <v>0</v>
      </c>
      <c r="W64" s="341">
        <f>SUMIFS(BS_RE33!$H$7:$H$874,BS_RE33!$S$7:$S$874,$W$2,BS_RE33!$N$7:$N$874,I64,BS_RE33!$P$7:$P$874,'30 days CF Table(NZD)'!G64,BS_RE33!$F$7:$F$874,'30 days CF Table(NZD)'!$C$2)</f>
        <v>0</v>
      </c>
      <c r="X64" s="341">
        <f>SUMIFS(BS_RE33!$H$7:$H$874,BS_RE33!$S$7:$S$874,$X$2,BS_RE33!$N$7:$N$874,I64,BS_RE33!$P$7:$P$874,'30 days CF Table(NZD)'!G64,BS_RE33!$F$7:$F$874,'30 days CF Table(NZD)'!$C$2)</f>
        <v>0</v>
      </c>
      <c r="Y64" s="341">
        <f>SUMIFS(BS_RE33!$H$7:$H$874,BS_RE33!$S$7:$S$874,$Y$2,BS_RE33!$N$7:$N$874,I64,BS_RE33!$P$7:$P$874,'30 days CF Table(NZD)'!G64,BS_RE33!$F$7:$F$874,'30 days CF Table(NZD)'!$C$2)</f>
        <v>0</v>
      </c>
      <c r="Z64" s="341">
        <f>SUMIFS(BS_RE33!$H$7:$H$874,BS_RE33!$S$7:$S$874,$Z$2,BS_RE33!$N$7:$N$874,I64,BS_RE33!$P$7:$P$874,'30 days CF Table(NZD)'!G64,BS_RE33!$F$7:$F$874,'30 days CF Table(NZD)'!$C$2)</f>
        <v>0</v>
      </c>
      <c r="AA64" s="341">
        <f>SUMIFS(BS_RE33!$H$7:$H$874,BS_RE33!$S$7:$S$874,$AA$2,BS_RE33!$N$7:$N$874,I64,BS_RE33!$P$7:$P$874,'30 days CF Table(NZD)'!G64,BS_RE33!$F$7:$F$874,'30 days CF Table(NZD)'!$C$2)</f>
        <v>0</v>
      </c>
      <c r="AB64" s="341">
        <f>SUMIFS(BS_RE33!$H$7:$H$874,BS_RE33!$S$7:$S$874,$AB$2,BS_RE33!$N$7:$N$874,I64,BS_RE33!$P$7:$P$874,'30 days CF Table(NZD)'!G64,BS_RE33!$F$7:$F$874,'30 days CF Table(NZD)'!$C$2)</f>
        <v>0</v>
      </c>
      <c r="AC64" s="341">
        <f>SUMIFS(BS_RE33!$H$7:$H$874,BS_RE33!$S$7:$S$874,$AC$2,BS_RE33!$N$7:$N$874,I64,BS_RE33!$P$7:$P$874,'30 days CF Table(NZD)'!G64,BS_RE33!$F$7:$F$874,'30 days CF Table(NZD)'!$C$2)</f>
        <v>0</v>
      </c>
      <c r="AD64" s="341">
        <f>SUMIFS(BS_RE33!$H$7:$H$874,BS_RE33!$S$7:$S$874,$AD$2,BS_RE33!$N$7:$N$874,I64,BS_RE33!$P$7:$P$874,'30 days CF Table(NZD)'!G64,BS_RE33!$F$7:$F$874,'30 days CF Table(NZD)'!$C$2)</f>
        <v>0</v>
      </c>
      <c r="AE64" s="341">
        <f>SUMIFS(BS_RE33!$H$7:$H$874,BS_RE33!$S$7:$S$874,$AE$2,BS_RE33!$N$7:$N$874,I64,BS_RE33!$P$7:$P$874,'30 days CF Table(NZD)'!G64,BS_RE33!$F$7:$F$874,'30 days CF Table(NZD)'!$C$2)</f>
        <v>0</v>
      </c>
      <c r="AF64" s="341">
        <f>SUMIFS(BS_RE33!$H$7:$H$874,BS_RE33!$S$7:$S$874,$AF$2,BS_RE33!$N$7:$N$874,I64,BS_RE33!$P$7:$P$874,'30 days CF Table(NZD)'!G64,BS_RE33!$F$7:$F$874,'30 days CF Table(NZD)'!$C$2)</f>
        <v>0</v>
      </c>
      <c r="AG64" s="341">
        <f>SUMIFS(BS_RE33!$H$7:$H$874,BS_RE33!$S$7:$S$874,$AG$2,BS_RE33!$N$7:$N$874,I64,BS_RE33!$P$7:$P$874,'30 days CF Table(NZD)'!G64,BS_RE33!$F$7:$F$874,'30 days CF Table(NZD)'!$C$2)</f>
        <v>0</v>
      </c>
      <c r="AH64" s="341">
        <f>SUMIFS(BS_RE33!$H$7:$H$874,BS_RE33!$S$7:$S$874,$AH$2,BS_RE33!$N$7:$N$874,I64,BS_RE33!$P$7:$P$874,'30 days CF Table(NZD)'!G64,BS_RE33!$F$7:$F$874,'30 days CF Table(NZD)'!$C$2)</f>
        <v>0</v>
      </c>
      <c r="AI64" s="341">
        <f>SUMIFS(BS_RE33!$H$7:$H$874,BS_RE33!$S$7:$S$874,$AI$2,BS_RE33!$N$7:$N$874,I64,BS_RE33!$P$7:$P$874,'30 days CF Table(NZD)'!G64,BS_RE33!$F$7:$F$874,'30 days CF Table(NZD)'!$C$2)</f>
        <v>0</v>
      </c>
      <c r="AJ64" s="341">
        <f>SUMIFS(BS_RE33!$H$7:$H$874,BS_RE33!$S$7:$S$874,$AJ$2,BS_RE33!$N$7:$N$874,I64,BS_RE33!$P$7:$P$874,'30 days CF Table(NZD)'!G64,BS_RE33!$F$7:$F$874,'30 days CF Table(NZD)'!$C$2)</f>
        <v>0</v>
      </c>
      <c r="AK64" s="341">
        <f>SUMIFS(BS_RE33!$H$7:$H$874,BS_RE33!$S$7:$S$874,$AK$2,BS_RE33!$N$7:$N$874,I64,BS_RE33!$P$7:$P$874,'30 days CF Table(NZD)'!G64,BS_RE33!$F$7:$F$874,'30 days CF Table(NZD)'!$C$2)</f>
        <v>0</v>
      </c>
      <c r="AL64" s="341">
        <f>SUMIFS(BS_RE33!$H$7:$H$874,BS_RE33!$S$7:$S$874,$AL$2,BS_RE33!$N$7:$N$874,I64,BS_RE33!$P$7:$P$874,'30 days CF Table(NZD)'!G64,BS_RE33!$F$7:$F$874,'30 days CF Table(NZD)'!$C$2)</f>
        <v>0</v>
      </c>
      <c r="AM64" s="341">
        <f>SUMIFS(BS_RE33!$H$7:$H$874,BS_RE33!$S$7:$S$874,$AM$2,BS_RE33!$N$7:$N$874,I64,BS_RE33!$P$7:$P$874,'30 days CF Table(NZD)'!G64,BS_RE33!$F$7:$F$874,'30 days CF Table(NZD)'!$C$2)</f>
        <v>0</v>
      </c>
      <c r="AN64" s="341">
        <f>SUMIFS(BS_RE33!$H$7:$H$874,BS_RE33!$S$7:$S$874,$AN$2,BS_RE33!$N$7:$N$874,I64,BS_RE33!$P$7:$P$874,'30 days CF Table(NZD)'!G64,BS_RE33!$F$7:$F$874,'30 days CF Table(NZD)'!$C$2)</f>
        <v>0</v>
      </c>
      <c r="AO64" s="341">
        <f>SUMIFS(BS_RE33!$H$7:$H$874,BS_RE33!$S$7:$S$874,$AO$2,BS_RE33!$N$7:$N$874,I64,BS_RE33!$P$7:$P$874,'30 days CF Table(NZD)'!G64,BS_RE33!$F$7:$F$874,'30 days CF Table(NZD)'!$C$2)</f>
        <v>0</v>
      </c>
      <c r="AP64" s="342">
        <f>SUMIFS(BS_RE33!$H$7:$H$874,BS_RE33!$S$7:$S$874,$AP$2,BS_RE33!$N$7:$N$874,I64,BS_RE33!$P$7:$P$874,'30 days CF Table(NZD)'!G64,BS_RE33!$F$7:$F$874,'30 days CF Table(NZD)'!$C$2)</f>
        <v>0</v>
      </c>
      <c r="AR64" s="381">
        <f>SUMIFS(BS_RE33!$H$7:$H$874,BS_RE33!$S$7:$S$874,$AR$2,BS_RE33!$N$7:$N$874,I64,BS_RE33!$P$7:$P$874,'30 days CF Table(NZD)'!G64,BS_RE33!$F$7:$F$874,'30 days CF Table(NZD)'!$C$2)</f>
        <v>0</v>
      </c>
      <c r="AS64" s="381">
        <f>SUMIFS(BS_RE33!$H$7:$H$874,BS_RE33!$S$7:$S$874,$AS$2,BS_RE33!$N$7:$N$874,I64,BS_RE33!$P$7:$P$874,'30 days CF Table(NZD)'!G64,BS_RE33!$F$7:$F$874,'30 days CF Table(NZD)'!$C$2)</f>
        <v>0</v>
      </c>
      <c r="AT64" s="381">
        <f>SUMIFS(BS_RE33!$H$7:$H$874,BS_RE33!$S$7:$S$874,$AT$2,BS_RE33!$N$7:$N$874,I64,BS_RE33!$P$7:$P$874,'30 days CF Table(NZD)'!G64,BS_RE33!$F$7:$F$874,'30 days CF Table(NZD)'!$C$2)</f>
        <v>0</v>
      </c>
      <c r="AU64" s="381">
        <f>SUMIFS(BS_RE33!$H$7:$H$874,BS_RE33!$S$7:$S$874,$AU$2,BS_RE33!$N$7:$N$874,I64,BS_RE33!$P$7:$P$874,'30 days CF Table(NZD)'!G64,BS_RE33!$F$7:$F$874,'30 days CF Table(NZD)'!$C$2)</f>
        <v>0</v>
      </c>
      <c r="AV64" s="381">
        <f>SUMIFS(BS_RE33!$H$7:$H$874,BS_RE33!$S$7:$S$874,$AV$2,BS_RE33!$N$7:$N$874,I64,BS_RE33!$P$7:$P$874,'30 days CF Table(NZD)'!G64,BS_RE33!$F$7:$F$874,'30 days CF Table(NZD)'!$C$2)</f>
        <v>0</v>
      </c>
      <c r="AW64" s="381">
        <f>SUMIFS(BS_RE33!$H$7:$H$874,BS_RE33!$S$7:$S$874,$AW$2,BS_RE33!$N$7:$N$874,I64,BS_RE33!$P$7:$P$874,'30 days CF Table(NZD)'!G64,BS_RE33!$F$7:$F$874,'30 days CF Table(NZD)'!$C$2)</f>
        <v>0</v>
      </c>
      <c r="AX64" s="381">
        <f>SUMIFS(BS_RE33!$H$7:$H$874,BS_RE33!$S$7:$S$874,$AX$2,BS_RE33!$N$7:$N$874,I64,BS_RE33!$P$7:$P$874,'30 days CF Table(NZD)'!G64,BS_RE33!$F$7:$F$874,'30 days CF Table(NZD)'!$C$2)</f>
        <v>0</v>
      </c>
      <c r="AY64" s="381">
        <f>SUMIFS(BS_RE33!$H$7:$H$874,BS_RE33!$S$7:$S$874,$AY$2,BS_RE33!$N$7:$N$874,I64,BS_RE33!$P$7:$P$874,'30 days CF Table(NZD)'!G64,BS_RE33!$F$7:$F$874,'30 days CF Table(NZD)'!$C$2)</f>
        <v>0</v>
      </c>
      <c r="AZ64" s="381">
        <f>SUMIFS(BS_RE33!$H$7:$H$874,BS_RE33!$S$7:$S$874,$AZ$2,BS_RE33!$N$7:$N$874,I64,BS_RE33!$P$7:$P$874,'30 days CF Table(NZD)'!G64,BS_RE33!$F$7:$F$874,'30 days CF Table(NZD)'!$C$2)</f>
        <v>0</v>
      </c>
      <c r="BA64" s="381">
        <f>SUMIFS(BS_RE33!$H$7:$H$874,BS_RE33!$S$7:$S$874,$BA$2,BS_RE33!$N$7:$N$874,I64,BS_RE33!$P$7:$P$874,'30 days CF Table(NZD)'!G64,BS_RE33!$F$7:$F$874,'30 days CF Table(NZD)'!$C$2)</f>
        <v>0</v>
      </c>
      <c r="BB64" s="381">
        <f>SUMIFS(BS_RE33!$H$7:$H$874,BS_RE33!$S$7:$S$874,$BB$2,BS_RE33!$N$7:$N$874,I64,BS_RE33!$P$7:$P$874,'30 days CF Table(NZD)'!G64,BS_RE33!$F$7:$F$874,'30 days CF Table(NZD)'!$C$2)</f>
        <v>0</v>
      </c>
      <c r="BC64" s="381">
        <f>SUMIFS(BS_RE33!$H$7:$H$874,BS_RE33!$S$7:$S$874,$BC$2,BS_RE33!$N$7:$N$874,I64,BS_RE33!$P$7:$P$874,'30 days CF Table(NZD)'!G64,BS_RE33!$F$7:$F$874,'30 days CF Table(NZD)'!$C$2)</f>
        <v>0</v>
      </c>
      <c r="BD64" s="381">
        <f>SUMIFS(BS_RE33!$H$7:$H$874,BS_RE33!$S$7:$S$874,$BD$2,BS_RE33!$N$7:$N$874,I64,BS_RE33!$P$7:$P$874,'30 days CF Table(NZD)'!G64,BS_RE33!$F$7:$F$874,'30 days CF Table(NZD)'!$C$2)</f>
        <v>0</v>
      </c>
      <c r="BE64" s="381">
        <f>SUMIFS(BS_RE33!$H$7:$H$874,BS_RE33!$S$7:$S$874,$BE$2,BS_RE33!$N$7:$N$874,I64,BS_RE33!$P$7:$P$874,'30 days CF Table(NZD)'!G64,BS_RE33!$F$7:$F$874,'30 days CF Table(NZD)'!$C$2)</f>
        <v>0</v>
      </c>
      <c r="BF64" s="381">
        <f>SUMIFS(BS_RE33!$H$7:$H$874,BS_RE33!$S$7:$S$874,$BF$2,BS_RE33!$N$7:$N$874,I64,BS_RE33!$P$7:$P$874,'30 days CF Table(NZD)'!G64,BS_RE33!$F$7:$F$874,'30 days CF Table(NZD)'!$C$2)</f>
        <v>0</v>
      </c>
      <c r="BG64" s="381">
        <f>SUMIFS(BS_RE33!$H$7:$H$874,BS_RE33!$S$7:$S$874,$BG$2,BS_RE33!$N$7:$N$874,I64,BS_RE33!$P$7:$P$874,'30 days CF Table(NZD)'!G64,BS_RE33!$F$7:$F$874,'30 days CF Table(NZD)'!$C$2)</f>
        <v>0</v>
      </c>
      <c r="BH64" s="381">
        <f>SUMIFS(BS_RE33!$H$7:$H$874,BS_RE33!$S$7:$S$874,$BH$2,BS_RE33!$N$7:$N$874,I64,BS_RE33!$P$7:$P$874,'30 days CF Table(NZD)'!G64,BS_RE33!$F$7:$F$874,'30 days CF Table(NZD)'!$C$2)</f>
        <v>0</v>
      </c>
      <c r="BI64" s="381">
        <f>SUMIFS(BS_RE33!$H$7:$H$874,BS_RE33!$S$7:$S$874,$BI$2,BS_RE33!$N$7:$N$874,I64,BS_RE33!$P$7:$P$874,'30 days CF Table(NZD)'!G64,BS_RE33!$F$7:$F$874,'30 days CF Table(NZD)'!$C$2)</f>
        <v>0</v>
      </c>
      <c r="BJ64" s="381">
        <f>SUMIFS(BS_RE33!$H$7:$H$874,BS_RE33!$S$7:$S$874,$BJ$2,BS_RE33!$N$7:$N$874,I64,BS_RE33!$P$7:$P$874,'30 days CF Table(NZD)'!G64,BS_RE33!$F$7:$F$874,'30 days CF Table(NZD)'!$C$2)</f>
        <v>0</v>
      </c>
      <c r="BK64" s="381">
        <f>SUMIFS(BS_RE33!$H$7:$H$874,BS_RE33!$S$7:$S$874,$BK$2,BS_RE33!$N$7:$N$874,I64,BS_RE33!$P$7:$P$874,'30 days CF Table(NZD)'!G64,BS_RE33!$F$7:$F$874,'30 days CF Table(NZD)'!$C$2)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Table(NZD)'!$C$2)/1000000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Table(NZD)'!$C$2)/1000000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Table(NZD)'!$C$2)/1000000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Table(NZD)'!$C$2)/1000000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Table(NZD)'!$C$2)/1000000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Table(NZD)'!$C$2)/1000000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Table(NZD)'!$C$2)/1000000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Table(NZD)'!$C$2)/1000000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J81*1000000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1" priority="1" operator="containsText" text="false">
      <formula>NOT(ISERROR(SEARCH("false",J88)))</formula>
    </cfRule>
    <cfRule type="containsText" dxfId="10" priority="2" operator="containsText" text="true">
      <formula>NOT(ISERROR(SEARCH("true",J88)))</formula>
    </cfRule>
  </conditionalFormatting>
  <dataValidations count="1">
    <dataValidation type="list" allowBlank="1" showInputMessage="1" showErrorMessage="1" sqref="C2" xr:uid="{00000000-0002-0000-0700-000000000000}">
      <formula1>$I$80:$I$86</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17"/>
  <sheetViews>
    <sheetView showGridLines="0" zoomScale="85" zoomScaleNormal="85" workbookViewId="0">
      <pane xSplit="11" ySplit="3" topLeftCell="L4" activePane="bottomRight" state="frozen"/>
      <selection activeCell="F59" sqref="F59"/>
      <selection pane="topRight" activeCell="F59" sqref="F59"/>
      <selection pane="bottomLeft" activeCell="F59" sqref="F59"/>
      <selection pane="bottomRight" activeCell="J67" sqref="J67"/>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26</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Table(USD)'!G4,BS_RE33!$F$7:$F$874,'30 days CF Table(USD)'!$C$2)</f>
        <v>0</v>
      </c>
      <c r="M4" s="337">
        <f>SUMIFS(BS_RE33!$H$7:$H$874,BS_RE33!$S$7:$S$874,$M$2,BS_RE33!$N$7:$N$874,I4,BS_RE33!$P$7:$P$874,'30 days CF Table(USD)'!G4,BS_RE33!$F$7:$F$874,'30 days CF Table(USD)'!$C$2)</f>
        <v>0</v>
      </c>
      <c r="N4" s="337">
        <f>SUMIFS(BS_RE33!$H$7:$H$874,BS_RE33!$S$7:$S$874,$N$2,BS_RE33!$N$7:$N$874,I4,BS_RE33!$P$7:$P$874,'30 days CF Table(USD)'!G4,BS_RE33!$F$7:$F$874,'30 days CF Table(USD)'!$C$2)</f>
        <v>0</v>
      </c>
      <c r="O4" s="337">
        <f>SUMIFS(BS_RE33!$H$7:$H$874,BS_RE33!$S$7:$S$874,$O$2,BS_RE33!$N$7:$N$874,I4,BS_RE33!$P$7:$P$874,'30 days CF Table(USD)'!G4,BS_RE33!$F$7:$F$874,'30 days CF Table(USD)'!$C$2)</f>
        <v>0</v>
      </c>
      <c r="P4" s="337">
        <f>SUMIFS(BS_RE33!$H$7:$H$874,BS_RE33!$S$7:$S$874,$P$2,BS_RE33!$N$7:$N$874,I4,BS_RE33!$P$7:$P$874,'30 days CF Table(USD)'!G4,BS_RE33!$F$7:$F$874,'30 days CF Table(USD)'!$C$2)</f>
        <v>0</v>
      </c>
      <c r="Q4" s="337">
        <f>SUMIFS(BS_RE33!$H$7:$H$874,BS_RE33!$S$7:$S$874,$Q$2,BS_RE33!$N$7:$N$874,I4,BS_RE33!$P$7:$P$874,'30 days CF Table(USD)'!G4,BS_RE33!$F$7:$F$874,'30 days CF Table(USD)'!$C$2)</f>
        <v>0</v>
      </c>
      <c r="R4" s="337">
        <f>SUMIFS(BS_RE33!$H$7:$H$874,BS_RE33!$S$7:$S$874,$R$2,BS_RE33!$N$7:$N$874,I4,BS_RE33!$P$7:$P$874,'30 days CF Table(USD)'!G4,BS_RE33!$F$7:$F$874,'30 days CF Table(USD)'!$C$2)</f>
        <v>0</v>
      </c>
      <c r="S4" s="337">
        <f>SUMIFS(BS_RE33!$H$7:$H$874,BS_RE33!$S$7:$S$874,$S$2,BS_RE33!$N$7:$N$874,I4,BS_RE33!$P$7:$P$874,'30 days CF Table(USD)'!G4,BS_RE33!$F$7:$F$874,'30 days CF Table(USD)'!$C$2)</f>
        <v>0</v>
      </c>
      <c r="T4" s="337">
        <f>SUMIFS(BS_RE33!$H$7:$H$874,BS_RE33!$S$7:$S$874,$T$2,BS_RE33!$N$7:$N$874,I4,BS_RE33!$P$7:$P$874,'30 days CF Table(USD)'!G4,BS_RE33!$F$7:$F$874,'30 days CF Table(USD)'!$C$2)</f>
        <v>0</v>
      </c>
      <c r="U4" s="337">
        <f>SUMIFS(BS_RE33!$H$7:$H$874,BS_RE33!$S$7:$S$874,$U$2,BS_RE33!$N$7:$N$874,I4,BS_RE33!$P$7:$P$874,'30 days CF Table(USD)'!G4,BS_RE33!$F$7:$F$874,'30 days CF Table(USD)'!$C$2)</f>
        <v>0</v>
      </c>
      <c r="V4" s="337">
        <f>SUMIFS(BS_RE33!$H$7:$H$874,BS_RE33!$S$7:$S$874,$V$2,BS_RE33!$N$7:$N$874,I4,BS_RE33!$P$7:$P$874,'30 days CF Table(USD)'!G4,BS_RE33!$F$7:$F$874,'30 days CF Table(USD)'!$C$2)</f>
        <v>0</v>
      </c>
      <c r="W4" s="337">
        <f>SUMIFS(BS_RE33!$H$7:$H$874,BS_RE33!$S$7:$S$874,$W$2,BS_RE33!$N$7:$N$874,I4,BS_RE33!$P$7:$P$874,'30 days CF Table(USD)'!G4,BS_RE33!$F$7:$F$874,'30 days CF Table(USD)'!$C$2)</f>
        <v>0</v>
      </c>
      <c r="X4" s="337">
        <f>SUMIFS(BS_RE33!$H$7:$H$874,BS_RE33!$S$7:$S$874,$X$2,BS_RE33!$N$7:$N$874,I4,BS_RE33!$P$7:$P$874,'30 days CF Table(USD)'!G4,BS_RE33!$F$7:$F$874,'30 days CF Table(USD)'!$C$2)</f>
        <v>0</v>
      </c>
      <c r="Y4" s="337">
        <f>SUMIFS(BS_RE33!$H$7:$H$874,BS_RE33!$S$7:$S$874,$Y$2,BS_RE33!$N$7:$N$874,I4,BS_RE33!$P$7:$P$874,'30 days CF Table(USD)'!G4,BS_RE33!$F$7:$F$874,'30 days CF Table(USD)'!$C$2)</f>
        <v>0</v>
      </c>
      <c r="Z4" s="337">
        <f>SUMIFS(BS_RE33!$H$7:$H$874,BS_RE33!$S$7:$S$874,$Z$2,BS_RE33!$N$7:$N$874,I4,BS_RE33!$P$7:$P$874,'30 days CF Table(USD)'!G4,BS_RE33!$F$7:$F$874,'30 days CF Table(USD)'!$C$2)</f>
        <v>0</v>
      </c>
      <c r="AA4" s="337">
        <f>SUMIFS(BS_RE33!$H$7:$H$874,BS_RE33!$S$7:$S$874,$AA$2,BS_RE33!$N$7:$N$874,I4,BS_RE33!$P$7:$P$874,'30 days CF Table(USD)'!G4,BS_RE33!$F$7:$F$874,'30 days CF Table(USD)'!$C$2)</f>
        <v>0</v>
      </c>
      <c r="AB4" s="337">
        <f>SUMIFS(BS_RE33!$H$7:$H$874,BS_RE33!$S$7:$S$874,$AB$2,BS_RE33!$N$7:$N$874,I4,BS_RE33!$P$7:$P$874,'30 days CF Table(USD)'!G4,BS_RE33!$F$7:$F$874,'30 days CF Table(USD)'!$C$2)</f>
        <v>0</v>
      </c>
      <c r="AC4" s="337">
        <f>SUMIFS(BS_RE33!$H$7:$H$874,BS_RE33!$S$7:$S$874,$AC$2,BS_RE33!$N$7:$N$874,I4,BS_RE33!$P$7:$P$874,'30 days CF Table(USD)'!G4,BS_RE33!$F$7:$F$874,'30 days CF Table(USD)'!$C$2)</f>
        <v>0</v>
      </c>
      <c r="AD4" s="337">
        <f>SUMIFS(BS_RE33!$H$7:$H$874,BS_RE33!$S$7:$S$874,$AD$2,BS_RE33!$N$7:$N$874,I4,BS_RE33!$P$7:$P$874,'30 days CF Table(USD)'!G4,BS_RE33!$F$7:$F$874,'30 days CF Table(USD)'!$C$2)</f>
        <v>0</v>
      </c>
      <c r="AE4" s="337">
        <f>SUMIFS(BS_RE33!$H$7:$H$874,BS_RE33!$S$7:$S$874,$AE$2,BS_RE33!$N$7:$N$874,I4,BS_RE33!$P$7:$P$874,'30 days CF Table(USD)'!G4,BS_RE33!$F$7:$F$874,'30 days CF Table(USD)'!$C$2)</f>
        <v>0</v>
      </c>
      <c r="AF4" s="337">
        <f>SUMIFS(BS_RE33!$H$7:$H$874,BS_RE33!$S$7:$S$874,$AF$2,BS_RE33!$N$7:$N$874,I4,BS_RE33!$P$7:$P$874,'30 days CF Table(USD)'!G4,BS_RE33!$F$7:$F$874,'30 days CF Table(USD)'!$C$2)</f>
        <v>0</v>
      </c>
      <c r="AG4" s="337">
        <f>SUMIFS(BS_RE33!$H$7:$H$874,BS_RE33!$S$7:$S$874,$AG$2,BS_RE33!$N$7:$N$874,I4,BS_RE33!$P$7:$P$874,'30 days CF Table(USD)'!G4,BS_RE33!$F$7:$F$874,'30 days CF Table(USD)'!$C$2)</f>
        <v>0</v>
      </c>
      <c r="AH4" s="337">
        <f>SUMIFS(BS_RE33!$H$7:$H$874,BS_RE33!$S$7:$S$874,$AH$2,BS_RE33!$N$7:$N$874,I4,BS_RE33!$P$7:$P$874,'30 days CF Table(USD)'!G4,BS_RE33!$F$7:$F$874,'30 days CF Table(USD)'!$C$2)</f>
        <v>0</v>
      </c>
      <c r="AI4" s="337">
        <f>SUMIFS(BS_RE33!$H$7:$H$874,BS_RE33!$S$7:$S$874,$AI$2,BS_RE33!$N$7:$N$874,I4,BS_RE33!$P$7:$P$874,'30 days CF Table(USD)'!G4,BS_RE33!$F$7:$F$874,'30 days CF Table(USD)'!$C$2)</f>
        <v>0</v>
      </c>
      <c r="AJ4" s="337">
        <f>SUMIFS(BS_RE33!$H$7:$H$874,BS_RE33!$S$7:$S$874,$AJ$2,BS_RE33!$N$7:$N$874,I4,BS_RE33!$P$7:$P$874,'30 days CF Table(USD)'!G4,BS_RE33!$F$7:$F$874,'30 days CF Table(USD)'!$C$2)</f>
        <v>0</v>
      </c>
      <c r="AK4" s="337">
        <f>SUMIFS(BS_RE33!$H$7:$H$874,BS_RE33!$S$7:$S$874,$AK$2,BS_RE33!$N$7:$N$874,I4,BS_RE33!$P$7:$P$874,'30 days CF Table(USD)'!G4,BS_RE33!$F$7:$F$874,'30 days CF Table(USD)'!$C$2)</f>
        <v>0</v>
      </c>
      <c r="AL4" s="337">
        <f>SUMIFS(BS_RE33!$H$7:$H$874,BS_RE33!$S$7:$S$874,$AL$2,BS_RE33!$N$7:$N$874,I4,BS_RE33!$P$7:$P$874,'30 days CF Table(USD)'!G4,BS_RE33!$F$7:$F$874,'30 days CF Table(USD)'!$C$2)</f>
        <v>0</v>
      </c>
      <c r="AM4" s="337">
        <f>SUMIFS(BS_RE33!$H$7:$H$874,BS_RE33!$S$7:$S$874,$AM$2,BS_RE33!$N$7:$N$874,I4,BS_RE33!$P$7:$P$874,'30 days CF Table(USD)'!G4,BS_RE33!$F$7:$F$874,'30 days CF Table(USD)'!$C$2)</f>
        <v>0</v>
      </c>
      <c r="AN4" s="337">
        <f>SUMIFS(BS_RE33!$H$7:$H$874,BS_RE33!$S$7:$S$874,$AN$2,BS_RE33!$N$7:$N$874,I4,BS_RE33!$P$7:$P$874,'30 days CF Table(USD)'!G4,BS_RE33!$F$7:$F$874,'30 days CF Table(USD)'!$C$2)</f>
        <v>0</v>
      </c>
      <c r="AO4" s="337">
        <f>SUMIFS(BS_RE33!$H$7:$H$874,BS_RE33!$S$7:$S$874,$AO$2,BS_RE33!$N$7:$N$874,I4,BS_RE33!$P$7:$P$874,'30 days CF Table(USD)'!G4,BS_RE33!$F$7:$F$874,'30 days CF Table(USD)'!$C$2)</f>
        <v>0</v>
      </c>
      <c r="AP4" s="338">
        <f>SUMIFS(BS_RE33!$H$7:$H$874,BS_RE33!$S$7:$S$874,$AP$2,BS_RE33!$N$7:$N$874,I4,BS_RE33!$P$7:$P$874,'30 days CF Table(USD)'!G4,BS_RE33!$F$7:$F$874,'30 days CF Table(USD)'!$C$2)</f>
        <v>0</v>
      </c>
      <c r="AQ4" s="545"/>
      <c r="AR4" s="379">
        <f>SUMIFS(BS_RE33!$H$7:$H$874,BS_RE33!$S$7:$S$874,$AR$2,BS_RE33!$N$7:$N$874,I4,BS_RE33!$P$7:$P$874,'30 days CF Table(USD)'!G4,BS_RE33!$F$7:$F$874,'30 days CF Table(USD)'!$C$2)</f>
        <v>0</v>
      </c>
      <c r="AS4" s="379">
        <f>SUMIFS(BS_RE33!$H$7:$H$874,BS_RE33!$S$7:$S$874,$AS$2,BS_RE33!$N$7:$N$874,I4,BS_RE33!$P$7:$P$874,'30 days CF Table(USD)'!G4,BS_RE33!$F$7:$F$874,'30 days CF Table(USD)'!$C$2)</f>
        <v>0</v>
      </c>
      <c r="AT4" s="379">
        <f>SUMIFS(BS_RE33!$H$7:$H$874,BS_RE33!$S$7:$S$874,$AT$2,BS_RE33!$N$7:$N$874,I4,BS_RE33!$P$7:$P$874,'30 days CF Table(USD)'!G4,BS_RE33!$F$7:$F$874,'30 days CF Table(USD)'!$C$2)</f>
        <v>0</v>
      </c>
      <c r="AU4" s="379">
        <f>SUMIFS(BS_RE33!$H$7:$H$874,BS_RE33!$S$7:$S$874,$AU$2,BS_RE33!$N$7:$N$874,I4,BS_RE33!$P$7:$P$874,'30 days CF Table(USD)'!G4,BS_RE33!$F$7:$F$874,'30 days CF Table(USD)'!$C$2)</f>
        <v>0</v>
      </c>
      <c r="AV4" s="379">
        <f>SUMIFS(BS_RE33!$H$7:$H$874,BS_RE33!$S$7:$S$874,$AV$2,BS_RE33!$N$7:$N$874,I4,BS_RE33!$P$7:$P$874,'30 days CF Table(USD)'!G4,BS_RE33!$F$7:$F$874,'30 days CF Table(USD)'!$C$2)</f>
        <v>0</v>
      </c>
      <c r="AW4" s="379">
        <f>SUMIFS(BS_RE33!$H$7:$H$874,BS_RE33!$S$7:$S$874,$AW$2,BS_RE33!$N$7:$N$874,I4,BS_RE33!$P$7:$P$874,'30 days CF Table(USD)'!G4,BS_RE33!$F$7:$F$874,'30 days CF Table(USD)'!$C$2)</f>
        <v>0</v>
      </c>
      <c r="AX4" s="379">
        <f>SUMIFS(BS_RE33!$H$7:$H$874,BS_RE33!$S$7:$S$874,$AX$2,BS_RE33!$N$7:$N$874,I4,BS_RE33!$P$7:$P$874,'30 days CF Table(USD)'!G4,BS_RE33!$F$7:$F$874,'30 days CF Table(USD)'!$C$2)</f>
        <v>0</v>
      </c>
      <c r="AY4" s="379">
        <f>SUMIFS(BS_RE33!$H$7:$H$874,BS_RE33!$S$7:$S$874,$AY$2,BS_RE33!$N$7:$N$874,I4,BS_RE33!$P$7:$P$874,'30 days CF Table(USD)'!G4,BS_RE33!$F$7:$F$874,'30 days CF Table(USD)'!$C$2)</f>
        <v>0</v>
      </c>
      <c r="AZ4" s="379">
        <f>SUMIFS(BS_RE33!$H$7:$H$874,BS_RE33!$S$7:$S$874,$AZ$2,BS_RE33!$N$7:$N$874,I4,BS_RE33!$P$7:$P$874,'30 days CF Table(USD)'!G4,BS_RE33!$F$7:$F$874,'30 days CF Table(USD)'!$C$2)</f>
        <v>0</v>
      </c>
      <c r="BA4" s="379">
        <f>SUMIFS(BS_RE33!$H$7:$H$874,BS_RE33!$S$7:$S$874,$BA$2,BS_RE33!$N$7:$N$874,I4,BS_RE33!$P$7:$P$874,'30 days CF Table(USD)'!G4,BS_RE33!$F$7:$F$874,'30 days CF Table(USD)'!$C$2)</f>
        <v>0</v>
      </c>
      <c r="BB4" s="379">
        <f>SUMIFS(BS_RE33!$H$7:$H$874,BS_RE33!$S$7:$S$874,$BB$2,BS_RE33!$N$7:$N$874,I4,BS_RE33!$P$7:$P$874,'30 days CF Table(USD)'!G4,BS_RE33!$F$7:$F$874,'30 days CF Table(USD)'!$C$2)</f>
        <v>0</v>
      </c>
      <c r="BC4" s="379">
        <f>SUMIFS(BS_RE33!$H$7:$H$874,BS_RE33!$S$7:$S$874,$BC$2,BS_RE33!$N$7:$N$874,I4,BS_RE33!$P$7:$P$874,'30 days CF Table(USD)'!G4,BS_RE33!$F$7:$F$874,'30 days CF Table(USD)'!$C$2)</f>
        <v>0</v>
      </c>
      <c r="BD4" s="379">
        <f>SUMIFS(BS_RE33!$H$7:$H$874,BS_RE33!$S$7:$S$874,$BD$2,BS_RE33!$N$7:$N$874,I4,BS_RE33!$P$7:$P$874,'30 days CF Table(USD)'!G4,BS_RE33!$F$7:$F$874,'30 days CF Table(USD)'!$C$2)</f>
        <v>0</v>
      </c>
      <c r="BE4" s="379">
        <f>SUMIFS(BS_RE33!$H$7:$H$874,BS_RE33!$S$7:$S$874,$BE$2,BS_RE33!$N$7:$N$874,I4,BS_RE33!$P$7:$P$874,'30 days CF Table(USD)'!G4,BS_RE33!$F$7:$F$874,'30 days CF Table(USD)'!$C$2)</f>
        <v>0</v>
      </c>
      <c r="BF4" s="379">
        <f>SUMIFS(BS_RE33!$H$7:$H$874,BS_RE33!$S$7:$S$874,$BF$2,BS_RE33!$N$7:$N$874,I4,BS_RE33!$P$7:$P$874,'30 days CF Table(USD)'!G4,BS_RE33!$F$7:$F$874,'30 days CF Table(USD)'!$C$2)</f>
        <v>0</v>
      </c>
      <c r="BG4" s="379">
        <f>SUMIFS(BS_RE33!$H$7:$H$874,BS_RE33!$S$7:$S$874,$BG$2,BS_RE33!$N$7:$N$874,I4,BS_RE33!$P$7:$P$874,'30 days CF Table(USD)'!G4,BS_RE33!$F$7:$F$874,'30 days CF Table(USD)'!$C$2)</f>
        <v>0</v>
      </c>
      <c r="BH4" s="379">
        <f>SUMIFS(BS_RE33!$H$7:$H$874,BS_RE33!$S$7:$S$874,$BH$2,BS_RE33!$N$7:$N$874,I4,BS_RE33!$P$7:$P$874,'30 days CF Table(USD)'!G4,BS_RE33!$F$7:$F$874,'30 days CF Table(USD)'!$C$2)</f>
        <v>0</v>
      </c>
      <c r="BI4" s="379">
        <f>SUMIFS(BS_RE33!$H$7:$H$874,BS_RE33!$S$7:$S$874,$BI$2,BS_RE33!$N$7:$N$874,I4,BS_RE33!$P$7:$P$874,'30 days CF Table(USD)'!G4,BS_RE33!$F$7:$F$874,'30 days CF Table(USD)'!$C$2)</f>
        <v>0</v>
      </c>
      <c r="BJ4" s="379">
        <f>SUMIFS(BS_RE33!$H$7:$H$874,BS_RE33!$S$7:$S$874,$BJ$2,BS_RE33!$N$7:$N$874,I4,BS_RE33!$P$7:$P$874,'30 days CF Table(USD)'!G4,BS_RE33!$F$7:$F$874,'30 days CF Table(USD)'!$C$2)</f>
        <v>0</v>
      </c>
      <c r="BK4" s="379">
        <f>SUMIFS(BS_RE33!$H$7:$H$874,BS_RE33!$S$7:$S$874,$BK$2,BS_RE33!$N$7:$N$874,I4,BS_RE33!$P$7:$P$874,'30 days CF Table(USD)'!G4,BS_RE33!$F$7:$F$874,'30 days CF Table(USD)'!$C$2)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Table(USD)'!G5,BS_RE33!$F$7:$F$874,'30 days CF Table(USD)'!$C$2)</f>
        <v>0</v>
      </c>
      <c r="M5" s="337">
        <f>SUMIFS(BS_RE33!$H$7:$H$874,BS_RE33!$S$7:$S$874,$M$2,BS_RE33!$N$7:$N$874,I5,BS_RE33!$P$7:$P$874,'30 days CF Table(USD)'!G5,BS_RE33!$F$7:$F$874,'30 days CF Table(USD)'!$C$2)</f>
        <v>0</v>
      </c>
      <c r="N5" s="337">
        <f>SUMIFS(BS_RE33!$H$7:$H$874,BS_RE33!$S$7:$S$874,$N$2,BS_RE33!$N$7:$N$874,I5,BS_RE33!$P$7:$P$874,'30 days CF Table(USD)'!G5,BS_RE33!$F$7:$F$874,'30 days CF Table(USD)'!$C$2)</f>
        <v>0</v>
      </c>
      <c r="O5" s="337">
        <f>SUMIFS(BS_RE33!$H$7:$H$874,BS_RE33!$S$7:$S$874,$O$2,BS_RE33!$N$7:$N$874,I5,BS_RE33!$P$7:$P$874,'30 days CF Table(USD)'!G5,BS_RE33!$F$7:$F$874,'30 days CF Table(USD)'!$C$2)</f>
        <v>0</v>
      </c>
      <c r="P5" s="337">
        <f>SUMIFS(BS_RE33!$H$7:$H$874,BS_RE33!$S$7:$S$874,$P$2,BS_RE33!$N$7:$N$874,I5,BS_RE33!$P$7:$P$874,'30 days CF Table(USD)'!G5,BS_RE33!$F$7:$F$874,'30 days CF Table(USD)'!$C$2)</f>
        <v>0</v>
      </c>
      <c r="Q5" s="337">
        <f>SUMIFS(BS_RE33!$H$7:$H$874,BS_RE33!$S$7:$S$874,$Q$2,BS_RE33!$N$7:$N$874,I5,BS_RE33!$P$7:$P$874,'30 days CF Table(USD)'!G5,BS_RE33!$F$7:$F$874,'30 days CF Table(USD)'!$C$2)</f>
        <v>0</v>
      </c>
      <c r="R5" s="337">
        <f>SUMIFS(BS_RE33!$H$7:$H$874,BS_RE33!$S$7:$S$874,$R$2,BS_RE33!$N$7:$N$874,I5,BS_RE33!$P$7:$P$874,'30 days CF Table(USD)'!G5,BS_RE33!$F$7:$F$874,'30 days CF Table(USD)'!$C$2)</f>
        <v>0</v>
      </c>
      <c r="S5" s="337">
        <f>SUMIFS(BS_RE33!$H$7:$H$874,BS_RE33!$S$7:$S$874,$S$2,BS_RE33!$N$7:$N$874,I5,BS_RE33!$P$7:$P$874,'30 days CF Table(USD)'!G5,BS_RE33!$F$7:$F$874,'30 days CF Table(USD)'!$C$2)</f>
        <v>0</v>
      </c>
      <c r="T5" s="337">
        <f>SUMIFS(BS_RE33!$H$7:$H$874,BS_RE33!$S$7:$S$874,$T$2,BS_RE33!$N$7:$N$874,I5,BS_RE33!$P$7:$P$874,'30 days CF Table(USD)'!G5,BS_RE33!$F$7:$F$874,'30 days CF Table(USD)'!$C$2)</f>
        <v>0</v>
      </c>
      <c r="U5" s="337">
        <f>SUMIFS(BS_RE33!$H$7:$H$874,BS_RE33!$S$7:$S$874,$U$2,BS_RE33!$N$7:$N$874,I5,BS_RE33!$P$7:$P$874,'30 days CF Table(USD)'!G5,BS_RE33!$F$7:$F$874,'30 days CF Table(USD)'!$C$2)</f>
        <v>0</v>
      </c>
      <c r="V5" s="337">
        <f>SUMIFS(BS_RE33!$H$7:$H$874,BS_RE33!$S$7:$S$874,$V$2,BS_RE33!$N$7:$N$874,I5,BS_RE33!$P$7:$P$874,'30 days CF Table(USD)'!G5,BS_RE33!$F$7:$F$874,'30 days CF Table(USD)'!$C$2)</f>
        <v>0</v>
      </c>
      <c r="W5" s="337">
        <f>SUMIFS(BS_RE33!$H$7:$H$874,BS_RE33!$S$7:$S$874,$W$2,BS_RE33!$N$7:$N$874,I5,BS_RE33!$P$7:$P$874,'30 days CF Table(USD)'!G5,BS_RE33!$F$7:$F$874,'30 days CF Table(USD)'!$C$2)</f>
        <v>0</v>
      </c>
      <c r="X5" s="337">
        <f>SUMIFS(BS_RE33!$H$7:$H$874,BS_RE33!$S$7:$S$874,$X$2,BS_RE33!$N$7:$N$874,I5,BS_RE33!$P$7:$P$874,'30 days CF Table(USD)'!G5,BS_RE33!$F$7:$F$874,'30 days CF Table(USD)'!$C$2)</f>
        <v>0</v>
      </c>
      <c r="Y5" s="337">
        <f>SUMIFS(BS_RE33!$H$7:$H$874,BS_RE33!$S$7:$S$874,$Y$2,BS_RE33!$N$7:$N$874,I5,BS_RE33!$P$7:$P$874,'30 days CF Table(USD)'!G5,BS_RE33!$F$7:$F$874,'30 days CF Table(USD)'!$C$2)</f>
        <v>0</v>
      </c>
      <c r="Z5" s="337">
        <f>SUMIFS(BS_RE33!$H$7:$H$874,BS_RE33!$S$7:$S$874,$Z$2,BS_RE33!$N$7:$N$874,I5,BS_RE33!$P$7:$P$874,'30 days CF Table(USD)'!G5,BS_RE33!$F$7:$F$874,'30 days CF Table(USD)'!$C$2)</f>
        <v>0</v>
      </c>
      <c r="AA5" s="337">
        <f>SUMIFS(BS_RE33!$H$7:$H$874,BS_RE33!$S$7:$S$874,$AA$2,BS_RE33!$N$7:$N$874,I5,BS_RE33!$P$7:$P$874,'30 days CF Table(USD)'!G5,BS_RE33!$F$7:$F$874,'30 days CF Table(USD)'!$C$2)</f>
        <v>0</v>
      </c>
      <c r="AB5" s="337">
        <f>SUMIFS(BS_RE33!$H$7:$H$874,BS_RE33!$S$7:$S$874,$AB$2,BS_RE33!$N$7:$N$874,I5,BS_RE33!$P$7:$P$874,'30 days CF Table(USD)'!G5,BS_RE33!$F$7:$F$874,'30 days CF Table(USD)'!$C$2)</f>
        <v>0</v>
      </c>
      <c r="AC5" s="337">
        <f>SUMIFS(BS_RE33!$H$7:$H$874,BS_RE33!$S$7:$S$874,$AC$2,BS_RE33!$N$7:$N$874,I5,BS_RE33!$P$7:$P$874,'30 days CF Table(USD)'!G5,BS_RE33!$F$7:$F$874,'30 days CF Table(USD)'!$C$2)</f>
        <v>0</v>
      </c>
      <c r="AD5" s="337">
        <f>SUMIFS(BS_RE33!$H$7:$H$874,BS_RE33!$S$7:$S$874,$AD$2,BS_RE33!$N$7:$N$874,I5,BS_RE33!$P$7:$P$874,'30 days CF Table(USD)'!G5,BS_RE33!$F$7:$F$874,'30 days CF Table(USD)'!$C$2)</f>
        <v>0</v>
      </c>
      <c r="AE5" s="337">
        <f>SUMIFS(BS_RE33!$H$7:$H$874,BS_RE33!$S$7:$S$874,$AE$2,BS_RE33!$N$7:$N$874,I5,BS_RE33!$P$7:$P$874,'30 days CF Table(USD)'!G5,BS_RE33!$F$7:$F$874,'30 days CF Table(USD)'!$C$2)</f>
        <v>0</v>
      </c>
      <c r="AF5" s="337">
        <f>SUMIFS(BS_RE33!$H$7:$H$874,BS_RE33!$S$7:$S$874,$AF$2,BS_RE33!$N$7:$N$874,I5,BS_RE33!$P$7:$P$874,'30 days CF Table(USD)'!G5,BS_RE33!$F$7:$F$874,'30 days CF Table(USD)'!$C$2)</f>
        <v>0</v>
      </c>
      <c r="AG5" s="337">
        <f>SUMIFS(BS_RE33!$H$7:$H$874,BS_RE33!$S$7:$S$874,$AG$2,BS_RE33!$N$7:$N$874,I5,BS_RE33!$P$7:$P$874,'30 days CF Table(USD)'!G5,BS_RE33!$F$7:$F$874,'30 days CF Table(USD)'!$C$2)</f>
        <v>0</v>
      </c>
      <c r="AH5" s="337">
        <f>SUMIFS(BS_RE33!$H$7:$H$874,BS_RE33!$S$7:$S$874,$AH$2,BS_RE33!$N$7:$N$874,I5,BS_RE33!$P$7:$P$874,'30 days CF Table(USD)'!G5,BS_RE33!$F$7:$F$874,'30 days CF Table(USD)'!$C$2)</f>
        <v>0</v>
      </c>
      <c r="AI5" s="337">
        <f>SUMIFS(BS_RE33!$H$7:$H$874,BS_RE33!$S$7:$S$874,$AI$2,BS_RE33!$N$7:$N$874,I5,BS_RE33!$P$7:$P$874,'30 days CF Table(USD)'!G5,BS_RE33!$F$7:$F$874,'30 days CF Table(USD)'!$C$2)</f>
        <v>0</v>
      </c>
      <c r="AJ5" s="337">
        <f>SUMIFS(BS_RE33!$H$7:$H$874,BS_RE33!$S$7:$S$874,$AJ$2,BS_RE33!$N$7:$N$874,I5,BS_RE33!$P$7:$P$874,'30 days CF Table(USD)'!G5,BS_RE33!$F$7:$F$874,'30 days CF Table(USD)'!$C$2)</f>
        <v>0</v>
      </c>
      <c r="AK5" s="337">
        <f>SUMIFS(BS_RE33!$H$7:$H$874,BS_RE33!$S$7:$S$874,$AK$2,BS_RE33!$N$7:$N$874,I5,BS_RE33!$P$7:$P$874,'30 days CF Table(USD)'!G5,BS_RE33!$F$7:$F$874,'30 days CF Table(USD)'!$C$2)</f>
        <v>0</v>
      </c>
      <c r="AL5" s="337">
        <f>SUMIFS(BS_RE33!$H$7:$H$874,BS_RE33!$S$7:$S$874,$AL$2,BS_RE33!$N$7:$N$874,I5,BS_RE33!$P$7:$P$874,'30 days CF Table(USD)'!G5,BS_RE33!$F$7:$F$874,'30 days CF Table(USD)'!$C$2)</f>
        <v>0</v>
      </c>
      <c r="AM5" s="337">
        <f>SUMIFS(BS_RE33!$H$7:$H$874,BS_RE33!$S$7:$S$874,$AM$2,BS_RE33!$N$7:$N$874,I5,BS_RE33!$P$7:$P$874,'30 days CF Table(USD)'!G5,BS_RE33!$F$7:$F$874,'30 days CF Table(USD)'!$C$2)</f>
        <v>0</v>
      </c>
      <c r="AN5" s="337">
        <f>SUMIFS(BS_RE33!$H$7:$H$874,BS_RE33!$S$7:$S$874,$AN$2,BS_RE33!$N$7:$N$874,I5,BS_RE33!$P$7:$P$874,'30 days CF Table(USD)'!G5,BS_RE33!$F$7:$F$874,'30 days CF Table(USD)'!$C$2)</f>
        <v>0</v>
      </c>
      <c r="AO5" s="337">
        <f>SUMIFS(BS_RE33!$H$7:$H$874,BS_RE33!$S$7:$S$874,$AO$2,BS_RE33!$N$7:$N$874,I5,BS_RE33!$P$7:$P$874,'30 days CF Table(USD)'!G5,BS_RE33!$F$7:$F$874,'30 days CF Table(USD)'!$C$2)</f>
        <v>0</v>
      </c>
      <c r="AP5" s="338">
        <f>SUMIFS(BS_RE33!$H$7:$H$874,BS_RE33!$S$7:$S$874,$AP$2,BS_RE33!$N$7:$N$874,I5,BS_RE33!$P$7:$P$874,'30 days CF Table(USD)'!G5,BS_RE33!$F$7:$F$874,'30 days CF Table(USD)'!$C$2)</f>
        <v>0</v>
      </c>
      <c r="AQ5" s="545"/>
      <c r="AR5" s="379">
        <f>SUMIFS(BS_RE33!$H$7:$H$874,BS_RE33!$S$7:$S$874,$AR$2,BS_RE33!$N$7:$N$874,I5,BS_RE33!$P$7:$P$874,'30 days CF Table(USD)'!G5,BS_RE33!$F$7:$F$874,'30 days CF Table(USD)'!$C$2)</f>
        <v>0</v>
      </c>
      <c r="AS5" s="379">
        <f>SUMIFS(BS_RE33!$H$7:$H$874,BS_RE33!$S$7:$S$874,$AS$2,BS_RE33!$N$7:$N$874,I5,BS_RE33!$P$7:$P$874,'30 days CF Table(USD)'!G5,BS_RE33!$F$7:$F$874,'30 days CF Table(USD)'!$C$2)</f>
        <v>0</v>
      </c>
      <c r="AT5" s="379">
        <f>SUMIFS(BS_RE33!$H$7:$H$874,BS_RE33!$S$7:$S$874,$AT$2,BS_RE33!$N$7:$N$874,I5,BS_RE33!$P$7:$P$874,'30 days CF Table(USD)'!G5,BS_RE33!$F$7:$F$874,'30 days CF Table(USD)'!$C$2)</f>
        <v>0</v>
      </c>
      <c r="AU5" s="379">
        <f>SUMIFS(BS_RE33!$H$7:$H$874,BS_RE33!$S$7:$S$874,$AU$2,BS_RE33!$N$7:$N$874,I5,BS_RE33!$P$7:$P$874,'30 days CF Table(USD)'!G5,BS_RE33!$F$7:$F$874,'30 days CF Table(USD)'!$C$2)</f>
        <v>0</v>
      </c>
      <c r="AV5" s="379">
        <f>SUMIFS(BS_RE33!$H$7:$H$874,BS_RE33!$S$7:$S$874,$AV$2,BS_RE33!$N$7:$N$874,I5,BS_RE33!$P$7:$P$874,'30 days CF Table(USD)'!G5,BS_RE33!$F$7:$F$874,'30 days CF Table(USD)'!$C$2)</f>
        <v>0</v>
      </c>
      <c r="AW5" s="379">
        <f>SUMIFS(BS_RE33!$H$7:$H$874,BS_RE33!$S$7:$S$874,$AW$2,BS_RE33!$N$7:$N$874,I5,BS_RE33!$P$7:$P$874,'30 days CF Table(USD)'!G5,BS_RE33!$F$7:$F$874,'30 days CF Table(USD)'!$C$2)</f>
        <v>0</v>
      </c>
      <c r="AX5" s="379">
        <f>SUMIFS(BS_RE33!$H$7:$H$874,BS_RE33!$S$7:$S$874,$AX$2,BS_RE33!$N$7:$N$874,I5,BS_RE33!$P$7:$P$874,'30 days CF Table(USD)'!G5,BS_RE33!$F$7:$F$874,'30 days CF Table(USD)'!$C$2)</f>
        <v>0</v>
      </c>
      <c r="AY5" s="379">
        <f>SUMIFS(BS_RE33!$H$7:$H$874,BS_RE33!$S$7:$S$874,$AY$2,BS_RE33!$N$7:$N$874,I5,BS_RE33!$P$7:$P$874,'30 days CF Table(USD)'!G5,BS_RE33!$F$7:$F$874,'30 days CF Table(USD)'!$C$2)</f>
        <v>0</v>
      </c>
      <c r="AZ5" s="379">
        <f>SUMIFS(BS_RE33!$H$7:$H$874,BS_RE33!$S$7:$S$874,$AZ$2,BS_RE33!$N$7:$N$874,I5,BS_RE33!$P$7:$P$874,'30 days CF Table(USD)'!G5,BS_RE33!$F$7:$F$874,'30 days CF Table(USD)'!$C$2)</f>
        <v>0</v>
      </c>
      <c r="BA5" s="379">
        <f>SUMIFS(BS_RE33!$H$7:$H$874,BS_RE33!$S$7:$S$874,$BA$2,BS_RE33!$N$7:$N$874,I5,BS_RE33!$P$7:$P$874,'30 days CF Table(USD)'!G5,BS_RE33!$F$7:$F$874,'30 days CF Table(USD)'!$C$2)</f>
        <v>0</v>
      </c>
      <c r="BB5" s="379">
        <f>SUMIFS(BS_RE33!$H$7:$H$874,BS_RE33!$S$7:$S$874,$BB$2,BS_RE33!$N$7:$N$874,I5,BS_RE33!$P$7:$P$874,'30 days CF Table(USD)'!G5,BS_RE33!$F$7:$F$874,'30 days CF Table(USD)'!$C$2)</f>
        <v>0</v>
      </c>
      <c r="BC5" s="379">
        <f>SUMIFS(BS_RE33!$H$7:$H$874,BS_RE33!$S$7:$S$874,$BC$2,BS_RE33!$N$7:$N$874,I5,BS_RE33!$P$7:$P$874,'30 days CF Table(USD)'!G5,BS_RE33!$F$7:$F$874,'30 days CF Table(USD)'!$C$2)</f>
        <v>0</v>
      </c>
      <c r="BD5" s="379">
        <f>SUMIFS(BS_RE33!$H$7:$H$874,BS_RE33!$S$7:$S$874,$BD$2,BS_RE33!$N$7:$N$874,I5,BS_RE33!$P$7:$P$874,'30 days CF Table(USD)'!G5,BS_RE33!$F$7:$F$874,'30 days CF Table(USD)'!$C$2)</f>
        <v>0</v>
      </c>
      <c r="BE5" s="379">
        <f>SUMIFS(BS_RE33!$H$7:$H$874,BS_RE33!$S$7:$S$874,$BE$2,BS_RE33!$N$7:$N$874,I5,BS_RE33!$P$7:$P$874,'30 days CF Table(USD)'!G5,BS_RE33!$F$7:$F$874,'30 days CF Table(USD)'!$C$2)</f>
        <v>0</v>
      </c>
      <c r="BF5" s="379">
        <f>SUMIFS(BS_RE33!$H$7:$H$874,BS_RE33!$S$7:$S$874,$BF$2,BS_RE33!$N$7:$N$874,I5,BS_RE33!$P$7:$P$874,'30 days CF Table(USD)'!G5,BS_RE33!$F$7:$F$874,'30 days CF Table(USD)'!$C$2)</f>
        <v>0</v>
      </c>
      <c r="BG5" s="379">
        <f>SUMIFS(BS_RE33!$H$7:$H$874,BS_RE33!$S$7:$S$874,$BG$2,BS_RE33!$N$7:$N$874,I5,BS_RE33!$P$7:$P$874,'30 days CF Table(USD)'!G5,BS_RE33!$F$7:$F$874,'30 days CF Table(USD)'!$C$2)</f>
        <v>0</v>
      </c>
      <c r="BH5" s="379">
        <f>SUMIFS(BS_RE33!$H$7:$H$874,BS_RE33!$S$7:$S$874,$BH$2,BS_RE33!$N$7:$N$874,I5,BS_RE33!$P$7:$P$874,'30 days CF Table(USD)'!G5,BS_RE33!$F$7:$F$874,'30 days CF Table(USD)'!$C$2)</f>
        <v>0</v>
      </c>
      <c r="BI5" s="379">
        <f>SUMIFS(BS_RE33!$H$7:$H$874,BS_RE33!$S$7:$S$874,$BI$2,BS_RE33!$N$7:$N$874,I5,BS_RE33!$P$7:$P$874,'30 days CF Table(USD)'!G5,BS_RE33!$F$7:$F$874,'30 days CF Table(USD)'!$C$2)</f>
        <v>0</v>
      </c>
      <c r="BJ5" s="379">
        <f>SUMIFS(BS_RE33!$H$7:$H$874,BS_RE33!$S$7:$S$874,$BJ$2,BS_RE33!$N$7:$N$874,I5,BS_RE33!$P$7:$P$874,'30 days CF Table(USD)'!G5,BS_RE33!$F$7:$F$874,'30 days CF Table(USD)'!$C$2)</f>
        <v>0</v>
      </c>
      <c r="BK5" s="379">
        <f>SUMIFS(BS_RE33!$H$7:$H$874,BS_RE33!$S$7:$S$874,$BK$2,BS_RE33!$N$7:$N$874,I5,BS_RE33!$P$7:$P$874,'30 days CF Table(USD)'!G5,BS_RE33!$F$7:$F$874,'30 days CF Table(USD)'!$C$2)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Table(USD)'!G6,BS_RE33!$F$7:$F$874,'30 days CF Table(USD)'!$C$2)</f>
        <v>0</v>
      </c>
      <c r="M6" s="337">
        <f>SUMIFS(BS_RE33!$H$7:$H$874,BS_RE33!$S$7:$S$874,$M$2,BS_RE33!$N$7:$N$874,I6,BS_RE33!$P$7:$P$874,'30 days CF Table(USD)'!G6,BS_RE33!$F$7:$F$874,'30 days CF Table(USD)'!$C$2)</f>
        <v>0</v>
      </c>
      <c r="N6" s="337">
        <f>SUMIFS(BS_RE33!$H$7:$H$874,BS_RE33!$S$7:$S$874,$N$2,BS_RE33!$N$7:$N$874,I6,BS_RE33!$P$7:$P$874,'30 days CF Table(USD)'!G6,BS_RE33!$F$7:$F$874,'30 days CF Table(USD)'!$C$2)</f>
        <v>0</v>
      </c>
      <c r="O6" s="337">
        <f>SUMIFS(BS_RE33!$H$7:$H$874,BS_RE33!$S$7:$S$874,$O$2,BS_RE33!$N$7:$N$874,I6,BS_RE33!$P$7:$P$874,'30 days CF Table(USD)'!G6,BS_RE33!$F$7:$F$874,'30 days CF Table(USD)'!$C$2)</f>
        <v>0</v>
      </c>
      <c r="P6" s="337">
        <f>SUMIFS(BS_RE33!$H$7:$H$874,BS_RE33!$S$7:$S$874,$P$2,BS_RE33!$N$7:$N$874,I6,BS_RE33!$P$7:$P$874,'30 days CF Table(USD)'!G6,BS_RE33!$F$7:$F$874,'30 days CF Table(USD)'!$C$2)</f>
        <v>0</v>
      </c>
      <c r="Q6" s="337">
        <f>SUMIFS(BS_RE33!$H$7:$H$874,BS_RE33!$S$7:$S$874,$Q$2,BS_RE33!$N$7:$N$874,I6,BS_RE33!$P$7:$P$874,'30 days CF Table(USD)'!G6,BS_RE33!$F$7:$F$874,'30 days CF Table(USD)'!$C$2)</f>
        <v>0</v>
      </c>
      <c r="R6" s="337">
        <f>SUMIFS(BS_RE33!$H$7:$H$874,BS_RE33!$S$7:$S$874,$R$2,BS_RE33!$N$7:$N$874,I6,BS_RE33!$P$7:$P$874,'30 days CF Table(USD)'!G6,BS_RE33!$F$7:$F$874,'30 days CF Table(USD)'!$C$2)</f>
        <v>0</v>
      </c>
      <c r="S6" s="337">
        <f>SUMIFS(BS_RE33!$H$7:$H$874,BS_RE33!$S$7:$S$874,$S$2,BS_RE33!$N$7:$N$874,I6,BS_RE33!$P$7:$P$874,'30 days CF Table(USD)'!G6,BS_RE33!$F$7:$F$874,'30 days CF Table(USD)'!$C$2)</f>
        <v>0</v>
      </c>
      <c r="T6" s="337">
        <f>SUMIFS(BS_RE33!$H$7:$H$874,BS_RE33!$S$7:$S$874,$T$2,BS_RE33!$N$7:$N$874,I6,BS_RE33!$P$7:$P$874,'30 days CF Table(USD)'!G6,BS_RE33!$F$7:$F$874,'30 days CF Table(USD)'!$C$2)</f>
        <v>0</v>
      </c>
      <c r="U6" s="337">
        <f>SUMIFS(BS_RE33!$H$7:$H$874,BS_RE33!$S$7:$S$874,$U$2,BS_RE33!$N$7:$N$874,I6,BS_RE33!$P$7:$P$874,'30 days CF Table(USD)'!G6,BS_RE33!$F$7:$F$874,'30 days CF Table(USD)'!$C$2)</f>
        <v>0</v>
      </c>
      <c r="V6" s="337">
        <f>SUMIFS(BS_RE33!$H$7:$H$874,BS_RE33!$S$7:$S$874,$V$2,BS_RE33!$N$7:$N$874,I6,BS_RE33!$P$7:$P$874,'30 days CF Table(USD)'!G6,BS_RE33!$F$7:$F$874,'30 days CF Table(USD)'!$C$2)</f>
        <v>0</v>
      </c>
      <c r="W6" s="337">
        <f>SUMIFS(BS_RE33!$H$7:$H$874,BS_RE33!$S$7:$S$874,$W$2,BS_RE33!$N$7:$N$874,I6,BS_RE33!$P$7:$P$874,'30 days CF Table(USD)'!G6,BS_RE33!$F$7:$F$874,'30 days CF Table(USD)'!$C$2)</f>
        <v>0</v>
      </c>
      <c r="X6" s="337">
        <f>SUMIFS(BS_RE33!$H$7:$H$874,BS_RE33!$S$7:$S$874,$X$2,BS_RE33!$N$7:$N$874,I6,BS_RE33!$P$7:$P$874,'30 days CF Table(USD)'!G6,BS_RE33!$F$7:$F$874,'30 days CF Table(USD)'!$C$2)</f>
        <v>0</v>
      </c>
      <c r="Y6" s="337">
        <f>SUMIFS(BS_RE33!$H$7:$H$874,BS_RE33!$S$7:$S$874,$Y$2,BS_RE33!$N$7:$N$874,I6,BS_RE33!$P$7:$P$874,'30 days CF Table(USD)'!G6,BS_RE33!$F$7:$F$874,'30 days CF Table(USD)'!$C$2)</f>
        <v>0</v>
      </c>
      <c r="Z6" s="337">
        <f>SUMIFS(BS_RE33!$H$7:$H$874,BS_RE33!$S$7:$S$874,$Z$2,BS_RE33!$N$7:$N$874,I6,BS_RE33!$P$7:$P$874,'30 days CF Table(USD)'!G6,BS_RE33!$F$7:$F$874,'30 days CF Table(USD)'!$C$2)</f>
        <v>0</v>
      </c>
      <c r="AA6" s="337">
        <f>SUMIFS(BS_RE33!$H$7:$H$874,BS_RE33!$S$7:$S$874,$AA$2,BS_RE33!$N$7:$N$874,I6,BS_RE33!$P$7:$P$874,'30 days CF Table(USD)'!G6,BS_RE33!$F$7:$F$874,'30 days CF Table(USD)'!$C$2)</f>
        <v>0</v>
      </c>
      <c r="AB6" s="337">
        <f>SUMIFS(BS_RE33!$H$7:$H$874,BS_RE33!$S$7:$S$874,$AB$2,BS_RE33!$N$7:$N$874,I6,BS_RE33!$P$7:$P$874,'30 days CF Table(USD)'!G6,BS_RE33!$F$7:$F$874,'30 days CF Table(USD)'!$C$2)</f>
        <v>0</v>
      </c>
      <c r="AC6" s="337">
        <f>SUMIFS(BS_RE33!$H$7:$H$874,BS_RE33!$S$7:$S$874,$AC$2,BS_RE33!$N$7:$N$874,I6,BS_RE33!$P$7:$P$874,'30 days CF Table(USD)'!G6,BS_RE33!$F$7:$F$874,'30 days CF Table(USD)'!$C$2)</f>
        <v>0</v>
      </c>
      <c r="AD6" s="337">
        <f>SUMIFS(BS_RE33!$H$7:$H$874,BS_RE33!$S$7:$S$874,$AD$2,BS_RE33!$N$7:$N$874,I6,BS_RE33!$P$7:$P$874,'30 days CF Table(USD)'!G6,BS_RE33!$F$7:$F$874,'30 days CF Table(USD)'!$C$2)</f>
        <v>0</v>
      </c>
      <c r="AE6" s="337">
        <f>SUMIFS(BS_RE33!$H$7:$H$874,BS_RE33!$S$7:$S$874,$AE$2,BS_RE33!$N$7:$N$874,I6,BS_RE33!$P$7:$P$874,'30 days CF Table(USD)'!G6,BS_RE33!$F$7:$F$874,'30 days CF Table(USD)'!$C$2)</f>
        <v>0</v>
      </c>
      <c r="AF6" s="337">
        <f>SUMIFS(BS_RE33!$H$7:$H$874,BS_RE33!$S$7:$S$874,$AF$2,BS_RE33!$N$7:$N$874,I6,BS_RE33!$P$7:$P$874,'30 days CF Table(USD)'!G6,BS_RE33!$F$7:$F$874,'30 days CF Table(USD)'!$C$2)</f>
        <v>0</v>
      </c>
      <c r="AG6" s="337">
        <f>SUMIFS(BS_RE33!$H$7:$H$874,BS_RE33!$S$7:$S$874,$AG$2,BS_RE33!$N$7:$N$874,I6,BS_RE33!$P$7:$P$874,'30 days CF Table(USD)'!G6,BS_RE33!$F$7:$F$874,'30 days CF Table(USD)'!$C$2)</f>
        <v>0</v>
      </c>
      <c r="AH6" s="337">
        <f>SUMIFS(BS_RE33!$H$7:$H$874,BS_RE33!$S$7:$S$874,$AH$2,BS_RE33!$N$7:$N$874,I6,BS_RE33!$P$7:$P$874,'30 days CF Table(USD)'!G6,BS_RE33!$F$7:$F$874,'30 days CF Table(USD)'!$C$2)</f>
        <v>0</v>
      </c>
      <c r="AI6" s="337">
        <f>SUMIFS(BS_RE33!$H$7:$H$874,BS_RE33!$S$7:$S$874,$AI$2,BS_RE33!$N$7:$N$874,I6,BS_RE33!$P$7:$P$874,'30 days CF Table(USD)'!G6,BS_RE33!$F$7:$F$874,'30 days CF Table(USD)'!$C$2)</f>
        <v>0</v>
      </c>
      <c r="AJ6" s="337">
        <f>SUMIFS(BS_RE33!$H$7:$H$874,BS_RE33!$S$7:$S$874,$AJ$2,BS_RE33!$N$7:$N$874,I6,BS_RE33!$P$7:$P$874,'30 days CF Table(USD)'!G6,BS_RE33!$F$7:$F$874,'30 days CF Table(USD)'!$C$2)</f>
        <v>0</v>
      </c>
      <c r="AK6" s="337">
        <f>SUMIFS(BS_RE33!$H$7:$H$874,BS_RE33!$S$7:$S$874,$AK$2,BS_RE33!$N$7:$N$874,I6,BS_RE33!$P$7:$P$874,'30 days CF Table(USD)'!G6,BS_RE33!$F$7:$F$874,'30 days CF Table(USD)'!$C$2)</f>
        <v>0</v>
      </c>
      <c r="AL6" s="337">
        <f>SUMIFS(BS_RE33!$H$7:$H$874,BS_RE33!$S$7:$S$874,$AL$2,BS_RE33!$N$7:$N$874,I6,BS_RE33!$P$7:$P$874,'30 days CF Table(USD)'!G6,BS_RE33!$F$7:$F$874,'30 days CF Table(USD)'!$C$2)</f>
        <v>0</v>
      </c>
      <c r="AM6" s="337">
        <f>SUMIFS(BS_RE33!$H$7:$H$874,BS_RE33!$S$7:$S$874,$AM$2,BS_RE33!$N$7:$N$874,I6,BS_RE33!$P$7:$P$874,'30 days CF Table(USD)'!G6,BS_RE33!$F$7:$F$874,'30 days CF Table(USD)'!$C$2)</f>
        <v>0</v>
      </c>
      <c r="AN6" s="337">
        <f>SUMIFS(BS_RE33!$H$7:$H$874,BS_RE33!$S$7:$S$874,$AN$2,BS_RE33!$N$7:$N$874,I6,BS_RE33!$P$7:$P$874,'30 days CF Table(USD)'!G6,BS_RE33!$F$7:$F$874,'30 days CF Table(USD)'!$C$2)</f>
        <v>0</v>
      </c>
      <c r="AO6" s="337">
        <f>SUMIFS(BS_RE33!$H$7:$H$874,BS_RE33!$S$7:$S$874,$AO$2,BS_RE33!$N$7:$N$874,I6,BS_RE33!$P$7:$P$874,'30 days CF Table(USD)'!G6,BS_RE33!$F$7:$F$874,'30 days CF Table(USD)'!$C$2)</f>
        <v>0</v>
      </c>
      <c r="AP6" s="338">
        <f>SUMIFS(BS_RE33!$H$7:$H$874,BS_RE33!$S$7:$S$874,$AP$2,BS_RE33!$N$7:$N$874,I6,BS_RE33!$P$7:$P$874,'30 days CF Table(USD)'!G6,BS_RE33!$F$7:$F$874,'30 days CF Table(USD)'!$C$2)</f>
        <v>0</v>
      </c>
      <c r="AQ6" s="545"/>
      <c r="AR6" s="379">
        <f>SUMIFS(BS_RE33!$H$7:$H$874,BS_RE33!$S$7:$S$874,$AR$2,BS_RE33!$N$7:$N$874,I6,BS_RE33!$P$7:$P$874,'30 days CF Table(USD)'!G6,BS_RE33!$F$7:$F$874,'30 days CF Table(USD)'!$C$2)</f>
        <v>0</v>
      </c>
      <c r="AS6" s="379">
        <f>SUMIFS(BS_RE33!$H$7:$H$874,BS_RE33!$S$7:$S$874,$AS$2,BS_RE33!$N$7:$N$874,I6,BS_RE33!$P$7:$P$874,'30 days CF Table(USD)'!G6,BS_RE33!$F$7:$F$874,'30 days CF Table(USD)'!$C$2)</f>
        <v>0</v>
      </c>
      <c r="AT6" s="379">
        <f>SUMIFS(BS_RE33!$H$7:$H$874,BS_RE33!$S$7:$S$874,$AT$2,BS_RE33!$N$7:$N$874,I6,BS_RE33!$P$7:$P$874,'30 days CF Table(USD)'!G6,BS_RE33!$F$7:$F$874,'30 days CF Table(USD)'!$C$2)</f>
        <v>0</v>
      </c>
      <c r="AU6" s="379">
        <f>SUMIFS(BS_RE33!$H$7:$H$874,BS_RE33!$S$7:$S$874,$AU$2,BS_RE33!$N$7:$N$874,I6,BS_RE33!$P$7:$P$874,'30 days CF Table(USD)'!G6,BS_RE33!$F$7:$F$874,'30 days CF Table(USD)'!$C$2)</f>
        <v>0</v>
      </c>
      <c r="AV6" s="379">
        <f>SUMIFS(BS_RE33!$H$7:$H$874,BS_RE33!$S$7:$S$874,$AV$2,BS_RE33!$N$7:$N$874,I6,BS_RE33!$P$7:$P$874,'30 days CF Table(USD)'!G6,BS_RE33!$F$7:$F$874,'30 days CF Table(USD)'!$C$2)</f>
        <v>0</v>
      </c>
      <c r="AW6" s="379">
        <f>SUMIFS(BS_RE33!$H$7:$H$874,BS_RE33!$S$7:$S$874,$AW$2,BS_RE33!$N$7:$N$874,I6,BS_RE33!$P$7:$P$874,'30 days CF Table(USD)'!G6,BS_RE33!$F$7:$F$874,'30 days CF Table(USD)'!$C$2)</f>
        <v>0</v>
      </c>
      <c r="AX6" s="379">
        <f>SUMIFS(BS_RE33!$H$7:$H$874,BS_RE33!$S$7:$S$874,$AX$2,BS_RE33!$N$7:$N$874,I6,BS_RE33!$P$7:$P$874,'30 days CF Table(USD)'!G6,BS_RE33!$F$7:$F$874,'30 days CF Table(USD)'!$C$2)</f>
        <v>0</v>
      </c>
      <c r="AY6" s="379">
        <f>SUMIFS(BS_RE33!$H$7:$H$874,BS_RE33!$S$7:$S$874,$AY$2,BS_RE33!$N$7:$N$874,I6,BS_RE33!$P$7:$P$874,'30 days CF Table(USD)'!G6,BS_RE33!$F$7:$F$874,'30 days CF Table(USD)'!$C$2)</f>
        <v>0</v>
      </c>
      <c r="AZ6" s="379">
        <f>SUMIFS(BS_RE33!$H$7:$H$874,BS_RE33!$S$7:$S$874,$AZ$2,BS_RE33!$N$7:$N$874,I6,BS_RE33!$P$7:$P$874,'30 days CF Table(USD)'!G6,BS_RE33!$F$7:$F$874,'30 days CF Table(USD)'!$C$2)</f>
        <v>0</v>
      </c>
      <c r="BA6" s="379">
        <f>SUMIFS(BS_RE33!$H$7:$H$874,BS_RE33!$S$7:$S$874,$BA$2,BS_RE33!$N$7:$N$874,I6,BS_RE33!$P$7:$P$874,'30 days CF Table(USD)'!G6,BS_RE33!$F$7:$F$874,'30 days CF Table(USD)'!$C$2)</f>
        <v>0</v>
      </c>
      <c r="BB6" s="379">
        <f>SUMIFS(BS_RE33!$H$7:$H$874,BS_RE33!$S$7:$S$874,$BB$2,BS_RE33!$N$7:$N$874,I6,BS_RE33!$P$7:$P$874,'30 days CF Table(USD)'!G6,BS_RE33!$F$7:$F$874,'30 days CF Table(USD)'!$C$2)</f>
        <v>0</v>
      </c>
      <c r="BC6" s="379">
        <f>SUMIFS(BS_RE33!$H$7:$H$874,BS_RE33!$S$7:$S$874,$BC$2,BS_RE33!$N$7:$N$874,I6,BS_RE33!$P$7:$P$874,'30 days CF Table(USD)'!G6,BS_RE33!$F$7:$F$874,'30 days CF Table(USD)'!$C$2)</f>
        <v>0</v>
      </c>
      <c r="BD6" s="379">
        <f>SUMIFS(BS_RE33!$H$7:$H$874,BS_RE33!$S$7:$S$874,$BD$2,BS_RE33!$N$7:$N$874,I6,BS_RE33!$P$7:$P$874,'30 days CF Table(USD)'!G6,BS_RE33!$F$7:$F$874,'30 days CF Table(USD)'!$C$2)</f>
        <v>0</v>
      </c>
      <c r="BE6" s="379">
        <f>SUMIFS(BS_RE33!$H$7:$H$874,BS_RE33!$S$7:$S$874,$BE$2,BS_RE33!$N$7:$N$874,I6,BS_RE33!$P$7:$P$874,'30 days CF Table(USD)'!G6,BS_RE33!$F$7:$F$874,'30 days CF Table(USD)'!$C$2)</f>
        <v>0</v>
      </c>
      <c r="BF6" s="379">
        <f>SUMIFS(BS_RE33!$H$7:$H$874,BS_RE33!$S$7:$S$874,$BF$2,BS_RE33!$N$7:$N$874,I6,BS_RE33!$P$7:$P$874,'30 days CF Table(USD)'!G6,BS_RE33!$F$7:$F$874,'30 days CF Table(USD)'!$C$2)</f>
        <v>0</v>
      </c>
      <c r="BG6" s="379">
        <f>SUMIFS(BS_RE33!$H$7:$H$874,BS_RE33!$S$7:$S$874,$BG$2,BS_RE33!$N$7:$N$874,I6,BS_RE33!$P$7:$P$874,'30 days CF Table(USD)'!G6,BS_RE33!$F$7:$F$874,'30 days CF Table(USD)'!$C$2)</f>
        <v>0</v>
      </c>
      <c r="BH6" s="379">
        <f>SUMIFS(BS_RE33!$H$7:$H$874,BS_RE33!$S$7:$S$874,$BH$2,BS_RE33!$N$7:$N$874,I6,BS_RE33!$P$7:$P$874,'30 days CF Table(USD)'!G6,BS_RE33!$F$7:$F$874,'30 days CF Table(USD)'!$C$2)</f>
        <v>0</v>
      </c>
      <c r="BI6" s="379">
        <f>SUMIFS(BS_RE33!$H$7:$H$874,BS_RE33!$S$7:$S$874,$BI$2,BS_RE33!$N$7:$N$874,I6,BS_RE33!$P$7:$P$874,'30 days CF Table(USD)'!G6,BS_RE33!$F$7:$F$874,'30 days CF Table(USD)'!$C$2)</f>
        <v>0</v>
      </c>
      <c r="BJ6" s="379">
        <f>SUMIFS(BS_RE33!$H$7:$H$874,BS_RE33!$S$7:$S$874,$BJ$2,BS_RE33!$N$7:$N$874,I6,BS_RE33!$P$7:$P$874,'30 days CF Table(USD)'!G6,BS_RE33!$F$7:$F$874,'30 days CF Table(USD)'!$C$2)</f>
        <v>0</v>
      </c>
      <c r="BK6" s="379">
        <f>SUMIFS(BS_RE33!$H$7:$H$874,BS_RE33!$S$7:$S$874,$BK$2,BS_RE33!$N$7:$N$874,I6,BS_RE33!$P$7:$P$874,'30 days CF Table(USD)'!G6,BS_RE33!$F$7:$F$874,'30 days CF Table(USD)'!$C$2)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Table(USD)'!G7,BS_RE33!$F$7:$F$874,'30 days CF Table(USD)'!$C$2)</f>
        <v>0</v>
      </c>
      <c r="M7" s="337">
        <f>SUMIFS(BS_RE33!$H$7:$H$874,BS_RE33!$S$7:$S$874,$M$2,BS_RE33!$N$7:$N$874,I7,BS_RE33!$P$7:$P$874,'30 days CF Table(USD)'!G7,BS_RE33!$F$7:$F$874,'30 days CF Table(USD)'!$C$2)</f>
        <v>0</v>
      </c>
      <c r="N7" s="337">
        <f>SUMIFS(BS_RE33!$H$7:$H$874,BS_RE33!$S$7:$S$874,$N$2,BS_RE33!$N$7:$N$874,I7,BS_RE33!$P$7:$P$874,'30 days CF Table(USD)'!G7,BS_RE33!$F$7:$F$874,'30 days CF Table(USD)'!$C$2)</f>
        <v>0</v>
      </c>
      <c r="O7" s="337">
        <f>SUMIFS(BS_RE33!$H$7:$H$874,BS_RE33!$S$7:$S$874,$O$2,BS_RE33!$N$7:$N$874,I7,BS_RE33!$P$7:$P$874,'30 days CF Table(USD)'!G7,BS_RE33!$F$7:$F$874,'30 days CF Table(USD)'!$C$2)</f>
        <v>0</v>
      </c>
      <c r="P7" s="337">
        <f>SUMIFS(BS_RE33!$H$7:$H$874,BS_RE33!$S$7:$S$874,$P$2,BS_RE33!$N$7:$N$874,I7,BS_RE33!$P$7:$P$874,'30 days CF Table(USD)'!G7,BS_RE33!$F$7:$F$874,'30 days CF Table(USD)'!$C$2)</f>
        <v>0</v>
      </c>
      <c r="Q7" s="337">
        <f>SUMIFS(BS_RE33!$H$7:$H$874,BS_RE33!$S$7:$S$874,$Q$2,BS_RE33!$N$7:$N$874,I7,BS_RE33!$P$7:$P$874,'30 days CF Table(USD)'!G7,BS_RE33!$F$7:$F$874,'30 days CF Table(USD)'!$C$2)</f>
        <v>0</v>
      </c>
      <c r="R7" s="337">
        <f>SUMIFS(BS_RE33!$H$7:$H$874,BS_RE33!$S$7:$S$874,$R$2,BS_RE33!$N$7:$N$874,I7,BS_RE33!$P$7:$P$874,'30 days CF Table(USD)'!G7,BS_RE33!$F$7:$F$874,'30 days CF Table(USD)'!$C$2)</f>
        <v>0</v>
      </c>
      <c r="S7" s="337">
        <f>SUMIFS(BS_RE33!$H$7:$H$874,BS_RE33!$S$7:$S$874,$S$2,BS_RE33!$N$7:$N$874,I7,BS_RE33!$P$7:$P$874,'30 days CF Table(USD)'!G7,BS_RE33!$F$7:$F$874,'30 days CF Table(USD)'!$C$2)</f>
        <v>0</v>
      </c>
      <c r="T7" s="337">
        <f>SUMIFS(BS_RE33!$H$7:$H$874,BS_RE33!$S$7:$S$874,$T$2,BS_RE33!$N$7:$N$874,I7,BS_RE33!$P$7:$P$874,'30 days CF Table(USD)'!G7,BS_RE33!$F$7:$F$874,'30 days CF Table(USD)'!$C$2)</f>
        <v>0</v>
      </c>
      <c r="U7" s="337">
        <f>SUMIFS(BS_RE33!$H$7:$H$874,BS_RE33!$S$7:$S$874,$U$2,BS_RE33!$N$7:$N$874,I7,BS_RE33!$P$7:$P$874,'30 days CF Table(USD)'!G7,BS_RE33!$F$7:$F$874,'30 days CF Table(USD)'!$C$2)</f>
        <v>0</v>
      </c>
      <c r="V7" s="337">
        <f>SUMIFS(BS_RE33!$H$7:$H$874,BS_RE33!$S$7:$S$874,$V$2,BS_RE33!$N$7:$N$874,I7,BS_RE33!$P$7:$P$874,'30 days CF Table(USD)'!G7,BS_RE33!$F$7:$F$874,'30 days CF Table(USD)'!$C$2)</f>
        <v>0</v>
      </c>
      <c r="W7" s="337">
        <f>SUMIFS(BS_RE33!$H$7:$H$874,BS_RE33!$S$7:$S$874,$W$2,BS_RE33!$N$7:$N$874,I7,BS_RE33!$P$7:$P$874,'30 days CF Table(USD)'!G7,BS_RE33!$F$7:$F$874,'30 days CF Table(USD)'!$C$2)</f>
        <v>0</v>
      </c>
      <c r="X7" s="337">
        <f>SUMIFS(BS_RE33!$H$7:$H$874,BS_RE33!$S$7:$S$874,$X$2,BS_RE33!$N$7:$N$874,I7,BS_RE33!$P$7:$P$874,'30 days CF Table(USD)'!G7,BS_RE33!$F$7:$F$874,'30 days CF Table(USD)'!$C$2)</f>
        <v>0</v>
      </c>
      <c r="Y7" s="337">
        <f>SUMIFS(BS_RE33!$H$7:$H$874,BS_RE33!$S$7:$S$874,$Y$2,BS_RE33!$N$7:$N$874,I7,BS_RE33!$P$7:$P$874,'30 days CF Table(USD)'!G7,BS_RE33!$F$7:$F$874,'30 days CF Table(USD)'!$C$2)</f>
        <v>0</v>
      </c>
      <c r="Z7" s="337">
        <f>SUMIFS(BS_RE33!$H$7:$H$874,BS_RE33!$S$7:$S$874,$Z$2,BS_RE33!$N$7:$N$874,I7,BS_RE33!$P$7:$P$874,'30 days CF Table(USD)'!G7,BS_RE33!$F$7:$F$874,'30 days CF Table(USD)'!$C$2)</f>
        <v>0</v>
      </c>
      <c r="AA7" s="337">
        <f>SUMIFS(BS_RE33!$H$7:$H$874,BS_RE33!$S$7:$S$874,$AA$2,BS_RE33!$N$7:$N$874,I7,BS_RE33!$P$7:$P$874,'30 days CF Table(USD)'!G7,BS_RE33!$F$7:$F$874,'30 days CF Table(USD)'!$C$2)</f>
        <v>0</v>
      </c>
      <c r="AB7" s="337">
        <f>SUMIFS(BS_RE33!$H$7:$H$874,BS_RE33!$S$7:$S$874,$AB$2,BS_RE33!$N$7:$N$874,I7,BS_RE33!$P$7:$P$874,'30 days CF Table(USD)'!G7,BS_RE33!$F$7:$F$874,'30 days CF Table(USD)'!$C$2)</f>
        <v>0</v>
      </c>
      <c r="AC7" s="337">
        <f>SUMIFS(BS_RE33!$H$7:$H$874,BS_RE33!$S$7:$S$874,$AC$2,BS_RE33!$N$7:$N$874,I7,BS_RE33!$P$7:$P$874,'30 days CF Table(USD)'!G7,BS_RE33!$F$7:$F$874,'30 days CF Table(USD)'!$C$2)</f>
        <v>0</v>
      </c>
      <c r="AD7" s="337">
        <f>SUMIFS(BS_RE33!$H$7:$H$874,BS_RE33!$S$7:$S$874,$AD$2,BS_RE33!$N$7:$N$874,I7,BS_RE33!$P$7:$P$874,'30 days CF Table(USD)'!G7,BS_RE33!$F$7:$F$874,'30 days CF Table(USD)'!$C$2)</f>
        <v>0</v>
      </c>
      <c r="AE7" s="337">
        <f>SUMIFS(BS_RE33!$H$7:$H$874,BS_RE33!$S$7:$S$874,$AE$2,BS_RE33!$N$7:$N$874,I7,BS_RE33!$P$7:$P$874,'30 days CF Table(USD)'!G7,BS_RE33!$F$7:$F$874,'30 days CF Table(USD)'!$C$2)</f>
        <v>0</v>
      </c>
      <c r="AF7" s="337">
        <f>SUMIFS(BS_RE33!$H$7:$H$874,BS_RE33!$S$7:$S$874,$AF$2,BS_RE33!$N$7:$N$874,I7,BS_RE33!$P$7:$P$874,'30 days CF Table(USD)'!G7,BS_RE33!$F$7:$F$874,'30 days CF Table(USD)'!$C$2)</f>
        <v>0</v>
      </c>
      <c r="AG7" s="337">
        <f>SUMIFS(BS_RE33!$H$7:$H$874,BS_RE33!$S$7:$S$874,$AG$2,BS_RE33!$N$7:$N$874,I7,BS_RE33!$P$7:$P$874,'30 days CF Table(USD)'!G7,BS_RE33!$F$7:$F$874,'30 days CF Table(USD)'!$C$2)</f>
        <v>0</v>
      </c>
      <c r="AH7" s="337">
        <f>SUMIFS(BS_RE33!$H$7:$H$874,BS_RE33!$S$7:$S$874,$AH$2,BS_RE33!$N$7:$N$874,I7,BS_RE33!$P$7:$P$874,'30 days CF Table(USD)'!G7,BS_RE33!$F$7:$F$874,'30 days CF Table(USD)'!$C$2)</f>
        <v>0</v>
      </c>
      <c r="AI7" s="337">
        <f>SUMIFS(BS_RE33!$H$7:$H$874,BS_RE33!$S$7:$S$874,$AI$2,BS_RE33!$N$7:$N$874,I7,BS_RE33!$P$7:$P$874,'30 days CF Table(USD)'!G7,BS_RE33!$F$7:$F$874,'30 days CF Table(USD)'!$C$2)</f>
        <v>0</v>
      </c>
      <c r="AJ7" s="337">
        <f>SUMIFS(BS_RE33!$H$7:$H$874,BS_RE33!$S$7:$S$874,$AJ$2,BS_RE33!$N$7:$N$874,I7,BS_RE33!$P$7:$P$874,'30 days CF Table(USD)'!G7,BS_RE33!$F$7:$F$874,'30 days CF Table(USD)'!$C$2)</f>
        <v>0</v>
      </c>
      <c r="AK7" s="337">
        <f>SUMIFS(BS_RE33!$H$7:$H$874,BS_RE33!$S$7:$S$874,$AK$2,BS_RE33!$N$7:$N$874,I7,BS_RE33!$P$7:$P$874,'30 days CF Table(USD)'!G7,BS_RE33!$F$7:$F$874,'30 days CF Table(USD)'!$C$2)</f>
        <v>0</v>
      </c>
      <c r="AL7" s="337">
        <f>SUMIFS(BS_RE33!$H$7:$H$874,BS_RE33!$S$7:$S$874,$AL$2,BS_RE33!$N$7:$N$874,I7,BS_RE33!$P$7:$P$874,'30 days CF Table(USD)'!G7,BS_RE33!$F$7:$F$874,'30 days CF Table(USD)'!$C$2)</f>
        <v>0</v>
      </c>
      <c r="AM7" s="337">
        <f>SUMIFS(BS_RE33!$H$7:$H$874,BS_RE33!$S$7:$S$874,$AM$2,BS_RE33!$N$7:$N$874,I7,BS_RE33!$P$7:$P$874,'30 days CF Table(USD)'!G7,BS_RE33!$F$7:$F$874,'30 days CF Table(USD)'!$C$2)</f>
        <v>0</v>
      </c>
      <c r="AN7" s="337">
        <f>SUMIFS(BS_RE33!$H$7:$H$874,BS_RE33!$S$7:$S$874,$AN$2,BS_RE33!$N$7:$N$874,I7,BS_RE33!$P$7:$P$874,'30 days CF Table(USD)'!G7,BS_RE33!$F$7:$F$874,'30 days CF Table(USD)'!$C$2)</f>
        <v>0</v>
      </c>
      <c r="AO7" s="337">
        <f>SUMIFS(BS_RE33!$H$7:$H$874,BS_RE33!$S$7:$S$874,$AO$2,BS_RE33!$N$7:$N$874,I7,BS_RE33!$P$7:$P$874,'30 days CF Table(USD)'!G7,BS_RE33!$F$7:$F$874,'30 days CF Table(USD)'!$C$2)</f>
        <v>0</v>
      </c>
      <c r="AP7" s="338">
        <f>SUMIFS(BS_RE33!$H$7:$H$874,BS_RE33!$S$7:$S$874,$AP$2,BS_RE33!$N$7:$N$874,I7,BS_RE33!$P$7:$P$874,'30 days CF Table(USD)'!G7,BS_RE33!$F$7:$F$874,'30 days CF Table(USD)'!$C$2)</f>
        <v>0</v>
      </c>
      <c r="AQ7" s="545"/>
      <c r="AR7" s="379">
        <f>SUMIFS(BS_RE33!$H$7:$H$874,BS_RE33!$S$7:$S$874,$AR$2,BS_RE33!$N$7:$N$874,I7,BS_RE33!$P$7:$P$874,'30 days CF Table(USD)'!G7,BS_RE33!$F$7:$F$874,'30 days CF Table(USD)'!$C$2)</f>
        <v>0</v>
      </c>
      <c r="AS7" s="379">
        <f>SUMIFS(BS_RE33!$H$7:$H$874,BS_RE33!$S$7:$S$874,$AS$2,BS_RE33!$N$7:$N$874,I7,BS_RE33!$P$7:$P$874,'30 days CF Table(USD)'!G7,BS_RE33!$F$7:$F$874,'30 days CF Table(USD)'!$C$2)</f>
        <v>0</v>
      </c>
      <c r="AT7" s="379">
        <f>SUMIFS(BS_RE33!$H$7:$H$874,BS_RE33!$S$7:$S$874,$AT$2,BS_RE33!$N$7:$N$874,I7,BS_RE33!$P$7:$P$874,'30 days CF Table(USD)'!G7,BS_RE33!$F$7:$F$874,'30 days CF Table(USD)'!$C$2)</f>
        <v>0</v>
      </c>
      <c r="AU7" s="379">
        <f>SUMIFS(BS_RE33!$H$7:$H$874,BS_RE33!$S$7:$S$874,$AU$2,BS_RE33!$N$7:$N$874,I7,BS_RE33!$P$7:$P$874,'30 days CF Table(USD)'!G7,BS_RE33!$F$7:$F$874,'30 days CF Table(USD)'!$C$2)</f>
        <v>0</v>
      </c>
      <c r="AV7" s="379">
        <f>SUMIFS(BS_RE33!$H$7:$H$874,BS_RE33!$S$7:$S$874,$AV$2,BS_RE33!$N$7:$N$874,I7,BS_RE33!$P$7:$P$874,'30 days CF Table(USD)'!G7,BS_RE33!$F$7:$F$874,'30 days CF Table(USD)'!$C$2)</f>
        <v>0</v>
      </c>
      <c r="AW7" s="379">
        <f>SUMIFS(BS_RE33!$H$7:$H$874,BS_RE33!$S$7:$S$874,$AW$2,BS_RE33!$N$7:$N$874,I7,BS_RE33!$P$7:$P$874,'30 days CF Table(USD)'!G7,BS_RE33!$F$7:$F$874,'30 days CF Table(USD)'!$C$2)</f>
        <v>0</v>
      </c>
      <c r="AX7" s="379">
        <f>SUMIFS(BS_RE33!$H$7:$H$874,BS_RE33!$S$7:$S$874,$AX$2,BS_RE33!$N$7:$N$874,I7,BS_RE33!$P$7:$P$874,'30 days CF Table(USD)'!G7,BS_RE33!$F$7:$F$874,'30 days CF Table(USD)'!$C$2)</f>
        <v>0</v>
      </c>
      <c r="AY7" s="379">
        <f>SUMIFS(BS_RE33!$H$7:$H$874,BS_RE33!$S$7:$S$874,$AY$2,BS_RE33!$N$7:$N$874,I7,BS_RE33!$P$7:$P$874,'30 days CF Table(USD)'!G7,BS_RE33!$F$7:$F$874,'30 days CF Table(USD)'!$C$2)</f>
        <v>0</v>
      </c>
      <c r="AZ7" s="379">
        <f>SUMIFS(BS_RE33!$H$7:$H$874,BS_RE33!$S$7:$S$874,$AZ$2,BS_RE33!$N$7:$N$874,I7,BS_RE33!$P$7:$P$874,'30 days CF Table(USD)'!G7,BS_RE33!$F$7:$F$874,'30 days CF Table(USD)'!$C$2)</f>
        <v>0</v>
      </c>
      <c r="BA7" s="379">
        <f>SUMIFS(BS_RE33!$H$7:$H$874,BS_RE33!$S$7:$S$874,$BA$2,BS_RE33!$N$7:$N$874,I7,BS_RE33!$P$7:$P$874,'30 days CF Table(USD)'!G7,BS_RE33!$F$7:$F$874,'30 days CF Table(USD)'!$C$2)</f>
        <v>0</v>
      </c>
      <c r="BB7" s="379">
        <f>SUMIFS(BS_RE33!$H$7:$H$874,BS_RE33!$S$7:$S$874,$BB$2,BS_RE33!$N$7:$N$874,I7,BS_RE33!$P$7:$P$874,'30 days CF Table(USD)'!G7,BS_RE33!$F$7:$F$874,'30 days CF Table(USD)'!$C$2)</f>
        <v>0</v>
      </c>
      <c r="BC7" s="379">
        <f>SUMIFS(BS_RE33!$H$7:$H$874,BS_RE33!$S$7:$S$874,$BC$2,BS_RE33!$N$7:$N$874,I7,BS_RE33!$P$7:$P$874,'30 days CF Table(USD)'!G7,BS_RE33!$F$7:$F$874,'30 days CF Table(USD)'!$C$2)</f>
        <v>0</v>
      </c>
      <c r="BD7" s="379">
        <f>SUMIFS(BS_RE33!$H$7:$H$874,BS_RE33!$S$7:$S$874,$BD$2,BS_RE33!$N$7:$N$874,I7,BS_RE33!$P$7:$P$874,'30 days CF Table(USD)'!G7,BS_RE33!$F$7:$F$874,'30 days CF Table(USD)'!$C$2)</f>
        <v>0</v>
      </c>
      <c r="BE7" s="379">
        <f>SUMIFS(BS_RE33!$H$7:$H$874,BS_RE33!$S$7:$S$874,$BE$2,BS_RE33!$N$7:$N$874,I7,BS_RE33!$P$7:$P$874,'30 days CF Table(USD)'!G7,BS_RE33!$F$7:$F$874,'30 days CF Table(USD)'!$C$2)</f>
        <v>0</v>
      </c>
      <c r="BF7" s="379">
        <f>SUMIFS(BS_RE33!$H$7:$H$874,BS_RE33!$S$7:$S$874,$BF$2,BS_RE33!$N$7:$N$874,I7,BS_RE33!$P$7:$P$874,'30 days CF Table(USD)'!G7,BS_RE33!$F$7:$F$874,'30 days CF Table(USD)'!$C$2)</f>
        <v>0</v>
      </c>
      <c r="BG7" s="379">
        <f>SUMIFS(BS_RE33!$H$7:$H$874,BS_RE33!$S$7:$S$874,$BG$2,BS_RE33!$N$7:$N$874,I7,BS_RE33!$P$7:$P$874,'30 days CF Table(USD)'!G7,BS_RE33!$F$7:$F$874,'30 days CF Table(USD)'!$C$2)</f>
        <v>0</v>
      </c>
      <c r="BH7" s="379">
        <f>SUMIFS(BS_RE33!$H$7:$H$874,BS_RE33!$S$7:$S$874,$BH$2,BS_RE33!$N$7:$N$874,I7,BS_RE33!$P$7:$P$874,'30 days CF Table(USD)'!G7,BS_RE33!$F$7:$F$874,'30 days CF Table(USD)'!$C$2)</f>
        <v>0</v>
      </c>
      <c r="BI7" s="379">
        <f>SUMIFS(BS_RE33!$H$7:$H$874,BS_RE33!$S$7:$S$874,$BI$2,BS_RE33!$N$7:$N$874,I7,BS_RE33!$P$7:$P$874,'30 days CF Table(USD)'!G7,BS_RE33!$F$7:$F$874,'30 days CF Table(USD)'!$C$2)</f>
        <v>0</v>
      </c>
      <c r="BJ7" s="379">
        <f>SUMIFS(BS_RE33!$H$7:$H$874,BS_RE33!$S$7:$S$874,$BJ$2,BS_RE33!$N$7:$N$874,I7,BS_RE33!$P$7:$P$874,'30 days CF Table(USD)'!G7,BS_RE33!$F$7:$F$874,'30 days CF Table(USD)'!$C$2)</f>
        <v>0</v>
      </c>
      <c r="BK7" s="379">
        <f>SUMIFS(BS_RE33!$H$7:$H$874,BS_RE33!$S$7:$S$874,$BK$2,BS_RE33!$N$7:$N$874,I7,BS_RE33!$P$7:$P$874,'30 days CF Table(USD)'!G7,BS_RE33!$F$7:$F$874,'30 days CF Table(USD)'!$C$2)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Table(USD)'!G8,BS_RE33!$F$7:$F$874,'30 days CF Table(USD)'!$C$2)</f>
        <v>0</v>
      </c>
      <c r="M8" s="337">
        <f>SUMIFS(BS_RE33!$H$7:$H$874,BS_RE33!$S$7:$S$874,$M$2,BS_RE33!$N$7:$N$874,I8,BS_RE33!$P$7:$P$874,'30 days CF Table(USD)'!G8,BS_RE33!$F$7:$F$874,'30 days CF Table(USD)'!$C$2)</f>
        <v>0</v>
      </c>
      <c r="N8" s="337">
        <f>SUMIFS(BS_RE33!$H$7:$H$874,BS_RE33!$S$7:$S$874,$N$2,BS_RE33!$N$7:$N$874,I8,BS_RE33!$P$7:$P$874,'30 days CF Table(USD)'!G8,BS_RE33!$F$7:$F$874,'30 days CF Table(USD)'!$C$2)</f>
        <v>0</v>
      </c>
      <c r="O8" s="337">
        <f>SUMIFS(BS_RE33!$H$7:$H$874,BS_RE33!$S$7:$S$874,$O$2,BS_RE33!$N$7:$N$874,I8,BS_RE33!$P$7:$P$874,'30 days CF Table(USD)'!G8,BS_RE33!$F$7:$F$874,'30 days CF Table(USD)'!$C$2)</f>
        <v>0</v>
      </c>
      <c r="P8" s="337">
        <f>SUMIFS(BS_RE33!$H$7:$H$874,BS_RE33!$S$7:$S$874,$P$2,BS_RE33!$N$7:$N$874,I8,BS_RE33!$P$7:$P$874,'30 days CF Table(USD)'!G8,BS_RE33!$F$7:$F$874,'30 days CF Table(USD)'!$C$2)</f>
        <v>0</v>
      </c>
      <c r="Q8" s="337">
        <f>SUMIFS(BS_RE33!$H$7:$H$874,BS_RE33!$S$7:$S$874,$Q$2,BS_RE33!$N$7:$N$874,I8,BS_RE33!$P$7:$P$874,'30 days CF Table(USD)'!G8,BS_RE33!$F$7:$F$874,'30 days CF Table(USD)'!$C$2)</f>
        <v>0</v>
      </c>
      <c r="R8" s="337">
        <f>SUMIFS(BS_RE33!$H$7:$H$874,BS_RE33!$S$7:$S$874,$R$2,BS_RE33!$N$7:$N$874,I8,BS_RE33!$P$7:$P$874,'30 days CF Table(USD)'!G8,BS_RE33!$F$7:$F$874,'30 days CF Table(USD)'!$C$2)</f>
        <v>0</v>
      </c>
      <c r="S8" s="337">
        <f>SUMIFS(BS_RE33!$H$7:$H$874,BS_RE33!$S$7:$S$874,$S$2,BS_RE33!$N$7:$N$874,I8,BS_RE33!$P$7:$P$874,'30 days CF Table(USD)'!G8,BS_RE33!$F$7:$F$874,'30 days CF Table(USD)'!$C$2)</f>
        <v>0</v>
      </c>
      <c r="T8" s="337">
        <f>SUMIFS(BS_RE33!$H$7:$H$874,BS_RE33!$S$7:$S$874,$T$2,BS_RE33!$N$7:$N$874,I8,BS_RE33!$P$7:$P$874,'30 days CF Table(USD)'!G8,BS_RE33!$F$7:$F$874,'30 days CF Table(USD)'!$C$2)</f>
        <v>0</v>
      </c>
      <c r="U8" s="337">
        <f>SUMIFS(BS_RE33!$H$7:$H$874,BS_RE33!$S$7:$S$874,$U$2,BS_RE33!$N$7:$N$874,I8,BS_RE33!$P$7:$P$874,'30 days CF Table(USD)'!G8,BS_RE33!$F$7:$F$874,'30 days CF Table(USD)'!$C$2)</f>
        <v>0</v>
      </c>
      <c r="V8" s="337">
        <f>SUMIFS(BS_RE33!$H$7:$H$874,BS_RE33!$S$7:$S$874,$V$2,BS_RE33!$N$7:$N$874,I8,BS_RE33!$P$7:$P$874,'30 days CF Table(USD)'!G8,BS_RE33!$F$7:$F$874,'30 days CF Table(USD)'!$C$2)</f>
        <v>0</v>
      </c>
      <c r="W8" s="337">
        <f>SUMIFS(BS_RE33!$H$7:$H$874,BS_RE33!$S$7:$S$874,$W$2,BS_RE33!$N$7:$N$874,I8,BS_RE33!$P$7:$P$874,'30 days CF Table(USD)'!G8,BS_RE33!$F$7:$F$874,'30 days CF Table(USD)'!$C$2)</f>
        <v>0</v>
      </c>
      <c r="X8" s="337">
        <f>SUMIFS(BS_RE33!$H$7:$H$874,BS_RE33!$S$7:$S$874,$X$2,BS_RE33!$N$7:$N$874,I8,BS_RE33!$P$7:$P$874,'30 days CF Table(USD)'!G8,BS_RE33!$F$7:$F$874,'30 days CF Table(USD)'!$C$2)</f>
        <v>0</v>
      </c>
      <c r="Y8" s="337">
        <f>SUMIFS(BS_RE33!$H$7:$H$874,BS_RE33!$S$7:$S$874,$Y$2,BS_RE33!$N$7:$N$874,I8,BS_RE33!$P$7:$P$874,'30 days CF Table(USD)'!G8,BS_RE33!$F$7:$F$874,'30 days CF Table(USD)'!$C$2)</f>
        <v>0</v>
      </c>
      <c r="Z8" s="337">
        <f>SUMIFS(BS_RE33!$H$7:$H$874,BS_RE33!$S$7:$S$874,$Z$2,BS_RE33!$N$7:$N$874,I8,BS_RE33!$P$7:$P$874,'30 days CF Table(USD)'!G8,BS_RE33!$F$7:$F$874,'30 days CF Table(USD)'!$C$2)</f>
        <v>0</v>
      </c>
      <c r="AA8" s="337">
        <f>SUMIFS(BS_RE33!$H$7:$H$874,BS_RE33!$S$7:$S$874,$AA$2,BS_RE33!$N$7:$N$874,I8,BS_RE33!$P$7:$P$874,'30 days CF Table(USD)'!G8,BS_RE33!$F$7:$F$874,'30 days CF Table(USD)'!$C$2)</f>
        <v>0</v>
      </c>
      <c r="AB8" s="337">
        <f>SUMIFS(BS_RE33!$H$7:$H$874,BS_RE33!$S$7:$S$874,$AB$2,BS_RE33!$N$7:$N$874,I8,BS_RE33!$P$7:$P$874,'30 days CF Table(USD)'!G8,BS_RE33!$F$7:$F$874,'30 days CF Table(USD)'!$C$2)</f>
        <v>0</v>
      </c>
      <c r="AC8" s="337">
        <f>SUMIFS(BS_RE33!$H$7:$H$874,BS_RE33!$S$7:$S$874,$AC$2,BS_RE33!$N$7:$N$874,I8,BS_RE33!$P$7:$P$874,'30 days CF Table(USD)'!G8,BS_RE33!$F$7:$F$874,'30 days CF Table(USD)'!$C$2)</f>
        <v>0</v>
      </c>
      <c r="AD8" s="337">
        <f>SUMIFS(BS_RE33!$H$7:$H$874,BS_RE33!$S$7:$S$874,$AD$2,BS_RE33!$N$7:$N$874,I8,BS_RE33!$P$7:$P$874,'30 days CF Table(USD)'!G8,BS_RE33!$F$7:$F$874,'30 days CF Table(USD)'!$C$2)</f>
        <v>0</v>
      </c>
      <c r="AE8" s="337">
        <f>SUMIFS(BS_RE33!$H$7:$H$874,BS_RE33!$S$7:$S$874,$AE$2,BS_RE33!$N$7:$N$874,I8,BS_RE33!$P$7:$P$874,'30 days CF Table(USD)'!G8,BS_RE33!$F$7:$F$874,'30 days CF Table(USD)'!$C$2)</f>
        <v>0</v>
      </c>
      <c r="AF8" s="337">
        <f>SUMIFS(BS_RE33!$H$7:$H$874,BS_RE33!$S$7:$S$874,$AF$2,BS_RE33!$N$7:$N$874,I8,BS_RE33!$P$7:$P$874,'30 days CF Table(USD)'!G8,BS_RE33!$F$7:$F$874,'30 days CF Table(USD)'!$C$2)</f>
        <v>0</v>
      </c>
      <c r="AG8" s="337">
        <f>SUMIFS(BS_RE33!$H$7:$H$874,BS_RE33!$S$7:$S$874,$AG$2,BS_RE33!$N$7:$N$874,I8,BS_RE33!$P$7:$P$874,'30 days CF Table(USD)'!G8,BS_RE33!$F$7:$F$874,'30 days CF Table(USD)'!$C$2)</f>
        <v>0</v>
      </c>
      <c r="AH8" s="337">
        <f>SUMIFS(BS_RE33!$H$7:$H$874,BS_RE33!$S$7:$S$874,$AH$2,BS_RE33!$N$7:$N$874,I8,BS_RE33!$P$7:$P$874,'30 days CF Table(USD)'!G8,BS_RE33!$F$7:$F$874,'30 days CF Table(USD)'!$C$2)</f>
        <v>0</v>
      </c>
      <c r="AI8" s="337">
        <f>SUMIFS(BS_RE33!$H$7:$H$874,BS_RE33!$S$7:$S$874,$AI$2,BS_RE33!$N$7:$N$874,I8,BS_RE33!$P$7:$P$874,'30 days CF Table(USD)'!G8,BS_RE33!$F$7:$F$874,'30 days CF Table(USD)'!$C$2)</f>
        <v>0</v>
      </c>
      <c r="AJ8" s="337">
        <f>SUMIFS(BS_RE33!$H$7:$H$874,BS_RE33!$S$7:$S$874,$AJ$2,BS_RE33!$N$7:$N$874,I8,BS_RE33!$P$7:$P$874,'30 days CF Table(USD)'!G8,BS_RE33!$F$7:$F$874,'30 days CF Table(USD)'!$C$2)</f>
        <v>0</v>
      </c>
      <c r="AK8" s="337">
        <f>SUMIFS(BS_RE33!$H$7:$H$874,BS_RE33!$S$7:$S$874,$AK$2,BS_RE33!$N$7:$N$874,I8,BS_RE33!$P$7:$P$874,'30 days CF Table(USD)'!G8,BS_RE33!$F$7:$F$874,'30 days CF Table(USD)'!$C$2)</f>
        <v>0</v>
      </c>
      <c r="AL8" s="337">
        <f>SUMIFS(BS_RE33!$H$7:$H$874,BS_RE33!$S$7:$S$874,$AL$2,BS_RE33!$N$7:$N$874,I8,BS_RE33!$P$7:$P$874,'30 days CF Table(USD)'!G8,BS_RE33!$F$7:$F$874,'30 days CF Table(USD)'!$C$2)</f>
        <v>0</v>
      </c>
      <c r="AM8" s="337">
        <f>SUMIFS(BS_RE33!$H$7:$H$874,BS_RE33!$S$7:$S$874,$AM$2,BS_RE33!$N$7:$N$874,I8,BS_RE33!$P$7:$P$874,'30 days CF Table(USD)'!G8,BS_RE33!$F$7:$F$874,'30 days CF Table(USD)'!$C$2)</f>
        <v>0</v>
      </c>
      <c r="AN8" s="337">
        <f>SUMIFS(BS_RE33!$H$7:$H$874,BS_RE33!$S$7:$S$874,$AN$2,BS_RE33!$N$7:$N$874,I8,BS_RE33!$P$7:$P$874,'30 days CF Table(USD)'!G8,BS_RE33!$F$7:$F$874,'30 days CF Table(USD)'!$C$2)</f>
        <v>0</v>
      </c>
      <c r="AO8" s="337">
        <f>SUMIFS(BS_RE33!$H$7:$H$874,BS_RE33!$S$7:$S$874,$AO$2,BS_RE33!$N$7:$N$874,I8,BS_RE33!$P$7:$P$874,'30 days CF Table(USD)'!G8,BS_RE33!$F$7:$F$874,'30 days CF Table(USD)'!$C$2)</f>
        <v>0</v>
      </c>
      <c r="AP8" s="338">
        <f>SUMIFS(BS_RE33!$H$7:$H$874,BS_RE33!$S$7:$S$874,$AP$2,BS_RE33!$N$7:$N$874,I8,BS_RE33!$P$7:$P$874,'30 days CF Table(USD)'!G8,BS_RE33!$F$7:$F$874,'30 days CF Table(USD)'!$C$2)</f>
        <v>0</v>
      </c>
      <c r="AQ8" s="545"/>
      <c r="AR8" s="379">
        <f>SUMIFS(BS_RE33!$H$7:$H$874,BS_RE33!$S$7:$S$874,$AR$2,BS_RE33!$N$7:$N$874,I8,BS_RE33!$P$7:$P$874,'30 days CF Table(USD)'!G8,BS_RE33!$F$7:$F$874,'30 days CF Table(USD)'!$C$2)</f>
        <v>0</v>
      </c>
      <c r="AS8" s="379">
        <f>SUMIFS(BS_RE33!$H$7:$H$874,BS_RE33!$S$7:$S$874,$AS$2,BS_RE33!$N$7:$N$874,I8,BS_RE33!$P$7:$P$874,'30 days CF Table(USD)'!G8,BS_RE33!$F$7:$F$874,'30 days CF Table(USD)'!$C$2)</f>
        <v>0</v>
      </c>
      <c r="AT8" s="379">
        <f>SUMIFS(BS_RE33!$H$7:$H$874,BS_RE33!$S$7:$S$874,$AT$2,BS_RE33!$N$7:$N$874,I8,BS_RE33!$P$7:$P$874,'30 days CF Table(USD)'!G8,BS_RE33!$F$7:$F$874,'30 days CF Table(USD)'!$C$2)</f>
        <v>0</v>
      </c>
      <c r="AU8" s="379">
        <f>SUMIFS(BS_RE33!$H$7:$H$874,BS_RE33!$S$7:$S$874,$AU$2,BS_RE33!$N$7:$N$874,I8,BS_RE33!$P$7:$P$874,'30 days CF Table(USD)'!G8,BS_RE33!$F$7:$F$874,'30 days CF Table(USD)'!$C$2)</f>
        <v>0</v>
      </c>
      <c r="AV8" s="379">
        <f>SUMIFS(BS_RE33!$H$7:$H$874,BS_RE33!$S$7:$S$874,$AV$2,BS_RE33!$N$7:$N$874,I8,BS_RE33!$P$7:$P$874,'30 days CF Table(USD)'!G8,BS_RE33!$F$7:$F$874,'30 days CF Table(USD)'!$C$2)</f>
        <v>0</v>
      </c>
      <c r="AW8" s="379">
        <f>SUMIFS(BS_RE33!$H$7:$H$874,BS_RE33!$S$7:$S$874,$AW$2,BS_RE33!$N$7:$N$874,I8,BS_RE33!$P$7:$P$874,'30 days CF Table(USD)'!G8,BS_RE33!$F$7:$F$874,'30 days CF Table(USD)'!$C$2)</f>
        <v>0</v>
      </c>
      <c r="AX8" s="379">
        <f>SUMIFS(BS_RE33!$H$7:$H$874,BS_RE33!$S$7:$S$874,$AX$2,BS_RE33!$N$7:$N$874,I8,BS_RE33!$P$7:$P$874,'30 days CF Table(USD)'!G8,BS_RE33!$F$7:$F$874,'30 days CF Table(USD)'!$C$2)</f>
        <v>0</v>
      </c>
      <c r="AY8" s="379">
        <f>SUMIFS(BS_RE33!$H$7:$H$874,BS_RE33!$S$7:$S$874,$AY$2,BS_RE33!$N$7:$N$874,I8,BS_RE33!$P$7:$P$874,'30 days CF Table(USD)'!G8,BS_RE33!$F$7:$F$874,'30 days CF Table(USD)'!$C$2)</f>
        <v>0</v>
      </c>
      <c r="AZ8" s="379">
        <f>SUMIFS(BS_RE33!$H$7:$H$874,BS_RE33!$S$7:$S$874,$AZ$2,BS_RE33!$N$7:$N$874,I8,BS_RE33!$P$7:$P$874,'30 days CF Table(USD)'!G8,BS_RE33!$F$7:$F$874,'30 days CF Table(USD)'!$C$2)</f>
        <v>0</v>
      </c>
      <c r="BA8" s="379">
        <f>SUMIFS(BS_RE33!$H$7:$H$874,BS_RE33!$S$7:$S$874,$BA$2,BS_RE33!$N$7:$N$874,I8,BS_RE33!$P$7:$P$874,'30 days CF Table(USD)'!G8,BS_RE33!$F$7:$F$874,'30 days CF Table(USD)'!$C$2)</f>
        <v>0</v>
      </c>
      <c r="BB8" s="379">
        <f>SUMIFS(BS_RE33!$H$7:$H$874,BS_RE33!$S$7:$S$874,$BB$2,BS_RE33!$N$7:$N$874,I8,BS_RE33!$P$7:$P$874,'30 days CF Table(USD)'!G8,BS_RE33!$F$7:$F$874,'30 days CF Table(USD)'!$C$2)</f>
        <v>0</v>
      </c>
      <c r="BC8" s="379">
        <f>SUMIFS(BS_RE33!$H$7:$H$874,BS_RE33!$S$7:$S$874,$BC$2,BS_RE33!$N$7:$N$874,I8,BS_RE33!$P$7:$P$874,'30 days CF Table(USD)'!G8,BS_RE33!$F$7:$F$874,'30 days CF Table(USD)'!$C$2)</f>
        <v>0</v>
      </c>
      <c r="BD8" s="379">
        <f>SUMIFS(BS_RE33!$H$7:$H$874,BS_RE33!$S$7:$S$874,$BD$2,BS_RE33!$N$7:$N$874,I8,BS_RE33!$P$7:$P$874,'30 days CF Table(USD)'!G8,BS_RE33!$F$7:$F$874,'30 days CF Table(USD)'!$C$2)</f>
        <v>0</v>
      </c>
      <c r="BE8" s="379">
        <f>SUMIFS(BS_RE33!$H$7:$H$874,BS_RE33!$S$7:$S$874,$BE$2,BS_RE33!$N$7:$N$874,I8,BS_RE33!$P$7:$P$874,'30 days CF Table(USD)'!G8,BS_RE33!$F$7:$F$874,'30 days CF Table(USD)'!$C$2)</f>
        <v>0</v>
      </c>
      <c r="BF8" s="379">
        <f>SUMIFS(BS_RE33!$H$7:$H$874,BS_RE33!$S$7:$S$874,$BF$2,BS_RE33!$N$7:$N$874,I8,BS_RE33!$P$7:$P$874,'30 days CF Table(USD)'!G8,BS_RE33!$F$7:$F$874,'30 days CF Table(USD)'!$C$2)</f>
        <v>0</v>
      </c>
      <c r="BG8" s="379">
        <f>SUMIFS(BS_RE33!$H$7:$H$874,BS_RE33!$S$7:$S$874,$BG$2,BS_RE33!$N$7:$N$874,I8,BS_RE33!$P$7:$P$874,'30 days CF Table(USD)'!G8,BS_RE33!$F$7:$F$874,'30 days CF Table(USD)'!$C$2)</f>
        <v>0</v>
      </c>
      <c r="BH8" s="379">
        <f>SUMIFS(BS_RE33!$H$7:$H$874,BS_RE33!$S$7:$S$874,$BH$2,BS_RE33!$N$7:$N$874,I8,BS_RE33!$P$7:$P$874,'30 days CF Table(USD)'!G8,BS_RE33!$F$7:$F$874,'30 days CF Table(USD)'!$C$2)</f>
        <v>0</v>
      </c>
      <c r="BI8" s="379">
        <f>SUMIFS(BS_RE33!$H$7:$H$874,BS_RE33!$S$7:$S$874,$BI$2,BS_RE33!$N$7:$N$874,I8,BS_RE33!$P$7:$P$874,'30 days CF Table(USD)'!G8,BS_RE33!$F$7:$F$874,'30 days CF Table(USD)'!$C$2)</f>
        <v>0</v>
      </c>
      <c r="BJ8" s="379">
        <f>SUMIFS(BS_RE33!$H$7:$H$874,BS_RE33!$S$7:$S$874,$BJ$2,BS_RE33!$N$7:$N$874,I8,BS_RE33!$P$7:$P$874,'30 days CF Table(USD)'!G8,BS_RE33!$F$7:$F$874,'30 days CF Table(USD)'!$C$2)</f>
        <v>0</v>
      </c>
      <c r="BK8" s="379">
        <f>SUMIFS(BS_RE33!$H$7:$H$874,BS_RE33!$S$7:$S$874,$BK$2,BS_RE33!$N$7:$N$874,I8,BS_RE33!$P$7:$P$874,'30 days CF Table(USD)'!G8,BS_RE33!$F$7:$F$874,'30 days CF Table(USD)'!$C$2)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Table(USD)'!G9,BS_RE33!$F$7:$F$874,'30 days CF Table(USD)'!$C$2)</f>
        <v>0</v>
      </c>
      <c r="M9" s="337">
        <f>SUMIFS(BS_RE33!$H$7:$H$874,BS_RE33!$S$7:$S$874,$M$2,BS_RE33!$N$7:$N$874,I9,BS_RE33!$P$7:$P$874,'30 days CF Table(USD)'!G9,BS_RE33!$F$7:$F$874,'30 days CF Table(USD)'!$C$2)</f>
        <v>0</v>
      </c>
      <c r="N9" s="337">
        <f>SUMIFS(BS_RE33!$H$7:$H$874,BS_RE33!$S$7:$S$874,$N$2,BS_RE33!$N$7:$N$874,I9,BS_RE33!$P$7:$P$874,'30 days CF Table(USD)'!G9,BS_RE33!$F$7:$F$874,'30 days CF Table(USD)'!$C$2)</f>
        <v>0</v>
      </c>
      <c r="O9" s="337">
        <f>SUMIFS(BS_RE33!$H$7:$H$874,BS_RE33!$S$7:$S$874,$O$2,BS_RE33!$N$7:$N$874,I9,BS_RE33!$P$7:$P$874,'30 days CF Table(USD)'!G9,BS_RE33!$F$7:$F$874,'30 days CF Table(USD)'!$C$2)</f>
        <v>0</v>
      </c>
      <c r="P9" s="337">
        <f>SUMIFS(BS_RE33!$H$7:$H$874,BS_RE33!$S$7:$S$874,$P$2,BS_RE33!$N$7:$N$874,I9,BS_RE33!$P$7:$P$874,'30 days CF Table(USD)'!G9,BS_RE33!$F$7:$F$874,'30 days CF Table(USD)'!$C$2)</f>
        <v>0</v>
      </c>
      <c r="Q9" s="337">
        <f>SUMIFS(BS_RE33!$H$7:$H$874,BS_RE33!$S$7:$S$874,$Q$2,BS_RE33!$N$7:$N$874,I9,BS_RE33!$P$7:$P$874,'30 days CF Table(USD)'!G9,BS_RE33!$F$7:$F$874,'30 days CF Table(USD)'!$C$2)</f>
        <v>0</v>
      </c>
      <c r="R9" s="337">
        <f>SUMIFS(BS_RE33!$H$7:$H$874,BS_RE33!$S$7:$S$874,$R$2,BS_RE33!$N$7:$N$874,I9,BS_RE33!$P$7:$P$874,'30 days CF Table(USD)'!G9,BS_RE33!$F$7:$F$874,'30 days CF Table(USD)'!$C$2)</f>
        <v>0</v>
      </c>
      <c r="S9" s="337">
        <f>SUMIFS(BS_RE33!$H$7:$H$874,BS_RE33!$S$7:$S$874,$S$2,BS_RE33!$N$7:$N$874,I9,BS_RE33!$P$7:$P$874,'30 days CF Table(USD)'!G9,BS_RE33!$F$7:$F$874,'30 days CF Table(USD)'!$C$2)</f>
        <v>0</v>
      </c>
      <c r="T9" s="337">
        <f>SUMIFS(BS_RE33!$H$7:$H$874,BS_RE33!$S$7:$S$874,$T$2,BS_RE33!$N$7:$N$874,I9,BS_RE33!$P$7:$P$874,'30 days CF Table(USD)'!G9,BS_RE33!$F$7:$F$874,'30 days CF Table(USD)'!$C$2)</f>
        <v>0</v>
      </c>
      <c r="U9" s="337">
        <f>SUMIFS(BS_RE33!$H$7:$H$874,BS_RE33!$S$7:$S$874,$U$2,BS_RE33!$N$7:$N$874,I9,BS_RE33!$P$7:$P$874,'30 days CF Table(USD)'!G9,BS_RE33!$F$7:$F$874,'30 days CF Table(USD)'!$C$2)</f>
        <v>0</v>
      </c>
      <c r="V9" s="337">
        <f>SUMIFS(BS_RE33!$H$7:$H$874,BS_RE33!$S$7:$S$874,$V$2,BS_RE33!$N$7:$N$874,I9,BS_RE33!$P$7:$P$874,'30 days CF Table(USD)'!G9,BS_RE33!$F$7:$F$874,'30 days CF Table(USD)'!$C$2)</f>
        <v>0</v>
      </c>
      <c r="W9" s="337">
        <f>SUMIFS(BS_RE33!$H$7:$H$874,BS_RE33!$S$7:$S$874,$W$2,BS_RE33!$N$7:$N$874,I9,BS_RE33!$P$7:$P$874,'30 days CF Table(USD)'!G9,BS_RE33!$F$7:$F$874,'30 days CF Table(USD)'!$C$2)</f>
        <v>0</v>
      </c>
      <c r="X9" s="337">
        <f>SUMIFS(BS_RE33!$H$7:$H$874,BS_RE33!$S$7:$S$874,$X$2,BS_RE33!$N$7:$N$874,I9,BS_RE33!$P$7:$P$874,'30 days CF Table(USD)'!G9,BS_RE33!$F$7:$F$874,'30 days CF Table(USD)'!$C$2)</f>
        <v>0</v>
      </c>
      <c r="Y9" s="337">
        <f>SUMIFS(BS_RE33!$H$7:$H$874,BS_RE33!$S$7:$S$874,$Y$2,BS_RE33!$N$7:$N$874,I9,BS_RE33!$P$7:$P$874,'30 days CF Table(USD)'!G9,BS_RE33!$F$7:$F$874,'30 days CF Table(USD)'!$C$2)</f>
        <v>0</v>
      </c>
      <c r="Z9" s="337">
        <f>SUMIFS(BS_RE33!$H$7:$H$874,BS_RE33!$S$7:$S$874,$Z$2,BS_RE33!$N$7:$N$874,I9,BS_RE33!$P$7:$P$874,'30 days CF Table(USD)'!G9,BS_RE33!$F$7:$F$874,'30 days CF Table(USD)'!$C$2)</f>
        <v>0</v>
      </c>
      <c r="AA9" s="337">
        <f>SUMIFS(BS_RE33!$H$7:$H$874,BS_RE33!$S$7:$S$874,$AA$2,BS_RE33!$N$7:$N$874,I9,BS_RE33!$P$7:$P$874,'30 days CF Table(USD)'!G9,BS_RE33!$F$7:$F$874,'30 days CF Table(USD)'!$C$2)</f>
        <v>0</v>
      </c>
      <c r="AB9" s="337">
        <f>SUMIFS(BS_RE33!$H$7:$H$874,BS_RE33!$S$7:$S$874,$AB$2,BS_RE33!$N$7:$N$874,I9,BS_RE33!$P$7:$P$874,'30 days CF Table(USD)'!G9,BS_RE33!$F$7:$F$874,'30 days CF Table(USD)'!$C$2)</f>
        <v>0</v>
      </c>
      <c r="AC9" s="337">
        <f>SUMIFS(BS_RE33!$H$7:$H$874,BS_RE33!$S$7:$S$874,$AC$2,BS_RE33!$N$7:$N$874,I9,BS_RE33!$P$7:$P$874,'30 days CF Table(USD)'!G9,BS_RE33!$F$7:$F$874,'30 days CF Table(USD)'!$C$2)</f>
        <v>0</v>
      </c>
      <c r="AD9" s="337">
        <f>SUMIFS(BS_RE33!$H$7:$H$874,BS_RE33!$S$7:$S$874,$AD$2,BS_RE33!$N$7:$N$874,I9,BS_RE33!$P$7:$P$874,'30 days CF Table(USD)'!G9,BS_RE33!$F$7:$F$874,'30 days CF Table(USD)'!$C$2)</f>
        <v>0</v>
      </c>
      <c r="AE9" s="337">
        <f>SUMIFS(BS_RE33!$H$7:$H$874,BS_RE33!$S$7:$S$874,$AE$2,BS_RE33!$N$7:$N$874,I9,BS_RE33!$P$7:$P$874,'30 days CF Table(USD)'!G9,BS_RE33!$F$7:$F$874,'30 days CF Table(USD)'!$C$2)</f>
        <v>0</v>
      </c>
      <c r="AF9" s="337">
        <f>SUMIFS(BS_RE33!$H$7:$H$874,BS_RE33!$S$7:$S$874,$AF$2,BS_RE33!$N$7:$N$874,I9,BS_RE33!$P$7:$P$874,'30 days CF Table(USD)'!G9,BS_RE33!$F$7:$F$874,'30 days CF Table(USD)'!$C$2)</f>
        <v>0</v>
      </c>
      <c r="AG9" s="337">
        <f>SUMIFS(BS_RE33!$H$7:$H$874,BS_RE33!$S$7:$S$874,$AG$2,BS_RE33!$N$7:$N$874,I9,BS_RE33!$P$7:$P$874,'30 days CF Table(USD)'!G9,BS_RE33!$F$7:$F$874,'30 days CF Table(USD)'!$C$2)</f>
        <v>0</v>
      </c>
      <c r="AH9" s="337">
        <f>SUMIFS(BS_RE33!$H$7:$H$874,BS_RE33!$S$7:$S$874,$AH$2,BS_RE33!$N$7:$N$874,I9,BS_RE33!$P$7:$P$874,'30 days CF Table(USD)'!G9,BS_RE33!$F$7:$F$874,'30 days CF Table(USD)'!$C$2)</f>
        <v>0</v>
      </c>
      <c r="AI9" s="337">
        <f>SUMIFS(BS_RE33!$H$7:$H$874,BS_RE33!$S$7:$S$874,$AI$2,BS_RE33!$N$7:$N$874,I9,BS_RE33!$P$7:$P$874,'30 days CF Table(USD)'!G9,BS_RE33!$F$7:$F$874,'30 days CF Table(USD)'!$C$2)</f>
        <v>0</v>
      </c>
      <c r="AJ9" s="337">
        <f>SUMIFS(BS_RE33!$H$7:$H$874,BS_RE33!$S$7:$S$874,$AJ$2,BS_RE33!$N$7:$N$874,I9,BS_RE33!$P$7:$P$874,'30 days CF Table(USD)'!G9,BS_RE33!$F$7:$F$874,'30 days CF Table(USD)'!$C$2)</f>
        <v>0</v>
      </c>
      <c r="AK9" s="337">
        <f>SUMIFS(BS_RE33!$H$7:$H$874,BS_RE33!$S$7:$S$874,$AK$2,BS_RE33!$N$7:$N$874,I9,BS_RE33!$P$7:$P$874,'30 days CF Table(USD)'!G9,BS_RE33!$F$7:$F$874,'30 days CF Table(USD)'!$C$2)</f>
        <v>0</v>
      </c>
      <c r="AL9" s="337">
        <f>SUMIFS(BS_RE33!$H$7:$H$874,BS_RE33!$S$7:$S$874,$AL$2,BS_RE33!$N$7:$N$874,I9,BS_RE33!$P$7:$P$874,'30 days CF Table(USD)'!G9,BS_RE33!$F$7:$F$874,'30 days CF Table(USD)'!$C$2)</f>
        <v>0</v>
      </c>
      <c r="AM9" s="337">
        <f>SUMIFS(BS_RE33!$H$7:$H$874,BS_RE33!$S$7:$S$874,$AM$2,BS_RE33!$N$7:$N$874,I9,BS_RE33!$P$7:$P$874,'30 days CF Table(USD)'!G9,BS_RE33!$F$7:$F$874,'30 days CF Table(USD)'!$C$2)</f>
        <v>0</v>
      </c>
      <c r="AN9" s="337">
        <f>SUMIFS(BS_RE33!$H$7:$H$874,BS_RE33!$S$7:$S$874,$AN$2,BS_RE33!$N$7:$N$874,I9,BS_RE33!$P$7:$P$874,'30 days CF Table(USD)'!G9,BS_RE33!$F$7:$F$874,'30 days CF Table(USD)'!$C$2)</f>
        <v>0</v>
      </c>
      <c r="AO9" s="337">
        <f>SUMIFS(BS_RE33!$H$7:$H$874,BS_RE33!$S$7:$S$874,$AO$2,BS_RE33!$N$7:$N$874,I9,BS_RE33!$P$7:$P$874,'30 days CF Table(USD)'!G9,BS_RE33!$F$7:$F$874,'30 days CF Table(USD)'!$C$2)</f>
        <v>0</v>
      </c>
      <c r="AP9" s="338">
        <f>SUMIFS(BS_RE33!$H$7:$H$874,BS_RE33!$S$7:$S$874,$AP$2,BS_RE33!$N$7:$N$874,I9,BS_RE33!$P$7:$P$874,'30 days CF Table(USD)'!G9,BS_RE33!$F$7:$F$874,'30 days CF Table(USD)'!$C$2)</f>
        <v>0</v>
      </c>
      <c r="AQ9" s="545"/>
      <c r="AR9" s="379">
        <f>SUMIFS(BS_RE33!$H$7:$H$874,BS_RE33!$S$7:$S$874,$AR$2,BS_RE33!$N$7:$N$874,I9,BS_RE33!$P$7:$P$874,'30 days CF Table(USD)'!G9,BS_RE33!$F$7:$F$874,'30 days CF Table(USD)'!$C$2)</f>
        <v>0</v>
      </c>
      <c r="AS9" s="379">
        <f>SUMIFS(BS_RE33!$H$7:$H$874,BS_RE33!$S$7:$S$874,$AS$2,BS_RE33!$N$7:$N$874,I9,BS_RE33!$P$7:$P$874,'30 days CF Table(USD)'!G9,BS_RE33!$F$7:$F$874,'30 days CF Table(USD)'!$C$2)</f>
        <v>0</v>
      </c>
      <c r="AT9" s="379">
        <f>SUMIFS(BS_RE33!$H$7:$H$874,BS_RE33!$S$7:$S$874,$AT$2,BS_RE33!$N$7:$N$874,I9,BS_RE33!$P$7:$P$874,'30 days CF Table(USD)'!G9,BS_RE33!$F$7:$F$874,'30 days CF Table(USD)'!$C$2)</f>
        <v>0</v>
      </c>
      <c r="AU9" s="379">
        <f>SUMIFS(BS_RE33!$H$7:$H$874,BS_RE33!$S$7:$S$874,$AU$2,BS_RE33!$N$7:$N$874,I9,BS_RE33!$P$7:$P$874,'30 days CF Table(USD)'!G9,BS_RE33!$F$7:$F$874,'30 days CF Table(USD)'!$C$2)</f>
        <v>0</v>
      </c>
      <c r="AV9" s="379">
        <f>SUMIFS(BS_RE33!$H$7:$H$874,BS_RE33!$S$7:$S$874,$AV$2,BS_RE33!$N$7:$N$874,I9,BS_RE33!$P$7:$P$874,'30 days CF Table(USD)'!G9,BS_RE33!$F$7:$F$874,'30 days CF Table(USD)'!$C$2)</f>
        <v>0</v>
      </c>
      <c r="AW9" s="379">
        <f>SUMIFS(BS_RE33!$H$7:$H$874,BS_RE33!$S$7:$S$874,$AW$2,BS_RE33!$N$7:$N$874,I9,BS_RE33!$P$7:$P$874,'30 days CF Table(USD)'!G9,BS_RE33!$F$7:$F$874,'30 days CF Table(USD)'!$C$2)</f>
        <v>0</v>
      </c>
      <c r="AX9" s="379">
        <f>SUMIFS(BS_RE33!$H$7:$H$874,BS_RE33!$S$7:$S$874,$AX$2,BS_RE33!$N$7:$N$874,I9,BS_RE33!$P$7:$P$874,'30 days CF Table(USD)'!G9,BS_RE33!$F$7:$F$874,'30 days CF Table(USD)'!$C$2)</f>
        <v>0</v>
      </c>
      <c r="AY9" s="379">
        <f>SUMIFS(BS_RE33!$H$7:$H$874,BS_RE33!$S$7:$S$874,$AY$2,BS_RE33!$N$7:$N$874,I9,BS_RE33!$P$7:$P$874,'30 days CF Table(USD)'!G9,BS_RE33!$F$7:$F$874,'30 days CF Table(USD)'!$C$2)</f>
        <v>0</v>
      </c>
      <c r="AZ9" s="379">
        <f>SUMIFS(BS_RE33!$H$7:$H$874,BS_RE33!$S$7:$S$874,$AZ$2,BS_RE33!$N$7:$N$874,I9,BS_RE33!$P$7:$P$874,'30 days CF Table(USD)'!G9,BS_RE33!$F$7:$F$874,'30 days CF Table(USD)'!$C$2)</f>
        <v>0</v>
      </c>
      <c r="BA9" s="379">
        <f>SUMIFS(BS_RE33!$H$7:$H$874,BS_RE33!$S$7:$S$874,$BA$2,BS_RE33!$N$7:$N$874,I9,BS_RE33!$P$7:$P$874,'30 days CF Table(USD)'!G9,BS_RE33!$F$7:$F$874,'30 days CF Table(USD)'!$C$2)</f>
        <v>0</v>
      </c>
      <c r="BB9" s="379">
        <f>SUMIFS(BS_RE33!$H$7:$H$874,BS_RE33!$S$7:$S$874,$BB$2,BS_RE33!$N$7:$N$874,I9,BS_RE33!$P$7:$P$874,'30 days CF Table(USD)'!G9,BS_RE33!$F$7:$F$874,'30 days CF Table(USD)'!$C$2)</f>
        <v>0</v>
      </c>
      <c r="BC9" s="379">
        <f>SUMIFS(BS_RE33!$H$7:$H$874,BS_RE33!$S$7:$S$874,$BC$2,BS_RE33!$N$7:$N$874,I9,BS_RE33!$P$7:$P$874,'30 days CF Table(USD)'!G9,BS_RE33!$F$7:$F$874,'30 days CF Table(USD)'!$C$2)</f>
        <v>0</v>
      </c>
      <c r="BD9" s="379">
        <f>SUMIFS(BS_RE33!$H$7:$H$874,BS_RE33!$S$7:$S$874,$BD$2,BS_RE33!$N$7:$N$874,I9,BS_RE33!$P$7:$P$874,'30 days CF Table(USD)'!G9,BS_RE33!$F$7:$F$874,'30 days CF Table(USD)'!$C$2)</f>
        <v>0</v>
      </c>
      <c r="BE9" s="379">
        <f>SUMIFS(BS_RE33!$H$7:$H$874,BS_RE33!$S$7:$S$874,$BE$2,BS_RE33!$N$7:$N$874,I9,BS_RE33!$P$7:$P$874,'30 days CF Table(USD)'!G9,BS_RE33!$F$7:$F$874,'30 days CF Table(USD)'!$C$2)</f>
        <v>0</v>
      </c>
      <c r="BF9" s="379">
        <f>SUMIFS(BS_RE33!$H$7:$H$874,BS_RE33!$S$7:$S$874,$BF$2,BS_RE33!$N$7:$N$874,I9,BS_RE33!$P$7:$P$874,'30 days CF Table(USD)'!G9,BS_RE33!$F$7:$F$874,'30 days CF Table(USD)'!$C$2)</f>
        <v>0</v>
      </c>
      <c r="BG9" s="379">
        <f>SUMIFS(BS_RE33!$H$7:$H$874,BS_RE33!$S$7:$S$874,$BG$2,BS_RE33!$N$7:$N$874,I9,BS_RE33!$P$7:$P$874,'30 days CF Table(USD)'!G9,BS_RE33!$F$7:$F$874,'30 days CF Table(USD)'!$C$2)</f>
        <v>0</v>
      </c>
      <c r="BH9" s="379">
        <f>SUMIFS(BS_RE33!$H$7:$H$874,BS_RE33!$S$7:$S$874,$BH$2,BS_RE33!$N$7:$N$874,I9,BS_RE33!$P$7:$P$874,'30 days CF Table(USD)'!G9,BS_RE33!$F$7:$F$874,'30 days CF Table(USD)'!$C$2)</f>
        <v>0</v>
      </c>
      <c r="BI9" s="379">
        <f>SUMIFS(BS_RE33!$H$7:$H$874,BS_RE33!$S$7:$S$874,$BI$2,BS_RE33!$N$7:$N$874,I9,BS_RE33!$P$7:$P$874,'30 days CF Table(USD)'!G9,BS_RE33!$F$7:$F$874,'30 days CF Table(USD)'!$C$2)</f>
        <v>0</v>
      </c>
      <c r="BJ9" s="379">
        <f>SUMIFS(BS_RE33!$H$7:$H$874,BS_RE33!$S$7:$S$874,$BJ$2,BS_RE33!$N$7:$N$874,I9,BS_RE33!$P$7:$P$874,'30 days CF Table(USD)'!G9,BS_RE33!$F$7:$F$874,'30 days CF Table(USD)'!$C$2)</f>
        <v>0</v>
      </c>
      <c r="BK9" s="379">
        <f>SUMIFS(BS_RE33!$H$7:$H$874,BS_RE33!$S$7:$S$874,$BK$2,BS_RE33!$N$7:$N$874,I9,BS_RE33!$P$7:$P$874,'30 days CF Table(USD)'!G9,BS_RE33!$F$7:$F$874,'30 days CF Table(USD)'!$C$2)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Table(USD)'!G10,BS_RE33!$F$7:$F$874,'30 days CF Table(USD)'!$C$2)</f>
        <v>0</v>
      </c>
      <c r="M10" s="337">
        <f>SUMIFS(BS_RE33!$H$7:$H$874,BS_RE33!$S$7:$S$874,$M$2,BS_RE33!$N$7:$N$874,I10,BS_RE33!$P$7:$P$874,'30 days CF Table(USD)'!G10,BS_RE33!$F$7:$F$874,'30 days CF Table(USD)'!$C$2)</f>
        <v>0</v>
      </c>
      <c r="N10" s="337">
        <f>SUMIFS(BS_RE33!$H$7:$H$874,BS_RE33!$S$7:$S$874,$N$2,BS_RE33!$N$7:$N$874,I10,BS_RE33!$P$7:$P$874,'30 days CF Table(USD)'!G10,BS_RE33!$F$7:$F$874,'30 days CF Table(USD)'!$C$2)</f>
        <v>0</v>
      </c>
      <c r="O10" s="337">
        <f>SUMIFS(BS_RE33!$H$7:$H$874,BS_RE33!$S$7:$S$874,$O$2,BS_RE33!$N$7:$N$874,I10,BS_RE33!$P$7:$P$874,'30 days CF Table(USD)'!G10,BS_RE33!$F$7:$F$874,'30 days CF Table(USD)'!$C$2)</f>
        <v>0</v>
      </c>
      <c r="P10" s="337">
        <f>SUMIFS(BS_RE33!$H$7:$H$874,BS_RE33!$S$7:$S$874,$P$2,BS_RE33!$N$7:$N$874,I10,BS_RE33!$P$7:$P$874,'30 days CF Table(USD)'!G10,BS_RE33!$F$7:$F$874,'30 days CF Table(USD)'!$C$2)</f>
        <v>0</v>
      </c>
      <c r="Q10" s="337">
        <f>SUMIFS(BS_RE33!$H$7:$H$874,BS_RE33!$S$7:$S$874,$Q$2,BS_RE33!$N$7:$N$874,I10,BS_RE33!$P$7:$P$874,'30 days CF Table(USD)'!G10,BS_RE33!$F$7:$F$874,'30 days CF Table(USD)'!$C$2)</f>
        <v>0</v>
      </c>
      <c r="R10" s="337">
        <f>SUMIFS(BS_RE33!$H$7:$H$874,BS_RE33!$S$7:$S$874,$R$2,BS_RE33!$N$7:$N$874,I10,BS_RE33!$P$7:$P$874,'30 days CF Table(USD)'!G10,BS_RE33!$F$7:$F$874,'30 days CF Table(USD)'!$C$2)</f>
        <v>0</v>
      </c>
      <c r="S10" s="337">
        <f>SUMIFS(BS_RE33!$H$7:$H$874,BS_RE33!$S$7:$S$874,$S$2,BS_RE33!$N$7:$N$874,I10,BS_RE33!$P$7:$P$874,'30 days CF Table(USD)'!G10,BS_RE33!$F$7:$F$874,'30 days CF Table(USD)'!$C$2)</f>
        <v>0</v>
      </c>
      <c r="T10" s="337">
        <f>SUMIFS(BS_RE33!$H$7:$H$874,BS_RE33!$S$7:$S$874,$T$2,BS_RE33!$N$7:$N$874,I10,BS_RE33!$P$7:$P$874,'30 days CF Table(USD)'!G10,BS_RE33!$F$7:$F$874,'30 days CF Table(USD)'!$C$2)</f>
        <v>0</v>
      </c>
      <c r="U10" s="337">
        <f>SUMIFS(BS_RE33!$H$7:$H$874,BS_RE33!$S$7:$S$874,$U$2,BS_RE33!$N$7:$N$874,I10,BS_RE33!$P$7:$P$874,'30 days CF Table(USD)'!G10,BS_RE33!$F$7:$F$874,'30 days CF Table(USD)'!$C$2)</f>
        <v>0</v>
      </c>
      <c r="V10" s="337">
        <f>SUMIFS(BS_RE33!$H$7:$H$874,BS_RE33!$S$7:$S$874,$V$2,BS_RE33!$N$7:$N$874,I10,BS_RE33!$P$7:$P$874,'30 days CF Table(USD)'!G10,BS_RE33!$F$7:$F$874,'30 days CF Table(USD)'!$C$2)</f>
        <v>0</v>
      </c>
      <c r="W10" s="337">
        <f>SUMIFS(BS_RE33!$H$7:$H$874,BS_RE33!$S$7:$S$874,$W$2,BS_RE33!$N$7:$N$874,I10,BS_RE33!$P$7:$P$874,'30 days CF Table(USD)'!G10,BS_RE33!$F$7:$F$874,'30 days CF Table(USD)'!$C$2)</f>
        <v>0</v>
      </c>
      <c r="X10" s="337">
        <f>SUMIFS(BS_RE33!$H$7:$H$874,BS_RE33!$S$7:$S$874,$X$2,BS_RE33!$N$7:$N$874,I10,BS_RE33!$P$7:$P$874,'30 days CF Table(USD)'!G10,BS_RE33!$F$7:$F$874,'30 days CF Table(USD)'!$C$2)</f>
        <v>0</v>
      </c>
      <c r="Y10" s="337">
        <f>SUMIFS(BS_RE33!$H$7:$H$874,BS_RE33!$S$7:$S$874,$Y$2,BS_RE33!$N$7:$N$874,I10,BS_RE33!$P$7:$P$874,'30 days CF Table(USD)'!G10,BS_RE33!$F$7:$F$874,'30 days CF Table(USD)'!$C$2)</f>
        <v>0</v>
      </c>
      <c r="Z10" s="337">
        <f>SUMIFS(BS_RE33!$H$7:$H$874,BS_RE33!$S$7:$S$874,$Z$2,BS_RE33!$N$7:$N$874,I10,BS_RE33!$P$7:$P$874,'30 days CF Table(USD)'!G10,BS_RE33!$F$7:$F$874,'30 days CF Table(USD)'!$C$2)</f>
        <v>0</v>
      </c>
      <c r="AA10" s="337">
        <f>SUMIFS(BS_RE33!$H$7:$H$874,BS_RE33!$S$7:$S$874,$AA$2,BS_RE33!$N$7:$N$874,I10,BS_RE33!$P$7:$P$874,'30 days CF Table(USD)'!G10,BS_RE33!$F$7:$F$874,'30 days CF Table(USD)'!$C$2)</f>
        <v>0</v>
      </c>
      <c r="AB10" s="337">
        <f>SUMIFS(BS_RE33!$H$7:$H$874,BS_RE33!$S$7:$S$874,$AB$2,BS_RE33!$N$7:$N$874,I10,BS_RE33!$P$7:$P$874,'30 days CF Table(USD)'!G10,BS_RE33!$F$7:$F$874,'30 days CF Table(USD)'!$C$2)</f>
        <v>0</v>
      </c>
      <c r="AC10" s="337">
        <f>SUMIFS(BS_RE33!$H$7:$H$874,BS_RE33!$S$7:$S$874,$AC$2,BS_RE33!$N$7:$N$874,I10,BS_RE33!$P$7:$P$874,'30 days CF Table(USD)'!G10,BS_RE33!$F$7:$F$874,'30 days CF Table(USD)'!$C$2)</f>
        <v>0</v>
      </c>
      <c r="AD10" s="337">
        <f>SUMIFS(BS_RE33!$H$7:$H$874,BS_RE33!$S$7:$S$874,$AD$2,BS_RE33!$N$7:$N$874,I10,BS_RE33!$P$7:$P$874,'30 days CF Table(USD)'!G10,BS_RE33!$F$7:$F$874,'30 days CF Table(USD)'!$C$2)</f>
        <v>0</v>
      </c>
      <c r="AE10" s="337">
        <f>SUMIFS(BS_RE33!$H$7:$H$874,BS_RE33!$S$7:$S$874,$AE$2,BS_RE33!$N$7:$N$874,I10,BS_RE33!$P$7:$P$874,'30 days CF Table(USD)'!G10,BS_RE33!$F$7:$F$874,'30 days CF Table(USD)'!$C$2)</f>
        <v>0</v>
      </c>
      <c r="AF10" s="337">
        <f>SUMIFS(BS_RE33!$H$7:$H$874,BS_RE33!$S$7:$S$874,$AF$2,BS_RE33!$N$7:$N$874,I10,BS_RE33!$P$7:$P$874,'30 days CF Table(USD)'!G10,BS_RE33!$F$7:$F$874,'30 days CF Table(USD)'!$C$2)</f>
        <v>0</v>
      </c>
      <c r="AG10" s="337">
        <f>SUMIFS(BS_RE33!$H$7:$H$874,BS_RE33!$S$7:$S$874,$AG$2,BS_RE33!$N$7:$N$874,I10,BS_RE33!$P$7:$P$874,'30 days CF Table(USD)'!G10,BS_RE33!$F$7:$F$874,'30 days CF Table(USD)'!$C$2)</f>
        <v>0</v>
      </c>
      <c r="AH10" s="337">
        <f>SUMIFS(BS_RE33!$H$7:$H$874,BS_RE33!$S$7:$S$874,$AH$2,BS_RE33!$N$7:$N$874,I10,BS_RE33!$P$7:$P$874,'30 days CF Table(USD)'!G10,BS_RE33!$F$7:$F$874,'30 days CF Table(USD)'!$C$2)</f>
        <v>0</v>
      </c>
      <c r="AI10" s="337">
        <f>SUMIFS(BS_RE33!$H$7:$H$874,BS_RE33!$S$7:$S$874,$AI$2,BS_RE33!$N$7:$N$874,I10,BS_RE33!$P$7:$P$874,'30 days CF Table(USD)'!G10,BS_RE33!$F$7:$F$874,'30 days CF Table(USD)'!$C$2)</f>
        <v>0</v>
      </c>
      <c r="AJ10" s="337">
        <f>SUMIFS(BS_RE33!$H$7:$H$874,BS_RE33!$S$7:$S$874,$AJ$2,BS_RE33!$N$7:$N$874,I10,BS_RE33!$P$7:$P$874,'30 days CF Table(USD)'!G10,BS_RE33!$F$7:$F$874,'30 days CF Table(USD)'!$C$2)</f>
        <v>0</v>
      </c>
      <c r="AK10" s="337">
        <f>SUMIFS(BS_RE33!$H$7:$H$874,BS_RE33!$S$7:$S$874,$AK$2,BS_RE33!$N$7:$N$874,I10,BS_RE33!$P$7:$P$874,'30 days CF Table(USD)'!G10,BS_RE33!$F$7:$F$874,'30 days CF Table(USD)'!$C$2)</f>
        <v>0</v>
      </c>
      <c r="AL10" s="337">
        <f>SUMIFS(BS_RE33!$H$7:$H$874,BS_RE33!$S$7:$S$874,$AL$2,BS_RE33!$N$7:$N$874,I10,BS_RE33!$P$7:$P$874,'30 days CF Table(USD)'!G10,BS_RE33!$F$7:$F$874,'30 days CF Table(USD)'!$C$2)</f>
        <v>0</v>
      </c>
      <c r="AM10" s="337">
        <f>SUMIFS(BS_RE33!$H$7:$H$874,BS_RE33!$S$7:$S$874,$AM$2,BS_RE33!$N$7:$N$874,I10,BS_RE33!$P$7:$P$874,'30 days CF Table(USD)'!G10,BS_RE33!$F$7:$F$874,'30 days CF Table(USD)'!$C$2)</f>
        <v>0</v>
      </c>
      <c r="AN10" s="337">
        <f>SUMIFS(BS_RE33!$H$7:$H$874,BS_RE33!$S$7:$S$874,$AN$2,BS_RE33!$N$7:$N$874,I10,BS_RE33!$P$7:$P$874,'30 days CF Table(USD)'!G10,BS_RE33!$F$7:$F$874,'30 days CF Table(USD)'!$C$2)</f>
        <v>0</v>
      </c>
      <c r="AO10" s="337">
        <f>SUMIFS(BS_RE33!$H$7:$H$874,BS_RE33!$S$7:$S$874,$AO$2,BS_RE33!$N$7:$N$874,I10,BS_RE33!$P$7:$P$874,'30 days CF Table(USD)'!G10,BS_RE33!$F$7:$F$874,'30 days CF Table(USD)'!$C$2)</f>
        <v>0</v>
      </c>
      <c r="AP10" s="338">
        <f>SUMIFS(BS_RE33!$H$7:$H$874,BS_RE33!$S$7:$S$874,$AP$2,BS_RE33!$N$7:$N$874,I10,BS_RE33!$P$7:$P$874,'30 days CF Table(USD)'!G10,BS_RE33!$F$7:$F$874,'30 days CF Table(USD)'!$C$2)</f>
        <v>0</v>
      </c>
      <c r="AQ10" s="545"/>
      <c r="AR10" s="379">
        <f>SUMIFS(BS_RE33!$H$7:$H$874,BS_RE33!$S$7:$S$874,$AR$2,BS_RE33!$N$7:$N$874,I10,BS_RE33!$P$7:$P$874,'30 days CF Table(USD)'!G10,BS_RE33!$F$7:$F$874,'30 days CF Table(USD)'!$C$2)</f>
        <v>0</v>
      </c>
      <c r="AS10" s="379">
        <f>SUMIFS(BS_RE33!$H$7:$H$874,BS_RE33!$S$7:$S$874,$AS$2,BS_RE33!$N$7:$N$874,I10,BS_RE33!$P$7:$P$874,'30 days CF Table(USD)'!G10,BS_RE33!$F$7:$F$874,'30 days CF Table(USD)'!$C$2)</f>
        <v>0</v>
      </c>
      <c r="AT10" s="379">
        <f>SUMIFS(BS_RE33!$H$7:$H$874,BS_RE33!$S$7:$S$874,$AT$2,BS_RE33!$N$7:$N$874,I10,BS_RE33!$P$7:$P$874,'30 days CF Table(USD)'!G10,BS_RE33!$F$7:$F$874,'30 days CF Table(USD)'!$C$2)</f>
        <v>0</v>
      </c>
      <c r="AU10" s="379">
        <f>SUMIFS(BS_RE33!$H$7:$H$874,BS_RE33!$S$7:$S$874,$AU$2,BS_RE33!$N$7:$N$874,I10,BS_RE33!$P$7:$P$874,'30 days CF Table(USD)'!G10,BS_RE33!$F$7:$F$874,'30 days CF Table(USD)'!$C$2)</f>
        <v>0</v>
      </c>
      <c r="AV10" s="379">
        <f>SUMIFS(BS_RE33!$H$7:$H$874,BS_RE33!$S$7:$S$874,$AV$2,BS_RE33!$N$7:$N$874,I10,BS_RE33!$P$7:$P$874,'30 days CF Table(USD)'!G10,BS_RE33!$F$7:$F$874,'30 days CF Table(USD)'!$C$2)</f>
        <v>0</v>
      </c>
      <c r="AW10" s="379">
        <f>SUMIFS(BS_RE33!$H$7:$H$874,BS_RE33!$S$7:$S$874,$AW$2,BS_RE33!$N$7:$N$874,I10,BS_RE33!$P$7:$P$874,'30 days CF Table(USD)'!G10,BS_RE33!$F$7:$F$874,'30 days CF Table(USD)'!$C$2)</f>
        <v>0</v>
      </c>
      <c r="AX10" s="379">
        <f>SUMIFS(BS_RE33!$H$7:$H$874,BS_RE33!$S$7:$S$874,$AX$2,BS_RE33!$N$7:$N$874,I10,BS_RE33!$P$7:$P$874,'30 days CF Table(USD)'!G10,BS_RE33!$F$7:$F$874,'30 days CF Table(USD)'!$C$2)</f>
        <v>0</v>
      </c>
      <c r="AY10" s="379">
        <f>SUMIFS(BS_RE33!$H$7:$H$874,BS_RE33!$S$7:$S$874,$AY$2,BS_RE33!$N$7:$N$874,I10,BS_RE33!$P$7:$P$874,'30 days CF Table(USD)'!G10,BS_RE33!$F$7:$F$874,'30 days CF Table(USD)'!$C$2)</f>
        <v>0</v>
      </c>
      <c r="AZ10" s="379">
        <f>SUMIFS(BS_RE33!$H$7:$H$874,BS_RE33!$S$7:$S$874,$AZ$2,BS_RE33!$N$7:$N$874,I10,BS_RE33!$P$7:$P$874,'30 days CF Table(USD)'!G10,BS_RE33!$F$7:$F$874,'30 days CF Table(USD)'!$C$2)</f>
        <v>0</v>
      </c>
      <c r="BA10" s="379">
        <f>SUMIFS(BS_RE33!$H$7:$H$874,BS_RE33!$S$7:$S$874,$BA$2,BS_RE33!$N$7:$N$874,I10,BS_RE33!$P$7:$P$874,'30 days CF Table(USD)'!G10,BS_RE33!$F$7:$F$874,'30 days CF Table(USD)'!$C$2)</f>
        <v>0</v>
      </c>
      <c r="BB10" s="379">
        <f>SUMIFS(BS_RE33!$H$7:$H$874,BS_RE33!$S$7:$S$874,$BB$2,BS_RE33!$N$7:$N$874,I10,BS_RE33!$P$7:$P$874,'30 days CF Table(USD)'!G10,BS_RE33!$F$7:$F$874,'30 days CF Table(USD)'!$C$2)</f>
        <v>0</v>
      </c>
      <c r="BC10" s="379">
        <f>SUMIFS(BS_RE33!$H$7:$H$874,BS_RE33!$S$7:$S$874,$BC$2,BS_RE33!$N$7:$N$874,I10,BS_RE33!$P$7:$P$874,'30 days CF Table(USD)'!G10,BS_RE33!$F$7:$F$874,'30 days CF Table(USD)'!$C$2)</f>
        <v>0</v>
      </c>
      <c r="BD10" s="379">
        <f>SUMIFS(BS_RE33!$H$7:$H$874,BS_RE33!$S$7:$S$874,$BD$2,BS_RE33!$N$7:$N$874,I10,BS_RE33!$P$7:$P$874,'30 days CF Table(USD)'!G10,BS_RE33!$F$7:$F$874,'30 days CF Table(USD)'!$C$2)</f>
        <v>0</v>
      </c>
      <c r="BE10" s="379">
        <f>SUMIFS(BS_RE33!$H$7:$H$874,BS_RE33!$S$7:$S$874,$BE$2,BS_RE33!$N$7:$N$874,I10,BS_RE33!$P$7:$P$874,'30 days CF Table(USD)'!G10,BS_RE33!$F$7:$F$874,'30 days CF Table(USD)'!$C$2)</f>
        <v>0</v>
      </c>
      <c r="BF10" s="379">
        <f>SUMIFS(BS_RE33!$H$7:$H$874,BS_RE33!$S$7:$S$874,$BF$2,BS_RE33!$N$7:$N$874,I10,BS_RE33!$P$7:$P$874,'30 days CF Table(USD)'!G10,BS_RE33!$F$7:$F$874,'30 days CF Table(USD)'!$C$2)</f>
        <v>0</v>
      </c>
      <c r="BG10" s="379">
        <f>SUMIFS(BS_RE33!$H$7:$H$874,BS_RE33!$S$7:$S$874,$BG$2,BS_RE33!$N$7:$N$874,I10,BS_RE33!$P$7:$P$874,'30 days CF Table(USD)'!G10,BS_RE33!$F$7:$F$874,'30 days CF Table(USD)'!$C$2)</f>
        <v>0</v>
      </c>
      <c r="BH10" s="379">
        <f>SUMIFS(BS_RE33!$H$7:$H$874,BS_RE33!$S$7:$S$874,$BH$2,BS_RE33!$N$7:$N$874,I10,BS_RE33!$P$7:$P$874,'30 days CF Table(USD)'!G10,BS_RE33!$F$7:$F$874,'30 days CF Table(USD)'!$C$2)</f>
        <v>0</v>
      </c>
      <c r="BI10" s="379">
        <f>SUMIFS(BS_RE33!$H$7:$H$874,BS_RE33!$S$7:$S$874,$BI$2,BS_RE33!$N$7:$N$874,I10,BS_RE33!$P$7:$P$874,'30 days CF Table(USD)'!G10,BS_RE33!$F$7:$F$874,'30 days CF Table(USD)'!$C$2)</f>
        <v>0</v>
      </c>
      <c r="BJ10" s="379">
        <f>SUMIFS(BS_RE33!$H$7:$H$874,BS_RE33!$S$7:$S$874,$BJ$2,BS_RE33!$N$7:$N$874,I10,BS_RE33!$P$7:$P$874,'30 days CF Table(USD)'!G10,BS_RE33!$F$7:$F$874,'30 days CF Table(USD)'!$C$2)</f>
        <v>0</v>
      </c>
      <c r="BK10" s="379">
        <f>SUMIFS(BS_RE33!$H$7:$H$874,BS_RE33!$S$7:$S$874,$BK$2,BS_RE33!$N$7:$N$874,I10,BS_RE33!$P$7:$P$874,'30 days CF Table(USD)'!G10,BS_RE33!$F$7:$F$874,'30 days CF Table(USD)'!$C$2)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Table(USD)'!G11,BS_RE33!$F$7:$F$874,'30 days CF Table(USD)'!$C$2)</f>
        <v>0</v>
      </c>
      <c r="M11" s="337">
        <f>SUMIFS(BS_RE33!$H$7:$H$874,BS_RE33!$S$7:$S$874,$M$2,BS_RE33!$N$7:$N$874,I11,BS_RE33!$P$7:$P$874,'30 days CF Table(USD)'!G11,BS_RE33!$F$7:$F$874,'30 days CF Table(USD)'!$C$2)</f>
        <v>0</v>
      </c>
      <c r="N11" s="337">
        <f>SUMIFS(BS_RE33!$H$7:$H$874,BS_RE33!$S$7:$S$874,$N$2,BS_RE33!$N$7:$N$874,I11,BS_RE33!$P$7:$P$874,'30 days CF Table(USD)'!G11,BS_RE33!$F$7:$F$874,'30 days CF Table(USD)'!$C$2)</f>
        <v>0</v>
      </c>
      <c r="O11" s="337">
        <f>SUMIFS(BS_RE33!$H$7:$H$874,BS_RE33!$S$7:$S$874,$O$2,BS_RE33!$N$7:$N$874,I11,BS_RE33!$P$7:$P$874,'30 days CF Table(USD)'!G11,BS_RE33!$F$7:$F$874,'30 days CF Table(USD)'!$C$2)</f>
        <v>0</v>
      </c>
      <c r="P11" s="337">
        <f>SUMIFS(BS_RE33!$H$7:$H$874,BS_RE33!$S$7:$S$874,$P$2,BS_RE33!$N$7:$N$874,I11,BS_RE33!$P$7:$P$874,'30 days CF Table(USD)'!G11,BS_RE33!$F$7:$F$874,'30 days CF Table(USD)'!$C$2)</f>
        <v>0</v>
      </c>
      <c r="Q11" s="337">
        <f>SUMIFS(BS_RE33!$H$7:$H$874,BS_RE33!$S$7:$S$874,$Q$2,BS_RE33!$N$7:$N$874,I11,BS_RE33!$P$7:$P$874,'30 days CF Table(USD)'!G11,BS_RE33!$F$7:$F$874,'30 days CF Table(USD)'!$C$2)</f>
        <v>0</v>
      </c>
      <c r="R11" s="337">
        <f>SUMIFS(BS_RE33!$H$7:$H$874,BS_RE33!$S$7:$S$874,$R$2,BS_RE33!$N$7:$N$874,I11,BS_RE33!$P$7:$P$874,'30 days CF Table(USD)'!G11,BS_RE33!$F$7:$F$874,'30 days CF Table(USD)'!$C$2)</f>
        <v>0</v>
      </c>
      <c r="S11" s="337">
        <f>SUMIFS(BS_RE33!$H$7:$H$874,BS_RE33!$S$7:$S$874,$S$2,BS_RE33!$N$7:$N$874,I11,BS_RE33!$P$7:$P$874,'30 days CF Table(USD)'!G11,BS_RE33!$F$7:$F$874,'30 days CF Table(USD)'!$C$2)</f>
        <v>0</v>
      </c>
      <c r="T11" s="337">
        <f>SUMIFS(BS_RE33!$H$7:$H$874,BS_RE33!$S$7:$S$874,$T$2,BS_RE33!$N$7:$N$874,I11,BS_RE33!$P$7:$P$874,'30 days CF Table(USD)'!G11,BS_RE33!$F$7:$F$874,'30 days CF Table(USD)'!$C$2)</f>
        <v>0</v>
      </c>
      <c r="U11" s="337">
        <f>SUMIFS(BS_RE33!$H$7:$H$874,BS_RE33!$S$7:$S$874,$U$2,BS_RE33!$N$7:$N$874,I11,BS_RE33!$P$7:$P$874,'30 days CF Table(USD)'!G11,BS_RE33!$F$7:$F$874,'30 days CF Table(USD)'!$C$2)</f>
        <v>0</v>
      </c>
      <c r="V11" s="337">
        <f>SUMIFS(BS_RE33!$H$7:$H$874,BS_RE33!$S$7:$S$874,$V$2,BS_RE33!$N$7:$N$874,I11,BS_RE33!$P$7:$P$874,'30 days CF Table(USD)'!G11,BS_RE33!$F$7:$F$874,'30 days CF Table(USD)'!$C$2)</f>
        <v>0</v>
      </c>
      <c r="W11" s="337">
        <f>SUMIFS(BS_RE33!$H$7:$H$874,BS_RE33!$S$7:$S$874,$W$2,BS_RE33!$N$7:$N$874,I11,BS_RE33!$P$7:$P$874,'30 days CF Table(USD)'!G11,BS_RE33!$F$7:$F$874,'30 days CF Table(USD)'!$C$2)</f>
        <v>0</v>
      </c>
      <c r="X11" s="337">
        <f>SUMIFS(BS_RE33!$H$7:$H$874,BS_RE33!$S$7:$S$874,$X$2,BS_RE33!$N$7:$N$874,I11,BS_RE33!$P$7:$P$874,'30 days CF Table(USD)'!G11,BS_RE33!$F$7:$F$874,'30 days CF Table(USD)'!$C$2)</f>
        <v>0</v>
      </c>
      <c r="Y11" s="337">
        <f>SUMIFS(BS_RE33!$H$7:$H$874,BS_RE33!$S$7:$S$874,$Y$2,BS_RE33!$N$7:$N$874,I11,BS_RE33!$P$7:$P$874,'30 days CF Table(USD)'!G11,BS_RE33!$F$7:$F$874,'30 days CF Table(USD)'!$C$2)</f>
        <v>0</v>
      </c>
      <c r="Z11" s="337">
        <f>SUMIFS(BS_RE33!$H$7:$H$874,BS_RE33!$S$7:$S$874,$Z$2,BS_RE33!$N$7:$N$874,I11,BS_RE33!$P$7:$P$874,'30 days CF Table(USD)'!G11,BS_RE33!$F$7:$F$874,'30 days CF Table(USD)'!$C$2)</f>
        <v>0</v>
      </c>
      <c r="AA11" s="337">
        <f>SUMIFS(BS_RE33!$H$7:$H$874,BS_RE33!$S$7:$S$874,$AA$2,BS_RE33!$N$7:$N$874,I11,BS_RE33!$P$7:$P$874,'30 days CF Table(USD)'!G11,BS_RE33!$F$7:$F$874,'30 days CF Table(USD)'!$C$2)</f>
        <v>0</v>
      </c>
      <c r="AB11" s="337">
        <f>SUMIFS(BS_RE33!$H$7:$H$874,BS_RE33!$S$7:$S$874,$AB$2,BS_RE33!$N$7:$N$874,I11,BS_RE33!$P$7:$P$874,'30 days CF Table(USD)'!G11,BS_RE33!$F$7:$F$874,'30 days CF Table(USD)'!$C$2)</f>
        <v>0</v>
      </c>
      <c r="AC11" s="337">
        <f>SUMIFS(BS_RE33!$H$7:$H$874,BS_RE33!$S$7:$S$874,$AC$2,BS_RE33!$N$7:$N$874,I11,BS_RE33!$P$7:$P$874,'30 days CF Table(USD)'!G11,BS_RE33!$F$7:$F$874,'30 days CF Table(USD)'!$C$2)</f>
        <v>0</v>
      </c>
      <c r="AD11" s="337">
        <f>SUMIFS(BS_RE33!$H$7:$H$874,BS_RE33!$S$7:$S$874,$AD$2,BS_RE33!$N$7:$N$874,I11,BS_RE33!$P$7:$P$874,'30 days CF Table(USD)'!G11,BS_RE33!$F$7:$F$874,'30 days CF Table(USD)'!$C$2)</f>
        <v>0</v>
      </c>
      <c r="AE11" s="337">
        <f>SUMIFS(BS_RE33!$H$7:$H$874,BS_RE33!$S$7:$S$874,$AE$2,BS_RE33!$N$7:$N$874,I11,BS_RE33!$P$7:$P$874,'30 days CF Table(USD)'!G11,BS_RE33!$F$7:$F$874,'30 days CF Table(USD)'!$C$2)</f>
        <v>0</v>
      </c>
      <c r="AF11" s="337">
        <f>SUMIFS(BS_RE33!$H$7:$H$874,BS_RE33!$S$7:$S$874,$AF$2,BS_RE33!$N$7:$N$874,I11,BS_RE33!$P$7:$P$874,'30 days CF Table(USD)'!G11,BS_RE33!$F$7:$F$874,'30 days CF Table(USD)'!$C$2)</f>
        <v>0</v>
      </c>
      <c r="AG11" s="337">
        <f>SUMIFS(BS_RE33!$H$7:$H$874,BS_RE33!$S$7:$S$874,$AG$2,BS_RE33!$N$7:$N$874,I11,BS_RE33!$P$7:$P$874,'30 days CF Table(USD)'!G11,BS_RE33!$F$7:$F$874,'30 days CF Table(USD)'!$C$2)</f>
        <v>0</v>
      </c>
      <c r="AH11" s="337">
        <f>SUMIFS(BS_RE33!$H$7:$H$874,BS_RE33!$S$7:$S$874,$AH$2,BS_RE33!$N$7:$N$874,I11,BS_RE33!$P$7:$P$874,'30 days CF Table(USD)'!G11,BS_RE33!$F$7:$F$874,'30 days CF Table(USD)'!$C$2)</f>
        <v>0</v>
      </c>
      <c r="AI11" s="337">
        <f>SUMIFS(BS_RE33!$H$7:$H$874,BS_RE33!$S$7:$S$874,$AI$2,BS_RE33!$N$7:$N$874,I11,BS_RE33!$P$7:$P$874,'30 days CF Table(USD)'!G11,BS_RE33!$F$7:$F$874,'30 days CF Table(USD)'!$C$2)</f>
        <v>0</v>
      </c>
      <c r="AJ11" s="337">
        <f>SUMIFS(BS_RE33!$H$7:$H$874,BS_RE33!$S$7:$S$874,$AJ$2,BS_RE33!$N$7:$N$874,I11,BS_RE33!$P$7:$P$874,'30 days CF Table(USD)'!G11,BS_RE33!$F$7:$F$874,'30 days CF Table(USD)'!$C$2)</f>
        <v>0</v>
      </c>
      <c r="AK11" s="337">
        <f>SUMIFS(BS_RE33!$H$7:$H$874,BS_RE33!$S$7:$S$874,$AK$2,BS_RE33!$N$7:$N$874,I11,BS_RE33!$P$7:$P$874,'30 days CF Table(USD)'!G11,BS_RE33!$F$7:$F$874,'30 days CF Table(USD)'!$C$2)</f>
        <v>0</v>
      </c>
      <c r="AL11" s="337">
        <f>SUMIFS(BS_RE33!$H$7:$H$874,BS_RE33!$S$7:$S$874,$AL$2,BS_RE33!$N$7:$N$874,I11,BS_RE33!$P$7:$P$874,'30 days CF Table(USD)'!G11,BS_RE33!$F$7:$F$874,'30 days CF Table(USD)'!$C$2)</f>
        <v>0</v>
      </c>
      <c r="AM11" s="337">
        <f>SUMIFS(BS_RE33!$H$7:$H$874,BS_RE33!$S$7:$S$874,$AM$2,BS_RE33!$N$7:$N$874,I11,BS_RE33!$P$7:$P$874,'30 days CF Table(USD)'!G11,BS_RE33!$F$7:$F$874,'30 days CF Table(USD)'!$C$2)</f>
        <v>0</v>
      </c>
      <c r="AN11" s="337">
        <f>SUMIFS(BS_RE33!$H$7:$H$874,BS_RE33!$S$7:$S$874,$AN$2,BS_RE33!$N$7:$N$874,I11,BS_RE33!$P$7:$P$874,'30 days CF Table(USD)'!G11,BS_RE33!$F$7:$F$874,'30 days CF Table(USD)'!$C$2)</f>
        <v>0</v>
      </c>
      <c r="AO11" s="337">
        <f>SUMIFS(BS_RE33!$H$7:$H$874,BS_RE33!$S$7:$S$874,$AO$2,BS_RE33!$N$7:$N$874,I11,BS_RE33!$P$7:$P$874,'30 days CF Table(USD)'!G11,BS_RE33!$F$7:$F$874,'30 days CF Table(USD)'!$C$2)</f>
        <v>0</v>
      </c>
      <c r="AP11" s="338">
        <f>SUMIFS(BS_RE33!$H$7:$H$874,BS_RE33!$S$7:$S$874,$AP$2,BS_RE33!$N$7:$N$874,I11,BS_RE33!$P$7:$P$874,'30 days CF Table(USD)'!G11,BS_RE33!$F$7:$F$874,'30 days CF Table(USD)'!$C$2)</f>
        <v>0</v>
      </c>
      <c r="AQ11" s="545"/>
      <c r="AR11" s="379">
        <f>SUMIFS(BS_RE33!$H$7:$H$874,BS_RE33!$S$7:$S$874,$AR$2,BS_RE33!$N$7:$N$874,I11,BS_RE33!$P$7:$P$874,'30 days CF Table(USD)'!G11,BS_RE33!$F$7:$F$874,'30 days CF Table(USD)'!$C$2)</f>
        <v>0</v>
      </c>
      <c r="AS11" s="379">
        <f>SUMIFS(BS_RE33!$H$7:$H$874,BS_RE33!$S$7:$S$874,$AS$2,BS_RE33!$N$7:$N$874,I11,BS_RE33!$P$7:$P$874,'30 days CF Table(USD)'!G11,BS_RE33!$F$7:$F$874,'30 days CF Table(USD)'!$C$2)</f>
        <v>0</v>
      </c>
      <c r="AT11" s="379">
        <f>SUMIFS(BS_RE33!$H$7:$H$874,BS_RE33!$S$7:$S$874,$AT$2,BS_RE33!$N$7:$N$874,I11,BS_RE33!$P$7:$P$874,'30 days CF Table(USD)'!G11,BS_RE33!$F$7:$F$874,'30 days CF Table(USD)'!$C$2)</f>
        <v>0</v>
      </c>
      <c r="AU11" s="379">
        <f>SUMIFS(BS_RE33!$H$7:$H$874,BS_RE33!$S$7:$S$874,$AU$2,BS_RE33!$N$7:$N$874,I11,BS_RE33!$P$7:$P$874,'30 days CF Table(USD)'!G11,BS_RE33!$F$7:$F$874,'30 days CF Table(USD)'!$C$2)</f>
        <v>0</v>
      </c>
      <c r="AV11" s="379">
        <f>SUMIFS(BS_RE33!$H$7:$H$874,BS_RE33!$S$7:$S$874,$AV$2,BS_RE33!$N$7:$N$874,I11,BS_RE33!$P$7:$P$874,'30 days CF Table(USD)'!G11,BS_RE33!$F$7:$F$874,'30 days CF Table(USD)'!$C$2)</f>
        <v>0</v>
      </c>
      <c r="AW11" s="379">
        <f>SUMIFS(BS_RE33!$H$7:$H$874,BS_RE33!$S$7:$S$874,$AW$2,BS_RE33!$N$7:$N$874,I11,BS_RE33!$P$7:$P$874,'30 days CF Table(USD)'!G11,BS_RE33!$F$7:$F$874,'30 days CF Table(USD)'!$C$2)</f>
        <v>0</v>
      </c>
      <c r="AX11" s="379">
        <f>SUMIFS(BS_RE33!$H$7:$H$874,BS_RE33!$S$7:$S$874,$AX$2,BS_RE33!$N$7:$N$874,I11,BS_RE33!$P$7:$P$874,'30 days CF Table(USD)'!G11,BS_RE33!$F$7:$F$874,'30 days CF Table(USD)'!$C$2)</f>
        <v>0</v>
      </c>
      <c r="AY11" s="379">
        <f>SUMIFS(BS_RE33!$H$7:$H$874,BS_RE33!$S$7:$S$874,$AY$2,BS_RE33!$N$7:$N$874,I11,BS_RE33!$P$7:$P$874,'30 days CF Table(USD)'!G11,BS_RE33!$F$7:$F$874,'30 days CF Table(USD)'!$C$2)</f>
        <v>0</v>
      </c>
      <c r="AZ11" s="379">
        <f>SUMIFS(BS_RE33!$H$7:$H$874,BS_RE33!$S$7:$S$874,$AZ$2,BS_RE33!$N$7:$N$874,I11,BS_RE33!$P$7:$P$874,'30 days CF Table(USD)'!G11,BS_RE33!$F$7:$F$874,'30 days CF Table(USD)'!$C$2)</f>
        <v>0</v>
      </c>
      <c r="BA11" s="379">
        <f>SUMIFS(BS_RE33!$H$7:$H$874,BS_RE33!$S$7:$S$874,$BA$2,BS_RE33!$N$7:$N$874,I11,BS_RE33!$P$7:$P$874,'30 days CF Table(USD)'!G11,BS_RE33!$F$7:$F$874,'30 days CF Table(USD)'!$C$2)</f>
        <v>0</v>
      </c>
      <c r="BB11" s="379">
        <f>SUMIFS(BS_RE33!$H$7:$H$874,BS_RE33!$S$7:$S$874,$BB$2,BS_RE33!$N$7:$N$874,I11,BS_RE33!$P$7:$P$874,'30 days CF Table(USD)'!G11,BS_RE33!$F$7:$F$874,'30 days CF Table(USD)'!$C$2)</f>
        <v>0</v>
      </c>
      <c r="BC11" s="379">
        <f>SUMIFS(BS_RE33!$H$7:$H$874,BS_RE33!$S$7:$S$874,$BC$2,BS_RE33!$N$7:$N$874,I11,BS_RE33!$P$7:$P$874,'30 days CF Table(USD)'!G11,BS_RE33!$F$7:$F$874,'30 days CF Table(USD)'!$C$2)</f>
        <v>0</v>
      </c>
      <c r="BD11" s="379">
        <f>SUMIFS(BS_RE33!$H$7:$H$874,BS_RE33!$S$7:$S$874,$BD$2,BS_RE33!$N$7:$N$874,I11,BS_RE33!$P$7:$P$874,'30 days CF Table(USD)'!G11,BS_RE33!$F$7:$F$874,'30 days CF Table(USD)'!$C$2)</f>
        <v>0</v>
      </c>
      <c r="BE11" s="379">
        <f>SUMIFS(BS_RE33!$H$7:$H$874,BS_RE33!$S$7:$S$874,$BE$2,BS_RE33!$N$7:$N$874,I11,BS_RE33!$P$7:$P$874,'30 days CF Table(USD)'!G11,BS_RE33!$F$7:$F$874,'30 days CF Table(USD)'!$C$2)</f>
        <v>0</v>
      </c>
      <c r="BF11" s="379">
        <f>SUMIFS(BS_RE33!$H$7:$H$874,BS_RE33!$S$7:$S$874,$BF$2,BS_RE33!$N$7:$N$874,I11,BS_RE33!$P$7:$P$874,'30 days CF Table(USD)'!G11,BS_RE33!$F$7:$F$874,'30 days CF Table(USD)'!$C$2)</f>
        <v>0</v>
      </c>
      <c r="BG11" s="379">
        <f>SUMIFS(BS_RE33!$H$7:$H$874,BS_RE33!$S$7:$S$874,$BG$2,BS_RE33!$N$7:$N$874,I11,BS_RE33!$P$7:$P$874,'30 days CF Table(USD)'!G11,BS_RE33!$F$7:$F$874,'30 days CF Table(USD)'!$C$2)</f>
        <v>0</v>
      </c>
      <c r="BH11" s="379">
        <f>SUMIFS(BS_RE33!$H$7:$H$874,BS_RE33!$S$7:$S$874,$BH$2,BS_RE33!$N$7:$N$874,I11,BS_RE33!$P$7:$P$874,'30 days CF Table(USD)'!G11,BS_RE33!$F$7:$F$874,'30 days CF Table(USD)'!$C$2)</f>
        <v>0</v>
      </c>
      <c r="BI11" s="379">
        <f>SUMIFS(BS_RE33!$H$7:$H$874,BS_RE33!$S$7:$S$874,$BI$2,BS_RE33!$N$7:$N$874,I11,BS_RE33!$P$7:$P$874,'30 days CF Table(USD)'!G11,BS_RE33!$F$7:$F$874,'30 days CF Table(USD)'!$C$2)</f>
        <v>0</v>
      </c>
      <c r="BJ11" s="379">
        <f>SUMIFS(BS_RE33!$H$7:$H$874,BS_RE33!$S$7:$S$874,$BJ$2,BS_RE33!$N$7:$N$874,I11,BS_RE33!$P$7:$P$874,'30 days CF Table(USD)'!G11,BS_RE33!$F$7:$F$874,'30 days CF Table(USD)'!$C$2)</f>
        <v>0</v>
      </c>
      <c r="BK11" s="379">
        <f>SUMIFS(BS_RE33!$H$7:$H$874,BS_RE33!$S$7:$S$874,$BK$2,BS_RE33!$N$7:$N$874,I11,BS_RE33!$P$7:$P$874,'30 days CF Table(USD)'!G11,BS_RE33!$F$7:$F$874,'30 days CF Table(USD)'!$C$2)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Table(USD)'!G12,BS_RE33!$F$7:$F$874,'30 days CF Table(USD)'!$C$2)</f>
        <v>0</v>
      </c>
      <c r="M12" s="337">
        <f>SUMIFS(BS_RE33!$H$7:$H$874,BS_RE33!$S$7:$S$874,$M$2,BS_RE33!$N$7:$N$874,I12,BS_RE33!$P$7:$P$874,'30 days CF Table(USD)'!G12,BS_RE33!$F$7:$F$874,'30 days CF Table(USD)'!$C$2)</f>
        <v>0</v>
      </c>
      <c r="N12" s="337">
        <f>SUMIFS(BS_RE33!$H$7:$H$874,BS_RE33!$S$7:$S$874,$N$2,BS_RE33!$N$7:$N$874,I12,BS_RE33!$P$7:$P$874,'30 days CF Table(USD)'!G12,BS_RE33!$F$7:$F$874,'30 days CF Table(USD)'!$C$2)</f>
        <v>0</v>
      </c>
      <c r="O12" s="337">
        <f>SUMIFS(BS_RE33!$H$7:$H$874,BS_RE33!$S$7:$S$874,$O$2,BS_RE33!$N$7:$N$874,I12,BS_RE33!$P$7:$P$874,'30 days CF Table(USD)'!G12,BS_RE33!$F$7:$F$874,'30 days CF Table(USD)'!$C$2)</f>
        <v>0</v>
      </c>
      <c r="P12" s="337">
        <f>SUMIFS(BS_RE33!$H$7:$H$874,BS_RE33!$S$7:$S$874,$P$2,BS_RE33!$N$7:$N$874,I12,BS_RE33!$P$7:$P$874,'30 days CF Table(USD)'!G12,BS_RE33!$F$7:$F$874,'30 days CF Table(USD)'!$C$2)</f>
        <v>0</v>
      </c>
      <c r="Q12" s="337">
        <f>SUMIFS(BS_RE33!$H$7:$H$874,BS_RE33!$S$7:$S$874,$Q$2,BS_RE33!$N$7:$N$874,I12,BS_RE33!$P$7:$P$874,'30 days CF Table(USD)'!G12,BS_RE33!$F$7:$F$874,'30 days CF Table(USD)'!$C$2)</f>
        <v>0</v>
      </c>
      <c r="R12" s="337">
        <f>SUMIFS(BS_RE33!$H$7:$H$874,BS_RE33!$S$7:$S$874,$R$2,BS_RE33!$N$7:$N$874,I12,BS_RE33!$P$7:$P$874,'30 days CF Table(USD)'!G12,BS_RE33!$F$7:$F$874,'30 days CF Table(USD)'!$C$2)</f>
        <v>0</v>
      </c>
      <c r="S12" s="337">
        <f>SUMIFS(BS_RE33!$H$7:$H$874,BS_RE33!$S$7:$S$874,$S$2,BS_RE33!$N$7:$N$874,I12,BS_RE33!$P$7:$P$874,'30 days CF Table(USD)'!G12,BS_RE33!$F$7:$F$874,'30 days CF Table(USD)'!$C$2)</f>
        <v>0</v>
      </c>
      <c r="T12" s="337">
        <f>SUMIFS(BS_RE33!$H$7:$H$874,BS_RE33!$S$7:$S$874,$T$2,BS_RE33!$N$7:$N$874,I12,BS_RE33!$P$7:$P$874,'30 days CF Table(USD)'!G12,BS_RE33!$F$7:$F$874,'30 days CF Table(USD)'!$C$2)</f>
        <v>0</v>
      </c>
      <c r="U12" s="337">
        <f>SUMIFS(BS_RE33!$H$7:$H$874,BS_RE33!$S$7:$S$874,$U$2,BS_RE33!$N$7:$N$874,I12,BS_RE33!$P$7:$P$874,'30 days CF Table(USD)'!G12,BS_RE33!$F$7:$F$874,'30 days CF Table(USD)'!$C$2)</f>
        <v>0</v>
      </c>
      <c r="V12" s="337">
        <f>SUMIFS(BS_RE33!$H$7:$H$874,BS_RE33!$S$7:$S$874,$V$2,BS_RE33!$N$7:$N$874,I12,BS_RE33!$P$7:$P$874,'30 days CF Table(USD)'!G12,BS_RE33!$F$7:$F$874,'30 days CF Table(USD)'!$C$2)</f>
        <v>0</v>
      </c>
      <c r="W12" s="337">
        <f>SUMIFS(BS_RE33!$H$7:$H$874,BS_RE33!$S$7:$S$874,$W$2,BS_RE33!$N$7:$N$874,I12,BS_RE33!$P$7:$P$874,'30 days CF Table(USD)'!G12,BS_RE33!$F$7:$F$874,'30 days CF Table(USD)'!$C$2)</f>
        <v>0</v>
      </c>
      <c r="X12" s="337">
        <f>SUMIFS(BS_RE33!$H$7:$H$874,BS_RE33!$S$7:$S$874,$X$2,BS_RE33!$N$7:$N$874,I12,BS_RE33!$P$7:$P$874,'30 days CF Table(USD)'!G12,BS_RE33!$F$7:$F$874,'30 days CF Table(USD)'!$C$2)</f>
        <v>0</v>
      </c>
      <c r="Y12" s="337">
        <f>SUMIFS(BS_RE33!$H$7:$H$874,BS_RE33!$S$7:$S$874,$Y$2,BS_RE33!$N$7:$N$874,I12,BS_RE33!$P$7:$P$874,'30 days CF Table(USD)'!G12,BS_RE33!$F$7:$F$874,'30 days CF Table(USD)'!$C$2)</f>
        <v>0</v>
      </c>
      <c r="Z12" s="337">
        <f>SUMIFS(BS_RE33!$H$7:$H$874,BS_RE33!$S$7:$S$874,$Z$2,BS_RE33!$N$7:$N$874,I12,BS_RE33!$P$7:$P$874,'30 days CF Table(USD)'!G12,BS_RE33!$F$7:$F$874,'30 days CF Table(USD)'!$C$2)</f>
        <v>0</v>
      </c>
      <c r="AA12" s="337">
        <f>SUMIFS(BS_RE33!$H$7:$H$874,BS_RE33!$S$7:$S$874,$AA$2,BS_RE33!$N$7:$N$874,I12,BS_RE33!$P$7:$P$874,'30 days CF Table(USD)'!G12,BS_RE33!$F$7:$F$874,'30 days CF Table(USD)'!$C$2)</f>
        <v>0</v>
      </c>
      <c r="AB12" s="337">
        <f>SUMIFS(BS_RE33!$H$7:$H$874,BS_RE33!$S$7:$S$874,$AB$2,BS_RE33!$N$7:$N$874,I12,BS_RE33!$P$7:$P$874,'30 days CF Table(USD)'!G12,BS_RE33!$F$7:$F$874,'30 days CF Table(USD)'!$C$2)</f>
        <v>0</v>
      </c>
      <c r="AC12" s="337">
        <f>SUMIFS(BS_RE33!$H$7:$H$874,BS_RE33!$S$7:$S$874,$AC$2,BS_RE33!$N$7:$N$874,I12,BS_RE33!$P$7:$P$874,'30 days CF Table(USD)'!G12,BS_RE33!$F$7:$F$874,'30 days CF Table(USD)'!$C$2)</f>
        <v>0</v>
      </c>
      <c r="AD12" s="337">
        <f>SUMIFS(BS_RE33!$H$7:$H$874,BS_RE33!$S$7:$S$874,$AD$2,BS_RE33!$N$7:$N$874,I12,BS_RE33!$P$7:$P$874,'30 days CF Table(USD)'!G12,BS_RE33!$F$7:$F$874,'30 days CF Table(USD)'!$C$2)</f>
        <v>0</v>
      </c>
      <c r="AE12" s="337">
        <f>SUMIFS(BS_RE33!$H$7:$H$874,BS_RE33!$S$7:$S$874,$AE$2,BS_RE33!$N$7:$N$874,I12,BS_RE33!$P$7:$P$874,'30 days CF Table(USD)'!G12,BS_RE33!$F$7:$F$874,'30 days CF Table(USD)'!$C$2)</f>
        <v>0</v>
      </c>
      <c r="AF12" s="337">
        <f>SUMIFS(BS_RE33!$H$7:$H$874,BS_RE33!$S$7:$S$874,$AF$2,BS_RE33!$N$7:$N$874,I12,BS_RE33!$P$7:$P$874,'30 days CF Table(USD)'!G12,BS_RE33!$F$7:$F$874,'30 days CF Table(USD)'!$C$2)</f>
        <v>0</v>
      </c>
      <c r="AG12" s="337">
        <f>SUMIFS(BS_RE33!$H$7:$H$874,BS_RE33!$S$7:$S$874,$AG$2,BS_RE33!$N$7:$N$874,I12,BS_RE33!$P$7:$P$874,'30 days CF Table(USD)'!G12,BS_RE33!$F$7:$F$874,'30 days CF Table(USD)'!$C$2)</f>
        <v>0</v>
      </c>
      <c r="AH12" s="337">
        <f>SUMIFS(BS_RE33!$H$7:$H$874,BS_RE33!$S$7:$S$874,$AH$2,BS_RE33!$N$7:$N$874,I12,BS_RE33!$P$7:$P$874,'30 days CF Table(USD)'!G12,BS_RE33!$F$7:$F$874,'30 days CF Table(USD)'!$C$2)</f>
        <v>0</v>
      </c>
      <c r="AI12" s="337">
        <f>SUMIFS(BS_RE33!$H$7:$H$874,BS_RE33!$S$7:$S$874,$AI$2,BS_RE33!$N$7:$N$874,I12,BS_RE33!$P$7:$P$874,'30 days CF Table(USD)'!G12,BS_RE33!$F$7:$F$874,'30 days CF Table(USD)'!$C$2)</f>
        <v>0</v>
      </c>
      <c r="AJ12" s="337">
        <f>SUMIFS(BS_RE33!$H$7:$H$874,BS_RE33!$S$7:$S$874,$AJ$2,BS_RE33!$N$7:$N$874,I12,BS_RE33!$P$7:$P$874,'30 days CF Table(USD)'!G12,BS_RE33!$F$7:$F$874,'30 days CF Table(USD)'!$C$2)</f>
        <v>0</v>
      </c>
      <c r="AK12" s="337">
        <f>SUMIFS(BS_RE33!$H$7:$H$874,BS_RE33!$S$7:$S$874,$AK$2,BS_RE33!$N$7:$N$874,I12,BS_RE33!$P$7:$P$874,'30 days CF Table(USD)'!G12,BS_RE33!$F$7:$F$874,'30 days CF Table(USD)'!$C$2)</f>
        <v>0</v>
      </c>
      <c r="AL12" s="337">
        <f>SUMIFS(BS_RE33!$H$7:$H$874,BS_RE33!$S$7:$S$874,$AL$2,BS_RE33!$N$7:$N$874,I12,BS_RE33!$P$7:$P$874,'30 days CF Table(USD)'!G12,BS_RE33!$F$7:$F$874,'30 days CF Table(USD)'!$C$2)</f>
        <v>0</v>
      </c>
      <c r="AM12" s="337">
        <f>SUMIFS(BS_RE33!$H$7:$H$874,BS_RE33!$S$7:$S$874,$AM$2,BS_RE33!$N$7:$N$874,I12,BS_RE33!$P$7:$P$874,'30 days CF Table(USD)'!G12,BS_RE33!$F$7:$F$874,'30 days CF Table(USD)'!$C$2)</f>
        <v>0</v>
      </c>
      <c r="AN12" s="337">
        <f>SUMIFS(BS_RE33!$H$7:$H$874,BS_RE33!$S$7:$S$874,$AN$2,BS_RE33!$N$7:$N$874,I12,BS_RE33!$P$7:$P$874,'30 days CF Table(USD)'!G12,BS_RE33!$F$7:$F$874,'30 days CF Table(USD)'!$C$2)</f>
        <v>0</v>
      </c>
      <c r="AO12" s="337">
        <f>SUMIFS(BS_RE33!$H$7:$H$874,BS_RE33!$S$7:$S$874,$AO$2,BS_RE33!$N$7:$N$874,I12,BS_RE33!$P$7:$P$874,'30 days CF Table(USD)'!G12,BS_RE33!$F$7:$F$874,'30 days CF Table(USD)'!$C$2)</f>
        <v>0</v>
      </c>
      <c r="AP12" s="338">
        <f>SUMIFS(BS_RE33!$H$7:$H$874,BS_RE33!$S$7:$S$874,$AP$2,BS_RE33!$N$7:$N$874,I12,BS_RE33!$P$7:$P$874,'30 days CF Table(USD)'!G12,BS_RE33!$F$7:$F$874,'30 days CF Table(USD)'!$C$2)</f>
        <v>0</v>
      </c>
      <c r="AQ12" s="545"/>
      <c r="AR12" s="379">
        <f>SUMIFS(BS_RE33!$H$7:$H$874,BS_RE33!$S$7:$S$874,$AR$2,BS_RE33!$N$7:$N$874,I12,BS_RE33!$P$7:$P$874,'30 days CF Table(USD)'!G12,BS_RE33!$F$7:$F$874,'30 days CF Table(USD)'!$C$2)</f>
        <v>0</v>
      </c>
      <c r="AS12" s="379">
        <f>SUMIFS(BS_RE33!$H$7:$H$874,BS_RE33!$S$7:$S$874,$AS$2,BS_RE33!$N$7:$N$874,I12,BS_RE33!$P$7:$P$874,'30 days CF Table(USD)'!G12,BS_RE33!$F$7:$F$874,'30 days CF Table(USD)'!$C$2)</f>
        <v>0</v>
      </c>
      <c r="AT12" s="379">
        <f>SUMIFS(BS_RE33!$H$7:$H$874,BS_RE33!$S$7:$S$874,$AT$2,BS_RE33!$N$7:$N$874,I12,BS_RE33!$P$7:$P$874,'30 days CF Table(USD)'!G12,BS_RE33!$F$7:$F$874,'30 days CF Table(USD)'!$C$2)</f>
        <v>0</v>
      </c>
      <c r="AU12" s="379">
        <f>SUMIFS(BS_RE33!$H$7:$H$874,BS_RE33!$S$7:$S$874,$AU$2,BS_RE33!$N$7:$N$874,I12,BS_RE33!$P$7:$P$874,'30 days CF Table(USD)'!G12,BS_RE33!$F$7:$F$874,'30 days CF Table(USD)'!$C$2)</f>
        <v>0</v>
      </c>
      <c r="AV12" s="379">
        <f>SUMIFS(BS_RE33!$H$7:$H$874,BS_RE33!$S$7:$S$874,$AV$2,BS_RE33!$N$7:$N$874,I12,BS_RE33!$P$7:$P$874,'30 days CF Table(USD)'!G12,BS_RE33!$F$7:$F$874,'30 days CF Table(USD)'!$C$2)</f>
        <v>0</v>
      </c>
      <c r="AW12" s="379">
        <f>SUMIFS(BS_RE33!$H$7:$H$874,BS_RE33!$S$7:$S$874,$AW$2,BS_RE33!$N$7:$N$874,I12,BS_RE33!$P$7:$P$874,'30 days CF Table(USD)'!G12,BS_RE33!$F$7:$F$874,'30 days CF Table(USD)'!$C$2)</f>
        <v>0</v>
      </c>
      <c r="AX12" s="379">
        <f>SUMIFS(BS_RE33!$H$7:$H$874,BS_RE33!$S$7:$S$874,$AX$2,BS_RE33!$N$7:$N$874,I12,BS_RE33!$P$7:$P$874,'30 days CF Table(USD)'!G12,BS_RE33!$F$7:$F$874,'30 days CF Table(USD)'!$C$2)</f>
        <v>0</v>
      </c>
      <c r="AY12" s="379">
        <f>SUMIFS(BS_RE33!$H$7:$H$874,BS_RE33!$S$7:$S$874,$AY$2,BS_RE33!$N$7:$N$874,I12,BS_RE33!$P$7:$P$874,'30 days CF Table(USD)'!G12,BS_RE33!$F$7:$F$874,'30 days CF Table(USD)'!$C$2)</f>
        <v>0</v>
      </c>
      <c r="AZ12" s="379">
        <f>SUMIFS(BS_RE33!$H$7:$H$874,BS_RE33!$S$7:$S$874,$AZ$2,BS_RE33!$N$7:$N$874,I12,BS_RE33!$P$7:$P$874,'30 days CF Table(USD)'!G12,BS_RE33!$F$7:$F$874,'30 days CF Table(USD)'!$C$2)</f>
        <v>0</v>
      </c>
      <c r="BA12" s="379">
        <f>SUMIFS(BS_RE33!$H$7:$H$874,BS_RE33!$S$7:$S$874,$BA$2,BS_RE33!$N$7:$N$874,I12,BS_RE33!$P$7:$P$874,'30 days CF Table(USD)'!G12,BS_RE33!$F$7:$F$874,'30 days CF Table(USD)'!$C$2)</f>
        <v>0</v>
      </c>
      <c r="BB12" s="379">
        <f>SUMIFS(BS_RE33!$H$7:$H$874,BS_RE33!$S$7:$S$874,$BB$2,BS_RE33!$N$7:$N$874,I12,BS_RE33!$P$7:$P$874,'30 days CF Table(USD)'!G12,BS_RE33!$F$7:$F$874,'30 days CF Table(USD)'!$C$2)</f>
        <v>0</v>
      </c>
      <c r="BC12" s="379">
        <f>SUMIFS(BS_RE33!$H$7:$H$874,BS_RE33!$S$7:$S$874,$BC$2,BS_RE33!$N$7:$N$874,I12,BS_RE33!$P$7:$P$874,'30 days CF Table(USD)'!G12,BS_RE33!$F$7:$F$874,'30 days CF Table(USD)'!$C$2)</f>
        <v>0</v>
      </c>
      <c r="BD12" s="379">
        <f>SUMIFS(BS_RE33!$H$7:$H$874,BS_RE33!$S$7:$S$874,$BD$2,BS_RE33!$N$7:$N$874,I12,BS_RE33!$P$7:$P$874,'30 days CF Table(USD)'!G12,BS_RE33!$F$7:$F$874,'30 days CF Table(USD)'!$C$2)</f>
        <v>0</v>
      </c>
      <c r="BE12" s="379">
        <f>SUMIFS(BS_RE33!$H$7:$H$874,BS_RE33!$S$7:$S$874,$BE$2,BS_RE33!$N$7:$N$874,I12,BS_RE33!$P$7:$P$874,'30 days CF Table(USD)'!G12,BS_RE33!$F$7:$F$874,'30 days CF Table(USD)'!$C$2)</f>
        <v>0</v>
      </c>
      <c r="BF12" s="379">
        <f>SUMIFS(BS_RE33!$H$7:$H$874,BS_RE33!$S$7:$S$874,$BF$2,BS_RE33!$N$7:$N$874,I12,BS_RE33!$P$7:$P$874,'30 days CF Table(USD)'!G12,BS_RE33!$F$7:$F$874,'30 days CF Table(USD)'!$C$2)</f>
        <v>0</v>
      </c>
      <c r="BG12" s="379">
        <f>SUMIFS(BS_RE33!$H$7:$H$874,BS_RE33!$S$7:$S$874,$BG$2,BS_RE33!$N$7:$N$874,I12,BS_RE33!$P$7:$P$874,'30 days CF Table(USD)'!G12,BS_RE33!$F$7:$F$874,'30 days CF Table(USD)'!$C$2)</f>
        <v>0</v>
      </c>
      <c r="BH12" s="379">
        <f>SUMIFS(BS_RE33!$H$7:$H$874,BS_RE33!$S$7:$S$874,$BH$2,BS_RE33!$N$7:$N$874,I12,BS_RE33!$P$7:$P$874,'30 days CF Table(USD)'!G12,BS_RE33!$F$7:$F$874,'30 days CF Table(USD)'!$C$2)</f>
        <v>0</v>
      </c>
      <c r="BI12" s="379">
        <f>SUMIFS(BS_RE33!$H$7:$H$874,BS_RE33!$S$7:$S$874,$BI$2,BS_RE33!$N$7:$N$874,I12,BS_RE33!$P$7:$P$874,'30 days CF Table(USD)'!G12,BS_RE33!$F$7:$F$874,'30 days CF Table(USD)'!$C$2)</f>
        <v>0</v>
      </c>
      <c r="BJ12" s="379">
        <f>SUMIFS(BS_RE33!$H$7:$H$874,BS_RE33!$S$7:$S$874,$BJ$2,BS_RE33!$N$7:$N$874,I12,BS_RE33!$P$7:$P$874,'30 days CF Table(USD)'!G12,BS_RE33!$F$7:$F$874,'30 days CF Table(USD)'!$C$2)</f>
        <v>0</v>
      </c>
      <c r="BK12" s="379">
        <f>SUMIFS(BS_RE33!$H$7:$H$874,BS_RE33!$S$7:$S$874,$BK$2,BS_RE33!$N$7:$N$874,I12,BS_RE33!$P$7:$P$874,'30 days CF Table(USD)'!G12,BS_RE33!$F$7:$F$874,'30 days CF Table(USD)'!$C$2)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Table(USD)'!G13,BS_RE33!$F$7:$F$874,'30 days CF Table(USD)'!$C$2)</f>
        <v>0</v>
      </c>
      <c r="M13" s="337">
        <f>SUMIFS(BS_RE33!$H$7:$H$874,BS_RE33!$S$7:$S$874,$M$2,BS_RE33!$N$7:$N$874,I13,BS_RE33!$P$7:$P$874,'30 days CF Table(USD)'!G13,BS_RE33!$F$7:$F$874,'30 days CF Table(USD)'!$C$2)</f>
        <v>0</v>
      </c>
      <c r="N13" s="337">
        <f>SUMIFS(BS_RE33!$H$7:$H$874,BS_RE33!$S$7:$S$874,$N$2,BS_RE33!$N$7:$N$874,I13,BS_RE33!$P$7:$P$874,'30 days CF Table(USD)'!G13,BS_RE33!$F$7:$F$874,'30 days CF Table(USD)'!$C$2)</f>
        <v>0</v>
      </c>
      <c r="O13" s="337">
        <f>SUMIFS(BS_RE33!$H$7:$H$874,BS_RE33!$S$7:$S$874,$O$2,BS_RE33!$N$7:$N$874,I13,BS_RE33!$P$7:$P$874,'30 days CF Table(USD)'!G13,BS_RE33!$F$7:$F$874,'30 days CF Table(USD)'!$C$2)</f>
        <v>0</v>
      </c>
      <c r="P13" s="337">
        <f>SUMIFS(BS_RE33!$H$7:$H$874,BS_RE33!$S$7:$S$874,$P$2,BS_RE33!$N$7:$N$874,I13,BS_RE33!$P$7:$P$874,'30 days CF Table(USD)'!G13,BS_RE33!$F$7:$F$874,'30 days CF Table(USD)'!$C$2)</f>
        <v>0</v>
      </c>
      <c r="Q13" s="337">
        <f>SUMIFS(BS_RE33!$H$7:$H$874,BS_RE33!$S$7:$S$874,$Q$2,BS_RE33!$N$7:$N$874,I13,BS_RE33!$P$7:$P$874,'30 days CF Table(USD)'!G13,BS_RE33!$F$7:$F$874,'30 days CF Table(USD)'!$C$2)</f>
        <v>0</v>
      </c>
      <c r="R13" s="337">
        <f>SUMIFS(BS_RE33!$H$7:$H$874,BS_RE33!$S$7:$S$874,$R$2,BS_RE33!$N$7:$N$874,I13,BS_RE33!$P$7:$P$874,'30 days CF Table(USD)'!G13,BS_RE33!$F$7:$F$874,'30 days CF Table(USD)'!$C$2)</f>
        <v>0</v>
      </c>
      <c r="S13" s="337">
        <f>SUMIFS(BS_RE33!$H$7:$H$874,BS_RE33!$S$7:$S$874,$S$2,BS_RE33!$N$7:$N$874,I13,BS_RE33!$P$7:$P$874,'30 days CF Table(USD)'!G13,BS_RE33!$F$7:$F$874,'30 days CF Table(USD)'!$C$2)</f>
        <v>0</v>
      </c>
      <c r="T13" s="337">
        <f>SUMIFS(BS_RE33!$H$7:$H$874,BS_RE33!$S$7:$S$874,$T$2,BS_RE33!$N$7:$N$874,I13,BS_RE33!$P$7:$P$874,'30 days CF Table(USD)'!G13,BS_RE33!$F$7:$F$874,'30 days CF Table(USD)'!$C$2)</f>
        <v>0</v>
      </c>
      <c r="U13" s="337">
        <f>SUMIFS(BS_RE33!$H$7:$H$874,BS_RE33!$S$7:$S$874,$U$2,BS_RE33!$N$7:$N$874,I13,BS_RE33!$P$7:$P$874,'30 days CF Table(USD)'!G13,BS_RE33!$F$7:$F$874,'30 days CF Table(USD)'!$C$2)</f>
        <v>0</v>
      </c>
      <c r="V13" s="337">
        <f>SUMIFS(BS_RE33!$H$7:$H$874,BS_RE33!$S$7:$S$874,$V$2,BS_RE33!$N$7:$N$874,I13,BS_RE33!$P$7:$P$874,'30 days CF Table(USD)'!G13,BS_RE33!$F$7:$F$874,'30 days CF Table(USD)'!$C$2)</f>
        <v>0</v>
      </c>
      <c r="W13" s="337">
        <f>SUMIFS(BS_RE33!$H$7:$H$874,BS_RE33!$S$7:$S$874,$W$2,BS_RE33!$N$7:$N$874,I13,BS_RE33!$P$7:$P$874,'30 days CF Table(USD)'!G13,BS_RE33!$F$7:$F$874,'30 days CF Table(USD)'!$C$2)</f>
        <v>0</v>
      </c>
      <c r="X13" s="337">
        <f>SUMIFS(BS_RE33!$H$7:$H$874,BS_RE33!$S$7:$S$874,$X$2,BS_RE33!$N$7:$N$874,I13,BS_RE33!$P$7:$P$874,'30 days CF Table(USD)'!G13,BS_RE33!$F$7:$F$874,'30 days CF Table(USD)'!$C$2)</f>
        <v>0</v>
      </c>
      <c r="Y13" s="337">
        <f>SUMIFS(BS_RE33!$H$7:$H$874,BS_RE33!$S$7:$S$874,$Y$2,BS_RE33!$N$7:$N$874,I13,BS_RE33!$P$7:$P$874,'30 days CF Table(USD)'!G13,BS_RE33!$F$7:$F$874,'30 days CF Table(USD)'!$C$2)</f>
        <v>0</v>
      </c>
      <c r="Z13" s="337">
        <f>SUMIFS(BS_RE33!$H$7:$H$874,BS_RE33!$S$7:$S$874,$Z$2,BS_RE33!$N$7:$N$874,I13,BS_RE33!$P$7:$P$874,'30 days CF Table(USD)'!G13,BS_RE33!$F$7:$F$874,'30 days CF Table(USD)'!$C$2)</f>
        <v>0</v>
      </c>
      <c r="AA13" s="337">
        <f>SUMIFS(BS_RE33!$H$7:$H$874,BS_RE33!$S$7:$S$874,$AA$2,BS_RE33!$N$7:$N$874,I13,BS_RE33!$P$7:$P$874,'30 days CF Table(USD)'!G13,BS_RE33!$F$7:$F$874,'30 days CF Table(USD)'!$C$2)</f>
        <v>0</v>
      </c>
      <c r="AB13" s="337">
        <f>SUMIFS(BS_RE33!$H$7:$H$874,BS_RE33!$S$7:$S$874,$AB$2,BS_RE33!$N$7:$N$874,I13,BS_RE33!$P$7:$P$874,'30 days CF Table(USD)'!G13,BS_RE33!$F$7:$F$874,'30 days CF Table(USD)'!$C$2)</f>
        <v>0</v>
      </c>
      <c r="AC13" s="337">
        <f>SUMIFS(BS_RE33!$H$7:$H$874,BS_RE33!$S$7:$S$874,$AC$2,BS_RE33!$N$7:$N$874,I13,BS_RE33!$P$7:$P$874,'30 days CF Table(USD)'!G13,BS_RE33!$F$7:$F$874,'30 days CF Table(USD)'!$C$2)</f>
        <v>0</v>
      </c>
      <c r="AD13" s="337">
        <f>SUMIFS(BS_RE33!$H$7:$H$874,BS_RE33!$S$7:$S$874,$AD$2,BS_RE33!$N$7:$N$874,I13,BS_RE33!$P$7:$P$874,'30 days CF Table(USD)'!G13,BS_RE33!$F$7:$F$874,'30 days CF Table(USD)'!$C$2)</f>
        <v>0</v>
      </c>
      <c r="AE13" s="337">
        <f>SUMIFS(BS_RE33!$H$7:$H$874,BS_RE33!$S$7:$S$874,$AE$2,BS_RE33!$N$7:$N$874,I13,BS_RE33!$P$7:$P$874,'30 days CF Table(USD)'!G13,BS_RE33!$F$7:$F$874,'30 days CF Table(USD)'!$C$2)</f>
        <v>0</v>
      </c>
      <c r="AF13" s="337">
        <f>SUMIFS(BS_RE33!$H$7:$H$874,BS_RE33!$S$7:$S$874,$AF$2,BS_RE33!$N$7:$N$874,I13,BS_RE33!$P$7:$P$874,'30 days CF Table(USD)'!G13,BS_RE33!$F$7:$F$874,'30 days CF Table(USD)'!$C$2)</f>
        <v>0</v>
      </c>
      <c r="AG13" s="337">
        <f>SUMIFS(BS_RE33!$H$7:$H$874,BS_RE33!$S$7:$S$874,$AG$2,BS_RE33!$N$7:$N$874,I13,BS_RE33!$P$7:$P$874,'30 days CF Table(USD)'!G13,BS_RE33!$F$7:$F$874,'30 days CF Table(USD)'!$C$2)</f>
        <v>0</v>
      </c>
      <c r="AH13" s="337">
        <f>SUMIFS(BS_RE33!$H$7:$H$874,BS_RE33!$S$7:$S$874,$AH$2,BS_RE33!$N$7:$N$874,I13,BS_RE33!$P$7:$P$874,'30 days CF Table(USD)'!G13,BS_RE33!$F$7:$F$874,'30 days CF Table(USD)'!$C$2)</f>
        <v>0</v>
      </c>
      <c r="AI13" s="337">
        <f>SUMIFS(BS_RE33!$H$7:$H$874,BS_RE33!$S$7:$S$874,$AI$2,BS_RE33!$N$7:$N$874,I13,BS_RE33!$P$7:$P$874,'30 days CF Table(USD)'!G13,BS_RE33!$F$7:$F$874,'30 days CF Table(USD)'!$C$2)</f>
        <v>0</v>
      </c>
      <c r="AJ13" s="337">
        <f>SUMIFS(BS_RE33!$H$7:$H$874,BS_RE33!$S$7:$S$874,$AJ$2,BS_RE33!$N$7:$N$874,I13,BS_RE33!$P$7:$P$874,'30 days CF Table(USD)'!G13,BS_RE33!$F$7:$F$874,'30 days CF Table(USD)'!$C$2)</f>
        <v>0</v>
      </c>
      <c r="AK13" s="337">
        <f>SUMIFS(BS_RE33!$H$7:$H$874,BS_RE33!$S$7:$S$874,$AK$2,BS_RE33!$N$7:$N$874,I13,BS_RE33!$P$7:$P$874,'30 days CF Table(USD)'!G13,BS_RE33!$F$7:$F$874,'30 days CF Table(USD)'!$C$2)</f>
        <v>0</v>
      </c>
      <c r="AL13" s="337">
        <f>SUMIFS(BS_RE33!$H$7:$H$874,BS_RE33!$S$7:$S$874,$AL$2,BS_RE33!$N$7:$N$874,I13,BS_RE33!$P$7:$P$874,'30 days CF Table(USD)'!G13,BS_RE33!$F$7:$F$874,'30 days CF Table(USD)'!$C$2)</f>
        <v>0</v>
      </c>
      <c r="AM13" s="337">
        <f>SUMIFS(BS_RE33!$H$7:$H$874,BS_RE33!$S$7:$S$874,$AM$2,BS_RE33!$N$7:$N$874,I13,BS_RE33!$P$7:$P$874,'30 days CF Table(USD)'!G13,BS_RE33!$F$7:$F$874,'30 days CF Table(USD)'!$C$2)</f>
        <v>0</v>
      </c>
      <c r="AN13" s="337">
        <f>SUMIFS(BS_RE33!$H$7:$H$874,BS_RE33!$S$7:$S$874,$AN$2,BS_RE33!$N$7:$N$874,I13,BS_RE33!$P$7:$P$874,'30 days CF Table(USD)'!G13,BS_RE33!$F$7:$F$874,'30 days CF Table(USD)'!$C$2)</f>
        <v>0</v>
      </c>
      <c r="AO13" s="337">
        <f>SUMIFS(BS_RE33!$H$7:$H$874,BS_RE33!$S$7:$S$874,$AO$2,BS_RE33!$N$7:$N$874,I13,BS_RE33!$P$7:$P$874,'30 days CF Table(USD)'!G13,BS_RE33!$F$7:$F$874,'30 days CF Table(USD)'!$C$2)</f>
        <v>0</v>
      </c>
      <c r="AP13" s="338">
        <f>SUMIFS(BS_RE33!$H$7:$H$874,BS_RE33!$S$7:$S$874,$AP$2,BS_RE33!$N$7:$N$874,I13,BS_RE33!$P$7:$P$874,'30 days CF Table(USD)'!G13,BS_RE33!$F$7:$F$874,'30 days CF Table(USD)'!$C$2)</f>
        <v>0</v>
      </c>
      <c r="AQ13" s="545"/>
      <c r="AR13" s="379">
        <f>SUMIFS(BS_RE33!$H$7:$H$874,BS_RE33!$S$7:$S$874,$AR$2,BS_RE33!$N$7:$N$874,I13,BS_RE33!$P$7:$P$874,'30 days CF Table(USD)'!G13,BS_RE33!$F$7:$F$874,'30 days CF Table(USD)'!$C$2)</f>
        <v>0</v>
      </c>
      <c r="AS13" s="379">
        <f>SUMIFS(BS_RE33!$H$7:$H$874,BS_RE33!$S$7:$S$874,$AS$2,BS_RE33!$N$7:$N$874,I13,BS_RE33!$P$7:$P$874,'30 days CF Table(USD)'!G13,BS_RE33!$F$7:$F$874,'30 days CF Table(USD)'!$C$2)</f>
        <v>0</v>
      </c>
      <c r="AT13" s="379">
        <f>SUMIFS(BS_RE33!$H$7:$H$874,BS_RE33!$S$7:$S$874,$AT$2,BS_RE33!$N$7:$N$874,I13,BS_RE33!$P$7:$P$874,'30 days CF Table(USD)'!G13,BS_RE33!$F$7:$F$874,'30 days CF Table(USD)'!$C$2)</f>
        <v>0</v>
      </c>
      <c r="AU13" s="379">
        <f>SUMIFS(BS_RE33!$H$7:$H$874,BS_RE33!$S$7:$S$874,$AU$2,BS_RE33!$N$7:$N$874,I13,BS_RE33!$P$7:$P$874,'30 days CF Table(USD)'!G13,BS_RE33!$F$7:$F$874,'30 days CF Table(USD)'!$C$2)</f>
        <v>0</v>
      </c>
      <c r="AV13" s="379">
        <f>SUMIFS(BS_RE33!$H$7:$H$874,BS_RE33!$S$7:$S$874,$AV$2,BS_RE33!$N$7:$N$874,I13,BS_RE33!$P$7:$P$874,'30 days CF Table(USD)'!G13,BS_RE33!$F$7:$F$874,'30 days CF Table(USD)'!$C$2)</f>
        <v>0</v>
      </c>
      <c r="AW13" s="379">
        <f>SUMIFS(BS_RE33!$H$7:$H$874,BS_RE33!$S$7:$S$874,$AW$2,BS_RE33!$N$7:$N$874,I13,BS_RE33!$P$7:$P$874,'30 days CF Table(USD)'!G13,BS_RE33!$F$7:$F$874,'30 days CF Table(USD)'!$C$2)</f>
        <v>0</v>
      </c>
      <c r="AX13" s="379">
        <f>SUMIFS(BS_RE33!$H$7:$H$874,BS_RE33!$S$7:$S$874,$AX$2,BS_RE33!$N$7:$N$874,I13,BS_RE33!$P$7:$P$874,'30 days CF Table(USD)'!G13,BS_RE33!$F$7:$F$874,'30 days CF Table(USD)'!$C$2)</f>
        <v>0</v>
      </c>
      <c r="AY13" s="379">
        <f>SUMIFS(BS_RE33!$H$7:$H$874,BS_RE33!$S$7:$S$874,$AY$2,BS_RE33!$N$7:$N$874,I13,BS_RE33!$P$7:$P$874,'30 days CF Table(USD)'!G13,BS_RE33!$F$7:$F$874,'30 days CF Table(USD)'!$C$2)</f>
        <v>0</v>
      </c>
      <c r="AZ13" s="379">
        <f>SUMIFS(BS_RE33!$H$7:$H$874,BS_RE33!$S$7:$S$874,$AZ$2,BS_RE33!$N$7:$N$874,I13,BS_RE33!$P$7:$P$874,'30 days CF Table(USD)'!G13,BS_RE33!$F$7:$F$874,'30 days CF Table(USD)'!$C$2)</f>
        <v>0</v>
      </c>
      <c r="BA13" s="379">
        <f>SUMIFS(BS_RE33!$H$7:$H$874,BS_RE33!$S$7:$S$874,$BA$2,BS_RE33!$N$7:$N$874,I13,BS_RE33!$P$7:$P$874,'30 days CF Table(USD)'!G13,BS_RE33!$F$7:$F$874,'30 days CF Table(USD)'!$C$2)</f>
        <v>0</v>
      </c>
      <c r="BB13" s="379">
        <f>SUMIFS(BS_RE33!$H$7:$H$874,BS_RE33!$S$7:$S$874,$BB$2,BS_RE33!$N$7:$N$874,I13,BS_RE33!$P$7:$P$874,'30 days CF Table(USD)'!G13,BS_RE33!$F$7:$F$874,'30 days CF Table(USD)'!$C$2)</f>
        <v>0</v>
      </c>
      <c r="BC13" s="379">
        <f>SUMIFS(BS_RE33!$H$7:$H$874,BS_RE33!$S$7:$S$874,$BC$2,BS_RE33!$N$7:$N$874,I13,BS_RE33!$P$7:$P$874,'30 days CF Table(USD)'!G13,BS_RE33!$F$7:$F$874,'30 days CF Table(USD)'!$C$2)</f>
        <v>0</v>
      </c>
      <c r="BD13" s="379">
        <f>SUMIFS(BS_RE33!$H$7:$H$874,BS_RE33!$S$7:$S$874,$BD$2,BS_RE33!$N$7:$N$874,I13,BS_RE33!$P$7:$P$874,'30 days CF Table(USD)'!G13,BS_RE33!$F$7:$F$874,'30 days CF Table(USD)'!$C$2)</f>
        <v>0</v>
      </c>
      <c r="BE13" s="379">
        <f>SUMIFS(BS_RE33!$H$7:$H$874,BS_RE33!$S$7:$S$874,$BE$2,BS_RE33!$N$7:$N$874,I13,BS_RE33!$P$7:$P$874,'30 days CF Table(USD)'!G13,BS_RE33!$F$7:$F$874,'30 days CF Table(USD)'!$C$2)</f>
        <v>0</v>
      </c>
      <c r="BF13" s="379">
        <f>SUMIFS(BS_RE33!$H$7:$H$874,BS_RE33!$S$7:$S$874,$BF$2,BS_RE33!$N$7:$N$874,I13,BS_RE33!$P$7:$P$874,'30 days CF Table(USD)'!G13,BS_RE33!$F$7:$F$874,'30 days CF Table(USD)'!$C$2)</f>
        <v>0</v>
      </c>
      <c r="BG13" s="379">
        <f>SUMIFS(BS_RE33!$H$7:$H$874,BS_RE33!$S$7:$S$874,$BG$2,BS_RE33!$N$7:$N$874,I13,BS_RE33!$P$7:$P$874,'30 days CF Table(USD)'!G13,BS_RE33!$F$7:$F$874,'30 days CF Table(USD)'!$C$2)</f>
        <v>0</v>
      </c>
      <c r="BH13" s="379">
        <f>SUMIFS(BS_RE33!$H$7:$H$874,BS_RE33!$S$7:$S$874,$BH$2,BS_RE33!$N$7:$N$874,I13,BS_RE33!$P$7:$P$874,'30 days CF Table(USD)'!G13,BS_RE33!$F$7:$F$874,'30 days CF Table(USD)'!$C$2)</f>
        <v>0</v>
      </c>
      <c r="BI13" s="379">
        <f>SUMIFS(BS_RE33!$H$7:$H$874,BS_RE33!$S$7:$S$874,$BI$2,BS_RE33!$N$7:$N$874,I13,BS_RE33!$P$7:$P$874,'30 days CF Table(USD)'!G13,BS_RE33!$F$7:$F$874,'30 days CF Table(USD)'!$C$2)</f>
        <v>0</v>
      </c>
      <c r="BJ13" s="379">
        <f>SUMIFS(BS_RE33!$H$7:$H$874,BS_RE33!$S$7:$S$874,$BJ$2,BS_RE33!$N$7:$N$874,I13,BS_RE33!$P$7:$P$874,'30 days CF Table(USD)'!G13,BS_RE33!$F$7:$F$874,'30 days CF Table(USD)'!$C$2)</f>
        <v>0</v>
      </c>
      <c r="BK13" s="379">
        <f>SUMIFS(BS_RE33!$H$7:$H$874,BS_RE33!$S$7:$S$874,$BK$2,BS_RE33!$N$7:$N$874,I13,BS_RE33!$P$7:$P$874,'30 days CF Table(USD)'!G13,BS_RE33!$F$7:$F$874,'30 days CF Table(USD)'!$C$2)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Table(USD)'!G14,BS_RE33!$F$7:$F$874,'30 days CF Table(USD)'!$C$2)</f>
        <v>0</v>
      </c>
      <c r="M14" s="337">
        <f>SUMIFS(BS_RE33!$H$7:$H$874,BS_RE33!$S$7:$S$874,$M$2,BS_RE33!$N$7:$N$874,I14,BS_RE33!$P$7:$P$874,'30 days CF Table(USD)'!G14,BS_RE33!$F$7:$F$874,'30 days CF Table(USD)'!$C$2)</f>
        <v>0</v>
      </c>
      <c r="N14" s="337">
        <f>SUMIFS(BS_RE33!$H$7:$H$874,BS_RE33!$S$7:$S$874,$N$2,BS_RE33!$N$7:$N$874,I14,BS_RE33!$P$7:$P$874,'30 days CF Table(USD)'!G14,BS_RE33!$F$7:$F$874,'30 days CF Table(USD)'!$C$2)</f>
        <v>0</v>
      </c>
      <c r="O14" s="337">
        <f>SUMIFS(BS_RE33!$H$7:$H$874,BS_RE33!$S$7:$S$874,$O$2,BS_RE33!$N$7:$N$874,I14,BS_RE33!$P$7:$P$874,'30 days CF Table(USD)'!G14,BS_RE33!$F$7:$F$874,'30 days CF Table(USD)'!$C$2)</f>
        <v>0</v>
      </c>
      <c r="P14" s="337">
        <f>SUMIFS(BS_RE33!$H$7:$H$874,BS_RE33!$S$7:$S$874,$P$2,BS_RE33!$N$7:$N$874,I14,BS_RE33!$P$7:$P$874,'30 days CF Table(USD)'!G14,BS_RE33!$F$7:$F$874,'30 days CF Table(USD)'!$C$2)</f>
        <v>0</v>
      </c>
      <c r="Q14" s="337">
        <f>SUMIFS(BS_RE33!$H$7:$H$874,BS_RE33!$S$7:$S$874,$Q$2,BS_RE33!$N$7:$N$874,I14,BS_RE33!$P$7:$P$874,'30 days CF Table(USD)'!G14,BS_RE33!$F$7:$F$874,'30 days CF Table(USD)'!$C$2)</f>
        <v>0</v>
      </c>
      <c r="R14" s="337">
        <f>SUMIFS(BS_RE33!$H$7:$H$874,BS_RE33!$S$7:$S$874,$R$2,BS_RE33!$N$7:$N$874,I14,BS_RE33!$P$7:$P$874,'30 days CF Table(USD)'!G14,BS_RE33!$F$7:$F$874,'30 days CF Table(USD)'!$C$2)</f>
        <v>0</v>
      </c>
      <c r="S14" s="337">
        <f>SUMIFS(BS_RE33!$H$7:$H$874,BS_RE33!$S$7:$S$874,$S$2,BS_RE33!$N$7:$N$874,I14,BS_RE33!$P$7:$P$874,'30 days CF Table(USD)'!G14,BS_RE33!$F$7:$F$874,'30 days CF Table(USD)'!$C$2)</f>
        <v>0</v>
      </c>
      <c r="T14" s="337">
        <f>SUMIFS(BS_RE33!$H$7:$H$874,BS_RE33!$S$7:$S$874,$T$2,BS_RE33!$N$7:$N$874,I14,BS_RE33!$P$7:$P$874,'30 days CF Table(USD)'!G14,BS_RE33!$F$7:$F$874,'30 days CF Table(USD)'!$C$2)</f>
        <v>0</v>
      </c>
      <c r="U14" s="337">
        <f>SUMIFS(BS_RE33!$H$7:$H$874,BS_RE33!$S$7:$S$874,$U$2,BS_RE33!$N$7:$N$874,I14,BS_RE33!$P$7:$P$874,'30 days CF Table(USD)'!G14,BS_RE33!$F$7:$F$874,'30 days CF Table(USD)'!$C$2)</f>
        <v>0</v>
      </c>
      <c r="V14" s="337">
        <f>SUMIFS(BS_RE33!$H$7:$H$874,BS_RE33!$S$7:$S$874,$V$2,BS_RE33!$N$7:$N$874,I14,BS_RE33!$P$7:$P$874,'30 days CF Table(USD)'!G14,BS_RE33!$F$7:$F$874,'30 days CF Table(USD)'!$C$2)</f>
        <v>0</v>
      </c>
      <c r="W14" s="337">
        <f>SUMIFS(BS_RE33!$H$7:$H$874,BS_RE33!$S$7:$S$874,$W$2,BS_RE33!$N$7:$N$874,I14,BS_RE33!$P$7:$P$874,'30 days CF Table(USD)'!G14,BS_RE33!$F$7:$F$874,'30 days CF Table(USD)'!$C$2)</f>
        <v>0</v>
      </c>
      <c r="X14" s="337">
        <f>SUMIFS(BS_RE33!$H$7:$H$874,BS_RE33!$S$7:$S$874,$X$2,BS_RE33!$N$7:$N$874,I14,BS_RE33!$P$7:$P$874,'30 days CF Table(USD)'!G14,BS_RE33!$F$7:$F$874,'30 days CF Table(USD)'!$C$2)</f>
        <v>0</v>
      </c>
      <c r="Y14" s="337">
        <f>SUMIFS(BS_RE33!$H$7:$H$874,BS_RE33!$S$7:$S$874,$Y$2,BS_RE33!$N$7:$N$874,I14,BS_RE33!$P$7:$P$874,'30 days CF Table(USD)'!G14,BS_RE33!$F$7:$F$874,'30 days CF Table(USD)'!$C$2)</f>
        <v>0</v>
      </c>
      <c r="Z14" s="337">
        <f>SUMIFS(BS_RE33!$H$7:$H$874,BS_RE33!$S$7:$S$874,$Z$2,BS_RE33!$N$7:$N$874,I14,BS_RE33!$P$7:$P$874,'30 days CF Table(USD)'!G14,BS_RE33!$F$7:$F$874,'30 days CF Table(USD)'!$C$2)</f>
        <v>0</v>
      </c>
      <c r="AA14" s="337">
        <f>SUMIFS(BS_RE33!$H$7:$H$874,BS_RE33!$S$7:$S$874,$AA$2,BS_RE33!$N$7:$N$874,I14,BS_RE33!$P$7:$P$874,'30 days CF Table(USD)'!G14,BS_RE33!$F$7:$F$874,'30 days CF Table(USD)'!$C$2)</f>
        <v>0</v>
      </c>
      <c r="AB14" s="337">
        <f>SUMIFS(BS_RE33!$H$7:$H$874,BS_RE33!$S$7:$S$874,$AB$2,BS_RE33!$N$7:$N$874,I14,BS_RE33!$P$7:$P$874,'30 days CF Table(USD)'!G14,BS_RE33!$F$7:$F$874,'30 days CF Table(USD)'!$C$2)</f>
        <v>0</v>
      </c>
      <c r="AC14" s="337">
        <f>SUMIFS(BS_RE33!$H$7:$H$874,BS_RE33!$S$7:$S$874,$AC$2,BS_RE33!$N$7:$N$874,I14,BS_RE33!$P$7:$P$874,'30 days CF Table(USD)'!G14,BS_RE33!$F$7:$F$874,'30 days CF Table(USD)'!$C$2)</f>
        <v>0</v>
      </c>
      <c r="AD14" s="337">
        <f>SUMIFS(BS_RE33!$H$7:$H$874,BS_RE33!$S$7:$S$874,$AD$2,BS_RE33!$N$7:$N$874,I14,BS_RE33!$P$7:$P$874,'30 days CF Table(USD)'!G14,BS_RE33!$F$7:$F$874,'30 days CF Table(USD)'!$C$2)</f>
        <v>0</v>
      </c>
      <c r="AE14" s="337">
        <f>SUMIFS(BS_RE33!$H$7:$H$874,BS_RE33!$S$7:$S$874,$AE$2,BS_RE33!$N$7:$N$874,I14,BS_RE33!$P$7:$P$874,'30 days CF Table(USD)'!G14,BS_RE33!$F$7:$F$874,'30 days CF Table(USD)'!$C$2)</f>
        <v>0</v>
      </c>
      <c r="AF14" s="337">
        <f>SUMIFS(BS_RE33!$H$7:$H$874,BS_RE33!$S$7:$S$874,$AF$2,BS_RE33!$N$7:$N$874,I14,BS_RE33!$P$7:$P$874,'30 days CF Table(USD)'!G14,BS_RE33!$F$7:$F$874,'30 days CF Table(USD)'!$C$2)</f>
        <v>0</v>
      </c>
      <c r="AG14" s="337">
        <f>SUMIFS(BS_RE33!$H$7:$H$874,BS_RE33!$S$7:$S$874,$AG$2,BS_RE33!$N$7:$N$874,I14,BS_RE33!$P$7:$P$874,'30 days CF Table(USD)'!G14,BS_RE33!$F$7:$F$874,'30 days CF Table(USD)'!$C$2)</f>
        <v>0</v>
      </c>
      <c r="AH14" s="337">
        <f>SUMIFS(BS_RE33!$H$7:$H$874,BS_RE33!$S$7:$S$874,$AH$2,BS_RE33!$N$7:$N$874,I14,BS_RE33!$P$7:$P$874,'30 days CF Table(USD)'!G14,BS_RE33!$F$7:$F$874,'30 days CF Table(USD)'!$C$2)</f>
        <v>0</v>
      </c>
      <c r="AI14" s="337">
        <f>SUMIFS(BS_RE33!$H$7:$H$874,BS_RE33!$S$7:$S$874,$AI$2,BS_RE33!$N$7:$N$874,I14,BS_RE33!$P$7:$P$874,'30 days CF Table(USD)'!G14,BS_RE33!$F$7:$F$874,'30 days CF Table(USD)'!$C$2)</f>
        <v>0</v>
      </c>
      <c r="AJ14" s="337">
        <f>SUMIFS(BS_RE33!$H$7:$H$874,BS_RE33!$S$7:$S$874,$AJ$2,BS_RE33!$N$7:$N$874,I14,BS_RE33!$P$7:$P$874,'30 days CF Table(USD)'!G14,BS_RE33!$F$7:$F$874,'30 days CF Table(USD)'!$C$2)</f>
        <v>0</v>
      </c>
      <c r="AK14" s="337">
        <f>SUMIFS(BS_RE33!$H$7:$H$874,BS_RE33!$S$7:$S$874,$AK$2,BS_RE33!$N$7:$N$874,I14,BS_RE33!$P$7:$P$874,'30 days CF Table(USD)'!G14,BS_RE33!$F$7:$F$874,'30 days CF Table(USD)'!$C$2)</f>
        <v>0</v>
      </c>
      <c r="AL14" s="337">
        <f>SUMIFS(BS_RE33!$H$7:$H$874,BS_RE33!$S$7:$S$874,$AL$2,BS_RE33!$N$7:$N$874,I14,BS_RE33!$P$7:$P$874,'30 days CF Table(USD)'!G14,BS_RE33!$F$7:$F$874,'30 days CF Table(USD)'!$C$2)</f>
        <v>0</v>
      </c>
      <c r="AM14" s="337">
        <f>SUMIFS(BS_RE33!$H$7:$H$874,BS_RE33!$S$7:$S$874,$AM$2,BS_RE33!$N$7:$N$874,I14,BS_RE33!$P$7:$P$874,'30 days CF Table(USD)'!G14,BS_RE33!$F$7:$F$874,'30 days CF Table(USD)'!$C$2)</f>
        <v>0</v>
      </c>
      <c r="AN14" s="337">
        <f>SUMIFS(BS_RE33!$H$7:$H$874,BS_RE33!$S$7:$S$874,$AN$2,BS_RE33!$N$7:$N$874,I14,BS_RE33!$P$7:$P$874,'30 days CF Table(USD)'!G14,BS_RE33!$F$7:$F$874,'30 days CF Table(USD)'!$C$2)</f>
        <v>0</v>
      </c>
      <c r="AO14" s="337">
        <f>SUMIFS(BS_RE33!$H$7:$H$874,BS_RE33!$S$7:$S$874,$AO$2,BS_RE33!$N$7:$N$874,I14,BS_RE33!$P$7:$P$874,'30 days CF Table(USD)'!G14,BS_RE33!$F$7:$F$874,'30 days CF Table(USD)'!$C$2)</f>
        <v>0</v>
      </c>
      <c r="AP14" s="338">
        <f>SUMIFS(BS_RE33!$H$7:$H$874,BS_RE33!$S$7:$S$874,$AP$2,BS_RE33!$N$7:$N$874,I14,BS_RE33!$P$7:$P$874,'30 days CF Table(USD)'!G14,BS_RE33!$F$7:$F$874,'30 days CF Table(USD)'!$C$2)</f>
        <v>0</v>
      </c>
      <c r="AQ14" s="545"/>
      <c r="AR14" s="379">
        <f>SUMIFS(BS_RE33!$H$7:$H$874,BS_RE33!$S$7:$S$874,$AR$2,BS_RE33!$N$7:$N$874,I14,BS_RE33!$P$7:$P$874,'30 days CF Table(USD)'!G14,BS_RE33!$F$7:$F$874,'30 days CF Table(USD)'!$C$2)</f>
        <v>0</v>
      </c>
      <c r="AS14" s="379">
        <f>SUMIFS(BS_RE33!$H$7:$H$874,BS_RE33!$S$7:$S$874,$AS$2,BS_RE33!$N$7:$N$874,I14,BS_RE33!$P$7:$P$874,'30 days CF Table(USD)'!G14,BS_RE33!$F$7:$F$874,'30 days CF Table(USD)'!$C$2)</f>
        <v>0</v>
      </c>
      <c r="AT14" s="379">
        <f>SUMIFS(BS_RE33!$H$7:$H$874,BS_RE33!$S$7:$S$874,$AT$2,BS_RE33!$N$7:$N$874,I14,BS_RE33!$P$7:$P$874,'30 days CF Table(USD)'!G14,BS_RE33!$F$7:$F$874,'30 days CF Table(USD)'!$C$2)</f>
        <v>0</v>
      </c>
      <c r="AU14" s="379">
        <f>SUMIFS(BS_RE33!$H$7:$H$874,BS_RE33!$S$7:$S$874,$AU$2,BS_RE33!$N$7:$N$874,I14,BS_RE33!$P$7:$P$874,'30 days CF Table(USD)'!G14,BS_RE33!$F$7:$F$874,'30 days CF Table(USD)'!$C$2)</f>
        <v>0</v>
      </c>
      <c r="AV14" s="379">
        <f>SUMIFS(BS_RE33!$H$7:$H$874,BS_RE33!$S$7:$S$874,$AV$2,BS_RE33!$N$7:$N$874,I14,BS_RE33!$P$7:$P$874,'30 days CF Table(USD)'!G14,BS_RE33!$F$7:$F$874,'30 days CF Table(USD)'!$C$2)</f>
        <v>0</v>
      </c>
      <c r="AW14" s="379">
        <f>SUMIFS(BS_RE33!$H$7:$H$874,BS_RE33!$S$7:$S$874,$AW$2,BS_RE33!$N$7:$N$874,I14,BS_RE33!$P$7:$P$874,'30 days CF Table(USD)'!G14,BS_RE33!$F$7:$F$874,'30 days CF Table(USD)'!$C$2)</f>
        <v>0</v>
      </c>
      <c r="AX14" s="379">
        <f>SUMIFS(BS_RE33!$H$7:$H$874,BS_RE33!$S$7:$S$874,$AX$2,BS_RE33!$N$7:$N$874,I14,BS_RE33!$P$7:$P$874,'30 days CF Table(USD)'!G14,BS_RE33!$F$7:$F$874,'30 days CF Table(USD)'!$C$2)</f>
        <v>0</v>
      </c>
      <c r="AY14" s="379">
        <f>SUMIFS(BS_RE33!$H$7:$H$874,BS_RE33!$S$7:$S$874,$AY$2,BS_RE33!$N$7:$N$874,I14,BS_RE33!$P$7:$P$874,'30 days CF Table(USD)'!G14,BS_RE33!$F$7:$F$874,'30 days CF Table(USD)'!$C$2)</f>
        <v>0</v>
      </c>
      <c r="AZ14" s="379">
        <f>SUMIFS(BS_RE33!$H$7:$H$874,BS_RE33!$S$7:$S$874,$AZ$2,BS_RE33!$N$7:$N$874,I14,BS_RE33!$P$7:$P$874,'30 days CF Table(USD)'!G14,BS_RE33!$F$7:$F$874,'30 days CF Table(USD)'!$C$2)</f>
        <v>0</v>
      </c>
      <c r="BA14" s="379">
        <f>SUMIFS(BS_RE33!$H$7:$H$874,BS_RE33!$S$7:$S$874,$BA$2,BS_RE33!$N$7:$N$874,I14,BS_RE33!$P$7:$P$874,'30 days CF Table(USD)'!G14,BS_RE33!$F$7:$F$874,'30 days CF Table(USD)'!$C$2)</f>
        <v>0</v>
      </c>
      <c r="BB14" s="379">
        <f>SUMIFS(BS_RE33!$H$7:$H$874,BS_RE33!$S$7:$S$874,$BB$2,BS_RE33!$N$7:$N$874,I14,BS_RE33!$P$7:$P$874,'30 days CF Table(USD)'!G14,BS_RE33!$F$7:$F$874,'30 days CF Table(USD)'!$C$2)</f>
        <v>0</v>
      </c>
      <c r="BC14" s="379">
        <f>SUMIFS(BS_RE33!$H$7:$H$874,BS_RE33!$S$7:$S$874,$BC$2,BS_RE33!$N$7:$N$874,I14,BS_RE33!$P$7:$P$874,'30 days CF Table(USD)'!G14,BS_RE33!$F$7:$F$874,'30 days CF Table(USD)'!$C$2)</f>
        <v>0</v>
      </c>
      <c r="BD14" s="379">
        <f>SUMIFS(BS_RE33!$H$7:$H$874,BS_RE33!$S$7:$S$874,$BD$2,BS_RE33!$N$7:$N$874,I14,BS_RE33!$P$7:$P$874,'30 days CF Table(USD)'!G14,BS_RE33!$F$7:$F$874,'30 days CF Table(USD)'!$C$2)</f>
        <v>0</v>
      </c>
      <c r="BE14" s="379">
        <f>SUMIFS(BS_RE33!$H$7:$H$874,BS_RE33!$S$7:$S$874,$BE$2,BS_RE33!$N$7:$N$874,I14,BS_RE33!$P$7:$P$874,'30 days CF Table(USD)'!G14,BS_RE33!$F$7:$F$874,'30 days CF Table(USD)'!$C$2)</f>
        <v>0</v>
      </c>
      <c r="BF14" s="379">
        <f>SUMIFS(BS_RE33!$H$7:$H$874,BS_RE33!$S$7:$S$874,$BF$2,BS_RE33!$N$7:$N$874,I14,BS_RE33!$P$7:$P$874,'30 days CF Table(USD)'!G14,BS_RE33!$F$7:$F$874,'30 days CF Table(USD)'!$C$2)</f>
        <v>0</v>
      </c>
      <c r="BG14" s="379">
        <f>SUMIFS(BS_RE33!$H$7:$H$874,BS_RE33!$S$7:$S$874,$BG$2,BS_RE33!$N$7:$N$874,I14,BS_RE33!$P$7:$P$874,'30 days CF Table(USD)'!G14,BS_RE33!$F$7:$F$874,'30 days CF Table(USD)'!$C$2)</f>
        <v>0</v>
      </c>
      <c r="BH14" s="379">
        <f>SUMIFS(BS_RE33!$H$7:$H$874,BS_RE33!$S$7:$S$874,$BH$2,BS_RE33!$N$7:$N$874,I14,BS_RE33!$P$7:$P$874,'30 days CF Table(USD)'!G14,BS_RE33!$F$7:$F$874,'30 days CF Table(USD)'!$C$2)</f>
        <v>0</v>
      </c>
      <c r="BI14" s="379">
        <f>SUMIFS(BS_RE33!$H$7:$H$874,BS_RE33!$S$7:$S$874,$BI$2,BS_RE33!$N$7:$N$874,I14,BS_RE33!$P$7:$P$874,'30 days CF Table(USD)'!G14,BS_RE33!$F$7:$F$874,'30 days CF Table(USD)'!$C$2)</f>
        <v>0</v>
      </c>
      <c r="BJ14" s="379">
        <f>SUMIFS(BS_RE33!$H$7:$H$874,BS_RE33!$S$7:$S$874,$BJ$2,BS_RE33!$N$7:$N$874,I14,BS_RE33!$P$7:$P$874,'30 days CF Table(USD)'!G14,BS_RE33!$F$7:$F$874,'30 days CF Table(USD)'!$C$2)</f>
        <v>0</v>
      </c>
      <c r="BK14" s="379">
        <f>SUMIFS(BS_RE33!$H$7:$H$874,BS_RE33!$S$7:$S$874,$BK$2,BS_RE33!$N$7:$N$874,I14,BS_RE33!$P$7:$P$874,'30 days CF Table(USD)'!G14,BS_RE33!$F$7:$F$874,'30 days CF Table(USD)'!$C$2)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Table(USD)'!G15,BS_RE33!$F$7:$F$874,'30 days CF Table(USD)'!$C$2)</f>
        <v>0</v>
      </c>
      <c r="M15" s="337">
        <f>SUMIFS(BS_RE33!$H$7:$H$874,BS_RE33!$S$7:$S$874,$M$2,BS_RE33!$N$7:$N$874,I15,BS_RE33!$P$7:$P$874,'30 days CF Table(USD)'!G15,BS_RE33!$F$7:$F$874,'30 days CF Table(USD)'!$C$2)</f>
        <v>0</v>
      </c>
      <c r="N15" s="337">
        <f>SUMIFS(BS_RE33!$H$7:$H$874,BS_RE33!$S$7:$S$874,$N$2,BS_RE33!$N$7:$N$874,I15,BS_RE33!$P$7:$P$874,'30 days CF Table(USD)'!G15,BS_RE33!$F$7:$F$874,'30 days CF Table(USD)'!$C$2)</f>
        <v>0</v>
      </c>
      <c r="O15" s="337">
        <f>SUMIFS(BS_RE33!$H$7:$H$874,BS_RE33!$S$7:$S$874,$O$2,BS_RE33!$N$7:$N$874,I15,BS_RE33!$P$7:$P$874,'30 days CF Table(USD)'!G15,BS_RE33!$F$7:$F$874,'30 days CF Table(USD)'!$C$2)</f>
        <v>0</v>
      </c>
      <c r="P15" s="337">
        <f>SUMIFS(BS_RE33!$H$7:$H$874,BS_RE33!$S$7:$S$874,$P$2,BS_RE33!$N$7:$N$874,I15,BS_RE33!$P$7:$P$874,'30 days CF Table(USD)'!G15,BS_RE33!$F$7:$F$874,'30 days CF Table(USD)'!$C$2)</f>
        <v>0</v>
      </c>
      <c r="Q15" s="337">
        <f>SUMIFS(BS_RE33!$H$7:$H$874,BS_RE33!$S$7:$S$874,$Q$2,BS_RE33!$N$7:$N$874,I15,BS_RE33!$P$7:$P$874,'30 days CF Table(USD)'!G15,BS_RE33!$F$7:$F$874,'30 days CF Table(USD)'!$C$2)</f>
        <v>0</v>
      </c>
      <c r="R15" s="337">
        <f>SUMIFS(BS_RE33!$H$7:$H$874,BS_RE33!$S$7:$S$874,$R$2,BS_RE33!$N$7:$N$874,I15,BS_RE33!$P$7:$P$874,'30 days CF Table(USD)'!G15,BS_RE33!$F$7:$F$874,'30 days CF Table(USD)'!$C$2)</f>
        <v>0</v>
      </c>
      <c r="S15" s="337">
        <f>SUMIFS(BS_RE33!$H$7:$H$874,BS_RE33!$S$7:$S$874,$S$2,BS_RE33!$N$7:$N$874,I15,BS_RE33!$P$7:$P$874,'30 days CF Table(USD)'!G15,BS_RE33!$F$7:$F$874,'30 days CF Table(USD)'!$C$2)</f>
        <v>0</v>
      </c>
      <c r="T15" s="337">
        <f>SUMIFS(BS_RE33!$H$7:$H$874,BS_RE33!$S$7:$S$874,$T$2,BS_RE33!$N$7:$N$874,I15,BS_RE33!$P$7:$P$874,'30 days CF Table(USD)'!G15,BS_RE33!$F$7:$F$874,'30 days CF Table(USD)'!$C$2)</f>
        <v>0</v>
      </c>
      <c r="U15" s="337">
        <f>SUMIFS(BS_RE33!$H$7:$H$874,BS_RE33!$S$7:$S$874,$U$2,BS_RE33!$N$7:$N$874,I15,BS_RE33!$P$7:$P$874,'30 days CF Table(USD)'!G15,BS_RE33!$F$7:$F$874,'30 days CF Table(USD)'!$C$2)</f>
        <v>0</v>
      </c>
      <c r="V15" s="337">
        <f>SUMIFS(BS_RE33!$H$7:$H$874,BS_RE33!$S$7:$S$874,$V$2,BS_RE33!$N$7:$N$874,I15,BS_RE33!$P$7:$P$874,'30 days CF Table(USD)'!G15,BS_RE33!$F$7:$F$874,'30 days CF Table(USD)'!$C$2)</f>
        <v>0</v>
      </c>
      <c r="W15" s="337">
        <f>SUMIFS(BS_RE33!$H$7:$H$874,BS_RE33!$S$7:$S$874,$W$2,BS_RE33!$N$7:$N$874,I15,BS_RE33!$P$7:$P$874,'30 days CF Table(USD)'!G15,BS_RE33!$F$7:$F$874,'30 days CF Table(USD)'!$C$2)</f>
        <v>0</v>
      </c>
      <c r="X15" s="337">
        <f>SUMIFS(BS_RE33!$H$7:$H$874,BS_RE33!$S$7:$S$874,$X$2,BS_RE33!$N$7:$N$874,I15,BS_RE33!$P$7:$P$874,'30 days CF Table(USD)'!G15,BS_RE33!$F$7:$F$874,'30 days CF Table(USD)'!$C$2)</f>
        <v>0</v>
      </c>
      <c r="Y15" s="337">
        <f>SUMIFS(BS_RE33!$H$7:$H$874,BS_RE33!$S$7:$S$874,$Y$2,BS_RE33!$N$7:$N$874,I15,BS_RE33!$P$7:$P$874,'30 days CF Table(USD)'!G15,BS_RE33!$F$7:$F$874,'30 days CF Table(USD)'!$C$2)</f>
        <v>0</v>
      </c>
      <c r="Z15" s="337">
        <f>SUMIFS(BS_RE33!$H$7:$H$874,BS_RE33!$S$7:$S$874,$Z$2,BS_RE33!$N$7:$N$874,I15,BS_RE33!$P$7:$P$874,'30 days CF Table(USD)'!G15,BS_RE33!$F$7:$F$874,'30 days CF Table(USD)'!$C$2)</f>
        <v>0</v>
      </c>
      <c r="AA15" s="337">
        <f>SUMIFS(BS_RE33!$H$7:$H$874,BS_RE33!$S$7:$S$874,$AA$2,BS_RE33!$N$7:$N$874,I15,BS_RE33!$P$7:$P$874,'30 days CF Table(USD)'!G15,BS_RE33!$F$7:$F$874,'30 days CF Table(USD)'!$C$2)</f>
        <v>0</v>
      </c>
      <c r="AB15" s="337">
        <f>SUMIFS(BS_RE33!$H$7:$H$874,BS_RE33!$S$7:$S$874,$AB$2,BS_RE33!$N$7:$N$874,I15,BS_RE33!$P$7:$P$874,'30 days CF Table(USD)'!G15,BS_RE33!$F$7:$F$874,'30 days CF Table(USD)'!$C$2)</f>
        <v>0</v>
      </c>
      <c r="AC15" s="337">
        <f>SUMIFS(BS_RE33!$H$7:$H$874,BS_RE33!$S$7:$S$874,$AC$2,BS_RE33!$N$7:$N$874,I15,BS_RE33!$P$7:$P$874,'30 days CF Table(USD)'!G15,BS_RE33!$F$7:$F$874,'30 days CF Table(USD)'!$C$2)</f>
        <v>0</v>
      </c>
      <c r="AD15" s="337">
        <f>SUMIFS(BS_RE33!$H$7:$H$874,BS_RE33!$S$7:$S$874,$AD$2,BS_RE33!$N$7:$N$874,I15,BS_RE33!$P$7:$P$874,'30 days CF Table(USD)'!G15,BS_RE33!$F$7:$F$874,'30 days CF Table(USD)'!$C$2)</f>
        <v>0</v>
      </c>
      <c r="AE15" s="337">
        <f>SUMIFS(BS_RE33!$H$7:$H$874,BS_RE33!$S$7:$S$874,$AE$2,BS_RE33!$N$7:$N$874,I15,BS_RE33!$P$7:$P$874,'30 days CF Table(USD)'!G15,BS_RE33!$F$7:$F$874,'30 days CF Table(USD)'!$C$2)</f>
        <v>0</v>
      </c>
      <c r="AF15" s="337">
        <f>SUMIFS(BS_RE33!$H$7:$H$874,BS_RE33!$S$7:$S$874,$AF$2,BS_RE33!$N$7:$N$874,I15,BS_RE33!$P$7:$P$874,'30 days CF Table(USD)'!G15,BS_RE33!$F$7:$F$874,'30 days CF Table(USD)'!$C$2)</f>
        <v>0</v>
      </c>
      <c r="AG15" s="337">
        <f>SUMIFS(BS_RE33!$H$7:$H$874,BS_RE33!$S$7:$S$874,$AG$2,BS_RE33!$N$7:$N$874,I15,BS_RE33!$P$7:$P$874,'30 days CF Table(USD)'!G15,BS_RE33!$F$7:$F$874,'30 days CF Table(USD)'!$C$2)</f>
        <v>0</v>
      </c>
      <c r="AH15" s="337">
        <f>SUMIFS(BS_RE33!$H$7:$H$874,BS_RE33!$S$7:$S$874,$AH$2,BS_RE33!$N$7:$N$874,I15,BS_RE33!$P$7:$P$874,'30 days CF Table(USD)'!G15,BS_RE33!$F$7:$F$874,'30 days CF Table(USD)'!$C$2)</f>
        <v>0</v>
      </c>
      <c r="AI15" s="337">
        <f>SUMIFS(BS_RE33!$H$7:$H$874,BS_RE33!$S$7:$S$874,$AI$2,BS_RE33!$N$7:$N$874,I15,BS_RE33!$P$7:$P$874,'30 days CF Table(USD)'!G15,BS_RE33!$F$7:$F$874,'30 days CF Table(USD)'!$C$2)</f>
        <v>0</v>
      </c>
      <c r="AJ15" s="337">
        <f>SUMIFS(BS_RE33!$H$7:$H$874,BS_RE33!$S$7:$S$874,$AJ$2,BS_RE33!$N$7:$N$874,I15,BS_RE33!$P$7:$P$874,'30 days CF Table(USD)'!G15,BS_RE33!$F$7:$F$874,'30 days CF Table(USD)'!$C$2)</f>
        <v>0</v>
      </c>
      <c r="AK15" s="337">
        <f>SUMIFS(BS_RE33!$H$7:$H$874,BS_RE33!$S$7:$S$874,$AK$2,BS_RE33!$N$7:$N$874,I15,BS_RE33!$P$7:$P$874,'30 days CF Table(USD)'!G15,BS_RE33!$F$7:$F$874,'30 days CF Table(USD)'!$C$2)</f>
        <v>0</v>
      </c>
      <c r="AL15" s="337">
        <f>SUMIFS(BS_RE33!$H$7:$H$874,BS_RE33!$S$7:$S$874,$AL$2,BS_RE33!$N$7:$N$874,I15,BS_RE33!$P$7:$P$874,'30 days CF Table(USD)'!G15,BS_RE33!$F$7:$F$874,'30 days CF Table(USD)'!$C$2)</f>
        <v>0</v>
      </c>
      <c r="AM15" s="337">
        <f>SUMIFS(BS_RE33!$H$7:$H$874,BS_RE33!$S$7:$S$874,$AM$2,BS_RE33!$N$7:$N$874,I15,BS_RE33!$P$7:$P$874,'30 days CF Table(USD)'!G15,BS_RE33!$F$7:$F$874,'30 days CF Table(USD)'!$C$2)</f>
        <v>0</v>
      </c>
      <c r="AN15" s="337">
        <f>SUMIFS(BS_RE33!$H$7:$H$874,BS_RE33!$S$7:$S$874,$AN$2,BS_RE33!$N$7:$N$874,I15,BS_RE33!$P$7:$P$874,'30 days CF Table(USD)'!G15,BS_RE33!$F$7:$F$874,'30 days CF Table(USD)'!$C$2)</f>
        <v>0</v>
      </c>
      <c r="AO15" s="337">
        <f>SUMIFS(BS_RE33!$H$7:$H$874,BS_RE33!$S$7:$S$874,$AO$2,BS_RE33!$N$7:$N$874,I15,BS_RE33!$P$7:$P$874,'30 days CF Table(USD)'!G15,BS_RE33!$F$7:$F$874,'30 days CF Table(USD)'!$C$2)</f>
        <v>0</v>
      </c>
      <c r="AP15" s="338">
        <f>SUMIFS(BS_RE33!$H$7:$H$874,BS_RE33!$S$7:$S$874,$AP$2,BS_RE33!$N$7:$N$874,I15,BS_RE33!$P$7:$P$874,'30 days CF Table(USD)'!G15,BS_RE33!$F$7:$F$874,'30 days CF Table(USD)'!$C$2)</f>
        <v>0</v>
      </c>
      <c r="AQ15" s="545"/>
      <c r="AR15" s="379">
        <f>SUMIFS(BS_RE33!$H$7:$H$874,BS_RE33!$S$7:$S$874,$AR$2,BS_RE33!$N$7:$N$874,I15,BS_RE33!$P$7:$P$874,'30 days CF Table(USD)'!G15,BS_RE33!$F$7:$F$874,'30 days CF Table(USD)'!$C$2)</f>
        <v>0</v>
      </c>
      <c r="AS15" s="379">
        <f>SUMIFS(BS_RE33!$H$7:$H$874,BS_RE33!$S$7:$S$874,$AS$2,BS_RE33!$N$7:$N$874,I15,BS_RE33!$P$7:$P$874,'30 days CF Table(USD)'!G15,BS_RE33!$F$7:$F$874,'30 days CF Table(USD)'!$C$2)</f>
        <v>0</v>
      </c>
      <c r="AT15" s="379">
        <f>SUMIFS(BS_RE33!$H$7:$H$874,BS_RE33!$S$7:$S$874,$AT$2,BS_RE33!$N$7:$N$874,I15,BS_RE33!$P$7:$P$874,'30 days CF Table(USD)'!G15,BS_RE33!$F$7:$F$874,'30 days CF Table(USD)'!$C$2)</f>
        <v>0</v>
      </c>
      <c r="AU15" s="379">
        <f>SUMIFS(BS_RE33!$H$7:$H$874,BS_RE33!$S$7:$S$874,$AU$2,BS_RE33!$N$7:$N$874,I15,BS_RE33!$P$7:$P$874,'30 days CF Table(USD)'!G15,BS_RE33!$F$7:$F$874,'30 days CF Table(USD)'!$C$2)</f>
        <v>0</v>
      </c>
      <c r="AV15" s="379">
        <f>SUMIFS(BS_RE33!$H$7:$H$874,BS_RE33!$S$7:$S$874,$AV$2,BS_RE33!$N$7:$N$874,I15,BS_RE33!$P$7:$P$874,'30 days CF Table(USD)'!G15,BS_RE33!$F$7:$F$874,'30 days CF Table(USD)'!$C$2)</f>
        <v>0</v>
      </c>
      <c r="AW15" s="379">
        <f>SUMIFS(BS_RE33!$H$7:$H$874,BS_RE33!$S$7:$S$874,$AW$2,BS_RE33!$N$7:$N$874,I15,BS_RE33!$P$7:$P$874,'30 days CF Table(USD)'!G15,BS_RE33!$F$7:$F$874,'30 days CF Table(USD)'!$C$2)</f>
        <v>0</v>
      </c>
      <c r="AX15" s="379">
        <f>SUMIFS(BS_RE33!$H$7:$H$874,BS_RE33!$S$7:$S$874,$AX$2,BS_RE33!$N$7:$N$874,I15,BS_RE33!$P$7:$P$874,'30 days CF Table(USD)'!G15,BS_RE33!$F$7:$F$874,'30 days CF Table(USD)'!$C$2)</f>
        <v>0</v>
      </c>
      <c r="AY15" s="379">
        <f>SUMIFS(BS_RE33!$H$7:$H$874,BS_RE33!$S$7:$S$874,$AY$2,BS_RE33!$N$7:$N$874,I15,BS_RE33!$P$7:$P$874,'30 days CF Table(USD)'!G15,BS_RE33!$F$7:$F$874,'30 days CF Table(USD)'!$C$2)</f>
        <v>0</v>
      </c>
      <c r="AZ15" s="379">
        <f>SUMIFS(BS_RE33!$H$7:$H$874,BS_RE33!$S$7:$S$874,$AZ$2,BS_RE33!$N$7:$N$874,I15,BS_RE33!$P$7:$P$874,'30 days CF Table(USD)'!G15,BS_RE33!$F$7:$F$874,'30 days CF Table(USD)'!$C$2)</f>
        <v>0</v>
      </c>
      <c r="BA15" s="379">
        <f>SUMIFS(BS_RE33!$H$7:$H$874,BS_RE33!$S$7:$S$874,$BA$2,BS_RE33!$N$7:$N$874,I15,BS_RE33!$P$7:$P$874,'30 days CF Table(USD)'!G15,BS_RE33!$F$7:$F$874,'30 days CF Table(USD)'!$C$2)</f>
        <v>0</v>
      </c>
      <c r="BB15" s="379">
        <f>SUMIFS(BS_RE33!$H$7:$H$874,BS_RE33!$S$7:$S$874,$BB$2,BS_RE33!$N$7:$N$874,I15,BS_RE33!$P$7:$P$874,'30 days CF Table(USD)'!G15,BS_RE33!$F$7:$F$874,'30 days CF Table(USD)'!$C$2)</f>
        <v>0</v>
      </c>
      <c r="BC15" s="379">
        <f>SUMIFS(BS_RE33!$H$7:$H$874,BS_RE33!$S$7:$S$874,$BC$2,BS_RE33!$N$7:$N$874,I15,BS_RE33!$P$7:$P$874,'30 days CF Table(USD)'!G15,BS_RE33!$F$7:$F$874,'30 days CF Table(USD)'!$C$2)</f>
        <v>0</v>
      </c>
      <c r="BD15" s="379">
        <f>SUMIFS(BS_RE33!$H$7:$H$874,BS_RE33!$S$7:$S$874,$BD$2,BS_RE33!$N$7:$N$874,I15,BS_RE33!$P$7:$P$874,'30 days CF Table(USD)'!G15,BS_RE33!$F$7:$F$874,'30 days CF Table(USD)'!$C$2)</f>
        <v>0</v>
      </c>
      <c r="BE15" s="379">
        <f>SUMIFS(BS_RE33!$H$7:$H$874,BS_RE33!$S$7:$S$874,$BE$2,BS_RE33!$N$7:$N$874,I15,BS_RE33!$P$7:$P$874,'30 days CF Table(USD)'!G15,BS_RE33!$F$7:$F$874,'30 days CF Table(USD)'!$C$2)</f>
        <v>0</v>
      </c>
      <c r="BF15" s="379">
        <f>SUMIFS(BS_RE33!$H$7:$H$874,BS_RE33!$S$7:$S$874,$BF$2,BS_RE33!$N$7:$N$874,I15,BS_RE33!$P$7:$P$874,'30 days CF Table(USD)'!G15,BS_RE33!$F$7:$F$874,'30 days CF Table(USD)'!$C$2)</f>
        <v>0</v>
      </c>
      <c r="BG15" s="379">
        <f>SUMIFS(BS_RE33!$H$7:$H$874,BS_RE33!$S$7:$S$874,$BG$2,BS_RE33!$N$7:$N$874,I15,BS_RE33!$P$7:$P$874,'30 days CF Table(USD)'!G15,BS_RE33!$F$7:$F$874,'30 days CF Table(USD)'!$C$2)</f>
        <v>0</v>
      </c>
      <c r="BH15" s="379">
        <f>SUMIFS(BS_RE33!$H$7:$H$874,BS_RE33!$S$7:$S$874,$BH$2,BS_RE33!$N$7:$N$874,I15,BS_RE33!$P$7:$P$874,'30 days CF Table(USD)'!G15,BS_RE33!$F$7:$F$874,'30 days CF Table(USD)'!$C$2)</f>
        <v>0</v>
      </c>
      <c r="BI15" s="379">
        <f>SUMIFS(BS_RE33!$H$7:$H$874,BS_RE33!$S$7:$S$874,$BI$2,BS_RE33!$N$7:$N$874,I15,BS_RE33!$P$7:$P$874,'30 days CF Table(USD)'!G15,BS_RE33!$F$7:$F$874,'30 days CF Table(USD)'!$C$2)</f>
        <v>0</v>
      </c>
      <c r="BJ15" s="379">
        <f>SUMIFS(BS_RE33!$H$7:$H$874,BS_RE33!$S$7:$S$874,$BJ$2,BS_RE33!$N$7:$N$874,I15,BS_RE33!$P$7:$P$874,'30 days CF Table(USD)'!G15,BS_RE33!$F$7:$F$874,'30 days CF Table(USD)'!$C$2)</f>
        <v>0</v>
      </c>
      <c r="BK15" s="379">
        <f>SUMIFS(BS_RE33!$H$7:$H$874,BS_RE33!$S$7:$S$874,$BK$2,BS_RE33!$N$7:$N$874,I15,BS_RE33!$P$7:$P$874,'30 days CF Table(USD)'!G15,BS_RE33!$F$7:$F$874,'30 days CF Table(USD)'!$C$2)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Table(USD)'!G16,BS_RE33!$F$7:$F$874,'30 days CF Table(USD)'!$C$2)</f>
        <v>0</v>
      </c>
      <c r="M16" s="337">
        <f>SUMIFS(BS_RE33!$H$7:$H$874,BS_RE33!$S$7:$S$874,$M$2,BS_RE33!$N$7:$N$874,I16,BS_RE33!$P$7:$P$874,'30 days CF Table(USD)'!G16,BS_RE33!$F$7:$F$874,'30 days CF Table(USD)'!$C$2)</f>
        <v>0</v>
      </c>
      <c r="N16" s="337">
        <f>SUMIFS(BS_RE33!$H$7:$H$874,BS_RE33!$S$7:$S$874,$N$2,BS_RE33!$N$7:$N$874,I16,BS_RE33!$P$7:$P$874,'30 days CF Table(USD)'!G16,BS_RE33!$F$7:$F$874,'30 days CF Table(USD)'!$C$2)</f>
        <v>0</v>
      </c>
      <c r="O16" s="337">
        <f>SUMIFS(BS_RE33!$H$7:$H$874,BS_RE33!$S$7:$S$874,$O$2,BS_RE33!$N$7:$N$874,I16,BS_RE33!$P$7:$P$874,'30 days CF Table(USD)'!G16,BS_RE33!$F$7:$F$874,'30 days CF Table(USD)'!$C$2)</f>
        <v>0</v>
      </c>
      <c r="P16" s="337">
        <f>SUMIFS(BS_RE33!$H$7:$H$874,BS_RE33!$S$7:$S$874,$P$2,BS_RE33!$N$7:$N$874,I16,BS_RE33!$P$7:$P$874,'30 days CF Table(USD)'!G16,BS_RE33!$F$7:$F$874,'30 days CF Table(USD)'!$C$2)</f>
        <v>0</v>
      </c>
      <c r="Q16" s="337">
        <f>SUMIFS(BS_RE33!$H$7:$H$874,BS_RE33!$S$7:$S$874,$Q$2,BS_RE33!$N$7:$N$874,I16,BS_RE33!$P$7:$P$874,'30 days CF Table(USD)'!G16,BS_RE33!$F$7:$F$874,'30 days CF Table(USD)'!$C$2)</f>
        <v>0</v>
      </c>
      <c r="R16" s="337">
        <f>SUMIFS(BS_RE33!$H$7:$H$874,BS_RE33!$S$7:$S$874,$R$2,BS_RE33!$N$7:$N$874,I16,BS_RE33!$P$7:$P$874,'30 days CF Table(USD)'!G16,BS_RE33!$F$7:$F$874,'30 days CF Table(USD)'!$C$2)</f>
        <v>0</v>
      </c>
      <c r="S16" s="337">
        <f>SUMIFS(BS_RE33!$H$7:$H$874,BS_RE33!$S$7:$S$874,$S$2,BS_RE33!$N$7:$N$874,I16,BS_RE33!$P$7:$P$874,'30 days CF Table(USD)'!G16,BS_RE33!$F$7:$F$874,'30 days CF Table(USD)'!$C$2)</f>
        <v>0</v>
      </c>
      <c r="T16" s="337">
        <f>SUMIFS(BS_RE33!$H$7:$H$874,BS_RE33!$S$7:$S$874,$T$2,BS_RE33!$N$7:$N$874,I16,BS_RE33!$P$7:$P$874,'30 days CF Table(USD)'!G16,BS_RE33!$F$7:$F$874,'30 days CF Table(USD)'!$C$2)</f>
        <v>0</v>
      </c>
      <c r="U16" s="337">
        <f>SUMIFS(BS_RE33!$H$7:$H$874,BS_RE33!$S$7:$S$874,$U$2,BS_RE33!$N$7:$N$874,I16,BS_RE33!$P$7:$P$874,'30 days CF Table(USD)'!G16,BS_RE33!$F$7:$F$874,'30 days CF Table(USD)'!$C$2)</f>
        <v>0</v>
      </c>
      <c r="V16" s="337">
        <f>SUMIFS(BS_RE33!$H$7:$H$874,BS_RE33!$S$7:$S$874,$V$2,BS_RE33!$N$7:$N$874,I16,BS_RE33!$P$7:$P$874,'30 days CF Table(USD)'!G16,BS_RE33!$F$7:$F$874,'30 days CF Table(USD)'!$C$2)</f>
        <v>0</v>
      </c>
      <c r="W16" s="337">
        <f>SUMIFS(BS_RE33!$H$7:$H$874,BS_RE33!$S$7:$S$874,$W$2,BS_RE33!$N$7:$N$874,I16,BS_RE33!$P$7:$P$874,'30 days CF Table(USD)'!G16,BS_RE33!$F$7:$F$874,'30 days CF Table(USD)'!$C$2)</f>
        <v>0</v>
      </c>
      <c r="X16" s="337">
        <f>SUMIFS(BS_RE33!$H$7:$H$874,BS_RE33!$S$7:$S$874,$X$2,BS_RE33!$N$7:$N$874,I16,BS_RE33!$P$7:$P$874,'30 days CF Table(USD)'!G16,BS_RE33!$F$7:$F$874,'30 days CF Table(USD)'!$C$2)</f>
        <v>0</v>
      </c>
      <c r="Y16" s="337">
        <f>SUMIFS(BS_RE33!$H$7:$H$874,BS_RE33!$S$7:$S$874,$Y$2,BS_RE33!$N$7:$N$874,I16,BS_RE33!$P$7:$P$874,'30 days CF Table(USD)'!G16,BS_RE33!$F$7:$F$874,'30 days CF Table(USD)'!$C$2)</f>
        <v>0</v>
      </c>
      <c r="Z16" s="337">
        <f>SUMIFS(BS_RE33!$H$7:$H$874,BS_RE33!$S$7:$S$874,$Z$2,BS_RE33!$N$7:$N$874,I16,BS_RE33!$P$7:$P$874,'30 days CF Table(USD)'!G16,BS_RE33!$F$7:$F$874,'30 days CF Table(USD)'!$C$2)</f>
        <v>0</v>
      </c>
      <c r="AA16" s="337">
        <f>SUMIFS(BS_RE33!$H$7:$H$874,BS_RE33!$S$7:$S$874,$AA$2,BS_RE33!$N$7:$N$874,I16,BS_RE33!$P$7:$P$874,'30 days CF Table(USD)'!G16,BS_RE33!$F$7:$F$874,'30 days CF Table(USD)'!$C$2)</f>
        <v>0</v>
      </c>
      <c r="AB16" s="337">
        <f>SUMIFS(BS_RE33!$H$7:$H$874,BS_RE33!$S$7:$S$874,$AB$2,BS_RE33!$N$7:$N$874,I16,BS_RE33!$P$7:$P$874,'30 days CF Table(USD)'!G16,BS_RE33!$F$7:$F$874,'30 days CF Table(USD)'!$C$2)</f>
        <v>0</v>
      </c>
      <c r="AC16" s="337">
        <f>SUMIFS(BS_RE33!$H$7:$H$874,BS_RE33!$S$7:$S$874,$AC$2,BS_RE33!$N$7:$N$874,I16,BS_RE33!$P$7:$P$874,'30 days CF Table(USD)'!G16,BS_RE33!$F$7:$F$874,'30 days CF Table(USD)'!$C$2)</f>
        <v>0</v>
      </c>
      <c r="AD16" s="337">
        <f>SUMIFS(BS_RE33!$H$7:$H$874,BS_RE33!$S$7:$S$874,$AD$2,BS_RE33!$N$7:$N$874,I16,BS_RE33!$P$7:$P$874,'30 days CF Table(USD)'!G16,BS_RE33!$F$7:$F$874,'30 days CF Table(USD)'!$C$2)</f>
        <v>0</v>
      </c>
      <c r="AE16" s="337">
        <f>SUMIFS(BS_RE33!$H$7:$H$874,BS_RE33!$S$7:$S$874,$AE$2,BS_RE33!$N$7:$N$874,I16,BS_RE33!$P$7:$P$874,'30 days CF Table(USD)'!G16,BS_RE33!$F$7:$F$874,'30 days CF Table(USD)'!$C$2)</f>
        <v>0</v>
      </c>
      <c r="AF16" s="337">
        <f>SUMIFS(BS_RE33!$H$7:$H$874,BS_RE33!$S$7:$S$874,$AF$2,BS_RE33!$N$7:$N$874,I16,BS_RE33!$P$7:$P$874,'30 days CF Table(USD)'!G16,BS_RE33!$F$7:$F$874,'30 days CF Table(USD)'!$C$2)</f>
        <v>0</v>
      </c>
      <c r="AG16" s="337">
        <f>SUMIFS(BS_RE33!$H$7:$H$874,BS_RE33!$S$7:$S$874,$AG$2,BS_RE33!$N$7:$N$874,I16,BS_RE33!$P$7:$P$874,'30 days CF Table(USD)'!G16,BS_RE33!$F$7:$F$874,'30 days CF Table(USD)'!$C$2)</f>
        <v>0</v>
      </c>
      <c r="AH16" s="337">
        <f>SUMIFS(BS_RE33!$H$7:$H$874,BS_RE33!$S$7:$S$874,$AH$2,BS_RE33!$N$7:$N$874,I16,BS_RE33!$P$7:$P$874,'30 days CF Table(USD)'!G16,BS_RE33!$F$7:$F$874,'30 days CF Table(USD)'!$C$2)</f>
        <v>0</v>
      </c>
      <c r="AI16" s="337">
        <f>SUMIFS(BS_RE33!$H$7:$H$874,BS_RE33!$S$7:$S$874,$AI$2,BS_RE33!$N$7:$N$874,I16,BS_RE33!$P$7:$P$874,'30 days CF Table(USD)'!G16,BS_RE33!$F$7:$F$874,'30 days CF Table(USD)'!$C$2)</f>
        <v>0</v>
      </c>
      <c r="AJ16" s="337">
        <f>SUMIFS(BS_RE33!$H$7:$H$874,BS_RE33!$S$7:$S$874,$AJ$2,BS_RE33!$N$7:$N$874,I16,BS_RE33!$P$7:$P$874,'30 days CF Table(USD)'!G16,BS_RE33!$F$7:$F$874,'30 days CF Table(USD)'!$C$2)</f>
        <v>0</v>
      </c>
      <c r="AK16" s="337">
        <f>SUMIFS(BS_RE33!$H$7:$H$874,BS_RE33!$S$7:$S$874,$AK$2,BS_RE33!$N$7:$N$874,I16,BS_RE33!$P$7:$P$874,'30 days CF Table(USD)'!G16,BS_RE33!$F$7:$F$874,'30 days CF Table(USD)'!$C$2)</f>
        <v>0</v>
      </c>
      <c r="AL16" s="337">
        <f>SUMIFS(BS_RE33!$H$7:$H$874,BS_RE33!$S$7:$S$874,$AL$2,BS_RE33!$N$7:$N$874,I16,BS_RE33!$P$7:$P$874,'30 days CF Table(USD)'!G16,BS_RE33!$F$7:$F$874,'30 days CF Table(USD)'!$C$2)</f>
        <v>0</v>
      </c>
      <c r="AM16" s="337">
        <f>SUMIFS(BS_RE33!$H$7:$H$874,BS_RE33!$S$7:$S$874,$AM$2,BS_RE33!$N$7:$N$874,I16,BS_RE33!$P$7:$P$874,'30 days CF Table(USD)'!G16,BS_RE33!$F$7:$F$874,'30 days CF Table(USD)'!$C$2)</f>
        <v>0</v>
      </c>
      <c r="AN16" s="337">
        <f>SUMIFS(BS_RE33!$H$7:$H$874,BS_RE33!$S$7:$S$874,$AN$2,BS_RE33!$N$7:$N$874,I16,BS_RE33!$P$7:$P$874,'30 days CF Table(USD)'!G16,BS_RE33!$F$7:$F$874,'30 days CF Table(USD)'!$C$2)</f>
        <v>0</v>
      </c>
      <c r="AO16" s="337">
        <f>SUMIFS(BS_RE33!$H$7:$H$874,BS_RE33!$S$7:$S$874,$AO$2,BS_RE33!$N$7:$N$874,I16,BS_RE33!$P$7:$P$874,'30 days CF Table(USD)'!G16,BS_RE33!$F$7:$F$874,'30 days CF Table(USD)'!$C$2)</f>
        <v>0</v>
      </c>
      <c r="AP16" s="338">
        <f>SUMIFS(BS_RE33!$H$7:$H$874,BS_RE33!$S$7:$S$874,$AP$2,BS_RE33!$N$7:$N$874,I16,BS_RE33!$P$7:$P$874,'30 days CF Table(USD)'!G16,BS_RE33!$F$7:$F$874,'30 days CF Table(USD)'!$C$2)</f>
        <v>0</v>
      </c>
      <c r="AQ16" s="545"/>
      <c r="AR16" s="379">
        <f>SUMIFS(BS_RE33!$H$7:$H$874,BS_RE33!$S$7:$S$874,$AR$2,BS_RE33!$N$7:$N$874,I16,BS_RE33!$P$7:$P$874,'30 days CF Table(USD)'!G16,BS_RE33!$F$7:$F$874,'30 days CF Table(USD)'!$C$2)</f>
        <v>0</v>
      </c>
      <c r="AS16" s="379">
        <f>SUMIFS(BS_RE33!$H$7:$H$874,BS_RE33!$S$7:$S$874,$AS$2,BS_RE33!$N$7:$N$874,I16,BS_RE33!$P$7:$P$874,'30 days CF Table(USD)'!G16,BS_RE33!$F$7:$F$874,'30 days CF Table(USD)'!$C$2)</f>
        <v>0</v>
      </c>
      <c r="AT16" s="379">
        <f>SUMIFS(BS_RE33!$H$7:$H$874,BS_RE33!$S$7:$S$874,$AT$2,BS_RE33!$N$7:$N$874,I16,BS_RE33!$P$7:$P$874,'30 days CF Table(USD)'!G16,BS_RE33!$F$7:$F$874,'30 days CF Table(USD)'!$C$2)</f>
        <v>0</v>
      </c>
      <c r="AU16" s="379">
        <f>SUMIFS(BS_RE33!$H$7:$H$874,BS_RE33!$S$7:$S$874,$AU$2,BS_RE33!$N$7:$N$874,I16,BS_RE33!$P$7:$P$874,'30 days CF Table(USD)'!G16,BS_RE33!$F$7:$F$874,'30 days CF Table(USD)'!$C$2)</f>
        <v>0</v>
      </c>
      <c r="AV16" s="379">
        <f>SUMIFS(BS_RE33!$H$7:$H$874,BS_RE33!$S$7:$S$874,$AV$2,BS_RE33!$N$7:$N$874,I16,BS_RE33!$P$7:$P$874,'30 days CF Table(USD)'!G16,BS_RE33!$F$7:$F$874,'30 days CF Table(USD)'!$C$2)</f>
        <v>0</v>
      </c>
      <c r="AW16" s="379">
        <f>SUMIFS(BS_RE33!$H$7:$H$874,BS_RE33!$S$7:$S$874,$AW$2,BS_RE33!$N$7:$N$874,I16,BS_RE33!$P$7:$P$874,'30 days CF Table(USD)'!G16,BS_RE33!$F$7:$F$874,'30 days CF Table(USD)'!$C$2)</f>
        <v>0</v>
      </c>
      <c r="AX16" s="379">
        <f>SUMIFS(BS_RE33!$H$7:$H$874,BS_RE33!$S$7:$S$874,$AX$2,BS_RE33!$N$7:$N$874,I16,BS_RE33!$P$7:$P$874,'30 days CF Table(USD)'!G16,BS_RE33!$F$7:$F$874,'30 days CF Table(USD)'!$C$2)</f>
        <v>0</v>
      </c>
      <c r="AY16" s="379">
        <f>SUMIFS(BS_RE33!$H$7:$H$874,BS_RE33!$S$7:$S$874,$AY$2,BS_RE33!$N$7:$N$874,I16,BS_RE33!$P$7:$P$874,'30 days CF Table(USD)'!G16,BS_RE33!$F$7:$F$874,'30 days CF Table(USD)'!$C$2)</f>
        <v>0</v>
      </c>
      <c r="AZ16" s="379">
        <f>SUMIFS(BS_RE33!$H$7:$H$874,BS_RE33!$S$7:$S$874,$AZ$2,BS_RE33!$N$7:$N$874,I16,BS_RE33!$P$7:$P$874,'30 days CF Table(USD)'!G16,BS_RE33!$F$7:$F$874,'30 days CF Table(USD)'!$C$2)</f>
        <v>0</v>
      </c>
      <c r="BA16" s="379">
        <f>SUMIFS(BS_RE33!$H$7:$H$874,BS_RE33!$S$7:$S$874,$BA$2,BS_RE33!$N$7:$N$874,I16,BS_RE33!$P$7:$P$874,'30 days CF Table(USD)'!G16,BS_RE33!$F$7:$F$874,'30 days CF Table(USD)'!$C$2)</f>
        <v>0</v>
      </c>
      <c r="BB16" s="379">
        <f>SUMIFS(BS_RE33!$H$7:$H$874,BS_RE33!$S$7:$S$874,$BB$2,BS_RE33!$N$7:$N$874,I16,BS_RE33!$P$7:$P$874,'30 days CF Table(USD)'!G16,BS_RE33!$F$7:$F$874,'30 days CF Table(USD)'!$C$2)</f>
        <v>0</v>
      </c>
      <c r="BC16" s="379">
        <f>SUMIFS(BS_RE33!$H$7:$H$874,BS_RE33!$S$7:$S$874,$BC$2,BS_RE33!$N$7:$N$874,I16,BS_RE33!$P$7:$P$874,'30 days CF Table(USD)'!G16,BS_RE33!$F$7:$F$874,'30 days CF Table(USD)'!$C$2)</f>
        <v>0</v>
      </c>
      <c r="BD16" s="379">
        <f>SUMIFS(BS_RE33!$H$7:$H$874,BS_RE33!$S$7:$S$874,$BD$2,BS_RE33!$N$7:$N$874,I16,BS_RE33!$P$7:$P$874,'30 days CF Table(USD)'!G16,BS_RE33!$F$7:$F$874,'30 days CF Table(USD)'!$C$2)</f>
        <v>0</v>
      </c>
      <c r="BE16" s="379">
        <f>SUMIFS(BS_RE33!$H$7:$H$874,BS_RE33!$S$7:$S$874,$BE$2,BS_RE33!$N$7:$N$874,I16,BS_RE33!$P$7:$P$874,'30 days CF Table(USD)'!G16,BS_RE33!$F$7:$F$874,'30 days CF Table(USD)'!$C$2)</f>
        <v>0</v>
      </c>
      <c r="BF16" s="379">
        <f>SUMIFS(BS_RE33!$H$7:$H$874,BS_RE33!$S$7:$S$874,$BF$2,BS_RE33!$N$7:$N$874,I16,BS_RE33!$P$7:$P$874,'30 days CF Table(USD)'!G16,BS_RE33!$F$7:$F$874,'30 days CF Table(USD)'!$C$2)</f>
        <v>0</v>
      </c>
      <c r="BG16" s="379">
        <f>SUMIFS(BS_RE33!$H$7:$H$874,BS_RE33!$S$7:$S$874,$BG$2,BS_RE33!$N$7:$N$874,I16,BS_RE33!$P$7:$P$874,'30 days CF Table(USD)'!G16,BS_RE33!$F$7:$F$874,'30 days CF Table(USD)'!$C$2)</f>
        <v>0</v>
      </c>
      <c r="BH16" s="379">
        <f>SUMIFS(BS_RE33!$H$7:$H$874,BS_RE33!$S$7:$S$874,$BH$2,BS_RE33!$N$7:$N$874,I16,BS_RE33!$P$7:$P$874,'30 days CF Table(USD)'!G16,BS_RE33!$F$7:$F$874,'30 days CF Table(USD)'!$C$2)</f>
        <v>0</v>
      </c>
      <c r="BI16" s="379">
        <f>SUMIFS(BS_RE33!$H$7:$H$874,BS_RE33!$S$7:$S$874,$BI$2,BS_RE33!$N$7:$N$874,I16,BS_RE33!$P$7:$P$874,'30 days CF Table(USD)'!G16,BS_RE33!$F$7:$F$874,'30 days CF Table(USD)'!$C$2)</f>
        <v>0</v>
      </c>
      <c r="BJ16" s="379">
        <f>SUMIFS(BS_RE33!$H$7:$H$874,BS_RE33!$S$7:$S$874,$BJ$2,BS_RE33!$N$7:$N$874,I16,BS_RE33!$P$7:$P$874,'30 days CF Table(USD)'!G16,BS_RE33!$F$7:$F$874,'30 days CF Table(USD)'!$C$2)</f>
        <v>0</v>
      </c>
      <c r="BK16" s="379">
        <f>SUMIFS(BS_RE33!$H$7:$H$874,BS_RE33!$S$7:$S$874,$BK$2,BS_RE33!$N$7:$N$874,I16,BS_RE33!$P$7:$P$874,'30 days CF Table(USD)'!G16,BS_RE33!$F$7:$F$874,'30 days CF Table(USD)'!$C$2)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Table(USD)'!G17,BS_RE33!$F$7:$F$874,'30 days CF Table(USD)'!$C$2)</f>
        <v>0</v>
      </c>
      <c r="M17" s="337">
        <f>SUMIFS(BS_RE33!$H$7:$H$874,BS_RE33!$S$7:$S$874,$M$2,BS_RE33!$N$7:$N$874,I17,BS_RE33!$P$7:$P$874,'30 days CF Table(USD)'!G17,BS_RE33!$F$7:$F$874,'30 days CF Table(USD)'!$C$2)</f>
        <v>0</v>
      </c>
      <c r="N17" s="337">
        <f>SUMIFS(BS_RE33!$H$7:$H$874,BS_RE33!$S$7:$S$874,$N$2,BS_RE33!$N$7:$N$874,I17,BS_RE33!$P$7:$P$874,'30 days CF Table(USD)'!G17,BS_RE33!$F$7:$F$874,'30 days CF Table(USD)'!$C$2)</f>
        <v>0</v>
      </c>
      <c r="O17" s="337">
        <f>SUMIFS(BS_RE33!$H$7:$H$874,BS_RE33!$S$7:$S$874,$O$2,BS_RE33!$N$7:$N$874,I17,BS_RE33!$P$7:$P$874,'30 days CF Table(USD)'!G17,BS_RE33!$F$7:$F$874,'30 days CF Table(USD)'!$C$2)</f>
        <v>0</v>
      </c>
      <c r="P17" s="337">
        <f>SUMIFS(BS_RE33!$H$7:$H$874,BS_RE33!$S$7:$S$874,$P$2,BS_RE33!$N$7:$N$874,I17,BS_RE33!$P$7:$P$874,'30 days CF Table(USD)'!G17,BS_RE33!$F$7:$F$874,'30 days CF Table(USD)'!$C$2)</f>
        <v>0</v>
      </c>
      <c r="Q17" s="337">
        <f>SUMIFS(BS_RE33!$H$7:$H$874,BS_RE33!$S$7:$S$874,$Q$2,BS_RE33!$N$7:$N$874,I17,BS_RE33!$P$7:$P$874,'30 days CF Table(USD)'!G17,BS_RE33!$F$7:$F$874,'30 days CF Table(USD)'!$C$2)</f>
        <v>0</v>
      </c>
      <c r="R17" s="337">
        <f>SUMIFS(BS_RE33!$H$7:$H$874,BS_RE33!$S$7:$S$874,$R$2,BS_RE33!$N$7:$N$874,I17,BS_RE33!$P$7:$P$874,'30 days CF Table(USD)'!G17,BS_RE33!$F$7:$F$874,'30 days CF Table(USD)'!$C$2)</f>
        <v>0</v>
      </c>
      <c r="S17" s="337">
        <f>SUMIFS(BS_RE33!$H$7:$H$874,BS_RE33!$S$7:$S$874,$S$2,BS_RE33!$N$7:$N$874,I17,BS_RE33!$P$7:$P$874,'30 days CF Table(USD)'!G17,BS_RE33!$F$7:$F$874,'30 days CF Table(USD)'!$C$2)</f>
        <v>0</v>
      </c>
      <c r="T17" s="337">
        <f>SUMIFS(BS_RE33!$H$7:$H$874,BS_RE33!$S$7:$S$874,$T$2,BS_RE33!$N$7:$N$874,I17,BS_RE33!$P$7:$P$874,'30 days CF Table(USD)'!G17,BS_RE33!$F$7:$F$874,'30 days CF Table(USD)'!$C$2)</f>
        <v>0</v>
      </c>
      <c r="U17" s="337">
        <f>SUMIFS(BS_RE33!$H$7:$H$874,BS_RE33!$S$7:$S$874,$U$2,BS_RE33!$N$7:$N$874,I17,BS_RE33!$P$7:$P$874,'30 days CF Table(USD)'!G17,BS_RE33!$F$7:$F$874,'30 days CF Table(USD)'!$C$2)</f>
        <v>0</v>
      </c>
      <c r="V17" s="337">
        <f>SUMIFS(BS_RE33!$H$7:$H$874,BS_RE33!$S$7:$S$874,$V$2,BS_RE33!$N$7:$N$874,I17,BS_RE33!$P$7:$P$874,'30 days CF Table(USD)'!G17,BS_RE33!$F$7:$F$874,'30 days CF Table(USD)'!$C$2)</f>
        <v>0</v>
      </c>
      <c r="W17" s="337">
        <f>SUMIFS(BS_RE33!$H$7:$H$874,BS_RE33!$S$7:$S$874,$W$2,BS_RE33!$N$7:$N$874,I17,BS_RE33!$P$7:$P$874,'30 days CF Table(USD)'!G17,BS_RE33!$F$7:$F$874,'30 days CF Table(USD)'!$C$2)</f>
        <v>0</v>
      </c>
      <c r="X17" s="337">
        <f>SUMIFS(BS_RE33!$H$7:$H$874,BS_RE33!$S$7:$S$874,$X$2,BS_RE33!$N$7:$N$874,I17,BS_RE33!$P$7:$P$874,'30 days CF Table(USD)'!G17,BS_RE33!$F$7:$F$874,'30 days CF Table(USD)'!$C$2)</f>
        <v>0</v>
      </c>
      <c r="Y17" s="337">
        <f>SUMIFS(BS_RE33!$H$7:$H$874,BS_RE33!$S$7:$S$874,$Y$2,BS_RE33!$N$7:$N$874,I17,BS_RE33!$P$7:$P$874,'30 days CF Table(USD)'!G17,BS_RE33!$F$7:$F$874,'30 days CF Table(USD)'!$C$2)</f>
        <v>0</v>
      </c>
      <c r="Z17" s="337">
        <f>SUMIFS(BS_RE33!$H$7:$H$874,BS_RE33!$S$7:$S$874,$Z$2,BS_RE33!$N$7:$N$874,I17,BS_RE33!$P$7:$P$874,'30 days CF Table(USD)'!G17,BS_RE33!$F$7:$F$874,'30 days CF Table(USD)'!$C$2)</f>
        <v>0</v>
      </c>
      <c r="AA17" s="337">
        <f>SUMIFS(BS_RE33!$H$7:$H$874,BS_RE33!$S$7:$S$874,$AA$2,BS_RE33!$N$7:$N$874,I17,BS_RE33!$P$7:$P$874,'30 days CF Table(USD)'!G17,BS_RE33!$F$7:$F$874,'30 days CF Table(USD)'!$C$2)</f>
        <v>0</v>
      </c>
      <c r="AB17" s="337">
        <f>SUMIFS(BS_RE33!$H$7:$H$874,BS_RE33!$S$7:$S$874,$AB$2,BS_RE33!$N$7:$N$874,I17,BS_RE33!$P$7:$P$874,'30 days CF Table(USD)'!G17,BS_RE33!$F$7:$F$874,'30 days CF Table(USD)'!$C$2)</f>
        <v>0</v>
      </c>
      <c r="AC17" s="337">
        <f>SUMIFS(BS_RE33!$H$7:$H$874,BS_RE33!$S$7:$S$874,$AC$2,BS_RE33!$N$7:$N$874,I17,BS_RE33!$P$7:$P$874,'30 days CF Table(USD)'!G17,BS_RE33!$F$7:$F$874,'30 days CF Table(USD)'!$C$2)</f>
        <v>0</v>
      </c>
      <c r="AD17" s="337">
        <f>SUMIFS(BS_RE33!$H$7:$H$874,BS_RE33!$S$7:$S$874,$AD$2,BS_RE33!$N$7:$N$874,I17,BS_RE33!$P$7:$P$874,'30 days CF Table(USD)'!G17,BS_RE33!$F$7:$F$874,'30 days CF Table(USD)'!$C$2)</f>
        <v>0</v>
      </c>
      <c r="AE17" s="337">
        <f>SUMIFS(BS_RE33!$H$7:$H$874,BS_RE33!$S$7:$S$874,$AE$2,BS_RE33!$N$7:$N$874,I17,BS_RE33!$P$7:$P$874,'30 days CF Table(USD)'!G17,BS_RE33!$F$7:$F$874,'30 days CF Table(USD)'!$C$2)</f>
        <v>0</v>
      </c>
      <c r="AF17" s="337">
        <f>SUMIFS(BS_RE33!$H$7:$H$874,BS_RE33!$S$7:$S$874,$AF$2,BS_RE33!$N$7:$N$874,I17,BS_RE33!$P$7:$P$874,'30 days CF Table(USD)'!G17,BS_RE33!$F$7:$F$874,'30 days CF Table(USD)'!$C$2)</f>
        <v>0</v>
      </c>
      <c r="AG17" s="337">
        <f>SUMIFS(BS_RE33!$H$7:$H$874,BS_RE33!$S$7:$S$874,$AG$2,BS_RE33!$N$7:$N$874,I17,BS_RE33!$P$7:$P$874,'30 days CF Table(USD)'!G17,BS_RE33!$F$7:$F$874,'30 days CF Table(USD)'!$C$2)</f>
        <v>0</v>
      </c>
      <c r="AH17" s="337">
        <f>SUMIFS(BS_RE33!$H$7:$H$874,BS_RE33!$S$7:$S$874,$AH$2,BS_RE33!$N$7:$N$874,I17,BS_RE33!$P$7:$P$874,'30 days CF Table(USD)'!G17,BS_RE33!$F$7:$F$874,'30 days CF Table(USD)'!$C$2)</f>
        <v>0</v>
      </c>
      <c r="AI17" s="337">
        <f>SUMIFS(BS_RE33!$H$7:$H$874,BS_RE33!$S$7:$S$874,$AI$2,BS_RE33!$N$7:$N$874,I17,BS_RE33!$P$7:$P$874,'30 days CF Table(USD)'!G17,BS_RE33!$F$7:$F$874,'30 days CF Table(USD)'!$C$2)</f>
        <v>0</v>
      </c>
      <c r="AJ17" s="337">
        <f>SUMIFS(BS_RE33!$H$7:$H$874,BS_RE33!$S$7:$S$874,$AJ$2,BS_RE33!$N$7:$N$874,I17,BS_RE33!$P$7:$P$874,'30 days CF Table(USD)'!G17,BS_RE33!$F$7:$F$874,'30 days CF Table(USD)'!$C$2)</f>
        <v>0</v>
      </c>
      <c r="AK17" s="337">
        <f>SUMIFS(BS_RE33!$H$7:$H$874,BS_RE33!$S$7:$S$874,$AK$2,BS_RE33!$N$7:$N$874,I17,BS_RE33!$P$7:$P$874,'30 days CF Table(USD)'!G17,BS_RE33!$F$7:$F$874,'30 days CF Table(USD)'!$C$2)</f>
        <v>0</v>
      </c>
      <c r="AL17" s="337">
        <f>SUMIFS(BS_RE33!$H$7:$H$874,BS_RE33!$S$7:$S$874,$AL$2,BS_RE33!$N$7:$N$874,I17,BS_RE33!$P$7:$P$874,'30 days CF Table(USD)'!G17,BS_RE33!$F$7:$F$874,'30 days CF Table(USD)'!$C$2)</f>
        <v>0</v>
      </c>
      <c r="AM17" s="337">
        <f>SUMIFS(BS_RE33!$H$7:$H$874,BS_RE33!$S$7:$S$874,$AM$2,BS_RE33!$N$7:$N$874,I17,BS_RE33!$P$7:$P$874,'30 days CF Table(USD)'!G17,BS_RE33!$F$7:$F$874,'30 days CF Table(USD)'!$C$2)</f>
        <v>0</v>
      </c>
      <c r="AN17" s="337">
        <f>SUMIFS(BS_RE33!$H$7:$H$874,BS_RE33!$S$7:$S$874,$AN$2,BS_RE33!$N$7:$N$874,I17,BS_RE33!$P$7:$P$874,'30 days CF Table(USD)'!G17,BS_RE33!$F$7:$F$874,'30 days CF Table(USD)'!$C$2)</f>
        <v>0</v>
      </c>
      <c r="AO17" s="337">
        <f>SUMIFS(BS_RE33!$H$7:$H$874,BS_RE33!$S$7:$S$874,$AO$2,BS_RE33!$N$7:$N$874,I17,BS_RE33!$P$7:$P$874,'30 days CF Table(USD)'!G17,BS_RE33!$F$7:$F$874,'30 days CF Table(USD)'!$C$2)</f>
        <v>0</v>
      </c>
      <c r="AP17" s="338">
        <f>SUMIFS(BS_RE33!$H$7:$H$874,BS_RE33!$S$7:$S$874,$AP$2,BS_RE33!$N$7:$N$874,I17,BS_RE33!$P$7:$P$874,'30 days CF Table(USD)'!G17,BS_RE33!$F$7:$F$874,'30 days CF Table(USD)'!$C$2)</f>
        <v>0</v>
      </c>
      <c r="AQ17" s="545"/>
      <c r="AR17" s="379">
        <f>SUMIFS(BS_RE33!$H$7:$H$874,BS_RE33!$S$7:$S$874,$AR$2,BS_RE33!$N$7:$N$874,I17,BS_RE33!$P$7:$P$874,'30 days CF Table(USD)'!G17,BS_RE33!$F$7:$F$874,'30 days CF Table(USD)'!$C$2)</f>
        <v>0</v>
      </c>
      <c r="AS17" s="379">
        <f>SUMIFS(BS_RE33!$H$7:$H$874,BS_RE33!$S$7:$S$874,$AS$2,BS_RE33!$N$7:$N$874,I17,BS_RE33!$P$7:$P$874,'30 days CF Table(USD)'!G17,BS_RE33!$F$7:$F$874,'30 days CF Table(USD)'!$C$2)</f>
        <v>0</v>
      </c>
      <c r="AT17" s="379">
        <f>SUMIFS(BS_RE33!$H$7:$H$874,BS_RE33!$S$7:$S$874,$AT$2,BS_RE33!$N$7:$N$874,I17,BS_RE33!$P$7:$P$874,'30 days CF Table(USD)'!G17,BS_RE33!$F$7:$F$874,'30 days CF Table(USD)'!$C$2)</f>
        <v>0</v>
      </c>
      <c r="AU17" s="379">
        <f>SUMIFS(BS_RE33!$H$7:$H$874,BS_RE33!$S$7:$S$874,$AU$2,BS_RE33!$N$7:$N$874,I17,BS_RE33!$P$7:$P$874,'30 days CF Table(USD)'!G17,BS_RE33!$F$7:$F$874,'30 days CF Table(USD)'!$C$2)</f>
        <v>0</v>
      </c>
      <c r="AV17" s="379">
        <f>SUMIFS(BS_RE33!$H$7:$H$874,BS_RE33!$S$7:$S$874,$AV$2,BS_RE33!$N$7:$N$874,I17,BS_RE33!$P$7:$P$874,'30 days CF Table(USD)'!G17,BS_RE33!$F$7:$F$874,'30 days CF Table(USD)'!$C$2)</f>
        <v>0</v>
      </c>
      <c r="AW17" s="379">
        <f>SUMIFS(BS_RE33!$H$7:$H$874,BS_RE33!$S$7:$S$874,$AW$2,BS_RE33!$N$7:$N$874,I17,BS_RE33!$P$7:$P$874,'30 days CF Table(USD)'!G17,BS_RE33!$F$7:$F$874,'30 days CF Table(USD)'!$C$2)</f>
        <v>0</v>
      </c>
      <c r="AX17" s="379">
        <f>SUMIFS(BS_RE33!$H$7:$H$874,BS_RE33!$S$7:$S$874,$AX$2,BS_RE33!$N$7:$N$874,I17,BS_RE33!$P$7:$P$874,'30 days CF Table(USD)'!G17,BS_RE33!$F$7:$F$874,'30 days CF Table(USD)'!$C$2)</f>
        <v>0</v>
      </c>
      <c r="AY17" s="379">
        <f>SUMIFS(BS_RE33!$H$7:$H$874,BS_RE33!$S$7:$S$874,$AY$2,BS_RE33!$N$7:$N$874,I17,BS_RE33!$P$7:$P$874,'30 days CF Table(USD)'!G17,BS_RE33!$F$7:$F$874,'30 days CF Table(USD)'!$C$2)</f>
        <v>0</v>
      </c>
      <c r="AZ17" s="379">
        <f>SUMIFS(BS_RE33!$H$7:$H$874,BS_RE33!$S$7:$S$874,$AZ$2,BS_RE33!$N$7:$N$874,I17,BS_RE33!$P$7:$P$874,'30 days CF Table(USD)'!G17,BS_RE33!$F$7:$F$874,'30 days CF Table(USD)'!$C$2)</f>
        <v>0</v>
      </c>
      <c r="BA17" s="379">
        <f>SUMIFS(BS_RE33!$H$7:$H$874,BS_RE33!$S$7:$S$874,$BA$2,BS_RE33!$N$7:$N$874,I17,BS_RE33!$P$7:$P$874,'30 days CF Table(USD)'!G17,BS_RE33!$F$7:$F$874,'30 days CF Table(USD)'!$C$2)</f>
        <v>0</v>
      </c>
      <c r="BB17" s="379">
        <f>SUMIFS(BS_RE33!$H$7:$H$874,BS_RE33!$S$7:$S$874,$BB$2,BS_RE33!$N$7:$N$874,I17,BS_RE33!$P$7:$P$874,'30 days CF Table(USD)'!G17,BS_RE33!$F$7:$F$874,'30 days CF Table(USD)'!$C$2)</f>
        <v>0</v>
      </c>
      <c r="BC17" s="379">
        <f>SUMIFS(BS_RE33!$H$7:$H$874,BS_RE33!$S$7:$S$874,$BC$2,BS_RE33!$N$7:$N$874,I17,BS_RE33!$P$7:$P$874,'30 days CF Table(USD)'!G17,BS_RE33!$F$7:$F$874,'30 days CF Table(USD)'!$C$2)</f>
        <v>0</v>
      </c>
      <c r="BD17" s="379">
        <f>SUMIFS(BS_RE33!$H$7:$H$874,BS_RE33!$S$7:$S$874,$BD$2,BS_RE33!$N$7:$N$874,I17,BS_RE33!$P$7:$P$874,'30 days CF Table(USD)'!G17,BS_RE33!$F$7:$F$874,'30 days CF Table(USD)'!$C$2)</f>
        <v>0</v>
      </c>
      <c r="BE17" s="379">
        <f>SUMIFS(BS_RE33!$H$7:$H$874,BS_RE33!$S$7:$S$874,$BE$2,BS_RE33!$N$7:$N$874,I17,BS_RE33!$P$7:$P$874,'30 days CF Table(USD)'!G17,BS_RE33!$F$7:$F$874,'30 days CF Table(USD)'!$C$2)</f>
        <v>0</v>
      </c>
      <c r="BF17" s="379">
        <f>SUMIFS(BS_RE33!$H$7:$H$874,BS_RE33!$S$7:$S$874,$BF$2,BS_RE33!$N$7:$N$874,I17,BS_RE33!$P$7:$P$874,'30 days CF Table(USD)'!G17,BS_RE33!$F$7:$F$874,'30 days CF Table(USD)'!$C$2)</f>
        <v>0</v>
      </c>
      <c r="BG17" s="379">
        <f>SUMIFS(BS_RE33!$H$7:$H$874,BS_RE33!$S$7:$S$874,$BG$2,BS_RE33!$N$7:$N$874,I17,BS_RE33!$P$7:$P$874,'30 days CF Table(USD)'!G17,BS_RE33!$F$7:$F$874,'30 days CF Table(USD)'!$C$2)</f>
        <v>0</v>
      </c>
      <c r="BH17" s="379">
        <f>SUMIFS(BS_RE33!$H$7:$H$874,BS_RE33!$S$7:$S$874,$BH$2,BS_RE33!$N$7:$N$874,I17,BS_RE33!$P$7:$P$874,'30 days CF Table(USD)'!G17,BS_RE33!$F$7:$F$874,'30 days CF Table(USD)'!$C$2)</f>
        <v>0</v>
      </c>
      <c r="BI17" s="379">
        <f>SUMIFS(BS_RE33!$H$7:$H$874,BS_RE33!$S$7:$S$874,$BI$2,BS_RE33!$N$7:$N$874,I17,BS_RE33!$P$7:$P$874,'30 days CF Table(USD)'!G17,BS_RE33!$F$7:$F$874,'30 days CF Table(USD)'!$C$2)</f>
        <v>0</v>
      </c>
      <c r="BJ17" s="379">
        <f>SUMIFS(BS_RE33!$H$7:$H$874,BS_RE33!$S$7:$S$874,$BJ$2,BS_RE33!$N$7:$N$874,I17,BS_RE33!$P$7:$P$874,'30 days CF Table(USD)'!G17,BS_RE33!$F$7:$F$874,'30 days CF Table(USD)'!$C$2)</f>
        <v>0</v>
      </c>
      <c r="BK17" s="379">
        <f>SUMIFS(BS_RE33!$H$7:$H$874,BS_RE33!$S$7:$S$874,$BK$2,BS_RE33!$N$7:$N$874,I17,BS_RE33!$P$7:$P$874,'30 days CF Table(USD)'!G17,BS_RE33!$F$7:$F$874,'30 days CF Table(USD)'!$C$2)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Table(USD)'!G18,BS_RE33!$F$7:$F$874,'30 days CF Table(USD)'!$C$2)</f>
        <v>0</v>
      </c>
      <c r="M18" s="337">
        <f>SUMIFS(BS_RE33!$H$7:$H$874,BS_RE33!$S$7:$S$874,$M$2,BS_RE33!$N$7:$N$874,I18,BS_RE33!$P$7:$P$874,'30 days CF Table(USD)'!G18,BS_RE33!$F$7:$F$874,'30 days CF Table(USD)'!$C$2)</f>
        <v>0</v>
      </c>
      <c r="N18" s="337">
        <f>SUMIFS(BS_RE33!$H$7:$H$874,BS_RE33!$S$7:$S$874,$N$2,BS_RE33!$N$7:$N$874,I18,BS_RE33!$P$7:$P$874,'30 days CF Table(USD)'!G18,BS_RE33!$F$7:$F$874,'30 days CF Table(USD)'!$C$2)</f>
        <v>0</v>
      </c>
      <c r="O18" s="337">
        <f>SUMIFS(BS_RE33!$H$7:$H$874,BS_RE33!$S$7:$S$874,$O$2,BS_RE33!$N$7:$N$874,I18,BS_RE33!$P$7:$P$874,'30 days CF Table(USD)'!G18,BS_RE33!$F$7:$F$874,'30 days CF Table(USD)'!$C$2)</f>
        <v>0</v>
      </c>
      <c r="P18" s="337">
        <f>SUMIFS(BS_RE33!$H$7:$H$874,BS_RE33!$S$7:$S$874,$P$2,BS_RE33!$N$7:$N$874,I18,BS_RE33!$P$7:$P$874,'30 days CF Table(USD)'!G18,BS_RE33!$F$7:$F$874,'30 days CF Table(USD)'!$C$2)</f>
        <v>0</v>
      </c>
      <c r="Q18" s="337">
        <f>SUMIFS(BS_RE33!$H$7:$H$874,BS_RE33!$S$7:$S$874,$Q$2,BS_RE33!$N$7:$N$874,I18,BS_RE33!$P$7:$P$874,'30 days CF Table(USD)'!G18,BS_RE33!$F$7:$F$874,'30 days CF Table(USD)'!$C$2)</f>
        <v>0</v>
      </c>
      <c r="R18" s="337">
        <f>SUMIFS(BS_RE33!$H$7:$H$874,BS_RE33!$S$7:$S$874,$R$2,BS_RE33!$N$7:$N$874,I18,BS_RE33!$P$7:$P$874,'30 days CF Table(USD)'!G18,BS_RE33!$F$7:$F$874,'30 days CF Table(USD)'!$C$2)</f>
        <v>0</v>
      </c>
      <c r="S18" s="337">
        <f>SUMIFS(BS_RE33!$H$7:$H$874,BS_RE33!$S$7:$S$874,$S$2,BS_RE33!$N$7:$N$874,I18,BS_RE33!$P$7:$P$874,'30 days CF Table(USD)'!G18,BS_RE33!$F$7:$F$874,'30 days CF Table(USD)'!$C$2)</f>
        <v>0</v>
      </c>
      <c r="T18" s="337">
        <f>SUMIFS(BS_RE33!$H$7:$H$874,BS_RE33!$S$7:$S$874,$T$2,BS_RE33!$N$7:$N$874,I18,BS_RE33!$P$7:$P$874,'30 days CF Table(USD)'!G18,BS_RE33!$F$7:$F$874,'30 days CF Table(USD)'!$C$2)</f>
        <v>0</v>
      </c>
      <c r="U18" s="337">
        <f>SUMIFS(BS_RE33!$H$7:$H$874,BS_RE33!$S$7:$S$874,$U$2,BS_RE33!$N$7:$N$874,I18,BS_RE33!$P$7:$P$874,'30 days CF Table(USD)'!G18,BS_RE33!$F$7:$F$874,'30 days CF Table(USD)'!$C$2)</f>
        <v>0</v>
      </c>
      <c r="V18" s="337">
        <f>SUMIFS(BS_RE33!$H$7:$H$874,BS_RE33!$S$7:$S$874,$V$2,BS_RE33!$N$7:$N$874,I18,BS_RE33!$P$7:$P$874,'30 days CF Table(USD)'!G18,BS_RE33!$F$7:$F$874,'30 days CF Table(USD)'!$C$2)</f>
        <v>0</v>
      </c>
      <c r="W18" s="337">
        <f>SUMIFS(BS_RE33!$H$7:$H$874,BS_RE33!$S$7:$S$874,$W$2,BS_RE33!$N$7:$N$874,I18,BS_RE33!$P$7:$P$874,'30 days CF Table(USD)'!G18,BS_RE33!$F$7:$F$874,'30 days CF Table(USD)'!$C$2)</f>
        <v>0</v>
      </c>
      <c r="X18" s="337">
        <f>SUMIFS(BS_RE33!$H$7:$H$874,BS_RE33!$S$7:$S$874,$X$2,BS_RE33!$N$7:$N$874,I18,BS_RE33!$P$7:$P$874,'30 days CF Table(USD)'!G18,BS_RE33!$F$7:$F$874,'30 days CF Table(USD)'!$C$2)</f>
        <v>0</v>
      </c>
      <c r="Y18" s="337">
        <f>SUMIFS(BS_RE33!$H$7:$H$874,BS_RE33!$S$7:$S$874,$Y$2,BS_RE33!$N$7:$N$874,I18,BS_RE33!$P$7:$P$874,'30 days CF Table(USD)'!G18,BS_RE33!$F$7:$F$874,'30 days CF Table(USD)'!$C$2)</f>
        <v>0</v>
      </c>
      <c r="Z18" s="337">
        <f>SUMIFS(BS_RE33!$H$7:$H$874,BS_RE33!$S$7:$S$874,$Z$2,BS_RE33!$N$7:$N$874,I18,BS_RE33!$P$7:$P$874,'30 days CF Table(USD)'!G18,BS_RE33!$F$7:$F$874,'30 days CF Table(USD)'!$C$2)</f>
        <v>0</v>
      </c>
      <c r="AA18" s="337">
        <f>SUMIFS(BS_RE33!$H$7:$H$874,BS_RE33!$S$7:$S$874,$AA$2,BS_RE33!$N$7:$N$874,I18,BS_RE33!$P$7:$P$874,'30 days CF Table(USD)'!G18,BS_RE33!$F$7:$F$874,'30 days CF Table(USD)'!$C$2)</f>
        <v>0</v>
      </c>
      <c r="AB18" s="337">
        <f>SUMIFS(BS_RE33!$H$7:$H$874,BS_RE33!$S$7:$S$874,$AB$2,BS_RE33!$N$7:$N$874,I18,BS_RE33!$P$7:$P$874,'30 days CF Table(USD)'!G18,BS_RE33!$F$7:$F$874,'30 days CF Table(USD)'!$C$2)</f>
        <v>0</v>
      </c>
      <c r="AC18" s="337">
        <f>SUMIFS(BS_RE33!$H$7:$H$874,BS_RE33!$S$7:$S$874,$AC$2,BS_RE33!$N$7:$N$874,I18,BS_RE33!$P$7:$P$874,'30 days CF Table(USD)'!G18,BS_RE33!$F$7:$F$874,'30 days CF Table(USD)'!$C$2)</f>
        <v>0</v>
      </c>
      <c r="AD18" s="337">
        <f>SUMIFS(BS_RE33!$H$7:$H$874,BS_RE33!$S$7:$S$874,$AD$2,BS_RE33!$N$7:$N$874,I18,BS_RE33!$P$7:$P$874,'30 days CF Table(USD)'!G18,BS_RE33!$F$7:$F$874,'30 days CF Table(USD)'!$C$2)</f>
        <v>0</v>
      </c>
      <c r="AE18" s="337">
        <f>SUMIFS(BS_RE33!$H$7:$H$874,BS_RE33!$S$7:$S$874,$AE$2,BS_RE33!$N$7:$N$874,I18,BS_RE33!$P$7:$P$874,'30 days CF Table(USD)'!G18,BS_RE33!$F$7:$F$874,'30 days CF Table(USD)'!$C$2)</f>
        <v>0</v>
      </c>
      <c r="AF18" s="337">
        <f>SUMIFS(BS_RE33!$H$7:$H$874,BS_RE33!$S$7:$S$874,$AF$2,BS_RE33!$N$7:$N$874,I18,BS_RE33!$P$7:$P$874,'30 days CF Table(USD)'!G18,BS_RE33!$F$7:$F$874,'30 days CF Table(USD)'!$C$2)</f>
        <v>0</v>
      </c>
      <c r="AG18" s="337">
        <f>SUMIFS(BS_RE33!$H$7:$H$874,BS_RE33!$S$7:$S$874,$AG$2,BS_RE33!$N$7:$N$874,I18,BS_RE33!$P$7:$P$874,'30 days CF Table(USD)'!G18,BS_RE33!$F$7:$F$874,'30 days CF Table(USD)'!$C$2)</f>
        <v>0</v>
      </c>
      <c r="AH18" s="337">
        <f>SUMIFS(BS_RE33!$H$7:$H$874,BS_RE33!$S$7:$S$874,$AH$2,BS_RE33!$N$7:$N$874,I18,BS_RE33!$P$7:$P$874,'30 days CF Table(USD)'!G18,BS_RE33!$F$7:$F$874,'30 days CF Table(USD)'!$C$2)</f>
        <v>0</v>
      </c>
      <c r="AI18" s="337">
        <f>SUMIFS(BS_RE33!$H$7:$H$874,BS_RE33!$S$7:$S$874,$AI$2,BS_RE33!$N$7:$N$874,I18,BS_RE33!$P$7:$P$874,'30 days CF Table(USD)'!G18,BS_RE33!$F$7:$F$874,'30 days CF Table(USD)'!$C$2)</f>
        <v>0</v>
      </c>
      <c r="AJ18" s="337">
        <f>SUMIFS(BS_RE33!$H$7:$H$874,BS_RE33!$S$7:$S$874,$AJ$2,BS_RE33!$N$7:$N$874,I18,BS_RE33!$P$7:$P$874,'30 days CF Table(USD)'!G18,BS_RE33!$F$7:$F$874,'30 days CF Table(USD)'!$C$2)</f>
        <v>0</v>
      </c>
      <c r="AK18" s="337">
        <f>SUMIFS(BS_RE33!$H$7:$H$874,BS_RE33!$S$7:$S$874,$AK$2,BS_RE33!$N$7:$N$874,I18,BS_RE33!$P$7:$P$874,'30 days CF Table(USD)'!G18,BS_RE33!$F$7:$F$874,'30 days CF Table(USD)'!$C$2)</f>
        <v>0</v>
      </c>
      <c r="AL18" s="337">
        <f>SUMIFS(BS_RE33!$H$7:$H$874,BS_RE33!$S$7:$S$874,$AL$2,BS_RE33!$N$7:$N$874,I18,BS_RE33!$P$7:$P$874,'30 days CF Table(USD)'!G18,BS_RE33!$F$7:$F$874,'30 days CF Table(USD)'!$C$2)</f>
        <v>0</v>
      </c>
      <c r="AM18" s="337">
        <f>SUMIFS(BS_RE33!$H$7:$H$874,BS_RE33!$S$7:$S$874,$AM$2,BS_RE33!$N$7:$N$874,I18,BS_RE33!$P$7:$P$874,'30 days CF Table(USD)'!G18,BS_RE33!$F$7:$F$874,'30 days CF Table(USD)'!$C$2)</f>
        <v>0</v>
      </c>
      <c r="AN18" s="337">
        <f>SUMIFS(BS_RE33!$H$7:$H$874,BS_RE33!$S$7:$S$874,$AN$2,BS_RE33!$N$7:$N$874,I18,BS_RE33!$P$7:$P$874,'30 days CF Table(USD)'!G18,BS_RE33!$F$7:$F$874,'30 days CF Table(USD)'!$C$2)</f>
        <v>0</v>
      </c>
      <c r="AO18" s="337">
        <f>SUMIFS(BS_RE33!$H$7:$H$874,BS_RE33!$S$7:$S$874,$AO$2,BS_RE33!$N$7:$N$874,I18,BS_RE33!$P$7:$P$874,'30 days CF Table(USD)'!G18,BS_RE33!$F$7:$F$874,'30 days CF Table(USD)'!$C$2)</f>
        <v>0</v>
      </c>
      <c r="AP18" s="338">
        <f>SUMIFS(BS_RE33!$H$7:$H$874,BS_RE33!$S$7:$S$874,$AP$2,BS_RE33!$N$7:$N$874,I18,BS_RE33!$P$7:$P$874,'30 days CF Table(USD)'!G18,BS_RE33!$F$7:$F$874,'30 days CF Table(USD)'!$C$2)</f>
        <v>0</v>
      </c>
      <c r="AQ18" s="545"/>
      <c r="AR18" s="379">
        <f>SUMIFS(BS_RE33!$H$7:$H$874,BS_RE33!$S$7:$S$874,$AR$2,BS_RE33!$N$7:$N$874,I18,BS_RE33!$P$7:$P$874,'30 days CF Table(USD)'!G18,BS_RE33!$F$7:$F$874,'30 days CF Table(USD)'!$C$2)</f>
        <v>0</v>
      </c>
      <c r="AS18" s="379">
        <f>SUMIFS(BS_RE33!$H$7:$H$874,BS_RE33!$S$7:$S$874,$AS$2,BS_RE33!$N$7:$N$874,I18,BS_RE33!$P$7:$P$874,'30 days CF Table(USD)'!G18,BS_RE33!$F$7:$F$874,'30 days CF Table(USD)'!$C$2)</f>
        <v>0</v>
      </c>
      <c r="AT18" s="379">
        <f>SUMIFS(BS_RE33!$H$7:$H$874,BS_RE33!$S$7:$S$874,$AT$2,BS_RE33!$N$7:$N$874,I18,BS_RE33!$P$7:$P$874,'30 days CF Table(USD)'!G18,BS_RE33!$F$7:$F$874,'30 days CF Table(USD)'!$C$2)</f>
        <v>0</v>
      </c>
      <c r="AU18" s="379">
        <f>SUMIFS(BS_RE33!$H$7:$H$874,BS_RE33!$S$7:$S$874,$AU$2,BS_RE33!$N$7:$N$874,I18,BS_RE33!$P$7:$P$874,'30 days CF Table(USD)'!G18,BS_RE33!$F$7:$F$874,'30 days CF Table(USD)'!$C$2)</f>
        <v>0</v>
      </c>
      <c r="AV18" s="379">
        <f>SUMIFS(BS_RE33!$H$7:$H$874,BS_RE33!$S$7:$S$874,$AV$2,BS_RE33!$N$7:$N$874,I18,BS_RE33!$P$7:$P$874,'30 days CF Table(USD)'!G18,BS_RE33!$F$7:$F$874,'30 days CF Table(USD)'!$C$2)</f>
        <v>0</v>
      </c>
      <c r="AW18" s="379">
        <f>SUMIFS(BS_RE33!$H$7:$H$874,BS_RE33!$S$7:$S$874,$AW$2,BS_RE33!$N$7:$N$874,I18,BS_RE33!$P$7:$P$874,'30 days CF Table(USD)'!G18,BS_RE33!$F$7:$F$874,'30 days CF Table(USD)'!$C$2)</f>
        <v>0</v>
      </c>
      <c r="AX18" s="379">
        <f>SUMIFS(BS_RE33!$H$7:$H$874,BS_RE33!$S$7:$S$874,$AX$2,BS_RE33!$N$7:$N$874,I18,BS_RE33!$P$7:$P$874,'30 days CF Table(USD)'!G18,BS_RE33!$F$7:$F$874,'30 days CF Table(USD)'!$C$2)</f>
        <v>0</v>
      </c>
      <c r="AY18" s="379">
        <f>SUMIFS(BS_RE33!$H$7:$H$874,BS_RE33!$S$7:$S$874,$AY$2,BS_RE33!$N$7:$N$874,I18,BS_RE33!$P$7:$P$874,'30 days CF Table(USD)'!G18,BS_RE33!$F$7:$F$874,'30 days CF Table(USD)'!$C$2)</f>
        <v>0</v>
      </c>
      <c r="AZ18" s="379">
        <f>SUMIFS(BS_RE33!$H$7:$H$874,BS_RE33!$S$7:$S$874,$AZ$2,BS_RE33!$N$7:$N$874,I18,BS_RE33!$P$7:$P$874,'30 days CF Table(USD)'!G18,BS_RE33!$F$7:$F$874,'30 days CF Table(USD)'!$C$2)</f>
        <v>0</v>
      </c>
      <c r="BA18" s="379">
        <f>SUMIFS(BS_RE33!$H$7:$H$874,BS_RE33!$S$7:$S$874,$BA$2,BS_RE33!$N$7:$N$874,I18,BS_RE33!$P$7:$P$874,'30 days CF Table(USD)'!G18,BS_RE33!$F$7:$F$874,'30 days CF Table(USD)'!$C$2)</f>
        <v>0</v>
      </c>
      <c r="BB18" s="379">
        <f>SUMIFS(BS_RE33!$H$7:$H$874,BS_RE33!$S$7:$S$874,$BB$2,BS_RE33!$N$7:$N$874,I18,BS_RE33!$P$7:$P$874,'30 days CF Table(USD)'!G18,BS_RE33!$F$7:$F$874,'30 days CF Table(USD)'!$C$2)</f>
        <v>0</v>
      </c>
      <c r="BC18" s="379">
        <f>SUMIFS(BS_RE33!$H$7:$H$874,BS_RE33!$S$7:$S$874,$BC$2,BS_RE33!$N$7:$N$874,I18,BS_RE33!$P$7:$P$874,'30 days CF Table(USD)'!G18,BS_RE33!$F$7:$F$874,'30 days CF Table(USD)'!$C$2)</f>
        <v>0</v>
      </c>
      <c r="BD18" s="379">
        <f>SUMIFS(BS_RE33!$H$7:$H$874,BS_RE33!$S$7:$S$874,$BD$2,BS_RE33!$N$7:$N$874,I18,BS_RE33!$P$7:$P$874,'30 days CF Table(USD)'!G18,BS_RE33!$F$7:$F$874,'30 days CF Table(USD)'!$C$2)</f>
        <v>0</v>
      </c>
      <c r="BE18" s="379">
        <f>SUMIFS(BS_RE33!$H$7:$H$874,BS_RE33!$S$7:$S$874,$BE$2,BS_RE33!$N$7:$N$874,I18,BS_RE33!$P$7:$P$874,'30 days CF Table(USD)'!G18,BS_RE33!$F$7:$F$874,'30 days CF Table(USD)'!$C$2)</f>
        <v>0</v>
      </c>
      <c r="BF18" s="379">
        <f>SUMIFS(BS_RE33!$H$7:$H$874,BS_RE33!$S$7:$S$874,$BF$2,BS_RE33!$N$7:$N$874,I18,BS_RE33!$P$7:$P$874,'30 days CF Table(USD)'!G18,BS_RE33!$F$7:$F$874,'30 days CF Table(USD)'!$C$2)</f>
        <v>0</v>
      </c>
      <c r="BG18" s="379">
        <f>SUMIFS(BS_RE33!$H$7:$H$874,BS_RE33!$S$7:$S$874,$BG$2,BS_RE33!$N$7:$N$874,I18,BS_RE33!$P$7:$P$874,'30 days CF Table(USD)'!G18,BS_RE33!$F$7:$F$874,'30 days CF Table(USD)'!$C$2)</f>
        <v>0</v>
      </c>
      <c r="BH18" s="379">
        <f>SUMIFS(BS_RE33!$H$7:$H$874,BS_RE33!$S$7:$S$874,$BH$2,BS_RE33!$N$7:$N$874,I18,BS_RE33!$P$7:$P$874,'30 days CF Table(USD)'!G18,BS_RE33!$F$7:$F$874,'30 days CF Table(USD)'!$C$2)</f>
        <v>0</v>
      </c>
      <c r="BI18" s="379">
        <f>SUMIFS(BS_RE33!$H$7:$H$874,BS_RE33!$S$7:$S$874,$BI$2,BS_RE33!$N$7:$N$874,I18,BS_RE33!$P$7:$P$874,'30 days CF Table(USD)'!G18,BS_RE33!$F$7:$F$874,'30 days CF Table(USD)'!$C$2)</f>
        <v>0</v>
      </c>
      <c r="BJ18" s="379">
        <f>SUMIFS(BS_RE33!$H$7:$H$874,BS_RE33!$S$7:$S$874,$BJ$2,BS_RE33!$N$7:$N$874,I18,BS_RE33!$P$7:$P$874,'30 days CF Table(USD)'!G18,BS_RE33!$F$7:$F$874,'30 days CF Table(USD)'!$C$2)</f>
        <v>0</v>
      </c>
      <c r="BK18" s="379">
        <f>SUMIFS(BS_RE33!$H$7:$H$874,BS_RE33!$S$7:$S$874,$BK$2,BS_RE33!$N$7:$N$874,I18,BS_RE33!$P$7:$P$874,'30 days CF Table(USD)'!G18,BS_RE33!$F$7:$F$874,'30 days CF Table(USD)'!$C$2)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Table(USD)'!G19,BS_RE33!$F$7:$F$874,'30 days CF Table(USD)'!$C$2)</f>
        <v>0</v>
      </c>
      <c r="M19" s="548">
        <f>SUMIFS(BS_RE33!$H$7:$H$874,BS_RE33!$S$7:$S$874,$M$2,BS_RE33!$N$7:$N$874,I19,BS_RE33!$P$7:$P$874,'30 days CF Table(USD)'!G19,BS_RE33!$F$7:$F$874,'30 days CF Table(USD)'!$C$2)</f>
        <v>0</v>
      </c>
      <c r="N19" s="548">
        <f>SUMIFS(BS_RE33!$H$7:$H$874,BS_RE33!$S$7:$S$874,$N$2,BS_RE33!$N$7:$N$874,I19,BS_RE33!$P$7:$P$874,'30 days CF Table(USD)'!G19,BS_RE33!$F$7:$F$874,'30 days CF Table(USD)'!$C$2)</f>
        <v>0</v>
      </c>
      <c r="O19" s="548">
        <f>SUMIFS(BS_RE33!$H$7:$H$874,BS_RE33!$S$7:$S$874,$O$2,BS_RE33!$N$7:$N$874,I19,BS_RE33!$P$7:$P$874,'30 days CF Table(USD)'!G19,BS_RE33!$F$7:$F$874,'30 days CF Table(USD)'!$C$2)</f>
        <v>0</v>
      </c>
      <c r="P19" s="548">
        <f>SUMIFS(BS_RE33!$H$7:$H$874,BS_RE33!$S$7:$S$874,$P$2,BS_RE33!$N$7:$N$874,I19,BS_RE33!$P$7:$P$874,'30 days CF Table(USD)'!G19,BS_RE33!$F$7:$F$874,'30 days CF Table(USD)'!$C$2)</f>
        <v>0</v>
      </c>
      <c r="Q19" s="548">
        <f>SUMIFS(BS_RE33!$H$7:$H$874,BS_RE33!$S$7:$S$874,$Q$2,BS_RE33!$N$7:$N$874,I19,BS_RE33!$P$7:$P$874,'30 days CF Table(USD)'!G19,BS_RE33!$F$7:$F$874,'30 days CF Table(USD)'!$C$2)</f>
        <v>0</v>
      </c>
      <c r="R19" s="548">
        <f>SUMIFS(BS_RE33!$H$7:$H$874,BS_RE33!$S$7:$S$874,$R$2,BS_RE33!$N$7:$N$874,I19,BS_RE33!$P$7:$P$874,'30 days CF Table(USD)'!G19,BS_RE33!$F$7:$F$874,'30 days CF Table(USD)'!$C$2)</f>
        <v>0</v>
      </c>
      <c r="S19" s="548">
        <f>SUMIFS(BS_RE33!$H$7:$H$874,BS_RE33!$S$7:$S$874,$S$2,BS_RE33!$N$7:$N$874,I19,BS_RE33!$P$7:$P$874,'30 days CF Table(USD)'!G19,BS_RE33!$F$7:$F$874,'30 days CF Table(USD)'!$C$2)</f>
        <v>0</v>
      </c>
      <c r="T19" s="548">
        <f>SUMIFS(BS_RE33!$H$7:$H$874,BS_RE33!$S$7:$S$874,$T$2,BS_RE33!$N$7:$N$874,I19,BS_RE33!$P$7:$P$874,'30 days CF Table(USD)'!G19,BS_RE33!$F$7:$F$874,'30 days CF Table(USD)'!$C$2)</f>
        <v>0</v>
      </c>
      <c r="U19" s="548">
        <f>SUMIFS(BS_RE33!$H$7:$H$874,BS_RE33!$S$7:$S$874,$U$2,BS_RE33!$N$7:$N$874,I19,BS_RE33!$P$7:$P$874,'30 days CF Table(USD)'!G19,BS_RE33!$F$7:$F$874,'30 days CF Table(USD)'!$C$2)</f>
        <v>0</v>
      </c>
      <c r="V19" s="548">
        <f>SUMIFS(BS_RE33!$H$7:$H$874,BS_RE33!$S$7:$S$874,$V$2,BS_RE33!$N$7:$N$874,I19,BS_RE33!$P$7:$P$874,'30 days CF Table(USD)'!G19,BS_RE33!$F$7:$F$874,'30 days CF Table(USD)'!$C$2)</f>
        <v>0</v>
      </c>
      <c r="W19" s="548">
        <f>SUMIFS(BS_RE33!$H$7:$H$874,BS_RE33!$S$7:$S$874,$W$2,BS_RE33!$N$7:$N$874,I19,BS_RE33!$P$7:$P$874,'30 days CF Table(USD)'!G19,BS_RE33!$F$7:$F$874,'30 days CF Table(USD)'!$C$2)</f>
        <v>0</v>
      </c>
      <c r="X19" s="548">
        <f>SUMIFS(BS_RE33!$H$7:$H$874,BS_RE33!$S$7:$S$874,$X$2,BS_RE33!$N$7:$N$874,I19,BS_RE33!$P$7:$P$874,'30 days CF Table(USD)'!G19,BS_RE33!$F$7:$F$874,'30 days CF Table(USD)'!$C$2)</f>
        <v>0</v>
      </c>
      <c r="Y19" s="548">
        <f>SUMIFS(BS_RE33!$H$7:$H$874,BS_RE33!$S$7:$S$874,$Y$2,BS_RE33!$N$7:$N$874,I19,BS_RE33!$P$7:$P$874,'30 days CF Table(USD)'!G19,BS_RE33!$F$7:$F$874,'30 days CF Table(USD)'!$C$2)</f>
        <v>0</v>
      </c>
      <c r="Z19" s="548">
        <f>SUMIFS(BS_RE33!$H$7:$H$874,BS_RE33!$S$7:$S$874,$Z$2,BS_RE33!$N$7:$N$874,I19,BS_RE33!$P$7:$P$874,'30 days CF Table(USD)'!G19,BS_RE33!$F$7:$F$874,'30 days CF Table(USD)'!$C$2)</f>
        <v>0</v>
      </c>
      <c r="AA19" s="548">
        <f>SUMIFS(BS_RE33!$H$7:$H$874,BS_RE33!$S$7:$S$874,$AA$2,BS_RE33!$N$7:$N$874,I19,BS_RE33!$P$7:$P$874,'30 days CF Table(USD)'!G19,BS_RE33!$F$7:$F$874,'30 days CF Table(USD)'!$C$2)</f>
        <v>0</v>
      </c>
      <c r="AB19" s="548">
        <f>SUMIFS(BS_RE33!$H$7:$H$874,BS_RE33!$S$7:$S$874,$AB$2,BS_RE33!$N$7:$N$874,I19,BS_RE33!$P$7:$P$874,'30 days CF Table(USD)'!G19,BS_RE33!$F$7:$F$874,'30 days CF Table(USD)'!$C$2)</f>
        <v>0</v>
      </c>
      <c r="AC19" s="548">
        <f>SUMIFS(BS_RE33!$H$7:$H$874,BS_RE33!$S$7:$S$874,$AC$2,BS_RE33!$N$7:$N$874,I19,BS_RE33!$P$7:$P$874,'30 days CF Table(USD)'!G19,BS_RE33!$F$7:$F$874,'30 days CF Table(USD)'!$C$2)</f>
        <v>0</v>
      </c>
      <c r="AD19" s="548">
        <f>SUMIFS(BS_RE33!$H$7:$H$874,BS_RE33!$S$7:$S$874,$AD$2,BS_RE33!$N$7:$N$874,I19,BS_RE33!$P$7:$P$874,'30 days CF Table(USD)'!G19,BS_RE33!$F$7:$F$874,'30 days CF Table(USD)'!$C$2)</f>
        <v>0</v>
      </c>
      <c r="AE19" s="548">
        <f>SUMIFS(BS_RE33!$H$7:$H$874,BS_RE33!$S$7:$S$874,$AE$2,BS_RE33!$N$7:$N$874,I19,BS_RE33!$P$7:$P$874,'30 days CF Table(USD)'!G19,BS_RE33!$F$7:$F$874,'30 days CF Table(USD)'!$C$2)</f>
        <v>0</v>
      </c>
      <c r="AF19" s="548">
        <f>SUMIFS(BS_RE33!$H$7:$H$874,BS_RE33!$S$7:$S$874,$AF$2,BS_RE33!$N$7:$N$874,I19,BS_RE33!$P$7:$P$874,'30 days CF Table(USD)'!G19,BS_RE33!$F$7:$F$874,'30 days CF Table(USD)'!$C$2)</f>
        <v>0</v>
      </c>
      <c r="AG19" s="548">
        <f>SUMIFS(BS_RE33!$H$7:$H$874,BS_RE33!$S$7:$S$874,$AG$2,BS_RE33!$N$7:$N$874,I19,BS_RE33!$P$7:$P$874,'30 days CF Table(USD)'!G19,BS_RE33!$F$7:$F$874,'30 days CF Table(USD)'!$C$2)</f>
        <v>0</v>
      </c>
      <c r="AH19" s="548">
        <f>SUMIFS(BS_RE33!$H$7:$H$874,BS_RE33!$S$7:$S$874,$AH$2,BS_RE33!$N$7:$N$874,I19,BS_RE33!$P$7:$P$874,'30 days CF Table(USD)'!G19,BS_RE33!$F$7:$F$874,'30 days CF Table(USD)'!$C$2)</f>
        <v>0</v>
      </c>
      <c r="AI19" s="548">
        <f>SUMIFS(BS_RE33!$H$7:$H$874,BS_RE33!$S$7:$S$874,$AI$2,BS_RE33!$N$7:$N$874,I19,BS_RE33!$P$7:$P$874,'30 days CF Table(USD)'!G19,BS_RE33!$F$7:$F$874,'30 days CF Table(USD)'!$C$2)</f>
        <v>0</v>
      </c>
      <c r="AJ19" s="548">
        <f>SUMIFS(BS_RE33!$H$7:$H$874,BS_RE33!$S$7:$S$874,$AJ$2,BS_RE33!$N$7:$N$874,I19,BS_RE33!$P$7:$P$874,'30 days CF Table(USD)'!G19,BS_RE33!$F$7:$F$874,'30 days CF Table(USD)'!$C$2)</f>
        <v>0</v>
      </c>
      <c r="AK19" s="548">
        <f>SUMIFS(BS_RE33!$H$7:$H$874,BS_RE33!$S$7:$S$874,$AK$2,BS_RE33!$N$7:$N$874,I19,BS_RE33!$P$7:$P$874,'30 days CF Table(USD)'!G19,BS_RE33!$F$7:$F$874,'30 days CF Table(USD)'!$C$2)</f>
        <v>0</v>
      </c>
      <c r="AL19" s="548">
        <f>SUMIFS(BS_RE33!$H$7:$H$874,BS_RE33!$S$7:$S$874,$AL$2,BS_RE33!$N$7:$N$874,I19,BS_RE33!$P$7:$P$874,'30 days CF Table(USD)'!G19,BS_RE33!$F$7:$F$874,'30 days CF Table(USD)'!$C$2)</f>
        <v>0</v>
      </c>
      <c r="AM19" s="548">
        <f>SUMIFS(BS_RE33!$H$7:$H$874,BS_RE33!$S$7:$S$874,$AM$2,BS_RE33!$N$7:$N$874,I19,BS_RE33!$P$7:$P$874,'30 days CF Table(USD)'!G19,BS_RE33!$F$7:$F$874,'30 days CF Table(USD)'!$C$2)</f>
        <v>0</v>
      </c>
      <c r="AN19" s="548">
        <f>SUMIFS(BS_RE33!$H$7:$H$874,BS_RE33!$S$7:$S$874,$AN$2,BS_RE33!$N$7:$N$874,I19,BS_RE33!$P$7:$P$874,'30 days CF Table(USD)'!G19,BS_RE33!$F$7:$F$874,'30 days CF Table(USD)'!$C$2)</f>
        <v>0</v>
      </c>
      <c r="AO19" s="548">
        <f>SUMIFS(BS_RE33!$H$7:$H$874,BS_RE33!$S$7:$S$874,$AO$2,BS_RE33!$N$7:$N$874,I19,BS_RE33!$P$7:$P$874,'30 days CF Table(USD)'!G19,BS_RE33!$F$7:$F$874,'30 days CF Table(USD)'!$C$2)</f>
        <v>0</v>
      </c>
      <c r="AP19" s="549">
        <f>SUMIFS(BS_RE33!$H$7:$H$874,BS_RE33!$S$7:$S$874,$AP$2,BS_RE33!$N$7:$N$874,I19,BS_RE33!$P$7:$P$874,'30 days CF Table(USD)'!G19,BS_RE33!$F$7:$F$874,'30 days CF Table(USD)'!$C$2)</f>
        <v>0</v>
      </c>
      <c r="AQ19" s="550"/>
      <c r="AR19" s="380">
        <f>SUMIFS(BS_RE33!$H$7:$H$874,BS_RE33!$S$7:$S$874,$AR$2,BS_RE33!$N$7:$N$874,I19,BS_RE33!$P$7:$P$874,'30 days CF Table(USD)'!G19,BS_RE33!$F$7:$F$874,'30 days CF Table(USD)'!$C$2)</f>
        <v>0</v>
      </c>
      <c r="AS19" s="380">
        <f>SUMIFS(BS_RE33!$H$7:$H$874,BS_RE33!$S$7:$S$874,$AS$2,BS_RE33!$N$7:$N$874,I19,BS_RE33!$P$7:$P$874,'30 days CF Table(USD)'!G19,BS_RE33!$F$7:$F$874,'30 days CF Table(USD)'!$C$2)</f>
        <v>0</v>
      </c>
      <c r="AT19" s="380">
        <f>SUMIFS(BS_RE33!$H$7:$H$874,BS_RE33!$S$7:$S$874,$AT$2,BS_RE33!$N$7:$N$874,I19,BS_RE33!$P$7:$P$874,'30 days CF Table(USD)'!G19,BS_RE33!$F$7:$F$874,'30 days CF Table(USD)'!$C$2)</f>
        <v>0</v>
      </c>
      <c r="AU19" s="380">
        <f>SUMIFS(BS_RE33!$H$7:$H$874,BS_RE33!$S$7:$S$874,$AU$2,BS_RE33!$N$7:$N$874,I19,BS_RE33!$P$7:$P$874,'30 days CF Table(USD)'!G19,BS_RE33!$F$7:$F$874,'30 days CF Table(USD)'!$C$2)</f>
        <v>0</v>
      </c>
      <c r="AV19" s="380">
        <f>SUMIFS(BS_RE33!$H$7:$H$874,BS_RE33!$S$7:$S$874,$AV$2,BS_RE33!$N$7:$N$874,I19,BS_RE33!$P$7:$P$874,'30 days CF Table(USD)'!G19,BS_RE33!$F$7:$F$874,'30 days CF Table(USD)'!$C$2)</f>
        <v>0</v>
      </c>
      <c r="AW19" s="380">
        <f>SUMIFS(BS_RE33!$H$7:$H$874,BS_RE33!$S$7:$S$874,$AW$2,BS_RE33!$N$7:$N$874,I19,BS_RE33!$P$7:$P$874,'30 days CF Table(USD)'!G19,BS_RE33!$F$7:$F$874,'30 days CF Table(USD)'!$C$2)</f>
        <v>0</v>
      </c>
      <c r="AX19" s="380">
        <f>SUMIFS(BS_RE33!$H$7:$H$874,BS_RE33!$S$7:$S$874,$AX$2,BS_RE33!$N$7:$N$874,I19,BS_RE33!$P$7:$P$874,'30 days CF Table(USD)'!G19,BS_RE33!$F$7:$F$874,'30 days CF Table(USD)'!$C$2)</f>
        <v>0</v>
      </c>
      <c r="AY19" s="380">
        <f>SUMIFS(BS_RE33!$H$7:$H$874,BS_RE33!$S$7:$S$874,$AY$2,BS_RE33!$N$7:$N$874,I19,BS_RE33!$P$7:$P$874,'30 days CF Table(USD)'!G19,BS_RE33!$F$7:$F$874,'30 days CF Table(USD)'!$C$2)</f>
        <v>0</v>
      </c>
      <c r="AZ19" s="380">
        <f>SUMIFS(BS_RE33!$H$7:$H$874,BS_RE33!$S$7:$S$874,$AZ$2,BS_RE33!$N$7:$N$874,I19,BS_RE33!$P$7:$P$874,'30 days CF Table(USD)'!G19,BS_RE33!$F$7:$F$874,'30 days CF Table(USD)'!$C$2)</f>
        <v>0</v>
      </c>
      <c r="BA19" s="380">
        <f>SUMIFS(BS_RE33!$H$7:$H$874,BS_RE33!$S$7:$S$874,$BA$2,BS_RE33!$N$7:$N$874,I19,BS_RE33!$P$7:$P$874,'30 days CF Table(USD)'!G19,BS_RE33!$F$7:$F$874,'30 days CF Table(USD)'!$C$2)</f>
        <v>0</v>
      </c>
      <c r="BB19" s="380">
        <f>SUMIFS(BS_RE33!$H$7:$H$874,BS_RE33!$S$7:$S$874,$BB$2,BS_RE33!$N$7:$N$874,I19,BS_RE33!$P$7:$P$874,'30 days CF Table(USD)'!G19,BS_RE33!$F$7:$F$874,'30 days CF Table(USD)'!$C$2)</f>
        <v>0</v>
      </c>
      <c r="BC19" s="380">
        <f>SUMIFS(BS_RE33!$H$7:$H$874,BS_RE33!$S$7:$S$874,$BC$2,BS_RE33!$N$7:$N$874,I19,BS_RE33!$P$7:$P$874,'30 days CF Table(USD)'!G19,BS_RE33!$F$7:$F$874,'30 days CF Table(USD)'!$C$2)</f>
        <v>0</v>
      </c>
      <c r="BD19" s="380">
        <f>SUMIFS(BS_RE33!$H$7:$H$874,BS_RE33!$S$7:$S$874,$BD$2,BS_RE33!$N$7:$N$874,I19,BS_RE33!$P$7:$P$874,'30 days CF Table(USD)'!G19,BS_RE33!$F$7:$F$874,'30 days CF Table(USD)'!$C$2)</f>
        <v>0</v>
      </c>
      <c r="BE19" s="380">
        <f>SUMIFS(BS_RE33!$H$7:$H$874,BS_RE33!$S$7:$S$874,$BE$2,BS_RE33!$N$7:$N$874,I19,BS_RE33!$P$7:$P$874,'30 days CF Table(USD)'!G19,BS_RE33!$F$7:$F$874,'30 days CF Table(USD)'!$C$2)</f>
        <v>0</v>
      </c>
      <c r="BF19" s="380">
        <f>SUMIFS(BS_RE33!$H$7:$H$874,BS_RE33!$S$7:$S$874,$BF$2,BS_RE33!$N$7:$N$874,I19,BS_RE33!$P$7:$P$874,'30 days CF Table(USD)'!G19,BS_RE33!$F$7:$F$874,'30 days CF Table(USD)'!$C$2)</f>
        <v>0</v>
      </c>
      <c r="BG19" s="380">
        <f>SUMIFS(BS_RE33!$H$7:$H$874,BS_RE33!$S$7:$S$874,$BG$2,BS_RE33!$N$7:$N$874,I19,BS_RE33!$P$7:$P$874,'30 days CF Table(USD)'!G19,BS_RE33!$F$7:$F$874,'30 days CF Table(USD)'!$C$2)</f>
        <v>0</v>
      </c>
      <c r="BH19" s="380">
        <f>SUMIFS(BS_RE33!$H$7:$H$874,BS_RE33!$S$7:$S$874,$BH$2,BS_RE33!$N$7:$N$874,I19,BS_RE33!$P$7:$P$874,'30 days CF Table(USD)'!G19,BS_RE33!$F$7:$F$874,'30 days CF Table(USD)'!$C$2)</f>
        <v>0</v>
      </c>
      <c r="BI19" s="380">
        <f>SUMIFS(BS_RE33!$H$7:$H$874,BS_RE33!$S$7:$S$874,$BI$2,BS_RE33!$N$7:$N$874,I19,BS_RE33!$P$7:$P$874,'30 days CF Table(USD)'!G19,BS_RE33!$F$7:$F$874,'30 days CF Table(USD)'!$C$2)</f>
        <v>0</v>
      </c>
      <c r="BJ19" s="380">
        <f>SUMIFS(BS_RE33!$H$7:$H$874,BS_RE33!$S$7:$S$874,$BJ$2,BS_RE33!$N$7:$N$874,I19,BS_RE33!$P$7:$P$874,'30 days CF Table(USD)'!G19,BS_RE33!$F$7:$F$874,'30 days CF Table(USD)'!$C$2)</f>
        <v>0</v>
      </c>
      <c r="BK19" s="380">
        <f>SUMIFS(BS_RE33!$H$7:$H$874,BS_RE33!$S$7:$S$874,$BK$2,BS_RE33!$N$7:$N$874,I19,BS_RE33!$P$7:$P$874,'30 days CF Table(USD)'!G19,BS_RE33!$F$7:$F$874,'30 days CF Table(USD)'!$C$2)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Table(USD)'!G20,BS_RE33!$F$7:$F$874,'30 days CF Table(USD)'!$C$2)</f>
        <v>0</v>
      </c>
      <c r="M20" s="548">
        <f>SUMIFS(BS_RE33!$H$7:$H$874,BS_RE33!$S$7:$S$874,$M$2,BS_RE33!$N$7:$N$874,I20,BS_RE33!$P$7:$P$874,'30 days CF Table(USD)'!G20,BS_RE33!$F$7:$F$874,'30 days CF Table(USD)'!$C$2)</f>
        <v>0</v>
      </c>
      <c r="N20" s="548">
        <f>SUMIFS(BS_RE33!$H$7:$H$874,BS_RE33!$S$7:$S$874,$N$2,BS_RE33!$N$7:$N$874,I20,BS_RE33!$P$7:$P$874,'30 days CF Table(USD)'!G20,BS_RE33!$F$7:$F$874,'30 days CF Table(USD)'!$C$2)</f>
        <v>0</v>
      </c>
      <c r="O20" s="548">
        <f>SUMIFS(BS_RE33!$H$7:$H$874,BS_RE33!$S$7:$S$874,$O$2,BS_RE33!$N$7:$N$874,I20,BS_RE33!$P$7:$P$874,'30 days CF Table(USD)'!G20,BS_RE33!$F$7:$F$874,'30 days CF Table(USD)'!$C$2)</f>
        <v>0</v>
      </c>
      <c r="P20" s="548">
        <f>SUMIFS(BS_RE33!$H$7:$H$874,BS_RE33!$S$7:$S$874,$P$2,BS_RE33!$N$7:$N$874,I20,BS_RE33!$P$7:$P$874,'30 days CF Table(USD)'!G20,BS_RE33!$F$7:$F$874,'30 days CF Table(USD)'!$C$2)</f>
        <v>0</v>
      </c>
      <c r="Q20" s="548">
        <f>SUMIFS(BS_RE33!$H$7:$H$874,BS_RE33!$S$7:$S$874,$Q$2,BS_RE33!$N$7:$N$874,I20,BS_RE33!$P$7:$P$874,'30 days CF Table(USD)'!G20,BS_RE33!$F$7:$F$874,'30 days CF Table(USD)'!$C$2)</f>
        <v>0</v>
      </c>
      <c r="R20" s="548">
        <f>SUMIFS(BS_RE33!$H$7:$H$874,BS_RE33!$S$7:$S$874,$R$2,BS_RE33!$N$7:$N$874,I20,BS_RE33!$P$7:$P$874,'30 days CF Table(USD)'!G20,BS_RE33!$F$7:$F$874,'30 days CF Table(USD)'!$C$2)</f>
        <v>0</v>
      </c>
      <c r="S20" s="548">
        <f>SUMIFS(BS_RE33!$H$7:$H$874,BS_RE33!$S$7:$S$874,$S$2,BS_RE33!$N$7:$N$874,I20,BS_RE33!$P$7:$P$874,'30 days CF Table(USD)'!G20,BS_RE33!$F$7:$F$874,'30 days CF Table(USD)'!$C$2)</f>
        <v>0</v>
      </c>
      <c r="T20" s="548">
        <f>SUMIFS(BS_RE33!$H$7:$H$874,BS_RE33!$S$7:$S$874,$T$2,BS_RE33!$N$7:$N$874,I20,BS_RE33!$P$7:$P$874,'30 days CF Table(USD)'!G20,BS_RE33!$F$7:$F$874,'30 days CF Table(USD)'!$C$2)</f>
        <v>0</v>
      </c>
      <c r="U20" s="548">
        <f>SUMIFS(BS_RE33!$H$7:$H$874,BS_RE33!$S$7:$S$874,$U$2,BS_RE33!$N$7:$N$874,I20,BS_RE33!$P$7:$P$874,'30 days CF Table(USD)'!G20,BS_RE33!$F$7:$F$874,'30 days CF Table(USD)'!$C$2)</f>
        <v>0</v>
      </c>
      <c r="V20" s="548">
        <f>SUMIFS(BS_RE33!$H$7:$H$874,BS_RE33!$S$7:$S$874,$V$2,BS_RE33!$N$7:$N$874,I20,BS_RE33!$P$7:$P$874,'30 days CF Table(USD)'!G20,BS_RE33!$F$7:$F$874,'30 days CF Table(USD)'!$C$2)</f>
        <v>0</v>
      </c>
      <c r="W20" s="548">
        <f>SUMIFS(BS_RE33!$H$7:$H$874,BS_RE33!$S$7:$S$874,$W$2,BS_RE33!$N$7:$N$874,I20,BS_RE33!$P$7:$P$874,'30 days CF Table(USD)'!G20,BS_RE33!$F$7:$F$874,'30 days CF Table(USD)'!$C$2)</f>
        <v>0</v>
      </c>
      <c r="X20" s="548">
        <f>SUMIFS(BS_RE33!$H$7:$H$874,BS_RE33!$S$7:$S$874,$X$2,BS_RE33!$N$7:$N$874,I20,BS_RE33!$P$7:$P$874,'30 days CF Table(USD)'!G20,BS_RE33!$F$7:$F$874,'30 days CF Table(USD)'!$C$2)</f>
        <v>0</v>
      </c>
      <c r="Y20" s="548">
        <f>SUMIFS(BS_RE33!$H$7:$H$874,BS_RE33!$S$7:$S$874,$Y$2,BS_RE33!$N$7:$N$874,I20,BS_RE33!$P$7:$P$874,'30 days CF Table(USD)'!G20,BS_RE33!$F$7:$F$874,'30 days CF Table(USD)'!$C$2)</f>
        <v>0</v>
      </c>
      <c r="Z20" s="548">
        <f>SUMIFS(BS_RE33!$H$7:$H$874,BS_RE33!$S$7:$S$874,$Z$2,BS_RE33!$N$7:$N$874,I20,BS_RE33!$P$7:$P$874,'30 days CF Table(USD)'!G20,BS_RE33!$F$7:$F$874,'30 days CF Table(USD)'!$C$2)</f>
        <v>0</v>
      </c>
      <c r="AA20" s="548">
        <f>SUMIFS(BS_RE33!$H$7:$H$874,BS_RE33!$S$7:$S$874,$AA$2,BS_RE33!$N$7:$N$874,I20,BS_RE33!$P$7:$P$874,'30 days CF Table(USD)'!G20,BS_RE33!$F$7:$F$874,'30 days CF Table(USD)'!$C$2)</f>
        <v>0</v>
      </c>
      <c r="AB20" s="548">
        <f>SUMIFS(BS_RE33!$H$7:$H$874,BS_RE33!$S$7:$S$874,$AB$2,BS_RE33!$N$7:$N$874,I20,BS_RE33!$P$7:$P$874,'30 days CF Table(USD)'!G20,BS_RE33!$F$7:$F$874,'30 days CF Table(USD)'!$C$2)</f>
        <v>0</v>
      </c>
      <c r="AC20" s="548">
        <f>SUMIFS(BS_RE33!$H$7:$H$874,BS_RE33!$S$7:$S$874,$AC$2,BS_RE33!$N$7:$N$874,I20,BS_RE33!$P$7:$P$874,'30 days CF Table(USD)'!G20,BS_RE33!$F$7:$F$874,'30 days CF Table(USD)'!$C$2)</f>
        <v>0</v>
      </c>
      <c r="AD20" s="548">
        <f>SUMIFS(BS_RE33!$H$7:$H$874,BS_RE33!$S$7:$S$874,$AD$2,BS_RE33!$N$7:$N$874,I20,BS_RE33!$P$7:$P$874,'30 days CF Table(USD)'!G20,BS_RE33!$F$7:$F$874,'30 days CF Table(USD)'!$C$2)</f>
        <v>0</v>
      </c>
      <c r="AE20" s="548">
        <f>SUMIFS(BS_RE33!$H$7:$H$874,BS_RE33!$S$7:$S$874,$AE$2,BS_RE33!$N$7:$N$874,I20,BS_RE33!$P$7:$P$874,'30 days CF Table(USD)'!G20,BS_RE33!$F$7:$F$874,'30 days CF Table(USD)'!$C$2)</f>
        <v>0</v>
      </c>
      <c r="AF20" s="548">
        <f>SUMIFS(BS_RE33!$H$7:$H$874,BS_RE33!$S$7:$S$874,$AF$2,BS_RE33!$N$7:$N$874,I20,BS_RE33!$P$7:$P$874,'30 days CF Table(USD)'!G20,BS_RE33!$F$7:$F$874,'30 days CF Table(USD)'!$C$2)</f>
        <v>0</v>
      </c>
      <c r="AG20" s="548">
        <f>SUMIFS(BS_RE33!$H$7:$H$874,BS_RE33!$S$7:$S$874,$AG$2,BS_RE33!$N$7:$N$874,I20,BS_RE33!$P$7:$P$874,'30 days CF Table(USD)'!G20,BS_RE33!$F$7:$F$874,'30 days CF Table(USD)'!$C$2)</f>
        <v>0</v>
      </c>
      <c r="AH20" s="548">
        <f>SUMIFS(BS_RE33!$H$7:$H$874,BS_RE33!$S$7:$S$874,$AH$2,BS_RE33!$N$7:$N$874,I20,BS_RE33!$P$7:$P$874,'30 days CF Table(USD)'!G20,BS_RE33!$F$7:$F$874,'30 days CF Table(USD)'!$C$2)</f>
        <v>0</v>
      </c>
      <c r="AI20" s="548">
        <f>SUMIFS(BS_RE33!$H$7:$H$874,BS_RE33!$S$7:$S$874,$AI$2,BS_RE33!$N$7:$N$874,I20,BS_RE33!$P$7:$P$874,'30 days CF Table(USD)'!G20,BS_RE33!$F$7:$F$874,'30 days CF Table(USD)'!$C$2)</f>
        <v>0</v>
      </c>
      <c r="AJ20" s="548">
        <f>SUMIFS(BS_RE33!$H$7:$H$874,BS_RE33!$S$7:$S$874,$AJ$2,BS_RE33!$N$7:$N$874,I20,BS_RE33!$P$7:$P$874,'30 days CF Table(USD)'!G20,BS_RE33!$F$7:$F$874,'30 days CF Table(USD)'!$C$2)</f>
        <v>0</v>
      </c>
      <c r="AK20" s="548">
        <f>SUMIFS(BS_RE33!$H$7:$H$874,BS_RE33!$S$7:$S$874,$AK$2,BS_RE33!$N$7:$N$874,I20,BS_RE33!$P$7:$P$874,'30 days CF Table(USD)'!G20,BS_RE33!$F$7:$F$874,'30 days CF Table(USD)'!$C$2)</f>
        <v>0</v>
      </c>
      <c r="AL20" s="548">
        <f>SUMIFS(BS_RE33!$H$7:$H$874,BS_RE33!$S$7:$S$874,$AL$2,BS_RE33!$N$7:$N$874,I20,BS_RE33!$P$7:$P$874,'30 days CF Table(USD)'!G20,BS_RE33!$F$7:$F$874,'30 days CF Table(USD)'!$C$2)</f>
        <v>0</v>
      </c>
      <c r="AM20" s="548">
        <f>SUMIFS(BS_RE33!$H$7:$H$874,BS_RE33!$S$7:$S$874,$AM$2,BS_RE33!$N$7:$N$874,I20,BS_RE33!$P$7:$P$874,'30 days CF Table(USD)'!G20,BS_RE33!$F$7:$F$874,'30 days CF Table(USD)'!$C$2)</f>
        <v>0</v>
      </c>
      <c r="AN20" s="548">
        <f>SUMIFS(BS_RE33!$H$7:$H$874,BS_RE33!$S$7:$S$874,$AN$2,BS_RE33!$N$7:$N$874,I20,BS_RE33!$P$7:$P$874,'30 days CF Table(USD)'!G20,BS_RE33!$F$7:$F$874,'30 days CF Table(USD)'!$C$2)</f>
        <v>0</v>
      </c>
      <c r="AO20" s="548">
        <f>SUMIFS(BS_RE33!$H$7:$H$874,BS_RE33!$S$7:$S$874,$AO$2,BS_RE33!$N$7:$N$874,I20,BS_RE33!$P$7:$P$874,'30 days CF Table(USD)'!G20,BS_RE33!$F$7:$F$874,'30 days CF Table(USD)'!$C$2)</f>
        <v>0</v>
      </c>
      <c r="AP20" s="549">
        <f>SUMIFS(BS_RE33!$H$7:$H$874,BS_RE33!$S$7:$S$874,$AP$2,BS_RE33!$N$7:$N$874,I20,BS_RE33!$P$7:$P$874,'30 days CF Table(USD)'!G20,BS_RE33!$F$7:$F$874,'30 days CF Table(USD)'!$C$2)</f>
        <v>0</v>
      </c>
      <c r="AQ20" s="550"/>
      <c r="AR20" s="380">
        <f>SUMIFS(BS_RE33!$H$7:$H$874,BS_RE33!$S$7:$S$874,$AR$2,BS_RE33!$N$7:$N$874,I20,BS_RE33!$P$7:$P$874,'30 days CF Table(USD)'!G20,BS_RE33!$F$7:$F$874,'30 days CF Table(USD)'!$C$2)</f>
        <v>0</v>
      </c>
      <c r="AS20" s="380">
        <f>SUMIFS(BS_RE33!$H$7:$H$874,BS_RE33!$S$7:$S$874,$AS$2,BS_RE33!$N$7:$N$874,I20,BS_RE33!$P$7:$P$874,'30 days CF Table(USD)'!G20,BS_RE33!$F$7:$F$874,'30 days CF Table(USD)'!$C$2)</f>
        <v>0</v>
      </c>
      <c r="AT20" s="380">
        <f>SUMIFS(BS_RE33!$H$7:$H$874,BS_RE33!$S$7:$S$874,$AT$2,BS_RE33!$N$7:$N$874,I20,BS_RE33!$P$7:$P$874,'30 days CF Table(USD)'!G20,BS_RE33!$F$7:$F$874,'30 days CF Table(USD)'!$C$2)</f>
        <v>0</v>
      </c>
      <c r="AU20" s="380">
        <f>SUMIFS(BS_RE33!$H$7:$H$874,BS_RE33!$S$7:$S$874,$AU$2,BS_RE33!$N$7:$N$874,I20,BS_RE33!$P$7:$P$874,'30 days CF Table(USD)'!G20,BS_RE33!$F$7:$F$874,'30 days CF Table(USD)'!$C$2)</f>
        <v>0</v>
      </c>
      <c r="AV20" s="380">
        <f>SUMIFS(BS_RE33!$H$7:$H$874,BS_RE33!$S$7:$S$874,$AV$2,BS_RE33!$N$7:$N$874,I20,BS_RE33!$P$7:$P$874,'30 days CF Table(USD)'!G20,BS_RE33!$F$7:$F$874,'30 days CF Table(USD)'!$C$2)</f>
        <v>0</v>
      </c>
      <c r="AW20" s="380">
        <f>SUMIFS(BS_RE33!$H$7:$H$874,BS_RE33!$S$7:$S$874,$AW$2,BS_RE33!$N$7:$N$874,I20,BS_RE33!$P$7:$P$874,'30 days CF Table(USD)'!G20,BS_RE33!$F$7:$F$874,'30 days CF Table(USD)'!$C$2)</f>
        <v>0</v>
      </c>
      <c r="AX20" s="380">
        <f>SUMIFS(BS_RE33!$H$7:$H$874,BS_RE33!$S$7:$S$874,$AX$2,BS_RE33!$N$7:$N$874,I20,BS_RE33!$P$7:$P$874,'30 days CF Table(USD)'!G20,BS_RE33!$F$7:$F$874,'30 days CF Table(USD)'!$C$2)</f>
        <v>0</v>
      </c>
      <c r="AY20" s="380">
        <f>SUMIFS(BS_RE33!$H$7:$H$874,BS_RE33!$S$7:$S$874,$AY$2,BS_RE33!$N$7:$N$874,I20,BS_RE33!$P$7:$P$874,'30 days CF Table(USD)'!G20,BS_RE33!$F$7:$F$874,'30 days CF Table(USD)'!$C$2)</f>
        <v>0</v>
      </c>
      <c r="AZ20" s="380">
        <f>SUMIFS(BS_RE33!$H$7:$H$874,BS_RE33!$S$7:$S$874,$AZ$2,BS_RE33!$N$7:$N$874,I20,BS_RE33!$P$7:$P$874,'30 days CF Table(USD)'!G20,BS_RE33!$F$7:$F$874,'30 days CF Table(USD)'!$C$2)</f>
        <v>0</v>
      </c>
      <c r="BA20" s="380">
        <f>SUMIFS(BS_RE33!$H$7:$H$874,BS_RE33!$S$7:$S$874,$BA$2,BS_RE33!$N$7:$N$874,I20,BS_RE33!$P$7:$P$874,'30 days CF Table(USD)'!G20,BS_RE33!$F$7:$F$874,'30 days CF Table(USD)'!$C$2)</f>
        <v>0</v>
      </c>
      <c r="BB20" s="380">
        <f>SUMIFS(BS_RE33!$H$7:$H$874,BS_RE33!$S$7:$S$874,$BB$2,BS_RE33!$N$7:$N$874,I20,BS_RE33!$P$7:$P$874,'30 days CF Table(USD)'!G20,BS_RE33!$F$7:$F$874,'30 days CF Table(USD)'!$C$2)</f>
        <v>0</v>
      </c>
      <c r="BC20" s="380">
        <f>SUMIFS(BS_RE33!$H$7:$H$874,BS_RE33!$S$7:$S$874,$BC$2,BS_RE33!$N$7:$N$874,I20,BS_RE33!$P$7:$P$874,'30 days CF Table(USD)'!G20,BS_RE33!$F$7:$F$874,'30 days CF Table(USD)'!$C$2)</f>
        <v>0</v>
      </c>
      <c r="BD20" s="380">
        <f>SUMIFS(BS_RE33!$H$7:$H$874,BS_RE33!$S$7:$S$874,$BD$2,BS_RE33!$N$7:$N$874,I20,BS_RE33!$P$7:$P$874,'30 days CF Table(USD)'!G20,BS_RE33!$F$7:$F$874,'30 days CF Table(USD)'!$C$2)</f>
        <v>0</v>
      </c>
      <c r="BE20" s="380">
        <f>SUMIFS(BS_RE33!$H$7:$H$874,BS_RE33!$S$7:$S$874,$BE$2,BS_RE33!$N$7:$N$874,I20,BS_RE33!$P$7:$P$874,'30 days CF Table(USD)'!G20,BS_RE33!$F$7:$F$874,'30 days CF Table(USD)'!$C$2)</f>
        <v>0</v>
      </c>
      <c r="BF20" s="380">
        <f>SUMIFS(BS_RE33!$H$7:$H$874,BS_RE33!$S$7:$S$874,$BF$2,BS_RE33!$N$7:$N$874,I20,BS_RE33!$P$7:$P$874,'30 days CF Table(USD)'!G20,BS_RE33!$F$7:$F$874,'30 days CF Table(USD)'!$C$2)</f>
        <v>0</v>
      </c>
      <c r="BG20" s="380">
        <f>SUMIFS(BS_RE33!$H$7:$H$874,BS_RE33!$S$7:$S$874,$BG$2,BS_RE33!$N$7:$N$874,I20,BS_RE33!$P$7:$P$874,'30 days CF Table(USD)'!G20,BS_RE33!$F$7:$F$874,'30 days CF Table(USD)'!$C$2)</f>
        <v>0</v>
      </c>
      <c r="BH20" s="380">
        <f>SUMIFS(BS_RE33!$H$7:$H$874,BS_RE33!$S$7:$S$874,$BH$2,BS_RE33!$N$7:$N$874,I20,BS_RE33!$P$7:$P$874,'30 days CF Table(USD)'!G20,BS_RE33!$F$7:$F$874,'30 days CF Table(USD)'!$C$2)</f>
        <v>0</v>
      </c>
      <c r="BI20" s="380">
        <f>SUMIFS(BS_RE33!$H$7:$H$874,BS_RE33!$S$7:$S$874,$BI$2,BS_RE33!$N$7:$N$874,I20,BS_RE33!$P$7:$P$874,'30 days CF Table(USD)'!G20,BS_RE33!$F$7:$F$874,'30 days CF Table(USD)'!$C$2)</f>
        <v>0</v>
      </c>
      <c r="BJ20" s="380">
        <f>SUMIFS(BS_RE33!$H$7:$H$874,BS_RE33!$S$7:$S$874,$BJ$2,BS_RE33!$N$7:$N$874,I20,BS_RE33!$P$7:$P$874,'30 days CF Table(USD)'!G20,BS_RE33!$F$7:$F$874,'30 days CF Table(USD)'!$C$2)</f>
        <v>0</v>
      </c>
      <c r="BK20" s="380">
        <f>SUMIFS(BS_RE33!$H$7:$H$874,BS_RE33!$S$7:$S$874,$BK$2,BS_RE33!$N$7:$N$874,I20,BS_RE33!$P$7:$P$874,'30 days CF Table(USD)'!G20,BS_RE33!$F$7:$F$874,'30 days CF Table(USD)'!$C$2)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Table(USD)'!G21,BS_RE33!$F$7:$F$874,'30 days CF Table(USD)'!$C$2)</f>
        <v>0</v>
      </c>
      <c r="M21" s="548">
        <f>SUMIFS(BS_RE33!$H$7:$H$874,BS_RE33!$S$7:$S$874,$M$2,BS_RE33!$N$7:$N$874,I21,BS_RE33!$P$7:$P$874,'30 days CF Table(USD)'!G21,BS_RE33!$F$7:$F$874,'30 days CF Table(USD)'!$C$2)</f>
        <v>0</v>
      </c>
      <c r="N21" s="548">
        <f>SUMIFS(BS_RE33!$H$7:$H$874,BS_RE33!$S$7:$S$874,$N$2,BS_RE33!$N$7:$N$874,I21,BS_RE33!$P$7:$P$874,'30 days CF Table(USD)'!G21,BS_RE33!$F$7:$F$874,'30 days CF Table(USD)'!$C$2)</f>
        <v>0</v>
      </c>
      <c r="O21" s="548">
        <f>SUMIFS(BS_RE33!$H$7:$H$874,BS_RE33!$S$7:$S$874,$O$2,BS_RE33!$N$7:$N$874,I21,BS_RE33!$P$7:$P$874,'30 days CF Table(USD)'!G21,BS_RE33!$F$7:$F$874,'30 days CF Table(USD)'!$C$2)</f>
        <v>0</v>
      </c>
      <c r="P21" s="548">
        <f>SUMIFS(BS_RE33!$H$7:$H$874,BS_RE33!$S$7:$S$874,$P$2,BS_RE33!$N$7:$N$874,I21,BS_RE33!$P$7:$P$874,'30 days CF Table(USD)'!G21,BS_RE33!$F$7:$F$874,'30 days CF Table(USD)'!$C$2)</f>
        <v>0</v>
      </c>
      <c r="Q21" s="548">
        <f>SUMIFS(BS_RE33!$H$7:$H$874,BS_RE33!$S$7:$S$874,$Q$2,BS_RE33!$N$7:$N$874,I21,BS_RE33!$P$7:$P$874,'30 days CF Table(USD)'!G21,BS_RE33!$F$7:$F$874,'30 days CF Table(USD)'!$C$2)</f>
        <v>0</v>
      </c>
      <c r="R21" s="548">
        <f>SUMIFS(BS_RE33!$H$7:$H$874,BS_RE33!$S$7:$S$874,$R$2,BS_RE33!$N$7:$N$874,I21,BS_RE33!$P$7:$P$874,'30 days CF Table(USD)'!G21,BS_RE33!$F$7:$F$874,'30 days CF Table(USD)'!$C$2)</f>
        <v>0</v>
      </c>
      <c r="S21" s="548">
        <f>SUMIFS(BS_RE33!$H$7:$H$874,BS_RE33!$S$7:$S$874,$S$2,BS_RE33!$N$7:$N$874,I21,BS_RE33!$P$7:$P$874,'30 days CF Table(USD)'!G21,BS_RE33!$F$7:$F$874,'30 days CF Table(USD)'!$C$2)</f>
        <v>0</v>
      </c>
      <c r="T21" s="548">
        <f>SUMIFS(BS_RE33!$H$7:$H$874,BS_RE33!$S$7:$S$874,$T$2,BS_RE33!$N$7:$N$874,I21,BS_RE33!$P$7:$P$874,'30 days CF Table(USD)'!G21,BS_RE33!$F$7:$F$874,'30 days CF Table(USD)'!$C$2)</f>
        <v>0</v>
      </c>
      <c r="U21" s="548">
        <f>SUMIFS(BS_RE33!$H$7:$H$874,BS_RE33!$S$7:$S$874,$U$2,BS_RE33!$N$7:$N$874,I21,BS_RE33!$P$7:$P$874,'30 days CF Table(USD)'!G21,BS_RE33!$F$7:$F$874,'30 days CF Table(USD)'!$C$2)</f>
        <v>0</v>
      </c>
      <c r="V21" s="548">
        <f>SUMIFS(BS_RE33!$H$7:$H$874,BS_RE33!$S$7:$S$874,$V$2,BS_RE33!$N$7:$N$874,I21,BS_RE33!$P$7:$P$874,'30 days CF Table(USD)'!G21,BS_RE33!$F$7:$F$874,'30 days CF Table(USD)'!$C$2)</f>
        <v>0</v>
      </c>
      <c r="W21" s="548">
        <f>SUMIFS(BS_RE33!$H$7:$H$874,BS_RE33!$S$7:$S$874,$W$2,BS_RE33!$N$7:$N$874,I21,BS_RE33!$P$7:$P$874,'30 days CF Table(USD)'!G21,BS_RE33!$F$7:$F$874,'30 days CF Table(USD)'!$C$2)</f>
        <v>0</v>
      </c>
      <c r="X21" s="548">
        <f>SUMIFS(BS_RE33!$H$7:$H$874,BS_RE33!$S$7:$S$874,$X$2,BS_RE33!$N$7:$N$874,I21,BS_RE33!$P$7:$P$874,'30 days CF Table(USD)'!G21,BS_RE33!$F$7:$F$874,'30 days CF Table(USD)'!$C$2)</f>
        <v>0</v>
      </c>
      <c r="Y21" s="548">
        <f>SUMIFS(BS_RE33!$H$7:$H$874,BS_RE33!$S$7:$S$874,$Y$2,BS_RE33!$N$7:$N$874,I21,BS_RE33!$P$7:$P$874,'30 days CF Table(USD)'!G21,BS_RE33!$F$7:$F$874,'30 days CF Table(USD)'!$C$2)</f>
        <v>0</v>
      </c>
      <c r="Z21" s="548">
        <f>SUMIFS(BS_RE33!$H$7:$H$874,BS_RE33!$S$7:$S$874,$Z$2,BS_RE33!$N$7:$N$874,I21,BS_RE33!$P$7:$P$874,'30 days CF Table(USD)'!G21,BS_RE33!$F$7:$F$874,'30 days CF Table(USD)'!$C$2)</f>
        <v>0</v>
      </c>
      <c r="AA21" s="548">
        <f>SUMIFS(BS_RE33!$H$7:$H$874,BS_RE33!$S$7:$S$874,$AA$2,BS_RE33!$N$7:$N$874,I21,BS_RE33!$P$7:$P$874,'30 days CF Table(USD)'!G21,BS_RE33!$F$7:$F$874,'30 days CF Table(USD)'!$C$2)</f>
        <v>0</v>
      </c>
      <c r="AB21" s="548">
        <f>SUMIFS(BS_RE33!$H$7:$H$874,BS_RE33!$S$7:$S$874,$AB$2,BS_RE33!$N$7:$N$874,I21,BS_RE33!$P$7:$P$874,'30 days CF Table(USD)'!G21,BS_RE33!$F$7:$F$874,'30 days CF Table(USD)'!$C$2)</f>
        <v>0</v>
      </c>
      <c r="AC21" s="548">
        <f>SUMIFS(BS_RE33!$H$7:$H$874,BS_RE33!$S$7:$S$874,$AC$2,BS_RE33!$N$7:$N$874,I21,BS_RE33!$P$7:$P$874,'30 days CF Table(USD)'!G21,BS_RE33!$F$7:$F$874,'30 days CF Table(USD)'!$C$2)</f>
        <v>0</v>
      </c>
      <c r="AD21" s="548">
        <f>SUMIFS(BS_RE33!$H$7:$H$874,BS_RE33!$S$7:$S$874,$AD$2,BS_RE33!$N$7:$N$874,I21,BS_RE33!$P$7:$P$874,'30 days CF Table(USD)'!G21,BS_RE33!$F$7:$F$874,'30 days CF Table(USD)'!$C$2)</f>
        <v>0</v>
      </c>
      <c r="AE21" s="548">
        <f>SUMIFS(BS_RE33!$H$7:$H$874,BS_RE33!$S$7:$S$874,$AE$2,BS_RE33!$N$7:$N$874,I21,BS_RE33!$P$7:$P$874,'30 days CF Table(USD)'!G21,BS_RE33!$F$7:$F$874,'30 days CF Table(USD)'!$C$2)</f>
        <v>0</v>
      </c>
      <c r="AF21" s="548">
        <f>SUMIFS(BS_RE33!$H$7:$H$874,BS_RE33!$S$7:$S$874,$AF$2,BS_RE33!$N$7:$N$874,I21,BS_RE33!$P$7:$P$874,'30 days CF Table(USD)'!G21,BS_RE33!$F$7:$F$874,'30 days CF Table(USD)'!$C$2)</f>
        <v>0</v>
      </c>
      <c r="AG21" s="548">
        <f>SUMIFS(BS_RE33!$H$7:$H$874,BS_RE33!$S$7:$S$874,$AG$2,BS_RE33!$N$7:$N$874,I21,BS_RE33!$P$7:$P$874,'30 days CF Table(USD)'!G21,BS_RE33!$F$7:$F$874,'30 days CF Table(USD)'!$C$2)</f>
        <v>0</v>
      </c>
      <c r="AH21" s="548">
        <f>SUMIFS(BS_RE33!$H$7:$H$874,BS_RE33!$S$7:$S$874,$AH$2,BS_RE33!$N$7:$N$874,I21,BS_RE33!$P$7:$P$874,'30 days CF Table(USD)'!G21,BS_RE33!$F$7:$F$874,'30 days CF Table(USD)'!$C$2)</f>
        <v>0</v>
      </c>
      <c r="AI21" s="548">
        <f>SUMIFS(BS_RE33!$H$7:$H$874,BS_RE33!$S$7:$S$874,$AI$2,BS_RE33!$N$7:$N$874,I21,BS_RE33!$P$7:$P$874,'30 days CF Table(USD)'!G21,BS_RE33!$F$7:$F$874,'30 days CF Table(USD)'!$C$2)</f>
        <v>0</v>
      </c>
      <c r="AJ21" s="548">
        <f>SUMIFS(BS_RE33!$H$7:$H$874,BS_RE33!$S$7:$S$874,$AJ$2,BS_RE33!$N$7:$N$874,I21,BS_RE33!$P$7:$P$874,'30 days CF Table(USD)'!G21,BS_RE33!$F$7:$F$874,'30 days CF Table(USD)'!$C$2)</f>
        <v>0</v>
      </c>
      <c r="AK21" s="548">
        <f>SUMIFS(BS_RE33!$H$7:$H$874,BS_RE33!$S$7:$S$874,$AK$2,BS_RE33!$N$7:$N$874,I21,BS_RE33!$P$7:$P$874,'30 days CF Table(USD)'!G21,BS_RE33!$F$7:$F$874,'30 days CF Table(USD)'!$C$2)</f>
        <v>0</v>
      </c>
      <c r="AL21" s="548">
        <f>SUMIFS(BS_RE33!$H$7:$H$874,BS_RE33!$S$7:$S$874,$AL$2,BS_RE33!$N$7:$N$874,I21,BS_RE33!$P$7:$P$874,'30 days CF Table(USD)'!G21,BS_RE33!$F$7:$F$874,'30 days CF Table(USD)'!$C$2)</f>
        <v>0</v>
      </c>
      <c r="AM21" s="548">
        <f>SUMIFS(BS_RE33!$H$7:$H$874,BS_RE33!$S$7:$S$874,$AM$2,BS_RE33!$N$7:$N$874,I21,BS_RE33!$P$7:$P$874,'30 days CF Table(USD)'!G21,BS_RE33!$F$7:$F$874,'30 days CF Table(USD)'!$C$2)</f>
        <v>0</v>
      </c>
      <c r="AN21" s="548">
        <f>SUMIFS(BS_RE33!$H$7:$H$874,BS_RE33!$S$7:$S$874,$AN$2,BS_RE33!$N$7:$N$874,I21,BS_RE33!$P$7:$P$874,'30 days CF Table(USD)'!G21,BS_RE33!$F$7:$F$874,'30 days CF Table(USD)'!$C$2)</f>
        <v>0</v>
      </c>
      <c r="AO21" s="548">
        <f>SUMIFS(BS_RE33!$H$7:$H$874,BS_RE33!$S$7:$S$874,$AO$2,BS_RE33!$N$7:$N$874,I21,BS_RE33!$P$7:$P$874,'30 days CF Table(USD)'!G21,BS_RE33!$F$7:$F$874,'30 days CF Table(USD)'!$C$2)</f>
        <v>0</v>
      </c>
      <c r="AP21" s="549">
        <f>SUMIFS(BS_RE33!$H$7:$H$874,BS_RE33!$S$7:$S$874,$AP$2,BS_RE33!$N$7:$N$874,I21,BS_RE33!$P$7:$P$874,'30 days CF Table(USD)'!G21,BS_RE33!$F$7:$F$874,'30 days CF Table(USD)'!$C$2)</f>
        <v>0</v>
      </c>
      <c r="AQ21" s="550"/>
      <c r="AR21" s="380">
        <f>SUMIFS(BS_RE33!$H$7:$H$874,BS_RE33!$S$7:$S$874,$AR$2,BS_RE33!$N$7:$N$874,I21,BS_RE33!$P$7:$P$874,'30 days CF Table(USD)'!G21,BS_RE33!$F$7:$F$874,'30 days CF Table(USD)'!$C$2)</f>
        <v>0</v>
      </c>
      <c r="AS21" s="380">
        <f>SUMIFS(BS_RE33!$H$7:$H$874,BS_RE33!$S$7:$S$874,$AS$2,BS_RE33!$N$7:$N$874,I21,BS_RE33!$P$7:$P$874,'30 days CF Table(USD)'!G21,BS_RE33!$F$7:$F$874,'30 days CF Table(USD)'!$C$2)</f>
        <v>0</v>
      </c>
      <c r="AT21" s="380">
        <f>SUMIFS(BS_RE33!$H$7:$H$874,BS_RE33!$S$7:$S$874,$AT$2,BS_RE33!$N$7:$N$874,I21,BS_RE33!$P$7:$P$874,'30 days CF Table(USD)'!G21,BS_RE33!$F$7:$F$874,'30 days CF Table(USD)'!$C$2)</f>
        <v>0</v>
      </c>
      <c r="AU21" s="380">
        <f>SUMIFS(BS_RE33!$H$7:$H$874,BS_RE33!$S$7:$S$874,$AU$2,BS_RE33!$N$7:$N$874,I21,BS_RE33!$P$7:$P$874,'30 days CF Table(USD)'!G21,BS_RE33!$F$7:$F$874,'30 days CF Table(USD)'!$C$2)</f>
        <v>0</v>
      </c>
      <c r="AV21" s="380">
        <f>SUMIFS(BS_RE33!$H$7:$H$874,BS_RE33!$S$7:$S$874,$AV$2,BS_RE33!$N$7:$N$874,I21,BS_RE33!$P$7:$P$874,'30 days CF Table(USD)'!G21,BS_RE33!$F$7:$F$874,'30 days CF Table(USD)'!$C$2)</f>
        <v>0</v>
      </c>
      <c r="AW21" s="380">
        <f>SUMIFS(BS_RE33!$H$7:$H$874,BS_RE33!$S$7:$S$874,$AW$2,BS_RE33!$N$7:$N$874,I21,BS_RE33!$P$7:$P$874,'30 days CF Table(USD)'!G21,BS_RE33!$F$7:$F$874,'30 days CF Table(USD)'!$C$2)</f>
        <v>0</v>
      </c>
      <c r="AX21" s="380">
        <f>SUMIFS(BS_RE33!$H$7:$H$874,BS_RE33!$S$7:$S$874,$AX$2,BS_RE33!$N$7:$N$874,I21,BS_RE33!$P$7:$P$874,'30 days CF Table(USD)'!G21,BS_RE33!$F$7:$F$874,'30 days CF Table(USD)'!$C$2)</f>
        <v>0</v>
      </c>
      <c r="AY21" s="380">
        <f>SUMIFS(BS_RE33!$H$7:$H$874,BS_RE33!$S$7:$S$874,$AY$2,BS_RE33!$N$7:$N$874,I21,BS_RE33!$P$7:$P$874,'30 days CF Table(USD)'!G21,BS_RE33!$F$7:$F$874,'30 days CF Table(USD)'!$C$2)</f>
        <v>0</v>
      </c>
      <c r="AZ21" s="380">
        <f>SUMIFS(BS_RE33!$H$7:$H$874,BS_RE33!$S$7:$S$874,$AZ$2,BS_RE33!$N$7:$N$874,I21,BS_RE33!$P$7:$P$874,'30 days CF Table(USD)'!G21,BS_RE33!$F$7:$F$874,'30 days CF Table(USD)'!$C$2)</f>
        <v>0</v>
      </c>
      <c r="BA21" s="380">
        <f>SUMIFS(BS_RE33!$H$7:$H$874,BS_RE33!$S$7:$S$874,$BA$2,BS_RE33!$N$7:$N$874,I21,BS_RE33!$P$7:$P$874,'30 days CF Table(USD)'!G21,BS_RE33!$F$7:$F$874,'30 days CF Table(USD)'!$C$2)</f>
        <v>0</v>
      </c>
      <c r="BB21" s="380">
        <f>SUMIFS(BS_RE33!$H$7:$H$874,BS_RE33!$S$7:$S$874,$BB$2,BS_RE33!$N$7:$N$874,I21,BS_RE33!$P$7:$P$874,'30 days CF Table(USD)'!G21,BS_RE33!$F$7:$F$874,'30 days CF Table(USD)'!$C$2)</f>
        <v>0</v>
      </c>
      <c r="BC21" s="380">
        <f>SUMIFS(BS_RE33!$H$7:$H$874,BS_RE33!$S$7:$S$874,$BC$2,BS_RE33!$N$7:$N$874,I21,BS_RE33!$P$7:$P$874,'30 days CF Table(USD)'!G21,BS_RE33!$F$7:$F$874,'30 days CF Table(USD)'!$C$2)</f>
        <v>0</v>
      </c>
      <c r="BD21" s="380">
        <f>SUMIFS(BS_RE33!$H$7:$H$874,BS_RE33!$S$7:$S$874,$BD$2,BS_RE33!$N$7:$N$874,I21,BS_RE33!$P$7:$P$874,'30 days CF Table(USD)'!G21,BS_RE33!$F$7:$F$874,'30 days CF Table(USD)'!$C$2)</f>
        <v>0</v>
      </c>
      <c r="BE21" s="380">
        <f>SUMIFS(BS_RE33!$H$7:$H$874,BS_RE33!$S$7:$S$874,$BE$2,BS_RE33!$N$7:$N$874,I21,BS_RE33!$P$7:$P$874,'30 days CF Table(USD)'!G21,BS_RE33!$F$7:$F$874,'30 days CF Table(USD)'!$C$2)</f>
        <v>0</v>
      </c>
      <c r="BF21" s="380">
        <f>SUMIFS(BS_RE33!$H$7:$H$874,BS_RE33!$S$7:$S$874,$BF$2,BS_RE33!$N$7:$N$874,I21,BS_RE33!$P$7:$P$874,'30 days CF Table(USD)'!G21,BS_RE33!$F$7:$F$874,'30 days CF Table(USD)'!$C$2)</f>
        <v>0</v>
      </c>
      <c r="BG21" s="380">
        <f>SUMIFS(BS_RE33!$H$7:$H$874,BS_RE33!$S$7:$S$874,$BG$2,BS_RE33!$N$7:$N$874,I21,BS_RE33!$P$7:$P$874,'30 days CF Table(USD)'!G21,BS_RE33!$F$7:$F$874,'30 days CF Table(USD)'!$C$2)</f>
        <v>0</v>
      </c>
      <c r="BH21" s="380">
        <f>SUMIFS(BS_RE33!$H$7:$H$874,BS_RE33!$S$7:$S$874,$BH$2,BS_RE33!$N$7:$N$874,I21,BS_RE33!$P$7:$P$874,'30 days CF Table(USD)'!G21,BS_RE33!$F$7:$F$874,'30 days CF Table(USD)'!$C$2)</f>
        <v>0</v>
      </c>
      <c r="BI21" s="380">
        <f>SUMIFS(BS_RE33!$H$7:$H$874,BS_RE33!$S$7:$S$874,$BI$2,BS_RE33!$N$7:$N$874,I21,BS_RE33!$P$7:$P$874,'30 days CF Table(USD)'!G21,BS_RE33!$F$7:$F$874,'30 days CF Table(USD)'!$C$2)</f>
        <v>0</v>
      </c>
      <c r="BJ21" s="380">
        <f>SUMIFS(BS_RE33!$H$7:$H$874,BS_RE33!$S$7:$S$874,$BJ$2,BS_RE33!$N$7:$N$874,I21,BS_RE33!$P$7:$P$874,'30 days CF Table(USD)'!G21,BS_RE33!$F$7:$F$874,'30 days CF Table(USD)'!$C$2)</f>
        <v>0</v>
      </c>
      <c r="BK21" s="380">
        <f>SUMIFS(BS_RE33!$H$7:$H$874,BS_RE33!$S$7:$S$874,$BK$2,BS_RE33!$N$7:$N$874,I21,BS_RE33!$P$7:$P$874,'30 days CF Table(USD)'!G21,BS_RE33!$F$7:$F$874,'30 days CF Table(USD)'!$C$2)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Table(USD)'!G22,BS_RE33!$F$7:$F$874,'30 days CF Table(USD)'!$C$2)</f>
        <v>0</v>
      </c>
      <c r="M22" s="337">
        <f>SUMIFS(BS_RE33!$H$7:$H$874,BS_RE33!$S$7:$S$874,$M$2,BS_RE33!$N$7:$N$874,I22,BS_RE33!$P$7:$P$874,'30 days CF Table(USD)'!G22,BS_RE33!$F$7:$F$874,'30 days CF Table(USD)'!$C$2)</f>
        <v>0</v>
      </c>
      <c r="N22" s="337">
        <f>SUMIFS(BS_RE33!$H$7:$H$874,BS_RE33!$S$7:$S$874,$N$2,BS_RE33!$N$7:$N$874,I22,BS_RE33!$P$7:$P$874,'30 days CF Table(USD)'!G22,BS_RE33!$F$7:$F$874,'30 days CF Table(USD)'!$C$2)</f>
        <v>0</v>
      </c>
      <c r="O22" s="337">
        <f>SUMIFS(BS_RE33!$H$7:$H$874,BS_RE33!$S$7:$S$874,$O$2,BS_RE33!$N$7:$N$874,I22,BS_RE33!$P$7:$P$874,'30 days CF Table(USD)'!G22,BS_RE33!$F$7:$F$874,'30 days CF Table(USD)'!$C$2)</f>
        <v>0</v>
      </c>
      <c r="P22" s="337">
        <f>SUMIFS(BS_RE33!$H$7:$H$874,BS_RE33!$S$7:$S$874,$P$2,BS_RE33!$N$7:$N$874,I22,BS_RE33!$P$7:$P$874,'30 days CF Table(USD)'!G22,BS_RE33!$F$7:$F$874,'30 days CF Table(USD)'!$C$2)</f>
        <v>0</v>
      </c>
      <c r="Q22" s="337">
        <f>SUMIFS(BS_RE33!$H$7:$H$874,BS_RE33!$S$7:$S$874,$Q$2,BS_RE33!$N$7:$N$874,I22,BS_RE33!$P$7:$P$874,'30 days CF Table(USD)'!G22,BS_RE33!$F$7:$F$874,'30 days CF Table(USD)'!$C$2)</f>
        <v>0</v>
      </c>
      <c r="R22" s="337">
        <f>SUMIFS(BS_RE33!$H$7:$H$874,BS_RE33!$S$7:$S$874,$R$2,BS_RE33!$N$7:$N$874,I22,BS_RE33!$P$7:$P$874,'30 days CF Table(USD)'!G22,BS_RE33!$F$7:$F$874,'30 days CF Table(USD)'!$C$2)</f>
        <v>0</v>
      </c>
      <c r="S22" s="337">
        <f>SUMIFS(BS_RE33!$H$7:$H$874,BS_RE33!$S$7:$S$874,$S$2,BS_RE33!$N$7:$N$874,I22,BS_RE33!$P$7:$P$874,'30 days CF Table(USD)'!G22,BS_RE33!$F$7:$F$874,'30 days CF Table(USD)'!$C$2)</f>
        <v>0</v>
      </c>
      <c r="T22" s="337">
        <f>SUMIFS(BS_RE33!$H$7:$H$874,BS_RE33!$S$7:$S$874,$T$2,BS_RE33!$N$7:$N$874,I22,BS_RE33!$P$7:$P$874,'30 days CF Table(USD)'!G22,BS_RE33!$F$7:$F$874,'30 days CF Table(USD)'!$C$2)</f>
        <v>0</v>
      </c>
      <c r="U22" s="337">
        <f>SUMIFS(BS_RE33!$H$7:$H$874,BS_RE33!$S$7:$S$874,$U$2,BS_RE33!$N$7:$N$874,I22,BS_RE33!$P$7:$P$874,'30 days CF Table(USD)'!G22,BS_RE33!$F$7:$F$874,'30 days CF Table(USD)'!$C$2)</f>
        <v>0</v>
      </c>
      <c r="V22" s="337">
        <f>SUMIFS(BS_RE33!$H$7:$H$874,BS_RE33!$S$7:$S$874,$V$2,BS_RE33!$N$7:$N$874,I22,BS_RE33!$P$7:$P$874,'30 days CF Table(USD)'!G22,BS_RE33!$F$7:$F$874,'30 days CF Table(USD)'!$C$2)</f>
        <v>0</v>
      </c>
      <c r="W22" s="337">
        <f>SUMIFS(BS_RE33!$H$7:$H$874,BS_RE33!$S$7:$S$874,$W$2,BS_RE33!$N$7:$N$874,I22,BS_RE33!$P$7:$P$874,'30 days CF Table(USD)'!G22,BS_RE33!$F$7:$F$874,'30 days CF Table(USD)'!$C$2)</f>
        <v>0</v>
      </c>
      <c r="X22" s="337">
        <f>SUMIFS(BS_RE33!$H$7:$H$874,BS_RE33!$S$7:$S$874,$X$2,BS_RE33!$N$7:$N$874,I22,BS_RE33!$P$7:$P$874,'30 days CF Table(USD)'!G22,BS_RE33!$F$7:$F$874,'30 days CF Table(USD)'!$C$2)</f>
        <v>0</v>
      </c>
      <c r="Y22" s="337">
        <f>SUMIFS(BS_RE33!$H$7:$H$874,BS_RE33!$S$7:$S$874,$Y$2,BS_RE33!$N$7:$N$874,I22,BS_RE33!$P$7:$P$874,'30 days CF Table(USD)'!G22,BS_RE33!$F$7:$F$874,'30 days CF Table(USD)'!$C$2)</f>
        <v>0</v>
      </c>
      <c r="Z22" s="337">
        <f>SUMIFS(BS_RE33!$H$7:$H$874,BS_RE33!$S$7:$S$874,$Z$2,BS_RE33!$N$7:$N$874,I22,BS_RE33!$P$7:$P$874,'30 days CF Table(USD)'!G22,BS_RE33!$F$7:$F$874,'30 days CF Table(USD)'!$C$2)</f>
        <v>0</v>
      </c>
      <c r="AA22" s="337">
        <f>SUMIFS(BS_RE33!$H$7:$H$874,BS_RE33!$S$7:$S$874,$AA$2,BS_RE33!$N$7:$N$874,I22,BS_RE33!$P$7:$P$874,'30 days CF Table(USD)'!G22,BS_RE33!$F$7:$F$874,'30 days CF Table(USD)'!$C$2)</f>
        <v>0</v>
      </c>
      <c r="AB22" s="337">
        <f>SUMIFS(BS_RE33!$H$7:$H$874,BS_RE33!$S$7:$S$874,$AB$2,BS_RE33!$N$7:$N$874,I22,BS_RE33!$P$7:$P$874,'30 days CF Table(USD)'!G22,BS_RE33!$F$7:$F$874,'30 days CF Table(USD)'!$C$2)</f>
        <v>0</v>
      </c>
      <c r="AC22" s="337">
        <f>SUMIFS(BS_RE33!$H$7:$H$874,BS_RE33!$S$7:$S$874,$AC$2,BS_RE33!$N$7:$N$874,I22,BS_RE33!$P$7:$P$874,'30 days CF Table(USD)'!G22,BS_RE33!$F$7:$F$874,'30 days CF Table(USD)'!$C$2)</f>
        <v>0</v>
      </c>
      <c r="AD22" s="337">
        <f>SUMIFS(BS_RE33!$H$7:$H$874,BS_RE33!$S$7:$S$874,$AD$2,BS_RE33!$N$7:$N$874,I22,BS_RE33!$P$7:$P$874,'30 days CF Table(USD)'!G22,BS_RE33!$F$7:$F$874,'30 days CF Table(USD)'!$C$2)</f>
        <v>0</v>
      </c>
      <c r="AE22" s="337">
        <f>SUMIFS(BS_RE33!$H$7:$H$874,BS_RE33!$S$7:$S$874,$AE$2,BS_RE33!$N$7:$N$874,I22,BS_RE33!$P$7:$P$874,'30 days CF Table(USD)'!G22,BS_RE33!$F$7:$F$874,'30 days CF Table(USD)'!$C$2)</f>
        <v>0</v>
      </c>
      <c r="AF22" s="337">
        <f>SUMIFS(BS_RE33!$H$7:$H$874,BS_RE33!$S$7:$S$874,$AF$2,BS_RE33!$N$7:$N$874,I22,BS_RE33!$P$7:$P$874,'30 days CF Table(USD)'!G22,BS_RE33!$F$7:$F$874,'30 days CF Table(USD)'!$C$2)</f>
        <v>0</v>
      </c>
      <c r="AG22" s="337">
        <f>SUMIFS(BS_RE33!$H$7:$H$874,BS_RE33!$S$7:$S$874,$AG$2,BS_RE33!$N$7:$N$874,I22,BS_RE33!$P$7:$P$874,'30 days CF Table(USD)'!G22,BS_RE33!$F$7:$F$874,'30 days CF Table(USD)'!$C$2)</f>
        <v>0</v>
      </c>
      <c r="AH22" s="337">
        <f>SUMIFS(BS_RE33!$H$7:$H$874,BS_RE33!$S$7:$S$874,$AH$2,BS_RE33!$N$7:$N$874,I22,BS_RE33!$P$7:$P$874,'30 days CF Table(USD)'!G22,BS_RE33!$F$7:$F$874,'30 days CF Table(USD)'!$C$2)</f>
        <v>0</v>
      </c>
      <c r="AI22" s="337">
        <f>SUMIFS(BS_RE33!$H$7:$H$874,BS_RE33!$S$7:$S$874,$AI$2,BS_RE33!$N$7:$N$874,I22,BS_RE33!$P$7:$P$874,'30 days CF Table(USD)'!G22,BS_RE33!$F$7:$F$874,'30 days CF Table(USD)'!$C$2)</f>
        <v>0</v>
      </c>
      <c r="AJ22" s="337">
        <f>SUMIFS(BS_RE33!$H$7:$H$874,BS_RE33!$S$7:$S$874,$AJ$2,BS_RE33!$N$7:$N$874,I22,BS_RE33!$P$7:$P$874,'30 days CF Table(USD)'!G22,BS_RE33!$F$7:$F$874,'30 days CF Table(USD)'!$C$2)</f>
        <v>0</v>
      </c>
      <c r="AK22" s="337">
        <f>SUMIFS(BS_RE33!$H$7:$H$874,BS_RE33!$S$7:$S$874,$AK$2,BS_RE33!$N$7:$N$874,I22,BS_RE33!$P$7:$P$874,'30 days CF Table(USD)'!G22,BS_RE33!$F$7:$F$874,'30 days CF Table(USD)'!$C$2)</f>
        <v>0</v>
      </c>
      <c r="AL22" s="337">
        <f>SUMIFS(BS_RE33!$H$7:$H$874,BS_RE33!$S$7:$S$874,$AL$2,BS_RE33!$N$7:$N$874,I22,BS_RE33!$P$7:$P$874,'30 days CF Table(USD)'!G22,BS_RE33!$F$7:$F$874,'30 days CF Table(USD)'!$C$2)</f>
        <v>0</v>
      </c>
      <c r="AM22" s="337">
        <f>SUMIFS(BS_RE33!$H$7:$H$874,BS_RE33!$S$7:$S$874,$AM$2,BS_RE33!$N$7:$N$874,I22,BS_RE33!$P$7:$P$874,'30 days CF Table(USD)'!G22,BS_RE33!$F$7:$F$874,'30 days CF Table(USD)'!$C$2)</f>
        <v>0</v>
      </c>
      <c r="AN22" s="337">
        <f>SUMIFS(BS_RE33!$H$7:$H$874,BS_RE33!$S$7:$S$874,$AN$2,BS_RE33!$N$7:$N$874,I22,BS_RE33!$P$7:$P$874,'30 days CF Table(USD)'!G22,BS_RE33!$F$7:$F$874,'30 days CF Table(USD)'!$C$2)</f>
        <v>0</v>
      </c>
      <c r="AO22" s="337">
        <f>SUMIFS(BS_RE33!$H$7:$H$874,BS_RE33!$S$7:$S$874,$AO$2,BS_RE33!$N$7:$N$874,I22,BS_RE33!$P$7:$P$874,'30 days CF Table(USD)'!G22,BS_RE33!$F$7:$F$874,'30 days CF Table(USD)'!$C$2)</f>
        <v>0</v>
      </c>
      <c r="AP22" s="338">
        <f>SUMIFS(BS_RE33!$H$7:$H$874,BS_RE33!$S$7:$S$874,$AP$2,BS_RE33!$N$7:$N$874,I22,BS_RE33!$P$7:$P$874,'30 days CF Table(USD)'!G22,BS_RE33!$F$7:$F$874,'30 days CF Table(USD)'!$C$2)</f>
        <v>0</v>
      </c>
      <c r="AQ22" s="545"/>
      <c r="AR22" s="379">
        <f>SUMIFS(BS_RE33!$H$7:$H$874,BS_RE33!$S$7:$S$874,$AR$2,BS_RE33!$N$7:$N$874,I22,BS_RE33!$P$7:$P$874,'30 days CF Table(USD)'!G22,BS_RE33!$F$7:$F$874,'30 days CF Table(USD)'!$C$2)</f>
        <v>0</v>
      </c>
      <c r="AS22" s="379">
        <f>SUMIFS(BS_RE33!$H$7:$H$874,BS_RE33!$S$7:$S$874,$AS$2,BS_RE33!$N$7:$N$874,I22,BS_RE33!$P$7:$P$874,'30 days CF Table(USD)'!G22,BS_RE33!$F$7:$F$874,'30 days CF Table(USD)'!$C$2)</f>
        <v>0</v>
      </c>
      <c r="AT22" s="379">
        <f>SUMIFS(BS_RE33!$H$7:$H$874,BS_RE33!$S$7:$S$874,$AT$2,BS_RE33!$N$7:$N$874,I22,BS_RE33!$P$7:$P$874,'30 days CF Table(USD)'!G22,BS_RE33!$F$7:$F$874,'30 days CF Table(USD)'!$C$2)</f>
        <v>0</v>
      </c>
      <c r="AU22" s="379">
        <f>SUMIFS(BS_RE33!$H$7:$H$874,BS_RE33!$S$7:$S$874,$AU$2,BS_RE33!$N$7:$N$874,I22,BS_RE33!$P$7:$P$874,'30 days CF Table(USD)'!G22,BS_RE33!$F$7:$F$874,'30 days CF Table(USD)'!$C$2)</f>
        <v>0</v>
      </c>
      <c r="AV22" s="379">
        <f>SUMIFS(BS_RE33!$H$7:$H$874,BS_RE33!$S$7:$S$874,$AV$2,BS_RE33!$N$7:$N$874,I22,BS_RE33!$P$7:$P$874,'30 days CF Table(USD)'!G22,BS_RE33!$F$7:$F$874,'30 days CF Table(USD)'!$C$2)</f>
        <v>0</v>
      </c>
      <c r="AW22" s="379">
        <f>SUMIFS(BS_RE33!$H$7:$H$874,BS_RE33!$S$7:$S$874,$AW$2,BS_RE33!$N$7:$N$874,I22,BS_RE33!$P$7:$P$874,'30 days CF Table(USD)'!G22,BS_RE33!$F$7:$F$874,'30 days CF Table(USD)'!$C$2)</f>
        <v>0</v>
      </c>
      <c r="AX22" s="379">
        <f>SUMIFS(BS_RE33!$H$7:$H$874,BS_RE33!$S$7:$S$874,$AX$2,BS_RE33!$N$7:$N$874,I22,BS_RE33!$P$7:$P$874,'30 days CF Table(USD)'!G22,BS_RE33!$F$7:$F$874,'30 days CF Table(USD)'!$C$2)</f>
        <v>0</v>
      </c>
      <c r="AY22" s="379">
        <f>SUMIFS(BS_RE33!$H$7:$H$874,BS_RE33!$S$7:$S$874,$AY$2,BS_RE33!$N$7:$N$874,I22,BS_RE33!$P$7:$P$874,'30 days CF Table(USD)'!G22,BS_RE33!$F$7:$F$874,'30 days CF Table(USD)'!$C$2)</f>
        <v>0</v>
      </c>
      <c r="AZ22" s="379">
        <f>SUMIFS(BS_RE33!$H$7:$H$874,BS_RE33!$S$7:$S$874,$AZ$2,BS_RE33!$N$7:$N$874,I22,BS_RE33!$P$7:$P$874,'30 days CF Table(USD)'!G22,BS_RE33!$F$7:$F$874,'30 days CF Table(USD)'!$C$2)</f>
        <v>0</v>
      </c>
      <c r="BA22" s="379">
        <f>SUMIFS(BS_RE33!$H$7:$H$874,BS_RE33!$S$7:$S$874,$BA$2,BS_RE33!$N$7:$N$874,I22,BS_RE33!$P$7:$P$874,'30 days CF Table(USD)'!G22,BS_RE33!$F$7:$F$874,'30 days CF Table(USD)'!$C$2)</f>
        <v>0</v>
      </c>
      <c r="BB22" s="379">
        <f>SUMIFS(BS_RE33!$H$7:$H$874,BS_RE33!$S$7:$S$874,$BB$2,BS_RE33!$N$7:$N$874,I22,BS_RE33!$P$7:$P$874,'30 days CF Table(USD)'!G22,BS_RE33!$F$7:$F$874,'30 days CF Table(USD)'!$C$2)</f>
        <v>0</v>
      </c>
      <c r="BC22" s="379">
        <f>SUMIFS(BS_RE33!$H$7:$H$874,BS_RE33!$S$7:$S$874,$BC$2,BS_RE33!$N$7:$N$874,I22,BS_RE33!$P$7:$P$874,'30 days CF Table(USD)'!G22,BS_RE33!$F$7:$F$874,'30 days CF Table(USD)'!$C$2)</f>
        <v>0</v>
      </c>
      <c r="BD22" s="379">
        <f>SUMIFS(BS_RE33!$H$7:$H$874,BS_RE33!$S$7:$S$874,$BD$2,BS_RE33!$N$7:$N$874,I22,BS_RE33!$P$7:$P$874,'30 days CF Table(USD)'!G22,BS_RE33!$F$7:$F$874,'30 days CF Table(USD)'!$C$2)</f>
        <v>0</v>
      </c>
      <c r="BE22" s="379">
        <f>SUMIFS(BS_RE33!$H$7:$H$874,BS_RE33!$S$7:$S$874,$BE$2,BS_RE33!$N$7:$N$874,I22,BS_RE33!$P$7:$P$874,'30 days CF Table(USD)'!G22,BS_RE33!$F$7:$F$874,'30 days CF Table(USD)'!$C$2)</f>
        <v>0</v>
      </c>
      <c r="BF22" s="379">
        <f>SUMIFS(BS_RE33!$H$7:$H$874,BS_RE33!$S$7:$S$874,$BF$2,BS_RE33!$N$7:$N$874,I22,BS_RE33!$P$7:$P$874,'30 days CF Table(USD)'!G22,BS_RE33!$F$7:$F$874,'30 days CF Table(USD)'!$C$2)</f>
        <v>0</v>
      </c>
      <c r="BG22" s="379">
        <f>SUMIFS(BS_RE33!$H$7:$H$874,BS_RE33!$S$7:$S$874,$BG$2,BS_RE33!$N$7:$N$874,I22,BS_RE33!$P$7:$P$874,'30 days CF Table(USD)'!G22,BS_RE33!$F$7:$F$874,'30 days CF Table(USD)'!$C$2)</f>
        <v>0</v>
      </c>
      <c r="BH22" s="379">
        <f>SUMIFS(BS_RE33!$H$7:$H$874,BS_RE33!$S$7:$S$874,$BH$2,BS_RE33!$N$7:$N$874,I22,BS_RE33!$P$7:$P$874,'30 days CF Table(USD)'!G22,BS_RE33!$F$7:$F$874,'30 days CF Table(USD)'!$C$2)</f>
        <v>0</v>
      </c>
      <c r="BI22" s="379">
        <f>SUMIFS(BS_RE33!$H$7:$H$874,BS_RE33!$S$7:$S$874,$BI$2,BS_RE33!$N$7:$N$874,I22,BS_RE33!$P$7:$P$874,'30 days CF Table(USD)'!G22,BS_RE33!$F$7:$F$874,'30 days CF Table(USD)'!$C$2)</f>
        <v>0</v>
      </c>
      <c r="BJ22" s="379">
        <f>SUMIFS(BS_RE33!$H$7:$H$874,BS_RE33!$S$7:$S$874,$BJ$2,BS_RE33!$N$7:$N$874,I22,BS_RE33!$P$7:$P$874,'30 days CF Table(USD)'!G22,BS_RE33!$F$7:$F$874,'30 days CF Table(USD)'!$C$2)</f>
        <v>0</v>
      </c>
      <c r="BK22" s="379">
        <f>SUMIFS(BS_RE33!$H$7:$H$874,BS_RE33!$S$7:$S$874,$BK$2,BS_RE33!$N$7:$N$874,I22,BS_RE33!$P$7:$P$874,'30 days CF Table(USD)'!G22,BS_RE33!$F$7:$F$874,'30 days CF Table(USD)'!$C$2)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Table(USD)'!G23,BS_RE33!$F$7:$F$874,'30 days CF Table(USD)'!$C$2)</f>
        <v>0</v>
      </c>
      <c r="M23" s="337">
        <f>SUMIFS(BS_RE33!$H$7:$H$874,BS_RE33!$S$7:$S$874,$M$2,BS_RE33!$N$7:$N$874,I23,BS_RE33!$P$7:$P$874,'30 days CF Table(USD)'!G23,BS_RE33!$F$7:$F$874,'30 days CF Table(USD)'!$C$2)</f>
        <v>0</v>
      </c>
      <c r="N23" s="337">
        <f>SUMIFS(BS_RE33!$H$7:$H$874,BS_RE33!$S$7:$S$874,$N$2,BS_RE33!$N$7:$N$874,I23,BS_RE33!$P$7:$P$874,'30 days CF Table(USD)'!G23,BS_RE33!$F$7:$F$874,'30 days CF Table(USD)'!$C$2)</f>
        <v>0</v>
      </c>
      <c r="O23" s="337">
        <f>SUMIFS(BS_RE33!$H$7:$H$874,BS_RE33!$S$7:$S$874,$O$2,BS_RE33!$N$7:$N$874,I23,BS_RE33!$P$7:$P$874,'30 days CF Table(USD)'!G23,BS_RE33!$F$7:$F$874,'30 days CF Table(USD)'!$C$2)</f>
        <v>0</v>
      </c>
      <c r="P23" s="337">
        <f>SUMIFS(BS_RE33!$H$7:$H$874,BS_RE33!$S$7:$S$874,$P$2,BS_RE33!$N$7:$N$874,I23,BS_RE33!$P$7:$P$874,'30 days CF Table(USD)'!G23,BS_RE33!$F$7:$F$874,'30 days CF Table(USD)'!$C$2)</f>
        <v>0</v>
      </c>
      <c r="Q23" s="337">
        <f>SUMIFS(BS_RE33!$H$7:$H$874,BS_RE33!$S$7:$S$874,$Q$2,BS_RE33!$N$7:$N$874,I23,BS_RE33!$P$7:$P$874,'30 days CF Table(USD)'!G23,BS_RE33!$F$7:$F$874,'30 days CF Table(USD)'!$C$2)</f>
        <v>0</v>
      </c>
      <c r="R23" s="337">
        <f>SUMIFS(BS_RE33!$H$7:$H$874,BS_RE33!$S$7:$S$874,$R$2,BS_RE33!$N$7:$N$874,I23,BS_RE33!$P$7:$P$874,'30 days CF Table(USD)'!G23,BS_RE33!$F$7:$F$874,'30 days CF Table(USD)'!$C$2)</f>
        <v>0</v>
      </c>
      <c r="S23" s="337">
        <f>SUMIFS(BS_RE33!$H$7:$H$874,BS_RE33!$S$7:$S$874,$S$2,BS_RE33!$N$7:$N$874,I23,BS_RE33!$P$7:$P$874,'30 days CF Table(USD)'!G23,BS_RE33!$F$7:$F$874,'30 days CF Table(USD)'!$C$2)</f>
        <v>0</v>
      </c>
      <c r="T23" s="337">
        <f>SUMIFS(BS_RE33!$H$7:$H$874,BS_RE33!$S$7:$S$874,$T$2,BS_RE33!$N$7:$N$874,I23,BS_RE33!$P$7:$P$874,'30 days CF Table(USD)'!G23,BS_RE33!$F$7:$F$874,'30 days CF Table(USD)'!$C$2)</f>
        <v>0</v>
      </c>
      <c r="U23" s="337">
        <f>SUMIFS(BS_RE33!$H$7:$H$874,BS_RE33!$S$7:$S$874,$U$2,BS_RE33!$N$7:$N$874,I23,BS_RE33!$P$7:$P$874,'30 days CF Table(USD)'!G23,BS_RE33!$F$7:$F$874,'30 days CF Table(USD)'!$C$2)</f>
        <v>0</v>
      </c>
      <c r="V23" s="337">
        <f>SUMIFS(BS_RE33!$H$7:$H$874,BS_RE33!$S$7:$S$874,$V$2,BS_RE33!$N$7:$N$874,I23,BS_RE33!$P$7:$P$874,'30 days CF Table(USD)'!G23,BS_RE33!$F$7:$F$874,'30 days CF Table(USD)'!$C$2)</f>
        <v>0</v>
      </c>
      <c r="W23" s="337">
        <f>SUMIFS(BS_RE33!$H$7:$H$874,BS_RE33!$S$7:$S$874,$W$2,BS_RE33!$N$7:$N$874,I23,BS_RE33!$P$7:$P$874,'30 days CF Table(USD)'!G23,BS_RE33!$F$7:$F$874,'30 days CF Table(USD)'!$C$2)</f>
        <v>0</v>
      </c>
      <c r="X23" s="337">
        <f>SUMIFS(BS_RE33!$H$7:$H$874,BS_RE33!$S$7:$S$874,$X$2,BS_RE33!$N$7:$N$874,I23,BS_RE33!$P$7:$P$874,'30 days CF Table(USD)'!G23,BS_RE33!$F$7:$F$874,'30 days CF Table(USD)'!$C$2)</f>
        <v>0</v>
      </c>
      <c r="Y23" s="337">
        <f>SUMIFS(BS_RE33!$H$7:$H$874,BS_RE33!$S$7:$S$874,$Y$2,BS_RE33!$N$7:$N$874,I23,BS_RE33!$P$7:$P$874,'30 days CF Table(USD)'!G23,BS_RE33!$F$7:$F$874,'30 days CF Table(USD)'!$C$2)</f>
        <v>0</v>
      </c>
      <c r="Z23" s="337">
        <f>SUMIFS(BS_RE33!$H$7:$H$874,BS_RE33!$S$7:$S$874,$Z$2,BS_RE33!$N$7:$N$874,I23,BS_RE33!$P$7:$P$874,'30 days CF Table(USD)'!G23,BS_RE33!$F$7:$F$874,'30 days CF Table(USD)'!$C$2)</f>
        <v>0</v>
      </c>
      <c r="AA23" s="337">
        <f>SUMIFS(BS_RE33!$H$7:$H$874,BS_RE33!$S$7:$S$874,$AA$2,BS_RE33!$N$7:$N$874,I23,BS_RE33!$P$7:$P$874,'30 days CF Table(USD)'!G23,BS_RE33!$F$7:$F$874,'30 days CF Table(USD)'!$C$2)</f>
        <v>0</v>
      </c>
      <c r="AB23" s="337">
        <f>SUMIFS(BS_RE33!$H$7:$H$874,BS_RE33!$S$7:$S$874,$AB$2,BS_RE33!$N$7:$N$874,I23,BS_RE33!$P$7:$P$874,'30 days CF Table(USD)'!G23,BS_RE33!$F$7:$F$874,'30 days CF Table(USD)'!$C$2)</f>
        <v>0</v>
      </c>
      <c r="AC23" s="337">
        <f>SUMIFS(BS_RE33!$H$7:$H$874,BS_RE33!$S$7:$S$874,$AC$2,BS_RE33!$N$7:$N$874,I23,BS_RE33!$P$7:$P$874,'30 days CF Table(USD)'!G23,BS_RE33!$F$7:$F$874,'30 days CF Table(USD)'!$C$2)</f>
        <v>0</v>
      </c>
      <c r="AD23" s="337">
        <f>SUMIFS(BS_RE33!$H$7:$H$874,BS_RE33!$S$7:$S$874,$AD$2,BS_RE33!$N$7:$N$874,I23,BS_RE33!$P$7:$P$874,'30 days CF Table(USD)'!G23,BS_RE33!$F$7:$F$874,'30 days CF Table(USD)'!$C$2)</f>
        <v>0</v>
      </c>
      <c r="AE23" s="337">
        <f>SUMIFS(BS_RE33!$H$7:$H$874,BS_RE33!$S$7:$S$874,$AE$2,BS_RE33!$N$7:$N$874,I23,BS_RE33!$P$7:$P$874,'30 days CF Table(USD)'!G23,BS_RE33!$F$7:$F$874,'30 days CF Table(USD)'!$C$2)</f>
        <v>0</v>
      </c>
      <c r="AF23" s="337">
        <f>SUMIFS(BS_RE33!$H$7:$H$874,BS_RE33!$S$7:$S$874,$AF$2,BS_RE33!$N$7:$N$874,I23,BS_RE33!$P$7:$P$874,'30 days CF Table(USD)'!G23,BS_RE33!$F$7:$F$874,'30 days CF Table(USD)'!$C$2)</f>
        <v>0</v>
      </c>
      <c r="AG23" s="337">
        <f>SUMIFS(BS_RE33!$H$7:$H$874,BS_RE33!$S$7:$S$874,$AG$2,BS_RE33!$N$7:$N$874,I23,BS_RE33!$P$7:$P$874,'30 days CF Table(USD)'!G23,BS_RE33!$F$7:$F$874,'30 days CF Table(USD)'!$C$2)</f>
        <v>0</v>
      </c>
      <c r="AH23" s="337">
        <f>SUMIFS(BS_RE33!$H$7:$H$874,BS_RE33!$S$7:$S$874,$AH$2,BS_RE33!$N$7:$N$874,I23,BS_RE33!$P$7:$P$874,'30 days CF Table(USD)'!G23,BS_RE33!$F$7:$F$874,'30 days CF Table(USD)'!$C$2)</f>
        <v>0</v>
      </c>
      <c r="AI23" s="337">
        <f>SUMIFS(BS_RE33!$H$7:$H$874,BS_RE33!$S$7:$S$874,$AI$2,BS_RE33!$N$7:$N$874,I23,BS_RE33!$P$7:$P$874,'30 days CF Table(USD)'!G23,BS_RE33!$F$7:$F$874,'30 days CF Table(USD)'!$C$2)</f>
        <v>0</v>
      </c>
      <c r="AJ23" s="337">
        <f>SUMIFS(BS_RE33!$H$7:$H$874,BS_RE33!$S$7:$S$874,$AJ$2,BS_RE33!$N$7:$N$874,I23,BS_RE33!$P$7:$P$874,'30 days CF Table(USD)'!G23,BS_RE33!$F$7:$F$874,'30 days CF Table(USD)'!$C$2)</f>
        <v>0</v>
      </c>
      <c r="AK23" s="337">
        <f>SUMIFS(BS_RE33!$H$7:$H$874,BS_RE33!$S$7:$S$874,$AK$2,BS_RE33!$N$7:$N$874,I23,BS_RE33!$P$7:$P$874,'30 days CF Table(USD)'!G23,BS_RE33!$F$7:$F$874,'30 days CF Table(USD)'!$C$2)</f>
        <v>0</v>
      </c>
      <c r="AL23" s="337">
        <f>SUMIFS(BS_RE33!$H$7:$H$874,BS_RE33!$S$7:$S$874,$AL$2,BS_RE33!$N$7:$N$874,I23,BS_RE33!$P$7:$P$874,'30 days CF Table(USD)'!G23,BS_RE33!$F$7:$F$874,'30 days CF Table(USD)'!$C$2)</f>
        <v>0</v>
      </c>
      <c r="AM23" s="337">
        <f>SUMIFS(BS_RE33!$H$7:$H$874,BS_RE33!$S$7:$S$874,$AM$2,BS_RE33!$N$7:$N$874,I23,BS_RE33!$P$7:$P$874,'30 days CF Table(USD)'!G23,BS_RE33!$F$7:$F$874,'30 days CF Table(USD)'!$C$2)</f>
        <v>0</v>
      </c>
      <c r="AN23" s="337">
        <f>SUMIFS(BS_RE33!$H$7:$H$874,BS_RE33!$S$7:$S$874,$AN$2,BS_RE33!$N$7:$N$874,I23,BS_RE33!$P$7:$P$874,'30 days CF Table(USD)'!G23,BS_RE33!$F$7:$F$874,'30 days CF Table(USD)'!$C$2)</f>
        <v>0</v>
      </c>
      <c r="AO23" s="337">
        <f>SUMIFS(BS_RE33!$H$7:$H$874,BS_RE33!$S$7:$S$874,$AO$2,BS_RE33!$N$7:$N$874,I23,BS_RE33!$P$7:$P$874,'30 days CF Table(USD)'!G23,BS_RE33!$F$7:$F$874,'30 days CF Table(USD)'!$C$2)</f>
        <v>0</v>
      </c>
      <c r="AP23" s="338">
        <f>SUMIFS(BS_RE33!$H$7:$H$874,BS_RE33!$S$7:$S$874,$AP$2,BS_RE33!$N$7:$N$874,I23,BS_RE33!$P$7:$P$874,'30 days CF Table(USD)'!G23,BS_RE33!$F$7:$F$874,'30 days CF Table(USD)'!$C$2)</f>
        <v>0</v>
      </c>
      <c r="AQ23" s="545"/>
      <c r="AR23" s="379">
        <f>SUMIFS(BS_RE33!$H$7:$H$874,BS_RE33!$S$7:$S$874,$AR$2,BS_RE33!$N$7:$N$874,I23,BS_RE33!$P$7:$P$874,'30 days CF Table(USD)'!G23,BS_RE33!$F$7:$F$874,'30 days CF Table(USD)'!$C$2)</f>
        <v>0</v>
      </c>
      <c r="AS23" s="379">
        <f>SUMIFS(BS_RE33!$H$7:$H$874,BS_RE33!$S$7:$S$874,$AS$2,BS_RE33!$N$7:$N$874,I23,BS_RE33!$P$7:$P$874,'30 days CF Table(USD)'!G23,BS_RE33!$F$7:$F$874,'30 days CF Table(USD)'!$C$2)</f>
        <v>0</v>
      </c>
      <c r="AT23" s="379">
        <f>SUMIFS(BS_RE33!$H$7:$H$874,BS_RE33!$S$7:$S$874,$AT$2,BS_RE33!$N$7:$N$874,I23,BS_RE33!$P$7:$P$874,'30 days CF Table(USD)'!G23,BS_RE33!$F$7:$F$874,'30 days CF Table(USD)'!$C$2)</f>
        <v>0</v>
      </c>
      <c r="AU23" s="379">
        <f>SUMIFS(BS_RE33!$H$7:$H$874,BS_RE33!$S$7:$S$874,$AU$2,BS_RE33!$N$7:$N$874,I23,BS_RE33!$P$7:$P$874,'30 days CF Table(USD)'!G23,BS_RE33!$F$7:$F$874,'30 days CF Table(USD)'!$C$2)</f>
        <v>0</v>
      </c>
      <c r="AV23" s="379">
        <f>SUMIFS(BS_RE33!$H$7:$H$874,BS_RE33!$S$7:$S$874,$AV$2,BS_RE33!$N$7:$N$874,I23,BS_RE33!$P$7:$P$874,'30 days CF Table(USD)'!G23,BS_RE33!$F$7:$F$874,'30 days CF Table(USD)'!$C$2)</f>
        <v>0</v>
      </c>
      <c r="AW23" s="379">
        <f>SUMIFS(BS_RE33!$H$7:$H$874,BS_RE33!$S$7:$S$874,$AW$2,BS_RE33!$N$7:$N$874,I23,BS_RE33!$P$7:$P$874,'30 days CF Table(USD)'!G23,BS_RE33!$F$7:$F$874,'30 days CF Table(USD)'!$C$2)</f>
        <v>0</v>
      </c>
      <c r="AX23" s="379">
        <f>SUMIFS(BS_RE33!$H$7:$H$874,BS_RE33!$S$7:$S$874,$AX$2,BS_RE33!$N$7:$N$874,I23,BS_RE33!$P$7:$P$874,'30 days CF Table(USD)'!G23,BS_RE33!$F$7:$F$874,'30 days CF Table(USD)'!$C$2)</f>
        <v>0</v>
      </c>
      <c r="AY23" s="379">
        <f>SUMIFS(BS_RE33!$H$7:$H$874,BS_RE33!$S$7:$S$874,$AY$2,BS_RE33!$N$7:$N$874,I23,BS_RE33!$P$7:$P$874,'30 days CF Table(USD)'!G23,BS_RE33!$F$7:$F$874,'30 days CF Table(USD)'!$C$2)</f>
        <v>0</v>
      </c>
      <c r="AZ23" s="379">
        <f>SUMIFS(BS_RE33!$H$7:$H$874,BS_RE33!$S$7:$S$874,$AZ$2,BS_RE33!$N$7:$N$874,I23,BS_RE33!$P$7:$P$874,'30 days CF Table(USD)'!G23,BS_RE33!$F$7:$F$874,'30 days CF Table(USD)'!$C$2)</f>
        <v>0</v>
      </c>
      <c r="BA23" s="379">
        <f>SUMIFS(BS_RE33!$H$7:$H$874,BS_RE33!$S$7:$S$874,$BA$2,BS_RE33!$N$7:$N$874,I23,BS_RE33!$P$7:$P$874,'30 days CF Table(USD)'!G23,BS_RE33!$F$7:$F$874,'30 days CF Table(USD)'!$C$2)</f>
        <v>0</v>
      </c>
      <c r="BB23" s="379">
        <f>SUMIFS(BS_RE33!$H$7:$H$874,BS_RE33!$S$7:$S$874,$BB$2,BS_RE33!$N$7:$N$874,I23,BS_RE33!$P$7:$P$874,'30 days CF Table(USD)'!G23,BS_RE33!$F$7:$F$874,'30 days CF Table(USD)'!$C$2)</f>
        <v>0</v>
      </c>
      <c r="BC23" s="379">
        <f>SUMIFS(BS_RE33!$H$7:$H$874,BS_RE33!$S$7:$S$874,$BC$2,BS_RE33!$N$7:$N$874,I23,BS_RE33!$P$7:$P$874,'30 days CF Table(USD)'!G23,BS_RE33!$F$7:$F$874,'30 days CF Table(USD)'!$C$2)</f>
        <v>0</v>
      </c>
      <c r="BD23" s="379">
        <f>SUMIFS(BS_RE33!$H$7:$H$874,BS_RE33!$S$7:$S$874,$BD$2,BS_RE33!$N$7:$N$874,I23,BS_RE33!$P$7:$P$874,'30 days CF Table(USD)'!G23,BS_RE33!$F$7:$F$874,'30 days CF Table(USD)'!$C$2)</f>
        <v>0</v>
      </c>
      <c r="BE23" s="379">
        <f>SUMIFS(BS_RE33!$H$7:$H$874,BS_RE33!$S$7:$S$874,$BE$2,BS_RE33!$N$7:$N$874,I23,BS_RE33!$P$7:$P$874,'30 days CF Table(USD)'!G23,BS_RE33!$F$7:$F$874,'30 days CF Table(USD)'!$C$2)</f>
        <v>0</v>
      </c>
      <c r="BF23" s="379">
        <f>SUMIFS(BS_RE33!$H$7:$H$874,BS_RE33!$S$7:$S$874,$BF$2,BS_RE33!$N$7:$N$874,I23,BS_RE33!$P$7:$P$874,'30 days CF Table(USD)'!G23,BS_RE33!$F$7:$F$874,'30 days CF Table(USD)'!$C$2)</f>
        <v>0</v>
      </c>
      <c r="BG23" s="379">
        <f>SUMIFS(BS_RE33!$H$7:$H$874,BS_RE33!$S$7:$S$874,$BG$2,BS_RE33!$N$7:$N$874,I23,BS_RE33!$P$7:$P$874,'30 days CF Table(USD)'!G23,BS_RE33!$F$7:$F$874,'30 days CF Table(USD)'!$C$2)</f>
        <v>0</v>
      </c>
      <c r="BH23" s="379">
        <f>SUMIFS(BS_RE33!$H$7:$H$874,BS_RE33!$S$7:$S$874,$BH$2,BS_RE33!$N$7:$N$874,I23,BS_RE33!$P$7:$P$874,'30 days CF Table(USD)'!G23,BS_RE33!$F$7:$F$874,'30 days CF Table(USD)'!$C$2)</f>
        <v>0</v>
      </c>
      <c r="BI23" s="379">
        <f>SUMIFS(BS_RE33!$H$7:$H$874,BS_RE33!$S$7:$S$874,$BI$2,BS_RE33!$N$7:$N$874,I23,BS_RE33!$P$7:$P$874,'30 days CF Table(USD)'!G23,BS_RE33!$F$7:$F$874,'30 days CF Table(USD)'!$C$2)</f>
        <v>0</v>
      </c>
      <c r="BJ23" s="379">
        <f>SUMIFS(BS_RE33!$H$7:$H$874,BS_RE33!$S$7:$S$874,$BJ$2,BS_RE33!$N$7:$N$874,I23,BS_RE33!$P$7:$P$874,'30 days CF Table(USD)'!G23,BS_RE33!$F$7:$F$874,'30 days CF Table(USD)'!$C$2)</f>
        <v>0</v>
      </c>
      <c r="BK23" s="379">
        <f>SUMIFS(BS_RE33!$H$7:$H$874,BS_RE33!$S$7:$S$874,$BK$2,BS_RE33!$N$7:$N$874,I23,BS_RE33!$P$7:$P$874,'30 days CF Table(USD)'!G23,BS_RE33!$F$7:$F$874,'30 days CF Table(USD)'!$C$2)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Table(USD)'!G24,BS_RE33!$F$7:$F$874,'30 days CF Table(USD)'!$C$2)</f>
        <v>0</v>
      </c>
      <c r="M24" s="337">
        <f>SUMIFS(BS_RE33!$H$7:$H$874,BS_RE33!$S$7:$S$874,$M$2,BS_RE33!$N$7:$N$874,I24,BS_RE33!$P$7:$P$874,'30 days CF Table(USD)'!G24,BS_RE33!$F$7:$F$874,'30 days CF Table(USD)'!$C$2)</f>
        <v>0</v>
      </c>
      <c r="N24" s="337">
        <f>SUMIFS(BS_RE33!$H$7:$H$874,BS_RE33!$S$7:$S$874,$N$2,BS_RE33!$N$7:$N$874,I24,BS_RE33!$P$7:$P$874,'30 days CF Table(USD)'!G24,BS_RE33!$F$7:$F$874,'30 days CF Table(USD)'!$C$2)</f>
        <v>0</v>
      </c>
      <c r="O24" s="337">
        <f>SUMIFS(BS_RE33!$H$7:$H$874,BS_RE33!$S$7:$S$874,$O$2,BS_RE33!$N$7:$N$874,I24,BS_RE33!$P$7:$P$874,'30 days CF Table(USD)'!G24,BS_RE33!$F$7:$F$874,'30 days CF Table(USD)'!$C$2)</f>
        <v>0</v>
      </c>
      <c r="P24" s="337">
        <f>SUMIFS(BS_RE33!$H$7:$H$874,BS_RE33!$S$7:$S$874,$P$2,BS_RE33!$N$7:$N$874,I24,BS_RE33!$P$7:$P$874,'30 days CF Table(USD)'!G24,BS_RE33!$F$7:$F$874,'30 days CF Table(USD)'!$C$2)</f>
        <v>0</v>
      </c>
      <c r="Q24" s="337">
        <f>SUMIFS(BS_RE33!$H$7:$H$874,BS_RE33!$S$7:$S$874,$Q$2,BS_RE33!$N$7:$N$874,I24,BS_RE33!$P$7:$P$874,'30 days CF Table(USD)'!G24,BS_RE33!$F$7:$F$874,'30 days CF Table(USD)'!$C$2)</f>
        <v>0</v>
      </c>
      <c r="R24" s="337">
        <f>SUMIFS(BS_RE33!$H$7:$H$874,BS_RE33!$S$7:$S$874,$R$2,BS_RE33!$N$7:$N$874,I24,BS_RE33!$P$7:$P$874,'30 days CF Table(USD)'!G24,BS_RE33!$F$7:$F$874,'30 days CF Table(USD)'!$C$2)</f>
        <v>0</v>
      </c>
      <c r="S24" s="337">
        <f>SUMIFS(BS_RE33!$H$7:$H$874,BS_RE33!$S$7:$S$874,$S$2,BS_RE33!$N$7:$N$874,I24,BS_RE33!$P$7:$P$874,'30 days CF Table(USD)'!G24,BS_RE33!$F$7:$F$874,'30 days CF Table(USD)'!$C$2)</f>
        <v>0</v>
      </c>
      <c r="T24" s="337">
        <f>SUMIFS(BS_RE33!$H$7:$H$874,BS_RE33!$S$7:$S$874,$T$2,BS_RE33!$N$7:$N$874,I24,BS_RE33!$P$7:$P$874,'30 days CF Table(USD)'!G24,BS_RE33!$F$7:$F$874,'30 days CF Table(USD)'!$C$2)</f>
        <v>0</v>
      </c>
      <c r="U24" s="337">
        <f>SUMIFS(BS_RE33!$H$7:$H$874,BS_RE33!$S$7:$S$874,$U$2,BS_RE33!$N$7:$N$874,I24,BS_RE33!$P$7:$P$874,'30 days CF Table(USD)'!G24,BS_RE33!$F$7:$F$874,'30 days CF Table(USD)'!$C$2)</f>
        <v>0</v>
      </c>
      <c r="V24" s="337">
        <f>SUMIFS(BS_RE33!$H$7:$H$874,BS_RE33!$S$7:$S$874,$V$2,BS_RE33!$N$7:$N$874,I24,BS_RE33!$P$7:$P$874,'30 days CF Table(USD)'!G24,BS_RE33!$F$7:$F$874,'30 days CF Table(USD)'!$C$2)</f>
        <v>0</v>
      </c>
      <c r="W24" s="337">
        <f>SUMIFS(BS_RE33!$H$7:$H$874,BS_RE33!$S$7:$S$874,$W$2,BS_RE33!$N$7:$N$874,I24,BS_RE33!$P$7:$P$874,'30 days CF Table(USD)'!G24,BS_RE33!$F$7:$F$874,'30 days CF Table(USD)'!$C$2)</f>
        <v>0</v>
      </c>
      <c r="X24" s="337">
        <f>SUMIFS(BS_RE33!$H$7:$H$874,BS_RE33!$S$7:$S$874,$X$2,BS_RE33!$N$7:$N$874,I24,BS_RE33!$P$7:$P$874,'30 days CF Table(USD)'!G24,BS_RE33!$F$7:$F$874,'30 days CF Table(USD)'!$C$2)</f>
        <v>0</v>
      </c>
      <c r="Y24" s="337">
        <f>SUMIFS(BS_RE33!$H$7:$H$874,BS_RE33!$S$7:$S$874,$Y$2,BS_RE33!$N$7:$N$874,I24,BS_RE33!$P$7:$P$874,'30 days CF Table(USD)'!G24,BS_RE33!$F$7:$F$874,'30 days CF Table(USD)'!$C$2)</f>
        <v>0</v>
      </c>
      <c r="Z24" s="337">
        <f>SUMIFS(BS_RE33!$H$7:$H$874,BS_RE33!$S$7:$S$874,$Z$2,BS_RE33!$N$7:$N$874,I24,BS_RE33!$P$7:$P$874,'30 days CF Table(USD)'!G24,BS_RE33!$F$7:$F$874,'30 days CF Table(USD)'!$C$2)</f>
        <v>0</v>
      </c>
      <c r="AA24" s="337">
        <f>SUMIFS(BS_RE33!$H$7:$H$874,BS_RE33!$S$7:$S$874,$AA$2,BS_RE33!$N$7:$N$874,I24,BS_RE33!$P$7:$P$874,'30 days CF Table(USD)'!G24,BS_RE33!$F$7:$F$874,'30 days CF Table(USD)'!$C$2)</f>
        <v>0</v>
      </c>
      <c r="AB24" s="337">
        <f>SUMIFS(BS_RE33!$H$7:$H$874,BS_RE33!$S$7:$S$874,$AB$2,BS_RE33!$N$7:$N$874,I24,BS_RE33!$P$7:$P$874,'30 days CF Table(USD)'!G24,BS_RE33!$F$7:$F$874,'30 days CF Table(USD)'!$C$2)</f>
        <v>0</v>
      </c>
      <c r="AC24" s="337">
        <f>SUMIFS(BS_RE33!$H$7:$H$874,BS_RE33!$S$7:$S$874,$AC$2,BS_RE33!$N$7:$N$874,I24,BS_RE33!$P$7:$P$874,'30 days CF Table(USD)'!G24,BS_RE33!$F$7:$F$874,'30 days CF Table(USD)'!$C$2)</f>
        <v>0</v>
      </c>
      <c r="AD24" s="337">
        <f>SUMIFS(BS_RE33!$H$7:$H$874,BS_RE33!$S$7:$S$874,$AD$2,BS_RE33!$N$7:$N$874,I24,BS_RE33!$P$7:$P$874,'30 days CF Table(USD)'!G24,BS_RE33!$F$7:$F$874,'30 days CF Table(USD)'!$C$2)</f>
        <v>0</v>
      </c>
      <c r="AE24" s="337">
        <f>SUMIFS(BS_RE33!$H$7:$H$874,BS_RE33!$S$7:$S$874,$AE$2,BS_RE33!$N$7:$N$874,I24,BS_RE33!$P$7:$P$874,'30 days CF Table(USD)'!G24,BS_RE33!$F$7:$F$874,'30 days CF Table(USD)'!$C$2)</f>
        <v>0</v>
      </c>
      <c r="AF24" s="337">
        <f>SUMIFS(BS_RE33!$H$7:$H$874,BS_RE33!$S$7:$S$874,$AF$2,BS_RE33!$N$7:$N$874,I24,BS_RE33!$P$7:$P$874,'30 days CF Table(USD)'!G24,BS_RE33!$F$7:$F$874,'30 days CF Table(USD)'!$C$2)</f>
        <v>0</v>
      </c>
      <c r="AG24" s="337">
        <f>SUMIFS(BS_RE33!$H$7:$H$874,BS_RE33!$S$7:$S$874,$AG$2,BS_RE33!$N$7:$N$874,I24,BS_RE33!$P$7:$P$874,'30 days CF Table(USD)'!G24,BS_RE33!$F$7:$F$874,'30 days CF Table(USD)'!$C$2)</f>
        <v>0</v>
      </c>
      <c r="AH24" s="337">
        <f>SUMIFS(BS_RE33!$H$7:$H$874,BS_RE33!$S$7:$S$874,$AH$2,BS_RE33!$N$7:$N$874,I24,BS_RE33!$P$7:$P$874,'30 days CF Table(USD)'!G24,BS_RE33!$F$7:$F$874,'30 days CF Table(USD)'!$C$2)</f>
        <v>0</v>
      </c>
      <c r="AI24" s="337">
        <f>SUMIFS(BS_RE33!$H$7:$H$874,BS_RE33!$S$7:$S$874,$AI$2,BS_RE33!$N$7:$N$874,I24,BS_RE33!$P$7:$P$874,'30 days CF Table(USD)'!G24,BS_RE33!$F$7:$F$874,'30 days CF Table(USD)'!$C$2)</f>
        <v>0</v>
      </c>
      <c r="AJ24" s="337">
        <f>SUMIFS(BS_RE33!$H$7:$H$874,BS_RE33!$S$7:$S$874,$AJ$2,BS_RE33!$N$7:$N$874,I24,BS_RE33!$P$7:$P$874,'30 days CF Table(USD)'!G24,BS_RE33!$F$7:$F$874,'30 days CF Table(USD)'!$C$2)</f>
        <v>0</v>
      </c>
      <c r="AK24" s="337">
        <f>SUMIFS(BS_RE33!$H$7:$H$874,BS_RE33!$S$7:$S$874,$AK$2,BS_RE33!$N$7:$N$874,I24,BS_RE33!$P$7:$P$874,'30 days CF Table(USD)'!G24,BS_RE33!$F$7:$F$874,'30 days CF Table(USD)'!$C$2)</f>
        <v>0</v>
      </c>
      <c r="AL24" s="337">
        <f>SUMIFS(BS_RE33!$H$7:$H$874,BS_RE33!$S$7:$S$874,$AL$2,BS_RE33!$N$7:$N$874,I24,BS_RE33!$P$7:$P$874,'30 days CF Table(USD)'!G24,BS_RE33!$F$7:$F$874,'30 days CF Table(USD)'!$C$2)</f>
        <v>0</v>
      </c>
      <c r="AM24" s="337">
        <f>SUMIFS(BS_RE33!$H$7:$H$874,BS_RE33!$S$7:$S$874,$AM$2,BS_RE33!$N$7:$N$874,I24,BS_RE33!$P$7:$P$874,'30 days CF Table(USD)'!G24,BS_RE33!$F$7:$F$874,'30 days CF Table(USD)'!$C$2)</f>
        <v>0</v>
      </c>
      <c r="AN24" s="337">
        <f>SUMIFS(BS_RE33!$H$7:$H$874,BS_RE33!$S$7:$S$874,$AN$2,BS_RE33!$N$7:$N$874,I24,BS_RE33!$P$7:$P$874,'30 days CF Table(USD)'!G24,BS_RE33!$F$7:$F$874,'30 days CF Table(USD)'!$C$2)</f>
        <v>0</v>
      </c>
      <c r="AO24" s="337">
        <f>SUMIFS(BS_RE33!$H$7:$H$874,BS_RE33!$S$7:$S$874,$AO$2,BS_RE33!$N$7:$N$874,I24,BS_RE33!$P$7:$P$874,'30 days CF Table(USD)'!G24,BS_RE33!$F$7:$F$874,'30 days CF Table(USD)'!$C$2)</f>
        <v>0</v>
      </c>
      <c r="AP24" s="338">
        <f>SUMIFS(BS_RE33!$H$7:$H$874,BS_RE33!$S$7:$S$874,$AP$2,BS_RE33!$N$7:$N$874,I24,BS_RE33!$P$7:$P$874,'30 days CF Table(USD)'!G24,BS_RE33!$F$7:$F$874,'30 days CF Table(USD)'!$C$2)</f>
        <v>0</v>
      </c>
      <c r="AQ24" s="545"/>
      <c r="AR24" s="379">
        <f>SUMIFS(BS_RE33!$H$7:$H$874,BS_RE33!$S$7:$S$874,$AR$2,BS_RE33!$N$7:$N$874,I24,BS_RE33!$P$7:$P$874,'30 days CF Table(USD)'!G24,BS_RE33!$F$7:$F$874,'30 days CF Table(USD)'!$C$2)</f>
        <v>0</v>
      </c>
      <c r="AS24" s="379">
        <f>SUMIFS(BS_RE33!$H$7:$H$874,BS_RE33!$S$7:$S$874,$AS$2,BS_RE33!$N$7:$N$874,I24,BS_RE33!$P$7:$P$874,'30 days CF Table(USD)'!G24,BS_RE33!$F$7:$F$874,'30 days CF Table(USD)'!$C$2)</f>
        <v>0</v>
      </c>
      <c r="AT24" s="379">
        <f>SUMIFS(BS_RE33!$H$7:$H$874,BS_RE33!$S$7:$S$874,$AT$2,BS_RE33!$N$7:$N$874,I24,BS_RE33!$P$7:$P$874,'30 days CF Table(USD)'!G24,BS_RE33!$F$7:$F$874,'30 days CF Table(USD)'!$C$2)</f>
        <v>0</v>
      </c>
      <c r="AU24" s="379">
        <f>SUMIFS(BS_RE33!$H$7:$H$874,BS_RE33!$S$7:$S$874,$AU$2,BS_RE33!$N$7:$N$874,I24,BS_RE33!$P$7:$P$874,'30 days CF Table(USD)'!G24,BS_RE33!$F$7:$F$874,'30 days CF Table(USD)'!$C$2)</f>
        <v>0</v>
      </c>
      <c r="AV24" s="379">
        <f>SUMIFS(BS_RE33!$H$7:$H$874,BS_RE33!$S$7:$S$874,$AV$2,BS_RE33!$N$7:$N$874,I24,BS_RE33!$P$7:$P$874,'30 days CF Table(USD)'!G24,BS_RE33!$F$7:$F$874,'30 days CF Table(USD)'!$C$2)</f>
        <v>0</v>
      </c>
      <c r="AW24" s="379">
        <f>SUMIFS(BS_RE33!$H$7:$H$874,BS_RE33!$S$7:$S$874,$AW$2,BS_RE33!$N$7:$N$874,I24,BS_RE33!$P$7:$P$874,'30 days CF Table(USD)'!G24,BS_RE33!$F$7:$F$874,'30 days CF Table(USD)'!$C$2)</f>
        <v>0</v>
      </c>
      <c r="AX24" s="379">
        <f>SUMIFS(BS_RE33!$H$7:$H$874,BS_RE33!$S$7:$S$874,$AX$2,BS_RE33!$N$7:$N$874,I24,BS_RE33!$P$7:$P$874,'30 days CF Table(USD)'!G24,BS_RE33!$F$7:$F$874,'30 days CF Table(USD)'!$C$2)</f>
        <v>0</v>
      </c>
      <c r="AY24" s="379">
        <f>SUMIFS(BS_RE33!$H$7:$H$874,BS_RE33!$S$7:$S$874,$AY$2,BS_RE33!$N$7:$N$874,I24,BS_RE33!$P$7:$P$874,'30 days CF Table(USD)'!G24,BS_RE33!$F$7:$F$874,'30 days CF Table(USD)'!$C$2)</f>
        <v>0</v>
      </c>
      <c r="AZ24" s="379">
        <f>SUMIFS(BS_RE33!$H$7:$H$874,BS_RE33!$S$7:$S$874,$AZ$2,BS_RE33!$N$7:$N$874,I24,BS_RE33!$P$7:$P$874,'30 days CF Table(USD)'!G24,BS_RE33!$F$7:$F$874,'30 days CF Table(USD)'!$C$2)</f>
        <v>0</v>
      </c>
      <c r="BA24" s="379">
        <f>SUMIFS(BS_RE33!$H$7:$H$874,BS_RE33!$S$7:$S$874,$BA$2,BS_RE33!$N$7:$N$874,I24,BS_RE33!$P$7:$P$874,'30 days CF Table(USD)'!G24,BS_RE33!$F$7:$F$874,'30 days CF Table(USD)'!$C$2)</f>
        <v>0</v>
      </c>
      <c r="BB24" s="379">
        <f>SUMIFS(BS_RE33!$H$7:$H$874,BS_RE33!$S$7:$S$874,$BB$2,BS_RE33!$N$7:$N$874,I24,BS_RE33!$P$7:$P$874,'30 days CF Table(USD)'!G24,BS_RE33!$F$7:$F$874,'30 days CF Table(USD)'!$C$2)</f>
        <v>0</v>
      </c>
      <c r="BC24" s="379">
        <f>SUMIFS(BS_RE33!$H$7:$H$874,BS_RE33!$S$7:$S$874,$BC$2,BS_RE33!$N$7:$N$874,I24,BS_RE33!$P$7:$P$874,'30 days CF Table(USD)'!G24,BS_RE33!$F$7:$F$874,'30 days CF Table(USD)'!$C$2)</f>
        <v>0</v>
      </c>
      <c r="BD24" s="379">
        <f>SUMIFS(BS_RE33!$H$7:$H$874,BS_RE33!$S$7:$S$874,$BD$2,BS_RE33!$N$7:$N$874,I24,BS_RE33!$P$7:$P$874,'30 days CF Table(USD)'!G24,BS_RE33!$F$7:$F$874,'30 days CF Table(USD)'!$C$2)</f>
        <v>0</v>
      </c>
      <c r="BE24" s="379">
        <f>SUMIFS(BS_RE33!$H$7:$H$874,BS_RE33!$S$7:$S$874,$BE$2,BS_RE33!$N$7:$N$874,I24,BS_RE33!$P$7:$P$874,'30 days CF Table(USD)'!G24,BS_RE33!$F$7:$F$874,'30 days CF Table(USD)'!$C$2)</f>
        <v>0</v>
      </c>
      <c r="BF24" s="379">
        <f>SUMIFS(BS_RE33!$H$7:$H$874,BS_RE33!$S$7:$S$874,$BF$2,BS_RE33!$N$7:$N$874,I24,BS_RE33!$P$7:$P$874,'30 days CF Table(USD)'!G24,BS_RE33!$F$7:$F$874,'30 days CF Table(USD)'!$C$2)</f>
        <v>0</v>
      </c>
      <c r="BG24" s="379">
        <f>SUMIFS(BS_RE33!$H$7:$H$874,BS_RE33!$S$7:$S$874,$BG$2,BS_RE33!$N$7:$N$874,I24,BS_RE33!$P$7:$P$874,'30 days CF Table(USD)'!G24,BS_RE33!$F$7:$F$874,'30 days CF Table(USD)'!$C$2)</f>
        <v>0</v>
      </c>
      <c r="BH24" s="379">
        <f>SUMIFS(BS_RE33!$H$7:$H$874,BS_RE33!$S$7:$S$874,$BH$2,BS_RE33!$N$7:$N$874,I24,BS_RE33!$P$7:$P$874,'30 days CF Table(USD)'!G24,BS_RE33!$F$7:$F$874,'30 days CF Table(USD)'!$C$2)</f>
        <v>0</v>
      </c>
      <c r="BI24" s="379">
        <f>SUMIFS(BS_RE33!$H$7:$H$874,BS_RE33!$S$7:$S$874,$BI$2,BS_RE33!$N$7:$N$874,I24,BS_RE33!$P$7:$P$874,'30 days CF Table(USD)'!G24,BS_RE33!$F$7:$F$874,'30 days CF Table(USD)'!$C$2)</f>
        <v>0</v>
      </c>
      <c r="BJ24" s="379">
        <f>SUMIFS(BS_RE33!$H$7:$H$874,BS_RE33!$S$7:$S$874,$BJ$2,BS_RE33!$N$7:$N$874,I24,BS_RE33!$P$7:$P$874,'30 days CF Table(USD)'!G24,BS_RE33!$F$7:$F$874,'30 days CF Table(USD)'!$C$2)</f>
        <v>0</v>
      </c>
      <c r="BK24" s="379">
        <f>SUMIFS(BS_RE33!$H$7:$H$874,BS_RE33!$S$7:$S$874,$BK$2,BS_RE33!$N$7:$N$874,I24,BS_RE33!$P$7:$P$874,'30 days CF Table(USD)'!G24,BS_RE33!$F$7:$F$874,'30 days CF Table(USD)'!$C$2)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Table(USD)'!G25,BS_RE33!$F$7:$F$874,'30 days CF Table(USD)'!$C$2)</f>
        <v>0</v>
      </c>
      <c r="M25" s="337">
        <f>SUMIFS(BS_RE33!$H$7:$H$874,BS_RE33!$S$7:$S$874,$M$2,BS_RE33!$N$7:$N$874,I25,BS_RE33!$P$7:$P$874,'30 days CF Table(USD)'!G25,BS_RE33!$F$7:$F$874,'30 days CF Table(USD)'!$C$2)</f>
        <v>0</v>
      </c>
      <c r="N25" s="337">
        <f>SUMIFS(BS_RE33!$H$7:$H$874,BS_RE33!$S$7:$S$874,$N$2,BS_RE33!$N$7:$N$874,I25,BS_RE33!$P$7:$P$874,'30 days CF Table(USD)'!G25,BS_RE33!$F$7:$F$874,'30 days CF Table(USD)'!$C$2)</f>
        <v>0</v>
      </c>
      <c r="O25" s="337">
        <f>SUMIFS(BS_RE33!$H$7:$H$874,BS_RE33!$S$7:$S$874,$O$2,BS_RE33!$N$7:$N$874,I25,BS_RE33!$P$7:$P$874,'30 days CF Table(USD)'!G25,BS_RE33!$F$7:$F$874,'30 days CF Table(USD)'!$C$2)</f>
        <v>0</v>
      </c>
      <c r="P25" s="337">
        <f>SUMIFS(BS_RE33!$H$7:$H$874,BS_RE33!$S$7:$S$874,$P$2,BS_RE33!$N$7:$N$874,I25,BS_RE33!$P$7:$P$874,'30 days CF Table(USD)'!G25,BS_RE33!$F$7:$F$874,'30 days CF Table(USD)'!$C$2)</f>
        <v>0</v>
      </c>
      <c r="Q25" s="337">
        <f>SUMIFS(BS_RE33!$H$7:$H$874,BS_RE33!$S$7:$S$874,$Q$2,BS_RE33!$N$7:$N$874,I25,BS_RE33!$P$7:$P$874,'30 days CF Table(USD)'!G25,BS_RE33!$F$7:$F$874,'30 days CF Table(USD)'!$C$2)</f>
        <v>0</v>
      </c>
      <c r="R25" s="337">
        <f>SUMIFS(BS_RE33!$H$7:$H$874,BS_RE33!$S$7:$S$874,$R$2,BS_RE33!$N$7:$N$874,I25,BS_RE33!$P$7:$P$874,'30 days CF Table(USD)'!G25,BS_RE33!$F$7:$F$874,'30 days CF Table(USD)'!$C$2)</f>
        <v>0</v>
      </c>
      <c r="S25" s="337">
        <f>SUMIFS(BS_RE33!$H$7:$H$874,BS_RE33!$S$7:$S$874,$S$2,BS_RE33!$N$7:$N$874,I25,BS_RE33!$P$7:$P$874,'30 days CF Table(USD)'!G25,BS_RE33!$F$7:$F$874,'30 days CF Table(USD)'!$C$2)</f>
        <v>0</v>
      </c>
      <c r="T25" s="337">
        <f>SUMIFS(BS_RE33!$H$7:$H$874,BS_RE33!$S$7:$S$874,$T$2,BS_RE33!$N$7:$N$874,I25,BS_RE33!$P$7:$P$874,'30 days CF Table(USD)'!G25,BS_RE33!$F$7:$F$874,'30 days CF Table(USD)'!$C$2)</f>
        <v>0</v>
      </c>
      <c r="U25" s="337">
        <f>SUMIFS(BS_RE33!$H$7:$H$874,BS_RE33!$S$7:$S$874,$U$2,BS_RE33!$N$7:$N$874,I25,BS_RE33!$P$7:$P$874,'30 days CF Table(USD)'!G25,BS_RE33!$F$7:$F$874,'30 days CF Table(USD)'!$C$2)</f>
        <v>0</v>
      </c>
      <c r="V25" s="337">
        <f>SUMIFS(BS_RE33!$H$7:$H$874,BS_RE33!$S$7:$S$874,$V$2,BS_RE33!$N$7:$N$874,I25,BS_RE33!$P$7:$P$874,'30 days CF Table(USD)'!G25,BS_RE33!$F$7:$F$874,'30 days CF Table(USD)'!$C$2)</f>
        <v>0</v>
      </c>
      <c r="W25" s="337">
        <f>SUMIFS(BS_RE33!$H$7:$H$874,BS_RE33!$S$7:$S$874,$W$2,BS_RE33!$N$7:$N$874,I25,BS_RE33!$P$7:$P$874,'30 days CF Table(USD)'!G25,BS_RE33!$F$7:$F$874,'30 days CF Table(USD)'!$C$2)</f>
        <v>0</v>
      </c>
      <c r="X25" s="337">
        <f>SUMIFS(BS_RE33!$H$7:$H$874,BS_RE33!$S$7:$S$874,$X$2,BS_RE33!$N$7:$N$874,I25,BS_RE33!$P$7:$P$874,'30 days CF Table(USD)'!G25,BS_RE33!$F$7:$F$874,'30 days CF Table(USD)'!$C$2)</f>
        <v>0</v>
      </c>
      <c r="Y25" s="337">
        <f>SUMIFS(BS_RE33!$H$7:$H$874,BS_RE33!$S$7:$S$874,$Y$2,BS_RE33!$N$7:$N$874,I25,BS_RE33!$P$7:$P$874,'30 days CF Table(USD)'!G25,BS_RE33!$F$7:$F$874,'30 days CF Table(USD)'!$C$2)</f>
        <v>0</v>
      </c>
      <c r="Z25" s="337">
        <f>SUMIFS(BS_RE33!$H$7:$H$874,BS_RE33!$S$7:$S$874,$Z$2,BS_RE33!$N$7:$N$874,I25,BS_RE33!$P$7:$P$874,'30 days CF Table(USD)'!G25,BS_RE33!$F$7:$F$874,'30 days CF Table(USD)'!$C$2)</f>
        <v>0</v>
      </c>
      <c r="AA25" s="337">
        <f>SUMIFS(BS_RE33!$H$7:$H$874,BS_RE33!$S$7:$S$874,$AA$2,BS_RE33!$N$7:$N$874,I25,BS_RE33!$P$7:$P$874,'30 days CF Table(USD)'!G25,BS_RE33!$F$7:$F$874,'30 days CF Table(USD)'!$C$2)</f>
        <v>0</v>
      </c>
      <c r="AB25" s="337">
        <f>SUMIFS(BS_RE33!$H$7:$H$874,BS_RE33!$S$7:$S$874,$AB$2,BS_RE33!$N$7:$N$874,I25,BS_RE33!$P$7:$P$874,'30 days CF Table(USD)'!G25,BS_RE33!$F$7:$F$874,'30 days CF Table(USD)'!$C$2)</f>
        <v>0</v>
      </c>
      <c r="AC25" s="337">
        <f>SUMIFS(BS_RE33!$H$7:$H$874,BS_RE33!$S$7:$S$874,$AC$2,BS_RE33!$N$7:$N$874,I25,BS_RE33!$P$7:$P$874,'30 days CF Table(USD)'!G25,BS_RE33!$F$7:$F$874,'30 days CF Table(USD)'!$C$2)</f>
        <v>0</v>
      </c>
      <c r="AD25" s="337">
        <f>SUMIFS(BS_RE33!$H$7:$H$874,BS_RE33!$S$7:$S$874,$AD$2,BS_RE33!$N$7:$N$874,I25,BS_RE33!$P$7:$P$874,'30 days CF Table(USD)'!G25,BS_RE33!$F$7:$F$874,'30 days CF Table(USD)'!$C$2)</f>
        <v>0</v>
      </c>
      <c r="AE25" s="337">
        <f>SUMIFS(BS_RE33!$H$7:$H$874,BS_RE33!$S$7:$S$874,$AE$2,BS_RE33!$N$7:$N$874,I25,BS_RE33!$P$7:$P$874,'30 days CF Table(USD)'!G25,BS_RE33!$F$7:$F$874,'30 days CF Table(USD)'!$C$2)</f>
        <v>0</v>
      </c>
      <c r="AF25" s="337">
        <f>SUMIFS(BS_RE33!$H$7:$H$874,BS_RE33!$S$7:$S$874,$AF$2,BS_RE33!$N$7:$N$874,I25,BS_RE33!$P$7:$P$874,'30 days CF Table(USD)'!G25,BS_RE33!$F$7:$F$874,'30 days CF Table(USD)'!$C$2)</f>
        <v>0</v>
      </c>
      <c r="AG25" s="337">
        <f>SUMIFS(BS_RE33!$H$7:$H$874,BS_RE33!$S$7:$S$874,$AG$2,BS_RE33!$N$7:$N$874,I25,BS_RE33!$P$7:$P$874,'30 days CF Table(USD)'!G25,BS_RE33!$F$7:$F$874,'30 days CF Table(USD)'!$C$2)</f>
        <v>0</v>
      </c>
      <c r="AH25" s="337">
        <f>SUMIFS(BS_RE33!$H$7:$H$874,BS_RE33!$S$7:$S$874,$AH$2,BS_RE33!$N$7:$N$874,I25,BS_RE33!$P$7:$P$874,'30 days CF Table(USD)'!G25,BS_RE33!$F$7:$F$874,'30 days CF Table(USD)'!$C$2)</f>
        <v>0</v>
      </c>
      <c r="AI25" s="337">
        <f>SUMIFS(BS_RE33!$H$7:$H$874,BS_RE33!$S$7:$S$874,$AI$2,BS_RE33!$N$7:$N$874,I25,BS_RE33!$P$7:$P$874,'30 days CF Table(USD)'!G25,BS_RE33!$F$7:$F$874,'30 days CF Table(USD)'!$C$2)</f>
        <v>0</v>
      </c>
      <c r="AJ25" s="337">
        <f>SUMIFS(BS_RE33!$H$7:$H$874,BS_RE33!$S$7:$S$874,$AJ$2,BS_RE33!$N$7:$N$874,I25,BS_RE33!$P$7:$P$874,'30 days CF Table(USD)'!G25,BS_RE33!$F$7:$F$874,'30 days CF Table(USD)'!$C$2)</f>
        <v>0</v>
      </c>
      <c r="AK25" s="337">
        <f>SUMIFS(BS_RE33!$H$7:$H$874,BS_RE33!$S$7:$S$874,$AK$2,BS_RE33!$N$7:$N$874,I25,BS_RE33!$P$7:$P$874,'30 days CF Table(USD)'!G25,BS_RE33!$F$7:$F$874,'30 days CF Table(USD)'!$C$2)</f>
        <v>0</v>
      </c>
      <c r="AL25" s="337">
        <f>SUMIFS(BS_RE33!$H$7:$H$874,BS_RE33!$S$7:$S$874,$AL$2,BS_RE33!$N$7:$N$874,I25,BS_RE33!$P$7:$P$874,'30 days CF Table(USD)'!G25,BS_RE33!$F$7:$F$874,'30 days CF Table(USD)'!$C$2)</f>
        <v>0</v>
      </c>
      <c r="AM25" s="337">
        <f>SUMIFS(BS_RE33!$H$7:$H$874,BS_RE33!$S$7:$S$874,$AM$2,BS_RE33!$N$7:$N$874,I25,BS_RE33!$P$7:$P$874,'30 days CF Table(USD)'!G25,BS_RE33!$F$7:$F$874,'30 days CF Table(USD)'!$C$2)</f>
        <v>0</v>
      </c>
      <c r="AN25" s="337">
        <f>SUMIFS(BS_RE33!$H$7:$H$874,BS_RE33!$S$7:$S$874,$AN$2,BS_RE33!$N$7:$N$874,I25,BS_RE33!$P$7:$P$874,'30 days CF Table(USD)'!G25,BS_RE33!$F$7:$F$874,'30 days CF Table(USD)'!$C$2)</f>
        <v>0</v>
      </c>
      <c r="AO25" s="337">
        <f>SUMIFS(BS_RE33!$H$7:$H$874,BS_RE33!$S$7:$S$874,$AO$2,BS_RE33!$N$7:$N$874,I25,BS_RE33!$P$7:$P$874,'30 days CF Table(USD)'!G25,BS_RE33!$F$7:$F$874,'30 days CF Table(USD)'!$C$2)</f>
        <v>0</v>
      </c>
      <c r="AP25" s="338">
        <f>SUMIFS(BS_RE33!$H$7:$H$874,BS_RE33!$S$7:$S$874,$AP$2,BS_RE33!$N$7:$N$874,I25,BS_RE33!$P$7:$P$874,'30 days CF Table(USD)'!G25,BS_RE33!$F$7:$F$874,'30 days CF Table(USD)'!$C$2)</f>
        <v>0</v>
      </c>
      <c r="AR25" s="379">
        <f>SUMIFS(BS_RE33!$H$7:$H$874,BS_RE33!$S$7:$S$874,$AR$2,BS_RE33!$N$7:$N$874,I25,BS_RE33!$P$7:$P$874,'30 days CF Table(USD)'!G25,BS_RE33!$F$7:$F$874,'30 days CF Table(USD)'!$C$2)</f>
        <v>0</v>
      </c>
      <c r="AS25" s="379">
        <f>SUMIFS(BS_RE33!$H$7:$H$874,BS_RE33!$S$7:$S$874,$AS$2,BS_RE33!$N$7:$N$874,I25,BS_RE33!$P$7:$P$874,'30 days CF Table(USD)'!G25,BS_RE33!$F$7:$F$874,'30 days CF Table(USD)'!$C$2)</f>
        <v>0</v>
      </c>
      <c r="AT25" s="379">
        <f>SUMIFS(BS_RE33!$H$7:$H$874,BS_RE33!$S$7:$S$874,$AT$2,BS_RE33!$N$7:$N$874,I25,BS_RE33!$P$7:$P$874,'30 days CF Table(USD)'!G25,BS_RE33!$F$7:$F$874,'30 days CF Table(USD)'!$C$2)</f>
        <v>0</v>
      </c>
      <c r="AU25" s="379">
        <f>SUMIFS(BS_RE33!$H$7:$H$874,BS_RE33!$S$7:$S$874,$AU$2,BS_RE33!$N$7:$N$874,I25,BS_RE33!$P$7:$P$874,'30 days CF Table(USD)'!G25,BS_RE33!$F$7:$F$874,'30 days CF Table(USD)'!$C$2)</f>
        <v>0</v>
      </c>
      <c r="AV25" s="379">
        <f>SUMIFS(BS_RE33!$H$7:$H$874,BS_RE33!$S$7:$S$874,$AV$2,BS_RE33!$N$7:$N$874,I25,BS_RE33!$P$7:$P$874,'30 days CF Table(USD)'!G25,BS_RE33!$F$7:$F$874,'30 days CF Table(USD)'!$C$2)</f>
        <v>0</v>
      </c>
      <c r="AW25" s="379">
        <f>SUMIFS(BS_RE33!$H$7:$H$874,BS_RE33!$S$7:$S$874,$AW$2,BS_RE33!$N$7:$N$874,I25,BS_RE33!$P$7:$P$874,'30 days CF Table(USD)'!G25,BS_RE33!$F$7:$F$874,'30 days CF Table(USD)'!$C$2)</f>
        <v>0</v>
      </c>
      <c r="AX25" s="379">
        <f>SUMIFS(BS_RE33!$H$7:$H$874,BS_RE33!$S$7:$S$874,$AX$2,BS_RE33!$N$7:$N$874,I25,BS_RE33!$P$7:$P$874,'30 days CF Table(USD)'!G25,BS_RE33!$F$7:$F$874,'30 days CF Table(USD)'!$C$2)</f>
        <v>0</v>
      </c>
      <c r="AY25" s="379">
        <f>SUMIFS(BS_RE33!$H$7:$H$874,BS_RE33!$S$7:$S$874,$AY$2,BS_RE33!$N$7:$N$874,I25,BS_RE33!$P$7:$P$874,'30 days CF Table(USD)'!G25,BS_RE33!$F$7:$F$874,'30 days CF Table(USD)'!$C$2)</f>
        <v>0</v>
      </c>
      <c r="AZ25" s="379">
        <f>SUMIFS(BS_RE33!$H$7:$H$874,BS_RE33!$S$7:$S$874,$AZ$2,BS_RE33!$N$7:$N$874,I25,BS_RE33!$P$7:$P$874,'30 days CF Table(USD)'!G25,BS_RE33!$F$7:$F$874,'30 days CF Table(USD)'!$C$2)</f>
        <v>0</v>
      </c>
      <c r="BA25" s="379">
        <f>SUMIFS(BS_RE33!$H$7:$H$874,BS_RE33!$S$7:$S$874,$BA$2,BS_RE33!$N$7:$N$874,I25,BS_RE33!$P$7:$P$874,'30 days CF Table(USD)'!G25,BS_RE33!$F$7:$F$874,'30 days CF Table(USD)'!$C$2)</f>
        <v>0</v>
      </c>
      <c r="BB25" s="379">
        <f>SUMIFS(BS_RE33!$H$7:$H$874,BS_RE33!$S$7:$S$874,$BB$2,BS_RE33!$N$7:$N$874,I25,BS_RE33!$P$7:$P$874,'30 days CF Table(USD)'!G25,BS_RE33!$F$7:$F$874,'30 days CF Table(USD)'!$C$2)</f>
        <v>0</v>
      </c>
      <c r="BC25" s="379">
        <f>SUMIFS(BS_RE33!$H$7:$H$874,BS_RE33!$S$7:$S$874,$BC$2,BS_RE33!$N$7:$N$874,I25,BS_RE33!$P$7:$P$874,'30 days CF Table(USD)'!G25,BS_RE33!$F$7:$F$874,'30 days CF Table(USD)'!$C$2)</f>
        <v>0</v>
      </c>
      <c r="BD25" s="379">
        <f>SUMIFS(BS_RE33!$H$7:$H$874,BS_RE33!$S$7:$S$874,$BD$2,BS_RE33!$N$7:$N$874,I25,BS_RE33!$P$7:$P$874,'30 days CF Table(USD)'!G25,BS_RE33!$F$7:$F$874,'30 days CF Table(USD)'!$C$2)</f>
        <v>0</v>
      </c>
      <c r="BE25" s="379">
        <f>SUMIFS(BS_RE33!$H$7:$H$874,BS_RE33!$S$7:$S$874,$BE$2,BS_RE33!$N$7:$N$874,I25,BS_RE33!$P$7:$P$874,'30 days CF Table(USD)'!G25,BS_RE33!$F$7:$F$874,'30 days CF Table(USD)'!$C$2)</f>
        <v>0</v>
      </c>
      <c r="BF25" s="379">
        <f>SUMIFS(BS_RE33!$H$7:$H$874,BS_RE33!$S$7:$S$874,$BF$2,BS_RE33!$N$7:$N$874,I25,BS_RE33!$P$7:$P$874,'30 days CF Table(USD)'!G25,BS_RE33!$F$7:$F$874,'30 days CF Table(USD)'!$C$2)</f>
        <v>0</v>
      </c>
      <c r="BG25" s="379">
        <f>SUMIFS(BS_RE33!$H$7:$H$874,BS_RE33!$S$7:$S$874,$BG$2,BS_RE33!$N$7:$N$874,I25,BS_RE33!$P$7:$P$874,'30 days CF Table(USD)'!G25,BS_RE33!$F$7:$F$874,'30 days CF Table(USD)'!$C$2)</f>
        <v>0</v>
      </c>
      <c r="BH25" s="379">
        <f>SUMIFS(BS_RE33!$H$7:$H$874,BS_RE33!$S$7:$S$874,$BH$2,BS_RE33!$N$7:$N$874,I25,BS_RE33!$P$7:$P$874,'30 days CF Table(USD)'!G25,BS_RE33!$F$7:$F$874,'30 days CF Table(USD)'!$C$2)</f>
        <v>0</v>
      </c>
      <c r="BI25" s="379">
        <f>SUMIFS(BS_RE33!$H$7:$H$874,BS_RE33!$S$7:$S$874,$BI$2,BS_RE33!$N$7:$N$874,I25,BS_RE33!$P$7:$P$874,'30 days CF Table(USD)'!G25,BS_RE33!$F$7:$F$874,'30 days CF Table(USD)'!$C$2)</f>
        <v>0</v>
      </c>
      <c r="BJ25" s="379">
        <f>SUMIFS(BS_RE33!$H$7:$H$874,BS_RE33!$S$7:$S$874,$BJ$2,BS_RE33!$N$7:$N$874,I25,BS_RE33!$P$7:$P$874,'30 days CF Table(USD)'!G25,BS_RE33!$F$7:$F$874,'30 days CF Table(USD)'!$C$2)</f>
        <v>0</v>
      </c>
      <c r="BK25" s="379">
        <f>SUMIFS(BS_RE33!$H$7:$H$874,BS_RE33!$S$7:$S$874,$BK$2,BS_RE33!$N$7:$N$874,I25,BS_RE33!$P$7:$P$874,'30 days CF Table(USD)'!G25,BS_RE33!$F$7:$F$874,'30 days CF Table(USD)'!$C$2)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Table(USD)'!G26,BS_RE33!$F$7:$F$874,'30 days CF Table(USD)'!$C$2)</f>
        <v>0</v>
      </c>
      <c r="M26" s="337">
        <f>SUMIFS(BS_RE33!$H$7:$H$874,BS_RE33!$S$7:$S$874,$M$2,BS_RE33!$N$7:$N$874,I26,BS_RE33!$P$7:$P$874,'30 days CF Table(USD)'!G26,BS_RE33!$F$7:$F$874,'30 days CF Table(USD)'!$C$2)</f>
        <v>0</v>
      </c>
      <c r="N26" s="337">
        <f>SUMIFS(BS_RE33!$H$7:$H$874,BS_RE33!$S$7:$S$874,$N$2,BS_RE33!$N$7:$N$874,I26,BS_RE33!$P$7:$P$874,'30 days CF Table(USD)'!G26,BS_RE33!$F$7:$F$874,'30 days CF Table(USD)'!$C$2)</f>
        <v>0</v>
      </c>
      <c r="O26" s="337">
        <f>SUMIFS(BS_RE33!$H$7:$H$874,BS_RE33!$S$7:$S$874,$O$2,BS_RE33!$N$7:$N$874,I26,BS_RE33!$P$7:$P$874,'30 days CF Table(USD)'!G26,BS_RE33!$F$7:$F$874,'30 days CF Table(USD)'!$C$2)</f>
        <v>0</v>
      </c>
      <c r="P26" s="337">
        <f>SUMIFS(BS_RE33!$H$7:$H$874,BS_RE33!$S$7:$S$874,$P$2,BS_RE33!$N$7:$N$874,I26,BS_RE33!$P$7:$P$874,'30 days CF Table(USD)'!G26,BS_RE33!$F$7:$F$874,'30 days CF Table(USD)'!$C$2)</f>
        <v>0</v>
      </c>
      <c r="Q26" s="337">
        <f>SUMIFS(BS_RE33!$H$7:$H$874,BS_RE33!$S$7:$S$874,$Q$2,BS_RE33!$N$7:$N$874,I26,BS_RE33!$P$7:$P$874,'30 days CF Table(USD)'!G26,BS_RE33!$F$7:$F$874,'30 days CF Table(USD)'!$C$2)</f>
        <v>0</v>
      </c>
      <c r="R26" s="337">
        <f>SUMIFS(BS_RE33!$H$7:$H$874,BS_RE33!$S$7:$S$874,$R$2,BS_RE33!$N$7:$N$874,I26,BS_RE33!$P$7:$P$874,'30 days CF Table(USD)'!G26,BS_RE33!$F$7:$F$874,'30 days CF Table(USD)'!$C$2)</f>
        <v>0</v>
      </c>
      <c r="S26" s="337">
        <f>SUMIFS(BS_RE33!$H$7:$H$874,BS_RE33!$S$7:$S$874,$S$2,BS_RE33!$N$7:$N$874,I26,BS_RE33!$P$7:$P$874,'30 days CF Table(USD)'!G26,BS_RE33!$F$7:$F$874,'30 days CF Table(USD)'!$C$2)</f>
        <v>0</v>
      </c>
      <c r="T26" s="337">
        <f>SUMIFS(BS_RE33!$H$7:$H$874,BS_RE33!$S$7:$S$874,$T$2,BS_RE33!$N$7:$N$874,I26,BS_RE33!$P$7:$P$874,'30 days CF Table(USD)'!G26,BS_RE33!$F$7:$F$874,'30 days CF Table(USD)'!$C$2)</f>
        <v>0</v>
      </c>
      <c r="U26" s="337">
        <f>SUMIFS(BS_RE33!$H$7:$H$874,BS_RE33!$S$7:$S$874,$U$2,BS_RE33!$N$7:$N$874,I26,BS_RE33!$P$7:$P$874,'30 days CF Table(USD)'!G26,BS_RE33!$F$7:$F$874,'30 days CF Table(USD)'!$C$2)</f>
        <v>0</v>
      </c>
      <c r="V26" s="337">
        <f>SUMIFS(BS_RE33!$H$7:$H$874,BS_RE33!$S$7:$S$874,$V$2,BS_RE33!$N$7:$N$874,I26,BS_RE33!$P$7:$P$874,'30 days CF Table(USD)'!G26,BS_RE33!$F$7:$F$874,'30 days CF Table(USD)'!$C$2)</f>
        <v>0</v>
      </c>
      <c r="W26" s="337">
        <f>SUMIFS(BS_RE33!$H$7:$H$874,BS_RE33!$S$7:$S$874,$W$2,BS_RE33!$N$7:$N$874,I26,BS_RE33!$P$7:$P$874,'30 days CF Table(USD)'!G26,BS_RE33!$F$7:$F$874,'30 days CF Table(USD)'!$C$2)</f>
        <v>0</v>
      </c>
      <c r="X26" s="337">
        <f>SUMIFS(BS_RE33!$H$7:$H$874,BS_RE33!$S$7:$S$874,$X$2,BS_RE33!$N$7:$N$874,I26,BS_RE33!$P$7:$P$874,'30 days CF Table(USD)'!G26,BS_RE33!$F$7:$F$874,'30 days CF Table(USD)'!$C$2)</f>
        <v>0</v>
      </c>
      <c r="Y26" s="337">
        <f>SUMIFS(BS_RE33!$H$7:$H$874,BS_RE33!$S$7:$S$874,$Y$2,BS_RE33!$N$7:$N$874,I26,BS_RE33!$P$7:$P$874,'30 days CF Table(USD)'!G26,BS_RE33!$F$7:$F$874,'30 days CF Table(USD)'!$C$2)</f>
        <v>0</v>
      </c>
      <c r="Z26" s="337">
        <f>SUMIFS(BS_RE33!$H$7:$H$874,BS_RE33!$S$7:$S$874,$Z$2,BS_RE33!$N$7:$N$874,I26,BS_RE33!$P$7:$P$874,'30 days CF Table(USD)'!G26,BS_RE33!$F$7:$F$874,'30 days CF Table(USD)'!$C$2)</f>
        <v>0</v>
      </c>
      <c r="AA26" s="337">
        <f>SUMIFS(BS_RE33!$H$7:$H$874,BS_RE33!$S$7:$S$874,$AA$2,BS_RE33!$N$7:$N$874,I26,BS_RE33!$P$7:$P$874,'30 days CF Table(USD)'!G26,BS_RE33!$F$7:$F$874,'30 days CF Table(USD)'!$C$2)</f>
        <v>0</v>
      </c>
      <c r="AB26" s="337">
        <f>SUMIFS(BS_RE33!$H$7:$H$874,BS_RE33!$S$7:$S$874,$AB$2,BS_RE33!$N$7:$N$874,I26,BS_RE33!$P$7:$P$874,'30 days CF Table(USD)'!G26,BS_RE33!$F$7:$F$874,'30 days CF Table(USD)'!$C$2)</f>
        <v>0</v>
      </c>
      <c r="AC26" s="337">
        <f>SUMIFS(BS_RE33!$H$7:$H$874,BS_RE33!$S$7:$S$874,$AC$2,BS_RE33!$N$7:$N$874,I26,BS_RE33!$P$7:$P$874,'30 days CF Table(USD)'!G26,BS_RE33!$F$7:$F$874,'30 days CF Table(USD)'!$C$2)</f>
        <v>0</v>
      </c>
      <c r="AD26" s="337">
        <f>SUMIFS(BS_RE33!$H$7:$H$874,BS_RE33!$S$7:$S$874,$AD$2,BS_RE33!$N$7:$N$874,I26,BS_RE33!$P$7:$P$874,'30 days CF Table(USD)'!G26,BS_RE33!$F$7:$F$874,'30 days CF Table(USD)'!$C$2)</f>
        <v>0</v>
      </c>
      <c r="AE26" s="337">
        <f>SUMIFS(BS_RE33!$H$7:$H$874,BS_RE33!$S$7:$S$874,$AE$2,BS_RE33!$N$7:$N$874,I26,BS_RE33!$P$7:$P$874,'30 days CF Table(USD)'!G26,BS_RE33!$F$7:$F$874,'30 days CF Table(USD)'!$C$2)</f>
        <v>0</v>
      </c>
      <c r="AF26" s="337">
        <f>SUMIFS(BS_RE33!$H$7:$H$874,BS_RE33!$S$7:$S$874,$AF$2,BS_RE33!$N$7:$N$874,I26,BS_RE33!$P$7:$P$874,'30 days CF Table(USD)'!G26,BS_RE33!$F$7:$F$874,'30 days CF Table(USD)'!$C$2)</f>
        <v>0</v>
      </c>
      <c r="AG26" s="337">
        <f>SUMIFS(BS_RE33!$H$7:$H$874,BS_RE33!$S$7:$S$874,$AG$2,BS_RE33!$N$7:$N$874,I26,BS_RE33!$P$7:$P$874,'30 days CF Table(USD)'!G26,BS_RE33!$F$7:$F$874,'30 days CF Table(USD)'!$C$2)</f>
        <v>0</v>
      </c>
      <c r="AH26" s="337">
        <f>SUMIFS(BS_RE33!$H$7:$H$874,BS_RE33!$S$7:$S$874,$AH$2,BS_RE33!$N$7:$N$874,I26,BS_RE33!$P$7:$P$874,'30 days CF Table(USD)'!G26,BS_RE33!$F$7:$F$874,'30 days CF Table(USD)'!$C$2)</f>
        <v>0</v>
      </c>
      <c r="AI26" s="337">
        <f>SUMIFS(BS_RE33!$H$7:$H$874,BS_RE33!$S$7:$S$874,$AI$2,BS_RE33!$N$7:$N$874,I26,BS_RE33!$P$7:$P$874,'30 days CF Table(USD)'!G26,BS_RE33!$F$7:$F$874,'30 days CF Table(USD)'!$C$2)</f>
        <v>0</v>
      </c>
      <c r="AJ26" s="337">
        <f>SUMIFS(BS_RE33!$H$7:$H$874,BS_RE33!$S$7:$S$874,$AJ$2,BS_RE33!$N$7:$N$874,I26,BS_RE33!$P$7:$P$874,'30 days CF Table(USD)'!G26,BS_RE33!$F$7:$F$874,'30 days CF Table(USD)'!$C$2)</f>
        <v>0</v>
      </c>
      <c r="AK26" s="337">
        <f>SUMIFS(BS_RE33!$H$7:$H$874,BS_RE33!$S$7:$S$874,$AK$2,BS_RE33!$N$7:$N$874,I26,BS_RE33!$P$7:$P$874,'30 days CF Table(USD)'!G26,BS_RE33!$F$7:$F$874,'30 days CF Table(USD)'!$C$2)</f>
        <v>0</v>
      </c>
      <c r="AL26" s="337">
        <f>SUMIFS(BS_RE33!$H$7:$H$874,BS_RE33!$S$7:$S$874,$AL$2,BS_RE33!$N$7:$N$874,I26,BS_RE33!$P$7:$P$874,'30 days CF Table(USD)'!G26,BS_RE33!$F$7:$F$874,'30 days CF Table(USD)'!$C$2)</f>
        <v>0</v>
      </c>
      <c r="AM26" s="337">
        <f>SUMIFS(BS_RE33!$H$7:$H$874,BS_RE33!$S$7:$S$874,$AM$2,BS_RE33!$N$7:$N$874,I26,BS_RE33!$P$7:$P$874,'30 days CF Table(USD)'!G26,BS_RE33!$F$7:$F$874,'30 days CF Table(USD)'!$C$2)</f>
        <v>0</v>
      </c>
      <c r="AN26" s="337">
        <f>SUMIFS(BS_RE33!$H$7:$H$874,BS_RE33!$S$7:$S$874,$AN$2,BS_RE33!$N$7:$N$874,I26,BS_RE33!$P$7:$P$874,'30 days CF Table(USD)'!G26,BS_RE33!$F$7:$F$874,'30 days CF Table(USD)'!$C$2)</f>
        <v>0</v>
      </c>
      <c r="AO26" s="337">
        <f>SUMIFS(BS_RE33!$H$7:$H$874,BS_RE33!$S$7:$S$874,$AO$2,BS_RE33!$N$7:$N$874,I26,BS_RE33!$P$7:$P$874,'30 days CF Table(USD)'!G26,BS_RE33!$F$7:$F$874,'30 days CF Table(USD)'!$C$2)</f>
        <v>0</v>
      </c>
      <c r="AP26" s="338">
        <f>SUMIFS(BS_RE33!$H$7:$H$874,BS_RE33!$S$7:$S$874,$AP$2,BS_RE33!$N$7:$N$874,I26,BS_RE33!$P$7:$P$874,'30 days CF Table(USD)'!G26,BS_RE33!$F$7:$F$874,'30 days CF Table(USD)'!$C$2)</f>
        <v>0</v>
      </c>
      <c r="AR26" s="379">
        <f>SUMIFS(BS_RE33!$H$7:$H$874,BS_RE33!$S$7:$S$874,$AR$2,BS_RE33!$N$7:$N$874,I26,BS_RE33!$P$7:$P$874,'30 days CF Table(USD)'!G26,BS_RE33!$F$7:$F$874,'30 days CF Table(USD)'!$C$2)</f>
        <v>0</v>
      </c>
      <c r="AS26" s="379">
        <f>SUMIFS(BS_RE33!$H$7:$H$874,BS_RE33!$S$7:$S$874,$AS$2,BS_RE33!$N$7:$N$874,I26,BS_RE33!$P$7:$P$874,'30 days CF Table(USD)'!G26,BS_RE33!$F$7:$F$874,'30 days CF Table(USD)'!$C$2)</f>
        <v>0</v>
      </c>
      <c r="AT26" s="379">
        <f>SUMIFS(BS_RE33!$H$7:$H$874,BS_RE33!$S$7:$S$874,$AT$2,BS_RE33!$N$7:$N$874,I26,BS_RE33!$P$7:$P$874,'30 days CF Table(USD)'!G26,BS_RE33!$F$7:$F$874,'30 days CF Table(USD)'!$C$2)</f>
        <v>0</v>
      </c>
      <c r="AU26" s="379">
        <f>SUMIFS(BS_RE33!$H$7:$H$874,BS_RE33!$S$7:$S$874,$AU$2,BS_RE33!$N$7:$N$874,I26,BS_RE33!$P$7:$P$874,'30 days CF Table(USD)'!G26,BS_RE33!$F$7:$F$874,'30 days CF Table(USD)'!$C$2)</f>
        <v>0</v>
      </c>
      <c r="AV26" s="379">
        <f>SUMIFS(BS_RE33!$H$7:$H$874,BS_RE33!$S$7:$S$874,$AV$2,BS_RE33!$N$7:$N$874,I26,BS_RE33!$P$7:$P$874,'30 days CF Table(USD)'!G26,BS_RE33!$F$7:$F$874,'30 days CF Table(USD)'!$C$2)</f>
        <v>0</v>
      </c>
      <c r="AW26" s="379">
        <f>SUMIFS(BS_RE33!$H$7:$H$874,BS_RE33!$S$7:$S$874,$AW$2,BS_RE33!$N$7:$N$874,I26,BS_RE33!$P$7:$P$874,'30 days CF Table(USD)'!G26,BS_RE33!$F$7:$F$874,'30 days CF Table(USD)'!$C$2)</f>
        <v>0</v>
      </c>
      <c r="AX26" s="379">
        <f>SUMIFS(BS_RE33!$H$7:$H$874,BS_RE33!$S$7:$S$874,$AX$2,BS_RE33!$N$7:$N$874,I26,BS_RE33!$P$7:$P$874,'30 days CF Table(USD)'!G26,BS_RE33!$F$7:$F$874,'30 days CF Table(USD)'!$C$2)</f>
        <v>0</v>
      </c>
      <c r="AY26" s="379">
        <f>SUMIFS(BS_RE33!$H$7:$H$874,BS_RE33!$S$7:$S$874,$AY$2,BS_RE33!$N$7:$N$874,I26,BS_RE33!$P$7:$P$874,'30 days CF Table(USD)'!G26,BS_RE33!$F$7:$F$874,'30 days CF Table(USD)'!$C$2)</f>
        <v>0</v>
      </c>
      <c r="AZ26" s="379">
        <f>SUMIFS(BS_RE33!$H$7:$H$874,BS_RE33!$S$7:$S$874,$AZ$2,BS_RE33!$N$7:$N$874,I26,BS_RE33!$P$7:$P$874,'30 days CF Table(USD)'!G26,BS_RE33!$F$7:$F$874,'30 days CF Table(USD)'!$C$2)</f>
        <v>0</v>
      </c>
      <c r="BA26" s="379">
        <f>SUMIFS(BS_RE33!$H$7:$H$874,BS_RE33!$S$7:$S$874,$BA$2,BS_RE33!$N$7:$N$874,I26,BS_RE33!$P$7:$P$874,'30 days CF Table(USD)'!G26,BS_RE33!$F$7:$F$874,'30 days CF Table(USD)'!$C$2)</f>
        <v>0</v>
      </c>
      <c r="BB26" s="379">
        <f>SUMIFS(BS_RE33!$H$7:$H$874,BS_RE33!$S$7:$S$874,$BB$2,BS_RE33!$N$7:$N$874,I26,BS_RE33!$P$7:$P$874,'30 days CF Table(USD)'!G26,BS_RE33!$F$7:$F$874,'30 days CF Table(USD)'!$C$2)</f>
        <v>0</v>
      </c>
      <c r="BC26" s="379">
        <f>SUMIFS(BS_RE33!$H$7:$H$874,BS_RE33!$S$7:$S$874,$BC$2,BS_RE33!$N$7:$N$874,I26,BS_RE33!$P$7:$P$874,'30 days CF Table(USD)'!G26,BS_RE33!$F$7:$F$874,'30 days CF Table(USD)'!$C$2)</f>
        <v>0</v>
      </c>
      <c r="BD26" s="379">
        <f>SUMIFS(BS_RE33!$H$7:$H$874,BS_RE33!$S$7:$S$874,$BD$2,BS_RE33!$N$7:$N$874,I26,BS_RE33!$P$7:$P$874,'30 days CF Table(USD)'!G26,BS_RE33!$F$7:$F$874,'30 days CF Table(USD)'!$C$2)</f>
        <v>0</v>
      </c>
      <c r="BE26" s="379">
        <f>SUMIFS(BS_RE33!$H$7:$H$874,BS_RE33!$S$7:$S$874,$BE$2,BS_RE33!$N$7:$N$874,I26,BS_RE33!$P$7:$P$874,'30 days CF Table(USD)'!G26,BS_RE33!$F$7:$F$874,'30 days CF Table(USD)'!$C$2)</f>
        <v>0</v>
      </c>
      <c r="BF26" s="379">
        <f>SUMIFS(BS_RE33!$H$7:$H$874,BS_RE33!$S$7:$S$874,$BF$2,BS_RE33!$N$7:$N$874,I26,BS_RE33!$P$7:$P$874,'30 days CF Table(USD)'!G26,BS_RE33!$F$7:$F$874,'30 days CF Table(USD)'!$C$2)</f>
        <v>0</v>
      </c>
      <c r="BG26" s="379">
        <f>SUMIFS(BS_RE33!$H$7:$H$874,BS_RE33!$S$7:$S$874,$BG$2,BS_RE33!$N$7:$N$874,I26,BS_RE33!$P$7:$P$874,'30 days CF Table(USD)'!G26,BS_RE33!$F$7:$F$874,'30 days CF Table(USD)'!$C$2)</f>
        <v>0</v>
      </c>
      <c r="BH26" s="379">
        <f>SUMIFS(BS_RE33!$H$7:$H$874,BS_RE33!$S$7:$S$874,$BH$2,BS_RE33!$N$7:$N$874,I26,BS_RE33!$P$7:$P$874,'30 days CF Table(USD)'!G26,BS_RE33!$F$7:$F$874,'30 days CF Table(USD)'!$C$2)</f>
        <v>0</v>
      </c>
      <c r="BI26" s="379">
        <f>SUMIFS(BS_RE33!$H$7:$H$874,BS_RE33!$S$7:$S$874,$BI$2,BS_RE33!$N$7:$N$874,I26,BS_RE33!$P$7:$P$874,'30 days CF Table(USD)'!G26,BS_RE33!$F$7:$F$874,'30 days CF Table(USD)'!$C$2)</f>
        <v>0</v>
      </c>
      <c r="BJ26" s="379">
        <f>SUMIFS(BS_RE33!$H$7:$H$874,BS_RE33!$S$7:$S$874,$BJ$2,BS_RE33!$N$7:$N$874,I26,BS_RE33!$P$7:$P$874,'30 days CF Table(USD)'!G26,BS_RE33!$F$7:$F$874,'30 days CF Table(USD)'!$C$2)</f>
        <v>0</v>
      </c>
      <c r="BK26" s="379">
        <f>SUMIFS(BS_RE33!$H$7:$H$874,BS_RE33!$S$7:$S$874,$BK$2,BS_RE33!$N$7:$N$874,I26,BS_RE33!$P$7:$P$874,'30 days CF Table(USD)'!G26,BS_RE33!$F$7:$F$874,'30 days CF Table(USD)'!$C$2)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Table(USD)'!G27,BS_RE33!$F$7:$F$874,'30 days CF Table(USD)'!$C$2)</f>
        <v>0</v>
      </c>
      <c r="M27" s="337">
        <f>SUMIFS(BS_RE33!$H$7:$H$874,BS_RE33!$S$7:$S$874,$M$2,BS_RE33!$N$7:$N$874,I27,BS_RE33!$P$7:$P$874,'30 days CF Table(USD)'!G27,BS_RE33!$F$7:$F$874,'30 days CF Table(USD)'!$C$2)</f>
        <v>0</v>
      </c>
      <c r="N27" s="337">
        <f>SUMIFS(BS_RE33!$H$7:$H$874,BS_RE33!$S$7:$S$874,$N$2,BS_RE33!$N$7:$N$874,I27,BS_RE33!$P$7:$P$874,'30 days CF Table(USD)'!G27,BS_RE33!$F$7:$F$874,'30 days CF Table(USD)'!$C$2)</f>
        <v>0</v>
      </c>
      <c r="O27" s="337">
        <f>SUMIFS(BS_RE33!$H$7:$H$874,BS_RE33!$S$7:$S$874,$O$2,BS_RE33!$N$7:$N$874,I27,BS_RE33!$P$7:$P$874,'30 days CF Table(USD)'!G27,BS_RE33!$F$7:$F$874,'30 days CF Table(USD)'!$C$2)</f>
        <v>0</v>
      </c>
      <c r="P27" s="337">
        <f>SUMIFS(BS_RE33!$H$7:$H$874,BS_RE33!$S$7:$S$874,$P$2,BS_RE33!$N$7:$N$874,I27,BS_RE33!$P$7:$P$874,'30 days CF Table(USD)'!G27,BS_RE33!$F$7:$F$874,'30 days CF Table(USD)'!$C$2)</f>
        <v>0</v>
      </c>
      <c r="Q27" s="337">
        <f>SUMIFS(BS_RE33!$H$7:$H$874,BS_RE33!$S$7:$S$874,$Q$2,BS_RE33!$N$7:$N$874,I27,BS_RE33!$P$7:$P$874,'30 days CF Table(USD)'!G27,BS_RE33!$F$7:$F$874,'30 days CF Table(USD)'!$C$2)</f>
        <v>0</v>
      </c>
      <c r="R27" s="337">
        <f>SUMIFS(BS_RE33!$H$7:$H$874,BS_RE33!$S$7:$S$874,$R$2,BS_RE33!$N$7:$N$874,I27,BS_RE33!$P$7:$P$874,'30 days CF Table(USD)'!G27,BS_RE33!$F$7:$F$874,'30 days CF Table(USD)'!$C$2)</f>
        <v>0</v>
      </c>
      <c r="S27" s="337">
        <f>SUMIFS(BS_RE33!$H$7:$H$874,BS_RE33!$S$7:$S$874,$S$2,BS_RE33!$N$7:$N$874,I27,BS_RE33!$P$7:$P$874,'30 days CF Table(USD)'!G27,BS_RE33!$F$7:$F$874,'30 days CF Table(USD)'!$C$2)</f>
        <v>0</v>
      </c>
      <c r="T27" s="337">
        <f>SUMIFS(BS_RE33!$H$7:$H$874,BS_RE33!$S$7:$S$874,$T$2,BS_RE33!$N$7:$N$874,I27,BS_RE33!$P$7:$P$874,'30 days CF Table(USD)'!G27,BS_RE33!$F$7:$F$874,'30 days CF Table(USD)'!$C$2)</f>
        <v>0</v>
      </c>
      <c r="U27" s="337">
        <f>SUMIFS(BS_RE33!$H$7:$H$874,BS_RE33!$S$7:$S$874,$U$2,BS_RE33!$N$7:$N$874,I27,BS_RE33!$P$7:$P$874,'30 days CF Table(USD)'!G27,BS_RE33!$F$7:$F$874,'30 days CF Table(USD)'!$C$2)</f>
        <v>0</v>
      </c>
      <c r="V27" s="337">
        <f>SUMIFS(BS_RE33!$H$7:$H$874,BS_RE33!$S$7:$S$874,$V$2,BS_RE33!$N$7:$N$874,I27,BS_RE33!$P$7:$P$874,'30 days CF Table(USD)'!G27,BS_RE33!$F$7:$F$874,'30 days CF Table(USD)'!$C$2)</f>
        <v>0</v>
      </c>
      <c r="W27" s="337">
        <f>SUMIFS(BS_RE33!$H$7:$H$874,BS_RE33!$S$7:$S$874,$W$2,BS_RE33!$N$7:$N$874,I27,BS_RE33!$P$7:$P$874,'30 days CF Table(USD)'!G27,BS_RE33!$F$7:$F$874,'30 days CF Table(USD)'!$C$2)</f>
        <v>0</v>
      </c>
      <c r="X27" s="337">
        <f>SUMIFS(BS_RE33!$H$7:$H$874,BS_RE33!$S$7:$S$874,$X$2,BS_RE33!$N$7:$N$874,I27,BS_RE33!$P$7:$P$874,'30 days CF Table(USD)'!G27,BS_RE33!$F$7:$F$874,'30 days CF Table(USD)'!$C$2)</f>
        <v>0</v>
      </c>
      <c r="Y27" s="337">
        <f>SUMIFS(BS_RE33!$H$7:$H$874,BS_RE33!$S$7:$S$874,$Y$2,BS_RE33!$N$7:$N$874,I27,BS_RE33!$P$7:$P$874,'30 days CF Table(USD)'!G27,BS_RE33!$F$7:$F$874,'30 days CF Table(USD)'!$C$2)</f>
        <v>0</v>
      </c>
      <c r="Z27" s="337">
        <f>SUMIFS(BS_RE33!$H$7:$H$874,BS_RE33!$S$7:$S$874,$Z$2,BS_RE33!$N$7:$N$874,I27,BS_RE33!$P$7:$P$874,'30 days CF Table(USD)'!G27,BS_RE33!$F$7:$F$874,'30 days CF Table(USD)'!$C$2)</f>
        <v>0</v>
      </c>
      <c r="AA27" s="337">
        <f>SUMIFS(BS_RE33!$H$7:$H$874,BS_RE33!$S$7:$S$874,$AA$2,BS_RE33!$N$7:$N$874,I27,BS_RE33!$P$7:$P$874,'30 days CF Table(USD)'!G27,BS_RE33!$F$7:$F$874,'30 days CF Table(USD)'!$C$2)</f>
        <v>0</v>
      </c>
      <c r="AB27" s="337">
        <f>SUMIFS(BS_RE33!$H$7:$H$874,BS_RE33!$S$7:$S$874,$AB$2,BS_RE33!$N$7:$N$874,I27,BS_RE33!$P$7:$P$874,'30 days CF Table(USD)'!G27,BS_RE33!$F$7:$F$874,'30 days CF Table(USD)'!$C$2)</f>
        <v>0</v>
      </c>
      <c r="AC27" s="337">
        <f>SUMIFS(BS_RE33!$H$7:$H$874,BS_RE33!$S$7:$S$874,$AC$2,BS_RE33!$N$7:$N$874,I27,BS_RE33!$P$7:$P$874,'30 days CF Table(USD)'!G27,BS_RE33!$F$7:$F$874,'30 days CF Table(USD)'!$C$2)</f>
        <v>0</v>
      </c>
      <c r="AD27" s="337">
        <f>SUMIFS(BS_RE33!$H$7:$H$874,BS_RE33!$S$7:$S$874,$AD$2,BS_RE33!$N$7:$N$874,I27,BS_RE33!$P$7:$P$874,'30 days CF Table(USD)'!G27,BS_RE33!$F$7:$F$874,'30 days CF Table(USD)'!$C$2)</f>
        <v>0</v>
      </c>
      <c r="AE27" s="337">
        <f>SUMIFS(BS_RE33!$H$7:$H$874,BS_RE33!$S$7:$S$874,$AE$2,BS_RE33!$N$7:$N$874,I27,BS_RE33!$P$7:$P$874,'30 days CF Table(USD)'!G27,BS_RE33!$F$7:$F$874,'30 days CF Table(USD)'!$C$2)</f>
        <v>0</v>
      </c>
      <c r="AF27" s="337">
        <f>SUMIFS(BS_RE33!$H$7:$H$874,BS_RE33!$S$7:$S$874,$AF$2,BS_RE33!$N$7:$N$874,I27,BS_RE33!$P$7:$P$874,'30 days CF Table(USD)'!G27,BS_RE33!$F$7:$F$874,'30 days CF Table(USD)'!$C$2)</f>
        <v>0</v>
      </c>
      <c r="AG27" s="337">
        <f>SUMIFS(BS_RE33!$H$7:$H$874,BS_RE33!$S$7:$S$874,$AG$2,BS_RE33!$N$7:$N$874,I27,BS_RE33!$P$7:$P$874,'30 days CF Table(USD)'!G27,BS_RE33!$F$7:$F$874,'30 days CF Table(USD)'!$C$2)</f>
        <v>0</v>
      </c>
      <c r="AH27" s="337">
        <f>SUMIFS(BS_RE33!$H$7:$H$874,BS_RE33!$S$7:$S$874,$AH$2,BS_RE33!$N$7:$N$874,I27,BS_RE33!$P$7:$P$874,'30 days CF Table(USD)'!G27,BS_RE33!$F$7:$F$874,'30 days CF Table(USD)'!$C$2)</f>
        <v>0</v>
      </c>
      <c r="AI27" s="337">
        <f>SUMIFS(BS_RE33!$H$7:$H$874,BS_RE33!$S$7:$S$874,$AI$2,BS_RE33!$N$7:$N$874,I27,BS_RE33!$P$7:$P$874,'30 days CF Table(USD)'!G27,BS_RE33!$F$7:$F$874,'30 days CF Table(USD)'!$C$2)</f>
        <v>0</v>
      </c>
      <c r="AJ27" s="337">
        <f>SUMIFS(BS_RE33!$H$7:$H$874,BS_RE33!$S$7:$S$874,$AJ$2,BS_RE33!$N$7:$N$874,I27,BS_RE33!$P$7:$P$874,'30 days CF Table(USD)'!G27,BS_RE33!$F$7:$F$874,'30 days CF Table(USD)'!$C$2)</f>
        <v>0</v>
      </c>
      <c r="AK27" s="337">
        <f>SUMIFS(BS_RE33!$H$7:$H$874,BS_RE33!$S$7:$S$874,$AK$2,BS_RE33!$N$7:$N$874,I27,BS_RE33!$P$7:$P$874,'30 days CF Table(USD)'!G27,BS_RE33!$F$7:$F$874,'30 days CF Table(USD)'!$C$2)</f>
        <v>0</v>
      </c>
      <c r="AL27" s="337">
        <f>SUMIFS(BS_RE33!$H$7:$H$874,BS_RE33!$S$7:$S$874,$AL$2,BS_RE33!$N$7:$N$874,I27,BS_RE33!$P$7:$P$874,'30 days CF Table(USD)'!G27,BS_RE33!$F$7:$F$874,'30 days CF Table(USD)'!$C$2)</f>
        <v>0</v>
      </c>
      <c r="AM27" s="337">
        <f>SUMIFS(BS_RE33!$H$7:$H$874,BS_RE33!$S$7:$S$874,$AM$2,BS_RE33!$N$7:$N$874,I27,BS_RE33!$P$7:$P$874,'30 days CF Table(USD)'!G27,BS_RE33!$F$7:$F$874,'30 days CF Table(USD)'!$C$2)</f>
        <v>0</v>
      </c>
      <c r="AN27" s="337">
        <f>SUMIFS(BS_RE33!$H$7:$H$874,BS_RE33!$S$7:$S$874,$AN$2,BS_RE33!$N$7:$N$874,I27,BS_RE33!$P$7:$P$874,'30 days CF Table(USD)'!G27,BS_RE33!$F$7:$F$874,'30 days CF Table(USD)'!$C$2)</f>
        <v>0</v>
      </c>
      <c r="AO27" s="337">
        <f>SUMIFS(BS_RE33!$H$7:$H$874,BS_RE33!$S$7:$S$874,$AO$2,BS_RE33!$N$7:$N$874,I27,BS_RE33!$P$7:$P$874,'30 days CF Table(USD)'!G27,BS_RE33!$F$7:$F$874,'30 days CF Table(USD)'!$C$2)</f>
        <v>0</v>
      </c>
      <c r="AP27" s="338">
        <f>SUMIFS(BS_RE33!$H$7:$H$874,BS_RE33!$S$7:$S$874,$AP$2,BS_RE33!$N$7:$N$874,I27,BS_RE33!$P$7:$P$874,'30 days CF Table(USD)'!G27,BS_RE33!$F$7:$F$874,'30 days CF Table(USD)'!$C$2)</f>
        <v>0</v>
      </c>
      <c r="AR27" s="379">
        <f>SUMIFS(BS_RE33!$H$7:$H$874,BS_RE33!$S$7:$S$874,$AR$2,BS_RE33!$N$7:$N$874,I27,BS_RE33!$P$7:$P$874,'30 days CF Table(USD)'!G27,BS_RE33!$F$7:$F$874,'30 days CF Table(USD)'!$C$2)</f>
        <v>0</v>
      </c>
      <c r="AS27" s="379">
        <f>SUMIFS(BS_RE33!$H$7:$H$874,BS_RE33!$S$7:$S$874,$AS$2,BS_RE33!$N$7:$N$874,I27,BS_RE33!$P$7:$P$874,'30 days CF Table(USD)'!G27,BS_RE33!$F$7:$F$874,'30 days CF Table(USD)'!$C$2)</f>
        <v>0</v>
      </c>
      <c r="AT27" s="379">
        <f>SUMIFS(BS_RE33!$H$7:$H$874,BS_RE33!$S$7:$S$874,$AT$2,BS_RE33!$N$7:$N$874,I27,BS_RE33!$P$7:$P$874,'30 days CF Table(USD)'!G27,BS_RE33!$F$7:$F$874,'30 days CF Table(USD)'!$C$2)</f>
        <v>0</v>
      </c>
      <c r="AU27" s="379">
        <f>SUMIFS(BS_RE33!$H$7:$H$874,BS_RE33!$S$7:$S$874,$AU$2,BS_RE33!$N$7:$N$874,I27,BS_RE33!$P$7:$P$874,'30 days CF Table(USD)'!G27,BS_RE33!$F$7:$F$874,'30 days CF Table(USD)'!$C$2)</f>
        <v>0</v>
      </c>
      <c r="AV27" s="379">
        <f>SUMIFS(BS_RE33!$H$7:$H$874,BS_RE33!$S$7:$S$874,$AV$2,BS_RE33!$N$7:$N$874,I27,BS_RE33!$P$7:$P$874,'30 days CF Table(USD)'!G27,BS_RE33!$F$7:$F$874,'30 days CF Table(USD)'!$C$2)</f>
        <v>0</v>
      </c>
      <c r="AW27" s="379">
        <f>SUMIFS(BS_RE33!$H$7:$H$874,BS_RE33!$S$7:$S$874,$AW$2,BS_RE33!$N$7:$N$874,I27,BS_RE33!$P$7:$P$874,'30 days CF Table(USD)'!G27,BS_RE33!$F$7:$F$874,'30 days CF Table(USD)'!$C$2)</f>
        <v>0</v>
      </c>
      <c r="AX27" s="379">
        <f>SUMIFS(BS_RE33!$H$7:$H$874,BS_RE33!$S$7:$S$874,$AX$2,BS_RE33!$N$7:$N$874,I27,BS_RE33!$P$7:$P$874,'30 days CF Table(USD)'!G27,BS_RE33!$F$7:$F$874,'30 days CF Table(USD)'!$C$2)</f>
        <v>0</v>
      </c>
      <c r="AY27" s="379">
        <f>SUMIFS(BS_RE33!$H$7:$H$874,BS_RE33!$S$7:$S$874,$AY$2,BS_RE33!$N$7:$N$874,I27,BS_RE33!$P$7:$P$874,'30 days CF Table(USD)'!G27,BS_RE33!$F$7:$F$874,'30 days CF Table(USD)'!$C$2)</f>
        <v>0</v>
      </c>
      <c r="AZ27" s="379">
        <f>SUMIFS(BS_RE33!$H$7:$H$874,BS_RE33!$S$7:$S$874,$AZ$2,BS_RE33!$N$7:$N$874,I27,BS_RE33!$P$7:$P$874,'30 days CF Table(USD)'!G27,BS_RE33!$F$7:$F$874,'30 days CF Table(USD)'!$C$2)</f>
        <v>0</v>
      </c>
      <c r="BA27" s="379">
        <f>SUMIFS(BS_RE33!$H$7:$H$874,BS_RE33!$S$7:$S$874,$BA$2,BS_RE33!$N$7:$N$874,I27,BS_RE33!$P$7:$P$874,'30 days CF Table(USD)'!G27,BS_RE33!$F$7:$F$874,'30 days CF Table(USD)'!$C$2)</f>
        <v>0</v>
      </c>
      <c r="BB27" s="379">
        <f>SUMIFS(BS_RE33!$H$7:$H$874,BS_RE33!$S$7:$S$874,$BB$2,BS_RE33!$N$7:$N$874,I27,BS_RE33!$P$7:$P$874,'30 days CF Table(USD)'!G27,BS_RE33!$F$7:$F$874,'30 days CF Table(USD)'!$C$2)</f>
        <v>0</v>
      </c>
      <c r="BC27" s="379">
        <f>SUMIFS(BS_RE33!$H$7:$H$874,BS_RE33!$S$7:$S$874,$BC$2,BS_RE33!$N$7:$N$874,I27,BS_RE33!$P$7:$P$874,'30 days CF Table(USD)'!G27,BS_RE33!$F$7:$F$874,'30 days CF Table(USD)'!$C$2)</f>
        <v>0</v>
      </c>
      <c r="BD27" s="379">
        <f>SUMIFS(BS_RE33!$H$7:$H$874,BS_RE33!$S$7:$S$874,$BD$2,BS_RE33!$N$7:$N$874,I27,BS_RE33!$P$7:$P$874,'30 days CF Table(USD)'!G27,BS_RE33!$F$7:$F$874,'30 days CF Table(USD)'!$C$2)</f>
        <v>0</v>
      </c>
      <c r="BE27" s="379">
        <f>SUMIFS(BS_RE33!$H$7:$H$874,BS_RE33!$S$7:$S$874,$BE$2,BS_RE33!$N$7:$N$874,I27,BS_RE33!$P$7:$P$874,'30 days CF Table(USD)'!G27,BS_RE33!$F$7:$F$874,'30 days CF Table(USD)'!$C$2)</f>
        <v>0</v>
      </c>
      <c r="BF27" s="379">
        <f>SUMIFS(BS_RE33!$H$7:$H$874,BS_RE33!$S$7:$S$874,$BF$2,BS_RE33!$N$7:$N$874,I27,BS_RE33!$P$7:$P$874,'30 days CF Table(USD)'!G27,BS_RE33!$F$7:$F$874,'30 days CF Table(USD)'!$C$2)</f>
        <v>0</v>
      </c>
      <c r="BG27" s="379">
        <f>SUMIFS(BS_RE33!$H$7:$H$874,BS_RE33!$S$7:$S$874,$BG$2,BS_RE33!$N$7:$N$874,I27,BS_RE33!$P$7:$P$874,'30 days CF Table(USD)'!G27,BS_RE33!$F$7:$F$874,'30 days CF Table(USD)'!$C$2)</f>
        <v>0</v>
      </c>
      <c r="BH27" s="379">
        <f>SUMIFS(BS_RE33!$H$7:$H$874,BS_RE33!$S$7:$S$874,$BH$2,BS_RE33!$N$7:$N$874,I27,BS_RE33!$P$7:$P$874,'30 days CF Table(USD)'!G27,BS_RE33!$F$7:$F$874,'30 days CF Table(USD)'!$C$2)</f>
        <v>0</v>
      </c>
      <c r="BI27" s="379">
        <f>SUMIFS(BS_RE33!$H$7:$H$874,BS_RE33!$S$7:$S$874,$BI$2,BS_RE33!$N$7:$N$874,I27,BS_RE33!$P$7:$P$874,'30 days CF Table(USD)'!G27,BS_RE33!$F$7:$F$874,'30 days CF Table(USD)'!$C$2)</f>
        <v>0</v>
      </c>
      <c r="BJ27" s="379">
        <f>SUMIFS(BS_RE33!$H$7:$H$874,BS_RE33!$S$7:$S$874,$BJ$2,BS_RE33!$N$7:$N$874,I27,BS_RE33!$P$7:$P$874,'30 days CF Table(USD)'!G27,BS_RE33!$F$7:$F$874,'30 days CF Table(USD)'!$C$2)</f>
        <v>0</v>
      </c>
      <c r="BK27" s="379">
        <f>SUMIFS(BS_RE33!$H$7:$H$874,BS_RE33!$S$7:$S$874,$BK$2,BS_RE33!$N$7:$N$874,I27,BS_RE33!$P$7:$P$874,'30 days CF Table(USD)'!G27,BS_RE33!$F$7:$F$874,'30 days CF Table(USD)'!$C$2)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Table(USD)'!G28,BS_RE33!$F$7:$F$874,'30 days CF Table(USD)'!$C$2)</f>
        <v>0</v>
      </c>
      <c r="M28" s="337">
        <f>SUMIFS(BS_RE33!$H$7:$H$874,BS_RE33!$S$7:$S$874,$M$2,BS_RE33!$N$7:$N$874,I28,BS_RE33!$P$7:$P$874,'30 days CF Table(USD)'!G28,BS_RE33!$F$7:$F$874,'30 days CF Table(USD)'!$C$2)</f>
        <v>0</v>
      </c>
      <c r="N28" s="337">
        <f>SUMIFS(BS_RE33!$H$7:$H$874,BS_RE33!$S$7:$S$874,$N$2,BS_RE33!$N$7:$N$874,I28,BS_RE33!$P$7:$P$874,'30 days CF Table(USD)'!G28,BS_RE33!$F$7:$F$874,'30 days CF Table(USD)'!$C$2)</f>
        <v>0</v>
      </c>
      <c r="O28" s="337">
        <f>SUMIFS(BS_RE33!$H$7:$H$874,BS_RE33!$S$7:$S$874,$O$2,BS_RE33!$N$7:$N$874,I28,BS_RE33!$P$7:$P$874,'30 days CF Table(USD)'!G28,BS_RE33!$F$7:$F$874,'30 days CF Table(USD)'!$C$2)</f>
        <v>0</v>
      </c>
      <c r="P28" s="337">
        <f>SUMIFS(BS_RE33!$H$7:$H$874,BS_RE33!$S$7:$S$874,$P$2,BS_RE33!$N$7:$N$874,I28,BS_RE33!$P$7:$P$874,'30 days CF Table(USD)'!G28,BS_RE33!$F$7:$F$874,'30 days CF Table(USD)'!$C$2)</f>
        <v>0</v>
      </c>
      <c r="Q28" s="337">
        <f>SUMIFS(BS_RE33!$H$7:$H$874,BS_RE33!$S$7:$S$874,$Q$2,BS_RE33!$N$7:$N$874,I28,BS_RE33!$P$7:$P$874,'30 days CF Table(USD)'!G28,BS_RE33!$F$7:$F$874,'30 days CF Table(USD)'!$C$2)</f>
        <v>0</v>
      </c>
      <c r="R28" s="337">
        <f>SUMIFS(BS_RE33!$H$7:$H$874,BS_RE33!$S$7:$S$874,$R$2,BS_RE33!$N$7:$N$874,I28,BS_RE33!$P$7:$P$874,'30 days CF Table(USD)'!G28,BS_RE33!$F$7:$F$874,'30 days CF Table(USD)'!$C$2)</f>
        <v>0</v>
      </c>
      <c r="S28" s="337">
        <f>SUMIFS(BS_RE33!$H$7:$H$874,BS_RE33!$S$7:$S$874,$S$2,BS_RE33!$N$7:$N$874,I28,BS_RE33!$P$7:$P$874,'30 days CF Table(USD)'!G28,BS_RE33!$F$7:$F$874,'30 days CF Table(USD)'!$C$2)</f>
        <v>0</v>
      </c>
      <c r="T28" s="337">
        <f>SUMIFS(BS_RE33!$H$7:$H$874,BS_RE33!$S$7:$S$874,$T$2,BS_RE33!$N$7:$N$874,I28,BS_RE33!$P$7:$P$874,'30 days CF Table(USD)'!G28,BS_RE33!$F$7:$F$874,'30 days CF Table(USD)'!$C$2)</f>
        <v>0</v>
      </c>
      <c r="U28" s="337">
        <f>SUMIFS(BS_RE33!$H$7:$H$874,BS_RE33!$S$7:$S$874,$U$2,BS_RE33!$N$7:$N$874,I28,BS_RE33!$P$7:$P$874,'30 days CF Table(USD)'!G28,BS_RE33!$F$7:$F$874,'30 days CF Table(USD)'!$C$2)</f>
        <v>0</v>
      </c>
      <c r="V28" s="337">
        <f>SUMIFS(BS_RE33!$H$7:$H$874,BS_RE33!$S$7:$S$874,$V$2,BS_RE33!$N$7:$N$874,I28,BS_RE33!$P$7:$P$874,'30 days CF Table(USD)'!G28,BS_RE33!$F$7:$F$874,'30 days CF Table(USD)'!$C$2)</f>
        <v>0</v>
      </c>
      <c r="W28" s="337">
        <f>SUMIFS(BS_RE33!$H$7:$H$874,BS_RE33!$S$7:$S$874,$W$2,BS_RE33!$N$7:$N$874,I28,BS_RE33!$P$7:$P$874,'30 days CF Table(USD)'!G28,BS_RE33!$F$7:$F$874,'30 days CF Table(USD)'!$C$2)</f>
        <v>0</v>
      </c>
      <c r="X28" s="337">
        <f>SUMIFS(BS_RE33!$H$7:$H$874,BS_RE33!$S$7:$S$874,$X$2,BS_RE33!$N$7:$N$874,I28,BS_RE33!$P$7:$P$874,'30 days CF Table(USD)'!G28,BS_RE33!$F$7:$F$874,'30 days CF Table(USD)'!$C$2)</f>
        <v>0</v>
      </c>
      <c r="Y28" s="337">
        <f>SUMIFS(BS_RE33!$H$7:$H$874,BS_RE33!$S$7:$S$874,$Y$2,BS_RE33!$N$7:$N$874,I28,BS_RE33!$P$7:$P$874,'30 days CF Table(USD)'!G28,BS_RE33!$F$7:$F$874,'30 days CF Table(USD)'!$C$2)</f>
        <v>0</v>
      </c>
      <c r="Z28" s="337">
        <f>SUMIFS(BS_RE33!$H$7:$H$874,BS_RE33!$S$7:$S$874,$Z$2,BS_RE33!$N$7:$N$874,I28,BS_RE33!$P$7:$P$874,'30 days CF Table(USD)'!G28,BS_RE33!$F$7:$F$874,'30 days CF Table(USD)'!$C$2)</f>
        <v>0</v>
      </c>
      <c r="AA28" s="337">
        <f>SUMIFS(BS_RE33!$H$7:$H$874,BS_RE33!$S$7:$S$874,$AA$2,BS_RE33!$N$7:$N$874,I28,BS_RE33!$P$7:$P$874,'30 days CF Table(USD)'!G28,BS_RE33!$F$7:$F$874,'30 days CF Table(USD)'!$C$2)</f>
        <v>0</v>
      </c>
      <c r="AB28" s="337">
        <f>SUMIFS(BS_RE33!$H$7:$H$874,BS_RE33!$S$7:$S$874,$AB$2,BS_RE33!$N$7:$N$874,I28,BS_RE33!$P$7:$P$874,'30 days CF Table(USD)'!G28,BS_RE33!$F$7:$F$874,'30 days CF Table(USD)'!$C$2)</f>
        <v>0</v>
      </c>
      <c r="AC28" s="337">
        <f>SUMIFS(BS_RE33!$H$7:$H$874,BS_RE33!$S$7:$S$874,$AC$2,BS_RE33!$N$7:$N$874,I28,BS_RE33!$P$7:$P$874,'30 days CF Table(USD)'!G28,BS_RE33!$F$7:$F$874,'30 days CF Table(USD)'!$C$2)</f>
        <v>0</v>
      </c>
      <c r="AD28" s="337">
        <f>SUMIFS(BS_RE33!$H$7:$H$874,BS_RE33!$S$7:$S$874,$AD$2,BS_RE33!$N$7:$N$874,I28,BS_RE33!$P$7:$P$874,'30 days CF Table(USD)'!G28,BS_RE33!$F$7:$F$874,'30 days CF Table(USD)'!$C$2)</f>
        <v>0</v>
      </c>
      <c r="AE28" s="337">
        <f>SUMIFS(BS_RE33!$H$7:$H$874,BS_RE33!$S$7:$S$874,$AE$2,BS_RE33!$N$7:$N$874,I28,BS_RE33!$P$7:$P$874,'30 days CF Table(USD)'!G28,BS_RE33!$F$7:$F$874,'30 days CF Table(USD)'!$C$2)</f>
        <v>0</v>
      </c>
      <c r="AF28" s="337">
        <f>SUMIFS(BS_RE33!$H$7:$H$874,BS_RE33!$S$7:$S$874,$AF$2,BS_RE33!$N$7:$N$874,I28,BS_RE33!$P$7:$P$874,'30 days CF Table(USD)'!G28,BS_RE33!$F$7:$F$874,'30 days CF Table(USD)'!$C$2)</f>
        <v>0</v>
      </c>
      <c r="AG28" s="337">
        <f>SUMIFS(BS_RE33!$H$7:$H$874,BS_RE33!$S$7:$S$874,$AG$2,BS_RE33!$N$7:$N$874,I28,BS_RE33!$P$7:$P$874,'30 days CF Table(USD)'!G28,BS_RE33!$F$7:$F$874,'30 days CF Table(USD)'!$C$2)</f>
        <v>0</v>
      </c>
      <c r="AH28" s="337">
        <f>SUMIFS(BS_RE33!$H$7:$H$874,BS_RE33!$S$7:$S$874,$AH$2,BS_RE33!$N$7:$N$874,I28,BS_RE33!$P$7:$P$874,'30 days CF Table(USD)'!G28,BS_RE33!$F$7:$F$874,'30 days CF Table(USD)'!$C$2)</f>
        <v>0</v>
      </c>
      <c r="AI28" s="337">
        <f>SUMIFS(BS_RE33!$H$7:$H$874,BS_RE33!$S$7:$S$874,$AI$2,BS_RE33!$N$7:$N$874,I28,BS_RE33!$P$7:$P$874,'30 days CF Table(USD)'!G28,BS_RE33!$F$7:$F$874,'30 days CF Table(USD)'!$C$2)</f>
        <v>0</v>
      </c>
      <c r="AJ28" s="337">
        <f>SUMIFS(BS_RE33!$H$7:$H$874,BS_RE33!$S$7:$S$874,$AJ$2,BS_RE33!$N$7:$N$874,I28,BS_RE33!$P$7:$P$874,'30 days CF Table(USD)'!G28,BS_RE33!$F$7:$F$874,'30 days CF Table(USD)'!$C$2)</f>
        <v>0</v>
      </c>
      <c r="AK28" s="337">
        <f>SUMIFS(BS_RE33!$H$7:$H$874,BS_RE33!$S$7:$S$874,$AK$2,BS_RE33!$N$7:$N$874,I28,BS_RE33!$P$7:$P$874,'30 days CF Table(USD)'!G28,BS_RE33!$F$7:$F$874,'30 days CF Table(USD)'!$C$2)</f>
        <v>0</v>
      </c>
      <c r="AL28" s="337">
        <f>SUMIFS(BS_RE33!$H$7:$H$874,BS_RE33!$S$7:$S$874,$AL$2,BS_RE33!$N$7:$N$874,I28,BS_RE33!$P$7:$P$874,'30 days CF Table(USD)'!G28,BS_RE33!$F$7:$F$874,'30 days CF Table(USD)'!$C$2)</f>
        <v>0</v>
      </c>
      <c r="AM28" s="337">
        <f>SUMIFS(BS_RE33!$H$7:$H$874,BS_RE33!$S$7:$S$874,$AM$2,BS_RE33!$N$7:$N$874,I28,BS_RE33!$P$7:$P$874,'30 days CF Table(USD)'!G28,BS_RE33!$F$7:$F$874,'30 days CF Table(USD)'!$C$2)</f>
        <v>0</v>
      </c>
      <c r="AN28" s="337">
        <f>SUMIFS(BS_RE33!$H$7:$H$874,BS_RE33!$S$7:$S$874,$AN$2,BS_RE33!$N$7:$N$874,I28,BS_RE33!$P$7:$P$874,'30 days CF Table(USD)'!G28,BS_RE33!$F$7:$F$874,'30 days CF Table(USD)'!$C$2)</f>
        <v>0</v>
      </c>
      <c r="AO28" s="337">
        <f>SUMIFS(BS_RE33!$H$7:$H$874,BS_RE33!$S$7:$S$874,$AO$2,BS_RE33!$N$7:$N$874,I28,BS_RE33!$P$7:$P$874,'30 days CF Table(USD)'!G28,BS_RE33!$F$7:$F$874,'30 days CF Table(USD)'!$C$2)</f>
        <v>0</v>
      </c>
      <c r="AP28" s="338">
        <f>SUMIFS(BS_RE33!$H$7:$H$874,BS_RE33!$S$7:$S$874,$AP$2,BS_RE33!$N$7:$N$874,I28,BS_RE33!$P$7:$P$874,'30 days CF Table(USD)'!G28,BS_RE33!$F$7:$F$874,'30 days CF Table(USD)'!$C$2)</f>
        <v>0</v>
      </c>
      <c r="AR28" s="379">
        <f>SUMIFS(BS_RE33!$H$7:$H$874,BS_RE33!$S$7:$S$874,$AR$2,BS_RE33!$N$7:$N$874,I28,BS_RE33!$P$7:$P$874,'30 days CF Table(USD)'!G28,BS_RE33!$F$7:$F$874,'30 days CF Table(USD)'!$C$2)</f>
        <v>0</v>
      </c>
      <c r="AS28" s="379">
        <f>SUMIFS(BS_RE33!$H$7:$H$874,BS_RE33!$S$7:$S$874,$AS$2,BS_RE33!$N$7:$N$874,I28,BS_RE33!$P$7:$P$874,'30 days CF Table(USD)'!G28,BS_RE33!$F$7:$F$874,'30 days CF Table(USD)'!$C$2)</f>
        <v>0</v>
      </c>
      <c r="AT28" s="379">
        <f>SUMIFS(BS_RE33!$H$7:$H$874,BS_RE33!$S$7:$S$874,$AT$2,BS_RE33!$N$7:$N$874,I28,BS_RE33!$P$7:$P$874,'30 days CF Table(USD)'!G28,BS_RE33!$F$7:$F$874,'30 days CF Table(USD)'!$C$2)</f>
        <v>0</v>
      </c>
      <c r="AU28" s="379">
        <f>SUMIFS(BS_RE33!$H$7:$H$874,BS_RE33!$S$7:$S$874,$AU$2,BS_RE33!$N$7:$N$874,I28,BS_RE33!$P$7:$P$874,'30 days CF Table(USD)'!G28,BS_RE33!$F$7:$F$874,'30 days CF Table(USD)'!$C$2)</f>
        <v>0</v>
      </c>
      <c r="AV28" s="379">
        <f>SUMIFS(BS_RE33!$H$7:$H$874,BS_RE33!$S$7:$S$874,$AV$2,BS_RE33!$N$7:$N$874,I28,BS_RE33!$P$7:$P$874,'30 days CF Table(USD)'!G28,BS_RE33!$F$7:$F$874,'30 days CF Table(USD)'!$C$2)</f>
        <v>0</v>
      </c>
      <c r="AW28" s="379">
        <f>SUMIFS(BS_RE33!$H$7:$H$874,BS_RE33!$S$7:$S$874,$AW$2,BS_RE33!$N$7:$N$874,I28,BS_RE33!$P$7:$P$874,'30 days CF Table(USD)'!G28,BS_RE33!$F$7:$F$874,'30 days CF Table(USD)'!$C$2)</f>
        <v>0</v>
      </c>
      <c r="AX28" s="379">
        <f>SUMIFS(BS_RE33!$H$7:$H$874,BS_RE33!$S$7:$S$874,$AX$2,BS_RE33!$N$7:$N$874,I28,BS_RE33!$P$7:$P$874,'30 days CF Table(USD)'!G28,BS_RE33!$F$7:$F$874,'30 days CF Table(USD)'!$C$2)</f>
        <v>0</v>
      </c>
      <c r="AY28" s="379">
        <f>SUMIFS(BS_RE33!$H$7:$H$874,BS_RE33!$S$7:$S$874,$AY$2,BS_RE33!$N$7:$N$874,I28,BS_RE33!$P$7:$P$874,'30 days CF Table(USD)'!G28,BS_RE33!$F$7:$F$874,'30 days CF Table(USD)'!$C$2)</f>
        <v>0</v>
      </c>
      <c r="AZ28" s="379">
        <f>SUMIFS(BS_RE33!$H$7:$H$874,BS_RE33!$S$7:$S$874,$AZ$2,BS_RE33!$N$7:$N$874,I28,BS_RE33!$P$7:$P$874,'30 days CF Table(USD)'!G28,BS_RE33!$F$7:$F$874,'30 days CF Table(USD)'!$C$2)</f>
        <v>0</v>
      </c>
      <c r="BA28" s="379">
        <f>SUMIFS(BS_RE33!$H$7:$H$874,BS_RE33!$S$7:$S$874,$BA$2,BS_RE33!$N$7:$N$874,I28,BS_RE33!$P$7:$P$874,'30 days CF Table(USD)'!G28,BS_RE33!$F$7:$F$874,'30 days CF Table(USD)'!$C$2)</f>
        <v>0</v>
      </c>
      <c r="BB28" s="379">
        <f>SUMIFS(BS_RE33!$H$7:$H$874,BS_RE33!$S$7:$S$874,$BB$2,BS_RE33!$N$7:$N$874,I28,BS_RE33!$P$7:$P$874,'30 days CF Table(USD)'!G28,BS_RE33!$F$7:$F$874,'30 days CF Table(USD)'!$C$2)</f>
        <v>0</v>
      </c>
      <c r="BC28" s="379">
        <f>SUMIFS(BS_RE33!$H$7:$H$874,BS_RE33!$S$7:$S$874,$BC$2,BS_RE33!$N$7:$N$874,I28,BS_RE33!$P$7:$P$874,'30 days CF Table(USD)'!G28,BS_RE33!$F$7:$F$874,'30 days CF Table(USD)'!$C$2)</f>
        <v>0</v>
      </c>
      <c r="BD28" s="379">
        <f>SUMIFS(BS_RE33!$H$7:$H$874,BS_RE33!$S$7:$S$874,$BD$2,BS_RE33!$N$7:$N$874,I28,BS_RE33!$P$7:$P$874,'30 days CF Table(USD)'!G28,BS_RE33!$F$7:$F$874,'30 days CF Table(USD)'!$C$2)</f>
        <v>0</v>
      </c>
      <c r="BE28" s="379">
        <f>SUMIFS(BS_RE33!$H$7:$H$874,BS_RE33!$S$7:$S$874,$BE$2,BS_RE33!$N$7:$N$874,I28,BS_RE33!$P$7:$P$874,'30 days CF Table(USD)'!G28,BS_RE33!$F$7:$F$874,'30 days CF Table(USD)'!$C$2)</f>
        <v>0</v>
      </c>
      <c r="BF28" s="379">
        <f>SUMIFS(BS_RE33!$H$7:$H$874,BS_RE33!$S$7:$S$874,$BF$2,BS_RE33!$N$7:$N$874,I28,BS_RE33!$P$7:$P$874,'30 days CF Table(USD)'!G28,BS_RE33!$F$7:$F$874,'30 days CF Table(USD)'!$C$2)</f>
        <v>0</v>
      </c>
      <c r="BG28" s="379">
        <f>SUMIFS(BS_RE33!$H$7:$H$874,BS_RE33!$S$7:$S$874,$BG$2,BS_RE33!$N$7:$N$874,I28,BS_RE33!$P$7:$P$874,'30 days CF Table(USD)'!G28,BS_RE33!$F$7:$F$874,'30 days CF Table(USD)'!$C$2)</f>
        <v>0</v>
      </c>
      <c r="BH28" s="379">
        <f>SUMIFS(BS_RE33!$H$7:$H$874,BS_RE33!$S$7:$S$874,$BH$2,BS_RE33!$N$7:$N$874,I28,BS_RE33!$P$7:$P$874,'30 days CF Table(USD)'!G28,BS_RE33!$F$7:$F$874,'30 days CF Table(USD)'!$C$2)</f>
        <v>0</v>
      </c>
      <c r="BI28" s="379">
        <f>SUMIFS(BS_RE33!$H$7:$H$874,BS_RE33!$S$7:$S$874,$BI$2,BS_RE33!$N$7:$N$874,I28,BS_RE33!$P$7:$P$874,'30 days CF Table(USD)'!G28,BS_RE33!$F$7:$F$874,'30 days CF Table(USD)'!$C$2)</f>
        <v>0</v>
      </c>
      <c r="BJ28" s="379">
        <f>SUMIFS(BS_RE33!$H$7:$H$874,BS_RE33!$S$7:$S$874,$BJ$2,BS_RE33!$N$7:$N$874,I28,BS_RE33!$P$7:$P$874,'30 days CF Table(USD)'!G28,BS_RE33!$F$7:$F$874,'30 days CF Table(USD)'!$C$2)</f>
        <v>0</v>
      </c>
      <c r="BK28" s="379">
        <f>SUMIFS(BS_RE33!$H$7:$H$874,BS_RE33!$S$7:$S$874,$BK$2,BS_RE33!$N$7:$N$874,I28,BS_RE33!$P$7:$P$874,'30 days CF Table(USD)'!G28,BS_RE33!$F$7:$F$874,'30 days CF Table(USD)'!$C$2)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Table(USD)'!G29,BS_RE33!$F$7:$F$874,'30 days CF Table(USD)'!$C$2)</f>
        <v>0</v>
      </c>
      <c r="M29" s="337">
        <f>SUMIFS(BS_RE33!$H$7:$H$874,BS_RE33!$S$7:$S$874,$M$2,BS_RE33!$N$7:$N$874,I29,BS_RE33!$P$7:$P$874,'30 days CF Table(USD)'!G29,BS_RE33!$F$7:$F$874,'30 days CF Table(USD)'!$C$2)</f>
        <v>0</v>
      </c>
      <c r="N29" s="337">
        <f>SUMIFS(BS_RE33!$H$7:$H$874,BS_RE33!$S$7:$S$874,$N$2,BS_RE33!$N$7:$N$874,I29,BS_RE33!$P$7:$P$874,'30 days CF Table(USD)'!G29,BS_RE33!$F$7:$F$874,'30 days CF Table(USD)'!$C$2)</f>
        <v>0</v>
      </c>
      <c r="O29" s="337">
        <f>SUMIFS(BS_RE33!$H$7:$H$874,BS_RE33!$S$7:$S$874,$O$2,BS_RE33!$N$7:$N$874,I29,BS_RE33!$P$7:$P$874,'30 days CF Table(USD)'!G29,BS_RE33!$F$7:$F$874,'30 days CF Table(USD)'!$C$2)</f>
        <v>0</v>
      </c>
      <c r="P29" s="337">
        <f>SUMIFS(BS_RE33!$H$7:$H$874,BS_RE33!$S$7:$S$874,$P$2,BS_RE33!$N$7:$N$874,I29,BS_RE33!$P$7:$P$874,'30 days CF Table(USD)'!G29,BS_RE33!$F$7:$F$874,'30 days CF Table(USD)'!$C$2)</f>
        <v>0</v>
      </c>
      <c r="Q29" s="337">
        <f>SUMIFS(BS_RE33!$H$7:$H$874,BS_RE33!$S$7:$S$874,$Q$2,BS_RE33!$N$7:$N$874,I29,BS_RE33!$P$7:$P$874,'30 days CF Table(USD)'!G29,BS_RE33!$F$7:$F$874,'30 days CF Table(USD)'!$C$2)</f>
        <v>0</v>
      </c>
      <c r="R29" s="337">
        <f>SUMIFS(BS_RE33!$H$7:$H$874,BS_RE33!$S$7:$S$874,$R$2,BS_RE33!$N$7:$N$874,I29,BS_RE33!$P$7:$P$874,'30 days CF Table(USD)'!G29,BS_RE33!$F$7:$F$874,'30 days CF Table(USD)'!$C$2)</f>
        <v>0</v>
      </c>
      <c r="S29" s="337">
        <f>SUMIFS(BS_RE33!$H$7:$H$874,BS_RE33!$S$7:$S$874,$S$2,BS_RE33!$N$7:$N$874,I29,BS_RE33!$P$7:$P$874,'30 days CF Table(USD)'!G29,BS_RE33!$F$7:$F$874,'30 days CF Table(USD)'!$C$2)</f>
        <v>0</v>
      </c>
      <c r="T29" s="337">
        <f>SUMIFS(BS_RE33!$H$7:$H$874,BS_RE33!$S$7:$S$874,$T$2,BS_RE33!$N$7:$N$874,I29,BS_RE33!$P$7:$P$874,'30 days CF Table(USD)'!G29,BS_RE33!$F$7:$F$874,'30 days CF Table(USD)'!$C$2)</f>
        <v>0</v>
      </c>
      <c r="U29" s="337">
        <f>SUMIFS(BS_RE33!$H$7:$H$874,BS_RE33!$S$7:$S$874,$U$2,BS_RE33!$N$7:$N$874,I29,BS_RE33!$P$7:$P$874,'30 days CF Table(USD)'!G29,BS_RE33!$F$7:$F$874,'30 days CF Table(USD)'!$C$2)</f>
        <v>0</v>
      </c>
      <c r="V29" s="337">
        <f>SUMIFS(BS_RE33!$H$7:$H$874,BS_RE33!$S$7:$S$874,$V$2,BS_RE33!$N$7:$N$874,I29,BS_RE33!$P$7:$P$874,'30 days CF Table(USD)'!G29,BS_RE33!$F$7:$F$874,'30 days CF Table(USD)'!$C$2)</f>
        <v>0</v>
      </c>
      <c r="W29" s="337">
        <f>SUMIFS(BS_RE33!$H$7:$H$874,BS_RE33!$S$7:$S$874,$W$2,BS_RE33!$N$7:$N$874,I29,BS_RE33!$P$7:$P$874,'30 days CF Table(USD)'!G29,BS_RE33!$F$7:$F$874,'30 days CF Table(USD)'!$C$2)</f>
        <v>0</v>
      </c>
      <c r="X29" s="337">
        <f>SUMIFS(BS_RE33!$H$7:$H$874,BS_RE33!$S$7:$S$874,$X$2,BS_RE33!$N$7:$N$874,I29,BS_RE33!$P$7:$P$874,'30 days CF Table(USD)'!G29,BS_RE33!$F$7:$F$874,'30 days CF Table(USD)'!$C$2)</f>
        <v>0</v>
      </c>
      <c r="Y29" s="337">
        <f>SUMIFS(BS_RE33!$H$7:$H$874,BS_RE33!$S$7:$S$874,$Y$2,BS_RE33!$N$7:$N$874,I29,BS_RE33!$P$7:$P$874,'30 days CF Table(USD)'!G29,BS_RE33!$F$7:$F$874,'30 days CF Table(USD)'!$C$2)</f>
        <v>0</v>
      </c>
      <c r="Z29" s="337">
        <f>SUMIFS(BS_RE33!$H$7:$H$874,BS_RE33!$S$7:$S$874,$Z$2,BS_RE33!$N$7:$N$874,I29,BS_RE33!$P$7:$P$874,'30 days CF Table(USD)'!G29,BS_RE33!$F$7:$F$874,'30 days CF Table(USD)'!$C$2)</f>
        <v>0</v>
      </c>
      <c r="AA29" s="337">
        <f>SUMIFS(BS_RE33!$H$7:$H$874,BS_RE33!$S$7:$S$874,$AA$2,BS_RE33!$N$7:$N$874,I29,BS_RE33!$P$7:$P$874,'30 days CF Table(USD)'!G29,BS_RE33!$F$7:$F$874,'30 days CF Table(USD)'!$C$2)</f>
        <v>0</v>
      </c>
      <c r="AB29" s="337">
        <f>SUMIFS(BS_RE33!$H$7:$H$874,BS_RE33!$S$7:$S$874,$AB$2,BS_RE33!$N$7:$N$874,I29,BS_RE33!$P$7:$P$874,'30 days CF Table(USD)'!G29,BS_RE33!$F$7:$F$874,'30 days CF Table(USD)'!$C$2)</f>
        <v>0</v>
      </c>
      <c r="AC29" s="337">
        <f>SUMIFS(BS_RE33!$H$7:$H$874,BS_RE33!$S$7:$S$874,$AC$2,BS_RE33!$N$7:$N$874,I29,BS_RE33!$P$7:$P$874,'30 days CF Table(USD)'!G29,BS_RE33!$F$7:$F$874,'30 days CF Table(USD)'!$C$2)</f>
        <v>0</v>
      </c>
      <c r="AD29" s="337">
        <f>SUMIFS(BS_RE33!$H$7:$H$874,BS_RE33!$S$7:$S$874,$AD$2,BS_RE33!$N$7:$N$874,I29,BS_RE33!$P$7:$P$874,'30 days CF Table(USD)'!G29,BS_RE33!$F$7:$F$874,'30 days CF Table(USD)'!$C$2)</f>
        <v>0</v>
      </c>
      <c r="AE29" s="337">
        <f>SUMIFS(BS_RE33!$H$7:$H$874,BS_RE33!$S$7:$S$874,$AE$2,BS_RE33!$N$7:$N$874,I29,BS_RE33!$P$7:$P$874,'30 days CF Table(USD)'!G29,BS_RE33!$F$7:$F$874,'30 days CF Table(USD)'!$C$2)</f>
        <v>0</v>
      </c>
      <c r="AF29" s="337">
        <f>SUMIFS(BS_RE33!$H$7:$H$874,BS_RE33!$S$7:$S$874,$AF$2,BS_RE33!$N$7:$N$874,I29,BS_RE33!$P$7:$P$874,'30 days CF Table(USD)'!G29,BS_RE33!$F$7:$F$874,'30 days CF Table(USD)'!$C$2)</f>
        <v>0</v>
      </c>
      <c r="AG29" s="337">
        <f>SUMIFS(BS_RE33!$H$7:$H$874,BS_RE33!$S$7:$S$874,$AG$2,BS_RE33!$N$7:$N$874,I29,BS_RE33!$P$7:$P$874,'30 days CF Table(USD)'!G29,BS_RE33!$F$7:$F$874,'30 days CF Table(USD)'!$C$2)</f>
        <v>0</v>
      </c>
      <c r="AH29" s="337">
        <f>SUMIFS(BS_RE33!$H$7:$H$874,BS_RE33!$S$7:$S$874,$AH$2,BS_RE33!$N$7:$N$874,I29,BS_RE33!$P$7:$P$874,'30 days CF Table(USD)'!G29,BS_RE33!$F$7:$F$874,'30 days CF Table(USD)'!$C$2)</f>
        <v>0</v>
      </c>
      <c r="AI29" s="337">
        <f>SUMIFS(BS_RE33!$H$7:$H$874,BS_RE33!$S$7:$S$874,$AI$2,BS_RE33!$N$7:$N$874,I29,BS_RE33!$P$7:$P$874,'30 days CF Table(USD)'!G29,BS_RE33!$F$7:$F$874,'30 days CF Table(USD)'!$C$2)</f>
        <v>0</v>
      </c>
      <c r="AJ29" s="337">
        <f>SUMIFS(BS_RE33!$H$7:$H$874,BS_RE33!$S$7:$S$874,$AJ$2,BS_RE33!$N$7:$N$874,I29,BS_RE33!$P$7:$P$874,'30 days CF Table(USD)'!G29,BS_RE33!$F$7:$F$874,'30 days CF Table(USD)'!$C$2)</f>
        <v>0</v>
      </c>
      <c r="AK29" s="337">
        <f>SUMIFS(BS_RE33!$H$7:$H$874,BS_RE33!$S$7:$S$874,$AK$2,BS_RE33!$N$7:$N$874,I29,BS_RE33!$P$7:$P$874,'30 days CF Table(USD)'!G29,BS_RE33!$F$7:$F$874,'30 days CF Table(USD)'!$C$2)</f>
        <v>0</v>
      </c>
      <c r="AL29" s="337">
        <f>SUMIFS(BS_RE33!$H$7:$H$874,BS_RE33!$S$7:$S$874,$AL$2,BS_RE33!$N$7:$N$874,I29,BS_RE33!$P$7:$P$874,'30 days CF Table(USD)'!G29,BS_RE33!$F$7:$F$874,'30 days CF Table(USD)'!$C$2)</f>
        <v>0</v>
      </c>
      <c r="AM29" s="337">
        <f>SUMIFS(BS_RE33!$H$7:$H$874,BS_RE33!$S$7:$S$874,$AM$2,BS_RE33!$N$7:$N$874,I29,BS_RE33!$P$7:$P$874,'30 days CF Table(USD)'!G29,BS_RE33!$F$7:$F$874,'30 days CF Table(USD)'!$C$2)</f>
        <v>0</v>
      </c>
      <c r="AN29" s="337">
        <f>SUMIFS(BS_RE33!$H$7:$H$874,BS_RE33!$S$7:$S$874,$AN$2,BS_RE33!$N$7:$N$874,I29,BS_RE33!$P$7:$P$874,'30 days CF Table(USD)'!G29,BS_RE33!$F$7:$F$874,'30 days CF Table(USD)'!$C$2)</f>
        <v>0</v>
      </c>
      <c r="AO29" s="337">
        <f>SUMIFS(BS_RE33!$H$7:$H$874,BS_RE33!$S$7:$S$874,$AO$2,BS_RE33!$N$7:$N$874,I29,BS_RE33!$P$7:$P$874,'30 days CF Table(USD)'!G29,BS_RE33!$F$7:$F$874,'30 days CF Table(USD)'!$C$2)</f>
        <v>0</v>
      </c>
      <c r="AP29" s="338">
        <f>SUMIFS(BS_RE33!$H$7:$H$874,BS_RE33!$S$7:$S$874,$AP$2,BS_RE33!$N$7:$N$874,I29,BS_RE33!$P$7:$P$874,'30 days CF Table(USD)'!G29,BS_RE33!$F$7:$F$874,'30 days CF Table(USD)'!$C$2)</f>
        <v>0</v>
      </c>
      <c r="AR29" s="379">
        <f>SUMIFS(BS_RE33!$H$7:$H$874,BS_RE33!$S$7:$S$874,$AR$2,BS_RE33!$N$7:$N$874,I29,BS_RE33!$P$7:$P$874,'30 days CF Table(USD)'!G29,BS_RE33!$F$7:$F$874,'30 days CF Table(USD)'!$C$2)</f>
        <v>0</v>
      </c>
      <c r="AS29" s="379">
        <f>SUMIFS(BS_RE33!$H$7:$H$874,BS_RE33!$S$7:$S$874,$AS$2,BS_RE33!$N$7:$N$874,I29,BS_RE33!$P$7:$P$874,'30 days CF Table(USD)'!G29,BS_RE33!$F$7:$F$874,'30 days CF Table(USD)'!$C$2)</f>
        <v>0</v>
      </c>
      <c r="AT29" s="379">
        <f>SUMIFS(BS_RE33!$H$7:$H$874,BS_RE33!$S$7:$S$874,$AT$2,BS_RE33!$N$7:$N$874,I29,BS_RE33!$P$7:$P$874,'30 days CF Table(USD)'!G29,BS_RE33!$F$7:$F$874,'30 days CF Table(USD)'!$C$2)</f>
        <v>0</v>
      </c>
      <c r="AU29" s="379">
        <f>SUMIFS(BS_RE33!$H$7:$H$874,BS_RE33!$S$7:$S$874,$AU$2,BS_RE33!$N$7:$N$874,I29,BS_RE33!$P$7:$P$874,'30 days CF Table(USD)'!G29,BS_RE33!$F$7:$F$874,'30 days CF Table(USD)'!$C$2)</f>
        <v>0</v>
      </c>
      <c r="AV29" s="379">
        <f>SUMIFS(BS_RE33!$H$7:$H$874,BS_RE33!$S$7:$S$874,$AV$2,BS_RE33!$N$7:$N$874,I29,BS_RE33!$P$7:$P$874,'30 days CF Table(USD)'!G29,BS_RE33!$F$7:$F$874,'30 days CF Table(USD)'!$C$2)</f>
        <v>0</v>
      </c>
      <c r="AW29" s="379">
        <f>SUMIFS(BS_RE33!$H$7:$H$874,BS_RE33!$S$7:$S$874,$AW$2,BS_RE33!$N$7:$N$874,I29,BS_RE33!$P$7:$P$874,'30 days CF Table(USD)'!G29,BS_RE33!$F$7:$F$874,'30 days CF Table(USD)'!$C$2)</f>
        <v>0</v>
      </c>
      <c r="AX29" s="379">
        <f>SUMIFS(BS_RE33!$H$7:$H$874,BS_RE33!$S$7:$S$874,$AX$2,BS_RE33!$N$7:$N$874,I29,BS_RE33!$P$7:$P$874,'30 days CF Table(USD)'!G29,BS_RE33!$F$7:$F$874,'30 days CF Table(USD)'!$C$2)</f>
        <v>0</v>
      </c>
      <c r="AY29" s="379">
        <f>SUMIFS(BS_RE33!$H$7:$H$874,BS_RE33!$S$7:$S$874,$AY$2,BS_RE33!$N$7:$N$874,I29,BS_RE33!$P$7:$P$874,'30 days CF Table(USD)'!G29,BS_RE33!$F$7:$F$874,'30 days CF Table(USD)'!$C$2)</f>
        <v>0</v>
      </c>
      <c r="AZ29" s="379">
        <f>SUMIFS(BS_RE33!$H$7:$H$874,BS_RE33!$S$7:$S$874,$AZ$2,BS_RE33!$N$7:$N$874,I29,BS_RE33!$P$7:$P$874,'30 days CF Table(USD)'!G29,BS_RE33!$F$7:$F$874,'30 days CF Table(USD)'!$C$2)</f>
        <v>0</v>
      </c>
      <c r="BA29" s="379">
        <f>SUMIFS(BS_RE33!$H$7:$H$874,BS_RE33!$S$7:$S$874,$BA$2,BS_RE33!$N$7:$N$874,I29,BS_RE33!$P$7:$P$874,'30 days CF Table(USD)'!G29,BS_RE33!$F$7:$F$874,'30 days CF Table(USD)'!$C$2)</f>
        <v>0</v>
      </c>
      <c r="BB29" s="379">
        <f>SUMIFS(BS_RE33!$H$7:$H$874,BS_RE33!$S$7:$S$874,$BB$2,BS_RE33!$N$7:$N$874,I29,BS_RE33!$P$7:$P$874,'30 days CF Table(USD)'!G29,BS_RE33!$F$7:$F$874,'30 days CF Table(USD)'!$C$2)</f>
        <v>0</v>
      </c>
      <c r="BC29" s="379">
        <f>SUMIFS(BS_RE33!$H$7:$H$874,BS_RE33!$S$7:$S$874,$BC$2,BS_RE33!$N$7:$N$874,I29,BS_RE33!$P$7:$P$874,'30 days CF Table(USD)'!G29,BS_RE33!$F$7:$F$874,'30 days CF Table(USD)'!$C$2)</f>
        <v>0</v>
      </c>
      <c r="BD29" s="379">
        <f>SUMIFS(BS_RE33!$H$7:$H$874,BS_RE33!$S$7:$S$874,$BD$2,BS_RE33!$N$7:$N$874,I29,BS_RE33!$P$7:$P$874,'30 days CF Table(USD)'!G29,BS_RE33!$F$7:$F$874,'30 days CF Table(USD)'!$C$2)</f>
        <v>0</v>
      </c>
      <c r="BE29" s="379">
        <f>SUMIFS(BS_RE33!$H$7:$H$874,BS_RE33!$S$7:$S$874,$BE$2,BS_RE33!$N$7:$N$874,I29,BS_RE33!$P$7:$P$874,'30 days CF Table(USD)'!G29,BS_RE33!$F$7:$F$874,'30 days CF Table(USD)'!$C$2)</f>
        <v>0</v>
      </c>
      <c r="BF29" s="379">
        <f>SUMIFS(BS_RE33!$H$7:$H$874,BS_RE33!$S$7:$S$874,$BF$2,BS_RE33!$N$7:$N$874,I29,BS_RE33!$P$7:$P$874,'30 days CF Table(USD)'!G29,BS_RE33!$F$7:$F$874,'30 days CF Table(USD)'!$C$2)</f>
        <v>0</v>
      </c>
      <c r="BG29" s="379">
        <f>SUMIFS(BS_RE33!$H$7:$H$874,BS_RE33!$S$7:$S$874,$BG$2,BS_RE33!$N$7:$N$874,I29,BS_RE33!$P$7:$P$874,'30 days CF Table(USD)'!G29,BS_RE33!$F$7:$F$874,'30 days CF Table(USD)'!$C$2)</f>
        <v>0</v>
      </c>
      <c r="BH29" s="379">
        <f>SUMIFS(BS_RE33!$H$7:$H$874,BS_RE33!$S$7:$S$874,$BH$2,BS_RE33!$N$7:$N$874,I29,BS_RE33!$P$7:$P$874,'30 days CF Table(USD)'!G29,BS_RE33!$F$7:$F$874,'30 days CF Table(USD)'!$C$2)</f>
        <v>0</v>
      </c>
      <c r="BI29" s="379">
        <f>SUMIFS(BS_RE33!$H$7:$H$874,BS_RE33!$S$7:$S$874,$BI$2,BS_RE33!$N$7:$N$874,I29,BS_RE33!$P$7:$P$874,'30 days CF Table(USD)'!G29,BS_RE33!$F$7:$F$874,'30 days CF Table(USD)'!$C$2)</f>
        <v>0</v>
      </c>
      <c r="BJ29" s="379">
        <f>SUMIFS(BS_RE33!$H$7:$H$874,BS_RE33!$S$7:$S$874,$BJ$2,BS_RE33!$N$7:$N$874,I29,BS_RE33!$P$7:$P$874,'30 days CF Table(USD)'!G29,BS_RE33!$F$7:$F$874,'30 days CF Table(USD)'!$C$2)</f>
        <v>0</v>
      </c>
      <c r="BK29" s="379">
        <f>SUMIFS(BS_RE33!$H$7:$H$874,BS_RE33!$S$7:$S$874,$BK$2,BS_RE33!$N$7:$N$874,I29,BS_RE33!$P$7:$P$874,'30 days CF Table(USD)'!G29,BS_RE33!$F$7:$F$874,'30 days CF Table(USD)'!$C$2)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Table(USD)'!G30,BS_RE33!$F$7:$F$874,'30 days CF Table(USD)'!$C$2)</f>
        <v>0</v>
      </c>
      <c r="M30" s="337">
        <f>SUMIFS(BS_RE33!$H$7:$H$874,BS_RE33!$S$7:$S$874,$M$2,BS_RE33!$N$7:$N$874,I30,BS_RE33!$P$7:$P$874,'30 days CF Table(USD)'!G30,BS_RE33!$F$7:$F$874,'30 days CF Table(USD)'!$C$2)</f>
        <v>0</v>
      </c>
      <c r="N30" s="337">
        <f>SUMIFS(BS_RE33!$H$7:$H$874,BS_RE33!$S$7:$S$874,$N$2,BS_RE33!$N$7:$N$874,I30,BS_RE33!$P$7:$P$874,'30 days CF Table(USD)'!G30,BS_RE33!$F$7:$F$874,'30 days CF Table(USD)'!$C$2)</f>
        <v>0</v>
      </c>
      <c r="O30" s="337">
        <f>SUMIFS(BS_RE33!$H$7:$H$874,BS_RE33!$S$7:$S$874,$O$2,BS_RE33!$N$7:$N$874,I30,BS_RE33!$P$7:$P$874,'30 days CF Table(USD)'!G30,BS_RE33!$F$7:$F$874,'30 days CF Table(USD)'!$C$2)</f>
        <v>0</v>
      </c>
      <c r="P30" s="337">
        <f>SUMIFS(BS_RE33!$H$7:$H$874,BS_RE33!$S$7:$S$874,$P$2,BS_RE33!$N$7:$N$874,I30,BS_RE33!$P$7:$P$874,'30 days CF Table(USD)'!G30,BS_RE33!$F$7:$F$874,'30 days CF Table(USD)'!$C$2)</f>
        <v>0</v>
      </c>
      <c r="Q30" s="337">
        <f>SUMIFS(BS_RE33!$H$7:$H$874,BS_RE33!$S$7:$S$874,$Q$2,BS_RE33!$N$7:$N$874,I30,BS_RE33!$P$7:$P$874,'30 days CF Table(USD)'!G30,BS_RE33!$F$7:$F$874,'30 days CF Table(USD)'!$C$2)</f>
        <v>0</v>
      </c>
      <c r="R30" s="337">
        <f>SUMIFS(BS_RE33!$H$7:$H$874,BS_RE33!$S$7:$S$874,$R$2,BS_RE33!$N$7:$N$874,I30,BS_RE33!$P$7:$P$874,'30 days CF Table(USD)'!G30,BS_RE33!$F$7:$F$874,'30 days CF Table(USD)'!$C$2)</f>
        <v>0</v>
      </c>
      <c r="S30" s="337">
        <f>SUMIFS(BS_RE33!$H$7:$H$874,BS_RE33!$S$7:$S$874,$S$2,BS_RE33!$N$7:$N$874,I30,BS_RE33!$P$7:$P$874,'30 days CF Table(USD)'!G30,BS_RE33!$F$7:$F$874,'30 days CF Table(USD)'!$C$2)</f>
        <v>0</v>
      </c>
      <c r="T30" s="337">
        <f>SUMIFS(BS_RE33!$H$7:$H$874,BS_RE33!$S$7:$S$874,$T$2,BS_RE33!$N$7:$N$874,I30,BS_RE33!$P$7:$P$874,'30 days CF Table(USD)'!G30,BS_RE33!$F$7:$F$874,'30 days CF Table(USD)'!$C$2)</f>
        <v>0</v>
      </c>
      <c r="U30" s="337">
        <f>SUMIFS(BS_RE33!$H$7:$H$874,BS_RE33!$S$7:$S$874,$U$2,BS_RE33!$N$7:$N$874,I30,BS_RE33!$P$7:$P$874,'30 days CF Table(USD)'!G30,BS_RE33!$F$7:$F$874,'30 days CF Table(USD)'!$C$2)</f>
        <v>0</v>
      </c>
      <c r="V30" s="337">
        <f>SUMIFS(BS_RE33!$H$7:$H$874,BS_RE33!$S$7:$S$874,$V$2,BS_RE33!$N$7:$N$874,I30,BS_RE33!$P$7:$P$874,'30 days CF Table(USD)'!G30,BS_RE33!$F$7:$F$874,'30 days CF Table(USD)'!$C$2)</f>
        <v>0</v>
      </c>
      <c r="W30" s="337">
        <f>SUMIFS(BS_RE33!$H$7:$H$874,BS_RE33!$S$7:$S$874,$W$2,BS_RE33!$N$7:$N$874,I30,BS_RE33!$P$7:$P$874,'30 days CF Table(USD)'!G30,BS_RE33!$F$7:$F$874,'30 days CF Table(USD)'!$C$2)</f>
        <v>0</v>
      </c>
      <c r="X30" s="337">
        <f>SUMIFS(BS_RE33!$H$7:$H$874,BS_RE33!$S$7:$S$874,$X$2,BS_RE33!$N$7:$N$874,I30,BS_RE33!$P$7:$P$874,'30 days CF Table(USD)'!G30,BS_RE33!$F$7:$F$874,'30 days CF Table(USD)'!$C$2)</f>
        <v>0</v>
      </c>
      <c r="Y30" s="337">
        <f>SUMIFS(BS_RE33!$H$7:$H$874,BS_RE33!$S$7:$S$874,$Y$2,BS_RE33!$N$7:$N$874,I30,BS_RE33!$P$7:$P$874,'30 days CF Table(USD)'!G30,BS_RE33!$F$7:$F$874,'30 days CF Table(USD)'!$C$2)</f>
        <v>0</v>
      </c>
      <c r="Z30" s="337">
        <f>SUMIFS(BS_RE33!$H$7:$H$874,BS_RE33!$S$7:$S$874,$Z$2,BS_RE33!$N$7:$N$874,I30,BS_RE33!$P$7:$P$874,'30 days CF Table(USD)'!G30,BS_RE33!$F$7:$F$874,'30 days CF Table(USD)'!$C$2)</f>
        <v>0</v>
      </c>
      <c r="AA30" s="337">
        <f>SUMIFS(BS_RE33!$H$7:$H$874,BS_RE33!$S$7:$S$874,$AA$2,BS_RE33!$N$7:$N$874,I30,BS_RE33!$P$7:$P$874,'30 days CF Table(USD)'!G30,BS_RE33!$F$7:$F$874,'30 days CF Table(USD)'!$C$2)</f>
        <v>0</v>
      </c>
      <c r="AB30" s="337">
        <f>SUMIFS(BS_RE33!$H$7:$H$874,BS_RE33!$S$7:$S$874,$AB$2,BS_RE33!$N$7:$N$874,I30,BS_RE33!$P$7:$P$874,'30 days CF Table(USD)'!G30,BS_RE33!$F$7:$F$874,'30 days CF Table(USD)'!$C$2)</f>
        <v>0</v>
      </c>
      <c r="AC30" s="337">
        <f>SUMIFS(BS_RE33!$H$7:$H$874,BS_RE33!$S$7:$S$874,$AC$2,BS_RE33!$N$7:$N$874,I30,BS_RE33!$P$7:$P$874,'30 days CF Table(USD)'!G30,BS_RE33!$F$7:$F$874,'30 days CF Table(USD)'!$C$2)</f>
        <v>0</v>
      </c>
      <c r="AD30" s="337">
        <f>SUMIFS(BS_RE33!$H$7:$H$874,BS_RE33!$S$7:$S$874,$AD$2,BS_RE33!$N$7:$N$874,I30,BS_RE33!$P$7:$P$874,'30 days CF Table(USD)'!G30,BS_RE33!$F$7:$F$874,'30 days CF Table(USD)'!$C$2)</f>
        <v>0</v>
      </c>
      <c r="AE30" s="337">
        <f>SUMIFS(BS_RE33!$H$7:$H$874,BS_RE33!$S$7:$S$874,$AE$2,BS_RE33!$N$7:$N$874,I30,BS_RE33!$P$7:$P$874,'30 days CF Table(USD)'!G30,BS_RE33!$F$7:$F$874,'30 days CF Table(USD)'!$C$2)</f>
        <v>0</v>
      </c>
      <c r="AF30" s="337">
        <f>SUMIFS(BS_RE33!$H$7:$H$874,BS_RE33!$S$7:$S$874,$AF$2,BS_RE33!$N$7:$N$874,I30,BS_RE33!$P$7:$P$874,'30 days CF Table(USD)'!G30,BS_RE33!$F$7:$F$874,'30 days CF Table(USD)'!$C$2)</f>
        <v>0</v>
      </c>
      <c r="AG30" s="337">
        <f>SUMIFS(BS_RE33!$H$7:$H$874,BS_RE33!$S$7:$S$874,$AG$2,BS_RE33!$N$7:$N$874,I30,BS_RE33!$P$7:$P$874,'30 days CF Table(USD)'!G30,BS_RE33!$F$7:$F$874,'30 days CF Table(USD)'!$C$2)</f>
        <v>0</v>
      </c>
      <c r="AH30" s="337">
        <f>SUMIFS(BS_RE33!$H$7:$H$874,BS_RE33!$S$7:$S$874,$AH$2,BS_RE33!$N$7:$N$874,I30,BS_RE33!$P$7:$P$874,'30 days CF Table(USD)'!G30,BS_RE33!$F$7:$F$874,'30 days CF Table(USD)'!$C$2)</f>
        <v>0</v>
      </c>
      <c r="AI30" s="337">
        <f>SUMIFS(BS_RE33!$H$7:$H$874,BS_RE33!$S$7:$S$874,$AI$2,BS_RE33!$N$7:$N$874,I30,BS_RE33!$P$7:$P$874,'30 days CF Table(USD)'!G30,BS_RE33!$F$7:$F$874,'30 days CF Table(USD)'!$C$2)</f>
        <v>0</v>
      </c>
      <c r="AJ30" s="337">
        <f>SUMIFS(BS_RE33!$H$7:$H$874,BS_RE33!$S$7:$S$874,$AJ$2,BS_RE33!$N$7:$N$874,I30,BS_RE33!$P$7:$P$874,'30 days CF Table(USD)'!G30,BS_RE33!$F$7:$F$874,'30 days CF Table(USD)'!$C$2)</f>
        <v>0</v>
      </c>
      <c r="AK30" s="337">
        <f>SUMIFS(BS_RE33!$H$7:$H$874,BS_RE33!$S$7:$S$874,$AK$2,BS_RE33!$N$7:$N$874,I30,BS_RE33!$P$7:$P$874,'30 days CF Table(USD)'!G30,BS_RE33!$F$7:$F$874,'30 days CF Table(USD)'!$C$2)</f>
        <v>0</v>
      </c>
      <c r="AL30" s="337">
        <f>SUMIFS(BS_RE33!$H$7:$H$874,BS_RE33!$S$7:$S$874,$AL$2,BS_RE33!$N$7:$N$874,I30,BS_RE33!$P$7:$P$874,'30 days CF Table(USD)'!G30,BS_RE33!$F$7:$F$874,'30 days CF Table(USD)'!$C$2)</f>
        <v>0</v>
      </c>
      <c r="AM30" s="337">
        <f>SUMIFS(BS_RE33!$H$7:$H$874,BS_RE33!$S$7:$S$874,$AM$2,BS_RE33!$N$7:$N$874,I30,BS_RE33!$P$7:$P$874,'30 days CF Table(USD)'!G30,BS_RE33!$F$7:$F$874,'30 days CF Table(USD)'!$C$2)</f>
        <v>0</v>
      </c>
      <c r="AN30" s="337">
        <f>SUMIFS(BS_RE33!$H$7:$H$874,BS_RE33!$S$7:$S$874,$AN$2,BS_RE33!$N$7:$N$874,I30,BS_RE33!$P$7:$P$874,'30 days CF Table(USD)'!G30,BS_RE33!$F$7:$F$874,'30 days CF Table(USD)'!$C$2)</f>
        <v>0</v>
      </c>
      <c r="AO30" s="337">
        <f>SUMIFS(BS_RE33!$H$7:$H$874,BS_RE33!$S$7:$S$874,$AO$2,BS_RE33!$N$7:$N$874,I30,BS_RE33!$P$7:$P$874,'30 days CF Table(USD)'!G30,BS_RE33!$F$7:$F$874,'30 days CF Table(USD)'!$C$2)</f>
        <v>0</v>
      </c>
      <c r="AP30" s="338">
        <f>SUMIFS(BS_RE33!$H$7:$H$874,BS_RE33!$S$7:$S$874,$AP$2,BS_RE33!$N$7:$N$874,I30,BS_RE33!$P$7:$P$874,'30 days CF Table(USD)'!G30,BS_RE33!$F$7:$F$874,'30 days CF Table(USD)'!$C$2)</f>
        <v>0</v>
      </c>
      <c r="AR30" s="379">
        <f>SUMIFS(BS_RE33!$H$7:$H$874,BS_RE33!$S$7:$S$874,$AR$2,BS_RE33!$N$7:$N$874,I30,BS_RE33!$P$7:$P$874,'30 days CF Table(USD)'!G30,BS_RE33!$F$7:$F$874,'30 days CF Table(USD)'!$C$2)</f>
        <v>0</v>
      </c>
      <c r="AS30" s="379">
        <f>SUMIFS(BS_RE33!$H$7:$H$874,BS_RE33!$S$7:$S$874,$AS$2,BS_RE33!$N$7:$N$874,I30,BS_RE33!$P$7:$P$874,'30 days CF Table(USD)'!G30,BS_RE33!$F$7:$F$874,'30 days CF Table(USD)'!$C$2)</f>
        <v>0</v>
      </c>
      <c r="AT30" s="379">
        <f>SUMIFS(BS_RE33!$H$7:$H$874,BS_RE33!$S$7:$S$874,$AT$2,BS_RE33!$N$7:$N$874,I30,BS_RE33!$P$7:$P$874,'30 days CF Table(USD)'!G30,BS_RE33!$F$7:$F$874,'30 days CF Table(USD)'!$C$2)</f>
        <v>0</v>
      </c>
      <c r="AU30" s="379">
        <f>SUMIFS(BS_RE33!$H$7:$H$874,BS_RE33!$S$7:$S$874,$AU$2,BS_RE33!$N$7:$N$874,I30,BS_RE33!$P$7:$P$874,'30 days CF Table(USD)'!G30,BS_RE33!$F$7:$F$874,'30 days CF Table(USD)'!$C$2)</f>
        <v>0</v>
      </c>
      <c r="AV30" s="379">
        <f>SUMIFS(BS_RE33!$H$7:$H$874,BS_RE33!$S$7:$S$874,$AV$2,BS_RE33!$N$7:$N$874,I30,BS_RE33!$P$7:$P$874,'30 days CF Table(USD)'!G30,BS_RE33!$F$7:$F$874,'30 days CF Table(USD)'!$C$2)</f>
        <v>0</v>
      </c>
      <c r="AW30" s="379">
        <f>SUMIFS(BS_RE33!$H$7:$H$874,BS_RE33!$S$7:$S$874,$AW$2,BS_RE33!$N$7:$N$874,I30,BS_RE33!$P$7:$P$874,'30 days CF Table(USD)'!G30,BS_RE33!$F$7:$F$874,'30 days CF Table(USD)'!$C$2)</f>
        <v>0</v>
      </c>
      <c r="AX30" s="379">
        <f>SUMIFS(BS_RE33!$H$7:$H$874,BS_RE33!$S$7:$S$874,$AX$2,BS_RE33!$N$7:$N$874,I30,BS_RE33!$P$7:$P$874,'30 days CF Table(USD)'!G30,BS_RE33!$F$7:$F$874,'30 days CF Table(USD)'!$C$2)</f>
        <v>0</v>
      </c>
      <c r="AY30" s="379">
        <f>SUMIFS(BS_RE33!$H$7:$H$874,BS_RE33!$S$7:$S$874,$AY$2,BS_RE33!$N$7:$N$874,I30,BS_RE33!$P$7:$P$874,'30 days CF Table(USD)'!G30,BS_RE33!$F$7:$F$874,'30 days CF Table(USD)'!$C$2)</f>
        <v>0</v>
      </c>
      <c r="AZ30" s="379">
        <f>SUMIFS(BS_RE33!$H$7:$H$874,BS_RE33!$S$7:$S$874,$AZ$2,BS_RE33!$N$7:$N$874,I30,BS_RE33!$P$7:$P$874,'30 days CF Table(USD)'!G30,BS_RE33!$F$7:$F$874,'30 days CF Table(USD)'!$C$2)</f>
        <v>0</v>
      </c>
      <c r="BA30" s="379">
        <f>SUMIFS(BS_RE33!$H$7:$H$874,BS_RE33!$S$7:$S$874,$BA$2,BS_RE33!$N$7:$N$874,I30,BS_RE33!$P$7:$P$874,'30 days CF Table(USD)'!G30,BS_RE33!$F$7:$F$874,'30 days CF Table(USD)'!$C$2)</f>
        <v>0</v>
      </c>
      <c r="BB30" s="379">
        <f>SUMIFS(BS_RE33!$H$7:$H$874,BS_RE33!$S$7:$S$874,$BB$2,BS_RE33!$N$7:$N$874,I30,BS_RE33!$P$7:$P$874,'30 days CF Table(USD)'!G30,BS_RE33!$F$7:$F$874,'30 days CF Table(USD)'!$C$2)</f>
        <v>0</v>
      </c>
      <c r="BC30" s="379">
        <f>SUMIFS(BS_RE33!$H$7:$H$874,BS_RE33!$S$7:$S$874,$BC$2,BS_RE33!$N$7:$N$874,I30,BS_RE33!$P$7:$P$874,'30 days CF Table(USD)'!G30,BS_RE33!$F$7:$F$874,'30 days CF Table(USD)'!$C$2)</f>
        <v>0</v>
      </c>
      <c r="BD30" s="379">
        <f>SUMIFS(BS_RE33!$H$7:$H$874,BS_RE33!$S$7:$S$874,$BD$2,BS_RE33!$N$7:$N$874,I30,BS_RE33!$P$7:$P$874,'30 days CF Table(USD)'!G30,BS_RE33!$F$7:$F$874,'30 days CF Table(USD)'!$C$2)</f>
        <v>0</v>
      </c>
      <c r="BE30" s="379">
        <f>SUMIFS(BS_RE33!$H$7:$H$874,BS_RE33!$S$7:$S$874,$BE$2,BS_RE33!$N$7:$N$874,I30,BS_RE33!$P$7:$P$874,'30 days CF Table(USD)'!G30,BS_RE33!$F$7:$F$874,'30 days CF Table(USD)'!$C$2)</f>
        <v>0</v>
      </c>
      <c r="BF30" s="379">
        <f>SUMIFS(BS_RE33!$H$7:$H$874,BS_RE33!$S$7:$S$874,$BF$2,BS_RE33!$N$7:$N$874,I30,BS_RE33!$P$7:$P$874,'30 days CF Table(USD)'!G30,BS_RE33!$F$7:$F$874,'30 days CF Table(USD)'!$C$2)</f>
        <v>0</v>
      </c>
      <c r="BG30" s="379">
        <f>SUMIFS(BS_RE33!$H$7:$H$874,BS_RE33!$S$7:$S$874,$BG$2,BS_RE33!$N$7:$N$874,I30,BS_RE33!$P$7:$P$874,'30 days CF Table(USD)'!G30,BS_RE33!$F$7:$F$874,'30 days CF Table(USD)'!$C$2)</f>
        <v>0</v>
      </c>
      <c r="BH30" s="379">
        <f>SUMIFS(BS_RE33!$H$7:$H$874,BS_RE33!$S$7:$S$874,$BH$2,BS_RE33!$N$7:$N$874,I30,BS_RE33!$P$7:$P$874,'30 days CF Table(USD)'!G30,BS_RE33!$F$7:$F$874,'30 days CF Table(USD)'!$C$2)</f>
        <v>0</v>
      </c>
      <c r="BI30" s="379">
        <f>SUMIFS(BS_RE33!$H$7:$H$874,BS_RE33!$S$7:$S$874,$BI$2,BS_RE33!$N$7:$N$874,I30,BS_RE33!$P$7:$P$874,'30 days CF Table(USD)'!G30,BS_RE33!$F$7:$F$874,'30 days CF Table(USD)'!$C$2)</f>
        <v>0</v>
      </c>
      <c r="BJ30" s="379">
        <f>SUMIFS(BS_RE33!$H$7:$H$874,BS_RE33!$S$7:$S$874,$BJ$2,BS_RE33!$N$7:$N$874,I30,BS_RE33!$P$7:$P$874,'30 days CF Table(USD)'!G30,BS_RE33!$F$7:$F$874,'30 days CF Table(USD)'!$C$2)</f>
        <v>0</v>
      </c>
      <c r="BK30" s="379">
        <f>SUMIFS(BS_RE33!$H$7:$H$874,BS_RE33!$S$7:$S$874,$BK$2,BS_RE33!$N$7:$N$874,I30,BS_RE33!$P$7:$P$874,'30 days CF Table(USD)'!G30,BS_RE33!$F$7:$F$874,'30 days CF Table(USD)'!$C$2)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Table(USD)'!G31,BS_RE33!$F$7:$F$874,'30 days CF Table(USD)'!$C$2)</f>
        <v>0</v>
      </c>
      <c r="M31" s="337">
        <f>SUMIFS(BS_RE33!$H$7:$H$874,BS_RE33!$S$7:$S$874,$M$2,BS_RE33!$N$7:$N$874,I31,BS_RE33!$P$7:$P$874,'30 days CF Table(USD)'!G31,BS_RE33!$F$7:$F$874,'30 days CF Table(USD)'!$C$2)</f>
        <v>0</v>
      </c>
      <c r="N31" s="337">
        <f>SUMIFS(BS_RE33!$H$7:$H$874,BS_RE33!$S$7:$S$874,$N$2,BS_RE33!$N$7:$N$874,I31,BS_RE33!$P$7:$P$874,'30 days CF Table(USD)'!G31,BS_RE33!$F$7:$F$874,'30 days CF Table(USD)'!$C$2)</f>
        <v>0</v>
      </c>
      <c r="O31" s="337">
        <f>SUMIFS(BS_RE33!$H$7:$H$874,BS_RE33!$S$7:$S$874,$O$2,BS_RE33!$N$7:$N$874,I31,BS_RE33!$P$7:$P$874,'30 days CF Table(USD)'!G31,BS_RE33!$F$7:$F$874,'30 days CF Table(USD)'!$C$2)</f>
        <v>0</v>
      </c>
      <c r="P31" s="337">
        <f>SUMIFS(BS_RE33!$H$7:$H$874,BS_RE33!$S$7:$S$874,$P$2,BS_RE33!$N$7:$N$874,I31,BS_RE33!$P$7:$P$874,'30 days CF Table(USD)'!G31,BS_RE33!$F$7:$F$874,'30 days CF Table(USD)'!$C$2)</f>
        <v>0</v>
      </c>
      <c r="Q31" s="337">
        <f>SUMIFS(BS_RE33!$H$7:$H$874,BS_RE33!$S$7:$S$874,$Q$2,BS_RE33!$N$7:$N$874,I31,BS_RE33!$P$7:$P$874,'30 days CF Table(USD)'!G31,BS_RE33!$F$7:$F$874,'30 days CF Table(USD)'!$C$2)</f>
        <v>0</v>
      </c>
      <c r="R31" s="337">
        <f>SUMIFS(BS_RE33!$H$7:$H$874,BS_RE33!$S$7:$S$874,$R$2,BS_RE33!$N$7:$N$874,I31,BS_RE33!$P$7:$P$874,'30 days CF Table(USD)'!G31,BS_RE33!$F$7:$F$874,'30 days CF Table(USD)'!$C$2)</f>
        <v>0</v>
      </c>
      <c r="S31" s="337">
        <f>SUMIFS(BS_RE33!$H$7:$H$874,BS_RE33!$S$7:$S$874,$S$2,BS_RE33!$N$7:$N$874,I31,BS_RE33!$P$7:$P$874,'30 days CF Table(USD)'!G31,BS_RE33!$F$7:$F$874,'30 days CF Table(USD)'!$C$2)</f>
        <v>0</v>
      </c>
      <c r="T31" s="337">
        <f>SUMIFS(BS_RE33!$H$7:$H$874,BS_RE33!$S$7:$S$874,$T$2,BS_RE33!$N$7:$N$874,I31,BS_RE33!$P$7:$P$874,'30 days CF Table(USD)'!G31,BS_RE33!$F$7:$F$874,'30 days CF Table(USD)'!$C$2)</f>
        <v>0</v>
      </c>
      <c r="U31" s="337">
        <f>SUMIFS(BS_RE33!$H$7:$H$874,BS_RE33!$S$7:$S$874,$U$2,BS_RE33!$N$7:$N$874,I31,BS_RE33!$P$7:$P$874,'30 days CF Table(USD)'!G31,BS_RE33!$F$7:$F$874,'30 days CF Table(USD)'!$C$2)</f>
        <v>0</v>
      </c>
      <c r="V31" s="337">
        <f>SUMIFS(BS_RE33!$H$7:$H$874,BS_RE33!$S$7:$S$874,$V$2,BS_RE33!$N$7:$N$874,I31,BS_RE33!$P$7:$P$874,'30 days CF Table(USD)'!G31,BS_RE33!$F$7:$F$874,'30 days CF Table(USD)'!$C$2)</f>
        <v>0</v>
      </c>
      <c r="W31" s="337">
        <f>SUMIFS(BS_RE33!$H$7:$H$874,BS_RE33!$S$7:$S$874,$W$2,BS_RE33!$N$7:$N$874,I31,BS_RE33!$P$7:$P$874,'30 days CF Table(USD)'!G31,BS_RE33!$F$7:$F$874,'30 days CF Table(USD)'!$C$2)</f>
        <v>0</v>
      </c>
      <c r="X31" s="337">
        <f>SUMIFS(BS_RE33!$H$7:$H$874,BS_RE33!$S$7:$S$874,$X$2,BS_RE33!$N$7:$N$874,I31,BS_RE33!$P$7:$P$874,'30 days CF Table(USD)'!G31,BS_RE33!$F$7:$F$874,'30 days CF Table(USD)'!$C$2)</f>
        <v>0</v>
      </c>
      <c r="Y31" s="337">
        <f>SUMIFS(BS_RE33!$H$7:$H$874,BS_RE33!$S$7:$S$874,$Y$2,BS_RE33!$N$7:$N$874,I31,BS_RE33!$P$7:$P$874,'30 days CF Table(USD)'!G31,BS_RE33!$F$7:$F$874,'30 days CF Table(USD)'!$C$2)</f>
        <v>0</v>
      </c>
      <c r="Z31" s="337">
        <f>SUMIFS(BS_RE33!$H$7:$H$874,BS_RE33!$S$7:$S$874,$Z$2,BS_RE33!$N$7:$N$874,I31,BS_RE33!$P$7:$P$874,'30 days CF Table(USD)'!G31,BS_RE33!$F$7:$F$874,'30 days CF Table(USD)'!$C$2)</f>
        <v>0</v>
      </c>
      <c r="AA31" s="337">
        <f>SUMIFS(BS_RE33!$H$7:$H$874,BS_RE33!$S$7:$S$874,$AA$2,BS_RE33!$N$7:$N$874,I31,BS_RE33!$P$7:$P$874,'30 days CF Table(USD)'!G31,BS_RE33!$F$7:$F$874,'30 days CF Table(USD)'!$C$2)</f>
        <v>0</v>
      </c>
      <c r="AB31" s="337">
        <f>SUMIFS(BS_RE33!$H$7:$H$874,BS_RE33!$S$7:$S$874,$AB$2,BS_RE33!$N$7:$N$874,I31,BS_RE33!$P$7:$P$874,'30 days CF Table(USD)'!G31,BS_RE33!$F$7:$F$874,'30 days CF Table(USD)'!$C$2)</f>
        <v>0</v>
      </c>
      <c r="AC31" s="337">
        <f>SUMIFS(BS_RE33!$H$7:$H$874,BS_RE33!$S$7:$S$874,$AC$2,BS_RE33!$N$7:$N$874,I31,BS_RE33!$P$7:$P$874,'30 days CF Table(USD)'!G31,BS_RE33!$F$7:$F$874,'30 days CF Table(USD)'!$C$2)</f>
        <v>0</v>
      </c>
      <c r="AD31" s="337">
        <f>SUMIFS(BS_RE33!$H$7:$H$874,BS_RE33!$S$7:$S$874,$AD$2,BS_RE33!$N$7:$N$874,I31,BS_RE33!$P$7:$P$874,'30 days CF Table(USD)'!G31,BS_RE33!$F$7:$F$874,'30 days CF Table(USD)'!$C$2)</f>
        <v>0</v>
      </c>
      <c r="AE31" s="337">
        <f>SUMIFS(BS_RE33!$H$7:$H$874,BS_RE33!$S$7:$S$874,$AE$2,BS_RE33!$N$7:$N$874,I31,BS_RE33!$P$7:$P$874,'30 days CF Table(USD)'!G31,BS_RE33!$F$7:$F$874,'30 days CF Table(USD)'!$C$2)</f>
        <v>0</v>
      </c>
      <c r="AF31" s="337">
        <f>SUMIFS(BS_RE33!$H$7:$H$874,BS_RE33!$S$7:$S$874,$AF$2,BS_RE33!$N$7:$N$874,I31,BS_RE33!$P$7:$P$874,'30 days CF Table(USD)'!G31,BS_RE33!$F$7:$F$874,'30 days CF Table(USD)'!$C$2)</f>
        <v>0</v>
      </c>
      <c r="AG31" s="337">
        <f>SUMIFS(BS_RE33!$H$7:$H$874,BS_RE33!$S$7:$S$874,$AG$2,BS_RE33!$N$7:$N$874,I31,BS_RE33!$P$7:$P$874,'30 days CF Table(USD)'!G31,BS_RE33!$F$7:$F$874,'30 days CF Table(USD)'!$C$2)</f>
        <v>0</v>
      </c>
      <c r="AH31" s="337">
        <f>SUMIFS(BS_RE33!$H$7:$H$874,BS_RE33!$S$7:$S$874,$AH$2,BS_RE33!$N$7:$N$874,I31,BS_RE33!$P$7:$P$874,'30 days CF Table(USD)'!G31,BS_RE33!$F$7:$F$874,'30 days CF Table(USD)'!$C$2)</f>
        <v>0</v>
      </c>
      <c r="AI31" s="337">
        <f>SUMIFS(BS_RE33!$H$7:$H$874,BS_RE33!$S$7:$S$874,$AI$2,BS_RE33!$N$7:$N$874,I31,BS_RE33!$P$7:$P$874,'30 days CF Table(USD)'!G31,BS_RE33!$F$7:$F$874,'30 days CF Table(USD)'!$C$2)</f>
        <v>0</v>
      </c>
      <c r="AJ31" s="337">
        <f>SUMIFS(BS_RE33!$H$7:$H$874,BS_RE33!$S$7:$S$874,$AJ$2,BS_RE33!$N$7:$N$874,I31,BS_RE33!$P$7:$P$874,'30 days CF Table(USD)'!G31,BS_RE33!$F$7:$F$874,'30 days CF Table(USD)'!$C$2)</f>
        <v>0</v>
      </c>
      <c r="AK31" s="337">
        <f>SUMIFS(BS_RE33!$H$7:$H$874,BS_RE33!$S$7:$S$874,$AK$2,BS_RE33!$N$7:$N$874,I31,BS_RE33!$P$7:$P$874,'30 days CF Table(USD)'!G31,BS_RE33!$F$7:$F$874,'30 days CF Table(USD)'!$C$2)</f>
        <v>0</v>
      </c>
      <c r="AL31" s="337">
        <f>SUMIFS(BS_RE33!$H$7:$H$874,BS_RE33!$S$7:$S$874,$AL$2,BS_RE33!$N$7:$N$874,I31,BS_RE33!$P$7:$P$874,'30 days CF Table(USD)'!G31,BS_RE33!$F$7:$F$874,'30 days CF Table(USD)'!$C$2)</f>
        <v>0</v>
      </c>
      <c r="AM31" s="337">
        <f>SUMIFS(BS_RE33!$H$7:$H$874,BS_RE33!$S$7:$S$874,$AM$2,BS_RE33!$N$7:$N$874,I31,BS_RE33!$P$7:$P$874,'30 days CF Table(USD)'!G31,BS_RE33!$F$7:$F$874,'30 days CF Table(USD)'!$C$2)</f>
        <v>0</v>
      </c>
      <c r="AN31" s="337">
        <f>SUMIFS(BS_RE33!$H$7:$H$874,BS_RE33!$S$7:$S$874,$AN$2,BS_RE33!$N$7:$N$874,I31,BS_RE33!$P$7:$P$874,'30 days CF Table(USD)'!G31,BS_RE33!$F$7:$F$874,'30 days CF Table(USD)'!$C$2)</f>
        <v>0</v>
      </c>
      <c r="AO31" s="337">
        <f>SUMIFS(BS_RE33!$H$7:$H$874,BS_RE33!$S$7:$S$874,$AO$2,BS_RE33!$N$7:$N$874,I31,BS_RE33!$P$7:$P$874,'30 days CF Table(USD)'!G31,BS_RE33!$F$7:$F$874,'30 days CF Table(USD)'!$C$2)</f>
        <v>0</v>
      </c>
      <c r="AP31" s="338">
        <f>SUMIFS(BS_RE33!$H$7:$H$874,BS_RE33!$S$7:$S$874,$AP$2,BS_RE33!$N$7:$N$874,I31,BS_RE33!$P$7:$P$874,'30 days CF Table(USD)'!G31,BS_RE33!$F$7:$F$874,'30 days CF Table(USD)'!$C$2)</f>
        <v>0</v>
      </c>
      <c r="AR31" s="379">
        <f>SUMIFS(BS_RE33!$H$7:$H$874,BS_RE33!$S$7:$S$874,$AR$2,BS_RE33!$N$7:$N$874,I31,BS_RE33!$P$7:$P$874,'30 days CF Table(USD)'!G31,BS_RE33!$F$7:$F$874,'30 days CF Table(USD)'!$C$2)</f>
        <v>0</v>
      </c>
      <c r="AS31" s="379">
        <f>SUMIFS(BS_RE33!$H$7:$H$874,BS_RE33!$S$7:$S$874,$AS$2,BS_RE33!$N$7:$N$874,I31,BS_RE33!$P$7:$P$874,'30 days CF Table(USD)'!G31,BS_RE33!$F$7:$F$874,'30 days CF Table(USD)'!$C$2)</f>
        <v>0</v>
      </c>
      <c r="AT31" s="379">
        <f>SUMIFS(BS_RE33!$H$7:$H$874,BS_RE33!$S$7:$S$874,$AT$2,BS_RE33!$N$7:$N$874,I31,BS_RE33!$P$7:$P$874,'30 days CF Table(USD)'!G31,BS_RE33!$F$7:$F$874,'30 days CF Table(USD)'!$C$2)</f>
        <v>0</v>
      </c>
      <c r="AU31" s="379">
        <f>SUMIFS(BS_RE33!$H$7:$H$874,BS_RE33!$S$7:$S$874,$AU$2,BS_RE33!$N$7:$N$874,I31,BS_RE33!$P$7:$P$874,'30 days CF Table(USD)'!G31,BS_RE33!$F$7:$F$874,'30 days CF Table(USD)'!$C$2)</f>
        <v>0</v>
      </c>
      <c r="AV31" s="379">
        <f>SUMIFS(BS_RE33!$H$7:$H$874,BS_RE33!$S$7:$S$874,$AV$2,BS_RE33!$N$7:$N$874,I31,BS_RE33!$P$7:$P$874,'30 days CF Table(USD)'!G31,BS_RE33!$F$7:$F$874,'30 days CF Table(USD)'!$C$2)</f>
        <v>0</v>
      </c>
      <c r="AW31" s="379">
        <f>SUMIFS(BS_RE33!$H$7:$H$874,BS_RE33!$S$7:$S$874,$AW$2,BS_RE33!$N$7:$N$874,I31,BS_RE33!$P$7:$P$874,'30 days CF Table(USD)'!G31,BS_RE33!$F$7:$F$874,'30 days CF Table(USD)'!$C$2)</f>
        <v>0</v>
      </c>
      <c r="AX31" s="379">
        <f>SUMIFS(BS_RE33!$H$7:$H$874,BS_RE33!$S$7:$S$874,$AX$2,BS_RE33!$N$7:$N$874,I31,BS_RE33!$P$7:$P$874,'30 days CF Table(USD)'!G31,BS_RE33!$F$7:$F$874,'30 days CF Table(USD)'!$C$2)</f>
        <v>0</v>
      </c>
      <c r="AY31" s="379">
        <f>SUMIFS(BS_RE33!$H$7:$H$874,BS_RE33!$S$7:$S$874,$AY$2,BS_RE33!$N$7:$N$874,I31,BS_RE33!$P$7:$P$874,'30 days CF Table(USD)'!G31,BS_RE33!$F$7:$F$874,'30 days CF Table(USD)'!$C$2)</f>
        <v>0</v>
      </c>
      <c r="AZ31" s="379">
        <f>SUMIFS(BS_RE33!$H$7:$H$874,BS_RE33!$S$7:$S$874,$AZ$2,BS_RE33!$N$7:$N$874,I31,BS_RE33!$P$7:$P$874,'30 days CF Table(USD)'!G31,BS_RE33!$F$7:$F$874,'30 days CF Table(USD)'!$C$2)</f>
        <v>0</v>
      </c>
      <c r="BA31" s="379">
        <f>SUMIFS(BS_RE33!$H$7:$H$874,BS_RE33!$S$7:$S$874,$BA$2,BS_RE33!$N$7:$N$874,I31,BS_RE33!$P$7:$P$874,'30 days CF Table(USD)'!G31,BS_RE33!$F$7:$F$874,'30 days CF Table(USD)'!$C$2)</f>
        <v>0</v>
      </c>
      <c r="BB31" s="379">
        <f>SUMIFS(BS_RE33!$H$7:$H$874,BS_RE33!$S$7:$S$874,$BB$2,BS_RE33!$N$7:$N$874,I31,BS_RE33!$P$7:$P$874,'30 days CF Table(USD)'!G31,BS_RE33!$F$7:$F$874,'30 days CF Table(USD)'!$C$2)</f>
        <v>0</v>
      </c>
      <c r="BC31" s="379">
        <f>SUMIFS(BS_RE33!$H$7:$H$874,BS_RE33!$S$7:$S$874,$BC$2,BS_RE33!$N$7:$N$874,I31,BS_RE33!$P$7:$P$874,'30 days CF Table(USD)'!G31,BS_RE33!$F$7:$F$874,'30 days CF Table(USD)'!$C$2)</f>
        <v>0</v>
      </c>
      <c r="BD31" s="379">
        <f>SUMIFS(BS_RE33!$H$7:$H$874,BS_RE33!$S$7:$S$874,$BD$2,BS_RE33!$N$7:$N$874,I31,BS_RE33!$P$7:$P$874,'30 days CF Table(USD)'!G31,BS_RE33!$F$7:$F$874,'30 days CF Table(USD)'!$C$2)</f>
        <v>0</v>
      </c>
      <c r="BE31" s="379">
        <f>SUMIFS(BS_RE33!$H$7:$H$874,BS_RE33!$S$7:$S$874,$BE$2,BS_RE33!$N$7:$N$874,I31,BS_RE33!$P$7:$P$874,'30 days CF Table(USD)'!G31,BS_RE33!$F$7:$F$874,'30 days CF Table(USD)'!$C$2)</f>
        <v>0</v>
      </c>
      <c r="BF31" s="379">
        <f>SUMIFS(BS_RE33!$H$7:$H$874,BS_RE33!$S$7:$S$874,$BF$2,BS_RE33!$N$7:$N$874,I31,BS_RE33!$P$7:$P$874,'30 days CF Table(USD)'!G31,BS_RE33!$F$7:$F$874,'30 days CF Table(USD)'!$C$2)</f>
        <v>0</v>
      </c>
      <c r="BG31" s="379">
        <f>SUMIFS(BS_RE33!$H$7:$H$874,BS_RE33!$S$7:$S$874,$BG$2,BS_RE33!$N$7:$N$874,I31,BS_RE33!$P$7:$P$874,'30 days CF Table(USD)'!G31,BS_RE33!$F$7:$F$874,'30 days CF Table(USD)'!$C$2)</f>
        <v>0</v>
      </c>
      <c r="BH31" s="379">
        <f>SUMIFS(BS_RE33!$H$7:$H$874,BS_RE33!$S$7:$S$874,$BH$2,BS_RE33!$N$7:$N$874,I31,BS_RE33!$P$7:$P$874,'30 days CF Table(USD)'!G31,BS_RE33!$F$7:$F$874,'30 days CF Table(USD)'!$C$2)</f>
        <v>0</v>
      </c>
      <c r="BI31" s="379">
        <f>SUMIFS(BS_RE33!$H$7:$H$874,BS_RE33!$S$7:$S$874,$BI$2,BS_RE33!$N$7:$N$874,I31,BS_RE33!$P$7:$P$874,'30 days CF Table(USD)'!G31,BS_RE33!$F$7:$F$874,'30 days CF Table(USD)'!$C$2)</f>
        <v>0</v>
      </c>
      <c r="BJ31" s="379">
        <f>SUMIFS(BS_RE33!$H$7:$H$874,BS_RE33!$S$7:$S$874,$BJ$2,BS_RE33!$N$7:$N$874,I31,BS_RE33!$P$7:$P$874,'30 days CF Table(USD)'!G31,BS_RE33!$F$7:$F$874,'30 days CF Table(USD)'!$C$2)</f>
        <v>0</v>
      </c>
      <c r="BK31" s="379">
        <f>SUMIFS(BS_RE33!$H$7:$H$874,BS_RE33!$S$7:$S$874,$BK$2,BS_RE33!$N$7:$N$874,I31,BS_RE33!$P$7:$P$874,'30 days CF Table(USD)'!G31,BS_RE33!$F$7:$F$874,'30 days CF Table(USD)'!$C$2)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Table(USD)'!G32,BS_RE33!$F$7:$F$874,'30 days CF Table(USD)'!$C$2)</f>
        <v>0</v>
      </c>
      <c r="M32" s="337">
        <f>SUMIFS(BS_RE33!$H$7:$H$874,BS_RE33!$S$7:$S$874,$M$2,BS_RE33!$N$7:$N$874,I32,BS_RE33!$P$7:$P$874,'30 days CF Table(USD)'!G32,BS_RE33!$F$7:$F$874,'30 days CF Table(USD)'!$C$2)</f>
        <v>0</v>
      </c>
      <c r="N32" s="337">
        <f>SUMIFS(BS_RE33!$H$7:$H$874,BS_RE33!$S$7:$S$874,$N$2,BS_RE33!$N$7:$N$874,I32,BS_RE33!$P$7:$P$874,'30 days CF Table(USD)'!G32,BS_RE33!$F$7:$F$874,'30 days CF Table(USD)'!$C$2)</f>
        <v>0</v>
      </c>
      <c r="O32" s="337">
        <f>SUMIFS(BS_RE33!$H$7:$H$874,BS_RE33!$S$7:$S$874,$O$2,BS_RE33!$N$7:$N$874,I32,BS_RE33!$P$7:$P$874,'30 days CF Table(USD)'!G32,BS_RE33!$F$7:$F$874,'30 days CF Table(USD)'!$C$2)</f>
        <v>0</v>
      </c>
      <c r="P32" s="337">
        <f>SUMIFS(BS_RE33!$H$7:$H$874,BS_RE33!$S$7:$S$874,$P$2,BS_RE33!$N$7:$N$874,I32,BS_RE33!$P$7:$P$874,'30 days CF Table(USD)'!G32,BS_RE33!$F$7:$F$874,'30 days CF Table(USD)'!$C$2)</f>
        <v>0</v>
      </c>
      <c r="Q32" s="337">
        <f>SUMIFS(BS_RE33!$H$7:$H$874,BS_RE33!$S$7:$S$874,$Q$2,BS_RE33!$N$7:$N$874,I32,BS_RE33!$P$7:$P$874,'30 days CF Table(USD)'!G32,BS_RE33!$F$7:$F$874,'30 days CF Table(USD)'!$C$2)</f>
        <v>0</v>
      </c>
      <c r="R32" s="337">
        <f>SUMIFS(BS_RE33!$H$7:$H$874,BS_RE33!$S$7:$S$874,$R$2,BS_RE33!$N$7:$N$874,I32,BS_RE33!$P$7:$P$874,'30 days CF Table(USD)'!G32,BS_RE33!$F$7:$F$874,'30 days CF Table(USD)'!$C$2)</f>
        <v>0</v>
      </c>
      <c r="S32" s="337">
        <f>SUMIFS(BS_RE33!$H$7:$H$874,BS_RE33!$S$7:$S$874,$S$2,BS_RE33!$N$7:$N$874,I32,BS_RE33!$P$7:$P$874,'30 days CF Table(USD)'!G32,BS_RE33!$F$7:$F$874,'30 days CF Table(USD)'!$C$2)</f>
        <v>0</v>
      </c>
      <c r="T32" s="337">
        <f>SUMIFS(BS_RE33!$H$7:$H$874,BS_RE33!$S$7:$S$874,$T$2,BS_RE33!$N$7:$N$874,I32,BS_RE33!$P$7:$P$874,'30 days CF Table(USD)'!G32,BS_RE33!$F$7:$F$874,'30 days CF Table(USD)'!$C$2)</f>
        <v>0</v>
      </c>
      <c r="U32" s="337">
        <f>SUMIFS(BS_RE33!$H$7:$H$874,BS_RE33!$S$7:$S$874,$U$2,BS_RE33!$N$7:$N$874,I32,BS_RE33!$P$7:$P$874,'30 days CF Table(USD)'!G32,BS_RE33!$F$7:$F$874,'30 days CF Table(USD)'!$C$2)</f>
        <v>0</v>
      </c>
      <c r="V32" s="337">
        <f>SUMIFS(BS_RE33!$H$7:$H$874,BS_RE33!$S$7:$S$874,$V$2,BS_RE33!$N$7:$N$874,I32,BS_RE33!$P$7:$P$874,'30 days CF Table(USD)'!G32,BS_RE33!$F$7:$F$874,'30 days CF Table(USD)'!$C$2)</f>
        <v>0</v>
      </c>
      <c r="W32" s="337">
        <f>SUMIFS(BS_RE33!$H$7:$H$874,BS_RE33!$S$7:$S$874,$W$2,BS_RE33!$N$7:$N$874,I32,BS_RE33!$P$7:$P$874,'30 days CF Table(USD)'!G32,BS_RE33!$F$7:$F$874,'30 days CF Table(USD)'!$C$2)</f>
        <v>0</v>
      </c>
      <c r="X32" s="337">
        <f>SUMIFS(BS_RE33!$H$7:$H$874,BS_RE33!$S$7:$S$874,$X$2,BS_RE33!$N$7:$N$874,I32,BS_RE33!$P$7:$P$874,'30 days CF Table(USD)'!G32,BS_RE33!$F$7:$F$874,'30 days CF Table(USD)'!$C$2)</f>
        <v>0</v>
      </c>
      <c r="Y32" s="337">
        <f>SUMIFS(BS_RE33!$H$7:$H$874,BS_RE33!$S$7:$S$874,$Y$2,BS_RE33!$N$7:$N$874,I32,BS_RE33!$P$7:$P$874,'30 days CF Table(USD)'!G32,BS_RE33!$F$7:$F$874,'30 days CF Table(USD)'!$C$2)</f>
        <v>0</v>
      </c>
      <c r="Z32" s="337">
        <f>SUMIFS(BS_RE33!$H$7:$H$874,BS_RE33!$S$7:$S$874,$Z$2,BS_RE33!$N$7:$N$874,I32,BS_RE33!$P$7:$P$874,'30 days CF Table(USD)'!G32,BS_RE33!$F$7:$F$874,'30 days CF Table(USD)'!$C$2)</f>
        <v>0</v>
      </c>
      <c r="AA32" s="337">
        <f>SUMIFS(BS_RE33!$H$7:$H$874,BS_RE33!$S$7:$S$874,$AA$2,BS_RE33!$N$7:$N$874,I32,BS_RE33!$P$7:$P$874,'30 days CF Table(USD)'!G32,BS_RE33!$F$7:$F$874,'30 days CF Table(USD)'!$C$2)</f>
        <v>0</v>
      </c>
      <c r="AB32" s="337">
        <f>SUMIFS(BS_RE33!$H$7:$H$874,BS_RE33!$S$7:$S$874,$AB$2,BS_RE33!$N$7:$N$874,I32,BS_RE33!$P$7:$P$874,'30 days CF Table(USD)'!G32,BS_RE33!$F$7:$F$874,'30 days CF Table(USD)'!$C$2)</f>
        <v>0</v>
      </c>
      <c r="AC32" s="337">
        <f>SUMIFS(BS_RE33!$H$7:$H$874,BS_RE33!$S$7:$S$874,$AC$2,BS_RE33!$N$7:$N$874,I32,BS_RE33!$P$7:$P$874,'30 days CF Table(USD)'!G32,BS_RE33!$F$7:$F$874,'30 days CF Table(USD)'!$C$2)</f>
        <v>0</v>
      </c>
      <c r="AD32" s="337">
        <f>SUMIFS(BS_RE33!$H$7:$H$874,BS_RE33!$S$7:$S$874,$AD$2,BS_RE33!$N$7:$N$874,I32,BS_RE33!$P$7:$P$874,'30 days CF Table(USD)'!G32,BS_RE33!$F$7:$F$874,'30 days CF Table(USD)'!$C$2)</f>
        <v>0</v>
      </c>
      <c r="AE32" s="337">
        <f>SUMIFS(BS_RE33!$H$7:$H$874,BS_RE33!$S$7:$S$874,$AE$2,BS_RE33!$N$7:$N$874,I32,BS_RE33!$P$7:$P$874,'30 days CF Table(USD)'!G32,BS_RE33!$F$7:$F$874,'30 days CF Table(USD)'!$C$2)</f>
        <v>0</v>
      </c>
      <c r="AF32" s="337">
        <f>SUMIFS(BS_RE33!$H$7:$H$874,BS_RE33!$S$7:$S$874,$AF$2,BS_RE33!$N$7:$N$874,I32,BS_RE33!$P$7:$P$874,'30 days CF Table(USD)'!G32,BS_RE33!$F$7:$F$874,'30 days CF Table(USD)'!$C$2)</f>
        <v>0</v>
      </c>
      <c r="AG32" s="337">
        <f>SUMIFS(BS_RE33!$H$7:$H$874,BS_RE33!$S$7:$S$874,$AG$2,BS_RE33!$N$7:$N$874,I32,BS_RE33!$P$7:$P$874,'30 days CF Table(USD)'!G32,BS_RE33!$F$7:$F$874,'30 days CF Table(USD)'!$C$2)</f>
        <v>0</v>
      </c>
      <c r="AH32" s="337">
        <f>SUMIFS(BS_RE33!$H$7:$H$874,BS_RE33!$S$7:$S$874,$AH$2,BS_RE33!$N$7:$N$874,I32,BS_RE33!$P$7:$P$874,'30 days CF Table(USD)'!G32,BS_RE33!$F$7:$F$874,'30 days CF Table(USD)'!$C$2)</f>
        <v>0</v>
      </c>
      <c r="AI32" s="337">
        <f>SUMIFS(BS_RE33!$H$7:$H$874,BS_RE33!$S$7:$S$874,$AI$2,BS_RE33!$N$7:$N$874,I32,BS_RE33!$P$7:$P$874,'30 days CF Table(USD)'!G32,BS_RE33!$F$7:$F$874,'30 days CF Table(USD)'!$C$2)</f>
        <v>0</v>
      </c>
      <c r="AJ32" s="337">
        <f>SUMIFS(BS_RE33!$H$7:$H$874,BS_RE33!$S$7:$S$874,$AJ$2,BS_RE33!$N$7:$N$874,I32,BS_RE33!$P$7:$P$874,'30 days CF Table(USD)'!G32,BS_RE33!$F$7:$F$874,'30 days CF Table(USD)'!$C$2)</f>
        <v>0</v>
      </c>
      <c r="AK32" s="337">
        <f>SUMIFS(BS_RE33!$H$7:$H$874,BS_RE33!$S$7:$S$874,$AK$2,BS_RE33!$N$7:$N$874,I32,BS_RE33!$P$7:$P$874,'30 days CF Table(USD)'!G32,BS_RE33!$F$7:$F$874,'30 days CF Table(USD)'!$C$2)</f>
        <v>0</v>
      </c>
      <c r="AL32" s="337">
        <f>SUMIFS(BS_RE33!$H$7:$H$874,BS_RE33!$S$7:$S$874,$AL$2,BS_RE33!$N$7:$N$874,I32,BS_RE33!$P$7:$P$874,'30 days CF Table(USD)'!G32,BS_RE33!$F$7:$F$874,'30 days CF Table(USD)'!$C$2)</f>
        <v>0</v>
      </c>
      <c r="AM32" s="337">
        <f>SUMIFS(BS_RE33!$H$7:$H$874,BS_RE33!$S$7:$S$874,$AM$2,BS_RE33!$N$7:$N$874,I32,BS_RE33!$P$7:$P$874,'30 days CF Table(USD)'!G32,BS_RE33!$F$7:$F$874,'30 days CF Table(USD)'!$C$2)</f>
        <v>0</v>
      </c>
      <c r="AN32" s="337">
        <f>SUMIFS(BS_RE33!$H$7:$H$874,BS_RE33!$S$7:$S$874,$AN$2,BS_RE33!$N$7:$N$874,I32,BS_RE33!$P$7:$P$874,'30 days CF Table(USD)'!G32,BS_RE33!$F$7:$F$874,'30 days CF Table(USD)'!$C$2)</f>
        <v>0</v>
      </c>
      <c r="AO32" s="337">
        <f>SUMIFS(BS_RE33!$H$7:$H$874,BS_RE33!$S$7:$S$874,$AO$2,BS_RE33!$N$7:$N$874,I32,BS_RE33!$P$7:$P$874,'30 days CF Table(USD)'!G32,BS_RE33!$F$7:$F$874,'30 days CF Table(USD)'!$C$2)</f>
        <v>0</v>
      </c>
      <c r="AP32" s="338">
        <f>SUMIFS(BS_RE33!$H$7:$H$874,BS_RE33!$S$7:$S$874,$AP$2,BS_RE33!$N$7:$N$874,I32,BS_RE33!$P$7:$P$874,'30 days CF Table(USD)'!G32,BS_RE33!$F$7:$F$874,'30 days CF Table(USD)'!$C$2)</f>
        <v>0</v>
      </c>
      <c r="AR32" s="379">
        <f>SUMIFS(BS_RE33!$H$7:$H$874,BS_RE33!$S$7:$S$874,$AR$2,BS_RE33!$N$7:$N$874,I32,BS_RE33!$P$7:$P$874,'30 days CF Table(USD)'!G32,BS_RE33!$F$7:$F$874,'30 days CF Table(USD)'!$C$2)</f>
        <v>0</v>
      </c>
      <c r="AS32" s="379">
        <f>SUMIFS(BS_RE33!$H$7:$H$874,BS_RE33!$S$7:$S$874,$AS$2,BS_RE33!$N$7:$N$874,I32,BS_RE33!$P$7:$P$874,'30 days CF Table(USD)'!G32,BS_RE33!$F$7:$F$874,'30 days CF Table(USD)'!$C$2)</f>
        <v>0</v>
      </c>
      <c r="AT32" s="379">
        <f>SUMIFS(BS_RE33!$H$7:$H$874,BS_RE33!$S$7:$S$874,$AT$2,BS_RE33!$N$7:$N$874,I32,BS_RE33!$P$7:$P$874,'30 days CF Table(USD)'!G32,BS_RE33!$F$7:$F$874,'30 days CF Table(USD)'!$C$2)</f>
        <v>0</v>
      </c>
      <c r="AU32" s="379">
        <f>SUMIFS(BS_RE33!$H$7:$H$874,BS_RE33!$S$7:$S$874,$AU$2,BS_RE33!$N$7:$N$874,I32,BS_RE33!$P$7:$P$874,'30 days CF Table(USD)'!G32,BS_RE33!$F$7:$F$874,'30 days CF Table(USD)'!$C$2)</f>
        <v>0</v>
      </c>
      <c r="AV32" s="379">
        <f>SUMIFS(BS_RE33!$H$7:$H$874,BS_RE33!$S$7:$S$874,$AV$2,BS_RE33!$N$7:$N$874,I32,BS_RE33!$P$7:$P$874,'30 days CF Table(USD)'!G32,BS_RE33!$F$7:$F$874,'30 days CF Table(USD)'!$C$2)</f>
        <v>0</v>
      </c>
      <c r="AW32" s="379">
        <f>SUMIFS(BS_RE33!$H$7:$H$874,BS_RE33!$S$7:$S$874,$AW$2,BS_RE33!$N$7:$N$874,I32,BS_RE33!$P$7:$P$874,'30 days CF Table(USD)'!G32,BS_RE33!$F$7:$F$874,'30 days CF Table(USD)'!$C$2)</f>
        <v>0</v>
      </c>
      <c r="AX32" s="379">
        <f>SUMIFS(BS_RE33!$H$7:$H$874,BS_RE33!$S$7:$S$874,$AX$2,BS_RE33!$N$7:$N$874,I32,BS_RE33!$P$7:$P$874,'30 days CF Table(USD)'!G32,BS_RE33!$F$7:$F$874,'30 days CF Table(USD)'!$C$2)</f>
        <v>0</v>
      </c>
      <c r="AY32" s="379">
        <f>SUMIFS(BS_RE33!$H$7:$H$874,BS_RE33!$S$7:$S$874,$AY$2,BS_RE33!$N$7:$N$874,I32,BS_RE33!$P$7:$P$874,'30 days CF Table(USD)'!G32,BS_RE33!$F$7:$F$874,'30 days CF Table(USD)'!$C$2)</f>
        <v>0</v>
      </c>
      <c r="AZ32" s="379">
        <f>SUMIFS(BS_RE33!$H$7:$H$874,BS_RE33!$S$7:$S$874,$AZ$2,BS_RE33!$N$7:$N$874,I32,BS_RE33!$P$7:$P$874,'30 days CF Table(USD)'!G32,BS_RE33!$F$7:$F$874,'30 days CF Table(USD)'!$C$2)</f>
        <v>0</v>
      </c>
      <c r="BA32" s="379">
        <f>SUMIFS(BS_RE33!$H$7:$H$874,BS_RE33!$S$7:$S$874,$BA$2,BS_RE33!$N$7:$N$874,I32,BS_RE33!$P$7:$P$874,'30 days CF Table(USD)'!G32,BS_RE33!$F$7:$F$874,'30 days CF Table(USD)'!$C$2)</f>
        <v>0</v>
      </c>
      <c r="BB32" s="379">
        <f>SUMIFS(BS_RE33!$H$7:$H$874,BS_RE33!$S$7:$S$874,$BB$2,BS_RE33!$N$7:$N$874,I32,BS_RE33!$P$7:$P$874,'30 days CF Table(USD)'!G32,BS_RE33!$F$7:$F$874,'30 days CF Table(USD)'!$C$2)</f>
        <v>0</v>
      </c>
      <c r="BC32" s="379">
        <f>SUMIFS(BS_RE33!$H$7:$H$874,BS_RE33!$S$7:$S$874,$BC$2,BS_RE33!$N$7:$N$874,I32,BS_RE33!$P$7:$P$874,'30 days CF Table(USD)'!G32,BS_RE33!$F$7:$F$874,'30 days CF Table(USD)'!$C$2)</f>
        <v>0</v>
      </c>
      <c r="BD32" s="379">
        <f>SUMIFS(BS_RE33!$H$7:$H$874,BS_RE33!$S$7:$S$874,$BD$2,BS_RE33!$N$7:$N$874,I32,BS_RE33!$P$7:$P$874,'30 days CF Table(USD)'!G32,BS_RE33!$F$7:$F$874,'30 days CF Table(USD)'!$C$2)</f>
        <v>0</v>
      </c>
      <c r="BE32" s="379">
        <f>SUMIFS(BS_RE33!$H$7:$H$874,BS_RE33!$S$7:$S$874,$BE$2,BS_RE33!$N$7:$N$874,I32,BS_RE33!$P$7:$P$874,'30 days CF Table(USD)'!G32,BS_RE33!$F$7:$F$874,'30 days CF Table(USD)'!$C$2)</f>
        <v>0</v>
      </c>
      <c r="BF32" s="379">
        <f>SUMIFS(BS_RE33!$H$7:$H$874,BS_RE33!$S$7:$S$874,$BF$2,BS_RE33!$N$7:$N$874,I32,BS_RE33!$P$7:$P$874,'30 days CF Table(USD)'!G32,BS_RE33!$F$7:$F$874,'30 days CF Table(USD)'!$C$2)</f>
        <v>0</v>
      </c>
      <c r="BG32" s="379">
        <f>SUMIFS(BS_RE33!$H$7:$H$874,BS_RE33!$S$7:$S$874,$BG$2,BS_RE33!$N$7:$N$874,I32,BS_RE33!$P$7:$P$874,'30 days CF Table(USD)'!G32,BS_RE33!$F$7:$F$874,'30 days CF Table(USD)'!$C$2)</f>
        <v>0</v>
      </c>
      <c r="BH32" s="379">
        <f>SUMIFS(BS_RE33!$H$7:$H$874,BS_RE33!$S$7:$S$874,$BH$2,BS_RE33!$N$7:$N$874,I32,BS_RE33!$P$7:$P$874,'30 days CF Table(USD)'!G32,BS_RE33!$F$7:$F$874,'30 days CF Table(USD)'!$C$2)</f>
        <v>0</v>
      </c>
      <c r="BI32" s="379">
        <f>SUMIFS(BS_RE33!$H$7:$H$874,BS_RE33!$S$7:$S$874,$BI$2,BS_RE33!$N$7:$N$874,I32,BS_RE33!$P$7:$P$874,'30 days CF Table(USD)'!G32,BS_RE33!$F$7:$F$874,'30 days CF Table(USD)'!$C$2)</f>
        <v>0</v>
      </c>
      <c r="BJ32" s="379">
        <f>SUMIFS(BS_RE33!$H$7:$H$874,BS_RE33!$S$7:$S$874,$BJ$2,BS_RE33!$N$7:$N$874,I32,BS_RE33!$P$7:$P$874,'30 days CF Table(USD)'!G32,BS_RE33!$F$7:$F$874,'30 days CF Table(USD)'!$C$2)</f>
        <v>0</v>
      </c>
      <c r="BK32" s="379">
        <f>SUMIFS(BS_RE33!$H$7:$H$874,BS_RE33!$S$7:$S$874,$BK$2,BS_RE33!$N$7:$N$874,I32,BS_RE33!$P$7:$P$874,'30 days CF Table(USD)'!G32,BS_RE33!$F$7:$F$874,'30 days CF Table(USD)'!$C$2)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Table(USD)'!G33,BS_RE33!$F$7:$F$874,'30 days CF Table(USD)'!$C$2)</f>
        <v>0</v>
      </c>
      <c r="M33" s="337">
        <f>SUMIFS(BS_RE33!$H$7:$H$874,BS_RE33!$S$7:$S$874,$M$2,BS_RE33!$N$7:$N$874,I33,BS_RE33!$P$7:$P$874,'30 days CF Table(USD)'!G33,BS_RE33!$F$7:$F$874,'30 days CF Table(USD)'!$C$2)</f>
        <v>0</v>
      </c>
      <c r="N33" s="337">
        <f>SUMIFS(BS_RE33!$H$7:$H$874,BS_RE33!$S$7:$S$874,$N$2,BS_RE33!$N$7:$N$874,I33,BS_RE33!$P$7:$P$874,'30 days CF Table(USD)'!G33,BS_RE33!$F$7:$F$874,'30 days CF Table(USD)'!$C$2)</f>
        <v>0</v>
      </c>
      <c r="O33" s="337">
        <f>SUMIFS(BS_RE33!$H$7:$H$874,BS_RE33!$S$7:$S$874,$O$2,BS_RE33!$N$7:$N$874,I33,BS_RE33!$P$7:$P$874,'30 days CF Table(USD)'!G33,BS_RE33!$F$7:$F$874,'30 days CF Table(USD)'!$C$2)</f>
        <v>0</v>
      </c>
      <c r="P33" s="337">
        <f>SUMIFS(BS_RE33!$H$7:$H$874,BS_RE33!$S$7:$S$874,$P$2,BS_RE33!$N$7:$N$874,I33,BS_RE33!$P$7:$P$874,'30 days CF Table(USD)'!G33,BS_RE33!$F$7:$F$874,'30 days CF Table(USD)'!$C$2)</f>
        <v>0</v>
      </c>
      <c r="Q33" s="337">
        <f>SUMIFS(BS_RE33!$H$7:$H$874,BS_RE33!$S$7:$S$874,$Q$2,BS_RE33!$N$7:$N$874,I33,BS_RE33!$P$7:$P$874,'30 days CF Table(USD)'!G33,BS_RE33!$F$7:$F$874,'30 days CF Table(USD)'!$C$2)</f>
        <v>0</v>
      </c>
      <c r="R33" s="337">
        <f>SUMIFS(BS_RE33!$H$7:$H$874,BS_RE33!$S$7:$S$874,$R$2,BS_RE33!$N$7:$N$874,I33,BS_RE33!$P$7:$P$874,'30 days CF Table(USD)'!G33,BS_RE33!$F$7:$F$874,'30 days CF Table(USD)'!$C$2)</f>
        <v>0</v>
      </c>
      <c r="S33" s="337">
        <f>SUMIFS(BS_RE33!$H$7:$H$874,BS_RE33!$S$7:$S$874,$S$2,BS_RE33!$N$7:$N$874,I33,BS_RE33!$P$7:$P$874,'30 days CF Table(USD)'!G33,BS_RE33!$F$7:$F$874,'30 days CF Table(USD)'!$C$2)</f>
        <v>0</v>
      </c>
      <c r="T33" s="337">
        <f>SUMIFS(BS_RE33!$H$7:$H$874,BS_RE33!$S$7:$S$874,$T$2,BS_RE33!$N$7:$N$874,I33,BS_RE33!$P$7:$P$874,'30 days CF Table(USD)'!G33,BS_RE33!$F$7:$F$874,'30 days CF Table(USD)'!$C$2)</f>
        <v>0</v>
      </c>
      <c r="U33" s="337">
        <f>SUMIFS(BS_RE33!$H$7:$H$874,BS_RE33!$S$7:$S$874,$U$2,BS_RE33!$N$7:$N$874,I33,BS_RE33!$P$7:$P$874,'30 days CF Table(USD)'!G33,BS_RE33!$F$7:$F$874,'30 days CF Table(USD)'!$C$2)</f>
        <v>0</v>
      </c>
      <c r="V33" s="337">
        <f>SUMIFS(BS_RE33!$H$7:$H$874,BS_RE33!$S$7:$S$874,$V$2,BS_RE33!$N$7:$N$874,I33,BS_RE33!$P$7:$P$874,'30 days CF Table(USD)'!G33,BS_RE33!$F$7:$F$874,'30 days CF Table(USD)'!$C$2)</f>
        <v>0</v>
      </c>
      <c r="W33" s="337">
        <f>SUMIFS(BS_RE33!$H$7:$H$874,BS_RE33!$S$7:$S$874,$W$2,BS_RE33!$N$7:$N$874,I33,BS_RE33!$P$7:$P$874,'30 days CF Table(USD)'!G33,BS_RE33!$F$7:$F$874,'30 days CF Table(USD)'!$C$2)</f>
        <v>0</v>
      </c>
      <c r="X33" s="337">
        <f>SUMIFS(BS_RE33!$H$7:$H$874,BS_RE33!$S$7:$S$874,$X$2,BS_RE33!$N$7:$N$874,I33,BS_RE33!$P$7:$P$874,'30 days CF Table(USD)'!G33,BS_RE33!$F$7:$F$874,'30 days CF Table(USD)'!$C$2)</f>
        <v>0</v>
      </c>
      <c r="Y33" s="337">
        <f>SUMIFS(BS_RE33!$H$7:$H$874,BS_RE33!$S$7:$S$874,$Y$2,BS_RE33!$N$7:$N$874,I33,BS_RE33!$P$7:$P$874,'30 days CF Table(USD)'!G33,BS_RE33!$F$7:$F$874,'30 days CF Table(USD)'!$C$2)</f>
        <v>0</v>
      </c>
      <c r="Z33" s="337">
        <f>SUMIFS(BS_RE33!$H$7:$H$874,BS_RE33!$S$7:$S$874,$Z$2,BS_RE33!$N$7:$N$874,I33,BS_RE33!$P$7:$P$874,'30 days CF Table(USD)'!G33,BS_RE33!$F$7:$F$874,'30 days CF Table(USD)'!$C$2)</f>
        <v>0</v>
      </c>
      <c r="AA33" s="337">
        <f>SUMIFS(BS_RE33!$H$7:$H$874,BS_RE33!$S$7:$S$874,$AA$2,BS_RE33!$N$7:$N$874,I33,BS_RE33!$P$7:$P$874,'30 days CF Table(USD)'!G33,BS_RE33!$F$7:$F$874,'30 days CF Table(USD)'!$C$2)</f>
        <v>0</v>
      </c>
      <c r="AB33" s="337">
        <f>SUMIFS(BS_RE33!$H$7:$H$874,BS_RE33!$S$7:$S$874,$AB$2,BS_RE33!$N$7:$N$874,I33,BS_RE33!$P$7:$P$874,'30 days CF Table(USD)'!G33,BS_RE33!$F$7:$F$874,'30 days CF Table(USD)'!$C$2)</f>
        <v>0</v>
      </c>
      <c r="AC33" s="337">
        <f>SUMIFS(BS_RE33!$H$7:$H$874,BS_RE33!$S$7:$S$874,$AC$2,BS_RE33!$N$7:$N$874,I33,BS_RE33!$P$7:$P$874,'30 days CF Table(USD)'!G33,BS_RE33!$F$7:$F$874,'30 days CF Table(USD)'!$C$2)</f>
        <v>0</v>
      </c>
      <c r="AD33" s="337">
        <f>SUMIFS(BS_RE33!$H$7:$H$874,BS_RE33!$S$7:$S$874,$AD$2,BS_RE33!$N$7:$N$874,I33,BS_RE33!$P$7:$P$874,'30 days CF Table(USD)'!G33,BS_RE33!$F$7:$F$874,'30 days CF Table(USD)'!$C$2)</f>
        <v>0</v>
      </c>
      <c r="AE33" s="337">
        <f>SUMIFS(BS_RE33!$H$7:$H$874,BS_RE33!$S$7:$S$874,$AE$2,BS_RE33!$N$7:$N$874,I33,BS_RE33!$P$7:$P$874,'30 days CF Table(USD)'!G33,BS_RE33!$F$7:$F$874,'30 days CF Table(USD)'!$C$2)</f>
        <v>0</v>
      </c>
      <c r="AF33" s="337">
        <f>SUMIFS(BS_RE33!$H$7:$H$874,BS_RE33!$S$7:$S$874,$AF$2,BS_RE33!$N$7:$N$874,I33,BS_RE33!$P$7:$P$874,'30 days CF Table(USD)'!G33,BS_RE33!$F$7:$F$874,'30 days CF Table(USD)'!$C$2)</f>
        <v>0</v>
      </c>
      <c r="AG33" s="337">
        <f>SUMIFS(BS_RE33!$H$7:$H$874,BS_RE33!$S$7:$S$874,$AG$2,BS_RE33!$N$7:$N$874,I33,BS_RE33!$P$7:$P$874,'30 days CF Table(USD)'!G33,BS_RE33!$F$7:$F$874,'30 days CF Table(USD)'!$C$2)</f>
        <v>0</v>
      </c>
      <c r="AH33" s="337">
        <f>SUMIFS(BS_RE33!$H$7:$H$874,BS_RE33!$S$7:$S$874,$AH$2,BS_RE33!$N$7:$N$874,I33,BS_RE33!$P$7:$P$874,'30 days CF Table(USD)'!G33,BS_RE33!$F$7:$F$874,'30 days CF Table(USD)'!$C$2)</f>
        <v>0</v>
      </c>
      <c r="AI33" s="337">
        <f>SUMIFS(BS_RE33!$H$7:$H$874,BS_RE33!$S$7:$S$874,$AI$2,BS_RE33!$N$7:$N$874,I33,BS_RE33!$P$7:$P$874,'30 days CF Table(USD)'!G33,BS_RE33!$F$7:$F$874,'30 days CF Table(USD)'!$C$2)</f>
        <v>0</v>
      </c>
      <c r="AJ33" s="337">
        <f>SUMIFS(BS_RE33!$H$7:$H$874,BS_RE33!$S$7:$S$874,$AJ$2,BS_RE33!$N$7:$N$874,I33,BS_RE33!$P$7:$P$874,'30 days CF Table(USD)'!G33,BS_RE33!$F$7:$F$874,'30 days CF Table(USD)'!$C$2)</f>
        <v>0</v>
      </c>
      <c r="AK33" s="337">
        <f>SUMIFS(BS_RE33!$H$7:$H$874,BS_RE33!$S$7:$S$874,$AK$2,BS_RE33!$N$7:$N$874,I33,BS_RE33!$P$7:$P$874,'30 days CF Table(USD)'!G33,BS_RE33!$F$7:$F$874,'30 days CF Table(USD)'!$C$2)</f>
        <v>0</v>
      </c>
      <c r="AL33" s="337">
        <f>SUMIFS(BS_RE33!$H$7:$H$874,BS_RE33!$S$7:$S$874,$AL$2,BS_RE33!$N$7:$N$874,I33,BS_RE33!$P$7:$P$874,'30 days CF Table(USD)'!G33,BS_RE33!$F$7:$F$874,'30 days CF Table(USD)'!$C$2)</f>
        <v>0</v>
      </c>
      <c r="AM33" s="337">
        <f>SUMIFS(BS_RE33!$H$7:$H$874,BS_RE33!$S$7:$S$874,$AM$2,BS_RE33!$N$7:$N$874,I33,BS_RE33!$P$7:$P$874,'30 days CF Table(USD)'!G33,BS_RE33!$F$7:$F$874,'30 days CF Table(USD)'!$C$2)</f>
        <v>0</v>
      </c>
      <c r="AN33" s="337">
        <f>SUMIFS(BS_RE33!$H$7:$H$874,BS_RE33!$S$7:$S$874,$AN$2,BS_RE33!$N$7:$N$874,I33,BS_RE33!$P$7:$P$874,'30 days CF Table(USD)'!G33,BS_RE33!$F$7:$F$874,'30 days CF Table(USD)'!$C$2)</f>
        <v>0</v>
      </c>
      <c r="AO33" s="337">
        <f>SUMIFS(BS_RE33!$H$7:$H$874,BS_RE33!$S$7:$S$874,$AO$2,BS_RE33!$N$7:$N$874,I33,BS_RE33!$P$7:$P$874,'30 days CF Table(USD)'!G33,BS_RE33!$F$7:$F$874,'30 days CF Table(USD)'!$C$2)</f>
        <v>0</v>
      </c>
      <c r="AP33" s="338">
        <f>SUMIFS(BS_RE33!$H$7:$H$874,BS_RE33!$S$7:$S$874,$AP$2,BS_RE33!$N$7:$N$874,I33,BS_RE33!$P$7:$P$874,'30 days CF Table(USD)'!G33,BS_RE33!$F$7:$F$874,'30 days CF Table(USD)'!$C$2)</f>
        <v>0</v>
      </c>
      <c r="AR33" s="379">
        <f>SUMIFS(BS_RE33!$H$7:$H$874,BS_RE33!$S$7:$S$874,$AR$2,BS_RE33!$N$7:$N$874,I33,BS_RE33!$P$7:$P$874,'30 days CF Table(USD)'!G33,BS_RE33!$F$7:$F$874,'30 days CF Table(USD)'!$C$2)</f>
        <v>0</v>
      </c>
      <c r="AS33" s="379">
        <f>SUMIFS(BS_RE33!$H$7:$H$874,BS_RE33!$S$7:$S$874,$AS$2,BS_RE33!$N$7:$N$874,I33,BS_RE33!$P$7:$P$874,'30 days CF Table(USD)'!G33,BS_RE33!$F$7:$F$874,'30 days CF Table(USD)'!$C$2)</f>
        <v>0</v>
      </c>
      <c r="AT33" s="379">
        <f>SUMIFS(BS_RE33!$H$7:$H$874,BS_RE33!$S$7:$S$874,$AT$2,BS_RE33!$N$7:$N$874,I33,BS_RE33!$P$7:$P$874,'30 days CF Table(USD)'!G33,BS_RE33!$F$7:$F$874,'30 days CF Table(USD)'!$C$2)</f>
        <v>0</v>
      </c>
      <c r="AU33" s="379">
        <f>SUMIFS(BS_RE33!$H$7:$H$874,BS_RE33!$S$7:$S$874,$AU$2,BS_RE33!$N$7:$N$874,I33,BS_RE33!$P$7:$P$874,'30 days CF Table(USD)'!G33,BS_RE33!$F$7:$F$874,'30 days CF Table(USD)'!$C$2)</f>
        <v>0</v>
      </c>
      <c r="AV33" s="379">
        <f>SUMIFS(BS_RE33!$H$7:$H$874,BS_RE33!$S$7:$S$874,$AV$2,BS_RE33!$N$7:$N$874,I33,BS_RE33!$P$7:$P$874,'30 days CF Table(USD)'!G33,BS_RE33!$F$7:$F$874,'30 days CF Table(USD)'!$C$2)</f>
        <v>0</v>
      </c>
      <c r="AW33" s="379">
        <f>SUMIFS(BS_RE33!$H$7:$H$874,BS_RE33!$S$7:$S$874,$AW$2,BS_RE33!$N$7:$N$874,I33,BS_RE33!$P$7:$P$874,'30 days CF Table(USD)'!G33,BS_RE33!$F$7:$F$874,'30 days CF Table(USD)'!$C$2)</f>
        <v>0</v>
      </c>
      <c r="AX33" s="379">
        <f>SUMIFS(BS_RE33!$H$7:$H$874,BS_RE33!$S$7:$S$874,$AX$2,BS_RE33!$N$7:$N$874,I33,BS_RE33!$P$7:$P$874,'30 days CF Table(USD)'!G33,BS_RE33!$F$7:$F$874,'30 days CF Table(USD)'!$C$2)</f>
        <v>0</v>
      </c>
      <c r="AY33" s="379">
        <f>SUMIFS(BS_RE33!$H$7:$H$874,BS_RE33!$S$7:$S$874,$AY$2,BS_RE33!$N$7:$N$874,I33,BS_RE33!$P$7:$P$874,'30 days CF Table(USD)'!G33,BS_RE33!$F$7:$F$874,'30 days CF Table(USD)'!$C$2)</f>
        <v>0</v>
      </c>
      <c r="AZ33" s="379">
        <f>SUMIFS(BS_RE33!$H$7:$H$874,BS_RE33!$S$7:$S$874,$AZ$2,BS_RE33!$N$7:$N$874,I33,BS_RE33!$P$7:$P$874,'30 days CF Table(USD)'!G33,BS_RE33!$F$7:$F$874,'30 days CF Table(USD)'!$C$2)</f>
        <v>0</v>
      </c>
      <c r="BA33" s="379">
        <f>SUMIFS(BS_RE33!$H$7:$H$874,BS_RE33!$S$7:$S$874,$BA$2,BS_RE33!$N$7:$N$874,I33,BS_RE33!$P$7:$P$874,'30 days CF Table(USD)'!G33,BS_RE33!$F$7:$F$874,'30 days CF Table(USD)'!$C$2)</f>
        <v>0</v>
      </c>
      <c r="BB33" s="379">
        <f>SUMIFS(BS_RE33!$H$7:$H$874,BS_RE33!$S$7:$S$874,$BB$2,BS_RE33!$N$7:$N$874,I33,BS_RE33!$P$7:$P$874,'30 days CF Table(USD)'!G33,BS_RE33!$F$7:$F$874,'30 days CF Table(USD)'!$C$2)</f>
        <v>0</v>
      </c>
      <c r="BC33" s="379">
        <f>SUMIFS(BS_RE33!$H$7:$H$874,BS_RE33!$S$7:$S$874,$BC$2,BS_RE33!$N$7:$N$874,I33,BS_RE33!$P$7:$P$874,'30 days CF Table(USD)'!G33,BS_RE33!$F$7:$F$874,'30 days CF Table(USD)'!$C$2)</f>
        <v>0</v>
      </c>
      <c r="BD33" s="379">
        <f>SUMIFS(BS_RE33!$H$7:$H$874,BS_RE33!$S$7:$S$874,$BD$2,BS_RE33!$N$7:$N$874,I33,BS_RE33!$P$7:$P$874,'30 days CF Table(USD)'!G33,BS_RE33!$F$7:$F$874,'30 days CF Table(USD)'!$C$2)</f>
        <v>0</v>
      </c>
      <c r="BE33" s="379">
        <f>SUMIFS(BS_RE33!$H$7:$H$874,BS_RE33!$S$7:$S$874,$BE$2,BS_RE33!$N$7:$N$874,I33,BS_RE33!$P$7:$P$874,'30 days CF Table(USD)'!G33,BS_RE33!$F$7:$F$874,'30 days CF Table(USD)'!$C$2)</f>
        <v>0</v>
      </c>
      <c r="BF33" s="379">
        <f>SUMIFS(BS_RE33!$H$7:$H$874,BS_RE33!$S$7:$S$874,$BF$2,BS_RE33!$N$7:$N$874,I33,BS_RE33!$P$7:$P$874,'30 days CF Table(USD)'!G33,BS_RE33!$F$7:$F$874,'30 days CF Table(USD)'!$C$2)</f>
        <v>0</v>
      </c>
      <c r="BG33" s="379">
        <f>SUMIFS(BS_RE33!$H$7:$H$874,BS_RE33!$S$7:$S$874,$BG$2,BS_RE33!$N$7:$N$874,I33,BS_RE33!$P$7:$P$874,'30 days CF Table(USD)'!G33,BS_RE33!$F$7:$F$874,'30 days CF Table(USD)'!$C$2)</f>
        <v>0</v>
      </c>
      <c r="BH33" s="379">
        <f>SUMIFS(BS_RE33!$H$7:$H$874,BS_RE33!$S$7:$S$874,$BH$2,BS_RE33!$N$7:$N$874,I33,BS_RE33!$P$7:$P$874,'30 days CF Table(USD)'!G33,BS_RE33!$F$7:$F$874,'30 days CF Table(USD)'!$C$2)</f>
        <v>0</v>
      </c>
      <c r="BI33" s="379">
        <f>SUMIFS(BS_RE33!$H$7:$H$874,BS_RE33!$S$7:$S$874,$BI$2,BS_RE33!$N$7:$N$874,I33,BS_RE33!$P$7:$P$874,'30 days CF Table(USD)'!G33,BS_RE33!$F$7:$F$874,'30 days CF Table(USD)'!$C$2)</f>
        <v>0</v>
      </c>
      <c r="BJ33" s="379">
        <f>SUMIFS(BS_RE33!$H$7:$H$874,BS_RE33!$S$7:$S$874,$BJ$2,BS_RE33!$N$7:$N$874,I33,BS_RE33!$P$7:$P$874,'30 days CF Table(USD)'!G33,BS_RE33!$F$7:$F$874,'30 days CF Table(USD)'!$C$2)</f>
        <v>0</v>
      </c>
      <c r="BK33" s="379">
        <f>SUMIFS(BS_RE33!$H$7:$H$874,BS_RE33!$S$7:$S$874,$BK$2,BS_RE33!$N$7:$N$874,I33,BS_RE33!$P$7:$P$874,'30 days CF Table(USD)'!G33,BS_RE33!$F$7:$F$874,'30 days CF Table(USD)'!$C$2)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Table(USD)'!G34,BS_RE33!$F$7:$F$874,'30 days CF Table(USD)'!$C$2)</f>
        <v>0</v>
      </c>
      <c r="M34" s="337">
        <f>SUMIFS(BS_RE33!$H$7:$H$874,BS_RE33!$S$7:$S$874,$M$2,BS_RE33!$N$7:$N$874,I34,BS_RE33!$P$7:$P$874,'30 days CF Table(USD)'!G34,BS_RE33!$F$7:$F$874,'30 days CF Table(USD)'!$C$2)</f>
        <v>0</v>
      </c>
      <c r="N34" s="337">
        <f>SUMIFS(BS_RE33!$H$7:$H$874,BS_RE33!$S$7:$S$874,$N$2,BS_RE33!$N$7:$N$874,I34,BS_RE33!$P$7:$P$874,'30 days CF Table(USD)'!G34,BS_RE33!$F$7:$F$874,'30 days CF Table(USD)'!$C$2)</f>
        <v>0</v>
      </c>
      <c r="O34" s="337">
        <f>SUMIFS(BS_RE33!$H$7:$H$874,BS_RE33!$S$7:$S$874,$O$2,BS_RE33!$N$7:$N$874,I34,BS_RE33!$P$7:$P$874,'30 days CF Table(USD)'!G34,BS_RE33!$F$7:$F$874,'30 days CF Table(USD)'!$C$2)</f>
        <v>0</v>
      </c>
      <c r="P34" s="337">
        <f>SUMIFS(BS_RE33!$H$7:$H$874,BS_RE33!$S$7:$S$874,$P$2,BS_RE33!$N$7:$N$874,I34,BS_RE33!$P$7:$P$874,'30 days CF Table(USD)'!G34,BS_RE33!$F$7:$F$874,'30 days CF Table(USD)'!$C$2)</f>
        <v>0</v>
      </c>
      <c r="Q34" s="337">
        <f>SUMIFS(BS_RE33!$H$7:$H$874,BS_RE33!$S$7:$S$874,$Q$2,BS_RE33!$N$7:$N$874,I34,BS_RE33!$P$7:$P$874,'30 days CF Table(USD)'!G34,BS_RE33!$F$7:$F$874,'30 days CF Table(USD)'!$C$2)</f>
        <v>0</v>
      </c>
      <c r="R34" s="337">
        <f>SUMIFS(BS_RE33!$H$7:$H$874,BS_RE33!$S$7:$S$874,$R$2,BS_RE33!$N$7:$N$874,I34,BS_RE33!$P$7:$P$874,'30 days CF Table(USD)'!G34,BS_RE33!$F$7:$F$874,'30 days CF Table(USD)'!$C$2)</f>
        <v>0</v>
      </c>
      <c r="S34" s="337">
        <f>SUMIFS(BS_RE33!$H$7:$H$874,BS_RE33!$S$7:$S$874,$S$2,BS_RE33!$N$7:$N$874,I34,BS_RE33!$P$7:$P$874,'30 days CF Table(USD)'!G34,BS_RE33!$F$7:$F$874,'30 days CF Table(USD)'!$C$2)</f>
        <v>0</v>
      </c>
      <c r="T34" s="337">
        <f>SUMIFS(BS_RE33!$H$7:$H$874,BS_RE33!$S$7:$S$874,$T$2,BS_RE33!$N$7:$N$874,I34,BS_RE33!$P$7:$P$874,'30 days CF Table(USD)'!G34,BS_RE33!$F$7:$F$874,'30 days CF Table(USD)'!$C$2)</f>
        <v>0</v>
      </c>
      <c r="U34" s="337">
        <f>SUMIFS(BS_RE33!$H$7:$H$874,BS_RE33!$S$7:$S$874,$U$2,BS_RE33!$N$7:$N$874,I34,BS_RE33!$P$7:$P$874,'30 days CF Table(USD)'!G34,BS_RE33!$F$7:$F$874,'30 days CF Table(USD)'!$C$2)</f>
        <v>0</v>
      </c>
      <c r="V34" s="337">
        <f>SUMIFS(BS_RE33!$H$7:$H$874,BS_RE33!$S$7:$S$874,$V$2,BS_RE33!$N$7:$N$874,I34,BS_RE33!$P$7:$P$874,'30 days CF Table(USD)'!G34,BS_RE33!$F$7:$F$874,'30 days CF Table(USD)'!$C$2)</f>
        <v>0</v>
      </c>
      <c r="W34" s="337">
        <f>SUMIFS(BS_RE33!$H$7:$H$874,BS_RE33!$S$7:$S$874,$W$2,BS_RE33!$N$7:$N$874,I34,BS_RE33!$P$7:$P$874,'30 days CF Table(USD)'!G34,BS_RE33!$F$7:$F$874,'30 days CF Table(USD)'!$C$2)</f>
        <v>0</v>
      </c>
      <c r="X34" s="337">
        <f>SUMIFS(BS_RE33!$H$7:$H$874,BS_RE33!$S$7:$S$874,$X$2,BS_RE33!$N$7:$N$874,I34,BS_RE33!$P$7:$P$874,'30 days CF Table(USD)'!G34,BS_RE33!$F$7:$F$874,'30 days CF Table(USD)'!$C$2)</f>
        <v>0</v>
      </c>
      <c r="Y34" s="337">
        <f>SUMIFS(BS_RE33!$H$7:$H$874,BS_RE33!$S$7:$S$874,$Y$2,BS_RE33!$N$7:$N$874,I34,BS_RE33!$P$7:$P$874,'30 days CF Table(USD)'!G34,BS_RE33!$F$7:$F$874,'30 days CF Table(USD)'!$C$2)</f>
        <v>0</v>
      </c>
      <c r="Z34" s="337">
        <f>SUMIFS(BS_RE33!$H$7:$H$874,BS_RE33!$S$7:$S$874,$Z$2,BS_RE33!$N$7:$N$874,I34,BS_RE33!$P$7:$P$874,'30 days CF Table(USD)'!G34,BS_RE33!$F$7:$F$874,'30 days CF Table(USD)'!$C$2)</f>
        <v>0</v>
      </c>
      <c r="AA34" s="337">
        <f>SUMIFS(BS_RE33!$H$7:$H$874,BS_RE33!$S$7:$S$874,$AA$2,BS_RE33!$N$7:$N$874,I34,BS_RE33!$P$7:$P$874,'30 days CF Table(USD)'!G34,BS_RE33!$F$7:$F$874,'30 days CF Table(USD)'!$C$2)</f>
        <v>0</v>
      </c>
      <c r="AB34" s="337">
        <f>SUMIFS(BS_RE33!$H$7:$H$874,BS_RE33!$S$7:$S$874,$AB$2,BS_RE33!$N$7:$N$874,I34,BS_RE33!$P$7:$P$874,'30 days CF Table(USD)'!G34,BS_RE33!$F$7:$F$874,'30 days CF Table(USD)'!$C$2)</f>
        <v>0</v>
      </c>
      <c r="AC34" s="337">
        <f>SUMIFS(BS_RE33!$H$7:$H$874,BS_RE33!$S$7:$S$874,$AC$2,BS_RE33!$N$7:$N$874,I34,BS_RE33!$P$7:$P$874,'30 days CF Table(USD)'!G34,BS_RE33!$F$7:$F$874,'30 days CF Table(USD)'!$C$2)</f>
        <v>0</v>
      </c>
      <c r="AD34" s="337">
        <f>SUMIFS(BS_RE33!$H$7:$H$874,BS_RE33!$S$7:$S$874,$AD$2,BS_RE33!$N$7:$N$874,I34,BS_RE33!$P$7:$P$874,'30 days CF Table(USD)'!G34,BS_RE33!$F$7:$F$874,'30 days CF Table(USD)'!$C$2)</f>
        <v>0</v>
      </c>
      <c r="AE34" s="337">
        <f>SUMIFS(BS_RE33!$H$7:$H$874,BS_RE33!$S$7:$S$874,$AE$2,BS_RE33!$N$7:$N$874,I34,BS_RE33!$P$7:$P$874,'30 days CF Table(USD)'!G34,BS_RE33!$F$7:$F$874,'30 days CF Table(USD)'!$C$2)</f>
        <v>0</v>
      </c>
      <c r="AF34" s="337">
        <f>SUMIFS(BS_RE33!$H$7:$H$874,BS_RE33!$S$7:$S$874,$AF$2,BS_RE33!$N$7:$N$874,I34,BS_RE33!$P$7:$P$874,'30 days CF Table(USD)'!G34,BS_RE33!$F$7:$F$874,'30 days CF Table(USD)'!$C$2)</f>
        <v>0</v>
      </c>
      <c r="AG34" s="337">
        <f>SUMIFS(BS_RE33!$H$7:$H$874,BS_RE33!$S$7:$S$874,$AG$2,BS_RE33!$N$7:$N$874,I34,BS_RE33!$P$7:$P$874,'30 days CF Table(USD)'!G34,BS_RE33!$F$7:$F$874,'30 days CF Table(USD)'!$C$2)</f>
        <v>0</v>
      </c>
      <c r="AH34" s="337">
        <f>SUMIFS(BS_RE33!$H$7:$H$874,BS_RE33!$S$7:$S$874,$AH$2,BS_RE33!$N$7:$N$874,I34,BS_RE33!$P$7:$P$874,'30 days CF Table(USD)'!G34,BS_RE33!$F$7:$F$874,'30 days CF Table(USD)'!$C$2)</f>
        <v>0</v>
      </c>
      <c r="AI34" s="337">
        <f>SUMIFS(BS_RE33!$H$7:$H$874,BS_RE33!$S$7:$S$874,$AI$2,BS_RE33!$N$7:$N$874,I34,BS_RE33!$P$7:$P$874,'30 days CF Table(USD)'!G34,BS_RE33!$F$7:$F$874,'30 days CF Table(USD)'!$C$2)</f>
        <v>0</v>
      </c>
      <c r="AJ34" s="337">
        <f>SUMIFS(BS_RE33!$H$7:$H$874,BS_RE33!$S$7:$S$874,$AJ$2,BS_RE33!$N$7:$N$874,I34,BS_RE33!$P$7:$P$874,'30 days CF Table(USD)'!G34,BS_RE33!$F$7:$F$874,'30 days CF Table(USD)'!$C$2)</f>
        <v>0</v>
      </c>
      <c r="AK34" s="337">
        <f>SUMIFS(BS_RE33!$H$7:$H$874,BS_RE33!$S$7:$S$874,$AK$2,BS_RE33!$N$7:$N$874,I34,BS_RE33!$P$7:$P$874,'30 days CF Table(USD)'!G34,BS_RE33!$F$7:$F$874,'30 days CF Table(USD)'!$C$2)</f>
        <v>0</v>
      </c>
      <c r="AL34" s="337">
        <f>SUMIFS(BS_RE33!$H$7:$H$874,BS_RE33!$S$7:$S$874,$AL$2,BS_RE33!$N$7:$N$874,I34,BS_RE33!$P$7:$P$874,'30 days CF Table(USD)'!G34,BS_RE33!$F$7:$F$874,'30 days CF Table(USD)'!$C$2)</f>
        <v>0</v>
      </c>
      <c r="AM34" s="337">
        <f>SUMIFS(BS_RE33!$H$7:$H$874,BS_RE33!$S$7:$S$874,$AM$2,BS_RE33!$N$7:$N$874,I34,BS_RE33!$P$7:$P$874,'30 days CF Table(USD)'!G34,BS_RE33!$F$7:$F$874,'30 days CF Table(USD)'!$C$2)</f>
        <v>0</v>
      </c>
      <c r="AN34" s="337">
        <f>SUMIFS(BS_RE33!$H$7:$H$874,BS_RE33!$S$7:$S$874,$AN$2,BS_RE33!$N$7:$N$874,I34,BS_RE33!$P$7:$P$874,'30 days CF Table(USD)'!G34,BS_RE33!$F$7:$F$874,'30 days CF Table(USD)'!$C$2)</f>
        <v>0</v>
      </c>
      <c r="AO34" s="337">
        <f>SUMIFS(BS_RE33!$H$7:$H$874,BS_RE33!$S$7:$S$874,$AO$2,BS_RE33!$N$7:$N$874,I34,BS_RE33!$P$7:$P$874,'30 days CF Table(USD)'!G34,BS_RE33!$F$7:$F$874,'30 days CF Table(USD)'!$C$2)</f>
        <v>0</v>
      </c>
      <c r="AP34" s="338">
        <f>SUMIFS(BS_RE33!$H$7:$H$874,BS_RE33!$S$7:$S$874,$AP$2,BS_RE33!$N$7:$N$874,I34,BS_RE33!$P$7:$P$874,'30 days CF Table(USD)'!G34,BS_RE33!$F$7:$F$874,'30 days CF Table(USD)'!$C$2)</f>
        <v>0</v>
      </c>
      <c r="AR34" s="379">
        <f>SUMIFS(BS_RE33!$H$7:$H$874,BS_RE33!$S$7:$S$874,$AR$2,BS_RE33!$N$7:$N$874,I34,BS_RE33!$P$7:$P$874,'30 days CF Table(USD)'!G34,BS_RE33!$F$7:$F$874,'30 days CF Table(USD)'!$C$2)</f>
        <v>0</v>
      </c>
      <c r="AS34" s="379">
        <f>SUMIFS(BS_RE33!$H$7:$H$874,BS_RE33!$S$7:$S$874,$AS$2,BS_RE33!$N$7:$N$874,I34,BS_RE33!$P$7:$P$874,'30 days CF Table(USD)'!G34,BS_RE33!$F$7:$F$874,'30 days CF Table(USD)'!$C$2)</f>
        <v>0</v>
      </c>
      <c r="AT34" s="379">
        <f>SUMIFS(BS_RE33!$H$7:$H$874,BS_RE33!$S$7:$S$874,$AT$2,BS_RE33!$N$7:$N$874,I34,BS_RE33!$P$7:$P$874,'30 days CF Table(USD)'!G34,BS_RE33!$F$7:$F$874,'30 days CF Table(USD)'!$C$2)</f>
        <v>0</v>
      </c>
      <c r="AU34" s="379">
        <f>SUMIFS(BS_RE33!$H$7:$H$874,BS_RE33!$S$7:$S$874,$AU$2,BS_RE33!$N$7:$N$874,I34,BS_RE33!$P$7:$P$874,'30 days CF Table(USD)'!G34,BS_RE33!$F$7:$F$874,'30 days CF Table(USD)'!$C$2)</f>
        <v>0</v>
      </c>
      <c r="AV34" s="379">
        <f>SUMIFS(BS_RE33!$H$7:$H$874,BS_RE33!$S$7:$S$874,$AV$2,BS_RE33!$N$7:$N$874,I34,BS_RE33!$P$7:$P$874,'30 days CF Table(USD)'!G34,BS_RE33!$F$7:$F$874,'30 days CF Table(USD)'!$C$2)</f>
        <v>0</v>
      </c>
      <c r="AW34" s="379">
        <f>SUMIFS(BS_RE33!$H$7:$H$874,BS_RE33!$S$7:$S$874,$AW$2,BS_RE33!$N$7:$N$874,I34,BS_RE33!$P$7:$P$874,'30 days CF Table(USD)'!G34,BS_RE33!$F$7:$F$874,'30 days CF Table(USD)'!$C$2)</f>
        <v>0</v>
      </c>
      <c r="AX34" s="379">
        <f>SUMIFS(BS_RE33!$H$7:$H$874,BS_RE33!$S$7:$S$874,$AX$2,BS_RE33!$N$7:$N$874,I34,BS_RE33!$P$7:$P$874,'30 days CF Table(USD)'!G34,BS_RE33!$F$7:$F$874,'30 days CF Table(USD)'!$C$2)</f>
        <v>0</v>
      </c>
      <c r="AY34" s="379">
        <f>SUMIFS(BS_RE33!$H$7:$H$874,BS_RE33!$S$7:$S$874,$AY$2,BS_RE33!$N$7:$N$874,I34,BS_RE33!$P$7:$P$874,'30 days CF Table(USD)'!G34,BS_RE33!$F$7:$F$874,'30 days CF Table(USD)'!$C$2)</f>
        <v>0</v>
      </c>
      <c r="AZ34" s="379">
        <f>SUMIFS(BS_RE33!$H$7:$H$874,BS_RE33!$S$7:$S$874,$AZ$2,BS_RE33!$N$7:$N$874,I34,BS_RE33!$P$7:$P$874,'30 days CF Table(USD)'!G34,BS_RE33!$F$7:$F$874,'30 days CF Table(USD)'!$C$2)</f>
        <v>0</v>
      </c>
      <c r="BA34" s="379">
        <f>SUMIFS(BS_RE33!$H$7:$H$874,BS_RE33!$S$7:$S$874,$BA$2,BS_RE33!$N$7:$N$874,I34,BS_RE33!$P$7:$P$874,'30 days CF Table(USD)'!G34,BS_RE33!$F$7:$F$874,'30 days CF Table(USD)'!$C$2)</f>
        <v>0</v>
      </c>
      <c r="BB34" s="379">
        <f>SUMIFS(BS_RE33!$H$7:$H$874,BS_RE33!$S$7:$S$874,$BB$2,BS_RE33!$N$7:$N$874,I34,BS_RE33!$P$7:$P$874,'30 days CF Table(USD)'!G34,BS_RE33!$F$7:$F$874,'30 days CF Table(USD)'!$C$2)</f>
        <v>0</v>
      </c>
      <c r="BC34" s="379">
        <f>SUMIFS(BS_RE33!$H$7:$H$874,BS_RE33!$S$7:$S$874,$BC$2,BS_RE33!$N$7:$N$874,I34,BS_RE33!$P$7:$P$874,'30 days CF Table(USD)'!G34,BS_RE33!$F$7:$F$874,'30 days CF Table(USD)'!$C$2)</f>
        <v>0</v>
      </c>
      <c r="BD34" s="379">
        <f>SUMIFS(BS_RE33!$H$7:$H$874,BS_RE33!$S$7:$S$874,$BD$2,BS_RE33!$N$7:$N$874,I34,BS_RE33!$P$7:$P$874,'30 days CF Table(USD)'!G34,BS_RE33!$F$7:$F$874,'30 days CF Table(USD)'!$C$2)</f>
        <v>0</v>
      </c>
      <c r="BE34" s="379">
        <f>SUMIFS(BS_RE33!$H$7:$H$874,BS_RE33!$S$7:$S$874,$BE$2,BS_RE33!$N$7:$N$874,I34,BS_RE33!$P$7:$P$874,'30 days CF Table(USD)'!G34,BS_RE33!$F$7:$F$874,'30 days CF Table(USD)'!$C$2)</f>
        <v>0</v>
      </c>
      <c r="BF34" s="379">
        <f>SUMIFS(BS_RE33!$H$7:$H$874,BS_RE33!$S$7:$S$874,$BF$2,BS_RE33!$N$7:$N$874,I34,BS_RE33!$P$7:$P$874,'30 days CF Table(USD)'!G34,BS_RE33!$F$7:$F$874,'30 days CF Table(USD)'!$C$2)</f>
        <v>0</v>
      </c>
      <c r="BG34" s="379">
        <f>SUMIFS(BS_RE33!$H$7:$H$874,BS_RE33!$S$7:$S$874,$BG$2,BS_RE33!$N$7:$N$874,I34,BS_RE33!$P$7:$P$874,'30 days CF Table(USD)'!G34,BS_RE33!$F$7:$F$874,'30 days CF Table(USD)'!$C$2)</f>
        <v>0</v>
      </c>
      <c r="BH34" s="379">
        <f>SUMIFS(BS_RE33!$H$7:$H$874,BS_RE33!$S$7:$S$874,$BH$2,BS_RE33!$N$7:$N$874,I34,BS_RE33!$P$7:$P$874,'30 days CF Table(USD)'!G34,BS_RE33!$F$7:$F$874,'30 days CF Table(USD)'!$C$2)</f>
        <v>0</v>
      </c>
      <c r="BI34" s="379">
        <f>SUMIFS(BS_RE33!$H$7:$H$874,BS_RE33!$S$7:$S$874,$BI$2,BS_RE33!$N$7:$N$874,I34,BS_RE33!$P$7:$P$874,'30 days CF Table(USD)'!G34,BS_RE33!$F$7:$F$874,'30 days CF Table(USD)'!$C$2)</f>
        <v>0</v>
      </c>
      <c r="BJ34" s="379">
        <f>SUMIFS(BS_RE33!$H$7:$H$874,BS_RE33!$S$7:$S$874,$BJ$2,BS_RE33!$N$7:$N$874,I34,BS_RE33!$P$7:$P$874,'30 days CF Table(USD)'!G34,BS_RE33!$F$7:$F$874,'30 days CF Table(USD)'!$C$2)</f>
        <v>0</v>
      </c>
      <c r="BK34" s="379">
        <f>SUMIFS(BS_RE33!$H$7:$H$874,BS_RE33!$S$7:$S$874,$BK$2,BS_RE33!$N$7:$N$874,I34,BS_RE33!$P$7:$P$874,'30 days CF Table(USD)'!G34,BS_RE33!$F$7:$F$874,'30 days CF Table(USD)'!$C$2)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Table(USD)'!G35,BS_RE33!$F$7:$F$874,'30 days CF Table(USD)'!$C$2)</f>
        <v>0</v>
      </c>
      <c r="M35" s="337">
        <f>SUMIFS(BS_RE33!$H$7:$H$874,BS_RE33!$S$7:$S$874,$M$2,BS_RE33!$N$7:$N$874,I35,BS_RE33!$P$7:$P$874,'30 days CF Table(USD)'!G35,BS_RE33!$F$7:$F$874,'30 days CF Table(USD)'!$C$2)</f>
        <v>0</v>
      </c>
      <c r="N35" s="337">
        <f>SUMIFS(BS_RE33!$H$7:$H$874,BS_RE33!$S$7:$S$874,$N$2,BS_RE33!$N$7:$N$874,I35,BS_RE33!$P$7:$P$874,'30 days CF Table(USD)'!G35,BS_RE33!$F$7:$F$874,'30 days CF Table(USD)'!$C$2)</f>
        <v>0</v>
      </c>
      <c r="O35" s="337">
        <f>SUMIFS(BS_RE33!$H$7:$H$874,BS_RE33!$S$7:$S$874,$O$2,BS_RE33!$N$7:$N$874,I35,BS_RE33!$P$7:$P$874,'30 days CF Table(USD)'!G35,BS_RE33!$F$7:$F$874,'30 days CF Table(USD)'!$C$2)</f>
        <v>0</v>
      </c>
      <c r="P35" s="337">
        <f>SUMIFS(BS_RE33!$H$7:$H$874,BS_RE33!$S$7:$S$874,$P$2,BS_RE33!$N$7:$N$874,I35,BS_RE33!$P$7:$P$874,'30 days CF Table(USD)'!G35,BS_RE33!$F$7:$F$874,'30 days CF Table(USD)'!$C$2)</f>
        <v>0</v>
      </c>
      <c r="Q35" s="337">
        <f>SUMIFS(BS_RE33!$H$7:$H$874,BS_RE33!$S$7:$S$874,$Q$2,BS_RE33!$N$7:$N$874,I35,BS_RE33!$P$7:$P$874,'30 days CF Table(USD)'!G35,BS_RE33!$F$7:$F$874,'30 days CF Table(USD)'!$C$2)</f>
        <v>0</v>
      </c>
      <c r="R35" s="337">
        <f>SUMIFS(BS_RE33!$H$7:$H$874,BS_RE33!$S$7:$S$874,$R$2,BS_RE33!$N$7:$N$874,I35,BS_RE33!$P$7:$P$874,'30 days CF Table(USD)'!G35,BS_RE33!$F$7:$F$874,'30 days CF Table(USD)'!$C$2)</f>
        <v>0</v>
      </c>
      <c r="S35" s="337">
        <f>SUMIFS(BS_RE33!$H$7:$H$874,BS_RE33!$S$7:$S$874,$S$2,BS_RE33!$N$7:$N$874,I35,BS_RE33!$P$7:$P$874,'30 days CF Table(USD)'!G35,BS_RE33!$F$7:$F$874,'30 days CF Table(USD)'!$C$2)</f>
        <v>0</v>
      </c>
      <c r="T35" s="337">
        <f>SUMIFS(BS_RE33!$H$7:$H$874,BS_RE33!$S$7:$S$874,$T$2,BS_RE33!$N$7:$N$874,I35,BS_RE33!$P$7:$P$874,'30 days CF Table(USD)'!G35,BS_RE33!$F$7:$F$874,'30 days CF Table(USD)'!$C$2)</f>
        <v>0</v>
      </c>
      <c r="U35" s="337">
        <f>SUMIFS(BS_RE33!$H$7:$H$874,BS_RE33!$S$7:$S$874,$U$2,BS_RE33!$N$7:$N$874,I35,BS_RE33!$P$7:$P$874,'30 days CF Table(USD)'!G35,BS_RE33!$F$7:$F$874,'30 days CF Table(USD)'!$C$2)</f>
        <v>0</v>
      </c>
      <c r="V35" s="337">
        <f>SUMIFS(BS_RE33!$H$7:$H$874,BS_RE33!$S$7:$S$874,$V$2,BS_RE33!$N$7:$N$874,I35,BS_RE33!$P$7:$P$874,'30 days CF Table(USD)'!G35,BS_RE33!$F$7:$F$874,'30 days CF Table(USD)'!$C$2)</f>
        <v>0</v>
      </c>
      <c r="W35" s="337">
        <f>SUMIFS(BS_RE33!$H$7:$H$874,BS_RE33!$S$7:$S$874,$W$2,BS_RE33!$N$7:$N$874,I35,BS_RE33!$P$7:$P$874,'30 days CF Table(USD)'!G35,BS_RE33!$F$7:$F$874,'30 days CF Table(USD)'!$C$2)</f>
        <v>0</v>
      </c>
      <c r="X35" s="337">
        <f>SUMIFS(BS_RE33!$H$7:$H$874,BS_RE33!$S$7:$S$874,$X$2,BS_RE33!$N$7:$N$874,I35,BS_RE33!$P$7:$P$874,'30 days CF Table(USD)'!G35,BS_RE33!$F$7:$F$874,'30 days CF Table(USD)'!$C$2)</f>
        <v>0</v>
      </c>
      <c r="Y35" s="337">
        <f>SUMIFS(BS_RE33!$H$7:$H$874,BS_RE33!$S$7:$S$874,$Y$2,BS_RE33!$N$7:$N$874,I35,BS_RE33!$P$7:$P$874,'30 days CF Table(USD)'!G35,BS_RE33!$F$7:$F$874,'30 days CF Table(USD)'!$C$2)</f>
        <v>0</v>
      </c>
      <c r="Z35" s="337">
        <f>SUMIFS(BS_RE33!$H$7:$H$874,BS_RE33!$S$7:$S$874,$Z$2,BS_RE33!$N$7:$N$874,I35,BS_RE33!$P$7:$P$874,'30 days CF Table(USD)'!G35,BS_RE33!$F$7:$F$874,'30 days CF Table(USD)'!$C$2)</f>
        <v>0</v>
      </c>
      <c r="AA35" s="337">
        <f>SUMIFS(BS_RE33!$H$7:$H$874,BS_RE33!$S$7:$S$874,$AA$2,BS_RE33!$N$7:$N$874,I35,BS_RE33!$P$7:$P$874,'30 days CF Table(USD)'!G35,BS_RE33!$F$7:$F$874,'30 days CF Table(USD)'!$C$2)</f>
        <v>0</v>
      </c>
      <c r="AB35" s="337">
        <f>SUMIFS(BS_RE33!$H$7:$H$874,BS_RE33!$S$7:$S$874,$AB$2,BS_RE33!$N$7:$N$874,I35,BS_RE33!$P$7:$P$874,'30 days CF Table(USD)'!G35,BS_RE33!$F$7:$F$874,'30 days CF Table(USD)'!$C$2)</f>
        <v>0</v>
      </c>
      <c r="AC35" s="337">
        <f>SUMIFS(BS_RE33!$H$7:$H$874,BS_RE33!$S$7:$S$874,$AC$2,BS_RE33!$N$7:$N$874,I35,BS_RE33!$P$7:$P$874,'30 days CF Table(USD)'!G35,BS_RE33!$F$7:$F$874,'30 days CF Table(USD)'!$C$2)</f>
        <v>0</v>
      </c>
      <c r="AD35" s="337">
        <f>SUMIFS(BS_RE33!$H$7:$H$874,BS_RE33!$S$7:$S$874,$AD$2,BS_RE33!$N$7:$N$874,I35,BS_RE33!$P$7:$P$874,'30 days CF Table(USD)'!G35,BS_RE33!$F$7:$F$874,'30 days CF Table(USD)'!$C$2)</f>
        <v>0</v>
      </c>
      <c r="AE35" s="337">
        <f>SUMIFS(BS_RE33!$H$7:$H$874,BS_RE33!$S$7:$S$874,$AE$2,BS_RE33!$N$7:$N$874,I35,BS_RE33!$P$7:$P$874,'30 days CF Table(USD)'!G35,BS_RE33!$F$7:$F$874,'30 days CF Table(USD)'!$C$2)</f>
        <v>0</v>
      </c>
      <c r="AF35" s="337">
        <f>SUMIFS(BS_RE33!$H$7:$H$874,BS_RE33!$S$7:$S$874,$AF$2,BS_RE33!$N$7:$N$874,I35,BS_RE33!$P$7:$P$874,'30 days CF Table(USD)'!G35,BS_RE33!$F$7:$F$874,'30 days CF Table(USD)'!$C$2)</f>
        <v>0</v>
      </c>
      <c r="AG35" s="337">
        <f>SUMIFS(BS_RE33!$H$7:$H$874,BS_RE33!$S$7:$S$874,$AG$2,BS_RE33!$N$7:$N$874,I35,BS_RE33!$P$7:$P$874,'30 days CF Table(USD)'!G35,BS_RE33!$F$7:$F$874,'30 days CF Table(USD)'!$C$2)</f>
        <v>0</v>
      </c>
      <c r="AH35" s="337">
        <f>SUMIFS(BS_RE33!$H$7:$H$874,BS_RE33!$S$7:$S$874,$AH$2,BS_RE33!$N$7:$N$874,I35,BS_RE33!$P$7:$P$874,'30 days CF Table(USD)'!G35,BS_RE33!$F$7:$F$874,'30 days CF Table(USD)'!$C$2)</f>
        <v>0</v>
      </c>
      <c r="AI35" s="337">
        <f>SUMIFS(BS_RE33!$H$7:$H$874,BS_RE33!$S$7:$S$874,$AI$2,BS_RE33!$N$7:$N$874,I35,BS_RE33!$P$7:$P$874,'30 days CF Table(USD)'!G35,BS_RE33!$F$7:$F$874,'30 days CF Table(USD)'!$C$2)</f>
        <v>0</v>
      </c>
      <c r="AJ35" s="337">
        <f>SUMIFS(BS_RE33!$H$7:$H$874,BS_RE33!$S$7:$S$874,$AJ$2,BS_RE33!$N$7:$N$874,I35,BS_RE33!$P$7:$P$874,'30 days CF Table(USD)'!G35,BS_RE33!$F$7:$F$874,'30 days CF Table(USD)'!$C$2)</f>
        <v>0</v>
      </c>
      <c r="AK35" s="337">
        <f>SUMIFS(BS_RE33!$H$7:$H$874,BS_RE33!$S$7:$S$874,$AK$2,BS_RE33!$N$7:$N$874,I35,BS_RE33!$P$7:$P$874,'30 days CF Table(USD)'!G35,BS_RE33!$F$7:$F$874,'30 days CF Table(USD)'!$C$2)</f>
        <v>0</v>
      </c>
      <c r="AL35" s="337">
        <f>SUMIFS(BS_RE33!$H$7:$H$874,BS_RE33!$S$7:$S$874,$AL$2,BS_RE33!$N$7:$N$874,I35,BS_RE33!$P$7:$P$874,'30 days CF Table(USD)'!G35,BS_RE33!$F$7:$F$874,'30 days CF Table(USD)'!$C$2)</f>
        <v>0</v>
      </c>
      <c r="AM35" s="337">
        <f>SUMIFS(BS_RE33!$H$7:$H$874,BS_RE33!$S$7:$S$874,$AM$2,BS_RE33!$N$7:$N$874,I35,BS_RE33!$P$7:$P$874,'30 days CF Table(USD)'!G35,BS_RE33!$F$7:$F$874,'30 days CF Table(USD)'!$C$2)</f>
        <v>0</v>
      </c>
      <c r="AN35" s="337">
        <f>SUMIFS(BS_RE33!$H$7:$H$874,BS_RE33!$S$7:$S$874,$AN$2,BS_RE33!$N$7:$N$874,I35,BS_RE33!$P$7:$P$874,'30 days CF Table(USD)'!G35,BS_RE33!$F$7:$F$874,'30 days CF Table(USD)'!$C$2)</f>
        <v>0</v>
      </c>
      <c r="AO35" s="337">
        <f>SUMIFS(BS_RE33!$H$7:$H$874,BS_RE33!$S$7:$S$874,$AO$2,BS_RE33!$N$7:$N$874,I35,BS_RE33!$P$7:$P$874,'30 days CF Table(USD)'!G35,BS_RE33!$F$7:$F$874,'30 days CF Table(USD)'!$C$2)</f>
        <v>0</v>
      </c>
      <c r="AP35" s="338">
        <f>SUMIFS(BS_RE33!$H$7:$H$874,BS_RE33!$S$7:$S$874,$AP$2,BS_RE33!$N$7:$N$874,I35,BS_RE33!$P$7:$P$874,'30 days CF Table(USD)'!G35,BS_RE33!$F$7:$F$874,'30 days CF Table(USD)'!$C$2)</f>
        <v>0</v>
      </c>
      <c r="AR35" s="379">
        <f>SUMIFS(BS_RE33!$H$7:$H$874,BS_RE33!$S$7:$S$874,$AR$2,BS_RE33!$N$7:$N$874,I35,BS_RE33!$P$7:$P$874,'30 days CF Table(USD)'!G35,BS_RE33!$F$7:$F$874,'30 days CF Table(USD)'!$C$2)</f>
        <v>0</v>
      </c>
      <c r="AS35" s="379">
        <f>SUMIFS(BS_RE33!$H$7:$H$874,BS_RE33!$S$7:$S$874,$AS$2,BS_RE33!$N$7:$N$874,I35,BS_RE33!$P$7:$P$874,'30 days CF Table(USD)'!G35,BS_RE33!$F$7:$F$874,'30 days CF Table(USD)'!$C$2)</f>
        <v>0</v>
      </c>
      <c r="AT35" s="379">
        <f>SUMIFS(BS_RE33!$H$7:$H$874,BS_RE33!$S$7:$S$874,$AT$2,BS_RE33!$N$7:$N$874,I35,BS_RE33!$P$7:$P$874,'30 days CF Table(USD)'!G35,BS_RE33!$F$7:$F$874,'30 days CF Table(USD)'!$C$2)</f>
        <v>0</v>
      </c>
      <c r="AU35" s="379">
        <f>SUMIFS(BS_RE33!$H$7:$H$874,BS_RE33!$S$7:$S$874,$AU$2,BS_RE33!$N$7:$N$874,I35,BS_RE33!$P$7:$P$874,'30 days CF Table(USD)'!G35,BS_RE33!$F$7:$F$874,'30 days CF Table(USD)'!$C$2)</f>
        <v>0</v>
      </c>
      <c r="AV35" s="379">
        <f>SUMIFS(BS_RE33!$H$7:$H$874,BS_RE33!$S$7:$S$874,$AV$2,BS_RE33!$N$7:$N$874,I35,BS_RE33!$P$7:$P$874,'30 days CF Table(USD)'!G35,BS_RE33!$F$7:$F$874,'30 days CF Table(USD)'!$C$2)</f>
        <v>0</v>
      </c>
      <c r="AW35" s="379">
        <f>SUMIFS(BS_RE33!$H$7:$H$874,BS_RE33!$S$7:$S$874,$AW$2,BS_RE33!$N$7:$N$874,I35,BS_RE33!$P$7:$P$874,'30 days CF Table(USD)'!G35,BS_RE33!$F$7:$F$874,'30 days CF Table(USD)'!$C$2)</f>
        <v>0</v>
      </c>
      <c r="AX35" s="379">
        <f>SUMIFS(BS_RE33!$H$7:$H$874,BS_RE33!$S$7:$S$874,$AX$2,BS_RE33!$N$7:$N$874,I35,BS_RE33!$P$7:$P$874,'30 days CF Table(USD)'!G35,BS_RE33!$F$7:$F$874,'30 days CF Table(USD)'!$C$2)</f>
        <v>0</v>
      </c>
      <c r="AY35" s="379">
        <f>SUMIFS(BS_RE33!$H$7:$H$874,BS_RE33!$S$7:$S$874,$AY$2,BS_RE33!$N$7:$N$874,I35,BS_RE33!$P$7:$P$874,'30 days CF Table(USD)'!G35,BS_RE33!$F$7:$F$874,'30 days CF Table(USD)'!$C$2)</f>
        <v>0</v>
      </c>
      <c r="AZ35" s="379">
        <f>SUMIFS(BS_RE33!$H$7:$H$874,BS_RE33!$S$7:$S$874,$AZ$2,BS_RE33!$N$7:$N$874,I35,BS_RE33!$P$7:$P$874,'30 days CF Table(USD)'!G35,BS_RE33!$F$7:$F$874,'30 days CF Table(USD)'!$C$2)</f>
        <v>0</v>
      </c>
      <c r="BA35" s="379">
        <f>SUMIFS(BS_RE33!$H$7:$H$874,BS_RE33!$S$7:$S$874,$BA$2,BS_RE33!$N$7:$N$874,I35,BS_RE33!$P$7:$P$874,'30 days CF Table(USD)'!G35,BS_RE33!$F$7:$F$874,'30 days CF Table(USD)'!$C$2)</f>
        <v>0</v>
      </c>
      <c r="BB35" s="379">
        <f>SUMIFS(BS_RE33!$H$7:$H$874,BS_RE33!$S$7:$S$874,$BB$2,BS_RE33!$N$7:$N$874,I35,BS_RE33!$P$7:$P$874,'30 days CF Table(USD)'!G35,BS_RE33!$F$7:$F$874,'30 days CF Table(USD)'!$C$2)</f>
        <v>0</v>
      </c>
      <c r="BC35" s="379">
        <f>SUMIFS(BS_RE33!$H$7:$H$874,BS_RE33!$S$7:$S$874,$BC$2,BS_RE33!$N$7:$N$874,I35,BS_RE33!$P$7:$P$874,'30 days CF Table(USD)'!G35,BS_RE33!$F$7:$F$874,'30 days CF Table(USD)'!$C$2)</f>
        <v>0</v>
      </c>
      <c r="BD35" s="379">
        <f>SUMIFS(BS_RE33!$H$7:$H$874,BS_RE33!$S$7:$S$874,$BD$2,BS_RE33!$N$7:$N$874,I35,BS_RE33!$P$7:$P$874,'30 days CF Table(USD)'!G35,BS_RE33!$F$7:$F$874,'30 days CF Table(USD)'!$C$2)</f>
        <v>0</v>
      </c>
      <c r="BE35" s="379">
        <f>SUMIFS(BS_RE33!$H$7:$H$874,BS_RE33!$S$7:$S$874,$BE$2,BS_RE33!$N$7:$N$874,I35,BS_RE33!$P$7:$P$874,'30 days CF Table(USD)'!G35,BS_RE33!$F$7:$F$874,'30 days CF Table(USD)'!$C$2)</f>
        <v>0</v>
      </c>
      <c r="BF35" s="379">
        <f>SUMIFS(BS_RE33!$H$7:$H$874,BS_RE33!$S$7:$S$874,$BF$2,BS_RE33!$N$7:$N$874,I35,BS_RE33!$P$7:$P$874,'30 days CF Table(USD)'!G35,BS_RE33!$F$7:$F$874,'30 days CF Table(USD)'!$C$2)</f>
        <v>0</v>
      </c>
      <c r="BG35" s="379">
        <f>SUMIFS(BS_RE33!$H$7:$H$874,BS_RE33!$S$7:$S$874,$BG$2,BS_RE33!$N$7:$N$874,I35,BS_RE33!$P$7:$P$874,'30 days CF Table(USD)'!G35,BS_RE33!$F$7:$F$874,'30 days CF Table(USD)'!$C$2)</f>
        <v>0</v>
      </c>
      <c r="BH35" s="379">
        <f>SUMIFS(BS_RE33!$H$7:$H$874,BS_RE33!$S$7:$S$874,$BH$2,BS_RE33!$N$7:$N$874,I35,BS_RE33!$P$7:$P$874,'30 days CF Table(USD)'!G35,BS_RE33!$F$7:$F$874,'30 days CF Table(USD)'!$C$2)</f>
        <v>0</v>
      </c>
      <c r="BI35" s="379">
        <f>SUMIFS(BS_RE33!$H$7:$H$874,BS_RE33!$S$7:$S$874,$BI$2,BS_RE33!$N$7:$N$874,I35,BS_RE33!$P$7:$P$874,'30 days CF Table(USD)'!G35,BS_RE33!$F$7:$F$874,'30 days CF Table(USD)'!$C$2)</f>
        <v>0</v>
      </c>
      <c r="BJ35" s="379">
        <f>SUMIFS(BS_RE33!$H$7:$H$874,BS_RE33!$S$7:$S$874,$BJ$2,BS_RE33!$N$7:$N$874,I35,BS_RE33!$P$7:$P$874,'30 days CF Table(USD)'!G35,BS_RE33!$F$7:$F$874,'30 days CF Table(USD)'!$C$2)</f>
        <v>0</v>
      </c>
      <c r="BK35" s="379">
        <f>SUMIFS(BS_RE33!$H$7:$H$874,BS_RE33!$S$7:$S$874,$BK$2,BS_RE33!$N$7:$N$874,I35,BS_RE33!$P$7:$P$874,'30 days CF Table(USD)'!G35,BS_RE33!$F$7:$F$874,'30 days CF Table(USD)'!$C$2)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Table(USD)'!G36,BS_RE33!$F$7:$F$874,'30 days CF Table(USD)'!$C$2)</f>
        <v>0</v>
      </c>
      <c r="M36" s="337">
        <f>SUMIFS(BS_RE33!$H$7:$H$874,BS_RE33!$S$7:$S$874,$M$2,BS_RE33!$N$7:$N$874,I36,BS_RE33!$P$7:$P$874,'30 days CF Table(USD)'!G36,BS_RE33!$F$7:$F$874,'30 days CF Table(USD)'!$C$2)</f>
        <v>0</v>
      </c>
      <c r="N36" s="337">
        <f>SUMIFS(BS_RE33!$H$7:$H$874,BS_RE33!$S$7:$S$874,$N$2,BS_RE33!$N$7:$N$874,I36,BS_RE33!$P$7:$P$874,'30 days CF Table(USD)'!G36,BS_RE33!$F$7:$F$874,'30 days CF Table(USD)'!$C$2)</f>
        <v>0</v>
      </c>
      <c r="O36" s="337">
        <f>SUMIFS(BS_RE33!$H$7:$H$874,BS_RE33!$S$7:$S$874,$O$2,BS_RE33!$N$7:$N$874,I36,BS_RE33!$P$7:$P$874,'30 days CF Table(USD)'!G36,BS_RE33!$F$7:$F$874,'30 days CF Table(USD)'!$C$2)</f>
        <v>0</v>
      </c>
      <c r="P36" s="337">
        <f>SUMIFS(BS_RE33!$H$7:$H$874,BS_RE33!$S$7:$S$874,$P$2,BS_RE33!$N$7:$N$874,I36,BS_RE33!$P$7:$P$874,'30 days CF Table(USD)'!G36,BS_RE33!$F$7:$F$874,'30 days CF Table(USD)'!$C$2)</f>
        <v>0</v>
      </c>
      <c r="Q36" s="337">
        <f>SUMIFS(BS_RE33!$H$7:$H$874,BS_RE33!$S$7:$S$874,$Q$2,BS_RE33!$N$7:$N$874,I36,BS_RE33!$P$7:$P$874,'30 days CF Table(USD)'!G36,BS_RE33!$F$7:$F$874,'30 days CF Table(USD)'!$C$2)</f>
        <v>0</v>
      </c>
      <c r="R36" s="337">
        <f>SUMIFS(BS_RE33!$H$7:$H$874,BS_RE33!$S$7:$S$874,$R$2,BS_RE33!$N$7:$N$874,I36,BS_RE33!$P$7:$P$874,'30 days CF Table(USD)'!G36,BS_RE33!$F$7:$F$874,'30 days CF Table(USD)'!$C$2)</f>
        <v>0</v>
      </c>
      <c r="S36" s="337">
        <f>SUMIFS(BS_RE33!$H$7:$H$874,BS_RE33!$S$7:$S$874,$S$2,BS_RE33!$N$7:$N$874,I36,BS_RE33!$P$7:$P$874,'30 days CF Table(USD)'!G36,BS_RE33!$F$7:$F$874,'30 days CF Table(USD)'!$C$2)</f>
        <v>0</v>
      </c>
      <c r="T36" s="337">
        <f>SUMIFS(BS_RE33!$H$7:$H$874,BS_RE33!$S$7:$S$874,$T$2,BS_RE33!$N$7:$N$874,I36,BS_RE33!$P$7:$P$874,'30 days CF Table(USD)'!G36,BS_RE33!$F$7:$F$874,'30 days CF Table(USD)'!$C$2)</f>
        <v>0</v>
      </c>
      <c r="U36" s="337">
        <f>SUMIFS(BS_RE33!$H$7:$H$874,BS_RE33!$S$7:$S$874,$U$2,BS_RE33!$N$7:$N$874,I36,BS_RE33!$P$7:$P$874,'30 days CF Table(USD)'!G36,BS_RE33!$F$7:$F$874,'30 days CF Table(USD)'!$C$2)</f>
        <v>0</v>
      </c>
      <c r="V36" s="337">
        <f>SUMIFS(BS_RE33!$H$7:$H$874,BS_RE33!$S$7:$S$874,$V$2,BS_RE33!$N$7:$N$874,I36,BS_RE33!$P$7:$P$874,'30 days CF Table(USD)'!G36,BS_RE33!$F$7:$F$874,'30 days CF Table(USD)'!$C$2)</f>
        <v>0</v>
      </c>
      <c r="W36" s="337">
        <f>SUMIFS(BS_RE33!$H$7:$H$874,BS_RE33!$S$7:$S$874,$W$2,BS_RE33!$N$7:$N$874,I36,BS_RE33!$P$7:$P$874,'30 days CF Table(USD)'!G36,BS_RE33!$F$7:$F$874,'30 days CF Table(USD)'!$C$2)</f>
        <v>0</v>
      </c>
      <c r="X36" s="337">
        <f>SUMIFS(BS_RE33!$H$7:$H$874,BS_RE33!$S$7:$S$874,$X$2,BS_RE33!$N$7:$N$874,I36,BS_RE33!$P$7:$P$874,'30 days CF Table(USD)'!G36,BS_RE33!$F$7:$F$874,'30 days CF Table(USD)'!$C$2)</f>
        <v>0</v>
      </c>
      <c r="Y36" s="337">
        <f>SUMIFS(BS_RE33!$H$7:$H$874,BS_RE33!$S$7:$S$874,$Y$2,BS_RE33!$N$7:$N$874,I36,BS_RE33!$P$7:$P$874,'30 days CF Table(USD)'!G36,BS_RE33!$F$7:$F$874,'30 days CF Table(USD)'!$C$2)</f>
        <v>0</v>
      </c>
      <c r="Z36" s="337">
        <f>SUMIFS(BS_RE33!$H$7:$H$874,BS_RE33!$S$7:$S$874,$Z$2,BS_RE33!$N$7:$N$874,I36,BS_RE33!$P$7:$P$874,'30 days CF Table(USD)'!G36,BS_RE33!$F$7:$F$874,'30 days CF Table(USD)'!$C$2)</f>
        <v>0</v>
      </c>
      <c r="AA36" s="337">
        <f>SUMIFS(BS_RE33!$H$7:$H$874,BS_RE33!$S$7:$S$874,$AA$2,BS_RE33!$N$7:$N$874,I36,BS_RE33!$P$7:$P$874,'30 days CF Table(USD)'!G36,BS_RE33!$F$7:$F$874,'30 days CF Table(USD)'!$C$2)</f>
        <v>0</v>
      </c>
      <c r="AB36" s="337">
        <f>SUMIFS(BS_RE33!$H$7:$H$874,BS_RE33!$S$7:$S$874,$AB$2,BS_RE33!$N$7:$N$874,I36,BS_RE33!$P$7:$P$874,'30 days CF Table(USD)'!G36,BS_RE33!$F$7:$F$874,'30 days CF Table(USD)'!$C$2)</f>
        <v>0</v>
      </c>
      <c r="AC36" s="337">
        <f>SUMIFS(BS_RE33!$H$7:$H$874,BS_RE33!$S$7:$S$874,$AC$2,BS_RE33!$N$7:$N$874,I36,BS_RE33!$P$7:$P$874,'30 days CF Table(USD)'!G36,BS_RE33!$F$7:$F$874,'30 days CF Table(USD)'!$C$2)</f>
        <v>0</v>
      </c>
      <c r="AD36" s="337">
        <f>SUMIFS(BS_RE33!$H$7:$H$874,BS_RE33!$S$7:$S$874,$AD$2,BS_RE33!$N$7:$N$874,I36,BS_RE33!$P$7:$P$874,'30 days CF Table(USD)'!G36,BS_RE33!$F$7:$F$874,'30 days CF Table(USD)'!$C$2)</f>
        <v>0</v>
      </c>
      <c r="AE36" s="337">
        <f>SUMIFS(BS_RE33!$H$7:$H$874,BS_RE33!$S$7:$S$874,$AE$2,BS_RE33!$N$7:$N$874,I36,BS_RE33!$P$7:$P$874,'30 days CF Table(USD)'!G36,BS_RE33!$F$7:$F$874,'30 days CF Table(USD)'!$C$2)</f>
        <v>0</v>
      </c>
      <c r="AF36" s="337">
        <f>SUMIFS(BS_RE33!$H$7:$H$874,BS_RE33!$S$7:$S$874,$AF$2,BS_RE33!$N$7:$N$874,I36,BS_RE33!$P$7:$P$874,'30 days CF Table(USD)'!G36,BS_RE33!$F$7:$F$874,'30 days CF Table(USD)'!$C$2)</f>
        <v>0</v>
      </c>
      <c r="AG36" s="337">
        <f>SUMIFS(BS_RE33!$H$7:$H$874,BS_RE33!$S$7:$S$874,$AG$2,BS_RE33!$N$7:$N$874,I36,BS_RE33!$P$7:$P$874,'30 days CF Table(USD)'!G36,BS_RE33!$F$7:$F$874,'30 days CF Table(USD)'!$C$2)</f>
        <v>0</v>
      </c>
      <c r="AH36" s="337">
        <f>SUMIFS(BS_RE33!$H$7:$H$874,BS_RE33!$S$7:$S$874,$AH$2,BS_RE33!$N$7:$N$874,I36,BS_RE33!$P$7:$P$874,'30 days CF Table(USD)'!G36,BS_RE33!$F$7:$F$874,'30 days CF Table(USD)'!$C$2)</f>
        <v>0</v>
      </c>
      <c r="AI36" s="337">
        <f>SUMIFS(BS_RE33!$H$7:$H$874,BS_RE33!$S$7:$S$874,$AI$2,BS_RE33!$N$7:$N$874,I36,BS_RE33!$P$7:$P$874,'30 days CF Table(USD)'!G36,BS_RE33!$F$7:$F$874,'30 days CF Table(USD)'!$C$2)</f>
        <v>0</v>
      </c>
      <c r="AJ36" s="337">
        <f>SUMIFS(BS_RE33!$H$7:$H$874,BS_RE33!$S$7:$S$874,$AJ$2,BS_RE33!$N$7:$N$874,I36,BS_RE33!$P$7:$P$874,'30 days CF Table(USD)'!G36,BS_RE33!$F$7:$F$874,'30 days CF Table(USD)'!$C$2)</f>
        <v>0</v>
      </c>
      <c r="AK36" s="337">
        <f>SUMIFS(BS_RE33!$H$7:$H$874,BS_RE33!$S$7:$S$874,$AK$2,BS_RE33!$N$7:$N$874,I36,BS_RE33!$P$7:$P$874,'30 days CF Table(USD)'!G36,BS_RE33!$F$7:$F$874,'30 days CF Table(USD)'!$C$2)</f>
        <v>0</v>
      </c>
      <c r="AL36" s="337">
        <f>SUMIFS(BS_RE33!$H$7:$H$874,BS_RE33!$S$7:$S$874,$AL$2,BS_RE33!$N$7:$N$874,I36,BS_RE33!$P$7:$P$874,'30 days CF Table(USD)'!G36,BS_RE33!$F$7:$F$874,'30 days CF Table(USD)'!$C$2)</f>
        <v>0</v>
      </c>
      <c r="AM36" s="337">
        <f>SUMIFS(BS_RE33!$H$7:$H$874,BS_RE33!$S$7:$S$874,$AM$2,BS_RE33!$N$7:$N$874,I36,BS_RE33!$P$7:$P$874,'30 days CF Table(USD)'!G36,BS_RE33!$F$7:$F$874,'30 days CF Table(USD)'!$C$2)</f>
        <v>0</v>
      </c>
      <c r="AN36" s="337">
        <f>SUMIFS(BS_RE33!$H$7:$H$874,BS_RE33!$S$7:$S$874,$AN$2,BS_RE33!$N$7:$N$874,I36,BS_RE33!$P$7:$P$874,'30 days CF Table(USD)'!G36,BS_RE33!$F$7:$F$874,'30 days CF Table(USD)'!$C$2)</f>
        <v>0</v>
      </c>
      <c r="AO36" s="337">
        <f>SUMIFS(BS_RE33!$H$7:$H$874,BS_RE33!$S$7:$S$874,$AO$2,BS_RE33!$N$7:$N$874,I36,BS_RE33!$P$7:$P$874,'30 days CF Table(USD)'!G36,BS_RE33!$F$7:$F$874,'30 days CF Table(USD)'!$C$2)</f>
        <v>0</v>
      </c>
      <c r="AP36" s="338">
        <f>SUMIFS(BS_RE33!$H$7:$H$874,BS_RE33!$S$7:$S$874,$AP$2,BS_RE33!$N$7:$N$874,I36,BS_RE33!$P$7:$P$874,'30 days CF Table(USD)'!G36,BS_RE33!$F$7:$F$874,'30 days CF Table(USD)'!$C$2)</f>
        <v>0</v>
      </c>
      <c r="AR36" s="379">
        <f>SUMIFS(BS_RE33!$H$7:$H$874,BS_RE33!$S$7:$S$874,$AR$2,BS_RE33!$N$7:$N$874,I36,BS_RE33!$P$7:$P$874,'30 days CF Table(USD)'!G36,BS_RE33!$F$7:$F$874,'30 days CF Table(USD)'!$C$2)</f>
        <v>0</v>
      </c>
      <c r="AS36" s="379">
        <f>SUMIFS(BS_RE33!$H$7:$H$874,BS_RE33!$S$7:$S$874,$AS$2,BS_RE33!$N$7:$N$874,I36,BS_RE33!$P$7:$P$874,'30 days CF Table(USD)'!G36,BS_RE33!$F$7:$F$874,'30 days CF Table(USD)'!$C$2)</f>
        <v>0</v>
      </c>
      <c r="AT36" s="379">
        <f>SUMIFS(BS_RE33!$H$7:$H$874,BS_RE33!$S$7:$S$874,$AT$2,BS_RE33!$N$7:$N$874,I36,BS_RE33!$P$7:$P$874,'30 days CF Table(USD)'!G36,BS_RE33!$F$7:$F$874,'30 days CF Table(USD)'!$C$2)</f>
        <v>0</v>
      </c>
      <c r="AU36" s="379">
        <f>SUMIFS(BS_RE33!$H$7:$H$874,BS_RE33!$S$7:$S$874,$AU$2,BS_RE33!$N$7:$N$874,I36,BS_RE33!$P$7:$P$874,'30 days CF Table(USD)'!G36,BS_RE33!$F$7:$F$874,'30 days CF Table(USD)'!$C$2)</f>
        <v>0</v>
      </c>
      <c r="AV36" s="379">
        <f>SUMIFS(BS_RE33!$H$7:$H$874,BS_RE33!$S$7:$S$874,$AV$2,BS_RE33!$N$7:$N$874,I36,BS_RE33!$P$7:$P$874,'30 days CF Table(USD)'!G36,BS_RE33!$F$7:$F$874,'30 days CF Table(USD)'!$C$2)</f>
        <v>0</v>
      </c>
      <c r="AW36" s="379">
        <f>SUMIFS(BS_RE33!$H$7:$H$874,BS_RE33!$S$7:$S$874,$AW$2,BS_RE33!$N$7:$N$874,I36,BS_RE33!$P$7:$P$874,'30 days CF Table(USD)'!G36,BS_RE33!$F$7:$F$874,'30 days CF Table(USD)'!$C$2)</f>
        <v>0</v>
      </c>
      <c r="AX36" s="379">
        <f>SUMIFS(BS_RE33!$H$7:$H$874,BS_RE33!$S$7:$S$874,$AX$2,BS_RE33!$N$7:$N$874,I36,BS_RE33!$P$7:$P$874,'30 days CF Table(USD)'!G36,BS_RE33!$F$7:$F$874,'30 days CF Table(USD)'!$C$2)</f>
        <v>0</v>
      </c>
      <c r="AY36" s="379">
        <f>SUMIFS(BS_RE33!$H$7:$H$874,BS_RE33!$S$7:$S$874,$AY$2,BS_RE33!$N$7:$N$874,I36,BS_RE33!$P$7:$P$874,'30 days CF Table(USD)'!G36,BS_RE33!$F$7:$F$874,'30 days CF Table(USD)'!$C$2)</f>
        <v>0</v>
      </c>
      <c r="AZ36" s="379">
        <f>SUMIFS(BS_RE33!$H$7:$H$874,BS_RE33!$S$7:$S$874,$AZ$2,BS_RE33!$N$7:$N$874,I36,BS_RE33!$P$7:$P$874,'30 days CF Table(USD)'!G36,BS_RE33!$F$7:$F$874,'30 days CF Table(USD)'!$C$2)</f>
        <v>0</v>
      </c>
      <c r="BA36" s="379">
        <f>SUMIFS(BS_RE33!$H$7:$H$874,BS_RE33!$S$7:$S$874,$BA$2,BS_RE33!$N$7:$N$874,I36,BS_RE33!$P$7:$P$874,'30 days CF Table(USD)'!G36,BS_RE33!$F$7:$F$874,'30 days CF Table(USD)'!$C$2)</f>
        <v>0</v>
      </c>
      <c r="BB36" s="379">
        <f>SUMIFS(BS_RE33!$H$7:$H$874,BS_RE33!$S$7:$S$874,$BB$2,BS_RE33!$N$7:$N$874,I36,BS_RE33!$P$7:$P$874,'30 days CF Table(USD)'!G36,BS_RE33!$F$7:$F$874,'30 days CF Table(USD)'!$C$2)</f>
        <v>0</v>
      </c>
      <c r="BC36" s="379">
        <f>SUMIFS(BS_RE33!$H$7:$H$874,BS_RE33!$S$7:$S$874,$BC$2,BS_RE33!$N$7:$N$874,I36,BS_RE33!$P$7:$P$874,'30 days CF Table(USD)'!G36,BS_RE33!$F$7:$F$874,'30 days CF Table(USD)'!$C$2)</f>
        <v>0</v>
      </c>
      <c r="BD36" s="379">
        <f>SUMIFS(BS_RE33!$H$7:$H$874,BS_RE33!$S$7:$S$874,$BD$2,BS_RE33!$N$7:$N$874,I36,BS_RE33!$P$7:$P$874,'30 days CF Table(USD)'!G36,BS_RE33!$F$7:$F$874,'30 days CF Table(USD)'!$C$2)</f>
        <v>0</v>
      </c>
      <c r="BE36" s="379">
        <f>SUMIFS(BS_RE33!$H$7:$H$874,BS_RE33!$S$7:$S$874,$BE$2,BS_RE33!$N$7:$N$874,I36,BS_RE33!$P$7:$P$874,'30 days CF Table(USD)'!G36,BS_RE33!$F$7:$F$874,'30 days CF Table(USD)'!$C$2)</f>
        <v>0</v>
      </c>
      <c r="BF36" s="379">
        <f>SUMIFS(BS_RE33!$H$7:$H$874,BS_RE33!$S$7:$S$874,$BF$2,BS_RE33!$N$7:$N$874,I36,BS_RE33!$P$7:$P$874,'30 days CF Table(USD)'!G36,BS_RE33!$F$7:$F$874,'30 days CF Table(USD)'!$C$2)</f>
        <v>0</v>
      </c>
      <c r="BG36" s="379">
        <f>SUMIFS(BS_RE33!$H$7:$H$874,BS_RE33!$S$7:$S$874,$BG$2,BS_RE33!$N$7:$N$874,I36,BS_RE33!$P$7:$P$874,'30 days CF Table(USD)'!G36,BS_RE33!$F$7:$F$874,'30 days CF Table(USD)'!$C$2)</f>
        <v>0</v>
      </c>
      <c r="BH36" s="379">
        <f>SUMIFS(BS_RE33!$H$7:$H$874,BS_RE33!$S$7:$S$874,$BH$2,BS_RE33!$N$7:$N$874,I36,BS_RE33!$P$7:$P$874,'30 days CF Table(USD)'!G36,BS_RE33!$F$7:$F$874,'30 days CF Table(USD)'!$C$2)</f>
        <v>0</v>
      </c>
      <c r="BI36" s="379">
        <f>SUMIFS(BS_RE33!$H$7:$H$874,BS_RE33!$S$7:$S$874,$BI$2,BS_RE33!$N$7:$N$874,I36,BS_RE33!$P$7:$P$874,'30 days CF Table(USD)'!G36,BS_RE33!$F$7:$F$874,'30 days CF Table(USD)'!$C$2)</f>
        <v>0</v>
      </c>
      <c r="BJ36" s="379">
        <f>SUMIFS(BS_RE33!$H$7:$H$874,BS_RE33!$S$7:$S$874,$BJ$2,BS_RE33!$N$7:$N$874,I36,BS_RE33!$P$7:$P$874,'30 days CF Table(USD)'!G36,BS_RE33!$F$7:$F$874,'30 days CF Table(USD)'!$C$2)</f>
        <v>0</v>
      </c>
      <c r="BK36" s="379">
        <f>SUMIFS(BS_RE33!$H$7:$H$874,BS_RE33!$S$7:$S$874,$BK$2,BS_RE33!$N$7:$N$874,I36,BS_RE33!$P$7:$P$874,'30 days CF Table(USD)'!G36,BS_RE33!$F$7:$F$874,'30 days CF Table(USD)'!$C$2)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Table(USD)'!G37,BS_RE33!$F$7:$F$874,'30 days CF Table(USD)'!$C$2)</f>
        <v>0</v>
      </c>
      <c r="M37" s="337">
        <f>SUMIFS(BS_RE33!$H$7:$H$874,BS_RE33!$S$7:$S$874,$M$2,BS_RE33!$N$7:$N$874,I37,BS_RE33!$P$7:$P$874,'30 days CF Table(USD)'!G37,BS_RE33!$F$7:$F$874,'30 days CF Table(USD)'!$C$2)</f>
        <v>0</v>
      </c>
      <c r="N37" s="337">
        <f>SUMIFS(BS_RE33!$H$7:$H$874,BS_RE33!$S$7:$S$874,$N$2,BS_RE33!$N$7:$N$874,I37,BS_RE33!$P$7:$P$874,'30 days CF Table(USD)'!G37,BS_RE33!$F$7:$F$874,'30 days CF Table(USD)'!$C$2)</f>
        <v>0</v>
      </c>
      <c r="O37" s="337">
        <f>SUMIFS(BS_RE33!$H$7:$H$874,BS_RE33!$S$7:$S$874,$O$2,BS_RE33!$N$7:$N$874,I37,BS_RE33!$P$7:$P$874,'30 days CF Table(USD)'!G37,BS_RE33!$F$7:$F$874,'30 days CF Table(USD)'!$C$2)</f>
        <v>0</v>
      </c>
      <c r="P37" s="337">
        <f>SUMIFS(BS_RE33!$H$7:$H$874,BS_RE33!$S$7:$S$874,$P$2,BS_RE33!$N$7:$N$874,I37,BS_RE33!$P$7:$P$874,'30 days CF Table(USD)'!G37,BS_RE33!$F$7:$F$874,'30 days CF Table(USD)'!$C$2)</f>
        <v>0</v>
      </c>
      <c r="Q37" s="337">
        <f>SUMIFS(BS_RE33!$H$7:$H$874,BS_RE33!$S$7:$S$874,$Q$2,BS_RE33!$N$7:$N$874,I37,BS_RE33!$P$7:$P$874,'30 days CF Table(USD)'!G37,BS_RE33!$F$7:$F$874,'30 days CF Table(USD)'!$C$2)</f>
        <v>0</v>
      </c>
      <c r="R37" s="337">
        <f>SUMIFS(BS_RE33!$H$7:$H$874,BS_RE33!$S$7:$S$874,$R$2,BS_RE33!$N$7:$N$874,I37,BS_RE33!$P$7:$P$874,'30 days CF Table(USD)'!G37,BS_RE33!$F$7:$F$874,'30 days CF Table(USD)'!$C$2)</f>
        <v>0</v>
      </c>
      <c r="S37" s="337">
        <f>SUMIFS(BS_RE33!$H$7:$H$874,BS_RE33!$S$7:$S$874,$S$2,BS_RE33!$N$7:$N$874,I37,BS_RE33!$P$7:$P$874,'30 days CF Table(USD)'!G37,BS_RE33!$F$7:$F$874,'30 days CF Table(USD)'!$C$2)</f>
        <v>0</v>
      </c>
      <c r="T37" s="337">
        <f>SUMIFS(BS_RE33!$H$7:$H$874,BS_RE33!$S$7:$S$874,$T$2,BS_RE33!$N$7:$N$874,I37,BS_RE33!$P$7:$P$874,'30 days CF Table(USD)'!G37,BS_RE33!$F$7:$F$874,'30 days CF Table(USD)'!$C$2)</f>
        <v>0</v>
      </c>
      <c r="U37" s="337">
        <f>SUMIFS(BS_RE33!$H$7:$H$874,BS_RE33!$S$7:$S$874,$U$2,BS_RE33!$N$7:$N$874,I37,BS_RE33!$P$7:$P$874,'30 days CF Table(USD)'!G37,BS_RE33!$F$7:$F$874,'30 days CF Table(USD)'!$C$2)</f>
        <v>0</v>
      </c>
      <c r="V37" s="337">
        <f>SUMIFS(BS_RE33!$H$7:$H$874,BS_RE33!$S$7:$S$874,$V$2,BS_RE33!$N$7:$N$874,I37,BS_RE33!$P$7:$P$874,'30 days CF Table(USD)'!G37,BS_RE33!$F$7:$F$874,'30 days CF Table(USD)'!$C$2)</f>
        <v>0</v>
      </c>
      <c r="W37" s="337">
        <f>SUMIFS(BS_RE33!$H$7:$H$874,BS_RE33!$S$7:$S$874,$W$2,BS_RE33!$N$7:$N$874,I37,BS_RE33!$P$7:$P$874,'30 days CF Table(USD)'!G37,BS_RE33!$F$7:$F$874,'30 days CF Table(USD)'!$C$2)</f>
        <v>0</v>
      </c>
      <c r="X37" s="337">
        <f>SUMIFS(BS_RE33!$H$7:$H$874,BS_RE33!$S$7:$S$874,$X$2,BS_RE33!$N$7:$N$874,I37,BS_RE33!$P$7:$P$874,'30 days CF Table(USD)'!G37,BS_RE33!$F$7:$F$874,'30 days CF Table(USD)'!$C$2)</f>
        <v>0</v>
      </c>
      <c r="Y37" s="337">
        <f>SUMIFS(BS_RE33!$H$7:$H$874,BS_RE33!$S$7:$S$874,$Y$2,BS_RE33!$N$7:$N$874,I37,BS_RE33!$P$7:$P$874,'30 days CF Table(USD)'!G37,BS_RE33!$F$7:$F$874,'30 days CF Table(USD)'!$C$2)</f>
        <v>0</v>
      </c>
      <c r="Z37" s="337">
        <f>SUMIFS(BS_RE33!$H$7:$H$874,BS_RE33!$S$7:$S$874,$Z$2,BS_RE33!$N$7:$N$874,I37,BS_RE33!$P$7:$P$874,'30 days CF Table(USD)'!G37,BS_RE33!$F$7:$F$874,'30 days CF Table(USD)'!$C$2)</f>
        <v>0</v>
      </c>
      <c r="AA37" s="337">
        <f>SUMIFS(BS_RE33!$H$7:$H$874,BS_RE33!$S$7:$S$874,$AA$2,BS_RE33!$N$7:$N$874,I37,BS_RE33!$P$7:$P$874,'30 days CF Table(USD)'!G37,BS_RE33!$F$7:$F$874,'30 days CF Table(USD)'!$C$2)</f>
        <v>0</v>
      </c>
      <c r="AB37" s="337">
        <f>SUMIFS(BS_RE33!$H$7:$H$874,BS_RE33!$S$7:$S$874,$AB$2,BS_RE33!$N$7:$N$874,I37,BS_RE33!$P$7:$P$874,'30 days CF Table(USD)'!G37,BS_RE33!$F$7:$F$874,'30 days CF Table(USD)'!$C$2)</f>
        <v>0</v>
      </c>
      <c r="AC37" s="337">
        <f>SUMIFS(BS_RE33!$H$7:$H$874,BS_RE33!$S$7:$S$874,$AC$2,BS_RE33!$N$7:$N$874,I37,BS_RE33!$P$7:$P$874,'30 days CF Table(USD)'!G37,BS_RE33!$F$7:$F$874,'30 days CF Table(USD)'!$C$2)</f>
        <v>0</v>
      </c>
      <c r="AD37" s="337">
        <f>SUMIFS(BS_RE33!$H$7:$H$874,BS_RE33!$S$7:$S$874,$AD$2,BS_RE33!$N$7:$N$874,I37,BS_RE33!$P$7:$P$874,'30 days CF Table(USD)'!G37,BS_RE33!$F$7:$F$874,'30 days CF Table(USD)'!$C$2)</f>
        <v>0</v>
      </c>
      <c r="AE37" s="337">
        <f>SUMIFS(BS_RE33!$H$7:$H$874,BS_RE33!$S$7:$S$874,$AE$2,BS_RE33!$N$7:$N$874,I37,BS_RE33!$P$7:$P$874,'30 days CF Table(USD)'!G37,BS_RE33!$F$7:$F$874,'30 days CF Table(USD)'!$C$2)</f>
        <v>0</v>
      </c>
      <c r="AF37" s="337">
        <f>SUMIFS(BS_RE33!$H$7:$H$874,BS_RE33!$S$7:$S$874,$AF$2,BS_RE33!$N$7:$N$874,I37,BS_RE33!$P$7:$P$874,'30 days CF Table(USD)'!G37,BS_RE33!$F$7:$F$874,'30 days CF Table(USD)'!$C$2)</f>
        <v>0</v>
      </c>
      <c r="AG37" s="337">
        <f>SUMIFS(BS_RE33!$H$7:$H$874,BS_RE33!$S$7:$S$874,$AG$2,BS_RE33!$N$7:$N$874,I37,BS_RE33!$P$7:$P$874,'30 days CF Table(USD)'!G37,BS_RE33!$F$7:$F$874,'30 days CF Table(USD)'!$C$2)</f>
        <v>0</v>
      </c>
      <c r="AH37" s="337">
        <f>SUMIFS(BS_RE33!$H$7:$H$874,BS_RE33!$S$7:$S$874,$AH$2,BS_RE33!$N$7:$N$874,I37,BS_RE33!$P$7:$P$874,'30 days CF Table(USD)'!G37,BS_RE33!$F$7:$F$874,'30 days CF Table(USD)'!$C$2)</f>
        <v>0</v>
      </c>
      <c r="AI37" s="337">
        <f>SUMIFS(BS_RE33!$H$7:$H$874,BS_RE33!$S$7:$S$874,$AI$2,BS_RE33!$N$7:$N$874,I37,BS_RE33!$P$7:$P$874,'30 days CF Table(USD)'!G37,BS_RE33!$F$7:$F$874,'30 days CF Table(USD)'!$C$2)</f>
        <v>0</v>
      </c>
      <c r="AJ37" s="337">
        <f>SUMIFS(BS_RE33!$H$7:$H$874,BS_RE33!$S$7:$S$874,$AJ$2,BS_RE33!$N$7:$N$874,I37,BS_RE33!$P$7:$P$874,'30 days CF Table(USD)'!G37,BS_RE33!$F$7:$F$874,'30 days CF Table(USD)'!$C$2)</f>
        <v>0</v>
      </c>
      <c r="AK37" s="337">
        <f>SUMIFS(BS_RE33!$H$7:$H$874,BS_RE33!$S$7:$S$874,$AK$2,BS_RE33!$N$7:$N$874,I37,BS_RE33!$P$7:$P$874,'30 days CF Table(USD)'!G37,BS_RE33!$F$7:$F$874,'30 days CF Table(USD)'!$C$2)</f>
        <v>0</v>
      </c>
      <c r="AL37" s="337">
        <f>SUMIFS(BS_RE33!$H$7:$H$874,BS_RE33!$S$7:$S$874,$AL$2,BS_RE33!$N$7:$N$874,I37,BS_RE33!$P$7:$P$874,'30 days CF Table(USD)'!G37,BS_RE33!$F$7:$F$874,'30 days CF Table(USD)'!$C$2)</f>
        <v>0</v>
      </c>
      <c r="AM37" s="337">
        <f>SUMIFS(BS_RE33!$H$7:$H$874,BS_RE33!$S$7:$S$874,$AM$2,BS_RE33!$N$7:$N$874,I37,BS_RE33!$P$7:$P$874,'30 days CF Table(USD)'!G37,BS_RE33!$F$7:$F$874,'30 days CF Table(USD)'!$C$2)</f>
        <v>0</v>
      </c>
      <c r="AN37" s="337">
        <f>SUMIFS(BS_RE33!$H$7:$H$874,BS_RE33!$S$7:$S$874,$AN$2,BS_RE33!$N$7:$N$874,I37,BS_RE33!$P$7:$P$874,'30 days CF Table(USD)'!G37,BS_RE33!$F$7:$F$874,'30 days CF Table(USD)'!$C$2)</f>
        <v>0</v>
      </c>
      <c r="AO37" s="337">
        <f>SUMIFS(BS_RE33!$H$7:$H$874,BS_RE33!$S$7:$S$874,$AO$2,BS_RE33!$N$7:$N$874,I37,BS_RE33!$P$7:$P$874,'30 days CF Table(USD)'!G37,BS_RE33!$F$7:$F$874,'30 days CF Table(USD)'!$C$2)</f>
        <v>0</v>
      </c>
      <c r="AP37" s="338">
        <f>SUMIFS(BS_RE33!$H$7:$H$874,BS_RE33!$S$7:$S$874,$AP$2,BS_RE33!$N$7:$N$874,I37,BS_RE33!$P$7:$P$874,'30 days CF Table(USD)'!G37,BS_RE33!$F$7:$F$874,'30 days CF Table(USD)'!$C$2)</f>
        <v>0</v>
      </c>
      <c r="AR37" s="379">
        <f>SUMIFS(BS_RE33!$H$7:$H$874,BS_RE33!$S$7:$S$874,$AR$2,BS_RE33!$N$7:$N$874,I37,BS_RE33!$P$7:$P$874,'30 days CF Table(USD)'!G37,BS_RE33!$F$7:$F$874,'30 days CF Table(USD)'!$C$2)</f>
        <v>0</v>
      </c>
      <c r="AS37" s="379">
        <f>SUMIFS(BS_RE33!$H$7:$H$874,BS_RE33!$S$7:$S$874,$AS$2,BS_RE33!$N$7:$N$874,I37,BS_RE33!$P$7:$P$874,'30 days CF Table(USD)'!G37,BS_RE33!$F$7:$F$874,'30 days CF Table(USD)'!$C$2)</f>
        <v>0</v>
      </c>
      <c r="AT37" s="379">
        <f>SUMIFS(BS_RE33!$H$7:$H$874,BS_RE33!$S$7:$S$874,$AT$2,BS_RE33!$N$7:$N$874,I37,BS_RE33!$P$7:$P$874,'30 days CF Table(USD)'!G37,BS_RE33!$F$7:$F$874,'30 days CF Table(USD)'!$C$2)</f>
        <v>0</v>
      </c>
      <c r="AU37" s="379">
        <f>SUMIFS(BS_RE33!$H$7:$H$874,BS_RE33!$S$7:$S$874,$AU$2,BS_RE33!$N$7:$N$874,I37,BS_RE33!$P$7:$P$874,'30 days CF Table(USD)'!G37,BS_RE33!$F$7:$F$874,'30 days CF Table(USD)'!$C$2)</f>
        <v>0</v>
      </c>
      <c r="AV37" s="379">
        <f>SUMIFS(BS_RE33!$H$7:$H$874,BS_RE33!$S$7:$S$874,$AV$2,BS_RE33!$N$7:$N$874,I37,BS_RE33!$P$7:$P$874,'30 days CF Table(USD)'!G37,BS_RE33!$F$7:$F$874,'30 days CF Table(USD)'!$C$2)</f>
        <v>0</v>
      </c>
      <c r="AW37" s="379">
        <f>SUMIFS(BS_RE33!$H$7:$H$874,BS_RE33!$S$7:$S$874,$AW$2,BS_RE33!$N$7:$N$874,I37,BS_RE33!$P$7:$P$874,'30 days CF Table(USD)'!G37,BS_RE33!$F$7:$F$874,'30 days CF Table(USD)'!$C$2)</f>
        <v>0</v>
      </c>
      <c r="AX37" s="379">
        <f>SUMIFS(BS_RE33!$H$7:$H$874,BS_RE33!$S$7:$S$874,$AX$2,BS_RE33!$N$7:$N$874,I37,BS_RE33!$P$7:$P$874,'30 days CF Table(USD)'!G37,BS_RE33!$F$7:$F$874,'30 days CF Table(USD)'!$C$2)</f>
        <v>0</v>
      </c>
      <c r="AY37" s="379">
        <f>SUMIFS(BS_RE33!$H$7:$H$874,BS_RE33!$S$7:$S$874,$AY$2,BS_RE33!$N$7:$N$874,I37,BS_RE33!$P$7:$P$874,'30 days CF Table(USD)'!G37,BS_RE33!$F$7:$F$874,'30 days CF Table(USD)'!$C$2)</f>
        <v>0</v>
      </c>
      <c r="AZ37" s="379">
        <f>SUMIFS(BS_RE33!$H$7:$H$874,BS_RE33!$S$7:$S$874,$AZ$2,BS_RE33!$N$7:$N$874,I37,BS_RE33!$P$7:$P$874,'30 days CF Table(USD)'!G37,BS_RE33!$F$7:$F$874,'30 days CF Table(USD)'!$C$2)</f>
        <v>0</v>
      </c>
      <c r="BA37" s="379">
        <f>SUMIFS(BS_RE33!$H$7:$H$874,BS_RE33!$S$7:$S$874,$BA$2,BS_RE33!$N$7:$N$874,I37,BS_RE33!$P$7:$P$874,'30 days CF Table(USD)'!G37,BS_RE33!$F$7:$F$874,'30 days CF Table(USD)'!$C$2)</f>
        <v>0</v>
      </c>
      <c r="BB37" s="379">
        <f>SUMIFS(BS_RE33!$H$7:$H$874,BS_RE33!$S$7:$S$874,$BB$2,BS_RE33!$N$7:$N$874,I37,BS_RE33!$P$7:$P$874,'30 days CF Table(USD)'!G37,BS_RE33!$F$7:$F$874,'30 days CF Table(USD)'!$C$2)</f>
        <v>0</v>
      </c>
      <c r="BC37" s="379">
        <f>SUMIFS(BS_RE33!$H$7:$H$874,BS_RE33!$S$7:$S$874,$BC$2,BS_RE33!$N$7:$N$874,I37,BS_RE33!$P$7:$P$874,'30 days CF Table(USD)'!G37,BS_RE33!$F$7:$F$874,'30 days CF Table(USD)'!$C$2)</f>
        <v>0</v>
      </c>
      <c r="BD37" s="379">
        <f>SUMIFS(BS_RE33!$H$7:$H$874,BS_RE33!$S$7:$S$874,$BD$2,BS_RE33!$N$7:$N$874,I37,BS_RE33!$P$7:$P$874,'30 days CF Table(USD)'!G37,BS_RE33!$F$7:$F$874,'30 days CF Table(USD)'!$C$2)</f>
        <v>0</v>
      </c>
      <c r="BE37" s="379">
        <f>SUMIFS(BS_RE33!$H$7:$H$874,BS_RE33!$S$7:$S$874,$BE$2,BS_RE33!$N$7:$N$874,I37,BS_RE33!$P$7:$P$874,'30 days CF Table(USD)'!G37,BS_RE33!$F$7:$F$874,'30 days CF Table(USD)'!$C$2)</f>
        <v>0</v>
      </c>
      <c r="BF37" s="379">
        <f>SUMIFS(BS_RE33!$H$7:$H$874,BS_RE33!$S$7:$S$874,$BF$2,BS_RE33!$N$7:$N$874,I37,BS_RE33!$P$7:$P$874,'30 days CF Table(USD)'!G37,BS_RE33!$F$7:$F$874,'30 days CF Table(USD)'!$C$2)</f>
        <v>0</v>
      </c>
      <c r="BG37" s="379">
        <f>SUMIFS(BS_RE33!$H$7:$H$874,BS_RE33!$S$7:$S$874,$BG$2,BS_RE33!$N$7:$N$874,I37,BS_RE33!$P$7:$P$874,'30 days CF Table(USD)'!G37,BS_RE33!$F$7:$F$874,'30 days CF Table(USD)'!$C$2)</f>
        <v>0</v>
      </c>
      <c r="BH37" s="379">
        <f>SUMIFS(BS_RE33!$H$7:$H$874,BS_RE33!$S$7:$S$874,$BH$2,BS_RE33!$N$7:$N$874,I37,BS_RE33!$P$7:$P$874,'30 days CF Table(USD)'!G37,BS_RE33!$F$7:$F$874,'30 days CF Table(USD)'!$C$2)</f>
        <v>0</v>
      </c>
      <c r="BI37" s="379">
        <f>SUMIFS(BS_RE33!$H$7:$H$874,BS_RE33!$S$7:$S$874,$BI$2,BS_RE33!$N$7:$N$874,I37,BS_RE33!$P$7:$P$874,'30 days CF Table(USD)'!G37,BS_RE33!$F$7:$F$874,'30 days CF Table(USD)'!$C$2)</f>
        <v>0</v>
      </c>
      <c r="BJ37" s="379">
        <f>SUMIFS(BS_RE33!$H$7:$H$874,BS_RE33!$S$7:$S$874,$BJ$2,BS_RE33!$N$7:$N$874,I37,BS_RE33!$P$7:$P$874,'30 days CF Table(USD)'!G37,BS_RE33!$F$7:$F$874,'30 days CF Table(USD)'!$C$2)</f>
        <v>0</v>
      </c>
      <c r="BK37" s="379">
        <f>SUMIFS(BS_RE33!$H$7:$H$874,BS_RE33!$S$7:$S$874,$BK$2,BS_RE33!$N$7:$N$874,I37,BS_RE33!$P$7:$P$874,'30 days CF Table(USD)'!G37,BS_RE33!$F$7:$F$874,'30 days CF Table(USD)'!$C$2)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Table(USD)'!G38,BS_RE33!$F$7:$F$874,'30 days CF Table(USD)'!$C$2)</f>
        <v>0</v>
      </c>
      <c r="M38" s="337">
        <f>SUMIFS(BS_RE33!$H$7:$H$874,BS_RE33!$S$7:$S$874,$M$2,BS_RE33!$N$7:$N$874,I38,BS_RE33!$P$7:$P$874,'30 days CF Table(USD)'!G38,BS_RE33!$F$7:$F$874,'30 days CF Table(USD)'!$C$2)</f>
        <v>0</v>
      </c>
      <c r="N38" s="337">
        <f>SUMIFS(BS_RE33!$H$7:$H$874,BS_RE33!$S$7:$S$874,$N$2,BS_RE33!$N$7:$N$874,I38,BS_RE33!$P$7:$P$874,'30 days CF Table(USD)'!G38,BS_RE33!$F$7:$F$874,'30 days CF Table(USD)'!$C$2)</f>
        <v>0</v>
      </c>
      <c r="O38" s="337">
        <f>SUMIFS(BS_RE33!$H$7:$H$874,BS_RE33!$S$7:$S$874,$O$2,BS_RE33!$N$7:$N$874,I38,BS_RE33!$P$7:$P$874,'30 days CF Table(USD)'!G38,BS_RE33!$F$7:$F$874,'30 days CF Table(USD)'!$C$2)</f>
        <v>0</v>
      </c>
      <c r="P38" s="337">
        <f>SUMIFS(BS_RE33!$H$7:$H$874,BS_RE33!$S$7:$S$874,$P$2,BS_RE33!$N$7:$N$874,I38,BS_RE33!$P$7:$P$874,'30 days CF Table(USD)'!G38,BS_RE33!$F$7:$F$874,'30 days CF Table(USD)'!$C$2)</f>
        <v>0</v>
      </c>
      <c r="Q38" s="337">
        <f>SUMIFS(BS_RE33!$H$7:$H$874,BS_RE33!$S$7:$S$874,$Q$2,BS_RE33!$N$7:$N$874,I38,BS_RE33!$P$7:$P$874,'30 days CF Table(USD)'!G38,BS_RE33!$F$7:$F$874,'30 days CF Table(USD)'!$C$2)</f>
        <v>0</v>
      </c>
      <c r="R38" s="337">
        <f>SUMIFS(BS_RE33!$H$7:$H$874,BS_RE33!$S$7:$S$874,$R$2,BS_RE33!$N$7:$N$874,I38,BS_RE33!$P$7:$P$874,'30 days CF Table(USD)'!G38,BS_RE33!$F$7:$F$874,'30 days CF Table(USD)'!$C$2)</f>
        <v>0</v>
      </c>
      <c r="S38" s="337">
        <f>SUMIFS(BS_RE33!$H$7:$H$874,BS_RE33!$S$7:$S$874,$S$2,BS_RE33!$N$7:$N$874,I38,BS_RE33!$P$7:$P$874,'30 days CF Table(USD)'!G38,BS_RE33!$F$7:$F$874,'30 days CF Table(USD)'!$C$2)</f>
        <v>0</v>
      </c>
      <c r="T38" s="337">
        <f>SUMIFS(BS_RE33!$H$7:$H$874,BS_RE33!$S$7:$S$874,$T$2,BS_RE33!$N$7:$N$874,I38,BS_RE33!$P$7:$P$874,'30 days CF Table(USD)'!G38,BS_RE33!$F$7:$F$874,'30 days CF Table(USD)'!$C$2)</f>
        <v>0</v>
      </c>
      <c r="U38" s="337">
        <f>SUMIFS(BS_RE33!$H$7:$H$874,BS_RE33!$S$7:$S$874,$U$2,BS_RE33!$N$7:$N$874,I38,BS_RE33!$P$7:$P$874,'30 days CF Table(USD)'!G38,BS_RE33!$F$7:$F$874,'30 days CF Table(USD)'!$C$2)</f>
        <v>0</v>
      </c>
      <c r="V38" s="337">
        <f>SUMIFS(BS_RE33!$H$7:$H$874,BS_RE33!$S$7:$S$874,$V$2,BS_RE33!$N$7:$N$874,I38,BS_RE33!$P$7:$P$874,'30 days CF Table(USD)'!G38,BS_RE33!$F$7:$F$874,'30 days CF Table(USD)'!$C$2)</f>
        <v>0</v>
      </c>
      <c r="W38" s="337">
        <f>SUMIFS(BS_RE33!$H$7:$H$874,BS_RE33!$S$7:$S$874,$W$2,BS_RE33!$N$7:$N$874,I38,BS_RE33!$P$7:$P$874,'30 days CF Table(USD)'!G38,BS_RE33!$F$7:$F$874,'30 days CF Table(USD)'!$C$2)</f>
        <v>0</v>
      </c>
      <c r="X38" s="337">
        <f>SUMIFS(BS_RE33!$H$7:$H$874,BS_RE33!$S$7:$S$874,$X$2,BS_RE33!$N$7:$N$874,I38,BS_RE33!$P$7:$P$874,'30 days CF Table(USD)'!G38,BS_RE33!$F$7:$F$874,'30 days CF Table(USD)'!$C$2)</f>
        <v>0</v>
      </c>
      <c r="Y38" s="337">
        <f>SUMIFS(BS_RE33!$H$7:$H$874,BS_RE33!$S$7:$S$874,$Y$2,BS_RE33!$N$7:$N$874,I38,BS_RE33!$P$7:$P$874,'30 days CF Table(USD)'!G38,BS_RE33!$F$7:$F$874,'30 days CF Table(USD)'!$C$2)</f>
        <v>0</v>
      </c>
      <c r="Z38" s="337">
        <f>SUMIFS(BS_RE33!$H$7:$H$874,BS_RE33!$S$7:$S$874,$Z$2,BS_RE33!$N$7:$N$874,I38,BS_RE33!$P$7:$P$874,'30 days CF Table(USD)'!G38,BS_RE33!$F$7:$F$874,'30 days CF Table(USD)'!$C$2)</f>
        <v>0</v>
      </c>
      <c r="AA38" s="337">
        <f>SUMIFS(BS_RE33!$H$7:$H$874,BS_RE33!$S$7:$S$874,$AA$2,BS_RE33!$N$7:$N$874,I38,BS_RE33!$P$7:$P$874,'30 days CF Table(USD)'!G38,BS_RE33!$F$7:$F$874,'30 days CF Table(USD)'!$C$2)</f>
        <v>0</v>
      </c>
      <c r="AB38" s="337">
        <f>SUMIFS(BS_RE33!$H$7:$H$874,BS_RE33!$S$7:$S$874,$AB$2,BS_RE33!$N$7:$N$874,I38,BS_RE33!$P$7:$P$874,'30 days CF Table(USD)'!G38,BS_RE33!$F$7:$F$874,'30 days CF Table(USD)'!$C$2)</f>
        <v>0</v>
      </c>
      <c r="AC38" s="337">
        <f>SUMIFS(BS_RE33!$H$7:$H$874,BS_RE33!$S$7:$S$874,$AC$2,BS_RE33!$N$7:$N$874,I38,BS_RE33!$P$7:$P$874,'30 days CF Table(USD)'!G38,BS_RE33!$F$7:$F$874,'30 days CF Table(USD)'!$C$2)</f>
        <v>0</v>
      </c>
      <c r="AD38" s="337">
        <f>SUMIFS(BS_RE33!$H$7:$H$874,BS_RE33!$S$7:$S$874,$AD$2,BS_RE33!$N$7:$N$874,I38,BS_RE33!$P$7:$P$874,'30 days CF Table(USD)'!G38,BS_RE33!$F$7:$F$874,'30 days CF Table(USD)'!$C$2)</f>
        <v>0</v>
      </c>
      <c r="AE38" s="337">
        <f>SUMIFS(BS_RE33!$H$7:$H$874,BS_RE33!$S$7:$S$874,$AE$2,BS_RE33!$N$7:$N$874,I38,BS_RE33!$P$7:$P$874,'30 days CF Table(USD)'!G38,BS_RE33!$F$7:$F$874,'30 days CF Table(USD)'!$C$2)</f>
        <v>0</v>
      </c>
      <c r="AF38" s="337">
        <f>SUMIFS(BS_RE33!$H$7:$H$874,BS_RE33!$S$7:$S$874,$AF$2,BS_RE33!$N$7:$N$874,I38,BS_RE33!$P$7:$P$874,'30 days CF Table(USD)'!G38,BS_RE33!$F$7:$F$874,'30 days CF Table(USD)'!$C$2)</f>
        <v>0</v>
      </c>
      <c r="AG38" s="337">
        <f>SUMIFS(BS_RE33!$H$7:$H$874,BS_RE33!$S$7:$S$874,$AG$2,BS_RE33!$N$7:$N$874,I38,BS_RE33!$P$7:$P$874,'30 days CF Table(USD)'!G38,BS_RE33!$F$7:$F$874,'30 days CF Table(USD)'!$C$2)</f>
        <v>0</v>
      </c>
      <c r="AH38" s="337">
        <f>SUMIFS(BS_RE33!$H$7:$H$874,BS_RE33!$S$7:$S$874,$AH$2,BS_RE33!$N$7:$N$874,I38,BS_RE33!$P$7:$P$874,'30 days CF Table(USD)'!G38,BS_RE33!$F$7:$F$874,'30 days CF Table(USD)'!$C$2)</f>
        <v>0</v>
      </c>
      <c r="AI38" s="337">
        <f>SUMIFS(BS_RE33!$H$7:$H$874,BS_RE33!$S$7:$S$874,$AI$2,BS_RE33!$N$7:$N$874,I38,BS_RE33!$P$7:$P$874,'30 days CF Table(USD)'!G38,BS_RE33!$F$7:$F$874,'30 days CF Table(USD)'!$C$2)</f>
        <v>0</v>
      </c>
      <c r="AJ38" s="337">
        <f>SUMIFS(BS_RE33!$H$7:$H$874,BS_RE33!$S$7:$S$874,$AJ$2,BS_RE33!$N$7:$N$874,I38,BS_RE33!$P$7:$P$874,'30 days CF Table(USD)'!G38,BS_RE33!$F$7:$F$874,'30 days CF Table(USD)'!$C$2)</f>
        <v>0</v>
      </c>
      <c r="AK38" s="337">
        <f>SUMIFS(BS_RE33!$H$7:$H$874,BS_RE33!$S$7:$S$874,$AK$2,BS_RE33!$N$7:$N$874,I38,BS_RE33!$P$7:$P$874,'30 days CF Table(USD)'!G38,BS_RE33!$F$7:$F$874,'30 days CF Table(USD)'!$C$2)</f>
        <v>0</v>
      </c>
      <c r="AL38" s="337">
        <f>SUMIFS(BS_RE33!$H$7:$H$874,BS_RE33!$S$7:$S$874,$AL$2,BS_RE33!$N$7:$N$874,I38,BS_RE33!$P$7:$P$874,'30 days CF Table(USD)'!G38,BS_RE33!$F$7:$F$874,'30 days CF Table(USD)'!$C$2)</f>
        <v>0</v>
      </c>
      <c r="AM38" s="337">
        <f>SUMIFS(BS_RE33!$H$7:$H$874,BS_RE33!$S$7:$S$874,$AM$2,BS_RE33!$N$7:$N$874,I38,BS_RE33!$P$7:$P$874,'30 days CF Table(USD)'!G38,BS_RE33!$F$7:$F$874,'30 days CF Table(USD)'!$C$2)</f>
        <v>0</v>
      </c>
      <c r="AN38" s="337">
        <f>SUMIFS(BS_RE33!$H$7:$H$874,BS_RE33!$S$7:$S$874,$AN$2,BS_RE33!$N$7:$N$874,I38,BS_RE33!$P$7:$P$874,'30 days CF Table(USD)'!G38,BS_RE33!$F$7:$F$874,'30 days CF Table(USD)'!$C$2)</f>
        <v>0</v>
      </c>
      <c r="AO38" s="337">
        <f>SUMIFS(BS_RE33!$H$7:$H$874,BS_RE33!$S$7:$S$874,$AO$2,BS_RE33!$N$7:$N$874,I38,BS_RE33!$P$7:$P$874,'30 days CF Table(USD)'!G38,BS_RE33!$F$7:$F$874,'30 days CF Table(USD)'!$C$2)</f>
        <v>0</v>
      </c>
      <c r="AP38" s="338">
        <f>SUMIFS(BS_RE33!$H$7:$H$874,BS_RE33!$S$7:$S$874,$AP$2,BS_RE33!$N$7:$N$874,I38,BS_RE33!$P$7:$P$874,'30 days CF Table(USD)'!G38,BS_RE33!$F$7:$F$874,'30 days CF Table(USD)'!$C$2)</f>
        <v>0</v>
      </c>
      <c r="AR38" s="379">
        <f>SUMIFS(BS_RE33!$H$7:$H$874,BS_RE33!$S$7:$S$874,$AR$2,BS_RE33!$N$7:$N$874,I38,BS_RE33!$P$7:$P$874,'30 days CF Table(USD)'!G38,BS_RE33!$F$7:$F$874,'30 days CF Table(USD)'!$C$2)</f>
        <v>0</v>
      </c>
      <c r="AS38" s="379">
        <f>SUMIFS(BS_RE33!$H$7:$H$874,BS_RE33!$S$7:$S$874,$AS$2,BS_RE33!$N$7:$N$874,I38,BS_RE33!$P$7:$P$874,'30 days CF Table(USD)'!G38,BS_RE33!$F$7:$F$874,'30 days CF Table(USD)'!$C$2)</f>
        <v>0</v>
      </c>
      <c r="AT38" s="379">
        <f>SUMIFS(BS_RE33!$H$7:$H$874,BS_RE33!$S$7:$S$874,$AT$2,BS_RE33!$N$7:$N$874,I38,BS_RE33!$P$7:$P$874,'30 days CF Table(USD)'!G38,BS_RE33!$F$7:$F$874,'30 days CF Table(USD)'!$C$2)</f>
        <v>0</v>
      </c>
      <c r="AU38" s="379">
        <f>SUMIFS(BS_RE33!$H$7:$H$874,BS_RE33!$S$7:$S$874,$AU$2,BS_RE33!$N$7:$N$874,I38,BS_RE33!$P$7:$P$874,'30 days CF Table(USD)'!G38,BS_RE33!$F$7:$F$874,'30 days CF Table(USD)'!$C$2)</f>
        <v>0</v>
      </c>
      <c r="AV38" s="379">
        <f>SUMIFS(BS_RE33!$H$7:$H$874,BS_RE33!$S$7:$S$874,$AV$2,BS_RE33!$N$7:$N$874,I38,BS_RE33!$P$7:$P$874,'30 days CF Table(USD)'!G38,BS_RE33!$F$7:$F$874,'30 days CF Table(USD)'!$C$2)</f>
        <v>0</v>
      </c>
      <c r="AW38" s="379">
        <f>SUMIFS(BS_RE33!$H$7:$H$874,BS_RE33!$S$7:$S$874,$AW$2,BS_RE33!$N$7:$N$874,I38,BS_RE33!$P$7:$P$874,'30 days CF Table(USD)'!G38,BS_RE33!$F$7:$F$874,'30 days CF Table(USD)'!$C$2)</f>
        <v>0</v>
      </c>
      <c r="AX38" s="379">
        <f>SUMIFS(BS_RE33!$H$7:$H$874,BS_RE33!$S$7:$S$874,$AX$2,BS_RE33!$N$7:$N$874,I38,BS_RE33!$P$7:$P$874,'30 days CF Table(USD)'!G38,BS_RE33!$F$7:$F$874,'30 days CF Table(USD)'!$C$2)</f>
        <v>0</v>
      </c>
      <c r="AY38" s="379">
        <f>SUMIFS(BS_RE33!$H$7:$H$874,BS_RE33!$S$7:$S$874,$AY$2,BS_RE33!$N$7:$N$874,I38,BS_RE33!$P$7:$P$874,'30 days CF Table(USD)'!G38,BS_RE33!$F$7:$F$874,'30 days CF Table(USD)'!$C$2)</f>
        <v>0</v>
      </c>
      <c r="AZ38" s="379">
        <f>SUMIFS(BS_RE33!$H$7:$H$874,BS_RE33!$S$7:$S$874,$AZ$2,BS_RE33!$N$7:$N$874,I38,BS_RE33!$P$7:$P$874,'30 days CF Table(USD)'!G38,BS_RE33!$F$7:$F$874,'30 days CF Table(USD)'!$C$2)</f>
        <v>0</v>
      </c>
      <c r="BA38" s="379">
        <f>SUMIFS(BS_RE33!$H$7:$H$874,BS_RE33!$S$7:$S$874,$BA$2,BS_RE33!$N$7:$N$874,I38,BS_RE33!$P$7:$P$874,'30 days CF Table(USD)'!G38,BS_RE33!$F$7:$F$874,'30 days CF Table(USD)'!$C$2)</f>
        <v>0</v>
      </c>
      <c r="BB38" s="379">
        <f>SUMIFS(BS_RE33!$H$7:$H$874,BS_RE33!$S$7:$S$874,$BB$2,BS_RE33!$N$7:$N$874,I38,BS_RE33!$P$7:$P$874,'30 days CF Table(USD)'!G38,BS_RE33!$F$7:$F$874,'30 days CF Table(USD)'!$C$2)</f>
        <v>0</v>
      </c>
      <c r="BC38" s="379">
        <f>SUMIFS(BS_RE33!$H$7:$H$874,BS_RE33!$S$7:$S$874,$BC$2,BS_RE33!$N$7:$N$874,I38,BS_RE33!$P$7:$P$874,'30 days CF Table(USD)'!G38,BS_RE33!$F$7:$F$874,'30 days CF Table(USD)'!$C$2)</f>
        <v>0</v>
      </c>
      <c r="BD38" s="379">
        <f>SUMIFS(BS_RE33!$H$7:$H$874,BS_RE33!$S$7:$S$874,$BD$2,BS_RE33!$N$7:$N$874,I38,BS_RE33!$P$7:$P$874,'30 days CF Table(USD)'!G38,BS_RE33!$F$7:$F$874,'30 days CF Table(USD)'!$C$2)</f>
        <v>0</v>
      </c>
      <c r="BE38" s="379">
        <f>SUMIFS(BS_RE33!$H$7:$H$874,BS_RE33!$S$7:$S$874,$BE$2,BS_RE33!$N$7:$N$874,I38,BS_RE33!$P$7:$P$874,'30 days CF Table(USD)'!G38,BS_RE33!$F$7:$F$874,'30 days CF Table(USD)'!$C$2)</f>
        <v>0</v>
      </c>
      <c r="BF38" s="379">
        <f>SUMIFS(BS_RE33!$H$7:$H$874,BS_RE33!$S$7:$S$874,$BF$2,BS_RE33!$N$7:$N$874,I38,BS_RE33!$P$7:$P$874,'30 days CF Table(USD)'!G38,BS_RE33!$F$7:$F$874,'30 days CF Table(USD)'!$C$2)</f>
        <v>0</v>
      </c>
      <c r="BG38" s="379">
        <f>SUMIFS(BS_RE33!$H$7:$H$874,BS_RE33!$S$7:$S$874,$BG$2,BS_RE33!$N$7:$N$874,I38,BS_RE33!$P$7:$P$874,'30 days CF Table(USD)'!G38,BS_RE33!$F$7:$F$874,'30 days CF Table(USD)'!$C$2)</f>
        <v>0</v>
      </c>
      <c r="BH38" s="379">
        <f>SUMIFS(BS_RE33!$H$7:$H$874,BS_RE33!$S$7:$S$874,$BH$2,BS_RE33!$N$7:$N$874,I38,BS_RE33!$P$7:$P$874,'30 days CF Table(USD)'!G38,BS_RE33!$F$7:$F$874,'30 days CF Table(USD)'!$C$2)</f>
        <v>0</v>
      </c>
      <c r="BI38" s="379">
        <f>SUMIFS(BS_RE33!$H$7:$H$874,BS_RE33!$S$7:$S$874,$BI$2,BS_RE33!$N$7:$N$874,I38,BS_RE33!$P$7:$P$874,'30 days CF Table(USD)'!G38,BS_RE33!$F$7:$F$874,'30 days CF Table(USD)'!$C$2)</f>
        <v>0</v>
      </c>
      <c r="BJ38" s="379">
        <f>SUMIFS(BS_RE33!$H$7:$H$874,BS_RE33!$S$7:$S$874,$BJ$2,BS_RE33!$N$7:$N$874,I38,BS_RE33!$P$7:$P$874,'30 days CF Table(USD)'!G38,BS_RE33!$F$7:$F$874,'30 days CF Table(USD)'!$C$2)</f>
        <v>0</v>
      </c>
      <c r="BK38" s="379">
        <f>SUMIFS(BS_RE33!$H$7:$H$874,BS_RE33!$S$7:$S$874,$BK$2,BS_RE33!$N$7:$N$874,I38,BS_RE33!$P$7:$P$874,'30 days CF Table(USD)'!G38,BS_RE33!$F$7:$F$874,'30 days CF Table(USD)'!$C$2)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Table(USD)'!G39,BS_RE33!$F$7:$F$874,'30 days CF Table(USD)'!$C$2)</f>
        <v>0</v>
      </c>
      <c r="M39" s="337">
        <f>SUMIFS(BS_RE33!$H$7:$H$874,BS_RE33!$S$7:$S$874,$M$2,BS_RE33!$N$7:$N$874,I39,BS_RE33!$P$7:$P$874,'30 days CF Table(USD)'!G39,BS_RE33!$F$7:$F$874,'30 days CF Table(USD)'!$C$2)</f>
        <v>0</v>
      </c>
      <c r="N39" s="337">
        <f>SUMIFS(BS_RE33!$H$7:$H$874,BS_RE33!$S$7:$S$874,$N$2,BS_RE33!$N$7:$N$874,I39,BS_RE33!$P$7:$P$874,'30 days CF Table(USD)'!G39,BS_RE33!$F$7:$F$874,'30 days CF Table(USD)'!$C$2)</f>
        <v>0</v>
      </c>
      <c r="O39" s="337">
        <f>SUMIFS(BS_RE33!$H$7:$H$874,BS_RE33!$S$7:$S$874,$O$2,BS_RE33!$N$7:$N$874,I39,BS_RE33!$P$7:$P$874,'30 days CF Table(USD)'!G39,BS_RE33!$F$7:$F$874,'30 days CF Table(USD)'!$C$2)</f>
        <v>0</v>
      </c>
      <c r="P39" s="337">
        <f>SUMIFS(BS_RE33!$H$7:$H$874,BS_RE33!$S$7:$S$874,$P$2,BS_RE33!$N$7:$N$874,I39,BS_RE33!$P$7:$P$874,'30 days CF Table(USD)'!G39,BS_RE33!$F$7:$F$874,'30 days CF Table(USD)'!$C$2)</f>
        <v>0</v>
      </c>
      <c r="Q39" s="337">
        <f>SUMIFS(BS_RE33!$H$7:$H$874,BS_RE33!$S$7:$S$874,$Q$2,BS_RE33!$N$7:$N$874,I39,BS_RE33!$P$7:$P$874,'30 days CF Table(USD)'!G39,BS_RE33!$F$7:$F$874,'30 days CF Table(USD)'!$C$2)</f>
        <v>0</v>
      </c>
      <c r="R39" s="337">
        <f>SUMIFS(BS_RE33!$H$7:$H$874,BS_RE33!$S$7:$S$874,$R$2,BS_RE33!$N$7:$N$874,I39,BS_RE33!$P$7:$P$874,'30 days CF Table(USD)'!G39,BS_RE33!$F$7:$F$874,'30 days CF Table(USD)'!$C$2)</f>
        <v>0</v>
      </c>
      <c r="S39" s="337">
        <f>SUMIFS(BS_RE33!$H$7:$H$874,BS_RE33!$S$7:$S$874,$S$2,BS_RE33!$N$7:$N$874,I39,BS_RE33!$P$7:$P$874,'30 days CF Table(USD)'!G39,BS_RE33!$F$7:$F$874,'30 days CF Table(USD)'!$C$2)</f>
        <v>0</v>
      </c>
      <c r="T39" s="337">
        <f>SUMIFS(BS_RE33!$H$7:$H$874,BS_RE33!$S$7:$S$874,$T$2,BS_RE33!$N$7:$N$874,I39,BS_RE33!$P$7:$P$874,'30 days CF Table(USD)'!G39,BS_RE33!$F$7:$F$874,'30 days CF Table(USD)'!$C$2)</f>
        <v>0</v>
      </c>
      <c r="U39" s="337">
        <f>SUMIFS(BS_RE33!$H$7:$H$874,BS_RE33!$S$7:$S$874,$U$2,BS_RE33!$N$7:$N$874,I39,BS_RE33!$P$7:$P$874,'30 days CF Table(USD)'!G39,BS_RE33!$F$7:$F$874,'30 days CF Table(USD)'!$C$2)</f>
        <v>0</v>
      </c>
      <c r="V39" s="337">
        <f>SUMIFS(BS_RE33!$H$7:$H$874,BS_RE33!$S$7:$S$874,$V$2,BS_RE33!$N$7:$N$874,I39,BS_RE33!$P$7:$P$874,'30 days CF Table(USD)'!G39,BS_RE33!$F$7:$F$874,'30 days CF Table(USD)'!$C$2)</f>
        <v>0</v>
      </c>
      <c r="W39" s="337">
        <f>SUMIFS(BS_RE33!$H$7:$H$874,BS_RE33!$S$7:$S$874,$W$2,BS_RE33!$N$7:$N$874,I39,BS_RE33!$P$7:$P$874,'30 days CF Table(USD)'!G39,BS_RE33!$F$7:$F$874,'30 days CF Table(USD)'!$C$2)</f>
        <v>0</v>
      </c>
      <c r="X39" s="337">
        <f>SUMIFS(BS_RE33!$H$7:$H$874,BS_RE33!$S$7:$S$874,$X$2,BS_RE33!$N$7:$N$874,I39,BS_RE33!$P$7:$P$874,'30 days CF Table(USD)'!G39,BS_RE33!$F$7:$F$874,'30 days CF Table(USD)'!$C$2)</f>
        <v>0</v>
      </c>
      <c r="Y39" s="337">
        <f>SUMIFS(BS_RE33!$H$7:$H$874,BS_RE33!$S$7:$S$874,$Y$2,BS_RE33!$N$7:$N$874,I39,BS_RE33!$P$7:$P$874,'30 days CF Table(USD)'!G39,BS_RE33!$F$7:$F$874,'30 days CF Table(USD)'!$C$2)</f>
        <v>0</v>
      </c>
      <c r="Z39" s="337">
        <f>SUMIFS(BS_RE33!$H$7:$H$874,BS_RE33!$S$7:$S$874,$Z$2,BS_RE33!$N$7:$N$874,I39,BS_RE33!$P$7:$P$874,'30 days CF Table(USD)'!G39,BS_RE33!$F$7:$F$874,'30 days CF Table(USD)'!$C$2)</f>
        <v>0</v>
      </c>
      <c r="AA39" s="337">
        <f>SUMIFS(BS_RE33!$H$7:$H$874,BS_RE33!$S$7:$S$874,$AA$2,BS_RE33!$N$7:$N$874,I39,BS_RE33!$P$7:$P$874,'30 days CF Table(USD)'!G39,BS_RE33!$F$7:$F$874,'30 days CF Table(USD)'!$C$2)</f>
        <v>0</v>
      </c>
      <c r="AB39" s="337">
        <f>SUMIFS(BS_RE33!$H$7:$H$874,BS_RE33!$S$7:$S$874,$AB$2,BS_RE33!$N$7:$N$874,I39,BS_RE33!$P$7:$P$874,'30 days CF Table(USD)'!G39,BS_RE33!$F$7:$F$874,'30 days CF Table(USD)'!$C$2)</f>
        <v>0</v>
      </c>
      <c r="AC39" s="337">
        <f>SUMIFS(BS_RE33!$H$7:$H$874,BS_RE33!$S$7:$S$874,$AC$2,BS_RE33!$N$7:$N$874,I39,BS_RE33!$P$7:$P$874,'30 days CF Table(USD)'!G39,BS_RE33!$F$7:$F$874,'30 days CF Table(USD)'!$C$2)</f>
        <v>0</v>
      </c>
      <c r="AD39" s="337">
        <f>SUMIFS(BS_RE33!$H$7:$H$874,BS_RE33!$S$7:$S$874,$AD$2,BS_RE33!$N$7:$N$874,I39,BS_RE33!$P$7:$P$874,'30 days CF Table(USD)'!G39,BS_RE33!$F$7:$F$874,'30 days CF Table(USD)'!$C$2)</f>
        <v>0</v>
      </c>
      <c r="AE39" s="337">
        <f>SUMIFS(BS_RE33!$H$7:$H$874,BS_RE33!$S$7:$S$874,$AE$2,BS_RE33!$N$7:$N$874,I39,BS_RE33!$P$7:$P$874,'30 days CF Table(USD)'!G39,BS_RE33!$F$7:$F$874,'30 days CF Table(USD)'!$C$2)</f>
        <v>0</v>
      </c>
      <c r="AF39" s="337">
        <f>SUMIFS(BS_RE33!$H$7:$H$874,BS_RE33!$S$7:$S$874,$AF$2,BS_RE33!$N$7:$N$874,I39,BS_RE33!$P$7:$P$874,'30 days CF Table(USD)'!G39,BS_RE33!$F$7:$F$874,'30 days CF Table(USD)'!$C$2)</f>
        <v>0</v>
      </c>
      <c r="AG39" s="337">
        <f>SUMIFS(BS_RE33!$H$7:$H$874,BS_RE33!$S$7:$S$874,$AG$2,BS_RE33!$N$7:$N$874,I39,BS_RE33!$P$7:$P$874,'30 days CF Table(USD)'!G39,BS_RE33!$F$7:$F$874,'30 days CF Table(USD)'!$C$2)</f>
        <v>0</v>
      </c>
      <c r="AH39" s="337">
        <f>SUMIFS(BS_RE33!$H$7:$H$874,BS_RE33!$S$7:$S$874,$AH$2,BS_RE33!$N$7:$N$874,I39,BS_RE33!$P$7:$P$874,'30 days CF Table(USD)'!G39,BS_RE33!$F$7:$F$874,'30 days CF Table(USD)'!$C$2)</f>
        <v>0</v>
      </c>
      <c r="AI39" s="337">
        <f>SUMIFS(BS_RE33!$H$7:$H$874,BS_RE33!$S$7:$S$874,$AI$2,BS_RE33!$N$7:$N$874,I39,BS_RE33!$P$7:$P$874,'30 days CF Table(USD)'!G39,BS_RE33!$F$7:$F$874,'30 days CF Table(USD)'!$C$2)</f>
        <v>0</v>
      </c>
      <c r="AJ39" s="337">
        <f>SUMIFS(BS_RE33!$H$7:$H$874,BS_RE33!$S$7:$S$874,$AJ$2,BS_RE33!$N$7:$N$874,I39,BS_RE33!$P$7:$P$874,'30 days CF Table(USD)'!G39,BS_RE33!$F$7:$F$874,'30 days CF Table(USD)'!$C$2)</f>
        <v>0</v>
      </c>
      <c r="AK39" s="337">
        <f>SUMIFS(BS_RE33!$H$7:$H$874,BS_RE33!$S$7:$S$874,$AK$2,BS_RE33!$N$7:$N$874,I39,BS_RE33!$P$7:$P$874,'30 days CF Table(USD)'!G39,BS_RE33!$F$7:$F$874,'30 days CF Table(USD)'!$C$2)</f>
        <v>0</v>
      </c>
      <c r="AL39" s="337">
        <f>SUMIFS(BS_RE33!$H$7:$H$874,BS_RE33!$S$7:$S$874,$AL$2,BS_RE33!$N$7:$N$874,I39,BS_RE33!$P$7:$P$874,'30 days CF Table(USD)'!G39,BS_RE33!$F$7:$F$874,'30 days CF Table(USD)'!$C$2)</f>
        <v>0</v>
      </c>
      <c r="AM39" s="337">
        <f>SUMIFS(BS_RE33!$H$7:$H$874,BS_RE33!$S$7:$S$874,$AM$2,BS_RE33!$N$7:$N$874,I39,BS_RE33!$P$7:$P$874,'30 days CF Table(USD)'!G39,BS_RE33!$F$7:$F$874,'30 days CF Table(USD)'!$C$2)</f>
        <v>0</v>
      </c>
      <c r="AN39" s="337">
        <f>SUMIFS(BS_RE33!$H$7:$H$874,BS_RE33!$S$7:$S$874,$AN$2,BS_RE33!$N$7:$N$874,I39,BS_RE33!$P$7:$P$874,'30 days CF Table(USD)'!G39,BS_RE33!$F$7:$F$874,'30 days CF Table(USD)'!$C$2)</f>
        <v>0</v>
      </c>
      <c r="AO39" s="337">
        <f>SUMIFS(BS_RE33!$H$7:$H$874,BS_RE33!$S$7:$S$874,$AO$2,BS_RE33!$N$7:$N$874,I39,BS_RE33!$P$7:$P$874,'30 days CF Table(USD)'!G39,BS_RE33!$F$7:$F$874,'30 days CF Table(USD)'!$C$2)</f>
        <v>0</v>
      </c>
      <c r="AP39" s="338">
        <f>SUMIFS(BS_RE33!$H$7:$H$874,BS_RE33!$S$7:$S$874,$AP$2,BS_RE33!$N$7:$N$874,I39,BS_RE33!$P$7:$P$874,'30 days CF Table(USD)'!G39,BS_RE33!$F$7:$F$874,'30 days CF Table(USD)'!$C$2)</f>
        <v>0</v>
      </c>
      <c r="AR39" s="379">
        <f>SUMIFS(BS_RE33!$H$7:$H$874,BS_RE33!$S$7:$S$874,$AR$2,BS_RE33!$N$7:$N$874,I39,BS_RE33!$P$7:$P$874,'30 days CF Table(USD)'!G39,BS_RE33!$F$7:$F$874,'30 days CF Table(USD)'!$C$2)</f>
        <v>0</v>
      </c>
      <c r="AS39" s="379">
        <f>SUMIFS(BS_RE33!$H$7:$H$874,BS_RE33!$S$7:$S$874,$AS$2,BS_RE33!$N$7:$N$874,I39,BS_RE33!$P$7:$P$874,'30 days CF Table(USD)'!G39,BS_RE33!$F$7:$F$874,'30 days CF Table(USD)'!$C$2)</f>
        <v>0</v>
      </c>
      <c r="AT39" s="379">
        <f>SUMIFS(BS_RE33!$H$7:$H$874,BS_RE33!$S$7:$S$874,$AT$2,BS_RE33!$N$7:$N$874,I39,BS_RE33!$P$7:$P$874,'30 days CF Table(USD)'!G39,BS_RE33!$F$7:$F$874,'30 days CF Table(USD)'!$C$2)</f>
        <v>0</v>
      </c>
      <c r="AU39" s="379">
        <f>SUMIFS(BS_RE33!$H$7:$H$874,BS_RE33!$S$7:$S$874,$AU$2,BS_RE33!$N$7:$N$874,I39,BS_RE33!$P$7:$P$874,'30 days CF Table(USD)'!G39,BS_RE33!$F$7:$F$874,'30 days CF Table(USD)'!$C$2)</f>
        <v>0</v>
      </c>
      <c r="AV39" s="379">
        <f>SUMIFS(BS_RE33!$H$7:$H$874,BS_RE33!$S$7:$S$874,$AV$2,BS_RE33!$N$7:$N$874,I39,BS_RE33!$P$7:$P$874,'30 days CF Table(USD)'!G39,BS_RE33!$F$7:$F$874,'30 days CF Table(USD)'!$C$2)</f>
        <v>0</v>
      </c>
      <c r="AW39" s="379">
        <f>SUMIFS(BS_RE33!$H$7:$H$874,BS_RE33!$S$7:$S$874,$AW$2,BS_RE33!$N$7:$N$874,I39,BS_RE33!$P$7:$P$874,'30 days CF Table(USD)'!G39,BS_RE33!$F$7:$F$874,'30 days CF Table(USD)'!$C$2)</f>
        <v>0</v>
      </c>
      <c r="AX39" s="379">
        <f>SUMIFS(BS_RE33!$H$7:$H$874,BS_RE33!$S$7:$S$874,$AX$2,BS_RE33!$N$7:$N$874,I39,BS_RE33!$P$7:$P$874,'30 days CF Table(USD)'!G39,BS_RE33!$F$7:$F$874,'30 days CF Table(USD)'!$C$2)</f>
        <v>0</v>
      </c>
      <c r="AY39" s="379">
        <f>SUMIFS(BS_RE33!$H$7:$H$874,BS_RE33!$S$7:$S$874,$AY$2,BS_RE33!$N$7:$N$874,I39,BS_RE33!$P$7:$P$874,'30 days CF Table(USD)'!G39,BS_RE33!$F$7:$F$874,'30 days CF Table(USD)'!$C$2)</f>
        <v>0</v>
      </c>
      <c r="AZ39" s="379">
        <f>SUMIFS(BS_RE33!$H$7:$H$874,BS_RE33!$S$7:$S$874,$AZ$2,BS_RE33!$N$7:$N$874,I39,BS_RE33!$P$7:$P$874,'30 days CF Table(USD)'!G39,BS_RE33!$F$7:$F$874,'30 days CF Table(USD)'!$C$2)</f>
        <v>0</v>
      </c>
      <c r="BA39" s="379">
        <f>SUMIFS(BS_RE33!$H$7:$H$874,BS_RE33!$S$7:$S$874,$BA$2,BS_RE33!$N$7:$N$874,I39,BS_RE33!$P$7:$P$874,'30 days CF Table(USD)'!G39,BS_RE33!$F$7:$F$874,'30 days CF Table(USD)'!$C$2)</f>
        <v>0</v>
      </c>
      <c r="BB39" s="379">
        <f>SUMIFS(BS_RE33!$H$7:$H$874,BS_RE33!$S$7:$S$874,$BB$2,BS_RE33!$N$7:$N$874,I39,BS_RE33!$P$7:$P$874,'30 days CF Table(USD)'!G39,BS_RE33!$F$7:$F$874,'30 days CF Table(USD)'!$C$2)</f>
        <v>0</v>
      </c>
      <c r="BC39" s="379">
        <f>SUMIFS(BS_RE33!$H$7:$H$874,BS_RE33!$S$7:$S$874,$BC$2,BS_RE33!$N$7:$N$874,I39,BS_RE33!$P$7:$P$874,'30 days CF Table(USD)'!G39,BS_RE33!$F$7:$F$874,'30 days CF Table(USD)'!$C$2)</f>
        <v>0</v>
      </c>
      <c r="BD39" s="379">
        <f>SUMIFS(BS_RE33!$H$7:$H$874,BS_RE33!$S$7:$S$874,$BD$2,BS_RE33!$N$7:$N$874,I39,BS_RE33!$P$7:$P$874,'30 days CF Table(USD)'!G39,BS_RE33!$F$7:$F$874,'30 days CF Table(USD)'!$C$2)</f>
        <v>0</v>
      </c>
      <c r="BE39" s="379">
        <f>SUMIFS(BS_RE33!$H$7:$H$874,BS_RE33!$S$7:$S$874,$BE$2,BS_RE33!$N$7:$N$874,I39,BS_RE33!$P$7:$P$874,'30 days CF Table(USD)'!G39,BS_RE33!$F$7:$F$874,'30 days CF Table(USD)'!$C$2)</f>
        <v>0</v>
      </c>
      <c r="BF39" s="379">
        <f>SUMIFS(BS_RE33!$H$7:$H$874,BS_RE33!$S$7:$S$874,$BF$2,BS_RE33!$N$7:$N$874,I39,BS_RE33!$P$7:$P$874,'30 days CF Table(USD)'!G39,BS_RE33!$F$7:$F$874,'30 days CF Table(USD)'!$C$2)</f>
        <v>0</v>
      </c>
      <c r="BG39" s="379">
        <f>SUMIFS(BS_RE33!$H$7:$H$874,BS_RE33!$S$7:$S$874,$BG$2,BS_RE33!$N$7:$N$874,I39,BS_RE33!$P$7:$P$874,'30 days CF Table(USD)'!G39,BS_RE33!$F$7:$F$874,'30 days CF Table(USD)'!$C$2)</f>
        <v>0</v>
      </c>
      <c r="BH39" s="379">
        <f>SUMIFS(BS_RE33!$H$7:$H$874,BS_RE33!$S$7:$S$874,$BH$2,BS_RE33!$N$7:$N$874,I39,BS_RE33!$P$7:$P$874,'30 days CF Table(USD)'!G39,BS_RE33!$F$7:$F$874,'30 days CF Table(USD)'!$C$2)</f>
        <v>0</v>
      </c>
      <c r="BI39" s="379">
        <f>SUMIFS(BS_RE33!$H$7:$H$874,BS_RE33!$S$7:$S$874,$BI$2,BS_RE33!$N$7:$N$874,I39,BS_RE33!$P$7:$P$874,'30 days CF Table(USD)'!G39,BS_RE33!$F$7:$F$874,'30 days CF Table(USD)'!$C$2)</f>
        <v>0</v>
      </c>
      <c r="BJ39" s="379">
        <f>SUMIFS(BS_RE33!$H$7:$H$874,BS_RE33!$S$7:$S$874,$BJ$2,BS_RE33!$N$7:$N$874,I39,BS_RE33!$P$7:$P$874,'30 days CF Table(USD)'!G39,BS_RE33!$F$7:$F$874,'30 days CF Table(USD)'!$C$2)</f>
        <v>0</v>
      </c>
      <c r="BK39" s="379">
        <f>SUMIFS(BS_RE33!$H$7:$H$874,BS_RE33!$S$7:$S$874,$BK$2,BS_RE33!$N$7:$N$874,I39,BS_RE33!$P$7:$P$874,'30 days CF Table(USD)'!G39,BS_RE33!$F$7:$F$874,'30 days CF Table(USD)'!$C$2)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Table(USD)'!G40,BS_RE33!$F$7:$F$874,'30 days CF Table(USD)'!$C$2)</f>
        <v>0</v>
      </c>
      <c r="M40" s="337">
        <f>SUMIFS(BS_RE33!$H$7:$H$874,BS_RE33!$S$7:$S$874,$M$2,BS_RE33!$N$7:$N$874,I40,BS_RE33!$P$7:$P$874,'30 days CF Table(USD)'!G40,BS_RE33!$F$7:$F$874,'30 days CF Table(USD)'!$C$2)</f>
        <v>0</v>
      </c>
      <c r="N40" s="337">
        <f>SUMIFS(BS_RE33!$H$7:$H$874,BS_RE33!$S$7:$S$874,$N$2,BS_RE33!$N$7:$N$874,I40,BS_RE33!$P$7:$P$874,'30 days CF Table(USD)'!G40,BS_RE33!$F$7:$F$874,'30 days CF Table(USD)'!$C$2)</f>
        <v>0</v>
      </c>
      <c r="O40" s="337">
        <f>SUMIFS(BS_RE33!$H$7:$H$874,BS_RE33!$S$7:$S$874,$O$2,BS_RE33!$N$7:$N$874,I40,BS_RE33!$P$7:$P$874,'30 days CF Table(USD)'!G40,BS_RE33!$F$7:$F$874,'30 days CF Table(USD)'!$C$2)</f>
        <v>0</v>
      </c>
      <c r="P40" s="337">
        <f>SUMIFS(BS_RE33!$H$7:$H$874,BS_RE33!$S$7:$S$874,$P$2,BS_RE33!$N$7:$N$874,I40,BS_RE33!$P$7:$P$874,'30 days CF Table(USD)'!G40,BS_RE33!$F$7:$F$874,'30 days CF Table(USD)'!$C$2)</f>
        <v>0</v>
      </c>
      <c r="Q40" s="337">
        <f>SUMIFS(BS_RE33!$H$7:$H$874,BS_RE33!$S$7:$S$874,$Q$2,BS_RE33!$N$7:$N$874,I40,BS_RE33!$P$7:$P$874,'30 days CF Table(USD)'!G40,BS_RE33!$F$7:$F$874,'30 days CF Table(USD)'!$C$2)</f>
        <v>0</v>
      </c>
      <c r="R40" s="337">
        <f>SUMIFS(BS_RE33!$H$7:$H$874,BS_RE33!$S$7:$S$874,$R$2,BS_RE33!$N$7:$N$874,I40,BS_RE33!$P$7:$P$874,'30 days CF Table(USD)'!G40,BS_RE33!$F$7:$F$874,'30 days CF Table(USD)'!$C$2)</f>
        <v>0</v>
      </c>
      <c r="S40" s="337">
        <f>SUMIFS(BS_RE33!$H$7:$H$874,BS_RE33!$S$7:$S$874,$S$2,BS_RE33!$N$7:$N$874,I40,BS_RE33!$P$7:$P$874,'30 days CF Table(USD)'!G40,BS_RE33!$F$7:$F$874,'30 days CF Table(USD)'!$C$2)</f>
        <v>0</v>
      </c>
      <c r="T40" s="337">
        <f>SUMIFS(BS_RE33!$H$7:$H$874,BS_RE33!$S$7:$S$874,$T$2,BS_RE33!$N$7:$N$874,I40,BS_RE33!$P$7:$P$874,'30 days CF Table(USD)'!G40,BS_RE33!$F$7:$F$874,'30 days CF Table(USD)'!$C$2)</f>
        <v>0</v>
      </c>
      <c r="U40" s="337">
        <f>SUMIFS(BS_RE33!$H$7:$H$874,BS_RE33!$S$7:$S$874,$U$2,BS_RE33!$N$7:$N$874,I40,BS_RE33!$P$7:$P$874,'30 days CF Table(USD)'!G40,BS_RE33!$F$7:$F$874,'30 days CF Table(USD)'!$C$2)</f>
        <v>0</v>
      </c>
      <c r="V40" s="337">
        <f>SUMIFS(BS_RE33!$H$7:$H$874,BS_RE33!$S$7:$S$874,$V$2,BS_RE33!$N$7:$N$874,I40,BS_RE33!$P$7:$P$874,'30 days CF Table(USD)'!G40,BS_RE33!$F$7:$F$874,'30 days CF Table(USD)'!$C$2)</f>
        <v>0</v>
      </c>
      <c r="W40" s="337">
        <f>SUMIFS(BS_RE33!$H$7:$H$874,BS_RE33!$S$7:$S$874,$W$2,BS_RE33!$N$7:$N$874,I40,BS_RE33!$P$7:$P$874,'30 days CF Table(USD)'!G40,BS_RE33!$F$7:$F$874,'30 days CF Table(USD)'!$C$2)</f>
        <v>0</v>
      </c>
      <c r="X40" s="337">
        <f>SUMIFS(BS_RE33!$H$7:$H$874,BS_RE33!$S$7:$S$874,$X$2,BS_RE33!$N$7:$N$874,I40,BS_RE33!$P$7:$P$874,'30 days CF Table(USD)'!G40,BS_RE33!$F$7:$F$874,'30 days CF Table(USD)'!$C$2)</f>
        <v>0</v>
      </c>
      <c r="Y40" s="337">
        <f>SUMIFS(BS_RE33!$H$7:$H$874,BS_RE33!$S$7:$S$874,$Y$2,BS_RE33!$N$7:$N$874,I40,BS_RE33!$P$7:$P$874,'30 days CF Table(USD)'!G40,BS_RE33!$F$7:$F$874,'30 days CF Table(USD)'!$C$2)</f>
        <v>0</v>
      </c>
      <c r="Z40" s="337">
        <f>SUMIFS(BS_RE33!$H$7:$H$874,BS_RE33!$S$7:$S$874,$Z$2,BS_RE33!$N$7:$N$874,I40,BS_RE33!$P$7:$P$874,'30 days CF Table(USD)'!G40,BS_RE33!$F$7:$F$874,'30 days CF Table(USD)'!$C$2)</f>
        <v>0</v>
      </c>
      <c r="AA40" s="337">
        <f>SUMIFS(BS_RE33!$H$7:$H$874,BS_RE33!$S$7:$S$874,$AA$2,BS_RE33!$N$7:$N$874,I40,BS_RE33!$P$7:$P$874,'30 days CF Table(USD)'!G40,BS_RE33!$F$7:$F$874,'30 days CF Table(USD)'!$C$2)</f>
        <v>0</v>
      </c>
      <c r="AB40" s="337">
        <f>SUMIFS(BS_RE33!$H$7:$H$874,BS_RE33!$S$7:$S$874,$AB$2,BS_RE33!$N$7:$N$874,I40,BS_RE33!$P$7:$P$874,'30 days CF Table(USD)'!G40,BS_RE33!$F$7:$F$874,'30 days CF Table(USD)'!$C$2)</f>
        <v>0</v>
      </c>
      <c r="AC40" s="337">
        <f>SUMIFS(BS_RE33!$H$7:$H$874,BS_RE33!$S$7:$S$874,$AC$2,BS_RE33!$N$7:$N$874,I40,BS_RE33!$P$7:$P$874,'30 days CF Table(USD)'!G40,BS_RE33!$F$7:$F$874,'30 days CF Table(USD)'!$C$2)</f>
        <v>0</v>
      </c>
      <c r="AD40" s="337">
        <f>SUMIFS(BS_RE33!$H$7:$H$874,BS_RE33!$S$7:$S$874,$AD$2,BS_RE33!$N$7:$N$874,I40,BS_RE33!$P$7:$P$874,'30 days CF Table(USD)'!G40,BS_RE33!$F$7:$F$874,'30 days CF Table(USD)'!$C$2)</f>
        <v>0</v>
      </c>
      <c r="AE40" s="337">
        <f>SUMIFS(BS_RE33!$H$7:$H$874,BS_RE33!$S$7:$S$874,$AE$2,BS_RE33!$N$7:$N$874,I40,BS_RE33!$P$7:$P$874,'30 days CF Table(USD)'!G40,BS_RE33!$F$7:$F$874,'30 days CF Table(USD)'!$C$2)</f>
        <v>0</v>
      </c>
      <c r="AF40" s="337">
        <f>SUMIFS(BS_RE33!$H$7:$H$874,BS_RE33!$S$7:$S$874,$AF$2,BS_RE33!$N$7:$N$874,I40,BS_RE33!$P$7:$P$874,'30 days CF Table(USD)'!G40,BS_RE33!$F$7:$F$874,'30 days CF Table(USD)'!$C$2)</f>
        <v>0</v>
      </c>
      <c r="AG40" s="337">
        <f>SUMIFS(BS_RE33!$H$7:$H$874,BS_RE33!$S$7:$S$874,$AG$2,BS_RE33!$N$7:$N$874,I40,BS_RE33!$P$7:$P$874,'30 days CF Table(USD)'!G40,BS_RE33!$F$7:$F$874,'30 days CF Table(USD)'!$C$2)</f>
        <v>0</v>
      </c>
      <c r="AH40" s="337">
        <f>SUMIFS(BS_RE33!$H$7:$H$874,BS_RE33!$S$7:$S$874,$AH$2,BS_RE33!$N$7:$N$874,I40,BS_RE33!$P$7:$P$874,'30 days CF Table(USD)'!G40,BS_RE33!$F$7:$F$874,'30 days CF Table(USD)'!$C$2)</f>
        <v>0</v>
      </c>
      <c r="AI40" s="337">
        <f>SUMIFS(BS_RE33!$H$7:$H$874,BS_RE33!$S$7:$S$874,$AI$2,BS_RE33!$N$7:$N$874,I40,BS_RE33!$P$7:$P$874,'30 days CF Table(USD)'!G40,BS_RE33!$F$7:$F$874,'30 days CF Table(USD)'!$C$2)</f>
        <v>0</v>
      </c>
      <c r="AJ40" s="337">
        <f>SUMIFS(BS_RE33!$H$7:$H$874,BS_RE33!$S$7:$S$874,$AJ$2,BS_RE33!$N$7:$N$874,I40,BS_RE33!$P$7:$P$874,'30 days CF Table(USD)'!G40,BS_RE33!$F$7:$F$874,'30 days CF Table(USD)'!$C$2)</f>
        <v>0</v>
      </c>
      <c r="AK40" s="337">
        <f>SUMIFS(BS_RE33!$H$7:$H$874,BS_RE33!$S$7:$S$874,$AK$2,BS_RE33!$N$7:$N$874,I40,BS_RE33!$P$7:$P$874,'30 days CF Table(USD)'!G40,BS_RE33!$F$7:$F$874,'30 days CF Table(USD)'!$C$2)</f>
        <v>0</v>
      </c>
      <c r="AL40" s="337">
        <f>SUMIFS(BS_RE33!$H$7:$H$874,BS_RE33!$S$7:$S$874,$AL$2,BS_RE33!$N$7:$N$874,I40,BS_RE33!$P$7:$P$874,'30 days CF Table(USD)'!G40,BS_RE33!$F$7:$F$874,'30 days CF Table(USD)'!$C$2)</f>
        <v>0</v>
      </c>
      <c r="AM40" s="337">
        <f>SUMIFS(BS_RE33!$H$7:$H$874,BS_RE33!$S$7:$S$874,$AM$2,BS_RE33!$N$7:$N$874,I40,BS_RE33!$P$7:$P$874,'30 days CF Table(USD)'!G40,BS_RE33!$F$7:$F$874,'30 days CF Table(USD)'!$C$2)</f>
        <v>0</v>
      </c>
      <c r="AN40" s="337">
        <f>SUMIFS(BS_RE33!$H$7:$H$874,BS_RE33!$S$7:$S$874,$AN$2,BS_RE33!$N$7:$N$874,I40,BS_RE33!$P$7:$P$874,'30 days CF Table(USD)'!G40,BS_RE33!$F$7:$F$874,'30 days CF Table(USD)'!$C$2)</f>
        <v>0</v>
      </c>
      <c r="AO40" s="337">
        <f>SUMIFS(BS_RE33!$H$7:$H$874,BS_RE33!$S$7:$S$874,$AO$2,BS_RE33!$N$7:$N$874,I40,BS_RE33!$P$7:$P$874,'30 days CF Table(USD)'!G40,BS_RE33!$F$7:$F$874,'30 days CF Table(USD)'!$C$2)</f>
        <v>0</v>
      </c>
      <c r="AP40" s="338">
        <f>SUMIFS(BS_RE33!$H$7:$H$874,BS_RE33!$S$7:$S$874,$AP$2,BS_RE33!$N$7:$N$874,I40,BS_RE33!$P$7:$P$874,'30 days CF Table(USD)'!G40,BS_RE33!$F$7:$F$874,'30 days CF Table(USD)'!$C$2)</f>
        <v>0</v>
      </c>
      <c r="AR40" s="379">
        <f>SUMIFS(BS_RE33!$H$7:$H$874,BS_RE33!$S$7:$S$874,$AR$2,BS_RE33!$N$7:$N$874,I40,BS_RE33!$P$7:$P$874,'30 days CF Table(USD)'!G40,BS_RE33!$F$7:$F$874,'30 days CF Table(USD)'!$C$2)</f>
        <v>0</v>
      </c>
      <c r="AS40" s="379">
        <f>SUMIFS(BS_RE33!$H$7:$H$874,BS_RE33!$S$7:$S$874,$AS$2,BS_RE33!$N$7:$N$874,I40,BS_RE33!$P$7:$P$874,'30 days CF Table(USD)'!G40,BS_RE33!$F$7:$F$874,'30 days CF Table(USD)'!$C$2)</f>
        <v>0</v>
      </c>
      <c r="AT40" s="379">
        <f>SUMIFS(BS_RE33!$H$7:$H$874,BS_RE33!$S$7:$S$874,$AT$2,BS_RE33!$N$7:$N$874,I40,BS_RE33!$P$7:$P$874,'30 days CF Table(USD)'!G40,BS_RE33!$F$7:$F$874,'30 days CF Table(USD)'!$C$2)</f>
        <v>0</v>
      </c>
      <c r="AU40" s="379">
        <f>SUMIFS(BS_RE33!$H$7:$H$874,BS_RE33!$S$7:$S$874,$AU$2,BS_RE33!$N$7:$N$874,I40,BS_RE33!$P$7:$P$874,'30 days CF Table(USD)'!G40,BS_RE33!$F$7:$F$874,'30 days CF Table(USD)'!$C$2)</f>
        <v>0</v>
      </c>
      <c r="AV40" s="379">
        <f>SUMIFS(BS_RE33!$H$7:$H$874,BS_RE33!$S$7:$S$874,$AV$2,BS_RE33!$N$7:$N$874,I40,BS_RE33!$P$7:$P$874,'30 days CF Table(USD)'!G40,BS_RE33!$F$7:$F$874,'30 days CF Table(USD)'!$C$2)</f>
        <v>0</v>
      </c>
      <c r="AW40" s="379">
        <f>SUMIFS(BS_RE33!$H$7:$H$874,BS_RE33!$S$7:$S$874,$AW$2,BS_RE33!$N$7:$N$874,I40,BS_RE33!$P$7:$P$874,'30 days CF Table(USD)'!G40,BS_RE33!$F$7:$F$874,'30 days CF Table(USD)'!$C$2)</f>
        <v>0</v>
      </c>
      <c r="AX40" s="379">
        <f>SUMIFS(BS_RE33!$H$7:$H$874,BS_RE33!$S$7:$S$874,$AX$2,BS_RE33!$N$7:$N$874,I40,BS_RE33!$P$7:$P$874,'30 days CF Table(USD)'!G40,BS_RE33!$F$7:$F$874,'30 days CF Table(USD)'!$C$2)</f>
        <v>0</v>
      </c>
      <c r="AY40" s="379">
        <f>SUMIFS(BS_RE33!$H$7:$H$874,BS_RE33!$S$7:$S$874,$AY$2,BS_RE33!$N$7:$N$874,I40,BS_RE33!$P$7:$P$874,'30 days CF Table(USD)'!G40,BS_RE33!$F$7:$F$874,'30 days CF Table(USD)'!$C$2)</f>
        <v>0</v>
      </c>
      <c r="AZ40" s="379">
        <f>SUMIFS(BS_RE33!$H$7:$H$874,BS_RE33!$S$7:$S$874,$AZ$2,BS_RE33!$N$7:$N$874,I40,BS_RE33!$P$7:$P$874,'30 days CF Table(USD)'!G40,BS_RE33!$F$7:$F$874,'30 days CF Table(USD)'!$C$2)</f>
        <v>0</v>
      </c>
      <c r="BA40" s="379">
        <f>SUMIFS(BS_RE33!$H$7:$H$874,BS_RE33!$S$7:$S$874,$BA$2,BS_RE33!$N$7:$N$874,I40,BS_RE33!$P$7:$P$874,'30 days CF Table(USD)'!G40,BS_RE33!$F$7:$F$874,'30 days CF Table(USD)'!$C$2)</f>
        <v>0</v>
      </c>
      <c r="BB40" s="379">
        <f>SUMIFS(BS_RE33!$H$7:$H$874,BS_RE33!$S$7:$S$874,$BB$2,BS_RE33!$N$7:$N$874,I40,BS_RE33!$P$7:$P$874,'30 days CF Table(USD)'!G40,BS_RE33!$F$7:$F$874,'30 days CF Table(USD)'!$C$2)</f>
        <v>0</v>
      </c>
      <c r="BC40" s="379">
        <f>SUMIFS(BS_RE33!$H$7:$H$874,BS_RE33!$S$7:$S$874,$BC$2,BS_RE33!$N$7:$N$874,I40,BS_RE33!$P$7:$P$874,'30 days CF Table(USD)'!G40,BS_RE33!$F$7:$F$874,'30 days CF Table(USD)'!$C$2)</f>
        <v>0</v>
      </c>
      <c r="BD40" s="379">
        <f>SUMIFS(BS_RE33!$H$7:$H$874,BS_RE33!$S$7:$S$874,$BD$2,BS_RE33!$N$7:$N$874,I40,BS_RE33!$P$7:$P$874,'30 days CF Table(USD)'!G40,BS_RE33!$F$7:$F$874,'30 days CF Table(USD)'!$C$2)</f>
        <v>0</v>
      </c>
      <c r="BE40" s="379">
        <f>SUMIFS(BS_RE33!$H$7:$H$874,BS_RE33!$S$7:$S$874,$BE$2,BS_RE33!$N$7:$N$874,I40,BS_RE33!$P$7:$P$874,'30 days CF Table(USD)'!G40,BS_RE33!$F$7:$F$874,'30 days CF Table(USD)'!$C$2)</f>
        <v>0</v>
      </c>
      <c r="BF40" s="379">
        <f>SUMIFS(BS_RE33!$H$7:$H$874,BS_RE33!$S$7:$S$874,$BF$2,BS_RE33!$N$7:$N$874,I40,BS_RE33!$P$7:$P$874,'30 days CF Table(USD)'!G40,BS_RE33!$F$7:$F$874,'30 days CF Table(USD)'!$C$2)</f>
        <v>0</v>
      </c>
      <c r="BG40" s="379">
        <f>SUMIFS(BS_RE33!$H$7:$H$874,BS_RE33!$S$7:$S$874,$BG$2,BS_RE33!$N$7:$N$874,I40,BS_RE33!$P$7:$P$874,'30 days CF Table(USD)'!G40,BS_RE33!$F$7:$F$874,'30 days CF Table(USD)'!$C$2)</f>
        <v>0</v>
      </c>
      <c r="BH40" s="379">
        <f>SUMIFS(BS_RE33!$H$7:$H$874,BS_RE33!$S$7:$S$874,$BH$2,BS_RE33!$N$7:$N$874,I40,BS_RE33!$P$7:$P$874,'30 days CF Table(USD)'!G40,BS_RE33!$F$7:$F$874,'30 days CF Table(USD)'!$C$2)</f>
        <v>0</v>
      </c>
      <c r="BI40" s="379">
        <f>SUMIFS(BS_RE33!$H$7:$H$874,BS_RE33!$S$7:$S$874,$BI$2,BS_RE33!$N$7:$N$874,I40,BS_RE33!$P$7:$P$874,'30 days CF Table(USD)'!G40,BS_RE33!$F$7:$F$874,'30 days CF Table(USD)'!$C$2)</f>
        <v>0</v>
      </c>
      <c r="BJ40" s="379">
        <f>SUMIFS(BS_RE33!$H$7:$H$874,BS_RE33!$S$7:$S$874,$BJ$2,BS_RE33!$N$7:$N$874,I40,BS_RE33!$P$7:$P$874,'30 days CF Table(USD)'!G40,BS_RE33!$F$7:$F$874,'30 days CF Table(USD)'!$C$2)</f>
        <v>0</v>
      </c>
      <c r="BK40" s="379">
        <f>SUMIFS(BS_RE33!$H$7:$H$874,BS_RE33!$S$7:$S$874,$BK$2,BS_RE33!$N$7:$N$874,I40,BS_RE33!$P$7:$P$874,'30 days CF Table(USD)'!G40,BS_RE33!$F$7:$F$874,'30 days CF Table(USD)'!$C$2)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Table(USD)'!G41,BS_RE33!$F$7:$F$874,'30 days CF Table(USD)'!$C$2)</f>
        <v>0</v>
      </c>
      <c r="M41" s="337">
        <f>SUMIFS(BS_RE33!$H$7:$H$874,BS_RE33!$S$7:$S$874,$M$2,BS_RE33!$N$7:$N$874,I41,BS_RE33!$P$7:$P$874,'30 days CF Table(USD)'!G41,BS_RE33!$F$7:$F$874,'30 days CF Table(USD)'!$C$2)</f>
        <v>0</v>
      </c>
      <c r="N41" s="337">
        <f>SUMIFS(BS_RE33!$H$7:$H$874,BS_RE33!$S$7:$S$874,$N$2,BS_RE33!$N$7:$N$874,I41,BS_RE33!$P$7:$P$874,'30 days CF Table(USD)'!G41,BS_RE33!$F$7:$F$874,'30 days CF Table(USD)'!$C$2)</f>
        <v>0</v>
      </c>
      <c r="O41" s="337">
        <f>SUMIFS(BS_RE33!$H$7:$H$874,BS_RE33!$S$7:$S$874,$O$2,BS_RE33!$N$7:$N$874,I41,BS_RE33!$P$7:$P$874,'30 days CF Table(USD)'!G41,BS_RE33!$F$7:$F$874,'30 days CF Table(USD)'!$C$2)</f>
        <v>0</v>
      </c>
      <c r="P41" s="337">
        <f>SUMIFS(BS_RE33!$H$7:$H$874,BS_RE33!$S$7:$S$874,$P$2,BS_RE33!$N$7:$N$874,I41,BS_RE33!$P$7:$P$874,'30 days CF Table(USD)'!G41,BS_RE33!$F$7:$F$874,'30 days CF Table(USD)'!$C$2)</f>
        <v>0</v>
      </c>
      <c r="Q41" s="337">
        <f>SUMIFS(BS_RE33!$H$7:$H$874,BS_RE33!$S$7:$S$874,$Q$2,BS_RE33!$N$7:$N$874,I41,BS_RE33!$P$7:$P$874,'30 days CF Table(USD)'!G41,BS_RE33!$F$7:$F$874,'30 days CF Table(USD)'!$C$2)</f>
        <v>0</v>
      </c>
      <c r="R41" s="337">
        <f>SUMIFS(BS_RE33!$H$7:$H$874,BS_RE33!$S$7:$S$874,$R$2,BS_RE33!$N$7:$N$874,I41,BS_RE33!$P$7:$P$874,'30 days CF Table(USD)'!G41,BS_RE33!$F$7:$F$874,'30 days CF Table(USD)'!$C$2)</f>
        <v>0</v>
      </c>
      <c r="S41" s="337">
        <f>SUMIFS(BS_RE33!$H$7:$H$874,BS_RE33!$S$7:$S$874,$S$2,BS_RE33!$N$7:$N$874,I41,BS_RE33!$P$7:$P$874,'30 days CF Table(USD)'!G41,BS_RE33!$F$7:$F$874,'30 days CF Table(USD)'!$C$2)</f>
        <v>0</v>
      </c>
      <c r="T41" s="337">
        <f>SUMIFS(BS_RE33!$H$7:$H$874,BS_RE33!$S$7:$S$874,$T$2,BS_RE33!$N$7:$N$874,I41,BS_RE33!$P$7:$P$874,'30 days CF Table(USD)'!G41,BS_RE33!$F$7:$F$874,'30 days CF Table(USD)'!$C$2)</f>
        <v>0</v>
      </c>
      <c r="U41" s="337">
        <f>SUMIFS(BS_RE33!$H$7:$H$874,BS_RE33!$S$7:$S$874,$U$2,BS_RE33!$N$7:$N$874,I41,BS_RE33!$P$7:$P$874,'30 days CF Table(USD)'!G41,BS_RE33!$F$7:$F$874,'30 days CF Table(USD)'!$C$2)</f>
        <v>0</v>
      </c>
      <c r="V41" s="337">
        <f>SUMIFS(BS_RE33!$H$7:$H$874,BS_RE33!$S$7:$S$874,$V$2,BS_RE33!$N$7:$N$874,I41,BS_RE33!$P$7:$P$874,'30 days CF Table(USD)'!G41,BS_RE33!$F$7:$F$874,'30 days CF Table(USD)'!$C$2)</f>
        <v>0</v>
      </c>
      <c r="W41" s="337">
        <f>SUMIFS(BS_RE33!$H$7:$H$874,BS_RE33!$S$7:$S$874,$W$2,BS_RE33!$N$7:$N$874,I41,BS_RE33!$P$7:$P$874,'30 days CF Table(USD)'!G41,BS_RE33!$F$7:$F$874,'30 days CF Table(USD)'!$C$2)</f>
        <v>0</v>
      </c>
      <c r="X41" s="337">
        <f>SUMIFS(BS_RE33!$H$7:$H$874,BS_RE33!$S$7:$S$874,$X$2,BS_RE33!$N$7:$N$874,I41,BS_RE33!$P$7:$P$874,'30 days CF Table(USD)'!G41,BS_RE33!$F$7:$F$874,'30 days CF Table(USD)'!$C$2)</f>
        <v>0</v>
      </c>
      <c r="Y41" s="337">
        <f>SUMIFS(BS_RE33!$H$7:$H$874,BS_RE33!$S$7:$S$874,$Y$2,BS_RE33!$N$7:$N$874,I41,BS_RE33!$P$7:$P$874,'30 days CF Table(USD)'!G41,BS_RE33!$F$7:$F$874,'30 days CF Table(USD)'!$C$2)</f>
        <v>0</v>
      </c>
      <c r="Z41" s="337">
        <f>SUMIFS(BS_RE33!$H$7:$H$874,BS_RE33!$S$7:$S$874,$Z$2,BS_RE33!$N$7:$N$874,I41,BS_RE33!$P$7:$P$874,'30 days CF Table(USD)'!G41,BS_RE33!$F$7:$F$874,'30 days CF Table(USD)'!$C$2)</f>
        <v>0</v>
      </c>
      <c r="AA41" s="337">
        <f>SUMIFS(BS_RE33!$H$7:$H$874,BS_RE33!$S$7:$S$874,$AA$2,BS_RE33!$N$7:$N$874,I41,BS_RE33!$P$7:$P$874,'30 days CF Table(USD)'!G41,BS_RE33!$F$7:$F$874,'30 days CF Table(USD)'!$C$2)</f>
        <v>0</v>
      </c>
      <c r="AB41" s="337">
        <f>SUMIFS(BS_RE33!$H$7:$H$874,BS_RE33!$S$7:$S$874,$AB$2,BS_RE33!$N$7:$N$874,I41,BS_RE33!$P$7:$P$874,'30 days CF Table(USD)'!G41,BS_RE33!$F$7:$F$874,'30 days CF Table(USD)'!$C$2)</f>
        <v>0</v>
      </c>
      <c r="AC41" s="337">
        <f>SUMIFS(BS_RE33!$H$7:$H$874,BS_RE33!$S$7:$S$874,$AC$2,BS_RE33!$N$7:$N$874,I41,BS_RE33!$P$7:$P$874,'30 days CF Table(USD)'!G41,BS_RE33!$F$7:$F$874,'30 days CF Table(USD)'!$C$2)</f>
        <v>0</v>
      </c>
      <c r="AD41" s="337">
        <f>SUMIFS(BS_RE33!$H$7:$H$874,BS_RE33!$S$7:$S$874,$AD$2,BS_RE33!$N$7:$N$874,I41,BS_RE33!$P$7:$P$874,'30 days CF Table(USD)'!G41,BS_RE33!$F$7:$F$874,'30 days CF Table(USD)'!$C$2)</f>
        <v>0</v>
      </c>
      <c r="AE41" s="337">
        <f>SUMIFS(BS_RE33!$H$7:$H$874,BS_RE33!$S$7:$S$874,$AE$2,BS_RE33!$N$7:$N$874,I41,BS_RE33!$P$7:$P$874,'30 days CF Table(USD)'!G41,BS_RE33!$F$7:$F$874,'30 days CF Table(USD)'!$C$2)</f>
        <v>0</v>
      </c>
      <c r="AF41" s="337">
        <f>SUMIFS(BS_RE33!$H$7:$H$874,BS_RE33!$S$7:$S$874,$AF$2,BS_RE33!$N$7:$N$874,I41,BS_RE33!$P$7:$P$874,'30 days CF Table(USD)'!G41,BS_RE33!$F$7:$F$874,'30 days CF Table(USD)'!$C$2)</f>
        <v>0</v>
      </c>
      <c r="AG41" s="337">
        <f>SUMIFS(BS_RE33!$H$7:$H$874,BS_RE33!$S$7:$S$874,$AG$2,BS_RE33!$N$7:$N$874,I41,BS_RE33!$P$7:$P$874,'30 days CF Table(USD)'!G41,BS_RE33!$F$7:$F$874,'30 days CF Table(USD)'!$C$2)</f>
        <v>0</v>
      </c>
      <c r="AH41" s="337">
        <f>SUMIFS(BS_RE33!$H$7:$H$874,BS_RE33!$S$7:$S$874,$AH$2,BS_RE33!$N$7:$N$874,I41,BS_RE33!$P$7:$P$874,'30 days CF Table(USD)'!G41,BS_RE33!$F$7:$F$874,'30 days CF Table(USD)'!$C$2)</f>
        <v>0</v>
      </c>
      <c r="AI41" s="337">
        <f>SUMIFS(BS_RE33!$H$7:$H$874,BS_RE33!$S$7:$S$874,$AI$2,BS_RE33!$N$7:$N$874,I41,BS_RE33!$P$7:$P$874,'30 days CF Table(USD)'!G41,BS_RE33!$F$7:$F$874,'30 days CF Table(USD)'!$C$2)</f>
        <v>0</v>
      </c>
      <c r="AJ41" s="337">
        <f>SUMIFS(BS_RE33!$H$7:$H$874,BS_RE33!$S$7:$S$874,$AJ$2,BS_RE33!$N$7:$N$874,I41,BS_RE33!$P$7:$P$874,'30 days CF Table(USD)'!G41,BS_RE33!$F$7:$F$874,'30 days CF Table(USD)'!$C$2)</f>
        <v>0</v>
      </c>
      <c r="AK41" s="337">
        <f>SUMIFS(BS_RE33!$H$7:$H$874,BS_RE33!$S$7:$S$874,$AK$2,BS_RE33!$N$7:$N$874,I41,BS_RE33!$P$7:$P$874,'30 days CF Table(USD)'!G41,BS_RE33!$F$7:$F$874,'30 days CF Table(USD)'!$C$2)</f>
        <v>0</v>
      </c>
      <c r="AL41" s="337">
        <f>SUMIFS(BS_RE33!$H$7:$H$874,BS_RE33!$S$7:$S$874,$AL$2,BS_RE33!$N$7:$N$874,I41,BS_RE33!$P$7:$P$874,'30 days CF Table(USD)'!G41,BS_RE33!$F$7:$F$874,'30 days CF Table(USD)'!$C$2)</f>
        <v>0</v>
      </c>
      <c r="AM41" s="337">
        <f>SUMIFS(BS_RE33!$H$7:$H$874,BS_RE33!$S$7:$S$874,$AM$2,BS_RE33!$N$7:$N$874,I41,BS_RE33!$P$7:$P$874,'30 days CF Table(USD)'!G41,BS_RE33!$F$7:$F$874,'30 days CF Table(USD)'!$C$2)</f>
        <v>0</v>
      </c>
      <c r="AN41" s="337">
        <f>SUMIFS(BS_RE33!$H$7:$H$874,BS_RE33!$S$7:$S$874,$AN$2,BS_RE33!$N$7:$N$874,I41,BS_RE33!$P$7:$P$874,'30 days CF Table(USD)'!G41,BS_RE33!$F$7:$F$874,'30 days CF Table(USD)'!$C$2)</f>
        <v>0</v>
      </c>
      <c r="AO41" s="337">
        <f>SUMIFS(BS_RE33!$H$7:$H$874,BS_RE33!$S$7:$S$874,$AO$2,BS_RE33!$N$7:$N$874,I41,BS_RE33!$P$7:$P$874,'30 days CF Table(USD)'!G41,BS_RE33!$F$7:$F$874,'30 days CF Table(USD)'!$C$2)</f>
        <v>0</v>
      </c>
      <c r="AP41" s="338">
        <f>SUMIFS(BS_RE33!$H$7:$H$874,BS_RE33!$S$7:$S$874,$AP$2,BS_RE33!$N$7:$N$874,I41,BS_RE33!$P$7:$P$874,'30 days CF Table(USD)'!G41,BS_RE33!$F$7:$F$874,'30 days CF Table(USD)'!$C$2)</f>
        <v>0</v>
      </c>
      <c r="AR41" s="379">
        <f>SUMIFS(BS_RE33!$H$7:$H$874,BS_RE33!$S$7:$S$874,$AR$2,BS_RE33!$N$7:$N$874,I41,BS_RE33!$P$7:$P$874,'30 days CF Table(USD)'!G41,BS_RE33!$F$7:$F$874,'30 days CF Table(USD)'!$C$2)</f>
        <v>0</v>
      </c>
      <c r="AS41" s="379">
        <f>SUMIFS(BS_RE33!$H$7:$H$874,BS_RE33!$S$7:$S$874,$AS$2,BS_RE33!$N$7:$N$874,I41,BS_RE33!$P$7:$P$874,'30 days CF Table(USD)'!G41,BS_RE33!$F$7:$F$874,'30 days CF Table(USD)'!$C$2)</f>
        <v>0</v>
      </c>
      <c r="AT41" s="379">
        <f>SUMIFS(BS_RE33!$H$7:$H$874,BS_RE33!$S$7:$S$874,$AT$2,BS_RE33!$N$7:$N$874,I41,BS_RE33!$P$7:$P$874,'30 days CF Table(USD)'!G41,BS_RE33!$F$7:$F$874,'30 days CF Table(USD)'!$C$2)</f>
        <v>0</v>
      </c>
      <c r="AU41" s="379">
        <f>SUMIFS(BS_RE33!$H$7:$H$874,BS_RE33!$S$7:$S$874,$AU$2,BS_RE33!$N$7:$N$874,I41,BS_RE33!$P$7:$P$874,'30 days CF Table(USD)'!G41,BS_RE33!$F$7:$F$874,'30 days CF Table(USD)'!$C$2)</f>
        <v>0</v>
      </c>
      <c r="AV41" s="379">
        <f>SUMIFS(BS_RE33!$H$7:$H$874,BS_RE33!$S$7:$S$874,$AV$2,BS_RE33!$N$7:$N$874,I41,BS_RE33!$P$7:$P$874,'30 days CF Table(USD)'!G41,BS_RE33!$F$7:$F$874,'30 days CF Table(USD)'!$C$2)</f>
        <v>0</v>
      </c>
      <c r="AW41" s="379">
        <f>SUMIFS(BS_RE33!$H$7:$H$874,BS_RE33!$S$7:$S$874,$AW$2,BS_RE33!$N$7:$N$874,I41,BS_RE33!$P$7:$P$874,'30 days CF Table(USD)'!G41,BS_RE33!$F$7:$F$874,'30 days CF Table(USD)'!$C$2)</f>
        <v>0</v>
      </c>
      <c r="AX41" s="379">
        <f>SUMIFS(BS_RE33!$H$7:$H$874,BS_RE33!$S$7:$S$874,$AX$2,BS_RE33!$N$7:$N$874,I41,BS_RE33!$P$7:$P$874,'30 days CF Table(USD)'!G41,BS_RE33!$F$7:$F$874,'30 days CF Table(USD)'!$C$2)</f>
        <v>0</v>
      </c>
      <c r="AY41" s="379">
        <f>SUMIFS(BS_RE33!$H$7:$H$874,BS_RE33!$S$7:$S$874,$AY$2,BS_RE33!$N$7:$N$874,I41,BS_RE33!$P$7:$P$874,'30 days CF Table(USD)'!G41,BS_RE33!$F$7:$F$874,'30 days CF Table(USD)'!$C$2)</f>
        <v>0</v>
      </c>
      <c r="AZ41" s="379">
        <f>SUMIFS(BS_RE33!$H$7:$H$874,BS_RE33!$S$7:$S$874,$AZ$2,BS_RE33!$N$7:$N$874,I41,BS_RE33!$P$7:$P$874,'30 days CF Table(USD)'!G41,BS_RE33!$F$7:$F$874,'30 days CF Table(USD)'!$C$2)</f>
        <v>0</v>
      </c>
      <c r="BA41" s="379">
        <f>SUMIFS(BS_RE33!$H$7:$H$874,BS_RE33!$S$7:$S$874,$BA$2,BS_RE33!$N$7:$N$874,I41,BS_RE33!$P$7:$P$874,'30 days CF Table(USD)'!G41,BS_RE33!$F$7:$F$874,'30 days CF Table(USD)'!$C$2)</f>
        <v>0</v>
      </c>
      <c r="BB41" s="379">
        <f>SUMIFS(BS_RE33!$H$7:$H$874,BS_RE33!$S$7:$S$874,$BB$2,BS_RE33!$N$7:$N$874,I41,BS_RE33!$P$7:$P$874,'30 days CF Table(USD)'!G41,BS_RE33!$F$7:$F$874,'30 days CF Table(USD)'!$C$2)</f>
        <v>0</v>
      </c>
      <c r="BC41" s="379">
        <f>SUMIFS(BS_RE33!$H$7:$H$874,BS_RE33!$S$7:$S$874,$BC$2,BS_RE33!$N$7:$N$874,I41,BS_RE33!$P$7:$P$874,'30 days CF Table(USD)'!G41,BS_RE33!$F$7:$F$874,'30 days CF Table(USD)'!$C$2)</f>
        <v>0</v>
      </c>
      <c r="BD41" s="379">
        <f>SUMIFS(BS_RE33!$H$7:$H$874,BS_RE33!$S$7:$S$874,$BD$2,BS_RE33!$N$7:$N$874,I41,BS_RE33!$P$7:$P$874,'30 days CF Table(USD)'!G41,BS_RE33!$F$7:$F$874,'30 days CF Table(USD)'!$C$2)</f>
        <v>0</v>
      </c>
      <c r="BE41" s="379">
        <f>SUMIFS(BS_RE33!$H$7:$H$874,BS_RE33!$S$7:$S$874,$BE$2,BS_RE33!$N$7:$N$874,I41,BS_RE33!$P$7:$P$874,'30 days CF Table(USD)'!G41,BS_RE33!$F$7:$F$874,'30 days CF Table(USD)'!$C$2)</f>
        <v>0</v>
      </c>
      <c r="BF41" s="379">
        <f>SUMIFS(BS_RE33!$H$7:$H$874,BS_RE33!$S$7:$S$874,$BF$2,BS_RE33!$N$7:$N$874,I41,BS_RE33!$P$7:$P$874,'30 days CF Table(USD)'!G41,BS_RE33!$F$7:$F$874,'30 days CF Table(USD)'!$C$2)</f>
        <v>0</v>
      </c>
      <c r="BG41" s="379">
        <f>SUMIFS(BS_RE33!$H$7:$H$874,BS_RE33!$S$7:$S$874,$BG$2,BS_RE33!$N$7:$N$874,I41,BS_RE33!$P$7:$P$874,'30 days CF Table(USD)'!G41,BS_RE33!$F$7:$F$874,'30 days CF Table(USD)'!$C$2)</f>
        <v>0</v>
      </c>
      <c r="BH41" s="379">
        <f>SUMIFS(BS_RE33!$H$7:$H$874,BS_RE33!$S$7:$S$874,$BH$2,BS_RE33!$N$7:$N$874,I41,BS_RE33!$P$7:$P$874,'30 days CF Table(USD)'!G41,BS_RE33!$F$7:$F$874,'30 days CF Table(USD)'!$C$2)</f>
        <v>0</v>
      </c>
      <c r="BI41" s="379">
        <f>SUMIFS(BS_RE33!$H$7:$H$874,BS_RE33!$S$7:$S$874,$BI$2,BS_RE33!$N$7:$N$874,I41,BS_RE33!$P$7:$P$874,'30 days CF Table(USD)'!G41,BS_RE33!$F$7:$F$874,'30 days CF Table(USD)'!$C$2)</f>
        <v>0</v>
      </c>
      <c r="BJ41" s="379">
        <f>SUMIFS(BS_RE33!$H$7:$H$874,BS_RE33!$S$7:$S$874,$BJ$2,BS_RE33!$N$7:$N$874,I41,BS_RE33!$P$7:$P$874,'30 days CF Table(USD)'!G41,BS_RE33!$F$7:$F$874,'30 days CF Table(USD)'!$C$2)</f>
        <v>0</v>
      </c>
      <c r="BK41" s="379">
        <f>SUMIFS(BS_RE33!$H$7:$H$874,BS_RE33!$S$7:$S$874,$BK$2,BS_RE33!$N$7:$N$874,I41,BS_RE33!$P$7:$P$874,'30 days CF Table(USD)'!G41,BS_RE33!$F$7:$F$874,'30 days CF Table(USD)'!$C$2)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Table(USD)'!G42,BS_RE33!$F$7:$F$874,'30 days CF Table(USD)'!$C$2)</f>
        <v>0</v>
      </c>
      <c r="M42" s="337">
        <f>SUMIFS(BS_RE33!$H$7:$H$874,BS_RE33!$S$7:$S$874,$M$2,BS_RE33!$N$7:$N$874,I42,BS_RE33!$P$7:$P$874,'30 days CF Table(USD)'!G42,BS_RE33!$F$7:$F$874,'30 days CF Table(USD)'!$C$2)</f>
        <v>0</v>
      </c>
      <c r="N42" s="337">
        <f>SUMIFS(BS_RE33!$H$7:$H$874,BS_RE33!$S$7:$S$874,$N$2,BS_RE33!$N$7:$N$874,I42,BS_RE33!$P$7:$P$874,'30 days CF Table(USD)'!G42,BS_RE33!$F$7:$F$874,'30 days CF Table(USD)'!$C$2)</f>
        <v>0</v>
      </c>
      <c r="O42" s="337">
        <f>SUMIFS(BS_RE33!$H$7:$H$874,BS_RE33!$S$7:$S$874,$O$2,BS_RE33!$N$7:$N$874,I42,BS_RE33!$P$7:$P$874,'30 days CF Table(USD)'!G42,BS_RE33!$F$7:$F$874,'30 days CF Table(USD)'!$C$2)</f>
        <v>0</v>
      </c>
      <c r="P42" s="337">
        <f>SUMIFS(BS_RE33!$H$7:$H$874,BS_RE33!$S$7:$S$874,$P$2,BS_RE33!$N$7:$N$874,I42,BS_RE33!$P$7:$P$874,'30 days CF Table(USD)'!G42,BS_RE33!$F$7:$F$874,'30 days CF Table(USD)'!$C$2)</f>
        <v>0</v>
      </c>
      <c r="Q42" s="337">
        <f>SUMIFS(BS_RE33!$H$7:$H$874,BS_RE33!$S$7:$S$874,$Q$2,BS_RE33!$N$7:$N$874,I42,BS_RE33!$P$7:$P$874,'30 days CF Table(USD)'!G42,BS_RE33!$F$7:$F$874,'30 days CF Table(USD)'!$C$2)</f>
        <v>0</v>
      </c>
      <c r="R42" s="337">
        <f>SUMIFS(BS_RE33!$H$7:$H$874,BS_RE33!$S$7:$S$874,$R$2,BS_RE33!$N$7:$N$874,I42,BS_RE33!$P$7:$P$874,'30 days CF Table(USD)'!G42,BS_RE33!$F$7:$F$874,'30 days CF Table(USD)'!$C$2)</f>
        <v>0</v>
      </c>
      <c r="S42" s="337">
        <f>SUMIFS(BS_RE33!$H$7:$H$874,BS_RE33!$S$7:$S$874,$S$2,BS_RE33!$N$7:$N$874,I42,BS_RE33!$P$7:$P$874,'30 days CF Table(USD)'!G42,BS_RE33!$F$7:$F$874,'30 days CF Table(USD)'!$C$2)</f>
        <v>0</v>
      </c>
      <c r="T42" s="337">
        <f>SUMIFS(BS_RE33!$H$7:$H$874,BS_RE33!$S$7:$S$874,$T$2,BS_RE33!$N$7:$N$874,I42,BS_RE33!$P$7:$P$874,'30 days CF Table(USD)'!G42,BS_RE33!$F$7:$F$874,'30 days CF Table(USD)'!$C$2)</f>
        <v>0</v>
      </c>
      <c r="U42" s="337">
        <f>SUMIFS(BS_RE33!$H$7:$H$874,BS_RE33!$S$7:$S$874,$U$2,BS_RE33!$N$7:$N$874,I42,BS_RE33!$P$7:$P$874,'30 days CF Table(USD)'!G42,BS_RE33!$F$7:$F$874,'30 days CF Table(USD)'!$C$2)</f>
        <v>0</v>
      </c>
      <c r="V42" s="337">
        <f>SUMIFS(BS_RE33!$H$7:$H$874,BS_RE33!$S$7:$S$874,$V$2,BS_RE33!$N$7:$N$874,I42,BS_RE33!$P$7:$P$874,'30 days CF Table(USD)'!G42,BS_RE33!$F$7:$F$874,'30 days CF Table(USD)'!$C$2)</f>
        <v>0</v>
      </c>
      <c r="W42" s="337">
        <f>SUMIFS(BS_RE33!$H$7:$H$874,BS_RE33!$S$7:$S$874,$W$2,BS_RE33!$N$7:$N$874,I42,BS_RE33!$P$7:$P$874,'30 days CF Table(USD)'!G42,BS_RE33!$F$7:$F$874,'30 days CF Table(USD)'!$C$2)</f>
        <v>0</v>
      </c>
      <c r="X42" s="337">
        <f>SUMIFS(BS_RE33!$H$7:$H$874,BS_RE33!$S$7:$S$874,$X$2,BS_RE33!$N$7:$N$874,I42,BS_RE33!$P$7:$P$874,'30 days CF Table(USD)'!G42,BS_RE33!$F$7:$F$874,'30 days CF Table(USD)'!$C$2)</f>
        <v>0</v>
      </c>
      <c r="Y42" s="337">
        <f>SUMIFS(BS_RE33!$H$7:$H$874,BS_RE33!$S$7:$S$874,$Y$2,BS_RE33!$N$7:$N$874,I42,BS_RE33!$P$7:$P$874,'30 days CF Table(USD)'!G42,BS_RE33!$F$7:$F$874,'30 days CF Table(USD)'!$C$2)</f>
        <v>0</v>
      </c>
      <c r="Z42" s="337">
        <f>SUMIFS(BS_RE33!$H$7:$H$874,BS_RE33!$S$7:$S$874,$Z$2,BS_RE33!$N$7:$N$874,I42,BS_RE33!$P$7:$P$874,'30 days CF Table(USD)'!G42,BS_RE33!$F$7:$F$874,'30 days CF Table(USD)'!$C$2)</f>
        <v>0</v>
      </c>
      <c r="AA42" s="337">
        <f>SUMIFS(BS_RE33!$H$7:$H$874,BS_RE33!$S$7:$S$874,$AA$2,BS_RE33!$N$7:$N$874,I42,BS_RE33!$P$7:$P$874,'30 days CF Table(USD)'!G42,BS_RE33!$F$7:$F$874,'30 days CF Table(USD)'!$C$2)</f>
        <v>0</v>
      </c>
      <c r="AB42" s="337">
        <f>SUMIFS(BS_RE33!$H$7:$H$874,BS_RE33!$S$7:$S$874,$AB$2,BS_RE33!$N$7:$N$874,I42,BS_RE33!$P$7:$P$874,'30 days CF Table(USD)'!G42,BS_RE33!$F$7:$F$874,'30 days CF Table(USD)'!$C$2)</f>
        <v>0</v>
      </c>
      <c r="AC42" s="337">
        <f>SUMIFS(BS_RE33!$H$7:$H$874,BS_RE33!$S$7:$S$874,$AC$2,BS_RE33!$N$7:$N$874,I42,BS_RE33!$P$7:$P$874,'30 days CF Table(USD)'!G42,BS_RE33!$F$7:$F$874,'30 days CF Table(USD)'!$C$2)</f>
        <v>0</v>
      </c>
      <c r="AD42" s="337">
        <f>SUMIFS(BS_RE33!$H$7:$H$874,BS_RE33!$S$7:$S$874,$AD$2,BS_RE33!$N$7:$N$874,I42,BS_RE33!$P$7:$P$874,'30 days CF Table(USD)'!G42,BS_RE33!$F$7:$F$874,'30 days CF Table(USD)'!$C$2)</f>
        <v>0</v>
      </c>
      <c r="AE42" s="337">
        <f>SUMIFS(BS_RE33!$H$7:$H$874,BS_RE33!$S$7:$S$874,$AE$2,BS_RE33!$N$7:$N$874,I42,BS_RE33!$P$7:$P$874,'30 days CF Table(USD)'!G42,BS_RE33!$F$7:$F$874,'30 days CF Table(USD)'!$C$2)</f>
        <v>0</v>
      </c>
      <c r="AF42" s="337">
        <f>SUMIFS(BS_RE33!$H$7:$H$874,BS_RE33!$S$7:$S$874,$AF$2,BS_RE33!$N$7:$N$874,I42,BS_RE33!$P$7:$P$874,'30 days CF Table(USD)'!G42,BS_RE33!$F$7:$F$874,'30 days CF Table(USD)'!$C$2)</f>
        <v>0</v>
      </c>
      <c r="AG42" s="337">
        <f>SUMIFS(BS_RE33!$H$7:$H$874,BS_RE33!$S$7:$S$874,$AG$2,BS_RE33!$N$7:$N$874,I42,BS_RE33!$P$7:$P$874,'30 days CF Table(USD)'!G42,BS_RE33!$F$7:$F$874,'30 days CF Table(USD)'!$C$2)</f>
        <v>0</v>
      </c>
      <c r="AH42" s="337">
        <f>SUMIFS(BS_RE33!$H$7:$H$874,BS_RE33!$S$7:$S$874,$AH$2,BS_RE33!$N$7:$N$874,I42,BS_RE33!$P$7:$P$874,'30 days CF Table(USD)'!G42,BS_RE33!$F$7:$F$874,'30 days CF Table(USD)'!$C$2)</f>
        <v>0</v>
      </c>
      <c r="AI42" s="337">
        <f>SUMIFS(BS_RE33!$H$7:$H$874,BS_RE33!$S$7:$S$874,$AI$2,BS_RE33!$N$7:$N$874,I42,BS_RE33!$P$7:$P$874,'30 days CF Table(USD)'!G42,BS_RE33!$F$7:$F$874,'30 days CF Table(USD)'!$C$2)</f>
        <v>0</v>
      </c>
      <c r="AJ42" s="337">
        <f>SUMIFS(BS_RE33!$H$7:$H$874,BS_RE33!$S$7:$S$874,$AJ$2,BS_RE33!$N$7:$N$874,I42,BS_RE33!$P$7:$P$874,'30 days CF Table(USD)'!G42,BS_RE33!$F$7:$F$874,'30 days CF Table(USD)'!$C$2)</f>
        <v>0</v>
      </c>
      <c r="AK42" s="337">
        <f>SUMIFS(BS_RE33!$H$7:$H$874,BS_RE33!$S$7:$S$874,$AK$2,BS_RE33!$N$7:$N$874,I42,BS_RE33!$P$7:$P$874,'30 days CF Table(USD)'!G42,BS_RE33!$F$7:$F$874,'30 days CF Table(USD)'!$C$2)</f>
        <v>0</v>
      </c>
      <c r="AL42" s="337">
        <f>SUMIFS(BS_RE33!$H$7:$H$874,BS_RE33!$S$7:$S$874,$AL$2,BS_RE33!$N$7:$N$874,I42,BS_RE33!$P$7:$P$874,'30 days CF Table(USD)'!G42,BS_RE33!$F$7:$F$874,'30 days CF Table(USD)'!$C$2)</f>
        <v>0</v>
      </c>
      <c r="AM42" s="337">
        <f>SUMIFS(BS_RE33!$H$7:$H$874,BS_RE33!$S$7:$S$874,$AM$2,BS_RE33!$N$7:$N$874,I42,BS_RE33!$P$7:$P$874,'30 days CF Table(USD)'!G42,BS_RE33!$F$7:$F$874,'30 days CF Table(USD)'!$C$2)</f>
        <v>0</v>
      </c>
      <c r="AN42" s="337">
        <f>SUMIFS(BS_RE33!$H$7:$H$874,BS_RE33!$S$7:$S$874,$AN$2,BS_RE33!$N$7:$N$874,I42,BS_RE33!$P$7:$P$874,'30 days CF Table(USD)'!G42,BS_RE33!$F$7:$F$874,'30 days CF Table(USD)'!$C$2)</f>
        <v>0</v>
      </c>
      <c r="AO42" s="337">
        <f>SUMIFS(BS_RE33!$H$7:$H$874,BS_RE33!$S$7:$S$874,$AO$2,BS_RE33!$N$7:$N$874,I42,BS_RE33!$P$7:$P$874,'30 days CF Table(USD)'!G42,BS_RE33!$F$7:$F$874,'30 days CF Table(USD)'!$C$2)</f>
        <v>0</v>
      </c>
      <c r="AP42" s="338">
        <f>SUMIFS(BS_RE33!$H$7:$H$874,BS_RE33!$S$7:$S$874,$AP$2,BS_RE33!$N$7:$N$874,I42,BS_RE33!$P$7:$P$874,'30 days CF Table(USD)'!G42,BS_RE33!$F$7:$F$874,'30 days CF Table(USD)'!$C$2)</f>
        <v>0</v>
      </c>
      <c r="AR42" s="379">
        <f>SUMIFS(BS_RE33!$H$7:$H$874,BS_RE33!$S$7:$S$874,$AR$2,BS_RE33!$N$7:$N$874,I42,BS_RE33!$P$7:$P$874,'30 days CF Table(USD)'!G42,BS_RE33!$F$7:$F$874,'30 days CF Table(USD)'!$C$2)</f>
        <v>0</v>
      </c>
      <c r="AS42" s="379">
        <f>SUMIFS(BS_RE33!$H$7:$H$874,BS_RE33!$S$7:$S$874,$AS$2,BS_RE33!$N$7:$N$874,I42,BS_RE33!$P$7:$P$874,'30 days CF Table(USD)'!G42,BS_RE33!$F$7:$F$874,'30 days CF Table(USD)'!$C$2)</f>
        <v>0</v>
      </c>
      <c r="AT42" s="379">
        <f>SUMIFS(BS_RE33!$H$7:$H$874,BS_RE33!$S$7:$S$874,$AT$2,BS_RE33!$N$7:$N$874,I42,BS_RE33!$P$7:$P$874,'30 days CF Table(USD)'!G42,BS_RE33!$F$7:$F$874,'30 days CF Table(USD)'!$C$2)</f>
        <v>0</v>
      </c>
      <c r="AU42" s="379">
        <f>SUMIFS(BS_RE33!$H$7:$H$874,BS_RE33!$S$7:$S$874,$AU$2,BS_RE33!$N$7:$N$874,I42,BS_RE33!$P$7:$P$874,'30 days CF Table(USD)'!G42,BS_RE33!$F$7:$F$874,'30 days CF Table(USD)'!$C$2)</f>
        <v>0</v>
      </c>
      <c r="AV42" s="379">
        <f>SUMIFS(BS_RE33!$H$7:$H$874,BS_RE33!$S$7:$S$874,$AV$2,BS_RE33!$N$7:$N$874,I42,BS_RE33!$P$7:$P$874,'30 days CF Table(USD)'!G42,BS_RE33!$F$7:$F$874,'30 days CF Table(USD)'!$C$2)</f>
        <v>0</v>
      </c>
      <c r="AW42" s="379">
        <f>SUMIFS(BS_RE33!$H$7:$H$874,BS_RE33!$S$7:$S$874,$AW$2,BS_RE33!$N$7:$N$874,I42,BS_RE33!$P$7:$P$874,'30 days CF Table(USD)'!G42,BS_RE33!$F$7:$F$874,'30 days CF Table(USD)'!$C$2)</f>
        <v>0</v>
      </c>
      <c r="AX42" s="379">
        <f>SUMIFS(BS_RE33!$H$7:$H$874,BS_RE33!$S$7:$S$874,$AX$2,BS_RE33!$N$7:$N$874,I42,BS_RE33!$P$7:$P$874,'30 days CF Table(USD)'!G42,BS_RE33!$F$7:$F$874,'30 days CF Table(USD)'!$C$2)</f>
        <v>0</v>
      </c>
      <c r="AY42" s="379">
        <f>SUMIFS(BS_RE33!$H$7:$H$874,BS_RE33!$S$7:$S$874,$AY$2,BS_RE33!$N$7:$N$874,I42,BS_RE33!$P$7:$P$874,'30 days CF Table(USD)'!G42,BS_RE33!$F$7:$F$874,'30 days CF Table(USD)'!$C$2)</f>
        <v>0</v>
      </c>
      <c r="AZ42" s="379">
        <f>SUMIFS(BS_RE33!$H$7:$H$874,BS_RE33!$S$7:$S$874,$AZ$2,BS_RE33!$N$7:$N$874,I42,BS_RE33!$P$7:$P$874,'30 days CF Table(USD)'!G42,BS_RE33!$F$7:$F$874,'30 days CF Table(USD)'!$C$2)</f>
        <v>0</v>
      </c>
      <c r="BA42" s="379">
        <f>SUMIFS(BS_RE33!$H$7:$H$874,BS_RE33!$S$7:$S$874,$BA$2,BS_RE33!$N$7:$N$874,I42,BS_RE33!$P$7:$P$874,'30 days CF Table(USD)'!G42,BS_RE33!$F$7:$F$874,'30 days CF Table(USD)'!$C$2)</f>
        <v>0</v>
      </c>
      <c r="BB42" s="379">
        <f>SUMIFS(BS_RE33!$H$7:$H$874,BS_RE33!$S$7:$S$874,$BB$2,BS_RE33!$N$7:$N$874,I42,BS_RE33!$P$7:$P$874,'30 days CF Table(USD)'!G42,BS_RE33!$F$7:$F$874,'30 days CF Table(USD)'!$C$2)</f>
        <v>0</v>
      </c>
      <c r="BC42" s="379">
        <f>SUMIFS(BS_RE33!$H$7:$H$874,BS_RE33!$S$7:$S$874,$BC$2,BS_RE33!$N$7:$N$874,I42,BS_RE33!$P$7:$P$874,'30 days CF Table(USD)'!G42,BS_RE33!$F$7:$F$874,'30 days CF Table(USD)'!$C$2)</f>
        <v>0</v>
      </c>
      <c r="BD42" s="379">
        <f>SUMIFS(BS_RE33!$H$7:$H$874,BS_RE33!$S$7:$S$874,$BD$2,BS_RE33!$N$7:$N$874,I42,BS_RE33!$P$7:$P$874,'30 days CF Table(USD)'!G42,BS_RE33!$F$7:$F$874,'30 days CF Table(USD)'!$C$2)</f>
        <v>0</v>
      </c>
      <c r="BE42" s="379">
        <f>SUMIFS(BS_RE33!$H$7:$H$874,BS_RE33!$S$7:$S$874,$BE$2,BS_RE33!$N$7:$N$874,I42,BS_RE33!$P$7:$P$874,'30 days CF Table(USD)'!G42,BS_RE33!$F$7:$F$874,'30 days CF Table(USD)'!$C$2)</f>
        <v>0</v>
      </c>
      <c r="BF42" s="379">
        <f>SUMIFS(BS_RE33!$H$7:$H$874,BS_RE33!$S$7:$S$874,$BF$2,BS_RE33!$N$7:$N$874,I42,BS_RE33!$P$7:$P$874,'30 days CF Table(USD)'!G42,BS_RE33!$F$7:$F$874,'30 days CF Table(USD)'!$C$2)</f>
        <v>0</v>
      </c>
      <c r="BG42" s="379">
        <f>SUMIFS(BS_RE33!$H$7:$H$874,BS_RE33!$S$7:$S$874,$BG$2,BS_RE33!$N$7:$N$874,I42,BS_RE33!$P$7:$P$874,'30 days CF Table(USD)'!G42,BS_RE33!$F$7:$F$874,'30 days CF Table(USD)'!$C$2)</f>
        <v>0</v>
      </c>
      <c r="BH42" s="379">
        <f>SUMIFS(BS_RE33!$H$7:$H$874,BS_RE33!$S$7:$S$874,$BH$2,BS_RE33!$N$7:$N$874,I42,BS_RE33!$P$7:$P$874,'30 days CF Table(USD)'!G42,BS_RE33!$F$7:$F$874,'30 days CF Table(USD)'!$C$2)</f>
        <v>0</v>
      </c>
      <c r="BI42" s="379">
        <f>SUMIFS(BS_RE33!$H$7:$H$874,BS_RE33!$S$7:$S$874,$BI$2,BS_RE33!$N$7:$N$874,I42,BS_RE33!$P$7:$P$874,'30 days CF Table(USD)'!G42,BS_RE33!$F$7:$F$874,'30 days CF Table(USD)'!$C$2)</f>
        <v>0</v>
      </c>
      <c r="BJ42" s="379">
        <f>SUMIFS(BS_RE33!$H$7:$H$874,BS_RE33!$S$7:$S$874,$BJ$2,BS_RE33!$N$7:$N$874,I42,BS_RE33!$P$7:$P$874,'30 days CF Table(USD)'!G42,BS_RE33!$F$7:$F$874,'30 days CF Table(USD)'!$C$2)</f>
        <v>0</v>
      </c>
      <c r="BK42" s="379">
        <f>SUMIFS(BS_RE33!$H$7:$H$874,BS_RE33!$S$7:$S$874,$BK$2,BS_RE33!$N$7:$N$874,I42,BS_RE33!$P$7:$P$874,'30 days CF Table(USD)'!G42,BS_RE33!$F$7:$F$874,'30 days CF Table(USD)'!$C$2)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Table(USD)'!G43,BS_RE33!$F$7:$F$874,'30 days CF Table(USD)'!$C$2)</f>
        <v>0</v>
      </c>
      <c r="M43" s="337">
        <f>SUMIFS(BS_RE33!$H$7:$H$874,BS_RE33!$S$7:$S$874,$M$2,BS_RE33!$N$7:$N$874,I43,BS_RE33!$P$7:$P$874,'30 days CF Table(USD)'!G43,BS_RE33!$F$7:$F$874,'30 days CF Table(USD)'!$C$2)</f>
        <v>0</v>
      </c>
      <c r="N43" s="337">
        <f>SUMIFS(BS_RE33!$H$7:$H$874,BS_RE33!$S$7:$S$874,$N$2,BS_RE33!$N$7:$N$874,I43,BS_RE33!$P$7:$P$874,'30 days CF Table(USD)'!G43,BS_RE33!$F$7:$F$874,'30 days CF Table(USD)'!$C$2)</f>
        <v>0</v>
      </c>
      <c r="O43" s="337">
        <f>SUMIFS(BS_RE33!$H$7:$H$874,BS_RE33!$S$7:$S$874,$O$2,BS_RE33!$N$7:$N$874,I43,BS_RE33!$P$7:$P$874,'30 days CF Table(USD)'!G43,BS_RE33!$F$7:$F$874,'30 days CF Table(USD)'!$C$2)</f>
        <v>0</v>
      </c>
      <c r="P43" s="337">
        <f>SUMIFS(BS_RE33!$H$7:$H$874,BS_RE33!$S$7:$S$874,$P$2,BS_RE33!$N$7:$N$874,I43,BS_RE33!$P$7:$P$874,'30 days CF Table(USD)'!G43,BS_RE33!$F$7:$F$874,'30 days CF Table(USD)'!$C$2)</f>
        <v>0</v>
      </c>
      <c r="Q43" s="337">
        <f>SUMIFS(BS_RE33!$H$7:$H$874,BS_RE33!$S$7:$S$874,$Q$2,BS_RE33!$N$7:$N$874,I43,BS_RE33!$P$7:$P$874,'30 days CF Table(USD)'!G43,BS_RE33!$F$7:$F$874,'30 days CF Table(USD)'!$C$2)</f>
        <v>0</v>
      </c>
      <c r="R43" s="337">
        <f>SUMIFS(BS_RE33!$H$7:$H$874,BS_RE33!$S$7:$S$874,$R$2,BS_RE33!$N$7:$N$874,I43,BS_RE33!$P$7:$P$874,'30 days CF Table(USD)'!G43,BS_RE33!$F$7:$F$874,'30 days CF Table(USD)'!$C$2)</f>
        <v>0</v>
      </c>
      <c r="S43" s="337">
        <f>SUMIFS(BS_RE33!$H$7:$H$874,BS_RE33!$S$7:$S$874,$S$2,BS_RE33!$N$7:$N$874,I43,BS_RE33!$P$7:$P$874,'30 days CF Table(USD)'!G43,BS_RE33!$F$7:$F$874,'30 days CF Table(USD)'!$C$2)</f>
        <v>0</v>
      </c>
      <c r="T43" s="337">
        <f>SUMIFS(BS_RE33!$H$7:$H$874,BS_RE33!$S$7:$S$874,$T$2,BS_RE33!$N$7:$N$874,I43,BS_RE33!$P$7:$P$874,'30 days CF Table(USD)'!G43,BS_RE33!$F$7:$F$874,'30 days CF Table(USD)'!$C$2)</f>
        <v>0</v>
      </c>
      <c r="U43" s="337">
        <f>SUMIFS(BS_RE33!$H$7:$H$874,BS_RE33!$S$7:$S$874,$U$2,BS_RE33!$N$7:$N$874,I43,BS_RE33!$P$7:$P$874,'30 days CF Table(USD)'!G43,BS_RE33!$F$7:$F$874,'30 days CF Table(USD)'!$C$2)</f>
        <v>0</v>
      </c>
      <c r="V43" s="337">
        <f>SUMIFS(BS_RE33!$H$7:$H$874,BS_RE33!$S$7:$S$874,$V$2,BS_RE33!$N$7:$N$874,I43,BS_RE33!$P$7:$P$874,'30 days CF Table(USD)'!G43,BS_RE33!$F$7:$F$874,'30 days CF Table(USD)'!$C$2)</f>
        <v>0</v>
      </c>
      <c r="W43" s="337">
        <f>SUMIFS(BS_RE33!$H$7:$H$874,BS_RE33!$S$7:$S$874,$W$2,BS_RE33!$N$7:$N$874,I43,BS_RE33!$P$7:$P$874,'30 days CF Table(USD)'!G43,BS_RE33!$F$7:$F$874,'30 days CF Table(USD)'!$C$2)</f>
        <v>0</v>
      </c>
      <c r="X43" s="337">
        <f>SUMIFS(BS_RE33!$H$7:$H$874,BS_RE33!$S$7:$S$874,$X$2,BS_RE33!$N$7:$N$874,I43,BS_RE33!$P$7:$P$874,'30 days CF Table(USD)'!G43,BS_RE33!$F$7:$F$874,'30 days CF Table(USD)'!$C$2)</f>
        <v>0</v>
      </c>
      <c r="Y43" s="337">
        <f>SUMIFS(BS_RE33!$H$7:$H$874,BS_RE33!$S$7:$S$874,$Y$2,BS_RE33!$N$7:$N$874,I43,BS_RE33!$P$7:$P$874,'30 days CF Table(USD)'!G43,BS_RE33!$F$7:$F$874,'30 days CF Table(USD)'!$C$2)</f>
        <v>0</v>
      </c>
      <c r="Z43" s="337">
        <f>SUMIFS(BS_RE33!$H$7:$H$874,BS_RE33!$S$7:$S$874,$Z$2,BS_RE33!$N$7:$N$874,I43,BS_RE33!$P$7:$P$874,'30 days CF Table(USD)'!G43,BS_RE33!$F$7:$F$874,'30 days CF Table(USD)'!$C$2)</f>
        <v>0</v>
      </c>
      <c r="AA43" s="337">
        <f>SUMIFS(BS_RE33!$H$7:$H$874,BS_RE33!$S$7:$S$874,$AA$2,BS_RE33!$N$7:$N$874,I43,BS_RE33!$P$7:$P$874,'30 days CF Table(USD)'!G43,BS_RE33!$F$7:$F$874,'30 days CF Table(USD)'!$C$2)</f>
        <v>0</v>
      </c>
      <c r="AB43" s="337">
        <f>SUMIFS(BS_RE33!$H$7:$H$874,BS_RE33!$S$7:$S$874,$AB$2,BS_RE33!$N$7:$N$874,I43,BS_RE33!$P$7:$P$874,'30 days CF Table(USD)'!G43,BS_RE33!$F$7:$F$874,'30 days CF Table(USD)'!$C$2)</f>
        <v>0</v>
      </c>
      <c r="AC43" s="337">
        <f>SUMIFS(BS_RE33!$H$7:$H$874,BS_RE33!$S$7:$S$874,$AC$2,BS_RE33!$N$7:$N$874,I43,BS_RE33!$P$7:$P$874,'30 days CF Table(USD)'!G43,BS_RE33!$F$7:$F$874,'30 days CF Table(USD)'!$C$2)</f>
        <v>0</v>
      </c>
      <c r="AD43" s="337">
        <f>SUMIFS(BS_RE33!$H$7:$H$874,BS_RE33!$S$7:$S$874,$AD$2,BS_RE33!$N$7:$N$874,I43,BS_RE33!$P$7:$P$874,'30 days CF Table(USD)'!G43,BS_RE33!$F$7:$F$874,'30 days CF Table(USD)'!$C$2)</f>
        <v>0</v>
      </c>
      <c r="AE43" s="337">
        <f>SUMIFS(BS_RE33!$H$7:$H$874,BS_RE33!$S$7:$S$874,$AE$2,BS_RE33!$N$7:$N$874,I43,BS_RE33!$P$7:$P$874,'30 days CF Table(USD)'!G43,BS_RE33!$F$7:$F$874,'30 days CF Table(USD)'!$C$2)</f>
        <v>0</v>
      </c>
      <c r="AF43" s="337">
        <f>SUMIFS(BS_RE33!$H$7:$H$874,BS_RE33!$S$7:$S$874,$AF$2,BS_RE33!$N$7:$N$874,I43,BS_RE33!$P$7:$P$874,'30 days CF Table(USD)'!G43,BS_RE33!$F$7:$F$874,'30 days CF Table(USD)'!$C$2)</f>
        <v>0</v>
      </c>
      <c r="AG43" s="337">
        <f>SUMIFS(BS_RE33!$H$7:$H$874,BS_RE33!$S$7:$S$874,$AG$2,BS_RE33!$N$7:$N$874,I43,BS_RE33!$P$7:$P$874,'30 days CF Table(USD)'!G43,BS_RE33!$F$7:$F$874,'30 days CF Table(USD)'!$C$2)</f>
        <v>0</v>
      </c>
      <c r="AH43" s="337">
        <f>SUMIFS(BS_RE33!$H$7:$H$874,BS_RE33!$S$7:$S$874,$AH$2,BS_RE33!$N$7:$N$874,I43,BS_RE33!$P$7:$P$874,'30 days CF Table(USD)'!G43,BS_RE33!$F$7:$F$874,'30 days CF Table(USD)'!$C$2)</f>
        <v>0</v>
      </c>
      <c r="AI43" s="337">
        <f>SUMIFS(BS_RE33!$H$7:$H$874,BS_RE33!$S$7:$S$874,$AI$2,BS_RE33!$N$7:$N$874,I43,BS_RE33!$P$7:$P$874,'30 days CF Table(USD)'!G43,BS_RE33!$F$7:$F$874,'30 days CF Table(USD)'!$C$2)</f>
        <v>0</v>
      </c>
      <c r="AJ43" s="337">
        <f>SUMIFS(BS_RE33!$H$7:$H$874,BS_RE33!$S$7:$S$874,$AJ$2,BS_RE33!$N$7:$N$874,I43,BS_RE33!$P$7:$P$874,'30 days CF Table(USD)'!G43,BS_RE33!$F$7:$F$874,'30 days CF Table(USD)'!$C$2)</f>
        <v>0</v>
      </c>
      <c r="AK43" s="337">
        <f>SUMIFS(BS_RE33!$H$7:$H$874,BS_RE33!$S$7:$S$874,$AK$2,BS_RE33!$N$7:$N$874,I43,BS_RE33!$P$7:$P$874,'30 days CF Table(USD)'!G43,BS_RE33!$F$7:$F$874,'30 days CF Table(USD)'!$C$2)</f>
        <v>0</v>
      </c>
      <c r="AL43" s="337">
        <f>SUMIFS(BS_RE33!$H$7:$H$874,BS_RE33!$S$7:$S$874,$AL$2,BS_RE33!$N$7:$N$874,I43,BS_RE33!$P$7:$P$874,'30 days CF Table(USD)'!G43,BS_RE33!$F$7:$F$874,'30 days CF Table(USD)'!$C$2)</f>
        <v>0</v>
      </c>
      <c r="AM43" s="337">
        <f>SUMIFS(BS_RE33!$H$7:$H$874,BS_RE33!$S$7:$S$874,$AM$2,BS_RE33!$N$7:$N$874,I43,BS_RE33!$P$7:$P$874,'30 days CF Table(USD)'!G43,BS_RE33!$F$7:$F$874,'30 days CF Table(USD)'!$C$2)</f>
        <v>0</v>
      </c>
      <c r="AN43" s="337">
        <f>SUMIFS(BS_RE33!$H$7:$H$874,BS_RE33!$S$7:$S$874,$AN$2,BS_RE33!$N$7:$N$874,I43,BS_RE33!$P$7:$P$874,'30 days CF Table(USD)'!G43,BS_RE33!$F$7:$F$874,'30 days CF Table(USD)'!$C$2)</f>
        <v>0</v>
      </c>
      <c r="AO43" s="337">
        <f>SUMIFS(BS_RE33!$H$7:$H$874,BS_RE33!$S$7:$S$874,$AO$2,BS_RE33!$N$7:$N$874,I43,BS_RE33!$P$7:$P$874,'30 days CF Table(USD)'!G43,BS_RE33!$F$7:$F$874,'30 days CF Table(USD)'!$C$2)</f>
        <v>0</v>
      </c>
      <c r="AP43" s="338">
        <f>SUMIFS(BS_RE33!$H$7:$H$874,BS_RE33!$S$7:$S$874,$AP$2,BS_RE33!$N$7:$N$874,I43,BS_RE33!$P$7:$P$874,'30 days CF Table(USD)'!G43,BS_RE33!$F$7:$F$874,'30 days CF Table(USD)'!$C$2)</f>
        <v>0</v>
      </c>
      <c r="AR43" s="379">
        <f>SUMIFS(BS_RE33!$H$7:$H$874,BS_RE33!$S$7:$S$874,$AR$2,BS_RE33!$N$7:$N$874,I43,BS_RE33!$P$7:$P$874,'30 days CF Table(USD)'!G43,BS_RE33!$F$7:$F$874,'30 days CF Table(USD)'!$C$2)</f>
        <v>0</v>
      </c>
      <c r="AS43" s="379">
        <f>SUMIFS(BS_RE33!$H$7:$H$874,BS_RE33!$S$7:$S$874,$AS$2,BS_RE33!$N$7:$N$874,I43,BS_RE33!$P$7:$P$874,'30 days CF Table(USD)'!G43,BS_RE33!$F$7:$F$874,'30 days CF Table(USD)'!$C$2)</f>
        <v>0</v>
      </c>
      <c r="AT43" s="379">
        <f>SUMIFS(BS_RE33!$H$7:$H$874,BS_RE33!$S$7:$S$874,$AT$2,BS_RE33!$N$7:$N$874,I43,BS_RE33!$P$7:$P$874,'30 days CF Table(USD)'!G43,BS_RE33!$F$7:$F$874,'30 days CF Table(USD)'!$C$2)</f>
        <v>0</v>
      </c>
      <c r="AU43" s="379">
        <f>SUMIFS(BS_RE33!$H$7:$H$874,BS_RE33!$S$7:$S$874,$AU$2,BS_RE33!$N$7:$N$874,I43,BS_RE33!$P$7:$P$874,'30 days CF Table(USD)'!G43,BS_RE33!$F$7:$F$874,'30 days CF Table(USD)'!$C$2)</f>
        <v>0</v>
      </c>
      <c r="AV43" s="379">
        <f>SUMIFS(BS_RE33!$H$7:$H$874,BS_RE33!$S$7:$S$874,$AV$2,BS_RE33!$N$7:$N$874,I43,BS_RE33!$P$7:$P$874,'30 days CF Table(USD)'!G43,BS_RE33!$F$7:$F$874,'30 days CF Table(USD)'!$C$2)</f>
        <v>0</v>
      </c>
      <c r="AW43" s="379">
        <f>SUMIFS(BS_RE33!$H$7:$H$874,BS_RE33!$S$7:$S$874,$AW$2,BS_RE33!$N$7:$N$874,I43,BS_RE33!$P$7:$P$874,'30 days CF Table(USD)'!G43,BS_RE33!$F$7:$F$874,'30 days CF Table(USD)'!$C$2)</f>
        <v>0</v>
      </c>
      <c r="AX43" s="379">
        <f>SUMIFS(BS_RE33!$H$7:$H$874,BS_RE33!$S$7:$S$874,$AX$2,BS_RE33!$N$7:$N$874,I43,BS_RE33!$P$7:$P$874,'30 days CF Table(USD)'!G43,BS_RE33!$F$7:$F$874,'30 days CF Table(USD)'!$C$2)</f>
        <v>0</v>
      </c>
      <c r="AY43" s="379">
        <f>SUMIFS(BS_RE33!$H$7:$H$874,BS_RE33!$S$7:$S$874,$AY$2,BS_RE33!$N$7:$N$874,I43,BS_RE33!$P$7:$P$874,'30 days CF Table(USD)'!G43,BS_RE33!$F$7:$F$874,'30 days CF Table(USD)'!$C$2)</f>
        <v>0</v>
      </c>
      <c r="AZ43" s="379">
        <f>SUMIFS(BS_RE33!$H$7:$H$874,BS_RE33!$S$7:$S$874,$AZ$2,BS_RE33!$N$7:$N$874,I43,BS_RE33!$P$7:$P$874,'30 days CF Table(USD)'!G43,BS_RE33!$F$7:$F$874,'30 days CF Table(USD)'!$C$2)</f>
        <v>0</v>
      </c>
      <c r="BA43" s="379">
        <f>SUMIFS(BS_RE33!$H$7:$H$874,BS_RE33!$S$7:$S$874,$BA$2,BS_RE33!$N$7:$N$874,I43,BS_RE33!$P$7:$P$874,'30 days CF Table(USD)'!G43,BS_RE33!$F$7:$F$874,'30 days CF Table(USD)'!$C$2)</f>
        <v>0</v>
      </c>
      <c r="BB43" s="379">
        <f>SUMIFS(BS_RE33!$H$7:$H$874,BS_RE33!$S$7:$S$874,$BB$2,BS_RE33!$N$7:$N$874,I43,BS_RE33!$P$7:$P$874,'30 days CF Table(USD)'!G43,BS_RE33!$F$7:$F$874,'30 days CF Table(USD)'!$C$2)</f>
        <v>0</v>
      </c>
      <c r="BC43" s="379">
        <f>SUMIFS(BS_RE33!$H$7:$H$874,BS_RE33!$S$7:$S$874,$BC$2,BS_RE33!$N$7:$N$874,I43,BS_RE33!$P$7:$P$874,'30 days CF Table(USD)'!G43,BS_RE33!$F$7:$F$874,'30 days CF Table(USD)'!$C$2)</f>
        <v>0</v>
      </c>
      <c r="BD43" s="379">
        <f>SUMIFS(BS_RE33!$H$7:$H$874,BS_RE33!$S$7:$S$874,$BD$2,BS_RE33!$N$7:$N$874,I43,BS_RE33!$P$7:$P$874,'30 days CF Table(USD)'!G43,BS_RE33!$F$7:$F$874,'30 days CF Table(USD)'!$C$2)</f>
        <v>0</v>
      </c>
      <c r="BE43" s="379">
        <f>SUMIFS(BS_RE33!$H$7:$H$874,BS_RE33!$S$7:$S$874,$BE$2,BS_RE33!$N$7:$N$874,I43,BS_RE33!$P$7:$P$874,'30 days CF Table(USD)'!G43,BS_RE33!$F$7:$F$874,'30 days CF Table(USD)'!$C$2)</f>
        <v>0</v>
      </c>
      <c r="BF43" s="379">
        <f>SUMIFS(BS_RE33!$H$7:$H$874,BS_RE33!$S$7:$S$874,$BF$2,BS_RE33!$N$7:$N$874,I43,BS_RE33!$P$7:$P$874,'30 days CF Table(USD)'!G43,BS_RE33!$F$7:$F$874,'30 days CF Table(USD)'!$C$2)</f>
        <v>0</v>
      </c>
      <c r="BG43" s="379">
        <f>SUMIFS(BS_RE33!$H$7:$H$874,BS_RE33!$S$7:$S$874,$BG$2,BS_RE33!$N$7:$N$874,I43,BS_RE33!$P$7:$P$874,'30 days CF Table(USD)'!G43,BS_RE33!$F$7:$F$874,'30 days CF Table(USD)'!$C$2)</f>
        <v>0</v>
      </c>
      <c r="BH43" s="379">
        <f>SUMIFS(BS_RE33!$H$7:$H$874,BS_RE33!$S$7:$S$874,$BH$2,BS_RE33!$N$7:$N$874,I43,BS_RE33!$P$7:$P$874,'30 days CF Table(USD)'!G43,BS_RE33!$F$7:$F$874,'30 days CF Table(USD)'!$C$2)</f>
        <v>0</v>
      </c>
      <c r="BI43" s="379">
        <f>SUMIFS(BS_RE33!$H$7:$H$874,BS_RE33!$S$7:$S$874,$BI$2,BS_RE33!$N$7:$N$874,I43,BS_RE33!$P$7:$P$874,'30 days CF Table(USD)'!G43,BS_RE33!$F$7:$F$874,'30 days CF Table(USD)'!$C$2)</f>
        <v>0</v>
      </c>
      <c r="BJ43" s="379">
        <f>SUMIFS(BS_RE33!$H$7:$H$874,BS_RE33!$S$7:$S$874,$BJ$2,BS_RE33!$N$7:$N$874,I43,BS_RE33!$P$7:$P$874,'30 days CF Table(USD)'!G43,BS_RE33!$F$7:$F$874,'30 days CF Table(USD)'!$C$2)</f>
        <v>0</v>
      </c>
      <c r="BK43" s="379">
        <f>SUMIFS(BS_RE33!$H$7:$H$874,BS_RE33!$S$7:$S$874,$BK$2,BS_RE33!$N$7:$N$874,I43,BS_RE33!$P$7:$P$874,'30 days CF Table(USD)'!G43,BS_RE33!$F$7:$F$874,'30 days CF Table(USD)'!$C$2)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Table(USD)'!G44,BS_RE33!$F$7:$F$874,'30 days CF Table(USD)'!$C$2)</f>
        <v>0</v>
      </c>
      <c r="M44" s="337">
        <f>SUMIFS(BS_RE33!$H$7:$H$874,BS_RE33!$S$7:$S$874,$M$2,BS_RE33!$N$7:$N$874,I44,BS_RE33!$P$7:$P$874,'30 days CF Table(USD)'!G44,BS_RE33!$F$7:$F$874,'30 days CF Table(USD)'!$C$2)</f>
        <v>0</v>
      </c>
      <c r="N44" s="337">
        <f>SUMIFS(BS_RE33!$H$7:$H$874,BS_RE33!$S$7:$S$874,$N$2,BS_RE33!$N$7:$N$874,I44,BS_RE33!$P$7:$P$874,'30 days CF Table(USD)'!G44,BS_RE33!$F$7:$F$874,'30 days CF Table(USD)'!$C$2)</f>
        <v>0</v>
      </c>
      <c r="O44" s="337">
        <f>SUMIFS(BS_RE33!$H$7:$H$874,BS_RE33!$S$7:$S$874,$O$2,BS_RE33!$N$7:$N$874,I44,BS_RE33!$P$7:$P$874,'30 days CF Table(USD)'!G44,BS_RE33!$F$7:$F$874,'30 days CF Table(USD)'!$C$2)</f>
        <v>0</v>
      </c>
      <c r="P44" s="337">
        <f>SUMIFS(BS_RE33!$H$7:$H$874,BS_RE33!$S$7:$S$874,$P$2,BS_RE33!$N$7:$N$874,I44,BS_RE33!$P$7:$P$874,'30 days CF Table(USD)'!G44,BS_RE33!$F$7:$F$874,'30 days CF Table(USD)'!$C$2)</f>
        <v>0</v>
      </c>
      <c r="Q44" s="337">
        <f>SUMIFS(BS_RE33!$H$7:$H$874,BS_RE33!$S$7:$S$874,$Q$2,BS_RE33!$N$7:$N$874,I44,BS_RE33!$P$7:$P$874,'30 days CF Table(USD)'!G44,BS_RE33!$F$7:$F$874,'30 days CF Table(USD)'!$C$2)</f>
        <v>0</v>
      </c>
      <c r="R44" s="337">
        <f>SUMIFS(BS_RE33!$H$7:$H$874,BS_RE33!$S$7:$S$874,$R$2,BS_RE33!$N$7:$N$874,I44,BS_RE33!$P$7:$P$874,'30 days CF Table(USD)'!G44,BS_RE33!$F$7:$F$874,'30 days CF Table(USD)'!$C$2)</f>
        <v>0</v>
      </c>
      <c r="S44" s="337">
        <f>SUMIFS(BS_RE33!$H$7:$H$874,BS_RE33!$S$7:$S$874,$S$2,BS_RE33!$N$7:$N$874,I44,BS_RE33!$P$7:$P$874,'30 days CF Table(USD)'!G44,BS_RE33!$F$7:$F$874,'30 days CF Table(USD)'!$C$2)</f>
        <v>0</v>
      </c>
      <c r="T44" s="337">
        <f>SUMIFS(BS_RE33!$H$7:$H$874,BS_RE33!$S$7:$S$874,$T$2,BS_RE33!$N$7:$N$874,I44,BS_RE33!$P$7:$P$874,'30 days CF Table(USD)'!G44,BS_RE33!$F$7:$F$874,'30 days CF Table(USD)'!$C$2)</f>
        <v>0</v>
      </c>
      <c r="U44" s="337">
        <f>SUMIFS(BS_RE33!$H$7:$H$874,BS_RE33!$S$7:$S$874,$U$2,BS_RE33!$N$7:$N$874,I44,BS_RE33!$P$7:$P$874,'30 days CF Table(USD)'!G44,BS_RE33!$F$7:$F$874,'30 days CF Table(USD)'!$C$2)</f>
        <v>0</v>
      </c>
      <c r="V44" s="337">
        <f>SUMIFS(BS_RE33!$H$7:$H$874,BS_RE33!$S$7:$S$874,$V$2,BS_RE33!$N$7:$N$874,I44,BS_RE33!$P$7:$P$874,'30 days CF Table(USD)'!G44,BS_RE33!$F$7:$F$874,'30 days CF Table(USD)'!$C$2)</f>
        <v>0</v>
      </c>
      <c r="W44" s="337">
        <f>SUMIFS(BS_RE33!$H$7:$H$874,BS_RE33!$S$7:$S$874,$W$2,BS_RE33!$N$7:$N$874,I44,BS_RE33!$P$7:$P$874,'30 days CF Table(USD)'!G44,BS_RE33!$F$7:$F$874,'30 days CF Table(USD)'!$C$2)</f>
        <v>0</v>
      </c>
      <c r="X44" s="337">
        <f>SUMIFS(BS_RE33!$H$7:$H$874,BS_RE33!$S$7:$S$874,$X$2,BS_RE33!$N$7:$N$874,I44,BS_RE33!$P$7:$P$874,'30 days CF Table(USD)'!G44,BS_RE33!$F$7:$F$874,'30 days CF Table(USD)'!$C$2)</f>
        <v>0</v>
      </c>
      <c r="Y44" s="337">
        <f>SUMIFS(BS_RE33!$H$7:$H$874,BS_RE33!$S$7:$S$874,$Y$2,BS_RE33!$N$7:$N$874,I44,BS_RE33!$P$7:$P$874,'30 days CF Table(USD)'!G44,BS_RE33!$F$7:$F$874,'30 days CF Table(USD)'!$C$2)</f>
        <v>0</v>
      </c>
      <c r="Z44" s="337">
        <f>SUMIFS(BS_RE33!$H$7:$H$874,BS_RE33!$S$7:$S$874,$Z$2,BS_RE33!$N$7:$N$874,I44,BS_RE33!$P$7:$P$874,'30 days CF Table(USD)'!G44,BS_RE33!$F$7:$F$874,'30 days CF Table(USD)'!$C$2)</f>
        <v>0</v>
      </c>
      <c r="AA44" s="337">
        <f>SUMIFS(BS_RE33!$H$7:$H$874,BS_RE33!$S$7:$S$874,$AA$2,BS_RE33!$N$7:$N$874,I44,BS_RE33!$P$7:$P$874,'30 days CF Table(USD)'!G44,BS_RE33!$F$7:$F$874,'30 days CF Table(USD)'!$C$2)</f>
        <v>0</v>
      </c>
      <c r="AB44" s="337">
        <f>SUMIFS(BS_RE33!$H$7:$H$874,BS_RE33!$S$7:$S$874,$AB$2,BS_RE33!$N$7:$N$874,I44,BS_RE33!$P$7:$P$874,'30 days CF Table(USD)'!G44,BS_RE33!$F$7:$F$874,'30 days CF Table(USD)'!$C$2)</f>
        <v>0</v>
      </c>
      <c r="AC44" s="337">
        <f>SUMIFS(BS_RE33!$H$7:$H$874,BS_RE33!$S$7:$S$874,$AC$2,BS_RE33!$N$7:$N$874,I44,BS_RE33!$P$7:$P$874,'30 days CF Table(USD)'!G44,BS_RE33!$F$7:$F$874,'30 days CF Table(USD)'!$C$2)</f>
        <v>0</v>
      </c>
      <c r="AD44" s="337">
        <f>SUMIFS(BS_RE33!$H$7:$H$874,BS_RE33!$S$7:$S$874,$AD$2,BS_RE33!$N$7:$N$874,I44,BS_RE33!$P$7:$P$874,'30 days CF Table(USD)'!G44,BS_RE33!$F$7:$F$874,'30 days CF Table(USD)'!$C$2)</f>
        <v>0</v>
      </c>
      <c r="AE44" s="337">
        <f>SUMIFS(BS_RE33!$H$7:$H$874,BS_RE33!$S$7:$S$874,$AE$2,BS_RE33!$N$7:$N$874,I44,BS_RE33!$P$7:$P$874,'30 days CF Table(USD)'!G44,BS_RE33!$F$7:$F$874,'30 days CF Table(USD)'!$C$2)</f>
        <v>0</v>
      </c>
      <c r="AF44" s="337">
        <f>SUMIFS(BS_RE33!$H$7:$H$874,BS_RE33!$S$7:$S$874,$AF$2,BS_RE33!$N$7:$N$874,I44,BS_RE33!$P$7:$P$874,'30 days CF Table(USD)'!G44,BS_RE33!$F$7:$F$874,'30 days CF Table(USD)'!$C$2)</f>
        <v>0</v>
      </c>
      <c r="AG44" s="337">
        <f>SUMIFS(BS_RE33!$H$7:$H$874,BS_RE33!$S$7:$S$874,$AG$2,BS_RE33!$N$7:$N$874,I44,BS_RE33!$P$7:$P$874,'30 days CF Table(USD)'!G44,BS_RE33!$F$7:$F$874,'30 days CF Table(USD)'!$C$2)</f>
        <v>0</v>
      </c>
      <c r="AH44" s="337">
        <f>SUMIFS(BS_RE33!$H$7:$H$874,BS_RE33!$S$7:$S$874,$AH$2,BS_RE33!$N$7:$N$874,I44,BS_RE33!$P$7:$P$874,'30 days CF Table(USD)'!G44,BS_RE33!$F$7:$F$874,'30 days CF Table(USD)'!$C$2)</f>
        <v>0</v>
      </c>
      <c r="AI44" s="337">
        <f>SUMIFS(BS_RE33!$H$7:$H$874,BS_RE33!$S$7:$S$874,$AI$2,BS_RE33!$N$7:$N$874,I44,BS_RE33!$P$7:$P$874,'30 days CF Table(USD)'!G44,BS_RE33!$F$7:$F$874,'30 days CF Table(USD)'!$C$2)</f>
        <v>0</v>
      </c>
      <c r="AJ44" s="337">
        <f>SUMIFS(BS_RE33!$H$7:$H$874,BS_RE33!$S$7:$S$874,$AJ$2,BS_RE33!$N$7:$N$874,I44,BS_RE33!$P$7:$P$874,'30 days CF Table(USD)'!G44,BS_RE33!$F$7:$F$874,'30 days CF Table(USD)'!$C$2)</f>
        <v>0</v>
      </c>
      <c r="AK44" s="337">
        <f>SUMIFS(BS_RE33!$H$7:$H$874,BS_RE33!$S$7:$S$874,$AK$2,BS_RE33!$N$7:$N$874,I44,BS_RE33!$P$7:$P$874,'30 days CF Table(USD)'!G44,BS_RE33!$F$7:$F$874,'30 days CF Table(USD)'!$C$2)</f>
        <v>0</v>
      </c>
      <c r="AL44" s="337">
        <f>SUMIFS(BS_RE33!$H$7:$H$874,BS_RE33!$S$7:$S$874,$AL$2,BS_RE33!$N$7:$N$874,I44,BS_RE33!$P$7:$P$874,'30 days CF Table(USD)'!G44,BS_RE33!$F$7:$F$874,'30 days CF Table(USD)'!$C$2)</f>
        <v>0</v>
      </c>
      <c r="AM44" s="337">
        <f>SUMIFS(BS_RE33!$H$7:$H$874,BS_RE33!$S$7:$S$874,$AM$2,BS_RE33!$N$7:$N$874,I44,BS_RE33!$P$7:$P$874,'30 days CF Table(USD)'!G44,BS_RE33!$F$7:$F$874,'30 days CF Table(USD)'!$C$2)</f>
        <v>0</v>
      </c>
      <c r="AN44" s="337">
        <f>SUMIFS(BS_RE33!$H$7:$H$874,BS_RE33!$S$7:$S$874,$AN$2,BS_RE33!$N$7:$N$874,I44,BS_RE33!$P$7:$P$874,'30 days CF Table(USD)'!G44,BS_RE33!$F$7:$F$874,'30 days CF Table(USD)'!$C$2)</f>
        <v>0</v>
      </c>
      <c r="AO44" s="337">
        <f>SUMIFS(BS_RE33!$H$7:$H$874,BS_RE33!$S$7:$S$874,$AO$2,BS_RE33!$N$7:$N$874,I44,BS_RE33!$P$7:$P$874,'30 days CF Table(USD)'!G44,BS_RE33!$F$7:$F$874,'30 days CF Table(USD)'!$C$2)</f>
        <v>0</v>
      </c>
      <c r="AP44" s="338">
        <f>SUMIFS(BS_RE33!$H$7:$H$874,BS_RE33!$S$7:$S$874,$AP$2,BS_RE33!$N$7:$N$874,I44,BS_RE33!$P$7:$P$874,'30 days CF Table(USD)'!G44,BS_RE33!$F$7:$F$874,'30 days CF Table(USD)'!$C$2)</f>
        <v>0</v>
      </c>
      <c r="AR44" s="379">
        <f>SUMIFS(BS_RE33!$H$7:$H$874,BS_RE33!$S$7:$S$874,$AR$2,BS_RE33!$N$7:$N$874,I44,BS_RE33!$P$7:$P$874,'30 days CF Table(USD)'!G44,BS_RE33!$F$7:$F$874,'30 days CF Table(USD)'!$C$2)</f>
        <v>0</v>
      </c>
      <c r="AS44" s="379">
        <f>SUMIFS(BS_RE33!$H$7:$H$874,BS_RE33!$S$7:$S$874,$AS$2,BS_RE33!$N$7:$N$874,I44,BS_RE33!$P$7:$P$874,'30 days CF Table(USD)'!G44,BS_RE33!$F$7:$F$874,'30 days CF Table(USD)'!$C$2)</f>
        <v>0</v>
      </c>
      <c r="AT44" s="379">
        <f>SUMIFS(BS_RE33!$H$7:$H$874,BS_RE33!$S$7:$S$874,$AT$2,BS_RE33!$N$7:$N$874,I44,BS_RE33!$P$7:$P$874,'30 days CF Table(USD)'!G44,BS_RE33!$F$7:$F$874,'30 days CF Table(USD)'!$C$2)</f>
        <v>0</v>
      </c>
      <c r="AU44" s="379">
        <f>SUMIFS(BS_RE33!$H$7:$H$874,BS_RE33!$S$7:$S$874,$AU$2,BS_RE33!$N$7:$N$874,I44,BS_RE33!$P$7:$P$874,'30 days CF Table(USD)'!G44,BS_RE33!$F$7:$F$874,'30 days CF Table(USD)'!$C$2)</f>
        <v>0</v>
      </c>
      <c r="AV44" s="379">
        <f>SUMIFS(BS_RE33!$H$7:$H$874,BS_RE33!$S$7:$S$874,$AV$2,BS_RE33!$N$7:$N$874,I44,BS_RE33!$P$7:$P$874,'30 days CF Table(USD)'!G44,BS_RE33!$F$7:$F$874,'30 days CF Table(USD)'!$C$2)</f>
        <v>0</v>
      </c>
      <c r="AW44" s="379">
        <f>SUMIFS(BS_RE33!$H$7:$H$874,BS_RE33!$S$7:$S$874,$AW$2,BS_RE33!$N$7:$N$874,I44,BS_RE33!$P$7:$P$874,'30 days CF Table(USD)'!G44,BS_RE33!$F$7:$F$874,'30 days CF Table(USD)'!$C$2)</f>
        <v>0</v>
      </c>
      <c r="AX44" s="379">
        <f>SUMIFS(BS_RE33!$H$7:$H$874,BS_RE33!$S$7:$S$874,$AX$2,BS_RE33!$N$7:$N$874,I44,BS_RE33!$P$7:$P$874,'30 days CF Table(USD)'!G44,BS_RE33!$F$7:$F$874,'30 days CF Table(USD)'!$C$2)</f>
        <v>0</v>
      </c>
      <c r="AY44" s="379">
        <f>SUMIFS(BS_RE33!$H$7:$H$874,BS_RE33!$S$7:$S$874,$AY$2,BS_RE33!$N$7:$N$874,I44,BS_RE33!$P$7:$P$874,'30 days CF Table(USD)'!G44,BS_RE33!$F$7:$F$874,'30 days CF Table(USD)'!$C$2)</f>
        <v>0</v>
      </c>
      <c r="AZ44" s="379">
        <f>SUMIFS(BS_RE33!$H$7:$H$874,BS_RE33!$S$7:$S$874,$AZ$2,BS_RE33!$N$7:$N$874,I44,BS_RE33!$P$7:$P$874,'30 days CF Table(USD)'!G44,BS_RE33!$F$7:$F$874,'30 days CF Table(USD)'!$C$2)</f>
        <v>0</v>
      </c>
      <c r="BA44" s="379">
        <f>SUMIFS(BS_RE33!$H$7:$H$874,BS_RE33!$S$7:$S$874,$BA$2,BS_RE33!$N$7:$N$874,I44,BS_RE33!$P$7:$P$874,'30 days CF Table(USD)'!G44,BS_RE33!$F$7:$F$874,'30 days CF Table(USD)'!$C$2)</f>
        <v>0</v>
      </c>
      <c r="BB44" s="379">
        <f>SUMIFS(BS_RE33!$H$7:$H$874,BS_RE33!$S$7:$S$874,$BB$2,BS_RE33!$N$7:$N$874,I44,BS_RE33!$P$7:$P$874,'30 days CF Table(USD)'!G44,BS_RE33!$F$7:$F$874,'30 days CF Table(USD)'!$C$2)</f>
        <v>0</v>
      </c>
      <c r="BC44" s="379">
        <f>SUMIFS(BS_RE33!$H$7:$H$874,BS_RE33!$S$7:$S$874,$BC$2,BS_RE33!$N$7:$N$874,I44,BS_RE33!$P$7:$P$874,'30 days CF Table(USD)'!G44,BS_RE33!$F$7:$F$874,'30 days CF Table(USD)'!$C$2)</f>
        <v>0</v>
      </c>
      <c r="BD44" s="379">
        <f>SUMIFS(BS_RE33!$H$7:$H$874,BS_RE33!$S$7:$S$874,$BD$2,BS_RE33!$N$7:$N$874,I44,BS_RE33!$P$7:$P$874,'30 days CF Table(USD)'!G44,BS_RE33!$F$7:$F$874,'30 days CF Table(USD)'!$C$2)</f>
        <v>0</v>
      </c>
      <c r="BE44" s="379">
        <f>SUMIFS(BS_RE33!$H$7:$H$874,BS_RE33!$S$7:$S$874,$BE$2,BS_RE33!$N$7:$N$874,I44,BS_RE33!$P$7:$P$874,'30 days CF Table(USD)'!G44,BS_RE33!$F$7:$F$874,'30 days CF Table(USD)'!$C$2)</f>
        <v>0</v>
      </c>
      <c r="BF44" s="379">
        <f>SUMIFS(BS_RE33!$H$7:$H$874,BS_RE33!$S$7:$S$874,$BF$2,BS_RE33!$N$7:$N$874,I44,BS_RE33!$P$7:$P$874,'30 days CF Table(USD)'!G44,BS_RE33!$F$7:$F$874,'30 days CF Table(USD)'!$C$2)</f>
        <v>0</v>
      </c>
      <c r="BG44" s="379">
        <f>SUMIFS(BS_RE33!$H$7:$H$874,BS_RE33!$S$7:$S$874,$BG$2,BS_RE33!$N$7:$N$874,I44,BS_RE33!$P$7:$P$874,'30 days CF Table(USD)'!G44,BS_RE33!$F$7:$F$874,'30 days CF Table(USD)'!$C$2)</f>
        <v>0</v>
      </c>
      <c r="BH44" s="379">
        <f>SUMIFS(BS_RE33!$H$7:$H$874,BS_RE33!$S$7:$S$874,$BH$2,BS_RE33!$N$7:$N$874,I44,BS_RE33!$P$7:$P$874,'30 days CF Table(USD)'!G44,BS_RE33!$F$7:$F$874,'30 days CF Table(USD)'!$C$2)</f>
        <v>0</v>
      </c>
      <c r="BI44" s="379">
        <f>SUMIFS(BS_RE33!$H$7:$H$874,BS_RE33!$S$7:$S$874,$BI$2,BS_RE33!$N$7:$N$874,I44,BS_RE33!$P$7:$P$874,'30 days CF Table(USD)'!G44,BS_RE33!$F$7:$F$874,'30 days CF Table(USD)'!$C$2)</f>
        <v>0</v>
      </c>
      <c r="BJ44" s="379">
        <f>SUMIFS(BS_RE33!$H$7:$H$874,BS_RE33!$S$7:$S$874,$BJ$2,BS_RE33!$N$7:$N$874,I44,BS_RE33!$P$7:$P$874,'30 days CF Table(USD)'!G44,BS_RE33!$F$7:$F$874,'30 days CF Table(USD)'!$C$2)</f>
        <v>0</v>
      </c>
      <c r="BK44" s="379">
        <f>SUMIFS(BS_RE33!$H$7:$H$874,BS_RE33!$S$7:$S$874,$BK$2,BS_RE33!$N$7:$N$874,I44,BS_RE33!$P$7:$P$874,'30 days CF Table(USD)'!G44,BS_RE33!$F$7:$F$874,'30 days CF Table(USD)'!$C$2)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Table(USD)'!G45,BS_RE33!$F$7:$F$874,'30 days CF Table(USD)'!$C$2)</f>
        <v>0</v>
      </c>
      <c r="M45" s="337">
        <f>SUMIFS(BS_RE33!$H$7:$H$874,BS_RE33!$S$7:$S$874,$M$2,BS_RE33!$N$7:$N$874,I45,BS_RE33!$P$7:$P$874,'30 days CF Table(USD)'!G45,BS_RE33!$F$7:$F$874,'30 days CF Table(USD)'!$C$2)</f>
        <v>0</v>
      </c>
      <c r="N45" s="337">
        <f>SUMIFS(BS_RE33!$H$7:$H$874,BS_RE33!$S$7:$S$874,$N$2,BS_RE33!$N$7:$N$874,I45,BS_RE33!$P$7:$P$874,'30 days CF Table(USD)'!G45,BS_RE33!$F$7:$F$874,'30 days CF Table(USD)'!$C$2)</f>
        <v>0</v>
      </c>
      <c r="O45" s="337">
        <f>SUMIFS(BS_RE33!$H$7:$H$874,BS_RE33!$S$7:$S$874,$O$2,BS_RE33!$N$7:$N$874,I45,BS_RE33!$P$7:$P$874,'30 days CF Table(USD)'!G45,BS_RE33!$F$7:$F$874,'30 days CF Table(USD)'!$C$2)</f>
        <v>0</v>
      </c>
      <c r="P45" s="337">
        <f>SUMIFS(BS_RE33!$H$7:$H$874,BS_RE33!$S$7:$S$874,$P$2,BS_RE33!$N$7:$N$874,I45,BS_RE33!$P$7:$P$874,'30 days CF Table(USD)'!G45,BS_RE33!$F$7:$F$874,'30 days CF Table(USD)'!$C$2)</f>
        <v>0</v>
      </c>
      <c r="Q45" s="337">
        <f>SUMIFS(BS_RE33!$H$7:$H$874,BS_RE33!$S$7:$S$874,$Q$2,BS_RE33!$N$7:$N$874,I45,BS_RE33!$P$7:$P$874,'30 days CF Table(USD)'!G45,BS_RE33!$F$7:$F$874,'30 days CF Table(USD)'!$C$2)</f>
        <v>0</v>
      </c>
      <c r="R45" s="337">
        <f>SUMIFS(BS_RE33!$H$7:$H$874,BS_RE33!$S$7:$S$874,$R$2,BS_RE33!$N$7:$N$874,I45,BS_RE33!$P$7:$P$874,'30 days CF Table(USD)'!G45,BS_RE33!$F$7:$F$874,'30 days CF Table(USD)'!$C$2)</f>
        <v>0</v>
      </c>
      <c r="S45" s="337">
        <f>SUMIFS(BS_RE33!$H$7:$H$874,BS_RE33!$S$7:$S$874,$S$2,BS_RE33!$N$7:$N$874,I45,BS_RE33!$P$7:$P$874,'30 days CF Table(USD)'!G45,BS_RE33!$F$7:$F$874,'30 days CF Table(USD)'!$C$2)</f>
        <v>0</v>
      </c>
      <c r="T45" s="337">
        <f>SUMIFS(BS_RE33!$H$7:$H$874,BS_RE33!$S$7:$S$874,$T$2,BS_RE33!$N$7:$N$874,I45,BS_RE33!$P$7:$P$874,'30 days CF Table(USD)'!G45,BS_RE33!$F$7:$F$874,'30 days CF Table(USD)'!$C$2)</f>
        <v>0</v>
      </c>
      <c r="U45" s="337">
        <f>SUMIFS(BS_RE33!$H$7:$H$874,BS_RE33!$S$7:$S$874,$U$2,BS_RE33!$N$7:$N$874,I45,BS_RE33!$P$7:$P$874,'30 days CF Table(USD)'!G45,BS_RE33!$F$7:$F$874,'30 days CF Table(USD)'!$C$2)</f>
        <v>0</v>
      </c>
      <c r="V45" s="337">
        <f>SUMIFS(BS_RE33!$H$7:$H$874,BS_RE33!$S$7:$S$874,$V$2,BS_RE33!$N$7:$N$874,I45,BS_RE33!$P$7:$P$874,'30 days CF Table(USD)'!G45,BS_RE33!$F$7:$F$874,'30 days CF Table(USD)'!$C$2)</f>
        <v>0</v>
      </c>
      <c r="W45" s="337">
        <f>SUMIFS(BS_RE33!$H$7:$H$874,BS_RE33!$S$7:$S$874,$W$2,BS_RE33!$N$7:$N$874,I45,BS_RE33!$P$7:$P$874,'30 days CF Table(USD)'!G45,BS_RE33!$F$7:$F$874,'30 days CF Table(USD)'!$C$2)</f>
        <v>0</v>
      </c>
      <c r="X45" s="337">
        <f>SUMIFS(BS_RE33!$H$7:$H$874,BS_RE33!$S$7:$S$874,$X$2,BS_RE33!$N$7:$N$874,I45,BS_RE33!$P$7:$P$874,'30 days CF Table(USD)'!G45,BS_RE33!$F$7:$F$874,'30 days CF Table(USD)'!$C$2)</f>
        <v>0</v>
      </c>
      <c r="Y45" s="337">
        <f>SUMIFS(BS_RE33!$H$7:$H$874,BS_RE33!$S$7:$S$874,$Y$2,BS_RE33!$N$7:$N$874,I45,BS_RE33!$P$7:$P$874,'30 days CF Table(USD)'!G45,BS_RE33!$F$7:$F$874,'30 days CF Table(USD)'!$C$2)</f>
        <v>0</v>
      </c>
      <c r="Z45" s="337">
        <f>SUMIFS(BS_RE33!$H$7:$H$874,BS_RE33!$S$7:$S$874,$Z$2,BS_RE33!$N$7:$N$874,I45,BS_RE33!$P$7:$P$874,'30 days CF Table(USD)'!G45,BS_RE33!$F$7:$F$874,'30 days CF Table(USD)'!$C$2)</f>
        <v>0</v>
      </c>
      <c r="AA45" s="337">
        <f>SUMIFS(BS_RE33!$H$7:$H$874,BS_RE33!$S$7:$S$874,$AA$2,BS_RE33!$N$7:$N$874,I45,BS_RE33!$P$7:$P$874,'30 days CF Table(USD)'!G45,BS_RE33!$F$7:$F$874,'30 days CF Table(USD)'!$C$2)</f>
        <v>0</v>
      </c>
      <c r="AB45" s="337">
        <f>SUMIFS(BS_RE33!$H$7:$H$874,BS_RE33!$S$7:$S$874,$AB$2,BS_RE33!$N$7:$N$874,I45,BS_RE33!$P$7:$P$874,'30 days CF Table(USD)'!G45,BS_RE33!$F$7:$F$874,'30 days CF Table(USD)'!$C$2)</f>
        <v>0</v>
      </c>
      <c r="AC45" s="337">
        <f>SUMIFS(BS_RE33!$H$7:$H$874,BS_RE33!$S$7:$S$874,$AC$2,BS_RE33!$N$7:$N$874,I45,BS_RE33!$P$7:$P$874,'30 days CF Table(USD)'!G45,BS_RE33!$F$7:$F$874,'30 days CF Table(USD)'!$C$2)</f>
        <v>0</v>
      </c>
      <c r="AD45" s="337">
        <f>SUMIFS(BS_RE33!$H$7:$H$874,BS_RE33!$S$7:$S$874,$AD$2,BS_RE33!$N$7:$N$874,I45,BS_RE33!$P$7:$P$874,'30 days CF Table(USD)'!G45,BS_RE33!$F$7:$F$874,'30 days CF Table(USD)'!$C$2)</f>
        <v>0</v>
      </c>
      <c r="AE45" s="337">
        <f>SUMIFS(BS_RE33!$H$7:$H$874,BS_RE33!$S$7:$S$874,$AE$2,BS_RE33!$N$7:$N$874,I45,BS_RE33!$P$7:$P$874,'30 days CF Table(USD)'!G45,BS_RE33!$F$7:$F$874,'30 days CF Table(USD)'!$C$2)</f>
        <v>0</v>
      </c>
      <c r="AF45" s="337">
        <f>SUMIFS(BS_RE33!$H$7:$H$874,BS_RE33!$S$7:$S$874,$AF$2,BS_RE33!$N$7:$N$874,I45,BS_RE33!$P$7:$P$874,'30 days CF Table(USD)'!G45,BS_RE33!$F$7:$F$874,'30 days CF Table(USD)'!$C$2)</f>
        <v>0</v>
      </c>
      <c r="AG45" s="337">
        <f>SUMIFS(BS_RE33!$H$7:$H$874,BS_RE33!$S$7:$S$874,$AG$2,BS_RE33!$N$7:$N$874,I45,BS_RE33!$P$7:$P$874,'30 days CF Table(USD)'!G45,BS_RE33!$F$7:$F$874,'30 days CF Table(USD)'!$C$2)</f>
        <v>0</v>
      </c>
      <c r="AH45" s="337">
        <f>SUMIFS(BS_RE33!$H$7:$H$874,BS_RE33!$S$7:$S$874,$AH$2,BS_RE33!$N$7:$N$874,I45,BS_RE33!$P$7:$P$874,'30 days CF Table(USD)'!G45,BS_RE33!$F$7:$F$874,'30 days CF Table(USD)'!$C$2)</f>
        <v>0</v>
      </c>
      <c r="AI45" s="337">
        <f>SUMIFS(BS_RE33!$H$7:$H$874,BS_RE33!$S$7:$S$874,$AI$2,BS_RE33!$N$7:$N$874,I45,BS_RE33!$P$7:$P$874,'30 days CF Table(USD)'!G45,BS_RE33!$F$7:$F$874,'30 days CF Table(USD)'!$C$2)</f>
        <v>0</v>
      </c>
      <c r="AJ45" s="337">
        <f>SUMIFS(BS_RE33!$H$7:$H$874,BS_RE33!$S$7:$S$874,$AJ$2,BS_RE33!$N$7:$N$874,I45,BS_RE33!$P$7:$P$874,'30 days CF Table(USD)'!G45,BS_RE33!$F$7:$F$874,'30 days CF Table(USD)'!$C$2)</f>
        <v>0</v>
      </c>
      <c r="AK45" s="337">
        <f>SUMIFS(BS_RE33!$H$7:$H$874,BS_RE33!$S$7:$S$874,$AK$2,BS_RE33!$N$7:$N$874,I45,BS_RE33!$P$7:$P$874,'30 days CF Table(USD)'!G45,BS_RE33!$F$7:$F$874,'30 days CF Table(USD)'!$C$2)</f>
        <v>0</v>
      </c>
      <c r="AL45" s="337">
        <f>SUMIFS(BS_RE33!$H$7:$H$874,BS_RE33!$S$7:$S$874,$AL$2,BS_RE33!$N$7:$N$874,I45,BS_RE33!$P$7:$P$874,'30 days CF Table(USD)'!G45,BS_RE33!$F$7:$F$874,'30 days CF Table(USD)'!$C$2)</f>
        <v>0</v>
      </c>
      <c r="AM45" s="337">
        <f>SUMIFS(BS_RE33!$H$7:$H$874,BS_RE33!$S$7:$S$874,$AM$2,BS_RE33!$N$7:$N$874,I45,BS_RE33!$P$7:$P$874,'30 days CF Table(USD)'!G45,BS_RE33!$F$7:$F$874,'30 days CF Table(USD)'!$C$2)</f>
        <v>0</v>
      </c>
      <c r="AN45" s="337">
        <f>SUMIFS(BS_RE33!$H$7:$H$874,BS_RE33!$S$7:$S$874,$AN$2,BS_RE33!$N$7:$N$874,I45,BS_RE33!$P$7:$P$874,'30 days CF Table(USD)'!G45,BS_RE33!$F$7:$F$874,'30 days CF Table(USD)'!$C$2)</f>
        <v>0</v>
      </c>
      <c r="AO45" s="337">
        <f>SUMIFS(BS_RE33!$H$7:$H$874,BS_RE33!$S$7:$S$874,$AO$2,BS_RE33!$N$7:$N$874,I45,BS_RE33!$P$7:$P$874,'30 days CF Table(USD)'!G45,BS_RE33!$F$7:$F$874,'30 days CF Table(USD)'!$C$2)</f>
        <v>0</v>
      </c>
      <c r="AP45" s="338">
        <f>SUMIFS(BS_RE33!$H$7:$H$874,BS_RE33!$S$7:$S$874,$AP$2,BS_RE33!$N$7:$N$874,I45,BS_RE33!$P$7:$P$874,'30 days CF Table(USD)'!G45,BS_RE33!$F$7:$F$874,'30 days CF Table(USD)'!$C$2)</f>
        <v>0</v>
      </c>
      <c r="AR45" s="379">
        <f>SUMIFS(BS_RE33!$H$7:$H$874,BS_RE33!$S$7:$S$874,$AR$2,BS_RE33!$N$7:$N$874,I45,BS_RE33!$P$7:$P$874,'30 days CF Table(USD)'!G45,BS_RE33!$F$7:$F$874,'30 days CF Table(USD)'!$C$2)</f>
        <v>0</v>
      </c>
      <c r="AS45" s="379">
        <f>SUMIFS(BS_RE33!$H$7:$H$874,BS_RE33!$S$7:$S$874,$AS$2,BS_RE33!$N$7:$N$874,I45,BS_RE33!$P$7:$P$874,'30 days CF Table(USD)'!G45,BS_RE33!$F$7:$F$874,'30 days CF Table(USD)'!$C$2)</f>
        <v>0</v>
      </c>
      <c r="AT45" s="379">
        <f>SUMIFS(BS_RE33!$H$7:$H$874,BS_RE33!$S$7:$S$874,$AT$2,BS_RE33!$N$7:$N$874,I45,BS_RE33!$P$7:$P$874,'30 days CF Table(USD)'!G45,BS_RE33!$F$7:$F$874,'30 days CF Table(USD)'!$C$2)</f>
        <v>0</v>
      </c>
      <c r="AU45" s="379">
        <f>SUMIFS(BS_RE33!$H$7:$H$874,BS_RE33!$S$7:$S$874,$AU$2,BS_RE33!$N$7:$N$874,I45,BS_RE33!$P$7:$P$874,'30 days CF Table(USD)'!G45,BS_RE33!$F$7:$F$874,'30 days CF Table(USD)'!$C$2)</f>
        <v>0</v>
      </c>
      <c r="AV45" s="379">
        <f>SUMIFS(BS_RE33!$H$7:$H$874,BS_RE33!$S$7:$S$874,$AV$2,BS_RE33!$N$7:$N$874,I45,BS_RE33!$P$7:$P$874,'30 days CF Table(USD)'!G45,BS_RE33!$F$7:$F$874,'30 days CF Table(USD)'!$C$2)</f>
        <v>0</v>
      </c>
      <c r="AW45" s="379">
        <f>SUMIFS(BS_RE33!$H$7:$H$874,BS_RE33!$S$7:$S$874,$AW$2,BS_RE33!$N$7:$N$874,I45,BS_RE33!$P$7:$P$874,'30 days CF Table(USD)'!G45,BS_RE33!$F$7:$F$874,'30 days CF Table(USD)'!$C$2)</f>
        <v>0</v>
      </c>
      <c r="AX45" s="379">
        <f>SUMIFS(BS_RE33!$H$7:$H$874,BS_RE33!$S$7:$S$874,$AX$2,BS_RE33!$N$7:$N$874,I45,BS_RE33!$P$7:$P$874,'30 days CF Table(USD)'!G45,BS_RE33!$F$7:$F$874,'30 days CF Table(USD)'!$C$2)</f>
        <v>0</v>
      </c>
      <c r="AY45" s="379">
        <f>SUMIFS(BS_RE33!$H$7:$H$874,BS_RE33!$S$7:$S$874,$AY$2,BS_RE33!$N$7:$N$874,I45,BS_RE33!$P$7:$P$874,'30 days CF Table(USD)'!G45,BS_RE33!$F$7:$F$874,'30 days CF Table(USD)'!$C$2)</f>
        <v>0</v>
      </c>
      <c r="AZ45" s="379">
        <f>SUMIFS(BS_RE33!$H$7:$H$874,BS_RE33!$S$7:$S$874,$AZ$2,BS_RE33!$N$7:$N$874,I45,BS_RE33!$P$7:$P$874,'30 days CF Table(USD)'!G45,BS_RE33!$F$7:$F$874,'30 days CF Table(USD)'!$C$2)</f>
        <v>0</v>
      </c>
      <c r="BA45" s="379">
        <f>SUMIFS(BS_RE33!$H$7:$H$874,BS_RE33!$S$7:$S$874,$BA$2,BS_RE33!$N$7:$N$874,I45,BS_RE33!$P$7:$P$874,'30 days CF Table(USD)'!G45,BS_RE33!$F$7:$F$874,'30 days CF Table(USD)'!$C$2)</f>
        <v>0</v>
      </c>
      <c r="BB45" s="379">
        <f>SUMIFS(BS_RE33!$H$7:$H$874,BS_RE33!$S$7:$S$874,$BB$2,BS_RE33!$N$7:$N$874,I45,BS_RE33!$P$7:$P$874,'30 days CF Table(USD)'!G45,BS_RE33!$F$7:$F$874,'30 days CF Table(USD)'!$C$2)</f>
        <v>0</v>
      </c>
      <c r="BC45" s="379">
        <f>SUMIFS(BS_RE33!$H$7:$H$874,BS_RE33!$S$7:$S$874,$BC$2,BS_RE33!$N$7:$N$874,I45,BS_RE33!$P$7:$P$874,'30 days CF Table(USD)'!G45,BS_RE33!$F$7:$F$874,'30 days CF Table(USD)'!$C$2)</f>
        <v>0</v>
      </c>
      <c r="BD45" s="379">
        <f>SUMIFS(BS_RE33!$H$7:$H$874,BS_RE33!$S$7:$S$874,$BD$2,BS_RE33!$N$7:$N$874,I45,BS_RE33!$P$7:$P$874,'30 days CF Table(USD)'!G45,BS_RE33!$F$7:$F$874,'30 days CF Table(USD)'!$C$2)</f>
        <v>0</v>
      </c>
      <c r="BE45" s="379">
        <f>SUMIFS(BS_RE33!$H$7:$H$874,BS_RE33!$S$7:$S$874,$BE$2,BS_RE33!$N$7:$N$874,I45,BS_RE33!$P$7:$P$874,'30 days CF Table(USD)'!G45,BS_RE33!$F$7:$F$874,'30 days CF Table(USD)'!$C$2)</f>
        <v>0</v>
      </c>
      <c r="BF45" s="379">
        <f>SUMIFS(BS_RE33!$H$7:$H$874,BS_RE33!$S$7:$S$874,$BF$2,BS_RE33!$N$7:$N$874,I45,BS_RE33!$P$7:$P$874,'30 days CF Table(USD)'!G45,BS_RE33!$F$7:$F$874,'30 days CF Table(USD)'!$C$2)</f>
        <v>0</v>
      </c>
      <c r="BG45" s="379">
        <f>SUMIFS(BS_RE33!$H$7:$H$874,BS_RE33!$S$7:$S$874,$BG$2,BS_RE33!$N$7:$N$874,I45,BS_RE33!$P$7:$P$874,'30 days CF Table(USD)'!G45,BS_RE33!$F$7:$F$874,'30 days CF Table(USD)'!$C$2)</f>
        <v>0</v>
      </c>
      <c r="BH45" s="379">
        <f>SUMIFS(BS_RE33!$H$7:$H$874,BS_RE33!$S$7:$S$874,$BH$2,BS_RE33!$N$7:$N$874,I45,BS_RE33!$P$7:$P$874,'30 days CF Table(USD)'!G45,BS_RE33!$F$7:$F$874,'30 days CF Table(USD)'!$C$2)</f>
        <v>0</v>
      </c>
      <c r="BI45" s="379">
        <f>SUMIFS(BS_RE33!$H$7:$H$874,BS_RE33!$S$7:$S$874,$BI$2,BS_RE33!$N$7:$N$874,I45,BS_RE33!$P$7:$P$874,'30 days CF Table(USD)'!G45,BS_RE33!$F$7:$F$874,'30 days CF Table(USD)'!$C$2)</f>
        <v>0</v>
      </c>
      <c r="BJ45" s="379">
        <f>SUMIFS(BS_RE33!$H$7:$H$874,BS_RE33!$S$7:$S$874,$BJ$2,BS_RE33!$N$7:$N$874,I45,BS_RE33!$P$7:$P$874,'30 days CF Table(USD)'!G45,BS_RE33!$F$7:$F$874,'30 days CF Table(USD)'!$C$2)</f>
        <v>0</v>
      </c>
      <c r="BK45" s="379">
        <f>SUMIFS(BS_RE33!$H$7:$H$874,BS_RE33!$S$7:$S$874,$BK$2,BS_RE33!$N$7:$N$874,I45,BS_RE33!$P$7:$P$874,'30 days CF Table(USD)'!G45,BS_RE33!$F$7:$F$874,'30 days CF Table(USD)'!$C$2)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Table(USD)'!G46,BS_RE33!$F$7:$F$874,'30 days CF Table(USD)'!$C$2)</f>
        <v>0</v>
      </c>
      <c r="M46" s="548">
        <f>SUMIFS(BS_RE33!$H$7:$H$874,BS_RE33!$S$7:$S$874,$M$2,BS_RE33!$N$7:$N$874,I46,BS_RE33!$P$7:$P$874,'30 days CF Table(USD)'!G46,BS_RE33!$F$7:$F$874,'30 days CF Table(USD)'!$C$2)</f>
        <v>0</v>
      </c>
      <c r="N46" s="548">
        <f>SUMIFS(BS_RE33!$H$7:$H$874,BS_RE33!$S$7:$S$874,$N$2,BS_RE33!$N$7:$N$874,I46,BS_RE33!$P$7:$P$874,'30 days CF Table(USD)'!G46,BS_RE33!$F$7:$F$874,'30 days CF Table(USD)'!$C$2)</f>
        <v>0</v>
      </c>
      <c r="O46" s="548">
        <f>SUMIFS(BS_RE33!$H$7:$H$874,BS_RE33!$S$7:$S$874,$O$2,BS_RE33!$N$7:$N$874,I46,BS_RE33!$P$7:$P$874,'30 days CF Table(USD)'!G46,BS_RE33!$F$7:$F$874,'30 days CF Table(USD)'!$C$2)</f>
        <v>0</v>
      </c>
      <c r="P46" s="548">
        <f>SUMIFS(BS_RE33!$H$7:$H$874,BS_RE33!$S$7:$S$874,$P$2,BS_RE33!$N$7:$N$874,I46,BS_RE33!$P$7:$P$874,'30 days CF Table(USD)'!G46,BS_RE33!$F$7:$F$874,'30 days CF Table(USD)'!$C$2)</f>
        <v>0</v>
      </c>
      <c r="Q46" s="548">
        <f>SUMIFS(BS_RE33!$H$7:$H$874,BS_RE33!$S$7:$S$874,$Q$2,BS_RE33!$N$7:$N$874,I46,BS_RE33!$P$7:$P$874,'30 days CF Table(USD)'!G46,BS_RE33!$F$7:$F$874,'30 days CF Table(USD)'!$C$2)</f>
        <v>0</v>
      </c>
      <c r="R46" s="548">
        <f>SUMIFS(BS_RE33!$H$7:$H$874,BS_RE33!$S$7:$S$874,$R$2,BS_RE33!$N$7:$N$874,I46,BS_RE33!$P$7:$P$874,'30 days CF Table(USD)'!G46,BS_RE33!$F$7:$F$874,'30 days CF Table(USD)'!$C$2)</f>
        <v>0</v>
      </c>
      <c r="S46" s="548">
        <f>SUMIFS(BS_RE33!$H$7:$H$874,BS_RE33!$S$7:$S$874,$S$2,BS_RE33!$N$7:$N$874,I46,BS_RE33!$P$7:$P$874,'30 days CF Table(USD)'!G46,BS_RE33!$F$7:$F$874,'30 days CF Table(USD)'!$C$2)</f>
        <v>0</v>
      </c>
      <c r="T46" s="548">
        <f>SUMIFS(BS_RE33!$H$7:$H$874,BS_RE33!$S$7:$S$874,$T$2,BS_RE33!$N$7:$N$874,I46,BS_RE33!$P$7:$P$874,'30 days CF Table(USD)'!G46,BS_RE33!$F$7:$F$874,'30 days CF Table(USD)'!$C$2)</f>
        <v>0</v>
      </c>
      <c r="U46" s="548">
        <f>SUMIFS(BS_RE33!$H$7:$H$874,BS_RE33!$S$7:$S$874,$U$2,BS_RE33!$N$7:$N$874,I46,BS_RE33!$P$7:$P$874,'30 days CF Table(USD)'!G46,BS_RE33!$F$7:$F$874,'30 days CF Table(USD)'!$C$2)</f>
        <v>0</v>
      </c>
      <c r="V46" s="548">
        <f>SUMIFS(BS_RE33!$H$7:$H$874,BS_RE33!$S$7:$S$874,$V$2,BS_RE33!$N$7:$N$874,I46,BS_RE33!$P$7:$P$874,'30 days CF Table(USD)'!G46,BS_RE33!$F$7:$F$874,'30 days CF Table(USD)'!$C$2)</f>
        <v>0</v>
      </c>
      <c r="W46" s="548">
        <f>SUMIFS(BS_RE33!$H$7:$H$874,BS_RE33!$S$7:$S$874,$W$2,BS_RE33!$N$7:$N$874,I46,BS_RE33!$P$7:$P$874,'30 days CF Table(USD)'!G46,BS_RE33!$F$7:$F$874,'30 days CF Table(USD)'!$C$2)</f>
        <v>0</v>
      </c>
      <c r="X46" s="548">
        <f>SUMIFS(BS_RE33!$H$7:$H$874,BS_RE33!$S$7:$S$874,$X$2,BS_RE33!$N$7:$N$874,I46,BS_RE33!$P$7:$P$874,'30 days CF Table(USD)'!G46,BS_RE33!$F$7:$F$874,'30 days CF Table(USD)'!$C$2)</f>
        <v>0</v>
      </c>
      <c r="Y46" s="548">
        <f>SUMIFS(BS_RE33!$H$7:$H$874,BS_RE33!$S$7:$S$874,$Y$2,BS_RE33!$N$7:$N$874,I46,BS_RE33!$P$7:$P$874,'30 days CF Table(USD)'!G46,BS_RE33!$F$7:$F$874,'30 days CF Table(USD)'!$C$2)</f>
        <v>0</v>
      </c>
      <c r="Z46" s="548">
        <f>SUMIFS(BS_RE33!$H$7:$H$874,BS_RE33!$S$7:$S$874,$Z$2,BS_RE33!$N$7:$N$874,I46,BS_RE33!$P$7:$P$874,'30 days CF Table(USD)'!G46,BS_RE33!$F$7:$F$874,'30 days CF Table(USD)'!$C$2)</f>
        <v>0</v>
      </c>
      <c r="AA46" s="548">
        <f>SUMIFS(BS_RE33!$H$7:$H$874,BS_RE33!$S$7:$S$874,$AA$2,BS_RE33!$N$7:$N$874,I46,BS_RE33!$P$7:$P$874,'30 days CF Table(USD)'!G46,BS_RE33!$F$7:$F$874,'30 days CF Table(USD)'!$C$2)</f>
        <v>0</v>
      </c>
      <c r="AB46" s="548">
        <f>SUMIFS(BS_RE33!$H$7:$H$874,BS_RE33!$S$7:$S$874,$AB$2,BS_RE33!$N$7:$N$874,I46,BS_RE33!$P$7:$P$874,'30 days CF Table(USD)'!G46,BS_RE33!$F$7:$F$874,'30 days CF Table(USD)'!$C$2)</f>
        <v>0</v>
      </c>
      <c r="AC46" s="548">
        <f>SUMIFS(BS_RE33!$H$7:$H$874,BS_RE33!$S$7:$S$874,$AC$2,BS_RE33!$N$7:$N$874,I46,BS_RE33!$P$7:$P$874,'30 days CF Table(USD)'!G46,BS_RE33!$F$7:$F$874,'30 days CF Table(USD)'!$C$2)</f>
        <v>0</v>
      </c>
      <c r="AD46" s="548">
        <f>SUMIFS(BS_RE33!$H$7:$H$874,BS_RE33!$S$7:$S$874,$AD$2,BS_RE33!$N$7:$N$874,I46,BS_RE33!$P$7:$P$874,'30 days CF Table(USD)'!G46,BS_RE33!$F$7:$F$874,'30 days CF Table(USD)'!$C$2)</f>
        <v>0</v>
      </c>
      <c r="AE46" s="548">
        <f>SUMIFS(BS_RE33!$H$7:$H$874,BS_RE33!$S$7:$S$874,$AE$2,BS_RE33!$N$7:$N$874,I46,BS_RE33!$P$7:$P$874,'30 days CF Table(USD)'!G46,BS_RE33!$F$7:$F$874,'30 days CF Table(USD)'!$C$2)</f>
        <v>0</v>
      </c>
      <c r="AF46" s="548">
        <f>SUMIFS(BS_RE33!$H$7:$H$874,BS_RE33!$S$7:$S$874,$AF$2,BS_RE33!$N$7:$N$874,I46,BS_RE33!$P$7:$P$874,'30 days CF Table(USD)'!G46,BS_RE33!$F$7:$F$874,'30 days CF Table(USD)'!$C$2)</f>
        <v>0</v>
      </c>
      <c r="AG46" s="548">
        <f>SUMIFS(BS_RE33!$H$7:$H$874,BS_RE33!$S$7:$S$874,$AG$2,BS_RE33!$N$7:$N$874,I46,BS_RE33!$P$7:$P$874,'30 days CF Table(USD)'!G46,BS_RE33!$F$7:$F$874,'30 days CF Table(USD)'!$C$2)</f>
        <v>0</v>
      </c>
      <c r="AH46" s="548">
        <f>SUMIFS(BS_RE33!$H$7:$H$874,BS_RE33!$S$7:$S$874,$AH$2,BS_RE33!$N$7:$N$874,I46,BS_RE33!$P$7:$P$874,'30 days CF Table(USD)'!G46,BS_RE33!$F$7:$F$874,'30 days CF Table(USD)'!$C$2)</f>
        <v>0</v>
      </c>
      <c r="AI46" s="548">
        <f>SUMIFS(BS_RE33!$H$7:$H$874,BS_RE33!$S$7:$S$874,$AI$2,BS_RE33!$N$7:$N$874,I46,BS_RE33!$P$7:$P$874,'30 days CF Table(USD)'!G46,BS_RE33!$F$7:$F$874,'30 days CF Table(USD)'!$C$2)</f>
        <v>0</v>
      </c>
      <c r="AJ46" s="548">
        <f>SUMIFS(BS_RE33!$H$7:$H$874,BS_RE33!$S$7:$S$874,$AJ$2,BS_RE33!$N$7:$N$874,I46,BS_RE33!$P$7:$P$874,'30 days CF Table(USD)'!G46,BS_RE33!$F$7:$F$874,'30 days CF Table(USD)'!$C$2)</f>
        <v>0</v>
      </c>
      <c r="AK46" s="548">
        <f>SUMIFS(BS_RE33!$H$7:$H$874,BS_RE33!$S$7:$S$874,$AK$2,BS_RE33!$N$7:$N$874,I46,BS_RE33!$P$7:$P$874,'30 days CF Table(USD)'!G46,BS_RE33!$F$7:$F$874,'30 days CF Table(USD)'!$C$2)</f>
        <v>0</v>
      </c>
      <c r="AL46" s="548">
        <f>SUMIFS(BS_RE33!$H$7:$H$874,BS_RE33!$S$7:$S$874,$AL$2,BS_RE33!$N$7:$N$874,I46,BS_RE33!$P$7:$P$874,'30 days CF Table(USD)'!G46,BS_RE33!$F$7:$F$874,'30 days CF Table(USD)'!$C$2)</f>
        <v>0</v>
      </c>
      <c r="AM46" s="548">
        <f>SUMIFS(BS_RE33!$H$7:$H$874,BS_RE33!$S$7:$S$874,$AM$2,BS_RE33!$N$7:$N$874,I46,BS_RE33!$P$7:$P$874,'30 days CF Table(USD)'!G46,BS_RE33!$F$7:$F$874,'30 days CF Table(USD)'!$C$2)</f>
        <v>0</v>
      </c>
      <c r="AN46" s="548">
        <f>SUMIFS(BS_RE33!$H$7:$H$874,BS_RE33!$S$7:$S$874,$AN$2,BS_RE33!$N$7:$N$874,I46,BS_RE33!$P$7:$P$874,'30 days CF Table(USD)'!G46,BS_RE33!$F$7:$F$874,'30 days CF Table(USD)'!$C$2)</f>
        <v>0</v>
      </c>
      <c r="AO46" s="548">
        <f>SUMIFS(BS_RE33!$H$7:$H$874,BS_RE33!$S$7:$S$874,$AO$2,BS_RE33!$N$7:$N$874,I46,BS_RE33!$P$7:$P$874,'30 days CF Table(USD)'!G46,BS_RE33!$F$7:$F$874,'30 days CF Table(USD)'!$C$2)</f>
        <v>0</v>
      </c>
      <c r="AP46" s="549">
        <f>SUMIFS(BS_RE33!$H$7:$H$874,BS_RE33!$S$7:$S$874,$AP$2,BS_RE33!$N$7:$N$874,I46,BS_RE33!$P$7:$P$874,'30 days CF Table(USD)'!G46,BS_RE33!$F$7:$F$874,'30 days CF Table(USD)'!$C$2)</f>
        <v>0</v>
      </c>
      <c r="AQ46" s="550"/>
      <c r="AR46" s="380">
        <f>SUMIFS(BS_RE33!$H$7:$H$874,BS_RE33!$S$7:$S$874,$AR$2,BS_RE33!$N$7:$N$874,I46,BS_RE33!$P$7:$P$874,'30 days CF Table(USD)'!G46,BS_RE33!$F$7:$F$874,'30 days CF Table(USD)'!$C$2)</f>
        <v>0</v>
      </c>
      <c r="AS46" s="380">
        <f>SUMIFS(BS_RE33!$H$7:$H$874,BS_RE33!$S$7:$S$874,$AS$2,BS_RE33!$N$7:$N$874,I46,BS_RE33!$P$7:$P$874,'30 days CF Table(USD)'!G46,BS_RE33!$F$7:$F$874,'30 days CF Table(USD)'!$C$2)</f>
        <v>0</v>
      </c>
      <c r="AT46" s="380">
        <f>SUMIFS(BS_RE33!$H$7:$H$874,BS_RE33!$S$7:$S$874,$AT$2,BS_RE33!$N$7:$N$874,I46,BS_RE33!$P$7:$P$874,'30 days CF Table(USD)'!G46,BS_RE33!$F$7:$F$874,'30 days CF Table(USD)'!$C$2)</f>
        <v>0</v>
      </c>
      <c r="AU46" s="380">
        <f>SUMIFS(BS_RE33!$H$7:$H$874,BS_RE33!$S$7:$S$874,$AU$2,BS_RE33!$N$7:$N$874,I46,BS_RE33!$P$7:$P$874,'30 days CF Table(USD)'!G46,BS_RE33!$F$7:$F$874,'30 days CF Table(USD)'!$C$2)</f>
        <v>0</v>
      </c>
      <c r="AV46" s="380">
        <f>SUMIFS(BS_RE33!$H$7:$H$874,BS_RE33!$S$7:$S$874,$AV$2,BS_RE33!$N$7:$N$874,I46,BS_RE33!$P$7:$P$874,'30 days CF Table(USD)'!G46,BS_RE33!$F$7:$F$874,'30 days CF Table(USD)'!$C$2)</f>
        <v>0</v>
      </c>
      <c r="AW46" s="380">
        <f>SUMIFS(BS_RE33!$H$7:$H$874,BS_RE33!$S$7:$S$874,$AW$2,BS_RE33!$N$7:$N$874,I46,BS_RE33!$P$7:$P$874,'30 days CF Table(USD)'!G46,BS_RE33!$F$7:$F$874,'30 days CF Table(USD)'!$C$2)</f>
        <v>0</v>
      </c>
      <c r="AX46" s="380">
        <f>SUMIFS(BS_RE33!$H$7:$H$874,BS_RE33!$S$7:$S$874,$AX$2,BS_RE33!$N$7:$N$874,I46,BS_RE33!$P$7:$P$874,'30 days CF Table(USD)'!G46,BS_RE33!$F$7:$F$874,'30 days CF Table(USD)'!$C$2)</f>
        <v>0</v>
      </c>
      <c r="AY46" s="380">
        <f>SUMIFS(BS_RE33!$H$7:$H$874,BS_RE33!$S$7:$S$874,$AY$2,BS_RE33!$N$7:$N$874,I46,BS_RE33!$P$7:$P$874,'30 days CF Table(USD)'!G46,BS_RE33!$F$7:$F$874,'30 days CF Table(USD)'!$C$2)</f>
        <v>0</v>
      </c>
      <c r="AZ46" s="380">
        <f>SUMIFS(BS_RE33!$H$7:$H$874,BS_RE33!$S$7:$S$874,$AZ$2,BS_RE33!$N$7:$N$874,I46,BS_RE33!$P$7:$P$874,'30 days CF Table(USD)'!G46,BS_RE33!$F$7:$F$874,'30 days CF Table(USD)'!$C$2)</f>
        <v>0</v>
      </c>
      <c r="BA46" s="380">
        <f>SUMIFS(BS_RE33!$H$7:$H$874,BS_RE33!$S$7:$S$874,$BA$2,BS_RE33!$N$7:$N$874,I46,BS_RE33!$P$7:$P$874,'30 days CF Table(USD)'!G46,BS_RE33!$F$7:$F$874,'30 days CF Table(USD)'!$C$2)</f>
        <v>0</v>
      </c>
      <c r="BB46" s="380">
        <f>SUMIFS(BS_RE33!$H$7:$H$874,BS_RE33!$S$7:$S$874,$BB$2,BS_RE33!$N$7:$N$874,I46,BS_RE33!$P$7:$P$874,'30 days CF Table(USD)'!G46,BS_RE33!$F$7:$F$874,'30 days CF Table(USD)'!$C$2)</f>
        <v>0</v>
      </c>
      <c r="BC46" s="380">
        <f>SUMIFS(BS_RE33!$H$7:$H$874,BS_RE33!$S$7:$S$874,$BC$2,BS_RE33!$N$7:$N$874,I46,BS_RE33!$P$7:$P$874,'30 days CF Table(USD)'!G46,BS_RE33!$F$7:$F$874,'30 days CF Table(USD)'!$C$2)</f>
        <v>0</v>
      </c>
      <c r="BD46" s="380">
        <f>SUMIFS(BS_RE33!$H$7:$H$874,BS_RE33!$S$7:$S$874,$BD$2,BS_RE33!$N$7:$N$874,I46,BS_RE33!$P$7:$P$874,'30 days CF Table(USD)'!G46,BS_RE33!$F$7:$F$874,'30 days CF Table(USD)'!$C$2)</f>
        <v>0</v>
      </c>
      <c r="BE46" s="380">
        <f>SUMIFS(BS_RE33!$H$7:$H$874,BS_RE33!$S$7:$S$874,$BE$2,BS_RE33!$N$7:$N$874,I46,BS_RE33!$P$7:$P$874,'30 days CF Table(USD)'!G46,BS_RE33!$F$7:$F$874,'30 days CF Table(USD)'!$C$2)</f>
        <v>0</v>
      </c>
      <c r="BF46" s="380">
        <f>SUMIFS(BS_RE33!$H$7:$H$874,BS_RE33!$S$7:$S$874,$BF$2,BS_RE33!$N$7:$N$874,I46,BS_RE33!$P$7:$P$874,'30 days CF Table(USD)'!G46,BS_RE33!$F$7:$F$874,'30 days CF Table(USD)'!$C$2)</f>
        <v>0</v>
      </c>
      <c r="BG46" s="380">
        <f>SUMIFS(BS_RE33!$H$7:$H$874,BS_RE33!$S$7:$S$874,$BG$2,BS_RE33!$N$7:$N$874,I46,BS_RE33!$P$7:$P$874,'30 days CF Table(USD)'!G46,BS_RE33!$F$7:$F$874,'30 days CF Table(USD)'!$C$2)</f>
        <v>0</v>
      </c>
      <c r="BH46" s="380">
        <f>SUMIFS(BS_RE33!$H$7:$H$874,BS_RE33!$S$7:$S$874,$BH$2,BS_RE33!$N$7:$N$874,I46,BS_RE33!$P$7:$P$874,'30 days CF Table(USD)'!G46,BS_RE33!$F$7:$F$874,'30 days CF Table(USD)'!$C$2)</f>
        <v>0</v>
      </c>
      <c r="BI46" s="380">
        <f>SUMIFS(BS_RE33!$H$7:$H$874,BS_RE33!$S$7:$S$874,$BI$2,BS_RE33!$N$7:$N$874,I46,BS_RE33!$P$7:$P$874,'30 days CF Table(USD)'!G46,BS_RE33!$F$7:$F$874,'30 days CF Table(USD)'!$C$2)</f>
        <v>0</v>
      </c>
      <c r="BJ46" s="380">
        <f>SUMIFS(BS_RE33!$H$7:$H$874,BS_RE33!$S$7:$S$874,$BJ$2,BS_RE33!$N$7:$N$874,I46,BS_RE33!$P$7:$P$874,'30 days CF Table(USD)'!G46,BS_RE33!$F$7:$F$874,'30 days CF Table(USD)'!$C$2)</f>
        <v>0</v>
      </c>
      <c r="BK46" s="380">
        <f>SUMIFS(BS_RE33!$H$7:$H$874,BS_RE33!$S$7:$S$874,$BK$2,BS_RE33!$N$7:$N$874,I46,BS_RE33!$P$7:$P$874,'30 days CF Table(USD)'!G46,BS_RE33!$F$7:$F$874,'30 days CF Table(USD)'!$C$2)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Table(USD)'!G47,BS_RE33!$F$7:$F$874,'30 days CF Table(USD)'!$C$2)</f>
        <v>0</v>
      </c>
      <c r="M47" s="548">
        <f>SUMIFS(BS_RE33!$H$7:$H$874,BS_RE33!$S$7:$S$874,$M$2,BS_RE33!$N$7:$N$874,I47,BS_RE33!$P$7:$P$874,'30 days CF Table(USD)'!G47,BS_RE33!$F$7:$F$874,'30 days CF Table(USD)'!$C$2)</f>
        <v>0</v>
      </c>
      <c r="N47" s="548">
        <f>SUMIFS(BS_RE33!$H$7:$H$874,BS_RE33!$S$7:$S$874,$N$2,BS_RE33!$N$7:$N$874,I47,BS_RE33!$P$7:$P$874,'30 days CF Table(USD)'!G47,BS_RE33!$F$7:$F$874,'30 days CF Table(USD)'!$C$2)</f>
        <v>0</v>
      </c>
      <c r="O47" s="548">
        <f>SUMIFS(BS_RE33!$H$7:$H$874,BS_RE33!$S$7:$S$874,$O$2,BS_RE33!$N$7:$N$874,I47,BS_RE33!$P$7:$P$874,'30 days CF Table(USD)'!G47,BS_RE33!$F$7:$F$874,'30 days CF Table(USD)'!$C$2)</f>
        <v>0</v>
      </c>
      <c r="P47" s="548">
        <f>SUMIFS(BS_RE33!$H$7:$H$874,BS_RE33!$S$7:$S$874,$P$2,BS_RE33!$N$7:$N$874,I47,BS_RE33!$P$7:$P$874,'30 days CF Table(USD)'!G47,BS_RE33!$F$7:$F$874,'30 days CF Table(USD)'!$C$2)</f>
        <v>0</v>
      </c>
      <c r="Q47" s="548">
        <f>SUMIFS(BS_RE33!$H$7:$H$874,BS_RE33!$S$7:$S$874,$Q$2,BS_RE33!$N$7:$N$874,I47,BS_RE33!$P$7:$P$874,'30 days CF Table(USD)'!G47,BS_RE33!$F$7:$F$874,'30 days CF Table(USD)'!$C$2)</f>
        <v>0</v>
      </c>
      <c r="R47" s="548">
        <f>SUMIFS(BS_RE33!$H$7:$H$874,BS_RE33!$S$7:$S$874,$R$2,BS_RE33!$N$7:$N$874,I47,BS_RE33!$P$7:$P$874,'30 days CF Table(USD)'!G47,BS_RE33!$F$7:$F$874,'30 days CF Table(USD)'!$C$2)</f>
        <v>0</v>
      </c>
      <c r="S47" s="548">
        <f>SUMIFS(BS_RE33!$H$7:$H$874,BS_RE33!$S$7:$S$874,$S$2,BS_RE33!$N$7:$N$874,I47,BS_RE33!$P$7:$P$874,'30 days CF Table(USD)'!G47,BS_RE33!$F$7:$F$874,'30 days CF Table(USD)'!$C$2)</f>
        <v>0</v>
      </c>
      <c r="T47" s="548">
        <f>SUMIFS(BS_RE33!$H$7:$H$874,BS_RE33!$S$7:$S$874,$T$2,BS_RE33!$N$7:$N$874,I47,BS_RE33!$P$7:$P$874,'30 days CF Table(USD)'!G47,BS_RE33!$F$7:$F$874,'30 days CF Table(USD)'!$C$2)</f>
        <v>0</v>
      </c>
      <c r="U47" s="548">
        <f>SUMIFS(BS_RE33!$H$7:$H$874,BS_RE33!$S$7:$S$874,$U$2,BS_RE33!$N$7:$N$874,I47,BS_RE33!$P$7:$P$874,'30 days CF Table(USD)'!G47,BS_RE33!$F$7:$F$874,'30 days CF Table(USD)'!$C$2)</f>
        <v>0</v>
      </c>
      <c r="V47" s="548">
        <f>SUMIFS(BS_RE33!$H$7:$H$874,BS_RE33!$S$7:$S$874,$V$2,BS_RE33!$N$7:$N$874,I47,BS_RE33!$P$7:$P$874,'30 days CF Table(USD)'!G47,BS_RE33!$F$7:$F$874,'30 days CF Table(USD)'!$C$2)</f>
        <v>0</v>
      </c>
      <c r="W47" s="548">
        <f>SUMIFS(BS_RE33!$H$7:$H$874,BS_RE33!$S$7:$S$874,$W$2,BS_RE33!$N$7:$N$874,I47,BS_RE33!$P$7:$P$874,'30 days CF Table(USD)'!G47,BS_RE33!$F$7:$F$874,'30 days CF Table(USD)'!$C$2)</f>
        <v>0</v>
      </c>
      <c r="X47" s="548">
        <f>SUMIFS(BS_RE33!$H$7:$H$874,BS_RE33!$S$7:$S$874,$X$2,BS_RE33!$N$7:$N$874,I47,BS_RE33!$P$7:$P$874,'30 days CF Table(USD)'!G47,BS_RE33!$F$7:$F$874,'30 days CF Table(USD)'!$C$2)</f>
        <v>0</v>
      </c>
      <c r="Y47" s="548">
        <f>SUMIFS(BS_RE33!$H$7:$H$874,BS_RE33!$S$7:$S$874,$Y$2,BS_RE33!$N$7:$N$874,I47,BS_RE33!$P$7:$P$874,'30 days CF Table(USD)'!G47,BS_RE33!$F$7:$F$874,'30 days CF Table(USD)'!$C$2)</f>
        <v>0</v>
      </c>
      <c r="Z47" s="548">
        <f>SUMIFS(BS_RE33!$H$7:$H$874,BS_RE33!$S$7:$S$874,$Z$2,BS_RE33!$N$7:$N$874,I47,BS_RE33!$P$7:$P$874,'30 days CF Table(USD)'!G47,BS_RE33!$F$7:$F$874,'30 days CF Table(USD)'!$C$2)</f>
        <v>0</v>
      </c>
      <c r="AA47" s="548">
        <f>SUMIFS(BS_RE33!$H$7:$H$874,BS_RE33!$S$7:$S$874,$AA$2,BS_RE33!$N$7:$N$874,I47,BS_RE33!$P$7:$P$874,'30 days CF Table(USD)'!G47,BS_RE33!$F$7:$F$874,'30 days CF Table(USD)'!$C$2)</f>
        <v>0</v>
      </c>
      <c r="AB47" s="548">
        <f>SUMIFS(BS_RE33!$H$7:$H$874,BS_RE33!$S$7:$S$874,$AB$2,BS_RE33!$N$7:$N$874,I47,BS_RE33!$P$7:$P$874,'30 days CF Table(USD)'!G47,BS_RE33!$F$7:$F$874,'30 days CF Table(USD)'!$C$2)</f>
        <v>0</v>
      </c>
      <c r="AC47" s="548">
        <f>SUMIFS(BS_RE33!$H$7:$H$874,BS_RE33!$S$7:$S$874,$AC$2,BS_RE33!$N$7:$N$874,I47,BS_RE33!$P$7:$P$874,'30 days CF Table(USD)'!G47,BS_RE33!$F$7:$F$874,'30 days CF Table(USD)'!$C$2)</f>
        <v>0</v>
      </c>
      <c r="AD47" s="548">
        <f>SUMIFS(BS_RE33!$H$7:$H$874,BS_RE33!$S$7:$S$874,$AD$2,BS_RE33!$N$7:$N$874,I47,BS_RE33!$P$7:$P$874,'30 days CF Table(USD)'!G47,BS_RE33!$F$7:$F$874,'30 days CF Table(USD)'!$C$2)</f>
        <v>0</v>
      </c>
      <c r="AE47" s="548">
        <f>SUMIFS(BS_RE33!$H$7:$H$874,BS_RE33!$S$7:$S$874,$AE$2,BS_RE33!$N$7:$N$874,I47,BS_RE33!$P$7:$P$874,'30 days CF Table(USD)'!G47,BS_RE33!$F$7:$F$874,'30 days CF Table(USD)'!$C$2)</f>
        <v>0</v>
      </c>
      <c r="AF47" s="548">
        <f>SUMIFS(BS_RE33!$H$7:$H$874,BS_RE33!$S$7:$S$874,$AF$2,BS_RE33!$N$7:$N$874,I47,BS_RE33!$P$7:$P$874,'30 days CF Table(USD)'!G47,BS_RE33!$F$7:$F$874,'30 days CF Table(USD)'!$C$2)</f>
        <v>0</v>
      </c>
      <c r="AG47" s="548">
        <f>SUMIFS(BS_RE33!$H$7:$H$874,BS_RE33!$S$7:$S$874,$AG$2,BS_RE33!$N$7:$N$874,I47,BS_RE33!$P$7:$P$874,'30 days CF Table(USD)'!G47,BS_RE33!$F$7:$F$874,'30 days CF Table(USD)'!$C$2)</f>
        <v>0</v>
      </c>
      <c r="AH47" s="548">
        <f>SUMIFS(BS_RE33!$H$7:$H$874,BS_RE33!$S$7:$S$874,$AH$2,BS_RE33!$N$7:$N$874,I47,BS_RE33!$P$7:$P$874,'30 days CF Table(USD)'!G47,BS_RE33!$F$7:$F$874,'30 days CF Table(USD)'!$C$2)</f>
        <v>0</v>
      </c>
      <c r="AI47" s="548">
        <f>SUMIFS(BS_RE33!$H$7:$H$874,BS_RE33!$S$7:$S$874,$AI$2,BS_RE33!$N$7:$N$874,I47,BS_RE33!$P$7:$P$874,'30 days CF Table(USD)'!G47,BS_RE33!$F$7:$F$874,'30 days CF Table(USD)'!$C$2)</f>
        <v>0</v>
      </c>
      <c r="AJ47" s="548">
        <f>SUMIFS(BS_RE33!$H$7:$H$874,BS_RE33!$S$7:$S$874,$AJ$2,BS_RE33!$N$7:$N$874,I47,BS_RE33!$P$7:$P$874,'30 days CF Table(USD)'!G47,BS_RE33!$F$7:$F$874,'30 days CF Table(USD)'!$C$2)</f>
        <v>0</v>
      </c>
      <c r="AK47" s="548">
        <f>SUMIFS(BS_RE33!$H$7:$H$874,BS_RE33!$S$7:$S$874,$AK$2,BS_RE33!$N$7:$N$874,I47,BS_RE33!$P$7:$P$874,'30 days CF Table(USD)'!G47,BS_RE33!$F$7:$F$874,'30 days CF Table(USD)'!$C$2)</f>
        <v>0</v>
      </c>
      <c r="AL47" s="548">
        <f>SUMIFS(BS_RE33!$H$7:$H$874,BS_RE33!$S$7:$S$874,$AL$2,BS_RE33!$N$7:$N$874,I47,BS_RE33!$P$7:$P$874,'30 days CF Table(USD)'!G47,BS_RE33!$F$7:$F$874,'30 days CF Table(USD)'!$C$2)</f>
        <v>0</v>
      </c>
      <c r="AM47" s="548">
        <f>SUMIFS(BS_RE33!$H$7:$H$874,BS_RE33!$S$7:$S$874,$AM$2,BS_RE33!$N$7:$N$874,I47,BS_RE33!$P$7:$P$874,'30 days CF Table(USD)'!G47,BS_RE33!$F$7:$F$874,'30 days CF Table(USD)'!$C$2)</f>
        <v>0</v>
      </c>
      <c r="AN47" s="548">
        <f>SUMIFS(BS_RE33!$H$7:$H$874,BS_RE33!$S$7:$S$874,$AN$2,BS_RE33!$N$7:$N$874,I47,BS_RE33!$P$7:$P$874,'30 days CF Table(USD)'!G47,BS_RE33!$F$7:$F$874,'30 days CF Table(USD)'!$C$2)</f>
        <v>0</v>
      </c>
      <c r="AO47" s="548">
        <f>SUMIFS(BS_RE33!$H$7:$H$874,BS_RE33!$S$7:$S$874,$AO$2,BS_RE33!$N$7:$N$874,I47,BS_RE33!$P$7:$P$874,'30 days CF Table(USD)'!G47,BS_RE33!$F$7:$F$874,'30 days CF Table(USD)'!$C$2)</f>
        <v>0</v>
      </c>
      <c r="AP47" s="549">
        <f>SUMIFS(BS_RE33!$H$7:$H$874,BS_RE33!$S$7:$S$874,$AP$2,BS_RE33!$N$7:$N$874,I47,BS_RE33!$P$7:$P$874,'30 days CF Table(USD)'!G47,BS_RE33!$F$7:$F$874,'30 days CF Table(USD)'!$C$2)</f>
        <v>0</v>
      </c>
      <c r="AQ47" s="550"/>
      <c r="AR47" s="380">
        <f>SUMIFS(BS_RE33!$H$7:$H$874,BS_RE33!$S$7:$S$874,$AR$2,BS_RE33!$N$7:$N$874,I47,BS_RE33!$P$7:$P$874,'30 days CF Table(USD)'!G47,BS_RE33!$F$7:$F$874,'30 days CF Table(USD)'!$C$2)</f>
        <v>0</v>
      </c>
      <c r="AS47" s="380">
        <f>SUMIFS(BS_RE33!$H$7:$H$874,BS_RE33!$S$7:$S$874,$AS$2,BS_RE33!$N$7:$N$874,I47,BS_RE33!$P$7:$P$874,'30 days CF Table(USD)'!G47,BS_RE33!$F$7:$F$874,'30 days CF Table(USD)'!$C$2)</f>
        <v>0</v>
      </c>
      <c r="AT47" s="380">
        <f>SUMIFS(BS_RE33!$H$7:$H$874,BS_RE33!$S$7:$S$874,$AT$2,BS_RE33!$N$7:$N$874,I47,BS_RE33!$P$7:$P$874,'30 days CF Table(USD)'!G47,BS_RE33!$F$7:$F$874,'30 days CF Table(USD)'!$C$2)</f>
        <v>0</v>
      </c>
      <c r="AU47" s="380">
        <f>SUMIFS(BS_RE33!$H$7:$H$874,BS_RE33!$S$7:$S$874,$AU$2,BS_RE33!$N$7:$N$874,I47,BS_RE33!$P$7:$P$874,'30 days CF Table(USD)'!G47,BS_RE33!$F$7:$F$874,'30 days CF Table(USD)'!$C$2)</f>
        <v>0</v>
      </c>
      <c r="AV47" s="380">
        <f>SUMIFS(BS_RE33!$H$7:$H$874,BS_RE33!$S$7:$S$874,$AV$2,BS_RE33!$N$7:$N$874,I47,BS_RE33!$P$7:$P$874,'30 days CF Table(USD)'!G47,BS_RE33!$F$7:$F$874,'30 days CF Table(USD)'!$C$2)</f>
        <v>0</v>
      </c>
      <c r="AW47" s="380">
        <f>SUMIFS(BS_RE33!$H$7:$H$874,BS_RE33!$S$7:$S$874,$AW$2,BS_RE33!$N$7:$N$874,I47,BS_RE33!$P$7:$P$874,'30 days CF Table(USD)'!G47,BS_RE33!$F$7:$F$874,'30 days CF Table(USD)'!$C$2)</f>
        <v>0</v>
      </c>
      <c r="AX47" s="380">
        <f>SUMIFS(BS_RE33!$H$7:$H$874,BS_RE33!$S$7:$S$874,$AX$2,BS_RE33!$N$7:$N$874,I47,BS_RE33!$P$7:$P$874,'30 days CF Table(USD)'!G47,BS_RE33!$F$7:$F$874,'30 days CF Table(USD)'!$C$2)</f>
        <v>0</v>
      </c>
      <c r="AY47" s="380">
        <f>SUMIFS(BS_RE33!$H$7:$H$874,BS_RE33!$S$7:$S$874,$AY$2,BS_RE33!$N$7:$N$874,I47,BS_RE33!$P$7:$P$874,'30 days CF Table(USD)'!G47,BS_RE33!$F$7:$F$874,'30 days CF Table(USD)'!$C$2)</f>
        <v>0</v>
      </c>
      <c r="AZ47" s="380">
        <f>SUMIFS(BS_RE33!$H$7:$H$874,BS_RE33!$S$7:$S$874,$AZ$2,BS_RE33!$N$7:$N$874,I47,BS_RE33!$P$7:$P$874,'30 days CF Table(USD)'!G47,BS_RE33!$F$7:$F$874,'30 days CF Table(USD)'!$C$2)</f>
        <v>0</v>
      </c>
      <c r="BA47" s="380">
        <f>SUMIFS(BS_RE33!$H$7:$H$874,BS_RE33!$S$7:$S$874,$BA$2,BS_RE33!$N$7:$N$874,I47,BS_RE33!$P$7:$P$874,'30 days CF Table(USD)'!G47,BS_RE33!$F$7:$F$874,'30 days CF Table(USD)'!$C$2)</f>
        <v>0</v>
      </c>
      <c r="BB47" s="380">
        <f>SUMIFS(BS_RE33!$H$7:$H$874,BS_RE33!$S$7:$S$874,$BB$2,BS_RE33!$N$7:$N$874,I47,BS_RE33!$P$7:$P$874,'30 days CF Table(USD)'!G47,BS_RE33!$F$7:$F$874,'30 days CF Table(USD)'!$C$2)</f>
        <v>0</v>
      </c>
      <c r="BC47" s="380">
        <f>SUMIFS(BS_RE33!$H$7:$H$874,BS_RE33!$S$7:$S$874,$BC$2,BS_RE33!$N$7:$N$874,I47,BS_RE33!$P$7:$P$874,'30 days CF Table(USD)'!G47,BS_RE33!$F$7:$F$874,'30 days CF Table(USD)'!$C$2)</f>
        <v>0</v>
      </c>
      <c r="BD47" s="380">
        <f>SUMIFS(BS_RE33!$H$7:$H$874,BS_RE33!$S$7:$S$874,$BD$2,BS_RE33!$N$7:$N$874,I47,BS_RE33!$P$7:$P$874,'30 days CF Table(USD)'!G47,BS_RE33!$F$7:$F$874,'30 days CF Table(USD)'!$C$2)</f>
        <v>0</v>
      </c>
      <c r="BE47" s="380">
        <f>SUMIFS(BS_RE33!$H$7:$H$874,BS_RE33!$S$7:$S$874,$BE$2,BS_RE33!$N$7:$N$874,I47,BS_RE33!$P$7:$P$874,'30 days CF Table(USD)'!G47,BS_RE33!$F$7:$F$874,'30 days CF Table(USD)'!$C$2)</f>
        <v>0</v>
      </c>
      <c r="BF47" s="380">
        <f>SUMIFS(BS_RE33!$H$7:$H$874,BS_RE33!$S$7:$S$874,$BF$2,BS_RE33!$N$7:$N$874,I47,BS_RE33!$P$7:$P$874,'30 days CF Table(USD)'!G47,BS_RE33!$F$7:$F$874,'30 days CF Table(USD)'!$C$2)</f>
        <v>0</v>
      </c>
      <c r="BG47" s="380">
        <f>SUMIFS(BS_RE33!$H$7:$H$874,BS_RE33!$S$7:$S$874,$BG$2,BS_RE33!$N$7:$N$874,I47,BS_RE33!$P$7:$P$874,'30 days CF Table(USD)'!G47,BS_RE33!$F$7:$F$874,'30 days CF Table(USD)'!$C$2)</f>
        <v>0</v>
      </c>
      <c r="BH47" s="380">
        <f>SUMIFS(BS_RE33!$H$7:$H$874,BS_RE33!$S$7:$S$874,$BH$2,BS_RE33!$N$7:$N$874,I47,BS_RE33!$P$7:$P$874,'30 days CF Table(USD)'!G47,BS_RE33!$F$7:$F$874,'30 days CF Table(USD)'!$C$2)</f>
        <v>0</v>
      </c>
      <c r="BI47" s="380">
        <f>SUMIFS(BS_RE33!$H$7:$H$874,BS_RE33!$S$7:$S$874,$BI$2,BS_RE33!$N$7:$N$874,I47,BS_RE33!$P$7:$P$874,'30 days CF Table(USD)'!G47,BS_RE33!$F$7:$F$874,'30 days CF Table(USD)'!$C$2)</f>
        <v>0</v>
      </c>
      <c r="BJ47" s="380">
        <f>SUMIFS(BS_RE33!$H$7:$H$874,BS_RE33!$S$7:$S$874,$BJ$2,BS_RE33!$N$7:$N$874,I47,BS_RE33!$P$7:$P$874,'30 days CF Table(USD)'!G47,BS_RE33!$F$7:$F$874,'30 days CF Table(USD)'!$C$2)</f>
        <v>0</v>
      </c>
      <c r="BK47" s="380">
        <f>SUMIFS(BS_RE33!$H$7:$H$874,BS_RE33!$S$7:$S$874,$BK$2,BS_RE33!$N$7:$N$874,I47,BS_RE33!$P$7:$P$874,'30 days CF Table(USD)'!G47,BS_RE33!$F$7:$F$874,'30 days CF Table(USD)'!$C$2)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Table(USD)'!G48,BS_RE33!$F$7:$F$874,'30 days CF Table(USD)'!$C$2)</f>
        <v>0</v>
      </c>
      <c r="M48" s="548">
        <f>SUMIFS(BS_RE33!$H$7:$H$874,BS_RE33!$S$7:$S$874,$M$2,BS_RE33!$N$7:$N$874,I48,BS_RE33!$P$7:$P$874,'30 days CF Table(USD)'!G48,BS_RE33!$F$7:$F$874,'30 days CF Table(USD)'!$C$2)</f>
        <v>0</v>
      </c>
      <c r="N48" s="548">
        <f>SUMIFS(BS_RE33!$H$7:$H$874,BS_RE33!$S$7:$S$874,$N$2,BS_RE33!$N$7:$N$874,I48,BS_RE33!$P$7:$P$874,'30 days CF Table(USD)'!G48,BS_RE33!$F$7:$F$874,'30 days CF Table(USD)'!$C$2)</f>
        <v>0</v>
      </c>
      <c r="O48" s="548">
        <f>SUMIFS(BS_RE33!$H$7:$H$874,BS_RE33!$S$7:$S$874,$O$2,BS_RE33!$N$7:$N$874,I48,BS_RE33!$P$7:$P$874,'30 days CF Table(USD)'!G48,BS_RE33!$F$7:$F$874,'30 days CF Table(USD)'!$C$2)</f>
        <v>0</v>
      </c>
      <c r="P48" s="548">
        <f>SUMIFS(BS_RE33!$H$7:$H$874,BS_RE33!$S$7:$S$874,$P$2,BS_RE33!$N$7:$N$874,I48,BS_RE33!$P$7:$P$874,'30 days CF Table(USD)'!G48,BS_RE33!$F$7:$F$874,'30 days CF Table(USD)'!$C$2)</f>
        <v>0</v>
      </c>
      <c r="Q48" s="548">
        <f>SUMIFS(BS_RE33!$H$7:$H$874,BS_RE33!$S$7:$S$874,$Q$2,BS_RE33!$N$7:$N$874,I48,BS_RE33!$P$7:$P$874,'30 days CF Table(USD)'!G48,BS_RE33!$F$7:$F$874,'30 days CF Table(USD)'!$C$2)</f>
        <v>0</v>
      </c>
      <c r="R48" s="548">
        <f>SUMIFS(BS_RE33!$H$7:$H$874,BS_RE33!$S$7:$S$874,$R$2,BS_RE33!$N$7:$N$874,I48,BS_RE33!$P$7:$P$874,'30 days CF Table(USD)'!G48,BS_RE33!$F$7:$F$874,'30 days CF Table(USD)'!$C$2)</f>
        <v>0</v>
      </c>
      <c r="S48" s="548">
        <f>SUMIFS(BS_RE33!$H$7:$H$874,BS_RE33!$S$7:$S$874,$S$2,BS_RE33!$N$7:$N$874,I48,BS_RE33!$P$7:$P$874,'30 days CF Table(USD)'!G48,BS_RE33!$F$7:$F$874,'30 days CF Table(USD)'!$C$2)</f>
        <v>0</v>
      </c>
      <c r="T48" s="548">
        <f>SUMIFS(BS_RE33!$H$7:$H$874,BS_RE33!$S$7:$S$874,$T$2,BS_RE33!$N$7:$N$874,I48,BS_RE33!$P$7:$P$874,'30 days CF Table(USD)'!G48,BS_RE33!$F$7:$F$874,'30 days CF Table(USD)'!$C$2)</f>
        <v>0</v>
      </c>
      <c r="U48" s="548">
        <f>SUMIFS(BS_RE33!$H$7:$H$874,BS_RE33!$S$7:$S$874,$U$2,BS_RE33!$N$7:$N$874,I48,BS_RE33!$P$7:$P$874,'30 days CF Table(USD)'!G48,BS_RE33!$F$7:$F$874,'30 days CF Table(USD)'!$C$2)</f>
        <v>0</v>
      </c>
      <c r="V48" s="548">
        <f>SUMIFS(BS_RE33!$H$7:$H$874,BS_RE33!$S$7:$S$874,$V$2,BS_RE33!$N$7:$N$874,I48,BS_RE33!$P$7:$P$874,'30 days CF Table(USD)'!G48,BS_RE33!$F$7:$F$874,'30 days CF Table(USD)'!$C$2)</f>
        <v>0</v>
      </c>
      <c r="W48" s="548">
        <f>SUMIFS(BS_RE33!$H$7:$H$874,BS_RE33!$S$7:$S$874,$W$2,BS_RE33!$N$7:$N$874,I48,BS_RE33!$P$7:$P$874,'30 days CF Table(USD)'!G48,BS_RE33!$F$7:$F$874,'30 days CF Table(USD)'!$C$2)</f>
        <v>0</v>
      </c>
      <c r="X48" s="548">
        <f>SUMIFS(BS_RE33!$H$7:$H$874,BS_RE33!$S$7:$S$874,$X$2,BS_RE33!$N$7:$N$874,I48,BS_RE33!$P$7:$P$874,'30 days CF Table(USD)'!G48,BS_RE33!$F$7:$F$874,'30 days CF Table(USD)'!$C$2)</f>
        <v>0</v>
      </c>
      <c r="Y48" s="548">
        <f>SUMIFS(BS_RE33!$H$7:$H$874,BS_RE33!$S$7:$S$874,$Y$2,BS_RE33!$N$7:$N$874,I48,BS_RE33!$P$7:$P$874,'30 days CF Table(USD)'!G48,BS_RE33!$F$7:$F$874,'30 days CF Table(USD)'!$C$2)</f>
        <v>0</v>
      </c>
      <c r="Z48" s="548">
        <f>SUMIFS(BS_RE33!$H$7:$H$874,BS_RE33!$S$7:$S$874,$Z$2,BS_RE33!$N$7:$N$874,I48,BS_RE33!$P$7:$P$874,'30 days CF Table(USD)'!G48,BS_RE33!$F$7:$F$874,'30 days CF Table(USD)'!$C$2)</f>
        <v>0</v>
      </c>
      <c r="AA48" s="548">
        <f>SUMIFS(BS_RE33!$H$7:$H$874,BS_RE33!$S$7:$S$874,$AA$2,BS_RE33!$N$7:$N$874,I48,BS_RE33!$P$7:$P$874,'30 days CF Table(USD)'!G48,BS_RE33!$F$7:$F$874,'30 days CF Table(USD)'!$C$2)</f>
        <v>0</v>
      </c>
      <c r="AB48" s="548">
        <f>SUMIFS(BS_RE33!$H$7:$H$874,BS_RE33!$S$7:$S$874,$AB$2,BS_RE33!$N$7:$N$874,I48,BS_RE33!$P$7:$P$874,'30 days CF Table(USD)'!G48,BS_RE33!$F$7:$F$874,'30 days CF Table(USD)'!$C$2)</f>
        <v>0</v>
      </c>
      <c r="AC48" s="548">
        <f>SUMIFS(BS_RE33!$H$7:$H$874,BS_RE33!$S$7:$S$874,$AC$2,BS_RE33!$N$7:$N$874,I48,BS_RE33!$P$7:$P$874,'30 days CF Table(USD)'!G48,BS_RE33!$F$7:$F$874,'30 days CF Table(USD)'!$C$2)</f>
        <v>0</v>
      </c>
      <c r="AD48" s="548">
        <f>SUMIFS(BS_RE33!$H$7:$H$874,BS_RE33!$S$7:$S$874,$AD$2,BS_RE33!$N$7:$N$874,I48,BS_RE33!$P$7:$P$874,'30 days CF Table(USD)'!G48,BS_RE33!$F$7:$F$874,'30 days CF Table(USD)'!$C$2)</f>
        <v>0</v>
      </c>
      <c r="AE48" s="548">
        <f>SUMIFS(BS_RE33!$H$7:$H$874,BS_RE33!$S$7:$S$874,$AE$2,BS_RE33!$N$7:$N$874,I48,BS_RE33!$P$7:$P$874,'30 days CF Table(USD)'!G48,BS_RE33!$F$7:$F$874,'30 days CF Table(USD)'!$C$2)</f>
        <v>0</v>
      </c>
      <c r="AF48" s="548">
        <f>SUMIFS(BS_RE33!$H$7:$H$874,BS_RE33!$S$7:$S$874,$AF$2,BS_RE33!$N$7:$N$874,I48,BS_RE33!$P$7:$P$874,'30 days CF Table(USD)'!G48,BS_RE33!$F$7:$F$874,'30 days CF Table(USD)'!$C$2)</f>
        <v>0</v>
      </c>
      <c r="AG48" s="548">
        <f>SUMIFS(BS_RE33!$H$7:$H$874,BS_RE33!$S$7:$S$874,$AG$2,BS_RE33!$N$7:$N$874,I48,BS_RE33!$P$7:$P$874,'30 days CF Table(USD)'!G48,BS_RE33!$F$7:$F$874,'30 days CF Table(USD)'!$C$2)</f>
        <v>0</v>
      </c>
      <c r="AH48" s="548">
        <f>SUMIFS(BS_RE33!$H$7:$H$874,BS_RE33!$S$7:$S$874,$AH$2,BS_RE33!$N$7:$N$874,I48,BS_RE33!$P$7:$P$874,'30 days CF Table(USD)'!G48,BS_RE33!$F$7:$F$874,'30 days CF Table(USD)'!$C$2)</f>
        <v>0</v>
      </c>
      <c r="AI48" s="548">
        <f>SUMIFS(BS_RE33!$H$7:$H$874,BS_RE33!$S$7:$S$874,$AI$2,BS_RE33!$N$7:$N$874,I48,BS_RE33!$P$7:$P$874,'30 days CF Table(USD)'!G48,BS_RE33!$F$7:$F$874,'30 days CF Table(USD)'!$C$2)</f>
        <v>0</v>
      </c>
      <c r="AJ48" s="548">
        <f>SUMIFS(BS_RE33!$H$7:$H$874,BS_RE33!$S$7:$S$874,$AJ$2,BS_RE33!$N$7:$N$874,I48,BS_RE33!$P$7:$P$874,'30 days CF Table(USD)'!G48,BS_RE33!$F$7:$F$874,'30 days CF Table(USD)'!$C$2)</f>
        <v>0</v>
      </c>
      <c r="AK48" s="548">
        <f>SUMIFS(BS_RE33!$H$7:$H$874,BS_RE33!$S$7:$S$874,$AK$2,BS_RE33!$N$7:$N$874,I48,BS_RE33!$P$7:$P$874,'30 days CF Table(USD)'!G48,BS_RE33!$F$7:$F$874,'30 days CF Table(USD)'!$C$2)</f>
        <v>0</v>
      </c>
      <c r="AL48" s="548">
        <f>SUMIFS(BS_RE33!$H$7:$H$874,BS_RE33!$S$7:$S$874,$AL$2,BS_RE33!$N$7:$N$874,I48,BS_RE33!$P$7:$P$874,'30 days CF Table(USD)'!G48,BS_RE33!$F$7:$F$874,'30 days CF Table(USD)'!$C$2)</f>
        <v>0</v>
      </c>
      <c r="AM48" s="548">
        <f>SUMIFS(BS_RE33!$H$7:$H$874,BS_RE33!$S$7:$S$874,$AM$2,BS_RE33!$N$7:$N$874,I48,BS_RE33!$P$7:$P$874,'30 days CF Table(USD)'!G48,BS_RE33!$F$7:$F$874,'30 days CF Table(USD)'!$C$2)</f>
        <v>0</v>
      </c>
      <c r="AN48" s="548">
        <f>SUMIFS(BS_RE33!$H$7:$H$874,BS_RE33!$S$7:$S$874,$AN$2,BS_RE33!$N$7:$N$874,I48,BS_RE33!$P$7:$P$874,'30 days CF Table(USD)'!G48,BS_RE33!$F$7:$F$874,'30 days CF Table(USD)'!$C$2)</f>
        <v>0</v>
      </c>
      <c r="AO48" s="548">
        <f>SUMIFS(BS_RE33!$H$7:$H$874,BS_RE33!$S$7:$S$874,$AO$2,BS_RE33!$N$7:$N$874,I48,BS_RE33!$P$7:$P$874,'30 days CF Table(USD)'!G48,BS_RE33!$F$7:$F$874,'30 days CF Table(USD)'!$C$2)</f>
        <v>0</v>
      </c>
      <c r="AP48" s="549">
        <f>SUMIFS(BS_RE33!$H$7:$H$874,BS_RE33!$S$7:$S$874,$AP$2,BS_RE33!$N$7:$N$874,I48,BS_RE33!$P$7:$P$874,'30 days CF Table(USD)'!G48,BS_RE33!$F$7:$F$874,'30 days CF Table(USD)'!$C$2)</f>
        <v>0</v>
      </c>
      <c r="AQ48" s="550"/>
      <c r="AR48" s="380">
        <f>SUMIFS(BS_RE33!$H$7:$H$874,BS_RE33!$S$7:$S$874,$AR$2,BS_RE33!$N$7:$N$874,I48,BS_RE33!$P$7:$P$874,'30 days CF Table(USD)'!G48,BS_RE33!$F$7:$F$874,'30 days CF Table(USD)'!$C$2)</f>
        <v>0</v>
      </c>
      <c r="AS48" s="380">
        <f>SUMIFS(BS_RE33!$H$7:$H$874,BS_RE33!$S$7:$S$874,$AS$2,BS_RE33!$N$7:$N$874,I48,BS_RE33!$P$7:$P$874,'30 days CF Table(USD)'!G48,BS_RE33!$F$7:$F$874,'30 days CF Table(USD)'!$C$2)</f>
        <v>0</v>
      </c>
      <c r="AT48" s="380">
        <f>SUMIFS(BS_RE33!$H$7:$H$874,BS_RE33!$S$7:$S$874,$AT$2,BS_RE33!$N$7:$N$874,I48,BS_RE33!$P$7:$P$874,'30 days CF Table(USD)'!G48,BS_RE33!$F$7:$F$874,'30 days CF Table(USD)'!$C$2)</f>
        <v>0</v>
      </c>
      <c r="AU48" s="380">
        <f>SUMIFS(BS_RE33!$H$7:$H$874,BS_RE33!$S$7:$S$874,$AU$2,BS_RE33!$N$7:$N$874,I48,BS_RE33!$P$7:$P$874,'30 days CF Table(USD)'!G48,BS_RE33!$F$7:$F$874,'30 days CF Table(USD)'!$C$2)</f>
        <v>0</v>
      </c>
      <c r="AV48" s="380">
        <f>SUMIFS(BS_RE33!$H$7:$H$874,BS_RE33!$S$7:$S$874,$AV$2,BS_RE33!$N$7:$N$874,I48,BS_RE33!$P$7:$P$874,'30 days CF Table(USD)'!G48,BS_RE33!$F$7:$F$874,'30 days CF Table(USD)'!$C$2)</f>
        <v>0</v>
      </c>
      <c r="AW48" s="380">
        <f>SUMIFS(BS_RE33!$H$7:$H$874,BS_RE33!$S$7:$S$874,$AW$2,BS_RE33!$N$7:$N$874,I48,BS_RE33!$P$7:$P$874,'30 days CF Table(USD)'!G48,BS_RE33!$F$7:$F$874,'30 days CF Table(USD)'!$C$2)</f>
        <v>0</v>
      </c>
      <c r="AX48" s="380">
        <f>SUMIFS(BS_RE33!$H$7:$H$874,BS_RE33!$S$7:$S$874,$AX$2,BS_RE33!$N$7:$N$874,I48,BS_RE33!$P$7:$P$874,'30 days CF Table(USD)'!G48,BS_RE33!$F$7:$F$874,'30 days CF Table(USD)'!$C$2)</f>
        <v>0</v>
      </c>
      <c r="AY48" s="380">
        <f>SUMIFS(BS_RE33!$H$7:$H$874,BS_RE33!$S$7:$S$874,$AY$2,BS_RE33!$N$7:$N$874,I48,BS_RE33!$P$7:$P$874,'30 days CF Table(USD)'!G48,BS_RE33!$F$7:$F$874,'30 days CF Table(USD)'!$C$2)</f>
        <v>0</v>
      </c>
      <c r="AZ48" s="380">
        <f>SUMIFS(BS_RE33!$H$7:$H$874,BS_RE33!$S$7:$S$874,$AZ$2,BS_RE33!$N$7:$N$874,I48,BS_RE33!$P$7:$P$874,'30 days CF Table(USD)'!G48,BS_RE33!$F$7:$F$874,'30 days CF Table(USD)'!$C$2)</f>
        <v>0</v>
      </c>
      <c r="BA48" s="380">
        <f>SUMIFS(BS_RE33!$H$7:$H$874,BS_RE33!$S$7:$S$874,$BA$2,BS_RE33!$N$7:$N$874,I48,BS_RE33!$P$7:$P$874,'30 days CF Table(USD)'!G48,BS_RE33!$F$7:$F$874,'30 days CF Table(USD)'!$C$2)</f>
        <v>0</v>
      </c>
      <c r="BB48" s="380">
        <f>SUMIFS(BS_RE33!$H$7:$H$874,BS_RE33!$S$7:$S$874,$BB$2,BS_RE33!$N$7:$N$874,I48,BS_RE33!$P$7:$P$874,'30 days CF Table(USD)'!G48,BS_RE33!$F$7:$F$874,'30 days CF Table(USD)'!$C$2)</f>
        <v>0</v>
      </c>
      <c r="BC48" s="380">
        <f>SUMIFS(BS_RE33!$H$7:$H$874,BS_RE33!$S$7:$S$874,$BC$2,BS_RE33!$N$7:$N$874,I48,BS_RE33!$P$7:$P$874,'30 days CF Table(USD)'!G48,BS_RE33!$F$7:$F$874,'30 days CF Table(USD)'!$C$2)</f>
        <v>0</v>
      </c>
      <c r="BD48" s="380">
        <f>SUMIFS(BS_RE33!$H$7:$H$874,BS_RE33!$S$7:$S$874,$BD$2,BS_RE33!$N$7:$N$874,I48,BS_RE33!$P$7:$P$874,'30 days CF Table(USD)'!G48,BS_RE33!$F$7:$F$874,'30 days CF Table(USD)'!$C$2)</f>
        <v>0</v>
      </c>
      <c r="BE48" s="380">
        <f>SUMIFS(BS_RE33!$H$7:$H$874,BS_RE33!$S$7:$S$874,$BE$2,BS_RE33!$N$7:$N$874,I48,BS_RE33!$P$7:$P$874,'30 days CF Table(USD)'!G48,BS_RE33!$F$7:$F$874,'30 days CF Table(USD)'!$C$2)</f>
        <v>0</v>
      </c>
      <c r="BF48" s="380">
        <f>SUMIFS(BS_RE33!$H$7:$H$874,BS_RE33!$S$7:$S$874,$BF$2,BS_RE33!$N$7:$N$874,I48,BS_RE33!$P$7:$P$874,'30 days CF Table(USD)'!G48,BS_RE33!$F$7:$F$874,'30 days CF Table(USD)'!$C$2)</f>
        <v>0</v>
      </c>
      <c r="BG48" s="380">
        <f>SUMIFS(BS_RE33!$H$7:$H$874,BS_RE33!$S$7:$S$874,$BG$2,BS_RE33!$N$7:$N$874,I48,BS_RE33!$P$7:$P$874,'30 days CF Table(USD)'!G48,BS_RE33!$F$7:$F$874,'30 days CF Table(USD)'!$C$2)</f>
        <v>0</v>
      </c>
      <c r="BH48" s="380">
        <f>SUMIFS(BS_RE33!$H$7:$H$874,BS_RE33!$S$7:$S$874,$BH$2,BS_RE33!$N$7:$N$874,I48,BS_RE33!$P$7:$P$874,'30 days CF Table(USD)'!G48,BS_RE33!$F$7:$F$874,'30 days CF Table(USD)'!$C$2)</f>
        <v>0</v>
      </c>
      <c r="BI48" s="380">
        <f>SUMIFS(BS_RE33!$H$7:$H$874,BS_RE33!$S$7:$S$874,$BI$2,BS_RE33!$N$7:$N$874,I48,BS_RE33!$P$7:$P$874,'30 days CF Table(USD)'!G48,BS_RE33!$F$7:$F$874,'30 days CF Table(USD)'!$C$2)</f>
        <v>0</v>
      </c>
      <c r="BJ48" s="380">
        <f>SUMIFS(BS_RE33!$H$7:$H$874,BS_RE33!$S$7:$S$874,$BJ$2,BS_RE33!$N$7:$N$874,I48,BS_RE33!$P$7:$P$874,'30 days CF Table(USD)'!G48,BS_RE33!$F$7:$F$874,'30 days CF Table(USD)'!$C$2)</f>
        <v>0</v>
      </c>
      <c r="BK48" s="380">
        <f>SUMIFS(BS_RE33!$H$7:$H$874,BS_RE33!$S$7:$S$874,$BK$2,BS_RE33!$N$7:$N$874,I48,BS_RE33!$P$7:$P$874,'30 days CF Table(USD)'!G48,BS_RE33!$F$7:$F$874,'30 days CF Table(USD)'!$C$2)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Table(USD)'!G49,BS_RE33!$F$7:$F$874,'30 days CF Table(USD)'!$C$2)</f>
        <v>0</v>
      </c>
      <c r="M49" s="548">
        <f>SUMIFS(BS_RE33!$H$7:$H$874,BS_RE33!$S$7:$S$874,$M$2,BS_RE33!$N$7:$N$874,I49,BS_RE33!$P$7:$P$874,'30 days CF Table(USD)'!G49,BS_RE33!$F$7:$F$874,'30 days CF Table(USD)'!$C$2)</f>
        <v>0</v>
      </c>
      <c r="N49" s="548">
        <f>SUMIFS(BS_RE33!$H$7:$H$874,BS_RE33!$S$7:$S$874,$N$2,BS_RE33!$N$7:$N$874,I49,BS_RE33!$P$7:$P$874,'30 days CF Table(USD)'!G49,BS_RE33!$F$7:$F$874,'30 days CF Table(USD)'!$C$2)</f>
        <v>0</v>
      </c>
      <c r="O49" s="548">
        <f>SUMIFS(BS_RE33!$H$7:$H$874,BS_RE33!$S$7:$S$874,$O$2,BS_RE33!$N$7:$N$874,I49,BS_RE33!$P$7:$P$874,'30 days CF Table(USD)'!G49,BS_RE33!$F$7:$F$874,'30 days CF Table(USD)'!$C$2)</f>
        <v>0</v>
      </c>
      <c r="P49" s="548">
        <f>SUMIFS(BS_RE33!$H$7:$H$874,BS_RE33!$S$7:$S$874,$P$2,BS_RE33!$N$7:$N$874,I49,BS_RE33!$P$7:$P$874,'30 days CF Table(USD)'!G49,BS_RE33!$F$7:$F$874,'30 days CF Table(USD)'!$C$2)</f>
        <v>0</v>
      </c>
      <c r="Q49" s="548">
        <f>SUMIFS(BS_RE33!$H$7:$H$874,BS_RE33!$S$7:$S$874,$Q$2,BS_RE33!$N$7:$N$874,I49,BS_RE33!$P$7:$P$874,'30 days CF Table(USD)'!G49,BS_RE33!$F$7:$F$874,'30 days CF Table(USD)'!$C$2)</f>
        <v>0</v>
      </c>
      <c r="R49" s="548">
        <f>SUMIFS(BS_RE33!$H$7:$H$874,BS_RE33!$S$7:$S$874,$R$2,BS_RE33!$N$7:$N$874,I49,BS_RE33!$P$7:$P$874,'30 days CF Table(USD)'!G49,BS_RE33!$F$7:$F$874,'30 days CF Table(USD)'!$C$2)</f>
        <v>0</v>
      </c>
      <c r="S49" s="548">
        <f>SUMIFS(BS_RE33!$H$7:$H$874,BS_RE33!$S$7:$S$874,$S$2,BS_RE33!$N$7:$N$874,I49,BS_RE33!$P$7:$P$874,'30 days CF Table(USD)'!G49,BS_RE33!$F$7:$F$874,'30 days CF Table(USD)'!$C$2)</f>
        <v>0</v>
      </c>
      <c r="T49" s="548">
        <f>SUMIFS(BS_RE33!$H$7:$H$874,BS_RE33!$S$7:$S$874,$T$2,BS_RE33!$N$7:$N$874,I49,BS_RE33!$P$7:$P$874,'30 days CF Table(USD)'!G49,BS_RE33!$F$7:$F$874,'30 days CF Table(USD)'!$C$2)</f>
        <v>0</v>
      </c>
      <c r="U49" s="548">
        <f>SUMIFS(BS_RE33!$H$7:$H$874,BS_RE33!$S$7:$S$874,$U$2,BS_RE33!$N$7:$N$874,I49,BS_RE33!$P$7:$P$874,'30 days CF Table(USD)'!G49,BS_RE33!$F$7:$F$874,'30 days CF Table(USD)'!$C$2)</f>
        <v>0</v>
      </c>
      <c r="V49" s="548">
        <f>SUMIFS(BS_RE33!$H$7:$H$874,BS_RE33!$S$7:$S$874,$V$2,BS_RE33!$N$7:$N$874,I49,BS_RE33!$P$7:$P$874,'30 days CF Table(USD)'!G49,BS_RE33!$F$7:$F$874,'30 days CF Table(USD)'!$C$2)</f>
        <v>0</v>
      </c>
      <c r="W49" s="548">
        <f>SUMIFS(BS_RE33!$H$7:$H$874,BS_RE33!$S$7:$S$874,$W$2,BS_RE33!$N$7:$N$874,I49,BS_RE33!$P$7:$P$874,'30 days CF Table(USD)'!G49,BS_RE33!$F$7:$F$874,'30 days CF Table(USD)'!$C$2)</f>
        <v>0</v>
      </c>
      <c r="X49" s="548">
        <f>SUMIFS(BS_RE33!$H$7:$H$874,BS_RE33!$S$7:$S$874,$X$2,BS_RE33!$N$7:$N$874,I49,BS_RE33!$P$7:$P$874,'30 days CF Table(USD)'!G49,BS_RE33!$F$7:$F$874,'30 days CF Table(USD)'!$C$2)</f>
        <v>0</v>
      </c>
      <c r="Y49" s="548">
        <f>SUMIFS(BS_RE33!$H$7:$H$874,BS_RE33!$S$7:$S$874,$Y$2,BS_RE33!$N$7:$N$874,I49,BS_RE33!$P$7:$P$874,'30 days CF Table(USD)'!G49,BS_RE33!$F$7:$F$874,'30 days CF Table(USD)'!$C$2)</f>
        <v>0</v>
      </c>
      <c r="Z49" s="548">
        <f>SUMIFS(BS_RE33!$H$7:$H$874,BS_RE33!$S$7:$S$874,$Z$2,BS_RE33!$N$7:$N$874,I49,BS_RE33!$P$7:$P$874,'30 days CF Table(USD)'!G49,BS_RE33!$F$7:$F$874,'30 days CF Table(USD)'!$C$2)</f>
        <v>0</v>
      </c>
      <c r="AA49" s="548">
        <f>SUMIFS(BS_RE33!$H$7:$H$874,BS_RE33!$S$7:$S$874,$AA$2,BS_RE33!$N$7:$N$874,I49,BS_RE33!$P$7:$P$874,'30 days CF Table(USD)'!G49,BS_RE33!$F$7:$F$874,'30 days CF Table(USD)'!$C$2)</f>
        <v>0</v>
      </c>
      <c r="AB49" s="548">
        <f>SUMIFS(BS_RE33!$H$7:$H$874,BS_RE33!$S$7:$S$874,$AB$2,BS_RE33!$N$7:$N$874,I49,BS_RE33!$P$7:$P$874,'30 days CF Table(USD)'!G49,BS_RE33!$F$7:$F$874,'30 days CF Table(USD)'!$C$2)</f>
        <v>0</v>
      </c>
      <c r="AC49" s="548">
        <f>SUMIFS(BS_RE33!$H$7:$H$874,BS_RE33!$S$7:$S$874,$AC$2,BS_RE33!$N$7:$N$874,I49,BS_RE33!$P$7:$P$874,'30 days CF Table(USD)'!G49,BS_RE33!$F$7:$F$874,'30 days CF Table(USD)'!$C$2)</f>
        <v>0</v>
      </c>
      <c r="AD49" s="548">
        <f>SUMIFS(BS_RE33!$H$7:$H$874,BS_RE33!$S$7:$S$874,$AD$2,BS_RE33!$N$7:$N$874,I49,BS_RE33!$P$7:$P$874,'30 days CF Table(USD)'!G49,BS_RE33!$F$7:$F$874,'30 days CF Table(USD)'!$C$2)</f>
        <v>0</v>
      </c>
      <c r="AE49" s="548">
        <f>SUMIFS(BS_RE33!$H$7:$H$874,BS_RE33!$S$7:$S$874,$AE$2,BS_RE33!$N$7:$N$874,I49,BS_RE33!$P$7:$P$874,'30 days CF Table(USD)'!G49,BS_RE33!$F$7:$F$874,'30 days CF Table(USD)'!$C$2)</f>
        <v>0</v>
      </c>
      <c r="AF49" s="548">
        <f>SUMIFS(BS_RE33!$H$7:$H$874,BS_RE33!$S$7:$S$874,$AF$2,BS_RE33!$N$7:$N$874,I49,BS_RE33!$P$7:$P$874,'30 days CF Table(USD)'!G49,BS_RE33!$F$7:$F$874,'30 days CF Table(USD)'!$C$2)</f>
        <v>0</v>
      </c>
      <c r="AG49" s="548">
        <f>SUMIFS(BS_RE33!$H$7:$H$874,BS_RE33!$S$7:$S$874,$AG$2,BS_RE33!$N$7:$N$874,I49,BS_RE33!$P$7:$P$874,'30 days CF Table(USD)'!G49,BS_RE33!$F$7:$F$874,'30 days CF Table(USD)'!$C$2)</f>
        <v>0</v>
      </c>
      <c r="AH49" s="548">
        <f>SUMIFS(BS_RE33!$H$7:$H$874,BS_RE33!$S$7:$S$874,$AH$2,BS_RE33!$N$7:$N$874,I49,BS_RE33!$P$7:$P$874,'30 days CF Table(USD)'!G49,BS_RE33!$F$7:$F$874,'30 days CF Table(USD)'!$C$2)</f>
        <v>0</v>
      </c>
      <c r="AI49" s="548">
        <f>SUMIFS(BS_RE33!$H$7:$H$874,BS_RE33!$S$7:$S$874,$AI$2,BS_RE33!$N$7:$N$874,I49,BS_RE33!$P$7:$P$874,'30 days CF Table(USD)'!G49,BS_RE33!$F$7:$F$874,'30 days CF Table(USD)'!$C$2)</f>
        <v>0</v>
      </c>
      <c r="AJ49" s="548">
        <f>SUMIFS(BS_RE33!$H$7:$H$874,BS_RE33!$S$7:$S$874,$AJ$2,BS_RE33!$N$7:$N$874,I49,BS_RE33!$P$7:$P$874,'30 days CF Table(USD)'!G49,BS_RE33!$F$7:$F$874,'30 days CF Table(USD)'!$C$2)</f>
        <v>0</v>
      </c>
      <c r="AK49" s="548">
        <f>SUMIFS(BS_RE33!$H$7:$H$874,BS_RE33!$S$7:$S$874,$AK$2,BS_RE33!$N$7:$N$874,I49,BS_RE33!$P$7:$P$874,'30 days CF Table(USD)'!G49,BS_RE33!$F$7:$F$874,'30 days CF Table(USD)'!$C$2)</f>
        <v>0</v>
      </c>
      <c r="AL49" s="548">
        <f>SUMIFS(BS_RE33!$H$7:$H$874,BS_RE33!$S$7:$S$874,$AL$2,BS_RE33!$N$7:$N$874,I49,BS_RE33!$P$7:$P$874,'30 days CF Table(USD)'!G49,BS_RE33!$F$7:$F$874,'30 days CF Table(USD)'!$C$2)</f>
        <v>0</v>
      </c>
      <c r="AM49" s="548">
        <f>SUMIFS(BS_RE33!$H$7:$H$874,BS_RE33!$S$7:$S$874,$AM$2,BS_RE33!$N$7:$N$874,I49,BS_RE33!$P$7:$P$874,'30 days CF Table(USD)'!G49,BS_RE33!$F$7:$F$874,'30 days CF Table(USD)'!$C$2)</f>
        <v>0</v>
      </c>
      <c r="AN49" s="548">
        <f>SUMIFS(BS_RE33!$H$7:$H$874,BS_RE33!$S$7:$S$874,$AN$2,BS_RE33!$N$7:$N$874,I49,BS_RE33!$P$7:$P$874,'30 days CF Table(USD)'!G49,BS_RE33!$F$7:$F$874,'30 days CF Table(USD)'!$C$2)</f>
        <v>0</v>
      </c>
      <c r="AO49" s="548">
        <f>SUMIFS(BS_RE33!$H$7:$H$874,BS_RE33!$S$7:$S$874,$AO$2,BS_RE33!$N$7:$N$874,I49,BS_RE33!$P$7:$P$874,'30 days CF Table(USD)'!G49,BS_RE33!$F$7:$F$874,'30 days CF Table(USD)'!$C$2)</f>
        <v>0</v>
      </c>
      <c r="AP49" s="549">
        <f>SUMIFS(BS_RE33!$H$7:$H$874,BS_RE33!$S$7:$S$874,$AP$2,BS_RE33!$N$7:$N$874,I49,BS_RE33!$P$7:$P$874,'30 days CF Table(USD)'!G49,BS_RE33!$F$7:$F$874,'30 days CF Table(USD)'!$C$2)</f>
        <v>0</v>
      </c>
      <c r="AQ49" s="550"/>
      <c r="AR49" s="380">
        <f>SUMIFS(BS_RE33!$H$7:$H$874,BS_RE33!$S$7:$S$874,$AR$2,BS_RE33!$N$7:$N$874,I49,BS_RE33!$P$7:$P$874,'30 days CF Table(USD)'!G49,BS_RE33!$F$7:$F$874,'30 days CF Table(USD)'!$C$2)</f>
        <v>0</v>
      </c>
      <c r="AS49" s="380">
        <f>SUMIFS(BS_RE33!$H$7:$H$874,BS_RE33!$S$7:$S$874,$AS$2,BS_RE33!$N$7:$N$874,I49,BS_RE33!$P$7:$P$874,'30 days CF Table(USD)'!G49,BS_RE33!$F$7:$F$874,'30 days CF Table(USD)'!$C$2)</f>
        <v>0</v>
      </c>
      <c r="AT49" s="380">
        <f>SUMIFS(BS_RE33!$H$7:$H$874,BS_RE33!$S$7:$S$874,$AT$2,BS_RE33!$N$7:$N$874,I49,BS_RE33!$P$7:$P$874,'30 days CF Table(USD)'!G49,BS_RE33!$F$7:$F$874,'30 days CF Table(USD)'!$C$2)</f>
        <v>0</v>
      </c>
      <c r="AU49" s="380">
        <f>SUMIFS(BS_RE33!$H$7:$H$874,BS_RE33!$S$7:$S$874,$AU$2,BS_RE33!$N$7:$N$874,I49,BS_RE33!$P$7:$P$874,'30 days CF Table(USD)'!G49,BS_RE33!$F$7:$F$874,'30 days CF Table(USD)'!$C$2)</f>
        <v>0</v>
      </c>
      <c r="AV49" s="380">
        <f>SUMIFS(BS_RE33!$H$7:$H$874,BS_RE33!$S$7:$S$874,$AV$2,BS_RE33!$N$7:$N$874,I49,BS_RE33!$P$7:$P$874,'30 days CF Table(USD)'!G49,BS_RE33!$F$7:$F$874,'30 days CF Table(USD)'!$C$2)</f>
        <v>0</v>
      </c>
      <c r="AW49" s="380">
        <f>SUMIFS(BS_RE33!$H$7:$H$874,BS_RE33!$S$7:$S$874,$AW$2,BS_RE33!$N$7:$N$874,I49,BS_RE33!$P$7:$P$874,'30 days CF Table(USD)'!G49,BS_RE33!$F$7:$F$874,'30 days CF Table(USD)'!$C$2)</f>
        <v>0</v>
      </c>
      <c r="AX49" s="380">
        <f>SUMIFS(BS_RE33!$H$7:$H$874,BS_RE33!$S$7:$S$874,$AX$2,BS_RE33!$N$7:$N$874,I49,BS_RE33!$P$7:$P$874,'30 days CF Table(USD)'!G49,BS_RE33!$F$7:$F$874,'30 days CF Table(USD)'!$C$2)</f>
        <v>0</v>
      </c>
      <c r="AY49" s="380">
        <f>SUMIFS(BS_RE33!$H$7:$H$874,BS_RE33!$S$7:$S$874,$AY$2,BS_RE33!$N$7:$N$874,I49,BS_RE33!$P$7:$P$874,'30 days CF Table(USD)'!G49,BS_RE33!$F$7:$F$874,'30 days CF Table(USD)'!$C$2)</f>
        <v>0</v>
      </c>
      <c r="AZ49" s="380">
        <f>SUMIFS(BS_RE33!$H$7:$H$874,BS_RE33!$S$7:$S$874,$AZ$2,BS_RE33!$N$7:$N$874,I49,BS_RE33!$P$7:$P$874,'30 days CF Table(USD)'!G49,BS_RE33!$F$7:$F$874,'30 days CF Table(USD)'!$C$2)</f>
        <v>0</v>
      </c>
      <c r="BA49" s="380">
        <f>SUMIFS(BS_RE33!$H$7:$H$874,BS_RE33!$S$7:$S$874,$BA$2,BS_RE33!$N$7:$N$874,I49,BS_RE33!$P$7:$P$874,'30 days CF Table(USD)'!G49,BS_RE33!$F$7:$F$874,'30 days CF Table(USD)'!$C$2)</f>
        <v>0</v>
      </c>
      <c r="BB49" s="380">
        <f>SUMIFS(BS_RE33!$H$7:$H$874,BS_RE33!$S$7:$S$874,$BB$2,BS_RE33!$N$7:$N$874,I49,BS_RE33!$P$7:$P$874,'30 days CF Table(USD)'!G49,BS_RE33!$F$7:$F$874,'30 days CF Table(USD)'!$C$2)</f>
        <v>0</v>
      </c>
      <c r="BC49" s="380">
        <f>SUMIFS(BS_RE33!$H$7:$H$874,BS_RE33!$S$7:$S$874,$BC$2,BS_RE33!$N$7:$N$874,I49,BS_RE33!$P$7:$P$874,'30 days CF Table(USD)'!G49,BS_RE33!$F$7:$F$874,'30 days CF Table(USD)'!$C$2)</f>
        <v>0</v>
      </c>
      <c r="BD49" s="380">
        <f>SUMIFS(BS_RE33!$H$7:$H$874,BS_RE33!$S$7:$S$874,$BD$2,BS_RE33!$N$7:$N$874,I49,BS_RE33!$P$7:$P$874,'30 days CF Table(USD)'!G49,BS_RE33!$F$7:$F$874,'30 days CF Table(USD)'!$C$2)</f>
        <v>0</v>
      </c>
      <c r="BE49" s="380">
        <f>SUMIFS(BS_RE33!$H$7:$H$874,BS_RE33!$S$7:$S$874,$BE$2,BS_RE33!$N$7:$N$874,I49,BS_RE33!$P$7:$P$874,'30 days CF Table(USD)'!G49,BS_RE33!$F$7:$F$874,'30 days CF Table(USD)'!$C$2)</f>
        <v>0</v>
      </c>
      <c r="BF49" s="380">
        <f>SUMIFS(BS_RE33!$H$7:$H$874,BS_RE33!$S$7:$S$874,$BF$2,BS_RE33!$N$7:$N$874,I49,BS_RE33!$P$7:$P$874,'30 days CF Table(USD)'!G49,BS_RE33!$F$7:$F$874,'30 days CF Table(USD)'!$C$2)</f>
        <v>0</v>
      </c>
      <c r="BG49" s="380">
        <f>SUMIFS(BS_RE33!$H$7:$H$874,BS_RE33!$S$7:$S$874,$BG$2,BS_RE33!$N$7:$N$874,I49,BS_RE33!$P$7:$P$874,'30 days CF Table(USD)'!G49,BS_RE33!$F$7:$F$874,'30 days CF Table(USD)'!$C$2)</f>
        <v>0</v>
      </c>
      <c r="BH49" s="380">
        <f>SUMIFS(BS_RE33!$H$7:$H$874,BS_RE33!$S$7:$S$874,$BH$2,BS_RE33!$N$7:$N$874,I49,BS_RE33!$P$7:$P$874,'30 days CF Table(USD)'!G49,BS_RE33!$F$7:$F$874,'30 days CF Table(USD)'!$C$2)</f>
        <v>0</v>
      </c>
      <c r="BI49" s="380">
        <f>SUMIFS(BS_RE33!$H$7:$H$874,BS_RE33!$S$7:$S$874,$BI$2,BS_RE33!$N$7:$N$874,I49,BS_RE33!$P$7:$P$874,'30 days CF Table(USD)'!G49,BS_RE33!$F$7:$F$874,'30 days CF Table(USD)'!$C$2)</f>
        <v>0</v>
      </c>
      <c r="BJ49" s="380">
        <f>SUMIFS(BS_RE33!$H$7:$H$874,BS_RE33!$S$7:$S$874,$BJ$2,BS_RE33!$N$7:$N$874,I49,BS_RE33!$P$7:$P$874,'30 days CF Table(USD)'!G49,BS_RE33!$F$7:$F$874,'30 days CF Table(USD)'!$C$2)</f>
        <v>0</v>
      </c>
      <c r="BK49" s="380">
        <f>SUMIFS(BS_RE33!$H$7:$H$874,BS_RE33!$S$7:$S$874,$BK$2,BS_RE33!$N$7:$N$874,I49,BS_RE33!$P$7:$P$874,'30 days CF Table(USD)'!G49,BS_RE33!$F$7:$F$874,'30 days CF Table(USD)'!$C$2)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Table(USD)'!G50,BS_RE33!$F$7:$F$874,'30 days CF Table(USD)'!$C$2)</f>
        <v>0</v>
      </c>
      <c r="M50" s="548">
        <f>SUMIFS(BS_RE33!$H$7:$H$874,BS_RE33!$S$7:$S$874,$M$2,BS_RE33!$N$7:$N$874,I50,BS_RE33!$P$7:$P$874,'30 days CF Table(USD)'!G50,BS_RE33!$F$7:$F$874,'30 days CF Table(USD)'!$C$2)</f>
        <v>0</v>
      </c>
      <c r="N50" s="548">
        <f>SUMIFS(BS_RE33!$H$7:$H$874,BS_RE33!$S$7:$S$874,$N$2,BS_RE33!$N$7:$N$874,I50,BS_RE33!$P$7:$P$874,'30 days CF Table(USD)'!G50,BS_RE33!$F$7:$F$874,'30 days CF Table(USD)'!$C$2)</f>
        <v>0</v>
      </c>
      <c r="O50" s="548">
        <f>SUMIFS(BS_RE33!$H$7:$H$874,BS_RE33!$S$7:$S$874,$O$2,BS_RE33!$N$7:$N$874,I50,BS_RE33!$P$7:$P$874,'30 days CF Table(USD)'!G50,BS_RE33!$F$7:$F$874,'30 days CF Table(USD)'!$C$2)</f>
        <v>0</v>
      </c>
      <c r="P50" s="548">
        <f>SUMIFS(BS_RE33!$H$7:$H$874,BS_RE33!$S$7:$S$874,$P$2,BS_RE33!$N$7:$N$874,I50,BS_RE33!$P$7:$P$874,'30 days CF Table(USD)'!G50,BS_RE33!$F$7:$F$874,'30 days CF Table(USD)'!$C$2)</f>
        <v>0</v>
      </c>
      <c r="Q50" s="548">
        <f>SUMIFS(BS_RE33!$H$7:$H$874,BS_RE33!$S$7:$S$874,$Q$2,BS_RE33!$N$7:$N$874,I50,BS_RE33!$P$7:$P$874,'30 days CF Table(USD)'!G50,BS_RE33!$F$7:$F$874,'30 days CF Table(USD)'!$C$2)</f>
        <v>0</v>
      </c>
      <c r="R50" s="548">
        <f>SUMIFS(BS_RE33!$H$7:$H$874,BS_RE33!$S$7:$S$874,$R$2,BS_RE33!$N$7:$N$874,I50,BS_RE33!$P$7:$P$874,'30 days CF Table(USD)'!G50,BS_RE33!$F$7:$F$874,'30 days CF Table(USD)'!$C$2)</f>
        <v>0</v>
      </c>
      <c r="S50" s="548">
        <f>SUMIFS(BS_RE33!$H$7:$H$874,BS_RE33!$S$7:$S$874,$S$2,BS_RE33!$N$7:$N$874,I50,BS_RE33!$P$7:$P$874,'30 days CF Table(USD)'!G50,BS_RE33!$F$7:$F$874,'30 days CF Table(USD)'!$C$2)</f>
        <v>0</v>
      </c>
      <c r="T50" s="548">
        <f>SUMIFS(BS_RE33!$H$7:$H$874,BS_RE33!$S$7:$S$874,$T$2,BS_RE33!$N$7:$N$874,I50,BS_RE33!$P$7:$P$874,'30 days CF Table(USD)'!G50,BS_RE33!$F$7:$F$874,'30 days CF Table(USD)'!$C$2)</f>
        <v>0</v>
      </c>
      <c r="U50" s="548">
        <f>SUMIFS(BS_RE33!$H$7:$H$874,BS_RE33!$S$7:$S$874,$U$2,BS_RE33!$N$7:$N$874,I50,BS_RE33!$P$7:$P$874,'30 days CF Table(USD)'!G50,BS_RE33!$F$7:$F$874,'30 days CF Table(USD)'!$C$2)</f>
        <v>0</v>
      </c>
      <c r="V50" s="548">
        <f>SUMIFS(BS_RE33!$H$7:$H$874,BS_RE33!$S$7:$S$874,$V$2,BS_RE33!$N$7:$N$874,I50,BS_RE33!$P$7:$P$874,'30 days CF Table(USD)'!G50,BS_RE33!$F$7:$F$874,'30 days CF Table(USD)'!$C$2)</f>
        <v>0</v>
      </c>
      <c r="W50" s="548">
        <f>SUMIFS(BS_RE33!$H$7:$H$874,BS_RE33!$S$7:$S$874,$W$2,BS_RE33!$N$7:$N$874,I50,BS_RE33!$P$7:$P$874,'30 days CF Table(USD)'!G50,BS_RE33!$F$7:$F$874,'30 days CF Table(USD)'!$C$2)</f>
        <v>0</v>
      </c>
      <c r="X50" s="548">
        <f>SUMIFS(BS_RE33!$H$7:$H$874,BS_RE33!$S$7:$S$874,$X$2,BS_RE33!$N$7:$N$874,I50,BS_RE33!$P$7:$P$874,'30 days CF Table(USD)'!G50,BS_RE33!$F$7:$F$874,'30 days CF Table(USD)'!$C$2)</f>
        <v>0</v>
      </c>
      <c r="Y50" s="548">
        <f>SUMIFS(BS_RE33!$H$7:$H$874,BS_RE33!$S$7:$S$874,$Y$2,BS_RE33!$N$7:$N$874,I50,BS_RE33!$P$7:$P$874,'30 days CF Table(USD)'!G50,BS_RE33!$F$7:$F$874,'30 days CF Table(USD)'!$C$2)</f>
        <v>0</v>
      </c>
      <c r="Z50" s="548">
        <f>SUMIFS(BS_RE33!$H$7:$H$874,BS_RE33!$S$7:$S$874,$Z$2,BS_RE33!$N$7:$N$874,I50,BS_RE33!$P$7:$P$874,'30 days CF Table(USD)'!G50,BS_RE33!$F$7:$F$874,'30 days CF Table(USD)'!$C$2)</f>
        <v>0</v>
      </c>
      <c r="AA50" s="548">
        <f>SUMIFS(BS_RE33!$H$7:$H$874,BS_RE33!$S$7:$S$874,$AA$2,BS_RE33!$N$7:$N$874,I50,BS_RE33!$P$7:$P$874,'30 days CF Table(USD)'!G50,BS_RE33!$F$7:$F$874,'30 days CF Table(USD)'!$C$2)</f>
        <v>0</v>
      </c>
      <c r="AB50" s="548">
        <f>SUMIFS(BS_RE33!$H$7:$H$874,BS_RE33!$S$7:$S$874,$AB$2,BS_RE33!$N$7:$N$874,I50,BS_RE33!$P$7:$P$874,'30 days CF Table(USD)'!G50,BS_RE33!$F$7:$F$874,'30 days CF Table(USD)'!$C$2)</f>
        <v>0</v>
      </c>
      <c r="AC50" s="548">
        <f>SUMIFS(BS_RE33!$H$7:$H$874,BS_RE33!$S$7:$S$874,$AC$2,BS_RE33!$N$7:$N$874,I50,BS_RE33!$P$7:$P$874,'30 days CF Table(USD)'!G50,BS_RE33!$F$7:$F$874,'30 days CF Table(USD)'!$C$2)</f>
        <v>0</v>
      </c>
      <c r="AD50" s="548">
        <f>SUMIFS(BS_RE33!$H$7:$H$874,BS_RE33!$S$7:$S$874,$AD$2,BS_RE33!$N$7:$N$874,I50,BS_RE33!$P$7:$P$874,'30 days CF Table(USD)'!G50,BS_RE33!$F$7:$F$874,'30 days CF Table(USD)'!$C$2)</f>
        <v>0</v>
      </c>
      <c r="AE50" s="548">
        <f>SUMIFS(BS_RE33!$H$7:$H$874,BS_RE33!$S$7:$S$874,$AE$2,BS_RE33!$N$7:$N$874,I50,BS_RE33!$P$7:$P$874,'30 days CF Table(USD)'!G50,BS_RE33!$F$7:$F$874,'30 days CF Table(USD)'!$C$2)</f>
        <v>0</v>
      </c>
      <c r="AF50" s="548">
        <f>SUMIFS(BS_RE33!$H$7:$H$874,BS_RE33!$S$7:$S$874,$AF$2,BS_RE33!$N$7:$N$874,I50,BS_RE33!$P$7:$P$874,'30 days CF Table(USD)'!G50,BS_RE33!$F$7:$F$874,'30 days CF Table(USD)'!$C$2)</f>
        <v>0</v>
      </c>
      <c r="AG50" s="548">
        <f>SUMIFS(BS_RE33!$H$7:$H$874,BS_RE33!$S$7:$S$874,$AG$2,BS_RE33!$N$7:$N$874,I50,BS_RE33!$P$7:$P$874,'30 days CF Table(USD)'!G50,BS_RE33!$F$7:$F$874,'30 days CF Table(USD)'!$C$2)</f>
        <v>0</v>
      </c>
      <c r="AH50" s="548">
        <f>SUMIFS(BS_RE33!$H$7:$H$874,BS_RE33!$S$7:$S$874,$AH$2,BS_RE33!$N$7:$N$874,I50,BS_RE33!$P$7:$P$874,'30 days CF Table(USD)'!G50,BS_RE33!$F$7:$F$874,'30 days CF Table(USD)'!$C$2)</f>
        <v>0</v>
      </c>
      <c r="AI50" s="548">
        <f>SUMIFS(BS_RE33!$H$7:$H$874,BS_RE33!$S$7:$S$874,$AI$2,BS_RE33!$N$7:$N$874,I50,BS_RE33!$P$7:$P$874,'30 days CF Table(USD)'!G50,BS_RE33!$F$7:$F$874,'30 days CF Table(USD)'!$C$2)</f>
        <v>0</v>
      </c>
      <c r="AJ50" s="548">
        <f>SUMIFS(BS_RE33!$H$7:$H$874,BS_RE33!$S$7:$S$874,$AJ$2,BS_RE33!$N$7:$N$874,I50,BS_RE33!$P$7:$P$874,'30 days CF Table(USD)'!G50,BS_RE33!$F$7:$F$874,'30 days CF Table(USD)'!$C$2)</f>
        <v>0</v>
      </c>
      <c r="AK50" s="548">
        <f>SUMIFS(BS_RE33!$H$7:$H$874,BS_RE33!$S$7:$S$874,$AK$2,BS_RE33!$N$7:$N$874,I50,BS_RE33!$P$7:$P$874,'30 days CF Table(USD)'!G50,BS_RE33!$F$7:$F$874,'30 days CF Table(USD)'!$C$2)</f>
        <v>0</v>
      </c>
      <c r="AL50" s="548">
        <f>SUMIFS(BS_RE33!$H$7:$H$874,BS_RE33!$S$7:$S$874,$AL$2,BS_RE33!$N$7:$N$874,I50,BS_RE33!$P$7:$P$874,'30 days CF Table(USD)'!G50,BS_RE33!$F$7:$F$874,'30 days CF Table(USD)'!$C$2)</f>
        <v>0</v>
      </c>
      <c r="AM50" s="548">
        <f>SUMIFS(BS_RE33!$H$7:$H$874,BS_RE33!$S$7:$S$874,$AM$2,BS_RE33!$N$7:$N$874,I50,BS_RE33!$P$7:$P$874,'30 days CF Table(USD)'!G50,BS_RE33!$F$7:$F$874,'30 days CF Table(USD)'!$C$2)</f>
        <v>0</v>
      </c>
      <c r="AN50" s="548">
        <f>SUMIFS(BS_RE33!$H$7:$H$874,BS_RE33!$S$7:$S$874,$AN$2,BS_RE33!$N$7:$N$874,I50,BS_RE33!$P$7:$P$874,'30 days CF Table(USD)'!G50,BS_RE33!$F$7:$F$874,'30 days CF Table(USD)'!$C$2)</f>
        <v>0</v>
      </c>
      <c r="AO50" s="548">
        <f>SUMIFS(BS_RE33!$H$7:$H$874,BS_RE33!$S$7:$S$874,$AO$2,BS_RE33!$N$7:$N$874,I50,BS_RE33!$P$7:$P$874,'30 days CF Table(USD)'!G50,BS_RE33!$F$7:$F$874,'30 days CF Table(USD)'!$C$2)</f>
        <v>0</v>
      </c>
      <c r="AP50" s="549">
        <f>SUMIFS(BS_RE33!$H$7:$H$874,BS_RE33!$S$7:$S$874,$AP$2,BS_RE33!$N$7:$N$874,I50,BS_RE33!$P$7:$P$874,'30 days CF Table(USD)'!G50,BS_RE33!$F$7:$F$874,'30 days CF Table(USD)'!$C$2)</f>
        <v>0</v>
      </c>
      <c r="AQ50" s="550"/>
      <c r="AR50" s="380">
        <f>SUMIFS(BS_RE33!$H$7:$H$874,BS_RE33!$S$7:$S$874,$AR$2,BS_RE33!$N$7:$N$874,I50,BS_RE33!$P$7:$P$874,'30 days CF Table(USD)'!G50,BS_RE33!$F$7:$F$874,'30 days CF Table(USD)'!$C$2)</f>
        <v>0</v>
      </c>
      <c r="AS50" s="380">
        <f>SUMIFS(BS_RE33!$H$7:$H$874,BS_RE33!$S$7:$S$874,$AS$2,BS_RE33!$N$7:$N$874,I50,BS_RE33!$P$7:$P$874,'30 days CF Table(USD)'!G50,BS_RE33!$F$7:$F$874,'30 days CF Table(USD)'!$C$2)</f>
        <v>0</v>
      </c>
      <c r="AT50" s="380">
        <f>SUMIFS(BS_RE33!$H$7:$H$874,BS_RE33!$S$7:$S$874,$AT$2,BS_RE33!$N$7:$N$874,I50,BS_RE33!$P$7:$P$874,'30 days CF Table(USD)'!G50,BS_RE33!$F$7:$F$874,'30 days CF Table(USD)'!$C$2)</f>
        <v>0</v>
      </c>
      <c r="AU50" s="380">
        <f>SUMIFS(BS_RE33!$H$7:$H$874,BS_RE33!$S$7:$S$874,$AU$2,BS_RE33!$N$7:$N$874,I50,BS_RE33!$P$7:$P$874,'30 days CF Table(USD)'!G50,BS_RE33!$F$7:$F$874,'30 days CF Table(USD)'!$C$2)</f>
        <v>0</v>
      </c>
      <c r="AV50" s="380">
        <f>SUMIFS(BS_RE33!$H$7:$H$874,BS_RE33!$S$7:$S$874,$AV$2,BS_RE33!$N$7:$N$874,I50,BS_RE33!$P$7:$P$874,'30 days CF Table(USD)'!G50,BS_RE33!$F$7:$F$874,'30 days CF Table(USD)'!$C$2)</f>
        <v>0</v>
      </c>
      <c r="AW50" s="380">
        <f>SUMIFS(BS_RE33!$H$7:$H$874,BS_RE33!$S$7:$S$874,$AW$2,BS_RE33!$N$7:$N$874,I50,BS_RE33!$P$7:$P$874,'30 days CF Table(USD)'!G50,BS_RE33!$F$7:$F$874,'30 days CF Table(USD)'!$C$2)</f>
        <v>0</v>
      </c>
      <c r="AX50" s="380">
        <f>SUMIFS(BS_RE33!$H$7:$H$874,BS_RE33!$S$7:$S$874,$AX$2,BS_RE33!$N$7:$N$874,I50,BS_RE33!$P$7:$P$874,'30 days CF Table(USD)'!G50,BS_RE33!$F$7:$F$874,'30 days CF Table(USD)'!$C$2)</f>
        <v>0</v>
      </c>
      <c r="AY50" s="380">
        <f>SUMIFS(BS_RE33!$H$7:$H$874,BS_RE33!$S$7:$S$874,$AY$2,BS_RE33!$N$7:$N$874,I50,BS_RE33!$P$7:$P$874,'30 days CF Table(USD)'!G50,BS_RE33!$F$7:$F$874,'30 days CF Table(USD)'!$C$2)</f>
        <v>0</v>
      </c>
      <c r="AZ50" s="380">
        <f>SUMIFS(BS_RE33!$H$7:$H$874,BS_RE33!$S$7:$S$874,$AZ$2,BS_RE33!$N$7:$N$874,I50,BS_RE33!$P$7:$P$874,'30 days CF Table(USD)'!G50,BS_RE33!$F$7:$F$874,'30 days CF Table(USD)'!$C$2)</f>
        <v>0</v>
      </c>
      <c r="BA50" s="380">
        <f>SUMIFS(BS_RE33!$H$7:$H$874,BS_RE33!$S$7:$S$874,$BA$2,BS_RE33!$N$7:$N$874,I50,BS_RE33!$P$7:$P$874,'30 days CF Table(USD)'!G50,BS_RE33!$F$7:$F$874,'30 days CF Table(USD)'!$C$2)</f>
        <v>0</v>
      </c>
      <c r="BB50" s="380">
        <f>SUMIFS(BS_RE33!$H$7:$H$874,BS_RE33!$S$7:$S$874,$BB$2,BS_RE33!$N$7:$N$874,I50,BS_RE33!$P$7:$P$874,'30 days CF Table(USD)'!G50,BS_RE33!$F$7:$F$874,'30 days CF Table(USD)'!$C$2)</f>
        <v>0</v>
      </c>
      <c r="BC50" s="380">
        <f>SUMIFS(BS_RE33!$H$7:$H$874,BS_RE33!$S$7:$S$874,$BC$2,BS_RE33!$N$7:$N$874,I50,BS_RE33!$P$7:$P$874,'30 days CF Table(USD)'!G50,BS_RE33!$F$7:$F$874,'30 days CF Table(USD)'!$C$2)</f>
        <v>0</v>
      </c>
      <c r="BD50" s="380">
        <f>SUMIFS(BS_RE33!$H$7:$H$874,BS_RE33!$S$7:$S$874,$BD$2,BS_RE33!$N$7:$N$874,I50,BS_RE33!$P$7:$P$874,'30 days CF Table(USD)'!G50,BS_RE33!$F$7:$F$874,'30 days CF Table(USD)'!$C$2)</f>
        <v>0</v>
      </c>
      <c r="BE50" s="380">
        <f>SUMIFS(BS_RE33!$H$7:$H$874,BS_RE33!$S$7:$S$874,$BE$2,BS_RE33!$N$7:$N$874,I50,BS_RE33!$P$7:$P$874,'30 days CF Table(USD)'!G50,BS_RE33!$F$7:$F$874,'30 days CF Table(USD)'!$C$2)</f>
        <v>0</v>
      </c>
      <c r="BF50" s="380">
        <f>SUMIFS(BS_RE33!$H$7:$H$874,BS_RE33!$S$7:$S$874,$BF$2,BS_RE33!$N$7:$N$874,I50,BS_RE33!$P$7:$P$874,'30 days CF Table(USD)'!G50,BS_RE33!$F$7:$F$874,'30 days CF Table(USD)'!$C$2)</f>
        <v>0</v>
      </c>
      <c r="BG50" s="380">
        <f>SUMIFS(BS_RE33!$H$7:$H$874,BS_RE33!$S$7:$S$874,$BG$2,BS_RE33!$N$7:$N$874,I50,BS_RE33!$P$7:$P$874,'30 days CF Table(USD)'!G50,BS_RE33!$F$7:$F$874,'30 days CF Table(USD)'!$C$2)</f>
        <v>0</v>
      </c>
      <c r="BH50" s="380">
        <f>SUMIFS(BS_RE33!$H$7:$H$874,BS_RE33!$S$7:$S$874,$BH$2,BS_RE33!$N$7:$N$874,I50,BS_RE33!$P$7:$P$874,'30 days CF Table(USD)'!G50,BS_RE33!$F$7:$F$874,'30 days CF Table(USD)'!$C$2)</f>
        <v>0</v>
      </c>
      <c r="BI50" s="380">
        <f>SUMIFS(BS_RE33!$H$7:$H$874,BS_RE33!$S$7:$S$874,$BI$2,BS_RE33!$N$7:$N$874,I50,BS_RE33!$P$7:$P$874,'30 days CF Table(USD)'!G50,BS_RE33!$F$7:$F$874,'30 days CF Table(USD)'!$C$2)</f>
        <v>0</v>
      </c>
      <c r="BJ50" s="380">
        <f>SUMIFS(BS_RE33!$H$7:$H$874,BS_RE33!$S$7:$S$874,$BJ$2,BS_RE33!$N$7:$N$874,I50,BS_RE33!$P$7:$P$874,'30 days CF Table(USD)'!G50,BS_RE33!$F$7:$F$874,'30 days CF Table(USD)'!$C$2)</f>
        <v>0</v>
      </c>
      <c r="BK50" s="380">
        <f>SUMIFS(BS_RE33!$H$7:$H$874,BS_RE33!$S$7:$S$874,$BK$2,BS_RE33!$N$7:$N$874,I50,BS_RE33!$P$7:$P$874,'30 days CF Table(USD)'!G50,BS_RE33!$F$7:$F$874,'30 days CF Table(USD)'!$C$2)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Table(USD)'!G51,BS_RE33!$F$7:$F$874,'30 days CF Table(USD)'!$C$2)</f>
        <v>0</v>
      </c>
      <c r="M51" s="548">
        <f>SUMIFS(BS_RE33!$H$7:$H$874,BS_RE33!$S$7:$S$874,$M$2,BS_RE33!$N$7:$N$874,I51,BS_RE33!$P$7:$P$874,'30 days CF Table(USD)'!G51,BS_RE33!$F$7:$F$874,'30 days CF Table(USD)'!$C$2)</f>
        <v>0</v>
      </c>
      <c r="N51" s="548">
        <f>SUMIFS(BS_RE33!$H$7:$H$874,BS_RE33!$S$7:$S$874,$N$2,BS_RE33!$N$7:$N$874,I51,BS_RE33!$P$7:$P$874,'30 days CF Table(USD)'!G51,BS_RE33!$F$7:$F$874,'30 days CF Table(USD)'!$C$2)</f>
        <v>0</v>
      </c>
      <c r="O51" s="548">
        <f>SUMIFS(BS_RE33!$H$7:$H$874,BS_RE33!$S$7:$S$874,$O$2,BS_RE33!$N$7:$N$874,I51,BS_RE33!$P$7:$P$874,'30 days CF Table(USD)'!G51,BS_RE33!$F$7:$F$874,'30 days CF Table(USD)'!$C$2)</f>
        <v>0</v>
      </c>
      <c r="P51" s="548">
        <f>SUMIFS(BS_RE33!$H$7:$H$874,BS_RE33!$S$7:$S$874,$P$2,BS_RE33!$N$7:$N$874,I51,BS_RE33!$P$7:$P$874,'30 days CF Table(USD)'!G51,BS_RE33!$F$7:$F$874,'30 days CF Table(USD)'!$C$2)</f>
        <v>0</v>
      </c>
      <c r="Q51" s="548">
        <f>SUMIFS(BS_RE33!$H$7:$H$874,BS_RE33!$S$7:$S$874,$Q$2,BS_RE33!$N$7:$N$874,I51,BS_RE33!$P$7:$P$874,'30 days CF Table(USD)'!G51,BS_RE33!$F$7:$F$874,'30 days CF Table(USD)'!$C$2)</f>
        <v>0</v>
      </c>
      <c r="R51" s="548">
        <f>SUMIFS(BS_RE33!$H$7:$H$874,BS_RE33!$S$7:$S$874,$R$2,BS_RE33!$N$7:$N$874,I51,BS_RE33!$P$7:$P$874,'30 days CF Table(USD)'!G51,BS_RE33!$F$7:$F$874,'30 days CF Table(USD)'!$C$2)</f>
        <v>0</v>
      </c>
      <c r="S51" s="548">
        <f>SUMIFS(BS_RE33!$H$7:$H$874,BS_RE33!$S$7:$S$874,$S$2,BS_RE33!$N$7:$N$874,I51,BS_RE33!$P$7:$P$874,'30 days CF Table(USD)'!G51,BS_RE33!$F$7:$F$874,'30 days CF Table(USD)'!$C$2)</f>
        <v>0</v>
      </c>
      <c r="T51" s="548">
        <f>SUMIFS(BS_RE33!$H$7:$H$874,BS_RE33!$S$7:$S$874,$T$2,BS_RE33!$N$7:$N$874,I51,BS_RE33!$P$7:$P$874,'30 days CF Table(USD)'!G51,BS_RE33!$F$7:$F$874,'30 days CF Table(USD)'!$C$2)</f>
        <v>0</v>
      </c>
      <c r="U51" s="548">
        <f>SUMIFS(BS_RE33!$H$7:$H$874,BS_RE33!$S$7:$S$874,$U$2,BS_RE33!$N$7:$N$874,I51,BS_RE33!$P$7:$P$874,'30 days CF Table(USD)'!G51,BS_RE33!$F$7:$F$874,'30 days CF Table(USD)'!$C$2)</f>
        <v>0</v>
      </c>
      <c r="V51" s="548">
        <f>SUMIFS(BS_RE33!$H$7:$H$874,BS_RE33!$S$7:$S$874,$V$2,BS_RE33!$N$7:$N$874,I51,BS_RE33!$P$7:$P$874,'30 days CF Table(USD)'!G51,BS_RE33!$F$7:$F$874,'30 days CF Table(USD)'!$C$2)</f>
        <v>0</v>
      </c>
      <c r="W51" s="548">
        <f>SUMIFS(BS_RE33!$H$7:$H$874,BS_RE33!$S$7:$S$874,$W$2,BS_RE33!$N$7:$N$874,I51,BS_RE33!$P$7:$P$874,'30 days CF Table(USD)'!G51,BS_RE33!$F$7:$F$874,'30 days CF Table(USD)'!$C$2)</f>
        <v>0</v>
      </c>
      <c r="X51" s="548">
        <f>SUMIFS(BS_RE33!$H$7:$H$874,BS_RE33!$S$7:$S$874,$X$2,BS_RE33!$N$7:$N$874,I51,BS_RE33!$P$7:$P$874,'30 days CF Table(USD)'!G51,BS_RE33!$F$7:$F$874,'30 days CF Table(USD)'!$C$2)</f>
        <v>0</v>
      </c>
      <c r="Y51" s="548">
        <f>SUMIFS(BS_RE33!$H$7:$H$874,BS_RE33!$S$7:$S$874,$Y$2,BS_RE33!$N$7:$N$874,I51,BS_RE33!$P$7:$P$874,'30 days CF Table(USD)'!G51,BS_RE33!$F$7:$F$874,'30 days CF Table(USD)'!$C$2)</f>
        <v>0</v>
      </c>
      <c r="Z51" s="548">
        <f>SUMIFS(BS_RE33!$H$7:$H$874,BS_RE33!$S$7:$S$874,$Z$2,BS_RE33!$N$7:$N$874,I51,BS_RE33!$P$7:$P$874,'30 days CF Table(USD)'!G51,BS_RE33!$F$7:$F$874,'30 days CF Table(USD)'!$C$2)</f>
        <v>0</v>
      </c>
      <c r="AA51" s="548">
        <f>SUMIFS(BS_RE33!$H$7:$H$874,BS_RE33!$S$7:$S$874,$AA$2,BS_RE33!$N$7:$N$874,I51,BS_RE33!$P$7:$P$874,'30 days CF Table(USD)'!G51,BS_RE33!$F$7:$F$874,'30 days CF Table(USD)'!$C$2)</f>
        <v>0</v>
      </c>
      <c r="AB51" s="548">
        <f>SUMIFS(BS_RE33!$H$7:$H$874,BS_RE33!$S$7:$S$874,$AB$2,BS_RE33!$N$7:$N$874,I51,BS_RE33!$P$7:$P$874,'30 days CF Table(USD)'!G51,BS_RE33!$F$7:$F$874,'30 days CF Table(USD)'!$C$2)</f>
        <v>0</v>
      </c>
      <c r="AC51" s="548">
        <f>SUMIFS(BS_RE33!$H$7:$H$874,BS_RE33!$S$7:$S$874,$AC$2,BS_RE33!$N$7:$N$874,I51,BS_RE33!$P$7:$P$874,'30 days CF Table(USD)'!G51,BS_RE33!$F$7:$F$874,'30 days CF Table(USD)'!$C$2)</f>
        <v>0</v>
      </c>
      <c r="AD51" s="548">
        <f>SUMIFS(BS_RE33!$H$7:$H$874,BS_RE33!$S$7:$S$874,$AD$2,BS_RE33!$N$7:$N$874,I51,BS_RE33!$P$7:$P$874,'30 days CF Table(USD)'!G51,BS_RE33!$F$7:$F$874,'30 days CF Table(USD)'!$C$2)</f>
        <v>0</v>
      </c>
      <c r="AE51" s="548">
        <f>SUMIFS(BS_RE33!$H$7:$H$874,BS_RE33!$S$7:$S$874,$AE$2,BS_RE33!$N$7:$N$874,I51,BS_RE33!$P$7:$P$874,'30 days CF Table(USD)'!G51,BS_RE33!$F$7:$F$874,'30 days CF Table(USD)'!$C$2)</f>
        <v>0</v>
      </c>
      <c r="AF51" s="548">
        <f>SUMIFS(BS_RE33!$H$7:$H$874,BS_RE33!$S$7:$S$874,$AF$2,BS_RE33!$N$7:$N$874,I51,BS_RE33!$P$7:$P$874,'30 days CF Table(USD)'!G51,BS_RE33!$F$7:$F$874,'30 days CF Table(USD)'!$C$2)</f>
        <v>0</v>
      </c>
      <c r="AG51" s="548">
        <f>SUMIFS(BS_RE33!$H$7:$H$874,BS_RE33!$S$7:$S$874,$AG$2,BS_RE33!$N$7:$N$874,I51,BS_RE33!$P$7:$P$874,'30 days CF Table(USD)'!G51,BS_RE33!$F$7:$F$874,'30 days CF Table(USD)'!$C$2)</f>
        <v>0</v>
      </c>
      <c r="AH51" s="548">
        <f>SUMIFS(BS_RE33!$H$7:$H$874,BS_RE33!$S$7:$S$874,$AH$2,BS_RE33!$N$7:$N$874,I51,BS_RE33!$P$7:$P$874,'30 days CF Table(USD)'!G51,BS_RE33!$F$7:$F$874,'30 days CF Table(USD)'!$C$2)</f>
        <v>0</v>
      </c>
      <c r="AI51" s="548">
        <f>SUMIFS(BS_RE33!$H$7:$H$874,BS_RE33!$S$7:$S$874,$AI$2,BS_RE33!$N$7:$N$874,I51,BS_RE33!$P$7:$P$874,'30 days CF Table(USD)'!G51,BS_RE33!$F$7:$F$874,'30 days CF Table(USD)'!$C$2)</f>
        <v>0</v>
      </c>
      <c r="AJ51" s="548">
        <f>SUMIFS(BS_RE33!$H$7:$H$874,BS_RE33!$S$7:$S$874,$AJ$2,BS_RE33!$N$7:$N$874,I51,BS_RE33!$P$7:$P$874,'30 days CF Table(USD)'!G51,BS_RE33!$F$7:$F$874,'30 days CF Table(USD)'!$C$2)</f>
        <v>0</v>
      </c>
      <c r="AK51" s="548">
        <f>SUMIFS(BS_RE33!$H$7:$H$874,BS_RE33!$S$7:$S$874,$AK$2,BS_RE33!$N$7:$N$874,I51,BS_RE33!$P$7:$P$874,'30 days CF Table(USD)'!G51,BS_RE33!$F$7:$F$874,'30 days CF Table(USD)'!$C$2)</f>
        <v>0</v>
      </c>
      <c r="AL51" s="548">
        <f>SUMIFS(BS_RE33!$H$7:$H$874,BS_RE33!$S$7:$S$874,$AL$2,BS_RE33!$N$7:$N$874,I51,BS_RE33!$P$7:$P$874,'30 days CF Table(USD)'!G51,BS_RE33!$F$7:$F$874,'30 days CF Table(USD)'!$C$2)</f>
        <v>0</v>
      </c>
      <c r="AM51" s="548">
        <f>SUMIFS(BS_RE33!$H$7:$H$874,BS_RE33!$S$7:$S$874,$AM$2,BS_RE33!$N$7:$N$874,I51,BS_RE33!$P$7:$P$874,'30 days CF Table(USD)'!G51,BS_RE33!$F$7:$F$874,'30 days CF Table(USD)'!$C$2)</f>
        <v>0</v>
      </c>
      <c r="AN51" s="548">
        <f>SUMIFS(BS_RE33!$H$7:$H$874,BS_RE33!$S$7:$S$874,$AN$2,BS_RE33!$N$7:$N$874,I51,BS_RE33!$P$7:$P$874,'30 days CF Table(USD)'!G51,BS_RE33!$F$7:$F$874,'30 days CF Table(USD)'!$C$2)</f>
        <v>0</v>
      </c>
      <c r="AO51" s="548">
        <f>SUMIFS(BS_RE33!$H$7:$H$874,BS_RE33!$S$7:$S$874,$AO$2,BS_RE33!$N$7:$N$874,I51,BS_RE33!$P$7:$P$874,'30 days CF Table(USD)'!G51,BS_RE33!$F$7:$F$874,'30 days CF Table(USD)'!$C$2)</f>
        <v>0</v>
      </c>
      <c r="AP51" s="549">
        <f>SUMIFS(BS_RE33!$H$7:$H$874,BS_RE33!$S$7:$S$874,$AP$2,BS_RE33!$N$7:$N$874,I51,BS_RE33!$P$7:$P$874,'30 days CF Table(USD)'!G51,BS_RE33!$F$7:$F$874,'30 days CF Table(USD)'!$C$2)</f>
        <v>0</v>
      </c>
      <c r="AQ51" s="550"/>
      <c r="AR51" s="380">
        <f>SUMIFS(BS_RE33!$H$7:$H$874,BS_RE33!$S$7:$S$874,$AR$2,BS_RE33!$N$7:$N$874,I51,BS_RE33!$P$7:$P$874,'30 days CF Table(USD)'!G51,BS_RE33!$F$7:$F$874,'30 days CF Table(USD)'!$C$2)</f>
        <v>0</v>
      </c>
      <c r="AS51" s="380">
        <f>SUMIFS(BS_RE33!$H$7:$H$874,BS_RE33!$S$7:$S$874,$AS$2,BS_RE33!$N$7:$N$874,I51,BS_RE33!$P$7:$P$874,'30 days CF Table(USD)'!G51,BS_RE33!$F$7:$F$874,'30 days CF Table(USD)'!$C$2)</f>
        <v>0</v>
      </c>
      <c r="AT51" s="380">
        <f>SUMIFS(BS_RE33!$H$7:$H$874,BS_RE33!$S$7:$S$874,$AT$2,BS_RE33!$N$7:$N$874,I51,BS_RE33!$P$7:$P$874,'30 days CF Table(USD)'!G51,BS_RE33!$F$7:$F$874,'30 days CF Table(USD)'!$C$2)</f>
        <v>0</v>
      </c>
      <c r="AU51" s="380">
        <f>SUMIFS(BS_RE33!$H$7:$H$874,BS_RE33!$S$7:$S$874,$AU$2,BS_RE33!$N$7:$N$874,I51,BS_RE33!$P$7:$P$874,'30 days CF Table(USD)'!G51,BS_RE33!$F$7:$F$874,'30 days CF Table(USD)'!$C$2)</f>
        <v>0</v>
      </c>
      <c r="AV51" s="380">
        <f>SUMIFS(BS_RE33!$H$7:$H$874,BS_RE33!$S$7:$S$874,$AV$2,BS_RE33!$N$7:$N$874,I51,BS_RE33!$P$7:$P$874,'30 days CF Table(USD)'!G51,BS_RE33!$F$7:$F$874,'30 days CF Table(USD)'!$C$2)</f>
        <v>0</v>
      </c>
      <c r="AW51" s="380">
        <f>SUMIFS(BS_RE33!$H$7:$H$874,BS_RE33!$S$7:$S$874,$AW$2,BS_RE33!$N$7:$N$874,I51,BS_RE33!$P$7:$P$874,'30 days CF Table(USD)'!G51,BS_RE33!$F$7:$F$874,'30 days CF Table(USD)'!$C$2)</f>
        <v>0</v>
      </c>
      <c r="AX51" s="380">
        <f>SUMIFS(BS_RE33!$H$7:$H$874,BS_RE33!$S$7:$S$874,$AX$2,BS_RE33!$N$7:$N$874,I51,BS_RE33!$P$7:$P$874,'30 days CF Table(USD)'!G51,BS_RE33!$F$7:$F$874,'30 days CF Table(USD)'!$C$2)</f>
        <v>0</v>
      </c>
      <c r="AY51" s="380">
        <f>SUMIFS(BS_RE33!$H$7:$H$874,BS_RE33!$S$7:$S$874,$AY$2,BS_RE33!$N$7:$N$874,I51,BS_RE33!$P$7:$P$874,'30 days CF Table(USD)'!G51,BS_RE33!$F$7:$F$874,'30 days CF Table(USD)'!$C$2)</f>
        <v>0</v>
      </c>
      <c r="AZ51" s="380">
        <f>SUMIFS(BS_RE33!$H$7:$H$874,BS_RE33!$S$7:$S$874,$AZ$2,BS_RE33!$N$7:$N$874,I51,BS_RE33!$P$7:$P$874,'30 days CF Table(USD)'!G51,BS_RE33!$F$7:$F$874,'30 days CF Table(USD)'!$C$2)</f>
        <v>0</v>
      </c>
      <c r="BA51" s="380">
        <f>SUMIFS(BS_RE33!$H$7:$H$874,BS_RE33!$S$7:$S$874,$BA$2,BS_RE33!$N$7:$N$874,I51,BS_RE33!$P$7:$P$874,'30 days CF Table(USD)'!G51,BS_RE33!$F$7:$F$874,'30 days CF Table(USD)'!$C$2)</f>
        <v>0</v>
      </c>
      <c r="BB51" s="380">
        <f>SUMIFS(BS_RE33!$H$7:$H$874,BS_RE33!$S$7:$S$874,$BB$2,BS_RE33!$N$7:$N$874,I51,BS_RE33!$P$7:$P$874,'30 days CF Table(USD)'!G51,BS_RE33!$F$7:$F$874,'30 days CF Table(USD)'!$C$2)</f>
        <v>0</v>
      </c>
      <c r="BC51" s="380">
        <f>SUMIFS(BS_RE33!$H$7:$H$874,BS_RE33!$S$7:$S$874,$BC$2,BS_RE33!$N$7:$N$874,I51,BS_RE33!$P$7:$P$874,'30 days CF Table(USD)'!G51,BS_RE33!$F$7:$F$874,'30 days CF Table(USD)'!$C$2)</f>
        <v>0</v>
      </c>
      <c r="BD51" s="380">
        <f>SUMIFS(BS_RE33!$H$7:$H$874,BS_RE33!$S$7:$S$874,$BD$2,BS_RE33!$N$7:$N$874,I51,BS_RE33!$P$7:$P$874,'30 days CF Table(USD)'!G51,BS_RE33!$F$7:$F$874,'30 days CF Table(USD)'!$C$2)</f>
        <v>0</v>
      </c>
      <c r="BE51" s="380">
        <f>SUMIFS(BS_RE33!$H$7:$H$874,BS_RE33!$S$7:$S$874,$BE$2,BS_RE33!$N$7:$N$874,I51,BS_RE33!$P$7:$P$874,'30 days CF Table(USD)'!G51,BS_RE33!$F$7:$F$874,'30 days CF Table(USD)'!$C$2)</f>
        <v>0</v>
      </c>
      <c r="BF51" s="380">
        <f>SUMIFS(BS_RE33!$H$7:$H$874,BS_RE33!$S$7:$S$874,$BF$2,BS_RE33!$N$7:$N$874,I51,BS_RE33!$P$7:$P$874,'30 days CF Table(USD)'!G51,BS_RE33!$F$7:$F$874,'30 days CF Table(USD)'!$C$2)</f>
        <v>0</v>
      </c>
      <c r="BG51" s="380">
        <f>SUMIFS(BS_RE33!$H$7:$H$874,BS_RE33!$S$7:$S$874,$BG$2,BS_RE33!$N$7:$N$874,I51,BS_RE33!$P$7:$P$874,'30 days CF Table(USD)'!G51,BS_RE33!$F$7:$F$874,'30 days CF Table(USD)'!$C$2)</f>
        <v>0</v>
      </c>
      <c r="BH51" s="380">
        <f>SUMIFS(BS_RE33!$H$7:$H$874,BS_RE33!$S$7:$S$874,$BH$2,BS_RE33!$N$7:$N$874,I51,BS_RE33!$P$7:$P$874,'30 days CF Table(USD)'!G51,BS_RE33!$F$7:$F$874,'30 days CF Table(USD)'!$C$2)</f>
        <v>0</v>
      </c>
      <c r="BI51" s="380">
        <f>SUMIFS(BS_RE33!$H$7:$H$874,BS_RE33!$S$7:$S$874,$BI$2,BS_RE33!$N$7:$N$874,I51,BS_RE33!$P$7:$P$874,'30 days CF Table(USD)'!G51,BS_RE33!$F$7:$F$874,'30 days CF Table(USD)'!$C$2)</f>
        <v>0</v>
      </c>
      <c r="BJ51" s="380">
        <f>SUMIFS(BS_RE33!$H$7:$H$874,BS_RE33!$S$7:$S$874,$BJ$2,BS_RE33!$N$7:$N$874,I51,BS_RE33!$P$7:$P$874,'30 days CF Table(USD)'!G51,BS_RE33!$F$7:$F$874,'30 days CF Table(USD)'!$C$2)</f>
        <v>0</v>
      </c>
      <c r="BK51" s="380">
        <f>SUMIFS(BS_RE33!$H$7:$H$874,BS_RE33!$S$7:$S$874,$BK$2,BS_RE33!$N$7:$N$874,I51,BS_RE33!$P$7:$P$874,'30 days CF Table(USD)'!G51,BS_RE33!$F$7:$F$874,'30 days CF Table(USD)'!$C$2)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Table(USD)'!G52,BS_RE33!$F$7:$F$874,'30 days CF Table(USD)'!$C$2)</f>
        <v>0</v>
      </c>
      <c r="M52" s="337">
        <f>SUMIFS(BS_RE33!$H$7:$H$874,BS_RE33!$S$7:$S$874,$M$2,BS_RE33!$N$7:$N$874,I52,BS_RE33!$P$7:$P$874,'30 days CF Table(USD)'!G52,BS_RE33!$F$7:$F$874,'30 days CF Table(USD)'!$C$2)</f>
        <v>0</v>
      </c>
      <c r="N52" s="337">
        <f>SUMIFS(BS_RE33!$H$7:$H$874,BS_RE33!$S$7:$S$874,$N$2,BS_RE33!$N$7:$N$874,I52,BS_RE33!$P$7:$P$874,'30 days CF Table(USD)'!G52,BS_RE33!$F$7:$F$874,'30 days CF Table(USD)'!$C$2)</f>
        <v>0</v>
      </c>
      <c r="O52" s="337">
        <f>SUMIFS(BS_RE33!$H$7:$H$874,BS_RE33!$S$7:$S$874,$O$2,BS_RE33!$N$7:$N$874,I52,BS_RE33!$P$7:$P$874,'30 days CF Table(USD)'!G52,BS_RE33!$F$7:$F$874,'30 days CF Table(USD)'!$C$2)</f>
        <v>0</v>
      </c>
      <c r="P52" s="337">
        <f>SUMIFS(BS_RE33!$H$7:$H$874,BS_RE33!$S$7:$S$874,$P$2,BS_RE33!$N$7:$N$874,I52,BS_RE33!$P$7:$P$874,'30 days CF Table(USD)'!G52,BS_RE33!$F$7:$F$874,'30 days CF Table(USD)'!$C$2)</f>
        <v>0</v>
      </c>
      <c r="Q52" s="337">
        <f>SUMIFS(BS_RE33!$H$7:$H$874,BS_RE33!$S$7:$S$874,$Q$2,BS_RE33!$N$7:$N$874,I52,BS_RE33!$P$7:$P$874,'30 days CF Table(USD)'!G52,BS_RE33!$F$7:$F$874,'30 days CF Table(USD)'!$C$2)</f>
        <v>0</v>
      </c>
      <c r="R52" s="337">
        <f>SUMIFS(BS_RE33!$H$7:$H$874,BS_RE33!$S$7:$S$874,$R$2,BS_RE33!$N$7:$N$874,I52,BS_RE33!$P$7:$P$874,'30 days CF Table(USD)'!G52,BS_RE33!$F$7:$F$874,'30 days CF Table(USD)'!$C$2)</f>
        <v>0</v>
      </c>
      <c r="S52" s="337">
        <f>SUMIFS(BS_RE33!$H$7:$H$874,BS_RE33!$S$7:$S$874,$S$2,BS_RE33!$N$7:$N$874,I52,BS_RE33!$P$7:$P$874,'30 days CF Table(USD)'!G52,BS_RE33!$F$7:$F$874,'30 days CF Table(USD)'!$C$2)</f>
        <v>0</v>
      </c>
      <c r="T52" s="337">
        <f>SUMIFS(BS_RE33!$H$7:$H$874,BS_RE33!$S$7:$S$874,$T$2,BS_RE33!$N$7:$N$874,I52,BS_RE33!$P$7:$P$874,'30 days CF Table(USD)'!G52,BS_RE33!$F$7:$F$874,'30 days CF Table(USD)'!$C$2)</f>
        <v>0</v>
      </c>
      <c r="U52" s="337">
        <f>SUMIFS(BS_RE33!$H$7:$H$874,BS_RE33!$S$7:$S$874,$U$2,BS_RE33!$N$7:$N$874,I52,BS_RE33!$P$7:$P$874,'30 days CF Table(USD)'!G52,BS_RE33!$F$7:$F$874,'30 days CF Table(USD)'!$C$2)</f>
        <v>0</v>
      </c>
      <c r="V52" s="337">
        <f>SUMIFS(BS_RE33!$H$7:$H$874,BS_RE33!$S$7:$S$874,$V$2,BS_RE33!$N$7:$N$874,I52,BS_RE33!$P$7:$P$874,'30 days CF Table(USD)'!G52,BS_RE33!$F$7:$F$874,'30 days CF Table(USD)'!$C$2)</f>
        <v>0</v>
      </c>
      <c r="W52" s="337">
        <f>SUMIFS(BS_RE33!$H$7:$H$874,BS_RE33!$S$7:$S$874,$W$2,BS_RE33!$N$7:$N$874,I52,BS_RE33!$P$7:$P$874,'30 days CF Table(USD)'!G52,BS_RE33!$F$7:$F$874,'30 days CF Table(USD)'!$C$2)</f>
        <v>0</v>
      </c>
      <c r="X52" s="337">
        <f>SUMIFS(BS_RE33!$H$7:$H$874,BS_RE33!$S$7:$S$874,$X$2,BS_RE33!$N$7:$N$874,I52,BS_RE33!$P$7:$P$874,'30 days CF Table(USD)'!G52,BS_RE33!$F$7:$F$874,'30 days CF Table(USD)'!$C$2)</f>
        <v>0</v>
      </c>
      <c r="Y52" s="337">
        <f>SUMIFS(BS_RE33!$H$7:$H$874,BS_RE33!$S$7:$S$874,$Y$2,BS_RE33!$N$7:$N$874,I52,BS_RE33!$P$7:$P$874,'30 days CF Table(USD)'!G52,BS_RE33!$F$7:$F$874,'30 days CF Table(USD)'!$C$2)</f>
        <v>0</v>
      </c>
      <c r="Z52" s="337">
        <f>SUMIFS(BS_RE33!$H$7:$H$874,BS_RE33!$S$7:$S$874,$Z$2,BS_RE33!$N$7:$N$874,I52,BS_RE33!$P$7:$P$874,'30 days CF Table(USD)'!G52,BS_RE33!$F$7:$F$874,'30 days CF Table(USD)'!$C$2)</f>
        <v>0</v>
      </c>
      <c r="AA52" s="337">
        <f>SUMIFS(BS_RE33!$H$7:$H$874,BS_RE33!$S$7:$S$874,$AA$2,BS_RE33!$N$7:$N$874,I52,BS_RE33!$P$7:$P$874,'30 days CF Table(USD)'!G52,BS_RE33!$F$7:$F$874,'30 days CF Table(USD)'!$C$2)</f>
        <v>0</v>
      </c>
      <c r="AB52" s="337">
        <f>SUMIFS(BS_RE33!$H$7:$H$874,BS_RE33!$S$7:$S$874,$AB$2,BS_RE33!$N$7:$N$874,I52,BS_RE33!$P$7:$P$874,'30 days CF Table(USD)'!G52,BS_RE33!$F$7:$F$874,'30 days CF Table(USD)'!$C$2)</f>
        <v>0</v>
      </c>
      <c r="AC52" s="337">
        <f>SUMIFS(BS_RE33!$H$7:$H$874,BS_RE33!$S$7:$S$874,$AC$2,BS_RE33!$N$7:$N$874,I52,BS_RE33!$P$7:$P$874,'30 days CF Table(USD)'!G52,BS_RE33!$F$7:$F$874,'30 days CF Table(USD)'!$C$2)</f>
        <v>0</v>
      </c>
      <c r="AD52" s="337">
        <f>SUMIFS(BS_RE33!$H$7:$H$874,BS_RE33!$S$7:$S$874,$AD$2,BS_RE33!$N$7:$N$874,I52,BS_RE33!$P$7:$P$874,'30 days CF Table(USD)'!G52,BS_RE33!$F$7:$F$874,'30 days CF Table(USD)'!$C$2)</f>
        <v>0</v>
      </c>
      <c r="AE52" s="337">
        <f>SUMIFS(BS_RE33!$H$7:$H$874,BS_RE33!$S$7:$S$874,$AE$2,BS_RE33!$N$7:$N$874,I52,BS_RE33!$P$7:$P$874,'30 days CF Table(USD)'!G52,BS_RE33!$F$7:$F$874,'30 days CF Table(USD)'!$C$2)</f>
        <v>0</v>
      </c>
      <c r="AF52" s="337">
        <f>SUMIFS(BS_RE33!$H$7:$H$874,BS_RE33!$S$7:$S$874,$AF$2,BS_RE33!$N$7:$N$874,I52,BS_RE33!$P$7:$P$874,'30 days CF Table(USD)'!G52,BS_RE33!$F$7:$F$874,'30 days CF Table(USD)'!$C$2)</f>
        <v>0</v>
      </c>
      <c r="AG52" s="337">
        <f>SUMIFS(BS_RE33!$H$7:$H$874,BS_RE33!$S$7:$S$874,$AG$2,BS_RE33!$N$7:$N$874,I52,BS_RE33!$P$7:$P$874,'30 days CF Table(USD)'!G52,BS_RE33!$F$7:$F$874,'30 days CF Table(USD)'!$C$2)</f>
        <v>0</v>
      </c>
      <c r="AH52" s="337">
        <f>SUMIFS(BS_RE33!$H$7:$H$874,BS_RE33!$S$7:$S$874,$AH$2,BS_RE33!$N$7:$N$874,I52,BS_RE33!$P$7:$P$874,'30 days CF Table(USD)'!G52,BS_RE33!$F$7:$F$874,'30 days CF Table(USD)'!$C$2)</f>
        <v>0</v>
      </c>
      <c r="AI52" s="337">
        <f>SUMIFS(BS_RE33!$H$7:$H$874,BS_RE33!$S$7:$S$874,$AI$2,BS_RE33!$N$7:$N$874,I52,BS_RE33!$P$7:$P$874,'30 days CF Table(USD)'!G52,BS_RE33!$F$7:$F$874,'30 days CF Table(USD)'!$C$2)</f>
        <v>0</v>
      </c>
      <c r="AJ52" s="337">
        <f>SUMIFS(BS_RE33!$H$7:$H$874,BS_RE33!$S$7:$S$874,$AJ$2,BS_RE33!$N$7:$N$874,I52,BS_RE33!$P$7:$P$874,'30 days CF Table(USD)'!G52,BS_RE33!$F$7:$F$874,'30 days CF Table(USD)'!$C$2)</f>
        <v>0</v>
      </c>
      <c r="AK52" s="337">
        <f>SUMIFS(BS_RE33!$H$7:$H$874,BS_RE33!$S$7:$S$874,$AK$2,BS_RE33!$N$7:$N$874,I52,BS_RE33!$P$7:$P$874,'30 days CF Table(USD)'!G52,BS_RE33!$F$7:$F$874,'30 days CF Table(USD)'!$C$2)</f>
        <v>0</v>
      </c>
      <c r="AL52" s="337">
        <f>SUMIFS(BS_RE33!$H$7:$H$874,BS_RE33!$S$7:$S$874,$AL$2,BS_RE33!$N$7:$N$874,I52,BS_RE33!$P$7:$P$874,'30 days CF Table(USD)'!G52,BS_RE33!$F$7:$F$874,'30 days CF Table(USD)'!$C$2)</f>
        <v>0</v>
      </c>
      <c r="AM52" s="337">
        <f>SUMIFS(BS_RE33!$H$7:$H$874,BS_RE33!$S$7:$S$874,$AM$2,BS_RE33!$N$7:$N$874,I52,BS_RE33!$P$7:$P$874,'30 days CF Table(USD)'!G52,BS_RE33!$F$7:$F$874,'30 days CF Table(USD)'!$C$2)</f>
        <v>0</v>
      </c>
      <c r="AN52" s="337">
        <f>SUMIFS(BS_RE33!$H$7:$H$874,BS_RE33!$S$7:$S$874,$AN$2,BS_RE33!$N$7:$N$874,I52,BS_RE33!$P$7:$P$874,'30 days CF Table(USD)'!G52,BS_RE33!$F$7:$F$874,'30 days CF Table(USD)'!$C$2)</f>
        <v>0</v>
      </c>
      <c r="AO52" s="337">
        <f>SUMIFS(BS_RE33!$H$7:$H$874,BS_RE33!$S$7:$S$874,$AO$2,BS_RE33!$N$7:$N$874,I52,BS_RE33!$P$7:$P$874,'30 days CF Table(USD)'!G52,BS_RE33!$F$7:$F$874,'30 days CF Table(USD)'!$C$2)</f>
        <v>0</v>
      </c>
      <c r="AP52" s="338">
        <f>SUMIFS(BS_RE33!$H$7:$H$874,BS_RE33!$S$7:$S$874,$AP$2,BS_RE33!$N$7:$N$874,I52,BS_RE33!$P$7:$P$874,'30 days CF Table(USD)'!G52,BS_RE33!$F$7:$F$874,'30 days CF Table(USD)'!$C$2)</f>
        <v>0</v>
      </c>
      <c r="AR52" s="379">
        <f>SUMIFS(BS_RE33!$H$7:$H$874,BS_RE33!$S$7:$S$874,$AR$2,BS_RE33!$N$7:$N$874,I52,BS_RE33!$P$7:$P$874,'30 days CF Table(USD)'!G52,BS_RE33!$F$7:$F$874,'30 days CF Table(USD)'!$C$2)</f>
        <v>0</v>
      </c>
      <c r="AS52" s="379">
        <f>SUMIFS(BS_RE33!$H$7:$H$874,BS_RE33!$S$7:$S$874,$AS$2,BS_RE33!$N$7:$N$874,I52,BS_RE33!$P$7:$P$874,'30 days CF Table(USD)'!G52,BS_RE33!$F$7:$F$874,'30 days CF Table(USD)'!$C$2)</f>
        <v>0</v>
      </c>
      <c r="AT52" s="379">
        <f>SUMIFS(BS_RE33!$H$7:$H$874,BS_RE33!$S$7:$S$874,$AT$2,BS_RE33!$N$7:$N$874,I52,BS_RE33!$P$7:$P$874,'30 days CF Table(USD)'!G52,BS_RE33!$F$7:$F$874,'30 days CF Table(USD)'!$C$2)</f>
        <v>0</v>
      </c>
      <c r="AU52" s="379">
        <f>SUMIFS(BS_RE33!$H$7:$H$874,BS_RE33!$S$7:$S$874,$AU$2,BS_RE33!$N$7:$N$874,I52,BS_RE33!$P$7:$P$874,'30 days CF Table(USD)'!G52,BS_RE33!$F$7:$F$874,'30 days CF Table(USD)'!$C$2)</f>
        <v>0</v>
      </c>
      <c r="AV52" s="379">
        <f>SUMIFS(BS_RE33!$H$7:$H$874,BS_RE33!$S$7:$S$874,$AV$2,BS_RE33!$N$7:$N$874,I52,BS_RE33!$P$7:$P$874,'30 days CF Table(USD)'!G52,BS_RE33!$F$7:$F$874,'30 days CF Table(USD)'!$C$2)</f>
        <v>0</v>
      </c>
      <c r="AW52" s="379">
        <f>SUMIFS(BS_RE33!$H$7:$H$874,BS_RE33!$S$7:$S$874,$AW$2,BS_RE33!$N$7:$N$874,I52,BS_RE33!$P$7:$P$874,'30 days CF Table(USD)'!G52,BS_RE33!$F$7:$F$874,'30 days CF Table(USD)'!$C$2)</f>
        <v>0</v>
      </c>
      <c r="AX52" s="379">
        <f>SUMIFS(BS_RE33!$H$7:$H$874,BS_RE33!$S$7:$S$874,$AX$2,BS_RE33!$N$7:$N$874,I52,BS_RE33!$P$7:$P$874,'30 days CF Table(USD)'!G52,BS_RE33!$F$7:$F$874,'30 days CF Table(USD)'!$C$2)</f>
        <v>0</v>
      </c>
      <c r="AY52" s="379">
        <f>SUMIFS(BS_RE33!$H$7:$H$874,BS_RE33!$S$7:$S$874,$AY$2,BS_RE33!$N$7:$N$874,I52,BS_RE33!$P$7:$P$874,'30 days CF Table(USD)'!G52,BS_RE33!$F$7:$F$874,'30 days CF Table(USD)'!$C$2)</f>
        <v>0</v>
      </c>
      <c r="AZ52" s="379">
        <f>SUMIFS(BS_RE33!$H$7:$H$874,BS_RE33!$S$7:$S$874,$AZ$2,BS_RE33!$N$7:$N$874,I52,BS_RE33!$P$7:$P$874,'30 days CF Table(USD)'!G52,BS_RE33!$F$7:$F$874,'30 days CF Table(USD)'!$C$2)</f>
        <v>0</v>
      </c>
      <c r="BA52" s="379">
        <f>SUMIFS(BS_RE33!$H$7:$H$874,BS_RE33!$S$7:$S$874,$BA$2,BS_RE33!$N$7:$N$874,I52,BS_RE33!$P$7:$P$874,'30 days CF Table(USD)'!G52,BS_RE33!$F$7:$F$874,'30 days CF Table(USD)'!$C$2)</f>
        <v>0</v>
      </c>
      <c r="BB52" s="379">
        <f>SUMIFS(BS_RE33!$H$7:$H$874,BS_RE33!$S$7:$S$874,$BB$2,BS_RE33!$N$7:$N$874,I52,BS_RE33!$P$7:$P$874,'30 days CF Table(USD)'!G52,BS_RE33!$F$7:$F$874,'30 days CF Table(USD)'!$C$2)</f>
        <v>0</v>
      </c>
      <c r="BC52" s="379">
        <f>SUMIFS(BS_RE33!$H$7:$H$874,BS_RE33!$S$7:$S$874,$BC$2,BS_RE33!$N$7:$N$874,I52,BS_RE33!$P$7:$P$874,'30 days CF Table(USD)'!G52,BS_RE33!$F$7:$F$874,'30 days CF Table(USD)'!$C$2)</f>
        <v>0</v>
      </c>
      <c r="BD52" s="379">
        <f>SUMIFS(BS_RE33!$H$7:$H$874,BS_RE33!$S$7:$S$874,$BD$2,BS_RE33!$N$7:$N$874,I52,BS_RE33!$P$7:$P$874,'30 days CF Table(USD)'!G52,BS_RE33!$F$7:$F$874,'30 days CF Table(USD)'!$C$2)</f>
        <v>0</v>
      </c>
      <c r="BE52" s="379">
        <f>SUMIFS(BS_RE33!$H$7:$H$874,BS_RE33!$S$7:$S$874,$BE$2,BS_RE33!$N$7:$N$874,I52,BS_RE33!$P$7:$P$874,'30 days CF Table(USD)'!G52,BS_RE33!$F$7:$F$874,'30 days CF Table(USD)'!$C$2)</f>
        <v>0</v>
      </c>
      <c r="BF52" s="379">
        <f>SUMIFS(BS_RE33!$H$7:$H$874,BS_RE33!$S$7:$S$874,$BF$2,BS_RE33!$N$7:$N$874,I52,BS_RE33!$P$7:$P$874,'30 days CF Table(USD)'!G52,BS_RE33!$F$7:$F$874,'30 days CF Table(USD)'!$C$2)</f>
        <v>0</v>
      </c>
      <c r="BG52" s="379">
        <f>SUMIFS(BS_RE33!$H$7:$H$874,BS_RE33!$S$7:$S$874,$BG$2,BS_RE33!$N$7:$N$874,I52,BS_RE33!$P$7:$P$874,'30 days CF Table(USD)'!G52,BS_RE33!$F$7:$F$874,'30 days CF Table(USD)'!$C$2)</f>
        <v>0</v>
      </c>
      <c r="BH52" s="379">
        <f>SUMIFS(BS_RE33!$H$7:$H$874,BS_RE33!$S$7:$S$874,$BH$2,BS_RE33!$N$7:$N$874,I52,BS_RE33!$P$7:$P$874,'30 days CF Table(USD)'!G52,BS_RE33!$F$7:$F$874,'30 days CF Table(USD)'!$C$2)</f>
        <v>0</v>
      </c>
      <c r="BI52" s="379">
        <f>SUMIFS(BS_RE33!$H$7:$H$874,BS_RE33!$S$7:$S$874,$BI$2,BS_RE33!$N$7:$N$874,I52,BS_RE33!$P$7:$P$874,'30 days CF Table(USD)'!G52,BS_RE33!$F$7:$F$874,'30 days CF Table(USD)'!$C$2)</f>
        <v>0</v>
      </c>
      <c r="BJ52" s="379">
        <f>SUMIFS(BS_RE33!$H$7:$H$874,BS_RE33!$S$7:$S$874,$BJ$2,BS_RE33!$N$7:$N$874,I52,BS_RE33!$P$7:$P$874,'30 days CF Table(USD)'!G52,BS_RE33!$F$7:$F$874,'30 days CF Table(USD)'!$C$2)</f>
        <v>0</v>
      </c>
      <c r="BK52" s="379">
        <f>SUMIFS(BS_RE33!$H$7:$H$874,BS_RE33!$S$7:$S$874,$BK$2,BS_RE33!$N$7:$N$874,I52,BS_RE33!$P$7:$P$874,'30 days CF Table(USD)'!G52,BS_RE33!$F$7:$F$874,'30 days CF Table(USD)'!$C$2)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Table(USD)'!G53,BS_RE33!$F$7:$F$874,'30 days CF Table(USD)'!$C$2)</f>
        <v>0</v>
      </c>
      <c r="M53" s="337">
        <f>SUMIFS(BS_RE33!$H$7:$H$874,BS_RE33!$S$7:$S$874,$M$2,BS_RE33!$N$7:$N$874,I53,BS_RE33!$P$7:$P$874,'30 days CF Table(USD)'!G53,BS_RE33!$F$7:$F$874,'30 days CF Table(USD)'!$C$2)</f>
        <v>0</v>
      </c>
      <c r="N53" s="337">
        <f>SUMIFS(BS_RE33!$H$7:$H$874,BS_RE33!$S$7:$S$874,$N$2,BS_RE33!$N$7:$N$874,I53,BS_RE33!$P$7:$P$874,'30 days CF Table(USD)'!G53,BS_RE33!$F$7:$F$874,'30 days CF Table(USD)'!$C$2)</f>
        <v>0</v>
      </c>
      <c r="O53" s="337">
        <f>SUMIFS(BS_RE33!$H$7:$H$874,BS_RE33!$S$7:$S$874,$O$2,BS_RE33!$N$7:$N$874,I53,BS_RE33!$P$7:$P$874,'30 days CF Table(USD)'!G53,BS_RE33!$F$7:$F$874,'30 days CF Table(USD)'!$C$2)</f>
        <v>0</v>
      </c>
      <c r="P53" s="337">
        <f>SUMIFS(BS_RE33!$H$7:$H$874,BS_RE33!$S$7:$S$874,$P$2,BS_RE33!$N$7:$N$874,I53,BS_RE33!$P$7:$P$874,'30 days CF Table(USD)'!G53,BS_RE33!$F$7:$F$874,'30 days CF Table(USD)'!$C$2)</f>
        <v>0</v>
      </c>
      <c r="Q53" s="337">
        <f>SUMIFS(BS_RE33!$H$7:$H$874,BS_RE33!$S$7:$S$874,$Q$2,BS_RE33!$N$7:$N$874,I53,BS_RE33!$P$7:$P$874,'30 days CF Table(USD)'!G53,BS_RE33!$F$7:$F$874,'30 days CF Table(USD)'!$C$2)</f>
        <v>0</v>
      </c>
      <c r="R53" s="337">
        <f>SUMIFS(BS_RE33!$H$7:$H$874,BS_RE33!$S$7:$S$874,$R$2,BS_RE33!$N$7:$N$874,I53,BS_RE33!$P$7:$P$874,'30 days CF Table(USD)'!G53,BS_RE33!$F$7:$F$874,'30 days CF Table(USD)'!$C$2)</f>
        <v>0</v>
      </c>
      <c r="S53" s="337">
        <f>SUMIFS(BS_RE33!$H$7:$H$874,BS_RE33!$S$7:$S$874,$S$2,BS_RE33!$N$7:$N$874,I53,BS_RE33!$P$7:$P$874,'30 days CF Table(USD)'!G53,BS_RE33!$F$7:$F$874,'30 days CF Table(USD)'!$C$2)</f>
        <v>0</v>
      </c>
      <c r="T53" s="337">
        <f>SUMIFS(BS_RE33!$H$7:$H$874,BS_RE33!$S$7:$S$874,$T$2,BS_RE33!$N$7:$N$874,I53,BS_RE33!$P$7:$P$874,'30 days CF Table(USD)'!G53,BS_RE33!$F$7:$F$874,'30 days CF Table(USD)'!$C$2)</f>
        <v>0</v>
      </c>
      <c r="U53" s="337">
        <f>SUMIFS(BS_RE33!$H$7:$H$874,BS_RE33!$S$7:$S$874,$U$2,BS_RE33!$N$7:$N$874,I53,BS_RE33!$P$7:$P$874,'30 days CF Table(USD)'!G53,BS_RE33!$F$7:$F$874,'30 days CF Table(USD)'!$C$2)</f>
        <v>0</v>
      </c>
      <c r="V53" s="337">
        <f>SUMIFS(BS_RE33!$H$7:$H$874,BS_RE33!$S$7:$S$874,$V$2,BS_RE33!$N$7:$N$874,I53,BS_RE33!$P$7:$P$874,'30 days CF Table(USD)'!G53,BS_RE33!$F$7:$F$874,'30 days CF Table(USD)'!$C$2)</f>
        <v>0</v>
      </c>
      <c r="W53" s="337">
        <f>SUMIFS(BS_RE33!$H$7:$H$874,BS_RE33!$S$7:$S$874,$W$2,BS_RE33!$N$7:$N$874,I53,BS_RE33!$P$7:$P$874,'30 days CF Table(USD)'!G53,BS_RE33!$F$7:$F$874,'30 days CF Table(USD)'!$C$2)</f>
        <v>0</v>
      </c>
      <c r="X53" s="337">
        <f>SUMIFS(BS_RE33!$H$7:$H$874,BS_RE33!$S$7:$S$874,$X$2,BS_RE33!$N$7:$N$874,I53,BS_RE33!$P$7:$P$874,'30 days CF Table(USD)'!G53,BS_RE33!$F$7:$F$874,'30 days CF Table(USD)'!$C$2)</f>
        <v>0</v>
      </c>
      <c r="Y53" s="337">
        <f>SUMIFS(BS_RE33!$H$7:$H$874,BS_RE33!$S$7:$S$874,$Y$2,BS_RE33!$N$7:$N$874,I53,BS_RE33!$P$7:$P$874,'30 days CF Table(USD)'!G53,BS_RE33!$F$7:$F$874,'30 days CF Table(USD)'!$C$2)</f>
        <v>0</v>
      </c>
      <c r="Z53" s="337">
        <f>SUMIFS(BS_RE33!$H$7:$H$874,BS_RE33!$S$7:$S$874,$Z$2,BS_RE33!$N$7:$N$874,I53,BS_RE33!$P$7:$P$874,'30 days CF Table(USD)'!G53,BS_RE33!$F$7:$F$874,'30 days CF Table(USD)'!$C$2)</f>
        <v>0</v>
      </c>
      <c r="AA53" s="337">
        <f>SUMIFS(BS_RE33!$H$7:$H$874,BS_RE33!$S$7:$S$874,$AA$2,BS_RE33!$N$7:$N$874,I53,BS_RE33!$P$7:$P$874,'30 days CF Table(USD)'!G53,BS_RE33!$F$7:$F$874,'30 days CF Table(USD)'!$C$2)</f>
        <v>0</v>
      </c>
      <c r="AB53" s="337">
        <f>SUMIFS(BS_RE33!$H$7:$H$874,BS_RE33!$S$7:$S$874,$AB$2,BS_RE33!$N$7:$N$874,I53,BS_RE33!$P$7:$P$874,'30 days CF Table(USD)'!G53,BS_RE33!$F$7:$F$874,'30 days CF Table(USD)'!$C$2)</f>
        <v>0</v>
      </c>
      <c r="AC53" s="337">
        <f>SUMIFS(BS_RE33!$H$7:$H$874,BS_RE33!$S$7:$S$874,$AC$2,BS_RE33!$N$7:$N$874,I53,BS_RE33!$P$7:$P$874,'30 days CF Table(USD)'!G53,BS_RE33!$F$7:$F$874,'30 days CF Table(USD)'!$C$2)</f>
        <v>0</v>
      </c>
      <c r="AD53" s="337">
        <f>SUMIFS(BS_RE33!$H$7:$H$874,BS_RE33!$S$7:$S$874,$AD$2,BS_RE33!$N$7:$N$874,I53,BS_RE33!$P$7:$P$874,'30 days CF Table(USD)'!G53,BS_RE33!$F$7:$F$874,'30 days CF Table(USD)'!$C$2)</f>
        <v>0</v>
      </c>
      <c r="AE53" s="337">
        <f>SUMIFS(BS_RE33!$H$7:$H$874,BS_RE33!$S$7:$S$874,$AE$2,BS_RE33!$N$7:$N$874,I53,BS_RE33!$P$7:$P$874,'30 days CF Table(USD)'!G53,BS_RE33!$F$7:$F$874,'30 days CF Table(USD)'!$C$2)</f>
        <v>0</v>
      </c>
      <c r="AF53" s="337">
        <f>SUMIFS(BS_RE33!$H$7:$H$874,BS_RE33!$S$7:$S$874,$AF$2,BS_RE33!$N$7:$N$874,I53,BS_RE33!$P$7:$P$874,'30 days CF Table(USD)'!G53,BS_RE33!$F$7:$F$874,'30 days CF Table(USD)'!$C$2)</f>
        <v>0</v>
      </c>
      <c r="AG53" s="337">
        <f>SUMIFS(BS_RE33!$H$7:$H$874,BS_RE33!$S$7:$S$874,$AG$2,BS_RE33!$N$7:$N$874,I53,BS_RE33!$P$7:$P$874,'30 days CF Table(USD)'!G53,BS_RE33!$F$7:$F$874,'30 days CF Table(USD)'!$C$2)</f>
        <v>0</v>
      </c>
      <c r="AH53" s="337">
        <f>SUMIFS(BS_RE33!$H$7:$H$874,BS_RE33!$S$7:$S$874,$AH$2,BS_RE33!$N$7:$N$874,I53,BS_RE33!$P$7:$P$874,'30 days CF Table(USD)'!G53,BS_RE33!$F$7:$F$874,'30 days CF Table(USD)'!$C$2)</f>
        <v>0</v>
      </c>
      <c r="AI53" s="337">
        <f>SUMIFS(BS_RE33!$H$7:$H$874,BS_RE33!$S$7:$S$874,$AI$2,BS_RE33!$N$7:$N$874,I53,BS_RE33!$P$7:$P$874,'30 days CF Table(USD)'!G53,BS_RE33!$F$7:$F$874,'30 days CF Table(USD)'!$C$2)</f>
        <v>0</v>
      </c>
      <c r="AJ53" s="337">
        <f>SUMIFS(BS_RE33!$H$7:$H$874,BS_RE33!$S$7:$S$874,$AJ$2,BS_RE33!$N$7:$N$874,I53,BS_RE33!$P$7:$P$874,'30 days CF Table(USD)'!G53,BS_RE33!$F$7:$F$874,'30 days CF Table(USD)'!$C$2)</f>
        <v>0</v>
      </c>
      <c r="AK53" s="337">
        <f>SUMIFS(BS_RE33!$H$7:$H$874,BS_RE33!$S$7:$S$874,$AK$2,BS_RE33!$N$7:$N$874,I53,BS_RE33!$P$7:$P$874,'30 days CF Table(USD)'!G53,BS_RE33!$F$7:$F$874,'30 days CF Table(USD)'!$C$2)</f>
        <v>0</v>
      </c>
      <c r="AL53" s="337">
        <f>SUMIFS(BS_RE33!$H$7:$H$874,BS_RE33!$S$7:$S$874,$AL$2,BS_RE33!$N$7:$N$874,I53,BS_RE33!$P$7:$P$874,'30 days CF Table(USD)'!G53,BS_RE33!$F$7:$F$874,'30 days CF Table(USD)'!$C$2)</f>
        <v>0</v>
      </c>
      <c r="AM53" s="337">
        <f>SUMIFS(BS_RE33!$H$7:$H$874,BS_RE33!$S$7:$S$874,$AM$2,BS_RE33!$N$7:$N$874,I53,BS_RE33!$P$7:$P$874,'30 days CF Table(USD)'!G53,BS_RE33!$F$7:$F$874,'30 days CF Table(USD)'!$C$2)</f>
        <v>0</v>
      </c>
      <c r="AN53" s="337">
        <f>SUMIFS(BS_RE33!$H$7:$H$874,BS_RE33!$S$7:$S$874,$AN$2,BS_RE33!$N$7:$N$874,I53,BS_RE33!$P$7:$P$874,'30 days CF Table(USD)'!G53,BS_RE33!$F$7:$F$874,'30 days CF Table(USD)'!$C$2)</f>
        <v>0</v>
      </c>
      <c r="AO53" s="337">
        <f>SUMIFS(BS_RE33!$H$7:$H$874,BS_RE33!$S$7:$S$874,$AO$2,BS_RE33!$N$7:$N$874,I53,BS_RE33!$P$7:$P$874,'30 days CF Table(USD)'!G53,BS_RE33!$F$7:$F$874,'30 days CF Table(USD)'!$C$2)</f>
        <v>0</v>
      </c>
      <c r="AP53" s="338">
        <f>SUMIFS(BS_RE33!$H$7:$H$874,BS_RE33!$S$7:$S$874,$AP$2,BS_RE33!$N$7:$N$874,I53,BS_RE33!$P$7:$P$874,'30 days CF Table(USD)'!G53,BS_RE33!$F$7:$F$874,'30 days CF Table(USD)'!$C$2)</f>
        <v>0</v>
      </c>
      <c r="AR53" s="379">
        <f>SUMIFS(BS_RE33!$H$7:$H$874,BS_RE33!$S$7:$S$874,$AR$2,BS_RE33!$N$7:$N$874,I53,BS_RE33!$P$7:$P$874,'30 days CF Table(USD)'!G53,BS_RE33!$F$7:$F$874,'30 days CF Table(USD)'!$C$2)</f>
        <v>0</v>
      </c>
      <c r="AS53" s="379">
        <f>SUMIFS(BS_RE33!$H$7:$H$874,BS_RE33!$S$7:$S$874,$AS$2,BS_RE33!$N$7:$N$874,I53,BS_RE33!$P$7:$P$874,'30 days CF Table(USD)'!G53,BS_RE33!$F$7:$F$874,'30 days CF Table(USD)'!$C$2)</f>
        <v>0</v>
      </c>
      <c r="AT53" s="379">
        <f>SUMIFS(BS_RE33!$H$7:$H$874,BS_RE33!$S$7:$S$874,$AT$2,BS_RE33!$N$7:$N$874,I53,BS_RE33!$P$7:$P$874,'30 days CF Table(USD)'!G53,BS_RE33!$F$7:$F$874,'30 days CF Table(USD)'!$C$2)</f>
        <v>0</v>
      </c>
      <c r="AU53" s="379">
        <f>SUMIFS(BS_RE33!$H$7:$H$874,BS_RE33!$S$7:$S$874,$AU$2,BS_RE33!$N$7:$N$874,I53,BS_RE33!$P$7:$P$874,'30 days CF Table(USD)'!G53,BS_RE33!$F$7:$F$874,'30 days CF Table(USD)'!$C$2)</f>
        <v>0</v>
      </c>
      <c r="AV53" s="379">
        <f>SUMIFS(BS_RE33!$H$7:$H$874,BS_RE33!$S$7:$S$874,$AV$2,BS_RE33!$N$7:$N$874,I53,BS_RE33!$P$7:$P$874,'30 days CF Table(USD)'!G53,BS_RE33!$F$7:$F$874,'30 days CF Table(USD)'!$C$2)</f>
        <v>0</v>
      </c>
      <c r="AW53" s="379">
        <f>SUMIFS(BS_RE33!$H$7:$H$874,BS_RE33!$S$7:$S$874,$AW$2,BS_RE33!$N$7:$N$874,I53,BS_RE33!$P$7:$P$874,'30 days CF Table(USD)'!G53,BS_RE33!$F$7:$F$874,'30 days CF Table(USD)'!$C$2)</f>
        <v>0</v>
      </c>
      <c r="AX53" s="379">
        <f>SUMIFS(BS_RE33!$H$7:$H$874,BS_RE33!$S$7:$S$874,$AX$2,BS_RE33!$N$7:$N$874,I53,BS_RE33!$P$7:$P$874,'30 days CF Table(USD)'!G53,BS_RE33!$F$7:$F$874,'30 days CF Table(USD)'!$C$2)</f>
        <v>0</v>
      </c>
      <c r="AY53" s="379">
        <f>SUMIFS(BS_RE33!$H$7:$H$874,BS_RE33!$S$7:$S$874,$AY$2,BS_RE33!$N$7:$N$874,I53,BS_RE33!$P$7:$P$874,'30 days CF Table(USD)'!G53,BS_RE33!$F$7:$F$874,'30 days CF Table(USD)'!$C$2)</f>
        <v>0</v>
      </c>
      <c r="AZ53" s="379">
        <f>SUMIFS(BS_RE33!$H$7:$H$874,BS_RE33!$S$7:$S$874,$AZ$2,BS_RE33!$N$7:$N$874,I53,BS_RE33!$P$7:$P$874,'30 days CF Table(USD)'!G53,BS_RE33!$F$7:$F$874,'30 days CF Table(USD)'!$C$2)</f>
        <v>0</v>
      </c>
      <c r="BA53" s="379">
        <f>SUMIFS(BS_RE33!$H$7:$H$874,BS_RE33!$S$7:$S$874,$BA$2,BS_RE33!$N$7:$N$874,I53,BS_RE33!$P$7:$P$874,'30 days CF Table(USD)'!G53,BS_RE33!$F$7:$F$874,'30 days CF Table(USD)'!$C$2)</f>
        <v>0</v>
      </c>
      <c r="BB53" s="379">
        <f>SUMIFS(BS_RE33!$H$7:$H$874,BS_RE33!$S$7:$S$874,$BB$2,BS_RE33!$N$7:$N$874,I53,BS_RE33!$P$7:$P$874,'30 days CF Table(USD)'!G53,BS_RE33!$F$7:$F$874,'30 days CF Table(USD)'!$C$2)</f>
        <v>0</v>
      </c>
      <c r="BC53" s="379">
        <f>SUMIFS(BS_RE33!$H$7:$H$874,BS_RE33!$S$7:$S$874,$BC$2,BS_RE33!$N$7:$N$874,I53,BS_RE33!$P$7:$P$874,'30 days CF Table(USD)'!G53,BS_RE33!$F$7:$F$874,'30 days CF Table(USD)'!$C$2)</f>
        <v>0</v>
      </c>
      <c r="BD53" s="379">
        <f>SUMIFS(BS_RE33!$H$7:$H$874,BS_RE33!$S$7:$S$874,$BD$2,BS_RE33!$N$7:$N$874,I53,BS_RE33!$P$7:$P$874,'30 days CF Table(USD)'!G53,BS_RE33!$F$7:$F$874,'30 days CF Table(USD)'!$C$2)</f>
        <v>0</v>
      </c>
      <c r="BE53" s="379">
        <f>SUMIFS(BS_RE33!$H$7:$H$874,BS_RE33!$S$7:$S$874,$BE$2,BS_RE33!$N$7:$N$874,I53,BS_RE33!$P$7:$P$874,'30 days CF Table(USD)'!G53,BS_RE33!$F$7:$F$874,'30 days CF Table(USD)'!$C$2)</f>
        <v>0</v>
      </c>
      <c r="BF53" s="379">
        <f>SUMIFS(BS_RE33!$H$7:$H$874,BS_RE33!$S$7:$S$874,$BF$2,BS_RE33!$N$7:$N$874,I53,BS_RE33!$P$7:$P$874,'30 days CF Table(USD)'!G53,BS_RE33!$F$7:$F$874,'30 days CF Table(USD)'!$C$2)</f>
        <v>0</v>
      </c>
      <c r="BG53" s="379">
        <f>SUMIFS(BS_RE33!$H$7:$H$874,BS_RE33!$S$7:$S$874,$BG$2,BS_RE33!$N$7:$N$874,I53,BS_RE33!$P$7:$P$874,'30 days CF Table(USD)'!G53,BS_RE33!$F$7:$F$874,'30 days CF Table(USD)'!$C$2)</f>
        <v>0</v>
      </c>
      <c r="BH53" s="379">
        <f>SUMIFS(BS_RE33!$H$7:$H$874,BS_RE33!$S$7:$S$874,$BH$2,BS_RE33!$N$7:$N$874,I53,BS_RE33!$P$7:$P$874,'30 days CF Table(USD)'!G53,BS_RE33!$F$7:$F$874,'30 days CF Table(USD)'!$C$2)</f>
        <v>0</v>
      </c>
      <c r="BI53" s="379">
        <f>SUMIFS(BS_RE33!$H$7:$H$874,BS_RE33!$S$7:$S$874,$BI$2,BS_RE33!$N$7:$N$874,I53,BS_RE33!$P$7:$P$874,'30 days CF Table(USD)'!G53,BS_RE33!$F$7:$F$874,'30 days CF Table(USD)'!$C$2)</f>
        <v>0</v>
      </c>
      <c r="BJ53" s="379">
        <f>SUMIFS(BS_RE33!$H$7:$H$874,BS_RE33!$S$7:$S$874,$BJ$2,BS_RE33!$N$7:$N$874,I53,BS_RE33!$P$7:$P$874,'30 days CF Table(USD)'!G53,BS_RE33!$F$7:$F$874,'30 days CF Table(USD)'!$C$2)</f>
        <v>0</v>
      </c>
      <c r="BK53" s="379">
        <f>SUMIFS(BS_RE33!$H$7:$H$874,BS_RE33!$S$7:$S$874,$BK$2,BS_RE33!$N$7:$N$874,I53,BS_RE33!$P$7:$P$874,'30 days CF Table(USD)'!G53,BS_RE33!$F$7:$F$874,'30 days CF Table(USD)'!$C$2)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Table(USD)'!G54,BS_RE33!$F$7:$F$874,'30 days CF Table(USD)'!$C$2)</f>
        <v>0</v>
      </c>
      <c r="M54" s="337">
        <f>SUMIFS(BS_RE33!$H$7:$H$874,BS_RE33!$S$7:$S$874,$M$2,BS_RE33!$N$7:$N$874,I54,BS_RE33!$P$7:$P$874,'30 days CF Table(USD)'!G54,BS_RE33!$F$7:$F$874,'30 days CF Table(USD)'!$C$2)</f>
        <v>0</v>
      </c>
      <c r="N54" s="337">
        <f>SUMIFS(BS_RE33!$H$7:$H$874,BS_RE33!$S$7:$S$874,$N$2,BS_RE33!$N$7:$N$874,I54,BS_RE33!$P$7:$P$874,'30 days CF Table(USD)'!G54,BS_RE33!$F$7:$F$874,'30 days CF Table(USD)'!$C$2)</f>
        <v>0</v>
      </c>
      <c r="O54" s="337">
        <f>SUMIFS(BS_RE33!$H$7:$H$874,BS_RE33!$S$7:$S$874,$O$2,BS_RE33!$N$7:$N$874,I54,BS_RE33!$P$7:$P$874,'30 days CF Table(USD)'!G54,BS_RE33!$F$7:$F$874,'30 days CF Table(USD)'!$C$2)</f>
        <v>0</v>
      </c>
      <c r="P54" s="337">
        <f>SUMIFS(BS_RE33!$H$7:$H$874,BS_RE33!$S$7:$S$874,$P$2,BS_RE33!$N$7:$N$874,I54,BS_RE33!$P$7:$P$874,'30 days CF Table(USD)'!G54,BS_RE33!$F$7:$F$874,'30 days CF Table(USD)'!$C$2)</f>
        <v>0</v>
      </c>
      <c r="Q54" s="337">
        <f>SUMIFS(BS_RE33!$H$7:$H$874,BS_RE33!$S$7:$S$874,$Q$2,BS_RE33!$N$7:$N$874,I54,BS_RE33!$P$7:$P$874,'30 days CF Table(USD)'!G54,BS_RE33!$F$7:$F$874,'30 days CF Table(USD)'!$C$2)</f>
        <v>0</v>
      </c>
      <c r="R54" s="337">
        <f>SUMIFS(BS_RE33!$H$7:$H$874,BS_RE33!$S$7:$S$874,$R$2,BS_RE33!$N$7:$N$874,I54,BS_RE33!$P$7:$P$874,'30 days CF Table(USD)'!G54,BS_RE33!$F$7:$F$874,'30 days CF Table(USD)'!$C$2)</f>
        <v>0</v>
      </c>
      <c r="S54" s="337">
        <f>SUMIFS(BS_RE33!$H$7:$H$874,BS_RE33!$S$7:$S$874,$S$2,BS_RE33!$N$7:$N$874,I54,BS_RE33!$P$7:$P$874,'30 days CF Table(USD)'!G54,BS_RE33!$F$7:$F$874,'30 days CF Table(USD)'!$C$2)</f>
        <v>0</v>
      </c>
      <c r="T54" s="337">
        <f>SUMIFS(BS_RE33!$H$7:$H$874,BS_RE33!$S$7:$S$874,$T$2,BS_RE33!$N$7:$N$874,I54,BS_RE33!$P$7:$P$874,'30 days CF Table(USD)'!G54,BS_RE33!$F$7:$F$874,'30 days CF Table(USD)'!$C$2)</f>
        <v>0</v>
      </c>
      <c r="U54" s="337">
        <f>SUMIFS(BS_RE33!$H$7:$H$874,BS_RE33!$S$7:$S$874,$U$2,BS_RE33!$N$7:$N$874,I54,BS_RE33!$P$7:$P$874,'30 days CF Table(USD)'!G54,BS_RE33!$F$7:$F$874,'30 days CF Table(USD)'!$C$2)</f>
        <v>0</v>
      </c>
      <c r="V54" s="337">
        <f>SUMIFS(BS_RE33!$H$7:$H$874,BS_RE33!$S$7:$S$874,$V$2,BS_RE33!$N$7:$N$874,I54,BS_RE33!$P$7:$P$874,'30 days CF Table(USD)'!G54,BS_RE33!$F$7:$F$874,'30 days CF Table(USD)'!$C$2)</f>
        <v>0</v>
      </c>
      <c r="W54" s="337">
        <f>SUMIFS(BS_RE33!$H$7:$H$874,BS_RE33!$S$7:$S$874,$W$2,BS_RE33!$N$7:$N$874,I54,BS_RE33!$P$7:$P$874,'30 days CF Table(USD)'!G54,BS_RE33!$F$7:$F$874,'30 days CF Table(USD)'!$C$2)</f>
        <v>0</v>
      </c>
      <c r="X54" s="337">
        <f>SUMIFS(BS_RE33!$H$7:$H$874,BS_RE33!$S$7:$S$874,$X$2,BS_RE33!$N$7:$N$874,I54,BS_RE33!$P$7:$P$874,'30 days CF Table(USD)'!G54,BS_RE33!$F$7:$F$874,'30 days CF Table(USD)'!$C$2)</f>
        <v>0</v>
      </c>
      <c r="Y54" s="337">
        <f>SUMIFS(BS_RE33!$H$7:$H$874,BS_RE33!$S$7:$S$874,$Y$2,BS_RE33!$N$7:$N$874,I54,BS_RE33!$P$7:$P$874,'30 days CF Table(USD)'!G54,BS_RE33!$F$7:$F$874,'30 days CF Table(USD)'!$C$2)</f>
        <v>0</v>
      </c>
      <c r="Z54" s="337">
        <f>SUMIFS(BS_RE33!$H$7:$H$874,BS_RE33!$S$7:$S$874,$Z$2,BS_RE33!$N$7:$N$874,I54,BS_RE33!$P$7:$P$874,'30 days CF Table(USD)'!G54,BS_RE33!$F$7:$F$874,'30 days CF Table(USD)'!$C$2)</f>
        <v>0</v>
      </c>
      <c r="AA54" s="337">
        <f>SUMIFS(BS_RE33!$H$7:$H$874,BS_RE33!$S$7:$S$874,$AA$2,BS_RE33!$N$7:$N$874,I54,BS_RE33!$P$7:$P$874,'30 days CF Table(USD)'!G54,BS_RE33!$F$7:$F$874,'30 days CF Table(USD)'!$C$2)</f>
        <v>0</v>
      </c>
      <c r="AB54" s="337">
        <f>SUMIFS(BS_RE33!$H$7:$H$874,BS_RE33!$S$7:$S$874,$AB$2,BS_RE33!$N$7:$N$874,I54,BS_RE33!$P$7:$P$874,'30 days CF Table(USD)'!G54,BS_RE33!$F$7:$F$874,'30 days CF Table(USD)'!$C$2)</f>
        <v>0</v>
      </c>
      <c r="AC54" s="337">
        <f>SUMIFS(BS_RE33!$H$7:$H$874,BS_RE33!$S$7:$S$874,$AC$2,BS_RE33!$N$7:$N$874,I54,BS_RE33!$P$7:$P$874,'30 days CF Table(USD)'!G54,BS_RE33!$F$7:$F$874,'30 days CF Table(USD)'!$C$2)</f>
        <v>0</v>
      </c>
      <c r="AD54" s="337">
        <f>SUMIFS(BS_RE33!$H$7:$H$874,BS_RE33!$S$7:$S$874,$AD$2,BS_RE33!$N$7:$N$874,I54,BS_RE33!$P$7:$P$874,'30 days CF Table(USD)'!G54,BS_RE33!$F$7:$F$874,'30 days CF Table(USD)'!$C$2)</f>
        <v>0</v>
      </c>
      <c r="AE54" s="337">
        <f>SUMIFS(BS_RE33!$H$7:$H$874,BS_RE33!$S$7:$S$874,$AE$2,BS_RE33!$N$7:$N$874,I54,BS_RE33!$P$7:$P$874,'30 days CF Table(USD)'!G54,BS_RE33!$F$7:$F$874,'30 days CF Table(USD)'!$C$2)</f>
        <v>0</v>
      </c>
      <c r="AF54" s="337">
        <f>SUMIFS(BS_RE33!$H$7:$H$874,BS_RE33!$S$7:$S$874,$AF$2,BS_RE33!$N$7:$N$874,I54,BS_RE33!$P$7:$P$874,'30 days CF Table(USD)'!G54,BS_RE33!$F$7:$F$874,'30 days CF Table(USD)'!$C$2)</f>
        <v>0</v>
      </c>
      <c r="AG54" s="337">
        <f>SUMIFS(BS_RE33!$H$7:$H$874,BS_RE33!$S$7:$S$874,$AG$2,BS_RE33!$N$7:$N$874,I54,BS_RE33!$P$7:$P$874,'30 days CF Table(USD)'!G54,BS_RE33!$F$7:$F$874,'30 days CF Table(USD)'!$C$2)</f>
        <v>0</v>
      </c>
      <c r="AH54" s="337">
        <f>SUMIFS(BS_RE33!$H$7:$H$874,BS_RE33!$S$7:$S$874,$AH$2,BS_RE33!$N$7:$N$874,I54,BS_RE33!$P$7:$P$874,'30 days CF Table(USD)'!G54,BS_RE33!$F$7:$F$874,'30 days CF Table(USD)'!$C$2)</f>
        <v>0</v>
      </c>
      <c r="AI54" s="337">
        <f>SUMIFS(BS_RE33!$H$7:$H$874,BS_RE33!$S$7:$S$874,$AI$2,BS_RE33!$N$7:$N$874,I54,BS_RE33!$P$7:$P$874,'30 days CF Table(USD)'!G54,BS_RE33!$F$7:$F$874,'30 days CF Table(USD)'!$C$2)</f>
        <v>0</v>
      </c>
      <c r="AJ54" s="337">
        <f>SUMIFS(BS_RE33!$H$7:$H$874,BS_RE33!$S$7:$S$874,$AJ$2,BS_RE33!$N$7:$N$874,I54,BS_RE33!$P$7:$P$874,'30 days CF Table(USD)'!G54,BS_RE33!$F$7:$F$874,'30 days CF Table(USD)'!$C$2)</f>
        <v>0</v>
      </c>
      <c r="AK54" s="337">
        <f>SUMIFS(BS_RE33!$H$7:$H$874,BS_RE33!$S$7:$S$874,$AK$2,BS_RE33!$N$7:$N$874,I54,BS_RE33!$P$7:$P$874,'30 days CF Table(USD)'!G54,BS_RE33!$F$7:$F$874,'30 days CF Table(USD)'!$C$2)</f>
        <v>0</v>
      </c>
      <c r="AL54" s="337">
        <f>SUMIFS(BS_RE33!$H$7:$H$874,BS_RE33!$S$7:$S$874,$AL$2,BS_RE33!$N$7:$N$874,I54,BS_RE33!$P$7:$P$874,'30 days CF Table(USD)'!G54,BS_RE33!$F$7:$F$874,'30 days CF Table(USD)'!$C$2)</f>
        <v>0</v>
      </c>
      <c r="AM54" s="337">
        <f>SUMIFS(BS_RE33!$H$7:$H$874,BS_RE33!$S$7:$S$874,$AM$2,BS_RE33!$N$7:$N$874,I54,BS_RE33!$P$7:$P$874,'30 days CF Table(USD)'!G54,BS_RE33!$F$7:$F$874,'30 days CF Table(USD)'!$C$2)</f>
        <v>0</v>
      </c>
      <c r="AN54" s="337">
        <f>SUMIFS(BS_RE33!$H$7:$H$874,BS_RE33!$S$7:$S$874,$AN$2,BS_RE33!$N$7:$N$874,I54,BS_RE33!$P$7:$P$874,'30 days CF Table(USD)'!G54,BS_RE33!$F$7:$F$874,'30 days CF Table(USD)'!$C$2)</f>
        <v>0</v>
      </c>
      <c r="AO54" s="337">
        <f>SUMIFS(BS_RE33!$H$7:$H$874,BS_RE33!$S$7:$S$874,$AO$2,BS_RE33!$N$7:$N$874,I54,BS_RE33!$P$7:$P$874,'30 days CF Table(USD)'!G54,BS_RE33!$F$7:$F$874,'30 days CF Table(USD)'!$C$2)</f>
        <v>0</v>
      </c>
      <c r="AP54" s="338">
        <f>SUMIFS(BS_RE33!$H$7:$H$874,BS_RE33!$S$7:$S$874,$AP$2,BS_RE33!$N$7:$N$874,I54,BS_RE33!$P$7:$P$874,'30 days CF Table(USD)'!G54,BS_RE33!$F$7:$F$874,'30 days CF Table(USD)'!$C$2)</f>
        <v>0</v>
      </c>
      <c r="AR54" s="379">
        <f>SUMIFS(BS_RE33!$H$7:$H$874,BS_RE33!$S$7:$S$874,$AR$2,BS_RE33!$N$7:$N$874,I54,BS_RE33!$P$7:$P$874,'30 days CF Table(USD)'!G54,BS_RE33!$F$7:$F$874,'30 days CF Table(USD)'!$C$2)</f>
        <v>0</v>
      </c>
      <c r="AS54" s="379">
        <f>SUMIFS(BS_RE33!$H$7:$H$874,BS_RE33!$S$7:$S$874,$AS$2,BS_RE33!$N$7:$N$874,I54,BS_RE33!$P$7:$P$874,'30 days CF Table(USD)'!G54,BS_RE33!$F$7:$F$874,'30 days CF Table(USD)'!$C$2)</f>
        <v>0</v>
      </c>
      <c r="AT54" s="379">
        <f>SUMIFS(BS_RE33!$H$7:$H$874,BS_RE33!$S$7:$S$874,$AT$2,BS_RE33!$N$7:$N$874,I54,BS_RE33!$P$7:$P$874,'30 days CF Table(USD)'!G54,BS_RE33!$F$7:$F$874,'30 days CF Table(USD)'!$C$2)</f>
        <v>0</v>
      </c>
      <c r="AU54" s="379">
        <f>SUMIFS(BS_RE33!$H$7:$H$874,BS_RE33!$S$7:$S$874,$AU$2,BS_RE33!$N$7:$N$874,I54,BS_RE33!$P$7:$P$874,'30 days CF Table(USD)'!G54,BS_RE33!$F$7:$F$874,'30 days CF Table(USD)'!$C$2)</f>
        <v>0</v>
      </c>
      <c r="AV54" s="379">
        <f>SUMIFS(BS_RE33!$H$7:$H$874,BS_RE33!$S$7:$S$874,$AV$2,BS_RE33!$N$7:$N$874,I54,BS_RE33!$P$7:$P$874,'30 days CF Table(USD)'!G54,BS_RE33!$F$7:$F$874,'30 days CF Table(USD)'!$C$2)</f>
        <v>0</v>
      </c>
      <c r="AW54" s="379">
        <f>SUMIFS(BS_RE33!$H$7:$H$874,BS_RE33!$S$7:$S$874,$AW$2,BS_RE33!$N$7:$N$874,I54,BS_RE33!$P$7:$P$874,'30 days CF Table(USD)'!G54,BS_RE33!$F$7:$F$874,'30 days CF Table(USD)'!$C$2)</f>
        <v>0</v>
      </c>
      <c r="AX54" s="379">
        <f>SUMIFS(BS_RE33!$H$7:$H$874,BS_RE33!$S$7:$S$874,$AX$2,BS_RE33!$N$7:$N$874,I54,BS_RE33!$P$7:$P$874,'30 days CF Table(USD)'!G54,BS_RE33!$F$7:$F$874,'30 days CF Table(USD)'!$C$2)</f>
        <v>0</v>
      </c>
      <c r="AY54" s="379">
        <f>SUMIFS(BS_RE33!$H$7:$H$874,BS_RE33!$S$7:$S$874,$AY$2,BS_RE33!$N$7:$N$874,I54,BS_RE33!$P$7:$P$874,'30 days CF Table(USD)'!G54,BS_RE33!$F$7:$F$874,'30 days CF Table(USD)'!$C$2)</f>
        <v>0</v>
      </c>
      <c r="AZ54" s="379">
        <f>SUMIFS(BS_RE33!$H$7:$H$874,BS_RE33!$S$7:$S$874,$AZ$2,BS_RE33!$N$7:$N$874,I54,BS_RE33!$P$7:$P$874,'30 days CF Table(USD)'!G54,BS_RE33!$F$7:$F$874,'30 days CF Table(USD)'!$C$2)</f>
        <v>0</v>
      </c>
      <c r="BA54" s="379">
        <f>SUMIFS(BS_RE33!$H$7:$H$874,BS_RE33!$S$7:$S$874,$BA$2,BS_RE33!$N$7:$N$874,I54,BS_RE33!$P$7:$P$874,'30 days CF Table(USD)'!G54,BS_RE33!$F$7:$F$874,'30 days CF Table(USD)'!$C$2)</f>
        <v>0</v>
      </c>
      <c r="BB54" s="379">
        <f>SUMIFS(BS_RE33!$H$7:$H$874,BS_RE33!$S$7:$S$874,$BB$2,BS_RE33!$N$7:$N$874,I54,BS_RE33!$P$7:$P$874,'30 days CF Table(USD)'!G54,BS_RE33!$F$7:$F$874,'30 days CF Table(USD)'!$C$2)</f>
        <v>0</v>
      </c>
      <c r="BC54" s="379">
        <f>SUMIFS(BS_RE33!$H$7:$H$874,BS_RE33!$S$7:$S$874,$BC$2,BS_RE33!$N$7:$N$874,I54,BS_RE33!$P$7:$P$874,'30 days CF Table(USD)'!G54,BS_RE33!$F$7:$F$874,'30 days CF Table(USD)'!$C$2)</f>
        <v>0</v>
      </c>
      <c r="BD54" s="379">
        <f>SUMIFS(BS_RE33!$H$7:$H$874,BS_RE33!$S$7:$S$874,$BD$2,BS_RE33!$N$7:$N$874,I54,BS_RE33!$P$7:$P$874,'30 days CF Table(USD)'!G54,BS_RE33!$F$7:$F$874,'30 days CF Table(USD)'!$C$2)</f>
        <v>0</v>
      </c>
      <c r="BE54" s="379">
        <f>SUMIFS(BS_RE33!$H$7:$H$874,BS_RE33!$S$7:$S$874,$BE$2,BS_RE33!$N$7:$N$874,I54,BS_RE33!$P$7:$P$874,'30 days CF Table(USD)'!G54,BS_RE33!$F$7:$F$874,'30 days CF Table(USD)'!$C$2)</f>
        <v>0</v>
      </c>
      <c r="BF54" s="379">
        <f>SUMIFS(BS_RE33!$H$7:$H$874,BS_RE33!$S$7:$S$874,$BF$2,BS_RE33!$N$7:$N$874,I54,BS_RE33!$P$7:$P$874,'30 days CF Table(USD)'!G54,BS_RE33!$F$7:$F$874,'30 days CF Table(USD)'!$C$2)</f>
        <v>0</v>
      </c>
      <c r="BG54" s="379">
        <f>SUMIFS(BS_RE33!$H$7:$H$874,BS_RE33!$S$7:$S$874,$BG$2,BS_RE33!$N$7:$N$874,I54,BS_RE33!$P$7:$P$874,'30 days CF Table(USD)'!G54,BS_RE33!$F$7:$F$874,'30 days CF Table(USD)'!$C$2)</f>
        <v>0</v>
      </c>
      <c r="BH54" s="379">
        <f>SUMIFS(BS_RE33!$H$7:$H$874,BS_RE33!$S$7:$S$874,$BH$2,BS_RE33!$N$7:$N$874,I54,BS_RE33!$P$7:$P$874,'30 days CF Table(USD)'!G54,BS_RE33!$F$7:$F$874,'30 days CF Table(USD)'!$C$2)</f>
        <v>0</v>
      </c>
      <c r="BI54" s="379">
        <f>SUMIFS(BS_RE33!$H$7:$H$874,BS_RE33!$S$7:$S$874,$BI$2,BS_RE33!$N$7:$N$874,I54,BS_RE33!$P$7:$P$874,'30 days CF Table(USD)'!G54,BS_RE33!$F$7:$F$874,'30 days CF Table(USD)'!$C$2)</f>
        <v>0</v>
      </c>
      <c r="BJ54" s="379">
        <f>SUMIFS(BS_RE33!$H$7:$H$874,BS_RE33!$S$7:$S$874,$BJ$2,BS_RE33!$N$7:$N$874,I54,BS_RE33!$P$7:$P$874,'30 days CF Table(USD)'!G54,BS_RE33!$F$7:$F$874,'30 days CF Table(USD)'!$C$2)</f>
        <v>0</v>
      </c>
      <c r="BK54" s="379">
        <f>SUMIFS(BS_RE33!$H$7:$H$874,BS_RE33!$S$7:$S$874,$BK$2,BS_RE33!$N$7:$N$874,I54,BS_RE33!$P$7:$P$874,'30 days CF Table(USD)'!G54,BS_RE33!$F$7:$F$874,'30 days CF Table(USD)'!$C$2)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Table(USD)'!G55,BS_RE33!$F$7:$F$874,'30 days CF Table(USD)'!$C$2)</f>
        <v>0</v>
      </c>
      <c r="M55" s="337">
        <f>SUMIFS(BS_RE33!$H$7:$H$874,BS_RE33!$S$7:$S$874,$M$2,BS_RE33!$N$7:$N$874,I55,BS_RE33!$P$7:$P$874,'30 days CF Table(USD)'!G55,BS_RE33!$F$7:$F$874,'30 days CF Table(USD)'!$C$2)</f>
        <v>0</v>
      </c>
      <c r="N55" s="337">
        <f>SUMIFS(BS_RE33!$H$7:$H$874,BS_RE33!$S$7:$S$874,$N$2,BS_RE33!$N$7:$N$874,I55,BS_RE33!$P$7:$P$874,'30 days CF Table(USD)'!G55,BS_RE33!$F$7:$F$874,'30 days CF Table(USD)'!$C$2)</f>
        <v>0</v>
      </c>
      <c r="O55" s="337">
        <f>SUMIFS(BS_RE33!$H$7:$H$874,BS_RE33!$S$7:$S$874,$O$2,BS_RE33!$N$7:$N$874,I55,BS_RE33!$P$7:$P$874,'30 days CF Table(USD)'!G55,BS_RE33!$F$7:$F$874,'30 days CF Table(USD)'!$C$2)</f>
        <v>0</v>
      </c>
      <c r="P55" s="337">
        <f>SUMIFS(BS_RE33!$H$7:$H$874,BS_RE33!$S$7:$S$874,$P$2,BS_RE33!$N$7:$N$874,I55,BS_RE33!$P$7:$P$874,'30 days CF Table(USD)'!G55,BS_RE33!$F$7:$F$874,'30 days CF Table(USD)'!$C$2)</f>
        <v>0</v>
      </c>
      <c r="Q55" s="337">
        <f>SUMIFS(BS_RE33!$H$7:$H$874,BS_RE33!$S$7:$S$874,$Q$2,BS_RE33!$N$7:$N$874,I55,BS_RE33!$P$7:$P$874,'30 days CF Table(USD)'!G55,BS_RE33!$F$7:$F$874,'30 days CF Table(USD)'!$C$2)</f>
        <v>0</v>
      </c>
      <c r="R55" s="337">
        <f>SUMIFS(BS_RE33!$H$7:$H$874,BS_RE33!$S$7:$S$874,$R$2,BS_RE33!$N$7:$N$874,I55,BS_RE33!$P$7:$P$874,'30 days CF Table(USD)'!G55,BS_RE33!$F$7:$F$874,'30 days CF Table(USD)'!$C$2)</f>
        <v>0</v>
      </c>
      <c r="S55" s="337">
        <f>SUMIFS(BS_RE33!$H$7:$H$874,BS_RE33!$S$7:$S$874,$S$2,BS_RE33!$N$7:$N$874,I55,BS_RE33!$P$7:$P$874,'30 days CF Table(USD)'!G55,BS_RE33!$F$7:$F$874,'30 days CF Table(USD)'!$C$2)</f>
        <v>0</v>
      </c>
      <c r="T55" s="337">
        <f>SUMIFS(BS_RE33!$H$7:$H$874,BS_RE33!$S$7:$S$874,$T$2,BS_RE33!$N$7:$N$874,I55,BS_RE33!$P$7:$P$874,'30 days CF Table(USD)'!G55,BS_RE33!$F$7:$F$874,'30 days CF Table(USD)'!$C$2)</f>
        <v>0</v>
      </c>
      <c r="U55" s="337">
        <f>SUMIFS(BS_RE33!$H$7:$H$874,BS_RE33!$S$7:$S$874,$U$2,BS_RE33!$N$7:$N$874,I55,BS_RE33!$P$7:$P$874,'30 days CF Table(USD)'!G55,BS_RE33!$F$7:$F$874,'30 days CF Table(USD)'!$C$2)</f>
        <v>0</v>
      </c>
      <c r="V55" s="337">
        <f>SUMIFS(BS_RE33!$H$7:$H$874,BS_RE33!$S$7:$S$874,$V$2,BS_RE33!$N$7:$N$874,I55,BS_RE33!$P$7:$P$874,'30 days CF Table(USD)'!G55,BS_RE33!$F$7:$F$874,'30 days CF Table(USD)'!$C$2)</f>
        <v>0</v>
      </c>
      <c r="W55" s="337">
        <f>SUMIFS(BS_RE33!$H$7:$H$874,BS_RE33!$S$7:$S$874,$W$2,BS_RE33!$N$7:$N$874,I55,BS_RE33!$P$7:$P$874,'30 days CF Table(USD)'!G55,BS_RE33!$F$7:$F$874,'30 days CF Table(USD)'!$C$2)</f>
        <v>0</v>
      </c>
      <c r="X55" s="337">
        <f>SUMIFS(BS_RE33!$H$7:$H$874,BS_RE33!$S$7:$S$874,$X$2,BS_RE33!$N$7:$N$874,I55,BS_RE33!$P$7:$P$874,'30 days CF Table(USD)'!G55,BS_RE33!$F$7:$F$874,'30 days CF Table(USD)'!$C$2)</f>
        <v>0</v>
      </c>
      <c r="Y55" s="337">
        <f>SUMIFS(BS_RE33!$H$7:$H$874,BS_RE33!$S$7:$S$874,$Y$2,BS_RE33!$N$7:$N$874,I55,BS_RE33!$P$7:$P$874,'30 days CF Table(USD)'!G55,BS_RE33!$F$7:$F$874,'30 days CF Table(USD)'!$C$2)</f>
        <v>0</v>
      </c>
      <c r="Z55" s="337">
        <f>SUMIFS(BS_RE33!$H$7:$H$874,BS_RE33!$S$7:$S$874,$Z$2,BS_RE33!$N$7:$N$874,I55,BS_RE33!$P$7:$P$874,'30 days CF Table(USD)'!G55,BS_RE33!$F$7:$F$874,'30 days CF Table(USD)'!$C$2)</f>
        <v>0</v>
      </c>
      <c r="AA55" s="337">
        <f>SUMIFS(BS_RE33!$H$7:$H$874,BS_RE33!$S$7:$S$874,$AA$2,BS_RE33!$N$7:$N$874,I55,BS_RE33!$P$7:$P$874,'30 days CF Table(USD)'!G55,BS_RE33!$F$7:$F$874,'30 days CF Table(USD)'!$C$2)</f>
        <v>0</v>
      </c>
      <c r="AB55" s="337">
        <f>SUMIFS(BS_RE33!$H$7:$H$874,BS_RE33!$S$7:$S$874,$AB$2,BS_RE33!$N$7:$N$874,I55,BS_RE33!$P$7:$P$874,'30 days CF Table(USD)'!G55,BS_RE33!$F$7:$F$874,'30 days CF Table(USD)'!$C$2)</f>
        <v>0</v>
      </c>
      <c r="AC55" s="337">
        <f>SUMIFS(BS_RE33!$H$7:$H$874,BS_RE33!$S$7:$S$874,$AC$2,BS_RE33!$N$7:$N$874,I55,BS_RE33!$P$7:$P$874,'30 days CF Table(USD)'!G55,BS_RE33!$F$7:$F$874,'30 days CF Table(USD)'!$C$2)</f>
        <v>0</v>
      </c>
      <c r="AD55" s="337">
        <f>SUMIFS(BS_RE33!$H$7:$H$874,BS_RE33!$S$7:$S$874,$AD$2,BS_RE33!$N$7:$N$874,I55,BS_RE33!$P$7:$P$874,'30 days CF Table(USD)'!G55,BS_RE33!$F$7:$F$874,'30 days CF Table(USD)'!$C$2)</f>
        <v>0</v>
      </c>
      <c r="AE55" s="337">
        <f>SUMIFS(BS_RE33!$H$7:$H$874,BS_RE33!$S$7:$S$874,$AE$2,BS_RE33!$N$7:$N$874,I55,BS_RE33!$P$7:$P$874,'30 days CF Table(USD)'!G55,BS_RE33!$F$7:$F$874,'30 days CF Table(USD)'!$C$2)</f>
        <v>0</v>
      </c>
      <c r="AF55" s="337">
        <f>SUMIFS(BS_RE33!$H$7:$H$874,BS_RE33!$S$7:$S$874,$AF$2,BS_RE33!$N$7:$N$874,I55,BS_RE33!$P$7:$P$874,'30 days CF Table(USD)'!G55,BS_RE33!$F$7:$F$874,'30 days CF Table(USD)'!$C$2)</f>
        <v>0</v>
      </c>
      <c r="AG55" s="337">
        <f>SUMIFS(BS_RE33!$H$7:$H$874,BS_RE33!$S$7:$S$874,$AG$2,BS_RE33!$N$7:$N$874,I55,BS_RE33!$P$7:$P$874,'30 days CF Table(USD)'!G55,BS_RE33!$F$7:$F$874,'30 days CF Table(USD)'!$C$2)</f>
        <v>0</v>
      </c>
      <c r="AH55" s="337">
        <f>SUMIFS(BS_RE33!$H$7:$H$874,BS_RE33!$S$7:$S$874,$AH$2,BS_RE33!$N$7:$N$874,I55,BS_RE33!$P$7:$P$874,'30 days CF Table(USD)'!G55,BS_RE33!$F$7:$F$874,'30 days CF Table(USD)'!$C$2)</f>
        <v>0</v>
      </c>
      <c r="AI55" s="337">
        <f>SUMIFS(BS_RE33!$H$7:$H$874,BS_RE33!$S$7:$S$874,$AI$2,BS_RE33!$N$7:$N$874,I55,BS_RE33!$P$7:$P$874,'30 days CF Table(USD)'!G55,BS_RE33!$F$7:$F$874,'30 days CF Table(USD)'!$C$2)</f>
        <v>0</v>
      </c>
      <c r="AJ55" s="337">
        <f>SUMIFS(BS_RE33!$H$7:$H$874,BS_RE33!$S$7:$S$874,$AJ$2,BS_RE33!$N$7:$N$874,I55,BS_RE33!$P$7:$P$874,'30 days CF Table(USD)'!G55,BS_RE33!$F$7:$F$874,'30 days CF Table(USD)'!$C$2)</f>
        <v>0</v>
      </c>
      <c r="AK55" s="337">
        <f>SUMIFS(BS_RE33!$H$7:$H$874,BS_RE33!$S$7:$S$874,$AK$2,BS_RE33!$N$7:$N$874,I55,BS_RE33!$P$7:$P$874,'30 days CF Table(USD)'!G55,BS_RE33!$F$7:$F$874,'30 days CF Table(USD)'!$C$2)</f>
        <v>0</v>
      </c>
      <c r="AL55" s="337">
        <f>SUMIFS(BS_RE33!$H$7:$H$874,BS_RE33!$S$7:$S$874,$AL$2,BS_RE33!$N$7:$N$874,I55,BS_RE33!$P$7:$P$874,'30 days CF Table(USD)'!G55,BS_RE33!$F$7:$F$874,'30 days CF Table(USD)'!$C$2)</f>
        <v>0</v>
      </c>
      <c r="AM55" s="337">
        <f>SUMIFS(BS_RE33!$H$7:$H$874,BS_RE33!$S$7:$S$874,$AM$2,BS_RE33!$N$7:$N$874,I55,BS_RE33!$P$7:$P$874,'30 days CF Table(USD)'!G55,BS_RE33!$F$7:$F$874,'30 days CF Table(USD)'!$C$2)</f>
        <v>0</v>
      </c>
      <c r="AN55" s="337">
        <f>SUMIFS(BS_RE33!$H$7:$H$874,BS_RE33!$S$7:$S$874,$AN$2,BS_RE33!$N$7:$N$874,I55,BS_RE33!$P$7:$P$874,'30 days CF Table(USD)'!G55,BS_RE33!$F$7:$F$874,'30 days CF Table(USD)'!$C$2)</f>
        <v>0</v>
      </c>
      <c r="AO55" s="337">
        <f>SUMIFS(BS_RE33!$H$7:$H$874,BS_RE33!$S$7:$S$874,$AO$2,BS_RE33!$N$7:$N$874,I55,BS_RE33!$P$7:$P$874,'30 days CF Table(USD)'!G55,BS_RE33!$F$7:$F$874,'30 days CF Table(USD)'!$C$2)</f>
        <v>0</v>
      </c>
      <c r="AP55" s="338">
        <f>SUMIFS(BS_RE33!$H$7:$H$874,BS_RE33!$S$7:$S$874,$AP$2,BS_RE33!$N$7:$N$874,I55,BS_RE33!$P$7:$P$874,'30 days CF Table(USD)'!G55,BS_RE33!$F$7:$F$874,'30 days CF Table(USD)'!$C$2)</f>
        <v>0</v>
      </c>
      <c r="AR55" s="379">
        <f>SUMIFS(BS_RE33!$H$7:$H$874,BS_RE33!$S$7:$S$874,$AR$2,BS_RE33!$N$7:$N$874,I55,BS_RE33!$P$7:$P$874,'30 days CF Table(USD)'!G55,BS_RE33!$F$7:$F$874,'30 days CF Table(USD)'!$C$2)</f>
        <v>0</v>
      </c>
      <c r="AS55" s="379">
        <f>SUMIFS(BS_RE33!$H$7:$H$874,BS_RE33!$S$7:$S$874,$AS$2,BS_RE33!$N$7:$N$874,I55,BS_RE33!$P$7:$P$874,'30 days CF Table(USD)'!G55,BS_RE33!$F$7:$F$874,'30 days CF Table(USD)'!$C$2)</f>
        <v>0</v>
      </c>
      <c r="AT55" s="379">
        <f>SUMIFS(BS_RE33!$H$7:$H$874,BS_RE33!$S$7:$S$874,$AT$2,BS_RE33!$N$7:$N$874,I55,BS_RE33!$P$7:$P$874,'30 days CF Table(USD)'!G55,BS_RE33!$F$7:$F$874,'30 days CF Table(USD)'!$C$2)</f>
        <v>0</v>
      </c>
      <c r="AU55" s="379">
        <f>SUMIFS(BS_RE33!$H$7:$H$874,BS_RE33!$S$7:$S$874,$AU$2,BS_RE33!$N$7:$N$874,I55,BS_RE33!$P$7:$P$874,'30 days CF Table(USD)'!G55,BS_RE33!$F$7:$F$874,'30 days CF Table(USD)'!$C$2)</f>
        <v>0</v>
      </c>
      <c r="AV55" s="379">
        <f>SUMIFS(BS_RE33!$H$7:$H$874,BS_RE33!$S$7:$S$874,$AV$2,BS_RE33!$N$7:$N$874,I55,BS_RE33!$P$7:$P$874,'30 days CF Table(USD)'!G55,BS_RE33!$F$7:$F$874,'30 days CF Table(USD)'!$C$2)</f>
        <v>0</v>
      </c>
      <c r="AW55" s="379">
        <f>SUMIFS(BS_RE33!$H$7:$H$874,BS_RE33!$S$7:$S$874,$AW$2,BS_RE33!$N$7:$N$874,I55,BS_RE33!$P$7:$P$874,'30 days CF Table(USD)'!G55,BS_RE33!$F$7:$F$874,'30 days CF Table(USD)'!$C$2)</f>
        <v>0</v>
      </c>
      <c r="AX55" s="379">
        <f>SUMIFS(BS_RE33!$H$7:$H$874,BS_RE33!$S$7:$S$874,$AX$2,BS_RE33!$N$7:$N$874,I55,BS_RE33!$P$7:$P$874,'30 days CF Table(USD)'!G55,BS_RE33!$F$7:$F$874,'30 days CF Table(USD)'!$C$2)</f>
        <v>0</v>
      </c>
      <c r="AY55" s="379">
        <f>SUMIFS(BS_RE33!$H$7:$H$874,BS_RE33!$S$7:$S$874,$AY$2,BS_RE33!$N$7:$N$874,I55,BS_RE33!$P$7:$P$874,'30 days CF Table(USD)'!G55,BS_RE33!$F$7:$F$874,'30 days CF Table(USD)'!$C$2)</f>
        <v>0</v>
      </c>
      <c r="AZ55" s="379">
        <f>SUMIFS(BS_RE33!$H$7:$H$874,BS_RE33!$S$7:$S$874,$AZ$2,BS_RE33!$N$7:$N$874,I55,BS_RE33!$P$7:$P$874,'30 days CF Table(USD)'!G55,BS_RE33!$F$7:$F$874,'30 days CF Table(USD)'!$C$2)</f>
        <v>0</v>
      </c>
      <c r="BA55" s="379">
        <f>SUMIFS(BS_RE33!$H$7:$H$874,BS_RE33!$S$7:$S$874,$BA$2,BS_RE33!$N$7:$N$874,I55,BS_RE33!$P$7:$P$874,'30 days CF Table(USD)'!G55,BS_RE33!$F$7:$F$874,'30 days CF Table(USD)'!$C$2)</f>
        <v>0</v>
      </c>
      <c r="BB55" s="379">
        <f>SUMIFS(BS_RE33!$H$7:$H$874,BS_RE33!$S$7:$S$874,$BB$2,BS_RE33!$N$7:$N$874,I55,BS_RE33!$P$7:$P$874,'30 days CF Table(USD)'!G55,BS_RE33!$F$7:$F$874,'30 days CF Table(USD)'!$C$2)</f>
        <v>0</v>
      </c>
      <c r="BC55" s="379">
        <f>SUMIFS(BS_RE33!$H$7:$H$874,BS_RE33!$S$7:$S$874,$BC$2,BS_RE33!$N$7:$N$874,I55,BS_RE33!$P$7:$P$874,'30 days CF Table(USD)'!G55,BS_RE33!$F$7:$F$874,'30 days CF Table(USD)'!$C$2)</f>
        <v>0</v>
      </c>
      <c r="BD55" s="379">
        <f>SUMIFS(BS_RE33!$H$7:$H$874,BS_RE33!$S$7:$S$874,$BD$2,BS_RE33!$N$7:$N$874,I55,BS_RE33!$P$7:$P$874,'30 days CF Table(USD)'!G55,BS_RE33!$F$7:$F$874,'30 days CF Table(USD)'!$C$2)</f>
        <v>0</v>
      </c>
      <c r="BE55" s="379">
        <f>SUMIFS(BS_RE33!$H$7:$H$874,BS_RE33!$S$7:$S$874,$BE$2,BS_RE33!$N$7:$N$874,I55,BS_RE33!$P$7:$P$874,'30 days CF Table(USD)'!G55,BS_RE33!$F$7:$F$874,'30 days CF Table(USD)'!$C$2)</f>
        <v>0</v>
      </c>
      <c r="BF55" s="379">
        <f>SUMIFS(BS_RE33!$H$7:$H$874,BS_RE33!$S$7:$S$874,$BF$2,BS_RE33!$N$7:$N$874,I55,BS_RE33!$P$7:$P$874,'30 days CF Table(USD)'!G55,BS_RE33!$F$7:$F$874,'30 days CF Table(USD)'!$C$2)</f>
        <v>0</v>
      </c>
      <c r="BG55" s="379">
        <f>SUMIFS(BS_RE33!$H$7:$H$874,BS_RE33!$S$7:$S$874,$BG$2,BS_RE33!$N$7:$N$874,I55,BS_RE33!$P$7:$P$874,'30 days CF Table(USD)'!G55,BS_RE33!$F$7:$F$874,'30 days CF Table(USD)'!$C$2)</f>
        <v>0</v>
      </c>
      <c r="BH55" s="379">
        <f>SUMIFS(BS_RE33!$H$7:$H$874,BS_RE33!$S$7:$S$874,$BH$2,BS_RE33!$N$7:$N$874,I55,BS_RE33!$P$7:$P$874,'30 days CF Table(USD)'!G55,BS_RE33!$F$7:$F$874,'30 days CF Table(USD)'!$C$2)</f>
        <v>0</v>
      </c>
      <c r="BI55" s="379">
        <f>SUMIFS(BS_RE33!$H$7:$H$874,BS_RE33!$S$7:$S$874,$BI$2,BS_RE33!$N$7:$N$874,I55,BS_RE33!$P$7:$P$874,'30 days CF Table(USD)'!G55,BS_RE33!$F$7:$F$874,'30 days CF Table(USD)'!$C$2)</f>
        <v>0</v>
      </c>
      <c r="BJ55" s="379">
        <f>SUMIFS(BS_RE33!$H$7:$H$874,BS_RE33!$S$7:$S$874,$BJ$2,BS_RE33!$N$7:$N$874,I55,BS_RE33!$P$7:$P$874,'30 days CF Table(USD)'!G55,BS_RE33!$F$7:$F$874,'30 days CF Table(USD)'!$C$2)</f>
        <v>0</v>
      </c>
      <c r="BK55" s="379">
        <f>SUMIFS(BS_RE33!$H$7:$H$874,BS_RE33!$S$7:$S$874,$BK$2,BS_RE33!$N$7:$N$874,I55,BS_RE33!$P$7:$P$874,'30 days CF Table(USD)'!G55,BS_RE33!$F$7:$F$874,'30 days CF Table(USD)'!$C$2)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Table(USD)'!G56,BS_RE33!$F$7:$F$874,'30 days CF Table(USD)'!$C$2)</f>
        <v>0</v>
      </c>
      <c r="M56" s="337">
        <f>SUMIFS(BS_RE33!$H$7:$H$874,BS_RE33!$S$7:$S$874,$M$2,BS_RE33!$N$7:$N$874,I56,BS_RE33!$P$7:$P$874,'30 days CF Table(USD)'!G56,BS_RE33!$F$7:$F$874,'30 days CF Table(USD)'!$C$2)</f>
        <v>0</v>
      </c>
      <c r="N56" s="337">
        <f>SUMIFS(BS_RE33!$H$7:$H$874,BS_RE33!$S$7:$S$874,$N$2,BS_RE33!$N$7:$N$874,I56,BS_RE33!$P$7:$P$874,'30 days CF Table(USD)'!G56,BS_RE33!$F$7:$F$874,'30 days CF Table(USD)'!$C$2)</f>
        <v>0</v>
      </c>
      <c r="O56" s="337">
        <f>SUMIFS(BS_RE33!$H$7:$H$874,BS_RE33!$S$7:$S$874,$O$2,BS_RE33!$N$7:$N$874,I56,BS_RE33!$P$7:$P$874,'30 days CF Table(USD)'!G56,BS_RE33!$F$7:$F$874,'30 days CF Table(USD)'!$C$2)</f>
        <v>0</v>
      </c>
      <c r="P56" s="337">
        <f>SUMIFS(BS_RE33!$H$7:$H$874,BS_RE33!$S$7:$S$874,$P$2,BS_RE33!$N$7:$N$874,I56,BS_RE33!$P$7:$P$874,'30 days CF Table(USD)'!G56,BS_RE33!$F$7:$F$874,'30 days CF Table(USD)'!$C$2)</f>
        <v>0</v>
      </c>
      <c r="Q56" s="337">
        <f>SUMIFS(BS_RE33!$H$7:$H$874,BS_RE33!$S$7:$S$874,$Q$2,BS_RE33!$N$7:$N$874,I56,BS_RE33!$P$7:$P$874,'30 days CF Table(USD)'!G56,BS_RE33!$F$7:$F$874,'30 days CF Table(USD)'!$C$2)</f>
        <v>0</v>
      </c>
      <c r="R56" s="337">
        <f>SUMIFS(BS_RE33!$H$7:$H$874,BS_RE33!$S$7:$S$874,$R$2,BS_RE33!$N$7:$N$874,I56,BS_RE33!$P$7:$P$874,'30 days CF Table(USD)'!G56,BS_RE33!$F$7:$F$874,'30 days CF Table(USD)'!$C$2)</f>
        <v>0</v>
      </c>
      <c r="S56" s="337">
        <f>SUMIFS(BS_RE33!$H$7:$H$874,BS_RE33!$S$7:$S$874,$S$2,BS_RE33!$N$7:$N$874,I56,BS_RE33!$P$7:$P$874,'30 days CF Table(USD)'!G56,BS_RE33!$F$7:$F$874,'30 days CF Table(USD)'!$C$2)</f>
        <v>0</v>
      </c>
      <c r="T56" s="337">
        <f>SUMIFS(BS_RE33!$H$7:$H$874,BS_RE33!$S$7:$S$874,$T$2,BS_RE33!$N$7:$N$874,I56,BS_RE33!$P$7:$P$874,'30 days CF Table(USD)'!G56,BS_RE33!$F$7:$F$874,'30 days CF Table(USD)'!$C$2)</f>
        <v>0</v>
      </c>
      <c r="U56" s="337">
        <f>SUMIFS(BS_RE33!$H$7:$H$874,BS_RE33!$S$7:$S$874,$U$2,BS_RE33!$N$7:$N$874,I56,BS_RE33!$P$7:$P$874,'30 days CF Table(USD)'!G56,BS_RE33!$F$7:$F$874,'30 days CF Table(USD)'!$C$2)</f>
        <v>0</v>
      </c>
      <c r="V56" s="337">
        <f>SUMIFS(BS_RE33!$H$7:$H$874,BS_RE33!$S$7:$S$874,$V$2,BS_RE33!$N$7:$N$874,I56,BS_RE33!$P$7:$P$874,'30 days CF Table(USD)'!G56,BS_RE33!$F$7:$F$874,'30 days CF Table(USD)'!$C$2)</f>
        <v>0</v>
      </c>
      <c r="W56" s="337">
        <f>SUMIFS(BS_RE33!$H$7:$H$874,BS_RE33!$S$7:$S$874,$W$2,BS_RE33!$N$7:$N$874,I56,BS_RE33!$P$7:$P$874,'30 days CF Table(USD)'!G56,BS_RE33!$F$7:$F$874,'30 days CF Table(USD)'!$C$2)</f>
        <v>0</v>
      </c>
      <c r="X56" s="337">
        <f>SUMIFS(BS_RE33!$H$7:$H$874,BS_RE33!$S$7:$S$874,$X$2,BS_RE33!$N$7:$N$874,I56,BS_RE33!$P$7:$P$874,'30 days CF Table(USD)'!G56,BS_RE33!$F$7:$F$874,'30 days CF Table(USD)'!$C$2)</f>
        <v>0</v>
      </c>
      <c r="Y56" s="337">
        <f>SUMIFS(BS_RE33!$H$7:$H$874,BS_RE33!$S$7:$S$874,$Y$2,BS_RE33!$N$7:$N$874,I56,BS_RE33!$P$7:$P$874,'30 days CF Table(USD)'!G56,BS_RE33!$F$7:$F$874,'30 days CF Table(USD)'!$C$2)</f>
        <v>0</v>
      </c>
      <c r="Z56" s="337">
        <f>SUMIFS(BS_RE33!$H$7:$H$874,BS_RE33!$S$7:$S$874,$Z$2,BS_RE33!$N$7:$N$874,I56,BS_RE33!$P$7:$P$874,'30 days CF Table(USD)'!G56,BS_RE33!$F$7:$F$874,'30 days CF Table(USD)'!$C$2)</f>
        <v>0</v>
      </c>
      <c r="AA56" s="337">
        <f>SUMIFS(BS_RE33!$H$7:$H$874,BS_RE33!$S$7:$S$874,$AA$2,BS_RE33!$N$7:$N$874,I56,BS_RE33!$P$7:$P$874,'30 days CF Table(USD)'!G56,BS_RE33!$F$7:$F$874,'30 days CF Table(USD)'!$C$2)</f>
        <v>0</v>
      </c>
      <c r="AB56" s="337">
        <f>SUMIFS(BS_RE33!$H$7:$H$874,BS_RE33!$S$7:$S$874,$AB$2,BS_RE33!$N$7:$N$874,I56,BS_RE33!$P$7:$P$874,'30 days CF Table(USD)'!G56,BS_RE33!$F$7:$F$874,'30 days CF Table(USD)'!$C$2)</f>
        <v>0</v>
      </c>
      <c r="AC56" s="337">
        <f>SUMIFS(BS_RE33!$H$7:$H$874,BS_RE33!$S$7:$S$874,$AC$2,BS_RE33!$N$7:$N$874,I56,BS_RE33!$P$7:$P$874,'30 days CF Table(USD)'!G56,BS_RE33!$F$7:$F$874,'30 days CF Table(USD)'!$C$2)</f>
        <v>0</v>
      </c>
      <c r="AD56" s="337">
        <f>SUMIFS(BS_RE33!$H$7:$H$874,BS_RE33!$S$7:$S$874,$AD$2,BS_RE33!$N$7:$N$874,I56,BS_RE33!$P$7:$P$874,'30 days CF Table(USD)'!G56,BS_RE33!$F$7:$F$874,'30 days CF Table(USD)'!$C$2)</f>
        <v>0</v>
      </c>
      <c r="AE56" s="337">
        <f>SUMIFS(BS_RE33!$H$7:$H$874,BS_RE33!$S$7:$S$874,$AE$2,BS_RE33!$N$7:$N$874,I56,BS_RE33!$P$7:$P$874,'30 days CF Table(USD)'!G56,BS_RE33!$F$7:$F$874,'30 days CF Table(USD)'!$C$2)</f>
        <v>0</v>
      </c>
      <c r="AF56" s="337">
        <f>SUMIFS(BS_RE33!$H$7:$H$874,BS_RE33!$S$7:$S$874,$AF$2,BS_RE33!$N$7:$N$874,I56,BS_RE33!$P$7:$P$874,'30 days CF Table(USD)'!G56,BS_RE33!$F$7:$F$874,'30 days CF Table(USD)'!$C$2)</f>
        <v>0</v>
      </c>
      <c r="AG56" s="337">
        <f>SUMIFS(BS_RE33!$H$7:$H$874,BS_RE33!$S$7:$S$874,$AG$2,BS_RE33!$N$7:$N$874,I56,BS_RE33!$P$7:$P$874,'30 days CF Table(USD)'!G56,BS_RE33!$F$7:$F$874,'30 days CF Table(USD)'!$C$2)</f>
        <v>0</v>
      </c>
      <c r="AH56" s="337">
        <f>SUMIFS(BS_RE33!$H$7:$H$874,BS_RE33!$S$7:$S$874,$AH$2,BS_RE33!$N$7:$N$874,I56,BS_RE33!$P$7:$P$874,'30 days CF Table(USD)'!G56,BS_RE33!$F$7:$F$874,'30 days CF Table(USD)'!$C$2)</f>
        <v>0</v>
      </c>
      <c r="AI56" s="337">
        <f>SUMIFS(BS_RE33!$H$7:$H$874,BS_RE33!$S$7:$S$874,$AI$2,BS_RE33!$N$7:$N$874,I56,BS_RE33!$P$7:$P$874,'30 days CF Table(USD)'!G56,BS_RE33!$F$7:$F$874,'30 days CF Table(USD)'!$C$2)</f>
        <v>0</v>
      </c>
      <c r="AJ56" s="337">
        <f>SUMIFS(BS_RE33!$H$7:$H$874,BS_RE33!$S$7:$S$874,$AJ$2,BS_RE33!$N$7:$N$874,I56,BS_RE33!$P$7:$P$874,'30 days CF Table(USD)'!G56,BS_RE33!$F$7:$F$874,'30 days CF Table(USD)'!$C$2)</f>
        <v>0</v>
      </c>
      <c r="AK56" s="337">
        <f>SUMIFS(BS_RE33!$H$7:$H$874,BS_RE33!$S$7:$S$874,$AK$2,BS_RE33!$N$7:$N$874,I56,BS_RE33!$P$7:$P$874,'30 days CF Table(USD)'!G56,BS_RE33!$F$7:$F$874,'30 days CF Table(USD)'!$C$2)</f>
        <v>0</v>
      </c>
      <c r="AL56" s="337">
        <f>SUMIFS(BS_RE33!$H$7:$H$874,BS_RE33!$S$7:$S$874,$AL$2,BS_RE33!$N$7:$N$874,I56,BS_RE33!$P$7:$P$874,'30 days CF Table(USD)'!G56,BS_RE33!$F$7:$F$874,'30 days CF Table(USD)'!$C$2)</f>
        <v>0</v>
      </c>
      <c r="AM56" s="337">
        <f>SUMIFS(BS_RE33!$H$7:$H$874,BS_RE33!$S$7:$S$874,$AM$2,BS_RE33!$N$7:$N$874,I56,BS_RE33!$P$7:$P$874,'30 days CF Table(USD)'!G56,BS_RE33!$F$7:$F$874,'30 days CF Table(USD)'!$C$2)</f>
        <v>0</v>
      </c>
      <c r="AN56" s="337">
        <f>SUMIFS(BS_RE33!$H$7:$H$874,BS_RE33!$S$7:$S$874,$AN$2,BS_RE33!$N$7:$N$874,I56,BS_RE33!$P$7:$P$874,'30 days CF Table(USD)'!G56,BS_RE33!$F$7:$F$874,'30 days CF Table(USD)'!$C$2)</f>
        <v>0</v>
      </c>
      <c r="AO56" s="337">
        <f>SUMIFS(BS_RE33!$H$7:$H$874,BS_RE33!$S$7:$S$874,$AO$2,BS_RE33!$N$7:$N$874,I56,BS_RE33!$P$7:$P$874,'30 days CF Table(USD)'!G56,BS_RE33!$F$7:$F$874,'30 days CF Table(USD)'!$C$2)</f>
        <v>0</v>
      </c>
      <c r="AP56" s="338">
        <f>SUMIFS(BS_RE33!$H$7:$H$874,BS_RE33!$S$7:$S$874,$AP$2,BS_RE33!$N$7:$N$874,I56,BS_RE33!$P$7:$P$874,'30 days CF Table(USD)'!G56,BS_RE33!$F$7:$F$874,'30 days CF Table(USD)'!$C$2)</f>
        <v>0</v>
      </c>
      <c r="AR56" s="379">
        <f>SUMIFS(BS_RE33!$H$7:$H$874,BS_RE33!$S$7:$S$874,$AR$2,BS_RE33!$N$7:$N$874,I56,BS_RE33!$P$7:$P$874,'30 days CF Table(USD)'!G56,BS_RE33!$F$7:$F$874,'30 days CF Table(USD)'!$C$2)</f>
        <v>0</v>
      </c>
      <c r="AS56" s="379">
        <f>SUMIFS(BS_RE33!$H$7:$H$874,BS_RE33!$S$7:$S$874,$AS$2,BS_RE33!$N$7:$N$874,I56,BS_RE33!$P$7:$P$874,'30 days CF Table(USD)'!G56,BS_RE33!$F$7:$F$874,'30 days CF Table(USD)'!$C$2)</f>
        <v>0</v>
      </c>
      <c r="AT56" s="379">
        <f>SUMIFS(BS_RE33!$H$7:$H$874,BS_RE33!$S$7:$S$874,$AT$2,BS_RE33!$N$7:$N$874,I56,BS_RE33!$P$7:$P$874,'30 days CF Table(USD)'!G56,BS_RE33!$F$7:$F$874,'30 days CF Table(USD)'!$C$2)</f>
        <v>0</v>
      </c>
      <c r="AU56" s="379">
        <f>SUMIFS(BS_RE33!$H$7:$H$874,BS_RE33!$S$7:$S$874,$AU$2,BS_RE33!$N$7:$N$874,I56,BS_RE33!$P$7:$P$874,'30 days CF Table(USD)'!G56,BS_RE33!$F$7:$F$874,'30 days CF Table(USD)'!$C$2)</f>
        <v>0</v>
      </c>
      <c r="AV56" s="379">
        <f>SUMIFS(BS_RE33!$H$7:$H$874,BS_RE33!$S$7:$S$874,$AV$2,BS_RE33!$N$7:$N$874,I56,BS_RE33!$P$7:$P$874,'30 days CF Table(USD)'!G56,BS_RE33!$F$7:$F$874,'30 days CF Table(USD)'!$C$2)</f>
        <v>0</v>
      </c>
      <c r="AW56" s="379">
        <f>SUMIFS(BS_RE33!$H$7:$H$874,BS_RE33!$S$7:$S$874,$AW$2,BS_RE33!$N$7:$N$874,I56,BS_RE33!$P$7:$P$874,'30 days CF Table(USD)'!G56,BS_RE33!$F$7:$F$874,'30 days CF Table(USD)'!$C$2)</f>
        <v>0</v>
      </c>
      <c r="AX56" s="379">
        <f>SUMIFS(BS_RE33!$H$7:$H$874,BS_RE33!$S$7:$S$874,$AX$2,BS_RE33!$N$7:$N$874,I56,BS_RE33!$P$7:$P$874,'30 days CF Table(USD)'!G56,BS_RE33!$F$7:$F$874,'30 days CF Table(USD)'!$C$2)</f>
        <v>0</v>
      </c>
      <c r="AY56" s="379">
        <f>SUMIFS(BS_RE33!$H$7:$H$874,BS_RE33!$S$7:$S$874,$AY$2,BS_RE33!$N$7:$N$874,I56,BS_RE33!$P$7:$P$874,'30 days CF Table(USD)'!G56,BS_RE33!$F$7:$F$874,'30 days CF Table(USD)'!$C$2)</f>
        <v>0</v>
      </c>
      <c r="AZ56" s="379">
        <f>SUMIFS(BS_RE33!$H$7:$H$874,BS_RE33!$S$7:$S$874,$AZ$2,BS_RE33!$N$7:$N$874,I56,BS_RE33!$P$7:$P$874,'30 days CF Table(USD)'!G56,BS_RE33!$F$7:$F$874,'30 days CF Table(USD)'!$C$2)</f>
        <v>0</v>
      </c>
      <c r="BA56" s="379">
        <f>SUMIFS(BS_RE33!$H$7:$H$874,BS_RE33!$S$7:$S$874,$BA$2,BS_RE33!$N$7:$N$874,I56,BS_RE33!$P$7:$P$874,'30 days CF Table(USD)'!G56,BS_RE33!$F$7:$F$874,'30 days CF Table(USD)'!$C$2)</f>
        <v>0</v>
      </c>
      <c r="BB56" s="379">
        <f>SUMIFS(BS_RE33!$H$7:$H$874,BS_RE33!$S$7:$S$874,$BB$2,BS_RE33!$N$7:$N$874,I56,BS_RE33!$P$7:$P$874,'30 days CF Table(USD)'!G56,BS_RE33!$F$7:$F$874,'30 days CF Table(USD)'!$C$2)</f>
        <v>0</v>
      </c>
      <c r="BC56" s="379">
        <f>SUMIFS(BS_RE33!$H$7:$H$874,BS_RE33!$S$7:$S$874,$BC$2,BS_RE33!$N$7:$N$874,I56,BS_RE33!$P$7:$P$874,'30 days CF Table(USD)'!G56,BS_RE33!$F$7:$F$874,'30 days CF Table(USD)'!$C$2)</f>
        <v>0</v>
      </c>
      <c r="BD56" s="379">
        <f>SUMIFS(BS_RE33!$H$7:$H$874,BS_RE33!$S$7:$S$874,$BD$2,BS_RE33!$N$7:$N$874,I56,BS_RE33!$P$7:$P$874,'30 days CF Table(USD)'!G56,BS_RE33!$F$7:$F$874,'30 days CF Table(USD)'!$C$2)</f>
        <v>0</v>
      </c>
      <c r="BE56" s="379">
        <f>SUMIFS(BS_RE33!$H$7:$H$874,BS_RE33!$S$7:$S$874,$BE$2,BS_RE33!$N$7:$N$874,I56,BS_RE33!$P$7:$P$874,'30 days CF Table(USD)'!G56,BS_RE33!$F$7:$F$874,'30 days CF Table(USD)'!$C$2)</f>
        <v>0</v>
      </c>
      <c r="BF56" s="379">
        <f>SUMIFS(BS_RE33!$H$7:$H$874,BS_RE33!$S$7:$S$874,$BF$2,BS_RE33!$N$7:$N$874,I56,BS_RE33!$P$7:$P$874,'30 days CF Table(USD)'!G56,BS_RE33!$F$7:$F$874,'30 days CF Table(USD)'!$C$2)</f>
        <v>0</v>
      </c>
      <c r="BG56" s="379">
        <f>SUMIFS(BS_RE33!$H$7:$H$874,BS_RE33!$S$7:$S$874,$BG$2,BS_RE33!$N$7:$N$874,I56,BS_RE33!$P$7:$P$874,'30 days CF Table(USD)'!G56,BS_RE33!$F$7:$F$874,'30 days CF Table(USD)'!$C$2)</f>
        <v>0</v>
      </c>
      <c r="BH56" s="379">
        <f>SUMIFS(BS_RE33!$H$7:$H$874,BS_RE33!$S$7:$S$874,$BH$2,BS_RE33!$N$7:$N$874,I56,BS_RE33!$P$7:$P$874,'30 days CF Table(USD)'!G56,BS_RE33!$F$7:$F$874,'30 days CF Table(USD)'!$C$2)</f>
        <v>0</v>
      </c>
      <c r="BI56" s="379">
        <f>SUMIFS(BS_RE33!$H$7:$H$874,BS_RE33!$S$7:$S$874,$BI$2,BS_RE33!$N$7:$N$874,I56,BS_RE33!$P$7:$P$874,'30 days CF Table(USD)'!G56,BS_RE33!$F$7:$F$874,'30 days CF Table(USD)'!$C$2)</f>
        <v>0</v>
      </c>
      <c r="BJ56" s="379">
        <f>SUMIFS(BS_RE33!$H$7:$H$874,BS_RE33!$S$7:$S$874,$BJ$2,BS_RE33!$N$7:$N$874,I56,BS_RE33!$P$7:$P$874,'30 days CF Table(USD)'!G56,BS_RE33!$F$7:$F$874,'30 days CF Table(USD)'!$C$2)</f>
        <v>0</v>
      </c>
      <c r="BK56" s="379">
        <f>SUMIFS(BS_RE33!$H$7:$H$874,BS_RE33!$S$7:$S$874,$BK$2,BS_RE33!$N$7:$N$874,I56,BS_RE33!$P$7:$P$874,'30 days CF Table(USD)'!G56,BS_RE33!$F$7:$F$874,'30 days CF Table(USD)'!$C$2)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Table(USD)'!G57,BS_RE33!$F$7:$F$874,'30 days CF Table(USD)'!$C$2)</f>
        <v>0</v>
      </c>
      <c r="M57" s="337">
        <f>SUMIFS(BS_RE33!$H$7:$H$874,BS_RE33!$S$7:$S$874,$M$2,BS_RE33!$N$7:$N$874,I57,BS_RE33!$P$7:$P$874,'30 days CF Table(USD)'!G57,BS_RE33!$F$7:$F$874,'30 days CF Table(USD)'!$C$2)</f>
        <v>0</v>
      </c>
      <c r="N57" s="337">
        <f>SUMIFS(BS_RE33!$H$7:$H$874,BS_RE33!$S$7:$S$874,$N$2,BS_RE33!$N$7:$N$874,I57,BS_RE33!$P$7:$P$874,'30 days CF Table(USD)'!G57,BS_RE33!$F$7:$F$874,'30 days CF Table(USD)'!$C$2)</f>
        <v>0</v>
      </c>
      <c r="O57" s="337">
        <f>SUMIFS(BS_RE33!$H$7:$H$874,BS_RE33!$S$7:$S$874,$O$2,BS_RE33!$N$7:$N$874,I57,BS_RE33!$P$7:$P$874,'30 days CF Table(USD)'!G57,BS_RE33!$F$7:$F$874,'30 days CF Table(USD)'!$C$2)</f>
        <v>0</v>
      </c>
      <c r="P57" s="337">
        <f>SUMIFS(BS_RE33!$H$7:$H$874,BS_RE33!$S$7:$S$874,$P$2,BS_RE33!$N$7:$N$874,I57,BS_RE33!$P$7:$P$874,'30 days CF Table(USD)'!G57,BS_RE33!$F$7:$F$874,'30 days CF Table(USD)'!$C$2)</f>
        <v>0</v>
      </c>
      <c r="Q57" s="337">
        <f>SUMIFS(BS_RE33!$H$7:$H$874,BS_RE33!$S$7:$S$874,$Q$2,BS_RE33!$N$7:$N$874,I57,BS_RE33!$P$7:$P$874,'30 days CF Table(USD)'!G57,BS_RE33!$F$7:$F$874,'30 days CF Table(USD)'!$C$2)</f>
        <v>0</v>
      </c>
      <c r="R57" s="337">
        <f>SUMIFS(BS_RE33!$H$7:$H$874,BS_RE33!$S$7:$S$874,$R$2,BS_RE33!$N$7:$N$874,I57,BS_RE33!$P$7:$P$874,'30 days CF Table(USD)'!G57,BS_RE33!$F$7:$F$874,'30 days CF Table(USD)'!$C$2)</f>
        <v>0</v>
      </c>
      <c r="S57" s="337">
        <f>SUMIFS(BS_RE33!$H$7:$H$874,BS_RE33!$S$7:$S$874,$S$2,BS_RE33!$N$7:$N$874,I57,BS_RE33!$P$7:$P$874,'30 days CF Table(USD)'!G57,BS_RE33!$F$7:$F$874,'30 days CF Table(USD)'!$C$2)</f>
        <v>0</v>
      </c>
      <c r="T57" s="337">
        <f>SUMIFS(BS_RE33!$H$7:$H$874,BS_RE33!$S$7:$S$874,$T$2,BS_RE33!$N$7:$N$874,I57,BS_RE33!$P$7:$P$874,'30 days CF Table(USD)'!G57,BS_RE33!$F$7:$F$874,'30 days CF Table(USD)'!$C$2)</f>
        <v>0</v>
      </c>
      <c r="U57" s="337">
        <f>SUMIFS(BS_RE33!$H$7:$H$874,BS_RE33!$S$7:$S$874,$U$2,BS_RE33!$N$7:$N$874,I57,BS_RE33!$P$7:$P$874,'30 days CF Table(USD)'!G57,BS_RE33!$F$7:$F$874,'30 days CF Table(USD)'!$C$2)</f>
        <v>0</v>
      </c>
      <c r="V57" s="337">
        <f>SUMIFS(BS_RE33!$H$7:$H$874,BS_RE33!$S$7:$S$874,$V$2,BS_RE33!$N$7:$N$874,I57,BS_RE33!$P$7:$P$874,'30 days CF Table(USD)'!G57,BS_RE33!$F$7:$F$874,'30 days CF Table(USD)'!$C$2)</f>
        <v>0</v>
      </c>
      <c r="W57" s="337">
        <f>SUMIFS(BS_RE33!$H$7:$H$874,BS_RE33!$S$7:$S$874,$W$2,BS_RE33!$N$7:$N$874,I57,BS_RE33!$P$7:$P$874,'30 days CF Table(USD)'!G57,BS_RE33!$F$7:$F$874,'30 days CF Table(USD)'!$C$2)</f>
        <v>0</v>
      </c>
      <c r="X57" s="337">
        <f>SUMIFS(BS_RE33!$H$7:$H$874,BS_RE33!$S$7:$S$874,$X$2,BS_RE33!$N$7:$N$874,I57,BS_RE33!$P$7:$P$874,'30 days CF Table(USD)'!G57,BS_RE33!$F$7:$F$874,'30 days CF Table(USD)'!$C$2)</f>
        <v>0</v>
      </c>
      <c r="Y57" s="337">
        <f>SUMIFS(BS_RE33!$H$7:$H$874,BS_RE33!$S$7:$S$874,$Y$2,BS_RE33!$N$7:$N$874,I57,BS_RE33!$P$7:$P$874,'30 days CF Table(USD)'!G57,BS_RE33!$F$7:$F$874,'30 days CF Table(USD)'!$C$2)</f>
        <v>0</v>
      </c>
      <c r="Z57" s="337">
        <f>SUMIFS(BS_RE33!$H$7:$H$874,BS_RE33!$S$7:$S$874,$Z$2,BS_RE33!$N$7:$N$874,I57,BS_RE33!$P$7:$P$874,'30 days CF Table(USD)'!G57,BS_RE33!$F$7:$F$874,'30 days CF Table(USD)'!$C$2)</f>
        <v>0</v>
      </c>
      <c r="AA57" s="337">
        <f>SUMIFS(BS_RE33!$H$7:$H$874,BS_RE33!$S$7:$S$874,$AA$2,BS_RE33!$N$7:$N$874,I57,BS_RE33!$P$7:$P$874,'30 days CF Table(USD)'!G57,BS_RE33!$F$7:$F$874,'30 days CF Table(USD)'!$C$2)</f>
        <v>0</v>
      </c>
      <c r="AB57" s="337">
        <f>SUMIFS(BS_RE33!$H$7:$H$874,BS_RE33!$S$7:$S$874,$AB$2,BS_RE33!$N$7:$N$874,I57,BS_RE33!$P$7:$P$874,'30 days CF Table(USD)'!G57,BS_RE33!$F$7:$F$874,'30 days CF Table(USD)'!$C$2)</f>
        <v>0</v>
      </c>
      <c r="AC57" s="337">
        <f>SUMIFS(BS_RE33!$H$7:$H$874,BS_RE33!$S$7:$S$874,$AC$2,BS_RE33!$N$7:$N$874,I57,BS_RE33!$P$7:$P$874,'30 days CF Table(USD)'!G57,BS_RE33!$F$7:$F$874,'30 days CF Table(USD)'!$C$2)</f>
        <v>0</v>
      </c>
      <c r="AD57" s="337">
        <f>SUMIFS(BS_RE33!$H$7:$H$874,BS_RE33!$S$7:$S$874,$AD$2,BS_RE33!$N$7:$N$874,I57,BS_RE33!$P$7:$P$874,'30 days CF Table(USD)'!G57,BS_RE33!$F$7:$F$874,'30 days CF Table(USD)'!$C$2)</f>
        <v>0</v>
      </c>
      <c r="AE57" s="337">
        <f>SUMIFS(BS_RE33!$H$7:$H$874,BS_RE33!$S$7:$S$874,$AE$2,BS_RE33!$N$7:$N$874,I57,BS_RE33!$P$7:$P$874,'30 days CF Table(USD)'!G57,BS_RE33!$F$7:$F$874,'30 days CF Table(USD)'!$C$2)</f>
        <v>0</v>
      </c>
      <c r="AF57" s="337">
        <f>SUMIFS(BS_RE33!$H$7:$H$874,BS_RE33!$S$7:$S$874,$AF$2,BS_RE33!$N$7:$N$874,I57,BS_RE33!$P$7:$P$874,'30 days CF Table(USD)'!G57,BS_RE33!$F$7:$F$874,'30 days CF Table(USD)'!$C$2)</f>
        <v>0</v>
      </c>
      <c r="AG57" s="337">
        <f>SUMIFS(BS_RE33!$H$7:$H$874,BS_RE33!$S$7:$S$874,$AG$2,BS_RE33!$N$7:$N$874,I57,BS_RE33!$P$7:$P$874,'30 days CF Table(USD)'!G57,BS_RE33!$F$7:$F$874,'30 days CF Table(USD)'!$C$2)</f>
        <v>0</v>
      </c>
      <c r="AH57" s="337">
        <f>SUMIFS(BS_RE33!$H$7:$H$874,BS_RE33!$S$7:$S$874,$AH$2,BS_RE33!$N$7:$N$874,I57,BS_RE33!$P$7:$P$874,'30 days CF Table(USD)'!G57,BS_RE33!$F$7:$F$874,'30 days CF Table(USD)'!$C$2)</f>
        <v>0</v>
      </c>
      <c r="AI57" s="337">
        <f>SUMIFS(BS_RE33!$H$7:$H$874,BS_RE33!$S$7:$S$874,$AI$2,BS_RE33!$N$7:$N$874,I57,BS_RE33!$P$7:$P$874,'30 days CF Table(USD)'!G57,BS_RE33!$F$7:$F$874,'30 days CF Table(USD)'!$C$2)</f>
        <v>0</v>
      </c>
      <c r="AJ57" s="337">
        <f>SUMIFS(BS_RE33!$H$7:$H$874,BS_RE33!$S$7:$S$874,$AJ$2,BS_RE33!$N$7:$N$874,I57,BS_RE33!$P$7:$P$874,'30 days CF Table(USD)'!G57,BS_RE33!$F$7:$F$874,'30 days CF Table(USD)'!$C$2)</f>
        <v>0</v>
      </c>
      <c r="AK57" s="337">
        <f>SUMIFS(BS_RE33!$H$7:$H$874,BS_RE33!$S$7:$S$874,$AK$2,BS_RE33!$N$7:$N$874,I57,BS_RE33!$P$7:$P$874,'30 days CF Table(USD)'!G57,BS_RE33!$F$7:$F$874,'30 days CF Table(USD)'!$C$2)</f>
        <v>0</v>
      </c>
      <c r="AL57" s="337">
        <f>SUMIFS(BS_RE33!$H$7:$H$874,BS_RE33!$S$7:$S$874,$AL$2,BS_RE33!$N$7:$N$874,I57,BS_RE33!$P$7:$P$874,'30 days CF Table(USD)'!G57,BS_RE33!$F$7:$F$874,'30 days CF Table(USD)'!$C$2)</f>
        <v>0</v>
      </c>
      <c r="AM57" s="337">
        <f>SUMIFS(BS_RE33!$H$7:$H$874,BS_RE33!$S$7:$S$874,$AM$2,BS_RE33!$N$7:$N$874,I57,BS_RE33!$P$7:$P$874,'30 days CF Table(USD)'!G57,BS_RE33!$F$7:$F$874,'30 days CF Table(USD)'!$C$2)</f>
        <v>0</v>
      </c>
      <c r="AN57" s="337">
        <f>SUMIFS(BS_RE33!$H$7:$H$874,BS_RE33!$S$7:$S$874,$AN$2,BS_RE33!$N$7:$N$874,I57,BS_RE33!$P$7:$P$874,'30 days CF Table(USD)'!G57,BS_RE33!$F$7:$F$874,'30 days CF Table(USD)'!$C$2)</f>
        <v>0</v>
      </c>
      <c r="AO57" s="337">
        <f>SUMIFS(BS_RE33!$H$7:$H$874,BS_RE33!$S$7:$S$874,$AO$2,BS_RE33!$N$7:$N$874,I57,BS_RE33!$P$7:$P$874,'30 days CF Table(USD)'!G57,BS_RE33!$F$7:$F$874,'30 days CF Table(USD)'!$C$2)</f>
        <v>0</v>
      </c>
      <c r="AP57" s="338">
        <f>SUMIFS(BS_RE33!$H$7:$H$874,BS_RE33!$S$7:$S$874,$AP$2,BS_RE33!$N$7:$N$874,I57,BS_RE33!$P$7:$P$874,'30 days CF Table(USD)'!G57,BS_RE33!$F$7:$F$874,'30 days CF Table(USD)'!$C$2)</f>
        <v>0</v>
      </c>
      <c r="AR57" s="379">
        <f>SUMIFS(BS_RE33!$H$7:$H$874,BS_RE33!$S$7:$S$874,$AR$2,BS_RE33!$N$7:$N$874,I57,BS_RE33!$P$7:$P$874,'30 days CF Table(USD)'!G57,BS_RE33!$F$7:$F$874,'30 days CF Table(USD)'!$C$2)</f>
        <v>0</v>
      </c>
      <c r="AS57" s="379">
        <f>SUMIFS(BS_RE33!$H$7:$H$874,BS_RE33!$S$7:$S$874,$AS$2,BS_RE33!$N$7:$N$874,I57,BS_RE33!$P$7:$P$874,'30 days CF Table(USD)'!G57,BS_RE33!$F$7:$F$874,'30 days CF Table(USD)'!$C$2)</f>
        <v>0</v>
      </c>
      <c r="AT57" s="379">
        <f>SUMIFS(BS_RE33!$H$7:$H$874,BS_RE33!$S$7:$S$874,$AT$2,BS_RE33!$N$7:$N$874,I57,BS_RE33!$P$7:$P$874,'30 days CF Table(USD)'!G57,BS_RE33!$F$7:$F$874,'30 days CF Table(USD)'!$C$2)</f>
        <v>0</v>
      </c>
      <c r="AU57" s="379">
        <f>SUMIFS(BS_RE33!$H$7:$H$874,BS_RE33!$S$7:$S$874,$AU$2,BS_RE33!$N$7:$N$874,I57,BS_RE33!$P$7:$P$874,'30 days CF Table(USD)'!G57,BS_RE33!$F$7:$F$874,'30 days CF Table(USD)'!$C$2)</f>
        <v>0</v>
      </c>
      <c r="AV57" s="379">
        <f>SUMIFS(BS_RE33!$H$7:$H$874,BS_RE33!$S$7:$S$874,$AV$2,BS_RE33!$N$7:$N$874,I57,BS_RE33!$P$7:$P$874,'30 days CF Table(USD)'!G57,BS_RE33!$F$7:$F$874,'30 days CF Table(USD)'!$C$2)</f>
        <v>0</v>
      </c>
      <c r="AW57" s="379">
        <f>SUMIFS(BS_RE33!$H$7:$H$874,BS_RE33!$S$7:$S$874,$AW$2,BS_RE33!$N$7:$N$874,I57,BS_RE33!$P$7:$P$874,'30 days CF Table(USD)'!G57,BS_RE33!$F$7:$F$874,'30 days CF Table(USD)'!$C$2)</f>
        <v>0</v>
      </c>
      <c r="AX57" s="379">
        <f>SUMIFS(BS_RE33!$H$7:$H$874,BS_RE33!$S$7:$S$874,$AX$2,BS_RE33!$N$7:$N$874,I57,BS_RE33!$P$7:$P$874,'30 days CF Table(USD)'!G57,BS_RE33!$F$7:$F$874,'30 days CF Table(USD)'!$C$2)</f>
        <v>0</v>
      </c>
      <c r="AY57" s="379">
        <f>SUMIFS(BS_RE33!$H$7:$H$874,BS_RE33!$S$7:$S$874,$AY$2,BS_RE33!$N$7:$N$874,I57,BS_RE33!$P$7:$P$874,'30 days CF Table(USD)'!G57,BS_RE33!$F$7:$F$874,'30 days CF Table(USD)'!$C$2)</f>
        <v>0</v>
      </c>
      <c r="AZ57" s="379">
        <f>SUMIFS(BS_RE33!$H$7:$H$874,BS_RE33!$S$7:$S$874,$AZ$2,BS_RE33!$N$7:$N$874,I57,BS_RE33!$P$7:$P$874,'30 days CF Table(USD)'!G57,BS_RE33!$F$7:$F$874,'30 days CF Table(USD)'!$C$2)</f>
        <v>0</v>
      </c>
      <c r="BA57" s="379">
        <f>SUMIFS(BS_RE33!$H$7:$H$874,BS_RE33!$S$7:$S$874,$BA$2,BS_RE33!$N$7:$N$874,I57,BS_RE33!$P$7:$P$874,'30 days CF Table(USD)'!G57,BS_RE33!$F$7:$F$874,'30 days CF Table(USD)'!$C$2)</f>
        <v>0</v>
      </c>
      <c r="BB57" s="379">
        <f>SUMIFS(BS_RE33!$H$7:$H$874,BS_RE33!$S$7:$S$874,$BB$2,BS_RE33!$N$7:$N$874,I57,BS_RE33!$P$7:$P$874,'30 days CF Table(USD)'!G57,BS_RE33!$F$7:$F$874,'30 days CF Table(USD)'!$C$2)</f>
        <v>0</v>
      </c>
      <c r="BC57" s="379">
        <f>SUMIFS(BS_RE33!$H$7:$H$874,BS_RE33!$S$7:$S$874,$BC$2,BS_RE33!$N$7:$N$874,I57,BS_RE33!$P$7:$P$874,'30 days CF Table(USD)'!G57,BS_RE33!$F$7:$F$874,'30 days CF Table(USD)'!$C$2)</f>
        <v>0</v>
      </c>
      <c r="BD57" s="379">
        <f>SUMIFS(BS_RE33!$H$7:$H$874,BS_RE33!$S$7:$S$874,$BD$2,BS_RE33!$N$7:$N$874,I57,BS_RE33!$P$7:$P$874,'30 days CF Table(USD)'!G57,BS_RE33!$F$7:$F$874,'30 days CF Table(USD)'!$C$2)</f>
        <v>0</v>
      </c>
      <c r="BE57" s="379">
        <f>SUMIFS(BS_RE33!$H$7:$H$874,BS_RE33!$S$7:$S$874,$BE$2,BS_RE33!$N$7:$N$874,I57,BS_RE33!$P$7:$P$874,'30 days CF Table(USD)'!G57,BS_RE33!$F$7:$F$874,'30 days CF Table(USD)'!$C$2)</f>
        <v>0</v>
      </c>
      <c r="BF57" s="379">
        <f>SUMIFS(BS_RE33!$H$7:$H$874,BS_RE33!$S$7:$S$874,$BF$2,BS_RE33!$N$7:$N$874,I57,BS_RE33!$P$7:$P$874,'30 days CF Table(USD)'!G57,BS_RE33!$F$7:$F$874,'30 days CF Table(USD)'!$C$2)</f>
        <v>0</v>
      </c>
      <c r="BG57" s="379">
        <f>SUMIFS(BS_RE33!$H$7:$H$874,BS_RE33!$S$7:$S$874,$BG$2,BS_RE33!$N$7:$N$874,I57,BS_RE33!$P$7:$P$874,'30 days CF Table(USD)'!G57,BS_RE33!$F$7:$F$874,'30 days CF Table(USD)'!$C$2)</f>
        <v>0</v>
      </c>
      <c r="BH57" s="379">
        <f>SUMIFS(BS_RE33!$H$7:$H$874,BS_RE33!$S$7:$S$874,$BH$2,BS_RE33!$N$7:$N$874,I57,BS_RE33!$P$7:$P$874,'30 days CF Table(USD)'!G57,BS_RE33!$F$7:$F$874,'30 days CF Table(USD)'!$C$2)</f>
        <v>0</v>
      </c>
      <c r="BI57" s="379">
        <f>SUMIFS(BS_RE33!$H$7:$H$874,BS_RE33!$S$7:$S$874,$BI$2,BS_RE33!$N$7:$N$874,I57,BS_RE33!$P$7:$P$874,'30 days CF Table(USD)'!G57,BS_RE33!$F$7:$F$874,'30 days CF Table(USD)'!$C$2)</f>
        <v>0</v>
      </c>
      <c r="BJ57" s="379">
        <f>SUMIFS(BS_RE33!$H$7:$H$874,BS_RE33!$S$7:$S$874,$BJ$2,BS_RE33!$N$7:$N$874,I57,BS_RE33!$P$7:$P$874,'30 days CF Table(USD)'!G57,BS_RE33!$F$7:$F$874,'30 days CF Table(USD)'!$C$2)</f>
        <v>0</v>
      </c>
      <c r="BK57" s="379">
        <f>SUMIFS(BS_RE33!$H$7:$H$874,BS_RE33!$S$7:$S$874,$BK$2,BS_RE33!$N$7:$N$874,I57,BS_RE33!$P$7:$P$874,'30 days CF Table(USD)'!G57,BS_RE33!$F$7:$F$874,'30 days CF Table(USD)'!$C$2)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Table(USD)'!G58,BS_RE33!$F$7:$F$874,'30 days CF Table(USD)'!$C$2)</f>
        <v>0</v>
      </c>
      <c r="M58" s="337">
        <f>SUMIFS(BS_RE33!$H$7:$H$874,BS_RE33!$S$7:$S$874,$M$2,BS_RE33!$N$7:$N$874,I58,BS_RE33!$P$7:$P$874,'30 days CF Table(USD)'!G58,BS_RE33!$F$7:$F$874,'30 days CF Table(USD)'!$C$2)</f>
        <v>0</v>
      </c>
      <c r="N58" s="337">
        <f>SUMIFS(BS_RE33!$H$7:$H$874,BS_RE33!$S$7:$S$874,$N$2,BS_RE33!$N$7:$N$874,I58,BS_RE33!$P$7:$P$874,'30 days CF Table(USD)'!G58,BS_RE33!$F$7:$F$874,'30 days CF Table(USD)'!$C$2)</f>
        <v>0</v>
      </c>
      <c r="O58" s="337">
        <f>SUMIFS(BS_RE33!$H$7:$H$874,BS_RE33!$S$7:$S$874,$O$2,BS_RE33!$N$7:$N$874,I58,BS_RE33!$P$7:$P$874,'30 days CF Table(USD)'!G58,BS_RE33!$F$7:$F$874,'30 days CF Table(USD)'!$C$2)</f>
        <v>0</v>
      </c>
      <c r="P58" s="337">
        <f>SUMIFS(BS_RE33!$H$7:$H$874,BS_RE33!$S$7:$S$874,$P$2,BS_RE33!$N$7:$N$874,I58,BS_RE33!$P$7:$P$874,'30 days CF Table(USD)'!G58,BS_RE33!$F$7:$F$874,'30 days CF Table(USD)'!$C$2)</f>
        <v>0</v>
      </c>
      <c r="Q58" s="337">
        <f>SUMIFS(BS_RE33!$H$7:$H$874,BS_RE33!$S$7:$S$874,$Q$2,BS_RE33!$N$7:$N$874,I58,BS_RE33!$P$7:$P$874,'30 days CF Table(USD)'!G58,BS_RE33!$F$7:$F$874,'30 days CF Table(USD)'!$C$2)</f>
        <v>0</v>
      </c>
      <c r="R58" s="337">
        <f>SUMIFS(BS_RE33!$H$7:$H$874,BS_RE33!$S$7:$S$874,$R$2,BS_RE33!$N$7:$N$874,I58,BS_RE33!$P$7:$P$874,'30 days CF Table(USD)'!G58,BS_RE33!$F$7:$F$874,'30 days CF Table(USD)'!$C$2)</f>
        <v>0</v>
      </c>
      <c r="S58" s="337">
        <f>SUMIFS(BS_RE33!$H$7:$H$874,BS_RE33!$S$7:$S$874,$S$2,BS_RE33!$N$7:$N$874,I58,BS_RE33!$P$7:$P$874,'30 days CF Table(USD)'!G58,BS_RE33!$F$7:$F$874,'30 days CF Table(USD)'!$C$2)</f>
        <v>0</v>
      </c>
      <c r="T58" s="337">
        <f>SUMIFS(BS_RE33!$H$7:$H$874,BS_RE33!$S$7:$S$874,$T$2,BS_RE33!$N$7:$N$874,I58,BS_RE33!$P$7:$P$874,'30 days CF Table(USD)'!G58,BS_RE33!$F$7:$F$874,'30 days CF Table(USD)'!$C$2)</f>
        <v>0</v>
      </c>
      <c r="U58" s="337">
        <f>SUMIFS(BS_RE33!$H$7:$H$874,BS_RE33!$S$7:$S$874,$U$2,BS_RE33!$N$7:$N$874,I58,BS_RE33!$P$7:$P$874,'30 days CF Table(USD)'!G58,BS_RE33!$F$7:$F$874,'30 days CF Table(USD)'!$C$2)</f>
        <v>0</v>
      </c>
      <c r="V58" s="337">
        <f>SUMIFS(BS_RE33!$H$7:$H$874,BS_RE33!$S$7:$S$874,$V$2,BS_RE33!$N$7:$N$874,I58,BS_RE33!$P$7:$P$874,'30 days CF Table(USD)'!G58,BS_RE33!$F$7:$F$874,'30 days CF Table(USD)'!$C$2)</f>
        <v>0</v>
      </c>
      <c r="W58" s="337">
        <f>SUMIFS(BS_RE33!$H$7:$H$874,BS_RE33!$S$7:$S$874,$W$2,BS_RE33!$N$7:$N$874,I58,BS_RE33!$P$7:$P$874,'30 days CF Table(USD)'!G58,BS_RE33!$F$7:$F$874,'30 days CF Table(USD)'!$C$2)</f>
        <v>0</v>
      </c>
      <c r="X58" s="337">
        <f>SUMIFS(BS_RE33!$H$7:$H$874,BS_RE33!$S$7:$S$874,$X$2,BS_RE33!$N$7:$N$874,I58,BS_RE33!$P$7:$P$874,'30 days CF Table(USD)'!G58,BS_RE33!$F$7:$F$874,'30 days CF Table(USD)'!$C$2)</f>
        <v>0</v>
      </c>
      <c r="Y58" s="337">
        <f>SUMIFS(BS_RE33!$H$7:$H$874,BS_RE33!$S$7:$S$874,$Y$2,BS_RE33!$N$7:$N$874,I58,BS_RE33!$P$7:$P$874,'30 days CF Table(USD)'!G58,BS_RE33!$F$7:$F$874,'30 days CF Table(USD)'!$C$2)</f>
        <v>0</v>
      </c>
      <c r="Z58" s="337">
        <f>SUMIFS(BS_RE33!$H$7:$H$874,BS_RE33!$S$7:$S$874,$Z$2,BS_RE33!$N$7:$N$874,I58,BS_RE33!$P$7:$P$874,'30 days CF Table(USD)'!G58,BS_RE33!$F$7:$F$874,'30 days CF Table(USD)'!$C$2)</f>
        <v>0</v>
      </c>
      <c r="AA58" s="337">
        <f>SUMIFS(BS_RE33!$H$7:$H$874,BS_RE33!$S$7:$S$874,$AA$2,BS_RE33!$N$7:$N$874,I58,BS_RE33!$P$7:$P$874,'30 days CF Table(USD)'!G58,BS_RE33!$F$7:$F$874,'30 days CF Table(USD)'!$C$2)</f>
        <v>0</v>
      </c>
      <c r="AB58" s="337">
        <f>SUMIFS(BS_RE33!$H$7:$H$874,BS_RE33!$S$7:$S$874,$AB$2,BS_RE33!$N$7:$N$874,I58,BS_RE33!$P$7:$P$874,'30 days CF Table(USD)'!G58,BS_RE33!$F$7:$F$874,'30 days CF Table(USD)'!$C$2)</f>
        <v>0</v>
      </c>
      <c r="AC58" s="337">
        <f>SUMIFS(BS_RE33!$H$7:$H$874,BS_RE33!$S$7:$S$874,$AC$2,BS_RE33!$N$7:$N$874,I58,BS_RE33!$P$7:$P$874,'30 days CF Table(USD)'!G58,BS_RE33!$F$7:$F$874,'30 days CF Table(USD)'!$C$2)</f>
        <v>0</v>
      </c>
      <c r="AD58" s="337">
        <f>SUMIFS(BS_RE33!$H$7:$H$874,BS_RE33!$S$7:$S$874,$AD$2,BS_RE33!$N$7:$N$874,I58,BS_RE33!$P$7:$P$874,'30 days CF Table(USD)'!G58,BS_RE33!$F$7:$F$874,'30 days CF Table(USD)'!$C$2)</f>
        <v>0</v>
      </c>
      <c r="AE58" s="337">
        <f>SUMIFS(BS_RE33!$H$7:$H$874,BS_RE33!$S$7:$S$874,$AE$2,BS_RE33!$N$7:$N$874,I58,BS_RE33!$P$7:$P$874,'30 days CF Table(USD)'!G58,BS_RE33!$F$7:$F$874,'30 days CF Table(USD)'!$C$2)</f>
        <v>0</v>
      </c>
      <c r="AF58" s="337">
        <f>SUMIFS(BS_RE33!$H$7:$H$874,BS_RE33!$S$7:$S$874,$AF$2,BS_RE33!$N$7:$N$874,I58,BS_RE33!$P$7:$P$874,'30 days CF Table(USD)'!G58,BS_RE33!$F$7:$F$874,'30 days CF Table(USD)'!$C$2)</f>
        <v>0</v>
      </c>
      <c r="AG58" s="337">
        <f>SUMIFS(BS_RE33!$H$7:$H$874,BS_RE33!$S$7:$S$874,$AG$2,BS_RE33!$N$7:$N$874,I58,BS_RE33!$P$7:$P$874,'30 days CF Table(USD)'!G58,BS_RE33!$F$7:$F$874,'30 days CF Table(USD)'!$C$2)</f>
        <v>0</v>
      </c>
      <c r="AH58" s="337">
        <f>SUMIFS(BS_RE33!$H$7:$H$874,BS_RE33!$S$7:$S$874,$AH$2,BS_RE33!$N$7:$N$874,I58,BS_RE33!$P$7:$P$874,'30 days CF Table(USD)'!G58,BS_RE33!$F$7:$F$874,'30 days CF Table(USD)'!$C$2)</f>
        <v>0</v>
      </c>
      <c r="AI58" s="337">
        <f>SUMIFS(BS_RE33!$H$7:$H$874,BS_RE33!$S$7:$S$874,$AI$2,BS_RE33!$N$7:$N$874,I58,BS_RE33!$P$7:$P$874,'30 days CF Table(USD)'!G58,BS_RE33!$F$7:$F$874,'30 days CF Table(USD)'!$C$2)</f>
        <v>0</v>
      </c>
      <c r="AJ58" s="337">
        <f>SUMIFS(BS_RE33!$H$7:$H$874,BS_RE33!$S$7:$S$874,$AJ$2,BS_RE33!$N$7:$N$874,I58,BS_RE33!$P$7:$P$874,'30 days CF Table(USD)'!G58,BS_RE33!$F$7:$F$874,'30 days CF Table(USD)'!$C$2)</f>
        <v>0</v>
      </c>
      <c r="AK58" s="337">
        <f>SUMIFS(BS_RE33!$H$7:$H$874,BS_RE33!$S$7:$S$874,$AK$2,BS_RE33!$N$7:$N$874,I58,BS_RE33!$P$7:$P$874,'30 days CF Table(USD)'!G58,BS_RE33!$F$7:$F$874,'30 days CF Table(USD)'!$C$2)</f>
        <v>0</v>
      </c>
      <c r="AL58" s="337">
        <f>SUMIFS(BS_RE33!$H$7:$H$874,BS_RE33!$S$7:$S$874,$AL$2,BS_RE33!$N$7:$N$874,I58,BS_RE33!$P$7:$P$874,'30 days CF Table(USD)'!G58,BS_RE33!$F$7:$F$874,'30 days CF Table(USD)'!$C$2)</f>
        <v>0</v>
      </c>
      <c r="AM58" s="337">
        <f>SUMIFS(BS_RE33!$H$7:$H$874,BS_RE33!$S$7:$S$874,$AM$2,BS_RE33!$N$7:$N$874,I58,BS_RE33!$P$7:$P$874,'30 days CF Table(USD)'!G58,BS_RE33!$F$7:$F$874,'30 days CF Table(USD)'!$C$2)</f>
        <v>0</v>
      </c>
      <c r="AN58" s="337">
        <f>SUMIFS(BS_RE33!$H$7:$H$874,BS_RE33!$S$7:$S$874,$AN$2,BS_RE33!$N$7:$N$874,I58,BS_RE33!$P$7:$P$874,'30 days CF Table(USD)'!G58,BS_RE33!$F$7:$F$874,'30 days CF Table(USD)'!$C$2)</f>
        <v>0</v>
      </c>
      <c r="AO58" s="337">
        <f>SUMIFS(BS_RE33!$H$7:$H$874,BS_RE33!$S$7:$S$874,$AO$2,BS_RE33!$N$7:$N$874,I58,BS_RE33!$P$7:$P$874,'30 days CF Table(USD)'!G58,BS_RE33!$F$7:$F$874,'30 days CF Table(USD)'!$C$2)</f>
        <v>0</v>
      </c>
      <c r="AP58" s="338">
        <f>SUMIFS(BS_RE33!$H$7:$H$874,BS_RE33!$S$7:$S$874,$AP$2,BS_RE33!$N$7:$N$874,I58,BS_RE33!$P$7:$P$874,'30 days CF Table(USD)'!G58,BS_RE33!$F$7:$F$874,'30 days CF Table(USD)'!$C$2)</f>
        <v>0</v>
      </c>
      <c r="AR58" s="379">
        <f>SUMIFS(BS_RE33!$H$7:$H$874,BS_RE33!$S$7:$S$874,$AR$2,BS_RE33!$N$7:$N$874,I58,BS_RE33!$P$7:$P$874,'30 days CF Table(USD)'!G58,BS_RE33!$F$7:$F$874,'30 days CF Table(USD)'!$C$2)</f>
        <v>0</v>
      </c>
      <c r="AS58" s="379">
        <f>SUMIFS(BS_RE33!$H$7:$H$874,BS_RE33!$S$7:$S$874,$AS$2,BS_RE33!$N$7:$N$874,I58,BS_RE33!$P$7:$P$874,'30 days CF Table(USD)'!G58,BS_RE33!$F$7:$F$874,'30 days CF Table(USD)'!$C$2)</f>
        <v>0</v>
      </c>
      <c r="AT58" s="379">
        <f>SUMIFS(BS_RE33!$H$7:$H$874,BS_RE33!$S$7:$S$874,$AT$2,BS_RE33!$N$7:$N$874,I58,BS_RE33!$P$7:$P$874,'30 days CF Table(USD)'!G58,BS_RE33!$F$7:$F$874,'30 days CF Table(USD)'!$C$2)</f>
        <v>0</v>
      </c>
      <c r="AU58" s="379">
        <f>SUMIFS(BS_RE33!$H$7:$H$874,BS_RE33!$S$7:$S$874,$AU$2,BS_RE33!$N$7:$N$874,I58,BS_RE33!$P$7:$P$874,'30 days CF Table(USD)'!G58,BS_RE33!$F$7:$F$874,'30 days CF Table(USD)'!$C$2)</f>
        <v>0</v>
      </c>
      <c r="AV58" s="379">
        <f>SUMIFS(BS_RE33!$H$7:$H$874,BS_RE33!$S$7:$S$874,$AV$2,BS_RE33!$N$7:$N$874,I58,BS_RE33!$P$7:$P$874,'30 days CF Table(USD)'!G58,BS_RE33!$F$7:$F$874,'30 days CF Table(USD)'!$C$2)</f>
        <v>0</v>
      </c>
      <c r="AW58" s="379">
        <f>SUMIFS(BS_RE33!$H$7:$H$874,BS_RE33!$S$7:$S$874,$AW$2,BS_RE33!$N$7:$N$874,I58,BS_RE33!$P$7:$P$874,'30 days CF Table(USD)'!G58,BS_RE33!$F$7:$F$874,'30 days CF Table(USD)'!$C$2)</f>
        <v>0</v>
      </c>
      <c r="AX58" s="379">
        <f>SUMIFS(BS_RE33!$H$7:$H$874,BS_RE33!$S$7:$S$874,$AX$2,BS_RE33!$N$7:$N$874,I58,BS_RE33!$P$7:$P$874,'30 days CF Table(USD)'!G58,BS_RE33!$F$7:$F$874,'30 days CF Table(USD)'!$C$2)</f>
        <v>0</v>
      </c>
      <c r="AY58" s="379">
        <f>SUMIFS(BS_RE33!$H$7:$H$874,BS_RE33!$S$7:$S$874,$AY$2,BS_RE33!$N$7:$N$874,I58,BS_RE33!$P$7:$P$874,'30 days CF Table(USD)'!G58,BS_RE33!$F$7:$F$874,'30 days CF Table(USD)'!$C$2)</f>
        <v>0</v>
      </c>
      <c r="AZ58" s="379">
        <f>SUMIFS(BS_RE33!$H$7:$H$874,BS_RE33!$S$7:$S$874,$AZ$2,BS_RE33!$N$7:$N$874,I58,BS_RE33!$P$7:$P$874,'30 days CF Table(USD)'!G58,BS_RE33!$F$7:$F$874,'30 days CF Table(USD)'!$C$2)</f>
        <v>0</v>
      </c>
      <c r="BA58" s="379">
        <f>SUMIFS(BS_RE33!$H$7:$H$874,BS_RE33!$S$7:$S$874,$BA$2,BS_RE33!$N$7:$N$874,I58,BS_RE33!$P$7:$P$874,'30 days CF Table(USD)'!G58,BS_RE33!$F$7:$F$874,'30 days CF Table(USD)'!$C$2)</f>
        <v>0</v>
      </c>
      <c r="BB58" s="379">
        <f>SUMIFS(BS_RE33!$H$7:$H$874,BS_RE33!$S$7:$S$874,$BB$2,BS_RE33!$N$7:$N$874,I58,BS_RE33!$P$7:$P$874,'30 days CF Table(USD)'!G58,BS_RE33!$F$7:$F$874,'30 days CF Table(USD)'!$C$2)</f>
        <v>0</v>
      </c>
      <c r="BC58" s="379">
        <f>SUMIFS(BS_RE33!$H$7:$H$874,BS_RE33!$S$7:$S$874,$BC$2,BS_RE33!$N$7:$N$874,I58,BS_RE33!$P$7:$P$874,'30 days CF Table(USD)'!G58,BS_RE33!$F$7:$F$874,'30 days CF Table(USD)'!$C$2)</f>
        <v>0</v>
      </c>
      <c r="BD58" s="379">
        <f>SUMIFS(BS_RE33!$H$7:$H$874,BS_RE33!$S$7:$S$874,$BD$2,BS_RE33!$N$7:$N$874,I58,BS_RE33!$P$7:$P$874,'30 days CF Table(USD)'!G58,BS_RE33!$F$7:$F$874,'30 days CF Table(USD)'!$C$2)</f>
        <v>0</v>
      </c>
      <c r="BE58" s="379">
        <f>SUMIFS(BS_RE33!$H$7:$H$874,BS_RE33!$S$7:$S$874,$BE$2,BS_RE33!$N$7:$N$874,I58,BS_RE33!$P$7:$P$874,'30 days CF Table(USD)'!G58,BS_RE33!$F$7:$F$874,'30 days CF Table(USD)'!$C$2)</f>
        <v>0</v>
      </c>
      <c r="BF58" s="379">
        <f>SUMIFS(BS_RE33!$H$7:$H$874,BS_RE33!$S$7:$S$874,$BF$2,BS_RE33!$N$7:$N$874,I58,BS_RE33!$P$7:$P$874,'30 days CF Table(USD)'!G58,BS_RE33!$F$7:$F$874,'30 days CF Table(USD)'!$C$2)</f>
        <v>0</v>
      </c>
      <c r="BG58" s="379">
        <f>SUMIFS(BS_RE33!$H$7:$H$874,BS_RE33!$S$7:$S$874,$BG$2,BS_RE33!$N$7:$N$874,I58,BS_RE33!$P$7:$P$874,'30 days CF Table(USD)'!G58,BS_RE33!$F$7:$F$874,'30 days CF Table(USD)'!$C$2)</f>
        <v>0</v>
      </c>
      <c r="BH58" s="379">
        <f>SUMIFS(BS_RE33!$H$7:$H$874,BS_RE33!$S$7:$S$874,$BH$2,BS_RE33!$N$7:$N$874,I58,BS_RE33!$P$7:$P$874,'30 days CF Table(USD)'!G58,BS_RE33!$F$7:$F$874,'30 days CF Table(USD)'!$C$2)</f>
        <v>0</v>
      </c>
      <c r="BI58" s="379">
        <f>SUMIFS(BS_RE33!$H$7:$H$874,BS_RE33!$S$7:$S$874,$BI$2,BS_RE33!$N$7:$N$874,I58,BS_RE33!$P$7:$P$874,'30 days CF Table(USD)'!G58,BS_RE33!$F$7:$F$874,'30 days CF Table(USD)'!$C$2)</f>
        <v>0</v>
      </c>
      <c r="BJ58" s="379">
        <f>SUMIFS(BS_RE33!$H$7:$H$874,BS_RE33!$S$7:$S$874,$BJ$2,BS_RE33!$N$7:$N$874,I58,BS_RE33!$P$7:$P$874,'30 days CF Table(USD)'!G58,BS_RE33!$F$7:$F$874,'30 days CF Table(USD)'!$C$2)</f>
        <v>0</v>
      </c>
      <c r="BK58" s="379">
        <f>SUMIFS(BS_RE33!$H$7:$H$874,BS_RE33!$S$7:$S$874,$BK$2,BS_RE33!$N$7:$N$874,I58,BS_RE33!$P$7:$P$874,'30 days CF Table(USD)'!G58,BS_RE33!$F$7:$F$874,'30 days CF Table(USD)'!$C$2)</f>
        <v>0</v>
      </c>
    </row>
    <row r="59" spans="3:63">
      <c r="C59" s="1027"/>
      <c r="D59" s="1039"/>
      <c r="E59" s="105" t="s">
        <v>96</v>
      </c>
      <c r="F59" s="312" t="s">
        <v>493</v>
      </c>
      <c r="G59" s="392" t="s">
        <v>1251</v>
      </c>
      <c r="H59" s="317">
        <v>0.4</v>
      </c>
      <c r="I59" s="315" t="s">
        <v>80</v>
      </c>
      <c r="J59" s="479">
        <f t="shared" si="2"/>
        <v>0</v>
      </c>
      <c r="K59" s="336">
        <f t="shared" si="3"/>
        <v>0</v>
      </c>
      <c r="L59" s="337">
        <f>SUMIFS(BS_RE33!$H$7:$H$874,BS_RE33!$S$7:$S$874,$L$2,BS_RE33!$N$7:$N$874,I59,BS_RE33!$P$7:$P$874,'30 days CF Table(USD)'!G59,BS_RE33!$F$7:$F$874,'30 days CF Table(USD)'!$C$2)</f>
        <v>0</v>
      </c>
      <c r="M59" s="337">
        <f>SUMIFS(BS_RE33!$H$7:$H$874,BS_RE33!$S$7:$S$874,$M$2,BS_RE33!$N$7:$N$874,I59,BS_RE33!$P$7:$P$874,'30 days CF Table(USD)'!G59,BS_RE33!$F$7:$F$874,'30 days CF Table(USD)'!$C$2)</f>
        <v>0</v>
      </c>
      <c r="N59" s="337">
        <f>SUMIFS(BS_RE33!$H$7:$H$874,BS_RE33!$S$7:$S$874,$N$2,BS_RE33!$N$7:$N$874,I59,BS_RE33!$P$7:$P$874,'30 days CF Table(USD)'!G59,BS_RE33!$F$7:$F$874,'30 days CF Table(USD)'!$C$2)</f>
        <v>0</v>
      </c>
      <c r="O59" s="337">
        <f>SUMIFS(BS_RE33!$H$7:$H$874,BS_RE33!$S$7:$S$874,$O$2,BS_RE33!$N$7:$N$874,I59,BS_RE33!$P$7:$P$874,'30 days CF Table(USD)'!G59,BS_RE33!$F$7:$F$874,'30 days CF Table(USD)'!$C$2)</f>
        <v>0</v>
      </c>
      <c r="P59" s="337">
        <f>SUMIFS(BS_RE33!$H$7:$H$874,BS_RE33!$S$7:$S$874,$P$2,BS_RE33!$N$7:$N$874,I59,BS_RE33!$P$7:$P$874,'30 days CF Table(USD)'!G59,BS_RE33!$F$7:$F$874,'30 days CF Table(USD)'!$C$2)</f>
        <v>0</v>
      </c>
      <c r="Q59" s="337">
        <f>SUMIFS(BS_RE33!$H$7:$H$874,BS_RE33!$S$7:$S$874,$Q$2,BS_RE33!$N$7:$N$874,I59,BS_RE33!$P$7:$P$874,'30 days CF Table(USD)'!G59,BS_RE33!$F$7:$F$874,'30 days CF Table(USD)'!$C$2)</f>
        <v>0</v>
      </c>
      <c r="R59" s="337">
        <f>SUMIFS(BS_RE33!$H$7:$H$874,BS_RE33!$S$7:$S$874,$R$2,BS_RE33!$N$7:$N$874,I59,BS_RE33!$P$7:$P$874,'30 days CF Table(USD)'!G59,BS_RE33!$F$7:$F$874,'30 days CF Table(USD)'!$C$2)</f>
        <v>0</v>
      </c>
      <c r="S59" s="337">
        <f>SUMIFS(BS_RE33!$H$7:$H$874,BS_RE33!$S$7:$S$874,$S$2,BS_RE33!$N$7:$N$874,I59,BS_RE33!$P$7:$P$874,'30 days CF Table(USD)'!G59,BS_RE33!$F$7:$F$874,'30 days CF Table(USD)'!$C$2)</f>
        <v>0</v>
      </c>
      <c r="T59" s="337">
        <f>SUMIFS(BS_RE33!$H$7:$H$874,BS_RE33!$S$7:$S$874,$T$2,BS_RE33!$N$7:$N$874,I59,BS_RE33!$P$7:$P$874,'30 days CF Table(USD)'!G59,BS_RE33!$F$7:$F$874,'30 days CF Table(USD)'!$C$2)</f>
        <v>0</v>
      </c>
      <c r="U59" s="337">
        <f>SUMIFS(BS_RE33!$H$7:$H$874,BS_RE33!$S$7:$S$874,$U$2,BS_RE33!$N$7:$N$874,I59,BS_RE33!$P$7:$P$874,'30 days CF Table(USD)'!G59,BS_RE33!$F$7:$F$874,'30 days CF Table(USD)'!$C$2)</f>
        <v>0</v>
      </c>
      <c r="V59" s="337">
        <f>SUMIFS(BS_RE33!$H$7:$H$874,BS_RE33!$S$7:$S$874,$V$2,BS_RE33!$N$7:$N$874,I59,BS_RE33!$P$7:$P$874,'30 days CF Table(USD)'!G59,BS_RE33!$F$7:$F$874,'30 days CF Table(USD)'!$C$2)</f>
        <v>0</v>
      </c>
      <c r="W59" s="337">
        <f>SUMIFS(BS_RE33!$H$7:$H$874,BS_RE33!$S$7:$S$874,$W$2,BS_RE33!$N$7:$N$874,I59,BS_RE33!$P$7:$P$874,'30 days CF Table(USD)'!G59,BS_RE33!$F$7:$F$874,'30 days CF Table(USD)'!$C$2)</f>
        <v>0</v>
      </c>
      <c r="X59" s="337">
        <f>SUMIFS(BS_RE33!$H$7:$H$874,BS_RE33!$S$7:$S$874,$X$2,BS_RE33!$N$7:$N$874,I59,BS_RE33!$P$7:$P$874,'30 days CF Table(USD)'!G59,BS_RE33!$F$7:$F$874,'30 days CF Table(USD)'!$C$2)</f>
        <v>0</v>
      </c>
      <c r="Y59" s="337">
        <f>SUMIFS(BS_RE33!$H$7:$H$874,BS_RE33!$S$7:$S$874,$Y$2,BS_RE33!$N$7:$N$874,I59,BS_RE33!$P$7:$P$874,'30 days CF Table(USD)'!G59,BS_RE33!$F$7:$F$874,'30 days CF Table(USD)'!$C$2)</f>
        <v>0</v>
      </c>
      <c r="Z59" s="337">
        <f>SUMIFS(BS_RE33!$H$7:$H$874,BS_RE33!$S$7:$S$874,$Z$2,BS_RE33!$N$7:$N$874,I59,BS_RE33!$P$7:$P$874,'30 days CF Table(USD)'!G59,BS_RE33!$F$7:$F$874,'30 days CF Table(USD)'!$C$2)</f>
        <v>0</v>
      </c>
      <c r="AA59" s="337">
        <f>SUMIFS(BS_RE33!$H$7:$H$874,BS_RE33!$S$7:$S$874,$AA$2,BS_RE33!$N$7:$N$874,I59,BS_RE33!$P$7:$P$874,'30 days CF Table(USD)'!G59,BS_RE33!$F$7:$F$874,'30 days CF Table(USD)'!$C$2)</f>
        <v>0</v>
      </c>
      <c r="AB59" s="337">
        <f>SUMIFS(BS_RE33!$H$7:$H$874,BS_RE33!$S$7:$S$874,$AB$2,BS_RE33!$N$7:$N$874,I59,BS_RE33!$P$7:$P$874,'30 days CF Table(USD)'!G59,BS_RE33!$F$7:$F$874,'30 days CF Table(USD)'!$C$2)</f>
        <v>0</v>
      </c>
      <c r="AC59" s="337">
        <f>SUMIFS(BS_RE33!$H$7:$H$874,BS_RE33!$S$7:$S$874,$AC$2,BS_RE33!$N$7:$N$874,I59,BS_RE33!$P$7:$P$874,'30 days CF Table(USD)'!G59,BS_RE33!$F$7:$F$874,'30 days CF Table(USD)'!$C$2)</f>
        <v>0</v>
      </c>
      <c r="AD59" s="337">
        <f>SUMIFS(BS_RE33!$H$7:$H$874,BS_RE33!$S$7:$S$874,$AD$2,BS_RE33!$N$7:$N$874,I59,BS_RE33!$P$7:$P$874,'30 days CF Table(USD)'!G59,BS_RE33!$F$7:$F$874,'30 days CF Table(USD)'!$C$2)</f>
        <v>0</v>
      </c>
      <c r="AE59" s="337">
        <f>SUMIFS(BS_RE33!$H$7:$H$874,BS_RE33!$S$7:$S$874,$AE$2,BS_RE33!$N$7:$N$874,I59,BS_RE33!$P$7:$P$874,'30 days CF Table(USD)'!G59,BS_RE33!$F$7:$F$874,'30 days CF Table(USD)'!$C$2)</f>
        <v>0</v>
      </c>
      <c r="AF59" s="337">
        <f>SUMIFS(BS_RE33!$H$7:$H$874,BS_RE33!$S$7:$S$874,$AF$2,BS_RE33!$N$7:$N$874,I59,BS_RE33!$P$7:$P$874,'30 days CF Table(USD)'!G59,BS_RE33!$F$7:$F$874,'30 days CF Table(USD)'!$C$2)</f>
        <v>0</v>
      </c>
      <c r="AG59" s="337">
        <f>SUMIFS(BS_RE33!$H$7:$H$874,BS_RE33!$S$7:$S$874,$AG$2,BS_RE33!$N$7:$N$874,I59,BS_RE33!$P$7:$P$874,'30 days CF Table(USD)'!G59,BS_RE33!$F$7:$F$874,'30 days CF Table(USD)'!$C$2)</f>
        <v>0</v>
      </c>
      <c r="AH59" s="337">
        <f>SUMIFS(BS_RE33!$H$7:$H$874,BS_RE33!$S$7:$S$874,$AH$2,BS_RE33!$N$7:$N$874,I59,BS_RE33!$P$7:$P$874,'30 days CF Table(USD)'!G59,BS_RE33!$F$7:$F$874,'30 days CF Table(USD)'!$C$2)</f>
        <v>0</v>
      </c>
      <c r="AI59" s="337">
        <f>SUMIFS(BS_RE33!$H$7:$H$874,BS_RE33!$S$7:$S$874,$AI$2,BS_RE33!$N$7:$N$874,I59,BS_RE33!$P$7:$P$874,'30 days CF Table(USD)'!G59,BS_RE33!$F$7:$F$874,'30 days CF Table(USD)'!$C$2)</f>
        <v>0</v>
      </c>
      <c r="AJ59" s="337">
        <f>SUMIFS(BS_RE33!$H$7:$H$874,BS_RE33!$S$7:$S$874,$AJ$2,BS_RE33!$N$7:$N$874,I59,BS_RE33!$P$7:$P$874,'30 days CF Table(USD)'!G59,BS_RE33!$F$7:$F$874,'30 days CF Table(USD)'!$C$2)</f>
        <v>0</v>
      </c>
      <c r="AK59" s="337">
        <f>SUMIFS(BS_RE33!$H$7:$H$874,BS_RE33!$S$7:$S$874,$AK$2,BS_RE33!$N$7:$N$874,I59,BS_RE33!$P$7:$P$874,'30 days CF Table(USD)'!G59,BS_RE33!$F$7:$F$874,'30 days CF Table(USD)'!$C$2)</f>
        <v>0</v>
      </c>
      <c r="AL59" s="337">
        <f>SUMIFS(BS_RE33!$H$7:$H$874,BS_RE33!$S$7:$S$874,$AL$2,BS_RE33!$N$7:$N$874,I59,BS_RE33!$P$7:$P$874,'30 days CF Table(USD)'!G59,BS_RE33!$F$7:$F$874,'30 days CF Table(USD)'!$C$2)</f>
        <v>0</v>
      </c>
      <c r="AM59" s="337">
        <f>SUMIFS(BS_RE33!$H$7:$H$874,BS_RE33!$S$7:$S$874,$AM$2,BS_RE33!$N$7:$N$874,I59,BS_RE33!$P$7:$P$874,'30 days CF Table(USD)'!G59,BS_RE33!$F$7:$F$874,'30 days CF Table(USD)'!$C$2)</f>
        <v>0</v>
      </c>
      <c r="AN59" s="337">
        <f>SUMIFS(BS_RE33!$H$7:$H$874,BS_RE33!$S$7:$S$874,$AN$2,BS_RE33!$N$7:$N$874,I59,BS_RE33!$P$7:$P$874,'30 days CF Table(USD)'!G59,BS_RE33!$F$7:$F$874,'30 days CF Table(USD)'!$C$2)</f>
        <v>0</v>
      </c>
      <c r="AO59" s="337">
        <f>SUMIFS(BS_RE33!$H$7:$H$874,BS_RE33!$S$7:$S$874,$AO$2,BS_RE33!$N$7:$N$874,I59,BS_RE33!$P$7:$P$874,'30 days CF Table(USD)'!G59,BS_RE33!$F$7:$F$874,'30 days CF Table(USD)'!$C$2)</f>
        <v>0</v>
      </c>
      <c r="AP59" s="338">
        <f>SUMIFS(BS_RE33!$H$7:$H$874,BS_RE33!$S$7:$S$874,$AP$2,BS_RE33!$N$7:$N$874,I59,BS_RE33!$P$7:$P$874,'30 days CF Table(USD)'!G59,BS_RE33!$F$7:$F$874,'30 days CF Table(USD)'!$C$2)</f>
        <v>0</v>
      </c>
      <c r="AR59" s="379">
        <f>SUMIFS(BS_RE33!$H$7:$H$874,BS_RE33!$S$7:$S$874,$AR$2,BS_RE33!$N$7:$N$874,I59,BS_RE33!$P$7:$P$874,'30 days CF Table(USD)'!G59,BS_RE33!$F$7:$F$874,'30 days CF Table(USD)'!$C$2)</f>
        <v>0</v>
      </c>
      <c r="AS59" s="379">
        <f>SUMIFS(BS_RE33!$H$7:$H$874,BS_RE33!$S$7:$S$874,$AS$2,BS_RE33!$N$7:$N$874,I59,BS_RE33!$P$7:$P$874,'30 days CF Table(USD)'!G59,BS_RE33!$F$7:$F$874,'30 days CF Table(USD)'!$C$2)</f>
        <v>0</v>
      </c>
      <c r="AT59" s="379">
        <f>SUMIFS(BS_RE33!$H$7:$H$874,BS_RE33!$S$7:$S$874,$AT$2,BS_RE33!$N$7:$N$874,I59,BS_RE33!$P$7:$P$874,'30 days CF Table(USD)'!G59,BS_RE33!$F$7:$F$874,'30 days CF Table(USD)'!$C$2)</f>
        <v>0</v>
      </c>
      <c r="AU59" s="379">
        <f>SUMIFS(BS_RE33!$H$7:$H$874,BS_RE33!$S$7:$S$874,$AU$2,BS_RE33!$N$7:$N$874,I59,BS_RE33!$P$7:$P$874,'30 days CF Table(USD)'!G59,BS_RE33!$F$7:$F$874,'30 days CF Table(USD)'!$C$2)</f>
        <v>0</v>
      </c>
      <c r="AV59" s="379">
        <f>SUMIFS(BS_RE33!$H$7:$H$874,BS_RE33!$S$7:$S$874,$AV$2,BS_RE33!$N$7:$N$874,I59,BS_RE33!$P$7:$P$874,'30 days CF Table(USD)'!G59,BS_RE33!$F$7:$F$874,'30 days CF Table(USD)'!$C$2)</f>
        <v>0</v>
      </c>
      <c r="AW59" s="379">
        <f>SUMIFS(BS_RE33!$H$7:$H$874,BS_RE33!$S$7:$S$874,$AW$2,BS_RE33!$N$7:$N$874,I59,BS_RE33!$P$7:$P$874,'30 days CF Table(USD)'!G59,BS_RE33!$F$7:$F$874,'30 days CF Table(USD)'!$C$2)</f>
        <v>0</v>
      </c>
      <c r="AX59" s="379">
        <f>SUMIFS(BS_RE33!$H$7:$H$874,BS_RE33!$S$7:$S$874,$AX$2,BS_RE33!$N$7:$N$874,I59,BS_RE33!$P$7:$P$874,'30 days CF Table(USD)'!G59,BS_RE33!$F$7:$F$874,'30 days CF Table(USD)'!$C$2)</f>
        <v>0</v>
      </c>
      <c r="AY59" s="379">
        <f>SUMIFS(BS_RE33!$H$7:$H$874,BS_RE33!$S$7:$S$874,$AY$2,BS_RE33!$N$7:$N$874,I59,BS_RE33!$P$7:$P$874,'30 days CF Table(USD)'!G59,BS_RE33!$F$7:$F$874,'30 days CF Table(USD)'!$C$2)</f>
        <v>0</v>
      </c>
      <c r="AZ59" s="379">
        <f>SUMIFS(BS_RE33!$H$7:$H$874,BS_RE33!$S$7:$S$874,$AZ$2,BS_RE33!$N$7:$N$874,I59,BS_RE33!$P$7:$P$874,'30 days CF Table(USD)'!G59,BS_RE33!$F$7:$F$874,'30 days CF Table(USD)'!$C$2)</f>
        <v>0</v>
      </c>
      <c r="BA59" s="379">
        <f>SUMIFS(BS_RE33!$H$7:$H$874,BS_RE33!$S$7:$S$874,$BA$2,BS_RE33!$N$7:$N$874,I59,BS_RE33!$P$7:$P$874,'30 days CF Table(USD)'!G59,BS_RE33!$F$7:$F$874,'30 days CF Table(USD)'!$C$2)</f>
        <v>0</v>
      </c>
      <c r="BB59" s="379">
        <f>SUMIFS(BS_RE33!$H$7:$H$874,BS_RE33!$S$7:$S$874,$BB$2,BS_RE33!$N$7:$N$874,I59,BS_RE33!$P$7:$P$874,'30 days CF Table(USD)'!G59,BS_RE33!$F$7:$F$874,'30 days CF Table(USD)'!$C$2)</f>
        <v>0</v>
      </c>
      <c r="BC59" s="379">
        <f>SUMIFS(BS_RE33!$H$7:$H$874,BS_RE33!$S$7:$S$874,$BC$2,BS_RE33!$N$7:$N$874,I59,BS_RE33!$P$7:$P$874,'30 days CF Table(USD)'!G59,BS_RE33!$F$7:$F$874,'30 days CF Table(USD)'!$C$2)</f>
        <v>0</v>
      </c>
      <c r="BD59" s="379">
        <f>SUMIFS(BS_RE33!$H$7:$H$874,BS_RE33!$S$7:$S$874,$BD$2,BS_RE33!$N$7:$N$874,I59,BS_RE33!$P$7:$P$874,'30 days CF Table(USD)'!G59,BS_RE33!$F$7:$F$874,'30 days CF Table(USD)'!$C$2)</f>
        <v>0</v>
      </c>
      <c r="BE59" s="379">
        <f>SUMIFS(BS_RE33!$H$7:$H$874,BS_RE33!$S$7:$S$874,$BE$2,BS_RE33!$N$7:$N$874,I59,BS_RE33!$P$7:$P$874,'30 days CF Table(USD)'!G59,BS_RE33!$F$7:$F$874,'30 days CF Table(USD)'!$C$2)</f>
        <v>0</v>
      </c>
      <c r="BF59" s="379">
        <f>SUMIFS(BS_RE33!$H$7:$H$874,BS_RE33!$S$7:$S$874,$BF$2,BS_RE33!$N$7:$N$874,I59,BS_RE33!$P$7:$P$874,'30 days CF Table(USD)'!G59,BS_RE33!$F$7:$F$874,'30 days CF Table(USD)'!$C$2)</f>
        <v>0</v>
      </c>
      <c r="BG59" s="379">
        <f>SUMIFS(BS_RE33!$H$7:$H$874,BS_RE33!$S$7:$S$874,$BG$2,BS_RE33!$N$7:$N$874,I59,BS_RE33!$P$7:$P$874,'30 days CF Table(USD)'!G59,BS_RE33!$F$7:$F$874,'30 days CF Table(USD)'!$C$2)</f>
        <v>0</v>
      </c>
      <c r="BH59" s="379">
        <f>SUMIFS(BS_RE33!$H$7:$H$874,BS_RE33!$S$7:$S$874,$BH$2,BS_RE33!$N$7:$N$874,I59,BS_RE33!$P$7:$P$874,'30 days CF Table(USD)'!G59,BS_RE33!$F$7:$F$874,'30 days CF Table(USD)'!$C$2)</f>
        <v>0</v>
      </c>
      <c r="BI59" s="379">
        <f>SUMIFS(BS_RE33!$H$7:$H$874,BS_RE33!$S$7:$S$874,$BI$2,BS_RE33!$N$7:$N$874,I59,BS_RE33!$P$7:$P$874,'30 days CF Table(USD)'!G59,BS_RE33!$F$7:$F$874,'30 days CF Table(USD)'!$C$2)</f>
        <v>0</v>
      </c>
      <c r="BJ59" s="379">
        <f>SUMIFS(BS_RE33!$H$7:$H$874,BS_RE33!$S$7:$S$874,$BJ$2,BS_RE33!$N$7:$N$874,I59,BS_RE33!$P$7:$P$874,'30 days CF Table(USD)'!G59,BS_RE33!$F$7:$F$874,'30 days CF Table(USD)'!$C$2)</f>
        <v>0</v>
      </c>
      <c r="BK59" s="379">
        <f>SUMIFS(BS_RE33!$H$7:$H$874,BS_RE33!$S$7:$S$874,$BK$2,BS_RE33!$N$7:$N$874,I59,BS_RE33!$P$7:$P$874,'30 days CF Table(USD)'!G59,BS_RE33!$F$7:$F$874,'30 days CF Table(USD)'!$C$2)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Table(USD)'!G60,BS_RE33!$F$7:$F$874,'30 days CF Table(USD)'!$C$2)</f>
        <v>0</v>
      </c>
      <c r="M60" s="337">
        <f>SUMIFS(BS_RE33!$H$7:$H$874,BS_RE33!$S$7:$S$874,$M$2,BS_RE33!$N$7:$N$874,I60,BS_RE33!$P$7:$P$874,'30 days CF Table(USD)'!G60,BS_RE33!$F$7:$F$874,'30 days CF Table(USD)'!$C$2)</f>
        <v>0</v>
      </c>
      <c r="N60" s="337">
        <f>SUMIFS(BS_RE33!$H$7:$H$874,BS_RE33!$S$7:$S$874,$N$2,BS_RE33!$N$7:$N$874,I60,BS_RE33!$P$7:$P$874,'30 days CF Table(USD)'!G60,BS_RE33!$F$7:$F$874,'30 days CF Table(USD)'!$C$2)</f>
        <v>0</v>
      </c>
      <c r="O60" s="337">
        <f>SUMIFS(BS_RE33!$H$7:$H$874,BS_RE33!$S$7:$S$874,$O$2,BS_RE33!$N$7:$N$874,I60,BS_RE33!$P$7:$P$874,'30 days CF Table(USD)'!G60,BS_RE33!$F$7:$F$874,'30 days CF Table(USD)'!$C$2)</f>
        <v>0</v>
      </c>
      <c r="P60" s="337">
        <f>SUMIFS(BS_RE33!$H$7:$H$874,BS_RE33!$S$7:$S$874,$P$2,BS_RE33!$N$7:$N$874,I60,BS_RE33!$P$7:$P$874,'30 days CF Table(USD)'!G60,BS_RE33!$F$7:$F$874,'30 days CF Table(USD)'!$C$2)</f>
        <v>0</v>
      </c>
      <c r="Q60" s="337">
        <f>SUMIFS(BS_RE33!$H$7:$H$874,BS_RE33!$S$7:$S$874,$Q$2,BS_RE33!$N$7:$N$874,I60,BS_RE33!$P$7:$P$874,'30 days CF Table(USD)'!G60,BS_RE33!$F$7:$F$874,'30 days CF Table(USD)'!$C$2)</f>
        <v>0</v>
      </c>
      <c r="R60" s="337">
        <f>SUMIFS(BS_RE33!$H$7:$H$874,BS_RE33!$S$7:$S$874,$R$2,BS_RE33!$N$7:$N$874,I60,BS_RE33!$P$7:$P$874,'30 days CF Table(USD)'!G60,BS_RE33!$F$7:$F$874,'30 days CF Table(USD)'!$C$2)</f>
        <v>0</v>
      </c>
      <c r="S60" s="337">
        <f>SUMIFS(BS_RE33!$H$7:$H$874,BS_RE33!$S$7:$S$874,$S$2,BS_RE33!$N$7:$N$874,I60,BS_RE33!$P$7:$P$874,'30 days CF Table(USD)'!G60,BS_RE33!$F$7:$F$874,'30 days CF Table(USD)'!$C$2)</f>
        <v>0</v>
      </c>
      <c r="T60" s="337">
        <f>SUMIFS(BS_RE33!$H$7:$H$874,BS_RE33!$S$7:$S$874,$T$2,BS_RE33!$N$7:$N$874,I60,BS_RE33!$P$7:$P$874,'30 days CF Table(USD)'!G60,BS_RE33!$F$7:$F$874,'30 days CF Table(USD)'!$C$2)</f>
        <v>0</v>
      </c>
      <c r="U60" s="337">
        <f>SUMIFS(BS_RE33!$H$7:$H$874,BS_RE33!$S$7:$S$874,$U$2,BS_RE33!$N$7:$N$874,I60,BS_RE33!$P$7:$P$874,'30 days CF Table(USD)'!G60,BS_RE33!$F$7:$F$874,'30 days CF Table(USD)'!$C$2)</f>
        <v>0</v>
      </c>
      <c r="V60" s="337">
        <f>SUMIFS(BS_RE33!$H$7:$H$874,BS_RE33!$S$7:$S$874,$V$2,BS_RE33!$N$7:$N$874,I60,BS_RE33!$P$7:$P$874,'30 days CF Table(USD)'!G60,BS_RE33!$F$7:$F$874,'30 days CF Table(USD)'!$C$2)</f>
        <v>0</v>
      </c>
      <c r="W60" s="337">
        <f>SUMIFS(BS_RE33!$H$7:$H$874,BS_RE33!$S$7:$S$874,$W$2,BS_RE33!$N$7:$N$874,I60,BS_RE33!$P$7:$P$874,'30 days CF Table(USD)'!G60,BS_RE33!$F$7:$F$874,'30 days CF Table(USD)'!$C$2)</f>
        <v>0</v>
      </c>
      <c r="X60" s="337">
        <f>SUMIFS(BS_RE33!$H$7:$H$874,BS_RE33!$S$7:$S$874,$X$2,BS_RE33!$N$7:$N$874,I60,BS_RE33!$P$7:$P$874,'30 days CF Table(USD)'!G60,BS_RE33!$F$7:$F$874,'30 days CF Table(USD)'!$C$2)</f>
        <v>0</v>
      </c>
      <c r="Y60" s="337">
        <f>SUMIFS(BS_RE33!$H$7:$H$874,BS_RE33!$S$7:$S$874,$Y$2,BS_RE33!$N$7:$N$874,I60,BS_RE33!$P$7:$P$874,'30 days CF Table(USD)'!G60,BS_RE33!$F$7:$F$874,'30 days CF Table(USD)'!$C$2)</f>
        <v>0</v>
      </c>
      <c r="Z60" s="337">
        <f>SUMIFS(BS_RE33!$H$7:$H$874,BS_RE33!$S$7:$S$874,$Z$2,BS_RE33!$N$7:$N$874,I60,BS_RE33!$P$7:$P$874,'30 days CF Table(USD)'!G60,BS_RE33!$F$7:$F$874,'30 days CF Table(USD)'!$C$2)</f>
        <v>0</v>
      </c>
      <c r="AA60" s="337">
        <f>SUMIFS(BS_RE33!$H$7:$H$874,BS_RE33!$S$7:$S$874,$AA$2,BS_RE33!$N$7:$N$874,I60,BS_RE33!$P$7:$P$874,'30 days CF Table(USD)'!G60,BS_RE33!$F$7:$F$874,'30 days CF Table(USD)'!$C$2)</f>
        <v>0</v>
      </c>
      <c r="AB60" s="337">
        <f>SUMIFS(BS_RE33!$H$7:$H$874,BS_RE33!$S$7:$S$874,$AB$2,BS_RE33!$N$7:$N$874,I60,BS_RE33!$P$7:$P$874,'30 days CF Table(USD)'!G60,BS_RE33!$F$7:$F$874,'30 days CF Table(USD)'!$C$2)</f>
        <v>0</v>
      </c>
      <c r="AC60" s="337">
        <f>SUMIFS(BS_RE33!$H$7:$H$874,BS_RE33!$S$7:$S$874,$AC$2,BS_RE33!$N$7:$N$874,I60,BS_RE33!$P$7:$P$874,'30 days CF Table(USD)'!G60,BS_RE33!$F$7:$F$874,'30 days CF Table(USD)'!$C$2)</f>
        <v>0</v>
      </c>
      <c r="AD60" s="337">
        <f>SUMIFS(BS_RE33!$H$7:$H$874,BS_RE33!$S$7:$S$874,$AD$2,BS_RE33!$N$7:$N$874,I60,BS_RE33!$P$7:$P$874,'30 days CF Table(USD)'!G60,BS_RE33!$F$7:$F$874,'30 days CF Table(USD)'!$C$2)</f>
        <v>0</v>
      </c>
      <c r="AE60" s="337">
        <f>SUMIFS(BS_RE33!$H$7:$H$874,BS_RE33!$S$7:$S$874,$AE$2,BS_RE33!$N$7:$N$874,I60,BS_RE33!$P$7:$P$874,'30 days CF Table(USD)'!G60,BS_RE33!$F$7:$F$874,'30 days CF Table(USD)'!$C$2)</f>
        <v>0</v>
      </c>
      <c r="AF60" s="337">
        <f>SUMIFS(BS_RE33!$H$7:$H$874,BS_RE33!$S$7:$S$874,$AF$2,BS_RE33!$N$7:$N$874,I60,BS_RE33!$P$7:$P$874,'30 days CF Table(USD)'!G60,BS_RE33!$F$7:$F$874,'30 days CF Table(USD)'!$C$2)</f>
        <v>0</v>
      </c>
      <c r="AG60" s="337">
        <f>SUMIFS(BS_RE33!$H$7:$H$874,BS_RE33!$S$7:$S$874,$AG$2,BS_RE33!$N$7:$N$874,I60,BS_RE33!$P$7:$P$874,'30 days CF Table(USD)'!G60,BS_RE33!$F$7:$F$874,'30 days CF Table(USD)'!$C$2)</f>
        <v>0</v>
      </c>
      <c r="AH60" s="337">
        <f>SUMIFS(BS_RE33!$H$7:$H$874,BS_RE33!$S$7:$S$874,$AH$2,BS_RE33!$N$7:$N$874,I60,BS_RE33!$P$7:$P$874,'30 days CF Table(USD)'!G60,BS_RE33!$F$7:$F$874,'30 days CF Table(USD)'!$C$2)</f>
        <v>0</v>
      </c>
      <c r="AI60" s="337">
        <f>SUMIFS(BS_RE33!$H$7:$H$874,BS_RE33!$S$7:$S$874,$AI$2,BS_RE33!$N$7:$N$874,I60,BS_RE33!$P$7:$P$874,'30 days CF Table(USD)'!G60,BS_RE33!$F$7:$F$874,'30 days CF Table(USD)'!$C$2)</f>
        <v>0</v>
      </c>
      <c r="AJ60" s="337">
        <f>SUMIFS(BS_RE33!$H$7:$H$874,BS_RE33!$S$7:$S$874,$AJ$2,BS_RE33!$N$7:$N$874,I60,BS_RE33!$P$7:$P$874,'30 days CF Table(USD)'!G60,BS_RE33!$F$7:$F$874,'30 days CF Table(USD)'!$C$2)</f>
        <v>0</v>
      </c>
      <c r="AK60" s="337">
        <f>SUMIFS(BS_RE33!$H$7:$H$874,BS_RE33!$S$7:$S$874,$AK$2,BS_RE33!$N$7:$N$874,I60,BS_RE33!$P$7:$P$874,'30 days CF Table(USD)'!G60,BS_RE33!$F$7:$F$874,'30 days CF Table(USD)'!$C$2)</f>
        <v>0</v>
      </c>
      <c r="AL60" s="337">
        <f>SUMIFS(BS_RE33!$H$7:$H$874,BS_RE33!$S$7:$S$874,$AL$2,BS_RE33!$N$7:$N$874,I60,BS_RE33!$P$7:$P$874,'30 days CF Table(USD)'!G60,BS_RE33!$F$7:$F$874,'30 days CF Table(USD)'!$C$2)</f>
        <v>0</v>
      </c>
      <c r="AM60" s="337">
        <f>SUMIFS(BS_RE33!$H$7:$H$874,BS_RE33!$S$7:$S$874,$AM$2,BS_RE33!$N$7:$N$874,I60,BS_RE33!$P$7:$P$874,'30 days CF Table(USD)'!G60,BS_RE33!$F$7:$F$874,'30 days CF Table(USD)'!$C$2)</f>
        <v>0</v>
      </c>
      <c r="AN60" s="337">
        <f>SUMIFS(BS_RE33!$H$7:$H$874,BS_RE33!$S$7:$S$874,$AN$2,BS_RE33!$N$7:$N$874,I60,BS_RE33!$P$7:$P$874,'30 days CF Table(USD)'!G60,BS_RE33!$F$7:$F$874,'30 days CF Table(USD)'!$C$2)</f>
        <v>0</v>
      </c>
      <c r="AO60" s="337">
        <f>SUMIFS(BS_RE33!$H$7:$H$874,BS_RE33!$S$7:$S$874,$AO$2,BS_RE33!$N$7:$N$874,I60,BS_RE33!$P$7:$P$874,'30 days CF Table(USD)'!G60,BS_RE33!$F$7:$F$874,'30 days CF Table(USD)'!$C$2)</f>
        <v>0</v>
      </c>
      <c r="AP60" s="338">
        <f>SUMIFS(BS_RE33!$H$7:$H$874,BS_RE33!$S$7:$S$874,$AP$2,BS_RE33!$N$7:$N$874,I60,BS_RE33!$P$7:$P$874,'30 days CF Table(USD)'!G60,BS_RE33!$F$7:$F$874,'30 days CF Table(USD)'!$C$2)</f>
        <v>0</v>
      </c>
      <c r="AR60" s="379">
        <f>SUMIFS(BS_RE33!$H$7:$H$874,BS_RE33!$S$7:$S$874,$AR$2,BS_RE33!$N$7:$N$874,I60,BS_RE33!$P$7:$P$874,'30 days CF Table(USD)'!G60,BS_RE33!$F$7:$F$874,'30 days CF Table(USD)'!$C$2)</f>
        <v>0</v>
      </c>
      <c r="AS60" s="379">
        <f>SUMIFS(BS_RE33!$H$7:$H$874,BS_RE33!$S$7:$S$874,$AS$2,BS_RE33!$N$7:$N$874,I60,BS_RE33!$P$7:$P$874,'30 days CF Table(USD)'!G60,BS_RE33!$F$7:$F$874,'30 days CF Table(USD)'!$C$2)</f>
        <v>0</v>
      </c>
      <c r="AT60" s="379">
        <f>SUMIFS(BS_RE33!$H$7:$H$874,BS_RE33!$S$7:$S$874,$AT$2,BS_RE33!$N$7:$N$874,I60,BS_RE33!$P$7:$P$874,'30 days CF Table(USD)'!G60,BS_RE33!$F$7:$F$874,'30 days CF Table(USD)'!$C$2)</f>
        <v>0</v>
      </c>
      <c r="AU60" s="379">
        <f>SUMIFS(BS_RE33!$H$7:$H$874,BS_RE33!$S$7:$S$874,$AU$2,BS_RE33!$N$7:$N$874,I60,BS_RE33!$P$7:$P$874,'30 days CF Table(USD)'!G60,BS_RE33!$F$7:$F$874,'30 days CF Table(USD)'!$C$2)</f>
        <v>0</v>
      </c>
      <c r="AV60" s="379">
        <f>SUMIFS(BS_RE33!$H$7:$H$874,BS_RE33!$S$7:$S$874,$AV$2,BS_RE33!$N$7:$N$874,I60,BS_RE33!$P$7:$P$874,'30 days CF Table(USD)'!G60,BS_RE33!$F$7:$F$874,'30 days CF Table(USD)'!$C$2)</f>
        <v>0</v>
      </c>
      <c r="AW60" s="379">
        <f>SUMIFS(BS_RE33!$H$7:$H$874,BS_RE33!$S$7:$S$874,$AW$2,BS_RE33!$N$7:$N$874,I60,BS_RE33!$P$7:$P$874,'30 days CF Table(USD)'!G60,BS_RE33!$F$7:$F$874,'30 days CF Table(USD)'!$C$2)</f>
        <v>0</v>
      </c>
      <c r="AX60" s="379">
        <f>SUMIFS(BS_RE33!$H$7:$H$874,BS_RE33!$S$7:$S$874,$AX$2,BS_RE33!$N$7:$N$874,I60,BS_RE33!$P$7:$P$874,'30 days CF Table(USD)'!G60,BS_RE33!$F$7:$F$874,'30 days CF Table(USD)'!$C$2)</f>
        <v>0</v>
      </c>
      <c r="AY60" s="379">
        <f>SUMIFS(BS_RE33!$H$7:$H$874,BS_RE33!$S$7:$S$874,$AY$2,BS_RE33!$N$7:$N$874,I60,BS_RE33!$P$7:$P$874,'30 days CF Table(USD)'!G60,BS_RE33!$F$7:$F$874,'30 days CF Table(USD)'!$C$2)</f>
        <v>0</v>
      </c>
      <c r="AZ60" s="379">
        <f>SUMIFS(BS_RE33!$H$7:$H$874,BS_RE33!$S$7:$S$874,$AZ$2,BS_RE33!$N$7:$N$874,I60,BS_RE33!$P$7:$P$874,'30 days CF Table(USD)'!G60,BS_RE33!$F$7:$F$874,'30 days CF Table(USD)'!$C$2)</f>
        <v>0</v>
      </c>
      <c r="BA60" s="379">
        <f>SUMIFS(BS_RE33!$H$7:$H$874,BS_RE33!$S$7:$S$874,$BA$2,BS_RE33!$N$7:$N$874,I60,BS_RE33!$P$7:$P$874,'30 days CF Table(USD)'!G60,BS_RE33!$F$7:$F$874,'30 days CF Table(USD)'!$C$2)</f>
        <v>0</v>
      </c>
      <c r="BB60" s="379">
        <f>SUMIFS(BS_RE33!$H$7:$H$874,BS_RE33!$S$7:$S$874,$BB$2,BS_RE33!$N$7:$N$874,I60,BS_RE33!$P$7:$P$874,'30 days CF Table(USD)'!G60,BS_RE33!$F$7:$F$874,'30 days CF Table(USD)'!$C$2)</f>
        <v>0</v>
      </c>
      <c r="BC60" s="379">
        <f>SUMIFS(BS_RE33!$H$7:$H$874,BS_RE33!$S$7:$S$874,$BC$2,BS_RE33!$N$7:$N$874,I60,BS_RE33!$P$7:$P$874,'30 days CF Table(USD)'!G60,BS_RE33!$F$7:$F$874,'30 days CF Table(USD)'!$C$2)</f>
        <v>0</v>
      </c>
      <c r="BD60" s="379">
        <f>SUMIFS(BS_RE33!$H$7:$H$874,BS_RE33!$S$7:$S$874,$BD$2,BS_RE33!$N$7:$N$874,I60,BS_RE33!$P$7:$P$874,'30 days CF Table(USD)'!G60,BS_RE33!$F$7:$F$874,'30 days CF Table(USD)'!$C$2)</f>
        <v>0</v>
      </c>
      <c r="BE60" s="379">
        <f>SUMIFS(BS_RE33!$H$7:$H$874,BS_RE33!$S$7:$S$874,$BE$2,BS_RE33!$N$7:$N$874,I60,BS_RE33!$P$7:$P$874,'30 days CF Table(USD)'!G60,BS_RE33!$F$7:$F$874,'30 days CF Table(USD)'!$C$2)</f>
        <v>0</v>
      </c>
      <c r="BF60" s="379">
        <f>SUMIFS(BS_RE33!$H$7:$H$874,BS_RE33!$S$7:$S$874,$BF$2,BS_RE33!$N$7:$N$874,I60,BS_RE33!$P$7:$P$874,'30 days CF Table(USD)'!G60,BS_RE33!$F$7:$F$874,'30 days CF Table(USD)'!$C$2)</f>
        <v>0</v>
      </c>
      <c r="BG60" s="379">
        <f>SUMIFS(BS_RE33!$H$7:$H$874,BS_RE33!$S$7:$S$874,$BG$2,BS_RE33!$N$7:$N$874,I60,BS_RE33!$P$7:$P$874,'30 days CF Table(USD)'!G60,BS_RE33!$F$7:$F$874,'30 days CF Table(USD)'!$C$2)</f>
        <v>0</v>
      </c>
      <c r="BH60" s="379">
        <f>SUMIFS(BS_RE33!$H$7:$H$874,BS_RE33!$S$7:$S$874,$BH$2,BS_RE33!$N$7:$N$874,I60,BS_RE33!$P$7:$P$874,'30 days CF Table(USD)'!G60,BS_RE33!$F$7:$F$874,'30 days CF Table(USD)'!$C$2)</f>
        <v>0</v>
      </c>
      <c r="BI60" s="379">
        <f>SUMIFS(BS_RE33!$H$7:$H$874,BS_RE33!$S$7:$S$874,$BI$2,BS_RE33!$N$7:$N$874,I60,BS_RE33!$P$7:$P$874,'30 days CF Table(USD)'!G60,BS_RE33!$F$7:$F$874,'30 days CF Table(USD)'!$C$2)</f>
        <v>0</v>
      </c>
      <c r="BJ60" s="379">
        <f>SUMIFS(BS_RE33!$H$7:$H$874,BS_RE33!$S$7:$S$874,$BJ$2,BS_RE33!$N$7:$N$874,I60,BS_RE33!$P$7:$P$874,'30 days CF Table(USD)'!G60,BS_RE33!$F$7:$F$874,'30 days CF Table(USD)'!$C$2)</f>
        <v>0</v>
      </c>
      <c r="BK60" s="379">
        <f>SUMIFS(BS_RE33!$H$7:$H$874,BS_RE33!$S$7:$S$874,$BK$2,BS_RE33!$N$7:$N$874,I60,BS_RE33!$P$7:$P$874,'30 days CF Table(USD)'!G60,BS_RE33!$F$7:$F$874,'30 days CF Table(USD)'!$C$2)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Table(USD)'!G61,BS_RE33!$F$7:$F$874,'30 days CF Table(USD)'!$C$2)</f>
        <v>0</v>
      </c>
      <c r="M61" s="337">
        <f>SUMIFS(BS_RE33!$H$7:$H$874,BS_RE33!$S$7:$S$874,$M$2,BS_RE33!$N$7:$N$874,I61,BS_RE33!$P$7:$P$874,'30 days CF Table(USD)'!G61,BS_RE33!$F$7:$F$874,'30 days CF Table(USD)'!$C$2)</f>
        <v>0</v>
      </c>
      <c r="N61" s="337">
        <f>SUMIFS(BS_RE33!$H$7:$H$874,BS_RE33!$S$7:$S$874,$N$2,BS_RE33!$N$7:$N$874,I61,BS_RE33!$P$7:$P$874,'30 days CF Table(USD)'!G61,BS_RE33!$F$7:$F$874,'30 days CF Table(USD)'!$C$2)</f>
        <v>0</v>
      </c>
      <c r="O61" s="337">
        <f>SUMIFS(BS_RE33!$H$7:$H$874,BS_RE33!$S$7:$S$874,$O$2,BS_RE33!$N$7:$N$874,I61,BS_RE33!$P$7:$P$874,'30 days CF Table(USD)'!G61,BS_RE33!$F$7:$F$874,'30 days CF Table(USD)'!$C$2)</f>
        <v>0</v>
      </c>
      <c r="P61" s="337">
        <f>SUMIFS(BS_RE33!$H$7:$H$874,BS_RE33!$S$7:$S$874,$P$2,BS_RE33!$N$7:$N$874,I61,BS_RE33!$P$7:$P$874,'30 days CF Table(USD)'!G61,BS_RE33!$F$7:$F$874,'30 days CF Table(USD)'!$C$2)</f>
        <v>0</v>
      </c>
      <c r="Q61" s="337">
        <f>SUMIFS(BS_RE33!$H$7:$H$874,BS_RE33!$S$7:$S$874,$Q$2,BS_RE33!$N$7:$N$874,I61,BS_RE33!$P$7:$P$874,'30 days CF Table(USD)'!G61,BS_RE33!$F$7:$F$874,'30 days CF Table(USD)'!$C$2)</f>
        <v>0</v>
      </c>
      <c r="R61" s="337">
        <f>SUMIFS(BS_RE33!$H$7:$H$874,BS_RE33!$S$7:$S$874,$R$2,BS_RE33!$N$7:$N$874,I61,BS_RE33!$P$7:$P$874,'30 days CF Table(USD)'!G61,BS_RE33!$F$7:$F$874,'30 days CF Table(USD)'!$C$2)</f>
        <v>0</v>
      </c>
      <c r="S61" s="337">
        <f>SUMIFS(BS_RE33!$H$7:$H$874,BS_RE33!$S$7:$S$874,$S$2,BS_RE33!$N$7:$N$874,I61,BS_RE33!$P$7:$P$874,'30 days CF Table(USD)'!G61,BS_RE33!$F$7:$F$874,'30 days CF Table(USD)'!$C$2)</f>
        <v>0</v>
      </c>
      <c r="T61" s="337">
        <f>SUMIFS(BS_RE33!$H$7:$H$874,BS_RE33!$S$7:$S$874,$T$2,BS_RE33!$N$7:$N$874,I61,BS_RE33!$P$7:$P$874,'30 days CF Table(USD)'!G61,BS_RE33!$F$7:$F$874,'30 days CF Table(USD)'!$C$2)</f>
        <v>0</v>
      </c>
      <c r="U61" s="337">
        <f>SUMIFS(BS_RE33!$H$7:$H$874,BS_RE33!$S$7:$S$874,$U$2,BS_RE33!$N$7:$N$874,I61,BS_RE33!$P$7:$P$874,'30 days CF Table(USD)'!G61,BS_RE33!$F$7:$F$874,'30 days CF Table(USD)'!$C$2)</f>
        <v>0</v>
      </c>
      <c r="V61" s="337">
        <f>SUMIFS(BS_RE33!$H$7:$H$874,BS_RE33!$S$7:$S$874,$V$2,BS_RE33!$N$7:$N$874,I61,BS_RE33!$P$7:$P$874,'30 days CF Table(USD)'!G61,BS_RE33!$F$7:$F$874,'30 days CF Table(USD)'!$C$2)</f>
        <v>0</v>
      </c>
      <c r="W61" s="337">
        <f>SUMIFS(BS_RE33!$H$7:$H$874,BS_RE33!$S$7:$S$874,$W$2,BS_RE33!$N$7:$N$874,I61,BS_RE33!$P$7:$P$874,'30 days CF Table(USD)'!G61,BS_RE33!$F$7:$F$874,'30 days CF Table(USD)'!$C$2)</f>
        <v>0</v>
      </c>
      <c r="X61" s="337">
        <f>SUMIFS(BS_RE33!$H$7:$H$874,BS_RE33!$S$7:$S$874,$X$2,BS_RE33!$N$7:$N$874,I61,BS_RE33!$P$7:$P$874,'30 days CF Table(USD)'!G61,BS_RE33!$F$7:$F$874,'30 days CF Table(USD)'!$C$2)</f>
        <v>0</v>
      </c>
      <c r="Y61" s="337">
        <f>SUMIFS(BS_RE33!$H$7:$H$874,BS_RE33!$S$7:$S$874,$Y$2,BS_RE33!$N$7:$N$874,I61,BS_RE33!$P$7:$P$874,'30 days CF Table(USD)'!G61,BS_RE33!$F$7:$F$874,'30 days CF Table(USD)'!$C$2)</f>
        <v>0</v>
      </c>
      <c r="Z61" s="337">
        <f>SUMIFS(BS_RE33!$H$7:$H$874,BS_RE33!$S$7:$S$874,$Z$2,BS_RE33!$N$7:$N$874,I61,BS_RE33!$P$7:$P$874,'30 days CF Table(USD)'!G61,BS_RE33!$F$7:$F$874,'30 days CF Table(USD)'!$C$2)</f>
        <v>0</v>
      </c>
      <c r="AA61" s="337">
        <f>SUMIFS(BS_RE33!$H$7:$H$874,BS_RE33!$S$7:$S$874,$AA$2,BS_RE33!$N$7:$N$874,I61,BS_RE33!$P$7:$P$874,'30 days CF Table(USD)'!G61,BS_RE33!$F$7:$F$874,'30 days CF Table(USD)'!$C$2)</f>
        <v>0</v>
      </c>
      <c r="AB61" s="337">
        <f>SUMIFS(BS_RE33!$H$7:$H$874,BS_RE33!$S$7:$S$874,$AB$2,BS_RE33!$N$7:$N$874,I61,BS_RE33!$P$7:$P$874,'30 days CF Table(USD)'!G61,BS_RE33!$F$7:$F$874,'30 days CF Table(USD)'!$C$2)</f>
        <v>0</v>
      </c>
      <c r="AC61" s="337">
        <f>SUMIFS(BS_RE33!$H$7:$H$874,BS_RE33!$S$7:$S$874,$AC$2,BS_RE33!$N$7:$N$874,I61,BS_RE33!$P$7:$P$874,'30 days CF Table(USD)'!G61,BS_RE33!$F$7:$F$874,'30 days CF Table(USD)'!$C$2)</f>
        <v>0</v>
      </c>
      <c r="AD61" s="337">
        <f>SUMIFS(BS_RE33!$H$7:$H$874,BS_RE33!$S$7:$S$874,$AD$2,BS_RE33!$N$7:$N$874,I61,BS_RE33!$P$7:$P$874,'30 days CF Table(USD)'!G61,BS_RE33!$F$7:$F$874,'30 days CF Table(USD)'!$C$2)</f>
        <v>0</v>
      </c>
      <c r="AE61" s="337">
        <f>SUMIFS(BS_RE33!$H$7:$H$874,BS_RE33!$S$7:$S$874,$AE$2,BS_RE33!$N$7:$N$874,I61,BS_RE33!$P$7:$P$874,'30 days CF Table(USD)'!G61,BS_RE33!$F$7:$F$874,'30 days CF Table(USD)'!$C$2)</f>
        <v>0</v>
      </c>
      <c r="AF61" s="337">
        <f>SUMIFS(BS_RE33!$H$7:$H$874,BS_RE33!$S$7:$S$874,$AF$2,BS_RE33!$N$7:$N$874,I61,BS_RE33!$P$7:$P$874,'30 days CF Table(USD)'!G61,BS_RE33!$F$7:$F$874,'30 days CF Table(USD)'!$C$2)</f>
        <v>0</v>
      </c>
      <c r="AG61" s="337">
        <f>SUMIFS(BS_RE33!$H$7:$H$874,BS_RE33!$S$7:$S$874,$AG$2,BS_RE33!$N$7:$N$874,I61,BS_RE33!$P$7:$P$874,'30 days CF Table(USD)'!G61,BS_RE33!$F$7:$F$874,'30 days CF Table(USD)'!$C$2)</f>
        <v>0</v>
      </c>
      <c r="AH61" s="337">
        <f>SUMIFS(BS_RE33!$H$7:$H$874,BS_RE33!$S$7:$S$874,$AH$2,BS_RE33!$N$7:$N$874,I61,BS_RE33!$P$7:$P$874,'30 days CF Table(USD)'!G61,BS_RE33!$F$7:$F$874,'30 days CF Table(USD)'!$C$2)</f>
        <v>0</v>
      </c>
      <c r="AI61" s="337">
        <f>SUMIFS(BS_RE33!$H$7:$H$874,BS_RE33!$S$7:$S$874,$AI$2,BS_RE33!$N$7:$N$874,I61,BS_RE33!$P$7:$P$874,'30 days CF Table(USD)'!G61,BS_RE33!$F$7:$F$874,'30 days CF Table(USD)'!$C$2)</f>
        <v>0</v>
      </c>
      <c r="AJ61" s="337">
        <f>SUMIFS(BS_RE33!$H$7:$H$874,BS_RE33!$S$7:$S$874,$AJ$2,BS_RE33!$N$7:$N$874,I61,BS_RE33!$P$7:$P$874,'30 days CF Table(USD)'!G61,BS_RE33!$F$7:$F$874,'30 days CF Table(USD)'!$C$2)</f>
        <v>0</v>
      </c>
      <c r="AK61" s="337">
        <f>SUMIFS(BS_RE33!$H$7:$H$874,BS_RE33!$S$7:$S$874,$AK$2,BS_RE33!$N$7:$N$874,I61,BS_RE33!$P$7:$P$874,'30 days CF Table(USD)'!G61,BS_RE33!$F$7:$F$874,'30 days CF Table(USD)'!$C$2)</f>
        <v>0</v>
      </c>
      <c r="AL61" s="337">
        <f>SUMIFS(BS_RE33!$H$7:$H$874,BS_RE33!$S$7:$S$874,$AL$2,BS_RE33!$N$7:$N$874,I61,BS_RE33!$P$7:$P$874,'30 days CF Table(USD)'!G61,BS_RE33!$F$7:$F$874,'30 days CF Table(USD)'!$C$2)</f>
        <v>0</v>
      </c>
      <c r="AM61" s="337">
        <f>SUMIFS(BS_RE33!$H$7:$H$874,BS_RE33!$S$7:$S$874,$AM$2,BS_RE33!$N$7:$N$874,I61,BS_RE33!$P$7:$P$874,'30 days CF Table(USD)'!G61,BS_RE33!$F$7:$F$874,'30 days CF Table(USD)'!$C$2)</f>
        <v>0</v>
      </c>
      <c r="AN61" s="337">
        <f>SUMIFS(BS_RE33!$H$7:$H$874,BS_RE33!$S$7:$S$874,$AN$2,BS_RE33!$N$7:$N$874,I61,BS_RE33!$P$7:$P$874,'30 days CF Table(USD)'!G61,BS_RE33!$F$7:$F$874,'30 days CF Table(USD)'!$C$2)</f>
        <v>0</v>
      </c>
      <c r="AO61" s="337">
        <f>SUMIFS(BS_RE33!$H$7:$H$874,BS_RE33!$S$7:$S$874,$AO$2,BS_RE33!$N$7:$N$874,I61,BS_RE33!$P$7:$P$874,'30 days CF Table(USD)'!G61,BS_RE33!$F$7:$F$874,'30 days CF Table(USD)'!$C$2)</f>
        <v>0</v>
      </c>
      <c r="AP61" s="338">
        <f>SUMIFS(BS_RE33!$H$7:$H$874,BS_RE33!$S$7:$S$874,$AP$2,BS_RE33!$N$7:$N$874,I61,BS_RE33!$P$7:$P$874,'30 days CF Table(USD)'!G61,BS_RE33!$F$7:$F$874,'30 days CF Table(USD)'!$C$2)</f>
        <v>0</v>
      </c>
      <c r="AR61" s="379">
        <f>SUMIFS(BS_RE33!$H$7:$H$874,BS_RE33!$S$7:$S$874,$AR$2,BS_RE33!$N$7:$N$874,I61,BS_RE33!$P$7:$P$874,'30 days CF Table(USD)'!G61,BS_RE33!$F$7:$F$874,'30 days CF Table(USD)'!$C$2)</f>
        <v>0</v>
      </c>
      <c r="AS61" s="379">
        <f>SUMIFS(BS_RE33!$H$7:$H$874,BS_RE33!$S$7:$S$874,$AS$2,BS_RE33!$N$7:$N$874,I61,BS_RE33!$P$7:$P$874,'30 days CF Table(USD)'!G61,BS_RE33!$F$7:$F$874,'30 days CF Table(USD)'!$C$2)</f>
        <v>0</v>
      </c>
      <c r="AT61" s="379">
        <f>SUMIFS(BS_RE33!$H$7:$H$874,BS_RE33!$S$7:$S$874,$AT$2,BS_RE33!$N$7:$N$874,I61,BS_RE33!$P$7:$P$874,'30 days CF Table(USD)'!G61,BS_RE33!$F$7:$F$874,'30 days CF Table(USD)'!$C$2)</f>
        <v>0</v>
      </c>
      <c r="AU61" s="379">
        <f>SUMIFS(BS_RE33!$H$7:$H$874,BS_RE33!$S$7:$S$874,$AU$2,BS_RE33!$N$7:$N$874,I61,BS_RE33!$P$7:$P$874,'30 days CF Table(USD)'!G61,BS_RE33!$F$7:$F$874,'30 days CF Table(USD)'!$C$2)</f>
        <v>0</v>
      </c>
      <c r="AV61" s="379">
        <f>SUMIFS(BS_RE33!$H$7:$H$874,BS_RE33!$S$7:$S$874,$AV$2,BS_RE33!$N$7:$N$874,I61,BS_RE33!$P$7:$P$874,'30 days CF Table(USD)'!G61,BS_RE33!$F$7:$F$874,'30 days CF Table(USD)'!$C$2)</f>
        <v>0</v>
      </c>
      <c r="AW61" s="379">
        <f>SUMIFS(BS_RE33!$H$7:$H$874,BS_RE33!$S$7:$S$874,$AW$2,BS_RE33!$N$7:$N$874,I61,BS_RE33!$P$7:$P$874,'30 days CF Table(USD)'!G61,BS_RE33!$F$7:$F$874,'30 days CF Table(USD)'!$C$2)</f>
        <v>0</v>
      </c>
      <c r="AX61" s="379">
        <f>SUMIFS(BS_RE33!$H$7:$H$874,BS_RE33!$S$7:$S$874,$AX$2,BS_RE33!$N$7:$N$874,I61,BS_RE33!$P$7:$P$874,'30 days CF Table(USD)'!G61,BS_RE33!$F$7:$F$874,'30 days CF Table(USD)'!$C$2)</f>
        <v>0</v>
      </c>
      <c r="AY61" s="379">
        <f>SUMIFS(BS_RE33!$H$7:$H$874,BS_RE33!$S$7:$S$874,$AY$2,BS_RE33!$N$7:$N$874,I61,BS_RE33!$P$7:$P$874,'30 days CF Table(USD)'!G61,BS_RE33!$F$7:$F$874,'30 days CF Table(USD)'!$C$2)</f>
        <v>0</v>
      </c>
      <c r="AZ61" s="379">
        <f>SUMIFS(BS_RE33!$H$7:$H$874,BS_RE33!$S$7:$S$874,$AZ$2,BS_RE33!$N$7:$N$874,I61,BS_RE33!$P$7:$P$874,'30 days CF Table(USD)'!G61,BS_RE33!$F$7:$F$874,'30 days CF Table(USD)'!$C$2)</f>
        <v>0</v>
      </c>
      <c r="BA61" s="379">
        <f>SUMIFS(BS_RE33!$H$7:$H$874,BS_RE33!$S$7:$S$874,$BA$2,BS_RE33!$N$7:$N$874,I61,BS_RE33!$P$7:$P$874,'30 days CF Table(USD)'!G61,BS_RE33!$F$7:$F$874,'30 days CF Table(USD)'!$C$2)</f>
        <v>0</v>
      </c>
      <c r="BB61" s="379">
        <f>SUMIFS(BS_RE33!$H$7:$H$874,BS_RE33!$S$7:$S$874,$BB$2,BS_RE33!$N$7:$N$874,I61,BS_RE33!$P$7:$P$874,'30 days CF Table(USD)'!G61,BS_RE33!$F$7:$F$874,'30 days CF Table(USD)'!$C$2)</f>
        <v>0</v>
      </c>
      <c r="BC61" s="379">
        <f>SUMIFS(BS_RE33!$H$7:$H$874,BS_RE33!$S$7:$S$874,$BC$2,BS_RE33!$N$7:$N$874,I61,BS_RE33!$P$7:$P$874,'30 days CF Table(USD)'!G61,BS_RE33!$F$7:$F$874,'30 days CF Table(USD)'!$C$2)</f>
        <v>0</v>
      </c>
      <c r="BD61" s="379">
        <f>SUMIFS(BS_RE33!$H$7:$H$874,BS_RE33!$S$7:$S$874,$BD$2,BS_RE33!$N$7:$N$874,I61,BS_RE33!$P$7:$P$874,'30 days CF Table(USD)'!G61,BS_RE33!$F$7:$F$874,'30 days CF Table(USD)'!$C$2)</f>
        <v>0</v>
      </c>
      <c r="BE61" s="379">
        <f>SUMIFS(BS_RE33!$H$7:$H$874,BS_RE33!$S$7:$S$874,$BE$2,BS_RE33!$N$7:$N$874,I61,BS_RE33!$P$7:$P$874,'30 days CF Table(USD)'!G61,BS_RE33!$F$7:$F$874,'30 days CF Table(USD)'!$C$2)</f>
        <v>0</v>
      </c>
      <c r="BF61" s="379">
        <f>SUMIFS(BS_RE33!$H$7:$H$874,BS_RE33!$S$7:$S$874,$BF$2,BS_RE33!$N$7:$N$874,I61,BS_RE33!$P$7:$P$874,'30 days CF Table(USD)'!G61,BS_RE33!$F$7:$F$874,'30 days CF Table(USD)'!$C$2)</f>
        <v>0</v>
      </c>
      <c r="BG61" s="379">
        <f>SUMIFS(BS_RE33!$H$7:$H$874,BS_RE33!$S$7:$S$874,$BG$2,BS_RE33!$N$7:$N$874,I61,BS_RE33!$P$7:$P$874,'30 days CF Table(USD)'!G61,BS_RE33!$F$7:$F$874,'30 days CF Table(USD)'!$C$2)</f>
        <v>0</v>
      </c>
      <c r="BH61" s="379">
        <f>SUMIFS(BS_RE33!$H$7:$H$874,BS_RE33!$S$7:$S$874,$BH$2,BS_RE33!$N$7:$N$874,I61,BS_RE33!$P$7:$P$874,'30 days CF Table(USD)'!G61,BS_RE33!$F$7:$F$874,'30 days CF Table(USD)'!$C$2)</f>
        <v>0</v>
      </c>
      <c r="BI61" s="379">
        <f>SUMIFS(BS_RE33!$H$7:$H$874,BS_RE33!$S$7:$S$874,$BI$2,BS_RE33!$N$7:$N$874,I61,BS_RE33!$P$7:$P$874,'30 days CF Table(USD)'!G61,BS_RE33!$F$7:$F$874,'30 days CF Table(USD)'!$C$2)</f>
        <v>0</v>
      </c>
      <c r="BJ61" s="379">
        <f>SUMIFS(BS_RE33!$H$7:$H$874,BS_RE33!$S$7:$S$874,$BJ$2,BS_RE33!$N$7:$N$874,I61,BS_RE33!$P$7:$P$874,'30 days CF Table(USD)'!G61,BS_RE33!$F$7:$F$874,'30 days CF Table(USD)'!$C$2)</f>
        <v>0</v>
      </c>
      <c r="BK61" s="379">
        <f>SUMIFS(BS_RE33!$H$7:$H$874,BS_RE33!$S$7:$S$874,$BK$2,BS_RE33!$N$7:$N$874,I61,BS_RE33!$P$7:$P$874,'30 days CF Table(USD)'!G61,BS_RE33!$F$7:$F$874,'30 days CF Table(USD)'!$C$2)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Table(USD)'!G62,BS_RE33!$F$7:$F$874,'30 days CF Table(USD)'!$C$2)</f>
        <v>0</v>
      </c>
      <c r="M62" s="337">
        <f>SUMIFS(BS_RE33!$H$7:$H$874,BS_RE33!$S$7:$S$874,$M$2,BS_RE33!$N$7:$N$874,I62,BS_RE33!$P$7:$P$874,'30 days CF Table(USD)'!G62,BS_RE33!$F$7:$F$874,'30 days CF Table(USD)'!$C$2)</f>
        <v>0</v>
      </c>
      <c r="N62" s="337">
        <f>SUMIFS(BS_RE33!$H$7:$H$874,BS_RE33!$S$7:$S$874,$N$2,BS_RE33!$N$7:$N$874,I62,BS_RE33!$P$7:$P$874,'30 days CF Table(USD)'!G62,BS_RE33!$F$7:$F$874,'30 days CF Table(USD)'!$C$2)</f>
        <v>0</v>
      </c>
      <c r="O62" s="337">
        <f>SUMIFS(BS_RE33!$H$7:$H$874,BS_RE33!$S$7:$S$874,$O$2,BS_RE33!$N$7:$N$874,I62,BS_RE33!$P$7:$P$874,'30 days CF Table(USD)'!G62,BS_RE33!$F$7:$F$874,'30 days CF Table(USD)'!$C$2)</f>
        <v>0</v>
      </c>
      <c r="P62" s="337">
        <f>SUMIFS(BS_RE33!$H$7:$H$874,BS_RE33!$S$7:$S$874,$P$2,BS_RE33!$N$7:$N$874,I62,BS_RE33!$P$7:$P$874,'30 days CF Table(USD)'!G62,BS_RE33!$F$7:$F$874,'30 days CF Table(USD)'!$C$2)</f>
        <v>0</v>
      </c>
      <c r="Q62" s="337">
        <f>SUMIFS(BS_RE33!$H$7:$H$874,BS_RE33!$S$7:$S$874,$Q$2,BS_RE33!$N$7:$N$874,I62,BS_RE33!$P$7:$P$874,'30 days CF Table(USD)'!G62,BS_RE33!$F$7:$F$874,'30 days CF Table(USD)'!$C$2)</f>
        <v>0</v>
      </c>
      <c r="R62" s="337">
        <f>SUMIFS(BS_RE33!$H$7:$H$874,BS_RE33!$S$7:$S$874,$R$2,BS_RE33!$N$7:$N$874,I62,BS_RE33!$P$7:$P$874,'30 days CF Table(USD)'!G62,BS_RE33!$F$7:$F$874,'30 days CF Table(USD)'!$C$2)</f>
        <v>0</v>
      </c>
      <c r="S62" s="337">
        <f>SUMIFS(BS_RE33!$H$7:$H$874,BS_RE33!$S$7:$S$874,$S$2,BS_RE33!$N$7:$N$874,I62,BS_RE33!$P$7:$P$874,'30 days CF Table(USD)'!G62,BS_RE33!$F$7:$F$874,'30 days CF Table(USD)'!$C$2)</f>
        <v>0</v>
      </c>
      <c r="T62" s="337">
        <f>SUMIFS(BS_RE33!$H$7:$H$874,BS_RE33!$S$7:$S$874,$T$2,BS_RE33!$N$7:$N$874,I62,BS_RE33!$P$7:$P$874,'30 days CF Table(USD)'!G62,BS_RE33!$F$7:$F$874,'30 days CF Table(USD)'!$C$2)</f>
        <v>0</v>
      </c>
      <c r="U62" s="337">
        <f>SUMIFS(BS_RE33!$H$7:$H$874,BS_RE33!$S$7:$S$874,$U$2,BS_RE33!$N$7:$N$874,I62,BS_RE33!$P$7:$P$874,'30 days CF Table(USD)'!G62,BS_RE33!$F$7:$F$874,'30 days CF Table(USD)'!$C$2)</f>
        <v>0</v>
      </c>
      <c r="V62" s="337">
        <f>SUMIFS(BS_RE33!$H$7:$H$874,BS_RE33!$S$7:$S$874,$V$2,BS_RE33!$N$7:$N$874,I62,BS_RE33!$P$7:$P$874,'30 days CF Table(USD)'!G62,BS_RE33!$F$7:$F$874,'30 days CF Table(USD)'!$C$2)</f>
        <v>0</v>
      </c>
      <c r="W62" s="337">
        <f>SUMIFS(BS_RE33!$H$7:$H$874,BS_RE33!$S$7:$S$874,$W$2,BS_RE33!$N$7:$N$874,I62,BS_RE33!$P$7:$P$874,'30 days CF Table(USD)'!G62,BS_RE33!$F$7:$F$874,'30 days CF Table(USD)'!$C$2)</f>
        <v>0</v>
      </c>
      <c r="X62" s="337">
        <f>SUMIFS(BS_RE33!$H$7:$H$874,BS_RE33!$S$7:$S$874,$X$2,BS_RE33!$N$7:$N$874,I62,BS_RE33!$P$7:$P$874,'30 days CF Table(USD)'!G62,BS_RE33!$F$7:$F$874,'30 days CF Table(USD)'!$C$2)</f>
        <v>0</v>
      </c>
      <c r="Y62" s="337">
        <f>SUMIFS(BS_RE33!$H$7:$H$874,BS_RE33!$S$7:$S$874,$Y$2,BS_RE33!$N$7:$N$874,I62,BS_RE33!$P$7:$P$874,'30 days CF Table(USD)'!G62,BS_RE33!$F$7:$F$874,'30 days CF Table(USD)'!$C$2)</f>
        <v>0</v>
      </c>
      <c r="Z62" s="337">
        <f>SUMIFS(BS_RE33!$H$7:$H$874,BS_RE33!$S$7:$S$874,$Z$2,BS_RE33!$N$7:$N$874,I62,BS_RE33!$P$7:$P$874,'30 days CF Table(USD)'!G62,BS_RE33!$F$7:$F$874,'30 days CF Table(USD)'!$C$2)</f>
        <v>0</v>
      </c>
      <c r="AA62" s="337">
        <f>SUMIFS(BS_RE33!$H$7:$H$874,BS_RE33!$S$7:$S$874,$AA$2,BS_RE33!$N$7:$N$874,I62,BS_RE33!$P$7:$P$874,'30 days CF Table(USD)'!G62,BS_RE33!$F$7:$F$874,'30 days CF Table(USD)'!$C$2)</f>
        <v>0</v>
      </c>
      <c r="AB62" s="337">
        <f>SUMIFS(BS_RE33!$H$7:$H$874,BS_RE33!$S$7:$S$874,$AB$2,BS_RE33!$N$7:$N$874,I62,BS_RE33!$P$7:$P$874,'30 days CF Table(USD)'!G62,BS_RE33!$F$7:$F$874,'30 days CF Table(USD)'!$C$2)</f>
        <v>0</v>
      </c>
      <c r="AC62" s="337">
        <f>SUMIFS(BS_RE33!$H$7:$H$874,BS_RE33!$S$7:$S$874,$AC$2,BS_RE33!$N$7:$N$874,I62,BS_RE33!$P$7:$P$874,'30 days CF Table(USD)'!G62,BS_RE33!$F$7:$F$874,'30 days CF Table(USD)'!$C$2)</f>
        <v>0</v>
      </c>
      <c r="AD62" s="337">
        <f>SUMIFS(BS_RE33!$H$7:$H$874,BS_RE33!$S$7:$S$874,$AD$2,BS_RE33!$N$7:$N$874,I62,BS_RE33!$P$7:$P$874,'30 days CF Table(USD)'!G62,BS_RE33!$F$7:$F$874,'30 days CF Table(USD)'!$C$2)</f>
        <v>0</v>
      </c>
      <c r="AE62" s="337">
        <f>SUMIFS(BS_RE33!$H$7:$H$874,BS_RE33!$S$7:$S$874,$AE$2,BS_RE33!$N$7:$N$874,I62,BS_RE33!$P$7:$P$874,'30 days CF Table(USD)'!G62,BS_RE33!$F$7:$F$874,'30 days CF Table(USD)'!$C$2)</f>
        <v>0</v>
      </c>
      <c r="AF62" s="337">
        <f>SUMIFS(BS_RE33!$H$7:$H$874,BS_RE33!$S$7:$S$874,$AF$2,BS_RE33!$N$7:$N$874,I62,BS_RE33!$P$7:$P$874,'30 days CF Table(USD)'!G62,BS_RE33!$F$7:$F$874,'30 days CF Table(USD)'!$C$2)</f>
        <v>0</v>
      </c>
      <c r="AG62" s="337">
        <f>SUMIFS(BS_RE33!$H$7:$H$874,BS_RE33!$S$7:$S$874,$AG$2,BS_RE33!$N$7:$N$874,I62,BS_RE33!$P$7:$P$874,'30 days CF Table(USD)'!G62,BS_RE33!$F$7:$F$874,'30 days CF Table(USD)'!$C$2)</f>
        <v>0</v>
      </c>
      <c r="AH62" s="337">
        <f>SUMIFS(BS_RE33!$H$7:$H$874,BS_RE33!$S$7:$S$874,$AH$2,BS_RE33!$N$7:$N$874,I62,BS_RE33!$P$7:$P$874,'30 days CF Table(USD)'!G62,BS_RE33!$F$7:$F$874,'30 days CF Table(USD)'!$C$2)</f>
        <v>0</v>
      </c>
      <c r="AI62" s="337">
        <f>SUMIFS(BS_RE33!$H$7:$H$874,BS_RE33!$S$7:$S$874,$AI$2,BS_RE33!$N$7:$N$874,I62,BS_RE33!$P$7:$P$874,'30 days CF Table(USD)'!G62,BS_RE33!$F$7:$F$874,'30 days CF Table(USD)'!$C$2)</f>
        <v>0</v>
      </c>
      <c r="AJ62" s="337">
        <f>SUMIFS(BS_RE33!$H$7:$H$874,BS_RE33!$S$7:$S$874,$AJ$2,BS_RE33!$N$7:$N$874,I62,BS_RE33!$P$7:$P$874,'30 days CF Table(USD)'!G62,BS_RE33!$F$7:$F$874,'30 days CF Table(USD)'!$C$2)</f>
        <v>0</v>
      </c>
      <c r="AK62" s="337">
        <f>SUMIFS(BS_RE33!$H$7:$H$874,BS_RE33!$S$7:$S$874,$AK$2,BS_RE33!$N$7:$N$874,I62,BS_RE33!$P$7:$P$874,'30 days CF Table(USD)'!G62,BS_RE33!$F$7:$F$874,'30 days CF Table(USD)'!$C$2)</f>
        <v>0</v>
      </c>
      <c r="AL62" s="337">
        <f>SUMIFS(BS_RE33!$H$7:$H$874,BS_RE33!$S$7:$S$874,$AL$2,BS_RE33!$N$7:$N$874,I62,BS_RE33!$P$7:$P$874,'30 days CF Table(USD)'!G62,BS_RE33!$F$7:$F$874,'30 days CF Table(USD)'!$C$2)</f>
        <v>0</v>
      </c>
      <c r="AM62" s="337">
        <f>SUMIFS(BS_RE33!$H$7:$H$874,BS_RE33!$S$7:$S$874,$AM$2,BS_RE33!$N$7:$N$874,I62,BS_RE33!$P$7:$P$874,'30 days CF Table(USD)'!G62,BS_RE33!$F$7:$F$874,'30 days CF Table(USD)'!$C$2)</f>
        <v>0</v>
      </c>
      <c r="AN62" s="337">
        <f>SUMIFS(BS_RE33!$H$7:$H$874,BS_RE33!$S$7:$S$874,$AN$2,BS_RE33!$N$7:$N$874,I62,BS_RE33!$P$7:$P$874,'30 days CF Table(USD)'!G62,BS_RE33!$F$7:$F$874,'30 days CF Table(USD)'!$C$2)</f>
        <v>0</v>
      </c>
      <c r="AO62" s="337">
        <f>SUMIFS(BS_RE33!$H$7:$H$874,BS_RE33!$S$7:$S$874,$AO$2,BS_RE33!$N$7:$N$874,I62,BS_RE33!$P$7:$P$874,'30 days CF Table(USD)'!G62,BS_RE33!$F$7:$F$874,'30 days CF Table(USD)'!$C$2)</f>
        <v>0</v>
      </c>
      <c r="AP62" s="338">
        <f>SUMIFS(BS_RE33!$H$7:$H$874,BS_RE33!$S$7:$S$874,$AP$2,BS_RE33!$N$7:$N$874,I62,BS_RE33!$P$7:$P$874,'30 days CF Table(USD)'!G62,BS_RE33!$F$7:$F$874,'30 days CF Table(USD)'!$C$2)</f>
        <v>0</v>
      </c>
      <c r="AR62" s="379">
        <f>SUMIFS(BS_RE33!$H$7:$H$874,BS_RE33!$S$7:$S$874,$AR$2,BS_RE33!$N$7:$N$874,I62,BS_RE33!$P$7:$P$874,'30 days CF Table(USD)'!G62,BS_RE33!$F$7:$F$874,'30 days CF Table(USD)'!$C$2)</f>
        <v>0</v>
      </c>
      <c r="AS62" s="379">
        <f>SUMIFS(BS_RE33!$H$7:$H$874,BS_RE33!$S$7:$S$874,$AS$2,BS_RE33!$N$7:$N$874,I62,BS_RE33!$P$7:$P$874,'30 days CF Table(USD)'!G62,BS_RE33!$F$7:$F$874,'30 days CF Table(USD)'!$C$2)</f>
        <v>0</v>
      </c>
      <c r="AT62" s="379">
        <f>SUMIFS(BS_RE33!$H$7:$H$874,BS_RE33!$S$7:$S$874,$AT$2,BS_RE33!$N$7:$N$874,I62,BS_RE33!$P$7:$P$874,'30 days CF Table(USD)'!G62,BS_RE33!$F$7:$F$874,'30 days CF Table(USD)'!$C$2)</f>
        <v>0</v>
      </c>
      <c r="AU62" s="379">
        <f>SUMIFS(BS_RE33!$H$7:$H$874,BS_RE33!$S$7:$S$874,$AU$2,BS_RE33!$N$7:$N$874,I62,BS_RE33!$P$7:$P$874,'30 days CF Table(USD)'!G62,BS_RE33!$F$7:$F$874,'30 days CF Table(USD)'!$C$2)</f>
        <v>0</v>
      </c>
      <c r="AV62" s="379">
        <f>SUMIFS(BS_RE33!$H$7:$H$874,BS_RE33!$S$7:$S$874,$AV$2,BS_RE33!$N$7:$N$874,I62,BS_RE33!$P$7:$P$874,'30 days CF Table(USD)'!G62,BS_RE33!$F$7:$F$874,'30 days CF Table(USD)'!$C$2)</f>
        <v>0</v>
      </c>
      <c r="AW62" s="379">
        <f>SUMIFS(BS_RE33!$H$7:$H$874,BS_RE33!$S$7:$S$874,$AW$2,BS_RE33!$N$7:$N$874,I62,BS_RE33!$P$7:$P$874,'30 days CF Table(USD)'!G62,BS_RE33!$F$7:$F$874,'30 days CF Table(USD)'!$C$2)</f>
        <v>0</v>
      </c>
      <c r="AX62" s="379">
        <f>SUMIFS(BS_RE33!$H$7:$H$874,BS_RE33!$S$7:$S$874,$AX$2,BS_RE33!$N$7:$N$874,I62,BS_RE33!$P$7:$P$874,'30 days CF Table(USD)'!G62,BS_RE33!$F$7:$F$874,'30 days CF Table(USD)'!$C$2)</f>
        <v>0</v>
      </c>
      <c r="AY62" s="379">
        <f>SUMIFS(BS_RE33!$H$7:$H$874,BS_RE33!$S$7:$S$874,$AY$2,BS_RE33!$N$7:$N$874,I62,BS_RE33!$P$7:$P$874,'30 days CF Table(USD)'!G62,BS_RE33!$F$7:$F$874,'30 days CF Table(USD)'!$C$2)</f>
        <v>0</v>
      </c>
      <c r="AZ62" s="379">
        <f>SUMIFS(BS_RE33!$H$7:$H$874,BS_RE33!$S$7:$S$874,$AZ$2,BS_RE33!$N$7:$N$874,I62,BS_RE33!$P$7:$P$874,'30 days CF Table(USD)'!G62,BS_RE33!$F$7:$F$874,'30 days CF Table(USD)'!$C$2)</f>
        <v>0</v>
      </c>
      <c r="BA62" s="379">
        <f>SUMIFS(BS_RE33!$H$7:$H$874,BS_RE33!$S$7:$S$874,$BA$2,BS_RE33!$N$7:$N$874,I62,BS_RE33!$P$7:$P$874,'30 days CF Table(USD)'!G62,BS_RE33!$F$7:$F$874,'30 days CF Table(USD)'!$C$2)</f>
        <v>0</v>
      </c>
      <c r="BB62" s="379">
        <f>SUMIFS(BS_RE33!$H$7:$H$874,BS_RE33!$S$7:$S$874,$BB$2,BS_RE33!$N$7:$N$874,I62,BS_RE33!$P$7:$P$874,'30 days CF Table(USD)'!G62,BS_RE33!$F$7:$F$874,'30 days CF Table(USD)'!$C$2)</f>
        <v>0</v>
      </c>
      <c r="BC62" s="379">
        <f>SUMIFS(BS_RE33!$H$7:$H$874,BS_RE33!$S$7:$S$874,$BC$2,BS_RE33!$N$7:$N$874,I62,BS_RE33!$P$7:$P$874,'30 days CF Table(USD)'!G62,BS_RE33!$F$7:$F$874,'30 days CF Table(USD)'!$C$2)</f>
        <v>0</v>
      </c>
      <c r="BD62" s="379">
        <f>SUMIFS(BS_RE33!$H$7:$H$874,BS_RE33!$S$7:$S$874,$BD$2,BS_RE33!$N$7:$N$874,I62,BS_RE33!$P$7:$P$874,'30 days CF Table(USD)'!G62,BS_RE33!$F$7:$F$874,'30 days CF Table(USD)'!$C$2)</f>
        <v>0</v>
      </c>
      <c r="BE62" s="379">
        <f>SUMIFS(BS_RE33!$H$7:$H$874,BS_RE33!$S$7:$S$874,$BE$2,BS_RE33!$N$7:$N$874,I62,BS_RE33!$P$7:$P$874,'30 days CF Table(USD)'!G62,BS_RE33!$F$7:$F$874,'30 days CF Table(USD)'!$C$2)</f>
        <v>0</v>
      </c>
      <c r="BF62" s="379">
        <f>SUMIFS(BS_RE33!$H$7:$H$874,BS_RE33!$S$7:$S$874,$BF$2,BS_RE33!$N$7:$N$874,I62,BS_RE33!$P$7:$P$874,'30 days CF Table(USD)'!G62,BS_RE33!$F$7:$F$874,'30 days CF Table(USD)'!$C$2)</f>
        <v>0</v>
      </c>
      <c r="BG62" s="379">
        <f>SUMIFS(BS_RE33!$H$7:$H$874,BS_RE33!$S$7:$S$874,$BG$2,BS_RE33!$N$7:$N$874,I62,BS_RE33!$P$7:$P$874,'30 days CF Table(USD)'!G62,BS_RE33!$F$7:$F$874,'30 days CF Table(USD)'!$C$2)</f>
        <v>0</v>
      </c>
      <c r="BH62" s="379">
        <f>SUMIFS(BS_RE33!$H$7:$H$874,BS_RE33!$S$7:$S$874,$BH$2,BS_RE33!$N$7:$N$874,I62,BS_RE33!$P$7:$P$874,'30 days CF Table(USD)'!G62,BS_RE33!$F$7:$F$874,'30 days CF Table(USD)'!$C$2)</f>
        <v>0</v>
      </c>
      <c r="BI62" s="379">
        <f>SUMIFS(BS_RE33!$H$7:$H$874,BS_RE33!$S$7:$S$874,$BI$2,BS_RE33!$N$7:$N$874,I62,BS_RE33!$P$7:$P$874,'30 days CF Table(USD)'!G62,BS_RE33!$F$7:$F$874,'30 days CF Table(USD)'!$C$2)</f>
        <v>0</v>
      </c>
      <c r="BJ62" s="379">
        <f>SUMIFS(BS_RE33!$H$7:$H$874,BS_RE33!$S$7:$S$874,$BJ$2,BS_RE33!$N$7:$N$874,I62,BS_RE33!$P$7:$P$874,'30 days CF Table(USD)'!G62,BS_RE33!$F$7:$F$874,'30 days CF Table(USD)'!$C$2)</f>
        <v>0</v>
      </c>
      <c r="BK62" s="379">
        <f>SUMIFS(BS_RE33!$H$7:$H$874,BS_RE33!$S$7:$S$874,$BK$2,BS_RE33!$N$7:$N$874,I62,BS_RE33!$P$7:$P$874,'30 days CF Table(USD)'!G62,BS_RE33!$F$7:$F$874,'30 days CF Table(USD)'!$C$2)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Table(USD)'!G63,BS_RE33!$F$7:$F$874,'30 days CF Table(USD)'!$C$2)</f>
        <v>0</v>
      </c>
      <c r="M63" s="337">
        <f>SUMIFS(BS_RE33!$H$7:$H$874,BS_RE33!$S$7:$S$874,$M$2,BS_RE33!$N$7:$N$874,I63,BS_RE33!$P$7:$P$874,'30 days CF Table(USD)'!G63,BS_RE33!$F$7:$F$874,'30 days CF Table(USD)'!$C$2)</f>
        <v>0</v>
      </c>
      <c r="N63" s="337">
        <f>SUMIFS(BS_RE33!$H$7:$H$874,BS_RE33!$S$7:$S$874,$N$2,BS_RE33!$N$7:$N$874,I63,BS_RE33!$P$7:$P$874,'30 days CF Table(USD)'!G63,BS_RE33!$F$7:$F$874,'30 days CF Table(USD)'!$C$2)</f>
        <v>0</v>
      </c>
      <c r="O63" s="337">
        <f>SUMIFS(BS_RE33!$H$7:$H$874,BS_RE33!$S$7:$S$874,$O$2,BS_RE33!$N$7:$N$874,I63,BS_RE33!$P$7:$P$874,'30 days CF Table(USD)'!G63,BS_RE33!$F$7:$F$874,'30 days CF Table(USD)'!$C$2)</f>
        <v>0</v>
      </c>
      <c r="P63" s="337">
        <f>SUMIFS(BS_RE33!$H$7:$H$874,BS_RE33!$S$7:$S$874,$P$2,BS_RE33!$N$7:$N$874,I63,BS_RE33!$P$7:$P$874,'30 days CF Table(USD)'!G63,BS_RE33!$F$7:$F$874,'30 days CF Table(USD)'!$C$2)</f>
        <v>0</v>
      </c>
      <c r="Q63" s="337">
        <f>SUMIFS(BS_RE33!$H$7:$H$874,BS_RE33!$S$7:$S$874,$Q$2,BS_RE33!$N$7:$N$874,I63,BS_RE33!$P$7:$P$874,'30 days CF Table(USD)'!G63,BS_RE33!$F$7:$F$874,'30 days CF Table(USD)'!$C$2)</f>
        <v>0</v>
      </c>
      <c r="R63" s="337">
        <f>SUMIFS(BS_RE33!$H$7:$H$874,BS_RE33!$S$7:$S$874,$R$2,BS_RE33!$N$7:$N$874,I63,BS_RE33!$P$7:$P$874,'30 days CF Table(USD)'!G63,BS_RE33!$F$7:$F$874,'30 days CF Table(USD)'!$C$2)</f>
        <v>0</v>
      </c>
      <c r="S63" s="337">
        <f>SUMIFS(BS_RE33!$H$7:$H$874,BS_RE33!$S$7:$S$874,$S$2,BS_RE33!$N$7:$N$874,I63,BS_RE33!$P$7:$P$874,'30 days CF Table(USD)'!G63,BS_RE33!$F$7:$F$874,'30 days CF Table(USD)'!$C$2)</f>
        <v>0</v>
      </c>
      <c r="T63" s="337">
        <f>SUMIFS(BS_RE33!$H$7:$H$874,BS_RE33!$S$7:$S$874,$T$2,BS_RE33!$N$7:$N$874,I63,BS_RE33!$P$7:$P$874,'30 days CF Table(USD)'!G63,BS_RE33!$F$7:$F$874,'30 days CF Table(USD)'!$C$2)</f>
        <v>0</v>
      </c>
      <c r="U63" s="337">
        <f>SUMIFS(BS_RE33!$H$7:$H$874,BS_RE33!$S$7:$S$874,$U$2,BS_RE33!$N$7:$N$874,I63,BS_RE33!$P$7:$P$874,'30 days CF Table(USD)'!G63,BS_RE33!$F$7:$F$874,'30 days CF Table(USD)'!$C$2)</f>
        <v>0</v>
      </c>
      <c r="V63" s="337">
        <f>SUMIFS(BS_RE33!$H$7:$H$874,BS_RE33!$S$7:$S$874,$V$2,BS_RE33!$N$7:$N$874,I63,BS_RE33!$P$7:$P$874,'30 days CF Table(USD)'!G63,BS_RE33!$F$7:$F$874,'30 days CF Table(USD)'!$C$2)</f>
        <v>0</v>
      </c>
      <c r="W63" s="337">
        <f>SUMIFS(BS_RE33!$H$7:$H$874,BS_RE33!$S$7:$S$874,$W$2,BS_RE33!$N$7:$N$874,I63,BS_RE33!$P$7:$P$874,'30 days CF Table(USD)'!G63,BS_RE33!$F$7:$F$874,'30 days CF Table(USD)'!$C$2)</f>
        <v>0</v>
      </c>
      <c r="X63" s="337">
        <f>SUMIFS(BS_RE33!$H$7:$H$874,BS_RE33!$S$7:$S$874,$X$2,BS_RE33!$N$7:$N$874,I63,BS_RE33!$P$7:$P$874,'30 days CF Table(USD)'!G63,BS_RE33!$F$7:$F$874,'30 days CF Table(USD)'!$C$2)</f>
        <v>0</v>
      </c>
      <c r="Y63" s="337">
        <f>SUMIFS(BS_RE33!$H$7:$H$874,BS_RE33!$S$7:$S$874,$Y$2,BS_RE33!$N$7:$N$874,I63,BS_RE33!$P$7:$P$874,'30 days CF Table(USD)'!G63,BS_RE33!$F$7:$F$874,'30 days CF Table(USD)'!$C$2)</f>
        <v>0</v>
      </c>
      <c r="Z63" s="337">
        <f>SUMIFS(BS_RE33!$H$7:$H$874,BS_RE33!$S$7:$S$874,$Z$2,BS_RE33!$N$7:$N$874,I63,BS_RE33!$P$7:$P$874,'30 days CF Table(USD)'!G63,BS_RE33!$F$7:$F$874,'30 days CF Table(USD)'!$C$2)</f>
        <v>0</v>
      </c>
      <c r="AA63" s="337">
        <f>SUMIFS(BS_RE33!$H$7:$H$874,BS_RE33!$S$7:$S$874,$AA$2,BS_RE33!$N$7:$N$874,I63,BS_RE33!$P$7:$P$874,'30 days CF Table(USD)'!G63,BS_RE33!$F$7:$F$874,'30 days CF Table(USD)'!$C$2)</f>
        <v>0</v>
      </c>
      <c r="AB63" s="337">
        <f>SUMIFS(BS_RE33!$H$7:$H$874,BS_RE33!$S$7:$S$874,$AB$2,BS_RE33!$N$7:$N$874,I63,BS_RE33!$P$7:$P$874,'30 days CF Table(USD)'!G63,BS_RE33!$F$7:$F$874,'30 days CF Table(USD)'!$C$2)</f>
        <v>0</v>
      </c>
      <c r="AC63" s="337">
        <f>SUMIFS(BS_RE33!$H$7:$H$874,BS_RE33!$S$7:$S$874,$AC$2,BS_RE33!$N$7:$N$874,I63,BS_RE33!$P$7:$P$874,'30 days CF Table(USD)'!G63,BS_RE33!$F$7:$F$874,'30 days CF Table(USD)'!$C$2)</f>
        <v>0</v>
      </c>
      <c r="AD63" s="337">
        <f>SUMIFS(BS_RE33!$H$7:$H$874,BS_RE33!$S$7:$S$874,$AD$2,BS_RE33!$N$7:$N$874,I63,BS_RE33!$P$7:$P$874,'30 days CF Table(USD)'!G63,BS_RE33!$F$7:$F$874,'30 days CF Table(USD)'!$C$2)</f>
        <v>0</v>
      </c>
      <c r="AE63" s="337">
        <f>SUMIFS(BS_RE33!$H$7:$H$874,BS_RE33!$S$7:$S$874,$AE$2,BS_RE33!$N$7:$N$874,I63,BS_RE33!$P$7:$P$874,'30 days CF Table(USD)'!G63,BS_RE33!$F$7:$F$874,'30 days CF Table(USD)'!$C$2)</f>
        <v>0</v>
      </c>
      <c r="AF63" s="337">
        <f>SUMIFS(BS_RE33!$H$7:$H$874,BS_RE33!$S$7:$S$874,$AF$2,BS_RE33!$N$7:$N$874,I63,BS_RE33!$P$7:$P$874,'30 days CF Table(USD)'!G63,BS_RE33!$F$7:$F$874,'30 days CF Table(USD)'!$C$2)</f>
        <v>0</v>
      </c>
      <c r="AG63" s="337">
        <f>SUMIFS(BS_RE33!$H$7:$H$874,BS_RE33!$S$7:$S$874,$AG$2,BS_RE33!$N$7:$N$874,I63,BS_RE33!$P$7:$P$874,'30 days CF Table(USD)'!G63,BS_RE33!$F$7:$F$874,'30 days CF Table(USD)'!$C$2)</f>
        <v>0</v>
      </c>
      <c r="AH63" s="337">
        <f>SUMIFS(BS_RE33!$H$7:$H$874,BS_RE33!$S$7:$S$874,$AH$2,BS_RE33!$N$7:$N$874,I63,BS_RE33!$P$7:$P$874,'30 days CF Table(USD)'!G63,BS_RE33!$F$7:$F$874,'30 days CF Table(USD)'!$C$2)</f>
        <v>0</v>
      </c>
      <c r="AI63" s="337">
        <f>SUMIFS(BS_RE33!$H$7:$H$874,BS_RE33!$S$7:$S$874,$AI$2,BS_RE33!$N$7:$N$874,I63,BS_RE33!$P$7:$P$874,'30 days CF Table(USD)'!G63,BS_RE33!$F$7:$F$874,'30 days CF Table(USD)'!$C$2)</f>
        <v>0</v>
      </c>
      <c r="AJ63" s="337">
        <f>SUMIFS(BS_RE33!$H$7:$H$874,BS_RE33!$S$7:$S$874,$AJ$2,BS_RE33!$N$7:$N$874,I63,BS_RE33!$P$7:$P$874,'30 days CF Table(USD)'!G63,BS_RE33!$F$7:$F$874,'30 days CF Table(USD)'!$C$2)</f>
        <v>0</v>
      </c>
      <c r="AK63" s="337">
        <f>SUMIFS(BS_RE33!$H$7:$H$874,BS_RE33!$S$7:$S$874,$AK$2,BS_RE33!$N$7:$N$874,I63,BS_RE33!$P$7:$P$874,'30 days CF Table(USD)'!G63,BS_RE33!$F$7:$F$874,'30 days CF Table(USD)'!$C$2)</f>
        <v>0</v>
      </c>
      <c r="AL63" s="337">
        <f>SUMIFS(BS_RE33!$H$7:$H$874,BS_RE33!$S$7:$S$874,$AL$2,BS_RE33!$N$7:$N$874,I63,BS_RE33!$P$7:$P$874,'30 days CF Table(USD)'!G63,BS_RE33!$F$7:$F$874,'30 days CF Table(USD)'!$C$2)</f>
        <v>0</v>
      </c>
      <c r="AM63" s="337">
        <f>SUMIFS(BS_RE33!$H$7:$H$874,BS_RE33!$S$7:$S$874,$AM$2,BS_RE33!$N$7:$N$874,I63,BS_RE33!$P$7:$P$874,'30 days CF Table(USD)'!G63,BS_RE33!$F$7:$F$874,'30 days CF Table(USD)'!$C$2)</f>
        <v>0</v>
      </c>
      <c r="AN63" s="337">
        <f>SUMIFS(BS_RE33!$H$7:$H$874,BS_RE33!$S$7:$S$874,$AN$2,BS_RE33!$N$7:$N$874,I63,BS_RE33!$P$7:$P$874,'30 days CF Table(USD)'!G63,BS_RE33!$F$7:$F$874,'30 days CF Table(USD)'!$C$2)</f>
        <v>0</v>
      </c>
      <c r="AO63" s="337">
        <f>SUMIFS(BS_RE33!$H$7:$H$874,BS_RE33!$S$7:$S$874,$AO$2,BS_RE33!$N$7:$N$874,I63,BS_RE33!$P$7:$P$874,'30 days CF Table(USD)'!G63,BS_RE33!$F$7:$F$874,'30 days CF Table(USD)'!$C$2)</f>
        <v>0</v>
      </c>
      <c r="AP63" s="338">
        <f>SUMIFS(BS_RE33!$H$7:$H$874,BS_RE33!$S$7:$S$874,$AP$2,BS_RE33!$N$7:$N$874,I63,BS_RE33!$P$7:$P$874,'30 days CF Table(USD)'!G63,BS_RE33!$F$7:$F$874,'30 days CF Table(USD)'!$C$2)</f>
        <v>0</v>
      </c>
      <c r="AR63" s="379">
        <f>SUMIFS(BS_RE33!$H$7:$H$874,BS_RE33!$S$7:$S$874,$AR$2,BS_RE33!$N$7:$N$874,I63,BS_RE33!$P$7:$P$874,'30 days CF Table(USD)'!G63,BS_RE33!$F$7:$F$874,'30 days CF Table(USD)'!$C$2)</f>
        <v>0</v>
      </c>
      <c r="AS63" s="379">
        <f>SUMIFS(BS_RE33!$H$7:$H$874,BS_RE33!$S$7:$S$874,$AS$2,BS_RE33!$N$7:$N$874,I63,BS_RE33!$P$7:$P$874,'30 days CF Table(USD)'!G63,BS_RE33!$F$7:$F$874,'30 days CF Table(USD)'!$C$2)</f>
        <v>0</v>
      </c>
      <c r="AT63" s="379">
        <f>SUMIFS(BS_RE33!$H$7:$H$874,BS_RE33!$S$7:$S$874,$AT$2,BS_RE33!$N$7:$N$874,I63,BS_RE33!$P$7:$P$874,'30 days CF Table(USD)'!G63,BS_RE33!$F$7:$F$874,'30 days CF Table(USD)'!$C$2)</f>
        <v>0</v>
      </c>
      <c r="AU63" s="379">
        <f>SUMIFS(BS_RE33!$H$7:$H$874,BS_RE33!$S$7:$S$874,$AU$2,BS_RE33!$N$7:$N$874,I63,BS_RE33!$P$7:$P$874,'30 days CF Table(USD)'!G63,BS_RE33!$F$7:$F$874,'30 days CF Table(USD)'!$C$2)</f>
        <v>0</v>
      </c>
      <c r="AV63" s="379">
        <f>SUMIFS(BS_RE33!$H$7:$H$874,BS_RE33!$S$7:$S$874,$AV$2,BS_RE33!$N$7:$N$874,I63,BS_RE33!$P$7:$P$874,'30 days CF Table(USD)'!G63,BS_RE33!$F$7:$F$874,'30 days CF Table(USD)'!$C$2)</f>
        <v>0</v>
      </c>
      <c r="AW63" s="379">
        <f>SUMIFS(BS_RE33!$H$7:$H$874,BS_RE33!$S$7:$S$874,$AW$2,BS_RE33!$N$7:$N$874,I63,BS_RE33!$P$7:$P$874,'30 days CF Table(USD)'!G63,BS_RE33!$F$7:$F$874,'30 days CF Table(USD)'!$C$2)</f>
        <v>0</v>
      </c>
      <c r="AX63" s="379">
        <f>SUMIFS(BS_RE33!$H$7:$H$874,BS_RE33!$S$7:$S$874,$AX$2,BS_RE33!$N$7:$N$874,I63,BS_RE33!$P$7:$P$874,'30 days CF Table(USD)'!G63,BS_RE33!$F$7:$F$874,'30 days CF Table(USD)'!$C$2)</f>
        <v>0</v>
      </c>
      <c r="AY63" s="379">
        <f>SUMIFS(BS_RE33!$H$7:$H$874,BS_RE33!$S$7:$S$874,$AY$2,BS_RE33!$N$7:$N$874,I63,BS_RE33!$P$7:$P$874,'30 days CF Table(USD)'!G63,BS_RE33!$F$7:$F$874,'30 days CF Table(USD)'!$C$2)</f>
        <v>0</v>
      </c>
      <c r="AZ63" s="379">
        <f>SUMIFS(BS_RE33!$H$7:$H$874,BS_RE33!$S$7:$S$874,$AZ$2,BS_RE33!$N$7:$N$874,I63,BS_RE33!$P$7:$P$874,'30 days CF Table(USD)'!G63,BS_RE33!$F$7:$F$874,'30 days CF Table(USD)'!$C$2)</f>
        <v>0</v>
      </c>
      <c r="BA63" s="379">
        <f>SUMIFS(BS_RE33!$H$7:$H$874,BS_RE33!$S$7:$S$874,$BA$2,BS_RE33!$N$7:$N$874,I63,BS_RE33!$P$7:$P$874,'30 days CF Table(USD)'!G63,BS_RE33!$F$7:$F$874,'30 days CF Table(USD)'!$C$2)</f>
        <v>0</v>
      </c>
      <c r="BB63" s="379">
        <f>SUMIFS(BS_RE33!$H$7:$H$874,BS_RE33!$S$7:$S$874,$BB$2,BS_RE33!$N$7:$N$874,I63,BS_RE33!$P$7:$P$874,'30 days CF Table(USD)'!G63,BS_RE33!$F$7:$F$874,'30 days CF Table(USD)'!$C$2)</f>
        <v>0</v>
      </c>
      <c r="BC63" s="379">
        <f>SUMIFS(BS_RE33!$H$7:$H$874,BS_RE33!$S$7:$S$874,$BC$2,BS_RE33!$N$7:$N$874,I63,BS_RE33!$P$7:$P$874,'30 days CF Table(USD)'!G63,BS_RE33!$F$7:$F$874,'30 days CF Table(USD)'!$C$2)</f>
        <v>0</v>
      </c>
      <c r="BD63" s="379">
        <f>SUMIFS(BS_RE33!$H$7:$H$874,BS_RE33!$S$7:$S$874,$BD$2,BS_RE33!$N$7:$N$874,I63,BS_RE33!$P$7:$P$874,'30 days CF Table(USD)'!G63,BS_RE33!$F$7:$F$874,'30 days CF Table(USD)'!$C$2)</f>
        <v>0</v>
      </c>
      <c r="BE63" s="379">
        <f>SUMIFS(BS_RE33!$H$7:$H$874,BS_RE33!$S$7:$S$874,$BE$2,BS_RE33!$N$7:$N$874,I63,BS_RE33!$P$7:$P$874,'30 days CF Table(USD)'!G63,BS_RE33!$F$7:$F$874,'30 days CF Table(USD)'!$C$2)</f>
        <v>0</v>
      </c>
      <c r="BF63" s="379">
        <f>SUMIFS(BS_RE33!$H$7:$H$874,BS_RE33!$S$7:$S$874,$BF$2,BS_RE33!$N$7:$N$874,I63,BS_RE33!$P$7:$P$874,'30 days CF Table(USD)'!G63,BS_RE33!$F$7:$F$874,'30 days CF Table(USD)'!$C$2)</f>
        <v>0</v>
      </c>
      <c r="BG63" s="379">
        <f>SUMIFS(BS_RE33!$H$7:$H$874,BS_RE33!$S$7:$S$874,$BG$2,BS_RE33!$N$7:$N$874,I63,BS_RE33!$P$7:$P$874,'30 days CF Table(USD)'!G63,BS_RE33!$F$7:$F$874,'30 days CF Table(USD)'!$C$2)</f>
        <v>0</v>
      </c>
      <c r="BH63" s="379">
        <f>SUMIFS(BS_RE33!$H$7:$H$874,BS_RE33!$S$7:$S$874,$BH$2,BS_RE33!$N$7:$N$874,I63,BS_RE33!$P$7:$P$874,'30 days CF Table(USD)'!G63,BS_RE33!$F$7:$F$874,'30 days CF Table(USD)'!$C$2)</f>
        <v>0</v>
      </c>
      <c r="BI63" s="379">
        <f>SUMIFS(BS_RE33!$H$7:$H$874,BS_RE33!$S$7:$S$874,$BI$2,BS_RE33!$N$7:$N$874,I63,BS_RE33!$P$7:$P$874,'30 days CF Table(USD)'!G63,BS_RE33!$F$7:$F$874,'30 days CF Table(USD)'!$C$2)</f>
        <v>0</v>
      </c>
      <c r="BJ63" s="379">
        <f>SUMIFS(BS_RE33!$H$7:$H$874,BS_RE33!$S$7:$S$874,$BJ$2,BS_RE33!$N$7:$N$874,I63,BS_RE33!$P$7:$P$874,'30 days CF Table(USD)'!G63,BS_RE33!$F$7:$F$874,'30 days CF Table(USD)'!$C$2)</f>
        <v>0</v>
      </c>
      <c r="BK63" s="379">
        <f>SUMIFS(BS_RE33!$H$7:$H$874,BS_RE33!$S$7:$S$874,$BK$2,BS_RE33!$N$7:$N$874,I63,BS_RE33!$P$7:$P$874,'30 days CF Table(USD)'!G63,BS_RE33!$F$7:$F$874,'30 days CF Table(USD)'!$C$2)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Table(USD)'!G64,BS_RE33!$F$7:$F$874,'30 days CF Table(USD)'!$C$2)</f>
        <v>0</v>
      </c>
      <c r="M64" s="341">
        <f>SUMIFS(BS_RE33!$H$7:$H$874,BS_RE33!$S$7:$S$874,$M$2,BS_RE33!$N$7:$N$874,I64,BS_RE33!$P$7:$P$874,'30 days CF Table(USD)'!G64,BS_RE33!$F$7:$F$874,'30 days CF Table(USD)'!$C$2)</f>
        <v>0</v>
      </c>
      <c r="N64" s="341">
        <f>SUMIFS(BS_RE33!$H$7:$H$874,BS_RE33!$S$7:$S$874,$N$2,BS_RE33!$N$7:$N$874,I64,BS_RE33!$P$7:$P$874,'30 days CF Table(USD)'!G64,BS_RE33!$F$7:$F$874,'30 days CF Table(USD)'!$C$2)</f>
        <v>0</v>
      </c>
      <c r="O64" s="341">
        <f>SUMIFS(BS_RE33!$H$7:$H$874,BS_RE33!$S$7:$S$874,$O$2,BS_RE33!$N$7:$N$874,I64,BS_RE33!$P$7:$P$874,'30 days CF Table(USD)'!G64,BS_RE33!$F$7:$F$874,'30 days CF Table(USD)'!$C$2)</f>
        <v>0</v>
      </c>
      <c r="P64" s="341">
        <f>SUMIFS(BS_RE33!$H$7:$H$874,BS_RE33!$S$7:$S$874,$P$2,BS_RE33!$N$7:$N$874,I64,BS_RE33!$P$7:$P$874,'30 days CF Table(USD)'!G64,BS_RE33!$F$7:$F$874,'30 days CF Table(USD)'!$C$2)</f>
        <v>0</v>
      </c>
      <c r="Q64" s="341">
        <f>SUMIFS(BS_RE33!$H$7:$H$874,BS_RE33!$S$7:$S$874,$Q$2,BS_RE33!$N$7:$N$874,I64,BS_RE33!$P$7:$P$874,'30 days CF Table(USD)'!G64,BS_RE33!$F$7:$F$874,'30 days CF Table(USD)'!$C$2)</f>
        <v>0</v>
      </c>
      <c r="R64" s="341">
        <f>SUMIFS(BS_RE33!$H$7:$H$874,BS_RE33!$S$7:$S$874,$R$2,BS_RE33!$N$7:$N$874,I64,BS_RE33!$P$7:$P$874,'30 days CF Table(USD)'!G64,BS_RE33!$F$7:$F$874,'30 days CF Table(USD)'!$C$2)</f>
        <v>0</v>
      </c>
      <c r="S64" s="341">
        <f>SUMIFS(BS_RE33!$H$7:$H$874,BS_RE33!$S$7:$S$874,$S$2,BS_RE33!$N$7:$N$874,I64,BS_RE33!$P$7:$P$874,'30 days CF Table(USD)'!G64,BS_RE33!$F$7:$F$874,'30 days CF Table(USD)'!$C$2)</f>
        <v>0</v>
      </c>
      <c r="T64" s="341">
        <f>SUMIFS(BS_RE33!$H$7:$H$874,BS_RE33!$S$7:$S$874,$T$2,BS_RE33!$N$7:$N$874,I64,BS_RE33!$P$7:$P$874,'30 days CF Table(USD)'!G64,BS_RE33!$F$7:$F$874,'30 days CF Table(USD)'!$C$2)</f>
        <v>0</v>
      </c>
      <c r="U64" s="341">
        <f>SUMIFS(BS_RE33!$H$7:$H$874,BS_RE33!$S$7:$S$874,$U$2,BS_RE33!$N$7:$N$874,I64,BS_RE33!$P$7:$P$874,'30 days CF Table(USD)'!G64,BS_RE33!$F$7:$F$874,'30 days CF Table(USD)'!$C$2)</f>
        <v>0</v>
      </c>
      <c r="V64" s="341">
        <f>SUMIFS(BS_RE33!$H$7:$H$874,BS_RE33!$S$7:$S$874,$V$2,BS_RE33!$N$7:$N$874,I64,BS_RE33!$P$7:$P$874,'30 days CF Table(USD)'!G64,BS_RE33!$F$7:$F$874,'30 days CF Table(USD)'!$C$2)</f>
        <v>0</v>
      </c>
      <c r="W64" s="341">
        <f>SUMIFS(BS_RE33!$H$7:$H$874,BS_RE33!$S$7:$S$874,$W$2,BS_RE33!$N$7:$N$874,I64,BS_RE33!$P$7:$P$874,'30 days CF Table(USD)'!G64,BS_RE33!$F$7:$F$874,'30 days CF Table(USD)'!$C$2)</f>
        <v>0</v>
      </c>
      <c r="X64" s="341">
        <f>SUMIFS(BS_RE33!$H$7:$H$874,BS_RE33!$S$7:$S$874,$X$2,BS_RE33!$N$7:$N$874,I64,BS_RE33!$P$7:$P$874,'30 days CF Table(USD)'!G64,BS_RE33!$F$7:$F$874,'30 days CF Table(USD)'!$C$2)</f>
        <v>0</v>
      </c>
      <c r="Y64" s="341">
        <f>SUMIFS(BS_RE33!$H$7:$H$874,BS_RE33!$S$7:$S$874,$Y$2,BS_RE33!$N$7:$N$874,I64,BS_RE33!$P$7:$P$874,'30 days CF Table(USD)'!G64,BS_RE33!$F$7:$F$874,'30 days CF Table(USD)'!$C$2)</f>
        <v>0</v>
      </c>
      <c r="Z64" s="341">
        <f>SUMIFS(BS_RE33!$H$7:$H$874,BS_RE33!$S$7:$S$874,$Z$2,BS_RE33!$N$7:$N$874,I64,BS_RE33!$P$7:$P$874,'30 days CF Table(USD)'!G64,BS_RE33!$F$7:$F$874,'30 days CF Table(USD)'!$C$2)</f>
        <v>0</v>
      </c>
      <c r="AA64" s="341">
        <f>SUMIFS(BS_RE33!$H$7:$H$874,BS_RE33!$S$7:$S$874,$AA$2,BS_RE33!$N$7:$N$874,I64,BS_RE33!$P$7:$P$874,'30 days CF Table(USD)'!G64,BS_RE33!$F$7:$F$874,'30 days CF Table(USD)'!$C$2)</f>
        <v>0</v>
      </c>
      <c r="AB64" s="341">
        <f>SUMIFS(BS_RE33!$H$7:$H$874,BS_RE33!$S$7:$S$874,$AB$2,BS_RE33!$N$7:$N$874,I64,BS_RE33!$P$7:$P$874,'30 days CF Table(USD)'!G64,BS_RE33!$F$7:$F$874,'30 days CF Table(USD)'!$C$2)</f>
        <v>0</v>
      </c>
      <c r="AC64" s="341">
        <f>SUMIFS(BS_RE33!$H$7:$H$874,BS_RE33!$S$7:$S$874,$AC$2,BS_RE33!$N$7:$N$874,I64,BS_RE33!$P$7:$P$874,'30 days CF Table(USD)'!G64,BS_RE33!$F$7:$F$874,'30 days CF Table(USD)'!$C$2)</f>
        <v>0</v>
      </c>
      <c r="AD64" s="341">
        <f>SUMIFS(BS_RE33!$H$7:$H$874,BS_RE33!$S$7:$S$874,$AD$2,BS_RE33!$N$7:$N$874,I64,BS_RE33!$P$7:$P$874,'30 days CF Table(USD)'!G64,BS_RE33!$F$7:$F$874,'30 days CF Table(USD)'!$C$2)</f>
        <v>0</v>
      </c>
      <c r="AE64" s="341">
        <f>SUMIFS(BS_RE33!$H$7:$H$874,BS_RE33!$S$7:$S$874,$AE$2,BS_RE33!$N$7:$N$874,I64,BS_RE33!$P$7:$P$874,'30 days CF Table(USD)'!G64,BS_RE33!$F$7:$F$874,'30 days CF Table(USD)'!$C$2)</f>
        <v>0</v>
      </c>
      <c r="AF64" s="341">
        <f>SUMIFS(BS_RE33!$H$7:$H$874,BS_RE33!$S$7:$S$874,$AF$2,BS_RE33!$N$7:$N$874,I64,BS_RE33!$P$7:$P$874,'30 days CF Table(USD)'!G64,BS_RE33!$F$7:$F$874,'30 days CF Table(USD)'!$C$2)</f>
        <v>0</v>
      </c>
      <c r="AG64" s="341">
        <f>SUMIFS(BS_RE33!$H$7:$H$874,BS_RE33!$S$7:$S$874,$AG$2,BS_RE33!$N$7:$N$874,I64,BS_RE33!$P$7:$P$874,'30 days CF Table(USD)'!G64,BS_RE33!$F$7:$F$874,'30 days CF Table(USD)'!$C$2)</f>
        <v>0</v>
      </c>
      <c r="AH64" s="341">
        <f>SUMIFS(BS_RE33!$H$7:$H$874,BS_RE33!$S$7:$S$874,$AH$2,BS_RE33!$N$7:$N$874,I64,BS_RE33!$P$7:$P$874,'30 days CF Table(USD)'!G64,BS_RE33!$F$7:$F$874,'30 days CF Table(USD)'!$C$2)</f>
        <v>0</v>
      </c>
      <c r="AI64" s="341">
        <f>SUMIFS(BS_RE33!$H$7:$H$874,BS_RE33!$S$7:$S$874,$AI$2,BS_RE33!$N$7:$N$874,I64,BS_RE33!$P$7:$P$874,'30 days CF Table(USD)'!G64,BS_RE33!$F$7:$F$874,'30 days CF Table(USD)'!$C$2)</f>
        <v>0</v>
      </c>
      <c r="AJ64" s="341">
        <f>SUMIFS(BS_RE33!$H$7:$H$874,BS_RE33!$S$7:$S$874,$AJ$2,BS_RE33!$N$7:$N$874,I64,BS_RE33!$P$7:$P$874,'30 days CF Table(USD)'!G64,BS_RE33!$F$7:$F$874,'30 days CF Table(USD)'!$C$2)</f>
        <v>0</v>
      </c>
      <c r="AK64" s="341">
        <f>SUMIFS(BS_RE33!$H$7:$H$874,BS_RE33!$S$7:$S$874,$AK$2,BS_RE33!$N$7:$N$874,I64,BS_RE33!$P$7:$P$874,'30 days CF Table(USD)'!G64,BS_RE33!$F$7:$F$874,'30 days CF Table(USD)'!$C$2)</f>
        <v>0</v>
      </c>
      <c r="AL64" s="341">
        <f>SUMIFS(BS_RE33!$H$7:$H$874,BS_RE33!$S$7:$S$874,$AL$2,BS_RE33!$N$7:$N$874,I64,BS_RE33!$P$7:$P$874,'30 days CF Table(USD)'!G64,BS_RE33!$F$7:$F$874,'30 days CF Table(USD)'!$C$2)</f>
        <v>0</v>
      </c>
      <c r="AM64" s="341">
        <f>SUMIFS(BS_RE33!$H$7:$H$874,BS_RE33!$S$7:$S$874,$AM$2,BS_RE33!$N$7:$N$874,I64,BS_RE33!$P$7:$P$874,'30 days CF Table(USD)'!G64,BS_RE33!$F$7:$F$874,'30 days CF Table(USD)'!$C$2)</f>
        <v>0</v>
      </c>
      <c r="AN64" s="341">
        <f>SUMIFS(BS_RE33!$H$7:$H$874,BS_RE33!$S$7:$S$874,$AN$2,BS_RE33!$N$7:$N$874,I64,BS_RE33!$P$7:$P$874,'30 days CF Table(USD)'!G64,BS_RE33!$F$7:$F$874,'30 days CF Table(USD)'!$C$2)</f>
        <v>0</v>
      </c>
      <c r="AO64" s="341">
        <f>SUMIFS(BS_RE33!$H$7:$H$874,BS_RE33!$S$7:$S$874,$AO$2,BS_RE33!$N$7:$N$874,I64,BS_RE33!$P$7:$P$874,'30 days CF Table(USD)'!G64,BS_RE33!$F$7:$F$874,'30 days CF Table(USD)'!$C$2)</f>
        <v>0</v>
      </c>
      <c r="AP64" s="342">
        <f>SUMIFS(BS_RE33!$H$7:$H$874,BS_RE33!$S$7:$S$874,$AP$2,BS_RE33!$N$7:$N$874,I64,BS_RE33!$P$7:$P$874,'30 days CF Table(USD)'!G64,BS_RE33!$F$7:$F$874,'30 days CF Table(USD)'!$C$2)</f>
        <v>0</v>
      </c>
      <c r="AR64" s="381">
        <f>SUMIFS(BS_RE33!$H$7:$H$874,BS_RE33!$S$7:$S$874,$AR$2,BS_RE33!$N$7:$N$874,I64,BS_RE33!$P$7:$P$874,'30 days CF Table(USD)'!G64,BS_RE33!$F$7:$F$874,'30 days CF Table(USD)'!$C$2)</f>
        <v>0</v>
      </c>
      <c r="AS64" s="381">
        <f>SUMIFS(BS_RE33!$H$7:$H$874,BS_RE33!$S$7:$S$874,$AS$2,BS_RE33!$N$7:$N$874,I64,BS_RE33!$P$7:$P$874,'30 days CF Table(USD)'!G64,BS_RE33!$F$7:$F$874,'30 days CF Table(USD)'!$C$2)</f>
        <v>0</v>
      </c>
      <c r="AT64" s="381">
        <f>SUMIFS(BS_RE33!$H$7:$H$874,BS_RE33!$S$7:$S$874,$AT$2,BS_RE33!$N$7:$N$874,I64,BS_RE33!$P$7:$P$874,'30 days CF Table(USD)'!G64,BS_RE33!$F$7:$F$874,'30 days CF Table(USD)'!$C$2)</f>
        <v>0</v>
      </c>
      <c r="AU64" s="381">
        <f>SUMIFS(BS_RE33!$H$7:$H$874,BS_RE33!$S$7:$S$874,$AU$2,BS_RE33!$N$7:$N$874,I64,BS_RE33!$P$7:$P$874,'30 days CF Table(USD)'!G64,BS_RE33!$F$7:$F$874,'30 days CF Table(USD)'!$C$2)</f>
        <v>0</v>
      </c>
      <c r="AV64" s="381">
        <f>SUMIFS(BS_RE33!$H$7:$H$874,BS_RE33!$S$7:$S$874,$AV$2,BS_RE33!$N$7:$N$874,I64,BS_RE33!$P$7:$P$874,'30 days CF Table(USD)'!G64,BS_RE33!$F$7:$F$874,'30 days CF Table(USD)'!$C$2)</f>
        <v>0</v>
      </c>
      <c r="AW64" s="381">
        <f>SUMIFS(BS_RE33!$H$7:$H$874,BS_RE33!$S$7:$S$874,$AW$2,BS_RE33!$N$7:$N$874,I64,BS_RE33!$P$7:$P$874,'30 days CF Table(USD)'!G64,BS_RE33!$F$7:$F$874,'30 days CF Table(USD)'!$C$2)</f>
        <v>0</v>
      </c>
      <c r="AX64" s="381">
        <f>SUMIFS(BS_RE33!$H$7:$H$874,BS_RE33!$S$7:$S$874,$AX$2,BS_RE33!$N$7:$N$874,I64,BS_RE33!$P$7:$P$874,'30 days CF Table(USD)'!G64,BS_RE33!$F$7:$F$874,'30 days CF Table(USD)'!$C$2)</f>
        <v>0</v>
      </c>
      <c r="AY64" s="381">
        <f>SUMIFS(BS_RE33!$H$7:$H$874,BS_RE33!$S$7:$S$874,$AY$2,BS_RE33!$N$7:$N$874,I64,BS_RE33!$P$7:$P$874,'30 days CF Table(USD)'!G64,BS_RE33!$F$7:$F$874,'30 days CF Table(USD)'!$C$2)</f>
        <v>0</v>
      </c>
      <c r="AZ64" s="381">
        <f>SUMIFS(BS_RE33!$H$7:$H$874,BS_RE33!$S$7:$S$874,$AZ$2,BS_RE33!$N$7:$N$874,I64,BS_RE33!$P$7:$P$874,'30 days CF Table(USD)'!G64,BS_RE33!$F$7:$F$874,'30 days CF Table(USD)'!$C$2)</f>
        <v>0</v>
      </c>
      <c r="BA64" s="381">
        <f>SUMIFS(BS_RE33!$H$7:$H$874,BS_RE33!$S$7:$S$874,$BA$2,BS_RE33!$N$7:$N$874,I64,BS_RE33!$P$7:$P$874,'30 days CF Table(USD)'!G64,BS_RE33!$F$7:$F$874,'30 days CF Table(USD)'!$C$2)</f>
        <v>0</v>
      </c>
      <c r="BB64" s="381">
        <f>SUMIFS(BS_RE33!$H$7:$H$874,BS_RE33!$S$7:$S$874,$BB$2,BS_RE33!$N$7:$N$874,I64,BS_RE33!$P$7:$P$874,'30 days CF Table(USD)'!G64,BS_RE33!$F$7:$F$874,'30 days CF Table(USD)'!$C$2)</f>
        <v>0</v>
      </c>
      <c r="BC64" s="381">
        <f>SUMIFS(BS_RE33!$H$7:$H$874,BS_RE33!$S$7:$S$874,$BC$2,BS_RE33!$N$7:$N$874,I64,BS_RE33!$P$7:$P$874,'30 days CF Table(USD)'!G64,BS_RE33!$F$7:$F$874,'30 days CF Table(USD)'!$C$2)</f>
        <v>0</v>
      </c>
      <c r="BD64" s="381">
        <f>SUMIFS(BS_RE33!$H$7:$H$874,BS_RE33!$S$7:$S$874,$BD$2,BS_RE33!$N$7:$N$874,I64,BS_RE33!$P$7:$P$874,'30 days CF Table(USD)'!G64,BS_RE33!$F$7:$F$874,'30 days CF Table(USD)'!$C$2)</f>
        <v>0</v>
      </c>
      <c r="BE64" s="381">
        <f>SUMIFS(BS_RE33!$H$7:$H$874,BS_RE33!$S$7:$S$874,$BE$2,BS_RE33!$N$7:$N$874,I64,BS_RE33!$P$7:$P$874,'30 days CF Table(USD)'!G64,BS_RE33!$F$7:$F$874,'30 days CF Table(USD)'!$C$2)</f>
        <v>0</v>
      </c>
      <c r="BF64" s="381">
        <f>SUMIFS(BS_RE33!$H$7:$H$874,BS_RE33!$S$7:$S$874,$BF$2,BS_RE33!$N$7:$N$874,I64,BS_RE33!$P$7:$P$874,'30 days CF Table(USD)'!G64,BS_RE33!$F$7:$F$874,'30 days CF Table(USD)'!$C$2)</f>
        <v>0</v>
      </c>
      <c r="BG64" s="381">
        <f>SUMIFS(BS_RE33!$H$7:$H$874,BS_RE33!$S$7:$S$874,$BG$2,BS_RE33!$N$7:$N$874,I64,BS_RE33!$P$7:$P$874,'30 days CF Table(USD)'!G64,BS_RE33!$F$7:$F$874,'30 days CF Table(USD)'!$C$2)</f>
        <v>0</v>
      </c>
      <c r="BH64" s="381">
        <f>SUMIFS(BS_RE33!$H$7:$H$874,BS_RE33!$S$7:$S$874,$BH$2,BS_RE33!$N$7:$N$874,I64,BS_RE33!$P$7:$P$874,'30 days CF Table(USD)'!G64,BS_RE33!$F$7:$F$874,'30 days CF Table(USD)'!$C$2)</f>
        <v>0</v>
      </c>
      <c r="BI64" s="381">
        <f>SUMIFS(BS_RE33!$H$7:$H$874,BS_RE33!$S$7:$S$874,$BI$2,BS_RE33!$N$7:$N$874,I64,BS_RE33!$P$7:$P$874,'30 days CF Table(USD)'!G64,BS_RE33!$F$7:$F$874,'30 days CF Table(USD)'!$C$2)</f>
        <v>0</v>
      </c>
      <c r="BJ64" s="381">
        <f>SUMIFS(BS_RE33!$H$7:$H$874,BS_RE33!$S$7:$S$874,$BJ$2,BS_RE33!$N$7:$N$874,I64,BS_RE33!$P$7:$P$874,'30 days CF Table(USD)'!G64,BS_RE33!$F$7:$F$874,'30 days CF Table(USD)'!$C$2)</f>
        <v>0</v>
      </c>
      <c r="BK64" s="381">
        <f>SUMIFS(BS_RE33!$H$7:$H$874,BS_RE33!$S$7:$S$874,$BK$2,BS_RE33!$N$7:$N$874,I64,BS_RE33!$P$7:$P$874,'30 days CF Table(USD)'!G64,BS_RE33!$F$7:$F$874,'30 days CF Table(USD)'!$C$2)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Table(USD)'!$C$2)/1000000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Table(USD)'!$C$2)/1000000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Table(USD)'!$C$2)/1000000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Table(USD)'!$C$2)/1000000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Table(USD)'!$C$2)/1000000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Table(USD)'!$C$2)/1000000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Table(USD)'!$C$2)/1000000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Table(USD)'!$C$2)/1000000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t="b">
        <f>D94='Summary &amp; Working File(AllCcy)'!E21</f>
        <v>1</v>
      </c>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t="b">
        <f>D103='Summary &amp; Working File(AllCcy)'!I21</f>
        <v>1</v>
      </c>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J82*1000000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9" priority="1" operator="containsText" text="false">
      <formula>NOT(ISERROR(SEARCH("false",J88)))</formula>
    </cfRule>
    <cfRule type="containsText" dxfId="8" priority="2" operator="containsText" text="true">
      <formula>NOT(ISERROR(SEARCH("true",J88)))</formula>
    </cfRule>
  </conditionalFormatting>
  <dataValidations count="1">
    <dataValidation type="list" allowBlank="1" showInputMessage="1" showErrorMessage="1" sqref="C2" xr:uid="{00000000-0002-0000-0800-000000000000}">
      <formula1>$I$80:$I$86</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1205</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Table(GBP)'!G4,BS_RE33!$F$7:$F$874,'30 days CF Table(GBP)'!$C$2)</f>
        <v>0</v>
      </c>
      <c r="M4" s="337">
        <f>SUMIFS(BS_RE33!$H$7:$H$874,BS_RE33!$S$7:$S$874,$M$2,BS_RE33!$N$7:$N$874,I4,BS_RE33!$P$7:$P$874,'30 days CF Table(GBP)'!G4,BS_RE33!$F$7:$F$874,'30 days CF Table(GBP)'!$C$2)</f>
        <v>0</v>
      </c>
      <c r="N4" s="337">
        <f>SUMIFS(BS_RE33!$H$7:$H$874,BS_RE33!$S$7:$S$874,$N$2,BS_RE33!$N$7:$N$874,I4,BS_RE33!$P$7:$P$874,'30 days CF Table(GBP)'!G4,BS_RE33!$F$7:$F$874,'30 days CF Table(GBP)'!$C$2)</f>
        <v>0</v>
      </c>
      <c r="O4" s="337">
        <f>SUMIFS(BS_RE33!$H$7:$H$874,BS_RE33!$S$7:$S$874,$O$2,BS_RE33!$N$7:$N$874,I4,BS_RE33!$P$7:$P$874,'30 days CF Table(GBP)'!G4,BS_RE33!$F$7:$F$874,'30 days CF Table(GBP)'!$C$2)</f>
        <v>0</v>
      </c>
      <c r="P4" s="337">
        <f>SUMIFS(BS_RE33!$H$7:$H$874,BS_RE33!$S$7:$S$874,$P$2,BS_RE33!$N$7:$N$874,I4,BS_RE33!$P$7:$P$874,'30 days CF Table(GBP)'!G4,BS_RE33!$F$7:$F$874,'30 days CF Table(GBP)'!$C$2)</f>
        <v>0</v>
      </c>
      <c r="Q4" s="337">
        <f>SUMIFS(BS_RE33!$H$7:$H$874,BS_RE33!$S$7:$S$874,$Q$2,BS_RE33!$N$7:$N$874,I4,BS_RE33!$P$7:$P$874,'30 days CF Table(GBP)'!G4,BS_RE33!$F$7:$F$874,'30 days CF Table(GBP)'!$C$2)</f>
        <v>0</v>
      </c>
      <c r="R4" s="337">
        <f>SUMIFS(BS_RE33!$H$7:$H$874,BS_RE33!$S$7:$S$874,$R$2,BS_RE33!$N$7:$N$874,I4,BS_RE33!$P$7:$P$874,'30 days CF Table(GBP)'!G4,BS_RE33!$F$7:$F$874,'30 days CF Table(GBP)'!$C$2)</f>
        <v>0</v>
      </c>
      <c r="S4" s="337">
        <f>SUMIFS(BS_RE33!$H$7:$H$874,BS_RE33!$S$7:$S$874,$S$2,BS_RE33!$N$7:$N$874,I4,BS_RE33!$P$7:$P$874,'30 days CF Table(GBP)'!G4,BS_RE33!$F$7:$F$874,'30 days CF Table(GBP)'!$C$2)</f>
        <v>0</v>
      </c>
      <c r="T4" s="337">
        <f>SUMIFS(BS_RE33!$H$7:$H$874,BS_RE33!$S$7:$S$874,$T$2,BS_RE33!$N$7:$N$874,I4,BS_RE33!$P$7:$P$874,'30 days CF Table(GBP)'!G4,BS_RE33!$F$7:$F$874,'30 days CF Table(GBP)'!$C$2)</f>
        <v>0</v>
      </c>
      <c r="U4" s="337">
        <f>SUMIFS(BS_RE33!$H$7:$H$874,BS_RE33!$S$7:$S$874,$U$2,BS_RE33!$N$7:$N$874,I4,BS_RE33!$P$7:$P$874,'30 days CF Table(GBP)'!G4,BS_RE33!$F$7:$F$874,'30 days CF Table(GBP)'!$C$2)</f>
        <v>0</v>
      </c>
      <c r="V4" s="337">
        <f>SUMIFS(BS_RE33!$H$7:$H$874,BS_RE33!$S$7:$S$874,$V$2,BS_RE33!$N$7:$N$874,I4,BS_RE33!$P$7:$P$874,'30 days CF Table(GBP)'!G4,BS_RE33!$F$7:$F$874,'30 days CF Table(GBP)'!$C$2)</f>
        <v>0</v>
      </c>
      <c r="W4" s="337">
        <f>SUMIFS(BS_RE33!$H$7:$H$874,BS_RE33!$S$7:$S$874,$W$2,BS_RE33!$N$7:$N$874,I4,BS_RE33!$P$7:$P$874,'30 days CF Table(GBP)'!G4,BS_RE33!$F$7:$F$874,'30 days CF Table(GBP)'!$C$2)</f>
        <v>0</v>
      </c>
      <c r="X4" s="337">
        <f>SUMIFS(BS_RE33!$H$7:$H$874,BS_RE33!$S$7:$S$874,$X$2,BS_RE33!$N$7:$N$874,I4,BS_RE33!$P$7:$P$874,'30 days CF Table(GBP)'!G4,BS_RE33!$F$7:$F$874,'30 days CF Table(GBP)'!$C$2)</f>
        <v>0</v>
      </c>
      <c r="Y4" s="337">
        <f>SUMIFS(BS_RE33!$H$7:$H$874,BS_RE33!$S$7:$S$874,$Y$2,BS_RE33!$N$7:$N$874,I4,BS_RE33!$P$7:$P$874,'30 days CF Table(GBP)'!G4,BS_RE33!$F$7:$F$874,'30 days CF Table(GBP)'!$C$2)</f>
        <v>0</v>
      </c>
      <c r="Z4" s="337">
        <f>SUMIFS(BS_RE33!$H$7:$H$874,BS_RE33!$S$7:$S$874,$Z$2,BS_RE33!$N$7:$N$874,I4,BS_RE33!$P$7:$P$874,'30 days CF Table(GBP)'!G4,BS_RE33!$F$7:$F$874,'30 days CF Table(GBP)'!$C$2)</f>
        <v>0</v>
      </c>
      <c r="AA4" s="337">
        <f>SUMIFS(BS_RE33!$H$7:$H$874,BS_RE33!$S$7:$S$874,$AA$2,BS_RE33!$N$7:$N$874,I4,BS_RE33!$P$7:$P$874,'30 days CF Table(GBP)'!G4,BS_RE33!$F$7:$F$874,'30 days CF Table(GBP)'!$C$2)</f>
        <v>0</v>
      </c>
      <c r="AB4" s="337">
        <f>SUMIFS(BS_RE33!$H$7:$H$874,BS_RE33!$S$7:$S$874,$AB$2,BS_RE33!$N$7:$N$874,I4,BS_RE33!$P$7:$P$874,'30 days CF Table(GBP)'!G4,BS_RE33!$F$7:$F$874,'30 days CF Table(GBP)'!$C$2)</f>
        <v>0</v>
      </c>
      <c r="AC4" s="337">
        <f>SUMIFS(BS_RE33!$H$7:$H$874,BS_RE33!$S$7:$S$874,$AC$2,BS_RE33!$N$7:$N$874,I4,BS_RE33!$P$7:$P$874,'30 days CF Table(GBP)'!G4,BS_RE33!$F$7:$F$874,'30 days CF Table(GBP)'!$C$2)</f>
        <v>0</v>
      </c>
      <c r="AD4" s="337">
        <f>SUMIFS(BS_RE33!$H$7:$H$874,BS_RE33!$S$7:$S$874,$AD$2,BS_RE33!$N$7:$N$874,I4,BS_RE33!$P$7:$P$874,'30 days CF Table(GBP)'!G4,BS_RE33!$F$7:$F$874,'30 days CF Table(GBP)'!$C$2)</f>
        <v>0</v>
      </c>
      <c r="AE4" s="337">
        <f>SUMIFS(BS_RE33!$H$7:$H$874,BS_RE33!$S$7:$S$874,$AE$2,BS_RE33!$N$7:$N$874,I4,BS_RE33!$P$7:$P$874,'30 days CF Table(GBP)'!G4,BS_RE33!$F$7:$F$874,'30 days CF Table(GBP)'!$C$2)</f>
        <v>0</v>
      </c>
      <c r="AF4" s="337">
        <f>SUMIFS(BS_RE33!$H$7:$H$874,BS_RE33!$S$7:$S$874,$AF$2,BS_RE33!$N$7:$N$874,I4,BS_RE33!$P$7:$P$874,'30 days CF Table(GBP)'!G4,BS_RE33!$F$7:$F$874,'30 days CF Table(GBP)'!$C$2)</f>
        <v>0</v>
      </c>
      <c r="AG4" s="337">
        <f>SUMIFS(BS_RE33!$H$7:$H$874,BS_RE33!$S$7:$S$874,$AG$2,BS_RE33!$N$7:$N$874,I4,BS_RE33!$P$7:$P$874,'30 days CF Table(GBP)'!G4,BS_RE33!$F$7:$F$874,'30 days CF Table(GBP)'!$C$2)</f>
        <v>0</v>
      </c>
      <c r="AH4" s="337">
        <f>SUMIFS(BS_RE33!$H$7:$H$874,BS_RE33!$S$7:$S$874,$AH$2,BS_RE33!$N$7:$N$874,I4,BS_RE33!$P$7:$P$874,'30 days CF Table(GBP)'!G4,BS_RE33!$F$7:$F$874,'30 days CF Table(GBP)'!$C$2)</f>
        <v>0</v>
      </c>
      <c r="AI4" s="337">
        <f>SUMIFS(BS_RE33!$H$7:$H$874,BS_RE33!$S$7:$S$874,$AI$2,BS_RE33!$N$7:$N$874,I4,BS_RE33!$P$7:$P$874,'30 days CF Table(GBP)'!G4,BS_RE33!$F$7:$F$874,'30 days CF Table(GBP)'!$C$2)</f>
        <v>0</v>
      </c>
      <c r="AJ4" s="337">
        <f>SUMIFS(BS_RE33!$H$7:$H$874,BS_RE33!$S$7:$S$874,$AJ$2,BS_RE33!$N$7:$N$874,I4,BS_RE33!$P$7:$P$874,'30 days CF Table(GBP)'!G4,BS_RE33!$F$7:$F$874,'30 days CF Table(GBP)'!$C$2)</f>
        <v>0</v>
      </c>
      <c r="AK4" s="337">
        <f>SUMIFS(BS_RE33!$H$7:$H$874,BS_RE33!$S$7:$S$874,$AK$2,BS_RE33!$N$7:$N$874,I4,BS_RE33!$P$7:$P$874,'30 days CF Table(GBP)'!G4,BS_RE33!$F$7:$F$874,'30 days CF Table(GBP)'!$C$2)</f>
        <v>0</v>
      </c>
      <c r="AL4" s="337">
        <f>SUMIFS(BS_RE33!$H$7:$H$874,BS_RE33!$S$7:$S$874,$AL$2,BS_RE33!$N$7:$N$874,I4,BS_RE33!$P$7:$P$874,'30 days CF Table(GBP)'!G4,BS_RE33!$F$7:$F$874,'30 days CF Table(GBP)'!$C$2)</f>
        <v>0</v>
      </c>
      <c r="AM4" s="337">
        <f>SUMIFS(BS_RE33!$H$7:$H$874,BS_RE33!$S$7:$S$874,$AM$2,BS_RE33!$N$7:$N$874,I4,BS_RE33!$P$7:$P$874,'30 days CF Table(GBP)'!G4,BS_RE33!$F$7:$F$874,'30 days CF Table(GBP)'!$C$2)</f>
        <v>0</v>
      </c>
      <c r="AN4" s="337">
        <f>SUMIFS(BS_RE33!$H$7:$H$874,BS_RE33!$S$7:$S$874,$AN$2,BS_RE33!$N$7:$N$874,I4,BS_RE33!$P$7:$P$874,'30 days CF Table(GBP)'!G4,BS_RE33!$F$7:$F$874,'30 days CF Table(GBP)'!$C$2)</f>
        <v>0</v>
      </c>
      <c r="AO4" s="337">
        <f>SUMIFS(BS_RE33!$H$7:$H$874,BS_RE33!$S$7:$S$874,$AO$2,BS_RE33!$N$7:$N$874,I4,BS_RE33!$P$7:$P$874,'30 days CF Table(GBP)'!G4,BS_RE33!$F$7:$F$874,'30 days CF Table(GBP)'!$C$2)</f>
        <v>0</v>
      </c>
      <c r="AP4" s="338">
        <f>SUMIFS(BS_RE33!$H$7:$H$874,BS_RE33!$S$7:$S$874,$AP$2,BS_RE33!$N$7:$N$874,I4,BS_RE33!$P$7:$P$874,'30 days CF Table(GBP)'!G4,BS_RE33!$F$7:$F$874,'30 days CF Table(GBP)'!$C$2)</f>
        <v>0</v>
      </c>
      <c r="AQ4" s="545"/>
      <c r="AR4" s="379">
        <f>SUMIFS(BS_RE33!$H$7:$H$874,BS_RE33!$S$7:$S$874,$AR$2,BS_RE33!$N$7:$N$874,I4,BS_RE33!$P$7:$P$874,'30 days CF Table(GBP)'!G4,BS_RE33!$F$7:$F$874,'30 days CF Table(GBP)'!$C$2)</f>
        <v>0</v>
      </c>
      <c r="AS4" s="379">
        <f>SUMIFS(BS_RE33!$H$7:$H$874,BS_RE33!$S$7:$S$874,$AS$2,BS_RE33!$N$7:$N$874,I4,BS_RE33!$P$7:$P$874,'30 days CF Table(GBP)'!G4,BS_RE33!$F$7:$F$874,'30 days CF Table(GBP)'!$C$2)</f>
        <v>0</v>
      </c>
      <c r="AT4" s="379">
        <f>SUMIFS(BS_RE33!$H$7:$H$874,BS_RE33!$S$7:$S$874,$AT$2,BS_RE33!$N$7:$N$874,I4,BS_RE33!$P$7:$P$874,'30 days CF Table(GBP)'!G4,BS_RE33!$F$7:$F$874,'30 days CF Table(GBP)'!$C$2)</f>
        <v>0</v>
      </c>
      <c r="AU4" s="379">
        <f>SUMIFS(BS_RE33!$H$7:$H$874,BS_RE33!$S$7:$S$874,$AU$2,BS_RE33!$N$7:$N$874,I4,BS_RE33!$P$7:$P$874,'30 days CF Table(GBP)'!G4,BS_RE33!$F$7:$F$874,'30 days CF Table(GBP)'!$C$2)</f>
        <v>0</v>
      </c>
      <c r="AV4" s="379">
        <f>SUMIFS(BS_RE33!$H$7:$H$874,BS_RE33!$S$7:$S$874,$AV$2,BS_RE33!$N$7:$N$874,I4,BS_RE33!$P$7:$P$874,'30 days CF Table(GBP)'!G4,BS_RE33!$F$7:$F$874,'30 days CF Table(GBP)'!$C$2)</f>
        <v>0</v>
      </c>
      <c r="AW4" s="379">
        <f>SUMIFS(BS_RE33!$H$7:$H$874,BS_RE33!$S$7:$S$874,$AW$2,BS_RE33!$N$7:$N$874,I4,BS_RE33!$P$7:$P$874,'30 days CF Table(GBP)'!G4,BS_RE33!$F$7:$F$874,'30 days CF Table(GBP)'!$C$2)</f>
        <v>0</v>
      </c>
      <c r="AX4" s="379">
        <f>SUMIFS(BS_RE33!$H$7:$H$874,BS_RE33!$S$7:$S$874,$AX$2,BS_RE33!$N$7:$N$874,I4,BS_RE33!$P$7:$P$874,'30 days CF Table(GBP)'!G4,BS_RE33!$F$7:$F$874,'30 days CF Table(GBP)'!$C$2)</f>
        <v>0</v>
      </c>
      <c r="AY4" s="379">
        <f>SUMIFS(BS_RE33!$H$7:$H$874,BS_RE33!$S$7:$S$874,$AY$2,BS_RE33!$N$7:$N$874,I4,BS_RE33!$P$7:$P$874,'30 days CF Table(GBP)'!G4,BS_RE33!$F$7:$F$874,'30 days CF Table(GBP)'!$C$2)</f>
        <v>0</v>
      </c>
      <c r="AZ4" s="379">
        <f>SUMIFS(BS_RE33!$H$7:$H$874,BS_RE33!$S$7:$S$874,$AZ$2,BS_RE33!$N$7:$N$874,I4,BS_RE33!$P$7:$P$874,'30 days CF Table(GBP)'!G4,BS_RE33!$F$7:$F$874,'30 days CF Table(GBP)'!$C$2)</f>
        <v>0</v>
      </c>
      <c r="BA4" s="379">
        <f>SUMIFS(BS_RE33!$H$7:$H$874,BS_RE33!$S$7:$S$874,$BA$2,BS_RE33!$N$7:$N$874,I4,BS_RE33!$P$7:$P$874,'30 days CF Table(GBP)'!G4,BS_RE33!$F$7:$F$874,'30 days CF Table(GBP)'!$C$2)</f>
        <v>0</v>
      </c>
      <c r="BB4" s="379">
        <f>SUMIFS(BS_RE33!$H$7:$H$874,BS_RE33!$S$7:$S$874,$BB$2,BS_RE33!$N$7:$N$874,I4,BS_RE33!$P$7:$P$874,'30 days CF Table(GBP)'!G4,BS_RE33!$F$7:$F$874,'30 days CF Table(GBP)'!$C$2)</f>
        <v>0</v>
      </c>
      <c r="BC4" s="379">
        <f>SUMIFS(BS_RE33!$H$7:$H$874,BS_RE33!$S$7:$S$874,$BC$2,BS_RE33!$N$7:$N$874,I4,BS_RE33!$P$7:$P$874,'30 days CF Table(GBP)'!G4,BS_RE33!$F$7:$F$874,'30 days CF Table(GBP)'!$C$2)</f>
        <v>0</v>
      </c>
      <c r="BD4" s="379">
        <f>SUMIFS(BS_RE33!$H$7:$H$874,BS_RE33!$S$7:$S$874,$BD$2,BS_RE33!$N$7:$N$874,I4,BS_RE33!$P$7:$P$874,'30 days CF Table(GBP)'!G4,BS_RE33!$F$7:$F$874,'30 days CF Table(GBP)'!$C$2)</f>
        <v>0</v>
      </c>
      <c r="BE4" s="379">
        <f>SUMIFS(BS_RE33!$H$7:$H$874,BS_RE33!$S$7:$S$874,$BE$2,BS_RE33!$N$7:$N$874,I4,BS_RE33!$P$7:$P$874,'30 days CF Table(GBP)'!G4,BS_RE33!$F$7:$F$874,'30 days CF Table(GBP)'!$C$2)</f>
        <v>0</v>
      </c>
      <c r="BF4" s="379">
        <f>SUMIFS(BS_RE33!$H$7:$H$874,BS_RE33!$S$7:$S$874,$BF$2,BS_RE33!$N$7:$N$874,I4,BS_RE33!$P$7:$P$874,'30 days CF Table(GBP)'!G4,BS_RE33!$F$7:$F$874,'30 days CF Table(GBP)'!$C$2)</f>
        <v>0</v>
      </c>
      <c r="BG4" s="379">
        <f>SUMIFS(BS_RE33!$H$7:$H$874,BS_RE33!$S$7:$S$874,$BG$2,BS_RE33!$N$7:$N$874,I4,BS_RE33!$P$7:$P$874,'30 days CF Table(GBP)'!G4,BS_RE33!$F$7:$F$874,'30 days CF Table(GBP)'!$C$2)</f>
        <v>0</v>
      </c>
      <c r="BH4" s="379">
        <f>SUMIFS(BS_RE33!$H$7:$H$874,BS_RE33!$S$7:$S$874,$BH$2,BS_RE33!$N$7:$N$874,I4,BS_RE33!$P$7:$P$874,'30 days CF Table(GBP)'!G4,BS_RE33!$F$7:$F$874,'30 days CF Table(GBP)'!$C$2)</f>
        <v>0</v>
      </c>
      <c r="BI4" s="379">
        <f>SUMIFS(BS_RE33!$H$7:$H$874,BS_RE33!$S$7:$S$874,$BI$2,BS_RE33!$N$7:$N$874,I4,BS_RE33!$P$7:$P$874,'30 days CF Table(GBP)'!G4,BS_RE33!$F$7:$F$874,'30 days CF Table(GBP)'!$C$2)</f>
        <v>0</v>
      </c>
      <c r="BJ4" s="379">
        <f>SUMIFS(BS_RE33!$H$7:$H$874,BS_RE33!$S$7:$S$874,$BJ$2,BS_RE33!$N$7:$N$874,I4,BS_RE33!$P$7:$P$874,'30 days CF Table(GBP)'!G4,BS_RE33!$F$7:$F$874,'30 days CF Table(GBP)'!$C$2)</f>
        <v>0</v>
      </c>
      <c r="BK4" s="379">
        <f>SUMIFS(BS_RE33!$H$7:$H$874,BS_RE33!$S$7:$S$874,$BK$2,BS_RE33!$N$7:$N$874,I4,BS_RE33!$P$7:$P$874,'30 days CF Table(GBP)'!G4,BS_RE33!$F$7:$F$874,'30 days CF Table(GBP)'!$C$2)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Table(GBP)'!G5,BS_RE33!$F$7:$F$874,'30 days CF Table(GBP)'!$C$2)</f>
        <v>0</v>
      </c>
      <c r="M5" s="337">
        <f>SUMIFS(BS_RE33!$H$7:$H$874,BS_RE33!$S$7:$S$874,$M$2,BS_RE33!$N$7:$N$874,I5,BS_RE33!$P$7:$P$874,'30 days CF Table(GBP)'!G5,BS_RE33!$F$7:$F$874,'30 days CF Table(GBP)'!$C$2)</f>
        <v>0</v>
      </c>
      <c r="N5" s="337">
        <f>SUMIFS(BS_RE33!$H$7:$H$874,BS_RE33!$S$7:$S$874,$N$2,BS_RE33!$N$7:$N$874,I5,BS_RE33!$P$7:$P$874,'30 days CF Table(GBP)'!G5,BS_RE33!$F$7:$F$874,'30 days CF Table(GBP)'!$C$2)</f>
        <v>0</v>
      </c>
      <c r="O5" s="337">
        <f>SUMIFS(BS_RE33!$H$7:$H$874,BS_RE33!$S$7:$S$874,$O$2,BS_RE33!$N$7:$N$874,I5,BS_RE33!$P$7:$P$874,'30 days CF Table(GBP)'!G5,BS_RE33!$F$7:$F$874,'30 days CF Table(GBP)'!$C$2)</f>
        <v>0</v>
      </c>
      <c r="P5" s="337">
        <f>SUMIFS(BS_RE33!$H$7:$H$874,BS_RE33!$S$7:$S$874,$P$2,BS_RE33!$N$7:$N$874,I5,BS_RE33!$P$7:$P$874,'30 days CF Table(GBP)'!G5,BS_RE33!$F$7:$F$874,'30 days CF Table(GBP)'!$C$2)</f>
        <v>0</v>
      </c>
      <c r="Q5" s="337">
        <f>SUMIFS(BS_RE33!$H$7:$H$874,BS_RE33!$S$7:$S$874,$Q$2,BS_RE33!$N$7:$N$874,I5,BS_RE33!$P$7:$P$874,'30 days CF Table(GBP)'!G5,BS_RE33!$F$7:$F$874,'30 days CF Table(GBP)'!$C$2)</f>
        <v>0</v>
      </c>
      <c r="R5" s="337">
        <f>SUMIFS(BS_RE33!$H$7:$H$874,BS_RE33!$S$7:$S$874,$R$2,BS_RE33!$N$7:$N$874,I5,BS_RE33!$P$7:$P$874,'30 days CF Table(GBP)'!G5,BS_RE33!$F$7:$F$874,'30 days CF Table(GBP)'!$C$2)</f>
        <v>0</v>
      </c>
      <c r="S5" s="337">
        <f>SUMIFS(BS_RE33!$H$7:$H$874,BS_RE33!$S$7:$S$874,$S$2,BS_RE33!$N$7:$N$874,I5,BS_RE33!$P$7:$P$874,'30 days CF Table(GBP)'!G5,BS_RE33!$F$7:$F$874,'30 days CF Table(GBP)'!$C$2)</f>
        <v>0</v>
      </c>
      <c r="T5" s="337">
        <f>SUMIFS(BS_RE33!$H$7:$H$874,BS_RE33!$S$7:$S$874,$T$2,BS_RE33!$N$7:$N$874,I5,BS_RE33!$P$7:$P$874,'30 days CF Table(GBP)'!G5,BS_RE33!$F$7:$F$874,'30 days CF Table(GBP)'!$C$2)</f>
        <v>0</v>
      </c>
      <c r="U5" s="337">
        <f>SUMIFS(BS_RE33!$H$7:$H$874,BS_RE33!$S$7:$S$874,$U$2,BS_RE33!$N$7:$N$874,I5,BS_RE33!$P$7:$P$874,'30 days CF Table(GBP)'!G5,BS_RE33!$F$7:$F$874,'30 days CF Table(GBP)'!$C$2)</f>
        <v>0</v>
      </c>
      <c r="V5" s="337">
        <f>SUMIFS(BS_RE33!$H$7:$H$874,BS_RE33!$S$7:$S$874,$V$2,BS_RE33!$N$7:$N$874,I5,BS_RE33!$P$7:$P$874,'30 days CF Table(GBP)'!G5,BS_RE33!$F$7:$F$874,'30 days CF Table(GBP)'!$C$2)</f>
        <v>0</v>
      </c>
      <c r="W5" s="337">
        <f>SUMIFS(BS_RE33!$H$7:$H$874,BS_RE33!$S$7:$S$874,$W$2,BS_RE33!$N$7:$N$874,I5,BS_RE33!$P$7:$P$874,'30 days CF Table(GBP)'!G5,BS_RE33!$F$7:$F$874,'30 days CF Table(GBP)'!$C$2)</f>
        <v>0</v>
      </c>
      <c r="X5" s="337">
        <f>SUMIFS(BS_RE33!$H$7:$H$874,BS_RE33!$S$7:$S$874,$X$2,BS_RE33!$N$7:$N$874,I5,BS_RE33!$P$7:$P$874,'30 days CF Table(GBP)'!G5,BS_RE33!$F$7:$F$874,'30 days CF Table(GBP)'!$C$2)</f>
        <v>0</v>
      </c>
      <c r="Y5" s="337">
        <f>SUMIFS(BS_RE33!$H$7:$H$874,BS_RE33!$S$7:$S$874,$Y$2,BS_RE33!$N$7:$N$874,I5,BS_RE33!$P$7:$P$874,'30 days CF Table(GBP)'!G5,BS_RE33!$F$7:$F$874,'30 days CF Table(GBP)'!$C$2)</f>
        <v>0</v>
      </c>
      <c r="Z5" s="337">
        <f>SUMIFS(BS_RE33!$H$7:$H$874,BS_RE33!$S$7:$S$874,$Z$2,BS_RE33!$N$7:$N$874,I5,BS_RE33!$P$7:$P$874,'30 days CF Table(GBP)'!G5,BS_RE33!$F$7:$F$874,'30 days CF Table(GBP)'!$C$2)</f>
        <v>0</v>
      </c>
      <c r="AA5" s="337">
        <f>SUMIFS(BS_RE33!$H$7:$H$874,BS_RE33!$S$7:$S$874,$AA$2,BS_RE33!$N$7:$N$874,I5,BS_RE33!$P$7:$P$874,'30 days CF Table(GBP)'!G5,BS_RE33!$F$7:$F$874,'30 days CF Table(GBP)'!$C$2)</f>
        <v>0</v>
      </c>
      <c r="AB5" s="337">
        <f>SUMIFS(BS_RE33!$H$7:$H$874,BS_RE33!$S$7:$S$874,$AB$2,BS_RE33!$N$7:$N$874,I5,BS_RE33!$P$7:$P$874,'30 days CF Table(GBP)'!G5,BS_RE33!$F$7:$F$874,'30 days CF Table(GBP)'!$C$2)</f>
        <v>0</v>
      </c>
      <c r="AC5" s="337">
        <f>SUMIFS(BS_RE33!$H$7:$H$874,BS_RE33!$S$7:$S$874,$AC$2,BS_RE33!$N$7:$N$874,I5,BS_RE33!$P$7:$P$874,'30 days CF Table(GBP)'!G5,BS_RE33!$F$7:$F$874,'30 days CF Table(GBP)'!$C$2)</f>
        <v>0</v>
      </c>
      <c r="AD5" s="337">
        <f>SUMIFS(BS_RE33!$H$7:$H$874,BS_RE33!$S$7:$S$874,$AD$2,BS_RE33!$N$7:$N$874,I5,BS_RE33!$P$7:$P$874,'30 days CF Table(GBP)'!G5,BS_RE33!$F$7:$F$874,'30 days CF Table(GBP)'!$C$2)</f>
        <v>0</v>
      </c>
      <c r="AE5" s="337">
        <f>SUMIFS(BS_RE33!$H$7:$H$874,BS_RE33!$S$7:$S$874,$AE$2,BS_RE33!$N$7:$N$874,I5,BS_RE33!$P$7:$P$874,'30 days CF Table(GBP)'!G5,BS_RE33!$F$7:$F$874,'30 days CF Table(GBP)'!$C$2)</f>
        <v>0</v>
      </c>
      <c r="AF5" s="337">
        <f>SUMIFS(BS_RE33!$H$7:$H$874,BS_RE33!$S$7:$S$874,$AF$2,BS_RE33!$N$7:$N$874,I5,BS_RE33!$P$7:$P$874,'30 days CF Table(GBP)'!G5,BS_RE33!$F$7:$F$874,'30 days CF Table(GBP)'!$C$2)</f>
        <v>0</v>
      </c>
      <c r="AG5" s="337">
        <f>SUMIFS(BS_RE33!$H$7:$H$874,BS_RE33!$S$7:$S$874,$AG$2,BS_RE33!$N$7:$N$874,I5,BS_RE33!$P$7:$P$874,'30 days CF Table(GBP)'!G5,BS_RE33!$F$7:$F$874,'30 days CF Table(GBP)'!$C$2)</f>
        <v>0</v>
      </c>
      <c r="AH5" s="337">
        <f>SUMIFS(BS_RE33!$H$7:$H$874,BS_RE33!$S$7:$S$874,$AH$2,BS_RE33!$N$7:$N$874,I5,BS_RE33!$P$7:$P$874,'30 days CF Table(GBP)'!G5,BS_RE33!$F$7:$F$874,'30 days CF Table(GBP)'!$C$2)</f>
        <v>0</v>
      </c>
      <c r="AI5" s="337">
        <f>SUMIFS(BS_RE33!$H$7:$H$874,BS_RE33!$S$7:$S$874,$AI$2,BS_RE33!$N$7:$N$874,I5,BS_RE33!$P$7:$P$874,'30 days CF Table(GBP)'!G5,BS_RE33!$F$7:$F$874,'30 days CF Table(GBP)'!$C$2)</f>
        <v>0</v>
      </c>
      <c r="AJ5" s="337">
        <f>SUMIFS(BS_RE33!$H$7:$H$874,BS_RE33!$S$7:$S$874,$AJ$2,BS_RE33!$N$7:$N$874,I5,BS_RE33!$P$7:$P$874,'30 days CF Table(GBP)'!G5,BS_RE33!$F$7:$F$874,'30 days CF Table(GBP)'!$C$2)</f>
        <v>0</v>
      </c>
      <c r="AK5" s="337">
        <f>SUMIFS(BS_RE33!$H$7:$H$874,BS_RE33!$S$7:$S$874,$AK$2,BS_RE33!$N$7:$N$874,I5,BS_RE33!$P$7:$P$874,'30 days CF Table(GBP)'!G5,BS_RE33!$F$7:$F$874,'30 days CF Table(GBP)'!$C$2)</f>
        <v>0</v>
      </c>
      <c r="AL5" s="337">
        <f>SUMIFS(BS_RE33!$H$7:$H$874,BS_RE33!$S$7:$S$874,$AL$2,BS_RE33!$N$7:$N$874,I5,BS_RE33!$P$7:$P$874,'30 days CF Table(GBP)'!G5,BS_RE33!$F$7:$F$874,'30 days CF Table(GBP)'!$C$2)</f>
        <v>0</v>
      </c>
      <c r="AM5" s="337">
        <f>SUMIFS(BS_RE33!$H$7:$H$874,BS_RE33!$S$7:$S$874,$AM$2,BS_RE33!$N$7:$N$874,I5,BS_RE33!$P$7:$P$874,'30 days CF Table(GBP)'!G5,BS_RE33!$F$7:$F$874,'30 days CF Table(GBP)'!$C$2)</f>
        <v>0</v>
      </c>
      <c r="AN5" s="337">
        <f>SUMIFS(BS_RE33!$H$7:$H$874,BS_RE33!$S$7:$S$874,$AN$2,BS_RE33!$N$7:$N$874,I5,BS_RE33!$P$7:$P$874,'30 days CF Table(GBP)'!G5,BS_RE33!$F$7:$F$874,'30 days CF Table(GBP)'!$C$2)</f>
        <v>0</v>
      </c>
      <c r="AO5" s="337">
        <f>SUMIFS(BS_RE33!$H$7:$H$874,BS_RE33!$S$7:$S$874,$AO$2,BS_RE33!$N$7:$N$874,I5,BS_RE33!$P$7:$P$874,'30 days CF Table(GBP)'!G5,BS_RE33!$F$7:$F$874,'30 days CF Table(GBP)'!$C$2)</f>
        <v>0</v>
      </c>
      <c r="AP5" s="338">
        <f>SUMIFS(BS_RE33!$H$7:$H$874,BS_RE33!$S$7:$S$874,$AP$2,BS_RE33!$N$7:$N$874,I5,BS_RE33!$P$7:$P$874,'30 days CF Table(GBP)'!G5,BS_RE33!$F$7:$F$874,'30 days CF Table(GBP)'!$C$2)</f>
        <v>0</v>
      </c>
      <c r="AQ5" s="545"/>
      <c r="AR5" s="379">
        <f>SUMIFS(BS_RE33!$H$7:$H$874,BS_RE33!$S$7:$S$874,$AR$2,BS_RE33!$N$7:$N$874,I5,BS_RE33!$P$7:$P$874,'30 days CF Table(GBP)'!G5,BS_RE33!$F$7:$F$874,'30 days CF Table(GBP)'!$C$2)</f>
        <v>0</v>
      </c>
      <c r="AS5" s="379">
        <f>SUMIFS(BS_RE33!$H$7:$H$874,BS_RE33!$S$7:$S$874,$AS$2,BS_RE33!$N$7:$N$874,I5,BS_RE33!$P$7:$P$874,'30 days CF Table(GBP)'!G5,BS_RE33!$F$7:$F$874,'30 days CF Table(GBP)'!$C$2)</f>
        <v>0</v>
      </c>
      <c r="AT5" s="379">
        <f>SUMIFS(BS_RE33!$H$7:$H$874,BS_RE33!$S$7:$S$874,$AT$2,BS_RE33!$N$7:$N$874,I5,BS_RE33!$P$7:$P$874,'30 days CF Table(GBP)'!G5,BS_RE33!$F$7:$F$874,'30 days CF Table(GBP)'!$C$2)</f>
        <v>0</v>
      </c>
      <c r="AU5" s="379">
        <f>SUMIFS(BS_RE33!$H$7:$H$874,BS_RE33!$S$7:$S$874,$AU$2,BS_RE33!$N$7:$N$874,I5,BS_RE33!$P$7:$P$874,'30 days CF Table(GBP)'!G5,BS_RE33!$F$7:$F$874,'30 days CF Table(GBP)'!$C$2)</f>
        <v>0</v>
      </c>
      <c r="AV5" s="379">
        <f>SUMIFS(BS_RE33!$H$7:$H$874,BS_RE33!$S$7:$S$874,$AV$2,BS_RE33!$N$7:$N$874,I5,BS_RE33!$P$7:$P$874,'30 days CF Table(GBP)'!G5,BS_RE33!$F$7:$F$874,'30 days CF Table(GBP)'!$C$2)</f>
        <v>0</v>
      </c>
      <c r="AW5" s="379">
        <f>SUMIFS(BS_RE33!$H$7:$H$874,BS_RE33!$S$7:$S$874,$AW$2,BS_RE33!$N$7:$N$874,I5,BS_RE33!$P$7:$P$874,'30 days CF Table(GBP)'!G5,BS_RE33!$F$7:$F$874,'30 days CF Table(GBP)'!$C$2)</f>
        <v>0</v>
      </c>
      <c r="AX5" s="379">
        <f>SUMIFS(BS_RE33!$H$7:$H$874,BS_RE33!$S$7:$S$874,$AX$2,BS_RE33!$N$7:$N$874,I5,BS_RE33!$P$7:$P$874,'30 days CF Table(GBP)'!G5,BS_RE33!$F$7:$F$874,'30 days CF Table(GBP)'!$C$2)</f>
        <v>0</v>
      </c>
      <c r="AY5" s="379">
        <f>SUMIFS(BS_RE33!$H$7:$H$874,BS_RE33!$S$7:$S$874,$AY$2,BS_RE33!$N$7:$N$874,I5,BS_RE33!$P$7:$P$874,'30 days CF Table(GBP)'!G5,BS_RE33!$F$7:$F$874,'30 days CF Table(GBP)'!$C$2)</f>
        <v>0</v>
      </c>
      <c r="AZ5" s="379">
        <f>SUMIFS(BS_RE33!$H$7:$H$874,BS_RE33!$S$7:$S$874,$AZ$2,BS_RE33!$N$7:$N$874,I5,BS_RE33!$P$7:$P$874,'30 days CF Table(GBP)'!G5,BS_RE33!$F$7:$F$874,'30 days CF Table(GBP)'!$C$2)</f>
        <v>0</v>
      </c>
      <c r="BA5" s="379">
        <f>SUMIFS(BS_RE33!$H$7:$H$874,BS_RE33!$S$7:$S$874,$BA$2,BS_RE33!$N$7:$N$874,I5,BS_RE33!$P$7:$P$874,'30 days CF Table(GBP)'!G5,BS_RE33!$F$7:$F$874,'30 days CF Table(GBP)'!$C$2)</f>
        <v>0</v>
      </c>
      <c r="BB5" s="379">
        <f>SUMIFS(BS_RE33!$H$7:$H$874,BS_RE33!$S$7:$S$874,$BB$2,BS_RE33!$N$7:$N$874,I5,BS_RE33!$P$7:$P$874,'30 days CF Table(GBP)'!G5,BS_RE33!$F$7:$F$874,'30 days CF Table(GBP)'!$C$2)</f>
        <v>0</v>
      </c>
      <c r="BC5" s="379">
        <f>SUMIFS(BS_RE33!$H$7:$H$874,BS_RE33!$S$7:$S$874,$BC$2,BS_RE33!$N$7:$N$874,I5,BS_RE33!$P$7:$P$874,'30 days CF Table(GBP)'!G5,BS_RE33!$F$7:$F$874,'30 days CF Table(GBP)'!$C$2)</f>
        <v>0</v>
      </c>
      <c r="BD5" s="379">
        <f>SUMIFS(BS_RE33!$H$7:$H$874,BS_RE33!$S$7:$S$874,$BD$2,BS_RE33!$N$7:$N$874,I5,BS_RE33!$P$7:$P$874,'30 days CF Table(GBP)'!G5,BS_RE33!$F$7:$F$874,'30 days CF Table(GBP)'!$C$2)</f>
        <v>0</v>
      </c>
      <c r="BE5" s="379">
        <f>SUMIFS(BS_RE33!$H$7:$H$874,BS_RE33!$S$7:$S$874,$BE$2,BS_RE33!$N$7:$N$874,I5,BS_RE33!$P$7:$P$874,'30 days CF Table(GBP)'!G5,BS_RE33!$F$7:$F$874,'30 days CF Table(GBP)'!$C$2)</f>
        <v>0</v>
      </c>
      <c r="BF5" s="379">
        <f>SUMIFS(BS_RE33!$H$7:$H$874,BS_RE33!$S$7:$S$874,$BF$2,BS_RE33!$N$7:$N$874,I5,BS_RE33!$P$7:$P$874,'30 days CF Table(GBP)'!G5,BS_RE33!$F$7:$F$874,'30 days CF Table(GBP)'!$C$2)</f>
        <v>0</v>
      </c>
      <c r="BG5" s="379">
        <f>SUMIFS(BS_RE33!$H$7:$H$874,BS_RE33!$S$7:$S$874,$BG$2,BS_RE33!$N$7:$N$874,I5,BS_RE33!$P$7:$P$874,'30 days CF Table(GBP)'!G5,BS_RE33!$F$7:$F$874,'30 days CF Table(GBP)'!$C$2)</f>
        <v>0</v>
      </c>
      <c r="BH5" s="379">
        <f>SUMIFS(BS_RE33!$H$7:$H$874,BS_RE33!$S$7:$S$874,$BH$2,BS_RE33!$N$7:$N$874,I5,BS_RE33!$P$7:$P$874,'30 days CF Table(GBP)'!G5,BS_RE33!$F$7:$F$874,'30 days CF Table(GBP)'!$C$2)</f>
        <v>0</v>
      </c>
      <c r="BI5" s="379">
        <f>SUMIFS(BS_RE33!$H$7:$H$874,BS_RE33!$S$7:$S$874,$BI$2,BS_RE33!$N$7:$N$874,I5,BS_RE33!$P$7:$P$874,'30 days CF Table(GBP)'!G5,BS_RE33!$F$7:$F$874,'30 days CF Table(GBP)'!$C$2)</f>
        <v>0</v>
      </c>
      <c r="BJ5" s="379">
        <f>SUMIFS(BS_RE33!$H$7:$H$874,BS_RE33!$S$7:$S$874,$BJ$2,BS_RE33!$N$7:$N$874,I5,BS_RE33!$P$7:$P$874,'30 days CF Table(GBP)'!G5,BS_RE33!$F$7:$F$874,'30 days CF Table(GBP)'!$C$2)</f>
        <v>0</v>
      </c>
      <c r="BK5" s="379">
        <f>SUMIFS(BS_RE33!$H$7:$H$874,BS_RE33!$S$7:$S$874,$BK$2,BS_RE33!$N$7:$N$874,I5,BS_RE33!$P$7:$P$874,'30 days CF Table(GBP)'!G5,BS_RE33!$F$7:$F$874,'30 days CF Table(GBP)'!$C$2)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Table(GBP)'!G6,BS_RE33!$F$7:$F$874,'30 days CF Table(GBP)'!$C$2)</f>
        <v>0</v>
      </c>
      <c r="M6" s="337">
        <f>SUMIFS(BS_RE33!$H$7:$H$874,BS_RE33!$S$7:$S$874,$M$2,BS_RE33!$N$7:$N$874,I6,BS_RE33!$P$7:$P$874,'30 days CF Table(GBP)'!G6,BS_RE33!$F$7:$F$874,'30 days CF Table(GBP)'!$C$2)</f>
        <v>0</v>
      </c>
      <c r="N6" s="337">
        <f>SUMIFS(BS_RE33!$H$7:$H$874,BS_RE33!$S$7:$S$874,$N$2,BS_RE33!$N$7:$N$874,I6,BS_RE33!$P$7:$P$874,'30 days CF Table(GBP)'!G6,BS_RE33!$F$7:$F$874,'30 days CF Table(GBP)'!$C$2)</f>
        <v>0</v>
      </c>
      <c r="O6" s="337">
        <f>SUMIFS(BS_RE33!$H$7:$H$874,BS_RE33!$S$7:$S$874,$O$2,BS_RE33!$N$7:$N$874,I6,BS_RE33!$P$7:$P$874,'30 days CF Table(GBP)'!G6,BS_RE33!$F$7:$F$874,'30 days CF Table(GBP)'!$C$2)</f>
        <v>0</v>
      </c>
      <c r="P6" s="337">
        <f>SUMIFS(BS_RE33!$H$7:$H$874,BS_RE33!$S$7:$S$874,$P$2,BS_RE33!$N$7:$N$874,I6,BS_RE33!$P$7:$P$874,'30 days CF Table(GBP)'!G6,BS_RE33!$F$7:$F$874,'30 days CF Table(GBP)'!$C$2)</f>
        <v>0</v>
      </c>
      <c r="Q6" s="337">
        <f>SUMIFS(BS_RE33!$H$7:$H$874,BS_RE33!$S$7:$S$874,$Q$2,BS_RE33!$N$7:$N$874,I6,BS_RE33!$P$7:$P$874,'30 days CF Table(GBP)'!G6,BS_RE33!$F$7:$F$874,'30 days CF Table(GBP)'!$C$2)</f>
        <v>0</v>
      </c>
      <c r="R6" s="337">
        <f>SUMIFS(BS_RE33!$H$7:$H$874,BS_RE33!$S$7:$S$874,$R$2,BS_RE33!$N$7:$N$874,I6,BS_RE33!$P$7:$P$874,'30 days CF Table(GBP)'!G6,BS_RE33!$F$7:$F$874,'30 days CF Table(GBP)'!$C$2)</f>
        <v>0</v>
      </c>
      <c r="S6" s="337">
        <f>SUMIFS(BS_RE33!$H$7:$H$874,BS_RE33!$S$7:$S$874,$S$2,BS_RE33!$N$7:$N$874,I6,BS_RE33!$P$7:$P$874,'30 days CF Table(GBP)'!G6,BS_RE33!$F$7:$F$874,'30 days CF Table(GBP)'!$C$2)</f>
        <v>0</v>
      </c>
      <c r="T6" s="337">
        <f>SUMIFS(BS_RE33!$H$7:$H$874,BS_RE33!$S$7:$S$874,$T$2,BS_RE33!$N$7:$N$874,I6,BS_RE33!$P$7:$P$874,'30 days CF Table(GBP)'!G6,BS_RE33!$F$7:$F$874,'30 days CF Table(GBP)'!$C$2)</f>
        <v>0</v>
      </c>
      <c r="U6" s="337">
        <f>SUMIFS(BS_RE33!$H$7:$H$874,BS_RE33!$S$7:$S$874,$U$2,BS_RE33!$N$7:$N$874,I6,BS_RE33!$P$7:$P$874,'30 days CF Table(GBP)'!G6,BS_RE33!$F$7:$F$874,'30 days CF Table(GBP)'!$C$2)</f>
        <v>0</v>
      </c>
      <c r="V6" s="337">
        <f>SUMIFS(BS_RE33!$H$7:$H$874,BS_RE33!$S$7:$S$874,$V$2,BS_RE33!$N$7:$N$874,I6,BS_RE33!$P$7:$P$874,'30 days CF Table(GBP)'!G6,BS_RE33!$F$7:$F$874,'30 days CF Table(GBP)'!$C$2)</f>
        <v>0</v>
      </c>
      <c r="W6" s="337">
        <f>SUMIFS(BS_RE33!$H$7:$H$874,BS_RE33!$S$7:$S$874,$W$2,BS_RE33!$N$7:$N$874,I6,BS_RE33!$P$7:$P$874,'30 days CF Table(GBP)'!G6,BS_RE33!$F$7:$F$874,'30 days CF Table(GBP)'!$C$2)</f>
        <v>0</v>
      </c>
      <c r="X6" s="337">
        <f>SUMIFS(BS_RE33!$H$7:$H$874,BS_RE33!$S$7:$S$874,$X$2,BS_RE33!$N$7:$N$874,I6,BS_RE33!$P$7:$P$874,'30 days CF Table(GBP)'!G6,BS_RE33!$F$7:$F$874,'30 days CF Table(GBP)'!$C$2)</f>
        <v>0</v>
      </c>
      <c r="Y6" s="337">
        <f>SUMIFS(BS_RE33!$H$7:$H$874,BS_RE33!$S$7:$S$874,$Y$2,BS_RE33!$N$7:$N$874,I6,BS_RE33!$P$7:$P$874,'30 days CF Table(GBP)'!G6,BS_RE33!$F$7:$F$874,'30 days CF Table(GBP)'!$C$2)</f>
        <v>0</v>
      </c>
      <c r="Z6" s="337">
        <f>SUMIFS(BS_RE33!$H$7:$H$874,BS_RE33!$S$7:$S$874,$Z$2,BS_RE33!$N$7:$N$874,I6,BS_RE33!$P$7:$P$874,'30 days CF Table(GBP)'!G6,BS_RE33!$F$7:$F$874,'30 days CF Table(GBP)'!$C$2)</f>
        <v>0</v>
      </c>
      <c r="AA6" s="337">
        <f>SUMIFS(BS_RE33!$H$7:$H$874,BS_RE33!$S$7:$S$874,$AA$2,BS_RE33!$N$7:$N$874,I6,BS_RE33!$P$7:$P$874,'30 days CF Table(GBP)'!G6,BS_RE33!$F$7:$F$874,'30 days CF Table(GBP)'!$C$2)</f>
        <v>0</v>
      </c>
      <c r="AB6" s="337">
        <f>SUMIFS(BS_RE33!$H$7:$H$874,BS_RE33!$S$7:$S$874,$AB$2,BS_RE33!$N$7:$N$874,I6,BS_RE33!$P$7:$P$874,'30 days CF Table(GBP)'!G6,BS_RE33!$F$7:$F$874,'30 days CF Table(GBP)'!$C$2)</f>
        <v>0</v>
      </c>
      <c r="AC6" s="337">
        <f>SUMIFS(BS_RE33!$H$7:$H$874,BS_RE33!$S$7:$S$874,$AC$2,BS_RE33!$N$7:$N$874,I6,BS_RE33!$P$7:$P$874,'30 days CF Table(GBP)'!G6,BS_RE33!$F$7:$F$874,'30 days CF Table(GBP)'!$C$2)</f>
        <v>0</v>
      </c>
      <c r="AD6" s="337">
        <f>SUMIFS(BS_RE33!$H$7:$H$874,BS_RE33!$S$7:$S$874,$AD$2,BS_RE33!$N$7:$N$874,I6,BS_RE33!$P$7:$P$874,'30 days CF Table(GBP)'!G6,BS_RE33!$F$7:$F$874,'30 days CF Table(GBP)'!$C$2)</f>
        <v>0</v>
      </c>
      <c r="AE6" s="337">
        <f>SUMIFS(BS_RE33!$H$7:$H$874,BS_RE33!$S$7:$S$874,$AE$2,BS_RE33!$N$7:$N$874,I6,BS_RE33!$P$7:$P$874,'30 days CF Table(GBP)'!G6,BS_RE33!$F$7:$F$874,'30 days CF Table(GBP)'!$C$2)</f>
        <v>0</v>
      </c>
      <c r="AF6" s="337">
        <f>SUMIFS(BS_RE33!$H$7:$H$874,BS_RE33!$S$7:$S$874,$AF$2,BS_RE33!$N$7:$N$874,I6,BS_RE33!$P$7:$P$874,'30 days CF Table(GBP)'!G6,BS_RE33!$F$7:$F$874,'30 days CF Table(GBP)'!$C$2)</f>
        <v>0</v>
      </c>
      <c r="AG6" s="337">
        <f>SUMIFS(BS_RE33!$H$7:$H$874,BS_RE33!$S$7:$S$874,$AG$2,BS_RE33!$N$7:$N$874,I6,BS_RE33!$P$7:$P$874,'30 days CF Table(GBP)'!G6,BS_RE33!$F$7:$F$874,'30 days CF Table(GBP)'!$C$2)</f>
        <v>0</v>
      </c>
      <c r="AH6" s="337">
        <f>SUMIFS(BS_RE33!$H$7:$H$874,BS_RE33!$S$7:$S$874,$AH$2,BS_RE33!$N$7:$N$874,I6,BS_RE33!$P$7:$P$874,'30 days CF Table(GBP)'!G6,BS_RE33!$F$7:$F$874,'30 days CF Table(GBP)'!$C$2)</f>
        <v>0</v>
      </c>
      <c r="AI6" s="337">
        <f>SUMIFS(BS_RE33!$H$7:$H$874,BS_RE33!$S$7:$S$874,$AI$2,BS_RE33!$N$7:$N$874,I6,BS_RE33!$P$7:$P$874,'30 days CF Table(GBP)'!G6,BS_RE33!$F$7:$F$874,'30 days CF Table(GBP)'!$C$2)</f>
        <v>0</v>
      </c>
      <c r="AJ6" s="337">
        <f>SUMIFS(BS_RE33!$H$7:$H$874,BS_RE33!$S$7:$S$874,$AJ$2,BS_RE33!$N$7:$N$874,I6,BS_RE33!$P$7:$P$874,'30 days CF Table(GBP)'!G6,BS_RE33!$F$7:$F$874,'30 days CF Table(GBP)'!$C$2)</f>
        <v>0</v>
      </c>
      <c r="AK6" s="337">
        <f>SUMIFS(BS_RE33!$H$7:$H$874,BS_RE33!$S$7:$S$874,$AK$2,BS_RE33!$N$7:$N$874,I6,BS_RE33!$P$7:$P$874,'30 days CF Table(GBP)'!G6,BS_RE33!$F$7:$F$874,'30 days CF Table(GBP)'!$C$2)</f>
        <v>0</v>
      </c>
      <c r="AL6" s="337">
        <f>SUMIFS(BS_RE33!$H$7:$H$874,BS_RE33!$S$7:$S$874,$AL$2,BS_RE33!$N$7:$N$874,I6,BS_RE33!$P$7:$P$874,'30 days CF Table(GBP)'!G6,BS_RE33!$F$7:$F$874,'30 days CF Table(GBP)'!$C$2)</f>
        <v>0</v>
      </c>
      <c r="AM6" s="337">
        <f>SUMIFS(BS_RE33!$H$7:$H$874,BS_RE33!$S$7:$S$874,$AM$2,BS_RE33!$N$7:$N$874,I6,BS_RE33!$P$7:$P$874,'30 days CF Table(GBP)'!G6,BS_RE33!$F$7:$F$874,'30 days CF Table(GBP)'!$C$2)</f>
        <v>0</v>
      </c>
      <c r="AN6" s="337">
        <f>SUMIFS(BS_RE33!$H$7:$H$874,BS_RE33!$S$7:$S$874,$AN$2,BS_RE33!$N$7:$N$874,I6,BS_RE33!$P$7:$P$874,'30 days CF Table(GBP)'!G6,BS_RE33!$F$7:$F$874,'30 days CF Table(GBP)'!$C$2)</f>
        <v>0</v>
      </c>
      <c r="AO6" s="337">
        <f>SUMIFS(BS_RE33!$H$7:$H$874,BS_RE33!$S$7:$S$874,$AO$2,BS_RE33!$N$7:$N$874,I6,BS_RE33!$P$7:$P$874,'30 days CF Table(GBP)'!G6,BS_RE33!$F$7:$F$874,'30 days CF Table(GBP)'!$C$2)</f>
        <v>0</v>
      </c>
      <c r="AP6" s="338">
        <f>SUMIFS(BS_RE33!$H$7:$H$874,BS_RE33!$S$7:$S$874,$AP$2,BS_RE33!$N$7:$N$874,I6,BS_RE33!$P$7:$P$874,'30 days CF Table(GBP)'!G6,BS_RE33!$F$7:$F$874,'30 days CF Table(GBP)'!$C$2)</f>
        <v>0</v>
      </c>
      <c r="AQ6" s="545"/>
      <c r="AR6" s="379">
        <f>SUMIFS(BS_RE33!$H$7:$H$874,BS_RE33!$S$7:$S$874,$AR$2,BS_RE33!$N$7:$N$874,I6,BS_RE33!$P$7:$P$874,'30 days CF Table(GBP)'!G6,BS_RE33!$F$7:$F$874,'30 days CF Table(GBP)'!$C$2)</f>
        <v>0</v>
      </c>
      <c r="AS6" s="379">
        <f>SUMIFS(BS_RE33!$H$7:$H$874,BS_RE33!$S$7:$S$874,$AS$2,BS_RE33!$N$7:$N$874,I6,BS_RE33!$P$7:$P$874,'30 days CF Table(GBP)'!G6,BS_RE33!$F$7:$F$874,'30 days CF Table(GBP)'!$C$2)</f>
        <v>0</v>
      </c>
      <c r="AT6" s="379">
        <f>SUMIFS(BS_RE33!$H$7:$H$874,BS_RE33!$S$7:$S$874,$AT$2,BS_RE33!$N$7:$N$874,I6,BS_RE33!$P$7:$P$874,'30 days CF Table(GBP)'!G6,BS_RE33!$F$7:$F$874,'30 days CF Table(GBP)'!$C$2)</f>
        <v>0</v>
      </c>
      <c r="AU6" s="379">
        <f>SUMIFS(BS_RE33!$H$7:$H$874,BS_RE33!$S$7:$S$874,$AU$2,BS_RE33!$N$7:$N$874,I6,BS_RE33!$P$7:$P$874,'30 days CF Table(GBP)'!G6,BS_RE33!$F$7:$F$874,'30 days CF Table(GBP)'!$C$2)</f>
        <v>0</v>
      </c>
      <c r="AV6" s="379">
        <f>SUMIFS(BS_RE33!$H$7:$H$874,BS_RE33!$S$7:$S$874,$AV$2,BS_RE33!$N$7:$N$874,I6,BS_RE33!$P$7:$P$874,'30 days CF Table(GBP)'!G6,BS_RE33!$F$7:$F$874,'30 days CF Table(GBP)'!$C$2)</f>
        <v>0</v>
      </c>
      <c r="AW6" s="379">
        <f>SUMIFS(BS_RE33!$H$7:$H$874,BS_RE33!$S$7:$S$874,$AW$2,BS_RE33!$N$7:$N$874,I6,BS_RE33!$P$7:$P$874,'30 days CF Table(GBP)'!G6,BS_RE33!$F$7:$F$874,'30 days CF Table(GBP)'!$C$2)</f>
        <v>0</v>
      </c>
      <c r="AX6" s="379">
        <f>SUMIFS(BS_RE33!$H$7:$H$874,BS_RE33!$S$7:$S$874,$AX$2,BS_RE33!$N$7:$N$874,I6,BS_RE33!$P$7:$P$874,'30 days CF Table(GBP)'!G6,BS_RE33!$F$7:$F$874,'30 days CF Table(GBP)'!$C$2)</f>
        <v>0</v>
      </c>
      <c r="AY6" s="379">
        <f>SUMIFS(BS_RE33!$H$7:$H$874,BS_RE33!$S$7:$S$874,$AY$2,BS_RE33!$N$7:$N$874,I6,BS_RE33!$P$7:$P$874,'30 days CF Table(GBP)'!G6,BS_RE33!$F$7:$F$874,'30 days CF Table(GBP)'!$C$2)</f>
        <v>0</v>
      </c>
      <c r="AZ6" s="379">
        <f>SUMIFS(BS_RE33!$H$7:$H$874,BS_RE33!$S$7:$S$874,$AZ$2,BS_RE33!$N$7:$N$874,I6,BS_RE33!$P$7:$P$874,'30 days CF Table(GBP)'!G6,BS_RE33!$F$7:$F$874,'30 days CF Table(GBP)'!$C$2)</f>
        <v>0</v>
      </c>
      <c r="BA6" s="379">
        <f>SUMIFS(BS_RE33!$H$7:$H$874,BS_RE33!$S$7:$S$874,$BA$2,BS_RE33!$N$7:$N$874,I6,BS_RE33!$P$7:$P$874,'30 days CF Table(GBP)'!G6,BS_RE33!$F$7:$F$874,'30 days CF Table(GBP)'!$C$2)</f>
        <v>0</v>
      </c>
      <c r="BB6" s="379">
        <f>SUMIFS(BS_RE33!$H$7:$H$874,BS_RE33!$S$7:$S$874,$BB$2,BS_RE33!$N$7:$N$874,I6,BS_RE33!$P$7:$P$874,'30 days CF Table(GBP)'!G6,BS_RE33!$F$7:$F$874,'30 days CF Table(GBP)'!$C$2)</f>
        <v>0</v>
      </c>
      <c r="BC6" s="379">
        <f>SUMIFS(BS_RE33!$H$7:$H$874,BS_RE33!$S$7:$S$874,$BC$2,BS_RE33!$N$7:$N$874,I6,BS_RE33!$P$7:$P$874,'30 days CF Table(GBP)'!G6,BS_RE33!$F$7:$F$874,'30 days CF Table(GBP)'!$C$2)</f>
        <v>0</v>
      </c>
      <c r="BD6" s="379">
        <f>SUMIFS(BS_RE33!$H$7:$H$874,BS_RE33!$S$7:$S$874,$BD$2,BS_RE33!$N$7:$N$874,I6,BS_RE33!$P$7:$P$874,'30 days CF Table(GBP)'!G6,BS_RE33!$F$7:$F$874,'30 days CF Table(GBP)'!$C$2)</f>
        <v>0</v>
      </c>
      <c r="BE6" s="379">
        <f>SUMIFS(BS_RE33!$H$7:$H$874,BS_RE33!$S$7:$S$874,$BE$2,BS_RE33!$N$7:$N$874,I6,BS_RE33!$P$7:$P$874,'30 days CF Table(GBP)'!G6,BS_RE33!$F$7:$F$874,'30 days CF Table(GBP)'!$C$2)</f>
        <v>0</v>
      </c>
      <c r="BF6" s="379">
        <f>SUMIFS(BS_RE33!$H$7:$H$874,BS_RE33!$S$7:$S$874,$BF$2,BS_RE33!$N$7:$N$874,I6,BS_RE33!$P$7:$P$874,'30 days CF Table(GBP)'!G6,BS_RE33!$F$7:$F$874,'30 days CF Table(GBP)'!$C$2)</f>
        <v>0</v>
      </c>
      <c r="BG6" s="379">
        <f>SUMIFS(BS_RE33!$H$7:$H$874,BS_RE33!$S$7:$S$874,$BG$2,BS_RE33!$N$7:$N$874,I6,BS_RE33!$P$7:$P$874,'30 days CF Table(GBP)'!G6,BS_RE33!$F$7:$F$874,'30 days CF Table(GBP)'!$C$2)</f>
        <v>0</v>
      </c>
      <c r="BH6" s="379">
        <f>SUMIFS(BS_RE33!$H$7:$H$874,BS_RE33!$S$7:$S$874,$BH$2,BS_RE33!$N$7:$N$874,I6,BS_RE33!$P$7:$P$874,'30 days CF Table(GBP)'!G6,BS_RE33!$F$7:$F$874,'30 days CF Table(GBP)'!$C$2)</f>
        <v>0</v>
      </c>
      <c r="BI6" s="379">
        <f>SUMIFS(BS_RE33!$H$7:$H$874,BS_RE33!$S$7:$S$874,$BI$2,BS_RE33!$N$7:$N$874,I6,BS_RE33!$P$7:$P$874,'30 days CF Table(GBP)'!G6,BS_RE33!$F$7:$F$874,'30 days CF Table(GBP)'!$C$2)</f>
        <v>0</v>
      </c>
      <c r="BJ6" s="379">
        <f>SUMIFS(BS_RE33!$H$7:$H$874,BS_RE33!$S$7:$S$874,$BJ$2,BS_RE33!$N$7:$N$874,I6,BS_RE33!$P$7:$P$874,'30 days CF Table(GBP)'!G6,BS_RE33!$F$7:$F$874,'30 days CF Table(GBP)'!$C$2)</f>
        <v>0</v>
      </c>
      <c r="BK6" s="379">
        <f>SUMIFS(BS_RE33!$H$7:$H$874,BS_RE33!$S$7:$S$874,$BK$2,BS_RE33!$N$7:$N$874,I6,BS_RE33!$P$7:$P$874,'30 days CF Table(GBP)'!G6,BS_RE33!$F$7:$F$874,'30 days CF Table(GBP)'!$C$2)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Table(GBP)'!G7,BS_RE33!$F$7:$F$874,'30 days CF Table(GBP)'!$C$2)</f>
        <v>0</v>
      </c>
      <c r="M7" s="337">
        <f>SUMIFS(BS_RE33!$H$7:$H$874,BS_RE33!$S$7:$S$874,$M$2,BS_RE33!$N$7:$N$874,I7,BS_RE33!$P$7:$P$874,'30 days CF Table(GBP)'!G7,BS_RE33!$F$7:$F$874,'30 days CF Table(GBP)'!$C$2)</f>
        <v>0</v>
      </c>
      <c r="N7" s="337">
        <f>SUMIFS(BS_RE33!$H$7:$H$874,BS_RE33!$S$7:$S$874,$N$2,BS_RE33!$N$7:$N$874,I7,BS_RE33!$P$7:$P$874,'30 days CF Table(GBP)'!G7,BS_RE33!$F$7:$F$874,'30 days CF Table(GBP)'!$C$2)</f>
        <v>0</v>
      </c>
      <c r="O7" s="337">
        <f>SUMIFS(BS_RE33!$H$7:$H$874,BS_RE33!$S$7:$S$874,$O$2,BS_RE33!$N$7:$N$874,I7,BS_RE33!$P$7:$P$874,'30 days CF Table(GBP)'!G7,BS_RE33!$F$7:$F$874,'30 days CF Table(GBP)'!$C$2)</f>
        <v>0</v>
      </c>
      <c r="P7" s="337">
        <f>SUMIFS(BS_RE33!$H$7:$H$874,BS_RE33!$S$7:$S$874,$P$2,BS_RE33!$N$7:$N$874,I7,BS_RE33!$P$7:$P$874,'30 days CF Table(GBP)'!G7,BS_RE33!$F$7:$F$874,'30 days CF Table(GBP)'!$C$2)</f>
        <v>0</v>
      </c>
      <c r="Q7" s="337">
        <f>SUMIFS(BS_RE33!$H$7:$H$874,BS_RE33!$S$7:$S$874,$Q$2,BS_RE33!$N$7:$N$874,I7,BS_RE33!$P$7:$P$874,'30 days CF Table(GBP)'!G7,BS_RE33!$F$7:$F$874,'30 days CF Table(GBP)'!$C$2)</f>
        <v>0</v>
      </c>
      <c r="R7" s="337">
        <f>SUMIFS(BS_RE33!$H$7:$H$874,BS_RE33!$S$7:$S$874,$R$2,BS_RE33!$N$7:$N$874,I7,BS_RE33!$P$7:$P$874,'30 days CF Table(GBP)'!G7,BS_RE33!$F$7:$F$874,'30 days CF Table(GBP)'!$C$2)</f>
        <v>0</v>
      </c>
      <c r="S7" s="337">
        <f>SUMIFS(BS_RE33!$H$7:$H$874,BS_RE33!$S$7:$S$874,$S$2,BS_RE33!$N$7:$N$874,I7,BS_RE33!$P$7:$P$874,'30 days CF Table(GBP)'!G7,BS_RE33!$F$7:$F$874,'30 days CF Table(GBP)'!$C$2)</f>
        <v>0</v>
      </c>
      <c r="T7" s="337">
        <f>SUMIFS(BS_RE33!$H$7:$H$874,BS_RE33!$S$7:$S$874,$T$2,BS_RE33!$N$7:$N$874,I7,BS_RE33!$P$7:$P$874,'30 days CF Table(GBP)'!G7,BS_RE33!$F$7:$F$874,'30 days CF Table(GBP)'!$C$2)</f>
        <v>0</v>
      </c>
      <c r="U7" s="337">
        <f>SUMIFS(BS_RE33!$H$7:$H$874,BS_RE33!$S$7:$S$874,$U$2,BS_RE33!$N$7:$N$874,I7,BS_RE33!$P$7:$P$874,'30 days CF Table(GBP)'!G7,BS_RE33!$F$7:$F$874,'30 days CF Table(GBP)'!$C$2)</f>
        <v>0</v>
      </c>
      <c r="V7" s="337">
        <f>SUMIFS(BS_RE33!$H$7:$H$874,BS_RE33!$S$7:$S$874,$V$2,BS_RE33!$N$7:$N$874,I7,BS_RE33!$P$7:$P$874,'30 days CF Table(GBP)'!G7,BS_RE33!$F$7:$F$874,'30 days CF Table(GBP)'!$C$2)</f>
        <v>0</v>
      </c>
      <c r="W7" s="337">
        <f>SUMIFS(BS_RE33!$H$7:$H$874,BS_RE33!$S$7:$S$874,$W$2,BS_RE33!$N$7:$N$874,I7,BS_RE33!$P$7:$P$874,'30 days CF Table(GBP)'!G7,BS_RE33!$F$7:$F$874,'30 days CF Table(GBP)'!$C$2)</f>
        <v>0</v>
      </c>
      <c r="X7" s="337">
        <f>SUMIFS(BS_RE33!$H$7:$H$874,BS_RE33!$S$7:$S$874,$X$2,BS_RE33!$N$7:$N$874,I7,BS_RE33!$P$7:$P$874,'30 days CF Table(GBP)'!G7,BS_RE33!$F$7:$F$874,'30 days CF Table(GBP)'!$C$2)</f>
        <v>0</v>
      </c>
      <c r="Y7" s="337">
        <f>SUMIFS(BS_RE33!$H$7:$H$874,BS_RE33!$S$7:$S$874,$Y$2,BS_RE33!$N$7:$N$874,I7,BS_RE33!$P$7:$P$874,'30 days CF Table(GBP)'!G7,BS_RE33!$F$7:$F$874,'30 days CF Table(GBP)'!$C$2)</f>
        <v>0</v>
      </c>
      <c r="Z7" s="337">
        <f>SUMIFS(BS_RE33!$H$7:$H$874,BS_RE33!$S$7:$S$874,$Z$2,BS_RE33!$N$7:$N$874,I7,BS_RE33!$P$7:$P$874,'30 days CF Table(GBP)'!G7,BS_RE33!$F$7:$F$874,'30 days CF Table(GBP)'!$C$2)</f>
        <v>0</v>
      </c>
      <c r="AA7" s="337">
        <f>SUMIFS(BS_RE33!$H$7:$H$874,BS_RE33!$S$7:$S$874,$AA$2,BS_RE33!$N$7:$N$874,I7,BS_RE33!$P$7:$P$874,'30 days CF Table(GBP)'!G7,BS_RE33!$F$7:$F$874,'30 days CF Table(GBP)'!$C$2)</f>
        <v>0</v>
      </c>
      <c r="AB7" s="337">
        <f>SUMIFS(BS_RE33!$H$7:$H$874,BS_RE33!$S$7:$S$874,$AB$2,BS_RE33!$N$7:$N$874,I7,BS_RE33!$P$7:$P$874,'30 days CF Table(GBP)'!G7,BS_RE33!$F$7:$F$874,'30 days CF Table(GBP)'!$C$2)</f>
        <v>0</v>
      </c>
      <c r="AC7" s="337">
        <f>SUMIFS(BS_RE33!$H$7:$H$874,BS_RE33!$S$7:$S$874,$AC$2,BS_RE33!$N$7:$N$874,I7,BS_RE33!$P$7:$P$874,'30 days CF Table(GBP)'!G7,BS_RE33!$F$7:$F$874,'30 days CF Table(GBP)'!$C$2)</f>
        <v>0</v>
      </c>
      <c r="AD7" s="337">
        <f>SUMIFS(BS_RE33!$H$7:$H$874,BS_RE33!$S$7:$S$874,$AD$2,BS_RE33!$N$7:$N$874,I7,BS_RE33!$P$7:$P$874,'30 days CF Table(GBP)'!G7,BS_RE33!$F$7:$F$874,'30 days CF Table(GBP)'!$C$2)</f>
        <v>0</v>
      </c>
      <c r="AE7" s="337">
        <f>SUMIFS(BS_RE33!$H$7:$H$874,BS_RE33!$S$7:$S$874,$AE$2,BS_RE33!$N$7:$N$874,I7,BS_RE33!$P$7:$P$874,'30 days CF Table(GBP)'!G7,BS_RE33!$F$7:$F$874,'30 days CF Table(GBP)'!$C$2)</f>
        <v>0</v>
      </c>
      <c r="AF7" s="337">
        <f>SUMIFS(BS_RE33!$H$7:$H$874,BS_RE33!$S$7:$S$874,$AF$2,BS_RE33!$N$7:$N$874,I7,BS_RE33!$P$7:$P$874,'30 days CF Table(GBP)'!G7,BS_RE33!$F$7:$F$874,'30 days CF Table(GBP)'!$C$2)</f>
        <v>0</v>
      </c>
      <c r="AG7" s="337">
        <f>SUMIFS(BS_RE33!$H$7:$H$874,BS_RE33!$S$7:$S$874,$AG$2,BS_RE33!$N$7:$N$874,I7,BS_RE33!$P$7:$P$874,'30 days CF Table(GBP)'!G7,BS_RE33!$F$7:$F$874,'30 days CF Table(GBP)'!$C$2)</f>
        <v>0</v>
      </c>
      <c r="AH7" s="337">
        <f>SUMIFS(BS_RE33!$H$7:$H$874,BS_RE33!$S$7:$S$874,$AH$2,BS_RE33!$N$7:$N$874,I7,BS_RE33!$P$7:$P$874,'30 days CF Table(GBP)'!G7,BS_RE33!$F$7:$F$874,'30 days CF Table(GBP)'!$C$2)</f>
        <v>0</v>
      </c>
      <c r="AI7" s="337">
        <f>SUMIFS(BS_RE33!$H$7:$H$874,BS_RE33!$S$7:$S$874,$AI$2,BS_RE33!$N$7:$N$874,I7,BS_RE33!$P$7:$P$874,'30 days CF Table(GBP)'!G7,BS_RE33!$F$7:$F$874,'30 days CF Table(GBP)'!$C$2)</f>
        <v>0</v>
      </c>
      <c r="AJ7" s="337">
        <f>SUMIFS(BS_RE33!$H$7:$H$874,BS_RE33!$S$7:$S$874,$AJ$2,BS_RE33!$N$7:$N$874,I7,BS_RE33!$P$7:$P$874,'30 days CF Table(GBP)'!G7,BS_RE33!$F$7:$F$874,'30 days CF Table(GBP)'!$C$2)</f>
        <v>0</v>
      </c>
      <c r="AK7" s="337">
        <f>SUMIFS(BS_RE33!$H$7:$H$874,BS_RE33!$S$7:$S$874,$AK$2,BS_RE33!$N$7:$N$874,I7,BS_RE33!$P$7:$P$874,'30 days CF Table(GBP)'!G7,BS_RE33!$F$7:$F$874,'30 days CF Table(GBP)'!$C$2)</f>
        <v>0</v>
      </c>
      <c r="AL7" s="337">
        <f>SUMIFS(BS_RE33!$H$7:$H$874,BS_RE33!$S$7:$S$874,$AL$2,BS_RE33!$N$7:$N$874,I7,BS_RE33!$P$7:$P$874,'30 days CF Table(GBP)'!G7,BS_RE33!$F$7:$F$874,'30 days CF Table(GBP)'!$C$2)</f>
        <v>0</v>
      </c>
      <c r="AM7" s="337">
        <f>SUMIFS(BS_RE33!$H$7:$H$874,BS_RE33!$S$7:$S$874,$AM$2,BS_RE33!$N$7:$N$874,I7,BS_RE33!$P$7:$P$874,'30 days CF Table(GBP)'!G7,BS_RE33!$F$7:$F$874,'30 days CF Table(GBP)'!$C$2)</f>
        <v>0</v>
      </c>
      <c r="AN7" s="337">
        <f>SUMIFS(BS_RE33!$H$7:$H$874,BS_RE33!$S$7:$S$874,$AN$2,BS_RE33!$N$7:$N$874,I7,BS_RE33!$P$7:$P$874,'30 days CF Table(GBP)'!G7,BS_RE33!$F$7:$F$874,'30 days CF Table(GBP)'!$C$2)</f>
        <v>0</v>
      </c>
      <c r="AO7" s="337">
        <f>SUMIFS(BS_RE33!$H$7:$H$874,BS_RE33!$S$7:$S$874,$AO$2,BS_RE33!$N$7:$N$874,I7,BS_RE33!$P$7:$P$874,'30 days CF Table(GBP)'!G7,BS_RE33!$F$7:$F$874,'30 days CF Table(GBP)'!$C$2)</f>
        <v>0</v>
      </c>
      <c r="AP7" s="338">
        <f>SUMIFS(BS_RE33!$H$7:$H$874,BS_RE33!$S$7:$S$874,$AP$2,BS_RE33!$N$7:$N$874,I7,BS_RE33!$P$7:$P$874,'30 days CF Table(GBP)'!G7,BS_RE33!$F$7:$F$874,'30 days CF Table(GBP)'!$C$2)</f>
        <v>0</v>
      </c>
      <c r="AQ7" s="545"/>
      <c r="AR7" s="379">
        <f>SUMIFS(BS_RE33!$H$7:$H$874,BS_RE33!$S$7:$S$874,$AR$2,BS_RE33!$N$7:$N$874,I7,BS_RE33!$P$7:$P$874,'30 days CF Table(GBP)'!G7,BS_RE33!$F$7:$F$874,'30 days CF Table(GBP)'!$C$2)</f>
        <v>0</v>
      </c>
      <c r="AS7" s="379">
        <f>SUMIFS(BS_RE33!$H$7:$H$874,BS_RE33!$S$7:$S$874,$AS$2,BS_RE33!$N$7:$N$874,I7,BS_RE33!$P$7:$P$874,'30 days CF Table(GBP)'!G7,BS_RE33!$F$7:$F$874,'30 days CF Table(GBP)'!$C$2)</f>
        <v>0</v>
      </c>
      <c r="AT7" s="379">
        <f>SUMIFS(BS_RE33!$H$7:$H$874,BS_RE33!$S$7:$S$874,$AT$2,BS_RE33!$N$7:$N$874,I7,BS_RE33!$P$7:$P$874,'30 days CF Table(GBP)'!G7,BS_RE33!$F$7:$F$874,'30 days CF Table(GBP)'!$C$2)</f>
        <v>0</v>
      </c>
      <c r="AU7" s="379">
        <f>SUMIFS(BS_RE33!$H$7:$H$874,BS_RE33!$S$7:$S$874,$AU$2,BS_RE33!$N$7:$N$874,I7,BS_RE33!$P$7:$P$874,'30 days CF Table(GBP)'!G7,BS_RE33!$F$7:$F$874,'30 days CF Table(GBP)'!$C$2)</f>
        <v>0</v>
      </c>
      <c r="AV7" s="379">
        <f>SUMIFS(BS_RE33!$H$7:$H$874,BS_RE33!$S$7:$S$874,$AV$2,BS_RE33!$N$7:$N$874,I7,BS_RE33!$P$7:$P$874,'30 days CF Table(GBP)'!G7,BS_RE33!$F$7:$F$874,'30 days CF Table(GBP)'!$C$2)</f>
        <v>0</v>
      </c>
      <c r="AW7" s="379">
        <f>SUMIFS(BS_RE33!$H$7:$H$874,BS_RE33!$S$7:$S$874,$AW$2,BS_RE33!$N$7:$N$874,I7,BS_RE33!$P$7:$P$874,'30 days CF Table(GBP)'!G7,BS_RE33!$F$7:$F$874,'30 days CF Table(GBP)'!$C$2)</f>
        <v>0</v>
      </c>
      <c r="AX7" s="379">
        <f>SUMIFS(BS_RE33!$H$7:$H$874,BS_RE33!$S$7:$S$874,$AX$2,BS_RE33!$N$7:$N$874,I7,BS_RE33!$P$7:$P$874,'30 days CF Table(GBP)'!G7,BS_RE33!$F$7:$F$874,'30 days CF Table(GBP)'!$C$2)</f>
        <v>0</v>
      </c>
      <c r="AY7" s="379">
        <f>SUMIFS(BS_RE33!$H$7:$H$874,BS_RE33!$S$7:$S$874,$AY$2,BS_RE33!$N$7:$N$874,I7,BS_RE33!$P$7:$P$874,'30 days CF Table(GBP)'!G7,BS_RE33!$F$7:$F$874,'30 days CF Table(GBP)'!$C$2)</f>
        <v>0</v>
      </c>
      <c r="AZ7" s="379">
        <f>SUMIFS(BS_RE33!$H$7:$H$874,BS_RE33!$S$7:$S$874,$AZ$2,BS_RE33!$N$7:$N$874,I7,BS_RE33!$P$7:$P$874,'30 days CF Table(GBP)'!G7,BS_RE33!$F$7:$F$874,'30 days CF Table(GBP)'!$C$2)</f>
        <v>0</v>
      </c>
      <c r="BA7" s="379">
        <f>SUMIFS(BS_RE33!$H$7:$H$874,BS_RE33!$S$7:$S$874,$BA$2,BS_RE33!$N$7:$N$874,I7,BS_RE33!$P$7:$P$874,'30 days CF Table(GBP)'!G7,BS_RE33!$F$7:$F$874,'30 days CF Table(GBP)'!$C$2)</f>
        <v>0</v>
      </c>
      <c r="BB7" s="379">
        <f>SUMIFS(BS_RE33!$H$7:$H$874,BS_RE33!$S$7:$S$874,$BB$2,BS_RE33!$N$7:$N$874,I7,BS_RE33!$P$7:$P$874,'30 days CF Table(GBP)'!G7,BS_RE33!$F$7:$F$874,'30 days CF Table(GBP)'!$C$2)</f>
        <v>0</v>
      </c>
      <c r="BC7" s="379">
        <f>SUMIFS(BS_RE33!$H$7:$H$874,BS_RE33!$S$7:$S$874,$BC$2,BS_RE33!$N$7:$N$874,I7,BS_RE33!$P$7:$P$874,'30 days CF Table(GBP)'!G7,BS_RE33!$F$7:$F$874,'30 days CF Table(GBP)'!$C$2)</f>
        <v>0</v>
      </c>
      <c r="BD7" s="379">
        <f>SUMIFS(BS_RE33!$H$7:$H$874,BS_RE33!$S$7:$S$874,$BD$2,BS_RE33!$N$7:$N$874,I7,BS_RE33!$P$7:$P$874,'30 days CF Table(GBP)'!G7,BS_RE33!$F$7:$F$874,'30 days CF Table(GBP)'!$C$2)</f>
        <v>0</v>
      </c>
      <c r="BE7" s="379">
        <f>SUMIFS(BS_RE33!$H$7:$H$874,BS_RE33!$S$7:$S$874,$BE$2,BS_RE33!$N$7:$N$874,I7,BS_RE33!$P$7:$P$874,'30 days CF Table(GBP)'!G7,BS_RE33!$F$7:$F$874,'30 days CF Table(GBP)'!$C$2)</f>
        <v>0</v>
      </c>
      <c r="BF7" s="379">
        <f>SUMIFS(BS_RE33!$H$7:$H$874,BS_RE33!$S$7:$S$874,$BF$2,BS_RE33!$N$7:$N$874,I7,BS_RE33!$P$7:$P$874,'30 days CF Table(GBP)'!G7,BS_RE33!$F$7:$F$874,'30 days CF Table(GBP)'!$C$2)</f>
        <v>0</v>
      </c>
      <c r="BG7" s="379">
        <f>SUMIFS(BS_RE33!$H$7:$H$874,BS_RE33!$S$7:$S$874,$BG$2,BS_RE33!$N$7:$N$874,I7,BS_RE33!$P$7:$P$874,'30 days CF Table(GBP)'!G7,BS_RE33!$F$7:$F$874,'30 days CF Table(GBP)'!$C$2)</f>
        <v>0</v>
      </c>
      <c r="BH7" s="379">
        <f>SUMIFS(BS_RE33!$H$7:$H$874,BS_RE33!$S$7:$S$874,$BH$2,BS_RE33!$N$7:$N$874,I7,BS_RE33!$P$7:$P$874,'30 days CF Table(GBP)'!G7,BS_RE33!$F$7:$F$874,'30 days CF Table(GBP)'!$C$2)</f>
        <v>0</v>
      </c>
      <c r="BI7" s="379">
        <f>SUMIFS(BS_RE33!$H$7:$H$874,BS_RE33!$S$7:$S$874,$BI$2,BS_RE33!$N$7:$N$874,I7,BS_RE33!$P$7:$P$874,'30 days CF Table(GBP)'!G7,BS_RE33!$F$7:$F$874,'30 days CF Table(GBP)'!$C$2)</f>
        <v>0</v>
      </c>
      <c r="BJ7" s="379">
        <f>SUMIFS(BS_RE33!$H$7:$H$874,BS_RE33!$S$7:$S$874,$BJ$2,BS_RE33!$N$7:$N$874,I7,BS_RE33!$P$7:$P$874,'30 days CF Table(GBP)'!G7,BS_RE33!$F$7:$F$874,'30 days CF Table(GBP)'!$C$2)</f>
        <v>0</v>
      </c>
      <c r="BK7" s="379">
        <f>SUMIFS(BS_RE33!$H$7:$H$874,BS_RE33!$S$7:$S$874,$BK$2,BS_RE33!$N$7:$N$874,I7,BS_RE33!$P$7:$P$874,'30 days CF Table(GBP)'!G7,BS_RE33!$F$7:$F$874,'30 days CF Table(GBP)'!$C$2)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Table(GBP)'!G8,BS_RE33!$F$7:$F$874,'30 days CF Table(GBP)'!$C$2)</f>
        <v>0</v>
      </c>
      <c r="M8" s="337">
        <f>SUMIFS(BS_RE33!$H$7:$H$874,BS_RE33!$S$7:$S$874,$M$2,BS_RE33!$N$7:$N$874,I8,BS_RE33!$P$7:$P$874,'30 days CF Table(GBP)'!G8,BS_RE33!$F$7:$F$874,'30 days CF Table(GBP)'!$C$2)</f>
        <v>0</v>
      </c>
      <c r="N8" s="337">
        <f>SUMIFS(BS_RE33!$H$7:$H$874,BS_RE33!$S$7:$S$874,$N$2,BS_RE33!$N$7:$N$874,I8,BS_RE33!$P$7:$P$874,'30 days CF Table(GBP)'!G8,BS_RE33!$F$7:$F$874,'30 days CF Table(GBP)'!$C$2)</f>
        <v>0</v>
      </c>
      <c r="O8" s="337">
        <f>SUMIFS(BS_RE33!$H$7:$H$874,BS_RE33!$S$7:$S$874,$O$2,BS_RE33!$N$7:$N$874,I8,BS_RE33!$P$7:$P$874,'30 days CF Table(GBP)'!G8,BS_RE33!$F$7:$F$874,'30 days CF Table(GBP)'!$C$2)</f>
        <v>0</v>
      </c>
      <c r="P8" s="337">
        <f>SUMIFS(BS_RE33!$H$7:$H$874,BS_RE33!$S$7:$S$874,$P$2,BS_RE33!$N$7:$N$874,I8,BS_RE33!$P$7:$P$874,'30 days CF Table(GBP)'!G8,BS_RE33!$F$7:$F$874,'30 days CF Table(GBP)'!$C$2)</f>
        <v>0</v>
      </c>
      <c r="Q8" s="337">
        <f>SUMIFS(BS_RE33!$H$7:$H$874,BS_RE33!$S$7:$S$874,$Q$2,BS_RE33!$N$7:$N$874,I8,BS_RE33!$P$7:$P$874,'30 days CF Table(GBP)'!G8,BS_RE33!$F$7:$F$874,'30 days CF Table(GBP)'!$C$2)</f>
        <v>0</v>
      </c>
      <c r="R8" s="337">
        <f>SUMIFS(BS_RE33!$H$7:$H$874,BS_RE33!$S$7:$S$874,$R$2,BS_RE33!$N$7:$N$874,I8,BS_RE33!$P$7:$P$874,'30 days CF Table(GBP)'!G8,BS_RE33!$F$7:$F$874,'30 days CF Table(GBP)'!$C$2)</f>
        <v>0</v>
      </c>
      <c r="S8" s="337">
        <f>SUMIFS(BS_RE33!$H$7:$H$874,BS_RE33!$S$7:$S$874,$S$2,BS_RE33!$N$7:$N$874,I8,BS_RE33!$P$7:$P$874,'30 days CF Table(GBP)'!G8,BS_RE33!$F$7:$F$874,'30 days CF Table(GBP)'!$C$2)</f>
        <v>0</v>
      </c>
      <c r="T8" s="337">
        <f>SUMIFS(BS_RE33!$H$7:$H$874,BS_RE33!$S$7:$S$874,$T$2,BS_RE33!$N$7:$N$874,I8,BS_RE33!$P$7:$P$874,'30 days CF Table(GBP)'!G8,BS_RE33!$F$7:$F$874,'30 days CF Table(GBP)'!$C$2)</f>
        <v>0</v>
      </c>
      <c r="U8" s="337">
        <f>SUMIFS(BS_RE33!$H$7:$H$874,BS_RE33!$S$7:$S$874,$U$2,BS_RE33!$N$7:$N$874,I8,BS_RE33!$P$7:$P$874,'30 days CF Table(GBP)'!G8,BS_RE33!$F$7:$F$874,'30 days CF Table(GBP)'!$C$2)</f>
        <v>0</v>
      </c>
      <c r="V8" s="337">
        <f>SUMIFS(BS_RE33!$H$7:$H$874,BS_RE33!$S$7:$S$874,$V$2,BS_RE33!$N$7:$N$874,I8,BS_RE33!$P$7:$P$874,'30 days CF Table(GBP)'!G8,BS_RE33!$F$7:$F$874,'30 days CF Table(GBP)'!$C$2)</f>
        <v>0</v>
      </c>
      <c r="W8" s="337">
        <f>SUMIFS(BS_RE33!$H$7:$H$874,BS_RE33!$S$7:$S$874,$W$2,BS_RE33!$N$7:$N$874,I8,BS_RE33!$P$7:$P$874,'30 days CF Table(GBP)'!G8,BS_RE33!$F$7:$F$874,'30 days CF Table(GBP)'!$C$2)</f>
        <v>0</v>
      </c>
      <c r="X8" s="337">
        <f>SUMIFS(BS_RE33!$H$7:$H$874,BS_RE33!$S$7:$S$874,$X$2,BS_RE33!$N$7:$N$874,I8,BS_RE33!$P$7:$P$874,'30 days CF Table(GBP)'!G8,BS_RE33!$F$7:$F$874,'30 days CF Table(GBP)'!$C$2)</f>
        <v>0</v>
      </c>
      <c r="Y8" s="337">
        <f>SUMIFS(BS_RE33!$H$7:$H$874,BS_RE33!$S$7:$S$874,$Y$2,BS_RE33!$N$7:$N$874,I8,BS_RE33!$P$7:$P$874,'30 days CF Table(GBP)'!G8,BS_RE33!$F$7:$F$874,'30 days CF Table(GBP)'!$C$2)</f>
        <v>0</v>
      </c>
      <c r="Z8" s="337">
        <f>SUMIFS(BS_RE33!$H$7:$H$874,BS_RE33!$S$7:$S$874,$Z$2,BS_RE33!$N$7:$N$874,I8,BS_RE33!$P$7:$P$874,'30 days CF Table(GBP)'!G8,BS_RE33!$F$7:$F$874,'30 days CF Table(GBP)'!$C$2)</f>
        <v>0</v>
      </c>
      <c r="AA8" s="337">
        <f>SUMIFS(BS_RE33!$H$7:$H$874,BS_RE33!$S$7:$S$874,$AA$2,BS_RE33!$N$7:$N$874,I8,BS_RE33!$P$7:$P$874,'30 days CF Table(GBP)'!G8,BS_RE33!$F$7:$F$874,'30 days CF Table(GBP)'!$C$2)</f>
        <v>0</v>
      </c>
      <c r="AB8" s="337">
        <f>SUMIFS(BS_RE33!$H$7:$H$874,BS_RE33!$S$7:$S$874,$AB$2,BS_RE33!$N$7:$N$874,I8,BS_RE33!$P$7:$P$874,'30 days CF Table(GBP)'!G8,BS_RE33!$F$7:$F$874,'30 days CF Table(GBP)'!$C$2)</f>
        <v>0</v>
      </c>
      <c r="AC8" s="337">
        <f>SUMIFS(BS_RE33!$H$7:$H$874,BS_RE33!$S$7:$S$874,$AC$2,BS_RE33!$N$7:$N$874,I8,BS_RE33!$P$7:$P$874,'30 days CF Table(GBP)'!G8,BS_RE33!$F$7:$F$874,'30 days CF Table(GBP)'!$C$2)</f>
        <v>0</v>
      </c>
      <c r="AD8" s="337">
        <f>SUMIFS(BS_RE33!$H$7:$H$874,BS_RE33!$S$7:$S$874,$AD$2,BS_RE33!$N$7:$N$874,I8,BS_RE33!$P$7:$P$874,'30 days CF Table(GBP)'!G8,BS_RE33!$F$7:$F$874,'30 days CF Table(GBP)'!$C$2)</f>
        <v>0</v>
      </c>
      <c r="AE8" s="337">
        <f>SUMIFS(BS_RE33!$H$7:$H$874,BS_RE33!$S$7:$S$874,$AE$2,BS_RE33!$N$7:$N$874,I8,BS_RE33!$P$7:$P$874,'30 days CF Table(GBP)'!G8,BS_RE33!$F$7:$F$874,'30 days CF Table(GBP)'!$C$2)</f>
        <v>0</v>
      </c>
      <c r="AF8" s="337">
        <f>SUMIFS(BS_RE33!$H$7:$H$874,BS_RE33!$S$7:$S$874,$AF$2,BS_RE33!$N$7:$N$874,I8,BS_RE33!$P$7:$P$874,'30 days CF Table(GBP)'!G8,BS_RE33!$F$7:$F$874,'30 days CF Table(GBP)'!$C$2)</f>
        <v>0</v>
      </c>
      <c r="AG8" s="337">
        <f>SUMIFS(BS_RE33!$H$7:$H$874,BS_RE33!$S$7:$S$874,$AG$2,BS_RE33!$N$7:$N$874,I8,BS_RE33!$P$7:$P$874,'30 days CF Table(GBP)'!G8,BS_RE33!$F$7:$F$874,'30 days CF Table(GBP)'!$C$2)</f>
        <v>0</v>
      </c>
      <c r="AH8" s="337">
        <f>SUMIFS(BS_RE33!$H$7:$H$874,BS_RE33!$S$7:$S$874,$AH$2,BS_RE33!$N$7:$N$874,I8,BS_RE33!$P$7:$P$874,'30 days CF Table(GBP)'!G8,BS_RE33!$F$7:$F$874,'30 days CF Table(GBP)'!$C$2)</f>
        <v>0</v>
      </c>
      <c r="AI8" s="337">
        <f>SUMIFS(BS_RE33!$H$7:$H$874,BS_RE33!$S$7:$S$874,$AI$2,BS_RE33!$N$7:$N$874,I8,BS_RE33!$P$7:$P$874,'30 days CF Table(GBP)'!G8,BS_RE33!$F$7:$F$874,'30 days CF Table(GBP)'!$C$2)</f>
        <v>0</v>
      </c>
      <c r="AJ8" s="337">
        <f>SUMIFS(BS_RE33!$H$7:$H$874,BS_RE33!$S$7:$S$874,$AJ$2,BS_RE33!$N$7:$N$874,I8,BS_RE33!$P$7:$P$874,'30 days CF Table(GBP)'!G8,BS_RE33!$F$7:$F$874,'30 days CF Table(GBP)'!$C$2)</f>
        <v>0</v>
      </c>
      <c r="AK8" s="337">
        <f>SUMIFS(BS_RE33!$H$7:$H$874,BS_RE33!$S$7:$S$874,$AK$2,BS_RE33!$N$7:$N$874,I8,BS_RE33!$P$7:$P$874,'30 days CF Table(GBP)'!G8,BS_RE33!$F$7:$F$874,'30 days CF Table(GBP)'!$C$2)</f>
        <v>0</v>
      </c>
      <c r="AL8" s="337">
        <f>SUMIFS(BS_RE33!$H$7:$H$874,BS_RE33!$S$7:$S$874,$AL$2,BS_RE33!$N$7:$N$874,I8,BS_RE33!$P$7:$P$874,'30 days CF Table(GBP)'!G8,BS_RE33!$F$7:$F$874,'30 days CF Table(GBP)'!$C$2)</f>
        <v>0</v>
      </c>
      <c r="AM8" s="337">
        <f>SUMIFS(BS_RE33!$H$7:$H$874,BS_RE33!$S$7:$S$874,$AM$2,BS_RE33!$N$7:$N$874,I8,BS_RE33!$P$7:$P$874,'30 days CF Table(GBP)'!G8,BS_RE33!$F$7:$F$874,'30 days CF Table(GBP)'!$C$2)</f>
        <v>0</v>
      </c>
      <c r="AN8" s="337">
        <f>SUMIFS(BS_RE33!$H$7:$H$874,BS_RE33!$S$7:$S$874,$AN$2,BS_RE33!$N$7:$N$874,I8,BS_RE33!$P$7:$P$874,'30 days CF Table(GBP)'!G8,BS_RE33!$F$7:$F$874,'30 days CF Table(GBP)'!$C$2)</f>
        <v>0</v>
      </c>
      <c r="AO8" s="337">
        <f>SUMIFS(BS_RE33!$H$7:$H$874,BS_RE33!$S$7:$S$874,$AO$2,BS_RE33!$N$7:$N$874,I8,BS_RE33!$P$7:$P$874,'30 days CF Table(GBP)'!G8,BS_RE33!$F$7:$F$874,'30 days CF Table(GBP)'!$C$2)</f>
        <v>0</v>
      </c>
      <c r="AP8" s="338">
        <f>SUMIFS(BS_RE33!$H$7:$H$874,BS_RE33!$S$7:$S$874,$AP$2,BS_RE33!$N$7:$N$874,I8,BS_RE33!$P$7:$P$874,'30 days CF Table(GBP)'!G8,BS_RE33!$F$7:$F$874,'30 days CF Table(GBP)'!$C$2)</f>
        <v>0</v>
      </c>
      <c r="AQ8" s="545"/>
      <c r="AR8" s="379">
        <f>SUMIFS(BS_RE33!$H$7:$H$874,BS_RE33!$S$7:$S$874,$AR$2,BS_RE33!$N$7:$N$874,I8,BS_RE33!$P$7:$P$874,'30 days CF Table(GBP)'!G8,BS_RE33!$F$7:$F$874,'30 days CF Table(GBP)'!$C$2)</f>
        <v>0</v>
      </c>
      <c r="AS8" s="379">
        <f>SUMIFS(BS_RE33!$H$7:$H$874,BS_RE33!$S$7:$S$874,$AS$2,BS_RE33!$N$7:$N$874,I8,BS_RE33!$P$7:$P$874,'30 days CF Table(GBP)'!G8,BS_RE33!$F$7:$F$874,'30 days CF Table(GBP)'!$C$2)</f>
        <v>0</v>
      </c>
      <c r="AT8" s="379">
        <f>SUMIFS(BS_RE33!$H$7:$H$874,BS_RE33!$S$7:$S$874,$AT$2,BS_RE33!$N$7:$N$874,I8,BS_RE33!$P$7:$P$874,'30 days CF Table(GBP)'!G8,BS_RE33!$F$7:$F$874,'30 days CF Table(GBP)'!$C$2)</f>
        <v>0</v>
      </c>
      <c r="AU8" s="379">
        <f>SUMIFS(BS_RE33!$H$7:$H$874,BS_RE33!$S$7:$S$874,$AU$2,BS_RE33!$N$7:$N$874,I8,BS_RE33!$P$7:$P$874,'30 days CF Table(GBP)'!G8,BS_RE33!$F$7:$F$874,'30 days CF Table(GBP)'!$C$2)</f>
        <v>0</v>
      </c>
      <c r="AV8" s="379">
        <f>SUMIFS(BS_RE33!$H$7:$H$874,BS_RE33!$S$7:$S$874,$AV$2,BS_RE33!$N$7:$N$874,I8,BS_RE33!$P$7:$P$874,'30 days CF Table(GBP)'!G8,BS_RE33!$F$7:$F$874,'30 days CF Table(GBP)'!$C$2)</f>
        <v>0</v>
      </c>
      <c r="AW8" s="379">
        <f>SUMIFS(BS_RE33!$H$7:$H$874,BS_RE33!$S$7:$S$874,$AW$2,BS_RE33!$N$7:$N$874,I8,BS_RE33!$P$7:$P$874,'30 days CF Table(GBP)'!G8,BS_RE33!$F$7:$F$874,'30 days CF Table(GBP)'!$C$2)</f>
        <v>0</v>
      </c>
      <c r="AX8" s="379">
        <f>SUMIFS(BS_RE33!$H$7:$H$874,BS_RE33!$S$7:$S$874,$AX$2,BS_RE33!$N$7:$N$874,I8,BS_RE33!$P$7:$P$874,'30 days CF Table(GBP)'!G8,BS_RE33!$F$7:$F$874,'30 days CF Table(GBP)'!$C$2)</f>
        <v>0</v>
      </c>
      <c r="AY8" s="379">
        <f>SUMIFS(BS_RE33!$H$7:$H$874,BS_RE33!$S$7:$S$874,$AY$2,BS_RE33!$N$7:$N$874,I8,BS_RE33!$P$7:$P$874,'30 days CF Table(GBP)'!G8,BS_RE33!$F$7:$F$874,'30 days CF Table(GBP)'!$C$2)</f>
        <v>0</v>
      </c>
      <c r="AZ8" s="379">
        <f>SUMIFS(BS_RE33!$H$7:$H$874,BS_RE33!$S$7:$S$874,$AZ$2,BS_RE33!$N$7:$N$874,I8,BS_RE33!$P$7:$P$874,'30 days CF Table(GBP)'!G8,BS_RE33!$F$7:$F$874,'30 days CF Table(GBP)'!$C$2)</f>
        <v>0</v>
      </c>
      <c r="BA8" s="379">
        <f>SUMIFS(BS_RE33!$H$7:$H$874,BS_RE33!$S$7:$S$874,$BA$2,BS_RE33!$N$7:$N$874,I8,BS_RE33!$P$7:$P$874,'30 days CF Table(GBP)'!G8,BS_RE33!$F$7:$F$874,'30 days CF Table(GBP)'!$C$2)</f>
        <v>0</v>
      </c>
      <c r="BB8" s="379">
        <f>SUMIFS(BS_RE33!$H$7:$H$874,BS_RE33!$S$7:$S$874,$BB$2,BS_RE33!$N$7:$N$874,I8,BS_RE33!$P$7:$P$874,'30 days CF Table(GBP)'!G8,BS_RE33!$F$7:$F$874,'30 days CF Table(GBP)'!$C$2)</f>
        <v>0</v>
      </c>
      <c r="BC8" s="379">
        <f>SUMIFS(BS_RE33!$H$7:$H$874,BS_RE33!$S$7:$S$874,$BC$2,BS_RE33!$N$7:$N$874,I8,BS_RE33!$P$7:$P$874,'30 days CF Table(GBP)'!G8,BS_RE33!$F$7:$F$874,'30 days CF Table(GBP)'!$C$2)</f>
        <v>0</v>
      </c>
      <c r="BD8" s="379">
        <f>SUMIFS(BS_RE33!$H$7:$H$874,BS_RE33!$S$7:$S$874,$BD$2,BS_RE33!$N$7:$N$874,I8,BS_RE33!$P$7:$P$874,'30 days CF Table(GBP)'!G8,BS_RE33!$F$7:$F$874,'30 days CF Table(GBP)'!$C$2)</f>
        <v>0</v>
      </c>
      <c r="BE8" s="379">
        <f>SUMIFS(BS_RE33!$H$7:$H$874,BS_RE33!$S$7:$S$874,$BE$2,BS_RE33!$N$7:$N$874,I8,BS_RE33!$P$7:$P$874,'30 days CF Table(GBP)'!G8,BS_RE33!$F$7:$F$874,'30 days CF Table(GBP)'!$C$2)</f>
        <v>0</v>
      </c>
      <c r="BF8" s="379">
        <f>SUMIFS(BS_RE33!$H$7:$H$874,BS_RE33!$S$7:$S$874,$BF$2,BS_RE33!$N$7:$N$874,I8,BS_RE33!$P$7:$P$874,'30 days CF Table(GBP)'!G8,BS_RE33!$F$7:$F$874,'30 days CF Table(GBP)'!$C$2)</f>
        <v>0</v>
      </c>
      <c r="BG8" s="379">
        <f>SUMIFS(BS_RE33!$H$7:$H$874,BS_RE33!$S$7:$S$874,$BG$2,BS_RE33!$N$7:$N$874,I8,BS_RE33!$P$7:$P$874,'30 days CF Table(GBP)'!G8,BS_RE33!$F$7:$F$874,'30 days CF Table(GBP)'!$C$2)</f>
        <v>0</v>
      </c>
      <c r="BH8" s="379">
        <f>SUMIFS(BS_RE33!$H$7:$H$874,BS_RE33!$S$7:$S$874,$BH$2,BS_RE33!$N$7:$N$874,I8,BS_RE33!$P$7:$P$874,'30 days CF Table(GBP)'!G8,BS_RE33!$F$7:$F$874,'30 days CF Table(GBP)'!$C$2)</f>
        <v>0</v>
      </c>
      <c r="BI8" s="379">
        <f>SUMIFS(BS_RE33!$H$7:$H$874,BS_RE33!$S$7:$S$874,$BI$2,BS_RE33!$N$7:$N$874,I8,BS_RE33!$P$7:$P$874,'30 days CF Table(GBP)'!G8,BS_RE33!$F$7:$F$874,'30 days CF Table(GBP)'!$C$2)</f>
        <v>0</v>
      </c>
      <c r="BJ8" s="379">
        <f>SUMIFS(BS_RE33!$H$7:$H$874,BS_RE33!$S$7:$S$874,$BJ$2,BS_RE33!$N$7:$N$874,I8,BS_RE33!$P$7:$P$874,'30 days CF Table(GBP)'!G8,BS_RE33!$F$7:$F$874,'30 days CF Table(GBP)'!$C$2)</f>
        <v>0</v>
      </c>
      <c r="BK8" s="379">
        <f>SUMIFS(BS_RE33!$H$7:$H$874,BS_RE33!$S$7:$S$874,$BK$2,BS_RE33!$N$7:$N$874,I8,BS_RE33!$P$7:$P$874,'30 days CF Table(GBP)'!G8,BS_RE33!$F$7:$F$874,'30 days CF Table(GBP)'!$C$2)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Table(GBP)'!G9,BS_RE33!$F$7:$F$874,'30 days CF Table(GBP)'!$C$2)</f>
        <v>0</v>
      </c>
      <c r="M9" s="337">
        <f>SUMIFS(BS_RE33!$H$7:$H$874,BS_RE33!$S$7:$S$874,$M$2,BS_RE33!$N$7:$N$874,I9,BS_RE33!$P$7:$P$874,'30 days CF Table(GBP)'!G9,BS_RE33!$F$7:$F$874,'30 days CF Table(GBP)'!$C$2)</f>
        <v>0</v>
      </c>
      <c r="N9" s="337">
        <f>SUMIFS(BS_RE33!$H$7:$H$874,BS_RE33!$S$7:$S$874,$N$2,BS_RE33!$N$7:$N$874,I9,BS_RE33!$P$7:$P$874,'30 days CF Table(GBP)'!G9,BS_RE33!$F$7:$F$874,'30 days CF Table(GBP)'!$C$2)</f>
        <v>0</v>
      </c>
      <c r="O9" s="337">
        <f>SUMIFS(BS_RE33!$H$7:$H$874,BS_RE33!$S$7:$S$874,$O$2,BS_RE33!$N$7:$N$874,I9,BS_RE33!$P$7:$P$874,'30 days CF Table(GBP)'!G9,BS_RE33!$F$7:$F$874,'30 days CF Table(GBP)'!$C$2)</f>
        <v>0</v>
      </c>
      <c r="P9" s="337">
        <f>SUMIFS(BS_RE33!$H$7:$H$874,BS_RE33!$S$7:$S$874,$P$2,BS_RE33!$N$7:$N$874,I9,BS_RE33!$P$7:$P$874,'30 days CF Table(GBP)'!G9,BS_RE33!$F$7:$F$874,'30 days CF Table(GBP)'!$C$2)</f>
        <v>0</v>
      </c>
      <c r="Q9" s="337">
        <f>SUMIFS(BS_RE33!$H$7:$H$874,BS_RE33!$S$7:$S$874,$Q$2,BS_RE33!$N$7:$N$874,I9,BS_RE33!$P$7:$P$874,'30 days CF Table(GBP)'!G9,BS_RE33!$F$7:$F$874,'30 days CF Table(GBP)'!$C$2)</f>
        <v>0</v>
      </c>
      <c r="R9" s="337">
        <f>SUMIFS(BS_RE33!$H$7:$H$874,BS_RE33!$S$7:$S$874,$R$2,BS_RE33!$N$7:$N$874,I9,BS_RE33!$P$7:$P$874,'30 days CF Table(GBP)'!G9,BS_RE33!$F$7:$F$874,'30 days CF Table(GBP)'!$C$2)</f>
        <v>0</v>
      </c>
      <c r="S9" s="337">
        <f>SUMIFS(BS_RE33!$H$7:$H$874,BS_RE33!$S$7:$S$874,$S$2,BS_RE33!$N$7:$N$874,I9,BS_RE33!$P$7:$P$874,'30 days CF Table(GBP)'!G9,BS_RE33!$F$7:$F$874,'30 days CF Table(GBP)'!$C$2)</f>
        <v>0</v>
      </c>
      <c r="T9" s="337">
        <f>SUMIFS(BS_RE33!$H$7:$H$874,BS_RE33!$S$7:$S$874,$T$2,BS_RE33!$N$7:$N$874,I9,BS_RE33!$P$7:$P$874,'30 days CF Table(GBP)'!G9,BS_RE33!$F$7:$F$874,'30 days CF Table(GBP)'!$C$2)</f>
        <v>0</v>
      </c>
      <c r="U9" s="337">
        <f>SUMIFS(BS_RE33!$H$7:$H$874,BS_RE33!$S$7:$S$874,$U$2,BS_RE33!$N$7:$N$874,I9,BS_RE33!$P$7:$P$874,'30 days CF Table(GBP)'!G9,BS_RE33!$F$7:$F$874,'30 days CF Table(GBP)'!$C$2)</f>
        <v>0</v>
      </c>
      <c r="V9" s="337">
        <f>SUMIFS(BS_RE33!$H$7:$H$874,BS_RE33!$S$7:$S$874,$V$2,BS_RE33!$N$7:$N$874,I9,BS_RE33!$P$7:$P$874,'30 days CF Table(GBP)'!G9,BS_RE33!$F$7:$F$874,'30 days CF Table(GBP)'!$C$2)</f>
        <v>0</v>
      </c>
      <c r="W9" s="337">
        <f>SUMIFS(BS_RE33!$H$7:$H$874,BS_RE33!$S$7:$S$874,$W$2,BS_RE33!$N$7:$N$874,I9,BS_RE33!$P$7:$P$874,'30 days CF Table(GBP)'!G9,BS_RE33!$F$7:$F$874,'30 days CF Table(GBP)'!$C$2)</f>
        <v>0</v>
      </c>
      <c r="X9" s="337">
        <f>SUMIFS(BS_RE33!$H$7:$H$874,BS_RE33!$S$7:$S$874,$X$2,BS_RE33!$N$7:$N$874,I9,BS_RE33!$P$7:$P$874,'30 days CF Table(GBP)'!G9,BS_RE33!$F$7:$F$874,'30 days CF Table(GBP)'!$C$2)</f>
        <v>0</v>
      </c>
      <c r="Y9" s="337">
        <f>SUMIFS(BS_RE33!$H$7:$H$874,BS_RE33!$S$7:$S$874,$Y$2,BS_RE33!$N$7:$N$874,I9,BS_RE33!$P$7:$P$874,'30 days CF Table(GBP)'!G9,BS_RE33!$F$7:$F$874,'30 days CF Table(GBP)'!$C$2)</f>
        <v>0</v>
      </c>
      <c r="Z9" s="337">
        <f>SUMIFS(BS_RE33!$H$7:$H$874,BS_RE33!$S$7:$S$874,$Z$2,BS_RE33!$N$7:$N$874,I9,BS_RE33!$P$7:$P$874,'30 days CF Table(GBP)'!G9,BS_RE33!$F$7:$F$874,'30 days CF Table(GBP)'!$C$2)</f>
        <v>0</v>
      </c>
      <c r="AA9" s="337">
        <f>SUMIFS(BS_RE33!$H$7:$H$874,BS_RE33!$S$7:$S$874,$AA$2,BS_RE33!$N$7:$N$874,I9,BS_RE33!$P$7:$P$874,'30 days CF Table(GBP)'!G9,BS_RE33!$F$7:$F$874,'30 days CF Table(GBP)'!$C$2)</f>
        <v>0</v>
      </c>
      <c r="AB9" s="337">
        <f>SUMIFS(BS_RE33!$H$7:$H$874,BS_RE33!$S$7:$S$874,$AB$2,BS_RE33!$N$7:$N$874,I9,BS_RE33!$P$7:$P$874,'30 days CF Table(GBP)'!G9,BS_RE33!$F$7:$F$874,'30 days CF Table(GBP)'!$C$2)</f>
        <v>0</v>
      </c>
      <c r="AC9" s="337">
        <f>SUMIFS(BS_RE33!$H$7:$H$874,BS_RE33!$S$7:$S$874,$AC$2,BS_RE33!$N$7:$N$874,I9,BS_RE33!$P$7:$P$874,'30 days CF Table(GBP)'!G9,BS_RE33!$F$7:$F$874,'30 days CF Table(GBP)'!$C$2)</f>
        <v>0</v>
      </c>
      <c r="AD9" s="337">
        <f>SUMIFS(BS_RE33!$H$7:$H$874,BS_RE33!$S$7:$S$874,$AD$2,BS_RE33!$N$7:$N$874,I9,BS_RE33!$P$7:$P$874,'30 days CF Table(GBP)'!G9,BS_RE33!$F$7:$F$874,'30 days CF Table(GBP)'!$C$2)</f>
        <v>0</v>
      </c>
      <c r="AE9" s="337">
        <f>SUMIFS(BS_RE33!$H$7:$H$874,BS_RE33!$S$7:$S$874,$AE$2,BS_RE33!$N$7:$N$874,I9,BS_RE33!$P$7:$P$874,'30 days CF Table(GBP)'!G9,BS_RE33!$F$7:$F$874,'30 days CF Table(GBP)'!$C$2)</f>
        <v>0</v>
      </c>
      <c r="AF9" s="337">
        <f>SUMIFS(BS_RE33!$H$7:$H$874,BS_RE33!$S$7:$S$874,$AF$2,BS_RE33!$N$7:$N$874,I9,BS_RE33!$P$7:$P$874,'30 days CF Table(GBP)'!G9,BS_RE33!$F$7:$F$874,'30 days CF Table(GBP)'!$C$2)</f>
        <v>0</v>
      </c>
      <c r="AG9" s="337">
        <f>SUMIFS(BS_RE33!$H$7:$H$874,BS_RE33!$S$7:$S$874,$AG$2,BS_RE33!$N$7:$N$874,I9,BS_RE33!$P$7:$P$874,'30 days CF Table(GBP)'!G9,BS_RE33!$F$7:$F$874,'30 days CF Table(GBP)'!$C$2)</f>
        <v>0</v>
      </c>
      <c r="AH9" s="337">
        <f>SUMIFS(BS_RE33!$H$7:$H$874,BS_RE33!$S$7:$S$874,$AH$2,BS_RE33!$N$7:$N$874,I9,BS_RE33!$P$7:$P$874,'30 days CF Table(GBP)'!G9,BS_RE33!$F$7:$F$874,'30 days CF Table(GBP)'!$C$2)</f>
        <v>0</v>
      </c>
      <c r="AI9" s="337">
        <f>SUMIFS(BS_RE33!$H$7:$H$874,BS_RE33!$S$7:$S$874,$AI$2,BS_RE33!$N$7:$N$874,I9,BS_RE33!$P$7:$P$874,'30 days CF Table(GBP)'!G9,BS_RE33!$F$7:$F$874,'30 days CF Table(GBP)'!$C$2)</f>
        <v>0</v>
      </c>
      <c r="AJ9" s="337">
        <f>SUMIFS(BS_RE33!$H$7:$H$874,BS_RE33!$S$7:$S$874,$AJ$2,BS_RE33!$N$7:$N$874,I9,BS_RE33!$P$7:$P$874,'30 days CF Table(GBP)'!G9,BS_RE33!$F$7:$F$874,'30 days CF Table(GBP)'!$C$2)</f>
        <v>0</v>
      </c>
      <c r="AK9" s="337">
        <f>SUMIFS(BS_RE33!$H$7:$H$874,BS_RE33!$S$7:$S$874,$AK$2,BS_RE33!$N$7:$N$874,I9,BS_RE33!$P$7:$P$874,'30 days CF Table(GBP)'!G9,BS_RE33!$F$7:$F$874,'30 days CF Table(GBP)'!$C$2)</f>
        <v>0</v>
      </c>
      <c r="AL9" s="337">
        <f>SUMIFS(BS_RE33!$H$7:$H$874,BS_RE33!$S$7:$S$874,$AL$2,BS_RE33!$N$7:$N$874,I9,BS_RE33!$P$7:$P$874,'30 days CF Table(GBP)'!G9,BS_RE33!$F$7:$F$874,'30 days CF Table(GBP)'!$C$2)</f>
        <v>0</v>
      </c>
      <c r="AM9" s="337">
        <f>SUMIFS(BS_RE33!$H$7:$H$874,BS_RE33!$S$7:$S$874,$AM$2,BS_RE33!$N$7:$N$874,I9,BS_RE33!$P$7:$P$874,'30 days CF Table(GBP)'!G9,BS_RE33!$F$7:$F$874,'30 days CF Table(GBP)'!$C$2)</f>
        <v>0</v>
      </c>
      <c r="AN9" s="337">
        <f>SUMIFS(BS_RE33!$H$7:$H$874,BS_RE33!$S$7:$S$874,$AN$2,BS_RE33!$N$7:$N$874,I9,BS_RE33!$P$7:$P$874,'30 days CF Table(GBP)'!G9,BS_RE33!$F$7:$F$874,'30 days CF Table(GBP)'!$C$2)</f>
        <v>0</v>
      </c>
      <c r="AO9" s="337">
        <f>SUMIFS(BS_RE33!$H$7:$H$874,BS_RE33!$S$7:$S$874,$AO$2,BS_RE33!$N$7:$N$874,I9,BS_RE33!$P$7:$P$874,'30 days CF Table(GBP)'!G9,BS_RE33!$F$7:$F$874,'30 days CF Table(GBP)'!$C$2)</f>
        <v>0</v>
      </c>
      <c r="AP9" s="338">
        <f>SUMIFS(BS_RE33!$H$7:$H$874,BS_RE33!$S$7:$S$874,$AP$2,BS_RE33!$N$7:$N$874,I9,BS_RE33!$P$7:$P$874,'30 days CF Table(GBP)'!G9,BS_RE33!$F$7:$F$874,'30 days CF Table(GBP)'!$C$2)</f>
        <v>0</v>
      </c>
      <c r="AQ9" s="545"/>
      <c r="AR9" s="379">
        <f>SUMIFS(BS_RE33!$H$7:$H$874,BS_RE33!$S$7:$S$874,$AR$2,BS_RE33!$N$7:$N$874,I9,BS_RE33!$P$7:$P$874,'30 days CF Table(GBP)'!G9,BS_RE33!$F$7:$F$874,'30 days CF Table(GBP)'!$C$2)</f>
        <v>0</v>
      </c>
      <c r="AS9" s="379">
        <f>SUMIFS(BS_RE33!$H$7:$H$874,BS_RE33!$S$7:$S$874,$AS$2,BS_RE33!$N$7:$N$874,I9,BS_RE33!$P$7:$P$874,'30 days CF Table(GBP)'!G9,BS_RE33!$F$7:$F$874,'30 days CF Table(GBP)'!$C$2)</f>
        <v>0</v>
      </c>
      <c r="AT9" s="379">
        <f>SUMIFS(BS_RE33!$H$7:$H$874,BS_RE33!$S$7:$S$874,$AT$2,BS_RE33!$N$7:$N$874,I9,BS_RE33!$P$7:$P$874,'30 days CF Table(GBP)'!G9,BS_RE33!$F$7:$F$874,'30 days CF Table(GBP)'!$C$2)</f>
        <v>0</v>
      </c>
      <c r="AU9" s="379">
        <f>SUMIFS(BS_RE33!$H$7:$H$874,BS_RE33!$S$7:$S$874,$AU$2,BS_RE33!$N$7:$N$874,I9,BS_RE33!$P$7:$P$874,'30 days CF Table(GBP)'!G9,BS_RE33!$F$7:$F$874,'30 days CF Table(GBP)'!$C$2)</f>
        <v>0</v>
      </c>
      <c r="AV9" s="379">
        <f>SUMIFS(BS_RE33!$H$7:$H$874,BS_RE33!$S$7:$S$874,$AV$2,BS_RE33!$N$7:$N$874,I9,BS_RE33!$P$7:$P$874,'30 days CF Table(GBP)'!G9,BS_RE33!$F$7:$F$874,'30 days CF Table(GBP)'!$C$2)</f>
        <v>0</v>
      </c>
      <c r="AW9" s="379">
        <f>SUMIFS(BS_RE33!$H$7:$H$874,BS_RE33!$S$7:$S$874,$AW$2,BS_RE33!$N$7:$N$874,I9,BS_RE33!$P$7:$P$874,'30 days CF Table(GBP)'!G9,BS_RE33!$F$7:$F$874,'30 days CF Table(GBP)'!$C$2)</f>
        <v>0</v>
      </c>
      <c r="AX9" s="379">
        <f>SUMIFS(BS_RE33!$H$7:$H$874,BS_RE33!$S$7:$S$874,$AX$2,BS_RE33!$N$7:$N$874,I9,BS_RE33!$P$7:$P$874,'30 days CF Table(GBP)'!G9,BS_RE33!$F$7:$F$874,'30 days CF Table(GBP)'!$C$2)</f>
        <v>0</v>
      </c>
      <c r="AY9" s="379">
        <f>SUMIFS(BS_RE33!$H$7:$H$874,BS_RE33!$S$7:$S$874,$AY$2,BS_RE33!$N$7:$N$874,I9,BS_RE33!$P$7:$P$874,'30 days CF Table(GBP)'!G9,BS_RE33!$F$7:$F$874,'30 days CF Table(GBP)'!$C$2)</f>
        <v>0</v>
      </c>
      <c r="AZ9" s="379">
        <f>SUMIFS(BS_RE33!$H$7:$H$874,BS_RE33!$S$7:$S$874,$AZ$2,BS_RE33!$N$7:$N$874,I9,BS_RE33!$P$7:$P$874,'30 days CF Table(GBP)'!G9,BS_RE33!$F$7:$F$874,'30 days CF Table(GBP)'!$C$2)</f>
        <v>0</v>
      </c>
      <c r="BA9" s="379">
        <f>SUMIFS(BS_RE33!$H$7:$H$874,BS_RE33!$S$7:$S$874,$BA$2,BS_RE33!$N$7:$N$874,I9,BS_RE33!$P$7:$P$874,'30 days CF Table(GBP)'!G9,BS_RE33!$F$7:$F$874,'30 days CF Table(GBP)'!$C$2)</f>
        <v>0</v>
      </c>
      <c r="BB9" s="379">
        <f>SUMIFS(BS_RE33!$H$7:$H$874,BS_RE33!$S$7:$S$874,$BB$2,BS_RE33!$N$7:$N$874,I9,BS_RE33!$P$7:$P$874,'30 days CF Table(GBP)'!G9,BS_RE33!$F$7:$F$874,'30 days CF Table(GBP)'!$C$2)</f>
        <v>0</v>
      </c>
      <c r="BC9" s="379">
        <f>SUMIFS(BS_RE33!$H$7:$H$874,BS_RE33!$S$7:$S$874,$BC$2,BS_RE33!$N$7:$N$874,I9,BS_RE33!$P$7:$P$874,'30 days CF Table(GBP)'!G9,BS_RE33!$F$7:$F$874,'30 days CF Table(GBP)'!$C$2)</f>
        <v>0</v>
      </c>
      <c r="BD9" s="379">
        <f>SUMIFS(BS_RE33!$H$7:$H$874,BS_RE33!$S$7:$S$874,$BD$2,BS_RE33!$N$7:$N$874,I9,BS_RE33!$P$7:$P$874,'30 days CF Table(GBP)'!G9,BS_RE33!$F$7:$F$874,'30 days CF Table(GBP)'!$C$2)</f>
        <v>0</v>
      </c>
      <c r="BE9" s="379">
        <f>SUMIFS(BS_RE33!$H$7:$H$874,BS_RE33!$S$7:$S$874,$BE$2,BS_RE33!$N$7:$N$874,I9,BS_RE33!$P$7:$P$874,'30 days CF Table(GBP)'!G9,BS_RE33!$F$7:$F$874,'30 days CF Table(GBP)'!$C$2)</f>
        <v>0</v>
      </c>
      <c r="BF9" s="379">
        <f>SUMIFS(BS_RE33!$H$7:$H$874,BS_RE33!$S$7:$S$874,$BF$2,BS_RE33!$N$7:$N$874,I9,BS_RE33!$P$7:$P$874,'30 days CF Table(GBP)'!G9,BS_RE33!$F$7:$F$874,'30 days CF Table(GBP)'!$C$2)</f>
        <v>0</v>
      </c>
      <c r="BG9" s="379">
        <f>SUMIFS(BS_RE33!$H$7:$H$874,BS_RE33!$S$7:$S$874,$BG$2,BS_RE33!$N$7:$N$874,I9,BS_RE33!$P$7:$P$874,'30 days CF Table(GBP)'!G9,BS_RE33!$F$7:$F$874,'30 days CF Table(GBP)'!$C$2)</f>
        <v>0</v>
      </c>
      <c r="BH9" s="379">
        <f>SUMIFS(BS_RE33!$H$7:$H$874,BS_RE33!$S$7:$S$874,$BH$2,BS_RE33!$N$7:$N$874,I9,BS_RE33!$P$7:$P$874,'30 days CF Table(GBP)'!G9,BS_RE33!$F$7:$F$874,'30 days CF Table(GBP)'!$C$2)</f>
        <v>0</v>
      </c>
      <c r="BI9" s="379">
        <f>SUMIFS(BS_RE33!$H$7:$H$874,BS_RE33!$S$7:$S$874,$BI$2,BS_RE33!$N$7:$N$874,I9,BS_RE33!$P$7:$P$874,'30 days CF Table(GBP)'!G9,BS_RE33!$F$7:$F$874,'30 days CF Table(GBP)'!$C$2)</f>
        <v>0</v>
      </c>
      <c r="BJ9" s="379">
        <f>SUMIFS(BS_RE33!$H$7:$H$874,BS_RE33!$S$7:$S$874,$BJ$2,BS_RE33!$N$7:$N$874,I9,BS_RE33!$P$7:$P$874,'30 days CF Table(GBP)'!G9,BS_RE33!$F$7:$F$874,'30 days CF Table(GBP)'!$C$2)</f>
        <v>0</v>
      </c>
      <c r="BK9" s="379">
        <f>SUMIFS(BS_RE33!$H$7:$H$874,BS_RE33!$S$7:$S$874,$BK$2,BS_RE33!$N$7:$N$874,I9,BS_RE33!$P$7:$P$874,'30 days CF Table(GBP)'!G9,BS_RE33!$F$7:$F$874,'30 days CF Table(GBP)'!$C$2)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Table(GBP)'!G10,BS_RE33!$F$7:$F$874,'30 days CF Table(GBP)'!$C$2)</f>
        <v>0</v>
      </c>
      <c r="M10" s="337">
        <f>SUMIFS(BS_RE33!$H$7:$H$874,BS_RE33!$S$7:$S$874,$M$2,BS_RE33!$N$7:$N$874,I10,BS_RE33!$P$7:$P$874,'30 days CF Table(GBP)'!G10,BS_RE33!$F$7:$F$874,'30 days CF Table(GBP)'!$C$2)</f>
        <v>0</v>
      </c>
      <c r="N10" s="337">
        <f>SUMIFS(BS_RE33!$H$7:$H$874,BS_RE33!$S$7:$S$874,$N$2,BS_RE33!$N$7:$N$874,I10,BS_RE33!$P$7:$P$874,'30 days CF Table(GBP)'!G10,BS_RE33!$F$7:$F$874,'30 days CF Table(GBP)'!$C$2)</f>
        <v>0</v>
      </c>
      <c r="O10" s="337">
        <f>SUMIFS(BS_RE33!$H$7:$H$874,BS_RE33!$S$7:$S$874,$O$2,BS_RE33!$N$7:$N$874,I10,BS_RE33!$P$7:$P$874,'30 days CF Table(GBP)'!G10,BS_RE33!$F$7:$F$874,'30 days CF Table(GBP)'!$C$2)</f>
        <v>0</v>
      </c>
      <c r="P10" s="337">
        <f>SUMIFS(BS_RE33!$H$7:$H$874,BS_RE33!$S$7:$S$874,$P$2,BS_RE33!$N$7:$N$874,I10,BS_RE33!$P$7:$P$874,'30 days CF Table(GBP)'!G10,BS_RE33!$F$7:$F$874,'30 days CF Table(GBP)'!$C$2)</f>
        <v>0</v>
      </c>
      <c r="Q10" s="337">
        <f>SUMIFS(BS_RE33!$H$7:$H$874,BS_RE33!$S$7:$S$874,$Q$2,BS_RE33!$N$7:$N$874,I10,BS_RE33!$P$7:$P$874,'30 days CF Table(GBP)'!G10,BS_RE33!$F$7:$F$874,'30 days CF Table(GBP)'!$C$2)</f>
        <v>0</v>
      </c>
      <c r="R10" s="337">
        <f>SUMIFS(BS_RE33!$H$7:$H$874,BS_RE33!$S$7:$S$874,$R$2,BS_RE33!$N$7:$N$874,I10,BS_RE33!$P$7:$P$874,'30 days CF Table(GBP)'!G10,BS_RE33!$F$7:$F$874,'30 days CF Table(GBP)'!$C$2)</f>
        <v>0</v>
      </c>
      <c r="S10" s="337">
        <f>SUMIFS(BS_RE33!$H$7:$H$874,BS_RE33!$S$7:$S$874,$S$2,BS_RE33!$N$7:$N$874,I10,BS_RE33!$P$7:$P$874,'30 days CF Table(GBP)'!G10,BS_RE33!$F$7:$F$874,'30 days CF Table(GBP)'!$C$2)</f>
        <v>0</v>
      </c>
      <c r="T10" s="337">
        <f>SUMIFS(BS_RE33!$H$7:$H$874,BS_RE33!$S$7:$S$874,$T$2,BS_RE33!$N$7:$N$874,I10,BS_RE33!$P$7:$P$874,'30 days CF Table(GBP)'!G10,BS_RE33!$F$7:$F$874,'30 days CF Table(GBP)'!$C$2)</f>
        <v>0</v>
      </c>
      <c r="U10" s="337">
        <f>SUMIFS(BS_RE33!$H$7:$H$874,BS_RE33!$S$7:$S$874,$U$2,BS_RE33!$N$7:$N$874,I10,BS_RE33!$P$7:$P$874,'30 days CF Table(GBP)'!G10,BS_RE33!$F$7:$F$874,'30 days CF Table(GBP)'!$C$2)</f>
        <v>0</v>
      </c>
      <c r="V10" s="337">
        <f>SUMIFS(BS_RE33!$H$7:$H$874,BS_RE33!$S$7:$S$874,$V$2,BS_RE33!$N$7:$N$874,I10,BS_RE33!$P$7:$P$874,'30 days CF Table(GBP)'!G10,BS_RE33!$F$7:$F$874,'30 days CF Table(GBP)'!$C$2)</f>
        <v>0</v>
      </c>
      <c r="W10" s="337">
        <f>SUMIFS(BS_RE33!$H$7:$H$874,BS_RE33!$S$7:$S$874,$W$2,BS_RE33!$N$7:$N$874,I10,BS_RE33!$P$7:$P$874,'30 days CF Table(GBP)'!G10,BS_RE33!$F$7:$F$874,'30 days CF Table(GBP)'!$C$2)</f>
        <v>0</v>
      </c>
      <c r="X10" s="337">
        <f>SUMIFS(BS_RE33!$H$7:$H$874,BS_RE33!$S$7:$S$874,$X$2,BS_RE33!$N$7:$N$874,I10,BS_RE33!$P$7:$P$874,'30 days CF Table(GBP)'!G10,BS_RE33!$F$7:$F$874,'30 days CF Table(GBP)'!$C$2)</f>
        <v>0</v>
      </c>
      <c r="Y10" s="337">
        <f>SUMIFS(BS_RE33!$H$7:$H$874,BS_RE33!$S$7:$S$874,$Y$2,BS_RE33!$N$7:$N$874,I10,BS_RE33!$P$7:$P$874,'30 days CF Table(GBP)'!G10,BS_RE33!$F$7:$F$874,'30 days CF Table(GBP)'!$C$2)</f>
        <v>0</v>
      </c>
      <c r="Z10" s="337">
        <f>SUMIFS(BS_RE33!$H$7:$H$874,BS_RE33!$S$7:$S$874,$Z$2,BS_RE33!$N$7:$N$874,I10,BS_RE33!$P$7:$P$874,'30 days CF Table(GBP)'!G10,BS_RE33!$F$7:$F$874,'30 days CF Table(GBP)'!$C$2)</f>
        <v>0</v>
      </c>
      <c r="AA10" s="337">
        <f>SUMIFS(BS_RE33!$H$7:$H$874,BS_RE33!$S$7:$S$874,$AA$2,BS_RE33!$N$7:$N$874,I10,BS_RE33!$P$7:$P$874,'30 days CF Table(GBP)'!G10,BS_RE33!$F$7:$F$874,'30 days CF Table(GBP)'!$C$2)</f>
        <v>0</v>
      </c>
      <c r="AB10" s="337">
        <f>SUMIFS(BS_RE33!$H$7:$H$874,BS_RE33!$S$7:$S$874,$AB$2,BS_RE33!$N$7:$N$874,I10,BS_RE33!$P$7:$P$874,'30 days CF Table(GBP)'!G10,BS_RE33!$F$7:$F$874,'30 days CF Table(GBP)'!$C$2)</f>
        <v>0</v>
      </c>
      <c r="AC10" s="337">
        <f>SUMIFS(BS_RE33!$H$7:$H$874,BS_RE33!$S$7:$S$874,$AC$2,BS_RE33!$N$7:$N$874,I10,BS_RE33!$P$7:$P$874,'30 days CF Table(GBP)'!G10,BS_RE33!$F$7:$F$874,'30 days CF Table(GBP)'!$C$2)</f>
        <v>0</v>
      </c>
      <c r="AD10" s="337">
        <f>SUMIFS(BS_RE33!$H$7:$H$874,BS_RE33!$S$7:$S$874,$AD$2,BS_RE33!$N$7:$N$874,I10,BS_RE33!$P$7:$P$874,'30 days CF Table(GBP)'!G10,BS_RE33!$F$7:$F$874,'30 days CF Table(GBP)'!$C$2)</f>
        <v>0</v>
      </c>
      <c r="AE10" s="337">
        <f>SUMIFS(BS_RE33!$H$7:$H$874,BS_RE33!$S$7:$S$874,$AE$2,BS_RE33!$N$7:$N$874,I10,BS_RE33!$P$7:$P$874,'30 days CF Table(GBP)'!G10,BS_RE33!$F$7:$F$874,'30 days CF Table(GBP)'!$C$2)</f>
        <v>0</v>
      </c>
      <c r="AF10" s="337">
        <f>SUMIFS(BS_RE33!$H$7:$H$874,BS_RE33!$S$7:$S$874,$AF$2,BS_RE33!$N$7:$N$874,I10,BS_RE33!$P$7:$P$874,'30 days CF Table(GBP)'!G10,BS_RE33!$F$7:$F$874,'30 days CF Table(GBP)'!$C$2)</f>
        <v>0</v>
      </c>
      <c r="AG10" s="337">
        <f>SUMIFS(BS_RE33!$H$7:$H$874,BS_RE33!$S$7:$S$874,$AG$2,BS_RE33!$N$7:$N$874,I10,BS_RE33!$P$7:$P$874,'30 days CF Table(GBP)'!G10,BS_RE33!$F$7:$F$874,'30 days CF Table(GBP)'!$C$2)</f>
        <v>0</v>
      </c>
      <c r="AH10" s="337">
        <f>SUMIFS(BS_RE33!$H$7:$H$874,BS_RE33!$S$7:$S$874,$AH$2,BS_RE33!$N$7:$N$874,I10,BS_RE33!$P$7:$P$874,'30 days CF Table(GBP)'!G10,BS_RE33!$F$7:$F$874,'30 days CF Table(GBP)'!$C$2)</f>
        <v>0</v>
      </c>
      <c r="AI10" s="337">
        <f>SUMIFS(BS_RE33!$H$7:$H$874,BS_RE33!$S$7:$S$874,$AI$2,BS_RE33!$N$7:$N$874,I10,BS_RE33!$P$7:$P$874,'30 days CF Table(GBP)'!G10,BS_RE33!$F$7:$F$874,'30 days CF Table(GBP)'!$C$2)</f>
        <v>0</v>
      </c>
      <c r="AJ10" s="337">
        <f>SUMIFS(BS_RE33!$H$7:$H$874,BS_RE33!$S$7:$S$874,$AJ$2,BS_RE33!$N$7:$N$874,I10,BS_RE33!$P$7:$P$874,'30 days CF Table(GBP)'!G10,BS_RE33!$F$7:$F$874,'30 days CF Table(GBP)'!$C$2)</f>
        <v>0</v>
      </c>
      <c r="AK10" s="337">
        <f>SUMIFS(BS_RE33!$H$7:$H$874,BS_RE33!$S$7:$S$874,$AK$2,BS_RE33!$N$7:$N$874,I10,BS_RE33!$P$7:$P$874,'30 days CF Table(GBP)'!G10,BS_RE33!$F$7:$F$874,'30 days CF Table(GBP)'!$C$2)</f>
        <v>0</v>
      </c>
      <c r="AL10" s="337">
        <f>SUMIFS(BS_RE33!$H$7:$H$874,BS_RE33!$S$7:$S$874,$AL$2,BS_RE33!$N$7:$N$874,I10,BS_RE33!$P$7:$P$874,'30 days CF Table(GBP)'!G10,BS_RE33!$F$7:$F$874,'30 days CF Table(GBP)'!$C$2)</f>
        <v>0</v>
      </c>
      <c r="AM10" s="337">
        <f>SUMIFS(BS_RE33!$H$7:$H$874,BS_RE33!$S$7:$S$874,$AM$2,BS_RE33!$N$7:$N$874,I10,BS_RE33!$P$7:$P$874,'30 days CF Table(GBP)'!G10,BS_RE33!$F$7:$F$874,'30 days CF Table(GBP)'!$C$2)</f>
        <v>0</v>
      </c>
      <c r="AN10" s="337">
        <f>SUMIFS(BS_RE33!$H$7:$H$874,BS_RE33!$S$7:$S$874,$AN$2,BS_RE33!$N$7:$N$874,I10,BS_RE33!$P$7:$P$874,'30 days CF Table(GBP)'!G10,BS_RE33!$F$7:$F$874,'30 days CF Table(GBP)'!$C$2)</f>
        <v>0</v>
      </c>
      <c r="AO10" s="337">
        <f>SUMIFS(BS_RE33!$H$7:$H$874,BS_RE33!$S$7:$S$874,$AO$2,BS_RE33!$N$7:$N$874,I10,BS_RE33!$P$7:$P$874,'30 days CF Table(GBP)'!G10,BS_RE33!$F$7:$F$874,'30 days CF Table(GBP)'!$C$2)</f>
        <v>0</v>
      </c>
      <c r="AP10" s="338">
        <f>SUMIFS(BS_RE33!$H$7:$H$874,BS_RE33!$S$7:$S$874,$AP$2,BS_RE33!$N$7:$N$874,I10,BS_RE33!$P$7:$P$874,'30 days CF Table(GBP)'!G10,BS_RE33!$F$7:$F$874,'30 days CF Table(GBP)'!$C$2)</f>
        <v>0</v>
      </c>
      <c r="AQ10" s="545"/>
      <c r="AR10" s="379">
        <f>SUMIFS(BS_RE33!$H$7:$H$874,BS_RE33!$S$7:$S$874,$AR$2,BS_RE33!$N$7:$N$874,I10,BS_RE33!$P$7:$P$874,'30 days CF Table(GBP)'!G10,BS_RE33!$F$7:$F$874,'30 days CF Table(GBP)'!$C$2)</f>
        <v>0</v>
      </c>
      <c r="AS10" s="379">
        <f>SUMIFS(BS_RE33!$H$7:$H$874,BS_RE33!$S$7:$S$874,$AS$2,BS_RE33!$N$7:$N$874,I10,BS_RE33!$P$7:$P$874,'30 days CF Table(GBP)'!G10,BS_RE33!$F$7:$F$874,'30 days CF Table(GBP)'!$C$2)</f>
        <v>0</v>
      </c>
      <c r="AT10" s="379">
        <f>SUMIFS(BS_RE33!$H$7:$H$874,BS_RE33!$S$7:$S$874,$AT$2,BS_RE33!$N$7:$N$874,I10,BS_RE33!$P$7:$P$874,'30 days CF Table(GBP)'!G10,BS_RE33!$F$7:$F$874,'30 days CF Table(GBP)'!$C$2)</f>
        <v>0</v>
      </c>
      <c r="AU10" s="379">
        <f>SUMIFS(BS_RE33!$H$7:$H$874,BS_RE33!$S$7:$S$874,$AU$2,BS_RE33!$N$7:$N$874,I10,BS_RE33!$P$7:$P$874,'30 days CF Table(GBP)'!G10,BS_RE33!$F$7:$F$874,'30 days CF Table(GBP)'!$C$2)</f>
        <v>0</v>
      </c>
      <c r="AV10" s="379">
        <f>SUMIFS(BS_RE33!$H$7:$H$874,BS_RE33!$S$7:$S$874,$AV$2,BS_RE33!$N$7:$N$874,I10,BS_RE33!$P$7:$P$874,'30 days CF Table(GBP)'!G10,BS_RE33!$F$7:$F$874,'30 days CF Table(GBP)'!$C$2)</f>
        <v>0</v>
      </c>
      <c r="AW10" s="379">
        <f>SUMIFS(BS_RE33!$H$7:$H$874,BS_RE33!$S$7:$S$874,$AW$2,BS_RE33!$N$7:$N$874,I10,BS_RE33!$P$7:$P$874,'30 days CF Table(GBP)'!G10,BS_RE33!$F$7:$F$874,'30 days CF Table(GBP)'!$C$2)</f>
        <v>0</v>
      </c>
      <c r="AX10" s="379">
        <f>SUMIFS(BS_RE33!$H$7:$H$874,BS_RE33!$S$7:$S$874,$AX$2,BS_RE33!$N$7:$N$874,I10,BS_RE33!$P$7:$P$874,'30 days CF Table(GBP)'!G10,BS_RE33!$F$7:$F$874,'30 days CF Table(GBP)'!$C$2)</f>
        <v>0</v>
      </c>
      <c r="AY10" s="379">
        <f>SUMIFS(BS_RE33!$H$7:$H$874,BS_RE33!$S$7:$S$874,$AY$2,BS_RE33!$N$7:$N$874,I10,BS_RE33!$P$7:$P$874,'30 days CF Table(GBP)'!G10,BS_RE33!$F$7:$F$874,'30 days CF Table(GBP)'!$C$2)</f>
        <v>0</v>
      </c>
      <c r="AZ10" s="379">
        <f>SUMIFS(BS_RE33!$H$7:$H$874,BS_RE33!$S$7:$S$874,$AZ$2,BS_RE33!$N$7:$N$874,I10,BS_RE33!$P$7:$P$874,'30 days CF Table(GBP)'!G10,BS_RE33!$F$7:$F$874,'30 days CF Table(GBP)'!$C$2)</f>
        <v>0</v>
      </c>
      <c r="BA10" s="379">
        <f>SUMIFS(BS_RE33!$H$7:$H$874,BS_RE33!$S$7:$S$874,$BA$2,BS_RE33!$N$7:$N$874,I10,BS_RE33!$P$7:$P$874,'30 days CF Table(GBP)'!G10,BS_RE33!$F$7:$F$874,'30 days CF Table(GBP)'!$C$2)</f>
        <v>0</v>
      </c>
      <c r="BB10" s="379">
        <f>SUMIFS(BS_RE33!$H$7:$H$874,BS_RE33!$S$7:$S$874,$BB$2,BS_RE33!$N$7:$N$874,I10,BS_RE33!$P$7:$P$874,'30 days CF Table(GBP)'!G10,BS_RE33!$F$7:$F$874,'30 days CF Table(GBP)'!$C$2)</f>
        <v>0</v>
      </c>
      <c r="BC10" s="379">
        <f>SUMIFS(BS_RE33!$H$7:$H$874,BS_RE33!$S$7:$S$874,$BC$2,BS_RE33!$N$7:$N$874,I10,BS_RE33!$P$7:$P$874,'30 days CF Table(GBP)'!G10,BS_RE33!$F$7:$F$874,'30 days CF Table(GBP)'!$C$2)</f>
        <v>0</v>
      </c>
      <c r="BD10" s="379">
        <f>SUMIFS(BS_RE33!$H$7:$H$874,BS_RE33!$S$7:$S$874,$BD$2,BS_RE33!$N$7:$N$874,I10,BS_RE33!$P$7:$P$874,'30 days CF Table(GBP)'!G10,BS_RE33!$F$7:$F$874,'30 days CF Table(GBP)'!$C$2)</f>
        <v>0</v>
      </c>
      <c r="BE10" s="379">
        <f>SUMIFS(BS_RE33!$H$7:$H$874,BS_RE33!$S$7:$S$874,$BE$2,BS_RE33!$N$7:$N$874,I10,BS_RE33!$P$7:$P$874,'30 days CF Table(GBP)'!G10,BS_RE33!$F$7:$F$874,'30 days CF Table(GBP)'!$C$2)</f>
        <v>0</v>
      </c>
      <c r="BF10" s="379">
        <f>SUMIFS(BS_RE33!$H$7:$H$874,BS_RE33!$S$7:$S$874,$BF$2,BS_RE33!$N$7:$N$874,I10,BS_RE33!$P$7:$P$874,'30 days CF Table(GBP)'!G10,BS_RE33!$F$7:$F$874,'30 days CF Table(GBP)'!$C$2)</f>
        <v>0</v>
      </c>
      <c r="BG10" s="379">
        <f>SUMIFS(BS_RE33!$H$7:$H$874,BS_RE33!$S$7:$S$874,$BG$2,BS_RE33!$N$7:$N$874,I10,BS_RE33!$P$7:$P$874,'30 days CF Table(GBP)'!G10,BS_RE33!$F$7:$F$874,'30 days CF Table(GBP)'!$C$2)</f>
        <v>0</v>
      </c>
      <c r="BH10" s="379">
        <f>SUMIFS(BS_RE33!$H$7:$H$874,BS_RE33!$S$7:$S$874,$BH$2,BS_RE33!$N$7:$N$874,I10,BS_RE33!$P$7:$P$874,'30 days CF Table(GBP)'!G10,BS_RE33!$F$7:$F$874,'30 days CF Table(GBP)'!$C$2)</f>
        <v>0</v>
      </c>
      <c r="BI10" s="379">
        <f>SUMIFS(BS_RE33!$H$7:$H$874,BS_RE33!$S$7:$S$874,$BI$2,BS_RE33!$N$7:$N$874,I10,BS_RE33!$P$7:$P$874,'30 days CF Table(GBP)'!G10,BS_RE33!$F$7:$F$874,'30 days CF Table(GBP)'!$C$2)</f>
        <v>0</v>
      </c>
      <c r="BJ10" s="379">
        <f>SUMIFS(BS_RE33!$H$7:$H$874,BS_RE33!$S$7:$S$874,$BJ$2,BS_RE33!$N$7:$N$874,I10,BS_RE33!$P$7:$P$874,'30 days CF Table(GBP)'!G10,BS_RE33!$F$7:$F$874,'30 days CF Table(GBP)'!$C$2)</f>
        <v>0</v>
      </c>
      <c r="BK10" s="379">
        <f>SUMIFS(BS_RE33!$H$7:$H$874,BS_RE33!$S$7:$S$874,$BK$2,BS_RE33!$N$7:$N$874,I10,BS_RE33!$P$7:$P$874,'30 days CF Table(GBP)'!G10,BS_RE33!$F$7:$F$874,'30 days CF Table(GBP)'!$C$2)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Table(GBP)'!G11,BS_RE33!$F$7:$F$874,'30 days CF Table(GBP)'!$C$2)</f>
        <v>0</v>
      </c>
      <c r="M11" s="337">
        <f>SUMIFS(BS_RE33!$H$7:$H$874,BS_RE33!$S$7:$S$874,$M$2,BS_RE33!$N$7:$N$874,I11,BS_RE33!$P$7:$P$874,'30 days CF Table(GBP)'!G11,BS_RE33!$F$7:$F$874,'30 days CF Table(GBP)'!$C$2)</f>
        <v>0</v>
      </c>
      <c r="N11" s="337">
        <f>SUMIFS(BS_RE33!$H$7:$H$874,BS_RE33!$S$7:$S$874,$N$2,BS_RE33!$N$7:$N$874,I11,BS_RE33!$P$7:$P$874,'30 days CF Table(GBP)'!G11,BS_RE33!$F$7:$F$874,'30 days CF Table(GBP)'!$C$2)</f>
        <v>0</v>
      </c>
      <c r="O11" s="337">
        <f>SUMIFS(BS_RE33!$H$7:$H$874,BS_RE33!$S$7:$S$874,$O$2,BS_RE33!$N$7:$N$874,I11,BS_RE33!$P$7:$P$874,'30 days CF Table(GBP)'!G11,BS_RE33!$F$7:$F$874,'30 days CF Table(GBP)'!$C$2)</f>
        <v>0</v>
      </c>
      <c r="P11" s="337">
        <f>SUMIFS(BS_RE33!$H$7:$H$874,BS_RE33!$S$7:$S$874,$P$2,BS_RE33!$N$7:$N$874,I11,BS_RE33!$P$7:$P$874,'30 days CF Table(GBP)'!G11,BS_RE33!$F$7:$F$874,'30 days CF Table(GBP)'!$C$2)</f>
        <v>0</v>
      </c>
      <c r="Q11" s="337">
        <f>SUMIFS(BS_RE33!$H$7:$H$874,BS_RE33!$S$7:$S$874,$Q$2,BS_RE33!$N$7:$N$874,I11,BS_RE33!$P$7:$P$874,'30 days CF Table(GBP)'!G11,BS_RE33!$F$7:$F$874,'30 days CF Table(GBP)'!$C$2)</f>
        <v>0</v>
      </c>
      <c r="R11" s="337">
        <f>SUMIFS(BS_RE33!$H$7:$H$874,BS_RE33!$S$7:$S$874,$R$2,BS_RE33!$N$7:$N$874,I11,BS_RE33!$P$7:$P$874,'30 days CF Table(GBP)'!G11,BS_RE33!$F$7:$F$874,'30 days CF Table(GBP)'!$C$2)</f>
        <v>0</v>
      </c>
      <c r="S11" s="337">
        <f>SUMIFS(BS_RE33!$H$7:$H$874,BS_RE33!$S$7:$S$874,$S$2,BS_RE33!$N$7:$N$874,I11,BS_RE33!$P$7:$P$874,'30 days CF Table(GBP)'!G11,BS_RE33!$F$7:$F$874,'30 days CF Table(GBP)'!$C$2)</f>
        <v>0</v>
      </c>
      <c r="T11" s="337">
        <f>SUMIFS(BS_RE33!$H$7:$H$874,BS_RE33!$S$7:$S$874,$T$2,BS_RE33!$N$7:$N$874,I11,BS_RE33!$P$7:$P$874,'30 days CF Table(GBP)'!G11,BS_RE33!$F$7:$F$874,'30 days CF Table(GBP)'!$C$2)</f>
        <v>0</v>
      </c>
      <c r="U11" s="337">
        <f>SUMIFS(BS_RE33!$H$7:$H$874,BS_RE33!$S$7:$S$874,$U$2,BS_RE33!$N$7:$N$874,I11,BS_RE33!$P$7:$P$874,'30 days CF Table(GBP)'!G11,BS_RE33!$F$7:$F$874,'30 days CF Table(GBP)'!$C$2)</f>
        <v>0</v>
      </c>
      <c r="V11" s="337">
        <f>SUMIFS(BS_RE33!$H$7:$H$874,BS_RE33!$S$7:$S$874,$V$2,BS_RE33!$N$7:$N$874,I11,BS_RE33!$P$7:$P$874,'30 days CF Table(GBP)'!G11,BS_RE33!$F$7:$F$874,'30 days CF Table(GBP)'!$C$2)</f>
        <v>0</v>
      </c>
      <c r="W11" s="337">
        <f>SUMIFS(BS_RE33!$H$7:$H$874,BS_RE33!$S$7:$S$874,$W$2,BS_RE33!$N$7:$N$874,I11,BS_RE33!$P$7:$P$874,'30 days CF Table(GBP)'!G11,BS_RE33!$F$7:$F$874,'30 days CF Table(GBP)'!$C$2)</f>
        <v>0</v>
      </c>
      <c r="X11" s="337">
        <f>SUMIFS(BS_RE33!$H$7:$H$874,BS_RE33!$S$7:$S$874,$X$2,BS_RE33!$N$7:$N$874,I11,BS_RE33!$P$7:$P$874,'30 days CF Table(GBP)'!G11,BS_RE33!$F$7:$F$874,'30 days CF Table(GBP)'!$C$2)</f>
        <v>0</v>
      </c>
      <c r="Y11" s="337">
        <f>SUMIFS(BS_RE33!$H$7:$H$874,BS_RE33!$S$7:$S$874,$Y$2,BS_RE33!$N$7:$N$874,I11,BS_RE33!$P$7:$P$874,'30 days CF Table(GBP)'!G11,BS_RE33!$F$7:$F$874,'30 days CF Table(GBP)'!$C$2)</f>
        <v>0</v>
      </c>
      <c r="Z11" s="337">
        <f>SUMIFS(BS_RE33!$H$7:$H$874,BS_RE33!$S$7:$S$874,$Z$2,BS_RE33!$N$7:$N$874,I11,BS_RE33!$P$7:$P$874,'30 days CF Table(GBP)'!G11,BS_RE33!$F$7:$F$874,'30 days CF Table(GBP)'!$C$2)</f>
        <v>0</v>
      </c>
      <c r="AA11" s="337">
        <f>SUMIFS(BS_RE33!$H$7:$H$874,BS_RE33!$S$7:$S$874,$AA$2,BS_RE33!$N$7:$N$874,I11,BS_RE33!$P$7:$P$874,'30 days CF Table(GBP)'!G11,BS_RE33!$F$7:$F$874,'30 days CF Table(GBP)'!$C$2)</f>
        <v>0</v>
      </c>
      <c r="AB11" s="337">
        <f>SUMIFS(BS_RE33!$H$7:$H$874,BS_RE33!$S$7:$S$874,$AB$2,BS_RE33!$N$7:$N$874,I11,BS_RE33!$P$7:$P$874,'30 days CF Table(GBP)'!G11,BS_RE33!$F$7:$F$874,'30 days CF Table(GBP)'!$C$2)</f>
        <v>0</v>
      </c>
      <c r="AC11" s="337">
        <f>SUMIFS(BS_RE33!$H$7:$H$874,BS_RE33!$S$7:$S$874,$AC$2,BS_RE33!$N$7:$N$874,I11,BS_RE33!$P$7:$P$874,'30 days CF Table(GBP)'!G11,BS_RE33!$F$7:$F$874,'30 days CF Table(GBP)'!$C$2)</f>
        <v>0</v>
      </c>
      <c r="AD11" s="337">
        <f>SUMIFS(BS_RE33!$H$7:$H$874,BS_RE33!$S$7:$S$874,$AD$2,BS_RE33!$N$7:$N$874,I11,BS_RE33!$P$7:$P$874,'30 days CF Table(GBP)'!G11,BS_RE33!$F$7:$F$874,'30 days CF Table(GBP)'!$C$2)</f>
        <v>0</v>
      </c>
      <c r="AE11" s="337">
        <f>SUMIFS(BS_RE33!$H$7:$H$874,BS_RE33!$S$7:$S$874,$AE$2,BS_RE33!$N$7:$N$874,I11,BS_RE33!$P$7:$P$874,'30 days CF Table(GBP)'!G11,BS_RE33!$F$7:$F$874,'30 days CF Table(GBP)'!$C$2)</f>
        <v>0</v>
      </c>
      <c r="AF11" s="337">
        <f>SUMIFS(BS_RE33!$H$7:$H$874,BS_RE33!$S$7:$S$874,$AF$2,BS_RE33!$N$7:$N$874,I11,BS_RE33!$P$7:$P$874,'30 days CF Table(GBP)'!G11,BS_RE33!$F$7:$F$874,'30 days CF Table(GBP)'!$C$2)</f>
        <v>0</v>
      </c>
      <c r="AG11" s="337">
        <f>SUMIFS(BS_RE33!$H$7:$H$874,BS_RE33!$S$7:$S$874,$AG$2,BS_RE33!$N$7:$N$874,I11,BS_RE33!$P$7:$P$874,'30 days CF Table(GBP)'!G11,BS_RE33!$F$7:$F$874,'30 days CF Table(GBP)'!$C$2)</f>
        <v>0</v>
      </c>
      <c r="AH11" s="337">
        <f>SUMIFS(BS_RE33!$H$7:$H$874,BS_RE33!$S$7:$S$874,$AH$2,BS_RE33!$N$7:$N$874,I11,BS_RE33!$P$7:$P$874,'30 days CF Table(GBP)'!G11,BS_RE33!$F$7:$F$874,'30 days CF Table(GBP)'!$C$2)</f>
        <v>0</v>
      </c>
      <c r="AI11" s="337">
        <f>SUMIFS(BS_RE33!$H$7:$H$874,BS_RE33!$S$7:$S$874,$AI$2,BS_RE33!$N$7:$N$874,I11,BS_RE33!$P$7:$P$874,'30 days CF Table(GBP)'!G11,BS_RE33!$F$7:$F$874,'30 days CF Table(GBP)'!$C$2)</f>
        <v>0</v>
      </c>
      <c r="AJ11" s="337">
        <f>SUMIFS(BS_RE33!$H$7:$H$874,BS_RE33!$S$7:$S$874,$AJ$2,BS_RE33!$N$7:$N$874,I11,BS_RE33!$P$7:$P$874,'30 days CF Table(GBP)'!G11,BS_RE33!$F$7:$F$874,'30 days CF Table(GBP)'!$C$2)</f>
        <v>0</v>
      </c>
      <c r="AK11" s="337">
        <f>SUMIFS(BS_RE33!$H$7:$H$874,BS_RE33!$S$7:$S$874,$AK$2,BS_RE33!$N$7:$N$874,I11,BS_RE33!$P$7:$P$874,'30 days CF Table(GBP)'!G11,BS_RE33!$F$7:$F$874,'30 days CF Table(GBP)'!$C$2)</f>
        <v>0</v>
      </c>
      <c r="AL11" s="337">
        <f>SUMIFS(BS_RE33!$H$7:$H$874,BS_RE33!$S$7:$S$874,$AL$2,BS_RE33!$N$7:$N$874,I11,BS_RE33!$P$7:$P$874,'30 days CF Table(GBP)'!G11,BS_RE33!$F$7:$F$874,'30 days CF Table(GBP)'!$C$2)</f>
        <v>0</v>
      </c>
      <c r="AM11" s="337">
        <f>SUMIFS(BS_RE33!$H$7:$H$874,BS_RE33!$S$7:$S$874,$AM$2,BS_RE33!$N$7:$N$874,I11,BS_RE33!$P$7:$P$874,'30 days CF Table(GBP)'!G11,BS_RE33!$F$7:$F$874,'30 days CF Table(GBP)'!$C$2)</f>
        <v>0</v>
      </c>
      <c r="AN11" s="337">
        <f>SUMIFS(BS_RE33!$H$7:$H$874,BS_RE33!$S$7:$S$874,$AN$2,BS_RE33!$N$7:$N$874,I11,BS_RE33!$P$7:$P$874,'30 days CF Table(GBP)'!G11,BS_RE33!$F$7:$F$874,'30 days CF Table(GBP)'!$C$2)</f>
        <v>0</v>
      </c>
      <c r="AO11" s="337">
        <f>SUMIFS(BS_RE33!$H$7:$H$874,BS_RE33!$S$7:$S$874,$AO$2,BS_RE33!$N$7:$N$874,I11,BS_RE33!$P$7:$P$874,'30 days CF Table(GBP)'!G11,BS_RE33!$F$7:$F$874,'30 days CF Table(GBP)'!$C$2)</f>
        <v>0</v>
      </c>
      <c r="AP11" s="338">
        <f>SUMIFS(BS_RE33!$H$7:$H$874,BS_RE33!$S$7:$S$874,$AP$2,BS_RE33!$N$7:$N$874,I11,BS_RE33!$P$7:$P$874,'30 days CF Table(GBP)'!G11,BS_RE33!$F$7:$F$874,'30 days CF Table(GBP)'!$C$2)</f>
        <v>0</v>
      </c>
      <c r="AQ11" s="545"/>
      <c r="AR11" s="379">
        <f>SUMIFS(BS_RE33!$H$7:$H$874,BS_RE33!$S$7:$S$874,$AR$2,BS_RE33!$N$7:$N$874,I11,BS_RE33!$P$7:$P$874,'30 days CF Table(GBP)'!G11,BS_RE33!$F$7:$F$874,'30 days CF Table(GBP)'!$C$2)</f>
        <v>0</v>
      </c>
      <c r="AS11" s="379">
        <f>SUMIFS(BS_RE33!$H$7:$H$874,BS_RE33!$S$7:$S$874,$AS$2,BS_RE33!$N$7:$N$874,I11,BS_RE33!$P$7:$P$874,'30 days CF Table(GBP)'!G11,BS_RE33!$F$7:$F$874,'30 days CF Table(GBP)'!$C$2)</f>
        <v>0</v>
      </c>
      <c r="AT11" s="379">
        <f>SUMIFS(BS_RE33!$H$7:$H$874,BS_RE33!$S$7:$S$874,$AT$2,BS_RE33!$N$7:$N$874,I11,BS_RE33!$P$7:$P$874,'30 days CF Table(GBP)'!G11,BS_RE33!$F$7:$F$874,'30 days CF Table(GBP)'!$C$2)</f>
        <v>0</v>
      </c>
      <c r="AU11" s="379">
        <f>SUMIFS(BS_RE33!$H$7:$H$874,BS_RE33!$S$7:$S$874,$AU$2,BS_RE33!$N$7:$N$874,I11,BS_RE33!$P$7:$P$874,'30 days CF Table(GBP)'!G11,BS_RE33!$F$7:$F$874,'30 days CF Table(GBP)'!$C$2)</f>
        <v>0</v>
      </c>
      <c r="AV11" s="379">
        <f>SUMIFS(BS_RE33!$H$7:$H$874,BS_RE33!$S$7:$S$874,$AV$2,BS_RE33!$N$7:$N$874,I11,BS_RE33!$P$7:$P$874,'30 days CF Table(GBP)'!G11,BS_RE33!$F$7:$F$874,'30 days CF Table(GBP)'!$C$2)</f>
        <v>0</v>
      </c>
      <c r="AW11" s="379">
        <f>SUMIFS(BS_RE33!$H$7:$H$874,BS_RE33!$S$7:$S$874,$AW$2,BS_RE33!$N$7:$N$874,I11,BS_RE33!$P$7:$P$874,'30 days CF Table(GBP)'!G11,BS_RE33!$F$7:$F$874,'30 days CF Table(GBP)'!$C$2)</f>
        <v>0</v>
      </c>
      <c r="AX11" s="379">
        <f>SUMIFS(BS_RE33!$H$7:$H$874,BS_RE33!$S$7:$S$874,$AX$2,BS_RE33!$N$7:$N$874,I11,BS_RE33!$P$7:$P$874,'30 days CF Table(GBP)'!G11,BS_RE33!$F$7:$F$874,'30 days CF Table(GBP)'!$C$2)</f>
        <v>0</v>
      </c>
      <c r="AY11" s="379">
        <f>SUMIFS(BS_RE33!$H$7:$H$874,BS_RE33!$S$7:$S$874,$AY$2,BS_RE33!$N$7:$N$874,I11,BS_RE33!$P$7:$P$874,'30 days CF Table(GBP)'!G11,BS_RE33!$F$7:$F$874,'30 days CF Table(GBP)'!$C$2)</f>
        <v>0</v>
      </c>
      <c r="AZ11" s="379">
        <f>SUMIFS(BS_RE33!$H$7:$H$874,BS_RE33!$S$7:$S$874,$AZ$2,BS_RE33!$N$7:$N$874,I11,BS_RE33!$P$7:$P$874,'30 days CF Table(GBP)'!G11,BS_RE33!$F$7:$F$874,'30 days CF Table(GBP)'!$C$2)</f>
        <v>0</v>
      </c>
      <c r="BA11" s="379">
        <f>SUMIFS(BS_RE33!$H$7:$H$874,BS_RE33!$S$7:$S$874,$BA$2,BS_RE33!$N$7:$N$874,I11,BS_RE33!$P$7:$P$874,'30 days CF Table(GBP)'!G11,BS_RE33!$F$7:$F$874,'30 days CF Table(GBP)'!$C$2)</f>
        <v>0</v>
      </c>
      <c r="BB11" s="379">
        <f>SUMIFS(BS_RE33!$H$7:$H$874,BS_RE33!$S$7:$S$874,$BB$2,BS_RE33!$N$7:$N$874,I11,BS_RE33!$P$7:$P$874,'30 days CF Table(GBP)'!G11,BS_RE33!$F$7:$F$874,'30 days CF Table(GBP)'!$C$2)</f>
        <v>0</v>
      </c>
      <c r="BC11" s="379">
        <f>SUMIFS(BS_RE33!$H$7:$H$874,BS_RE33!$S$7:$S$874,$BC$2,BS_RE33!$N$7:$N$874,I11,BS_RE33!$P$7:$P$874,'30 days CF Table(GBP)'!G11,BS_RE33!$F$7:$F$874,'30 days CF Table(GBP)'!$C$2)</f>
        <v>0</v>
      </c>
      <c r="BD11" s="379">
        <f>SUMIFS(BS_RE33!$H$7:$H$874,BS_RE33!$S$7:$S$874,$BD$2,BS_RE33!$N$7:$N$874,I11,BS_RE33!$P$7:$P$874,'30 days CF Table(GBP)'!G11,BS_RE33!$F$7:$F$874,'30 days CF Table(GBP)'!$C$2)</f>
        <v>0</v>
      </c>
      <c r="BE11" s="379">
        <f>SUMIFS(BS_RE33!$H$7:$H$874,BS_RE33!$S$7:$S$874,$BE$2,BS_RE33!$N$7:$N$874,I11,BS_RE33!$P$7:$P$874,'30 days CF Table(GBP)'!G11,BS_RE33!$F$7:$F$874,'30 days CF Table(GBP)'!$C$2)</f>
        <v>0</v>
      </c>
      <c r="BF11" s="379">
        <f>SUMIFS(BS_RE33!$H$7:$H$874,BS_RE33!$S$7:$S$874,$BF$2,BS_RE33!$N$7:$N$874,I11,BS_RE33!$P$7:$P$874,'30 days CF Table(GBP)'!G11,BS_RE33!$F$7:$F$874,'30 days CF Table(GBP)'!$C$2)</f>
        <v>0</v>
      </c>
      <c r="BG11" s="379">
        <f>SUMIFS(BS_RE33!$H$7:$H$874,BS_RE33!$S$7:$S$874,$BG$2,BS_RE33!$N$7:$N$874,I11,BS_RE33!$P$7:$P$874,'30 days CF Table(GBP)'!G11,BS_RE33!$F$7:$F$874,'30 days CF Table(GBP)'!$C$2)</f>
        <v>0</v>
      </c>
      <c r="BH11" s="379">
        <f>SUMIFS(BS_RE33!$H$7:$H$874,BS_RE33!$S$7:$S$874,$BH$2,BS_RE33!$N$7:$N$874,I11,BS_RE33!$P$7:$P$874,'30 days CF Table(GBP)'!G11,BS_RE33!$F$7:$F$874,'30 days CF Table(GBP)'!$C$2)</f>
        <v>0</v>
      </c>
      <c r="BI11" s="379">
        <f>SUMIFS(BS_RE33!$H$7:$H$874,BS_RE33!$S$7:$S$874,$BI$2,BS_RE33!$N$7:$N$874,I11,BS_RE33!$P$7:$P$874,'30 days CF Table(GBP)'!G11,BS_RE33!$F$7:$F$874,'30 days CF Table(GBP)'!$C$2)</f>
        <v>0</v>
      </c>
      <c r="BJ11" s="379">
        <f>SUMIFS(BS_RE33!$H$7:$H$874,BS_RE33!$S$7:$S$874,$BJ$2,BS_RE33!$N$7:$N$874,I11,BS_RE33!$P$7:$P$874,'30 days CF Table(GBP)'!G11,BS_RE33!$F$7:$F$874,'30 days CF Table(GBP)'!$C$2)</f>
        <v>0</v>
      </c>
      <c r="BK11" s="379">
        <f>SUMIFS(BS_RE33!$H$7:$H$874,BS_RE33!$S$7:$S$874,$BK$2,BS_RE33!$N$7:$N$874,I11,BS_RE33!$P$7:$P$874,'30 days CF Table(GBP)'!G11,BS_RE33!$F$7:$F$874,'30 days CF Table(GBP)'!$C$2)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Table(GBP)'!G12,BS_RE33!$F$7:$F$874,'30 days CF Table(GBP)'!$C$2)</f>
        <v>0</v>
      </c>
      <c r="M12" s="337">
        <f>SUMIFS(BS_RE33!$H$7:$H$874,BS_RE33!$S$7:$S$874,$M$2,BS_RE33!$N$7:$N$874,I12,BS_RE33!$P$7:$P$874,'30 days CF Table(GBP)'!G12,BS_RE33!$F$7:$F$874,'30 days CF Table(GBP)'!$C$2)</f>
        <v>0</v>
      </c>
      <c r="N12" s="337">
        <f>SUMIFS(BS_RE33!$H$7:$H$874,BS_RE33!$S$7:$S$874,$N$2,BS_RE33!$N$7:$N$874,I12,BS_RE33!$P$7:$P$874,'30 days CF Table(GBP)'!G12,BS_RE33!$F$7:$F$874,'30 days CF Table(GBP)'!$C$2)</f>
        <v>0</v>
      </c>
      <c r="O12" s="337">
        <f>SUMIFS(BS_RE33!$H$7:$H$874,BS_RE33!$S$7:$S$874,$O$2,BS_RE33!$N$7:$N$874,I12,BS_RE33!$P$7:$P$874,'30 days CF Table(GBP)'!G12,BS_RE33!$F$7:$F$874,'30 days CF Table(GBP)'!$C$2)</f>
        <v>0</v>
      </c>
      <c r="P12" s="337">
        <f>SUMIFS(BS_RE33!$H$7:$H$874,BS_RE33!$S$7:$S$874,$P$2,BS_RE33!$N$7:$N$874,I12,BS_RE33!$P$7:$P$874,'30 days CF Table(GBP)'!G12,BS_RE33!$F$7:$F$874,'30 days CF Table(GBP)'!$C$2)</f>
        <v>0</v>
      </c>
      <c r="Q12" s="337">
        <f>SUMIFS(BS_RE33!$H$7:$H$874,BS_RE33!$S$7:$S$874,$Q$2,BS_RE33!$N$7:$N$874,I12,BS_RE33!$P$7:$P$874,'30 days CF Table(GBP)'!G12,BS_RE33!$F$7:$F$874,'30 days CF Table(GBP)'!$C$2)</f>
        <v>0</v>
      </c>
      <c r="R12" s="337">
        <f>SUMIFS(BS_RE33!$H$7:$H$874,BS_RE33!$S$7:$S$874,$R$2,BS_RE33!$N$7:$N$874,I12,BS_RE33!$P$7:$P$874,'30 days CF Table(GBP)'!G12,BS_RE33!$F$7:$F$874,'30 days CF Table(GBP)'!$C$2)</f>
        <v>0</v>
      </c>
      <c r="S12" s="337">
        <f>SUMIFS(BS_RE33!$H$7:$H$874,BS_RE33!$S$7:$S$874,$S$2,BS_RE33!$N$7:$N$874,I12,BS_RE33!$P$7:$P$874,'30 days CF Table(GBP)'!G12,BS_RE33!$F$7:$F$874,'30 days CF Table(GBP)'!$C$2)</f>
        <v>0</v>
      </c>
      <c r="T12" s="337">
        <f>SUMIFS(BS_RE33!$H$7:$H$874,BS_RE33!$S$7:$S$874,$T$2,BS_RE33!$N$7:$N$874,I12,BS_RE33!$P$7:$P$874,'30 days CF Table(GBP)'!G12,BS_RE33!$F$7:$F$874,'30 days CF Table(GBP)'!$C$2)</f>
        <v>0</v>
      </c>
      <c r="U12" s="337">
        <f>SUMIFS(BS_RE33!$H$7:$H$874,BS_RE33!$S$7:$S$874,$U$2,BS_RE33!$N$7:$N$874,I12,BS_RE33!$P$7:$P$874,'30 days CF Table(GBP)'!G12,BS_RE33!$F$7:$F$874,'30 days CF Table(GBP)'!$C$2)</f>
        <v>0</v>
      </c>
      <c r="V12" s="337">
        <f>SUMIFS(BS_RE33!$H$7:$H$874,BS_RE33!$S$7:$S$874,$V$2,BS_RE33!$N$7:$N$874,I12,BS_RE33!$P$7:$P$874,'30 days CF Table(GBP)'!G12,BS_RE33!$F$7:$F$874,'30 days CF Table(GBP)'!$C$2)</f>
        <v>0</v>
      </c>
      <c r="W12" s="337">
        <f>SUMIFS(BS_RE33!$H$7:$H$874,BS_RE33!$S$7:$S$874,$W$2,BS_RE33!$N$7:$N$874,I12,BS_RE33!$P$7:$P$874,'30 days CF Table(GBP)'!G12,BS_RE33!$F$7:$F$874,'30 days CF Table(GBP)'!$C$2)</f>
        <v>0</v>
      </c>
      <c r="X12" s="337">
        <f>SUMIFS(BS_RE33!$H$7:$H$874,BS_RE33!$S$7:$S$874,$X$2,BS_RE33!$N$7:$N$874,I12,BS_RE33!$P$7:$P$874,'30 days CF Table(GBP)'!G12,BS_RE33!$F$7:$F$874,'30 days CF Table(GBP)'!$C$2)</f>
        <v>0</v>
      </c>
      <c r="Y12" s="337">
        <f>SUMIFS(BS_RE33!$H$7:$H$874,BS_RE33!$S$7:$S$874,$Y$2,BS_RE33!$N$7:$N$874,I12,BS_RE33!$P$7:$P$874,'30 days CF Table(GBP)'!G12,BS_RE33!$F$7:$F$874,'30 days CF Table(GBP)'!$C$2)</f>
        <v>0</v>
      </c>
      <c r="Z12" s="337">
        <f>SUMIFS(BS_RE33!$H$7:$H$874,BS_RE33!$S$7:$S$874,$Z$2,BS_RE33!$N$7:$N$874,I12,BS_RE33!$P$7:$P$874,'30 days CF Table(GBP)'!G12,BS_RE33!$F$7:$F$874,'30 days CF Table(GBP)'!$C$2)</f>
        <v>0</v>
      </c>
      <c r="AA12" s="337">
        <f>SUMIFS(BS_RE33!$H$7:$H$874,BS_RE33!$S$7:$S$874,$AA$2,BS_RE33!$N$7:$N$874,I12,BS_RE33!$P$7:$P$874,'30 days CF Table(GBP)'!G12,BS_RE33!$F$7:$F$874,'30 days CF Table(GBP)'!$C$2)</f>
        <v>0</v>
      </c>
      <c r="AB12" s="337">
        <f>SUMIFS(BS_RE33!$H$7:$H$874,BS_RE33!$S$7:$S$874,$AB$2,BS_RE33!$N$7:$N$874,I12,BS_RE33!$P$7:$P$874,'30 days CF Table(GBP)'!G12,BS_RE33!$F$7:$F$874,'30 days CF Table(GBP)'!$C$2)</f>
        <v>0</v>
      </c>
      <c r="AC12" s="337">
        <f>SUMIFS(BS_RE33!$H$7:$H$874,BS_RE33!$S$7:$S$874,$AC$2,BS_RE33!$N$7:$N$874,I12,BS_RE33!$P$7:$P$874,'30 days CF Table(GBP)'!G12,BS_RE33!$F$7:$F$874,'30 days CF Table(GBP)'!$C$2)</f>
        <v>0</v>
      </c>
      <c r="AD12" s="337">
        <f>SUMIFS(BS_RE33!$H$7:$H$874,BS_RE33!$S$7:$S$874,$AD$2,BS_RE33!$N$7:$N$874,I12,BS_RE33!$P$7:$P$874,'30 days CF Table(GBP)'!G12,BS_RE33!$F$7:$F$874,'30 days CF Table(GBP)'!$C$2)</f>
        <v>0</v>
      </c>
      <c r="AE12" s="337">
        <f>SUMIFS(BS_RE33!$H$7:$H$874,BS_RE33!$S$7:$S$874,$AE$2,BS_RE33!$N$7:$N$874,I12,BS_RE33!$P$7:$P$874,'30 days CF Table(GBP)'!G12,BS_RE33!$F$7:$F$874,'30 days CF Table(GBP)'!$C$2)</f>
        <v>0</v>
      </c>
      <c r="AF12" s="337">
        <f>SUMIFS(BS_RE33!$H$7:$H$874,BS_RE33!$S$7:$S$874,$AF$2,BS_RE33!$N$7:$N$874,I12,BS_RE33!$P$7:$P$874,'30 days CF Table(GBP)'!G12,BS_RE33!$F$7:$F$874,'30 days CF Table(GBP)'!$C$2)</f>
        <v>0</v>
      </c>
      <c r="AG12" s="337">
        <f>SUMIFS(BS_RE33!$H$7:$H$874,BS_RE33!$S$7:$S$874,$AG$2,BS_RE33!$N$7:$N$874,I12,BS_RE33!$P$7:$P$874,'30 days CF Table(GBP)'!G12,BS_RE33!$F$7:$F$874,'30 days CF Table(GBP)'!$C$2)</f>
        <v>0</v>
      </c>
      <c r="AH12" s="337">
        <f>SUMIFS(BS_RE33!$H$7:$H$874,BS_RE33!$S$7:$S$874,$AH$2,BS_RE33!$N$7:$N$874,I12,BS_RE33!$P$7:$P$874,'30 days CF Table(GBP)'!G12,BS_RE33!$F$7:$F$874,'30 days CF Table(GBP)'!$C$2)</f>
        <v>0</v>
      </c>
      <c r="AI12" s="337">
        <f>SUMIFS(BS_RE33!$H$7:$H$874,BS_RE33!$S$7:$S$874,$AI$2,BS_RE33!$N$7:$N$874,I12,BS_RE33!$P$7:$P$874,'30 days CF Table(GBP)'!G12,BS_RE33!$F$7:$F$874,'30 days CF Table(GBP)'!$C$2)</f>
        <v>0</v>
      </c>
      <c r="AJ12" s="337">
        <f>SUMIFS(BS_RE33!$H$7:$H$874,BS_RE33!$S$7:$S$874,$AJ$2,BS_RE33!$N$7:$N$874,I12,BS_RE33!$P$7:$P$874,'30 days CF Table(GBP)'!G12,BS_RE33!$F$7:$F$874,'30 days CF Table(GBP)'!$C$2)</f>
        <v>0</v>
      </c>
      <c r="AK12" s="337">
        <f>SUMIFS(BS_RE33!$H$7:$H$874,BS_RE33!$S$7:$S$874,$AK$2,BS_RE33!$N$7:$N$874,I12,BS_RE33!$P$7:$P$874,'30 days CF Table(GBP)'!G12,BS_RE33!$F$7:$F$874,'30 days CF Table(GBP)'!$C$2)</f>
        <v>0</v>
      </c>
      <c r="AL12" s="337">
        <f>SUMIFS(BS_RE33!$H$7:$H$874,BS_RE33!$S$7:$S$874,$AL$2,BS_RE33!$N$7:$N$874,I12,BS_RE33!$P$7:$P$874,'30 days CF Table(GBP)'!G12,BS_RE33!$F$7:$F$874,'30 days CF Table(GBP)'!$C$2)</f>
        <v>0</v>
      </c>
      <c r="AM12" s="337">
        <f>SUMIFS(BS_RE33!$H$7:$H$874,BS_RE33!$S$7:$S$874,$AM$2,BS_RE33!$N$7:$N$874,I12,BS_RE33!$P$7:$P$874,'30 days CF Table(GBP)'!G12,BS_RE33!$F$7:$F$874,'30 days CF Table(GBP)'!$C$2)</f>
        <v>0</v>
      </c>
      <c r="AN12" s="337">
        <f>SUMIFS(BS_RE33!$H$7:$H$874,BS_RE33!$S$7:$S$874,$AN$2,BS_RE33!$N$7:$N$874,I12,BS_RE33!$P$7:$P$874,'30 days CF Table(GBP)'!G12,BS_RE33!$F$7:$F$874,'30 days CF Table(GBP)'!$C$2)</f>
        <v>0</v>
      </c>
      <c r="AO12" s="337">
        <f>SUMIFS(BS_RE33!$H$7:$H$874,BS_RE33!$S$7:$S$874,$AO$2,BS_RE33!$N$7:$N$874,I12,BS_RE33!$P$7:$P$874,'30 days CF Table(GBP)'!G12,BS_RE33!$F$7:$F$874,'30 days CF Table(GBP)'!$C$2)</f>
        <v>0</v>
      </c>
      <c r="AP12" s="338">
        <f>SUMIFS(BS_RE33!$H$7:$H$874,BS_RE33!$S$7:$S$874,$AP$2,BS_RE33!$N$7:$N$874,I12,BS_RE33!$P$7:$P$874,'30 days CF Table(GBP)'!G12,BS_RE33!$F$7:$F$874,'30 days CF Table(GBP)'!$C$2)</f>
        <v>0</v>
      </c>
      <c r="AQ12" s="545"/>
      <c r="AR12" s="379">
        <f>SUMIFS(BS_RE33!$H$7:$H$874,BS_RE33!$S$7:$S$874,$AR$2,BS_RE33!$N$7:$N$874,I12,BS_RE33!$P$7:$P$874,'30 days CF Table(GBP)'!G12,BS_RE33!$F$7:$F$874,'30 days CF Table(GBP)'!$C$2)</f>
        <v>0</v>
      </c>
      <c r="AS12" s="379">
        <f>SUMIFS(BS_RE33!$H$7:$H$874,BS_RE33!$S$7:$S$874,$AS$2,BS_RE33!$N$7:$N$874,I12,BS_RE33!$P$7:$P$874,'30 days CF Table(GBP)'!G12,BS_RE33!$F$7:$F$874,'30 days CF Table(GBP)'!$C$2)</f>
        <v>0</v>
      </c>
      <c r="AT12" s="379">
        <f>SUMIFS(BS_RE33!$H$7:$H$874,BS_RE33!$S$7:$S$874,$AT$2,BS_RE33!$N$7:$N$874,I12,BS_RE33!$P$7:$P$874,'30 days CF Table(GBP)'!G12,BS_RE33!$F$7:$F$874,'30 days CF Table(GBP)'!$C$2)</f>
        <v>0</v>
      </c>
      <c r="AU12" s="379">
        <f>SUMIFS(BS_RE33!$H$7:$H$874,BS_RE33!$S$7:$S$874,$AU$2,BS_RE33!$N$7:$N$874,I12,BS_RE33!$P$7:$P$874,'30 days CF Table(GBP)'!G12,BS_RE33!$F$7:$F$874,'30 days CF Table(GBP)'!$C$2)</f>
        <v>0</v>
      </c>
      <c r="AV12" s="379">
        <f>SUMIFS(BS_RE33!$H$7:$H$874,BS_RE33!$S$7:$S$874,$AV$2,BS_RE33!$N$7:$N$874,I12,BS_RE33!$P$7:$P$874,'30 days CF Table(GBP)'!G12,BS_RE33!$F$7:$F$874,'30 days CF Table(GBP)'!$C$2)</f>
        <v>0</v>
      </c>
      <c r="AW12" s="379">
        <f>SUMIFS(BS_RE33!$H$7:$H$874,BS_RE33!$S$7:$S$874,$AW$2,BS_RE33!$N$7:$N$874,I12,BS_RE33!$P$7:$P$874,'30 days CF Table(GBP)'!G12,BS_RE33!$F$7:$F$874,'30 days CF Table(GBP)'!$C$2)</f>
        <v>0</v>
      </c>
      <c r="AX12" s="379">
        <f>SUMIFS(BS_RE33!$H$7:$H$874,BS_RE33!$S$7:$S$874,$AX$2,BS_RE33!$N$7:$N$874,I12,BS_RE33!$P$7:$P$874,'30 days CF Table(GBP)'!G12,BS_RE33!$F$7:$F$874,'30 days CF Table(GBP)'!$C$2)</f>
        <v>0</v>
      </c>
      <c r="AY12" s="379">
        <f>SUMIFS(BS_RE33!$H$7:$H$874,BS_RE33!$S$7:$S$874,$AY$2,BS_RE33!$N$7:$N$874,I12,BS_RE33!$P$7:$P$874,'30 days CF Table(GBP)'!G12,BS_RE33!$F$7:$F$874,'30 days CF Table(GBP)'!$C$2)</f>
        <v>0</v>
      </c>
      <c r="AZ12" s="379">
        <f>SUMIFS(BS_RE33!$H$7:$H$874,BS_RE33!$S$7:$S$874,$AZ$2,BS_RE33!$N$7:$N$874,I12,BS_RE33!$P$7:$P$874,'30 days CF Table(GBP)'!G12,BS_RE33!$F$7:$F$874,'30 days CF Table(GBP)'!$C$2)</f>
        <v>0</v>
      </c>
      <c r="BA12" s="379">
        <f>SUMIFS(BS_RE33!$H$7:$H$874,BS_RE33!$S$7:$S$874,$BA$2,BS_RE33!$N$7:$N$874,I12,BS_RE33!$P$7:$P$874,'30 days CF Table(GBP)'!G12,BS_RE33!$F$7:$F$874,'30 days CF Table(GBP)'!$C$2)</f>
        <v>0</v>
      </c>
      <c r="BB12" s="379">
        <f>SUMIFS(BS_RE33!$H$7:$H$874,BS_RE33!$S$7:$S$874,$BB$2,BS_RE33!$N$7:$N$874,I12,BS_RE33!$P$7:$P$874,'30 days CF Table(GBP)'!G12,BS_RE33!$F$7:$F$874,'30 days CF Table(GBP)'!$C$2)</f>
        <v>0</v>
      </c>
      <c r="BC12" s="379">
        <f>SUMIFS(BS_RE33!$H$7:$H$874,BS_RE33!$S$7:$S$874,$BC$2,BS_RE33!$N$7:$N$874,I12,BS_RE33!$P$7:$P$874,'30 days CF Table(GBP)'!G12,BS_RE33!$F$7:$F$874,'30 days CF Table(GBP)'!$C$2)</f>
        <v>0</v>
      </c>
      <c r="BD12" s="379">
        <f>SUMIFS(BS_RE33!$H$7:$H$874,BS_RE33!$S$7:$S$874,$BD$2,BS_RE33!$N$7:$N$874,I12,BS_RE33!$P$7:$P$874,'30 days CF Table(GBP)'!G12,BS_RE33!$F$7:$F$874,'30 days CF Table(GBP)'!$C$2)</f>
        <v>0</v>
      </c>
      <c r="BE12" s="379">
        <f>SUMIFS(BS_RE33!$H$7:$H$874,BS_RE33!$S$7:$S$874,$BE$2,BS_RE33!$N$7:$N$874,I12,BS_RE33!$P$7:$P$874,'30 days CF Table(GBP)'!G12,BS_RE33!$F$7:$F$874,'30 days CF Table(GBP)'!$C$2)</f>
        <v>0</v>
      </c>
      <c r="BF12" s="379">
        <f>SUMIFS(BS_RE33!$H$7:$H$874,BS_RE33!$S$7:$S$874,$BF$2,BS_RE33!$N$7:$N$874,I12,BS_RE33!$P$7:$P$874,'30 days CF Table(GBP)'!G12,BS_RE33!$F$7:$F$874,'30 days CF Table(GBP)'!$C$2)</f>
        <v>0</v>
      </c>
      <c r="BG12" s="379">
        <f>SUMIFS(BS_RE33!$H$7:$H$874,BS_RE33!$S$7:$S$874,$BG$2,BS_RE33!$N$7:$N$874,I12,BS_RE33!$P$7:$P$874,'30 days CF Table(GBP)'!G12,BS_RE33!$F$7:$F$874,'30 days CF Table(GBP)'!$C$2)</f>
        <v>0</v>
      </c>
      <c r="BH12" s="379">
        <f>SUMIFS(BS_RE33!$H$7:$H$874,BS_RE33!$S$7:$S$874,$BH$2,BS_RE33!$N$7:$N$874,I12,BS_RE33!$P$7:$P$874,'30 days CF Table(GBP)'!G12,BS_RE33!$F$7:$F$874,'30 days CF Table(GBP)'!$C$2)</f>
        <v>0</v>
      </c>
      <c r="BI12" s="379">
        <f>SUMIFS(BS_RE33!$H$7:$H$874,BS_RE33!$S$7:$S$874,$BI$2,BS_RE33!$N$7:$N$874,I12,BS_RE33!$P$7:$P$874,'30 days CF Table(GBP)'!G12,BS_RE33!$F$7:$F$874,'30 days CF Table(GBP)'!$C$2)</f>
        <v>0</v>
      </c>
      <c r="BJ12" s="379">
        <f>SUMIFS(BS_RE33!$H$7:$H$874,BS_RE33!$S$7:$S$874,$BJ$2,BS_RE33!$N$7:$N$874,I12,BS_RE33!$P$7:$P$874,'30 days CF Table(GBP)'!G12,BS_RE33!$F$7:$F$874,'30 days CF Table(GBP)'!$C$2)</f>
        <v>0</v>
      </c>
      <c r="BK12" s="379">
        <f>SUMIFS(BS_RE33!$H$7:$H$874,BS_RE33!$S$7:$S$874,$BK$2,BS_RE33!$N$7:$N$874,I12,BS_RE33!$P$7:$P$874,'30 days CF Table(GBP)'!G12,BS_RE33!$F$7:$F$874,'30 days CF Table(GBP)'!$C$2)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Table(GBP)'!G13,BS_RE33!$F$7:$F$874,'30 days CF Table(GBP)'!$C$2)</f>
        <v>0</v>
      </c>
      <c r="M13" s="337">
        <f>SUMIFS(BS_RE33!$H$7:$H$874,BS_RE33!$S$7:$S$874,$M$2,BS_RE33!$N$7:$N$874,I13,BS_RE33!$P$7:$P$874,'30 days CF Table(GBP)'!G13,BS_RE33!$F$7:$F$874,'30 days CF Table(GBP)'!$C$2)</f>
        <v>0</v>
      </c>
      <c r="N13" s="337">
        <f>SUMIFS(BS_RE33!$H$7:$H$874,BS_RE33!$S$7:$S$874,$N$2,BS_RE33!$N$7:$N$874,I13,BS_RE33!$P$7:$P$874,'30 days CF Table(GBP)'!G13,BS_RE33!$F$7:$F$874,'30 days CF Table(GBP)'!$C$2)</f>
        <v>0</v>
      </c>
      <c r="O13" s="337">
        <f>SUMIFS(BS_RE33!$H$7:$H$874,BS_RE33!$S$7:$S$874,$O$2,BS_RE33!$N$7:$N$874,I13,BS_RE33!$P$7:$P$874,'30 days CF Table(GBP)'!G13,BS_RE33!$F$7:$F$874,'30 days CF Table(GBP)'!$C$2)</f>
        <v>0</v>
      </c>
      <c r="P13" s="337">
        <f>SUMIFS(BS_RE33!$H$7:$H$874,BS_RE33!$S$7:$S$874,$P$2,BS_RE33!$N$7:$N$874,I13,BS_RE33!$P$7:$P$874,'30 days CF Table(GBP)'!G13,BS_RE33!$F$7:$F$874,'30 days CF Table(GBP)'!$C$2)</f>
        <v>0</v>
      </c>
      <c r="Q13" s="337">
        <f>SUMIFS(BS_RE33!$H$7:$H$874,BS_RE33!$S$7:$S$874,$Q$2,BS_RE33!$N$7:$N$874,I13,BS_RE33!$P$7:$P$874,'30 days CF Table(GBP)'!G13,BS_RE33!$F$7:$F$874,'30 days CF Table(GBP)'!$C$2)</f>
        <v>0</v>
      </c>
      <c r="R13" s="337">
        <f>SUMIFS(BS_RE33!$H$7:$H$874,BS_RE33!$S$7:$S$874,$R$2,BS_RE33!$N$7:$N$874,I13,BS_RE33!$P$7:$P$874,'30 days CF Table(GBP)'!G13,BS_RE33!$F$7:$F$874,'30 days CF Table(GBP)'!$C$2)</f>
        <v>0</v>
      </c>
      <c r="S13" s="337">
        <f>SUMIFS(BS_RE33!$H$7:$H$874,BS_RE33!$S$7:$S$874,$S$2,BS_RE33!$N$7:$N$874,I13,BS_RE33!$P$7:$P$874,'30 days CF Table(GBP)'!G13,BS_RE33!$F$7:$F$874,'30 days CF Table(GBP)'!$C$2)</f>
        <v>0</v>
      </c>
      <c r="T13" s="337">
        <f>SUMIFS(BS_RE33!$H$7:$H$874,BS_RE33!$S$7:$S$874,$T$2,BS_RE33!$N$7:$N$874,I13,BS_RE33!$P$7:$P$874,'30 days CF Table(GBP)'!G13,BS_RE33!$F$7:$F$874,'30 days CF Table(GBP)'!$C$2)</f>
        <v>0</v>
      </c>
      <c r="U13" s="337">
        <f>SUMIFS(BS_RE33!$H$7:$H$874,BS_RE33!$S$7:$S$874,$U$2,BS_RE33!$N$7:$N$874,I13,BS_RE33!$P$7:$P$874,'30 days CF Table(GBP)'!G13,BS_RE33!$F$7:$F$874,'30 days CF Table(GBP)'!$C$2)</f>
        <v>0</v>
      </c>
      <c r="V13" s="337">
        <f>SUMIFS(BS_RE33!$H$7:$H$874,BS_RE33!$S$7:$S$874,$V$2,BS_RE33!$N$7:$N$874,I13,BS_RE33!$P$7:$P$874,'30 days CF Table(GBP)'!G13,BS_RE33!$F$7:$F$874,'30 days CF Table(GBP)'!$C$2)</f>
        <v>0</v>
      </c>
      <c r="W13" s="337">
        <f>SUMIFS(BS_RE33!$H$7:$H$874,BS_RE33!$S$7:$S$874,$W$2,BS_RE33!$N$7:$N$874,I13,BS_RE33!$P$7:$P$874,'30 days CF Table(GBP)'!G13,BS_RE33!$F$7:$F$874,'30 days CF Table(GBP)'!$C$2)</f>
        <v>0</v>
      </c>
      <c r="X13" s="337">
        <f>SUMIFS(BS_RE33!$H$7:$H$874,BS_RE33!$S$7:$S$874,$X$2,BS_RE33!$N$7:$N$874,I13,BS_RE33!$P$7:$P$874,'30 days CF Table(GBP)'!G13,BS_RE33!$F$7:$F$874,'30 days CF Table(GBP)'!$C$2)</f>
        <v>0</v>
      </c>
      <c r="Y13" s="337">
        <f>SUMIFS(BS_RE33!$H$7:$H$874,BS_RE33!$S$7:$S$874,$Y$2,BS_RE33!$N$7:$N$874,I13,BS_RE33!$P$7:$P$874,'30 days CF Table(GBP)'!G13,BS_RE33!$F$7:$F$874,'30 days CF Table(GBP)'!$C$2)</f>
        <v>0</v>
      </c>
      <c r="Z13" s="337">
        <f>SUMIFS(BS_RE33!$H$7:$H$874,BS_RE33!$S$7:$S$874,$Z$2,BS_RE33!$N$7:$N$874,I13,BS_RE33!$P$7:$P$874,'30 days CF Table(GBP)'!G13,BS_RE33!$F$7:$F$874,'30 days CF Table(GBP)'!$C$2)</f>
        <v>0</v>
      </c>
      <c r="AA13" s="337">
        <f>SUMIFS(BS_RE33!$H$7:$H$874,BS_RE33!$S$7:$S$874,$AA$2,BS_RE33!$N$7:$N$874,I13,BS_RE33!$P$7:$P$874,'30 days CF Table(GBP)'!G13,BS_RE33!$F$7:$F$874,'30 days CF Table(GBP)'!$C$2)</f>
        <v>0</v>
      </c>
      <c r="AB13" s="337">
        <f>SUMIFS(BS_RE33!$H$7:$H$874,BS_RE33!$S$7:$S$874,$AB$2,BS_RE33!$N$7:$N$874,I13,BS_RE33!$P$7:$P$874,'30 days CF Table(GBP)'!G13,BS_RE33!$F$7:$F$874,'30 days CF Table(GBP)'!$C$2)</f>
        <v>0</v>
      </c>
      <c r="AC13" s="337">
        <f>SUMIFS(BS_RE33!$H$7:$H$874,BS_RE33!$S$7:$S$874,$AC$2,BS_RE33!$N$7:$N$874,I13,BS_RE33!$P$7:$P$874,'30 days CF Table(GBP)'!G13,BS_RE33!$F$7:$F$874,'30 days CF Table(GBP)'!$C$2)</f>
        <v>0</v>
      </c>
      <c r="AD13" s="337">
        <f>SUMIFS(BS_RE33!$H$7:$H$874,BS_RE33!$S$7:$S$874,$AD$2,BS_RE33!$N$7:$N$874,I13,BS_RE33!$P$7:$P$874,'30 days CF Table(GBP)'!G13,BS_RE33!$F$7:$F$874,'30 days CF Table(GBP)'!$C$2)</f>
        <v>0</v>
      </c>
      <c r="AE13" s="337">
        <f>SUMIFS(BS_RE33!$H$7:$H$874,BS_RE33!$S$7:$S$874,$AE$2,BS_RE33!$N$7:$N$874,I13,BS_RE33!$P$7:$P$874,'30 days CF Table(GBP)'!G13,BS_RE33!$F$7:$F$874,'30 days CF Table(GBP)'!$C$2)</f>
        <v>0</v>
      </c>
      <c r="AF13" s="337">
        <f>SUMIFS(BS_RE33!$H$7:$H$874,BS_RE33!$S$7:$S$874,$AF$2,BS_RE33!$N$7:$N$874,I13,BS_RE33!$P$7:$P$874,'30 days CF Table(GBP)'!G13,BS_RE33!$F$7:$F$874,'30 days CF Table(GBP)'!$C$2)</f>
        <v>0</v>
      </c>
      <c r="AG13" s="337">
        <f>SUMIFS(BS_RE33!$H$7:$H$874,BS_RE33!$S$7:$S$874,$AG$2,BS_RE33!$N$7:$N$874,I13,BS_RE33!$P$7:$P$874,'30 days CF Table(GBP)'!G13,BS_RE33!$F$7:$F$874,'30 days CF Table(GBP)'!$C$2)</f>
        <v>0</v>
      </c>
      <c r="AH13" s="337">
        <f>SUMIFS(BS_RE33!$H$7:$H$874,BS_RE33!$S$7:$S$874,$AH$2,BS_RE33!$N$7:$N$874,I13,BS_RE33!$P$7:$P$874,'30 days CF Table(GBP)'!G13,BS_RE33!$F$7:$F$874,'30 days CF Table(GBP)'!$C$2)</f>
        <v>0</v>
      </c>
      <c r="AI13" s="337">
        <f>SUMIFS(BS_RE33!$H$7:$H$874,BS_RE33!$S$7:$S$874,$AI$2,BS_RE33!$N$7:$N$874,I13,BS_RE33!$P$7:$P$874,'30 days CF Table(GBP)'!G13,BS_RE33!$F$7:$F$874,'30 days CF Table(GBP)'!$C$2)</f>
        <v>0</v>
      </c>
      <c r="AJ13" s="337">
        <f>SUMIFS(BS_RE33!$H$7:$H$874,BS_RE33!$S$7:$S$874,$AJ$2,BS_RE33!$N$7:$N$874,I13,BS_RE33!$P$7:$P$874,'30 days CF Table(GBP)'!G13,BS_RE33!$F$7:$F$874,'30 days CF Table(GBP)'!$C$2)</f>
        <v>0</v>
      </c>
      <c r="AK13" s="337">
        <f>SUMIFS(BS_RE33!$H$7:$H$874,BS_RE33!$S$7:$S$874,$AK$2,BS_RE33!$N$7:$N$874,I13,BS_RE33!$P$7:$P$874,'30 days CF Table(GBP)'!G13,BS_RE33!$F$7:$F$874,'30 days CF Table(GBP)'!$C$2)</f>
        <v>0</v>
      </c>
      <c r="AL13" s="337">
        <f>SUMIFS(BS_RE33!$H$7:$H$874,BS_RE33!$S$7:$S$874,$AL$2,BS_RE33!$N$7:$N$874,I13,BS_RE33!$P$7:$P$874,'30 days CF Table(GBP)'!G13,BS_RE33!$F$7:$F$874,'30 days CF Table(GBP)'!$C$2)</f>
        <v>0</v>
      </c>
      <c r="AM13" s="337">
        <f>SUMIFS(BS_RE33!$H$7:$H$874,BS_RE33!$S$7:$S$874,$AM$2,BS_RE33!$N$7:$N$874,I13,BS_RE33!$P$7:$P$874,'30 days CF Table(GBP)'!G13,BS_RE33!$F$7:$F$874,'30 days CF Table(GBP)'!$C$2)</f>
        <v>0</v>
      </c>
      <c r="AN13" s="337">
        <f>SUMIFS(BS_RE33!$H$7:$H$874,BS_RE33!$S$7:$S$874,$AN$2,BS_RE33!$N$7:$N$874,I13,BS_RE33!$P$7:$P$874,'30 days CF Table(GBP)'!G13,BS_RE33!$F$7:$F$874,'30 days CF Table(GBP)'!$C$2)</f>
        <v>0</v>
      </c>
      <c r="AO13" s="337">
        <f>SUMIFS(BS_RE33!$H$7:$H$874,BS_RE33!$S$7:$S$874,$AO$2,BS_RE33!$N$7:$N$874,I13,BS_RE33!$P$7:$P$874,'30 days CF Table(GBP)'!G13,BS_RE33!$F$7:$F$874,'30 days CF Table(GBP)'!$C$2)</f>
        <v>0</v>
      </c>
      <c r="AP13" s="338">
        <f>SUMIFS(BS_RE33!$H$7:$H$874,BS_RE33!$S$7:$S$874,$AP$2,BS_RE33!$N$7:$N$874,I13,BS_RE33!$P$7:$P$874,'30 days CF Table(GBP)'!G13,BS_RE33!$F$7:$F$874,'30 days CF Table(GBP)'!$C$2)</f>
        <v>0</v>
      </c>
      <c r="AQ13" s="545"/>
      <c r="AR13" s="379">
        <f>SUMIFS(BS_RE33!$H$7:$H$874,BS_RE33!$S$7:$S$874,$AR$2,BS_RE33!$N$7:$N$874,I13,BS_RE33!$P$7:$P$874,'30 days CF Table(GBP)'!G13,BS_RE33!$F$7:$F$874,'30 days CF Table(GBP)'!$C$2)</f>
        <v>0</v>
      </c>
      <c r="AS13" s="379">
        <f>SUMIFS(BS_RE33!$H$7:$H$874,BS_RE33!$S$7:$S$874,$AS$2,BS_RE33!$N$7:$N$874,I13,BS_RE33!$P$7:$P$874,'30 days CF Table(GBP)'!G13,BS_RE33!$F$7:$F$874,'30 days CF Table(GBP)'!$C$2)</f>
        <v>0</v>
      </c>
      <c r="AT13" s="379">
        <f>SUMIFS(BS_RE33!$H$7:$H$874,BS_RE33!$S$7:$S$874,$AT$2,BS_RE33!$N$7:$N$874,I13,BS_RE33!$P$7:$P$874,'30 days CF Table(GBP)'!G13,BS_RE33!$F$7:$F$874,'30 days CF Table(GBP)'!$C$2)</f>
        <v>0</v>
      </c>
      <c r="AU13" s="379">
        <f>SUMIFS(BS_RE33!$H$7:$H$874,BS_RE33!$S$7:$S$874,$AU$2,BS_RE33!$N$7:$N$874,I13,BS_RE33!$P$7:$P$874,'30 days CF Table(GBP)'!G13,BS_RE33!$F$7:$F$874,'30 days CF Table(GBP)'!$C$2)</f>
        <v>0</v>
      </c>
      <c r="AV13" s="379">
        <f>SUMIFS(BS_RE33!$H$7:$H$874,BS_RE33!$S$7:$S$874,$AV$2,BS_RE33!$N$7:$N$874,I13,BS_RE33!$P$7:$P$874,'30 days CF Table(GBP)'!G13,BS_RE33!$F$7:$F$874,'30 days CF Table(GBP)'!$C$2)</f>
        <v>0</v>
      </c>
      <c r="AW13" s="379">
        <f>SUMIFS(BS_RE33!$H$7:$H$874,BS_RE33!$S$7:$S$874,$AW$2,BS_RE33!$N$7:$N$874,I13,BS_RE33!$P$7:$P$874,'30 days CF Table(GBP)'!G13,BS_RE33!$F$7:$F$874,'30 days CF Table(GBP)'!$C$2)</f>
        <v>0</v>
      </c>
      <c r="AX13" s="379">
        <f>SUMIFS(BS_RE33!$H$7:$H$874,BS_RE33!$S$7:$S$874,$AX$2,BS_RE33!$N$7:$N$874,I13,BS_RE33!$P$7:$P$874,'30 days CF Table(GBP)'!G13,BS_RE33!$F$7:$F$874,'30 days CF Table(GBP)'!$C$2)</f>
        <v>0</v>
      </c>
      <c r="AY13" s="379">
        <f>SUMIFS(BS_RE33!$H$7:$H$874,BS_RE33!$S$7:$S$874,$AY$2,BS_RE33!$N$7:$N$874,I13,BS_RE33!$P$7:$P$874,'30 days CF Table(GBP)'!G13,BS_RE33!$F$7:$F$874,'30 days CF Table(GBP)'!$C$2)</f>
        <v>0</v>
      </c>
      <c r="AZ13" s="379">
        <f>SUMIFS(BS_RE33!$H$7:$H$874,BS_RE33!$S$7:$S$874,$AZ$2,BS_RE33!$N$7:$N$874,I13,BS_RE33!$P$7:$P$874,'30 days CF Table(GBP)'!G13,BS_RE33!$F$7:$F$874,'30 days CF Table(GBP)'!$C$2)</f>
        <v>0</v>
      </c>
      <c r="BA13" s="379">
        <f>SUMIFS(BS_RE33!$H$7:$H$874,BS_RE33!$S$7:$S$874,$BA$2,BS_RE33!$N$7:$N$874,I13,BS_RE33!$P$7:$P$874,'30 days CF Table(GBP)'!G13,BS_RE33!$F$7:$F$874,'30 days CF Table(GBP)'!$C$2)</f>
        <v>0</v>
      </c>
      <c r="BB13" s="379">
        <f>SUMIFS(BS_RE33!$H$7:$H$874,BS_RE33!$S$7:$S$874,$BB$2,BS_RE33!$N$7:$N$874,I13,BS_RE33!$P$7:$P$874,'30 days CF Table(GBP)'!G13,BS_RE33!$F$7:$F$874,'30 days CF Table(GBP)'!$C$2)</f>
        <v>0</v>
      </c>
      <c r="BC13" s="379">
        <f>SUMIFS(BS_RE33!$H$7:$H$874,BS_RE33!$S$7:$S$874,$BC$2,BS_RE33!$N$7:$N$874,I13,BS_RE33!$P$7:$P$874,'30 days CF Table(GBP)'!G13,BS_RE33!$F$7:$F$874,'30 days CF Table(GBP)'!$C$2)</f>
        <v>0</v>
      </c>
      <c r="BD13" s="379">
        <f>SUMIFS(BS_RE33!$H$7:$H$874,BS_RE33!$S$7:$S$874,$BD$2,BS_RE33!$N$7:$N$874,I13,BS_RE33!$P$7:$P$874,'30 days CF Table(GBP)'!G13,BS_RE33!$F$7:$F$874,'30 days CF Table(GBP)'!$C$2)</f>
        <v>0</v>
      </c>
      <c r="BE13" s="379">
        <f>SUMIFS(BS_RE33!$H$7:$H$874,BS_RE33!$S$7:$S$874,$BE$2,BS_RE33!$N$7:$N$874,I13,BS_RE33!$P$7:$P$874,'30 days CF Table(GBP)'!G13,BS_RE33!$F$7:$F$874,'30 days CF Table(GBP)'!$C$2)</f>
        <v>0</v>
      </c>
      <c r="BF13" s="379">
        <f>SUMIFS(BS_RE33!$H$7:$H$874,BS_RE33!$S$7:$S$874,$BF$2,BS_RE33!$N$7:$N$874,I13,BS_RE33!$P$7:$P$874,'30 days CF Table(GBP)'!G13,BS_RE33!$F$7:$F$874,'30 days CF Table(GBP)'!$C$2)</f>
        <v>0</v>
      </c>
      <c r="BG13" s="379">
        <f>SUMIFS(BS_RE33!$H$7:$H$874,BS_RE33!$S$7:$S$874,$BG$2,BS_RE33!$N$7:$N$874,I13,BS_RE33!$P$7:$P$874,'30 days CF Table(GBP)'!G13,BS_RE33!$F$7:$F$874,'30 days CF Table(GBP)'!$C$2)</f>
        <v>0</v>
      </c>
      <c r="BH13" s="379">
        <f>SUMIFS(BS_RE33!$H$7:$H$874,BS_RE33!$S$7:$S$874,$BH$2,BS_RE33!$N$7:$N$874,I13,BS_RE33!$P$7:$P$874,'30 days CF Table(GBP)'!G13,BS_RE33!$F$7:$F$874,'30 days CF Table(GBP)'!$C$2)</f>
        <v>0</v>
      </c>
      <c r="BI13" s="379">
        <f>SUMIFS(BS_RE33!$H$7:$H$874,BS_RE33!$S$7:$S$874,$BI$2,BS_RE33!$N$7:$N$874,I13,BS_RE33!$P$7:$P$874,'30 days CF Table(GBP)'!G13,BS_RE33!$F$7:$F$874,'30 days CF Table(GBP)'!$C$2)</f>
        <v>0</v>
      </c>
      <c r="BJ13" s="379">
        <f>SUMIFS(BS_RE33!$H$7:$H$874,BS_RE33!$S$7:$S$874,$BJ$2,BS_RE33!$N$7:$N$874,I13,BS_RE33!$P$7:$P$874,'30 days CF Table(GBP)'!G13,BS_RE33!$F$7:$F$874,'30 days CF Table(GBP)'!$C$2)</f>
        <v>0</v>
      </c>
      <c r="BK13" s="379">
        <f>SUMIFS(BS_RE33!$H$7:$H$874,BS_RE33!$S$7:$S$874,$BK$2,BS_RE33!$N$7:$N$874,I13,BS_RE33!$P$7:$P$874,'30 days CF Table(GBP)'!G13,BS_RE33!$F$7:$F$874,'30 days CF Table(GBP)'!$C$2)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Table(GBP)'!G14,BS_RE33!$F$7:$F$874,'30 days CF Table(GBP)'!$C$2)</f>
        <v>0</v>
      </c>
      <c r="M14" s="337">
        <f>SUMIFS(BS_RE33!$H$7:$H$874,BS_RE33!$S$7:$S$874,$M$2,BS_RE33!$N$7:$N$874,I14,BS_RE33!$P$7:$P$874,'30 days CF Table(GBP)'!G14,BS_RE33!$F$7:$F$874,'30 days CF Table(GBP)'!$C$2)</f>
        <v>0</v>
      </c>
      <c r="N14" s="337">
        <f>SUMIFS(BS_RE33!$H$7:$H$874,BS_RE33!$S$7:$S$874,$N$2,BS_RE33!$N$7:$N$874,I14,BS_RE33!$P$7:$P$874,'30 days CF Table(GBP)'!G14,BS_RE33!$F$7:$F$874,'30 days CF Table(GBP)'!$C$2)</f>
        <v>0</v>
      </c>
      <c r="O14" s="337">
        <f>SUMIFS(BS_RE33!$H$7:$H$874,BS_RE33!$S$7:$S$874,$O$2,BS_RE33!$N$7:$N$874,I14,BS_RE33!$P$7:$P$874,'30 days CF Table(GBP)'!G14,BS_RE33!$F$7:$F$874,'30 days CF Table(GBP)'!$C$2)</f>
        <v>0</v>
      </c>
      <c r="P14" s="337">
        <f>SUMIFS(BS_RE33!$H$7:$H$874,BS_RE33!$S$7:$S$874,$P$2,BS_RE33!$N$7:$N$874,I14,BS_RE33!$P$7:$P$874,'30 days CF Table(GBP)'!G14,BS_RE33!$F$7:$F$874,'30 days CF Table(GBP)'!$C$2)</f>
        <v>0</v>
      </c>
      <c r="Q14" s="337">
        <f>SUMIFS(BS_RE33!$H$7:$H$874,BS_RE33!$S$7:$S$874,$Q$2,BS_RE33!$N$7:$N$874,I14,BS_RE33!$P$7:$P$874,'30 days CF Table(GBP)'!G14,BS_RE33!$F$7:$F$874,'30 days CF Table(GBP)'!$C$2)</f>
        <v>0</v>
      </c>
      <c r="R14" s="337">
        <f>SUMIFS(BS_RE33!$H$7:$H$874,BS_RE33!$S$7:$S$874,$R$2,BS_RE33!$N$7:$N$874,I14,BS_RE33!$P$7:$P$874,'30 days CF Table(GBP)'!G14,BS_RE33!$F$7:$F$874,'30 days CF Table(GBP)'!$C$2)</f>
        <v>0</v>
      </c>
      <c r="S14" s="337">
        <f>SUMIFS(BS_RE33!$H$7:$H$874,BS_RE33!$S$7:$S$874,$S$2,BS_RE33!$N$7:$N$874,I14,BS_RE33!$P$7:$P$874,'30 days CF Table(GBP)'!G14,BS_RE33!$F$7:$F$874,'30 days CF Table(GBP)'!$C$2)</f>
        <v>0</v>
      </c>
      <c r="T14" s="337">
        <f>SUMIFS(BS_RE33!$H$7:$H$874,BS_RE33!$S$7:$S$874,$T$2,BS_RE33!$N$7:$N$874,I14,BS_RE33!$P$7:$P$874,'30 days CF Table(GBP)'!G14,BS_RE33!$F$7:$F$874,'30 days CF Table(GBP)'!$C$2)</f>
        <v>0</v>
      </c>
      <c r="U14" s="337">
        <f>SUMIFS(BS_RE33!$H$7:$H$874,BS_RE33!$S$7:$S$874,$U$2,BS_RE33!$N$7:$N$874,I14,BS_RE33!$P$7:$P$874,'30 days CF Table(GBP)'!G14,BS_RE33!$F$7:$F$874,'30 days CF Table(GBP)'!$C$2)</f>
        <v>0</v>
      </c>
      <c r="V14" s="337">
        <f>SUMIFS(BS_RE33!$H$7:$H$874,BS_RE33!$S$7:$S$874,$V$2,BS_RE33!$N$7:$N$874,I14,BS_RE33!$P$7:$P$874,'30 days CF Table(GBP)'!G14,BS_RE33!$F$7:$F$874,'30 days CF Table(GBP)'!$C$2)</f>
        <v>0</v>
      </c>
      <c r="W14" s="337">
        <f>SUMIFS(BS_RE33!$H$7:$H$874,BS_RE33!$S$7:$S$874,$W$2,BS_RE33!$N$7:$N$874,I14,BS_RE33!$P$7:$P$874,'30 days CF Table(GBP)'!G14,BS_RE33!$F$7:$F$874,'30 days CF Table(GBP)'!$C$2)</f>
        <v>0</v>
      </c>
      <c r="X14" s="337">
        <f>SUMIFS(BS_RE33!$H$7:$H$874,BS_RE33!$S$7:$S$874,$X$2,BS_RE33!$N$7:$N$874,I14,BS_RE33!$P$7:$P$874,'30 days CF Table(GBP)'!G14,BS_RE33!$F$7:$F$874,'30 days CF Table(GBP)'!$C$2)</f>
        <v>0</v>
      </c>
      <c r="Y14" s="337">
        <f>SUMIFS(BS_RE33!$H$7:$H$874,BS_RE33!$S$7:$S$874,$Y$2,BS_RE33!$N$7:$N$874,I14,BS_RE33!$P$7:$P$874,'30 days CF Table(GBP)'!G14,BS_RE33!$F$7:$F$874,'30 days CF Table(GBP)'!$C$2)</f>
        <v>0</v>
      </c>
      <c r="Z14" s="337">
        <f>SUMIFS(BS_RE33!$H$7:$H$874,BS_RE33!$S$7:$S$874,$Z$2,BS_RE33!$N$7:$N$874,I14,BS_RE33!$P$7:$P$874,'30 days CF Table(GBP)'!G14,BS_RE33!$F$7:$F$874,'30 days CF Table(GBP)'!$C$2)</f>
        <v>0</v>
      </c>
      <c r="AA14" s="337">
        <f>SUMIFS(BS_RE33!$H$7:$H$874,BS_RE33!$S$7:$S$874,$AA$2,BS_RE33!$N$7:$N$874,I14,BS_RE33!$P$7:$P$874,'30 days CF Table(GBP)'!G14,BS_RE33!$F$7:$F$874,'30 days CF Table(GBP)'!$C$2)</f>
        <v>0</v>
      </c>
      <c r="AB14" s="337">
        <f>SUMIFS(BS_RE33!$H$7:$H$874,BS_RE33!$S$7:$S$874,$AB$2,BS_RE33!$N$7:$N$874,I14,BS_RE33!$P$7:$P$874,'30 days CF Table(GBP)'!G14,BS_RE33!$F$7:$F$874,'30 days CF Table(GBP)'!$C$2)</f>
        <v>0</v>
      </c>
      <c r="AC14" s="337">
        <f>SUMIFS(BS_RE33!$H$7:$H$874,BS_RE33!$S$7:$S$874,$AC$2,BS_RE33!$N$7:$N$874,I14,BS_RE33!$P$7:$P$874,'30 days CF Table(GBP)'!G14,BS_RE33!$F$7:$F$874,'30 days CF Table(GBP)'!$C$2)</f>
        <v>0</v>
      </c>
      <c r="AD14" s="337">
        <f>SUMIFS(BS_RE33!$H$7:$H$874,BS_RE33!$S$7:$S$874,$AD$2,BS_RE33!$N$7:$N$874,I14,BS_RE33!$P$7:$P$874,'30 days CF Table(GBP)'!G14,BS_RE33!$F$7:$F$874,'30 days CF Table(GBP)'!$C$2)</f>
        <v>0</v>
      </c>
      <c r="AE14" s="337">
        <f>SUMIFS(BS_RE33!$H$7:$H$874,BS_RE33!$S$7:$S$874,$AE$2,BS_RE33!$N$7:$N$874,I14,BS_RE33!$P$7:$P$874,'30 days CF Table(GBP)'!G14,BS_RE33!$F$7:$F$874,'30 days CF Table(GBP)'!$C$2)</f>
        <v>0</v>
      </c>
      <c r="AF14" s="337">
        <f>SUMIFS(BS_RE33!$H$7:$H$874,BS_RE33!$S$7:$S$874,$AF$2,BS_RE33!$N$7:$N$874,I14,BS_RE33!$P$7:$P$874,'30 days CF Table(GBP)'!G14,BS_RE33!$F$7:$F$874,'30 days CF Table(GBP)'!$C$2)</f>
        <v>0</v>
      </c>
      <c r="AG14" s="337">
        <f>SUMIFS(BS_RE33!$H$7:$H$874,BS_RE33!$S$7:$S$874,$AG$2,BS_RE33!$N$7:$N$874,I14,BS_RE33!$P$7:$P$874,'30 days CF Table(GBP)'!G14,BS_RE33!$F$7:$F$874,'30 days CF Table(GBP)'!$C$2)</f>
        <v>0</v>
      </c>
      <c r="AH14" s="337">
        <f>SUMIFS(BS_RE33!$H$7:$H$874,BS_RE33!$S$7:$S$874,$AH$2,BS_RE33!$N$7:$N$874,I14,BS_RE33!$P$7:$P$874,'30 days CF Table(GBP)'!G14,BS_RE33!$F$7:$F$874,'30 days CF Table(GBP)'!$C$2)</f>
        <v>0</v>
      </c>
      <c r="AI14" s="337">
        <f>SUMIFS(BS_RE33!$H$7:$H$874,BS_RE33!$S$7:$S$874,$AI$2,BS_RE33!$N$7:$N$874,I14,BS_RE33!$P$7:$P$874,'30 days CF Table(GBP)'!G14,BS_RE33!$F$7:$F$874,'30 days CF Table(GBP)'!$C$2)</f>
        <v>0</v>
      </c>
      <c r="AJ14" s="337">
        <f>SUMIFS(BS_RE33!$H$7:$H$874,BS_RE33!$S$7:$S$874,$AJ$2,BS_RE33!$N$7:$N$874,I14,BS_RE33!$P$7:$P$874,'30 days CF Table(GBP)'!G14,BS_RE33!$F$7:$F$874,'30 days CF Table(GBP)'!$C$2)</f>
        <v>0</v>
      </c>
      <c r="AK14" s="337">
        <f>SUMIFS(BS_RE33!$H$7:$H$874,BS_RE33!$S$7:$S$874,$AK$2,BS_RE33!$N$7:$N$874,I14,BS_RE33!$P$7:$P$874,'30 days CF Table(GBP)'!G14,BS_RE33!$F$7:$F$874,'30 days CF Table(GBP)'!$C$2)</f>
        <v>0</v>
      </c>
      <c r="AL14" s="337">
        <f>SUMIFS(BS_RE33!$H$7:$H$874,BS_RE33!$S$7:$S$874,$AL$2,BS_RE33!$N$7:$N$874,I14,BS_RE33!$P$7:$P$874,'30 days CF Table(GBP)'!G14,BS_RE33!$F$7:$F$874,'30 days CF Table(GBP)'!$C$2)</f>
        <v>0</v>
      </c>
      <c r="AM14" s="337">
        <f>SUMIFS(BS_RE33!$H$7:$H$874,BS_RE33!$S$7:$S$874,$AM$2,BS_RE33!$N$7:$N$874,I14,BS_RE33!$P$7:$P$874,'30 days CF Table(GBP)'!G14,BS_RE33!$F$7:$F$874,'30 days CF Table(GBP)'!$C$2)</f>
        <v>0</v>
      </c>
      <c r="AN14" s="337">
        <f>SUMIFS(BS_RE33!$H$7:$H$874,BS_RE33!$S$7:$S$874,$AN$2,BS_RE33!$N$7:$N$874,I14,BS_RE33!$P$7:$P$874,'30 days CF Table(GBP)'!G14,BS_RE33!$F$7:$F$874,'30 days CF Table(GBP)'!$C$2)</f>
        <v>0</v>
      </c>
      <c r="AO14" s="337">
        <f>SUMIFS(BS_RE33!$H$7:$H$874,BS_RE33!$S$7:$S$874,$AO$2,BS_RE33!$N$7:$N$874,I14,BS_RE33!$P$7:$P$874,'30 days CF Table(GBP)'!G14,BS_RE33!$F$7:$F$874,'30 days CF Table(GBP)'!$C$2)</f>
        <v>0</v>
      </c>
      <c r="AP14" s="338">
        <f>SUMIFS(BS_RE33!$H$7:$H$874,BS_RE33!$S$7:$S$874,$AP$2,BS_RE33!$N$7:$N$874,I14,BS_RE33!$P$7:$P$874,'30 days CF Table(GBP)'!G14,BS_RE33!$F$7:$F$874,'30 days CF Table(GBP)'!$C$2)</f>
        <v>0</v>
      </c>
      <c r="AQ14" s="545"/>
      <c r="AR14" s="379">
        <f>SUMIFS(BS_RE33!$H$7:$H$874,BS_RE33!$S$7:$S$874,$AR$2,BS_RE33!$N$7:$N$874,I14,BS_RE33!$P$7:$P$874,'30 days CF Table(GBP)'!G14,BS_RE33!$F$7:$F$874,'30 days CF Table(GBP)'!$C$2)</f>
        <v>0</v>
      </c>
      <c r="AS14" s="379">
        <f>SUMIFS(BS_RE33!$H$7:$H$874,BS_RE33!$S$7:$S$874,$AS$2,BS_RE33!$N$7:$N$874,I14,BS_RE33!$P$7:$P$874,'30 days CF Table(GBP)'!G14,BS_RE33!$F$7:$F$874,'30 days CF Table(GBP)'!$C$2)</f>
        <v>0</v>
      </c>
      <c r="AT14" s="379">
        <f>SUMIFS(BS_RE33!$H$7:$H$874,BS_RE33!$S$7:$S$874,$AT$2,BS_RE33!$N$7:$N$874,I14,BS_RE33!$P$7:$P$874,'30 days CF Table(GBP)'!G14,BS_RE33!$F$7:$F$874,'30 days CF Table(GBP)'!$C$2)</f>
        <v>0</v>
      </c>
      <c r="AU14" s="379">
        <f>SUMIFS(BS_RE33!$H$7:$H$874,BS_RE33!$S$7:$S$874,$AU$2,BS_RE33!$N$7:$N$874,I14,BS_RE33!$P$7:$P$874,'30 days CF Table(GBP)'!G14,BS_RE33!$F$7:$F$874,'30 days CF Table(GBP)'!$C$2)</f>
        <v>0</v>
      </c>
      <c r="AV14" s="379">
        <f>SUMIFS(BS_RE33!$H$7:$H$874,BS_RE33!$S$7:$S$874,$AV$2,BS_RE33!$N$7:$N$874,I14,BS_RE33!$P$7:$P$874,'30 days CF Table(GBP)'!G14,BS_RE33!$F$7:$F$874,'30 days CF Table(GBP)'!$C$2)</f>
        <v>0</v>
      </c>
      <c r="AW14" s="379">
        <f>SUMIFS(BS_RE33!$H$7:$H$874,BS_RE33!$S$7:$S$874,$AW$2,BS_RE33!$N$7:$N$874,I14,BS_RE33!$P$7:$P$874,'30 days CF Table(GBP)'!G14,BS_RE33!$F$7:$F$874,'30 days CF Table(GBP)'!$C$2)</f>
        <v>0</v>
      </c>
      <c r="AX14" s="379">
        <f>SUMIFS(BS_RE33!$H$7:$H$874,BS_RE33!$S$7:$S$874,$AX$2,BS_RE33!$N$7:$N$874,I14,BS_RE33!$P$7:$P$874,'30 days CF Table(GBP)'!G14,BS_RE33!$F$7:$F$874,'30 days CF Table(GBP)'!$C$2)</f>
        <v>0</v>
      </c>
      <c r="AY14" s="379">
        <f>SUMIFS(BS_RE33!$H$7:$H$874,BS_RE33!$S$7:$S$874,$AY$2,BS_RE33!$N$7:$N$874,I14,BS_RE33!$P$7:$P$874,'30 days CF Table(GBP)'!G14,BS_RE33!$F$7:$F$874,'30 days CF Table(GBP)'!$C$2)</f>
        <v>0</v>
      </c>
      <c r="AZ14" s="379">
        <f>SUMIFS(BS_RE33!$H$7:$H$874,BS_RE33!$S$7:$S$874,$AZ$2,BS_RE33!$N$7:$N$874,I14,BS_RE33!$P$7:$P$874,'30 days CF Table(GBP)'!G14,BS_RE33!$F$7:$F$874,'30 days CF Table(GBP)'!$C$2)</f>
        <v>0</v>
      </c>
      <c r="BA14" s="379">
        <f>SUMIFS(BS_RE33!$H$7:$H$874,BS_RE33!$S$7:$S$874,$BA$2,BS_RE33!$N$7:$N$874,I14,BS_RE33!$P$7:$P$874,'30 days CF Table(GBP)'!G14,BS_RE33!$F$7:$F$874,'30 days CF Table(GBP)'!$C$2)</f>
        <v>0</v>
      </c>
      <c r="BB14" s="379">
        <f>SUMIFS(BS_RE33!$H$7:$H$874,BS_RE33!$S$7:$S$874,$BB$2,BS_RE33!$N$7:$N$874,I14,BS_RE33!$P$7:$P$874,'30 days CF Table(GBP)'!G14,BS_RE33!$F$7:$F$874,'30 days CF Table(GBP)'!$C$2)</f>
        <v>0</v>
      </c>
      <c r="BC14" s="379">
        <f>SUMIFS(BS_RE33!$H$7:$H$874,BS_RE33!$S$7:$S$874,$BC$2,BS_RE33!$N$7:$N$874,I14,BS_RE33!$P$7:$P$874,'30 days CF Table(GBP)'!G14,BS_RE33!$F$7:$F$874,'30 days CF Table(GBP)'!$C$2)</f>
        <v>0</v>
      </c>
      <c r="BD14" s="379">
        <f>SUMIFS(BS_RE33!$H$7:$H$874,BS_RE33!$S$7:$S$874,$BD$2,BS_RE33!$N$7:$N$874,I14,BS_RE33!$P$7:$P$874,'30 days CF Table(GBP)'!G14,BS_RE33!$F$7:$F$874,'30 days CF Table(GBP)'!$C$2)</f>
        <v>0</v>
      </c>
      <c r="BE14" s="379">
        <f>SUMIFS(BS_RE33!$H$7:$H$874,BS_RE33!$S$7:$S$874,$BE$2,BS_RE33!$N$7:$N$874,I14,BS_RE33!$P$7:$P$874,'30 days CF Table(GBP)'!G14,BS_RE33!$F$7:$F$874,'30 days CF Table(GBP)'!$C$2)</f>
        <v>0</v>
      </c>
      <c r="BF14" s="379">
        <f>SUMIFS(BS_RE33!$H$7:$H$874,BS_RE33!$S$7:$S$874,$BF$2,BS_RE33!$N$7:$N$874,I14,BS_RE33!$P$7:$P$874,'30 days CF Table(GBP)'!G14,BS_RE33!$F$7:$F$874,'30 days CF Table(GBP)'!$C$2)</f>
        <v>0</v>
      </c>
      <c r="BG14" s="379">
        <f>SUMIFS(BS_RE33!$H$7:$H$874,BS_RE33!$S$7:$S$874,$BG$2,BS_RE33!$N$7:$N$874,I14,BS_RE33!$P$7:$P$874,'30 days CF Table(GBP)'!G14,BS_RE33!$F$7:$F$874,'30 days CF Table(GBP)'!$C$2)</f>
        <v>0</v>
      </c>
      <c r="BH14" s="379">
        <f>SUMIFS(BS_RE33!$H$7:$H$874,BS_RE33!$S$7:$S$874,$BH$2,BS_RE33!$N$7:$N$874,I14,BS_RE33!$P$7:$P$874,'30 days CF Table(GBP)'!G14,BS_RE33!$F$7:$F$874,'30 days CF Table(GBP)'!$C$2)</f>
        <v>0</v>
      </c>
      <c r="BI14" s="379">
        <f>SUMIFS(BS_RE33!$H$7:$H$874,BS_RE33!$S$7:$S$874,$BI$2,BS_RE33!$N$7:$N$874,I14,BS_RE33!$P$7:$P$874,'30 days CF Table(GBP)'!G14,BS_RE33!$F$7:$F$874,'30 days CF Table(GBP)'!$C$2)</f>
        <v>0</v>
      </c>
      <c r="BJ14" s="379">
        <f>SUMIFS(BS_RE33!$H$7:$H$874,BS_RE33!$S$7:$S$874,$BJ$2,BS_RE33!$N$7:$N$874,I14,BS_RE33!$P$7:$P$874,'30 days CF Table(GBP)'!G14,BS_RE33!$F$7:$F$874,'30 days CF Table(GBP)'!$C$2)</f>
        <v>0</v>
      </c>
      <c r="BK14" s="379">
        <f>SUMIFS(BS_RE33!$H$7:$H$874,BS_RE33!$S$7:$S$874,$BK$2,BS_RE33!$N$7:$N$874,I14,BS_RE33!$P$7:$P$874,'30 days CF Table(GBP)'!G14,BS_RE33!$F$7:$F$874,'30 days CF Table(GBP)'!$C$2)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Table(GBP)'!G15,BS_RE33!$F$7:$F$874,'30 days CF Table(GBP)'!$C$2)</f>
        <v>0</v>
      </c>
      <c r="M15" s="337">
        <f>SUMIFS(BS_RE33!$H$7:$H$874,BS_RE33!$S$7:$S$874,$M$2,BS_RE33!$N$7:$N$874,I15,BS_RE33!$P$7:$P$874,'30 days CF Table(GBP)'!G15,BS_RE33!$F$7:$F$874,'30 days CF Table(GBP)'!$C$2)</f>
        <v>0</v>
      </c>
      <c r="N15" s="337">
        <f>SUMIFS(BS_RE33!$H$7:$H$874,BS_RE33!$S$7:$S$874,$N$2,BS_RE33!$N$7:$N$874,I15,BS_RE33!$P$7:$P$874,'30 days CF Table(GBP)'!G15,BS_RE33!$F$7:$F$874,'30 days CF Table(GBP)'!$C$2)</f>
        <v>0</v>
      </c>
      <c r="O15" s="337">
        <f>SUMIFS(BS_RE33!$H$7:$H$874,BS_RE33!$S$7:$S$874,$O$2,BS_RE33!$N$7:$N$874,I15,BS_RE33!$P$7:$P$874,'30 days CF Table(GBP)'!G15,BS_RE33!$F$7:$F$874,'30 days CF Table(GBP)'!$C$2)</f>
        <v>0</v>
      </c>
      <c r="P15" s="337">
        <f>SUMIFS(BS_RE33!$H$7:$H$874,BS_RE33!$S$7:$S$874,$P$2,BS_RE33!$N$7:$N$874,I15,BS_RE33!$P$7:$P$874,'30 days CF Table(GBP)'!G15,BS_RE33!$F$7:$F$874,'30 days CF Table(GBP)'!$C$2)</f>
        <v>0</v>
      </c>
      <c r="Q15" s="337">
        <f>SUMIFS(BS_RE33!$H$7:$H$874,BS_RE33!$S$7:$S$874,$Q$2,BS_RE33!$N$7:$N$874,I15,BS_RE33!$P$7:$P$874,'30 days CF Table(GBP)'!G15,BS_RE33!$F$7:$F$874,'30 days CF Table(GBP)'!$C$2)</f>
        <v>0</v>
      </c>
      <c r="R15" s="337">
        <f>SUMIFS(BS_RE33!$H$7:$H$874,BS_RE33!$S$7:$S$874,$R$2,BS_RE33!$N$7:$N$874,I15,BS_RE33!$P$7:$P$874,'30 days CF Table(GBP)'!G15,BS_RE33!$F$7:$F$874,'30 days CF Table(GBP)'!$C$2)</f>
        <v>0</v>
      </c>
      <c r="S15" s="337">
        <f>SUMIFS(BS_RE33!$H$7:$H$874,BS_RE33!$S$7:$S$874,$S$2,BS_RE33!$N$7:$N$874,I15,BS_RE33!$P$7:$P$874,'30 days CF Table(GBP)'!G15,BS_RE33!$F$7:$F$874,'30 days CF Table(GBP)'!$C$2)</f>
        <v>0</v>
      </c>
      <c r="T15" s="337">
        <f>SUMIFS(BS_RE33!$H$7:$H$874,BS_RE33!$S$7:$S$874,$T$2,BS_RE33!$N$7:$N$874,I15,BS_RE33!$P$7:$P$874,'30 days CF Table(GBP)'!G15,BS_RE33!$F$7:$F$874,'30 days CF Table(GBP)'!$C$2)</f>
        <v>0</v>
      </c>
      <c r="U15" s="337">
        <f>SUMIFS(BS_RE33!$H$7:$H$874,BS_RE33!$S$7:$S$874,$U$2,BS_RE33!$N$7:$N$874,I15,BS_RE33!$P$7:$P$874,'30 days CF Table(GBP)'!G15,BS_RE33!$F$7:$F$874,'30 days CF Table(GBP)'!$C$2)</f>
        <v>0</v>
      </c>
      <c r="V15" s="337">
        <f>SUMIFS(BS_RE33!$H$7:$H$874,BS_RE33!$S$7:$S$874,$V$2,BS_RE33!$N$7:$N$874,I15,BS_RE33!$P$7:$P$874,'30 days CF Table(GBP)'!G15,BS_RE33!$F$7:$F$874,'30 days CF Table(GBP)'!$C$2)</f>
        <v>0</v>
      </c>
      <c r="W15" s="337">
        <f>SUMIFS(BS_RE33!$H$7:$H$874,BS_RE33!$S$7:$S$874,$W$2,BS_RE33!$N$7:$N$874,I15,BS_RE33!$P$7:$P$874,'30 days CF Table(GBP)'!G15,BS_RE33!$F$7:$F$874,'30 days CF Table(GBP)'!$C$2)</f>
        <v>0</v>
      </c>
      <c r="X15" s="337">
        <f>SUMIFS(BS_RE33!$H$7:$H$874,BS_RE33!$S$7:$S$874,$X$2,BS_RE33!$N$7:$N$874,I15,BS_RE33!$P$7:$P$874,'30 days CF Table(GBP)'!G15,BS_RE33!$F$7:$F$874,'30 days CF Table(GBP)'!$C$2)</f>
        <v>0</v>
      </c>
      <c r="Y15" s="337">
        <f>SUMIFS(BS_RE33!$H$7:$H$874,BS_RE33!$S$7:$S$874,$Y$2,BS_RE33!$N$7:$N$874,I15,BS_RE33!$P$7:$P$874,'30 days CF Table(GBP)'!G15,BS_RE33!$F$7:$F$874,'30 days CF Table(GBP)'!$C$2)</f>
        <v>0</v>
      </c>
      <c r="Z15" s="337">
        <f>SUMIFS(BS_RE33!$H$7:$H$874,BS_RE33!$S$7:$S$874,$Z$2,BS_RE33!$N$7:$N$874,I15,BS_RE33!$P$7:$P$874,'30 days CF Table(GBP)'!G15,BS_RE33!$F$7:$F$874,'30 days CF Table(GBP)'!$C$2)</f>
        <v>0</v>
      </c>
      <c r="AA15" s="337">
        <f>SUMIFS(BS_RE33!$H$7:$H$874,BS_RE33!$S$7:$S$874,$AA$2,BS_RE33!$N$7:$N$874,I15,BS_RE33!$P$7:$P$874,'30 days CF Table(GBP)'!G15,BS_RE33!$F$7:$F$874,'30 days CF Table(GBP)'!$C$2)</f>
        <v>0</v>
      </c>
      <c r="AB15" s="337">
        <f>SUMIFS(BS_RE33!$H$7:$H$874,BS_RE33!$S$7:$S$874,$AB$2,BS_RE33!$N$7:$N$874,I15,BS_RE33!$P$7:$P$874,'30 days CF Table(GBP)'!G15,BS_RE33!$F$7:$F$874,'30 days CF Table(GBP)'!$C$2)</f>
        <v>0</v>
      </c>
      <c r="AC15" s="337">
        <f>SUMIFS(BS_RE33!$H$7:$H$874,BS_RE33!$S$7:$S$874,$AC$2,BS_RE33!$N$7:$N$874,I15,BS_RE33!$P$7:$P$874,'30 days CF Table(GBP)'!G15,BS_RE33!$F$7:$F$874,'30 days CF Table(GBP)'!$C$2)</f>
        <v>0</v>
      </c>
      <c r="AD15" s="337">
        <f>SUMIFS(BS_RE33!$H$7:$H$874,BS_RE33!$S$7:$S$874,$AD$2,BS_RE33!$N$7:$N$874,I15,BS_RE33!$P$7:$P$874,'30 days CF Table(GBP)'!G15,BS_RE33!$F$7:$F$874,'30 days CF Table(GBP)'!$C$2)</f>
        <v>0</v>
      </c>
      <c r="AE15" s="337">
        <f>SUMIFS(BS_RE33!$H$7:$H$874,BS_RE33!$S$7:$S$874,$AE$2,BS_RE33!$N$7:$N$874,I15,BS_RE33!$P$7:$P$874,'30 days CF Table(GBP)'!G15,BS_RE33!$F$7:$F$874,'30 days CF Table(GBP)'!$C$2)</f>
        <v>0</v>
      </c>
      <c r="AF15" s="337">
        <f>SUMIFS(BS_RE33!$H$7:$H$874,BS_RE33!$S$7:$S$874,$AF$2,BS_RE33!$N$7:$N$874,I15,BS_RE33!$P$7:$P$874,'30 days CF Table(GBP)'!G15,BS_RE33!$F$7:$F$874,'30 days CF Table(GBP)'!$C$2)</f>
        <v>0</v>
      </c>
      <c r="AG15" s="337">
        <f>SUMIFS(BS_RE33!$H$7:$H$874,BS_RE33!$S$7:$S$874,$AG$2,BS_RE33!$N$7:$N$874,I15,BS_RE33!$P$7:$P$874,'30 days CF Table(GBP)'!G15,BS_RE33!$F$7:$F$874,'30 days CF Table(GBP)'!$C$2)</f>
        <v>0</v>
      </c>
      <c r="AH15" s="337">
        <f>SUMIFS(BS_RE33!$H$7:$H$874,BS_RE33!$S$7:$S$874,$AH$2,BS_RE33!$N$7:$N$874,I15,BS_RE33!$P$7:$P$874,'30 days CF Table(GBP)'!G15,BS_RE33!$F$7:$F$874,'30 days CF Table(GBP)'!$C$2)</f>
        <v>0</v>
      </c>
      <c r="AI15" s="337">
        <f>SUMIFS(BS_RE33!$H$7:$H$874,BS_RE33!$S$7:$S$874,$AI$2,BS_RE33!$N$7:$N$874,I15,BS_RE33!$P$7:$P$874,'30 days CF Table(GBP)'!G15,BS_RE33!$F$7:$F$874,'30 days CF Table(GBP)'!$C$2)</f>
        <v>0</v>
      </c>
      <c r="AJ15" s="337">
        <f>SUMIFS(BS_RE33!$H$7:$H$874,BS_RE33!$S$7:$S$874,$AJ$2,BS_RE33!$N$7:$N$874,I15,BS_RE33!$P$7:$P$874,'30 days CF Table(GBP)'!G15,BS_RE33!$F$7:$F$874,'30 days CF Table(GBP)'!$C$2)</f>
        <v>0</v>
      </c>
      <c r="AK15" s="337">
        <f>SUMIFS(BS_RE33!$H$7:$H$874,BS_RE33!$S$7:$S$874,$AK$2,BS_RE33!$N$7:$N$874,I15,BS_RE33!$P$7:$P$874,'30 days CF Table(GBP)'!G15,BS_RE33!$F$7:$F$874,'30 days CF Table(GBP)'!$C$2)</f>
        <v>0</v>
      </c>
      <c r="AL15" s="337">
        <f>SUMIFS(BS_RE33!$H$7:$H$874,BS_RE33!$S$7:$S$874,$AL$2,BS_RE33!$N$7:$N$874,I15,BS_RE33!$P$7:$P$874,'30 days CF Table(GBP)'!G15,BS_RE33!$F$7:$F$874,'30 days CF Table(GBP)'!$C$2)</f>
        <v>0</v>
      </c>
      <c r="AM15" s="337">
        <f>SUMIFS(BS_RE33!$H$7:$H$874,BS_RE33!$S$7:$S$874,$AM$2,BS_RE33!$N$7:$N$874,I15,BS_RE33!$P$7:$P$874,'30 days CF Table(GBP)'!G15,BS_RE33!$F$7:$F$874,'30 days CF Table(GBP)'!$C$2)</f>
        <v>0</v>
      </c>
      <c r="AN15" s="337">
        <f>SUMIFS(BS_RE33!$H$7:$H$874,BS_RE33!$S$7:$S$874,$AN$2,BS_RE33!$N$7:$N$874,I15,BS_RE33!$P$7:$P$874,'30 days CF Table(GBP)'!G15,BS_RE33!$F$7:$F$874,'30 days CF Table(GBP)'!$C$2)</f>
        <v>0</v>
      </c>
      <c r="AO15" s="337">
        <f>SUMIFS(BS_RE33!$H$7:$H$874,BS_RE33!$S$7:$S$874,$AO$2,BS_RE33!$N$7:$N$874,I15,BS_RE33!$P$7:$P$874,'30 days CF Table(GBP)'!G15,BS_RE33!$F$7:$F$874,'30 days CF Table(GBP)'!$C$2)</f>
        <v>0</v>
      </c>
      <c r="AP15" s="338">
        <f>SUMIFS(BS_RE33!$H$7:$H$874,BS_RE33!$S$7:$S$874,$AP$2,BS_RE33!$N$7:$N$874,I15,BS_RE33!$P$7:$P$874,'30 days CF Table(GBP)'!G15,BS_RE33!$F$7:$F$874,'30 days CF Table(GBP)'!$C$2)</f>
        <v>0</v>
      </c>
      <c r="AQ15" s="545"/>
      <c r="AR15" s="379">
        <f>SUMIFS(BS_RE33!$H$7:$H$874,BS_RE33!$S$7:$S$874,$AR$2,BS_RE33!$N$7:$N$874,I15,BS_RE33!$P$7:$P$874,'30 days CF Table(GBP)'!G15,BS_RE33!$F$7:$F$874,'30 days CF Table(GBP)'!$C$2)</f>
        <v>0</v>
      </c>
      <c r="AS15" s="379">
        <f>SUMIFS(BS_RE33!$H$7:$H$874,BS_RE33!$S$7:$S$874,$AS$2,BS_RE33!$N$7:$N$874,I15,BS_RE33!$P$7:$P$874,'30 days CF Table(GBP)'!G15,BS_RE33!$F$7:$F$874,'30 days CF Table(GBP)'!$C$2)</f>
        <v>0</v>
      </c>
      <c r="AT15" s="379">
        <f>SUMIFS(BS_RE33!$H$7:$H$874,BS_RE33!$S$7:$S$874,$AT$2,BS_RE33!$N$7:$N$874,I15,BS_RE33!$P$7:$P$874,'30 days CF Table(GBP)'!G15,BS_RE33!$F$7:$F$874,'30 days CF Table(GBP)'!$C$2)</f>
        <v>0</v>
      </c>
      <c r="AU15" s="379">
        <f>SUMIFS(BS_RE33!$H$7:$H$874,BS_RE33!$S$7:$S$874,$AU$2,BS_RE33!$N$7:$N$874,I15,BS_RE33!$P$7:$P$874,'30 days CF Table(GBP)'!G15,BS_RE33!$F$7:$F$874,'30 days CF Table(GBP)'!$C$2)</f>
        <v>0</v>
      </c>
      <c r="AV15" s="379">
        <f>SUMIFS(BS_RE33!$H$7:$H$874,BS_RE33!$S$7:$S$874,$AV$2,BS_RE33!$N$7:$N$874,I15,BS_RE33!$P$7:$P$874,'30 days CF Table(GBP)'!G15,BS_RE33!$F$7:$F$874,'30 days CF Table(GBP)'!$C$2)</f>
        <v>0</v>
      </c>
      <c r="AW15" s="379">
        <f>SUMIFS(BS_RE33!$H$7:$H$874,BS_RE33!$S$7:$S$874,$AW$2,BS_RE33!$N$7:$N$874,I15,BS_RE33!$P$7:$P$874,'30 days CF Table(GBP)'!G15,BS_RE33!$F$7:$F$874,'30 days CF Table(GBP)'!$C$2)</f>
        <v>0</v>
      </c>
      <c r="AX15" s="379">
        <f>SUMIFS(BS_RE33!$H$7:$H$874,BS_RE33!$S$7:$S$874,$AX$2,BS_RE33!$N$7:$N$874,I15,BS_RE33!$P$7:$P$874,'30 days CF Table(GBP)'!G15,BS_RE33!$F$7:$F$874,'30 days CF Table(GBP)'!$C$2)</f>
        <v>0</v>
      </c>
      <c r="AY15" s="379">
        <f>SUMIFS(BS_RE33!$H$7:$H$874,BS_RE33!$S$7:$S$874,$AY$2,BS_RE33!$N$7:$N$874,I15,BS_RE33!$P$7:$P$874,'30 days CF Table(GBP)'!G15,BS_RE33!$F$7:$F$874,'30 days CF Table(GBP)'!$C$2)</f>
        <v>0</v>
      </c>
      <c r="AZ15" s="379">
        <f>SUMIFS(BS_RE33!$H$7:$H$874,BS_RE33!$S$7:$S$874,$AZ$2,BS_RE33!$N$7:$N$874,I15,BS_RE33!$P$7:$P$874,'30 days CF Table(GBP)'!G15,BS_RE33!$F$7:$F$874,'30 days CF Table(GBP)'!$C$2)</f>
        <v>0</v>
      </c>
      <c r="BA15" s="379">
        <f>SUMIFS(BS_RE33!$H$7:$H$874,BS_RE33!$S$7:$S$874,$BA$2,BS_RE33!$N$7:$N$874,I15,BS_RE33!$P$7:$P$874,'30 days CF Table(GBP)'!G15,BS_RE33!$F$7:$F$874,'30 days CF Table(GBP)'!$C$2)</f>
        <v>0</v>
      </c>
      <c r="BB15" s="379">
        <f>SUMIFS(BS_RE33!$H$7:$H$874,BS_RE33!$S$7:$S$874,$BB$2,BS_RE33!$N$7:$N$874,I15,BS_RE33!$P$7:$P$874,'30 days CF Table(GBP)'!G15,BS_RE33!$F$7:$F$874,'30 days CF Table(GBP)'!$C$2)</f>
        <v>0</v>
      </c>
      <c r="BC15" s="379">
        <f>SUMIFS(BS_RE33!$H$7:$H$874,BS_RE33!$S$7:$S$874,$BC$2,BS_RE33!$N$7:$N$874,I15,BS_RE33!$P$7:$P$874,'30 days CF Table(GBP)'!G15,BS_RE33!$F$7:$F$874,'30 days CF Table(GBP)'!$C$2)</f>
        <v>0</v>
      </c>
      <c r="BD15" s="379">
        <f>SUMIFS(BS_RE33!$H$7:$H$874,BS_RE33!$S$7:$S$874,$BD$2,BS_RE33!$N$7:$N$874,I15,BS_RE33!$P$7:$P$874,'30 days CF Table(GBP)'!G15,BS_RE33!$F$7:$F$874,'30 days CF Table(GBP)'!$C$2)</f>
        <v>0</v>
      </c>
      <c r="BE15" s="379">
        <f>SUMIFS(BS_RE33!$H$7:$H$874,BS_RE33!$S$7:$S$874,$BE$2,BS_RE33!$N$7:$N$874,I15,BS_RE33!$P$7:$P$874,'30 days CF Table(GBP)'!G15,BS_RE33!$F$7:$F$874,'30 days CF Table(GBP)'!$C$2)</f>
        <v>0</v>
      </c>
      <c r="BF15" s="379">
        <f>SUMIFS(BS_RE33!$H$7:$H$874,BS_RE33!$S$7:$S$874,$BF$2,BS_RE33!$N$7:$N$874,I15,BS_RE33!$P$7:$P$874,'30 days CF Table(GBP)'!G15,BS_RE33!$F$7:$F$874,'30 days CF Table(GBP)'!$C$2)</f>
        <v>0</v>
      </c>
      <c r="BG15" s="379">
        <f>SUMIFS(BS_RE33!$H$7:$H$874,BS_RE33!$S$7:$S$874,$BG$2,BS_RE33!$N$7:$N$874,I15,BS_RE33!$P$7:$P$874,'30 days CF Table(GBP)'!G15,BS_RE33!$F$7:$F$874,'30 days CF Table(GBP)'!$C$2)</f>
        <v>0</v>
      </c>
      <c r="BH15" s="379">
        <f>SUMIFS(BS_RE33!$H$7:$H$874,BS_RE33!$S$7:$S$874,$BH$2,BS_RE33!$N$7:$N$874,I15,BS_RE33!$P$7:$P$874,'30 days CF Table(GBP)'!G15,BS_RE33!$F$7:$F$874,'30 days CF Table(GBP)'!$C$2)</f>
        <v>0</v>
      </c>
      <c r="BI15" s="379">
        <f>SUMIFS(BS_RE33!$H$7:$H$874,BS_RE33!$S$7:$S$874,$BI$2,BS_RE33!$N$7:$N$874,I15,BS_RE33!$P$7:$P$874,'30 days CF Table(GBP)'!G15,BS_RE33!$F$7:$F$874,'30 days CF Table(GBP)'!$C$2)</f>
        <v>0</v>
      </c>
      <c r="BJ15" s="379">
        <f>SUMIFS(BS_RE33!$H$7:$H$874,BS_RE33!$S$7:$S$874,$BJ$2,BS_RE33!$N$7:$N$874,I15,BS_RE33!$P$7:$P$874,'30 days CF Table(GBP)'!G15,BS_RE33!$F$7:$F$874,'30 days CF Table(GBP)'!$C$2)</f>
        <v>0</v>
      </c>
      <c r="BK15" s="379">
        <f>SUMIFS(BS_RE33!$H$7:$H$874,BS_RE33!$S$7:$S$874,$BK$2,BS_RE33!$N$7:$N$874,I15,BS_RE33!$P$7:$P$874,'30 days CF Table(GBP)'!G15,BS_RE33!$F$7:$F$874,'30 days CF Table(GBP)'!$C$2)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Table(GBP)'!G16,BS_RE33!$F$7:$F$874,'30 days CF Table(GBP)'!$C$2)</f>
        <v>0</v>
      </c>
      <c r="M16" s="337">
        <f>SUMIFS(BS_RE33!$H$7:$H$874,BS_RE33!$S$7:$S$874,$M$2,BS_RE33!$N$7:$N$874,I16,BS_RE33!$P$7:$P$874,'30 days CF Table(GBP)'!G16,BS_RE33!$F$7:$F$874,'30 days CF Table(GBP)'!$C$2)</f>
        <v>0</v>
      </c>
      <c r="N16" s="337">
        <f>SUMIFS(BS_RE33!$H$7:$H$874,BS_RE33!$S$7:$S$874,$N$2,BS_RE33!$N$7:$N$874,I16,BS_RE33!$P$7:$P$874,'30 days CF Table(GBP)'!G16,BS_RE33!$F$7:$F$874,'30 days CF Table(GBP)'!$C$2)</f>
        <v>0</v>
      </c>
      <c r="O16" s="337">
        <f>SUMIFS(BS_RE33!$H$7:$H$874,BS_RE33!$S$7:$S$874,$O$2,BS_RE33!$N$7:$N$874,I16,BS_RE33!$P$7:$P$874,'30 days CF Table(GBP)'!G16,BS_RE33!$F$7:$F$874,'30 days CF Table(GBP)'!$C$2)</f>
        <v>0</v>
      </c>
      <c r="P16" s="337">
        <f>SUMIFS(BS_RE33!$H$7:$H$874,BS_RE33!$S$7:$S$874,$P$2,BS_RE33!$N$7:$N$874,I16,BS_RE33!$P$7:$P$874,'30 days CF Table(GBP)'!G16,BS_RE33!$F$7:$F$874,'30 days CF Table(GBP)'!$C$2)</f>
        <v>0</v>
      </c>
      <c r="Q16" s="337">
        <f>SUMIFS(BS_RE33!$H$7:$H$874,BS_RE33!$S$7:$S$874,$Q$2,BS_RE33!$N$7:$N$874,I16,BS_RE33!$P$7:$P$874,'30 days CF Table(GBP)'!G16,BS_RE33!$F$7:$F$874,'30 days CF Table(GBP)'!$C$2)</f>
        <v>0</v>
      </c>
      <c r="R16" s="337">
        <f>SUMIFS(BS_RE33!$H$7:$H$874,BS_RE33!$S$7:$S$874,$R$2,BS_RE33!$N$7:$N$874,I16,BS_RE33!$P$7:$P$874,'30 days CF Table(GBP)'!G16,BS_RE33!$F$7:$F$874,'30 days CF Table(GBP)'!$C$2)</f>
        <v>0</v>
      </c>
      <c r="S16" s="337">
        <f>SUMIFS(BS_RE33!$H$7:$H$874,BS_RE33!$S$7:$S$874,$S$2,BS_RE33!$N$7:$N$874,I16,BS_RE33!$P$7:$P$874,'30 days CF Table(GBP)'!G16,BS_RE33!$F$7:$F$874,'30 days CF Table(GBP)'!$C$2)</f>
        <v>0</v>
      </c>
      <c r="T16" s="337">
        <f>SUMIFS(BS_RE33!$H$7:$H$874,BS_RE33!$S$7:$S$874,$T$2,BS_RE33!$N$7:$N$874,I16,BS_RE33!$P$7:$P$874,'30 days CF Table(GBP)'!G16,BS_RE33!$F$7:$F$874,'30 days CF Table(GBP)'!$C$2)</f>
        <v>0</v>
      </c>
      <c r="U16" s="337">
        <f>SUMIFS(BS_RE33!$H$7:$H$874,BS_RE33!$S$7:$S$874,$U$2,BS_RE33!$N$7:$N$874,I16,BS_RE33!$P$7:$P$874,'30 days CF Table(GBP)'!G16,BS_RE33!$F$7:$F$874,'30 days CF Table(GBP)'!$C$2)</f>
        <v>0</v>
      </c>
      <c r="V16" s="337">
        <f>SUMIFS(BS_RE33!$H$7:$H$874,BS_RE33!$S$7:$S$874,$V$2,BS_RE33!$N$7:$N$874,I16,BS_RE33!$P$7:$P$874,'30 days CF Table(GBP)'!G16,BS_RE33!$F$7:$F$874,'30 days CF Table(GBP)'!$C$2)</f>
        <v>0</v>
      </c>
      <c r="W16" s="337">
        <f>SUMIFS(BS_RE33!$H$7:$H$874,BS_RE33!$S$7:$S$874,$W$2,BS_RE33!$N$7:$N$874,I16,BS_RE33!$P$7:$P$874,'30 days CF Table(GBP)'!G16,BS_RE33!$F$7:$F$874,'30 days CF Table(GBP)'!$C$2)</f>
        <v>0</v>
      </c>
      <c r="X16" s="337">
        <f>SUMIFS(BS_RE33!$H$7:$H$874,BS_RE33!$S$7:$S$874,$X$2,BS_RE33!$N$7:$N$874,I16,BS_RE33!$P$7:$P$874,'30 days CF Table(GBP)'!G16,BS_RE33!$F$7:$F$874,'30 days CF Table(GBP)'!$C$2)</f>
        <v>0</v>
      </c>
      <c r="Y16" s="337">
        <f>SUMIFS(BS_RE33!$H$7:$H$874,BS_RE33!$S$7:$S$874,$Y$2,BS_RE33!$N$7:$N$874,I16,BS_RE33!$P$7:$P$874,'30 days CF Table(GBP)'!G16,BS_RE33!$F$7:$F$874,'30 days CF Table(GBP)'!$C$2)</f>
        <v>0</v>
      </c>
      <c r="Z16" s="337">
        <f>SUMIFS(BS_RE33!$H$7:$H$874,BS_RE33!$S$7:$S$874,$Z$2,BS_RE33!$N$7:$N$874,I16,BS_RE33!$P$7:$P$874,'30 days CF Table(GBP)'!G16,BS_RE33!$F$7:$F$874,'30 days CF Table(GBP)'!$C$2)</f>
        <v>0</v>
      </c>
      <c r="AA16" s="337">
        <f>SUMIFS(BS_RE33!$H$7:$H$874,BS_RE33!$S$7:$S$874,$AA$2,BS_RE33!$N$7:$N$874,I16,BS_RE33!$P$7:$P$874,'30 days CF Table(GBP)'!G16,BS_RE33!$F$7:$F$874,'30 days CF Table(GBP)'!$C$2)</f>
        <v>0</v>
      </c>
      <c r="AB16" s="337">
        <f>SUMIFS(BS_RE33!$H$7:$H$874,BS_RE33!$S$7:$S$874,$AB$2,BS_RE33!$N$7:$N$874,I16,BS_RE33!$P$7:$P$874,'30 days CF Table(GBP)'!G16,BS_RE33!$F$7:$F$874,'30 days CF Table(GBP)'!$C$2)</f>
        <v>0</v>
      </c>
      <c r="AC16" s="337">
        <f>SUMIFS(BS_RE33!$H$7:$H$874,BS_RE33!$S$7:$S$874,$AC$2,BS_RE33!$N$7:$N$874,I16,BS_RE33!$P$7:$P$874,'30 days CF Table(GBP)'!G16,BS_RE33!$F$7:$F$874,'30 days CF Table(GBP)'!$C$2)</f>
        <v>0</v>
      </c>
      <c r="AD16" s="337">
        <f>SUMIFS(BS_RE33!$H$7:$H$874,BS_RE33!$S$7:$S$874,$AD$2,BS_RE33!$N$7:$N$874,I16,BS_RE33!$P$7:$P$874,'30 days CF Table(GBP)'!G16,BS_RE33!$F$7:$F$874,'30 days CF Table(GBP)'!$C$2)</f>
        <v>0</v>
      </c>
      <c r="AE16" s="337">
        <f>SUMIFS(BS_RE33!$H$7:$H$874,BS_RE33!$S$7:$S$874,$AE$2,BS_RE33!$N$7:$N$874,I16,BS_RE33!$P$7:$P$874,'30 days CF Table(GBP)'!G16,BS_RE33!$F$7:$F$874,'30 days CF Table(GBP)'!$C$2)</f>
        <v>0</v>
      </c>
      <c r="AF16" s="337">
        <f>SUMIFS(BS_RE33!$H$7:$H$874,BS_RE33!$S$7:$S$874,$AF$2,BS_RE33!$N$7:$N$874,I16,BS_RE33!$P$7:$P$874,'30 days CF Table(GBP)'!G16,BS_RE33!$F$7:$F$874,'30 days CF Table(GBP)'!$C$2)</f>
        <v>0</v>
      </c>
      <c r="AG16" s="337">
        <f>SUMIFS(BS_RE33!$H$7:$H$874,BS_RE33!$S$7:$S$874,$AG$2,BS_RE33!$N$7:$N$874,I16,BS_RE33!$P$7:$P$874,'30 days CF Table(GBP)'!G16,BS_RE33!$F$7:$F$874,'30 days CF Table(GBP)'!$C$2)</f>
        <v>0</v>
      </c>
      <c r="AH16" s="337">
        <f>SUMIFS(BS_RE33!$H$7:$H$874,BS_RE33!$S$7:$S$874,$AH$2,BS_RE33!$N$7:$N$874,I16,BS_RE33!$P$7:$P$874,'30 days CF Table(GBP)'!G16,BS_RE33!$F$7:$F$874,'30 days CF Table(GBP)'!$C$2)</f>
        <v>0</v>
      </c>
      <c r="AI16" s="337">
        <f>SUMIFS(BS_RE33!$H$7:$H$874,BS_RE33!$S$7:$S$874,$AI$2,BS_RE33!$N$7:$N$874,I16,BS_RE33!$P$7:$P$874,'30 days CF Table(GBP)'!G16,BS_RE33!$F$7:$F$874,'30 days CF Table(GBP)'!$C$2)</f>
        <v>0</v>
      </c>
      <c r="AJ16" s="337">
        <f>SUMIFS(BS_RE33!$H$7:$H$874,BS_RE33!$S$7:$S$874,$AJ$2,BS_RE33!$N$7:$N$874,I16,BS_RE33!$P$7:$P$874,'30 days CF Table(GBP)'!G16,BS_RE33!$F$7:$F$874,'30 days CF Table(GBP)'!$C$2)</f>
        <v>0</v>
      </c>
      <c r="AK16" s="337">
        <f>SUMIFS(BS_RE33!$H$7:$H$874,BS_RE33!$S$7:$S$874,$AK$2,BS_RE33!$N$7:$N$874,I16,BS_RE33!$P$7:$P$874,'30 days CF Table(GBP)'!G16,BS_RE33!$F$7:$F$874,'30 days CF Table(GBP)'!$C$2)</f>
        <v>0</v>
      </c>
      <c r="AL16" s="337">
        <f>SUMIFS(BS_RE33!$H$7:$H$874,BS_RE33!$S$7:$S$874,$AL$2,BS_RE33!$N$7:$N$874,I16,BS_RE33!$P$7:$P$874,'30 days CF Table(GBP)'!G16,BS_RE33!$F$7:$F$874,'30 days CF Table(GBP)'!$C$2)</f>
        <v>0</v>
      </c>
      <c r="AM16" s="337">
        <f>SUMIFS(BS_RE33!$H$7:$H$874,BS_RE33!$S$7:$S$874,$AM$2,BS_RE33!$N$7:$N$874,I16,BS_RE33!$P$7:$P$874,'30 days CF Table(GBP)'!G16,BS_RE33!$F$7:$F$874,'30 days CF Table(GBP)'!$C$2)</f>
        <v>0</v>
      </c>
      <c r="AN16" s="337">
        <f>SUMIFS(BS_RE33!$H$7:$H$874,BS_RE33!$S$7:$S$874,$AN$2,BS_RE33!$N$7:$N$874,I16,BS_RE33!$P$7:$P$874,'30 days CF Table(GBP)'!G16,BS_RE33!$F$7:$F$874,'30 days CF Table(GBP)'!$C$2)</f>
        <v>0</v>
      </c>
      <c r="AO16" s="337">
        <f>SUMIFS(BS_RE33!$H$7:$H$874,BS_RE33!$S$7:$S$874,$AO$2,BS_RE33!$N$7:$N$874,I16,BS_RE33!$P$7:$P$874,'30 days CF Table(GBP)'!G16,BS_RE33!$F$7:$F$874,'30 days CF Table(GBP)'!$C$2)</f>
        <v>0</v>
      </c>
      <c r="AP16" s="338">
        <f>SUMIFS(BS_RE33!$H$7:$H$874,BS_RE33!$S$7:$S$874,$AP$2,BS_RE33!$N$7:$N$874,I16,BS_RE33!$P$7:$P$874,'30 days CF Table(GBP)'!G16,BS_RE33!$F$7:$F$874,'30 days CF Table(GBP)'!$C$2)</f>
        <v>0</v>
      </c>
      <c r="AQ16" s="545"/>
      <c r="AR16" s="379">
        <f>SUMIFS(BS_RE33!$H$7:$H$874,BS_RE33!$S$7:$S$874,$AR$2,BS_RE33!$N$7:$N$874,I16,BS_RE33!$P$7:$P$874,'30 days CF Table(GBP)'!G16,BS_RE33!$F$7:$F$874,'30 days CF Table(GBP)'!$C$2)</f>
        <v>0</v>
      </c>
      <c r="AS16" s="379">
        <f>SUMIFS(BS_RE33!$H$7:$H$874,BS_RE33!$S$7:$S$874,$AS$2,BS_RE33!$N$7:$N$874,I16,BS_RE33!$P$7:$P$874,'30 days CF Table(GBP)'!G16,BS_RE33!$F$7:$F$874,'30 days CF Table(GBP)'!$C$2)</f>
        <v>0</v>
      </c>
      <c r="AT16" s="379">
        <f>SUMIFS(BS_RE33!$H$7:$H$874,BS_RE33!$S$7:$S$874,$AT$2,BS_RE33!$N$7:$N$874,I16,BS_RE33!$P$7:$P$874,'30 days CF Table(GBP)'!G16,BS_RE33!$F$7:$F$874,'30 days CF Table(GBP)'!$C$2)</f>
        <v>0</v>
      </c>
      <c r="AU16" s="379">
        <f>SUMIFS(BS_RE33!$H$7:$H$874,BS_RE33!$S$7:$S$874,$AU$2,BS_RE33!$N$7:$N$874,I16,BS_RE33!$P$7:$P$874,'30 days CF Table(GBP)'!G16,BS_RE33!$F$7:$F$874,'30 days CF Table(GBP)'!$C$2)</f>
        <v>0</v>
      </c>
      <c r="AV16" s="379">
        <f>SUMIFS(BS_RE33!$H$7:$H$874,BS_RE33!$S$7:$S$874,$AV$2,BS_RE33!$N$7:$N$874,I16,BS_RE33!$P$7:$P$874,'30 days CF Table(GBP)'!G16,BS_RE33!$F$7:$F$874,'30 days CF Table(GBP)'!$C$2)</f>
        <v>0</v>
      </c>
      <c r="AW16" s="379">
        <f>SUMIFS(BS_RE33!$H$7:$H$874,BS_RE33!$S$7:$S$874,$AW$2,BS_RE33!$N$7:$N$874,I16,BS_RE33!$P$7:$P$874,'30 days CF Table(GBP)'!G16,BS_RE33!$F$7:$F$874,'30 days CF Table(GBP)'!$C$2)</f>
        <v>0</v>
      </c>
      <c r="AX16" s="379">
        <f>SUMIFS(BS_RE33!$H$7:$H$874,BS_RE33!$S$7:$S$874,$AX$2,BS_RE33!$N$7:$N$874,I16,BS_RE33!$P$7:$P$874,'30 days CF Table(GBP)'!G16,BS_RE33!$F$7:$F$874,'30 days CF Table(GBP)'!$C$2)</f>
        <v>0</v>
      </c>
      <c r="AY16" s="379">
        <f>SUMIFS(BS_RE33!$H$7:$H$874,BS_RE33!$S$7:$S$874,$AY$2,BS_RE33!$N$7:$N$874,I16,BS_RE33!$P$7:$P$874,'30 days CF Table(GBP)'!G16,BS_RE33!$F$7:$F$874,'30 days CF Table(GBP)'!$C$2)</f>
        <v>0</v>
      </c>
      <c r="AZ16" s="379">
        <f>SUMIFS(BS_RE33!$H$7:$H$874,BS_RE33!$S$7:$S$874,$AZ$2,BS_RE33!$N$7:$N$874,I16,BS_RE33!$P$7:$P$874,'30 days CF Table(GBP)'!G16,BS_RE33!$F$7:$F$874,'30 days CF Table(GBP)'!$C$2)</f>
        <v>0</v>
      </c>
      <c r="BA16" s="379">
        <f>SUMIFS(BS_RE33!$H$7:$H$874,BS_RE33!$S$7:$S$874,$BA$2,BS_RE33!$N$7:$N$874,I16,BS_RE33!$P$7:$P$874,'30 days CF Table(GBP)'!G16,BS_RE33!$F$7:$F$874,'30 days CF Table(GBP)'!$C$2)</f>
        <v>0</v>
      </c>
      <c r="BB16" s="379">
        <f>SUMIFS(BS_RE33!$H$7:$H$874,BS_RE33!$S$7:$S$874,$BB$2,BS_RE33!$N$7:$N$874,I16,BS_RE33!$P$7:$P$874,'30 days CF Table(GBP)'!G16,BS_RE33!$F$7:$F$874,'30 days CF Table(GBP)'!$C$2)</f>
        <v>0</v>
      </c>
      <c r="BC16" s="379">
        <f>SUMIFS(BS_RE33!$H$7:$H$874,BS_RE33!$S$7:$S$874,$BC$2,BS_RE33!$N$7:$N$874,I16,BS_RE33!$P$7:$P$874,'30 days CF Table(GBP)'!G16,BS_RE33!$F$7:$F$874,'30 days CF Table(GBP)'!$C$2)</f>
        <v>0</v>
      </c>
      <c r="BD16" s="379">
        <f>SUMIFS(BS_RE33!$H$7:$H$874,BS_RE33!$S$7:$S$874,$BD$2,BS_RE33!$N$7:$N$874,I16,BS_RE33!$P$7:$P$874,'30 days CF Table(GBP)'!G16,BS_RE33!$F$7:$F$874,'30 days CF Table(GBP)'!$C$2)</f>
        <v>0</v>
      </c>
      <c r="BE16" s="379">
        <f>SUMIFS(BS_RE33!$H$7:$H$874,BS_RE33!$S$7:$S$874,$BE$2,BS_RE33!$N$7:$N$874,I16,BS_RE33!$P$7:$P$874,'30 days CF Table(GBP)'!G16,BS_RE33!$F$7:$F$874,'30 days CF Table(GBP)'!$C$2)</f>
        <v>0</v>
      </c>
      <c r="BF16" s="379">
        <f>SUMIFS(BS_RE33!$H$7:$H$874,BS_RE33!$S$7:$S$874,$BF$2,BS_RE33!$N$7:$N$874,I16,BS_RE33!$P$7:$P$874,'30 days CF Table(GBP)'!G16,BS_RE33!$F$7:$F$874,'30 days CF Table(GBP)'!$C$2)</f>
        <v>0</v>
      </c>
      <c r="BG16" s="379">
        <f>SUMIFS(BS_RE33!$H$7:$H$874,BS_RE33!$S$7:$S$874,$BG$2,BS_RE33!$N$7:$N$874,I16,BS_RE33!$P$7:$P$874,'30 days CF Table(GBP)'!G16,BS_RE33!$F$7:$F$874,'30 days CF Table(GBP)'!$C$2)</f>
        <v>0</v>
      </c>
      <c r="BH16" s="379">
        <f>SUMIFS(BS_RE33!$H$7:$H$874,BS_RE33!$S$7:$S$874,$BH$2,BS_RE33!$N$7:$N$874,I16,BS_RE33!$P$7:$P$874,'30 days CF Table(GBP)'!G16,BS_RE33!$F$7:$F$874,'30 days CF Table(GBP)'!$C$2)</f>
        <v>0</v>
      </c>
      <c r="BI16" s="379">
        <f>SUMIFS(BS_RE33!$H$7:$H$874,BS_RE33!$S$7:$S$874,$BI$2,BS_RE33!$N$7:$N$874,I16,BS_RE33!$P$7:$P$874,'30 days CF Table(GBP)'!G16,BS_RE33!$F$7:$F$874,'30 days CF Table(GBP)'!$C$2)</f>
        <v>0</v>
      </c>
      <c r="BJ16" s="379">
        <f>SUMIFS(BS_RE33!$H$7:$H$874,BS_RE33!$S$7:$S$874,$BJ$2,BS_RE33!$N$7:$N$874,I16,BS_RE33!$P$7:$P$874,'30 days CF Table(GBP)'!G16,BS_RE33!$F$7:$F$874,'30 days CF Table(GBP)'!$C$2)</f>
        <v>0</v>
      </c>
      <c r="BK16" s="379">
        <f>SUMIFS(BS_RE33!$H$7:$H$874,BS_RE33!$S$7:$S$874,$BK$2,BS_RE33!$N$7:$N$874,I16,BS_RE33!$P$7:$P$874,'30 days CF Table(GBP)'!G16,BS_RE33!$F$7:$F$874,'30 days CF Table(GBP)'!$C$2)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Table(GBP)'!G17,BS_RE33!$F$7:$F$874,'30 days CF Table(GBP)'!$C$2)</f>
        <v>0</v>
      </c>
      <c r="M17" s="337">
        <f>SUMIFS(BS_RE33!$H$7:$H$874,BS_RE33!$S$7:$S$874,$M$2,BS_RE33!$N$7:$N$874,I17,BS_RE33!$P$7:$P$874,'30 days CF Table(GBP)'!G17,BS_RE33!$F$7:$F$874,'30 days CF Table(GBP)'!$C$2)</f>
        <v>0</v>
      </c>
      <c r="N17" s="337">
        <f>SUMIFS(BS_RE33!$H$7:$H$874,BS_RE33!$S$7:$S$874,$N$2,BS_RE33!$N$7:$N$874,I17,BS_RE33!$P$7:$P$874,'30 days CF Table(GBP)'!G17,BS_RE33!$F$7:$F$874,'30 days CF Table(GBP)'!$C$2)</f>
        <v>0</v>
      </c>
      <c r="O17" s="337">
        <f>SUMIFS(BS_RE33!$H$7:$H$874,BS_RE33!$S$7:$S$874,$O$2,BS_RE33!$N$7:$N$874,I17,BS_RE33!$P$7:$P$874,'30 days CF Table(GBP)'!G17,BS_RE33!$F$7:$F$874,'30 days CF Table(GBP)'!$C$2)</f>
        <v>0</v>
      </c>
      <c r="P17" s="337">
        <f>SUMIFS(BS_RE33!$H$7:$H$874,BS_RE33!$S$7:$S$874,$P$2,BS_RE33!$N$7:$N$874,I17,BS_RE33!$P$7:$P$874,'30 days CF Table(GBP)'!G17,BS_RE33!$F$7:$F$874,'30 days CF Table(GBP)'!$C$2)</f>
        <v>0</v>
      </c>
      <c r="Q17" s="337">
        <f>SUMIFS(BS_RE33!$H$7:$H$874,BS_RE33!$S$7:$S$874,$Q$2,BS_RE33!$N$7:$N$874,I17,BS_RE33!$P$7:$P$874,'30 days CF Table(GBP)'!G17,BS_RE33!$F$7:$F$874,'30 days CF Table(GBP)'!$C$2)</f>
        <v>0</v>
      </c>
      <c r="R17" s="337">
        <f>SUMIFS(BS_RE33!$H$7:$H$874,BS_RE33!$S$7:$S$874,$R$2,BS_RE33!$N$7:$N$874,I17,BS_RE33!$P$7:$P$874,'30 days CF Table(GBP)'!G17,BS_RE33!$F$7:$F$874,'30 days CF Table(GBP)'!$C$2)</f>
        <v>0</v>
      </c>
      <c r="S17" s="337">
        <f>SUMIFS(BS_RE33!$H$7:$H$874,BS_RE33!$S$7:$S$874,$S$2,BS_RE33!$N$7:$N$874,I17,BS_RE33!$P$7:$P$874,'30 days CF Table(GBP)'!G17,BS_RE33!$F$7:$F$874,'30 days CF Table(GBP)'!$C$2)</f>
        <v>0</v>
      </c>
      <c r="T17" s="337">
        <f>SUMIFS(BS_RE33!$H$7:$H$874,BS_RE33!$S$7:$S$874,$T$2,BS_RE33!$N$7:$N$874,I17,BS_RE33!$P$7:$P$874,'30 days CF Table(GBP)'!G17,BS_RE33!$F$7:$F$874,'30 days CF Table(GBP)'!$C$2)</f>
        <v>0</v>
      </c>
      <c r="U17" s="337">
        <f>SUMIFS(BS_RE33!$H$7:$H$874,BS_RE33!$S$7:$S$874,$U$2,BS_RE33!$N$7:$N$874,I17,BS_RE33!$P$7:$P$874,'30 days CF Table(GBP)'!G17,BS_RE33!$F$7:$F$874,'30 days CF Table(GBP)'!$C$2)</f>
        <v>0</v>
      </c>
      <c r="V17" s="337">
        <f>SUMIFS(BS_RE33!$H$7:$H$874,BS_RE33!$S$7:$S$874,$V$2,BS_RE33!$N$7:$N$874,I17,BS_RE33!$P$7:$P$874,'30 days CF Table(GBP)'!G17,BS_RE33!$F$7:$F$874,'30 days CF Table(GBP)'!$C$2)</f>
        <v>0</v>
      </c>
      <c r="W17" s="337">
        <f>SUMIFS(BS_RE33!$H$7:$H$874,BS_RE33!$S$7:$S$874,$W$2,BS_RE33!$N$7:$N$874,I17,BS_RE33!$P$7:$P$874,'30 days CF Table(GBP)'!G17,BS_RE33!$F$7:$F$874,'30 days CF Table(GBP)'!$C$2)</f>
        <v>0</v>
      </c>
      <c r="X17" s="337">
        <f>SUMIFS(BS_RE33!$H$7:$H$874,BS_RE33!$S$7:$S$874,$X$2,BS_RE33!$N$7:$N$874,I17,BS_RE33!$P$7:$P$874,'30 days CF Table(GBP)'!G17,BS_RE33!$F$7:$F$874,'30 days CF Table(GBP)'!$C$2)</f>
        <v>0</v>
      </c>
      <c r="Y17" s="337">
        <f>SUMIFS(BS_RE33!$H$7:$H$874,BS_RE33!$S$7:$S$874,$Y$2,BS_RE33!$N$7:$N$874,I17,BS_RE33!$P$7:$P$874,'30 days CF Table(GBP)'!G17,BS_RE33!$F$7:$F$874,'30 days CF Table(GBP)'!$C$2)</f>
        <v>0</v>
      </c>
      <c r="Z17" s="337">
        <f>SUMIFS(BS_RE33!$H$7:$H$874,BS_RE33!$S$7:$S$874,$Z$2,BS_RE33!$N$7:$N$874,I17,BS_RE33!$P$7:$P$874,'30 days CF Table(GBP)'!G17,BS_RE33!$F$7:$F$874,'30 days CF Table(GBP)'!$C$2)</f>
        <v>0</v>
      </c>
      <c r="AA17" s="337">
        <f>SUMIFS(BS_RE33!$H$7:$H$874,BS_RE33!$S$7:$S$874,$AA$2,BS_RE33!$N$7:$N$874,I17,BS_RE33!$P$7:$P$874,'30 days CF Table(GBP)'!G17,BS_RE33!$F$7:$F$874,'30 days CF Table(GBP)'!$C$2)</f>
        <v>0</v>
      </c>
      <c r="AB17" s="337">
        <f>SUMIFS(BS_RE33!$H$7:$H$874,BS_RE33!$S$7:$S$874,$AB$2,BS_RE33!$N$7:$N$874,I17,BS_RE33!$P$7:$P$874,'30 days CF Table(GBP)'!G17,BS_RE33!$F$7:$F$874,'30 days CF Table(GBP)'!$C$2)</f>
        <v>0</v>
      </c>
      <c r="AC17" s="337">
        <f>SUMIFS(BS_RE33!$H$7:$H$874,BS_RE33!$S$7:$S$874,$AC$2,BS_RE33!$N$7:$N$874,I17,BS_RE33!$P$7:$P$874,'30 days CF Table(GBP)'!G17,BS_RE33!$F$7:$F$874,'30 days CF Table(GBP)'!$C$2)</f>
        <v>0</v>
      </c>
      <c r="AD17" s="337">
        <f>SUMIFS(BS_RE33!$H$7:$H$874,BS_RE33!$S$7:$S$874,$AD$2,BS_RE33!$N$7:$N$874,I17,BS_RE33!$P$7:$P$874,'30 days CF Table(GBP)'!G17,BS_RE33!$F$7:$F$874,'30 days CF Table(GBP)'!$C$2)</f>
        <v>0</v>
      </c>
      <c r="AE17" s="337">
        <f>SUMIFS(BS_RE33!$H$7:$H$874,BS_RE33!$S$7:$S$874,$AE$2,BS_RE33!$N$7:$N$874,I17,BS_RE33!$P$7:$P$874,'30 days CF Table(GBP)'!G17,BS_RE33!$F$7:$F$874,'30 days CF Table(GBP)'!$C$2)</f>
        <v>0</v>
      </c>
      <c r="AF17" s="337">
        <f>SUMIFS(BS_RE33!$H$7:$H$874,BS_RE33!$S$7:$S$874,$AF$2,BS_RE33!$N$7:$N$874,I17,BS_RE33!$P$7:$P$874,'30 days CF Table(GBP)'!G17,BS_RE33!$F$7:$F$874,'30 days CF Table(GBP)'!$C$2)</f>
        <v>0</v>
      </c>
      <c r="AG17" s="337">
        <f>SUMIFS(BS_RE33!$H$7:$H$874,BS_RE33!$S$7:$S$874,$AG$2,BS_RE33!$N$7:$N$874,I17,BS_RE33!$P$7:$P$874,'30 days CF Table(GBP)'!G17,BS_RE33!$F$7:$F$874,'30 days CF Table(GBP)'!$C$2)</f>
        <v>0</v>
      </c>
      <c r="AH17" s="337">
        <f>SUMIFS(BS_RE33!$H$7:$H$874,BS_RE33!$S$7:$S$874,$AH$2,BS_RE33!$N$7:$N$874,I17,BS_RE33!$P$7:$P$874,'30 days CF Table(GBP)'!G17,BS_RE33!$F$7:$F$874,'30 days CF Table(GBP)'!$C$2)</f>
        <v>0</v>
      </c>
      <c r="AI17" s="337">
        <f>SUMIFS(BS_RE33!$H$7:$H$874,BS_RE33!$S$7:$S$874,$AI$2,BS_RE33!$N$7:$N$874,I17,BS_RE33!$P$7:$P$874,'30 days CF Table(GBP)'!G17,BS_RE33!$F$7:$F$874,'30 days CF Table(GBP)'!$C$2)</f>
        <v>0</v>
      </c>
      <c r="AJ17" s="337">
        <f>SUMIFS(BS_RE33!$H$7:$H$874,BS_RE33!$S$7:$S$874,$AJ$2,BS_RE33!$N$7:$N$874,I17,BS_RE33!$P$7:$P$874,'30 days CF Table(GBP)'!G17,BS_RE33!$F$7:$F$874,'30 days CF Table(GBP)'!$C$2)</f>
        <v>0</v>
      </c>
      <c r="AK17" s="337">
        <f>SUMIFS(BS_RE33!$H$7:$H$874,BS_RE33!$S$7:$S$874,$AK$2,BS_RE33!$N$7:$N$874,I17,BS_RE33!$P$7:$P$874,'30 days CF Table(GBP)'!G17,BS_RE33!$F$7:$F$874,'30 days CF Table(GBP)'!$C$2)</f>
        <v>0</v>
      </c>
      <c r="AL17" s="337">
        <f>SUMIFS(BS_RE33!$H$7:$H$874,BS_RE33!$S$7:$S$874,$AL$2,BS_RE33!$N$7:$N$874,I17,BS_RE33!$P$7:$P$874,'30 days CF Table(GBP)'!G17,BS_RE33!$F$7:$F$874,'30 days CF Table(GBP)'!$C$2)</f>
        <v>0</v>
      </c>
      <c r="AM17" s="337">
        <f>SUMIFS(BS_RE33!$H$7:$H$874,BS_RE33!$S$7:$S$874,$AM$2,BS_RE33!$N$7:$N$874,I17,BS_RE33!$P$7:$P$874,'30 days CF Table(GBP)'!G17,BS_RE33!$F$7:$F$874,'30 days CF Table(GBP)'!$C$2)</f>
        <v>0</v>
      </c>
      <c r="AN17" s="337">
        <f>SUMIFS(BS_RE33!$H$7:$H$874,BS_RE33!$S$7:$S$874,$AN$2,BS_RE33!$N$7:$N$874,I17,BS_RE33!$P$7:$P$874,'30 days CF Table(GBP)'!G17,BS_RE33!$F$7:$F$874,'30 days CF Table(GBP)'!$C$2)</f>
        <v>0</v>
      </c>
      <c r="AO17" s="337">
        <f>SUMIFS(BS_RE33!$H$7:$H$874,BS_RE33!$S$7:$S$874,$AO$2,BS_RE33!$N$7:$N$874,I17,BS_RE33!$P$7:$P$874,'30 days CF Table(GBP)'!G17,BS_RE33!$F$7:$F$874,'30 days CF Table(GBP)'!$C$2)</f>
        <v>0</v>
      </c>
      <c r="AP17" s="338">
        <f>SUMIFS(BS_RE33!$H$7:$H$874,BS_RE33!$S$7:$S$874,$AP$2,BS_RE33!$N$7:$N$874,I17,BS_RE33!$P$7:$P$874,'30 days CF Table(GBP)'!G17,BS_RE33!$F$7:$F$874,'30 days CF Table(GBP)'!$C$2)</f>
        <v>0</v>
      </c>
      <c r="AQ17" s="545"/>
      <c r="AR17" s="379">
        <f>SUMIFS(BS_RE33!$H$7:$H$874,BS_RE33!$S$7:$S$874,$AR$2,BS_RE33!$N$7:$N$874,I17,BS_RE33!$P$7:$P$874,'30 days CF Table(GBP)'!G17,BS_RE33!$F$7:$F$874,'30 days CF Table(GBP)'!$C$2)</f>
        <v>0</v>
      </c>
      <c r="AS17" s="379">
        <f>SUMIFS(BS_RE33!$H$7:$H$874,BS_RE33!$S$7:$S$874,$AS$2,BS_RE33!$N$7:$N$874,I17,BS_RE33!$P$7:$P$874,'30 days CF Table(GBP)'!G17,BS_RE33!$F$7:$F$874,'30 days CF Table(GBP)'!$C$2)</f>
        <v>0</v>
      </c>
      <c r="AT17" s="379">
        <f>SUMIFS(BS_RE33!$H$7:$H$874,BS_RE33!$S$7:$S$874,$AT$2,BS_RE33!$N$7:$N$874,I17,BS_RE33!$P$7:$P$874,'30 days CF Table(GBP)'!G17,BS_RE33!$F$7:$F$874,'30 days CF Table(GBP)'!$C$2)</f>
        <v>0</v>
      </c>
      <c r="AU17" s="379">
        <f>SUMIFS(BS_RE33!$H$7:$H$874,BS_RE33!$S$7:$S$874,$AU$2,BS_RE33!$N$7:$N$874,I17,BS_RE33!$P$7:$P$874,'30 days CF Table(GBP)'!G17,BS_RE33!$F$7:$F$874,'30 days CF Table(GBP)'!$C$2)</f>
        <v>0</v>
      </c>
      <c r="AV17" s="379">
        <f>SUMIFS(BS_RE33!$H$7:$H$874,BS_RE33!$S$7:$S$874,$AV$2,BS_RE33!$N$7:$N$874,I17,BS_RE33!$P$7:$P$874,'30 days CF Table(GBP)'!G17,BS_RE33!$F$7:$F$874,'30 days CF Table(GBP)'!$C$2)</f>
        <v>0</v>
      </c>
      <c r="AW17" s="379">
        <f>SUMIFS(BS_RE33!$H$7:$H$874,BS_RE33!$S$7:$S$874,$AW$2,BS_RE33!$N$7:$N$874,I17,BS_RE33!$P$7:$P$874,'30 days CF Table(GBP)'!G17,BS_RE33!$F$7:$F$874,'30 days CF Table(GBP)'!$C$2)</f>
        <v>0</v>
      </c>
      <c r="AX17" s="379">
        <f>SUMIFS(BS_RE33!$H$7:$H$874,BS_RE33!$S$7:$S$874,$AX$2,BS_RE33!$N$7:$N$874,I17,BS_RE33!$P$7:$P$874,'30 days CF Table(GBP)'!G17,BS_RE33!$F$7:$F$874,'30 days CF Table(GBP)'!$C$2)</f>
        <v>0</v>
      </c>
      <c r="AY17" s="379">
        <f>SUMIFS(BS_RE33!$H$7:$H$874,BS_RE33!$S$7:$S$874,$AY$2,BS_RE33!$N$7:$N$874,I17,BS_RE33!$P$7:$P$874,'30 days CF Table(GBP)'!G17,BS_RE33!$F$7:$F$874,'30 days CF Table(GBP)'!$C$2)</f>
        <v>0</v>
      </c>
      <c r="AZ17" s="379">
        <f>SUMIFS(BS_RE33!$H$7:$H$874,BS_RE33!$S$7:$S$874,$AZ$2,BS_RE33!$N$7:$N$874,I17,BS_RE33!$P$7:$P$874,'30 days CF Table(GBP)'!G17,BS_RE33!$F$7:$F$874,'30 days CF Table(GBP)'!$C$2)</f>
        <v>0</v>
      </c>
      <c r="BA17" s="379">
        <f>SUMIFS(BS_RE33!$H$7:$H$874,BS_RE33!$S$7:$S$874,$BA$2,BS_RE33!$N$7:$N$874,I17,BS_RE33!$P$7:$P$874,'30 days CF Table(GBP)'!G17,BS_RE33!$F$7:$F$874,'30 days CF Table(GBP)'!$C$2)</f>
        <v>0</v>
      </c>
      <c r="BB17" s="379">
        <f>SUMIFS(BS_RE33!$H$7:$H$874,BS_RE33!$S$7:$S$874,$BB$2,BS_RE33!$N$7:$N$874,I17,BS_RE33!$P$7:$P$874,'30 days CF Table(GBP)'!G17,BS_RE33!$F$7:$F$874,'30 days CF Table(GBP)'!$C$2)</f>
        <v>0</v>
      </c>
      <c r="BC17" s="379">
        <f>SUMIFS(BS_RE33!$H$7:$H$874,BS_RE33!$S$7:$S$874,$BC$2,BS_RE33!$N$7:$N$874,I17,BS_RE33!$P$7:$P$874,'30 days CF Table(GBP)'!G17,BS_RE33!$F$7:$F$874,'30 days CF Table(GBP)'!$C$2)</f>
        <v>0</v>
      </c>
      <c r="BD17" s="379">
        <f>SUMIFS(BS_RE33!$H$7:$H$874,BS_RE33!$S$7:$S$874,$BD$2,BS_RE33!$N$7:$N$874,I17,BS_RE33!$P$7:$P$874,'30 days CF Table(GBP)'!G17,BS_RE33!$F$7:$F$874,'30 days CF Table(GBP)'!$C$2)</f>
        <v>0</v>
      </c>
      <c r="BE17" s="379">
        <f>SUMIFS(BS_RE33!$H$7:$H$874,BS_RE33!$S$7:$S$874,$BE$2,BS_RE33!$N$7:$N$874,I17,BS_RE33!$P$7:$P$874,'30 days CF Table(GBP)'!G17,BS_RE33!$F$7:$F$874,'30 days CF Table(GBP)'!$C$2)</f>
        <v>0</v>
      </c>
      <c r="BF17" s="379">
        <f>SUMIFS(BS_RE33!$H$7:$H$874,BS_RE33!$S$7:$S$874,$BF$2,BS_RE33!$N$7:$N$874,I17,BS_RE33!$P$7:$P$874,'30 days CF Table(GBP)'!G17,BS_RE33!$F$7:$F$874,'30 days CF Table(GBP)'!$C$2)</f>
        <v>0</v>
      </c>
      <c r="BG17" s="379">
        <f>SUMIFS(BS_RE33!$H$7:$H$874,BS_RE33!$S$7:$S$874,$BG$2,BS_RE33!$N$7:$N$874,I17,BS_RE33!$P$7:$P$874,'30 days CF Table(GBP)'!G17,BS_RE33!$F$7:$F$874,'30 days CF Table(GBP)'!$C$2)</f>
        <v>0</v>
      </c>
      <c r="BH17" s="379">
        <f>SUMIFS(BS_RE33!$H$7:$H$874,BS_RE33!$S$7:$S$874,$BH$2,BS_RE33!$N$7:$N$874,I17,BS_RE33!$P$7:$P$874,'30 days CF Table(GBP)'!G17,BS_RE33!$F$7:$F$874,'30 days CF Table(GBP)'!$C$2)</f>
        <v>0</v>
      </c>
      <c r="BI17" s="379">
        <f>SUMIFS(BS_RE33!$H$7:$H$874,BS_RE33!$S$7:$S$874,$BI$2,BS_RE33!$N$7:$N$874,I17,BS_RE33!$P$7:$P$874,'30 days CF Table(GBP)'!G17,BS_RE33!$F$7:$F$874,'30 days CF Table(GBP)'!$C$2)</f>
        <v>0</v>
      </c>
      <c r="BJ17" s="379">
        <f>SUMIFS(BS_RE33!$H$7:$H$874,BS_RE33!$S$7:$S$874,$BJ$2,BS_RE33!$N$7:$N$874,I17,BS_RE33!$P$7:$P$874,'30 days CF Table(GBP)'!G17,BS_RE33!$F$7:$F$874,'30 days CF Table(GBP)'!$C$2)</f>
        <v>0</v>
      </c>
      <c r="BK17" s="379">
        <f>SUMIFS(BS_RE33!$H$7:$H$874,BS_RE33!$S$7:$S$874,$BK$2,BS_RE33!$N$7:$N$874,I17,BS_RE33!$P$7:$P$874,'30 days CF Table(GBP)'!G17,BS_RE33!$F$7:$F$874,'30 days CF Table(GBP)'!$C$2)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Table(GBP)'!G18,BS_RE33!$F$7:$F$874,'30 days CF Table(GBP)'!$C$2)</f>
        <v>0</v>
      </c>
      <c r="M18" s="337">
        <f>SUMIFS(BS_RE33!$H$7:$H$874,BS_RE33!$S$7:$S$874,$M$2,BS_RE33!$N$7:$N$874,I18,BS_RE33!$P$7:$P$874,'30 days CF Table(GBP)'!G18,BS_RE33!$F$7:$F$874,'30 days CF Table(GBP)'!$C$2)</f>
        <v>0</v>
      </c>
      <c r="N18" s="337">
        <f>SUMIFS(BS_RE33!$H$7:$H$874,BS_RE33!$S$7:$S$874,$N$2,BS_RE33!$N$7:$N$874,I18,BS_RE33!$P$7:$P$874,'30 days CF Table(GBP)'!G18,BS_RE33!$F$7:$F$874,'30 days CF Table(GBP)'!$C$2)</f>
        <v>0</v>
      </c>
      <c r="O18" s="337">
        <f>SUMIFS(BS_RE33!$H$7:$H$874,BS_RE33!$S$7:$S$874,$O$2,BS_RE33!$N$7:$N$874,I18,BS_RE33!$P$7:$P$874,'30 days CF Table(GBP)'!G18,BS_RE33!$F$7:$F$874,'30 days CF Table(GBP)'!$C$2)</f>
        <v>0</v>
      </c>
      <c r="P18" s="337">
        <f>SUMIFS(BS_RE33!$H$7:$H$874,BS_RE33!$S$7:$S$874,$P$2,BS_RE33!$N$7:$N$874,I18,BS_RE33!$P$7:$P$874,'30 days CF Table(GBP)'!G18,BS_RE33!$F$7:$F$874,'30 days CF Table(GBP)'!$C$2)</f>
        <v>0</v>
      </c>
      <c r="Q18" s="337">
        <f>SUMIFS(BS_RE33!$H$7:$H$874,BS_RE33!$S$7:$S$874,$Q$2,BS_RE33!$N$7:$N$874,I18,BS_RE33!$P$7:$P$874,'30 days CF Table(GBP)'!G18,BS_RE33!$F$7:$F$874,'30 days CF Table(GBP)'!$C$2)</f>
        <v>0</v>
      </c>
      <c r="R18" s="337">
        <f>SUMIFS(BS_RE33!$H$7:$H$874,BS_RE33!$S$7:$S$874,$R$2,BS_RE33!$N$7:$N$874,I18,BS_RE33!$P$7:$P$874,'30 days CF Table(GBP)'!G18,BS_RE33!$F$7:$F$874,'30 days CF Table(GBP)'!$C$2)</f>
        <v>0</v>
      </c>
      <c r="S18" s="337">
        <f>SUMIFS(BS_RE33!$H$7:$H$874,BS_RE33!$S$7:$S$874,$S$2,BS_RE33!$N$7:$N$874,I18,BS_RE33!$P$7:$P$874,'30 days CF Table(GBP)'!G18,BS_RE33!$F$7:$F$874,'30 days CF Table(GBP)'!$C$2)</f>
        <v>0</v>
      </c>
      <c r="T18" s="337">
        <f>SUMIFS(BS_RE33!$H$7:$H$874,BS_RE33!$S$7:$S$874,$T$2,BS_RE33!$N$7:$N$874,I18,BS_RE33!$P$7:$P$874,'30 days CF Table(GBP)'!G18,BS_RE33!$F$7:$F$874,'30 days CF Table(GBP)'!$C$2)</f>
        <v>0</v>
      </c>
      <c r="U18" s="337">
        <f>SUMIFS(BS_RE33!$H$7:$H$874,BS_RE33!$S$7:$S$874,$U$2,BS_RE33!$N$7:$N$874,I18,BS_RE33!$P$7:$P$874,'30 days CF Table(GBP)'!G18,BS_RE33!$F$7:$F$874,'30 days CF Table(GBP)'!$C$2)</f>
        <v>0</v>
      </c>
      <c r="V18" s="337">
        <f>SUMIFS(BS_RE33!$H$7:$H$874,BS_RE33!$S$7:$S$874,$V$2,BS_RE33!$N$7:$N$874,I18,BS_RE33!$P$7:$P$874,'30 days CF Table(GBP)'!G18,BS_RE33!$F$7:$F$874,'30 days CF Table(GBP)'!$C$2)</f>
        <v>0</v>
      </c>
      <c r="W18" s="337">
        <f>SUMIFS(BS_RE33!$H$7:$H$874,BS_RE33!$S$7:$S$874,$W$2,BS_RE33!$N$7:$N$874,I18,BS_RE33!$P$7:$P$874,'30 days CF Table(GBP)'!G18,BS_RE33!$F$7:$F$874,'30 days CF Table(GBP)'!$C$2)</f>
        <v>0</v>
      </c>
      <c r="X18" s="337">
        <f>SUMIFS(BS_RE33!$H$7:$H$874,BS_RE33!$S$7:$S$874,$X$2,BS_RE33!$N$7:$N$874,I18,BS_RE33!$P$7:$P$874,'30 days CF Table(GBP)'!G18,BS_RE33!$F$7:$F$874,'30 days CF Table(GBP)'!$C$2)</f>
        <v>0</v>
      </c>
      <c r="Y18" s="337">
        <f>SUMIFS(BS_RE33!$H$7:$H$874,BS_RE33!$S$7:$S$874,$Y$2,BS_RE33!$N$7:$N$874,I18,BS_RE33!$P$7:$P$874,'30 days CF Table(GBP)'!G18,BS_RE33!$F$7:$F$874,'30 days CF Table(GBP)'!$C$2)</f>
        <v>0</v>
      </c>
      <c r="Z18" s="337">
        <f>SUMIFS(BS_RE33!$H$7:$H$874,BS_RE33!$S$7:$S$874,$Z$2,BS_RE33!$N$7:$N$874,I18,BS_RE33!$P$7:$P$874,'30 days CF Table(GBP)'!G18,BS_RE33!$F$7:$F$874,'30 days CF Table(GBP)'!$C$2)</f>
        <v>0</v>
      </c>
      <c r="AA18" s="337">
        <f>SUMIFS(BS_RE33!$H$7:$H$874,BS_RE33!$S$7:$S$874,$AA$2,BS_RE33!$N$7:$N$874,I18,BS_RE33!$P$7:$P$874,'30 days CF Table(GBP)'!G18,BS_RE33!$F$7:$F$874,'30 days CF Table(GBP)'!$C$2)</f>
        <v>0</v>
      </c>
      <c r="AB18" s="337">
        <f>SUMIFS(BS_RE33!$H$7:$H$874,BS_RE33!$S$7:$S$874,$AB$2,BS_RE33!$N$7:$N$874,I18,BS_RE33!$P$7:$P$874,'30 days CF Table(GBP)'!G18,BS_RE33!$F$7:$F$874,'30 days CF Table(GBP)'!$C$2)</f>
        <v>0</v>
      </c>
      <c r="AC18" s="337">
        <f>SUMIFS(BS_RE33!$H$7:$H$874,BS_RE33!$S$7:$S$874,$AC$2,BS_RE33!$N$7:$N$874,I18,BS_RE33!$P$7:$P$874,'30 days CF Table(GBP)'!G18,BS_RE33!$F$7:$F$874,'30 days CF Table(GBP)'!$C$2)</f>
        <v>0</v>
      </c>
      <c r="AD18" s="337">
        <f>SUMIFS(BS_RE33!$H$7:$H$874,BS_RE33!$S$7:$S$874,$AD$2,BS_RE33!$N$7:$N$874,I18,BS_RE33!$P$7:$P$874,'30 days CF Table(GBP)'!G18,BS_RE33!$F$7:$F$874,'30 days CF Table(GBP)'!$C$2)</f>
        <v>0</v>
      </c>
      <c r="AE18" s="337">
        <f>SUMIFS(BS_RE33!$H$7:$H$874,BS_RE33!$S$7:$S$874,$AE$2,BS_RE33!$N$7:$N$874,I18,BS_RE33!$P$7:$P$874,'30 days CF Table(GBP)'!G18,BS_RE33!$F$7:$F$874,'30 days CF Table(GBP)'!$C$2)</f>
        <v>0</v>
      </c>
      <c r="AF18" s="337">
        <f>SUMIFS(BS_RE33!$H$7:$H$874,BS_RE33!$S$7:$S$874,$AF$2,BS_RE33!$N$7:$N$874,I18,BS_RE33!$P$7:$P$874,'30 days CF Table(GBP)'!G18,BS_RE33!$F$7:$F$874,'30 days CF Table(GBP)'!$C$2)</f>
        <v>0</v>
      </c>
      <c r="AG18" s="337">
        <f>SUMIFS(BS_RE33!$H$7:$H$874,BS_RE33!$S$7:$S$874,$AG$2,BS_RE33!$N$7:$N$874,I18,BS_RE33!$P$7:$P$874,'30 days CF Table(GBP)'!G18,BS_RE33!$F$7:$F$874,'30 days CF Table(GBP)'!$C$2)</f>
        <v>0</v>
      </c>
      <c r="AH18" s="337">
        <f>SUMIFS(BS_RE33!$H$7:$H$874,BS_RE33!$S$7:$S$874,$AH$2,BS_RE33!$N$7:$N$874,I18,BS_RE33!$P$7:$P$874,'30 days CF Table(GBP)'!G18,BS_RE33!$F$7:$F$874,'30 days CF Table(GBP)'!$C$2)</f>
        <v>0</v>
      </c>
      <c r="AI18" s="337">
        <f>SUMIFS(BS_RE33!$H$7:$H$874,BS_RE33!$S$7:$S$874,$AI$2,BS_RE33!$N$7:$N$874,I18,BS_RE33!$P$7:$P$874,'30 days CF Table(GBP)'!G18,BS_RE33!$F$7:$F$874,'30 days CF Table(GBP)'!$C$2)</f>
        <v>0</v>
      </c>
      <c r="AJ18" s="337">
        <f>SUMIFS(BS_RE33!$H$7:$H$874,BS_RE33!$S$7:$S$874,$AJ$2,BS_RE33!$N$7:$N$874,I18,BS_RE33!$P$7:$P$874,'30 days CF Table(GBP)'!G18,BS_RE33!$F$7:$F$874,'30 days CF Table(GBP)'!$C$2)</f>
        <v>0</v>
      </c>
      <c r="AK18" s="337">
        <f>SUMIFS(BS_RE33!$H$7:$H$874,BS_RE33!$S$7:$S$874,$AK$2,BS_RE33!$N$7:$N$874,I18,BS_RE33!$P$7:$P$874,'30 days CF Table(GBP)'!G18,BS_RE33!$F$7:$F$874,'30 days CF Table(GBP)'!$C$2)</f>
        <v>0</v>
      </c>
      <c r="AL18" s="337">
        <f>SUMIFS(BS_RE33!$H$7:$H$874,BS_RE33!$S$7:$S$874,$AL$2,BS_RE33!$N$7:$N$874,I18,BS_RE33!$P$7:$P$874,'30 days CF Table(GBP)'!G18,BS_RE33!$F$7:$F$874,'30 days CF Table(GBP)'!$C$2)</f>
        <v>0</v>
      </c>
      <c r="AM18" s="337">
        <f>SUMIFS(BS_RE33!$H$7:$H$874,BS_RE33!$S$7:$S$874,$AM$2,BS_RE33!$N$7:$N$874,I18,BS_RE33!$P$7:$P$874,'30 days CF Table(GBP)'!G18,BS_RE33!$F$7:$F$874,'30 days CF Table(GBP)'!$C$2)</f>
        <v>0</v>
      </c>
      <c r="AN18" s="337">
        <f>SUMIFS(BS_RE33!$H$7:$H$874,BS_RE33!$S$7:$S$874,$AN$2,BS_RE33!$N$7:$N$874,I18,BS_RE33!$P$7:$P$874,'30 days CF Table(GBP)'!G18,BS_RE33!$F$7:$F$874,'30 days CF Table(GBP)'!$C$2)</f>
        <v>0</v>
      </c>
      <c r="AO18" s="337">
        <f>SUMIFS(BS_RE33!$H$7:$H$874,BS_RE33!$S$7:$S$874,$AO$2,BS_RE33!$N$7:$N$874,I18,BS_RE33!$P$7:$P$874,'30 days CF Table(GBP)'!G18,BS_RE33!$F$7:$F$874,'30 days CF Table(GBP)'!$C$2)</f>
        <v>0</v>
      </c>
      <c r="AP18" s="338">
        <f>SUMIFS(BS_RE33!$H$7:$H$874,BS_RE33!$S$7:$S$874,$AP$2,BS_RE33!$N$7:$N$874,I18,BS_RE33!$P$7:$P$874,'30 days CF Table(GBP)'!G18,BS_RE33!$F$7:$F$874,'30 days CF Table(GBP)'!$C$2)</f>
        <v>0</v>
      </c>
      <c r="AQ18" s="545"/>
      <c r="AR18" s="379">
        <f>SUMIFS(BS_RE33!$H$7:$H$874,BS_RE33!$S$7:$S$874,$AR$2,BS_RE33!$N$7:$N$874,I18,BS_RE33!$P$7:$P$874,'30 days CF Table(GBP)'!G18,BS_RE33!$F$7:$F$874,'30 days CF Table(GBP)'!$C$2)</f>
        <v>0</v>
      </c>
      <c r="AS18" s="379">
        <f>SUMIFS(BS_RE33!$H$7:$H$874,BS_RE33!$S$7:$S$874,$AS$2,BS_RE33!$N$7:$N$874,I18,BS_RE33!$P$7:$P$874,'30 days CF Table(GBP)'!G18,BS_RE33!$F$7:$F$874,'30 days CF Table(GBP)'!$C$2)</f>
        <v>0</v>
      </c>
      <c r="AT18" s="379">
        <f>SUMIFS(BS_RE33!$H$7:$H$874,BS_RE33!$S$7:$S$874,$AT$2,BS_RE33!$N$7:$N$874,I18,BS_RE33!$P$7:$P$874,'30 days CF Table(GBP)'!G18,BS_RE33!$F$7:$F$874,'30 days CF Table(GBP)'!$C$2)</f>
        <v>0</v>
      </c>
      <c r="AU18" s="379">
        <f>SUMIFS(BS_RE33!$H$7:$H$874,BS_RE33!$S$7:$S$874,$AU$2,BS_RE33!$N$7:$N$874,I18,BS_RE33!$P$7:$P$874,'30 days CF Table(GBP)'!G18,BS_RE33!$F$7:$F$874,'30 days CF Table(GBP)'!$C$2)</f>
        <v>0</v>
      </c>
      <c r="AV18" s="379">
        <f>SUMIFS(BS_RE33!$H$7:$H$874,BS_RE33!$S$7:$S$874,$AV$2,BS_RE33!$N$7:$N$874,I18,BS_RE33!$P$7:$P$874,'30 days CF Table(GBP)'!G18,BS_RE33!$F$7:$F$874,'30 days CF Table(GBP)'!$C$2)</f>
        <v>0</v>
      </c>
      <c r="AW18" s="379">
        <f>SUMIFS(BS_RE33!$H$7:$H$874,BS_RE33!$S$7:$S$874,$AW$2,BS_RE33!$N$7:$N$874,I18,BS_RE33!$P$7:$P$874,'30 days CF Table(GBP)'!G18,BS_RE33!$F$7:$F$874,'30 days CF Table(GBP)'!$C$2)</f>
        <v>0</v>
      </c>
      <c r="AX18" s="379">
        <f>SUMIFS(BS_RE33!$H$7:$H$874,BS_RE33!$S$7:$S$874,$AX$2,BS_RE33!$N$7:$N$874,I18,BS_RE33!$P$7:$P$874,'30 days CF Table(GBP)'!G18,BS_RE33!$F$7:$F$874,'30 days CF Table(GBP)'!$C$2)</f>
        <v>0</v>
      </c>
      <c r="AY18" s="379">
        <f>SUMIFS(BS_RE33!$H$7:$H$874,BS_RE33!$S$7:$S$874,$AY$2,BS_RE33!$N$7:$N$874,I18,BS_RE33!$P$7:$P$874,'30 days CF Table(GBP)'!G18,BS_RE33!$F$7:$F$874,'30 days CF Table(GBP)'!$C$2)</f>
        <v>0</v>
      </c>
      <c r="AZ18" s="379">
        <f>SUMIFS(BS_RE33!$H$7:$H$874,BS_RE33!$S$7:$S$874,$AZ$2,BS_RE33!$N$7:$N$874,I18,BS_RE33!$P$7:$P$874,'30 days CF Table(GBP)'!G18,BS_RE33!$F$7:$F$874,'30 days CF Table(GBP)'!$C$2)</f>
        <v>0</v>
      </c>
      <c r="BA18" s="379">
        <f>SUMIFS(BS_RE33!$H$7:$H$874,BS_RE33!$S$7:$S$874,$BA$2,BS_RE33!$N$7:$N$874,I18,BS_RE33!$P$7:$P$874,'30 days CF Table(GBP)'!G18,BS_RE33!$F$7:$F$874,'30 days CF Table(GBP)'!$C$2)</f>
        <v>0</v>
      </c>
      <c r="BB18" s="379">
        <f>SUMIFS(BS_RE33!$H$7:$H$874,BS_RE33!$S$7:$S$874,$BB$2,BS_RE33!$N$7:$N$874,I18,BS_RE33!$P$7:$P$874,'30 days CF Table(GBP)'!G18,BS_RE33!$F$7:$F$874,'30 days CF Table(GBP)'!$C$2)</f>
        <v>0</v>
      </c>
      <c r="BC18" s="379">
        <f>SUMIFS(BS_RE33!$H$7:$H$874,BS_RE33!$S$7:$S$874,$BC$2,BS_RE33!$N$7:$N$874,I18,BS_RE33!$P$7:$P$874,'30 days CF Table(GBP)'!G18,BS_RE33!$F$7:$F$874,'30 days CF Table(GBP)'!$C$2)</f>
        <v>0</v>
      </c>
      <c r="BD18" s="379">
        <f>SUMIFS(BS_RE33!$H$7:$H$874,BS_RE33!$S$7:$S$874,$BD$2,BS_RE33!$N$7:$N$874,I18,BS_RE33!$P$7:$P$874,'30 days CF Table(GBP)'!G18,BS_RE33!$F$7:$F$874,'30 days CF Table(GBP)'!$C$2)</f>
        <v>0</v>
      </c>
      <c r="BE18" s="379">
        <f>SUMIFS(BS_RE33!$H$7:$H$874,BS_RE33!$S$7:$S$874,$BE$2,BS_RE33!$N$7:$N$874,I18,BS_RE33!$P$7:$P$874,'30 days CF Table(GBP)'!G18,BS_RE33!$F$7:$F$874,'30 days CF Table(GBP)'!$C$2)</f>
        <v>0</v>
      </c>
      <c r="BF18" s="379">
        <f>SUMIFS(BS_RE33!$H$7:$H$874,BS_RE33!$S$7:$S$874,$BF$2,BS_RE33!$N$7:$N$874,I18,BS_RE33!$P$7:$P$874,'30 days CF Table(GBP)'!G18,BS_RE33!$F$7:$F$874,'30 days CF Table(GBP)'!$C$2)</f>
        <v>0</v>
      </c>
      <c r="BG18" s="379">
        <f>SUMIFS(BS_RE33!$H$7:$H$874,BS_RE33!$S$7:$S$874,$BG$2,BS_RE33!$N$7:$N$874,I18,BS_RE33!$P$7:$P$874,'30 days CF Table(GBP)'!G18,BS_RE33!$F$7:$F$874,'30 days CF Table(GBP)'!$C$2)</f>
        <v>0</v>
      </c>
      <c r="BH18" s="379">
        <f>SUMIFS(BS_RE33!$H$7:$H$874,BS_RE33!$S$7:$S$874,$BH$2,BS_RE33!$N$7:$N$874,I18,BS_RE33!$P$7:$P$874,'30 days CF Table(GBP)'!G18,BS_RE33!$F$7:$F$874,'30 days CF Table(GBP)'!$C$2)</f>
        <v>0</v>
      </c>
      <c r="BI18" s="379">
        <f>SUMIFS(BS_RE33!$H$7:$H$874,BS_RE33!$S$7:$S$874,$BI$2,BS_RE33!$N$7:$N$874,I18,BS_RE33!$P$7:$P$874,'30 days CF Table(GBP)'!G18,BS_RE33!$F$7:$F$874,'30 days CF Table(GBP)'!$C$2)</f>
        <v>0</v>
      </c>
      <c r="BJ18" s="379">
        <f>SUMIFS(BS_RE33!$H$7:$H$874,BS_RE33!$S$7:$S$874,$BJ$2,BS_RE33!$N$7:$N$874,I18,BS_RE33!$P$7:$P$874,'30 days CF Table(GBP)'!G18,BS_RE33!$F$7:$F$874,'30 days CF Table(GBP)'!$C$2)</f>
        <v>0</v>
      </c>
      <c r="BK18" s="379">
        <f>SUMIFS(BS_RE33!$H$7:$H$874,BS_RE33!$S$7:$S$874,$BK$2,BS_RE33!$N$7:$N$874,I18,BS_RE33!$P$7:$P$874,'30 days CF Table(GBP)'!G18,BS_RE33!$F$7:$F$874,'30 days CF Table(GBP)'!$C$2)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Table(GBP)'!G19,BS_RE33!$F$7:$F$874,'30 days CF Table(GBP)'!$C$2)</f>
        <v>0</v>
      </c>
      <c r="M19" s="548">
        <f>SUMIFS(BS_RE33!$H$7:$H$874,BS_RE33!$S$7:$S$874,$M$2,BS_RE33!$N$7:$N$874,I19,BS_RE33!$P$7:$P$874,'30 days CF Table(GBP)'!G19,BS_RE33!$F$7:$F$874,'30 days CF Table(GBP)'!$C$2)</f>
        <v>0</v>
      </c>
      <c r="N19" s="548">
        <f>SUMIFS(BS_RE33!$H$7:$H$874,BS_RE33!$S$7:$S$874,$N$2,BS_RE33!$N$7:$N$874,I19,BS_RE33!$P$7:$P$874,'30 days CF Table(GBP)'!G19,BS_RE33!$F$7:$F$874,'30 days CF Table(GBP)'!$C$2)</f>
        <v>0</v>
      </c>
      <c r="O19" s="548">
        <f>SUMIFS(BS_RE33!$H$7:$H$874,BS_RE33!$S$7:$S$874,$O$2,BS_RE33!$N$7:$N$874,I19,BS_RE33!$P$7:$P$874,'30 days CF Table(GBP)'!G19,BS_RE33!$F$7:$F$874,'30 days CF Table(GBP)'!$C$2)</f>
        <v>0</v>
      </c>
      <c r="P19" s="548">
        <f>SUMIFS(BS_RE33!$H$7:$H$874,BS_RE33!$S$7:$S$874,$P$2,BS_RE33!$N$7:$N$874,I19,BS_RE33!$P$7:$P$874,'30 days CF Table(GBP)'!G19,BS_RE33!$F$7:$F$874,'30 days CF Table(GBP)'!$C$2)</f>
        <v>0</v>
      </c>
      <c r="Q19" s="548">
        <f>SUMIFS(BS_RE33!$H$7:$H$874,BS_RE33!$S$7:$S$874,$Q$2,BS_RE33!$N$7:$N$874,I19,BS_RE33!$P$7:$P$874,'30 days CF Table(GBP)'!G19,BS_RE33!$F$7:$F$874,'30 days CF Table(GBP)'!$C$2)</f>
        <v>0</v>
      </c>
      <c r="R19" s="548">
        <f>SUMIFS(BS_RE33!$H$7:$H$874,BS_RE33!$S$7:$S$874,$R$2,BS_RE33!$N$7:$N$874,I19,BS_RE33!$P$7:$P$874,'30 days CF Table(GBP)'!G19,BS_RE33!$F$7:$F$874,'30 days CF Table(GBP)'!$C$2)</f>
        <v>0</v>
      </c>
      <c r="S19" s="548">
        <f>SUMIFS(BS_RE33!$H$7:$H$874,BS_RE33!$S$7:$S$874,$S$2,BS_RE33!$N$7:$N$874,I19,BS_RE33!$P$7:$P$874,'30 days CF Table(GBP)'!G19,BS_RE33!$F$7:$F$874,'30 days CF Table(GBP)'!$C$2)</f>
        <v>0</v>
      </c>
      <c r="T19" s="548">
        <f>SUMIFS(BS_RE33!$H$7:$H$874,BS_RE33!$S$7:$S$874,$T$2,BS_RE33!$N$7:$N$874,I19,BS_RE33!$P$7:$P$874,'30 days CF Table(GBP)'!G19,BS_RE33!$F$7:$F$874,'30 days CF Table(GBP)'!$C$2)</f>
        <v>0</v>
      </c>
      <c r="U19" s="548">
        <f>SUMIFS(BS_RE33!$H$7:$H$874,BS_RE33!$S$7:$S$874,$U$2,BS_RE33!$N$7:$N$874,I19,BS_RE33!$P$7:$P$874,'30 days CF Table(GBP)'!G19,BS_RE33!$F$7:$F$874,'30 days CF Table(GBP)'!$C$2)</f>
        <v>0</v>
      </c>
      <c r="V19" s="548">
        <f>SUMIFS(BS_RE33!$H$7:$H$874,BS_RE33!$S$7:$S$874,$V$2,BS_RE33!$N$7:$N$874,I19,BS_RE33!$P$7:$P$874,'30 days CF Table(GBP)'!G19,BS_RE33!$F$7:$F$874,'30 days CF Table(GBP)'!$C$2)</f>
        <v>0</v>
      </c>
      <c r="W19" s="548">
        <f>SUMIFS(BS_RE33!$H$7:$H$874,BS_RE33!$S$7:$S$874,$W$2,BS_RE33!$N$7:$N$874,I19,BS_RE33!$P$7:$P$874,'30 days CF Table(GBP)'!G19,BS_RE33!$F$7:$F$874,'30 days CF Table(GBP)'!$C$2)</f>
        <v>0</v>
      </c>
      <c r="X19" s="548">
        <f>SUMIFS(BS_RE33!$H$7:$H$874,BS_RE33!$S$7:$S$874,$X$2,BS_RE33!$N$7:$N$874,I19,BS_RE33!$P$7:$P$874,'30 days CF Table(GBP)'!G19,BS_RE33!$F$7:$F$874,'30 days CF Table(GBP)'!$C$2)</f>
        <v>0</v>
      </c>
      <c r="Y19" s="548">
        <f>SUMIFS(BS_RE33!$H$7:$H$874,BS_RE33!$S$7:$S$874,$Y$2,BS_RE33!$N$7:$N$874,I19,BS_RE33!$P$7:$P$874,'30 days CF Table(GBP)'!G19,BS_RE33!$F$7:$F$874,'30 days CF Table(GBP)'!$C$2)</f>
        <v>0</v>
      </c>
      <c r="Z19" s="548">
        <f>SUMIFS(BS_RE33!$H$7:$H$874,BS_RE33!$S$7:$S$874,$Z$2,BS_RE33!$N$7:$N$874,I19,BS_RE33!$P$7:$P$874,'30 days CF Table(GBP)'!G19,BS_RE33!$F$7:$F$874,'30 days CF Table(GBP)'!$C$2)</f>
        <v>0</v>
      </c>
      <c r="AA19" s="548">
        <f>SUMIFS(BS_RE33!$H$7:$H$874,BS_RE33!$S$7:$S$874,$AA$2,BS_RE33!$N$7:$N$874,I19,BS_RE33!$P$7:$P$874,'30 days CF Table(GBP)'!G19,BS_RE33!$F$7:$F$874,'30 days CF Table(GBP)'!$C$2)</f>
        <v>0</v>
      </c>
      <c r="AB19" s="548">
        <f>SUMIFS(BS_RE33!$H$7:$H$874,BS_RE33!$S$7:$S$874,$AB$2,BS_RE33!$N$7:$N$874,I19,BS_RE33!$P$7:$P$874,'30 days CF Table(GBP)'!G19,BS_RE33!$F$7:$F$874,'30 days CF Table(GBP)'!$C$2)</f>
        <v>0</v>
      </c>
      <c r="AC19" s="548">
        <f>SUMIFS(BS_RE33!$H$7:$H$874,BS_RE33!$S$7:$S$874,$AC$2,BS_RE33!$N$7:$N$874,I19,BS_RE33!$P$7:$P$874,'30 days CF Table(GBP)'!G19,BS_RE33!$F$7:$F$874,'30 days CF Table(GBP)'!$C$2)</f>
        <v>0</v>
      </c>
      <c r="AD19" s="548">
        <f>SUMIFS(BS_RE33!$H$7:$H$874,BS_RE33!$S$7:$S$874,$AD$2,BS_RE33!$N$7:$N$874,I19,BS_RE33!$P$7:$P$874,'30 days CF Table(GBP)'!G19,BS_RE33!$F$7:$F$874,'30 days CF Table(GBP)'!$C$2)</f>
        <v>0</v>
      </c>
      <c r="AE19" s="548">
        <f>SUMIFS(BS_RE33!$H$7:$H$874,BS_RE33!$S$7:$S$874,$AE$2,BS_RE33!$N$7:$N$874,I19,BS_RE33!$P$7:$P$874,'30 days CF Table(GBP)'!G19,BS_RE33!$F$7:$F$874,'30 days CF Table(GBP)'!$C$2)</f>
        <v>0</v>
      </c>
      <c r="AF19" s="548">
        <f>SUMIFS(BS_RE33!$H$7:$H$874,BS_RE33!$S$7:$S$874,$AF$2,BS_RE33!$N$7:$N$874,I19,BS_RE33!$P$7:$P$874,'30 days CF Table(GBP)'!G19,BS_RE33!$F$7:$F$874,'30 days CF Table(GBP)'!$C$2)</f>
        <v>0</v>
      </c>
      <c r="AG19" s="548">
        <f>SUMIFS(BS_RE33!$H$7:$H$874,BS_RE33!$S$7:$S$874,$AG$2,BS_RE33!$N$7:$N$874,I19,BS_RE33!$P$7:$P$874,'30 days CF Table(GBP)'!G19,BS_RE33!$F$7:$F$874,'30 days CF Table(GBP)'!$C$2)</f>
        <v>0</v>
      </c>
      <c r="AH19" s="548">
        <f>SUMIFS(BS_RE33!$H$7:$H$874,BS_RE33!$S$7:$S$874,$AH$2,BS_RE33!$N$7:$N$874,I19,BS_RE33!$P$7:$P$874,'30 days CF Table(GBP)'!G19,BS_RE33!$F$7:$F$874,'30 days CF Table(GBP)'!$C$2)</f>
        <v>0</v>
      </c>
      <c r="AI19" s="548">
        <f>SUMIFS(BS_RE33!$H$7:$H$874,BS_RE33!$S$7:$S$874,$AI$2,BS_RE33!$N$7:$N$874,I19,BS_RE33!$P$7:$P$874,'30 days CF Table(GBP)'!G19,BS_RE33!$F$7:$F$874,'30 days CF Table(GBP)'!$C$2)</f>
        <v>0</v>
      </c>
      <c r="AJ19" s="548">
        <f>SUMIFS(BS_RE33!$H$7:$H$874,BS_RE33!$S$7:$S$874,$AJ$2,BS_RE33!$N$7:$N$874,I19,BS_RE33!$P$7:$P$874,'30 days CF Table(GBP)'!G19,BS_RE33!$F$7:$F$874,'30 days CF Table(GBP)'!$C$2)</f>
        <v>0</v>
      </c>
      <c r="AK19" s="548">
        <f>SUMIFS(BS_RE33!$H$7:$H$874,BS_RE33!$S$7:$S$874,$AK$2,BS_RE33!$N$7:$N$874,I19,BS_RE33!$P$7:$P$874,'30 days CF Table(GBP)'!G19,BS_RE33!$F$7:$F$874,'30 days CF Table(GBP)'!$C$2)</f>
        <v>0</v>
      </c>
      <c r="AL19" s="548">
        <f>SUMIFS(BS_RE33!$H$7:$H$874,BS_RE33!$S$7:$S$874,$AL$2,BS_RE33!$N$7:$N$874,I19,BS_RE33!$P$7:$P$874,'30 days CF Table(GBP)'!G19,BS_RE33!$F$7:$F$874,'30 days CF Table(GBP)'!$C$2)</f>
        <v>0</v>
      </c>
      <c r="AM19" s="548">
        <f>SUMIFS(BS_RE33!$H$7:$H$874,BS_RE33!$S$7:$S$874,$AM$2,BS_RE33!$N$7:$N$874,I19,BS_RE33!$P$7:$P$874,'30 days CF Table(GBP)'!G19,BS_RE33!$F$7:$F$874,'30 days CF Table(GBP)'!$C$2)</f>
        <v>0</v>
      </c>
      <c r="AN19" s="548">
        <f>SUMIFS(BS_RE33!$H$7:$H$874,BS_RE33!$S$7:$S$874,$AN$2,BS_RE33!$N$7:$N$874,I19,BS_RE33!$P$7:$P$874,'30 days CF Table(GBP)'!G19,BS_RE33!$F$7:$F$874,'30 days CF Table(GBP)'!$C$2)</f>
        <v>0</v>
      </c>
      <c r="AO19" s="548">
        <f>SUMIFS(BS_RE33!$H$7:$H$874,BS_RE33!$S$7:$S$874,$AO$2,BS_RE33!$N$7:$N$874,I19,BS_RE33!$P$7:$P$874,'30 days CF Table(GBP)'!G19,BS_RE33!$F$7:$F$874,'30 days CF Table(GBP)'!$C$2)</f>
        <v>0</v>
      </c>
      <c r="AP19" s="549">
        <f>SUMIFS(BS_RE33!$H$7:$H$874,BS_RE33!$S$7:$S$874,$AP$2,BS_RE33!$N$7:$N$874,I19,BS_RE33!$P$7:$P$874,'30 days CF Table(GBP)'!G19,BS_RE33!$F$7:$F$874,'30 days CF Table(GBP)'!$C$2)</f>
        <v>0</v>
      </c>
      <c r="AQ19" s="550"/>
      <c r="AR19" s="380">
        <f>SUMIFS(BS_RE33!$H$7:$H$874,BS_RE33!$S$7:$S$874,$AR$2,BS_RE33!$N$7:$N$874,I19,BS_RE33!$P$7:$P$874,'30 days CF Table(GBP)'!G19,BS_RE33!$F$7:$F$874,'30 days CF Table(GBP)'!$C$2)</f>
        <v>0</v>
      </c>
      <c r="AS19" s="380">
        <f>SUMIFS(BS_RE33!$H$7:$H$874,BS_RE33!$S$7:$S$874,$AS$2,BS_RE33!$N$7:$N$874,I19,BS_RE33!$P$7:$P$874,'30 days CF Table(GBP)'!G19,BS_RE33!$F$7:$F$874,'30 days CF Table(GBP)'!$C$2)</f>
        <v>0</v>
      </c>
      <c r="AT19" s="380">
        <f>SUMIFS(BS_RE33!$H$7:$H$874,BS_RE33!$S$7:$S$874,$AT$2,BS_RE33!$N$7:$N$874,I19,BS_RE33!$P$7:$P$874,'30 days CF Table(GBP)'!G19,BS_RE33!$F$7:$F$874,'30 days CF Table(GBP)'!$C$2)</f>
        <v>0</v>
      </c>
      <c r="AU19" s="380">
        <f>SUMIFS(BS_RE33!$H$7:$H$874,BS_RE33!$S$7:$S$874,$AU$2,BS_RE33!$N$7:$N$874,I19,BS_RE33!$P$7:$P$874,'30 days CF Table(GBP)'!G19,BS_RE33!$F$7:$F$874,'30 days CF Table(GBP)'!$C$2)</f>
        <v>0</v>
      </c>
      <c r="AV19" s="380">
        <f>SUMIFS(BS_RE33!$H$7:$H$874,BS_RE33!$S$7:$S$874,$AV$2,BS_RE33!$N$7:$N$874,I19,BS_RE33!$P$7:$P$874,'30 days CF Table(GBP)'!G19,BS_RE33!$F$7:$F$874,'30 days CF Table(GBP)'!$C$2)</f>
        <v>0</v>
      </c>
      <c r="AW19" s="380">
        <f>SUMIFS(BS_RE33!$H$7:$H$874,BS_RE33!$S$7:$S$874,$AW$2,BS_RE33!$N$7:$N$874,I19,BS_RE33!$P$7:$P$874,'30 days CF Table(GBP)'!G19,BS_RE33!$F$7:$F$874,'30 days CF Table(GBP)'!$C$2)</f>
        <v>0</v>
      </c>
      <c r="AX19" s="380">
        <f>SUMIFS(BS_RE33!$H$7:$H$874,BS_RE33!$S$7:$S$874,$AX$2,BS_RE33!$N$7:$N$874,I19,BS_RE33!$P$7:$P$874,'30 days CF Table(GBP)'!G19,BS_RE33!$F$7:$F$874,'30 days CF Table(GBP)'!$C$2)</f>
        <v>0</v>
      </c>
      <c r="AY19" s="380">
        <f>SUMIFS(BS_RE33!$H$7:$H$874,BS_RE33!$S$7:$S$874,$AY$2,BS_RE33!$N$7:$N$874,I19,BS_RE33!$P$7:$P$874,'30 days CF Table(GBP)'!G19,BS_RE33!$F$7:$F$874,'30 days CF Table(GBP)'!$C$2)</f>
        <v>0</v>
      </c>
      <c r="AZ19" s="380">
        <f>SUMIFS(BS_RE33!$H$7:$H$874,BS_RE33!$S$7:$S$874,$AZ$2,BS_RE33!$N$7:$N$874,I19,BS_RE33!$P$7:$P$874,'30 days CF Table(GBP)'!G19,BS_RE33!$F$7:$F$874,'30 days CF Table(GBP)'!$C$2)</f>
        <v>0</v>
      </c>
      <c r="BA19" s="380">
        <f>SUMIFS(BS_RE33!$H$7:$H$874,BS_RE33!$S$7:$S$874,$BA$2,BS_RE33!$N$7:$N$874,I19,BS_RE33!$P$7:$P$874,'30 days CF Table(GBP)'!G19,BS_RE33!$F$7:$F$874,'30 days CF Table(GBP)'!$C$2)</f>
        <v>0</v>
      </c>
      <c r="BB19" s="380">
        <f>SUMIFS(BS_RE33!$H$7:$H$874,BS_RE33!$S$7:$S$874,$BB$2,BS_RE33!$N$7:$N$874,I19,BS_RE33!$P$7:$P$874,'30 days CF Table(GBP)'!G19,BS_RE33!$F$7:$F$874,'30 days CF Table(GBP)'!$C$2)</f>
        <v>0</v>
      </c>
      <c r="BC19" s="380">
        <f>SUMIFS(BS_RE33!$H$7:$H$874,BS_RE33!$S$7:$S$874,$BC$2,BS_RE33!$N$7:$N$874,I19,BS_RE33!$P$7:$P$874,'30 days CF Table(GBP)'!G19,BS_RE33!$F$7:$F$874,'30 days CF Table(GBP)'!$C$2)</f>
        <v>0</v>
      </c>
      <c r="BD19" s="380">
        <f>SUMIFS(BS_RE33!$H$7:$H$874,BS_RE33!$S$7:$S$874,$BD$2,BS_RE33!$N$7:$N$874,I19,BS_RE33!$P$7:$P$874,'30 days CF Table(GBP)'!G19,BS_RE33!$F$7:$F$874,'30 days CF Table(GBP)'!$C$2)</f>
        <v>0</v>
      </c>
      <c r="BE19" s="380">
        <f>SUMIFS(BS_RE33!$H$7:$H$874,BS_RE33!$S$7:$S$874,$BE$2,BS_RE33!$N$7:$N$874,I19,BS_RE33!$P$7:$P$874,'30 days CF Table(GBP)'!G19,BS_RE33!$F$7:$F$874,'30 days CF Table(GBP)'!$C$2)</f>
        <v>0</v>
      </c>
      <c r="BF19" s="380">
        <f>SUMIFS(BS_RE33!$H$7:$H$874,BS_RE33!$S$7:$S$874,$BF$2,BS_RE33!$N$7:$N$874,I19,BS_RE33!$P$7:$P$874,'30 days CF Table(GBP)'!G19,BS_RE33!$F$7:$F$874,'30 days CF Table(GBP)'!$C$2)</f>
        <v>0</v>
      </c>
      <c r="BG19" s="380">
        <f>SUMIFS(BS_RE33!$H$7:$H$874,BS_RE33!$S$7:$S$874,$BG$2,BS_RE33!$N$7:$N$874,I19,BS_RE33!$P$7:$P$874,'30 days CF Table(GBP)'!G19,BS_RE33!$F$7:$F$874,'30 days CF Table(GBP)'!$C$2)</f>
        <v>0</v>
      </c>
      <c r="BH19" s="380">
        <f>SUMIFS(BS_RE33!$H$7:$H$874,BS_RE33!$S$7:$S$874,$BH$2,BS_RE33!$N$7:$N$874,I19,BS_RE33!$P$7:$P$874,'30 days CF Table(GBP)'!G19,BS_RE33!$F$7:$F$874,'30 days CF Table(GBP)'!$C$2)</f>
        <v>0</v>
      </c>
      <c r="BI19" s="380">
        <f>SUMIFS(BS_RE33!$H$7:$H$874,BS_RE33!$S$7:$S$874,$BI$2,BS_RE33!$N$7:$N$874,I19,BS_RE33!$P$7:$P$874,'30 days CF Table(GBP)'!G19,BS_RE33!$F$7:$F$874,'30 days CF Table(GBP)'!$C$2)</f>
        <v>0</v>
      </c>
      <c r="BJ19" s="380">
        <f>SUMIFS(BS_RE33!$H$7:$H$874,BS_RE33!$S$7:$S$874,$BJ$2,BS_RE33!$N$7:$N$874,I19,BS_RE33!$P$7:$P$874,'30 days CF Table(GBP)'!G19,BS_RE33!$F$7:$F$874,'30 days CF Table(GBP)'!$C$2)</f>
        <v>0</v>
      </c>
      <c r="BK19" s="380">
        <f>SUMIFS(BS_RE33!$H$7:$H$874,BS_RE33!$S$7:$S$874,$BK$2,BS_RE33!$N$7:$N$874,I19,BS_RE33!$P$7:$P$874,'30 days CF Table(GBP)'!G19,BS_RE33!$F$7:$F$874,'30 days CF Table(GBP)'!$C$2)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Table(GBP)'!G20,BS_RE33!$F$7:$F$874,'30 days CF Table(GBP)'!$C$2)</f>
        <v>0</v>
      </c>
      <c r="M20" s="548">
        <f>SUMIFS(BS_RE33!$H$7:$H$874,BS_RE33!$S$7:$S$874,$M$2,BS_RE33!$N$7:$N$874,I20,BS_RE33!$P$7:$P$874,'30 days CF Table(GBP)'!G20,BS_RE33!$F$7:$F$874,'30 days CF Table(GBP)'!$C$2)</f>
        <v>0</v>
      </c>
      <c r="N20" s="548">
        <f>SUMIFS(BS_RE33!$H$7:$H$874,BS_RE33!$S$7:$S$874,$N$2,BS_RE33!$N$7:$N$874,I20,BS_RE33!$P$7:$P$874,'30 days CF Table(GBP)'!G20,BS_RE33!$F$7:$F$874,'30 days CF Table(GBP)'!$C$2)</f>
        <v>0</v>
      </c>
      <c r="O20" s="548">
        <f>SUMIFS(BS_RE33!$H$7:$H$874,BS_RE33!$S$7:$S$874,$O$2,BS_RE33!$N$7:$N$874,I20,BS_RE33!$P$7:$P$874,'30 days CF Table(GBP)'!G20,BS_RE33!$F$7:$F$874,'30 days CF Table(GBP)'!$C$2)</f>
        <v>0</v>
      </c>
      <c r="P20" s="548">
        <f>SUMIFS(BS_RE33!$H$7:$H$874,BS_RE33!$S$7:$S$874,$P$2,BS_RE33!$N$7:$N$874,I20,BS_RE33!$P$7:$P$874,'30 days CF Table(GBP)'!G20,BS_RE33!$F$7:$F$874,'30 days CF Table(GBP)'!$C$2)</f>
        <v>0</v>
      </c>
      <c r="Q20" s="548">
        <f>SUMIFS(BS_RE33!$H$7:$H$874,BS_RE33!$S$7:$S$874,$Q$2,BS_RE33!$N$7:$N$874,I20,BS_RE33!$P$7:$P$874,'30 days CF Table(GBP)'!G20,BS_RE33!$F$7:$F$874,'30 days CF Table(GBP)'!$C$2)</f>
        <v>0</v>
      </c>
      <c r="R20" s="548">
        <f>SUMIFS(BS_RE33!$H$7:$H$874,BS_RE33!$S$7:$S$874,$R$2,BS_RE33!$N$7:$N$874,I20,BS_RE33!$P$7:$P$874,'30 days CF Table(GBP)'!G20,BS_RE33!$F$7:$F$874,'30 days CF Table(GBP)'!$C$2)</f>
        <v>0</v>
      </c>
      <c r="S20" s="548">
        <f>SUMIFS(BS_RE33!$H$7:$H$874,BS_RE33!$S$7:$S$874,$S$2,BS_RE33!$N$7:$N$874,I20,BS_RE33!$P$7:$P$874,'30 days CF Table(GBP)'!G20,BS_RE33!$F$7:$F$874,'30 days CF Table(GBP)'!$C$2)</f>
        <v>0</v>
      </c>
      <c r="T20" s="548">
        <f>SUMIFS(BS_RE33!$H$7:$H$874,BS_RE33!$S$7:$S$874,$T$2,BS_RE33!$N$7:$N$874,I20,BS_RE33!$P$7:$P$874,'30 days CF Table(GBP)'!G20,BS_RE33!$F$7:$F$874,'30 days CF Table(GBP)'!$C$2)</f>
        <v>0</v>
      </c>
      <c r="U20" s="548">
        <f>SUMIFS(BS_RE33!$H$7:$H$874,BS_RE33!$S$7:$S$874,$U$2,BS_RE33!$N$7:$N$874,I20,BS_RE33!$P$7:$P$874,'30 days CF Table(GBP)'!G20,BS_RE33!$F$7:$F$874,'30 days CF Table(GBP)'!$C$2)</f>
        <v>0</v>
      </c>
      <c r="V20" s="548">
        <f>SUMIFS(BS_RE33!$H$7:$H$874,BS_RE33!$S$7:$S$874,$V$2,BS_RE33!$N$7:$N$874,I20,BS_RE33!$P$7:$P$874,'30 days CF Table(GBP)'!G20,BS_RE33!$F$7:$F$874,'30 days CF Table(GBP)'!$C$2)</f>
        <v>0</v>
      </c>
      <c r="W20" s="548">
        <f>SUMIFS(BS_RE33!$H$7:$H$874,BS_RE33!$S$7:$S$874,$W$2,BS_RE33!$N$7:$N$874,I20,BS_RE33!$P$7:$P$874,'30 days CF Table(GBP)'!G20,BS_RE33!$F$7:$F$874,'30 days CF Table(GBP)'!$C$2)</f>
        <v>0</v>
      </c>
      <c r="X20" s="548">
        <f>SUMIFS(BS_RE33!$H$7:$H$874,BS_RE33!$S$7:$S$874,$X$2,BS_RE33!$N$7:$N$874,I20,BS_RE33!$P$7:$P$874,'30 days CF Table(GBP)'!G20,BS_RE33!$F$7:$F$874,'30 days CF Table(GBP)'!$C$2)</f>
        <v>0</v>
      </c>
      <c r="Y20" s="548">
        <f>SUMIFS(BS_RE33!$H$7:$H$874,BS_RE33!$S$7:$S$874,$Y$2,BS_RE33!$N$7:$N$874,I20,BS_RE33!$P$7:$P$874,'30 days CF Table(GBP)'!G20,BS_RE33!$F$7:$F$874,'30 days CF Table(GBP)'!$C$2)</f>
        <v>0</v>
      </c>
      <c r="Z20" s="548">
        <f>SUMIFS(BS_RE33!$H$7:$H$874,BS_RE33!$S$7:$S$874,$Z$2,BS_RE33!$N$7:$N$874,I20,BS_RE33!$P$7:$P$874,'30 days CF Table(GBP)'!G20,BS_RE33!$F$7:$F$874,'30 days CF Table(GBP)'!$C$2)</f>
        <v>0</v>
      </c>
      <c r="AA20" s="548">
        <f>SUMIFS(BS_RE33!$H$7:$H$874,BS_RE33!$S$7:$S$874,$AA$2,BS_RE33!$N$7:$N$874,I20,BS_RE33!$P$7:$P$874,'30 days CF Table(GBP)'!G20,BS_RE33!$F$7:$F$874,'30 days CF Table(GBP)'!$C$2)</f>
        <v>0</v>
      </c>
      <c r="AB20" s="548">
        <f>SUMIFS(BS_RE33!$H$7:$H$874,BS_RE33!$S$7:$S$874,$AB$2,BS_RE33!$N$7:$N$874,I20,BS_RE33!$P$7:$P$874,'30 days CF Table(GBP)'!G20,BS_RE33!$F$7:$F$874,'30 days CF Table(GBP)'!$C$2)</f>
        <v>0</v>
      </c>
      <c r="AC20" s="548">
        <f>SUMIFS(BS_RE33!$H$7:$H$874,BS_RE33!$S$7:$S$874,$AC$2,BS_RE33!$N$7:$N$874,I20,BS_RE33!$P$7:$P$874,'30 days CF Table(GBP)'!G20,BS_RE33!$F$7:$F$874,'30 days CF Table(GBP)'!$C$2)</f>
        <v>0</v>
      </c>
      <c r="AD20" s="548">
        <f>SUMIFS(BS_RE33!$H$7:$H$874,BS_RE33!$S$7:$S$874,$AD$2,BS_RE33!$N$7:$N$874,I20,BS_RE33!$P$7:$P$874,'30 days CF Table(GBP)'!G20,BS_RE33!$F$7:$F$874,'30 days CF Table(GBP)'!$C$2)</f>
        <v>0</v>
      </c>
      <c r="AE20" s="548">
        <f>SUMIFS(BS_RE33!$H$7:$H$874,BS_RE33!$S$7:$S$874,$AE$2,BS_RE33!$N$7:$N$874,I20,BS_RE33!$P$7:$P$874,'30 days CF Table(GBP)'!G20,BS_RE33!$F$7:$F$874,'30 days CF Table(GBP)'!$C$2)</f>
        <v>0</v>
      </c>
      <c r="AF20" s="548">
        <f>SUMIFS(BS_RE33!$H$7:$H$874,BS_RE33!$S$7:$S$874,$AF$2,BS_RE33!$N$7:$N$874,I20,BS_RE33!$P$7:$P$874,'30 days CF Table(GBP)'!G20,BS_RE33!$F$7:$F$874,'30 days CF Table(GBP)'!$C$2)</f>
        <v>0</v>
      </c>
      <c r="AG20" s="548">
        <f>SUMIFS(BS_RE33!$H$7:$H$874,BS_RE33!$S$7:$S$874,$AG$2,BS_RE33!$N$7:$N$874,I20,BS_RE33!$P$7:$P$874,'30 days CF Table(GBP)'!G20,BS_RE33!$F$7:$F$874,'30 days CF Table(GBP)'!$C$2)</f>
        <v>0</v>
      </c>
      <c r="AH20" s="548">
        <f>SUMIFS(BS_RE33!$H$7:$H$874,BS_RE33!$S$7:$S$874,$AH$2,BS_RE33!$N$7:$N$874,I20,BS_RE33!$P$7:$P$874,'30 days CF Table(GBP)'!G20,BS_RE33!$F$7:$F$874,'30 days CF Table(GBP)'!$C$2)</f>
        <v>0</v>
      </c>
      <c r="AI20" s="548">
        <f>SUMIFS(BS_RE33!$H$7:$H$874,BS_RE33!$S$7:$S$874,$AI$2,BS_RE33!$N$7:$N$874,I20,BS_RE33!$P$7:$P$874,'30 days CF Table(GBP)'!G20,BS_RE33!$F$7:$F$874,'30 days CF Table(GBP)'!$C$2)</f>
        <v>0</v>
      </c>
      <c r="AJ20" s="548">
        <f>SUMIFS(BS_RE33!$H$7:$H$874,BS_RE33!$S$7:$S$874,$AJ$2,BS_RE33!$N$7:$N$874,I20,BS_RE33!$P$7:$P$874,'30 days CF Table(GBP)'!G20,BS_RE33!$F$7:$F$874,'30 days CF Table(GBP)'!$C$2)</f>
        <v>0</v>
      </c>
      <c r="AK20" s="548">
        <f>SUMIFS(BS_RE33!$H$7:$H$874,BS_RE33!$S$7:$S$874,$AK$2,BS_RE33!$N$7:$N$874,I20,BS_RE33!$P$7:$P$874,'30 days CF Table(GBP)'!G20,BS_RE33!$F$7:$F$874,'30 days CF Table(GBP)'!$C$2)</f>
        <v>0</v>
      </c>
      <c r="AL20" s="548">
        <f>SUMIFS(BS_RE33!$H$7:$H$874,BS_RE33!$S$7:$S$874,$AL$2,BS_RE33!$N$7:$N$874,I20,BS_RE33!$P$7:$P$874,'30 days CF Table(GBP)'!G20,BS_RE33!$F$7:$F$874,'30 days CF Table(GBP)'!$C$2)</f>
        <v>0</v>
      </c>
      <c r="AM20" s="548">
        <f>SUMIFS(BS_RE33!$H$7:$H$874,BS_RE33!$S$7:$S$874,$AM$2,BS_RE33!$N$7:$N$874,I20,BS_RE33!$P$7:$P$874,'30 days CF Table(GBP)'!G20,BS_RE33!$F$7:$F$874,'30 days CF Table(GBP)'!$C$2)</f>
        <v>0</v>
      </c>
      <c r="AN20" s="548">
        <f>SUMIFS(BS_RE33!$H$7:$H$874,BS_RE33!$S$7:$S$874,$AN$2,BS_RE33!$N$7:$N$874,I20,BS_RE33!$P$7:$P$874,'30 days CF Table(GBP)'!G20,BS_RE33!$F$7:$F$874,'30 days CF Table(GBP)'!$C$2)</f>
        <v>0</v>
      </c>
      <c r="AO20" s="548">
        <f>SUMIFS(BS_RE33!$H$7:$H$874,BS_RE33!$S$7:$S$874,$AO$2,BS_RE33!$N$7:$N$874,I20,BS_RE33!$P$7:$P$874,'30 days CF Table(GBP)'!G20,BS_RE33!$F$7:$F$874,'30 days CF Table(GBP)'!$C$2)</f>
        <v>0</v>
      </c>
      <c r="AP20" s="549">
        <f>SUMIFS(BS_RE33!$H$7:$H$874,BS_RE33!$S$7:$S$874,$AP$2,BS_RE33!$N$7:$N$874,I20,BS_RE33!$P$7:$P$874,'30 days CF Table(GBP)'!G20,BS_RE33!$F$7:$F$874,'30 days CF Table(GBP)'!$C$2)</f>
        <v>0</v>
      </c>
      <c r="AQ20" s="550"/>
      <c r="AR20" s="380">
        <f>SUMIFS(BS_RE33!$H$7:$H$874,BS_RE33!$S$7:$S$874,$AR$2,BS_RE33!$N$7:$N$874,I20,BS_RE33!$P$7:$P$874,'30 days CF Table(GBP)'!G20,BS_RE33!$F$7:$F$874,'30 days CF Table(GBP)'!$C$2)</f>
        <v>0</v>
      </c>
      <c r="AS20" s="380">
        <f>SUMIFS(BS_RE33!$H$7:$H$874,BS_RE33!$S$7:$S$874,$AS$2,BS_RE33!$N$7:$N$874,I20,BS_RE33!$P$7:$P$874,'30 days CF Table(GBP)'!G20,BS_RE33!$F$7:$F$874,'30 days CF Table(GBP)'!$C$2)</f>
        <v>0</v>
      </c>
      <c r="AT20" s="380">
        <f>SUMIFS(BS_RE33!$H$7:$H$874,BS_RE33!$S$7:$S$874,$AT$2,BS_RE33!$N$7:$N$874,I20,BS_RE33!$P$7:$P$874,'30 days CF Table(GBP)'!G20,BS_RE33!$F$7:$F$874,'30 days CF Table(GBP)'!$C$2)</f>
        <v>0</v>
      </c>
      <c r="AU20" s="380">
        <f>SUMIFS(BS_RE33!$H$7:$H$874,BS_RE33!$S$7:$S$874,$AU$2,BS_RE33!$N$7:$N$874,I20,BS_RE33!$P$7:$P$874,'30 days CF Table(GBP)'!G20,BS_RE33!$F$7:$F$874,'30 days CF Table(GBP)'!$C$2)</f>
        <v>0</v>
      </c>
      <c r="AV20" s="380">
        <f>SUMIFS(BS_RE33!$H$7:$H$874,BS_RE33!$S$7:$S$874,$AV$2,BS_RE33!$N$7:$N$874,I20,BS_RE33!$P$7:$P$874,'30 days CF Table(GBP)'!G20,BS_RE33!$F$7:$F$874,'30 days CF Table(GBP)'!$C$2)</f>
        <v>0</v>
      </c>
      <c r="AW20" s="380">
        <f>SUMIFS(BS_RE33!$H$7:$H$874,BS_RE33!$S$7:$S$874,$AW$2,BS_RE33!$N$7:$N$874,I20,BS_RE33!$P$7:$P$874,'30 days CF Table(GBP)'!G20,BS_RE33!$F$7:$F$874,'30 days CF Table(GBP)'!$C$2)</f>
        <v>0</v>
      </c>
      <c r="AX20" s="380">
        <f>SUMIFS(BS_RE33!$H$7:$H$874,BS_RE33!$S$7:$S$874,$AX$2,BS_RE33!$N$7:$N$874,I20,BS_RE33!$P$7:$P$874,'30 days CF Table(GBP)'!G20,BS_RE33!$F$7:$F$874,'30 days CF Table(GBP)'!$C$2)</f>
        <v>0</v>
      </c>
      <c r="AY20" s="380">
        <f>SUMIFS(BS_RE33!$H$7:$H$874,BS_RE33!$S$7:$S$874,$AY$2,BS_RE33!$N$7:$N$874,I20,BS_RE33!$P$7:$P$874,'30 days CF Table(GBP)'!G20,BS_RE33!$F$7:$F$874,'30 days CF Table(GBP)'!$C$2)</f>
        <v>0</v>
      </c>
      <c r="AZ20" s="380">
        <f>SUMIFS(BS_RE33!$H$7:$H$874,BS_RE33!$S$7:$S$874,$AZ$2,BS_RE33!$N$7:$N$874,I20,BS_RE33!$P$7:$P$874,'30 days CF Table(GBP)'!G20,BS_RE33!$F$7:$F$874,'30 days CF Table(GBP)'!$C$2)</f>
        <v>0</v>
      </c>
      <c r="BA20" s="380">
        <f>SUMIFS(BS_RE33!$H$7:$H$874,BS_RE33!$S$7:$S$874,$BA$2,BS_RE33!$N$7:$N$874,I20,BS_RE33!$P$7:$P$874,'30 days CF Table(GBP)'!G20,BS_RE33!$F$7:$F$874,'30 days CF Table(GBP)'!$C$2)</f>
        <v>0</v>
      </c>
      <c r="BB20" s="380">
        <f>SUMIFS(BS_RE33!$H$7:$H$874,BS_RE33!$S$7:$S$874,$BB$2,BS_RE33!$N$7:$N$874,I20,BS_RE33!$P$7:$P$874,'30 days CF Table(GBP)'!G20,BS_RE33!$F$7:$F$874,'30 days CF Table(GBP)'!$C$2)</f>
        <v>0</v>
      </c>
      <c r="BC20" s="380">
        <f>SUMIFS(BS_RE33!$H$7:$H$874,BS_RE33!$S$7:$S$874,$BC$2,BS_RE33!$N$7:$N$874,I20,BS_RE33!$P$7:$P$874,'30 days CF Table(GBP)'!G20,BS_RE33!$F$7:$F$874,'30 days CF Table(GBP)'!$C$2)</f>
        <v>0</v>
      </c>
      <c r="BD20" s="380">
        <f>SUMIFS(BS_RE33!$H$7:$H$874,BS_RE33!$S$7:$S$874,$BD$2,BS_RE33!$N$7:$N$874,I20,BS_RE33!$P$7:$P$874,'30 days CF Table(GBP)'!G20,BS_RE33!$F$7:$F$874,'30 days CF Table(GBP)'!$C$2)</f>
        <v>0</v>
      </c>
      <c r="BE20" s="380">
        <f>SUMIFS(BS_RE33!$H$7:$H$874,BS_RE33!$S$7:$S$874,$BE$2,BS_RE33!$N$7:$N$874,I20,BS_RE33!$P$7:$P$874,'30 days CF Table(GBP)'!G20,BS_RE33!$F$7:$F$874,'30 days CF Table(GBP)'!$C$2)</f>
        <v>0</v>
      </c>
      <c r="BF20" s="380">
        <f>SUMIFS(BS_RE33!$H$7:$H$874,BS_RE33!$S$7:$S$874,$BF$2,BS_RE33!$N$7:$N$874,I20,BS_RE33!$P$7:$P$874,'30 days CF Table(GBP)'!G20,BS_RE33!$F$7:$F$874,'30 days CF Table(GBP)'!$C$2)</f>
        <v>0</v>
      </c>
      <c r="BG20" s="380">
        <f>SUMIFS(BS_RE33!$H$7:$H$874,BS_RE33!$S$7:$S$874,$BG$2,BS_RE33!$N$7:$N$874,I20,BS_RE33!$P$7:$P$874,'30 days CF Table(GBP)'!G20,BS_RE33!$F$7:$F$874,'30 days CF Table(GBP)'!$C$2)</f>
        <v>0</v>
      </c>
      <c r="BH20" s="380">
        <f>SUMIFS(BS_RE33!$H$7:$H$874,BS_RE33!$S$7:$S$874,$BH$2,BS_RE33!$N$7:$N$874,I20,BS_RE33!$P$7:$P$874,'30 days CF Table(GBP)'!G20,BS_RE33!$F$7:$F$874,'30 days CF Table(GBP)'!$C$2)</f>
        <v>0</v>
      </c>
      <c r="BI20" s="380">
        <f>SUMIFS(BS_RE33!$H$7:$H$874,BS_RE33!$S$7:$S$874,$BI$2,BS_RE33!$N$7:$N$874,I20,BS_RE33!$P$7:$P$874,'30 days CF Table(GBP)'!G20,BS_RE33!$F$7:$F$874,'30 days CF Table(GBP)'!$C$2)</f>
        <v>0</v>
      </c>
      <c r="BJ20" s="380">
        <f>SUMIFS(BS_RE33!$H$7:$H$874,BS_RE33!$S$7:$S$874,$BJ$2,BS_RE33!$N$7:$N$874,I20,BS_RE33!$P$7:$P$874,'30 days CF Table(GBP)'!G20,BS_RE33!$F$7:$F$874,'30 days CF Table(GBP)'!$C$2)</f>
        <v>0</v>
      </c>
      <c r="BK20" s="380">
        <f>SUMIFS(BS_RE33!$H$7:$H$874,BS_RE33!$S$7:$S$874,$BK$2,BS_RE33!$N$7:$N$874,I20,BS_RE33!$P$7:$P$874,'30 days CF Table(GBP)'!G20,BS_RE33!$F$7:$F$874,'30 days CF Table(GBP)'!$C$2)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Table(GBP)'!G21,BS_RE33!$F$7:$F$874,'30 days CF Table(GBP)'!$C$2)</f>
        <v>0</v>
      </c>
      <c r="M21" s="548">
        <f>SUMIFS(BS_RE33!$H$7:$H$874,BS_RE33!$S$7:$S$874,$M$2,BS_RE33!$N$7:$N$874,I21,BS_RE33!$P$7:$P$874,'30 days CF Table(GBP)'!G21,BS_RE33!$F$7:$F$874,'30 days CF Table(GBP)'!$C$2)</f>
        <v>0</v>
      </c>
      <c r="N21" s="548">
        <f>SUMIFS(BS_RE33!$H$7:$H$874,BS_RE33!$S$7:$S$874,$N$2,BS_RE33!$N$7:$N$874,I21,BS_RE33!$P$7:$P$874,'30 days CF Table(GBP)'!G21,BS_RE33!$F$7:$F$874,'30 days CF Table(GBP)'!$C$2)</f>
        <v>0</v>
      </c>
      <c r="O21" s="548">
        <f>SUMIFS(BS_RE33!$H$7:$H$874,BS_RE33!$S$7:$S$874,$O$2,BS_RE33!$N$7:$N$874,I21,BS_RE33!$P$7:$P$874,'30 days CF Table(GBP)'!G21,BS_RE33!$F$7:$F$874,'30 days CF Table(GBP)'!$C$2)</f>
        <v>0</v>
      </c>
      <c r="P21" s="548">
        <f>SUMIFS(BS_RE33!$H$7:$H$874,BS_RE33!$S$7:$S$874,$P$2,BS_RE33!$N$7:$N$874,I21,BS_RE33!$P$7:$P$874,'30 days CF Table(GBP)'!G21,BS_RE33!$F$7:$F$874,'30 days CF Table(GBP)'!$C$2)</f>
        <v>0</v>
      </c>
      <c r="Q21" s="548">
        <f>SUMIFS(BS_RE33!$H$7:$H$874,BS_RE33!$S$7:$S$874,$Q$2,BS_RE33!$N$7:$N$874,I21,BS_RE33!$P$7:$P$874,'30 days CF Table(GBP)'!G21,BS_RE33!$F$7:$F$874,'30 days CF Table(GBP)'!$C$2)</f>
        <v>0</v>
      </c>
      <c r="R21" s="548">
        <f>SUMIFS(BS_RE33!$H$7:$H$874,BS_RE33!$S$7:$S$874,$R$2,BS_RE33!$N$7:$N$874,I21,BS_RE33!$P$7:$P$874,'30 days CF Table(GBP)'!G21,BS_RE33!$F$7:$F$874,'30 days CF Table(GBP)'!$C$2)</f>
        <v>0</v>
      </c>
      <c r="S21" s="548">
        <f>SUMIFS(BS_RE33!$H$7:$H$874,BS_RE33!$S$7:$S$874,$S$2,BS_RE33!$N$7:$N$874,I21,BS_RE33!$P$7:$P$874,'30 days CF Table(GBP)'!G21,BS_RE33!$F$7:$F$874,'30 days CF Table(GBP)'!$C$2)</f>
        <v>0</v>
      </c>
      <c r="T21" s="548">
        <f>SUMIFS(BS_RE33!$H$7:$H$874,BS_RE33!$S$7:$S$874,$T$2,BS_RE33!$N$7:$N$874,I21,BS_RE33!$P$7:$P$874,'30 days CF Table(GBP)'!G21,BS_RE33!$F$7:$F$874,'30 days CF Table(GBP)'!$C$2)</f>
        <v>0</v>
      </c>
      <c r="U21" s="548">
        <f>SUMIFS(BS_RE33!$H$7:$H$874,BS_RE33!$S$7:$S$874,$U$2,BS_RE33!$N$7:$N$874,I21,BS_RE33!$P$7:$P$874,'30 days CF Table(GBP)'!G21,BS_RE33!$F$7:$F$874,'30 days CF Table(GBP)'!$C$2)</f>
        <v>0</v>
      </c>
      <c r="V21" s="548">
        <f>SUMIFS(BS_RE33!$H$7:$H$874,BS_RE33!$S$7:$S$874,$V$2,BS_RE33!$N$7:$N$874,I21,BS_RE33!$P$7:$P$874,'30 days CF Table(GBP)'!G21,BS_RE33!$F$7:$F$874,'30 days CF Table(GBP)'!$C$2)</f>
        <v>0</v>
      </c>
      <c r="W21" s="548">
        <f>SUMIFS(BS_RE33!$H$7:$H$874,BS_RE33!$S$7:$S$874,$W$2,BS_RE33!$N$7:$N$874,I21,BS_RE33!$P$7:$P$874,'30 days CF Table(GBP)'!G21,BS_RE33!$F$7:$F$874,'30 days CF Table(GBP)'!$C$2)</f>
        <v>0</v>
      </c>
      <c r="X21" s="548">
        <f>SUMIFS(BS_RE33!$H$7:$H$874,BS_RE33!$S$7:$S$874,$X$2,BS_RE33!$N$7:$N$874,I21,BS_RE33!$P$7:$P$874,'30 days CF Table(GBP)'!G21,BS_RE33!$F$7:$F$874,'30 days CF Table(GBP)'!$C$2)</f>
        <v>0</v>
      </c>
      <c r="Y21" s="548">
        <f>SUMIFS(BS_RE33!$H$7:$H$874,BS_RE33!$S$7:$S$874,$Y$2,BS_RE33!$N$7:$N$874,I21,BS_RE33!$P$7:$P$874,'30 days CF Table(GBP)'!G21,BS_RE33!$F$7:$F$874,'30 days CF Table(GBP)'!$C$2)</f>
        <v>0</v>
      </c>
      <c r="Z21" s="548">
        <f>SUMIFS(BS_RE33!$H$7:$H$874,BS_RE33!$S$7:$S$874,$Z$2,BS_RE33!$N$7:$N$874,I21,BS_RE33!$P$7:$P$874,'30 days CF Table(GBP)'!G21,BS_RE33!$F$7:$F$874,'30 days CF Table(GBP)'!$C$2)</f>
        <v>0</v>
      </c>
      <c r="AA21" s="548">
        <f>SUMIFS(BS_RE33!$H$7:$H$874,BS_RE33!$S$7:$S$874,$AA$2,BS_RE33!$N$7:$N$874,I21,BS_RE33!$P$7:$P$874,'30 days CF Table(GBP)'!G21,BS_RE33!$F$7:$F$874,'30 days CF Table(GBP)'!$C$2)</f>
        <v>0</v>
      </c>
      <c r="AB21" s="548">
        <f>SUMIFS(BS_RE33!$H$7:$H$874,BS_RE33!$S$7:$S$874,$AB$2,BS_RE33!$N$7:$N$874,I21,BS_RE33!$P$7:$P$874,'30 days CF Table(GBP)'!G21,BS_RE33!$F$7:$F$874,'30 days CF Table(GBP)'!$C$2)</f>
        <v>0</v>
      </c>
      <c r="AC21" s="548">
        <f>SUMIFS(BS_RE33!$H$7:$H$874,BS_RE33!$S$7:$S$874,$AC$2,BS_RE33!$N$7:$N$874,I21,BS_RE33!$P$7:$P$874,'30 days CF Table(GBP)'!G21,BS_RE33!$F$7:$F$874,'30 days CF Table(GBP)'!$C$2)</f>
        <v>0</v>
      </c>
      <c r="AD21" s="548">
        <f>SUMIFS(BS_RE33!$H$7:$H$874,BS_RE33!$S$7:$S$874,$AD$2,BS_RE33!$N$7:$N$874,I21,BS_RE33!$P$7:$P$874,'30 days CF Table(GBP)'!G21,BS_RE33!$F$7:$F$874,'30 days CF Table(GBP)'!$C$2)</f>
        <v>0</v>
      </c>
      <c r="AE21" s="548">
        <f>SUMIFS(BS_RE33!$H$7:$H$874,BS_RE33!$S$7:$S$874,$AE$2,BS_RE33!$N$7:$N$874,I21,BS_RE33!$P$7:$P$874,'30 days CF Table(GBP)'!G21,BS_RE33!$F$7:$F$874,'30 days CF Table(GBP)'!$C$2)</f>
        <v>0</v>
      </c>
      <c r="AF21" s="548">
        <f>SUMIFS(BS_RE33!$H$7:$H$874,BS_RE33!$S$7:$S$874,$AF$2,BS_RE33!$N$7:$N$874,I21,BS_RE33!$P$7:$P$874,'30 days CF Table(GBP)'!G21,BS_RE33!$F$7:$F$874,'30 days CF Table(GBP)'!$C$2)</f>
        <v>0</v>
      </c>
      <c r="AG21" s="548">
        <f>SUMIFS(BS_RE33!$H$7:$H$874,BS_RE33!$S$7:$S$874,$AG$2,BS_RE33!$N$7:$N$874,I21,BS_RE33!$P$7:$P$874,'30 days CF Table(GBP)'!G21,BS_RE33!$F$7:$F$874,'30 days CF Table(GBP)'!$C$2)</f>
        <v>0</v>
      </c>
      <c r="AH21" s="548">
        <f>SUMIFS(BS_RE33!$H$7:$H$874,BS_RE33!$S$7:$S$874,$AH$2,BS_RE33!$N$7:$N$874,I21,BS_RE33!$P$7:$P$874,'30 days CF Table(GBP)'!G21,BS_RE33!$F$7:$F$874,'30 days CF Table(GBP)'!$C$2)</f>
        <v>0</v>
      </c>
      <c r="AI21" s="548">
        <f>SUMIFS(BS_RE33!$H$7:$H$874,BS_RE33!$S$7:$S$874,$AI$2,BS_RE33!$N$7:$N$874,I21,BS_RE33!$P$7:$P$874,'30 days CF Table(GBP)'!G21,BS_RE33!$F$7:$F$874,'30 days CF Table(GBP)'!$C$2)</f>
        <v>0</v>
      </c>
      <c r="AJ21" s="548">
        <f>SUMIFS(BS_RE33!$H$7:$H$874,BS_RE33!$S$7:$S$874,$AJ$2,BS_RE33!$N$7:$N$874,I21,BS_RE33!$P$7:$P$874,'30 days CF Table(GBP)'!G21,BS_RE33!$F$7:$F$874,'30 days CF Table(GBP)'!$C$2)</f>
        <v>0</v>
      </c>
      <c r="AK21" s="548">
        <f>SUMIFS(BS_RE33!$H$7:$H$874,BS_RE33!$S$7:$S$874,$AK$2,BS_RE33!$N$7:$N$874,I21,BS_RE33!$P$7:$P$874,'30 days CF Table(GBP)'!G21,BS_RE33!$F$7:$F$874,'30 days CF Table(GBP)'!$C$2)</f>
        <v>0</v>
      </c>
      <c r="AL21" s="548">
        <f>SUMIFS(BS_RE33!$H$7:$H$874,BS_RE33!$S$7:$S$874,$AL$2,BS_RE33!$N$7:$N$874,I21,BS_RE33!$P$7:$P$874,'30 days CF Table(GBP)'!G21,BS_RE33!$F$7:$F$874,'30 days CF Table(GBP)'!$C$2)</f>
        <v>0</v>
      </c>
      <c r="AM21" s="548">
        <f>SUMIFS(BS_RE33!$H$7:$H$874,BS_RE33!$S$7:$S$874,$AM$2,BS_RE33!$N$7:$N$874,I21,BS_RE33!$P$7:$P$874,'30 days CF Table(GBP)'!G21,BS_RE33!$F$7:$F$874,'30 days CF Table(GBP)'!$C$2)</f>
        <v>0</v>
      </c>
      <c r="AN21" s="548">
        <f>SUMIFS(BS_RE33!$H$7:$H$874,BS_RE33!$S$7:$S$874,$AN$2,BS_RE33!$N$7:$N$874,I21,BS_RE33!$P$7:$P$874,'30 days CF Table(GBP)'!G21,BS_RE33!$F$7:$F$874,'30 days CF Table(GBP)'!$C$2)</f>
        <v>0</v>
      </c>
      <c r="AO21" s="548">
        <f>SUMIFS(BS_RE33!$H$7:$H$874,BS_RE33!$S$7:$S$874,$AO$2,BS_RE33!$N$7:$N$874,I21,BS_RE33!$P$7:$P$874,'30 days CF Table(GBP)'!G21,BS_RE33!$F$7:$F$874,'30 days CF Table(GBP)'!$C$2)</f>
        <v>0</v>
      </c>
      <c r="AP21" s="549">
        <f>SUMIFS(BS_RE33!$H$7:$H$874,BS_RE33!$S$7:$S$874,$AP$2,BS_RE33!$N$7:$N$874,I21,BS_RE33!$P$7:$P$874,'30 days CF Table(GBP)'!G21,BS_RE33!$F$7:$F$874,'30 days CF Table(GBP)'!$C$2)</f>
        <v>0</v>
      </c>
      <c r="AQ21" s="550"/>
      <c r="AR21" s="380">
        <f>SUMIFS(BS_RE33!$H$7:$H$874,BS_RE33!$S$7:$S$874,$AR$2,BS_RE33!$N$7:$N$874,I21,BS_RE33!$P$7:$P$874,'30 days CF Table(GBP)'!G21,BS_RE33!$F$7:$F$874,'30 days CF Table(GBP)'!$C$2)</f>
        <v>0</v>
      </c>
      <c r="AS21" s="380">
        <f>SUMIFS(BS_RE33!$H$7:$H$874,BS_RE33!$S$7:$S$874,$AS$2,BS_RE33!$N$7:$N$874,I21,BS_RE33!$P$7:$P$874,'30 days CF Table(GBP)'!G21,BS_RE33!$F$7:$F$874,'30 days CF Table(GBP)'!$C$2)</f>
        <v>0</v>
      </c>
      <c r="AT21" s="380">
        <f>SUMIFS(BS_RE33!$H$7:$H$874,BS_RE33!$S$7:$S$874,$AT$2,BS_RE33!$N$7:$N$874,I21,BS_RE33!$P$7:$P$874,'30 days CF Table(GBP)'!G21,BS_RE33!$F$7:$F$874,'30 days CF Table(GBP)'!$C$2)</f>
        <v>0</v>
      </c>
      <c r="AU21" s="380">
        <f>SUMIFS(BS_RE33!$H$7:$H$874,BS_RE33!$S$7:$S$874,$AU$2,BS_RE33!$N$7:$N$874,I21,BS_RE33!$P$7:$P$874,'30 days CF Table(GBP)'!G21,BS_RE33!$F$7:$F$874,'30 days CF Table(GBP)'!$C$2)</f>
        <v>0</v>
      </c>
      <c r="AV21" s="380">
        <f>SUMIFS(BS_RE33!$H$7:$H$874,BS_RE33!$S$7:$S$874,$AV$2,BS_RE33!$N$7:$N$874,I21,BS_RE33!$P$7:$P$874,'30 days CF Table(GBP)'!G21,BS_RE33!$F$7:$F$874,'30 days CF Table(GBP)'!$C$2)</f>
        <v>0</v>
      </c>
      <c r="AW21" s="380">
        <f>SUMIFS(BS_RE33!$H$7:$H$874,BS_RE33!$S$7:$S$874,$AW$2,BS_RE33!$N$7:$N$874,I21,BS_RE33!$P$7:$P$874,'30 days CF Table(GBP)'!G21,BS_RE33!$F$7:$F$874,'30 days CF Table(GBP)'!$C$2)</f>
        <v>0</v>
      </c>
      <c r="AX21" s="380">
        <f>SUMIFS(BS_RE33!$H$7:$H$874,BS_RE33!$S$7:$S$874,$AX$2,BS_RE33!$N$7:$N$874,I21,BS_RE33!$P$7:$P$874,'30 days CF Table(GBP)'!G21,BS_RE33!$F$7:$F$874,'30 days CF Table(GBP)'!$C$2)</f>
        <v>0</v>
      </c>
      <c r="AY21" s="380">
        <f>SUMIFS(BS_RE33!$H$7:$H$874,BS_RE33!$S$7:$S$874,$AY$2,BS_RE33!$N$7:$N$874,I21,BS_RE33!$P$7:$P$874,'30 days CF Table(GBP)'!G21,BS_RE33!$F$7:$F$874,'30 days CF Table(GBP)'!$C$2)</f>
        <v>0</v>
      </c>
      <c r="AZ21" s="380">
        <f>SUMIFS(BS_RE33!$H$7:$H$874,BS_RE33!$S$7:$S$874,$AZ$2,BS_RE33!$N$7:$N$874,I21,BS_RE33!$P$7:$P$874,'30 days CF Table(GBP)'!G21,BS_RE33!$F$7:$F$874,'30 days CF Table(GBP)'!$C$2)</f>
        <v>0</v>
      </c>
      <c r="BA21" s="380">
        <f>SUMIFS(BS_RE33!$H$7:$H$874,BS_RE33!$S$7:$S$874,$BA$2,BS_RE33!$N$7:$N$874,I21,BS_RE33!$P$7:$P$874,'30 days CF Table(GBP)'!G21,BS_RE33!$F$7:$F$874,'30 days CF Table(GBP)'!$C$2)</f>
        <v>0</v>
      </c>
      <c r="BB21" s="380">
        <f>SUMIFS(BS_RE33!$H$7:$H$874,BS_RE33!$S$7:$S$874,$BB$2,BS_RE33!$N$7:$N$874,I21,BS_RE33!$P$7:$P$874,'30 days CF Table(GBP)'!G21,BS_RE33!$F$7:$F$874,'30 days CF Table(GBP)'!$C$2)</f>
        <v>0</v>
      </c>
      <c r="BC21" s="380">
        <f>SUMIFS(BS_RE33!$H$7:$H$874,BS_RE33!$S$7:$S$874,$BC$2,BS_RE33!$N$7:$N$874,I21,BS_RE33!$P$7:$P$874,'30 days CF Table(GBP)'!G21,BS_RE33!$F$7:$F$874,'30 days CF Table(GBP)'!$C$2)</f>
        <v>0</v>
      </c>
      <c r="BD21" s="380">
        <f>SUMIFS(BS_RE33!$H$7:$H$874,BS_RE33!$S$7:$S$874,$BD$2,BS_RE33!$N$7:$N$874,I21,BS_RE33!$P$7:$P$874,'30 days CF Table(GBP)'!G21,BS_RE33!$F$7:$F$874,'30 days CF Table(GBP)'!$C$2)</f>
        <v>0</v>
      </c>
      <c r="BE21" s="380">
        <f>SUMIFS(BS_RE33!$H$7:$H$874,BS_RE33!$S$7:$S$874,$BE$2,BS_RE33!$N$7:$N$874,I21,BS_RE33!$P$7:$P$874,'30 days CF Table(GBP)'!G21,BS_RE33!$F$7:$F$874,'30 days CF Table(GBP)'!$C$2)</f>
        <v>0</v>
      </c>
      <c r="BF21" s="380">
        <f>SUMIFS(BS_RE33!$H$7:$H$874,BS_RE33!$S$7:$S$874,$BF$2,BS_RE33!$N$7:$N$874,I21,BS_RE33!$P$7:$P$874,'30 days CF Table(GBP)'!G21,BS_RE33!$F$7:$F$874,'30 days CF Table(GBP)'!$C$2)</f>
        <v>0</v>
      </c>
      <c r="BG21" s="380">
        <f>SUMIFS(BS_RE33!$H$7:$H$874,BS_RE33!$S$7:$S$874,$BG$2,BS_RE33!$N$7:$N$874,I21,BS_RE33!$P$7:$P$874,'30 days CF Table(GBP)'!G21,BS_RE33!$F$7:$F$874,'30 days CF Table(GBP)'!$C$2)</f>
        <v>0</v>
      </c>
      <c r="BH21" s="380">
        <f>SUMIFS(BS_RE33!$H$7:$H$874,BS_RE33!$S$7:$S$874,$BH$2,BS_RE33!$N$7:$N$874,I21,BS_RE33!$P$7:$P$874,'30 days CF Table(GBP)'!G21,BS_RE33!$F$7:$F$874,'30 days CF Table(GBP)'!$C$2)</f>
        <v>0</v>
      </c>
      <c r="BI21" s="380">
        <f>SUMIFS(BS_RE33!$H$7:$H$874,BS_RE33!$S$7:$S$874,$BI$2,BS_RE33!$N$7:$N$874,I21,BS_RE33!$P$7:$P$874,'30 days CF Table(GBP)'!G21,BS_RE33!$F$7:$F$874,'30 days CF Table(GBP)'!$C$2)</f>
        <v>0</v>
      </c>
      <c r="BJ21" s="380">
        <f>SUMIFS(BS_RE33!$H$7:$H$874,BS_RE33!$S$7:$S$874,$BJ$2,BS_RE33!$N$7:$N$874,I21,BS_RE33!$P$7:$P$874,'30 days CF Table(GBP)'!G21,BS_RE33!$F$7:$F$874,'30 days CF Table(GBP)'!$C$2)</f>
        <v>0</v>
      </c>
      <c r="BK21" s="380">
        <f>SUMIFS(BS_RE33!$H$7:$H$874,BS_RE33!$S$7:$S$874,$BK$2,BS_RE33!$N$7:$N$874,I21,BS_RE33!$P$7:$P$874,'30 days CF Table(GBP)'!G21,BS_RE33!$F$7:$F$874,'30 days CF Table(GBP)'!$C$2)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Table(GBP)'!G22,BS_RE33!$F$7:$F$874,'30 days CF Table(GBP)'!$C$2)</f>
        <v>0</v>
      </c>
      <c r="M22" s="337">
        <f>SUMIFS(BS_RE33!$H$7:$H$874,BS_RE33!$S$7:$S$874,$M$2,BS_RE33!$N$7:$N$874,I22,BS_RE33!$P$7:$P$874,'30 days CF Table(GBP)'!G22,BS_RE33!$F$7:$F$874,'30 days CF Table(GBP)'!$C$2)</f>
        <v>0</v>
      </c>
      <c r="N22" s="337">
        <f>SUMIFS(BS_RE33!$H$7:$H$874,BS_RE33!$S$7:$S$874,$N$2,BS_RE33!$N$7:$N$874,I22,BS_RE33!$P$7:$P$874,'30 days CF Table(GBP)'!G22,BS_RE33!$F$7:$F$874,'30 days CF Table(GBP)'!$C$2)</f>
        <v>0</v>
      </c>
      <c r="O22" s="337">
        <f>SUMIFS(BS_RE33!$H$7:$H$874,BS_RE33!$S$7:$S$874,$O$2,BS_RE33!$N$7:$N$874,I22,BS_RE33!$P$7:$P$874,'30 days CF Table(GBP)'!G22,BS_RE33!$F$7:$F$874,'30 days CF Table(GBP)'!$C$2)</f>
        <v>0</v>
      </c>
      <c r="P22" s="337">
        <f>SUMIFS(BS_RE33!$H$7:$H$874,BS_RE33!$S$7:$S$874,$P$2,BS_RE33!$N$7:$N$874,I22,BS_RE33!$P$7:$P$874,'30 days CF Table(GBP)'!G22,BS_RE33!$F$7:$F$874,'30 days CF Table(GBP)'!$C$2)</f>
        <v>0</v>
      </c>
      <c r="Q22" s="337">
        <f>SUMIFS(BS_RE33!$H$7:$H$874,BS_RE33!$S$7:$S$874,$Q$2,BS_RE33!$N$7:$N$874,I22,BS_RE33!$P$7:$P$874,'30 days CF Table(GBP)'!G22,BS_RE33!$F$7:$F$874,'30 days CF Table(GBP)'!$C$2)</f>
        <v>0</v>
      </c>
      <c r="R22" s="337">
        <f>SUMIFS(BS_RE33!$H$7:$H$874,BS_RE33!$S$7:$S$874,$R$2,BS_RE33!$N$7:$N$874,I22,BS_RE33!$P$7:$P$874,'30 days CF Table(GBP)'!G22,BS_RE33!$F$7:$F$874,'30 days CF Table(GBP)'!$C$2)</f>
        <v>0</v>
      </c>
      <c r="S22" s="337">
        <f>SUMIFS(BS_RE33!$H$7:$H$874,BS_RE33!$S$7:$S$874,$S$2,BS_RE33!$N$7:$N$874,I22,BS_RE33!$P$7:$P$874,'30 days CF Table(GBP)'!G22,BS_RE33!$F$7:$F$874,'30 days CF Table(GBP)'!$C$2)</f>
        <v>0</v>
      </c>
      <c r="T22" s="337">
        <f>SUMIFS(BS_RE33!$H$7:$H$874,BS_RE33!$S$7:$S$874,$T$2,BS_RE33!$N$7:$N$874,I22,BS_RE33!$P$7:$P$874,'30 days CF Table(GBP)'!G22,BS_RE33!$F$7:$F$874,'30 days CF Table(GBP)'!$C$2)</f>
        <v>0</v>
      </c>
      <c r="U22" s="337">
        <f>SUMIFS(BS_RE33!$H$7:$H$874,BS_RE33!$S$7:$S$874,$U$2,BS_RE33!$N$7:$N$874,I22,BS_RE33!$P$7:$P$874,'30 days CF Table(GBP)'!G22,BS_RE33!$F$7:$F$874,'30 days CF Table(GBP)'!$C$2)</f>
        <v>0</v>
      </c>
      <c r="V22" s="337">
        <f>SUMIFS(BS_RE33!$H$7:$H$874,BS_RE33!$S$7:$S$874,$V$2,BS_RE33!$N$7:$N$874,I22,BS_RE33!$P$7:$P$874,'30 days CF Table(GBP)'!G22,BS_RE33!$F$7:$F$874,'30 days CF Table(GBP)'!$C$2)</f>
        <v>0</v>
      </c>
      <c r="W22" s="337">
        <f>SUMIFS(BS_RE33!$H$7:$H$874,BS_RE33!$S$7:$S$874,$W$2,BS_RE33!$N$7:$N$874,I22,BS_RE33!$P$7:$P$874,'30 days CF Table(GBP)'!G22,BS_RE33!$F$7:$F$874,'30 days CF Table(GBP)'!$C$2)</f>
        <v>0</v>
      </c>
      <c r="X22" s="337">
        <f>SUMIFS(BS_RE33!$H$7:$H$874,BS_RE33!$S$7:$S$874,$X$2,BS_RE33!$N$7:$N$874,I22,BS_RE33!$P$7:$P$874,'30 days CF Table(GBP)'!G22,BS_RE33!$F$7:$F$874,'30 days CF Table(GBP)'!$C$2)</f>
        <v>0</v>
      </c>
      <c r="Y22" s="337">
        <f>SUMIFS(BS_RE33!$H$7:$H$874,BS_RE33!$S$7:$S$874,$Y$2,BS_RE33!$N$7:$N$874,I22,BS_RE33!$P$7:$P$874,'30 days CF Table(GBP)'!G22,BS_RE33!$F$7:$F$874,'30 days CF Table(GBP)'!$C$2)</f>
        <v>0</v>
      </c>
      <c r="Z22" s="337">
        <f>SUMIFS(BS_RE33!$H$7:$H$874,BS_RE33!$S$7:$S$874,$Z$2,BS_RE33!$N$7:$N$874,I22,BS_RE33!$P$7:$P$874,'30 days CF Table(GBP)'!G22,BS_RE33!$F$7:$F$874,'30 days CF Table(GBP)'!$C$2)</f>
        <v>0</v>
      </c>
      <c r="AA22" s="337">
        <f>SUMIFS(BS_RE33!$H$7:$H$874,BS_RE33!$S$7:$S$874,$AA$2,BS_RE33!$N$7:$N$874,I22,BS_RE33!$P$7:$P$874,'30 days CF Table(GBP)'!G22,BS_RE33!$F$7:$F$874,'30 days CF Table(GBP)'!$C$2)</f>
        <v>0</v>
      </c>
      <c r="AB22" s="337">
        <f>SUMIFS(BS_RE33!$H$7:$H$874,BS_RE33!$S$7:$S$874,$AB$2,BS_RE33!$N$7:$N$874,I22,BS_RE33!$P$7:$P$874,'30 days CF Table(GBP)'!G22,BS_RE33!$F$7:$F$874,'30 days CF Table(GBP)'!$C$2)</f>
        <v>0</v>
      </c>
      <c r="AC22" s="337">
        <f>SUMIFS(BS_RE33!$H$7:$H$874,BS_RE33!$S$7:$S$874,$AC$2,BS_RE33!$N$7:$N$874,I22,BS_RE33!$P$7:$P$874,'30 days CF Table(GBP)'!G22,BS_RE33!$F$7:$F$874,'30 days CF Table(GBP)'!$C$2)</f>
        <v>0</v>
      </c>
      <c r="AD22" s="337">
        <f>SUMIFS(BS_RE33!$H$7:$H$874,BS_RE33!$S$7:$S$874,$AD$2,BS_RE33!$N$7:$N$874,I22,BS_RE33!$P$7:$P$874,'30 days CF Table(GBP)'!G22,BS_RE33!$F$7:$F$874,'30 days CF Table(GBP)'!$C$2)</f>
        <v>0</v>
      </c>
      <c r="AE22" s="337">
        <f>SUMIFS(BS_RE33!$H$7:$H$874,BS_RE33!$S$7:$S$874,$AE$2,BS_RE33!$N$7:$N$874,I22,BS_RE33!$P$7:$P$874,'30 days CF Table(GBP)'!G22,BS_RE33!$F$7:$F$874,'30 days CF Table(GBP)'!$C$2)</f>
        <v>0</v>
      </c>
      <c r="AF22" s="337">
        <f>SUMIFS(BS_RE33!$H$7:$H$874,BS_RE33!$S$7:$S$874,$AF$2,BS_RE33!$N$7:$N$874,I22,BS_RE33!$P$7:$P$874,'30 days CF Table(GBP)'!G22,BS_RE33!$F$7:$F$874,'30 days CF Table(GBP)'!$C$2)</f>
        <v>0</v>
      </c>
      <c r="AG22" s="337">
        <f>SUMIFS(BS_RE33!$H$7:$H$874,BS_RE33!$S$7:$S$874,$AG$2,BS_RE33!$N$7:$N$874,I22,BS_RE33!$P$7:$P$874,'30 days CF Table(GBP)'!G22,BS_RE33!$F$7:$F$874,'30 days CF Table(GBP)'!$C$2)</f>
        <v>0</v>
      </c>
      <c r="AH22" s="337">
        <f>SUMIFS(BS_RE33!$H$7:$H$874,BS_RE33!$S$7:$S$874,$AH$2,BS_RE33!$N$7:$N$874,I22,BS_RE33!$P$7:$P$874,'30 days CF Table(GBP)'!G22,BS_RE33!$F$7:$F$874,'30 days CF Table(GBP)'!$C$2)</f>
        <v>0</v>
      </c>
      <c r="AI22" s="337">
        <f>SUMIFS(BS_RE33!$H$7:$H$874,BS_RE33!$S$7:$S$874,$AI$2,BS_RE33!$N$7:$N$874,I22,BS_RE33!$P$7:$P$874,'30 days CF Table(GBP)'!G22,BS_RE33!$F$7:$F$874,'30 days CF Table(GBP)'!$C$2)</f>
        <v>0</v>
      </c>
      <c r="AJ22" s="337">
        <f>SUMIFS(BS_RE33!$H$7:$H$874,BS_RE33!$S$7:$S$874,$AJ$2,BS_RE33!$N$7:$N$874,I22,BS_RE33!$P$7:$P$874,'30 days CF Table(GBP)'!G22,BS_RE33!$F$7:$F$874,'30 days CF Table(GBP)'!$C$2)</f>
        <v>0</v>
      </c>
      <c r="AK22" s="337">
        <f>SUMIFS(BS_RE33!$H$7:$H$874,BS_RE33!$S$7:$S$874,$AK$2,BS_RE33!$N$7:$N$874,I22,BS_RE33!$P$7:$P$874,'30 days CF Table(GBP)'!G22,BS_RE33!$F$7:$F$874,'30 days CF Table(GBP)'!$C$2)</f>
        <v>0</v>
      </c>
      <c r="AL22" s="337">
        <f>SUMIFS(BS_RE33!$H$7:$H$874,BS_RE33!$S$7:$S$874,$AL$2,BS_RE33!$N$7:$N$874,I22,BS_RE33!$P$7:$P$874,'30 days CF Table(GBP)'!G22,BS_RE33!$F$7:$F$874,'30 days CF Table(GBP)'!$C$2)</f>
        <v>0</v>
      </c>
      <c r="AM22" s="337">
        <f>SUMIFS(BS_RE33!$H$7:$H$874,BS_RE33!$S$7:$S$874,$AM$2,BS_RE33!$N$7:$N$874,I22,BS_RE33!$P$7:$P$874,'30 days CF Table(GBP)'!G22,BS_RE33!$F$7:$F$874,'30 days CF Table(GBP)'!$C$2)</f>
        <v>0</v>
      </c>
      <c r="AN22" s="337">
        <f>SUMIFS(BS_RE33!$H$7:$H$874,BS_RE33!$S$7:$S$874,$AN$2,BS_RE33!$N$7:$N$874,I22,BS_RE33!$P$7:$P$874,'30 days CF Table(GBP)'!G22,BS_RE33!$F$7:$F$874,'30 days CF Table(GBP)'!$C$2)</f>
        <v>0</v>
      </c>
      <c r="AO22" s="337">
        <f>SUMIFS(BS_RE33!$H$7:$H$874,BS_RE33!$S$7:$S$874,$AO$2,BS_RE33!$N$7:$N$874,I22,BS_RE33!$P$7:$P$874,'30 days CF Table(GBP)'!G22,BS_RE33!$F$7:$F$874,'30 days CF Table(GBP)'!$C$2)</f>
        <v>0</v>
      </c>
      <c r="AP22" s="338">
        <f>SUMIFS(BS_RE33!$H$7:$H$874,BS_RE33!$S$7:$S$874,$AP$2,BS_RE33!$N$7:$N$874,I22,BS_RE33!$P$7:$P$874,'30 days CF Table(GBP)'!G22,BS_RE33!$F$7:$F$874,'30 days CF Table(GBP)'!$C$2)</f>
        <v>0</v>
      </c>
      <c r="AQ22" s="545"/>
      <c r="AR22" s="379">
        <f>SUMIFS(BS_RE33!$H$7:$H$874,BS_RE33!$S$7:$S$874,$AR$2,BS_RE33!$N$7:$N$874,I22,BS_RE33!$P$7:$P$874,'30 days CF Table(GBP)'!G22,BS_RE33!$F$7:$F$874,'30 days CF Table(GBP)'!$C$2)</f>
        <v>0</v>
      </c>
      <c r="AS22" s="379">
        <f>SUMIFS(BS_RE33!$H$7:$H$874,BS_RE33!$S$7:$S$874,$AS$2,BS_RE33!$N$7:$N$874,I22,BS_RE33!$P$7:$P$874,'30 days CF Table(GBP)'!G22,BS_RE33!$F$7:$F$874,'30 days CF Table(GBP)'!$C$2)</f>
        <v>0</v>
      </c>
      <c r="AT22" s="379">
        <f>SUMIFS(BS_RE33!$H$7:$H$874,BS_RE33!$S$7:$S$874,$AT$2,BS_RE33!$N$7:$N$874,I22,BS_RE33!$P$7:$P$874,'30 days CF Table(GBP)'!G22,BS_RE33!$F$7:$F$874,'30 days CF Table(GBP)'!$C$2)</f>
        <v>0</v>
      </c>
      <c r="AU22" s="379">
        <f>SUMIFS(BS_RE33!$H$7:$H$874,BS_RE33!$S$7:$S$874,$AU$2,BS_RE33!$N$7:$N$874,I22,BS_RE33!$P$7:$P$874,'30 days CF Table(GBP)'!G22,BS_RE33!$F$7:$F$874,'30 days CF Table(GBP)'!$C$2)</f>
        <v>0</v>
      </c>
      <c r="AV22" s="379">
        <f>SUMIFS(BS_RE33!$H$7:$H$874,BS_RE33!$S$7:$S$874,$AV$2,BS_RE33!$N$7:$N$874,I22,BS_RE33!$P$7:$P$874,'30 days CF Table(GBP)'!G22,BS_RE33!$F$7:$F$874,'30 days CF Table(GBP)'!$C$2)</f>
        <v>0</v>
      </c>
      <c r="AW22" s="379">
        <f>SUMIFS(BS_RE33!$H$7:$H$874,BS_RE33!$S$7:$S$874,$AW$2,BS_RE33!$N$7:$N$874,I22,BS_RE33!$P$7:$P$874,'30 days CF Table(GBP)'!G22,BS_RE33!$F$7:$F$874,'30 days CF Table(GBP)'!$C$2)</f>
        <v>0</v>
      </c>
      <c r="AX22" s="379">
        <f>SUMIFS(BS_RE33!$H$7:$H$874,BS_RE33!$S$7:$S$874,$AX$2,BS_RE33!$N$7:$N$874,I22,BS_RE33!$P$7:$P$874,'30 days CF Table(GBP)'!G22,BS_RE33!$F$7:$F$874,'30 days CF Table(GBP)'!$C$2)</f>
        <v>0</v>
      </c>
      <c r="AY22" s="379">
        <f>SUMIFS(BS_RE33!$H$7:$H$874,BS_RE33!$S$7:$S$874,$AY$2,BS_RE33!$N$7:$N$874,I22,BS_RE33!$P$7:$P$874,'30 days CF Table(GBP)'!G22,BS_RE33!$F$7:$F$874,'30 days CF Table(GBP)'!$C$2)</f>
        <v>0</v>
      </c>
      <c r="AZ22" s="379">
        <f>SUMIFS(BS_RE33!$H$7:$H$874,BS_RE33!$S$7:$S$874,$AZ$2,BS_RE33!$N$7:$N$874,I22,BS_RE33!$P$7:$P$874,'30 days CF Table(GBP)'!G22,BS_RE33!$F$7:$F$874,'30 days CF Table(GBP)'!$C$2)</f>
        <v>0</v>
      </c>
      <c r="BA22" s="379">
        <f>SUMIFS(BS_RE33!$H$7:$H$874,BS_RE33!$S$7:$S$874,$BA$2,BS_RE33!$N$7:$N$874,I22,BS_RE33!$P$7:$P$874,'30 days CF Table(GBP)'!G22,BS_RE33!$F$7:$F$874,'30 days CF Table(GBP)'!$C$2)</f>
        <v>0</v>
      </c>
      <c r="BB22" s="379">
        <f>SUMIFS(BS_RE33!$H$7:$H$874,BS_RE33!$S$7:$S$874,$BB$2,BS_RE33!$N$7:$N$874,I22,BS_RE33!$P$7:$P$874,'30 days CF Table(GBP)'!G22,BS_RE33!$F$7:$F$874,'30 days CF Table(GBP)'!$C$2)</f>
        <v>0</v>
      </c>
      <c r="BC22" s="379">
        <f>SUMIFS(BS_RE33!$H$7:$H$874,BS_RE33!$S$7:$S$874,$BC$2,BS_RE33!$N$7:$N$874,I22,BS_RE33!$P$7:$P$874,'30 days CF Table(GBP)'!G22,BS_RE33!$F$7:$F$874,'30 days CF Table(GBP)'!$C$2)</f>
        <v>0</v>
      </c>
      <c r="BD22" s="379">
        <f>SUMIFS(BS_RE33!$H$7:$H$874,BS_RE33!$S$7:$S$874,$BD$2,BS_RE33!$N$7:$N$874,I22,BS_RE33!$P$7:$P$874,'30 days CF Table(GBP)'!G22,BS_RE33!$F$7:$F$874,'30 days CF Table(GBP)'!$C$2)</f>
        <v>0</v>
      </c>
      <c r="BE22" s="379">
        <f>SUMIFS(BS_RE33!$H$7:$H$874,BS_RE33!$S$7:$S$874,$BE$2,BS_RE33!$N$7:$N$874,I22,BS_RE33!$P$7:$P$874,'30 days CF Table(GBP)'!G22,BS_RE33!$F$7:$F$874,'30 days CF Table(GBP)'!$C$2)</f>
        <v>0</v>
      </c>
      <c r="BF22" s="379">
        <f>SUMIFS(BS_RE33!$H$7:$H$874,BS_RE33!$S$7:$S$874,$BF$2,BS_RE33!$N$7:$N$874,I22,BS_RE33!$P$7:$P$874,'30 days CF Table(GBP)'!G22,BS_RE33!$F$7:$F$874,'30 days CF Table(GBP)'!$C$2)</f>
        <v>0</v>
      </c>
      <c r="BG22" s="379">
        <f>SUMIFS(BS_RE33!$H$7:$H$874,BS_RE33!$S$7:$S$874,$BG$2,BS_RE33!$N$7:$N$874,I22,BS_RE33!$P$7:$P$874,'30 days CF Table(GBP)'!G22,BS_RE33!$F$7:$F$874,'30 days CF Table(GBP)'!$C$2)</f>
        <v>0</v>
      </c>
      <c r="BH22" s="379">
        <f>SUMIFS(BS_RE33!$H$7:$H$874,BS_RE33!$S$7:$S$874,$BH$2,BS_RE33!$N$7:$N$874,I22,BS_RE33!$P$7:$P$874,'30 days CF Table(GBP)'!G22,BS_RE33!$F$7:$F$874,'30 days CF Table(GBP)'!$C$2)</f>
        <v>0</v>
      </c>
      <c r="BI22" s="379">
        <f>SUMIFS(BS_RE33!$H$7:$H$874,BS_RE33!$S$7:$S$874,$BI$2,BS_RE33!$N$7:$N$874,I22,BS_RE33!$P$7:$P$874,'30 days CF Table(GBP)'!G22,BS_RE33!$F$7:$F$874,'30 days CF Table(GBP)'!$C$2)</f>
        <v>0</v>
      </c>
      <c r="BJ22" s="379">
        <f>SUMIFS(BS_RE33!$H$7:$H$874,BS_RE33!$S$7:$S$874,$BJ$2,BS_RE33!$N$7:$N$874,I22,BS_RE33!$P$7:$P$874,'30 days CF Table(GBP)'!G22,BS_RE33!$F$7:$F$874,'30 days CF Table(GBP)'!$C$2)</f>
        <v>0</v>
      </c>
      <c r="BK22" s="379">
        <f>SUMIFS(BS_RE33!$H$7:$H$874,BS_RE33!$S$7:$S$874,$BK$2,BS_RE33!$N$7:$N$874,I22,BS_RE33!$P$7:$P$874,'30 days CF Table(GBP)'!G22,BS_RE33!$F$7:$F$874,'30 days CF Table(GBP)'!$C$2)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Table(GBP)'!G23,BS_RE33!$F$7:$F$874,'30 days CF Table(GBP)'!$C$2)</f>
        <v>0</v>
      </c>
      <c r="M23" s="337">
        <f>SUMIFS(BS_RE33!$H$7:$H$874,BS_RE33!$S$7:$S$874,$M$2,BS_RE33!$N$7:$N$874,I23,BS_RE33!$P$7:$P$874,'30 days CF Table(GBP)'!G23,BS_RE33!$F$7:$F$874,'30 days CF Table(GBP)'!$C$2)</f>
        <v>0</v>
      </c>
      <c r="N23" s="337">
        <f>SUMIFS(BS_RE33!$H$7:$H$874,BS_RE33!$S$7:$S$874,$N$2,BS_RE33!$N$7:$N$874,I23,BS_RE33!$P$7:$P$874,'30 days CF Table(GBP)'!G23,BS_RE33!$F$7:$F$874,'30 days CF Table(GBP)'!$C$2)</f>
        <v>0</v>
      </c>
      <c r="O23" s="337">
        <f>SUMIFS(BS_RE33!$H$7:$H$874,BS_RE33!$S$7:$S$874,$O$2,BS_RE33!$N$7:$N$874,I23,BS_RE33!$P$7:$P$874,'30 days CF Table(GBP)'!G23,BS_RE33!$F$7:$F$874,'30 days CF Table(GBP)'!$C$2)</f>
        <v>0</v>
      </c>
      <c r="P23" s="337">
        <f>SUMIFS(BS_RE33!$H$7:$H$874,BS_RE33!$S$7:$S$874,$P$2,BS_RE33!$N$7:$N$874,I23,BS_RE33!$P$7:$P$874,'30 days CF Table(GBP)'!G23,BS_RE33!$F$7:$F$874,'30 days CF Table(GBP)'!$C$2)</f>
        <v>0</v>
      </c>
      <c r="Q23" s="337">
        <f>SUMIFS(BS_RE33!$H$7:$H$874,BS_RE33!$S$7:$S$874,$Q$2,BS_RE33!$N$7:$N$874,I23,BS_RE33!$P$7:$P$874,'30 days CF Table(GBP)'!G23,BS_RE33!$F$7:$F$874,'30 days CF Table(GBP)'!$C$2)</f>
        <v>0</v>
      </c>
      <c r="R23" s="337">
        <f>SUMIFS(BS_RE33!$H$7:$H$874,BS_RE33!$S$7:$S$874,$R$2,BS_RE33!$N$7:$N$874,I23,BS_RE33!$P$7:$P$874,'30 days CF Table(GBP)'!G23,BS_RE33!$F$7:$F$874,'30 days CF Table(GBP)'!$C$2)</f>
        <v>0</v>
      </c>
      <c r="S23" s="337">
        <f>SUMIFS(BS_RE33!$H$7:$H$874,BS_RE33!$S$7:$S$874,$S$2,BS_RE33!$N$7:$N$874,I23,BS_RE33!$P$7:$P$874,'30 days CF Table(GBP)'!G23,BS_RE33!$F$7:$F$874,'30 days CF Table(GBP)'!$C$2)</f>
        <v>0</v>
      </c>
      <c r="T23" s="337">
        <f>SUMIFS(BS_RE33!$H$7:$H$874,BS_RE33!$S$7:$S$874,$T$2,BS_RE33!$N$7:$N$874,I23,BS_RE33!$P$7:$P$874,'30 days CF Table(GBP)'!G23,BS_RE33!$F$7:$F$874,'30 days CF Table(GBP)'!$C$2)</f>
        <v>0</v>
      </c>
      <c r="U23" s="337">
        <f>SUMIFS(BS_RE33!$H$7:$H$874,BS_RE33!$S$7:$S$874,$U$2,BS_RE33!$N$7:$N$874,I23,BS_RE33!$P$7:$P$874,'30 days CF Table(GBP)'!G23,BS_RE33!$F$7:$F$874,'30 days CF Table(GBP)'!$C$2)</f>
        <v>0</v>
      </c>
      <c r="V23" s="337">
        <f>SUMIFS(BS_RE33!$H$7:$H$874,BS_RE33!$S$7:$S$874,$V$2,BS_RE33!$N$7:$N$874,I23,BS_RE33!$P$7:$P$874,'30 days CF Table(GBP)'!G23,BS_RE33!$F$7:$F$874,'30 days CF Table(GBP)'!$C$2)</f>
        <v>0</v>
      </c>
      <c r="W23" s="337">
        <f>SUMIFS(BS_RE33!$H$7:$H$874,BS_RE33!$S$7:$S$874,$W$2,BS_RE33!$N$7:$N$874,I23,BS_RE33!$P$7:$P$874,'30 days CF Table(GBP)'!G23,BS_RE33!$F$7:$F$874,'30 days CF Table(GBP)'!$C$2)</f>
        <v>0</v>
      </c>
      <c r="X23" s="337">
        <f>SUMIFS(BS_RE33!$H$7:$H$874,BS_RE33!$S$7:$S$874,$X$2,BS_RE33!$N$7:$N$874,I23,BS_RE33!$P$7:$P$874,'30 days CF Table(GBP)'!G23,BS_RE33!$F$7:$F$874,'30 days CF Table(GBP)'!$C$2)</f>
        <v>0</v>
      </c>
      <c r="Y23" s="337">
        <f>SUMIFS(BS_RE33!$H$7:$H$874,BS_RE33!$S$7:$S$874,$Y$2,BS_RE33!$N$7:$N$874,I23,BS_RE33!$P$7:$P$874,'30 days CF Table(GBP)'!G23,BS_RE33!$F$7:$F$874,'30 days CF Table(GBP)'!$C$2)</f>
        <v>0</v>
      </c>
      <c r="Z23" s="337">
        <f>SUMIFS(BS_RE33!$H$7:$H$874,BS_RE33!$S$7:$S$874,$Z$2,BS_RE33!$N$7:$N$874,I23,BS_RE33!$P$7:$P$874,'30 days CF Table(GBP)'!G23,BS_RE33!$F$7:$F$874,'30 days CF Table(GBP)'!$C$2)</f>
        <v>0</v>
      </c>
      <c r="AA23" s="337">
        <f>SUMIFS(BS_RE33!$H$7:$H$874,BS_RE33!$S$7:$S$874,$AA$2,BS_RE33!$N$7:$N$874,I23,BS_RE33!$P$7:$P$874,'30 days CF Table(GBP)'!G23,BS_RE33!$F$7:$F$874,'30 days CF Table(GBP)'!$C$2)</f>
        <v>0</v>
      </c>
      <c r="AB23" s="337">
        <f>SUMIFS(BS_RE33!$H$7:$H$874,BS_RE33!$S$7:$S$874,$AB$2,BS_RE33!$N$7:$N$874,I23,BS_RE33!$P$7:$P$874,'30 days CF Table(GBP)'!G23,BS_RE33!$F$7:$F$874,'30 days CF Table(GBP)'!$C$2)</f>
        <v>0</v>
      </c>
      <c r="AC23" s="337">
        <f>SUMIFS(BS_RE33!$H$7:$H$874,BS_RE33!$S$7:$S$874,$AC$2,BS_RE33!$N$7:$N$874,I23,BS_RE33!$P$7:$P$874,'30 days CF Table(GBP)'!G23,BS_RE33!$F$7:$F$874,'30 days CF Table(GBP)'!$C$2)</f>
        <v>0</v>
      </c>
      <c r="AD23" s="337">
        <f>SUMIFS(BS_RE33!$H$7:$H$874,BS_RE33!$S$7:$S$874,$AD$2,BS_RE33!$N$7:$N$874,I23,BS_RE33!$P$7:$P$874,'30 days CF Table(GBP)'!G23,BS_RE33!$F$7:$F$874,'30 days CF Table(GBP)'!$C$2)</f>
        <v>0</v>
      </c>
      <c r="AE23" s="337">
        <f>SUMIFS(BS_RE33!$H$7:$H$874,BS_RE33!$S$7:$S$874,$AE$2,BS_RE33!$N$7:$N$874,I23,BS_RE33!$P$7:$P$874,'30 days CF Table(GBP)'!G23,BS_RE33!$F$7:$F$874,'30 days CF Table(GBP)'!$C$2)</f>
        <v>0</v>
      </c>
      <c r="AF23" s="337">
        <f>SUMIFS(BS_RE33!$H$7:$H$874,BS_RE33!$S$7:$S$874,$AF$2,BS_RE33!$N$7:$N$874,I23,BS_RE33!$P$7:$P$874,'30 days CF Table(GBP)'!G23,BS_RE33!$F$7:$F$874,'30 days CF Table(GBP)'!$C$2)</f>
        <v>0</v>
      </c>
      <c r="AG23" s="337">
        <f>SUMIFS(BS_RE33!$H$7:$H$874,BS_RE33!$S$7:$S$874,$AG$2,BS_RE33!$N$7:$N$874,I23,BS_RE33!$P$7:$P$874,'30 days CF Table(GBP)'!G23,BS_RE33!$F$7:$F$874,'30 days CF Table(GBP)'!$C$2)</f>
        <v>0</v>
      </c>
      <c r="AH23" s="337">
        <f>SUMIFS(BS_RE33!$H$7:$H$874,BS_RE33!$S$7:$S$874,$AH$2,BS_RE33!$N$7:$N$874,I23,BS_RE33!$P$7:$P$874,'30 days CF Table(GBP)'!G23,BS_RE33!$F$7:$F$874,'30 days CF Table(GBP)'!$C$2)</f>
        <v>0</v>
      </c>
      <c r="AI23" s="337">
        <f>SUMIFS(BS_RE33!$H$7:$H$874,BS_RE33!$S$7:$S$874,$AI$2,BS_RE33!$N$7:$N$874,I23,BS_RE33!$P$7:$P$874,'30 days CF Table(GBP)'!G23,BS_RE33!$F$7:$F$874,'30 days CF Table(GBP)'!$C$2)</f>
        <v>0</v>
      </c>
      <c r="AJ23" s="337">
        <f>SUMIFS(BS_RE33!$H$7:$H$874,BS_RE33!$S$7:$S$874,$AJ$2,BS_RE33!$N$7:$N$874,I23,BS_RE33!$P$7:$P$874,'30 days CF Table(GBP)'!G23,BS_RE33!$F$7:$F$874,'30 days CF Table(GBP)'!$C$2)</f>
        <v>0</v>
      </c>
      <c r="AK23" s="337">
        <f>SUMIFS(BS_RE33!$H$7:$H$874,BS_RE33!$S$7:$S$874,$AK$2,BS_RE33!$N$7:$N$874,I23,BS_RE33!$P$7:$P$874,'30 days CF Table(GBP)'!G23,BS_RE33!$F$7:$F$874,'30 days CF Table(GBP)'!$C$2)</f>
        <v>0</v>
      </c>
      <c r="AL23" s="337">
        <f>SUMIFS(BS_RE33!$H$7:$H$874,BS_RE33!$S$7:$S$874,$AL$2,BS_RE33!$N$7:$N$874,I23,BS_RE33!$P$7:$P$874,'30 days CF Table(GBP)'!G23,BS_RE33!$F$7:$F$874,'30 days CF Table(GBP)'!$C$2)</f>
        <v>0</v>
      </c>
      <c r="AM23" s="337">
        <f>SUMIFS(BS_RE33!$H$7:$H$874,BS_RE33!$S$7:$S$874,$AM$2,BS_RE33!$N$7:$N$874,I23,BS_RE33!$P$7:$P$874,'30 days CF Table(GBP)'!G23,BS_RE33!$F$7:$F$874,'30 days CF Table(GBP)'!$C$2)</f>
        <v>0</v>
      </c>
      <c r="AN23" s="337">
        <f>SUMIFS(BS_RE33!$H$7:$H$874,BS_RE33!$S$7:$S$874,$AN$2,BS_RE33!$N$7:$N$874,I23,BS_RE33!$P$7:$P$874,'30 days CF Table(GBP)'!G23,BS_RE33!$F$7:$F$874,'30 days CF Table(GBP)'!$C$2)</f>
        <v>0</v>
      </c>
      <c r="AO23" s="337">
        <f>SUMIFS(BS_RE33!$H$7:$H$874,BS_RE33!$S$7:$S$874,$AO$2,BS_RE33!$N$7:$N$874,I23,BS_RE33!$P$7:$P$874,'30 days CF Table(GBP)'!G23,BS_RE33!$F$7:$F$874,'30 days CF Table(GBP)'!$C$2)</f>
        <v>0</v>
      </c>
      <c r="AP23" s="338">
        <f>SUMIFS(BS_RE33!$H$7:$H$874,BS_RE33!$S$7:$S$874,$AP$2,BS_RE33!$N$7:$N$874,I23,BS_RE33!$P$7:$P$874,'30 days CF Table(GBP)'!G23,BS_RE33!$F$7:$F$874,'30 days CF Table(GBP)'!$C$2)</f>
        <v>0</v>
      </c>
      <c r="AQ23" s="545"/>
      <c r="AR23" s="379">
        <f>SUMIFS(BS_RE33!$H$7:$H$874,BS_RE33!$S$7:$S$874,$AR$2,BS_RE33!$N$7:$N$874,I23,BS_RE33!$P$7:$P$874,'30 days CF Table(GBP)'!G23,BS_RE33!$F$7:$F$874,'30 days CF Table(GBP)'!$C$2)</f>
        <v>0</v>
      </c>
      <c r="AS23" s="379">
        <f>SUMIFS(BS_RE33!$H$7:$H$874,BS_RE33!$S$7:$S$874,$AS$2,BS_RE33!$N$7:$N$874,I23,BS_RE33!$P$7:$P$874,'30 days CF Table(GBP)'!G23,BS_RE33!$F$7:$F$874,'30 days CF Table(GBP)'!$C$2)</f>
        <v>0</v>
      </c>
      <c r="AT23" s="379">
        <f>SUMIFS(BS_RE33!$H$7:$H$874,BS_RE33!$S$7:$S$874,$AT$2,BS_RE33!$N$7:$N$874,I23,BS_RE33!$P$7:$P$874,'30 days CF Table(GBP)'!G23,BS_RE33!$F$7:$F$874,'30 days CF Table(GBP)'!$C$2)</f>
        <v>0</v>
      </c>
      <c r="AU23" s="379">
        <f>SUMIFS(BS_RE33!$H$7:$H$874,BS_RE33!$S$7:$S$874,$AU$2,BS_RE33!$N$7:$N$874,I23,BS_RE33!$P$7:$P$874,'30 days CF Table(GBP)'!G23,BS_RE33!$F$7:$F$874,'30 days CF Table(GBP)'!$C$2)</f>
        <v>0</v>
      </c>
      <c r="AV23" s="379">
        <f>SUMIFS(BS_RE33!$H$7:$H$874,BS_RE33!$S$7:$S$874,$AV$2,BS_RE33!$N$7:$N$874,I23,BS_RE33!$P$7:$P$874,'30 days CF Table(GBP)'!G23,BS_RE33!$F$7:$F$874,'30 days CF Table(GBP)'!$C$2)</f>
        <v>0</v>
      </c>
      <c r="AW23" s="379">
        <f>SUMIFS(BS_RE33!$H$7:$H$874,BS_RE33!$S$7:$S$874,$AW$2,BS_RE33!$N$7:$N$874,I23,BS_RE33!$P$7:$P$874,'30 days CF Table(GBP)'!G23,BS_RE33!$F$7:$F$874,'30 days CF Table(GBP)'!$C$2)</f>
        <v>0</v>
      </c>
      <c r="AX23" s="379">
        <f>SUMIFS(BS_RE33!$H$7:$H$874,BS_RE33!$S$7:$S$874,$AX$2,BS_RE33!$N$7:$N$874,I23,BS_RE33!$P$7:$P$874,'30 days CF Table(GBP)'!G23,BS_RE33!$F$7:$F$874,'30 days CF Table(GBP)'!$C$2)</f>
        <v>0</v>
      </c>
      <c r="AY23" s="379">
        <f>SUMIFS(BS_RE33!$H$7:$H$874,BS_RE33!$S$7:$S$874,$AY$2,BS_RE33!$N$7:$N$874,I23,BS_RE33!$P$7:$P$874,'30 days CF Table(GBP)'!G23,BS_RE33!$F$7:$F$874,'30 days CF Table(GBP)'!$C$2)</f>
        <v>0</v>
      </c>
      <c r="AZ23" s="379">
        <f>SUMIFS(BS_RE33!$H$7:$H$874,BS_RE33!$S$7:$S$874,$AZ$2,BS_RE33!$N$7:$N$874,I23,BS_RE33!$P$7:$P$874,'30 days CF Table(GBP)'!G23,BS_RE33!$F$7:$F$874,'30 days CF Table(GBP)'!$C$2)</f>
        <v>0</v>
      </c>
      <c r="BA23" s="379">
        <f>SUMIFS(BS_RE33!$H$7:$H$874,BS_RE33!$S$7:$S$874,$BA$2,BS_RE33!$N$7:$N$874,I23,BS_RE33!$P$7:$P$874,'30 days CF Table(GBP)'!G23,BS_RE33!$F$7:$F$874,'30 days CF Table(GBP)'!$C$2)</f>
        <v>0</v>
      </c>
      <c r="BB23" s="379">
        <f>SUMIFS(BS_RE33!$H$7:$H$874,BS_RE33!$S$7:$S$874,$BB$2,BS_RE33!$N$7:$N$874,I23,BS_RE33!$P$7:$P$874,'30 days CF Table(GBP)'!G23,BS_RE33!$F$7:$F$874,'30 days CF Table(GBP)'!$C$2)</f>
        <v>0</v>
      </c>
      <c r="BC23" s="379">
        <f>SUMIFS(BS_RE33!$H$7:$H$874,BS_RE33!$S$7:$S$874,$BC$2,BS_RE33!$N$7:$N$874,I23,BS_RE33!$P$7:$P$874,'30 days CF Table(GBP)'!G23,BS_RE33!$F$7:$F$874,'30 days CF Table(GBP)'!$C$2)</f>
        <v>0</v>
      </c>
      <c r="BD23" s="379">
        <f>SUMIFS(BS_RE33!$H$7:$H$874,BS_RE33!$S$7:$S$874,$BD$2,BS_RE33!$N$7:$N$874,I23,BS_RE33!$P$7:$P$874,'30 days CF Table(GBP)'!G23,BS_RE33!$F$7:$F$874,'30 days CF Table(GBP)'!$C$2)</f>
        <v>0</v>
      </c>
      <c r="BE23" s="379">
        <f>SUMIFS(BS_RE33!$H$7:$H$874,BS_RE33!$S$7:$S$874,$BE$2,BS_RE33!$N$7:$N$874,I23,BS_RE33!$P$7:$P$874,'30 days CF Table(GBP)'!G23,BS_RE33!$F$7:$F$874,'30 days CF Table(GBP)'!$C$2)</f>
        <v>0</v>
      </c>
      <c r="BF23" s="379">
        <f>SUMIFS(BS_RE33!$H$7:$H$874,BS_RE33!$S$7:$S$874,$BF$2,BS_RE33!$N$7:$N$874,I23,BS_RE33!$P$7:$P$874,'30 days CF Table(GBP)'!G23,BS_RE33!$F$7:$F$874,'30 days CF Table(GBP)'!$C$2)</f>
        <v>0</v>
      </c>
      <c r="BG23" s="379">
        <f>SUMIFS(BS_RE33!$H$7:$H$874,BS_RE33!$S$7:$S$874,$BG$2,BS_RE33!$N$7:$N$874,I23,BS_RE33!$P$7:$P$874,'30 days CF Table(GBP)'!G23,BS_RE33!$F$7:$F$874,'30 days CF Table(GBP)'!$C$2)</f>
        <v>0</v>
      </c>
      <c r="BH23" s="379">
        <f>SUMIFS(BS_RE33!$H$7:$H$874,BS_RE33!$S$7:$S$874,$BH$2,BS_RE33!$N$7:$N$874,I23,BS_RE33!$P$7:$P$874,'30 days CF Table(GBP)'!G23,BS_RE33!$F$7:$F$874,'30 days CF Table(GBP)'!$C$2)</f>
        <v>0</v>
      </c>
      <c r="BI23" s="379">
        <f>SUMIFS(BS_RE33!$H$7:$H$874,BS_RE33!$S$7:$S$874,$BI$2,BS_RE33!$N$7:$N$874,I23,BS_RE33!$P$7:$P$874,'30 days CF Table(GBP)'!G23,BS_RE33!$F$7:$F$874,'30 days CF Table(GBP)'!$C$2)</f>
        <v>0</v>
      </c>
      <c r="BJ23" s="379">
        <f>SUMIFS(BS_RE33!$H$7:$H$874,BS_RE33!$S$7:$S$874,$BJ$2,BS_RE33!$N$7:$N$874,I23,BS_RE33!$P$7:$P$874,'30 days CF Table(GBP)'!G23,BS_RE33!$F$7:$F$874,'30 days CF Table(GBP)'!$C$2)</f>
        <v>0</v>
      </c>
      <c r="BK23" s="379">
        <f>SUMIFS(BS_RE33!$H$7:$H$874,BS_RE33!$S$7:$S$874,$BK$2,BS_RE33!$N$7:$N$874,I23,BS_RE33!$P$7:$P$874,'30 days CF Table(GBP)'!G23,BS_RE33!$F$7:$F$874,'30 days CF Table(GBP)'!$C$2)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Table(GBP)'!G24,BS_RE33!$F$7:$F$874,'30 days CF Table(GBP)'!$C$2)</f>
        <v>0</v>
      </c>
      <c r="M24" s="337">
        <f>SUMIFS(BS_RE33!$H$7:$H$874,BS_RE33!$S$7:$S$874,$M$2,BS_RE33!$N$7:$N$874,I24,BS_RE33!$P$7:$P$874,'30 days CF Table(GBP)'!G24,BS_RE33!$F$7:$F$874,'30 days CF Table(GBP)'!$C$2)</f>
        <v>0</v>
      </c>
      <c r="N24" s="337">
        <f>SUMIFS(BS_RE33!$H$7:$H$874,BS_RE33!$S$7:$S$874,$N$2,BS_RE33!$N$7:$N$874,I24,BS_RE33!$P$7:$P$874,'30 days CF Table(GBP)'!G24,BS_RE33!$F$7:$F$874,'30 days CF Table(GBP)'!$C$2)</f>
        <v>0</v>
      </c>
      <c r="O24" s="337">
        <f>SUMIFS(BS_RE33!$H$7:$H$874,BS_RE33!$S$7:$S$874,$O$2,BS_RE33!$N$7:$N$874,I24,BS_RE33!$P$7:$P$874,'30 days CF Table(GBP)'!G24,BS_RE33!$F$7:$F$874,'30 days CF Table(GBP)'!$C$2)</f>
        <v>0</v>
      </c>
      <c r="P24" s="337">
        <f>SUMIFS(BS_RE33!$H$7:$H$874,BS_RE33!$S$7:$S$874,$P$2,BS_RE33!$N$7:$N$874,I24,BS_RE33!$P$7:$P$874,'30 days CF Table(GBP)'!G24,BS_RE33!$F$7:$F$874,'30 days CF Table(GBP)'!$C$2)</f>
        <v>0</v>
      </c>
      <c r="Q24" s="337">
        <f>SUMIFS(BS_RE33!$H$7:$H$874,BS_RE33!$S$7:$S$874,$Q$2,BS_RE33!$N$7:$N$874,I24,BS_RE33!$P$7:$P$874,'30 days CF Table(GBP)'!G24,BS_RE33!$F$7:$F$874,'30 days CF Table(GBP)'!$C$2)</f>
        <v>0</v>
      </c>
      <c r="R24" s="337">
        <f>SUMIFS(BS_RE33!$H$7:$H$874,BS_RE33!$S$7:$S$874,$R$2,BS_RE33!$N$7:$N$874,I24,BS_RE33!$P$7:$P$874,'30 days CF Table(GBP)'!G24,BS_RE33!$F$7:$F$874,'30 days CF Table(GBP)'!$C$2)</f>
        <v>0</v>
      </c>
      <c r="S24" s="337">
        <f>SUMIFS(BS_RE33!$H$7:$H$874,BS_RE33!$S$7:$S$874,$S$2,BS_RE33!$N$7:$N$874,I24,BS_RE33!$P$7:$P$874,'30 days CF Table(GBP)'!G24,BS_RE33!$F$7:$F$874,'30 days CF Table(GBP)'!$C$2)</f>
        <v>0</v>
      </c>
      <c r="T24" s="337">
        <f>SUMIFS(BS_RE33!$H$7:$H$874,BS_RE33!$S$7:$S$874,$T$2,BS_RE33!$N$7:$N$874,I24,BS_RE33!$P$7:$P$874,'30 days CF Table(GBP)'!G24,BS_RE33!$F$7:$F$874,'30 days CF Table(GBP)'!$C$2)</f>
        <v>0</v>
      </c>
      <c r="U24" s="337">
        <f>SUMIFS(BS_RE33!$H$7:$H$874,BS_RE33!$S$7:$S$874,$U$2,BS_RE33!$N$7:$N$874,I24,BS_RE33!$P$7:$P$874,'30 days CF Table(GBP)'!G24,BS_RE33!$F$7:$F$874,'30 days CF Table(GBP)'!$C$2)</f>
        <v>0</v>
      </c>
      <c r="V24" s="337">
        <f>SUMIFS(BS_RE33!$H$7:$H$874,BS_RE33!$S$7:$S$874,$V$2,BS_RE33!$N$7:$N$874,I24,BS_RE33!$P$7:$P$874,'30 days CF Table(GBP)'!G24,BS_RE33!$F$7:$F$874,'30 days CF Table(GBP)'!$C$2)</f>
        <v>0</v>
      </c>
      <c r="W24" s="337">
        <f>SUMIFS(BS_RE33!$H$7:$H$874,BS_RE33!$S$7:$S$874,$W$2,BS_RE33!$N$7:$N$874,I24,BS_RE33!$P$7:$P$874,'30 days CF Table(GBP)'!G24,BS_RE33!$F$7:$F$874,'30 days CF Table(GBP)'!$C$2)</f>
        <v>0</v>
      </c>
      <c r="X24" s="337">
        <f>SUMIFS(BS_RE33!$H$7:$H$874,BS_RE33!$S$7:$S$874,$X$2,BS_RE33!$N$7:$N$874,I24,BS_RE33!$P$7:$P$874,'30 days CF Table(GBP)'!G24,BS_RE33!$F$7:$F$874,'30 days CF Table(GBP)'!$C$2)</f>
        <v>0</v>
      </c>
      <c r="Y24" s="337">
        <f>SUMIFS(BS_RE33!$H$7:$H$874,BS_RE33!$S$7:$S$874,$Y$2,BS_RE33!$N$7:$N$874,I24,BS_RE33!$P$7:$P$874,'30 days CF Table(GBP)'!G24,BS_RE33!$F$7:$F$874,'30 days CF Table(GBP)'!$C$2)</f>
        <v>0</v>
      </c>
      <c r="Z24" s="337">
        <f>SUMIFS(BS_RE33!$H$7:$H$874,BS_RE33!$S$7:$S$874,$Z$2,BS_RE33!$N$7:$N$874,I24,BS_RE33!$P$7:$P$874,'30 days CF Table(GBP)'!G24,BS_RE33!$F$7:$F$874,'30 days CF Table(GBP)'!$C$2)</f>
        <v>0</v>
      </c>
      <c r="AA24" s="337">
        <f>SUMIFS(BS_RE33!$H$7:$H$874,BS_RE33!$S$7:$S$874,$AA$2,BS_RE33!$N$7:$N$874,I24,BS_RE33!$P$7:$P$874,'30 days CF Table(GBP)'!G24,BS_RE33!$F$7:$F$874,'30 days CF Table(GBP)'!$C$2)</f>
        <v>0</v>
      </c>
      <c r="AB24" s="337">
        <f>SUMIFS(BS_RE33!$H$7:$H$874,BS_RE33!$S$7:$S$874,$AB$2,BS_RE33!$N$7:$N$874,I24,BS_RE33!$P$7:$P$874,'30 days CF Table(GBP)'!G24,BS_RE33!$F$7:$F$874,'30 days CF Table(GBP)'!$C$2)</f>
        <v>0</v>
      </c>
      <c r="AC24" s="337">
        <f>SUMIFS(BS_RE33!$H$7:$H$874,BS_RE33!$S$7:$S$874,$AC$2,BS_RE33!$N$7:$N$874,I24,BS_RE33!$P$7:$P$874,'30 days CF Table(GBP)'!G24,BS_RE33!$F$7:$F$874,'30 days CF Table(GBP)'!$C$2)</f>
        <v>0</v>
      </c>
      <c r="AD24" s="337">
        <f>SUMIFS(BS_RE33!$H$7:$H$874,BS_RE33!$S$7:$S$874,$AD$2,BS_RE33!$N$7:$N$874,I24,BS_RE33!$P$7:$P$874,'30 days CF Table(GBP)'!G24,BS_RE33!$F$7:$F$874,'30 days CF Table(GBP)'!$C$2)</f>
        <v>0</v>
      </c>
      <c r="AE24" s="337">
        <f>SUMIFS(BS_RE33!$H$7:$H$874,BS_RE33!$S$7:$S$874,$AE$2,BS_RE33!$N$7:$N$874,I24,BS_RE33!$P$7:$P$874,'30 days CF Table(GBP)'!G24,BS_RE33!$F$7:$F$874,'30 days CF Table(GBP)'!$C$2)</f>
        <v>0</v>
      </c>
      <c r="AF24" s="337">
        <f>SUMIFS(BS_RE33!$H$7:$H$874,BS_RE33!$S$7:$S$874,$AF$2,BS_RE33!$N$7:$N$874,I24,BS_RE33!$P$7:$P$874,'30 days CF Table(GBP)'!G24,BS_RE33!$F$7:$F$874,'30 days CF Table(GBP)'!$C$2)</f>
        <v>0</v>
      </c>
      <c r="AG24" s="337">
        <f>SUMIFS(BS_RE33!$H$7:$H$874,BS_RE33!$S$7:$S$874,$AG$2,BS_RE33!$N$7:$N$874,I24,BS_RE33!$P$7:$P$874,'30 days CF Table(GBP)'!G24,BS_RE33!$F$7:$F$874,'30 days CF Table(GBP)'!$C$2)</f>
        <v>0</v>
      </c>
      <c r="AH24" s="337">
        <f>SUMIFS(BS_RE33!$H$7:$H$874,BS_RE33!$S$7:$S$874,$AH$2,BS_RE33!$N$7:$N$874,I24,BS_RE33!$P$7:$P$874,'30 days CF Table(GBP)'!G24,BS_RE33!$F$7:$F$874,'30 days CF Table(GBP)'!$C$2)</f>
        <v>0</v>
      </c>
      <c r="AI24" s="337">
        <f>SUMIFS(BS_RE33!$H$7:$H$874,BS_RE33!$S$7:$S$874,$AI$2,BS_RE33!$N$7:$N$874,I24,BS_RE33!$P$7:$P$874,'30 days CF Table(GBP)'!G24,BS_RE33!$F$7:$F$874,'30 days CF Table(GBP)'!$C$2)</f>
        <v>0</v>
      </c>
      <c r="AJ24" s="337">
        <f>SUMIFS(BS_RE33!$H$7:$H$874,BS_RE33!$S$7:$S$874,$AJ$2,BS_RE33!$N$7:$N$874,I24,BS_RE33!$P$7:$P$874,'30 days CF Table(GBP)'!G24,BS_RE33!$F$7:$F$874,'30 days CF Table(GBP)'!$C$2)</f>
        <v>0</v>
      </c>
      <c r="AK24" s="337">
        <f>SUMIFS(BS_RE33!$H$7:$H$874,BS_RE33!$S$7:$S$874,$AK$2,BS_RE33!$N$7:$N$874,I24,BS_RE33!$P$7:$P$874,'30 days CF Table(GBP)'!G24,BS_RE33!$F$7:$F$874,'30 days CF Table(GBP)'!$C$2)</f>
        <v>0</v>
      </c>
      <c r="AL24" s="337">
        <f>SUMIFS(BS_RE33!$H$7:$H$874,BS_RE33!$S$7:$S$874,$AL$2,BS_RE33!$N$7:$N$874,I24,BS_RE33!$P$7:$P$874,'30 days CF Table(GBP)'!G24,BS_RE33!$F$7:$F$874,'30 days CF Table(GBP)'!$C$2)</f>
        <v>0</v>
      </c>
      <c r="AM24" s="337">
        <f>SUMIFS(BS_RE33!$H$7:$H$874,BS_RE33!$S$7:$S$874,$AM$2,BS_RE33!$N$7:$N$874,I24,BS_RE33!$P$7:$P$874,'30 days CF Table(GBP)'!G24,BS_RE33!$F$7:$F$874,'30 days CF Table(GBP)'!$C$2)</f>
        <v>0</v>
      </c>
      <c r="AN24" s="337">
        <f>SUMIFS(BS_RE33!$H$7:$H$874,BS_RE33!$S$7:$S$874,$AN$2,BS_RE33!$N$7:$N$874,I24,BS_RE33!$P$7:$P$874,'30 days CF Table(GBP)'!G24,BS_RE33!$F$7:$F$874,'30 days CF Table(GBP)'!$C$2)</f>
        <v>0</v>
      </c>
      <c r="AO24" s="337">
        <f>SUMIFS(BS_RE33!$H$7:$H$874,BS_RE33!$S$7:$S$874,$AO$2,BS_RE33!$N$7:$N$874,I24,BS_RE33!$P$7:$P$874,'30 days CF Table(GBP)'!G24,BS_RE33!$F$7:$F$874,'30 days CF Table(GBP)'!$C$2)</f>
        <v>0</v>
      </c>
      <c r="AP24" s="338">
        <f>SUMIFS(BS_RE33!$H$7:$H$874,BS_RE33!$S$7:$S$874,$AP$2,BS_RE33!$N$7:$N$874,I24,BS_RE33!$P$7:$P$874,'30 days CF Table(GBP)'!G24,BS_RE33!$F$7:$F$874,'30 days CF Table(GBP)'!$C$2)</f>
        <v>0</v>
      </c>
      <c r="AQ24" s="545"/>
      <c r="AR24" s="379">
        <f>SUMIFS(BS_RE33!$H$7:$H$874,BS_RE33!$S$7:$S$874,$AR$2,BS_RE33!$N$7:$N$874,I24,BS_RE33!$P$7:$P$874,'30 days CF Table(GBP)'!G24,BS_RE33!$F$7:$F$874,'30 days CF Table(GBP)'!$C$2)</f>
        <v>0</v>
      </c>
      <c r="AS24" s="379">
        <f>SUMIFS(BS_RE33!$H$7:$H$874,BS_RE33!$S$7:$S$874,$AS$2,BS_RE33!$N$7:$N$874,I24,BS_RE33!$P$7:$P$874,'30 days CF Table(GBP)'!G24,BS_RE33!$F$7:$F$874,'30 days CF Table(GBP)'!$C$2)</f>
        <v>0</v>
      </c>
      <c r="AT24" s="379">
        <f>SUMIFS(BS_RE33!$H$7:$H$874,BS_RE33!$S$7:$S$874,$AT$2,BS_RE33!$N$7:$N$874,I24,BS_RE33!$P$7:$P$874,'30 days CF Table(GBP)'!G24,BS_RE33!$F$7:$F$874,'30 days CF Table(GBP)'!$C$2)</f>
        <v>0</v>
      </c>
      <c r="AU24" s="379">
        <f>SUMIFS(BS_RE33!$H$7:$H$874,BS_RE33!$S$7:$S$874,$AU$2,BS_RE33!$N$7:$N$874,I24,BS_RE33!$P$7:$P$874,'30 days CF Table(GBP)'!G24,BS_RE33!$F$7:$F$874,'30 days CF Table(GBP)'!$C$2)</f>
        <v>0</v>
      </c>
      <c r="AV24" s="379">
        <f>SUMIFS(BS_RE33!$H$7:$H$874,BS_RE33!$S$7:$S$874,$AV$2,BS_RE33!$N$7:$N$874,I24,BS_RE33!$P$7:$P$874,'30 days CF Table(GBP)'!G24,BS_RE33!$F$7:$F$874,'30 days CF Table(GBP)'!$C$2)</f>
        <v>0</v>
      </c>
      <c r="AW24" s="379">
        <f>SUMIFS(BS_RE33!$H$7:$H$874,BS_RE33!$S$7:$S$874,$AW$2,BS_RE33!$N$7:$N$874,I24,BS_RE33!$P$7:$P$874,'30 days CF Table(GBP)'!G24,BS_RE33!$F$7:$F$874,'30 days CF Table(GBP)'!$C$2)</f>
        <v>0</v>
      </c>
      <c r="AX24" s="379">
        <f>SUMIFS(BS_RE33!$H$7:$H$874,BS_RE33!$S$7:$S$874,$AX$2,BS_RE33!$N$7:$N$874,I24,BS_RE33!$P$7:$P$874,'30 days CF Table(GBP)'!G24,BS_RE33!$F$7:$F$874,'30 days CF Table(GBP)'!$C$2)</f>
        <v>0</v>
      </c>
      <c r="AY24" s="379">
        <f>SUMIFS(BS_RE33!$H$7:$H$874,BS_RE33!$S$7:$S$874,$AY$2,BS_RE33!$N$7:$N$874,I24,BS_RE33!$P$7:$P$874,'30 days CF Table(GBP)'!G24,BS_RE33!$F$7:$F$874,'30 days CF Table(GBP)'!$C$2)</f>
        <v>0</v>
      </c>
      <c r="AZ24" s="379">
        <f>SUMIFS(BS_RE33!$H$7:$H$874,BS_RE33!$S$7:$S$874,$AZ$2,BS_RE33!$N$7:$N$874,I24,BS_RE33!$P$7:$P$874,'30 days CF Table(GBP)'!G24,BS_RE33!$F$7:$F$874,'30 days CF Table(GBP)'!$C$2)</f>
        <v>0</v>
      </c>
      <c r="BA24" s="379">
        <f>SUMIFS(BS_RE33!$H$7:$H$874,BS_RE33!$S$7:$S$874,$BA$2,BS_RE33!$N$7:$N$874,I24,BS_RE33!$P$7:$P$874,'30 days CF Table(GBP)'!G24,BS_RE33!$F$7:$F$874,'30 days CF Table(GBP)'!$C$2)</f>
        <v>0</v>
      </c>
      <c r="BB24" s="379">
        <f>SUMIFS(BS_RE33!$H$7:$H$874,BS_RE33!$S$7:$S$874,$BB$2,BS_RE33!$N$7:$N$874,I24,BS_RE33!$P$7:$P$874,'30 days CF Table(GBP)'!G24,BS_RE33!$F$7:$F$874,'30 days CF Table(GBP)'!$C$2)</f>
        <v>0</v>
      </c>
      <c r="BC24" s="379">
        <f>SUMIFS(BS_RE33!$H$7:$H$874,BS_RE33!$S$7:$S$874,$BC$2,BS_RE33!$N$7:$N$874,I24,BS_RE33!$P$7:$P$874,'30 days CF Table(GBP)'!G24,BS_RE33!$F$7:$F$874,'30 days CF Table(GBP)'!$C$2)</f>
        <v>0</v>
      </c>
      <c r="BD24" s="379">
        <f>SUMIFS(BS_RE33!$H$7:$H$874,BS_RE33!$S$7:$S$874,$BD$2,BS_RE33!$N$7:$N$874,I24,BS_RE33!$P$7:$P$874,'30 days CF Table(GBP)'!G24,BS_RE33!$F$7:$F$874,'30 days CF Table(GBP)'!$C$2)</f>
        <v>0</v>
      </c>
      <c r="BE24" s="379">
        <f>SUMIFS(BS_RE33!$H$7:$H$874,BS_RE33!$S$7:$S$874,$BE$2,BS_RE33!$N$7:$N$874,I24,BS_RE33!$P$7:$P$874,'30 days CF Table(GBP)'!G24,BS_RE33!$F$7:$F$874,'30 days CF Table(GBP)'!$C$2)</f>
        <v>0</v>
      </c>
      <c r="BF24" s="379">
        <f>SUMIFS(BS_RE33!$H$7:$H$874,BS_RE33!$S$7:$S$874,$BF$2,BS_RE33!$N$7:$N$874,I24,BS_RE33!$P$7:$P$874,'30 days CF Table(GBP)'!G24,BS_RE33!$F$7:$F$874,'30 days CF Table(GBP)'!$C$2)</f>
        <v>0</v>
      </c>
      <c r="BG24" s="379">
        <f>SUMIFS(BS_RE33!$H$7:$H$874,BS_RE33!$S$7:$S$874,$BG$2,BS_RE33!$N$7:$N$874,I24,BS_RE33!$P$7:$P$874,'30 days CF Table(GBP)'!G24,BS_RE33!$F$7:$F$874,'30 days CF Table(GBP)'!$C$2)</f>
        <v>0</v>
      </c>
      <c r="BH24" s="379">
        <f>SUMIFS(BS_RE33!$H$7:$H$874,BS_RE33!$S$7:$S$874,$BH$2,BS_RE33!$N$7:$N$874,I24,BS_RE33!$P$7:$P$874,'30 days CF Table(GBP)'!G24,BS_RE33!$F$7:$F$874,'30 days CF Table(GBP)'!$C$2)</f>
        <v>0</v>
      </c>
      <c r="BI24" s="379">
        <f>SUMIFS(BS_RE33!$H$7:$H$874,BS_RE33!$S$7:$S$874,$BI$2,BS_RE33!$N$7:$N$874,I24,BS_RE33!$P$7:$P$874,'30 days CF Table(GBP)'!G24,BS_RE33!$F$7:$F$874,'30 days CF Table(GBP)'!$C$2)</f>
        <v>0</v>
      </c>
      <c r="BJ24" s="379">
        <f>SUMIFS(BS_RE33!$H$7:$H$874,BS_RE33!$S$7:$S$874,$BJ$2,BS_RE33!$N$7:$N$874,I24,BS_RE33!$P$7:$P$874,'30 days CF Table(GBP)'!G24,BS_RE33!$F$7:$F$874,'30 days CF Table(GBP)'!$C$2)</f>
        <v>0</v>
      </c>
      <c r="BK24" s="379">
        <f>SUMIFS(BS_RE33!$H$7:$H$874,BS_RE33!$S$7:$S$874,$BK$2,BS_RE33!$N$7:$N$874,I24,BS_RE33!$P$7:$P$874,'30 days CF Table(GBP)'!G24,BS_RE33!$F$7:$F$874,'30 days CF Table(GBP)'!$C$2)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Table(GBP)'!G25,BS_RE33!$F$7:$F$874,'30 days CF Table(GBP)'!$C$2)</f>
        <v>0</v>
      </c>
      <c r="M25" s="337">
        <f>SUMIFS(BS_RE33!$H$7:$H$874,BS_RE33!$S$7:$S$874,$M$2,BS_RE33!$N$7:$N$874,I25,BS_RE33!$P$7:$P$874,'30 days CF Table(GBP)'!G25,BS_RE33!$F$7:$F$874,'30 days CF Table(GBP)'!$C$2)</f>
        <v>0</v>
      </c>
      <c r="N25" s="337">
        <f>SUMIFS(BS_RE33!$H$7:$H$874,BS_RE33!$S$7:$S$874,$N$2,BS_RE33!$N$7:$N$874,I25,BS_RE33!$P$7:$P$874,'30 days CF Table(GBP)'!G25,BS_RE33!$F$7:$F$874,'30 days CF Table(GBP)'!$C$2)</f>
        <v>0</v>
      </c>
      <c r="O25" s="337">
        <f>SUMIFS(BS_RE33!$H$7:$H$874,BS_RE33!$S$7:$S$874,$O$2,BS_RE33!$N$7:$N$874,I25,BS_RE33!$P$7:$P$874,'30 days CF Table(GBP)'!G25,BS_RE33!$F$7:$F$874,'30 days CF Table(GBP)'!$C$2)</f>
        <v>0</v>
      </c>
      <c r="P25" s="337">
        <f>SUMIFS(BS_RE33!$H$7:$H$874,BS_RE33!$S$7:$S$874,$P$2,BS_RE33!$N$7:$N$874,I25,BS_RE33!$P$7:$P$874,'30 days CF Table(GBP)'!G25,BS_RE33!$F$7:$F$874,'30 days CF Table(GBP)'!$C$2)</f>
        <v>0</v>
      </c>
      <c r="Q25" s="337">
        <f>SUMIFS(BS_RE33!$H$7:$H$874,BS_RE33!$S$7:$S$874,$Q$2,BS_RE33!$N$7:$N$874,I25,BS_RE33!$P$7:$P$874,'30 days CF Table(GBP)'!G25,BS_RE33!$F$7:$F$874,'30 days CF Table(GBP)'!$C$2)</f>
        <v>0</v>
      </c>
      <c r="R25" s="337">
        <f>SUMIFS(BS_RE33!$H$7:$H$874,BS_RE33!$S$7:$S$874,$R$2,BS_RE33!$N$7:$N$874,I25,BS_RE33!$P$7:$P$874,'30 days CF Table(GBP)'!G25,BS_RE33!$F$7:$F$874,'30 days CF Table(GBP)'!$C$2)</f>
        <v>0</v>
      </c>
      <c r="S25" s="337">
        <f>SUMIFS(BS_RE33!$H$7:$H$874,BS_RE33!$S$7:$S$874,$S$2,BS_RE33!$N$7:$N$874,I25,BS_RE33!$P$7:$P$874,'30 days CF Table(GBP)'!G25,BS_RE33!$F$7:$F$874,'30 days CF Table(GBP)'!$C$2)</f>
        <v>0</v>
      </c>
      <c r="T25" s="337">
        <f>SUMIFS(BS_RE33!$H$7:$H$874,BS_RE33!$S$7:$S$874,$T$2,BS_RE33!$N$7:$N$874,I25,BS_RE33!$P$7:$P$874,'30 days CF Table(GBP)'!G25,BS_RE33!$F$7:$F$874,'30 days CF Table(GBP)'!$C$2)</f>
        <v>0</v>
      </c>
      <c r="U25" s="337">
        <f>SUMIFS(BS_RE33!$H$7:$H$874,BS_RE33!$S$7:$S$874,$U$2,BS_RE33!$N$7:$N$874,I25,BS_RE33!$P$7:$P$874,'30 days CF Table(GBP)'!G25,BS_RE33!$F$7:$F$874,'30 days CF Table(GBP)'!$C$2)</f>
        <v>0</v>
      </c>
      <c r="V25" s="337">
        <f>SUMIFS(BS_RE33!$H$7:$H$874,BS_RE33!$S$7:$S$874,$V$2,BS_RE33!$N$7:$N$874,I25,BS_RE33!$P$7:$P$874,'30 days CF Table(GBP)'!G25,BS_RE33!$F$7:$F$874,'30 days CF Table(GBP)'!$C$2)</f>
        <v>0</v>
      </c>
      <c r="W25" s="337">
        <f>SUMIFS(BS_RE33!$H$7:$H$874,BS_RE33!$S$7:$S$874,$W$2,BS_RE33!$N$7:$N$874,I25,BS_RE33!$P$7:$P$874,'30 days CF Table(GBP)'!G25,BS_RE33!$F$7:$F$874,'30 days CF Table(GBP)'!$C$2)</f>
        <v>0</v>
      </c>
      <c r="X25" s="337">
        <f>SUMIFS(BS_RE33!$H$7:$H$874,BS_RE33!$S$7:$S$874,$X$2,BS_RE33!$N$7:$N$874,I25,BS_RE33!$P$7:$P$874,'30 days CF Table(GBP)'!G25,BS_RE33!$F$7:$F$874,'30 days CF Table(GBP)'!$C$2)</f>
        <v>0</v>
      </c>
      <c r="Y25" s="337">
        <f>SUMIFS(BS_RE33!$H$7:$H$874,BS_RE33!$S$7:$S$874,$Y$2,BS_RE33!$N$7:$N$874,I25,BS_RE33!$P$7:$P$874,'30 days CF Table(GBP)'!G25,BS_RE33!$F$7:$F$874,'30 days CF Table(GBP)'!$C$2)</f>
        <v>0</v>
      </c>
      <c r="Z25" s="337">
        <f>SUMIFS(BS_RE33!$H$7:$H$874,BS_RE33!$S$7:$S$874,$Z$2,BS_RE33!$N$7:$N$874,I25,BS_RE33!$P$7:$P$874,'30 days CF Table(GBP)'!G25,BS_RE33!$F$7:$F$874,'30 days CF Table(GBP)'!$C$2)</f>
        <v>0</v>
      </c>
      <c r="AA25" s="337">
        <f>SUMIFS(BS_RE33!$H$7:$H$874,BS_RE33!$S$7:$S$874,$AA$2,BS_RE33!$N$7:$N$874,I25,BS_RE33!$P$7:$P$874,'30 days CF Table(GBP)'!G25,BS_RE33!$F$7:$F$874,'30 days CF Table(GBP)'!$C$2)</f>
        <v>0</v>
      </c>
      <c r="AB25" s="337">
        <f>SUMIFS(BS_RE33!$H$7:$H$874,BS_RE33!$S$7:$S$874,$AB$2,BS_RE33!$N$7:$N$874,I25,BS_RE33!$P$7:$P$874,'30 days CF Table(GBP)'!G25,BS_RE33!$F$7:$F$874,'30 days CF Table(GBP)'!$C$2)</f>
        <v>0</v>
      </c>
      <c r="AC25" s="337">
        <f>SUMIFS(BS_RE33!$H$7:$H$874,BS_RE33!$S$7:$S$874,$AC$2,BS_RE33!$N$7:$N$874,I25,BS_RE33!$P$7:$P$874,'30 days CF Table(GBP)'!G25,BS_RE33!$F$7:$F$874,'30 days CF Table(GBP)'!$C$2)</f>
        <v>0</v>
      </c>
      <c r="AD25" s="337">
        <f>SUMIFS(BS_RE33!$H$7:$H$874,BS_RE33!$S$7:$S$874,$AD$2,BS_RE33!$N$7:$N$874,I25,BS_RE33!$P$7:$P$874,'30 days CF Table(GBP)'!G25,BS_RE33!$F$7:$F$874,'30 days CF Table(GBP)'!$C$2)</f>
        <v>0</v>
      </c>
      <c r="AE25" s="337">
        <f>SUMIFS(BS_RE33!$H$7:$H$874,BS_RE33!$S$7:$S$874,$AE$2,BS_RE33!$N$7:$N$874,I25,BS_RE33!$P$7:$P$874,'30 days CF Table(GBP)'!G25,BS_RE33!$F$7:$F$874,'30 days CF Table(GBP)'!$C$2)</f>
        <v>0</v>
      </c>
      <c r="AF25" s="337">
        <f>SUMIFS(BS_RE33!$H$7:$H$874,BS_RE33!$S$7:$S$874,$AF$2,BS_RE33!$N$7:$N$874,I25,BS_RE33!$P$7:$P$874,'30 days CF Table(GBP)'!G25,BS_RE33!$F$7:$F$874,'30 days CF Table(GBP)'!$C$2)</f>
        <v>0</v>
      </c>
      <c r="AG25" s="337">
        <f>SUMIFS(BS_RE33!$H$7:$H$874,BS_RE33!$S$7:$S$874,$AG$2,BS_RE33!$N$7:$N$874,I25,BS_RE33!$P$7:$P$874,'30 days CF Table(GBP)'!G25,BS_RE33!$F$7:$F$874,'30 days CF Table(GBP)'!$C$2)</f>
        <v>0</v>
      </c>
      <c r="AH25" s="337">
        <f>SUMIFS(BS_RE33!$H$7:$H$874,BS_RE33!$S$7:$S$874,$AH$2,BS_RE33!$N$7:$N$874,I25,BS_RE33!$P$7:$P$874,'30 days CF Table(GBP)'!G25,BS_RE33!$F$7:$F$874,'30 days CF Table(GBP)'!$C$2)</f>
        <v>0</v>
      </c>
      <c r="AI25" s="337">
        <f>SUMIFS(BS_RE33!$H$7:$H$874,BS_RE33!$S$7:$S$874,$AI$2,BS_RE33!$N$7:$N$874,I25,BS_RE33!$P$7:$P$874,'30 days CF Table(GBP)'!G25,BS_RE33!$F$7:$F$874,'30 days CF Table(GBP)'!$C$2)</f>
        <v>0</v>
      </c>
      <c r="AJ25" s="337">
        <f>SUMIFS(BS_RE33!$H$7:$H$874,BS_RE33!$S$7:$S$874,$AJ$2,BS_RE33!$N$7:$N$874,I25,BS_RE33!$P$7:$P$874,'30 days CF Table(GBP)'!G25,BS_RE33!$F$7:$F$874,'30 days CF Table(GBP)'!$C$2)</f>
        <v>0</v>
      </c>
      <c r="AK25" s="337">
        <f>SUMIFS(BS_RE33!$H$7:$H$874,BS_RE33!$S$7:$S$874,$AK$2,BS_RE33!$N$7:$N$874,I25,BS_RE33!$P$7:$P$874,'30 days CF Table(GBP)'!G25,BS_RE33!$F$7:$F$874,'30 days CF Table(GBP)'!$C$2)</f>
        <v>0</v>
      </c>
      <c r="AL25" s="337">
        <f>SUMIFS(BS_RE33!$H$7:$H$874,BS_RE33!$S$7:$S$874,$AL$2,BS_RE33!$N$7:$N$874,I25,BS_RE33!$P$7:$P$874,'30 days CF Table(GBP)'!G25,BS_RE33!$F$7:$F$874,'30 days CF Table(GBP)'!$C$2)</f>
        <v>0</v>
      </c>
      <c r="AM25" s="337">
        <f>SUMIFS(BS_RE33!$H$7:$H$874,BS_RE33!$S$7:$S$874,$AM$2,BS_RE33!$N$7:$N$874,I25,BS_RE33!$P$7:$P$874,'30 days CF Table(GBP)'!G25,BS_RE33!$F$7:$F$874,'30 days CF Table(GBP)'!$C$2)</f>
        <v>0</v>
      </c>
      <c r="AN25" s="337">
        <f>SUMIFS(BS_RE33!$H$7:$H$874,BS_RE33!$S$7:$S$874,$AN$2,BS_RE33!$N$7:$N$874,I25,BS_RE33!$P$7:$P$874,'30 days CF Table(GBP)'!G25,BS_RE33!$F$7:$F$874,'30 days CF Table(GBP)'!$C$2)</f>
        <v>0</v>
      </c>
      <c r="AO25" s="337">
        <f>SUMIFS(BS_RE33!$H$7:$H$874,BS_RE33!$S$7:$S$874,$AO$2,BS_RE33!$N$7:$N$874,I25,BS_RE33!$P$7:$P$874,'30 days CF Table(GBP)'!G25,BS_RE33!$F$7:$F$874,'30 days CF Table(GBP)'!$C$2)</f>
        <v>0</v>
      </c>
      <c r="AP25" s="338">
        <f>SUMIFS(BS_RE33!$H$7:$H$874,BS_RE33!$S$7:$S$874,$AP$2,BS_RE33!$N$7:$N$874,I25,BS_RE33!$P$7:$P$874,'30 days CF Table(GBP)'!G25,BS_RE33!$F$7:$F$874,'30 days CF Table(GBP)'!$C$2)</f>
        <v>0</v>
      </c>
      <c r="AR25" s="379">
        <f>SUMIFS(BS_RE33!$H$7:$H$874,BS_RE33!$S$7:$S$874,$AR$2,BS_RE33!$N$7:$N$874,I25,BS_RE33!$P$7:$P$874,'30 days CF Table(GBP)'!G25,BS_RE33!$F$7:$F$874,'30 days CF Table(GBP)'!$C$2)</f>
        <v>0</v>
      </c>
      <c r="AS25" s="379">
        <f>SUMIFS(BS_RE33!$H$7:$H$874,BS_RE33!$S$7:$S$874,$AS$2,BS_RE33!$N$7:$N$874,I25,BS_RE33!$P$7:$P$874,'30 days CF Table(GBP)'!G25,BS_RE33!$F$7:$F$874,'30 days CF Table(GBP)'!$C$2)</f>
        <v>0</v>
      </c>
      <c r="AT25" s="379">
        <f>SUMIFS(BS_RE33!$H$7:$H$874,BS_RE33!$S$7:$S$874,$AT$2,BS_RE33!$N$7:$N$874,I25,BS_RE33!$P$7:$P$874,'30 days CF Table(GBP)'!G25,BS_RE33!$F$7:$F$874,'30 days CF Table(GBP)'!$C$2)</f>
        <v>0</v>
      </c>
      <c r="AU25" s="379">
        <f>SUMIFS(BS_RE33!$H$7:$H$874,BS_RE33!$S$7:$S$874,$AU$2,BS_RE33!$N$7:$N$874,I25,BS_RE33!$P$7:$P$874,'30 days CF Table(GBP)'!G25,BS_RE33!$F$7:$F$874,'30 days CF Table(GBP)'!$C$2)</f>
        <v>0</v>
      </c>
      <c r="AV25" s="379">
        <f>SUMIFS(BS_RE33!$H$7:$H$874,BS_RE33!$S$7:$S$874,$AV$2,BS_RE33!$N$7:$N$874,I25,BS_RE33!$P$7:$P$874,'30 days CF Table(GBP)'!G25,BS_RE33!$F$7:$F$874,'30 days CF Table(GBP)'!$C$2)</f>
        <v>0</v>
      </c>
      <c r="AW25" s="379">
        <f>SUMIFS(BS_RE33!$H$7:$H$874,BS_RE33!$S$7:$S$874,$AW$2,BS_RE33!$N$7:$N$874,I25,BS_RE33!$P$7:$P$874,'30 days CF Table(GBP)'!G25,BS_RE33!$F$7:$F$874,'30 days CF Table(GBP)'!$C$2)</f>
        <v>0</v>
      </c>
      <c r="AX25" s="379">
        <f>SUMIFS(BS_RE33!$H$7:$H$874,BS_RE33!$S$7:$S$874,$AX$2,BS_RE33!$N$7:$N$874,I25,BS_RE33!$P$7:$P$874,'30 days CF Table(GBP)'!G25,BS_RE33!$F$7:$F$874,'30 days CF Table(GBP)'!$C$2)</f>
        <v>0</v>
      </c>
      <c r="AY25" s="379">
        <f>SUMIFS(BS_RE33!$H$7:$H$874,BS_RE33!$S$7:$S$874,$AY$2,BS_RE33!$N$7:$N$874,I25,BS_RE33!$P$7:$P$874,'30 days CF Table(GBP)'!G25,BS_RE33!$F$7:$F$874,'30 days CF Table(GBP)'!$C$2)</f>
        <v>0</v>
      </c>
      <c r="AZ25" s="379">
        <f>SUMIFS(BS_RE33!$H$7:$H$874,BS_RE33!$S$7:$S$874,$AZ$2,BS_RE33!$N$7:$N$874,I25,BS_RE33!$P$7:$P$874,'30 days CF Table(GBP)'!G25,BS_RE33!$F$7:$F$874,'30 days CF Table(GBP)'!$C$2)</f>
        <v>0</v>
      </c>
      <c r="BA25" s="379">
        <f>SUMIFS(BS_RE33!$H$7:$H$874,BS_RE33!$S$7:$S$874,$BA$2,BS_RE33!$N$7:$N$874,I25,BS_RE33!$P$7:$P$874,'30 days CF Table(GBP)'!G25,BS_RE33!$F$7:$F$874,'30 days CF Table(GBP)'!$C$2)</f>
        <v>0</v>
      </c>
      <c r="BB25" s="379">
        <f>SUMIFS(BS_RE33!$H$7:$H$874,BS_RE33!$S$7:$S$874,$BB$2,BS_RE33!$N$7:$N$874,I25,BS_RE33!$P$7:$P$874,'30 days CF Table(GBP)'!G25,BS_RE33!$F$7:$F$874,'30 days CF Table(GBP)'!$C$2)</f>
        <v>0</v>
      </c>
      <c r="BC25" s="379">
        <f>SUMIFS(BS_RE33!$H$7:$H$874,BS_RE33!$S$7:$S$874,$BC$2,BS_RE33!$N$7:$N$874,I25,BS_RE33!$P$7:$P$874,'30 days CF Table(GBP)'!G25,BS_RE33!$F$7:$F$874,'30 days CF Table(GBP)'!$C$2)</f>
        <v>0</v>
      </c>
      <c r="BD25" s="379">
        <f>SUMIFS(BS_RE33!$H$7:$H$874,BS_RE33!$S$7:$S$874,$BD$2,BS_RE33!$N$7:$N$874,I25,BS_RE33!$P$7:$P$874,'30 days CF Table(GBP)'!G25,BS_RE33!$F$7:$F$874,'30 days CF Table(GBP)'!$C$2)</f>
        <v>0</v>
      </c>
      <c r="BE25" s="379">
        <f>SUMIFS(BS_RE33!$H$7:$H$874,BS_RE33!$S$7:$S$874,$BE$2,BS_RE33!$N$7:$N$874,I25,BS_RE33!$P$7:$P$874,'30 days CF Table(GBP)'!G25,BS_RE33!$F$7:$F$874,'30 days CF Table(GBP)'!$C$2)</f>
        <v>0</v>
      </c>
      <c r="BF25" s="379">
        <f>SUMIFS(BS_RE33!$H$7:$H$874,BS_RE33!$S$7:$S$874,$BF$2,BS_RE33!$N$7:$N$874,I25,BS_RE33!$P$7:$P$874,'30 days CF Table(GBP)'!G25,BS_RE33!$F$7:$F$874,'30 days CF Table(GBP)'!$C$2)</f>
        <v>0</v>
      </c>
      <c r="BG25" s="379">
        <f>SUMIFS(BS_RE33!$H$7:$H$874,BS_RE33!$S$7:$S$874,$BG$2,BS_RE33!$N$7:$N$874,I25,BS_RE33!$P$7:$P$874,'30 days CF Table(GBP)'!G25,BS_RE33!$F$7:$F$874,'30 days CF Table(GBP)'!$C$2)</f>
        <v>0</v>
      </c>
      <c r="BH25" s="379">
        <f>SUMIFS(BS_RE33!$H$7:$H$874,BS_RE33!$S$7:$S$874,$BH$2,BS_RE33!$N$7:$N$874,I25,BS_RE33!$P$7:$P$874,'30 days CF Table(GBP)'!G25,BS_RE33!$F$7:$F$874,'30 days CF Table(GBP)'!$C$2)</f>
        <v>0</v>
      </c>
      <c r="BI25" s="379">
        <f>SUMIFS(BS_RE33!$H$7:$H$874,BS_RE33!$S$7:$S$874,$BI$2,BS_RE33!$N$7:$N$874,I25,BS_RE33!$P$7:$P$874,'30 days CF Table(GBP)'!G25,BS_RE33!$F$7:$F$874,'30 days CF Table(GBP)'!$C$2)</f>
        <v>0</v>
      </c>
      <c r="BJ25" s="379">
        <f>SUMIFS(BS_RE33!$H$7:$H$874,BS_RE33!$S$7:$S$874,$BJ$2,BS_RE33!$N$7:$N$874,I25,BS_RE33!$P$7:$P$874,'30 days CF Table(GBP)'!G25,BS_RE33!$F$7:$F$874,'30 days CF Table(GBP)'!$C$2)</f>
        <v>0</v>
      </c>
      <c r="BK25" s="379">
        <f>SUMIFS(BS_RE33!$H$7:$H$874,BS_RE33!$S$7:$S$874,$BK$2,BS_RE33!$N$7:$N$874,I25,BS_RE33!$P$7:$P$874,'30 days CF Table(GBP)'!G25,BS_RE33!$F$7:$F$874,'30 days CF Table(GBP)'!$C$2)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Table(GBP)'!G26,BS_RE33!$F$7:$F$874,'30 days CF Table(GBP)'!$C$2)</f>
        <v>0</v>
      </c>
      <c r="M26" s="337">
        <f>SUMIFS(BS_RE33!$H$7:$H$874,BS_RE33!$S$7:$S$874,$M$2,BS_RE33!$N$7:$N$874,I26,BS_RE33!$P$7:$P$874,'30 days CF Table(GBP)'!G26,BS_RE33!$F$7:$F$874,'30 days CF Table(GBP)'!$C$2)</f>
        <v>0</v>
      </c>
      <c r="N26" s="337">
        <f>SUMIFS(BS_RE33!$H$7:$H$874,BS_RE33!$S$7:$S$874,$N$2,BS_RE33!$N$7:$N$874,I26,BS_RE33!$P$7:$P$874,'30 days CF Table(GBP)'!G26,BS_RE33!$F$7:$F$874,'30 days CF Table(GBP)'!$C$2)</f>
        <v>0</v>
      </c>
      <c r="O26" s="337">
        <f>SUMIFS(BS_RE33!$H$7:$H$874,BS_RE33!$S$7:$S$874,$O$2,BS_RE33!$N$7:$N$874,I26,BS_RE33!$P$7:$P$874,'30 days CF Table(GBP)'!G26,BS_RE33!$F$7:$F$874,'30 days CF Table(GBP)'!$C$2)</f>
        <v>0</v>
      </c>
      <c r="P26" s="337">
        <f>SUMIFS(BS_RE33!$H$7:$H$874,BS_RE33!$S$7:$S$874,$P$2,BS_RE33!$N$7:$N$874,I26,BS_RE33!$P$7:$P$874,'30 days CF Table(GBP)'!G26,BS_RE33!$F$7:$F$874,'30 days CF Table(GBP)'!$C$2)</f>
        <v>0</v>
      </c>
      <c r="Q26" s="337">
        <f>SUMIFS(BS_RE33!$H$7:$H$874,BS_RE33!$S$7:$S$874,$Q$2,BS_RE33!$N$7:$N$874,I26,BS_RE33!$P$7:$P$874,'30 days CF Table(GBP)'!G26,BS_RE33!$F$7:$F$874,'30 days CF Table(GBP)'!$C$2)</f>
        <v>0</v>
      </c>
      <c r="R26" s="337">
        <f>SUMIFS(BS_RE33!$H$7:$H$874,BS_RE33!$S$7:$S$874,$R$2,BS_RE33!$N$7:$N$874,I26,BS_RE33!$P$7:$P$874,'30 days CF Table(GBP)'!G26,BS_RE33!$F$7:$F$874,'30 days CF Table(GBP)'!$C$2)</f>
        <v>0</v>
      </c>
      <c r="S26" s="337">
        <f>SUMIFS(BS_RE33!$H$7:$H$874,BS_RE33!$S$7:$S$874,$S$2,BS_RE33!$N$7:$N$874,I26,BS_RE33!$P$7:$P$874,'30 days CF Table(GBP)'!G26,BS_RE33!$F$7:$F$874,'30 days CF Table(GBP)'!$C$2)</f>
        <v>0</v>
      </c>
      <c r="T26" s="337">
        <f>SUMIFS(BS_RE33!$H$7:$H$874,BS_RE33!$S$7:$S$874,$T$2,BS_RE33!$N$7:$N$874,I26,BS_RE33!$P$7:$P$874,'30 days CF Table(GBP)'!G26,BS_RE33!$F$7:$F$874,'30 days CF Table(GBP)'!$C$2)</f>
        <v>0</v>
      </c>
      <c r="U26" s="337">
        <f>SUMIFS(BS_RE33!$H$7:$H$874,BS_RE33!$S$7:$S$874,$U$2,BS_RE33!$N$7:$N$874,I26,BS_RE33!$P$7:$P$874,'30 days CF Table(GBP)'!G26,BS_RE33!$F$7:$F$874,'30 days CF Table(GBP)'!$C$2)</f>
        <v>0</v>
      </c>
      <c r="V26" s="337">
        <f>SUMIFS(BS_RE33!$H$7:$H$874,BS_RE33!$S$7:$S$874,$V$2,BS_RE33!$N$7:$N$874,I26,BS_RE33!$P$7:$P$874,'30 days CF Table(GBP)'!G26,BS_RE33!$F$7:$F$874,'30 days CF Table(GBP)'!$C$2)</f>
        <v>0</v>
      </c>
      <c r="W26" s="337">
        <f>SUMIFS(BS_RE33!$H$7:$H$874,BS_RE33!$S$7:$S$874,$W$2,BS_RE33!$N$7:$N$874,I26,BS_RE33!$P$7:$P$874,'30 days CF Table(GBP)'!G26,BS_RE33!$F$7:$F$874,'30 days CF Table(GBP)'!$C$2)</f>
        <v>0</v>
      </c>
      <c r="X26" s="337">
        <f>SUMIFS(BS_RE33!$H$7:$H$874,BS_RE33!$S$7:$S$874,$X$2,BS_RE33!$N$7:$N$874,I26,BS_RE33!$P$7:$P$874,'30 days CF Table(GBP)'!G26,BS_RE33!$F$7:$F$874,'30 days CF Table(GBP)'!$C$2)</f>
        <v>0</v>
      </c>
      <c r="Y26" s="337">
        <f>SUMIFS(BS_RE33!$H$7:$H$874,BS_RE33!$S$7:$S$874,$Y$2,BS_RE33!$N$7:$N$874,I26,BS_RE33!$P$7:$P$874,'30 days CF Table(GBP)'!G26,BS_RE33!$F$7:$F$874,'30 days CF Table(GBP)'!$C$2)</f>
        <v>0</v>
      </c>
      <c r="Z26" s="337">
        <f>SUMIFS(BS_RE33!$H$7:$H$874,BS_RE33!$S$7:$S$874,$Z$2,BS_RE33!$N$7:$N$874,I26,BS_RE33!$P$7:$P$874,'30 days CF Table(GBP)'!G26,BS_RE33!$F$7:$F$874,'30 days CF Table(GBP)'!$C$2)</f>
        <v>0</v>
      </c>
      <c r="AA26" s="337">
        <f>SUMIFS(BS_RE33!$H$7:$H$874,BS_RE33!$S$7:$S$874,$AA$2,BS_RE33!$N$7:$N$874,I26,BS_RE33!$P$7:$P$874,'30 days CF Table(GBP)'!G26,BS_RE33!$F$7:$F$874,'30 days CF Table(GBP)'!$C$2)</f>
        <v>0</v>
      </c>
      <c r="AB26" s="337">
        <f>SUMIFS(BS_RE33!$H$7:$H$874,BS_RE33!$S$7:$S$874,$AB$2,BS_RE33!$N$7:$N$874,I26,BS_RE33!$P$7:$P$874,'30 days CF Table(GBP)'!G26,BS_RE33!$F$7:$F$874,'30 days CF Table(GBP)'!$C$2)</f>
        <v>0</v>
      </c>
      <c r="AC26" s="337">
        <f>SUMIFS(BS_RE33!$H$7:$H$874,BS_RE33!$S$7:$S$874,$AC$2,BS_RE33!$N$7:$N$874,I26,BS_RE33!$P$7:$P$874,'30 days CF Table(GBP)'!G26,BS_RE33!$F$7:$F$874,'30 days CF Table(GBP)'!$C$2)</f>
        <v>0</v>
      </c>
      <c r="AD26" s="337">
        <f>SUMIFS(BS_RE33!$H$7:$H$874,BS_RE33!$S$7:$S$874,$AD$2,BS_RE33!$N$7:$N$874,I26,BS_RE33!$P$7:$P$874,'30 days CF Table(GBP)'!G26,BS_RE33!$F$7:$F$874,'30 days CF Table(GBP)'!$C$2)</f>
        <v>0</v>
      </c>
      <c r="AE26" s="337">
        <f>SUMIFS(BS_RE33!$H$7:$H$874,BS_RE33!$S$7:$S$874,$AE$2,BS_RE33!$N$7:$N$874,I26,BS_RE33!$P$7:$P$874,'30 days CF Table(GBP)'!G26,BS_RE33!$F$7:$F$874,'30 days CF Table(GBP)'!$C$2)</f>
        <v>0</v>
      </c>
      <c r="AF26" s="337">
        <f>SUMIFS(BS_RE33!$H$7:$H$874,BS_RE33!$S$7:$S$874,$AF$2,BS_RE33!$N$7:$N$874,I26,BS_RE33!$P$7:$P$874,'30 days CF Table(GBP)'!G26,BS_RE33!$F$7:$F$874,'30 days CF Table(GBP)'!$C$2)</f>
        <v>0</v>
      </c>
      <c r="AG26" s="337">
        <f>SUMIFS(BS_RE33!$H$7:$H$874,BS_RE33!$S$7:$S$874,$AG$2,BS_RE33!$N$7:$N$874,I26,BS_RE33!$P$7:$P$874,'30 days CF Table(GBP)'!G26,BS_RE33!$F$7:$F$874,'30 days CF Table(GBP)'!$C$2)</f>
        <v>0</v>
      </c>
      <c r="AH26" s="337">
        <f>SUMIFS(BS_RE33!$H$7:$H$874,BS_RE33!$S$7:$S$874,$AH$2,BS_RE33!$N$7:$N$874,I26,BS_RE33!$P$7:$P$874,'30 days CF Table(GBP)'!G26,BS_RE33!$F$7:$F$874,'30 days CF Table(GBP)'!$C$2)</f>
        <v>0</v>
      </c>
      <c r="AI26" s="337">
        <f>SUMIFS(BS_RE33!$H$7:$H$874,BS_RE33!$S$7:$S$874,$AI$2,BS_RE33!$N$7:$N$874,I26,BS_RE33!$P$7:$P$874,'30 days CF Table(GBP)'!G26,BS_RE33!$F$7:$F$874,'30 days CF Table(GBP)'!$C$2)</f>
        <v>0</v>
      </c>
      <c r="AJ26" s="337">
        <f>SUMIFS(BS_RE33!$H$7:$H$874,BS_RE33!$S$7:$S$874,$AJ$2,BS_RE33!$N$7:$N$874,I26,BS_RE33!$P$7:$P$874,'30 days CF Table(GBP)'!G26,BS_RE33!$F$7:$F$874,'30 days CF Table(GBP)'!$C$2)</f>
        <v>0</v>
      </c>
      <c r="AK26" s="337">
        <f>SUMIFS(BS_RE33!$H$7:$H$874,BS_RE33!$S$7:$S$874,$AK$2,BS_RE33!$N$7:$N$874,I26,BS_RE33!$P$7:$P$874,'30 days CF Table(GBP)'!G26,BS_RE33!$F$7:$F$874,'30 days CF Table(GBP)'!$C$2)</f>
        <v>0</v>
      </c>
      <c r="AL26" s="337">
        <f>SUMIFS(BS_RE33!$H$7:$H$874,BS_RE33!$S$7:$S$874,$AL$2,BS_RE33!$N$7:$N$874,I26,BS_RE33!$P$7:$P$874,'30 days CF Table(GBP)'!G26,BS_RE33!$F$7:$F$874,'30 days CF Table(GBP)'!$C$2)</f>
        <v>0</v>
      </c>
      <c r="AM26" s="337">
        <f>SUMIFS(BS_RE33!$H$7:$H$874,BS_RE33!$S$7:$S$874,$AM$2,BS_RE33!$N$7:$N$874,I26,BS_RE33!$P$7:$P$874,'30 days CF Table(GBP)'!G26,BS_RE33!$F$7:$F$874,'30 days CF Table(GBP)'!$C$2)</f>
        <v>0</v>
      </c>
      <c r="AN26" s="337">
        <f>SUMIFS(BS_RE33!$H$7:$H$874,BS_RE33!$S$7:$S$874,$AN$2,BS_RE33!$N$7:$N$874,I26,BS_RE33!$P$7:$P$874,'30 days CF Table(GBP)'!G26,BS_RE33!$F$7:$F$874,'30 days CF Table(GBP)'!$C$2)</f>
        <v>0</v>
      </c>
      <c r="AO26" s="337">
        <f>SUMIFS(BS_RE33!$H$7:$H$874,BS_RE33!$S$7:$S$874,$AO$2,BS_RE33!$N$7:$N$874,I26,BS_RE33!$P$7:$P$874,'30 days CF Table(GBP)'!G26,BS_RE33!$F$7:$F$874,'30 days CF Table(GBP)'!$C$2)</f>
        <v>0</v>
      </c>
      <c r="AP26" s="338">
        <f>SUMIFS(BS_RE33!$H$7:$H$874,BS_RE33!$S$7:$S$874,$AP$2,BS_RE33!$N$7:$N$874,I26,BS_RE33!$P$7:$P$874,'30 days CF Table(GBP)'!G26,BS_RE33!$F$7:$F$874,'30 days CF Table(GBP)'!$C$2)</f>
        <v>0</v>
      </c>
      <c r="AR26" s="379">
        <f>SUMIFS(BS_RE33!$H$7:$H$874,BS_RE33!$S$7:$S$874,$AR$2,BS_RE33!$N$7:$N$874,I26,BS_RE33!$P$7:$P$874,'30 days CF Table(GBP)'!G26,BS_RE33!$F$7:$F$874,'30 days CF Table(GBP)'!$C$2)</f>
        <v>0</v>
      </c>
      <c r="AS26" s="379">
        <f>SUMIFS(BS_RE33!$H$7:$H$874,BS_RE33!$S$7:$S$874,$AS$2,BS_RE33!$N$7:$N$874,I26,BS_RE33!$P$7:$P$874,'30 days CF Table(GBP)'!G26,BS_RE33!$F$7:$F$874,'30 days CF Table(GBP)'!$C$2)</f>
        <v>0</v>
      </c>
      <c r="AT26" s="379">
        <f>SUMIFS(BS_RE33!$H$7:$H$874,BS_RE33!$S$7:$S$874,$AT$2,BS_RE33!$N$7:$N$874,I26,BS_RE33!$P$7:$P$874,'30 days CF Table(GBP)'!G26,BS_RE33!$F$7:$F$874,'30 days CF Table(GBP)'!$C$2)</f>
        <v>0</v>
      </c>
      <c r="AU26" s="379">
        <f>SUMIFS(BS_RE33!$H$7:$H$874,BS_RE33!$S$7:$S$874,$AU$2,BS_RE33!$N$7:$N$874,I26,BS_RE33!$P$7:$P$874,'30 days CF Table(GBP)'!G26,BS_RE33!$F$7:$F$874,'30 days CF Table(GBP)'!$C$2)</f>
        <v>0</v>
      </c>
      <c r="AV26" s="379">
        <f>SUMIFS(BS_RE33!$H$7:$H$874,BS_RE33!$S$7:$S$874,$AV$2,BS_RE33!$N$7:$N$874,I26,BS_RE33!$P$7:$P$874,'30 days CF Table(GBP)'!G26,BS_RE33!$F$7:$F$874,'30 days CF Table(GBP)'!$C$2)</f>
        <v>0</v>
      </c>
      <c r="AW26" s="379">
        <f>SUMIFS(BS_RE33!$H$7:$H$874,BS_RE33!$S$7:$S$874,$AW$2,BS_RE33!$N$7:$N$874,I26,BS_RE33!$P$7:$P$874,'30 days CF Table(GBP)'!G26,BS_RE33!$F$7:$F$874,'30 days CF Table(GBP)'!$C$2)</f>
        <v>0</v>
      </c>
      <c r="AX26" s="379">
        <f>SUMIFS(BS_RE33!$H$7:$H$874,BS_RE33!$S$7:$S$874,$AX$2,BS_RE33!$N$7:$N$874,I26,BS_RE33!$P$7:$P$874,'30 days CF Table(GBP)'!G26,BS_RE33!$F$7:$F$874,'30 days CF Table(GBP)'!$C$2)</f>
        <v>0</v>
      </c>
      <c r="AY26" s="379">
        <f>SUMIFS(BS_RE33!$H$7:$H$874,BS_RE33!$S$7:$S$874,$AY$2,BS_RE33!$N$7:$N$874,I26,BS_RE33!$P$7:$P$874,'30 days CF Table(GBP)'!G26,BS_RE33!$F$7:$F$874,'30 days CF Table(GBP)'!$C$2)</f>
        <v>0</v>
      </c>
      <c r="AZ26" s="379">
        <f>SUMIFS(BS_RE33!$H$7:$H$874,BS_RE33!$S$7:$S$874,$AZ$2,BS_RE33!$N$7:$N$874,I26,BS_RE33!$P$7:$P$874,'30 days CF Table(GBP)'!G26,BS_RE33!$F$7:$F$874,'30 days CF Table(GBP)'!$C$2)</f>
        <v>0</v>
      </c>
      <c r="BA26" s="379">
        <f>SUMIFS(BS_RE33!$H$7:$H$874,BS_RE33!$S$7:$S$874,$BA$2,BS_RE33!$N$7:$N$874,I26,BS_RE33!$P$7:$P$874,'30 days CF Table(GBP)'!G26,BS_RE33!$F$7:$F$874,'30 days CF Table(GBP)'!$C$2)</f>
        <v>0</v>
      </c>
      <c r="BB26" s="379">
        <f>SUMIFS(BS_RE33!$H$7:$H$874,BS_RE33!$S$7:$S$874,$BB$2,BS_RE33!$N$7:$N$874,I26,BS_RE33!$P$7:$P$874,'30 days CF Table(GBP)'!G26,BS_RE33!$F$7:$F$874,'30 days CF Table(GBP)'!$C$2)</f>
        <v>0</v>
      </c>
      <c r="BC26" s="379">
        <f>SUMIFS(BS_RE33!$H$7:$H$874,BS_RE33!$S$7:$S$874,$BC$2,BS_RE33!$N$7:$N$874,I26,BS_RE33!$P$7:$P$874,'30 days CF Table(GBP)'!G26,BS_RE33!$F$7:$F$874,'30 days CF Table(GBP)'!$C$2)</f>
        <v>0</v>
      </c>
      <c r="BD26" s="379">
        <f>SUMIFS(BS_RE33!$H$7:$H$874,BS_RE33!$S$7:$S$874,$BD$2,BS_RE33!$N$7:$N$874,I26,BS_RE33!$P$7:$P$874,'30 days CF Table(GBP)'!G26,BS_RE33!$F$7:$F$874,'30 days CF Table(GBP)'!$C$2)</f>
        <v>0</v>
      </c>
      <c r="BE26" s="379">
        <f>SUMIFS(BS_RE33!$H$7:$H$874,BS_RE33!$S$7:$S$874,$BE$2,BS_RE33!$N$7:$N$874,I26,BS_RE33!$P$7:$P$874,'30 days CF Table(GBP)'!G26,BS_RE33!$F$7:$F$874,'30 days CF Table(GBP)'!$C$2)</f>
        <v>0</v>
      </c>
      <c r="BF26" s="379">
        <f>SUMIFS(BS_RE33!$H$7:$H$874,BS_RE33!$S$7:$S$874,$BF$2,BS_RE33!$N$7:$N$874,I26,BS_RE33!$P$7:$P$874,'30 days CF Table(GBP)'!G26,BS_RE33!$F$7:$F$874,'30 days CF Table(GBP)'!$C$2)</f>
        <v>0</v>
      </c>
      <c r="BG26" s="379">
        <f>SUMIFS(BS_RE33!$H$7:$H$874,BS_RE33!$S$7:$S$874,$BG$2,BS_RE33!$N$7:$N$874,I26,BS_RE33!$P$7:$P$874,'30 days CF Table(GBP)'!G26,BS_RE33!$F$7:$F$874,'30 days CF Table(GBP)'!$C$2)</f>
        <v>0</v>
      </c>
      <c r="BH26" s="379">
        <f>SUMIFS(BS_RE33!$H$7:$H$874,BS_RE33!$S$7:$S$874,$BH$2,BS_RE33!$N$7:$N$874,I26,BS_RE33!$P$7:$P$874,'30 days CF Table(GBP)'!G26,BS_RE33!$F$7:$F$874,'30 days CF Table(GBP)'!$C$2)</f>
        <v>0</v>
      </c>
      <c r="BI26" s="379">
        <f>SUMIFS(BS_RE33!$H$7:$H$874,BS_RE33!$S$7:$S$874,$BI$2,BS_RE33!$N$7:$N$874,I26,BS_RE33!$P$7:$P$874,'30 days CF Table(GBP)'!G26,BS_RE33!$F$7:$F$874,'30 days CF Table(GBP)'!$C$2)</f>
        <v>0</v>
      </c>
      <c r="BJ26" s="379">
        <f>SUMIFS(BS_RE33!$H$7:$H$874,BS_RE33!$S$7:$S$874,$BJ$2,BS_RE33!$N$7:$N$874,I26,BS_RE33!$P$7:$P$874,'30 days CF Table(GBP)'!G26,BS_RE33!$F$7:$F$874,'30 days CF Table(GBP)'!$C$2)</f>
        <v>0</v>
      </c>
      <c r="BK26" s="379">
        <f>SUMIFS(BS_RE33!$H$7:$H$874,BS_RE33!$S$7:$S$874,$BK$2,BS_RE33!$N$7:$N$874,I26,BS_RE33!$P$7:$P$874,'30 days CF Table(GBP)'!G26,BS_RE33!$F$7:$F$874,'30 days CF Table(GBP)'!$C$2)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Table(GBP)'!G27,BS_RE33!$F$7:$F$874,'30 days CF Table(GBP)'!$C$2)</f>
        <v>0</v>
      </c>
      <c r="M27" s="337">
        <f>SUMIFS(BS_RE33!$H$7:$H$874,BS_RE33!$S$7:$S$874,$M$2,BS_RE33!$N$7:$N$874,I27,BS_RE33!$P$7:$P$874,'30 days CF Table(GBP)'!G27,BS_RE33!$F$7:$F$874,'30 days CF Table(GBP)'!$C$2)</f>
        <v>0</v>
      </c>
      <c r="N27" s="337">
        <f>SUMIFS(BS_RE33!$H$7:$H$874,BS_RE33!$S$7:$S$874,$N$2,BS_RE33!$N$7:$N$874,I27,BS_RE33!$P$7:$P$874,'30 days CF Table(GBP)'!G27,BS_RE33!$F$7:$F$874,'30 days CF Table(GBP)'!$C$2)</f>
        <v>0</v>
      </c>
      <c r="O27" s="337">
        <f>SUMIFS(BS_RE33!$H$7:$H$874,BS_RE33!$S$7:$S$874,$O$2,BS_RE33!$N$7:$N$874,I27,BS_RE33!$P$7:$P$874,'30 days CF Table(GBP)'!G27,BS_RE33!$F$7:$F$874,'30 days CF Table(GBP)'!$C$2)</f>
        <v>0</v>
      </c>
      <c r="P27" s="337">
        <f>SUMIFS(BS_RE33!$H$7:$H$874,BS_RE33!$S$7:$S$874,$P$2,BS_RE33!$N$7:$N$874,I27,BS_RE33!$P$7:$P$874,'30 days CF Table(GBP)'!G27,BS_RE33!$F$7:$F$874,'30 days CF Table(GBP)'!$C$2)</f>
        <v>0</v>
      </c>
      <c r="Q27" s="337">
        <f>SUMIFS(BS_RE33!$H$7:$H$874,BS_RE33!$S$7:$S$874,$Q$2,BS_RE33!$N$7:$N$874,I27,BS_RE33!$P$7:$P$874,'30 days CF Table(GBP)'!G27,BS_RE33!$F$7:$F$874,'30 days CF Table(GBP)'!$C$2)</f>
        <v>0</v>
      </c>
      <c r="R27" s="337">
        <f>SUMIFS(BS_RE33!$H$7:$H$874,BS_RE33!$S$7:$S$874,$R$2,BS_RE33!$N$7:$N$874,I27,BS_RE33!$P$7:$P$874,'30 days CF Table(GBP)'!G27,BS_RE33!$F$7:$F$874,'30 days CF Table(GBP)'!$C$2)</f>
        <v>0</v>
      </c>
      <c r="S27" s="337">
        <f>SUMIFS(BS_RE33!$H$7:$H$874,BS_RE33!$S$7:$S$874,$S$2,BS_RE33!$N$7:$N$874,I27,BS_RE33!$P$7:$P$874,'30 days CF Table(GBP)'!G27,BS_RE33!$F$7:$F$874,'30 days CF Table(GBP)'!$C$2)</f>
        <v>0</v>
      </c>
      <c r="T27" s="337">
        <f>SUMIFS(BS_RE33!$H$7:$H$874,BS_RE33!$S$7:$S$874,$T$2,BS_RE33!$N$7:$N$874,I27,BS_RE33!$P$7:$P$874,'30 days CF Table(GBP)'!G27,BS_RE33!$F$7:$F$874,'30 days CF Table(GBP)'!$C$2)</f>
        <v>0</v>
      </c>
      <c r="U27" s="337">
        <f>SUMIFS(BS_RE33!$H$7:$H$874,BS_RE33!$S$7:$S$874,$U$2,BS_RE33!$N$7:$N$874,I27,BS_RE33!$P$7:$P$874,'30 days CF Table(GBP)'!G27,BS_RE33!$F$7:$F$874,'30 days CF Table(GBP)'!$C$2)</f>
        <v>0</v>
      </c>
      <c r="V27" s="337">
        <f>SUMIFS(BS_RE33!$H$7:$H$874,BS_RE33!$S$7:$S$874,$V$2,BS_RE33!$N$7:$N$874,I27,BS_RE33!$P$7:$P$874,'30 days CF Table(GBP)'!G27,BS_RE33!$F$7:$F$874,'30 days CF Table(GBP)'!$C$2)</f>
        <v>0</v>
      </c>
      <c r="W27" s="337">
        <f>SUMIFS(BS_RE33!$H$7:$H$874,BS_RE33!$S$7:$S$874,$W$2,BS_RE33!$N$7:$N$874,I27,BS_RE33!$P$7:$P$874,'30 days CF Table(GBP)'!G27,BS_RE33!$F$7:$F$874,'30 days CF Table(GBP)'!$C$2)</f>
        <v>0</v>
      </c>
      <c r="X27" s="337">
        <f>SUMIFS(BS_RE33!$H$7:$H$874,BS_RE33!$S$7:$S$874,$X$2,BS_RE33!$N$7:$N$874,I27,BS_RE33!$P$7:$P$874,'30 days CF Table(GBP)'!G27,BS_RE33!$F$7:$F$874,'30 days CF Table(GBP)'!$C$2)</f>
        <v>0</v>
      </c>
      <c r="Y27" s="337">
        <f>SUMIFS(BS_RE33!$H$7:$H$874,BS_RE33!$S$7:$S$874,$Y$2,BS_RE33!$N$7:$N$874,I27,BS_RE33!$P$7:$P$874,'30 days CF Table(GBP)'!G27,BS_RE33!$F$7:$F$874,'30 days CF Table(GBP)'!$C$2)</f>
        <v>0</v>
      </c>
      <c r="Z27" s="337">
        <f>SUMIFS(BS_RE33!$H$7:$H$874,BS_RE33!$S$7:$S$874,$Z$2,BS_RE33!$N$7:$N$874,I27,BS_RE33!$P$7:$P$874,'30 days CF Table(GBP)'!G27,BS_RE33!$F$7:$F$874,'30 days CF Table(GBP)'!$C$2)</f>
        <v>0</v>
      </c>
      <c r="AA27" s="337">
        <f>SUMIFS(BS_RE33!$H$7:$H$874,BS_RE33!$S$7:$S$874,$AA$2,BS_RE33!$N$7:$N$874,I27,BS_RE33!$P$7:$P$874,'30 days CF Table(GBP)'!G27,BS_RE33!$F$7:$F$874,'30 days CF Table(GBP)'!$C$2)</f>
        <v>0</v>
      </c>
      <c r="AB27" s="337">
        <f>SUMIFS(BS_RE33!$H$7:$H$874,BS_RE33!$S$7:$S$874,$AB$2,BS_RE33!$N$7:$N$874,I27,BS_RE33!$P$7:$P$874,'30 days CF Table(GBP)'!G27,BS_RE33!$F$7:$F$874,'30 days CF Table(GBP)'!$C$2)</f>
        <v>0</v>
      </c>
      <c r="AC27" s="337">
        <f>SUMIFS(BS_RE33!$H$7:$H$874,BS_RE33!$S$7:$S$874,$AC$2,BS_RE33!$N$7:$N$874,I27,BS_RE33!$P$7:$P$874,'30 days CF Table(GBP)'!G27,BS_RE33!$F$7:$F$874,'30 days CF Table(GBP)'!$C$2)</f>
        <v>0</v>
      </c>
      <c r="AD27" s="337">
        <f>SUMIFS(BS_RE33!$H$7:$H$874,BS_RE33!$S$7:$S$874,$AD$2,BS_RE33!$N$7:$N$874,I27,BS_RE33!$P$7:$P$874,'30 days CF Table(GBP)'!G27,BS_RE33!$F$7:$F$874,'30 days CF Table(GBP)'!$C$2)</f>
        <v>0</v>
      </c>
      <c r="AE27" s="337">
        <f>SUMIFS(BS_RE33!$H$7:$H$874,BS_RE33!$S$7:$S$874,$AE$2,BS_RE33!$N$7:$N$874,I27,BS_RE33!$P$7:$P$874,'30 days CF Table(GBP)'!G27,BS_RE33!$F$7:$F$874,'30 days CF Table(GBP)'!$C$2)</f>
        <v>0</v>
      </c>
      <c r="AF27" s="337">
        <f>SUMIFS(BS_RE33!$H$7:$H$874,BS_RE33!$S$7:$S$874,$AF$2,BS_RE33!$N$7:$N$874,I27,BS_RE33!$P$7:$P$874,'30 days CF Table(GBP)'!G27,BS_RE33!$F$7:$F$874,'30 days CF Table(GBP)'!$C$2)</f>
        <v>0</v>
      </c>
      <c r="AG27" s="337">
        <f>SUMIFS(BS_RE33!$H$7:$H$874,BS_RE33!$S$7:$S$874,$AG$2,BS_RE33!$N$7:$N$874,I27,BS_RE33!$P$7:$P$874,'30 days CF Table(GBP)'!G27,BS_RE33!$F$7:$F$874,'30 days CF Table(GBP)'!$C$2)</f>
        <v>0</v>
      </c>
      <c r="AH27" s="337">
        <f>SUMIFS(BS_RE33!$H$7:$H$874,BS_RE33!$S$7:$S$874,$AH$2,BS_RE33!$N$7:$N$874,I27,BS_RE33!$P$7:$P$874,'30 days CF Table(GBP)'!G27,BS_RE33!$F$7:$F$874,'30 days CF Table(GBP)'!$C$2)</f>
        <v>0</v>
      </c>
      <c r="AI27" s="337">
        <f>SUMIFS(BS_RE33!$H$7:$H$874,BS_RE33!$S$7:$S$874,$AI$2,BS_RE33!$N$7:$N$874,I27,BS_RE33!$P$7:$P$874,'30 days CF Table(GBP)'!G27,BS_RE33!$F$7:$F$874,'30 days CF Table(GBP)'!$C$2)</f>
        <v>0</v>
      </c>
      <c r="AJ27" s="337">
        <f>SUMIFS(BS_RE33!$H$7:$H$874,BS_RE33!$S$7:$S$874,$AJ$2,BS_RE33!$N$7:$N$874,I27,BS_RE33!$P$7:$P$874,'30 days CF Table(GBP)'!G27,BS_RE33!$F$7:$F$874,'30 days CF Table(GBP)'!$C$2)</f>
        <v>0</v>
      </c>
      <c r="AK27" s="337">
        <f>SUMIFS(BS_RE33!$H$7:$H$874,BS_RE33!$S$7:$S$874,$AK$2,BS_RE33!$N$7:$N$874,I27,BS_RE33!$P$7:$P$874,'30 days CF Table(GBP)'!G27,BS_RE33!$F$7:$F$874,'30 days CF Table(GBP)'!$C$2)</f>
        <v>0</v>
      </c>
      <c r="AL27" s="337">
        <f>SUMIFS(BS_RE33!$H$7:$H$874,BS_RE33!$S$7:$S$874,$AL$2,BS_RE33!$N$7:$N$874,I27,BS_RE33!$P$7:$P$874,'30 days CF Table(GBP)'!G27,BS_RE33!$F$7:$F$874,'30 days CF Table(GBP)'!$C$2)</f>
        <v>0</v>
      </c>
      <c r="AM27" s="337">
        <f>SUMIFS(BS_RE33!$H$7:$H$874,BS_RE33!$S$7:$S$874,$AM$2,BS_RE33!$N$7:$N$874,I27,BS_RE33!$P$7:$P$874,'30 days CF Table(GBP)'!G27,BS_RE33!$F$7:$F$874,'30 days CF Table(GBP)'!$C$2)</f>
        <v>0</v>
      </c>
      <c r="AN27" s="337">
        <f>SUMIFS(BS_RE33!$H$7:$H$874,BS_RE33!$S$7:$S$874,$AN$2,BS_RE33!$N$7:$N$874,I27,BS_RE33!$P$7:$P$874,'30 days CF Table(GBP)'!G27,BS_RE33!$F$7:$F$874,'30 days CF Table(GBP)'!$C$2)</f>
        <v>0</v>
      </c>
      <c r="AO27" s="337">
        <f>SUMIFS(BS_RE33!$H$7:$H$874,BS_RE33!$S$7:$S$874,$AO$2,BS_RE33!$N$7:$N$874,I27,BS_RE33!$P$7:$P$874,'30 days CF Table(GBP)'!G27,BS_RE33!$F$7:$F$874,'30 days CF Table(GBP)'!$C$2)</f>
        <v>0</v>
      </c>
      <c r="AP27" s="338">
        <f>SUMIFS(BS_RE33!$H$7:$H$874,BS_RE33!$S$7:$S$874,$AP$2,BS_RE33!$N$7:$N$874,I27,BS_RE33!$P$7:$P$874,'30 days CF Table(GBP)'!G27,BS_RE33!$F$7:$F$874,'30 days CF Table(GBP)'!$C$2)</f>
        <v>0</v>
      </c>
      <c r="AR27" s="379">
        <f>SUMIFS(BS_RE33!$H$7:$H$874,BS_RE33!$S$7:$S$874,$AR$2,BS_RE33!$N$7:$N$874,I27,BS_RE33!$P$7:$P$874,'30 days CF Table(GBP)'!G27,BS_RE33!$F$7:$F$874,'30 days CF Table(GBP)'!$C$2)</f>
        <v>0</v>
      </c>
      <c r="AS27" s="379">
        <f>SUMIFS(BS_RE33!$H$7:$H$874,BS_RE33!$S$7:$S$874,$AS$2,BS_RE33!$N$7:$N$874,I27,BS_RE33!$P$7:$P$874,'30 days CF Table(GBP)'!G27,BS_RE33!$F$7:$F$874,'30 days CF Table(GBP)'!$C$2)</f>
        <v>0</v>
      </c>
      <c r="AT27" s="379">
        <f>SUMIFS(BS_RE33!$H$7:$H$874,BS_RE33!$S$7:$S$874,$AT$2,BS_RE33!$N$7:$N$874,I27,BS_RE33!$P$7:$P$874,'30 days CF Table(GBP)'!G27,BS_RE33!$F$7:$F$874,'30 days CF Table(GBP)'!$C$2)</f>
        <v>0</v>
      </c>
      <c r="AU27" s="379">
        <f>SUMIFS(BS_RE33!$H$7:$H$874,BS_RE33!$S$7:$S$874,$AU$2,BS_RE33!$N$7:$N$874,I27,BS_RE33!$P$7:$P$874,'30 days CF Table(GBP)'!G27,BS_RE33!$F$7:$F$874,'30 days CF Table(GBP)'!$C$2)</f>
        <v>0</v>
      </c>
      <c r="AV27" s="379">
        <f>SUMIFS(BS_RE33!$H$7:$H$874,BS_RE33!$S$7:$S$874,$AV$2,BS_RE33!$N$7:$N$874,I27,BS_RE33!$P$7:$P$874,'30 days CF Table(GBP)'!G27,BS_RE33!$F$7:$F$874,'30 days CF Table(GBP)'!$C$2)</f>
        <v>0</v>
      </c>
      <c r="AW27" s="379">
        <f>SUMIFS(BS_RE33!$H$7:$H$874,BS_RE33!$S$7:$S$874,$AW$2,BS_RE33!$N$7:$N$874,I27,BS_RE33!$P$7:$P$874,'30 days CF Table(GBP)'!G27,BS_RE33!$F$7:$F$874,'30 days CF Table(GBP)'!$C$2)</f>
        <v>0</v>
      </c>
      <c r="AX27" s="379">
        <f>SUMIFS(BS_RE33!$H$7:$H$874,BS_RE33!$S$7:$S$874,$AX$2,BS_RE33!$N$7:$N$874,I27,BS_RE33!$P$7:$P$874,'30 days CF Table(GBP)'!G27,BS_RE33!$F$7:$F$874,'30 days CF Table(GBP)'!$C$2)</f>
        <v>0</v>
      </c>
      <c r="AY27" s="379">
        <f>SUMIFS(BS_RE33!$H$7:$H$874,BS_RE33!$S$7:$S$874,$AY$2,BS_RE33!$N$7:$N$874,I27,BS_RE33!$P$7:$P$874,'30 days CF Table(GBP)'!G27,BS_RE33!$F$7:$F$874,'30 days CF Table(GBP)'!$C$2)</f>
        <v>0</v>
      </c>
      <c r="AZ27" s="379">
        <f>SUMIFS(BS_RE33!$H$7:$H$874,BS_RE33!$S$7:$S$874,$AZ$2,BS_RE33!$N$7:$N$874,I27,BS_RE33!$P$7:$P$874,'30 days CF Table(GBP)'!G27,BS_RE33!$F$7:$F$874,'30 days CF Table(GBP)'!$C$2)</f>
        <v>0</v>
      </c>
      <c r="BA27" s="379">
        <f>SUMIFS(BS_RE33!$H$7:$H$874,BS_RE33!$S$7:$S$874,$BA$2,BS_RE33!$N$7:$N$874,I27,BS_RE33!$P$7:$P$874,'30 days CF Table(GBP)'!G27,BS_RE33!$F$7:$F$874,'30 days CF Table(GBP)'!$C$2)</f>
        <v>0</v>
      </c>
      <c r="BB27" s="379">
        <f>SUMIFS(BS_RE33!$H$7:$H$874,BS_RE33!$S$7:$S$874,$BB$2,BS_RE33!$N$7:$N$874,I27,BS_RE33!$P$7:$P$874,'30 days CF Table(GBP)'!G27,BS_RE33!$F$7:$F$874,'30 days CF Table(GBP)'!$C$2)</f>
        <v>0</v>
      </c>
      <c r="BC27" s="379">
        <f>SUMIFS(BS_RE33!$H$7:$H$874,BS_RE33!$S$7:$S$874,$BC$2,BS_RE33!$N$7:$N$874,I27,BS_RE33!$P$7:$P$874,'30 days CF Table(GBP)'!G27,BS_RE33!$F$7:$F$874,'30 days CF Table(GBP)'!$C$2)</f>
        <v>0</v>
      </c>
      <c r="BD27" s="379">
        <f>SUMIFS(BS_RE33!$H$7:$H$874,BS_RE33!$S$7:$S$874,$BD$2,BS_RE33!$N$7:$N$874,I27,BS_RE33!$P$7:$P$874,'30 days CF Table(GBP)'!G27,BS_RE33!$F$7:$F$874,'30 days CF Table(GBP)'!$C$2)</f>
        <v>0</v>
      </c>
      <c r="BE27" s="379">
        <f>SUMIFS(BS_RE33!$H$7:$H$874,BS_RE33!$S$7:$S$874,$BE$2,BS_RE33!$N$7:$N$874,I27,BS_RE33!$P$7:$P$874,'30 days CF Table(GBP)'!G27,BS_RE33!$F$7:$F$874,'30 days CF Table(GBP)'!$C$2)</f>
        <v>0</v>
      </c>
      <c r="BF27" s="379">
        <f>SUMIFS(BS_RE33!$H$7:$H$874,BS_RE33!$S$7:$S$874,$BF$2,BS_RE33!$N$7:$N$874,I27,BS_RE33!$P$7:$P$874,'30 days CF Table(GBP)'!G27,BS_RE33!$F$7:$F$874,'30 days CF Table(GBP)'!$C$2)</f>
        <v>0</v>
      </c>
      <c r="BG27" s="379">
        <f>SUMIFS(BS_RE33!$H$7:$H$874,BS_RE33!$S$7:$S$874,$BG$2,BS_RE33!$N$7:$N$874,I27,BS_RE33!$P$7:$P$874,'30 days CF Table(GBP)'!G27,BS_RE33!$F$7:$F$874,'30 days CF Table(GBP)'!$C$2)</f>
        <v>0</v>
      </c>
      <c r="BH27" s="379">
        <f>SUMIFS(BS_RE33!$H$7:$H$874,BS_RE33!$S$7:$S$874,$BH$2,BS_RE33!$N$7:$N$874,I27,BS_RE33!$P$7:$P$874,'30 days CF Table(GBP)'!G27,BS_RE33!$F$7:$F$874,'30 days CF Table(GBP)'!$C$2)</f>
        <v>0</v>
      </c>
      <c r="BI27" s="379">
        <f>SUMIFS(BS_RE33!$H$7:$H$874,BS_RE33!$S$7:$S$874,$BI$2,BS_RE33!$N$7:$N$874,I27,BS_RE33!$P$7:$P$874,'30 days CF Table(GBP)'!G27,BS_RE33!$F$7:$F$874,'30 days CF Table(GBP)'!$C$2)</f>
        <v>0</v>
      </c>
      <c r="BJ27" s="379">
        <f>SUMIFS(BS_RE33!$H$7:$H$874,BS_RE33!$S$7:$S$874,$BJ$2,BS_RE33!$N$7:$N$874,I27,BS_RE33!$P$7:$P$874,'30 days CF Table(GBP)'!G27,BS_RE33!$F$7:$F$874,'30 days CF Table(GBP)'!$C$2)</f>
        <v>0</v>
      </c>
      <c r="BK27" s="379">
        <f>SUMIFS(BS_RE33!$H$7:$H$874,BS_RE33!$S$7:$S$874,$BK$2,BS_RE33!$N$7:$N$874,I27,BS_RE33!$P$7:$P$874,'30 days CF Table(GBP)'!G27,BS_RE33!$F$7:$F$874,'30 days CF Table(GBP)'!$C$2)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Table(GBP)'!G28,BS_RE33!$F$7:$F$874,'30 days CF Table(GBP)'!$C$2)</f>
        <v>0</v>
      </c>
      <c r="M28" s="337">
        <f>SUMIFS(BS_RE33!$H$7:$H$874,BS_RE33!$S$7:$S$874,$M$2,BS_RE33!$N$7:$N$874,I28,BS_RE33!$P$7:$P$874,'30 days CF Table(GBP)'!G28,BS_RE33!$F$7:$F$874,'30 days CF Table(GBP)'!$C$2)</f>
        <v>0</v>
      </c>
      <c r="N28" s="337">
        <f>SUMIFS(BS_RE33!$H$7:$H$874,BS_RE33!$S$7:$S$874,$N$2,BS_RE33!$N$7:$N$874,I28,BS_RE33!$P$7:$P$874,'30 days CF Table(GBP)'!G28,BS_RE33!$F$7:$F$874,'30 days CF Table(GBP)'!$C$2)</f>
        <v>0</v>
      </c>
      <c r="O28" s="337">
        <f>SUMIFS(BS_RE33!$H$7:$H$874,BS_RE33!$S$7:$S$874,$O$2,BS_RE33!$N$7:$N$874,I28,BS_RE33!$P$7:$P$874,'30 days CF Table(GBP)'!G28,BS_RE33!$F$7:$F$874,'30 days CF Table(GBP)'!$C$2)</f>
        <v>0</v>
      </c>
      <c r="P28" s="337">
        <f>SUMIFS(BS_RE33!$H$7:$H$874,BS_RE33!$S$7:$S$874,$P$2,BS_RE33!$N$7:$N$874,I28,BS_RE33!$P$7:$P$874,'30 days CF Table(GBP)'!G28,BS_RE33!$F$7:$F$874,'30 days CF Table(GBP)'!$C$2)</f>
        <v>0</v>
      </c>
      <c r="Q28" s="337">
        <f>SUMIFS(BS_RE33!$H$7:$H$874,BS_RE33!$S$7:$S$874,$Q$2,BS_RE33!$N$7:$N$874,I28,BS_RE33!$P$7:$P$874,'30 days CF Table(GBP)'!G28,BS_RE33!$F$7:$F$874,'30 days CF Table(GBP)'!$C$2)</f>
        <v>0</v>
      </c>
      <c r="R28" s="337">
        <f>SUMIFS(BS_RE33!$H$7:$H$874,BS_RE33!$S$7:$S$874,$R$2,BS_RE33!$N$7:$N$874,I28,BS_RE33!$P$7:$P$874,'30 days CF Table(GBP)'!G28,BS_RE33!$F$7:$F$874,'30 days CF Table(GBP)'!$C$2)</f>
        <v>0</v>
      </c>
      <c r="S28" s="337">
        <f>SUMIFS(BS_RE33!$H$7:$H$874,BS_RE33!$S$7:$S$874,$S$2,BS_RE33!$N$7:$N$874,I28,BS_RE33!$P$7:$P$874,'30 days CF Table(GBP)'!G28,BS_RE33!$F$7:$F$874,'30 days CF Table(GBP)'!$C$2)</f>
        <v>0</v>
      </c>
      <c r="T28" s="337">
        <f>SUMIFS(BS_RE33!$H$7:$H$874,BS_RE33!$S$7:$S$874,$T$2,BS_RE33!$N$7:$N$874,I28,BS_RE33!$P$7:$P$874,'30 days CF Table(GBP)'!G28,BS_RE33!$F$7:$F$874,'30 days CF Table(GBP)'!$C$2)</f>
        <v>0</v>
      </c>
      <c r="U28" s="337">
        <f>SUMIFS(BS_RE33!$H$7:$H$874,BS_RE33!$S$7:$S$874,$U$2,BS_RE33!$N$7:$N$874,I28,BS_RE33!$P$7:$P$874,'30 days CF Table(GBP)'!G28,BS_RE33!$F$7:$F$874,'30 days CF Table(GBP)'!$C$2)</f>
        <v>0</v>
      </c>
      <c r="V28" s="337">
        <f>SUMIFS(BS_RE33!$H$7:$H$874,BS_RE33!$S$7:$S$874,$V$2,BS_RE33!$N$7:$N$874,I28,BS_RE33!$P$7:$P$874,'30 days CF Table(GBP)'!G28,BS_RE33!$F$7:$F$874,'30 days CF Table(GBP)'!$C$2)</f>
        <v>0</v>
      </c>
      <c r="W28" s="337">
        <f>SUMIFS(BS_RE33!$H$7:$H$874,BS_RE33!$S$7:$S$874,$W$2,BS_RE33!$N$7:$N$874,I28,BS_RE33!$P$7:$P$874,'30 days CF Table(GBP)'!G28,BS_RE33!$F$7:$F$874,'30 days CF Table(GBP)'!$C$2)</f>
        <v>0</v>
      </c>
      <c r="X28" s="337">
        <f>SUMIFS(BS_RE33!$H$7:$H$874,BS_RE33!$S$7:$S$874,$X$2,BS_RE33!$N$7:$N$874,I28,BS_RE33!$P$7:$P$874,'30 days CF Table(GBP)'!G28,BS_RE33!$F$7:$F$874,'30 days CF Table(GBP)'!$C$2)</f>
        <v>0</v>
      </c>
      <c r="Y28" s="337">
        <f>SUMIFS(BS_RE33!$H$7:$H$874,BS_RE33!$S$7:$S$874,$Y$2,BS_RE33!$N$7:$N$874,I28,BS_RE33!$P$7:$P$874,'30 days CF Table(GBP)'!G28,BS_RE33!$F$7:$F$874,'30 days CF Table(GBP)'!$C$2)</f>
        <v>0</v>
      </c>
      <c r="Z28" s="337">
        <f>SUMIFS(BS_RE33!$H$7:$H$874,BS_RE33!$S$7:$S$874,$Z$2,BS_RE33!$N$7:$N$874,I28,BS_RE33!$P$7:$P$874,'30 days CF Table(GBP)'!G28,BS_RE33!$F$7:$F$874,'30 days CF Table(GBP)'!$C$2)</f>
        <v>0</v>
      </c>
      <c r="AA28" s="337">
        <f>SUMIFS(BS_RE33!$H$7:$H$874,BS_RE33!$S$7:$S$874,$AA$2,BS_RE33!$N$7:$N$874,I28,BS_RE33!$P$7:$P$874,'30 days CF Table(GBP)'!G28,BS_RE33!$F$7:$F$874,'30 days CF Table(GBP)'!$C$2)</f>
        <v>0</v>
      </c>
      <c r="AB28" s="337">
        <f>SUMIFS(BS_RE33!$H$7:$H$874,BS_RE33!$S$7:$S$874,$AB$2,BS_RE33!$N$7:$N$874,I28,BS_RE33!$P$7:$P$874,'30 days CF Table(GBP)'!G28,BS_RE33!$F$7:$F$874,'30 days CF Table(GBP)'!$C$2)</f>
        <v>0</v>
      </c>
      <c r="AC28" s="337">
        <f>SUMIFS(BS_RE33!$H$7:$H$874,BS_RE33!$S$7:$S$874,$AC$2,BS_RE33!$N$7:$N$874,I28,BS_RE33!$P$7:$P$874,'30 days CF Table(GBP)'!G28,BS_RE33!$F$7:$F$874,'30 days CF Table(GBP)'!$C$2)</f>
        <v>0</v>
      </c>
      <c r="AD28" s="337">
        <f>SUMIFS(BS_RE33!$H$7:$H$874,BS_RE33!$S$7:$S$874,$AD$2,BS_RE33!$N$7:$N$874,I28,BS_RE33!$P$7:$P$874,'30 days CF Table(GBP)'!G28,BS_RE33!$F$7:$F$874,'30 days CF Table(GBP)'!$C$2)</f>
        <v>0</v>
      </c>
      <c r="AE28" s="337">
        <f>SUMIFS(BS_RE33!$H$7:$H$874,BS_RE33!$S$7:$S$874,$AE$2,BS_RE33!$N$7:$N$874,I28,BS_RE33!$P$7:$P$874,'30 days CF Table(GBP)'!G28,BS_RE33!$F$7:$F$874,'30 days CF Table(GBP)'!$C$2)</f>
        <v>0</v>
      </c>
      <c r="AF28" s="337">
        <f>SUMIFS(BS_RE33!$H$7:$H$874,BS_RE33!$S$7:$S$874,$AF$2,BS_RE33!$N$7:$N$874,I28,BS_RE33!$P$7:$P$874,'30 days CF Table(GBP)'!G28,BS_RE33!$F$7:$F$874,'30 days CF Table(GBP)'!$C$2)</f>
        <v>0</v>
      </c>
      <c r="AG28" s="337">
        <f>SUMIFS(BS_RE33!$H$7:$H$874,BS_RE33!$S$7:$S$874,$AG$2,BS_RE33!$N$7:$N$874,I28,BS_RE33!$P$7:$P$874,'30 days CF Table(GBP)'!G28,BS_RE33!$F$7:$F$874,'30 days CF Table(GBP)'!$C$2)</f>
        <v>0</v>
      </c>
      <c r="AH28" s="337">
        <f>SUMIFS(BS_RE33!$H$7:$H$874,BS_RE33!$S$7:$S$874,$AH$2,BS_RE33!$N$7:$N$874,I28,BS_RE33!$P$7:$P$874,'30 days CF Table(GBP)'!G28,BS_RE33!$F$7:$F$874,'30 days CF Table(GBP)'!$C$2)</f>
        <v>0</v>
      </c>
      <c r="AI28" s="337">
        <f>SUMIFS(BS_RE33!$H$7:$H$874,BS_RE33!$S$7:$S$874,$AI$2,BS_RE33!$N$7:$N$874,I28,BS_RE33!$P$7:$P$874,'30 days CF Table(GBP)'!G28,BS_RE33!$F$7:$F$874,'30 days CF Table(GBP)'!$C$2)</f>
        <v>0</v>
      </c>
      <c r="AJ28" s="337">
        <f>SUMIFS(BS_RE33!$H$7:$H$874,BS_RE33!$S$7:$S$874,$AJ$2,BS_RE33!$N$7:$N$874,I28,BS_RE33!$P$7:$P$874,'30 days CF Table(GBP)'!G28,BS_RE33!$F$7:$F$874,'30 days CF Table(GBP)'!$C$2)</f>
        <v>0</v>
      </c>
      <c r="AK28" s="337">
        <f>SUMIFS(BS_RE33!$H$7:$H$874,BS_RE33!$S$7:$S$874,$AK$2,BS_RE33!$N$7:$N$874,I28,BS_RE33!$P$7:$P$874,'30 days CF Table(GBP)'!G28,BS_RE33!$F$7:$F$874,'30 days CF Table(GBP)'!$C$2)</f>
        <v>0</v>
      </c>
      <c r="AL28" s="337">
        <f>SUMIFS(BS_RE33!$H$7:$H$874,BS_RE33!$S$7:$S$874,$AL$2,BS_RE33!$N$7:$N$874,I28,BS_RE33!$P$7:$P$874,'30 days CF Table(GBP)'!G28,BS_RE33!$F$7:$F$874,'30 days CF Table(GBP)'!$C$2)</f>
        <v>0</v>
      </c>
      <c r="AM28" s="337">
        <f>SUMIFS(BS_RE33!$H$7:$H$874,BS_RE33!$S$7:$S$874,$AM$2,BS_RE33!$N$7:$N$874,I28,BS_RE33!$P$7:$P$874,'30 days CF Table(GBP)'!G28,BS_RE33!$F$7:$F$874,'30 days CF Table(GBP)'!$C$2)</f>
        <v>0</v>
      </c>
      <c r="AN28" s="337">
        <f>SUMIFS(BS_RE33!$H$7:$H$874,BS_RE33!$S$7:$S$874,$AN$2,BS_RE33!$N$7:$N$874,I28,BS_RE33!$P$7:$P$874,'30 days CF Table(GBP)'!G28,BS_RE33!$F$7:$F$874,'30 days CF Table(GBP)'!$C$2)</f>
        <v>0</v>
      </c>
      <c r="AO28" s="337">
        <f>SUMIFS(BS_RE33!$H$7:$H$874,BS_RE33!$S$7:$S$874,$AO$2,BS_RE33!$N$7:$N$874,I28,BS_RE33!$P$7:$P$874,'30 days CF Table(GBP)'!G28,BS_RE33!$F$7:$F$874,'30 days CF Table(GBP)'!$C$2)</f>
        <v>0</v>
      </c>
      <c r="AP28" s="338">
        <f>SUMIFS(BS_RE33!$H$7:$H$874,BS_RE33!$S$7:$S$874,$AP$2,BS_RE33!$N$7:$N$874,I28,BS_RE33!$P$7:$P$874,'30 days CF Table(GBP)'!G28,BS_RE33!$F$7:$F$874,'30 days CF Table(GBP)'!$C$2)</f>
        <v>0</v>
      </c>
      <c r="AR28" s="379">
        <f>SUMIFS(BS_RE33!$H$7:$H$874,BS_RE33!$S$7:$S$874,$AR$2,BS_RE33!$N$7:$N$874,I28,BS_RE33!$P$7:$P$874,'30 days CF Table(GBP)'!G28,BS_RE33!$F$7:$F$874,'30 days CF Table(GBP)'!$C$2)</f>
        <v>0</v>
      </c>
      <c r="AS28" s="379">
        <f>SUMIFS(BS_RE33!$H$7:$H$874,BS_RE33!$S$7:$S$874,$AS$2,BS_RE33!$N$7:$N$874,I28,BS_RE33!$P$7:$P$874,'30 days CF Table(GBP)'!G28,BS_RE33!$F$7:$F$874,'30 days CF Table(GBP)'!$C$2)</f>
        <v>0</v>
      </c>
      <c r="AT28" s="379">
        <f>SUMIFS(BS_RE33!$H$7:$H$874,BS_RE33!$S$7:$S$874,$AT$2,BS_RE33!$N$7:$N$874,I28,BS_RE33!$P$7:$P$874,'30 days CF Table(GBP)'!G28,BS_RE33!$F$7:$F$874,'30 days CF Table(GBP)'!$C$2)</f>
        <v>0</v>
      </c>
      <c r="AU28" s="379">
        <f>SUMIFS(BS_RE33!$H$7:$H$874,BS_RE33!$S$7:$S$874,$AU$2,BS_RE33!$N$7:$N$874,I28,BS_RE33!$P$7:$P$874,'30 days CF Table(GBP)'!G28,BS_RE33!$F$7:$F$874,'30 days CF Table(GBP)'!$C$2)</f>
        <v>0</v>
      </c>
      <c r="AV28" s="379">
        <f>SUMIFS(BS_RE33!$H$7:$H$874,BS_RE33!$S$7:$S$874,$AV$2,BS_RE33!$N$7:$N$874,I28,BS_RE33!$P$7:$P$874,'30 days CF Table(GBP)'!G28,BS_RE33!$F$7:$F$874,'30 days CF Table(GBP)'!$C$2)</f>
        <v>0</v>
      </c>
      <c r="AW28" s="379">
        <f>SUMIFS(BS_RE33!$H$7:$H$874,BS_RE33!$S$7:$S$874,$AW$2,BS_RE33!$N$7:$N$874,I28,BS_RE33!$P$7:$P$874,'30 days CF Table(GBP)'!G28,BS_RE33!$F$7:$F$874,'30 days CF Table(GBP)'!$C$2)</f>
        <v>0</v>
      </c>
      <c r="AX28" s="379">
        <f>SUMIFS(BS_RE33!$H$7:$H$874,BS_RE33!$S$7:$S$874,$AX$2,BS_RE33!$N$7:$N$874,I28,BS_RE33!$P$7:$P$874,'30 days CF Table(GBP)'!G28,BS_RE33!$F$7:$F$874,'30 days CF Table(GBP)'!$C$2)</f>
        <v>0</v>
      </c>
      <c r="AY28" s="379">
        <f>SUMIFS(BS_RE33!$H$7:$H$874,BS_RE33!$S$7:$S$874,$AY$2,BS_RE33!$N$7:$N$874,I28,BS_RE33!$P$7:$P$874,'30 days CF Table(GBP)'!G28,BS_RE33!$F$7:$F$874,'30 days CF Table(GBP)'!$C$2)</f>
        <v>0</v>
      </c>
      <c r="AZ28" s="379">
        <f>SUMIFS(BS_RE33!$H$7:$H$874,BS_RE33!$S$7:$S$874,$AZ$2,BS_RE33!$N$7:$N$874,I28,BS_RE33!$P$7:$P$874,'30 days CF Table(GBP)'!G28,BS_RE33!$F$7:$F$874,'30 days CF Table(GBP)'!$C$2)</f>
        <v>0</v>
      </c>
      <c r="BA28" s="379">
        <f>SUMIFS(BS_RE33!$H$7:$H$874,BS_RE33!$S$7:$S$874,$BA$2,BS_RE33!$N$7:$N$874,I28,BS_RE33!$P$7:$P$874,'30 days CF Table(GBP)'!G28,BS_RE33!$F$7:$F$874,'30 days CF Table(GBP)'!$C$2)</f>
        <v>0</v>
      </c>
      <c r="BB28" s="379">
        <f>SUMIFS(BS_RE33!$H$7:$H$874,BS_RE33!$S$7:$S$874,$BB$2,BS_RE33!$N$7:$N$874,I28,BS_RE33!$P$7:$P$874,'30 days CF Table(GBP)'!G28,BS_RE33!$F$7:$F$874,'30 days CF Table(GBP)'!$C$2)</f>
        <v>0</v>
      </c>
      <c r="BC28" s="379">
        <f>SUMIFS(BS_RE33!$H$7:$H$874,BS_RE33!$S$7:$S$874,$BC$2,BS_RE33!$N$7:$N$874,I28,BS_RE33!$P$7:$P$874,'30 days CF Table(GBP)'!G28,BS_RE33!$F$7:$F$874,'30 days CF Table(GBP)'!$C$2)</f>
        <v>0</v>
      </c>
      <c r="BD28" s="379">
        <f>SUMIFS(BS_RE33!$H$7:$H$874,BS_RE33!$S$7:$S$874,$BD$2,BS_RE33!$N$7:$N$874,I28,BS_RE33!$P$7:$P$874,'30 days CF Table(GBP)'!G28,BS_RE33!$F$7:$F$874,'30 days CF Table(GBP)'!$C$2)</f>
        <v>0</v>
      </c>
      <c r="BE28" s="379">
        <f>SUMIFS(BS_RE33!$H$7:$H$874,BS_RE33!$S$7:$S$874,$BE$2,BS_RE33!$N$7:$N$874,I28,BS_RE33!$P$7:$P$874,'30 days CF Table(GBP)'!G28,BS_RE33!$F$7:$F$874,'30 days CF Table(GBP)'!$C$2)</f>
        <v>0</v>
      </c>
      <c r="BF28" s="379">
        <f>SUMIFS(BS_RE33!$H$7:$H$874,BS_RE33!$S$7:$S$874,$BF$2,BS_RE33!$N$7:$N$874,I28,BS_RE33!$P$7:$P$874,'30 days CF Table(GBP)'!G28,BS_RE33!$F$7:$F$874,'30 days CF Table(GBP)'!$C$2)</f>
        <v>0</v>
      </c>
      <c r="BG28" s="379">
        <f>SUMIFS(BS_RE33!$H$7:$H$874,BS_RE33!$S$7:$S$874,$BG$2,BS_RE33!$N$7:$N$874,I28,BS_RE33!$P$7:$P$874,'30 days CF Table(GBP)'!G28,BS_RE33!$F$7:$F$874,'30 days CF Table(GBP)'!$C$2)</f>
        <v>0</v>
      </c>
      <c r="BH28" s="379">
        <f>SUMIFS(BS_RE33!$H$7:$H$874,BS_RE33!$S$7:$S$874,$BH$2,BS_RE33!$N$7:$N$874,I28,BS_RE33!$P$7:$P$874,'30 days CF Table(GBP)'!G28,BS_RE33!$F$7:$F$874,'30 days CF Table(GBP)'!$C$2)</f>
        <v>0</v>
      </c>
      <c r="BI28" s="379">
        <f>SUMIFS(BS_RE33!$H$7:$H$874,BS_RE33!$S$7:$S$874,$BI$2,BS_RE33!$N$7:$N$874,I28,BS_RE33!$P$7:$P$874,'30 days CF Table(GBP)'!G28,BS_RE33!$F$7:$F$874,'30 days CF Table(GBP)'!$C$2)</f>
        <v>0</v>
      </c>
      <c r="BJ28" s="379">
        <f>SUMIFS(BS_RE33!$H$7:$H$874,BS_RE33!$S$7:$S$874,$BJ$2,BS_RE33!$N$7:$N$874,I28,BS_RE33!$P$7:$P$874,'30 days CF Table(GBP)'!G28,BS_RE33!$F$7:$F$874,'30 days CF Table(GBP)'!$C$2)</f>
        <v>0</v>
      </c>
      <c r="BK28" s="379">
        <f>SUMIFS(BS_RE33!$H$7:$H$874,BS_RE33!$S$7:$S$874,$BK$2,BS_RE33!$N$7:$N$874,I28,BS_RE33!$P$7:$P$874,'30 days CF Table(GBP)'!G28,BS_RE33!$F$7:$F$874,'30 days CF Table(GBP)'!$C$2)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Table(GBP)'!G29,BS_RE33!$F$7:$F$874,'30 days CF Table(GBP)'!$C$2)</f>
        <v>0</v>
      </c>
      <c r="M29" s="337">
        <f>SUMIFS(BS_RE33!$H$7:$H$874,BS_RE33!$S$7:$S$874,$M$2,BS_RE33!$N$7:$N$874,I29,BS_RE33!$P$7:$P$874,'30 days CF Table(GBP)'!G29,BS_RE33!$F$7:$F$874,'30 days CF Table(GBP)'!$C$2)</f>
        <v>0</v>
      </c>
      <c r="N29" s="337">
        <f>SUMIFS(BS_RE33!$H$7:$H$874,BS_RE33!$S$7:$S$874,$N$2,BS_RE33!$N$7:$N$874,I29,BS_RE33!$P$7:$P$874,'30 days CF Table(GBP)'!G29,BS_RE33!$F$7:$F$874,'30 days CF Table(GBP)'!$C$2)</f>
        <v>0</v>
      </c>
      <c r="O29" s="337">
        <f>SUMIFS(BS_RE33!$H$7:$H$874,BS_RE33!$S$7:$S$874,$O$2,BS_RE33!$N$7:$N$874,I29,BS_RE33!$P$7:$P$874,'30 days CF Table(GBP)'!G29,BS_RE33!$F$7:$F$874,'30 days CF Table(GBP)'!$C$2)</f>
        <v>0</v>
      </c>
      <c r="P29" s="337">
        <f>SUMIFS(BS_RE33!$H$7:$H$874,BS_RE33!$S$7:$S$874,$P$2,BS_RE33!$N$7:$N$874,I29,BS_RE33!$P$7:$P$874,'30 days CF Table(GBP)'!G29,BS_RE33!$F$7:$F$874,'30 days CF Table(GBP)'!$C$2)</f>
        <v>0</v>
      </c>
      <c r="Q29" s="337">
        <f>SUMIFS(BS_RE33!$H$7:$H$874,BS_RE33!$S$7:$S$874,$Q$2,BS_RE33!$N$7:$N$874,I29,BS_RE33!$P$7:$P$874,'30 days CF Table(GBP)'!G29,BS_RE33!$F$7:$F$874,'30 days CF Table(GBP)'!$C$2)</f>
        <v>0</v>
      </c>
      <c r="R29" s="337">
        <f>SUMIFS(BS_RE33!$H$7:$H$874,BS_RE33!$S$7:$S$874,$R$2,BS_RE33!$N$7:$N$874,I29,BS_RE33!$P$7:$P$874,'30 days CF Table(GBP)'!G29,BS_RE33!$F$7:$F$874,'30 days CF Table(GBP)'!$C$2)</f>
        <v>0</v>
      </c>
      <c r="S29" s="337">
        <f>SUMIFS(BS_RE33!$H$7:$H$874,BS_RE33!$S$7:$S$874,$S$2,BS_RE33!$N$7:$N$874,I29,BS_RE33!$P$7:$P$874,'30 days CF Table(GBP)'!G29,BS_RE33!$F$7:$F$874,'30 days CF Table(GBP)'!$C$2)</f>
        <v>0</v>
      </c>
      <c r="T29" s="337">
        <f>SUMIFS(BS_RE33!$H$7:$H$874,BS_RE33!$S$7:$S$874,$T$2,BS_RE33!$N$7:$N$874,I29,BS_RE33!$P$7:$P$874,'30 days CF Table(GBP)'!G29,BS_RE33!$F$7:$F$874,'30 days CF Table(GBP)'!$C$2)</f>
        <v>0</v>
      </c>
      <c r="U29" s="337">
        <f>SUMIFS(BS_RE33!$H$7:$H$874,BS_RE33!$S$7:$S$874,$U$2,BS_RE33!$N$7:$N$874,I29,BS_RE33!$P$7:$P$874,'30 days CF Table(GBP)'!G29,BS_RE33!$F$7:$F$874,'30 days CF Table(GBP)'!$C$2)</f>
        <v>0</v>
      </c>
      <c r="V29" s="337">
        <f>SUMIFS(BS_RE33!$H$7:$H$874,BS_RE33!$S$7:$S$874,$V$2,BS_RE33!$N$7:$N$874,I29,BS_RE33!$P$7:$P$874,'30 days CF Table(GBP)'!G29,BS_RE33!$F$7:$F$874,'30 days CF Table(GBP)'!$C$2)</f>
        <v>0</v>
      </c>
      <c r="W29" s="337">
        <f>SUMIFS(BS_RE33!$H$7:$H$874,BS_RE33!$S$7:$S$874,$W$2,BS_RE33!$N$7:$N$874,I29,BS_RE33!$P$7:$P$874,'30 days CF Table(GBP)'!G29,BS_RE33!$F$7:$F$874,'30 days CF Table(GBP)'!$C$2)</f>
        <v>0</v>
      </c>
      <c r="X29" s="337">
        <f>SUMIFS(BS_RE33!$H$7:$H$874,BS_RE33!$S$7:$S$874,$X$2,BS_RE33!$N$7:$N$874,I29,BS_RE33!$P$7:$P$874,'30 days CF Table(GBP)'!G29,BS_RE33!$F$7:$F$874,'30 days CF Table(GBP)'!$C$2)</f>
        <v>0</v>
      </c>
      <c r="Y29" s="337">
        <f>SUMIFS(BS_RE33!$H$7:$H$874,BS_RE33!$S$7:$S$874,$Y$2,BS_RE33!$N$7:$N$874,I29,BS_RE33!$P$7:$P$874,'30 days CF Table(GBP)'!G29,BS_RE33!$F$7:$F$874,'30 days CF Table(GBP)'!$C$2)</f>
        <v>0</v>
      </c>
      <c r="Z29" s="337">
        <f>SUMIFS(BS_RE33!$H$7:$H$874,BS_RE33!$S$7:$S$874,$Z$2,BS_RE33!$N$7:$N$874,I29,BS_RE33!$P$7:$P$874,'30 days CF Table(GBP)'!G29,BS_RE33!$F$7:$F$874,'30 days CF Table(GBP)'!$C$2)</f>
        <v>0</v>
      </c>
      <c r="AA29" s="337">
        <f>SUMIFS(BS_RE33!$H$7:$H$874,BS_RE33!$S$7:$S$874,$AA$2,BS_RE33!$N$7:$N$874,I29,BS_RE33!$P$7:$P$874,'30 days CF Table(GBP)'!G29,BS_RE33!$F$7:$F$874,'30 days CF Table(GBP)'!$C$2)</f>
        <v>0</v>
      </c>
      <c r="AB29" s="337">
        <f>SUMIFS(BS_RE33!$H$7:$H$874,BS_RE33!$S$7:$S$874,$AB$2,BS_RE33!$N$7:$N$874,I29,BS_RE33!$P$7:$P$874,'30 days CF Table(GBP)'!G29,BS_RE33!$F$7:$F$874,'30 days CF Table(GBP)'!$C$2)</f>
        <v>0</v>
      </c>
      <c r="AC29" s="337">
        <f>SUMIFS(BS_RE33!$H$7:$H$874,BS_RE33!$S$7:$S$874,$AC$2,BS_RE33!$N$7:$N$874,I29,BS_RE33!$P$7:$P$874,'30 days CF Table(GBP)'!G29,BS_RE33!$F$7:$F$874,'30 days CF Table(GBP)'!$C$2)</f>
        <v>0</v>
      </c>
      <c r="AD29" s="337">
        <f>SUMIFS(BS_RE33!$H$7:$H$874,BS_RE33!$S$7:$S$874,$AD$2,BS_RE33!$N$7:$N$874,I29,BS_RE33!$P$7:$P$874,'30 days CF Table(GBP)'!G29,BS_RE33!$F$7:$F$874,'30 days CF Table(GBP)'!$C$2)</f>
        <v>0</v>
      </c>
      <c r="AE29" s="337">
        <f>SUMIFS(BS_RE33!$H$7:$H$874,BS_RE33!$S$7:$S$874,$AE$2,BS_RE33!$N$7:$N$874,I29,BS_RE33!$P$7:$P$874,'30 days CF Table(GBP)'!G29,BS_RE33!$F$7:$F$874,'30 days CF Table(GBP)'!$C$2)</f>
        <v>0</v>
      </c>
      <c r="AF29" s="337">
        <f>SUMIFS(BS_RE33!$H$7:$H$874,BS_RE33!$S$7:$S$874,$AF$2,BS_RE33!$N$7:$N$874,I29,BS_RE33!$P$7:$P$874,'30 days CF Table(GBP)'!G29,BS_RE33!$F$7:$F$874,'30 days CF Table(GBP)'!$C$2)</f>
        <v>0</v>
      </c>
      <c r="AG29" s="337">
        <f>SUMIFS(BS_RE33!$H$7:$H$874,BS_RE33!$S$7:$S$874,$AG$2,BS_RE33!$N$7:$N$874,I29,BS_RE33!$P$7:$P$874,'30 days CF Table(GBP)'!G29,BS_RE33!$F$7:$F$874,'30 days CF Table(GBP)'!$C$2)</f>
        <v>0</v>
      </c>
      <c r="AH29" s="337">
        <f>SUMIFS(BS_RE33!$H$7:$H$874,BS_RE33!$S$7:$S$874,$AH$2,BS_RE33!$N$7:$N$874,I29,BS_RE33!$P$7:$P$874,'30 days CF Table(GBP)'!G29,BS_RE33!$F$7:$F$874,'30 days CF Table(GBP)'!$C$2)</f>
        <v>0</v>
      </c>
      <c r="AI29" s="337">
        <f>SUMIFS(BS_RE33!$H$7:$H$874,BS_RE33!$S$7:$S$874,$AI$2,BS_RE33!$N$7:$N$874,I29,BS_RE33!$P$7:$P$874,'30 days CF Table(GBP)'!G29,BS_RE33!$F$7:$F$874,'30 days CF Table(GBP)'!$C$2)</f>
        <v>0</v>
      </c>
      <c r="AJ29" s="337">
        <f>SUMIFS(BS_RE33!$H$7:$H$874,BS_RE33!$S$7:$S$874,$AJ$2,BS_RE33!$N$7:$N$874,I29,BS_RE33!$P$7:$P$874,'30 days CF Table(GBP)'!G29,BS_RE33!$F$7:$F$874,'30 days CF Table(GBP)'!$C$2)</f>
        <v>0</v>
      </c>
      <c r="AK29" s="337">
        <f>SUMIFS(BS_RE33!$H$7:$H$874,BS_RE33!$S$7:$S$874,$AK$2,BS_RE33!$N$7:$N$874,I29,BS_RE33!$P$7:$P$874,'30 days CF Table(GBP)'!G29,BS_RE33!$F$7:$F$874,'30 days CF Table(GBP)'!$C$2)</f>
        <v>0</v>
      </c>
      <c r="AL29" s="337">
        <f>SUMIFS(BS_RE33!$H$7:$H$874,BS_RE33!$S$7:$S$874,$AL$2,BS_RE33!$N$7:$N$874,I29,BS_RE33!$P$7:$P$874,'30 days CF Table(GBP)'!G29,BS_RE33!$F$7:$F$874,'30 days CF Table(GBP)'!$C$2)</f>
        <v>0</v>
      </c>
      <c r="AM29" s="337">
        <f>SUMIFS(BS_RE33!$H$7:$H$874,BS_RE33!$S$7:$S$874,$AM$2,BS_RE33!$N$7:$N$874,I29,BS_RE33!$P$7:$P$874,'30 days CF Table(GBP)'!G29,BS_RE33!$F$7:$F$874,'30 days CF Table(GBP)'!$C$2)</f>
        <v>0</v>
      </c>
      <c r="AN29" s="337">
        <f>SUMIFS(BS_RE33!$H$7:$H$874,BS_RE33!$S$7:$S$874,$AN$2,BS_RE33!$N$7:$N$874,I29,BS_RE33!$P$7:$P$874,'30 days CF Table(GBP)'!G29,BS_RE33!$F$7:$F$874,'30 days CF Table(GBP)'!$C$2)</f>
        <v>0</v>
      </c>
      <c r="AO29" s="337">
        <f>SUMIFS(BS_RE33!$H$7:$H$874,BS_RE33!$S$7:$S$874,$AO$2,BS_RE33!$N$7:$N$874,I29,BS_RE33!$P$7:$P$874,'30 days CF Table(GBP)'!G29,BS_RE33!$F$7:$F$874,'30 days CF Table(GBP)'!$C$2)</f>
        <v>0</v>
      </c>
      <c r="AP29" s="338">
        <f>SUMIFS(BS_RE33!$H$7:$H$874,BS_RE33!$S$7:$S$874,$AP$2,BS_RE33!$N$7:$N$874,I29,BS_RE33!$P$7:$P$874,'30 days CF Table(GBP)'!G29,BS_RE33!$F$7:$F$874,'30 days CF Table(GBP)'!$C$2)</f>
        <v>0</v>
      </c>
      <c r="AR29" s="379">
        <f>SUMIFS(BS_RE33!$H$7:$H$874,BS_RE33!$S$7:$S$874,$AR$2,BS_RE33!$N$7:$N$874,I29,BS_RE33!$P$7:$P$874,'30 days CF Table(GBP)'!G29,BS_RE33!$F$7:$F$874,'30 days CF Table(GBP)'!$C$2)</f>
        <v>0</v>
      </c>
      <c r="AS29" s="379">
        <f>SUMIFS(BS_RE33!$H$7:$H$874,BS_RE33!$S$7:$S$874,$AS$2,BS_RE33!$N$7:$N$874,I29,BS_RE33!$P$7:$P$874,'30 days CF Table(GBP)'!G29,BS_RE33!$F$7:$F$874,'30 days CF Table(GBP)'!$C$2)</f>
        <v>0</v>
      </c>
      <c r="AT29" s="379">
        <f>SUMIFS(BS_RE33!$H$7:$H$874,BS_RE33!$S$7:$S$874,$AT$2,BS_RE33!$N$7:$N$874,I29,BS_RE33!$P$7:$P$874,'30 days CF Table(GBP)'!G29,BS_RE33!$F$7:$F$874,'30 days CF Table(GBP)'!$C$2)</f>
        <v>0</v>
      </c>
      <c r="AU29" s="379">
        <f>SUMIFS(BS_RE33!$H$7:$H$874,BS_RE33!$S$7:$S$874,$AU$2,BS_RE33!$N$7:$N$874,I29,BS_RE33!$P$7:$P$874,'30 days CF Table(GBP)'!G29,BS_RE33!$F$7:$F$874,'30 days CF Table(GBP)'!$C$2)</f>
        <v>0</v>
      </c>
      <c r="AV29" s="379">
        <f>SUMIFS(BS_RE33!$H$7:$H$874,BS_RE33!$S$7:$S$874,$AV$2,BS_RE33!$N$7:$N$874,I29,BS_RE33!$P$7:$P$874,'30 days CF Table(GBP)'!G29,BS_RE33!$F$7:$F$874,'30 days CF Table(GBP)'!$C$2)</f>
        <v>0</v>
      </c>
      <c r="AW29" s="379">
        <f>SUMIFS(BS_RE33!$H$7:$H$874,BS_RE33!$S$7:$S$874,$AW$2,BS_RE33!$N$7:$N$874,I29,BS_RE33!$P$7:$P$874,'30 days CF Table(GBP)'!G29,BS_RE33!$F$7:$F$874,'30 days CF Table(GBP)'!$C$2)</f>
        <v>0</v>
      </c>
      <c r="AX29" s="379">
        <f>SUMIFS(BS_RE33!$H$7:$H$874,BS_RE33!$S$7:$S$874,$AX$2,BS_RE33!$N$7:$N$874,I29,BS_RE33!$P$7:$P$874,'30 days CF Table(GBP)'!G29,BS_RE33!$F$7:$F$874,'30 days CF Table(GBP)'!$C$2)</f>
        <v>0</v>
      </c>
      <c r="AY29" s="379">
        <f>SUMIFS(BS_RE33!$H$7:$H$874,BS_RE33!$S$7:$S$874,$AY$2,BS_RE33!$N$7:$N$874,I29,BS_RE33!$P$7:$P$874,'30 days CF Table(GBP)'!G29,BS_RE33!$F$7:$F$874,'30 days CF Table(GBP)'!$C$2)</f>
        <v>0</v>
      </c>
      <c r="AZ29" s="379">
        <f>SUMIFS(BS_RE33!$H$7:$H$874,BS_RE33!$S$7:$S$874,$AZ$2,BS_RE33!$N$7:$N$874,I29,BS_RE33!$P$7:$P$874,'30 days CF Table(GBP)'!G29,BS_RE33!$F$7:$F$874,'30 days CF Table(GBP)'!$C$2)</f>
        <v>0</v>
      </c>
      <c r="BA29" s="379">
        <f>SUMIFS(BS_RE33!$H$7:$H$874,BS_RE33!$S$7:$S$874,$BA$2,BS_RE33!$N$7:$N$874,I29,BS_RE33!$P$7:$P$874,'30 days CF Table(GBP)'!G29,BS_RE33!$F$7:$F$874,'30 days CF Table(GBP)'!$C$2)</f>
        <v>0</v>
      </c>
      <c r="BB29" s="379">
        <f>SUMIFS(BS_RE33!$H$7:$H$874,BS_RE33!$S$7:$S$874,$BB$2,BS_RE33!$N$7:$N$874,I29,BS_RE33!$P$7:$P$874,'30 days CF Table(GBP)'!G29,BS_RE33!$F$7:$F$874,'30 days CF Table(GBP)'!$C$2)</f>
        <v>0</v>
      </c>
      <c r="BC29" s="379">
        <f>SUMIFS(BS_RE33!$H$7:$H$874,BS_RE33!$S$7:$S$874,$BC$2,BS_RE33!$N$7:$N$874,I29,BS_RE33!$P$7:$P$874,'30 days CF Table(GBP)'!G29,BS_RE33!$F$7:$F$874,'30 days CF Table(GBP)'!$C$2)</f>
        <v>0</v>
      </c>
      <c r="BD29" s="379">
        <f>SUMIFS(BS_RE33!$H$7:$H$874,BS_RE33!$S$7:$S$874,$BD$2,BS_RE33!$N$7:$N$874,I29,BS_RE33!$P$7:$P$874,'30 days CF Table(GBP)'!G29,BS_RE33!$F$7:$F$874,'30 days CF Table(GBP)'!$C$2)</f>
        <v>0</v>
      </c>
      <c r="BE29" s="379">
        <f>SUMIFS(BS_RE33!$H$7:$H$874,BS_RE33!$S$7:$S$874,$BE$2,BS_RE33!$N$7:$N$874,I29,BS_RE33!$P$7:$P$874,'30 days CF Table(GBP)'!G29,BS_RE33!$F$7:$F$874,'30 days CF Table(GBP)'!$C$2)</f>
        <v>0</v>
      </c>
      <c r="BF29" s="379">
        <f>SUMIFS(BS_RE33!$H$7:$H$874,BS_RE33!$S$7:$S$874,$BF$2,BS_RE33!$N$7:$N$874,I29,BS_RE33!$P$7:$P$874,'30 days CF Table(GBP)'!G29,BS_RE33!$F$7:$F$874,'30 days CF Table(GBP)'!$C$2)</f>
        <v>0</v>
      </c>
      <c r="BG29" s="379">
        <f>SUMIFS(BS_RE33!$H$7:$H$874,BS_RE33!$S$7:$S$874,$BG$2,BS_RE33!$N$7:$N$874,I29,BS_RE33!$P$7:$P$874,'30 days CF Table(GBP)'!G29,BS_RE33!$F$7:$F$874,'30 days CF Table(GBP)'!$C$2)</f>
        <v>0</v>
      </c>
      <c r="BH29" s="379">
        <f>SUMIFS(BS_RE33!$H$7:$H$874,BS_RE33!$S$7:$S$874,$BH$2,BS_RE33!$N$7:$N$874,I29,BS_RE33!$P$7:$P$874,'30 days CF Table(GBP)'!G29,BS_RE33!$F$7:$F$874,'30 days CF Table(GBP)'!$C$2)</f>
        <v>0</v>
      </c>
      <c r="BI29" s="379">
        <f>SUMIFS(BS_RE33!$H$7:$H$874,BS_RE33!$S$7:$S$874,$BI$2,BS_RE33!$N$7:$N$874,I29,BS_RE33!$P$7:$P$874,'30 days CF Table(GBP)'!G29,BS_RE33!$F$7:$F$874,'30 days CF Table(GBP)'!$C$2)</f>
        <v>0</v>
      </c>
      <c r="BJ29" s="379">
        <f>SUMIFS(BS_RE33!$H$7:$H$874,BS_RE33!$S$7:$S$874,$BJ$2,BS_RE33!$N$7:$N$874,I29,BS_RE33!$P$7:$P$874,'30 days CF Table(GBP)'!G29,BS_RE33!$F$7:$F$874,'30 days CF Table(GBP)'!$C$2)</f>
        <v>0</v>
      </c>
      <c r="BK29" s="379">
        <f>SUMIFS(BS_RE33!$H$7:$H$874,BS_RE33!$S$7:$S$874,$BK$2,BS_RE33!$N$7:$N$874,I29,BS_RE33!$P$7:$P$874,'30 days CF Table(GBP)'!G29,BS_RE33!$F$7:$F$874,'30 days CF Table(GBP)'!$C$2)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Table(GBP)'!G30,BS_RE33!$F$7:$F$874,'30 days CF Table(GBP)'!$C$2)</f>
        <v>0</v>
      </c>
      <c r="M30" s="337">
        <f>SUMIFS(BS_RE33!$H$7:$H$874,BS_RE33!$S$7:$S$874,$M$2,BS_RE33!$N$7:$N$874,I30,BS_RE33!$P$7:$P$874,'30 days CF Table(GBP)'!G30,BS_RE33!$F$7:$F$874,'30 days CF Table(GBP)'!$C$2)</f>
        <v>0</v>
      </c>
      <c r="N30" s="337">
        <f>SUMIFS(BS_RE33!$H$7:$H$874,BS_RE33!$S$7:$S$874,$N$2,BS_RE33!$N$7:$N$874,I30,BS_RE33!$P$7:$P$874,'30 days CF Table(GBP)'!G30,BS_RE33!$F$7:$F$874,'30 days CF Table(GBP)'!$C$2)</f>
        <v>0</v>
      </c>
      <c r="O30" s="337">
        <f>SUMIFS(BS_RE33!$H$7:$H$874,BS_RE33!$S$7:$S$874,$O$2,BS_RE33!$N$7:$N$874,I30,BS_RE33!$P$7:$P$874,'30 days CF Table(GBP)'!G30,BS_RE33!$F$7:$F$874,'30 days CF Table(GBP)'!$C$2)</f>
        <v>0</v>
      </c>
      <c r="P30" s="337">
        <f>SUMIFS(BS_RE33!$H$7:$H$874,BS_RE33!$S$7:$S$874,$P$2,BS_RE33!$N$7:$N$874,I30,BS_RE33!$P$7:$P$874,'30 days CF Table(GBP)'!G30,BS_RE33!$F$7:$F$874,'30 days CF Table(GBP)'!$C$2)</f>
        <v>0</v>
      </c>
      <c r="Q30" s="337">
        <f>SUMIFS(BS_RE33!$H$7:$H$874,BS_RE33!$S$7:$S$874,$Q$2,BS_RE33!$N$7:$N$874,I30,BS_RE33!$P$7:$P$874,'30 days CF Table(GBP)'!G30,BS_RE33!$F$7:$F$874,'30 days CF Table(GBP)'!$C$2)</f>
        <v>0</v>
      </c>
      <c r="R30" s="337">
        <f>SUMIFS(BS_RE33!$H$7:$H$874,BS_RE33!$S$7:$S$874,$R$2,BS_RE33!$N$7:$N$874,I30,BS_RE33!$P$7:$P$874,'30 days CF Table(GBP)'!G30,BS_RE33!$F$7:$F$874,'30 days CF Table(GBP)'!$C$2)</f>
        <v>0</v>
      </c>
      <c r="S30" s="337">
        <f>SUMIFS(BS_RE33!$H$7:$H$874,BS_RE33!$S$7:$S$874,$S$2,BS_RE33!$N$7:$N$874,I30,BS_RE33!$P$7:$P$874,'30 days CF Table(GBP)'!G30,BS_RE33!$F$7:$F$874,'30 days CF Table(GBP)'!$C$2)</f>
        <v>0</v>
      </c>
      <c r="T30" s="337">
        <f>SUMIFS(BS_RE33!$H$7:$H$874,BS_RE33!$S$7:$S$874,$T$2,BS_RE33!$N$7:$N$874,I30,BS_RE33!$P$7:$P$874,'30 days CF Table(GBP)'!G30,BS_RE33!$F$7:$F$874,'30 days CF Table(GBP)'!$C$2)</f>
        <v>0</v>
      </c>
      <c r="U30" s="337">
        <f>SUMIFS(BS_RE33!$H$7:$H$874,BS_RE33!$S$7:$S$874,$U$2,BS_RE33!$N$7:$N$874,I30,BS_RE33!$P$7:$P$874,'30 days CF Table(GBP)'!G30,BS_RE33!$F$7:$F$874,'30 days CF Table(GBP)'!$C$2)</f>
        <v>0</v>
      </c>
      <c r="V30" s="337">
        <f>SUMIFS(BS_RE33!$H$7:$H$874,BS_RE33!$S$7:$S$874,$V$2,BS_RE33!$N$7:$N$874,I30,BS_RE33!$P$7:$P$874,'30 days CF Table(GBP)'!G30,BS_RE33!$F$7:$F$874,'30 days CF Table(GBP)'!$C$2)</f>
        <v>0</v>
      </c>
      <c r="W30" s="337">
        <f>SUMIFS(BS_RE33!$H$7:$H$874,BS_RE33!$S$7:$S$874,$W$2,BS_RE33!$N$7:$N$874,I30,BS_RE33!$P$7:$P$874,'30 days CF Table(GBP)'!G30,BS_RE33!$F$7:$F$874,'30 days CF Table(GBP)'!$C$2)</f>
        <v>0</v>
      </c>
      <c r="X30" s="337">
        <f>SUMIFS(BS_RE33!$H$7:$H$874,BS_RE33!$S$7:$S$874,$X$2,BS_RE33!$N$7:$N$874,I30,BS_RE33!$P$7:$P$874,'30 days CF Table(GBP)'!G30,BS_RE33!$F$7:$F$874,'30 days CF Table(GBP)'!$C$2)</f>
        <v>0</v>
      </c>
      <c r="Y30" s="337">
        <f>SUMIFS(BS_RE33!$H$7:$H$874,BS_RE33!$S$7:$S$874,$Y$2,BS_RE33!$N$7:$N$874,I30,BS_RE33!$P$7:$P$874,'30 days CF Table(GBP)'!G30,BS_RE33!$F$7:$F$874,'30 days CF Table(GBP)'!$C$2)</f>
        <v>0</v>
      </c>
      <c r="Z30" s="337">
        <f>SUMIFS(BS_RE33!$H$7:$H$874,BS_RE33!$S$7:$S$874,$Z$2,BS_RE33!$N$7:$N$874,I30,BS_RE33!$P$7:$P$874,'30 days CF Table(GBP)'!G30,BS_RE33!$F$7:$F$874,'30 days CF Table(GBP)'!$C$2)</f>
        <v>0</v>
      </c>
      <c r="AA30" s="337">
        <f>SUMIFS(BS_RE33!$H$7:$H$874,BS_RE33!$S$7:$S$874,$AA$2,BS_RE33!$N$7:$N$874,I30,BS_RE33!$P$7:$P$874,'30 days CF Table(GBP)'!G30,BS_RE33!$F$7:$F$874,'30 days CF Table(GBP)'!$C$2)</f>
        <v>0</v>
      </c>
      <c r="AB30" s="337">
        <f>SUMIFS(BS_RE33!$H$7:$H$874,BS_RE33!$S$7:$S$874,$AB$2,BS_RE33!$N$7:$N$874,I30,BS_RE33!$P$7:$P$874,'30 days CF Table(GBP)'!G30,BS_RE33!$F$7:$F$874,'30 days CF Table(GBP)'!$C$2)</f>
        <v>0</v>
      </c>
      <c r="AC30" s="337">
        <f>SUMIFS(BS_RE33!$H$7:$H$874,BS_RE33!$S$7:$S$874,$AC$2,BS_RE33!$N$7:$N$874,I30,BS_RE33!$P$7:$P$874,'30 days CF Table(GBP)'!G30,BS_RE33!$F$7:$F$874,'30 days CF Table(GBP)'!$C$2)</f>
        <v>0</v>
      </c>
      <c r="AD30" s="337">
        <f>SUMIFS(BS_RE33!$H$7:$H$874,BS_RE33!$S$7:$S$874,$AD$2,BS_RE33!$N$7:$N$874,I30,BS_RE33!$P$7:$P$874,'30 days CF Table(GBP)'!G30,BS_RE33!$F$7:$F$874,'30 days CF Table(GBP)'!$C$2)</f>
        <v>0</v>
      </c>
      <c r="AE30" s="337">
        <f>SUMIFS(BS_RE33!$H$7:$H$874,BS_RE33!$S$7:$S$874,$AE$2,BS_RE33!$N$7:$N$874,I30,BS_RE33!$P$7:$P$874,'30 days CF Table(GBP)'!G30,BS_RE33!$F$7:$F$874,'30 days CF Table(GBP)'!$C$2)</f>
        <v>0</v>
      </c>
      <c r="AF30" s="337">
        <f>SUMIFS(BS_RE33!$H$7:$H$874,BS_RE33!$S$7:$S$874,$AF$2,BS_RE33!$N$7:$N$874,I30,BS_RE33!$P$7:$P$874,'30 days CF Table(GBP)'!G30,BS_RE33!$F$7:$F$874,'30 days CF Table(GBP)'!$C$2)</f>
        <v>0</v>
      </c>
      <c r="AG30" s="337">
        <f>SUMIFS(BS_RE33!$H$7:$H$874,BS_RE33!$S$7:$S$874,$AG$2,BS_RE33!$N$7:$N$874,I30,BS_RE33!$P$7:$P$874,'30 days CF Table(GBP)'!G30,BS_RE33!$F$7:$F$874,'30 days CF Table(GBP)'!$C$2)</f>
        <v>0</v>
      </c>
      <c r="AH30" s="337">
        <f>SUMIFS(BS_RE33!$H$7:$H$874,BS_RE33!$S$7:$S$874,$AH$2,BS_RE33!$N$7:$N$874,I30,BS_RE33!$P$7:$P$874,'30 days CF Table(GBP)'!G30,BS_RE33!$F$7:$F$874,'30 days CF Table(GBP)'!$C$2)</f>
        <v>0</v>
      </c>
      <c r="AI30" s="337">
        <f>SUMIFS(BS_RE33!$H$7:$H$874,BS_RE33!$S$7:$S$874,$AI$2,BS_RE33!$N$7:$N$874,I30,BS_RE33!$P$7:$P$874,'30 days CF Table(GBP)'!G30,BS_RE33!$F$7:$F$874,'30 days CF Table(GBP)'!$C$2)</f>
        <v>0</v>
      </c>
      <c r="AJ30" s="337">
        <f>SUMIFS(BS_RE33!$H$7:$H$874,BS_RE33!$S$7:$S$874,$AJ$2,BS_RE33!$N$7:$N$874,I30,BS_RE33!$P$7:$P$874,'30 days CF Table(GBP)'!G30,BS_RE33!$F$7:$F$874,'30 days CF Table(GBP)'!$C$2)</f>
        <v>0</v>
      </c>
      <c r="AK30" s="337">
        <f>SUMIFS(BS_RE33!$H$7:$H$874,BS_RE33!$S$7:$S$874,$AK$2,BS_RE33!$N$7:$N$874,I30,BS_RE33!$P$7:$P$874,'30 days CF Table(GBP)'!G30,BS_RE33!$F$7:$F$874,'30 days CF Table(GBP)'!$C$2)</f>
        <v>0</v>
      </c>
      <c r="AL30" s="337">
        <f>SUMIFS(BS_RE33!$H$7:$H$874,BS_RE33!$S$7:$S$874,$AL$2,BS_RE33!$N$7:$N$874,I30,BS_RE33!$P$7:$P$874,'30 days CF Table(GBP)'!G30,BS_RE33!$F$7:$F$874,'30 days CF Table(GBP)'!$C$2)</f>
        <v>0</v>
      </c>
      <c r="AM30" s="337">
        <f>SUMIFS(BS_RE33!$H$7:$H$874,BS_RE33!$S$7:$S$874,$AM$2,BS_RE33!$N$7:$N$874,I30,BS_RE33!$P$7:$P$874,'30 days CF Table(GBP)'!G30,BS_RE33!$F$7:$F$874,'30 days CF Table(GBP)'!$C$2)</f>
        <v>0</v>
      </c>
      <c r="AN30" s="337">
        <f>SUMIFS(BS_RE33!$H$7:$H$874,BS_RE33!$S$7:$S$874,$AN$2,BS_RE33!$N$7:$N$874,I30,BS_RE33!$P$7:$P$874,'30 days CF Table(GBP)'!G30,BS_RE33!$F$7:$F$874,'30 days CF Table(GBP)'!$C$2)</f>
        <v>0</v>
      </c>
      <c r="AO30" s="337">
        <f>SUMIFS(BS_RE33!$H$7:$H$874,BS_RE33!$S$7:$S$874,$AO$2,BS_RE33!$N$7:$N$874,I30,BS_RE33!$P$7:$P$874,'30 days CF Table(GBP)'!G30,BS_RE33!$F$7:$F$874,'30 days CF Table(GBP)'!$C$2)</f>
        <v>0</v>
      </c>
      <c r="AP30" s="338">
        <f>SUMIFS(BS_RE33!$H$7:$H$874,BS_RE33!$S$7:$S$874,$AP$2,BS_RE33!$N$7:$N$874,I30,BS_RE33!$P$7:$P$874,'30 days CF Table(GBP)'!G30,BS_RE33!$F$7:$F$874,'30 days CF Table(GBP)'!$C$2)</f>
        <v>0</v>
      </c>
      <c r="AR30" s="379">
        <f>SUMIFS(BS_RE33!$H$7:$H$874,BS_RE33!$S$7:$S$874,$AR$2,BS_RE33!$N$7:$N$874,I30,BS_RE33!$P$7:$P$874,'30 days CF Table(GBP)'!G30,BS_RE33!$F$7:$F$874,'30 days CF Table(GBP)'!$C$2)</f>
        <v>0</v>
      </c>
      <c r="AS30" s="379">
        <f>SUMIFS(BS_RE33!$H$7:$H$874,BS_RE33!$S$7:$S$874,$AS$2,BS_RE33!$N$7:$N$874,I30,BS_RE33!$P$7:$P$874,'30 days CF Table(GBP)'!G30,BS_RE33!$F$7:$F$874,'30 days CF Table(GBP)'!$C$2)</f>
        <v>0</v>
      </c>
      <c r="AT30" s="379">
        <f>SUMIFS(BS_RE33!$H$7:$H$874,BS_RE33!$S$7:$S$874,$AT$2,BS_RE33!$N$7:$N$874,I30,BS_RE33!$P$7:$P$874,'30 days CF Table(GBP)'!G30,BS_RE33!$F$7:$F$874,'30 days CF Table(GBP)'!$C$2)</f>
        <v>0</v>
      </c>
      <c r="AU30" s="379">
        <f>SUMIFS(BS_RE33!$H$7:$H$874,BS_RE33!$S$7:$S$874,$AU$2,BS_RE33!$N$7:$N$874,I30,BS_RE33!$P$7:$P$874,'30 days CF Table(GBP)'!G30,BS_RE33!$F$7:$F$874,'30 days CF Table(GBP)'!$C$2)</f>
        <v>0</v>
      </c>
      <c r="AV30" s="379">
        <f>SUMIFS(BS_RE33!$H$7:$H$874,BS_RE33!$S$7:$S$874,$AV$2,BS_RE33!$N$7:$N$874,I30,BS_RE33!$P$7:$P$874,'30 days CF Table(GBP)'!G30,BS_RE33!$F$7:$F$874,'30 days CF Table(GBP)'!$C$2)</f>
        <v>0</v>
      </c>
      <c r="AW30" s="379">
        <f>SUMIFS(BS_RE33!$H$7:$H$874,BS_RE33!$S$7:$S$874,$AW$2,BS_RE33!$N$7:$N$874,I30,BS_RE33!$P$7:$P$874,'30 days CF Table(GBP)'!G30,BS_RE33!$F$7:$F$874,'30 days CF Table(GBP)'!$C$2)</f>
        <v>0</v>
      </c>
      <c r="AX30" s="379">
        <f>SUMIFS(BS_RE33!$H$7:$H$874,BS_RE33!$S$7:$S$874,$AX$2,BS_RE33!$N$7:$N$874,I30,BS_RE33!$P$7:$P$874,'30 days CF Table(GBP)'!G30,BS_RE33!$F$7:$F$874,'30 days CF Table(GBP)'!$C$2)</f>
        <v>0</v>
      </c>
      <c r="AY30" s="379">
        <f>SUMIFS(BS_RE33!$H$7:$H$874,BS_RE33!$S$7:$S$874,$AY$2,BS_RE33!$N$7:$N$874,I30,BS_RE33!$P$7:$P$874,'30 days CF Table(GBP)'!G30,BS_RE33!$F$7:$F$874,'30 days CF Table(GBP)'!$C$2)</f>
        <v>0</v>
      </c>
      <c r="AZ30" s="379">
        <f>SUMIFS(BS_RE33!$H$7:$H$874,BS_RE33!$S$7:$S$874,$AZ$2,BS_RE33!$N$7:$N$874,I30,BS_RE33!$P$7:$P$874,'30 days CF Table(GBP)'!G30,BS_RE33!$F$7:$F$874,'30 days CF Table(GBP)'!$C$2)</f>
        <v>0</v>
      </c>
      <c r="BA30" s="379">
        <f>SUMIFS(BS_RE33!$H$7:$H$874,BS_RE33!$S$7:$S$874,$BA$2,BS_RE33!$N$7:$N$874,I30,BS_RE33!$P$7:$P$874,'30 days CF Table(GBP)'!G30,BS_RE33!$F$7:$F$874,'30 days CF Table(GBP)'!$C$2)</f>
        <v>0</v>
      </c>
      <c r="BB30" s="379">
        <f>SUMIFS(BS_RE33!$H$7:$H$874,BS_RE33!$S$7:$S$874,$BB$2,BS_RE33!$N$7:$N$874,I30,BS_RE33!$P$7:$P$874,'30 days CF Table(GBP)'!G30,BS_RE33!$F$7:$F$874,'30 days CF Table(GBP)'!$C$2)</f>
        <v>0</v>
      </c>
      <c r="BC30" s="379">
        <f>SUMIFS(BS_RE33!$H$7:$H$874,BS_RE33!$S$7:$S$874,$BC$2,BS_RE33!$N$7:$N$874,I30,BS_RE33!$P$7:$P$874,'30 days CF Table(GBP)'!G30,BS_RE33!$F$7:$F$874,'30 days CF Table(GBP)'!$C$2)</f>
        <v>0</v>
      </c>
      <c r="BD30" s="379">
        <f>SUMIFS(BS_RE33!$H$7:$H$874,BS_RE33!$S$7:$S$874,$BD$2,BS_RE33!$N$7:$N$874,I30,BS_RE33!$P$7:$P$874,'30 days CF Table(GBP)'!G30,BS_RE33!$F$7:$F$874,'30 days CF Table(GBP)'!$C$2)</f>
        <v>0</v>
      </c>
      <c r="BE30" s="379">
        <f>SUMIFS(BS_RE33!$H$7:$H$874,BS_RE33!$S$7:$S$874,$BE$2,BS_RE33!$N$7:$N$874,I30,BS_RE33!$P$7:$P$874,'30 days CF Table(GBP)'!G30,BS_RE33!$F$7:$F$874,'30 days CF Table(GBP)'!$C$2)</f>
        <v>0</v>
      </c>
      <c r="BF30" s="379">
        <f>SUMIFS(BS_RE33!$H$7:$H$874,BS_RE33!$S$7:$S$874,$BF$2,BS_RE33!$N$7:$N$874,I30,BS_RE33!$P$7:$P$874,'30 days CF Table(GBP)'!G30,BS_RE33!$F$7:$F$874,'30 days CF Table(GBP)'!$C$2)</f>
        <v>0</v>
      </c>
      <c r="BG30" s="379">
        <f>SUMIFS(BS_RE33!$H$7:$H$874,BS_RE33!$S$7:$S$874,$BG$2,BS_RE33!$N$7:$N$874,I30,BS_RE33!$P$7:$P$874,'30 days CF Table(GBP)'!G30,BS_RE33!$F$7:$F$874,'30 days CF Table(GBP)'!$C$2)</f>
        <v>0</v>
      </c>
      <c r="BH30" s="379">
        <f>SUMIFS(BS_RE33!$H$7:$H$874,BS_RE33!$S$7:$S$874,$BH$2,BS_RE33!$N$7:$N$874,I30,BS_RE33!$P$7:$P$874,'30 days CF Table(GBP)'!G30,BS_RE33!$F$7:$F$874,'30 days CF Table(GBP)'!$C$2)</f>
        <v>0</v>
      </c>
      <c r="BI30" s="379">
        <f>SUMIFS(BS_RE33!$H$7:$H$874,BS_RE33!$S$7:$S$874,$BI$2,BS_RE33!$N$7:$N$874,I30,BS_RE33!$P$7:$P$874,'30 days CF Table(GBP)'!G30,BS_RE33!$F$7:$F$874,'30 days CF Table(GBP)'!$C$2)</f>
        <v>0</v>
      </c>
      <c r="BJ30" s="379">
        <f>SUMIFS(BS_RE33!$H$7:$H$874,BS_RE33!$S$7:$S$874,$BJ$2,BS_RE33!$N$7:$N$874,I30,BS_RE33!$P$7:$P$874,'30 days CF Table(GBP)'!G30,BS_RE33!$F$7:$F$874,'30 days CF Table(GBP)'!$C$2)</f>
        <v>0</v>
      </c>
      <c r="BK30" s="379">
        <f>SUMIFS(BS_RE33!$H$7:$H$874,BS_RE33!$S$7:$S$874,$BK$2,BS_RE33!$N$7:$N$874,I30,BS_RE33!$P$7:$P$874,'30 days CF Table(GBP)'!G30,BS_RE33!$F$7:$F$874,'30 days CF Table(GBP)'!$C$2)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Table(GBP)'!G31,BS_RE33!$F$7:$F$874,'30 days CF Table(GBP)'!$C$2)</f>
        <v>0</v>
      </c>
      <c r="M31" s="337">
        <f>SUMIFS(BS_RE33!$H$7:$H$874,BS_RE33!$S$7:$S$874,$M$2,BS_RE33!$N$7:$N$874,I31,BS_RE33!$P$7:$P$874,'30 days CF Table(GBP)'!G31,BS_RE33!$F$7:$F$874,'30 days CF Table(GBP)'!$C$2)</f>
        <v>0</v>
      </c>
      <c r="N31" s="337">
        <f>SUMIFS(BS_RE33!$H$7:$H$874,BS_RE33!$S$7:$S$874,$N$2,BS_RE33!$N$7:$N$874,I31,BS_RE33!$P$7:$P$874,'30 days CF Table(GBP)'!G31,BS_RE33!$F$7:$F$874,'30 days CF Table(GBP)'!$C$2)</f>
        <v>0</v>
      </c>
      <c r="O31" s="337">
        <f>SUMIFS(BS_RE33!$H$7:$H$874,BS_RE33!$S$7:$S$874,$O$2,BS_RE33!$N$7:$N$874,I31,BS_RE33!$P$7:$P$874,'30 days CF Table(GBP)'!G31,BS_RE33!$F$7:$F$874,'30 days CF Table(GBP)'!$C$2)</f>
        <v>0</v>
      </c>
      <c r="P31" s="337">
        <f>SUMIFS(BS_RE33!$H$7:$H$874,BS_RE33!$S$7:$S$874,$P$2,BS_RE33!$N$7:$N$874,I31,BS_RE33!$P$7:$P$874,'30 days CF Table(GBP)'!G31,BS_RE33!$F$7:$F$874,'30 days CF Table(GBP)'!$C$2)</f>
        <v>0</v>
      </c>
      <c r="Q31" s="337">
        <f>SUMIFS(BS_RE33!$H$7:$H$874,BS_RE33!$S$7:$S$874,$Q$2,BS_RE33!$N$7:$N$874,I31,BS_RE33!$P$7:$P$874,'30 days CF Table(GBP)'!G31,BS_RE33!$F$7:$F$874,'30 days CF Table(GBP)'!$C$2)</f>
        <v>0</v>
      </c>
      <c r="R31" s="337">
        <f>SUMIFS(BS_RE33!$H$7:$H$874,BS_RE33!$S$7:$S$874,$R$2,BS_RE33!$N$7:$N$874,I31,BS_RE33!$P$7:$P$874,'30 days CF Table(GBP)'!G31,BS_RE33!$F$7:$F$874,'30 days CF Table(GBP)'!$C$2)</f>
        <v>0</v>
      </c>
      <c r="S31" s="337">
        <f>SUMIFS(BS_RE33!$H$7:$H$874,BS_RE33!$S$7:$S$874,$S$2,BS_RE33!$N$7:$N$874,I31,BS_RE33!$P$7:$P$874,'30 days CF Table(GBP)'!G31,BS_RE33!$F$7:$F$874,'30 days CF Table(GBP)'!$C$2)</f>
        <v>0</v>
      </c>
      <c r="T31" s="337">
        <f>SUMIFS(BS_RE33!$H$7:$H$874,BS_RE33!$S$7:$S$874,$T$2,BS_RE33!$N$7:$N$874,I31,BS_RE33!$P$7:$P$874,'30 days CF Table(GBP)'!G31,BS_RE33!$F$7:$F$874,'30 days CF Table(GBP)'!$C$2)</f>
        <v>0</v>
      </c>
      <c r="U31" s="337">
        <f>SUMIFS(BS_RE33!$H$7:$H$874,BS_RE33!$S$7:$S$874,$U$2,BS_RE33!$N$7:$N$874,I31,BS_RE33!$P$7:$P$874,'30 days CF Table(GBP)'!G31,BS_RE33!$F$7:$F$874,'30 days CF Table(GBP)'!$C$2)</f>
        <v>0</v>
      </c>
      <c r="V31" s="337">
        <f>SUMIFS(BS_RE33!$H$7:$H$874,BS_RE33!$S$7:$S$874,$V$2,BS_RE33!$N$7:$N$874,I31,BS_RE33!$P$7:$P$874,'30 days CF Table(GBP)'!G31,BS_RE33!$F$7:$F$874,'30 days CF Table(GBP)'!$C$2)</f>
        <v>0</v>
      </c>
      <c r="W31" s="337">
        <f>SUMIFS(BS_RE33!$H$7:$H$874,BS_RE33!$S$7:$S$874,$W$2,BS_RE33!$N$7:$N$874,I31,BS_RE33!$P$7:$P$874,'30 days CF Table(GBP)'!G31,BS_RE33!$F$7:$F$874,'30 days CF Table(GBP)'!$C$2)</f>
        <v>0</v>
      </c>
      <c r="X31" s="337">
        <f>SUMIFS(BS_RE33!$H$7:$H$874,BS_RE33!$S$7:$S$874,$X$2,BS_RE33!$N$7:$N$874,I31,BS_RE33!$P$7:$P$874,'30 days CF Table(GBP)'!G31,BS_RE33!$F$7:$F$874,'30 days CF Table(GBP)'!$C$2)</f>
        <v>0</v>
      </c>
      <c r="Y31" s="337">
        <f>SUMIFS(BS_RE33!$H$7:$H$874,BS_RE33!$S$7:$S$874,$Y$2,BS_RE33!$N$7:$N$874,I31,BS_RE33!$P$7:$P$874,'30 days CF Table(GBP)'!G31,BS_RE33!$F$7:$F$874,'30 days CF Table(GBP)'!$C$2)</f>
        <v>0</v>
      </c>
      <c r="Z31" s="337">
        <f>SUMIFS(BS_RE33!$H$7:$H$874,BS_RE33!$S$7:$S$874,$Z$2,BS_RE33!$N$7:$N$874,I31,BS_RE33!$P$7:$P$874,'30 days CF Table(GBP)'!G31,BS_RE33!$F$7:$F$874,'30 days CF Table(GBP)'!$C$2)</f>
        <v>0</v>
      </c>
      <c r="AA31" s="337">
        <f>SUMIFS(BS_RE33!$H$7:$H$874,BS_RE33!$S$7:$S$874,$AA$2,BS_RE33!$N$7:$N$874,I31,BS_RE33!$P$7:$P$874,'30 days CF Table(GBP)'!G31,BS_RE33!$F$7:$F$874,'30 days CF Table(GBP)'!$C$2)</f>
        <v>0</v>
      </c>
      <c r="AB31" s="337">
        <f>SUMIFS(BS_RE33!$H$7:$H$874,BS_RE33!$S$7:$S$874,$AB$2,BS_RE33!$N$7:$N$874,I31,BS_RE33!$P$7:$P$874,'30 days CF Table(GBP)'!G31,BS_RE33!$F$7:$F$874,'30 days CF Table(GBP)'!$C$2)</f>
        <v>0</v>
      </c>
      <c r="AC31" s="337">
        <f>SUMIFS(BS_RE33!$H$7:$H$874,BS_RE33!$S$7:$S$874,$AC$2,BS_RE33!$N$7:$N$874,I31,BS_RE33!$P$7:$P$874,'30 days CF Table(GBP)'!G31,BS_RE33!$F$7:$F$874,'30 days CF Table(GBP)'!$C$2)</f>
        <v>0</v>
      </c>
      <c r="AD31" s="337">
        <f>SUMIFS(BS_RE33!$H$7:$H$874,BS_RE33!$S$7:$S$874,$AD$2,BS_RE33!$N$7:$N$874,I31,BS_RE33!$P$7:$P$874,'30 days CF Table(GBP)'!G31,BS_RE33!$F$7:$F$874,'30 days CF Table(GBP)'!$C$2)</f>
        <v>0</v>
      </c>
      <c r="AE31" s="337">
        <f>SUMIFS(BS_RE33!$H$7:$H$874,BS_RE33!$S$7:$S$874,$AE$2,BS_RE33!$N$7:$N$874,I31,BS_RE33!$P$7:$P$874,'30 days CF Table(GBP)'!G31,BS_RE33!$F$7:$F$874,'30 days CF Table(GBP)'!$C$2)</f>
        <v>0</v>
      </c>
      <c r="AF31" s="337">
        <f>SUMIFS(BS_RE33!$H$7:$H$874,BS_RE33!$S$7:$S$874,$AF$2,BS_RE33!$N$7:$N$874,I31,BS_RE33!$P$7:$P$874,'30 days CF Table(GBP)'!G31,BS_RE33!$F$7:$F$874,'30 days CF Table(GBP)'!$C$2)</f>
        <v>0</v>
      </c>
      <c r="AG31" s="337">
        <f>SUMIFS(BS_RE33!$H$7:$H$874,BS_RE33!$S$7:$S$874,$AG$2,BS_RE33!$N$7:$N$874,I31,BS_RE33!$P$7:$P$874,'30 days CF Table(GBP)'!G31,BS_RE33!$F$7:$F$874,'30 days CF Table(GBP)'!$C$2)</f>
        <v>0</v>
      </c>
      <c r="AH31" s="337">
        <f>SUMIFS(BS_RE33!$H$7:$H$874,BS_RE33!$S$7:$S$874,$AH$2,BS_RE33!$N$7:$N$874,I31,BS_RE33!$P$7:$P$874,'30 days CF Table(GBP)'!G31,BS_RE33!$F$7:$F$874,'30 days CF Table(GBP)'!$C$2)</f>
        <v>0</v>
      </c>
      <c r="AI31" s="337">
        <f>SUMIFS(BS_RE33!$H$7:$H$874,BS_RE33!$S$7:$S$874,$AI$2,BS_RE33!$N$7:$N$874,I31,BS_RE33!$P$7:$P$874,'30 days CF Table(GBP)'!G31,BS_RE33!$F$7:$F$874,'30 days CF Table(GBP)'!$C$2)</f>
        <v>0</v>
      </c>
      <c r="AJ31" s="337">
        <f>SUMIFS(BS_RE33!$H$7:$H$874,BS_RE33!$S$7:$S$874,$AJ$2,BS_RE33!$N$7:$N$874,I31,BS_RE33!$P$7:$P$874,'30 days CF Table(GBP)'!G31,BS_RE33!$F$7:$F$874,'30 days CF Table(GBP)'!$C$2)</f>
        <v>0</v>
      </c>
      <c r="AK31" s="337">
        <f>SUMIFS(BS_RE33!$H$7:$H$874,BS_RE33!$S$7:$S$874,$AK$2,BS_RE33!$N$7:$N$874,I31,BS_RE33!$P$7:$P$874,'30 days CF Table(GBP)'!G31,BS_RE33!$F$7:$F$874,'30 days CF Table(GBP)'!$C$2)</f>
        <v>0</v>
      </c>
      <c r="AL31" s="337">
        <f>SUMIFS(BS_RE33!$H$7:$H$874,BS_RE33!$S$7:$S$874,$AL$2,BS_RE33!$N$7:$N$874,I31,BS_RE33!$P$7:$P$874,'30 days CF Table(GBP)'!G31,BS_RE33!$F$7:$F$874,'30 days CF Table(GBP)'!$C$2)</f>
        <v>0</v>
      </c>
      <c r="AM31" s="337">
        <f>SUMIFS(BS_RE33!$H$7:$H$874,BS_RE33!$S$7:$S$874,$AM$2,BS_RE33!$N$7:$N$874,I31,BS_RE33!$P$7:$P$874,'30 days CF Table(GBP)'!G31,BS_RE33!$F$7:$F$874,'30 days CF Table(GBP)'!$C$2)</f>
        <v>0</v>
      </c>
      <c r="AN31" s="337">
        <f>SUMIFS(BS_RE33!$H$7:$H$874,BS_RE33!$S$7:$S$874,$AN$2,BS_RE33!$N$7:$N$874,I31,BS_RE33!$P$7:$P$874,'30 days CF Table(GBP)'!G31,BS_RE33!$F$7:$F$874,'30 days CF Table(GBP)'!$C$2)</f>
        <v>0</v>
      </c>
      <c r="AO31" s="337">
        <f>SUMIFS(BS_RE33!$H$7:$H$874,BS_RE33!$S$7:$S$874,$AO$2,BS_RE33!$N$7:$N$874,I31,BS_RE33!$P$7:$P$874,'30 days CF Table(GBP)'!G31,BS_RE33!$F$7:$F$874,'30 days CF Table(GBP)'!$C$2)</f>
        <v>0</v>
      </c>
      <c r="AP31" s="338">
        <f>SUMIFS(BS_RE33!$H$7:$H$874,BS_RE33!$S$7:$S$874,$AP$2,BS_RE33!$N$7:$N$874,I31,BS_RE33!$P$7:$P$874,'30 days CF Table(GBP)'!G31,BS_RE33!$F$7:$F$874,'30 days CF Table(GBP)'!$C$2)</f>
        <v>0</v>
      </c>
      <c r="AR31" s="379">
        <f>SUMIFS(BS_RE33!$H$7:$H$874,BS_RE33!$S$7:$S$874,$AR$2,BS_RE33!$N$7:$N$874,I31,BS_RE33!$P$7:$P$874,'30 days CF Table(GBP)'!G31,BS_RE33!$F$7:$F$874,'30 days CF Table(GBP)'!$C$2)</f>
        <v>0</v>
      </c>
      <c r="AS31" s="379">
        <f>SUMIFS(BS_RE33!$H$7:$H$874,BS_RE33!$S$7:$S$874,$AS$2,BS_RE33!$N$7:$N$874,I31,BS_RE33!$P$7:$P$874,'30 days CF Table(GBP)'!G31,BS_RE33!$F$7:$F$874,'30 days CF Table(GBP)'!$C$2)</f>
        <v>0</v>
      </c>
      <c r="AT31" s="379">
        <f>SUMIFS(BS_RE33!$H$7:$H$874,BS_RE33!$S$7:$S$874,$AT$2,BS_RE33!$N$7:$N$874,I31,BS_RE33!$P$7:$P$874,'30 days CF Table(GBP)'!G31,BS_RE33!$F$7:$F$874,'30 days CF Table(GBP)'!$C$2)</f>
        <v>0</v>
      </c>
      <c r="AU31" s="379">
        <f>SUMIFS(BS_RE33!$H$7:$H$874,BS_RE33!$S$7:$S$874,$AU$2,BS_RE33!$N$7:$N$874,I31,BS_RE33!$P$7:$P$874,'30 days CF Table(GBP)'!G31,BS_RE33!$F$7:$F$874,'30 days CF Table(GBP)'!$C$2)</f>
        <v>0</v>
      </c>
      <c r="AV31" s="379">
        <f>SUMIFS(BS_RE33!$H$7:$H$874,BS_RE33!$S$7:$S$874,$AV$2,BS_RE33!$N$7:$N$874,I31,BS_RE33!$P$7:$P$874,'30 days CF Table(GBP)'!G31,BS_RE33!$F$7:$F$874,'30 days CF Table(GBP)'!$C$2)</f>
        <v>0</v>
      </c>
      <c r="AW31" s="379">
        <f>SUMIFS(BS_RE33!$H$7:$H$874,BS_RE33!$S$7:$S$874,$AW$2,BS_RE33!$N$7:$N$874,I31,BS_RE33!$P$7:$P$874,'30 days CF Table(GBP)'!G31,BS_RE33!$F$7:$F$874,'30 days CF Table(GBP)'!$C$2)</f>
        <v>0</v>
      </c>
      <c r="AX31" s="379">
        <f>SUMIFS(BS_RE33!$H$7:$H$874,BS_RE33!$S$7:$S$874,$AX$2,BS_RE33!$N$7:$N$874,I31,BS_RE33!$P$7:$P$874,'30 days CF Table(GBP)'!G31,BS_RE33!$F$7:$F$874,'30 days CF Table(GBP)'!$C$2)</f>
        <v>0</v>
      </c>
      <c r="AY31" s="379">
        <f>SUMIFS(BS_RE33!$H$7:$H$874,BS_RE33!$S$7:$S$874,$AY$2,BS_RE33!$N$7:$N$874,I31,BS_RE33!$P$7:$P$874,'30 days CF Table(GBP)'!G31,BS_RE33!$F$7:$F$874,'30 days CF Table(GBP)'!$C$2)</f>
        <v>0</v>
      </c>
      <c r="AZ31" s="379">
        <f>SUMIFS(BS_RE33!$H$7:$H$874,BS_RE33!$S$7:$S$874,$AZ$2,BS_RE33!$N$7:$N$874,I31,BS_RE33!$P$7:$P$874,'30 days CF Table(GBP)'!G31,BS_RE33!$F$7:$F$874,'30 days CF Table(GBP)'!$C$2)</f>
        <v>0</v>
      </c>
      <c r="BA31" s="379">
        <f>SUMIFS(BS_RE33!$H$7:$H$874,BS_RE33!$S$7:$S$874,$BA$2,BS_RE33!$N$7:$N$874,I31,BS_RE33!$P$7:$P$874,'30 days CF Table(GBP)'!G31,BS_RE33!$F$7:$F$874,'30 days CF Table(GBP)'!$C$2)</f>
        <v>0</v>
      </c>
      <c r="BB31" s="379">
        <f>SUMIFS(BS_RE33!$H$7:$H$874,BS_RE33!$S$7:$S$874,$BB$2,BS_RE33!$N$7:$N$874,I31,BS_RE33!$P$7:$P$874,'30 days CF Table(GBP)'!G31,BS_RE33!$F$7:$F$874,'30 days CF Table(GBP)'!$C$2)</f>
        <v>0</v>
      </c>
      <c r="BC31" s="379">
        <f>SUMIFS(BS_RE33!$H$7:$H$874,BS_RE33!$S$7:$S$874,$BC$2,BS_RE33!$N$7:$N$874,I31,BS_RE33!$P$7:$P$874,'30 days CF Table(GBP)'!G31,BS_RE33!$F$7:$F$874,'30 days CF Table(GBP)'!$C$2)</f>
        <v>0</v>
      </c>
      <c r="BD31" s="379">
        <f>SUMIFS(BS_RE33!$H$7:$H$874,BS_RE33!$S$7:$S$874,$BD$2,BS_RE33!$N$7:$N$874,I31,BS_RE33!$P$7:$P$874,'30 days CF Table(GBP)'!G31,BS_RE33!$F$7:$F$874,'30 days CF Table(GBP)'!$C$2)</f>
        <v>0</v>
      </c>
      <c r="BE31" s="379">
        <f>SUMIFS(BS_RE33!$H$7:$H$874,BS_RE33!$S$7:$S$874,$BE$2,BS_RE33!$N$7:$N$874,I31,BS_RE33!$P$7:$P$874,'30 days CF Table(GBP)'!G31,BS_RE33!$F$7:$F$874,'30 days CF Table(GBP)'!$C$2)</f>
        <v>0</v>
      </c>
      <c r="BF31" s="379">
        <f>SUMIFS(BS_RE33!$H$7:$H$874,BS_RE33!$S$7:$S$874,$BF$2,BS_RE33!$N$7:$N$874,I31,BS_RE33!$P$7:$P$874,'30 days CF Table(GBP)'!G31,BS_RE33!$F$7:$F$874,'30 days CF Table(GBP)'!$C$2)</f>
        <v>0</v>
      </c>
      <c r="BG31" s="379">
        <f>SUMIFS(BS_RE33!$H$7:$H$874,BS_RE33!$S$7:$S$874,$BG$2,BS_RE33!$N$7:$N$874,I31,BS_RE33!$P$7:$P$874,'30 days CF Table(GBP)'!G31,BS_RE33!$F$7:$F$874,'30 days CF Table(GBP)'!$C$2)</f>
        <v>0</v>
      </c>
      <c r="BH31" s="379">
        <f>SUMIFS(BS_RE33!$H$7:$H$874,BS_RE33!$S$7:$S$874,$BH$2,BS_RE33!$N$7:$N$874,I31,BS_RE33!$P$7:$P$874,'30 days CF Table(GBP)'!G31,BS_RE33!$F$7:$F$874,'30 days CF Table(GBP)'!$C$2)</f>
        <v>0</v>
      </c>
      <c r="BI31" s="379">
        <f>SUMIFS(BS_RE33!$H$7:$H$874,BS_RE33!$S$7:$S$874,$BI$2,BS_RE33!$N$7:$N$874,I31,BS_RE33!$P$7:$P$874,'30 days CF Table(GBP)'!G31,BS_RE33!$F$7:$F$874,'30 days CF Table(GBP)'!$C$2)</f>
        <v>0</v>
      </c>
      <c r="BJ31" s="379">
        <f>SUMIFS(BS_RE33!$H$7:$H$874,BS_RE33!$S$7:$S$874,$BJ$2,BS_RE33!$N$7:$N$874,I31,BS_RE33!$P$7:$P$874,'30 days CF Table(GBP)'!G31,BS_RE33!$F$7:$F$874,'30 days CF Table(GBP)'!$C$2)</f>
        <v>0</v>
      </c>
      <c r="BK31" s="379">
        <f>SUMIFS(BS_RE33!$H$7:$H$874,BS_RE33!$S$7:$S$874,$BK$2,BS_RE33!$N$7:$N$874,I31,BS_RE33!$P$7:$P$874,'30 days CF Table(GBP)'!G31,BS_RE33!$F$7:$F$874,'30 days CF Table(GBP)'!$C$2)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Table(GBP)'!G32,BS_RE33!$F$7:$F$874,'30 days CF Table(GBP)'!$C$2)</f>
        <v>0</v>
      </c>
      <c r="M32" s="337">
        <f>SUMIFS(BS_RE33!$H$7:$H$874,BS_RE33!$S$7:$S$874,$M$2,BS_RE33!$N$7:$N$874,I32,BS_RE33!$P$7:$P$874,'30 days CF Table(GBP)'!G32,BS_RE33!$F$7:$F$874,'30 days CF Table(GBP)'!$C$2)</f>
        <v>0</v>
      </c>
      <c r="N32" s="337">
        <f>SUMIFS(BS_RE33!$H$7:$H$874,BS_RE33!$S$7:$S$874,$N$2,BS_RE33!$N$7:$N$874,I32,BS_RE33!$P$7:$P$874,'30 days CF Table(GBP)'!G32,BS_RE33!$F$7:$F$874,'30 days CF Table(GBP)'!$C$2)</f>
        <v>0</v>
      </c>
      <c r="O32" s="337">
        <f>SUMIFS(BS_RE33!$H$7:$H$874,BS_RE33!$S$7:$S$874,$O$2,BS_RE33!$N$7:$N$874,I32,BS_RE33!$P$7:$P$874,'30 days CF Table(GBP)'!G32,BS_RE33!$F$7:$F$874,'30 days CF Table(GBP)'!$C$2)</f>
        <v>0</v>
      </c>
      <c r="P32" s="337">
        <f>SUMIFS(BS_RE33!$H$7:$H$874,BS_RE33!$S$7:$S$874,$P$2,BS_RE33!$N$7:$N$874,I32,BS_RE33!$P$7:$P$874,'30 days CF Table(GBP)'!G32,BS_RE33!$F$7:$F$874,'30 days CF Table(GBP)'!$C$2)</f>
        <v>0</v>
      </c>
      <c r="Q32" s="337">
        <f>SUMIFS(BS_RE33!$H$7:$H$874,BS_RE33!$S$7:$S$874,$Q$2,BS_RE33!$N$7:$N$874,I32,BS_RE33!$P$7:$P$874,'30 days CF Table(GBP)'!G32,BS_RE33!$F$7:$F$874,'30 days CF Table(GBP)'!$C$2)</f>
        <v>0</v>
      </c>
      <c r="R32" s="337">
        <f>SUMIFS(BS_RE33!$H$7:$H$874,BS_RE33!$S$7:$S$874,$R$2,BS_RE33!$N$7:$N$874,I32,BS_RE33!$P$7:$P$874,'30 days CF Table(GBP)'!G32,BS_RE33!$F$7:$F$874,'30 days CF Table(GBP)'!$C$2)</f>
        <v>0</v>
      </c>
      <c r="S32" s="337">
        <f>SUMIFS(BS_RE33!$H$7:$H$874,BS_RE33!$S$7:$S$874,$S$2,BS_RE33!$N$7:$N$874,I32,BS_RE33!$P$7:$P$874,'30 days CF Table(GBP)'!G32,BS_RE33!$F$7:$F$874,'30 days CF Table(GBP)'!$C$2)</f>
        <v>0</v>
      </c>
      <c r="T32" s="337">
        <f>SUMIFS(BS_RE33!$H$7:$H$874,BS_RE33!$S$7:$S$874,$T$2,BS_RE33!$N$7:$N$874,I32,BS_RE33!$P$7:$P$874,'30 days CF Table(GBP)'!G32,BS_RE33!$F$7:$F$874,'30 days CF Table(GBP)'!$C$2)</f>
        <v>0</v>
      </c>
      <c r="U32" s="337">
        <f>SUMIFS(BS_RE33!$H$7:$H$874,BS_RE33!$S$7:$S$874,$U$2,BS_RE33!$N$7:$N$874,I32,BS_RE33!$P$7:$P$874,'30 days CF Table(GBP)'!G32,BS_RE33!$F$7:$F$874,'30 days CF Table(GBP)'!$C$2)</f>
        <v>0</v>
      </c>
      <c r="V32" s="337">
        <f>SUMIFS(BS_RE33!$H$7:$H$874,BS_RE33!$S$7:$S$874,$V$2,BS_RE33!$N$7:$N$874,I32,BS_RE33!$P$7:$P$874,'30 days CF Table(GBP)'!G32,BS_RE33!$F$7:$F$874,'30 days CF Table(GBP)'!$C$2)</f>
        <v>0</v>
      </c>
      <c r="W32" s="337">
        <f>SUMIFS(BS_RE33!$H$7:$H$874,BS_RE33!$S$7:$S$874,$W$2,BS_RE33!$N$7:$N$874,I32,BS_RE33!$P$7:$P$874,'30 days CF Table(GBP)'!G32,BS_RE33!$F$7:$F$874,'30 days CF Table(GBP)'!$C$2)</f>
        <v>0</v>
      </c>
      <c r="X32" s="337">
        <f>SUMIFS(BS_RE33!$H$7:$H$874,BS_RE33!$S$7:$S$874,$X$2,BS_RE33!$N$7:$N$874,I32,BS_RE33!$P$7:$P$874,'30 days CF Table(GBP)'!G32,BS_RE33!$F$7:$F$874,'30 days CF Table(GBP)'!$C$2)</f>
        <v>0</v>
      </c>
      <c r="Y32" s="337">
        <f>SUMIFS(BS_RE33!$H$7:$H$874,BS_RE33!$S$7:$S$874,$Y$2,BS_RE33!$N$7:$N$874,I32,BS_RE33!$P$7:$P$874,'30 days CF Table(GBP)'!G32,BS_RE33!$F$7:$F$874,'30 days CF Table(GBP)'!$C$2)</f>
        <v>0</v>
      </c>
      <c r="Z32" s="337">
        <f>SUMIFS(BS_RE33!$H$7:$H$874,BS_RE33!$S$7:$S$874,$Z$2,BS_RE33!$N$7:$N$874,I32,BS_RE33!$P$7:$P$874,'30 days CF Table(GBP)'!G32,BS_RE33!$F$7:$F$874,'30 days CF Table(GBP)'!$C$2)</f>
        <v>0</v>
      </c>
      <c r="AA32" s="337">
        <f>SUMIFS(BS_RE33!$H$7:$H$874,BS_RE33!$S$7:$S$874,$AA$2,BS_RE33!$N$7:$N$874,I32,BS_RE33!$P$7:$P$874,'30 days CF Table(GBP)'!G32,BS_RE33!$F$7:$F$874,'30 days CF Table(GBP)'!$C$2)</f>
        <v>0</v>
      </c>
      <c r="AB32" s="337">
        <f>SUMIFS(BS_RE33!$H$7:$H$874,BS_RE33!$S$7:$S$874,$AB$2,BS_RE33!$N$7:$N$874,I32,BS_RE33!$P$7:$P$874,'30 days CF Table(GBP)'!G32,BS_RE33!$F$7:$F$874,'30 days CF Table(GBP)'!$C$2)</f>
        <v>0</v>
      </c>
      <c r="AC32" s="337">
        <f>SUMIFS(BS_RE33!$H$7:$H$874,BS_RE33!$S$7:$S$874,$AC$2,BS_RE33!$N$7:$N$874,I32,BS_RE33!$P$7:$P$874,'30 days CF Table(GBP)'!G32,BS_RE33!$F$7:$F$874,'30 days CF Table(GBP)'!$C$2)</f>
        <v>0</v>
      </c>
      <c r="AD32" s="337">
        <f>SUMIFS(BS_RE33!$H$7:$H$874,BS_RE33!$S$7:$S$874,$AD$2,BS_RE33!$N$7:$N$874,I32,BS_RE33!$P$7:$P$874,'30 days CF Table(GBP)'!G32,BS_RE33!$F$7:$F$874,'30 days CF Table(GBP)'!$C$2)</f>
        <v>0</v>
      </c>
      <c r="AE32" s="337">
        <f>SUMIFS(BS_RE33!$H$7:$H$874,BS_RE33!$S$7:$S$874,$AE$2,BS_RE33!$N$7:$N$874,I32,BS_RE33!$P$7:$P$874,'30 days CF Table(GBP)'!G32,BS_RE33!$F$7:$F$874,'30 days CF Table(GBP)'!$C$2)</f>
        <v>0</v>
      </c>
      <c r="AF32" s="337">
        <f>SUMIFS(BS_RE33!$H$7:$H$874,BS_RE33!$S$7:$S$874,$AF$2,BS_RE33!$N$7:$N$874,I32,BS_RE33!$P$7:$P$874,'30 days CF Table(GBP)'!G32,BS_RE33!$F$7:$F$874,'30 days CF Table(GBP)'!$C$2)</f>
        <v>0</v>
      </c>
      <c r="AG32" s="337">
        <f>SUMIFS(BS_RE33!$H$7:$H$874,BS_RE33!$S$7:$S$874,$AG$2,BS_RE33!$N$7:$N$874,I32,BS_RE33!$P$7:$P$874,'30 days CF Table(GBP)'!G32,BS_RE33!$F$7:$F$874,'30 days CF Table(GBP)'!$C$2)</f>
        <v>0</v>
      </c>
      <c r="AH32" s="337">
        <f>SUMIFS(BS_RE33!$H$7:$H$874,BS_RE33!$S$7:$S$874,$AH$2,BS_RE33!$N$7:$N$874,I32,BS_RE33!$P$7:$P$874,'30 days CF Table(GBP)'!G32,BS_RE33!$F$7:$F$874,'30 days CF Table(GBP)'!$C$2)</f>
        <v>0</v>
      </c>
      <c r="AI32" s="337">
        <f>SUMIFS(BS_RE33!$H$7:$H$874,BS_RE33!$S$7:$S$874,$AI$2,BS_RE33!$N$7:$N$874,I32,BS_RE33!$P$7:$P$874,'30 days CF Table(GBP)'!G32,BS_RE33!$F$7:$F$874,'30 days CF Table(GBP)'!$C$2)</f>
        <v>0</v>
      </c>
      <c r="AJ32" s="337">
        <f>SUMIFS(BS_RE33!$H$7:$H$874,BS_RE33!$S$7:$S$874,$AJ$2,BS_RE33!$N$7:$N$874,I32,BS_RE33!$P$7:$P$874,'30 days CF Table(GBP)'!G32,BS_RE33!$F$7:$F$874,'30 days CF Table(GBP)'!$C$2)</f>
        <v>0</v>
      </c>
      <c r="AK32" s="337">
        <f>SUMIFS(BS_RE33!$H$7:$H$874,BS_RE33!$S$7:$S$874,$AK$2,BS_RE33!$N$7:$N$874,I32,BS_RE33!$P$7:$P$874,'30 days CF Table(GBP)'!G32,BS_RE33!$F$7:$F$874,'30 days CF Table(GBP)'!$C$2)</f>
        <v>0</v>
      </c>
      <c r="AL32" s="337">
        <f>SUMIFS(BS_RE33!$H$7:$H$874,BS_RE33!$S$7:$S$874,$AL$2,BS_RE33!$N$7:$N$874,I32,BS_RE33!$P$7:$P$874,'30 days CF Table(GBP)'!G32,BS_RE33!$F$7:$F$874,'30 days CF Table(GBP)'!$C$2)</f>
        <v>0</v>
      </c>
      <c r="AM32" s="337">
        <f>SUMIFS(BS_RE33!$H$7:$H$874,BS_RE33!$S$7:$S$874,$AM$2,BS_RE33!$N$7:$N$874,I32,BS_RE33!$P$7:$P$874,'30 days CF Table(GBP)'!G32,BS_RE33!$F$7:$F$874,'30 days CF Table(GBP)'!$C$2)</f>
        <v>0</v>
      </c>
      <c r="AN32" s="337">
        <f>SUMIFS(BS_RE33!$H$7:$H$874,BS_RE33!$S$7:$S$874,$AN$2,BS_RE33!$N$7:$N$874,I32,BS_RE33!$P$7:$P$874,'30 days CF Table(GBP)'!G32,BS_RE33!$F$7:$F$874,'30 days CF Table(GBP)'!$C$2)</f>
        <v>0</v>
      </c>
      <c r="AO32" s="337">
        <f>SUMIFS(BS_RE33!$H$7:$H$874,BS_RE33!$S$7:$S$874,$AO$2,BS_RE33!$N$7:$N$874,I32,BS_RE33!$P$7:$P$874,'30 days CF Table(GBP)'!G32,BS_RE33!$F$7:$F$874,'30 days CF Table(GBP)'!$C$2)</f>
        <v>0</v>
      </c>
      <c r="AP32" s="338">
        <f>SUMIFS(BS_RE33!$H$7:$H$874,BS_RE33!$S$7:$S$874,$AP$2,BS_RE33!$N$7:$N$874,I32,BS_RE33!$P$7:$P$874,'30 days CF Table(GBP)'!G32,BS_RE33!$F$7:$F$874,'30 days CF Table(GBP)'!$C$2)</f>
        <v>0</v>
      </c>
      <c r="AR32" s="379">
        <f>SUMIFS(BS_RE33!$H$7:$H$874,BS_RE33!$S$7:$S$874,$AR$2,BS_RE33!$N$7:$N$874,I32,BS_RE33!$P$7:$P$874,'30 days CF Table(GBP)'!G32,BS_RE33!$F$7:$F$874,'30 days CF Table(GBP)'!$C$2)</f>
        <v>0</v>
      </c>
      <c r="AS32" s="379">
        <f>SUMIFS(BS_RE33!$H$7:$H$874,BS_RE33!$S$7:$S$874,$AS$2,BS_RE33!$N$7:$N$874,I32,BS_RE33!$P$7:$P$874,'30 days CF Table(GBP)'!G32,BS_RE33!$F$7:$F$874,'30 days CF Table(GBP)'!$C$2)</f>
        <v>0</v>
      </c>
      <c r="AT32" s="379">
        <f>SUMIFS(BS_RE33!$H$7:$H$874,BS_RE33!$S$7:$S$874,$AT$2,BS_RE33!$N$7:$N$874,I32,BS_RE33!$P$7:$P$874,'30 days CF Table(GBP)'!G32,BS_RE33!$F$7:$F$874,'30 days CF Table(GBP)'!$C$2)</f>
        <v>0</v>
      </c>
      <c r="AU32" s="379">
        <f>SUMIFS(BS_RE33!$H$7:$H$874,BS_RE33!$S$7:$S$874,$AU$2,BS_RE33!$N$7:$N$874,I32,BS_RE33!$P$7:$P$874,'30 days CF Table(GBP)'!G32,BS_RE33!$F$7:$F$874,'30 days CF Table(GBP)'!$C$2)</f>
        <v>0</v>
      </c>
      <c r="AV32" s="379">
        <f>SUMIFS(BS_RE33!$H$7:$H$874,BS_RE33!$S$7:$S$874,$AV$2,BS_RE33!$N$7:$N$874,I32,BS_RE33!$P$7:$P$874,'30 days CF Table(GBP)'!G32,BS_RE33!$F$7:$F$874,'30 days CF Table(GBP)'!$C$2)</f>
        <v>0</v>
      </c>
      <c r="AW32" s="379">
        <f>SUMIFS(BS_RE33!$H$7:$H$874,BS_RE33!$S$7:$S$874,$AW$2,BS_RE33!$N$7:$N$874,I32,BS_RE33!$P$7:$P$874,'30 days CF Table(GBP)'!G32,BS_RE33!$F$7:$F$874,'30 days CF Table(GBP)'!$C$2)</f>
        <v>0</v>
      </c>
      <c r="AX32" s="379">
        <f>SUMIFS(BS_RE33!$H$7:$H$874,BS_RE33!$S$7:$S$874,$AX$2,BS_RE33!$N$7:$N$874,I32,BS_RE33!$P$7:$P$874,'30 days CF Table(GBP)'!G32,BS_RE33!$F$7:$F$874,'30 days CF Table(GBP)'!$C$2)</f>
        <v>0</v>
      </c>
      <c r="AY32" s="379">
        <f>SUMIFS(BS_RE33!$H$7:$H$874,BS_RE33!$S$7:$S$874,$AY$2,BS_RE33!$N$7:$N$874,I32,BS_RE33!$P$7:$P$874,'30 days CF Table(GBP)'!G32,BS_RE33!$F$7:$F$874,'30 days CF Table(GBP)'!$C$2)</f>
        <v>0</v>
      </c>
      <c r="AZ32" s="379">
        <f>SUMIFS(BS_RE33!$H$7:$H$874,BS_RE33!$S$7:$S$874,$AZ$2,BS_RE33!$N$7:$N$874,I32,BS_RE33!$P$7:$P$874,'30 days CF Table(GBP)'!G32,BS_RE33!$F$7:$F$874,'30 days CF Table(GBP)'!$C$2)</f>
        <v>0</v>
      </c>
      <c r="BA32" s="379">
        <f>SUMIFS(BS_RE33!$H$7:$H$874,BS_RE33!$S$7:$S$874,$BA$2,BS_RE33!$N$7:$N$874,I32,BS_RE33!$P$7:$P$874,'30 days CF Table(GBP)'!G32,BS_RE33!$F$7:$F$874,'30 days CF Table(GBP)'!$C$2)</f>
        <v>0</v>
      </c>
      <c r="BB32" s="379">
        <f>SUMIFS(BS_RE33!$H$7:$H$874,BS_RE33!$S$7:$S$874,$BB$2,BS_RE33!$N$7:$N$874,I32,BS_RE33!$P$7:$P$874,'30 days CF Table(GBP)'!G32,BS_RE33!$F$7:$F$874,'30 days CF Table(GBP)'!$C$2)</f>
        <v>0</v>
      </c>
      <c r="BC32" s="379">
        <f>SUMIFS(BS_RE33!$H$7:$H$874,BS_RE33!$S$7:$S$874,$BC$2,BS_RE33!$N$7:$N$874,I32,BS_RE33!$P$7:$P$874,'30 days CF Table(GBP)'!G32,BS_RE33!$F$7:$F$874,'30 days CF Table(GBP)'!$C$2)</f>
        <v>0</v>
      </c>
      <c r="BD32" s="379">
        <f>SUMIFS(BS_RE33!$H$7:$H$874,BS_RE33!$S$7:$S$874,$BD$2,BS_RE33!$N$7:$N$874,I32,BS_RE33!$P$7:$P$874,'30 days CF Table(GBP)'!G32,BS_RE33!$F$7:$F$874,'30 days CF Table(GBP)'!$C$2)</f>
        <v>0</v>
      </c>
      <c r="BE32" s="379">
        <f>SUMIFS(BS_RE33!$H$7:$H$874,BS_RE33!$S$7:$S$874,$BE$2,BS_RE33!$N$7:$N$874,I32,BS_RE33!$P$7:$P$874,'30 days CF Table(GBP)'!G32,BS_RE33!$F$7:$F$874,'30 days CF Table(GBP)'!$C$2)</f>
        <v>0</v>
      </c>
      <c r="BF32" s="379">
        <f>SUMIFS(BS_RE33!$H$7:$H$874,BS_RE33!$S$7:$S$874,$BF$2,BS_RE33!$N$7:$N$874,I32,BS_RE33!$P$7:$P$874,'30 days CF Table(GBP)'!G32,BS_RE33!$F$7:$F$874,'30 days CF Table(GBP)'!$C$2)</f>
        <v>0</v>
      </c>
      <c r="BG32" s="379">
        <f>SUMIFS(BS_RE33!$H$7:$H$874,BS_RE33!$S$7:$S$874,$BG$2,BS_RE33!$N$7:$N$874,I32,BS_RE33!$P$7:$P$874,'30 days CF Table(GBP)'!G32,BS_RE33!$F$7:$F$874,'30 days CF Table(GBP)'!$C$2)</f>
        <v>0</v>
      </c>
      <c r="BH32" s="379">
        <f>SUMIFS(BS_RE33!$H$7:$H$874,BS_RE33!$S$7:$S$874,$BH$2,BS_RE33!$N$7:$N$874,I32,BS_RE33!$P$7:$P$874,'30 days CF Table(GBP)'!G32,BS_RE33!$F$7:$F$874,'30 days CF Table(GBP)'!$C$2)</f>
        <v>0</v>
      </c>
      <c r="BI32" s="379">
        <f>SUMIFS(BS_RE33!$H$7:$H$874,BS_RE33!$S$7:$S$874,$BI$2,BS_RE33!$N$7:$N$874,I32,BS_RE33!$P$7:$P$874,'30 days CF Table(GBP)'!G32,BS_RE33!$F$7:$F$874,'30 days CF Table(GBP)'!$C$2)</f>
        <v>0</v>
      </c>
      <c r="BJ32" s="379">
        <f>SUMIFS(BS_RE33!$H$7:$H$874,BS_RE33!$S$7:$S$874,$BJ$2,BS_RE33!$N$7:$N$874,I32,BS_RE33!$P$7:$P$874,'30 days CF Table(GBP)'!G32,BS_RE33!$F$7:$F$874,'30 days CF Table(GBP)'!$C$2)</f>
        <v>0</v>
      </c>
      <c r="BK32" s="379">
        <f>SUMIFS(BS_RE33!$H$7:$H$874,BS_RE33!$S$7:$S$874,$BK$2,BS_RE33!$N$7:$N$874,I32,BS_RE33!$P$7:$P$874,'30 days CF Table(GBP)'!G32,BS_RE33!$F$7:$F$874,'30 days CF Table(GBP)'!$C$2)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Table(GBP)'!G33,BS_RE33!$F$7:$F$874,'30 days CF Table(GBP)'!$C$2)</f>
        <v>0</v>
      </c>
      <c r="M33" s="337">
        <f>SUMIFS(BS_RE33!$H$7:$H$874,BS_RE33!$S$7:$S$874,$M$2,BS_RE33!$N$7:$N$874,I33,BS_RE33!$P$7:$P$874,'30 days CF Table(GBP)'!G33,BS_RE33!$F$7:$F$874,'30 days CF Table(GBP)'!$C$2)</f>
        <v>0</v>
      </c>
      <c r="N33" s="337">
        <f>SUMIFS(BS_RE33!$H$7:$H$874,BS_RE33!$S$7:$S$874,$N$2,BS_RE33!$N$7:$N$874,I33,BS_RE33!$P$7:$P$874,'30 days CF Table(GBP)'!G33,BS_RE33!$F$7:$F$874,'30 days CF Table(GBP)'!$C$2)</f>
        <v>0</v>
      </c>
      <c r="O33" s="337">
        <f>SUMIFS(BS_RE33!$H$7:$H$874,BS_RE33!$S$7:$S$874,$O$2,BS_RE33!$N$7:$N$874,I33,BS_RE33!$P$7:$P$874,'30 days CF Table(GBP)'!G33,BS_RE33!$F$7:$F$874,'30 days CF Table(GBP)'!$C$2)</f>
        <v>0</v>
      </c>
      <c r="P33" s="337">
        <f>SUMIFS(BS_RE33!$H$7:$H$874,BS_RE33!$S$7:$S$874,$P$2,BS_RE33!$N$7:$N$874,I33,BS_RE33!$P$7:$P$874,'30 days CF Table(GBP)'!G33,BS_RE33!$F$7:$F$874,'30 days CF Table(GBP)'!$C$2)</f>
        <v>0</v>
      </c>
      <c r="Q33" s="337">
        <f>SUMIFS(BS_RE33!$H$7:$H$874,BS_RE33!$S$7:$S$874,$Q$2,BS_RE33!$N$7:$N$874,I33,BS_RE33!$P$7:$P$874,'30 days CF Table(GBP)'!G33,BS_RE33!$F$7:$F$874,'30 days CF Table(GBP)'!$C$2)</f>
        <v>0</v>
      </c>
      <c r="R33" s="337">
        <f>SUMIFS(BS_RE33!$H$7:$H$874,BS_RE33!$S$7:$S$874,$R$2,BS_RE33!$N$7:$N$874,I33,BS_RE33!$P$7:$P$874,'30 days CF Table(GBP)'!G33,BS_RE33!$F$7:$F$874,'30 days CF Table(GBP)'!$C$2)</f>
        <v>0</v>
      </c>
      <c r="S33" s="337">
        <f>SUMIFS(BS_RE33!$H$7:$H$874,BS_RE33!$S$7:$S$874,$S$2,BS_RE33!$N$7:$N$874,I33,BS_RE33!$P$7:$P$874,'30 days CF Table(GBP)'!G33,BS_RE33!$F$7:$F$874,'30 days CF Table(GBP)'!$C$2)</f>
        <v>0</v>
      </c>
      <c r="T33" s="337">
        <f>SUMIFS(BS_RE33!$H$7:$H$874,BS_RE33!$S$7:$S$874,$T$2,BS_RE33!$N$7:$N$874,I33,BS_RE33!$P$7:$P$874,'30 days CF Table(GBP)'!G33,BS_RE33!$F$7:$F$874,'30 days CF Table(GBP)'!$C$2)</f>
        <v>0</v>
      </c>
      <c r="U33" s="337">
        <f>SUMIFS(BS_RE33!$H$7:$H$874,BS_RE33!$S$7:$S$874,$U$2,BS_RE33!$N$7:$N$874,I33,BS_RE33!$P$7:$P$874,'30 days CF Table(GBP)'!G33,BS_RE33!$F$7:$F$874,'30 days CF Table(GBP)'!$C$2)</f>
        <v>0</v>
      </c>
      <c r="V33" s="337">
        <f>SUMIFS(BS_RE33!$H$7:$H$874,BS_RE33!$S$7:$S$874,$V$2,BS_RE33!$N$7:$N$874,I33,BS_RE33!$P$7:$P$874,'30 days CF Table(GBP)'!G33,BS_RE33!$F$7:$F$874,'30 days CF Table(GBP)'!$C$2)</f>
        <v>0</v>
      </c>
      <c r="W33" s="337">
        <f>SUMIFS(BS_RE33!$H$7:$H$874,BS_RE33!$S$7:$S$874,$W$2,BS_RE33!$N$7:$N$874,I33,BS_RE33!$P$7:$P$874,'30 days CF Table(GBP)'!G33,BS_RE33!$F$7:$F$874,'30 days CF Table(GBP)'!$C$2)</f>
        <v>0</v>
      </c>
      <c r="X33" s="337">
        <f>SUMIFS(BS_RE33!$H$7:$H$874,BS_RE33!$S$7:$S$874,$X$2,BS_RE33!$N$7:$N$874,I33,BS_RE33!$P$7:$P$874,'30 days CF Table(GBP)'!G33,BS_RE33!$F$7:$F$874,'30 days CF Table(GBP)'!$C$2)</f>
        <v>0</v>
      </c>
      <c r="Y33" s="337">
        <f>SUMIFS(BS_RE33!$H$7:$H$874,BS_RE33!$S$7:$S$874,$Y$2,BS_RE33!$N$7:$N$874,I33,BS_RE33!$P$7:$P$874,'30 days CF Table(GBP)'!G33,BS_RE33!$F$7:$F$874,'30 days CF Table(GBP)'!$C$2)</f>
        <v>0</v>
      </c>
      <c r="Z33" s="337">
        <f>SUMIFS(BS_RE33!$H$7:$H$874,BS_RE33!$S$7:$S$874,$Z$2,BS_RE33!$N$7:$N$874,I33,BS_RE33!$P$7:$P$874,'30 days CF Table(GBP)'!G33,BS_RE33!$F$7:$F$874,'30 days CF Table(GBP)'!$C$2)</f>
        <v>0</v>
      </c>
      <c r="AA33" s="337">
        <f>SUMIFS(BS_RE33!$H$7:$H$874,BS_RE33!$S$7:$S$874,$AA$2,BS_RE33!$N$7:$N$874,I33,BS_RE33!$P$7:$P$874,'30 days CF Table(GBP)'!G33,BS_RE33!$F$7:$F$874,'30 days CF Table(GBP)'!$C$2)</f>
        <v>0</v>
      </c>
      <c r="AB33" s="337">
        <f>SUMIFS(BS_RE33!$H$7:$H$874,BS_RE33!$S$7:$S$874,$AB$2,BS_RE33!$N$7:$N$874,I33,BS_RE33!$P$7:$P$874,'30 days CF Table(GBP)'!G33,BS_RE33!$F$7:$F$874,'30 days CF Table(GBP)'!$C$2)</f>
        <v>0</v>
      </c>
      <c r="AC33" s="337">
        <f>SUMIFS(BS_RE33!$H$7:$H$874,BS_RE33!$S$7:$S$874,$AC$2,BS_RE33!$N$7:$N$874,I33,BS_RE33!$P$7:$P$874,'30 days CF Table(GBP)'!G33,BS_RE33!$F$7:$F$874,'30 days CF Table(GBP)'!$C$2)</f>
        <v>0</v>
      </c>
      <c r="AD33" s="337">
        <f>SUMIFS(BS_RE33!$H$7:$H$874,BS_RE33!$S$7:$S$874,$AD$2,BS_RE33!$N$7:$N$874,I33,BS_RE33!$P$7:$P$874,'30 days CF Table(GBP)'!G33,BS_RE33!$F$7:$F$874,'30 days CF Table(GBP)'!$C$2)</f>
        <v>0</v>
      </c>
      <c r="AE33" s="337">
        <f>SUMIFS(BS_RE33!$H$7:$H$874,BS_RE33!$S$7:$S$874,$AE$2,BS_RE33!$N$7:$N$874,I33,BS_RE33!$P$7:$P$874,'30 days CF Table(GBP)'!G33,BS_RE33!$F$7:$F$874,'30 days CF Table(GBP)'!$C$2)</f>
        <v>0</v>
      </c>
      <c r="AF33" s="337">
        <f>SUMIFS(BS_RE33!$H$7:$H$874,BS_RE33!$S$7:$S$874,$AF$2,BS_RE33!$N$7:$N$874,I33,BS_RE33!$P$7:$P$874,'30 days CF Table(GBP)'!G33,BS_RE33!$F$7:$F$874,'30 days CF Table(GBP)'!$C$2)</f>
        <v>0</v>
      </c>
      <c r="AG33" s="337">
        <f>SUMIFS(BS_RE33!$H$7:$H$874,BS_RE33!$S$7:$S$874,$AG$2,BS_RE33!$N$7:$N$874,I33,BS_RE33!$P$7:$P$874,'30 days CF Table(GBP)'!G33,BS_RE33!$F$7:$F$874,'30 days CF Table(GBP)'!$C$2)</f>
        <v>0</v>
      </c>
      <c r="AH33" s="337">
        <f>SUMIFS(BS_RE33!$H$7:$H$874,BS_RE33!$S$7:$S$874,$AH$2,BS_RE33!$N$7:$N$874,I33,BS_RE33!$P$7:$P$874,'30 days CF Table(GBP)'!G33,BS_RE33!$F$7:$F$874,'30 days CF Table(GBP)'!$C$2)</f>
        <v>0</v>
      </c>
      <c r="AI33" s="337">
        <f>SUMIFS(BS_RE33!$H$7:$H$874,BS_RE33!$S$7:$S$874,$AI$2,BS_RE33!$N$7:$N$874,I33,BS_RE33!$P$7:$P$874,'30 days CF Table(GBP)'!G33,BS_RE33!$F$7:$F$874,'30 days CF Table(GBP)'!$C$2)</f>
        <v>0</v>
      </c>
      <c r="AJ33" s="337">
        <f>SUMIFS(BS_RE33!$H$7:$H$874,BS_RE33!$S$7:$S$874,$AJ$2,BS_RE33!$N$7:$N$874,I33,BS_RE33!$P$7:$P$874,'30 days CF Table(GBP)'!G33,BS_RE33!$F$7:$F$874,'30 days CF Table(GBP)'!$C$2)</f>
        <v>0</v>
      </c>
      <c r="AK33" s="337">
        <f>SUMIFS(BS_RE33!$H$7:$H$874,BS_RE33!$S$7:$S$874,$AK$2,BS_RE33!$N$7:$N$874,I33,BS_RE33!$P$7:$P$874,'30 days CF Table(GBP)'!G33,BS_RE33!$F$7:$F$874,'30 days CF Table(GBP)'!$C$2)</f>
        <v>0</v>
      </c>
      <c r="AL33" s="337">
        <f>SUMIFS(BS_RE33!$H$7:$H$874,BS_RE33!$S$7:$S$874,$AL$2,BS_RE33!$N$7:$N$874,I33,BS_RE33!$P$7:$P$874,'30 days CF Table(GBP)'!G33,BS_RE33!$F$7:$F$874,'30 days CF Table(GBP)'!$C$2)</f>
        <v>0</v>
      </c>
      <c r="AM33" s="337">
        <f>SUMIFS(BS_RE33!$H$7:$H$874,BS_RE33!$S$7:$S$874,$AM$2,BS_RE33!$N$7:$N$874,I33,BS_RE33!$P$7:$P$874,'30 days CF Table(GBP)'!G33,BS_RE33!$F$7:$F$874,'30 days CF Table(GBP)'!$C$2)</f>
        <v>0</v>
      </c>
      <c r="AN33" s="337">
        <f>SUMIFS(BS_RE33!$H$7:$H$874,BS_RE33!$S$7:$S$874,$AN$2,BS_RE33!$N$7:$N$874,I33,BS_RE33!$P$7:$P$874,'30 days CF Table(GBP)'!G33,BS_RE33!$F$7:$F$874,'30 days CF Table(GBP)'!$C$2)</f>
        <v>0</v>
      </c>
      <c r="AO33" s="337">
        <f>SUMIFS(BS_RE33!$H$7:$H$874,BS_RE33!$S$7:$S$874,$AO$2,BS_RE33!$N$7:$N$874,I33,BS_RE33!$P$7:$P$874,'30 days CF Table(GBP)'!G33,BS_RE33!$F$7:$F$874,'30 days CF Table(GBP)'!$C$2)</f>
        <v>0</v>
      </c>
      <c r="AP33" s="338">
        <f>SUMIFS(BS_RE33!$H$7:$H$874,BS_RE33!$S$7:$S$874,$AP$2,BS_RE33!$N$7:$N$874,I33,BS_RE33!$P$7:$P$874,'30 days CF Table(GBP)'!G33,BS_RE33!$F$7:$F$874,'30 days CF Table(GBP)'!$C$2)</f>
        <v>0</v>
      </c>
      <c r="AR33" s="379">
        <f>SUMIFS(BS_RE33!$H$7:$H$874,BS_RE33!$S$7:$S$874,$AR$2,BS_RE33!$N$7:$N$874,I33,BS_RE33!$P$7:$P$874,'30 days CF Table(GBP)'!G33,BS_RE33!$F$7:$F$874,'30 days CF Table(GBP)'!$C$2)</f>
        <v>0</v>
      </c>
      <c r="AS33" s="379">
        <f>SUMIFS(BS_RE33!$H$7:$H$874,BS_RE33!$S$7:$S$874,$AS$2,BS_RE33!$N$7:$N$874,I33,BS_RE33!$P$7:$P$874,'30 days CF Table(GBP)'!G33,BS_RE33!$F$7:$F$874,'30 days CF Table(GBP)'!$C$2)</f>
        <v>0</v>
      </c>
      <c r="AT33" s="379">
        <f>SUMIFS(BS_RE33!$H$7:$H$874,BS_RE33!$S$7:$S$874,$AT$2,BS_RE33!$N$7:$N$874,I33,BS_RE33!$P$7:$P$874,'30 days CF Table(GBP)'!G33,BS_RE33!$F$7:$F$874,'30 days CF Table(GBP)'!$C$2)</f>
        <v>0</v>
      </c>
      <c r="AU33" s="379">
        <f>SUMIFS(BS_RE33!$H$7:$H$874,BS_RE33!$S$7:$S$874,$AU$2,BS_RE33!$N$7:$N$874,I33,BS_RE33!$P$7:$P$874,'30 days CF Table(GBP)'!G33,BS_RE33!$F$7:$F$874,'30 days CF Table(GBP)'!$C$2)</f>
        <v>0</v>
      </c>
      <c r="AV33" s="379">
        <f>SUMIFS(BS_RE33!$H$7:$H$874,BS_RE33!$S$7:$S$874,$AV$2,BS_RE33!$N$7:$N$874,I33,BS_RE33!$P$7:$P$874,'30 days CF Table(GBP)'!G33,BS_RE33!$F$7:$F$874,'30 days CF Table(GBP)'!$C$2)</f>
        <v>0</v>
      </c>
      <c r="AW33" s="379">
        <f>SUMIFS(BS_RE33!$H$7:$H$874,BS_RE33!$S$7:$S$874,$AW$2,BS_RE33!$N$7:$N$874,I33,BS_RE33!$P$7:$P$874,'30 days CF Table(GBP)'!G33,BS_RE33!$F$7:$F$874,'30 days CF Table(GBP)'!$C$2)</f>
        <v>0</v>
      </c>
      <c r="AX33" s="379">
        <f>SUMIFS(BS_RE33!$H$7:$H$874,BS_RE33!$S$7:$S$874,$AX$2,BS_RE33!$N$7:$N$874,I33,BS_RE33!$P$7:$P$874,'30 days CF Table(GBP)'!G33,BS_RE33!$F$7:$F$874,'30 days CF Table(GBP)'!$C$2)</f>
        <v>0</v>
      </c>
      <c r="AY33" s="379">
        <f>SUMIFS(BS_RE33!$H$7:$H$874,BS_RE33!$S$7:$S$874,$AY$2,BS_RE33!$N$7:$N$874,I33,BS_RE33!$P$7:$P$874,'30 days CF Table(GBP)'!G33,BS_RE33!$F$7:$F$874,'30 days CF Table(GBP)'!$C$2)</f>
        <v>0</v>
      </c>
      <c r="AZ33" s="379">
        <f>SUMIFS(BS_RE33!$H$7:$H$874,BS_RE33!$S$7:$S$874,$AZ$2,BS_RE33!$N$7:$N$874,I33,BS_RE33!$P$7:$P$874,'30 days CF Table(GBP)'!G33,BS_RE33!$F$7:$F$874,'30 days CF Table(GBP)'!$C$2)</f>
        <v>0</v>
      </c>
      <c r="BA33" s="379">
        <f>SUMIFS(BS_RE33!$H$7:$H$874,BS_RE33!$S$7:$S$874,$BA$2,BS_RE33!$N$7:$N$874,I33,BS_RE33!$P$7:$P$874,'30 days CF Table(GBP)'!G33,BS_RE33!$F$7:$F$874,'30 days CF Table(GBP)'!$C$2)</f>
        <v>0</v>
      </c>
      <c r="BB33" s="379">
        <f>SUMIFS(BS_RE33!$H$7:$H$874,BS_RE33!$S$7:$S$874,$BB$2,BS_RE33!$N$7:$N$874,I33,BS_RE33!$P$7:$P$874,'30 days CF Table(GBP)'!G33,BS_RE33!$F$7:$F$874,'30 days CF Table(GBP)'!$C$2)</f>
        <v>0</v>
      </c>
      <c r="BC33" s="379">
        <f>SUMIFS(BS_RE33!$H$7:$H$874,BS_RE33!$S$7:$S$874,$BC$2,BS_RE33!$N$7:$N$874,I33,BS_RE33!$P$7:$P$874,'30 days CF Table(GBP)'!G33,BS_RE33!$F$7:$F$874,'30 days CF Table(GBP)'!$C$2)</f>
        <v>0</v>
      </c>
      <c r="BD33" s="379">
        <f>SUMIFS(BS_RE33!$H$7:$H$874,BS_RE33!$S$7:$S$874,$BD$2,BS_RE33!$N$7:$N$874,I33,BS_RE33!$P$7:$P$874,'30 days CF Table(GBP)'!G33,BS_RE33!$F$7:$F$874,'30 days CF Table(GBP)'!$C$2)</f>
        <v>0</v>
      </c>
      <c r="BE33" s="379">
        <f>SUMIFS(BS_RE33!$H$7:$H$874,BS_RE33!$S$7:$S$874,$BE$2,BS_RE33!$N$7:$N$874,I33,BS_RE33!$P$7:$P$874,'30 days CF Table(GBP)'!G33,BS_RE33!$F$7:$F$874,'30 days CF Table(GBP)'!$C$2)</f>
        <v>0</v>
      </c>
      <c r="BF33" s="379">
        <f>SUMIFS(BS_RE33!$H$7:$H$874,BS_RE33!$S$7:$S$874,$BF$2,BS_RE33!$N$7:$N$874,I33,BS_RE33!$P$7:$P$874,'30 days CF Table(GBP)'!G33,BS_RE33!$F$7:$F$874,'30 days CF Table(GBP)'!$C$2)</f>
        <v>0</v>
      </c>
      <c r="BG33" s="379">
        <f>SUMIFS(BS_RE33!$H$7:$H$874,BS_RE33!$S$7:$S$874,$BG$2,BS_RE33!$N$7:$N$874,I33,BS_RE33!$P$7:$P$874,'30 days CF Table(GBP)'!G33,BS_RE33!$F$7:$F$874,'30 days CF Table(GBP)'!$C$2)</f>
        <v>0</v>
      </c>
      <c r="BH33" s="379">
        <f>SUMIFS(BS_RE33!$H$7:$H$874,BS_RE33!$S$7:$S$874,$BH$2,BS_RE33!$N$7:$N$874,I33,BS_RE33!$P$7:$P$874,'30 days CF Table(GBP)'!G33,BS_RE33!$F$7:$F$874,'30 days CF Table(GBP)'!$C$2)</f>
        <v>0</v>
      </c>
      <c r="BI33" s="379">
        <f>SUMIFS(BS_RE33!$H$7:$H$874,BS_RE33!$S$7:$S$874,$BI$2,BS_RE33!$N$7:$N$874,I33,BS_RE33!$P$7:$P$874,'30 days CF Table(GBP)'!G33,BS_RE33!$F$7:$F$874,'30 days CF Table(GBP)'!$C$2)</f>
        <v>0</v>
      </c>
      <c r="BJ33" s="379">
        <f>SUMIFS(BS_RE33!$H$7:$H$874,BS_RE33!$S$7:$S$874,$BJ$2,BS_RE33!$N$7:$N$874,I33,BS_RE33!$P$7:$P$874,'30 days CF Table(GBP)'!G33,BS_RE33!$F$7:$F$874,'30 days CF Table(GBP)'!$C$2)</f>
        <v>0</v>
      </c>
      <c r="BK33" s="379">
        <f>SUMIFS(BS_RE33!$H$7:$H$874,BS_RE33!$S$7:$S$874,$BK$2,BS_RE33!$N$7:$N$874,I33,BS_RE33!$P$7:$P$874,'30 days CF Table(GBP)'!G33,BS_RE33!$F$7:$F$874,'30 days CF Table(GBP)'!$C$2)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Table(GBP)'!G34,BS_RE33!$F$7:$F$874,'30 days CF Table(GBP)'!$C$2)</f>
        <v>0</v>
      </c>
      <c r="M34" s="337">
        <f>SUMIFS(BS_RE33!$H$7:$H$874,BS_RE33!$S$7:$S$874,$M$2,BS_RE33!$N$7:$N$874,I34,BS_RE33!$P$7:$P$874,'30 days CF Table(GBP)'!G34,BS_RE33!$F$7:$F$874,'30 days CF Table(GBP)'!$C$2)</f>
        <v>0</v>
      </c>
      <c r="N34" s="337">
        <f>SUMIFS(BS_RE33!$H$7:$H$874,BS_RE33!$S$7:$S$874,$N$2,BS_RE33!$N$7:$N$874,I34,BS_RE33!$P$7:$P$874,'30 days CF Table(GBP)'!G34,BS_RE33!$F$7:$F$874,'30 days CF Table(GBP)'!$C$2)</f>
        <v>0</v>
      </c>
      <c r="O34" s="337">
        <f>SUMIFS(BS_RE33!$H$7:$H$874,BS_RE33!$S$7:$S$874,$O$2,BS_RE33!$N$7:$N$874,I34,BS_RE33!$P$7:$P$874,'30 days CF Table(GBP)'!G34,BS_RE33!$F$7:$F$874,'30 days CF Table(GBP)'!$C$2)</f>
        <v>0</v>
      </c>
      <c r="P34" s="337">
        <f>SUMIFS(BS_RE33!$H$7:$H$874,BS_RE33!$S$7:$S$874,$P$2,BS_RE33!$N$7:$N$874,I34,BS_RE33!$P$7:$P$874,'30 days CF Table(GBP)'!G34,BS_RE33!$F$7:$F$874,'30 days CF Table(GBP)'!$C$2)</f>
        <v>0</v>
      </c>
      <c r="Q34" s="337">
        <f>SUMIFS(BS_RE33!$H$7:$H$874,BS_RE33!$S$7:$S$874,$Q$2,BS_RE33!$N$7:$N$874,I34,BS_RE33!$P$7:$P$874,'30 days CF Table(GBP)'!G34,BS_RE33!$F$7:$F$874,'30 days CF Table(GBP)'!$C$2)</f>
        <v>0</v>
      </c>
      <c r="R34" s="337">
        <f>SUMIFS(BS_RE33!$H$7:$H$874,BS_RE33!$S$7:$S$874,$R$2,BS_RE33!$N$7:$N$874,I34,BS_RE33!$P$7:$P$874,'30 days CF Table(GBP)'!G34,BS_RE33!$F$7:$F$874,'30 days CF Table(GBP)'!$C$2)</f>
        <v>0</v>
      </c>
      <c r="S34" s="337">
        <f>SUMIFS(BS_RE33!$H$7:$H$874,BS_RE33!$S$7:$S$874,$S$2,BS_RE33!$N$7:$N$874,I34,BS_RE33!$P$7:$P$874,'30 days CF Table(GBP)'!G34,BS_RE33!$F$7:$F$874,'30 days CF Table(GBP)'!$C$2)</f>
        <v>0</v>
      </c>
      <c r="T34" s="337">
        <f>SUMIFS(BS_RE33!$H$7:$H$874,BS_RE33!$S$7:$S$874,$T$2,BS_RE33!$N$7:$N$874,I34,BS_RE33!$P$7:$P$874,'30 days CF Table(GBP)'!G34,BS_RE33!$F$7:$F$874,'30 days CF Table(GBP)'!$C$2)</f>
        <v>0</v>
      </c>
      <c r="U34" s="337">
        <f>SUMIFS(BS_RE33!$H$7:$H$874,BS_RE33!$S$7:$S$874,$U$2,BS_RE33!$N$7:$N$874,I34,BS_RE33!$P$7:$P$874,'30 days CF Table(GBP)'!G34,BS_RE33!$F$7:$F$874,'30 days CF Table(GBP)'!$C$2)</f>
        <v>0</v>
      </c>
      <c r="V34" s="337">
        <f>SUMIFS(BS_RE33!$H$7:$H$874,BS_RE33!$S$7:$S$874,$V$2,BS_RE33!$N$7:$N$874,I34,BS_RE33!$P$7:$P$874,'30 days CF Table(GBP)'!G34,BS_RE33!$F$7:$F$874,'30 days CF Table(GBP)'!$C$2)</f>
        <v>0</v>
      </c>
      <c r="W34" s="337">
        <f>SUMIFS(BS_RE33!$H$7:$H$874,BS_RE33!$S$7:$S$874,$W$2,BS_RE33!$N$7:$N$874,I34,BS_RE33!$P$7:$P$874,'30 days CF Table(GBP)'!G34,BS_RE33!$F$7:$F$874,'30 days CF Table(GBP)'!$C$2)</f>
        <v>0</v>
      </c>
      <c r="X34" s="337">
        <f>SUMIFS(BS_RE33!$H$7:$H$874,BS_RE33!$S$7:$S$874,$X$2,BS_RE33!$N$7:$N$874,I34,BS_RE33!$P$7:$P$874,'30 days CF Table(GBP)'!G34,BS_RE33!$F$7:$F$874,'30 days CF Table(GBP)'!$C$2)</f>
        <v>0</v>
      </c>
      <c r="Y34" s="337">
        <f>SUMIFS(BS_RE33!$H$7:$H$874,BS_RE33!$S$7:$S$874,$Y$2,BS_RE33!$N$7:$N$874,I34,BS_RE33!$P$7:$P$874,'30 days CF Table(GBP)'!G34,BS_RE33!$F$7:$F$874,'30 days CF Table(GBP)'!$C$2)</f>
        <v>0</v>
      </c>
      <c r="Z34" s="337">
        <f>SUMIFS(BS_RE33!$H$7:$H$874,BS_RE33!$S$7:$S$874,$Z$2,BS_RE33!$N$7:$N$874,I34,BS_RE33!$P$7:$P$874,'30 days CF Table(GBP)'!G34,BS_RE33!$F$7:$F$874,'30 days CF Table(GBP)'!$C$2)</f>
        <v>0</v>
      </c>
      <c r="AA34" s="337">
        <f>SUMIFS(BS_RE33!$H$7:$H$874,BS_RE33!$S$7:$S$874,$AA$2,BS_RE33!$N$7:$N$874,I34,BS_RE33!$P$7:$P$874,'30 days CF Table(GBP)'!G34,BS_RE33!$F$7:$F$874,'30 days CF Table(GBP)'!$C$2)</f>
        <v>0</v>
      </c>
      <c r="AB34" s="337">
        <f>SUMIFS(BS_RE33!$H$7:$H$874,BS_RE33!$S$7:$S$874,$AB$2,BS_RE33!$N$7:$N$874,I34,BS_RE33!$P$7:$P$874,'30 days CF Table(GBP)'!G34,BS_RE33!$F$7:$F$874,'30 days CF Table(GBP)'!$C$2)</f>
        <v>0</v>
      </c>
      <c r="AC34" s="337">
        <f>SUMIFS(BS_RE33!$H$7:$H$874,BS_RE33!$S$7:$S$874,$AC$2,BS_RE33!$N$7:$N$874,I34,BS_RE33!$P$7:$P$874,'30 days CF Table(GBP)'!G34,BS_RE33!$F$7:$F$874,'30 days CF Table(GBP)'!$C$2)</f>
        <v>0</v>
      </c>
      <c r="AD34" s="337">
        <f>SUMIFS(BS_RE33!$H$7:$H$874,BS_RE33!$S$7:$S$874,$AD$2,BS_RE33!$N$7:$N$874,I34,BS_RE33!$P$7:$P$874,'30 days CF Table(GBP)'!G34,BS_RE33!$F$7:$F$874,'30 days CF Table(GBP)'!$C$2)</f>
        <v>0</v>
      </c>
      <c r="AE34" s="337">
        <f>SUMIFS(BS_RE33!$H$7:$H$874,BS_RE33!$S$7:$S$874,$AE$2,BS_RE33!$N$7:$N$874,I34,BS_RE33!$P$7:$P$874,'30 days CF Table(GBP)'!G34,BS_RE33!$F$7:$F$874,'30 days CF Table(GBP)'!$C$2)</f>
        <v>0</v>
      </c>
      <c r="AF34" s="337">
        <f>SUMIFS(BS_RE33!$H$7:$H$874,BS_RE33!$S$7:$S$874,$AF$2,BS_RE33!$N$7:$N$874,I34,BS_RE33!$P$7:$P$874,'30 days CF Table(GBP)'!G34,BS_RE33!$F$7:$F$874,'30 days CF Table(GBP)'!$C$2)</f>
        <v>0</v>
      </c>
      <c r="AG34" s="337">
        <f>SUMIFS(BS_RE33!$H$7:$H$874,BS_RE33!$S$7:$S$874,$AG$2,BS_RE33!$N$7:$N$874,I34,BS_RE33!$P$7:$P$874,'30 days CF Table(GBP)'!G34,BS_RE33!$F$7:$F$874,'30 days CF Table(GBP)'!$C$2)</f>
        <v>0</v>
      </c>
      <c r="AH34" s="337">
        <f>SUMIFS(BS_RE33!$H$7:$H$874,BS_RE33!$S$7:$S$874,$AH$2,BS_RE33!$N$7:$N$874,I34,BS_RE33!$P$7:$P$874,'30 days CF Table(GBP)'!G34,BS_RE33!$F$7:$F$874,'30 days CF Table(GBP)'!$C$2)</f>
        <v>0</v>
      </c>
      <c r="AI34" s="337">
        <f>SUMIFS(BS_RE33!$H$7:$H$874,BS_RE33!$S$7:$S$874,$AI$2,BS_RE33!$N$7:$N$874,I34,BS_RE33!$P$7:$P$874,'30 days CF Table(GBP)'!G34,BS_RE33!$F$7:$F$874,'30 days CF Table(GBP)'!$C$2)</f>
        <v>0</v>
      </c>
      <c r="AJ34" s="337">
        <f>SUMIFS(BS_RE33!$H$7:$H$874,BS_RE33!$S$7:$S$874,$AJ$2,BS_RE33!$N$7:$N$874,I34,BS_RE33!$P$7:$P$874,'30 days CF Table(GBP)'!G34,BS_RE33!$F$7:$F$874,'30 days CF Table(GBP)'!$C$2)</f>
        <v>0</v>
      </c>
      <c r="AK34" s="337">
        <f>SUMIFS(BS_RE33!$H$7:$H$874,BS_RE33!$S$7:$S$874,$AK$2,BS_RE33!$N$7:$N$874,I34,BS_RE33!$P$7:$P$874,'30 days CF Table(GBP)'!G34,BS_RE33!$F$7:$F$874,'30 days CF Table(GBP)'!$C$2)</f>
        <v>0</v>
      </c>
      <c r="AL34" s="337">
        <f>SUMIFS(BS_RE33!$H$7:$H$874,BS_RE33!$S$7:$S$874,$AL$2,BS_RE33!$N$7:$N$874,I34,BS_RE33!$P$7:$P$874,'30 days CF Table(GBP)'!G34,BS_RE33!$F$7:$F$874,'30 days CF Table(GBP)'!$C$2)</f>
        <v>0</v>
      </c>
      <c r="AM34" s="337">
        <f>SUMIFS(BS_RE33!$H$7:$H$874,BS_RE33!$S$7:$S$874,$AM$2,BS_RE33!$N$7:$N$874,I34,BS_RE33!$P$7:$P$874,'30 days CF Table(GBP)'!G34,BS_RE33!$F$7:$F$874,'30 days CF Table(GBP)'!$C$2)</f>
        <v>0</v>
      </c>
      <c r="AN34" s="337">
        <f>SUMIFS(BS_RE33!$H$7:$H$874,BS_RE33!$S$7:$S$874,$AN$2,BS_RE33!$N$7:$N$874,I34,BS_RE33!$P$7:$P$874,'30 days CF Table(GBP)'!G34,BS_RE33!$F$7:$F$874,'30 days CF Table(GBP)'!$C$2)</f>
        <v>0</v>
      </c>
      <c r="AO34" s="337">
        <f>SUMIFS(BS_RE33!$H$7:$H$874,BS_RE33!$S$7:$S$874,$AO$2,BS_RE33!$N$7:$N$874,I34,BS_RE33!$P$7:$P$874,'30 days CF Table(GBP)'!G34,BS_RE33!$F$7:$F$874,'30 days CF Table(GBP)'!$C$2)</f>
        <v>0</v>
      </c>
      <c r="AP34" s="338">
        <f>SUMIFS(BS_RE33!$H$7:$H$874,BS_RE33!$S$7:$S$874,$AP$2,BS_RE33!$N$7:$N$874,I34,BS_RE33!$P$7:$P$874,'30 days CF Table(GBP)'!G34,BS_RE33!$F$7:$F$874,'30 days CF Table(GBP)'!$C$2)</f>
        <v>0</v>
      </c>
      <c r="AR34" s="379">
        <f>SUMIFS(BS_RE33!$H$7:$H$874,BS_RE33!$S$7:$S$874,$AR$2,BS_RE33!$N$7:$N$874,I34,BS_RE33!$P$7:$P$874,'30 days CF Table(GBP)'!G34,BS_RE33!$F$7:$F$874,'30 days CF Table(GBP)'!$C$2)</f>
        <v>0</v>
      </c>
      <c r="AS34" s="379">
        <f>SUMIFS(BS_RE33!$H$7:$H$874,BS_RE33!$S$7:$S$874,$AS$2,BS_RE33!$N$7:$N$874,I34,BS_RE33!$P$7:$P$874,'30 days CF Table(GBP)'!G34,BS_RE33!$F$7:$F$874,'30 days CF Table(GBP)'!$C$2)</f>
        <v>0</v>
      </c>
      <c r="AT34" s="379">
        <f>SUMIFS(BS_RE33!$H$7:$H$874,BS_RE33!$S$7:$S$874,$AT$2,BS_RE33!$N$7:$N$874,I34,BS_RE33!$P$7:$P$874,'30 days CF Table(GBP)'!G34,BS_RE33!$F$7:$F$874,'30 days CF Table(GBP)'!$C$2)</f>
        <v>0</v>
      </c>
      <c r="AU34" s="379">
        <f>SUMIFS(BS_RE33!$H$7:$H$874,BS_RE33!$S$7:$S$874,$AU$2,BS_RE33!$N$7:$N$874,I34,BS_RE33!$P$7:$P$874,'30 days CF Table(GBP)'!G34,BS_RE33!$F$7:$F$874,'30 days CF Table(GBP)'!$C$2)</f>
        <v>0</v>
      </c>
      <c r="AV34" s="379">
        <f>SUMIFS(BS_RE33!$H$7:$H$874,BS_RE33!$S$7:$S$874,$AV$2,BS_RE33!$N$7:$N$874,I34,BS_RE33!$P$7:$P$874,'30 days CF Table(GBP)'!G34,BS_RE33!$F$7:$F$874,'30 days CF Table(GBP)'!$C$2)</f>
        <v>0</v>
      </c>
      <c r="AW34" s="379">
        <f>SUMIFS(BS_RE33!$H$7:$H$874,BS_RE33!$S$7:$S$874,$AW$2,BS_RE33!$N$7:$N$874,I34,BS_RE33!$P$7:$P$874,'30 days CF Table(GBP)'!G34,BS_RE33!$F$7:$F$874,'30 days CF Table(GBP)'!$C$2)</f>
        <v>0</v>
      </c>
      <c r="AX34" s="379">
        <f>SUMIFS(BS_RE33!$H$7:$H$874,BS_RE33!$S$7:$S$874,$AX$2,BS_RE33!$N$7:$N$874,I34,BS_RE33!$P$7:$P$874,'30 days CF Table(GBP)'!G34,BS_RE33!$F$7:$F$874,'30 days CF Table(GBP)'!$C$2)</f>
        <v>0</v>
      </c>
      <c r="AY34" s="379">
        <f>SUMIFS(BS_RE33!$H$7:$H$874,BS_RE33!$S$7:$S$874,$AY$2,BS_RE33!$N$7:$N$874,I34,BS_RE33!$P$7:$P$874,'30 days CF Table(GBP)'!G34,BS_RE33!$F$7:$F$874,'30 days CF Table(GBP)'!$C$2)</f>
        <v>0</v>
      </c>
      <c r="AZ34" s="379">
        <f>SUMIFS(BS_RE33!$H$7:$H$874,BS_RE33!$S$7:$S$874,$AZ$2,BS_RE33!$N$7:$N$874,I34,BS_RE33!$P$7:$P$874,'30 days CF Table(GBP)'!G34,BS_RE33!$F$7:$F$874,'30 days CF Table(GBP)'!$C$2)</f>
        <v>0</v>
      </c>
      <c r="BA34" s="379">
        <f>SUMIFS(BS_RE33!$H$7:$H$874,BS_RE33!$S$7:$S$874,$BA$2,BS_RE33!$N$7:$N$874,I34,BS_RE33!$P$7:$P$874,'30 days CF Table(GBP)'!G34,BS_RE33!$F$7:$F$874,'30 days CF Table(GBP)'!$C$2)</f>
        <v>0</v>
      </c>
      <c r="BB34" s="379">
        <f>SUMIFS(BS_RE33!$H$7:$H$874,BS_RE33!$S$7:$S$874,$BB$2,BS_RE33!$N$7:$N$874,I34,BS_RE33!$P$7:$P$874,'30 days CF Table(GBP)'!G34,BS_RE33!$F$7:$F$874,'30 days CF Table(GBP)'!$C$2)</f>
        <v>0</v>
      </c>
      <c r="BC34" s="379">
        <f>SUMIFS(BS_RE33!$H$7:$H$874,BS_RE33!$S$7:$S$874,$BC$2,BS_RE33!$N$7:$N$874,I34,BS_RE33!$P$7:$P$874,'30 days CF Table(GBP)'!G34,BS_RE33!$F$7:$F$874,'30 days CF Table(GBP)'!$C$2)</f>
        <v>0</v>
      </c>
      <c r="BD34" s="379">
        <f>SUMIFS(BS_RE33!$H$7:$H$874,BS_RE33!$S$7:$S$874,$BD$2,BS_RE33!$N$7:$N$874,I34,BS_RE33!$P$7:$P$874,'30 days CF Table(GBP)'!G34,BS_RE33!$F$7:$F$874,'30 days CF Table(GBP)'!$C$2)</f>
        <v>0</v>
      </c>
      <c r="BE34" s="379">
        <f>SUMIFS(BS_RE33!$H$7:$H$874,BS_RE33!$S$7:$S$874,$BE$2,BS_RE33!$N$7:$N$874,I34,BS_RE33!$P$7:$P$874,'30 days CF Table(GBP)'!G34,BS_RE33!$F$7:$F$874,'30 days CF Table(GBP)'!$C$2)</f>
        <v>0</v>
      </c>
      <c r="BF34" s="379">
        <f>SUMIFS(BS_RE33!$H$7:$H$874,BS_RE33!$S$7:$S$874,$BF$2,BS_RE33!$N$7:$N$874,I34,BS_RE33!$P$7:$P$874,'30 days CF Table(GBP)'!G34,BS_RE33!$F$7:$F$874,'30 days CF Table(GBP)'!$C$2)</f>
        <v>0</v>
      </c>
      <c r="BG34" s="379">
        <f>SUMIFS(BS_RE33!$H$7:$H$874,BS_RE33!$S$7:$S$874,$BG$2,BS_RE33!$N$7:$N$874,I34,BS_RE33!$P$7:$P$874,'30 days CF Table(GBP)'!G34,BS_RE33!$F$7:$F$874,'30 days CF Table(GBP)'!$C$2)</f>
        <v>0</v>
      </c>
      <c r="BH34" s="379">
        <f>SUMIFS(BS_RE33!$H$7:$H$874,BS_RE33!$S$7:$S$874,$BH$2,BS_RE33!$N$7:$N$874,I34,BS_RE33!$P$7:$P$874,'30 days CF Table(GBP)'!G34,BS_RE33!$F$7:$F$874,'30 days CF Table(GBP)'!$C$2)</f>
        <v>0</v>
      </c>
      <c r="BI34" s="379">
        <f>SUMIFS(BS_RE33!$H$7:$H$874,BS_RE33!$S$7:$S$874,$BI$2,BS_RE33!$N$7:$N$874,I34,BS_RE33!$P$7:$P$874,'30 days CF Table(GBP)'!G34,BS_RE33!$F$7:$F$874,'30 days CF Table(GBP)'!$C$2)</f>
        <v>0</v>
      </c>
      <c r="BJ34" s="379">
        <f>SUMIFS(BS_RE33!$H$7:$H$874,BS_RE33!$S$7:$S$874,$BJ$2,BS_RE33!$N$7:$N$874,I34,BS_RE33!$P$7:$P$874,'30 days CF Table(GBP)'!G34,BS_RE33!$F$7:$F$874,'30 days CF Table(GBP)'!$C$2)</f>
        <v>0</v>
      </c>
      <c r="BK34" s="379">
        <f>SUMIFS(BS_RE33!$H$7:$H$874,BS_RE33!$S$7:$S$874,$BK$2,BS_RE33!$N$7:$N$874,I34,BS_RE33!$P$7:$P$874,'30 days CF Table(GBP)'!G34,BS_RE33!$F$7:$F$874,'30 days CF Table(GBP)'!$C$2)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Table(GBP)'!G35,BS_RE33!$F$7:$F$874,'30 days CF Table(GBP)'!$C$2)</f>
        <v>0</v>
      </c>
      <c r="M35" s="337">
        <f>SUMIFS(BS_RE33!$H$7:$H$874,BS_RE33!$S$7:$S$874,$M$2,BS_RE33!$N$7:$N$874,I35,BS_RE33!$P$7:$P$874,'30 days CF Table(GBP)'!G35,BS_RE33!$F$7:$F$874,'30 days CF Table(GBP)'!$C$2)</f>
        <v>0</v>
      </c>
      <c r="N35" s="337">
        <f>SUMIFS(BS_RE33!$H$7:$H$874,BS_RE33!$S$7:$S$874,$N$2,BS_RE33!$N$7:$N$874,I35,BS_RE33!$P$7:$P$874,'30 days CF Table(GBP)'!G35,BS_RE33!$F$7:$F$874,'30 days CF Table(GBP)'!$C$2)</f>
        <v>0</v>
      </c>
      <c r="O35" s="337">
        <f>SUMIFS(BS_RE33!$H$7:$H$874,BS_RE33!$S$7:$S$874,$O$2,BS_RE33!$N$7:$N$874,I35,BS_RE33!$P$7:$P$874,'30 days CF Table(GBP)'!G35,BS_RE33!$F$7:$F$874,'30 days CF Table(GBP)'!$C$2)</f>
        <v>0</v>
      </c>
      <c r="P35" s="337">
        <f>SUMIFS(BS_RE33!$H$7:$H$874,BS_RE33!$S$7:$S$874,$P$2,BS_RE33!$N$7:$N$874,I35,BS_RE33!$P$7:$P$874,'30 days CF Table(GBP)'!G35,BS_RE33!$F$7:$F$874,'30 days CF Table(GBP)'!$C$2)</f>
        <v>0</v>
      </c>
      <c r="Q35" s="337">
        <f>SUMIFS(BS_RE33!$H$7:$H$874,BS_RE33!$S$7:$S$874,$Q$2,BS_RE33!$N$7:$N$874,I35,BS_RE33!$P$7:$P$874,'30 days CF Table(GBP)'!G35,BS_RE33!$F$7:$F$874,'30 days CF Table(GBP)'!$C$2)</f>
        <v>0</v>
      </c>
      <c r="R35" s="337">
        <f>SUMIFS(BS_RE33!$H$7:$H$874,BS_RE33!$S$7:$S$874,$R$2,BS_RE33!$N$7:$N$874,I35,BS_RE33!$P$7:$P$874,'30 days CF Table(GBP)'!G35,BS_RE33!$F$7:$F$874,'30 days CF Table(GBP)'!$C$2)</f>
        <v>0</v>
      </c>
      <c r="S35" s="337">
        <f>SUMIFS(BS_RE33!$H$7:$H$874,BS_RE33!$S$7:$S$874,$S$2,BS_RE33!$N$7:$N$874,I35,BS_RE33!$P$7:$P$874,'30 days CF Table(GBP)'!G35,BS_RE33!$F$7:$F$874,'30 days CF Table(GBP)'!$C$2)</f>
        <v>0</v>
      </c>
      <c r="T35" s="337">
        <f>SUMIFS(BS_RE33!$H$7:$H$874,BS_RE33!$S$7:$S$874,$T$2,BS_RE33!$N$7:$N$874,I35,BS_RE33!$P$7:$P$874,'30 days CF Table(GBP)'!G35,BS_RE33!$F$7:$F$874,'30 days CF Table(GBP)'!$C$2)</f>
        <v>0</v>
      </c>
      <c r="U35" s="337">
        <f>SUMIFS(BS_RE33!$H$7:$H$874,BS_RE33!$S$7:$S$874,$U$2,BS_RE33!$N$7:$N$874,I35,BS_RE33!$P$7:$P$874,'30 days CF Table(GBP)'!G35,BS_RE33!$F$7:$F$874,'30 days CF Table(GBP)'!$C$2)</f>
        <v>0</v>
      </c>
      <c r="V35" s="337">
        <f>SUMIFS(BS_RE33!$H$7:$H$874,BS_RE33!$S$7:$S$874,$V$2,BS_RE33!$N$7:$N$874,I35,BS_RE33!$P$7:$P$874,'30 days CF Table(GBP)'!G35,BS_RE33!$F$7:$F$874,'30 days CF Table(GBP)'!$C$2)</f>
        <v>0</v>
      </c>
      <c r="W35" s="337">
        <f>SUMIFS(BS_RE33!$H$7:$H$874,BS_RE33!$S$7:$S$874,$W$2,BS_RE33!$N$7:$N$874,I35,BS_RE33!$P$7:$P$874,'30 days CF Table(GBP)'!G35,BS_RE33!$F$7:$F$874,'30 days CF Table(GBP)'!$C$2)</f>
        <v>0</v>
      </c>
      <c r="X35" s="337">
        <f>SUMIFS(BS_RE33!$H$7:$H$874,BS_RE33!$S$7:$S$874,$X$2,BS_RE33!$N$7:$N$874,I35,BS_RE33!$P$7:$P$874,'30 days CF Table(GBP)'!G35,BS_RE33!$F$7:$F$874,'30 days CF Table(GBP)'!$C$2)</f>
        <v>0</v>
      </c>
      <c r="Y35" s="337">
        <f>SUMIFS(BS_RE33!$H$7:$H$874,BS_RE33!$S$7:$S$874,$Y$2,BS_RE33!$N$7:$N$874,I35,BS_RE33!$P$7:$P$874,'30 days CF Table(GBP)'!G35,BS_RE33!$F$7:$F$874,'30 days CF Table(GBP)'!$C$2)</f>
        <v>0</v>
      </c>
      <c r="Z35" s="337">
        <f>SUMIFS(BS_RE33!$H$7:$H$874,BS_RE33!$S$7:$S$874,$Z$2,BS_RE33!$N$7:$N$874,I35,BS_RE33!$P$7:$P$874,'30 days CF Table(GBP)'!G35,BS_RE33!$F$7:$F$874,'30 days CF Table(GBP)'!$C$2)</f>
        <v>0</v>
      </c>
      <c r="AA35" s="337">
        <f>SUMIFS(BS_RE33!$H$7:$H$874,BS_RE33!$S$7:$S$874,$AA$2,BS_RE33!$N$7:$N$874,I35,BS_RE33!$P$7:$P$874,'30 days CF Table(GBP)'!G35,BS_RE33!$F$7:$F$874,'30 days CF Table(GBP)'!$C$2)</f>
        <v>0</v>
      </c>
      <c r="AB35" s="337">
        <f>SUMIFS(BS_RE33!$H$7:$H$874,BS_RE33!$S$7:$S$874,$AB$2,BS_RE33!$N$7:$N$874,I35,BS_RE33!$P$7:$P$874,'30 days CF Table(GBP)'!G35,BS_RE33!$F$7:$F$874,'30 days CF Table(GBP)'!$C$2)</f>
        <v>0</v>
      </c>
      <c r="AC35" s="337">
        <f>SUMIFS(BS_RE33!$H$7:$H$874,BS_RE33!$S$7:$S$874,$AC$2,BS_RE33!$N$7:$N$874,I35,BS_RE33!$P$7:$P$874,'30 days CF Table(GBP)'!G35,BS_RE33!$F$7:$F$874,'30 days CF Table(GBP)'!$C$2)</f>
        <v>0</v>
      </c>
      <c r="AD35" s="337">
        <f>SUMIFS(BS_RE33!$H$7:$H$874,BS_RE33!$S$7:$S$874,$AD$2,BS_RE33!$N$7:$N$874,I35,BS_RE33!$P$7:$P$874,'30 days CF Table(GBP)'!G35,BS_RE33!$F$7:$F$874,'30 days CF Table(GBP)'!$C$2)</f>
        <v>0</v>
      </c>
      <c r="AE35" s="337">
        <f>SUMIFS(BS_RE33!$H$7:$H$874,BS_RE33!$S$7:$S$874,$AE$2,BS_RE33!$N$7:$N$874,I35,BS_RE33!$P$7:$P$874,'30 days CF Table(GBP)'!G35,BS_RE33!$F$7:$F$874,'30 days CF Table(GBP)'!$C$2)</f>
        <v>0</v>
      </c>
      <c r="AF35" s="337">
        <f>SUMIFS(BS_RE33!$H$7:$H$874,BS_RE33!$S$7:$S$874,$AF$2,BS_RE33!$N$7:$N$874,I35,BS_RE33!$P$7:$P$874,'30 days CF Table(GBP)'!G35,BS_RE33!$F$7:$F$874,'30 days CF Table(GBP)'!$C$2)</f>
        <v>0</v>
      </c>
      <c r="AG35" s="337">
        <f>SUMIFS(BS_RE33!$H$7:$H$874,BS_RE33!$S$7:$S$874,$AG$2,BS_RE33!$N$7:$N$874,I35,BS_RE33!$P$7:$P$874,'30 days CF Table(GBP)'!G35,BS_RE33!$F$7:$F$874,'30 days CF Table(GBP)'!$C$2)</f>
        <v>0</v>
      </c>
      <c r="AH35" s="337">
        <f>SUMIFS(BS_RE33!$H$7:$H$874,BS_RE33!$S$7:$S$874,$AH$2,BS_RE33!$N$7:$N$874,I35,BS_RE33!$P$7:$P$874,'30 days CF Table(GBP)'!G35,BS_RE33!$F$7:$F$874,'30 days CF Table(GBP)'!$C$2)</f>
        <v>0</v>
      </c>
      <c r="AI35" s="337">
        <f>SUMIFS(BS_RE33!$H$7:$H$874,BS_RE33!$S$7:$S$874,$AI$2,BS_RE33!$N$7:$N$874,I35,BS_RE33!$P$7:$P$874,'30 days CF Table(GBP)'!G35,BS_RE33!$F$7:$F$874,'30 days CF Table(GBP)'!$C$2)</f>
        <v>0</v>
      </c>
      <c r="AJ35" s="337">
        <f>SUMIFS(BS_RE33!$H$7:$H$874,BS_RE33!$S$7:$S$874,$AJ$2,BS_RE33!$N$7:$N$874,I35,BS_RE33!$P$7:$P$874,'30 days CF Table(GBP)'!G35,BS_RE33!$F$7:$F$874,'30 days CF Table(GBP)'!$C$2)</f>
        <v>0</v>
      </c>
      <c r="AK35" s="337">
        <f>SUMIFS(BS_RE33!$H$7:$H$874,BS_RE33!$S$7:$S$874,$AK$2,BS_RE33!$N$7:$N$874,I35,BS_RE33!$P$7:$P$874,'30 days CF Table(GBP)'!G35,BS_RE33!$F$7:$F$874,'30 days CF Table(GBP)'!$C$2)</f>
        <v>0</v>
      </c>
      <c r="AL35" s="337">
        <f>SUMIFS(BS_RE33!$H$7:$H$874,BS_RE33!$S$7:$S$874,$AL$2,BS_RE33!$N$7:$N$874,I35,BS_RE33!$P$7:$P$874,'30 days CF Table(GBP)'!G35,BS_RE33!$F$7:$F$874,'30 days CF Table(GBP)'!$C$2)</f>
        <v>0</v>
      </c>
      <c r="AM35" s="337">
        <f>SUMIFS(BS_RE33!$H$7:$H$874,BS_RE33!$S$7:$S$874,$AM$2,BS_RE33!$N$7:$N$874,I35,BS_RE33!$P$7:$P$874,'30 days CF Table(GBP)'!G35,BS_RE33!$F$7:$F$874,'30 days CF Table(GBP)'!$C$2)</f>
        <v>0</v>
      </c>
      <c r="AN35" s="337">
        <f>SUMIFS(BS_RE33!$H$7:$H$874,BS_RE33!$S$7:$S$874,$AN$2,BS_RE33!$N$7:$N$874,I35,BS_RE33!$P$7:$P$874,'30 days CF Table(GBP)'!G35,BS_RE33!$F$7:$F$874,'30 days CF Table(GBP)'!$C$2)</f>
        <v>0</v>
      </c>
      <c r="AO35" s="337">
        <f>SUMIFS(BS_RE33!$H$7:$H$874,BS_RE33!$S$7:$S$874,$AO$2,BS_RE33!$N$7:$N$874,I35,BS_RE33!$P$7:$P$874,'30 days CF Table(GBP)'!G35,BS_RE33!$F$7:$F$874,'30 days CF Table(GBP)'!$C$2)</f>
        <v>0</v>
      </c>
      <c r="AP35" s="338">
        <f>SUMIFS(BS_RE33!$H$7:$H$874,BS_RE33!$S$7:$S$874,$AP$2,BS_RE33!$N$7:$N$874,I35,BS_RE33!$P$7:$P$874,'30 days CF Table(GBP)'!G35,BS_RE33!$F$7:$F$874,'30 days CF Table(GBP)'!$C$2)</f>
        <v>0</v>
      </c>
      <c r="AR35" s="379">
        <f>SUMIFS(BS_RE33!$H$7:$H$874,BS_RE33!$S$7:$S$874,$AR$2,BS_RE33!$N$7:$N$874,I35,BS_RE33!$P$7:$P$874,'30 days CF Table(GBP)'!G35,BS_RE33!$F$7:$F$874,'30 days CF Table(GBP)'!$C$2)</f>
        <v>0</v>
      </c>
      <c r="AS35" s="379">
        <f>SUMIFS(BS_RE33!$H$7:$H$874,BS_RE33!$S$7:$S$874,$AS$2,BS_RE33!$N$7:$N$874,I35,BS_RE33!$P$7:$P$874,'30 days CF Table(GBP)'!G35,BS_RE33!$F$7:$F$874,'30 days CF Table(GBP)'!$C$2)</f>
        <v>0</v>
      </c>
      <c r="AT35" s="379">
        <f>SUMIFS(BS_RE33!$H$7:$H$874,BS_RE33!$S$7:$S$874,$AT$2,BS_RE33!$N$7:$N$874,I35,BS_RE33!$P$7:$P$874,'30 days CF Table(GBP)'!G35,BS_RE33!$F$7:$F$874,'30 days CF Table(GBP)'!$C$2)</f>
        <v>0</v>
      </c>
      <c r="AU35" s="379">
        <f>SUMIFS(BS_RE33!$H$7:$H$874,BS_RE33!$S$7:$S$874,$AU$2,BS_RE33!$N$7:$N$874,I35,BS_RE33!$P$7:$P$874,'30 days CF Table(GBP)'!G35,BS_RE33!$F$7:$F$874,'30 days CF Table(GBP)'!$C$2)</f>
        <v>0</v>
      </c>
      <c r="AV35" s="379">
        <f>SUMIFS(BS_RE33!$H$7:$H$874,BS_RE33!$S$7:$S$874,$AV$2,BS_RE33!$N$7:$N$874,I35,BS_RE33!$P$7:$P$874,'30 days CF Table(GBP)'!G35,BS_RE33!$F$7:$F$874,'30 days CF Table(GBP)'!$C$2)</f>
        <v>0</v>
      </c>
      <c r="AW35" s="379">
        <f>SUMIFS(BS_RE33!$H$7:$H$874,BS_RE33!$S$7:$S$874,$AW$2,BS_RE33!$N$7:$N$874,I35,BS_RE33!$P$7:$P$874,'30 days CF Table(GBP)'!G35,BS_RE33!$F$7:$F$874,'30 days CF Table(GBP)'!$C$2)</f>
        <v>0</v>
      </c>
      <c r="AX35" s="379">
        <f>SUMIFS(BS_RE33!$H$7:$H$874,BS_RE33!$S$7:$S$874,$AX$2,BS_RE33!$N$7:$N$874,I35,BS_RE33!$P$7:$P$874,'30 days CF Table(GBP)'!G35,BS_RE33!$F$7:$F$874,'30 days CF Table(GBP)'!$C$2)</f>
        <v>0</v>
      </c>
      <c r="AY35" s="379">
        <f>SUMIFS(BS_RE33!$H$7:$H$874,BS_RE33!$S$7:$S$874,$AY$2,BS_RE33!$N$7:$N$874,I35,BS_RE33!$P$7:$P$874,'30 days CF Table(GBP)'!G35,BS_RE33!$F$7:$F$874,'30 days CF Table(GBP)'!$C$2)</f>
        <v>0</v>
      </c>
      <c r="AZ35" s="379">
        <f>SUMIFS(BS_RE33!$H$7:$H$874,BS_RE33!$S$7:$S$874,$AZ$2,BS_RE33!$N$7:$N$874,I35,BS_RE33!$P$7:$P$874,'30 days CF Table(GBP)'!G35,BS_RE33!$F$7:$F$874,'30 days CF Table(GBP)'!$C$2)</f>
        <v>0</v>
      </c>
      <c r="BA35" s="379">
        <f>SUMIFS(BS_RE33!$H$7:$H$874,BS_RE33!$S$7:$S$874,$BA$2,BS_RE33!$N$7:$N$874,I35,BS_RE33!$P$7:$P$874,'30 days CF Table(GBP)'!G35,BS_RE33!$F$7:$F$874,'30 days CF Table(GBP)'!$C$2)</f>
        <v>0</v>
      </c>
      <c r="BB35" s="379">
        <f>SUMIFS(BS_RE33!$H$7:$H$874,BS_RE33!$S$7:$S$874,$BB$2,BS_RE33!$N$7:$N$874,I35,BS_RE33!$P$7:$P$874,'30 days CF Table(GBP)'!G35,BS_RE33!$F$7:$F$874,'30 days CF Table(GBP)'!$C$2)</f>
        <v>0</v>
      </c>
      <c r="BC35" s="379">
        <f>SUMIFS(BS_RE33!$H$7:$H$874,BS_RE33!$S$7:$S$874,$BC$2,BS_RE33!$N$7:$N$874,I35,BS_RE33!$P$7:$P$874,'30 days CF Table(GBP)'!G35,BS_RE33!$F$7:$F$874,'30 days CF Table(GBP)'!$C$2)</f>
        <v>0</v>
      </c>
      <c r="BD35" s="379">
        <f>SUMIFS(BS_RE33!$H$7:$H$874,BS_RE33!$S$7:$S$874,$BD$2,BS_RE33!$N$7:$N$874,I35,BS_RE33!$P$7:$P$874,'30 days CF Table(GBP)'!G35,BS_RE33!$F$7:$F$874,'30 days CF Table(GBP)'!$C$2)</f>
        <v>0</v>
      </c>
      <c r="BE35" s="379">
        <f>SUMIFS(BS_RE33!$H$7:$H$874,BS_RE33!$S$7:$S$874,$BE$2,BS_RE33!$N$7:$N$874,I35,BS_RE33!$P$7:$P$874,'30 days CF Table(GBP)'!G35,BS_RE33!$F$7:$F$874,'30 days CF Table(GBP)'!$C$2)</f>
        <v>0</v>
      </c>
      <c r="BF35" s="379">
        <f>SUMIFS(BS_RE33!$H$7:$H$874,BS_RE33!$S$7:$S$874,$BF$2,BS_RE33!$N$7:$N$874,I35,BS_RE33!$P$7:$P$874,'30 days CF Table(GBP)'!G35,BS_RE33!$F$7:$F$874,'30 days CF Table(GBP)'!$C$2)</f>
        <v>0</v>
      </c>
      <c r="BG35" s="379">
        <f>SUMIFS(BS_RE33!$H$7:$H$874,BS_RE33!$S$7:$S$874,$BG$2,BS_RE33!$N$7:$N$874,I35,BS_RE33!$P$7:$P$874,'30 days CF Table(GBP)'!G35,BS_RE33!$F$7:$F$874,'30 days CF Table(GBP)'!$C$2)</f>
        <v>0</v>
      </c>
      <c r="BH35" s="379">
        <f>SUMIFS(BS_RE33!$H$7:$H$874,BS_RE33!$S$7:$S$874,$BH$2,BS_RE33!$N$7:$N$874,I35,BS_RE33!$P$7:$P$874,'30 days CF Table(GBP)'!G35,BS_RE33!$F$7:$F$874,'30 days CF Table(GBP)'!$C$2)</f>
        <v>0</v>
      </c>
      <c r="BI35" s="379">
        <f>SUMIFS(BS_RE33!$H$7:$H$874,BS_RE33!$S$7:$S$874,$BI$2,BS_RE33!$N$7:$N$874,I35,BS_RE33!$P$7:$P$874,'30 days CF Table(GBP)'!G35,BS_RE33!$F$7:$F$874,'30 days CF Table(GBP)'!$C$2)</f>
        <v>0</v>
      </c>
      <c r="BJ35" s="379">
        <f>SUMIFS(BS_RE33!$H$7:$H$874,BS_RE33!$S$7:$S$874,$BJ$2,BS_RE33!$N$7:$N$874,I35,BS_RE33!$P$7:$P$874,'30 days CF Table(GBP)'!G35,BS_RE33!$F$7:$F$874,'30 days CF Table(GBP)'!$C$2)</f>
        <v>0</v>
      </c>
      <c r="BK35" s="379">
        <f>SUMIFS(BS_RE33!$H$7:$H$874,BS_RE33!$S$7:$S$874,$BK$2,BS_RE33!$N$7:$N$874,I35,BS_RE33!$P$7:$P$874,'30 days CF Table(GBP)'!G35,BS_RE33!$F$7:$F$874,'30 days CF Table(GBP)'!$C$2)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Table(GBP)'!G36,BS_RE33!$F$7:$F$874,'30 days CF Table(GBP)'!$C$2)</f>
        <v>0</v>
      </c>
      <c r="M36" s="337">
        <f>SUMIFS(BS_RE33!$H$7:$H$874,BS_RE33!$S$7:$S$874,$M$2,BS_RE33!$N$7:$N$874,I36,BS_RE33!$P$7:$P$874,'30 days CF Table(GBP)'!G36,BS_RE33!$F$7:$F$874,'30 days CF Table(GBP)'!$C$2)</f>
        <v>0</v>
      </c>
      <c r="N36" s="337">
        <f>SUMIFS(BS_RE33!$H$7:$H$874,BS_RE33!$S$7:$S$874,$N$2,BS_RE33!$N$7:$N$874,I36,BS_RE33!$P$7:$P$874,'30 days CF Table(GBP)'!G36,BS_RE33!$F$7:$F$874,'30 days CF Table(GBP)'!$C$2)</f>
        <v>0</v>
      </c>
      <c r="O36" s="337">
        <f>SUMIFS(BS_RE33!$H$7:$H$874,BS_RE33!$S$7:$S$874,$O$2,BS_RE33!$N$7:$N$874,I36,BS_RE33!$P$7:$P$874,'30 days CF Table(GBP)'!G36,BS_RE33!$F$7:$F$874,'30 days CF Table(GBP)'!$C$2)</f>
        <v>0</v>
      </c>
      <c r="P36" s="337">
        <f>SUMIFS(BS_RE33!$H$7:$H$874,BS_RE33!$S$7:$S$874,$P$2,BS_RE33!$N$7:$N$874,I36,BS_RE33!$P$7:$P$874,'30 days CF Table(GBP)'!G36,BS_RE33!$F$7:$F$874,'30 days CF Table(GBP)'!$C$2)</f>
        <v>0</v>
      </c>
      <c r="Q36" s="337">
        <f>SUMIFS(BS_RE33!$H$7:$H$874,BS_RE33!$S$7:$S$874,$Q$2,BS_RE33!$N$7:$N$874,I36,BS_RE33!$P$7:$P$874,'30 days CF Table(GBP)'!G36,BS_RE33!$F$7:$F$874,'30 days CF Table(GBP)'!$C$2)</f>
        <v>0</v>
      </c>
      <c r="R36" s="337">
        <f>SUMIFS(BS_RE33!$H$7:$H$874,BS_RE33!$S$7:$S$874,$R$2,BS_RE33!$N$7:$N$874,I36,BS_RE33!$P$7:$P$874,'30 days CF Table(GBP)'!G36,BS_RE33!$F$7:$F$874,'30 days CF Table(GBP)'!$C$2)</f>
        <v>0</v>
      </c>
      <c r="S36" s="337">
        <f>SUMIFS(BS_RE33!$H$7:$H$874,BS_RE33!$S$7:$S$874,$S$2,BS_RE33!$N$7:$N$874,I36,BS_RE33!$P$7:$P$874,'30 days CF Table(GBP)'!G36,BS_RE33!$F$7:$F$874,'30 days CF Table(GBP)'!$C$2)</f>
        <v>0</v>
      </c>
      <c r="T36" s="337">
        <f>SUMIFS(BS_RE33!$H$7:$H$874,BS_RE33!$S$7:$S$874,$T$2,BS_RE33!$N$7:$N$874,I36,BS_RE33!$P$7:$P$874,'30 days CF Table(GBP)'!G36,BS_RE33!$F$7:$F$874,'30 days CF Table(GBP)'!$C$2)</f>
        <v>0</v>
      </c>
      <c r="U36" s="337">
        <f>SUMIFS(BS_RE33!$H$7:$H$874,BS_RE33!$S$7:$S$874,$U$2,BS_RE33!$N$7:$N$874,I36,BS_RE33!$P$7:$P$874,'30 days CF Table(GBP)'!G36,BS_RE33!$F$7:$F$874,'30 days CF Table(GBP)'!$C$2)</f>
        <v>0</v>
      </c>
      <c r="V36" s="337">
        <f>SUMIFS(BS_RE33!$H$7:$H$874,BS_RE33!$S$7:$S$874,$V$2,BS_RE33!$N$7:$N$874,I36,BS_RE33!$P$7:$P$874,'30 days CF Table(GBP)'!G36,BS_RE33!$F$7:$F$874,'30 days CF Table(GBP)'!$C$2)</f>
        <v>0</v>
      </c>
      <c r="W36" s="337">
        <f>SUMIFS(BS_RE33!$H$7:$H$874,BS_RE33!$S$7:$S$874,$W$2,BS_RE33!$N$7:$N$874,I36,BS_RE33!$P$7:$P$874,'30 days CF Table(GBP)'!G36,BS_RE33!$F$7:$F$874,'30 days CF Table(GBP)'!$C$2)</f>
        <v>0</v>
      </c>
      <c r="X36" s="337">
        <f>SUMIFS(BS_RE33!$H$7:$H$874,BS_RE33!$S$7:$S$874,$X$2,BS_RE33!$N$7:$N$874,I36,BS_RE33!$P$7:$P$874,'30 days CF Table(GBP)'!G36,BS_RE33!$F$7:$F$874,'30 days CF Table(GBP)'!$C$2)</f>
        <v>0</v>
      </c>
      <c r="Y36" s="337">
        <f>SUMIFS(BS_RE33!$H$7:$H$874,BS_RE33!$S$7:$S$874,$Y$2,BS_RE33!$N$7:$N$874,I36,BS_RE33!$P$7:$P$874,'30 days CF Table(GBP)'!G36,BS_RE33!$F$7:$F$874,'30 days CF Table(GBP)'!$C$2)</f>
        <v>0</v>
      </c>
      <c r="Z36" s="337">
        <f>SUMIFS(BS_RE33!$H$7:$H$874,BS_RE33!$S$7:$S$874,$Z$2,BS_RE33!$N$7:$N$874,I36,BS_RE33!$P$7:$P$874,'30 days CF Table(GBP)'!G36,BS_RE33!$F$7:$F$874,'30 days CF Table(GBP)'!$C$2)</f>
        <v>0</v>
      </c>
      <c r="AA36" s="337">
        <f>SUMIFS(BS_RE33!$H$7:$H$874,BS_RE33!$S$7:$S$874,$AA$2,BS_RE33!$N$7:$N$874,I36,BS_RE33!$P$7:$P$874,'30 days CF Table(GBP)'!G36,BS_RE33!$F$7:$F$874,'30 days CF Table(GBP)'!$C$2)</f>
        <v>0</v>
      </c>
      <c r="AB36" s="337">
        <f>SUMIFS(BS_RE33!$H$7:$H$874,BS_RE33!$S$7:$S$874,$AB$2,BS_RE33!$N$7:$N$874,I36,BS_RE33!$P$7:$P$874,'30 days CF Table(GBP)'!G36,BS_RE33!$F$7:$F$874,'30 days CF Table(GBP)'!$C$2)</f>
        <v>0</v>
      </c>
      <c r="AC36" s="337">
        <f>SUMIFS(BS_RE33!$H$7:$H$874,BS_RE33!$S$7:$S$874,$AC$2,BS_RE33!$N$7:$N$874,I36,BS_RE33!$P$7:$P$874,'30 days CF Table(GBP)'!G36,BS_RE33!$F$7:$F$874,'30 days CF Table(GBP)'!$C$2)</f>
        <v>0</v>
      </c>
      <c r="AD36" s="337">
        <f>SUMIFS(BS_RE33!$H$7:$H$874,BS_RE33!$S$7:$S$874,$AD$2,BS_RE33!$N$7:$N$874,I36,BS_RE33!$P$7:$P$874,'30 days CF Table(GBP)'!G36,BS_RE33!$F$7:$F$874,'30 days CF Table(GBP)'!$C$2)</f>
        <v>0</v>
      </c>
      <c r="AE36" s="337">
        <f>SUMIFS(BS_RE33!$H$7:$H$874,BS_RE33!$S$7:$S$874,$AE$2,BS_RE33!$N$7:$N$874,I36,BS_RE33!$P$7:$P$874,'30 days CF Table(GBP)'!G36,BS_RE33!$F$7:$F$874,'30 days CF Table(GBP)'!$C$2)</f>
        <v>0</v>
      </c>
      <c r="AF36" s="337">
        <f>SUMIFS(BS_RE33!$H$7:$H$874,BS_RE33!$S$7:$S$874,$AF$2,BS_RE33!$N$7:$N$874,I36,BS_RE33!$P$7:$P$874,'30 days CF Table(GBP)'!G36,BS_RE33!$F$7:$F$874,'30 days CF Table(GBP)'!$C$2)</f>
        <v>0</v>
      </c>
      <c r="AG36" s="337">
        <f>SUMIFS(BS_RE33!$H$7:$H$874,BS_RE33!$S$7:$S$874,$AG$2,BS_RE33!$N$7:$N$874,I36,BS_RE33!$P$7:$P$874,'30 days CF Table(GBP)'!G36,BS_RE33!$F$7:$F$874,'30 days CF Table(GBP)'!$C$2)</f>
        <v>0</v>
      </c>
      <c r="AH36" s="337">
        <f>SUMIFS(BS_RE33!$H$7:$H$874,BS_RE33!$S$7:$S$874,$AH$2,BS_RE33!$N$7:$N$874,I36,BS_RE33!$P$7:$P$874,'30 days CF Table(GBP)'!G36,BS_RE33!$F$7:$F$874,'30 days CF Table(GBP)'!$C$2)</f>
        <v>0</v>
      </c>
      <c r="AI36" s="337">
        <f>SUMIFS(BS_RE33!$H$7:$H$874,BS_RE33!$S$7:$S$874,$AI$2,BS_RE33!$N$7:$N$874,I36,BS_RE33!$P$7:$P$874,'30 days CF Table(GBP)'!G36,BS_RE33!$F$7:$F$874,'30 days CF Table(GBP)'!$C$2)</f>
        <v>0</v>
      </c>
      <c r="AJ36" s="337">
        <f>SUMIFS(BS_RE33!$H$7:$H$874,BS_RE33!$S$7:$S$874,$AJ$2,BS_RE33!$N$7:$N$874,I36,BS_RE33!$P$7:$P$874,'30 days CF Table(GBP)'!G36,BS_RE33!$F$7:$F$874,'30 days CF Table(GBP)'!$C$2)</f>
        <v>0</v>
      </c>
      <c r="AK36" s="337">
        <f>SUMIFS(BS_RE33!$H$7:$H$874,BS_RE33!$S$7:$S$874,$AK$2,BS_RE33!$N$7:$N$874,I36,BS_RE33!$P$7:$P$874,'30 days CF Table(GBP)'!G36,BS_RE33!$F$7:$F$874,'30 days CF Table(GBP)'!$C$2)</f>
        <v>0</v>
      </c>
      <c r="AL36" s="337">
        <f>SUMIFS(BS_RE33!$H$7:$H$874,BS_RE33!$S$7:$S$874,$AL$2,BS_RE33!$N$7:$N$874,I36,BS_RE33!$P$7:$P$874,'30 days CF Table(GBP)'!G36,BS_RE33!$F$7:$F$874,'30 days CF Table(GBP)'!$C$2)</f>
        <v>0</v>
      </c>
      <c r="AM36" s="337">
        <f>SUMIFS(BS_RE33!$H$7:$H$874,BS_RE33!$S$7:$S$874,$AM$2,BS_RE33!$N$7:$N$874,I36,BS_RE33!$P$7:$P$874,'30 days CF Table(GBP)'!G36,BS_RE33!$F$7:$F$874,'30 days CF Table(GBP)'!$C$2)</f>
        <v>0</v>
      </c>
      <c r="AN36" s="337">
        <f>SUMIFS(BS_RE33!$H$7:$H$874,BS_RE33!$S$7:$S$874,$AN$2,BS_RE33!$N$7:$N$874,I36,BS_RE33!$P$7:$P$874,'30 days CF Table(GBP)'!G36,BS_RE33!$F$7:$F$874,'30 days CF Table(GBP)'!$C$2)</f>
        <v>0</v>
      </c>
      <c r="AO36" s="337">
        <f>SUMIFS(BS_RE33!$H$7:$H$874,BS_RE33!$S$7:$S$874,$AO$2,BS_RE33!$N$7:$N$874,I36,BS_RE33!$P$7:$P$874,'30 days CF Table(GBP)'!G36,BS_RE33!$F$7:$F$874,'30 days CF Table(GBP)'!$C$2)</f>
        <v>0</v>
      </c>
      <c r="AP36" s="338">
        <f>SUMIFS(BS_RE33!$H$7:$H$874,BS_RE33!$S$7:$S$874,$AP$2,BS_RE33!$N$7:$N$874,I36,BS_RE33!$P$7:$P$874,'30 days CF Table(GBP)'!G36,BS_RE33!$F$7:$F$874,'30 days CF Table(GBP)'!$C$2)</f>
        <v>0</v>
      </c>
      <c r="AR36" s="379">
        <f>SUMIFS(BS_RE33!$H$7:$H$874,BS_RE33!$S$7:$S$874,$AR$2,BS_RE33!$N$7:$N$874,I36,BS_RE33!$P$7:$P$874,'30 days CF Table(GBP)'!G36,BS_RE33!$F$7:$F$874,'30 days CF Table(GBP)'!$C$2)</f>
        <v>0</v>
      </c>
      <c r="AS36" s="379">
        <f>SUMIFS(BS_RE33!$H$7:$H$874,BS_RE33!$S$7:$S$874,$AS$2,BS_RE33!$N$7:$N$874,I36,BS_RE33!$P$7:$P$874,'30 days CF Table(GBP)'!G36,BS_RE33!$F$7:$F$874,'30 days CF Table(GBP)'!$C$2)</f>
        <v>0</v>
      </c>
      <c r="AT36" s="379">
        <f>SUMIFS(BS_RE33!$H$7:$H$874,BS_RE33!$S$7:$S$874,$AT$2,BS_RE33!$N$7:$N$874,I36,BS_RE33!$P$7:$P$874,'30 days CF Table(GBP)'!G36,BS_RE33!$F$7:$F$874,'30 days CF Table(GBP)'!$C$2)</f>
        <v>0</v>
      </c>
      <c r="AU36" s="379">
        <f>SUMIFS(BS_RE33!$H$7:$H$874,BS_RE33!$S$7:$S$874,$AU$2,BS_RE33!$N$7:$N$874,I36,BS_RE33!$P$7:$P$874,'30 days CF Table(GBP)'!G36,BS_RE33!$F$7:$F$874,'30 days CF Table(GBP)'!$C$2)</f>
        <v>0</v>
      </c>
      <c r="AV36" s="379">
        <f>SUMIFS(BS_RE33!$H$7:$H$874,BS_RE33!$S$7:$S$874,$AV$2,BS_RE33!$N$7:$N$874,I36,BS_RE33!$P$7:$P$874,'30 days CF Table(GBP)'!G36,BS_RE33!$F$7:$F$874,'30 days CF Table(GBP)'!$C$2)</f>
        <v>0</v>
      </c>
      <c r="AW36" s="379">
        <f>SUMIFS(BS_RE33!$H$7:$H$874,BS_RE33!$S$7:$S$874,$AW$2,BS_RE33!$N$7:$N$874,I36,BS_RE33!$P$7:$P$874,'30 days CF Table(GBP)'!G36,BS_RE33!$F$7:$F$874,'30 days CF Table(GBP)'!$C$2)</f>
        <v>0</v>
      </c>
      <c r="AX36" s="379">
        <f>SUMIFS(BS_RE33!$H$7:$H$874,BS_RE33!$S$7:$S$874,$AX$2,BS_RE33!$N$7:$N$874,I36,BS_RE33!$P$7:$P$874,'30 days CF Table(GBP)'!G36,BS_RE33!$F$7:$F$874,'30 days CF Table(GBP)'!$C$2)</f>
        <v>0</v>
      </c>
      <c r="AY36" s="379">
        <f>SUMIFS(BS_RE33!$H$7:$H$874,BS_RE33!$S$7:$S$874,$AY$2,BS_RE33!$N$7:$N$874,I36,BS_RE33!$P$7:$P$874,'30 days CF Table(GBP)'!G36,BS_RE33!$F$7:$F$874,'30 days CF Table(GBP)'!$C$2)</f>
        <v>0</v>
      </c>
      <c r="AZ36" s="379">
        <f>SUMIFS(BS_RE33!$H$7:$H$874,BS_RE33!$S$7:$S$874,$AZ$2,BS_RE33!$N$7:$N$874,I36,BS_RE33!$P$7:$P$874,'30 days CF Table(GBP)'!G36,BS_RE33!$F$7:$F$874,'30 days CF Table(GBP)'!$C$2)</f>
        <v>0</v>
      </c>
      <c r="BA36" s="379">
        <f>SUMIFS(BS_RE33!$H$7:$H$874,BS_RE33!$S$7:$S$874,$BA$2,BS_RE33!$N$7:$N$874,I36,BS_RE33!$P$7:$P$874,'30 days CF Table(GBP)'!G36,BS_RE33!$F$7:$F$874,'30 days CF Table(GBP)'!$C$2)</f>
        <v>0</v>
      </c>
      <c r="BB36" s="379">
        <f>SUMIFS(BS_RE33!$H$7:$H$874,BS_RE33!$S$7:$S$874,$BB$2,BS_RE33!$N$7:$N$874,I36,BS_RE33!$P$7:$P$874,'30 days CF Table(GBP)'!G36,BS_RE33!$F$7:$F$874,'30 days CF Table(GBP)'!$C$2)</f>
        <v>0</v>
      </c>
      <c r="BC36" s="379">
        <f>SUMIFS(BS_RE33!$H$7:$H$874,BS_RE33!$S$7:$S$874,$BC$2,BS_RE33!$N$7:$N$874,I36,BS_RE33!$P$7:$P$874,'30 days CF Table(GBP)'!G36,BS_RE33!$F$7:$F$874,'30 days CF Table(GBP)'!$C$2)</f>
        <v>0</v>
      </c>
      <c r="BD36" s="379">
        <f>SUMIFS(BS_RE33!$H$7:$H$874,BS_RE33!$S$7:$S$874,$BD$2,BS_RE33!$N$7:$N$874,I36,BS_RE33!$P$7:$P$874,'30 days CF Table(GBP)'!G36,BS_RE33!$F$7:$F$874,'30 days CF Table(GBP)'!$C$2)</f>
        <v>0</v>
      </c>
      <c r="BE36" s="379">
        <f>SUMIFS(BS_RE33!$H$7:$H$874,BS_RE33!$S$7:$S$874,$BE$2,BS_RE33!$N$7:$N$874,I36,BS_RE33!$P$7:$P$874,'30 days CF Table(GBP)'!G36,BS_RE33!$F$7:$F$874,'30 days CF Table(GBP)'!$C$2)</f>
        <v>0</v>
      </c>
      <c r="BF36" s="379">
        <f>SUMIFS(BS_RE33!$H$7:$H$874,BS_RE33!$S$7:$S$874,$BF$2,BS_RE33!$N$7:$N$874,I36,BS_RE33!$P$7:$P$874,'30 days CF Table(GBP)'!G36,BS_RE33!$F$7:$F$874,'30 days CF Table(GBP)'!$C$2)</f>
        <v>0</v>
      </c>
      <c r="BG36" s="379">
        <f>SUMIFS(BS_RE33!$H$7:$H$874,BS_RE33!$S$7:$S$874,$BG$2,BS_RE33!$N$7:$N$874,I36,BS_RE33!$P$7:$P$874,'30 days CF Table(GBP)'!G36,BS_RE33!$F$7:$F$874,'30 days CF Table(GBP)'!$C$2)</f>
        <v>0</v>
      </c>
      <c r="BH36" s="379">
        <f>SUMIFS(BS_RE33!$H$7:$H$874,BS_RE33!$S$7:$S$874,$BH$2,BS_RE33!$N$7:$N$874,I36,BS_RE33!$P$7:$P$874,'30 days CF Table(GBP)'!G36,BS_RE33!$F$7:$F$874,'30 days CF Table(GBP)'!$C$2)</f>
        <v>0</v>
      </c>
      <c r="BI36" s="379">
        <f>SUMIFS(BS_RE33!$H$7:$H$874,BS_RE33!$S$7:$S$874,$BI$2,BS_RE33!$N$7:$N$874,I36,BS_RE33!$P$7:$P$874,'30 days CF Table(GBP)'!G36,BS_RE33!$F$7:$F$874,'30 days CF Table(GBP)'!$C$2)</f>
        <v>0</v>
      </c>
      <c r="BJ36" s="379">
        <f>SUMIFS(BS_RE33!$H$7:$H$874,BS_RE33!$S$7:$S$874,$BJ$2,BS_RE33!$N$7:$N$874,I36,BS_RE33!$P$7:$P$874,'30 days CF Table(GBP)'!G36,BS_RE33!$F$7:$F$874,'30 days CF Table(GBP)'!$C$2)</f>
        <v>0</v>
      </c>
      <c r="BK36" s="379">
        <f>SUMIFS(BS_RE33!$H$7:$H$874,BS_RE33!$S$7:$S$874,$BK$2,BS_RE33!$N$7:$N$874,I36,BS_RE33!$P$7:$P$874,'30 days CF Table(GBP)'!G36,BS_RE33!$F$7:$F$874,'30 days CF Table(GBP)'!$C$2)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Table(GBP)'!G37,BS_RE33!$F$7:$F$874,'30 days CF Table(GBP)'!$C$2)</f>
        <v>0</v>
      </c>
      <c r="M37" s="337">
        <f>SUMIFS(BS_RE33!$H$7:$H$874,BS_RE33!$S$7:$S$874,$M$2,BS_RE33!$N$7:$N$874,I37,BS_RE33!$P$7:$P$874,'30 days CF Table(GBP)'!G37,BS_RE33!$F$7:$F$874,'30 days CF Table(GBP)'!$C$2)</f>
        <v>0</v>
      </c>
      <c r="N37" s="337">
        <f>SUMIFS(BS_RE33!$H$7:$H$874,BS_RE33!$S$7:$S$874,$N$2,BS_RE33!$N$7:$N$874,I37,BS_RE33!$P$7:$P$874,'30 days CF Table(GBP)'!G37,BS_RE33!$F$7:$F$874,'30 days CF Table(GBP)'!$C$2)</f>
        <v>0</v>
      </c>
      <c r="O37" s="337">
        <f>SUMIFS(BS_RE33!$H$7:$H$874,BS_RE33!$S$7:$S$874,$O$2,BS_RE33!$N$7:$N$874,I37,BS_RE33!$P$7:$P$874,'30 days CF Table(GBP)'!G37,BS_RE33!$F$7:$F$874,'30 days CF Table(GBP)'!$C$2)</f>
        <v>0</v>
      </c>
      <c r="P37" s="337">
        <f>SUMIFS(BS_RE33!$H$7:$H$874,BS_RE33!$S$7:$S$874,$P$2,BS_RE33!$N$7:$N$874,I37,BS_RE33!$P$7:$P$874,'30 days CF Table(GBP)'!G37,BS_RE33!$F$7:$F$874,'30 days CF Table(GBP)'!$C$2)</f>
        <v>0</v>
      </c>
      <c r="Q37" s="337">
        <f>SUMIFS(BS_RE33!$H$7:$H$874,BS_RE33!$S$7:$S$874,$Q$2,BS_RE33!$N$7:$N$874,I37,BS_RE33!$P$7:$P$874,'30 days CF Table(GBP)'!G37,BS_RE33!$F$7:$F$874,'30 days CF Table(GBP)'!$C$2)</f>
        <v>0</v>
      </c>
      <c r="R37" s="337">
        <f>SUMIFS(BS_RE33!$H$7:$H$874,BS_RE33!$S$7:$S$874,$R$2,BS_RE33!$N$7:$N$874,I37,BS_RE33!$P$7:$P$874,'30 days CF Table(GBP)'!G37,BS_RE33!$F$7:$F$874,'30 days CF Table(GBP)'!$C$2)</f>
        <v>0</v>
      </c>
      <c r="S37" s="337">
        <f>SUMIFS(BS_RE33!$H$7:$H$874,BS_RE33!$S$7:$S$874,$S$2,BS_RE33!$N$7:$N$874,I37,BS_RE33!$P$7:$P$874,'30 days CF Table(GBP)'!G37,BS_RE33!$F$7:$F$874,'30 days CF Table(GBP)'!$C$2)</f>
        <v>0</v>
      </c>
      <c r="T37" s="337">
        <f>SUMIFS(BS_RE33!$H$7:$H$874,BS_RE33!$S$7:$S$874,$T$2,BS_RE33!$N$7:$N$874,I37,BS_RE33!$P$7:$P$874,'30 days CF Table(GBP)'!G37,BS_RE33!$F$7:$F$874,'30 days CF Table(GBP)'!$C$2)</f>
        <v>0</v>
      </c>
      <c r="U37" s="337">
        <f>SUMIFS(BS_RE33!$H$7:$H$874,BS_RE33!$S$7:$S$874,$U$2,BS_RE33!$N$7:$N$874,I37,BS_RE33!$P$7:$P$874,'30 days CF Table(GBP)'!G37,BS_RE33!$F$7:$F$874,'30 days CF Table(GBP)'!$C$2)</f>
        <v>0</v>
      </c>
      <c r="V37" s="337">
        <f>SUMIFS(BS_RE33!$H$7:$H$874,BS_RE33!$S$7:$S$874,$V$2,BS_RE33!$N$7:$N$874,I37,BS_RE33!$P$7:$P$874,'30 days CF Table(GBP)'!G37,BS_RE33!$F$7:$F$874,'30 days CF Table(GBP)'!$C$2)</f>
        <v>0</v>
      </c>
      <c r="W37" s="337">
        <f>SUMIFS(BS_RE33!$H$7:$H$874,BS_RE33!$S$7:$S$874,$W$2,BS_RE33!$N$7:$N$874,I37,BS_RE33!$P$7:$P$874,'30 days CF Table(GBP)'!G37,BS_RE33!$F$7:$F$874,'30 days CF Table(GBP)'!$C$2)</f>
        <v>0</v>
      </c>
      <c r="X37" s="337">
        <f>SUMIFS(BS_RE33!$H$7:$H$874,BS_RE33!$S$7:$S$874,$X$2,BS_RE33!$N$7:$N$874,I37,BS_RE33!$P$7:$P$874,'30 days CF Table(GBP)'!G37,BS_RE33!$F$7:$F$874,'30 days CF Table(GBP)'!$C$2)</f>
        <v>0</v>
      </c>
      <c r="Y37" s="337">
        <f>SUMIFS(BS_RE33!$H$7:$H$874,BS_RE33!$S$7:$S$874,$Y$2,BS_RE33!$N$7:$N$874,I37,BS_RE33!$P$7:$P$874,'30 days CF Table(GBP)'!G37,BS_RE33!$F$7:$F$874,'30 days CF Table(GBP)'!$C$2)</f>
        <v>0</v>
      </c>
      <c r="Z37" s="337">
        <f>SUMIFS(BS_RE33!$H$7:$H$874,BS_RE33!$S$7:$S$874,$Z$2,BS_RE33!$N$7:$N$874,I37,BS_RE33!$P$7:$P$874,'30 days CF Table(GBP)'!G37,BS_RE33!$F$7:$F$874,'30 days CF Table(GBP)'!$C$2)</f>
        <v>0</v>
      </c>
      <c r="AA37" s="337">
        <f>SUMIFS(BS_RE33!$H$7:$H$874,BS_RE33!$S$7:$S$874,$AA$2,BS_RE33!$N$7:$N$874,I37,BS_RE33!$P$7:$P$874,'30 days CF Table(GBP)'!G37,BS_RE33!$F$7:$F$874,'30 days CF Table(GBP)'!$C$2)</f>
        <v>0</v>
      </c>
      <c r="AB37" s="337">
        <f>SUMIFS(BS_RE33!$H$7:$H$874,BS_RE33!$S$7:$S$874,$AB$2,BS_RE33!$N$7:$N$874,I37,BS_RE33!$P$7:$P$874,'30 days CF Table(GBP)'!G37,BS_RE33!$F$7:$F$874,'30 days CF Table(GBP)'!$C$2)</f>
        <v>0</v>
      </c>
      <c r="AC37" s="337">
        <f>SUMIFS(BS_RE33!$H$7:$H$874,BS_RE33!$S$7:$S$874,$AC$2,BS_RE33!$N$7:$N$874,I37,BS_RE33!$P$7:$P$874,'30 days CF Table(GBP)'!G37,BS_RE33!$F$7:$F$874,'30 days CF Table(GBP)'!$C$2)</f>
        <v>0</v>
      </c>
      <c r="AD37" s="337">
        <f>SUMIFS(BS_RE33!$H$7:$H$874,BS_RE33!$S$7:$S$874,$AD$2,BS_RE33!$N$7:$N$874,I37,BS_RE33!$P$7:$P$874,'30 days CF Table(GBP)'!G37,BS_RE33!$F$7:$F$874,'30 days CF Table(GBP)'!$C$2)</f>
        <v>0</v>
      </c>
      <c r="AE37" s="337">
        <f>SUMIFS(BS_RE33!$H$7:$H$874,BS_RE33!$S$7:$S$874,$AE$2,BS_RE33!$N$7:$N$874,I37,BS_RE33!$P$7:$P$874,'30 days CF Table(GBP)'!G37,BS_RE33!$F$7:$F$874,'30 days CF Table(GBP)'!$C$2)</f>
        <v>0</v>
      </c>
      <c r="AF37" s="337">
        <f>SUMIFS(BS_RE33!$H$7:$H$874,BS_RE33!$S$7:$S$874,$AF$2,BS_RE33!$N$7:$N$874,I37,BS_RE33!$P$7:$P$874,'30 days CF Table(GBP)'!G37,BS_RE33!$F$7:$F$874,'30 days CF Table(GBP)'!$C$2)</f>
        <v>0</v>
      </c>
      <c r="AG37" s="337">
        <f>SUMIFS(BS_RE33!$H$7:$H$874,BS_RE33!$S$7:$S$874,$AG$2,BS_RE33!$N$7:$N$874,I37,BS_RE33!$P$7:$P$874,'30 days CF Table(GBP)'!G37,BS_RE33!$F$7:$F$874,'30 days CF Table(GBP)'!$C$2)</f>
        <v>0</v>
      </c>
      <c r="AH37" s="337">
        <f>SUMIFS(BS_RE33!$H$7:$H$874,BS_RE33!$S$7:$S$874,$AH$2,BS_RE33!$N$7:$N$874,I37,BS_RE33!$P$7:$P$874,'30 days CF Table(GBP)'!G37,BS_RE33!$F$7:$F$874,'30 days CF Table(GBP)'!$C$2)</f>
        <v>0</v>
      </c>
      <c r="AI37" s="337">
        <f>SUMIFS(BS_RE33!$H$7:$H$874,BS_RE33!$S$7:$S$874,$AI$2,BS_RE33!$N$7:$N$874,I37,BS_RE33!$P$7:$P$874,'30 days CF Table(GBP)'!G37,BS_RE33!$F$7:$F$874,'30 days CF Table(GBP)'!$C$2)</f>
        <v>0</v>
      </c>
      <c r="AJ37" s="337">
        <f>SUMIFS(BS_RE33!$H$7:$H$874,BS_RE33!$S$7:$S$874,$AJ$2,BS_RE33!$N$7:$N$874,I37,BS_RE33!$P$7:$P$874,'30 days CF Table(GBP)'!G37,BS_RE33!$F$7:$F$874,'30 days CF Table(GBP)'!$C$2)</f>
        <v>0</v>
      </c>
      <c r="AK37" s="337">
        <f>SUMIFS(BS_RE33!$H$7:$H$874,BS_RE33!$S$7:$S$874,$AK$2,BS_RE33!$N$7:$N$874,I37,BS_RE33!$P$7:$P$874,'30 days CF Table(GBP)'!G37,BS_RE33!$F$7:$F$874,'30 days CF Table(GBP)'!$C$2)</f>
        <v>0</v>
      </c>
      <c r="AL37" s="337">
        <f>SUMIFS(BS_RE33!$H$7:$H$874,BS_RE33!$S$7:$S$874,$AL$2,BS_RE33!$N$7:$N$874,I37,BS_RE33!$P$7:$P$874,'30 days CF Table(GBP)'!G37,BS_RE33!$F$7:$F$874,'30 days CF Table(GBP)'!$C$2)</f>
        <v>0</v>
      </c>
      <c r="AM37" s="337">
        <f>SUMIFS(BS_RE33!$H$7:$H$874,BS_RE33!$S$7:$S$874,$AM$2,BS_RE33!$N$7:$N$874,I37,BS_RE33!$P$7:$P$874,'30 days CF Table(GBP)'!G37,BS_RE33!$F$7:$F$874,'30 days CF Table(GBP)'!$C$2)</f>
        <v>0</v>
      </c>
      <c r="AN37" s="337">
        <f>SUMIFS(BS_RE33!$H$7:$H$874,BS_RE33!$S$7:$S$874,$AN$2,BS_RE33!$N$7:$N$874,I37,BS_RE33!$P$7:$P$874,'30 days CF Table(GBP)'!G37,BS_RE33!$F$7:$F$874,'30 days CF Table(GBP)'!$C$2)</f>
        <v>0</v>
      </c>
      <c r="AO37" s="337">
        <f>SUMIFS(BS_RE33!$H$7:$H$874,BS_RE33!$S$7:$S$874,$AO$2,BS_RE33!$N$7:$N$874,I37,BS_RE33!$P$7:$P$874,'30 days CF Table(GBP)'!G37,BS_RE33!$F$7:$F$874,'30 days CF Table(GBP)'!$C$2)</f>
        <v>0</v>
      </c>
      <c r="AP37" s="338">
        <f>SUMIFS(BS_RE33!$H$7:$H$874,BS_RE33!$S$7:$S$874,$AP$2,BS_RE33!$N$7:$N$874,I37,BS_RE33!$P$7:$P$874,'30 days CF Table(GBP)'!G37,BS_RE33!$F$7:$F$874,'30 days CF Table(GBP)'!$C$2)</f>
        <v>0</v>
      </c>
      <c r="AR37" s="379">
        <f>SUMIFS(BS_RE33!$H$7:$H$874,BS_RE33!$S$7:$S$874,$AR$2,BS_RE33!$N$7:$N$874,I37,BS_RE33!$P$7:$P$874,'30 days CF Table(GBP)'!G37,BS_RE33!$F$7:$F$874,'30 days CF Table(GBP)'!$C$2)</f>
        <v>0</v>
      </c>
      <c r="AS37" s="379">
        <f>SUMIFS(BS_RE33!$H$7:$H$874,BS_RE33!$S$7:$S$874,$AS$2,BS_RE33!$N$7:$N$874,I37,BS_RE33!$P$7:$P$874,'30 days CF Table(GBP)'!G37,BS_RE33!$F$7:$F$874,'30 days CF Table(GBP)'!$C$2)</f>
        <v>0</v>
      </c>
      <c r="AT37" s="379">
        <f>SUMIFS(BS_RE33!$H$7:$H$874,BS_RE33!$S$7:$S$874,$AT$2,BS_RE33!$N$7:$N$874,I37,BS_RE33!$P$7:$P$874,'30 days CF Table(GBP)'!G37,BS_RE33!$F$7:$F$874,'30 days CF Table(GBP)'!$C$2)</f>
        <v>0</v>
      </c>
      <c r="AU37" s="379">
        <f>SUMIFS(BS_RE33!$H$7:$H$874,BS_RE33!$S$7:$S$874,$AU$2,BS_RE33!$N$7:$N$874,I37,BS_RE33!$P$7:$P$874,'30 days CF Table(GBP)'!G37,BS_RE33!$F$7:$F$874,'30 days CF Table(GBP)'!$C$2)</f>
        <v>0</v>
      </c>
      <c r="AV37" s="379">
        <f>SUMIFS(BS_RE33!$H$7:$H$874,BS_RE33!$S$7:$S$874,$AV$2,BS_RE33!$N$7:$N$874,I37,BS_RE33!$P$7:$P$874,'30 days CF Table(GBP)'!G37,BS_RE33!$F$7:$F$874,'30 days CF Table(GBP)'!$C$2)</f>
        <v>0</v>
      </c>
      <c r="AW37" s="379">
        <f>SUMIFS(BS_RE33!$H$7:$H$874,BS_RE33!$S$7:$S$874,$AW$2,BS_RE33!$N$7:$N$874,I37,BS_RE33!$P$7:$P$874,'30 days CF Table(GBP)'!G37,BS_RE33!$F$7:$F$874,'30 days CF Table(GBP)'!$C$2)</f>
        <v>0</v>
      </c>
      <c r="AX37" s="379">
        <f>SUMIFS(BS_RE33!$H$7:$H$874,BS_RE33!$S$7:$S$874,$AX$2,BS_RE33!$N$7:$N$874,I37,BS_RE33!$P$7:$P$874,'30 days CF Table(GBP)'!G37,BS_RE33!$F$7:$F$874,'30 days CF Table(GBP)'!$C$2)</f>
        <v>0</v>
      </c>
      <c r="AY37" s="379">
        <f>SUMIFS(BS_RE33!$H$7:$H$874,BS_RE33!$S$7:$S$874,$AY$2,BS_RE33!$N$7:$N$874,I37,BS_RE33!$P$7:$P$874,'30 days CF Table(GBP)'!G37,BS_RE33!$F$7:$F$874,'30 days CF Table(GBP)'!$C$2)</f>
        <v>0</v>
      </c>
      <c r="AZ37" s="379">
        <f>SUMIFS(BS_RE33!$H$7:$H$874,BS_RE33!$S$7:$S$874,$AZ$2,BS_RE33!$N$7:$N$874,I37,BS_RE33!$P$7:$P$874,'30 days CF Table(GBP)'!G37,BS_RE33!$F$7:$F$874,'30 days CF Table(GBP)'!$C$2)</f>
        <v>0</v>
      </c>
      <c r="BA37" s="379">
        <f>SUMIFS(BS_RE33!$H$7:$H$874,BS_RE33!$S$7:$S$874,$BA$2,BS_RE33!$N$7:$N$874,I37,BS_RE33!$P$7:$P$874,'30 days CF Table(GBP)'!G37,BS_RE33!$F$7:$F$874,'30 days CF Table(GBP)'!$C$2)</f>
        <v>0</v>
      </c>
      <c r="BB37" s="379">
        <f>SUMIFS(BS_RE33!$H$7:$H$874,BS_RE33!$S$7:$S$874,$BB$2,BS_RE33!$N$7:$N$874,I37,BS_RE33!$P$7:$P$874,'30 days CF Table(GBP)'!G37,BS_RE33!$F$7:$F$874,'30 days CF Table(GBP)'!$C$2)</f>
        <v>0</v>
      </c>
      <c r="BC37" s="379">
        <f>SUMIFS(BS_RE33!$H$7:$H$874,BS_RE33!$S$7:$S$874,$BC$2,BS_RE33!$N$7:$N$874,I37,BS_RE33!$P$7:$P$874,'30 days CF Table(GBP)'!G37,BS_RE33!$F$7:$F$874,'30 days CF Table(GBP)'!$C$2)</f>
        <v>0</v>
      </c>
      <c r="BD37" s="379">
        <f>SUMIFS(BS_RE33!$H$7:$H$874,BS_RE33!$S$7:$S$874,$BD$2,BS_RE33!$N$7:$N$874,I37,BS_RE33!$P$7:$P$874,'30 days CF Table(GBP)'!G37,BS_RE33!$F$7:$F$874,'30 days CF Table(GBP)'!$C$2)</f>
        <v>0</v>
      </c>
      <c r="BE37" s="379">
        <f>SUMIFS(BS_RE33!$H$7:$H$874,BS_RE33!$S$7:$S$874,$BE$2,BS_RE33!$N$7:$N$874,I37,BS_RE33!$P$7:$P$874,'30 days CF Table(GBP)'!G37,BS_RE33!$F$7:$F$874,'30 days CF Table(GBP)'!$C$2)</f>
        <v>0</v>
      </c>
      <c r="BF37" s="379">
        <f>SUMIFS(BS_RE33!$H$7:$H$874,BS_RE33!$S$7:$S$874,$BF$2,BS_RE33!$N$7:$N$874,I37,BS_RE33!$P$7:$P$874,'30 days CF Table(GBP)'!G37,BS_RE33!$F$7:$F$874,'30 days CF Table(GBP)'!$C$2)</f>
        <v>0</v>
      </c>
      <c r="BG37" s="379">
        <f>SUMIFS(BS_RE33!$H$7:$H$874,BS_RE33!$S$7:$S$874,$BG$2,BS_RE33!$N$7:$N$874,I37,BS_RE33!$P$7:$P$874,'30 days CF Table(GBP)'!G37,BS_RE33!$F$7:$F$874,'30 days CF Table(GBP)'!$C$2)</f>
        <v>0</v>
      </c>
      <c r="BH37" s="379">
        <f>SUMIFS(BS_RE33!$H$7:$H$874,BS_RE33!$S$7:$S$874,$BH$2,BS_RE33!$N$7:$N$874,I37,BS_RE33!$P$7:$P$874,'30 days CF Table(GBP)'!G37,BS_RE33!$F$7:$F$874,'30 days CF Table(GBP)'!$C$2)</f>
        <v>0</v>
      </c>
      <c r="BI37" s="379">
        <f>SUMIFS(BS_RE33!$H$7:$H$874,BS_RE33!$S$7:$S$874,$BI$2,BS_RE33!$N$7:$N$874,I37,BS_RE33!$P$7:$P$874,'30 days CF Table(GBP)'!G37,BS_RE33!$F$7:$F$874,'30 days CF Table(GBP)'!$C$2)</f>
        <v>0</v>
      </c>
      <c r="BJ37" s="379">
        <f>SUMIFS(BS_RE33!$H$7:$H$874,BS_RE33!$S$7:$S$874,$BJ$2,BS_RE33!$N$7:$N$874,I37,BS_RE33!$P$7:$P$874,'30 days CF Table(GBP)'!G37,BS_RE33!$F$7:$F$874,'30 days CF Table(GBP)'!$C$2)</f>
        <v>0</v>
      </c>
      <c r="BK37" s="379">
        <f>SUMIFS(BS_RE33!$H$7:$H$874,BS_RE33!$S$7:$S$874,$BK$2,BS_RE33!$N$7:$N$874,I37,BS_RE33!$P$7:$P$874,'30 days CF Table(GBP)'!G37,BS_RE33!$F$7:$F$874,'30 days CF Table(GBP)'!$C$2)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Table(GBP)'!G38,BS_RE33!$F$7:$F$874,'30 days CF Table(GBP)'!$C$2)</f>
        <v>0</v>
      </c>
      <c r="M38" s="337">
        <f>SUMIFS(BS_RE33!$H$7:$H$874,BS_RE33!$S$7:$S$874,$M$2,BS_RE33!$N$7:$N$874,I38,BS_RE33!$P$7:$P$874,'30 days CF Table(GBP)'!G38,BS_RE33!$F$7:$F$874,'30 days CF Table(GBP)'!$C$2)</f>
        <v>0</v>
      </c>
      <c r="N38" s="337">
        <f>SUMIFS(BS_RE33!$H$7:$H$874,BS_RE33!$S$7:$S$874,$N$2,BS_RE33!$N$7:$N$874,I38,BS_RE33!$P$7:$P$874,'30 days CF Table(GBP)'!G38,BS_RE33!$F$7:$F$874,'30 days CF Table(GBP)'!$C$2)</f>
        <v>0</v>
      </c>
      <c r="O38" s="337">
        <f>SUMIFS(BS_RE33!$H$7:$H$874,BS_RE33!$S$7:$S$874,$O$2,BS_RE33!$N$7:$N$874,I38,BS_RE33!$P$7:$P$874,'30 days CF Table(GBP)'!G38,BS_RE33!$F$7:$F$874,'30 days CF Table(GBP)'!$C$2)</f>
        <v>0</v>
      </c>
      <c r="P38" s="337">
        <f>SUMIFS(BS_RE33!$H$7:$H$874,BS_RE33!$S$7:$S$874,$P$2,BS_RE33!$N$7:$N$874,I38,BS_RE33!$P$7:$P$874,'30 days CF Table(GBP)'!G38,BS_RE33!$F$7:$F$874,'30 days CF Table(GBP)'!$C$2)</f>
        <v>0</v>
      </c>
      <c r="Q38" s="337">
        <f>SUMIFS(BS_RE33!$H$7:$H$874,BS_RE33!$S$7:$S$874,$Q$2,BS_RE33!$N$7:$N$874,I38,BS_RE33!$P$7:$P$874,'30 days CF Table(GBP)'!G38,BS_RE33!$F$7:$F$874,'30 days CF Table(GBP)'!$C$2)</f>
        <v>0</v>
      </c>
      <c r="R38" s="337">
        <f>SUMIFS(BS_RE33!$H$7:$H$874,BS_RE33!$S$7:$S$874,$R$2,BS_RE33!$N$7:$N$874,I38,BS_RE33!$P$7:$P$874,'30 days CF Table(GBP)'!G38,BS_RE33!$F$7:$F$874,'30 days CF Table(GBP)'!$C$2)</f>
        <v>0</v>
      </c>
      <c r="S38" s="337">
        <f>SUMIFS(BS_RE33!$H$7:$H$874,BS_RE33!$S$7:$S$874,$S$2,BS_RE33!$N$7:$N$874,I38,BS_RE33!$P$7:$P$874,'30 days CF Table(GBP)'!G38,BS_RE33!$F$7:$F$874,'30 days CF Table(GBP)'!$C$2)</f>
        <v>0</v>
      </c>
      <c r="T38" s="337">
        <f>SUMIFS(BS_RE33!$H$7:$H$874,BS_RE33!$S$7:$S$874,$T$2,BS_RE33!$N$7:$N$874,I38,BS_RE33!$P$7:$P$874,'30 days CF Table(GBP)'!G38,BS_RE33!$F$7:$F$874,'30 days CF Table(GBP)'!$C$2)</f>
        <v>0</v>
      </c>
      <c r="U38" s="337">
        <f>SUMIFS(BS_RE33!$H$7:$H$874,BS_RE33!$S$7:$S$874,$U$2,BS_RE33!$N$7:$N$874,I38,BS_RE33!$P$7:$P$874,'30 days CF Table(GBP)'!G38,BS_RE33!$F$7:$F$874,'30 days CF Table(GBP)'!$C$2)</f>
        <v>0</v>
      </c>
      <c r="V38" s="337">
        <f>SUMIFS(BS_RE33!$H$7:$H$874,BS_RE33!$S$7:$S$874,$V$2,BS_RE33!$N$7:$N$874,I38,BS_RE33!$P$7:$P$874,'30 days CF Table(GBP)'!G38,BS_RE33!$F$7:$F$874,'30 days CF Table(GBP)'!$C$2)</f>
        <v>0</v>
      </c>
      <c r="W38" s="337">
        <f>SUMIFS(BS_RE33!$H$7:$H$874,BS_RE33!$S$7:$S$874,$W$2,BS_RE33!$N$7:$N$874,I38,BS_RE33!$P$7:$P$874,'30 days CF Table(GBP)'!G38,BS_RE33!$F$7:$F$874,'30 days CF Table(GBP)'!$C$2)</f>
        <v>0</v>
      </c>
      <c r="X38" s="337">
        <f>SUMIFS(BS_RE33!$H$7:$H$874,BS_RE33!$S$7:$S$874,$X$2,BS_RE33!$N$7:$N$874,I38,BS_RE33!$P$7:$P$874,'30 days CF Table(GBP)'!G38,BS_RE33!$F$7:$F$874,'30 days CF Table(GBP)'!$C$2)</f>
        <v>0</v>
      </c>
      <c r="Y38" s="337">
        <f>SUMIFS(BS_RE33!$H$7:$H$874,BS_RE33!$S$7:$S$874,$Y$2,BS_RE33!$N$7:$N$874,I38,BS_RE33!$P$7:$P$874,'30 days CF Table(GBP)'!G38,BS_RE33!$F$7:$F$874,'30 days CF Table(GBP)'!$C$2)</f>
        <v>0</v>
      </c>
      <c r="Z38" s="337">
        <f>SUMIFS(BS_RE33!$H$7:$H$874,BS_RE33!$S$7:$S$874,$Z$2,BS_RE33!$N$7:$N$874,I38,BS_RE33!$P$7:$P$874,'30 days CF Table(GBP)'!G38,BS_RE33!$F$7:$F$874,'30 days CF Table(GBP)'!$C$2)</f>
        <v>0</v>
      </c>
      <c r="AA38" s="337">
        <f>SUMIFS(BS_RE33!$H$7:$H$874,BS_RE33!$S$7:$S$874,$AA$2,BS_RE33!$N$7:$N$874,I38,BS_RE33!$P$7:$P$874,'30 days CF Table(GBP)'!G38,BS_RE33!$F$7:$F$874,'30 days CF Table(GBP)'!$C$2)</f>
        <v>0</v>
      </c>
      <c r="AB38" s="337">
        <f>SUMIFS(BS_RE33!$H$7:$H$874,BS_RE33!$S$7:$S$874,$AB$2,BS_RE33!$N$7:$N$874,I38,BS_RE33!$P$7:$P$874,'30 days CF Table(GBP)'!G38,BS_RE33!$F$7:$F$874,'30 days CF Table(GBP)'!$C$2)</f>
        <v>0</v>
      </c>
      <c r="AC38" s="337">
        <f>SUMIFS(BS_RE33!$H$7:$H$874,BS_RE33!$S$7:$S$874,$AC$2,BS_RE33!$N$7:$N$874,I38,BS_RE33!$P$7:$P$874,'30 days CF Table(GBP)'!G38,BS_RE33!$F$7:$F$874,'30 days CF Table(GBP)'!$C$2)</f>
        <v>0</v>
      </c>
      <c r="AD38" s="337">
        <f>SUMIFS(BS_RE33!$H$7:$H$874,BS_RE33!$S$7:$S$874,$AD$2,BS_RE33!$N$7:$N$874,I38,BS_RE33!$P$7:$P$874,'30 days CF Table(GBP)'!G38,BS_RE33!$F$7:$F$874,'30 days CF Table(GBP)'!$C$2)</f>
        <v>0</v>
      </c>
      <c r="AE38" s="337">
        <f>SUMIFS(BS_RE33!$H$7:$H$874,BS_RE33!$S$7:$S$874,$AE$2,BS_RE33!$N$7:$N$874,I38,BS_RE33!$P$7:$P$874,'30 days CF Table(GBP)'!G38,BS_RE33!$F$7:$F$874,'30 days CF Table(GBP)'!$C$2)</f>
        <v>0</v>
      </c>
      <c r="AF38" s="337">
        <f>SUMIFS(BS_RE33!$H$7:$H$874,BS_RE33!$S$7:$S$874,$AF$2,BS_RE33!$N$7:$N$874,I38,BS_RE33!$P$7:$P$874,'30 days CF Table(GBP)'!G38,BS_RE33!$F$7:$F$874,'30 days CF Table(GBP)'!$C$2)</f>
        <v>0</v>
      </c>
      <c r="AG38" s="337">
        <f>SUMIFS(BS_RE33!$H$7:$H$874,BS_RE33!$S$7:$S$874,$AG$2,BS_RE33!$N$7:$N$874,I38,BS_RE33!$P$7:$P$874,'30 days CF Table(GBP)'!G38,BS_RE33!$F$7:$F$874,'30 days CF Table(GBP)'!$C$2)</f>
        <v>0</v>
      </c>
      <c r="AH38" s="337">
        <f>SUMIFS(BS_RE33!$H$7:$H$874,BS_RE33!$S$7:$S$874,$AH$2,BS_RE33!$N$7:$N$874,I38,BS_RE33!$P$7:$P$874,'30 days CF Table(GBP)'!G38,BS_RE33!$F$7:$F$874,'30 days CF Table(GBP)'!$C$2)</f>
        <v>0</v>
      </c>
      <c r="AI38" s="337">
        <f>SUMIFS(BS_RE33!$H$7:$H$874,BS_RE33!$S$7:$S$874,$AI$2,BS_RE33!$N$7:$N$874,I38,BS_RE33!$P$7:$P$874,'30 days CF Table(GBP)'!G38,BS_RE33!$F$7:$F$874,'30 days CF Table(GBP)'!$C$2)</f>
        <v>0</v>
      </c>
      <c r="AJ38" s="337">
        <f>SUMIFS(BS_RE33!$H$7:$H$874,BS_RE33!$S$7:$S$874,$AJ$2,BS_RE33!$N$7:$N$874,I38,BS_RE33!$P$7:$P$874,'30 days CF Table(GBP)'!G38,BS_RE33!$F$7:$F$874,'30 days CF Table(GBP)'!$C$2)</f>
        <v>0</v>
      </c>
      <c r="AK38" s="337">
        <f>SUMIFS(BS_RE33!$H$7:$H$874,BS_RE33!$S$7:$S$874,$AK$2,BS_RE33!$N$7:$N$874,I38,BS_RE33!$P$7:$P$874,'30 days CF Table(GBP)'!G38,BS_RE33!$F$7:$F$874,'30 days CF Table(GBP)'!$C$2)</f>
        <v>0</v>
      </c>
      <c r="AL38" s="337">
        <f>SUMIFS(BS_RE33!$H$7:$H$874,BS_RE33!$S$7:$S$874,$AL$2,BS_RE33!$N$7:$N$874,I38,BS_RE33!$P$7:$P$874,'30 days CF Table(GBP)'!G38,BS_RE33!$F$7:$F$874,'30 days CF Table(GBP)'!$C$2)</f>
        <v>0</v>
      </c>
      <c r="AM38" s="337">
        <f>SUMIFS(BS_RE33!$H$7:$H$874,BS_RE33!$S$7:$S$874,$AM$2,BS_RE33!$N$7:$N$874,I38,BS_RE33!$P$7:$P$874,'30 days CF Table(GBP)'!G38,BS_RE33!$F$7:$F$874,'30 days CF Table(GBP)'!$C$2)</f>
        <v>0</v>
      </c>
      <c r="AN38" s="337">
        <f>SUMIFS(BS_RE33!$H$7:$H$874,BS_RE33!$S$7:$S$874,$AN$2,BS_RE33!$N$7:$N$874,I38,BS_RE33!$P$7:$P$874,'30 days CF Table(GBP)'!G38,BS_RE33!$F$7:$F$874,'30 days CF Table(GBP)'!$C$2)</f>
        <v>0</v>
      </c>
      <c r="AO38" s="337">
        <f>SUMIFS(BS_RE33!$H$7:$H$874,BS_RE33!$S$7:$S$874,$AO$2,BS_RE33!$N$7:$N$874,I38,BS_RE33!$P$7:$P$874,'30 days CF Table(GBP)'!G38,BS_RE33!$F$7:$F$874,'30 days CF Table(GBP)'!$C$2)</f>
        <v>0</v>
      </c>
      <c r="AP38" s="338">
        <f>SUMIFS(BS_RE33!$H$7:$H$874,BS_RE33!$S$7:$S$874,$AP$2,BS_RE33!$N$7:$N$874,I38,BS_RE33!$P$7:$P$874,'30 days CF Table(GBP)'!G38,BS_RE33!$F$7:$F$874,'30 days CF Table(GBP)'!$C$2)</f>
        <v>0</v>
      </c>
      <c r="AR38" s="379">
        <f>SUMIFS(BS_RE33!$H$7:$H$874,BS_RE33!$S$7:$S$874,$AR$2,BS_RE33!$N$7:$N$874,I38,BS_RE33!$P$7:$P$874,'30 days CF Table(GBP)'!G38,BS_RE33!$F$7:$F$874,'30 days CF Table(GBP)'!$C$2)</f>
        <v>0</v>
      </c>
      <c r="AS38" s="379">
        <f>SUMIFS(BS_RE33!$H$7:$H$874,BS_RE33!$S$7:$S$874,$AS$2,BS_RE33!$N$7:$N$874,I38,BS_RE33!$P$7:$P$874,'30 days CF Table(GBP)'!G38,BS_RE33!$F$7:$F$874,'30 days CF Table(GBP)'!$C$2)</f>
        <v>0</v>
      </c>
      <c r="AT38" s="379">
        <f>SUMIFS(BS_RE33!$H$7:$H$874,BS_RE33!$S$7:$S$874,$AT$2,BS_RE33!$N$7:$N$874,I38,BS_RE33!$P$7:$P$874,'30 days CF Table(GBP)'!G38,BS_RE33!$F$7:$F$874,'30 days CF Table(GBP)'!$C$2)</f>
        <v>0</v>
      </c>
      <c r="AU38" s="379">
        <f>SUMIFS(BS_RE33!$H$7:$H$874,BS_RE33!$S$7:$S$874,$AU$2,BS_RE33!$N$7:$N$874,I38,BS_RE33!$P$7:$P$874,'30 days CF Table(GBP)'!G38,BS_RE33!$F$7:$F$874,'30 days CF Table(GBP)'!$C$2)</f>
        <v>0</v>
      </c>
      <c r="AV38" s="379">
        <f>SUMIFS(BS_RE33!$H$7:$H$874,BS_RE33!$S$7:$S$874,$AV$2,BS_RE33!$N$7:$N$874,I38,BS_RE33!$P$7:$P$874,'30 days CF Table(GBP)'!G38,BS_RE33!$F$7:$F$874,'30 days CF Table(GBP)'!$C$2)</f>
        <v>0</v>
      </c>
      <c r="AW38" s="379">
        <f>SUMIFS(BS_RE33!$H$7:$H$874,BS_RE33!$S$7:$S$874,$AW$2,BS_RE33!$N$7:$N$874,I38,BS_RE33!$P$7:$P$874,'30 days CF Table(GBP)'!G38,BS_RE33!$F$7:$F$874,'30 days CF Table(GBP)'!$C$2)</f>
        <v>0</v>
      </c>
      <c r="AX38" s="379">
        <f>SUMIFS(BS_RE33!$H$7:$H$874,BS_RE33!$S$7:$S$874,$AX$2,BS_RE33!$N$7:$N$874,I38,BS_RE33!$P$7:$P$874,'30 days CF Table(GBP)'!G38,BS_RE33!$F$7:$F$874,'30 days CF Table(GBP)'!$C$2)</f>
        <v>0</v>
      </c>
      <c r="AY38" s="379">
        <f>SUMIFS(BS_RE33!$H$7:$H$874,BS_RE33!$S$7:$S$874,$AY$2,BS_RE33!$N$7:$N$874,I38,BS_RE33!$P$7:$P$874,'30 days CF Table(GBP)'!G38,BS_RE33!$F$7:$F$874,'30 days CF Table(GBP)'!$C$2)</f>
        <v>0</v>
      </c>
      <c r="AZ38" s="379">
        <f>SUMIFS(BS_RE33!$H$7:$H$874,BS_RE33!$S$7:$S$874,$AZ$2,BS_RE33!$N$7:$N$874,I38,BS_RE33!$P$7:$P$874,'30 days CF Table(GBP)'!G38,BS_RE33!$F$7:$F$874,'30 days CF Table(GBP)'!$C$2)</f>
        <v>0</v>
      </c>
      <c r="BA38" s="379">
        <f>SUMIFS(BS_RE33!$H$7:$H$874,BS_RE33!$S$7:$S$874,$BA$2,BS_RE33!$N$7:$N$874,I38,BS_RE33!$P$7:$P$874,'30 days CF Table(GBP)'!G38,BS_RE33!$F$7:$F$874,'30 days CF Table(GBP)'!$C$2)</f>
        <v>0</v>
      </c>
      <c r="BB38" s="379">
        <f>SUMIFS(BS_RE33!$H$7:$H$874,BS_RE33!$S$7:$S$874,$BB$2,BS_RE33!$N$7:$N$874,I38,BS_RE33!$P$7:$P$874,'30 days CF Table(GBP)'!G38,BS_RE33!$F$7:$F$874,'30 days CF Table(GBP)'!$C$2)</f>
        <v>0</v>
      </c>
      <c r="BC38" s="379">
        <f>SUMIFS(BS_RE33!$H$7:$H$874,BS_RE33!$S$7:$S$874,$BC$2,BS_RE33!$N$7:$N$874,I38,BS_RE33!$P$7:$P$874,'30 days CF Table(GBP)'!G38,BS_RE33!$F$7:$F$874,'30 days CF Table(GBP)'!$C$2)</f>
        <v>0</v>
      </c>
      <c r="BD38" s="379">
        <f>SUMIFS(BS_RE33!$H$7:$H$874,BS_RE33!$S$7:$S$874,$BD$2,BS_RE33!$N$7:$N$874,I38,BS_RE33!$P$7:$P$874,'30 days CF Table(GBP)'!G38,BS_RE33!$F$7:$F$874,'30 days CF Table(GBP)'!$C$2)</f>
        <v>0</v>
      </c>
      <c r="BE38" s="379">
        <f>SUMIFS(BS_RE33!$H$7:$H$874,BS_RE33!$S$7:$S$874,$BE$2,BS_RE33!$N$7:$N$874,I38,BS_RE33!$P$7:$P$874,'30 days CF Table(GBP)'!G38,BS_RE33!$F$7:$F$874,'30 days CF Table(GBP)'!$C$2)</f>
        <v>0</v>
      </c>
      <c r="BF38" s="379">
        <f>SUMIFS(BS_RE33!$H$7:$H$874,BS_RE33!$S$7:$S$874,$BF$2,BS_RE33!$N$7:$N$874,I38,BS_RE33!$P$7:$P$874,'30 days CF Table(GBP)'!G38,BS_RE33!$F$7:$F$874,'30 days CF Table(GBP)'!$C$2)</f>
        <v>0</v>
      </c>
      <c r="BG38" s="379">
        <f>SUMIFS(BS_RE33!$H$7:$H$874,BS_RE33!$S$7:$S$874,$BG$2,BS_RE33!$N$7:$N$874,I38,BS_RE33!$P$7:$P$874,'30 days CF Table(GBP)'!G38,BS_RE33!$F$7:$F$874,'30 days CF Table(GBP)'!$C$2)</f>
        <v>0</v>
      </c>
      <c r="BH38" s="379">
        <f>SUMIFS(BS_RE33!$H$7:$H$874,BS_RE33!$S$7:$S$874,$BH$2,BS_RE33!$N$7:$N$874,I38,BS_RE33!$P$7:$P$874,'30 days CF Table(GBP)'!G38,BS_RE33!$F$7:$F$874,'30 days CF Table(GBP)'!$C$2)</f>
        <v>0</v>
      </c>
      <c r="BI38" s="379">
        <f>SUMIFS(BS_RE33!$H$7:$H$874,BS_RE33!$S$7:$S$874,$BI$2,BS_RE33!$N$7:$N$874,I38,BS_RE33!$P$7:$P$874,'30 days CF Table(GBP)'!G38,BS_RE33!$F$7:$F$874,'30 days CF Table(GBP)'!$C$2)</f>
        <v>0</v>
      </c>
      <c r="BJ38" s="379">
        <f>SUMIFS(BS_RE33!$H$7:$H$874,BS_RE33!$S$7:$S$874,$BJ$2,BS_RE33!$N$7:$N$874,I38,BS_RE33!$P$7:$P$874,'30 days CF Table(GBP)'!G38,BS_RE33!$F$7:$F$874,'30 days CF Table(GBP)'!$C$2)</f>
        <v>0</v>
      </c>
      <c r="BK38" s="379">
        <f>SUMIFS(BS_RE33!$H$7:$H$874,BS_RE33!$S$7:$S$874,$BK$2,BS_RE33!$N$7:$N$874,I38,BS_RE33!$P$7:$P$874,'30 days CF Table(GBP)'!G38,BS_RE33!$F$7:$F$874,'30 days CF Table(GBP)'!$C$2)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Table(GBP)'!G39,BS_RE33!$F$7:$F$874,'30 days CF Table(GBP)'!$C$2)</f>
        <v>0</v>
      </c>
      <c r="M39" s="337">
        <f>SUMIFS(BS_RE33!$H$7:$H$874,BS_RE33!$S$7:$S$874,$M$2,BS_RE33!$N$7:$N$874,I39,BS_RE33!$P$7:$P$874,'30 days CF Table(GBP)'!G39,BS_RE33!$F$7:$F$874,'30 days CF Table(GBP)'!$C$2)</f>
        <v>0</v>
      </c>
      <c r="N39" s="337">
        <f>SUMIFS(BS_RE33!$H$7:$H$874,BS_RE33!$S$7:$S$874,$N$2,BS_RE33!$N$7:$N$874,I39,BS_RE33!$P$7:$P$874,'30 days CF Table(GBP)'!G39,BS_RE33!$F$7:$F$874,'30 days CF Table(GBP)'!$C$2)</f>
        <v>0</v>
      </c>
      <c r="O39" s="337">
        <f>SUMIFS(BS_RE33!$H$7:$H$874,BS_RE33!$S$7:$S$874,$O$2,BS_RE33!$N$7:$N$874,I39,BS_RE33!$P$7:$P$874,'30 days CF Table(GBP)'!G39,BS_RE33!$F$7:$F$874,'30 days CF Table(GBP)'!$C$2)</f>
        <v>0</v>
      </c>
      <c r="P39" s="337">
        <f>SUMIFS(BS_RE33!$H$7:$H$874,BS_RE33!$S$7:$S$874,$P$2,BS_RE33!$N$7:$N$874,I39,BS_RE33!$P$7:$P$874,'30 days CF Table(GBP)'!G39,BS_RE33!$F$7:$F$874,'30 days CF Table(GBP)'!$C$2)</f>
        <v>0</v>
      </c>
      <c r="Q39" s="337">
        <f>SUMIFS(BS_RE33!$H$7:$H$874,BS_RE33!$S$7:$S$874,$Q$2,BS_RE33!$N$7:$N$874,I39,BS_RE33!$P$7:$P$874,'30 days CF Table(GBP)'!G39,BS_RE33!$F$7:$F$874,'30 days CF Table(GBP)'!$C$2)</f>
        <v>0</v>
      </c>
      <c r="R39" s="337">
        <f>SUMIFS(BS_RE33!$H$7:$H$874,BS_RE33!$S$7:$S$874,$R$2,BS_RE33!$N$7:$N$874,I39,BS_RE33!$P$7:$P$874,'30 days CF Table(GBP)'!G39,BS_RE33!$F$7:$F$874,'30 days CF Table(GBP)'!$C$2)</f>
        <v>0</v>
      </c>
      <c r="S39" s="337">
        <f>SUMIFS(BS_RE33!$H$7:$H$874,BS_RE33!$S$7:$S$874,$S$2,BS_RE33!$N$7:$N$874,I39,BS_RE33!$P$7:$P$874,'30 days CF Table(GBP)'!G39,BS_RE33!$F$7:$F$874,'30 days CF Table(GBP)'!$C$2)</f>
        <v>0</v>
      </c>
      <c r="T39" s="337">
        <f>SUMIFS(BS_RE33!$H$7:$H$874,BS_RE33!$S$7:$S$874,$T$2,BS_RE33!$N$7:$N$874,I39,BS_RE33!$P$7:$P$874,'30 days CF Table(GBP)'!G39,BS_RE33!$F$7:$F$874,'30 days CF Table(GBP)'!$C$2)</f>
        <v>0</v>
      </c>
      <c r="U39" s="337">
        <f>SUMIFS(BS_RE33!$H$7:$H$874,BS_RE33!$S$7:$S$874,$U$2,BS_RE33!$N$7:$N$874,I39,BS_RE33!$P$7:$P$874,'30 days CF Table(GBP)'!G39,BS_RE33!$F$7:$F$874,'30 days CF Table(GBP)'!$C$2)</f>
        <v>0</v>
      </c>
      <c r="V39" s="337">
        <f>SUMIFS(BS_RE33!$H$7:$H$874,BS_RE33!$S$7:$S$874,$V$2,BS_RE33!$N$7:$N$874,I39,BS_RE33!$P$7:$P$874,'30 days CF Table(GBP)'!G39,BS_RE33!$F$7:$F$874,'30 days CF Table(GBP)'!$C$2)</f>
        <v>0</v>
      </c>
      <c r="W39" s="337">
        <f>SUMIFS(BS_RE33!$H$7:$H$874,BS_RE33!$S$7:$S$874,$W$2,BS_RE33!$N$7:$N$874,I39,BS_RE33!$P$7:$P$874,'30 days CF Table(GBP)'!G39,BS_RE33!$F$7:$F$874,'30 days CF Table(GBP)'!$C$2)</f>
        <v>0</v>
      </c>
      <c r="X39" s="337">
        <f>SUMIFS(BS_RE33!$H$7:$H$874,BS_RE33!$S$7:$S$874,$X$2,BS_RE33!$N$7:$N$874,I39,BS_RE33!$P$7:$P$874,'30 days CF Table(GBP)'!G39,BS_RE33!$F$7:$F$874,'30 days CF Table(GBP)'!$C$2)</f>
        <v>0</v>
      </c>
      <c r="Y39" s="337">
        <f>SUMIFS(BS_RE33!$H$7:$H$874,BS_RE33!$S$7:$S$874,$Y$2,BS_RE33!$N$7:$N$874,I39,BS_RE33!$P$7:$P$874,'30 days CF Table(GBP)'!G39,BS_RE33!$F$7:$F$874,'30 days CF Table(GBP)'!$C$2)</f>
        <v>0</v>
      </c>
      <c r="Z39" s="337">
        <f>SUMIFS(BS_RE33!$H$7:$H$874,BS_RE33!$S$7:$S$874,$Z$2,BS_RE33!$N$7:$N$874,I39,BS_RE33!$P$7:$P$874,'30 days CF Table(GBP)'!G39,BS_RE33!$F$7:$F$874,'30 days CF Table(GBP)'!$C$2)</f>
        <v>0</v>
      </c>
      <c r="AA39" s="337">
        <f>SUMIFS(BS_RE33!$H$7:$H$874,BS_RE33!$S$7:$S$874,$AA$2,BS_RE33!$N$7:$N$874,I39,BS_RE33!$P$7:$P$874,'30 days CF Table(GBP)'!G39,BS_RE33!$F$7:$F$874,'30 days CF Table(GBP)'!$C$2)</f>
        <v>0</v>
      </c>
      <c r="AB39" s="337">
        <f>SUMIFS(BS_RE33!$H$7:$H$874,BS_RE33!$S$7:$S$874,$AB$2,BS_RE33!$N$7:$N$874,I39,BS_RE33!$P$7:$P$874,'30 days CF Table(GBP)'!G39,BS_RE33!$F$7:$F$874,'30 days CF Table(GBP)'!$C$2)</f>
        <v>0</v>
      </c>
      <c r="AC39" s="337">
        <f>SUMIFS(BS_RE33!$H$7:$H$874,BS_RE33!$S$7:$S$874,$AC$2,BS_RE33!$N$7:$N$874,I39,BS_RE33!$P$7:$P$874,'30 days CF Table(GBP)'!G39,BS_RE33!$F$7:$F$874,'30 days CF Table(GBP)'!$C$2)</f>
        <v>0</v>
      </c>
      <c r="AD39" s="337">
        <f>SUMIFS(BS_RE33!$H$7:$H$874,BS_RE33!$S$7:$S$874,$AD$2,BS_RE33!$N$7:$N$874,I39,BS_RE33!$P$7:$P$874,'30 days CF Table(GBP)'!G39,BS_RE33!$F$7:$F$874,'30 days CF Table(GBP)'!$C$2)</f>
        <v>0</v>
      </c>
      <c r="AE39" s="337">
        <f>SUMIFS(BS_RE33!$H$7:$H$874,BS_RE33!$S$7:$S$874,$AE$2,BS_RE33!$N$7:$N$874,I39,BS_RE33!$P$7:$P$874,'30 days CF Table(GBP)'!G39,BS_RE33!$F$7:$F$874,'30 days CF Table(GBP)'!$C$2)</f>
        <v>0</v>
      </c>
      <c r="AF39" s="337">
        <f>SUMIFS(BS_RE33!$H$7:$H$874,BS_RE33!$S$7:$S$874,$AF$2,BS_RE33!$N$7:$N$874,I39,BS_RE33!$P$7:$P$874,'30 days CF Table(GBP)'!G39,BS_RE33!$F$7:$F$874,'30 days CF Table(GBP)'!$C$2)</f>
        <v>0</v>
      </c>
      <c r="AG39" s="337">
        <f>SUMIFS(BS_RE33!$H$7:$H$874,BS_RE33!$S$7:$S$874,$AG$2,BS_RE33!$N$7:$N$874,I39,BS_RE33!$P$7:$P$874,'30 days CF Table(GBP)'!G39,BS_RE33!$F$7:$F$874,'30 days CF Table(GBP)'!$C$2)</f>
        <v>0</v>
      </c>
      <c r="AH39" s="337">
        <f>SUMIFS(BS_RE33!$H$7:$H$874,BS_RE33!$S$7:$S$874,$AH$2,BS_RE33!$N$7:$N$874,I39,BS_RE33!$P$7:$P$874,'30 days CF Table(GBP)'!G39,BS_RE33!$F$7:$F$874,'30 days CF Table(GBP)'!$C$2)</f>
        <v>0</v>
      </c>
      <c r="AI39" s="337">
        <f>SUMIFS(BS_RE33!$H$7:$H$874,BS_RE33!$S$7:$S$874,$AI$2,BS_RE33!$N$7:$N$874,I39,BS_RE33!$P$7:$P$874,'30 days CF Table(GBP)'!G39,BS_RE33!$F$7:$F$874,'30 days CF Table(GBP)'!$C$2)</f>
        <v>0</v>
      </c>
      <c r="AJ39" s="337">
        <f>SUMIFS(BS_RE33!$H$7:$H$874,BS_RE33!$S$7:$S$874,$AJ$2,BS_RE33!$N$7:$N$874,I39,BS_RE33!$P$7:$P$874,'30 days CF Table(GBP)'!G39,BS_RE33!$F$7:$F$874,'30 days CF Table(GBP)'!$C$2)</f>
        <v>0</v>
      </c>
      <c r="AK39" s="337">
        <f>SUMIFS(BS_RE33!$H$7:$H$874,BS_RE33!$S$7:$S$874,$AK$2,BS_RE33!$N$7:$N$874,I39,BS_RE33!$P$7:$P$874,'30 days CF Table(GBP)'!G39,BS_RE33!$F$7:$F$874,'30 days CF Table(GBP)'!$C$2)</f>
        <v>0</v>
      </c>
      <c r="AL39" s="337">
        <f>SUMIFS(BS_RE33!$H$7:$H$874,BS_RE33!$S$7:$S$874,$AL$2,BS_RE33!$N$7:$N$874,I39,BS_RE33!$P$7:$P$874,'30 days CF Table(GBP)'!G39,BS_RE33!$F$7:$F$874,'30 days CF Table(GBP)'!$C$2)</f>
        <v>0</v>
      </c>
      <c r="AM39" s="337">
        <f>SUMIFS(BS_RE33!$H$7:$H$874,BS_RE33!$S$7:$S$874,$AM$2,BS_RE33!$N$7:$N$874,I39,BS_RE33!$P$7:$P$874,'30 days CF Table(GBP)'!G39,BS_RE33!$F$7:$F$874,'30 days CF Table(GBP)'!$C$2)</f>
        <v>0</v>
      </c>
      <c r="AN39" s="337">
        <f>SUMIFS(BS_RE33!$H$7:$H$874,BS_RE33!$S$7:$S$874,$AN$2,BS_RE33!$N$7:$N$874,I39,BS_RE33!$P$7:$P$874,'30 days CF Table(GBP)'!G39,BS_RE33!$F$7:$F$874,'30 days CF Table(GBP)'!$C$2)</f>
        <v>0</v>
      </c>
      <c r="AO39" s="337">
        <f>SUMIFS(BS_RE33!$H$7:$H$874,BS_RE33!$S$7:$S$874,$AO$2,BS_RE33!$N$7:$N$874,I39,BS_RE33!$P$7:$P$874,'30 days CF Table(GBP)'!G39,BS_RE33!$F$7:$F$874,'30 days CF Table(GBP)'!$C$2)</f>
        <v>0</v>
      </c>
      <c r="AP39" s="338">
        <f>SUMIFS(BS_RE33!$H$7:$H$874,BS_RE33!$S$7:$S$874,$AP$2,BS_RE33!$N$7:$N$874,I39,BS_RE33!$P$7:$P$874,'30 days CF Table(GBP)'!G39,BS_RE33!$F$7:$F$874,'30 days CF Table(GBP)'!$C$2)</f>
        <v>0</v>
      </c>
      <c r="AR39" s="379">
        <f>SUMIFS(BS_RE33!$H$7:$H$874,BS_RE33!$S$7:$S$874,$AR$2,BS_RE33!$N$7:$N$874,I39,BS_RE33!$P$7:$P$874,'30 days CF Table(GBP)'!G39,BS_RE33!$F$7:$F$874,'30 days CF Table(GBP)'!$C$2)</f>
        <v>0</v>
      </c>
      <c r="AS39" s="379">
        <f>SUMIFS(BS_RE33!$H$7:$H$874,BS_RE33!$S$7:$S$874,$AS$2,BS_RE33!$N$7:$N$874,I39,BS_RE33!$P$7:$P$874,'30 days CF Table(GBP)'!G39,BS_RE33!$F$7:$F$874,'30 days CF Table(GBP)'!$C$2)</f>
        <v>0</v>
      </c>
      <c r="AT39" s="379">
        <f>SUMIFS(BS_RE33!$H$7:$H$874,BS_RE33!$S$7:$S$874,$AT$2,BS_RE33!$N$7:$N$874,I39,BS_RE33!$P$7:$P$874,'30 days CF Table(GBP)'!G39,BS_RE33!$F$7:$F$874,'30 days CF Table(GBP)'!$C$2)</f>
        <v>0</v>
      </c>
      <c r="AU39" s="379">
        <f>SUMIFS(BS_RE33!$H$7:$H$874,BS_RE33!$S$7:$S$874,$AU$2,BS_RE33!$N$7:$N$874,I39,BS_RE33!$P$7:$P$874,'30 days CF Table(GBP)'!G39,BS_RE33!$F$7:$F$874,'30 days CF Table(GBP)'!$C$2)</f>
        <v>0</v>
      </c>
      <c r="AV39" s="379">
        <f>SUMIFS(BS_RE33!$H$7:$H$874,BS_RE33!$S$7:$S$874,$AV$2,BS_RE33!$N$7:$N$874,I39,BS_RE33!$P$7:$P$874,'30 days CF Table(GBP)'!G39,BS_RE33!$F$7:$F$874,'30 days CF Table(GBP)'!$C$2)</f>
        <v>0</v>
      </c>
      <c r="AW39" s="379">
        <f>SUMIFS(BS_RE33!$H$7:$H$874,BS_RE33!$S$7:$S$874,$AW$2,BS_RE33!$N$7:$N$874,I39,BS_RE33!$P$7:$P$874,'30 days CF Table(GBP)'!G39,BS_RE33!$F$7:$F$874,'30 days CF Table(GBP)'!$C$2)</f>
        <v>0</v>
      </c>
      <c r="AX39" s="379">
        <f>SUMIFS(BS_RE33!$H$7:$H$874,BS_RE33!$S$7:$S$874,$AX$2,BS_RE33!$N$7:$N$874,I39,BS_RE33!$P$7:$P$874,'30 days CF Table(GBP)'!G39,BS_RE33!$F$7:$F$874,'30 days CF Table(GBP)'!$C$2)</f>
        <v>0</v>
      </c>
      <c r="AY39" s="379">
        <f>SUMIFS(BS_RE33!$H$7:$H$874,BS_RE33!$S$7:$S$874,$AY$2,BS_RE33!$N$7:$N$874,I39,BS_RE33!$P$7:$P$874,'30 days CF Table(GBP)'!G39,BS_RE33!$F$7:$F$874,'30 days CF Table(GBP)'!$C$2)</f>
        <v>0</v>
      </c>
      <c r="AZ39" s="379">
        <f>SUMIFS(BS_RE33!$H$7:$H$874,BS_RE33!$S$7:$S$874,$AZ$2,BS_RE33!$N$7:$N$874,I39,BS_RE33!$P$7:$P$874,'30 days CF Table(GBP)'!G39,BS_RE33!$F$7:$F$874,'30 days CF Table(GBP)'!$C$2)</f>
        <v>0</v>
      </c>
      <c r="BA39" s="379">
        <f>SUMIFS(BS_RE33!$H$7:$H$874,BS_RE33!$S$7:$S$874,$BA$2,BS_RE33!$N$7:$N$874,I39,BS_RE33!$P$7:$P$874,'30 days CF Table(GBP)'!G39,BS_RE33!$F$7:$F$874,'30 days CF Table(GBP)'!$C$2)</f>
        <v>0</v>
      </c>
      <c r="BB39" s="379">
        <f>SUMIFS(BS_RE33!$H$7:$H$874,BS_RE33!$S$7:$S$874,$BB$2,BS_RE33!$N$7:$N$874,I39,BS_RE33!$P$7:$P$874,'30 days CF Table(GBP)'!G39,BS_RE33!$F$7:$F$874,'30 days CF Table(GBP)'!$C$2)</f>
        <v>0</v>
      </c>
      <c r="BC39" s="379">
        <f>SUMIFS(BS_RE33!$H$7:$H$874,BS_RE33!$S$7:$S$874,$BC$2,BS_RE33!$N$7:$N$874,I39,BS_RE33!$P$7:$P$874,'30 days CF Table(GBP)'!G39,BS_RE33!$F$7:$F$874,'30 days CF Table(GBP)'!$C$2)</f>
        <v>0</v>
      </c>
      <c r="BD39" s="379">
        <f>SUMIFS(BS_RE33!$H$7:$H$874,BS_RE33!$S$7:$S$874,$BD$2,BS_RE33!$N$7:$N$874,I39,BS_RE33!$P$7:$P$874,'30 days CF Table(GBP)'!G39,BS_RE33!$F$7:$F$874,'30 days CF Table(GBP)'!$C$2)</f>
        <v>0</v>
      </c>
      <c r="BE39" s="379">
        <f>SUMIFS(BS_RE33!$H$7:$H$874,BS_RE33!$S$7:$S$874,$BE$2,BS_RE33!$N$7:$N$874,I39,BS_RE33!$P$7:$P$874,'30 days CF Table(GBP)'!G39,BS_RE33!$F$7:$F$874,'30 days CF Table(GBP)'!$C$2)</f>
        <v>0</v>
      </c>
      <c r="BF39" s="379">
        <f>SUMIFS(BS_RE33!$H$7:$H$874,BS_RE33!$S$7:$S$874,$BF$2,BS_RE33!$N$7:$N$874,I39,BS_RE33!$P$7:$P$874,'30 days CF Table(GBP)'!G39,BS_RE33!$F$7:$F$874,'30 days CF Table(GBP)'!$C$2)</f>
        <v>0</v>
      </c>
      <c r="BG39" s="379">
        <f>SUMIFS(BS_RE33!$H$7:$H$874,BS_RE33!$S$7:$S$874,$BG$2,BS_RE33!$N$7:$N$874,I39,BS_RE33!$P$7:$P$874,'30 days CF Table(GBP)'!G39,BS_RE33!$F$7:$F$874,'30 days CF Table(GBP)'!$C$2)</f>
        <v>0</v>
      </c>
      <c r="BH39" s="379">
        <f>SUMIFS(BS_RE33!$H$7:$H$874,BS_RE33!$S$7:$S$874,$BH$2,BS_RE33!$N$7:$N$874,I39,BS_RE33!$P$7:$P$874,'30 days CF Table(GBP)'!G39,BS_RE33!$F$7:$F$874,'30 days CF Table(GBP)'!$C$2)</f>
        <v>0</v>
      </c>
      <c r="BI39" s="379">
        <f>SUMIFS(BS_RE33!$H$7:$H$874,BS_RE33!$S$7:$S$874,$BI$2,BS_RE33!$N$7:$N$874,I39,BS_RE33!$P$7:$P$874,'30 days CF Table(GBP)'!G39,BS_RE33!$F$7:$F$874,'30 days CF Table(GBP)'!$C$2)</f>
        <v>0</v>
      </c>
      <c r="BJ39" s="379">
        <f>SUMIFS(BS_RE33!$H$7:$H$874,BS_RE33!$S$7:$S$874,$BJ$2,BS_RE33!$N$7:$N$874,I39,BS_RE33!$P$7:$P$874,'30 days CF Table(GBP)'!G39,BS_RE33!$F$7:$F$874,'30 days CF Table(GBP)'!$C$2)</f>
        <v>0</v>
      </c>
      <c r="BK39" s="379">
        <f>SUMIFS(BS_RE33!$H$7:$H$874,BS_RE33!$S$7:$S$874,$BK$2,BS_RE33!$N$7:$N$874,I39,BS_RE33!$P$7:$P$874,'30 days CF Table(GBP)'!G39,BS_RE33!$F$7:$F$874,'30 days CF Table(GBP)'!$C$2)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Table(GBP)'!G40,BS_RE33!$F$7:$F$874,'30 days CF Table(GBP)'!$C$2)</f>
        <v>0</v>
      </c>
      <c r="M40" s="337">
        <f>SUMIFS(BS_RE33!$H$7:$H$874,BS_RE33!$S$7:$S$874,$M$2,BS_RE33!$N$7:$N$874,I40,BS_RE33!$P$7:$P$874,'30 days CF Table(GBP)'!G40,BS_RE33!$F$7:$F$874,'30 days CF Table(GBP)'!$C$2)</f>
        <v>0</v>
      </c>
      <c r="N40" s="337">
        <f>SUMIFS(BS_RE33!$H$7:$H$874,BS_RE33!$S$7:$S$874,$N$2,BS_RE33!$N$7:$N$874,I40,BS_RE33!$P$7:$P$874,'30 days CF Table(GBP)'!G40,BS_RE33!$F$7:$F$874,'30 days CF Table(GBP)'!$C$2)</f>
        <v>0</v>
      </c>
      <c r="O40" s="337">
        <f>SUMIFS(BS_RE33!$H$7:$H$874,BS_RE33!$S$7:$S$874,$O$2,BS_RE33!$N$7:$N$874,I40,BS_RE33!$P$7:$P$874,'30 days CF Table(GBP)'!G40,BS_RE33!$F$7:$F$874,'30 days CF Table(GBP)'!$C$2)</f>
        <v>0</v>
      </c>
      <c r="P40" s="337">
        <f>SUMIFS(BS_RE33!$H$7:$H$874,BS_RE33!$S$7:$S$874,$P$2,BS_RE33!$N$7:$N$874,I40,BS_RE33!$P$7:$P$874,'30 days CF Table(GBP)'!G40,BS_RE33!$F$7:$F$874,'30 days CF Table(GBP)'!$C$2)</f>
        <v>0</v>
      </c>
      <c r="Q40" s="337">
        <f>SUMIFS(BS_RE33!$H$7:$H$874,BS_RE33!$S$7:$S$874,$Q$2,BS_RE33!$N$7:$N$874,I40,BS_RE33!$P$7:$P$874,'30 days CF Table(GBP)'!G40,BS_RE33!$F$7:$F$874,'30 days CF Table(GBP)'!$C$2)</f>
        <v>0</v>
      </c>
      <c r="R40" s="337">
        <f>SUMIFS(BS_RE33!$H$7:$H$874,BS_RE33!$S$7:$S$874,$R$2,BS_RE33!$N$7:$N$874,I40,BS_RE33!$P$7:$P$874,'30 days CF Table(GBP)'!G40,BS_RE33!$F$7:$F$874,'30 days CF Table(GBP)'!$C$2)</f>
        <v>0</v>
      </c>
      <c r="S40" s="337">
        <f>SUMIFS(BS_RE33!$H$7:$H$874,BS_RE33!$S$7:$S$874,$S$2,BS_RE33!$N$7:$N$874,I40,BS_RE33!$P$7:$P$874,'30 days CF Table(GBP)'!G40,BS_RE33!$F$7:$F$874,'30 days CF Table(GBP)'!$C$2)</f>
        <v>0</v>
      </c>
      <c r="T40" s="337">
        <f>SUMIFS(BS_RE33!$H$7:$H$874,BS_RE33!$S$7:$S$874,$T$2,BS_RE33!$N$7:$N$874,I40,BS_RE33!$P$7:$P$874,'30 days CF Table(GBP)'!G40,BS_RE33!$F$7:$F$874,'30 days CF Table(GBP)'!$C$2)</f>
        <v>0</v>
      </c>
      <c r="U40" s="337">
        <f>SUMIFS(BS_RE33!$H$7:$H$874,BS_RE33!$S$7:$S$874,$U$2,BS_RE33!$N$7:$N$874,I40,BS_RE33!$P$7:$P$874,'30 days CF Table(GBP)'!G40,BS_RE33!$F$7:$F$874,'30 days CF Table(GBP)'!$C$2)</f>
        <v>0</v>
      </c>
      <c r="V40" s="337">
        <f>SUMIFS(BS_RE33!$H$7:$H$874,BS_RE33!$S$7:$S$874,$V$2,BS_RE33!$N$7:$N$874,I40,BS_RE33!$P$7:$P$874,'30 days CF Table(GBP)'!G40,BS_RE33!$F$7:$F$874,'30 days CF Table(GBP)'!$C$2)</f>
        <v>0</v>
      </c>
      <c r="W40" s="337">
        <f>SUMIFS(BS_RE33!$H$7:$H$874,BS_RE33!$S$7:$S$874,$W$2,BS_RE33!$N$7:$N$874,I40,BS_RE33!$P$7:$P$874,'30 days CF Table(GBP)'!G40,BS_RE33!$F$7:$F$874,'30 days CF Table(GBP)'!$C$2)</f>
        <v>0</v>
      </c>
      <c r="X40" s="337">
        <f>SUMIFS(BS_RE33!$H$7:$H$874,BS_RE33!$S$7:$S$874,$X$2,BS_RE33!$N$7:$N$874,I40,BS_RE33!$P$7:$P$874,'30 days CF Table(GBP)'!G40,BS_RE33!$F$7:$F$874,'30 days CF Table(GBP)'!$C$2)</f>
        <v>0</v>
      </c>
      <c r="Y40" s="337">
        <f>SUMIFS(BS_RE33!$H$7:$H$874,BS_RE33!$S$7:$S$874,$Y$2,BS_RE33!$N$7:$N$874,I40,BS_RE33!$P$7:$P$874,'30 days CF Table(GBP)'!G40,BS_RE33!$F$7:$F$874,'30 days CF Table(GBP)'!$C$2)</f>
        <v>0</v>
      </c>
      <c r="Z40" s="337">
        <f>SUMIFS(BS_RE33!$H$7:$H$874,BS_RE33!$S$7:$S$874,$Z$2,BS_RE33!$N$7:$N$874,I40,BS_RE33!$P$7:$P$874,'30 days CF Table(GBP)'!G40,BS_RE33!$F$7:$F$874,'30 days CF Table(GBP)'!$C$2)</f>
        <v>0</v>
      </c>
      <c r="AA40" s="337">
        <f>SUMIFS(BS_RE33!$H$7:$H$874,BS_RE33!$S$7:$S$874,$AA$2,BS_RE33!$N$7:$N$874,I40,BS_RE33!$P$7:$P$874,'30 days CF Table(GBP)'!G40,BS_RE33!$F$7:$F$874,'30 days CF Table(GBP)'!$C$2)</f>
        <v>0</v>
      </c>
      <c r="AB40" s="337">
        <f>SUMIFS(BS_RE33!$H$7:$H$874,BS_RE33!$S$7:$S$874,$AB$2,BS_RE33!$N$7:$N$874,I40,BS_RE33!$P$7:$P$874,'30 days CF Table(GBP)'!G40,BS_RE33!$F$7:$F$874,'30 days CF Table(GBP)'!$C$2)</f>
        <v>0</v>
      </c>
      <c r="AC40" s="337">
        <f>SUMIFS(BS_RE33!$H$7:$H$874,BS_RE33!$S$7:$S$874,$AC$2,BS_RE33!$N$7:$N$874,I40,BS_RE33!$P$7:$P$874,'30 days CF Table(GBP)'!G40,BS_RE33!$F$7:$F$874,'30 days CF Table(GBP)'!$C$2)</f>
        <v>0</v>
      </c>
      <c r="AD40" s="337">
        <f>SUMIFS(BS_RE33!$H$7:$H$874,BS_RE33!$S$7:$S$874,$AD$2,BS_RE33!$N$7:$N$874,I40,BS_RE33!$P$7:$P$874,'30 days CF Table(GBP)'!G40,BS_RE33!$F$7:$F$874,'30 days CF Table(GBP)'!$C$2)</f>
        <v>0</v>
      </c>
      <c r="AE40" s="337">
        <f>SUMIFS(BS_RE33!$H$7:$H$874,BS_RE33!$S$7:$S$874,$AE$2,BS_RE33!$N$7:$N$874,I40,BS_RE33!$P$7:$P$874,'30 days CF Table(GBP)'!G40,BS_RE33!$F$7:$F$874,'30 days CF Table(GBP)'!$C$2)</f>
        <v>0</v>
      </c>
      <c r="AF40" s="337">
        <f>SUMIFS(BS_RE33!$H$7:$H$874,BS_RE33!$S$7:$S$874,$AF$2,BS_RE33!$N$7:$N$874,I40,BS_RE33!$P$7:$P$874,'30 days CF Table(GBP)'!G40,BS_RE33!$F$7:$F$874,'30 days CF Table(GBP)'!$C$2)</f>
        <v>0</v>
      </c>
      <c r="AG40" s="337">
        <f>SUMIFS(BS_RE33!$H$7:$H$874,BS_RE33!$S$7:$S$874,$AG$2,BS_RE33!$N$7:$N$874,I40,BS_RE33!$P$7:$P$874,'30 days CF Table(GBP)'!G40,BS_RE33!$F$7:$F$874,'30 days CF Table(GBP)'!$C$2)</f>
        <v>0</v>
      </c>
      <c r="AH40" s="337">
        <f>SUMIFS(BS_RE33!$H$7:$H$874,BS_RE33!$S$7:$S$874,$AH$2,BS_RE33!$N$7:$N$874,I40,BS_RE33!$P$7:$P$874,'30 days CF Table(GBP)'!G40,BS_RE33!$F$7:$F$874,'30 days CF Table(GBP)'!$C$2)</f>
        <v>0</v>
      </c>
      <c r="AI40" s="337">
        <f>SUMIFS(BS_RE33!$H$7:$H$874,BS_RE33!$S$7:$S$874,$AI$2,BS_RE33!$N$7:$N$874,I40,BS_RE33!$P$7:$P$874,'30 days CF Table(GBP)'!G40,BS_RE33!$F$7:$F$874,'30 days CF Table(GBP)'!$C$2)</f>
        <v>0</v>
      </c>
      <c r="AJ40" s="337">
        <f>SUMIFS(BS_RE33!$H$7:$H$874,BS_RE33!$S$7:$S$874,$AJ$2,BS_RE33!$N$7:$N$874,I40,BS_RE33!$P$7:$P$874,'30 days CF Table(GBP)'!G40,BS_RE33!$F$7:$F$874,'30 days CF Table(GBP)'!$C$2)</f>
        <v>0</v>
      </c>
      <c r="AK40" s="337">
        <f>SUMIFS(BS_RE33!$H$7:$H$874,BS_RE33!$S$7:$S$874,$AK$2,BS_RE33!$N$7:$N$874,I40,BS_RE33!$P$7:$P$874,'30 days CF Table(GBP)'!G40,BS_RE33!$F$7:$F$874,'30 days CF Table(GBP)'!$C$2)</f>
        <v>0</v>
      </c>
      <c r="AL40" s="337">
        <f>SUMIFS(BS_RE33!$H$7:$H$874,BS_RE33!$S$7:$S$874,$AL$2,BS_RE33!$N$7:$N$874,I40,BS_RE33!$P$7:$P$874,'30 days CF Table(GBP)'!G40,BS_RE33!$F$7:$F$874,'30 days CF Table(GBP)'!$C$2)</f>
        <v>0</v>
      </c>
      <c r="AM40" s="337">
        <f>SUMIFS(BS_RE33!$H$7:$H$874,BS_RE33!$S$7:$S$874,$AM$2,BS_RE33!$N$7:$N$874,I40,BS_RE33!$P$7:$P$874,'30 days CF Table(GBP)'!G40,BS_RE33!$F$7:$F$874,'30 days CF Table(GBP)'!$C$2)</f>
        <v>0</v>
      </c>
      <c r="AN40" s="337">
        <f>SUMIFS(BS_RE33!$H$7:$H$874,BS_RE33!$S$7:$S$874,$AN$2,BS_RE33!$N$7:$N$874,I40,BS_RE33!$P$7:$P$874,'30 days CF Table(GBP)'!G40,BS_RE33!$F$7:$F$874,'30 days CF Table(GBP)'!$C$2)</f>
        <v>0</v>
      </c>
      <c r="AO40" s="337">
        <f>SUMIFS(BS_RE33!$H$7:$H$874,BS_RE33!$S$7:$S$874,$AO$2,BS_RE33!$N$7:$N$874,I40,BS_RE33!$P$7:$P$874,'30 days CF Table(GBP)'!G40,BS_RE33!$F$7:$F$874,'30 days CF Table(GBP)'!$C$2)</f>
        <v>0</v>
      </c>
      <c r="AP40" s="338">
        <f>SUMIFS(BS_RE33!$H$7:$H$874,BS_RE33!$S$7:$S$874,$AP$2,BS_RE33!$N$7:$N$874,I40,BS_RE33!$P$7:$P$874,'30 days CF Table(GBP)'!G40,BS_RE33!$F$7:$F$874,'30 days CF Table(GBP)'!$C$2)</f>
        <v>0</v>
      </c>
      <c r="AR40" s="379">
        <f>SUMIFS(BS_RE33!$H$7:$H$874,BS_RE33!$S$7:$S$874,$AR$2,BS_RE33!$N$7:$N$874,I40,BS_RE33!$P$7:$P$874,'30 days CF Table(GBP)'!G40,BS_RE33!$F$7:$F$874,'30 days CF Table(GBP)'!$C$2)</f>
        <v>0</v>
      </c>
      <c r="AS40" s="379">
        <f>SUMIFS(BS_RE33!$H$7:$H$874,BS_RE33!$S$7:$S$874,$AS$2,BS_RE33!$N$7:$N$874,I40,BS_RE33!$P$7:$P$874,'30 days CF Table(GBP)'!G40,BS_RE33!$F$7:$F$874,'30 days CF Table(GBP)'!$C$2)</f>
        <v>0</v>
      </c>
      <c r="AT40" s="379">
        <f>SUMIFS(BS_RE33!$H$7:$H$874,BS_RE33!$S$7:$S$874,$AT$2,BS_RE33!$N$7:$N$874,I40,BS_RE33!$P$7:$P$874,'30 days CF Table(GBP)'!G40,BS_RE33!$F$7:$F$874,'30 days CF Table(GBP)'!$C$2)</f>
        <v>0</v>
      </c>
      <c r="AU40" s="379">
        <f>SUMIFS(BS_RE33!$H$7:$H$874,BS_RE33!$S$7:$S$874,$AU$2,BS_RE33!$N$7:$N$874,I40,BS_RE33!$P$7:$P$874,'30 days CF Table(GBP)'!G40,BS_RE33!$F$7:$F$874,'30 days CF Table(GBP)'!$C$2)</f>
        <v>0</v>
      </c>
      <c r="AV40" s="379">
        <f>SUMIFS(BS_RE33!$H$7:$H$874,BS_RE33!$S$7:$S$874,$AV$2,BS_RE33!$N$7:$N$874,I40,BS_RE33!$P$7:$P$874,'30 days CF Table(GBP)'!G40,BS_RE33!$F$7:$F$874,'30 days CF Table(GBP)'!$C$2)</f>
        <v>0</v>
      </c>
      <c r="AW40" s="379">
        <f>SUMIFS(BS_RE33!$H$7:$H$874,BS_RE33!$S$7:$S$874,$AW$2,BS_RE33!$N$7:$N$874,I40,BS_RE33!$P$7:$P$874,'30 days CF Table(GBP)'!G40,BS_RE33!$F$7:$F$874,'30 days CF Table(GBP)'!$C$2)</f>
        <v>0</v>
      </c>
      <c r="AX40" s="379">
        <f>SUMIFS(BS_RE33!$H$7:$H$874,BS_RE33!$S$7:$S$874,$AX$2,BS_RE33!$N$7:$N$874,I40,BS_RE33!$P$7:$P$874,'30 days CF Table(GBP)'!G40,BS_RE33!$F$7:$F$874,'30 days CF Table(GBP)'!$C$2)</f>
        <v>0</v>
      </c>
      <c r="AY40" s="379">
        <f>SUMIFS(BS_RE33!$H$7:$H$874,BS_RE33!$S$7:$S$874,$AY$2,BS_RE33!$N$7:$N$874,I40,BS_RE33!$P$7:$P$874,'30 days CF Table(GBP)'!G40,BS_RE33!$F$7:$F$874,'30 days CF Table(GBP)'!$C$2)</f>
        <v>0</v>
      </c>
      <c r="AZ40" s="379">
        <f>SUMIFS(BS_RE33!$H$7:$H$874,BS_RE33!$S$7:$S$874,$AZ$2,BS_RE33!$N$7:$N$874,I40,BS_RE33!$P$7:$P$874,'30 days CF Table(GBP)'!G40,BS_RE33!$F$7:$F$874,'30 days CF Table(GBP)'!$C$2)</f>
        <v>0</v>
      </c>
      <c r="BA40" s="379">
        <f>SUMIFS(BS_RE33!$H$7:$H$874,BS_RE33!$S$7:$S$874,$BA$2,BS_RE33!$N$7:$N$874,I40,BS_RE33!$P$7:$P$874,'30 days CF Table(GBP)'!G40,BS_RE33!$F$7:$F$874,'30 days CF Table(GBP)'!$C$2)</f>
        <v>0</v>
      </c>
      <c r="BB40" s="379">
        <f>SUMIFS(BS_RE33!$H$7:$H$874,BS_RE33!$S$7:$S$874,$BB$2,BS_RE33!$N$7:$N$874,I40,BS_RE33!$P$7:$P$874,'30 days CF Table(GBP)'!G40,BS_RE33!$F$7:$F$874,'30 days CF Table(GBP)'!$C$2)</f>
        <v>0</v>
      </c>
      <c r="BC40" s="379">
        <f>SUMIFS(BS_RE33!$H$7:$H$874,BS_RE33!$S$7:$S$874,$BC$2,BS_RE33!$N$7:$N$874,I40,BS_RE33!$P$7:$P$874,'30 days CF Table(GBP)'!G40,BS_RE33!$F$7:$F$874,'30 days CF Table(GBP)'!$C$2)</f>
        <v>0</v>
      </c>
      <c r="BD40" s="379">
        <f>SUMIFS(BS_RE33!$H$7:$H$874,BS_RE33!$S$7:$S$874,$BD$2,BS_RE33!$N$7:$N$874,I40,BS_RE33!$P$7:$P$874,'30 days CF Table(GBP)'!G40,BS_RE33!$F$7:$F$874,'30 days CF Table(GBP)'!$C$2)</f>
        <v>0</v>
      </c>
      <c r="BE40" s="379">
        <f>SUMIFS(BS_RE33!$H$7:$H$874,BS_RE33!$S$7:$S$874,$BE$2,BS_RE33!$N$7:$N$874,I40,BS_RE33!$P$7:$P$874,'30 days CF Table(GBP)'!G40,BS_RE33!$F$7:$F$874,'30 days CF Table(GBP)'!$C$2)</f>
        <v>0</v>
      </c>
      <c r="BF40" s="379">
        <f>SUMIFS(BS_RE33!$H$7:$H$874,BS_RE33!$S$7:$S$874,$BF$2,BS_RE33!$N$7:$N$874,I40,BS_RE33!$P$7:$P$874,'30 days CF Table(GBP)'!G40,BS_RE33!$F$7:$F$874,'30 days CF Table(GBP)'!$C$2)</f>
        <v>0</v>
      </c>
      <c r="BG40" s="379">
        <f>SUMIFS(BS_RE33!$H$7:$H$874,BS_RE33!$S$7:$S$874,$BG$2,BS_RE33!$N$7:$N$874,I40,BS_RE33!$P$7:$P$874,'30 days CF Table(GBP)'!G40,BS_RE33!$F$7:$F$874,'30 days CF Table(GBP)'!$C$2)</f>
        <v>0</v>
      </c>
      <c r="BH40" s="379">
        <f>SUMIFS(BS_RE33!$H$7:$H$874,BS_RE33!$S$7:$S$874,$BH$2,BS_RE33!$N$7:$N$874,I40,BS_RE33!$P$7:$P$874,'30 days CF Table(GBP)'!G40,BS_RE33!$F$7:$F$874,'30 days CF Table(GBP)'!$C$2)</f>
        <v>0</v>
      </c>
      <c r="BI40" s="379">
        <f>SUMIFS(BS_RE33!$H$7:$H$874,BS_RE33!$S$7:$S$874,$BI$2,BS_RE33!$N$7:$N$874,I40,BS_RE33!$P$7:$P$874,'30 days CF Table(GBP)'!G40,BS_RE33!$F$7:$F$874,'30 days CF Table(GBP)'!$C$2)</f>
        <v>0</v>
      </c>
      <c r="BJ40" s="379">
        <f>SUMIFS(BS_RE33!$H$7:$H$874,BS_RE33!$S$7:$S$874,$BJ$2,BS_RE33!$N$7:$N$874,I40,BS_RE33!$P$7:$P$874,'30 days CF Table(GBP)'!G40,BS_RE33!$F$7:$F$874,'30 days CF Table(GBP)'!$C$2)</f>
        <v>0</v>
      </c>
      <c r="BK40" s="379">
        <f>SUMIFS(BS_RE33!$H$7:$H$874,BS_RE33!$S$7:$S$874,$BK$2,BS_RE33!$N$7:$N$874,I40,BS_RE33!$P$7:$P$874,'30 days CF Table(GBP)'!G40,BS_RE33!$F$7:$F$874,'30 days CF Table(GBP)'!$C$2)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Table(GBP)'!G41,BS_RE33!$F$7:$F$874,'30 days CF Table(GBP)'!$C$2)</f>
        <v>0</v>
      </c>
      <c r="M41" s="337">
        <f>SUMIFS(BS_RE33!$H$7:$H$874,BS_RE33!$S$7:$S$874,$M$2,BS_RE33!$N$7:$N$874,I41,BS_RE33!$P$7:$P$874,'30 days CF Table(GBP)'!G41,BS_RE33!$F$7:$F$874,'30 days CF Table(GBP)'!$C$2)</f>
        <v>0</v>
      </c>
      <c r="N41" s="337">
        <f>SUMIFS(BS_RE33!$H$7:$H$874,BS_RE33!$S$7:$S$874,$N$2,BS_RE33!$N$7:$N$874,I41,BS_RE33!$P$7:$P$874,'30 days CF Table(GBP)'!G41,BS_RE33!$F$7:$F$874,'30 days CF Table(GBP)'!$C$2)</f>
        <v>0</v>
      </c>
      <c r="O41" s="337">
        <f>SUMIFS(BS_RE33!$H$7:$H$874,BS_RE33!$S$7:$S$874,$O$2,BS_RE33!$N$7:$N$874,I41,BS_RE33!$P$7:$P$874,'30 days CF Table(GBP)'!G41,BS_RE33!$F$7:$F$874,'30 days CF Table(GBP)'!$C$2)</f>
        <v>0</v>
      </c>
      <c r="P41" s="337">
        <f>SUMIFS(BS_RE33!$H$7:$H$874,BS_RE33!$S$7:$S$874,$P$2,BS_RE33!$N$7:$N$874,I41,BS_RE33!$P$7:$P$874,'30 days CF Table(GBP)'!G41,BS_RE33!$F$7:$F$874,'30 days CF Table(GBP)'!$C$2)</f>
        <v>0</v>
      </c>
      <c r="Q41" s="337">
        <f>SUMIFS(BS_RE33!$H$7:$H$874,BS_RE33!$S$7:$S$874,$Q$2,BS_RE33!$N$7:$N$874,I41,BS_RE33!$P$7:$P$874,'30 days CF Table(GBP)'!G41,BS_RE33!$F$7:$F$874,'30 days CF Table(GBP)'!$C$2)</f>
        <v>0</v>
      </c>
      <c r="R41" s="337">
        <f>SUMIFS(BS_RE33!$H$7:$H$874,BS_RE33!$S$7:$S$874,$R$2,BS_RE33!$N$7:$N$874,I41,BS_RE33!$P$7:$P$874,'30 days CF Table(GBP)'!G41,BS_RE33!$F$7:$F$874,'30 days CF Table(GBP)'!$C$2)</f>
        <v>0</v>
      </c>
      <c r="S41" s="337">
        <f>SUMIFS(BS_RE33!$H$7:$H$874,BS_RE33!$S$7:$S$874,$S$2,BS_RE33!$N$7:$N$874,I41,BS_RE33!$P$7:$P$874,'30 days CF Table(GBP)'!G41,BS_RE33!$F$7:$F$874,'30 days CF Table(GBP)'!$C$2)</f>
        <v>0</v>
      </c>
      <c r="T41" s="337">
        <f>SUMIFS(BS_RE33!$H$7:$H$874,BS_RE33!$S$7:$S$874,$T$2,BS_RE33!$N$7:$N$874,I41,BS_RE33!$P$7:$P$874,'30 days CF Table(GBP)'!G41,BS_RE33!$F$7:$F$874,'30 days CF Table(GBP)'!$C$2)</f>
        <v>0</v>
      </c>
      <c r="U41" s="337">
        <f>SUMIFS(BS_RE33!$H$7:$H$874,BS_RE33!$S$7:$S$874,$U$2,BS_RE33!$N$7:$N$874,I41,BS_RE33!$P$7:$P$874,'30 days CF Table(GBP)'!G41,BS_RE33!$F$7:$F$874,'30 days CF Table(GBP)'!$C$2)</f>
        <v>0</v>
      </c>
      <c r="V41" s="337">
        <f>SUMIFS(BS_RE33!$H$7:$H$874,BS_RE33!$S$7:$S$874,$V$2,BS_RE33!$N$7:$N$874,I41,BS_RE33!$P$7:$P$874,'30 days CF Table(GBP)'!G41,BS_RE33!$F$7:$F$874,'30 days CF Table(GBP)'!$C$2)</f>
        <v>0</v>
      </c>
      <c r="W41" s="337">
        <f>SUMIFS(BS_RE33!$H$7:$H$874,BS_RE33!$S$7:$S$874,$W$2,BS_RE33!$N$7:$N$874,I41,BS_RE33!$P$7:$P$874,'30 days CF Table(GBP)'!G41,BS_RE33!$F$7:$F$874,'30 days CF Table(GBP)'!$C$2)</f>
        <v>0</v>
      </c>
      <c r="X41" s="337">
        <f>SUMIFS(BS_RE33!$H$7:$H$874,BS_RE33!$S$7:$S$874,$X$2,BS_RE33!$N$7:$N$874,I41,BS_RE33!$P$7:$P$874,'30 days CF Table(GBP)'!G41,BS_RE33!$F$7:$F$874,'30 days CF Table(GBP)'!$C$2)</f>
        <v>0</v>
      </c>
      <c r="Y41" s="337">
        <f>SUMIFS(BS_RE33!$H$7:$H$874,BS_RE33!$S$7:$S$874,$Y$2,BS_RE33!$N$7:$N$874,I41,BS_RE33!$P$7:$P$874,'30 days CF Table(GBP)'!G41,BS_RE33!$F$7:$F$874,'30 days CF Table(GBP)'!$C$2)</f>
        <v>0</v>
      </c>
      <c r="Z41" s="337">
        <f>SUMIFS(BS_RE33!$H$7:$H$874,BS_RE33!$S$7:$S$874,$Z$2,BS_RE33!$N$7:$N$874,I41,BS_RE33!$P$7:$P$874,'30 days CF Table(GBP)'!G41,BS_RE33!$F$7:$F$874,'30 days CF Table(GBP)'!$C$2)</f>
        <v>0</v>
      </c>
      <c r="AA41" s="337">
        <f>SUMIFS(BS_RE33!$H$7:$H$874,BS_RE33!$S$7:$S$874,$AA$2,BS_RE33!$N$7:$N$874,I41,BS_RE33!$P$7:$P$874,'30 days CF Table(GBP)'!G41,BS_RE33!$F$7:$F$874,'30 days CF Table(GBP)'!$C$2)</f>
        <v>0</v>
      </c>
      <c r="AB41" s="337">
        <f>SUMIFS(BS_RE33!$H$7:$H$874,BS_RE33!$S$7:$S$874,$AB$2,BS_RE33!$N$7:$N$874,I41,BS_RE33!$P$7:$P$874,'30 days CF Table(GBP)'!G41,BS_RE33!$F$7:$F$874,'30 days CF Table(GBP)'!$C$2)</f>
        <v>0</v>
      </c>
      <c r="AC41" s="337">
        <f>SUMIFS(BS_RE33!$H$7:$H$874,BS_RE33!$S$7:$S$874,$AC$2,BS_RE33!$N$7:$N$874,I41,BS_RE33!$P$7:$P$874,'30 days CF Table(GBP)'!G41,BS_RE33!$F$7:$F$874,'30 days CF Table(GBP)'!$C$2)</f>
        <v>0</v>
      </c>
      <c r="AD41" s="337">
        <f>SUMIFS(BS_RE33!$H$7:$H$874,BS_RE33!$S$7:$S$874,$AD$2,BS_RE33!$N$7:$N$874,I41,BS_RE33!$P$7:$P$874,'30 days CF Table(GBP)'!G41,BS_RE33!$F$7:$F$874,'30 days CF Table(GBP)'!$C$2)</f>
        <v>0</v>
      </c>
      <c r="AE41" s="337">
        <f>SUMIFS(BS_RE33!$H$7:$H$874,BS_RE33!$S$7:$S$874,$AE$2,BS_RE33!$N$7:$N$874,I41,BS_RE33!$P$7:$P$874,'30 days CF Table(GBP)'!G41,BS_RE33!$F$7:$F$874,'30 days CF Table(GBP)'!$C$2)</f>
        <v>0</v>
      </c>
      <c r="AF41" s="337">
        <f>SUMIFS(BS_RE33!$H$7:$H$874,BS_RE33!$S$7:$S$874,$AF$2,BS_RE33!$N$7:$N$874,I41,BS_RE33!$P$7:$P$874,'30 days CF Table(GBP)'!G41,BS_RE33!$F$7:$F$874,'30 days CF Table(GBP)'!$C$2)</f>
        <v>0</v>
      </c>
      <c r="AG41" s="337">
        <f>SUMIFS(BS_RE33!$H$7:$H$874,BS_RE33!$S$7:$S$874,$AG$2,BS_RE33!$N$7:$N$874,I41,BS_RE33!$P$7:$P$874,'30 days CF Table(GBP)'!G41,BS_RE33!$F$7:$F$874,'30 days CF Table(GBP)'!$C$2)</f>
        <v>0</v>
      </c>
      <c r="AH41" s="337">
        <f>SUMIFS(BS_RE33!$H$7:$H$874,BS_RE33!$S$7:$S$874,$AH$2,BS_RE33!$N$7:$N$874,I41,BS_RE33!$P$7:$P$874,'30 days CF Table(GBP)'!G41,BS_RE33!$F$7:$F$874,'30 days CF Table(GBP)'!$C$2)</f>
        <v>0</v>
      </c>
      <c r="AI41" s="337">
        <f>SUMIFS(BS_RE33!$H$7:$H$874,BS_RE33!$S$7:$S$874,$AI$2,BS_RE33!$N$7:$N$874,I41,BS_RE33!$P$7:$P$874,'30 days CF Table(GBP)'!G41,BS_RE33!$F$7:$F$874,'30 days CF Table(GBP)'!$C$2)</f>
        <v>0</v>
      </c>
      <c r="AJ41" s="337">
        <f>SUMIFS(BS_RE33!$H$7:$H$874,BS_RE33!$S$7:$S$874,$AJ$2,BS_RE33!$N$7:$N$874,I41,BS_RE33!$P$7:$P$874,'30 days CF Table(GBP)'!G41,BS_RE33!$F$7:$F$874,'30 days CF Table(GBP)'!$C$2)</f>
        <v>0</v>
      </c>
      <c r="AK41" s="337">
        <f>SUMIFS(BS_RE33!$H$7:$H$874,BS_RE33!$S$7:$S$874,$AK$2,BS_RE33!$N$7:$N$874,I41,BS_RE33!$P$7:$P$874,'30 days CF Table(GBP)'!G41,BS_RE33!$F$7:$F$874,'30 days CF Table(GBP)'!$C$2)</f>
        <v>0</v>
      </c>
      <c r="AL41" s="337">
        <f>SUMIFS(BS_RE33!$H$7:$H$874,BS_RE33!$S$7:$S$874,$AL$2,BS_RE33!$N$7:$N$874,I41,BS_RE33!$P$7:$P$874,'30 days CF Table(GBP)'!G41,BS_RE33!$F$7:$F$874,'30 days CF Table(GBP)'!$C$2)</f>
        <v>0</v>
      </c>
      <c r="AM41" s="337">
        <f>SUMIFS(BS_RE33!$H$7:$H$874,BS_RE33!$S$7:$S$874,$AM$2,BS_RE33!$N$7:$N$874,I41,BS_RE33!$P$7:$P$874,'30 days CF Table(GBP)'!G41,BS_RE33!$F$7:$F$874,'30 days CF Table(GBP)'!$C$2)</f>
        <v>0</v>
      </c>
      <c r="AN41" s="337">
        <f>SUMIFS(BS_RE33!$H$7:$H$874,BS_RE33!$S$7:$S$874,$AN$2,BS_RE33!$N$7:$N$874,I41,BS_RE33!$P$7:$P$874,'30 days CF Table(GBP)'!G41,BS_RE33!$F$7:$F$874,'30 days CF Table(GBP)'!$C$2)</f>
        <v>0</v>
      </c>
      <c r="AO41" s="337">
        <f>SUMIFS(BS_RE33!$H$7:$H$874,BS_RE33!$S$7:$S$874,$AO$2,BS_RE33!$N$7:$N$874,I41,BS_RE33!$P$7:$P$874,'30 days CF Table(GBP)'!G41,BS_RE33!$F$7:$F$874,'30 days CF Table(GBP)'!$C$2)</f>
        <v>0</v>
      </c>
      <c r="AP41" s="338">
        <f>SUMIFS(BS_RE33!$H$7:$H$874,BS_RE33!$S$7:$S$874,$AP$2,BS_RE33!$N$7:$N$874,I41,BS_RE33!$P$7:$P$874,'30 days CF Table(GBP)'!G41,BS_RE33!$F$7:$F$874,'30 days CF Table(GBP)'!$C$2)</f>
        <v>0</v>
      </c>
      <c r="AR41" s="379">
        <f>SUMIFS(BS_RE33!$H$7:$H$874,BS_RE33!$S$7:$S$874,$AR$2,BS_RE33!$N$7:$N$874,I41,BS_RE33!$P$7:$P$874,'30 days CF Table(GBP)'!G41,BS_RE33!$F$7:$F$874,'30 days CF Table(GBP)'!$C$2)</f>
        <v>0</v>
      </c>
      <c r="AS41" s="379">
        <f>SUMIFS(BS_RE33!$H$7:$H$874,BS_RE33!$S$7:$S$874,$AS$2,BS_RE33!$N$7:$N$874,I41,BS_RE33!$P$7:$P$874,'30 days CF Table(GBP)'!G41,BS_RE33!$F$7:$F$874,'30 days CF Table(GBP)'!$C$2)</f>
        <v>0</v>
      </c>
      <c r="AT41" s="379">
        <f>SUMIFS(BS_RE33!$H$7:$H$874,BS_RE33!$S$7:$S$874,$AT$2,BS_RE33!$N$7:$N$874,I41,BS_RE33!$P$7:$P$874,'30 days CF Table(GBP)'!G41,BS_RE33!$F$7:$F$874,'30 days CF Table(GBP)'!$C$2)</f>
        <v>0</v>
      </c>
      <c r="AU41" s="379">
        <f>SUMIFS(BS_RE33!$H$7:$H$874,BS_RE33!$S$7:$S$874,$AU$2,BS_RE33!$N$7:$N$874,I41,BS_RE33!$P$7:$P$874,'30 days CF Table(GBP)'!G41,BS_RE33!$F$7:$F$874,'30 days CF Table(GBP)'!$C$2)</f>
        <v>0</v>
      </c>
      <c r="AV41" s="379">
        <f>SUMIFS(BS_RE33!$H$7:$H$874,BS_RE33!$S$7:$S$874,$AV$2,BS_RE33!$N$7:$N$874,I41,BS_RE33!$P$7:$P$874,'30 days CF Table(GBP)'!G41,BS_RE33!$F$7:$F$874,'30 days CF Table(GBP)'!$C$2)</f>
        <v>0</v>
      </c>
      <c r="AW41" s="379">
        <f>SUMIFS(BS_RE33!$H$7:$H$874,BS_RE33!$S$7:$S$874,$AW$2,BS_RE33!$N$7:$N$874,I41,BS_RE33!$P$7:$P$874,'30 days CF Table(GBP)'!G41,BS_RE33!$F$7:$F$874,'30 days CF Table(GBP)'!$C$2)</f>
        <v>0</v>
      </c>
      <c r="AX41" s="379">
        <f>SUMIFS(BS_RE33!$H$7:$H$874,BS_RE33!$S$7:$S$874,$AX$2,BS_RE33!$N$7:$N$874,I41,BS_RE33!$P$7:$P$874,'30 days CF Table(GBP)'!G41,BS_RE33!$F$7:$F$874,'30 days CF Table(GBP)'!$C$2)</f>
        <v>0</v>
      </c>
      <c r="AY41" s="379">
        <f>SUMIFS(BS_RE33!$H$7:$H$874,BS_RE33!$S$7:$S$874,$AY$2,BS_RE33!$N$7:$N$874,I41,BS_RE33!$P$7:$P$874,'30 days CF Table(GBP)'!G41,BS_RE33!$F$7:$F$874,'30 days CF Table(GBP)'!$C$2)</f>
        <v>0</v>
      </c>
      <c r="AZ41" s="379">
        <f>SUMIFS(BS_RE33!$H$7:$H$874,BS_RE33!$S$7:$S$874,$AZ$2,BS_RE33!$N$7:$N$874,I41,BS_RE33!$P$7:$P$874,'30 days CF Table(GBP)'!G41,BS_RE33!$F$7:$F$874,'30 days CF Table(GBP)'!$C$2)</f>
        <v>0</v>
      </c>
      <c r="BA41" s="379">
        <f>SUMIFS(BS_RE33!$H$7:$H$874,BS_RE33!$S$7:$S$874,$BA$2,BS_RE33!$N$7:$N$874,I41,BS_RE33!$P$7:$P$874,'30 days CF Table(GBP)'!G41,BS_RE33!$F$7:$F$874,'30 days CF Table(GBP)'!$C$2)</f>
        <v>0</v>
      </c>
      <c r="BB41" s="379">
        <f>SUMIFS(BS_RE33!$H$7:$H$874,BS_RE33!$S$7:$S$874,$BB$2,BS_RE33!$N$7:$N$874,I41,BS_RE33!$P$7:$P$874,'30 days CF Table(GBP)'!G41,BS_RE33!$F$7:$F$874,'30 days CF Table(GBP)'!$C$2)</f>
        <v>0</v>
      </c>
      <c r="BC41" s="379">
        <f>SUMIFS(BS_RE33!$H$7:$H$874,BS_RE33!$S$7:$S$874,$BC$2,BS_RE33!$N$7:$N$874,I41,BS_RE33!$P$7:$P$874,'30 days CF Table(GBP)'!G41,BS_RE33!$F$7:$F$874,'30 days CF Table(GBP)'!$C$2)</f>
        <v>0</v>
      </c>
      <c r="BD41" s="379">
        <f>SUMIFS(BS_RE33!$H$7:$H$874,BS_RE33!$S$7:$S$874,$BD$2,BS_RE33!$N$7:$N$874,I41,BS_RE33!$P$7:$P$874,'30 days CF Table(GBP)'!G41,BS_RE33!$F$7:$F$874,'30 days CF Table(GBP)'!$C$2)</f>
        <v>0</v>
      </c>
      <c r="BE41" s="379">
        <f>SUMIFS(BS_RE33!$H$7:$H$874,BS_RE33!$S$7:$S$874,$BE$2,BS_RE33!$N$7:$N$874,I41,BS_RE33!$P$7:$P$874,'30 days CF Table(GBP)'!G41,BS_RE33!$F$7:$F$874,'30 days CF Table(GBP)'!$C$2)</f>
        <v>0</v>
      </c>
      <c r="BF41" s="379">
        <f>SUMIFS(BS_RE33!$H$7:$H$874,BS_RE33!$S$7:$S$874,$BF$2,BS_RE33!$N$7:$N$874,I41,BS_RE33!$P$7:$P$874,'30 days CF Table(GBP)'!G41,BS_RE33!$F$7:$F$874,'30 days CF Table(GBP)'!$C$2)</f>
        <v>0</v>
      </c>
      <c r="BG41" s="379">
        <f>SUMIFS(BS_RE33!$H$7:$H$874,BS_RE33!$S$7:$S$874,$BG$2,BS_RE33!$N$7:$N$874,I41,BS_RE33!$P$7:$P$874,'30 days CF Table(GBP)'!G41,BS_RE33!$F$7:$F$874,'30 days CF Table(GBP)'!$C$2)</f>
        <v>0</v>
      </c>
      <c r="BH41" s="379">
        <f>SUMIFS(BS_RE33!$H$7:$H$874,BS_RE33!$S$7:$S$874,$BH$2,BS_RE33!$N$7:$N$874,I41,BS_RE33!$P$7:$P$874,'30 days CF Table(GBP)'!G41,BS_RE33!$F$7:$F$874,'30 days CF Table(GBP)'!$C$2)</f>
        <v>0</v>
      </c>
      <c r="BI41" s="379">
        <f>SUMIFS(BS_RE33!$H$7:$H$874,BS_RE33!$S$7:$S$874,$BI$2,BS_RE33!$N$7:$N$874,I41,BS_RE33!$P$7:$P$874,'30 days CF Table(GBP)'!G41,BS_RE33!$F$7:$F$874,'30 days CF Table(GBP)'!$C$2)</f>
        <v>0</v>
      </c>
      <c r="BJ41" s="379">
        <f>SUMIFS(BS_RE33!$H$7:$H$874,BS_RE33!$S$7:$S$874,$BJ$2,BS_RE33!$N$7:$N$874,I41,BS_RE33!$P$7:$P$874,'30 days CF Table(GBP)'!G41,BS_RE33!$F$7:$F$874,'30 days CF Table(GBP)'!$C$2)</f>
        <v>0</v>
      </c>
      <c r="BK41" s="379">
        <f>SUMIFS(BS_RE33!$H$7:$H$874,BS_RE33!$S$7:$S$874,$BK$2,BS_RE33!$N$7:$N$874,I41,BS_RE33!$P$7:$P$874,'30 days CF Table(GBP)'!G41,BS_RE33!$F$7:$F$874,'30 days CF Table(GBP)'!$C$2)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Table(GBP)'!G42,BS_RE33!$F$7:$F$874,'30 days CF Table(GBP)'!$C$2)</f>
        <v>0</v>
      </c>
      <c r="M42" s="337">
        <f>SUMIFS(BS_RE33!$H$7:$H$874,BS_RE33!$S$7:$S$874,$M$2,BS_RE33!$N$7:$N$874,I42,BS_RE33!$P$7:$P$874,'30 days CF Table(GBP)'!G42,BS_RE33!$F$7:$F$874,'30 days CF Table(GBP)'!$C$2)</f>
        <v>0</v>
      </c>
      <c r="N42" s="337">
        <f>SUMIFS(BS_RE33!$H$7:$H$874,BS_RE33!$S$7:$S$874,$N$2,BS_RE33!$N$7:$N$874,I42,BS_RE33!$P$7:$P$874,'30 days CF Table(GBP)'!G42,BS_RE33!$F$7:$F$874,'30 days CF Table(GBP)'!$C$2)</f>
        <v>0</v>
      </c>
      <c r="O42" s="337">
        <f>SUMIFS(BS_RE33!$H$7:$H$874,BS_RE33!$S$7:$S$874,$O$2,BS_RE33!$N$7:$N$874,I42,BS_RE33!$P$7:$P$874,'30 days CF Table(GBP)'!G42,BS_RE33!$F$7:$F$874,'30 days CF Table(GBP)'!$C$2)</f>
        <v>0</v>
      </c>
      <c r="P42" s="337">
        <f>SUMIFS(BS_RE33!$H$7:$H$874,BS_RE33!$S$7:$S$874,$P$2,BS_RE33!$N$7:$N$874,I42,BS_RE33!$P$7:$P$874,'30 days CF Table(GBP)'!G42,BS_RE33!$F$7:$F$874,'30 days CF Table(GBP)'!$C$2)</f>
        <v>0</v>
      </c>
      <c r="Q42" s="337">
        <f>SUMIFS(BS_RE33!$H$7:$H$874,BS_RE33!$S$7:$S$874,$Q$2,BS_RE33!$N$7:$N$874,I42,BS_RE33!$P$7:$P$874,'30 days CF Table(GBP)'!G42,BS_RE33!$F$7:$F$874,'30 days CF Table(GBP)'!$C$2)</f>
        <v>0</v>
      </c>
      <c r="R42" s="337">
        <f>SUMIFS(BS_RE33!$H$7:$H$874,BS_RE33!$S$7:$S$874,$R$2,BS_RE33!$N$7:$N$874,I42,BS_RE33!$P$7:$P$874,'30 days CF Table(GBP)'!G42,BS_RE33!$F$7:$F$874,'30 days CF Table(GBP)'!$C$2)</f>
        <v>0</v>
      </c>
      <c r="S42" s="337">
        <f>SUMIFS(BS_RE33!$H$7:$H$874,BS_RE33!$S$7:$S$874,$S$2,BS_RE33!$N$7:$N$874,I42,BS_RE33!$P$7:$P$874,'30 days CF Table(GBP)'!G42,BS_RE33!$F$7:$F$874,'30 days CF Table(GBP)'!$C$2)</f>
        <v>0</v>
      </c>
      <c r="T42" s="337">
        <f>SUMIFS(BS_RE33!$H$7:$H$874,BS_RE33!$S$7:$S$874,$T$2,BS_RE33!$N$7:$N$874,I42,BS_RE33!$P$7:$P$874,'30 days CF Table(GBP)'!G42,BS_RE33!$F$7:$F$874,'30 days CF Table(GBP)'!$C$2)</f>
        <v>0</v>
      </c>
      <c r="U42" s="337">
        <f>SUMIFS(BS_RE33!$H$7:$H$874,BS_RE33!$S$7:$S$874,$U$2,BS_RE33!$N$7:$N$874,I42,BS_RE33!$P$7:$P$874,'30 days CF Table(GBP)'!G42,BS_RE33!$F$7:$F$874,'30 days CF Table(GBP)'!$C$2)</f>
        <v>0</v>
      </c>
      <c r="V42" s="337">
        <f>SUMIFS(BS_RE33!$H$7:$H$874,BS_RE33!$S$7:$S$874,$V$2,BS_RE33!$N$7:$N$874,I42,BS_RE33!$P$7:$P$874,'30 days CF Table(GBP)'!G42,BS_RE33!$F$7:$F$874,'30 days CF Table(GBP)'!$C$2)</f>
        <v>0</v>
      </c>
      <c r="W42" s="337">
        <f>SUMIFS(BS_RE33!$H$7:$H$874,BS_RE33!$S$7:$S$874,$W$2,BS_RE33!$N$7:$N$874,I42,BS_RE33!$P$7:$P$874,'30 days CF Table(GBP)'!G42,BS_RE33!$F$7:$F$874,'30 days CF Table(GBP)'!$C$2)</f>
        <v>0</v>
      </c>
      <c r="X42" s="337">
        <f>SUMIFS(BS_RE33!$H$7:$H$874,BS_RE33!$S$7:$S$874,$X$2,BS_RE33!$N$7:$N$874,I42,BS_RE33!$P$7:$P$874,'30 days CF Table(GBP)'!G42,BS_RE33!$F$7:$F$874,'30 days CF Table(GBP)'!$C$2)</f>
        <v>0</v>
      </c>
      <c r="Y42" s="337">
        <f>SUMIFS(BS_RE33!$H$7:$H$874,BS_RE33!$S$7:$S$874,$Y$2,BS_RE33!$N$7:$N$874,I42,BS_RE33!$P$7:$P$874,'30 days CF Table(GBP)'!G42,BS_RE33!$F$7:$F$874,'30 days CF Table(GBP)'!$C$2)</f>
        <v>0</v>
      </c>
      <c r="Z42" s="337">
        <f>SUMIFS(BS_RE33!$H$7:$H$874,BS_RE33!$S$7:$S$874,$Z$2,BS_RE33!$N$7:$N$874,I42,BS_RE33!$P$7:$P$874,'30 days CF Table(GBP)'!G42,BS_RE33!$F$7:$F$874,'30 days CF Table(GBP)'!$C$2)</f>
        <v>0</v>
      </c>
      <c r="AA42" s="337">
        <f>SUMIFS(BS_RE33!$H$7:$H$874,BS_RE33!$S$7:$S$874,$AA$2,BS_RE33!$N$7:$N$874,I42,BS_RE33!$P$7:$P$874,'30 days CF Table(GBP)'!G42,BS_RE33!$F$7:$F$874,'30 days CF Table(GBP)'!$C$2)</f>
        <v>0</v>
      </c>
      <c r="AB42" s="337">
        <f>SUMIFS(BS_RE33!$H$7:$H$874,BS_RE33!$S$7:$S$874,$AB$2,BS_RE33!$N$7:$N$874,I42,BS_RE33!$P$7:$P$874,'30 days CF Table(GBP)'!G42,BS_RE33!$F$7:$F$874,'30 days CF Table(GBP)'!$C$2)</f>
        <v>0</v>
      </c>
      <c r="AC42" s="337">
        <f>SUMIFS(BS_RE33!$H$7:$H$874,BS_RE33!$S$7:$S$874,$AC$2,BS_RE33!$N$7:$N$874,I42,BS_RE33!$P$7:$P$874,'30 days CF Table(GBP)'!G42,BS_RE33!$F$7:$F$874,'30 days CF Table(GBP)'!$C$2)</f>
        <v>0</v>
      </c>
      <c r="AD42" s="337">
        <f>SUMIFS(BS_RE33!$H$7:$H$874,BS_RE33!$S$7:$S$874,$AD$2,BS_RE33!$N$7:$N$874,I42,BS_RE33!$P$7:$P$874,'30 days CF Table(GBP)'!G42,BS_RE33!$F$7:$F$874,'30 days CF Table(GBP)'!$C$2)</f>
        <v>0</v>
      </c>
      <c r="AE42" s="337">
        <f>SUMIFS(BS_RE33!$H$7:$H$874,BS_RE33!$S$7:$S$874,$AE$2,BS_RE33!$N$7:$N$874,I42,BS_RE33!$P$7:$P$874,'30 days CF Table(GBP)'!G42,BS_RE33!$F$7:$F$874,'30 days CF Table(GBP)'!$C$2)</f>
        <v>0</v>
      </c>
      <c r="AF42" s="337">
        <f>SUMIFS(BS_RE33!$H$7:$H$874,BS_RE33!$S$7:$S$874,$AF$2,BS_RE33!$N$7:$N$874,I42,BS_RE33!$P$7:$P$874,'30 days CF Table(GBP)'!G42,BS_RE33!$F$7:$F$874,'30 days CF Table(GBP)'!$C$2)</f>
        <v>0</v>
      </c>
      <c r="AG42" s="337">
        <f>SUMIFS(BS_RE33!$H$7:$H$874,BS_RE33!$S$7:$S$874,$AG$2,BS_RE33!$N$7:$N$874,I42,BS_RE33!$P$7:$P$874,'30 days CF Table(GBP)'!G42,BS_RE33!$F$7:$F$874,'30 days CF Table(GBP)'!$C$2)</f>
        <v>0</v>
      </c>
      <c r="AH42" s="337">
        <f>SUMIFS(BS_RE33!$H$7:$H$874,BS_RE33!$S$7:$S$874,$AH$2,BS_RE33!$N$7:$N$874,I42,BS_RE33!$P$7:$P$874,'30 days CF Table(GBP)'!G42,BS_RE33!$F$7:$F$874,'30 days CF Table(GBP)'!$C$2)</f>
        <v>0</v>
      </c>
      <c r="AI42" s="337">
        <f>SUMIFS(BS_RE33!$H$7:$H$874,BS_RE33!$S$7:$S$874,$AI$2,BS_RE33!$N$7:$N$874,I42,BS_RE33!$P$7:$P$874,'30 days CF Table(GBP)'!G42,BS_RE33!$F$7:$F$874,'30 days CF Table(GBP)'!$C$2)</f>
        <v>0</v>
      </c>
      <c r="AJ42" s="337">
        <f>SUMIFS(BS_RE33!$H$7:$H$874,BS_RE33!$S$7:$S$874,$AJ$2,BS_RE33!$N$7:$N$874,I42,BS_RE33!$P$7:$P$874,'30 days CF Table(GBP)'!G42,BS_RE33!$F$7:$F$874,'30 days CF Table(GBP)'!$C$2)</f>
        <v>0</v>
      </c>
      <c r="AK42" s="337">
        <f>SUMIFS(BS_RE33!$H$7:$H$874,BS_RE33!$S$7:$S$874,$AK$2,BS_RE33!$N$7:$N$874,I42,BS_RE33!$P$7:$P$874,'30 days CF Table(GBP)'!G42,BS_RE33!$F$7:$F$874,'30 days CF Table(GBP)'!$C$2)</f>
        <v>0</v>
      </c>
      <c r="AL42" s="337">
        <f>SUMIFS(BS_RE33!$H$7:$H$874,BS_RE33!$S$7:$S$874,$AL$2,BS_RE33!$N$7:$N$874,I42,BS_RE33!$P$7:$P$874,'30 days CF Table(GBP)'!G42,BS_RE33!$F$7:$F$874,'30 days CF Table(GBP)'!$C$2)</f>
        <v>0</v>
      </c>
      <c r="AM42" s="337">
        <f>SUMIFS(BS_RE33!$H$7:$H$874,BS_RE33!$S$7:$S$874,$AM$2,BS_RE33!$N$7:$N$874,I42,BS_RE33!$P$7:$P$874,'30 days CF Table(GBP)'!G42,BS_RE33!$F$7:$F$874,'30 days CF Table(GBP)'!$C$2)</f>
        <v>0</v>
      </c>
      <c r="AN42" s="337">
        <f>SUMIFS(BS_RE33!$H$7:$H$874,BS_RE33!$S$7:$S$874,$AN$2,BS_RE33!$N$7:$N$874,I42,BS_RE33!$P$7:$P$874,'30 days CF Table(GBP)'!G42,BS_RE33!$F$7:$F$874,'30 days CF Table(GBP)'!$C$2)</f>
        <v>0</v>
      </c>
      <c r="AO42" s="337">
        <f>SUMIFS(BS_RE33!$H$7:$H$874,BS_RE33!$S$7:$S$874,$AO$2,BS_RE33!$N$7:$N$874,I42,BS_RE33!$P$7:$P$874,'30 days CF Table(GBP)'!G42,BS_RE33!$F$7:$F$874,'30 days CF Table(GBP)'!$C$2)</f>
        <v>0</v>
      </c>
      <c r="AP42" s="338">
        <f>SUMIFS(BS_RE33!$H$7:$H$874,BS_RE33!$S$7:$S$874,$AP$2,BS_RE33!$N$7:$N$874,I42,BS_RE33!$P$7:$P$874,'30 days CF Table(GBP)'!G42,BS_RE33!$F$7:$F$874,'30 days CF Table(GBP)'!$C$2)</f>
        <v>0</v>
      </c>
      <c r="AR42" s="379">
        <f>SUMIFS(BS_RE33!$H$7:$H$874,BS_RE33!$S$7:$S$874,$AR$2,BS_RE33!$N$7:$N$874,I42,BS_RE33!$P$7:$P$874,'30 days CF Table(GBP)'!G42,BS_RE33!$F$7:$F$874,'30 days CF Table(GBP)'!$C$2)</f>
        <v>0</v>
      </c>
      <c r="AS42" s="379">
        <f>SUMIFS(BS_RE33!$H$7:$H$874,BS_RE33!$S$7:$S$874,$AS$2,BS_RE33!$N$7:$N$874,I42,BS_RE33!$P$7:$P$874,'30 days CF Table(GBP)'!G42,BS_RE33!$F$7:$F$874,'30 days CF Table(GBP)'!$C$2)</f>
        <v>0</v>
      </c>
      <c r="AT42" s="379">
        <f>SUMIFS(BS_RE33!$H$7:$H$874,BS_RE33!$S$7:$S$874,$AT$2,BS_RE33!$N$7:$N$874,I42,BS_RE33!$P$7:$P$874,'30 days CF Table(GBP)'!G42,BS_RE33!$F$7:$F$874,'30 days CF Table(GBP)'!$C$2)</f>
        <v>0</v>
      </c>
      <c r="AU42" s="379">
        <f>SUMIFS(BS_RE33!$H$7:$H$874,BS_RE33!$S$7:$S$874,$AU$2,BS_RE33!$N$7:$N$874,I42,BS_RE33!$P$7:$P$874,'30 days CF Table(GBP)'!G42,BS_RE33!$F$7:$F$874,'30 days CF Table(GBP)'!$C$2)</f>
        <v>0</v>
      </c>
      <c r="AV42" s="379">
        <f>SUMIFS(BS_RE33!$H$7:$H$874,BS_RE33!$S$7:$S$874,$AV$2,BS_RE33!$N$7:$N$874,I42,BS_RE33!$P$7:$P$874,'30 days CF Table(GBP)'!G42,BS_RE33!$F$7:$F$874,'30 days CF Table(GBP)'!$C$2)</f>
        <v>0</v>
      </c>
      <c r="AW42" s="379">
        <f>SUMIFS(BS_RE33!$H$7:$H$874,BS_RE33!$S$7:$S$874,$AW$2,BS_RE33!$N$7:$N$874,I42,BS_RE33!$P$7:$P$874,'30 days CF Table(GBP)'!G42,BS_RE33!$F$7:$F$874,'30 days CF Table(GBP)'!$C$2)</f>
        <v>0</v>
      </c>
      <c r="AX42" s="379">
        <f>SUMIFS(BS_RE33!$H$7:$H$874,BS_RE33!$S$7:$S$874,$AX$2,BS_RE33!$N$7:$N$874,I42,BS_RE33!$P$7:$P$874,'30 days CF Table(GBP)'!G42,BS_RE33!$F$7:$F$874,'30 days CF Table(GBP)'!$C$2)</f>
        <v>0</v>
      </c>
      <c r="AY42" s="379">
        <f>SUMIFS(BS_RE33!$H$7:$H$874,BS_RE33!$S$7:$S$874,$AY$2,BS_RE33!$N$7:$N$874,I42,BS_RE33!$P$7:$P$874,'30 days CF Table(GBP)'!G42,BS_RE33!$F$7:$F$874,'30 days CF Table(GBP)'!$C$2)</f>
        <v>0</v>
      </c>
      <c r="AZ42" s="379">
        <f>SUMIFS(BS_RE33!$H$7:$H$874,BS_RE33!$S$7:$S$874,$AZ$2,BS_RE33!$N$7:$N$874,I42,BS_RE33!$P$7:$P$874,'30 days CF Table(GBP)'!G42,BS_RE33!$F$7:$F$874,'30 days CF Table(GBP)'!$C$2)</f>
        <v>0</v>
      </c>
      <c r="BA42" s="379">
        <f>SUMIFS(BS_RE33!$H$7:$H$874,BS_RE33!$S$7:$S$874,$BA$2,BS_RE33!$N$7:$N$874,I42,BS_RE33!$P$7:$P$874,'30 days CF Table(GBP)'!G42,BS_RE33!$F$7:$F$874,'30 days CF Table(GBP)'!$C$2)</f>
        <v>0</v>
      </c>
      <c r="BB42" s="379">
        <f>SUMIFS(BS_RE33!$H$7:$H$874,BS_RE33!$S$7:$S$874,$BB$2,BS_RE33!$N$7:$N$874,I42,BS_RE33!$P$7:$P$874,'30 days CF Table(GBP)'!G42,BS_RE33!$F$7:$F$874,'30 days CF Table(GBP)'!$C$2)</f>
        <v>0</v>
      </c>
      <c r="BC42" s="379">
        <f>SUMIFS(BS_RE33!$H$7:$H$874,BS_RE33!$S$7:$S$874,$BC$2,BS_RE33!$N$7:$N$874,I42,BS_RE33!$P$7:$P$874,'30 days CF Table(GBP)'!G42,BS_RE33!$F$7:$F$874,'30 days CF Table(GBP)'!$C$2)</f>
        <v>0</v>
      </c>
      <c r="BD42" s="379">
        <f>SUMIFS(BS_RE33!$H$7:$H$874,BS_RE33!$S$7:$S$874,$BD$2,BS_RE33!$N$7:$N$874,I42,BS_RE33!$P$7:$P$874,'30 days CF Table(GBP)'!G42,BS_RE33!$F$7:$F$874,'30 days CF Table(GBP)'!$C$2)</f>
        <v>0</v>
      </c>
      <c r="BE42" s="379">
        <f>SUMIFS(BS_RE33!$H$7:$H$874,BS_RE33!$S$7:$S$874,$BE$2,BS_RE33!$N$7:$N$874,I42,BS_RE33!$P$7:$P$874,'30 days CF Table(GBP)'!G42,BS_RE33!$F$7:$F$874,'30 days CF Table(GBP)'!$C$2)</f>
        <v>0</v>
      </c>
      <c r="BF42" s="379">
        <f>SUMIFS(BS_RE33!$H$7:$H$874,BS_RE33!$S$7:$S$874,$BF$2,BS_RE33!$N$7:$N$874,I42,BS_RE33!$P$7:$P$874,'30 days CF Table(GBP)'!G42,BS_RE33!$F$7:$F$874,'30 days CF Table(GBP)'!$C$2)</f>
        <v>0</v>
      </c>
      <c r="BG42" s="379">
        <f>SUMIFS(BS_RE33!$H$7:$H$874,BS_RE33!$S$7:$S$874,$BG$2,BS_RE33!$N$7:$N$874,I42,BS_RE33!$P$7:$P$874,'30 days CF Table(GBP)'!G42,BS_RE33!$F$7:$F$874,'30 days CF Table(GBP)'!$C$2)</f>
        <v>0</v>
      </c>
      <c r="BH42" s="379">
        <f>SUMIFS(BS_RE33!$H$7:$H$874,BS_RE33!$S$7:$S$874,$BH$2,BS_RE33!$N$7:$N$874,I42,BS_RE33!$P$7:$P$874,'30 days CF Table(GBP)'!G42,BS_RE33!$F$7:$F$874,'30 days CF Table(GBP)'!$C$2)</f>
        <v>0</v>
      </c>
      <c r="BI42" s="379">
        <f>SUMIFS(BS_RE33!$H$7:$H$874,BS_RE33!$S$7:$S$874,$BI$2,BS_RE33!$N$7:$N$874,I42,BS_RE33!$P$7:$P$874,'30 days CF Table(GBP)'!G42,BS_RE33!$F$7:$F$874,'30 days CF Table(GBP)'!$C$2)</f>
        <v>0</v>
      </c>
      <c r="BJ42" s="379">
        <f>SUMIFS(BS_RE33!$H$7:$H$874,BS_RE33!$S$7:$S$874,$BJ$2,BS_RE33!$N$7:$N$874,I42,BS_RE33!$P$7:$P$874,'30 days CF Table(GBP)'!G42,BS_RE33!$F$7:$F$874,'30 days CF Table(GBP)'!$C$2)</f>
        <v>0</v>
      </c>
      <c r="BK42" s="379">
        <f>SUMIFS(BS_RE33!$H$7:$H$874,BS_RE33!$S$7:$S$874,$BK$2,BS_RE33!$N$7:$N$874,I42,BS_RE33!$P$7:$P$874,'30 days CF Table(GBP)'!G42,BS_RE33!$F$7:$F$874,'30 days CF Table(GBP)'!$C$2)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Table(GBP)'!G43,BS_RE33!$F$7:$F$874,'30 days CF Table(GBP)'!$C$2)</f>
        <v>0</v>
      </c>
      <c r="M43" s="337">
        <f>SUMIFS(BS_RE33!$H$7:$H$874,BS_RE33!$S$7:$S$874,$M$2,BS_RE33!$N$7:$N$874,I43,BS_RE33!$P$7:$P$874,'30 days CF Table(GBP)'!G43,BS_RE33!$F$7:$F$874,'30 days CF Table(GBP)'!$C$2)</f>
        <v>0</v>
      </c>
      <c r="N43" s="337">
        <f>SUMIFS(BS_RE33!$H$7:$H$874,BS_RE33!$S$7:$S$874,$N$2,BS_RE33!$N$7:$N$874,I43,BS_RE33!$P$7:$P$874,'30 days CF Table(GBP)'!G43,BS_RE33!$F$7:$F$874,'30 days CF Table(GBP)'!$C$2)</f>
        <v>0</v>
      </c>
      <c r="O43" s="337">
        <f>SUMIFS(BS_RE33!$H$7:$H$874,BS_RE33!$S$7:$S$874,$O$2,BS_RE33!$N$7:$N$874,I43,BS_RE33!$P$7:$P$874,'30 days CF Table(GBP)'!G43,BS_RE33!$F$7:$F$874,'30 days CF Table(GBP)'!$C$2)</f>
        <v>0</v>
      </c>
      <c r="P43" s="337">
        <f>SUMIFS(BS_RE33!$H$7:$H$874,BS_RE33!$S$7:$S$874,$P$2,BS_RE33!$N$7:$N$874,I43,BS_RE33!$P$7:$P$874,'30 days CF Table(GBP)'!G43,BS_RE33!$F$7:$F$874,'30 days CF Table(GBP)'!$C$2)</f>
        <v>0</v>
      </c>
      <c r="Q43" s="337">
        <f>SUMIFS(BS_RE33!$H$7:$H$874,BS_RE33!$S$7:$S$874,$Q$2,BS_RE33!$N$7:$N$874,I43,BS_RE33!$P$7:$P$874,'30 days CF Table(GBP)'!G43,BS_RE33!$F$7:$F$874,'30 days CF Table(GBP)'!$C$2)</f>
        <v>0</v>
      </c>
      <c r="R43" s="337">
        <f>SUMIFS(BS_RE33!$H$7:$H$874,BS_RE33!$S$7:$S$874,$R$2,BS_RE33!$N$7:$N$874,I43,BS_RE33!$P$7:$P$874,'30 days CF Table(GBP)'!G43,BS_RE33!$F$7:$F$874,'30 days CF Table(GBP)'!$C$2)</f>
        <v>0</v>
      </c>
      <c r="S43" s="337">
        <f>SUMIFS(BS_RE33!$H$7:$H$874,BS_RE33!$S$7:$S$874,$S$2,BS_RE33!$N$7:$N$874,I43,BS_RE33!$P$7:$P$874,'30 days CF Table(GBP)'!G43,BS_RE33!$F$7:$F$874,'30 days CF Table(GBP)'!$C$2)</f>
        <v>0</v>
      </c>
      <c r="T43" s="337">
        <f>SUMIFS(BS_RE33!$H$7:$H$874,BS_RE33!$S$7:$S$874,$T$2,BS_RE33!$N$7:$N$874,I43,BS_RE33!$P$7:$P$874,'30 days CF Table(GBP)'!G43,BS_RE33!$F$7:$F$874,'30 days CF Table(GBP)'!$C$2)</f>
        <v>0</v>
      </c>
      <c r="U43" s="337">
        <f>SUMIFS(BS_RE33!$H$7:$H$874,BS_RE33!$S$7:$S$874,$U$2,BS_RE33!$N$7:$N$874,I43,BS_RE33!$P$7:$P$874,'30 days CF Table(GBP)'!G43,BS_RE33!$F$7:$F$874,'30 days CF Table(GBP)'!$C$2)</f>
        <v>0</v>
      </c>
      <c r="V43" s="337">
        <f>SUMIFS(BS_RE33!$H$7:$H$874,BS_RE33!$S$7:$S$874,$V$2,BS_RE33!$N$7:$N$874,I43,BS_RE33!$P$7:$P$874,'30 days CF Table(GBP)'!G43,BS_RE33!$F$7:$F$874,'30 days CF Table(GBP)'!$C$2)</f>
        <v>0</v>
      </c>
      <c r="W43" s="337">
        <f>SUMIFS(BS_RE33!$H$7:$H$874,BS_RE33!$S$7:$S$874,$W$2,BS_RE33!$N$7:$N$874,I43,BS_RE33!$P$7:$P$874,'30 days CF Table(GBP)'!G43,BS_RE33!$F$7:$F$874,'30 days CF Table(GBP)'!$C$2)</f>
        <v>0</v>
      </c>
      <c r="X43" s="337">
        <f>SUMIFS(BS_RE33!$H$7:$H$874,BS_RE33!$S$7:$S$874,$X$2,BS_RE33!$N$7:$N$874,I43,BS_RE33!$P$7:$P$874,'30 days CF Table(GBP)'!G43,BS_RE33!$F$7:$F$874,'30 days CF Table(GBP)'!$C$2)</f>
        <v>0</v>
      </c>
      <c r="Y43" s="337">
        <f>SUMIFS(BS_RE33!$H$7:$H$874,BS_RE33!$S$7:$S$874,$Y$2,BS_RE33!$N$7:$N$874,I43,BS_RE33!$P$7:$P$874,'30 days CF Table(GBP)'!G43,BS_RE33!$F$7:$F$874,'30 days CF Table(GBP)'!$C$2)</f>
        <v>0</v>
      </c>
      <c r="Z43" s="337">
        <f>SUMIFS(BS_RE33!$H$7:$H$874,BS_RE33!$S$7:$S$874,$Z$2,BS_RE33!$N$7:$N$874,I43,BS_RE33!$P$7:$P$874,'30 days CF Table(GBP)'!G43,BS_RE33!$F$7:$F$874,'30 days CF Table(GBP)'!$C$2)</f>
        <v>0</v>
      </c>
      <c r="AA43" s="337">
        <f>SUMIFS(BS_RE33!$H$7:$H$874,BS_RE33!$S$7:$S$874,$AA$2,BS_RE33!$N$7:$N$874,I43,BS_RE33!$P$7:$P$874,'30 days CF Table(GBP)'!G43,BS_RE33!$F$7:$F$874,'30 days CF Table(GBP)'!$C$2)</f>
        <v>0</v>
      </c>
      <c r="AB43" s="337">
        <f>SUMIFS(BS_RE33!$H$7:$H$874,BS_RE33!$S$7:$S$874,$AB$2,BS_RE33!$N$7:$N$874,I43,BS_RE33!$P$7:$P$874,'30 days CF Table(GBP)'!G43,BS_RE33!$F$7:$F$874,'30 days CF Table(GBP)'!$C$2)</f>
        <v>0</v>
      </c>
      <c r="AC43" s="337">
        <f>SUMIFS(BS_RE33!$H$7:$H$874,BS_RE33!$S$7:$S$874,$AC$2,BS_RE33!$N$7:$N$874,I43,BS_RE33!$P$7:$P$874,'30 days CF Table(GBP)'!G43,BS_RE33!$F$7:$F$874,'30 days CF Table(GBP)'!$C$2)</f>
        <v>0</v>
      </c>
      <c r="AD43" s="337">
        <f>SUMIFS(BS_RE33!$H$7:$H$874,BS_RE33!$S$7:$S$874,$AD$2,BS_RE33!$N$7:$N$874,I43,BS_RE33!$P$7:$P$874,'30 days CF Table(GBP)'!G43,BS_RE33!$F$7:$F$874,'30 days CF Table(GBP)'!$C$2)</f>
        <v>0</v>
      </c>
      <c r="AE43" s="337">
        <f>SUMIFS(BS_RE33!$H$7:$H$874,BS_RE33!$S$7:$S$874,$AE$2,BS_RE33!$N$7:$N$874,I43,BS_RE33!$P$7:$P$874,'30 days CF Table(GBP)'!G43,BS_RE33!$F$7:$F$874,'30 days CF Table(GBP)'!$C$2)</f>
        <v>0</v>
      </c>
      <c r="AF43" s="337">
        <f>SUMIFS(BS_RE33!$H$7:$H$874,BS_RE33!$S$7:$S$874,$AF$2,BS_RE33!$N$7:$N$874,I43,BS_RE33!$P$7:$P$874,'30 days CF Table(GBP)'!G43,BS_RE33!$F$7:$F$874,'30 days CF Table(GBP)'!$C$2)</f>
        <v>0</v>
      </c>
      <c r="AG43" s="337">
        <f>SUMIFS(BS_RE33!$H$7:$H$874,BS_RE33!$S$7:$S$874,$AG$2,BS_RE33!$N$7:$N$874,I43,BS_RE33!$P$7:$P$874,'30 days CF Table(GBP)'!G43,BS_RE33!$F$7:$F$874,'30 days CF Table(GBP)'!$C$2)</f>
        <v>0</v>
      </c>
      <c r="AH43" s="337">
        <f>SUMIFS(BS_RE33!$H$7:$H$874,BS_RE33!$S$7:$S$874,$AH$2,BS_RE33!$N$7:$N$874,I43,BS_RE33!$P$7:$P$874,'30 days CF Table(GBP)'!G43,BS_RE33!$F$7:$F$874,'30 days CF Table(GBP)'!$C$2)</f>
        <v>0</v>
      </c>
      <c r="AI43" s="337">
        <f>SUMIFS(BS_RE33!$H$7:$H$874,BS_RE33!$S$7:$S$874,$AI$2,BS_RE33!$N$7:$N$874,I43,BS_RE33!$P$7:$P$874,'30 days CF Table(GBP)'!G43,BS_RE33!$F$7:$F$874,'30 days CF Table(GBP)'!$C$2)</f>
        <v>0</v>
      </c>
      <c r="AJ43" s="337">
        <f>SUMIFS(BS_RE33!$H$7:$H$874,BS_RE33!$S$7:$S$874,$AJ$2,BS_RE33!$N$7:$N$874,I43,BS_RE33!$P$7:$P$874,'30 days CF Table(GBP)'!G43,BS_RE33!$F$7:$F$874,'30 days CF Table(GBP)'!$C$2)</f>
        <v>0</v>
      </c>
      <c r="AK43" s="337">
        <f>SUMIFS(BS_RE33!$H$7:$H$874,BS_RE33!$S$7:$S$874,$AK$2,BS_RE33!$N$7:$N$874,I43,BS_RE33!$P$7:$P$874,'30 days CF Table(GBP)'!G43,BS_RE33!$F$7:$F$874,'30 days CF Table(GBP)'!$C$2)</f>
        <v>0</v>
      </c>
      <c r="AL43" s="337">
        <f>SUMIFS(BS_RE33!$H$7:$H$874,BS_RE33!$S$7:$S$874,$AL$2,BS_RE33!$N$7:$N$874,I43,BS_RE33!$P$7:$P$874,'30 days CF Table(GBP)'!G43,BS_RE33!$F$7:$F$874,'30 days CF Table(GBP)'!$C$2)</f>
        <v>0</v>
      </c>
      <c r="AM43" s="337">
        <f>SUMIFS(BS_RE33!$H$7:$H$874,BS_RE33!$S$7:$S$874,$AM$2,BS_RE33!$N$7:$N$874,I43,BS_RE33!$P$7:$P$874,'30 days CF Table(GBP)'!G43,BS_RE33!$F$7:$F$874,'30 days CF Table(GBP)'!$C$2)</f>
        <v>0</v>
      </c>
      <c r="AN43" s="337">
        <f>SUMIFS(BS_RE33!$H$7:$H$874,BS_RE33!$S$7:$S$874,$AN$2,BS_RE33!$N$7:$N$874,I43,BS_RE33!$P$7:$P$874,'30 days CF Table(GBP)'!G43,BS_RE33!$F$7:$F$874,'30 days CF Table(GBP)'!$C$2)</f>
        <v>0</v>
      </c>
      <c r="AO43" s="337">
        <f>SUMIFS(BS_RE33!$H$7:$H$874,BS_RE33!$S$7:$S$874,$AO$2,BS_RE33!$N$7:$N$874,I43,BS_RE33!$P$7:$P$874,'30 days CF Table(GBP)'!G43,BS_RE33!$F$7:$F$874,'30 days CF Table(GBP)'!$C$2)</f>
        <v>0</v>
      </c>
      <c r="AP43" s="338">
        <f>SUMIFS(BS_RE33!$H$7:$H$874,BS_RE33!$S$7:$S$874,$AP$2,BS_RE33!$N$7:$N$874,I43,BS_RE33!$P$7:$P$874,'30 days CF Table(GBP)'!G43,BS_RE33!$F$7:$F$874,'30 days CF Table(GBP)'!$C$2)</f>
        <v>0</v>
      </c>
      <c r="AR43" s="379">
        <f>SUMIFS(BS_RE33!$H$7:$H$874,BS_RE33!$S$7:$S$874,$AR$2,BS_RE33!$N$7:$N$874,I43,BS_RE33!$P$7:$P$874,'30 days CF Table(GBP)'!G43,BS_RE33!$F$7:$F$874,'30 days CF Table(GBP)'!$C$2)</f>
        <v>0</v>
      </c>
      <c r="AS43" s="379">
        <f>SUMIFS(BS_RE33!$H$7:$H$874,BS_RE33!$S$7:$S$874,$AS$2,BS_RE33!$N$7:$N$874,I43,BS_RE33!$P$7:$P$874,'30 days CF Table(GBP)'!G43,BS_RE33!$F$7:$F$874,'30 days CF Table(GBP)'!$C$2)</f>
        <v>0</v>
      </c>
      <c r="AT43" s="379">
        <f>SUMIFS(BS_RE33!$H$7:$H$874,BS_RE33!$S$7:$S$874,$AT$2,BS_RE33!$N$7:$N$874,I43,BS_RE33!$P$7:$P$874,'30 days CF Table(GBP)'!G43,BS_RE33!$F$7:$F$874,'30 days CF Table(GBP)'!$C$2)</f>
        <v>0</v>
      </c>
      <c r="AU43" s="379">
        <f>SUMIFS(BS_RE33!$H$7:$H$874,BS_RE33!$S$7:$S$874,$AU$2,BS_RE33!$N$7:$N$874,I43,BS_RE33!$P$7:$P$874,'30 days CF Table(GBP)'!G43,BS_RE33!$F$7:$F$874,'30 days CF Table(GBP)'!$C$2)</f>
        <v>0</v>
      </c>
      <c r="AV43" s="379">
        <f>SUMIFS(BS_RE33!$H$7:$H$874,BS_RE33!$S$7:$S$874,$AV$2,BS_RE33!$N$7:$N$874,I43,BS_RE33!$P$7:$P$874,'30 days CF Table(GBP)'!G43,BS_RE33!$F$7:$F$874,'30 days CF Table(GBP)'!$C$2)</f>
        <v>0</v>
      </c>
      <c r="AW43" s="379">
        <f>SUMIFS(BS_RE33!$H$7:$H$874,BS_RE33!$S$7:$S$874,$AW$2,BS_RE33!$N$7:$N$874,I43,BS_RE33!$P$7:$P$874,'30 days CF Table(GBP)'!G43,BS_RE33!$F$7:$F$874,'30 days CF Table(GBP)'!$C$2)</f>
        <v>0</v>
      </c>
      <c r="AX43" s="379">
        <f>SUMIFS(BS_RE33!$H$7:$H$874,BS_RE33!$S$7:$S$874,$AX$2,BS_RE33!$N$7:$N$874,I43,BS_RE33!$P$7:$P$874,'30 days CF Table(GBP)'!G43,BS_RE33!$F$7:$F$874,'30 days CF Table(GBP)'!$C$2)</f>
        <v>0</v>
      </c>
      <c r="AY43" s="379">
        <f>SUMIFS(BS_RE33!$H$7:$H$874,BS_RE33!$S$7:$S$874,$AY$2,BS_RE33!$N$7:$N$874,I43,BS_RE33!$P$7:$P$874,'30 days CF Table(GBP)'!G43,BS_RE33!$F$7:$F$874,'30 days CF Table(GBP)'!$C$2)</f>
        <v>0</v>
      </c>
      <c r="AZ43" s="379">
        <f>SUMIFS(BS_RE33!$H$7:$H$874,BS_RE33!$S$7:$S$874,$AZ$2,BS_RE33!$N$7:$N$874,I43,BS_RE33!$P$7:$P$874,'30 days CF Table(GBP)'!G43,BS_RE33!$F$7:$F$874,'30 days CF Table(GBP)'!$C$2)</f>
        <v>0</v>
      </c>
      <c r="BA43" s="379">
        <f>SUMIFS(BS_RE33!$H$7:$H$874,BS_RE33!$S$7:$S$874,$BA$2,BS_RE33!$N$7:$N$874,I43,BS_RE33!$P$7:$P$874,'30 days CF Table(GBP)'!G43,BS_RE33!$F$7:$F$874,'30 days CF Table(GBP)'!$C$2)</f>
        <v>0</v>
      </c>
      <c r="BB43" s="379">
        <f>SUMIFS(BS_RE33!$H$7:$H$874,BS_RE33!$S$7:$S$874,$BB$2,BS_RE33!$N$7:$N$874,I43,BS_RE33!$P$7:$P$874,'30 days CF Table(GBP)'!G43,BS_RE33!$F$7:$F$874,'30 days CF Table(GBP)'!$C$2)</f>
        <v>0</v>
      </c>
      <c r="BC43" s="379">
        <f>SUMIFS(BS_RE33!$H$7:$H$874,BS_RE33!$S$7:$S$874,$BC$2,BS_RE33!$N$7:$N$874,I43,BS_RE33!$P$7:$P$874,'30 days CF Table(GBP)'!G43,BS_RE33!$F$7:$F$874,'30 days CF Table(GBP)'!$C$2)</f>
        <v>0</v>
      </c>
      <c r="BD43" s="379">
        <f>SUMIFS(BS_RE33!$H$7:$H$874,BS_RE33!$S$7:$S$874,$BD$2,BS_RE33!$N$7:$N$874,I43,BS_RE33!$P$7:$P$874,'30 days CF Table(GBP)'!G43,BS_RE33!$F$7:$F$874,'30 days CF Table(GBP)'!$C$2)</f>
        <v>0</v>
      </c>
      <c r="BE43" s="379">
        <f>SUMIFS(BS_RE33!$H$7:$H$874,BS_RE33!$S$7:$S$874,$BE$2,BS_RE33!$N$7:$N$874,I43,BS_RE33!$P$7:$P$874,'30 days CF Table(GBP)'!G43,BS_RE33!$F$7:$F$874,'30 days CF Table(GBP)'!$C$2)</f>
        <v>0</v>
      </c>
      <c r="BF43" s="379">
        <f>SUMIFS(BS_RE33!$H$7:$H$874,BS_RE33!$S$7:$S$874,$BF$2,BS_RE33!$N$7:$N$874,I43,BS_RE33!$P$7:$P$874,'30 days CF Table(GBP)'!G43,BS_RE33!$F$7:$F$874,'30 days CF Table(GBP)'!$C$2)</f>
        <v>0</v>
      </c>
      <c r="BG43" s="379">
        <f>SUMIFS(BS_RE33!$H$7:$H$874,BS_RE33!$S$7:$S$874,$BG$2,BS_RE33!$N$7:$N$874,I43,BS_RE33!$P$7:$P$874,'30 days CF Table(GBP)'!G43,BS_RE33!$F$7:$F$874,'30 days CF Table(GBP)'!$C$2)</f>
        <v>0</v>
      </c>
      <c r="BH43" s="379">
        <f>SUMIFS(BS_RE33!$H$7:$H$874,BS_RE33!$S$7:$S$874,$BH$2,BS_RE33!$N$7:$N$874,I43,BS_RE33!$P$7:$P$874,'30 days CF Table(GBP)'!G43,BS_RE33!$F$7:$F$874,'30 days CF Table(GBP)'!$C$2)</f>
        <v>0</v>
      </c>
      <c r="BI43" s="379">
        <f>SUMIFS(BS_RE33!$H$7:$H$874,BS_RE33!$S$7:$S$874,$BI$2,BS_RE33!$N$7:$N$874,I43,BS_RE33!$P$7:$P$874,'30 days CF Table(GBP)'!G43,BS_RE33!$F$7:$F$874,'30 days CF Table(GBP)'!$C$2)</f>
        <v>0</v>
      </c>
      <c r="BJ43" s="379">
        <f>SUMIFS(BS_RE33!$H$7:$H$874,BS_RE33!$S$7:$S$874,$BJ$2,BS_RE33!$N$7:$N$874,I43,BS_RE33!$P$7:$P$874,'30 days CF Table(GBP)'!G43,BS_RE33!$F$7:$F$874,'30 days CF Table(GBP)'!$C$2)</f>
        <v>0</v>
      </c>
      <c r="BK43" s="379">
        <f>SUMIFS(BS_RE33!$H$7:$H$874,BS_RE33!$S$7:$S$874,$BK$2,BS_RE33!$N$7:$N$874,I43,BS_RE33!$P$7:$P$874,'30 days CF Table(GBP)'!G43,BS_RE33!$F$7:$F$874,'30 days CF Table(GBP)'!$C$2)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Table(GBP)'!G44,BS_RE33!$F$7:$F$874,'30 days CF Table(GBP)'!$C$2)</f>
        <v>0</v>
      </c>
      <c r="M44" s="337">
        <f>SUMIFS(BS_RE33!$H$7:$H$874,BS_RE33!$S$7:$S$874,$M$2,BS_RE33!$N$7:$N$874,I44,BS_RE33!$P$7:$P$874,'30 days CF Table(GBP)'!G44,BS_RE33!$F$7:$F$874,'30 days CF Table(GBP)'!$C$2)</f>
        <v>0</v>
      </c>
      <c r="N44" s="337">
        <f>SUMIFS(BS_RE33!$H$7:$H$874,BS_RE33!$S$7:$S$874,$N$2,BS_RE33!$N$7:$N$874,I44,BS_RE33!$P$7:$P$874,'30 days CF Table(GBP)'!G44,BS_RE33!$F$7:$F$874,'30 days CF Table(GBP)'!$C$2)</f>
        <v>0</v>
      </c>
      <c r="O44" s="337">
        <f>SUMIFS(BS_RE33!$H$7:$H$874,BS_RE33!$S$7:$S$874,$O$2,BS_RE33!$N$7:$N$874,I44,BS_RE33!$P$7:$P$874,'30 days CF Table(GBP)'!G44,BS_RE33!$F$7:$F$874,'30 days CF Table(GBP)'!$C$2)</f>
        <v>0</v>
      </c>
      <c r="P44" s="337">
        <f>SUMIFS(BS_RE33!$H$7:$H$874,BS_RE33!$S$7:$S$874,$P$2,BS_RE33!$N$7:$N$874,I44,BS_RE33!$P$7:$P$874,'30 days CF Table(GBP)'!G44,BS_RE33!$F$7:$F$874,'30 days CF Table(GBP)'!$C$2)</f>
        <v>0</v>
      </c>
      <c r="Q44" s="337">
        <f>SUMIFS(BS_RE33!$H$7:$H$874,BS_RE33!$S$7:$S$874,$Q$2,BS_RE33!$N$7:$N$874,I44,BS_RE33!$P$7:$P$874,'30 days CF Table(GBP)'!G44,BS_RE33!$F$7:$F$874,'30 days CF Table(GBP)'!$C$2)</f>
        <v>0</v>
      </c>
      <c r="R44" s="337">
        <f>SUMIFS(BS_RE33!$H$7:$H$874,BS_RE33!$S$7:$S$874,$R$2,BS_RE33!$N$7:$N$874,I44,BS_RE33!$P$7:$P$874,'30 days CF Table(GBP)'!G44,BS_RE33!$F$7:$F$874,'30 days CF Table(GBP)'!$C$2)</f>
        <v>0</v>
      </c>
      <c r="S44" s="337">
        <f>SUMIFS(BS_RE33!$H$7:$H$874,BS_RE33!$S$7:$S$874,$S$2,BS_RE33!$N$7:$N$874,I44,BS_RE33!$P$7:$P$874,'30 days CF Table(GBP)'!G44,BS_RE33!$F$7:$F$874,'30 days CF Table(GBP)'!$C$2)</f>
        <v>0</v>
      </c>
      <c r="T44" s="337">
        <f>SUMIFS(BS_RE33!$H$7:$H$874,BS_RE33!$S$7:$S$874,$T$2,BS_RE33!$N$7:$N$874,I44,BS_RE33!$P$7:$P$874,'30 days CF Table(GBP)'!G44,BS_RE33!$F$7:$F$874,'30 days CF Table(GBP)'!$C$2)</f>
        <v>0</v>
      </c>
      <c r="U44" s="337">
        <f>SUMIFS(BS_RE33!$H$7:$H$874,BS_RE33!$S$7:$S$874,$U$2,BS_RE33!$N$7:$N$874,I44,BS_RE33!$P$7:$P$874,'30 days CF Table(GBP)'!G44,BS_RE33!$F$7:$F$874,'30 days CF Table(GBP)'!$C$2)</f>
        <v>0</v>
      </c>
      <c r="V44" s="337">
        <f>SUMIFS(BS_RE33!$H$7:$H$874,BS_RE33!$S$7:$S$874,$V$2,BS_RE33!$N$7:$N$874,I44,BS_RE33!$P$7:$P$874,'30 days CF Table(GBP)'!G44,BS_RE33!$F$7:$F$874,'30 days CF Table(GBP)'!$C$2)</f>
        <v>0</v>
      </c>
      <c r="W44" s="337">
        <f>SUMIFS(BS_RE33!$H$7:$H$874,BS_RE33!$S$7:$S$874,$W$2,BS_RE33!$N$7:$N$874,I44,BS_RE33!$P$7:$P$874,'30 days CF Table(GBP)'!G44,BS_RE33!$F$7:$F$874,'30 days CF Table(GBP)'!$C$2)</f>
        <v>0</v>
      </c>
      <c r="X44" s="337">
        <f>SUMIFS(BS_RE33!$H$7:$H$874,BS_RE33!$S$7:$S$874,$X$2,BS_RE33!$N$7:$N$874,I44,BS_RE33!$P$7:$P$874,'30 days CF Table(GBP)'!G44,BS_RE33!$F$7:$F$874,'30 days CF Table(GBP)'!$C$2)</f>
        <v>0</v>
      </c>
      <c r="Y44" s="337">
        <f>SUMIFS(BS_RE33!$H$7:$H$874,BS_RE33!$S$7:$S$874,$Y$2,BS_RE33!$N$7:$N$874,I44,BS_RE33!$P$7:$P$874,'30 days CF Table(GBP)'!G44,BS_RE33!$F$7:$F$874,'30 days CF Table(GBP)'!$C$2)</f>
        <v>0</v>
      </c>
      <c r="Z44" s="337">
        <f>SUMIFS(BS_RE33!$H$7:$H$874,BS_RE33!$S$7:$S$874,$Z$2,BS_RE33!$N$7:$N$874,I44,BS_RE33!$P$7:$P$874,'30 days CF Table(GBP)'!G44,BS_RE33!$F$7:$F$874,'30 days CF Table(GBP)'!$C$2)</f>
        <v>0</v>
      </c>
      <c r="AA44" s="337">
        <f>SUMIFS(BS_RE33!$H$7:$H$874,BS_RE33!$S$7:$S$874,$AA$2,BS_RE33!$N$7:$N$874,I44,BS_RE33!$P$7:$P$874,'30 days CF Table(GBP)'!G44,BS_RE33!$F$7:$F$874,'30 days CF Table(GBP)'!$C$2)</f>
        <v>0</v>
      </c>
      <c r="AB44" s="337">
        <f>SUMIFS(BS_RE33!$H$7:$H$874,BS_RE33!$S$7:$S$874,$AB$2,BS_RE33!$N$7:$N$874,I44,BS_RE33!$P$7:$P$874,'30 days CF Table(GBP)'!G44,BS_RE33!$F$7:$F$874,'30 days CF Table(GBP)'!$C$2)</f>
        <v>0</v>
      </c>
      <c r="AC44" s="337">
        <f>SUMIFS(BS_RE33!$H$7:$H$874,BS_RE33!$S$7:$S$874,$AC$2,BS_RE33!$N$7:$N$874,I44,BS_RE33!$P$7:$P$874,'30 days CF Table(GBP)'!G44,BS_RE33!$F$7:$F$874,'30 days CF Table(GBP)'!$C$2)</f>
        <v>0</v>
      </c>
      <c r="AD44" s="337">
        <f>SUMIFS(BS_RE33!$H$7:$H$874,BS_RE33!$S$7:$S$874,$AD$2,BS_RE33!$N$7:$N$874,I44,BS_RE33!$P$7:$P$874,'30 days CF Table(GBP)'!G44,BS_RE33!$F$7:$F$874,'30 days CF Table(GBP)'!$C$2)</f>
        <v>0</v>
      </c>
      <c r="AE44" s="337">
        <f>SUMIFS(BS_RE33!$H$7:$H$874,BS_RE33!$S$7:$S$874,$AE$2,BS_RE33!$N$7:$N$874,I44,BS_RE33!$P$7:$P$874,'30 days CF Table(GBP)'!G44,BS_RE33!$F$7:$F$874,'30 days CF Table(GBP)'!$C$2)</f>
        <v>0</v>
      </c>
      <c r="AF44" s="337">
        <f>SUMIFS(BS_RE33!$H$7:$H$874,BS_RE33!$S$7:$S$874,$AF$2,BS_RE33!$N$7:$N$874,I44,BS_RE33!$P$7:$P$874,'30 days CF Table(GBP)'!G44,BS_RE33!$F$7:$F$874,'30 days CF Table(GBP)'!$C$2)</f>
        <v>0</v>
      </c>
      <c r="AG44" s="337">
        <f>SUMIFS(BS_RE33!$H$7:$H$874,BS_RE33!$S$7:$S$874,$AG$2,BS_RE33!$N$7:$N$874,I44,BS_RE33!$P$7:$P$874,'30 days CF Table(GBP)'!G44,BS_RE33!$F$7:$F$874,'30 days CF Table(GBP)'!$C$2)</f>
        <v>0</v>
      </c>
      <c r="AH44" s="337">
        <f>SUMIFS(BS_RE33!$H$7:$H$874,BS_RE33!$S$7:$S$874,$AH$2,BS_RE33!$N$7:$N$874,I44,BS_RE33!$P$7:$P$874,'30 days CF Table(GBP)'!G44,BS_RE33!$F$7:$F$874,'30 days CF Table(GBP)'!$C$2)</f>
        <v>0</v>
      </c>
      <c r="AI44" s="337">
        <f>SUMIFS(BS_RE33!$H$7:$H$874,BS_RE33!$S$7:$S$874,$AI$2,BS_RE33!$N$7:$N$874,I44,BS_RE33!$P$7:$P$874,'30 days CF Table(GBP)'!G44,BS_RE33!$F$7:$F$874,'30 days CF Table(GBP)'!$C$2)</f>
        <v>0</v>
      </c>
      <c r="AJ44" s="337">
        <f>SUMIFS(BS_RE33!$H$7:$H$874,BS_RE33!$S$7:$S$874,$AJ$2,BS_RE33!$N$7:$N$874,I44,BS_RE33!$P$7:$P$874,'30 days CF Table(GBP)'!G44,BS_RE33!$F$7:$F$874,'30 days CF Table(GBP)'!$C$2)</f>
        <v>0</v>
      </c>
      <c r="AK44" s="337">
        <f>SUMIFS(BS_RE33!$H$7:$H$874,BS_RE33!$S$7:$S$874,$AK$2,BS_RE33!$N$7:$N$874,I44,BS_RE33!$P$7:$P$874,'30 days CF Table(GBP)'!G44,BS_RE33!$F$7:$F$874,'30 days CF Table(GBP)'!$C$2)</f>
        <v>0</v>
      </c>
      <c r="AL44" s="337">
        <f>SUMIFS(BS_RE33!$H$7:$H$874,BS_RE33!$S$7:$S$874,$AL$2,BS_RE33!$N$7:$N$874,I44,BS_RE33!$P$7:$P$874,'30 days CF Table(GBP)'!G44,BS_RE33!$F$7:$F$874,'30 days CF Table(GBP)'!$C$2)</f>
        <v>0</v>
      </c>
      <c r="AM44" s="337">
        <f>SUMIFS(BS_RE33!$H$7:$H$874,BS_RE33!$S$7:$S$874,$AM$2,BS_RE33!$N$7:$N$874,I44,BS_RE33!$P$7:$P$874,'30 days CF Table(GBP)'!G44,BS_RE33!$F$7:$F$874,'30 days CF Table(GBP)'!$C$2)</f>
        <v>0</v>
      </c>
      <c r="AN44" s="337">
        <f>SUMIFS(BS_RE33!$H$7:$H$874,BS_RE33!$S$7:$S$874,$AN$2,BS_RE33!$N$7:$N$874,I44,BS_RE33!$P$7:$P$874,'30 days CF Table(GBP)'!G44,BS_RE33!$F$7:$F$874,'30 days CF Table(GBP)'!$C$2)</f>
        <v>0</v>
      </c>
      <c r="AO44" s="337">
        <f>SUMIFS(BS_RE33!$H$7:$H$874,BS_RE33!$S$7:$S$874,$AO$2,BS_RE33!$N$7:$N$874,I44,BS_RE33!$P$7:$P$874,'30 days CF Table(GBP)'!G44,BS_RE33!$F$7:$F$874,'30 days CF Table(GBP)'!$C$2)</f>
        <v>0</v>
      </c>
      <c r="AP44" s="338">
        <f>SUMIFS(BS_RE33!$H$7:$H$874,BS_RE33!$S$7:$S$874,$AP$2,BS_RE33!$N$7:$N$874,I44,BS_RE33!$P$7:$P$874,'30 days CF Table(GBP)'!G44,BS_RE33!$F$7:$F$874,'30 days CF Table(GBP)'!$C$2)</f>
        <v>0</v>
      </c>
      <c r="AR44" s="379">
        <f>SUMIFS(BS_RE33!$H$7:$H$874,BS_RE33!$S$7:$S$874,$AR$2,BS_RE33!$N$7:$N$874,I44,BS_RE33!$P$7:$P$874,'30 days CF Table(GBP)'!G44,BS_RE33!$F$7:$F$874,'30 days CF Table(GBP)'!$C$2)</f>
        <v>0</v>
      </c>
      <c r="AS44" s="379">
        <f>SUMIFS(BS_RE33!$H$7:$H$874,BS_RE33!$S$7:$S$874,$AS$2,BS_RE33!$N$7:$N$874,I44,BS_RE33!$P$7:$P$874,'30 days CF Table(GBP)'!G44,BS_RE33!$F$7:$F$874,'30 days CF Table(GBP)'!$C$2)</f>
        <v>0</v>
      </c>
      <c r="AT44" s="379">
        <f>SUMIFS(BS_RE33!$H$7:$H$874,BS_RE33!$S$7:$S$874,$AT$2,BS_RE33!$N$7:$N$874,I44,BS_RE33!$P$7:$P$874,'30 days CF Table(GBP)'!G44,BS_RE33!$F$7:$F$874,'30 days CF Table(GBP)'!$C$2)</f>
        <v>0</v>
      </c>
      <c r="AU44" s="379">
        <f>SUMIFS(BS_RE33!$H$7:$H$874,BS_RE33!$S$7:$S$874,$AU$2,BS_RE33!$N$7:$N$874,I44,BS_RE33!$P$7:$P$874,'30 days CF Table(GBP)'!G44,BS_RE33!$F$7:$F$874,'30 days CF Table(GBP)'!$C$2)</f>
        <v>0</v>
      </c>
      <c r="AV44" s="379">
        <f>SUMIFS(BS_RE33!$H$7:$H$874,BS_RE33!$S$7:$S$874,$AV$2,BS_RE33!$N$7:$N$874,I44,BS_RE33!$P$7:$P$874,'30 days CF Table(GBP)'!G44,BS_RE33!$F$7:$F$874,'30 days CF Table(GBP)'!$C$2)</f>
        <v>0</v>
      </c>
      <c r="AW44" s="379">
        <f>SUMIFS(BS_RE33!$H$7:$H$874,BS_RE33!$S$7:$S$874,$AW$2,BS_RE33!$N$7:$N$874,I44,BS_RE33!$P$7:$P$874,'30 days CF Table(GBP)'!G44,BS_RE33!$F$7:$F$874,'30 days CF Table(GBP)'!$C$2)</f>
        <v>0</v>
      </c>
      <c r="AX44" s="379">
        <f>SUMIFS(BS_RE33!$H$7:$H$874,BS_RE33!$S$7:$S$874,$AX$2,BS_RE33!$N$7:$N$874,I44,BS_RE33!$P$7:$P$874,'30 days CF Table(GBP)'!G44,BS_RE33!$F$7:$F$874,'30 days CF Table(GBP)'!$C$2)</f>
        <v>0</v>
      </c>
      <c r="AY44" s="379">
        <f>SUMIFS(BS_RE33!$H$7:$H$874,BS_RE33!$S$7:$S$874,$AY$2,BS_RE33!$N$7:$N$874,I44,BS_RE33!$P$7:$P$874,'30 days CF Table(GBP)'!G44,BS_RE33!$F$7:$F$874,'30 days CF Table(GBP)'!$C$2)</f>
        <v>0</v>
      </c>
      <c r="AZ44" s="379">
        <f>SUMIFS(BS_RE33!$H$7:$H$874,BS_RE33!$S$7:$S$874,$AZ$2,BS_RE33!$N$7:$N$874,I44,BS_RE33!$P$7:$P$874,'30 days CF Table(GBP)'!G44,BS_RE33!$F$7:$F$874,'30 days CF Table(GBP)'!$C$2)</f>
        <v>0</v>
      </c>
      <c r="BA44" s="379">
        <f>SUMIFS(BS_RE33!$H$7:$H$874,BS_RE33!$S$7:$S$874,$BA$2,BS_RE33!$N$7:$N$874,I44,BS_RE33!$P$7:$P$874,'30 days CF Table(GBP)'!G44,BS_RE33!$F$7:$F$874,'30 days CF Table(GBP)'!$C$2)</f>
        <v>0</v>
      </c>
      <c r="BB44" s="379">
        <f>SUMIFS(BS_RE33!$H$7:$H$874,BS_RE33!$S$7:$S$874,$BB$2,BS_RE33!$N$7:$N$874,I44,BS_RE33!$P$7:$P$874,'30 days CF Table(GBP)'!G44,BS_RE33!$F$7:$F$874,'30 days CF Table(GBP)'!$C$2)</f>
        <v>0</v>
      </c>
      <c r="BC44" s="379">
        <f>SUMIFS(BS_RE33!$H$7:$H$874,BS_RE33!$S$7:$S$874,$BC$2,BS_RE33!$N$7:$N$874,I44,BS_RE33!$P$7:$P$874,'30 days CF Table(GBP)'!G44,BS_RE33!$F$7:$F$874,'30 days CF Table(GBP)'!$C$2)</f>
        <v>0</v>
      </c>
      <c r="BD44" s="379">
        <f>SUMIFS(BS_RE33!$H$7:$H$874,BS_RE33!$S$7:$S$874,$BD$2,BS_RE33!$N$7:$N$874,I44,BS_RE33!$P$7:$P$874,'30 days CF Table(GBP)'!G44,BS_RE33!$F$7:$F$874,'30 days CF Table(GBP)'!$C$2)</f>
        <v>0</v>
      </c>
      <c r="BE44" s="379">
        <f>SUMIFS(BS_RE33!$H$7:$H$874,BS_RE33!$S$7:$S$874,$BE$2,BS_RE33!$N$7:$N$874,I44,BS_RE33!$P$7:$P$874,'30 days CF Table(GBP)'!G44,BS_RE33!$F$7:$F$874,'30 days CF Table(GBP)'!$C$2)</f>
        <v>0</v>
      </c>
      <c r="BF44" s="379">
        <f>SUMIFS(BS_RE33!$H$7:$H$874,BS_RE33!$S$7:$S$874,$BF$2,BS_RE33!$N$7:$N$874,I44,BS_RE33!$P$7:$P$874,'30 days CF Table(GBP)'!G44,BS_RE33!$F$7:$F$874,'30 days CF Table(GBP)'!$C$2)</f>
        <v>0</v>
      </c>
      <c r="BG44" s="379">
        <f>SUMIFS(BS_RE33!$H$7:$H$874,BS_RE33!$S$7:$S$874,$BG$2,BS_RE33!$N$7:$N$874,I44,BS_RE33!$P$7:$P$874,'30 days CF Table(GBP)'!G44,BS_RE33!$F$7:$F$874,'30 days CF Table(GBP)'!$C$2)</f>
        <v>0</v>
      </c>
      <c r="BH44" s="379">
        <f>SUMIFS(BS_RE33!$H$7:$H$874,BS_RE33!$S$7:$S$874,$BH$2,BS_RE33!$N$7:$N$874,I44,BS_RE33!$P$7:$P$874,'30 days CF Table(GBP)'!G44,BS_RE33!$F$7:$F$874,'30 days CF Table(GBP)'!$C$2)</f>
        <v>0</v>
      </c>
      <c r="BI44" s="379">
        <f>SUMIFS(BS_RE33!$H$7:$H$874,BS_RE33!$S$7:$S$874,$BI$2,BS_RE33!$N$7:$N$874,I44,BS_RE33!$P$7:$P$874,'30 days CF Table(GBP)'!G44,BS_RE33!$F$7:$F$874,'30 days CF Table(GBP)'!$C$2)</f>
        <v>0</v>
      </c>
      <c r="BJ44" s="379">
        <f>SUMIFS(BS_RE33!$H$7:$H$874,BS_RE33!$S$7:$S$874,$BJ$2,BS_RE33!$N$7:$N$874,I44,BS_RE33!$P$7:$P$874,'30 days CF Table(GBP)'!G44,BS_RE33!$F$7:$F$874,'30 days CF Table(GBP)'!$C$2)</f>
        <v>0</v>
      </c>
      <c r="BK44" s="379">
        <f>SUMIFS(BS_RE33!$H$7:$H$874,BS_RE33!$S$7:$S$874,$BK$2,BS_RE33!$N$7:$N$874,I44,BS_RE33!$P$7:$P$874,'30 days CF Table(GBP)'!G44,BS_RE33!$F$7:$F$874,'30 days CF Table(GBP)'!$C$2)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Table(GBP)'!G45,BS_RE33!$F$7:$F$874,'30 days CF Table(GBP)'!$C$2)</f>
        <v>0</v>
      </c>
      <c r="M45" s="337">
        <f>SUMIFS(BS_RE33!$H$7:$H$874,BS_RE33!$S$7:$S$874,$M$2,BS_RE33!$N$7:$N$874,I45,BS_RE33!$P$7:$P$874,'30 days CF Table(GBP)'!G45,BS_RE33!$F$7:$F$874,'30 days CF Table(GBP)'!$C$2)</f>
        <v>0</v>
      </c>
      <c r="N45" s="337">
        <f>SUMIFS(BS_RE33!$H$7:$H$874,BS_RE33!$S$7:$S$874,$N$2,BS_RE33!$N$7:$N$874,I45,BS_RE33!$P$7:$P$874,'30 days CF Table(GBP)'!G45,BS_RE33!$F$7:$F$874,'30 days CF Table(GBP)'!$C$2)</f>
        <v>0</v>
      </c>
      <c r="O45" s="337">
        <f>SUMIFS(BS_RE33!$H$7:$H$874,BS_RE33!$S$7:$S$874,$O$2,BS_RE33!$N$7:$N$874,I45,BS_RE33!$P$7:$P$874,'30 days CF Table(GBP)'!G45,BS_RE33!$F$7:$F$874,'30 days CF Table(GBP)'!$C$2)</f>
        <v>0</v>
      </c>
      <c r="P45" s="337">
        <f>SUMIFS(BS_RE33!$H$7:$H$874,BS_RE33!$S$7:$S$874,$P$2,BS_RE33!$N$7:$N$874,I45,BS_RE33!$P$7:$P$874,'30 days CF Table(GBP)'!G45,BS_RE33!$F$7:$F$874,'30 days CF Table(GBP)'!$C$2)</f>
        <v>0</v>
      </c>
      <c r="Q45" s="337">
        <f>SUMIFS(BS_RE33!$H$7:$H$874,BS_RE33!$S$7:$S$874,$Q$2,BS_RE33!$N$7:$N$874,I45,BS_RE33!$P$7:$P$874,'30 days CF Table(GBP)'!G45,BS_RE33!$F$7:$F$874,'30 days CF Table(GBP)'!$C$2)</f>
        <v>0</v>
      </c>
      <c r="R45" s="337">
        <f>SUMIFS(BS_RE33!$H$7:$H$874,BS_RE33!$S$7:$S$874,$R$2,BS_RE33!$N$7:$N$874,I45,BS_RE33!$P$7:$P$874,'30 days CF Table(GBP)'!G45,BS_RE33!$F$7:$F$874,'30 days CF Table(GBP)'!$C$2)</f>
        <v>0</v>
      </c>
      <c r="S45" s="337">
        <f>SUMIFS(BS_RE33!$H$7:$H$874,BS_RE33!$S$7:$S$874,$S$2,BS_RE33!$N$7:$N$874,I45,BS_RE33!$P$7:$P$874,'30 days CF Table(GBP)'!G45,BS_RE33!$F$7:$F$874,'30 days CF Table(GBP)'!$C$2)</f>
        <v>0</v>
      </c>
      <c r="T45" s="337">
        <f>SUMIFS(BS_RE33!$H$7:$H$874,BS_RE33!$S$7:$S$874,$T$2,BS_RE33!$N$7:$N$874,I45,BS_RE33!$P$7:$P$874,'30 days CF Table(GBP)'!G45,BS_RE33!$F$7:$F$874,'30 days CF Table(GBP)'!$C$2)</f>
        <v>0</v>
      </c>
      <c r="U45" s="337">
        <f>SUMIFS(BS_RE33!$H$7:$H$874,BS_RE33!$S$7:$S$874,$U$2,BS_RE33!$N$7:$N$874,I45,BS_RE33!$P$7:$P$874,'30 days CF Table(GBP)'!G45,BS_RE33!$F$7:$F$874,'30 days CF Table(GBP)'!$C$2)</f>
        <v>0</v>
      </c>
      <c r="V45" s="337">
        <f>SUMIFS(BS_RE33!$H$7:$H$874,BS_RE33!$S$7:$S$874,$V$2,BS_RE33!$N$7:$N$874,I45,BS_RE33!$P$7:$P$874,'30 days CF Table(GBP)'!G45,BS_RE33!$F$7:$F$874,'30 days CF Table(GBP)'!$C$2)</f>
        <v>0</v>
      </c>
      <c r="W45" s="337">
        <f>SUMIFS(BS_RE33!$H$7:$H$874,BS_RE33!$S$7:$S$874,$W$2,BS_RE33!$N$7:$N$874,I45,BS_RE33!$P$7:$P$874,'30 days CF Table(GBP)'!G45,BS_RE33!$F$7:$F$874,'30 days CF Table(GBP)'!$C$2)</f>
        <v>0</v>
      </c>
      <c r="X45" s="337">
        <f>SUMIFS(BS_RE33!$H$7:$H$874,BS_RE33!$S$7:$S$874,$X$2,BS_RE33!$N$7:$N$874,I45,BS_RE33!$P$7:$P$874,'30 days CF Table(GBP)'!G45,BS_RE33!$F$7:$F$874,'30 days CF Table(GBP)'!$C$2)</f>
        <v>0</v>
      </c>
      <c r="Y45" s="337">
        <f>SUMIFS(BS_RE33!$H$7:$H$874,BS_RE33!$S$7:$S$874,$Y$2,BS_RE33!$N$7:$N$874,I45,BS_RE33!$P$7:$P$874,'30 days CF Table(GBP)'!G45,BS_RE33!$F$7:$F$874,'30 days CF Table(GBP)'!$C$2)</f>
        <v>0</v>
      </c>
      <c r="Z45" s="337">
        <f>SUMIFS(BS_RE33!$H$7:$H$874,BS_RE33!$S$7:$S$874,$Z$2,BS_RE33!$N$7:$N$874,I45,BS_RE33!$P$7:$P$874,'30 days CF Table(GBP)'!G45,BS_RE33!$F$7:$F$874,'30 days CF Table(GBP)'!$C$2)</f>
        <v>0</v>
      </c>
      <c r="AA45" s="337">
        <f>SUMIFS(BS_RE33!$H$7:$H$874,BS_RE33!$S$7:$S$874,$AA$2,BS_RE33!$N$7:$N$874,I45,BS_RE33!$P$7:$P$874,'30 days CF Table(GBP)'!G45,BS_RE33!$F$7:$F$874,'30 days CF Table(GBP)'!$C$2)</f>
        <v>0</v>
      </c>
      <c r="AB45" s="337">
        <f>SUMIFS(BS_RE33!$H$7:$H$874,BS_RE33!$S$7:$S$874,$AB$2,BS_RE33!$N$7:$N$874,I45,BS_RE33!$P$7:$P$874,'30 days CF Table(GBP)'!G45,BS_RE33!$F$7:$F$874,'30 days CF Table(GBP)'!$C$2)</f>
        <v>0</v>
      </c>
      <c r="AC45" s="337">
        <f>SUMIFS(BS_RE33!$H$7:$H$874,BS_RE33!$S$7:$S$874,$AC$2,BS_RE33!$N$7:$N$874,I45,BS_RE33!$P$7:$P$874,'30 days CF Table(GBP)'!G45,BS_RE33!$F$7:$F$874,'30 days CF Table(GBP)'!$C$2)</f>
        <v>0</v>
      </c>
      <c r="AD45" s="337">
        <f>SUMIFS(BS_RE33!$H$7:$H$874,BS_RE33!$S$7:$S$874,$AD$2,BS_RE33!$N$7:$N$874,I45,BS_RE33!$P$7:$P$874,'30 days CF Table(GBP)'!G45,BS_RE33!$F$7:$F$874,'30 days CF Table(GBP)'!$C$2)</f>
        <v>0</v>
      </c>
      <c r="AE45" s="337">
        <f>SUMIFS(BS_RE33!$H$7:$H$874,BS_RE33!$S$7:$S$874,$AE$2,BS_RE33!$N$7:$N$874,I45,BS_RE33!$P$7:$P$874,'30 days CF Table(GBP)'!G45,BS_RE33!$F$7:$F$874,'30 days CF Table(GBP)'!$C$2)</f>
        <v>0</v>
      </c>
      <c r="AF45" s="337">
        <f>SUMIFS(BS_RE33!$H$7:$H$874,BS_RE33!$S$7:$S$874,$AF$2,BS_RE33!$N$7:$N$874,I45,BS_RE33!$P$7:$P$874,'30 days CF Table(GBP)'!G45,BS_RE33!$F$7:$F$874,'30 days CF Table(GBP)'!$C$2)</f>
        <v>0</v>
      </c>
      <c r="AG45" s="337">
        <f>SUMIFS(BS_RE33!$H$7:$H$874,BS_RE33!$S$7:$S$874,$AG$2,BS_RE33!$N$7:$N$874,I45,BS_RE33!$P$7:$P$874,'30 days CF Table(GBP)'!G45,BS_RE33!$F$7:$F$874,'30 days CF Table(GBP)'!$C$2)</f>
        <v>0</v>
      </c>
      <c r="AH45" s="337">
        <f>SUMIFS(BS_RE33!$H$7:$H$874,BS_RE33!$S$7:$S$874,$AH$2,BS_RE33!$N$7:$N$874,I45,BS_RE33!$P$7:$P$874,'30 days CF Table(GBP)'!G45,BS_RE33!$F$7:$F$874,'30 days CF Table(GBP)'!$C$2)</f>
        <v>0</v>
      </c>
      <c r="AI45" s="337">
        <f>SUMIFS(BS_RE33!$H$7:$H$874,BS_RE33!$S$7:$S$874,$AI$2,BS_RE33!$N$7:$N$874,I45,BS_RE33!$P$7:$P$874,'30 days CF Table(GBP)'!G45,BS_RE33!$F$7:$F$874,'30 days CF Table(GBP)'!$C$2)</f>
        <v>0</v>
      </c>
      <c r="AJ45" s="337">
        <f>SUMIFS(BS_RE33!$H$7:$H$874,BS_RE33!$S$7:$S$874,$AJ$2,BS_RE33!$N$7:$N$874,I45,BS_RE33!$P$7:$P$874,'30 days CF Table(GBP)'!G45,BS_RE33!$F$7:$F$874,'30 days CF Table(GBP)'!$C$2)</f>
        <v>0</v>
      </c>
      <c r="AK45" s="337">
        <f>SUMIFS(BS_RE33!$H$7:$H$874,BS_RE33!$S$7:$S$874,$AK$2,BS_RE33!$N$7:$N$874,I45,BS_RE33!$P$7:$P$874,'30 days CF Table(GBP)'!G45,BS_RE33!$F$7:$F$874,'30 days CF Table(GBP)'!$C$2)</f>
        <v>0</v>
      </c>
      <c r="AL45" s="337">
        <f>SUMIFS(BS_RE33!$H$7:$H$874,BS_RE33!$S$7:$S$874,$AL$2,BS_RE33!$N$7:$N$874,I45,BS_RE33!$P$7:$P$874,'30 days CF Table(GBP)'!G45,BS_RE33!$F$7:$F$874,'30 days CF Table(GBP)'!$C$2)</f>
        <v>0</v>
      </c>
      <c r="AM45" s="337">
        <f>SUMIFS(BS_RE33!$H$7:$H$874,BS_RE33!$S$7:$S$874,$AM$2,BS_RE33!$N$7:$N$874,I45,BS_RE33!$P$7:$P$874,'30 days CF Table(GBP)'!G45,BS_RE33!$F$7:$F$874,'30 days CF Table(GBP)'!$C$2)</f>
        <v>0</v>
      </c>
      <c r="AN45" s="337">
        <f>SUMIFS(BS_RE33!$H$7:$H$874,BS_RE33!$S$7:$S$874,$AN$2,BS_RE33!$N$7:$N$874,I45,BS_RE33!$P$7:$P$874,'30 days CF Table(GBP)'!G45,BS_RE33!$F$7:$F$874,'30 days CF Table(GBP)'!$C$2)</f>
        <v>0</v>
      </c>
      <c r="AO45" s="337">
        <f>SUMIFS(BS_RE33!$H$7:$H$874,BS_RE33!$S$7:$S$874,$AO$2,BS_RE33!$N$7:$N$874,I45,BS_RE33!$P$7:$P$874,'30 days CF Table(GBP)'!G45,BS_RE33!$F$7:$F$874,'30 days CF Table(GBP)'!$C$2)</f>
        <v>0</v>
      </c>
      <c r="AP45" s="338">
        <f>SUMIFS(BS_RE33!$H$7:$H$874,BS_RE33!$S$7:$S$874,$AP$2,BS_RE33!$N$7:$N$874,I45,BS_RE33!$P$7:$P$874,'30 days CF Table(GBP)'!G45,BS_RE33!$F$7:$F$874,'30 days CF Table(GBP)'!$C$2)</f>
        <v>0</v>
      </c>
      <c r="AR45" s="379">
        <f>SUMIFS(BS_RE33!$H$7:$H$874,BS_RE33!$S$7:$S$874,$AR$2,BS_RE33!$N$7:$N$874,I45,BS_RE33!$P$7:$P$874,'30 days CF Table(GBP)'!G45,BS_RE33!$F$7:$F$874,'30 days CF Table(GBP)'!$C$2)</f>
        <v>0</v>
      </c>
      <c r="AS45" s="379">
        <f>SUMIFS(BS_RE33!$H$7:$H$874,BS_RE33!$S$7:$S$874,$AS$2,BS_RE33!$N$7:$N$874,I45,BS_RE33!$P$7:$P$874,'30 days CF Table(GBP)'!G45,BS_RE33!$F$7:$F$874,'30 days CF Table(GBP)'!$C$2)</f>
        <v>0</v>
      </c>
      <c r="AT45" s="379">
        <f>SUMIFS(BS_RE33!$H$7:$H$874,BS_RE33!$S$7:$S$874,$AT$2,BS_RE33!$N$7:$N$874,I45,BS_RE33!$P$7:$P$874,'30 days CF Table(GBP)'!G45,BS_RE33!$F$7:$F$874,'30 days CF Table(GBP)'!$C$2)</f>
        <v>0</v>
      </c>
      <c r="AU45" s="379">
        <f>SUMIFS(BS_RE33!$H$7:$H$874,BS_RE33!$S$7:$S$874,$AU$2,BS_RE33!$N$7:$N$874,I45,BS_RE33!$P$7:$P$874,'30 days CF Table(GBP)'!G45,BS_RE33!$F$7:$F$874,'30 days CF Table(GBP)'!$C$2)</f>
        <v>0</v>
      </c>
      <c r="AV45" s="379">
        <f>SUMIFS(BS_RE33!$H$7:$H$874,BS_RE33!$S$7:$S$874,$AV$2,BS_RE33!$N$7:$N$874,I45,BS_RE33!$P$7:$P$874,'30 days CF Table(GBP)'!G45,BS_RE33!$F$7:$F$874,'30 days CF Table(GBP)'!$C$2)</f>
        <v>0</v>
      </c>
      <c r="AW45" s="379">
        <f>SUMIFS(BS_RE33!$H$7:$H$874,BS_RE33!$S$7:$S$874,$AW$2,BS_RE33!$N$7:$N$874,I45,BS_RE33!$P$7:$P$874,'30 days CF Table(GBP)'!G45,BS_RE33!$F$7:$F$874,'30 days CF Table(GBP)'!$C$2)</f>
        <v>0</v>
      </c>
      <c r="AX45" s="379">
        <f>SUMIFS(BS_RE33!$H$7:$H$874,BS_RE33!$S$7:$S$874,$AX$2,BS_RE33!$N$7:$N$874,I45,BS_RE33!$P$7:$P$874,'30 days CF Table(GBP)'!G45,BS_RE33!$F$7:$F$874,'30 days CF Table(GBP)'!$C$2)</f>
        <v>0</v>
      </c>
      <c r="AY45" s="379">
        <f>SUMIFS(BS_RE33!$H$7:$H$874,BS_RE33!$S$7:$S$874,$AY$2,BS_RE33!$N$7:$N$874,I45,BS_RE33!$P$7:$P$874,'30 days CF Table(GBP)'!G45,BS_RE33!$F$7:$F$874,'30 days CF Table(GBP)'!$C$2)</f>
        <v>0</v>
      </c>
      <c r="AZ45" s="379">
        <f>SUMIFS(BS_RE33!$H$7:$H$874,BS_RE33!$S$7:$S$874,$AZ$2,BS_RE33!$N$7:$N$874,I45,BS_RE33!$P$7:$P$874,'30 days CF Table(GBP)'!G45,BS_RE33!$F$7:$F$874,'30 days CF Table(GBP)'!$C$2)</f>
        <v>0</v>
      </c>
      <c r="BA45" s="379">
        <f>SUMIFS(BS_RE33!$H$7:$H$874,BS_RE33!$S$7:$S$874,$BA$2,BS_RE33!$N$7:$N$874,I45,BS_RE33!$P$7:$P$874,'30 days CF Table(GBP)'!G45,BS_RE33!$F$7:$F$874,'30 days CF Table(GBP)'!$C$2)</f>
        <v>0</v>
      </c>
      <c r="BB45" s="379">
        <f>SUMIFS(BS_RE33!$H$7:$H$874,BS_RE33!$S$7:$S$874,$BB$2,BS_RE33!$N$7:$N$874,I45,BS_RE33!$P$7:$P$874,'30 days CF Table(GBP)'!G45,BS_RE33!$F$7:$F$874,'30 days CF Table(GBP)'!$C$2)</f>
        <v>0</v>
      </c>
      <c r="BC45" s="379">
        <f>SUMIFS(BS_RE33!$H$7:$H$874,BS_RE33!$S$7:$S$874,$BC$2,BS_RE33!$N$7:$N$874,I45,BS_RE33!$P$7:$P$874,'30 days CF Table(GBP)'!G45,BS_RE33!$F$7:$F$874,'30 days CF Table(GBP)'!$C$2)</f>
        <v>0</v>
      </c>
      <c r="BD45" s="379">
        <f>SUMIFS(BS_RE33!$H$7:$H$874,BS_RE33!$S$7:$S$874,$BD$2,BS_RE33!$N$7:$N$874,I45,BS_RE33!$P$7:$P$874,'30 days CF Table(GBP)'!G45,BS_RE33!$F$7:$F$874,'30 days CF Table(GBP)'!$C$2)</f>
        <v>0</v>
      </c>
      <c r="BE45" s="379">
        <f>SUMIFS(BS_RE33!$H$7:$H$874,BS_RE33!$S$7:$S$874,$BE$2,BS_RE33!$N$7:$N$874,I45,BS_RE33!$P$7:$P$874,'30 days CF Table(GBP)'!G45,BS_RE33!$F$7:$F$874,'30 days CF Table(GBP)'!$C$2)</f>
        <v>0</v>
      </c>
      <c r="BF45" s="379">
        <f>SUMIFS(BS_RE33!$H$7:$H$874,BS_RE33!$S$7:$S$874,$BF$2,BS_RE33!$N$7:$N$874,I45,BS_RE33!$P$7:$P$874,'30 days CF Table(GBP)'!G45,BS_RE33!$F$7:$F$874,'30 days CF Table(GBP)'!$C$2)</f>
        <v>0</v>
      </c>
      <c r="BG45" s="379">
        <f>SUMIFS(BS_RE33!$H$7:$H$874,BS_RE33!$S$7:$S$874,$BG$2,BS_RE33!$N$7:$N$874,I45,BS_RE33!$P$7:$P$874,'30 days CF Table(GBP)'!G45,BS_RE33!$F$7:$F$874,'30 days CF Table(GBP)'!$C$2)</f>
        <v>0</v>
      </c>
      <c r="BH45" s="379">
        <f>SUMIFS(BS_RE33!$H$7:$H$874,BS_RE33!$S$7:$S$874,$BH$2,BS_RE33!$N$7:$N$874,I45,BS_RE33!$P$7:$P$874,'30 days CF Table(GBP)'!G45,BS_RE33!$F$7:$F$874,'30 days CF Table(GBP)'!$C$2)</f>
        <v>0</v>
      </c>
      <c r="BI45" s="379">
        <f>SUMIFS(BS_RE33!$H$7:$H$874,BS_RE33!$S$7:$S$874,$BI$2,BS_RE33!$N$7:$N$874,I45,BS_RE33!$P$7:$P$874,'30 days CF Table(GBP)'!G45,BS_RE33!$F$7:$F$874,'30 days CF Table(GBP)'!$C$2)</f>
        <v>0</v>
      </c>
      <c r="BJ45" s="379">
        <f>SUMIFS(BS_RE33!$H$7:$H$874,BS_RE33!$S$7:$S$874,$BJ$2,BS_RE33!$N$7:$N$874,I45,BS_RE33!$P$7:$P$874,'30 days CF Table(GBP)'!G45,BS_RE33!$F$7:$F$874,'30 days CF Table(GBP)'!$C$2)</f>
        <v>0</v>
      </c>
      <c r="BK45" s="379">
        <f>SUMIFS(BS_RE33!$H$7:$H$874,BS_RE33!$S$7:$S$874,$BK$2,BS_RE33!$N$7:$N$874,I45,BS_RE33!$P$7:$P$874,'30 days CF Table(GBP)'!G45,BS_RE33!$F$7:$F$874,'30 days CF Table(GBP)'!$C$2)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Table(GBP)'!G46,BS_RE33!$F$7:$F$874,'30 days CF Table(GBP)'!$C$2)</f>
        <v>0</v>
      </c>
      <c r="M46" s="548">
        <f>SUMIFS(BS_RE33!$H$7:$H$874,BS_RE33!$S$7:$S$874,$M$2,BS_RE33!$N$7:$N$874,I46,BS_RE33!$P$7:$P$874,'30 days CF Table(GBP)'!G46,BS_RE33!$F$7:$F$874,'30 days CF Table(GBP)'!$C$2)</f>
        <v>0</v>
      </c>
      <c r="N46" s="548">
        <f>SUMIFS(BS_RE33!$H$7:$H$874,BS_RE33!$S$7:$S$874,$N$2,BS_RE33!$N$7:$N$874,I46,BS_RE33!$P$7:$P$874,'30 days CF Table(GBP)'!G46,BS_RE33!$F$7:$F$874,'30 days CF Table(GBP)'!$C$2)</f>
        <v>0</v>
      </c>
      <c r="O46" s="548">
        <f>SUMIFS(BS_RE33!$H$7:$H$874,BS_RE33!$S$7:$S$874,$O$2,BS_RE33!$N$7:$N$874,I46,BS_RE33!$P$7:$P$874,'30 days CF Table(GBP)'!G46,BS_RE33!$F$7:$F$874,'30 days CF Table(GBP)'!$C$2)</f>
        <v>0</v>
      </c>
      <c r="P46" s="548">
        <f>SUMIFS(BS_RE33!$H$7:$H$874,BS_RE33!$S$7:$S$874,$P$2,BS_RE33!$N$7:$N$874,I46,BS_RE33!$P$7:$P$874,'30 days CF Table(GBP)'!G46,BS_RE33!$F$7:$F$874,'30 days CF Table(GBP)'!$C$2)</f>
        <v>0</v>
      </c>
      <c r="Q46" s="548">
        <f>SUMIFS(BS_RE33!$H$7:$H$874,BS_RE33!$S$7:$S$874,$Q$2,BS_RE33!$N$7:$N$874,I46,BS_RE33!$P$7:$P$874,'30 days CF Table(GBP)'!G46,BS_RE33!$F$7:$F$874,'30 days CF Table(GBP)'!$C$2)</f>
        <v>0</v>
      </c>
      <c r="R46" s="548">
        <f>SUMIFS(BS_RE33!$H$7:$H$874,BS_RE33!$S$7:$S$874,$R$2,BS_RE33!$N$7:$N$874,I46,BS_RE33!$P$7:$P$874,'30 days CF Table(GBP)'!G46,BS_RE33!$F$7:$F$874,'30 days CF Table(GBP)'!$C$2)</f>
        <v>0</v>
      </c>
      <c r="S46" s="548">
        <f>SUMIFS(BS_RE33!$H$7:$H$874,BS_RE33!$S$7:$S$874,$S$2,BS_RE33!$N$7:$N$874,I46,BS_RE33!$P$7:$P$874,'30 days CF Table(GBP)'!G46,BS_RE33!$F$7:$F$874,'30 days CF Table(GBP)'!$C$2)</f>
        <v>0</v>
      </c>
      <c r="T46" s="548">
        <f>SUMIFS(BS_RE33!$H$7:$H$874,BS_RE33!$S$7:$S$874,$T$2,BS_RE33!$N$7:$N$874,I46,BS_RE33!$P$7:$P$874,'30 days CF Table(GBP)'!G46,BS_RE33!$F$7:$F$874,'30 days CF Table(GBP)'!$C$2)</f>
        <v>0</v>
      </c>
      <c r="U46" s="548">
        <f>SUMIFS(BS_RE33!$H$7:$H$874,BS_RE33!$S$7:$S$874,$U$2,BS_RE33!$N$7:$N$874,I46,BS_RE33!$P$7:$P$874,'30 days CF Table(GBP)'!G46,BS_RE33!$F$7:$F$874,'30 days CF Table(GBP)'!$C$2)</f>
        <v>0</v>
      </c>
      <c r="V46" s="548">
        <f>SUMIFS(BS_RE33!$H$7:$H$874,BS_RE33!$S$7:$S$874,$V$2,BS_RE33!$N$7:$N$874,I46,BS_RE33!$P$7:$P$874,'30 days CF Table(GBP)'!G46,BS_RE33!$F$7:$F$874,'30 days CF Table(GBP)'!$C$2)</f>
        <v>0</v>
      </c>
      <c r="W46" s="548">
        <f>SUMIFS(BS_RE33!$H$7:$H$874,BS_RE33!$S$7:$S$874,$W$2,BS_RE33!$N$7:$N$874,I46,BS_RE33!$P$7:$P$874,'30 days CF Table(GBP)'!G46,BS_RE33!$F$7:$F$874,'30 days CF Table(GBP)'!$C$2)</f>
        <v>0</v>
      </c>
      <c r="X46" s="548">
        <f>SUMIFS(BS_RE33!$H$7:$H$874,BS_RE33!$S$7:$S$874,$X$2,BS_RE33!$N$7:$N$874,I46,BS_RE33!$P$7:$P$874,'30 days CF Table(GBP)'!G46,BS_RE33!$F$7:$F$874,'30 days CF Table(GBP)'!$C$2)</f>
        <v>0</v>
      </c>
      <c r="Y46" s="548">
        <f>SUMIFS(BS_RE33!$H$7:$H$874,BS_RE33!$S$7:$S$874,$Y$2,BS_RE33!$N$7:$N$874,I46,BS_RE33!$P$7:$P$874,'30 days CF Table(GBP)'!G46,BS_RE33!$F$7:$F$874,'30 days CF Table(GBP)'!$C$2)</f>
        <v>0</v>
      </c>
      <c r="Z46" s="548">
        <f>SUMIFS(BS_RE33!$H$7:$H$874,BS_RE33!$S$7:$S$874,$Z$2,BS_RE33!$N$7:$N$874,I46,BS_RE33!$P$7:$P$874,'30 days CF Table(GBP)'!G46,BS_RE33!$F$7:$F$874,'30 days CF Table(GBP)'!$C$2)</f>
        <v>0</v>
      </c>
      <c r="AA46" s="548">
        <f>SUMIFS(BS_RE33!$H$7:$H$874,BS_RE33!$S$7:$S$874,$AA$2,BS_RE33!$N$7:$N$874,I46,BS_RE33!$P$7:$P$874,'30 days CF Table(GBP)'!G46,BS_RE33!$F$7:$F$874,'30 days CF Table(GBP)'!$C$2)</f>
        <v>0</v>
      </c>
      <c r="AB46" s="548">
        <f>SUMIFS(BS_RE33!$H$7:$H$874,BS_RE33!$S$7:$S$874,$AB$2,BS_RE33!$N$7:$N$874,I46,BS_RE33!$P$7:$P$874,'30 days CF Table(GBP)'!G46,BS_RE33!$F$7:$F$874,'30 days CF Table(GBP)'!$C$2)</f>
        <v>0</v>
      </c>
      <c r="AC46" s="548">
        <f>SUMIFS(BS_RE33!$H$7:$H$874,BS_RE33!$S$7:$S$874,$AC$2,BS_RE33!$N$7:$N$874,I46,BS_RE33!$P$7:$P$874,'30 days CF Table(GBP)'!G46,BS_RE33!$F$7:$F$874,'30 days CF Table(GBP)'!$C$2)</f>
        <v>0</v>
      </c>
      <c r="AD46" s="548">
        <f>SUMIFS(BS_RE33!$H$7:$H$874,BS_RE33!$S$7:$S$874,$AD$2,BS_RE33!$N$7:$N$874,I46,BS_RE33!$P$7:$P$874,'30 days CF Table(GBP)'!G46,BS_RE33!$F$7:$F$874,'30 days CF Table(GBP)'!$C$2)</f>
        <v>0</v>
      </c>
      <c r="AE46" s="548">
        <f>SUMIFS(BS_RE33!$H$7:$H$874,BS_RE33!$S$7:$S$874,$AE$2,BS_RE33!$N$7:$N$874,I46,BS_RE33!$P$7:$P$874,'30 days CF Table(GBP)'!G46,BS_RE33!$F$7:$F$874,'30 days CF Table(GBP)'!$C$2)</f>
        <v>0</v>
      </c>
      <c r="AF46" s="548">
        <f>SUMIFS(BS_RE33!$H$7:$H$874,BS_RE33!$S$7:$S$874,$AF$2,BS_RE33!$N$7:$N$874,I46,BS_RE33!$P$7:$P$874,'30 days CF Table(GBP)'!G46,BS_RE33!$F$7:$F$874,'30 days CF Table(GBP)'!$C$2)</f>
        <v>0</v>
      </c>
      <c r="AG46" s="548">
        <f>SUMIFS(BS_RE33!$H$7:$H$874,BS_RE33!$S$7:$S$874,$AG$2,BS_RE33!$N$7:$N$874,I46,BS_RE33!$P$7:$P$874,'30 days CF Table(GBP)'!G46,BS_RE33!$F$7:$F$874,'30 days CF Table(GBP)'!$C$2)</f>
        <v>0</v>
      </c>
      <c r="AH46" s="548">
        <f>SUMIFS(BS_RE33!$H$7:$H$874,BS_RE33!$S$7:$S$874,$AH$2,BS_RE33!$N$7:$N$874,I46,BS_RE33!$P$7:$P$874,'30 days CF Table(GBP)'!G46,BS_RE33!$F$7:$F$874,'30 days CF Table(GBP)'!$C$2)</f>
        <v>0</v>
      </c>
      <c r="AI46" s="548">
        <f>SUMIFS(BS_RE33!$H$7:$H$874,BS_RE33!$S$7:$S$874,$AI$2,BS_RE33!$N$7:$N$874,I46,BS_RE33!$P$7:$P$874,'30 days CF Table(GBP)'!G46,BS_RE33!$F$7:$F$874,'30 days CF Table(GBP)'!$C$2)</f>
        <v>0</v>
      </c>
      <c r="AJ46" s="548">
        <f>SUMIFS(BS_RE33!$H$7:$H$874,BS_RE33!$S$7:$S$874,$AJ$2,BS_RE33!$N$7:$N$874,I46,BS_RE33!$P$7:$P$874,'30 days CF Table(GBP)'!G46,BS_RE33!$F$7:$F$874,'30 days CF Table(GBP)'!$C$2)</f>
        <v>0</v>
      </c>
      <c r="AK46" s="548">
        <f>SUMIFS(BS_RE33!$H$7:$H$874,BS_RE33!$S$7:$S$874,$AK$2,BS_RE33!$N$7:$N$874,I46,BS_RE33!$P$7:$P$874,'30 days CF Table(GBP)'!G46,BS_RE33!$F$7:$F$874,'30 days CF Table(GBP)'!$C$2)</f>
        <v>0</v>
      </c>
      <c r="AL46" s="548">
        <f>SUMIFS(BS_RE33!$H$7:$H$874,BS_RE33!$S$7:$S$874,$AL$2,BS_RE33!$N$7:$N$874,I46,BS_RE33!$P$7:$P$874,'30 days CF Table(GBP)'!G46,BS_RE33!$F$7:$F$874,'30 days CF Table(GBP)'!$C$2)</f>
        <v>0</v>
      </c>
      <c r="AM46" s="548">
        <f>SUMIFS(BS_RE33!$H$7:$H$874,BS_RE33!$S$7:$S$874,$AM$2,BS_RE33!$N$7:$N$874,I46,BS_RE33!$P$7:$P$874,'30 days CF Table(GBP)'!G46,BS_RE33!$F$7:$F$874,'30 days CF Table(GBP)'!$C$2)</f>
        <v>0</v>
      </c>
      <c r="AN46" s="548">
        <f>SUMIFS(BS_RE33!$H$7:$H$874,BS_RE33!$S$7:$S$874,$AN$2,BS_RE33!$N$7:$N$874,I46,BS_RE33!$P$7:$P$874,'30 days CF Table(GBP)'!G46,BS_RE33!$F$7:$F$874,'30 days CF Table(GBP)'!$C$2)</f>
        <v>0</v>
      </c>
      <c r="AO46" s="548">
        <f>SUMIFS(BS_RE33!$H$7:$H$874,BS_RE33!$S$7:$S$874,$AO$2,BS_RE33!$N$7:$N$874,I46,BS_RE33!$P$7:$P$874,'30 days CF Table(GBP)'!G46,BS_RE33!$F$7:$F$874,'30 days CF Table(GBP)'!$C$2)</f>
        <v>0</v>
      </c>
      <c r="AP46" s="549">
        <f>SUMIFS(BS_RE33!$H$7:$H$874,BS_RE33!$S$7:$S$874,$AP$2,BS_RE33!$N$7:$N$874,I46,BS_RE33!$P$7:$P$874,'30 days CF Table(GBP)'!G46,BS_RE33!$F$7:$F$874,'30 days CF Table(GBP)'!$C$2)</f>
        <v>0</v>
      </c>
      <c r="AQ46" s="550"/>
      <c r="AR46" s="380">
        <f>SUMIFS(BS_RE33!$H$7:$H$874,BS_RE33!$S$7:$S$874,$AR$2,BS_RE33!$N$7:$N$874,I46,BS_RE33!$P$7:$P$874,'30 days CF Table(GBP)'!G46,BS_RE33!$F$7:$F$874,'30 days CF Table(GBP)'!$C$2)</f>
        <v>0</v>
      </c>
      <c r="AS46" s="380">
        <f>SUMIFS(BS_RE33!$H$7:$H$874,BS_RE33!$S$7:$S$874,$AS$2,BS_RE33!$N$7:$N$874,I46,BS_RE33!$P$7:$P$874,'30 days CF Table(GBP)'!G46,BS_RE33!$F$7:$F$874,'30 days CF Table(GBP)'!$C$2)</f>
        <v>0</v>
      </c>
      <c r="AT46" s="380">
        <f>SUMIFS(BS_RE33!$H$7:$H$874,BS_RE33!$S$7:$S$874,$AT$2,BS_RE33!$N$7:$N$874,I46,BS_RE33!$P$7:$P$874,'30 days CF Table(GBP)'!G46,BS_RE33!$F$7:$F$874,'30 days CF Table(GBP)'!$C$2)</f>
        <v>0</v>
      </c>
      <c r="AU46" s="380">
        <f>SUMIFS(BS_RE33!$H$7:$H$874,BS_RE33!$S$7:$S$874,$AU$2,BS_RE33!$N$7:$N$874,I46,BS_RE33!$P$7:$P$874,'30 days CF Table(GBP)'!G46,BS_RE33!$F$7:$F$874,'30 days CF Table(GBP)'!$C$2)</f>
        <v>0</v>
      </c>
      <c r="AV46" s="380">
        <f>SUMIFS(BS_RE33!$H$7:$H$874,BS_RE33!$S$7:$S$874,$AV$2,BS_RE33!$N$7:$N$874,I46,BS_RE33!$P$7:$P$874,'30 days CF Table(GBP)'!G46,BS_RE33!$F$7:$F$874,'30 days CF Table(GBP)'!$C$2)</f>
        <v>0</v>
      </c>
      <c r="AW46" s="380">
        <f>SUMIFS(BS_RE33!$H$7:$H$874,BS_RE33!$S$7:$S$874,$AW$2,BS_RE33!$N$7:$N$874,I46,BS_RE33!$P$7:$P$874,'30 days CF Table(GBP)'!G46,BS_RE33!$F$7:$F$874,'30 days CF Table(GBP)'!$C$2)</f>
        <v>0</v>
      </c>
      <c r="AX46" s="380">
        <f>SUMIFS(BS_RE33!$H$7:$H$874,BS_RE33!$S$7:$S$874,$AX$2,BS_RE33!$N$7:$N$874,I46,BS_RE33!$P$7:$P$874,'30 days CF Table(GBP)'!G46,BS_RE33!$F$7:$F$874,'30 days CF Table(GBP)'!$C$2)</f>
        <v>0</v>
      </c>
      <c r="AY46" s="380">
        <f>SUMIFS(BS_RE33!$H$7:$H$874,BS_RE33!$S$7:$S$874,$AY$2,BS_RE33!$N$7:$N$874,I46,BS_RE33!$P$7:$P$874,'30 days CF Table(GBP)'!G46,BS_RE33!$F$7:$F$874,'30 days CF Table(GBP)'!$C$2)</f>
        <v>0</v>
      </c>
      <c r="AZ46" s="380">
        <f>SUMIFS(BS_RE33!$H$7:$H$874,BS_RE33!$S$7:$S$874,$AZ$2,BS_RE33!$N$7:$N$874,I46,BS_RE33!$P$7:$P$874,'30 days CF Table(GBP)'!G46,BS_RE33!$F$7:$F$874,'30 days CF Table(GBP)'!$C$2)</f>
        <v>0</v>
      </c>
      <c r="BA46" s="380">
        <f>SUMIFS(BS_RE33!$H$7:$H$874,BS_RE33!$S$7:$S$874,$BA$2,BS_RE33!$N$7:$N$874,I46,BS_RE33!$P$7:$P$874,'30 days CF Table(GBP)'!G46,BS_RE33!$F$7:$F$874,'30 days CF Table(GBP)'!$C$2)</f>
        <v>0</v>
      </c>
      <c r="BB46" s="380">
        <f>SUMIFS(BS_RE33!$H$7:$H$874,BS_RE33!$S$7:$S$874,$BB$2,BS_RE33!$N$7:$N$874,I46,BS_RE33!$P$7:$P$874,'30 days CF Table(GBP)'!G46,BS_RE33!$F$7:$F$874,'30 days CF Table(GBP)'!$C$2)</f>
        <v>0</v>
      </c>
      <c r="BC46" s="380">
        <f>SUMIFS(BS_RE33!$H$7:$H$874,BS_RE33!$S$7:$S$874,$BC$2,BS_RE33!$N$7:$N$874,I46,BS_RE33!$P$7:$P$874,'30 days CF Table(GBP)'!G46,BS_RE33!$F$7:$F$874,'30 days CF Table(GBP)'!$C$2)</f>
        <v>0</v>
      </c>
      <c r="BD46" s="380">
        <f>SUMIFS(BS_RE33!$H$7:$H$874,BS_RE33!$S$7:$S$874,$BD$2,BS_RE33!$N$7:$N$874,I46,BS_RE33!$P$7:$P$874,'30 days CF Table(GBP)'!G46,BS_RE33!$F$7:$F$874,'30 days CF Table(GBP)'!$C$2)</f>
        <v>0</v>
      </c>
      <c r="BE46" s="380">
        <f>SUMIFS(BS_RE33!$H$7:$H$874,BS_RE33!$S$7:$S$874,$BE$2,BS_RE33!$N$7:$N$874,I46,BS_RE33!$P$7:$P$874,'30 days CF Table(GBP)'!G46,BS_RE33!$F$7:$F$874,'30 days CF Table(GBP)'!$C$2)</f>
        <v>0</v>
      </c>
      <c r="BF46" s="380">
        <f>SUMIFS(BS_RE33!$H$7:$H$874,BS_RE33!$S$7:$S$874,$BF$2,BS_RE33!$N$7:$N$874,I46,BS_RE33!$P$7:$P$874,'30 days CF Table(GBP)'!G46,BS_RE33!$F$7:$F$874,'30 days CF Table(GBP)'!$C$2)</f>
        <v>0</v>
      </c>
      <c r="BG46" s="380">
        <f>SUMIFS(BS_RE33!$H$7:$H$874,BS_RE33!$S$7:$S$874,$BG$2,BS_RE33!$N$7:$N$874,I46,BS_RE33!$P$7:$P$874,'30 days CF Table(GBP)'!G46,BS_RE33!$F$7:$F$874,'30 days CF Table(GBP)'!$C$2)</f>
        <v>0</v>
      </c>
      <c r="BH46" s="380">
        <f>SUMIFS(BS_RE33!$H$7:$H$874,BS_RE33!$S$7:$S$874,$BH$2,BS_RE33!$N$7:$N$874,I46,BS_RE33!$P$7:$P$874,'30 days CF Table(GBP)'!G46,BS_RE33!$F$7:$F$874,'30 days CF Table(GBP)'!$C$2)</f>
        <v>0</v>
      </c>
      <c r="BI46" s="380">
        <f>SUMIFS(BS_RE33!$H$7:$H$874,BS_RE33!$S$7:$S$874,$BI$2,BS_RE33!$N$7:$N$874,I46,BS_RE33!$P$7:$P$874,'30 days CF Table(GBP)'!G46,BS_RE33!$F$7:$F$874,'30 days CF Table(GBP)'!$C$2)</f>
        <v>0</v>
      </c>
      <c r="BJ46" s="380">
        <f>SUMIFS(BS_RE33!$H$7:$H$874,BS_RE33!$S$7:$S$874,$BJ$2,BS_RE33!$N$7:$N$874,I46,BS_RE33!$P$7:$P$874,'30 days CF Table(GBP)'!G46,BS_RE33!$F$7:$F$874,'30 days CF Table(GBP)'!$C$2)</f>
        <v>0</v>
      </c>
      <c r="BK46" s="380">
        <f>SUMIFS(BS_RE33!$H$7:$H$874,BS_RE33!$S$7:$S$874,$BK$2,BS_RE33!$N$7:$N$874,I46,BS_RE33!$P$7:$P$874,'30 days CF Table(GBP)'!G46,BS_RE33!$F$7:$F$874,'30 days CF Table(GBP)'!$C$2)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Table(GBP)'!G47,BS_RE33!$F$7:$F$874,'30 days CF Table(GBP)'!$C$2)</f>
        <v>0</v>
      </c>
      <c r="M47" s="548">
        <f>SUMIFS(BS_RE33!$H$7:$H$874,BS_RE33!$S$7:$S$874,$M$2,BS_RE33!$N$7:$N$874,I47,BS_RE33!$P$7:$P$874,'30 days CF Table(GBP)'!G47,BS_RE33!$F$7:$F$874,'30 days CF Table(GBP)'!$C$2)</f>
        <v>0</v>
      </c>
      <c r="N47" s="548">
        <f>SUMIFS(BS_RE33!$H$7:$H$874,BS_RE33!$S$7:$S$874,$N$2,BS_RE33!$N$7:$N$874,I47,BS_RE33!$P$7:$P$874,'30 days CF Table(GBP)'!G47,BS_RE33!$F$7:$F$874,'30 days CF Table(GBP)'!$C$2)</f>
        <v>0</v>
      </c>
      <c r="O47" s="548">
        <f>SUMIFS(BS_RE33!$H$7:$H$874,BS_RE33!$S$7:$S$874,$O$2,BS_RE33!$N$7:$N$874,I47,BS_RE33!$P$7:$P$874,'30 days CF Table(GBP)'!G47,BS_RE33!$F$7:$F$874,'30 days CF Table(GBP)'!$C$2)</f>
        <v>0</v>
      </c>
      <c r="P47" s="548">
        <f>SUMIFS(BS_RE33!$H$7:$H$874,BS_RE33!$S$7:$S$874,$P$2,BS_RE33!$N$7:$N$874,I47,BS_RE33!$P$7:$P$874,'30 days CF Table(GBP)'!G47,BS_RE33!$F$7:$F$874,'30 days CF Table(GBP)'!$C$2)</f>
        <v>0</v>
      </c>
      <c r="Q47" s="548">
        <f>SUMIFS(BS_RE33!$H$7:$H$874,BS_RE33!$S$7:$S$874,$Q$2,BS_RE33!$N$7:$N$874,I47,BS_RE33!$P$7:$P$874,'30 days CF Table(GBP)'!G47,BS_RE33!$F$7:$F$874,'30 days CF Table(GBP)'!$C$2)</f>
        <v>0</v>
      </c>
      <c r="R47" s="548">
        <f>SUMIFS(BS_RE33!$H$7:$H$874,BS_RE33!$S$7:$S$874,$R$2,BS_RE33!$N$7:$N$874,I47,BS_RE33!$P$7:$P$874,'30 days CF Table(GBP)'!G47,BS_RE33!$F$7:$F$874,'30 days CF Table(GBP)'!$C$2)</f>
        <v>0</v>
      </c>
      <c r="S47" s="548">
        <f>SUMIFS(BS_RE33!$H$7:$H$874,BS_RE33!$S$7:$S$874,$S$2,BS_RE33!$N$7:$N$874,I47,BS_RE33!$P$7:$P$874,'30 days CF Table(GBP)'!G47,BS_RE33!$F$7:$F$874,'30 days CF Table(GBP)'!$C$2)</f>
        <v>0</v>
      </c>
      <c r="T47" s="548">
        <f>SUMIFS(BS_RE33!$H$7:$H$874,BS_RE33!$S$7:$S$874,$T$2,BS_RE33!$N$7:$N$874,I47,BS_RE33!$P$7:$P$874,'30 days CF Table(GBP)'!G47,BS_RE33!$F$7:$F$874,'30 days CF Table(GBP)'!$C$2)</f>
        <v>0</v>
      </c>
      <c r="U47" s="548">
        <f>SUMIFS(BS_RE33!$H$7:$H$874,BS_RE33!$S$7:$S$874,$U$2,BS_RE33!$N$7:$N$874,I47,BS_RE33!$P$7:$P$874,'30 days CF Table(GBP)'!G47,BS_RE33!$F$7:$F$874,'30 days CF Table(GBP)'!$C$2)</f>
        <v>0</v>
      </c>
      <c r="V47" s="548">
        <f>SUMIFS(BS_RE33!$H$7:$H$874,BS_RE33!$S$7:$S$874,$V$2,BS_RE33!$N$7:$N$874,I47,BS_RE33!$P$7:$P$874,'30 days CF Table(GBP)'!G47,BS_RE33!$F$7:$F$874,'30 days CF Table(GBP)'!$C$2)</f>
        <v>0</v>
      </c>
      <c r="W47" s="548">
        <f>SUMIFS(BS_RE33!$H$7:$H$874,BS_RE33!$S$7:$S$874,$W$2,BS_RE33!$N$7:$N$874,I47,BS_RE33!$P$7:$P$874,'30 days CF Table(GBP)'!G47,BS_RE33!$F$7:$F$874,'30 days CF Table(GBP)'!$C$2)</f>
        <v>0</v>
      </c>
      <c r="X47" s="548">
        <f>SUMIFS(BS_RE33!$H$7:$H$874,BS_RE33!$S$7:$S$874,$X$2,BS_RE33!$N$7:$N$874,I47,BS_RE33!$P$7:$P$874,'30 days CF Table(GBP)'!G47,BS_RE33!$F$7:$F$874,'30 days CF Table(GBP)'!$C$2)</f>
        <v>0</v>
      </c>
      <c r="Y47" s="548">
        <f>SUMIFS(BS_RE33!$H$7:$H$874,BS_RE33!$S$7:$S$874,$Y$2,BS_RE33!$N$7:$N$874,I47,BS_RE33!$P$7:$P$874,'30 days CF Table(GBP)'!G47,BS_RE33!$F$7:$F$874,'30 days CF Table(GBP)'!$C$2)</f>
        <v>0</v>
      </c>
      <c r="Z47" s="548">
        <f>SUMIFS(BS_RE33!$H$7:$H$874,BS_RE33!$S$7:$S$874,$Z$2,BS_RE33!$N$7:$N$874,I47,BS_RE33!$P$7:$P$874,'30 days CF Table(GBP)'!G47,BS_RE33!$F$7:$F$874,'30 days CF Table(GBP)'!$C$2)</f>
        <v>0</v>
      </c>
      <c r="AA47" s="548">
        <f>SUMIFS(BS_RE33!$H$7:$H$874,BS_RE33!$S$7:$S$874,$AA$2,BS_RE33!$N$7:$N$874,I47,BS_RE33!$P$7:$P$874,'30 days CF Table(GBP)'!G47,BS_RE33!$F$7:$F$874,'30 days CF Table(GBP)'!$C$2)</f>
        <v>0</v>
      </c>
      <c r="AB47" s="548">
        <f>SUMIFS(BS_RE33!$H$7:$H$874,BS_RE33!$S$7:$S$874,$AB$2,BS_RE33!$N$7:$N$874,I47,BS_RE33!$P$7:$P$874,'30 days CF Table(GBP)'!G47,BS_RE33!$F$7:$F$874,'30 days CF Table(GBP)'!$C$2)</f>
        <v>0</v>
      </c>
      <c r="AC47" s="548">
        <f>SUMIFS(BS_RE33!$H$7:$H$874,BS_RE33!$S$7:$S$874,$AC$2,BS_RE33!$N$7:$N$874,I47,BS_RE33!$P$7:$P$874,'30 days CF Table(GBP)'!G47,BS_RE33!$F$7:$F$874,'30 days CF Table(GBP)'!$C$2)</f>
        <v>0</v>
      </c>
      <c r="AD47" s="548">
        <f>SUMIFS(BS_RE33!$H$7:$H$874,BS_RE33!$S$7:$S$874,$AD$2,BS_RE33!$N$7:$N$874,I47,BS_RE33!$P$7:$P$874,'30 days CF Table(GBP)'!G47,BS_RE33!$F$7:$F$874,'30 days CF Table(GBP)'!$C$2)</f>
        <v>0</v>
      </c>
      <c r="AE47" s="548">
        <f>SUMIFS(BS_RE33!$H$7:$H$874,BS_RE33!$S$7:$S$874,$AE$2,BS_RE33!$N$7:$N$874,I47,BS_RE33!$P$7:$P$874,'30 days CF Table(GBP)'!G47,BS_RE33!$F$7:$F$874,'30 days CF Table(GBP)'!$C$2)</f>
        <v>0</v>
      </c>
      <c r="AF47" s="548">
        <f>SUMIFS(BS_RE33!$H$7:$H$874,BS_RE33!$S$7:$S$874,$AF$2,BS_RE33!$N$7:$N$874,I47,BS_RE33!$P$7:$P$874,'30 days CF Table(GBP)'!G47,BS_RE33!$F$7:$F$874,'30 days CF Table(GBP)'!$C$2)</f>
        <v>0</v>
      </c>
      <c r="AG47" s="548">
        <f>SUMIFS(BS_RE33!$H$7:$H$874,BS_RE33!$S$7:$S$874,$AG$2,BS_RE33!$N$7:$N$874,I47,BS_RE33!$P$7:$P$874,'30 days CF Table(GBP)'!G47,BS_RE33!$F$7:$F$874,'30 days CF Table(GBP)'!$C$2)</f>
        <v>0</v>
      </c>
      <c r="AH47" s="548">
        <f>SUMIFS(BS_RE33!$H$7:$H$874,BS_RE33!$S$7:$S$874,$AH$2,BS_RE33!$N$7:$N$874,I47,BS_RE33!$P$7:$P$874,'30 days CF Table(GBP)'!G47,BS_RE33!$F$7:$F$874,'30 days CF Table(GBP)'!$C$2)</f>
        <v>0</v>
      </c>
      <c r="AI47" s="548">
        <f>SUMIFS(BS_RE33!$H$7:$H$874,BS_RE33!$S$7:$S$874,$AI$2,BS_RE33!$N$7:$N$874,I47,BS_RE33!$P$7:$P$874,'30 days CF Table(GBP)'!G47,BS_RE33!$F$7:$F$874,'30 days CF Table(GBP)'!$C$2)</f>
        <v>0</v>
      </c>
      <c r="AJ47" s="548">
        <f>SUMIFS(BS_RE33!$H$7:$H$874,BS_RE33!$S$7:$S$874,$AJ$2,BS_RE33!$N$7:$N$874,I47,BS_RE33!$P$7:$P$874,'30 days CF Table(GBP)'!G47,BS_RE33!$F$7:$F$874,'30 days CF Table(GBP)'!$C$2)</f>
        <v>0</v>
      </c>
      <c r="AK47" s="548">
        <f>SUMIFS(BS_RE33!$H$7:$H$874,BS_RE33!$S$7:$S$874,$AK$2,BS_RE33!$N$7:$N$874,I47,BS_RE33!$P$7:$P$874,'30 days CF Table(GBP)'!G47,BS_RE33!$F$7:$F$874,'30 days CF Table(GBP)'!$C$2)</f>
        <v>0</v>
      </c>
      <c r="AL47" s="548">
        <f>SUMIFS(BS_RE33!$H$7:$H$874,BS_RE33!$S$7:$S$874,$AL$2,BS_RE33!$N$7:$N$874,I47,BS_RE33!$P$7:$P$874,'30 days CF Table(GBP)'!G47,BS_RE33!$F$7:$F$874,'30 days CF Table(GBP)'!$C$2)</f>
        <v>0</v>
      </c>
      <c r="AM47" s="548">
        <f>SUMIFS(BS_RE33!$H$7:$H$874,BS_RE33!$S$7:$S$874,$AM$2,BS_RE33!$N$7:$N$874,I47,BS_RE33!$P$7:$P$874,'30 days CF Table(GBP)'!G47,BS_RE33!$F$7:$F$874,'30 days CF Table(GBP)'!$C$2)</f>
        <v>0</v>
      </c>
      <c r="AN47" s="548">
        <f>SUMIFS(BS_RE33!$H$7:$H$874,BS_RE33!$S$7:$S$874,$AN$2,BS_RE33!$N$7:$N$874,I47,BS_RE33!$P$7:$P$874,'30 days CF Table(GBP)'!G47,BS_RE33!$F$7:$F$874,'30 days CF Table(GBP)'!$C$2)</f>
        <v>0</v>
      </c>
      <c r="AO47" s="548">
        <f>SUMIFS(BS_RE33!$H$7:$H$874,BS_RE33!$S$7:$S$874,$AO$2,BS_RE33!$N$7:$N$874,I47,BS_RE33!$P$7:$P$874,'30 days CF Table(GBP)'!G47,BS_RE33!$F$7:$F$874,'30 days CF Table(GBP)'!$C$2)</f>
        <v>0</v>
      </c>
      <c r="AP47" s="549">
        <f>SUMIFS(BS_RE33!$H$7:$H$874,BS_RE33!$S$7:$S$874,$AP$2,BS_RE33!$N$7:$N$874,I47,BS_RE33!$P$7:$P$874,'30 days CF Table(GBP)'!G47,BS_RE33!$F$7:$F$874,'30 days CF Table(GBP)'!$C$2)</f>
        <v>0</v>
      </c>
      <c r="AQ47" s="550"/>
      <c r="AR47" s="380">
        <f>SUMIFS(BS_RE33!$H$7:$H$874,BS_RE33!$S$7:$S$874,$AR$2,BS_RE33!$N$7:$N$874,I47,BS_RE33!$P$7:$P$874,'30 days CF Table(GBP)'!G47,BS_RE33!$F$7:$F$874,'30 days CF Table(GBP)'!$C$2)</f>
        <v>0</v>
      </c>
      <c r="AS47" s="380">
        <f>SUMIFS(BS_RE33!$H$7:$H$874,BS_RE33!$S$7:$S$874,$AS$2,BS_RE33!$N$7:$N$874,I47,BS_RE33!$P$7:$P$874,'30 days CF Table(GBP)'!G47,BS_RE33!$F$7:$F$874,'30 days CF Table(GBP)'!$C$2)</f>
        <v>0</v>
      </c>
      <c r="AT47" s="380">
        <f>SUMIFS(BS_RE33!$H$7:$H$874,BS_RE33!$S$7:$S$874,$AT$2,BS_RE33!$N$7:$N$874,I47,BS_RE33!$P$7:$P$874,'30 days CF Table(GBP)'!G47,BS_RE33!$F$7:$F$874,'30 days CF Table(GBP)'!$C$2)</f>
        <v>0</v>
      </c>
      <c r="AU47" s="380">
        <f>SUMIFS(BS_RE33!$H$7:$H$874,BS_RE33!$S$7:$S$874,$AU$2,BS_RE33!$N$7:$N$874,I47,BS_RE33!$P$7:$P$874,'30 days CF Table(GBP)'!G47,BS_RE33!$F$7:$F$874,'30 days CF Table(GBP)'!$C$2)</f>
        <v>0</v>
      </c>
      <c r="AV47" s="380">
        <f>SUMIFS(BS_RE33!$H$7:$H$874,BS_RE33!$S$7:$S$874,$AV$2,BS_RE33!$N$7:$N$874,I47,BS_RE33!$P$7:$P$874,'30 days CF Table(GBP)'!G47,BS_RE33!$F$7:$F$874,'30 days CF Table(GBP)'!$C$2)</f>
        <v>0</v>
      </c>
      <c r="AW47" s="380">
        <f>SUMIFS(BS_RE33!$H$7:$H$874,BS_RE33!$S$7:$S$874,$AW$2,BS_RE33!$N$7:$N$874,I47,BS_RE33!$P$7:$P$874,'30 days CF Table(GBP)'!G47,BS_RE33!$F$7:$F$874,'30 days CF Table(GBP)'!$C$2)</f>
        <v>0</v>
      </c>
      <c r="AX47" s="380">
        <f>SUMIFS(BS_RE33!$H$7:$H$874,BS_RE33!$S$7:$S$874,$AX$2,BS_RE33!$N$7:$N$874,I47,BS_RE33!$P$7:$P$874,'30 days CF Table(GBP)'!G47,BS_RE33!$F$7:$F$874,'30 days CF Table(GBP)'!$C$2)</f>
        <v>0</v>
      </c>
      <c r="AY47" s="380">
        <f>SUMIFS(BS_RE33!$H$7:$H$874,BS_RE33!$S$7:$S$874,$AY$2,BS_RE33!$N$7:$N$874,I47,BS_RE33!$P$7:$P$874,'30 days CF Table(GBP)'!G47,BS_RE33!$F$7:$F$874,'30 days CF Table(GBP)'!$C$2)</f>
        <v>0</v>
      </c>
      <c r="AZ47" s="380">
        <f>SUMIFS(BS_RE33!$H$7:$H$874,BS_RE33!$S$7:$S$874,$AZ$2,BS_RE33!$N$7:$N$874,I47,BS_RE33!$P$7:$P$874,'30 days CF Table(GBP)'!G47,BS_RE33!$F$7:$F$874,'30 days CF Table(GBP)'!$C$2)</f>
        <v>0</v>
      </c>
      <c r="BA47" s="380">
        <f>SUMIFS(BS_RE33!$H$7:$H$874,BS_RE33!$S$7:$S$874,$BA$2,BS_RE33!$N$7:$N$874,I47,BS_RE33!$P$7:$P$874,'30 days CF Table(GBP)'!G47,BS_RE33!$F$7:$F$874,'30 days CF Table(GBP)'!$C$2)</f>
        <v>0</v>
      </c>
      <c r="BB47" s="380">
        <f>SUMIFS(BS_RE33!$H$7:$H$874,BS_RE33!$S$7:$S$874,$BB$2,BS_RE33!$N$7:$N$874,I47,BS_RE33!$P$7:$P$874,'30 days CF Table(GBP)'!G47,BS_RE33!$F$7:$F$874,'30 days CF Table(GBP)'!$C$2)</f>
        <v>0</v>
      </c>
      <c r="BC47" s="380">
        <f>SUMIFS(BS_RE33!$H$7:$H$874,BS_RE33!$S$7:$S$874,$BC$2,BS_RE33!$N$7:$N$874,I47,BS_RE33!$P$7:$P$874,'30 days CF Table(GBP)'!G47,BS_RE33!$F$7:$F$874,'30 days CF Table(GBP)'!$C$2)</f>
        <v>0</v>
      </c>
      <c r="BD47" s="380">
        <f>SUMIFS(BS_RE33!$H$7:$H$874,BS_RE33!$S$7:$S$874,$BD$2,BS_RE33!$N$7:$N$874,I47,BS_RE33!$P$7:$P$874,'30 days CF Table(GBP)'!G47,BS_RE33!$F$7:$F$874,'30 days CF Table(GBP)'!$C$2)</f>
        <v>0</v>
      </c>
      <c r="BE47" s="380">
        <f>SUMIFS(BS_RE33!$H$7:$H$874,BS_RE33!$S$7:$S$874,$BE$2,BS_RE33!$N$7:$N$874,I47,BS_RE33!$P$7:$P$874,'30 days CF Table(GBP)'!G47,BS_RE33!$F$7:$F$874,'30 days CF Table(GBP)'!$C$2)</f>
        <v>0</v>
      </c>
      <c r="BF47" s="380">
        <f>SUMIFS(BS_RE33!$H$7:$H$874,BS_RE33!$S$7:$S$874,$BF$2,BS_RE33!$N$7:$N$874,I47,BS_RE33!$P$7:$P$874,'30 days CF Table(GBP)'!G47,BS_RE33!$F$7:$F$874,'30 days CF Table(GBP)'!$C$2)</f>
        <v>0</v>
      </c>
      <c r="BG47" s="380">
        <f>SUMIFS(BS_RE33!$H$7:$H$874,BS_RE33!$S$7:$S$874,$BG$2,BS_RE33!$N$7:$N$874,I47,BS_RE33!$P$7:$P$874,'30 days CF Table(GBP)'!G47,BS_RE33!$F$7:$F$874,'30 days CF Table(GBP)'!$C$2)</f>
        <v>0</v>
      </c>
      <c r="BH47" s="380">
        <f>SUMIFS(BS_RE33!$H$7:$H$874,BS_RE33!$S$7:$S$874,$BH$2,BS_RE33!$N$7:$N$874,I47,BS_RE33!$P$7:$P$874,'30 days CF Table(GBP)'!G47,BS_RE33!$F$7:$F$874,'30 days CF Table(GBP)'!$C$2)</f>
        <v>0</v>
      </c>
      <c r="BI47" s="380">
        <f>SUMIFS(BS_RE33!$H$7:$H$874,BS_RE33!$S$7:$S$874,$BI$2,BS_RE33!$N$7:$N$874,I47,BS_RE33!$P$7:$P$874,'30 days CF Table(GBP)'!G47,BS_RE33!$F$7:$F$874,'30 days CF Table(GBP)'!$C$2)</f>
        <v>0</v>
      </c>
      <c r="BJ47" s="380">
        <f>SUMIFS(BS_RE33!$H$7:$H$874,BS_RE33!$S$7:$S$874,$BJ$2,BS_RE33!$N$7:$N$874,I47,BS_RE33!$P$7:$P$874,'30 days CF Table(GBP)'!G47,BS_RE33!$F$7:$F$874,'30 days CF Table(GBP)'!$C$2)</f>
        <v>0</v>
      </c>
      <c r="BK47" s="380">
        <f>SUMIFS(BS_RE33!$H$7:$H$874,BS_RE33!$S$7:$S$874,$BK$2,BS_RE33!$N$7:$N$874,I47,BS_RE33!$P$7:$P$874,'30 days CF Table(GBP)'!G47,BS_RE33!$F$7:$F$874,'30 days CF Table(GBP)'!$C$2)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Table(GBP)'!G48,BS_RE33!$F$7:$F$874,'30 days CF Table(GBP)'!$C$2)</f>
        <v>0</v>
      </c>
      <c r="M48" s="548">
        <f>SUMIFS(BS_RE33!$H$7:$H$874,BS_RE33!$S$7:$S$874,$M$2,BS_RE33!$N$7:$N$874,I48,BS_RE33!$P$7:$P$874,'30 days CF Table(GBP)'!G48,BS_RE33!$F$7:$F$874,'30 days CF Table(GBP)'!$C$2)</f>
        <v>0</v>
      </c>
      <c r="N48" s="548">
        <f>SUMIFS(BS_RE33!$H$7:$H$874,BS_RE33!$S$7:$S$874,$N$2,BS_RE33!$N$7:$N$874,I48,BS_RE33!$P$7:$P$874,'30 days CF Table(GBP)'!G48,BS_RE33!$F$7:$F$874,'30 days CF Table(GBP)'!$C$2)</f>
        <v>0</v>
      </c>
      <c r="O48" s="548">
        <f>SUMIFS(BS_RE33!$H$7:$H$874,BS_RE33!$S$7:$S$874,$O$2,BS_RE33!$N$7:$N$874,I48,BS_RE33!$P$7:$P$874,'30 days CF Table(GBP)'!G48,BS_RE33!$F$7:$F$874,'30 days CF Table(GBP)'!$C$2)</f>
        <v>0</v>
      </c>
      <c r="P48" s="548">
        <f>SUMIFS(BS_RE33!$H$7:$H$874,BS_RE33!$S$7:$S$874,$P$2,BS_RE33!$N$7:$N$874,I48,BS_RE33!$P$7:$P$874,'30 days CF Table(GBP)'!G48,BS_RE33!$F$7:$F$874,'30 days CF Table(GBP)'!$C$2)</f>
        <v>0</v>
      </c>
      <c r="Q48" s="548">
        <f>SUMIFS(BS_RE33!$H$7:$H$874,BS_RE33!$S$7:$S$874,$Q$2,BS_RE33!$N$7:$N$874,I48,BS_RE33!$P$7:$P$874,'30 days CF Table(GBP)'!G48,BS_RE33!$F$7:$F$874,'30 days CF Table(GBP)'!$C$2)</f>
        <v>0</v>
      </c>
      <c r="R48" s="548">
        <f>SUMIFS(BS_RE33!$H$7:$H$874,BS_RE33!$S$7:$S$874,$R$2,BS_RE33!$N$7:$N$874,I48,BS_RE33!$P$7:$P$874,'30 days CF Table(GBP)'!G48,BS_RE33!$F$7:$F$874,'30 days CF Table(GBP)'!$C$2)</f>
        <v>0</v>
      </c>
      <c r="S48" s="548">
        <f>SUMIFS(BS_RE33!$H$7:$H$874,BS_RE33!$S$7:$S$874,$S$2,BS_RE33!$N$7:$N$874,I48,BS_RE33!$P$7:$P$874,'30 days CF Table(GBP)'!G48,BS_RE33!$F$7:$F$874,'30 days CF Table(GBP)'!$C$2)</f>
        <v>0</v>
      </c>
      <c r="T48" s="548">
        <f>SUMIFS(BS_RE33!$H$7:$H$874,BS_RE33!$S$7:$S$874,$T$2,BS_RE33!$N$7:$N$874,I48,BS_RE33!$P$7:$P$874,'30 days CF Table(GBP)'!G48,BS_RE33!$F$7:$F$874,'30 days CF Table(GBP)'!$C$2)</f>
        <v>0</v>
      </c>
      <c r="U48" s="548">
        <f>SUMIFS(BS_RE33!$H$7:$H$874,BS_RE33!$S$7:$S$874,$U$2,BS_RE33!$N$7:$N$874,I48,BS_RE33!$P$7:$P$874,'30 days CF Table(GBP)'!G48,BS_RE33!$F$7:$F$874,'30 days CF Table(GBP)'!$C$2)</f>
        <v>0</v>
      </c>
      <c r="V48" s="548">
        <f>SUMIFS(BS_RE33!$H$7:$H$874,BS_RE33!$S$7:$S$874,$V$2,BS_RE33!$N$7:$N$874,I48,BS_RE33!$P$7:$P$874,'30 days CF Table(GBP)'!G48,BS_RE33!$F$7:$F$874,'30 days CF Table(GBP)'!$C$2)</f>
        <v>0</v>
      </c>
      <c r="W48" s="548">
        <f>SUMIFS(BS_RE33!$H$7:$H$874,BS_RE33!$S$7:$S$874,$W$2,BS_RE33!$N$7:$N$874,I48,BS_RE33!$P$7:$P$874,'30 days CF Table(GBP)'!G48,BS_RE33!$F$7:$F$874,'30 days CF Table(GBP)'!$C$2)</f>
        <v>0</v>
      </c>
      <c r="X48" s="548">
        <f>SUMIFS(BS_RE33!$H$7:$H$874,BS_RE33!$S$7:$S$874,$X$2,BS_RE33!$N$7:$N$874,I48,BS_RE33!$P$7:$P$874,'30 days CF Table(GBP)'!G48,BS_RE33!$F$7:$F$874,'30 days CF Table(GBP)'!$C$2)</f>
        <v>0</v>
      </c>
      <c r="Y48" s="548">
        <f>SUMIFS(BS_RE33!$H$7:$H$874,BS_RE33!$S$7:$S$874,$Y$2,BS_RE33!$N$7:$N$874,I48,BS_RE33!$P$7:$P$874,'30 days CF Table(GBP)'!G48,BS_RE33!$F$7:$F$874,'30 days CF Table(GBP)'!$C$2)</f>
        <v>0</v>
      </c>
      <c r="Z48" s="548">
        <f>SUMIFS(BS_RE33!$H$7:$H$874,BS_RE33!$S$7:$S$874,$Z$2,BS_RE33!$N$7:$N$874,I48,BS_RE33!$P$7:$P$874,'30 days CF Table(GBP)'!G48,BS_RE33!$F$7:$F$874,'30 days CF Table(GBP)'!$C$2)</f>
        <v>0</v>
      </c>
      <c r="AA48" s="548">
        <f>SUMIFS(BS_RE33!$H$7:$H$874,BS_RE33!$S$7:$S$874,$AA$2,BS_RE33!$N$7:$N$874,I48,BS_RE33!$P$7:$P$874,'30 days CF Table(GBP)'!G48,BS_RE33!$F$7:$F$874,'30 days CF Table(GBP)'!$C$2)</f>
        <v>0</v>
      </c>
      <c r="AB48" s="548">
        <f>SUMIFS(BS_RE33!$H$7:$H$874,BS_RE33!$S$7:$S$874,$AB$2,BS_RE33!$N$7:$N$874,I48,BS_RE33!$P$7:$P$874,'30 days CF Table(GBP)'!G48,BS_RE33!$F$7:$F$874,'30 days CF Table(GBP)'!$C$2)</f>
        <v>0</v>
      </c>
      <c r="AC48" s="548">
        <f>SUMIFS(BS_RE33!$H$7:$H$874,BS_RE33!$S$7:$S$874,$AC$2,BS_RE33!$N$7:$N$874,I48,BS_RE33!$P$7:$P$874,'30 days CF Table(GBP)'!G48,BS_RE33!$F$7:$F$874,'30 days CF Table(GBP)'!$C$2)</f>
        <v>0</v>
      </c>
      <c r="AD48" s="548">
        <f>SUMIFS(BS_RE33!$H$7:$H$874,BS_RE33!$S$7:$S$874,$AD$2,BS_RE33!$N$7:$N$874,I48,BS_RE33!$P$7:$P$874,'30 days CF Table(GBP)'!G48,BS_RE33!$F$7:$F$874,'30 days CF Table(GBP)'!$C$2)</f>
        <v>0</v>
      </c>
      <c r="AE48" s="548">
        <f>SUMIFS(BS_RE33!$H$7:$H$874,BS_RE33!$S$7:$S$874,$AE$2,BS_RE33!$N$7:$N$874,I48,BS_RE33!$P$7:$P$874,'30 days CF Table(GBP)'!G48,BS_RE33!$F$7:$F$874,'30 days CF Table(GBP)'!$C$2)</f>
        <v>0</v>
      </c>
      <c r="AF48" s="548">
        <f>SUMIFS(BS_RE33!$H$7:$H$874,BS_RE33!$S$7:$S$874,$AF$2,BS_RE33!$N$7:$N$874,I48,BS_RE33!$P$7:$P$874,'30 days CF Table(GBP)'!G48,BS_RE33!$F$7:$F$874,'30 days CF Table(GBP)'!$C$2)</f>
        <v>0</v>
      </c>
      <c r="AG48" s="548">
        <f>SUMIFS(BS_RE33!$H$7:$H$874,BS_RE33!$S$7:$S$874,$AG$2,BS_RE33!$N$7:$N$874,I48,BS_RE33!$P$7:$P$874,'30 days CF Table(GBP)'!G48,BS_RE33!$F$7:$F$874,'30 days CF Table(GBP)'!$C$2)</f>
        <v>0</v>
      </c>
      <c r="AH48" s="548">
        <f>SUMIFS(BS_RE33!$H$7:$H$874,BS_RE33!$S$7:$S$874,$AH$2,BS_RE33!$N$7:$N$874,I48,BS_RE33!$P$7:$P$874,'30 days CF Table(GBP)'!G48,BS_RE33!$F$7:$F$874,'30 days CF Table(GBP)'!$C$2)</f>
        <v>0</v>
      </c>
      <c r="AI48" s="548">
        <f>SUMIFS(BS_RE33!$H$7:$H$874,BS_RE33!$S$7:$S$874,$AI$2,BS_RE33!$N$7:$N$874,I48,BS_RE33!$P$7:$P$874,'30 days CF Table(GBP)'!G48,BS_RE33!$F$7:$F$874,'30 days CF Table(GBP)'!$C$2)</f>
        <v>0</v>
      </c>
      <c r="AJ48" s="548">
        <f>SUMIFS(BS_RE33!$H$7:$H$874,BS_RE33!$S$7:$S$874,$AJ$2,BS_RE33!$N$7:$N$874,I48,BS_RE33!$P$7:$P$874,'30 days CF Table(GBP)'!G48,BS_RE33!$F$7:$F$874,'30 days CF Table(GBP)'!$C$2)</f>
        <v>0</v>
      </c>
      <c r="AK48" s="548">
        <f>SUMIFS(BS_RE33!$H$7:$H$874,BS_RE33!$S$7:$S$874,$AK$2,BS_RE33!$N$7:$N$874,I48,BS_RE33!$P$7:$P$874,'30 days CF Table(GBP)'!G48,BS_RE33!$F$7:$F$874,'30 days CF Table(GBP)'!$C$2)</f>
        <v>0</v>
      </c>
      <c r="AL48" s="548">
        <f>SUMIFS(BS_RE33!$H$7:$H$874,BS_RE33!$S$7:$S$874,$AL$2,BS_RE33!$N$7:$N$874,I48,BS_RE33!$P$7:$P$874,'30 days CF Table(GBP)'!G48,BS_RE33!$F$7:$F$874,'30 days CF Table(GBP)'!$C$2)</f>
        <v>0</v>
      </c>
      <c r="AM48" s="548">
        <f>SUMIFS(BS_RE33!$H$7:$H$874,BS_RE33!$S$7:$S$874,$AM$2,BS_RE33!$N$7:$N$874,I48,BS_RE33!$P$7:$P$874,'30 days CF Table(GBP)'!G48,BS_RE33!$F$7:$F$874,'30 days CF Table(GBP)'!$C$2)</f>
        <v>0</v>
      </c>
      <c r="AN48" s="548">
        <f>SUMIFS(BS_RE33!$H$7:$H$874,BS_RE33!$S$7:$S$874,$AN$2,BS_RE33!$N$7:$N$874,I48,BS_RE33!$P$7:$P$874,'30 days CF Table(GBP)'!G48,BS_RE33!$F$7:$F$874,'30 days CF Table(GBP)'!$C$2)</f>
        <v>0</v>
      </c>
      <c r="AO48" s="548">
        <f>SUMIFS(BS_RE33!$H$7:$H$874,BS_RE33!$S$7:$S$874,$AO$2,BS_RE33!$N$7:$N$874,I48,BS_RE33!$P$7:$P$874,'30 days CF Table(GBP)'!G48,BS_RE33!$F$7:$F$874,'30 days CF Table(GBP)'!$C$2)</f>
        <v>0</v>
      </c>
      <c r="AP48" s="549">
        <f>SUMIFS(BS_RE33!$H$7:$H$874,BS_RE33!$S$7:$S$874,$AP$2,BS_RE33!$N$7:$N$874,I48,BS_RE33!$P$7:$P$874,'30 days CF Table(GBP)'!G48,BS_RE33!$F$7:$F$874,'30 days CF Table(GBP)'!$C$2)</f>
        <v>0</v>
      </c>
      <c r="AQ48" s="550"/>
      <c r="AR48" s="380">
        <f>SUMIFS(BS_RE33!$H$7:$H$874,BS_RE33!$S$7:$S$874,$AR$2,BS_RE33!$N$7:$N$874,I48,BS_RE33!$P$7:$P$874,'30 days CF Table(GBP)'!G48,BS_RE33!$F$7:$F$874,'30 days CF Table(GBP)'!$C$2)</f>
        <v>0</v>
      </c>
      <c r="AS48" s="380">
        <f>SUMIFS(BS_RE33!$H$7:$H$874,BS_RE33!$S$7:$S$874,$AS$2,BS_RE33!$N$7:$N$874,I48,BS_RE33!$P$7:$P$874,'30 days CF Table(GBP)'!G48,BS_RE33!$F$7:$F$874,'30 days CF Table(GBP)'!$C$2)</f>
        <v>0</v>
      </c>
      <c r="AT48" s="380">
        <f>SUMIFS(BS_RE33!$H$7:$H$874,BS_RE33!$S$7:$S$874,$AT$2,BS_RE33!$N$7:$N$874,I48,BS_RE33!$P$7:$P$874,'30 days CF Table(GBP)'!G48,BS_RE33!$F$7:$F$874,'30 days CF Table(GBP)'!$C$2)</f>
        <v>0</v>
      </c>
      <c r="AU48" s="380">
        <f>SUMIFS(BS_RE33!$H$7:$H$874,BS_RE33!$S$7:$S$874,$AU$2,BS_RE33!$N$7:$N$874,I48,BS_RE33!$P$7:$P$874,'30 days CF Table(GBP)'!G48,BS_RE33!$F$7:$F$874,'30 days CF Table(GBP)'!$C$2)</f>
        <v>0</v>
      </c>
      <c r="AV48" s="380">
        <f>SUMIFS(BS_RE33!$H$7:$H$874,BS_RE33!$S$7:$S$874,$AV$2,BS_RE33!$N$7:$N$874,I48,BS_RE33!$P$7:$P$874,'30 days CF Table(GBP)'!G48,BS_RE33!$F$7:$F$874,'30 days CF Table(GBP)'!$C$2)</f>
        <v>0</v>
      </c>
      <c r="AW48" s="380">
        <f>SUMIFS(BS_RE33!$H$7:$H$874,BS_RE33!$S$7:$S$874,$AW$2,BS_RE33!$N$7:$N$874,I48,BS_RE33!$P$7:$P$874,'30 days CF Table(GBP)'!G48,BS_RE33!$F$7:$F$874,'30 days CF Table(GBP)'!$C$2)</f>
        <v>0</v>
      </c>
      <c r="AX48" s="380">
        <f>SUMIFS(BS_RE33!$H$7:$H$874,BS_RE33!$S$7:$S$874,$AX$2,BS_RE33!$N$7:$N$874,I48,BS_RE33!$P$7:$P$874,'30 days CF Table(GBP)'!G48,BS_RE33!$F$7:$F$874,'30 days CF Table(GBP)'!$C$2)</f>
        <v>0</v>
      </c>
      <c r="AY48" s="380">
        <f>SUMIFS(BS_RE33!$H$7:$H$874,BS_RE33!$S$7:$S$874,$AY$2,BS_RE33!$N$7:$N$874,I48,BS_RE33!$P$7:$P$874,'30 days CF Table(GBP)'!G48,BS_RE33!$F$7:$F$874,'30 days CF Table(GBP)'!$C$2)</f>
        <v>0</v>
      </c>
      <c r="AZ48" s="380">
        <f>SUMIFS(BS_RE33!$H$7:$H$874,BS_RE33!$S$7:$S$874,$AZ$2,BS_RE33!$N$7:$N$874,I48,BS_RE33!$P$7:$P$874,'30 days CF Table(GBP)'!G48,BS_RE33!$F$7:$F$874,'30 days CF Table(GBP)'!$C$2)</f>
        <v>0</v>
      </c>
      <c r="BA48" s="380">
        <f>SUMIFS(BS_RE33!$H$7:$H$874,BS_RE33!$S$7:$S$874,$BA$2,BS_RE33!$N$7:$N$874,I48,BS_RE33!$P$7:$P$874,'30 days CF Table(GBP)'!G48,BS_RE33!$F$7:$F$874,'30 days CF Table(GBP)'!$C$2)</f>
        <v>0</v>
      </c>
      <c r="BB48" s="380">
        <f>SUMIFS(BS_RE33!$H$7:$H$874,BS_RE33!$S$7:$S$874,$BB$2,BS_RE33!$N$7:$N$874,I48,BS_RE33!$P$7:$P$874,'30 days CF Table(GBP)'!G48,BS_RE33!$F$7:$F$874,'30 days CF Table(GBP)'!$C$2)</f>
        <v>0</v>
      </c>
      <c r="BC48" s="380">
        <f>SUMIFS(BS_RE33!$H$7:$H$874,BS_RE33!$S$7:$S$874,$BC$2,BS_RE33!$N$7:$N$874,I48,BS_RE33!$P$7:$P$874,'30 days CF Table(GBP)'!G48,BS_RE33!$F$7:$F$874,'30 days CF Table(GBP)'!$C$2)</f>
        <v>0</v>
      </c>
      <c r="BD48" s="380">
        <f>SUMIFS(BS_RE33!$H$7:$H$874,BS_RE33!$S$7:$S$874,$BD$2,BS_RE33!$N$7:$N$874,I48,BS_RE33!$P$7:$P$874,'30 days CF Table(GBP)'!G48,BS_RE33!$F$7:$F$874,'30 days CF Table(GBP)'!$C$2)</f>
        <v>0</v>
      </c>
      <c r="BE48" s="380">
        <f>SUMIFS(BS_RE33!$H$7:$H$874,BS_RE33!$S$7:$S$874,$BE$2,BS_RE33!$N$7:$N$874,I48,BS_RE33!$P$7:$P$874,'30 days CF Table(GBP)'!G48,BS_RE33!$F$7:$F$874,'30 days CF Table(GBP)'!$C$2)</f>
        <v>0</v>
      </c>
      <c r="BF48" s="380">
        <f>SUMIFS(BS_RE33!$H$7:$H$874,BS_RE33!$S$7:$S$874,$BF$2,BS_RE33!$N$7:$N$874,I48,BS_RE33!$P$7:$P$874,'30 days CF Table(GBP)'!G48,BS_RE33!$F$7:$F$874,'30 days CF Table(GBP)'!$C$2)</f>
        <v>0</v>
      </c>
      <c r="BG48" s="380">
        <f>SUMIFS(BS_RE33!$H$7:$H$874,BS_RE33!$S$7:$S$874,$BG$2,BS_RE33!$N$7:$N$874,I48,BS_RE33!$P$7:$P$874,'30 days CF Table(GBP)'!G48,BS_RE33!$F$7:$F$874,'30 days CF Table(GBP)'!$C$2)</f>
        <v>0</v>
      </c>
      <c r="BH48" s="380">
        <f>SUMIFS(BS_RE33!$H$7:$H$874,BS_RE33!$S$7:$S$874,$BH$2,BS_RE33!$N$7:$N$874,I48,BS_RE33!$P$7:$P$874,'30 days CF Table(GBP)'!G48,BS_RE33!$F$7:$F$874,'30 days CF Table(GBP)'!$C$2)</f>
        <v>0</v>
      </c>
      <c r="BI48" s="380">
        <f>SUMIFS(BS_RE33!$H$7:$H$874,BS_RE33!$S$7:$S$874,$BI$2,BS_RE33!$N$7:$N$874,I48,BS_RE33!$P$7:$P$874,'30 days CF Table(GBP)'!G48,BS_RE33!$F$7:$F$874,'30 days CF Table(GBP)'!$C$2)</f>
        <v>0</v>
      </c>
      <c r="BJ48" s="380">
        <f>SUMIFS(BS_RE33!$H$7:$H$874,BS_RE33!$S$7:$S$874,$BJ$2,BS_RE33!$N$7:$N$874,I48,BS_RE33!$P$7:$P$874,'30 days CF Table(GBP)'!G48,BS_RE33!$F$7:$F$874,'30 days CF Table(GBP)'!$C$2)</f>
        <v>0</v>
      </c>
      <c r="BK48" s="380">
        <f>SUMIFS(BS_RE33!$H$7:$H$874,BS_RE33!$S$7:$S$874,$BK$2,BS_RE33!$N$7:$N$874,I48,BS_RE33!$P$7:$P$874,'30 days CF Table(GBP)'!G48,BS_RE33!$F$7:$F$874,'30 days CF Table(GBP)'!$C$2)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Table(GBP)'!G49,BS_RE33!$F$7:$F$874,'30 days CF Table(GBP)'!$C$2)</f>
        <v>0</v>
      </c>
      <c r="M49" s="548">
        <f>SUMIFS(BS_RE33!$H$7:$H$874,BS_RE33!$S$7:$S$874,$M$2,BS_RE33!$N$7:$N$874,I49,BS_RE33!$P$7:$P$874,'30 days CF Table(GBP)'!G49,BS_RE33!$F$7:$F$874,'30 days CF Table(GBP)'!$C$2)</f>
        <v>0</v>
      </c>
      <c r="N49" s="548">
        <f>SUMIFS(BS_RE33!$H$7:$H$874,BS_RE33!$S$7:$S$874,$N$2,BS_RE33!$N$7:$N$874,I49,BS_RE33!$P$7:$P$874,'30 days CF Table(GBP)'!G49,BS_RE33!$F$7:$F$874,'30 days CF Table(GBP)'!$C$2)</f>
        <v>0</v>
      </c>
      <c r="O49" s="548">
        <f>SUMIFS(BS_RE33!$H$7:$H$874,BS_RE33!$S$7:$S$874,$O$2,BS_RE33!$N$7:$N$874,I49,BS_RE33!$P$7:$P$874,'30 days CF Table(GBP)'!G49,BS_RE33!$F$7:$F$874,'30 days CF Table(GBP)'!$C$2)</f>
        <v>0</v>
      </c>
      <c r="P49" s="548">
        <f>SUMIFS(BS_RE33!$H$7:$H$874,BS_RE33!$S$7:$S$874,$P$2,BS_RE33!$N$7:$N$874,I49,BS_RE33!$P$7:$P$874,'30 days CF Table(GBP)'!G49,BS_RE33!$F$7:$F$874,'30 days CF Table(GBP)'!$C$2)</f>
        <v>0</v>
      </c>
      <c r="Q49" s="548">
        <f>SUMIFS(BS_RE33!$H$7:$H$874,BS_RE33!$S$7:$S$874,$Q$2,BS_RE33!$N$7:$N$874,I49,BS_RE33!$P$7:$P$874,'30 days CF Table(GBP)'!G49,BS_RE33!$F$7:$F$874,'30 days CF Table(GBP)'!$C$2)</f>
        <v>0</v>
      </c>
      <c r="R49" s="548">
        <f>SUMIFS(BS_RE33!$H$7:$H$874,BS_RE33!$S$7:$S$874,$R$2,BS_RE33!$N$7:$N$874,I49,BS_RE33!$P$7:$P$874,'30 days CF Table(GBP)'!G49,BS_RE33!$F$7:$F$874,'30 days CF Table(GBP)'!$C$2)</f>
        <v>0</v>
      </c>
      <c r="S49" s="548">
        <f>SUMIFS(BS_RE33!$H$7:$H$874,BS_RE33!$S$7:$S$874,$S$2,BS_RE33!$N$7:$N$874,I49,BS_RE33!$P$7:$P$874,'30 days CF Table(GBP)'!G49,BS_RE33!$F$7:$F$874,'30 days CF Table(GBP)'!$C$2)</f>
        <v>0</v>
      </c>
      <c r="T49" s="548">
        <f>SUMIFS(BS_RE33!$H$7:$H$874,BS_RE33!$S$7:$S$874,$T$2,BS_RE33!$N$7:$N$874,I49,BS_RE33!$P$7:$P$874,'30 days CF Table(GBP)'!G49,BS_RE33!$F$7:$F$874,'30 days CF Table(GBP)'!$C$2)</f>
        <v>0</v>
      </c>
      <c r="U49" s="548">
        <f>SUMIFS(BS_RE33!$H$7:$H$874,BS_RE33!$S$7:$S$874,$U$2,BS_RE33!$N$7:$N$874,I49,BS_RE33!$P$7:$P$874,'30 days CF Table(GBP)'!G49,BS_RE33!$F$7:$F$874,'30 days CF Table(GBP)'!$C$2)</f>
        <v>0</v>
      </c>
      <c r="V49" s="548">
        <f>SUMIFS(BS_RE33!$H$7:$H$874,BS_RE33!$S$7:$S$874,$V$2,BS_RE33!$N$7:$N$874,I49,BS_RE33!$P$7:$P$874,'30 days CF Table(GBP)'!G49,BS_RE33!$F$7:$F$874,'30 days CF Table(GBP)'!$C$2)</f>
        <v>0</v>
      </c>
      <c r="W49" s="548">
        <f>SUMIFS(BS_RE33!$H$7:$H$874,BS_RE33!$S$7:$S$874,$W$2,BS_RE33!$N$7:$N$874,I49,BS_RE33!$P$7:$P$874,'30 days CF Table(GBP)'!G49,BS_RE33!$F$7:$F$874,'30 days CF Table(GBP)'!$C$2)</f>
        <v>0</v>
      </c>
      <c r="X49" s="548">
        <f>SUMIFS(BS_RE33!$H$7:$H$874,BS_RE33!$S$7:$S$874,$X$2,BS_RE33!$N$7:$N$874,I49,BS_RE33!$P$7:$P$874,'30 days CF Table(GBP)'!G49,BS_RE33!$F$7:$F$874,'30 days CF Table(GBP)'!$C$2)</f>
        <v>0</v>
      </c>
      <c r="Y49" s="548">
        <f>SUMIFS(BS_RE33!$H$7:$H$874,BS_RE33!$S$7:$S$874,$Y$2,BS_RE33!$N$7:$N$874,I49,BS_RE33!$P$7:$P$874,'30 days CF Table(GBP)'!G49,BS_RE33!$F$7:$F$874,'30 days CF Table(GBP)'!$C$2)</f>
        <v>0</v>
      </c>
      <c r="Z49" s="548">
        <f>SUMIFS(BS_RE33!$H$7:$H$874,BS_RE33!$S$7:$S$874,$Z$2,BS_RE33!$N$7:$N$874,I49,BS_RE33!$P$7:$P$874,'30 days CF Table(GBP)'!G49,BS_RE33!$F$7:$F$874,'30 days CF Table(GBP)'!$C$2)</f>
        <v>0</v>
      </c>
      <c r="AA49" s="548">
        <f>SUMIFS(BS_RE33!$H$7:$H$874,BS_RE33!$S$7:$S$874,$AA$2,BS_RE33!$N$7:$N$874,I49,BS_RE33!$P$7:$P$874,'30 days CF Table(GBP)'!G49,BS_RE33!$F$7:$F$874,'30 days CF Table(GBP)'!$C$2)</f>
        <v>0</v>
      </c>
      <c r="AB49" s="548">
        <f>SUMIFS(BS_RE33!$H$7:$H$874,BS_RE33!$S$7:$S$874,$AB$2,BS_RE33!$N$7:$N$874,I49,BS_RE33!$P$7:$P$874,'30 days CF Table(GBP)'!G49,BS_RE33!$F$7:$F$874,'30 days CF Table(GBP)'!$C$2)</f>
        <v>0</v>
      </c>
      <c r="AC49" s="548">
        <f>SUMIFS(BS_RE33!$H$7:$H$874,BS_RE33!$S$7:$S$874,$AC$2,BS_RE33!$N$7:$N$874,I49,BS_RE33!$P$7:$P$874,'30 days CF Table(GBP)'!G49,BS_RE33!$F$7:$F$874,'30 days CF Table(GBP)'!$C$2)</f>
        <v>0</v>
      </c>
      <c r="AD49" s="548">
        <f>SUMIFS(BS_RE33!$H$7:$H$874,BS_RE33!$S$7:$S$874,$AD$2,BS_RE33!$N$7:$N$874,I49,BS_RE33!$P$7:$P$874,'30 days CF Table(GBP)'!G49,BS_RE33!$F$7:$F$874,'30 days CF Table(GBP)'!$C$2)</f>
        <v>0</v>
      </c>
      <c r="AE49" s="548">
        <f>SUMIFS(BS_RE33!$H$7:$H$874,BS_RE33!$S$7:$S$874,$AE$2,BS_RE33!$N$7:$N$874,I49,BS_RE33!$P$7:$P$874,'30 days CF Table(GBP)'!G49,BS_RE33!$F$7:$F$874,'30 days CF Table(GBP)'!$C$2)</f>
        <v>0</v>
      </c>
      <c r="AF49" s="548">
        <f>SUMIFS(BS_RE33!$H$7:$H$874,BS_RE33!$S$7:$S$874,$AF$2,BS_RE33!$N$7:$N$874,I49,BS_RE33!$P$7:$P$874,'30 days CF Table(GBP)'!G49,BS_RE33!$F$7:$F$874,'30 days CF Table(GBP)'!$C$2)</f>
        <v>0</v>
      </c>
      <c r="AG49" s="548">
        <f>SUMIFS(BS_RE33!$H$7:$H$874,BS_RE33!$S$7:$S$874,$AG$2,BS_RE33!$N$7:$N$874,I49,BS_RE33!$P$7:$P$874,'30 days CF Table(GBP)'!G49,BS_RE33!$F$7:$F$874,'30 days CF Table(GBP)'!$C$2)</f>
        <v>0</v>
      </c>
      <c r="AH49" s="548">
        <f>SUMIFS(BS_RE33!$H$7:$H$874,BS_RE33!$S$7:$S$874,$AH$2,BS_RE33!$N$7:$N$874,I49,BS_RE33!$P$7:$P$874,'30 days CF Table(GBP)'!G49,BS_RE33!$F$7:$F$874,'30 days CF Table(GBP)'!$C$2)</f>
        <v>0</v>
      </c>
      <c r="AI49" s="548">
        <f>SUMIFS(BS_RE33!$H$7:$H$874,BS_RE33!$S$7:$S$874,$AI$2,BS_RE33!$N$7:$N$874,I49,BS_RE33!$P$7:$P$874,'30 days CF Table(GBP)'!G49,BS_RE33!$F$7:$F$874,'30 days CF Table(GBP)'!$C$2)</f>
        <v>0</v>
      </c>
      <c r="AJ49" s="548">
        <f>SUMIFS(BS_RE33!$H$7:$H$874,BS_RE33!$S$7:$S$874,$AJ$2,BS_RE33!$N$7:$N$874,I49,BS_RE33!$P$7:$P$874,'30 days CF Table(GBP)'!G49,BS_RE33!$F$7:$F$874,'30 days CF Table(GBP)'!$C$2)</f>
        <v>0</v>
      </c>
      <c r="AK49" s="548">
        <f>SUMIFS(BS_RE33!$H$7:$H$874,BS_RE33!$S$7:$S$874,$AK$2,BS_RE33!$N$7:$N$874,I49,BS_RE33!$P$7:$P$874,'30 days CF Table(GBP)'!G49,BS_RE33!$F$7:$F$874,'30 days CF Table(GBP)'!$C$2)</f>
        <v>0</v>
      </c>
      <c r="AL49" s="548">
        <f>SUMIFS(BS_RE33!$H$7:$H$874,BS_RE33!$S$7:$S$874,$AL$2,BS_RE33!$N$7:$N$874,I49,BS_RE33!$P$7:$P$874,'30 days CF Table(GBP)'!G49,BS_RE33!$F$7:$F$874,'30 days CF Table(GBP)'!$C$2)</f>
        <v>0</v>
      </c>
      <c r="AM49" s="548">
        <f>SUMIFS(BS_RE33!$H$7:$H$874,BS_RE33!$S$7:$S$874,$AM$2,BS_RE33!$N$7:$N$874,I49,BS_RE33!$P$7:$P$874,'30 days CF Table(GBP)'!G49,BS_RE33!$F$7:$F$874,'30 days CF Table(GBP)'!$C$2)</f>
        <v>0</v>
      </c>
      <c r="AN49" s="548">
        <f>SUMIFS(BS_RE33!$H$7:$H$874,BS_RE33!$S$7:$S$874,$AN$2,BS_RE33!$N$7:$N$874,I49,BS_RE33!$P$7:$P$874,'30 days CF Table(GBP)'!G49,BS_RE33!$F$7:$F$874,'30 days CF Table(GBP)'!$C$2)</f>
        <v>0</v>
      </c>
      <c r="AO49" s="548">
        <f>SUMIFS(BS_RE33!$H$7:$H$874,BS_RE33!$S$7:$S$874,$AO$2,BS_RE33!$N$7:$N$874,I49,BS_RE33!$P$7:$P$874,'30 days CF Table(GBP)'!G49,BS_RE33!$F$7:$F$874,'30 days CF Table(GBP)'!$C$2)</f>
        <v>0</v>
      </c>
      <c r="AP49" s="549">
        <f>SUMIFS(BS_RE33!$H$7:$H$874,BS_RE33!$S$7:$S$874,$AP$2,BS_RE33!$N$7:$N$874,I49,BS_RE33!$P$7:$P$874,'30 days CF Table(GBP)'!G49,BS_RE33!$F$7:$F$874,'30 days CF Table(GBP)'!$C$2)</f>
        <v>0</v>
      </c>
      <c r="AQ49" s="550"/>
      <c r="AR49" s="380">
        <f>SUMIFS(BS_RE33!$H$7:$H$874,BS_RE33!$S$7:$S$874,$AR$2,BS_RE33!$N$7:$N$874,I49,BS_RE33!$P$7:$P$874,'30 days CF Table(GBP)'!G49,BS_RE33!$F$7:$F$874,'30 days CF Table(GBP)'!$C$2)</f>
        <v>0</v>
      </c>
      <c r="AS49" s="380">
        <f>SUMIFS(BS_RE33!$H$7:$H$874,BS_RE33!$S$7:$S$874,$AS$2,BS_RE33!$N$7:$N$874,I49,BS_RE33!$P$7:$P$874,'30 days CF Table(GBP)'!G49,BS_RE33!$F$7:$F$874,'30 days CF Table(GBP)'!$C$2)</f>
        <v>0</v>
      </c>
      <c r="AT49" s="380">
        <f>SUMIFS(BS_RE33!$H$7:$H$874,BS_RE33!$S$7:$S$874,$AT$2,BS_RE33!$N$7:$N$874,I49,BS_RE33!$P$7:$P$874,'30 days CF Table(GBP)'!G49,BS_RE33!$F$7:$F$874,'30 days CF Table(GBP)'!$C$2)</f>
        <v>0</v>
      </c>
      <c r="AU49" s="380">
        <f>SUMIFS(BS_RE33!$H$7:$H$874,BS_RE33!$S$7:$S$874,$AU$2,BS_RE33!$N$7:$N$874,I49,BS_RE33!$P$7:$P$874,'30 days CF Table(GBP)'!G49,BS_RE33!$F$7:$F$874,'30 days CF Table(GBP)'!$C$2)</f>
        <v>0</v>
      </c>
      <c r="AV49" s="380">
        <f>SUMIFS(BS_RE33!$H$7:$H$874,BS_RE33!$S$7:$S$874,$AV$2,BS_RE33!$N$7:$N$874,I49,BS_RE33!$P$7:$P$874,'30 days CF Table(GBP)'!G49,BS_RE33!$F$7:$F$874,'30 days CF Table(GBP)'!$C$2)</f>
        <v>0</v>
      </c>
      <c r="AW49" s="380">
        <f>SUMIFS(BS_RE33!$H$7:$H$874,BS_RE33!$S$7:$S$874,$AW$2,BS_RE33!$N$7:$N$874,I49,BS_RE33!$P$7:$P$874,'30 days CF Table(GBP)'!G49,BS_RE33!$F$7:$F$874,'30 days CF Table(GBP)'!$C$2)</f>
        <v>0</v>
      </c>
      <c r="AX49" s="380">
        <f>SUMIFS(BS_RE33!$H$7:$H$874,BS_RE33!$S$7:$S$874,$AX$2,BS_RE33!$N$7:$N$874,I49,BS_RE33!$P$7:$P$874,'30 days CF Table(GBP)'!G49,BS_RE33!$F$7:$F$874,'30 days CF Table(GBP)'!$C$2)</f>
        <v>0</v>
      </c>
      <c r="AY49" s="380">
        <f>SUMIFS(BS_RE33!$H$7:$H$874,BS_RE33!$S$7:$S$874,$AY$2,BS_RE33!$N$7:$N$874,I49,BS_RE33!$P$7:$P$874,'30 days CF Table(GBP)'!G49,BS_RE33!$F$7:$F$874,'30 days CF Table(GBP)'!$C$2)</f>
        <v>0</v>
      </c>
      <c r="AZ49" s="380">
        <f>SUMIFS(BS_RE33!$H$7:$H$874,BS_RE33!$S$7:$S$874,$AZ$2,BS_RE33!$N$7:$N$874,I49,BS_RE33!$P$7:$P$874,'30 days CF Table(GBP)'!G49,BS_RE33!$F$7:$F$874,'30 days CF Table(GBP)'!$C$2)</f>
        <v>0</v>
      </c>
      <c r="BA49" s="380">
        <f>SUMIFS(BS_RE33!$H$7:$H$874,BS_RE33!$S$7:$S$874,$BA$2,BS_RE33!$N$7:$N$874,I49,BS_RE33!$P$7:$P$874,'30 days CF Table(GBP)'!G49,BS_RE33!$F$7:$F$874,'30 days CF Table(GBP)'!$C$2)</f>
        <v>0</v>
      </c>
      <c r="BB49" s="380">
        <f>SUMIFS(BS_RE33!$H$7:$H$874,BS_RE33!$S$7:$S$874,$BB$2,BS_RE33!$N$7:$N$874,I49,BS_RE33!$P$7:$P$874,'30 days CF Table(GBP)'!G49,BS_RE33!$F$7:$F$874,'30 days CF Table(GBP)'!$C$2)</f>
        <v>0</v>
      </c>
      <c r="BC49" s="380">
        <f>SUMIFS(BS_RE33!$H$7:$H$874,BS_RE33!$S$7:$S$874,$BC$2,BS_RE33!$N$7:$N$874,I49,BS_RE33!$P$7:$P$874,'30 days CF Table(GBP)'!G49,BS_RE33!$F$7:$F$874,'30 days CF Table(GBP)'!$C$2)</f>
        <v>0</v>
      </c>
      <c r="BD49" s="380">
        <f>SUMIFS(BS_RE33!$H$7:$H$874,BS_RE33!$S$7:$S$874,$BD$2,BS_RE33!$N$7:$N$874,I49,BS_RE33!$P$7:$P$874,'30 days CF Table(GBP)'!G49,BS_RE33!$F$7:$F$874,'30 days CF Table(GBP)'!$C$2)</f>
        <v>0</v>
      </c>
      <c r="BE49" s="380">
        <f>SUMIFS(BS_RE33!$H$7:$H$874,BS_RE33!$S$7:$S$874,$BE$2,BS_RE33!$N$7:$N$874,I49,BS_RE33!$P$7:$P$874,'30 days CF Table(GBP)'!G49,BS_RE33!$F$7:$F$874,'30 days CF Table(GBP)'!$C$2)</f>
        <v>0</v>
      </c>
      <c r="BF49" s="380">
        <f>SUMIFS(BS_RE33!$H$7:$H$874,BS_RE33!$S$7:$S$874,$BF$2,BS_RE33!$N$7:$N$874,I49,BS_RE33!$P$7:$P$874,'30 days CF Table(GBP)'!G49,BS_RE33!$F$7:$F$874,'30 days CF Table(GBP)'!$C$2)</f>
        <v>0</v>
      </c>
      <c r="BG49" s="380">
        <f>SUMIFS(BS_RE33!$H$7:$H$874,BS_RE33!$S$7:$S$874,$BG$2,BS_RE33!$N$7:$N$874,I49,BS_RE33!$P$7:$P$874,'30 days CF Table(GBP)'!G49,BS_RE33!$F$7:$F$874,'30 days CF Table(GBP)'!$C$2)</f>
        <v>0</v>
      </c>
      <c r="BH49" s="380">
        <f>SUMIFS(BS_RE33!$H$7:$H$874,BS_RE33!$S$7:$S$874,$BH$2,BS_RE33!$N$7:$N$874,I49,BS_RE33!$P$7:$P$874,'30 days CF Table(GBP)'!G49,BS_RE33!$F$7:$F$874,'30 days CF Table(GBP)'!$C$2)</f>
        <v>0</v>
      </c>
      <c r="BI49" s="380">
        <f>SUMIFS(BS_RE33!$H$7:$H$874,BS_RE33!$S$7:$S$874,$BI$2,BS_RE33!$N$7:$N$874,I49,BS_RE33!$P$7:$P$874,'30 days CF Table(GBP)'!G49,BS_RE33!$F$7:$F$874,'30 days CF Table(GBP)'!$C$2)</f>
        <v>0</v>
      </c>
      <c r="BJ49" s="380">
        <f>SUMIFS(BS_RE33!$H$7:$H$874,BS_RE33!$S$7:$S$874,$BJ$2,BS_RE33!$N$7:$N$874,I49,BS_RE33!$P$7:$P$874,'30 days CF Table(GBP)'!G49,BS_RE33!$F$7:$F$874,'30 days CF Table(GBP)'!$C$2)</f>
        <v>0</v>
      </c>
      <c r="BK49" s="380">
        <f>SUMIFS(BS_RE33!$H$7:$H$874,BS_RE33!$S$7:$S$874,$BK$2,BS_RE33!$N$7:$N$874,I49,BS_RE33!$P$7:$P$874,'30 days CF Table(GBP)'!G49,BS_RE33!$F$7:$F$874,'30 days CF Table(GBP)'!$C$2)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Table(GBP)'!G50,BS_RE33!$F$7:$F$874,'30 days CF Table(GBP)'!$C$2)</f>
        <v>0</v>
      </c>
      <c r="M50" s="548">
        <f>SUMIFS(BS_RE33!$H$7:$H$874,BS_RE33!$S$7:$S$874,$M$2,BS_RE33!$N$7:$N$874,I50,BS_RE33!$P$7:$P$874,'30 days CF Table(GBP)'!G50,BS_RE33!$F$7:$F$874,'30 days CF Table(GBP)'!$C$2)</f>
        <v>0</v>
      </c>
      <c r="N50" s="548">
        <f>SUMIFS(BS_RE33!$H$7:$H$874,BS_RE33!$S$7:$S$874,$N$2,BS_RE33!$N$7:$N$874,I50,BS_RE33!$P$7:$P$874,'30 days CF Table(GBP)'!G50,BS_RE33!$F$7:$F$874,'30 days CF Table(GBP)'!$C$2)</f>
        <v>0</v>
      </c>
      <c r="O50" s="548">
        <f>SUMIFS(BS_RE33!$H$7:$H$874,BS_RE33!$S$7:$S$874,$O$2,BS_RE33!$N$7:$N$874,I50,BS_RE33!$P$7:$P$874,'30 days CF Table(GBP)'!G50,BS_RE33!$F$7:$F$874,'30 days CF Table(GBP)'!$C$2)</f>
        <v>0</v>
      </c>
      <c r="P50" s="548">
        <f>SUMIFS(BS_RE33!$H$7:$H$874,BS_RE33!$S$7:$S$874,$P$2,BS_RE33!$N$7:$N$874,I50,BS_RE33!$P$7:$P$874,'30 days CF Table(GBP)'!G50,BS_RE33!$F$7:$F$874,'30 days CF Table(GBP)'!$C$2)</f>
        <v>0</v>
      </c>
      <c r="Q50" s="548">
        <f>SUMIFS(BS_RE33!$H$7:$H$874,BS_RE33!$S$7:$S$874,$Q$2,BS_RE33!$N$7:$N$874,I50,BS_RE33!$P$7:$P$874,'30 days CF Table(GBP)'!G50,BS_RE33!$F$7:$F$874,'30 days CF Table(GBP)'!$C$2)</f>
        <v>0</v>
      </c>
      <c r="R50" s="548">
        <f>SUMIFS(BS_RE33!$H$7:$H$874,BS_RE33!$S$7:$S$874,$R$2,BS_RE33!$N$7:$N$874,I50,BS_RE33!$P$7:$P$874,'30 days CF Table(GBP)'!G50,BS_RE33!$F$7:$F$874,'30 days CF Table(GBP)'!$C$2)</f>
        <v>0</v>
      </c>
      <c r="S50" s="548">
        <f>SUMIFS(BS_RE33!$H$7:$H$874,BS_RE33!$S$7:$S$874,$S$2,BS_RE33!$N$7:$N$874,I50,BS_RE33!$P$7:$P$874,'30 days CF Table(GBP)'!G50,BS_RE33!$F$7:$F$874,'30 days CF Table(GBP)'!$C$2)</f>
        <v>0</v>
      </c>
      <c r="T50" s="548">
        <f>SUMIFS(BS_RE33!$H$7:$H$874,BS_RE33!$S$7:$S$874,$T$2,BS_RE33!$N$7:$N$874,I50,BS_RE33!$P$7:$P$874,'30 days CF Table(GBP)'!G50,BS_RE33!$F$7:$F$874,'30 days CF Table(GBP)'!$C$2)</f>
        <v>0</v>
      </c>
      <c r="U50" s="548">
        <f>SUMIFS(BS_RE33!$H$7:$H$874,BS_RE33!$S$7:$S$874,$U$2,BS_RE33!$N$7:$N$874,I50,BS_RE33!$P$7:$P$874,'30 days CF Table(GBP)'!G50,BS_RE33!$F$7:$F$874,'30 days CF Table(GBP)'!$C$2)</f>
        <v>0</v>
      </c>
      <c r="V50" s="548">
        <f>SUMIFS(BS_RE33!$H$7:$H$874,BS_RE33!$S$7:$S$874,$V$2,BS_RE33!$N$7:$N$874,I50,BS_RE33!$P$7:$P$874,'30 days CF Table(GBP)'!G50,BS_RE33!$F$7:$F$874,'30 days CF Table(GBP)'!$C$2)</f>
        <v>0</v>
      </c>
      <c r="W50" s="548">
        <f>SUMIFS(BS_RE33!$H$7:$H$874,BS_RE33!$S$7:$S$874,$W$2,BS_RE33!$N$7:$N$874,I50,BS_RE33!$P$7:$P$874,'30 days CF Table(GBP)'!G50,BS_RE33!$F$7:$F$874,'30 days CF Table(GBP)'!$C$2)</f>
        <v>0</v>
      </c>
      <c r="X50" s="548">
        <f>SUMIFS(BS_RE33!$H$7:$H$874,BS_RE33!$S$7:$S$874,$X$2,BS_RE33!$N$7:$N$874,I50,BS_RE33!$P$7:$P$874,'30 days CF Table(GBP)'!G50,BS_RE33!$F$7:$F$874,'30 days CF Table(GBP)'!$C$2)</f>
        <v>0</v>
      </c>
      <c r="Y50" s="548">
        <f>SUMIFS(BS_RE33!$H$7:$H$874,BS_RE33!$S$7:$S$874,$Y$2,BS_RE33!$N$7:$N$874,I50,BS_RE33!$P$7:$P$874,'30 days CF Table(GBP)'!G50,BS_RE33!$F$7:$F$874,'30 days CF Table(GBP)'!$C$2)</f>
        <v>0</v>
      </c>
      <c r="Z50" s="548">
        <f>SUMIFS(BS_RE33!$H$7:$H$874,BS_RE33!$S$7:$S$874,$Z$2,BS_RE33!$N$7:$N$874,I50,BS_RE33!$P$7:$P$874,'30 days CF Table(GBP)'!G50,BS_RE33!$F$7:$F$874,'30 days CF Table(GBP)'!$C$2)</f>
        <v>0</v>
      </c>
      <c r="AA50" s="548">
        <f>SUMIFS(BS_RE33!$H$7:$H$874,BS_RE33!$S$7:$S$874,$AA$2,BS_RE33!$N$7:$N$874,I50,BS_RE33!$P$7:$P$874,'30 days CF Table(GBP)'!G50,BS_RE33!$F$7:$F$874,'30 days CF Table(GBP)'!$C$2)</f>
        <v>0</v>
      </c>
      <c r="AB50" s="548">
        <f>SUMIFS(BS_RE33!$H$7:$H$874,BS_RE33!$S$7:$S$874,$AB$2,BS_RE33!$N$7:$N$874,I50,BS_RE33!$P$7:$P$874,'30 days CF Table(GBP)'!G50,BS_RE33!$F$7:$F$874,'30 days CF Table(GBP)'!$C$2)</f>
        <v>0</v>
      </c>
      <c r="AC50" s="548">
        <f>SUMIFS(BS_RE33!$H$7:$H$874,BS_RE33!$S$7:$S$874,$AC$2,BS_RE33!$N$7:$N$874,I50,BS_RE33!$P$7:$P$874,'30 days CF Table(GBP)'!G50,BS_RE33!$F$7:$F$874,'30 days CF Table(GBP)'!$C$2)</f>
        <v>0</v>
      </c>
      <c r="AD50" s="548">
        <f>SUMIFS(BS_RE33!$H$7:$H$874,BS_RE33!$S$7:$S$874,$AD$2,BS_RE33!$N$7:$N$874,I50,BS_RE33!$P$7:$P$874,'30 days CF Table(GBP)'!G50,BS_RE33!$F$7:$F$874,'30 days CF Table(GBP)'!$C$2)</f>
        <v>0</v>
      </c>
      <c r="AE50" s="548">
        <f>SUMIFS(BS_RE33!$H$7:$H$874,BS_RE33!$S$7:$S$874,$AE$2,BS_RE33!$N$7:$N$874,I50,BS_RE33!$P$7:$P$874,'30 days CF Table(GBP)'!G50,BS_RE33!$F$7:$F$874,'30 days CF Table(GBP)'!$C$2)</f>
        <v>0</v>
      </c>
      <c r="AF50" s="548">
        <f>SUMIFS(BS_RE33!$H$7:$H$874,BS_RE33!$S$7:$S$874,$AF$2,BS_RE33!$N$7:$N$874,I50,BS_RE33!$P$7:$P$874,'30 days CF Table(GBP)'!G50,BS_RE33!$F$7:$F$874,'30 days CF Table(GBP)'!$C$2)</f>
        <v>0</v>
      </c>
      <c r="AG50" s="548">
        <f>SUMIFS(BS_RE33!$H$7:$H$874,BS_RE33!$S$7:$S$874,$AG$2,BS_RE33!$N$7:$N$874,I50,BS_RE33!$P$7:$P$874,'30 days CF Table(GBP)'!G50,BS_RE33!$F$7:$F$874,'30 days CF Table(GBP)'!$C$2)</f>
        <v>0</v>
      </c>
      <c r="AH50" s="548">
        <f>SUMIFS(BS_RE33!$H$7:$H$874,BS_RE33!$S$7:$S$874,$AH$2,BS_RE33!$N$7:$N$874,I50,BS_RE33!$P$7:$P$874,'30 days CF Table(GBP)'!G50,BS_RE33!$F$7:$F$874,'30 days CF Table(GBP)'!$C$2)</f>
        <v>0</v>
      </c>
      <c r="AI50" s="548">
        <f>SUMIFS(BS_RE33!$H$7:$H$874,BS_RE33!$S$7:$S$874,$AI$2,BS_RE33!$N$7:$N$874,I50,BS_RE33!$P$7:$P$874,'30 days CF Table(GBP)'!G50,BS_RE33!$F$7:$F$874,'30 days CF Table(GBP)'!$C$2)</f>
        <v>0</v>
      </c>
      <c r="AJ50" s="548">
        <f>SUMIFS(BS_RE33!$H$7:$H$874,BS_RE33!$S$7:$S$874,$AJ$2,BS_RE33!$N$7:$N$874,I50,BS_RE33!$P$7:$P$874,'30 days CF Table(GBP)'!G50,BS_RE33!$F$7:$F$874,'30 days CF Table(GBP)'!$C$2)</f>
        <v>0</v>
      </c>
      <c r="AK50" s="548">
        <f>SUMIFS(BS_RE33!$H$7:$H$874,BS_RE33!$S$7:$S$874,$AK$2,BS_RE33!$N$7:$N$874,I50,BS_RE33!$P$7:$P$874,'30 days CF Table(GBP)'!G50,BS_RE33!$F$7:$F$874,'30 days CF Table(GBP)'!$C$2)</f>
        <v>0</v>
      </c>
      <c r="AL50" s="548">
        <f>SUMIFS(BS_RE33!$H$7:$H$874,BS_RE33!$S$7:$S$874,$AL$2,BS_RE33!$N$7:$N$874,I50,BS_RE33!$P$7:$P$874,'30 days CF Table(GBP)'!G50,BS_RE33!$F$7:$F$874,'30 days CF Table(GBP)'!$C$2)</f>
        <v>0</v>
      </c>
      <c r="AM50" s="548">
        <f>SUMIFS(BS_RE33!$H$7:$H$874,BS_RE33!$S$7:$S$874,$AM$2,BS_RE33!$N$7:$N$874,I50,BS_RE33!$P$7:$P$874,'30 days CF Table(GBP)'!G50,BS_RE33!$F$7:$F$874,'30 days CF Table(GBP)'!$C$2)</f>
        <v>0</v>
      </c>
      <c r="AN50" s="548">
        <f>SUMIFS(BS_RE33!$H$7:$H$874,BS_RE33!$S$7:$S$874,$AN$2,BS_RE33!$N$7:$N$874,I50,BS_RE33!$P$7:$P$874,'30 days CF Table(GBP)'!G50,BS_RE33!$F$7:$F$874,'30 days CF Table(GBP)'!$C$2)</f>
        <v>0</v>
      </c>
      <c r="AO50" s="548">
        <f>SUMIFS(BS_RE33!$H$7:$H$874,BS_RE33!$S$7:$S$874,$AO$2,BS_RE33!$N$7:$N$874,I50,BS_RE33!$P$7:$P$874,'30 days CF Table(GBP)'!G50,BS_RE33!$F$7:$F$874,'30 days CF Table(GBP)'!$C$2)</f>
        <v>0</v>
      </c>
      <c r="AP50" s="549">
        <f>SUMIFS(BS_RE33!$H$7:$H$874,BS_RE33!$S$7:$S$874,$AP$2,BS_RE33!$N$7:$N$874,I50,BS_RE33!$P$7:$P$874,'30 days CF Table(GBP)'!G50,BS_RE33!$F$7:$F$874,'30 days CF Table(GBP)'!$C$2)</f>
        <v>0</v>
      </c>
      <c r="AQ50" s="550"/>
      <c r="AR50" s="380">
        <f>SUMIFS(BS_RE33!$H$7:$H$874,BS_RE33!$S$7:$S$874,$AR$2,BS_RE33!$N$7:$N$874,I50,BS_RE33!$P$7:$P$874,'30 days CF Table(GBP)'!G50,BS_RE33!$F$7:$F$874,'30 days CF Table(GBP)'!$C$2)</f>
        <v>0</v>
      </c>
      <c r="AS50" s="380">
        <f>SUMIFS(BS_RE33!$H$7:$H$874,BS_RE33!$S$7:$S$874,$AS$2,BS_RE33!$N$7:$N$874,I50,BS_RE33!$P$7:$P$874,'30 days CF Table(GBP)'!G50,BS_RE33!$F$7:$F$874,'30 days CF Table(GBP)'!$C$2)</f>
        <v>0</v>
      </c>
      <c r="AT50" s="380">
        <f>SUMIFS(BS_RE33!$H$7:$H$874,BS_RE33!$S$7:$S$874,$AT$2,BS_RE33!$N$7:$N$874,I50,BS_RE33!$P$7:$P$874,'30 days CF Table(GBP)'!G50,BS_RE33!$F$7:$F$874,'30 days CF Table(GBP)'!$C$2)</f>
        <v>0</v>
      </c>
      <c r="AU50" s="380">
        <f>SUMIFS(BS_RE33!$H$7:$H$874,BS_RE33!$S$7:$S$874,$AU$2,BS_RE33!$N$7:$N$874,I50,BS_RE33!$P$7:$P$874,'30 days CF Table(GBP)'!G50,BS_RE33!$F$7:$F$874,'30 days CF Table(GBP)'!$C$2)</f>
        <v>0</v>
      </c>
      <c r="AV50" s="380">
        <f>SUMIFS(BS_RE33!$H$7:$H$874,BS_RE33!$S$7:$S$874,$AV$2,BS_RE33!$N$7:$N$874,I50,BS_RE33!$P$7:$P$874,'30 days CF Table(GBP)'!G50,BS_RE33!$F$7:$F$874,'30 days CF Table(GBP)'!$C$2)</f>
        <v>0</v>
      </c>
      <c r="AW50" s="380">
        <f>SUMIFS(BS_RE33!$H$7:$H$874,BS_RE33!$S$7:$S$874,$AW$2,BS_RE33!$N$7:$N$874,I50,BS_RE33!$P$7:$P$874,'30 days CF Table(GBP)'!G50,BS_RE33!$F$7:$F$874,'30 days CF Table(GBP)'!$C$2)</f>
        <v>0</v>
      </c>
      <c r="AX50" s="380">
        <f>SUMIFS(BS_RE33!$H$7:$H$874,BS_RE33!$S$7:$S$874,$AX$2,BS_RE33!$N$7:$N$874,I50,BS_RE33!$P$7:$P$874,'30 days CF Table(GBP)'!G50,BS_RE33!$F$7:$F$874,'30 days CF Table(GBP)'!$C$2)</f>
        <v>0</v>
      </c>
      <c r="AY50" s="380">
        <f>SUMIFS(BS_RE33!$H$7:$H$874,BS_RE33!$S$7:$S$874,$AY$2,BS_RE33!$N$7:$N$874,I50,BS_RE33!$P$7:$P$874,'30 days CF Table(GBP)'!G50,BS_RE33!$F$7:$F$874,'30 days CF Table(GBP)'!$C$2)</f>
        <v>0</v>
      </c>
      <c r="AZ50" s="380">
        <f>SUMIFS(BS_RE33!$H$7:$H$874,BS_RE33!$S$7:$S$874,$AZ$2,BS_RE33!$N$7:$N$874,I50,BS_RE33!$P$7:$P$874,'30 days CF Table(GBP)'!G50,BS_RE33!$F$7:$F$874,'30 days CF Table(GBP)'!$C$2)</f>
        <v>0</v>
      </c>
      <c r="BA50" s="380">
        <f>SUMIFS(BS_RE33!$H$7:$H$874,BS_RE33!$S$7:$S$874,$BA$2,BS_RE33!$N$7:$N$874,I50,BS_RE33!$P$7:$P$874,'30 days CF Table(GBP)'!G50,BS_RE33!$F$7:$F$874,'30 days CF Table(GBP)'!$C$2)</f>
        <v>0</v>
      </c>
      <c r="BB50" s="380">
        <f>SUMIFS(BS_RE33!$H$7:$H$874,BS_RE33!$S$7:$S$874,$BB$2,BS_RE33!$N$7:$N$874,I50,BS_RE33!$P$7:$P$874,'30 days CF Table(GBP)'!G50,BS_RE33!$F$7:$F$874,'30 days CF Table(GBP)'!$C$2)</f>
        <v>0</v>
      </c>
      <c r="BC50" s="380">
        <f>SUMIFS(BS_RE33!$H$7:$H$874,BS_RE33!$S$7:$S$874,$BC$2,BS_RE33!$N$7:$N$874,I50,BS_RE33!$P$7:$P$874,'30 days CF Table(GBP)'!G50,BS_RE33!$F$7:$F$874,'30 days CF Table(GBP)'!$C$2)</f>
        <v>0</v>
      </c>
      <c r="BD50" s="380">
        <f>SUMIFS(BS_RE33!$H$7:$H$874,BS_RE33!$S$7:$S$874,$BD$2,BS_RE33!$N$7:$N$874,I50,BS_RE33!$P$7:$P$874,'30 days CF Table(GBP)'!G50,BS_RE33!$F$7:$F$874,'30 days CF Table(GBP)'!$C$2)</f>
        <v>0</v>
      </c>
      <c r="BE50" s="380">
        <f>SUMIFS(BS_RE33!$H$7:$H$874,BS_RE33!$S$7:$S$874,$BE$2,BS_RE33!$N$7:$N$874,I50,BS_RE33!$P$7:$P$874,'30 days CF Table(GBP)'!G50,BS_RE33!$F$7:$F$874,'30 days CF Table(GBP)'!$C$2)</f>
        <v>0</v>
      </c>
      <c r="BF50" s="380">
        <f>SUMIFS(BS_RE33!$H$7:$H$874,BS_RE33!$S$7:$S$874,$BF$2,BS_RE33!$N$7:$N$874,I50,BS_RE33!$P$7:$P$874,'30 days CF Table(GBP)'!G50,BS_RE33!$F$7:$F$874,'30 days CF Table(GBP)'!$C$2)</f>
        <v>0</v>
      </c>
      <c r="BG50" s="380">
        <f>SUMIFS(BS_RE33!$H$7:$H$874,BS_RE33!$S$7:$S$874,$BG$2,BS_RE33!$N$7:$N$874,I50,BS_RE33!$P$7:$P$874,'30 days CF Table(GBP)'!G50,BS_RE33!$F$7:$F$874,'30 days CF Table(GBP)'!$C$2)</f>
        <v>0</v>
      </c>
      <c r="BH50" s="380">
        <f>SUMIFS(BS_RE33!$H$7:$H$874,BS_RE33!$S$7:$S$874,$BH$2,BS_RE33!$N$7:$N$874,I50,BS_RE33!$P$7:$P$874,'30 days CF Table(GBP)'!G50,BS_RE33!$F$7:$F$874,'30 days CF Table(GBP)'!$C$2)</f>
        <v>0</v>
      </c>
      <c r="BI50" s="380">
        <f>SUMIFS(BS_RE33!$H$7:$H$874,BS_RE33!$S$7:$S$874,$BI$2,BS_RE33!$N$7:$N$874,I50,BS_RE33!$P$7:$P$874,'30 days CF Table(GBP)'!G50,BS_RE33!$F$7:$F$874,'30 days CF Table(GBP)'!$C$2)</f>
        <v>0</v>
      </c>
      <c r="BJ50" s="380">
        <f>SUMIFS(BS_RE33!$H$7:$H$874,BS_RE33!$S$7:$S$874,$BJ$2,BS_RE33!$N$7:$N$874,I50,BS_RE33!$P$7:$P$874,'30 days CF Table(GBP)'!G50,BS_RE33!$F$7:$F$874,'30 days CF Table(GBP)'!$C$2)</f>
        <v>0</v>
      </c>
      <c r="BK50" s="380">
        <f>SUMIFS(BS_RE33!$H$7:$H$874,BS_RE33!$S$7:$S$874,$BK$2,BS_RE33!$N$7:$N$874,I50,BS_RE33!$P$7:$P$874,'30 days CF Table(GBP)'!G50,BS_RE33!$F$7:$F$874,'30 days CF Table(GBP)'!$C$2)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Table(GBP)'!G51,BS_RE33!$F$7:$F$874,'30 days CF Table(GBP)'!$C$2)</f>
        <v>0</v>
      </c>
      <c r="M51" s="548">
        <f>SUMIFS(BS_RE33!$H$7:$H$874,BS_RE33!$S$7:$S$874,$M$2,BS_RE33!$N$7:$N$874,I51,BS_RE33!$P$7:$P$874,'30 days CF Table(GBP)'!G51,BS_RE33!$F$7:$F$874,'30 days CF Table(GBP)'!$C$2)</f>
        <v>0</v>
      </c>
      <c r="N51" s="548">
        <f>SUMIFS(BS_RE33!$H$7:$H$874,BS_RE33!$S$7:$S$874,$N$2,BS_RE33!$N$7:$N$874,I51,BS_RE33!$P$7:$P$874,'30 days CF Table(GBP)'!G51,BS_RE33!$F$7:$F$874,'30 days CF Table(GBP)'!$C$2)</f>
        <v>0</v>
      </c>
      <c r="O51" s="548">
        <f>SUMIFS(BS_RE33!$H$7:$H$874,BS_RE33!$S$7:$S$874,$O$2,BS_RE33!$N$7:$N$874,I51,BS_RE33!$P$7:$P$874,'30 days CF Table(GBP)'!G51,BS_RE33!$F$7:$F$874,'30 days CF Table(GBP)'!$C$2)</f>
        <v>0</v>
      </c>
      <c r="P51" s="548">
        <f>SUMIFS(BS_RE33!$H$7:$H$874,BS_RE33!$S$7:$S$874,$P$2,BS_RE33!$N$7:$N$874,I51,BS_RE33!$P$7:$P$874,'30 days CF Table(GBP)'!G51,BS_RE33!$F$7:$F$874,'30 days CF Table(GBP)'!$C$2)</f>
        <v>0</v>
      </c>
      <c r="Q51" s="548">
        <f>SUMIFS(BS_RE33!$H$7:$H$874,BS_RE33!$S$7:$S$874,$Q$2,BS_RE33!$N$7:$N$874,I51,BS_RE33!$P$7:$P$874,'30 days CF Table(GBP)'!G51,BS_RE33!$F$7:$F$874,'30 days CF Table(GBP)'!$C$2)</f>
        <v>0</v>
      </c>
      <c r="R51" s="548">
        <f>SUMIFS(BS_RE33!$H$7:$H$874,BS_RE33!$S$7:$S$874,$R$2,BS_RE33!$N$7:$N$874,I51,BS_RE33!$P$7:$P$874,'30 days CF Table(GBP)'!G51,BS_RE33!$F$7:$F$874,'30 days CF Table(GBP)'!$C$2)</f>
        <v>0</v>
      </c>
      <c r="S51" s="548">
        <f>SUMIFS(BS_RE33!$H$7:$H$874,BS_RE33!$S$7:$S$874,$S$2,BS_RE33!$N$7:$N$874,I51,BS_RE33!$P$7:$P$874,'30 days CF Table(GBP)'!G51,BS_RE33!$F$7:$F$874,'30 days CF Table(GBP)'!$C$2)</f>
        <v>0</v>
      </c>
      <c r="T51" s="548">
        <f>SUMIFS(BS_RE33!$H$7:$H$874,BS_RE33!$S$7:$S$874,$T$2,BS_RE33!$N$7:$N$874,I51,BS_RE33!$P$7:$P$874,'30 days CF Table(GBP)'!G51,BS_RE33!$F$7:$F$874,'30 days CF Table(GBP)'!$C$2)</f>
        <v>0</v>
      </c>
      <c r="U51" s="548">
        <f>SUMIFS(BS_RE33!$H$7:$H$874,BS_RE33!$S$7:$S$874,$U$2,BS_RE33!$N$7:$N$874,I51,BS_RE33!$P$7:$P$874,'30 days CF Table(GBP)'!G51,BS_RE33!$F$7:$F$874,'30 days CF Table(GBP)'!$C$2)</f>
        <v>0</v>
      </c>
      <c r="V51" s="548">
        <f>SUMIFS(BS_RE33!$H$7:$H$874,BS_RE33!$S$7:$S$874,$V$2,BS_RE33!$N$7:$N$874,I51,BS_RE33!$P$7:$P$874,'30 days CF Table(GBP)'!G51,BS_RE33!$F$7:$F$874,'30 days CF Table(GBP)'!$C$2)</f>
        <v>0</v>
      </c>
      <c r="W51" s="548">
        <f>SUMIFS(BS_RE33!$H$7:$H$874,BS_RE33!$S$7:$S$874,$W$2,BS_RE33!$N$7:$N$874,I51,BS_RE33!$P$7:$P$874,'30 days CF Table(GBP)'!G51,BS_RE33!$F$7:$F$874,'30 days CF Table(GBP)'!$C$2)</f>
        <v>0</v>
      </c>
      <c r="X51" s="548">
        <f>SUMIFS(BS_RE33!$H$7:$H$874,BS_RE33!$S$7:$S$874,$X$2,BS_RE33!$N$7:$N$874,I51,BS_RE33!$P$7:$P$874,'30 days CF Table(GBP)'!G51,BS_RE33!$F$7:$F$874,'30 days CF Table(GBP)'!$C$2)</f>
        <v>0</v>
      </c>
      <c r="Y51" s="548">
        <f>SUMIFS(BS_RE33!$H$7:$H$874,BS_RE33!$S$7:$S$874,$Y$2,BS_RE33!$N$7:$N$874,I51,BS_RE33!$P$7:$P$874,'30 days CF Table(GBP)'!G51,BS_RE33!$F$7:$F$874,'30 days CF Table(GBP)'!$C$2)</f>
        <v>0</v>
      </c>
      <c r="Z51" s="548">
        <f>SUMIFS(BS_RE33!$H$7:$H$874,BS_RE33!$S$7:$S$874,$Z$2,BS_RE33!$N$7:$N$874,I51,BS_RE33!$P$7:$P$874,'30 days CF Table(GBP)'!G51,BS_RE33!$F$7:$F$874,'30 days CF Table(GBP)'!$C$2)</f>
        <v>0</v>
      </c>
      <c r="AA51" s="548">
        <f>SUMIFS(BS_RE33!$H$7:$H$874,BS_RE33!$S$7:$S$874,$AA$2,BS_RE33!$N$7:$N$874,I51,BS_RE33!$P$7:$P$874,'30 days CF Table(GBP)'!G51,BS_RE33!$F$7:$F$874,'30 days CF Table(GBP)'!$C$2)</f>
        <v>0</v>
      </c>
      <c r="AB51" s="548">
        <f>SUMIFS(BS_RE33!$H$7:$H$874,BS_RE33!$S$7:$S$874,$AB$2,BS_RE33!$N$7:$N$874,I51,BS_RE33!$P$7:$P$874,'30 days CF Table(GBP)'!G51,BS_RE33!$F$7:$F$874,'30 days CF Table(GBP)'!$C$2)</f>
        <v>0</v>
      </c>
      <c r="AC51" s="548">
        <f>SUMIFS(BS_RE33!$H$7:$H$874,BS_RE33!$S$7:$S$874,$AC$2,BS_RE33!$N$7:$N$874,I51,BS_RE33!$P$7:$P$874,'30 days CF Table(GBP)'!G51,BS_RE33!$F$7:$F$874,'30 days CF Table(GBP)'!$C$2)</f>
        <v>0</v>
      </c>
      <c r="AD51" s="548">
        <f>SUMIFS(BS_RE33!$H$7:$H$874,BS_RE33!$S$7:$S$874,$AD$2,BS_RE33!$N$7:$N$874,I51,BS_RE33!$P$7:$P$874,'30 days CF Table(GBP)'!G51,BS_RE33!$F$7:$F$874,'30 days CF Table(GBP)'!$C$2)</f>
        <v>0</v>
      </c>
      <c r="AE51" s="548">
        <f>SUMIFS(BS_RE33!$H$7:$H$874,BS_RE33!$S$7:$S$874,$AE$2,BS_RE33!$N$7:$N$874,I51,BS_RE33!$P$7:$P$874,'30 days CF Table(GBP)'!G51,BS_RE33!$F$7:$F$874,'30 days CF Table(GBP)'!$C$2)</f>
        <v>0</v>
      </c>
      <c r="AF51" s="548">
        <f>SUMIFS(BS_RE33!$H$7:$H$874,BS_RE33!$S$7:$S$874,$AF$2,BS_RE33!$N$7:$N$874,I51,BS_RE33!$P$7:$P$874,'30 days CF Table(GBP)'!G51,BS_RE33!$F$7:$F$874,'30 days CF Table(GBP)'!$C$2)</f>
        <v>0</v>
      </c>
      <c r="AG51" s="548">
        <f>SUMIFS(BS_RE33!$H$7:$H$874,BS_RE33!$S$7:$S$874,$AG$2,BS_RE33!$N$7:$N$874,I51,BS_RE33!$P$7:$P$874,'30 days CF Table(GBP)'!G51,BS_RE33!$F$7:$F$874,'30 days CF Table(GBP)'!$C$2)</f>
        <v>0</v>
      </c>
      <c r="AH51" s="548">
        <f>SUMIFS(BS_RE33!$H$7:$H$874,BS_RE33!$S$7:$S$874,$AH$2,BS_RE33!$N$7:$N$874,I51,BS_RE33!$P$7:$P$874,'30 days CF Table(GBP)'!G51,BS_RE33!$F$7:$F$874,'30 days CF Table(GBP)'!$C$2)</f>
        <v>0</v>
      </c>
      <c r="AI51" s="548">
        <f>SUMIFS(BS_RE33!$H$7:$H$874,BS_RE33!$S$7:$S$874,$AI$2,BS_RE33!$N$7:$N$874,I51,BS_RE33!$P$7:$P$874,'30 days CF Table(GBP)'!G51,BS_RE33!$F$7:$F$874,'30 days CF Table(GBP)'!$C$2)</f>
        <v>0</v>
      </c>
      <c r="AJ51" s="548">
        <f>SUMIFS(BS_RE33!$H$7:$H$874,BS_RE33!$S$7:$S$874,$AJ$2,BS_RE33!$N$7:$N$874,I51,BS_RE33!$P$7:$P$874,'30 days CF Table(GBP)'!G51,BS_RE33!$F$7:$F$874,'30 days CF Table(GBP)'!$C$2)</f>
        <v>0</v>
      </c>
      <c r="AK51" s="548">
        <f>SUMIFS(BS_RE33!$H$7:$H$874,BS_RE33!$S$7:$S$874,$AK$2,BS_RE33!$N$7:$N$874,I51,BS_RE33!$P$7:$P$874,'30 days CF Table(GBP)'!G51,BS_RE33!$F$7:$F$874,'30 days CF Table(GBP)'!$C$2)</f>
        <v>0</v>
      </c>
      <c r="AL51" s="548">
        <f>SUMIFS(BS_RE33!$H$7:$H$874,BS_RE33!$S$7:$S$874,$AL$2,BS_RE33!$N$7:$N$874,I51,BS_RE33!$P$7:$P$874,'30 days CF Table(GBP)'!G51,BS_RE33!$F$7:$F$874,'30 days CF Table(GBP)'!$C$2)</f>
        <v>0</v>
      </c>
      <c r="AM51" s="548">
        <f>SUMIFS(BS_RE33!$H$7:$H$874,BS_RE33!$S$7:$S$874,$AM$2,BS_RE33!$N$7:$N$874,I51,BS_RE33!$P$7:$P$874,'30 days CF Table(GBP)'!G51,BS_RE33!$F$7:$F$874,'30 days CF Table(GBP)'!$C$2)</f>
        <v>0</v>
      </c>
      <c r="AN51" s="548">
        <f>SUMIFS(BS_RE33!$H$7:$H$874,BS_RE33!$S$7:$S$874,$AN$2,BS_RE33!$N$7:$N$874,I51,BS_RE33!$P$7:$P$874,'30 days CF Table(GBP)'!G51,BS_RE33!$F$7:$F$874,'30 days CF Table(GBP)'!$C$2)</f>
        <v>0</v>
      </c>
      <c r="AO51" s="548">
        <f>SUMIFS(BS_RE33!$H$7:$H$874,BS_RE33!$S$7:$S$874,$AO$2,BS_RE33!$N$7:$N$874,I51,BS_RE33!$P$7:$P$874,'30 days CF Table(GBP)'!G51,BS_RE33!$F$7:$F$874,'30 days CF Table(GBP)'!$C$2)</f>
        <v>0</v>
      </c>
      <c r="AP51" s="549">
        <f>SUMIFS(BS_RE33!$H$7:$H$874,BS_RE33!$S$7:$S$874,$AP$2,BS_RE33!$N$7:$N$874,I51,BS_RE33!$P$7:$P$874,'30 days CF Table(GBP)'!G51,BS_RE33!$F$7:$F$874,'30 days CF Table(GBP)'!$C$2)</f>
        <v>0</v>
      </c>
      <c r="AQ51" s="550"/>
      <c r="AR51" s="380">
        <f>SUMIFS(BS_RE33!$H$7:$H$874,BS_RE33!$S$7:$S$874,$AR$2,BS_RE33!$N$7:$N$874,I51,BS_RE33!$P$7:$P$874,'30 days CF Table(GBP)'!G51,BS_RE33!$F$7:$F$874,'30 days CF Table(GBP)'!$C$2)</f>
        <v>0</v>
      </c>
      <c r="AS51" s="380">
        <f>SUMIFS(BS_RE33!$H$7:$H$874,BS_RE33!$S$7:$S$874,$AS$2,BS_RE33!$N$7:$N$874,I51,BS_RE33!$P$7:$P$874,'30 days CF Table(GBP)'!G51,BS_RE33!$F$7:$F$874,'30 days CF Table(GBP)'!$C$2)</f>
        <v>0</v>
      </c>
      <c r="AT51" s="380">
        <f>SUMIFS(BS_RE33!$H$7:$H$874,BS_RE33!$S$7:$S$874,$AT$2,BS_RE33!$N$7:$N$874,I51,BS_RE33!$P$7:$P$874,'30 days CF Table(GBP)'!G51,BS_RE33!$F$7:$F$874,'30 days CF Table(GBP)'!$C$2)</f>
        <v>0</v>
      </c>
      <c r="AU51" s="380">
        <f>SUMIFS(BS_RE33!$H$7:$H$874,BS_RE33!$S$7:$S$874,$AU$2,BS_RE33!$N$7:$N$874,I51,BS_RE33!$P$7:$P$874,'30 days CF Table(GBP)'!G51,BS_RE33!$F$7:$F$874,'30 days CF Table(GBP)'!$C$2)</f>
        <v>0</v>
      </c>
      <c r="AV51" s="380">
        <f>SUMIFS(BS_RE33!$H$7:$H$874,BS_RE33!$S$7:$S$874,$AV$2,BS_RE33!$N$7:$N$874,I51,BS_RE33!$P$7:$P$874,'30 days CF Table(GBP)'!G51,BS_RE33!$F$7:$F$874,'30 days CF Table(GBP)'!$C$2)</f>
        <v>0</v>
      </c>
      <c r="AW51" s="380">
        <f>SUMIFS(BS_RE33!$H$7:$H$874,BS_RE33!$S$7:$S$874,$AW$2,BS_RE33!$N$7:$N$874,I51,BS_RE33!$P$7:$P$874,'30 days CF Table(GBP)'!G51,BS_RE33!$F$7:$F$874,'30 days CF Table(GBP)'!$C$2)</f>
        <v>0</v>
      </c>
      <c r="AX51" s="380">
        <f>SUMIFS(BS_RE33!$H$7:$H$874,BS_RE33!$S$7:$S$874,$AX$2,BS_RE33!$N$7:$N$874,I51,BS_RE33!$P$7:$P$874,'30 days CF Table(GBP)'!G51,BS_RE33!$F$7:$F$874,'30 days CF Table(GBP)'!$C$2)</f>
        <v>0</v>
      </c>
      <c r="AY51" s="380">
        <f>SUMIFS(BS_RE33!$H$7:$H$874,BS_RE33!$S$7:$S$874,$AY$2,BS_RE33!$N$7:$N$874,I51,BS_RE33!$P$7:$P$874,'30 days CF Table(GBP)'!G51,BS_RE33!$F$7:$F$874,'30 days CF Table(GBP)'!$C$2)</f>
        <v>0</v>
      </c>
      <c r="AZ51" s="380">
        <f>SUMIFS(BS_RE33!$H$7:$H$874,BS_RE33!$S$7:$S$874,$AZ$2,BS_RE33!$N$7:$N$874,I51,BS_RE33!$P$7:$P$874,'30 days CF Table(GBP)'!G51,BS_RE33!$F$7:$F$874,'30 days CF Table(GBP)'!$C$2)</f>
        <v>0</v>
      </c>
      <c r="BA51" s="380">
        <f>SUMIFS(BS_RE33!$H$7:$H$874,BS_RE33!$S$7:$S$874,$BA$2,BS_RE33!$N$7:$N$874,I51,BS_RE33!$P$7:$P$874,'30 days CF Table(GBP)'!G51,BS_RE33!$F$7:$F$874,'30 days CF Table(GBP)'!$C$2)</f>
        <v>0</v>
      </c>
      <c r="BB51" s="380">
        <f>SUMIFS(BS_RE33!$H$7:$H$874,BS_RE33!$S$7:$S$874,$BB$2,BS_RE33!$N$7:$N$874,I51,BS_RE33!$P$7:$P$874,'30 days CF Table(GBP)'!G51,BS_RE33!$F$7:$F$874,'30 days CF Table(GBP)'!$C$2)</f>
        <v>0</v>
      </c>
      <c r="BC51" s="380">
        <f>SUMIFS(BS_RE33!$H$7:$H$874,BS_RE33!$S$7:$S$874,$BC$2,BS_RE33!$N$7:$N$874,I51,BS_RE33!$P$7:$P$874,'30 days CF Table(GBP)'!G51,BS_RE33!$F$7:$F$874,'30 days CF Table(GBP)'!$C$2)</f>
        <v>0</v>
      </c>
      <c r="BD51" s="380">
        <f>SUMIFS(BS_RE33!$H$7:$H$874,BS_RE33!$S$7:$S$874,$BD$2,BS_RE33!$N$7:$N$874,I51,BS_RE33!$P$7:$P$874,'30 days CF Table(GBP)'!G51,BS_RE33!$F$7:$F$874,'30 days CF Table(GBP)'!$C$2)</f>
        <v>0</v>
      </c>
      <c r="BE51" s="380">
        <f>SUMIFS(BS_RE33!$H$7:$H$874,BS_RE33!$S$7:$S$874,$BE$2,BS_RE33!$N$7:$N$874,I51,BS_RE33!$P$7:$P$874,'30 days CF Table(GBP)'!G51,BS_RE33!$F$7:$F$874,'30 days CF Table(GBP)'!$C$2)</f>
        <v>0</v>
      </c>
      <c r="BF51" s="380">
        <f>SUMIFS(BS_RE33!$H$7:$H$874,BS_RE33!$S$7:$S$874,$BF$2,BS_RE33!$N$7:$N$874,I51,BS_RE33!$P$7:$P$874,'30 days CF Table(GBP)'!G51,BS_RE33!$F$7:$F$874,'30 days CF Table(GBP)'!$C$2)</f>
        <v>0</v>
      </c>
      <c r="BG51" s="380">
        <f>SUMIFS(BS_RE33!$H$7:$H$874,BS_RE33!$S$7:$S$874,$BG$2,BS_RE33!$N$7:$N$874,I51,BS_RE33!$P$7:$P$874,'30 days CF Table(GBP)'!G51,BS_RE33!$F$7:$F$874,'30 days CF Table(GBP)'!$C$2)</f>
        <v>0</v>
      </c>
      <c r="BH51" s="380">
        <f>SUMIFS(BS_RE33!$H$7:$H$874,BS_RE33!$S$7:$S$874,$BH$2,BS_RE33!$N$7:$N$874,I51,BS_RE33!$P$7:$P$874,'30 days CF Table(GBP)'!G51,BS_RE33!$F$7:$F$874,'30 days CF Table(GBP)'!$C$2)</f>
        <v>0</v>
      </c>
      <c r="BI51" s="380">
        <f>SUMIFS(BS_RE33!$H$7:$H$874,BS_RE33!$S$7:$S$874,$BI$2,BS_RE33!$N$7:$N$874,I51,BS_RE33!$P$7:$P$874,'30 days CF Table(GBP)'!G51,BS_RE33!$F$7:$F$874,'30 days CF Table(GBP)'!$C$2)</f>
        <v>0</v>
      </c>
      <c r="BJ51" s="380">
        <f>SUMIFS(BS_RE33!$H$7:$H$874,BS_RE33!$S$7:$S$874,$BJ$2,BS_RE33!$N$7:$N$874,I51,BS_RE33!$P$7:$P$874,'30 days CF Table(GBP)'!G51,BS_RE33!$F$7:$F$874,'30 days CF Table(GBP)'!$C$2)</f>
        <v>0</v>
      </c>
      <c r="BK51" s="380">
        <f>SUMIFS(BS_RE33!$H$7:$H$874,BS_RE33!$S$7:$S$874,$BK$2,BS_RE33!$N$7:$N$874,I51,BS_RE33!$P$7:$P$874,'30 days CF Table(GBP)'!G51,BS_RE33!$F$7:$F$874,'30 days CF Table(GBP)'!$C$2)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Table(GBP)'!G52,BS_RE33!$F$7:$F$874,'30 days CF Table(GBP)'!$C$2)</f>
        <v>0</v>
      </c>
      <c r="M52" s="337">
        <f>SUMIFS(BS_RE33!$H$7:$H$874,BS_RE33!$S$7:$S$874,$M$2,BS_RE33!$N$7:$N$874,I52,BS_RE33!$P$7:$P$874,'30 days CF Table(GBP)'!G52,BS_RE33!$F$7:$F$874,'30 days CF Table(GBP)'!$C$2)</f>
        <v>0</v>
      </c>
      <c r="N52" s="337">
        <f>SUMIFS(BS_RE33!$H$7:$H$874,BS_RE33!$S$7:$S$874,$N$2,BS_RE33!$N$7:$N$874,I52,BS_RE33!$P$7:$P$874,'30 days CF Table(GBP)'!G52,BS_RE33!$F$7:$F$874,'30 days CF Table(GBP)'!$C$2)</f>
        <v>0</v>
      </c>
      <c r="O52" s="337">
        <f>SUMIFS(BS_RE33!$H$7:$H$874,BS_RE33!$S$7:$S$874,$O$2,BS_RE33!$N$7:$N$874,I52,BS_RE33!$P$7:$P$874,'30 days CF Table(GBP)'!G52,BS_RE33!$F$7:$F$874,'30 days CF Table(GBP)'!$C$2)</f>
        <v>0</v>
      </c>
      <c r="P52" s="337">
        <f>SUMIFS(BS_RE33!$H$7:$H$874,BS_RE33!$S$7:$S$874,$P$2,BS_RE33!$N$7:$N$874,I52,BS_RE33!$P$7:$P$874,'30 days CF Table(GBP)'!G52,BS_RE33!$F$7:$F$874,'30 days CF Table(GBP)'!$C$2)</f>
        <v>0</v>
      </c>
      <c r="Q52" s="337">
        <f>SUMIFS(BS_RE33!$H$7:$H$874,BS_RE33!$S$7:$S$874,$Q$2,BS_RE33!$N$7:$N$874,I52,BS_RE33!$P$7:$P$874,'30 days CF Table(GBP)'!G52,BS_RE33!$F$7:$F$874,'30 days CF Table(GBP)'!$C$2)</f>
        <v>0</v>
      </c>
      <c r="R52" s="337">
        <f>SUMIFS(BS_RE33!$H$7:$H$874,BS_RE33!$S$7:$S$874,$R$2,BS_RE33!$N$7:$N$874,I52,BS_RE33!$P$7:$P$874,'30 days CF Table(GBP)'!G52,BS_RE33!$F$7:$F$874,'30 days CF Table(GBP)'!$C$2)</f>
        <v>0</v>
      </c>
      <c r="S52" s="337">
        <f>SUMIFS(BS_RE33!$H$7:$H$874,BS_RE33!$S$7:$S$874,$S$2,BS_RE33!$N$7:$N$874,I52,BS_RE33!$P$7:$P$874,'30 days CF Table(GBP)'!G52,BS_RE33!$F$7:$F$874,'30 days CF Table(GBP)'!$C$2)</f>
        <v>0</v>
      </c>
      <c r="T52" s="337">
        <f>SUMIFS(BS_RE33!$H$7:$H$874,BS_RE33!$S$7:$S$874,$T$2,BS_RE33!$N$7:$N$874,I52,BS_RE33!$P$7:$P$874,'30 days CF Table(GBP)'!G52,BS_RE33!$F$7:$F$874,'30 days CF Table(GBP)'!$C$2)</f>
        <v>0</v>
      </c>
      <c r="U52" s="337">
        <f>SUMIFS(BS_RE33!$H$7:$H$874,BS_RE33!$S$7:$S$874,$U$2,BS_RE33!$N$7:$N$874,I52,BS_RE33!$P$7:$P$874,'30 days CF Table(GBP)'!G52,BS_RE33!$F$7:$F$874,'30 days CF Table(GBP)'!$C$2)</f>
        <v>0</v>
      </c>
      <c r="V52" s="337">
        <f>SUMIFS(BS_RE33!$H$7:$H$874,BS_RE33!$S$7:$S$874,$V$2,BS_RE33!$N$7:$N$874,I52,BS_RE33!$P$7:$P$874,'30 days CF Table(GBP)'!G52,BS_RE33!$F$7:$F$874,'30 days CF Table(GBP)'!$C$2)</f>
        <v>0</v>
      </c>
      <c r="W52" s="337">
        <f>SUMIFS(BS_RE33!$H$7:$H$874,BS_RE33!$S$7:$S$874,$W$2,BS_RE33!$N$7:$N$874,I52,BS_RE33!$P$7:$P$874,'30 days CF Table(GBP)'!G52,BS_RE33!$F$7:$F$874,'30 days CF Table(GBP)'!$C$2)</f>
        <v>0</v>
      </c>
      <c r="X52" s="337">
        <f>SUMIFS(BS_RE33!$H$7:$H$874,BS_RE33!$S$7:$S$874,$X$2,BS_RE33!$N$7:$N$874,I52,BS_RE33!$P$7:$P$874,'30 days CF Table(GBP)'!G52,BS_RE33!$F$7:$F$874,'30 days CF Table(GBP)'!$C$2)</f>
        <v>0</v>
      </c>
      <c r="Y52" s="337">
        <f>SUMIFS(BS_RE33!$H$7:$H$874,BS_RE33!$S$7:$S$874,$Y$2,BS_RE33!$N$7:$N$874,I52,BS_RE33!$P$7:$P$874,'30 days CF Table(GBP)'!G52,BS_RE33!$F$7:$F$874,'30 days CF Table(GBP)'!$C$2)</f>
        <v>0</v>
      </c>
      <c r="Z52" s="337">
        <f>SUMIFS(BS_RE33!$H$7:$H$874,BS_RE33!$S$7:$S$874,$Z$2,BS_RE33!$N$7:$N$874,I52,BS_RE33!$P$7:$P$874,'30 days CF Table(GBP)'!G52,BS_RE33!$F$7:$F$874,'30 days CF Table(GBP)'!$C$2)</f>
        <v>0</v>
      </c>
      <c r="AA52" s="337">
        <f>SUMIFS(BS_RE33!$H$7:$H$874,BS_RE33!$S$7:$S$874,$AA$2,BS_RE33!$N$7:$N$874,I52,BS_RE33!$P$7:$P$874,'30 days CF Table(GBP)'!G52,BS_RE33!$F$7:$F$874,'30 days CF Table(GBP)'!$C$2)</f>
        <v>0</v>
      </c>
      <c r="AB52" s="337">
        <f>SUMIFS(BS_RE33!$H$7:$H$874,BS_RE33!$S$7:$S$874,$AB$2,BS_RE33!$N$7:$N$874,I52,BS_RE33!$P$7:$P$874,'30 days CF Table(GBP)'!G52,BS_RE33!$F$7:$F$874,'30 days CF Table(GBP)'!$C$2)</f>
        <v>0</v>
      </c>
      <c r="AC52" s="337">
        <f>SUMIFS(BS_RE33!$H$7:$H$874,BS_RE33!$S$7:$S$874,$AC$2,BS_RE33!$N$7:$N$874,I52,BS_RE33!$P$7:$P$874,'30 days CF Table(GBP)'!G52,BS_RE33!$F$7:$F$874,'30 days CF Table(GBP)'!$C$2)</f>
        <v>0</v>
      </c>
      <c r="AD52" s="337">
        <f>SUMIFS(BS_RE33!$H$7:$H$874,BS_RE33!$S$7:$S$874,$AD$2,BS_RE33!$N$7:$N$874,I52,BS_RE33!$P$7:$P$874,'30 days CF Table(GBP)'!G52,BS_RE33!$F$7:$F$874,'30 days CF Table(GBP)'!$C$2)</f>
        <v>0</v>
      </c>
      <c r="AE52" s="337">
        <f>SUMIFS(BS_RE33!$H$7:$H$874,BS_RE33!$S$7:$S$874,$AE$2,BS_RE33!$N$7:$N$874,I52,BS_RE33!$P$7:$P$874,'30 days CF Table(GBP)'!G52,BS_RE33!$F$7:$F$874,'30 days CF Table(GBP)'!$C$2)</f>
        <v>0</v>
      </c>
      <c r="AF52" s="337">
        <f>SUMIFS(BS_RE33!$H$7:$H$874,BS_RE33!$S$7:$S$874,$AF$2,BS_RE33!$N$7:$N$874,I52,BS_RE33!$P$7:$P$874,'30 days CF Table(GBP)'!G52,BS_RE33!$F$7:$F$874,'30 days CF Table(GBP)'!$C$2)</f>
        <v>0</v>
      </c>
      <c r="AG52" s="337">
        <f>SUMIFS(BS_RE33!$H$7:$H$874,BS_RE33!$S$7:$S$874,$AG$2,BS_RE33!$N$7:$N$874,I52,BS_RE33!$P$7:$P$874,'30 days CF Table(GBP)'!G52,BS_RE33!$F$7:$F$874,'30 days CF Table(GBP)'!$C$2)</f>
        <v>0</v>
      </c>
      <c r="AH52" s="337">
        <f>SUMIFS(BS_RE33!$H$7:$H$874,BS_RE33!$S$7:$S$874,$AH$2,BS_RE33!$N$7:$N$874,I52,BS_RE33!$P$7:$P$874,'30 days CF Table(GBP)'!G52,BS_RE33!$F$7:$F$874,'30 days CF Table(GBP)'!$C$2)</f>
        <v>0</v>
      </c>
      <c r="AI52" s="337">
        <f>SUMIFS(BS_RE33!$H$7:$H$874,BS_RE33!$S$7:$S$874,$AI$2,BS_RE33!$N$7:$N$874,I52,BS_RE33!$P$7:$P$874,'30 days CF Table(GBP)'!G52,BS_RE33!$F$7:$F$874,'30 days CF Table(GBP)'!$C$2)</f>
        <v>0</v>
      </c>
      <c r="AJ52" s="337">
        <f>SUMIFS(BS_RE33!$H$7:$H$874,BS_RE33!$S$7:$S$874,$AJ$2,BS_RE33!$N$7:$N$874,I52,BS_RE33!$P$7:$P$874,'30 days CF Table(GBP)'!G52,BS_RE33!$F$7:$F$874,'30 days CF Table(GBP)'!$C$2)</f>
        <v>0</v>
      </c>
      <c r="AK52" s="337">
        <f>SUMIFS(BS_RE33!$H$7:$H$874,BS_RE33!$S$7:$S$874,$AK$2,BS_RE33!$N$7:$N$874,I52,BS_RE33!$P$7:$P$874,'30 days CF Table(GBP)'!G52,BS_RE33!$F$7:$F$874,'30 days CF Table(GBP)'!$C$2)</f>
        <v>0</v>
      </c>
      <c r="AL52" s="337">
        <f>SUMIFS(BS_RE33!$H$7:$H$874,BS_RE33!$S$7:$S$874,$AL$2,BS_RE33!$N$7:$N$874,I52,BS_RE33!$P$7:$P$874,'30 days CF Table(GBP)'!G52,BS_RE33!$F$7:$F$874,'30 days CF Table(GBP)'!$C$2)</f>
        <v>0</v>
      </c>
      <c r="AM52" s="337">
        <f>SUMIFS(BS_RE33!$H$7:$H$874,BS_RE33!$S$7:$S$874,$AM$2,BS_RE33!$N$7:$N$874,I52,BS_RE33!$P$7:$P$874,'30 days CF Table(GBP)'!G52,BS_RE33!$F$7:$F$874,'30 days CF Table(GBP)'!$C$2)</f>
        <v>0</v>
      </c>
      <c r="AN52" s="337">
        <f>SUMIFS(BS_RE33!$H$7:$H$874,BS_RE33!$S$7:$S$874,$AN$2,BS_RE33!$N$7:$N$874,I52,BS_RE33!$P$7:$P$874,'30 days CF Table(GBP)'!G52,BS_RE33!$F$7:$F$874,'30 days CF Table(GBP)'!$C$2)</f>
        <v>0</v>
      </c>
      <c r="AO52" s="337">
        <f>SUMIFS(BS_RE33!$H$7:$H$874,BS_RE33!$S$7:$S$874,$AO$2,BS_RE33!$N$7:$N$874,I52,BS_RE33!$P$7:$P$874,'30 days CF Table(GBP)'!G52,BS_RE33!$F$7:$F$874,'30 days CF Table(GBP)'!$C$2)</f>
        <v>0</v>
      </c>
      <c r="AP52" s="338">
        <f>SUMIFS(BS_RE33!$H$7:$H$874,BS_RE33!$S$7:$S$874,$AP$2,BS_RE33!$N$7:$N$874,I52,BS_RE33!$P$7:$P$874,'30 days CF Table(GBP)'!G52,BS_RE33!$F$7:$F$874,'30 days CF Table(GBP)'!$C$2)</f>
        <v>0</v>
      </c>
      <c r="AR52" s="379">
        <f>SUMIFS(BS_RE33!$H$7:$H$874,BS_RE33!$S$7:$S$874,$AR$2,BS_RE33!$N$7:$N$874,I52,BS_RE33!$P$7:$P$874,'30 days CF Table(GBP)'!G52,BS_RE33!$F$7:$F$874,'30 days CF Table(GBP)'!$C$2)</f>
        <v>0</v>
      </c>
      <c r="AS52" s="379">
        <f>SUMIFS(BS_RE33!$H$7:$H$874,BS_RE33!$S$7:$S$874,$AS$2,BS_RE33!$N$7:$N$874,I52,BS_RE33!$P$7:$P$874,'30 days CF Table(GBP)'!G52,BS_RE33!$F$7:$F$874,'30 days CF Table(GBP)'!$C$2)</f>
        <v>0</v>
      </c>
      <c r="AT52" s="379">
        <f>SUMIFS(BS_RE33!$H$7:$H$874,BS_RE33!$S$7:$S$874,$AT$2,BS_RE33!$N$7:$N$874,I52,BS_RE33!$P$7:$P$874,'30 days CF Table(GBP)'!G52,BS_RE33!$F$7:$F$874,'30 days CF Table(GBP)'!$C$2)</f>
        <v>0</v>
      </c>
      <c r="AU52" s="379">
        <f>SUMIFS(BS_RE33!$H$7:$H$874,BS_RE33!$S$7:$S$874,$AU$2,BS_RE33!$N$7:$N$874,I52,BS_RE33!$P$7:$P$874,'30 days CF Table(GBP)'!G52,BS_RE33!$F$7:$F$874,'30 days CF Table(GBP)'!$C$2)</f>
        <v>0</v>
      </c>
      <c r="AV52" s="379">
        <f>SUMIFS(BS_RE33!$H$7:$H$874,BS_RE33!$S$7:$S$874,$AV$2,BS_RE33!$N$7:$N$874,I52,BS_RE33!$P$7:$P$874,'30 days CF Table(GBP)'!G52,BS_RE33!$F$7:$F$874,'30 days CF Table(GBP)'!$C$2)</f>
        <v>0</v>
      </c>
      <c r="AW52" s="379">
        <f>SUMIFS(BS_RE33!$H$7:$H$874,BS_RE33!$S$7:$S$874,$AW$2,BS_RE33!$N$7:$N$874,I52,BS_RE33!$P$7:$P$874,'30 days CF Table(GBP)'!G52,BS_RE33!$F$7:$F$874,'30 days CF Table(GBP)'!$C$2)</f>
        <v>0</v>
      </c>
      <c r="AX52" s="379">
        <f>SUMIFS(BS_RE33!$H$7:$H$874,BS_RE33!$S$7:$S$874,$AX$2,BS_RE33!$N$7:$N$874,I52,BS_RE33!$P$7:$P$874,'30 days CF Table(GBP)'!G52,BS_RE33!$F$7:$F$874,'30 days CF Table(GBP)'!$C$2)</f>
        <v>0</v>
      </c>
      <c r="AY52" s="379">
        <f>SUMIFS(BS_RE33!$H$7:$H$874,BS_RE33!$S$7:$S$874,$AY$2,BS_RE33!$N$7:$N$874,I52,BS_RE33!$P$7:$P$874,'30 days CF Table(GBP)'!G52,BS_RE33!$F$7:$F$874,'30 days CF Table(GBP)'!$C$2)</f>
        <v>0</v>
      </c>
      <c r="AZ52" s="379">
        <f>SUMIFS(BS_RE33!$H$7:$H$874,BS_RE33!$S$7:$S$874,$AZ$2,BS_RE33!$N$7:$N$874,I52,BS_RE33!$P$7:$P$874,'30 days CF Table(GBP)'!G52,BS_RE33!$F$7:$F$874,'30 days CF Table(GBP)'!$C$2)</f>
        <v>0</v>
      </c>
      <c r="BA52" s="379">
        <f>SUMIFS(BS_RE33!$H$7:$H$874,BS_RE33!$S$7:$S$874,$BA$2,BS_RE33!$N$7:$N$874,I52,BS_RE33!$P$7:$P$874,'30 days CF Table(GBP)'!G52,BS_RE33!$F$7:$F$874,'30 days CF Table(GBP)'!$C$2)</f>
        <v>0</v>
      </c>
      <c r="BB52" s="379">
        <f>SUMIFS(BS_RE33!$H$7:$H$874,BS_RE33!$S$7:$S$874,$BB$2,BS_RE33!$N$7:$N$874,I52,BS_RE33!$P$7:$P$874,'30 days CF Table(GBP)'!G52,BS_RE33!$F$7:$F$874,'30 days CF Table(GBP)'!$C$2)</f>
        <v>0</v>
      </c>
      <c r="BC52" s="379">
        <f>SUMIFS(BS_RE33!$H$7:$H$874,BS_RE33!$S$7:$S$874,$BC$2,BS_RE33!$N$7:$N$874,I52,BS_RE33!$P$7:$P$874,'30 days CF Table(GBP)'!G52,BS_RE33!$F$7:$F$874,'30 days CF Table(GBP)'!$C$2)</f>
        <v>0</v>
      </c>
      <c r="BD52" s="379">
        <f>SUMIFS(BS_RE33!$H$7:$H$874,BS_RE33!$S$7:$S$874,$BD$2,BS_RE33!$N$7:$N$874,I52,BS_RE33!$P$7:$P$874,'30 days CF Table(GBP)'!G52,BS_RE33!$F$7:$F$874,'30 days CF Table(GBP)'!$C$2)</f>
        <v>0</v>
      </c>
      <c r="BE52" s="379">
        <f>SUMIFS(BS_RE33!$H$7:$H$874,BS_RE33!$S$7:$S$874,$BE$2,BS_RE33!$N$7:$N$874,I52,BS_RE33!$P$7:$P$874,'30 days CF Table(GBP)'!G52,BS_RE33!$F$7:$F$874,'30 days CF Table(GBP)'!$C$2)</f>
        <v>0</v>
      </c>
      <c r="BF52" s="379">
        <f>SUMIFS(BS_RE33!$H$7:$H$874,BS_RE33!$S$7:$S$874,$BF$2,BS_RE33!$N$7:$N$874,I52,BS_RE33!$P$7:$P$874,'30 days CF Table(GBP)'!G52,BS_RE33!$F$7:$F$874,'30 days CF Table(GBP)'!$C$2)</f>
        <v>0</v>
      </c>
      <c r="BG52" s="379">
        <f>SUMIFS(BS_RE33!$H$7:$H$874,BS_RE33!$S$7:$S$874,$BG$2,BS_RE33!$N$7:$N$874,I52,BS_RE33!$P$7:$P$874,'30 days CF Table(GBP)'!G52,BS_RE33!$F$7:$F$874,'30 days CF Table(GBP)'!$C$2)</f>
        <v>0</v>
      </c>
      <c r="BH52" s="379">
        <f>SUMIFS(BS_RE33!$H$7:$H$874,BS_RE33!$S$7:$S$874,$BH$2,BS_RE33!$N$7:$N$874,I52,BS_RE33!$P$7:$P$874,'30 days CF Table(GBP)'!G52,BS_RE33!$F$7:$F$874,'30 days CF Table(GBP)'!$C$2)</f>
        <v>0</v>
      </c>
      <c r="BI52" s="379">
        <f>SUMIFS(BS_RE33!$H$7:$H$874,BS_RE33!$S$7:$S$874,$BI$2,BS_RE33!$N$7:$N$874,I52,BS_RE33!$P$7:$P$874,'30 days CF Table(GBP)'!G52,BS_RE33!$F$7:$F$874,'30 days CF Table(GBP)'!$C$2)</f>
        <v>0</v>
      </c>
      <c r="BJ52" s="379">
        <f>SUMIFS(BS_RE33!$H$7:$H$874,BS_RE33!$S$7:$S$874,$BJ$2,BS_RE33!$N$7:$N$874,I52,BS_RE33!$P$7:$P$874,'30 days CF Table(GBP)'!G52,BS_RE33!$F$7:$F$874,'30 days CF Table(GBP)'!$C$2)</f>
        <v>0</v>
      </c>
      <c r="BK52" s="379">
        <f>SUMIFS(BS_RE33!$H$7:$H$874,BS_RE33!$S$7:$S$874,$BK$2,BS_RE33!$N$7:$N$874,I52,BS_RE33!$P$7:$P$874,'30 days CF Table(GBP)'!G52,BS_RE33!$F$7:$F$874,'30 days CF Table(GBP)'!$C$2)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Table(GBP)'!G53,BS_RE33!$F$7:$F$874,'30 days CF Table(GBP)'!$C$2)</f>
        <v>0</v>
      </c>
      <c r="M53" s="337">
        <f>SUMIFS(BS_RE33!$H$7:$H$874,BS_RE33!$S$7:$S$874,$M$2,BS_RE33!$N$7:$N$874,I53,BS_RE33!$P$7:$P$874,'30 days CF Table(GBP)'!G53,BS_RE33!$F$7:$F$874,'30 days CF Table(GBP)'!$C$2)</f>
        <v>0</v>
      </c>
      <c r="N53" s="337">
        <f>SUMIFS(BS_RE33!$H$7:$H$874,BS_RE33!$S$7:$S$874,$N$2,BS_RE33!$N$7:$N$874,I53,BS_RE33!$P$7:$P$874,'30 days CF Table(GBP)'!G53,BS_RE33!$F$7:$F$874,'30 days CF Table(GBP)'!$C$2)</f>
        <v>0</v>
      </c>
      <c r="O53" s="337">
        <f>SUMIFS(BS_RE33!$H$7:$H$874,BS_RE33!$S$7:$S$874,$O$2,BS_RE33!$N$7:$N$874,I53,BS_RE33!$P$7:$P$874,'30 days CF Table(GBP)'!G53,BS_RE33!$F$7:$F$874,'30 days CF Table(GBP)'!$C$2)</f>
        <v>0</v>
      </c>
      <c r="P53" s="337">
        <f>SUMIFS(BS_RE33!$H$7:$H$874,BS_RE33!$S$7:$S$874,$P$2,BS_RE33!$N$7:$N$874,I53,BS_RE33!$P$7:$P$874,'30 days CF Table(GBP)'!G53,BS_RE33!$F$7:$F$874,'30 days CF Table(GBP)'!$C$2)</f>
        <v>0</v>
      </c>
      <c r="Q53" s="337">
        <f>SUMIFS(BS_RE33!$H$7:$H$874,BS_RE33!$S$7:$S$874,$Q$2,BS_RE33!$N$7:$N$874,I53,BS_RE33!$P$7:$P$874,'30 days CF Table(GBP)'!G53,BS_RE33!$F$7:$F$874,'30 days CF Table(GBP)'!$C$2)</f>
        <v>0</v>
      </c>
      <c r="R53" s="337">
        <f>SUMIFS(BS_RE33!$H$7:$H$874,BS_RE33!$S$7:$S$874,$R$2,BS_RE33!$N$7:$N$874,I53,BS_RE33!$P$7:$P$874,'30 days CF Table(GBP)'!G53,BS_RE33!$F$7:$F$874,'30 days CF Table(GBP)'!$C$2)</f>
        <v>0</v>
      </c>
      <c r="S53" s="337">
        <f>SUMIFS(BS_RE33!$H$7:$H$874,BS_RE33!$S$7:$S$874,$S$2,BS_RE33!$N$7:$N$874,I53,BS_RE33!$P$7:$P$874,'30 days CF Table(GBP)'!G53,BS_RE33!$F$7:$F$874,'30 days CF Table(GBP)'!$C$2)</f>
        <v>0</v>
      </c>
      <c r="T53" s="337">
        <f>SUMIFS(BS_RE33!$H$7:$H$874,BS_RE33!$S$7:$S$874,$T$2,BS_RE33!$N$7:$N$874,I53,BS_RE33!$P$7:$P$874,'30 days CF Table(GBP)'!G53,BS_RE33!$F$7:$F$874,'30 days CF Table(GBP)'!$C$2)</f>
        <v>0</v>
      </c>
      <c r="U53" s="337">
        <f>SUMIFS(BS_RE33!$H$7:$H$874,BS_RE33!$S$7:$S$874,$U$2,BS_RE33!$N$7:$N$874,I53,BS_RE33!$P$7:$P$874,'30 days CF Table(GBP)'!G53,BS_RE33!$F$7:$F$874,'30 days CF Table(GBP)'!$C$2)</f>
        <v>0</v>
      </c>
      <c r="V53" s="337">
        <f>SUMIFS(BS_RE33!$H$7:$H$874,BS_RE33!$S$7:$S$874,$V$2,BS_RE33!$N$7:$N$874,I53,BS_RE33!$P$7:$P$874,'30 days CF Table(GBP)'!G53,BS_RE33!$F$7:$F$874,'30 days CF Table(GBP)'!$C$2)</f>
        <v>0</v>
      </c>
      <c r="W53" s="337">
        <f>SUMIFS(BS_RE33!$H$7:$H$874,BS_RE33!$S$7:$S$874,$W$2,BS_RE33!$N$7:$N$874,I53,BS_RE33!$P$7:$P$874,'30 days CF Table(GBP)'!G53,BS_RE33!$F$7:$F$874,'30 days CF Table(GBP)'!$C$2)</f>
        <v>0</v>
      </c>
      <c r="X53" s="337">
        <f>SUMIFS(BS_RE33!$H$7:$H$874,BS_RE33!$S$7:$S$874,$X$2,BS_RE33!$N$7:$N$874,I53,BS_RE33!$P$7:$P$874,'30 days CF Table(GBP)'!G53,BS_RE33!$F$7:$F$874,'30 days CF Table(GBP)'!$C$2)</f>
        <v>0</v>
      </c>
      <c r="Y53" s="337">
        <f>SUMIFS(BS_RE33!$H$7:$H$874,BS_RE33!$S$7:$S$874,$Y$2,BS_RE33!$N$7:$N$874,I53,BS_RE33!$P$7:$P$874,'30 days CF Table(GBP)'!G53,BS_RE33!$F$7:$F$874,'30 days CF Table(GBP)'!$C$2)</f>
        <v>0</v>
      </c>
      <c r="Z53" s="337">
        <f>SUMIFS(BS_RE33!$H$7:$H$874,BS_RE33!$S$7:$S$874,$Z$2,BS_RE33!$N$7:$N$874,I53,BS_RE33!$P$7:$P$874,'30 days CF Table(GBP)'!G53,BS_RE33!$F$7:$F$874,'30 days CF Table(GBP)'!$C$2)</f>
        <v>0</v>
      </c>
      <c r="AA53" s="337">
        <f>SUMIFS(BS_RE33!$H$7:$H$874,BS_RE33!$S$7:$S$874,$AA$2,BS_RE33!$N$7:$N$874,I53,BS_RE33!$P$7:$P$874,'30 days CF Table(GBP)'!G53,BS_RE33!$F$7:$F$874,'30 days CF Table(GBP)'!$C$2)</f>
        <v>0</v>
      </c>
      <c r="AB53" s="337">
        <f>SUMIFS(BS_RE33!$H$7:$H$874,BS_RE33!$S$7:$S$874,$AB$2,BS_RE33!$N$7:$N$874,I53,BS_RE33!$P$7:$P$874,'30 days CF Table(GBP)'!G53,BS_RE33!$F$7:$F$874,'30 days CF Table(GBP)'!$C$2)</f>
        <v>0</v>
      </c>
      <c r="AC53" s="337">
        <f>SUMIFS(BS_RE33!$H$7:$H$874,BS_RE33!$S$7:$S$874,$AC$2,BS_RE33!$N$7:$N$874,I53,BS_RE33!$P$7:$P$874,'30 days CF Table(GBP)'!G53,BS_RE33!$F$7:$F$874,'30 days CF Table(GBP)'!$C$2)</f>
        <v>0</v>
      </c>
      <c r="AD53" s="337">
        <f>SUMIFS(BS_RE33!$H$7:$H$874,BS_RE33!$S$7:$S$874,$AD$2,BS_RE33!$N$7:$N$874,I53,BS_RE33!$P$7:$P$874,'30 days CF Table(GBP)'!G53,BS_RE33!$F$7:$F$874,'30 days CF Table(GBP)'!$C$2)</f>
        <v>0</v>
      </c>
      <c r="AE53" s="337">
        <f>SUMIFS(BS_RE33!$H$7:$H$874,BS_RE33!$S$7:$S$874,$AE$2,BS_RE33!$N$7:$N$874,I53,BS_RE33!$P$7:$P$874,'30 days CF Table(GBP)'!G53,BS_RE33!$F$7:$F$874,'30 days CF Table(GBP)'!$C$2)</f>
        <v>0</v>
      </c>
      <c r="AF53" s="337">
        <f>SUMIFS(BS_RE33!$H$7:$H$874,BS_RE33!$S$7:$S$874,$AF$2,BS_RE33!$N$7:$N$874,I53,BS_RE33!$P$7:$P$874,'30 days CF Table(GBP)'!G53,BS_RE33!$F$7:$F$874,'30 days CF Table(GBP)'!$C$2)</f>
        <v>0</v>
      </c>
      <c r="AG53" s="337">
        <f>SUMIFS(BS_RE33!$H$7:$H$874,BS_RE33!$S$7:$S$874,$AG$2,BS_RE33!$N$7:$N$874,I53,BS_RE33!$P$7:$P$874,'30 days CF Table(GBP)'!G53,BS_RE33!$F$7:$F$874,'30 days CF Table(GBP)'!$C$2)</f>
        <v>0</v>
      </c>
      <c r="AH53" s="337">
        <f>SUMIFS(BS_RE33!$H$7:$H$874,BS_RE33!$S$7:$S$874,$AH$2,BS_RE33!$N$7:$N$874,I53,BS_RE33!$P$7:$P$874,'30 days CF Table(GBP)'!G53,BS_RE33!$F$7:$F$874,'30 days CF Table(GBP)'!$C$2)</f>
        <v>0</v>
      </c>
      <c r="AI53" s="337">
        <f>SUMIFS(BS_RE33!$H$7:$H$874,BS_RE33!$S$7:$S$874,$AI$2,BS_RE33!$N$7:$N$874,I53,BS_RE33!$P$7:$P$874,'30 days CF Table(GBP)'!G53,BS_RE33!$F$7:$F$874,'30 days CF Table(GBP)'!$C$2)</f>
        <v>0</v>
      </c>
      <c r="AJ53" s="337">
        <f>SUMIFS(BS_RE33!$H$7:$H$874,BS_RE33!$S$7:$S$874,$AJ$2,BS_RE33!$N$7:$N$874,I53,BS_RE33!$P$7:$P$874,'30 days CF Table(GBP)'!G53,BS_RE33!$F$7:$F$874,'30 days CF Table(GBP)'!$C$2)</f>
        <v>0</v>
      </c>
      <c r="AK53" s="337">
        <f>SUMIFS(BS_RE33!$H$7:$H$874,BS_RE33!$S$7:$S$874,$AK$2,BS_RE33!$N$7:$N$874,I53,BS_RE33!$P$7:$P$874,'30 days CF Table(GBP)'!G53,BS_RE33!$F$7:$F$874,'30 days CF Table(GBP)'!$C$2)</f>
        <v>0</v>
      </c>
      <c r="AL53" s="337">
        <f>SUMIFS(BS_RE33!$H$7:$H$874,BS_RE33!$S$7:$S$874,$AL$2,BS_RE33!$N$7:$N$874,I53,BS_RE33!$P$7:$P$874,'30 days CF Table(GBP)'!G53,BS_RE33!$F$7:$F$874,'30 days CF Table(GBP)'!$C$2)</f>
        <v>0</v>
      </c>
      <c r="AM53" s="337">
        <f>SUMIFS(BS_RE33!$H$7:$H$874,BS_RE33!$S$7:$S$874,$AM$2,BS_RE33!$N$7:$N$874,I53,BS_RE33!$P$7:$P$874,'30 days CF Table(GBP)'!G53,BS_RE33!$F$7:$F$874,'30 days CF Table(GBP)'!$C$2)</f>
        <v>0</v>
      </c>
      <c r="AN53" s="337">
        <f>SUMIFS(BS_RE33!$H$7:$H$874,BS_RE33!$S$7:$S$874,$AN$2,BS_RE33!$N$7:$N$874,I53,BS_RE33!$P$7:$P$874,'30 days CF Table(GBP)'!G53,BS_RE33!$F$7:$F$874,'30 days CF Table(GBP)'!$C$2)</f>
        <v>0</v>
      </c>
      <c r="AO53" s="337">
        <f>SUMIFS(BS_RE33!$H$7:$H$874,BS_RE33!$S$7:$S$874,$AO$2,BS_RE33!$N$7:$N$874,I53,BS_RE33!$P$7:$P$874,'30 days CF Table(GBP)'!G53,BS_RE33!$F$7:$F$874,'30 days CF Table(GBP)'!$C$2)</f>
        <v>0</v>
      </c>
      <c r="AP53" s="338">
        <f>SUMIFS(BS_RE33!$H$7:$H$874,BS_RE33!$S$7:$S$874,$AP$2,BS_RE33!$N$7:$N$874,I53,BS_RE33!$P$7:$P$874,'30 days CF Table(GBP)'!G53,BS_RE33!$F$7:$F$874,'30 days CF Table(GBP)'!$C$2)</f>
        <v>0</v>
      </c>
      <c r="AR53" s="379">
        <f>SUMIFS(BS_RE33!$H$7:$H$874,BS_RE33!$S$7:$S$874,$AR$2,BS_RE33!$N$7:$N$874,I53,BS_RE33!$P$7:$P$874,'30 days CF Table(GBP)'!G53,BS_RE33!$F$7:$F$874,'30 days CF Table(GBP)'!$C$2)</f>
        <v>0</v>
      </c>
      <c r="AS53" s="379">
        <f>SUMIFS(BS_RE33!$H$7:$H$874,BS_RE33!$S$7:$S$874,$AS$2,BS_RE33!$N$7:$N$874,I53,BS_RE33!$P$7:$P$874,'30 days CF Table(GBP)'!G53,BS_RE33!$F$7:$F$874,'30 days CF Table(GBP)'!$C$2)</f>
        <v>0</v>
      </c>
      <c r="AT53" s="379">
        <f>SUMIFS(BS_RE33!$H$7:$H$874,BS_RE33!$S$7:$S$874,$AT$2,BS_RE33!$N$7:$N$874,I53,BS_RE33!$P$7:$P$874,'30 days CF Table(GBP)'!G53,BS_RE33!$F$7:$F$874,'30 days CF Table(GBP)'!$C$2)</f>
        <v>0</v>
      </c>
      <c r="AU53" s="379">
        <f>SUMIFS(BS_RE33!$H$7:$H$874,BS_RE33!$S$7:$S$874,$AU$2,BS_RE33!$N$7:$N$874,I53,BS_RE33!$P$7:$P$874,'30 days CF Table(GBP)'!G53,BS_RE33!$F$7:$F$874,'30 days CF Table(GBP)'!$C$2)</f>
        <v>0</v>
      </c>
      <c r="AV53" s="379">
        <f>SUMIFS(BS_RE33!$H$7:$H$874,BS_RE33!$S$7:$S$874,$AV$2,BS_RE33!$N$7:$N$874,I53,BS_RE33!$P$7:$P$874,'30 days CF Table(GBP)'!G53,BS_RE33!$F$7:$F$874,'30 days CF Table(GBP)'!$C$2)</f>
        <v>0</v>
      </c>
      <c r="AW53" s="379">
        <f>SUMIFS(BS_RE33!$H$7:$H$874,BS_RE33!$S$7:$S$874,$AW$2,BS_RE33!$N$7:$N$874,I53,BS_RE33!$P$7:$P$874,'30 days CF Table(GBP)'!G53,BS_RE33!$F$7:$F$874,'30 days CF Table(GBP)'!$C$2)</f>
        <v>0</v>
      </c>
      <c r="AX53" s="379">
        <f>SUMIFS(BS_RE33!$H$7:$H$874,BS_RE33!$S$7:$S$874,$AX$2,BS_RE33!$N$7:$N$874,I53,BS_RE33!$P$7:$P$874,'30 days CF Table(GBP)'!G53,BS_RE33!$F$7:$F$874,'30 days CF Table(GBP)'!$C$2)</f>
        <v>0</v>
      </c>
      <c r="AY53" s="379">
        <f>SUMIFS(BS_RE33!$H$7:$H$874,BS_RE33!$S$7:$S$874,$AY$2,BS_RE33!$N$7:$N$874,I53,BS_RE33!$P$7:$P$874,'30 days CF Table(GBP)'!G53,BS_RE33!$F$7:$F$874,'30 days CF Table(GBP)'!$C$2)</f>
        <v>0</v>
      </c>
      <c r="AZ53" s="379">
        <f>SUMIFS(BS_RE33!$H$7:$H$874,BS_RE33!$S$7:$S$874,$AZ$2,BS_RE33!$N$7:$N$874,I53,BS_RE33!$P$7:$P$874,'30 days CF Table(GBP)'!G53,BS_RE33!$F$7:$F$874,'30 days CF Table(GBP)'!$C$2)</f>
        <v>0</v>
      </c>
      <c r="BA53" s="379">
        <f>SUMIFS(BS_RE33!$H$7:$H$874,BS_RE33!$S$7:$S$874,$BA$2,BS_RE33!$N$7:$N$874,I53,BS_RE33!$P$7:$P$874,'30 days CF Table(GBP)'!G53,BS_RE33!$F$7:$F$874,'30 days CF Table(GBP)'!$C$2)</f>
        <v>0</v>
      </c>
      <c r="BB53" s="379">
        <f>SUMIFS(BS_RE33!$H$7:$H$874,BS_RE33!$S$7:$S$874,$BB$2,BS_RE33!$N$7:$N$874,I53,BS_RE33!$P$7:$P$874,'30 days CF Table(GBP)'!G53,BS_RE33!$F$7:$F$874,'30 days CF Table(GBP)'!$C$2)</f>
        <v>0</v>
      </c>
      <c r="BC53" s="379">
        <f>SUMIFS(BS_RE33!$H$7:$H$874,BS_RE33!$S$7:$S$874,$BC$2,BS_RE33!$N$7:$N$874,I53,BS_RE33!$P$7:$P$874,'30 days CF Table(GBP)'!G53,BS_RE33!$F$7:$F$874,'30 days CF Table(GBP)'!$C$2)</f>
        <v>0</v>
      </c>
      <c r="BD53" s="379">
        <f>SUMIFS(BS_RE33!$H$7:$H$874,BS_RE33!$S$7:$S$874,$BD$2,BS_RE33!$N$7:$N$874,I53,BS_RE33!$P$7:$P$874,'30 days CF Table(GBP)'!G53,BS_RE33!$F$7:$F$874,'30 days CF Table(GBP)'!$C$2)</f>
        <v>0</v>
      </c>
      <c r="BE53" s="379">
        <f>SUMIFS(BS_RE33!$H$7:$H$874,BS_RE33!$S$7:$S$874,$BE$2,BS_RE33!$N$7:$N$874,I53,BS_RE33!$P$7:$P$874,'30 days CF Table(GBP)'!G53,BS_RE33!$F$7:$F$874,'30 days CF Table(GBP)'!$C$2)</f>
        <v>0</v>
      </c>
      <c r="BF53" s="379">
        <f>SUMIFS(BS_RE33!$H$7:$H$874,BS_RE33!$S$7:$S$874,$BF$2,BS_RE33!$N$7:$N$874,I53,BS_RE33!$P$7:$P$874,'30 days CF Table(GBP)'!G53,BS_RE33!$F$7:$F$874,'30 days CF Table(GBP)'!$C$2)</f>
        <v>0</v>
      </c>
      <c r="BG53" s="379">
        <f>SUMIFS(BS_RE33!$H$7:$H$874,BS_RE33!$S$7:$S$874,$BG$2,BS_RE33!$N$7:$N$874,I53,BS_RE33!$P$7:$P$874,'30 days CF Table(GBP)'!G53,BS_RE33!$F$7:$F$874,'30 days CF Table(GBP)'!$C$2)</f>
        <v>0</v>
      </c>
      <c r="BH53" s="379">
        <f>SUMIFS(BS_RE33!$H$7:$H$874,BS_RE33!$S$7:$S$874,$BH$2,BS_RE33!$N$7:$N$874,I53,BS_RE33!$P$7:$P$874,'30 days CF Table(GBP)'!G53,BS_RE33!$F$7:$F$874,'30 days CF Table(GBP)'!$C$2)</f>
        <v>0</v>
      </c>
      <c r="BI53" s="379">
        <f>SUMIFS(BS_RE33!$H$7:$H$874,BS_RE33!$S$7:$S$874,$BI$2,BS_RE33!$N$7:$N$874,I53,BS_RE33!$P$7:$P$874,'30 days CF Table(GBP)'!G53,BS_RE33!$F$7:$F$874,'30 days CF Table(GBP)'!$C$2)</f>
        <v>0</v>
      </c>
      <c r="BJ53" s="379">
        <f>SUMIFS(BS_RE33!$H$7:$H$874,BS_RE33!$S$7:$S$874,$BJ$2,BS_RE33!$N$7:$N$874,I53,BS_RE33!$P$7:$P$874,'30 days CF Table(GBP)'!G53,BS_RE33!$F$7:$F$874,'30 days CF Table(GBP)'!$C$2)</f>
        <v>0</v>
      </c>
      <c r="BK53" s="379">
        <f>SUMIFS(BS_RE33!$H$7:$H$874,BS_RE33!$S$7:$S$874,$BK$2,BS_RE33!$N$7:$N$874,I53,BS_RE33!$P$7:$P$874,'30 days CF Table(GBP)'!G53,BS_RE33!$F$7:$F$874,'30 days CF Table(GBP)'!$C$2)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Table(GBP)'!G54,BS_RE33!$F$7:$F$874,'30 days CF Table(GBP)'!$C$2)</f>
        <v>0</v>
      </c>
      <c r="M54" s="337">
        <f>SUMIFS(BS_RE33!$H$7:$H$874,BS_RE33!$S$7:$S$874,$M$2,BS_RE33!$N$7:$N$874,I54,BS_RE33!$P$7:$P$874,'30 days CF Table(GBP)'!G54,BS_RE33!$F$7:$F$874,'30 days CF Table(GBP)'!$C$2)</f>
        <v>0</v>
      </c>
      <c r="N54" s="337">
        <f>SUMIFS(BS_RE33!$H$7:$H$874,BS_RE33!$S$7:$S$874,$N$2,BS_RE33!$N$7:$N$874,I54,BS_RE33!$P$7:$P$874,'30 days CF Table(GBP)'!G54,BS_RE33!$F$7:$F$874,'30 days CF Table(GBP)'!$C$2)</f>
        <v>0</v>
      </c>
      <c r="O54" s="337">
        <f>SUMIFS(BS_RE33!$H$7:$H$874,BS_RE33!$S$7:$S$874,$O$2,BS_RE33!$N$7:$N$874,I54,BS_RE33!$P$7:$P$874,'30 days CF Table(GBP)'!G54,BS_RE33!$F$7:$F$874,'30 days CF Table(GBP)'!$C$2)</f>
        <v>0</v>
      </c>
      <c r="P54" s="337">
        <f>SUMIFS(BS_RE33!$H$7:$H$874,BS_RE33!$S$7:$S$874,$P$2,BS_RE33!$N$7:$N$874,I54,BS_RE33!$P$7:$P$874,'30 days CF Table(GBP)'!G54,BS_RE33!$F$7:$F$874,'30 days CF Table(GBP)'!$C$2)</f>
        <v>0</v>
      </c>
      <c r="Q54" s="337">
        <f>SUMIFS(BS_RE33!$H$7:$H$874,BS_RE33!$S$7:$S$874,$Q$2,BS_RE33!$N$7:$N$874,I54,BS_RE33!$P$7:$P$874,'30 days CF Table(GBP)'!G54,BS_RE33!$F$7:$F$874,'30 days CF Table(GBP)'!$C$2)</f>
        <v>0</v>
      </c>
      <c r="R54" s="337">
        <f>SUMIFS(BS_RE33!$H$7:$H$874,BS_RE33!$S$7:$S$874,$R$2,BS_RE33!$N$7:$N$874,I54,BS_RE33!$P$7:$P$874,'30 days CF Table(GBP)'!G54,BS_RE33!$F$7:$F$874,'30 days CF Table(GBP)'!$C$2)</f>
        <v>0</v>
      </c>
      <c r="S54" s="337">
        <f>SUMIFS(BS_RE33!$H$7:$H$874,BS_RE33!$S$7:$S$874,$S$2,BS_RE33!$N$7:$N$874,I54,BS_RE33!$P$7:$P$874,'30 days CF Table(GBP)'!G54,BS_RE33!$F$7:$F$874,'30 days CF Table(GBP)'!$C$2)</f>
        <v>0</v>
      </c>
      <c r="T54" s="337">
        <f>SUMIFS(BS_RE33!$H$7:$H$874,BS_RE33!$S$7:$S$874,$T$2,BS_RE33!$N$7:$N$874,I54,BS_RE33!$P$7:$P$874,'30 days CF Table(GBP)'!G54,BS_RE33!$F$7:$F$874,'30 days CF Table(GBP)'!$C$2)</f>
        <v>0</v>
      </c>
      <c r="U54" s="337">
        <f>SUMIFS(BS_RE33!$H$7:$H$874,BS_RE33!$S$7:$S$874,$U$2,BS_RE33!$N$7:$N$874,I54,BS_RE33!$P$7:$P$874,'30 days CF Table(GBP)'!G54,BS_RE33!$F$7:$F$874,'30 days CF Table(GBP)'!$C$2)</f>
        <v>0</v>
      </c>
      <c r="V54" s="337">
        <f>SUMIFS(BS_RE33!$H$7:$H$874,BS_RE33!$S$7:$S$874,$V$2,BS_RE33!$N$7:$N$874,I54,BS_RE33!$P$7:$P$874,'30 days CF Table(GBP)'!G54,BS_RE33!$F$7:$F$874,'30 days CF Table(GBP)'!$C$2)</f>
        <v>0</v>
      </c>
      <c r="W54" s="337">
        <f>SUMIFS(BS_RE33!$H$7:$H$874,BS_RE33!$S$7:$S$874,$W$2,BS_RE33!$N$7:$N$874,I54,BS_RE33!$P$7:$P$874,'30 days CF Table(GBP)'!G54,BS_RE33!$F$7:$F$874,'30 days CF Table(GBP)'!$C$2)</f>
        <v>0</v>
      </c>
      <c r="X54" s="337">
        <f>SUMIFS(BS_RE33!$H$7:$H$874,BS_RE33!$S$7:$S$874,$X$2,BS_RE33!$N$7:$N$874,I54,BS_RE33!$P$7:$P$874,'30 days CF Table(GBP)'!G54,BS_RE33!$F$7:$F$874,'30 days CF Table(GBP)'!$C$2)</f>
        <v>0</v>
      </c>
      <c r="Y54" s="337">
        <f>SUMIFS(BS_RE33!$H$7:$H$874,BS_RE33!$S$7:$S$874,$Y$2,BS_RE33!$N$7:$N$874,I54,BS_RE33!$P$7:$P$874,'30 days CF Table(GBP)'!G54,BS_RE33!$F$7:$F$874,'30 days CF Table(GBP)'!$C$2)</f>
        <v>0</v>
      </c>
      <c r="Z54" s="337">
        <f>SUMIFS(BS_RE33!$H$7:$H$874,BS_RE33!$S$7:$S$874,$Z$2,BS_RE33!$N$7:$N$874,I54,BS_RE33!$P$7:$P$874,'30 days CF Table(GBP)'!G54,BS_RE33!$F$7:$F$874,'30 days CF Table(GBP)'!$C$2)</f>
        <v>0</v>
      </c>
      <c r="AA54" s="337">
        <f>SUMIFS(BS_RE33!$H$7:$H$874,BS_RE33!$S$7:$S$874,$AA$2,BS_RE33!$N$7:$N$874,I54,BS_RE33!$P$7:$P$874,'30 days CF Table(GBP)'!G54,BS_RE33!$F$7:$F$874,'30 days CF Table(GBP)'!$C$2)</f>
        <v>0</v>
      </c>
      <c r="AB54" s="337">
        <f>SUMIFS(BS_RE33!$H$7:$H$874,BS_RE33!$S$7:$S$874,$AB$2,BS_RE33!$N$7:$N$874,I54,BS_RE33!$P$7:$P$874,'30 days CF Table(GBP)'!G54,BS_RE33!$F$7:$F$874,'30 days CF Table(GBP)'!$C$2)</f>
        <v>0</v>
      </c>
      <c r="AC54" s="337">
        <f>SUMIFS(BS_RE33!$H$7:$H$874,BS_RE33!$S$7:$S$874,$AC$2,BS_RE33!$N$7:$N$874,I54,BS_RE33!$P$7:$P$874,'30 days CF Table(GBP)'!G54,BS_RE33!$F$7:$F$874,'30 days CF Table(GBP)'!$C$2)</f>
        <v>0</v>
      </c>
      <c r="AD54" s="337">
        <f>SUMIFS(BS_RE33!$H$7:$H$874,BS_RE33!$S$7:$S$874,$AD$2,BS_RE33!$N$7:$N$874,I54,BS_RE33!$P$7:$P$874,'30 days CF Table(GBP)'!G54,BS_RE33!$F$7:$F$874,'30 days CF Table(GBP)'!$C$2)</f>
        <v>0</v>
      </c>
      <c r="AE54" s="337">
        <f>SUMIFS(BS_RE33!$H$7:$H$874,BS_RE33!$S$7:$S$874,$AE$2,BS_RE33!$N$7:$N$874,I54,BS_RE33!$P$7:$P$874,'30 days CF Table(GBP)'!G54,BS_RE33!$F$7:$F$874,'30 days CF Table(GBP)'!$C$2)</f>
        <v>0</v>
      </c>
      <c r="AF54" s="337">
        <f>SUMIFS(BS_RE33!$H$7:$H$874,BS_RE33!$S$7:$S$874,$AF$2,BS_RE33!$N$7:$N$874,I54,BS_RE33!$P$7:$P$874,'30 days CF Table(GBP)'!G54,BS_RE33!$F$7:$F$874,'30 days CF Table(GBP)'!$C$2)</f>
        <v>0</v>
      </c>
      <c r="AG54" s="337">
        <f>SUMIFS(BS_RE33!$H$7:$H$874,BS_RE33!$S$7:$S$874,$AG$2,BS_RE33!$N$7:$N$874,I54,BS_RE33!$P$7:$P$874,'30 days CF Table(GBP)'!G54,BS_RE33!$F$7:$F$874,'30 days CF Table(GBP)'!$C$2)</f>
        <v>0</v>
      </c>
      <c r="AH54" s="337">
        <f>SUMIFS(BS_RE33!$H$7:$H$874,BS_RE33!$S$7:$S$874,$AH$2,BS_RE33!$N$7:$N$874,I54,BS_RE33!$P$7:$P$874,'30 days CF Table(GBP)'!G54,BS_RE33!$F$7:$F$874,'30 days CF Table(GBP)'!$C$2)</f>
        <v>0</v>
      </c>
      <c r="AI54" s="337">
        <f>SUMIFS(BS_RE33!$H$7:$H$874,BS_RE33!$S$7:$S$874,$AI$2,BS_RE33!$N$7:$N$874,I54,BS_RE33!$P$7:$P$874,'30 days CF Table(GBP)'!G54,BS_RE33!$F$7:$F$874,'30 days CF Table(GBP)'!$C$2)</f>
        <v>0</v>
      </c>
      <c r="AJ54" s="337">
        <f>SUMIFS(BS_RE33!$H$7:$H$874,BS_RE33!$S$7:$S$874,$AJ$2,BS_RE33!$N$7:$N$874,I54,BS_RE33!$P$7:$P$874,'30 days CF Table(GBP)'!G54,BS_RE33!$F$7:$F$874,'30 days CF Table(GBP)'!$C$2)</f>
        <v>0</v>
      </c>
      <c r="AK54" s="337">
        <f>SUMIFS(BS_RE33!$H$7:$H$874,BS_RE33!$S$7:$S$874,$AK$2,BS_RE33!$N$7:$N$874,I54,BS_RE33!$P$7:$P$874,'30 days CF Table(GBP)'!G54,BS_RE33!$F$7:$F$874,'30 days CF Table(GBP)'!$C$2)</f>
        <v>0</v>
      </c>
      <c r="AL54" s="337">
        <f>SUMIFS(BS_RE33!$H$7:$H$874,BS_RE33!$S$7:$S$874,$AL$2,BS_RE33!$N$7:$N$874,I54,BS_RE33!$P$7:$P$874,'30 days CF Table(GBP)'!G54,BS_RE33!$F$7:$F$874,'30 days CF Table(GBP)'!$C$2)</f>
        <v>0</v>
      </c>
      <c r="AM54" s="337">
        <f>SUMIFS(BS_RE33!$H$7:$H$874,BS_RE33!$S$7:$S$874,$AM$2,BS_RE33!$N$7:$N$874,I54,BS_RE33!$P$7:$P$874,'30 days CF Table(GBP)'!G54,BS_RE33!$F$7:$F$874,'30 days CF Table(GBP)'!$C$2)</f>
        <v>0</v>
      </c>
      <c r="AN54" s="337">
        <f>SUMIFS(BS_RE33!$H$7:$H$874,BS_RE33!$S$7:$S$874,$AN$2,BS_RE33!$N$7:$N$874,I54,BS_RE33!$P$7:$P$874,'30 days CF Table(GBP)'!G54,BS_RE33!$F$7:$F$874,'30 days CF Table(GBP)'!$C$2)</f>
        <v>0</v>
      </c>
      <c r="AO54" s="337">
        <f>SUMIFS(BS_RE33!$H$7:$H$874,BS_RE33!$S$7:$S$874,$AO$2,BS_RE33!$N$7:$N$874,I54,BS_RE33!$P$7:$P$874,'30 days CF Table(GBP)'!G54,BS_RE33!$F$7:$F$874,'30 days CF Table(GBP)'!$C$2)</f>
        <v>0</v>
      </c>
      <c r="AP54" s="338">
        <f>SUMIFS(BS_RE33!$H$7:$H$874,BS_RE33!$S$7:$S$874,$AP$2,BS_RE33!$N$7:$N$874,I54,BS_RE33!$P$7:$P$874,'30 days CF Table(GBP)'!G54,BS_RE33!$F$7:$F$874,'30 days CF Table(GBP)'!$C$2)</f>
        <v>0</v>
      </c>
      <c r="AR54" s="379">
        <f>SUMIFS(BS_RE33!$H$7:$H$874,BS_RE33!$S$7:$S$874,$AR$2,BS_RE33!$N$7:$N$874,I54,BS_RE33!$P$7:$P$874,'30 days CF Table(GBP)'!G54,BS_RE33!$F$7:$F$874,'30 days CF Table(GBP)'!$C$2)</f>
        <v>0</v>
      </c>
      <c r="AS54" s="379">
        <f>SUMIFS(BS_RE33!$H$7:$H$874,BS_RE33!$S$7:$S$874,$AS$2,BS_RE33!$N$7:$N$874,I54,BS_RE33!$P$7:$P$874,'30 days CF Table(GBP)'!G54,BS_RE33!$F$7:$F$874,'30 days CF Table(GBP)'!$C$2)</f>
        <v>0</v>
      </c>
      <c r="AT54" s="379">
        <f>SUMIFS(BS_RE33!$H$7:$H$874,BS_RE33!$S$7:$S$874,$AT$2,BS_RE33!$N$7:$N$874,I54,BS_RE33!$P$7:$P$874,'30 days CF Table(GBP)'!G54,BS_RE33!$F$7:$F$874,'30 days CF Table(GBP)'!$C$2)</f>
        <v>0</v>
      </c>
      <c r="AU54" s="379">
        <f>SUMIFS(BS_RE33!$H$7:$H$874,BS_RE33!$S$7:$S$874,$AU$2,BS_RE33!$N$7:$N$874,I54,BS_RE33!$P$7:$P$874,'30 days CF Table(GBP)'!G54,BS_RE33!$F$7:$F$874,'30 days CF Table(GBP)'!$C$2)</f>
        <v>0</v>
      </c>
      <c r="AV54" s="379">
        <f>SUMIFS(BS_RE33!$H$7:$H$874,BS_RE33!$S$7:$S$874,$AV$2,BS_RE33!$N$7:$N$874,I54,BS_RE33!$P$7:$P$874,'30 days CF Table(GBP)'!G54,BS_RE33!$F$7:$F$874,'30 days CF Table(GBP)'!$C$2)</f>
        <v>0</v>
      </c>
      <c r="AW54" s="379">
        <f>SUMIFS(BS_RE33!$H$7:$H$874,BS_RE33!$S$7:$S$874,$AW$2,BS_RE33!$N$7:$N$874,I54,BS_RE33!$P$7:$P$874,'30 days CF Table(GBP)'!G54,BS_RE33!$F$7:$F$874,'30 days CF Table(GBP)'!$C$2)</f>
        <v>0</v>
      </c>
      <c r="AX54" s="379">
        <f>SUMIFS(BS_RE33!$H$7:$H$874,BS_RE33!$S$7:$S$874,$AX$2,BS_RE33!$N$7:$N$874,I54,BS_RE33!$P$7:$P$874,'30 days CF Table(GBP)'!G54,BS_RE33!$F$7:$F$874,'30 days CF Table(GBP)'!$C$2)</f>
        <v>0</v>
      </c>
      <c r="AY54" s="379">
        <f>SUMIFS(BS_RE33!$H$7:$H$874,BS_RE33!$S$7:$S$874,$AY$2,BS_RE33!$N$7:$N$874,I54,BS_RE33!$P$7:$P$874,'30 days CF Table(GBP)'!G54,BS_RE33!$F$7:$F$874,'30 days CF Table(GBP)'!$C$2)</f>
        <v>0</v>
      </c>
      <c r="AZ54" s="379">
        <f>SUMIFS(BS_RE33!$H$7:$H$874,BS_RE33!$S$7:$S$874,$AZ$2,BS_RE33!$N$7:$N$874,I54,BS_RE33!$P$7:$P$874,'30 days CF Table(GBP)'!G54,BS_RE33!$F$7:$F$874,'30 days CF Table(GBP)'!$C$2)</f>
        <v>0</v>
      </c>
      <c r="BA54" s="379">
        <f>SUMIFS(BS_RE33!$H$7:$H$874,BS_RE33!$S$7:$S$874,$BA$2,BS_RE33!$N$7:$N$874,I54,BS_RE33!$P$7:$P$874,'30 days CF Table(GBP)'!G54,BS_RE33!$F$7:$F$874,'30 days CF Table(GBP)'!$C$2)</f>
        <v>0</v>
      </c>
      <c r="BB54" s="379">
        <f>SUMIFS(BS_RE33!$H$7:$H$874,BS_RE33!$S$7:$S$874,$BB$2,BS_RE33!$N$7:$N$874,I54,BS_RE33!$P$7:$P$874,'30 days CF Table(GBP)'!G54,BS_RE33!$F$7:$F$874,'30 days CF Table(GBP)'!$C$2)</f>
        <v>0</v>
      </c>
      <c r="BC54" s="379">
        <f>SUMIFS(BS_RE33!$H$7:$H$874,BS_RE33!$S$7:$S$874,$BC$2,BS_RE33!$N$7:$N$874,I54,BS_RE33!$P$7:$P$874,'30 days CF Table(GBP)'!G54,BS_RE33!$F$7:$F$874,'30 days CF Table(GBP)'!$C$2)</f>
        <v>0</v>
      </c>
      <c r="BD54" s="379">
        <f>SUMIFS(BS_RE33!$H$7:$H$874,BS_RE33!$S$7:$S$874,$BD$2,BS_RE33!$N$7:$N$874,I54,BS_RE33!$P$7:$P$874,'30 days CF Table(GBP)'!G54,BS_RE33!$F$7:$F$874,'30 days CF Table(GBP)'!$C$2)</f>
        <v>0</v>
      </c>
      <c r="BE54" s="379">
        <f>SUMIFS(BS_RE33!$H$7:$H$874,BS_RE33!$S$7:$S$874,$BE$2,BS_RE33!$N$7:$N$874,I54,BS_RE33!$P$7:$P$874,'30 days CF Table(GBP)'!G54,BS_RE33!$F$7:$F$874,'30 days CF Table(GBP)'!$C$2)</f>
        <v>0</v>
      </c>
      <c r="BF54" s="379">
        <f>SUMIFS(BS_RE33!$H$7:$H$874,BS_RE33!$S$7:$S$874,$BF$2,BS_RE33!$N$7:$N$874,I54,BS_RE33!$P$7:$P$874,'30 days CF Table(GBP)'!G54,BS_RE33!$F$7:$F$874,'30 days CF Table(GBP)'!$C$2)</f>
        <v>0</v>
      </c>
      <c r="BG54" s="379">
        <f>SUMIFS(BS_RE33!$H$7:$H$874,BS_RE33!$S$7:$S$874,$BG$2,BS_RE33!$N$7:$N$874,I54,BS_RE33!$P$7:$P$874,'30 days CF Table(GBP)'!G54,BS_RE33!$F$7:$F$874,'30 days CF Table(GBP)'!$C$2)</f>
        <v>0</v>
      </c>
      <c r="BH54" s="379">
        <f>SUMIFS(BS_RE33!$H$7:$H$874,BS_RE33!$S$7:$S$874,$BH$2,BS_RE33!$N$7:$N$874,I54,BS_RE33!$P$7:$P$874,'30 days CF Table(GBP)'!G54,BS_RE33!$F$7:$F$874,'30 days CF Table(GBP)'!$C$2)</f>
        <v>0</v>
      </c>
      <c r="BI54" s="379">
        <f>SUMIFS(BS_RE33!$H$7:$H$874,BS_RE33!$S$7:$S$874,$BI$2,BS_RE33!$N$7:$N$874,I54,BS_RE33!$P$7:$P$874,'30 days CF Table(GBP)'!G54,BS_RE33!$F$7:$F$874,'30 days CF Table(GBP)'!$C$2)</f>
        <v>0</v>
      </c>
      <c r="BJ54" s="379">
        <f>SUMIFS(BS_RE33!$H$7:$H$874,BS_RE33!$S$7:$S$874,$BJ$2,BS_RE33!$N$7:$N$874,I54,BS_RE33!$P$7:$P$874,'30 days CF Table(GBP)'!G54,BS_RE33!$F$7:$F$874,'30 days CF Table(GBP)'!$C$2)</f>
        <v>0</v>
      </c>
      <c r="BK54" s="379">
        <f>SUMIFS(BS_RE33!$H$7:$H$874,BS_RE33!$S$7:$S$874,$BK$2,BS_RE33!$N$7:$N$874,I54,BS_RE33!$P$7:$P$874,'30 days CF Table(GBP)'!G54,BS_RE33!$F$7:$F$874,'30 days CF Table(GBP)'!$C$2)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Table(GBP)'!G55,BS_RE33!$F$7:$F$874,'30 days CF Table(GBP)'!$C$2)</f>
        <v>0</v>
      </c>
      <c r="M55" s="337">
        <f>SUMIFS(BS_RE33!$H$7:$H$874,BS_RE33!$S$7:$S$874,$M$2,BS_RE33!$N$7:$N$874,I55,BS_RE33!$P$7:$P$874,'30 days CF Table(GBP)'!G55,BS_RE33!$F$7:$F$874,'30 days CF Table(GBP)'!$C$2)</f>
        <v>0</v>
      </c>
      <c r="N55" s="337">
        <f>SUMIFS(BS_RE33!$H$7:$H$874,BS_RE33!$S$7:$S$874,$N$2,BS_RE33!$N$7:$N$874,I55,BS_RE33!$P$7:$P$874,'30 days CF Table(GBP)'!G55,BS_RE33!$F$7:$F$874,'30 days CF Table(GBP)'!$C$2)</f>
        <v>0</v>
      </c>
      <c r="O55" s="337">
        <f>SUMIFS(BS_RE33!$H$7:$H$874,BS_RE33!$S$7:$S$874,$O$2,BS_RE33!$N$7:$N$874,I55,BS_RE33!$P$7:$P$874,'30 days CF Table(GBP)'!G55,BS_RE33!$F$7:$F$874,'30 days CF Table(GBP)'!$C$2)</f>
        <v>0</v>
      </c>
      <c r="P55" s="337">
        <f>SUMIFS(BS_RE33!$H$7:$H$874,BS_RE33!$S$7:$S$874,$P$2,BS_RE33!$N$7:$N$874,I55,BS_RE33!$P$7:$P$874,'30 days CF Table(GBP)'!G55,BS_RE33!$F$7:$F$874,'30 days CF Table(GBP)'!$C$2)</f>
        <v>0</v>
      </c>
      <c r="Q55" s="337">
        <f>SUMIFS(BS_RE33!$H$7:$H$874,BS_RE33!$S$7:$S$874,$Q$2,BS_RE33!$N$7:$N$874,I55,BS_RE33!$P$7:$P$874,'30 days CF Table(GBP)'!G55,BS_RE33!$F$7:$F$874,'30 days CF Table(GBP)'!$C$2)</f>
        <v>0</v>
      </c>
      <c r="R55" s="337">
        <f>SUMIFS(BS_RE33!$H$7:$H$874,BS_RE33!$S$7:$S$874,$R$2,BS_RE33!$N$7:$N$874,I55,BS_RE33!$P$7:$P$874,'30 days CF Table(GBP)'!G55,BS_RE33!$F$7:$F$874,'30 days CF Table(GBP)'!$C$2)</f>
        <v>0</v>
      </c>
      <c r="S55" s="337">
        <f>SUMIFS(BS_RE33!$H$7:$H$874,BS_RE33!$S$7:$S$874,$S$2,BS_RE33!$N$7:$N$874,I55,BS_RE33!$P$7:$P$874,'30 days CF Table(GBP)'!G55,BS_RE33!$F$7:$F$874,'30 days CF Table(GBP)'!$C$2)</f>
        <v>0</v>
      </c>
      <c r="T55" s="337">
        <f>SUMIFS(BS_RE33!$H$7:$H$874,BS_RE33!$S$7:$S$874,$T$2,BS_RE33!$N$7:$N$874,I55,BS_RE33!$P$7:$P$874,'30 days CF Table(GBP)'!G55,BS_RE33!$F$7:$F$874,'30 days CF Table(GBP)'!$C$2)</f>
        <v>0</v>
      </c>
      <c r="U55" s="337">
        <f>SUMIFS(BS_RE33!$H$7:$H$874,BS_RE33!$S$7:$S$874,$U$2,BS_RE33!$N$7:$N$874,I55,BS_RE33!$P$7:$P$874,'30 days CF Table(GBP)'!G55,BS_RE33!$F$7:$F$874,'30 days CF Table(GBP)'!$C$2)</f>
        <v>0</v>
      </c>
      <c r="V55" s="337">
        <f>SUMIFS(BS_RE33!$H$7:$H$874,BS_RE33!$S$7:$S$874,$V$2,BS_RE33!$N$7:$N$874,I55,BS_RE33!$P$7:$P$874,'30 days CF Table(GBP)'!G55,BS_RE33!$F$7:$F$874,'30 days CF Table(GBP)'!$C$2)</f>
        <v>0</v>
      </c>
      <c r="W55" s="337">
        <f>SUMIFS(BS_RE33!$H$7:$H$874,BS_RE33!$S$7:$S$874,$W$2,BS_RE33!$N$7:$N$874,I55,BS_RE33!$P$7:$P$874,'30 days CF Table(GBP)'!G55,BS_RE33!$F$7:$F$874,'30 days CF Table(GBP)'!$C$2)</f>
        <v>0</v>
      </c>
      <c r="X55" s="337">
        <f>SUMIFS(BS_RE33!$H$7:$H$874,BS_RE33!$S$7:$S$874,$X$2,BS_RE33!$N$7:$N$874,I55,BS_RE33!$P$7:$P$874,'30 days CF Table(GBP)'!G55,BS_RE33!$F$7:$F$874,'30 days CF Table(GBP)'!$C$2)</f>
        <v>0</v>
      </c>
      <c r="Y55" s="337">
        <f>SUMIFS(BS_RE33!$H$7:$H$874,BS_RE33!$S$7:$S$874,$Y$2,BS_RE33!$N$7:$N$874,I55,BS_RE33!$P$7:$P$874,'30 days CF Table(GBP)'!G55,BS_RE33!$F$7:$F$874,'30 days CF Table(GBP)'!$C$2)</f>
        <v>0</v>
      </c>
      <c r="Z55" s="337">
        <f>SUMIFS(BS_RE33!$H$7:$H$874,BS_RE33!$S$7:$S$874,$Z$2,BS_RE33!$N$7:$N$874,I55,BS_RE33!$P$7:$P$874,'30 days CF Table(GBP)'!G55,BS_RE33!$F$7:$F$874,'30 days CF Table(GBP)'!$C$2)</f>
        <v>0</v>
      </c>
      <c r="AA55" s="337">
        <f>SUMIFS(BS_RE33!$H$7:$H$874,BS_RE33!$S$7:$S$874,$AA$2,BS_RE33!$N$7:$N$874,I55,BS_RE33!$P$7:$P$874,'30 days CF Table(GBP)'!G55,BS_RE33!$F$7:$F$874,'30 days CF Table(GBP)'!$C$2)</f>
        <v>0</v>
      </c>
      <c r="AB55" s="337">
        <f>SUMIFS(BS_RE33!$H$7:$H$874,BS_RE33!$S$7:$S$874,$AB$2,BS_RE33!$N$7:$N$874,I55,BS_RE33!$P$7:$P$874,'30 days CF Table(GBP)'!G55,BS_RE33!$F$7:$F$874,'30 days CF Table(GBP)'!$C$2)</f>
        <v>0</v>
      </c>
      <c r="AC55" s="337">
        <f>SUMIFS(BS_RE33!$H$7:$H$874,BS_RE33!$S$7:$S$874,$AC$2,BS_RE33!$N$7:$N$874,I55,BS_RE33!$P$7:$P$874,'30 days CF Table(GBP)'!G55,BS_RE33!$F$7:$F$874,'30 days CF Table(GBP)'!$C$2)</f>
        <v>0</v>
      </c>
      <c r="AD55" s="337">
        <f>SUMIFS(BS_RE33!$H$7:$H$874,BS_RE33!$S$7:$S$874,$AD$2,BS_RE33!$N$7:$N$874,I55,BS_RE33!$P$7:$P$874,'30 days CF Table(GBP)'!G55,BS_RE33!$F$7:$F$874,'30 days CF Table(GBP)'!$C$2)</f>
        <v>0</v>
      </c>
      <c r="AE55" s="337">
        <f>SUMIFS(BS_RE33!$H$7:$H$874,BS_RE33!$S$7:$S$874,$AE$2,BS_RE33!$N$7:$N$874,I55,BS_RE33!$P$7:$P$874,'30 days CF Table(GBP)'!G55,BS_RE33!$F$7:$F$874,'30 days CF Table(GBP)'!$C$2)</f>
        <v>0</v>
      </c>
      <c r="AF55" s="337">
        <f>SUMIFS(BS_RE33!$H$7:$H$874,BS_RE33!$S$7:$S$874,$AF$2,BS_RE33!$N$7:$N$874,I55,BS_RE33!$P$7:$P$874,'30 days CF Table(GBP)'!G55,BS_RE33!$F$7:$F$874,'30 days CF Table(GBP)'!$C$2)</f>
        <v>0</v>
      </c>
      <c r="AG55" s="337">
        <f>SUMIFS(BS_RE33!$H$7:$H$874,BS_RE33!$S$7:$S$874,$AG$2,BS_RE33!$N$7:$N$874,I55,BS_RE33!$P$7:$P$874,'30 days CF Table(GBP)'!G55,BS_RE33!$F$7:$F$874,'30 days CF Table(GBP)'!$C$2)</f>
        <v>0</v>
      </c>
      <c r="AH55" s="337">
        <f>SUMIFS(BS_RE33!$H$7:$H$874,BS_RE33!$S$7:$S$874,$AH$2,BS_RE33!$N$7:$N$874,I55,BS_RE33!$P$7:$P$874,'30 days CF Table(GBP)'!G55,BS_RE33!$F$7:$F$874,'30 days CF Table(GBP)'!$C$2)</f>
        <v>0</v>
      </c>
      <c r="AI55" s="337">
        <f>SUMIFS(BS_RE33!$H$7:$H$874,BS_RE33!$S$7:$S$874,$AI$2,BS_RE33!$N$7:$N$874,I55,BS_RE33!$P$7:$P$874,'30 days CF Table(GBP)'!G55,BS_RE33!$F$7:$F$874,'30 days CF Table(GBP)'!$C$2)</f>
        <v>0</v>
      </c>
      <c r="AJ55" s="337">
        <f>SUMIFS(BS_RE33!$H$7:$H$874,BS_RE33!$S$7:$S$874,$AJ$2,BS_RE33!$N$7:$N$874,I55,BS_RE33!$P$7:$P$874,'30 days CF Table(GBP)'!G55,BS_RE33!$F$7:$F$874,'30 days CF Table(GBP)'!$C$2)</f>
        <v>0</v>
      </c>
      <c r="AK55" s="337">
        <f>SUMIFS(BS_RE33!$H$7:$H$874,BS_RE33!$S$7:$S$874,$AK$2,BS_RE33!$N$7:$N$874,I55,BS_RE33!$P$7:$P$874,'30 days CF Table(GBP)'!G55,BS_RE33!$F$7:$F$874,'30 days CF Table(GBP)'!$C$2)</f>
        <v>0</v>
      </c>
      <c r="AL55" s="337">
        <f>SUMIFS(BS_RE33!$H$7:$H$874,BS_RE33!$S$7:$S$874,$AL$2,BS_RE33!$N$7:$N$874,I55,BS_RE33!$P$7:$P$874,'30 days CF Table(GBP)'!G55,BS_RE33!$F$7:$F$874,'30 days CF Table(GBP)'!$C$2)</f>
        <v>0</v>
      </c>
      <c r="AM55" s="337">
        <f>SUMIFS(BS_RE33!$H$7:$H$874,BS_RE33!$S$7:$S$874,$AM$2,BS_RE33!$N$7:$N$874,I55,BS_RE33!$P$7:$P$874,'30 days CF Table(GBP)'!G55,BS_RE33!$F$7:$F$874,'30 days CF Table(GBP)'!$C$2)</f>
        <v>0</v>
      </c>
      <c r="AN55" s="337">
        <f>SUMIFS(BS_RE33!$H$7:$H$874,BS_RE33!$S$7:$S$874,$AN$2,BS_RE33!$N$7:$N$874,I55,BS_RE33!$P$7:$P$874,'30 days CF Table(GBP)'!G55,BS_RE33!$F$7:$F$874,'30 days CF Table(GBP)'!$C$2)</f>
        <v>0</v>
      </c>
      <c r="AO55" s="337">
        <f>SUMIFS(BS_RE33!$H$7:$H$874,BS_RE33!$S$7:$S$874,$AO$2,BS_RE33!$N$7:$N$874,I55,BS_RE33!$P$7:$P$874,'30 days CF Table(GBP)'!G55,BS_RE33!$F$7:$F$874,'30 days CF Table(GBP)'!$C$2)</f>
        <v>0</v>
      </c>
      <c r="AP55" s="338">
        <f>SUMIFS(BS_RE33!$H$7:$H$874,BS_RE33!$S$7:$S$874,$AP$2,BS_RE33!$N$7:$N$874,I55,BS_RE33!$P$7:$P$874,'30 days CF Table(GBP)'!G55,BS_RE33!$F$7:$F$874,'30 days CF Table(GBP)'!$C$2)</f>
        <v>0</v>
      </c>
      <c r="AR55" s="379">
        <f>SUMIFS(BS_RE33!$H$7:$H$874,BS_RE33!$S$7:$S$874,$AR$2,BS_RE33!$N$7:$N$874,I55,BS_RE33!$P$7:$P$874,'30 days CF Table(GBP)'!G55,BS_RE33!$F$7:$F$874,'30 days CF Table(GBP)'!$C$2)</f>
        <v>0</v>
      </c>
      <c r="AS55" s="379">
        <f>SUMIFS(BS_RE33!$H$7:$H$874,BS_RE33!$S$7:$S$874,$AS$2,BS_RE33!$N$7:$N$874,I55,BS_RE33!$P$7:$P$874,'30 days CF Table(GBP)'!G55,BS_RE33!$F$7:$F$874,'30 days CF Table(GBP)'!$C$2)</f>
        <v>0</v>
      </c>
      <c r="AT55" s="379">
        <f>SUMIFS(BS_RE33!$H$7:$H$874,BS_RE33!$S$7:$S$874,$AT$2,BS_RE33!$N$7:$N$874,I55,BS_RE33!$P$7:$P$874,'30 days CF Table(GBP)'!G55,BS_RE33!$F$7:$F$874,'30 days CF Table(GBP)'!$C$2)</f>
        <v>0</v>
      </c>
      <c r="AU55" s="379">
        <f>SUMIFS(BS_RE33!$H$7:$H$874,BS_RE33!$S$7:$S$874,$AU$2,BS_RE33!$N$7:$N$874,I55,BS_RE33!$P$7:$P$874,'30 days CF Table(GBP)'!G55,BS_RE33!$F$7:$F$874,'30 days CF Table(GBP)'!$C$2)</f>
        <v>0</v>
      </c>
      <c r="AV55" s="379">
        <f>SUMIFS(BS_RE33!$H$7:$H$874,BS_RE33!$S$7:$S$874,$AV$2,BS_RE33!$N$7:$N$874,I55,BS_RE33!$P$7:$P$874,'30 days CF Table(GBP)'!G55,BS_RE33!$F$7:$F$874,'30 days CF Table(GBP)'!$C$2)</f>
        <v>0</v>
      </c>
      <c r="AW55" s="379">
        <f>SUMIFS(BS_RE33!$H$7:$H$874,BS_RE33!$S$7:$S$874,$AW$2,BS_RE33!$N$7:$N$874,I55,BS_RE33!$P$7:$P$874,'30 days CF Table(GBP)'!G55,BS_RE33!$F$7:$F$874,'30 days CF Table(GBP)'!$C$2)</f>
        <v>0</v>
      </c>
      <c r="AX55" s="379">
        <f>SUMIFS(BS_RE33!$H$7:$H$874,BS_RE33!$S$7:$S$874,$AX$2,BS_RE33!$N$7:$N$874,I55,BS_RE33!$P$7:$P$874,'30 days CF Table(GBP)'!G55,BS_RE33!$F$7:$F$874,'30 days CF Table(GBP)'!$C$2)</f>
        <v>0</v>
      </c>
      <c r="AY55" s="379">
        <f>SUMIFS(BS_RE33!$H$7:$H$874,BS_RE33!$S$7:$S$874,$AY$2,BS_RE33!$N$7:$N$874,I55,BS_RE33!$P$7:$P$874,'30 days CF Table(GBP)'!G55,BS_RE33!$F$7:$F$874,'30 days CF Table(GBP)'!$C$2)</f>
        <v>0</v>
      </c>
      <c r="AZ55" s="379">
        <f>SUMIFS(BS_RE33!$H$7:$H$874,BS_RE33!$S$7:$S$874,$AZ$2,BS_RE33!$N$7:$N$874,I55,BS_RE33!$P$7:$P$874,'30 days CF Table(GBP)'!G55,BS_RE33!$F$7:$F$874,'30 days CF Table(GBP)'!$C$2)</f>
        <v>0</v>
      </c>
      <c r="BA55" s="379">
        <f>SUMIFS(BS_RE33!$H$7:$H$874,BS_RE33!$S$7:$S$874,$BA$2,BS_RE33!$N$7:$N$874,I55,BS_RE33!$P$7:$P$874,'30 days CF Table(GBP)'!G55,BS_RE33!$F$7:$F$874,'30 days CF Table(GBP)'!$C$2)</f>
        <v>0</v>
      </c>
      <c r="BB55" s="379">
        <f>SUMIFS(BS_RE33!$H$7:$H$874,BS_RE33!$S$7:$S$874,$BB$2,BS_RE33!$N$7:$N$874,I55,BS_RE33!$P$7:$P$874,'30 days CF Table(GBP)'!G55,BS_RE33!$F$7:$F$874,'30 days CF Table(GBP)'!$C$2)</f>
        <v>0</v>
      </c>
      <c r="BC55" s="379">
        <f>SUMIFS(BS_RE33!$H$7:$H$874,BS_RE33!$S$7:$S$874,$BC$2,BS_RE33!$N$7:$N$874,I55,BS_RE33!$P$7:$P$874,'30 days CF Table(GBP)'!G55,BS_RE33!$F$7:$F$874,'30 days CF Table(GBP)'!$C$2)</f>
        <v>0</v>
      </c>
      <c r="BD55" s="379">
        <f>SUMIFS(BS_RE33!$H$7:$H$874,BS_RE33!$S$7:$S$874,$BD$2,BS_RE33!$N$7:$N$874,I55,BS_RE33!$P$7:$P$874,'30 days CF Table(GBP)'!G55,BS_RE33!$F$7:$F$874,'30 days CF Table(GBP)'!$C$2)</f>
        <v>0</v>
      </c>
      <c r="BE55" s="379">
        <f>SUMIFS(BS_RE33!$H$7:$H$874,BS_RE33!$S$7:$S$874,$BE$2,BS_RE33!$N$7:$N$874,I55,BS_RE33!$P$7:$P$874,'30 days CF Table(GBP)'!G55,BS_RE33!$F$7:$F$874,'30 days CF Table(GBP)'!$C$2)</f>
        <v>0</v>
      </c>
      <c r="BF55" s="379">
        <f>SUMIFS(BS_RE33!$H$7:$H$874,BS_RE33!$S$7:$S$874,$BF$2,BS_RE33!$N$7:$N$874,I55,BS_RE33!$P$7:$P$874,'30 days CF Table(GBP)'!G55,BS_RE33!$F$7:$F$874,'30 days CF Table(GBP)'!$C$2)</f>
        <v>0</v>
      </c>
      <c r="BG55" s="379">
        <f>SUMIFS(BS_RE33!$H$7:$H$874,BS_RE33!$S$7:$S$874,$BG$2,BS_RE33!$N$7:$N$874,I55,BS_RE33!$P$7:$P$874,'30 days CF Table(GBP)'!G55,BS_RE33!$F$7:$F$874,'30 days CF Table(GBP)'!$C$2)</f>
        <v>0</v>
      </c>
      <c r="BH55" s="379">
        <f>SUMIFS(BS_RE33!$H$7:$H$874,BS_RE33!$S$7:$S$874,$BH$2,BS_RE33!$N$7:$N$874,I55,BS_RE33!$P$7:$P$874,'30 days CF Table(GBP)'!G55,BS_RE33!$F$7:$F$874,'30 days CF Table(GBP)'!$C$2)</f>
        <v>0</v>
      </c>
      <c r="BI55" s="379">
        <f>SUMIFS(BS_RE33!$H$7:$H$874,BS_RE33!$S$7:$S$874,$BI$2,BS_RE33!$N$7:$N$874,I55,BS_RE33!$P$7:$P$874,'30 days CF Table(GBP)'!G55,BS_RE33!$F$7:$F$874,'30 days CF Table(GBP)'!$C$2)</f>
        <v>0</v>
      </c>
      <c r="BJ55" s="379">
        <f>SUMIFS(BS_RE33!$H$7:$H$874,BS_RE33!$S$7:$S$874,$BJ$2,BS_RE33!$N$7:$N$874,I55,BS_RE33!$P$7:$P$874,'30 days CF Table(GBP)'!G55,BS_RE33!$F$7:$F$874,'30 days CF Table(GBP)'!$C$2)</f>
        <v>0</v>
      </c>
      <c r="BK55" s="379">
        <f>SUMIFS(BS_RE33!$H$7:$H$874,BS_RE33!$S$7:$S$874,$BK$2,BS_RE33!$N$7:$N$874,I55,BS_RE33!$P$7:$P$874,'30 days CF Table(GBP)'!G55,BS_RE33!$F$7:$F$874,'30 days CF Table(GBP)'!$C$2)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Table(GBP)'!G56,BS_RE33!$F$7:$F$874,'30 days CF Table(GBP)'!$C$2)</f>
        <v>0</v>
      </c>
      <c r="M56" s="337">
        <f>SUMIFS(BS_RE33!$H$7:$H$874,BS_RE33!$S$7:$S$874,$M$2,BS_RE33!$N$7:$N$874,I56,BS_RE33!$P$7:$P$874,'30 days CF Table(GBP)'!G56,BS_RE33!$F$7:$F$874,'30 days CF Table(GBP)'!$C$2)</f>
        <v>0</v>
      </c>
      <c r="N56" s="337">
        <f>SUMIFS(BS_RE33!$H$7:$H$874,BS_RE33!$S$7:$S$874,$N$2,BS_RE33!$N$7:$N$874,I56,BS_RE33!$P$7:$P$874,'30 days CF Table(GBP)'!G56,BS_RE33!$F$7:$F$874,'30 days CF Table(GBP)'!$C$2)</f>
        <v>0</v>
      </c>
      <c r="O56" s="337">
        <f>SUMIFS(BS_RE33!$H$7:$H$874,BS_RE33!$S$7:$S$874,$O$2,BS_RE33!$N$7:$N$874,I56,BS_RE33!$P$7:$P$874,'30 days CF Table(GBP)'!G56,BS_RE33!$F$7:$F$874,'30 days CF Table(GBP)'!$C$2)</f>
        <v>0</v>
      </c>
      <c r="P56" s="337">
        <f>SUMIFS(BS_RE33!$H$7:$H$874,BS_RE33!$S$7:$S$874,$P$2,BS_RE33!$N$7:$N$874,I56,BS_RE33!$P$7:$P$874,'30 days CF Table(GBP)'!G56,BS_RE33!$F$7:$F$874,'30 days CF Table(GBP)'!$C$2)</f>
        <v>0</v>
      </c>
      <c r="Q56" s="337">
        <f>SUMIFS(BS_RE33!$H$7:$H$874,BS_RE33!$S$7:$S$874,$Q$2,BS_RE33!$N$7:$N$874,I56,BS_RE33!$P$7:$P$874,'30 days CF Table(GBP)'!G56,BS_RE33!$F$7:$F$874,'30 days CF Table(GBP)'!$C$2)</f>
        <v>0</v>
      </c>
      <c r="R56" s="337">
        <f>SUMIFS(BS_RE33!$H$7:$H$874,BS_RE33!$S$7:$S$874,$R$2,BS_RE33!$N$7:$N$874,I56,BS_RE33!$P$7:$P$874,'30 days CF Table(GBP)'!G56,BS_RE33!$F$7:$F$874,'30 days CF Table(GBP)'!$C$2)</f>
        <v>0</v>
      </c>
      <c r="S56" s="337">
        <f>SUMIFS(BS_RE33!$H$7:$H$874,BS_RE33!$S$7:$S$874,$S$2,BS_RE33!$N$7:$N$874,I56,BS_RE33!$P$7:$P$874,'30 days CF Table(GBP)'!G56,BS_RE33!$F$7:$F$874,'30 days CF Table(GBP)'!$C$2)</f>
        <v>0</v>
      </c>
      <c r="T56" s="337">
        <f>SUMIFS(BS_RE33!$H$7:$H$874,BS_RE33!$S$7:$S$874,$T$2,BS_RE33!$N$7:$N$874,I56,BS_RE33!$P$7:$P$874,'30 days CF Table(GBP)'!G56,BS_RE33!$F$7:$F$874,'30 days CF Table(GBP)'!$C$2)</f>
        <v>0</v>
      </c>
      <c r="U56" s="337">
        <f>SUMIFS(BS_RE33!$H$7:$H$874,BS_RE33!$S$7:$S$874,$U$2,BS_RE33!$N$7:$N$874,I56,BS_RE33!$P$7:$P$874,'30 days CF Table(GBP)'!G56,BS_RE33!$F$7:$F$874,'30 days CF Table(GBP)'!$C$2)</f>
        <v>0</v>
      </c>
      <c r="V56" s="337">
        <f>SUMIFS(BS_RE33!$H$7:$H$874,BS_RE33!$S$7:$S$874,$V$2,BS_RE33!$N$7:$N$874,I56,BS_RE33!$P$7:$P$874,'30 days CF Table(GBP)'!G56,BS_RE33!$F$7:$F$874,'30 days CF Table(GBP)'!$C$2)</f>
        <v>0</v>
      </c>
      <c r="W56" s="337">
        <f>SUMIFS(BS_RE33!$H$7:$H$874,BS_RE33!$S$7:$S$874,$W$2,BS_RE33!$N$7:$N$874,I56,BS_RE33!$P$7:$P$874,'30 days CF Table(GBP)'!G56,BS_RE33!$F$7:$F$874,'30 days CF Table(GBP)'!$C$2)</f>
        <v>0</v>
      </c>
      <c r="X56" s="337">
        <f>SUMIFS(BS_RE33!$H$7:$H$874,BS_RE33!$S$7:$S$874,$X$2,BS_RE33!$N$7:$N$874,I56,BS_RE33!$P$7:$P$874,'30 days CF Table(GBP)'!G56,BS_RE33!$F$7:$F$874,'30 days CF Table(GBP)'!$C$2)</f>
        <v>0</v>
      </c>
      <c r="Y56" s="337">
        <f>SUMIFS(BS_RE33!$H$7:$H$874,BS_RE33!$S$7:$S$874,$Y$2,BS_RE33!$N$7:$N$874,I56,BS_RE33!$P$7:$P$874,'30 days CF Table(GBP)'!G56,BS_RE33!$F$7:$F$874,'30 days CF Table(GBP)'!$C$2)</f>
        <v>0</v>
      </c>
      <c r="Z56" s="337">
        <f>SUMIFS(BS_RE33!$H$7:$H$874,BS_RE33!$S$7:$S$874,$Z$2,BS_RE33!$N$7:$N$874,I56,BS_RE33!$P$7:$P$874,'30 days CF Table(GBP)'!G56,BS_RE33!$F$7:$F$874,'30 days CF Table(GBP)'!$C$2)</f>
        <v>0</v>
      </c>
      <c r="AA56" s="337">
        <f>SUMIFS(BS_RE33!$H$7:$H$874,BS_RE33!$S$7:$S$874,$AA$2,BS_RE33!$N$7:$N$874,I56,BS_RE33!$P$7:$P$874,'30 days CF Table(GBP)'!G56,BS_RE33!$F$7:$F$874,'30 days CF Table(GBP)'!$C$2)</f>
        <v>0</v>
      </c>
      <c r="AB56" s="337">
        <f>SUMIFS(BS_RE33!$H$7:$H$874,BS_RE33!$S$7:$S$874,$AB$2,BS_RE33!$N$7:$N$874,I56,BS_RE33!$P$7:$P$874,'30 days CF Table(GBP)'!G56,BS_RE33!$F$7:$F$874,'30 days CF Table(GBP)'!$C$2)</f>
        <v>0</v>
      </c>
      <c r="AC56" s="337">
        <f>SUMIFS(BS_RE33!$H$7:$H$874,BS_RE33!$S$7:$S$874,$AC$2,BS_RE33!$N$7:$N$874,I56,BS_RE33!$P$7:$P$874,'30 days CF Table(GBP)'!G56,BS_RE33!$F$7:$F$874,'30 days CF Table(GBP)'!$C$2)</f>
        <v>0</v>
      </c>
      <c r="AD56" s="337">
        <f>SUMIFS(BS_RE33!$H$7:$H$874,BS_RE33!$S$7:$S$874,$AD$2,BS_RE33!$N$7:$N$874,I56,BS_RE33!$P$7:$P$874,'30 days CF Table(GBP)'!G56,BS_RE33!$F$7:$F$874,'30 days CF Table(GBP)'!$C$2)</f>
        <v>0</v>
      </c>
      <c r="AE56" s="337">
        <f>SUMIFS(BS_RE33!$H$7:$H$874,BS_RE33!$S$7:$S$874,$AE$2,BS_RE33!$N$7:$N$874,I56,BS_RE33!$P$7:$P$874,'30 days CF Table(GBP)'!G56,BS_RE33!$F$7:$F$874,'30 days CF Table(GBP)'!$C$2)</f>
        <v>0</v>
      </c>
      <c r="AF56" s="337">
        <f>SUMIFS(BS_RE33!$H$7:$H$874,BS_RE33!$S$7:$S$874,$AF$2,BS_RE33!$N$7:$N$874,I56,BS_RE33!$P$7:$P$874,'30 days CF Table(GBP)'!G56,BS_RE33!$F$7:$F$874,'30 days CF Table(GBP)'!$C$2)</f>
        <v>0</v>
      </c>
      <c r="AG56" s="337">
        <f>SUMIFS(BS_RE33!$H$7:$H$874,BS_RE33!$S$7:$S$874,$AG$2,BS_RE33!$N$7:$N$874,I56,BS_RE33!$P$7:$P$874,'30 days CF Table(GBP)'!G56,BS_RE33!$F$7:$F$874,'30 days CF Table(GBP)'!$C$2)</f>
        <v>0</v>
      </c>
      <c r="AH56" s="337">
        <f>SUMIFS(BS_RE33!$H$7:$H$874,BS_RE33!$S$7:$S$874,$AH$2,BS_RE33!$N$7:$N$874,I56,BS_RE33!$P$7:$P$874,'30 days CF Table(GBP)'!G56,BS_RE33!$F$7:$F$874,'30 days CF Table(GBP)'!$C$2)</f>
        <v>0</v>
      </c>
      <c r="AI56" s="337">
        <f>SUMIFS(BS_RE33!$H$7:$H$874,BS_RE33!$S$7:$S$874,$AI$2,BS_RE33!$N$7:$N$874,I56,BS_RE33!$P$7:$P$874,'30 days CF Table(GBP)'!G56,BS_RE33!$F$7:$F$874,'30 days CF Table(GBP)'!$C$2)</f>
        <v>0</v>
      </c>
      <c r="AJ56" s="337">
        <f>SUMIFS(BS_RE33!$H$7:$H$874,BS_RE33!$S$7:$S$874,$AJ$2,BS_RE33!$N$7:$N$874,I56,BS_RE33!$P$7:$P$874,'30 days CF Table(GBP)'!G56,BS_RE33!$F$7:$F$874,'30 days CF Table(GBP)'!$C$2)</f>
        <v>0</v>
      </c>
      <c r="AK56" s="337">
        <f>SUMIFS(BS_RE33!$H$7:$H$874,BS_RE33!$S$7:$S$874,$AK$2,BS_RE33!$N$7:$N$874,I56,BS_RE33!$P$7:$P$874,'30 days CF Table(GBP)'!G56,BS_RE33!$F$7:$F$874,'30 days CF Table(GBP)'!$C$2)</f>
        <v>0</v>
      </c>
      <c r="AL56" s="337">
        <f>SUMIFS(BS_RE33!$H$7:$H$874,BS_RE33!$S$7:$S$874,$AL$2,BS_RE33!$N$7:$N$874,I56,BS_RE33!$P$7:$P$874,'30 days CF Table(GBP)'!G56,BS_RE33!$F$7:$F$874,'30 days CF Table(GBP)'!$C$2)</f>
        <v>0</v>
      </c>
      <c r="AM56" s="337">
        <f>SUMIFS(BS_RE33!$H$7:$H$874,BS_RE33!$S$7:$S$874,$AM$2,BS_RE33!$N$7:$N$874,I56,BS_RE33!$P$7:$P$874,'30 days CF Table(GBP)'!G56,BS_RE33!$F$7:$F$874,'30 days CF Table(GBP)'!$C$2)</f>
        <v>0</v>
      </c>
      <c r="AN56" s="337">
        <f>SUMIFS(BS_RE33!$H$7:$H$874,BS_RE33!$S$7:$S$874,$AN$2,BS_RE33!$N$7:$N$874,I56,BS_RE33!$P$7:$P$874,'30 days CF Table(GBP)'!G56,BS_RE33!$F$7:$F$874,'30 days CF Table(GBP)'!$C$2)</f>
        <v>0</v>
      </c>
      <c r="AO56" s="337">
        <f>SUMIFS(BS_RE33!$H$7:$H$874,BS_RE33!$S$7:$S$874,$AO$2,BS_RE33!$N$7:$N$874,I56,BS_RE33!$P$7:$P$874,'30 days CF Table(GBP)'!G56,BS_RE33!$F$7:$F$874,'30 days CF Table(GBP)'!$C$2)</f>
        <v>0</v>
      </c>
      <c r="AP56" s="338">
        <f>SUMIFS(BS_RE33!$H$7:$H$874,BS_RE33!$S$7:$S$874,$AP$2,BS_RE33!$N$7:$N$874,I56,BS_RE33!$P$7:$P$874,'30 days CF Table(GBP)'!G56,BS_RE33!$F$7:$F$874,'30 days CF Table(GBP)'!$C$2)</f>
        <v>0</v>
      </c>
      <c r="AR56" s="379">
        <f>SUMIFS(BS_RE33!$H$7:$H$874,BS_RE33!$S$7:$S$874,$AR$2,BS_RE33!$N$7:$N$874,I56,BS_RE33!$P$7:$P$874,'30 days CF Table(GBP)'!G56,BS_RE33!$F$7:$F$874,'30 days CF Table(GBP)'!$C$2)</f>
        <v>0</v>
      </c>
      <c r="AS56" s="379">
        <f>SUMIFS(BS_RE33!$H$7:$H$874,BS_RE33!$S$7:$S$874,$AS$2,BS_RE33!$N$7:$N$874,I56,BS_RE33!$P$7:$P$874,'30 days CF Table(GBP)'!G56,BS_RE33!$F$7:$F$874,'30 days CF Table(GBP)'!$C$2)</f>
        <v>0</v>
      </c>
      <c r="AT56" s="379">
        <f>SUMIFS(BS_RE33!$H$7:$H$874,BS_RE33!$S$7:$S$874,$AT$2,BS_RE33!$N$7:$N$874,I56,BS_RE33!$P$7:$P$874,'30 days CF Table(GBP)'!G56,BS_RE33!$F$7:$F$874,'30 days CF Table(GBP)'!$C$2)</f>
        <v>0</v>
      </c>
      <c r="AU56" s="379">
        <f>SUMIFS(BS_RE33!$H$7:$H$874,BS_RE33!$S$7:$S$874,$AU$2,BS_RE33!$N$7:$N$874,I56,BS_RE33!$P$7:$P$874,'30 days CF Table(GBP)'!G56,BS_RE33!$F$7:$F$874,'30 days CF Table(GBP)'!$C$2)</f>
        <v>0</v>
      </c>
      <c r="AV56" s="379">
        <f>SUMIFS(BS_RE33!$H$7:$H$874,BS_RE33!$S$7:$S$874,$AV$2,BS_RE33!$N$7:$N$874,I56,BS_RE33!$P$7:$P$874,'30 days CF Table(GBP)'!G56,BS_RE33!$F$7:$F$874,'30 days CF Table(GBP)'!$C$2)</f>
        <v>0</v>
      </c>
      <c r="AW56" s="379">
        <f>SUMIFS(BS_RE33!$H$7:$H$874,BS_RE33!$S$7:$S$874,$AW$2,BS_RE33!$N$7:$N$874,I56,BS_RE33!$P$7:$P$874,'30 days CF Table(GBP)'!G56,BS_RE33!$F$7:$F$874,'30 days CF Table(GBP)'!$C$2)</f>
        <v>0</v>
      </c>
      <c r="AX56" s="379">
        <f>SUMIFS(BS_RE33!$H$7:$H$874,BS_RE33!$S$7:$S$874,$AX$2,BS_RE33!$N$7:$N$874,I56,BS_RE33!$P$7:$P$874,'30 days CF Table(GBP)'!G56,BS_RE33!$F$7:$F$874,'30 days CF Table(GBP)'!$C$2)</f>
        <v>0</v>
      </c>
      <c r="AY56" s="379">
        <f>SUMIFS(BS_RE33!$H$7:$H$874,BS_RE33!$S$7:$S$874,$AY$2,BS_RE33!$N$7:$N$874,I56,BS_RE33!$P$7:$P$874,'30 days CF Table(GBP)'!G56,BS_RE33!$F$7:$F$874,'30 days CF Table(GBP)'!$C$2)</f>
        <v>0</v>
      </c>
      <c r="AZ56" s="379">
        <f>SUMIFS(BS_RE33!$H$7:$H$874,BS_RE33!$S$7:$S$874,$AZ$2,BS_RE33!$N$7:$N$874,I56,BS_RE33!$P$7:$P$874,'30 days CF Table(GBP)'!G56,BS_RE33!$F$7:$F$874,'30 days CF Table(GBP)'!$C$2)</f>
        <v>0</v>
      </c>
      <c r="BA56" s="379">
        <f>SUMIFS(BS_RE33!$H$7:$H$874,BS_RE33!$S$7:$S$874,$BA$2,BS_RE33!$N$7:$N$874,I56,BS_RE33!$P$7:$P$874,'30 days CF Table(GBP)'!G56,BS_RE33!$F$7:$F$874,'30 days CF Table(GBP)'!$C$2)</f>
        <v>0</v>
      </c>
      <c r="BB56" s="379">
        <f>SUMIFS(BS_RE33!$H$7:$H$874,BS_RE33!$S$7:$S$874,$BB$2,BS_RE33!$N$7:$N$874,I56,BS_RE33!$P$7:$P$874,'30 days CF Table(GBP)'!G56,BS_RE33!$F$7:$F$874,'30 days CF Table(GBP)'!$C$2)</f>
        <v>0</v>
      </c>
      <c r="BC56" s="379">
        <f>SUMIFS(BS_RE33!$H$7:$H$874,BS_RE33!$S$7:$S$874,$BC$2,BS_RE33!$N$7:$N$874,I56,BS_RE33!$P$7:$P$874,'30 days CF Table(GBP)'!G56,BS_RE33!$F$7:$F$874,'30 days CF Table(GBP)'!$C$2)</f>
        <v>0</v>
      </c>
      <c r="BD56" s="379">
        <f>SUMIFS(BS_RE33!$H$7:$H$874,BS_RE33!$S$7:$S$874,$BD$2,BS_RE33!$N$7:$N$874,I56,BS_RE33!$P$7:$P$874,'30 days CF Table(GBP)'!G56,BS_RE33!$F$7:$F$874,'30 days CF Table(GBP)'!$C$2)</f>
        <v>0</v>
      </c>
      <c r="BE56" s="379">
        <f>SUMIFS(BS_RE33!$H$7:$H$874,BS_RE33!$S$7:$S$874,$BE$2,BS_RE33!$N$7:$N$874,I56,BS_RE33!$P$7:$P$874,'30 days CF Table(GBP)'!G56,BS_RE33!$F$7:$F$874,'30 days CF Table(GBP)'!$C$2)</f>
        <v>0</v>
      </c>
      <c r="BF56" s="379">
        <f>SUMIFS(BS_RE33!$H$7:$H$874,BS_RE33!$S$7:$S$874,$BF$2,BS_RE33!$N$7:$N$874,I56,BS_RE33!$P$7:$P$874,'30 days CF Table(GBP)'!G56,BS_RE33!$F$7:$F$874,'30 days CF Table(GBP)'!$C$2)</f>
        <v>0</v>
      </c>
      <c r="BG56" s="379">
        <f>SUMIFS(BS_RE33!$H$7:$H$874,BS_RE33!$S$7:$S$874,$BG$2,BS_RE33!$N$7:$N$874,I56,BS_RE33!$P$7:$P$874,'30 days CF Table(GBP)'!G56,BS_RE33!$F$7:$F$874,'30 days CF Table(GBP)'!$C$2)</f>
        <v>0</v>
      </c>
      <c r="BH56" s="379">
        <f>SUMIFS(BS_RE33!$H$7:$H$874,BS_RE33!$S$7:$S$874,$BH$2,BS_RE33!$N$7:$N$874,I56,BS_RE33!$P$7:$P$874,'30 days CF Table(GBP)'!G56,BS_RE33!$F$7:$F$874,'30 days CF Table(GBP)'!$C$2)</f>
        <v>0</v>
      </c>
      <c r="BI56" s="379">
        <f>SUMIFS(BS_RE33!$H$7:$H$874,BS_RE33!$S$7:$S$874,$BI$2,BS_RE33!$N$7:$N$874,I56,BS_RE33!$P$7:$P$874,'30 days CF Table(GBP)'!G56,BS_RE33!$F$7:$F$874,'30 days CF Table(GBP)'!$C$2)</f>
        <v>0</v>
      </c>
      <c r="BJ56" s="379">
        <f>SUMIFS(BS_RE33!$H$7:$H$874,BS_RE33!$S$7:$S$874,$BJ$2,BS_RE33!$N$7:$N$874,I56,BS_RE33!$P$7:$P$874,'30 days CF Table(GBP)'!G56,BS_RE33!$F$7:$F$874,'30 days CF Table(GBP)'!$C$2)</f>
        <v>0</v>
      </c>
      <c r="BK56" s="379">
        <f>SUMIFS(BS_RE33!$H$7:$H$874,BS_RE33!$S$7:$S$874,$BK$2,BS_RE33!$N$7:$N$874,I56,BS_RE33!$P$7:$P$874,'30 days CF Table(GBP)'!G56,BS_RE33!$F$7:$F$874,'30 days CF Table(GBP)'!$C$2)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Table(GBP)'!G57,BS_RE33!$F$7:$F$874,'30 days CF Table(GBP)'!$C$2)</f>
        <v>0</v>
      </c>
      <c r="M57" s="337">
        <f>SUMIFS(BS_RE33!$H$7:$H$874,BS_RE33!$S$7:$S$874,$M$2,BS_RE33!$N$7:$N$874,I57,BS_RE33!$P$7:$P$874,'30 days CF Table(GBP)'!G57,BS_RE33!$F$7:$F$874,'30 days CF Table(GBP)'!$C$2)</f>
        <v>0</v>
      </c>
      <c r="N57" s="337">
        <f>SUMIFS(BS_RE33!$H$7:$H$874,BS_RE33!$S$7:$S$874,$N$2,BS_RE33!$N$7:$N$874,I57,BS_RE33!$P$7:$P$874,'30 days CF Table(GBP)'!G57,BS_RE33!$F$7:$F$874,'30 days CF Table(GBP)'!$C$2)</f>
        <v>0</v>
      </c>
      <c r="O57" s="337">
        <f>SUMIFS(BS_RE33!$H$7:$H$874,BS_RE33!$S$7:$S$874,$O$2,BS_RE33!$N$7:$N$874,I57,BS_RE33!$P$7:$P$874,'30 days CF Table(GBP)'!G57,BS_RE33!$F$7:$F$874,'30 days CF Table(GBP)'!$C$2)</f>
        <v>0</v>
      </c>
      <c r="P57" s="337">
        <f>SUMIFS(BS_RE33!$H$7:$H$874,BS_RE33!$S$7:$S$874,$P$2,BS_RE33!$N$7:$N$874,I57,BS_RE33!$P$7:$P$874,'30 days CF Table(GBP)'!G57,BS_RE33!$F$7:$F$874,'30 days CF Table(GBP)'!$C$2)</f>
        <v>0</v>
      </c>
      <c r="Q57" s="337">
        <f>SUMIFS(BS_RE33!$H$7:$H$874,BS_RE33!$S$7:$S$874,$Q$2,BS_RE33!$N$7:$N$874,I57,BS_RE33!$P$7:$P$874,'30 days CF Table(GBP)'!G57,BS_RE33!$F$7:$F$874,'30 days CF Table(GBP)'!$C$2)</f>
        <v>0</v>
      </c>
      <c r="R57" s="337">
        <f>SUMIFS(BS_RE33!$H$7:$H$874,BS_RE33!$S$7:$S$874,$R$2,BS_RE33!$N$7:$N$874,I57,BS_RE33!$P$7:$P$874,'30 days CF Table(GBP)'!G57,BS_RE33!$F$7:$F$874,'30 days CF Table(GBP)'!$C$2)</f>
        <v>0</v>
      </c>
      <c r="S57" s="337">
        <f>SUMIFS(BS_RE33!$H$7:$H$874,BS_RE33!$S$7:$S$874,$S$2,BS_RE33!$N$7:$N$874,I57,BS_RE33!$P$7:$P$874,'30 days CF Table(GBP)'!G57,BS_RE33!$F$7:$F$874,'30 days CF Table(GBP)'!$C$2)</f>
        <v>0</v>
      </c>
      <c r="T57" s="337">
        <f>SUMIFS(BS_RE33!$H$7:$H$874,BS_RE33!$S$7:$S$874,$T$2,BS_RE33!$N$7:$N$874,I57,BS_RE33!$P$7:$P$874,'30 days CF Table(GBP)'!G57,BS_RE33!$F$7:$F$874,'30 days CF Table(GBP)'!$C$2)</f>
        <v>0</v>
      </c>
      <c r="U57" s="337">
        <f>SUMIFS(BS_RE33!$H$7:$H$874,BS_RE33!$S$7:$S$874,$U$2,BS_RE33!$N$7:$N$874,I57,BS_RE33!$P$7:$P$874,'30 days CF Table(GBP)'!G57,BS_RE33!$F$7:$F$874,'30 days CF Table(GBP)'!$C$2)</f>
        <v>0</v>
      </c>
      <c r="V57" s="337">
        <f>SUMIFS(BS_RE33!$H$7:$H$874,BS_RE33!$S$7:$S$874,$V$2,BS_RE33!$N$7:$N$874,I57,BS_RE33!$P$7:$P$874,'30 days CF Table(GBP)'!G57,BS_RE33!$F$7:$F$874,'30 days CF Table(GBP)'!$C$2)</f>
        <v>0</v>
      </c>
      <c r="W57" s="337">
        <f>SUMIFS(BS_RE33!$H$7:$H$874,BS_RE33!$S$7:$S$874,$W$2,BS_RE33!$N$7:$N$874,I57,BS_RE33!$P$7:$P$874,'30 days CF Table(GBP)'!G57,BS_RE33!$F$7:$F$874,'30 days CF Table(GBP)'!$C$2)</f>
        <v>0</v>
      </c>
      <c r="X57" s="337">
        <f>SUMIFS(BS_RE33!$H$7:$H$874,BS_RE33!$S$7:$S$874,$X$2,BS_RE33!$N$7:$N$874,I57,BS_RE33!$P$7:$P$874,'30 days CF Table(GBP)'!G57,BS_RE33!$F$7:$F$874,'30 days CF Table(GBP)'!$C$2)</f>
        <v>0</v>
      </c>
      <c r="Y57" s="337">
        <f>SUMIFS(BS_RE33!$H$7:$H$874,BS_RE33!$S$7:$S$874,$Y$2,BS_RE33!$N$7:$N$874,I57,BS_RE33!$P$7:$P$874,'30 days CF Table(GBP)'!G57,BS_RE33!$F$7:$F$874,'30 days CF Table(GBP)'!$C$2)</f>
        <v>0</v>
      </c>
      <c r="Z57" s="337">
        <f>SUMIFS(BS_RE33!$H$7:$H$874,BS_RE33!$S$7:$S$874,$Z$2,BS_RE33!$N$7:$N$874,I57,BS_RE33!$P$7:$P$874,'30 days CF Table(GBP)'!G57,BS_RE33!$F$7:$F$874,'30 days CF Table(GBP)'!$C$2)</f>
        <v>0</v>
      </c>
      <c r="AA57" s="337">
        <f>SUMIFS(BS_RE33!$H$7:$H$874,BS_RE33!$S$7:$S$874,$AA$2,BS_RE33!$N$7:$N$874,I57,BS_RE33!$P$7:$P$874,'30 days CF Table(GBP)'!G57,BS_RE33!$F$7:$F$874,'30 days CF Table(GBP)'!$C$2)</f>
        <v>0</v>
      </c>
      <c r="AB57" s="337">
        <f>SUMIFS(BS_RE33!$H$7:$H$874,BS_RE33!$S$7:$S$874,$AB$2,BS_RE33!$N$7:$N$874,I57,BS_RE33!$P$7:$P$874,'30 days CF Table(GBP)'!G57,BS_RE33!$F$7:$F$874,'30 days CF Table(GBP)'!$C$2)</f>
        <v>0</v>
      </c>
      <c r="AC57" s="337">
        <f>SUMIFS(BS_RE33!$H$7:$H$874,BS_RE33!$S$7:$S$874,$AC$2,BS_RE33!$N$7:$N$874,I57,BS_RE33!$P$7:$P$874,'30 days CF Table(GBP)'!G57,BS_RE33!$F$7:$F$874,'30 days CF Table(GBP)'!$C$2)</f>
        <v>0</v>
      </c>
      <c r="AD57" s="337">
        <f>SUMIFS(BS_RE33!$H$7:$H$874,BS_RE33!$S$7:$S$874,$AD$2,BS_RE33!$N$7:$N$874,I57,BS_RE33!$P$7:$P$874,'30 days CF Table(GBP)'!G57,BS_RE33!$F$7:$F$874,'30 days CF Table(GBP)'!$C$2)</f>
        <v>0</v>
      </c>
      <c r="AE57" s="337">
        <f>SUMIFS(BS_RE33!$H$7:$H$874,BS_RE33!$S$7:$S$874,$AE$2,BS_RE33!$N$7:$N$874,I57,BS_RE33!$P$7:$P$874,'30 days CF Table(GBP)'!G57,BS_RE33!$F$7:$F$874,'30 days CF Table(GBP)'!$C$2)</f>
        <v>0</v>
      </c>
      <c r="AF57" s="337">
        <f>SUMIFS(BS_RE33!$H$7:$H$874,BS_RE33!$S$7:$S$874,$AF$2,BS_RE33!$N$7:$N$874,I57,BS_RE33!$P$7:$P$874,'30 days CF Table(GBP)'!G57,BS_RE33!$F$7:$F$874,'30 days CF Table(GBP)'!$C$2)</f>
        <v>0</v>
      </c>
      <c r="AG57" s="337">
        <f>SUMIFS(BS_RE33!$H$7:$H$874,BS_RE33!$S$7:$S$874,$AG$2,BS_RE33!$N$7:$N$874,I57,BS_RE33!$P$7:$P$874,'30 days CF Table(GBP)'!G57,BS_RE33!$F$7:$F$874,'30 days CF Table(GBP)'!$C$2)</f>
        <v>0</v>
      </c>
      <c r="AH57" s="337">
        <f>SUMIFS(BS_RE33!$H$7:$H$874,BS_RE33!$S$7:$S$874,$AH$2,BS_RE33!$N$7:$N$874,I57,BS_RE33!$P$7:$P$874,'30 days CF Table(GBP)'!G57,BS_RE33!$F$7:$F$874,'30 days CF Table(GBP)'!$C$2)</f>
        <v>0</v>
      </c>
      <c r="AI57" s="337">
        <f>SUMIFS(BS_RE33!$H$7:$H$874,BS_RE33!$S$7:$S$874,$AI$2,BS_RE33!$N$7:$N$874,I57,BS_RE33!$P$7:$P$874,'30 days CF Table(GBP)'!G57,BS_RE33!$F$7:$F$874,'30 days CF Table(GBP)'!$C$2)</f>
        <v>0</v>
      </c>
      <c r="AJ57" s="337">
        <f>SUMIFS(BS_RE33!$H$7:$H$874,BS_RE33!$S$7:$S$874,$AJ$2,BS_RE33!$N$7:$N$874,I57,BS_RE33!$P$7:$P$874,'30 days CF Table(GBP)'!G57,BS_RE33!$F$7:$F$874,'30 days CF Table(GBP)'!$C$2)</f>
        <v>0</v>
      </c>
      <c r="AK57" s="337">
        <f>SUMIFS(BS_RE33!$H$7:$H$874,BS_RE33!$S$7:$S$874,$AK$2,BS_RE33!$N$7:$N$874,I57,BS_RE33!$P$7:$P$874,'30 days CF Table(GBP)'!G57,BS_RE33!$F$7:$F$874,'30 days CF Table(GBP)'!$C$2)</f>
        <v>0</v>
      </c>
      <c r="AL57" s="337">
        <f>SUMIFS(BS_RE33!$H$7:$H$874,BS_RE33!$S$7:$S$874,$AL$2,BS_RE33!$N$7:$N$874,I57,BS_RE33!$P$7:$P$874,'30 days CF Table(GBP)'!G57,BS_RE33!$F$7:$F$874,'30 days CF Table(GBP)'!$C$2)</f>
        <v>0</v>
      </c>
      <c r="AM57" s="337">
        <f>SUMIFS(BS_RE33!$H$7:$H$874,BS_RE33!$S$7:$S$874,$AM$2,BS_RE33!$N$7:$N$874,I57,BS_RE33!$P$7:$P$874,'30 days CF Table(GBP)'!G57,BS_RE33!$F$7:$F$874,'30 days CF Table(GBP)'!$C$2)</f>
        <v>0</v>
      </c>
      <c r="AN57" s="337">
        <f>SUMIFS(BS_RE33!$H$7:$H$874,BS_RE33!$S$7:$S$874,$AN$2,BS_RE33!$N$7:$N$874,I57,BS_RE33!$P$7:$P$874,'30 days CF Table(GBP)'!G57,BS_RE33!$F$7:$F$874,'30 days CF Table(GBP)'!$C$2)</f>
        <v>0</v>
      </c>
      <c r="AO57" s="337">
        <f>SUMIFS(BS_RE33!$H$7:$H$874,BS_RE33!$S$7:$S$874,$AO$2,BS_RE33!$N$7:$N$874,I57,BS_RE33!$P$7:$P$874,'30 days CF Table(GBP)'!G57,BS_RE33!$F$7:$F$874,'30 days CF Table(GBP)'!$C$2)</f>
        <v>0</v>
      </c>
      <c r="AP57" s="338">
        <f>SUMIFS(BS_RE33!$H$7:$H$874,BS_RE33!$S$7:$S$874,$AP$2,BS_RE33!$N$7:$N$874,I57,BS_RE33!$P$7:$P$874,'30 days CF Table(GBP)'!G57,BS_RE33!$F$7:$F$874,'30 days CF Table(GBP)'!$C$2)</f>
        <v>0</v>
      </c>
      <c r="AR57" s="379">
        <f>SUMIFS(BS_RE33!$H$7:$H$874,BS_RE33!$S$7:$S$874,$AR$2,BS_RE33!$N$7:$N$874,I57,BS_RE33!$P$7:$P$874,'30 days CF Table(GBP)'!G57,BS_RE33!$F$7:$F$874,'30 days CF Table(GBP)'!$C$2)</f>
        <v>0</v>
      </c>
      <c r="AS57" s="379">
        <f>SUMIFS(BS_RE33!$H$7:$H$874,BS_RE33!$S$7:$S$874,$AS$2,BS_RE33!$N$7:$N$874,I57,BS_RE33!$P$7:$P$874,'30 days CF Table(GBP)'!G57,BS_RE33!$F$7:$F$874,'30 days CF Table(GBP)'!$C$2)</f>
        <v>0</v>
      </c>
      <c r="AT57" s="379">
        <f>SUMIFS(BS_RE33!$H$7:$H$874,BS_RE33!$S$7:$S$874,$AT$2,BS_RE33!$N$7:$N$874,I57,BS_RE33!$P$7:$P$874,'30 days CF Table(GBP)'!G57,BS_RE33!$F$7:$F$874,'30 days CF Table(GBP)'!$C$2)</f>
        <v>0</v>
      </c>
      <c r="AU57" s="379">
        <f>SUMIFS(BS_RE33!$H$7:$H$874,BS_RE33!$S$7:$S$874,$AU$2,BS_RE33!$N$7:$N$874,I57,BS_RE33!$P$7:$P$874,'30 days CF Table(GBP)'!G57,BS_RE33!$F$7:$F$874,'30 days CF Table(GBP)'!$C$2)</f>
        <v>0</v>
      </c>
      <c r="AV57" s="379">
        <f>SUMIFS(BS_RE33!$H$7:$H$874,BS_RE33!$S$7:$S$874,$AV$2,BS_RE33!$N$7:$N$874,I57,BS_RE33!$P$7:$P$874,'30 days CF Table(GBP)'!G57,BS_RE33!$F$7:$F$874,'30 days CF Table(GBP)'!$C$2)</f>
        <v>0</v>
      </c>
      <c r="AW57" s="379">
        <f>SUMIFS(BS_RE33!$H$7:$H$874,BS_RE33!$S$7:$S$874,$AW$2,BS_RE33!$N$7:$N$874,I57,BS_RE33!$P$7:$P$874,'30 days CF Table(GBP)'!G57,BS_RE33!$F$7:$F$874,'30 days CF Table(GBP)'!$C$2)</f>
        <v>0</v>
      </c>
      <c r="AX57" s="379">
        <f>SUMIFS(BS_RE33!$H$7:$H$874,BS_RE33!$S$7:$S$874,$AX$2,BS_RE33!$N$7:$N$874,I57,BS_RE33!$P$7:$P$874,'30 days CF Table(GBP)'!G57,BS_RE33!$F$7:$F$874,'30 days CF Table(GBP)'!$C$2)</f>
        <v>0</v>
      </c>
      <c r="AY57" s="379">
        <f>SUMIFS(BS_RE33!$H$7:$H$874,BS_RE33!$S$7:$S$874,$AY$2,BS_RE33!$N$7:$N$874,I57,BS_RE33!$P$7:$P$874,'30 days CF Table(GBP)'!G57,BS_RE33!$F$7:$F$874,'30 days CF Table(GBP)'!$C$2)</f>
        <v>0</v>
      </c>
      <c r="AZ57" s="379">
        <f>SUMIFS(BS_RE33!$H$7:$H$874,BS_RE33!$S$7:$S$874,$AZ$2,BS_RE33!$N$7:$N$874,I57,BS_RE33!$P$7:$P$874,'30 days CF Table(GBP)'!G57,BS_RE33!$F$7:$F$874,'30 days CF Table(GBP)'!$C$2)</f>
        <v>0</v>
      </c>
      <c r="BA57" s="379">
        <f>SUMIFS(BS_RE33!$H$7:$H$874,BS_RE33!$S$7:$S$874,$BA$2,BS_RE33!$N$7:$N$874,I57,BS_RE33!$P$7:$P$874,'30 days CF Table(GBP)'!G57,BS_RE33!$F$7:$F$874,'30 days CF Table(GBP)'!$C$2)</f>
        <v>0</v>
      </c>
      <c r="BB57" s="379">
        <f>SUMIFS(BS_RE33!$H$7:$H$874,BS_RE33!$S$7:$S$874,$BB$2,BS_RE33!$N$7:$N$874,I57,BS_RE33!$P$7:$P$874,'30 days CF Table(GBP)'!G57,BS_RE33!$F$7:$F$874,'30 days CF Table(GBP)'!$C$2)</f>
        <v>0</v>
      </c>
      <c r="BC57" s="379">
        <f>SUMIFS(BS_RE33!$H$7:$H$874,BS_RE33!$S$7:$S$874,$BC$2,BS_RE33!$N$7:$N$874,I57,BS_RE33!$P$7:$P$874,'30 days CF Table(GBP)'!G57,BS_RE33!$F$7:$F$874,'30 days CF Table(GBP)'!$C$2)</f>
        <v>0</v>
      </c>
      <c r="BD57" s="379">
        <f>SUMIFS(BS_RE33!$H$7:$H$874,BS_RE33!$S$7:$S$874,$BD$2,BS_RE33!$N$7:$N$874,I57,BS_RE33!$P$7:$P$874,'30 days CF Table(GBP)'!G57,BS_RE33!$F$7:$F$874,'30 days CF Table(GBP)'!$C$2)</f>
        <v>0</v>
      </c>
      <c r="BE57" s="379">
        <f>SUMIFS(BS_RE33!$H$7:$H$874,BS_RE33!$S$7:$S$874,$BE$2,BS_RE33!$N$7:$N$874,I57,BS_RE33!$P$7:$P$874,'30 days CF Table(GBP)'!G57,BS_RE33!$F$7:$F$874,'30 days CF Table(GBP)'!$C$2)</f>
        <v>0</v>
      </c>
      <c r="BF57" s="379">
        <f>SUMIFS(BS_RE33!$H$7:$H$874,BS_RE33!$S$7:$S$874,$BF$2,BS_RE33!$N$7:$N$874,I57,BS_RE33!$P$7:$P$874,'30 days CF Table(GBP)'!G57,BS_RE33!$F$7:$F$874,'30 days CF Table(GBP)'!$C$2)</f>
        <v>0</v>
      </c>
      <c r="BG57" s="379">
        <f>SUMIFS(BS_RE33!$H$7:$H$874,BS_RE33!$S$7:$S$874,$BG$2,BS_RE33!$N$7:$N$874,I57,BS_RE33!$P$7:$P$874,'30 days CF Table(GBP)'!G57,BS_RE33!$F$7:$F$874,'30 days CF Table(GBP)'!$C$2)</f>
        <v>0</v>
      </c>
      <c r="BH57" s="379">
        <f>SUMIFS(BS_RE33!$H$7:$H$874,BS_RE33!$S$7:$S$874,$BH$2,BS_RE33!$N$7:$N$874,I57,BS_RE33!$P$7:$P$874,'30 days CF Table(GBP)'!G57,BS_RE33!$F$7:$F$874,'30 days CF Table(GBP)'!$C$2)</f>
        <v>0</v>
      </c>
      <c r="BI57" s="379">
        <f>SUMIFS(BS_RE33!$H$7:$H$874,BS_RE33!$S$7:$S$874,$BI$2,BS_RE33!$N$7:$N$874,I57,BS_RE33!$P$7:$P$874,'30 days CF Table(GBP)'!G57,BS_RE33!$F$7:$F$874,'30 days CF Table(GBP)'!$C$2)</f>
        <v>0</v>
      </c>
      <c r="BJ57" s="379">
        <f>SUMIFS(BS_RE33!$H$7:$H$874,BS_RE33!$S$7:$S$874,$BJ$2,BS_RE33!$N$7:$N$874,I57,BS_RE33!$P$7:$P$874,'30 days CF Table(GBP)'!G57,BS_RE33!$F$7:$F$874,'30 days CF Table(GBP)'!$C$2)</f>
        <v>0</v>
      </c>
      <c r="BK57" s="379">
        <f>SUMIFS(BS_RE33!$H$7:$H$874,BS_RE33!$S$7:$S$874,$BK$2,BS_RE33!$N$7:$N$874,I57,BS_RE33!$P$7:$P$874,'30 days CF Table(GBP)'!G57,BS_RE33!$F$7:$F$874,'30 days CF Table(GBP)'!$C$2)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Table(GBP)'!G58,BS_RE33!$F$7:$F$874,'30 days CF Table(GBP)'!$C$2)</f>
        <v>0</v>
      </c>
      <c r="M58" s="337">
        <f>SUMIFS(BS_RE33!$H$7:$H$874,BS_RE33!$S$7:$S$874,$M$2,BS_RE33!$N$7:$N$874,I58,BS_RE33!$P$7:$P$874,'30 days CF Table(GBP)'!G58,BS_RE33!$F$7:$F$874,'30 days CF Table(GBP)'!$C$2)</f>
        <v>0</v>
      </c>
      <c r="N58" s="337">
        <f>SUMIFS(BS_RE33!$H$7:$H$874,BS_RE33!$S$7:$S$874,$N$2,BS_RE33!$N$7:$N$874,I58,BS_RE33!$P$7:$P$874,'30 days CF Table(GBP)'!G58,BS_RE33!$F$7:$F$874,'30 days CF Table(GBP)'!$C$2)</f>
        <v>0</v>
      </c>
      <c r="O58" s="337">
        <f>SUMIFS(BS_RE33!$H$7:$H$874,BS_RE33!$S$7:$S$874,$O$2,BS_RE33!$N$7:$N$874,I58,BS_RE33!$P$7:$P$874,'30 days CF Table(GBP)'!G58,BS_RE33!$F$7:$F$874,'30 days CF Table(GBP)'!$C$2)</f>
        <v>0</v>
      </c>
      <c r="P58" s="337">
        <f>SUMIFS(BS_RE33!$H$7:$H$874,BS_RE33!$S$7:$S$874,$P$2,BS_RE33!$N$7:$N$874,I58,BS_RE33!$P$7:$P$874,'30 days CF Table(GBP)'!G58,BS_RE33!$F$7:$F$874,'30 days CF Table(GBP)'!$C$2)</f>
        <v>0</v>
      </c>
      <c r="Q58" s="337">
        <f>SUMIFS(BS_RE33!$H$7:$H$874,BS_RE33!$S$7:$S$874,$Q$2,BS_RE33!$N$7:$N$874,I58,BS_RE33!$P$7:$P$874,'30 days CF Table(GBP)'!G58,BS_RE33!$F$7:$F$874,'30 days CF Table(GBP)'!$C$2)</f>
        <v>0</v>
      </c>
      <c r="R58" s="337">
        <f>SUMIFS(BS_RE33!$H$7:$H$874,BS_RE33!$S$7:$S$874,$R$2,BS_RE33!$N$7:$N$874,I58,BS_RE33!$P$7:$P$874,'30 days CF Table(GBP)'!G58,BS_RE33!$F$7:$F$874,'30 days CF Table(GBP)'!$C$2)</f>
        <v>0</v>
      </c>
      <c r="S58" s="337">
        <f>SUMIFS(BS_RE33!$H$7:$H$874,BS_RE33!$S$7:$S$874,$S$2,BS_RE33!$N$7:$N$874,I58,BS_RE33!$P$7:$P$874,'30 days CF Table(GBP)'!G58,BS_RE33!$F$7:$F$874,'30 days CF Table(GBP)'!$C$2)</f>
        <v>0</v>
      </c>
      <c r="T58" s="337">
        <f>SUMIFS(BS_RE33!$H$7:$H$874,BS_RE33!$S$7:$S$874,$T$2,BS_RE33!$N$7:$N$874,I58,BS_RE33!$P$7:$P$874,'30 days CF Table(GBP)'!G58,BS_RE33!$F$7:$F$874,'30 days CF Table(GBP)'!$C$2)</f>
        <v>0</v>
      </c>
      <c r="U58" s="337">
        <f>SUMIFS(BS_RE33!$H$7:$H$874,BS_RE33!$S$7:$S$874,$U$2,BS_RE33!$N$7:$N$874,I58,BS_RE33!$P$7:$P$874,'30 days CF Table(GBP)'!G58,BS_RE33!$F$7:$F$874,'30 days CF Table(GBP)'!$C$2)</f>
        <v>0</v>
      </c>
      <c r="V58" s="337">
        <f>SUMIFS(BS_RE33!$H$7:$H$874,BS_RE33!$S$7:$S$874,$V$2,BS_RE33!$N$7:$N$874,I58,BS_RE33!$P$7:$P$874,'30 days CF Table(GBP)'!G58,BS_RE33!$F$7:$F$874,'30 days CF Table(GBP)'!$C$2)</f>
        <v>0</v>
      </c>
      <c r="W58" s="337">
        <f>SUMIFS(BS_RE33!$H$7:$H$874,BS_RE33!$S$7:$S$874,$W$2,BS_RE33!$N$7:$N$874,I58,BS_RE33!$P$7:$P$874,'30 days CF Table(GBP)'!G58,BS_RE33!$F$7:$F$874,'30 days CF Table(GBP)'!$C$2)</f>
        <v>0</v>
      </c>
      <c r="X58" s="337">
        <f>SUMIFS(BS_RE33!$H$7:$H$874,BS_RE33!$S$7:$S$874,$X$2,BS_RE33!$N$7:$N$874,I58,BS_RE33!$P$7:$P$874,'30 days CF Table(GBP)'!G58,BS_RE33!$F$7:$F$874,'30 days CF Table(GBP)'!$C$2)</f>
        <v>0</v>
      </c>
      <c r="Y58" s="337">
        <f>SUMIFS(BS_RE33!$H$7:$H$874,BS_RE33!$S$7:$S$874,$Y$2,BS_RE33!$N$7:$N$874,I58,BS_RE33!$P$7:$P$874,'30 days CF Table(GBP)'!G58,BS_RE33!$F$7:$F$874,'30 days CF Table(GBP)'!$C$2)</f>
        <v>0</v>
      </c>
      <c r="Z58" s="337">
        <f>SUMIFS(BS_RE33!$H$7:$H$874,BS_RE33!$S$7:$S$874,$Z$2,BS_RE33!$N$7:$N$874,I58,BS_RE33!$P$7:$P$874,'30 days CF Table(GBP)'!G58,BS_RE33!$F$7:$F$874,'30 days CF Table(GBP)'!$C$2)</f>
        <v>0</v>
      </c>
      <c r="AA58" s="337">
        <f>SUMIFS(BS_RE33!$H$7:$H$874,BS_RE33!$S$7:$S$874,$AA$2,BS_RE33!$N$7:$N$874,I58,BS_RE33!$P$7:$P$874,'30 days CF Table(GBP)'!G58,BS_RE33!$F$7:$F$874,'30 days CF Table(GBP)'!$C$2)</f>
        <v>0</v>
      </c>
      <c r="AB58" s="337">
        <f>SUMIFS(BS_RE33!$H$7:$H$874,BS_RE33!$S$7:$S$874,$AB$2,BS_RE33!$N$7:$N$874,I58,BS_RE33!$P$7:$P$874,'30 days CF Table(GBP)'!G58,BS_RE33!$F$7:$F$874,'30 days CF Table(GBP)'!$C$2)</f>
        <v>0</v>
      </c>
      <c r="AC58" s="337">
        <f>SUMIFS(BS_RE33!$H$7:$H$874,BS_RE33!$S$7:$S$874,$AC$2,BS_RE33!$N$7:$N$874,I58,BS_RE33!$P$7:$P$874,'30 days CF Table(GBP)'!G58,BS_RE33!$F$7:$F$874,'30 days CF Table(GBP)'!$C$2)</f>
        <v>0</v>
      </c>
      <c r="AD58" s="337">
        <f>SUMIFS(BS_RE33!$H$7:$H$874,BS_RE33!$S$7:$S$874,$AD$2,BS_RE33!$N$7:$N$874,I58,BS_RE33!$P$7:$P$874,'30 days CF Table(GBP)'!G58,BS_RE33!$F$7:$F$874,'30 days CF Table(GBP)'!$C$2)</f>
        <v>0</v>
      </c>
      <c r="AE58" s="337">
        <f>SUMIFS(BS_RE33!$H$7:$H$874,BS_RE33!$S$7:$S$874,$AE$2,BS_RE33!$N$7:$N$874,I58,BS_RE33!$P$7:$P$874,'30 days CF Table(GBP)'!G58,BS_RE33!$F$7:$F$874,'30 days CF Table(GBP)'!$C$2)</f>
        <v>0</v>
      </c>
      <c r="AF58" s="337">
        <f>SUMIFS(BS_RE33!$H$7:$H$874,BS_RE33!$S$7:$S$874,$AF$2,BS_RE33!$N$7:$N$874,I58,BS_RE33!$P$7:$P$874,'30 days CF Table(GBP)'!G58,BS_RE33!$F$7:$F$874,'30 days CF Table(GBP)'!$C$2)</f>
        <v>0</v>
      </c>
      <c r="AG58" s="337">
        <f>SUMIFS(BS_RE33!$H$7:$H$874,BS_RE33!$S$7:$S$874,$AG$2,BS_RE33!$N$7:$N$874,I58,BS_RE33!$P$7:$P$874,'30 days CF Table(GBP)'!G58,BS_RE33!$F$7:$F$874,'30 days CF Table(GBP)'!$C$2)</f>
        <v>0</v>
      </c>
      <c r="AH58" s="337">
        <f>SUMIFS(BS_RE33!$H$7:$H$874,BS_RE33!$S$7:$S$874,$AH$2,BS_RE33!$N$7:$N$874,I58,BS_RE33!$P$7:$P$874,'30 days CF Table(GBP)'!G58,BS_RE33!$F$7:$F$874,'30 days CF Table(GBP)'!$C$2)</f>
        <v>0</v>
      </c>
      <c r="AI58" s="337">
        <f>SUMIFS(BS_RE33!$H$7:$H$874,BS_RE33!$S$7:$S$874,$AI$2,BS_RE33!$N$7:$N$874,I58,BS_RE33!$P$7:$P$874,'30 days CF Table(GBP)'!G58,BS_RE33!$F$7:$F$874,'30 days CF Table(GBP)'!$C$2)</f>
        <v>0</v>
      </c>
      <c r="AJ58" s="337">
        <f>SUMIFS(BS_RE33!$H$7:$H$874,BS_RE33!$S$7:$S$874,$AJ$2,BS_RE33!$N$7:$N$874,I58,BS_RE33!$P$7:$P$874,'30 days CF Table(GBP)'!G58,BS_RE33!$F$7:$F$874,'30 days CF Table(GBP)'!$C$2)</f>
        <v>0</v>
      </c>
      <c r="AK58" s="337">
        <f>SUMIFS(BS_RE33!$H$7:$H$874,BS_RE33!$S$7:$S$874,$AK$2,BS_RE33!$N$7:$N$874,I58,BS_RE33!$P$7:$P$874,'30 days CF Table(GBP)'!G58,BS_RE33!$F$7:$F$874,'30 days CF Table(GBP)'!$C$2)</f>
        <v>0</v>
      </c>
      <c r="AL58" s="337">
        <f>SUMIFS(BS_RE33!$H$7:$H$874,BS_RE33!$S$7:$S$874,$AL$2,BS_RE33!$N$7:$N$874,I58,BS_RE33!$P$7:$P$874,'30 days CF Table(GBP)'!G58,BS_RE33!$F$7:$F$874,'30 days CF Table(GBP)'!$C$2)</f>
        <v>0</v>
      </c>
      <c r="AM58" s="337">
        <f>SUMIFS(BS_RE33!$H$7:$H$874,BS_RE33!$S$7:$S$874,$AM$2,BS_RE33!$N$7:$N$874,I58,BS_RE33!$P$7:$P$874,'30 days CF Table(GBP)'!G58,BS_RE33!$F$7:$F$874,'30 days CF Table(GBP)'!$C$2)</f>
        <v>0</v>
      </c>
      <c r="AN58" s="337">
        <f>SUMIFS(BS_RE33!$H$7:$H$874,BS_RE33!$S$7:$S$874,$AN$2,BS_RE33!$N$7:$N$874,I58,BS_RE33!$P$7:$P$874,'30 days CF Table(GBP)'!G58,BS_RE33!$F$7:$F$874,'30 days CF Table(GBP)'!$C$2)</f>
        <v>0</v>
      </c>
      <c r="AO58" s="337">
        <f>SUMIFS(BS_RE33!$H$7:$H$874,BS_RE33!$S$7:$S$874,$AO$2,BS_RE33!$N$7:$N$874,I58,BS_RE33!$P$7:$P$874,'30 days CF Table(GBP)'!G58,BS_RE33!$F$7:$F$874,'30 days CF Table(GBP)'!$C$2)</f>
        <v>0</v>
      </c>
      <c r="AP58" s="338">
        <f>SUMIFS(BS_RE33!$H$7:$H$874,BS_RE33!$S$7:$S$874,$AP$2,BS_RE33!$N$7:$N$874,I58,BS_RE33!$P$7:$P$874,'30 days CF Table(GBP)'!G58,BS_RE33!$F$7:$F$874,'30 days CF Table(GBP)'!$C$2)</f>
        <v>0</v>
      </c>
      <c r="AR58" s="379">
        <f>SUMIFS(BS_RE33!$H$7:$H$874,BS_RE33!$S$7:$S$874,$AR$2,BS_RE33!$N$7:$N$874,I58,BS_RE33!$P$7:$P$874,'30 days CF Table(GBP)'!G58,BS_RE33!$F$7:$F$874,'30 days CF Table(GBP)'!$C$2)</f>
        <v>0</v>
      </c>
      <c r="AS58" s="379">
        <f>SUMIFS(BS_RE33!$H$7:$H$874,BS_RE33!$S$7:$S$874,$AS$2,BS_RE33!$N$7:$N$874,I58,BS_RE33!$P$7:$P$874,'30 days CF Table(GBP)'!G58,BS_RE33!$F$7:$F$874,'30 days CF Table(GBP)'!$C$2)</f>
        <v>0</v>
      </c>
      <c r="AT58" s="379">
        <f>SUMIFS(BS_RE33!$H$7:$H$874,BS_RE33!$S$7:$S$874,$AT$2,BS_RE33!$N$7:$N$874,I58,BS_RE33!$P$7:$P$874,'30 days CF Table(GBP)'!G58,BS_RE33!$F$7:$F$874,'30 days CF Table(GBP)'!$C$2)</f>
        <v>0</v>
      </c>
      <c r="AU58" s="379">
        <f>SUMIFS(BS_RE33!$H$7:$H$874,BS_RE33!$S$7:$S$874,$AU$2,BS_RE33!$N$7:$N$874,I58,BS_RE33!$P$7:$P$874,'30 days CF Table(GBP)'!G58,BS_RE33!$F$7:$F$874,'30 days CF Table(GBP)'!$C$2)</f>
        <v>0</v>
      </c>
      <c r="AV58" s="379">
        <f>SUMIFS(BS_RE33!$H$7:$H$874,BS_RE33!$S$7:$S$874,$AV$2,BS_RE33!$N$7:$N$874,I58,BS_RE33!$P$7:$P$874,'30 days CF Table(GBP)'!G58,BS_RE33!$F$7:$F$874,'30 days CF Table(GBP)'!$C$2)</f>
        <v>0</v>
      </c>
      <c r="AW58" s="379">
        <f>SUMIFS(BS_RE33!$H$7:$H$874,BS_RE33!$S$7:$S$874,$AW$2,BS_RE33!$N$7:$N$874,I58,BS_RE33!$P$7:$P$874,'30 days CF Table(GBP)'!G58,BS_RE33!$F$7:$F$874,'30 days CF Table(GBP)'!$C$2)</f>
        <v>0</v>
      </c>
      <c r="AX58" s="379">
        <f>SUMIFS(BS_RE33!$H$7:$H$874,BS_RE33!$S$7:$S$874,$AX$2,BS_RE33!$N$7:$N$874,I58,BS_RE33!$P$7:$P$874,'30 days CF Table(GBP)'!G58,BS_RE33!$F$7:$F$874,'30 days CF Table(GBP)'!$C$2)</f>
        <v>0</v>
      </c>
      <c r="AY58" s="379">
        <f>SUMIFS(BS_RE33!$H$7:$H$874,BS_RE33!$S$7:$S$874,$AY$2,BS_RE33!$N$7:$N$874,I58,BS_RE33!$P$7:$P$874,'30 days CF Table(GBP)'!G58,BS_RE33!$F$7:$F$874,'30 days CF Table(GBP)'!$C$2)</f>
        <v>0</v>
      </c>
      <c r="AZ58" s="379">
        <f>SUMIFS(BS_RE33!$H$7:$H$874,BS_RE33!$S$7:$S$874,$AZ$2,BS_RE33!$N$7:$N$874,I58,BS_RE33!$P$7:$P$874,'30 days CF Table(GBP)'!G58,BS_RE33!$F$7:$F$874,'30 days CF Table(GBP)'!$C$2)</f>
        <v>0</v>
      </c>
      <c r="BA58" s="379">
        <f>SUMIFS(BS_RE33!$H$7:$H$874,BS_RE33!$S$7:$S$874,$BA$2,BS_RE33!$N$7:$N$874,I58,BS_RE33!$P$7:$P$874,'30 days CF Table(GBP)'!G58,BS_RE33!$F$7:$F$874,'30 days CF Table(GBP)'!$C$2)</f>
        <v>0</v>
      </c>
      <c r="BB58" s="379">
        <f>SUMIFS(BS_RE33!$H$7:$H$874,BS_RE33!$S$7:$S$874,$BB$2,BS_RE33!$N$7:$N$874,I58,BS_RE33!$P$7:$P$874,'30 days CF Table(GBP)'!G58,BS_RE33!$F$7:$F$874,'30 days CF Table(GBP)'!$C$2)</f>
        <v>0</v>
      </c>
      <c r="BC58" s="379">
        <f>SUMIFS(BS_RE33!$H$7:$H$874,BS_RE33!$S$7:$S$874,$BC$2,BS_RE33!$N$7:$N$874,I58,BS_RE33!$P$7:$P$874,'30 days CF Table(GBP)'!G58,BS_RE33!$F$7:$F$874,'30 days CF Table(GBP)'!$C$2)</f>
        <v>0</v>
      </c>
      <c r="BD58" s="379">
        <f>SUMIFS(BS_RE33!$H$7:$H$874,BS_RE33!$S$7:$S$874,$BD$2,BS_RE33!$N$7:$N$874,I58,BS_RE33!$P$7:$P$874,'30 days CF Table(GBP)'!G58,BS_RE33!$F$7:$F$874,'30 days CF Table(GBP)'!$C$2)</f>
        <v>0</v>
      </c>
      <c r="BE58" s="379">
        <f>SUMIFS(BS_RE33!$H$7:$H$874,BS_RE33!$S$7:$S$874,$BE$2,BS_RE33!$N$7:$N$874,I58,BS_RE33!$P$7:$P$874,'30 days CF Table(GBP)'!G58,BS_RE33!$F$7:$F$874,'30 days CF Table(GBP)'!$C$2)</f>
        <v>0</v>
      </c>
      <c r="BF58" s="379">
        <f>SUMIFS(BS_RE33!$H$7:$H$874,BS_RE33!$S$7:$S$874,$BF$2,BS_RE33!$N$7:$N$874,I58,BS_RE33!$P$7:$P$874,'30 days CF Table(GBP)'!G58,BS_RE33!$F$7:$F$874,'30 days CF Table(GBP)'!$C$2)</f>
        <v>0</v>
      </c>
      <c r="BG58" s="379">
        <f>SUMIFS(BS_RE33!$H$7:$H$874,BS_RE33!$S$7:$S$874,$BG$2,BS_RE33!$N$7:$N$874,I58,BS_RE33!$P$7:$P$874,'30 days CF Table(GBP)'!G58,BS_RE33!$F$7:$F$874,'30 days CF Table(GBP)'!$C$2)</f>
        <v>0</v>
      </c>
      <c r="BH58" s="379">
        <f>SUMIFS(BS_RE33!$H$7:$H$874,BS_RE33!$S$7:$S$874,$BH$2,BS_RE33!$N$7:$N$874,I58,BS_RE33!$P$7:$P$874,'30 days CF Table(GBP)'!G58,BS_RE33!$F$7:$F$874,'30 days CF Table(GBP)'!$C$2)</f>
        <v>0</v>
      </c>
      <c r="BI58" s="379">
        <f>SUMIFS(BS_RE33!$H$7:$H$874,BS_RE33!$S$7:$S$874,$BI$2,BS_RE33!$N$7:$N$874,I58,BS_RE33!$P$7:$P$874,'30 days CF Table(GBP)'!G58,BS_RE33!$F$7:$F$874,'30 days CF Table(GBP)'!$C$2)</f>
        <v>0</v>
      </c>
      <c r="BJ58" s="379">
        <f>SUMIFS(BS_RE33!$H$7:$H$874,BS_RE33!$S$7:$S$874,$BJ$2,BS_RE33!$N$7:$N$874,I58,BS_RE33!$P$7:$P$874,'30 days CF Table(GBP)'!G58,BS_RE33!$F$7:$F$874,'30 days CF Table(GBP)'!$C$2)</f>
        <v>0</v>
      </c>
      <c r="BK58" s="379">
        <f>SUMIFS(BS_RE33!$H$7:$H$874,BS_RE33!$S$7:$S$874,$BK$2,BS_RE33!$N$7:$N$874,I58,BS_RE33!$P$7:$P$874,'30 days CF Table(GBP)'!G58,BS_RE33!$F$7:$F$874,'30 days CF Table(GBP)'!$C$2)</f>
        <v>0</v>
      </c>
    </row>
    <row r="59" spans="3:63">
      <c r="C59" s="1027"/>
      <c r="D59" s="1039"/>
      <c r="E59" s="105" t="s">
        <v>96</v>
      </c>
      <c r="F59" s="312" t="s">
        <v>493</v>
      </c>
      <c r="G59" s="392" t="s">
        <v>1251</v>
      </c>
      <c r="H59" s="317">
        <v>0.4</v>
      </c>
      <c r="I59" s="315" t="s">
        <v>80</v>
      </c>
      <c r="J59" s="479">
        <f t="shared" si="2"/>
        <v>0</v>
      </c>
      <c r="K59" s="336">
        <f t="shared" si="3"/>
        <v>0</v>
      </c>
      <c r="L59" s="337">
        <f>SUMIFS(BS_RE33!$H$7:$H$874,BS_RE33!$S$7:$S$874,$L$2,BS_RE33!$N$7:$N$874,I59,BS_RE33!$P$7:$P$874,'30 days CF Table(GBP)'!G59,BS_RE33!$F$7:$F$874,'30 days CF Table(GBP)'!$C$2)</f>
        <v>0</v>
      </c>
      <c r="M59" s="337">
        <f>SUMIFS(BS_RE33!$H$7:$H$874,BS_RE33!$S$7:$S$874,$M$2,BS_RE33!$N$7:$N$874,I59,BS_RE33!$P$7:$P$874,'30 days CF Table(GBP)'!G59,BS_RE33!$F$7:$F$874,'30 days CF Table(GBP)'!$C$2)</f>
        <v>0</v>
      </c>
      <c r="N59" s="337">
        <f>SUMIFS(BS_RE33!$H$7:$H$874,BS_RE33!$S$7:$S$874,$N$2,BS_RE33!$N$7:$N$874,I59,BS_RE33!$P$7:$P$874,'30 days CF Table(GBP)'!G59,BS_RE33!$F$7:$F$874,'30 days CF Table(GBP)'!$C$2)</f>
        <v>0</v>
      </c>
      <c r="O59" s="337">
        <f>SUMIFS(BS_RE33!$H$7:$H$874,BS_RE33!$S$7:$S$874,$O$2,BS_RE33!$N$7:$N$874,I59,BS_RE33!$P$7:$P$874,'30 days CF Table(GBP)'!G59,BS_RE33!$F$7:$F$874,'30 days CF Table(GBP)'!$C$2)</f>
        <v>0</v>
      </c>
      <c r="P59" s="337">
        <f>SUMIFS(BS_RE33!$H$7:$H$874,BS_RE33!$S$7:$S$874,$P$2,BS_RE33!$N$7:$N$874,I59,BS_RE33!$P$7:$P$874,'30 days CF Table(GBP)'!G59,BS_RE33!$F$7:$F$874,'30 days CF Table(GBP)'!$C$2)</f>
        <v>0</v>
      </c>
      <c r="Q59" s="337">
        <f>SUMIFS(BS_RE33!$H$7:$H$874,BS_RE33!$S$7:$S$874,$Q$2,BS_RE33!$N$7:$N$874,I59,BS_RE33!$P$7:$P$874,'30 days CF Table(GBP)'!G59,BS_RE33!$F$7:$F$874,'30 days CF Table(GBP)'!$C$2)</f>
        <v>0</v>
      </c>
      <c r="R59" s="337">
        <f>SUMIFS(BS_RE33!$H$7:$H$874,BS_RE33!$S$7:$S$874,$R$2,BS_RE33!$N$7:$N$874,I59,BS_RE33!$P$7:$P$874,'30 days CF Table(GBP)'!G59,BS_RE33!$F$7:$F$874,'30 days CF Table(GBP)'!$C$2)</f>
        <v>0</v>
      </c>
      <c r="S59" s="337">
        <f>SUMIFS(BS_RE33!$H$7:$H$874,BS_RE33!$S$7:$S$874,$S$2,BS_RE33!$N$7:$N$874,I59,BS_RE33!$P$7:$P$874,'30 days CF Table(GBP)'!G59,BS_RE33!$F$7:$F$874,'30 days CF Table(GBP)'!$C$2)</f>
        <v>0</v>
      </c>
      <c r="T59" s="337">
        <f>SUMIFS(BS_RE33!$H$7:$H$874,BS_RE33!$S$7:$S$874,$T$2,BS_RE33!$N$7:$N$874,I59,BS_RE33!$P$7:$P$874,'30 days CF Table(GBP)'!G59,BS_RE33!$F$7:$F$874,'30 days CF Table(GBP)'!$C$2)</f>
        <v>0</v>
      </c>
      <c r="U59" s="337">
        <f>SUMIFS(BS_RE33!$H$7:$H$874,BS_RE33!$S$7:$S$874,$U$2,BS_RE33!$N$7:$N$874,I59,BS_RE33!$P$7:$P$874,'30 days CF Table(GBP)'!G59,BS_RE33!$F$7:$F$874,'30 days CF Table(GBP)'!$C$2)</f>
        <v>0</v>
      </c>
      <c r="V59" s="337">
        <f>SUMIFS(BS_RE33!$H$7:$H$874,BS_RE33!$S$7:$S$874,$V$2,BS_RE33!$N$7:$N$874,I59,BS_RE33!$P$7:$P$874,'30 days CF Table(GBP)'!G59,BS_RE33!$F$7:$F$874,'30 days CF Table(GBP)'!$C$2)</f>
        <v>0</v>
      </c>
      <c r="W59" s="337">
        <f>SUMIFS(BS_RE33!$H$7:$H$874,BS_RE33!$S$7:$S$874,$W$2,BS_RE33!$N$7:$N$874,I59,BS_RE33!$P$7:$P$874,'30 days CF Table(GBP)'!G59,BS_RE33!$F$7:$F$874,'30 days CF Table(GBP)'!$C$2)</f>
        <v>0</v>
      </c>
      <c r="X59" s="337">
        <f>SUMIFS(BS_RE33!$H$7:$H$874,BS_RE33!$S$7:$S$874,$X$2,BS_RE33!$N$7:$N$874,I59,BS_RE33!$P$7:$P$874,'30 days CF Table(GBP)'!G59,BS_RE33!$F$7:$F$874,'30 days CF Table(GBP)'!$C$2)</f>
        <v>0</v>
      </c>
      <c r="Y59" s="337">
        <f>SUMIFS(BS_RE33!$H$7:$H$874,BS_RE33!$S$7:$S$874,$Y$2,BS_RE33!$N$7:$N$874,I59,BS_RE33!$P$7:$P$874,'30 days CF Table(GBP)'!G59,BS_RE33!$F$7:$F$874,'30 days CF Table(GBP)'!$C$2)</f>
        <v>0</v>
      </c>
      <c r="Z59" s="337">
        <f>SUMIFS(BS_RE33!$H$7:$H$874,BS_RE33!$S$7:$S$874,$Z$2,BS_RE33!$N$7:$N$874,I59,BS_RE33!$P$7:$P$874,'30 days CF Table(GBP)'!G59,BS_RE33!$F$7:$F$874,'30 days CF Table(GBP)'!$C$2)</f>
        <v>0</v>
      </c>
      <c r="AA59" s="337">
        <f>SUMIFS(BS_RE33!$H$7:$H$874,BS_RE33!$S$7:$S$874,$AA$2,BS_RE33!$N$7:$N$874,I59,BS_RE33!$P$7:$P$874,'30 days CF Table(GBP)'!G59,BS_RE33!$F$7:$F$874,'30 days CF Table(GBP)'!$C$2)</f>
        <v>0</v>
      </c>
      <c r="AB59" s="337">
        <f>SUMIFS(BS_RE33!$H$7:$H$874,BS_RE33!$S$7:$S$874,$AB$2,BS_RE33!$N$7:$N$874,I59,BS_RE33!$P$7:$P$874,'30 days CF Table(GBP)'!G59,BS_RE33!$F$7:$F$874,'30 days CF Table(GBP)'!$C$2)</f>
        <v>0</v>
      </c>
      <c r="AC59" s="337">
        <f>SUMIFS(BS_RE33!$H$7:$H$874,BS_RE33!$S$7:$S$874,$AC$2,BS_RE33!$N$7:$N$874,I59,BS_RE33!$P$7:$P$874,'30 days CF Table(GBP)'!G59,BS_RE33!$F$7:$F$874,'30 days CF Table(GBP)'!$C$2)</f>
        <v>0</v>
      </c>
      <c r="AD59" s="337">
        <f>SUMIFS(BS_RE33!$H$7:$H$874,BS_RE33!$S$7:$S$874,$AD$2,BS_RE33!$N$7:$N$874,I59,BS_RE33!$P$7:$P$874,'30 days CF Table(GBP)'!G59,BS_RE33!$F$7:$F$874,'30 days CF Table(GBP)'!$C$2)</f>
        <v>0</v>
      </c>
      <c r="AE59" s="337">
        <f>SUMIFS(BS_RE33!$H$7:$H$874,BS_RE33!$S$7:$S$874,$AE$2,BS_RE33!$N$7:$N$874,I59,BS_RE33!$P$7:$P$874,'30 days CF Table(GBP)'!G59,BS_RE33!$F$7:$F$874,'30 days CF Table(GBP)'!$C$2)</f>
        <v>0</v>
      </c>
      <c r="AF59" s="337">
        <f>SUMIFS(BS_RE33!$H$7:$H$874,BS_RE33!$S$7:$S$874,$AF$2,BS_RE33!$N$7:$N$874,I59,BS_RE33!$P$7:$P$874,'30 days CF Table(GBP)'!G59,BS_RE33!$F$7:$F$874,'30 days CF Table(GBP)'!$C$2)</f>
        <v>0</v>
      </c>
      <c r="AG59" s="337">
        <f>SUMIFS(BS_RE33!$H$7:$H$874,BS_RE33!$S$7:$S$874,$AG$2,BS_RE33!$N$7:$N$874,I59,BS_RE33!$P$7:$P$874,'30 days CF Table(GBP)'!G59,BS_RE33!$F$7:$F$874,'30 days CF Table(GBP)'!$C$2)</f>
        <v>0</v>
      </c>
      <c r="AH59" s="337">
        <f>SUMIFS(BS_RE33!$H$7:$H$874,BS_RE33!$S$7:$S$874,$AH$2,BS_RE33!$N$7:$N$874,I59,BS_RE33!$P$7:$P$874,'30 days CF Table(GBP)'!G59,BS_RE33!$F$7:$F$874,'30 days CF Table(GBP)'!$C$2)</f>
        <v>0</v>
      </c>
      <c r="AI59" s="337">
        <f>SUMIFS(BS_RE33!$H$7:$H$874,BS_RE33!$S$7:$S$874,$AI$2,BS_RE33!$N$7:$N$874,I59,BS_RE33!$P$7:$P$874,'30 days CF Table(GBP)'!G59,BS_RE33!$F$7:$F$874,'30 days CF Table(GBP)'!$C$2)</f>
        <v>0</v>
      </c>
      <c r="AJ59" s="337">
        <f>SUMIFS(BS_RE33!$H$7:$H$874,BS_RE33!$S$7:$S$874,$AJ$2,BS_RE33!$N$7:$N$874,I59,BS_RE33!$P$7:$P$874,'30 days CF Table(GBP)'!G59,BS_RE33!$F$7:$F$874,'30 days CF Table(GBP)'!$C$2)</f>
        <v>0</v>
      </c>
      <c r="AK59" s="337">
        <f>SUMIFS(BS_RE33!$H$7:$H$874,BS_RE33!$S$7:$S$874,$AK$2,BS_RE33!$N$7:$N$874,I59,BS_RE33!$P$7:$P$874,'30 days CF Table(GBP)'!G59,BS_RE33!$F$7:$F$874,'30 days CF Table(GBP)'!$C$2)</f>
        <v>0</v>
      </c>
      <c r="AL59" s="337">
        <f>SUMIFS(BS_RE33!$H$7:$H$874,BS_RE33!$S$7:$S$874,$AL$2,BS_RE33!$N$7:$N$874,I59,BS_RE33!$P$7:$P$874,'30 days CF Table(GBP)'!G59,BS_RE33!$F$7:$F$874,'30 days CF Table(GBP)'!$C$2)</f>
        <v>0</v>
      </c>
      <c r="AM59" s="337">
        <f>SUMIFS(BS_RE33!$H$7:$H$874,BS_RE33!$S$7:$S$874,$AM$2,BS_RE33!$N$7:$N$874,I59,BS_RE33!$P$7:$P$874,'30 days CF Table(GBP)'!G59,BS_RE33!$F$7:$F$874,'30 days CF Table(GBP)'!$C$2)</f>
        <v>0</v>
      </c>
      <c r="AN59" s="337">
        <f>SUMIFS(BS_RE33!$H$7:$H$874,BS_RE33!$S$7:$S$874,$AN$2,BS_RE33!$N$7:$N$874,I59,BS_RE33!$P$7:$P$874,'30 days CF Table(GBP)'!G59,BS_RE33!$F$7:$F$874,'30 days CF Table(GBP)'!$C$2)</f>
        <v>0</v>
      </c>
      <c r="AO59" s="337">
        <f>SUMIFS(BS_RE33!$H$7:$H$874,BS_RE33!$S$7:$S$874,$AO$2,BS_RE33!$N$7:$N$874,I59,BS_RE33!$P$7:$P$874,'30 days CF Table(GBP)'!G59,BS_RE33!$F$7:$F$874,'30 days CF Table(GBP)'!$C$2)</f>
        <v>0</v>
      </c>
      <c r="AP59" s="338">
        <f>SUMIFS(BS_RE33!$H$7:$H$874,BS_RE33!$S$7:$S$874,$AP$2,BS_RE33!$N$7:$N$874,I59,BS_RE33!$P$7:$P$874,'30 days CF Table(GBP)'!G59,BS_RE33!$F$7:$F$874,'30 days CF Table(GBP)'!$C$2)</f>
        <v>0</v>
      </c>
      <c r="AR59" s="379">
        <f>SUMIFS(BS_RE33!$H$7:$H$874,BS_RE33!$S$7:$S$874,$AR$2,BS_RE33!$N$7:$N$874,I59,BS_RE33!$P$7:$P$874,'30 days CF Table(GBP)'!G59,BS_RE33!$F$7:$F$874,'30 days CF Table(GBP)'!$C$2)</f>
        <v>0</v>
      </c>
      <c r="AS59" s="379">
        <f>SUMIFS(BS_RE33!$H$7:$H$874,BS_RE33!$S$7:$S$874,$AS$2,BS_RE33!$N$7:$N$874,I59,BS_RE33!$P$7:$P$874,'30 days CF Table(GBP)'!G59,BS_RE33!$F$7:$F$874,'30 days CF Table(GBP)'!$C$2)</f>
        <v>0</v>
      </c>
      <c r="AT59" s="379">
        <f>SUMIFS(BS_RE33!$H$7:$H$874,BS_RE33!$S$7:$S$874,$AT$2,BS_RE33!$N$7:$N$874,I59,BS_RE33!$P$7:$P$874,'30 days CF Table(GBP)'!G59,BS_RE33!$F$7:$F$874,'30 days CF Table(GBP)'!$C$2)</f>
        <v>0</v>
      </c>
      <c r="AU59" s="379">
        <f>SUMIFS(BS_RE33!$H$7:$H$874,BS_RE33!$S$7:$S$874,$AU$2,BS_RE33!$N$7:$N$874,I59,BS_RE33!$P$7:$P$874,'30 days CF Table(GBP)'!G59,BS_RE33!$F$7:$F$874,'30 days CF Table(GBP)'!$C$2)</f>
        <v>0</v>
      </c>
      <c r="AV59" s="379">
        <f>SUMIFS(BS_RE33!$H$7:$H$874,BS_RE33!$S$7:$S$874,$AV$2,BS_RE33!$N$7:$N$874,I59,BS_RE33!$P$7:$P$874,'30 days CF Table(GBP)'!G59,BS_RE33!$F$7:$F$874,'30 days CF Table(GBP)'!$C$2)</f>
        <v>0</v>
      </c>
      <c r="AW59" s="379">
        <f>SUMIFS(BS_RE33!$H$7:$H$874,BS_RE33!$S$7:$S$874,$AW$2,BS_RE33!$N$7:$N$874,I59,BS_RE33!$P$7:$P$874,'30 days CF Table(GBP)'!G59,BS_RE33!$F$7:$F$874,'30 days CF Table(GBP)'!$C$2)</f>
        <v>0</v>
      </c>
      <c r="AX59" s="379">
        <f>SUMIFS(BS_RE33!$H$7:$H$874,BS_RE33!$S$7:$S$874,$AX$2,BS_RE33!$N$7:$N$874,I59,BS_RE33!$P$7:$P$874,'30 days CF Table(GBP)'!G59,BS_RE33!$F$7:$F$874,'30 days CF Table(GBP)'!$C$2)</f>
        <v>0</v>
      </c>
      <c r="AY59" s="379">
        <f>SUMIFS(BS_RE33!$H$7:$H$874,BS_RE33!$S$7:$S$874,$AY$2,BS_RE33!$N$7:$N$874,I59,BS_RE33!$P$7:$P$874,'30 days CF Table(GBP)'!G59,BS_RE33!$F$7:$F$874,'30 days CF Table(GBP)'!$C$2)</f>
        <v>0</v>
      </c>
      <c r="AZ59" s="379">
        <f>SUMIFS(BS_RE33!$H$7:$H$874,BS_RE33!$S$7:$S$874,$AZ$2,BS_RE33!$N$7:$N$874,I59,BS_RE33!$P$7:$P$874,'30 days CF Table(GBP)'!G59,BS_RE33!$F$7:$F$874,'30 days CF Table(GBP)'!$C$2)</f>
        <v>0</v>
      </c>
      <c r="BA59" s="379">
        <f>SUMIFS(BS_RE33!$H$7:$H$874,BS_RE33!$S$7:$S$874,$BA$2,BS_RE33!$N$7:$N$874,I59,BS_RE33!$P$7:$P$874,'30 days CF Table(GBP)'!G59,BS_RE33!$F$7:$F$874,'30 days CF Table(GBP)'!$C$2)</f>
        <v>0</v>
      </c>
      <c r="BB59" s="379">
        <f>SUMIFS(BS_RE33!$H$7:$H$874,BS_RE33!$S$7:$S$874,$BB$2,BS_RE33!$N$7:$N$874,I59,BS_RE33!$P$7:$P$874,'30 days CF Table(GBP)'!G59,BS_RE33!$F$7:$F$874,'30 days CF Table(GBP)'!$C$2)</f>
        <v>0</v>
      </c>
      <c r="BC59" s="379">
        <f>SUMIFS(BS_RE33!$H$7:$H$874,BS_RE33!$S$7:$S$874,$BC$2,BS_RE33!$N$7:$N$874,I59,BS_RE33!$P$7:$P$874,'30 days CF Table(GBP)'!G59,BS_RE33!$F$7:$F$874,'30 days CF Table(GBP)'!$C$2)</f>
        <v>0</v>
      </c>
      <c r="BD59" s="379">
        <f>SUMIFS(BS_RE33!$H$7:$H$874,BS_RE33!$S$7:$S$874,$BD$2,BS_RE33!$N$7:$N$874,I59,BS_RE33!$P$7:$P$874,'30 days CF Table(GBP)'!G59,BS_RE33!$F$7:$F$874,'30 days CF Table(GBP)'!$C$2)</f>
        <v>0</v>
      </c>
      <c r="BE59" s="379">
        <f>SUMIFS(BS_RE33!$H$7:$H$874,BS_RE33!$S$7:$S$874,$BE$2,BS_RE33!$N$7:$N$874,I59,BS_RE33!$P$7:$P$874,'30 days CF Table(GBP)'!G59,BS_RE33!$F$7:$F$874,'30 days CF Table(GBP)'!$C$2)</f>
        <v>0</v>
      </c>
      <c r="BF59" s="379">
        <f>SUMIFS(BS_RE33!$H$7:$H$874,BS_RE33!$S$7:$S$874,$BF$2,BS_RE33!$N$7:$N$874,I59,BS_RE33!$P$7:$P$874,'30 days CF Table(GBP)'!G59,BS_RE33!$F$7:$F$874,'30 days CF Table(GBP)'!$C$2)</f>
        <v>0</v>
      </c>
      <c r="BG59" s="379">
        <f>SUMIFS(BS_RE33!$H$7:$H$874,BS_RE33!$S$7:$S$874,$BG$2,BS_RE33!$N$7:$N$874,I59,BS_RE33!$P$7:$P$874,'30 days CF Table(GBP)'!G59,BS_RE33!$F$7:$F$874,'30 days CF Table(GBP)'!$C$2)</f>
        <v>0</v>
      </c>
      <c r="BH59" s="379">
        <f>SUMIFS(BS_RE33!$H$7:$H$874,BS_RE33!$S$7:$S$874,$BH$2,BS_RE33!$N$7:$N$874,I59,BS_RE33!$P$7:$P$874,'30 days CF Table(GBP)'!G59,BS_RE33!$F$7:$F$874,'30 days CF Table(GBP)'!$C$2)</f>
        <v>0</v>
      </c>
      <c r="BI59" s="379">
        <f>SUMIFS(BS_RE33!$H$7:$H$874,BS_RE33!$S$7:$S$874,$BI$2,BS_RE33!$N$7:$N$874,I59,BS_RE33!$P$7:$P$874,'30 days CF Table(GBP)'!G59,BS_RE33!$F$7:$F$874,'30 days CF Table(GBP)'!$C$2)</f>
        <v>0</v>
      </c>
      <c r="BJ59" s="379">
        <f>SUMIFS(BS_RE33!$H$7:$H$874,BS_RE33!$S$7:$S$874,$BJ$2,BS_RE33!$N$7:$N$874,I59,BS_RE33!$P$7:$P$874,'30 days CF Table(GBP)'!G59,BS_RE33!$F$7:$F$874,'30 days CF Table(GBP)'!$C$2)</f>
        <v>0</v>
      </c>
      <c r="BK59" s="379">
        <f>SUMIFS(BS_RE33!$H$7:$H$874,BS_RE33!$S$7:$S$874,$BK$2,BS_RE33!$N$7:$N$874,I59,BS_RE33!$P$7:$P$874,'30 days CF Table(GBP)'!G59,BS_RE33!$F$7:$F$874,'30 days CF Table(GBP)'!$C$2)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Table(GBP)'!G60,BS_RE33!$F$7:$F$874,'30 days CF Table(GBP)'!$C$2)</f>
        <v>0</v>
      </c>
      <c r="M60" s="337">
        <f>SUMIFS(BS_RE33!$H$7:$H$874,BS_RE33!$S$7:$S$874,$M$2,BS_RE33!$N$7:$N$874,I60,BS_RE33!$P$7:$P$874,'30 days CF Table(GBP)'!G60,BS_RE33!$F$7:$F$874,'30 days CF Table(GBP)'!$C$2)</f>
        <v>0</v>
      </c>
      <c r="N60" s="337">
        <f>SUMIFS(BS_RE33!$H$7:$H$874,BS_RE33!$S$7:$S$874,$N$2,BS_RE33!$N$7:$N$874,I60,BS_RE33!$P$7:$P$874,'30 days CF Table(GBP)'!G60,BS_RE33!$F$7:$F$874,'30 days CF Table(GBP)'!$C$2)</f>
        <v>0</v>
      </c>
      <c r="O60" s="337">
        <f>SUMIFS(BS_RE33!$H$7:$H$874,BS_RE33!$S$7:$S$874,$O$2,BS_RE33!$N$7:$N$874,I60,BS_RE33!$P$7:$P$874,'30 days CF Table(GBP)'!G60,BS_RE33!$F$7:$F$874,'30 days CF Table(GBP)'!$C$2)</f>
        <v>0</v>
      </c>
      <c r="P60" s="337">
        <f>SUMIFS(BS_RE33!$H$7:$H$874,BS_RE33!$S$7:$S$874,$P$2,BS_RE33!$N$7:$N$874,I60,BS_RE33!$P$7:$P$874,'30 days CF Table(GBP)'!G60,BS_RE33!$F$7:$F$874,'30 days CF Table(GBP)'!$C$2)</f>
        <v>0</v>
      </c>
      <c r="Q60" s="337">
        <f>SUMIFS(BS_RE33!$H$7:$H$874,BS_RE33!$S$7:$S$874,$Q$2,BS_RE33!$N$7:$N$874,I60,BS_RE33!$P$7:$P$874,'30 days CF Table(GBP)'!G60,BS_RE33!$F$7:$F$874,'30 days CF Table(GBP)'!$C$2)</f>
        <v>0</v>
      </c>
      <c r="R60" s="337">
        <f>SUMIFS(BS_RE33!$H$7:$H$874,BS_RE33!$S$7:$S$874,$R$2,BS_RE33!$N$7:$N$874,I60,BS_RE33!$P$7:$P$874,'30 days CF Table(GBP)'!G60,BS_RE33!$F$7:$F$874,'30 days CF Table(GBP)'!$C$2)</f>
        <v>0</v>
      </c>
      <c r="S60" s="337">
        <f>SUMIFS(BS_RE33!$H$7:$H$874,BS_RE33!$S$7:$S$874,$S$2,BS_RE33!$N$7:$N$874,I60,BS_RE33!$P$7:$P$874,'30 days CF Table(GBP)'!G60,BS_RE33!$F$7:$F$874,'30 days CF Table(GBP)'!$C$2)</f>
        <v>0</v>
      </c>
      <c r="T60" s="337">
        <f>SUMIFS(BS_RE33!$H$7:$H$874,BS_RE33!$S$7:$S$874,$T$2,BS_RE33!$N$7:$N$874,I60,BS_RE33!$P$7:$P$874,'30 days CF Table(GBP)'!G60,BS_RE33!$F$7:$F$874,'30 days CF Table(GBP)'!$C$2)</f>
        <v>0</v>
      </c>
      <c r="U60" s="337">
        <f>SUMIFS(BS_RE33!$H$7:$H$874,BS_RE33!$S$7:$S$874,$U$2,BS_RE33!$N$7:$N$874,I60,BS_RE33!$P$7:$P$874,'30 days CF Table(GBP)'!G60,BS_RE33!$F$7:$F$874,'30 days CF Table(GBP)'!$C$2)</f>
        <v>0</v>
      </c>
      <c r="V60" s="337">
        <f>SUMIFS(BS_RE33!$H$7:$H$874,BS_RE33!$S$7:$S$874,$V$2,BS_RE33!$N$7:$N$874,I60,BS_RE33!$P$7:$P$874,'30 days CF Table(GBP)'!G60,BS_RE33!$F$7:$F$874,'30 days CF Table(GBP)'!$C$2)</f>
        <v>0</v>
      </c>
      <c r="W60" s="337">
        <f>SUMIFS(BS_RE33!$H$7:$H$874,BS_RE33!$S$7:$S$874,$W$2,BS_RE33!$N$7:$N$874,I60,BS_RE33!$P$7:$P$874,'30 days CF Table(GBP)'!G60,BS_RE33!$F$7:$F$874,'30 days CF Table(GBP)'!$C$2)</f>
        <v>0</v>
      </c>
      <c r="X60" s="337">
        <f>SUMIFS(BS_RE33!$H$7:$H$874,BS_RE33!$S$7:$S$874,$X$2,BS_RE33!$N$7:$N$874,I60,BS_RE33!$P$7:$P$874,'30 days CF Table(GBP)'!G60,BS_RE33!$F$7:$F$874,'30 days CF Table(GBP)'!$C$2)</f>
        <v>0</v>
      </c>
      <c r="Y60" s="337">
        <f>SUMIFS(BS_RE33!$H$7:$H$874,BS_RE33!$S$7:$S$874,$Y$2,BS_RE33!$N$7:$N$874,I60,BS_RE33!$P$7:$P$874,'30 days CF Table(GBP)'!G60,BS_RE33!$F$7:$F$874,'30 days CF Table(GBP)'!$C$2)</f>
        <v>0</v>
      </c>
      <c r="Z60" s="337">
        <f>SUMIFS(BS_RE33!$H$7:$H$874,BS_RE33!$S$7:$S$874,$Z$2,BS_RE33!$N$7:$N$874,I60,BS_RE33!$P$7:$P$874,'30 days CF Table(GBP)'!G60,BS_RE33!$F$7:$F$874,'30 days CF Table(GBP)'!$C$2)</f>
        <v>0</v>
      </c>
      <c r="AA60" s="337">
        <f>SUMIFS(BS_RE33!$H$7:$H$874,BS_RE33!$S$7:$S$874,$AA$2,BS_RE33!$N$7:$N$874,I60,BS_RE33!$P$7:$P$874,'30 days CF Table(GBP)'!G60,BS_RE33!$F$7:$F$874,'30 days CF Table(GBP)'!$C$2)</f>
        <v>0</v>
      </c>
      <c r="AB60" s="337">
        <f>SUMIFS(BS_RE33!$H$7:$H$874,BS_RE33!$S$7:$S$874,$AB$2,BS_RE33!$N$7:$N$874,I60,BS_RE33!$P$7:$P$874,'30 days CF Table(GBP)'!G60,BS_RE33!$F$7:$F$874,'30 days CF Table(GBP)'!$C$2)</f>
        <v>0</v>
      </c>
      <c r="AC60" s="337">
        <f>SUMIFS(BS_RE33!$H$7:$H$874,BS_RE33!$S$7:$S$874,$AC$2,BS_RE33!$N$7:$N$874,I60,BS_RE33!$P$7:$P$874,'30 days CF Table(GBP)'!G60,BS_RE33!$F$7:$F$874,'30 days CF Table(GBP)'!$C$2)</f>
        <v>0</v>
      </c>
      <c r="AD60" s="337">
        <f>SUMIFS(BS_RE33!$H$7:$H$874,BS_RE33!$S$7:$S$874,$AD$2,BS_RE33!$N$7:$N$874,I60,BS_RE33!$P$7:$P$874,'30 days CF Table(GBP)'!G60,BS_RE33!$F$7:$F$874,'30 days CF Table(GBP)'!$C$2)</f>
        <v>0</v>
      </c>
      <c r="AE60" s="337">
        <f>SUMIFS(BS_RE33!$H$7:$H$874,BS_RE33!$S$7:$S$874,$AE$2,BS_RE33!$N$7:$N$874,I60,BS_RE33!$P$7:$P$874,'30 days CF Table(GBP)'!G60,BS_RE33!$F$7:$F$874,'30 days CF Table(GBP)'!$C$2)</f>
        <v>0</v>
      </c>
      <c r="AF60" s="337">
        <f>SUMIFS(BS_RE33!$H$7:$H$874,BS_RE33!$S$7:$S$874,$AF$2,BS_RE33!$N$7:$N$874,I60,BS_RE33!$P$7:$P$874,'30 days CF Table(GBP)'!G60,BS_RE33!$F$7:$F$874,'30 days CF Table(GBP)'!$C$2)</f>
        <v>0</v>
      </c>
      <c r="AG60" s="337">
        <f>SUMIFS(BS_RE33!$H$7:$H$874,BS_RE33!$S$7:$S$874,$AG$2,BS_RE33!$N$7:$N$874,I60,BS_RE33!$P$7:$P$874,'30 days CF Table(GBP)'!G60,BS_RE33!$F$7:$F$874,'30 days CF Table(GBP)'!$C$2)</f>
        <v>0</v>
      </c>
      <c r="AH60" s="337">
        <f>SUMIFS(BS_RE33!$H$7:$H$874,BS_RE33!$S$7:$S$874,$AH$2,BS_RE33!$N$7:$N$874,I60,BS_RE33!$P$7:$P$874,'30 days CF Table(GBP)'!G60,BS_RE33!$F$7:$F$874,'30 days CF Table(GBP)'!$C$2)</f>
        <v>0</v>
      </c>
      <c r="AI60" s="337">
        <f>SUMIFS(BS_RE33!$H$7:$H$874,BS_RE33!$S$7:$S$874,$AI$2,BS_RE33!$N$7:$N$874,I60,BS_RE33!$P$7:$P$874,'30 days CF Table(GBP)'!G60,BS_RE33!$F$7:$F$874,'30 days CF Table(GBP)'!$C$2)</f>
        <v>0</v>
      </c>
      <c r="AJ60" s="337">
        <f>SUMIFS(BS_RE33!$H$7:$H$874,BS_RE33!$S$7:$S$874,$AJ$2,BS_RE33!$N$7:$N$874,I60,BS_RE33!$P$7:$P$874,'30 days CF Table(GBP)'!G60,BS_RE33!$F$7:$F$874,'30 days CF Table(GBP)'!$C$2)</f>
        <v>0</v>
      </c>
      <c r="AK60" s="337">
        <f>SUMIFS(BS_RE33!$H$7:$H$874,BS_RE33!$S$7:$S$874,$AK$2,BS_RE33!$N$7:$N$874,I60,BS_RE33!$P$7:$P$874,'30 days CF Table(GBP)'!G60,BS_RE33!$F$7:$F$874,'30 days CF Table(GBP)'!$C$2)</f>
        <v>0</v>
      </c>
      <c r="AL60" s="337">
        <f>SUMIFS(BS_RE33!$H$7:$H$874,BS_RE33!$S$7:$S$874,$AL$2,BS_RE33!$N$7:$N$874,I60,BS_RE33!$P$7:$P$874,'30 days CF Table(GBP)'!G60,BS_RE33!$F$7:$F$874,'30 days CF Table(GBP)'!$C$2)</f>
        <v>0</v>
      </c>
      <c r="AM60" s="337">
        <f>SUMIFS(BS_RE33!$H$7:$H$874,BS_RE33!$S$7:$S$874,$AM$2,BS_RE33!$N$7:$N$874,I60,BS_RE33!$P$7:$P$874,'30 days CF Table(GBP)'!G60,BS_RE33!$F$7:$F$874,'30 days CF Table(GBP)'!$C$2)</f>
        <v>0</v>
      </c>
      <c r="AN60" s="337">
        <f>SUMIFS(BS_RE33!$H$7:$H$874,BS_RE33!$S$7:$S$874,$AN$2,BS_RE33!$N$7:$N$874,I60,BS_RE33!$P$7:$P$874,'30 days CF Table(GBP)'!G60,BS_RE33!$F$7:$F$874,'30 days CF Table(GBP)'!$C$2)</f>
        <v>0</v>
      </c>
      <c r="AO60" s="337">
        <f>SUMIFS(BS_RE33!$H$7:$H$874,BS_RE33!$S$7:$S$874,$AO$2,BS_RE33!$N$7:$N$874,I60,BS_RE33!$P$7:$P$874,'30 days CF Table(GBP)'!G60,BS_RE33!$F$7:$F$874,'30 days CF Table(GBP)'!$C$2)</f>
        <v>0</v>
      </c>
      <c r="AP60" s="338">
        <f>SUMIFS(BS_RE33!$H$7:$H$874,BS_RE33!$S$7:$S$874,$AP$2,BS_RE33!$N$7:$N$874,I60,BS_RE33!$P$7:$P$874,'30 days CF Table(GBP)'!G60,BS_RE33!$F$7:$F$874,'30 days CF Table(GBP)'!$C$2)</f>
        <v>0</v>
      </c>
      <c r="AR60" s="379">
        <f>SUMIFS(BS_RE33!$H$7:$H$874,BS_RE33!$S$7:$S$874,$AR$2,BS_RE33!$N$7:$N$874,I60,BS_RE33!$P$7:$P$874,'30 days CF Table(GBP)'!G60,BS_RE33!$F$7:$F$874,'30 days CF Table(GBP)'!$C$2)</f>
        <v>0</v>
      </c>
      <c r="AS60" s="379">
        <f>SUMIFS(BS_RE33!$H$7:$H$874,BS_RE33!$S$7:$S$874,$AS$2,BS_RE33!$N$7:$N$874,I60,BS_RE33!$P$7:$P$874,'30 days CF Table(GBP)'!G60,BS_RE33!$F$7:$F$874,'30 days CF Table(GBP)'!$C$2)</f>
        <v>0</v>
      </c>
      <c r="AT60" s="379">
        <f>SUMIFS(BS_RE33!$H$7:$H$874,BS_RE33!$S$7:$S$874,$AT$2,BS_RE33!$N$7:$N$874,I60,BS_RE33!$P$7:$P$874,'30 days CF Table(GBP)'!G60,BS_RE33!$F$7:$F$874,'30 days CF Table(GBP)'!$C$2)</f>
        <v>0</v>
      </c>
      <c r="AU60" s="379">
        <f>SUMIFS(BS_RE33!$H$7:$H$874,BS_RE33!$S$7:$S$874,$AU$2,BS_RE33!$N$7:$N$874,I60,BS_RE33!$P$7:$P$874,'30 days CF Table(GBP)'!G60,BS_RE33!$F$7:$F$874,'30 days CF Table(GBP)'!$C$2)</f>
        <v>0</v>
      </c>
      <c r="AV60" s="379">
        <f>SUMIFS(BS_RE33!$H$7:$H$874,BS_RE33!$S$7:$S$874,$AV$2,BS_RE33!$N$7:$N$874,I60,BS_RE33!$P$7:$P$874,'30 days CF Table(GBP)'!G60,BS_RE33!$F$7:$F$874,'30 days CF Table(GBP)'!$C$2)</f>
        <v>0</v>
      </c>
      <c r="AW60" s="379">
        <f>SUMIFS(BS_RE33!$H$7:$H$874,BS_RE33!$S$7:$S$874,$AW$2,BS_RE33!$N$7:$N$874,I60,BS_RE33!$P$7:$P$874,'30 days CF Table(GBP)'!G60,BS_RE33!$F$7:$F$874,'30 days CF Table(GBP)'!$C$2)</f>
        <v>0</v>
      </c>
      <c r="AX60" s="379">
        <f>SUMIFS(BS_RE33!$H$7:$H$874,BS_RE33!$S$7:$S$874,$AX$2,BS_RE33!$N$7:$N$874,I60,BS_RE33!$P$7:$P$874,'30 days CF Table(GBP)'!G60,BS_RE33!$F$7:$F$874,'30 days CF Table(GBP)'!$C$2)</f>
        <v>0</v>
      </c>
      <c r="AY60" s="379">
        <f>SUMIFS(BS_RE33!$H$7:$H$874,BS_RE33!$S$7:$S$874,$AY$2,BS_RE33!$N$7:$N$874,I60,BS_RE33!$P$7:$P$874,'30 days CF Table(GBP)'!G60,BS_RE33!$F$7:$F$874,'30 days CF Table(GBP)'!$C$2)</f>
        <v>0</v>
      </c>
      <c r="AZ60" s="379">
        <f>SUMIFS(BS_RE33!$H$7:$H$874,BS_RE33!$S$7:$S$874,$AZ$2,BS_RE33!$N$7:$N$874,I60,BS_RE33!$P$7:$P$874,'30 days CF Table(GBP)'!G60,BS_RE33!$F$7:$F$874,'30 days CF Table(GBP)'!$C$2)</f>
        <v>0</v>
      </c>
      <c r="BA60" s="379">
        <f>SUMIFS(BS_RE33!$H$7:$H$874,BS_RE33!$S$7:$S$874,$BA$2,BS_RE33!$N$7:$N$874,I60,BS_RE33!$P$7:$P$874,'30 days CF Table(GBP)'!G60,BS_RE33!$F$7:$F$874,'30 days CF Table(GBP)'!$C$2)</f>
        <v>0</v>
      </c>
      <c r="BB60" s="379">
        <f>SUMIFS(BS_RE33!$H$7:$H$874,BS_RE33!$S$7:$S$874,$BB$2,BS_RE33!$N$7:$N$874,I60,BS_RE33!$P$7:$P$874,'30 days CF Table(GBP)'!G60,BS_RE33!$F$7:$F$874,'30 days CF Table(GBP)'!$C$2)</f>
        <v>0</v>
      </c>
      <c r="BC60" s="379">
        <f>SUMIFS(BS_RE33!$H$7:$H$874,BS_RE33!$S$7:$S$874,$BC$2,BS_RE33!$N$7:$N$874,I60,BS_RE33!$P$7:$P$874,'30 days CF Table(GBP)'!G60,BS_RE33!$F$7:$F$874,'30 days CF Table(GBP)'!$C$2)</f>
        <v>0</v>
      </c>
      <c r="BD60" s="379">
        <f>SUMIFS(BS_RE33!$H$7:$H$874,BS_RE33!$S$7:$S$874,$BD$2,BS_RE33!$N$7:$N$874,I60,BS_RE33!$P$7:$P$874,'30 days CF Table(GBP)'!G60,BS_RE33!$F$7:$F$874,'30 days CF Table(GBP)'!$C$2)</f>
        <v>0</v>
      </c>
      <c r="BE60" s="379">
        <f>SUMIFS(BS_RE33!$H$7:$H$874,BS_RE33!$S$7:$S$874,$BE$2,BS_RE33!$N$7:$N$874,I60,BS_RE33!$P$7:$P$874,'30 days CF Table(GBP)'!G60,BS_RE33!$F$7:$F$874,'30 days CF Table(GBP)'!$C$2)</f>
        <v>0</v>
      </c>
      <c r="BF60" s="379">
        <f>SUMIFS(BS_RE33!$H$7:$H$874,BS_RE33!$S$7:$S$874,$BF$2,BS_RE33!$N$7:$N$874,I60,BS_RE33!$P$7:$P$874,'30 days CF Table(GBP)'!G60,BS_RE33!$F$7:$F$874,'30 days CF Table(GBP)'!$C$2)</f>
        <v>0</v>
      </c>
      <c r="BG60" s="379">
        <f>SUMIFS(BS_RE33!$H$7:$H$874,BS_RE33!$S$7:$S$874,$BG$2,BS_RE33!$N$7:$N$874,I60,BS_RE33!$P$7:$P$874,'30 days CF Table(GBP)'!G60,BS_RE33!$F$7:$F$874,'30 days CF Table(GBP)'!$C$2)</f>
        <v>0</v>
      </c>
      <c r="BH60" s="379">
        <f>SUMIFS(BS_RE33!$H$7:$H$874,BS_RE33!$S$7:$S$874,$BH$2,BS_RE33!$N$7:$N$874,I60,BS_RE33!$P$7:$P$874,'30 days CF Table(GBP)'!G60,BS_RE33!$F$7:$F$874,'30 days CF Table(GBP)'!$C$2)</f>
        <v>0</v>
      </c>
      <c r="BI60" s="379">
        <f>SUMIFS(BS_RE33!$H$7:$H$874,BS_RE33!$S$7:$S$874,$BI$2,BS_RE33!$N$7:$N$874,I60,BS_RE33!$P$7:$P$874,'30 days CF Table(GBP)'!G60,BS_RE33!$F$7:$F$874,'30 days CF Table(GBP)'!$C$2)</f>
        <v>0</v>
      </c>
      <c r="BJ60" s="379">
        <f>SUMIFS(BS_RE33!$H$7:$H$874,BS_RE33!$S$7:$S$874,$BJ$2,BS_RE33!$N$7:$N$874,I60,BS_RE33!$P$7:$P$874,'30 days CF Table(GBP)'!G60,BS_RE33!$F$7:$F$874,'30 days CF Table(GBP)'!$C$2)</f>
        <v>0</v>
      </c>
      <c r="BK60" s="379">
        <f>SUMIFS(BS_RE33!$H$7:$H$874,BS_RE33!$S$7:$S$874,$BK$2,BS_RE33!$N$7:$N$874,I60,BS_RE33!$P$7:$P$874,'30 days CF Table(GBP)'!G60,BS_RE33!$F$7:$F$874,'30 days CF Table(GBP)'!$C$2)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Table(GBP)'!G61,BS_RE33!$F$7:$F$874,'30 days CF Table(GBP)'!$C$2)</f>
        <v>0</v>
      </c>
      <c r="M61" s="337">
        <f>SUMIFS(BS_RE33!$H$7:$H$874,BS_RE33!$S$7:$S$874,$M$2,BS_RE33!$N$7:$N$874,I61,BS_RE33!$P$7:$P$874,'30 days CF Table(GBP)'!G61,BS_RE33!$F$7:$F$874,'30 days CF Table(GBP)'!$C$2)</f>
        <v>0</v>
      </c>
      <c r="N61" s="337">
        <f>SUMIFS(BS_RE33!$H$7:$H$874,BS_RE33!$S$7:$S$874,$N$2,BS_RE33!$N$7:$N$874,I61,BS_RE33!$P$7:$P$874,'30 days CF Table(GBP)'!G61,BS_RE33!$F$7:$F$874,'30 days CF Table(GBP)'!$C$2)</f>
        <v>0</v>
      </c>
      <c r="O61" s="337">
        <f>SUMIFS(BS_RE33!$H$7:$H$874,BS_RE33!$S$7:$S$874,$O$2,BS_RE33!$N$7:$N$874,I61,BS_RE33!$P$7:$P$874,'30 days CF Table(GBP)'!G61,BS_RE33!$F$7:$F$874,'30 days CF Table(GBP)'!$C$2)</f>
        <v>0</v>
      </c>
      <c r="P61" s="337">
        <f>SUMIFS(BS_RE33!$H$7:$H$874,BS_RE33!$S$7:$S$874,$P$2,BS_RE33!$N$7:$N$874,I61,BS_RE33!$P$7:$P$874,'30 days CF Table(GBP)'!G61,BS_RE33!$F$7:$F$874,'30 days CF Table(GBP)'!$C$2)</f>
        <v>0</v>
      </c>
      <c r="Q61" s="337">
        <f>SUMIFS(BS_RE33!$H$7:$H$874,BS_RE33!$S$7:$S$874,$Q$2,BS_RE33!$N$7:$N$874,I61,BS_RE33!$P$7:$P$874,'30 days CF Table(GBP)'!G61,BS_RE33!$F$7:$F$874,'30 days CF Table(GBP)'!$C$2)</f>
        <v>0</v>
      </c>
      <c r="R61" s="337">
        <f>SUMIFS(BS_RE33!$H$7:$H$874,BS_RE33!$S$7:$S$874,$R$2,BS_RE33!$N$7:$N$874,I61,BS_RE33!$P$7:$P$874,'30 days CF Table(GBP)'!G61,BS_RE33!$F$7:$F$874,'30 days CF Table(GBP)'!$C$2)</f>
        <v>0</v>
      </c>
      <c r="S61" s="337">
        <f>SUMIFS(BS_RE33!$H$7:$H$874,BS_RE33!$S$7:$S$874,$S$2,BS_RE33!$N$7:$N$874,I61,BS_RE33!$P$7:$P$874,'30 days CF Table(GBP)'!G61,BS_RE33!$F$7:$F$874,'30 days CF Table(GBP)'!$C$2)</f>
        <v>0</v>
      </c>
      <c r="T61" s="337">
        <f>SUMIFS(BS_RE33!$H$7:$H$874,BS_RE33!$S$7:$S$874,$T$2,BS_RE33!$N$7:$N$874,I61,BS_RE33!$P$7:$P$874,'30 days CF Table(GBP)'!G61,BS_RE33!$F$7:$F$874,'30 days CF Table(GBP)'!$C$2)</f>
        <v>0</v>
      </c>
      <c r="U61" s="337">
        <f>SUMIFS(BS_RE33!$H$7:$H$874,BS_RE33!$S$7:$S$874,$U$2,BS_RE33!$N$7:$N$874,I61,BS_RE33!$P$7:$P$874,'30 days CF Table(GBP)'!G61,BS_RE33!$F$7:$F$874,'30 days CF Table(GBP)'!$C$2)</f>
        <v>0</v>
      </c>
      <c r="V61" s="337">
        <f>SUMIFS(BS_RE33!$H$7:$H$874,BS_RE33!$S$7:$S$874,$V$2,BS_RE33!$N$7:$N$874,I61,BS_RE33!$P$7:$P$874,'30 days CF Table(GBP)'!G61,BS_RE33!$F$7:$F$874,'30 days CF Table(GBP)'!$C$2)</f>
        <v>0</v>
      </c>
      <c r="W61" s="337">
        <f>SUMIFS(BS_RE33!$H$7:$H$874,BS_RE33!$S$7:$S$874,$W$2,BS_RE33!$N$7:$N$874,I61,BS_RE33!$P$7:$P$874,'30 days CF Table(GBP)'!G61,BS_RE33!$F$7:$F$874,'30 days CF Table(GBP)'!$C$2)</f>
        <v>0</v>
      </c>
      <c r="X61" s="337">
        <f>SUMIFS(BS_RE33!$H$7:$H$874,BS_RE33!$S$7:$S$874,$X$2,BS_RE33!$N$7:$N$874,I61,BS_RE33!$P$7:$P$874,'30 days CF Table(GBP)'!G61,BS_RE33!$F$7:$F$874,'30 days CF Table(GBP)'!$C$2)</f>
        <v>0</v>
      </c>
      <c r="Y61" s="337">
        <f>SUMIFS(BS_RE33!$H$7:$H$874,BS_RE33!$S$7:$S$874,$Y$2,BS_RE33!$N$7:$N$874,I61,BS_RE33!$P$7:$P$874,'30 days CF Table(GBP)'!G61,BS_RE33!$F$7:$F$874,'30 days CF Table(GBP)'!$C$2)</f>
        <v>0</v>
      </c>
      <c r="Z61" s="337">
        <f>SUMIFS(BS_RE33!$H$7:$H$874,BS_RE33!$S$7:$S$874,$Z$2,BS_RE33!$N$7:$N$874,I61,BS_RE33!$P$7:$P$874,'30 days CF Table(GBP)'!G61,BS_RE33!$F$7:$F$874,'30 days CF Table(GBP)'!$C$2)</f>
        <v>0</v>
      </c>
      <c r="AA61" s="337">
        <f>SUMIFS(BS_RE33!$H$7:$H$874,BS_RE33!$S$7:$S$874,$AA$2,BS_RE33!$N$7:$N$874,I61,BS_RE33!$P$7:$P$874,'30 days CF Table(GBP)'!G61,BS_RE33!$F$7:$F$874,'30 days CF Table(GBP)'!$C$2)</f>
        <v>0</v>
      </c>
      <c r="AB61" s="337">
        <f>SUMIFS(BS_RE33!$H$7:$H$874,BS_RE33!$S$7:$S$874,$AB$2,BS_RE33!$N$7:$N$874,I61,BS_RE33!$P$7:$P$874,'30 days CF Table(GBP)'!G61,BS_RE33!$F$7:$F$874,'30 days CF Table(GBP)'!$C$2)</f>
        <v>0</v>
      </c>
      <c r="AC61" s="337">
        <f>SUMIFS(BS_RE33!$H$7:$H$874,BS_RE33!$S$7:$S$874,$AC$2,BS_RE33!$N$7:$N$874,I61,BS_RE33!$P$7:$P$874,'30 days CF Table(GBP)'!G61,BS_RE33!$F$7:$F$874,'30 days CF Table(GBP)'!$C$2)</f>
        <v>0</v>
      </c>
      <c r="AD61" s="337">
        <f>SUMIFS(BS_RE33!$H$7:$H$874,BS_RE33!$S$7:$S$874,$AD$2,BS_RE33!$N$7:$N$874,I61,BS_RE33!$P$7:$P$874,'30 days CF Table(GBP)'!G61,BS_RE33!$F$7:$F$874,'30 days CF Table(GBP)'!$C$2)</f>
        <v>0</v>
      </c>
      <c r="AE61" s="337">
        <f>SUMIFS(BS_RE33!$H$7:$H$874,BS_RE33!$S$7:$S$874,$AE$2,BS_RE33!$N$7:$N$874,I61,BS_RE33!$P$7:$P$874,'30 days CF Table(GBP)'!G61,BS_RE33!$F$7:$F$874,'30 days CF Table(GBP)'!$C$2)</f>
        <v>0</v>
      </c>
      <c r="AF61" s="337">
        <f>SUMIFS(BS_RE33!$H$7:$H$874,BS_RE33!$S$7:$S$874,$AF$2,BS_RE33!$N$7:$N$874,I61,BS_RE33!$P$7:$P$874,'30 days CF Table(GBP)'!G61,BS_RE33!$F$7:$F$874,'30 days CF Table(GBP)'!$C$2)</f>
        <v>0</v>
      </c>
      <c r="AG61" s="337">
        <f>SUMIFS(BS_RE33!$H$7:$H$874,BS_RE33!$S$7:$S$874,$AG$2,BS_RE33!$N$7:$N$874,I61,BS_RE33!$P$7:$P$874,'30 days CF Table(GBP)'!G61,BS_RE33!$F$7:$F$874,'30 days CF Table(GBP)'!$C$2)</f>
        <v>0</v>
      </c>
      <c r="AH61" s="337">
        <f>SUMIFS(BS_RE33!$H$7:$H$874,BS_RE33!$S$7:$S$874,$AH$2,BS_RE33!$N$7:$N$874,I61,BS_RE33!$P$7:$P$874,'30 days CF Table(GBP)'!G61,BS_RE33!$F$7:$F$874,'30 days CF Table(GBP)'!$C$2)</f>
        <v>0</v>
      </c>
      <c r="AI61" s="337">
        <f>SUMIFS(BS_RE33!$H$7:$H$874,BS_RE33!$S$7:$S$874,$AI$2,BS_RE33!$N$7:$N$874,I61,BS_RE33!$P$7:$P$874,'30 days CF Table(GBP)'!G61,BS_RE33!$F$7:$F$874,'30 days CF Table(GBP)'!$C$2)</f>
        <v>0</v>
      </c>
      <c r="AJ61" s="337">
        <f>SUMIFS(BS_RE33!$H$7:$H$874,BS_RE33!$S$7:$S$874,$AJ$2,BS_RE33!$N$7:$N$874,I61,BS_RE33!$P$7:$P$874,'30 days CF Table(GBP)'!G61,BS_RE33!$F$7:$F$874,'30 days CF Table(GBP)'!$C$2)</f>
        <v>0</v>
      </c>
      <c r="AK61" s="337">
        <f>SUMIFS(BS_RE33!$H$7:$H$874,BS_RE33!$S$7:$S$874,$AK$2,BS_RE33!$N$7:$N$874,I61,BS_RE33!$P$7:$P$874,'30 days CF Table(GBP)'!G61,BS_RE33!$F$7:$F$874,'30 days CF Table(GBP)'!$C$2)</f>
        <v>0</v>
      </c>
      <c r="AL61" s="337">
        <f>SUMIFS(BS_RE33!$H$7:$H$874,BS_RE33!$S$7:$S$874,$AL$2,BS_RE33!$N$7:$N$874,I61,BS_RE33!$P$7:$P$874,'30 days CF Table(GBP)'!G61,BS_RE33!$F$7:$F$874,'30 days CF Table(GBP)'!$C$2)</f>
        <v>0</v>
      </c>
      <c r="AM61" s="337">
        <f>SUMIFS(BS_RE33!$H$7:$H$874,BS_RE33!$S$7:$S$874,$AM$2,BS_RE33!$N$7:$N$874,I61,BS_RE33!$P$7:$P$874,'30 days CF Table(GBP)'!G61,BS_RE33!$F$7:$F$874,'30 days CF Table(GBP)'!$C$2)</f>
        <v>0</v>
      </c>
      <c r="AN61" s="337">
        <f>SUMIFS(BS_RE33!$H$7:$H$874,BS_RE33!$S$7:$S$874,$AN$2,BS_RE33!$N$7:$N$874,I61,BS_RE33!$P$7:$P$874,'30 days CF Table(GBP)'!G61,BS_RE33!$F$7:$F$874,'30 days CF Table(GBP)'!$C$2)</f>
        <v>0</v>
      </c>
      <c r="AO61" s="337">
        <f>SUMIFS(BS_RE33!$H$7:$H$874,BS_RE33!$S$7:$S$874,$AO$2,BS_RE33!$N$7:$N$874,I61,BS_RE33!$P$7:$P$874,'30 days CF Table(GBP)'!G61,BS_RE33!$F$7:$F$874,'30 days CF Table(GBP)'!$C$2)</f>
        <v>0</v>
      </c>
      <c r="AP61" s="338">
        <f>SUMIFS(BS_RE33!$H$7:$H$874,BS_RE33!$S$7:$S$874,$AP$2,BS_RE33!$N$7:$N$874,I61,BS_RE33!$P$7:$P$874,'30 days CF Table(GBP)'!G61,BS_RE33!$F$7:$F$874,'30 days CF Table(GBP)'!$C$2)</f>
        <v>0</v>
      </c>
      <c r="AR61" s="379">
        <f>SUMIFS(BS_RE33!$H$7:$H$874,BS_RE33!$S$7:$S$874,$AR$2,BS_RE33!$N$7:$N$874,I61,BS_RE33!$P$7:$P$874,'30 days CF Table(GBP)'!G61,BS_RE33!$F$7:$F$874,'30 days CF Table(GBP)'!$C$2)</f>
        <v>0</v>
      </c>
      <c r="AS61" s="379">
        <f>SUMIFS(BS_RE33!$H$7:$H$874,BS_RE33!$S$7:$S$874,$AS$2,BS_RE33!$N$7:$N$874,I61,BS_RE33!$P$7:$P$874,'30 days CF Table(GBP)'!G61,BS_RE33!$F$7:$F$874,'30 days CF Table(GBP)'!$C$2)</f>
        <v>0</v>
      </c>
      <c r="AT61" s="379">
        <f>SUMIFS(BS_RE33!$H$7:$H$874,BS_RE33!$S$7:$S$874,$AT$2,BS_RE33!$N$7:$N$874,I61,BS_RE33!$P$7:$P$874,'30 days CF Table(GBP)'!G61,BS_RE33!$F$7:$F$874,'30 days CF Table(GBP)'!$C$2)</f>
        <v>0</v>
      </c>
      <c r="AU61" s="379">
        <f>SUMIFS(BS_RE33!$H$7:$H$874,BS_RE33!$S$7:$S$874,$AU$2,BS_RE33!$N$7:$N$874,I61,BS_RE33!$P$7:$P$874,'30 days CF Table(GBP)'!G61,BS_RE33!$F$7:$F$874,'30 days CF Table(GBP)'!$C$2)</f>
        <v>0</v>
      </c>
      <c r="AV61" s="379">
        <f>SUMIFS(BS_RE33!$H$7:$H$874,BS_RE33!$S$7:$S$874,$AV$2,BS_RE33!$N$7:$N$874,I61,BS_RE33!$P$7:$P$874,'30 days CF Table(GBP)'!G61,BS_RE33!$F$7:$F$874,'30 days CF Table(GBP)'!$C$2)</f>
        <v>0</v>
      </c>
      <c r="AW61" s="379">
        <f>SUMIFS(BS_RE33!$H$7:$H$874,BS_RE33!$S$7:$S$874,$AW$2,BS_RE33!$N$7:$N$874,I61,BS_RE33!$P$7:$P$874,'30 days CF Table(GBP)'!G61,BS_RE33!$F$7:$F$874,'30 days CF Table(GBP)'!$C$2)</f>
        <v>0</v>
      </c>
      <c r="AX61" s="379">
        <f>SUMIFS(BS_RE33!$H$7:$H$874,BS_RE33!$S$7:$S$874,$AX$2,BS_RE33!$N$7:$N$874,I61,BS_RE33!$P$7:$P$874,'30 days CF Table(GBP)'!G61,BS_RE33!$F$7:$F$874,'30 days CF Table(GBP)'!$C$2)</f>
        <v>0</v>
      </c>
      <c r="AY61" s="379">
        <f>SUMIFS(BS_RE33!$H$7:$H$874,BS_RE33!$S$7:$S$874,$AY$2,BS_RE33!$N$7:$N$874,I61,BS_RE33!$P$7:$P$874,'30 days CF Table(GBP)'!G61,BS_RE33!$F$7:$F$874,'30 days CF Table(GBP)'!$C$2)</f>
        <v>0</v>
      </c>
      <c r="AZ61" s="379">
        <f>SUMIFS(BS_RE33!$H$7:$H$874,BS_RE33!$S$7:$S$874,$AZ$2,BS_RE33!$N$7:$N$874,I61,BS_RE33!$P$7:$P$874,'30 days CF Table(GBP)'!G61,BS_RE33!$F$7:$F$874,'30 days CF Table(GBP)'!$C$2)</f>
        <v>0</v>
      </c>
      <c r="BA61" s="379">
        <f>SUMIFS(BS_RE33!$H$7:$H$874,BS_RE33!$S$7:$S$874,$BA$2,BS_RE33!$N$7:$N$874,I61,BS_RE33!$P$7:$P$874,'30 days CF Table(GBP)'!G61,BS_RE33!$F$7:$F$874,'30 days CF Table(GBP)'!$C$2)</f>
        <v>0</v>
      </c>
      <c r="BB61" s="379">
        <f>SUMIFS(BS_RE33!$H$7:$H$874,BS_RE33!$S$7:$S$874,$BB$2,BS_RE33!$N$7:$N$874,I61,BS_RE33!$P$7:$P$874,'30 days CF Table(GBP)'!G61,BS_RE33!$F$7:$F$874,'30 days CF Table(GBP)'!$C$2)</f>
        <v>0</v>
      </c>
      <c r="BC61" s="379">
        <f>SUMIFS(BS_RE33!$H$7:$H$874,BS_RE33!$S$7:$S$874,$BC$2,BS_RE33!$N$7:$N$874,I61,BS_RE33!$P$7:$P$874,'30 days CF Table(GBP)'!G61,BS_RE33!$F$7:$F$874,'30 days CF Table(GBP)'!$C$2)</f>
        <v>0</v>
      </c>
      <c r="BD61" s="379">
        <f>SUMIFS(BS_RE33!$H$7:$H$874,BS_RE33!$S$7:$S$874,$BD$2,BS_RE33!$N$7:$N$874,I61,BS_RE33!$P$7:$P$874,'30 days CF Table(GBP)'!G61,BS_RE33!$F$7:$F$874,'30 days CF Table(GBP)'!$C$2)</f>
        <v>0</v>
      </c>
      <c r="BE61" s="379">
        <f>SUMIFS(BS_RE33!$H$7:$H$874,BS_RE33!$S$7:$S$874,$BE$2,BS_RE33!$N$7:$N$874,I61,BS_RE33!$P$7:$P$874,'30 days CF Table(GBP)'!G61,BS_RE33!$F$7:$F$874,'30 days CF Table(GBP)'!$C$2)</f>
        <v>0</v>
      </c>
      <c r="BF61" s="379">
        <f>SUMIFS(BS_RE33!$H$7:$H$874,BS_RE33!$S$7:$S$874,$BF$2,BS_RE33!$N$7:$N$874,I61,BS_RE33!$P$7:$P$874,'30 days CF Table(GBP)'!G61,BS_RE33!$F$7:$F$874,'30 days CF Table(GBP)'!$C$2)</f>
        <v>0</v>
      </c>
      <c r="BG61" s="379">
        <f>SUMIFS(BS_RE33!$H$7:$H$874,BS_RE33!$S$7:$S$874,$BG$2,BS_RE33!$N$7:$N$874,I61,BS_RE33!$P$7:$P$874,'30 days CF Table(GBP)'!G61,BS_RE33!$F$7:$F$874,'30 days CF Table(GBP)'!$C$2)</f>
        <v>0</v>
      </c>
      <c r="BH61" s="379">
        <f>SUMIFS(BS_RE33!$H$7:$H$874,BS_RE33!$S$7:$S$874,$BH$2,BS_RE33!$N$7:$N$874,I61,BS_RE33!$P$7:$P$874,'30 days CF Table(GBP)'!G61,BS_RE33!$F$7:$F$874,'30 days CF Table(GBP)'!$C$2)</f>
        <v>0</v>
      </c>
      <c r="BI61" s="379">
        <f>SUMIFS(BS_RE33!$H$7:$H$874,BS_RE33!$S$7:$S$874,$BI$2,BS_RE33!$N$7:$N$874,I61,BS_RE33!$P$7:$P$874,'30 days CF Table(GBP)'!G61,BS_RE33!$F$7:$F$874,'30 days CF Table(GBP)'!$C$2)</f>
        <v>0</v>
      </c>
      <c r="BJ61" s="379">
        <f>SUMIFS(BS_RE33!$H$7:$H$874,BS_RE33!$S$7:$S$874,$BJ$2,BS_RE33!$N$7:$N$874,I61,BS_RE33!$P$7:$P$874,'30 days CF Table(GBP)'!G61,BS_RE33!$F$7:$F$874,'30 days CF Table(GBP)'!$C$2)</f>
        <v>0</v>
      </c>
      <c r="BK61" s="379">
        <f>SUMIFS(BS_RE33!$H$7:$H$874,BS_RE33!$S$7:$S$874,$BK$2,BS_RE33!$N$7:$N$874,I61,BS_RE33!$P$7:$P$874,'30 days CF Table(GBP)'!G61,BS_RE33!$F$7:$F$874,'30 days CF Table(GBP)'!$C$2)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Table(GBP)'!G62,BS_RE33!$F$7:$F$874,'30 days CF Table(GBP)'!$C$2)</f>
        <v>0</v>
      </c>
      <c r="M62" s="337">
        <f>SUMIFS(BS_RE33!$H$7:$H$874,BS_RE33!$S$7:$S$874,$M$2,BS_RE33!$N$7:$N$874,I62,BS_RE33!$P$7:$P$874,'30 days CF Table(GBP)'!G62,BS_RE33!$F$7:$F$874,'30 days CF Table(GBP)'!$C$2)</f>
        <v>0</v>
      </c>
      <c r="N62" s="337">
        <f>SUMIFS(BS_RE33!$H$7:$H$874,BS_RE33!$S$7:$S$874,$N$2,BS_RE33!$N$7:$N$874,I62,BS_RE33!$P$7:$P$874,'30 days CF Table(GBP)'!G62,BS_RE33!$F$7:$F$874,'30 days CF Table(GBP)'!$C$2)</f>
        <v>0</v>
      </c>
      <c r="O62" s="337">
        <f>SUMIFS(BS_RE33!$H$7:$H$874,BS_RE33!$S$7:$S$874,$O$2,BS_RE33!$N$7:$N$874,I62,BS_RE33!$P$7:$P$874,'30 days CF Table(GBP)'!G62,BS_RE33!$F$7:$F$874,'30 days CF Table(GBP)'!$C$2)</f>
        <v>0</v>
      </c>
      <c r="P62" s="337">
        <f>SUMIFS(BS_RE33!$H$7:$H$874,BS_RE33!$S$7:$S$874,$P$2,BS_RE33!$N$7:$N$874,I62,BS_RE33!$P$7:$P$874,'30 days CF Table(GBP)'!G62,BS_RE33!$F$7:$F$874,'30 days CF Table(GBP)'!$C$2)</f>
        <v>0</v>
      </c>
      <c r="Q62" s="337">
        <f>SUMIFS(BS_RE33!$H$7:$H$874,BS_RE33!$S$7:$S$874,$Q$2,BS_RE33!$N$7:$N$874,I62,BS_RE33!$P$7:$P$874,'30 days CF Table(GBP)'!G62,BS_RE33!$F$7:$F$874,'30 days CF Table(GBP)'!$C$2)</f>
        <v>0</v>
      </c>
      <c r="R62" s="337">
        <f>SUMIFS(BS_RE33!$H$7:$H$874,BS_RE33!$S$7:$S$874,$R$2,BS_RE33!$N$7:$N$874,I62,BS_RE33!$P$7:$P$874,'30 days CF Table(GBP)'!G62,BS_RE33!$F$7:$F$874,'30 days CF Table(GBP)'!$C$2)</f>
        <v>0</v>
      </c>
      <c r="S62" s="337">
        <f>SUMIFS(BS_RE33!$H$7:$H$874,BS_RE33!$S$7:$S$874,$S$2,BS_RE33!$N$7:$N$874,I62,BS_RE33!$P$7:$P$874,'30 days CF Table(GBP)'!G62,BS_RE33!$F$7:$F$874,'30 days CF Table(GBP)'!$C$2)</f>
        <v>0</v>
      </c>
      <c r="T62" s="337">
        <f>SUMIFS(BS_RE33!$H$7:$H$874,BS_RE33!$S$7:$S$874,$T$2,BS_RE33!$N$7:$N$874,I62,BS_RE33!$P$7:$P$874,'30 days CF Table(GBP)'!G62,BS_RE33!$F$7:$F$874,'30 days CF Table(GBP)'!$C$2)</f>
        <v>0</v>
      </c>
      <c r="U62" s="337">
        <f>SUMIFS(BS_RE33!$H$7:$H$874,BS_RE33!$S$7:$S$874,$U$2,BS_RE33!$N$7:$N$874,I62,BS_RE33!$P$7:$P$874,'30 days CF Table(GBP)'!G62,BS_RE33!$F$7:$F$874,'30 days CF Table(GBP)'!$C$2)</f>
        <v>0</v>
      </c>
      <c r="V62" s="337">
        <f>SUMIFS(BS_RE33!$H$7:$H$874,BS_RE33!$S$7:$S$874,$V$2,BS_RE33!$N$7:$N$874,I62,BS_RE33!$P$7:$P$874,'30 days CF Table(GBP)'!G62,BS_RE33!$F$7:$F$874,'30 days CF Table(GBP)'!$C$2)</f>
        <v>0</v>
      </c>
      <c r="W62" s="337">
        <f>SUMIFS(BS_RE33!$H$7:$H$874,BS_RE33!$S$7:$S$874,$W$2,BS_RE33!$N$7:$N$874,I62,BS_RE33!$P$7:$P$874,'30 days CF Table(GBP)'!G62,BS_RE33!$F$7:$F$874,'30 days CF Table(GBP)'!$C$2)</f>
        <v>0</v>
      </c>
      <c r="X62" s="337">
        <f>SUMIFS(BS_RE33!$H$7:$H$874,BS_RE33!$S$7:$S$874,$X$2,BS_RE33!$N$7:$N$874,I62,BS_RE33!$P$7:$P$874,'30 days CF Table(GBP)'!G62,BS_RE33!$F$7:$F$874,'30 days CF Table(GBP)'!$C$2)</f>
        <v>0</v>
      </c>
      <c r="Y62" s="337">
        <f>SUMIFS(BS_RE33!$H$7:$H$874,BS_RE33!$S$7:$S$874,$Y$2,BS_RE33!$N$7:$N$874,I62,BS_RE33!$P$7:$P$874,'30 days CF Table(GBP)'!G62,BS_RE33!$F$7:$F$874,'30 days CF Table(GBP)'!$C$2)</f>
        <v>0</v>
      </c>
      <c r="Z62" s="337">
        <f>SUMIFS(BS_RE33!$H$7:$H$874,BS_RE33!$S$7:$S$874,$Z$2,BS_RE33!$N$7:$N$874,I62,BS_RE33!$P$7:$P$874,'30 days CF Table(GBP)'!G62,BS_RE33!$F$7:$F$874,'30 days CF Table(GBP)'!$C$2)</f>
        <v>0</v>
      </c>
      <c r="AA62" s="337">
        <f>SUMIFS(BS_RE33!$H$7:$H$874,BS_RE33!$S$7:$S$874,$AA$2,BS_RE33!$N$7:$N$874,I62,BS_RE33!$P$7:$P$874,'30 days CF Table(GBP)'!G62,BS_RE33!$F$7:$F$874,'30 days CF Table(GBP)'!$C$2)</f>
        <v>0</v>
      </c>
      <c r="AB62" s="337">
        <f>SUMIFS(BS_RE33!$H$7:$H$874,BS_RE33!$S$7:$S$874,$AB$2,BS_RE33!$N$7:$N$874,I62,BS_RE33!$P$7:$P$874,'30 days CF Table(GBP)'!G62,BS_RE33!$F$7:$F$874,'30 days CF Table(GBP)'!$C$2)</f>
        <v>0</v>
      </c>
      <c r="AC62" s="337">
        <f>SUMIFS(BS_RE33!$H$7:$H$874,BS_RE33!$S$7:$S$874,$AC$2,BS_RE33!$N$7:$N$874,I62,BS_RE33!$P$7:$P$874,'30 days CF Table(GBP)'!G62,BS_RE33!$F$7:$F$874,'30 days CF Table(GBP)'!$C$2)</f>
        <v>0</v>
      </c>
      <c r="AD62" s="337">
        <f>SUMIFS(BS_RE33!$H$7:$H$874,BS_RE33!$S$7:$S$874,$AD$2,BS_RE33!$N$7:$N$874,I62,BS_RE33!$P$7:$P$874,'30 days CF Table(GBP)'!G62,BS_RE33!$F$7:$F$874,'30 days CF Table(GBP)'!$C$2)</f>
        <v>0</v>
      </c>
      <c r="AE62" s="337">
        <f>SUMIFS(BS_RE33!$H$7:$H$874,BS_RE33!$S$7:$S$874,$AE$2,BS_RE33!$N$7:$N$874,I62,BS_RE33!$P$7:$P$874,'30 days CF Table(GBP)'!G62,BS_RE33!$F$7:$F$874,'30 days CF Table(GBP)'!$C$2)</f>
        <v>0</v>
      </c>
      <c r="AF62" s="337">
        <f>SUMIFS(BS_RE33!$H$7:$H$874,BS_RE33!$S$7:$S$874,$AF$2,BS_RE33!$N$7:$N$874,I62,BS_RE33!$P$7:$P$874,'30 days CF Table(GBP)'!G62,BS_RE33!$F$7:$F$874,'30 days CF Table(GBP)'!$C$2)</f>
        <v>0</v>
      </c>
      <c r="AG62" s="337">
        <f>SUMIFS(BS_RE33!$H$7:$H$874,BS_RE33!$S$7:$S$874,$AG$2,BS_RE33!$N$7:$N$874,I62,BS_RE33!$P$7:$P$874,'30 days CF Table(GBP)'!G62,BS_RE33!$F$7:$F$874,'30 days CF Table(GBP)'!$C$2)</f>
        <v>0</v>
      </c>
      <c r="AH62" s="337">
        <f>SUMIFS(BS_RE33!$H$7:$H$874,BS_RE33!$S$7:$S$874,$AH$2,BS_RE33!$N$7:$N$874,I62,BS_RE33!$P$7:$P$874,'30 days CF Table(GBP)'!G62,BS_RE33!$F$7:$F$874,'30 days CF Table(GBP)'!$C$2)</f>
        <v>0</v>
      </c>
      <c r="AI62" s="337">
        <f>SUMIFS(BS_RE33!$H$7:$H$874,BS_RE33!$S$7:$S$874,$AI$2,BS_RE33!$N$7:$N$874,I62,BS_RE33!$P$7:$P$874,'30 days CF Table(GBP)'!G62,BS_RE33!$F$7:$F$874,'30 days CF Table(GBP)'!$C$2)</f>
        <v>0</v>
      </c>
      <c r="AJ62" s="337">
        <f>SUMIFS(BS_RE33!$H$7:$H$874,BS_RE33!$S$7:$S$874,$AJ$2,BS_RE33!$N$7:$N$874,I62,BS_RE33!$P$7:$P$874,'30 days CF Table(GBP)'!G62,BS_RE33!$F$7:$F$874,'30 days CF Table(GBP)'!$C$2)</f>
        <v>0</v>
      </c>
      <c r="AK62" s="337">
        <f>SUMIFS(BS_RE33!$H$7:$H$874,BS_RE33!$S$7:$S$874,$AK$2,BS_RE33!$N$7:$N$874,I62,BS_RE33!$P$7:$P$874,'30 days CF Table(GBP)'!G62,BS_RE33!$F$7:$F$874,'30 days CF Table(GBP)'!$C$2)</f>
        <v>0</v>
      </c>
      <c r="AL62" s="337">
        <f>SUMIFS(BS_RE33!$H$7:$H$874,BS_RE33!$S$7:$S$874,$AL$2,BS_RE33!$N$7:$N$874,I62,BS_RE33!$P$7:$P$874,'30 days CF Table(GBP)'!G62,BS_RE33!$F$7:$F$874,'30 days CF Table(GBP)'!$C$2)</f>
        <v>0</v>
      </c>
      <c r="AM62" s="337">
        <f>SUMIFS(BS_RE33!$H$7:$H$874,BS_RE33!$S$7:$S$874,$AM$2,BS_RE33!$N$7:$N$874,I62,BS_RE33!$P$7:$P$874,'30 days CF Table(GBP)'!G62,BS_RE33!$F$7:$F$874,'30 days CF Table(GBP)'!$C$2)</f>
        <v>0</v>
      </c>
      <c r="AN62" s="337">
        <f>SUMIFS(BS_RE33!$H$7:$H$874,BS_RE33!$S$7:$S$874,$AN$2,BS_RE33!$N$7:$N$874,I62,BS_RE33!$P$7:$P$874,'30 days CF Table(GBP)'!G62,BS_RE33!$F$7:$F$874,'30 days CF Table(GBP)'!$C$2)</f>
        <v>0</v>
      </c>
      <c r="AO62" s="337">
        <f>SUMIFS(BS_RE33!$H$7:$H$874,BS_RE33!$S$7:$S$874,$AO$2,BS_RE33!$N$7:$N$874,I62,BS_RE33!$P$7:$P$874,'30 days CF Table(GBP)'!G62,BS_RE33!$F$7:$F$874,'30 days CF Table(GBP)'!$C$2)</f>
        <v>0</v>
      </c>
      <c r="AP62" s="338">
        <f>SUMIFS(BS_RE33!$H$7:$H$874,BS_RE33!$S$7:$S$874,$AP$2,BS_RE33!$N$7:$N$874,I62,BS_RE33!$P$7:$P$874,'30 days CF Table(GBP)'!G62,BS_RE33!$F$7:$F$874,'30 days CF Table(GBP)'!$C$2)</f>
        <v>0</v>
      </c>
      <c r="AR62" s="379">
        <f>SUMIFS(BS_RE33!$H$7:$H$874,BS_RE33!$S$7:$S$874,$AR$2,BS_RE33!$N$7:$N$874,I62,BS_RE33!$P$7:$P$874,'30 days CF Table(GBP)'!G62,BS_RE33!$F$7:$F$874,'30 days CF Table(GBP)'!$C$2)</f>
        <v>0</v>
      </c>
      <c r="AS62" s="379">
        <f>SUMIFS(BS_RE33!$H$7:$H$874,BS_RE33!$S$7:$S$874,$AS$2,BS_RE33!$N$7:$N$874,I62,BS_RE33!$P$7:$P$874,'30 days CF Table(GBP)'!G62,BS_RE33!$F$7:$F$874,'30 days CF Table(GBP)'!$C$2)</f>
        <v>0</v>
      </c>
      <c r="AT62" s="379">
        <f>SUMIFS(BS_RE33!$H$7:$H$874,BS_RE33!$S$7:$S$874,$AT$2,BS_RE33!$N$7:$N$874,I62,BS_RE33!$P$7:$P$874,'30 days CF Table(GBP)'!G62,BS_RE33!$F$7:$F$874,'30 days CF Table(GBP)'!$C$2)</f>
        <v>0</v>
      </c>
      <c r="AU62" s="379">
        <f>SUMIFS(BS_RE33!$H$7:$H$874,BS_RE33!$S$7:$S$874,$AU$2,BS_RE33!$N$7:$N$874,I62,BS_RE33!$P$7:$P$874,'30 days CF Table(GBP)'!G62,BS_RE33!$F$7:$F$874,'30 days CF Table(GBP)'!$C$2)</f>
        <v>0</v>
      </c>
      <c r="AV62" s="379">
        <f>SUMIFS(BS_RE33!$H$7:$H$874,BS_RE33!$S$7:$S$874,$AV$2,BS_RE33!$N$7:$N$874,I62,BS_RE33!$P$7:$P$874,'30 days CF Table(GBP)'!G62,BS_RE33!$F$7:$F$874,'30 days CF Table(GBP)'!$C$2)</f>
        <v>0</v>
      </c>
      <c r="AW62" s="379">
        <f>SUMIFS(BS_RE33!$H$7:$H$874,BS_RE33!$S$7:$S$874,$AW$2,BS_RE33!$N$7:$N$874,I62,BS_RE33!$P$7:$P$874,'30 days CF Table(GBP)'!G62,BS_RE33!$F$7:$F$874,'30 days CF Table(GBP)'!$C$2)</f>
        <v>0</v>
      </c>
      <c r="AX62" s="379">
        <f>SUMIFS(BS_RE33!$H$7:$H$874,BS_RE33!$S$7:$S$874,$AX$2,BS_RE33!$N$7:$N$874,I62,BS_RE33!$P$7:$P$874,'30 days CF Table(GBP)'!G62,BS_RE33!$F$7:$F$874,'30 days CF Table(GBP)'!$C$2)</f>
        <v>0</v>
      </c>
      <c r="AY62" s="379">
        <f>SUMIFS(BS_RE33!$H$7:$H$874,BS_RE33!$S$7:$S$874,$AY$2,BS_RE33!$N$7:$N$874,I62,BS_RE33!$P$7:$P$874,'30 days CF Table(GBP)'!G62,BS_RE33!$F$7:$F$874,'30 days CF Table(GBP)'!$C$2)</f>
        <v>0</v>
      </c>
      <c r="AZ62" s="379">
        <f>SUMIFS(BS_RE33!$H$7:$H$874,BS_RE33!$S$7:$S$874,$AZ$2,BS_RE33!$N$7:$N$874,I62,BS_RE33!$P$7:$P$874,'30 days CF Table(GBP)'!G62,BS_RE33!$F$7:$F$874,'30 days CF Table(GBP)'!$C$2)</f>
        <v>0</v>
      </c>
      <c r="BA62" s="379">
        <f>SUMIFS(BS_RE33!$H$7:$H$874,BS_RE33!$S$7:$S$874,$BA$2,BS_RE33!$N$7:$N$874,I62,BS_RE33!$P$7:$P$874,'30 days CF Table(GBP)'!G62,BS_RE33!$F$7:$F$874,'30 days CF Table(GBP)'!$C$2)</f>
        <v>0</v>
      </c>
      <c r="BB62" s="379">
        <f>SUMIFS(BS_RE33!$H$7:$H$874,BS_RE33!$S$7:$S$874,$BB$2,BS_RE33!$N$7:$N$874,I62,BS_RE33!$P$7:$P$874,'30 days CF Table(GBP)'!G62,BS_RE33!$F$7:$F$874,'30 days CF Table(GBP)'!$C$2)</f>
        <v>0</v>
      </c>
      <c r="BC62" s="379">
        <f>SUMIFS(BS_RE33!$H$7:$H$874,BS_RE33!$S$7:$S$874,$BC$2,BS_RE33!$N$7:$N$874,I62,BS_RE33!$P$7:$P$874,'30 days CF Table(GBP)'!G62,BS_RE33!$F$7:$F$874,'30 days CF Table(GBP)'!$C$2)</f>
        <v>0</v>
      </c>
      <c r="BD62" s="379">
        <f>SUMIFS(BS_RE33!$H$7:$H$874,BS_RE33!$S$7:$S$874,$BD$2,BS_RE33!$N$7:$N$874,I62,BS_RE33!$P$7:$P$874,'30 days CF Table(GBP)'!G62,BS_RE33!$F$7:$F$874,'30 days CF Table(GBP)'!$C$2)</f>
        <v>0</v>
      </c>
      <c r="BE62" s="379">
        <f>SUMIFS(BS_RE33!$H$7:$H$874,BS_RE33!$S$7:$S$874,$BE$2,BS_RE33!$N$7:$N$874,I62,BS_RE33!$P$7:$P$874,'30 days CF Table(GBP)'!G62,BS_RE33!$F$7:$F$874,'30 days CF Table(GBP)'!$C$2)</f>
        <v>0</v>
      </c>
      <c r="BF62" s="379">
        <f>SUMIFS(BS_RE33!$H$7:$H$874,BS_RE33!$S$7:$S$874,$BF$2,BS_RE33!$N$7:$N$874,I62,BS_RE33!$P$7:$P$874,'30 days CF Table(GBP)'!G62,BS_RE33!$F$7:$F$874,'30 days CF Table(GBP)'!$C$2)</f>
        <v>0</v>
      </c>
      <c r="BG62" s="379">
        <f>SUMIFS(BS_RE33!$H$7:$H$874,BS_RE33!$S$7:$S$874,$BG$2,BS_RE33!$N$7:$N$874,I62,BS_RE33!$P$7:$P$874,'30 days CF Table(GBP)'!G62,BS_RE33!$F$7:$F$874,'30 days CF Table(GBP)'!$C$2)</f>
        <v>0</v>
      </c>
      <c r="BH62" s="379">
        <f>SUMIFS(BS_RE33!$H$7:$H$874,BS_RE33!$S$7:$S$874,$BH$2,BS_RE33!$N$7:$N$874,I62,BS_RE33!$P$7:$P$874,'30 days CF Table(GBP)'!G62,BS_RE33!$F$7:$F$874,'30 days CF Table(GBP)'!$C$2)</f>
        <v>0</v>
      </c>
      <c r="BI62" s="379">
        <f>SUMIFS(BS_RE33!$H$7:$H$874,BS_RE33!$S$7:$S$874,$BI$2,BS_RE33!$N$7:$N$874,I62,BS_RE33!$P$7:$P$874,'30 days CF Table(GBP)'!G62,BS_RE33!$F$7:$F$874,'30 days CF Table(GBP)'!$C$2)</f>
        <v>0</v>
      </c>
      <c r="BJ62" s="379">
        <f>SUMIFS(BS_RE33!$H$7:$H$874,BS_RE33!$S$7:$S$874,$BJ$2,BS_RE33!$N$7:$N$874,I62,BS_RE33!$P$7:$P$874,'30 days CF Table(GBP)'!G62,BS_RE33!$F$7:$F$874,'30 days CF Table(GBP)'!$C$2)</f>
        <v>0</v>
      </c>
      <c r="BK62" s="379">
        <f>SUMIFS(BS_RE33!$H$7:$H$874,BS_RE33!$S$7:$S$874,$BK$2,BS_RE33!$N$7:$N$874,I62,BS_RE33!$P$7:$P$874,'30 days CF Table(GBP)'!G62,BS_RE33!$F$7:$F$874,'30 days CF Table(GBP)'!$C$2)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Table(GBP)'!G63,BS_RE33!$F$7:$F$874,'30 days CF Table(GBP)'!$C$2)</f>
        <v>0</v>
      </c>
      <c r="M63" s="337">
        <f>SUMIFS(BS_RE33!$H$7:$H$874,BS_RE33!$S$7:$S$874,$M$2,BS_RE33!$N$7:$N$874,I63,BS_RE33!$P$7:$P$874,'30 days CF Table(GBP)'!G63,BS_RE33!$F$7:$F$874,'30 days CF Table(GBP)'!$C$2)</f>
        <v>0</v>
      </c>
      <c r="N63" s="337">
        <f>SUMIFS(BS_RE33!$H$7:$H$874,BS_RE33!$S$7:$S$874,$N$2,BS_RE33!$N$7:$N$874,I63,BS_RE33!$P$7:$P$874,'30 days CF Table(GBP)'!G63,BS_RE33!$F$7:$F$874,'30 days CF Table(GBP)'!$C$2)</f>
        <v>0</v>
      </c>
      <c r="O63" s="337">
        <f>SUMIFS(BS_RE33!$H$7:$H$874,BS_RE33!$S$7:$S$874,$O$2,BS_RE33!$N$7:$N$874,I63,BS_RE33!$P$7:$P$874,'30 days CF Table(GBP)'!G63,BS_RE33!$F$7:$F$874,'30 days CF Table(GBP)'!$C$2)</f>
        <v>0</v>
      </c>
      <c r="P63" s="337">
        <f>SUMIFS(BS_RE33!$H$7:$H$874,BS_RE33!$S$7:$S$874,$P$2,BS_RE33!$N$7:$N$874,I63,BS_RE33!$P$7:$P$874,'30 days CF Table(GBP)'!G63,BS_RE33!$F$7:$F$874,'30 days CF Table(GBP)'!$C$2)</f>
        <v>0</v>
      </c>
      <c r="Q63" s="337">
        <f>SUMIFS(BS_RE33!$H$7:$H$874,BS_RE33!$S$7:$S$874,$Q$2,BS_RE33!$N$7:$N$874,I63,BS_RE33!$P$7:$P$874,'30 days CF Table(GBP)'!G63,BS_RE33!$F$7:$F$874,'30 days CF Table(GBP)'!$C$2)</f>
        <v>0</v>
      </c>
      <c r="R63" s="337">
        <f>SUMIFS(BS_RE33!$H$7:$H$874,BS_RE33!$S$7:$S$874,$R$2,BS_RE33!$N$7:$N$874,I63,BS_RE33!$P$7:$P$874,'30 days CF Table(GBP)'!G63,BS_RE33!$F$7:$F$874,'30 days CF Table(GBP)'!$C$2)</f>
        <v>0</v>
      </c>
      <c r="S63" s="337">
        <f>SUMIFS(BS_RE33!$H$7:$H$874,BS_RE33!$S$7:$S$874,$S$2,BS_RE33!$N$7:$N$874,I63,BS_RE33!$P$7:$P$874,'30 days CF Table(GBP)'!G63,BS_RE33!$F$7:$F$874,'30 days CF Table(GBP)'!$C$2)</f>
        <v>0</v>
      </c>
      <c r="T63" s="337">
        <f>SUMIFS(BS_RE33!$H$7:$H$874,BS_RE33!$S$7:$S$874,$T$2,BS_RE33!$N$7:$N$874,I63,BS_RE33!$P$7:$P$874,'30 days CF Table(GBP)'!G63,BS_RE33!$F$7:$F$874,'30 days CF Table(GBP)'!$C$2)</f>
        <v>0</v>
      </c>
      <c r="U63" s="337">
        <f>SUMIFS(BS_RE33!$H$7:$H$874,BS_RE33!$S$7:$S$874,$U$2,BS_RE33!$N$7:$N$874,I63,BS_RE33!$P$7:$P$874,'30 days CF Table(GBP)'!G63,BS_RE33!$F$7:$F$874,'30 days CF Table(GBP)'!$C$2)</f>
        <v>0</v>
      </c>
      <c r="V63" s="337">
        <f>SUMIFS(BS_RE33!$H$7:$H$874,BS_RE33!$S$7:$S$874,$V$2,BS_RE33!$N$7:$N$874,I63,BS_RE33!$P$7:$P$874,'30 days CF Table(GBP)'!G63,BS_RE33!$F$7:$F$874,'30 days CF Table(GBP)'!$C$2)</f>
        <v>0</v>
      </c>
      <c r="W63" s="337">
        <f>SUMIFS(BS_RE33!$H$7:$H$874,BS_RE33!$S$7:$S$874,$W$2,BS_RE33!$N$7:$N$874,I63,BS_RE33!$P$7:$P$874,'30 days CF Table(GBP)'!G63,BS_RE33!$F$7:$F$874,'30 days CF Table(GBP)'!$C$2)</f>
        <v>0</v>
      </c>
      <c r="X63" s="337">
        <f>SUMIFS(BS_RE33!$H$7:$H$874,BS_RE33!$S$7:$S$874,$X$2,BS_RE33!$N$7:$N$874,I63,BS_RE33!$P$7:$P$874,'30 days CF Table(GBP)'!G63,BS_RE33!$F$7:$F$874,'30 days CF Table(GBP)'!$C$2)</f>
        <v>0</v>
      </c>
      <c r="Y63" s="337">
        <f>SUMIFS(BS_RE33!$H$7:$H$874,BS_RE33!$S$7:$S$874,$Y$2,BS_RE33!$N$7:$N$874,I63,BS_RE33!$P$7:$P$874,'30 days CF Table(GBP)'!G63,BS_RE33!$F$7:$F$874,'30 days CF Table(GBP)'!$C$2)</f>
        <v>0</v>
      </c>
      <c r="Z63" s="337">
        <f>SUMIFS(BS_RE33!$H$7:$H$874,BS_RE33!$S$7:$S$874,$Z$2,BS_RE33!$N$7:$N$874,I63,BS_RE33!$P$7:$P$874,'30 days CF Table(GBP)'!G63,BS_RE33!$F$7:$F$874,'30 days CF Table(GBP)'!$C$2)</f>
        <v>0</v>
      </c>
      <c r="AA63" s="337">
        <f>SUMIFS(BS_RE33!$H$7:$H$874,BS_RE33!$S$7:$S$874,$AA$2,BS_RE33!$N$7:$N$874,I63,BS_RE33!$P$7:$P$874,'30 days CF Table(GBP)'!G63,BS_RE33!$F$7:$F$874,'30 days CF Table(GBP)'!$C$2)</f>
        <v>0</v>
      </c>
      <c r="AB63" s="337">
        <f>SUMIFS(BS_RE33!$H$7:$H$874,BS_RE33!$S$7:$S$874,$AB$2,BS_RE33!$N$7:$N$874,I63,BS_RE33!$P$7:$P$874,'30 days CF Table(GBP)'!G63,BS_RE33!$F$7:$F$874,'30 days CF Table(GBP)'!$C$2)</f>
        <v>0</v>
      </c>
      <c r="AC63" s="337">
        <f>SUMIFS(BS_RE33!$H$7:$H$874,BS_RE33!$S$7:$S$874,$AC$2,BS_RE33!$N$7:$N$874,I63,BS_RE33!$P$7:$P$874,'30 days CF Table(GBP)'!G63,BS_RE33!$F$7:$F$874,'30 days CF Table(GBP)'!$C$2)</f>
        <v>0</v>
      </c>
      <c r="AD63" s="337">
        <f>SUMIFS(BS_RE33!$H$7:$H$874,BS_RE33!$S$7:$S$874,$AD$2,BS_RE33!$N$7:$N$874,I63,BS_RE33!$P$7:$P$874,'30 days CF Table(GBP)'!G63,BS_RE33!$F$7:$F$874,'30 days CF Table(GBP)'!$C$2)</f>
        <v>0</v>
      </c>
      <c r="AE63" s="337">
        <f>SUMIFS(BS_RE33!$H$7:$H$874,BS_RE33!$S$7:$S$874,$AE$2,BS_RE33!$N$7:$N$874,I63,BS_RE33!$P$7:$P$874,'30 days CF Table(GBP)'!G63,BS_RE33!$F$7:$F$874,'30 days CF Table(GBP)'!$C$2)</f>
        <v>0</v>
      </c>
      <c r="AF63" s="337">
        <f>SUMIFS(BS_RE33!$H$7:$H$874,BS_RE33!$S$7:$S$874,$AF$2,BS_RE33!$N$7:$N$874,I63,BS_RE33!$P$7:$P$874,'30 days CF Table(GBP)'!G63,BS_RE33!$F$7:$F$874,'30 days CF Table(GBP)'!$C$2)</f>
        <v>0</v>
      </c>
      <c r="AG63" s="337">
        <f>SUMIFS(BS_RE33!$H$7:$H$874,BS_RE33!$S$7:$S$874,$AG$2,BS_RE33!$N$7:$N$874,I63,BS_RE33!$P$7:$P$874,'30 days CF Table(GBP)'!G63,BS_RE33!$F$7:$F$874,'30 days CF Table(GBP)'!$C$2)</f>
        <v>0</v>
      </c>
      <c r="AH63" s="337">
        <f>SUMIFS(BS_RE33!$H$7:$H$874,BS_RE33!$S$7:$S$874,$AH$2,BS_RE33!$N$7:$N$874,I63,BS_RE33!$P$7:$P$874,'30 days CF Table(GBP)'!G63,BS_RE33!$F$7:$F$874,'30 days CF Table(GBP)'!$C$2)</f>
        <v>0</v>
      </c>
      <c r="AI63" s="337">
        <f>SUMIFS(BS_RE33!$H$7:$H$874,BS_RE33!$S$7:$S$874,$AI$2,BS_RE33!$N$7:$N$874,I63,BS_RE33!$P$7:$P$874,'30 days CF Table(GBP)'!G63,BS_RE33!$F$7:$F$874,'30 days CF Table(GBP)'!$C$2)</f>
        <v>0</v>
      </c>
      <c r="AJ63" s="337">
        <f>SUMIFS(BS_RE33!$H$7:$H$874,BS_RE33!$S$7:$S$874,$AJ$2,BS_RE33!$N$7:$N$874,I63,BS_RE33!$P$7:$P$874,'30 days CF Table(GBP)'!G63,BS_RE33!$F$7:$F$874,'30 days CF Table(GBP)'!$C$2)</f>
        <v>0</v>
      </c>
      <c r="AK63" s="337">
        <f>SUMIFS(BS_RE33!$H$7:$H$874,BS_RE33!$S$7:$S$874,$AK$2,BS_RE33!$N$7:$N$874,I63,BS_RE33!$P$7:$P$874,'30 days CF Table(GBP)'!G63,BS_RE33!$F$7:$F$874,'30 days CF Table(GBP)'!$C$2)</f>
        <v>0</v>
      </c>
      <c r="AL63" s="337">
        <f>SUMIFS(BS_RE33!$H$7:$H$874,BS_RE33!$S$7:$S$874,$AL$2,BS_RE33!$N$7:$N$874,I63,BS_RE33!$P$7:$P$874,'30 days CF Table(GBP)'!G63,BS_RE33!$F$7:$F$874,'30 days CF Table(GBP)'!$C$2)</f>
        <v>0</v>
      </c>
      <c r="AM63" s="337">
        <f>SUMIFS(BS_RE33!$H$7:$H$874,BS_RE33!$S$7:$S$874,$AM$2,BS_RE33!$N$7:$N$874,I63,BS_RE33!$P$7:$P$874,'30 days CF Table(GBP)'!G63,BS_RE33!$F$7:$F$874,'30 days CF Table(GBP)'!$C$2)</f>
        <v>0</v>
      </c>
      <c r="AN63" s="337">
        <f>SUMIFS(BS_RE33!$H$7:$H$874,BS_RE33!$S$7:$S$874,$AN$2,BS_RE33!$N$7:$N$874,I63,BS_RE33!$P$7:$P$874,'30 days CF Table(GBP)'!G63,BS_RE33!$F$7:$F$874,'30 days CF Table(GBP)'!$C$2)</f>
        <v>0</v>
      </c>
      <c r="AO63" s="337">
        <f>SUMIFS(BS_RE33!$H$7:$H$874,BS_RE33!$S$7:$S$874,$AO$2,BS_RE33!$N$7:$N$874,I63,BS_RE33!$P$7:$P$874,'30 days CF Table(GBP)'!G63,BS_RE33!$F$7:$F$874,'30 days CF Table(GBP)'!$C$2)</f>
        <v>0</v>
      </c>
      <c r="AP63" s="338">
        <f>SUMIFS(BS_RE33!$H$7:$H$874,BS_RE33!$S$7:$S$874,$AP$2,BS_RE33!$N$7:$N$874,I63,BS_RE33!$P$7:$P$874,'30 days CF Table(GBP)'!G63,BS_RE33!$F$7:$F$874,'30 days CF Table(GBP)'!$C$2)</f>
        <v>0</v>
      </c>
      <c r="AR63" s="379">
        <f>SUMIFS(BS_RE33!$H$7:$H$874,BS_RE33!$S$7:$S$874,$AR$2,BS_RE33!$N$7:$N$874,I63,BS_RE33!$P$7:$P$874,'30 days CF Table(GBP)'!G63,BS_RE33!$F$7:$F$874,'30 days CF Table(GBP)'!$C$2)</f>
        <v>0</v>
      </c>
      <c r="AS63" s="379">
        <f>SUMIFS(BS_RE33!$H$7:$H$874,BS_RE33!$S$7:$S$874,$AS$2,BS_RE33!$N$7:$N$874,I63,BS_RE33!$P$7:$P$874,'30 days CF Table(GBP)'!G63,BS_RE33!$F$7:$F$874,'30 days CF Table(GBP)'!$C$2)</f>
        <v>0</v>
      </c>
      <c r="AT63" s="379">
        <f>SUMIFS(BS_RE33!$H$7:$H$874,BS_RE33!$S$7:$S$874,$AT$2,BS_RE33!$N$7:$N$874,I63,BS_RE33!$P$7:$P$874,'30 days CF Table(GBP)'!G63,BS_RE33!$F$7:$F$874,'30 days CF Table(GBP)'!$C$2)</f>
        <v>0</v>
      </c>
      <c r="AU63" s="379">
        <f>SUMIFS(BS_RE33!$H$7:$H$874,BS_RE33!$S$7:$S$874,$AU$2,BS_RE33!$N$7:$N$874,I63,BS_RE33!$P$7:$P$874,'30 days CF Table(GBP)'!G63,BS_RE33!$F$7:$F$874,'30 days CF Table(GBP)'!$C$2)</f>
        <v>0</v>
      </c>
      <c r="AV63" s="379">
        <f>SUMIFS(BS_RE33!$H$7:$H$874,BS_RE33!$S$7:$S$874,$AV$2,BS_RE33!$N$7:$N$874,I63,BS_RE33!$P$7:$P$874,'30 days CF Table(GBP)'!G63,BS_RE33!$F$7:$F$874,'30 days CF Table(GBP)'!$C$2)</f>
        <v>0</v>
      </c>
      <c r="AW63" s="379">
        <f>SUMIFS(BS_RE33!$H$7:$H$874,BS_RE33!$S$7:$S$874,$AW$2,BS_RE33!$N$7:$N$874,I63,BS_RE33!$P$7:$P$874,'30 days CF Table(GBP)'!G63,BS_RE33!$F$7:$F$874,'30 days CF Table(GBP)'!$C$2)</f>
        <v>0</v>
      </c>
      <c r="AX63" s="379">
        <f>SUMIFS(BS_RE33!$H$7:$H$874,BS_RE33!$S$7:$S$874,$AX$2,BS_RE33!$N$7:$N$874,I63,BS_RE33!$P$7:$P$874,'30 days CF Table(GBP)'!G63,BS_RE33!$F$7:$F$874,'30 days CF Table(GBP)'!$C$2)</f>
        <v>0</v>
      </c>
      <c r="AY63" s="379">
        <f>SUMIFS(BS_RE33!$H$7:$H$874,BS_RE33!$S$7:$S$874,$AY$2,BS_RE33!$N$7:$N$874,I63,BS_RE33!$P$7:$P$874,'30 days CF Table(GBP)'!G63,BS_RE33!$F$7:$F$874,'30 days CF Table(GBP)'!$C$2)</f>
        <v>0</v>
      </c>
      <c r="AZ63" s="379">
        <f>SUMIFS(BS_RE33!$H$7:$H$874,BS_RE33!$S$7:$S$874,$AZ$2,BS_RE33!$N$7:$N$874,I63,BS_RE33!$P$7:$P$874,'30 days CF Table(GBP)'!G63,BS_RE33!$F$7:$F$874,'30 days CF Table(GBP)'!$C$2)</f>
        <v>0</v>
      </c>
      <c r="BA63" s="379">
        <f>SUMIFS(BS_RE33!$H$7:$H$874,BS_RE33!$S$7:$S$874,$BA$2,BS_RE33!$N$7:$N$874,I63,BS_RE33!$P$7:$P$874,'30 days CF Table(GBP)'!G63,BS_RE33!$F$7:$F$874,'30 days CF Table(GBP)'!$C$2)</f>
        <v>0</v>
      </c>
      <c r="BB63" s="379">
        <f>SUMIFS(BS_RE33!$H$7:$H$874,BS_RE33!$S$7:$S$874,$BB$2,BS_RE33!$N$7:$N$874,I63,BS_RE33!$P$7:$P$874,'30 days CF Table(GBP)'!G63,BS_RE33!$F$7:$F$874,'30 days CF Table(GBP)'!$C$2)</f>
        <v>0</v>
      </c>
      <c r="BC63" s="379">
        <f>SUMIFS(BS_RE33!$H$7:$H$874,BS_RE33!$S$7:$S$874,$BC$2,BS_RE33!$N$7:$N$874,I63,BS_RE33!$P$7:$P$874,'30 days CF Table(GBP)'!G63,BS_RE33!$F$7:$F$874,'30 days CF Table(GBP)'!$C$2)</f>
        <v>0</v>
      </c>
      <c r="BD63" s="379">
        <f>SUMIFS(BS_RE33!$H$7:$H$874,BS_RE33!$S$7:$S$874,$BD$2,BS_RE33!$N$7:$N$874,I63,BS_RE33!$P$7:$P$874,'30 days CF Table(GBP)'!G63,BS_RE33!$F$7:$F$874,'30 days CF Table(GBP)'!$C$2)</f>
        <v>0</v>
      </c>
      <c r="BE63" s="379">
        <f>SUMIFS(BS_RE33!$H$7:$H$874,BS_RE33!$S$7:$S$874,$BE$2,BS_RE33!$N$7:$N$874,I63,BS_RE33!$P$7:$P$874,'30 days CF Table(GBP)'!G63,BS_RE33!$F$7:$F$874,'30 days CF Table(GBP)'!$C$2)</f>
        <v>0</v>
      </c>
      <c r="BF63" s="379">
        <f>SUMIFS(BS_RE33!$H$7:$H$874,BS_RE33!$S$7:$S$874,$BF$2,BS_RE33!$N$7:$N$874,I63,BS_RE33!$P$7:$P$874,'30 days CF Table(GBP)'!G63,BS_RE33!$F$7:$F$874,'30 days CF Table(GBP)'!$C$2)</f>
        <v>0</v>
      </c>
      <c r="BG63" s="379">
        <f>SUMIFS(BS_RE33!$H$7:$H$874,BS_RE33!$S$7:$S$874,$BG$2,BS_RE33!$N$7:$N$874,I63,BS_RE33!$P$7:$P$874,'30 days CF Table(GBP)'!G63,BS_RE33!$F$7:$F$874,'30 days CF Table(GBP)'!$C$2)</f>
        <v>0</v>
      </c>
      <c r="BH63" s="379">
        <f>SUMIFS(BS_RE33!$H$7:$H$874,BS_RE33!$S$7:$S$874,$BH$2,BS_RE33!$N$7:$N$874,I63,BS_RE33!$P$7:$P$874,'30 days CF Table(GBP)'!G63,BS_RE33!$F$7:$F$874,'30 days CF Table(GBP)'!$C$2)</f>
        <v>0</v>
      </c>
      <c r="BI63" s="379">
        <f>SUMIFS(BS_RE33!$H$7:$H$874,BS_RE33!$S$7:$S$874,$BI$2,BS_RE33!$N$7:$N$874,I63,BS_RE33!$P$7:$P$874,'30 days CF Table(GBP)'!G63,BS_RE33!$F$7:$F$874,'30 days CF Table(GBP)'!$C$2)</f>
        <v>0</v>
      </c>
      <c r="BJ63" s="379">
        <f>SUMIFS(BS_RE33!$H$7:$H$874,BS_RE33!$S$7:$S$874,$BJ$2,BS_RE33!$N$7:$N$874,I63,BS_RE33!$P$7:$P$874,'30 days CF Table(GBP)'!G63,BS_RE33!$F$7:$F$874,'30 days CF Table(GBP)'!$C$2)</f>
        <v>0</v>
      </c>
      <c r="BK63" s="379">
        <f>SUMIFS(BS_RE33!$H$7:$H$874,BS_RE33!$S$7:$S$874,$BK$2,BS_RE33!$N$7:$N$874,I63,BS_RE33!$P$7:$P$874,'30 days CF Table(GBP)'!G63,BS_RE33!$F$7:$F$874,'30 days CF Table(GBP)'!$C$2)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Table(GBP)'!G64,BS_RE33!$F$7:$F$874,'30 days CF Table(GBP)'!$C$2)</f>
        <v>0</v>
      </c>
      <c r="M64" s="341">
        <f>SUMIFS(BS_RE33!$H$7:$H$874,BS_RE33!$S$7:$S$874,$M$2,BS_RE33!$N$7:$N$874,I64,BS_RE33!$P$7:$P$874,'30 days CF Table(GBP)'!G64,BS_RE33!$F$7:$F$874,'30 days CF Table(GBP)'!$C$2)</f>
        <v>0</v>
      </c>
      <c r="N64" s="341">
        <f>SUMIFS(BS_RE33!$H$7:$H$874,BS_RE33!$S$7:$S$874,$N$2,BS_RE33!$N$7:$N$874,I64,BS_RE33!$P$7:$P$874,'30 days CF Table(GBP)'!G64,BS_RE33!$F$7:$F$874,'30 days CF Table(GBP)'!$C$2)</f>
        <v>0</v>
      </c>
      <c r="O64" s="341">
        <f>SUMIFS(BS_RE33!$H$7:$H$874,BS_RE33!$S$7:$S$874,$O$2,BS_RE33!$N$7:$N$874,I64,BS_RE33!$P$7:$P$874,'30 days CF Table(GBP)'!G64,BS_RE33!$F$7:$F$874,'30 days CF Table(GBP)'!$C$2)</f>
        <v>0</v>
      </c>
      <c r="P64" s="341">
        <f>SUMIFS(BS_RE33!$H$7:$H$874,BS_RE33!$S$7:$S$874,$P$2,BS_RE33!$N$7:$N$874,I64,BS_RE33!$P$7:$P$874,'30 days CF Table(GBP)'!G64,BS_RE33!$F$7:$F$874,'30 days CF Table(GBP)'!$C$2)</f>
        <v>0</v>
      </c>
      <c r="Q64" s="341">
        <f>SUMIFS(BS_RE33!$H$7:$H$874,BS_RE33!$S$7:$S$874,$Q$2,BS_RE33!$N$7:$N$874,I64,BS_RE33!$P$7:$P$874,'30 days CF Table(GBP)'!G64,BS_RE33!$F$7:$F$874,'30 days CF Table(GBP)'!$C$2)</f>
        <v>0</v>
      </c>
      <c r="R64" s="341">
        <f>SUMIFS(BS_RE33!$H$7:$H$874,BS_RE33!$S$7:$S$874,$R$2,BS_RE33!$N$7:$N$874,I64,BS_RE33!$P$7:$P$874,'30 days CF Table(GBP)'!G64,BS_RE33!$F$7:$F$874,'30 days CF Table(GBP)'!$C$2)</f>
        <v>0</v>
      </c>
      <c r="S64" s="341">
        <f>SUMIFS(BS_RE33!$H$7:$H$874,BS_RE33!$S$7:$S$874,$S$2,BS_RE33!$N$7:$N$874,I64,BS_RE33!$P$7:$P$874,'30 days CF Table(GBP)'!G64,BS_RE33!$F$7:$F$874,'30 days CF Table(GBP)'!$C$2)</f>
        <v>0</v>
      </c>
      <c r="T64" s="341">
        <f>SUMIFS(BS_RE33!$H$7:$H$874,BS_RE33!$S$7:$S$874,$T$2,BS_RE33!$N$7:$N$874,I64,BS_RE33!$P$7:$P$874,'30 days CF Table(GBP)'!G64,BS_RE33!$F$7:$F$874,'30 days CF Table(GBP)'!$C$2)</f>
        <v>0</v>
      </c>
      <c r="U64" s="341">
        <f>SUMIFS(BS_RE33!$H$7:$H$874,BS_RE33!$S$7:$S$874,$U$2,BS_RE33!$N$7:$N$874,I64,BS_RE33!$P$7:$P$874,'30 days CF Table(GBP)'!G64,BS_RE33!$F$7:$F$874,'30 days CF Table(GBP)'!$C$2)</f>
        <v>0</v>
      </c>
      <c r="V64" s="341">
        <f>SUMIFS(BS_RE33!$H$7:$H$874,BS_RE33!$S$7:$S$874,$V$2,BS_RE33!$N$7:$N$874,I64,BS_RE33!$P$7:$P$874,'30 days CF Table(GBP)'!G64,BS_RE33!$F$7:$F$874,'30 days CF Table(GBP)'!$C$2)</f>
        <v>0</v>
      </c>
      <c r="W64" s="341">
        <f>SUMIFS(BS_RE33!$H$7:$H$874,BS_RE33!$S$7:$S$874,$W$2,BS_RE33!$N$7:$N$874,I64,BS_RE33!$P$7:$P$874,'30 days CF Table(GBP)'!G64,BS_RE33!$F$7:$F$874,'30 days CF Table(GBP)'!$C$2)</f>
        <v>0</v>
      </c>
      <c r="X64" s="341">
        <f>SUMIFS(BS_RE33!$H$7:$H$874,BS_RE33!$S$7:$S$874,$X$2,BS_RE33!$N$7:$N$874,I64,BS_RE33!$P$7:$P$874,'30 days CF Table(GBP)'!G64,BS_RE33!$F$7:$F$874,'30 days CF Table(GBP)'!$C$2)</f>
        <v>0</v>
      </c>
      <c r="Y64" s="341">
        <f>SUMIFS(BS_RE33!$H$7:$H$874,BS_RE33!$S$7:$S$874,$Y$2,BS_RE33!$N$7:$N$874,I64,BS_RE33!$P$7:$P$874,'30 days CF Table(GBP)'!G64,BS_RE33!$F$7:$F$874,'30 days CF Table(GBP)'!$C$2)</f>
        <v>0</v>
      </c>
      <c r="Z64" s="341">
        <f>SUMIFS(BS_RE33!$H$7:$H$874,BS_RE33!$S$7:$S$874,$Z$2,BS_RE33!$N$7:$N$874,I64,BS_RE33!$P$7:$P$874,'30 days CF Table(GBP)'!G64,BS_RE33!$F$7:$F$874,'30 days CF Table(GBP)'!$C$2)</f>
        <v>0</v>
      </c>
      <c r="AA64" s="341">
        <f>SUMIFS(BS_RE33!$H$7:$H$874,BS_RE33!$S$7:$S$874,$AA$2,BS_RE33!$N$7:$N$874,I64,BS_RE33!$P$7:$P$874,'30 days CF Table(GBP)'!G64,BS_RE33!$F$7:$F$874,'30 days CF Table(GBP)'!$C$2)</f>
        <v>0</v>
      </c>
      <c r="AB64" s="341">
        <f>SUMIFS(BS_RE33!$H$7:$H$874,BS_RE33!$S$7:$S$874,$AB$2,BS_RE33!$N$7:$N$874,I64,BS_RE33!$P$7:$P$874,'30 days CF Table(GBP)'!G64,BS_RE33!$F$7:$F$874,'30 days CF Table(GBP)'!$C$2)</f>
        <v>0</v>
      </c>
      <c r="AC64" s="341">
        <f>SUMIFS(BS_RE33!$H$7:$H$874,BS_RE33!$S$7:$S$874,$AC$2,BS_RE33!$N$7:$N$874,I64,BS_RE33!$P$7:$P$874,'30 days CF Table(GBP)'!G64,BS_RE33!$F$7:$F$874,'30 days CF Table(GBP)'!$C$2)</f>
        <v>0</v>
      </c>
      <c r="AD64" s="341">
        <f>SUMIFS(BS_RE33!$H$7:$H$874,BS_RE33!$S$7:$S$874,$AD$2,BS_RE33!$N$7:$N$874,I64,BS_RE33!$P$7:$P$874,'30 days CF Table(GBP)'!G64,BS_RE33!$F$7:$F$874,'30 days CF Table(GBP)'!$C$2)</f>
        <v>0</v>
      </c>
      <c r="AE64" s="341">
        <f>SUMIFS(BS_RE33!$H$7:$H$874,BS_RE33!$S$7:$S$874,$AE$2,BS_RE33!$N$7:$N$874,I64,BS_RE33!$P$7:$P$874,'30 days CF Table(GBP)'!G64,BS_RE33!$F$7:$F$874,'30 days CF Table(GBP)'!$C$2)</f>
        <v>0</v>
      </c>
      <c r="AF64" s="341">
        <f>SUMIFS(BS_RE33!$H$7:$H$874,BS_RE33!$S$7:$S$874,$AF$2,BS_RE33!$N$7:$N$874,I64,BS_RE33!$P$7:$P$874,'30 days CF Table(GBP)'!G64,BS_RE33!$F$7:$F$874,'30 days CF Table(GBP)'!$C$2)</f>
        <v>0</v>
      </c>
      <c r="AG64" s="341">
        <f>SUMIFS(BS_RE33!$H$7:$H$874,BS_RE33!$S$7:$S$874,$AG$2,BS_RE33!$N$7:$N$874,I64,BS_RE33!$P$7:$P$874,'30 days CF Table(GBP)'!G64,BS_RE33!$F$7:$F$874,'30 days CF Table(GBP)'!$C$2)</f>
        <v>0</v>
      </c>
      <c r="AH64" s="341">
        <f>SUMIFS(BS_RE33!$H$7:$H$874,BS_RE33!$S$7:$S$874,$AH$2,BS_RE33!$N$7:$N$874,I64,BS_RE33!$P$7:$P$874,'30 days CF Table(GBP)'!G64,BS_RE33!$F$7:$F$874,'30 days CF Table(GBP)'!$C$2)</f>
        <v>0</v>
      </c>
      <c r="AI64" s="341">
        <f>SUMIFS(BS_RE33!$H$7:$H$874,BS_RE33!$S$7:$S$874,$AI$2,BS_RE33!$N$7:$N$874,I64,BS_RE33!$P$7:$P$874,'30 days CF Table(GBP)'!G64,BS_RE33!$F$7:$F$874,'30 days CF Table(GBP)'!$C$2)</f>
        <v>0</v>
      </c>
      <c r="AJ64" s="341">
        <f>SUMIFS(BS_RE33!$H$7:$H$874,BS_RE33!$S$7:$S$874,$AJ$2,BS_RE33!$N$7:$N$874,I64,BS_RE33!$P$7:$P$874,'30 days CF Table(GBP)'!G64,BS_RE33!$F$7:$F$874,'30 days CF Table(GBP)'!$C$2)</f>
        <v>0</v>
      </c>
      <c r="AK64" s="341">
        <f>SUMIFS(BS_RE33!$H$7:$H$874,BS_RE33!$S$7:$S$874,$AK$2,BS_RE33!$N$7:$N$874,I64,BS_RE33!$P$7:$P$874,'30 days CF Table(GBP)'!G64,BS_RE33!$F$7:$F$874,'30 days CF Table(GBP)'!$C$2)</f>
        <v>0</v>
      </c>
      <c r="AL64" s="341">
        <f>SUMIFS(BS_RE33!$H$7:$H$874,BS_RE33!$S$7:$S$874,$AL$2,BS_RE33!$N$7:$N$874,I64,BS_RE33!$P$7:$P$874,'30 days CF Table(GBP)'!G64,BS_RE33!$F$7:$F$874,'30 days CF Table(GBP)'!$C$2)</f>
        <v>0</v>
      </c>
      <c r="AM64" s="341">
        <f>SUMIFS(BS_RE33!$H$7:$H$874,BS_RE33!$S$7:$S$874,$AM$2,BS_RE33!$N$7:$N$874,I64,BS_RE33!$P$7:$P$874,'30 days CF Table(GBP)'!G64,BS_RE33!$F$7:$F$874,'30 days CF Table(GBP)'!$C$2)</f>
        <v>0</v>
      </c>
      <c r="AN64" s="341">
        <f>SUMIFS(BS_RE33!$H$7:$H$874,BS_RE33!$S$7:$S$874,$AN$2,BS_RE33!$N$7:$N$874,I64,BS_RE33!$P$7:$P$874,'30 days CF Table(GBP)'!G64,BS_RE33!$F$7:$F$874,'30 days CF Table(GBP)'!$C$2)</f>
        <v>0</v>
      </c>
      <c r="AO64" s="341">
        <f>SUMIFS(BS_RE33!$H$7:$H$874,BS_RE33!$S$7:$S$874,$AO$2,BS_RE33!$N$7:$N$874,I64,BS_RE33!$P$7:$P$874,'30 days CF Table(GBP)'!G64,BS_RE33!$F$7:$F$874,'30 days CF Table(GBP)'!$C$2)</f>
        <v>0</v>
      </c>
      <c r="AP64" s="342">
        <f>SUMIFS(BS_RE33!$H$7:$H$874,BS_RE33!$S$7:$S$874,$AP$2,BS_RE33!$N$7:$N$874,I64,BS_RE33!$P$7:$P$874,'30 days CF Table(GBP)'!G64,BS_RE33!$F$7:$F$874,'30 days CF Table(GBP)'!$C$2)</f>
        <v>0</v>
      </c>
      <c r="AR64" s="381">
        <f>SUMIFS(BS_RE33!$H$7:$H$874,BS_RE33!$S$7:$S$874,$AR$2,BS_RE33!$N$7:$N$874,I64,BS_RE33!$P$7:$P$874,'30 days CF Table(GBP)'!G64,BS_RE33!$F$7:$F$874,'30 days CF Table(GBP)'!$C$2)</f>
        <v>0</v>
      </c>
      <c r="AS64" s="381">
        <f>SUMIFS(BS_RE33!$H$7:$H$874,BS_RE33!$S$7:$S$874,$AS$2,BS_RE33!$N$7:$N$874,I64,BS_RE33!$P$7:$P$874,'30 days CF Table(GBP)'!G64,BS_RE33!$F$7:$F$874,'30 days CF Table(GBP)'!$C$2)</f>
        <v>0</v>
      </c>
      <c r="AT64" s="381">
        <f>SUMIFS(BS_RE33!$H$7:$H$874,BS_RE33!$S$7:$S$874,$AT$2,BS_RE33!$N$7:$N$874,I64,BS_RE33!$P$7:$P$874,'30 days CF Table(GBP)'!G64,BS_RE33!$F$7:$F$874,'30 days CF Table(GBP)'!$C$2)</f>
        <v>0</v>
      </c>
      <c r="AU64" s="381">
        <f>SUMIFS(BS_RE33!$H$7:$H$874,BS_RE33!$S$7:$S$874,$AU$2,BS_RE33!$N$7:$N$874,I64,BS_RE33!$P$7:$P$874,'30 days CF Table(GBP)'!G64,BS_RE33!$F$7:$F$874,'30 days CF Table(GBP)'!$C$2)</f>
        <v>0</v>
      </c>
      <c r="AV64" s="381">
        <f>SUMIFS(BS_RE33!$H$7:$H$874,BS_RE33!$S$7:$S$874,$AV$2,BS_RE33!$N$7:$N$874,I64,BS_RE33!$P$7:$P$874,'30 days CF Table(GBP)'!G64,BS_RE33!$F$7:$F$874,'30 days CF Table(GBP)'!$C$2)</f>
        <v>0</v>
      </c>
      <c r="AW64" s="381">
        <f>SUMIFS(BS_RE33!$H$7:$H$874,BS_RE33!$S$7:$S$874,$AW$2,BS_RE33!$N$7:$N$874,I64,BS_RE33!$P$7:$P$874,'30 days CF Table(GBP)'!G64,BS_RE33!$F$7:$F$874,'30 days CF Table(GBP)'!$C$2)</f>
        <v>0</v>
      </c>
      <c r="AX64" s="381">
        <f>SUMIFS(BS_RE33!$H$7:$H$874,BS_RE33!$S$7:$S$874,$AX$2,BS_RE33!$N$7:$N$874,I64,BS_RE33!$P$7:$P$874,'30 days CF Table(GBP)'!G64,BS_RE33!$F$7:$F$874,'30 days CF Table(GBP)'!$C$2)</f>
        <v>0</v>
      </c>
      <c r="AY64" s="381">
        <f>SUMIFS(BS_RE33!$H$7:$H$874,BS_RE33!$S$7:$S$874,$AY$2,BS_RE33!$N$7:$N$874,I64,BS_RE33!$P$7:$P$874,'30 days CF Table(GBP)'!G64,BS_RE33!$F$7:$F$874,'30 days CF Table(GBP)'!$C$2)</f>
        <v>0</v>
      </c>
      <c r="AZ64" s="381">
        <f>SUMIFS(BS_RE33!$H$7:$H$874,BS_RE33!$S$7:$S$874,$AZ$2,BS_RE33!$N$7:$N$874,I64,BS_RE33!$P$7:$P$874,'30 days CF Table(GBP)'!G64,BS_RE33!$F$7:$F$874,'30 days CF Table(GBP)'!$C$2)</f>
        <v>0</v>
      </c>
      <c r="BA64" s="381">
        <f>SUMIFS(BS_RE33!$H$7:$H$874,BS_RE33!$S$7:$S$874,$BA$2,BS_RE33!$N$7:$N$874,I64,BS_RE33!$P$7:$P$874,'30 days CF Table(GBP)'!G64,BS_RE33!$F$7:$F$874,'30 days CF Table(GBP)'!$C$2)</f>
        <v>0</v>
      </c>
      <c r="BB64" s="381">
        <f>SUMIFS(BS_RE33!$H$7:$H$874,BS_RE33!$S$7:$S$874,$BB$2,BS_RE33!$N$7:$N$874,I64,BS_RE33!$P$7:$P$874,'30 days CF Table(GBP)'!G64,BS_RE33!$F$7:$F$874,'30 days CF Table(GBP)'!$C$2)</f>
        <v>0</v>
      </c>
      <c r="BC64" s="381">
        <f>SUMIFS(BS_RE33!$H$7:$H$874,BS_RE33!$S$7:$S$874,$BC$2,BS_RE33!$N$7:$N$874,I64,BS_RE33!$P$7:$P$874,'30 days CF Table(GBP)'!G64,BS_RE33!$F$7:$F$874,'30 days CF Table(GBP)'!$C$2)</f>
        <v>0</v>
      </c>
      <c r="BD64" s="381">
        <f>SUMIFS(BS_RE33!$H$7:$H$874,BS_RE33!$S$7:$S$874,$BD$2,BS_RE33!$N$7:$N$874,I64,BS_RE33!$P$7:$P$874,'30 days CF Table(GBP)'!G64,BS_RE33!$F$7:$F$874,'30 days CF Table(GBP)'!$C$2)</f>
        <v>0</v>
      </c>
      <c r="BE64" s="381">
        <f>SUMIFS(BS_RE33!$H$7:$H$874,BS_RE33!$S$7:$S$874,$BE$2,BS_RE33!$N$7:$N$874,I64,BS_RE33!$P$7:$P$874,'30 days CF Table(GBP)'!G64,BS_RE33!$F$7:$F$874,'30 days CF Table(GBP)'!$C$2)</f>
        <v>0</v>
      </c>
      <c r="BF64" s="381">
        <f>SUMIFS(BS_RE33!$H$7:$H$874,BS_RE33!$S$7:$S$874,$BF$2,BS_RE33!$N$7:$N$874,I64,BS_RE33!$P$7:$P$874,'30 days CF Table(GBP)'!G64,BS_RE33!$F$7:$F$874,'30 days CF Table(GBP)'!$C$2)</f>
        <v>0</v>
      </c>
      <c r="BG64" s="381">
        <f>SUMIFS(BS_RE33!$H$7:$H$874,BS_RE33!$S$7:$S$874,$BG$2,BS_RE33!$N$7:$N$874,I64,BS_RE33!$P$7:$P$874,'30 days CF Table(GBP)'!G64,BS_RE33!$F$7:$F$874,'30 days CF Table(GBP)'!$C$2)</f>
        <v>0</v>
      </c>
      <c r="BH64" s="381">
        <f>SUMIFS(BS_RE33!$H$7:$H$874,BS_RE33!$S$7:$S$874,$BH$2,BS_RE33!$N$7:$N$874,I64,BS_RE33!$P$7:$P$874,'30 days CF Table(GBP)'!G64,BS_RE33!$F$7:$F$874,'30 days CF Table(GBP)'!$C$2)</f>
        <v>0</v>
      </c>
      <c r="BI64" s="381">
        <f>SUMIFS(BS_RE33!$H$7:$H$874,BS_RE33!$S$7:$S$874,$BI$2,BS_RE33!$N$7:$N$874,I64,BS_RE33!$P$7:$P$874,'30 days CF Table(GBP)'!G64,BS_RE33!$F$7:$F$874,'30 days CF Table(GBP)'!$C$2)</f>
        <v>0</v>
      </c>
      <c r="BJ64" s="381">
        <f>SUMIFS(BS_RE33!$H$7:$H$874,BS_RE33!$S$7:$S$874,$BJ$2,BS_RE33!$N$7:$N$874,I64,BS_RE33!$P$7:$P$874,'30 days CF Table(GBP)'!G64,BS_RE33!$F$7:$F$874,'30 days CF Table(GBP)'!$C$2)</f>
        <v>0</v>
      </c>
      <c r="BK64" s="381">
        <f>SUMIFS(BS_RE33!$H$7:$H$874,BS_RE33!$S$7:$S$874,$BK$2,BS_RE33!$N$7:$N$874,I64,BS_RE33!$P$7:$P$874,'30 days CF Table(GBP)'!G64,BS_RE33!$F$7:$F$874,'30 days CF Table(GBP)'!$C$2)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Table(GBP)'!$C$2)/1000000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Table(GBP)'!$C$2)/1000000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Table(GBP)'!$C$2)/1000000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Table(GBP)'!$C$2)/1000000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Table(GBP)'!$C$2)/1000000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Table(GBP)'!$C$2)/1000000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Table(GBP)'!$C$2)/1000000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Table(GBP)'!$C$2)/1000000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t="b">
        <f>D94='Summary &amp; Working File(AllCcy)'!E21</f>
        <v>1</v>
      </c>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t="b">
        <f>D103='Summary &amp; Working File(AllCcy)'!I21</f>
        <v>1</v>
      </c>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J83*1000000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7" priority="1" operator="containsText" text="false">
      <formula>NOT(ISERROR(SEARCH("false",J88)))</formula>
    </cfRule>
    <cfRule type="containsText" dxfId="6" priority="2" operator="containsText" text="true">
      <formula>NOT(ISERROR(SEARCH("true",J88)))</formula>
    </cfRule>
  </conditionalFormatting>
  <dataValidations count="1">
    <dataValidation type="list" allowBlank="1" showInputMessage="1" showErrorMessage="1" sqref="C2" xr:uid="{00000000-0002-0000-0900-000000000000}">
      <formula1>$I$80:$I$86</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117"/>
  <sheetViews>
    <sheetView showGridLines="0" zoomScale="85" zoomScaleNormal="85" workbookViewId="0">
      <pane xSplit="11" ySplit="3" topLeftCell="L22"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1206</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Table(EUR)'!G4,BS_RE33!$F$7:$F$874,'30 days CF Table(EUR)'!$C$2)</f>
        <v>0</v>
      </c>
      <c r="M4" s="337">
        <f>SUMIFS(BS_RE33!$H$7:$H$874,BS_RE33!$S$7:$S$874,$M$2,BS_RE33!$N$7:$N$874,I4,BS_RE33!$P$7:$P$874,'30 days CF Table(EUR)'!G4,BS_RE33!$F$7:$F$874,'30 days CF Table(EUR)'!$C$2)</f>
        <v>0</v>
      </c>
      <c r="N4" s="337">
        <f>SUMIFS(BS_RE33!$H$7:$H$874,BS_RE33!$S$7:$S$874,$N$2,BS_RE33!$N$7:$N$874,I4,BS_RE33!$P$7:$P$874,'30 days CF Table(EUR)'!G4,BS_RE33!$F$7:$F$874,'30 days CF Table(EUR)'!$C$2)</f>
        <v>0</v>
      </c>
      <c r="O4" s="337">
        <f>SUMIFS(BS_RE33!$H$7:$H$874,BS_RE33!$S$7:$S$874,$O$2,BS_RE33!$N$7:$N$874,I4,BS_RE33!$P$7:$P$874,'30 days CF Table(EUR)'!G4,BS_RE33!$F$7:$F$874,'30 days CF Table(EUR)'!$C$2)</f>
        <v>0</v>
      </c>
      <c r="P4" s="337">
        <f>SUMIFS(BS_RE33!$H$7:$H$874,BS_RE33!$S$7:$S$874,$P$2,BS_RE33!$N$7:$N$874,I4,BS_RE33!$P$7:$P$874,'30 days CF Table(EUR)'!G4,BS_RE33!$F$7:$F$874,'30 days CF Table(EUR)'!$C$2)</f>
        <v>0</v>
      </c>
      <c r="Q4" s="337">
        <f>SUMIFS(BS_RE33!$H$7:$H$874,BS_RE33!$S$7:$S$874,$Q$2,BS_RE33!$N$7:$N$874,I4,BS_RE33!$P$7:$P$874,'30 days CF Table(EUR)'!G4,BS_RE33!$F$7:$F$874,'30 days CF Table(EUR)'!$C$2)</f>
        <v>0</v>
      </c>
      <c r="R4" s="337">
        <f>SUMIFS(BS_RE33!$H$7:$H$874,BS_RE33!$S$7:$S$874,$R$2,BS_RE33!$N$7:$N$874,I4,BS_RE33!$P$7:$P$874,'30 days CF Table(EUR)'!G4,BS_RE33!$F$7:$F$874,'30 days CF Table(EUR)'!$C$2)</f>
        <v>0</v>
      </c>
      <c r="S4" s="337">
        <f>SUMIFS(BS_RE33!$H$7:$H$874,BS_RE33!$S$7:$S$874,$S$2,BS_RE33!$N$7:$N$874,I4,BS_RE33!$P$7:$P$874,'30 days CF Table(EUR)'!G4,BS_RE33!$F$7:$F$874,'30 days CF Table(EUR)'!$C$2)</f>
        <v>0</v>
      </c>
      <c r="T4" s="337">
        <f>SUMIFS(BS_RE33!$H$7:$H$874,BS_RE33!$S$7:$S$874,$T$2,BS_RE33!$N$7:$N$874,I4,BS_RE33!$P$7:$P$874,'30 days CF Table(EUR)'!G4,BS_RE33!$F$7:$F$874,'30 days CF Table(EUR)'!$C$2)</f>
        <v>0</v>
      </c>
      <c r="U4" s="337">
        <f>SUMIFS(BS_RE33!$H$7:$H$874,BS_RE33!$S$7:$S$874,$U$2,BS_RE33!$N$7:$N$874,I4,BS_RE33!$P$7:$P$874,'30 days CF Table(EUR)'!G4,BS_RE33!$F$7:$F$874,'30 days CF Table(EUR)'!$C$2)</f>
        <v>0</v>
      </c>
      <c r="V4" s="337">
        <f>SUMIFS(BS_RE33!$H$7:$H$874,BS_RE33!$S$7:$S$874,$V$2,BS_RE33!$N$7:$N$874,I4,BS_RE33!$P$7:$P$874,'30 days CF Table(EUR)'!G4,BS_RE33!$F$7:$F$874,'30 days CF Table(EUR)'!$C$2)</f>
        <v>0</v>
      </c>
      <c r="W4" s="337">
        <f>SUMIFS(BS_RE33!$H$7:$H$874,BS_RE33!$S$7:$S$874,$W$2,BS_RE33!$N$7:$N$874,I4,BS_RE33!$P$7:$P$874,'30 days CF Table(EUR)'!G4,BS_RE33!$F$7:$F$874,'30 days CF Table(EUR)'!$C$2)</f>
        <v>0</v>
      </c>
      <c r="X4" s="337">
        <f>SUMIFS(BS_RE33!$H$7:$H$874,BS_RE33!$S$7:$S$874,$X$2,BS_RE33!$N$7:$N$874,I4,BS_RE33!$P$7:$P$874,'30 days CF Table(EUR)'!G4,BS_RE33!$F$7:$F$874,'30 days CF Table(EUR)'!$C$2)</f>
        <v>0</v>
      </c>
      <c r="Y4" s="337">
        <f>SUMIFS(BS_RE33!$H$7:$H$874,BS_RE33!$S$7:$S$874,$Y$2,BS_RE33!$N$7:$N$874,I4,BS_RE33!$P$7:$P$874,'30 days CF Table(EUR)'!G4,BS_RE33!$F$7:$F$874,'30 days CF Table(EUR)'!$C$2)</f>
        <v>0</v>
      </c>
      <c r="Z4" s="337">
        <f>SUMIFS(BS_RE33!$H$7:$H$874,BS_RE33!$S$7:$S$874,$Z$2,BS_RE33!$N$7:$N$874,I4,BS_RE33!$P$7:$P$874,'30 days CF Table(EUR)'!G4,BS_RE33!$F$7:$F$874,'30 days CF Table(EUR)'!$C$2)</f>
        <v>0</v>
      </c>
      <c r="AA4" s="337">
        <f>SUMIFS(BS_RE33!$H$7:$H$874,BS_RE33!$S$7:$S$874,$AA$2,BS_RE33!$N$7:$N$874,I4,BS_RE33!$P$7:$P$874,'30 days CF Table(EUR)'!G4,BS_RE33!$F$7:$F$874,'30 days CF Table(EUR)'!$C$2)</f>
        <v>0</v>
      </c>
      <c r="AB4" s="337">
        <f>SUMIFS(BS_RE33!$H$7:$H$874,BS_RE33!$S$7:$S$874,$AB$2,BS_RE33!$N$7:$N$874,I4,BS_RE33!$P$7:$P$874,'30 days CF Table(EUR)'!G4,BS_RE33!$F$7:$F$874,'30 days CF Table(EUR)'!$C$2)</f>
        <v>0</v>
      </c>
      <c r="AC4" s="337">
        <f>SUMIFS(BS_RE33!$H$7:$H$874,BS_RE33!$S$7:$S$874,$AC$2,BS_RE33!$N$7:$N$874,I4,BS_RE33!$P$7:$P$874,'30 days CF Table(EUR)'!G4,BS_RE33!$F$7:$F$874,'30 days CF Table(EUR)'!$C$2)</f>
        <v>0</v>
      </c>
      <c r="AD4" s="337">
        <f>SUMIFS(BS_RE33!$H$7:$H$874,BS_RE33!$S$7:$S$874,$AD$2,BS_RE33!$N$7:$N$874,I4,BS_RE33!$P$7:$P$874,'30 days CF Table(EUR)'!G4,BS_RE33!$F$7:$F$874,'30 days CF Table(EUR)'!$C$2)</f>
        <v>0</v>
      </c>
      <c r="AE4" s="337">
        <f>SUMIFS(BS_RE33!$H$7:$H$874,BS_RE33!$S$7:$S$874,$AE$2,BS_RE33!$N$7:$N$874,I4,BS_RE33!$P$7:$P$874,'30 days CF Table(EUR)'!G4,BS_RE33!$F$7:$F$874,'30 days CF Table(EUR)'!$C$2)</f>
        <v>0</v>
      </c>
      <c r="AF4" s="337">
        <f>SUMIFS(BS_RE33!$H$7:$H$874,BS_RE33!$S$7:$S$874,$AF$2,BS_RE33!$N$7:$N$874,I4,BS_RE33!$P$7:$P$874,'30 days CF Table(EUR)'!G4,BS_RE33!$F$7:$F$874,'30 days CF Table(EUR)'!$C$2)</f>
        <v>0</v>
      </c>
      <c r="AG4" s="337">
        <f>SUMIFS(BS_RE33!$H$7:$H$874,BS_RE33!$S$7:$S$874,$AG$2,BS_RE33!$N$7:$N$874,I4,BS_RE33!$P$7:$P$874,'30 days CF Table(EUR)'!G4,BS_RE33!$F$7:$F$874,'30 days CF Table(EUR)'!$C$2)</f>
        <v>0</v>
      </c>
      <c r="AH4" s="337">
        <f>SUMIFS(BS_RE33!$H$7:$H$874,BS_RE33!$S$7:$S$874,$AH$2,BS_RE33!$N$7:$N$874,I4,BS_RE33!$P$7:$P$874,'30 days CF Table(EUR)'!G4,BS_RE33!$F$7:$F$874,'30 days CF Table(EUR)'!$C$2)</f>
        <v>0</v>
      </c>
      <c r="AI4" s="337">
        <f>SUMIFS(BS_RE33!$H$7:$H$874,BS_RE33!$S$7:$S$874,$AI$2,BS_RE33!$N$7:$N$874,I4,BS_RE33!$P$7:$P$874,'30 days CF Table(EUR)'!G4,BS_RE33!$F$7:$F$874,'30 days CF Table(EUR)'!$C$2)</f>
        <v>0</v>
      </c>
      <c r="AJ4" s="337">
        <f>SUMIFS(BS_RE33!$H$7:$H$874,BS_RE33!$S$7:$S$874,$AJ$2,BS_RE33!$N$7:$N$874,I4,BS_RE33!$P$7:$P$874,'30 days CF Table(EUR)'!G4,BS_RE33!$F$7:$F$874,'30 days CF Table(EUR)'!$C$2)</f>
        <v>0</v>
      </c>
      <c r="AK4" s="337">
        <f>SUMIFS(BS_RE33!$H$7:$H$874,BS_RE33!$S$7:$S$874,$AK$2,BS_RE33!$N$7:$N$874,I4,BS_RE33!$P$7:$P$874,'30 days CF Table(EUR)'!G4,BS_RE33!$F$7:$F$874,'30 days CF Table(EUR)'!$C$2)</f>
        <v>0</v>
      </c>
      <c r="AL4" s="337">
        <f>SUMIFS(BS_RE33!$H$7:$H$874,BS_RE33!$S$7:$S$874,$AL$2,BS_RE33!$N$7:$N$874,I4,BS_RE33!$P$7:$P$874,'30 days CF Table(EUR)'!G4,BS_RE33!$F$7:$F$874,'30 days CF Table(EUR)'!$C$2)</f>
        <v>0</v>
      </c>
      <c r="AM4" s="337">
        <f>SUMIFS(BS_RE33!$H$7:$H$874,BS_RE33!$S$7:$S$874,$AM$2,BS_RE33!$N$7:$N$874,I4,BS_RE33!$P$7:$P$874,'30 days CF Table(EUR)'!G4,BS_RE33!$F$7:$F$874,'30 days CF Table(EUR)'!$C$2)</f>
        <v>0</v>
      </c>
      <c r="AN4" s="337">
        <f>SUMIFS(BS_RE33!$H$7:$H$874,BS_RE33!$S$7:$S$874,$AN$2,BS_RE33!$N$7:$N$874,I4,BS_RE33!$P$7:$P$874,'30 days CF Table(EUR)'!G4,BS_RE33!$F$7:$F$874,'30 days CF Table(EUR)'!$C$2)</f>
        <v>0</v>
      </c>
      <c r="AO4" s="337">
        <f>SUMIFS(BS_RE33!$H$7:$H$874,BS_RE33!$S$7:$S$874,$AO$2,BS_RE33!$N$7:$N$874,I4,BS_RE33!$P$7:$P$874,'30 days CF Table(EUR)'!G4,BS_RE33!$F$7:$F$874,'30 days CF Table(EUR)'!$C$2)</f>
        <v>0</v>
      </c>
      <c r="AP4" s="338">
        <f>SUMIFS(BS_RE33!$H$7:$H$874,BS_RE33!$S$7:$S$874,$AP$2,BS_RE33!$N$7:$N$874,I4,BS_RE33!$P$7:$P$874,'30 days CF Table(EUR)'!G4,BS_RE33!$F$7:$F$874,'30 days CF Table(EUR)'!$C$2)</f>
        <v>0</v>
      </c>
      <c r="AQ4" s="545"/>
      <c r="AR4" s="379">
        <f>SUMIFS(BS_RE33!$H$7:$H$874,BS_RE33!$S$7:$S$874,$AR$2,BS_RE33!$N$7:$N$874,I4,BS_RE33!$P$7:$P$874,'30 days CF Table(EUR)'!G4,BS_RE33!$F$7:$F$874,'30 days CF Table(EUR)'!$C$2)</f>
        <v>0</v>
      </c>
      <c r="AS4" s="379">
        <f>SUMIFS(BS_RE33!$H$7:$H$874,BS_RE33!$S$7:$S$874,$AS$2,BS_RE33!$N$7:$N$874,I4,BS_RE33!$P$7:$P$874,'30 days CF Table(EUR)'!G4,BS_RE33!$F$7:$F$874,'30 days CF Table(EUR)'!$C$2)</f>
        <v>0</v>
      </c>
      <c r="AT4" s="379">
        <f>SUMIFS(BS_RE33!$H$7:$H$874,BS_RE33!$S$7:$S$874,$AT$2,BS_RE33!$N$7:$N$874,I4,BS_RE33!$P$7:$P$874,'30 days CF Table(EUR)'!G4,BS_RE33!$F$7:$F$874,'30 days CF Table(EUR)'!$C$2)</f>
        <v>0</v>
      </c>
      <c r="AU4" s="379">
        <f>SUMIFS(BS_RE33!$H$7:$H$874,BS_RE33!$S$7:$S$874,$AU$2,BS_RE33!$N$7:$N$874,I4,BS_RE33!$P$7:$P$874,'30 days CF Table(EUR)'!G4,BS_RE33!$F$7:$F$874,'30 days CF Table(EUR)'!$C$2)</f>
        <v>0</v>
      </c>
      <c r="AV4" s="379">
        <f>SUMIFS(BS_RE33!$H$7:$H$874,BS_RE33!$S$7:$S$874,$AV$2,BS_RE33!$N$7:$N$874,I4,BS_RE33!$P$7:$P$874,'30 days CF Table(EUR)'!G4,BS_RE33!$F$7:$F$874,'30 days CF Table(EUR)'!$C$2)</f>
        <v>0</v>
      </c>
      <c r="AW4" s="379">
        <f>SUMIFS(BS_RE33!$H$7:$H$874,BS_RE33!$S$7:$S$874,$AW$2,BS_RE33!$N$7:$N$874,I4,BS_RE33!$P$7:$P$874,'30 days CF Table(EUR)'!G4,BS_RE33!$F$7:$F$874,'30 days CF Table(EUR)'!$C$2)</f>
        <v>0</v>
      </c>
      <c r="AX4" s="379">
        <f>SUMIFS(BS_RE33!$H$7:$H$874,BS_RE33!$S$7:$S$874,$AX$2,BS_RE33!$N$7:$N$874,I4,BS_RE33!$P$7:$P$874,'30 days CF Table(EUR)'!G4,BS_RE33!$F$7:$F$874,'30 days CF Table(EUR)'!$C$2)</f>
        <v>0</v>
      </c>
      <c r="AY4" s="379">
        <f>SUMIFS(BS_RE33!$H$7:$H$874,BS_RE33!$S$7:$S$874,$AY$2,BS_RE33!$N$7:$N$874,I4,BS_RE33!$P$7:$P$874,'30 days CF Table(EUR)'!G4,BS_RE33!$F$7:$F$874,'30 days CF Table(EUR)'!$C$2)</f>
        <v>0</v>
      </c>
      <c r="AZ4" s="379">
        <f>SUMIFS(BS_RE33!$H$7:$H$874,BS_RE33!$S$7:$S$874,$AZ$2,BS_RE33!$N$7:$N$874,I4,BS_RE33!$P$7:$P$874,'30 days CF Table(EUR)'!G4,BS_RE33!$F$7:$F$874,'30 days CF Table(EUR)'!$C$2)</f>
        <v>0</v>
      </c>
      <c r="BA4" s="379">
        <f>SUMIFS(BS_RE33!$H$7:$H$874,BS_RE33!$S$7:$S$874,$BA$2,BS_RE33!$N$7:$N$874,I4,BS_RE33!$P$7:$P$874,'30 days CF Table(EUR)'!G4,BS_RE33!$F$7:$F$874,'30 days CF Table(EUR)'!$C$2)</f>
        <v>0</v>
      </c>
      <c r="BB4" s="379">
        <f>SUMIFS(BS_RE33!$H$7:$H$874,BS_RE33!$S$7:$S$874,$BB$2,BS_RE33!$N$7:$N$874,I4,BS_RE33!$P$7:$P$874,'30 days CF Table(EUR)'!G4,BS_RE33!$F$7:$F$874,'30 days CF Table(EUR)'!$C$2)</f>
        <v>0</v>
      </c>
      <c r="BC4" s="379">
        <f>SUMIFS(BS_RE33!$H$7:$H$874,BS_RE33!$S$7:$S$874,$BC$2,BS_RE33!$N$7:$N$874,I4,BS_RE33!$P$7:$P$874,'30 days CF Table(EUR)'!G4,BS_RE33!$F$7:$F$874,'30 days CF Table(EUR)'!$C$2)</f>
        <v>0</v>
      </c>
      <c r="BD4" s="379">
        <f>SUMIFS(BS_RE33!$H$7:$H$874,BS_RE33!$S$7:$S$874,$BD$2,BS_RE33!$N$7:$N$874,I4,BS_RE33!$P$7:$P$874,'30 days CF Table(EUR)'!G4,BS_RE33!$F$7:$F$874,'30 days CF Table(EUR)'!$C$2)</f>
        <v>0</v>
      </c>
      <c r="BE4" s="379">
        <f>SUMIFS(BS_RE33!$H$7:$H$874,BS_RE33!$S$7:$S$874,$BE$2,BS_RE33!$N$7:$N$874,I4,BS_RE33!$P$7:$P$874,'30 days CF Table(EUR)'!G4,BS_RE33!$F$7:$F$874,'30 days CF Table(EUR)'!$C$2)</f>
        <v>0</v>
      </c>
      <c r="BF4" s="379">
        <f>SUMIFS(BS_RE33!$H$7:$H$874,BS_RE33!$S$7:$S$874,$BF$2,BS_RE33!$N$7:$N$874,I4,BS_RE33!$P$7:$P$874,'30 days CF Table(EUR)'!G4,BS_RE33!$F$7:$F$874,'30 days CF Table(EUR)'!$C$2)</f>
        <v>0</v>
      </c>
      <c r="BG4" s="379">
        <f>SUMIFS(BS_RE33!$H$7:$H$874,BS_RE33!$S$7:$S$874,$BG$2,BS_RE33!$N$7:$N$874,I4,BS_RE33!$P$7:$P$874,'30 days CF Table(EUR)'!G4,BS_RE33!$F$7:$F$874,'30 days CF Table(EUR)'!$C$2)</f>
        <v>0</v>
      </c>
      <c r="BH4" s="379">
        <f>SUMIFS(BS_RE33!$H$7:$H$874,BS_RE33!$S$7:$S$874,$BH$2,BS_RE33!$N$7:$N$874,I4,BS_RE33!$P$7:$P$874,'30 days CF Table(EUR)'!G4,BS_RE33!$F$7:$F$874,'30 days CF Table(EUR)'!$C$2)</f>
        <v>0</v>
      </c>
      <c r="BI4" s="379">
        <f>SUMIFS(BS_RE33!$H$7:$H$874,BS_RE33!$S$7:$S$874,$BI$2,BS_RE33!$N$7:$N$874,I4,BS_RE33!$P$7:$P$874,'30 days CF Table(EUR)'!G4,BS_RE33!$F$7:$F$874,'30 days CF Table(EUR)'!$C$2)</f>
        <v>0</v>
      </c>
      <c r="BJ4" s="379">
        <f>SUMIFS(BS_RE33!$H$7:$H$874,BS_RE33!$S$7:$S$874,$BJ$2,BS_RE33!$N$7:$N$874,I4,BS_RE33!$P$7:$P$874,'30 days CF Table(EUR)'!G4,BS_RE33!$F$7:$F$874,'30 days CF Table(EUR)'!$C$2)</f>
        <v>0</v>
      </c>
      <c r="BK4" s="379">
        <f>SUMIFS(BS_RE33!$H$7:$H$874,BS_RE33!$S$7:$S$874,$BK$2,BS_RE33!$N$7:$N$874,I4,BS_RE33!$P$7:$P$874,'30 days CF Table(EUR)'!G4,BS_RE33!$F$7:$F$874,'30 days CF Table(EUR)'!$C$2)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Table(EUR)'!G5,BS_RE33!$F$7:$F$874,'30 days CF Table(EUR)'!$C$2)</f>
        <v>0</v>
      </c>
      <c r="M5" s="337">
        <f>SUMIFS(BS_RE33!$H$7:$H$874,BS_RE33!$S$7:$S$874,$M$2,BS_RE33!$N$7:$N$874,I5,BS_RE33!$P$7:$P$874,'30 days CF Table(EUR)'!G5,BS_RE33!$F$7:$F$874,'30 days CF Table(EUR)'!$C$2)</f>
        <v>0</v>
      </c>
      <c r="N5" s="337">
        <f>SUMIFS(BS_RE33!$H$7:$H$874,BS_RE33!$S$7:$S$874,$N$2,BS_RE33!$N$7:$N$874,I5,BS_RE33!$P$7:$P$874,'30 days CF Table(EUR)'!G5,BS_RE33!$F$7:$F$874,'30 days CF Table(EUR)'!$C$2)</f>
        <v>0</v>
      </c>
      <c r="O5" s="337">
        <f>SUMIFS(BS_RE33!$H$7:$H$874,BS_RE33!$S$7:$S$874,$O$2,BS_RE33!$N$7:$N$874,I5,BS_RE33!$P$7:$P$874,'30 days CF Table(EUR)'!G5,BS_RE33!$F$7:$F$874,'30 days CF Table(EUR)'!$C$2)</f>
        <v>0</v>
      </c>
      <c r="P5" s="337">
        <f>SUMIFS(BS_RE33!$H$7:$H$874,BS_RE33!$S$7:$S$874,$P$2,BS_RE33!$N$7:$N$874,I5,BS_RE33!$P$7:$P$874,'30 days CF Table(EUR)'!G5,BS_RE33!$F$7:$F$874,'30 days CF Table(EUR)'!$C$2)</f>
        <v>0</v>
      </c>
      <c r="Q5" s="337">
        <f>SUMIFS(BS_RE33!$H$7:$H$874,BS_RE33!$S$7:$S$874,$Q$2,BS_RE33!$N$7:$N$874,I5,BS_RE33!$P$7:$P$874,'30 days CF Table(EUR)'!G5,BS_RE33!$F$7:$F$874,'30 days CF Table(EUR)'!$C$2)</f>
        <v>0</v>
      </c>
      <c r="R5" s="337">
        <f>SUMIFS(BS_RE33!$H$7:$H$874,BS_RE33!$S$7:$S$874,$R$2,BS_RE33!$N$7:$N$874,I5,BS_RE33!$P$7:$P$874,'30 days CF Table(EUR)'!G5,BS_RE33!$F$7:$F$874,'30 days CF Table(EUR)'!$C$2)</f>
        <v>0</v>
      </c>
      <c r="S5" s="337">
        <f>SUMIFS(BS_RE33!$H$7:$H$874,BS_RE33!$S$7:$S$874,$S$2,BS_RE33!$N$7:$N$874,I5,BS_RE33!$P$7:$P$874,'30 days CF Table(EUR)'!G5,BS_RE33!$F$7:$F$874,'30 days CF Table(EUR)'!$C$2)</f>
        <v>0</v>
      </c>
      <c r="T5" s="337">
        <f>SUMIFS(BS_RE33!$H$7:$H$874,BS_RE33!$S$7:$S$874,$T$2,BS_RE33!$N$7:$N$874,I5,BS_RE33!$P$7:$P$874,'30 days CF Table(EUR)'!G5,BS_RE33!$F$7:$F$874,'30 days CF Table(EUR)'!$C$2)</f>
        <v>0</v>
      </c>
      <c r="U5" s="337">
        <f>SUMIFS(BS_RE33!$H$7:$H$874,BS_RE33!$S$7:$S$874,$U$2,BS_RE33!$N$7:$N$874,I5,BS_RE33!$P$7:$P$874,'30 days CF Table(EUR)'!G5,BS_RE33!$F$7:$F$874,'30 days CF Table(EUR)'!$C$2)</f>
        <v>0</v>
      </c>
      <c r="V5" s="337">
        <f>SUMIFS(BS_RE33!$H$7:$H$874,BS_RE33!$S$7:$S$874,$V$2,BS_RE33!$N$7:$N$874,I5,BS_RE33!$P$7:$P$874,'30 days CF Table(EUR)'!G5,BS_RE33!$F$7:$F$874,'30 days CF Table(EUR)'!$C$2)</f>
        <v>0</v>
      </c>
      <c r="W5" s="337">
        <f>SUMIFS(BS_RE33!$H$7:$H$874,BS_RE33!$S$7:$S$874,$W$2,BS_RE33!$N$7:$N$874,I5,BS_RE33!$P$7:$P$874,'30 days CF Table(EUR)'!G5,BS_RE33!$F$7:$F$874,'30 days CF Table(EUR)'!$C$2)</f>
        <v>0</v>
      </c>
      <c r="X5" s="337">
        <f>SUMIFS(BS_RE33!$H$7:$H$874,BS_RE33!$S$7:$S$874,$X$2,BS_RE33!$N$7:$N$874,I5,BS_RE33!$P$7:$P$874,'30 days CF Table(EUR)'!G5,BS_RE33!$F$7:$F$874,'30 days CF Table(EUR)'!$C$2)</f>
        <v>0</v>
      </c>
      <c r="Y5" s="337">
        <f>SUMIFS(BS_RE33!$H$7:$H$874,BS_RE33!$S$7:$S$874,$Y$2,BS_RE33!$N$7:$N$874,I5,BS_RE33!$P$7:$P$874,'30 days CF Table(EUR)'!G5,BS_RE33!$F$7:$F$874,'30 days CF Table(EUR)'!$C$2)</f>
        <v>0</v>
      </c>
      <c r="Z5" s="337">
        <f>SUMIFS(BS_RE33!$H$7:$H$874,BS_RE33!$S$7:$S$874,$Z$2,BS_RE33!$N$7:$N$874,I5,BS_RE33!$P$7:$P$874,'30 days CF Table(EUR)'!G5,BS_RE33!$F$7:$F$874,'30 days CF Table(EUR)'!$C$2)</f>
        <v>0</v>
      </c>
      <c r="AA5" s="337">
        <f>SUMIFS(BS_RE33!$H$7:$H$874,BS_RE33!$S$7:$S$874,$AA$2,BS_RE33!$N$7:$N$874,I5,BS_RE33!$P$7:$P$874,'30 days CF Table(EUR)'!G5,BS_RE33!$F$7:$F$874,'30 days CF Table(EUR)'!$C$2)</f>
        <v>0</v>
      </c>
      <c r="AB5" s="337">
        <f>SUMIFS(BS_RE33!$H$7:$H$874,BS_RE33!$S$7:$S$874,$AB$2,BS_RE33!$N$7:$N$874,I5,BS_RE33!$P$7:$P$874,'30 days CF Table(EUR)'!G5,BS_RE33!$F$7:$F$874,'30 days CF Table(EUR)'!$C$2)</f>
        <v>0</v>
      </c>
      <c r="AC5" s="337">
        <f>SUMIFS(BS_RE33!$H$7:$H$874,BS_RE33!$S$7:$S$874,$AC$2,BS_RE33!$N$7:$N$874,I5,BS_RE33!$P$7:$P$874,'30 days CF Table(EUR)'!G5,BS_RE33!$F$7:$F$874,'30 days CF Table(EUR)'!$C$2)</f>
        <v>0</v>
      </c>
      <c r="AD5" s="337">
        <f>SUMIFS(BS_RE33!$H$7:$H$874,BS_RE33!$S$7:$S$874,$AD$2,BS_RE33!$N$7:$N$874,I5,BS_RE33!$P$7:$P$874,'30 days CF Table(EUR)'!G5,BS_RE33!$F$7:$F$874,'30 days CF Table(EUR)'!$C$2)</f>
        <v>0</v>
      </c>
      <c r="AE5" s="337">
        <f>SUMIFS(BS_RE33!$H$7:$H$874,BS_RE33!$S$7:$S$874,$AE$2,BS_RE33!$N$7:$N$874,I5,BS_RE33!$P$7:$P$874,'30 days CF Table(EUR)'!G5,BS_RE33!$F$7:$F$874,'30 days CF Table(EUR)'!$C$2)</f>
        <v>0</v>
      </c>
      <c r="AF5" s="337">
        <f>SUMIFS(BS_RE33!$H$7:$H$874,BS_RE33!$S$7:$S$874,$AF$2,BS_RE33!$N$7:$N$874,I5,BS_RE33!$P$7:$P$874,'30 days CF Table(EUR)'!G5,BS_RE33!$F$7:$F$874,'30 days CF Table(EUR)'!$C$2)</f>
        <v>0</v>
      </c>
      <c r="AG5" s="337">
        <f>SUMIFS(BS_RE33!$H$7:$H$874,BS_RE33!$S$7:$S$874,$AG$2,BS_RE33!$N$7:$N$874,I5,BS_RE33!$P$7:$P$874,'30 days CF Table(EUR)'!G5,BS_RE33!$F$7:$F$874,'30 days CF Table(EUR)'!$C$2)</f>
        <v>0</v>
      </c>
      <c r="AH5" s="337">
        <f>SUMIFS(BS_RE33!$H$7:$H$874,BS_RE33!$S$7:$S$874,$AH$2,BS_RE33!$N$7:$N$874,I5,BS_RE33!$P$7:$P$874,'30 days CF Table(EUR)'!G5,BS_RE33!$F$7:$F$874,'30 days CF Table(EUR)'!$C$2)</f>
        <v>0</v>
      </c>
      <c r="AI5" s="337">
        <f>SUMIFS(BS_RE33!$H$7:$H$874,BS_RE33!$S$7:$S$874,$AI$2,BS_RE33!$N$7:$N$874,I5,BS_RE33!$P$7:$P$874,'30 days CF Table(EUR)'!G5,BS_RE33!$F$7:$F$874,'30 days CF Table(EUR)'!$C$2)</f>
        <v>0</v>
      </c>
      <c r="AJ5" s="337">
        <f>SUMIFS(BS_RE33!$H$7:$H$874,BS_RE33!$S$7:$S$874,$AJ$2,BS_RE33!$N$7:$N$874,I5,BS_RE33!$P$7:$P$874,'30 days CF Table(EUR)'!G5,BS_RE33!$F$7:$F$874,'30 days CF Table(EUR)'!$C$2)</f>
        <v>0</v>
      </c>
      <c r="AK5" s="337">
        <f>SUMIFS(BS_RE33!$H$7:$H$874,BS_RE33!$S$7:$S$874,$AK$2,BS_RE33!$N$7:$N$874,I5,BS_RE33!$P$7:$P$874,'30 days CF Table(EUR)'!G5,BS_RE33!$F$7:$F$874,'30 days CF Table(EUR)'!$C$2)</f>
        <v>0</v>
      </c>
      <c r="AL5" s="337">
        <f>SUMIFS(BS_RE33!$H$7:$H$874,BS_RE33!$S$7:$S$874,$AL$2,BS_RE33!$N$7:$N$874,I5,BS_RE33!$P$7:$P$874,'30 days CF Table(EUR)'!G5,BS_RE33!$F$7:$F$874,'30 days CF Table(EUR)'!$C$2)</f>
        <v>0</v>
      </c>
      <c r="AM5" s="337">
        <f>SUMIFS(BS_RE33!$H$7:$H$874,BS_RE33!$S$7:$S$874,$AM$2,BS_RE33!$N$7:$N$874,I5,BS_RE33!$P$7:$P$874,'30 days CF Table(EUR)'!G5,BS_RE33!$F$7:$F$874,'30 days CF Table(EUR)'!$C$2)</f>
        <v>0</v>
      </c>
      <c r="AN5" s="337">
        <f>SUMIFS(BS_RE33!$H$7:$H$874,BS_RE33!$S$7:$S$874,$AN$2,BS_RE33!$N$7:$N$874,I5,BS_RE33!$P$7:$P$874,'30 days CF Table(EUR)'!G5,BS_RE33!$F$7:$F$874,'30 days CF Table(EUR)'!$C$2)</f>
        <v>0</v>
      </c>
      <c r="AO5" s="337">
        <f>SUMIFS(BS_RE33!$H$7:$H$874,BS_RE33!$S$7:$S$874,$AO$2,BS_RE33!$N$7:$N$874,I5,BS_RE33!$P$7:$P$874,'30 days CF Table(EUR)'!G5,BS_RE33!$F$7:$F$874,'30 days CF Table(EUR)'!$C$2)</f>
        <v>0</v>
      </c>
      <c r="AP5" s="338">
        <f>SUMIFS(BS_RE33!$H$7:$H$874,BS_RE33!$S$7:$S$874,$AP$2,BS_RE33!$N$7:$N$874,I5,BS_RE33!$P$7:$P$874,'30 days CF Table(EUR)'!G5,BS_RE33!$F$7:$F$874,'30 days CF Table(EUR)'!$C$2)</f>
        <v>0</v>
      </c>
      <c r="AQ5" s="545"/>
      <c r="AR5" s="379">
        <f>SUMIFS(BS_RE33!$H$7:$H$874,BS_RE33!$S$7:$S$874,$AR$2,BS_RE33!$N$7:$N$874,I5,BS_RE33!$P$7:$P$874,'30 days CF Table(EUR)'!G5,BS_RE33!$F$7:$F$874,'30 days CF Table(EUR)'!$C$2)</f>
        <v>0</v>
      </c>
      <c r="AS5" s="379">
        <f>SUMIFS(BS_RE33!$H$7:$H$874,BS_RE33!$S$7:$S$874,$AS$2,BS_RE33!$N$7:$N$874,I5,BS_RE33!$P$7:$P$874,'30 days CF Table(EUR)'!G5,BS_RE33!$F$7:$F$874,'30 days CF Table(EUR)'!$C$2)</f>
        <v>0</v>
      </c>
      <c r="AT5" s="379">
        <f>SUMIFS(BS_RE33!$H$7:$H$874,BS_RE33!$S$7:$S$874,$AT$2,BS_RE33!$N$7:$N$874,I5,BS_RE33!$P$7:$P$874,'30 days CF Table(EUR)'!G5,BS_RE33!$F$7:$F$874,'30 days CF Table(EUR)'!$C$2)</f>
        <v>0</v>
      </c>
      <c r="AU5" s="379">
        <f>SUMIFS(BS_RE33!$H$7:$H$874,BS_RE33!$S$7:$S$874,$AU$2,BS_RE33!$N$7:$N$874,I5,BS_RE33!$P$7:$P$874,'30 days CF Table(EUR)'!G5,BS_RE33!$F$7:$F$874,'30 days CF Table(EUR)'!$C$2)</f>
        <v>0</v>
      </c>
      <c r="AV5" s="379">
        <f>SUMIFS(BS_RE33!$H$7:$H$874,BS_RE33!$S$7:$S$874,$AV$2,BS_RE33!$N$7:$N$874,I5,BS_RE33!$P$7:$P$874,'30 days CF Table(EUR)'!G5,BS_RE33!$F$7:$F$874,'30 days CF Table(EUR)'!$C$2)</f>
        <v>0</v>
      </c>
      <c r="AW5" s="379">
        <f>SUMIFS(BS_RE33!$H$7:$H$874,BS_RE33!$S$7:$S$874,$AW$2,BS_RE33!$N$7:$N$874,I5,BS_RE33!$P$7:$P$874,'30 days CF Table(EUR)'!G5,BS_RE33!$F$7:$F$874,'30 days CF Table(EUR)'!$C$2)</f>
        <v>0</v>
      </c>
      <c r="AX5" s="379">
        <f>SUMIFS(BS_RE33!$H$7:$H$874,BS_RE33!$S$7:$S$874,$AX$2,BS_RE33!$N$7:$N$874,I5,BS_RE33!$P$7:$P$874,'30 days CF Table(EUR)'!G5,BS_RE33!$F$7:$F$874,'30 days CF Table(EUR)'!$C$2)</f>
        <v>0</v>
      </c>
      <c r="AY5" s="379">
        <f>SUMIFS(BS_RE33!$H$7:$H$874,BS_RE33!$S$7:$S$874,$AY$2,BS_RE33!$N$7:$N$874,I5,BS_RE33!$P$7:$P$874,'30 days CF Table(EUR)'!G5,BS_RE33!$F$7:$F$874,'30 days CF Table(EUR)'!$C$2)</f>
        <v>0</v>
      </c>
      <c r="AZ5" s="379">
        <f>SUMIFS(BS_RE33!$H$7:$H$874,BS_RE33!$S$7:$S$874,$AZ$2,BS_RE33!$N$7:$N$874,I5,BS_RE33!$P$7:$P$874,'30 days CF Table(EUR)'!G5,BS_RE33!$F$7:$F$874,'30 days CF Table(EUR)'!$C$2)</f>
        <v>0</v>
      </c>
      <c r="BA5" s="379">
        <f>SUMIFS(BS_RE33!$H$7:$H$874,BS_RE33!$S$7:$S$874,$BA$2,BS_RE33!$N$7:$N$874,I5,BS_RE33!$P$7:$P$874,'30 days CF Table(EUR)'!G5,BS_RE33!$F$7:$F$874,'30 days CF Table(EUR)'!$C$2)</f>
        <v>0</v>
      </c>
      <c r="BB5" s="379">
        <f>SUMIFS(BS_RE33!$H$7:$H$874,BS_RE33!$S$7:$S$874,$BB$2,BS_RE33!$N$7:$N$874,I5,BS_RE33!$P$7:$P$874,'30 days CF Table(EUR)'!G5,BS_RE33!$F$7:$F$874,'30 days CF Table(EUR)'!$C$2)</f>
        <v>0</v>
      </c>
      <c r="BC5" s="379">
        <f>SUMIFS(BS_RE33!$H$7:$H$874,BS_RE33!$S$7:$S$874,$BC$2,BS_RE33!$N$7:$N$874,I5,BS_RE33!$P$7:$P$874,'30 days CF Table(EUR)'!G5,BS_RE33!$F$7:$F$874,'30 days CF Table(EUR)'!$C$2)</f>
        <v>0</v>
      </c>
      <c r="BD5" s="379">
        <f>SUMIFS(BS_RE33!$H$7:$H$874,BS_RE33!$S$7:$S$874,$BD$2,BS_RE33!$N$7:$N$874,I5,BS_RE33!$P$7:$P$874,'30 days CF Table(EUR)'!G5,BS_RE33!$F$7:$F$874,'30 days CF Table(EUR)'!$C$2)</f>
        <v>0</v>
      </c>
      <c r="BE5" s="379">
        <f>SUMIFS(BS_RE33!$H$7:$H$874,BS_RE33!$S$7:$S$874,$BE$2,BS_RE33!$N$7:$N$874,I5,BS_RE33!$P$7:$P$874,'30 days CF Table(EUR)'!G5,BS_RE33!$F$7:$F$874,'30 days CF Table(EUR)'!$C$2)</f>
        <v>0</v>
      </c>
      <c r="BF5" s="379">
        <f>SUMIFS(BS_RE33!$H$7:$H$874,BS_RE33!$S$7:$S$874,$BF$2,BS_RE33!$N$7:$N$874,I5,BS_RE33!$P$7:$P$874,'30 days CF Table(EUR)'!G5,BS_RE33!$F$7:$F$874,'30 days CF Table(EUR)'!$C$2)</f>
        <v>0</v>
      </c>
      <c r="BG5" s="379">
        <f>SUMIFS(BS_RE33!$H$7:$H$874,BS_RE33!$S$7:$S$874,$BG$2,BS_RE33!$N$7:$N$874,I5,BS_RE33!$P$7:$P$874,'30 days CF Table(EUR)'!G5,BS_RE33!$F$7:$F$874,'30 days CF Table(EUR)'!$C$2)</f>
        <v>0</v>
      </c>
      <c r="BH5" s="379">
        <f>SUMIFS(BS_RE33!$H$7:$H$874,BS_RE33!$S$7:$S$874,$BH$2,BS_RE33!$N$7:$N$874,I5,BS_RE33!$P$7:$P$874,'30 days CF Table(EUR)'!G5,BS_RE33!$F$7:$F$874,'30 days CF Table(EUR)'!$C$2)</f>
        <v>0</v>
      </c>
      <c r="BI5" s="379">
        <f>SUMIFS(BS_RE33!$H$7:$H$874,BS_RE33!$S$7:$S$874,$BI$2,BS_RE33!$N$7:$N$874,I5,BS_RE33!$P$7:$P$874,'30 days CF Table(EUR)'!G5,BS_RE33!$F$7:$F$874,'30 days CF Table(EUR)'!$C$2)</f>
        <v>0</v>
      </c>
      <c r="BJ5" s="379">
        <f>SUMIFS(BS_RE33!$H$7:$H$874,BS_RE33!$S$7:$S$874,$BJ$2,BS_RE33!$N$7:$N$874,I5,BS_RE33!$P$7:$P$874,'30 days CF Table(EUR)'!G5,BS_RE33!$F$7:$F$874,'30 days CF Table(EUR)'!$C$2)</f>
        <v>0</v>
      </c>
      <c r="BK5" s="379">
        <f>SUMIFS(BS_RE33!$H$7:$H$874,BS_RE33!$S$7:$S$874,$BK$2,BS_RE33!$N$7:$N$874,I5,BS_RE33!$P$7:$P$874,'30 days CF Table(EUR)'!G5,BS_RE33!$F$7:$F$874,'30 days CF Table(EUR)'!$C$2)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Table(EUR)'!G6,BS_RE33!$F$7:$F$874,'30 days CF Table(EUR)'!$C$2)</f>
        <v>0</v>
      </c>
      <c r="M6" s="337">
        <f>SUMIFS(BS_RE33!$H$7:$H$874,BS_RE33!$S$7:$S$874,$M$2,BS_RE33!$N$7:$N$874,I6,BS_RE33!$P$7:$P$874,'30 days CF Table(EUR)'!G6,BS_RE33!$F$7:$F$874,'30 days CF Table(EUR)'!$C$2)</f>
        <v>0</v>
      </c>
      <c r="N6" s="337">
        <f>SUMIFS(BS_RE33!$H$7:$H$874,BS_RE33!$S$7:$S$874,$N$2,BS_RE33!$N$7:$N$874,I6,BS_RE33!$P$7:$P$874,'30 days CF Table(EUR)'!G6,BS_RE33!$F$7:$F$874,'30 days CF Table(EUR)'!$C$2)</f>
        <v>0</v>
      </c>
      <c r="O6" s="337">
        <f>SUMIFS(BS_RE33!$H$7:$H$874,BS_RE33!$S$7:$S$874,$O$2,BS_RE33!$N$7:$N$874,I6,BS_RE33!$P$7:$P$874,'30 days CF Table(EUR)'!G6,BS_RE33!$F$7:$F$874,'30 days CF Table(EUR)'!$C$2)</f>
        <v>0</v>
      </c>
      <c r="P6" s="337">
        <f>SUMIFS(BS_RE33!$H$7:$H$874,BS_RE33!$S$7:$S$874,$P$2,BS_RE33!$N$7:$N$874,I6,BS_RE33!$P$7:$P$874,'30 days CF Table(EUR)'!G6,BS_RE33!$F$7:$F$874,'30 days CF Table(EUR)'!$C$2)</f>
        <v>0</v>
      </c>
      <c r="Q6" s="337">
        <f>SUMIFS(BS_RE33!$H$7:$H$874,BS_RE33!$S$7:$S$874,$Q$2,BS_RE33!$N$7:$N$874,I6,BS_RE33!$P$7:$P$874,'30 days CF Table(EUR)'!G6,BS_RE33!$F$7:$F$874,'30 days CF Table(EUR)'!$C$2)</f>
        <v>0</v>
      </c>
      <c r="R6" s="337">
        <f>SUMIFS(BS_RE33!$H$7:$H$874,BS_RE33!$S$7:$S$874,$R$2,BS_RE33!$N$7:$N$874,I6,BS_RE33!$P$7:$P$874,'30 days CF Table(EUR)'!G6,BS_RE33!$F$7:$F$874,'30 days CF Table(EUR)'!$C$2)</f>
        <v>0</v>
      </c>
      <c r="S6" s="337">
        <f>SUMIFS(BS_RE33!$H$7:$H$874,BS_RE33!$S$7:$S$874,$S$2,BS_RE33!$N$7:$N$874,I6,BS_RE33!$P$7:$P$874,'30 days CF Table(EUR)'!G6,BS_RE33!$F$7:$F$874,'30 days CF Table(EUR)'!$C$2)</f>
        <v>0</v>
      </c>
      <c r="T6" s="337">
        <f>SUMIFS(BS_RE33!$H$7:$H$874,BS_RE33!$S$7:$S$874,$T$2,BS_RE33!$N$7:$N$874,I6,BS_RE33!$P$7:$P$874,'30 days CF Table(EUR)'!G6,BS_RE33!$F$7:$F$874,'30 days CF Table(EUR)'!$C$2)</f>
        <v>0</v>
      </c>
      <c r="U6" s="337">
        <f>SUMIFS(BS_RE33!$H$7:$H$874,BS_RE33!$S$7:$S$874,$U$2,BS_RE33!$N$7:$N$874,I6,BS_RE33!$P$7:$P$874,'30 days CF Table(EUR)'!G6,BS_RE33!$F$7:$F$874,'30 days CF Table(EUR)'!$C$2)</f>
        <v>0</v>
      </c>
      <c r="V6" s="337">
        <f>SUMIFS(BS_RE33!$H$7:$H$874,BS_RE33!$S$7:$S$874,$V$2,BS_RE33!$N$7:$N$874,I6,BS_RE33!$P$7:$P$874,'30 days CF Table(EUR)'!G6,BS_RE33!$F$7:$F$874,'30 days CF Table(EUR)'!$C$2)</f>
        <v>0</v>
      </c>
      <c r="W6" s="337">
        <f>SUMIFS(BS_RE33!$H$7:$H$874,BS_RE33!$S$7:$S$874,$W$2,BS_RE33!$N$7:$N$874,I6,BS_RE33!$P$7:$P$874,'30 days CF Table(EUR)'!G6,BS_RE33!$F$7:$F$874,'30 days CF Table(EUR)'!$C$2)</f>
        <v>0</v>
      </c>
      <c r="X6" s="337">
        <f>SUMIFS(BS_RE33!$H$7:$H$874,BS_RE33!$S$7:$S$874,$X$2,BS_RE33!$N$7:$N$874,I6,BS_RE33!$P$7:$P$874,'30 days CF Table(EUR)'!G6,BS_RE33!$F$7:$F$874,'30 days CF Table(EUR)'!$C$2)</f>
        <v>0</v>
      </c>
      <c r="Y6" s="337">
        <f>SUMIFS(BS_RE33!$H$7:$H$874,BS_RE33!$S$7:$S$874,$Y$2,BS_RE33!$N$7:$N$874,I6,BS_RE33!$P$7:$P$874,'30 days CF Table(EUR)'!G6,BS_RE33!$F$7:$F$874,'30 days CF Table(EUR)'!$C$2)</f>
        <v>0</v>
      </c>
      <c r="Z6" s="337">
        <f>SUMIFS(BS_RE33!$H$7:$H$874,BS_RE33!$S$7:$S$874,$Z$2,BS_RE33!$N$7:$N$874,I6,BS_RE33!$P$7:$P$874,'30 days CF Table(EUR)'!G6,BS_RE33!$F$7:$F$874,'30 days CF Table(EUR)'!$C$2)</f>
        <v>0</v>
      </c>
      <c r="AA6" s="337">
        <f>SUMIFS(BS_RE33!$H$7:$H$874,BS_RE33!$S$7:$S$874,$AA$2,BS_RE33!$N$7:$N$874,I6,BS_RE33!$P$7:$P$874,'30 days CF Table(EUR)'!G6,BS_RE33!$F$7:$F$874,'30 days CF Table(EUR)'!$C$2)</f>
        <v>0</v>
      </c>
      <c r="AB6" s="337">
        <f>SUMIFS(BS_RE33!$H$7:$H$874,BS_RE33!$S$7:$S$874,$AB$2,BS_RE33!$N$7:$N$874,I6,BS_RE33!$P$7:$P$874,'30 days CF Table(EUR)'!G6,BS_RE33!$F$7:$F$874,'30 days CF Table(EUR)'!$C$2)</f>
        <v>0</v>
      </c>
      <c r="AC6" s="337">
        <f>SUMIFS(BS_RE33!$H$7:$H$874,BS_RE33!$S$7:$S$874,$AC$2,BS_RE33!$N$7:$N$874,I6,BS_RE33!$P$7:$P$874,'30 days CF Table(EUR)'!G6,BS_RE33!$F$7:$F$874,'30 days CF Table(EUR)'!$C$2)</f>
        <v>0</v>
      </c>
      <c r="AD6" s="337">
        <f>SUMIFS(BS_RE33!$H$7:$H$874,BS_RE33!$S$7:$S$874,$AD$2,BS_RE33!$N$7:$N$874,I6,BS_RE33!$P$7:$P$874,'30 days CF Table(EUR)'!G6,BS_RE33!$F$7:$F$874,'30 days CF Table(EUR)'!$C$2)</f>
        <v>0</v>
      </c>
      <c r="AE6" s="337">
        <f>SUMIFS(BS_RE33!$H$7:$H$874,BS_RE33!$S$7:$S$874,$AE$2,BS_RE33!$N$7:$N$874,I6,BS_RE33!$P$7:$P$874,'30 days CF Table(EUR)'!G6,BS_RE33!$F$7:$F$874,'30 days CF Table(EUR)'!$C$2)</f>
        <v>0</v>
      </c>
      <c r="AF6" s="337">
        <f>SUMIFS(BS_RE33!$H$7:$H$874,BS_RE33!$S$7:$S$874,$AF$2,BS_RE33!$N$7:$N$874,I6,BS_RE33!$P$7:$P$874,'30 days CF Table(EUR)'!G6,BS_RE33!$F$7:$F$874,'30 days CF Table(EUR)'!$C$2)</f>
        <v>0</v>
      </c>
      <c r="AG6" s="337">
        <f>SUMIFS(BS_RE33!$H$7:$H$874,BS_RE33!$S$7:$S$874,$AG$2,BS_RE33!$N$7:$N$874,I6,BS_RE33!$P$7:$P$874,'30 days CF Table(EUR)'!G6,BS_RE33!$F$7:$F$874,'30 days CF Table(EUR)'!$C$2)</f>
        <v>0</v>
      </c>
      <c r="AH6" s="337">
        <f>SUMIFS(BS_RE33!$H$7:$H$874,BS_RE33!$S$7:$S$874,$AH$2,BS_RE33!$N$7:$N$874,I6,BS_RE33!$P$7:$P$874,'30 days CF Table(EUR)'!G6,BS_RE33!$F$7:$F$874,'30 days CF Table(EUR)'!$C$2)</f>
        <v>0</v>
      </c>
      <c r="AI6" s="337">
        <f>SUMIFS(BS_RE33!$H$7:$H$874,BS_RE33!$S$7:$S$874,$AI$2,BS_RE33!$N$7:$N$874,I6,BS_RE33!$P$7:$P$874,'30 days CF Table(EUR)'!G6,BS_RE33!$F$7:$F$874,'30 days CF Table(EUR)'!$C$2)</f>
        <v>0</v>
      </c>
      <c r="AJ6" s="337">
        <f>SUMIFS(BS_RE33!$H$7:$H$874,BS_RE33!$S$7:$S$874,$AJ$2,BS_RE33!$N$7:$N$874,I6,BS_RE33!$P$7:$P$874,'30 days CF Table(EUR)'!G6,BS_RE33!$F$7:$F$874,'30 days CF Table(EUR)'!$C$2)</f>
        <v>0</v>
      </c>
      <c r="AK6" s="337">
        <f>SUMIFS(BS_RE33!$H$7:$H$874,BS_RE33!$S$7:$S$874,$AK$2,BS_RE33!$N$7:$N$874,I6,BS_RE33!$P$7:$P$874,'30 days CF Table(EUR)'!G6,BS_RE33!$F$7:$F$874,'30 days CF Table(EUR)'!$C$2)</f>
        <v>0</v>
      </c>
      <c r="AL6" s="337">
        <f>SUMIFS(BS_RE33!$H$7:$H$874,BS_RE33!$S$7:$S$874,$AL$2,BS_RE33!$N$7:$N$874,I6,BS_RE33!$P$7:$P$874,'30 days CF Table(EUR)'!G6,BS_RE33!$F$7:$F$874,'30 days CF Table(EUR)'!$C$2)</f>
        <v>0</v>
      </c>
      <c r="AM6" s="337">
        <f>SUMIFS(BS_RE33!$H$7:$H$874,BS_RE33!$S$7:$S$874,$AM$2,BS_RE33!$N$7:$N$874,I6,BS_RE33!$P$7:$P$874,'30 days CF Table(EUR)'!G6,BS_RE33!$F$7:$F$874,'30 days CF Table(EUR)'!$C$2)</f>
        <v>0</v>
      </c>
      <c r="AN6" s="337">
        <f>SUMIFS(BS_RE33!$H$7:$H$874,BS_RE33!$S$7:$S$874,$AN$2,BS_RE33!$N$7:$N$874,I6,BS_RE33!$P$7:$P$874,'30 days CF Table(EUR)'!G6,BS_RE33!$F$7:$F$874,'30 days CF Table(EUR)'!$C$2)</f>
        <v>0</v>
      </c>
      <c r="AO6" s="337">
        <f>SUMIFS(BS_RE33!$H$7:$H$874,BS_RE33!$S$7:$S$874,$AO$2,BS_RE33!$N$7:$N$874,I6,BS_RE33!$P$7:$P$874,'30 days CF Table(EUR)'!G6,BS_RE33!$F$7:$F$874,'30 days CF Table(EUR)'!$C$2)</f>
        <v>0</v>
      </c>
      <c r="AP6" s="338">
        <f>SUMIFS(BS_RE33!$H$7:$H$874,BS_RE33!$S$7:$S$874,$AP$2,BS_RE33!$N$7:$N$874,I6,BS_RE33!$P$7:$P$874,'30 days CF Table(EUR)'!G6,BS_RE33!$F$7:$F$874,'30 days CF Table(EUR)'!$C$2)</f>
        <v>0</v>
      </c>
      <c r="AQ6" s="545"/>
      <c r="AR6" s="379">
        <f>SUMIFS(BS_RE33!$H$7:$H$874,BS_RE33!$S$7:$S$874,$AR$2,BS_RE33!$N$7:$N$874,I6,BS_RE33!$P$7:$P$874,'30 days CF Table(EUR)'!G6,BS_RE33!$F$7:$F$874,'30 days CF Table(EUR)'!$C$2)</f>
        <v>0</v>
      </c>
      <c r="AS6" s="379">
        <f>SUMIFS(BS_RE33!$H$7:$H$874,BS_RE33!$S$7:$S$874,$AS$2,BS_RE33!$N$7:$N$874,I6,BS_RE33!$P$7:$P$874,'30 days CF Table(EUR)'!G6,BS_RE33!$F$7:$F$874,'30 days CF Table(EUR)'!$C$2)</f>
        <v>0</v>
      </c>
      <c r="AT6" s="379">
        <f>SUMIFS(BS_RE33!$H$7:$H$874,BS_RE33!$S$7:$S$874,$AT$2,BS_RE33!$N$7:$N$874,I6,BS_RE33!$P$7:$P$874,'30 days CF Table(EUR)'!G6,BS_RE33!$F$7:$F$874,'30 days CF Table(EUR)'!$C$2)</f>
        <v>0</v>
      </c>
      <c r="AU6" s="379">
        <f>SUMIFS(BS_RE33!$H$7:$H$874,BS_RE33!$S$7:$S$874,$AU$2,BS_RE33!$N$7:$N$874,I6,BS_RE33!$P$7:$P$874,'30 days CF Table(EUR)'!G6,BS_RE33!$F$7:$F$874,'30 days CF Table(EUR)'!$C$2)</f>
        <v>0</v>
      </c>
      <c r="AV6" s="379">
        <f>SUMIFS(BS_RE33!$H$7:$H$874,BS_RE33!$S$7:$S$874,$AV$2,BS_RE33!$N$7:$N$874,I6,BS_RE33!$P$7:$P$874,'30 days CF Table(EUR)'!G6,BS_RE33!$F$7:$F$874,'30 days CF Table(EUR)'!$C$2)</f>
        <v>0</v>
      </c>
      <c r="AW6" s="379">
        <f>SUMIFS(BS_RE33!$H$7:$H$874,BS_RE33!$S$7:$S$874,$AW$2,BS_RE33!$N$7:$N$874,I6,BS_RE33!$P$7:$P$874,'30 days CF Table(EUR)'!G6,BS_RE33!$F$7:$F$874,'30 days CF Table(EUR)'!$C$2)</f>
        <v>0</v>
      </c>
      <c r="AX6" s="379">
        <f>SUMIFS(BS_RE33!$H$7:$H$874,BS_RE33!$S$7:$S$874,$AX$2,BS_RE33!$N$7:$N$874,I6,BS_RE33!$P$7:$P$874,'30 days CF Table(EUR)'!G6,BS_RE33!$F$7:$F$874,'30 days CF Table(EUR)'!$C$2)</f>
        <v>0</v>
      </c>
      <c r="AY6" s="379">
        <f>SUMIFS(BS_RE33!$H$7:$H$874,BS_RE33!$S$7:$S$874,$AY$2,BS_RE33!$N$7:$N$874,I6,BS_RE33!$P$7:$P$874,'30 days CF Table(EUR)'!G6,BS_RE33!$F$7:$F$874,'30 days CF Table(EUR)'!$C$2)</f>
        <v>0</v>
      </c>
      <c r="AZ6" s="379">
        <f>SUMIFS(BS_RE33!$H$7:$H$874,BS_RE33!$S$7:$S$874,$AZ$2,BS_RE33!$N$7:$N$874,I6,BS_RE33!$P$7:$P$874,'30 days CF Table(EUR)'!G6,BS_RE33!$F$7:$F$874,'30 days CF Table(EUR)'!$C$2)</f>
        <v>0</v>
      </c>
      <c r="BA6" s="379">
        <f>SUMIFS(BS_RE33!$H$7:$H$874,BS_RE33!$S$7:$S$874,$BA$2,BS_RE33!$N$7:$N$874,I6,BS_RE33!$P$7:$P$874,'30 days CF Table(EUR)'!G6,BS_RE33!$F$7:$F$874,'30 days CF Table(EUR)'!$C$2)</f>
        <v>0</v>
      </c>
      <c r="BB6" s="379">
        <f>SUMIFS(BS_RE33!$H$7:$H$874,BS_RE33!$S$7:$S$874,$BB$2,BS_RE33!$N$7:$N$874,I6,BS_RE33!$P$7:$P$874,'30 days CF Table(EUR)'!G6,BS_RE33!$F$7:$F$874,'30 days CF Table(EUR)'!$C$2)</f>
        <v>0</v>
      </c>
      <c r="BC6" s="379">
        <f>SUMIFS(BS_RE33!$H$7:$H$874,BS_RE33!$S$7:$S$874,$BC$2,BS_RE33!$N$7:$N$874,I6,BS_RE33!$P$7:$P$874,'30 days CF Table(EUR)'!G6,BS_RE33!$F$7:$F$874,'30 days CF Table(EUR)'!$C$2)</f>
        <v>0</v>
      </c>
      <c r="BD6" s="379">
        <f>SUMIFS(BS_RE33!$H$7:$H$874,BS_RE33!$S$7:$S$874,$BD$2,BS_RE33!$N$7:$N$874,I6,BS_RE33!$P$7:$P$874,'30 days CF Table(EUR)'!G6,BS_RE33!$F$7:$F$874,'30 days CF Table(EUR)'!$C$2)</f>
        <v>0</v>
      </c>
      <c r="BE6" s="379">
        <f>SUMIFS(BS_RE33!$H$7:$H$874,BS_RE33!$S$7:$S$874,$BE$2,BS_RE33!$N$7:$N$874,I6,BS_RE33!$P$7:$P$874,'30 days CF Table(EUR)'!G6,BS_RE33!$F$7:$F$874,'30 days CF Table(EUR)'!$C$2)</f>
        <v>0</v>
      </c>
      <c r="BF6" s="379">
        <f>SUMIFS(BS_RE33!$H$7:$H$874,BS_RE33!$S$7:$S$874,$BF$2,BS_RE33!$N$7:$N$874,I6,BS_RE33!$P$7:$P$874,'30 days CF Table(EUR)'!G6,BS_RE33!$F$7:$F$874,'30 days CF Table(EUR)'!$C$2)</f>
        <v>0</v>
      </c>
      <c r="BG6" s="379">
        <f>SUMIFS(BS_RE33!$H$7:$H$874,BS_RE33!$S$7:$S$874,$BG$2,BS_RE33!$N$7:$N$874,I6,BS_RE33!$P$7:$P$874,'30 days CF Table(EUR)'!G6,BS_RE33!$F$7:$F$874,'30 days CF Table(EUR)'!$C$2)</f>
        <v>0</v>
      </c>
      <c r="BH6" s="379">
        <f>SUMIFS(BS_RE33!$H$7:$H$874,BS_RE33!$S$7:$S$874,$BH$2,BS_RE33!$N$7:$N$874,I6,BS_RE33!$P$7:$P$874,'30 days CF Table(EUR)'!G6,BS_RE33!$F$7:$F$874,'30 days CF Table(EUR)'!$C$2)</f>
        <v>0</v>
      </c>
      <c r="BI6" s="379">
        <f>SUMIFS(BS_RE33!$H$7:$H$874,BS_RE33!$S$7:$S$874,$BI$2,BS_RE33!$N$7:$N$874,I6,BS_RE33!$P$7:$P$874,'30 days CF Table(EUR)'!G6,BS_RE33!$F$7:$F$874,'30 days CF Table(EUR)'!$C$2)</f>
        <v>0</v>
      </c>
      <c r="BJ6" s="379">
        <f>SUMIFS(BS_RE33!$H$7:$H$874,BS_RE33!$S$7:$S$874,$BJ$2,BS_RE33!$N$7:$N$874,I6,BS_RE33!$P$7:$P$874,'30 days CF Table(EUR)'!G6,BS_RE33!$F$7:$F$874,'30 days CF Table(EUR)'!$C$2)</f>
        <v>0</v>
      </c>
      <c r="BK6" s="379">
        <f>SUMIFS(BS_RE33!$H$7:$H$874,BS_RE33!$S$7:$S$874,$BK$2,BS_RE33!$N$7:$N$874,I6,BS_RE33!$P$7:$P$874,'30 days CF Table(EUR)'!G6,BS_RE33!$F$7:$F$874,'30 days CF Table(EUR)'!$C$2)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Table(EUR)'!G7,BS_RE33!$F$7:$F$874,'30 days CF Table(EUR)'!$C$2)</f>
        <v>0</v>
      </c>
      <c r="M7" s="337">
        <f>SUMIFS(BS_RE33!$H$7:$H$874,BS_RE33!$S$7:$S$874,$M$2,BS_RE33!$N$7:$N$874,I7,BS_RE33!$P$7:$P$874,'30 days CF Table(EUR)'!G7,BS_RE33!$F$7:$F$874,'30 days CF Table(EUR)'!$C$2)</f>
        <v>0</v>
      </c>
      <c r="N7" s="337">
        <f>SUMIFS(BS_RE33!$H$7:$H$874,BS_RE33!$S$7:$S$874,$N$2,BS_RE33!$N$7:$N$874,I7,BS_RE33!$P$7:$P$874,'30 days CF Table(EUR)'!G7,BS_RE33!$F$7:$F$874,'30 days CF Table(EUR)'!$C$2)</f>
        <v>0</v>
      </c>
      <c r="O7" s="337">
        <f>SUMIFS(BS_RE33!$H$7:$H$874,BS_RE33!$S$7:$S$874,$O$2,BS_RE33!$N$7:$N$874,I7,BS_RE33!$P$7:$P$874,'30 days CF Table(EUR)'!G7,BS_RE33!$F$7:$F$874,'30 days CF Table(EUR)'!$C$2)</f>
        <v>0</v>
      </c>
      <c r="P7" s="337">
        <f>SUMIFS(BS_RE33!$H$7:$H$874,BS_RE33!$S$7:$S$874,$P$2,BS_RE33!$N$7:$N$874,I7,BS_RE33!$P$7:$P$874,'30 days CF Table(EUR)'!G7,BS_RE33!$F$7:$F$874,'30 days CF Table(EUR)'!$C$2)</f>
        <v>0</v>
      </c>
      <c r="Q7" s="337">
        <f>SUMIFS(BS_RE33!$H$7:$H$874,BS_RE33!$S$7:$S$874,$Q$2,BS_RE33!$N$7:$N$874,I7,BS_RE33!$P$7:$P$874,'30 days CF Table(EUR)'!G7,BS_RE33!$F$7:$F$874,'30 days CF Table(EUR)'!$C$2)</f>
        <v>0</v>
      </c>
      <c r="R7" s="337">
        <f>SUMIFS(BS_RE33!$H$7:$H$874,BS_RE33!$S$7:$S$874,$R$2,BS_RE33!$N$7:$N$874,I7,BS_RE33!$P$7:$P$874,'30 days CF Table(EUR)'!G7,BS_RE33!$F$7:$F$874,'30 days CF Table(EUR)'!$C$2)</f>
        <v>0</v>
      </c>
      <c r="S7" s="337">
        <f>SUMIFS(BS_RE33!$H$7:$H$874,BS_RE33!$S$7:$S$874,$S$2,BS_RE33!$N$7:$N$874,I7,BS_RE33!$P$7:$P$874,'30 days CF Table(EUR)'!G7,BS_RE33!$F$7:$F$874,'30 days CF Table(EUR)'!$C$2)</f>
        <v>0</v>
      </c>
      <c r="T7" s="337">
        <f>SUMIFS(BS_RE33!$H$7:$H$874,BS_RE33!$S$7:$S$874,$T$2,BS_RE33!$N$7:$N$874,I7,BS_RE33!$P$7:$P$874,'30 days CF Table(EUR)'!G7,BS_RE33!$F$7:$F$874,'30 days CF Table(EUR)'!$C$2)</f>
        <v>0</v>
      </c>
      <c r="U7" s="337">
        <f>SUMIFS(BS_RE33!$H$7:$H$874,BS_RE33!$S$7:$S$874,$U$2,BS_RE33!$N$7:$N$874,I7,BS_RE33!$P$7:$P$874,'30 days CF Table(EUR)'!G7,BS_RE33!$F$7:$F$874,'30 days CF Table(EUR)'!$C$2)</f>
        <v>0</v>
      </c>
      <c r="V7" s="337">
        <f>SUMIFS(BS_RE33!$H$7:$H$874,BS_RE33!$S$7:$S$874,$V$2,BS_RE33!$N$7:$N$874,I7,BS_RE33!$P$7:$P$874,'30 days CF Table(EUR)'!G7,BS_RE33!$F$7:$F$874,'30 days CF Table(EUR)'!$C$2)</f>
        <v>0</v>
      </c>
      <c r="W7" s="337">
        <f>SUMIFS(BS_RE33!$H$7:$H$874,BS_RE33!$S$7:$S$874,$W$2,BS_RE33!$N$7:$N$874,I7,BS_RE33!$P$7:$P$874,'30 days CF Table(EUR)'!G7,BS_RE33!$F$7:$F$874,'30 days CF Table(EUR)'!$C$2)</f>
        <v>0</v>
      </c>
      <c r="X7" s="337">
        <f>SUMIFS(BS_RE33!$H$7:$H$874,BS_RE33!$S$7:$S$874,$X$2,BS_RE33!$N$7:$N$874,I7,BS_RE33!$P$7:$P$874,'30 days CF Table(EUR)'!G7,BS_RE33!$F$7:$F$874,'30 days CF Table(EUR)'!$C$2)</f>
        <v>0</v>
      </c>
      <c r="Y7" s="337">
        <f>SUMIFS(BS_RE33!$H$7:$H$874,BS_RE33!$S$7:$S$874,$Y$2,BS_RE33!$N$7:$N$874,I7,BS_RE33!$P$7:$P$874,'30 days CF Table(EUR)'!G7,BS_RE33!$F$7:$F$874,'30 days CF Table(EUR)'!$C$2)</f>
        <v>0</v>
      </c>
      <c r="Z7" s="337">
        <f>SUMIFS(BS_RE33!$H$7:$H$874,BS_RE33!$S$7:$S$874,$Z$2,BS_RE33!$N$7:$N$874,I7,BS_RE33!$P$7:$P$874,'30 days CF Table(EUR)'!G7,BS_RE33!$F$7:$F$874,'30 days CF Table(EUR)'!$C$2)</f>
        <v>0</v>
      </c>
      <c r="AA7" s="337">
        <f>SUMIFS(BS_RE33!$H$7:$H$874,BS_RE33!$S$7:$S$874,$AA$2,BS_RE33!$N$7:$N$874,I7,BS_RE33!$P$7:$P$874,'30 days CF Table(EUR)'!G7,BS_RE33!$F$7:$F$874,'30 days CF Table(EUR)'!$C$2)</f>
        <v>0</v>
      </c>
      <c r="AB7" s="337">
        <f>SUMIFS(BS_RE33!$H$7:$H$874,BS_RE33!$S$7:$S$874,$AB$2,BS_RE33!$N$7:$N$874,I7,BS_RE33!$P$7:$P$874,'30 days CF Table(EUR)'!G7,BS_RE33!$F$7:$F$874,'30 days CF Table(EUR)'!$C$2)</f>
        <v>0</v>
      </c>
      <c r="AC7" s="337">
        <f>SUMIFS(BS_RE33!$H$7:$H$874,BS_RE33!$S$7:$S$874,$AC$2,BS_RE33!$N$7:$N$874,I7,BS_RE33!$P$7:$P$874,'30 days CF Table(EUR)'!G7,BS_RE33!$F$7:$F$874,'30 days CF Table(EUR)'!$C$2)</f>
        <v>0</v>
      </c>
      <c r="AD7" s="337">
        <f>SUMIFS(BS_RE33!$H$7:$H$874,BS_RE33!$S$7:$S$874,$AD$2,BS_RE33!$N$7:$N$874,I7,BS_RE33!$P$7:$P$874,'30 days CF Table(EUR)'!G7,BS_RE33!$F$7:$F$874,'30 days CF Table(EUR)'!$C$2)</f>
        <v>0</v>
      </c>
      <c r="AE7" s="337">
        <f>SUMIFS(BS_RE33!$H$7:$H$874,BS_RE33!$S$7:$S$874,$AE$2,BS_RE33!$N$7:$N$874,I7,BS_RE33!$P$7:$P$874,'30 days CF Table(EUR)'!G7,BS_RE33!$F$7:$F$874,'30 days CF Table(EUR)'!$C$2)</f>
        <v>0</v>
      </c>
      <c r="AF7" s="337">
        <f>SUMIFS(BS_RE33!$H$7:$H$874,BS_RE33!$S$7:$S$874,$AF$2,BS_RE33!$N$7:$N$874,I7,BS_RE33!$P$7:$P$874,'30 days CF Table(EUR)'!G7,BS_RE33!$F$7:$F$874,'30 days CF Table(EUR)'!$C$2)</f>
        <v>0</v>
      </c>
      <c r="AG7" s="337">
        <f>SUMIFS(BS_RE33!$H$7:$H$874,BS_RE33!$S$7:$S$874,$AG$2,BS_RE33!$N$7:$N$874,I7,BS_RE33!$P$7:$P$874,'30 days CF Table(EUR)'!G7,BS_RE33!$F$7:$F$874,'30 days CF Table(EUR)'!$C$2)</f>
        <v>0</v>
      </c>
      <c r="AH7" s="337">
        <f>SUMIFS(BS_RE33!$H$7:$H$874,BS_RE33!$S$7:$S$874,$AH$2,BS_RE33!$N$7:$N$874,I7,BS_RE33!$P$7:$P$874,'30 days CF Table(EUR)'!G7,BS_RE33!$F$7:$F$874,'30 days CF Table(EUR)'!$C$2)</f>
        <v>0</v>
      </c>
      <c r="AI7" s="337">
        <f>SUMIFS(BS_RE33!$H$7:$H$874,BS_RE33!$S$7:$S$874,$AI$2,BS_RE33!$N$7:$N$874,I7,BS_RE33!$P$7:$P$874,'30 days CF Table(EUR)'!G7,BS_RE33!$F$7:$F$874,'30 days CF Table(EUR)'!$C$2)</f>
        <v>0</v>
      </c>
      <c r="AJ7" s="337">
        <f>SUMIFS(BS_RE33!$H$7:$H$874,BS_RE33!$S$7:$S$874,$AJ$2,BS_RE33!$N$7:$N$874,I7,BS_RE33!$P$7:$P$874,'30 days CF Table(EUR)'!G7,BS_RE33!$F$7:$F$874,'30 days CF Table(EUR)'!$C$2)</f>
        <v>0</v>
      </c>
      <c r="AK7" s="337">
        <f>SUMIFS(BS_RE33!$H$7:$H$874,BS_RE33!$S$7:$S$874,$AK$2,BS_RE33!$N$7:$N$874,I7,BS_RE33!$P$7:$P$874,'30 days CF Table(EUR)'!G7,BS_RE33!$F$7:$F$874,'30 days CF Table(EUR)'!$C$2)</f>
        <v>0</v>
      </c>
      <c r="AL7" s="337">
        <f>SUMIFS(BS_RE33!$H$7:$H$874,BS_RE33!$S$7:$S$874,$AL$2,BS_RE33!$N$7:$N$874,I7,BS_RE33!$P$7:$P$874,'30 days CF Table(EUR)'!G7,BS_RE33!$F$7:$F$874,'30 days CF Table(EUR)'!$C$2)</f>
        <v>0</v>
      </c>
      <c r="AM7" s="337">
        <f>SUMIFS(BS_RE33!$H$7:$H$874,BS_RE33!$S$7:$S$874,$AM$2,BS_RE33!$N$7:$N$874,I7,BS_RE33!$P$7:$P$874,'30 days CF Table(EUR)'!G7,BS_RE33!$F$7:$F$874,'30 days CF Table(EUR)'!$C$2)</f>
        <v>0</v>
      </c>
      <c r="AN7" s="337">
        <f>SUMIFS(BS_RE33!$H$7:$H$874,BS_RE33!$S$7:$S$874,$AN$2,BS_RE33!$N$7:$N$874,I7,BS_RE33!$P$7:$P$874,'30 days CF Table(EUR)'!G7,BS_RE33!$F$7:$F$874,'30 days CF Table(EUR)'!$C$2)</f>
        <v>0</v>
      </c>
      <c r="AO7" s="337">
        <f>SUMIFS(BS_RE33!$H$7:$H$874,BS_RE33!$S$7:$S$874,$AO$2,BS_RE33!$N$7:$N$874,I7,BS_RE33!$P$7:$P$874,'30 days CF Table(EUR)'!G7,BS_RE33!$F$7:$F$874,'30 days CF Table(EUR)'!$C$2)</f>
        <v>0</v>
      </c>
      <c r="AP7" s="338">
        <f>SUMIFS(BS_RE33!$H$7:$H$874,BS_RE33!$S$7:$S$874,$AP$2,BS_RE33!$N$7:$N$874,I7,BS_RE33!$P$7:$P$874,'30 days CF Table(EUR)'!G7,BS_RE33!$F$7:$F$874,'30 days CF Table(EUR)'!$C$2)</f>
        <v>0</v>
      </c>
      <c r="AQ7" s="545"/>
      <c r="AR7" s="379">
        <f>SUMIFS(BS_RE33!$H$7:$H$874,BS_RE33!$S$7:$S$874,$AR$2,BS_RE33!$N$7:$N$874,I7,BS_RE33!$P$7:$P$874,'30 days CF Table(EUR)'!G7,BS_RE33!$F$7:$F$874,'30 days CF Table(EUR)'!$C$2)</f>
        <v>0</v>
      </c>
      <c r="AS7" s="379">
        <f>SUMIFS(BS_RE33!$H$7:$H$874,BS_RE33!$S$7:$S$874,$AS$2,BS_RE33!$N$7:$N$874,I7,BS_RE33!$P$7:$P$874,'30 days CF Table(EUR)'!G7,BS_RE33!$F$7:$F$874,'30 days CF Table(EUR)'!$C$2)</f>
        <v>0</v>
      </c>
      <c r="AT7" s="379">
        <f>SUMIFS(BS_RE33!$H$7:$H$874,BS_RE33!$S$7:$S$874,$AT$2,BS_RE33!$N$7:$N$874,I7,BS_RE33!$P$7:$P$874,'30 days CF Table(EUR)'!G7,BS_RE33!$F$7:$F$874,'30 days CF Table(EUR)'!$C$2)</f>
        <v>0</v>
      </c>
      <c r="AU7" s="379">
        <f>SUMIFS(BS_RE33!$H$7:$H$874,BS_RE33!$S$7:$S$874,$AU$2,BS_RE33!$N$7:$N$874,I7,BS_RE33!$P$7:$P$874,'30 days CF Table(EUR)'!G7,BS_RE33!$F$7:$F$874,'30 days CF Table(EUR)'!$C$2)</f>
        <v>0</v>
      </c>
      <c r="AV7" s="379">
        <f>SUMIFS(BS_RE33!$H$7:$H$874,BS_RE33!$S$7:$S$874,$AV$2,BS_RE33!$N$7:$N$874,I7,BS_RE33!$P$7:$P$874,'30 days CF Table(EUR)'!G7,BS_RE33!$F$7:$F$874,'30 days CF Table(EUR)'!$C$2)</f>
        <v>0</v>
      </c>
      <c r="AW7" s="379">
        <f>SUMIFS(BS_RE33!$H$7:$H$874,BS_RE33!$S$7:$S$874,$AW$2,BS_RE33!$N$7:$N$874,I7,BS_RE33!$P$7:$P$874,'30 days CF Table(EUR)'!G7,BS_RE33!$F$7:$F$874,'30 days CF Table(EUR)'!$C$2)</f>
        <v>0</v>
      </c>
      <c r="AX7" s="379">
        <f>SUMIFS(BS_RE33!$H$7:$H$874,BS_RE33!$S$7:$S$874,$AX$2,BS_RE33!$N$7:$N$874,I7,BS_RE33!$P$7:$P$874,'30 days CF Table(EUR)'!G7,BS_RE33!$F$7:$F$874,'30 days CF Table(EUR)'!$C$2)</f>
        <v>0</v>
      </c>
      <c r="AY7" s="379">
        <f>SUMIFS(BS_RE33!$H$7:$H$874,BS_RE33!$S$7:$S$874,$AY$2,BS_RE33!$N$7:$N$874,I7,BS_RE33!$P$7:$P$874,'30 days CF Table(EUR)'!G7,BS_RE33!$F$7:$F$874,'30 days CF Table(EUR)'!$C$2)</f>
        <v>0</v>
      </c>
      <c r="AZ7" s="379">
        <f>SUMIFS(BS_RE33!$H$7:$H$874,BS_RE33!$S$7:$S$874,$AZ$2,BS_RE33!$N$7:$N$874,I7,BS_RE33!$P$7:$P$874,'30 days CF Table(EUR)'!G7,BS_RE33!$F$7:$F$874,'30 days CF Table(EUR)'!$C$2)</f>
        <v>0</v>
      </c>
      <c r="BA7" s="379">
        <f>SUMIFS(BS_RE33!$H$7:$H$874,BS_RE33!$S$7:$S$874,$BA$2,BS_RE33!$N$7:$N$874,I7,BS_RE33!$P$7:$P$874,'30 days CF Table(EUR)'!G7,BS_RE33!$F$7:$F$874,'30 days CF Table(EUR)'!$C$2)</f>
        <v>0</v>
      </c>
      <c r="BB7" s="379">
        <f>SUMIFS(BS_RE33!$H$7:$H$874,BS_RE33!$S$7:$S$874,$BB$2,BS_RE33!$N$7:$N$874,I7,BS_RE33!$P$7:$P$874,'30 days CF Table(EUR)'!G7,BS_RE33!$F$7:$F$874,'30 days CF Table(EUR)'!$C$2)</f>
        <v>0</v>
      </c>
      <c r="BC7" s="379">
        <f>SUMIFS(BS_RE33!$H$7:$H$874,BS_RE33!$S$7:$S$874,$BC$2,BS_RE33!$N$7:$N$874,I7,BS_RE33!$P$7:$P$874,'30 days CF Table(EUR)'!G7,BS_RE33!$F$7:$F$874,'30 days CF Table(EUR)'!$C$2)</f>
        <v>0</v>
      </c>
      <c r="BD7" s="379">
        <f>SUMIFS(BS_RE33!$H$7:$H$874,BS_RE33!$S$7:$S$874,$BD$2,BS_RE33!$N$7:$N$874,I7,BS_RE33!$P$7:$P$874,'30 days CF Table(EUR)'!G7,BS_RE33!$F$7:$F$874,'30 days CF Table(EUR)'!$C$2)</f>
        <v>0</v>
      </c>
      <c r="BE7" s="379">
        <f>SUMIFS(BS_RE33!$H$7:$H$874,BS_RE33!$S$7:$S$874,$BE$2,BS_RE33!$N$7:$N$874,I7,BS_RE33!$P$7:$P$874,'30 days CF Table(EUR)'!G7,BS_RE33!$F$7:$F$874,'30 days CF Table(EUR)'!$C$2)</f>
        <v>0</v>
      </c>
      <c r="BF7" s="379">
        <f>SUMIFS(BS_RE33!$H$7:$H$874,BS_RE33!$S$7:$S$874,$BF$2,BS_RE33!$N$7:$N$874,I7,BS_RE33!$P$7:$P$874,'30 days CF Table(EUR)'!G7,BS_RE33!$F$7:$F$874,'30 days CF Table(EUR)'!$C$2)</f>
        <v>0</v>
      </c>
      <c r="BG7" s="379">
        <f>SUMIFS(BS_RE33!$H$7:$H$874,BS_RE33!$S$7:$S$874,$BG$2,BS_RE33!$N$7:$N$874,I7,BS_RE33!$P$7:$P$874,'30 days CF Table(EUR)'!G7,BS_RE33!$F$7:$F$874,'30 days CF Table(EUR)'!$C$2)</f>
        <v>0</v>
      </c>
      <c r="BH7" s="379">
        <f>SUMIFS(BS_RE33!$H$7:$H$874,BS_RE33!$S$7:$S$874,$BH$2,BS_RE33!$N$7:$N$874,I7,BS_RE33!$P$7:$P$874,'30 days CF Table(EUR)'!G7,BS_RE33!$F$7:$F$874,'30 days CF Table(EUR)'!$C$2)</f>
        <v>0</v>
      </c>
      <c r="BI7" s="379">
        <f>SUMIFS(BS_RE33!$H$7:$H$874,BS_RE33!$S$7:$S$874,$BI$2,BS_RE33!$N$7:$N$874,I7,BS_RE33!$P$7:$P$874,'30 days CF Table(EUR)'!G7,BS_RE33!$F$7:$F$874,'30 days CF Table(EUR)'!$C$2)</f>
        <v>0</v>
      </c>
      <c r="BJ7" s="379">
        <f>SUMIFS(BS_RE33!$H$7:$H$874,BS_RE33!$S$7:$S$874,$BJ$2,BS_RE33!$N$7:$N$874,I7,BS_RE33!$P$7:$P$874,'30 days CF Table(EUR)'!G7,BS_RE33!$F$7:$F$874,'30 days CF Table(EUR)'!$C$2)</f>
        <v>0</v>
      </c>
      <c r="BK7" s="379">
        <f>SUMIFS(BS_RE33!$H$7:$H$874,BS_RE33!$S$7:$S$874,$BK$2,BS_RE33!$N$7:$N$874,I7,BS_RE33!$P$7:$P$874,'30 days CF Table(EUR)'!G7,BS_RE33!$F$7:$F$874,'30 days CF Table(EUR)'!$C$2)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Table(EUR)'!G8,BS_RE33!$F$7:$F$874,'30 days CF Table(EUR)'!$C$2)</f>
        <v>0</v>
      </c>
      <c r="M8" s="337">
        <f>SUMIFS(BS_RE33!$H$7:$H$874,BS_RE33!$S$7:$S$874,$M$2,BS_RE33!$N$7:$N$874,I8,BS_RE33!$P$7:$P$874,'30 days CF Table(EUR)'!G8,BS_RE33!$F$7:$F$874,'30 days CF Table(EUR)'!$C$2)</f>
        <v>0</v>
      </c>
      <c r="N8" s="337">
        <f>SUMIFS(BS_RE33!$H$7:$H$874,BS_RE33!$S$7:$S$874,$N$2,BS_RE33!$N$7:$N$874,I8,BS_RE33!$P$7:$P$874,'30 days CF Table(EUR)'!G8,BS_RE33!$F$7:$F$874,'30 days CF Table(EUR)'!$C$2)</f>
        <v>0</v>
      </c>
      <c r="O8" s="337">
        <f>SUMIFS(BS_RE33!$H$7:$H$874,BS_RE33!$S$7:$S$874,$O$2,BS_RE33!$N$7:$N$874,I8,BS_RE33!$P$7:$P$874,'30 days CF Table(EUR)'!G8,BS_RE33!$F$7:$F$874,'30 days CF Table(EUR)'!$C$2)</f>
        <v>0</v>
      </c>
      <c r="P8" s="337">
        <f>SUMIFS(BS_RE33!$H$7:$H$874,BS_RE33!$S$7:$S$874,$P$2,BS_RE33!$N$7:$N$874,I8,BS_RE33!$P$7:$P$874,'30 days CF Table(EUR)'!G8,BS_RE33!$F$7:$F$874,'30 days CF Table(EUR)'!$C$2)</f>
        <v>0</v>
      </c>
      <c r="Q8" s="337">
        <f>SUMIFS(BS_RE33!$H$7:$H$874,BS_RE33!$S$7:$S$874,$Q$2,BS_RE33!$N$7:$N$874,I8,BS_RE33!$P$7:$P$874,'30 days CF Table(EUR)'!G8,BS_RE33!$F$7:$F$874,'30 days CF Table(EUR)'!$C$2)</f>
        <v>0</v>
      </c>
      <c r="R8" s="337">
        <f>SUMIFS(BS_RE33!$H$7:$H$874,BS_RE33!$S$7:$S$874,$R$2,BS_RE33!$N$7:$N$874,I8,BS_RE33!$P$7:$P$874,'30 days CF Table(EUR)'!G8,BS_RE33!$F$7:$F$874,'30 days CF Table(EUR)'!$C$2)</f>
        <v>0</v>
      </c>
      <c r="S8" s="337">
        <f>SUMIFS(BS_RE33!$H$7:$H$874,BS_RE33!$S$7:$S$874,$S$2,BS_RE33!$N$7:$N$874,I8,BS_RE33!$P$7:$P$874,'30 days CF Table(EUR)'!G8,BS_RE33!$F$7:$F$874,'30 days CF Table(EUR)'!$C$2)</f>
        <v>0</v>
      </c>
      <c r="T8" s="337">
        <f>SUMIFS(BS_RE33!$H$7:$H$874,BS_RE33!$S$7:$S$874,$T$2,BS_RE33!$N$7:$N$874,I8,BS_RE33!$P$7:$P$874,'30 days CF Table(EUR)'!G8,BS_RE33!$F$7:$F$874,'30 days CF Table(EUR)'!$C$2)</f>
        <v>0</v>
      </c>
      <c r="U8" s="337">
        <f>SUMIFS(BS_RE33!$H$7:$H$874,BS_RE33!$S$7:$S$874,$U$2,BS_RE33!$N$7:$N$874,I8,BS_RE33!$P$7:$P$874,'30 days CF Table(EUR)'!G8,BS_RE33!$F$7:$F$874,'30 days CF Table(EUR)'!$C$2)</f>
        <v>0</v>
      </c>
      <c r="V8" s="337">
        <f>SUMIFS(BS_RE33!$H$7:$H$874,BS_RE33!$S$7:$S$874,$V$2,BS_RE33!$N$7:$N$874,I8,BS_RE33!$P$7:$P$874,'30 days CF Table(EUR)'!G8,BS_RE33!$F$7:$F$874,'30 days CF Table(EUR)'!$C$2)</f>
        <v>0</v>
      </c>
      <c r="W8" s="337">
        <f>SUMIFS(BS_RE33!$H$7:$H$874,BS_RE33!$S$7:$S$874,$W$2,BS_RE33!$N$7:$N$874,I8,BS_RE33!$P$7:$P$874,'30 days CF Table(EUR)'!G8,BS_RE33!$F$7:$F$874,'30 days CF Table(EUR)'!$C$2)</f>
        <v>0</v>
      </c>
      <c r="X8" s="337">
        <f>SUMIFS(BS_RE33!$H$7:$H$874,BS_RE33!$S$7:$S$874,$X$2,BS_RE33!$N$7:$N$874,I8,BS_RE33!$P$7:$P$874,'30 days CF Table(EUR)'!G8,BS_RE33!$F$7:$F$874,'30 days CF Table(EUR)'!$C$2)</f>
        <v>0</v>
      </c>
      <c r="Y8" s="337">
        <f>SUMIFS(BS_RE33!$H$7:$H$874,BS_RE33!$S$7:$S$874,$Y$2,BS_RE33!$N$7:$N$874,I8,BS_RE33!$P$7:$P$874,'30 days CF Table(EUR)'!G8,BS_RE33!$F$7:$F$874,'30 days CF Table(EUR)'!$C$2)</f>
        <v>0</v>
      </c>
      <c r="Z8" s="337">
        <f>SUMIFS(BS_RE33!$H$7:$H$874,BS_RE33!$S$7:$S$874,$Z$2,BS_RE33!$N$7:$N$874,I8,BS_RE33!$P$7:$P$874,'30 days CF Table(EUR)'!G8,BS_RE33!$F$7:$F$874,'30 days CF Table(EUR)'!$C$2)</f>
        <v>0</v>
      </c>
      <c r="AA8" s="337">
        <f>SUMIFS(BS_RE33!$H$7:$H$874,BS_RE33!$S$7:$S$874,$AA$2,BS_RE33!$N$7:$N$874,I8,BS_RE33!$P$7:$P$874,'30 days CF Table(EUR)'!G8,BS_RE33!$F$7:$F$874,'30 days CF Table(EUR)'!$C$2)</f>
        <v>0</v>
      </c>
      <c r="AB8" s="337">
        <f>SUMIFS(BS_RE33!$H$7:$H$874,BS_RE33!$S$7:$S$874,$AB$2,BS_RE33!$N$7:$N$874,I8,BS_RE33!$P$7:$P$874,'30 days CF Table(EUR)'!G8,BS_RE33!$F$7:$F$874,'30 days CF Table(EUR)'!$C$2)</f>
        <v>0</v>
      </c>
      <c r="AC8" s="337">
        <f>SUMIFS(BS_RE33!$H$7:$H$874,BS_RE33!$S$7:$S$874,$AC$2,BS_RE33!$N$7:$N$874,I8,BS_RE33!$P$7:$P$874,'30 days CF Table(EUR)'!G8,BS_RE33!$F$7:$F$874,'30 days CF Table(EUR)'!$C$2)</f>
        <v>0</v>
      </c>
      <c r="AD8" s="337">
        <f>SUMIFS(BS_RE33!$H$7:$H$874,BS_RE33!$S$7:$S$874,$AD$2,BS_RE33!$N$7:$N$874,I8,BS_RE33!$P$7:$P$874,'30 days CF Table(EUR)'!G8,BS_RE33!$F$7:$F$874,'30 days CF Table(EUR)'!$C$2)</f>
        <v>0</v>
      </c>
      <c r="AE8" s="337">
        <f>SUMIFS(BS_RE33!$H$7:$H$874,BS_RE33!$S$7:$S$874,$AE$2,BS_RE33!$N$7:$N$874,I8,BS_RE33!$P$7:$P$874,'30 days CF Table(EUR)'!G8,BS_RE33!$F$7:$F$874,'30 days CF Table(EUR)'!$C$2)</f>
        <v>0</v>
      </c>
      <c r="AF8" s="337">
        <f>SUMIFS(BS_RE33!$H$7:$H$874,BS_RE33!$S$7:$S$874,$AF$2,BS_RE33!$N$7:$N$874,I8,BS_RE33!$P$7:$P$874,'30 days CF Table(EUR)'!G8,BS_RE33!$F$7:$F$874,'30 days CF Table(EUR)'!$C$2)</f>
        <v>0</v>
      </c>
      <c r="AG8" s="337">
        <f>SUMIFS(BS_RE33!$H$7:$H$874,BS_RE33!$S$7:$S$874,$AG$2,BS_RE33!$N$7:$N$874,I8,BS_RE33!$P$7:$P$874,'30 days CF Table(EUR)'!G8,BS_RE33!$F$7:$F$874,'30 days CF Table(EUR)'!$C$2)</f>
        <v>0</v>
      </c>
      <c r="AH8" s="337">
        <f>SUMIFS(BS_RE33!$H$7:$H$874,BS_RE33!$S$7:$S$874,$AH$2,BS_RE33!$N$7:$N$874,I8,BS_RE33!$P$7:$P$874,'30 days CF Table(EUR)'!G8,BS_RE33!$F$7:$F$874,'30 days CF Table(EUR)'!$C$2)</f>
        <v>0</v>
      </c>
      <c r="AI8" s="337">
        <f>SUMIFS(BS_RE33!$H$7:$H$874,BS_RE33!$S$7:$S$874,$AI$2,BS_RE33!$N$7:$N$874,I8,BS_RE33!$P$7:$P$874,'30 days CF Table(EUR)'!G8,BS_RE33!$F$7:$F$874,'30 days CF Table(EUR)'!$C$2)</f>
        <v>0</v>
      </c>
      <c r="AJ8" s="337">
        <f>SUMIFS(BS_RE33!$H$7:$H$874,BS_RE33!$S$7:$S$874,$AJ$2,BS_RE33!$N$7:$N$874,I8,BS_RE33!$P$7:$P$874,'30 days CF Table(EUR)'!G8,BS_RE33!$F$7:$F$874,'30 days CF Table(EUR)'!$C$2)</f>
        <v>0</v>
      </c>
      <c r="AK8" s="337">
        <f>SUMIFS(BS_RE33!$H$7:$H$874,BS_RE33!$S$7:$S$874,$AK$2,BS_RE33!$N$7:$N$874,I8,BS_RE33!$P$7:$P$874,'30 days CF Table(EUR)'!G8,BS_RE33!$F$7:$F$874,'30 days CF Table(EUR)'!$C$2)</f>
        <v>0</v>
      </c>
      <c r="AL8" s="337">
        <f>SUMIFS(BS_RE33!$H$7:$H$874,BS_RE33!$S$7:$S$874,$AL$2,BS_RE33!$N$7:$N$874,I8,BS_RE33!$P$7:$P$874,'30 days CF Table(EUR)'!G8,BS_RE33!$F$7:$F$874,'30 days CF Table(EUR)'!$C$2)</f>
        <v>0</v>
      </c>
      <c r="AM8" s="337">
        <f>SUMIFS(BS_RE33!$H$7:$H$874,BS_RE33!$S$7:$S$874,$AM$2,BS_RE33!$N$7:$N$874,I8,BS_RE33!$P$7:$P$874,'30 days CF Table(EUR)'!G8,BS_RE33!$F$7:$F$874,'30 days CF Table(EUR)'!$C$2)</f>
        <v>0</v>
      </c>
      <c r="AN8" s="337">
        <f>SUMIFS(BS_RE33!$H$7:$H$874,BS_RE33!$S$7:$S$874,$AN$2,BS_RE33!$N$7:$N$874,I8,BS_RE33!$P$7:$P$874,'30 days CF Table(EUR)'!G8,BS_RE33!$F$7:$F$874,'30 days CF Table(EUR)'!$C$2)</f>
        <v>0</v>
      </c>
      <c r="AO8" s="337">
        <f>SUMIFS(BS_RE33!$H$7:$H$874,BS_RE33!$S$7:$S$874,$AO$2,BS_RE33!$N$7:$N$874,I8,BS_RE33!$P$7:$P$874,'30 days CF Table(EUR)'!G8,BS_RE33!$F$7:$F$874,'30 days CF Table(EUR)'!$C$2)</f>
        <v>0</v>
      </c>
      <c r="AP8" s="338">
        <f>SUMIFS(BS_RE33!$H$7:$H$874,BS_RE33!$S$7:$S$874,$AP$2,BS_RE33!$N$7:$N$874,I8,BS_RE33!$P$7:$P$874,'30 days CF Table(EUR)'!G8,BS_RE33!$F$7:$F$874,'30 days CF Table(EUR)'!$C$2)</f>
        <v>0</v>
      </c>
      <c r="AQ8" s="545"/>
      <c r="AR8" s="379">
        <f>SUMIFS(BS_RE33!$H$7:$H$874,BS_RE33!$S$7:$S$874,$AR$2,BS_RE33!$N$7:$N$874,I8,BS_RE33!$P$7:$P$874,'30 days CF Table(EUR)'!G8,BS_RE33!$F$7:$F$874,'30 days CF Table(EUR)'!$C$2)</f>
        <v>0</v>
      </c>
      <c r="AS8" s="379">
        <f>SUMIFS(BS_RE33!$H$7:$H$874,BS_RE33!$S$7:$S$874,$AS$2,BS_RE33!$N$7:$N$874,I8,BS_RE33!$P$7:$P$874,'30 days CF Table(EUR)'!G8,BS_RE33!$F$7:$F$874,'30 days CF Table(EUR)'!$C$2)</f>
        <v>0</v>
      </c>
      <c r="AT8" s="379">
        <f>SUMIFS(BS_RE33!$H$7:$H$874,BS_RE33!$S$7:$S$874,$AT$2,BS_RE33!$N$7:$N$874,I8,BS_RE33!$P$7:$P$874,'30 days CF Table(EUR)'!G8,BS_RE33!$F$7:$F$874,'30 days CF Table(EUR)'!$C$2)</f>
        <v>0</v>
      </c>
      <c r="AU8" s="379">
        <f>SUMIFS(BS_RE33!$H$7:$H$874,BS_RE33!$S$7:$S$874,$AU$2,BS_RE33!$N$7:$N$874,I8,BS_RE33!$P$7:$P$874,'30 days CF Table(EUR)'!G8,BS_RE33!$F$7:$F$874,'30 days CF Table(EUR)'!$C$2)</f>
        <v>0</v>
      </c>
      <c r="AV8" s="379">
        <f>SUMIFS(BS_RE33!$H$7:$H$874,BS_RE33!$S$7:$S$874,$AV$2,BS_RE33!$N$7:$N$874,I8,BS_RE33!$P$7:$P$874,'30 days CF Table(EUR)'!G8,BS_RE33!$F$7:$F$874,'30 days CF Table(EUR)'!$C$2)</f>
        <v>0</v>
      </c>
      <c r="AW8" s="379">
        <f>SUMIFS(BS_RE33!$H$7:$H$874,BS_RE33!$S$7:$S$874,$AW$2,BS_RE33!$N$7:$N$874,I8,BS_RE33!$P$7:$P$874,'30 days CF Table(EUR)'!G8,BS_RE33!$F$7:$F$874,'30 days CF Table(EUR)'!$C$2)</f>
        <v>0</v>
      </c>
      <c r="AX8" s="379">
        <f>SUMIFS(BS_RE33!$H$7:$H$874,BS_RE33!$S$7:$S$874,$AX$2,BS_RE33!$N$7:$N$874,I8,BS_RE33!$P$7:$P$874,'30 days CF Table(EUR)'!G8,BS_RE33!$F$7:$F$874,'30 days CF Table(EUR)'!$C$2)</f>
        <v>0</v>
      </c>
      <c r="AY8" s="379">
        <f>SUMIFS(BS_RE33!$H$7:$H$874,BS_RE33!$S$7:$S$874,$AY$2,BS_RE33!$N$7:$N$874,I8,BS_RE33!$P$7:$P$874,'30 days CF Table(EUR)'!G8,BS_RE33!$F$7:$F$874,'30 days CF Table(EUR)'!$C$2)</f>
        <v>0</v>
      </c>
      <c r="AZ8" s="379">
        <f>SUMIFS(BS_RE33!$H$7:$H$874,BS_RE33!$S$7:$S$874,$AZ$2,BS_RE33!$N$7:$N$874,I8,BS_RE33!$P$7:$P$874,'30 days CF Table(EUR)'!G8,BS_RE33!$F$7:$F$874,'30 days CF Table(EUR)'!$C$2)</f>
        <v>0</v>
      </c>
      <c r="BA8" s="379">
        <f>SUMIFS(BS_RE33!$H$7:$H$874,BS_RE33!$S$7:$S$874,$BA$2,BS_RE33!$N$7:$N$874,I8,BS_RE33!$P$7:$P$874,'30 days CF Table(EUR)'!G8,BS_RE33!$F$7:$F$874,'30 days CF Table(EUR)'!$C$2)</f>
        <v>0</v>
      </c>
      <c r="BB8" s="379">
        <f>SUMIFS(BS_RE33!$H$7:$H$874,BS_RE33!$S$7:$S$874,$BB$2,BS_RE33!$N$7:$N$874,I8,BS_RE33!$P$7:$P$874,'30 days CF Table(EUR)'!G8,BS_RE33!$F$7:$F$874,'30 days CF Table(EUR)'!$C$2)</f>
        <v>0</v>
      </c>
      <c r="BC8" s="379">
        <f>SUMIFS(BS_RE33!$H$7:$H$874,BS_RE33!$S$7:$S$874,$BC$2,BS_RE33!$N$7:$N$874,I8,BS_RE33!$P$7:$P$874,'30 days CF Table(EUR)'!G8,BS_RE33!$F$7:$F$874,'30 days CF Table(EUR)'!$C$2)</f>
        <v>0</v>
      </c>
      <c r="BD8" s="379">
        <f>SUMIFS(BS_RE33!$H$7:$H$874,BS_RE33!$S$7:$S$874,$BD$2,BS_RE33!$N$7:$N$874,I8,BS_RE33!$P$7:$P$874,'30 days CF Table(EUR)'!G8,BS_RE33!$F$7:$F$874,'30 days CF Table(EUR)'!$C$2)</f>
        <v>0</v>
      </c>
      <c r="BE8" s="379">
        <f>SUMIFS(BS_RE33!$H$7:$H$874,BS_RE33!$S$7:$S$874,$BE$2,BS_RE33!$N$7:$N$874,I8,BS_RE33!$P$7:$P$874,'30 days CF Table(EUR)'!G8,BS_RE33!$F$7:$F$874,'30 days CF Table(EUR)'!$C$2)</f>
        <v>0</v>
      </c>
      <c r="BF8" s="379">
        <f>SUMIFS(BS_RE33!$H$7:$H$874,BS_RE33!$S$7:$S$874,$BF$2,BS_RE33!$N$7:$N$874,I8,BS_RE33!$P$7:$P$874,'30 days CF Table(EUR)'!G8,BS_RE33!$F$7:$F$874,'30 days CF Table(EUR)'!$C$2)</f>
        <v>0</v>
      </c>
      <c r="BG8" s="379">
        <f>SUMIFS(BS_RE33!$H$7:$H$874,BS_RE33!$S$7:$S$874,$BG$2,BS_RE33!$N$7:$N$874,I8,BS_RE33!$P$7:$P$874,'30 days CF Table(EUR)'!G8,BS_RE33!$F$7:$F$874,'30 days CF Table(EUR)'!$C$2)</f>
        <v>0</v>
      </c>
      <c r="BH8" s="379">
        <f>SUMIFS(BS_RE33!$H$7:$H$874,BS_RE33!$S$7:$S$874,$BH$2,BS_RE33!$N$7:$N$874,I8,BS_RE33!$P$7:$P$874,'30 days CF Table(EUR)'!G8,BS_RE33!$F$7:$F$874,'30 days CF Table(EUR)'!$C$2)</f>
        <v>0</v>
      </c>
      <c r="BI8" s="379">
        <f>SUMIFS(BS_RE33!$H$7:$H$874,BS_RE33!$S$7:$S$874,$BI$2,BS_RE33!$N$7:$N$874,I8,BS_RE33!$P$7:$P$874,'30 days CF Table(EUR)'!G8,BS_RE33!$F$7:$F$874,'30 days CF Table(EUR)'!$C$2)</f>
        <v>0</v>
      </c>
      <c r="BJ8" s="379">
        <f>SUMIFS(BS_RE33!$H$7:$H$874,BS_RE33!$S$7:$S$874,$BJ$2,BS_RE33!$N$7:$N$874,I8,BS_RE33!$P$7:$P$874,'30 days CF Table(EUR)'!G8,BS_RE33!$F$7:$F$874,'30 days CF Table(EUR)'!$C$2)</f>
        <v>0</v>
      </c>
      <c r="BK8" s="379">
        <f>SUMIFS(BS_RE33!$H$7:$H$874,BS_RE33!$S$7:$S$874,$BK$2,BS_RE33!$N$7:$N$874,I8,BS_RE33!$P$7:$P$874,'30 days CF Table(EUR)'!G8,BS_RE33!$F$7:$F$874,'30 days CF Table(EUR)'!$C$2)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Table(EUR)'!G9,BS_RE33!$F$7:$F$874,'30 days CF Table(EUR)'!$C$2)</f>
        <v>0</v>
      </c>
      <c r="M9" s="337">
        <f>SUMIFS(BS_RE33!$H$7:$H$874,BS_RE33!$S$7:$S$874,$M$2,BS_RE33!$N$7:$N$874,I9,BS_RE33!$P$7:$P$874,'30 days CF Table(EUR)'!G9,BS_RE33!$F$7:$F$874,'30 days CF Table(EUR)'!$C$2)</f>
        <v>0</v>
      </c>
      <c r="N9" s="337">
        <f>SUMIFS(BS_RE33!$H$7:$H$874,BS_RE33!$S$7:$S$874,$N$2,BS_RE33!$N$7:$N$874,I9,BS_RE33!$P$7:$P$874,'30 days CF Table(EUR)'!G9,BS_RE33!$F$7:$F$874,'30 days CF Table(EUR)'!$C$2)</f>
        <v>0</v>
      </c>
      <c r="O9" s="337">
        <f>SUMIFS(BS_RE33!$H$7:$H$874,BS_RE33!$S$7:$S$874,$O$2,BS_RE33!$N$7:$N$874,I9,BS_RE33!$P$7:$P$874,'30 days CF Table(EUR)'!G9,BS_RE33!$F$7:$F$874,'30 days CF Table(EUR)'!$C$2)</f>
        <v>0</v>
      </c>
      <c r="P9" s="337">
        <f>SUMIFS(BS_RE33!$H$7:$H$874,BS_RE33!$S$7:$S$874,$P$2,BS_RE33!$N$7:$N$874,I9,BS_RE33!$P$7:$P$874,'30 days CF Table(EUR)'!G9,BS_RE33!$F$7:$F$874,'30 days CF Table(EUR)'!$C$2)</f>
        <v>0</v>
      </c>
      <c r="Q9" s="337">
        <f>SUMIFS(BS_RE33!$H$7:$H$874,BS_RE33!$S$7:$S$874,$Q$2,BS_RE33!$N$7:$N$874,I9,BS_RE33!$P$7:$P$874,'30 days CF Table(EUR)'!G9,BS_RE33!$F$7:$F$874,'30 days CF Table(EUR)'!$C$2)</f>
        <v>0</v>
      </c>
      <c r="R9" s="337">
        <f>SUMIFS(BS_RE33!$H$7:$H$874,BS_RE33!$S$7:$S$874,$R$2,BS_RE33!$N$7:$N$874,I9,BS_RE33!$P$7:$P$874,'30 days CF Table(EUR)'!G9,BS_RE33!$F$7:$F$874,'30 days CF Table(EUR)'!$C$2)</f>
        <v>0</v>
      </c>
      <c r="S9" s="337">
        <f>SUMIFS(BS_RE33!$H$7:$H$874,BS_RE33!$S$7:$S$874,$S$2,BS_RE33!$N$7:$N$874,I9,BS_RE33!$P$7:$P$874,'30 days CF Table(EUR)'!G9,BS_RE33!$F$7:$F$874,'30 days CF Table(EUR)'!$C$2)</f>
        <v>0</v>
      </c>
      <c r="T9" s="337">
        <f>SUMIFS(BS_RE33!$H$7:$H$874,BS_RE33!$S$7:$S$874,$T$2,BS_RE33!$N$7:$N$874,I9,BS_RE33!$P$7:$P$874,'30 days CF Table(EUR)'!G9,BS_RE33!$F$7:$F$874,'30 days CF Table(EUR)'!$C$2)</f>
        <v>0</v>
      </c>
      <c r="U9" s="337">
        <f>SUMIFS(BS_RE33!$H$7:$H$874,BS_RE33!$S$7:$S$874,$U$2,BS_RE33!$N$7:$N$874,I9,BS_RE33!$P$7:$P$874,'30 days CF Table(EUR)'!G9,BS_RE33!$F$7:$F$874,'30 days CF Table(EUR)'!$C$2)</f>
        <v>0</v>
      </c>
      <c r="V9" s="337">
        <f>SUMIFS(BS_RE33!$H$7:$H$874,BS_RE33!$S$7:$S$874,$V$2,BS_RE33!$N$7:$N$874,I9,BS_RE33!$P$7:$P$874,'30 days CF Table(EUR)'!G9,BS_RE33!$F$7:$F$874,'30 days CF Table(EUR)'!$C$2)</f>
        <v>0</v>
      </c>
      <c r="W9" s="337">
        <f>SUMIFS(BS_RE33!$H$7:$H$874,BS_RE33!$S$7:$S$874,$W$2,BS_RE33!$N$7:$N$874,I9,BS_RE33!$P$7:$P$874,'30 days CF Table(EUR)'!G9,BS_RE33!$F$7:$F$874,'30 days CF Table(EUR)'!$C$2)</f>
        <v>0</v>
      </c>
      <c r="X9" s="337">
        <f>SUMIFS(BS_RE33!$H$7:$H$874,BS_RE33!$S$7:$S$874,$X$2,BS_RE33!$N$7:$N$874,I9,BS_RE33!$P$7:$P$874,'30 days CF Table(EUR)'!G9,BS_RE33!$F$7:$F$874,'30 days CF Table(EUR)'!$C$2)</f>
        <v>0</v>
      </c>
      <c r="Y9" s="337">
        <f>SUMIFS(BS_RE33!$H$7:$H$874,BS_RE33!$S$7:$S$874,$Y$2,BS_RE33!$N$7:$N$874,I9,BS_RE33!$P$7:$P$874,'30 days CF Table(EUR)'!G9,BS_RE33!$F$7:$F$874,'30 days CF Table(EUR)'!$C$2)</f>
        <v>0</v>
      </c>
      <c r="Z9" s="337">
        <f>SUMIFS(BS_RE33!$H$7:$H$874,BS_RE33!$S$7:$S$874,$Z$2,BS_RE33!$N$7:$N$874,I9,BS_RE33!$P$7:$P$874,'30 days CF Table(EUR)'!G9,BS_RE33!$F$7:$F$874,'30 days CF Table(EUR)'!$C$2)</f>
        <v>0</v>
      </c>
      <c r="AA9" s="337">
        <f>SUMIFS(BS_RE33!$H$7:$H$874,BS_RE33!$S$7:$S$874,$AA$2,BS_RE33!$N$7:$N$874,I9,BS_RE33!$P$7:$P$874,'30 days CF Table(EUR)'!G9,BS_RE33!$F$7:$F$874,'30 days CF Table(EUR)'!$C$2)</f>
        <v>0</v>
      </c>
      <c r="AB9" s="337">
        <f>SUMIFS(BS_RE33!$H$7:$H$874,BS_RE33!$S$7:$S$874,$AB$2,BS_RE33!$N$7:$N$874,I9,BS_RE33!$P$7:$P$874,'30 days CF Table(EUR)'!G9,BS_RE33!$F$7:$F$874,'30 days CF Table(EUR)'!$C$2)</f>
        <v>0</v>
      </c>
      <c r="AC9" s="337">
        <f>SUMIFS(BS_RE33!$H$7:$H$874,BS_RE33!$S$7:$S$874,$AC$2,BS_RE33!$N$7:$N$874,I9,BS_RE33!$P$7:$P$874,'30 days CF Table(EUR)'!G9,BS_RE33!$F$7:$F$874,'30 days CF Table(EUR)'!$C$2)</f>
        <v>0</v>
      </c>
      <c r="AD9" s="337">
        <f>SUMIFS(BS_RE33!$H$7:$H$874,BS_RE33!$S$7:$S$874,$AD$2,BS_RE33!$N$7:$N$874,I9,BS_RE33!$P$7:$P$874,'30 days CF Table(EUR)'!G9,BS_RE33!$F$7:$F$874,'30 days CF Table(EUR)'!$C$2)</f>
        <v>0</v>
      </c>
      <c r="AE9" s="337">
        <f>SUMIFS(BS_RE33!$H$7:$H$874,BS_RE33!$S$7:$S$874,$AE$2,BS_RE33!$N$7:$N$874,I9,BS_RE33!$P$7:$P$874,'30 days CF Table(EUR)'!G9,BS_RE33!$F$7:$F$874,'30 days CF Table(EUR)'!$C$2)</f>
        <v>0</v>
      </c>
      <c r="AF9" s="337">
        <f>SUMIFS(BS_RE33!$H$7:$H$874,BS_RE33!$S$7:$S$874,$AF$2,BS_RE33!$N$7:$N$874,I9,BS_RE33!$P$7:$P$874,'30 days CF Table(EUR)'!G9,BS_RE33!$F$7:$F$874,'30 days CF Table(EUR)'!$C$2)</f>
        <v>0</v>
      </c>
      <c r="AG9" s="337">
        <f>SUMIFS(BS_RE33!$H$7:$H$874,BS_RE33!$S$7:$S$874,$AG$2,BS_RE33!$N$7:$N$874,I9,BS_RE33!$P$7:$P$874,'30 days CF Table(EUR)'!G9,BS_RE33!$F$7:$F$874,'30 days CF Table(EUR)'!$C$2)</f>
        <v>0</v>
      </c>
      <c r="AH9" s="337">
        <f>SUMIFS(BS_RE33!$H$7:$H$874,BS_RE33!$S$7:$S$874,$AH$2,BS_RE33!$N$7:$N$874,I9,BS_RE33!$P$7:$P$874,'30 days CF Table(EUR)'!G9,BS_RE33!$F$7:$F$874,'30 days CF Table(EUR)'!$C$2)</f>
        <v>0</v>
      </c>
      <c r="AI9" s="337">
        <f>SUMIFS(BS_RE33!$H$7:$H$874,BS_RE33!$S$7:$S$874,$AI$2,BS_RE33!$N$7:$N$874,I9,BS_RE33!$P$7:$P$874,'30 days CF Table(EUR)'!G9,BS_RE33!$F$7:$F$874,'30 days CF Table(EUR)'!$C$2)</f>
        <v>0</v>
      </c>
      <c r="AJ9" s="337">
        <f>SUMIFS(BS_RE33!$H$7:$H$874,BS_RE33!$S$7:$S$874,$AJ$2,BS_RE33!$N$7:$N$874,I9,BS_RE33!$P$7:$P$874,'30 days CF Table(EUR)'!G9,BS_RE33!$F$7:$F$874,'30 days CF Table(EUR)'!$C$2)</f>
        <v>0</v>
      </c>
      <c r="AK9" s="337">
        <f>SUMIFS(BS_RE33!$H$7:$H$874,BS_RE33!$S$7:$S$874,$AK$2,BS_RE33!$N$7:$N$874,I9,BS_RE33!$P$7:$P$874,'30 days CF Table(EUR)'!G9,BS_RE33!$F$7:$F$874,'30 days CF Table(EUR)'!$C$2)</f>
        <v>0</v>
      </c>
      <c r="AL9" s="337">
        <f>SUMIFS(BS_RE33!$H$7:$H$874,BS_RE33!$S$7:$S$874,$AL$2,BS_RE33!$N$7:$N$874,I9,BS_RE33!$P$7:$P$874,'30 days CF Table(EUR)'!G9,BS_RE33!$F$7:$F$874,'30 days CF Table(EUR)'!$C$2)</f>
        <v>0</v>
      </c>
      <c r="AM9" s="337">
        <f>SUMIFS(BS_RE33!$H$7:$H$874,BS_RE33!$S$7:$S$874,$AM$2,BS_RE33!$N$7:$N$874,I9,BS_RE33!$P$7:$P$874,'30 days CF Table(EUR)'!G9,BS_RE33!$F$7:$F$874,'30 days CF Table(EUR)'!$C$2)</f>
        <v>0</v>
      </c>
      <c r="AN9" s="337">
        <f>SUMIFS(BS_RE33!$H$7:$H$874,BS_RE33!$S$7:$S$874,$AN$2,BS_RE33!$N$7:$N$874,I9,BS_RE33!$P$7:$P$874,'30 days CF Table(EUR)'!G9,BS_RE33!$F$7:$F$874,'30 days CF Table(EUR)'!$C$2)</f>
        <v>0</v>
      </c>
      <c r="AO9" s="337">
        <f>SUMIFS(BS_RE33!$H$7:$H$874,BS_RE33!$S$7:$S$874,$AO$2,BS_RE33!$N$7:$N$874,I9,BS_RE33!$P$7:$P$874,'30 days CF Table(EUR)'!G9,BS_RE33!$F$7:$F$874,'30 days CF Table(EUR)'!$C$2)</f>
        <v>0</v>
      </c>
      <c r="AP9" s="338">
        <f>SUMIFS(BS_RE33!$H$7:$H$874,BS_RE33!$S$7:$S$874,$AP$2,BS_RE33!$N$7:$N$874,I9,BS_RE33!$P$7:$P$874,'30 days CF Table(EUR)'!G9,BS_RE33!$F$7:$F$874,'30 days CF Table(EUR)'!$C$2)</f>
        <v>0</v>
      </c>
      <c r="AQ9" s="545"/>
      <c r="AR9" s="379">
        <f>SUMIFS(BS_RE33!$H$7:$H$874,BS_RE33!$S$7:$S$874,$AR$2,BS_RE33!$N$7:$N$874,I9,BS_RE33!$P$7:$P$874,'30 days CF Table(EUR)'!G9,BS_RE33!$F$7:$F$874,'30 days CF Table(EUR)'!$C$2)</f>
        <v>0</v>
      </c>
      <c r="AS9" s="379">
        <f>SUMIFS(BS_RE33!$H$7:$H$874,BS_RE33!$S$7:$S$874,$AS$2,BS_RE33!$N$7:$N$874,I9,BS_RE33!$P$7:$P$874,'30 days CF Table(EUR)'!G9,BS_RE33!$F$7:$F$874,'30 days CF Table(EUR)'!$C$2)</f>
        <v>0</v>
      </c>
      <c r="AT9" s="379">
        <f>SUMIFS(BS_RE33!$H$7:$H$874,BS_RE33!$S$7:$S$874,$AT$2,BS_RE33!$N$7:$N$874,I9,BS_RE33!$P$7:$P$874,'30 days CF Table(EUR)'!G9,BS_RE33!$F$7:$F$874,'30 days CF Table(EUR)'!$C$2)</f>
        <v>0</v>
      </c>
      <c r="AU9" s="379">
        <f>SUMIFS(BS_RE33!$H$7:$H$874,BS_RE33!$S$7:$S$874,$AU$2,BS_RE33!$N$7:$N$874,I9,BS_RE33!$P$7:$P$874,'30 days CF Table(EUR)'!G9,BS_RE33!$F$7:$F$874,'30 days CF Table(EUR)'!$C$2)</f>
        <v>0</v>
      </c>
      <c r="AV9" s="379">
        <f>SUMIFS(BS_RE33!$H$7:$H$874,BS_RE33!$S$7:$S$874,$AV$2,BS_RE33!$N$7:$N$874,I9,BS_RE33!$P$7:$P$874,'30 days CF Table(EUR)'!G9,BS_RE33!$F$7:$F$874,'30 days CF Table(EUR)'!$C$2)</f>
        <v>0</v>
      </c>
      <c r="AW9" s="379">
        <f>SUMIFS(BS_RE33!$H$7:$H$874,BS_RE33!$S$7:$S$874,$AW$2,BS_RE33!$N$7:$N$874,I9,BS_RE33!$P$7:$P$874,'30 days CF Table(EUR)'!G9,BS_RE33!$F$7:$F$874,'30 days CF Table(EUR)'!$C$2)</f>
        <v>0</v>
      </c>
      <c r="AX9" s="379">
        <f>SUMIFS(BS_RE33!$H$7:$H$874,BS_RE33!$S$7:$S$874,$AX$2,BS_RE33!$N$7:$N$874,I9,BS_RE33!$P$7:$P$874,'30 days CF Table(EUR)'!G9,BS_RE33!$F$7:$F$874,'30 days CF Table(EUR)'!$C$2)</f>
        <v>0</v>
      </c>
      <c r="AY9" s="379">
        <f>SUMIFS(BS_RE33!$H$7:$H$874,BS_RE33!$S$7:$S$874,$AY$2,BS_RE33!$N$7:$N$874,I9,BS_RE33!$P$7:$P$874,'30 days CF Table(EUR)'!G9,BS_RE33!$F$7:$F$874,'30 days CF Table(EUR)'!$C$2)</f>
        <v>0</v>
      </c>
      <c r="AZ9" s="379">
        <f>SUMIFS(BS_RE33!$H$7:$H$874,BS_RE33!$S$7:$S$874,$AZ$2,BS_RE33!$N$7:$N$874,I9,BS_RE33!$P$7:$P$874,'30 days CF Table(EUR)'!G9,BS_RE33!$F$7:$F$874,'30 days CF Table(EUR)'!$C$2)</f>
        <v>0</v>
      </c>
      <c r="BA9" s="379">
        <f>SUMIFS(BS_RE33!$H$7:$H$874,BS_RE33!$S$7:$S$874,$BA$2,BS_RE33!$N$7:$N$874,I9,BS_RE33!$P$7:$P$874,'30 days CF Table(EUR)'!G9,BS_RE33!$F$7:$F$874,'30 days CF Table(EUR)'!$C$2)</f>
        <v>0</v>
      </c>
      <c r="BB9" s="379">
        <f>SUMIFS(BS_RE33!$H$7:$H$874,BS_RE33!$S$7:$S$874,$BB$2,BS_RE33!$N$7:$N$874,I9,BS_RE33!$P$7:$P$874,'30 days CF Table(EUR)'!G9,BS_RE33!$F$7:$F$874,'30 days CF Table(EUR)'!$C$2)</f>
        <v>0</v>
      </c>
      <c r="BC9" s="379">
        <f>SUMIFS(BS_RE33!$H$7:$H$874,BS_RE33!$S$7:$S$874,$BC$2,BS_RE33!$N$7:$N$874,I9,BS_RE33!$P$7:$P$874,'30 days CF Table(EUR)'!G9,BS_RE33!$F$7:$F$874,'30 days CF Table(EUR)'!$C$2)</f>
        <v>0</v>
      </c>
      <c r="BD9" s="379">
        <f>SUMIFS(BS_RE33!$H$7:$H$874,BS_RE33!$S$7:$S$874,$BD$2,BS_RE33!$N$7:$N$874,I9,BS_RE33!$P$7:$P$874,'30 days CF Table(EUR)'!G9,BS_RE33!$F$7:$F$874,'30 days CF Table(EUR)'!$C$2)</f>
        <v>0</v>
      </c>
      <c r="BE9" s="379">
        <f>SUMIFS(BS_RE33!$H$7:$H$874,BS_RE33!$S$7:$S$874,$BE$2,BS_RE33!$N$7:$N$874,I9,BS_RE33!$P$7:$P$874,'30 days CF Table(EUR)'!G9,BS_RE33!$F$7:$F$874,'30 days CF Table(EUR)'!$C$2)</f>
        <v>0</v>
      </c>
      <c r="BF9" s="379">
        <f>SUMIFS(BS_RE33!$H$7:$H$874,BS_RE33!$S$7:$S$874,$BF$2,BS_RE33!$N$7:$N$874,I9,BS_RE33!$P$7:$P$874,'30 days CF Table(EUR)'!G9,BS_RE33!$F$7:$F$874,'30 days CF Table(EUR)'!$C$2)</f>
        <v>0</v>
      </c>
      <c r="BG9" s="379">
        <f>SUMIFS(BS_RE33!$H$7:$H$874,BS_RE33!$S$7:$S$874,$BG$2,BS_RE33!$N$7:$N$874,I9,BS_RE33!$P$7:$P$874,'30 days CF Table(EUR)'!G9,BS_RE33!$F$7:$F$874,'30 days CF Table(EUR)'!$C$2)</f>
        <v>0</v>
      </c>
      <c r="BH9" s="379">
        <f>SUMIFS(BS_RE33!$H$7:$H$874,BS_RE33!$S$7:$S$874,$BH$2,BS_RE33!$N$7:$N$874,I9,BS_RE33!$P$7:$P$874,'30 days CF Table(EUR)'!G9,BS_RE33!$F$7:$F$874,'30 days CF Table(EUR)'!$C$2)</f>
        <v>0</v>
      </c>
      <c r="BI9" s="379">
        <f>SUMIFS(BS_RE33!$H$7:$H$874,BS_RE33!$S$7:$S$874,$BI$2,BS_RE33!$N$7:$N$874,I9,BS_RE33!$P$7:$P$874,'30 days CF Table(EUR)'!G9,BS_RE33!$F$7:$F$874,'30 days CF Table(EUR)'!$C$2)</f>
        <v>0</v>
      </c>
      <c r="BJ9" s="379">
        <f>SUMIFS(BS_RE33!$H$7:$H$874,BS_RE33!$S$7:$S$874,$BJ$2,BS_RE33!$N$7:$N$874,I9,BS_RE33!$P$7:$P$874,'30 days CF Table(EUR)'!G9,BS_RE33!$F$7:$F$874,'30 days CF Table(EUR)'!$C$2)</f>
        <v>0</v>
      </c>
      <c r="BK9" s="379">
        <f>SUMIFS(BS_RE33!$H$7:$H$874,BS_RE33!$S$7:$S$874,$BK$2,BS_RE33!$N$7:$N$874,I9,BS_RE33!$P$7:$P$874,'30 days CF Table(EUR)'!G9,BS_RE33!$F$7:$F$874,'30 days CF Table(EUR)'!$C$2)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Table(EUR)'!G10,BS_RE33!$F$7:$F$874,'30 days CF Table(EUR)'!$C$2)</f>
        <v>0</v>
      </c>
      <c r="M10" s="337">
        <f>SUMIFS(BS_RE33!$H$7:$H$874,BS_RE33!$S$7:$S$874,$M$2,BS_RE33!$N$7:$N$874,I10,BS_RE33!$P$7:$P$874,'30 days CF Table(EUR)'!G10,BS_RE33!$F$7:$F$874,'30 days CF Table(EUR)'!$C$2)</f>
        <v>0</v>
      </c>
      <c r="N10" s="337">
        <f>SUMIFS(BS_RE33!$H$7:$H$874,BS_RE33!$S$7:$S$874,$N$2,BS_RE33!$N$7:$N$874,I10,BS_RE33!$P$7:$P$874,'30 days CF Table(EUR)'!G10,BS_RE33!$F$7:$F$874,'30 days CF Table(EUR)'!$C$2)</f>
        <v>0</v>
      </c>
      <c r="O10" s="337">
        <f>SUMIFS(BS_RE33!$H$7:$H$874,BS_RE33!$S$7:$S$874,$O$2,BS_RE33!$N$7:$N$874,I10,BS_RE33!$P$7:$P$874,'30 days CF Table(EUR)'!G10,BS_RE33!$F$7:$F$874,'30 days CF Table(EUR)'!$C$2)</f>
        <v>0</v>
      </c>
      <c r="P10" s="337">
        <f>SUMIFS(BS_RE33!$H$7:$H$874,BS_RE33!$S$7:$S$874,$P$2,BS_RE33!$N$7:$N$874,I10,BS_RE33!$P$7:$P$874,'30 days CF Table(EUR)'!G10,BS_RE33!$F$7:$F$874,'30 days CF Table(EUR)'!$C$2)</f>
        <v>0</v>
      </c>
      <c r="Q10" s="337">
        <f>SUMIFS(BS_RE33!$H$7:$H$874,BS_RE33!$S$7:$S$874,$Q$2,BS_RE33!$N$7:$N$874,I10,BS_RE33!$P$7:$P$874,'30 days CF Table(EUR)'!G10,BS_RE33!$F$7:$F$874,'30 days CF Table(EUR)'!$C$2)</f>
        <v>0</v>
      </c>
      <c r="R10" s="337">
        <f>SUMIFS(BS_RE33!$H$7:$H$874,BS_RE33!$S$7:$S$874,$R$2,BS_RE33!$N$7:$N$874,I10,BS_RE33!$P$7:$P$874,'30 days CF Table(EUR)'!G10,BS_RE33!$F$7:$F$874,'30 days CF Table(EUR)'!$C$2)</f>
        <v>0</v>
      </c>
      <c r="S10" s="337">
        <f>SUMIFS(BS_RE33!$H$7:$H$874,BS_RE33!$S$7:$S$874,$S$2,BS_RE33!$N$7:$N$874,I10,BS_RE33!$P$7:$P$874,'30 days CF Table(EUR)'!G10,BS_RE33!$F$7:$F$874,'30 days CF Table(EUR)'!$C$2)</f>
        <v>0</v>
      </c>
      <c r="T10" s="337">
        <f>SUMIFS(BS_RE33!$H$7:$H$874,BS_RE33!$S$7:$S$874,$T$2,BS_RE33!$N$7:$N$874,I10,BS_RE33!$P$7:$P$874,'30 days CF Table(EUR)'!G10,BS_RE33!$F$7:$F$874,'30 days CF Table(EUR)'!$C$2)</f>
        <v>0</v>
      </c>
      <c r="U10" s="337">
        <f>SUMIFS(BS_RE33!$H$7:$H$874,BS_RE33!$S$7:$S$874,$U$2,BS_RE33!$N$7:$N$874,I10,BS_RE33!$P$7:$P$874,'30 days CF Table(EUR)'!G10,BS_RE33!$F$7:$F$874,'30 days CF Table(EUR)'!$C$2)</f>
        <v>0</v>
      </c>
      <c r="V10" s="337">
        <f>SUMIFS(BS_RE33!$H$7:$H$874,BS_RE33!$S$7:$S$874,$V$2,BS_RE33!$N$7:$N$874,I10,BS_RE33!$P$7:$P$874,'30 days CF Table(EUR)'!G10,BS_RE33!$F$7:$F$874,'30 days CF Table(EUR)'!$C$2)</f>
        <v>0</v>
      </c>
      <c r="W10" s="337">
        <f>SUMIFS(BS_RE33!$H$7:$H$874,BS_RE33!$S$7:$S$874,$W$2,BS_RE33!$N$7:$N$874,I10,BS_RE33!$P$7:$P$874,'30 days CF Table(EUR)'!G10,BS_RE33!$F$7:$F$874,'30 days CF Table(EUR)'!$C$2)</f>
        <v>0</v>
      </c>
      <c r="X10" s="337">
        <f>SUMIFS(BS_RE33!$H$7:$H$874,BS_RE33!$S$7:$S$874,$X$2,BS_RE33!$N$7:$N$874,I10,BS_RE33!$P$7:$P$874,'30 days CF Table(EUR)'!G10,BS_RE33!$F$7:$F$874,'30 days CF Table(EUR)'!$C$2)</f>
        <v>0</v>
      </c>
      <c r="Y10" s="337">
        <f>SUMIFS(BS_RE33!$H$7:$H$874,BS_RE33!$S$7:$S$874,$Y$2,BS_RE33!$N$7:$N$874,I10,BS_RE33!$P$7:$P$874,'30 days CF Table(EUR)'!G10,BS_RE33!$F$7:$F$874,'30 days CF Table(EUR)'!$C$2)</f>
        <v>0</v>
      </c>
      <c r="Z10" s="337">
        <f>SUMIFS(BS_RE33!$H$7:$H$874,BS_RE33!$S$7:$S$874,$Z$2,BS_RE33!$N$7:$N$874,I10,BS_RE33!$P$7:$P$874,'30 days CF Table(EUR)'!G10,BS_RE33!$F$7:$F$874,'30 days CF Table(EUR)'!$C$2)</f>
        <v>0</v>
      </c>
      <c r="AA10" s="337">
        <f>SUMIFS(BS_RE33!$H$7:$H$874,BS_RE33!$S$7:$S$874,$AA$2,BS_RE33!$N$7:$N$874,I10,BS_RE33!$P$7:$P$874,'30 days CF Table(EUR)'!G10,BS_RE33!$F$7:$F$874,'30 days CF Table(EUR)'!$C$2)</f>
        <v>0</v>
      </c>
      <c r="AB10" s="337">
        <f>SUMIFS(BS_RE33!$H$7:$H$874,BS_RE33!$S$7:$S$874,$AB$2,BS_RE33!$N$7:$N$874,I10,BS_RE33!$P$7:$P$874,'30 days CF Table(EUR)'!G10,BS_RE33!$F$7:$F$874,'30 days CF Table(EUR)'!$C$2)</f>
        <v>0</v>
      </c>
      <c r="AC10" s="337">
        <f>SUMIFS(BS_RE33!$H$7:$H$874,BS_RE33!$S$7:$S$874,$AC$2,BS_RE33!$N$7:$N$874,I10,BS_RE33!$P$7:$P$874,'30 days CF Table(EUR)'!G10,BS_RE33!$F$7:$F$874,'30 days CF Table(EUR)'!$C$2)</f>
        <v>0</v>
      </c>
      <c r="AD10" s="337">
        <f>SUMIFS(BS_RE33!$H$7:$H$874,BS_RE33!$S$7:$S$874,$AD$2,BS_RE33!$N$7:$N$874,I10,BS_RE33!$P$7:$P$874,'30 days CF Table(EUR)'!G10,BS_RE33!$F$7:$F$874,'30 days CF Table(EUR)'!$C$2)</f>
        <v>0</v>
      </c>
      <c r="AE10" s="337">
        <f>SUMIFS(BS_RE33!$H$7:$H$874,BS_RE33!$S$7:$S$874,$AE$2,BS_RE33!$N$7:$N$874,I10,BS_RE33!$P$7:$P$874,'30 days CF Table(EUR)'!G10,BS_RE33!$F$7:$F$874,'30 days CF Table(EUR)'!$C$2)</f>
        <v>0</v>
      </c>
      <c r="AF10" s="337">
        <f>SUMIFS(BS_RE33!$H$7:$H$874,BS_RE33!$S$7:$S$874,$AF$2,BS_RE33!$N$7:$N$874,I10,BS_RE33!$P$7:$P$874,'30 days CF Table(EUR)'!G10,BS_RE33!$F$7:$F$874,'30 days CF Table(EUR)'!$C$2)</f>
        <v>0</v>
      </c>
      <c r="AG10" s="337">
        <f>SUMIFS(BS_RE33!$H$7:$H$874,BS_RE33!$S$7:$S$874,$AG$2,BS_RE33!$N$7:$N$874,I10,BS_RE33!$P$7:$P$874,'30 days CF Table(EUR)'!G10,BS_RE33!$F$7:$F$874,'30 days CF Table(EUR)'!$C$2)</f>
        <v>0</v>
      </c>
      <c r="AH10" s="337">
        <f>SUMIFS(BS_RE33!$H$7:$H$874,BS_RE33!$S$7:$S$874,$AH$2,BS_RE33!$N$7:$N$874,I10,BS_RE33!$P$7:$P$874,'30 days CF Table(EUR)'!G10,BS_RE33!$F$7:$F$874,'30 days CF Table(EUR)'!$C$2)</f>
        <v>0</v>
      </c>
      <c r="AI10" s="337">
        <f>SUMIFS(BS_RE33!$H$7:$H$874,BS_RE33!$S$7:$S$874,$AI$2,BS_RE33!$N$7:$N$874,I10,BS_RE33!$P$7:$P$874,'30 days CF Table(EUR)'!G10,BS_RE33!$F$7:$F$874,'30 days CF Table(EUR)'!$C$2)</f>
        <v>0</v>
      </c>
      <c r="AJ10" s="337">
        <f>SUMIFS(BS_RE33!$H$7:$H$874,BS_RE33!$S$7:$S$874,$AJ$2,BS_RE33!$N$7:$N$874,I10,BS_RE33!$P$7:$P$874,'30 days CF Table(EUR)'!G10,BS_RE33!$F$7:$F$874,'30 days CF Table(EUR)'!$C$2)</f>
        <v>0</v>
      </c>
      <c r="AK10" s="337">
        <f>SUMIFS(BS_RE33!$H$7:$H$874,BS_RE33!$S$7:$S$874,$AK$2,BS_RE33!$N$7:$N$874,I10,BS_RE33!$P$7:$P$874,'30 days CF Table(EUR)'!G10,BS_RE33!$F$7:$F$874,'30 days CF Table(EUR)'!$C$2)</f>
        <v>0</v>
      </c>
      <c r="AL10" s="337">
        <f>SUMIFS(BS_RE33!$H$7:$H$874,BS_RE33!$S$7:$S$874,$AL$2,BS_RE33!$N$7:$N$874,I10,BS_RE33!$P$7:$P$874,'30 days CF Table(EUR)'!G10,BS_RE33!$F$7:$F$874,'30 days CF Table(EUR)'!$C$2)</f>
        <v>0</v>
      </c>
      <c r="AM10" s="337">
        <f>SUMIFS(BS_RE33!$H$7:$H$874,BS_RE33!$S$7:$S$874,$AM$2,BS_RE33!$N$7:$N$874,I10,BS_RE33!$P$7:$P$874,'30 days CF Table(EUR)'!G10,BS_RE33!$F$7:$F$874,'30 days CF Table(EUR)'!$C$2)</f>
        <v>0</v>
      </c>
      <c r="AN10" s="337">
        <f>SUMIFS(BS_RE33!$H$7:$H$874,BS_RE33!$S$7:$S$874,$AN$2,BS_RE33!$N$7:$N$874,I10,BS_RE33!$P$7:$P$874,'30 days CF Table(EUR)'!G10,BS_RE33!$F$7:$F$874,'30 days CF Table(EUR)'!$C$2)</f>
        <v>0</v>
      </c>
      <c r="AO10" s="337">
        <f>SUMIFS(BS_RE33!$H$7:$H$874,BS_RE33!$S$7:$S$874,$AO$2,BS_RE33!$N$7:$N$874,I10,BS_RE33!$P$7:$P$874,'30 days CF Table(EUR)'!G10,BS_RE33!$F$7:$F$874,'30 days CF Table(EUR)'!$C$2)</f>
        <v>0</v>
      </c>
      <c r="AP10" s="338">
        <f>SUMIFS(BS_RE33!$H$7:$H$874,BS_RE33!$S$7:$S$874,$AP$2,BS_RE33!$N$7:$N$874,I10,BS_RE33!$P$7:$P$874,'30 days CF Table(EUR)'!G10,BS_RE33!$F$7:$F$874,'30 days CF Table(EUR)'!$C$2)</f>
        <v>0</v>
      </c>
      <c r="AQ10" s="545"/>
      <c r="AR10" s="379">
        <f>SUMIFS(BS_RE33!$H$7:$H$874,BS_RE33!$S$7:$S$874,$AR$2,BS_RE33!$N$7:$N$874,I10,BS_RE33!$P$7:$P$874,'30 days CF Table(EUR)'!G10,BS_RE33!$F$7:$F$874,'30 days CF Table(EUR)'!$C$2)</f>
        <v>0</v>
      </c>
      <c r="AS10" s="379">
        <f>SUMIFS(BS_RE33!$H$7:$H$874,BS_RE33!$S$7:$S$874,$AS$2,BS_RE33!$N$7:$N$874,I10,BS_RE33!$P$7:$P$874,'30 days CF Table(EUR)'!G10,BS_RE33!$F$7:$F$874,'30 days CF Table(EUR)'!$C$2)</f>
        <v>0</v>
      </c>
      <c r="AT10" s="379">
        <f>SUMIFS(BS_RE33!$H$7:$H$874,BS_RE33!$S$7:$S$874,$AT$2,BS_RE33!$N$7:$N$874,I10,BS_RE33!$P$7:$P$874,'30 days CF Table(EUR)'!G10,BS_RE33!$F$7:$F$874,'30 days CF Table(EUR)'!$C$2)</f>
        <v>0</v>
      </c>
      <c r="AU10" s="379">
        <f>SUMIFS(BS_RE33!$H$7:$H$874,BS_RE33!$S$7:$S$874,$AU$2,BS_RE33!$N$7:$N$874,I10,BS_RE33!$P$7:$P$874,'30 days CF Table(EUR)'!G10,BS_RE33!$F$7:$F$874,'30 days CF Table(EUR)'!$C$2)</f>
        <v>0</v>
      </c>
      <c r="AV10" s="379">
        <f>SUMIFS(BS_RE33!$H$7:$H$874,BS_RE33!$S$7:$S$874,$AV$2,BS_RE33!$N$7:$N$874,I10,BS_RE33!$P$7:$P$874,'30 days CF Table(EUR)'!G10,BS_RE33!$F$7:$F$874,'30 days CF Table(EUR)'!$C$2)</f>
        <v>0</v>
      </c>
      <c r="AW10" s="379">
        <f>SUMIFS(BS_RE33!$H$7:$H$874,BS_RE33!$S$7:$S$874,$AW$2,BS_RE33!$N$7:$N$874,I10,BS_RE33!$P$7:$P$874,'30 days CF Table(EUR)'!G10,BS_RE33!$F$7:$F$874,'30 days CF Table(EUR)'!$C$2)</f>
        <v>0</v>
      </c>
      <c r="AX10" s="379">
        <f>SUMIFS(BS_RE33!$H$7:$H$874,BS_RE33!$S$7:$S$874,$AX$2,BS_RE33!$N$7:$N$874,I10,BS_RE33!$P$7:$P$874,'30 days CF Table(EUR)'!G10,BS_RE33!$F$7:$F$874,'30 days CF Table(EUR)'!$C$2)</f>
        <v>0</v>
      </c>
      <c r="AY10" s="379">
        <f>SUMIFS(BS_RE33!$H$7:$H$874,BS_RE33!$S$7:$S$874,$AY$2,BS_RE33!$N$7:$N$874,I10,BS_RE33!$P$7:$P$874,'30 days CF Table(EUR)'!G10,BS_RE33!$F$7:$F$874,'30 days CF Table(EUR)'!$C$2)</f>
        <v>0</v>
      </c>
      <c r="AZ10" s="379">
        <f>SUMIFS(BS_RE33!$H$7:$H$874,BS_RE33!$S$7:$S$874,$AZ$2,BS_RE33!$N$7:$N$874,I10,BS_RE33!$P$7:$P$874,'30 days CF Table(EUR)'!G10,BS_RE33!$F$7:$F$874,'30 days CF Table(EUR)'!$C$2)</f>
        <v>0</v>
      </c>
      <c r="BA10" s="379">
        <f>SUMIFS(BS_RE33!$H$7:$H$874,BS_RE33!$S$7:$S$874,$BA$2,BS_RE33!$N$7:$N$874,I10,BS_RE33!$P$7:$P$874,'30 days CF Table(EUR)'!G10,BS_RE33!$F$7:$F$874,'30 days CF Table(EUR)'!$C$2)</f>
        <v>0</v>
      </c>
      <c r="BB10" s="379">
        <f>SUMIFS(BS_RE33!$H$7:$H$874,BS_RE33!$S$7:$S$874,$BB$2,BS_RE33!$N$7:$N$874,I10,BS_RE33!$P$7:$P$874,'30 days CF Table(EUR)'!G10,BS_RE33!$F$7:$F$874,'30 days CF Table(EUR)'!$C$2)</f>
        <v>0</v>
      </c>
      <c r="BC10" s="379">
        <f>SUMIFS(BS_RE33!$H$7:$H$874,BS_RE33!$S$7:$S$874,$BC$2,BS_RE33!$N$7:$N$874,I10,BS_RE33!$P$7:$P$874,'30 days CF Table(EUR)'!G10,BS_RE33!$F$7:$F$874,'30 days CF Table(EUR)'!$C$2)</f>
        <v>0</v>
      </c>
      <c r="BD10" s="379">
        <f>SUMIFS(BS_RE33!$H$7:$H$874,BS_RE33!$S$7:$S$874,$BD$2,BS_RE33!$N$7:$N$874,I10,BS_RE33!$P$7:$P$874,'30 days CF Table(EUR)'!G10,BS_RE33!$F$7:$F$874,'30 days CF Table(EUR)'!$C$2)</f>
        <v>0</v>
      </c>
      <c r="BE10" s="379">
        <f>SUMIFS(BS_RE33!$H$7:$H$874,BS_RE33!$S$7:$S$874,$BE$2,BS_RE33!$N$7:$N$874,I10,BS_RE33!$P$7:$P$874,'30 days CF Table(EUR)'!G10,BS_RE33!$F$7:$F$874,'30 days CF Table(EUR)'!$C$2)</f>
        <v>0</v>
      </c>
      <c r="BF10" s="379">
        <f>SUMIFS(BS_RE33!$H$7:$H$874,BS_RE33!$S$7:$S$874,$BF$2,BS_RE33!$N$7:$N$874,I10,BS_RE33!$P$7:$P$874,'30 days CF Table(EUR)'!G10,BS_RE33!$F$7:$F$874,'30 days CF Table(EUR)'!$C$2)</f>
        <v>0</v>
      </c>
      <c r="BG10" s="379">
        <f>SUMIFS(BS_RE33!$H$7:$H$874,BS_RE33!$S$7:$S$874,$BG$2,BS_RE33!$N$7:$N$874,I10,BS_RE33!$P$7:$P$874,'30 days CF Table(EUR)'!G10,BS_RE33!$F$7:$F$874,'30 days CF Table(EUR)'!$C$2)</f>
        <v>0</v>
      </c>
      <c r="BH10" s="379">
        <f>SUMIFS(BS_RE33!$H$7:$H$874,BS_RE33!$S$7:$S$874,$BH$2,BS_RE33!$N$7:$N$874,I10,BS_RE33!$P$7:$P$874,'30 days CF Table(EUR)'!G10,BS_RE33!$F$7:$F$874,'30 days CF Table(EUR)'!$C$2)</f>
        <v>0</v>
      </c>
      <c r="BI10" s="379">
        <f>SUMIFS(BS_RE33!$H$7:$H$874,BS_RE33!$S$7:$S$874,$BI$2,BS_RE33!$N$7:$N$874,I10,BS_RE33!$P$7:$P$874,'30 days CF Table(EUR)'!G10,BS_RE33!$F$7:$F$874,'30 days CF Table(EUR)'!$C$2)</f>
        <v>0</v>
      </c>
      <c r="BJ10" s="379">
        <f>SUMIFS(BS_RE33!$H$7:$H$874,BS_RE33!$S$7:$S$874,$BJ$2,BS_RE33!$N$7:$N$874,I10,BS_RE33!$P$7:$P$874,'30 days CF Table(EUR)'!G10,BS_RE33!$F$7:$F$874,'30 days CF Table(EUR)'!$C$2)</f>
        <v>0</v>
      </c>
      <c r="BK10" s="379">
        <f>SUMIFS(BS_RE33!$H$7:$H$874,BS_RE33!$S$7:$S$874,$BK$2,BS_RE33!$N$7:$N$874,I10,BS_RE33!$P$7:$P$874,'30 days CF Table(EUR)'!G10,BS_RE33!$F$7:$F$874,'30 days CF Table(EUR)'!$C$2)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Table(EUR)'!G11,BS_RE33!$F$7:$F$874,'30 days CF Table(EUR)'!$C$2)</f>
        <v>0</v>
      </c>
      <c r="M11" s="337">
        <f>SUMIFS(BS_RE33!$H$7:$H$874,BS_RE33!$S$7:$S$874,$M$2,BS_RE33!$N$7:$N$874,I11,BS_RE33!$P$7:$P$874,'30 days CF Table(EUR)'!G11,BS_RE33!$F$7:$F$874,'30 days CF Table(EUR)'!$C$2)</f>
        <v>0</v>
      </c>
      <c r="N11" s="337">
        <f>SUMIFS(BS_RE33!$H$7:$H$874,BS_RE33!$S$7:$S$874,$N$2,BS_RE33!$N$7:$N$874,I11,BS_RE33!$P$7:$P$874,'30 days CF Table(EUR)'!G11,BS_RE33!$F$7:$F$874,'30 days CF Table(EUR)'!$C$2)</f>
        <v>0</v>
      </c>
      <c r="O11" s="337">
        <f>SUMIFS(BS_RE33!$H$7:$H$874,BS_RE33!$S$7:$S$874,$O$2,BS_RE33!$N$7:$N$874,I11,BS_RE33!$P$7:$P$874,'30 days CF Table(EUR)'!G11,BS_RE33!$F$7:$F$874,'30 days CF Table(EUR)'!$C$2)</f>
        <v>0</v>
      </c>
      <c r="P11" s="337">
        <f>SUMIFS(BS_RE33!$H$7:$H$874,BS_RE33!$S$7:$S$874,$P$2,BS_RE33!$N$7:$N$874,I11,BS_RE33!$P$7:$P$874,'30 days CF Table(EUR)'!G11,BS_RE33!$F$7:$F$874,'30 days CF Table(EUR)'!$C$2)</f>
        <v>0</v>
      </c>
      <c r="Q11" s="337">
        <f>SUMIFS(BS_RE33!$H$7:$H$874,BS_RE33!$S$7:$S$874,$Q$2,BS_RE33!$N$7:$N$874,I11,BS_RE33!$P$7:$P$874,'30 days CF Table(EUR)'!G11,BS_RE33!$F$7:$F$874,'30 days CF Table(EUR)'!$C$2)</f>
        <v>0</v>
      </c>
      <c r="R11" s="337">
        <f>SUMIFS(BS_RE33!$H$7:$H$874,BS_RE33!$S$7:$S$874,$R$2,BS_RE33!$N$7:$N$874,I11,BS_RE33!$P$7:$P$874,'30 days CF Table(EUR)'!G11,BS_RE33!$F$7:$F$874,'30 days CF Table(EUR)'!$C$2)</f>
        <v>0</v>
      </c>
      <c r="S11" s="337">
        <f>SUMIFS(BS_RE33!$H$7:$H$874,BS_RE33!$S$7:$S$874,$S$2,BS_RE33!$N$7:$N$874,I11,BS_RE33!$P$7:$P$874,'30 days CF Table(EUR)'!G11,BS_RE33!$F$7:$F$874,'30 days CF Table(EUR)'!$C$2)</f>
        <v>0</v>
      </c>
      <c r="T11" s="337">
        <f>SUMIFS(BS_RE33!$H$7:$H$874,BS_RE33!$S$7:$S$874,$T$2,BS_RE33!$N$7:$N$874,I11,BS_RE33!$P$7:$P$874,'30 days CF Table(EUR)'!G11,BS_RE33!$F$7:$F$874,'30 days CF Table(EUR)'!$C$2)</f>
        <v>0</v>
      </c>
      <c r="U11" s="337">
        <f>SUMIFS(BS_RE33!$H$7:$H$874,BS_RE33!$S$7:$S$874,$U$2,BS_RE33!$N$7:$N$874,I11,BS_RE33!$P$7:$P$874,'30 days CF Table(EUR)'!G11,BS_RE33!$F$7:$F$874,'30 days CF Table(EUR)'!$C$2)</f>
        <v>0</v>
      </c>
      <c r="V11" s="337">
        <f>SUMIFS(BS_RE33!$H$7:$H$874,BS_RE33!$S$7:$S$874,$V$2,BS_RE33!$N$7:$N$874,I11,BS_RE33!$P$7:$P$874,'30 days CF Table(EUR)'!G11,BS_RE33!$F$7:$F$874,'30 days CF Table(EUR)'!$C$2)</f>
        <v>0</v>
      </c>
      <c r="W11" s="337">
        <f>SUMIFS(BS_RE33!$H$7:$H$874,BS_RE33!$S$7:$S$874,$W$2,BS_RE33!$N$7:$N$874,I11,BS_RE33!$P$7:$P$874,'30 days CF Table(EUR)'!G11,BS_RE33!$F$7:$F$874,'30 days CF Table(EUR)'!$C$2)</f>
        <v>0</v>
      </c>
      <c r="X11" s="337">
        <f>SUMIFS(BS_RE33!$H$7:$H$874,BS_RE33!$S$7:$S$874,$X$2,BS_RE33!$N$7:$N$874,I11,BS_RE33!$P$7:$P$874,'30 days CF Table(EUR)'!G11,BS_RE33!$F$7:$F$874,'30 days CF Table(EUR)'!$C$2)</f>
        <v>0</v>
      </c>
      <c r="Y11" s="337">
        <f>SUMIFS(BS_RE33!$H$7:$H$874,BS_RE33!$S$7:$S$874,$Y$2,BS_RE33!$N$7:$N$874,I11,BS_RE33!$P$7:$P$874,'30 days CF Table(EUR)'!G11,BS_RE33!$F$7:$F$874,'30 days CF Table(EUR)'!$C$2)</f>
        <v>0</v>
      </c>
      <c r="Z11" s="337">
        <f>SUMIFS(BS_RE33!$H$7:$H$874,BS_RE33!$S$7:$S$874,$Z$2,BS_RE33!$N$7:$N$874,I11,BS_RE33!$P$7:$P$874,'30 days CF Table(EUR)'!G11,BS_RE33!$F$7:$F$874,'30 days CF Table(EUR)'!$C$2)</f>
        <v>0</v>
      </c>
      <c r="AA11" s="337">
        <f>SUMIFS(BS_RE33!$H$7:$H$874,BS_RE33!$S$7:$S$874,$AA$2,BS_RE33!$N$7:$N$874,I11,BS_RE33!$P$7:$P$874,'30 days CF Table(EUR)'!G11,BS_RE33!$F$7:$F$874,'30 days CF Table(EUR)'!$C$2)</f>
        <v>0</v>
      </c>
      <c r="AB11" s="337">
        <f>SUMIFS(BS_RE33!$H$7:$H$874,BS_RE33!$S$7:$S$874,$AB$2,BS_RE33!$N$7:$N$874,I11,BS_RE33!$P$7:$P$874,'30 days CF Table(EUR)'!G11,BS_RE33!$F$7:$F$874,'30 days CF Table(EUR)'!$C$2)</f>
        <v>0</v>
      </c>
      <c r="AC11" s="337">
        <f>SUMIFS(BS_RE33!$H$7:$H$874,BS_RE33!$S$7:$S$874,$AC$2,BS_RE33!$N$7:$N$874,I11,BS_RE33!$P$7:$P$874,'30 days CF Table(EUR)'!G11,BS_RE33!$F$7:$F$874,'30 days CF Table(EUR)'!$C$2)</f>
        <v>0</v>
      </c>
      <c r="AD11" s="337">
        <f>SUMIFS(BS_RE33!$H$7:$H$874,BS_RE33!$S$7:$S$874,$AD$2,BS_RE33!$N$7:$N$874,I11,BS_RE33!$P$7:$P$874,'30 days CF Table(EUR)'!G11,BS_RE33!$F$7:$F$874,'30 days CF Table(EUR)'!$C$2)</f>
        <v>0</v>
      </c>
      <c r="AE11" s="337">
        <f>SUMIFS(BS_RE33!$H$7:$H$874,BS_RE33!$S$7:$S$874,$AE$2,BS_RE33!$N$7:$N$874,I11,BS_RE33!$P$7:$P$874,'30 days CF Table(EUR)'!G11,BS_RE33!$F$7:$F$874,'30 days CF Table(EUR)'!$C$2)</f>
        <v>0</v>
      </c>
      <c r="AF11" s="337">
        <f>SUMIFS(BS_RE33!$H$7:$H$874,BS_RE33!$S$7:$S$874,$AF$2,BS_RE33!$N$7:$N$874,I11,BS_RE33!$P$7:$P$874,'30 days CF Table(EUR)'!G11,BS_RE33!$F$7:$F$874,'30 days CF Table(EUR)'!$C$2)</f>
        <v>0</v>
      </c>
      <c r="AG11" s="337">
        <f>SUMIFS(BS_RE33!$H$7:$H$874,BS_RE33!$S$7:$S$874,$AG$2,BS_RE33!$N$7:$N$874,I11,BS_RE33!$P$7:$P$874,'30 days CF Table(EUR)'!G11,BS_RE33!$F$7:$F$874,'30 days CF Table(EUR)'!$C$2)</f>
        <v>0</v>
      </c>
      <c r="AH11" s="337">
        <f>SUMIFS(BS_RE33!$H$7:$H$874,BS_RE33!$S$7:$S$874,$AH$2,BS_RE33!$N$7:$N$874,I11,BS_RE33!$P$7:$P$874,'30 days CF Table(EUR)'!G11,BS_RE33!$F$7:$F$874,'30 days CF Table(EUR)'!$C$2)</f>
        <v>0</v>
      </c>
      <c r="AI11" s="337">
        <f>SUMIFS(BS_RE33!$H$7:$H$874,BS_RE33!$S$7:$S$874,$AI$2,BS_RE33!$N$7:$N$874,I11,BS_RE33!$P$7:$P$874,'30 days CF Table(EUR)'!G11,BS_RE33!$F$7:$F$874,'30 days CF Table(EUR)'!$C$2)</f>
        <v>0</v>
      </c>
      <c r="AJ11" s="337">
        <f>SUMIFS(BS_RE33!$H$7:$H$874,BS_RE33!$S$7:$S$874,$AJ$2,BS_RE33!$N$7:$N$874,I11,BS_RE33!$P$7:$P$874,'30 days CF Table(EUR)'!G11,BS_RE33!$F$7:$F$874,'30 days CF Table(EUR)'!$C$2)</f>
        <v>0</v>
      </c>
      <c r="AK11" s="337">
        <f>SUMIFS(BS_RE33!$H$7:$H$874,BS_RE33!$S$7:$S$874,$AK$2,BS_RE33!$N$7:$N$874,I11,BS_RE33!$P$7:$P$874,'30 days CF Table(EUR)'!G11,BS_RE33!$F$7:$F$874,'30 days CF Table(EUR)'!$C$2)</f>
        <v>0</v>
      </c>
      <c r="AL11" s="337">
        <f>SUMIFS(BS_RE33!$H$7:$H$874,BS_RE33!$S$7:$S$874,$AL$2,BS_RE33!$N$7:$N$874,I11,BS_RE33!$P$7:$P$874,'30 days CF Table(EUR)'!G11,BS_RE33!$F$7:$F$874,'30 days CF Table(EUR)'!$C$2)</f>
        <v>0</v>
      </c>
      <c r="AM11" s="337">
        <f>SUMIFS(BS_RE33!$H$7:$H$874,BS_RE33!$S$7:$S$874,$AM$2,BS_RE33!$N$7:$N$874,I11,BS_RE33!$P$7:$P$874,'30 days CF Table(EUR)'!G11,BS_RE33!$F$7:$F$874,'30 days CF Table(EUR)'!$C$2)</f>
        <v>0</v>
      </c>
      <c r="AN11" s="337">
        <f>SUMIFS(BS_RE33!$H$7:$H$874,BS_RE33!$S$7:$S$874,$AN$2,BS_RE33!$N$7:$N$874,I11,BS_RE33!$P$7:$P$874,'30 days CF Table(EUR)'!G11,BS_RE33!$F$7:$F$874,'30 days CF Table(EUR)'!$C$2)</f>
        <v>0</v>
      </c>
      <c r="AO11" s="337">
        <f>SUMIFS(BS_RE33!$H$7:$H$874,BS_RE33!$S$7:$S$874,$AO$2,BS_RE33!$N$7:$N$874,I11,BS_RE33!$P$7:$P$874,'30 days CF Table(EUR)'!G11,BS_RE33!$F$7:$F$874,'30 days CF Table(EUR)'!$C$2)</f>
        <v>0</v>
      </c>
      <c r="AP11" s="338">
        <f>SUMIFS(BS_RE33!$H$7:$H$874,BS_RE33!$S$7:$S$874,$AP$2,BS_RE33!$N$7:$N$874,I11,BS_RE33!$P$7:$P$874,'30 days CF Table(EUR)'!G11,BS_RE33!$F$7:$F$874,'30 days CF Table(EUR)'!$C$2)</f>
        <v>0</v>
      </c>
      <c r="AQ11" s="545"/>
      <c r="AR11" s="379">
        <f>SUMIFS(BS_RE33!$H$7:$H$874,BS_RE33!$S$7:$S$874,$AR$2,BS_RE33!$N$7:$N$874,I11,BS_RE33!$P$7:$P$874,'30 days CF Table(EUR)'!G11,BS_RE33!$F$7:$F$874,'30 days CF Table(EUR)'!$C$2)</f>
        <v>0</v>
      </c>
      <c r="AS11" s="379">
        <f>SUMIFS(BS_RE33!$H$7:$H$874,BS_RE33!$S$7:$S$874,$AS$2,BS_RE33!$N$7:$N$874,I11,BS_RE33!$P$7:$P$874,'30 days CF Table(EUR)'!G11,BS_RE33!$F$7:$F$874,'30 days CF Table(EUR)'!$C$2)</f>
        <v>0</v>
      </c>
      <c r="AT11" s="379">
        <f>SUMIFS(BS_RE33!$H$7:$H$874,BS_RE33!$S$7:$S$874,$AT$2,BS_RE33!$N$7:$N$874,I11,BS_RE33!$P$7:$P$874,'30 days CF Table(EUR)'!G11,BS_RE33!$F$7:$F$874,'30 days CF Table(EUR)'!$C$2)</f>
        <v>0</v>
      </c>
      <c r="AU11" s="379">
        <f>SUMIFS(BS_RE33!$H$7:$H$874,BS_RE33!$S$7:$S$874,$AU$2,BS_RE33!$N$7:$N$874,I11,BS_RE33!$P$7:$P$874,'30 days CF Table(EUR)'!G11,BS_RE33!$F$7:$F$874,'30 days CF Table(EUR)'!$C$2)</f>
        <v>0</v>
      </c>
      <c r="AV11" s="379">
        <f>SUMIFS(BS_RE33!$H$7:$H$874,BS_RE33!$S$7:$S$874,$AV$2,BS_RE33!$N$7:$N$874,I11,BS_RE33!$P$7:$P$874,'30 days CF Table(EUR)'!G11,BS_RE33!$F$7:$F$874,'30 days CF Table(EUR)'!$C$2)</f>
        <v>0</v>
      </c>
      <c r="AW11" s="379">
        <f>SUMIFS(BS_RE33!$H$7:$H$874,BS_RE33!$S$7:$S$874,$AW$2,BS_RE33!$N$7:$N$874,I11,BS_RE33!$P$7:$P$874,'30 days CF Table(EUR)'!G11,BS_RE33!$F$7:$F$874,'30 days CF Table(EUR)'!$C$2)</f>
        <v>0</v>
      </c>
      <c r="AX11" s="379">
        <f>SUMIFS(BS_RE33!$H$7:$H$874,BS_RE33!$S$7:$S$874,$AX$2,BS_RE33!$N$7:$N$874,I11,BS_RE33!$P$7:$P$874,'30 days CF Table(EUR)'!G11,BS_RE33!$F$7:$F$874,'30 days CF Table(EUR)'!$C$2)</f>
        <v>0</v>
      </c>
      <c r="AY11" s="379">
        <f>SUMIFS(BS_RE33!$H$7:$H$874,BS_RE33!$S$7:$S$874,$AY$2,BS_RE33!$N$7:$N$874,I11,BS_RE33!$P$7:$P$874,'30 days CF Table(EUR)'!G11,BS_RE33!$F$7:$F$874,'30 days CF Table(EUR)'!$C$2)</f>
        <v>0</v>
      </c>
      <c r="AZ11" s="379">
        <f>SUMIFS(BS_RE33!$H$7:$H$874,BS_RE33!$S$7:$S$874,$AZ$2,BS_RE33!$N$7:$N$874,I11,BS_RE33!$P$7:$P$874,'30 days CF Table(EUR)'!G11,BS_RE33!$F$7:$F$874,'30 days CF Table(EUR)'!$C$2)</f>
        <v>0</v>
      </c>
      <c r="BA11" s="379">
        <f>SUMIFS(BS_RE33!$H$7:$H$874,BS_RE33!$S$7:$S$874,$BA$2,BS_RE33!$N$7:$N$874,I11,BS_RE33!$P$7:$P$874,'30 days CF Table(EUR)'!G11,BS_RE33!$F$7:$F$874,'30 days CF Table(EUR)'!$C$2)</f>
        <v>0</v>
      </c>
      <c r="BB11" s="379">
        <f>SUMIFS(BS_RE33!$H$7:$H$874,BS_RE33!$S$7:$S$874,$BB$2,BS_RE33!$N$7:$N$874,I11,BS_RE33!$P$7:$P$874,'30 days CF Table(EUR)'!G11,BS_RE33!$F$7:$F$874,'30 days CF Table(EUR)'!$C$2)</f>
        <v>0</v>
      </c>
      <c r="BC11" s="379">
        <f>SUMIFS(BS_RE33!$H$7:$H$874,BS_RE33!$S$7:$S$874,$BC$2,BS_RE33!$N$7:$N$874,I11,BS_RE33!$P$7:$P$874,'30 days CF Table(EUR)'!G11,BS_RE33!$F$7:$F$874,'30 days CF Table(EUR)'!$C$2)</f>
        <v>0</v>
      </c>
      <c r="BD11" s="379">
        <f>SUMIFS(BS_RE33!$H$7:$H$874,BS_RE33!$S$7:$S$874,$BD$2,BS_RE33!$N$7:$N$874,I11,BS_RE33!$P$7:$P$874,'30 days CF Table(EUR)'!G11,BS_RE33!$F$7:$F$874,'30 days CF Table(EUR)'!$C$2)</f>
        <v>0</v>
      </c>
      <c r="BE11" s="379">
        <f>SUMIFS(BS_RE33!$H$7:$H$874,BS_RE33!$S$7:$S$874,$BE$2,BS_RE33!$N$7:$N$874,I11,BS_RE33!$P$7:$P$874,'30 days CF Table(EUR)'!G11,BS_RE33!$F$7:$F$874,'30 days CF Table(EUR)'!$C$2)</f>
        <v>0</v>
      </c>
      <c r="BF11" s="379">
        <f>SUMIFS(BS_RE33!$H$7:$H$874,BS_RE33!$S$7:$S$874,$BF$2,BS_RE33!$N$7:$N$874,I11,BS_RE33!$P$7:$P$874,'30 days CF Table(EUR)'!G11,BS_RE33!$F$7:$F$874,'30 days CF Table(EUR)'!$C$2)</f>
        <v>0</v>
      </c>
      <c r="BG11" s="379">
        <f>SUMIFS(BS_RE33!$H$7:$H$874,BS_RE33!$S$7:$S$874,$BG$2,BS_RE33!$N$7:$N$874,I11,BS_RE33!$P$7:$P$874,'30 days CF Table(EUR)'!G11,BS_RE33!$F$7:$F$874,'30 days CF Table(EUR)'!$C$2)</f>
        <v>0</v>
      </c>
      <c r="BH11" s="379">
        <f>SUMIFS(BS_RE33!$H$7:$H$874,BS_RE33!$S$7:$S$874,$BH$2,BS_RE33!$N$7:$N$874,I11,BS_RE33!$P$7:$P$874,'30 days CF Table(EUR)'!G11,BS_RE33!$F$7:$F$874,'30 days CF Table(EUR)'!$C$2)</f>
        <v>0</v>
      </c>
      <c r="BI11" s="379">
        <f>SUMIFS(BS_RE33!$H$7:$H$874,BS_RE33!$S$7:$S$874,$BI$2,BS_RE33!$N$7:$N$874,I11,BS_RE33!$P$7:$P$874,'30 days CF Table(EUR)'!G11,BS_RE33!$F$7:$F$874,'30 days CF Table(EUR)'!$C$2)</f>
        <v>0</v>
      </c>
      <c r="BJ11" s="379">
        <f>SUMIFS(BS_RE33!$H$7:$H$874,BS_RE33!$S$7:$S$874,$BJ$2,BS_RE33!$N$7:$N$874,I11,BS_RE33!$P$7:$P$874,'30 days CF Table(EUR)'!G11,BS_RE33!$F$7:$F$874,'30 days CF Table(EUR)'!$C$2)</f>
        <v>0</v>
      </c>
      <c r="BK11" s="379">
        <f>SUMIFS(BS_RE33!$H$7:$H$874,BS_RE33!$S$7:$S$874,$BK$2,BS_RE33!$N$7:$N$874,I11,BS_RE33!$P$7:$P$874,'30 days CF Table(EUR)'!G11,BS_RE33!$F$7:$F$874,'30 days CF Table(EUR)'!$C$2)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Table(EUR)'!G12,BS_RE33!$F$7:$F$874,'30 days CF Table(EUR)'!$C$2)</f>
        <v>0</v>
      </c>
      <c r="M12" s="337">
        <f>SUMIFS(BS_RE33!$H$7:$H$874,BS_RE33!$S$7:$S$874,$M$2,BS_RE33!$N$7:$N$874,I12,BS_RE33!$P$7:$P$874,'30 days CF Table(EUR)'!G12,BS_RE33!$F$7:$F$874,'30 days CF Table(EUR)'!$C$2)</f>
        <v>0</v>
      </c>
      <c r="N12" s="337">
        <f>SUMIFS(BS_RE33!$H$7:$H$874,BS_RE33!$S$7:$S$874,$N$2,BS_RE33!$N$7:$N$874,I12,BS_RE33!$P$7:$P$874,'30 days CF Table(EUR)'!G12,BS_RE33!$F$7:$F$874,'30 days CF Table(EUR)'!$C$2)</f>
        <v>0</v>
      </c>
      <c r="O12" s="337">
        <f>SUMIFS(BS_RE33!$H$7:$H$874,BS_RE33!$S$7:$S$874,$O$2,BS_RE33!$N$7:$N$874,I12,BS_RE33!$P$7:$P$874,'30 days CF Table(EUR)'!G12,BS_RE33!$F$7:$F$874,'30 days CF Table(EUR)'!$C$2)</f>
        <v>0</v>
      </c>
      <c r="P12" s="337">
        <f>SUMIFS(BS_RE33!$H$7:$H$874,BS_RE33!$S$7:$S$874,$P$2,BS_RE33!$N$7:$N$874,I12,BS_RE33!$P$7:$P$874,'30 days CF Table(EUR)'!G12,BS_RE33!$F$7:$F$874,'30 days CF Table(EUR)'!$C$2)</f>
        <v>0</v>
      </c>
      <c r="Q12" s="337">
        <f>SUMIFS(BS_RE33!$H$7:$H$874,BS_RE33!$S$7:$S$874,$Q$2,BS_RE33!$N$7:$N$874,I12,BS_RE33!$P$7:$P$874,'30 days CF Table(EUR)'!G12,BS_RE33!$F$7:$F$874,'30 days CF Table(EUR)'!$C$2)</f>
        <v>0</v>
      </c>
      <c r="R12" s="337">
        <f>SUMIFS(BS_RE33!$H$7:$H$874,BS_RE33!$S$7:$S$874,$R$2,BS_RE33!$N$7:$N$874,I12,BS_RE33!$P$7:$P$874,'30 days CF Table(EUR)'!G12,BS_RE33!$F$7:$F$874,'30 days CF Table(EUR)'!$C$2)</f>
        <v>0</v>
      </c>
      <c r="S12" s="337">
        <f>SUMIFS(BS_RE33!$H$7:$H$874,BS_RE33!$S$7:$S$874,$S$2,BS_RE33!$N$7:$N$874,I12,BS_RE33!$P$7:$P$874,'30 days CF Table(EUR)'!G12,BS_RE33!$F$7:$F$874,'30 days CF Table(EUR)'!$C$2)</f>
        <v>0</v>
      </c>
      <c r="T12" s="337">
        <f>SUMIFS(BS_RE33!$H$7:$H$874,BS_RE33!$S$7:$S$874,$T$2,BS_RE33!$N$7:$N$874,I12,BS_RE33!$P$7:$P$874,'30 days CF Table(EUR)'!G12,BS_RE33!$F$7:$F$874,'30 days CF Table(EUR)'!$C$2)</f>
        <v>0</v>
      </c>
      <c r="U12" s="337">
        <f>SUMIFS(BS_RE33!$H$7:$H$874,BS_RE33!$S$7:$S$874,$U$2,BS_RE33!$N$7:$N$874,I12,BS_RE33!$P$7:$P$874,'30 days CF Table(EUR)'!G12,BS_RE33!$F$7:$F$874,'30 days CF Table(EUR)'!$C$2)</f>
        <v>0</v>
      </c>
      <c r="V12" s="337">
        <f>SUMIFS(BS_RE33!$H$7:$H$874,BS_RE33!$S$7:$S$874,$V$2,BS_RE33!$N$7:$N$874,I12,BS_RE33!$P$7:$P$874,'30 days CF Table(EUR)'!G12,BS_RE33!$F$7:$F$874,'30 days CF Table(EUR)'!$C$2)</f>
        <v>0</v>
      </c>
      <c r="W12" s="337">
        <f>SUMIFS(BS_RE33!$H$7:$H$874,BS_RE33!$S$7:$S$874,$W$2,BS_RE33!$N$7:$N$874,I12,BS_RE33!$P$7:$P$874,'30 days CF Table(EUR)'!G12,BS_RE33!$F$7:$F$874,'30 days CF Table(EUR)'!$C$2)</f>
        <v>0</v>
      </c>
      <c r="X12" s="337">
        <f>SUMIFS(BS_RE33!$H$7:$H$874,BS_RE33!$S$7:$S$874,$X$2,BS_RE33!$N$7:$N$874,I12,BS_RE33!$P$7:$P$874,'30 days CF Table(EUR)'!G12,BS_RE33!$F$7:$F$874,'30 days CF Table(EUR)'!$C$2)</f>
        <v>0</v>
      </c>
      <c r="Y12" s="337">
        <f>SUMIFS(BS_RE33!$H$7:$H$874,BS_RE33!$S$7:$S$874,$Y$2,BS_RE33!$N$7:$N$874,I12,BS_RE33!$P$7:$P$874,'30 days CF Table(EUR)'!G12,BS_RE33!$F$7:$F$874,'30 days CF Table(EUR)'!$C$2)</f>
        <v>0</v>
      </c>
      <c r="Z12" s="337">
        <f>SUMIFS(BS_RE33!$H$7:$H$874,BS_RE33!$S$7:$S$874,$Z$2,BS_RE33!$N$7:$N$874,I12,BS_RE33!$P$7:$P$874,'30 days CF Table(EUR)'!G12,BS_RE33!$F$7:$F$874,'30 days CF Table(EUR)'!$C$2)</f>
        <v>0</v>
      </c>
      <c r="AA12" s="337">
        <f>SUMIFS(BS_RE33!$H$7:$H$874,BS_RE33!$S$7:$S$874,$AA$2,BS_RE33!$N$7:$N$874,I12,BS_RE33!$P$7:$P$874,'30 days CF Table(EUR)'!G12,BS_RE33!$F$7:$F$874,'30 days CF Table(EUR)'!$C$2)</f>
        <v>0</v>
      </c>
      <c r="AB12" s="337">
        <f>SUMIFS(BS_RE33!$H$7:$H$874,BS_RE33!$S$7:$S$874,$AB$2,BS_RE33!$N$7:$N$874,I12,BS_RE33!$P$7:$P$874,'30 days CF Table(EUR)'!G12,BS_RE33!$F$7:$F$874,'30 days CF Table(EUR)'!$C$2)</f>
        <v>0</v>
      </c>
      <c r="AC12" s="337">
        <f>SUMIFS(BS_RE33!$H$7:$H$874,BS_RE33!$S$7:$S$874,$AC$2,BS_RE33!$N$7:$N$874,I12,BS_RE33!$P$7:$P$874,'30 days CF Table(EUR)'!G12,BS_RE33!$F$7:$F$874,'30 days CF Table(EUR)'!$C$2)</f>
        <v>0</v>
      </c>
      <c r="AD12" s="337">
        <f>SUMIFS(BS_RE33!$H$7:$H$874,BS_RE33!$S$7:$S$874,$AD$2,BS_RE33!$N$7:$N$874,I12,BS_RE33!$P$7:$P$874,'30 days CF Table(EUR)'!G12,BS_RE33!$F$7:$F$874,'30 days CF Table(EUR)'!$C$2)</f>
        <v>0</v>
      </c>
      <c r="AE12" s="337">
        <f>SUMIFS(BS_RE33!$H$7:$H$874,BS_RE33!$S$7:$S$874,$AE$2,BS_RE33!$N$7:$N$874,I12,BS_RE33!$P$7:$P$874,'30 days CF Table(EUR)'!G12,BS_RE33!$F$7:$F$874,'30 days CF Table(EUR)'!$C$2)</f>
        <v>0</v>
      </c>
      <c r="AF12" s="337">
        <f>SUMIFS(BS_RE33!$H$7:$H$874,BS_RE33!$S$7:$S$874,$AF$2,BS_RE33!$N$7:$N$874,I12,BS_RE33!$P$7:$P$874,'30 days CF Table(EUR)'!G12,BS_RE33!$F$7:$F$874,'30 days CF Table(EUR)'!$C$2)</f>
        <v>0</v>
      </c>
      <c r="AG12" s="337">
        <f>SUMIFS(BS_RE33!$H$7:$H$874,BS_RE33!$S$7:$S$874,$AG$2,BS_RE33!$N$7:$N$874,I12,BS_RE33!$P$7:$P$874,'30 days CF Table(EUR)'!G12,BS_RE33!$F$7:$F$874,'30 days CF Table(EUR)'!$C$2)</f>
        <v>0</v>
      </c>
      <c r="AH12" s="337">
        <f>SUMIFS(BS_RE33!$H$7:$H$874,BS_RE33!$S$7:$S$874,$AH$2,BS_RE33!$N$7:$N$874,I12,BS_RE33!$P$7:$P$874,'30 days CF Table(EUR)'!G12,BS_RE33!$F$7:$F$874,'30 days CF Table(EUR)'!$C$2)</f>
        <v>0</v>
      </c>
      <c r="AI12" s="337">
        <f>SUMIFS(BS_RE33!$H$7:$H$874,BS_RE33!$S$7:$S$874,$AI$2,BS_RE33!$N$7:$N$874,I12,BS_RE33!$P$7:$P$874,'30 days CF Table(EUR)'!G12,BS_RE33!$F$7:$F$874,'30 days CF Table(EUR)'!$C$2)</f>
        <v>0</v>
      </c>
      <c r="AJ12" s="337">
        <f>SUMIFS(BS_RE33!$H$7:$H$874,BS_RE33!$S$7:$S$874,$AJ$2,BS_RE33!$N$7:$N$874,I12,BS_RE33!$P$7:$P$874,'30 days CF Table(EUR)'!G12,BS_RE33!$F$7:$F$874,'30 days CF Table(EUR)'!$C$2)</f>
        <v>0</v>
      </c>
      <c r="AK12" s="337">
        <f>SUMIFS(BS_RE33!$H$7:$H$874,BS_RE33!$S$7:$S$874,$AK$2,BS_RE33!$N$7:$N$874,I12,BS_RE33!$P$7:$P$874,'30 days CF Table(EUR)'!G12,BS_RE33!$F$7:$F$874,'30 days CF Table(EUR)'!$C$2)</f>
        <v>0</v>
      </c>
      <c r="AL12" s="337">
        <f>SUMIFS(BS_RE33!$H$7:$H$874,BS_RE33!$S$7:$S$874,$AL$2,BS_RE33!$N$7:$N$874,I12,BS_RE33!$P$7:$P$874,'30 days CF Table(EUR)'!G12,BS_RE33!$F$7:$F$874,'30 days CF Table(EUR)'!$C$2)</f>
        <v>0</v>
      </c>
      <c r="AM12" s="337">
        <f>SUMIFS(BS_RE33!$H$7:$H$874,BS_RE33!$S$7:$S$874,$AM$2,BS_RE33!$N$7:$N$874,I12,BS_RE33!$P$7:$P$874,'30 days CF Table(EUR)'!G12,BS_RE33!$F$7:$F$874,'30 days CF Table(EUR)'!$C$2)</f>
        <v>0</v>
      </c>
      <c r="AN12" s="337">
        <f>SUMIFS(BS_RE33!$H$7:$H$874,BS_RE33!$S$7:$S$874,$AN$2,BS_RE33!$N$7:$N$874,I12,BS_RE33!$P$7:$P$874,'30 days CF Table(EUR)'!G12,BS_RE33!$F$7:$F$874,'30 days CF Table(EUR)'!$C$2)</f>
        <v>0</v>
      </c>
      <c r="AO12" s="337">
        <f>SUMIFS(BS_RE33!$H$7:$H$874,BS_RE33!$S$7:$S$874,$AO$2,BS_RE33!$N$7:$N$874,I12,BS_RE33!$P$7:$P$874,'30 days CF Table(EUR)'!G12,BS_RE33!$F$7:$F$874,'30 days CF Table(EUR)'!$C$2)</f>
        <v>0</v>
      </c>
      <c r="AP12" s="338">
        <f>SUMIFS(BS_RE33!$H$7:$H$874,BS_RE33!$S$7:$S$874,$AP$2,BS_RE33!$N$7:$N$874,I12,BS_RE33!$P$7:$P$874,'30 days CF Table(EUR)'!G12,BS_RE33!$F$7:$F$874,'30 days CF Table(EUR)'!$C$2)</f>
        <v>0</v>
      </c>
      <c r="AQ12" s="545"/>
      <c r="AR12" s="379">
        <f>SUMIFS(BS_RE33!$H$7:$H$874,BS_RE33!$S$7:$S$874,$AR$2,BS_RE33!$N$7:$N$874,I12,BS_RE33!$P$7:$P$874,'30 days CF Table(EUR)'!G12,BS_RE33!$F$7:$F$874,'30 days CF Table(EUR)'!$C$2)</f>
        <v>0</v>
      </c>
      <c r="AS12" s="379">
        <f>SUMIFS(BS_RE33!$H$7:$H$874,BS_RE33!$S$7:$S$874,$AS$2,BS_RE33!$N$7:$N$874,I12,BS_RE33!$P$7:$P$874,'30 days CF Table(EUR)'!G12,BS_RE33!$F$7:$F$874,'30 days CF Table(EUR)'!$C$2)</f>
        <v>0</v>
      </c>
      <c r="AT12" s="379">
        <f>SUMIFS(BS_RE33!$H$7:$H$874,BS_RE33!$S$7:$S$874,$AT$2,BS_RE33!$N$7:$N$874,I12,BS_RE33!$P$7:$P$874,'30 days CF Table(EUR)'!G12,BS_RE33!$F$7:$F$874,'30 days CF Table(EUR)'!$C$2)</f>
        <v>0</v>
      </c>
      <c r="AU12" s="379">
        <f>SUMIFS(BS_RE33!$H$7:$H$874,BS_RE33!$S$7:$S$874,$AU$2,BS_RE33!$N$7:$N$874,I12,BS_RE33!$P$7:$P$874,'30 days CF Table(EUR)'!G12,BS_RE33!$F$7:$F$874,'30 days CF Table(EUR)'!$C$2)</f>
        <v>0</v>
      </c>
      <c r="AV12" s="379">
        <f>SUMIFS(BS_RE33!$H$7:$H$874,BS_RE33!$S$7:$S$874,$AV$2,BS_RE33!$N$7:$N$874,I12,BS_RE33!$P$7:$P$874,'30 days CF Table(EUR)'!G12,BS_RE33!$F$7:$F$874,'30 days CF Table(EUR)'!$C$2)</f>
        <v>0</v>
      </c>
      <c r="AW12" s="379">
        <f>SUMIFS(BS_RE33!$H$7:$H$874,BS_RE33!$S$7:$S$874,$AW$2,BS_RE33!$N$7:$N$874,I12,BS_RE33!$P$7:$P$874,'30 days CF Table(EUR)'!G12,BS_RE33!$F$7:$F$874,'30 days CF Table(EUR)'!$C$2)</f>
        <v>0</v>
      </c>
      <c r="AX12" s="379">
        <f>SUMIFS(BS_RE33!$H$7:$H$874,BS_RE33!$S$7:$S$874,$AX$2,BS_RE33!$N$7:$N$874,I12,BS_RE33!$P$7:$P$874,'30 days CF Table(EUR)'!G12,BS_RE33!$F$7:$F$874,'30 days CF Table(EUR)'!$C$2)</f>
        <v>0</v>
      </c>
      <c r="AY12" s="379">
        <f>SUMIFS(BS_RE33!$H$7:$H$874,BS_RE33!$S$7:$S$874,$AY$2,BS_RE33!$N$7:$N$874,I12,BS_RE33!$P$7:$P$874,'30 days CF Table(EUR)'!G12,BS_RE33!$F$7:$F$874,'30 days CF Table(EUR)'!$C$2)</f>
        <v>0</v>
      </c>
      <c r="AZ12" s="379">
        <f>SUMIFS(BS_RE33!$H$7:$H$874,BS_RE33!$S$7:$S$874,$AZ$2,BS_RE33!$N$7:$N$874,I12,BS_RE33!$P$7:$P$874,'30 days CF Table(EUR)'!G12,BS_RE33!$F$7:$F$874,'30 days CF Table(EUR)'!$C$2)</f>
        <v>0</v>
      </c>
      <c r="BA12" s="379">
        <f>SUMIFS(BS_RE33!$H$7:$H$874,BS_RE33!$S$7:$S$874,$BA$2,BS_RE33!$N$7:$N$874,I12,BS_RE33!$P$7:$P$874,'30 days CF Table(EUR)'!G12,BS_RE33!$F$7:$F$874,'30 days CF Table(EUR)'!$C$2)</f>
        <v>0</v>
      </c>
      <c r="BB12" s="379">
        <f>SUMIFS(BS_RE33!$H$7:$H$874,BS_RE33!$S$7:$S$874,$BB$2,BS_RE33!$N$7:$N$874,I12,BS_RE33!$P$7:$P$874,'30 days CF Table(EUR)'!G12,BS_RE33!$F$7:$F$874,'30 days CF Table(EUR)'!$C$2)</f>
        <v>0</v>
      </c>
      <c r="BC12" s="379">
        <f>SUMIFS(BS_RE33!$H$7:$H$874,BS_RE33!$S$7:$S$874,$BC$2,BS_RE33!$N$7:$N$874,I12,BS_RE33!$P$7:$P$874,'30 days CF Table(EUR)'!G12,BS_RE33!$F$7:$F$874,'30 days CF Table(EUR)'!$C$2)</f>
        <v>0</v>
      </c>
      <c r="BD12" s="379">
        <f>SUMIFS(BS_RE33!$H$7:$H$874,BS_RE33!$S$7:$S$874,$BD$2,BS_RE33!$N$7:$N$874,I12,BS_RE33!$P$7:$P$874,'30 days CF Table(EUR)'!G12,BS_RE33!$F$7:$F$874,'30 days CF Table(EUR)'!$C$2)</f>
        <v>0</v>
      </c>
      <c r="BE12" s="379">
        <f>SUMIFS(BS_RE33!$H$7:$H$874,BS_RE33!$S$7:$S$874,$BE$2,BS_RE33!$N$7:$N$874,I12,BS_RE33!$P$7:$P$874,'30 days CF Table(EUR)'!G12,BS_RE33!$F$7:$F$874,'30 days CF Table(EUR)'!$C$2)</f>
        <v>0</v>
      </c>
      <c r="BF12" s="379">
        <f>SUMIFS(BS_RE33!$H$7:$H$874,BS_RE33!$S$7:$S$874,$BF$2,BS_RE33!$N$7:$N$874,I12,BS_RE33!$P$7:$P$874,'30 days CF Table(EUR)'!G12,BS_RE33!$F$7:$F$874,'30 days CF Table(EUR)'!$C$2)</f>
        <v>0</v>
      </c>
      <c r="BG12" s="379">
        <f>SUMIFS(BS_RE33!$H$7:$H$874,BS_RE33!$S$7:$S$874,$BG$2,BS_RE33!$N$7:$N$874,I12,BS_RE33!$P$7:$P$874,'30 days CF Table(EUR)'!G12,BS_RE33!$F$7:$F$874,'30 days CF Table(EUR)'!$C$2)</f>
        <v>0</v>
      </c>
      <c r="BH12" s="379">
        <f>SUMIFS(BS_RE33!$H$7:$H$874,BS_RE33!$S$7:$S$874,$BH$2,BS_RE33!$N$7:$N$874,I12,BS_RE33!$P$7:$P$874,'30 days CF Table(EUR)'!G12,BS_RE33!$F$7:$F$874,'30 days CF Table(EUR)'!$C$2)</f>
        <v>0</v>
      </c>
      <c r="BI12" s="379">
        <f>SUMIFS(BS_RE33!$H$7:$H$874,BS_RE33!$S$7:$S$874,$BI$2,BS_RE33!$N$7:$N$874,I12,BS_RE33!$P$7:$P$874,'30 days CF Table(EUR)'!G12,BS_RE33!$F$7:$F$874,'30 days CF Table(EUR)'!$C$2)</f>
        <v>0</v>
      </c>
      <c r="BJ12" s="379">
        <f>SUMIFS(BS_RE33!$H$7:$H$874,BS_RE33!$S$7:$S$874,$BJ$2,BS_RE33!$N$7:$N$874,I12,BS_RE33!$P$7:$P$874,'30 days CF Table(EUR)'!G12,BS_RE33!$F$7:$F$874,'30 days CF Table(EUR)'!$C$2)</f>
        <v>0</v>
      </c>
      <c r="BK12" s="379">
        <f>SUMIFS(BS_RE33!$H$7:$H$874,BS_RE33!$S$7:$S$874,$BK$2,BS_RE33!$N$7:$N$874,I12,BS_RE33!$P$7:$P$874,'30 days CF Table(EUR)'!G12,BS_RE33!$F$7:$F$874,'30 days CF Table(EUR)'!$C$2)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Table(EUR)'!G13,BS_RE33!$F$7:$F$874,'30 days CF Table(EUR)'!$C$2)</f>
        <v>0</v>
      </c>
      <c r="M13" s="337">
        <f>SUMIFS(BS_RE33!$H$7:$H$874,BS_RE33!$S$7:$S$874,$M$2,BS_RE33!$N$7:$N$874,I13,BS_RE33!$P$7:$P$874,'30 days CF Table(EUR)'!G13,BS_RE33!$F$7:$F$874,'30 days CF Table(EUR)'!$C$2)</f>
        <v>0</v>
      </c>
      <c r="N13" s="337">
        <f>SUMIFS(BS_RE33!$H$7:$H$874,BS_RE33!$S$7:$S$874,$N$2,BS_RE33!$N$7:$N$874,I13,BS_RE33!$P$7:$P$874,'30 days CF Table(EUR)'!G13,BS_RE33!$F$7:$F$874,'30 days CF Table(EUR)'!$C$2)</f>
        <v>0</v>
      </c>
      <c r="O13" s="337">
        <f>SUMIFS(BS_RE33!$H$7:$H$874,BS_RE33!$S$7:$S$874,$O$2,BS_RE33!$N$7:$N$874,I13,BS_RE33!$P$7:$P$874,'30 days CF Table(EUR)'!G13,BS_RE33!$F$7:$F$874,'30 days CF Table(EUR)'!$C$2)</f>
        <v>0</v>
      </c>
      <c r="P13" s="337">
        <f>SUMIFS(BS_RE33!$H$7:$H$874,BS_RE33!$S$7:$S$874,$P$2,BS_RE33!$N$7:$N$874,I13,BS_RE33!$P$7:$P$874,'30 days CF Table(EUR)'!G13,BS_RE33!$F$7:$F$874,'30 days CF Table(EUR)'!$C$2)</f>
        <v>0</v>
      </c>
      <c r="Q13" s="337">
        <f>SUMIFS(BS_RE33!$H$7:$H$874,BS_RE33!$S$7:$S$874,$Q$2,BS_RE33!$N$7:$N$874,I13,BS_RE33!$P$7:$P$874,'30 days CF Table(EUR)'!G13,BS_RE33!$F$7:$F$874,'30 days CF Table(EUR)'!$C$2)</f>
        <v>0</v>
      </c>
      <c r="R13" s="337">
        <f>SUMIFS(BS_RE33!$H$7:$H$874,BS_RE33!$S$7:$S$874,$R$2,BS_RE33!$N$7:$N$874,I13,BS_RE33!$P$7:$P$874,'30 days CF Table(EUR)'!G13,BS_RE33!$F$7:$F$874,'30 days CF Table(EUR)'!$C$2)</f>
        <v>0</v>
      </c>
      <c r="S13" s="337">
        <f>SUMIFS(BS_RE33!$H$7:$H$874,BS_RE33!$S$7:$S$874,$S$2,BS_RE33!$N$7:$N$874,I13,BS_RE33!$P$7:$P$874,'30 days CF Table(EUR)'!G13,BS_RE33!$F$7:$F$874,'30 days CF Table(EUR)'!$C$2)</f>
        <v>0</v>
      </c>
      <c r="T13" s="337">
        <f>SUMIFS(BS_RE33!$H$7:$H$874,BS_RE33!$S$7:$S$874,$T$2,BS_RE33!$N$7:$N$874,I13,BS_RE33!$P$7:$P$874,'30 days CF Table(EUR)'!G13,BS_RE33!$F$7:$F$874,'30 days CF Table(EUR)'!$C$2)</f>
        <v>0</v>
      </c>
      <c r="U13" s="337">
        <f>SUMIFS(BS_RE33!$H$7:$H$874,BS_RE33!$S$7:$S$874,$U$2,BS_RE33!$N$7:$N$874,I13,BS_RE33!$P$7:$P$874,'30 days CF Table(EUR)'!G13,BS_RE33!$F$7:$F$874,'30 days CF Table(EUR)'!$C$2)</f>
        <v>0</v>
      </c>
      <c r="V13" s="337">
        <f>SUMIFS(BS_RE33!$H$7:$H$874,BS_RE33!$S$7:$S$874,$V$2,BS_RE33!$N$7:$N$874,I13,BS_RE33!$P$7:$P$874,'30 days CF Table(EUR)'!G13,BS_RE33!$F$7:$F$874,'30 days CF Table(EUR)'!$C$2)</f>
        <v>0</v>
      </c>
      <c r="W13" s="337">
        <f>SUMIFS(BS_RE33!$H$7:$H$874,BS_RE33!$S$7:$S$874,$W$2,BS_RE33!$N$7:$N$874,I13,BS_RE33!$P$7:$P$874,'30 days CF Table(EUR)'!G13,BS_RE33!$F$7:$F$874,'30 days CF Table(EUR)'!$C$2)</f>
        <v>0</v>
      </c>
      <c r="X13" s="337">
        <f>SUMIFS(BS_RE33!$H$7:$H$874,BS_RE33!$S$7:$S$874,$X$2,BS_RE33!$N$7:$N$874,I13,BS_RE33!$P$7:$P$874,'30 days CF Table(EUR)'!G13,BS_RE33!$F$7:$F$874,'30 days CF Table(EUR)'!$C$2)</f>
        <v>0</v>
      </c>
      <c r="Y13" s="337">
        <f>SUMIFS(BS_RE33!$H$7:$H$874,BS_RE33!$S$7:$S$874,$Y$2,BS_RE33!$N$7:$N$874,I13,BS_RE33!$P$7:$P$874,'30 days CF Table(EUR)'!G13,BS_RE33!$F$7:$F$874,'30 days CF Table(EUR)'!$C$2)</f>
        <v>0</v>
      </c>
      <c r="Z13" s="337">
        <f>SUMIFS(BS_RE33!$H$7:$H$874,BS_RE33!$S$7:$S$874,$Z$2,BS_RE33!$N$7:$N$874,I13,BS_RE33!$P$7:$P$874,'30 days CF Table(EUR)'!G13,BS_RE33!$F$7:$F$874,'30 days CF Table(EUR)'!$C$2)</f>
        <v>0</v>
      </c>
      <c r="AA13" s="337">
        <f>SUMIFS(BS_RE33!$H$7:$H$874,BS_RE33!$S$7:$S$874,$AA$2,BS_RE33!$N$7:$N$874,I13,BS_RE33!$P$7:$P$874,'30 days CF Table(EUR)'!G13,BS_RE33!$F$7:$F$874,'30 days CF Table(EUR)'!$C$2)</f>
        <v>0</v>
      </c>
      <c r="AB13" s="337">
        <f>SUMIFS(BS_RE33!$H$7:$H$874,BS_RE33!$S$7:$S$874,$AB$2,BS_RE33!$N$7:$N$874,I13,BS_RE33!$P$7:$P$874,'30 days CF Table(EUR)'!G13,BS_RE33!$F$7:$F$874,'30 days CF Table(EUR)'!$C$2)</f>
        <v>0</v>
      </c>
      <c r="AC13" s="337">
        <f>SUMIFS(BS_RE33!$H$7:$H$874,BS_RE33!$S$7:$S$874,$AC$2,BS_RE33!$N$7:$N$874,I13,BS_RE33!$P$7:$P$874,'30 days CF Table(EUR)'!G13,BS_RE33!$F$7:$F$874,'30 days CF Table(EUR)'!$C$2)</f>
        <v>0</v>
      </c>
      <c r="AD13" s="337">
        <f>SUMIFS(BS_RE33!$H$7:$H$874,BS_RE33!$S$7:$S$874,$AD$2,BS_RE33!$N$7:$N$874,I13,BS_RE33!$P$7:$P$874,'30 days CF Table(EUR)'!G13,BS_RE33!$F$7:$F$874,'30 days CF Table(EUR)'!$C$2)</f>
        <v>0</v>
      </c>
      <c r="AE13" s="337">
        <f>SUMIFS(BS_RE33!$H$7:$H$874,BS_RE33!$S$7:$S$874,$AE$2,BS_RE33!$N$7:$N$874,I13,BS_RE33!$P$7:$P$874,'30 days CF Table(EUR)'!G13,BS_RE33!$F$7:$F$874,'30 days CF Table(EUR)'!$C$2)</f>
        <v>0</v>
      </c>
      <c r="AF13" s="337">
        <f>SUMIFS(BS_RE33!$H$7:$H$874,BS_RE33!$S$7:$S$874,$AF$2,BS_RE33!$N$7:$N$874,I13,BS_RE33!$P$7:$P$874,'30 days CF Table(EUR)'!G13,BS_RE33!$F$7:$F$874,'30 days CF Table(EUR)'!$C$2)</f>
        <v>0</v>
      </c>
      <c r="AG13" s="337">
        <f>SUMIFS(BS_RE33!$H$7:$H$874,BS_RE33!$S$7:$S$874,$AG$2,BS_RE33!$N$7:$N$874,I13,BS_RE33!$P$7:$P$874,'30 days CF Table(EUR)'!G13,BS_RE33!$F$7:$F$874,'30 days CF Table(EUR)'!$C$2)</f>
        <v>0</v>
      </c>
      <c r="AH13" s="337">
        <f>SUMIFS(BS_RE33!$H$7:$H$874,BS_RE33!$S$7:$S$874,$AH$2,BS_RE33!$N$7:$N$874,I13,BS_RE33!$P$7:$P$874,'30 days CF Table(EUR)'!G13,BS_RE33!$F$7:$F$874,'30 days CF Table(EUR)'!$C$2)</f>
        <v>0</v>
      </c>
      <c r="AI13" s="337">
        <f>SUMIFS(BS_RE33!$H$7:$H$874,BS_RE33!$S$7:$S$874,$AI$2,BS_RE33!$N$7:$N$874,I13,BS_RE33!$P$7:$P$874,'30 days CF Table(EUR)'!G13,BS_RE33!$F$7:$F$874,'30 days CF Table(EUR)'!$C$2)</f>
        <v>0</v>
      </c>
      <c r="AJ13" s="337">
        <f>SUMIFS(BS_RE33!$H$7:$H$874,BS_RE33!$S$7:$S$874,$AJ$2,BS_RE33!$N$7:$N$874,I13,BS_RE33!$P$7:$P$874,'30 days CF Table(EUR)'!G13,BS_RE33!$F$7:$F$874,'30 days CF Table(EUR)'!$C$2)</f>
        <v>0</v>
      </c>
      <c r="AK13" s="337">
        <f>SUMIFS(BS_RE33!$H$7:$H$874,BS_RE33!$S$7:$S$874,$AK$2,BS_RE33!$N$7:$N$874,I13,BS_RE33!$P$7:$P$874,'30 days CF Table(EUR)'!G13,BS_RE33!$F$7:$F$874,'30 days CF Table(EUR)'!$C$2)</f>
        <v>0</v>
      </c>
      <c r="AL13" s="337">
        <f>SUMIFS(BS_RE33!$H$7:$H$874,BS_RE33!$S$7:$S$874,$AL$2,BS_RE33!$N$7:$N$874,I13,BS_RE33!$P$7:$P$874,'30 days CF Table(EUR)'!G13,BS_RE33!$F$7:$F$874,'30 days CF Table(EUR)'!$C$2)</f>
        <v>0</v>
      </c>
      <c r="AM13" s="337">
        <f>SUMIFS(BS_RE33!$H$7:$H$874,BS_RE33!$S$7:$S$874,$AM$2,BS_RE33!$N$7:$N$874,I13,BS_RE33!$P$7:$P$874,'30 days CF Table(EUR)'!G13,BS_RE33!$F$7:$F$874,'30 days CF Table(EUR)'!$C$2)</f>
        <v>0</v>
      </c>
      <c r="AN13" s="337">
        <f>SUMIFS(BS_RE33!$H$7:$H$874,BS_RE33!$S$7:$S$874,$AN$2,BS_RE33!$N$7:$N$874,I13,BS_RE33!$P$7:$P$874,'30 days CF Table(EUR)'!G13,BS_RE33!$F$7:$F$874,'30 days CF Table(EUR)'!$C$2)</f>
        <v>0</v>
      </c>
      <c r="AO13" s="337">
        <f>SUMIFS(BS_RE33!$H$7:$H$874,BS_RE33!$S$7:$S$874,$AO$2,BS_RE33!$N$7:$N$874,I13,BS_RE33!$P$7:$P$874,'30 days CF Table(EUR)'!G13,BS_RE33!$F$7:$F$874,'30 days CF Table(EUR)'!$C$2)</f>
        <v>0</v>
      </c>
      <c r="AP13" s="338">
        <f>SUMIFS(BS_RE33!$H$7:$H$874,BS_RE33!$S$7:$S$874,$AP$2,BS_RE33!$N$7:$N$874,I13,BS_RE33!$P$7:$P$874,'30 days CF Table(EUR)'!G13,BS_RE33!$F$7:$F$874,'30 days CF Table(EUR)'!$C$2)</f>
        <v>0</v>
      </c>
      <c r="AQ13" s="545"/>
      <c r="AR13" s="379">
        <f>SUMIFS(BS_RE33!$H$7:$H$874,BS_RE33!$S$7:$S$874,$AR$2,BS_RE33!$N$7:$N$874,I13,BS_RE33!$P$7:$P$874,'30 days CF Table(EUR)'!G13,BS_RE33!$F$7:$F$874,'30 days CF Table(EUR)'!$C$2)</f>
        <v>0</v>
      </c>
      <c r="AS13" s="379">
        <f>SUMIFS(BS_RE33!$H$7:$H$874,BS_RE33!$S$7:$S$874,$AS$2,BS_RE33!$N$7:$N$874,I13,BS_RE33!$P$7:$P$874,'30 days CF Table(EUR)'!G13,BS_RE33!$F$7:$F$874,'30 days CF Table(EUR)'!$C$2)</f>
        <v>0</v>
      </c>
      <c r="AT13" s="379">
        <f>SUMIFS(BS_RE33!$H$7:$H$874,BS_RE33!$S$7:$S$874,$AT$2,BS_RE33!$N$7:$N$874,I13,BS_RE33!$P$7:$P$874,'30 days CF Table(EUR)'!G13,BS_RE33!$F$7:$F$874,'30 days CF Table(EUR)'!$C$2)</f>
        <v>0</v>
      </c>
      <c r="AU13" s="379">
        <f>SUMIFS(BS_RE33!$H$7:$H$874,BS_RE33!$S$7:$S$874,$AU$2,BS_RE33!$N$7:$N$874,I13,BS_RE33!$P$7:$P$874,'30 days CF Table(EUR)'!G13,BS_RE33!$F$7:$F$874,'30 days CF Table(EUR)'!$C$2)</f>
        <v>0</v>
      </c>
      <c r="AV13" s="379">
        <f>SUMIFS(BS_RE33!$H$7:$H$874,BS_RE33!$S$7:$S$874,$AV$2,BS_RE33!$N$7:$N$874,I13,BS_RE33!$P$7:$P$874,'30 days CF Table(EUR)'!G13,BS_RE33!$F$7:$F$874,'30 days CF Table(EUR)'!$C$2)</f>
        <v>0</v>
      </c>
      <c r="AW13" s="379">
        <f>SUMIFS(BS_RE33!$H$7:$H$874,BS_RE33!$S$7:$S$874,$AW$2,BS_RE33!$N$7:$N$874,I13,BS_RE33!$P$7:$P$874,'30 days CF Table(EUR)'!G13,BS_RE33!$F$7:$F$874,'30 days CF Table(EUR)'!$C$2)</f>
        <v>0</v>
      </c>
      <c r="AX13" s="379">
        <f>SUMIFS(BS_RE33!$H$7:$H$874,BS_RE33!$S$7:$S$874,$AX$2,BS_RE33!$N$7:$N$874,I13,BS_RE33!$P$7:$P$874,'30 days CF Table(EUR)'!G13,BS_RE33!$F$7:$F$874,'30 days CF Table(EUR)'!$C$2)</f>
        <v>0</v>
      </c>
      <c r="AY13" s="379">
        <f>SUMIFS(BS_RE33!$H$7:$H$874,BS_RE33!$S$7:$S$874,$AY$2,BS_RE33!$N$7:$N$874,I13,BS_RE33!$P$7:$P$874,'30 days CF Table(EUR)'!G13,BS_RE33!$F$7:$F$874,'30 days CF Table(EUR)'!$C$2)</f>
        <v>0</v>
      </c>
      <c r="AZ13" s="379">
        <f>SUMIFS(BS_RE33!$H$7:$H$874,BS_RE33!$S$7:$S$874,$AZ$2,BS_RE33!$N$7:$N$874,I13,BS_RE33!$P$7:$P$874,'30 days CF Table(EUR)'!G13,BS_RE33!$F$7:$F$874,'30 days CF Table(EUR)'!$C$2)</f>
        <v>0</v>
      </c>
      <c r="BA13" s="379">
        <f>SUMIFS(BS_RE33!$H$7:$H$874,BS_RE33!$S$7:$S$874,$BA$2,BS_RE33!$N$7:$N$874,I13,BS_RE33!$P$7:$P$874,'30 days CF Table(EUR)'!G13,BS_RE33!$F$7:$F$874,'30 days CF Table(EUR)'!$C$2)</f>
        <v>0</v>
      </c>
      <c r="BB13" s="379">
        <f>SUMIFS(BS_RE33!$H$7:$H$874,BS_RE33!$S$7:$S$874,$BB$2,BS_RE33!$N$7:$N$874,I13,BS_RE33!$P$7:$P$874,'30 days CF Table(EUR)'!G13,BS_RE33!$F$7:$F$874,'30 days CF Table(EUR)'!$C$2)</f>
        <v>0</v>
      </c>
      <c r="BC13" s="379">
        <f>SUMIFS(BS_RE33!$H$7:$H$874,BS_RE33!$S$7:$S$874,$BC$2,BS_RE33!$N$7:$N$874,I13,BS_RE33!$P$7:$P$874,'30 days CF Table(EUR)'!G13,BS_RE33!$F$7:$F$874,'30 days CF Table(EUR)'!$C$2)</f>
        <v>0</v>
      </c>
      <c r="BD13" s="379">
        <f>SUMIFS(BS_RE33!$H$7:$H$874,BS_RE33!$S$7:$S$874,$BD$2,BS_RE33!$N$7:$N$874,I13,BS_RE33!$P$7:$P$874,'30 days CF Table(EUR)'!G13,BS_RE33!$F$7:$F$874,'30 days CF Table(EUR)'!$C$2)</f>
        <v>0</v>
      </c>
      <c r="BE13" s="379">
        <f>SUMIFS(BS_RE33!$H$7:$H$874,BS_RE33!$S$7:$S$874,$BE$2,BS_RE33!$N$7:$N$874,I13,BS_RE33!$P$7:$P$874,'30 days CF Table(EUR)'!G13,BS_RE33!$F$7:$F$874,'30 days CF Table(EUR)'!$C$2)</f>
        <v>0</v>
      </c>
      <c r="BF13" s="379">
        <f>SUMIFS(BS_RE33!$H$7:$H$874,BS_RE33!$S$7:$S$874,$BF$2,BS_RE33!$N$7:$N$874,I13,BS_RE33!$P$7:$P$874,'30 days CF Table(EUR)'!G13,BS_RE33!$F$7:$F$874,'30 days CF Table(EUR)'!$C$2)</f>
        <v>0</v>
      </c>
      <c r="BG13" s="379">
        <f>SUMIFS(BS_RE33!$H$7:$H$874,BS_RE33!$S$7:$S$874,$BG$2,BS_RE33!$N$7:$N$874,I13,BS_RE33!$P$7:$P$874,'30 days CF Table(EUR)'!G13,BS_RE33!$F$7:$F$874,'30 days CF Table(EUR)'!$C$2)</f>
        <v>0</v>
      </c>
      <c r="BH13" s="379">
        <f>SUMIFS(BS_RE33!$H$7:$H$874,BS_RE33!$S$7:$S$874,$BH$2,BS_RE33!$N$7:$N$874,I13,BS_RE33!$P$7:$P$874,'30 days CF Table(EUR)'!G13,BS_RE33!$F$7:$F$874,'30 days CF Table(EUR)'!$C$2)</f>
        <v>0</v>
      </c>
      <c r="BI13" s="379">
        <f>SUMIFS(BS_RE33!$H$7:$H$874,BS_RE33!$S$7:$S$874,$BI$2,BS_RE33!$N$7:$N$874,I13,BS_RE33!$P$7:$P$874,'30 days CF Table(EUR)'!G13,BS_RE33!$F$7:$F$874,'30 days CF Table(EUR)'!$C$2)</f>
        <v>0</v>
      </c>
      <c r="BJ13" s="379">
        <f>SUMIFS(BS_RE33!$H$7:$H$874,BS_RE33!$S$7:$S$874,$BJ$2,BS_RE33!$N$7:$N$874,I13,BS_RE33!$P$7:$P$874,'30 days CF Table(EUR)'!G13,BS_RE33!$F$7:$F$874,'30 days CF Table(EUR)'!$C$2)</f>
        <v>0</v>
      </c>
      <c r="BK13" s="379">
        <f>SUMIFS(BS_RE33!$H$7:$H$874,BS_RE33!$S$7:$S$874,$BK$2,BS_RE33!$N$7:$N$874,I13,BS_RE33!$P$7:$P$874,'30 days CF Table(EUR)'!G13,BS_RE33!$F$7:$F$874,'30 days CF Table(EUR)'!$C$2)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Table(EUR)'!G14,BS_RE33!$F$7:$F$874,'30 days CF Table(EUR)'!$C$2)</f>
        <v>0</v>
      </c>
      <c r="M14" s="337">
        <f>SUMIFS(BS_RE33!$H$7:$H$874,BS_RE33!$S$7:$S$874,$M$2,BS_RE33!$N$7:$N$874,I14,BS_RE33!$P$7:$P$874,'30 days CF Table(EUR)'!G14,BS_RE33!$F$7:$F$874,'30 days CF Table(EUR)'!$C$2)</f>
        <v>0</v>
      </c>
      <c r="N14" s="337">
        <f>SUMIFS(BS_RE33!$H$7:$H$874,BS_RE33!$S$7:$S$874,$N$2,BS_RE33!$N$7:$N$874,I14,BS_RE33!$P$7:$P$874,'30 days CF Table(EUR)'!G14,BS_RE33!$F$7:$F$874,'30 days CF Table(EUR)'!$C$2)</f>
        <v>0</v>
      </c>
      <c r="O14" s="337">
        <f>SUMIFS(BS_RE33!$H$7:$H$874,BS_RE33!$S$7:$S$874,$O$2,BS_RE33!$N$7:$N$874,I14,BS_RE33!$P$7:$P$874,'30 days CF Table(EUR)'!G14,BS_RE33!$F$7:$F$874,'30 days CF Table(EUR)'!$C$2)</f>
        <v>0</v>
      </c>
      <c r="P14" s="337">
        <f>SUMIFS(BS_RE33!$H$7:$H$874,BS_RE33!$S$7:$S$874,$P$2,BS_RE33!$N$7:$N$874,I14,BS_RE33!$P$7:$P$874,'30 days CF Table(EUR)'!G14,BS_RE33!$F$7:$F$874,'30 days CF Table(EUR)'!$C$2)</f>
        <v>0</v>
      </c>
      <c r="Q14" s="337">
        <f>SUMIFS(BS_RE33!$H$7:$H$874,BS_RE33!$S$7:$S$874,$Q$2,BS_RE33!$N$7:$N$874,I14,BS_RE33!$P$7:$P$874,'30 days CF Table(EUR)'!G14,BS_RE33!$F$7:$F$874,'30 days CF Table(EUR)'!$C$2)</f>
        <v>0</v>
      </c>
      <c r="R14" s="337">
        <f>SUMIFS(BS_RE33!$H$7:$H$874,BS_RE33!$S$7:$S$874,$R$2,BS_RE33!$N$7:$N$874,I14,BS_RE33!$P$7:$P$874,'30 days CF Table(EUR)'!G14,BS_RE33!$F$7:$F$874,'30 days CF Table(EUR)'!$C$2)</f>
        <v>0</v>
      </c>
      <c r="S14" s="337">
        <f>SUMIFS(BS_RE33!$H$7:$H$874,BS_RE33!$S$7:$S$874,$S$2,BS_RE33!$N$7:$N$874,I14,BS_RE33!$P$7:$P$874,'30 days CF Table(EUR)'!G14,BS_RE33!$F$7:$F$874,'30 days CF Table(EUR)'!$C$2)</f>
        <v>0</v>
      </c>
      <c r="T14" s="337">
        <f>SUMIFS(BS_RE33!$H$7:$H$874,BS_RE33!$S$7:$S$874,$T$2,BS_RE33!$N$7:$N$874,I14,BS_RE33!$P$7:$P$874,'30 days CF Table(EUR)'!G14,BS_RE33!$F$7:$F$874,'30 days CF Table(EUR)'!$C$2)</f>
        <v>0</v>
      </c>
      <c r="U14" s="337">
        <f>SUMIFS(BS_RE33!$H$7:$H$874,BS_RE33!$S$7:$S$874,$U$2,BS_RE33!$N$7:$N$874,I14,BS_RE33!$P$7:$P$874,'30 days CF Table(EUR)'!G14,BS_RE33!$F$7:$F$874,'30 days CF Table(EUR)'!$C$2)</f>
        <v>0</v>
      </c>
      <c r="V14" s="337">
        <f>SUMIFS(BS_RE33!$H$7:$H$874,BS_RE33!$S$7:$S$874,$V$2,BS_RE33!$N$7:$N$874,I14,BS_RE33!$P$7:$P$874,'30 days CF Table(EUR)'!G14,BS_RE33!$F$7:$F$874,'30 days CF Table(EUR)'!$C$2)</f>
        <v>0</v>
      </c>
      <c r="W14" s="337">
        <f>SUMIFS(BS_RE33!$H$7:$H$874,BS_RE33!$S$7:$S$874,$W$2,BS_RE33!$N$7:$N$874,I14,BS_RE33!$P$7:$P$874,'30 days CF Table(EUR)'!G14,BS_RE33!$F$7:$F$874,'30 days CF Table(EUR)'!$C$2)</f>
        <v>0</v>
      </c>
      <c r="X14" s="337">
        <f>SUMIFS(BS_RE33!$H$7:$H$874,BS_RE33!$S$7:$S$874,$X$2,BS_RE33!$N$7:$N$874,I14,BS_RE33!$P$7:$P$874,'30 days CF Table(EUR)'!G14,BS_RE33!$F$7:$F$874,'30 days CF Table(EUR)'!$C$2)</f>
        <v>0</v>
      </c>
      <c r="Y14" s="337">
        <f>SUMIFS(BS_RE33!$H$7:$H$874,BS_RE33!$S$7:$S$874,$Y$2,BS_RE33!$N$7:$N$874,I14,BS_RE33!$P$7:$P$874,'30 days CF Table(EUR)'!G14,BS_RE33!$F$7:$F$874,'30 days CF Table(EUR)'!$C$2)</f>
        <v>0</v>
      </c>
      <c r="Z14" s="337">
        <f>SUMIFS(BS_RE33!$H$7:$H$874,BS_RE33!$S$7:$S$874,$Z$2,BS_RE33!$N$7:$N$874,I14,BS_RE33!$P$7:$P$874,'30 days CF Table(EUR)'!G14,BS_RE33!$F$7:$F$874,'30 days CF Table(EUR)'!$C$2)</f>
        <v>0</v>
      </c>
      <c r="AA14" s="337">
        <f>SUMIFS(BS_RE33!$H$7:$H$874,BS_RE33!$S$7:$S$874,$AA$2,BS_RE33!$N$7:$N$874,I14,BS_RE33!$P$7:$P$874,'30 days CF Table(EUR)'!G14,BS_RE33!$F$7:$F$874,'30 days CF Table(EUR)'!$C$2)</f>
        <v>0</v>
      </c>
      <c r="AB14" s="337">
        <f>SUMIFS(BS_RE33!$H$7:$H$874,BS_RE33!$S$7:$S$874,$AB$2,BS_RE33!$N$7:$N$874,I14,BS_RE33!$P$7:$P$874,'30 days CF Table(EUR)'!G14,BS_RE33!$F$7:$F$874,'30 days CF Table(EUR)'!$C$2)</f>
        <v>0</v>
      </c>
      <c r="AC14" s="337">
        <f>SUMIFS(BS_RE33!$H$7:$H$874,BS_RE33!$S$7:$S$874,$AC$2,BS_RE33!$N$7:$N$874,I14,BS_RE33!$P$7:$P$874,'30 days CF Table(EUR)'!G14,BS_RE33!$F$7:$F$874,'30 days CF Table(EUR)'!$C$2)</f>
        <v>0</v>
      </c>
      <c r="AD14" s="337">
        <f>SUMIFS(BS_RE33!$H$7:$H$874,BS_RE33!$S$7:$S$874,$AD$2,BS_RE33!$N$7:$N$874,I14,BS_RE33!$P$7:$P$874,'30 days CF Table(EUR)'!G14,BS_RE33!$F$7:$F$874,'30 days CF Table(EUR)'!$C$2)</f>
        <v>0</v>
      </c>
      <c r="AE14" s="337">
        <f>SUMIFS(BS_RE33!$H$7:$H$874,BS_RE33!$S$7:$S$874,$AE$2,BS_RE33!$N$7:$N$874,I14,BS_RE33!$P$7:$P$874,'30 days CF Table(EUR)'!G14,BS_RE33!$F$7:$F$874,'30 days CF Table(EUR)'!$C$2)</f>
        <v>0</v>
      </c>
      <c r="AF14" s="337">
        <f>SUMIFS(BS_RE33!$H$7:$H$874,BS_RE33!$S$7:$S$874,$AF$2,BS_RE33!$N$7:$N$874,I14,BS_RE33!$P$7:$P$874,'30 days CF Table(EUR)'!G14,BS_RE33!$F$7:$F$874,'30 days CF Table(EUR)'!$C$2)</f>
        <v>0</v>
      </c>
      <c r="AG14" s="337">
        <f>SUMIFS(BS_RE33!$H$7:$H$874,BS_RE33!$S$7:$S$874,$AG$2,BS_RE33!$N$7:$N$874,I14,BS_RE33!$P$7:$P$874,'30 days CF Table(EUR)'!G14,BS_RE33!$F$7:$F$874,'30 days CF Table(EUR)'!$C$2)</f>
        <v>0</v>
      </c>
      <c r="AH14" s="337">
        <f>SUMIFS(BS_RE33!$H$7:$H$874,BS_RE33!$S$7:$S$874,$AH$2,BS_RE33!$N$7:$N$874,I14,BS_RE33!$P$7:$P$874,'30 days CF Table(EUR)'!G14,BS_RE33!$F$7:$F$874,'30 days CF Table(EUR)'!$C$2)</f>
        <v>0</v>
      </c>
      <c r="AI14" s="337">
        <f>SUMIFS(BS_RE33!$H$7:$H$874,BS_RE33!$S$7:$S$874,$AI$2,BS_RE33!$N$7:$N$874,I14,BS_RE33!$P$7:$P$874,'30 days CF Table(EUR)'!G14,BS_RE33!$F$7:$F$874,'30 days CF Table(EUR)'!$C$2)</f>
        <v>0</v>
      </c>
      <c r="AJ14" s="337">
        <f>SUMIFS(BS_RE33!$H$7:$H$874,BS_RE33!$S$7:$S$874,$AJ$2,BS_RE33!$N$7:$N$874,I14,BS_RE33!$P$7:$P$874,'30 days CF Table(EUR)'!G14,BS_RE33!$F$7:$F$874,'30 days CF Table(EUR)'!$C$2)</f>
        <v>0</v>
      </c>
      <c r="AK14" s="337">
        <f>SUMIFS(BS_RE33!$H$7:$H$874,BS_RE33!$S$7:$S$874,$AK$2,BS_RE33!$N$7:$N$874,I14,BS_RE33!$P$7:$P$874,'30 days CF Table(EUR)'!G14,BS_RE33!$F$7:$F$874,'30 days CF Table(EUR)'!$C$2)</f>
        <v>0</v>
      </c>
      <c r="AL14" s="337">
        <f>SUMIFS(BS_RE33!$H$7:$H$874,BS_RE33!$S$7:$S$874,$AL$2,BS_RE33!$N$7:$N$874,I14,BS_RE33!$P$7:$P$874,'30 days CF Table(EUR)'!G14,BS_RE33!$F$7:$F$874,'30 days CF Table(EUR)'!$C$2)</f>
        <v>0</v>
      </c>
      <c r="AM14" s="337">
        <f>SUMIFS(BS_RE33!$H$7:$H$874,BS_RE33!$S$7:$S$874,$AM$2,BS_RE33!$N$7:$N$874,I14,BS_RE33!$P$7:$P$874,'30 days CF Table(EUR)'!G14,BS_RE33!$F$7:$F$874,'30 days CF Table(EUR)'!$C$2)</f>
        <v>0</v>
      </c>
      <c r="AN14" s="337">
        <f>SUMIFS(BS_RE33!$H$7:$H$874,BS_RE33!$S$7:$S$874,$AN$2,BS_RE33!$N$7:$N$874,I14,BS_RE33!$P$7:$P$874,'30 days CF Table(EUR)'!G14,BS_RE33!$F$7:$F$874,'30 days CF Table(EUR)'!$C$2)</f>
        <v>0</v>
      </c>
      <c r="AO14" s="337">
        <f>SUMIFS(BS_RE33!$H$7:$H$874,BS_RE33!$S$7:$S$874,$AO$2,BS_RE33!$N$7:$N$874,I14,BS_RE33!$P$7:$P$874,'30 days CF Table(EUR)'!G14,BS_RE33!$F$7:$F$874,'30 days CF Table(EUR)'!$C$2)</f>
        <v>0</v>
      </c>
      <c r="AP14" s="338">
        <f>SUMIFS(BS_RE33!$H$7:$H$874,BS_RE33!$S$7:$S$874,$AP$2,BS_RE33!$N$7:$N$874,I14,BS_RE33!$P$7:$P$874,'30 days CF Table(EUR)'!G14,BS_RE33!$F$7:$F$874,'30 days CF Table(EUR)'!$C$2)</f>
        <v>0</v>
      </c>
      <c r="AQ14" s="545"/>
      <c r="AR14" s="379">
        <f>SUMIFS(BS_RE33!$H$7:$H$874,BS_RE33!$S$7:$S$874,$AR$2,BS_RE33!$N$7:$N$874,I14,BS_RE33!$P$7:$P$874,'30 days CF Table(EUR)'!G14,BS_RE33!$F$7:$F$874,'30 days CF Table(EUR)'!$C$2)</f>
        <v>0</v>
      </c>
      <c r="AS14" s="379">
        <f>SUMIFS(BS_RE33!$H$7:$H$874,BS_RE33!$S$7:$S$874,$AS$2,BS_RE33!$N$7:$N$874,I14,BS_RE33!$P$7:$P$874,'30 days CF Table(EUR)'!G14,BS_RE33!$F$7:$F$874,'30 days CF Table(EUR)'!$C$2)</f>
        <v>0</v>
      </c>
      <c r="AT14" s="379">
        <f>SUMIFS(BS_RE33!$H$7:$H$874,BS_RE33!$S$7:$S$874,$AT$2,BS_RE33!$N$7:$N$874,I14,BS_RE33!$P$7:$P$874,'30 days CF Table(EUR)'!G14,BS_RE33!$F$7:$F$874,'30 days CF Table(EUR)'!$C$2)</f>
        <v>0</v>
      </c>
      <c r="AU14" s="379">
        <f>SUMIFS(BS_RE33!$H$7:$H$874,BS_RE33!$S$7:$S$874,$AU$2,BS_RE33!$N$7:$N$874,I14,BS_RE33!$P$7:$P$874,'30 days CF Table(EUR)'!G14,BS_RE33!$F$7:$F$874,'30 days CF Table(EUR)'!$C$2)</f>
        <v>0</v>
      </c>
      <c r="AV14" s="379">
        <f>SUMIFS(BS_RE33!$H$7:$H$874,BS_RE33!$S$7:$S$874,$AV$2,BS_RE33!$N$7:$N$874,I14,BS_RE33!$P$7:$P$874,'30 days CF Table(EUR)'!G14,BS_RE33!$F$7:$F$874,'30 days CF Table(EUR)'!$C$2)</f>
        <v>0</v>
      </c>
      <c r="AW14" s="379">
        <f>SUMIFS(BS_RE33!$H$7:$H$874,BS_RE33!$S$7:$S$874,$AW$2,BS_RE33!$N$7:$N$874,I14,BS_RE33!$P$7:$P$874,'30 days CF Table(EUR)'!G14,BS_RE33!$F$7:$F$874,'30 days CF Table(EUR)'!$C$2)</f>
        <v>0</v>
      </c>
      <c r="AX14" s="379">
        <f>SUMIFS(BS_RE33!$H$7:$H$874,BS_RE33!$S$7:$S$874,$AX$2,BS_RE33!$N$7:$N$874,I14,BS_RE33!$P$7:$P$874,'30 days CF Table(EUR)'!G14,BS_RE33!$F$7:$F$874,'30 days CF Table(EUR)'!$C$2)</f>
        <v>0</v>
      </c>
      <c r="AY14" s="379">
        <f>SUMIFS(BS_RE33!$H$7:$H$874,BS_RE33!$S$7:$S$874,$AY$2,BS_RE33!$N$7:$N$874,I14,BS_RE33!$P$7:$P$874,'30 days CF Table(EUR)'!G14,BS_RE33!$F$7:$F$874,'30 days CF Table(EUR)'!$C$2)</f>
        <v>0</v>
      </c>
      <c r="AZ14" s="379">
        <f>SUMIFS(BS_RE33!$H$7:$H$874,BS_RE33!$S$7:$S$874,$AZ$2,BS_RE33!$N$7:$N$874,I14,BS_RE33!$P$7:$P$874,'30 days CF Table(EUR)'!G14,BS_RE33!$F$7:$F$874,'30 days CF Table(EUR)'!$C$2)</f>
        <v>0</v>
      </c>
      <c r="BA14" s="379">
        <f>SUMIFS(BS_RE33!$H$7:$H$874,BS_RE33!$S$7:$S$874,$BA$2,BS_RE33!$N$7:$N$874,I14,BS_RE33!$P$7:$P$874,'30 days CF Table(EUR)'!G14,BS_RE33!$F$7:$F$874,'30 days CF Table(EUR)'!$C$2)</f>
        <v>0</v>
      </c>
      <c r="BB14" s="379">
        <f>SUMIFS(BS_RE33!$H$7:$H$874,BS_RE33!$S$7:$S$874,$BB$2,BS_RE33!$N$7:$N$874,I14,BS_RE33!$P$7:$P$874,'30 days CF Table(EUR)'!G14,BS_RE33!$F$7:$F$874,'30 days CF Table(EUR)'!$C$2)</f>
        <v>0</v>
      </c>
      <c r="BC14" s="379">
        <f>SUMIFS(BS_RE33!$H$7:$H$874,BS_RE33!$S$7:$S$874,$BC$2,BS_RE33!$N$7:$N$874,I14,BS_RE33!$P$7:$P$874,'30 days CF Table(EUR)'!G14,BS_RE33!$F$7:$F$874,'30 days CF Table(EUR)'!$C$2)</f>
        <v>0</v>
      </c>
      <c r="BD14" s="379">
        <f>SUMIFS(BS_RE33!$H$7:$H$874,BS_RE33!$S$7:$S$874,$BD$2,BS_RE33!$N$7:$N$874,I14,BS_RE33!$P$7:$P$874,'30 days CF Table(EUR)'!G14,BS_RE33!$F$7:$F$874,'30 days CF Table(EUR)'!$C$2)</f>
        <v>0</v>
      </c>
      <c r="BE14" s="379">
        <f>SUMIFS(BS_RE33!$H$7:$H$874,BS_RE33!$S$7:$S$874,$BE$2,BS_RE33!$N$7:$N$874,I14,BS_RE33!$P$7:$P$874,'30 days CF Table(EUR)'!G14,BS_RE33!$F$7:$F$874,'30 days CF Table(EUR)'!$C$2)</f>
        <v>0</v>
      </c>
      <c r="BF14" s="379">
        <f>SUMIFS(BS_RE33!$H$7:$H$874,BS_RE33!$S$7:$S$874,$BF$2,BS_RE33!$N$7:$N$874,I14,BS_RE33!$P$7:$P$874,'30 days CF Table(EUR)'!G14,BS_RE33!$F$7:$F$874,'30 days CF Table(EUR)'!$C$2)</f>
        <v>0</v>
      </c>
      <c r="BG14" s="379">
        <f>SUMIFS(BS_RE33!$H$7:$H$874,BS_RE33!$S$7:$S$874,$BG$2,BS_RE33!$N$7:$N$874,I14,BS_RE33!$P$7:$P$874,'30 days CF Table(EUR)'!G14,BS_RE33!$F$7:$F$874,'30 days CF Table(EUR)'!$C$2)</f>
        <v>0</v>
      </c>
      <c r="BH14" s="379">
        <f>SUMIFS(BS_RE33!$H$7:$H$874,BS_RE33!$S$7:$S$874,$BH$2,BS_RE33!$N$7:$N$874,I14,BS_RE33!$P$7:$P$874,'30 days CF Table(EUR)'!G14,BS_RE33!$F$7:$F$874,'30 days CF Table(EUR)'!$C$2)</f>
        <v>0</v>
      </c>
      <c r="BI14" s="379">
        <f>SUMIFS(BS_RE33!$H$7:$H$874,BS_RE33!$S$7:$S$874,$BI$2,BS_RE33!$N$7:$N$874,I14,BS_RE33!$P$7:$P$874,'30 days CF Table(EUR)'!G14,BS_RE33!$F$7:$F$874,'30 days CF Table(EUR)'!$C$2)</f>
        <v>0</v>
      </c>
      <c r="BJ14" s="379">
        <f>SUMIFS(BS_RE33!$H$7:$H$874,BS_RE33!$S$7:$S$874,$BJ$2,BS_RE33!$N$7:$N$874,I14,BS_RE33!$P$7:$P$874,'30 days CF Table(EUR)'!G14,BS_RE33!$F$7:$F$874,'30 days CF Table(EUR)'!$C$2)</f>
        <v>0</v>
      </c>
      <c r="BK14" s="379">
        <f>SUMIFS(BS_RE33!$H$7:$H$874,BS_RE33!$S$7:$S$874,$BK$2,BS_RE33!$N$7:$N$874,I14,BS_RE33!$P$7:$P$874,'30 days CF Table(EUR)'!G14,BS_RE33!$F$7:$F$874,'30 days CF Table(EUR)'!$C$2)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Table(EUR)'!G15,BS_RE33!$F$7:$F$874,'30 days CF Table(EUR)'!$C$2)</f>
        <v>0</v>
      </c>
      <c r="M15" s="337">
        <f>SUMIFS(BS_RE33!$H$7:$H$874,BS_RE33!$S$7:$S$874,$M$2,BS_RE33!$N$7:$N$874,I15,BS_RE33!$P$7:$P$874,'30 days CF Table(EUR)'!G15,BS_RE33!$F$7:$F$874,'30 days CF Table(EUR)'!$C$2)</f>
        <v>0</v>
      </c>
      <c r="N15" s="337">
        <f>SUMIFS(BS_RE33!$H$7:$H$874,BS_RE33!$S$7:$S$874,$N$2,BS_RE33!$N$7:$N$874,I15,BS_RE33!$P$7:$P$874,'30 days CF Table(EUR)'!G15,BS_RE33!$F$7:$F$874,'30 days CF Table(EUR)'!$C$2)</f>
        <v>0</v>
      </c>
      <c r="O15" s="337">
        <f>SUMIFS(BS_RE33!$H$7:$H$874,BS_RE33!$S$7:$S$874,$O$2,BS_RE33!$N$7:$N$874,I15,BS_RE33!$P$7:$P$874,'30 days CF Table(EUR)'!G15,BS_RE33!$F$7:$F$874,'30 days CF Table(EUR)'!$C$2)</f>
        <v>0</v>
      </c>
      <c r="P15" s="337">
        <f>SUMIFS(BS_RE33!$H$7:$H$874,BS_RE33!$S$7:$S$874,$P$2,BS_RE33!$N$7:$N$874,I15,BS_RE33!$P$7:$P$874,'30 days CF Table(EUR)'!G15,BS_RE33!$F$7:$F$874,'30 days CF Table(EUR)'!$C$2)</f>
        <v>0</v>
      </c>
      <c r="Q15" s="337">
        <f>SUMIFS(BS_RE33!$H$7:$H$874,BS_RE33!$S$7:$S$874,$Q$2,BS_RE33!$N$7:$N$874,I15,BS_RE33!$P$7:$P$874,'30 days CF Table(EUR)'!G15,BS_RE33!$F$7:$F$874,'30 days CF Table(EUR)'!$C$2)</f>
        <v>0</v>
      </c>
      <c r="R15" s="337">
        <f>SUMIFS(BS_RE33!$H$7:$H$874,BS_RE33!$S$7:$S$874,$R$2,BS_RE33!$N$7:$N$874,I15,BS_RE33!$P$7:$P$874,'30 days CF Table(EUR)'!G15,BS_RE33!$F$7:$F$874,'30 days CF Table(EUR)'!$C$2)</f>
        <v>0</v>
      </c>
      <c r="S15" s="337">
        <f>SUMIFS(BS_RE33!$H$7:$H$874,BS_RE33!$S$7:$S$874,$S$2,BS_RE33!$N$7:$N$874,I15,BS_RE33!$P$7:$P$874,'30 days CF Table(EUR)'!G15,BS_RE33!$F$7:$F$874,'30 days CF Table(EUR)'!$C$2)</f>
        <v>0</v>
      </c>
      <c r="T15" s="337">
        <f>SUMIFS(BS_RE33!$H$7:$H$874,BS_RE33!$S$7:$S$874,$T$2,BS_RE33!$N$7:$N$874,I15,BS_RE33!$P$7:$P$874,'30 days CF Table(EUR)'!G15,BS_RE33!$F$7:$F$874,'30 days CF Table(EUR)'!$C$2)</f>
        <v>0</v>
      </c>
      <c r="U15" s="337">
        <f>SUMIFS(BS_RE33!$H$7:$H$874,BS_RE33!$S$7:$S$874,$U$2,BS_RE33!$N$7:$N$874,I15,BS_RE33!$P$7:$P$874,'30 days CF Table(EUR)'!G15,BS_RE33!$F$7:$F$874,'30 days CF Table(EUR)'!$C$2)</f>
        <v>0</v>
      </c>
      <c r="V15" s="337">
        <f>SUMIFS(BS_RE33!$H$7:$H$874,BS_RE33!$S$7:$S$874,$V$2,BS_RE33!$N$7:$N$874,I15,BS_RE33!$P$7:$P$874,'30 days CF Table(EUR)'!G15,BS_RE33!$F$7:$F$874,'30 days CF Table(EUR)'!$C$2)</f>
        <v>0</v>
      </c>
      <c r="W15" s="337">
        <f>SUMIFS(BS_RE33!$H$7:$H$874,BS_RE33!$S$7:$S$874,$W$2,BS_RE33!$N$7:$N$874,I15,BS_RE33!$P$7:$P$874,'30 days CF Table(EUR)'!G15,BS_RE33!$F$7:$F$874,'30 days CF Table(EUR)'!$C$2)</f>
        <v>0</v>
      </c>
      <c r="X15" s="337">
        <f>SUMIFS(BS_RE33!$H$7:$H$874,BS_RE33!$S$7:$S$874,$X$2,BS_RE33!$N$7:$N$874,I15,BS_RE33!$P$7:$P$874,'30 days CF Table(EUR)'!G15,BS_RE33!$F$7:$F$874,'30 days CF Table(EUR)'!$C$2)</f>
        <v>0</v>
      </c>
      <c r="Y15" s="337">
        <f>SUMIFS(BS_RE33!$H$7:$H$874,BS_RE33!$S$7:$S$874,$Y$2,BS_RE33!$N$7:$N$874,I15,BS_RE33!$P$7:$P$874,'30 days CF Table(EUR)'!G15,BS_RE33!$F$7:$F$874,'30 days CF Table(EUR)'!$C$2)</f>
        <v>0</v>
      </c>
      <c r="Z15" s="337">
        <f>SUMIFS(BS_RE33!$H$7:$H$874,BS_RE33!$S$7:$S$874,$Z$2,BS_RE33!$N$7:$N$874,I15,BS_RE33!$P$7:$P$874,'30 days CF Table(EUR)'!G15,BS_RE33!$F$7:$F$874,'30 days CF Table(EUR)'!$C$2)</f>
        <v>0</v>
      </c>
      <c r="AA15" s="337">
        <f>SUMIFS(BS_RE33!$H$7:$H$874,BS_RE33!$S$7:$S$874,$AA$2,BS_RE33!$N$7:$N$874,I15,BS_RE33!$P$7:$P$874,'30 days CF Table(EUR)'!G15,BS_RE33!$F$7:$F$874,'30 days CF Table(EUR)'!$C$2)</f>
        <v>0</v>
      </c>
      <c r="AB15" s="337">
        <f>SUMIFS(BS_RE33!$H$7:$H$874,BS_RE33!$S$7:$S$874,$AB$2,BS_RE33!$N$7:$N$874,I15,BS_RE33!$P$7:$P$874,'30 days CF Table(EUR)'!G15,BS_RE33!$F$7:$F$874,'30 days CF Table(EUR)'!$C$2)</f>
        <v>0</v>
      </c>
      <c r="AC15" s="337">
        <f>SUMIFS(BS_RE33!$H$7:$H$874,BS_RE33!$S$7:$S$874,$AC$2,BS_RE33!$N$7:$N$874,I15,BS_RE33!$P$7:$P$874,'30 days CF Table(EUR)'!G15,BS_RE33!$F$7:$F$874,'30 days CF Table(EUR)'!$C$2)</f>
        <v>0</v>
      </c>
      <c r="AD15" s="337">
        <f>SUMIFS(BS_RE33!$H$7:$H$874,BS_RE33!$S$7:$S$874,$AD$2,BS_RE33!$N$7:$N$874,I15,BS_RE33!$P$7:$P$874,'30 days CF Table(EUR)'!G15,BS_RE33!$F$7:$F$874,'30 days CF Table(EUR)'!$C$2)</f>
        <v>0</v>
      </c>
      <c r="AE15" s="337">
        <f>SUMIFS(BS_RE33!$H$7:$H$874,BS_RE33!$S$7:$S$874,$AE$2,BS_RE33!$N$7:$N$874,I15,BS_RE33!$P$7:$P$874,'30 days CF Table(EUR)'!G15,BS_RE33!$F$7:$F$874,'30 days CF Table(EUR)'!$C$2)</f>
        <v>0</v>
      </c>
      <c r="AF15" s="337">
        <f>SUMIFS(BS_RE33!$H$7:$H$874,BS_RE33!$S$7:$S$874,$AF$2,BS_RE33!$N$7:$N$874,I15,BS_RE33!$P$7:$P$874,'30 days CF Table(EUR)'!G15,BS_RE33!$F$7:$F$874,'30 days CF Table(EUR)'!$C$2)</f>
        <v>0</v>
      </c>
      <c r="AG15" s="337">
        <f>SUMIFS(BS_RE33!$H$7:$H$874,BS_RE33!$S$7:$S$874,$AG$2,BS_RE33!$N$7:$N$874,I15,BS_RE33!$P$7:$P$874,'30 days CF Table(EUR)'!G15,BS_RE33!$F$7:$F$874,'30 days CF Table(EUR)'!$C$2)</f>
        <v>0</v>
      </c>
      <c r="AH15" s="337">
        <f>SUMIFS(BS_RE33!$H$7:$H$874,BS_RE33!$S$7:$S$874,$AH$2,BS_RE33!$N$7:$N$874,I15,BS_RE33!$P$7:$P$874,'30 days CF Table(EUR)'!G15,BS_RE33!$F$7:$F$874,'30 days CF Table(EUR)'!$C$2)</f>
        <v>0</v>
      </c>
      <c r="AI15" s="337">
        <f>SUMIFS(BS_RE33!$H$7:$H$874,BS_RE33!$S$7:$S$874,$AI$2,BS_RE33!$N$7:$N$874,I15,BS_RE33!$P$7:$P$874,'30 days CF Table(EUR)'!G15,BS_RE33!$F$7:$F$874,'30 days CF Table(EUR)'!$C$2)</f>
        <v>0</v>
      </c>
      <c r="AJ15" s="337">
        <f>SUMIFS(BS_RE33!$H$7:$H$874,BS_RE33!$S$7:$S$874,$AJ$2,BS_RE33!$N$7:$N$874,I15,BS_RE33!$P$7:$P$874,'30 days CF Table(EUR)'!G15,BS_RE33!$F$7:$F$874,'30 days CF Table(EUR)'!$C$2)</f>
        <v>0</v>
      </c>
      <c r="AK15" s="337">
        <f>SUMIFS(BS_RE33!$H$7:$H$874,BS_RE33!$S$7:$S$874,$AK$2,BS_RE33!$N$7:$N$874,I15,BS_RE33!$P$7:$P$874,'30 days CF Table(EUR)'!G15,BS_RE33!$F$7:$F$874,'30 days CF Table(EUR)'!$C$2)</f>
        <v>0</v>
      </c>
      <c r="AL15" s="337">
        <f>SUMIFS(BS_RE33!$H$7:$H$874,BS_RE33!$S$7:$S$874,$AL$2,BS_RE33!$N$7:$N$874,I15,BS_RE33!$P$7:$P$874,'30 days CF Table(EUR)'!G15,BS_RE33!$F$7:$F$874,'30 days CF Table(EUR)'!$C$2)</f>
        <v>0</v>
      </c>
      <c r="AM15" s="337">
        <f>SUMIFS(BS_RE33!$H$7:$H$874,BS_RE33!$S$7:$S$874,$AM$2,BS_RE33!$N$7:$N$874,I15,BS_RE33!$P$7:$P$874,'30 days CF Table(EUR)'!G15,BS_RE33!$F$7:$F$874,'30 days CF Table(EUR)'!$C$2)</f>
        <v>0</v>
      </c>
      <c r="AN15" s="337">
        <f>SUMIFS(BS_RE33!$H$7:$H$874,BS_RE33!$S$7:$S$874,$AN$2,BS_RE33!$N$7:$N$874,I15,BS_RE33!$P$7:$P$874,'30 days CF Table(EUR)'!G15,BS_RE33!$F$7:$F$874,'30 days CF Table(EUR)'!$C$2)</f>
        <v>0</v>
      </c>
      <c r="AO15" s="337">
        <f>SUMIFS(BS_RE33!$H$7:$H$874,BS_RE33!$S$7:$S$874,$AO$2,BS_RE33!$N$7:$N$874,I15,BS_RE33!$P$7:$P$874,'30 days CF Table(EUR)'!G15,BS_RE33!$F$7:$F$874,'30 days CF Table(EUR)'!$C$2)</f>
        <v>0</v>
      </c>
      <c r="AP15" s="338">
        <f>SUMIFS(BS_RE33!$H$7:$H$874,BS_RE33!$S$7:$S$874,$AP$2,BS_RE33!$N$7:$N$874,I15,BS_RE33!$P$7:$P$874,'30 days CF Table(EUR)'!G15,BS_RE33!$F$7:$F$874,'30 days CF Table(EUR)'!$C$2)</f>
        <v>0</v>
      </c>
      <c r="AQ15" s="545"/>
      <c r="AR15" s="379">
        <f>SUMIFS(BS_RE33!$H$7:$H$874,BS_RE33!$S$7:$S$874,$AR$2,BS_RE33!$N$7:$N$874,I15,BS_RE33!$P$7:$P$874,'30 days CF Table(EUR)'!G15,BS_RE33!$F$7:$F$874,'30 days CF Table(EUR)'!$C$2)</f>
        <v>0</v>
      </c>
      <c r="AS15" s="379">
        <f>SUMIFS(BS_RE33!$H$7:$H$874,BS_RE33!$S$7:$S$874,$AS$2,BS_RE33!$N$7:$N$874,I15,BS_RE33!$P$7:$P$874,'30 days CF Table(EUR)'!G15,BS_RE33!$F$7:$F$874,'30 days CF Table(EUR)'!$C$2)</f>
        <v>0</v>
      </c>
      <c r="AT15" s="379">
        <f>SUMIFS(BS_RE33!$H$7:$H$874,BS_RE33!$S$7:$S$874,$AT$2,BS_RE33!$N$7:$N$874,I15,BS_RE33!$P$7:$P$874,'30 days CF Table(EUR)'!G15,BS_RE33!$F$7:$F$874,'30 days CF Table(EUR)'!$C$2)</f>
        <v>0</v>
      </c>
      <c r="AU15" s="379">
        <f>SUMIFS(BS_RE33!$H$7:$H$874,BS_RE33!$S$7:$S$874,$AU$2,BS_RE33!$N$7:$N$874,I15,BS_RE33!$P$7:$P$874,'30 days CF Table(EUR)'!G15,BS_RE33!$F$7:$F$874,'30 days CF Table(EUR)'!$C$2)</f>
        <v>0</v>
      </c>
      <c r="AV15" s="379">
        <f>SUMIFS(BS_RE33!$H$7:$H$874,BS_RE33!$S$7:$S$874,$AV$2,BS_RE33!$N$7:$N$874,I15,BS_RE33!$P$7:$P$874,'30 days CF Table(EUR)'!G15,BS_RE33!$F$7:$F$874,'30 days CF Table(EUR)'!$C$2)</f>
        <v>0</v>
      </c>
      <c r="AW15" s="379">
        <f>SUMIFS(BS_RE33!$H$7:$H$874,BS_RE33!$S$7:$S$874,$AW$2,BS_RE33!$N$7:$N$874,I15,BS_RE33!$P$7:$P$874,'30 days CF Table(EUR)'!G15,BS_RE33!$F$7:$F$874,'30 days CF Table(EUR)'!$C$2)</f>
        <v>0</v>
      </c>
      <c r="AX15" s="379">
        <f>SUMIFS(BS_RE33!$H$7:$H$874,BS_RE33!$S$7:$S$874,$AX$2,BS_RE33!$N$7:$N$874,I15,BS_RE33!$P$7:$P$874,'30 days CF Table(EUR)'!G15,BS_RE33!$F$7:$F$874,'30 days CF Table(EUR)'!$C$2)</f>
        <v>0</v>
      </c>
      <c r="AY15" s="379">
        <f>SUMIFS(BS_RE33!$H$7:$H$874,BS_RE33!$S$7:$S$874,$AY$2,BS_RE33!$N$7:$N$874,I15,BS_RE33!$P$7:$P$874,'30 days CF Table(EUR)'!G15,BS_RE33!$F$7:$F$874,'30 days CF Table(EUR)'!$C$2)</f>
        <v>0</v>
      </c>
      <c r="AZ15" s="379">
        <f>SUMIFS(BS_RE33!$H$7:$H$874,BS_RE33!$S$7:$S$874,$AZ$2,BS_RE33!$N$7:$N$874,I15,BS_RE33!$P$7:$P$874,'30 days CF Table(EUR)'!G15,BS_RE33!$F$7:$F$874,'30 days CF Table(EUR)'!$C$2)</f>
        <v>0</v>
      </c>
      <c r="BA15" s="379">
        <f>SUMIFS(BS_RE33!$H$7:$H$874,BS_RE33!$S$7:$S$874,$BA$2,BS_RE33!$N$7:$N$874,I15,BS_RE33!$P$7:$P$874,'30 days CF Table(EUR)'!G15,BS_RE33!$F$7:$F$874,'30 days CF Table(EUR)'!$C$2)</f>
        <v>0</v>
      </c>
      <c r="BB15" s="379">
        <f>SUMIFS(BS_RE33!$H$7:$H$874,BS_RE33!$S$7:$S$874,$BB$2,BS_RE33!$N$7:$N$874,I15,BS_RE33!$P$7:$P$874,'30 days CF Table(EUR)'!G15,BS_RE33!$F$7:$F$874,'30 days CF Table(EUR)'!$C$2)</f>
        <v>0</v>
      </c>
      <c r="BC15" s="379">
        <f>SUMIFS(BS_RE33!$H$7:$H$874,BS_RE33!$S$7:$S$874,$BC$2,BS_RE33!$N$7:$N$874,I15,BS_RE33!$P$7:$P$874,'30 days CF Table(EUR)'!G15,BS_RE33!$F$7:$F$874,'30 days CF Table(EUR)'!$C$2)</f>
        <v>0</v>
      </c>
      <c r="BD15" s="379">
        <f>SUMIFS(BS_RE33!$H$7:$H$874,BS_RE33!$S$7:$S$874,$BD$2,BS_RE33!$N$7:$N$874,I15,BS_RE33!$P$7:$P$874,'30 days CF Table(EUR)'!G15,BS_RE33!$F$7:$F$874,'30 days CF Table(EUR)'!$C$2)</f>
        <v>0</v>
      </c>
      <c r="BE15" s="379">
        <f>SUMIFS(BS_RE33!$H$7:$H$874,BS_RE33!$S$7:$S$874,$BE$2,BS_RE33!$N$7:$N$874,I15,BS_RE33!$P$7:$P$874,'30 days CF Table(EUR)'!G15,BS_RE33!$F$7:$F$874,'30 days CF Table(EUR)'!$C$2)</f>
        <v>0</v>
      </c>
      <c r="BF15" s="379">
        <f>SUMIFS(BS_RE33!$H$7:$H$874,BS_RE33!$S$7:$S$874,$BF$2,BS_RE33!$N$7:$N$874,I15,BS_RE33!$P$7:$P$874,'30 days CF Table(EUR)'!G15,BS_RE33!$F$7:$F$874,'30 days CF Table(EUR)'!$C$2)</f>
        <v>0</v>
      </c>
      <c r="BG15" s="379">
        <f>SUMIFS(BS_RE33!$H$7:$H$874,BS_RE33!$S$7:$S$874,$BG$2,BS_RE33!$N$7:$N$874,I15,BS_RE33!$P$7:$P$874,'30 days CF Table(EUR)'!G15,BS_RE33!$F$7:$F$874,'30 days CF Table(EUR)'!$C$2)</f>
        <v>0</v>
      </c>
      <c r="BH15" s="379">
        <f>SUMIFS(BS_RE33!$H$7:$H$874,BS_RE33!$S$7:$S$874,$BH$2,BS_RE33!$N$7:$N$874,I15,BS_RE33!$P$7:$P$874,'30 days CF Table(EUR)'!G15,BS_RE33!$F$7:$F$874,'30 days CF Table(EUR)'!$C$2)</f>
        <v>0</v>
      </c>
      <c r="BI15" s="379">
        <f>SUMIFS(BS_RE33!$H$7:$H$874,BS_RE33!$S$7:$S$874,$BI$2,BS_RE33!$N$7:$N$874,I15,BS_RE33!$P$7:$P$874,'30 days CF Table(EUR)'!G15,BS_RE33!$F$7:$F$874,'30 days CF Table(EUR)'!$C$2)</f>
        <v>0</v>
      </c>
      <c r="BJ15" s="379">
        <f>SUMIFS(BS_RE33!$H$7:$H$874,BS_RE33!$S$7:$S$874,$BJ$2,BS_RE33!$N$7:$N$874,I15,BS_RE33!$P$7:$P$874,'30 days CF Table(EUR)'!G15,BS_RE33!$F$7:$F$874,'30 days CF Table(EUR)'!$C$2)</f>
        <v>0</v>
      </c>
      <c r="BK15" s="379">
        <f>SUMIFS(BS_RE33!$H$7:$H$874,BS_RE33!$S$7:$S$874,$BK$2,BS_RE33!$N$7:$N$874,I15,BS_RE33!$P$7:$P$874,'30 days CF Table(EUR)'!G15,BS_RE33!$F$7:$F$874,'30 days CF Table(EUR)'!$C$2)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Table(EUR)'!G16,BS_RE33!$F$7:$F$874,'30 days CF Table(EUR)'!$C$2)</f>
        <v>0</v>
      </c>
      <c r="M16" s="337">
        <f>SUMIFS(BS_RE33!$H$7:$H$874,BS_RE33!$S$7:$S$874,$M$2,BS_RE33!$N$7:$N$874,I16,BS_RE33!$P$7:$P$874,'30 days CF Table(EUR)'!G16,BS_RE33!$F$7:$F$874,'30 days CF Table(EUR)'!$C$2)</f>
        <v>0</v>
      </c>
      <c r="N16" s="337">
        <f>SUMIFS(BS_RE33!$H$7:$H$874,BS_RE33!$S$7:$S$874,$N$2,BS_RE33!$N$7:$N$874,I16,BS_RE33!$P$7:$P$874,'30 days CF Table(EUR)'!G16,BS_RE33!$F$7:$F$874,'30 days CF Table(EUR)'!$C$2)</f>
        <v>0</v>
      </c>
      <c r="O16" s="337">
        <f>SUMIFS(BS_RE33!$H$7:$H$874,BS_RE33!$S$7:$S$874,$O$2,BS_RE33!$N$7:$N$874,I16,BS_RE33!$P$7:$P$874,'30 days CF Table(EUR)'!G16,BS_RE33!$F$7:$F$874,'30 days CF Table(EUR)'!$C$2)</f>
        <v>0</v>
      </c>
      <c r="P16" s="337">
        <f>SUMIFS(BS_RE33!$H$7:$H$874,BS_RE33!$S$7:$S$874,$P$2,BS_RE33!$N$7:$N$874,I16,BS_RE33!$P$7:$P$874,'30 days CF Table(EUR)'!G16,BS_RE33!$F$7:$F$874,'30 days CF Table(EUR)'!$C$2)</f>
        <v>0</v>
      </c>
      <c r="Q16" s="337">
        <f>SUMIFS(BS_RE33!$H$7:$H$874,BS_RE33!$S$7:$S$874,$Q$2,BS_RE33!$N$7:$N$874,I16,BS_RE33!$P$7:$P$874,'30 days CF Table(EUR)'!G16,BS_RE33!$F$7:$F$874,'30 days CF Table(EUR)'!$C$2)</f>
        <v>0</v>
      </c>
      <c r="R16" s="337">
        <f>SUMIFS(BS_RE33!$H$7:$H$874,BS_RE33!$S$7:$S$874,$R$2,BS_RE33!$N$7:$N$874,I16,BS_RE33!$P$7:$P$874,'30 days CF Table(EUR)'!G16,BS_RE33!$F$7:$F$874,'30 days CF Table(EUR)'!$C$2)</f>
        <v>0</v>
      </c>
      <c r="S16" s="337">
        <f>SUMIFS(BS_RE33!$H$7:$H$874,BS_RE33!$S$7:$S$874,$S$2,BS_RE33!$N$7:$N$874,I16,BS_RE33!$P$7:$P$874,'30 days CF Table(EUR)'!G16,BS_RE33!$F$7:$F$874,'30 days CF Table(EUR)'!$C$2)</f>
        <v>0</v>
      </c>
      <c r="T16" s="337">
        <f>SUMIFS(BS_RE33!$H$7:$H$874,BS_RE33!$S$7:$S$874,$T$2,BS_RE33!$N$7:$N$874,I16,BS_RE33!$P$7:$P$874,'30 days CF Table(EUR)'!G16,BS_RE33!$F$7:$F$874,'30 days CF Table(EUR)'!$C$2)</f>
        <v>0</v>
      </c>
      <c r="U16" s="337">
        <f>SUMIFS(BS_RE33!$H$7:$H$874,BS_RE33!$S$7:$S$874,$U$2,BS_RE33!$N$7:$N$874,I16,BS_RE33!$P$7:$P$874,'30 days CF Table(EUR)'!G16,BS_RE33!$F$7:$F$874,'30 days CF Table(EUR)'!$C$2)</f>
        <v>0</v>
      </c>
      <c r="V16" s="337">
        <f>SUMIFS(BS_RE33!$H$7:$H$874,BS_RE33!$S$7:$S$874,$V$2,BS_RE33!$N$7:$N$874,I16,BS_RE33!$P$7:$P$874,'30 days CF Table(EUR)'!G16,BS_RE33!$F$7:$F$874,'30 days CF Table(EUR)'!$C$2)</f>
        <v>0</v>
      </c>
      <c r="W16" s="337">
        <f>SUMIFS(BS_RE33!$H$7:$H$874,BS_RE33!$S$7:$S$874,$W$2,BS_RE33!$N$7:$N$874,I16,BS_RE33!$P$7:$P$874,'30 days CF Table(EUR)'!G16,BS_RE33!$F$7:$F$874,'30 days CF Table(EUR)'!$C$2)</f>
        <v>0</v>
      </c>
      <c r="X16" s="337">
        <f>SUMIFS(BS_RE33!$H$7:$H$874,BS_RE33!$S$7:$S$874,$X$2,BS_RE33!$N$7:$N$874,I16,BS_RE33!$P$7:$P$874,'30 days CF Table(EUR)'!G16,BS_RE33!$F$7:$F$874,'30 days CF Table(EUR)'!$C$2)</f>
        <v>0</v>
      </c>
      <c r="Y16" s="337">
        <f>SUMIFS(BS_RE33!$H$7:$H$874,BS_RE33!$S$7:$S$874,$Y$2,BS_RE33!$N$7:$N$874,I16,BS_RE33!$P$7:$P$874,'30 days CF Table(EUR)'!G16,BS_RE33!$F$7:$F$874,'30 days CF Table(EUR)'!$C$2)</f>
        <v>0</v>
      </c>
      <c r="Z16" s="337">
        <f>SUMIFS(BS_RE33!$H$7:$H$874,BS_RE33!$S$7:$S$874,$Z$2,BS_RE33!$N$7:$N$874,I16,BS_RE33!$P$7:$P$874,'30 days CF Table(EUR)'!G16,BS_RE33!$F$7:$F$874,'30 days CF Table(EUR)'!$C$2)</f>
        <v>0</v>
      </c>
      <c r="AA16" s="337">
        <f>SUMIFS(BS_RE33!$H$7:$H$874,BS_RE33!$S$7:$S$874,$AA$2,BS_RE33!$N$7:$N$874,I16,BS_RE33!$P$7:$P$874,'30 days CF Table(EUR)'!G16,BS_RE33!$F$7:$F$874,'30 days CF Table(EUR)'!$C$2)</f>
        <v>0</v>
      </c>
      <c r="AB16" s="337">
        <f>SUMIFS(BS_RE33!$H$7:$H$874,BS_RE33!$S$7:$S$874,$AB$2,BS_RE33!$N$7:$N$874,I16,BS_RE33!$P$7:$P$874,'30 days CF Table(EUR)'!G16,BS_RE33!$F$7:$F$874,'30 days CF Table(EUR)'!$C$2)</f>
        <v>0</v>
      </c>
      <c r="AC16" s="337">
        <f>SUMIFS(BS_RE33!$H$7:$H$874,BS_RE33!$S$7:$S$874,$AC$2,BS_RE33!$N$7:$N$874,I16,BS_RE33!$P$7:$P$874,'30 days CF Table(EUR)'!G16,BS_RE33!$F$7:$F$874,'30 days CF Table(EUR)'!$C$2)</f>
        <v>0</v>
      </c>
      <c r="AD16" s="337">
        <f>SUMIFS(BS_RE33!$H$7:$H$874,BS_RE33!$S$7:$S$874,$AD$2,BS_RE33!$N$7:$N$874,I16,BS_RE33!$P$7:$P$874,'30 days CF Table(EUR)'!G16,BS_RE33!$F$7:$F$874,'30 days CF Table(EUR)'!$C$2)</f>
        <v>0</v>
      </c>
      <c r="AE16" s="337">
        <f>SUMIFS(BS_RE33!$H$7:$H$874,BS_RE33!$S$7:$S$874,$AE$2,BS_RE33!$N$7:$N$874,I16,BS_RE33!$P$7:$P$874,'30 days CF Table(EUR)'!G16,BS_RE33!$F$7:$F$874,'30 days CF Table(EUR)'!$C$2)</f>
        <v>0</v>
      </c>
      <c r="AF16" s="337">
        <f>SUMIFS(BS_RE33!$H$7:$H$874,BS_RE33!$S$7:$S$874,$AF$2,BS_RE33!$N$7:$N$874,I16,BS_RE33!$P$7:$P$874,'30 days CF Table(EUR)'!G16,BS_RE33!$F$7:$F$874,'30 days CF Table(EUR)'!$C$2)</f>
        <v>0</v>
      </c>
      <c r="AG16" s="337">
        <f>SUMIFS(BS_RE33!$H$7:$H$874,BS_RE33!$S$7:$S$874,$AG$2,BS_RE33!$N$7:$N$874,I16,BS_RE33!$P$7:$P$874,'30 days CF Table(EUR)'!G16,BS_RE33!$F$7:$F$874,'30 days CF Table(EUR)'!$C$2)</f>
        <v>0</v>
      </c>
      <c r="AH16" s="337">
        <f>SUMIFS(BS_RE33!$H$7:$H$874,BS_RE33!$S$7:$S$874,$AH$2,BS_RE33!$N$7:$N$874,I16,BS_RE33!$P$7:$P$874,'30 days CF Table(EUR)'!G16,BS_RE33!$F$7:$F$874,'30 days CF Table(EUR)'!$C$2)</f>
        <v>0</v>
      </c>
      <c r="AI16" s="337">
        <f>SUMIFS(BS_RE33!$H$7:$H$874,BS_RE33!$S$7:$S$874,$AI$2,BS_RE33!$N$7:$N$874,I16,BS_RE33!$P$7:$P$874,'30 days CF Table(EUR)'!G16,BS_RE33!$F$7:$F$874,'30 days CF Table(EUR)'!$C$2)</f>
        <v>0</v>
      </c>
      <c r="AJ16" s="337">
        <f>SUMIFS(BS_RE33!$H$7:$H$874,BS_RE33!$S$7:$S$874,$AJ$2,BS_RE33!$N$7:$N$874,I16,BS_RE33!$P$7:$P$874,'30 days CF Table(EUR)'!G16,BS_RE33!$F$7:$F$874,'30 days CF Table(EUR)'!$C$2)</f>
        <v>0</v>
      </c>
      <c r="AK16" s="337">
        <f>SUMIFS(BS_RE33!$H$7:$H$874,BS_RE33!$S$7:$S$874,$AK$2,BS_RE33!$N$7:$N$874,I16,BS_RE33!$P$7:$P$874,'30 days CF Table(EUR)'!G16,BS_RE33!$F$7:$F$874,'30 days CF Table(EUR)'!$C$2)</f>
        <v>0</v>
      </c>
      <c r="AL16" s="337">
        <f>SUMIFS(BS_RE33!$H$7:$H$874,BS_RE33!$S$7:$S$874,$AL$2,BS_RE33!$N$7:$N$874,I16,BS_RE33!$P$7:$P$874,'30 days CF Table(EUR)'!G16,BS_RE33!$F$7:$F$874,'30 days CF Table(EUR)'!$C$2)</f>
        <v>0</v>
      </c>
      <c r="AM16" s="337">
        <f>SUMIFS(BS_RE33!$H$7:$H$874,BS_RE33!$S$7:$S$874,$AM$2,BS_RE33!$N$7:$N$874,I16,BS_RE33!$P$7:$P$874,'30 days CF Table(EUR)'!G16,BS_RE33!$F$7:$F$874,'30 days CF Table(EUR)'!$C$2)</f>
        <v>0</v>
      </c>
      <c r="AN16" s="337">
        <f>SUMIFS(BS_RE33!$H$7:$H$874,BS_RE33!$S$7:$S$874,$AN$2,BS_RE33!$N$7:$N$874,I16,BS_RE33!$P$7:$P$874,'30 days CF Table(EUR)'!G16,BS_RE33!$F$7:$F$874,'30 days CF Table(EUR)'!$C$2)</f>
        <v>0</v>
      </c>
      <c r="AO16" s="337">
        <f>SUMIFS(BS_RE33!$H$7:$H$874,BS_RE33!$S$7:$S$874,$AO$2,BS_RE33!$N$7:$N$874,I16,BS_RE33!$P$7:$P$874,'30 days CF Table(EUR)'!G16,BS_RE33!$F$7:$F$874,'30 days CF Table(EUR)'!$C$2)</f>
        <v>0</v>
      </c>
      <c r="AP16" s="338">
        <f>SUMIFS(BS_RE33!$H$7:$H$874,BS_RE33!$S$7:$S$874,$AP$2,BS_RE33!$N$7:$N$874,I16,BS_RE33!$P$7:$P$874,'30 days CF Table(EUR)'!G16,BS_RE33!$F$7:$F$874,'30 days CF Table(EUR)'!$C$2)</f>
        <v>0</v>
      </c>
      <c r="AQ16" s="545"/>
      <c r="AR16" s="379">
        <f>SUMIFS(BS_RE33!$H$7:$H$874,BS_RE33!$S$7:$S$874,$AR$2,BS_RE33!$N$7:$N$874,I16,BS_RE33!$P$7:$P$874,'30 days CF Table(EUR)'!G16,BS_RE33!$F$7:$F$874,'30 days CF Table(EUR)'!$C$2)</f>
        <v>0</v>
      </c>
      <c r="AS16" s="379">
        <f>SUMIFS(BS_RE33!$H$7:$H$874,BS_RE33!$S$7:$S$874,$AS$2,BS_RE33!$N$7:$N$874,I16,BS_RE33!$P$7:$P$874,'30 days CF Table(EUR)'!G16,BS_RE33!$F$7:$F$874,'30 days CF Table(EUR)'!$C$2)</f>
        <v>0</v>
      </c>
      <c r="AT16" s="379">
        <f>SUMIFS(BS_RE33!$H$7:$H$874,BS_RE33!$S$7:$S$874,$AT$2,BS_RE33!$N$7:$N$874,I16,BS_RE33!$P$7:$P$874,'30 days CF Table(EUR)'!G16,BS_RE33!$F$7:$F$874,'30 days CF Table(EUR)'!$C$2)</f>
        <v>0</v>
      </c>
      <c r="AU16" s="379">
        <f>SUMIFS(BS_RE33!$H$7:$H$874,BS_RE33!$S$7:$S$874,$AU$2,BS_RE33!$N$7:$N$874,I16,BS_RE33!$P$7:$P$874,'30 days CF Table(EUR)'!G16,BS_RE33!$F$7:$F$874,'30 days CF Table(EUR)'!$C$2)</f>
        <v>0</v>
      </c>
      <c r="AV16" s="379">
        <f>SUMIFS(BS_RE33!$H$7:$H$874,BS_RE33!$S$7:$S$874,$AV$2,BS_RE33!$N$7:$N$874,I16,BS_RE33!$P$7:$P$874,'30 days CF Table(EUR)'!G16,BS_RE33!$F$7:$F$874,'30 days CF Table(EUR)'!$C$2)</f>
        <v>0</v>
      </c>
      <c r="AW16" s="379">
        <f>SUMIFS(BS_RE33!$H$7:$H$874,BS_RE33!$S$7:$S$874,$AW$2,BS_RE33!$N$7:$N$874,I16,BS_RE33!$P$7:$P$874,'30 days CF Table(EUR)'!G16,BS_RE33!$F$7:$F$874,'30 days CF Table(EUR)'!$C$2)</f>
        <v>0</v>
      </c>
      <c r="AX16" s="379">
        <f>SUMIFS(BS_RE33!$H$7:$H$874,BS_RE33!$S$7:$S$874,$AX$2,BS_RE33!$N$7:$N$874,I16,BS_RE33!$P$7:$P$874,'30 days CF Table(EUR)'!G16,BS_RE33!$F$7:$F$874,'30 days CF Table(EUR)'!$C$2)</f>
        <v>0</v>
      </c>
      <c r="AY16" s="379">
        <f>SUMIFS(BS_RE33!$H$7:$H$874,BS_RE33!$S$7:$S$874,$AY$2,BS_RE33!$N$7:$N$874,I16,BS_RE33!$P$7:$P$874,'30 days CF Table(EUR)'!G16,BS_RE33!$F$7:$F$874,'30 days CF Table(EUR)'!$C$2)</f>
        <v>0</v>
      </c>
      <c r="AZ16" s="379">
        <f>SUMIFS(BS_RE33!$H$7:$H$874,BS_RE33!$S$7:$S$874,$AZ$2,BS_RE33!$N$7:$N$874,I16,BS_RE33!$P$7:$P$874,'30 days CF Table(EUR)'!G16,BS_RE33!$F$7:$F$874,'30 days CF Table(EUR)'!$C$2)</f>
        <v>0</v>
      </c>
      <c r="BA16" s="379">
        <f>SUMIFS(BS_RE33!$H$7:$H$874,BS_RE33!$S$7:$S$874,$BA$2,BS_RE33!$N$7:$N$874,I16,BS_RE33!$P$7:$P$874,'30 days CF Table(EUR)'!G16,BS_RE33!$F$7:$F$874,'30 days CF Table(EUR)'!$C$2)</f>
        <v>0</v>
      </c>
      <c r="BB16" s="379">
        <f>SUMIFS(BS_RE33!$H$7:$H$874,BS_RE33!$S$7:$S$874,$BB$2,BS_RE33!$N$7:$N$874,I16,BS_RE33!$P$7:$P$874,'30 days CF Table(EUR)'!G16,BS_RE33!$F$7:$F$874,'30 days CF Table(EUR)'!$C$2)</f>
        <v>0</v>
      </c>
      <c r="BC16" s="379">
        <f>SUMIFS(BS_RE33!$H$7:$H$874,BS_RE33!$S$7:$S$874,$BC$2,BS_RE33!$N$7:$N$874,I16,BS_RE33!$P$7:$P$874,'30 days CF Table(EUR)'!G16,BS_RE33!$F$7:$F$874,'30 days CF Table(EUR)'!$C$2)</f>
        <v>0</v>
      </c>
      <c r="BD16" s="379">
        <f>SUMIFS(BS_RE33!$H$7:$H$874,BS_RE33!$S$7:$S$874,$BD$2,BS_RE33!$N$7:$N$874,I16,BS_RE33!$P$7:$P$874,'30 days CF Table(EUR)'!G16,BS_RE33!$F$7:$F$874,'30 days CF Table(EUR)'!$C$2)</f>
        <v>0</v>
      </c>
      <c r="BE16" s="379">
        <f>SUMIFS(BS_RE33!$H$7:$H$874,BS_RE33!$S$7:$S$874,$BE$2,BS_RE33!$N$7:$N$874,I16,BS_RE33!$P$7:$P$874,'30 days CF Table(EUR)'!G16,BS_RE33!$F$7:$F$874,'30 days CF Table(EUR)'!$C$2)</f>
        <v>0</v>
      </c>
      <c r="BF16" s="379">
        <f>SUMIFS(BS_RE33!$H$7:$H$874,BS_RE33!$S$7:$S$874,$BF$2,BS_RE33!$N$7:$N$874,I16,BS_RE33!$P$7:$P$874,'30 days CF Table(EUR)'!G16,BS_RE33!$F$7:$F$874,'30 days CF Table(EUR)'!$C$2)</f>
        <v>0</v>
      </c>
      <c r="BG16" s="379">
        <f>SUMIFS(BS_RE33!$H$7:$H$874,BS_RE33!$S$7:$S$874,$BG$2,BS_RE33!$N$7:$N$874,I16,BS_RE33!$P$7:$P$874,'30 days CF Table(EUR)'!G16,BS_RE33!$F$7:$F$874,'30 days CF Table(EUR)'!$C$2)</f>
        <v>0</v>
      </c>
      <c r="BH16" s="379">
        <f>SUMIFS(BS_RE33!$H$7:$H$874,BS_RE33!$S$7:$S$874,$BH$2,BS_RE33!$N$7:$N$874,I16,BS_RE33!$P$7:$P$874,'30 days CF Table(EUR)'!G16,BS_RE33!$F$7:$F$874,'30 days CF Table(EUR)'!$C$2)</f>
        <v>0</v>
      </c>
      <c r="BI16" s="379">
        <f>SUMIFS(BS_RE33!$H$7:$H$874,BS_RE33!$S$7:$S$874,$BI$2,BS_RE33!$N$7:$N$874,I16,BS_RE33!$P$7:$P$874,'30 days CF Table(EUR)'!G16,BS_RE33!$F$7:$F$874,'30 days CF Table(EUR)'!$C$2)</f>
        <v>0</v>
      </c>
      <c r="BJ16" s="379">
        <f>SUMIFS(BS_RE33!$H$7:$H$874,BS_RE33!$S$7:$S$874,$BJ$2,BS_RE33!$N$7:$N$874,I16,BS_RE33!$P$7:$P$874,'30 days CF Table(EUR)'!G16,BS_RE33!$F$7:$F$874,'30 days CF Table(EUR)'!$C$2)</f>
        <v>0</v>
      </c>
      <c r="BK16" s="379">
        <f>SUMIFS(BS_RE33!$H$7:$H$874,BS_RE33!$S$7:$S$874,$BK$2,BS_RE33!$N$7:$N$874,I16,BS_RE33!$P$7:$P$874,'30 days CF Table(EUR)'!G16,BS_RE33!$F$7:$F$874,'30 days CF Table(EUR)'!$C$2)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Table(EUR)'!G17,BS_RE33!$F$7:$F$874,'30 days CF Table(EUR)'!$C$2)</f>
        <v>0</v>
      </c>
      <c r="M17" s="337">
        <f>SUMIFS(BS_RE33!$H$7:$H$874,BS_RE33!$S$7:$S$874,$M$2,BS_RE33!$N$7:$N$874,I17,BS_RE33!$P$7:$P$874,'30 days CF Table(EUR)'!G17,BS_RE33!$F$7:$F$874,'30 days CF Table(EUR)'!$C$2)</f>
        <v>0</v>
      </c>
      <c r="N17" s="337">
        <f>SUMIFS(BS_RE33!$H$7:$H$874,BS_RE33!$S$7:$S$874,$N$2,BS_RE33!$N$7:$N$874,I17,BS_RE33!$P$7:$P$874,'30 days CF Table(EUR)'!G17,BS_RE33!$F$7:$F$874,'30 days CF Table(EUR)'!$C$2)</f>
        <v>0</v>
      </c>
      <c r="O17" s="337">
        <f>SUMIFS(BS_RE33!$H$7:$H$874,BS_RE33!$S$7:$S$874,$O$2,BS_RE33!$N$7:$N$874,I17,BS_RE33!$P$7:$P$874,'30 days CF Table(EUR)'!G17,BS_RE33!$F$7:$F$874,'30 days CF Table(EUR)'!$C$2)</f>
        <v>0</v>
      </c>
      <c r="P17" s="337">
        <f>SUMIFS(BS_RE33!$H$7:$H$874,BS_RE33!$S$7:$S$874,$P$2,BS_RE33!$N$7:$N$874,I17,BS_RE33!$P$7:$P$874,'30 days CF Table(EUR)'!G17,BS_RE33!$F$7:$F$874,'30 days CF Table(EUR)'!$C$2)</f>
        <v>0</v>
      </c>
      <c r="Q17" s="337">
        <f>SUMIFS(BS_RE33!$H$7:$H$874,BS_RE33!$S$7:$S$874,$Q$2,BS_RE33!$N$7:$N$874,I17,BS_RE33!$P$7:$P$874,'30 days CF Table(EUR)'!G17,BS_RE33!$F$7:$F$874,'30 days CF Table(EUR)'!$C$2)</f>
        <v>0</v>
      </c>
      <c r="R17" s="337">
        <f>SUMIFS(BS_RE33!$H$7:$H$874,BS_RE33!$S$7:$S$874,$R$2,BS_RE33!$N$7:$N$874,I17,BS_RE33!$P$7:$P$874,'30 days CF Table(EUR)'!G17,BS_RE33!$F$7:$F$874,'30 days CF Table(EUR)'!$C$2)</f>
        <v>0</v>
      </c>
      <c r="S17" s="337">
        <f>SUMIFS(BS_RE33!$H$7:$H$874,BS_RE33!$S$7:$S$874,$S$2,BS_RE33!$N$7:$N$874,I17,BS_RE33!$P$7:$P$874,'30 days CF Table(EUR)'!G17,BS_RE33!$F$7:$F$874,'30 days CF Table(EUR)'!$C$2)</f>
        <v>0</v>
      </c>
      <c r="T17" s="337">
        <f>SUMIFS(BS_RE33!$H$7:$H$874,BS_RE33!$S$7:$S$874,$T$2,BS_RE33!$N$7:$N$874,I17,BS_RE33!$P$7:$P$874,'30 days CF Table(EUR)'!G17,BS_RE33!$F$7:$F$874,'30 days CF Table(EUR)'!$C$2)</f>
        <v>0</v>
      </c>
      <c r="U17" s="337">
        <f>SUMIFS(BS_RE33!$H$7:$H$874,BS_RE33!$S$7:$S$874,$U$2,BS_RE33!$N$7:$N$874,I17,BS_RE33!$P$7:$P$874,'30 days CF Table(EUR)'!G17,BS_RE33!$F$7:$F$874,'30 days CF Table(EUR)'!$C$2)</f>
        <v>0</v>
      </c>
      <c r="V17" s="337">
        <f>SUMIFS(BS_RE33!$H$7:$H$874,BS_RE33!$S$7:$S$874,$V$2,BS_RE33!$N$7:$N$874,I17,BS_RE33!$P$7:$P$874,'30 days CF Table(EUR)'!G17,BS_RE33!$F$7:$F$874,'30 days CF Table(EUR)'!$C$2)</f>
        <v>0</v>
      </c>
      <c r="W17" s="337">
        <f>SUMIFS(BS_RE33!$H$7:$H$874,BS_RE33!$S$7:$S$874,$W$2,BS_RE33!$N$7:$N$874,I17,BS_RE33!$P$7:$P$874,'30 days CF Table(EUR)'!G17,BS_RE33!$F$7:$F$874,'30 days CF Table(EUR)'!$C$2)</f>
        <v>0</v>
      </c>
      <c r="X17" s="337">
        <f>SUMIFS(BS_RE33!$H$7:$H$874,BS_RE33!$S$7:$S$874,$X$2,BS_RE33!$N$7:$N$874,I17,BS_RE33!$P$7:$P$874,'30 days CF Table(EUR)'!G17,BS_RE33!$F$7:$F$874,'30 days CF Table(EUR)'!$C$2)</f>
        <v>0</v>
      </c>
      <c r="Y17" s="337">
        <f>SUMIFS(BS_RE33!$H$7:$H$874,BS_RE33!$S$7:$S$874,$Y$2,BS_RE33!$N$7:$N$874,I17,BS_RE33!$P$7:$P$874,'30 days CF Table(EUR)'!G17,BS_RE33!$F$7:$F$874,'30 days CF Table(EUR)'!$C$2)</f>
        <v>0</v>
      </c>
      <c r="Z17" s="337">
        <f>SUMIFS(BS_RE33!$H$7:$H$874,BS_RE33!$S$7:$S$874,$Z$2,BS_RE33!$N$7:$N$874,I17,BS_RE33!$P$7:$P$874,'30 days CF Table(EUR)'!G17,BS_RE33!$F$7:$F$874,'30 days CF Table(EUR)'!$C$2)</f>
        <v>0</v>
      </c>
      <c r="AA17" s="337">
        <f>SUMIFS(BS_RE33!$H$7:$H$874,BS_RE33!$S$7:$S$874,$AA$2,BS_RE33!$N$7:$N$874,I17,BS_RE33!$P$7:$P$874,'30 days CF Table(EUR)'!G17,BS_RE33!$F$7:$F$874,'30 days CF Table(EUR)'!$C$2)</f>
        <v>0</v>
      </c>
      <c r="AB17" s="337">
        <f>SUMIFS(BS_RE33!$H$7:$H$874,BS_RE33!$S$7:$S$874,$AB$2,BS_RE33!$N$7:$N$874,I17,BS_RE33!$P$7:$P$874,'30 days CF Table(EUR)'!G17,BS_RE33!$F$7:$F$874,'30 days CF Table(EUR)'!$C$2)</f>
        <v>0</v>
      </c>
      <c r="AC17" s="337">
        <f>SUMIFS(BS_RE33!$H$7:$H$874,BS_RE33!$S$7:$S$874,$AC$2,BS_RE33!$N$7:$N$874,I17,BS_RE33!$P$7:$P$874,'30 days CF Table(EUR)'!G17,BS_RE33!$F$7:$F$874,'30 days CF Table(EUR)'!$C$2)</f>
        <v>0</v>
      </c>
      <c r="AD17" s="337">
        <f>SUMIFS(BS_RE33!$H$7:$H$874,BS_RE33!$S$7:$S$874,$AD$2,BS_RE33!$N$7:$N$874,I17,BS_RE33!$P$7:$P$874,'30 days CF Table(EUR)'!G17,BS_RE33!$F$7:$F$874,'30 days CF Table(EUR)'!$C$2)</f>
        <v>0</v>
      </c>
      <c r="AE17" s="337">
        <f>SUMIFS(BS_RE33!$H$7:$H$874,BS_RE33!$S$7:$S$874,$AE$2,BS_RE33!$N$7:$N$874,I17,BS_RE33!$P$7:$P$874,'30 days CF Table(EUR)'!G17,BS_RE33!$F$7:$F$874,'30 days CF Table(EUR)'!$C$2)</f>
        <v>0</v>
      </c>
      <c r="AF17" s="337">
        <f>SUMIFS(BS_RE33!$H$7:$H$874,BS_RE33!$S$7:$S$874,$AF$2,BS_RE33!$N$7:$N$874,I17,BS_RE33!$P$7:$P$874,'30 days CF Table(EUR)'!G17,BS_RE33!$F$7:$F$874,'30 days CF Table(EUR)'!$C$2)</f>
        <v>0</v>
      </c>
      <c r="AG17" s="337">
        <f>SUMIFS(BS_RE33!$H$7:$H$874,BS_RE33!$S$7:$S$874,$AG$2,BS_RE33!$N$7:$N$874,I17,BS_RE33!$P$7:$P$874,'30 days CF Table(EUR)'!G17,BS_RE33!$F$7:$F$874,'30 days CF Table(EUR)'!$C$2)</f>
        <v>0</v>
      </c>
      <c r="AH17" s="337">
        <f>SUMIFS(BS_RE33!$H$7:$H$874,BS_RE33!$S$7:$S$874,$AH$2,BS_RE33!$N$7:$N$874,I17,BS_RE33!$P$7:$P$874,'30 days CF Table(EUR)'!G17,BS_RE33!$F$7:$F$874,'30 days CF Table(EUR)'!$C$2)</f>
        <v>0</v>
      </c>
      <c r="AI17" s="337">
        <f>SUMIFS(BS_RE33!$H$7:$H$874,BS_RE33!$S$7:$S$874,$AI$2,BS_RE33!$N$7:$N$874,I17,BS_RE33!$P$7:$P$874,'30 days CF Table(EUR)'!G17,BS_RE33!$F$7:$F$874,'30 days CF Table(EUR)'!$C$2)</f>
        <v>0</v>
      </c>
      <c r="AJ17" s="337">
        <f>SUMIFS(BS_RE33!$H$7:$H$874,BS_RE33!$S$7:$S$874,$AJ$2,BS_RE33!$N$7:$N$874,I17,BS_RE33!$P$7:$P$874,'30 days CF Table(EUR)'!G17,BS_RE33!$F$7:$F$874,'30 days CF Table(EUR)'!$C$2)</f>
        <v>0</v>
      </c>
      <c r="AK17" s="337">
        <f>SUMIFS(BS_RE33!$H$7:$H$874,BS_RE33!$S$7:$S$874,$AK$2,BS_RE33!$N$7:$N$874,I17,BS_RE33!$P$7:$P$874,'30 days CF Table(EUR)'!G17,BS_RE33!$F$7:$F$874,'30 days CF Table(EUR)'!$C$2)</f>
        <v>0</v>
      </c>
      <c r="AL17" s="337">
        <f>SUMIFS(BS_RE33!$H$7:$H$874,BS_RE33!$S$7:$S$874,$AL$2,BS_RE33!$N$7:$N$874,I17,BS_RE33!$P$7:$P$874,'30 days CF Table(EUR)'!G17,BS_RE33!$F$7:$F$874,'30 days CF Table(EUR)'!$C$2)</f>
        <v>0</v>
      </c>
      <c r="AM17" s="337">
        <f>SUMIFS(BS_RE33!$H$7:$H$874,BS_RE33!$S$7:$S$874,$AM$2,BS_RE33!$N$7:$N$874,I17,BS_RE33!$P$7:$P$874,'30 days CF Table(EUR)'!G17,BS_RE33!$F$7:$F$874,'30 days CF Table(EUR)'!$C$2)</f>
        <v>0</v>
      </c>
      <c r="AN17" s="337">
        <f>SUMIFS(BS_RE33!$H$7:$H$874,BS_RE33!$S$7:$S$874,$AN$2,BS_RE33!$N$7:$N$874,I17,BS_RE33!$P$7:$P$874,'30 days CF Table(EUR)'!G17,BS_RE33!$F$7:$F$874,'30 days CF Table(EUR)'!$C$2)</f>
        <v>0</v>
      </c>
      <c r="AO17" s="337">
        <f>SUMIFS(BS_RE33!$H$7:$H$874,BS_RE33!$S$7:$S$874,$AO$2,BS_RE33!$N$7:$N$874,I17,BS_RE33!$P$7:$P$874,'30 days CF Table(EUR)'!G17,BS_RE33!$F$7:$F$874,'30 days CF Table(EUR)'!$C$2)</f>
        <v>0</v>
      </c>
      <c r="AP17" s="338">
        <f>SUMIFS(BS_RE33!$H$7:$H$874,BS_RE33!$S$7:$S$874,$AP$2,BS_RE33!$N$7:$N$874,I17,BS_RE33!$P$7:$P$874,'30 days CF Table(EUR)'!G17,BS_RE33!$F$7:$F$874,'30 days CF Table(EUR)'!$C$2)</f>
        <v>0</v>
      </c>
      <c r="AQ17" s="545"/>
      <c r="AR17" s="379">
        <f>SUMIFS(BS_RE33!$H$7:$H$874,BS_RE33!$S$7:$S$874,$AR$2,BS_RE33!$N$7:$N$874,I17,BS_RE33!$P$7:$P$874,'30 days CF Table(EUR)'!G17,BS_RE33!$F$7:$F$874,'30 days CF Table(EUR)'!$C$2)</f>
        <v>0</v>
      </c>
      <c r="AS17" s="379">
        <f>SUMIFS(BS_RE33!$H$7:$H$874,BS_RE33!$S$7:$S$874,$AS$2,BS_RE33!$N$7:$N$874,I17,BS_RE33!$P$7:$P$874,'30 days CF Table(EUR)'!G17,BS_RE33!$F$7:$F$874,'30 days CF Table(EUR)'!$C$2)</f>
        <v>0</v>
      </c>
      <c r="AT17" s="379">
        <f>SUMIFS(BS_RE33!$H$7:$H$874,BS_RE33!$S$7:$S$874,$AT$2,BS_RE33!$N$7:$N$874,I17,BS_RE33!$P$7:$P$874,'30 days CF Table(EUR)'!G17,BS_RE33!$F$7:$F$874,'30 days CF Table(EUR)'!$C$2)</f>
        <v>0</v>
      </c>
      <c r="AU17" s="379">
        <f>SUMIFS(BS_RE33!$H$7:$H$874,BS_RE33!$S$7:$S$874,$AU$2,BS_RE33!$N$7:$N$874,I17,BS_RE33!$P$7:$P$874,'30 days CF Table(EUR)'!G17,BS_RE33!$F$7:$F$874,'30 days CF Table(EUR)'!$C$2)</f>
        <v>0</v>
      </c>
      <c r="AV17" s="379">
        <f>SUMIFS(BS_RE33!$H$7:$H$874,BS_RE33!$S$7:$S$874,$AV$2,BS_RE33!$N$7:$N$874,I17,BS_RE33!$P$7:$P$874,'30 days CF Table(EUR)'!G17,BS_RE33!$F$7:$F$874,'30 days CF Table(EUR)'!$C$2)</f>
        <v>0</v>
      </c>
      <c r="AW17" s="379">
        <f>SUMIFS(BS_RE33!$H$7:$H$874,BS_RE33!$S$7:$S$874,$AW$2,BS_RE33!$N$7:$N$874,I17,BS_RE33!$P$7:$P$874,'30 days CF Table(EUR)'!G17,BS_RE33!$F$7:$F$874,'30 days CF Table(EUR)'!$C$2)</f>
        <v>0</v>
      </c>
      <c r="AX17" s="379">
        <f>SUMIFS(BS_RE33!$H$7:$H$874,BS_RE33!$S$7:$S$874,$AX$2,BS_RE33!$N$7:$N$874,I17,BS_RE33!$P$7:$P$874,'30 days CF Table(EUR)'!G17,BS_RE33!$F$7:$F$874,'30 days CF Table(EUR)'!$C$2)</f>
        <v>0</v>
      </c>
      <c r="AY17" s="379">
        <f>SUMIFS(BS_RE33!$H$7:$H$874,BS_RE33!$S$7:$S$874,$AY$2,BS_RE33!$N$7:$N$874,I17,BS_RE33!$P$7:$P$874,'30 days CF Table(EUR)'!G17,BS_RE33!$F$7:$F$874,'30 days CF Table(EUR)'!$C$2)</f>
        <v>0</v>
      </c>
      <c r="AZ17" s="379">
        <f>SUMIFS(BS_RE33!$H$7:$H$874,BS_RE33!$S$7:$S$874,$AZ$2,BS_RE33!$N$7:$N$874,I17,BS_RE33!$P$7:$P$874,'30 days CF Table(EUR)'!G17,BS_RE33!$F$7:$F$874,'30 days CF Table(EUR)'!$C$2)</f>
        <v>0</v>
      </c>
      <c r="BA17" s="379">
        <f>SUMIFS(BS_RE33!$H$7:$H$874,BS_RE33!$S$7:$S$874,$BA$2,BS_RE33!$N$7:$N$874,I17,BS_RE33!$P$7:$P$874,'30 days CF Table(EUR)'!G17,BS_RE33!$F$7:$F$874,'30 days CF Table(EUR)'!$C$2)</f>
        <v>0</v>
      </c>
      <c r="BB17" s="379">
        <f>SUMIFS(BS_RE33!$H$7:$H$874,BS_RE33!$S$7:$S$874,$BB$2,BS_RE33!$N$7:$N$874,I17,BS_RE33!$P$7:$P$874,'30 days CF Table(EUR)'!G17,BS_RE33!$F$7:$F$874,'30 days CF Table(EUR)'!$C$2)</f>
        <v>0</v>
      </c>
      <c r="BC17" s="379">
        <f>SUMIFS(BS_RE33!$H$7:$H$874,BS_RE33!$S$7:$S$874,$BC$2,BS_RE33!$N$7:$N$874,I17,BS_RE33!$P$7:$P$874,'30 days CF Table(EUR)'!G17,BS_RE33!$F$7:$F$874,'30 days CF Table(EUR)'!$C$2)</f>
        <v>0</v>
      </c>
      <c r="BD17" s="379">
        <f>SUMIFS(BS_RE33!$H$7:$H$874,BS_RE33!$S$7:$S$874,$BD$2,BS_RE33!$N$7:$N$874,I17,BS_RE33!$P$7:$P$874,'30 days CF Table(EUR)'!G17,BS_RE33!$F$7:$F$874,'30 days CF Table(EUR)'!$C$2)</f>
        <v>0</v>
      </c>
      <c r="BE17" s="379">
        <f>SUMIFS(BS_RE33!$H$7:$H$874,BS_RE33!$S$7:$S$874,$BE$2,BS_RE33!$N$7:$N$874,I17,BS_RE33!$P$7:$P$874,'30 days CF Table(EUR)'!G17,BS_RE33!$F$7:$F$874,'30 days CF Table(EUR)'!$C$2)</f>
        <v>0</v>
      </c>
      <c r="BF17" s="379">
        <f>SUMIFS(BS_RE33!$H$7:$H$874,BS_RE33!$S$7:$S$874,$BF$2,BS_RE33!$N$7:$N$874,I17,BS_RE33!$P$7:$P$874,'30 days CF Table(EUR)'!G17,BS_RE33!$F$7:$F$874,'30 days CF Table(EUR)'!$C$2)</f>
        <v>0</v>
      </c>
      <c r="BG17" s="379">
        <f>SUMIFS(BS_RE33!$H$7:$H$874,BS_RE33!$S$7:$S$874,$BG$2,BS_RE33!$N$7:$N$874,I17,BS_RE33!$P$7:$P$874,'30 days CF Table(EUR)'!G17,BS_RE33!$F$7:$F$874,'30 days CF Table(EUR)'!$C$2)</f>
        <v>0</v>
      </c>
      <c r="BH17" s="379">
        <f>SUMIFS(BS_RE33!$H$7:$H$874,BS_RE33!$S$7:$S$874,$BH$2,BS_RE33!$N$7:$N$874,I17,BS_RE33!$P$7:$P$874,'30 days CF Table(EUR)'!G17,BS_RE33!$F$7:$F$874,'30 days CF Table(EUR)'!$C$2)</f>
        <v>0</v>
      </c>
      <c r="BI17" s="379">
        <f>SUMIFS(BS_RE33!$H$7:$H$874,BS_RE33!$S$7:$S$874,$BI$2,BS_RE33!$N$7:$N$874,I17,BS_RE33!$P$7:$P$874,'30 days CF Table(EUR)'!G17,BS_RE33!$F$7:$F$874,'30 days CF Table(EUR)'!$C$2)</f>
        <v>0</v>
      </c>
      <c r="BJ17" s="379">
        <f>SUMIFS(BS_RE33!$H$7:$H$874,BS_RE33!$S$7:$S$874,$BJ$2,BS_RE33!$N$7:$N$874,I17,BS_RE33!$P$7:$P$874,'30 days CF Table(EUR)'!G17,BS_RE33!$F$7:$F$874,'30 days CF Table(EUR)'!$C$2)</f>
        <v>0</v>
      </c>
      <c r="BK17" s="379">
        <f>SUMIFS(BS_RE33!$H$7:$H$874,BS_RE33!$S$7:$S$874,$BK$2,BS_RE33!$N$7:$N$874,I17,BS_RE33!$P$7:$P$874,'30 days CF Table(EUR)'!G17,BS_RE33!$F$7:$F$874,'30 days CF Table(EUR)'!$C$2)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Table(EUR)'!G18,BS_RE33!$F$7:$F$874,'30 days CF Table(EUR)'!$C$2)</f>
        <v>0</v>
      </c>
      <c r="M18" s="337">
        <f>SUMIFS(BS_RE33!$H$7:$H$874,BS_RE33!$S$7:$S$874,$M$2,BS_RE33!$N$7:$N$874,I18,BS_RE33!$P$7:$P$874,'30 days CF Table(EUR)'!G18,BS_RE33!$F$7:$F$874,'30 days CF Table(EUR)'!$C$2)</f>
        <v>0</v>
      </c>
      <c r="N18" s="337">
        <f>SUMIFS(BS_RE33!$H$7:$H$874,BS_RE33!$S$7:$S$874,$N$2,BS_RE33!$N$7:$N$874,I18,BS_RE33!$P$7:$P$874,'30 days CF Table(EUR)'!G18,BS_RE33!$F$7:$F$874,'30 days CF Table(EUR)'!$C$2)</f>
        <v>0</v>
      </c>
      <c r="O18" s="337">
        <f>SUMIFS(BS_RE33!$H$7:$H$874,BS_RE33!$S$7:$S$874,$O$2,BS_RE33!$N$7:$N$874,I18,BS_RE33!$P$7:$P$874,'30 days CF Table(EUR)'!G18,BS_RE33!$F$7:$F$874,'30 days CF Table(EUR)'!$C$2)</f>
        <v>0</v>
      </c>
      <c r="P18" s="337">
        <f>SUMIFS(BS_RE33!$H$7:$H$874,BS_RE33!$S$7:$S$874,$P$2,BS_RE33!$N$7:$N$874,I18,BS_RE33!$P$7:$P$874,'30 days CF Table(EUR)'!G18,BS_RE33!$F$7:$F$874,'30 days CF Table(EUR)'!$C$2)</f>
        <v>0</v>
      </c>
      <c r="Q18" s="337">
        <f>SUMIFS(BS_RE33!$H$7:$H$874,BS_RE33!$S$7:$S$874,$Q$2,BS_RE33!$N$7:$N$874,I18,BS_RE33!$P$7:$P$874,'30 days CF Table(EUR)'!G18,BS_RE33!$F$7:$F$874,'30 days CF Table(EUR)'!$C$2)</f>
        <v>0</v>
      </c>
      <c r="R18" s="337">
        <f>SUMIFS(BS_RE33!$H$7:$H$874,BS_RE33!$S$7:$S$874,$R$2,BS_RE33!$N$7:$N$874,I18,BS_RE33!$P$7:$P$874,'30 days CF Table(EUR)'!G18,BS_RE33!$F$7:$F$874,'30 days CF Table(EUR)'!$C$2)</f>
        <v>0</v>
      </c>
      <c r="S18" s="337">
        <f>SUMIFS(BS_RE33!$H$7:$H$874,BS_RE33!$S$7:$S$874,$S$2,BS_RE33!$N$7:$N$874,I18,BS_RE33!$P$7:$P$874,'30 days CF Table(EUR)'!G18,BS_RE33!$F$7:$F$874,'30 days CF Table(EUR)'!$C$2)</f>
        <v>0</v>
      </c>
      <c r="T18" s="337">
        <f>SUMIFS(BS_RE33!$H$7:$H$874,BS_RE33!$S$7:$S$874,$T$2,BS_RE33!$N$7:$N$874,I18,BS_RE33!$P$7:$P$874,'30 days CF Table(EUR)'!G18,BS_RE33!$F$7:$F$874,'30 days CF Table(EUR)'!$C$2)</f>
        <v>0</v>
      </c>
      <c r="U18" s="337">
        <f>SUMIFS(BS_RE33!$H$7:$H$874,BS_RE33!$S$7:$S$874,$U$2,BS_RE33!$N$7:$N$874,I18,BS_RE33!$P$7:$P$874,'30 days CF Table(EUR)'!G18,BS_RE33!$F$7:$F$874,'30 days CF Table(EUR)'!$C$2)</f>
        <v>0</v>
      </c>
      <c r="V18" s="337">
        <f>SUMIFS(BS_RE33!$H$7:$H$874,BS_RE33!$S$7:$S$874,$V$2,BS_RE33!$N$7:$N$874,I18,BS_RE33!$P$7:$P$874,'30 days CF Table(EUR)'!G18,BS_RE33!$F$7:$F$874,'30 days CF Table(EUR)'!$C$2)</f>
        <v>0</v>
      </c>
      <c r="W18" s="337">
        <f>SUMIFS(BS_RE33!$H$7:$H$874,BS_RE33!$S$7:$S$874,$W$2,BS_RE33!$N$7:$N$874,I18,BS_RE33!$P$7:$P$874,'30 days CF Table(EUR)'!G18,BS_RE33!$F$7:$F$874,'30 days CF Table(EUR)'!$C$2)</f>
        <v>0</v>
      </c>
      <c r="X18" s="337">
        <f>SUMIFS(BS_RE33!$H$7:$H$874,BS_RE33!$S$7:$S$874,$X$2,BS_RE33!$N$7:$N$874,I18,BS_RE33!$P$7:$P$874,'30 days CF Table(EUR)'!G18,BS_RE33!$F$7:$F$874,'30 days CF Table(EUR)'!$C$2)</f>
        <v>0</v>
      </c>
      <c r="Y18" s="337">
        <f>SUMIFS(BS_RE33!$H$7:$H$874,BS_RE33!$S$7:$S$874,$Y$2,BS_RE33!$N$7:$N$874,I18,BS_RE33!$P$7:$P$874,'30 days CF Table(EUR)'!G18,BS_RE33!$F$7:$F$874,'30 days CF Table(EUR)'!$C$2)</f>
        <v>0</v>
      </c>
      <c r="Z18" s="337">
        <f>SUMIFS(BS_RE33!$H$7:$H$874,BS_RE33!$S$7:$S$874,$Z$2,BS_RE33!$N$7:$N$874,I18,BS_RE33!$P$7:$P$874,'30 days CF Table(EUR)'!G18,BS_RE33!$F$7:$F$874,'30 days CF Table(EUR)'!$C$2)</f>
        <v>0</v>
      </c>
      <c r="AA18" s="337">
        <f>SUMIFS(BS_RE33!$H$7:$H$874,BS_RE33!$S$7:$S$874,$AA$2,BS_RE33!$N$7:$N$874,I18,BS_RE33!$P$7:$P$874,'30 days CF Table(EUR)'!G18,BS_RE33!$F$7:$F$874,'30 days CF Table(EUR)'!$C$2)</f>
        <v>0</v>
      </c>
      <c r="AB18" s="337">
        <f>SUMIFS(BS_RE33!$H$7:$H$874,BS_RE33!$S$7:$S$874,$AB$2,BS_RE33!$N$7:$N$874,I18,BS_RE33!$P$7:$P$874,'30 days CF Table(EUR)'!G18,BS_RE33!$F$7:$F$874,'30 days CF Table(EUR)'!$C$2)</f>
        <v>0</v>
      </c>
      <c r="AC18" s="337">
        <f>SUMIFS(BS_RE33!$H$7:$H$874,BS_RE33!$S$7:$S$874,$AC$2,BS_RE33!$N$7:$N$874,I18,BS_RE33!$P$7:$P$874,'30 days CF Table(EUR)'!G18,BS_RE33!$F$7:$F$874,'30 days CF Table(EUR)'!$C$2)</f>
        <v>0</v>
      </c>
      <c r="AD18" s="337">
        <f>SUMIFS(BS_RE33!$H$7:$H$874,BS_RE33!$S$7:$S$874,$AD$2,BS_RE33!$N$7:$N$874,I18,BS_RE33!$P$7:$P$874,'30 days CF Table(EUR)'!G18,BS_RE33!$F$7:$F$874,'30 days CF Table(EUR)'!$C$2)</f>
        <v>0</v>
      </c>
      <c r="AE18" s="337">
        <f>SUMIFS(BS_RE33!$H$7:$H$874,BS_RE33!$S$7:$S$874,$AE$2,BS_RE33!$N$7:$N$874,I18,BS_RE33!$P$7:$P$874,'30 days CF Table(EUR)'!G18,BS_RE33!$F$7:$F$874,'30 days CF Table(EUR)'!$C$2)</f>
        <v>0</v>
      </c>
      <c r="AF18" s="337">
        <f>SUMIFS(BS_RE33!$H$7:$H$874,BS_RE33!$S$7:$S$874,$AF$2,BS_RE33!$N$7:$N$874,I18,BS_RE33!$P$7:$P$874,'30 days CF Table(EUR)'!G18,BS_RE33!$F$7:$F$874,'30 days CF Table(EUR)'!$C$2)</f>
        <v>0</v>
      </c>
      <c r="AG18" s="337">
        <f>SUMIFS(BS_RE33!$H$7:$H$874,BS_RE33!$S$7:$S$874,$AG$2,BS_RE33!$N$7:$N$874,I18,BS_RE33!$P$7:$P$874,'30 days CF Table(EUR)'!G18,BS_RE33!$F$7:$F$874,'30 days CF Table(EUR)'!$C$2)</f>
        <v>0</v>
      </c>
      <c r="AH18" s="337">
        <f>SUMIFS(BS_RE33!$H$7:$H$874,BS_RE33!$S$7:$S$874,$AH$2,BS_RE33!$N$7:$N$874,I18,BS_RE33!$P$7:$P$874,'30 days CF Table(EUR)'!G18,BS_RE33!$F$7:$F$874,'30 days CF Table(EUR)'!$C$2)</f>
        <v>0</v>
      </c>
      <c r="AI18" s="337">
        <f>SUMIFS(BS_RE33!$H$7:$H$874,BS_RE33!$S$7:$S$874,$AI$2,BS_RE33!$N$7:$N$874,I18,BS_RE33!$P$7:$P$874,'30 days CF Table(EUR)'!G18,BS_RE33!$F$7:$F$874,'30 days CF Table(EUR)'!$C$2)</f>
        <v>0</v>
      </c>
      <c r="AJ18" s="337">
        <f>SUMIFS(BS_RE33!$H$7:$H$874,BS_RE33!$S$7:$S$874,$AJ$2,BS_RE33!$N$7:$N$874,I18,BS_RE33!$P$7:$P$874,'30 days CF Table(EUR)'!G18,BS_RE33!$F$7:$F$874,'30 days CF Table(EUR)'!$C$2)</f>
        <v>0</v>
      </c>
      <c r="AK18" s="337">
        <f>SUMIFS(BS_RE33!$H$7:$H$874,BS_RE33!$S$7:$S$874,$AK$2,BS_RE33!$N$7:$N$874,I18,BS_RE33!$P$7:$P$874,'30 days CF Table(EUR)'!G18,BS_RE33!$F$7:$F$874,'30 days CF Table(EUR)'!$C$2)</f>
        <v>0</v>
      </c>
      <c r="AL18" s="337">
        <f>SUMIFS(BS_RE33!$H$7:$H$874,BS_RE33!$S$7:$S$874,$AL$2,BS_RE33!$N$7:$N$874,I18,BS_RE33!$P$7:$P$874,'30 days CF Table(EUR)'!G18,BS_RE33!$F$7:$F$874,'30 days CF Table(EUR)'!$C$2)</f>
        <v>0</v>
      </c>
      <c r="AM18" s="337">
        <f>SUMIFS(BS_RE33!$H$7:$H$874,BS_RE33!$S$7:$S$874,$AM$2,BS_RE33!$N$7:$N$874,I18,BS_RE33!$P$7:$P$874,'30 days CF Table(EUR)'!G18,BS_RE33!$F$7:$F$874,'30 days CF Table(EUR)'!$C$2)</f>
        <v>0</v>
      </c>
      <c r="AN18" s="337">
        <f>SUMIFS(BS_RE33!$H$7:$H$874,BS_RE33!$S$7:$S$874,$AN$2,BS_RE33!$N$7:$N$874,I18,BS_RE33!$P$7:$P$874,'30 days CF Table(EUR)'!G18,BS_RE33!$F$7:$F$874,'30 days CF Table(EUR)'!$C$2)</f>
        <v>0</v>
      </c>
      <c r="AO18" s="337">
        <f>SUMIFS(BS_RE33!$H$7:$H$874,BS_RE33!$S$7:$S$874,$AO$2,BS_RE33!$N$7:$N$874,I18,BS_RE33!$P$7:$P$874,'30 days CF Table(EUR)'!G18,BS_RE33!$F$7:$F$874,'30 days CF Table(EUR)'!$C$2)</f>
        <v>0</v>
      </c>
      <c r="AP18" s="338">
        <f>SUMIFS(BS_RE33!$H$7:$H$874,BS_RE33!$S$7:$S$874,$AP$2,BS_RE33!$N$7:$N$874,I18,BS_RE33!$P$7:$P$874,'30 days CF Table(EUR)'!G18,BS_RE33!$F$7:$F$874,'30 days CF Table(EUR)'!$C$2)</f>
        <v>0</v>
      </c>
      <c r="AQ18" s="545"/>
      <c r="AR18" s="379">
        <f>SUMIFS(BS_RE33!$H$7:$H$874,BS_RE33!$S$7:$S$874,$AR$2,BS_RE33!$N$7:$N$874,I18,BS_RE33!$P$7:$P$874,'30 days CF Table(EUR)'!G18,BS_RE33!$F$7:$F$874,'30 days CF Table(EUR)'!$C$2)</f>
        <v>0</v>
      </c>
      <c r="AS18" s="379">
        <f>SUMIFS(BS_RE33!$H$7:$H$874,BS_RE33!$S$7:$S$874,$AS$2,BS_RE33!$N$7:$N$874,I18,BS_RE33!$P$7:$P$874,'30 days CF Table(EUR)'!G18,BS_RE33!$F$7:$F$874,'30 days CF Table(EUR)'!$C$2)</f>
        <v>0</v>
      </c>
      <c r="AT18" s="379">
        <f>SUMIFS(BS_RE33!$H$7:$H$874,BS_RE33!$S$7:$S$874,$AT$2,BS_RE33!$N$7:$N$874,I18,BS_RE33!$P$7:$P$874,'30 days CF Table(EUR)'!G18,BS_RE33!$F$7:$F$874,'30 days CF Table(EUR)'!$C$2)</f>
        <v>0</v>
      </c>
      <c r="AU18" s="379">
        <f>SUMIFS(BS_RE33!$H$7:$H$874,BS_RE33!$S$7:$S$874,$AU$2,BS_RE33!$N$7:$N$874,I18,BS_RE33!$P$7:$P$874,'30 days CF Table(EUR)'!G18,BS_RE33!$F$7:$F$874,'30 days CF Table(EUR)'!$C$2)</f>
        <v>0</v>
      </c>
      <c r="AV18" s="379">
        <f>SUMIFS(BS_RE33!$H$7:$H$874,BS_RE33!$S$7:$S$874,$AV$2,BS_RE33!$N$7:$N$874,I18,BS_RE33!$P$7:$P$874,'30 days CF Table(EUR)'!G18,BS_RE33!$F$7:$F$874,'30 days CF Table(EUR)'!$C$2)</f>
        <v>0</v>
      </c>
      <c r="AW18" s="379">
        <f>SUMIFS(BS_RE33!$H$7:$H$874,BS_RE33!$S$7:$S$874,$AW$2,BS_RE33!$N$7:$N$874,I18,BS_RE33!$P$7:$P$874,'30 days CF Table(EUR)'!G18,BS_RE33!$F$7:$F$874,'30 days CF Table(EUR)'!$C$2)</f>
        <v>0</v>
      </c>
      <c r="AX18" s="379">
        <f>SUMIFS(BS_RE33!$H$7:$H$874,BS_RE33!$S$7:$S$874,$AX$2,BS_RE33!$N$7:$N$874,I18,BS_RE33!$P$7:$P$874,'30 days CF Table(EUR)'!G18,BS_RE33!$F$7:$F$874,'30 days CF Table(EUR)'!$C$2)</f>
        <v>0</v>
      </c>
      <c r="AY18" s="379">
        <f>SUMIFS(BS_RE33!$H$7:$H$874,BS_RE33!$S$7:$S$874,$AY$2,BS_RE33!$N$7:$N$874,I18,BS_RE33!$P$7:$P$874,'30 days CF Table(EUR)'!G18,BS_RE33!$F$7:$F$874,'30 days CF Table(EUR)'!$C$2)</f>
        <v>0</v>
      </c>
      <c r="AZ18" s="379">
        <f>SUMIFS(BS_RE33!$H$7:$H$874,BS_RE33!$S$7:$S$874,$AZ$2,BS_RE33!$N$7:$N$874,I18,BS_RE33!$P$7:$P$874,'30 days CF Table(EUR)'!G18,BS_RE33!$F$7:$F$874,'30 days CF Table(EUR)'!$C$2)</f>
        <v>0</v>
      </c>
      <c r="BA18" s="379">
        <f>SUMIFS(BS_RE33!$H$7:$H$874,BS_RE33!$S$7:$S$874,$BA$2,BS_RE33!$N$7:$N$874,I18,BS_RE33!$P$7:$P$874,'30 days CF Table(EUR)'!G18,BS_RE33!$F$7:$F$874,'30 days CF Table(EUR)'!$C$2)</f>
        <v>0</v>
      </c>
      <c r="BB18" s="379">
        <f>SUMIFS(BS_RE33!$H$7:$H$874,BS_RE33!$S$7:$S$874,$BB$2,BS_RE33!$N$7:$N$874,I18,BS_RE33!$P$7:$P$874,'30 days CF Table(EUR)'!G18,BS_RE33!$F$7:$F$874,'30 days CF Table(EUR)'!$C$2)</f>
        <v>0</v>
      </c>
      <c r="BC18" s="379">
        <f>SUMIFS(BS_RE33!$H$7:$H$874,BS_RE33!$S$7:$S$874,$BC$2,BS_RE33!$N$7:$N$874,I18,BS_RE33!$P$7:$P$874,'30 days CF Table(EUR)'!G18,BS_RE33!$F$7:$F$874,'30 days CF Table(EUR)'!$C$2)</f>
        <v>0</v>
      </c>
      <c r="BD18" s="379">
        <f>SUMIFS(BS_RE33!$H$7:$H$874,BS_RE33!$S$7:$S$874,$BD$2,BS_RE33!$N$7:$N$874,I18,BS_RE33!$P$7:$P$874,'30 days CF Table(EUR)'!G18,BS_RE33!$F$7:$F$874,'30 days CF Table(EUR)'!$C$2)</f>
        <v>0</v>
      </c>
      <c r="BE18" s="379">
        <f>SUMIFS(BS_RE33!$H$7:$H$874,BS_RE33!$S$7:$S$874,$BE$2,BS_RE33!$N$7:$N$874,I18,BS_RE33!$P$7:$P$874,'30 days CF Table(EUR)'!G18,BS_RE33!$F$7:$F$874,'30 days CF Table(EUR)'!$C$2)</f>
        <v>0</v>
      </c>
      <c r="BF18" s="379">
        <f>SUMIFS(BS_RE33!$H$7:$H$874,BS_RE33!$S$7:$S$874,$BF$2,BS_RE33!$N$7:$N$874,I18,BS_RE33!$P$7:$P$874,'30 days CF Table(EUR)'!G18,BS_RE33!$F$7:$F$874,'30 days CF Table(EUR)'!$C$2)</f>
        <v>0</v>
      </c>
      <c r="BG18" s="379">
        <f>SUMIFS(BS_RE33!$H$7:$H$874,BS_RE33!$S$7:$S$874,$BG$2,BS_RE33!$N$7:$N$874,I18,BS_RE33!$P$7:$P$874,'30 days CF Table(EUR)'!G18,BS_RE33!$F$7:$F$874,'30 days CF Table(EUR)'!$C$2)</f>
        <v>0</v>
      </c>
      <c r="BH18" s="379">
        <f>SUMIFS(BS_RE33!$H$7:$H$874,BS_RE33!$S$7:$S$874,$BH$2,BS_RE33!$N$7:$N$874,I18,BS_RE33!$P$7:$P$874,'30 days CF Table(EUR)'!G18,BS_RE33!$F$7:$F$874,'30 days CF Table(EUR)'!$C$2)</f>
        <v>0</v>
      </c>
      <c r="BI18" s="379">
        <f>SUMIFS(BS_RE33!$H$7:$H$874,BS_RE33!$S$7:$S$874,$BI$2,BS_RE33!$N$7:$N$874,I18,BS_RE33!$P$7:$P$874,'30 days CF Table(EUR)'!G18,BS_RE33!$F$7:$F$874,'30 days CF Table(EUR)'!$C$2)</f>
        <v>0</v>
      </c>
      <c r="BJ18" s="379">
        <f>SUMIFS(BS_RE33!$H$7:$H$874,BS_RE33!$S$7:$S$874,$BJ$2,BS_RE33!$N$7:$N$874,I18,BS_RE33!$P$7:$P$874,'30 days CF Table(EUR)'!G18,BS_RE33!$F$7:$F$874,'30 days CF Table(EUR)'!$C$2)</f>
        <v>0</v>
      </c>
      <c r="BK18" s="379">
        <f>SUMIFS(BS_RE33!$H$7:$H$874,BS_RE33!$S$7:$S$874,$BK$2,BS_RE33!$N$7:$N$874,I18,BS_RE33!$P$7:$P$874,'30 days CF Table(EUR)'!G18,BS_RE33!$F$7:$F$874,'30 days CF Table(EUR)'!$C$2)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Table(EUR)'!G19,BS_RE33!$F$7:$F$874,'30 days CF Table(EUR)'!$C$2)</f>
        <v>0</v>
      </c>
      <c r="M19" s="548">
        <f>SUMIFS(BS_RE33!$H$7:$H$874,BS_RE33!$S$7:$S$874,$M$2,BS_RE33!$N$7:$N$874,I19,BS_RE33!$P$7:$P$874,'30 days CF Table(EUR)'!G19,BS_RE33!$F$7:$F$874,'30 days CF Table(EUR)'!$C$2)</f>
        <v>0</v>
      </c>
      <c r="N19" s="548">
        <f>SUMIFS(BS_RE33!$H$7:$H$874,BS_RE33!$S$7:$S$874,$N$2,BS_RE33!$N$7:$N$874,I19,BS_RE33!$P$7:$P$874,'30 days CF Table(EUR)'!G19,BS_RE33!$F$7:$F$874,'30 days CF Table(EUR)'!$C$2)</f>
        <v>0</v>
      </c>
      <c r="O19" s="548">
        <f>SUMIFS(BS_RE33!$H$7:$H$874,BS_RE33!$S$7:$S$874,$O$2,BS_RE33!$N$7:$N$874,I19,BS_RE33!$P$7:$P$874,'30 days CF Table(EUR)'!G19,BS_RE33!$F$7:$F$874,'30 days CF Table(EUR)'!$C$2)</f>
        <v>0</v>
      </c>
      <c r="P19" s="548">
        <f>SUMIFS(BS_RE33!$H$7:$H$874,BS_RE33!$S$7:$S$874,$P$2,BS_RE33!$N$7:$N$874,I19,BS_RE33!$P$7:$P$874,'30 days CF Table(EUR)'!G19,BS_RE33!$F$7:$F$874,'30 days CF Table(EUR)'!$C$2)</f>
        <v>0</v>
      </c>
      <c r="Q19" s="548">
        <f>SUMIFS(BS_RE33!$H$7:$H$874,BS_RE33!$S$7:$S$874,$Q$2,BS_RE33!$N$7:$N$874,I19,BS_RE33!$P$7:$P$874,'30 days CF Table(EUR)'!G19,BS_RE33!$F$7:$F$874,'30 days CF Table(EUR)'!$C$2)</f>
        <v>0</v>
      </c>
      <c r="R19" s="548">
        <f>SUMIFS(BS_RE33!$H$7:$H$874,BS_RE33!$S$7:$S$874,$R$2,BS_RE33!$N$7:$N$874,I19,BS_RE33!$P$7:$P$874,'30 days CF Table(EUR)'!G19,BS_RE33!$F$7:$F$874,'30 days CF Table(EUR)'!$C$2)</f>
        <v>0</v>
      </c>
      <c r="S19" s="548">
        <f>SUMIFS(BS_RE33!$H$7:$H$874,BS_RE33!$S$7:$S$874,$S$2,BS_RE33!$N$7:$N$874,I19,BS_RE33!$P$7:$P$874,'30 days CF Table(EUR)'!G19,BS_RE33!$F$7:$F$874,'30 days CF Table(EUR)'!$C$2)</f>
        <v>0</v>
      </c>
      <c r="T19" s="548">
        <f>SUMIFS(BS_RE33!$H$7:$H$874,BS_RE33!$S$7:$S$874,$T$2,BS_RE33!$N$7:$N$874,I19,BS_RE33!$P$7:$P$874,'30 days CF Table(EUR)'!G19,BS_RE33!$F$7:$F$874,'30 days CF Table(EUR)'!$C$2)</f>
        <v>0</v>
      </c>
      <c r="U19" s="548">
        <f>SUMIFS(BS_RE33!$H$7:$H$874,BS_RE33!$S$7:$S$874,$U$2,BS_RE33!$N$7:$N$874,I19,BS_RE33!$P$7:$P$874,'30 days CF Table(EUR)'!G19,BS_RE33!$F$7:$F$874,'30 days CF Table(EUR)'!$C$2)</f>
        <v>0</v>
      </c>
      <c r="V19" s="548">
        <f>SUMIFS(BS_RE33!$H$7:$H$874,BS_RE33!$S$7:$S$874,$V$2,BS_RE33!$N$7:$N$874,I19,BS_RE33!$P$7:$P$874,'30 days CF Table(EUR)'!G19,BS_RE33!$F$7:$F$874,'30 days CF Table(EUR)'!$C$2)</f>
        <v>0</v>
      </c>
      <c r="W19" s="548">
        <f>SUMIFS(BS_RE33!$H$7:$H$874,BS_RE33!$S$7:$S$874,$W$2,BS_RE33!$N$7:$N$874,I19,BS_RE33!$P$7:$P$874,'30 days CF Table(EUR)'!G19,BS_RE33!$F$7:$F$874,'30 days CF Table(EUR)'!$C$2)</f>
        <v>0</v>
      </c>
      <c r="X19" s="548">
        <f>SUMIFS(BS_RE33!$H$7:$H$874,BS_RE33!$S$7:$S$874,$X$2,BS_RE33!$N$7:$N$874,I19,BS_RE33!$P$7:$P$874,'30 days CF Table(EUR)'!G19,BS_RE33!$F$7:$F$874,'30 days CF Table(EUR)'!$C$2)</f>
        <v>0</v>
      </c>
      <c r="Y19" s="548">
        <f>SUMIFS(BS_RE33!$H$7:$H$874,BS_RE33!$S$7:$S$874,$Y$2,BS_RE33!$N$7:$N$874,I19,BS_RE33!$P$7:$P$874,'30 days CF Table(EUR)'!G19,BS_RE33!$F$7:$F$874,'30 days CF Table(EUR)'!$C$2)</f>
        <v>0</v>
      </c>
      <c r="Z19" s="548">
        <f>SUMIFS(BS_RE33!$H$7:$H$874,BS_RE33!$S$7:$S$874,$Z$2,BS_RE33!$N$7:$N$874,I19,BS_RE33!$P$7:$P$874,'30 days CF Table(EUR)'!G19,BS_RE33!$F$7:$F$874,'30 days CF Table(EUR)'!$C$2)</f>
        <v>0</v>
      </c>
      <c r="AA19" s="548">
        <f>SUMIFS(BS_RE33!$H$7:$H$874,BS_RE33!$S$7:$S$874,$AA$2,BS_RE33!$N$7:$N$874,I19,BS_RE33!$P$7:$P$874,'30 days CF Table(EUR)'!G19,BS_RE33!$F$7:$F$874,'30 days CF Table(EUR)'!$C$2)</f>
        <v>0</v>
      </c>
      <c r="AB19" s="548">
        <f>SUMIFS(BS_RE33!$H$7:$H$874,BS_RE33!$S$7:$S$874,$AB$2,BS_RE33!$N$7:$N$874,I19,BS_RE33!$P$7:$P$874,'30 days CF Table(EUR)'!G19,BS_RE33!$F$7:$F$874,'30 days CF Table(EUR)'!$C$2)</f>
        <v>0</v>
      </c>
      <c r="AC19" s="548">
        <f>SUMIFS(BS_RE33!$H$7:$H$874,BS_RE33!$S$7:$S$874,$AC$2,BS_RE33!$N$7:$N$874,I19,BS_RE33!$P$7:$P$874,'30 days CF Table(EUR)'!G19,BS_RE33!$F$7:$F$874,'30 days CF Table(EUR)'!$C$2)</f>
        <v>0</v>
      </c>
      <c r="AD19" s="548">
        <f>SUMIFS(BS_RE33!$H$7:$H$874,BS_RE33!$S$7:$S$874,$AD$2,BS_RE33!$N$7:$N$874,I19,BS_RE33!$P$7:$P$874,'30 days CF Table(EUR)'!G19,BS_RE33!$F$7:$F$874,'30 days CF Table(EUR)'!$C$2)</f>
        <v>0</v>
      </c>
      <c r="AE19" s="548">
        <f>SUMIFS(BS_RE33!$H$7:$H$874,BS_RE33!$S$7:$S$874,$AE$2,BS_RE33!$N$7:$N$874,I19,BS_RE33!$P$7:$P$874,'30 days CF Table(EUR)'!G19,BS_RE33!$F$7:$F$874,'30 days CF Table(EUR)'!$C$2)</f>
        <v>0</v>
      </c>
      <c r="AF19" s="548">
        <f>SUMIFS(BS_RE33!$H$7:$H$874,BS_RE33!$S$7:$S$874,$AF$2,BS_RE33!$N$7:$N$874,I19,BS_RE33!$P$7:$P$874,'30 days CF Table(EUR)'!G19,BS_RE33!$F$7:$F$874,'30 days CF Table(EUR)'!$C$2)</f>
        <v>0</v>
      </c>
      <c r="AG19" s="548">
        <f>SUMIFS(BS_RE33!$H$7:$H$874,BS_RE33!$S$7:$S$874,$AG$2,BS_RE33!$N$7:$N$874,I19,BS_RE33!$P$7:$P$874,'30 days CF Table(EUR)'!G19,BS_RE33!$F$7:$F$874,'30 days CF Table(EUR)'!$C$2)</f>
        <v>0</v>
      </c>
      <c r="AH19" s="548">
        <f>SUMIFS(BS_RE33!$H$7:$H$874,BS_RE33!$S$7:$S$874,$AH$2,BS_RE33!$N$7:$N$874,I19,BS_RE33!$P$7:$P$874,'30 days CF Table(EUR)'!G19,BS_RE33!$F$7:$F$874,'30 days CF Table(EUR)'!$C$2)</f>
        <v>0</v>
      </c>
      <c r="AI19" s="548">
        <f>SUMIFS(BS_RE33!$H$7:$H$874,BS_RE33!$S$7:$S$874,$AI$2,BS_RE33!$N$7:$N$874,I19,BS_RE33!$P$7:$P$874,'30 days CF Table(EUR)'!G19,BS_RE33!$F$7:$F$874,'30 days CF Table(EUR)'!$C$2)</f>
        <v>0</v>
      </c>
      <c r="AJ19" s="548">
        <f>SUMIFS(BS_RE33!$H$7:$H$874,BS_RE33!$S$7:$S$874,$AJ$2,BS_RE33!$N$7:$N$874,I19,BS_RE33!$P$7:$P$874,'30 days CF Table(EUR)'!G19,BS_RE33!$F$7:$F$874,'30 days CF Table(EUR)'!$C$2)</f>
        <v>0</v>
      </c>
      <c r="AK19" s="548">
        <f>SUMIFS(BS_RE33!$H$7:$H$874,BS_RE33!$S$7:$S$874,$AK$2,BS_RE33!$N$7:$N$874,I19,BS_RE33!$P$7:$P$874,'30 days CF Table(EUR)'!G19,BS_RE33!$F$7:$F$874,'30 days CF Table(EUR)'!$C$2)</f>
        <v>0</v>
      </c>
      <c r="AL19" s="548">
        <f>SUMIFS(BS_RE33!$H$7:$H$874,BS_RE33!$S$7:$S$874,$AL$2,BS_RE33!$N$7:$N$874,I19,BS_RE33!$P$7:$P$874,'30 days CF Table(EUR)'!G19,BS_RE33!$F$7:$F$874,'30 days CF Table(EUR)'!$C$2)</f>
        <v>0</v>
      </c>
      <c r="AM19" s="548">
        <f>SUMIFS(BS_RE33!$H$7:$H$874,BS_RE33!$S$7:$S$874,$AM$2,BS_RE33!$N$7:$N$874,I19,BS_RE33!$P$7:$P$874,'30 days CF Table(EUR)'!G19,BS_RE33!$F$7:$F$874,'30 days CF Table(EUR)'!$C$2)</f>
        <v>0</v>
      </c>
      <c r="AN19" s="548">
        <f>SUMIFS(BS_RE33!$H$7:$H$874,BS_RE33!$S$7:$S$874,$AN$2,BS_RE33!$N$7:$N$874,I19,BS_RE33!$P$7:$P$874,'30 days CF Table(EUR)'!G19,BS_RE33!$F$7:$F$874,'30 days CF Table(EUR)'!$C$2)</f>
        <v>0</v>
      </c>
      <c r="AO19" s="548">
        <f>SUMIFS(BS_RE33!$H$7:$H$874,BS_RE33!$S$7:$S$874,$AO$2,BS_RE33!$N$7:$N$874,I19,BS_RE33!$P$7:$P$874,'30 days CF Table(EUR)'!G19,BS_RE33!$F$7:$F$874,'30 days CF Table(EUR)'!$C$2)</f>
        <v>0</v>
      </c>
      <c r="AP19" s="549">
        <f>SUMIFS(BS_RE33!$H$7:$H$874,BS_RE33!$S$7:$S$874,$AP$2,BS_RE33!$N$7:$N$874,I19,BS_RE33!$P$7:$P$874,'30 days CF Table(EUR)'!G19,BS_RE33!$F$7:$F$874,'30 days CF Table(EUR)'!$C$2)</f>
        <v>0</v>
      </c>
      <c r="AQ19" s="550"/>
      <c r="AR19" s="380">
        <f>SUMIFS(BS_RE33!$H$7:$H$874,BS_RE33!$S$7:$S$874,$AR$2,BS_RE33!$N$7:$N$874,I19,BS_RE33!$P$7:$P$874,'30 days CF Table(EUR)'!G19,BS_RE33!$F$7:$F$874,'30 days CF Table(EUR)'!$C$2)</f>
        <v>0</v>
      </c>
      <c r="AS19" s="380">
        <f>SUMIFS(BS_RE33!$H$7:$H$874,BS_RE33!$S$7:$S$874,$AS$2,BS_RE33!$N$7:$N$874,I19,BS_RE33!$P$7:$P$874,'30 days CF Table(EUR)'!G19,BS_RE33!$F$7:$F$874,'30 days CF Table(EUR)'!$C$2)</f>
        <v>0</v>
      </c>
      <c r="AT19" s="380">
        <f>SUMIFS(BS_RE33!$H$7:$H$874,BS_RE33!$S$7:$S$874,$AT$2,BS_RE33!$N$7:$N$874,I19,BS_RE33!$P$7:$P$874,'30 days CF Table(EUR)'!G19,BS_RE33!$F$7:$F$874,'30 days CF Table(EUR)'!$C$2)</f>
        <v>0</v>
      </c>
      <c r="AU19" s="380">
        <f>SUMIFS(BS_RE33!$H$7:$H$874,BS_RE33!$S$7:$S$874,$AU$2,BS_RE33!$N$7:$N$874,I19,BS_RE33!$P$7:$P$874,'30 days CF Table(EUR)'!G19,BS_RE33!$F$7:$F$874,'30 days CF Table(EUR)'!$C$2)</f>
        <v>0</v>
      </c>
      <c r="AV19" s="380">
        <f>SUMIFS(BS_RE33!$H$7:$H$874,BS_RE33!$S$7:$S$874,$AV$2,BS_RE33!$N$7:$N$874,I19,BS_RE33!$P$7:$P$874,'30 days CF Table(EUR)'!G19,BS_RE33!$F$7:$F$874,'30 days CF Table(EUR)'!$C$2)</f>
        <v>0</v>
      </c>
      <c r="AW19" s="380">
        <f>SUMIFS(BS_RE33!$H$7:$H$874,BS_RE33!$S$7:$S$874,$AW$2,BS_RE33!$N$7:$N$874,I19,BS_RE33!$P$7:$P$874,'30 days CF Table(EUR)'!G19,BS_RE33!$F$7:$F$874,'30 days CF Table(EUR)'!$C$2)</f>
        <v>0</v>
      </c>
      <c r="AX19" s="380">
        <f>SUMIFS(BS_RE33!$H$7:$H$874,BS_RE33!$S$7:$S$874,$AX$2,BS_RE33!$N$7:$N$874,I19,BS_RE33!$P$7:$P$874,'30 days CF Table(EUR)'!G19,BS_RE33!$F$7:$F$874,'30 days CF Table(EUR)'!$C$2)</f>
        <v>0</v>
      </c>
      <c r="AY19" s="380">
        <f>SUMIFS(BS_RE33!$H$7:$H$874,BS_RE33!$S$7:$S$874,$AY$2,BS_RE33!$N$7:$N$874,I19,BS_RE33!$P$7:$P$874,'30 days CF Table(EUR)'!G19,BS_RE33!$F$7:$F$874,'30 days CF Table(EUR)'!$C$2)</f>
        <v>0</v>
      </c>
      <c r="AZ19" s="380">
        <f>SUMIFS(BS_RE33!$H$7:$H$874,BS_RE33!$S$7:$S$874,$AZ$2,BS_RE33!$N$7:$N$874,I19,BS_RE33!$P$7:$P$874,'30 days CF Table(EUR)'!G19,BS_RE33!$F$7:$F$874,'30 days CF Table(EUR)'!$C$2)</f>
        <v>0</v>
      </c>
      <c r="BA19" s="380">
        <f>SUMIFS(BS_RE33!$H$7:$H$874,BS_RE33!$S$7:$S$874,$BA$2,BS_RE33!$N$7:$N$874,I19,BS_RE33!$P$7:$P$874,'30 days CF Table(EUR)'!G19,BS_RE33!$F$7:$F$874,'30 days CF Table(EUR)'!$C$2)</f>
        <v>0</v>
      </c>
      <c r="BB19" s="380">
        <f>SUMIFS(BS_RE33!$H$7:$H$874,BS_RE33!$S$7:$S$874,$BB$2,BS_RE33!$N$7:$N$874,I19,BS_RE33!$P$7:$P$874,'30 days CF Table(EUR)'!G19,BS_RE33!$F$7:$F$874,'30 days CF Table(EUR)'!$C$2)</f>
        <v>0</v>
      </c>
      <c r="BC19" s="380">
        <f>SUMIFS(BS_RE33!$H$7:$H$874,BS_RE33!$S$7:$S$874,$BC$2,BS_RE33!$N$7:$N$874,I19,BS_RE33!$P$7:$P$874,'30 days CF Table(EUR)'!G19,BS_RE33!$F$7:$F$874,'30 days CF Table(EUR)'!$C$2)</f>
        <v>0</v>
      </c>
      <c r="BD19" s="380">
        <f>SUMIFS(BS_RE33!$H$7:$H$874,BS_RE33!$S$7:$S$874,$BD$2,BS_RE33!$N$7:$N$874,I19,BS_RE33!$P$7:$P$874,'30 days CF Table(EUR)'!G19,BS_RE33!$F$7:$F$874,'30 days CF Table(EUR)'!$C$2)</f>
        <v>0</v>
      </c>
      <c r="BE19" s="380">
        <f>SUMIFS(BS_RE33!$H$7:$H$874,BS_RE33!$S$7:$S$874,$BE$2,BS_RE33!$N$7:$N$874,I19,BS_RE33!$P$7:$P$874,'30 days CF Table(EUR)'!G19,BS_RE33!$F$7:$F$874,'30 days CF Table(EUR)'!$C$2)</f>
        <v>0</v>
      </c>
      <c r="BF19" s="380">
        <f>SUMIFS(BS_RE33!$H$7:$H$874,BS_RE33!$S$7:$S$874,$BF$2,BS_RE33!$N$7:$N$874,I19,BS_RE33!$P$7:$P$874,'30 days CF Table(EUR)'!G19,BS_RE33!$F$7:$F$874,'30 days CF Table(EUR)'!$C$2)</f>
        <v>0</v>
      </c>
      <c r="BG19" s="380">
        <f>SUMIFS(BS_RE33!$H$7:$H$874,BS_RE33!$S$7:$S$874,$BG$2,BS_RE33!$N$7:$N$874,I19,BS_RE33!$P$7:$P$874,'30 days CF Table(EUR)'!G19,BS_RE33!$F$7:$F$874,'30 days CF Table(EUR)'!$C$2)</f>
        <v>0</v>
      </c>
      <c r="BH19" s="380">
        <f>SUMIFS(BS_RE33!$H$7:$H$874,BS_RE33!$S$7:$S$874,$BH$2,BS_RE33!$N$7:$N$874,I19,BS_RE33!$P$7:$P$874,'30 days CF Table(EUR)'!G19,BS_RE33!$F$7:$F$874,'30 days CF Table(EUR)'!$C$2)</f>
        <v>0</v>
      </c>
      <c r="BI19" s="380">
        <f>SUMIFS(BS_RE33!$H$7:$H$874,BS_RE33!$S$7:$S$874,$BI$2,BS_RE33!$N$7:$N$874,I19,BS_RE33!$P$7:$P$874,'30 days CF Table(EUR)'!G19,BS_RE33!$F$7:$F$874,'30 days CF Table(EUR)'!$C$2)</f>
        <v>0</v>
      </c>
      <c r="BJ19" s="380">
        <f>SUMIFS(BS_RE33!$H$7:$H$874,BS_RE33!$S$7:$S$874,$BJ$2,BS_RE33!$N$7:$N$874,I19,BS_RE33!$P$7:$P$874,'30 days CF Table(EUR)'!G19,BS_RE33!$F$7:$F$874,'30 days CF Table(EUR)'!$C$2)</f>
        <v>0</v>
      </c>
      <c r="BK19" s="380">
        <f>SUMIFS(BS_RE33!$H$7:$H$874,BS_RE33!$S$7:$S$874,$BK$2,BS_RE33!$N$7:$N$874,I19,BS_RE33!$P$7:$P$874,'30 days CF Table(EUR)'!G19,BS_RE33!$F$7:$F$874,'30 days CF Table(EUR)'!$C$2)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Table(EUR)'!G20,BS_RE33!$F$7:$F$874,'30 days CF Table(EUR)'!$C$2)</f>
        <v>0</v>
      </c>
      <c r="M20" s="548">
        <f>SUMIFS(BS_RE33!$H$7:$H$874,BS_RE33!$S$7:$S$874,$M$2,BS_RE33!$N$7:$N$874,I20,BS_RE33!$P$7:$P$874,'30 days CF Table(EUR)'!G20,BS_RE33!$F$7:$F$874,'30 days CF Table(EUR)'!$C$2)</f>
        <v>0</v>
      </c>
      <c r="N20" s="548">
        <f>SUMIFS(BS_RE33!$H$7:$H$874,BS_RE33!$S$7:$S$874,$N$2,BS_RE33!$N$7:$N$874,I20,BS_RE33!$P$7:$P$874,'30 days CF Table(EUR)'!G20,BS_RE33!$F$7:$F$874,'30 days CF Table(EUR)'!$C$2)</f>
        <v>0</v>
      </c>
      <c r="O20" s="548">
        <f>SUMIFS(BS_RE33!$H$7:$H$874,BS_RE33!$S$7:$S$874,$O$2,BS_RE33!$N$7:$N$874,I20,BS_RE33!$P$7:$P$874,'30 days CF Table(EUR)'!G20,BS_RE33!$F$7:$F$874,'30 days CF Table(EUR)'!$C$2)</f>
        <v>0</v>
      </c>
      <c r="P20" s="548">
        <f>SUMIFS(BS_RE33!$H$7:$H$874,BS_RE33!$S$7:$S$874,$P$2,BS_RE33!$N$7:$N$874,I20,BS_RE33!$P$7:$P$874,'30 days CF Table(EUR)'!G20,BS_RE33!$F$7:$F$874,'30 days CF Table(EUR)'!$C$2)</f>
        <v>0</v>
      </c>
      <c r="Q20" s="548">
        <f>SUMIFS(BS_RE33!$H$7:$H$874,BS_RE33!$S$7:$S$874,$Q$2,BS_RE33!$N$7:$N$874,I20,BS_RE33!$P$7:$P$874,'30 days CF Table(EUR)'!G20,BS_RE33!$F$7:$F$874,'30 days CF Table(EUR)'!$C$2)</f>
        <v>0</v>
      </c>
      <c r="R20" s="548">
        <f>SUMIFS(BS_RE33!$H$7:$H$874,BS_RE33!$S$7:$S$874,$R$2,BS_RE33!$N$7:$N$874,I20,BS_RE33!$P$7:$P$874,'30 days CF Table(EUR)'!G20,BS_RE33!$F$7:$F$874,'30 days CF Table(EUR)'!$C$2)</f>
        <v>0</v>
      </c>
      <c r="S20" s="548">
        <f>SUMIFS(BS_RE33!$H$7:$H$874,BS_RE33!$S$7:$S$874,$S$2,BS_RE33!$N$7:$N$874,I20,BS_RE33!$P$7:$P$874,'30 days CF Table(EUR)'!G20,BS_RE33!$F$7:$F$874,'30 days CF Table(EUR)'!$C$2)</f>
        <v>0</v>
      </c>
      <c r="T20" s="548">
        <f>SUMIFS(BS_RE33!$H$7:$H$874,BS_RE33!$S$7:$S$874,$T$2,BS_RE33!$N$7:$N$874,I20,BS_RE33!$P$7:$P$874,'30 days CF Table(EUR)'!G20,BS_RE33!$F$7:$F$874,'30 days CF Table(EUR)'!$C$2)</f>
        <v>0</v>
      </c>
      <c r="U20" s="548">
        <f>SUMIFS(BS_RE33!$H$7:$H$874,BS_RE33!$S$7:$S$874,$U$2,BS_RE33!$N$7:$N$874,I20,BS_RE33!$P$7:$P$874,'30 days CF Table(EUR)'!G20,BS_RE33!$F$7:$F$874,'30 days CF Table(EUR)'!$C$2)</f>
        <v>0</v>
      </c>
      <c r="V20" s="548">
        <f>SUMIFS(BS_RE33!$H$7:$H$874,BS_RE33!$S$7:$S$874,$V$2,BS_RE33!$N$7:$N$874,I20,BS_RE33!$P$7:$P$874,'30 days CF Table(EUR)'!G20,BS_RE33!$F$7:$F$874,'30 days CF Table(EUR)'!$C$2)</f>
        <v>0</v>
      </c>
      <c r="W20" s="548">
        <f>SUMIFS(BS_RE33!$H$7:$H$874,BS_RE33!$S$7:$S$874,$W$2,BS_RE33!$N$7:$N$874,I20,BS_RE33!$P$7:$P$874,'30 days CF Table(EUR)'!G20,BS_RE33!$F$7:$F$874,'30 days CF Table(EUR)'!$C$2)</f>
        <v>0</v>
      </c>
      <c r="X20" s="548">
        <f>SUMIFS(BS_RE33!$H$7:$H$874,BS_RE33!$S$7:$S$874,$X$2,BS_RE33!$N$7:$N$874,I20,BS_RE33!$P$7:$P$874,'30 days CF Table(EUR)'!G20,BS_RE33!$F$7:$F$874,'30 days CF Table(EUR)'!$C$2)</f>
        <v>0</v>
      </c>
      <c r="Y20" s="548">
        <f>SUMIFS(BS_RE33!$H$7:$H$874,BS_RE33!$S$7:$S$874,$Y$2,BS_RE33!$N$7:$N$874,I20,BS_RE33!$P$7:$P$874,'30 days CF Table(EUR)'!G20,BS_RE33!$F$7:$F$874,'30 days CF Table(EUR)'!$C$2)</f>
        <v>0</v>
      </c>
      <c r="Z20" s="548">
        <f>SUMIFS(BS_RE33!$H$7:$H$874,BS_RE33!$S$7:$S$874,$Z$2,BS_RE33!$N$7:$N$874,I20,BS_RE33!$P$7:$P$874,'30 days CF Table(EUR)'!G20,BS_RE33!$F$7:$F$874,'30 days CF Table(EUR)'!$C$2)</f>
        <v>0</v>
      </c>
      <c r="AA20" s="548">
        <f>SUMIFS(BS_RE33!$H$7:$H$874,BS_RE33!$S$7:$S$874,$AA$2,BS_RE33!$N$7:$N$874,I20,BS_RE33!$P$7:$P$874,'30 days CF Table(EUR)'!G20,BS_RE33!$F$7:$F$874,'30 days CF Table(EUR)'!$C$2)</f>
        <v>0</v>
      </c>
      <c r="AB20" s="548">
        <f>SUMIFS(BS_RE33!$H$7:$H$874,BS_RE33!$S$7:$S$874,$AB$2,BS_RE33!$N$7:$N$874,I20,BS_RE33!$P$7:$P$874,'30 days CF Table(EUR)'!G20,BS_RE33!$F$7:$F$874,'30 days CF Table(EUR)'!$C$2)</f>
        <v>0</v>
      </c>
      <c r="AC20" s="548">
        <f>SUMIFS(BS_RE33!$H$7:$H$874,BS_RE33!$S$7:$S$874,$AC$2,BS_RE33!$N$7:$N$874,I20,BS_RE33!$P$7:$P$874,'30 days CF Table(EUR)'!G20,BS_RE33!$F$7:$F$874,'30 days CF Table(EUR)'!$C$2)</f>
        <v>0</v>
      </c>
      <c r="AD20" s="548">
        <f>SUMIFS(BS_RE33!$H$7:$H$874,BS_RE33!$S$7:$S$874,$AD$2,BS_RE33!$N$7:$N$874,I20,BS_RE33!$P$7:$P$874,'30 days CF Table(EUR)'!G20,BS_RE33!$F$7:$F$874,'30 days CF Table(EUR)'!$C$2)</f>
        <v>0</v>
      </c>
      <c r="AE20" s="548">
        <f>SUMIFS(BS_RE33!$H$7:$H$874,BS_RE33!$S$7:$S$874,$AE$2,BS_RE33!$N$7:$N$874,I20,BS_RE33!$P$7:$P$874,'30 days CF Table(EUR)'!G20,BS_RE33!$F$7:$F$874,'30 days CF Table(EUR)'!$C$2)</f>
        <v>0</v>
      </c>
      <c r="AF20" s="548">
        <f>SUMIFS(BS_RE33!$H$7:$H$874,BS_RE33!$S$7:$S$874,$AF$2,BS_RE33!$N$7:$N$874,I20,BS_RE33!$P$7:$P$874,'30 days CF Table(EUR)'!G20,BS_RE33!$F$7:$F$874,'30 days CF Table(EUR)'!$C$2)</f>
        <v>0</v>
      </c>
      <c r="AG20" s="548">
        <f>SUMIFS(BS_RE33!$H$7:$H$874,BS_RE33!$S$7:$S$874,$AG$2,BS_RE33!$N$7:$N$874,I20,BS_RE33!$P$7:$P$874,'30 days CF Table(EUR)'!G20,BS_RE33!$F$7:$F$874,'30 days CF Table(EUR)'!$C$2)</f>
        <v>0</v>
      </c>
      <c r="AH20" s="548">
        <f>SUMIFS(BS_RE33!$H$7:$H$874,BS_RE33!$S$7:$S$874,$AH$2,BS_RE33!$N$7:$N$874,I20,BS_RE33!$P$7:$P$874,'30 days CF Table(EUR)'!G20,BS_RE33!$F$7:$F$874,'30 days CF Table(EUR)'!$C$2)</f>
        <v>0</v>
      </c>
      <c r="AI20" s="548">
        <f>SUMIFS(BS_RE33!$H$7:$H$874,BS_RE33!$S$7:$S$874,$AI$2,BS_RE33!$N$7:$N$874,I20,BS_RE33!$P$7:$P$874,'30 days CF Table(EUR)'!G20,BS_RE33!$F$7:$F$874,'30 days CF Table(EUR)'!$C$2)</f>
        <v>0</v>
      </c>
      <c r="AJ20" s="548">
        <f>SUMIFS(BS_RE33!$H$7:$H$874,BS_RE33!$S$7:$S$874,$AJ$2,BS_RE33!$N$7:$N$874,I20,BS_RE33!$P$7:$P$874,'30 days CF Table(EUR)'!G20,BS_RE33!$F$7:$F$874,'30 days CF Table(EUR)'!$C$2)</f>
        <v>0</v>
      </c>
      <c r="AK20" s="548">
        <f>SUMIFS(BS_RE33!$H$7:$H$874,BS_RE33!$S$7:$S$874,$AK$2,BS_RE33!$N$7:$N$874,I20,BS_RE33!$P$7:$P$874,'30 days CF Table(EUR)'!G20,BS_RE33!$F$7:$F$874,'30 days CF Table(EUR)'!$C$2)</f>
        <v>0</v>
      </c>
      <c r="AL20" s="548">
        <f>SUMIFS(BS_RE33!$H$7:$H$874,BS_RE33!$S$7:$S$874,$AL$2,BS_RE33!$N$7:$N$874,I20,BS_RE33!$P$7:$P$874,'30 days CF Table(EUR)'!G20,BS_RE33!$F$7:$F$874,'30 days CF Table(EUR)'!$C$2)</f>
        <v>0</v>
      </c>
      <c r="AM20" s="548">
        <f>SUMIFS(BS_RE33!$H$7:$H$874,BS_RE33!$S$7:$S$874,$AM$2,BS_RE33!$N$7:$N$874,I20,BS_RE33!$P$7:$P$874,'30 days CF Table(EUR)'!G20,BS_RE33!$F$7:$F$874,'30 days CF Table(EUR)'!$C$2)</f>
        <v>0</v>
      </c>
      <c r="AN20" s="548">
        <f>SUMIFS(BS_RE33!$H$7:$H$874,BS_RE33!$S$7:$S$874,$AN$2,BS_RE33!$N$7:$N$874,I20,BS_RE33!$P$7:$P$874,'30 days CF Table(EUR)'!G20,BS_RE33!$F$7:$F$874,'30 days CF Table(EUR)'!$C$2)</f>
        <v>0</v>
      </c>
      <c r="AO20" s="548">
        <f>SUMIFS(BS_RE33!$H$7:$H$874,BS_RE33!$S$7:$S$874,$AO$2,BS_RE33!$N$7:$N$874,I20,BS_RE33!$P$7:$P$874,'30 days CF Table(EUR)'!G20,BS_RE33!$F$7:$F$874,'30 days CF Table(EUR)'!$C$2)</f>
        <v>0</v>
      </c>
      <c r="AP20" s="549">
        <f>SUMIFS(BS_RE33!$H$7:$H$874,BS_RE33!$S$7:$S$874,$AP$2,BS_RE33!$N$7:$N$874,I20,BS_RE33!$P$7:$P$874,'30 days CF Table(EUR)'!G20,BS_RE33!$F$7:$F$874,'30 days CF Table(EUR)'!$C$2)</f>
        <v>0</v>
      </c>
      <c r="AQ20" s="550"/>
      <c r="AR20" s="380">
        <f>SUMIFS(BS_RE33!$H$7:$H$874,BS_RE33!$S$7:$S$874,$AR$2,BS_RE33!$N$7:$N$874,I20,BS_RE33!$P$7:$P$874,'30 days CF Table(EUR)'!G20,BS_RE33!$F$7:$F$874,'30 days CF Table(EUR)'!$C$2)</f>
        <v>0</v>
      </c>
      <c r="AS20" s="380">
        <f>SUMIFS(BS_RE33!$H$7:$H$874,BS_RE33!$S$7:$S$874,$AS$2,BS_RE33!$N$7:$N$874,I20,BS_RE33!$P$7:$P$874,'30 days CF Table(EUR)'!G20,BS_RE33!$F$7:$F$874,'30 days CF Table(EUR)'!$C$2)</f>
        <v>0</v>
      </c>
      <c r="AT20" s="380">
        <f>SUMIFS(BS_RE33!$H$7:$H$874,BS_RE33!$S$7:$S$874,$AT$2,BS_RE33!$N$7:$N$874,I20,BS_RE33!$P$7:$P$874,'30 days CF Table(EUR)'!G20,BS_RE33!$F$7:$F$874,'30 days CF Table(EUR)'!$C$2)</f>
        <v>0</v>
      </c>
      <c r="AU20" s="380">
        <f>SUMIFS(BS_RE33!$H$7:$H$874,BS_RE33!$S$7:$S$874,$AU$2,BS_RE33!$N$7:$N$874,I20,BS_RE33!$P$7:$P$874,'30 days CF Table(EUR)'!G20,BS_RE33!$F$7:$F$874,'30 days CF Table(EUR)'!$C$2)</f>
        <v>0</v>
      </c>
      <c r="AV20" s="380">
        <f>SUMIFS(BS_RE33!$H$7:$H$874,BS_RE33!$S$7:$S$874,$AV$2,BS_RE33!$N$7:$N$874,I20,BS_RE33!$P$7:$P$874,'30 days CF Table(EUR)'!G20,BS_RE33!$F$7:$F$874,'30 days CF Table(EUR)'!$C$2)</f>
        <v>0</v>
      </c>
      <c r="AW20" s="380">
        <f>SUMIFS(BS_RE33!$H$7:$H$874,BS_RE33!$S$7:$S$874,$AW$2,BS_RE33!$N$7:$N$874,I20,BS_RE33!$P$7:$P$874,'30 days CF Table(EUR)'!G20,BS_RE33!$F$7:$F$874,'30 days CF Table(EUR)'!$C$2)</f>
        <v>0</v>
      </c>
      <c r="AX20" s="380">
        <f>SUMIFS(BS_RE33!$H$7:$H$874,BS_RE33!$S$7:$S$874,$AX$2,BS_RE33!$N$7:$N$874,I20,BS_RE33!$P$7:$P$874,'30 days CF Table(EUR)'!G20,BS_RE33!$F$7:$F$874,'30 days CF Table(EUR)'!$C$2)</f>
        <v>0</v>
      </c>
      <c r="AY20" s="380">
        <f>SUMIFS(BS_RE33!$H$7:$H$874,BS_RE33!$S$7:$S$874,$AY$2,BS_RE33!$N$7:$N$874,I20,BS_RE33!$P$7:$P$874,'30 days CF Table(EUR)'!G20,BS_RE33!$F$7:$F$874,'30 days CF Table(EUR)'!$C$2)</f>
        <v>0</v>
      </c>
      <c r="AZ20" s="380">
        <f>SUMIFS(BS_RE33!$H$7:$H$874,BS_RE33!$S$7:$S$874,$AZ$2,BS_RE33!$N$7:$N$874,I20,BS_RE33!$P$7:$P$874,'30 days CF Table(EUR)'!G20,BS_RE33!$F$7:$F$874,'30 days CF Table(EUR)'!$C$2)</f>
        <v>0</v>
      </c>
      <c r="BA20" s="380">
        <f>SUMIFS(BS_RE33!$H$7:$H$874,BS_RE33!$S$7:$S$874,$BA$2,BS_RE33!$N$7:$N$874,I20,BS_RE33!$P$7:$P$874,'30 days CF Table(EUR)'!G20,BS_RE33!$F$7:$F$874,'30 days CF Table(EUR)'!$C$2)</f>
        <v>0</v>
      </c>
      <c r="BB20" s="380">
        <f>SUMIFS(BS_RE33!$H$7:$H$874,BS_RE33!$S$7:$S$874,$BB$2,BS_RE33!$N$7:$N$874,I20,BS_RE33!$P$7:$P$874,'30 days CF Table(EUR)'!G20,BS_RE33!$F$7:$F$874,'30 days CF Table(EUR)'!$C$2)</f>
        <v>0</v>
      </c>
      <c r="BC20" s="380">
        <f>SUMIFS(BS_RE33!$H$7:$H$874,BS_RE33!$S$7:$S$874,$BC$2,BS_RE33!$N$7:$N$874,I20,BS_RE33!$P$7:$P$874,'30 days CF Table(EUR)'!G20,BS_RE33!$F$7:$F$874,'30 days CF Table(EUR)'!$C$2)</f>
        <v>0</v>
      </c>
      <c r="BD20" s="380">
        <f>SUMIFS(BS_RE33!$H$7:$H$874,BS_RE33!$S$7:$S$874,$BD$2,BS_RE33!$N$7:$N$874,I20,BS_RE33!$P$7:$P$874,'30 days CF Table(EUR)'!G20,BS_RE33!$F$7:$F$874,'30 days CF Table(EUR)'!$C$2)</f>
        <v>0</v>
      </c>
      <c r="BE20" s="380">
        <f>SUMIFS(BS_RE33!$H$7:$H$874,BS_RE33!$S$7:$S$874,$BE$2,BS_RE33!$N$7:$N$874,I20,BS_RE33!$P$7:$P$874,'30 days CF Table(EUR)'!G20,BS_RE33!$F$7:$F$874,'30 days CF Table(EUR)'!$C$2)</f>
        <v>0</v>
      </c>
      <c r="BF20" s="380">
        <f>SUMIFS(BS_RE33!$H$7:$H$874,BS_RE33!$S$7:$S$874,$BF$2,BS_RE33!$N$7:$N$874,I20,BS_RE33!$P$7:$P$874,'30 days CF Table(EUR)'!G20,BS_RE33!$F$7:$F$874,'30 days CF Table(EUR)'!$C$2)</f>
        <v>0</v>
      </c>
      <c r="BG20" s="380">
        <f>SUMIFS(BS_RE33!$H$7:$H$874,BS_RE33!$S$7:$S$874,$BG$2,BS_RE33!$N$7:$N$874,I20,BS_RE33!$P$7:$P$874,'30 days CF Table(EUR)'!G20,BS_RE33!$F$7:$F$874,'30 days CF Table(EUR)'!$C$2)</f>
        <v>0</v>
      </c>
      <c r="BH20" s="380">
        <f>SUMIFS(BS_RE33!$H$7:$H$874,BS_RE33!$S$7:$S$874,$BH$2,BS_RE33!$N$7:$N$874,I20,BS_RE33!$P$7:$P$874,'30 days CF Table(EUR)'!G20,BS_RE33!$F$7:$F$874,'30 days CF Table(EUR)'!$C$2)</f>
        <v>0</v>
      </c>
      <c r="BI20" s="380">
        <f>SUMIFS(BS_RE33!$H$7:$H$874,BS_RE33!$S$7:$S$874,$BI$2,BS_RE33!$N$7:$N$874,I20,BS_RE33!$P$7:$P$874,'30 days CF Table(EUR)'!G20,BS_RE33!$F$7:$F$874,'30 days CF Table(EUR)'!$C$2)</f>
        <v>0</v>
      </c>
      <c r="BJ20" s="380">
        <f>SUMIFS(BS_RE33!$H$7:$H$874,BS_RE33!$S$7:$S$874,$BJ$2,BS_RE33!$N$7:$N$874,I20,BS_RE33!$P$7:$P$874,'30 days CF Table(EUR)'!G20,BS_RE33!$F$7:$F$874,'30 days CF Table(EUR)'!$C$2)</f>
        <v>0</v>
      </c>
      <c r="BK20" s="380">
        <f>SUMIFS(BS_RE33!$H$7:$H$874,BS_RE33!$S$7:$S$874,$BK$2,BS_RE33!$N$7:$N$874,I20,BS_RE33!$P$7:$P$874,'30 days CF Table(EUR)'!G20,BS_RE33!$F$7:$F$874,'30 days CF Table(EUR)'!$C$2)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Table(EUR)'!G21,BS_RE33!$F$7:$F$874,'30 days CF Table(EUR)'!$C$2)</f>
        <v>0</v>
      </c>
      <c r="M21" s="548">
        <f>SUMIFS(BS_RE33!$H$7:$H$874,BS_RE33!$S$7:$S$874,$M$2,BS_RE33!$N$7:$N$874,I21,BS_RE33!$P$7:$P$874,'30 days CF Table(EUR)'!G21,BS_RE33!$F$7:$F$874,'30 days CF Table(EUR)'!$C$2)</f>
        <v>0</v>
      </c>
      <c r="N21" s="548">
        <f>SUMIFS(BS_RE33!$H$7:$H$874,BS_RE33!$S$7:$S$874,$N$2,BS_RE33!$N$7:$N$874,I21,BS_RE33!$P$7:$P$874,'30 days CF Table(EUR)'!G21,BS_RE33!$F$7:$F$874,'30 days CF Table(EUR)'!$C$2)</f>
        <v>0</v>
      </c>
      <c r="O21" s="548">
        <f>SUMIFS(BS_RE33!$H$7:$H$874,BS_RE33!$S$7:$S$874,$O$2,BS_RE33!$N$7:$N$874,I21,BS_RE33!$P$7:$P$874,'30 days CF Table(EUR)'!G21,BS_RE33!$F$7:$F$874,'30 days CF Table(EUR)'!$C$2)</f>
        <v>0</v>
      </c>
      <c r="P21" s="548">
        <f>SUMIFS(BS_RE33!$H$7:$H$874,BS_RE33!$S$7:$S$874,$P$2,BS_RE33!$N$7:$N$874,I21,BS_RE33!$P$7:$P$874,'30 days CF Table(EUR)'!G21,BS_RE33!$F$7:$F$874,'30 days CF Table(EUR)'!$C$2)</f>
        <v>0</v>
      </c>
      <c r="Q21" s="548">
        <f>SUMIFS(BS_RE33!$H$7:$H$874,BS_RE33!$S$7:$S$874,$Q$2,BS_RE33!$N$7:$N$874,I21,BS_RE33!$P$7:$P$874,'30 days CF Table(EUR)'!G21,BS_RE33!$F$7:$F$874,'30 days CF Table(EUR)'!$C$2)</f>
        <v>0</v>
      </c>
      <c r="R21" s="548">
        <f>SUMIFS(BS_RE33!$H$7:$H$874,BS_RE33!$S$7:$S$874,$R$2,BS_RE33!$N$7:$N$874,I21,BS_RE33!$P$7:$P$874,'30 days CF Table(EUR)'!G21,BS_RE33!$F$7:$F$874,'30 days CF Table(EUR)'!$C$2)</f>
        <v>0</v>
      </c>
      <c r="S21" s="548">
        <f>SUMIFS(BS_RE33!$H$7:$H$874,BS_RE33!$S$7:$S$874,$S$2,BS_RE33!$N$7:$N$874,I21,BS_RE33!$P$7:$P$874,'30 days CF Table(EUR)'!G21,BS_RE33!$F$7:$F$874,'30 days CF Table(EUR)'!$C$2)</f>
        <v>0</v>
      </c>
      <c r="T21" s="548">
        <f>SUMIFS(BS_RE33!$H$7:$H$874,BS_RE33!$S$7:$S$874,$T$2,BS_RE33!$N$7:$N$874,I21,BS_RE33!$P$7:$P$874,'30 days CF Table(EUR)'!G21,BS_RE33!$F$7:$F$874,'30 days CF Table(EUR)'!$C$2)</f>
        <v>0</v>
      </c>
      <c r="U21" s="548">
        <f>SUMIFS(BS_RE33!$H$7:$H$874,BS_RE33!$S$7:$S$874,$U$2,BS_RE33!$N$7:$N$874,I21,BS_RE33!$P$7:$P$874,'30 days CF Table(EUR)'!G21,BS_RE33!$F$7:$F$874,'30 days CF Table(EUR)'!$C$2)</f>
        <v>0</v>
      </c>
      <c r="V21" s="548">
        <f>SUMIFS(BS_RE33!$H$7:$H$874,BS_RE33!$S$7:$S$874,$V$2,BS_RE33!$N$7:$N$874,I21,BS_RE33!$P$7:$P$874,'30 days CF Table(EUR)'!G21,BS_RE33!$F$7:$F$874,'30 days CF Table(EUR)'!$C$2)</f>
        <v>0</v>
      </c>
      <c r="W21" s="548">
        <f>SUMIFS(BS_RE33!$H$7:$H$874,BS_RE33!$S$7:$S$874,$W$2,BS_RE33!$N$7:$N$874,I21,BS_RE33!$P$7:$P$874,'30 days CF Table(EUR)'!G21,BS_RE33!$F$7:$F$874,'30 days CF Table(EUR)'!$C$2)</f>
        <v>0</v>
      </c>
      <c r="X21" s="548">
        <f>SUMIFS(BS_RE33!$H$7:$H$874,BS_RE33!$S$7:$S$874,$X$2,BS_RE33!$N$7:$N$874,I21,BS_RE33!$P$7:$P$874,'30 days CF Table(EUR)'!G21,BS_RE33!$F$7:$F$874,'30 days CF Table(EUR)'!$C$2)</f>
        <v>0</v>
      </c>
      <c r="Y21" s="548">
        <f>SUMIFS(BS_RE33!$H$7:$H$874,BS_RE33!$S$7:$S$874,$Y$2,BS_RE33!$N$7:$N$874,I21,BS_RE33!$P$7:$P$874,'30 days CF Table(EUR)'!G21,BS_RE33!$F$7:$F$874,'30 days CF Table(EUR)'!$C$2)</f>
        <v>0</v>
      </c>
      <c r="Z21" s="548">
        <f>SUMIFS(BS_RE33!$H$7:$H$874,BS_RE33!$S$7:$S$874,$Z$2,BS_RE33!$N$7:$N$874,I21,BS_RE33!$P$7:$P$874,'30 days CF Table(EUR)'!G21,BS_RE33!$F$7:$F$874,'30 days CF Table(EUR)'!$C$2)</f>
        <v>0</v>
      </c>
      <c r="AA21" s="548">
        <f>SUMIFS(BS_RE33!$H$7:$H$874,BS_RE33!$S$7:$S$874,$AA$2,BS_RE33!$N$7:$N$874,I21,BS_RE33!$P$7:$P$874,'30 days CF Table(EUR)'!G21,BS_RE33!$F$7:$F$874,'30 days CF Table(EUR)'!$C$2)</f>
        <v>0</v>
      </c>
      <c r="AB21" s="548">
        <f>SUMIFS(BS_RE33!$H$7:$H$874,BS_RE33!$S$7:$S$874,$AB$2,BS_RE33!$N$7:$N$874,I21,BS_RE33!$P$7:$P$874,'30 days CF Table(EUR)'!G21,BS_RE33!$F$7:$F$874,'30 days CF Table(EUR)'!$C$2)</f>
        <v>0</v>
      </c>
      <c r="AC21" s="548">
        <f>SUMIFS(BS_RE33!$H$7:$H$874,BS_RE33!$S$7:$S$874,$AC$2,BS_RE33!$N$7:$N$874,I21,BS_RE33!$P$7:$P$874,'30 days CF Table(EUR)'!G21,BS_RE33!$F$7:$F$874,'30 days CF Table(EUR)'!$C$2)</f>
        <v>0</v>
      </c>
      <c r="AD21" s="548">
        <f>SUMIFS(BS_RE33!$H$7:$H$874,BS_RE33!$S$7:$S$874,$AD$2,BS_RE33!$N$7:$N$874,I21,BS_RE33!$P$7:$P$874,'30 days CF Table(EUR)'!G21,BS_RE33!$F$7:$F$874,'30 days CF Table(EUR)'!$C$2)</f>
        <v>0</v>
      </c>
      <c r="AE21" s="548">
        <f>SUMIFS(BS_RE33!$H$7:$H$874,BS_RE33!$S$7:$S$874,$AE$2,BS_RE33!$N$7:$N$874,I21,BS_RE33!$P$7:$P$874,'30 days CF Table(EUR)'!G21,BS_RE33!$F$7:$F$874,'30 days CF Table(EUR)'!$C$2)</f>
        <v>0</v>
      </c>
      <c r="AF21" s="548">
        <f>SUMIFS(BS_RE33!$H$7:$H$874,BS_RE33!$S$7:$S$874,$AF$2,BS_RE33!$N$7:$N$874,I21,BS_RE33!$P$7:$P$874,'30 days CF Table(EUR)'!G21,BS_RE33!$F$7:$F$874,'30 days CF Table(EUR)'!$C$2)</f>
        <v>0</v>
      </c>
      <c r="AG21" s="548">
        <f>SUMIFS(BS_RE33!$H$7:$H$874,BS_RE33!$S$7:$S$874,$AG$2,BS_RE33!$N$7:$N$874,I21,BS_RE33!$P$7:$P$874,'30 days CF Table(EUR)'!G21,BS_RE33!$F$7:$F$874,'30 days CF Table(EUR)'!$C$2)</f>
        <v>0</v>
      </c>
      <c r="AH21" s="548">
        <f>SUMIFS(BS_RE33!$H$7:$H$874,BS_RE33!$S$7:$S$874,$AH$2,BS_RE33!$N$7:$N$874,I21,BS_RE33!$P$7:$P$874,'30 days CF Table(EUR)'!G21,BS_RE33!$F$7:$F$874,'30 days CF Table(EUR)'!$C$2)</f>
        <v>0</v>
      </c>
      <c r="AI21" s="548">
        <f>SUMIFS(BS_RE33!$H$7:$H$874,BS_RE33!$S$7:$S$874,$AI$2,BS_RE33!$N$7:$N$874,I21,BS_RE33!$P$7:$P$874,'30 days CF Table(EUR)'!G21,BS_RE33!$F$7:$F$874,'30 days CF Table(EUR)'!$C$2)</f>
        <v>0</v>
      </c>
      <c r="AJ21" s="548">
        <f>SUMIFS(BS_RE33!$H$7:$H$874,BS_RE33!$S$7:$S$874,$AJ$2,BS_RE33!$N$7:$N$874,I21,BS_RE33!$P$7:$P$874,'30 days CF Table(EUR)'!G21,BS_RE33!$F$7:$F$874,'30 days CF Table(EUR)'!$C$2)</f>
        <v>0</v>
      </c>
      <c r="AK21" s="548">
        <f>SUMIFS(BS_RE33!$H$7:$H$874,BS_RE33!$S$7:$S$874,$AK$2,BS_RE33!$N$7:$N$874,I21,BS_RE33!$P$7:$P$874,'30 days CF Table(EUR)'!G21,BS_RE33!$F$7:$F$874,'30 days CF Table(EUR)'!$C$2)</f>
        <v>0</v>
      </c>
      <c r="AL21" s="548">
        <f>SUMIFS(BS_RE33!$H$7:$H$874,BS_RE33!$S$7:$S$874,$AL$2,BS_RE33!$N$7:$N$874,I21,BS_RE33!$P$7:$P$874,'30 days CF Table(EUR)'!G21,BS_RE33!$F$7:$F$874,'30 days CF Table(EUR)'!$C$2)</f>
        <v>0</v>
      </c>
      <c r="AM21" s="548">
        <f>SUMIFS(BS_RE33!$H$7:$H$874,BS_RE33!$S$7:$S$874,$AM$2,BS_RE33!$N$7:$N$874,I21,BS_RE33!$P$7:$P$874,'30 days CF Table(EUR)'!G21,BS_RE33!$F$7:$F$874,'30 days CF Table(EUR)'!$C$2)</f>
        <v>0</v>
      </c>
      <c r="AN21" s="548">
        <f>SUMIFS(BS_RE33!$H$7:$H$874,BS_RE33!$S$7:$S$874,$AN$2,BS_RE33!$N$7:$N$874,I21,BS_RE33!$P$7:$P$874,'30 days CF Table(EUR)'!G21,BS_RE33!$F$7:$F$874,'30 days CF Table(EUR)'!$C$2)</f>
        <v>0</v>
      </c>
      <c r="AO21" s="548">
        <f>SUMIFS(BS_RE33!$H$7:$H$874,BS_RE33!$S$7:$S$874,$AO$2,BS_RE33!$N$7:$N$874,I21,BS_RE33!$P$7:$P$874,'30 days CF Table(EUR)'!G21,BS_RE33!$F$7:$F$874,'30 days CF Table(EUR)'!$C$2)</f>
        <v>0</v>
      </c>
      <c r="AP21" s="549">
        <f>SUMIFS(BS_RE33!$H$7:$H$874,BS_RE33!$S$7:$S$874,$AP$2,BS_RE33!$N$7:$N$874,I21,BS_RE33!$P$7:$P$874,'30 days CF Table(EUR)'!G21,BS_RE33!$F$7:$F$874,'30 days CF Table(EUR)'!$C$2)</f>
        <v>0</v>
      </c>
      <c r="AQ21" s="550"/>
      <c r="AR21" s="380">
        <f>SUMIFS(BS_RE33!$H$7:$H$874,BS_RE33!$S$7:$S$874,$AR$2,BS_RE33!$N$7:$N$874,I21,BS_RE33!$P$7:$P$874,'30 days CF Table(EUR)'!G21,BS_RE33!$F$7:$F$874,'30 days CF Table(EUR)'!$C$2)</f>
        <v>0</v>
      </c>
      <c r="AS21" s="380">
        <f>SUMIFS(BS_RE33!$H$7:$H$874,BS_RE33!$S$7:$S$874,$AS$2,BS_RE33!$N$7:$N$874,I21,BS_RE33!$P$7:$P$874,'30 days CF Table(EUR)'!G21,BS_RE33!$F$7:$F$874,'30 days CF Table(EUR)'!$C$2)</f>
        <v>0</v>
      </c>
      <c r="AT21" s="380">
        <f>SUMIFS(BS_RE33!$H$7:$H$874,BS_RE33!$S$7:$S$874,$AT$2,BS_RE33!$N$7:$N$874,I21,BS_RE33!$P$7:$P$874,'30 days CF Table(EUR)'!G21,BS_RE33!$F$7:$F$874,'30 days CF Table(EUR)'!$C$2)</f>
        <v>0</v>
      </c>
      <c r="AU21" s="380">
        <f>SUMIFS(BS_RE33!$H$7:$H$874,BS_RE33!$S$7:$S$874,$AU$2,BS_RE33!$N$7:$N$874,I21,BS_RE33!$P$7:$P$874,'30 days CF Table(EUR)'!G21,BS_RE33!$F$7:$F$874,'30 days CF Table(EUR)'!$C$2)</f>
        <v>0</v>
      </c>
      <c r="AV21" s="380">
        <f>SUMIFS(BS_RE33!$H$7:$H$874,BS_RE33!$S$7:$S$874,$AV$2,BS_RE33!$N$7:$N$874,I21,BS_RE33!$P$7:$P$874,'30 days CF Table(EUR)'!G21,BS_RE33!$F$7:$F$874,'30 days CF Table(EUR)'!$C$2)</f>
        <v>0</v>
      </c>
      <c r="AW21" s="380">
        <f>SUMIFS(BS_RE33!$H$7:$H$874,BS_RE33!$S$7:$S$874,$AW$2,BS_RE33!$N$7:$N$874,I21,BS_RE33!$P$7:$P$874,'30 days CF Table(EUR)'!G21,BS_RE33!$F$7:$F$874,'30 days CF Table(EUR)'!$C$2)</f>
        <v>0</v>
      </c>
      <c r="AX21" s="380">
        <f>SUMIFS(BS_RE33!$H$7:$H$874,BS_RE33!$S$7:$S$874,$AX$2,BS_RE33!$N$7:$N$874,I21,BS_RE33!$P$7:$P$874,'30 days CF Table(EUR)'!G21,BS_RE33!$F$7:$F$874,'30 days CF Table(EUR)'!$C$2)</f>
        <v>0</v>
      </c>
      <c r="AY21" s="380">
        <f>SUMIFS(BS_RE33!$H$7:$H$874,BS_RE33!$S$7:$S$874,$AY$2,BS_RE33!$N$7:$N$874,I21,BS_RE33!$P$7:$P$874,'30 days CF Table(EUR)'!G21,BS_RE33!$F$7:$F$874,'30 days CF Table(EUR)'!$C$2)</f>
        <v>0</v>
      </c>
      <c r="AZ21" s="380">
        <f>SUMIFS(BS_RE33!$H$7:$H$874,BS_RE33!$S$7:$S$874,$AZ$2,BS_RE33!$N$7:$N$874,I21,BS_RE33!$P$7:$P$874,'30 days CF Table(EUR)'!G21,BS_RE33!$F$7:$F$874,'30 days CF Table(EUR)'!$C$2)</f>
        <v>0</v>
      </c>
      <c r="BA21" s="380">
        <f>SUMIFS(BS_RE33!$H$7:$H$874,BS_RE33!$S$7:$S$874,$BA$2,BS_RE33!$N$7:$N$874,I21,BS_RE33!$P$7:$P$874,'30 days CF Table(EUR)'!G21,BS_RE33!$F$7:$F$874,'30 days CF Table(EUR)'!$C$2)</f>
        <v>0</v>
      </c>
      <c r="BB21" s="380">
        <f>SUMIFS(BS_RE33!$H$7:$H$874,BS_RE33!$S$7:$S$874,$BB$2,BS_RE33!$N$7:$N$874,I21,BS_RE33!$P$7:$P$874,'30 days CF Table(EUR)'!G21,BS_RE33!$F$7:$F$874,'30 days CF Table(EUR)'!$C$2)</f>
        <v>0</v>
      </c>
      <c r="BC21" s="380">
        <f>SUMIFS(BS_RE33!$H$7:$H$874,BS_RE33!$S$7:$S$874,$BC$2,BS_RE33!$N$7:$N$874,I21,BS_RE33!$P$7:$P$874,'30 days CF Table(EUR)'!G21,BS_RE33!$F$7:$F$874,'30 days CF Table(EUR)'!$C$2)</f>
        <v>0</v>
      </c>
      <c r="BD21" s="380">
        <f>SUMIFS(BS_RE33!$H$7:$H$874,BS_RE33!$S$7:$S$874,$BD$2,BS_RE33!$N$7:$N$874,I21,BS_RE33!$P$7:$P$874,'30 days CF Table(EUR)'!G21,BS_RE33!$F$7:$F$874,'30 days CF Table(EUR)'!$C$2)</f>
        <v>0</v>
      </c>
      <c r="BE21" s="380">
        <f>SUMIFS(BS_RE33!$H$7:$H$874,BS_RE33!$S$7:$S$874,$BE$2,BS_RE33!$N$7:$N$874,I21,BS_RE33!$P$7:$P$874,'30 days CF Table(EUR)'!G21,BS_RE33!$F$7:$F$874,'30 days CF Table(EUR)'!$C$2)</f>
        <v>0</v>
      </c>
      <c r="BF21" s="380">
        <f>SUMIFS(BS_RE33!$H$7:$H$874,BS_RE33!$S$7:$S$874,$BF$2,BS_RE33!$N$7:$N$874,I21,BS_RE33!$P$7:$P$874,'30 days CF Table(EUR)'!G21,BS_RE33!$F$7:$F$874,'30 days CF Table(EUR)'!$C$2)</f>
        <v>0</v>
      </c>
      <c r="BG21" s="380">
        <f>SUMIFS(BS_RE33!$H$7:$H$874,BS_RE33!$S$7:$S$874,$BG$2,BS_RE33!$N$7:$N$874,I21,BS_RE33!$P$7:$P$874,'30 days CF Table(EUR)'!G21,BS_RE33!$F$7:$F$874,'30 days CF Table(EUR)'!$C$2)</f>
        <v>0</v>
      </c>
      <c r="BH21" s="380">
        <f>SUMIFS(BS_RE33!$H$7:$H$874,BS_RE33!$S$7:$S$874,$BH$2,BS_RE33!$N$7:$N$874,I21,BS_RE33!$P$7:$P$874,'30 days CF Table(EUR)'!G21,BS_RE33!$F$7:$F$874,'30 days CF Table(EUR)'!$C$2)</f>
        <v>0</v>
      </c>
      <c r="BI21" s="380">
        <f>SUMIFS(BS_RE33!$H$7:$H$874,BS_RE33!$S$7:$S$874,$BI$2,BS_RE33!$N$7:$N$874,I21,BS_RE33!$P$7:$P$874,'30 days CF Table(EUR)'!G21,BS_RE33!$F$7:$F$874,'30 days CF Table(EUR)'!$C$2)</f>
        <v>0</v>
      </c>
      <c r="BJ21" s="380">
        <f>SUMIFS(BS_RE33!$H$7:$H$874,BS_RE33!$S$7:$S$874,$BJ$2,BS_RE33!$N$7:$N$874,I21,BS_RE33!$P$7:$P$874,'30 days CF Table(EUR)'!G21,BS_RE33!$F$7:$F$874,'30 days CF Table(EUR)'!$C$2)</f>
        <v>0</v>
      </c>
      <c r="BK21" s="380">
        <f>SUMIFS(BS_RE33!$H$7:$H$874,BS_RE33!$S$7:$S$874,$BK$2,BS_RE33!$N$7:$N$874,I21,BS_RE33!$P$7:$P$874,'30 days CF Table(EUR)'!G21,BS_RE33!$F$7:$F$874,'30 days CF Table(EUR)'!$C$2)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Table(EUR)'!G22,BS_RE33!$F$7:$F$874,'30 days CF Table(EUR)'!$C$2)</f>
        <v>0</v>
      </c>
      <c r="M22" s="337">
        <f>SUMIFS(BS_RE33!$H$7:$H$874,BS_RE33!$S$7:$S$874,$M$2,BS_RE33!$N$7:$N$874,I22,BS_RE33!$P$7:$P$874,'30 days CF Table(EUR)'!G22,BS_RE33!$F$7:$F$874,'30 days CF Table(EUR)'!$C$2)</f>
        <v>0</v>
      </c>
      <c r="N22" s="337">
        <f>SUMIFS(BS_RE33!$H$7:$H$874,BS_RE33!$S$7:$S$874,$N$2,BS_RE33!$N$7:$N$874,I22,BS_RE33!$P$7:$P$874,'30 days CF Table(EUR)'!G22,BS_RE33!$F$7:$F$874,'30 days CF Table(EUR)'!$C$2)</f>
        <v>0</v>
      </c>
      <c r="O22" s="337">
        <f>SUMIFS(BS_RE33!$H$7:$H$874,BS_RE33!$S$7:$S$874,$O$2,BS_RE33!$N$7:$N$874,I22,BS_RE33!$P$7:$P$874,'30 days CF Table(EUR)'!G22,BS_RE33!$F$7:$F$874,'30 days CF Table(EUR)'!$C$2)</f>
        <v>0</v>
      </c>
      <c r="P22" s="337">
        <f>SUMIFS(BS_RE33!$H$7:$H$874,BS_RE33!$S$7:$S$874,$P$2,BS_RE33!$N$7:$N$874,I22,BS_RE33!$P$7:$P$874,'30 days CF Table(EUR)'!G22,BS_RE33!$F$7:$F$874,'30 days CF Table(EUR)'!$C$2)</f>
        <v>0</v>
      </c>
      <c r="Q22" s="337">
        <f>SUMIFS(BS_RE33!$H$7:$H$874,BS_RE33!$S$7:$S$874,$Q$2,BS_RE33!$N$7:$N$874,I22,BS_RE33!$P$7:$P$874,'30 days CF Table(EUR)'!G22,BS_RE33!$F$7:$F$874,'30 days CF Table(EUR)'!$C$2)</f>
        <v>0</v>
      </c>
      <c r="R22" s="337">
        <f>SUMIFS(BS_RE33!$H$7:$H$874,BS_RE33!$S$7:$S$874,$R$2,BS_RE33!$N$7:$N$874,I22,BS_RE33!$P$7:$P$874,'30 days CF Table(EUR)'!G22,BS_RE33!$F$7:$F$874,'30 days CF Table(EUR)'!$C$2)</f>
        <v>0</v>
      </c>
      <c r="S22" s="337">
        <f>SUMIFS(BS_RE33!$H$7:$H$874,BS_RE33!$S$7:$S$874,$S$2,BS_RE33!$N$7:$N$874,I22,BS_RE33!$P$7:$P$874,'30 days CF Table(EUR)'!G22,BS_RE33!$F$7:$F$874,'30 days CF Table(EUR)'!$C$2)</f>
        <v>0</v>
      </c>
      <c r="T22" s="337">
        <f>SUMIFS(BS_RE33!$H$7:$H$874,BS_RE33!$S$7:$S$874,$T$2,BS_RE33!$N$7:$N$874,I22,BS_RE33!$P$7:$P$874,'30 days CF Table(EUR)'!G22,BS_RE33!$F$7:$F$874,'30 days CF Table(EUR)'!$C$2)</f>
        <v>0</v>
      </c>
      <c r="U22" s="337">
        <f>SUMIFS(BS_RE33!$H$7:$H$874,BS_RE33!$S$7:$S$874,$U$2,BS_RE33!$N$7:$N$874,I22,BS_RE33!$P$7:$P$874,'30 days CF Table(EUR)'!G22,BS_RE33!$F$7:$F$874,'30 days CF Table(EUR)'!$C$2)</f>
        <v>0</v>
      </c>
      <c r="V22" s="337">
        <f>SUMIFS(BS_RE33!$H$7:$H$874,BS_RE33!$S$7:$S$874,$V$2,BS_RE33!$N$7:$N$874,I22,BS_RE33!$P$7:$P$874,'30 days CF Table(EUR)'!G22,BS_RE33!$F$7:$F$874,'30 days CF Table(EUR)'!$C$2)</f>
        <v>0</v>
      </c>
      <c r="W22" s="337">
        <f>SUMIFS(BS_RE33!$H$7:$H$874,BS_RE33!$S$7:$S$874,$W$2,BS_RE33!$N$7:$N$874,I22,BS_RE33!$P$7:$P$874,'30 days CF Table(EUR)'!G22,BS_RE33!$F$7:$F$874,'30 days CF Table(EUR)'!$C$2)</f>
        <v>0</v>
      </c>
      <c r="X22" s="337">
        <f>SUMIFS(BS_RE33!$H$7:$H$874,BS_RE33!$S$7:$S$874,$X$2,BS_RE33!$N$7:$N$874,I22,BS_RE33!$P$7:$P$874,'30 days CF Table(EUR)'!G22,BS_RE33!$F$7:$F$874,'30 days CF Table(EUR)'!$C$2)</f>
        <v>0</v>
      </c>
      <c r="Y22" s="337">
        <f>SUMIFS(BS_RE33!$H$7:$H$874,BS_RE33!$S$7:$S$874,$Y$2,BS_RE33!$N$7:$N$874,I22,BS_RE33!$P$7:$P$874,'30 days CF Table(EUR)'!G22,BS_RE33!$F$7:$F$874,'30 days CF Table(EUR)'!$C$2)</f>
        <v>0</v>
      </c>
      <c r="Z22" s="337">
        <f>SUMIFS(BS_RE33!$H$7:$H$874,BS_RE33!$S$7:$S$874,$Z$2,BS_RE33!$N$7:$N$874,I22,BS_RE33!$P$7:$P$874,'30 days CF Table(EUR)'!G22,BS_RE33!$F$7:$F$874,'30 days CF Table(EUR)'!$C$2)</f>
        <v>0</v>
      </c>
      <c r="AA22" s="337">
        <f>SUMIFS(BS_RE33!$H$7:$H$874,BS_RE33!$S$7:$S$874,$AA$2,BS_RE33!$N$7:$N$874,I22,BS_RE33!$P$7:$P$874,'30 days CF Table(EUR)'!G22,BS_RE33!$F$7:$F$874,'30 days CF Table(EUR)'!$C$2)</f>
        <v>0</v>
      </c>
      <c r="AB22" s="337">
        <f>SUMIFS(BS_RE33!$H$7:$H$874,BS_RE33!$S$7:$S$874,$AB$2,BS_RE33!$N$7:$N$874,I22,BS_RE33!$P$7:$P$874,'30 days CF Table(EUR)'!G22,BS_RE33!$F$7:$F$874,'30 days CF Table(EUR)'!$C$2)</f>
        <v>0</v>
      </c>
      <c r="AC22" s="337">
        <f>SUMIFS(BS_RE33!$H$7:$H$874,BS_RE33!$S$7:$S$874,$AC$2,BS_RE33!$N$7:$N$874,I22,BS_RE33!$P$7:$P$874,'30 days CF Table(EUR)'!G22,BS_RE33!$F$7:$F$874,'30 days CF Table(EUR)'!$C$2)</f>
        <v>0</v>
      </c>
      <c r="AD22" s="337">
        <f>SUMIFS(BS_RE33!$H$7:$H$874,BS_RE33!$S$7:$S$874,$AD$2,BS_RE33!$N$7:$N$874,I22,BS_RE33!$P$7:$P$874,'30 days CF Table(EUR)'!G22,BS_RE33!$F$7:$F$874,'30 days CF Table(EUR)'!$C$2)</f>
        <v>0</v>
      </c>
      <c r="AE22" s="337">
        <f>SUMIFS(BS_RE33!$H$7:$H$874,BS_RE33!$S$7:$S$874,$AE$2,BS_RE33!$N$7:$N$874,I22,BS_RE33!$P$7:$P$874,'30 days CF Table(EUR)'!G22,BS_RE33!$F$7:$F$874,'30 days CF Table(EUR)'!$C$2)</f>
        <v>0</v>
      </c>
      <c r="AF22" s="337">
        <f>SUMIFS(BS_RE33!$H$7:$H$874,BS_RE33!$S$7:$S$874,$AF$2,BS_RE33!$N$7:$N$874,I22,BS_RE33!$P$7:$P$874,'30 days CF Table(EUR)'!G22,BS_RE33!$F$7:$F$874,'30 days CF Table(EUR)'!$C$2)</f>
        <v>0</v>
      </c>
      <c r="AG22" s="337">
        <f>SUMIFS(BS_RE33!$H$7:$H$874,BS_RE33!$S$7:$S$874,$AG$2,BS_RE33!$N$7:$N$874,I22,BS_RE33!$P$7:$P$874,'30 days CF Table(EUR)'!G22,BS_RE33!$F$7:$F$874,'30 days CF Table(EUR)'!$C$2)</f>
        <v>0</v>
      </c>
      <c r="AH22" s="337">
        <f>SUMIFS(BS_RE33!$H$7:$H$874,BS_RE33!$S$7:$S$874,$AH$2,BS_RE33!$N$7:$N$874,I22,BS_RE33!$P$7:$P$874,'30 days CF Table(EUR)'!G22,BS_RE33!$F$7:$F$874,'30 days CF Table(EUR)'!$C$2)</f>
        <v>0</v>
      </c>
      <c r="AI22" s="337">
        <f>SUMIFS(BS_RE33!$H$7:$H$874,BS_RE33!$S$7:$S$874,$AI$2,BS_RE33!$N$7:$N$874,I22,BS_RE33!$P$7:$P$874,'30 days CF Table(EUR)'!G22,BS_RE33!$F$7:$F$874,'30 days CF Table(EUR)'!$C$2)</f>
        <v>0</v>
      </c>
      <c r="AJ22" s="337">
        <f>SUMIFS(BS_RE33!$H$7:$H$874,BS_RE33!$S$7:$S$874,$AJ$2,BS_RE33!$N$7:$N$874,I22,BS_RE33!$P$7:$P$874,'30 days CF Table(EUR)'!G22,BS_RE33!$F$7:$F$874,'30 days CF Table(EUR)'!$C$2)</f>
        <v>0</v>
      </c>
      <c r="AK22" s="337">
        <f>SUMIFS(BS_RE33!$H$7:$H$874,BS_RE33!$S$7:$S$874,$AK$2,BS_RE33!$N$7:$N$874,I22,BS_RE33!$P$7:$P$874,'30 days CF Table(EUR)'!G22,BS_RE33!$F$7:$F$874,'30 days CF Table(EUR)'!$C$2)</f>
        <v>0</v>
      </c>
      <c r="AL22" s="337">
        <f>SUMIFS(BS_RE33!$H$7:$H$874,BS_RE33!$S$7:$S$874,$AL$2,BS_RE33!$N$7:$N$874,I22,BS_RE33!$P$7:$P$874,'30 days CF Table(EUR)'!G22,BS_RE33!$F$7:$F$874,'30 days CF Table(EUR)'!$C$2)</f>
        <v>0</v>
      </c>
      <c r="AM22" s="337">
        <f>SUMIFS(BS_RE33!$H$7:$H$874,BS_RE33!$S$7:$S$874,$AM$2,BS_RE33!$N$7:$N$874,I22,BS_RE33!$P$7:$P$874,'30 days CF Table(EUR)'!G22,BS_RE33!$F$7:$F$874,'30 days CF Table(EUR)'!$C$2)</f>
        <v>0</v>
      </c>
      <c r="AN22" s="337">
        <f>SUMIFS(BS_RE33!$H$7:$H$874,BS_RE33!$S$7:$S$874,$AN$2,BS_RE33!$N$7:$N$874,I22,BS_RE33!$P$7:$P$874,'30 days CF Table(EUR)'!G22,BS_RE33!$F$7:$F$874,'30 days CF Table(EUR)'!$C$2)</f>
        <v>0</v>
      </c>
      <c r="AO22" s="337">
        <f>SUMIFS(BS_RE33!$H$7:$H$874,BS_RE33!$S$7:$S$874,$AO$2,BS_RE33!$N$7:$N$874,I22,BS_RE33!$P$7:$P$874,'30 days CF Table(EUR)'!G22,BS_RE33!$F$7:$F$874,'30 days CF Table(EUR)'!$C$2)</f>
        <v>0</v>
      </c>
      <c r="AP22" s="338">
        <f>SUMIFS(BS_RE33!$H$7:$H$874,BS_RE33!$S$7:$S$874,$AP$2,BS_RE33!$N$7:$N$874,I22,BS_RE33!$P$7:$P$874,'30 days CF Table(EUR)'!G22,BS_RE33!$F$7:$F$874,'30 days CF Table(EUR)'!$C$2)</f>
        <v>0</v>
      </c>
      <c r="AQ22" s="545"/>
      <c r="AR22" s="379">
        <f>SUMIFS(BS_RE33!$H$7:$H$874,BS_RE33!$S$7:$S$874,$AR$2,BS_RE33!$N$7:$N$874,I22,BS_RE33!$P$7:$P$874,'30 days CF Table(EUR)'!G22,BS_RE33!$F$7:$F$874,'30 days CF Table(EUR)'!$C$2)</f>
        <v>0</v>
      </c>
      <c r="AS22" s="379">
        <f>SUMIFS(BS_RE33!$H$7:$H$874,BS_RE33!$S$7:$S$874,$AS$2,BS_RE33!$N$7:$N$874,I22,BS_RE33!$P$7:$P$874,'30 days CF Table(EUR)'!G22,BS_RE33!$F$7:$F$874,'30 days CF Table(EUR)'!$C$2)</f>
        <v>0</v>
      </c>
      <c r="AT22" s="379">
        <f>SUMIFS(BS_RE33!$H$7:$H$874,BS_RE33!$S$7:$S$874,$AT$2,BS_RE33!$N$7:$N$874,I22,BS_RE33!$P$7:$P$874,'30 days CF Table(EUR)'!G22,BS_RE33!$F$7:$F$874,'30 days CF Table(EUR)'!$C$2)</f>
        <v>0</v>
      </c>
      <c r="AU22" s="379">
        <f>SUMIFS(BS_RE33!$H$7:$H$874,BS_RE33!$S$7:$S$874,$AU$2,BS_RE33!$N$7:$N$874,I22,BS_RE33!$P$7:$P$874,'30 days CF Table(EUR)'!G22,BS_RE33!$F$7:$F$874,'30 days CF Table(EUR)'!$C$2)</f>
        <v>0</v>
      </c>
      <c r="AV22" s="379">
        <f>SUMIFS(BS_RE33!$H$7:$H$874,BS_RE33!$S$7:$S$874,$AV$2,BS_RE33!$N$7:$N$874,I22,BS_RE33!$P$7:$P$874,'30 days CF Table(EUR)'!G22,BS_RE33!$F$7:$F$874,'30 days CF Table(EUR)'!$C$2)</f>
        <v>0</v>
      </c>
      <c r="AW22" s="379">
        <f>SUMIFS(BS_RE33!$H$7:$H$874,BS_RE33!$S$7:$S$874,$AW$2,BS_RE33!$N$7:$N$874,I22,BS_RE33!$P$7:$P$874,'30 days CF Table(EUR)'!G22,BS_RE33!$F$7:$F$874,'30 days CF Table(EUR)'!$C$2)</f>
        <v>0</v>
      </c>
      <c r="AX22" s="379">
        <f>SUMIFS(BS_RE33!$H$7:$H$874,BS_RE33!$S$7:$S$874,$AX$2,BS_RE33!$N$7:$N$874,I22,BS_RE33!$P$7:$P$874,'30 days CF Table(EUR)'!G22,BS_RE33!$F$7:$F$874,'30 days CF Table(EUR)'!$C$2)</f>
        <v>0</v>
      </c>
      <c r="AY22" s="379">
        <f>SUMIFS(BS_RE33!$H$7:$H$874,BS_RE33!$S$7:$S$874,$AY$2,BS_RE33!$N$7:$N$874,I22,BS_RE33!$P$7:$P$874,'30 days CF Table(EUR)'!G22,BS_RE33!$F$7:$F$874,'30 days CF Table(EUR)'!$C$2)</f>
        <v>0</v>
      </c>
      <c r="AZ22" s="379">
        <f>SUMIFS(BS_RE33!$H$7:$H$874,BS_RE33!$S$7:$S$874,$AZ$2,BS_RE33!$N$7:$N$874,I22,BS_RE33!$P$7:$P$874,'30 days CF Table(EUR)'!G22,BS_RE33!$F$7:$F$874,'30 days CF Table(EUR)'!$C$2)</f>
        <v>0</v>
      </c>
      <c r="BA22" s="379">
        <f>SUMIFS(BS_RE33!$H$7:$H$874,BS_RE33!$S$7:$S$874,$BA$2,BS_RE33!$N$7:$N$874,I22,BS_RE33!$P$7:$P$874,'30 days CF Table(EUR)'!G22,BS_RE33!$F$7:$F$874,'30 days CF Table(EUR)'!$C$2)</f>
        <v>0</v>
      </c>
      <c r="BB22" s="379">
        <f>SUMIFS(BS_RE33!$H$7:$H$874,BS_RE33!$S$7:$S$874,$BB$2,BS_RE33!$N$7:$N$874,I22,BS_RE33!$P$7:$P$874,'30 days CF Table(EUR)'!G22,BS_RE33!$F$7:$F$874,'30 days CF Table(EUR)'!$C$2)</f>
        <v>0</v>
      </c>
      <c r="BC22" s="379">
        <f>SUMIFS(BS_RE33!$H$7:$H$874,BS_RE33!$S$7:$S$874,$BC$2,BS_RE33!$N$7:$N$874,I22,BS_RE33!$P$7:$P$874,'30 days CF Table(EUR)'!G22,BS_RE33!$F$7:$F$874,'30 days CF Table(EUR)'!$C$2)</f>
        <v>0</v>
      </c>
      <c r="BD22" s="379">
        <f>SUMIFS(BS_RE33!$H$7:$H$874,BS_RE33!$S$7:$S$874,$BD$2,BS_RE33!$N$7:$N$874,I22,BS_RE33!$P$7:$P$874,'30 days CF Table(EUR)'!G22,BS_RE33!$F$7:$F$874,'30 days CF Table(EUR)'!$C$2)</f>
        <v>0</v>
      </c>
      <c r="BE22" s="379">
        <f>SUMIFS(BS_RE33!$H$7:$H$874,BS_RE33!$S$7:$S$874,$BE$2,BS_RE33!$N$7:$N$874,I22,BS_RE33!$P$7:$P$874,'30 days CF Table(EUR)'!G22,BS_RE33!$F$7:$F$874,'30 days CF Table(EUR)'!$C$2)</f>
        <v>0</v>
      </c>
      <c r="BF22" s="379">
        <f>SUMIFS(BS_RE33!$H$7:$H$874,BS_RE33!$S$7:$S$874,$BF$2,BS_RE33!$N$7:$N$874,I22,BS_RE33!$P$7:$P$874,'30 days CF Table(EUR)'!G22,BS_RE33!$F$7:$F$874,'30 days CF Table(EUR)'!$C$2)</f>
        <v>0</v>
      </c>
      <c r="BG22" s="379">
        <f>SUMIFS(BS_RE33!$H$7:$H$874,BS_RE33!$S$7:$S$874,$BG$2,BS_RE33!$N$7:$N$874,I22,BS_RE33!$P$7:$P$874,'30 days CF Table(EUR)'!G22,BS_RE33!$F$7:$F$874,'30 days CF Table(EUR)'!$C$2)</f>
        <v>0</v>
      </c>
      <c r="BH22" s="379">
        <f>SUMIFS(BS_RE33!$H$7:$H$874,BS_RE33!$S$7:$S$874,$BH$2,BS_RE33!$N$7:$N$874,I22,BS_RE33!$P$7:$P$874,'30 days CF Table(EUR)'!G22,BS_RE33!$F$7:$F$874,'30 days CF Table(EUR)'!$C$2)</f>
        <v>0</v>
      </c>
      <c r="BI22" s="379">
        <f>SUMIFS(BS_RE33!$H$7:$H$874,BS_RE33!$S$7:$S$874,$BI$2,BS_RE33!$N$7:$N$874,I22,BS_RE33!$P$7:$P$874,'30 days CF Table(EUR)'!G22,BS_RE33!$F$7:$F$874,'30 days CF Table(EUR)'!$C$2)</f>
        <v>0</v>
      </c>
      <c r="BJ22" s="379">
        <f>SUMIFS(BS_RE33!$H$7:$H$874,BS_RE33!$S$7:$S$874,$BJ$2,BS_RE33!$N$7:$N$874,I22,BS_RE33!$P$7:$P$874,'30 days CF Table(EUR)'!G22,BS_RE33!$F$7:$F$874,'30 days CF Table(EUR)'!$C$2)</f>
        <v>0</v>
      </c>
      <c r="BK22" s="379">
        <f>SUMIFS(BS_RE33!$H$7:$H$874,BS_RE33!$S$7:$S$874,$BK$2,BS_RE33!$N$7:$N$874,I22,BS_RE33!$P$7:$P$874,'30 days CF Table(EUR)'!G22,BS_RE33!$F$7:$F$874,'30 days CF Table(EUR)'!$C$2)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Table(EUR)'!G23,BS_RE33!$F$7:$F$874,'30 days CF Table(EUR)'!$C$2)</f>
        <v>0</v>
      </c>
      <c r="M23" s="337">
        <f>SUMIFS(BS_RE33!$H$7:$H$874,BS_RE33!$S$7:$S$874,$M$2,BS_RE33!$N$7:$N$874,I23,BS_RE33!$P$7:$P$874,'30 days CF Table(EUR)'!G23,BS_RE33!$F$7:$F$874,'30 days CF Table(EUR)'!$C$2)</f>
        <v>0</v>
      </c>
      <c r="N23" s="337">
        <f>SUMIFS(BS_RE33!$H$7:$H$874,BS_RE33!$S$7:$S$874,$N$2,BS_RE33!$N$7:$N$874,I23,BS_RE33!$P$7:$P$874,'30 days CF Table(EUR)'!G23,BS_RE33!$F$7:$F$874,'30 days CF Table(EUR)'!$C$2)</f>
        <v>0</v>
      </c>
      <c r="O23" s="337">
        <f>SUMIFS(BS_RE33!$H$7:$H$874,BS_RE33!$S$7:$S$874,$O$2,BS_RE33!$N$7:$N$874,I23,BS_RE33!$P$7:$P$874,'30 days CF Table(EUR)'!G23,BS_RE33!$F$7:$F$874,'30 days CF Table(EUR)'!$C$2)</f>
        <v>0</v>
      </c>
      <c r="P23" s="337">
        <f>SUMIFS(BS_RE33!$H$7:$H$874,BS_RE33!$S$7:$S$874,$P$2,BS_RE33!$N$7:$N$874,I23,BS_RE33!$P$7:$P$874,'30 days CF Table(EUR)'!G23,BS_RE33!$F$7:$F$874,'30 days CF Table(EUR)'!$C$2)</f>
        <v>0</v>
      </c>
      <c r="Q23" s="337">
        <f>SUMIFS(BS_RE33!$H$7:$H$874,BS_RE33!$S$7:$S$874,$Q$2,BS_RE33!$N$7:$N$874,I23,BS_RE33!$P$7:$P$874,'30 days CF Table(EUR)'!G23,BS_RE33!$F$7:$F$874,'30 days CF Table(EUR)'!$C$2)</f>
        <v>0</v>
      </c>
      <c r="R23" s="337">
        <f>SUMIFS(BS_RE33!$H$7:$H$874,BS_RE33!$S$7:$S$874,$R$2,BS_RE33!$N$7:$N$874,I23,BS_RE33!$P$7:$P$874,'30 days CF Table(EUR)'!G23,BS_RE33!$F$7:$F$874,'30 days CF Table(EUR)'!$C$2)</f>
        <v>0</v>
      </c>
      <c r="S23" s="337">
        <f>SUMIFS(BS_RE33!$H$7:$H$874,BS_RE33!$S$7:$S$874,$S$2,BS_RE33!$N$7:$N$874,I23,BS_RE33!$P$7:$P$874,'30 days CF Table(EUR)'!G23,BS_RE33!$F$7:$F$874,'30 days CF Table(EUR)'!$C$2)</f>
        <v>0</v>
      </c>
      <c r="T23" s="337">
        <f>SUMIFS(BS_RE33!$H$7:$H$874,BS_RE33!$S$7:$S$874,$T$2,BS_RE33!$N$7:$N$874,I23,BS_RE33!$P$7:$P$874,'30 days CF Table(EUR)'!G23,BS_RE33!$F$7:$F$874,'30 days CF Table(EUR)'!$C$2)</f>
        <v>0</v>
      </c>
      <c r="U23" s="337">
        <f>SUMIFS(BS_RE33!$H$7:$H$874,BS_RE33!$S$7:$S$874,$U$2,BS_RE33!$N$7:$N$874,I23,BS_RE33!$P$7:$P$874,'30 days CF Table(EUR)'!G23,BS_RE33!$F$7:$F$874,'30 days CF Table(EUR)'!$C$2)</f>
        <v>0</v>
      </c>
      <c r="V23" s="337">
        <f>SUMIFS(BS_RE33!$H$7:$H$874,BS_RE33!$S$7:$S$874,$V$2,BS_RE33!$N$7:$N$874,I23,BS_RE33!$P$7:$P$874,'30 days CF Table(EUR)'!G23,BS_RE33!$F$7:$F$874,'30 days CF Table(EUR)'!$C$2)</f>
        <v>0</v>
      </c>
      <c r="W23" s="337">
        <f>SUMIFS(BS_RE33!$H$7:$H$874,BS_RE33!$S$7:$S$874,$W$2,BS_RE33!$N$7:$N$874,I23,BS_RE33!$P$7:$P$874,'30 days CF Table(EUR)'!G23,BS_RE33!$F$7:$F$874,'30 days CF Table(EUR)'!$C$2)</f>
        <v>0</v>
      </c>
      <c r="X23" s="337">
        <f>SUMIFS(BS_RE33!$H$7:$H$874,BS_RE33!$S$7:$S$874,$X$2,BS_RE33!$N$7:$N$874,I23,BS_RE33!$P$7:$P$874,'30 days CF Table(EUR)'!G23,BS_RE33!$F$7:$F$874,'30 days CF Table(EUR)'!$C$2)</f>
        <v>0</v>
      </c>
      <c r="Y23" s="337">
        <f>SUMIFS(BS_RE33!$H$7:$H$874,BS_RE33!$S$7:$S$874,$Y$2,BS_RE33!$N$7:$N$874,I23,BS_RE33!$P$7:$P$874,'30 days CF Table(EUR)'!G23,BS_RE33!$F$7:$F$874,'30 days CF Table(EUR)'!$C$2)</f>
        <v>0</v>
      </c>
      <c r="Z23" s="337">
        <f>SUMIFS(BS_RE33!$H$7:$H$874,BS_RE33!$S$7:$S$874,$Z$2,BS_RE33!$N$7:$N$874,I23,BS_RE33!$P$7:$P$874,'30 days CF Table(EUR)'!G23,BS_RE33!$F$7:$F$874,'30 days CF Table(EUR)'!$C$2)</f>
        <v>0</v>
      </c>
      <c r="AA23" s="337">
        <f>SUMIFS(BS_RE33!$H$7:$H$874,BS_RE33!$S$7:$S$874,$AA$2,BS_RE33!$N$7:$N$874,I23,BS_RE33!$P$7:$P$874,'30 days CF Table(EUR)'!G23,BS_RE33!$F$7:$F$874,'30 days CF Table(EUR)'!$C$2)</f>
        <v>0</v>
      </c>
      <c r="AB23" s="337">
        <f>SUMIFS(BS_RE33!$H$7:$H$874,BS_RE33!$S$7:$S$874,$AB$2,BS_RE33!$N$7:$N$874,I23,BS_RE33!$P$7:$P$874,'30 days CF Table(EUR)'!G23,BS_RE33!$F$7:$F$874,'30 days CF Table(EUR)'!$C$2)</f>
        <v>0</v>
      </c>
      <c r="AC23" s="337">
        <f>SUMIFS(BS_RE33!$H$7:$H$874,BS_RE33!$S$7:$S$874,$AC$2,BS_RE33!$N$7:$N$874,I23,BS_RE33!$P$7:$P$874,'30 days CF Table(EUR)'!G23,BS_RE33!$F$7:$F$874,'30 days CF Table(EUR)'!$C$2)</f>
        <v>0</v>
      </c>
      <c r="AD23" s="337">
        <f>SUMIFS(BS_RE33!$H$7:$H$874,BS_RE33!$S$7:$S$874,$AD$2,BS_RE33!$N$7:$N$874,I23,BS_RE33!$P$7:$P$874,'30 days CF Table(EUR)'!G23,BS_RE33!$F$7:$F$874,'30 days CF Table(EUR)'!$C$2)</f>
        <v>0</v>
      </c>
      <c r="AE23" s="337">
        <f>SUMIFS(BS_RE33!$H$7:$H$874,BS_RE33!$S$7:$S$874,$AE$2,BS_RE33!$N$7:$N$874,I23,BS_RE33!$P$7:$P$874,'30 days CF Table(EUR)'!G23,BS_RE33!$F$7:$F$874,'30 days CF Table(EUR)'!$C$2)</f>
        <v>0</v>
      </c>
      <c r="AF23" s="337">
        <f>SUMIFS(BS_RE33!$H$7:$H$874,BS_RE33!$S$7:$S$874,$AF$2,BS_RE33!$N$7:$N$874,I23,BS_RE33!$P$7:$P$874,'30 days CF Table(EUR)'!G23,BS_RE33!$F$7:$F$874,'30 days CF Table(EUR)'!$C$2)</f>
        <v>0</v>
      </c>
      <c r="AG23" s="337">
        <f>SUMIFS(BS_RE33!$H$7:$H$874,BS_RE33!$S$7:$S$874,$AG$2,BS_RE33!$N$7:$N$874,I23,BS_RE33!$P$7:$P$874,'30 days CF Table(EUR)'!G23,BS_RE33!$F$7:$F$874,'30 days CF Table(EUR)'!$C$2)</f>
        <v>0</v>
      </c>
      <c r="AH23" s="337">
        <f>SUMIFS(BS_RE33!$H$7:$H$874,BS_RE33!$S$7:$S$874,$AH$2,BS_RE33!$N$7:$N$874,I23,BS_RE33!$P$7:$P$874,'30 days CF Table(EUR)'!G23,BS_RE33!$F$7:$F$874,'30 days CF Table(EUR)'!$C$2)</f>
        <v>0</v>
      </c>
      <c r="AI23" s="337">
        <f>SUMIFS(BS_RE33!$H$7:$H$874,BS_RE33!$S$7:$S$874,$AI$2,BS_RE33!$N$7:$N$874,I23,BS_RE33!$P$7:$P$874,'30 days CF Table(EUR)'!G23,BS_RE33!$F$7:$F$874,'30 days CF Table(EUR)'!$C$2)</f>
        <v>0</v>
      </c>
      <c r="AJ23" s="337">
        <f>SUMIFS(BS_RE33!$H$7:$H$874,BS_RE33!$S$7:$S$874,$AJ$2,BS_RE33!$N$7:$N$874,I23,BS_RE33!$P$7:$P$874,'30 days CF Table(EUR)'!G23,BS_RE33!$F$7:$F$874,'30 days CF Table(EUR)'!$C$2)</f>
        <v>0</v>
      </c>
      <c r="AK23" s="337">
        <f>SUMIFS(BS_RE33!$H$7:$H$874,BS_RE33!$S$7:$S$874,$AK$2,BS_RE33!$N$7:$N$874,I23,BS_RE33!$P$7:$P$874,'30 days CF Table(EUR)'!G23,BS_RE33!$F$7:$F$874,'30 days CF Table(EUR)'!$C$2)</f>
        <v>0</v>
      </c>
      <c r="AL23" s="337">
        <f>SUMIFS(BS_RE33!$H$7:$H$874,BS_RE33!$S$7:$S$874,$AL$2,BS_RE33!$N$7:$N$874,I23,BS_RE33!$P$7:$P$874,'30 days CF Table(EUR)'!G23,BS_RE33!$F$7:$F$874,'30 days CF Table(EUR)'!$C$2)</f>
        <v>0</v>
      </c>
      <c r="AM23" s="337">
        <f>SUMIFS(BS_RE33!$H$7:$H$874,BS_RE33!$S$7:$S$874,$AM$2,BS_RE33!$N$7:$N$874,I23,BS_RE33!$P$7:$P$874,'30 days CF Table(EUR)'!G23,BS_RE33!$F$7:$F$874,'30 days CF Table(EUR)'!$C$2)</f>
        <v>0</v>
      </c>
      <c r="AN23" s="337">
        <f>SUMIFS(BS_RE33!$H$7:$H$874,BS_RE33!$S$7:$S$874,$AN$2,BS_RE33!$N$7:$N$874,I23,BS_RE33!$P$7:$P$874,'30 days CF Table(EUR)'!G23,BS_RE33!$F$7:$F$874,'30 days CF Table(EUR)'!$C$2)</f>
        <v>0</v>
      </c>
      <c r="AO23" s="337">
        <f>SUMIFS(BS_RE33!$H$7:$H$874,BS_RE33!$S$7:$S$874,$AO$2,BS_RE33!$N$7:$N$874,I23,BS_RE33!$P$7:$P$874,'30 days CF Table(EUR)'!G23,BS_RE33!$F$7:$F$874,'30 days CF Table(EUR)'!$C$2)</f>
        <v>0</v>
      </c>
      <c r="AP23" s="338">
        <f>SUMIFS(BS_RE33!$H$7:$H$874,BS_RE33!$S$7:$S$874,$AP$2,BS_RE33!$N$7:$N$874,I23,BS_RE33!$P$7:$P$874,'30 days CF Table(EUR)'!G23,BS_RE33!$F$7:$F$874,'30 days CF Table(EUR)'!$C$2)</f>
        <v>0</v>
      </c>
      <c r="AQ23" s="545"/>
      <c r="AR23" s="379">
        <f>SUMIFS(BS_RE33!$H$7:$H$874,BS_RE33!$S$7:$S$874,$AR$2,BS_RE33!$N$7:$N$874,I23,BS_RE33!$P$7:$P$874,'30 days CF Table(EUR)'!G23,BS_RE33!$F$7:$F$874,'30 days CF Table(EUR)'!$C$2)</f>
        <v>0</v>
      </c>
      <c r="AS23" s="379">
        <f>SUMIFS(BS_RE33!$H$7:$H$874,BS_RE33!$S$7:$S$874,$AS$2,BS_RE33!$N$7:$N$874,I23,BS_RE33!$P$7:$P$874,'30 days CF Table(EUR)'!G23,BS_RE33!$F$7:$F$874,'30 days CF Table(EUR)'!$C$2)</f>
        <v>0</v>
      </c>
      <c r="AT23" s="379">
        <f>SUMIFS(BS_RE33!$H$7:$H$874,BS_RE33!$S$7:$S$874,$AT$2,BS_RE33!$N$7:$N$874,I23,BS_RE33!$P$7:$P$874,'30 days CF Table(EUR)'!G23,BS_RE33!$F$7:$F$874,'30 days CF Table(EUR)'!$C$2)</f>
        <v>0</v>
      </c>
      <c r="AU23" s="379">
        <f>SUMIFS(BS_RE33!$H$7:$H$874,BS_RE33!$S$7:$S$874,$AU$2,BS_RE33!$N$7:$N$874,I23,BS_RE33!$P$7:$P$874,'30 days CF Table(EUR)'!G23,BS_RE33!$F$7:$F$874,'30 days CF Table(EUR)'!$C$2)</f>
        <v>0</v>
      </c>
      <c r="AV23" s="379">
        <f>SUMIFS(BS_RE33!$H$7:$H$874,BS_RE33!$S$7:$S$874,$AV$2,BS_RE33!$N$7:$N$874,I23,BS_RE33!$P$7:$P$874,'30 days CF Table(EUR)'!G23,BS_RE33!$F$7:$F$874,'30 days CF Table(EUR)'!$C$2)</f>
        <v>0</v>
      </c>
      <c r="AW23" s="379">
        <f>SUMIFS(BS_RE33!$H$7:$H$874,BS_RE33!$S$7:$S$874,$AW$2,BS_RE33!$N$7:$N$874,I23,BS_RE33!$P$7:$P$874,'30 days CF Table(EUR)'!G23,BS_RE33!$F$7:$F$874,'30 days CF Table(EUR)'!$C$2)</f>
        <v>0</v>
      </c>
      <c r="AX23" s="379">
        <f>SUMIFS(BS_RE33!$H$7:$H$874,BS_RE33!$S$7:$S$874,$AX$2,BS_RE33!$N$7:$N$874,I23,BS_RE33!$P$7:$P$874,'30 days CF Table(EUR)'!G23,BS_RE33!$F$7:$F$874,'30 days CF Table(EUR)'!$C$2)</f>
        <v>0</v>
      </c>
      <c r="AY23" s="379">
        <f>SUMIFS(BS_RE33!$H$7:$H$874,BS_RE33!$S$7:$S$874,$AY$2,BS_RE33!$N$7:$N$874,I23,BS_RE33!$P$7:$P$874,'30 days CF Table(EUR)'!G23,BS_RE33!$F$7:$F$874,'30 days CF Table(EUR)'!$C$2)</f>
        <v>0</v>
      </c>
      <c r="AZ23" s="379">
        <f>SUMIFS(BS_RE33!$H$7:$H$874,BS_RE33!$S$7:$S$874,$AZ$2,BS_RE33!$N$7:$N$874,I23,BS_RE33!$P$7:$P$874,'30 days CF Table(EUR)'!G23,BS_RE33!$F$7:$F$874,'30 days CF Table(EUR)'!$C$2)</f>
        <v>0</v>
      </c>
      <c r="BA23" s="379">
        <f>SUMIFS(BS_RE33!$H$7:$H$874,BS_RE33!$S$7:$S$874,$BA$2,BS_RE33!$N$7:$N$874,I23,BS_RE33!$P$7:$P$874,'30 days CF Table(EUR)'!G23,BS_RE33!$F$7:$F$874,'30 days CF Table(EUR)'!$C$2)</f>
        <v>0</v>
      </c>
      <c r="BB23" s="379">
        <f>SUMIFS(BS_RE33!$H$7:$H$874,BS_RE33!$S$7:$S$874,$BB$2,BS_RE33!$N$7:$N$874,I23,BS_RE33!$P$7:$P$874,'30 days CF Table(EUR)'!G23,BS_RE33!$F$7:$F$874,'30 days CF Table(EUR)'!$C$2)</f>
        <v>0</v>
      </c>
      <c r="BC23" s="379">
        <f>SUMIFS(BS_RE33!$H$7:$H$874,BS_RE33!$S$7:$S$874,$BC$2,BS_RE33!$N$7:$N$874,I23,BS_RE33!$P$7:$P$874,'30 days CF Table(EUR)'!G23,BS_RE33!$F$7:$F$874,'30 days CF Table(EUR)'!$C$2)</f>
        <v>0</v>
      </c>
      <c r="BD23" s="379">
        <f>SUMIFS(BS_RE33!$H$7:$H$874,BS_RE33!$S$7:$S$874,$BD$2,BS_RE33!$N$7:$N$874,I23,BS_RE33!$P$7:$P$874,'30 days CF Table(EUR)'!G23,BS_RE33!$F$7:$F$874,'30 days CF Table(EUR)'!$C$2)</f>
        <v>0</v>
      </c>
      <c r="BE23" s="379">
        <f>SUMIFS(BS_RE33!$H$7:$H$874,BS_RE33!$S$7:$S$874,$BE$2,BS_RE33!$N$7:$N$874,I23,BS_RE33!$P$7:$P$874,'30 days CF Table(EUR)'!G23,BS_RE33!$F$7:$F$874,'30 days CF Table(EUR)'!$C$2)</f>
        <v>0</v>
      </c>
      <c r="BF23" s="379">
        <f>SUMIFS(BS_RE33!$H$7:$H$874,BS_RE33!$S$7:$S$874,$BF$2,BS_RE33!$N$7:$N$874,I23,BS_RE33!$P$7:$P$874,'30 days CF Table(EUR)'!G23,BS_RE33!$F$7:$F$874,'30 days CF Table(EUR)'!$C$2)</f>
        <v>0</v>
      </c>
      <c r="BG23" s="379">
        <f>SUMIFS(BS_RE33!$H$7:$H$874,BS_RE33!$S$7:$S$874,$BG$2,BS_RE33!$N$7:$N$874,I23,BS_RE33!$P$7:$P$874,'30 days CF Table(EUR)'!G23,BS_RE33!$F$7:$F$874,'30 days CF Table(EUR)'!$C$2)</f>
        <v>0</v>
      </c>
      <c r="BH23" s="379">
        <f>SUMIFS(BS_RE33!$H$7:$H$874,BS_RE33!$S$7:$S$874,$BH$2,BS_RE33!$N$7:$N$874,I23,BS_RE33!$P$7:$P$874,'30 days CF Table(EUR)'!G23,BS_RE33!$F$7:$F$874,'30 days CF Table(EUR)'!$C$2)</f>
        <v>0</v>
      </c>
      <c r="BI23" s="379">
        <f>SUMIFS(BS_RE33!$H$7:$H$874,BS_RE33!$S$7:$S$874,$BI$2,BS_RE33!$N$7:$N$874,I23,BS_RE33!$P$7:$P$874,'30 days CF Table(EUR)'!G23,BS_RE33!$F$7:$F$874,'30 days CF Table(EUR)'!$C$2)</f>
        <v>0</v>
      </c>
      <c r="BJ23" s="379">
        <f>SUMIFS(BS_RE33!$H$7:$H$874,BS_RE33!$S$7:$S$874,$BJ$2,BS_RE33!$N$7:$N$874,I23,BS_RE33!$P$7:$P$874,'30 days CF Table(EUR)'!G23,BS_RE33!$F$7:$F$874,'30 days CF Table(EUR)'!$C$2)</f>
        <v>0</v>
      </c>
      <c r="BK23" s="379">
        <f>SUMIFS(BS_RE33!$H$7:$H$874,BS_RE33!$S$7:$S$874,$BK$2,BS_RE33!$N$7:$N$874,I23,BS_RE33!$P$7:$P$874,'30 days CF Table(EUR)'!G23,BS_RE33!$F$7:$F$874,'30 days CF Table(EUR)'!$C$2)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Table(EUR)'!G24,BS_RE33!$F$7:$F$874,'30 days CF Table(EUR)'!$C$2)</f>
        <v>0</v>
      </c>
      <c r="M24" s="337">
        <f>SUMIFS(BS_RE33!$H$7:$H$874,BS_RE33!$S$7:$S$874,$M$2,BS_RE33!$N$7:$N$874,I24,BS_RE33!$P$7:$P$874,'30 days CF Table(EUR)'!G24,BS_RE33!$F$7:$F$874,'30 days CF Table(EUR)'!$C$2)</f>
        <v>0</v>
      </c>
      <c r="N24" s="337">
        <f>SUMIFS(BS_RE33!$H$7:$H$874,BS_RE33!$S$7:$S$874,$N$2,BS_RE33!$N$7:$N$874,I24,BS_RE33!$P$7:$P$874,'30 days CF Table(EUR)'!G24,BS_RE33!$F$7:$F$874,'30 days CF Table(EUR)'!$C$2)</f>
        <v>0</v>
      </c>
      <c r="O24" s="337">
        <f>SUMIFS(BS_RE33!$H$7:$H$874,BS_RE33!$S$7:$S$874,$O$2,BS_RE33!$N$7:$N$874,I24,BS_RE33!$P$7:$P$874,'30 days CF Table(EUR)'!G24,BS_RE33!$F$7:$F$874,'30 days CF Table(EUR)'!$C$2)</f>
        <v>0</v>
      </c>
      <c r="P24" s="337">
        <f>SUMIFS(BS_RE33!$H$7:$H$874,BS_RE33!$S$7:$S$874,$P$2,BS_RE33!$N$7:$N$874,I24,BS_RE33!$P$7:$P$874,'30 days CF Table(EUR)'!G24,BS_RE33!$F$7:$F$874,'30 days CF Table(EUR)'!$C$2)</f>
        <v>0</v>
      </c>
      <c r="Q24" s="337">
        <f>SUMIFS(BS_RE33!$H$7:$H$874,BS_RE33!$S$7:$S$874,$Q$2,BS_RE33!$N$7:$N$874,I24,BS_RE33!$P$7:$P$874,'30 days CF Table(EUR)'!G24,BS_RE33!$F$7:$F$874,'30 days CF Table(EUR)'!$C$2)</f>
        <v>0</v>
      </c>
      <c r="R24" s="337">
        <f>SUMIFS(BS_RE33!$H$7:$H$874,BS_RE33!$S$7:$S$874,$R$2,BS_RE33!$N$7:$N$874,I24,BS_RE33!$P$7:$P$874,'30 days CF Table(EUR)'!G24,BS_RE33!$F$7:$F$874,'30 days CF Table(EUR)'!$C$2)</f>
        <v>0</v>
      </c>
      <c r="S24" s="337">
        <f>SUMIFS(BS_RE33!$H$7:$H$874,BS_RE33!$S$7:$S$874,$S$2,BS_RE33!$N$7:$N$874,I24,BS_RE33!$P$7:$P$874,'30 days CF Table(EUR)'!G24,BS_RE33!$F$7:$F$874,'30 days CF Table(EUR)'!$C$2)</f>
        <v>0</v>
      </c>
      <c r="T24" s="337">
        <f>SUMIFS(BS_RE33!$H$7:$H$874,BS_RE33!$S$7:$S$874,$T$2,BS_RE33!$N$7:$N$874,I24,BS_RE33!$P$7:$P$874,'30 days CF Table(EUR)'!G24,BS_RE33!$F$7:$F$874,'30 days CF Table(EUR)'!$C$2)</f>
        <v>0</v>
      </c>
      <c r="U24" s="337">
        <f>SUMIFS(BS_RE33!$H$7:$H$874,BS_RE33!$S$7:$S$874,$U$2,BS_RE33!$N$7:$N$874,I24,BS_RE33!$P$7:$P$874,'30 days CF Table(EUR)'!G24,BS_RE33!$F$7:$F$874,'30 days CF Table(EUR)'!$C$2)</f>
        <v>0</v>
      </c>
      <c r="V24" s="337">
        <f>SUMIFS(BS_RE33!$H$7:$H$874,BS_RE33!$S$7:$S$874,$V$2,BS_RE33!$N$7:$N$874,I24,BS_RE33!$P$7:$P$874,'30 days CF Table(EUR)'!G24,BS_RE33!$F$7:$F$874,'30 days CF Table(EUR)'!$C$2)</f>
        <v>0</v>
      </c>
      <c r="W24" s="337">
        <f>SUMIFS(BS_RE33!$H$7:$H$874,BS_RE33!$S$7:$S$874,$W$2,BS_RE33!$N$7:$N$874,I24,BS_RE33!$P$7:$P$874,'30 days CF Table(EUR)'!G24,BS_RE33!$F$7:$F$874,'30 days CF Table(EUR)'!$C$2)</f>
        <v>0</v>
      </c>
      <c r="X24" s="337">
        <f>SUMIFS(BS_RE33!$H$7:$H$874,BS_RE33!$S$7:$S$874,$X$2,BS_RE33!$N$7:$N$874,I24,BS_RE33!$P$7:$P$874,'30 days CF Table(EUR)'!G24,BS_RE33!$F$7:$F$874,'30 days CF Table(EUR)'!$C$2)</f>
        <v>0</v>
      </c>
      <c r="Y24" s="337">
        <f>SUMIFS(BS_RE33!$H$7:$H$874,BS_RE33!$S$7:$S$874,$Y$2,BS_RE33!$N$7:$N$874,I24,BS_RE33!$P$7:$P$874,'30 days CF Table(EUR)'!G24,BS_RE33!$F$7:$F$874,'30 days CF Table(EUR)'!$C$2)</f>
        <v>0</v>
      </c>
      <c r="Z24" s="337">
        <f>SUMIFS(BS_RE33!$H$7:$H$874,BS_RE33!$S$7:$S$874,$Z$2,BS_RE33!$N$7:$N$874,I24,BS_RE33!$P$7:$P$874,'30 days CF Table(EUR)'!G24,BS_RE33!$F$7:$F$874,'30 days CF Table(EUR)'!$C$2)</f>
        <v>0</v>
      </c>
      <c r="AA24" s="337">
        <f>SUMIFS(BS_RE33!$H$7:$H$874,BS_RE33!$S$7:$S$874,$AA$2,BS_RE33!$N$7:$N$874,I24,BS_RE33!$P$7:$P$874,'30 days CF Table(EUR)'!G24,BS_RE33!$F$7:$F$874,'30 days CF Table(EUR)'!$C$2)</f>
        <v>0</v>
      </c>
      <c r="AB24" s="337">
        <f>SUMIFS(BS_RE33!$H$7:$H$874,BS_RE33!$S$7:$S$874,$AB$2,BS_RE33!$N$7:$N$874,I24,BS_RE33!$P$7:$P$874,'30 days CF Table(EUR)'!G24,BS_RE33!$F$7:$F$874,'30 days CF Table(EUR)'!$C$2)</f>
        <v>0</v>
      </c>
      <c r="AC24" s="337">
        <f>SUMIFS(BS_RE33!$H$7:$H$874,BS_RE33!$S$7:$S$874,$AC$2,BS_RE33!$N$7:$N$874,I24,BS_RE33!$P$7:$P$874,'30 days CF Table(EUR)'!G24,BS_RE33!$F$7:$F$874,'30 days CF Table(EUR)'!$C$2)</f>
        <v>0</v>
      </c>
      <c r="AD24" s="337">
        <f>SUMIFS(BS_RE33!$H$7:$H$874,BS_RE33!$S$7:$S$874,$AD$2,BS_RE33!$N$7:$N$874,I24,BS_RE33!$P$7:$P$874,'30 days CF Table(EUR)'!G24,BS_RE33!$F$7:$F$874,'30 days CF Table(EUR)'!$C$2)</f>
        <v>0</v>
      </c>
      <c r="AE24" s="337">
        <f>SUMIFS(BS_RE33!$H$7:$H$874,BS_RE33!$S$7:$S$874,$AE$2,BS_RE33!$N$7:$N$874,I24,BS_RE33!$P$7:$P$874,'30 days CF Table(EUR)'!G24,BS_RE33!$F$7:$F$874,'30 days CF Table(EUR)'!$C$2)</f>
        <v>0</v>
      </c>
      <c r="AF24" s="337">
        <f>SUMIFS(BS_RE33!$H$7:$H$874,BS_RE33!$S$7:$S$874,$AF$2,BS_RE33!$N$7:$N$874,I24,BS_RE33!$P$7:$P$874,'30 days CF Table(EUR)'!G24,BS_RE33!$F$7:$F$874,'30 days CF Table(EUR)'!$C$2)</f>
        <v>0</v>
      </c>
      <c r="AG24" s="337">
        <f>SUMIFS(BS_RE33!$H$7:$H$874,BS_RE33!$S$7:$S$874,$AG$2,BS_RE33!$N$7:$N$874,I24,BS_RE33!$P$7:$P$874,'30 days CF Table(EUR)'!G24,BS_RE33!$F$7:$F$874,'30 days CF Table(EUR)'!$C$2)</f>
        <v>0</v>
      </c>
      <c r="AH24" s="337">
        <f>SUMIFS(BS_RE33!$H$7:$H$874,BS_RE33!$S$7:$S$874,$AH$2,BS_RE33!$N$7:$N$874,I24,BS_RE33!$P$7:$P$874,'30 days CF Table(EUR)'!G24,BS_RE33!$F$7:$F$874,'30 days CF Table(EUR)'!$C$2)</f>
        <v>0</v>
      </c>
      <c r="AI24" s="337">
        <f>SUMIFS(BS_RE33!$H$7:$H$874,BS_RE33!$S$7:$S$874,$AI$2,BS_RE33!$N$7:$N$874,I24,BS_RE33!$P$7:$P$874,'30 days CF Table(EUR)'!G24,BS_RE33!$F$7:$F$874,'30 days CF Table(EUR)'!$C$2)</f>
        <v>0</v>
      </c>
      <c r="AJ24" s="337">
        <f>SUMIFS(BS_RE33!$H$7:$H$874,BS_RE33!$S$7:$S$874,$AJ$2,BS_RE33!$N$7:$N$874,I24,BS_RE33!$P$7:$P$874,'30 days CF Table(EUR)'!G24,BS_RE33!$F$7:$F$874,'30 days CF Table(EUR)'!$C$2)</f>
        <v>0</v>
      </c>
      <c r="AK24" s="337">
        <f>SUMIFS(BS_RE33!$H$7:$H$874,BS_RE33!$S$7:$S$874,$AK$2,BS_RE33!$N$7:$N$874,I24,BS_RE33!$P$7:$P$874,'30 days CF Table(EUR)'!G24,BS_RE33!$F$7:$F$874,'30 days CF Table(EUR)'!$C$2)</f>
        <v>0</v>
      </c>
      <c r="AL24" s="337">
        <f>SUMIFS(BS_RE33!$H$7:$H$874,BS_RE33!$S$7:$S$874,$AL$2,BS_RE33!$N$7:$N$874,I24,BS_RE33!$P$7:$P$874,'30 days CF Table(EUR)'!G24,BS_RE33!$F$7:$F$874,'30 days CF Table(EUR)'!$C$2)</f>
        <v>0</v>
      </c>
      <c r="AM24" s="337">
        <f>SUMIFS(BS_RE33!$H$7:$H$874,BS_RE33!$S$7:$S$874,$AM$2,BS_RE33!$N$7:$N$874,I24,BS_RE33!$P$7:$P$874,'30 days CF Table(EUR)'!G24,BS_RE33!$F$7:$F$874,'30 days CF Table(EUR)'!$C$2)</f>
        <v>0</v>
      </c>
      <c r="AN24" s="337">
        <f>SUMIFS(BS_RE33!$H$7:$H$874,BS_RE33!$S$7:$S$874,$AN$2,BS_RE33!$N$7:$N$874,I24,BS_RE33!$P$7:$P$874,'30 days CF Table(EUR)'!G24,BS_RE33!$F$7:$F$874,'30 days CF Table(EUR)'!$C$2)</f>
        <v>0</v>
      </c>
      <c r="AO24" s="337">
        <f>SUMIFS(BS_RE33!$H$7:$H$874,BS_RE33!$S$7:$S$874,$AO$2,BS_RE33!$N$7:$N$874,I24,BS_RE33!$P$7:$P$874,'30 days CF Table(EUR)'!G24,BS_RE33!$F$7:$F$874,'30 days CF Table(EUR)'!$C$2)</f>
        <v>0</v>
      </c>
      <c r="AP24" s="338">
        <f>SUMIFS(BS_RE33!$H$7:$H$874,BS_RE33!$S$7:$S$874,$AP$2,BS_RE33!$N$7:$N$874,I24,BS_RE33!$P$7:$P$874,'30 days CF Table(EUR)'!G24,BS_RE33!$F$7:$F$874,'30 days CF Table(EUR)'!$C$2)</f>
        <v>0</v>
      </c>
      <c r="AQ24" s="545"/>
      <c r="AR24" s="379">
        <f>SUMIFS(BS_RE33!$H$7:$H$874,BS_RE33!$S$7:$S$874,$AR$2,BS_RE33!$N$7:$N$874,I24,BS_RE33!$P$7:$P$874,'30 days CF Table(EUR)'!G24,BS_RE33!$F$7:$F$874,'30 days CF Table(EUR)'!$C$2)</f>
        <v>0</v>
      </c>
      <c r="AS24" s="379">
        <f>SUMIFS(BS_RE33!$H$7:$H$874,BS_RE33!$S$7:$S$874,$AS$2,BS_RE33!$N$7:$N$874,I24,BS_RE33!$P$7:$P$874,'30 days CF Table(EUR)'!G24,BS_RE33!$F$7:$F$874,'30 days CF Table(EUR)'!$C$2)</f>
        <v>0</v>
      </c>
      <c r="AT24" s="379">
        <f>SUMIFS(BS_RE33!$H$7:$H$874,BS_RE33!$S$7:$S$874,$AT$2,BS_RE33!$N$7:$N$874,I24,BS_RE33!$P$7:$P$874,'30 days CF Table(EUR)'!G24,BS_RE33!$F$7:$F$874,'30 days CF Table(EUR)'!$C$2)</f>
        <v>0</v>
      </c>
      <c r="AU24" s="379">
        <f>SUMIFS(BS_RE33!$H$7:$H$874,BS_RE33!$S$7:$S$874,$AU$2,BS_RE33!$N$7:$N$874,I24,BS_RE33!$P$7:$P$874,'30 days CF Table(EUR)'!G24,BS_RE33!$F$7:$F$874,'30 days CF Table(EUR)'!$C$2)</f>
        <v>0</v>
      </c>
      <c r="AV24" s="379">
        <f>SUMIFS(BS_RE33!$H$7:$H$874,BS_RE33!$S$7:$S$874,$AV$2,BS_RE33!$N$7:$N$874,I24,BS_RE33!$P$7:$P$874,'30 days CF Table(EUR)'!G24,BS_RE33!$F$7:$F$874,'30 days CF Table(EUR)'!$C$2)</f>
        <v>0</v>
      </c>
      <c r="AW24" s="379">
        <f>SUMIFS(BS_RE33!$H$7:$H$874,BS_RE33!$S$7:$S$874,$AW$2,BS_RE33!$N$7:$N$874,I24,BS_RE33!$P$7:$P$874,'30 days CF Table(EUR)'!G24,BS_RE33!$F$7:$F$874,'30 days CF Table(EUR)'!$C$2)</f>
        <v>0</v>
      </c>
      <c r="AX24" s="379">
        <f>SUMIFS(BS_RE33!$H$7:$H$874,BS_RE33!$S$7:$S$874,$AX$2,BS_RE33!$N$7:$N$874,I24,BS_RE33!$P$7:$P$874,'30 days CF Table(EUR)'!G24,BS_RE33!$F$7:$F$874,'30 days CF Table(EUR)'!$C$2)</f>
        <v>0</v>
      </c>
      <c r="AY24" s="379">
        <f>SUMIFS(BS_RE33!$H$7:$H$874,BS_RE33!$S$7:$S$874,$AY$2,BS_RE33!$N$7:$N$874,I24,BS_RE33!$P$7:$P$874,'30 days CF Table(EUR)'!G24,BS_RE33!$F$7:$F$874,'30 days CF Table(EUR)'!$C$2)</f>
        <v>0</v>
      </c>
      <c r="AZ24" s="379">
        <f>SUMIFS(BS_RE33!$H$7:$H$874,BS_RE33!$S$7:$S$874,$AZ$2,BS_RE33!$N$7:$N$874,I24,BS_RE33!$P$7:$P$874,'30 days CF Table(EUR)'!G24,BS_RE33!$F$7:$F$874,'30 days CF Table(EUR)'!$C$2)</f>
        <v>0</v>
      </c>
      <c r="BA24" s="379">
        <f>SUMIFS(BS_RE33!$H$7:$H$874,BS_RE33!$S$7:$S$874,$BA$2,BS_RE33!$N$7:$N$874,I24,BS_RE33!$P$7:$P$874,'30 days CF Table(EUR)'!G24,BS_RE33!$F$7:$F$874,'30 days CF Table(EUR)'!$C$2)</f>
        <v>0</v>
      </c>
      <c r="BB24" s="379">
        <f>SUMIFS(BS_RE33!$H$7:$H$874,BS_RE33!$S$7:$S$874,$BB$2,BS_RE33!$N$7:$N$874,I24,BS_RE33!$P$7:$P$874,'30 days CF Table(EUR)'!G24,BS_RE33!$F$7:$F$874,'30 days CF Table(EUR)'!$C$2)</f>
        <v>0</v>
      </c>
      <c r="BC24" s="379">
        <f>SUMIFS(BS_RE33!$H$7:$H$874,BS_RE33!$S$7:$S$874,$BC$2,BS_RE33!$N$7:$N$874,I24,BS_RE33!$P$7:$P$874,'30 days CF Table(EUR)'!G24,BS_RE33!$F$7:$F$874,'30 days CF Table(EUR)'!$C$2)</f>
        <v>0</v>
      </c>
      <c r="BD24" s="379">
        <f>SUMIFS(BS_RE33!$H$7:$H$874,BS_RE33!$S$7:$S$874,$BD$2,BS_RE33!$N$7:$N$874,I24,BS_RE33!$P$7:$P$874,'30 days CF Table(EUR)'!G24,BS_RE33!$F$7:$F$874,'30 days CF Table(EUR)'!$C$2)</f>
        <v>0</v>
      </c>
      <c r="BE24" s="379">
        <f>SUMIFS(BS_RE33!$H$7:$H$874,BS_RE33!$S$7:$S$874,$BE$2,BS_RE33!$N$7:$N$874,I24,BS_RE33!$P$7:$P$874,'30 days CF Table(EUR)'!G24,BS_RE33!$F$7:$F$874,'30 days CF Table(EUR)'!$C$2)</f>
        <v>0</v>
      </c>
      <c r="BF24" s="379">
        <f>SUMIFS(BS_RE33!$H$7:$H$874,BS_RE33!$S$7:$S$874,$BF$2,BS_RE33!$N$7:$N$874,I24,BS_RE33!$P$7:$P$874,'30 days CF Table(EUR)'!G24,BS_RE33!$F$7:$F$874,'30 days CF Table(EUR)'!$C$2)</f>
        <v>0</v>
      </c>
      <c r="BG24" s="379">
        <f>SUMIFS(BS_RE33!$H$7:$H$874,BS_RE33!$S$7:$S$874,$BG$2,BS_RE33!$N$7:$N$874,I24,BS_RE33!$P$7:$P$874,'30 days CF Table(EUR)'!G24,BS_RE33!$F$7:$F$874,'30 days CF Table(EUR)'!$C$2)</f>
        <v>0</v>
      </c>
      <c r="BH24" s="379">
        <f>SUMIFS(BS_RE33!$H$7:$H$874,BS_RE33!$S$7:$S$874,$BH$2,BS_RE33!$N$7:$N$874,I24,BS_RE33!$P$7:$P$874,'30 days CF Table(EUR)'!G24,BS_RE33!$F$7:$F$874,'30 days CF Table(EUR)'!$C$2)</f>
        <v>0</v>
      </c>
      <c r="BI24" s="379">
        <f>SUMIFS(BS_RE33!$H$7:$H$874,BS_RE33!$S$7:$S$874,$BI$2,BS_RE33!$N$7:$N$874,I24,BS_RE33!$P$7:$P$874,'30 days CF Table(EUR)'!G24,BS_RE33!$F$7:$F$874,'30 days CF Table(EUR)'!$C$2)</f>
        <v>0</v>
      </c>
      <c r="BJ24" s="379">
        <f>SUMIFS(BS_RE33!$H$7:$H$874,BS_RE33!$S$7:$S$874,$BJ$2,BS_RE33!$N$7:$N$874,I24,BS_RE33!$P$7:$P$874,'30 days CF Table(EUR)'!G24,BS_RE33!$F$7:$F$874,'30 days CF Table(EUR)'!$C$2)</f>
        <v>0</v>
      </c>
      <c r="BK24" s="379">
        <f>SUMIFS(BS_RE33!$H$7:$H$874,BS_RE33!$S$7:$S$874,$BK$2,BS_RE33!$N$7:$N$874,I24,BS_RE33!$P$7:$P$874,'30 days CF Table(EUR)'!G24,BS_RE33!$F$7:$F$874,'30 days CF Table(EUR)'!$C$2)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Table(EUR)'!G25,BS_RE33!$F$7:$F$874,'30 days CF Table(EUR)'!$C$2)</f>
        <v>0</v>
      </c>
      <c r="M25" s="337">
        <f>SUMIFS(BS_RE33!$H$7:$H$874,BS_RE33!$S$7:$S$874,$M$2,BS_RE33!$N$7:$N$874,I25,BS_RE33!$P$7:$P$874,'30 days CF Table(EUR)'!G25,BS_RE33!$F$7:$F$874,'30 days CF Table(EUR)'!$C$2)</f>
        <v>0</v>
      </c>
      <c r="N25" s="337">
        <f>SUMIFS(BS_RE33!$H$7:$H$874,BS_RE33!$S$7:$S$874,$N$2,BS_RE33!$N$7:$N$874,I25,BS_RE33!$P$7:$P$874,'30 days CF Table(EUR)'!G25,BS_RE33!$F$7:$F$874,'30 days CF Table(EUR)'!$C$2)</f>
        <v>0</v>
      </c>
      <c r="O25" s="337">
        <f>SUMIFS(BS_RE33!$H$7:$H$874,BS_RE33!$S$7:$S$874,$O$2,BS_RE33!$N$7:$N$874,I25,BS_RE33!$P$7:$P$874,'30 days CF Table(EUR)'!G25,BS_RE33!$F$7:$F$874,'30 days CF Table(EUR)'!$C$2)</f>
        <v>0</v>
      </c>
      <c r="P25" s="337">
        <f>SUMIFS(BS_RE33!$H$7:$H$874,BS_RE33!$S$7:$S$874,$P$2,BS_RE33!$N$7:$N$874,I25,BS_RE33!$P$7:$P$874,'30 days CF Table(EUR)'!G25,BS_RE33!$F$7:$F$874,'30 days CF Table(EUR)'!$C$2)</f>
        <v>0</v>
      </c>
      <c r="Q25" s="337">
        <f>SUMIFS(BS_RE33!$H$7:$H$874,BS_RE33!$S$7:$S$874,$Q$2,BS_RE33!$N$7:$N$874,I25,BS_RE33!$P$7:$P$874,'30 days CF Table(EUR)'!G25,BS_RE33!$F$7:$F$874,'30 days CF Table(EUR)'!$C$2)</f>
        <v>0</v>
      </c>
      <c r="R25" s="337">
        <f>SUMIFS(BS_RE33!$H$7:$H$874,BS_RE33!$S$7:$S$874,$R$2,BS_RE33!$N$7:$N$874,I25,BS_RE33!$P$7:$P$874,'30 days CF Table(EUR)'!G25,BS_RE33!$F$7:$F$874,'30 days CF Table(EUR)'!$C$2)</f>
        <v>0</v>
      </c>
      <c r="S25" s="337">
        <f>SUMIFS(BS_RE33!$H$7:$H$874,BS_RE33!$S$7:$S$874,$S$2,BS_RE33!$N$7:$N$874,I25,BS_RE33!$P$7:$P$874,'30 days CF Table(EUR)'!G25,BS_RE33!$F$7:$F$874,'30 days CF Table(EUR)'!$C$2)</f>
        <v>0</v>
      </c>
      <c r="T25" s="337">
        <f>SUMIFS(BS_RE33!$H$7:$H$874,BS_RE33!$S$7:$S$874,$T$2,BS_RE33!$N$7:$N$874,I25,BS_RE33!$P$7:$P$874,'30 days CF Table(EUR)'!G25,BS_RE33!$F$7:$F$874,'30 days CF Table(EUR)'!$C$2)</f>
        <v>0</v>
      </c>
      <c r="U25" s="337">
        <f>SUMIFS(BS_RE33!$H$7:$H$874,BS_RE33!$S$7:$S$874,$U$2,BS_RE33!$N$7:$N$874,I25,BS_RE33!$P$7:$P$874,'30 days CF Table(EUR)'!G25,BS_RE33!$F$7:$F$874,'30 days CF Table(EUR)'!$C$2)</f>
        <v>0</v>
      </c>
      <c r="V25" s="337">
        <f>SUMIFS(BS_RE33!$H$7:$H$874,BS_RE33!$S$7:$S$874,$V$2,BS_RE33!$N$7:$N$874,I25,BS_RE33!$P$7:$P$874,'30 days CF Table(EUR)'!G25,BS_RE33!$F$7:$F$874,'30 days CF Table(EUR)'!$C$2)</f>
        <v>0</v>
      </c>
      <c r="W25" s="337">
        <f>SUMIFS(BS_RE33!$H$7:$H$874,BS_RE33!$S$7:$S$874,$W$2,BS_RE33!$N$7:$N$874,I25,BS_RE33!$P$7:$P$874,'30 days CF Table(EUR)'!G25,BS_RE33!$F$7:$F$874,'30 days CF Table(EUR)'!$C$2)</f>
        <v>0</v>
      </c>
      <c r="X25" s="337">
        <f>SUMIFS(BS_RE33!$H$7:$H$874,BS_RE33!$S$7:$S$874,$X$2,BS_RE33!$N$7:$N$874,I25,BS_RE33!$P$7:$P$874,'30 days CF Table(EUR)'!G25,BS_RE33!$F$7:$F$874,'30 days CF Table(EUR)'!$C$2)</f>
        <v>0</v>
      </c>
      <c r="Y25" s="337">
        <f>SUMIFS(BS_RE33!$H$7:$H$874,BS_RE33!$S$7:$S$874,$Y$2,BS_RE33!$N$7:$N$874,I25,BS_RE33!$P$7:$P$874,'30 days CF Table(EUR)'!G25,BS_RE33!$F$7:$F$874,'30 days CF Table(EUR)'!$C$2)</f>
        <v>0</v>
      </c>
      <c r="Z25" s="337">
        <f>SUMIFS(BS_RE33!$H$7:$H$874,BS_RE33!$S$7:$S$874,$Z$2,BS_RE33!$N$7:$N$874,I25,BS_RE33!$P$7:$P$874,'30 days CF Table(EUR)'!G25,BS_RE33!$F$7:$F$874,'30 days CF Table(EUR)'!$C$2)</f>
        <v>0</v>
      </c>
      <c r="AA25" s="337">
        <f>SUMIFS(BS_RE33!$H$7:$H$874,BS_RE33!$S$7:$S$874,$AA$2,BS_RE33!$N$7:$N$874,I25,BS_RE33!$P$7:$P$874,'30 days CF Table(EUR)'!G25,BS_RE33!$F$7:$F$874,'30 days CF Table(EUR)'!$C$2)</f>
        <v>0</v>
      </c>
      <c r="AB25" s="337">
        <f>SUMIFS(BS_RE33!$H$7:$H$874,BS_RE33!$S$7:$S$874,$AB$2,BS_RE33!$N$7:$N$874,I25,BS_RE33!$P$7:$P$874,'30 days CF Table(EUR)'!G25,BS_RE33!$F$7:$F$874,'30 days CF Table(EUR)'!$C$2)</f>
        <v>0</v>
      </c>
      <c r="AC25" s="337">
        <f>SUMIFS(BS_RE33!$H$7:$H$874,BS_RE33!$S$7:$S$874,$AC$2,BS_RE33!$N$7:$N$874,I25,BS_RE33!$P$7:$P$874,'30 days CF Table(EUR)'!G25,BS_RE33!$F$7:$F$874,'30 days CF Table(EUR)'!$C$2)</f>
        <v>0</v>
      </c>
      <c r="AD25" s="337">
        <f>SUMIFS(BS_RE33!$H$7:$H$874,BS_RE33!$S$7:$S$874,$AD$2,BS_RE33!$N$7:$N$874,I25,BS_RE33!$P$7:$P$874,'30 days CF Table(EUR)'!G25,BS_RE33!$F$7:$F$874,'30 days CF Table(EUR)'!$C$2)</f>
        <v>0</v>
      </c>
      <c r="AE25" s="337">
        <f>SUMIFS(BS_RE33!$H$7:$H$874,BS_RE33!$S$7:$S$874,$AE$2,BS_RE33!$N$7:$N$874,I25,BS_RE33!$P$7:$P$874,'30 days CF Table(EUR)'!G25,BS_RE33!$F$7:$F$874,'30 days CF Table(EUR)'!$C$2)</f>
        <v>0</v>
      </c>
      <c r="AF25" s="337">
        <f>SUMIFS(BS_RE33!$H$7:$H$874,BS_RE33!$S$7:$S$874,$AF$2,BS_RE33!$N$7:$N$874,I25,BS_RE33!$P$7:$P$874,'30 days CF Table(EUR)'!G25,BS_RE33!$F$7:$F$874,'30 days CF Table(EUR)'!$C$2)</f>
        <v>0</v>
      </c>
      <c r="AG25" s="337">
        <f>SUMIFS(BS_RE33!$H$7:$H$874,BS_RE33!$S$7:$S$874,$AG$2,BS_RE33!$N$7:$N$874,I25,BS_RE33!$P$7:$P$874,'30 days CF Table(EUR)'!G25,BS_RE33!$F$7:$F$874,'30 days CF Table(EUR)'!$C$2)</f>
        <v>0</v>
      </c>
      <c r="AH25" s="337">
        <f>SUMIFS(BS_RE33!$H$7:$H$874,BS_RE33!$S$7:$S$874,$AH$2,BS_RE33!$N$7:$N$874,I25,BS_RE33!$P$7:$P$874,'30 days CF Table(EUR)'!G25,BS_RE33!$F$7:$F$874,'30 days CF Table(EUR)'!$C$2)</f>
        <v>0</v>
      </c>
      <c r="AI25" s="337">
        <f>SUMIFS(BS_RE33!$H$7:$H$874,BS_RE33!$S$7:$S$874,$AI$2,BS_RE33!$N$7:$N$874,I25,BS_RE33!$P$7:$P$874,'30 days CF Table(EUR)'!G25,BS_RE33!$F$7:$F$874,'30 days CF Table(EUR)'!$C$2)</f>
        <v>0</v>
      </c>
      <c r="AJ25" s="337">
        <f>SUMIFS(BS_RE33!$H$7:$H$874,BS_RE33!$S$7:$S$874,$AJ$2,BS_RE33!$N$7:$N$874,I25,BS_RE33!$P$7:$P$874,'30 days CF Table(EUR)'!G25,BS_RE33!$F$7:$F$874,'30 days CF Table(EUR)'!$C$2)</f>
        <v>0</v>
      </c>
      <c r="AK25" s="337">
        <f>SUMIFS(BS_RE33!$H$7:$H$874,BS_RE33!$S$7:$S$874,$AK$2,BS_RE33!$N$7:$N$874,I25,BS_RE33!$P$7:$P$874,'30 days CF Table(EUR)'!G25,BS_RE33!$F$7:$F$874,'30 days CF Table(EUR)'!$C$2)</f>
        <v>0</v>
      </c>
      <c r="AL25" s="337">
        <f>SUMIFS(BS_RE33!$H$7:$H$874,BS_RE33!$S$7:$S$874,$AL$2,BS_RE33!$N$7:$N$874,I25,BS_RE33!$P$7:$P$874,'30 days CF Table(EUR)'!G25,BS_RE33!$F$7:$F$874,'30 days CF Table(EUR)'!$C$2)</f>
        <v>0</v>
      </c>
      <c r="AM25" s="337">
        <f>SUMIFS(BS_RE33!$H$7:$H$874,BS_RE33!$S$7:$S$874,$AM$2,BS_RE33!$N$7:$N$874,I25,BS_RE33!$P$7:$P$874,'30 days CF Table(EUR)'!G25,BS_RE33!$F$7:$F$874,'30 days CF Table(EUR)'!$C$2)</f>
        <v>0</v>
      </c>
      <c r="AN25" s="337">
        <f>SUMIFS(BS_RE33!$H$7:$H$874,BS_RE33!$S$7:$S$874,$AN$2,BS_RE33!$N$7:$N$874,I25,BS_RE33!$P$7:$P$874,'30 days CF Table(EUR)'!G25,BS_RE33!$F$7:$F$874,'30 days CF Table(EUR)'!$C$2)</f>
        <v>0</v>
      </c>
      <c r="AO25" s="337">
        <f>SUMIFS(BS_RE33!$H$7:$H$874,BS_RE33!$S$7:$S$874,$AO$2,BS_RE33!$N$7:$N$874,I25,BS_RE33!$P$7:$P$874,'30 days CF Table(EUR)'!G25,BS_RE33!$F$7:$F$874,'30 days CF Table(EUR)'!$C$2)</f>
        <v>0</v>
      </c>
      <c r="AP25" s="338">
        <f>SUMIFS(BS_RE33!$H$7:$H$874,BS_RE33!$S$7:$S$874,$AP$2,BS_RE33!$N$7:$N$874,I25,BS_RE33!$P$7:$P$874,'30 days CF Table(EUR)'!G25,BS_RE33!$F$7:$F$874,'30 days CF Table(EUR)'!$C$2)</f>
        <v>0</v>
      </c>
      <c r="AR25" s="379">
        <f>SUMIFS(BS_RE33!$H$7:$H$874,BS_RE33!$S$7:$S$874,$AR$2,BS_RE33!$N$7:$N$874,I25,BS_RE33!$P$7:$P$874,'30 days CF Table(EUR)'!G25,BS_RE33!$F$7:$F$874,'30 days CF Table(EUR)'!$C$2)</f>
        <v>0</v>
      </c>
      <c r="AS25" s="379">
        <f>SUMIFS(BS_RE33!$H$7:$H$874,BS_RE33!$S$7:$S$874,$AS$2,BS_RE33!$N$7:$N$874,I25,BS_RE33!$P$7:$P$874,'30 days CF Table(EUR)'!G25,BS_RE33!$F$7:$F$874,'30 days CF Table(EUR)'!$C$2)</f>
        <v>0</v>
      </c>
      <c r="AT25" s="379">
        <f>SUMIFS(BS_RE33!$H$7:$H$874,BS_RE33!$S$7:$S$874,$AT$2,BS_RE33!$N$7:$N$874,I25,BS_RE33!$P$7:$P$874,'30 days CF Table(EUR)'!G25,BS_RE33!$F$7:$F$874,'30 days CF Table(EUR)'!$C$2)</f>
        <v>0</v>
      </c>
      <c r="AU25" s="379">
        <f>SUMIFS(BS_RE33!$H$7:$H$874,BS_RE33!$S$7:$S$874,$AU$2,BS_RE33!$N$7:$N$874,I25,BS_RE33!$P$7:$P$874,'30 days CF Table(EUR)'!G25,BS_RE33!$F$7:$F$874,'30 days CF Table(EUR)'!$C$2)</f>
        <v>0</v>
      </c>
      <c r="AV25" s="379">
        <f>SUMIFS(BS_RE33!$H$7:$H$874,BS_RE33!$S$7:$S$874,$AV$2,BS_RE33!$N$7:$N$874,I25,BS_RE33!$P$7:$P$874,'30 days CF Table(EUR)'!G25,BS_RE33!$F$7:$F$874,'30 days CF Table(EUR)'!$C$2)</f>
        <v>0</v>
      </c>
      <c r="AW25" s="379">
        <f>SUMIFS(BS_RE33!$H$7:$H$874,BS_RE33!$S$7:$S$874,$AW$2,BS_RE33!$N$7:$N$874,I25,BS_RE33!$P$7:$P$874,'30 days CF Table(EUR)'!G25,BS_RE33!$F$7:$F$874,'30 days CF Table(EUR)'!$C$2)</f>
        <v>0</v>
      </c>
      <c r="AX25" s="379">
        <f>SUMIFS(BS_RE33!$H$7:$H$874,BS_RE33!$S$7:$S$874,$AX$2,BS_RE33!$N$7:$N$874,I25,BS_RE33!$P$7:$P$874,'30 days CF Table(EUR)'!G25,BS_RE33!$F$7:$F$874,'30 days CF Table(EUR)'!$C$2)</f>
        <v>0</v>
      </c>
      <c r="AY25" s="379">
        <f>SUMIFS(BS_RE33!$H$7:$H$874,BS_RE33!$S$7:$S$874,$AY$2,BS_RE33!$N$7:$N$874,I25,BS_RE33!$P$7:$P$874,'30 days CF Table(EUR)'!G25,BS_RE33!$F$7:$F$874,'30 days CF Table(EUR)'!$C$2)</f>
        <v>0</v>
      </c>
      <c r="AZ25" s="379">
        <f>SUMIFS(BS_RE33!$H$7:$H$874,BS_RE33!$S$7:$S$874,$AZ$2,BS_RE33!$N$7:$N$874,I25,BS_RE33!$P$7:$P$874,'30 days CF Table(EUR)'!G25,BS_RE33!$F$7:$F$874,'30 days CF Table(EUR)'!$C$2)</f>
        <v>0</v>
      </c>
      <c r="BA25" s="379">
        <f>SUMIFS(BS_RE33!$H$7:$H$874,BS_RE33!$S$7:$S$874,$BA$2,BS_RE33!$N$7:$N$874,I25,BS_RE33!$P$7:$P$874,'30 days CF Table(EUR)'!G25,BS_RE33!$F$7:$F$874,'30 days CF Table(EUR)'!$C$2)</f>
        <v>0</v>
      </c>
      <c r="BB25" s="379">
        <f>SUMIFS(BS_RE33!$H$7:$H$874,BS_RE33!$S$7:$S$874,$BB$2,BS_RE33!$N$7:$N$874,I25,BS_RE33!$P$7:$P$874,'30 days CF Table(EUR)'!G25,BS_RE33!$F$7:$F$874,'30 days CF Table(EUR)'!$C$2)</f>
        <v>0</v>
      </c>
      <c r="BC25" s="379">
        <f>SUMIFS(BS_RE33!$H$7:$H$874,BS_RE33!$S$7:$S$874,$BC$2,BS_RE33!$N$7:$N$874,I25,BS_RE33!$P$7:$P$874,'30 days CF Table(EUR)'!G25,BS_RE33!$F$7:$F$874,'30 days CF Table(EUR)'!$C$2)</f>
        <v>0</v>
      </c>
      <c r="BD25" s="379">
        <f>SUMIFS(BS_RE33!$H$7:$H$874,BS_RE33!$S$7:$S$874,$BD$2,BS_RE33!$N$7:$N$874,I25,BS_RE33!$P$7:$P$874,'30 days CF Table(EUR)'!G25,BS_RE33!$F$7:$F$874,'30 days CF Table(EUR)'!$C$2)</f>
        <v>0</v>
      </c>
      <c r="BE25" s="379">
        <f>SUMIFS(BS_RE33!$H$7:$H$874,BS_RE33!$S$7:$S$874,$BE$2,BS_RE33!$N$7:$N$874,I25,BS_RE33!$P$7:$P$874,'30 days CF Table(EUR)'!G25,BS_RE33!$F$7:$F$874,'30 days CF Table(EUR)'!$C$2)</f>
        <v>0</v>
      </c>
      <c r="BF25" s="379">
        <f>SUMIFS(BS_RE33!$H$7:$H$874,BS_RE33!$S$7:$S$874,$BF$2,BS_RE33!$N$7:$N$874,I25,BS_RE33!$P$7:$P$874,'30 days CF Table(EUR)'!G25,BS_RE33!$F$7:$F$874,'30 days CF Table(EUR)'!$C$2)</f>
        <v>0</v>
      </c>
      <c r="BG25" s="379">
        <f>SUMIFS(BS_RE33!$H$7:$H$874,BS_RE33!$S$7:$S$874,$BG$2,BS_RE33!$N$7:$N$874,I25,BS_RE33!$P$7:$P$874,'30 days CF Table(EUR)'!G25,BS_RE33!$F$7:$F$874,'30 days CF Table(EUR)'!$C$2)</f>
        <v>0</v>
      </c>
      <c r="BH25" s="379">
        <f>SUMIFS(BS_RE33!$H$7:$H$874,BS_RE33!$S$7:$S$874,$BH$2,BS_RE33!$N$7:$N$874,I25,BS_RE33!$P$7:$P$874,'30 days CF Table(EUR)'!G25,BS_RE33!$F$7:$F$874,'30 days CF Table(EUR)'!$C$2)</f>
        <v>0</v>
      </c>
      <c r="BI25" s="379">
        <f>SUMIFS(BS_RE33!$H$7:$H$874,BS_RE33!$S$7:$S$874,$BI$2,BS_RE33!$N$7:$N$874,I25,BS_RE33!$P$7:$P$874,'30 days CF Table(EUR)'!G25,BS_RE33!$F$7:$F$874,'30 days CF Table(EUR)'!$C$2)</f>
        <v>0</v>
      </c>
      <c r="BJ25" s="379">
        <f>SUMIFS(BS_RE33!$H$7:$H$874,BS_RE33!$S$7:$S$874,$BJ$2,BS_RE33!$N$7:$N$874,I25,BS_RE33!$P$7:$P$874,'30 days CF Table(EUR)'!G25,BS_RE33!$F$7:$F$874,'30 days CF Table(EUR)'!$C$2)</f>
        <v>0</v>
      </c>
      <c r="BK25" s="379">
        <f>SUMIFS(BS_RE33!$H$7:$H$874,BS_RE33!$S$7:$S$874,$BK$2,BS_RE33!$N$7:$N$874,I25,BS_RE33!$P$7:$P$874,'30 days CF Table(EUR)'!G25,BS_RE33!$F$7:$F$874,'30 days CF Table(EUR)'!$C$2)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Table(EUR)'!G26,BS_RE33!$F$7:$F$874,'30 days CF Table(EUR)'!$C$2)</f>
        <v>0</v>
      </c>
      <c r="M26" s="337">
        <f>SUMIFS(BS_RE33!$H$7:$H$874,BS_RE33!$S$7:$S$874,$M$2,BS_RE33!$N$7:$N$874,I26,BS_RE33!$P$7:$P$874,'30 days CF Table(EUR)'!G26,BS_RE33!$F$7:$F$874,'30 days CF Table(EUR)'!$C$2)</f>
        <v>0</v>
      </c>
      <c r="N26" s="337">
        <f>SUMIFS(BS_RE33!$H$7:$H$874,BS_RE33!$S$7:$S$874,$N$2,BS_RE33!$N$7:$N$874,I26,BS_RE33!$P$7:$P$874,'30 days CF Table(EUR)'!G26,BS_RE33!$F$7:$F$874,'30 days CF Table(EUR)'!$C$2)</f>
        <v>0</v>
      </c>
      <c r="O26" s="337">
        <f>SUMIFS(BS_RE33!$H$7:$H$874,BS_RE33!$S$7:$S$874,$O$2,BS_RE33!$N$7:$N$874,I26,BS_RE33!$P$7:$P$874,'30 days CF Table(EUR)'!G26,BS_RE33!$F$7:$F$874,'30 days CF Table(EUR)'!$C$2)</f>
        <v>0</v>
      </c>
      <c r="P26" s="337">
        <f>SUMIFS(BS_RE33!$H$7:$H$874,BS_RE33!$S$7:$S$874,$P$2,BS_RE33!$N$7:$N$874,I26,BS_RE33!$P$7:$P$874,'30 days CF Table(EUR)'!G26,BS_RE33!$F$7:$F$874,'30 days CF Table(EUR)'!$C$2)</f>
        <v>0</v>
      </c>
      <c r="Q26" s="337">
        <f>SUMIFS(BS_RE33!$H$7:$H$874,BS_RE33!$S$7:$S$874,$Q$2,BS_RE33!$N$7:$N$874,I26,BS_RE33!$P$7:$P$874,'30 days CF Table(EUR)'!G26,BS_RE33!$F$7:$F$874,'30 days CF Table(EUR)'!$C$2)</f>
        <v>0</v>
      </c>
      <c r="R26" s="337">
        <f>SUMIFS(BS_RE33!$H$7:$H$874,BS_RE33!$S$7:$S$874,$R$2,BS_RE33!$N$7:$N$874,I26,BS_RE33!$P$7:$P$874,'30 days CF Table(EUR)'!G26,BS_RE33!$F$7:$F$874,'30 days CF Table(EUR)'!$C$2)</f>
        <v>0</v>
      </c>
      <c r="S26" s="337">
        <f>SUMIFS(BS_RE33!$H$7:$H$874,BS_RE33!$S$7:$S$874,$S$2,BS_RE33!$N$7:$N$874,I26,BS_RE33!$P$7:$P$874,'30 days CF Table(EUR)'!G26,BS_RE33!$F$7:$F$874,'30 days CF Table(EUR)'!$C$2)</f>
        <v>0</v>
      </c>
      <c r="T26" s="337">
        <f>SUMIFS(BS_RE33!$H$7:$H$874,BS_RE33!$S$7:$S$874,$T$2,BS_RE33!$N$7:$N$874,I26,BS_RE33!$P$7:$P$874,'30 days CF Table(EUR)'!G26,BS_RE33!$F$7:$F$874,'30 days CF Table(EUR)'!$C$2)</f>
        <v>0</v>
      </c>
      <c r="U26" s="337">
        <f>SUMIFS(BS_RE33!$H$7:$H$874,BS_RE33!$S$7:$S$874,$U$2,BS_RE33!$N$7:$N$874,I26,BS_RE33!$P$7:$P$874,'30 days CF Table(EUR)'!G26,BS_RE33!$F$7:$F$874,'30 days CF Table(EUR)'!$C$2)</f>
        <v>0</v>
      </c>
      <c r="V26" s="337">
        <f>SUMIFS(BS_RE33!$H$7:$H$874,BS_RE33!$S$7:$S$874,$V$2,BS_RE33!$N$7:$N$874,I26,BS_RE33!$P$7:$P$874,'30 days CF Table(EUR)'!G26,BS_RE33!$F$7:$F$874,'30 days CF Table(EUR)'!$C$2)</f>
        <v>0</v>
      </c>
      <c r="W26" s="337">
        <f>SUMIFS(BS_RE33!$H$7:$H$874,BS_RE33!$S$7:$S$874,$W$2,BS_RE33!$N$7:$N$874,I26,BS_RE33!$P$7:$P$874,'30 days CF Table(EUR)'!G26,BS_RE33!$F$7:$F$874,'30 days CF Table(EUR)'!$C$2)</f>
        <v>0</v>
      </c>
      <c r="X26" s="337">
        <f>SUMIFS(BS_RE33!$H$7:$H$874,BS_RE33!$S$7:$S$874,$X$2,BS_RE33!$N$7:$N$874,I26,BS_RE33!$P$7:$P$874,'30 days CF Table(EUR)'!G26,BS_RE33!$F$7:$F$874,'30 days CF Table(EUR)'!$C$2)</f>
        <v>0</v>
      </c>
      <c r="Y26" s="337">
        <f>SUMIFS(BS_RE33!$H$7:$H$874,BS_RE33!$S$7:$S$874,$Y$2,BS_RE33!$N$7:$N$874,I26,BS_RE33!$P$7:$P$874,'30 days CF Table(EUR)'!G26,BS_RE33!$F$7:$F$874,'30 days CF Table(EUR)'!$C$2)</f>
        <v>0</v>
      </c>
      <c r="Z26" s="337">
        <f>SUMIFS(BS_RE33!$H$7:$H$874,BS_RE33!$S$7:$S$874,$Z$2,BS_RE33!$N$7:$N$874,I26,BS_RE33!$P$7:$P$874,'30 days CF Table(EUR)'!G26,BS_RE33!$F$7:$F$874,'30 days CF Table(EUR)'!$C$2)</f>
        <v>0</v>
      </c>
      <c r="AA26" s="337">
        <f>SUMIFS(BS_RE33!$H$7:$H$874,BS_RE33!$S$7:$S$874,$AA$2,BS_RE33!$N$7:$N$874,I26,BS_RE33!$P$7:$P$874,'30 days CF Table(EUR)'!G26,BS_RE33!$F$7:$F$874,'30 days CF Table(EUR)'!$C$2)</f>
        <v>0</v>
      </c>
      <c r="AB26" s="337">
        <f>SUMIFS(BS_RE33!$H$7:$H$874,BS_RE33!$S$7:$S$874,$AB$2,BS_RE33!$N$7:$N$874,I26,BS_RE33!$P$7:$P$874,'30 days CF Table(EUR)'!G26,BS_RE33!$F$7:$F$874,'30 days CF Table(EUR)'!$C$2)</f>
        <v>0</v>
      </c>
      <c r="AC26" s="337">
        <f>SUMIFS(BS_RE33!$H$7:$H$874,BS_RE33!$S$7:$S$874,$AC$2,BS_RE33!$N$7:$N$874,I26,BS_RE33!$P$7:$P$874,'30 days CF Table(EUR)'!G26,BS_RE33!$F$7:$F$874,'30 days CF Table(EUR)'!$C$2)</f>
        <v>0</v>
      </c>
      <c r="AD26" s="337">
        <f>SUMIFS(BS_RE33!$H$7:$H$874,BS_RE33!$S$7:$S$874,$AD$2,BS_RE33!$N$7:$N$874,I26,BS_RE33!$P$7:$P$874,'30 days CF Table(EUR)'!G26,BS_RE33!$F$7:$F$874,'30 days CF Table(EUR)'!$C$2)</f>
        <v>0</v>
      </c>
      <c r="AE26" s="337">
        <f>SUMIFS(BS_RE33!$H$7:$H$874,BS_RE33!$S$7:$S$874,$AE$2,BS_RE33!$N$7:$N$874,I26,BS_RE33!$P$7:$P$874,'30 days CF Table(EUR)'!G26,BS_RE33!$F$7:$F$874,'30 days CF Table(EUR)'!$C$2)</f>
        <v>0</v>
      </c>
      <c r="AF26" s="337">
        <f>SUMIFS(BS_RE33!$H$7:$H$874,BS_RE33!$S$7:$S$874,$AF$2,BS_RE33!$N$7:$N$874,I26,BS_RE33!$P$7:$P$874,'30 days CF Table(EUR)'!G26,BS_RE33!$F$7:$F$874,'30 days CF Table(EUR)'!$C$2)</f>
        <v>0</v>
      </c>
      <c r="AG26" s="337">
        <f>SUMIFS(BS_RE33!$H$7:$H$874,BS_RE33!$S$7:$S$874,$AG$2,BS_RE33!$N$7:$N$874,I26,BS_RE33!$P$7:$P$874,'30 days CF Table(EUR)'!G26,BS_RE33!$F$7:$F$874,'30 days CF Table(EUR)'!$C$2)</f>
        <v>0</v>
      </c>
      <c r="AH26" s="337">
        <f>SUMIFS(BS_RE33!$H$7:$H$874,BS_RE33!$S$7:$S$874,$AH$2,BS_RE33!$N$7:$N$874,I26,BS_RE33!$P$7:$P$874,'30 days CF Table(EUR)'!G26,BS_RE33!$F$7:$F$874,'30 days CF Table(EUR)'!$C$2)</f>
        <v>0</v>
      </c>
      <c r="AI26" s="337">
        <f>SUMIFS(BS_RE33!$H$7:$H$874,BS_RE33!$S$7:$S$874,$AI$2,BS_RE33!$N$7:$N$874,I26,BS_RE33!$P$7:$P$874,'30 days CF Table(EUR)'!G26,BS_RE33!$F$7:$F$874,'30 days CF Table(EUR)'!$C$2)</f>
        <v>0</v>
      </c>
      <c r="AJ26" s="337">
        <f>SUMIFS(BS_RE33!$H$7:$H$874,BS_RE33!$S$7:$S$874,$AJ$2,BS_RE33!$N$7:$N$874,I26,BS_RE33!$P$7:$P$874,'30 days CF Table(EUR)'!G26,BS_RE33!$F$7:$F$874,'30 days CF Table(EUR)'!$C$2)</f>
        <v>0</v>
      </c>
      <c r="AK26" s="337">
        <f>SUMIFS(BS_RE33!$H$7:$H$874,BS_RE33!$S$7:$S$874,$AK$2,BS_RE33!$N$7:$N$874,I26,BS_RE33!$P$7:$P$874,'30 days CF Table(EUR)'!G26,BS_RE33!$F$7:$F$874,'30 days CF Table(EUR)'!$C$2)</f>
        <v>0</v>
      </c>
      <c r="AL26" s="337">
        <f>SUMIFS(BS_RE33!$H$7:$H$874,BS_RE33!$S$7:$S$874,$AL$2,BS_RE33!$N$7:$N$874,I26,BS_RE33!$P$7:$P$874,'30 days CF Table(EUR)'!G26,BS_RE33!$F$7:$F$874,'30 days CF Table(EUR)'!$C$2)</f>
        <v>0</v>
      </c>
      <c r="AM26" s="337">
        <f>SUMIFS(BS_RE33!$H$7:$H$874,BS_RE33!$S$7:$S$874,$AM$2,BS_RE33!$N$7:$N$874,I26,BS_RE33!$P$7:$P$874,'30 days CF Table(EUR)'!G26,BS_RE33!$F$7:$F$874,'30 days CF Table(EUR)'!$C$2)</f>
        <v>0</v>
      </c>
      <c r="AN26" s="337">
        <f>SUMIFS(BS_RE33!$H$7:$H$874,BS_RE33!$S$7:$S$874,$AN$2,BS_RE33!$N$7:$N$874,I26,BS_RE33!$P$7:$P$874,'30 days CF Table(EUR)'!G26,BS_RE33!$F$7:$F$874,'30 days CF Table(EUR)'!$C$2)</f>
        <v>0</v>
      </c>
      <c r="AO26" s="337">
        <f>SUMIFS(BS_RE33!$H$7:$H$874,BS_RE33!$S$7:$S$874,$AO$2,BS_RE33!$N$7:$N$874,I26,BS_RE33!$P$7:$P$874,'30 days CF Table(EUR)'!G26,BS_RE33!$F$7:$F$874,'30 days CF Table(EUR)'!$C$2)</f>
        <v>0</v>
      </c>
      <c r="AP26" s="338">
        <f>SUMIFS(BS_RE33!$H$7:$H$874,BS_RE33!$S$7:$S$874,$AP$2,BS_RE33!$N$7:$N$874,I26,BS_RE33!$P$7:$P$874,'30 days CF Table(EUR)'!G26,BS_RE33!$F$7:$F$874,'30 days CF Table(EUR)'!$C$2)</f>
        <v>0</v>
      </c>
      <c r="AR26" s="379">
        <f>SUMIFS(BS_RE33!$H$7:$H$874,BS_RE33!$S$7:$S$874,$AR$2,BS_RE33!$N$7:$N$874,I26,BS_RE33!$P$7:$P$874,'30 days CF Table(EUR)'!G26,BS_RE33!$F$7:$F$874,'30 days CF Table(EUR)'!$C$2)</f>
        <v>0</v>
      </c>
      <c r="AS26" s="379">
        <f>SUMIFS(BS_RE33!$H$7:$H$874,BS_RE33!$S$7:$S$874,$AS$2,BS_RE33!$N$7:$N$874,I26,BS_RE33!$P$7:$P$874,'30 days CF Table(EUR)'!G26,BS_RE33!$F$7:$F$874,'30 days CF Table(EUR)'!$C$2)</f>
        <v>0</v>
      </c>
      <c r="AT26" s="379">
        <f>SUMIFS(BS_RE33!$H$7:$H$874,BS_RE33!$S$7:$S$874,$AT$2,BS_RE33!$N$7:$N$874,I26,BS_RE33!$P$7:$P$874,'30 days CF Table(EUR)'!G26,BS_RE33!$F$7:$F$874,'30 days CF Table(EUR)'!$C$2)</f>
        <v>0</v>
      </c>
      <c r="AU26" s="379">
        <f>SUMIFS(BS_RE33!$H$7:$H$874,BS_RE33!$S$7:$S$874,$AU$2,BS_RE33!$N$7:$N$874,I26,BS_RE33!$P$7:$P$874,'30 days CF Table(EUR)'!G26,BS_RE33!$F$7:$F$874,'30 days CF Table(EUR)'!$C$2)</f>
        <v>0</v>
      </c>
      <c r="AV26" s="379">
        <f>SUMIFS(BS_RE33!$H$7:$H$874,BS_RE33!$S$7:$S$874,$AV$2,BS_RE33!$N$7:$N$874,I26,BS_RE33!$P$7:$P$874,'30 days CF Table(EUR)'!G26,BS_RE33!$F$7:$F$874,'30 days CF Table(EUR)'!$C$2)</f>
        <v>0</v>
      </c>
      <c r="AW26" s="379">
        <f>SUMIFS(BS_RE33!$H$7:$H$874,BS_RE33!$S$7:$S$874,$AW$2,BS_RE33!$N$7:$N$874,I26,BS_RE33!$P$7:$P$874,'30 days CF Table(EUR)'!G26,BS_RE33!$F$7:$F$874,'30 days CF Table(EUR)'!$C$2)</f>
        <v>0</v>
      </c>
      <c r="AX26" s="379">
        <f>SUMIFS(BS_RE33!$H$7:$H$874,BS_RE33!$S$7:$S$874,$AX$2,BS_RE33!$N$7:$N$874,I26,BS_RE33!$P$7:$P$874,'30 days CF Table(EUR)'!G26,BS_RE33!$F$7:$F$874,'30 days CF Table(EUR)'!$C$2)</f>
        <v>0</v>
      </c>
      <c r="AY26" s="379">
        <f>SUMIFS(BS_RE33!$H$7:$H$874,BS_RE33!$S$7:$S$874,$AY$2,BS_RE33!$N$7:$N$874,I26,BS_RE33!$P$7:$P$874,'30 days CF Table(EUR)'!G26,BS_RE33!$F$7:$F$874,'30 days CF Table(EUR)'!$C$2)</f>
        <v>0</v>
      </c>
      <c r="AZ26" s="379">
        <f>SUMIFS(BS_RE33!$H$7:$H$874,BS_RE33!$S$7:$S$874,$AZ$2,BS_RE33!$N$7:$N$874,I26,BS_RE33!$P$7:$P$874,'30 days CF Table(EUR)'!G26,BS_RE33!$F$7:$F$874,'30 days CF Table(EUR)'!$C$2)</f>
        <v>0</v>
      </c>
      <c r="BA26" s="379">
        <f>SUMIFS(BS_RE33!$H$7:$H$874,BS_RE33!$S$7:$S$874,$BA$2,BS_RE33!$N$7:$N$874,I26,BS_RE33!$P$7:$P$874,'30 days CF Table(EUR)'!G26,BS_RE33!$F$7:$F$874,'30 days CF Table(EUR)'!$C$2)</f>
        <v>0</v>
      </c>
      <c r="BB26" s="379">
        <f>SUMIFS(BS_RE33!$H$7:$H$874,BS_RE33!$S$7:$S$874,$BB$2,BS_RE33!$N$7:$N$874,I26,BS_RE33!$P$7:$P$874,'30 days CF Table(EUR)'!G26,BS_RE33!$F$7:$F$874,'30 days CF Table(EUR)'!$C$2)</f>
        <v>0</v>
      </c>
      <c r="BC26" s="379">
        <f>SUMIFS(BS_RE33!$H$7:$H$874,BS_RE33!$S$7:$S$874,$BC$2,BS_RE33!$N$7:$N$874,I26,BS_RE33!$P$7:$P$874,'30 days CF Table(EUR)'!G26,BS_RE33!$F$7:$F$874,'30 days CF Table(EUR)'!$C$2)</f>
        <v>0</v>
      </c>
      <c r="BD26" s="379">
        <f>SUMIFS(BS_RE33!$H$7:$H$874,BS_RE33!$S$7:$S$874,$BD$2,BS_RE33!$N$7:$N$874,I26,BS_RE33!$P$7:$P$874,'30 days CF Table(EUR)'!G26,BS_RE33!$F$7:$F$874,'30 days CF Table(EUR)'!$C$2)</f>
        <v>0</v>
      </c>
      <c r="BE26" s="379">
        <f>SUMIFS(BS_RE33!$H$7:$H$874,BS_RE33!$S$7:$S$874,$BE$2,BS_RE33!$N$7:$N$874,I26,BS_RE33!$P$7:$P$874,'30 days CF Table(EUR)'!G26,BS_RE33!$F$7:$F$874,'30 days CF Table(EUR)'!$C$2)</f>
        <v>0</v>
      </c>
      <c r="BF26" s="379">
        <f>SUMIFS(BS_RE33!$H$7:$H$874,BS_RE33!$S$7:$S$874,$BF$2,BS_RE33!$N$7:$N$874,I26,BS_RE33!$P$7:$P$874,'30 days CF Table(EUR)'!G26,BS_RE33!$F$7:$F$874,'30 days CF Table(EUR)'!$C$2)</f>
        <v>0</v>
      </c>
      <c r="BG26" s="379">
        <f>SUMIFS(BS_RE33!$H$7:$H$874,BS_RE33!$S$7:$S$874,$BG$2,BS_RE33!$N$7:$N$874,I26,BS_RE33!$P$7:$P$874,'30 days CF Table(EUR)'!G26,BS_RE33!$F$7:$F$874,'30 days CF Table(EUR)'!$C$2)</f>
        <v>0</v>
      </c>
      <c r="BH26" s="379">
        <f>SUMIFS(BS_RE33!$H$7:$H$874,BS_RE33!$S$7:$S$874,$BH$2,BS_RE33!$N$7:$N$874,I26,BS_RE33!$P$7:$P$874,'30 days CF Table(EUR)'!G26,BS_RE33!$F$7:$F$874,'30 days CF Table(EUR)'!$C$2)</f>
        <v>0</v>
      </c>
      <c r="BI26" s="379">
        <f>SUMIFS(BS_RE33!$H$7:$H$874,BS_RE33!$S$7:$S$874,$BI$2,BS_RE33!$N$7:$N$874,I26,BS_RE33!$P$7:$P$874,'30 days CF Table(EUR)'!G26,BS_RE33!$F$7:$F$874,'30 days CF Table(EUR)'!$C$2)</f>
        <v>0</v>
      </c>
      <c r="BJ26" s="379">
        <f>SUMIFS(BS_RE33!$H$7:$H$874,BS_RE33!$S$7:$S$874,$BJ$2,BS_RE33!$N$7:$N$874,I26,BS_RE33!$P$7:$P$874,'30 days CF Table(EUR)'!G26,BS_RE33!$F$7:$F$874,'30 days CF Table(EUR)'!$C$2)</f>
        <v>0</v>
      </c>
      <c r="BK26" s="379">
        <f>SUMIFS(BS_RE33!$H$7:$H$874,BS_RE33!$S$7:$S$874,$BK$2,BS_RE33!$N$7:$N$874,I26,BS_RE33!$P$7:$P$874,'30 days CF Table(EUR)'!G26,BS_RE33!$F$7:$F$874,'30 days CF Table(EUR)'!$C$2)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Table(EUR)'!G27,BS_RE33!$F$7:$F$874,'30 days CF Table(EUR)'!$C$2)</f>
        <v>0</v>
      </c>
      <c r="M27" s="337">
        <f>SUMIFS(BS_RE33!$H$7:$H$874,BS_RE33!$S$7:$S$874,$M$2,BS_RE33!$N$7:$N$874,I27,BS_RE33!$P$7:$P$874,'30 days CF Table(EUR)'!G27,BS_RE33!$F$7:$F$874,'30 days CF Table(EUR)'!$C$2)</f>
        <v>0</v>
      </c>
      <c r="N27" s="337">
        <f>SUMIFS(BS_RE33!$H$7:$H$874,BS_RE33!$S$7:$S$874,$N$2,BS_RE33!$N$7:$N$874,I27,BS_RE33!$P$7:$P$874,'30 days CF Table(EUR)'!G27,BS_RE33!$F$7:$F$874,'30 days CF Table(EUR)'!$C$2)</f>
        <v>0</v>
      </c>
      <c r="O27" s="337">
        <f>SUMIFS(BS_RE33!$H$7:$H$874,BS_RE33!$S$7:$S$874,$O$2,BS_RE33!$N$7:$N$874,I27,BS_RE33!$P$7:$P$874,'30 days CF Table(EUR)'!G27,BS_RE33!$F$7:$F$874,'30 days CF Table(EUR)'!$C$2)</f>
        <v>0</v>
      </c>
      <c r="P27" s="337">
        <f>SUMIFS(BS_RE33!$H$7:$H$874,BS_RE33!$S$7:$S$874,$P$2,BS_RE33!$N$7:$N$874,I27,BS_RE33!$P$7:$P$874,'30 days CF Table(EUR)'!G27,BS_RE33!$F$7:$F$874,'30 days CF Table(EUR)'!$C$2)</f>
        <v>0</v>
      </c>
      <c r="Q27" s="337">
        <f>SUMIFS(BS_RE33!$H$7:$H$874,BS_RE33!$S$7:$S$874,$Q$2,BS_RE33!$N$7:$N$874,I27,BS_RE33!$P$7:$P$874,'30 days CF Table(EUR)'!G27,BS_RE33!$F$7:$F$874,'30 days CF Table(EUR)'!$C$2)</f>
        <v>0</v>
      </c>
      <c r="R27" s="337">
        <f>SUMIFS(BS_RE33!$H$7:$H$874,BS_RE33!$S$7:$S$874,$R$2,BS_RE33!$N$7:$N$874,I27,BS_RE33!$P$7:$P$874,'30 days CF Table(EUR)'!G27,BS_RE33!$F$7:$F$874,'30 days CF Table(EUR)'!$C$2)</f>
        <v>0</v>
      </c>
      <c r="S27" s="337">
        <f>SUMIFS(BS_RE33!$H$7:$H$874,BS_RE33!$S$7:$S$874,$S$2,BS_RE33!$N$7:$N$874,I27,BS_RE33!$P$7:$P$874,'30 days CF Table(EUR)'!G27,BS_RE33!$F$7:$F$874,'30 days CF Table(EUR)'!$C$2)</f>
        <v>0</v>
      </c>
      <c r="T27" s="337">
        <f>SUMIFS(BS_RE33!$H$7:$H$874,BS_RE33!$S$7:$S$874,$T$2,BS_RE33!$N$7:$N$874,I27,BS_RE33!$P$7:$P$874,'30 days CF Table(EUR)'!G27,BS_RE33!$F$7:$F$874,'30 days CF Table(EUR)'!$C$2)</f>
        <v>0</v>
      </c>
      <c r="U27" s="337">
        <f>SUMIFS(BS_RE33!$H$7:$H$874,BS_RE33!$S$7:$S$874,$U$2,BS_RE33!$N$7:$N$874,I27,BS_RE33!$P$7:$P$874,'30 days CF Table(EUR)'!G27,BS_RE33!$F$7:$F$874,'30 days CF Table(EUR)'!$C$2)</f>
        <v>0</v>
      </c>
      <c r="V27" s="337">
        <f>SUMIFS(BS_RE33!$H$7:$H$874,BS_RE33!$S$7:$S$874,$V$2,BS_RE33!$N$7:$N$874,I27,BS_RE33!$P$7:$P$874,'30 days CF Table(EUR)'!G27,BS_RE33!$F$7:$F$874,'30 days CF Table(EUR)'!$C$2)</f>
        <v>0</v>
      </c>
      <c r="W27" s="337">
        <f>SUMIFS(BS_RE33!$H$7:$H$874,BS_RE33!$S$7:$S$874,$W$2,BS_RE33!$N$7:$N$874,I27,BS_RE33!$P$7:$P$874,'30 days CF Table(EUR)'!G27,BS_RE33!$F$7:$F$874,'30 days CF Table(EUR)'!$C$2)</f>
        <v>0</v>
      </c>
      <c r="X27" s="337">
        <f>SUMIFS(BS_RE33!$H$7:$H$874,BS_RE33!$S$7:$S$874,$X$2,BS_RE33!$N$7:$N$874,I27,BS_RE33!$P$7:$P$874,'30 days CF Table(EUR)'!G27,BS_RE33!$F$7:$F$874,'30 days CF Table(EUR)'!$C$2)</f>
        <v>0</v>
      </c>
      <c r="Y27" s="337">
        <f>SUMIFS(BS_RE33!$H$7:$H$874,BS_RE33!$S$7:$S$874,$Y$2,BS_RE33!$N$7:$N$874,I27,BS_RE33!$P$7:$P$874,'30 days CF Table(EUR)'!G27,BS_RE33!$F$7:$F$874,'30 days CF Table(EUR)'!$C$2)</f>
        <v>0</v>
      </c>
      <c r="Z27" s="337">
        <f>SUMIFS(BS_RE33!$H$7:$H$874,BS_RE33!$S$7:$S$874,$Z$2,BS_RE33!$N$7:$N$874,I27,BS_RE33!$P$7:$P$874,'30 days CF Table(EUR)'!G27,BS_RE33!$F$7:$F$874,'30 days CF Table(EUR)'!$C$2)</f>
        <v>0</v>
      </c>
      <c r="AA27" s="337">
        <f>SUMIFS(BS_RE33!$H$7:$H$874,BS_RE33!$S$7:$S$874,$AA$2,BS_RE33!$N$7:$N$874,I27,BS_RE33!$P$7:$P$874,'30 days CF Table(EUR)'!G27,BS_RE33!$F$7:$F$874,'30 days CF Table(EUR)'!$C$2)</f>
        <v>0</v>
      </c>
      <c r="AB27" s="337">
        <f>SUMIFS(BS_RE33!$H$7:$H$874,BS_RE33!$S$7:$S$874,$AB$2,BS_RE33!$N$7:$N$874,I27,BS_RE33!$P$7:$P$874,'30 days CF Table(EUR)'!G27,BS_RE33!$F$7:$F$874,'30 days CF Table(EUR)'!$C$2)</f>
        <v>0</v>
      </c>
      <c r="AC27" s="337">
        <f>SUMIFS(BS_RE33!$H$7:$H$874,BS_RE33!$S$7:$S$874,$AC$2,BS_RE33!$N$7:$N$874,I27,BS_RE33!$P$7:$P$874,'30 days CF Table(EUR)'!G27,BS_RE33!$F$7:$F$874,'30 days CF Table(EUR)'!$C$2)</f>
        <v>0</v>
      </c>
      <c r="AD27" s="337">
        <f>SUMIFS(BS_RE33!$H$7:$H$874,BS_RE33!$S$7:$S$874,$AD$2,BS_RE33!$N$7:$N$874,I27,BS_RE33!$P$7:$P$874,'30 days CF Table(EUR)'!G27,BS_RE33!$F$7:$F$874,'30 days CF Table(EUR)'!$C$2)</f>
        <v>0</v>
      </c>
      <c r="AE27" s="337">
        <f>SUMIFS(BS_RE33!$H$7:$H$874,BS_RE33!$S$7:$S$874,$AE$2,BS_RE33!$N$7:$N$874,I27,BS_RE33!$P$7:$P$874,'30 days CF Table(EUR)'!G27,BS_RE33!$F$7:$F$874,'30 days CF Table(EUR)'!$C$2)</f>
        <v>0</v>
      </c>
      <c r="AF27" s="337">
        <f>SUMIFS(BS_RE33!$H$7:$H$874,BS_RE33!$S$7:$S$874,$AF$2,BS_RE33!$N$7:$N$874,I27,BS_RE33!$P$7:$P$874,'30 days CF Table(EUR)'!G27,BS_RE33!$F$7:$F$874,'30 days CF Table(EUR)'!$C$2)</f>
        <v>0</v>
      </c>
      <c r="AG27" s="337">
        <f>SUMIFS(BS_RE33!$H$7:$H$874,BS_RE33!$S$7:$S$874,$AG$2,BS_RE33!$N$7:$N$874,I27,BS_RE33!$P$7:$P$874,'30 days CF Table(EUR)'!G27,BS_RE33!$F$7:$F$874,'30 days CF Table(EUR)'!$C$2)</f>
        <v>0</v>
      </c>
      <c r="AH27" s="337">
        <f>SUMIFS(BS_RE33!$H$7:$H$874,BS_RE33!$S$7:$S$874,$AH$2,BS_RE33!$N$7:$N$874,I27,BS_RE33!$P$7:$P$874,'30 days CF Table(EUR)'!G27,BS_RE33!$F$7:$F$874,'30 days CF Table(EUR)'!$C$2)</f>
        <v>0</v>
      </c>
      <c r="AI27" s="337">
        <f>SUMIFS(BS_RE33!$H$7:$H$874,BS_RE33!$S$7:$S$874,$AI$2,BS_RE33!$N$7:$N$874,I27,BS_RE33!$P$7:$P$874,'30 days CF Table(EUR)'!G27,BS_RE33!$F$7:$F$874,'30 days CF Table(EUR)'!$C$2)</f>
        <v>0</v>
      </c>
      <c r="AJ27" s="337">
        <f>SUMIFS(BS_RE33!$H$7:$H$874,BS_RE33!$S$7:$S$874,$AJ$2,BS_RE33!$N$7:$N$874,I27,BS_RE33!$P$7:$P$874,'30 days CF Table(EUR)'!G27,BS_RE33!$F$7:$F$874,'30 days CF Table(EUR)'!$C$2)</f>
        <v>0</v>
      </c>
      <c r="AK27" s="337">
        <f>SUMIFS(BS_RE33!$H$7:$H$874,BS_RE33!$S$7:$S$874,$AK$2,BS_RE33!$N$7:$N$874,I27,BS_RE33!$P$7:$P$874,'30 days CF Table(EUR)'!G27,BS_RE33!$F$7:$F$874,'30 days CF Table(EUR)'!$C$2)</f>
        <v>0</v>
      </c>
      <c r="AL27" s="337">
        <f>SUMIFS(BS_RE33!$H$7:$H$874,BS_RE33!$S$7:$S$874,$AL$2,BS_RE33!$N$7:$N$874,I27,BS_RE33!$P$7:$P$874,'30 days CF Table(EUR)'!G27,BS_RE33!$F$7:$F$874,'30 days CF Table(EUR)'!$C$2)</f>
        <v>0</v>
      </c>
      <c r="AM27" s="337">
        <f>SUMIFS(BS_RE33!$H$7:$H$874,BS_RE33!$S$7:$S$874,$AM$2,BS_RE33!$N$7:$N$874,I27,BS_RE33!$P$7:$P$874,'30 days CF Table(EUR)'!G27,BS_RE33!$F$7:$F$874,'30 days CF Table(EUR)'!$C$2)</f>
        <v>0</v>
      </c>
      <c r="AN27" s="337">
        <f>SUMIFS(BS_RE33!$H$7:$H$874,BS_RE33!$S$7:$S$874,$AN$2,BS_RE33!$N$7:$N$874,I27,BS_RE33!$P$7:$P$874,'30 days CF Table(EUR)'!G27,BS_RE33!$F$7:$F$874,'30 days CF Table(EUR)'!$C$2)</f>
        <v>0</v>
      </c>
      <c r="AO27" s="337">
        <f>SUMIFS(BS_RE33!$H$7:$H$874,BS_RE33!$S$7:$S$874,$AO$2,BS_RE33!$N$7:$N$874,I27,BS_RE33!$P$7:$P$874,'30 days CF Table(EUR)'!G27,BS_RE33!$F$7:$F$874,'30 days CF Table(EUR)'!$C$2)</f>
        <v>0</v>
      </c>
      <c r="AP27" s="338">
        <f>SUMIFS(BS_RE33!$H$7:$H$874,BS_RE33!$S$7:$S$874,$AP$2,BS_RE33!$N$7:$N$874,I27,BS_RE33!$P$7:$P$874,'30 days CF Table(EUR)'!G27,BS_RE33!$F$7:$F$874,'30 days CF Table(EUR)'!$C$2)</f>
        <v>0</v>
      </c>
      <c r="AR27" s="379">
        <f>SUMIFS(BS_RE33!$H$7:$H$874,BS_RE33!$S$7:$S$874,$AR$2,BS_RE33!$N$7:$N$874,I27,BS_RE33!$P$7:$P$874,'30 days CF Table(EUR)'!G27,BS_RE33!$F$7:$F$874,'30 days CF Table(EUR)'!$C$2)</f>
        <v>0</v>
      </c>
      <c r="AS27" s="379">
        <f>SUMIFS(BS_RE33!$H$7:$H$874,BS_RE33!$S$7:$S$874,$AS$2,BS_RE33!$N$7:$N$874,I27,BS_RE33!$P$7:$P$874,'30 days CF Table(EUR)'!G27,BS_RE33!$F$7:$F$874,'30 days CF Table(EUR)'!$C$2)</f>
        <v>0</v>
      </c>
      <c r="AT27" s="379">
        <f>SUMIFS(BS_RE33!$H$7:$H$874,BS_RE33!$S$7:$S$874,$AT$2,BS_RE33!$N$7:$N$874,I27,BS_RE33!$P$7:$P$874,'30 days CF Table(EUR)'!G27,BS_RE33!$F$7:$F$874,'30 days CF Table(EUR)'!$C$2)</f>
        <v>0</v>
      </c>
      <c r="AU27" s="379">
        <f>SUMIFS(BS_RE33!$H$7:$H$874,BS_RE33!$S$7:$S$874,$AU$2,BS_RE33!$N$7:$N$874,I27,BS_RE33!$P$7:$P$874,'30 days CF Table(EUR)'!G27,BS_RE33!$F$7:$F$874,'30 days CF Table(EUR)'!$C$2)</f>
        <v>0</v>
      </c>
      <c r="AV27" s="379">
        <f>SUMIFS(BS_RE33!$H$7:$H$874,BS_RE33!$S$7:$S$874,$AV$2,BS_RE33!$N$7:$N$874,I27,BS_RE33!$P$7:$P$874,'30 days CF Table(EUR)'!G27,BS_RE33!$F$7:$F$874,'30 days CF Table(EUR)'!$C$2)</f>
        <v>0</v>
      </c>
      <c r="AW27" s="379">
        <f>SUMIFS(BS_RE33!$H$7:$H$874,BS_RE33!$S$7:$S$874,$AW$2,BS_RE33!$N$7:$N$874,I27,BS_RE33!$P$7:$P$874,'30 days CF Table(EUR)'!G27,BS_RE33!$F$7:$F$874,'30 days CF Table(EUR)'!$C$2)</f>
        <v>0</v>
      </c>
      <c r="AX27" s="379">
        <f>SUMIFS(BS_RE33!$H$7:$H$874,BS_RE33!$S$7:$S$874,$AX$2,BS_RE33!$N$7:$N$874,I27,BS_RE33!$P$7:$P$874,'30 days CF Table(EUR)'!G27,BS_RE33!$F$7:$F$874,'30 days CF Table(EUR)'!$C$2)</f>
        <v>0</v>
      </c>
      <c r="AY27" s="379">
        <f>SUMIFS(BS_RE33!$H$7:$H$874,BS_RE33!$S$7:$S$874,$AY$2,BS_RE33!$N$7:$N$874,I27,BS_RE33!$P$7:$P$874,'30 days CF Table(EUR)'!G27,BS_RE33!$F$7:$F$874,'30 days CF Table(EUR)'!$C$2)</f>
        <v>0</v>
      </c>
      <c r="AZ27" s="379">
        <f>SUMIFS(BS_RE33!$H$7:$H$874,BS_RE33!$S$7:$S$874,$AZ$2,BS_RE33!$N$7:$N$874,I27,BS_RE33!$P$7:$P$874,'30 days CF Table(EUR)'!G27,BS_RE33!$F$7:$F$874,'30 days CF Table(EUR)'!$C$2)</f>
        <v>0</v>
      </c>
      <c r="BA27" s="379">
        <f>SUMIFS(BS_RE33!$H$7:$H$874,BS_RE33!$S$7:$S$874,$BA$2,BS_RE33!$N$7:$N$874,I27,BS_RE33!$P$7:$P$874,'30 days CF Table(EUR)'!G27,BS_RE33!$F$7:$F$874,'30 days CF Table(EUR)'!$C$2)</f>
        <v>0</v>
      </c>
      <c r="BB27" s="379">
        <f>SUMIFS(BS_RE33!$H$7:$H$874,BS_RE33!$S$7:$S$874,$BB$2,BS_RE33!$N$7:$N$874,I27,BS_RE33!$P$7:$P$874,'30 days CF Table(EUR)'!G27,BS_RE33!$F$7:$F$874,'30 days CF Table(EUR)'!$C$2)</f>
        <v>0</v>
      </c>
      <c r="BC27" s="379">
        <f>SUMIFS(BS_RE33!$H$7:$H$874,BS_RE33!$S$7:$S$874,$BC$2,BS_RE33!$N$7:$N$874,I27,BS_RE33!$P$7:$P$874,'30 days CF Table(EUR)'!G27,BS_RE33!$F$7:$F$874,'30 days CF Table(EUR)'!$C$2)</f>
        <v>0</v>
      </c>
      <c r="BD27" s="379">
        <f>SUMIFS(BS_RE33!$H$7:$H$874,BS_RE33!$S$7:$S$874,$BD$2,BS_RE33!$N$7:$N$874,I27,BS_RE33!$P$7:$P$874,'30 days CF Table(EUR)'!G27,BS_RE33!$F$7:$F$874,'30 days CF Table(EUR)'!$C$2)</f>
        <v>0</v>
      </c>
      <c r="BE27" s="379">
        <f>SUMIFS(BS_RE33!$H$7:$H$874,BS_RE33!$S$7:$S$874,$BE$2,BS_RE33!$N$7:$N$874,I27,BS_RE33!$P$7:$P$874,'30 days CF Table(EUR)'!G27,BS_RE33!$F$7:$F$874,'30 days CF Table(EUR)'!$C$2)</f>
        <v>0</v>
      </c>
      <c r="BF27" s="379">
        <f>SUMIFS(BS_RE33!$H$7:$H$874,BS_RE33!$S$7:$S$874,$BF$2,BS_RE33!$N$7:$N$874,I27,BS_RE33!$P$7:$P$874,'30 days CF Table(EUR)'!G27,BS_RE33!$F$7:$F$874,'30 days CF Table(EUR)'!$C$2)</f>
        <v>0</v>
      </c>
      <c r="BG27" s="379">
        <f>SUMIFS(BS_RE33!$H$7:$H$874,BS_RE33!$S$7:$S$874,$BG$2,BS_RE33!$N$7:$N$874,I27,BS_RE33!$P$7:$P$874,'30 days CF Table(EUR)'!G27,BS_RE33!$F$7:$F$874,'30 days CF Table(EUR)'!$C$2)</f>
        <v>0</v>
      </c>
      <c r="BH27" s="379">
        <f>SUMIFS(BS_RE33!$H$7:$H$874,BS_RE33!$S$7:$S$874,$BH$2,BS_RE33!$N$7:$N$874,I27,BS_RE33!$P$7:$P$874,'30 days CF Table(EUR)'!G27,BS_RE33!$F$7:$F$874,'30 days CF Table(EUR)'!$C$2)</f>
        <v>0</v>
      </c>
      <c r="BI27" s="379">
        <f>SUMIFS(BS_RE33!$H$7:$H$874,BS_RE33!$S$7:$S$874,$BI$2,BS_RE33!$N$7:$N$874,I27,BS_RE33!$P$7:$P$874,'30 days CF Table(EUR)'!G27,BS_RE33!$F$7:$F$874,'30 days CF Table(EUR)'!$C$2)</f>
        <v>0</v>
      </c>
      <c r="BJ27" s="379">
        <f>SUMIFS(BS_RE33!$H$7:$H$874,BS_RE33!$S$7:$S$874,$BJ$2,BS_RE33!$N$7:$N$874,I27,BS_RE33!$P$7:$P$874,'30 days CF Table(EUR)'!G27,BS_RE33!$F$7:$F$874,'30 days CF Table(EUR)'!$C$2)</f>
        <v>0</v>
      </c>
      <c r="BK27" s="379">
        <f>SUMIFS(BS_RE33!$H$7:$H$874,BS_RE33!$S$7:$S$874,$BK$2,BS_RE33!$N$7:$N$874,I27,BS_RE33!$P$7:$P$874,'30 days CF Table(EUR)'!G27,BS_RE33!$F$7:$F$874,'30 days CF Table(EUR)'!$C$2)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Table(EUR)'!G28,BS_RE33!$F$7:$F$874,'30 days CF Table(EUR)'!$C$2)</f>
        <v>0</v>
      </c>
      <c r="M28" s="337">
        <f>SUMIFS(BS_RE33!$H$7:$H$874,BS_RE33!$S$7:$S$874,$M$2,BS_RE33!$N$7:$N$874,I28,BS_RE33!$P$7:$P$874,'30 days CF Table(EUR)'!G28,BS_RE33!$F$7:$F$874,'30 days CF Table(EUR)'!$C$2)</f>
        <v>0</v>
      </c>
      <c r="N28" s="337">
        <f>SUMIFS(BS_RE33!$H$7:$H$874,BS_RE33!$S$7:$S$874,$N$2,BS_RE33!$N$7:$N$874,I28,BS_RE33!$P$7:$P$874,'30 days CF Table(EUR)'!G28,BS_RE33!$F$7:$F$874,'30 days CF Table(EUR)'!$C$2)</f>
        <v>0</v>
      </c>
      <c r="O28" s="337">
        <f>SUMIFS(BS_RE33!$H$7:$H$874,BS_RE33!$S$7:$S$874,$O$2,BS_RE33!$N$7:$N$874,I28,BS_RE33!$P$7:$P$874,'30 days CF Table(EUR)'!G28,BS_RE33!$F$7:$F$874,'30 days CF Table(EUR)'!$C$2)</f>
        <v>0</v>
      </c>
      <c r="P28" s="337">
        <f>SUMIFS(BS_RE33!$H$7:$H$874,BS_RE33!$S$7:$S$874,$P$2,BS_RE33!$N$7:$N$874,I28,BS_RE33!$P$7:$P$874,'30 days CF Table(EUR)'!G28,BS_RE33!$F$7:$F$874,'30 days CF Table(EUR)'!$C$2)</f>
        <v>0</v>
      </c>
      <c r="Q28" s="337">
        <f>SUMIFS(BS_RE33!$H$7:$H$874,BS_RE33!$S$7:$S$874,$Q$2,BS_RE33!$N$7:$N$874,I28,BS_RE33!$P$7:$P$874,'30 days CF Table(EUR)'!G28,BS_RE33!$F$7:$F$874,'30 days CF Table(EUR)'!$C$2)</f>
        <v>0</v>
      </c>
      <c r="R28" s="337">
        <f>SUMIFS(BS_RE33!$H$7:$H$874,BS_RE33!$S$7:$S$874,$R$2,BS_RE33!$N$7:$N$874,I28,BS_RE33!$P$7:$P$874,'30 days CF Table(EUR)'!G28,BS_RE33!$F$7:$F$874,'30 days CF Table(EUR)'!$C$2)</f>
        <v>0</v>
      </c>
      <c r="S28" s="337">
        <f>SUMIFS(BS_RE33!$H$7:$H$874,BS_RE33!$S$7:$S$874,$S$2,BS_RE33!$N$7:$N$874,I28,BS_RE33!$P$7:$P$874,'30 days CF Table(EUR)'!G28,BS_RE33!$F$7:$F$874,'30 days CF Table(EUR)'!$C$2)</f>
        <v>0</v>
      </c>
      <c r="T28" s="337">
        <f>SUMIFS(BS_RE33!$H$7:$H$874,BS_RE33!$S$7:$S$874,$T$2,BS_RE33!$N$7:$N$874,I28,BS_RE33!$P$7:$P$874,'30 days CF Table(EUR)'!G28,BS_RE33!$F$7:$F$874,'30 days CF Table(EUR)'!$C$2)</f>
        <v>0</v>
      </c>
      <c r="U28" s="337">
        <f>SUMIFS(BS_RE33!$H$7:$H$874,BS_RE33!$S$7:$S$874,$U$2,BS_RE33!$N$7:$N$874,I28,BS_RE33!$P$7:$P$874,'30 days CF Table(EUR)'!G28,BS_RE33!$F$7:$F$874,'30 days CF Table(EUR)'!$C$2)</f>
        <v>0</v>
      </c>
      <c r="V28" s="337">
        <f>SUMIFS(BS_RE33!$H$7:$H$874,BS_RE33!$S$7:$S$874,$V$2,BS_RE33!$N$7:$N$874,I28,BS_RE33!$P$7:$P$874,'30 days CF Table(EUR)'!G28,BS_RE33!$F$7:$F$874,'30 days CF Table(EUR)'!$C$2)</f>
        <v>0</v>
      </c>
      <c r="W28" s="337">
        <f>SUMIFS(BS_RE33!$H$7:$H$874,BS_RE33!$S$7:$S$874,$W$2,BS_RE33!$N$7:$N$874,I28,BS_RE33!$P$7:$P$874,'30 days CF Table(EUR)'!G28,BS_RE33!$F$7:$F$874,'30 days CF Table(EUR)'!$C$2)</f>
        <v>0</v>
      </c>
      <c r="X28" s="337">
        <f>SUMIFS(BS_RE33!$H$7:$H$874,BS_RE33!$S$7:$S$874,$X$2,BS_RE33!$N$7:$N$874,I28,BS_RE33!$P$7:$P$874,'30 days CF Table(EUR)'!G28,BS_RE33!$F$7:$F$874,'30 days CF Table(EUR)'!$C$2)</f>
        <v>0</v>
      </c>
      <c r="Y28" s="337">
        <f>SUMIFS(BS_RE33!$H$7:$H$874,BS_RE33!$S$7:$S$874,$Y$2,BS_RE33!$N$7:$N$874,I28,BS_RE33!$P$7:$P$874,'30 days CF Table(EUR)'!G28,BS_RE33!$F$7:$F$874,'30 days CF Table(EUR)'!$C$2)</f>
        <v>0</v>
      </c>
      <c r="Z28" s="337">
        <f>SUMIFS(BS_RE33!$H$7:$H$874,BS_RE33!$S$7:$S$874,$Z$2,BS_RE33!$N$7:$N$874,I28,BS_RE33!$P$7:$P$874,'30 days CF Table(EUR)'!G28,BS_RE33!$F$7:$F$874,'30 days CF Table(EUR)'!$C$2)</f>
        <v>0</v>
      </c>
      <c r="AA28" s="337">
        <f>SUMIFS(BS_RE33!$H$7:$H$874,BS_RE33!$S$7:$S$874,$AA$2,BS_RE33!$N$7:$N$874,I28,BS_RE33!$P$7:$P$874,'30 days CF Table(EUR)'!G28,BS_RE33!$F$7:$F$874,'30 days CF Table(EUR)'!$C$2)</f>
        <v>0</v>
      </c>
      <c r="AB28" s="337">
        <f>SUMIFS(BS_RE33!$H$7:$H$874,BS_RE33!$S$7:$S$874,$AB$2,BS_RE33!$N$7:$N$874,I28,BS_RE33!$P$7:$P$874,'30 days CF Table(EUR)'!G28,BS_RE33!$F$7:$F$874,'30 days CF Table(EUR)'!$C$2)</f>
        <v>0</v>
      </c>
      <c r="AC28" s="337">
        <f>SUMIFS(BS_RE33!$H$7:$H$874,BS_RE33!$S$7:$S$874,$AC$2,BS_RE33!$N$7:$N$874,I28,BS_RE33!$P$7:$P$874,'30 days CF Table(EUR)'!G28,BS_RE33!$F$7:$F$874,'30 days CF Table(EUR)'!$C$2)</f>
        <v>0</v>
      </c>
      <c r="AD28" s="337">
        <f>SUMIFS(BS_RE33!$H$7:$H$874,BS_RE33!$S$7:$S$874,$AD$2,BS_RE33!$N$7:$N$874,I28,BS_RE33!$P$7:$P$874,'30 days CF Table(EUR)'!G28,BS_RE33!$F$7:$F$874,'30 days CF Table(EUR)'!$C$2)</f>
        <v>0</v>
      </c>
      <c r="AE28" s="337">
        <f>SUMIFS(BS_RE33!$H$7:$H$874,BS_RE33!$S$7:$S$874,$AE$2,BS_RE33!$N$7:$N$874,I28,BS_RE33!$P$7:$P$874,'30 days CF Table(EUR)'!G28,BS_RE33!$F$7:$F$874,'30 days CF Table(EUR)'!$C$2)</f>
        <v>0</v>
      </c>
      <c r="AF28" s="337">
        <f>SUMIFS(BS_RE33!$H$7:$H$874,BS_RE33!$S$7:$S$874,$AF$2,BS_RE33!$N$7:$N$874,I28,BS_RE33!$P$7:$P$874,'30 days CF Table(EUR)'!G28,BS_RE33!$F$7:$F$874,'30 days CF Table(EUR)'!$C$2)</f>
        <v>0</v>
      </c>
      <c r="AG28" s="337">
        <f>SUMIFS(BS_RE33!$H$7:$H$874,BS_RE33!$S$7:$S$874,$AG$2,BS_RE33!$N$7:$N$874,I28,BS_RE33!$P$7:$P$874,'30 days CF Table(EUR)'!G28,BS_RE33!$F$7:$F$874,'30 days CF Table(EUR)'!$C$2)</f>
        <v>0</v>
      </c>
      <c r="AH28" s="337">
        <f>SUMIFS(BS_RE33!$H$7:$H$874,BS_RE33!$S$7:$S$874,$AH$2,BS_RE33!$N$7:$N$874,I28,BS_RE33!$P$7:$P$874,'30 days CF Table(EUR)'!G28,BS_RE33!$F$7:$F$874,'30 days CF Table(EUR)'!$C$2)</f>
        <v>0</v>
      </c>
      <c r="AI28" s="337">
        <f>SUMIFS(BS_RE33!$H$7:$H$874,BS_RE33!$S$7:$S$874,$AI$2,BS_RE33!$N$7:$N$874,I28,BS_RE33!$P$7:$P$874,'30 days CF Table(EUR)'!G28,BS_RE33!$F$7:$F$874,'30 days CF Table(EUR)'!$C$2)</f>
        <v>0</v>
      </c>
      <c r="AJ28" s="337">
        <f>SUMIFS(BS_RE33!$H$7:$H$874,BS_RE33!$S$7:$S$874,$AJ$2,BS_RE33!$N$7:$N$874,I28,BS_RE33!$P$7:$P$874,'30 days CF Table(EUR)'!G28,BS_RE33!$F$7:$F$874,'30 days CF Table(EUR)'!$C$2)</f>
        <v>0</v>
      </c>
      <c r="AK28" s="337">
        <f>SUMIFS(BS_RE33!$H$7:$H$874,BS_RE33!$S$7:$S$874,$AK$2,BS_RE33!$N$7:$N$874,I28,BS_RE33!$P$7:$P$874,'30 days CF Table(EUR)'!G28,BS_RE33!$F$7:$F$874,'30 days CF Table(EUR)'!$C$2)</f>
        <v>0</v>
      </c>
      <c r="AL28" s="337">
        <f>SUMIFS(BS_RE33!$H$7:$H$874,BS_RE33!$S$7:$S$874,$AL$2,BS_RE33!$N$7:$N$874,I28,BS_RE33!$P$7:$P$874,'30 days CF Table(EUR)'!G28,BS_RE33!$F$7:$F$874,'30 days CF Table(EUR)'!$C$2)</f>
        <v>0</v>
      </c>
      <c r="AM28" s="337">
        <f>SUMIFS(BS_RE33!$H$7:$H$874,BS_RE33!$S$7:$S$874,$AM$2,BS_RE33!$N$7:$N$874,I28,BS_RE33!$P$7:$P$874,'30 days CF Table(EUR)'!G28,BS_RE33!$F$7:$F$874,'30 days CF Table(EUR)'!$C$2)</f>
        <v>0</v>
      </c>
      <c r="AN28" s="337">
        <f>SUMIFS(BS_RE33!$H$7:$H$874,BS_RE33!$S$7:$S$874,$AN$2,BS_RE33!$N$7:$N$874,I28,BS_RE33!$P$7:$P$874,'30 days CF Table(EUR)'!G28,BS_RE33!$F$7:$F$874,'30 days CF Table(EUR)'!$C$2)</f>
        <v>0</v>
      </c>
      <c r="AO28" s="337">
        <f>SUMIFS(BS_RE33!$H$7:$H$874,BS_RE33!$S$7:$S$874,$AO$2,BS_RE33!$N$7:$N$874,I28,BS_RE33!$P$7:$P$874,'30 days CF Table(EUR)'!G28,BS_RE33!$F$7:$F$874,'30 days CF Table(EUR)'!$C$2)</f>
        <v>0</v>
      </c>
      <c r="AP28" s="338">
        <f>SUMIFS(BS_RE33!$H$7:$H$874,BS_RE33!$S$7:$S$874,$AP$2,BS_RE33!$N$7:$N$874,I28,BS_RE33!$P$7:$P$874,'30 days CF Table(EUR)'!G28,BS_RE33!$F$7:$F$874,'30 days CF Table(EUR)'!$C$2)</f>
        <v>0</v>
      </c>
      <c r="AR28" s="379">
        <f>SUMIFS(BS_RE33!$H$7:$H$874,BS_RE33!$S$7:$S$874,$AR$2,BS_RE33!$N$7:$N$874,I28,BS_RE33!$P$7:$P$874,'30 days CF Table(EUR)'!G28,BS_RE33!$F$7:$F$874,'30 days CF Table(EUR)'!$C$2)</f>
        <v>0</v>
      </c>
      <c r="AS28" s="379">
        <f>SUMIFS(BS_RE33!$H$7:$H$874,BS_RE33!$S$7:$S$874,$AS$2,BS_RE33!$N$7:$N$874,I28,BS_RE33!$P$7:$P$874,'30 days CF Table(EUR)'!G28,BS_RE33!$F$7:$F$874,'30 days CF Table(EUR)'!$C$2)</f>
        <v>0</v>
      </c>
      <c r="AT28" s="379">
        <f>SUMIFS(BS_RE33!$H$7:$H$874,BS_RE33!$S$7:$S$874,$AT$2,BS_RE33!$N$7:$N$874,I28,BS_RE33!$P$7:$P$874,'30 days CF Table(EUR)'!G28,BS_RE33!$F$7:$F$874,'30 days CF Table(EUR)'!$C$2)</f>
        <v>0</v>
      </c>
      <c r="AU28" s="379">
        <f>SUMIFS(BS_RE33!$H$7:$H$874,BS_RE33!$S$7:$S$874,$AU$2,BS_RE33!$N$7:$N$874,I28,BS_RE33!$P$7:$P$874,'30 days CF Table(EUR)'!G28,BS_RE33!$F$7:$F$874,'30 days CF Table(EUR)'!$C$2)</f>
        <v>0</v>
      </c>
      <c r="AV28" s="379">
        <f>SUMIFS(BS_RE33!$H$7:$H$874,BS_RE33!$S$7:$S$874,$AV$2,BS_RE33!$N$7:$N$874,I28,BS_RE33!$P$7:$P$874,'30 days CF Table(EUR)'!G28,BS_RE33!$F$7:$F$874,'30 days CF Table(EUR)'!$C$2)</f>
        <v>0</v>
      </c>
      <c r="AW28" s="379">
        <f>SUMIFS(BS_RE33!$H$7:$H$874,BS_RE33!$S$7:$S$874,$AW$2,BS_RE33!$N$7:$N$874,I28,BS_RE33!$P$7:$P$874,'30 days CF Table(EUR)'!G28,BS_RE33!$F$7:$F$874,'30 days CF Table(EUR)'!$C$2)</f>
        <v>0</v>
      </c>
      <c r="AX28" s="379">
        <f>SUMIFS(BS_RE33!$H$7:$H$874,BS_RE33!$S$7:$S$874,$AX$2,BS_RE33!$N$7:$N$874,I28,BS_RE33!$P$7:$P$874,'30 days CF Table(EUR)'!G28,BS_RE33!$F$7:$F$874,'30 days CF Table(EUR)'!$C$2)</f>
        <v>0</v>
      </c>
      <c r="AY28" s="379">
        <f>SUMIFS(BS_RE33!$H$7:$H$874,BS_RE33!$S$7:$S$874,$AY$2,BS_RE33!$N$7:$N$874,I28,BS_RE33!$P$7:$P$874,'30 days CF Table(EUR)'!G28,BS_RE33!$F$7:$F$874,'30 days CF Table(EUR)'!$C$2)</f>
        <v>0</v>
      </c>
      <c r="AZ28" s="379">
        <f>SUMIFS(BS_RE33!$H$7:$H$874,BS_RE33!$S$7:$S$874,$AZ$2,BS_RE33!$N$7:$N$874,I28,BS_RE33!$P$7:$P$874,'30 days CF Table(EUR)'!G28,BS_RE33!$F$7:$F$874,'30 days CF Table(EUR)'!$C$2)</f>
        <v>0</v>
      </c>
      <c r="BA28" s="379">
        <f>SUMIFS(BS_RE33!$H$7:$H$874,BS_RE33!$S$7:$S$874,$BA$2,BS_RE33!$N$7:$N$874,I28,BS_RE33!$P$7:$P$874,'30 days CF Table(EUR)'!G28,BS_RE33!$F$7:$F$874,'30 days CF Table(EUR)'!$C$2)</f>
        <v>0</v>
      </c>
      <c r="BB28" s="379">
        <f>SUMIFS(BS_RE33!$H$7:$H$874,BS_RE33!$S$7:$S$874,$BB$2,BS_RE33!$N$7:$N$874,I28,BS_RE33!$P$7:$P$874,'30 days CF Table(EUR)'!G28,BS_RE33!$F$7:$F$874,'30 days CF Table(EUR)'!$C$2)</f>
        <v>0</v>
      </c>
      <c r="BC28" s="379">
        <f>SUMIFS(BS_RE33!$H$7:$H$874,BS_RE33!$S$7:$S$874,$BC$2,BS_RE33!$N$7:$N$874,I28,BS_RE33!$P$7:$P$874,'30 days CF Table(EUR)'!G28,BS_RE33!$F$7:$F$874,'30 days CF Table(EUR)'!$C$2)</f>
        <v>0</v>
      </c>
      <c r="BD28" s="379">
        <f>SUMIFS(BS_RE33!$H$7:$H$874,BS_RE33!$S$7:$S$874,$BD$2,BS_RE33!$N$7:$N$874,I28,BS_RE33!$P$7:$P$874,'30 days CF Table(EUR)'!G28,BS_RE33!$F$7:$F$874,'30 days CF Table(EUR)'!$C$2)</f>
        <v>0</v>
      </c>
      <c r="BE28" s="379">
        <f>SUMIFS(BS_RE33!$H$7:$H$874,BS_RE33!$S$7:$S$874,$BE$2,BS_RE33!$N$7:$N$874,I28,BS_RE33!$P$7:$P$874,'30 days CF Table(EUR)'!G28,BS_RE33!$F$7:$F$874,'30 days CF Table(EUR)'!$C$2)</f>
        <v>0</v>
      </c>
      <c r="BF28" s="379">
        <f>SUMIFS(BS_RE33!$H$7:$H$874,BS_RE33!$S$7:$S$874,$BF$2,BS_RE33!$N$7:$N$874,I28,BS_RE33!$P$7:$P$874,'30 days CF Table(EUR)'!G28,BS_RE33!$F$7:$F$874,'30 days CF Table(EUR)'!$C$2)</f>
        <v>0</v>
      </c>
      <c r="BG28" s="379">
        <f>SUMIFS(BS_RE33!$H$7:$H$874,BS_RE33!$S$7:$S$874,$BG$2,BS_RE33!$N$7:$N$874,I28,BS_RE33!$P$7:$P$874,'30 days CF Table(EUR)'!G28,BS_RE33!$F$7:$F$874,'30 days CF Table(EUR)'!$C$2)</f>
        <v>0</v>
      </c>
      <c r="BH28" s="379">
        <f>SUMIFS(BS_RE33!$H$7:$H$874,BS_RE33!$S$7:$S$874,$BH$2,BS_RE33!$N$7:$N$874,I28,BS_RE33!$P$7:$P$874,'30 days CF Table(EUR)'!G28,BS_RE33!$F$7:$F$874,'30 days CF Table(EUR)'!$C$2)</f>
        <v>0</v>
      </c>
      <c r="BI28" s="379">
        <f>SUMIFS(BS_RE33!$H$7:$H$874,BS_RE33!$S$7:$S$874,$BI$2,BS_RE33!$N$7:$N$874,I28,BS_RE33!$P$7:$P$874,'30 days CF Table(EUR)'!G28,BS_RE33!$F$7:$F$874,'30 days CF Table(EUR)'!$C$2)</f>
        <v>0</v>
      </c>
      <c r="BJ28" s="379">
        <f>SUMIFS(BS_RE33!$H$7:$H$874,BS_RE33!$S$7:$S$874,$BJ$2,BS_RE33!$N$7:$N$874,I28,BS_RE33!$P$7:$P$874,'30 days CF Table(EUR)'!G28,BS_RE33!$F$7:$F$874,'30 days CF Table(EUR)'!$C$2)</f>
        <v>0</v>
      </c>
      <c r="BK28" s="379">
        <f>SUMIFS(BS_RE33!$H$7:$H$874,BS_RE33!$S$7:$S$874,$BK$2,BS_RE33!$N$7:$N$874,I28,BS_RE33!$P$7:$P$874,'30 days CF Table(EUR)'!G28,BS_RE33!$F$7:$F$874,'30 days CF Table(EUR)'!$C$2)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Table(EUR)'!G29,BS_RE33!$F$7:$F$874,'30 days CF Table(EUR)'!$C$2)</f>
        <v>0</v>
      </c>
      <c r="M29" s="337">
        <f>SUMIFS(BS_RE33!$H$7:$H$874,BS_RE33!$S$7:$S$874,$M$2,BS_RE33!$N$7:$N$874,I29,BS_RE33!$P$7:$P$874,'30 days CF Table(EUR)'!G29,BS_RE33!$F$7:$F$874,'30 days CF Table(EUR)'!$C$2)</f>
        <v>0</v>
      </c>
      <c r="N29" s="337">
        <f>SUMIFS(BS_RE33!$H$7:$H$874,BS_RE33!$S$7:$S$874,$N$2,BS_RE33!$N$7:$N$874,I29,BS_RE33!$P$7:$P$874,'30 days CF Table(EUR)'!G29,BS_RE33!$F$7:$F$874,'30 days CF Table(EUR)'!$C$2)</f>
        <v>0</v>
      </c>
      <c r="O29" s="337">
        <f>SUMIFS(BS_RE33!$H$7:$H$874,BS_RE33!$S$7:$S$874,$O$2,BS_RE33!$N$7:$N$874,I29,BS_RE33!$P$7:$P$874,'30 days CF Table(EUR)'!G29,BS_RE33!$F$7:$F$874,'30 days CF Table(EUR)'!$C$2)</f>
        <v>0</v>
      </c>
      <c r="P29" s="337">
        <f>SUMIFS(BS_RE33!$H$7:$H$874,BS_RE33!$S$7:$S$874,$P$2,BS_RE33!$N$7:$N$874,I29,BS_RE33!$P$7:$P$874,'30 days CF Table(EUR)'!G29,BS_RE33!$F$7:$F$874,'30 days CF Table(EUR)'!$C$2)</f>
        <v>0</v>
      </c>
      <c r="Q29" s="337">
        <f>SUMIFS(BS_RE33!$H$7:$H$874,BS_RE33!$S$7:$S$874,$Q$2,BS_RE33!$N$7:$N$874,I29,BS_RE33!$P$7:$P$874,'30 days CF Table(EUR)'!G29,BS_RE33!$F$7:$F$874,'30 days CF Table(EUR)'!$C$2)</f>
        <v>0</v>
      </c>
      <c r="R29" s="337">
        <f>SUMIFS(BS_RE33!$H$7:$H$874,BS_RE33!$S$7:$S$874,$R$2,BS_RE33!$N$7:$N$874,I29,BS_RE33!$P$7:$P$874,'30 days CF Table(EUR)'!G29,BS_RE33!$F$7:$F$874,'30 days CF Table(EUR)'!$C$2)</f>
        <v>0</v>
      </c>
      <c r="S29" s="337">
        <f>SUMIFS(BS_RE33!$H$7:$H$874,BS_RE33!$S$7:$S$874,$S$2,BS_RE33!$N$7:$N$874,I29,BS_RE33!$P$7:$P$874,'30 days CF Table(EUR)'!G29,BS_RE33!$F$7:$F$874,'30 days CF Table(EUR)'!$C$2)</f>
        <v>0</v>
      </c>
      <c r="T29" s="337">
        <f>SUMIFS(BS_RE33!$H$7:$H$874,BS_RE33!$S$7:$S$874,$T$2,BS_RE33!$N$7:$N$874,I29,BS_RE33!$P$7:$P$874,'30 days CF Table(EUR)'!G29,BS_RE33!$F$7:$F$874,'30 days CF Table(EUR)'!$C$2)</f>
        <v>0</v>
      </c>
      <c r="U29" s="337">
        <f>SUMIFS(BS_RE33!$H$7:$H$874,BS_RE33!$S$7:$S$874,$U$2,BS_RE33!$N$7:$N$874,I29,BS_RE33!$P$7:$P$874,'30 days CF Table(EUR)'!G29,BS_RE33!$F$7:$F$874,'30 days CF Table(EUR)'!$C$2)</f>
        <v>0</v>
      </c>
      <c r="V29" s="337">
        <f>SUMIFS(BS_RE33!$H$7:$H$874,BS_RE33!$S$7:$S$874,$V$2,BS_RE33!$N$7:$N$874,I29,BS_RE33!$P$7:$P$874,'30 days CF Table(EUR)'!G29,BS_RE33!$F$7:$F$874,'30 days CF Table(EUR)'!$C$2)</f>
        <v>0</v>
      </c>
      <c r="W29" s="337">
        <f>SUMIFS(BS_RE33!$H$7:$H$874,BS_RE33!$S$7:$S$874,$W$2,BS_RE33!$N$7:$N$874,I29,BS_RE33!$P$7:$P$874,'30 days CF Table(EUR)'!G29,BS_RE33!$F$7:$F$874,'30 days CF Table(EUR)'!$C$2)</f>
        <v>0</v>
      </c>
      <c r="X29" s="337">
        <f>SUMIFS(BS_RE33!$H$7:$H$874,BS_RE33!$S$7:$S$874,$X$2,BS_RE33!$N$7:$N$874,I29,BS_RE33!$P$7:$P$874,'30 days CF Table(EUR)'!G29,BS_RE33!$F$7:$F$874,'30 days CF Table(EUR)'!$C$2)</f>
        <v>0</v>
      </c>
      <c r="Y29" s="337">
        <f>SUMIFS(BS_RE33!$H$7:$H$874,BS_RE33!$S$7:$S$874,$Y$2,BS_RE33!$N$7:$N$874,I29,BS_RE33!$P$7:$P$874,'30 days CF Table(EUR)'!G29,BS_RE33!$F$7:$F$874,'30 days CF Table(EUR)'!$C$2)</f>
        <v>0</v>
      </c>
      <c r="Z29" s="337">
        <f>SUMIFS(BS_RE33!$H$7:$H$874,BS_RE33!$S$7:$S$874,$Z$2,BS_RE33!$N$7:$N$874,I29,BS_RE33!$P$7:$P$874,'30 days CF Table(EUR)'!G29,BS_RE33!$F$7:$F$874,'30 days CF Table(EUR)'!$C$2)</f>
        <v>0</v>
      </c>
      <c r="AA29" s="337">
        <f>SUMIFS(BS_RE33!$H$7:$H$874,BS_RE33!$S$7:$S$874,$AA$2,BS_RE33!$N$7:$N$874,I29,BS_RE33!$P$7:$P$874,'30 days CF Table(EUR)'!G29,BS_RE33!$F$7:$F$874,'30 days CF Table(EUR)'!$C$2)</f>
        <v>0</v>
      </c>
      <c r="AB29" s="337">
        <f>SUMIFS(BS_RE33!$H$7:$H$874,BS_RE33!$S$7:$S$874,$AB$2,BS_RE33!$N$7:$N$874,I29,BS_RE33!$P$7:$P$874,'30 days CF Table(EUR)'!G29,BS_RE33!$F$7:$F$874,'30 days CF Table(EUR)'!$C$2)</f>
        <v>0</v>
      </c>
      <c r="AC29" s="337">
        <f>SUMIFS(BS_RE33!$H$7:$H$874,BS_RE33!$S$7:$S$874,$AC$2,BS_RE33!$N$7:$N$874,I29,BS_RE33!$P$7:$P$874,'30 days CF Table(EUR)'!G29,BS_RE33!$F$7:$F$874,'30 days CF Table(EUR)'!$C$2)</f>
        <v>0</v>
      </c>
      <c r="AD29" s="337">
        <f>SUMIFS(BS_RE33!$H$7:$H$874,BS_RE33!$S$7:$S$874,$AD$2,BS_RE33!$N$7:$N$874,I29,BS_RE33!$P$7:$P$874,'30 days CF Table(EUR)'!G29,BS_RE33!$F$7:$F$874,'30 days CF Table(EUR)'!$C$2)</f>
        <v>0</v>
      </c>
      <c r="AE29" s="337">
        <f>SUMIFS(BS_RE33!$H$7:$H$874,BS_RE33!$S$7:$S$874,$AE$2,BS_RE33!$N$7:$N$874,I29,BS_RE33!$P$7:$P$874,'30 days CF Table(EUR)'!G29,BS_RE33!$F$7:$F$874,'30 days CF Table(EUR)'!$C$2)</f>
        <v>0</v>
      </c>
      <c r="AF29" s="337">
        <f>SUMIFS(BS_RE33!$H$7:$H$874,BS_RE33!$S$7:$S$874,$AF$2,BS_RE33!$N$7:$N$874,I29,BS_RE33!$P$7:$P$874,'30 days CF Table(EUR)'!G29,BS_RE33!$F$7:$F$874,'30 days CF Table(EUR)'!$C$2)</f>
        <v>0</v>
      </c>
      <c r="AG29" s="337">
        <f>SUMIFS(BS_RE33!$H$7:$H$874,BS_RE33!$S$7:$S$874,$AG$2,BS_RE33!$N$7:$N$874,I29,BS_RE33!$P$7:$P$874,'30 days CF Table(EUR)'!G29,BS_RE33!$F$7:$F$874,'30 days CF Table(EUR)'!$C$2)</f>
        <v>0</v>
      </c>
      <c r="AH29" s="337">
        <f>SUMIFS(BS_RE33!$H$7:$H$874,BS_RE33!$S$7:$S$874,$AH$2,BS_RE33!$N$7:$N$874,I29,BS_RE33!$P$7:$P$874,'30 days CF Table(EUR)'!G29,BS_RE33!$F$7:$F$874,'30 days CF Table(EUR)'!$C$2)</f>
        <v>0</v>
      </c>
      <c r="AI29" s="337">
        <f>SUMIFS(BS_RE33!$H$7:$H$874,BS_RE33!$S$7:$S$874,$AI$2,BS_RE33!$N$7:$N$874,I29,BS_RE33!$P$7:$P$874,'30 days CF Table(EUR)'!G29,BS_RE33!$F$7:$F$874,'30 days CF Table(EUR)'!$C$2)</f>
        <v>0</v>
      </c>
      <c r="AJ29" s="337">
        <f>SUMIFS(BS_RE33!$H$7:$H$874,BS_RE33!$S$7:$S$874,$AJ$2,BS_RE33!$N$7:$N$874,I29,BS_RE33!$P$7:$P$874,'30 days CF Table(EUR)'!G29,BS_RE33!$F$7:$F$874,'30 days CF Table(EUR)'!$C$2)</f>
        <v>0</v>
      </c>
      <c r="AK29" s="337">
        <f>SUMIFS(BS_RE33!$H$7:$H$874,BS_RE33!$S$7:$S$874,$AK$2,BS_RE33!$N$7:$N$874,I29,BS_RE33!$P$7:$P$874,'30 days CF Table(EUR)'!G29,BS_RE33!$F$7:$F$874,'30 days CF Table(EUR)'!$C$2)</f>
        <v>0</v>
      </c>
      <c r="AL29" s="337">
        <f>SUMIFS(BS_RE33!$H$7:$H$874,BS_RE33!$S$7:$S$874,$AL$2,BS_RE33!$N$7:$N$874,I29,BS_RE33!$P$7:$P$874,'30 days CF Table(EUR)'!G29,BS_RE33!$F$7:$F$874,'30 days CF Table(EUR)'!$C$2)</f>
        <v>0</v>
      </c>
      <c r="AM29" s="337">
        <f>SUMIFS(BS_RE33!$H$7:$H$874,BS_RE33!$S$7:$S$874,$AM$2,BS_RE33!$N$7:$N$874,I29,BS_RE33!$P$7:$P$874,'30 days CF Table(EUR)'!G29,BS_RE33!$F$7:$F$874,'30 days CF Table(EUR)'!$C$2)</f>
        <v>0</v>
      </c>
      <c r="AN29" s="337">
        <f>SUMIFS(BS_RE33!$H$7:$H$874,BS_RE33!$S$7:$S$874,$AN$2,BS_RE33!$N$7:$N$874,I29,BS_RE33!$P$7:$P$874,'30 days CF Table(EUR)'!G29,BS_RE33!$F$7:$F$874,'30 days CF Table(EUR)'!$C$2)</f>
        <v>0</v>
      </c>
      <c r="AO29" s="337">
        <f>SUMIFS(BS_RE33!$H$7:$H$874,BS_RE33!$S$7:$S$874,$AO$2,BS_RE33!$N$7:$N$874,I29,BS_RE33!$P$7:$P$874,'30 days CF Table(EUR)'!G29,BS_RE33!$F$7:$F$874,'30 days CF Table(EUR)'!$C$2)</f>
        <v>0</v>
      </c>
      <c r="AP29" s="338">
        <f>SUMIFS(BS_RE33!$H$7:$H$874,BS_RE33!$S$7:$S$874,$AP$2,BS_RE33!$N$7:$N$874,I29,BS_RE33!$P$7:$P$874,'30 days CF Table(EUR)'!G29,BS_RE33!$F$7:$F$874,'30 days CF Table(EUR)'!$C$2)</f>
        <v>0</v>
      </c>
      <c r="AR29" s="379">
        <f>SUMIFS(BS_RE33!$H$7:$H$874,BS_RE33!$S$7:$S$874,$AR$2,BS_RE33!$N$7:$N$874,I29,BS_RE33!$P$7:$P$874,'30 days CF Table(EUR)'!G29,BS_RE33!$F$7:$F$874,'30 days CF Table(EUR)'!$C$2)</f>
        <v>0</v>
      </c>
      <c r="AS29" s="379">
        <f>SUMIFS(BS_RE33!$H$7:$H$874,BS_RE33!$S$7:$S$874,$AS$2,BS_RE33!$N$7:$N$874,I29,BS_RE33!$P$7:$P$874,'30 days CF Table(EUR)'!G29,BS_RE33!$F$7:$F$874,'30 days CF Table(EUR)'!$C$2)</f>
        <v>0</v>
      </c>
      <c r="AT29" s="379">
        <f>SUMIFS(BS_RE33!$H$7:$H$874,BS_RE33!$S$7:$S$874,$AT$2,BS_RE33!$N$7:$N$874,I29,BS_RE33!$P$7:$P$874,'30 days CF Table(EUR)'!G29,BS_RE33!$F$7:$F$874,'30 days CF Table(EUR)'!$C$2)</f>
        <v>0</v>
      </c>
      <c r="AU29" s="379">
        <f>SUMIFS(BS_RE33!$H$7:$H$874,BS_RE33!$S$7:$S$874,$AU$2,BS_RE33!$N$7:$N$874,I29,BS_RE33!$P$7:$P$874,'30 days CF Table(EUR)'!G29,BS_RE33!$F$7:$F$874,'30 days CF Table(EUR)'!$C$2)</f>
        <v>0</v>
      </c>
      <c r="AV29" s="379">
        <f>SUMIFS(BS_RE33!$H$7:$H$874,BS_RE33!$S$7:$S$874,$AV$2,BS_RE33!$N$7:$N$874,I29,BS_RE33!$P$7:$P$874,'30 days CF Table(EUR)'!G29,BS_RE33!$F$7:$F$874,'30 days CF Table(EUR)'!$C$2)</f>
        <v>0</v>
      </c>
      <c r="AW29" s="379">
        <f>SUMIFS(BS_RE33!$H$7:$H$874,BS_RE33!$S$7:$S$874,$AW$2,BS_RE33!$N$7:$N$874,I29,BS_RE33!$P$7:$P$874,'30 days CF Table(EUR)'!G29,BS_RE33!$F$7:$F$874,'30 days CF Table(EUR)'!$C$2)</f>
        <v>0</v>
      </c>
      <c r="AX29" s="379">
        <f>SUMIFS(BS_RE33!$H$7:$H$874,BS_RE33!$S$7:$S$874,$AX$2,BS_RE33!$N$7:$N$874,I29,BS_RE33!$P$7:$P$874,'30 days CF Table(EUR)'!G29,BS_RE33!$F$7:$F$874,'30 days CF Table(EUR)'!$C$2)</f>
        <v>0</v>
      </c>
      <c r="AY29" s="379">
        <f>SUMIFS(BS_RE33!$H$7:$H$874,BS_RE33!$S$7:$S$874,$AY$2,BS_RE33!$N$7:$N$874,I29,BS_RE33!$P$7:$P$874,'30 days CF Table(EUR)'!G29,BS_RE33!$F$7:$F$874,'30 days CF Table(EUR)'!$C$2)</f>
        <v>0</v>
      </c>
      <c r="AZ29" s="379">
        <f>SUMIFS(BS_RE33!$H$7:$H$874,BS_RE33!$S$7:$S$874,$AZ$2,BS_RE33!$N$7:$N$874,I29,BS_RE33!$P$7:$P$874,'30 days CF Table(EUR)'!G29,BS_RE33!$F$7:$F$874,'30 days CF Table(EUR)'!$C$2)</f>
        <v>0</v>
      </c>
      <c r="BA29" s="379">
        <f>SUMIFS(BS_RE33!$H$7:$H$874,BS_RE33!$S$7:$S$874,$BA$2,BS_RE33!$N$7:$N$874,I29,BS_RE33!$P$7:$P$874,'30 days CF Table(EUR)'!G29,BS_RE33!$F$7:$F$874,'30 days CF Table(EUR)'!$C$2)</f>
        <v>0</v>
      </c>
      <c r="BB29" s="379">
        <f>SUMIFS(BS_RE33!$H$7:$H$874,BS_RE33!$S$7:$S$874,$BB$2,BS_RE33!$N$7:$N$874,I29,BS_RE33!$P$7:$P$874,'30 days CF Table(EUR)'!G29,BS_RE33!$F$7:$F$874,'30 days CF Table(EUR)'!$C$2)</f>
        <v>0</v>
      </c>
      <c r="BC29" s="379">
        <f>SUMIFS(BS_RE33!$H$7:$H$874,BS_RE33!$S$7:$S$874,$BC$2,BS_RE33!$N$7:$N$874,I29,BS_RE33!$P$7:$P$874,'30 days CF Table(EUR)'!G29,BS_RE33!$F$7:$F$874,'30 days CF Table(EUR)'!$C$2)</f>
        <v>0</v>
      </c>
      <c r="BD29" s="379">
        <f>SUMIFS(BS_RE33!$H$7:$H$874,BS_RE33!$S$7:$S$874,$BD$2,BS_RE33!$N$7:$N$874,I29,BS_RE33!$P$7:$P$874,'30 days CF Table(EUR)'!G29,BS_RE33!$F$7:$F$874,'30 days CF Table(EUR)'!$C$2)</f>
        <v>0</v>
      </c>
      <c r="BE29" s="379">
        <f>SUMIFS(BS_RE33!$H$7:$H$874,BS_RE33!$S$7:$S$874,$BE$2,BS_RE33!$N$7:$N$874,I29,BS_RE33!$P$7:$P$874,'30 days CF Table(EUR)'!G29,BS_RE33!$F$7:$F$874,'30 days CF Table(EUR)'!$C$2)</f>
        <v>0</v>
      </c>
      <c r="BF29" s="379">
        <f>SUMIFS(BS_RE33!$H$7:$H$874,BS_RE33!$S$7:$S$874,$BF$2,BS_RE33!$N$7:$N$874,I29,BS_RE33!$P$7:$P$874,'30 days CF Table(EUR)'!G29,BS_RE33!$F$7:$F$874,'30 days CF Table(EUR)'!$C$2)</f>
        <v>0</v>
      </c>
      <c r="BG29" s="379">
        <f>SUMIFS(BS_RE33!$H$7:$H$874,BS_RE33!$S$7:$S$874,$BG$2,BS_RE33!$N$7:$N$874,I29,BS_RE33!$P$7:$P$874,'30 days CF Table(EUR)'!G29,BS_RE33!$F$7:$F$874,'30 days CF Table(EUR)'!$C$2)</f>
        <v>0</v>
      </c>
      <c r="BH29" s="379">
        <f>SUMIFS(BS_RE33!$H$7:$H$874,BS_RE33!$S$7:$S$874,$BH$2,BS_RE33!$N$7:$N$874,I29,BS_RE33!$P$7:$P$874,'30 days CF Table(EUR)'!G29,BS_RE33!$F$7:$F$874,'30 days CF Table(EUR)'!$C$2)</f>
        <v>0</v>
      </c>
      <c r="BI29" s="379">
        <f>SUMIFS(BS_RE33!$H$7:$H$874,BS_RE33!$S$7:$S$874,$BI$2,BS_RE33!$N$7:$N$874,I29,BS_RE33!$P$7:$P$874,'30 days CF Table(EUR)'!G29,BS_RE33!$F$7:$F$874,'30 days CF Table(EUR)'!$C$2)</f>
        <v>0</v>
      </c>
      <c r="BJ29" s="379">
        <f>SUMIFS(BS_RE33!$H$7:$H$874,BS_RE33!$S$7:$S$874,$BJ$2,BS_RE33!$N$7:$N$874,I29,BS_RE33!$P$7:$P$874,'30 days CF Table(EUR)'!G29,BS_RE33!$F$7:$F$874,'30 days CF Table(EUR)'!$C$2)</f>
        <v>0</v>
      </c>
      <c r="BK29" s="379">
        <f>SUMIFS(BS_RE33!$H$7:$H$874,BS_RE33!$S$7:$S$874,$BK$2,BS_RE33!$N$7:$N$874,I29,BS_RE33!$P$7:$P$874,'30 days CF Table(EUR)'!G29,BS_RE33!$F$7:$F$874,'30 days CF Table(EUR)'!$C$2)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Table(EUR)'!G30,BS_RE33!$F$7:$F$874,'30 days CF Table(EUR)'!$C$2)</f>
        <v>0</v>
      </c>
      <c r="M30" s="337">
        <f>SUMIFS(BS_RE33!$H$7:$H$874,BS_RE33!$S$7:$S$874,$M$2,BS_RE33!$N$7:$N$874,I30,BS_RE33!$P$7:$P$874,'30 days CF Table(EUR)'!G30,BS_RE33!$F$7:$F$874,'30 days CF Table(EUR)'!$C$2)</f>
        <v>0</v>
      </c>
      <c r="N30" s="337">
        <f>SUMIFS(BS_RE33!$H$7:$H$874,BS_RE33!$S$7:$S$874,$N$2,BS_RE33!$N$7:$N$874,I30,BS_RE33!$P$7:$P$874,'30 days CF Table(EUR)'!G30,BS_RE33!$F$7:$F$874,'30 days CF Table(EUR)'!$C$2)</f>
        <v>0</v>
      </c>
      <c r="O30" s="337">
        <f>SUMIFS(BS_RE33!$H$7:$H$874,BS_RE33!$S$7:$S$874,$O$2,BS_RE33!$N$7:$N$874,I30,BS_RE33!$P$7:$P$874,'30 days CF Table(EUR)'!G30,BS_RE33!$F$7:$F$874,'30 days CF Table(EUR)'!$C$2)</f>
        <v>0</v>
      </c>
      <c r="P30" s="337">
        <f>SUMIFS(BS_RE33!$H$7:$H$874,BS_RE33!$S$7:$S$874,$P$2,BS_RE33!$N$7:$N$874,I30,BS_RE33!$P$7:$P$874,'30 days CF Table(EUR)'!G30,BS_RE33!$F$7:$F$874,'30 days CF Table(EUR)'!$C$2)</f>
        <v>0</v>
      </c>
      <c r="Q30" s="337">
        <f>SUMIFS(BS_RE33!$H$7:$H$874,BS_RE33!$S$7:$S$874,$Q$2,BS_RE33!$N$7:$N$874,I30,BS_RE33!$P$7:$P$874,'30 days CF Table(EUR)'!G30,BS_RE33!$F$7:$F$874,'30 days CF Table(EUR)'!$C$2)</f>
        <v>0</v>
      </c>
      <c r="R30" s="337">
        <f>SUMIFS(BS_RE33!$H$7:$H$874,BS_RE33!$S$7:$S$874,$R$2,BS_RE33!$N$7:$N$874,I30,BS_RE33!$P$7:$P$874,'30 days CF Table(EUR)'!G30,BS_RE33!$F$7:$F$874,'30 days CF Table(EUR)'!$C$2)</f>
        <v>0</v>
      </c>
      <c r="S30" s="337">
        <f>SUMIFS(BS_RE33!$H$7:$H$874,BS_RE33!$S$7:$S$874,$S$2,BS_RE33!$N$7:$N$874,I30,BS_RE33!$P$7:$P$874,'30 days CF Table(EUR)'!G30,BS_RE33!$F$7:$F$874,'30 days CF Table(EUR)'!$C$2)</f>
        <v>0</v>
      </c>
      <c r="T30" s="337">
        <f>SUMIFS(BS_RE33!$H$7:$H$874,BS_RE33!$S$7:$S$874,$T$2,BS_RE33!$N$7:$N$874,I30,BS_RE33!$P$7:$P$874,'30 days CF Table(EUR)'!G30,BS_RE33!$F$7:$F$874,'30 days CF Table(EUR)'!$C$2)</f>
        <v>0</v>
      </c>
      <c r="U30" s="337">
        <f>SUMIFS(BS_RE33!$H$7:$H$874,BS_RE33!$S$7:$S$874,$U$2,BS_RE33!$N$7:$N$874,I30,BS_RE33!$P$7:$P$874,'30 days CF Table(EUR)'!G30,BS_RE33!$F$7:$F$874,'30 days CF Table(EUR)'!$C$2)</f>
        <v>0</v>
      </c>
      <c r="V30" s="337">
        <f>SUMIFS(BS_RE33!$H$7:$H$874,BS_RE33!$S$7:$S$874,$V$2,BS_RE33!$N$7:$N$874,I30,BS_RE33!$P$7:$P$874,'30 days CF Table(EUR)'!G30,BS_RE33!$F$7:$F$874,'30 days CF Table(EUR)'!$C$2)</f>
        <v>0</v>
      </c>
      <c r="W30" s="337">
        <f>SUMIFS(BS_RE33!$H$7:$H$874,BS_RE33!$S$7:$S$874,$W$2,BS_RE33!$N$7:$N$874,I30,BS_RE33!$P$7:$P$874,'30 days CF Table(EUR)'!G30,BS_RE33!$F$7:$F$874,'30 days CF Table(EUR)'!$C$2)</f>
        <v>0</v>
      </c>
      <c r="X30" s="337">
        <f>SUMIFS(BS_RE33!$H$7:$H$874,BS_RE33!$S$7:$S$874,$X$2,BS_RE33!$N$7:$N$874,I30,BS_RE33!$P$7:$P$874,'30 days CF Table(EUR)'!G30,BS_RE33!$F$7:$F$874,'30 days CF Table(EUR)'!$C$2)</f>
        <v>0</v>
      </c>
      <c r="Y30" s="337">
        <f>SUMIFS(BS_RE33!$H$7:$H$874,BS_RE33!$S$7:$S$874,$Y$2,BS_RE33!$N$7:$N$874,I30,BS_RE33!$P$7:$P$874,'30 days CF Table(EUR)'!G30,BS_RE33!$F$7:$F$874,'30 days CF Table(EUR)'!$C$2)</f>
        <v>0</v>
      </c>
      <c r="Z30" s="337">
        <f>SUMIFS(BS_RE33!$H$7:$H$874,BS_RE33!$S$7:$S$874,$Z$2,BS_RE33!$N$7:$N$874,I30,BS_RE33!$P$7:$P$874,'30 days CF Table(EUR)'!G30,BS_RE33!$F$7:$F$874,'30 days CF Table(EUR)'!$C$2)</f>
        <v>0</v>
      </c>
      <c r="AA30" s="337">
        <f>SUMIFS(BS_RE33!$H$7:$H$874,BS_RE33!$S$7:$S$874,$AA$2,BS_RE33!$N$7:$N$874,I30,BS_RE33!$P$7:$P$874,'30 days CF Table(EUR)'!G30,BS_RE33!$F$7:$F$874,'30 days CF Table(EUR)'!$C$2)</f>
        <v>0</v>
      </c>
      <c r="AB30" s="337">
        <f>SUMIFS(BS_RE33!$H$7:$H$874,BS_RE33!$S$7:$S$874,$AB$2,BS_RE33!$N$7:$N$874,I30,BS_RE33!$P$7:$P$874,'30 days CF Table(EUR)'!G30,BS_RE33!$F$7:$F$874,'30 days CF Table(EUR)'!$C$2)</f>
        <v>0</v>
      </c>
      <c r="AC30" s="337">
        <f>SUMIFS(BS_RE33!$H$7:$H$874,BS_RE33!$S$7:$S$874,$AC$2,BS_RE33!$N$7:$N$874,I30,BS_RE33!$P$7:$P$874,'30 days CF Table(EUR)'!G30,BS_RE33!$F$7:$F$874,'30 days CF Table(EUR)'!$C$2)</f>
        <v>0</v>
      </c>
      <c r="AD30" s="337">
        <f>SUMIFS(BS_RE33!$H$7:$H$874,BS_RE33!$S$7:$S$874,$AD$2,BS_RE33!$N$7:$N$874,I30,BS_RE33!$P$7:$P$874,'30 days CF Table(EUR)'!G30,BS_RE33!$F$7:$F$874,'30 days CF Table(EUR)'!$C$2)</f>
        <v>0</v>
      </c>
      <c r="AE30" s="337">
        <f>SUMIFS(BS_RE33!$H$7:$H$874,BS_RE33!$S$7:$S$874,$AE$2,BS_RE33!$N$7:$N$874,I30,BS_RE33!$P$7:$P$874,'30 days CF Table(EUR)'!G30,BS_RE33!$F$7:$F$874,'30 days CF Table(EUR)'!$C$2)</f>
        <v>0</v>
      </c>
      <c r="AF30" s="337">
        <f>SUMIFS(BS_RE33!$H$7:$H$874,BS_RE33!$S$7:$S$874,$AF$2,BS_RE33!$N$7:$N$874,I30,BS_RE33!$P$7:$P$874,'30 days CF Table(EUR)'!G30,BS_RE33!$F$7:$F$874,'30 days CF Table(EUR)'!$C$2)</f>
        <v>0</v>
      </c>
      <c r="AG30" s="337">
        <f>SUMIFS(BS_RE33!$H$7:$H$874,BS_RE33!$S$7:$S$874,$AG$2,BS_RE33!$N$7:$N$874,I30,BS_RE33!$P$7:$P$874,'30 days CF Table(EUR)'!G30,BS_RE33!$F$7:$F$874,'30 days CF Table(EUR)'!$C$2)</f>
        <v>0</v>
      </c>
      <c r="AH30" s="337">
        <f>SUMIFS(BS_RE33!$H$7:$H$874,BS_RE33!$S$7:$S$874,$AH$2,BS_RE33!$N$7:$N$874,I30,BS_RE33!$P$7:$P$874,'30 days CF Table(EUR)'!G30,BS_RE33!$F$7:$F$874,'30 days CF Table(EUR)'!$C$2)</f>
        <v>0</v>
      </c>
      <c r="AI30" s="337">
        <f>SUMIFS(BS_RE33!$H$7:$H$874,BS_RE33!$S$7:$S$874,$AI$2,BS_RE33!$N$7:$N$874,I30,BS_RE33!$P$7:$P$874,'30 days CF Table(EUR)'!G30,BS_RE33!$F$7:$F$874,'30 days CF Table(EUR)'!$C$2)</f>
        <v>0</v>
      </c>
      <c r="AJ30" s="337">
        <f>SUMIFS(BS_RE33!$H$7:$H$874,BS_RE33!$S$7:$S$874,$AJ$2,BS_RE33!$N$7:$N$874,I30,BS_RE33!$P$7:$P$874,'30 days CF Table(EUR)'!G30,BS_RE33!$F$7:$F$874,'30 days CF Table(EUR)'!$C$2)</f>
        <v>0</v>
      </c>
      <c r="AK30" s="337">
        <f>SUMIFS(BS_RE33!$H$7:$H$874,BS_RE33!$S$7:$S$874,$AK$2,BS_RE33!$N$7:$N$874,I30,BS_RE33!$P$7:$P$874,'30 days CF Table(EUR)'!G30,BS_RE33!$F$7:$F$874,'30 days CF Table(EUR)'!$C$2)</f>
        <v>0</v>
      </c>
      <c r="AL30" s="337">
        <f>SUMIFS(BS_RE33!$H$7:$H$874,BS_RE33!$S$7:$S$874,$AL$2,BS_RE33!$N$7:$N$874,I30,BS_RE33!$P$7:$P$874,'30 days CF Table(EUR)'!G30,BS_RE33!$F$7:$F$874,'30 days CF Table(EUR)'!$C$2)</f>
        <v>0</v>
      </c>
      <c r="AM30" s="337">
        <f>SUMIFS(BS_RE33!$H$7:$H$874,BS_RE33!$S$7:$S$874,$AM$2,BS_RE33!$N$7:$N$874,I30,BS_RE33!$P$7:$P$874,'30 days CF Table(EUR)'!G30,BS_RE33!$F$7:$F$874,'30 days CF Table(EUR)'!$C$2)</f>
        <v>0</v>
      </c>
      <c r="AN30" s="337">
        <f>SUMIFS(BS_RE33!$H$7:$H$874,BS_RE33!$S$7:$S$874,$AN$2,BS_RE33!$N$7:$N$874,I30,BS_RE33!$P$7:$P$874,'30 days CF Table(EUR)'!G30,BS_RE33!$F$7:$F$874,'30 days CF Table(EUR)'!$C$2)</f>
        <v>0</v>
      </c>
      <c r="AO30" s="337">
        <f>SUMIFS(BS_RE33!$H$7:$H$874,BS_RE33!$S$7:$S$874,$AO$2,BS_RE33!$N$7:$N$874,I30,BS_RE33!$P$7:$P$874,'30 days CF Table(EUR)'!G30,BS_RE33!$F$7:$F$874,'30 days CF Table(EUR)'!$C$2)</f>
        <v>0</v>
      </c>
      <c r="AP30" s="338">
        <f>SUMIFS(BS_RE33!$H$7:$H$874,BS_RE33!$S$7:$S$874,$AP$2,BS_RE33!$N$7:$N$874,I30,BS_RE33!$P$7:$P$874,'30 days CF Table(EUR)'!G30,BS_RE33!$F$7:$F$874,'30 days CF Table(EUR)'!$C$2)</f>
        <v>0</v>
      </c>
      <c r="AR30" s="379">
        <f>SUMIFS(BS_RE33!$H$7:$H$874,BS_RE33!$S$7:$S$874,$AR$2,BS_RE33!$N$7:$N$874,I30,BS_RE33!$P$7:$P$874,'30 days CF Table(EUR)'!G30,BS_RE33!$F$7:$F$874,'30 days CF Table(EUR)'!$C$2)</f>
        <v>0</v>
      </c>
      <c r="AS30" s="379">
        <f>SUMIFS(BS_RE33!$H$7:$H$874,BS_RE33!$S$7:$S$874,$AS$2,BS_RE33!$N$7:$N$874,I30,BS_RE33!$P$7:$P$874,'30 days CF Table(EUR)'!G30,BS_RE33!$F$7:$F$874,'30 days CF Table(EUR)'!$C$2)</f>
        <v>0</v>
      </c>
      <c r="AT30" s="379">
        <f>SUMIFS(BS_RE33!$H$7:$H$874,BS_RE33!$S$7:$S$874,$AT$2,BS_RE33!$N$7:$N$874,I30,BS_RE33!$P$7:$P$874,'30 days CF Table(EUR)'!G30,BS_RE33!$F$7:$F$874,'30 days CF Table(EUR)'!$C$2)</f>
        <v>0</v>
      </c>
      <c r="AU30" s="379">
        <f>SUMIFS(BS_RE33!$H$7:$H$874,BS_RE33!$S$7:$S$874,$AU$2,BS_RE33!$N$7:$N$874,I30,BS_RE33!$P$7:$P$874,'30 days CF Table(EUR)'!G30,BS_RE33!$F$7:$F$874,'30 days CF Table(EUR)'!$C$2)</f>
        <v>0</v>
      </c>
      <c r="AV30" s="379">
        <f>SUMIFS(BS_RE33!$H$7:$H$874,BS_RE33!$S$7:$S$874,$AV$2,BS_RE33!$N$7:$N$874,I30,BS_RE33!$P$7:$P$874,'30 days CF Table(EUR)'!G30,BS_RE33!$F$7:$F$874,'30 days CF Table(EUR)'!$C$2)</f>
        <v>0</v>
      </c>
      <c r="AW30" s="379">
        <f>SUMIFS(BS_RE33!$H$7:$H$874,BS_RE33!$S$7:$S$874,$AW$2,BS_RE33!$N$7:$N$874,I30,BS_RE33!$P$7:$P$874,'30 days CF Table(EUR)'!G30,BS_RE33!$F$7:$F$874,'30 days CF Table(EUR)'!$C$2)</f>
        <v>0</v>
      </c>
      <c r="AX30" s="379">
        <f>SUMIFS(BS_RE33!$H$7:$H$874,BS_RE33!$S$7:$S$874,$AX$2,BS_RE33!$N$7:$N$874,I30,BS_RE33!$P$7:$P$874,'30 days CF Table(EUR)'!G30,BS_RE33!$F$7:$F$874,'30 days CF Table(EUR)'!$C$2)</f>
        <v>0</v>
      </c>
      <c r="AY30" s="379">
        <f>SUMIFS(BS_RE33!$H$7:$H$874,BS_RE33!$S$7:$S$874,$AY$2,BS_RE33!$N$7:$N$874,I30,BS_RE33!$P$7:$P$874,'30 days CF Table(EUR)'!G30,BS_RE33!$F$7:$F$874,'30 days CF Table(EUR)'!$C$2)</f>
        <v>0</v>
      </c>
      <c r="AZ30" s="379">
        <f>SUMIFS(BS_RE33!$H$7:$H$874,BS_RE33!$S$7:$S$874,$AZ$2,BS_RE33!$N$7:$N$874,I30,BS_RE33!$P$7:$P$874,'30 days CF Table(EUR)'!G30,BS_RE33!$F$7:$F$874,'30 days CF Table(EUR)'!$C$2)</f>
        <v>0</v>
      </c>
      <c r="BA30" s="379">
        <f>SUMIFS(BS_RE33!$H$7:$H$874,BS_RE33!$S$7:$S$874,$BA$2,BS_RE33!$N$7:$N$874,I30,BS_RE33!$P$7:$P$874,'30 days CF Table(EUR)'!G30,BS_RE33!$F$7:$F$874,'30 days CF Table(EUR)'!$C$2)</f>
        <v>0</v>
      </c>
      <c r="BB30" s="379">
        <f>SUMIFS(BS_RE33!$H$7:$H$874,BS_RE33!$S$7:$S$874,$BB$2,BS_RE33!$N$7:$N$874,I30,BS_RE33!$P$7:$P$874,'30 days CF Table(EUR)'!G30,BS_RE33!$F$7:$F$874,'30 days CF Table(EUR)'!$C$2)</f>
        <v>0</v>
      </c>
      <c r="BC30" s="379">
        <f>SUMIFS(BS_RE33!$H$7:$H$874,BS_RE33!$S$7:$S$874,$BC$2,BS_RE33!$N$7:$N$874,I30,BS_RE33!$P$7:$P$874,'30 days CF Table(EUR)'!G30,BS_RE33!$F$7:$F$874,'30 days CF Table(EUR)'!$C$2)</f>
        <v>0</v>
      </c>
      <c r="BD30" s="379">
        <f>SUMIFS(BS_RE33!$H$7:$H$874,BS_RE33!$S$7:$S$874,$BD$2,BS_RE33!$N$7:$N$874,I30,BS_RE33!$P$7:$P$874,'30 days CF Table(EUR)'!G30,BS_RE33!$F$7:$F$874,'30 days CF Table(EUR)'!$C$2)</f>
        <v>0</v>
      </c>
      <c r="BE30" s="379">
        <f>SUMIFS(BS_RE33!$H$7:$H$874,BS_RE33!$S$7:$S$874,$BE$2,BS_RE33!$N$7:$N$874,I30,BS_RE33!$P$7:$P$874,'30 days CF Table(EUR)'!G30,BS_RE33!$F$7:$F$874,'30 days CF Table(EUR)'!$C$2)</f>
        <v>0</v>
      </c>
      <c r="BF30" s="379">
        <f>SUMIFS(BS_RE33!$H$7:$H$874,BS_RE33!$S$7:$S$874,$BF$2,BS_RE33!$N$7:$N$874,I30,BS_RE33!$P$7:$P$874,'30 days CF Table(EUR)'!G30,BS_RE33!$F$7:$F$874,'30 days CF Table(EUR)'!$C$2)</f>
        <v>0</v>
      </c>
      <c r="BG30" s="379">
        <f>SUMIFS(BS_RE33!$H$7:$H$874,BS_RE33!$S$7:$S$874,$BG$2,BS_RE33!$N$7:$N$874,I30,BS_RE33!$P$7:$P$874,'30 days CF Table(EUR)'!G30,BS_RE33!$F$7:$F$874,'30 days CF Table(EUR)'!$C$2)</f>
        <v>0</v>
      </c>
      <c r="BH30" s="379">
        <f>SUMIFS(BS_RE33!$H$7:$H$874,BS_RE33!$S$7:$S$874,$BH$2,BS_RE33!$N$7:$N$874,I30,BS_RE33!$P$7:$P$874,'30 days CF Table(EUR)'!G30,BS_RE33!$F$7:$F$874,'30 days CF Table(EUR)'!$C$2)</f>
        <v>0</v>
      </c>
      <c r="BI30" s="379">
        <f>SUMIFS(BS_RE33!$H$7:$H$874,BS_RE33!$S$7:$S$874,$BI$2,BS_RE33!$N$7:$N$874,I30,BS_RE33!$P$7:$P$874,'30 days CF Table(EUR)'!G30,BS_RE33!$F$7:$F$874,'30 days CF Table(EUR)'!$C$2)</f>
        <v>0</v>
      </c>
      <c r="BJ30" s="379">
        <f>SUMIFS(BS_RE33!$H$7:$H$874,BS_RE33!$S$7:$S$874,$BJ$2,BS_RE33!$N$7:$N$874,I30,BS_RE33!$P$7:$P$874,'30 days CF Table(EUR)'!G30,BS_RE33!$F$7:$F$874,'30 days CF Table(EUR)'!$C$2)</f>
        <v>0</v>
      </c>
      <c r="BK30" s="379">
        <f>SUMIFS(BS_RE33!$H$7:$H$874,BS_RE33!$S$7:$S$874,$BK$2,BS_RE33!$N$7:$N$874,I30,BS_RE33!$P$7:$P$874,'30 days CF Table(EUR)'!G30,BS_RE33!$F$7:$F$874,'30 days CF Table(EUR)'!$C$2)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Table(EUR)'!G31,BS_RE33!$F$7:$F$874,'30 days CF Table(EUR)'!$C$2)</f>
        <v>0</v>
      </c>
      <c r="M31" s="337">
        <f>SUMIFS(BS_RE33!$H$7:$H$874,BS_RE33!$S$7:$S$874,$M$2,BS_RE33!$N$7:$N$874,I31,BS_RE33!$P$7:$P$874,'30 days CF Table(EUR)'!G31,BS_RE33!$F$7:$F$874,'30 days CF Table(EUR)'!$C$2)</f>
        <v>0</v>
      </c>
      <c r="N31" s="337">
        <f>SUMIFS(BS_RE33!$H$7:$H$874,BS_RE33!$S$7:$S$874,$N$2,BS_RE33!$N$7:$N$874,I31,BS_RE33!$P$7:$P$874,'30 days CF Table(EUR)'!G31,BS_RE33!$F$7:$F$874,'30 days CF Table(EUR)'!$C$2)</f>
        <v>0</v>
      </c>
      <c r="O31" s="337">
        <f>SUMIFS(BS_RE33!$H$7:$H$874,BS_RE33!$S$7:$S$874,$O$2,BS_RE33!$N$7:$N$874,I31,BS_RE33!$P$7:$P$874,'30 days CF Table(EUR)'!G31,BS_RE33!$F$7:$F$874,'30 days CF Table(EUR)'!$C$2)</f>
        <v>0</v>
      </c>
      <c r="P31" s="337">
        <f>SUMIFS(BS_RE33!$H$7:$H$874,BS_RE33!$S$7:$S$874,$P$2,BS_RE33!$N$7:$N$874,I31,BS_RE33!$P$7:$P$874,'30 days CF Table(EUR)'!G31,BS_RE33!$F$7:$F$874,'30 days CF Table(EUR)'!$C$2)</f>
        <v>0</v>
      </c>
      <c r="Q31" s="337">
        <f>SUMIFS(BS_RE33!$H$7:$H$874,BS_RE33!$S$7:$S$874,$Q$2,BS_RE33!$N$7:$N$874,I31,BS_RE33!$P$7:$P$874,'30 days CF Table(EUR)'!G31,BS_RE33!$F$7:$F$874,'30 days CF Table(EUR)'!$C$2)</f>
        <v>0</v>
      </c>
      <c r="R31" s="337">
        <f>SUMIFS(BS_RE33!$H$7:$H$874,BS_RE33!$S$7:$S$874,$R$2,BS_RE33!$N$7:$N$874,I31,BS_RE33!$P$7:$P$874,'30 days CF Table(EUR)'!G31,BS_RE33!$F$7:$F$874,'30 days CF Table(EUR)'!$C$2)</f>
        <v>0</v>
      </c>
      <c r="S31" s="337">
        <f>SUMIFS(BS_RE33!$H$7:$H$874,BS_RE33!$S$7:$S$874,$S$2,BS_RE33!$N$7:$N$874,I31,BS_RE33!$P$7:$P$874,'30 days CF Table(EUR)'!G31,BS_RE33!$F$7:$F$874,'30 days CF Table(EUR)'!$C$2)</f>
        <v>0</v>
      </c>
      <c r="T31" s="337">
        <f>SUMIFS(BS_RE33!$H$7:$H$874,BS_RE33!$S$7:$S$874,$T$2,BS_RE33!$N$7:$N$874,I31,BS_RE33!$P$7:$P$874,'30 days CF Table(EUR)'!G31,BS_RE33!$F$7:$F$874,'30 days CF Table(EUR)'!$C$2)</f>
        <v>0</v>
      </c>
      <c r="U31" s="337">
        <f>SUMIFS(BS_RE33!$H$7:$H$874,BS_RE33!$S$7:$S$874,$U$2,BS_RE33!$N$7:$N$874,I31,BS_RE33!$P$7:$P$874,'30 days CF Table(EUR)'!G31,BS_RE33!$F$7:$F$874,'30 days CF Table(EUR)'!$C$2)</f>
        <v>0</v>
      </c>
      <c r="V31" s="337">
        <f>SUMIFS(BS_RE33!$H$7:$H$874,BS_RE33!$S$7:$S$874,$V$2,BS_RE33!$N$7:$N$874,I31,BS_RE33!$P$7:$P$874,'30 days CF Table(EUR)'!G31,BS_RE33!$F$7:$F$874,'30 days CF Table(EUR)'!$C$2)</f>
        <v>0</v>
      </c>
      <c r="W31" s="337">
        <f>SUMIFS(BS_RE33!$H$7:$H$874,BS_RE33!$S$7:$S$874,$W$2,BS_RE33!$N$7:$N$874,I31,BS_RE33!$P$7:$P$874,'30 days CF Table(EUR)'!G31,BS_RE33!$F$7:$F$874,'30 days CF Table(EUR)'!$C$2)</f>
        <v>0</v>
      </c>
      <c r="X31" s="337">
        <f>SUMIFS(BS_RE33!$H$7:$H$874,BS_RE33!$S$7:$S$874,$X$2,BS_RE33!$N$7:$N$874,I31,BS_RE33!$P$7:$P$874,'30 days CF Table(EUR)'!G31,BS_RE33!$F$7:$F$874,'30 days CF Table(EUR)'!$C$2)</f>
        <v>0</v>
      </c>
      <c r="Y31" s="337">
        <f>SUMIFS(BS_RE33!$H$7:$H$874,BS_RE33!$S$7:$S$874,$Y$2,BS_RE33!$N$7:$N$874,I31,BS_RE33!$P$7:$P$874,'30 days CF Table(EUR)'!G31,BS_RE33!$F$7:$F$874,'30 days CF Table(EUR)'!$C$2)</f>
        <v>0</v>
      </c>
      <c r="Z31" s="337">
        <f>SUMIFS(BS_RE33!$H$7:$H$874,BS_RE33!$S$7:$S$874,$Z$2,BS_RE33!$N$7:$N$874,I31,BS_RE33!$P$7:$P$874,'30 days CF Table(EUR)'!G31,BS_RE33!$F$7:$F$874,'30 days CF Table(EUR)'!$C$2)</f>
        <v>0</v>
      </c>
      <c r="AA31" s="337">
        <f>SUMIFS(BS_RE33!$H$7:$H$874,BS_RE33!$S$7:$S$874,$AA$2,BS_RE33!$N$7:$N$874,I31,BS_RE33!$P$7:$P$874,'30 days CF Table(EUR)'!G31,BS_RE33!$F$7:$F$874,'30 days CF Table(EUR)'!$C$2)</f>
        <v>0</v>
      </c>
      <c r="AB31" s="337">
        <f>SUMIFS(BS_RE33!$H$7:$H$874,BS_RE33!$S$7:$S$874,$AB$2,BS_RE33!$N$7:$N$874,I31,BS_RE33!$P$7:$P$874,'30 days CF Table(EUR)'!G31,BS_RE33!$F$7:$F$874,'30 days CF Table(EUR)'!$C$2)</f>
        <v>0</v>
      </c>
      <c r="AC31" s="337">
        <f>SUMIFS(BS_RE33!$H$7:$H$874,BS_RE33!$S$7:$S$874,$AC$2,BS_RE33!$N$7:$N$874,I31,BS_RE33!$P$7:$P$874,'30 days CF Table(EUR)'!G31,BS_RE33!$F$7:$F$874,'30 days CF Table(EUR)'!$C$2)</f>
        <v>0</v>
      </c>
      <c r="AD31" s="337">
        <f>SUMIFS(BS_RE33!$H$7:$H$874,BS_RE33!$S$7:$S$874,$AD$2,BS_RE33!$N$7:$N$874,I31,BS_RE33!$P$7:$P$874,'30 days CF Table(EUR)'!G31,BS_RE33!$F$7:$F$874,'30 days CF Table(EUR)'!$C$2)</f>
        <v>0</v>
      </c>
      <c r="AE31" s="337">
        <f>SUMIFS(BS_RE33!$H$7:$H$874,BS_RE33!$S$7:$S$874,$AE$2,BS_RE33!$N$7:$N$874,I31,BS_RE33!$P$7:$P$874,'30 days CF Table(EUR)'!G31,BS_RE33!$F$7:$F$874,'30 days CF Table(EUR)'!$C$2)</f>
        <v>0</v>
      </c>
      <c r="AF31" s="337">
        <f>SUMIFS(BS_RE33!$H$7:$H$874,BS_RE33!$S$7:$S$874,$AF$2,BS_RE33!$N$7:$N$874,I31,BS_RE33!$P$7:$P$874,'30 days CF Table(EUR)'!G31,BS_RE33!$F$7:$F$874,'30 days CF Table(EUR)'!$C$2)</f>
        <v>0</v>
      </c>
      <c r="AG31" s="337">
        <f>SUMIFS(BS_RE33!$H$7:$H$874,BS_RE33!$S$7:$S$874,$AG$2,BS_RE33!$N$7:$N$874,I31,BS_RE33!$P$7:$P$874,'30 days CF Table(EUR)'!G31,BS_RE33!$F$7:$F$874,'30 days CF Table(EUR)'!$C$2)</f>
        <v>0</v>
      </c>
      <c r="AH31" s="337">
        <f>SUMIFS(BS_RE33!$H$7:$H$874,BS_RE33!$S$7:$S$874,$AH$2,BS_RE33!$N$7:$N$874,I31,BS_RE33!$P$7:$P$874,'30 days CF Table(EUR)'!G31,BS_RE33!$F$7:$F$874,'30 days CF Table(EUR)'!$C$2)</f>
        <v>0</v>
      </c>
      <c r="AI31" s="337">
        <f>SUMIFS(BS_RE33!$H$7:$H$874,BS_RE33!$S$7:$S$874,$AI$2,BS_RE33!$N$7:$N$874,I31,BS_RE33!$P$7:$P$874,'30 days CF Table(EUR)'!G31,BS_RE33!$F$7:$F$874,'30 days CF Table(EUR)'!$C$2)</f>
        <v>0</v>
      </c>
      <c r="AJ31" s="337">
        <f>SUMIFS(BS_RE33!$H$7:$H$874,BS_RE33!$S$7:$S$874,$AJ$2,BS_RE33!$N$7:$N$874,I31,BS_RE33!$P$7:$P$874,'30 days CF Table(EUR)'!G31,BS_RE33!$F$7:$F$874,'30 days CF Table(EUR)'!$C$2)</f>
        <v>0</v>
      </c>
      <c r="AK31" s="337">
        <f>SUMIFS(BS_RE33!$H$7:$H$874,BS_RE33!$S$7:$S$874,$AK$2,BS_RE33!$N$7:$N$874,I31,BS_RE33!$P$7:$P$874,'30 days CF Table(EUR)'!G31,BS_RE33!$F$7:$F$874,'30 days CF Table(EUR)'!$C$2)</f>
        <v>0</v>
      </c>
      <c r="AL31" s="337">
        <f>SUMIFS(BS_RE33!$H$7:$H$874,BS_RE33!$S$7:$S$874,$AL$2,BS_RE33!$N$7:$N$874,I31,BS_RE33!$P$7:$P$874,'30 days CF Table(EUR)'!G31,BS_RE33!$F$7:$F$874,'30 days CF Table(EUR)'!$C$2)</f>
        <v>0</v>
      </c>
      <c r="AM31" s="337">
        <f>SUMIFS(BS_RE33!$H$7:$H$874,BS_RE33!$S$7:$S$874,$AM$2,BS_RE33!$N$7:$N$874,I31,BS_RE33!$P$7:$P$874,'30 days CF Table(EUR)'!G31,BS_RE33!$F$7:$F$874,'30 days CF Table(EUR)'!$C$2)</f>
        <v>0</v>
      </c>
      <c r="AN31" s="337">
        <f>SUMIFS(BS_RE33!$H$7:$H$874,BS_RE33!$S$7:$S$874,$AN$2,BS_RE33!$N$7:$N$874,I31,BS_RE33!$P$7:$P$874,'30 days CF Table(EUR)'!G31,BS_RE33!$F$7:$F$874,'30 days CF Table(EUR)'!$C$2)</f>
        <v>0</v>
      </c>
      <c r="AO31" s="337">
        <f>SUMIFS(BS_RE33!$H$7:$H$874,BS_RE33!$S$7:$S$874,$AO$2,BS_RE33!$N$7:$N$874,I31,BS_RE33!$P$7:$P$874,'30 days CF Table(EUR)'!G31,BS_RE33!$F$7:$F$874,'30 days CF Table(EUR)'!$C$2)</f>
        <v>0</v>
      </c>
      <c r="AP31" s="338">
        <f>SUMIFS(BS_RE33!$H$7:$H$874,BS_RE33!$S$7:$S$874,$AP$2,BS_RE33!$N$7:$N$874,I31,BS_RE33!$P$7:$P$874,'30 days CF Table(EUR)'!G31,BS_RE33!$F$7:$F$874,'30 days CF Table(EUR)'!$C$2)</f>
        <v>0</v>
      </c>
      <c r="AR31" s="379">
        <f>SUMIFS(BS_RE33!$H$7:$H$874,BS_RE33!$S$7:$S$874,$AR$2,BS_RE33!$N$7:$N$874,I31,BS_RE33!$P$7:$P$874,'30 days CF Table(EUR)'!G31,BS_RE33!$F$7:$F$874,'30 days CF Table(EUR)'!$C$2)</f>
        <v>0</v>
      </c>
      <c r="AS31" s="379">
        <f>SUMIFS(BS_RE33!$H$7:$H$874,BS_RE33!$S$7:$S$874,$AS$2,BS_RE33!$N$7:$N$874,I31,BS_RE33!$P$7:$P$874,'30 days CF Table(EUR)'!G31,BS_RE33!$F$7:$F$874,'30 days CF Table(EUR)'!$C$2)</f>
        <v>0</v>
      </c>
      <c r="AT31" s="379">
        <f>SUMIFS(BS_RE33!$H$7:$H$874,BS_RE33!$S$7:$S$874,$AT$2,BS_RE33!$N$7:$N$874,I31,BS_RE33!$P$7:$P$874,'30 days CF Table(EUR)'!G31,BS_RE33!$F$7:$F$874,'30 days CF Table(EUR)'!$C$2)</f>
        <v>0</v>
      </c>
      <c r="AU31" s="379">
        <f>SUMIFS(BS_RE33!$H$7:$H$874,BS_RE33!$S$7:$S$874,$AU$2,BS_RE33!$N$7:$N$874,I31,BS_RE33!$P$7:$P$874,'30 days CF Table(EUR)'!G31,BS_RE33!$F$7:$F$874,'30 days CF Table(EUR)'!$C$2)</f>
        <v>0</v>
      </c>
      <c r="AV31" s="379">
        <f>SUMIFS(BS_RE33!$H$7:$H$874,BS_RE33!$S$7:$S$874,$AV$2,BS_RE33!$N$7:$N$874,I31,BS_RE33!$P$7:$P$874,'30 days CF Table(EUR)'!G31,BS_RE33!$F$7:$F$874,'30 days CF Table(EUR)'!$C$2)</f>
        <v>0</v>
      </c>
      <c r="AW31" s="379">
        <f>SUMIFS(BS_RE33!$H$7:$H$874,BS_RE33!$S$7:$S$874,$AW$2,BS_RE33!$N$7:$N$874,I31,BS_RE33!$P$7:$P$874,'30 days CF Table(EUR)'!G31,BS_RE33!$F$7:$F$874,'30 days CF Table(EUR)'!$C$2)</f>
        <v>0</v>
      </c>
      <c r="AX31" s="379">
        <f>SUMIFS(BS_RE33!$H$7:$H$874,BS_RE33!$S$7:$S$874,$AX$2,BS_RE33!$N$7:$N$874,I31,BS_RE33!$P$7:$P$874,'30 days CF Table(EUR)'!G31,BS_RE33!$F$7:$F$874,'30 days CF Table(EUR)'!$C$2)</f>
        <v>0</v>
      </c>
      <c r="AY31" s="379">
        <f>SUMIFS(BS_RE33!$H$7:$H$874,BS_RE33!$S$7:$S$874,$AY$2,BS_RE33!$N$7:$N$874,I31,BS_RE33!$P$7:$P$874,'30 days CF Table(EUR)'!G31,BS_RE33!$F$7:$F$874,'30 days CF Table(EUR)'!$C$2)</f>
        <v>0</v>
      </c>
      <c r="AZ31" s="379">
        <f>SUMIFS(BS_RE33!$H$7:$H$874,BS_RE33!$S$7:$S$874,$AZ$2,BS_RE33!$N$7:$N$874,I31,BS_RE33!$P$7:$P$874,'30 days CF Table(EUR)'!G31,BS_RE33!$F$7:$F$874,'30 days CF Table(EUR)'!$C$2)</f>
        <v>0</v>
      </c>
      <c r="BA31" s="379">
        <f>SUMIFS(BS_RE33!$H$7:$H$874,BS_RE33!$S$7:$S$874,$BA$2,BS_RE33!$N$7:$N$874,I31,BS_RE33!$P$7:$P$874,'30 days CF Table(EUR)'!G31,BS_RE33!$F$7:$F$874,'30 days CF Table(EUR)'!$C$2)</f>
        <v>0</v>
      </c>
      <c r="BB31" s="379">
        <f>SUMIFS(BS_RE33!$H$7:$H$874,BS_RE33!$S$7:$S$874,$BB$2,BS_RE33!$N$7:$N$874,I31,BS_RE33!$P$7:$P$874,'30 days CF Table(EUR)'!G31,BS_RE33!$F$7:$F$874,'30 days CF Table(EUR)'!$C$2)</f>
        <v>0</v>
      </c>
      <c r="BC31" s="379">
        <f>SUMIFS(BS_RE33!$H$7:$H$874,BS_RE33!$S$7:$S$874,$BC$2,BS_RE33!$N$7:$N$874,I31,BS_RE33!$P$7:$P$874,'30 days CF Table(EUR)'!G31,BS_RE33!$F$7:$F$874,'30 days CF Table(EUR)'!$C$2)</f>
        <v>0</v>
      </c>
      <c r="BD31" s="379">
        <f>SUMIFS(BS_RE33!$H$7:$H$874,BS_RE33!$S$7:$S$874,$BD$2,BS_RE33!$N$7:$N$874,I31,BS_RE33!$P$7:$P$874,'30 days CF Table(EUR)'!G31,BS_RE33!$F$7:$F$874,'30 days CF Table(EUR)'!$C$2)</f>
        <v>0</v>
      </c>
      <c r="BE31" s="379">
        <f>SUMIFS(BS_RE33!$H$7:$H$874,BS_RE33!$S$7:$S$874,$BE$2,BS_RE33!$N$7:$N$874,I31,BS_RE33!$P$7:$P$874,'30 days CF Table(EUR)'!G31,BS_RE33!$F$7:$F$874,'30 days CF Table(EUR)'!$C$2)</f>
        <v>0</v>
      </c>
      <c r="BF31" s="379">
        <f>SUMIFS(BS_RE33!$H$7:$H$874,BS_RE33!$S$7:$S$874,$BF$2,BS_RE33!$N$7:$N$874,I31,BS_RE33!$P$7:$P$874,'30 days CF Table(EUR)'!G31,BS_RE33!$F$7:$F$874,'30 days CF Table(EUR)'!$C$2)</f>
        <v>0</v>
      </c>
      <c r="BG31" s="379">
        <f>SUMIFS(BS_RE33!$H$7:$H$874,BS_RE33!$S$7:$S$874,$BG$2,BS_RE33!$N$7:$N$874,I31,BS_RE33!$P$7:$P$874,'30 days CF Table(EUR)'!G31,BS_RE33!$F$7:$F$874,'30 days CF Table(EUR)'!$C$2)</f>
        <v>0</v>
      </c>
      <c r="BH31" s="379">
        <f>SUMIFS(BS_RE33!$H$7:$H$874,BS_RE33!$S$7:$S$874,$BH$2,BS_RE33!$N$7:$N$874,I31,BS_RE33!$P$7:$P$874,'30 days CF Table(EUR)'!G31,BS_RE33!$F$7:$F$874,'30 days CF Table(EUR)'!$C$2)</f>
        <v>0</v>
      </c>
      <c r="BI31" s="379">
        <f>SUMIFS(BS_RE33!$H$7:$H$874,BS_RE33!$S$7:$S$874,$BI$2,BS_RE33!$N$7:$N$874,I31,BS_RE33!$P$7:$P$874,'30 days CF Table(EUR)'!G31,BS_RE33!$F$7:$F$874,'30 days CF Table(EUR)'!$C$2)</f>
        <v>0</v>
      </c>
      <c r="BJ31" s="379">
        <f>SUMIFS(BS_RE33!$H$7:$H$874,BS_RE33!$S$7:$S$874,$BJ$2,BS_RE33!$N$7:$N$874,I31,BS_RE33!$P$7:$P$874,'30 days CF Table(EUR)'!G31,BS_RE33!$F$7:$F$874,'30 days CF Table(EUR)'!$C$2)</f>
        <v>0</v>
      </c>
      <c r="BK31" s="379">
        <f>SUMIFS(BS_RE33!$H$7:$H$874,BS_RE33!$S$7:$S$874,$BK$2,BS_RE33!$N$7:$N$874,I31,BS_RE33!$P$7:$P$874,'30 days CF Table(EUR)'!G31,BS_RE33!$F$7:$F$874,'30 days CF Table(EUR)'!$C$2)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Table(EUR)'!G32,BS_RE33!$F$7:$F$874,'30 days CF Table(EUR)'!$C$2)</f>
        <v>0</v>
      </c>
      <c r="M32" s="337">
        <f>SUMIFS(BS_RE33!$H$7:$H$874,BS_RE33!$S$7:$S$874,$M$2,BS_RE33!$N$7:$N$874,I32,BS_RE33!$P$7:$P$874,'30 days CF Table(EUR)'!G32,BS_RE33!$F$7:$F$874,'30 days CF Table(EUR)'!$C$2)</f>
        <v>0</v>
      </c>
      <c r="N32" s="337">
        <f>SUMIFS(BS_RE33!$H$7:$H$874,BS_RE33!$S$7:$S$874,$N$2,BS_RE33!$N$7:$N$874,I32,BS_RE33!$P$7:$P$874,'30 days CF Table(EUR)'!G32,BS_RE33!$F$7:$F$874,'30 days CF Table(EUR)'!$C$2)</f>
        <v>0</v>
      </c>
      <c r="O32" s="337">
        <f>SUMIFS(BS_RE33!$H$7:$H$874,BS_RE33!$S$7:$S$874,$O$2,BS_RE33!$N$7:$N$874,I32,BS_RE33!$P$7:$P$874,'30 days CF Table(EUR)'!G32,BS_RE33!$F$7:$F$874,'30 days CF Table(EUR)'!$C$2)</f>
        <v>0</v>
      </c>
      <c r="P32" s="337">
        <f>SUMIFS(BS_RE33!$H$7:$H$874,BS_RE33!$S$7:$S$874,$P$2,BS_RE33!$N$7:$N$874,I32,BS_RE33!$P$7:$P$874,'30 days CF Table(EUR)'!G32,BS_RE33!$F$7:$F$874,'30 days CF Table(EUR)'!$C$2)</f>
        <v>0</v>
      </c>
      <c r="Q32" s="337">
        <f>SUMIFS(BS_RE33!$H$7:$H$874,BS_RE33!$S$7:$S$874,$Q$2,BS_RE33!$N$7:$N$874,I32,BS_RE33!$P$7:$P$874,'30 days CF Table(EUR)'!G32,BS_RE33!$F$7:$F$874,'30 days CF Table(EUR)'!$C$2)</f>
        <v>0</v>
      </c>
      <c r="R32" s="337">
        <f>SUMIFS(BS_RE33!$H$7:$H$874,BS_RE33!$S$7:$S$874,$R$2,BS_RE33!$N$7:$N$874,I32,BS_RE33!$P$7:$P$874,'30 days CF Table(EUR)'!G32,BS_RE33!$F$7:$F$874,'30 days CF Table(EUR)'!$C$2)</f>
        <v>0</v>
      </c>
      <c r="S32" s="337">
        <f>SUMIFS(BS_RE33!$H$7:$H$874,BS_RE33!$S$7:$S$874,$S$2,BS_RE33!$N$7:$N$874,I32,BS_RE33!$P$7:$P$874,'30 days CF Table(EUR)'!G32,BS_RE33!$F$7:$F$874,'30 days CF Table(EUR)'!$C$2)</f>
        <v>0</v>
      </c>
      <c r="T32" s="337">
        <f>SUMIFS(BS_RE33!$H$7:$H$874,BS_RE33!$S$7:$S$874,$T$2,BS_RE33!$N$7:$N$874,I32,BS_RE33!$P$7:$P$874,'30 days CF Table(EUR)'!G32,BS_RE33!$F$7:$F$874,'30 days CF Table(EUR)'!$C$2)</f>
        <v>0</v>
      </c>
      <c r="U32" s="337">
        <f>SUMIFS(BS_RE33!$H$7:$H$874,BS_RE33!$S$7:$S$874,$U$2,BS_RE33!$N$7:$N$874,I32,BS_RE33!$P$7:$P$874,'30 days CF Table(EUR)'!G32,BS_RE33!$F$7:$F$874,'30 days CF Table(EUR)'!$C$2)</f>
        <v>0</v>
      </c>
      <c r="V32" s="337">
        <f>SUMIFS(BS_RE33!$H$7:$H$874,BS_RE33!$S$7:$S$874,$V$2,BS_RE33!$N$7:$N$874,I32,BS_RE33!$P$7:$P$874,'30 days CF Table(EUR)'!G32,BS_RE33!$F$7:$F$874,'30 days CF Table(EUR)'!$C$2)</f>
        <v>0</v>
      </c>
      <c r="W32" s="337">
        <f>SUMIFS(BS_RE33!$H$7:$H$874,BS_RE33!$S$7:$S$874,$W$2,BS_RE33!$N$7:$N$874,I32,BS_RE33!$P$7:$P$874,'30 days CF Table(EUR)'!G32,BS_RE33!$F$7:$F$874,'30 days CF Table(EUR)'!$C$2)</f>
        <v>0</v>
      </c>
      <c r="X32" s="337">
        <f>SUMIFS(BS_RE33!$H$7:$H$874,BS_RE33!$S$7:$S$874,$X$2,BS_RE33!$N$7:$N$874,I32,BS_RE33!$P$7:$P$874,'30 days CF Table(EUR)'!G32,BS_RE33!$F$7:$F$874,'30 days CF Table(EUR)'!$C$2)</f>
        <v>0</v>
      </c>
      <c r="Y32" s="337">
        <f>SUMIFS(BS_RE33!$H$7:$H$874,BS_RE33!$S$7:$S$874,$Y$2,BS_RE33!$N$7:$N$874,I32,BS_RE33!$P$7:$P$874,'30 days CF Table(EUR)'!G32,BS_RE33!$F$7:$F$874,'30 days CF Table(EUR)'!$C$2)</f>
        <v>0</v>
      </c>
      <c r="Z32" s="337">
        <f>SUMIFS(BS_RE33!$H$7:$H$874,BS_RE33!$S$7:$S$874,$Z$2,BS_RE33!$N$7:$N$874,I32,BS_RE33!$P$7:$P$874,'30 days CF Table(EUR)'!G32,BS_RE33!$F$7:$F$874,'30 days CF Table(EUR)'!$C$2)</f>
        <v>0</v>
      </c>
      <c r="AA32" s="337">
        <f>SUMIFS(BS_RE33!$H$7:$H$874,BS_RE33!$S$7:$S$874,$AA$2,BS_RE33!$N$7:$N$874,I32,BS_RE33!$P$7:$P$874,'30 days CF Table(EUR)'!G32,BS_RE33!$F$7:$F$874,'30 days CF Table(EUR)'!$C$2)</f>
        <v>0</v>
      </c>
      <c r="AB32" s="337">
        <f>SUMIFS(BS_RE33!$H$7:$H$874,BS_RE33!$S$7:$S$874,$AB$2,BS_RE33!$N$7:$N$874,I32,BS_RE33!$P$7:$P$874,'30 days CF Table(EUR)'!G32,BS_RE33!$F$7:$F$874,'30 days CF Table(EUR)'!$C$2)</f>
        <v>0</v>
      </c>
      <c r="AC32" s="337">
        <f>SUMIFS(BS_RE33!$H$7:$H$874,BS_RE33!$S$7:$S$874,$AC$2,BS_RE33!$N$7:$N$874,I32,BS_RE33!$P$7:$P$874,'30 days CF Table(EUR)'!G32,BS_RE33!$F$7:$F$874,'30 days CF Table(EUR)'!$C$2)</f>
        <v>0</v>
      </c>
      <c r="AD32" s="337">
        <f>SUMIFS(BS_RE33!$H$7:$H$874,BS_RE33!$S$7:$S$874,$AD$2,BS_RE33!$N$7:$N$874,I32,BS_RE33!$P$7:$P$874,'30 days CF Table(EUR)'!G32,BS_RE33!$F$7:$F$874,'30 days CF Table(EUR)'!$C$2)</f>
        <v>0</v>
      </c>
      <c r="AE32" s="337">
        <f>SUMIFS(BS_RE33!$H$7:$H$874,BS_RE33!$S$7:$S$874,$AE$2,BS_RE33!$N$7:$N$874,I32,BS_RE33!$P$7:$P$874,'30 days CF Table(EUR)'!G32,BS_RE33!$F$7:$F$874,'30 days CF Table(EUR)'!$C$2)</f>
        <v>0</v>
      </c>
      <c r="AF32" s="337">
        <f>SUMIFS(BS_RE33!$H$7:$H$874,BS_RE33!$S$7:$S$874,$AF$2,BS_RE33!$N$7:$N$874,I32,BS_RE33!$P$7:$P$874,'30 days CF Table(EUR)'!G32,BS_RE33!$F$7:$F$874,'30 days CF Table(EUR)'!$C$2)</f>
        <v>0</v>
      </c>
      <c r="AG32" s="337">
        <f>SUMIFS(BS_RE33!$H$7:$H$874,BS_RE33!$S$7:$S$874,$AG$2,BS_RE33!$N$7:$N$874,I32,BS_RE33!$P$7:$P$874,'30 days CF Table(EUR)'!G32,BS_RE33!$F$7:$F$874,'30 days CF Table(EUR)'!$C$2)</f>
        <v>0</v>
      </c>
      <c r="AH32" s="337">
        <f>SUMIFS(BS_RE33!$H$7:$H$874,BS_RE33!$S$7:$S$874,$AH$2,BS_RE33!$N$7:$N$874,I32,BS_RE33!$P$7:$P$874,'30 days CF Table(EUR)'!G32,BS_RE33!$F$7:$F$874,'30 days CF Table(EUR)'!$C$2)</f>
        <v>0</v>
      </c>
      <c r="AI32" s="337">
        <f>SUMIFS(BS_RE33!$H$7:$H$874,BS_RE33!$S$7:$S$874,$AI$2,BS_RE33!$N$7:$N$874,I32,BS_RE33!$P$7:$P$874,'30 days CF Table(EUR)'!G32,BS_RE33!$F$7:$F$874,'30 days CF Table(EUR)'!$C$2)</f>
        <v>0</v>
      </c>
      <c r="AJ32" s="337">
        <f>SUMIFS(BS_RE33!$H$7:$H$874,BS_RE33!$S$7:$S$874,$AJ$2,BS_RE33!$N$7:$N$874,I32,BS_RE33!$P$7:$P$874,'30 days CF Table(EUR)'!G32,BS_RE33!$F$7:$F$874,'30 days CF Table(EUR)'!$C$2)</f>
        <v>0</v>
      </c>
      <c r="AK32" s="337">
        <f>SUMIFS(BS_RE33!$H$7:$H$874,BS_RE33!$S$7:$S$874,$AK$2,BS_RE33!$N$7:$N$874,I32,BS_RE33!$P$7:$P$874,'30 days CF Table(EUR)'!G32,BS_RE33!$F$7:$F$874,'30 days CF Table(EUR)'!$C$2)</f>
        <v>0</v>
      </c>
      <c r="AL32" s="337">
        <f>SUMIFS(BS_RE33!$H$7:$H$874,BS_RE33!$S$7:$S$874,$AL$2,BS_RE33!$N$7:$N$874,I32,BS_RE33!$P$7:$P$874,'30 days CF Table(EUR)'!G32,BS_RE33!$F$7:$F$874,'30 days CF Table(EUR)'!$C$2)</f>
        <v>0</v>
      </c>
      <c r="AM32" s="337">
        <f>SUMIFS(BS_RE33!$H$7:$H$874,BS_RE33!$S$7:$S$874,$AM$2,BS_RE33!$N$7:$N$874,I32,BS_RE33!$P$7:$P$874,'30 days CF Table(EUR)'!G32,BS_RE33!$F$7:$F$874,'30 days CF Table(EUR)'!$C$2)</f>
        <v>0</v>
      </c>
      <c r="AN32" s="337">
        <f>SUMIFS(BS_RE33!$H$7:$H$874,BS_RE33!$S$7:$S$874,$AN$2,BS_RE33!$N$7:$N$874,I32,BS_RE33!$P$7:$P$874,'30 days CF Table(EUR)'!G32,BS_RE33!$F$7:$F$874,'30 days CF Table(EUR)'!$C$2)</f>
        <v>0</v>
      </c>
      <c r="AO32" s="337">
        <f>SUMIFS(BS_RE33!$H$7:$H$874,BS_RE33!$S$7:$S$874,$AO$2,BS_RE33!$N$7:$N$874,I32,BS_RE33!$P$7:$P$874,'30 days CF Table(EUR)'!G32,BS_RE33!$F$7:$F$874,'30 days CF Table(EUR)'!$C$2)</f>
        <v>0</v>
      </c>
      <c r="AP32" s="338">
        <f>SUMIFS(BS_RE33!$H$7:$H$874,BS_RE33!$S$7:$S$874,$AP$2,BS_RE33!$N$7:$N$874,I32,BS_RE33!$P$7:$P$874,'30 days CF Table(EUR)'!G32,BS_RE33!$F$7:$F$874,'30 days CF Table(EUR)'!$C$2)</f>
        <v>0</v>
      </c>
      <c r="AR32" s="379">
        <f>SUMIFS(BS_RE33!$H$7:$H$874,BS_RE33!$S$7:$S$874,$AR$2,BS_RE33!$N$7:$N$874,I32,BS_RE33!$P$7:$P$874,'30 days CF Table(EUR)'!G32,BS_RE33!$F$7:$F$874,'30 days CF Table(EUR)'!$C$2)</f>
        <v>0</v>
      </c>
      <c r="AS32" s="379">
        <f>SUMIFS(BS_RE33!$H$7:$H$874,BS_RE33!$S$7:$S$874,$AS$2,BS_RE33!$N$7:$N$874,I32,BS_RE33!$P$7:$P$874,'30 days CF Table(EUR)'!G32,BS_RE33!$F$7:$F$874,'30 days CF Table(EUR)'!$C$2)</f>
        <v>0</v>
      </c>
      <c r="AT32" s="379">
        <f>SUMIFS(BS_RE33!$H$7:$H$874,BS_RE33!$S$7:$S$874,$AT$2,BS_RE33!$N$7:$N$874,I32,BS_RE33!$P$7:$P$874,'30 days CF Table(EUR)'!G32,BS_RE33!$F$7:$F$874,'30 days CF Table(EUR)'!$C$2)</f>
        <v>0</v>
      </c>
      <c r="AU32" s="379">
        <f>SUMIFS(BS_RE33!$H$7:$H$874,BS_RE33!$S$7:$S$874,$AU$2,BS_RE33!$N$7:$N$874,I32,BS_RE33!$P$7:$P$874,'30 days CF Table(EUR)'!G32,BS_RE33!$F$7:$F$874,'30 days CF Table(EUR)'!$C$2)</f>
        <v>0</v>
      </c>
      <c r="AV32" s="379">
        <f>SUMIFS(BS_RE33!$H$7:$H$874,BS_RE33!$S$7:$S$874,$AV$2,BS_RE33!$N$7:$N$874,I32,BS_RE33!$P$7:$P$874,'30 days CF Table(EUR)'!G32,BS_RE33!$F$7:$F$874,'30 days CF Table(EUR)'!$C$2)</f>
        <v>0</v>
      </c>
      <c r="AW32" s="379">
        <f>SUMIFS(BS_RE33!$H$7:$H$874,BS_RE33!$S$7:$S$874,$AW$2,BS_RE33!$N$7:$N$874,I32,BS_RE33!$P$7:$P$874,'30 days CF Table(EUR)'!G32,BS_RE33!$F$7:$F$874,'30 days CF Table(EUR)'!$C$2)</f>
        <v>0</v>
      </c>
      <c r="AX32" s="379">
        <f>SUMIFS(BS_RE33!$H$7:$H$874,BS_RE33!$S$7:$S$874,$AX$2,BS_RE33!$N$7:$N$874,I32,BS_RE33!$P$7:$P$874,'30 days CF Table(EUR)'!G32,BS_RE33!$F$7:$F$874,'30 days CF Table(EUR)'!$C$2)</f>
        <v>0</v>
      </c>
      <c r="AY32" s="379">
        <f>SUMIFS(BS_RE33!$H$7:$H$874,BS_RE33!$S$7:$S$874,$AY$2,BS_RE33!$N$7:$N$874,I32,BS_RE33!$P$7:$P$874,'30 days CF Table(EUR)'!G32,BS_RE33!$F$7:$F$874,'30 days CF Table(EUR)'!$C$2)</f>
        <v>0</v>
      </c>
      <c r="AZ32" s="379">
        <f>SUMIFS(BS_RE33!$H$7:$H$874,BS_RE33!$S$7:$S$874,$AZ$2,BS_RE33!$N$7:$N$874,I32,BS_RE33!$P$7:$P$874,'30 days CF Table(EUR)'!G32,BS_RE33!$F$7:$F$874,'30 days CF Table(EUR)'!$C$2)</f>
        <v>0</v>
      </c>
      <c r="BA32" s="379">
        <f>SUMIFS(BS_RE33!$H$7:$H$874,BS_RE33!$S$7:$S$874,$BA$2,BS_RE33!$N$7:$N$874,I32,BS_RE33!$P$7:$P$874,'30 days CF Table(EUR)'!G32,BS_RE33!$F$7:$F$874,'30 days CF Table(EUR)'!$C$2)</f>
        <v>0</v>
      </c>
      <c r="BB32" s="379">
        <f>SUMIFS(BS_RE33!$H$7:$H$874,BS_RE33!$S$7:$S$874,$BB$2,BS_RE33!$N$7:$N$874,I32,BS_RE33!$P$7:$P$874,'30 days CF Table(EUR)'!G32,BS_RE33!$F$7:$F$874,'30 days CF Table(EUR)'!$C$2)</f>
        <v>0</v>
      </c>
      <c r="BC32" s="379">
        <f>SUMIFS(BS_RE33!$H$7:$H$874,BS_RE33!$S$7:$S$874,$BC$2,BS_RE33!$N$7:$N$874,I32,BS_RE33!$P$7:$P$874,'30 days CF Table(EUR)'!G32,BS_RE33!$F$7:$F$874,'30 days CF Table(EUR)'!$C$2)</f>
        <v>0</v>
      </c>
      <c r="BD32" s="379">
        <f>SUMIFS(BS_RE33!$H$7:$H$874,BS_RE33!$S$7:$S$874,$BD$2,BS_RE33!$N$7:$N$874,I32,BS_RE33!$P$7:$P$874,'30 days CF Table(EUR)'!G32,BS_RE33!$F$7:$F$874,'30 days CF Table(EUR)'!$C$2)</f>
        <v>0</v>
      </c>
      <c r="BE32" s="379">
        <f>SUMIFS(BS_RE33!$H$7:$H$874,BS_RE33!$S$7:$S$874,$BE$2,BS_RE33!$N$7:$N$874,I32,BS_RE33!$P$7:$P$874,'30 days CF Table(EUR)'!G32,BS_RE33!$F$7:$F$874,'30 days CF Table(EUR)'!$C$2)</f>
        <v>0</v>
      </c>
      <c r="BF32" s="379">
        <f>SUMIFS(BS_RE33!$H$7:$H$874,BS_RE33!$S$7:$S$874,$BF$2,BS_RE33!$N$7:$N$874,I32,BS_RE33!$P$7:$P$874,'30 days CF Table(EUR)'!G32,BS_RE33!$F$7:$F$874,'30 days CF Table(EUR)'!$C$2)</f>
        <v>0</v>
      </c>
      <c r="BG32" s="379">
        <f>SUMIFS(BS_RE33!$H$7:$H$874,BS_RE33!$S$7:$S$874,$BG$2,BS_RE33!$N$7:$N$874,I32,BS_RE33!$P$7:$P$874,'30 days CF Table(EUR)'!G32,BS_RE33!$F$7:$F$874,'30 days CF Table(EUR)'!$C$2)</f>
        <v>0</v>
      </c>
      <c r="BH32" s="379">
        <f>SUMIFS(BS_RE33!$H$7:$H$874,BS_RE33!$S$7:$S$874,$BH$2,BS_RE33!$N$7:$N$874,I32,BS_RE33!$P$7:$P$874,'30 days CF Table(EUR)'!G32,BS_RE33!$F$7:$F$874,'30 days CF Table(EUR)'!$C$2)</f>
        <v>0</v>
      </c>
      <c r="BI32" s="379">
        <f>SUMIFS(BS_RE33!$H$7:$H$874,BS_RE33!$S$7:$S$874,$BI$2,BS_RE33!$N$7:$N$874,I32,BS_RE33!$P$7:$P$874,'30 days CF Table(EUR)'!G32,BS_RE33!$F$7:$F$874,'30 days CF Table(EUR)'!$C$2)</f>
        <v>0</v>
      </c>
      <c r="BJ32" s="379">
        <f>SUMIFS(BS_RE33!$H$7:$H$874,BS_RE33!$S$7:$S$874,$BJ$2,BS_RE33!$N$7:$N$874,I32,BS_RE33!$P$7:$P$874,'30 days CF Table(EUR)'!G32,BS_RE33!$F$7:$F$874,'30 days CF Table(EUR)'!$C$2)</f>
        <v>0</v>
      </c>
      <c r="BK32" s="379">
        <f>SUMIFS(BS_RE33!$H$7:$H$874,BS_RE33!$S$7:$S$874,$BK$2,BS_RE33!$N$7:$N$874,I32,BS_RE33!$P$7:$P$874,'30 days CF Table(EUR)'!G32,BS_RE33!$F$7:$F$874,'30 days CF Table(EUR)'!$C$2)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Table(EUR)'!G33,BS_RE33!$F$7:$F$874,'30 days CF Table(EUR)'!$C$2)</f>
        <v>0</v>
      </c>
      <c r="M33" s="337">
        <f>SUMIFS(BS_RE33!$H$7:$H$874,BS_RE33!$S$7:$S$874,$M$2,BS_RE33!$N$7:$N$874,I33,BS_RE33!$P$7:$P$874,'30 days CF Table(EUR)'!G33,BS_RE33!$F$7:$F$874,'30 days CF Table(EUR)'!$C$2)</f>
        <v>0</v>
      </c>
      <c r="N33" s="337">
        <f>SUMIFS(BS_RE33!$H$7:$H$874,BS_RE33!$S$7:$S$874,$N$2,BS_RE33!$N$7:$N$874,I33,BS_RE33!$P$7:$P$874,'30 days CF Table(EUR)'!G33,BS_RE33!$F$7:$F$874,'30 days CF Table(EUR)'!$C$2)</f>
        <v>0</v>
      </c>
      <c r="O33" s="337">
        <f>SUMIFS(BS_RE33!$H$7:$H$874,BS_RE33!$S$7:$S$874,$O$2,BS_RE33!$N$7:$N$874,I33,BS_RE33!$P$7:$P$874,'30 days CF Table(EUR)'!G33,BS_RE33!$F$7:$F$874,'30 days CF Table(EUR)'!$C$2)</f>
        <v>0</v>
      </c>
      <c r="P33" s="337">
        <f>SUMIFS(BS_RE33!$H$7:$H$874,BS_RE33!$S$7:$S$874,$P$2,BS_RE33!$N$7:$N$874,I33,BS_RE33!$P$7:$P$874,'30 days CF Table(EUR)'!G33,BS_RE33!$F$7:$F$874,'30 days CF Table(EUR)'!$C$2)</f>
        <v>0</v>
      </c>
      <c r="Q33" s="337">
        <f>SUMIFS(BS_RE33!$H$7:$H$874,BS_RE33!$S$7:$S$874,$Q$2,BS_RE33!$N$7:$N$874,I33,BS_RE33!$P$7:$P$874,'30 days CF Table(EUR)'!G33,BS_RE33!$F$7:$F$874,'30 days CF Table(EUR)'!$C$2)</f>
        <v>0</v>
      </c>
      <c r="R33" s="337">
        <f>SUMIFS(BS_RE33!$H$7:$H$874,BS_RE33!$S$7:$S$874,$R$2,BS_RE33!$N$7:$N$874,I33,BS_RE33!$P$7:$P$874,'30 days CF Table(EUR)'!G33,BS_RE33!$F$7:$F$874,'30 days CF Table(EUR)'!$C$2)</f>
        <v>0</v>
      </c>
      <c r="S33" s="337">
        <f>SUMIFS(BS_RE33!$H$7:$H$874,BS_RE33!$S$7:$S$874,$S$2,BS_RE33!$N$7:$N$874,I33,BS_RE33!$P$7:$P$874,'30 days CF Table(EUR)'!G33,BS_RE33!$F$7:$F$874,'30 days CF Table(EUR)'!$C$2)</f>
        <v>0</v>
      </c>
      <c r="T33" s="337">
        <f>SUMIFS(BS_RE33!$H$7:$H$874,BS_RE33!$S$7:$S$874,$T$2,BS_RE33!$N$7:$N$874,I33,BS_RE33!$P$7:$P$874,'30 days CF Table(EUR)'!G33,BS_RE33!$F$7:$F$874,'30 days CF Table(EUR)'!$C$2)</f>
        <v>0</v>
      </c>
      <c r="U33" s="337">
        <f>SUMIFS(BS_RE33!$H$7:$H$874,BS_RE33!$S$7:$S$874,$U$2,BS_RE33!$N$7:$N$874,I33,BS_RE33!$P$7:$P$874,'30 days CF Table(EUR)'!G33,BS_RE33!$F$7:$F$874,'30 days CF Table(EUR)'!$C$2)</f>
        <v>0</v>
      </c>
      <c r="V33" s="337">
        <f>SUMIFS(BS_RE33!$H$7:$H$874,BS_RE33!$S$7:$S$874,$V$2,BS_RE33!$N$7:$N$874,I33,BS_RE33!$P$7:$P$874,'30 days CF Table(EUR)'!G33,BS_RE33!$F$7:$F$874,'30 days CF Table(EUR)'!$C$2)</f>
        <v>0</v>
      </c>
      <c r="W33" s="337">
        <f>SUMIFS(BS_RE33!$H$7:$H$874,BS_RE33!$S$7:$S$874,$W$2,BS_RE33!$N$7:$N$874,I33,BS_RE33!$P$7:$P$874,'30 days CF Table(EUR)'!G33,BS_RE33!$F$7:$F$874,'30 days CF Table(EUR)'!$C$2)</f>
        <v>0</v>
      </c>
      <c r="X33" s="337">
        <f>SUMIFS(BS_RE33!$H$7:$H$874,BS_RE33!$S$7:$S$874,$X$2,BS_RE33!$N$7:$N$874,I33,BS_RE33!$P$7:$P$874,'30 days CF Table(EUR)'!G33,BS_RE33!$F$7:$F$874,'30 days CF Table(EUR)'!$C$2)</f>
        <v>0</v>
      </c>
      <c r="Y33" s="337">
        <f>SUMIFS(BS_RE33!$H$7:$H$874,BS_RE33!$S$7:$S$874,$Y$2,BS_RE33!$N$7:$N$874,I33,BS_RE33!$P$7:$P$874,'30 days CF Table(EUR)'!G33,BS_RE33!$F$7:$F$874,'30 days CF Table(EUR)'!$C$2)</f>
        <v>0</v>
      </c>
      <c r="Z33" s="337">
        <f>SUMIFS(BS_RE33!$H$7:$H$874,BS_RE33!$S$7:$S$874,$Z$2,BS_RE33!$N$7:$N$874,I33,BS_RE33!$P$7:$P$874,'30 days CF Table(EUR)'!G33,BS_RE33!$F$7:$F$874,'30 days CF Table(EUR)'!$C$2)</f>
        <v>0</v>
      </c>
      <c r="AA33" s="337">
        <f>SUMIFS(BS_RE33!$H$7:$H$874,BS_RE33!$S$7:$S$874,$AA$2,BS_RE33!$N$7:$N$874,I33,BS_RE33!$P$7:$P$874,'30 days CF Table(EUR)'!G33,BS_RE33!$F$7:$F$874,'30 days CF Table(EUR)'!$C$2)</f>
        <v>0</v>
      </c>
      <c r="AB33" s="337">
        <f>SUMIFS(BS_RE33!$H$7:$H$874,BS_RE33!$S$7:$S$874,$AB$2,BS_RE33!$N$7:$N$874,I33,BS_RE33!$P$7:$P$874,'30 days CF Table(EUR)'!G33,BS_RE33!$F$7:$F$874,'30 days CF Table(EUR)'!$C$2)</f>
        <v>0</v>
      </c>
      <c r="AC33" s="337">
        <f>SUMIFS(BS_RE33!$H$7:$H$874,BS_RE33!$S$7:$S$874,$AC$2,BS_RE33!$N$7:$N$874,I33,BS_RE33!$P$7:$P$874,'30 days CF Table(EUR)'!G33,BS_RE33!$F$7:$F$874,'30 days CF Table(EUR)'!$C$2)</f>
        <v>0</v>
      </c>
      <c r="AD33" s="337">
        <f>SUMIFS(BS_RE33!$H$7:$H$874,BS_RE33!$S$7:$S$874,$AD$2,BS_RE33!$N$7:$N$874,I33,BS_RE33!$P$7:$P$874,'30 days CF Table(EUR)'!G33,BS_RE33!$F$7:$F$874,'30 days CF Table(EUR)'!$C$2)</f>
        <v>0</v>
      </c>
      <c r="AE33" s="337">
        <f>SUMIFS(BS_RE33!$H$7:$H$874,BS_RE33!$S$7:$S$874,$AE$2,BS_RE33!$N$7:$N$874,I33,BS_RE33!$P$7:$P$874,'30 days CF Table(EUR)'!G33,BS_RE33!$F$7:$F$874,'30 days CF Table(EUR)'!$C$2)</f>
        <v>0</v>
      </c>
      <c r="AF33" s="337">
        <f>SUMIFS(BS_RE33!$H$7:$H$874,BS_RE33!$S$7:$S$874,$AF$2,BS_RE33!$N$7:$N$874,I33,BS_RE33!$P$7:$P$874,'30 days CF Table(EUR)'!G33,BS_RE33!$F$7:$F$874,'30 days CF Table(EUR)'!$C$2)</f>
        <v>0</v>
      </c>
      <c r="AG33" s="337">
        <f>SUMIFS(BS_RE33!$H$7:$H$874,BS_RE33!$S$7:$S$874,$AG$2,BS_RE33!$N$7:$N$874,I33,BS_RE33!$P$7:$P$874,'30 days CF Table(EUR)'!G33,BS_RE33!$F$7:$F$874,'30 days CF Table(EUR)'!$C$2)</f>
        <v>0</v>
      </c>
      <c r="AH33" s="337">
        <f>SUMIFS(BS_RE33!$H$7:$H$874,BS_RE33!$S$7:$S$874,$AH$2,BS_RE33!$N$7:$N$874,I33,BS_RE33!$P$7:$P$874,'30 days CF Table(EUR)'!G33,BS_RE33!$F$7:$F$874,'30 days CF Table(EUR)'!$C$2)</f>
        <v>0</v>
      </c>
      <c r="AI33" s="337">
        <f>SUMIFS(BS_RE33!$H$7:$H$874,BS_RE33!$S$7:$S$874,$AI$2,BS_RE33!$N$7:$N$874,I33,BS_RE33!$P$7:$P$874,'30 days CF Table(EUR)'!G33,BS_RE33!$F$7:$F$874,'30 days CF Table(EUR)'!$C$2)</f>
        <v>0</v>
      </c>
      <c r="AJ33" s="337">
        <f>SUMIFS(BS_RE33!$H$7:$H$874,BS_RE33!$S$7:$S$874,$AJ$2,BS_RE33!$N$7:$N$874,I33,BS_RE33!$P$7:$P$874,'30 days CF Table(EUR)'!G33,BS_RE33!$F$7:$F$874,'30 days CF Table(EUR)'!$C$2)</f>
        <v>0</v>
      </c>
      <c r="AK33" s="337">
        <f>SUMIFS(BS_RE33!$H$7:$H$874,BS_RE33!$S$7:$S$874,$AK$2,BS_RE33!$N$7:$N$874,I33,BS_RE33!$P$7:$P$874,'30 days CF Table(EUR)'!G33,BS_RE33!$F$7:$F$874,'30 days CF Table(EUR)'!$C$2)</f>
        <v>0</v>
      </c>
      <c r="AL33" s="337">
        <f>SUMIFS(BS_RE33!$H$7:$H$874,BS_RE33!$S$7:$S$874,$AL$2,BS_RE33!$N$7:$N$874,I33,BS_RE33!$P$7:$P$874,'30 days CF Table(EUR)'!G33,BS_RE33!$F$7:$F$874,'30 days CF Table(EUR)'!$C$2)</f>
        <v>0</v>
      </c>
      <c r="AM33" s="337">
        <f>SUMIFS(BS_RE33!$H$7:$H$874,BS_RE33!$S$7:$S$874,$AM$2,BS_RE33!$N$7:$N$874,I33,BS_RE33!$P$7:$P$874,'30 days CF Table(EUR)'!G33,BS_RE33!$F$7:$F$874,'30 days CF Table(EUR)'!$C$2)</f>
        <v>0</v>
      </c>
      <c r="AN33" s="337">
        <f>SUMIFS(BS_RE33!$H$7:$H$874,BS_RE33!$S$7:$S$874,$AN$2,BS_RE33!$N$7:$N$874,I33,BS_RE33!$P$7:$P$874,'30 days CF Table(EUR)'!G33,BS_RE33!$F$7:$F$874,'30 days CF Table(EUR)'!$C$2)</f>
        <v>0</v>
      </c>
      <c r="AO33" s="337">
        <f>SUMIFS(BS_RE33!$H$7:$H$874,BS_RE33!$S$7:$S$874,$AO$2,BS_RE33!$N$7:$N$874,I33,BS_RE33!$P$7:$P$874,'30 days CF Table(EUR)'!G33,BS_RE33!$F$7:$F$874,'30 days CF Table(EUR)'!$C$2)</f>
        <v>0</v>
      </c>
      <c r="AP33" s="338">
        <f>SUMIFS(BS_RE33!$H$7:$H$874,BS_RE33!$S$7:$S$874,$AP$2,BS_RE33!$N$7:$N$874,I33,BS_RE33!$P$7:$P$874,'30 days CF Table(EUR)'!G33,BS_RE33!$F$7:$F$874,'30 days CF Table(EUR)'!$C$2)</f>
        <v>0</v>
      </c>
      <c r="AR33" s="379">
        <f>SUMIFS(BS_RE33!$H$7:$H$874,BS_RE33!$S$7:$S$874,$AR$2,BS_RE33!$N$7:$N$874,I33,BS_RE33!$P$7:$P$874,'30 days CF Table(EUR)'!G33,BS_RE33!$F$7:$F$874,'30 days CF Table(EUR)'!$C$2)</f>
        <v>0</v>
      </c>
      <c r="AS33" s="379">
        <f>SUMIFS(BS_RE33!$H$7:$H$874,BS_RE33!$S$7:$S$874,$AS$2,BS_RE33!$N$7:$N$874,I33,BS_RE33!$P$7:$P$874,'30 days CF Table(EUR)'!G33,BS_RE33!$F$7:$F$874,'30 days CF Table(EUR)'!$C$2)</f>
        <v>0</v>
      </c>
      <c r="AT33" s="379">
        <f>SUMIFS(BS_RE33!$H$7:$H$874,BS_RE33!$S$7:$S$874,$AT$2,BS_RE33!$N$7:$N$874,I33,BS_RE33!$P$7:$P$874,'30 days CF Table(EUR)'!G33,BS_RE33!$F$7:$F$874,'30 days CF Table(EUR)'!$C$2)</f>
        <v>0</v>
      </c>
      <c r="AU33" s="379">
        <f>SUMIFS(BS_RE33!$H$7:$H$874,BS_RE33!$S$7:$S$874,$AU$2,BS_RE33!$N$7:$N$874,I33,BS_RE33!$P$7:$P$874,'30 days CF Table(EUR)'!G33,BS_RE33!$F$7:$F$874,'30 days CF Table(EUR)'!$C$2)</f>
        <v>0</v>
      </c>
      <c r="AV33" s="379">
        <f>SUMIFS(BS_RE33!$H$7:$H$874,BS_RE33!$S$7:$S$874,$AV$2,BS_RE33!$N$7:$N$874,I33,BS_RE33!$P$7:$P$874,'30 days CF Table(EUR)'!G33,BS_RE33!$F$7:$F$874,'30 days CF Table(EUR)'!$C$2)</f>
        <v>0</v>
      </c>
      <c r="AW33" s="379">
        <f>SUMIFS(BS_RE33!$H$7:$H$874,BS_RE33!$S$7:$S$874,$AW$2,BS_RE33!$N$7:$N$874,I33,BS_RE33!$P$7:$P$874,'30 days CF Table(EUR)'!G33,BS_RE33!$F$7:$F$874,'30 days CF Table(EUR)'!$C$2)</f>
        <v>0</v>
      </c>
      <c r="AX33" s="379">
        <f>SUMIFS(BS_RE33!$H$7:$H$874,BS_RE33!$S$7:$S$874,$AX$2,BS_RE33!$N$7:$N$874,I33,BS_RE33!$P$7:$P$874,'30 days CF Table(EUR)'!G33,BS_RE33!$F$7:$F$874,'30 days CF Table(EUR)'!$C$2)</f>
        <v>0</v>
      </c>
      <c r="AY33" s="379">
        <f>SUMIFS(BS_RE33!$H$7:$H$874,BS_RE33!$S$7:$S$874,$AY$2,BS_RE33!$N$7:$N$874,I33,BS_RE33!$P$7:$P$874,'30 days CF Table(EUR)'!G33,BS_RE33!$F$7:$F$874,'30 days CF Table(EUR)'!$C$2)</f>
        <v>0</v>
      </c>
      <c r="AZ33" s="379">
        <f>SUMIFS(BS_RE33!$H$7:$H$874,BS_RE33!$S$7:$S$874,$AZ$2,BS_RE33!$N$7:$N$874,I33,BS_RE33!$P$7:$P$874,'30 days CF Table(EUR)'!G33,BS_RE33!$F$7:$F$874,'30 days CF Table(EUR)'!$C$2)</f>
        <v>0</v>
      </c>
      <c r="BA33" s="379">
        <f>SUMIFS(BS_RE33!$H$7:$H$874,BS_RE33!$S$7:$S$874,$BA$2,BS_RE33!$N$7:$N$874,I33,BS_RE33!$P$7:$P$874,'30 days CF Table(EUR)'!G33,BS_RE33!$F$7:$F$874,'30 days CF Table(EUR)'!$C$2)</f>
        <v>0</v>
      </c>
      <c r="BB33" s="379">
        <f>SUMIFS(BS_RE33!$H$7:$H$874,BS_RE33!$S$7:$S$874,$BB$2,BS_RE33!$N$7:$N$874,I33,BS_RE33!$P$7:$P$874,'30 days CF Table(EUR)'!G33,BS_RE33!$F$7:$F$874,'30 days CF Table(EUR)'!$C$2)</f>
        <v>0</v>
      </c>
      <c r="BC33" s="379">
        <f>SUMIFS(BS_RE33!$H$7:$H$874,BS_RE33!$S$7:$S$874,$BC$2,BS_RE33!$N$7:$N$874,I33,BS_RE33!$P$7:$P$874,'30 days CF Table(EUR)'!G33,BS_RE33!$F$7:$F$874,'30 days CF Table(EUR)'!$C$2)</f>
        <v>0</v>
      </c>
      <c r="BD33" s="379">
        <f>SUMIFS(BS_RE33!$H$7:$H$874,BS_RE33!$S$7:$S$874,$BD$2,BS_RE33!$N$7:$N$874,I33,BS_RE33!$P$7:$P$874,'30 days CF Table(EUR)'!G33,BS_RE33!$F$7:$F$874,'30 days CF Table(EUR)'!$C$2)</f>
        <v>0</v>
      </c>
      <c r="BE33" s="379">
        <f>SUMIFS(BS_RE33!$H$7:$H$874,BS_RE33!$S$7:$S$874,$BE$2,BS_RE33!$N$7:$N$874,I33,BS_RE33!$P$7:$P$874,'30 days CF Table(EUR)'!G33,BS_RE33!$F$7:$F$874,'30 days CF Table(EUR)'!$C$2)</f>
        <v>0</v>
      </c>
      <c r="BF33" s="379">
        <f>SUMIFS(BS_RE33!$H$7:$H$874,BS_RE33!$S$7:$S$874,$BF$2,BS_RE33!$N$7:$N$874,I33,BS_RE33!$P$7:$P$874,'30 days CF Table(EUR)'!G33,BS_RE33!$F$7:$F$874,'30 days CF Table(EUR)'!$C$2)</f>
        <v>0</v>
      </c>
      <c r="BG33" s="379">
        <f>SUMIFS(BS_RE33!$H$7:$H$874,BS_RE33!$S$7:$S$874,$BG$2,BS_RE33!$N$7:$N$874,I33,BS_RE33!$P$7:$P$874,'30 days CF Table(EUR)'!G33,BS_RE33!$F$7:$F$874,'30 days CF Table(EUR)'!$C$2)</f>
        <v>0</v>
      </c>
      <c r="BH33" s="379">
        <f>SUMIFS(BS_RE33!$H$7:$H$874,BS_RE33!$S$7:$S$874,$BH$2,BS_RE33!$N$7:$N$874,I33,BS_RE33!$P$7:$P$874,'30 days CF Table(EUR)'!G33,BS_RE33!$F$7:$F$874,'30 days CF Table(EUR)'!$C$2)</f>
        <v>0</v>
      </c>
      <c r="BI33" s="379">
        <f>SUMIFS(BS_RE33!$H$7:$H$874,BS_RE33!$S$7:$S$874,$BI$2,BS_RE33!$N$7:$N$874,I33,BS_RE33!$P$7:$P$874,'30 days CF Table(EUR)'!G33,BS_RE33!$F$7:$F$874,'30 days CF Table(EUR)'!$C$2)</f>
        <v>0</v>
      </c>
      <c r="BJ33" s="379">
        <f>SUMIFS(BS_RE33!$H$7:$H$874,BS_RE33!$S$7:$S$874,$BJ$2,BS_RE33!$N$7:$N$874,I33,BS_RE33!$P$7:$P$874,'30 days CF Table(EUR)'!G33,BS_RE33!$F$7:$F$874,'30 days CF Table(EUR)'!$C$2)</f>
        <v>0</v>
      </c>
      <c r="BK33" s="379">
        <f>SUMIFS(BS_RE33!$H$7:$H$874,BS_RE33!$S$7:$S$874,$BK$2,BS_RE33!$N$7:$N$874,I33,BS_RE33!$P$7:$P$874,'30 days CF Table(EUR)'!G33,BS_RE33!$F$7:$F$874,'30 days CF Table(EUR)'!$C$2)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Table(EUR)'!G34,BS_RE33!$F$7:$F$874,'30 days CF Table(EUR)'!$C$2)</f>
        <v>0</v>
      </c>
      <c r="M34" s="337">
        <f>SUMIFS(BS_RE33!$H$7:$H$874,BS_RE33!$S$7:$S$874,$M$2,BS_RE33!$N$7:$N$874,I34,BS_RE33!$P$7:$P$874,'30 days CF Table(EUR)'!G34,BS_RE33!$F$7:$F$874,'30 days CF Table(EUR)'!$C$2)</f>
        <v>0</v>
      </c>
      <c r="N34" s="337">
        <f>SUMIFS(BS_RE33!$H$7:$H$874,BS_RE33!$S$7:$S$874,$N$2,BS_RE33!$N$7:$N$874,I34,BS_RE33!$P$7:$P$874,'30 days CF Table(EUR)'!G34,BS_RE33!$F$7:$F$874,'30 days CF Table(EUR)'!$C$2)</f>
        <v>0</v>
      </c>
      <c r="O34" s="337">
        <f>SUMIFS(BS_RE33!$H$7:$H$874,BS_RE33!$S$7:$S$874,$O$2,BS_RE33!$N$7:$N$874,I34,BS_RE33!$P$7:$P$874,'30 days CF Table(EUR)'!G34,BS_RE33!$F$7:$F$874,'30 days CF Table(EUR)'!$C$2)</f>
        <v>0</v>
      </c>
      <c r="P34" s="337">
        <f>SUMIFS(BS_RE33!$H$7:$H$874,BS_RE33!$S$7:$S$874,$P$2,BS_RE33!$N$7:$N$874,I34,BS_RE33!$P$7:$P$874,'30 days CF Table(EUR)'!G34,BS_RE33!$F$7:$F$874,'30 days CF Table(EUR)'!$C$2)</f>
        <v>0</v>
      </c>
      <c r="Q34" s="337">
        <f>SUMIFS(BS_RE33!$H$7:$H$874,BS_RE33!$S$7:$S$874,$Q$2,BS_RE33!$N$7:$N$874,I34,BS_RE33!$P$7:$P$874,'30 days CF Table(EUR)'!G34,BS_RE33!$F$7:$F$874,'30 days CF Table(EUR)'!$C$2)</f>
        <v>0</v>
      </c>
      <c r="R34" s="337">
        <f>SUMIFS(BS_RE33!$H$7:$H$874,BS_RE33!$S$7:$S$874,$R$2,BS_RE33!$N$7:$N$874,I34,BS_RE33!$P$7:$P$874,'30 days CF Table(EUR)'!G34,BS_RE33!$F$7:$F$874,'30 days CF Table(EUR)'!$C$2)</f>
        <v>0</v>
      </c>
      <c r="S34" s="337">
        <f>SUMIFS(BS_RE33!$H$7:$H$874,BS_RE33!$S$7:$S$874,$S$2,BS_RE33!$N$7:$N$874,I34,BS_RE33!$P$7:$P$874,'30 days CF Table(EUR)'!G34,BS_RE33!$F$7:$F$874,'30 days CF Table(EUR)'!$C$2)</f>
        <v>0</v>
      </c>
      <c r="T34" s="337">
        <f>SUMIFS(BS_RE33!$H$7:$H$874,BS_RE33!$S$7:$S$874,$T$2,BS_RE33!$N$7:$N$874,I34,BS_RE33!$P$7:$P$874,'30 days CF Table(EUR)'!G34,BS_RE33!$F$7:$F$874,'30 days CF Table(EUR)'!$C$2)</f>
        <v>0</v>
      </c>
      <c r="U34" s="337">
        <f>SUMIFS(BS_RE33!$H$7:$H$874,BS_RE33!$S$7:$S$874,$U$2,BS_RE33!$N$7:$N$874,I34,BS_RE33!$P$7:$P$874,'30 days CF Table(EUR)'!G34,BS_RE33!$F$7:$F$874,'30 days CF Table(EUR)'!$C$2)</f>
        <v>0</v>
      </c>
      <c r="V34" s="337">
        <f>SUMIFS(BS_RE33!$H$7:$H$874,BS_RE33!$S$7:$S$874,$V$2,BS_RE33!$N$7:$N$874,I34,BS_RE33!$P$7:$P$874,'30 days CF Table(EUR)'!G34,BS_RE33!$F$7:$F$874,'30 days CF Table(EUR)'!$C$2)</f>
        <v>0</v>
      </c>
      <c r="W34" s="337">
        <f>SUMIFS(BS_RE33!$H$7:$H$874,BS_RE33!$S$7:$S$874,$W$2,BS_RE33!$N$7:$N$874,I34,BS_RE33!$P$7:$P$874,'30 days CF Table(EUR)'!G34,BS_RE33!$F$7:$F$874,'30 days CF Table(EUR)'!$C$2)</f>
        <v>0</v>
      </c>
      <c r="X34" s="337">
        <f>SUMIFS(BS_RE33!$H$7:$H$874,BS_RE33!$S$7:$S$874,$X$2,BS_RE33!$N$7:$N$874,I34,BS_RE33!$P$7:$P$874,'30 days CF Table(EUR)'!G34,BS_RE33!$F$7:$F$874,'30 days CF Table(EUR)'!$C$2)</f>
        <v>0</v>
      </c>
      <c r="Y34" s="337">
        <f>SUMIFS(BS_RE33!$H$7:$H$874,BS_RE33!$S$7:$S$874,$Y$2,BS_RE33!$N$7:$N$874,I34,BS_RE33!$P$7:$P$874,'30 days CF Table(EUR)'!G34,BS_RE33!$F$7:$F$874,'30 days CF Table(EUR)'!$C$2)</f>
        <v>0</v>
      </c>
      <c r="Z34" s="337">
        <f>SUMIFS(BS_RE33!$H$7:$H$874,BS_RE33!$S$7:$S$874,$Z$2,BS_RE33!$N$7:$N$874,I34,BS_RE33!$P$7:$P$874,'30 days CF Table(EUR)'!G34,BS_RE33!$F$7:$F$874,'30 days CF Table(EUR)'!$C$2)</f>
        <v>0</v>
      </c>
      <c r="AA34" s="337">
        <f>SUMIFS(BS_RE33!$H$7:$H$874,BS_RE33!$S$7:$S$874,$AA$2,BS_RE33!$N$7:$N$874,I34,BS_RE33!$P$7:$P$874,'30 days CF Table(EUR)'!G34,BS_RE33!$F$7:$F$874,'30 days CF Table(EUR)'!$C$2)</f>
        <v>0</v>
      </c>
      <c r="AB34" s="337">
        <f>SUMIFS(BS_RE33!$H$7:$H$874,BS_RE33!$S$7:$S$874,$AB$2,BS_RE33!$N$7:$N$874,I34,BS_RE33!$P$7:$P$874,'30 days CF Table(EUR)'!G34,BS_RE33!$F$7:$F$874,'30 days CF Table(EUR)'!$C$2)</f>
        <v>0</v>
      </c>
      <c r="AC34" s="337">
        <f>SUMIFS(BS_RE33!$H$7:$H$874,BS_RE33!$S$7:$S$874,$AC$2,BS_RE33!$N$7:$N$874,I34,BS_RE33!$P$7:$P$874,'30 days CF Table(EUR)'!G34,BS_RE33!$F$7:$F$874,'30 days CF Table(EUR)'!$C$2)</f>
        <v>0</v>
      </c>
      <c r="AD34" s="337">
        <f>SUMIFS(BS_RE33!$H$7:$H$874,BS_RE33!$S$7:$S$874,$AD$2,BS_RE33!$N$7:$N$874,I34,BS_RE33!$P$7:$P$874,'30 days CF Table(EUR)'!G34,BS_RE33!$F$7:$F$874,'30 days CF Table(EUR)'!$C$2)</f>
        <v>0</v>
      </c>
      <c r="AE34" s="337">
        <f>SUMIFS(BS_RE33!$H$7:$H$874,BS_RE33!$S$7:$S$874,$AE$2,BS_RE33!$N$7:$N$874,I34,BS_RE33!$P$7:$P$874,'30 days CF Table(EUR)'!G34,BS_RE33!$F$7:$F$874,'30 days CF Table(EUR)'!$C$2)</f>
        <v>0</v>
      </c>
      <c r="AF34" s="337">
        <f>SUMIFS(BS_RE33!$H$7:$H$874,BS_RE33!$S$7:$S$874,$AF$2,BS_RE33!$N$7:$N$874,I34,BS_RE33!$P$7:$P$874,'30 days CF Table(EUR)'!G34,BS_RE33!$F$7:$F$874,'30 days CF Table(EUR)'!$C$2)</f>
        <v>0</v>
      </c>
      <c r="AG34" s="337">
        <f>SUMIFS(BS_RE33!$H$7:$H$874,BS_RE33!$S$7:$S$874,$AG$2,BS_RE33!$N$7:$N$874,I34,BS_RE33!$P$7:$P$874,'30 days CF Table(EUR)'!G34,BS_RE33!$F$7:$F$874,'30 days CF Table(EUR)'!$C$2)</f>
        <v>0</v>
      </c>
      <c r="AH34" s="337">
        <f>SUMIFS(BS_RE33!$H$7:$H$874,BS_RE33!$S$7:$S$874,$AH$2,BS_RE33!$N$7:$N$874,I34,BS_RE33!$P$7:$P$874,'30 days CF Table(EUR)'!G34,BS_RE33!$F$7:$F$874,'30 days CF Table(EUR)'!$C$2)</f>
        <v>0</v>
      </c>
      <c r="AI34" s="337">
        <f>SUMIFS(BS_RE33!$H$7:$H$874,BS_RE33!$S$7:$S$874,$AI$2,BS_RE33!$N$7:$N$874,I34,BS_RE33!$P$7:$P$874,'30 days CF Table(EUR)'!G34,BS_RE33!$F$7:$F$874,'30 days CF Table(EUR)'!$C$2)</f>
        <v>0</v>
      </c>
      <c r="AJ34" s="337">
        <f>SUMIFS(BS_RE33!$H$7:$H$874,BS_RE33!$S$7:$S$874,$AJ$2,BS_RE33!$N$7:$N$874,I34,BS_RE33!$P$7:$P$874,'30 days CF Table(EUR)'!G34,BS_RE33!$F$7:$F$874,'30 days CF Table(EUR)'!$C$2)</f>
        <v>0</v>
      </c>
      <c r="AK34" s="337">
        <f>SUMIFS(BS_RE33!$H$7:$H$874,BS_RE33!$S$7:$S$874,$AK$2,BS_RE33!$N$7:$N$874,I34,BS_RE33!$P$7:$P$874,'30 days CF Table(EUR)'!G34,BS_RE33!$F$7:$F$874,'30 days CF Table(EUR)'!$C$2)</f>
        <v>0</v>
      </c>
      <c r="AL34" s="337">
        <f>SUMIFS(BS_RE33!$H$7:$H$874,BS_RE33!$S$7:$S$874,$AL$2,BS_RE33!$N$7:$N$874,I34,BS_RE33!$P$7:$P$874,'30 days CF Table(EUR)'!G34,BS_RE33!$F$7:$F$874,'30 days CF Table(EUR)'!$C$2)</f>
        <v>0</v>
      </c>
      <c r="AM34" s="337">
        <f>SUMIFS(BS_RE33!$H$7:$H$874,BS_RE33!$S$7:$S$874,$AM$2,BS_RE33!$N$7:$N$874,I34,BS_RE33!$P$7:$P$874,'30 days CF Table(EUR)'!G34,BS_RE33!$F$7:$F$874,'30 days CF Table(EUR)'!$C$2)</f>
        <v>0</v>
      </c>
      <c r="AN34" s="337">
        <f>SUMIFS(BS_RE33!$H$7:$H$874,BS_RE33!$S$7:$S$874,$AN$2,BS_RE33!$N$7:$N$874,I34,BS_RE33!$P$7:$P$874,'30 days CF Table(EUR)'!G34,BS_RE33!$F$7:$F$874,'30 days CF Table(EUR)'!$C$2)</f>
        <v>0</v>
      </c>
      <c r="AO34" s="337">
        <f>SUMIFS(BS_RE33!$H$7:$H$874,BS_RE33!$S$7:$S$874,$AO$2,BS_RE33!$N$7:$N$874,I34,BS_RE33!$P$7:$P$874,'30 days CF Table(EUR)'!G34,BS_RE33!$F$7:$F$874,'30 days CF Table(EUR)'!$C$2)</f>
        <v>0</v>
      </c>
      <c r="AP34" s="338">
        <f>SUMIFS(BS_RE33!$H$7:$H$874,BS_RE33!$S$7:$S$874,$AP$2,BS_RE33!$N$7:$N$874,I34,BS_RE33!$P$7:$P$874,'30 days CF Table(EUR)'!G34,BS_RE33!$F$7:$F$874,'30 days CF Table(EUR)'!$C$2)</f>
        <v>0</v>
      </c>
      <c r="AR34" s="379">
        <f>SUMIFS(BS_RE33!$H$7:$H$874,BS_RE33!$S$7:$S$874,$AR$2,BS_RE33!$N$7:$N$874,I34,BS_RE33!$P$7:$P$874,'30 days CF Table(EUR)'!G34,BS_RE33!$F$7:$F$874,'30 days CF Table(EUR)'!$C$2)</f>
        <v>0</v>
      </c>
      <c r="AS34" s="379">
        <f>SUMIFS(BS_RE33!$H$7:$H$874,BS_RE33!$S$7:$S$874,$AS$2,BS_RE33!$N$7:$N$874,I34,BS_RE33!$P$7:$P$874,'30 days CF Table(EUR)'!G34,BS_RE33!$F$7:$F$874,'30 days CF Table(EUR)'!$C$2)</f>
        <v>0</v>
      </c>
      <c r="AT34" s="379">
        <f>SUMIFS(BS_RE33!$H$7:$H$874,BS_RE33!$S$7:$S$874,$AT$2,BS_RE33!$N$7:$N$874,I34,BS_RE33!$P$7:$P$874,'30 days CF Table(EUR)'!G34,BS_RE33!$F$7:$F$874,'30 days CF Table(EUR)'!$C$2)</f>
        <v>0</v>
      </c>
      <c r="AU34" s="379">
        <f>SUMIFS(BS_RE33!$H$7:$H$874,BS_RE33!$S$7:$S$874,$AU$2,BS_RE33!$N$7:$N$874,I34,BS_RE33!$P$7:$P$874,'30 days CF Table(EUR)'!G34,BS_RE33!$F$7:$F$874,'30 days CF Table(EUR)'!$C$2)</f>
        <v>0</v>
      </c>
      <c r="AV34" s="379">
        <f>SUMIFS(BS_RE33!$H$7:$H$874,BS_RE33!$S$7:$S$874,$AV$2,BS_RE33!$N$7:$N$874,I34,BS_RE33!$P$7:$P$874,'30 days CF Table(EUR)'!G34,BS_RE33!$F$7:$F$874,'30 days CF Table(EUR)'!$C$2)</f>
        <v>0</v>
      </c>
      <c r="AW34" s="379">
        <f>SUMIFS(BS_RE33!$H$7:$H$874,BS_RE33!$S$7:$S$874,$AW$2,BS_RE33!$N$7:$N$874,I34,BS_RE33!$P$7:$P$874,'30 days CF Table(EUR)'!G34,BS_RE33!$F$7:$F$874,'30 days CF Table(EUR)'!$C$2)</f>
        <v>0</v>
      </c>
      <c r="AX34" s="379">
        <f>SUMIFS(BS_RE33!$H$7:$H$874,BS_RE33!$S$7:$S$874,$AX$2,BS_RE33!$N$7:$N$874,I34,BS_RE33!$P$7:$P$874,'30 days CF Table(EUR)'!G34,BS_RE33!$F$7:$F$874,'30 days CF Table(EUR)'!$C$2)</f>
        <v>0</v>
      </c>
      <c r="AY34" s="379">
        <f>SUMIFS(BS_RE33!$H$7:$H$874,BS_RE33!$S$7:$S$874,$AY$2,BS_RE33!$N$7:$N$874,I34,BS_RE33!$P$7:$P$874,'30 days CF Table(EUR)'!G34,BS_RE33!$F$7:$F$874,'30 days CF Table(EUR)'!$C$2)</f>
        <v>0</v>
      </c>
      <c r="AZ34" s="379">
        <f>SUMIFS(BS_RE33!$H$7:$H$874,BS_RE33!$S$7:$S$874,$AZ$2,BS_RE33!$N$7:$N$874,I34,BS_RE33!$P$7:$P$874,'30 days CF Table(EUR)'!G34,BS_RE33!$F$7:$F$874,'30 days CF Table(EUR)'!$C$2)</f>
        <v>0</v>
      </c>
      <c r="BA34" s="379">
        <f>SUMIFS(BS_RE33!$H$7:$H$874,BS_RE33!$S$7:$S$874,$BA$2,BS_RE33!$N$7:$N$874,I34,BS_RE33!$P$7:$P$874,'30 days CF Table(EUR)'!G34,BS_RE33!$F$7:$F$874,'30 days CF Table(EUR)'!$C$2)</f>
        <v>0</v>
      </c>
      <c r="BB34" s="379">
        <f>SUMIFS(BS_RE33!$H$7:$H$874,BS_RE33!$S$7:$S$874,$BB$2,BS_RE33!$N$7:$N$874,I34,BS_RE33!$P$7:$P$874,'30 days CF Table(EUR)'!G34,BS_RE33!$F$7:$F$874,'30 days CF Table(EUR)'!$C$2)</f>
        <v>0</v>
      </c>
      <c r="BC34" s="379">
        <f>SUMIFS(BS_RE33!$H$7:$H$874,BS_RE33!$S$7:$S$874,$BC$2,BS_RE33!$N$7:$N$874,I34,BS_RE33!$P$7:$P$874,'30 days CF Table(EUR)'!G34,BS_RE33!$F$7:$F$874,'30 days CF Table(EUR)'!$C$2)</f>
        <v>0</v>
      </c>
      <c r="BD34" s="379">
        <f>SUMIFS(BS_RE33!$H$7:$H$874,BS_RE33!$S$7:$S$874,$BD$2,BS_RE33!$N$7:$N$874,I34,BS_RE33!$P$7:$P$874,'30 days CF Table(EUR)'!G34,BS_RE33!$F$7:$F$874,'30 days CF Table(EUR)'!$C$2)</f>
        <v>0</v>
      </c>
      <c r="BE34" s="379">
        <f>SUMIFS(BS_RE33!$H$7:$H$874,BS_RE33!$S$7:$S$874,$BE$2,BS_RE33!$N$7:$N$874,I34,BS_RE33!$P$7:$P$874,'30 days CF Table(EUR)'!G34,BS_RE33!$F$7:$F$874,'30 days CF Table(EUR)'!$C$2)</f>
        <v>0</v>
      </c>
      <c r="BF34" s="379">
        <f>SUMIFS(BS_RE33!$H$7:$H$874,BS_RE33!$S$7:$S$874,$BF$2,BS_RE33!$N$7:$N$874,I34,BS_RE33!$P$7:$P$874,'30 days CF Table(EUR)'!G34,BS_RE33!$F$7:$F$874,'30 days CF Table(EUR)'!$C$2)</f>
        <v>0</v>
      </c>
      <c r="BG34" s="379">
        <f>SUMIFS(BS_RE33!$H$7:$H$874,BS_RE33!$S$7:$S$874,$BG$2,BS_RE33!$N$7:$N$874,I34,BS_RE33!$P$7:$P$874,'30 days CF Table(EUR)'!G34,BS_RE33!$F$7:$F$874,'30 days CF Table(EUR)'!$C$2)</f>
        <v>0</v>
      </c>
      <c r="BH34" s="379">
        <f>SUMIFS(BS_RE33!$H$7:$H$874,BS_RE33!$S$7:$S$874,$BH$2,BS_RE33!$N$7:$N$874,I34,BS_RE33!$P$7:$P$874,'30 days CF Table(EUR)'!G34,BS_RE33!$F$7:$F$874,'30 days CF Table(EUR)'!$C$2)</f>
        <v>0</v>
      </c>
      <c r="BI34" s="379">
        <f>SUMIFS(BS_RE33!$H$7:$H$874,BS_RE33!$S$7:$S$874,$BI$2,BS_RE33!$N$7:$N$874,I34,BS_RE33!$P$7:$P$874,'30 days CF Table(EUR)'!G34,BS_RE33!$F$7:$F$874,'30 days CF Table(EUR)'!$C$2)</f>
        <v>0</v>
      </c>
      <c r="BJ34" s="379">
        <f>SUMIFS(BS_RE33!$H$7:$H$874,BS_RE33!$S$7:$S$874,$BJ$2,BS_RE33!$N$7:$N$874,I34,BS_RE33!$P$7:$P$874,'30 days CF Table(EUR)'!G34,BS_RE33!$F$7:$F$874,'30 days CF Table(EUR)'!$C$2)</f>
        <v>0</v>
      </c>
      <c r="BK34" s="379">
        <f>SUMIFS(BS_RE33!$H$7:$H$874,BS_RE33!$S$7:$S$874,$BK$2,BS_RE33!$N$7:$N$874,I34,BS_RE33!$P$7:$P$874,'30 days CF Table(EUR)'!G34,BS_RE33!$F$7:$F$874,'30 days CF Table(EUR)'!$C$2)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Table(EUR)'!G35,BS_RE33!$F$7:$F$874,'30 days CF Table(EUR)'!$C$2)</f>
        <v>0</v>
      </c>
      <c r="M35" s="337">
        <f>SUMIFS(BS_RE33!$H$7:$H$874,BS_RE33!$S$7:$S$874,$M$2,BS_RE33!$N$7:$N$874,I35,BS_RE33!$P$7:$P$874,'30 days CF Table(EUR)'!G35,BS_RE33!$F$7:$F$874,'30 days CF Table(EUR)'!$C$2)</f>
        <v>0</v>
      </c>
      <c r="N35" s="337">
        <f>SUMIFS(BS_RE33!$H$7:$H$874,BS_RE33!$S$7:$S$874,$N$2,BS_RE33!$N$7:$N$874,I35,BS_RE33!$P$7:$P$874,'30 days CF Table(EUR)'!G35,BS_RE33!$F$7:$F$874,'30 days CF Table(EUR)'!$C$2)</f>
        <v>0</v>
      </c>
      <c r="O35" s="337">
        <f>SUMIFS(BS_RE33!$H$7:$H$874,BS_RE33!$S$7:$S$874,$O$2,BS_RE33!$N$7:$N$874,I35,BS_RE33!$P$7:$P$874,'30 days CF Table(EUR)'!G35,BS_RE33!$F$7:$F$874,'30 days CF Table(EUR)'!$C$2)</f>
        <v>0</v>
      </c>
      <c r="P35" s="337">
        <f>SUMIFS(BS_RE33!$H$7:$H$874,BS_RE33!$S$7:$S$874,$P$2,BS_RE33!$N$7:$N$874,I35,BS_RE33!$P$7:$P$874,'30 days CF Table(EUR)'!G35,BS_RE33!$F$7:$F$874,'30 days CF Table(EUR)'!$C$2)</f>
        <v>0</v>
      </c>
      <c r="Q35" s="337">
        <f>SUMIFS(BS_RE33!$H$7:$H$874,BS_RE33!$S$7:$S$874,$Q$2,BS_RE33!$N$7:$N$874,I35,BS_RE33!$P$7:$P$874,'30 days CF Table(EUR)'!G35,BS_RE33!$F$7:$F$874,'30 days CF Table(EUR)'!$C$2)</f>
        <v>0</v>
      </c>
      <c r="R35" s="337">
        <f>SUMIFS(BS_RE33!$H$7:$H$874,BS_RE33!$S$7:$S$874,$R$2,BS_RE33!$N$7:$N$874,I35,BS_RE33!$P$7:$P$874,'30 days CF Table(EUR)'!G35,BS_RE33!$F$7:$F$874,'30 days CF Table(EUR)'!$C$2)</f>
        <v>0</v>
      </c>
      <c r="S35" s="337">
        <f>SUMIFS(BS_RE33!$H$7:$H$874,BS_RE33!$S$7:$S$874,$S$2,BS_RE33!$N$7:$N$874,I35,BS_RE33!$P$7:$P$874,'30 days CF Table(EUR)'!G35,BS_RE33!$F$7:$F$874,'30 days CF Table(EUR)'!$C$2)</f>
        <v>0</v>
      </c>
      <c r="T35" s="337">
        <f>SUMIFS(BS_RE33!$H$7:$H$874,BS_RE33!$S$7:$S$874,$T$2,BS_RE33!$N$7:$N$874,I35,BS_RE33!$P$7:$P$874,'30 days CF Table(EUR)'!G35,BS_RE33!$F$7:$F$874,'30 days CF Table(EUR)'!$C$2)</f>
        <v>0</v>
      </c>
      <c r="U35" s="337">
        <f>SUMIFS(BS_RE33!$H$7:$H$874,BS_RE33!$S$7:$S$874,$U$2,BS_RE33!$N$7:$N$874,I35,BS_RE33!$P$7:$P$874,'30 days CF Table(EUR)'!G35,BS_RE33!$F$7:$F$874,'30 days CF Table(EUR)'!$C$2)</f>
        <v>0</v>
      </c>
      <c r="V35" s="337">
        <f>SUMIFS(BS_RE33!$H$7:$H$874,BS_RE33!$S$7:$S$874,$V$2,BS_RE33!$N$7:$N$874,I35,BS_RE33!$P$7:$P$874,'30 days CF Table(EUR)'!G35,BS_RE33!$F$7:$F$874,'30 days CF Table(EUR)'!$C$2)</f>
        <v>0</v>
      </c>
      <c r="W35" s="337">
        <f>SUMIFS(BS_RE33!$H$7:$H$874,BS_RE33!$S$7:$S$874,$W$2,BS_RE33!$N$7:$N$874,I35,BS_RE33!$P$7:$P$874,'30 days CF Table(EUR)'!G35,BS_RE33!$F$7:$F$874,'30 days CF Table(EUR)'!$C$2)</f>
        <v>0</v>
      </c>
      <c r="X35" s="337">
        <f>SUMIFS(BS_RE33!$H$7:$H$874,BS_RE33!$S$7:$S$874,$X$2,BS_RE33!$N$7:$N$874,I35,BS_RE33!$P$7:$P$874,'30 days CF Table(EUR)'!G35,BS_RE33!$F$7:$F$874,'30 days CF Table(EUR)'!$C$2)</f>
        <v>0</v>
      </c>
      <c r="Y35" s="337">
        <f>SUMIFS(BS_RE33!$H$7:$H$874,BS_RE33!$S$7:$S$874,$Y$2,BS_RE33!$N$7:$N$874,I35,BS_RE33!$P$7:$P$874,'30 days CF Table(EUR)'!G35,BS_RE33!$F$7:$F$874,'30 days CF Table(EUR)'!$C$2)</f>
        <v>0</v>
      </c>
      <c r="Z35" s="337">
        <f>SUMIFS(BS_RE33!$H$7:$H$874,BS_RE33!$S$7:$S$874,$Z$2,BS_RE33!$N$7:$N$874,I35,BS_RE33!$P$7:$P$874,'30 days CF Table(EUR)'!G35,BS_RE33!$F$7:$F$874,'30 days CF Table(EUR)'!$C$2)</f>
        <v>0</v>
      </c>
      <c r="AA35" s="337">
        <f>SUMIFS(BS_RE33!$H$7:$H$874,BS_RE33!$S$7:$S$874,$AA$2,BS_RE33!$N$7:$N$874,I35,BS_RE33!$P$7:$P$874,'30 days CF Table(EUR)'!G35,BS_RE33!$F$7:$F$874,'30 days CF Table(EUR)'!$C$2)</f>
        <v>0</v>
      </c>
      <c r="AB35" s="337">
        <f>SUMIFS(BS_RE33!$H$7:$H$874,BS_RE33!$S$7:$S$874,$AB$2,BS_RE33!$N$7:$N$874,I35,BS_RE33!$P$7:$P$874,'30 days CF Table(EUR)'!G35,BS_RE33!$F$7:$F$874,'30 days CF Table(EUR)'!$C$2)</f>
        <v>0</v>
      </c>
      <c r="AC35" s="337">
        <f>SUMIFS(BS_RE33!$H$7:$H$874,BS_RE33!$S$7:$S$874,$AC$2,BS_RE33!$N$7:$N$874,I35,BS_RE33!$P$7:$P$874,'30 days CF Table(EUR)'!G35,BS_RE33!$F$7:$F$874,'30 days CF Table(EUR)'!$C$2)</f>
        <v>0</v>
      </c>
      <c r="AD35" s="337">
        <f>SUMIFS(BS_RE33!$H$7:$H$874,BS_RE33!$S$7:$S$874,$AD$2,BS_RE33!$N$7:$N$874,I35,BS_RE33!$P$7:$P$874,'30 days CF Table(EUR)'!G35,BS_RE33!$F$7:$F$874,'30 days CF Table(EUR)'!$C$2)</f>
        <v>0</v>
      </c>
      <c r="AE35" s="337">
        <f>SUMIFS(BS_RE33!$H$7:$H$874,BS_RE33!$S$7:$S$874,$AE$2,BS_RE33!$N$7:$N$874,I35,BS_RE33!$P$7:$P$874,'30 days CF Table(EUR)'!G35,BS_RE33!$F$7:$F$874,'30 days CF Table(EUR)'!$C$2)</f>
        <v>0</v>
      </c>
      <c r="AF35" s="337">
        <f>SUMIFS(BS_RE33!$H$7:$H$874,BS_RE33!$S$7:$S$874,$AF$2,BS_RE33!$N$7:$N$874,I35,BS_RE33!$P$7:$P$874,'30 days CF Table(EUR)'!G35,BS_RE33!$F$7:$F$874,'30 days CF Table(EUR)'!$C$2)</f>
        <v>0</v>
      </c>
      <c r="AG35" s="337">
        <f>SUMIFS(BS_RE33!$H$7:$H$874,BS_RE33!$S$7:$S$874,$AG$2,BS_RE33!$N$7:$N$874,I35,BS_RE33!$P$7:$P$874,'30 days CF Table(EUR)'!G35,BS_RE33!$F$7:$F$874,'30 days CF Table(EUR)'!$C$2)</f>
        <v>0</v>
      </c>
      <c r="AH35" s="337">
        <f>SUMIFS(BS_RE33!$H$7:$H$874,BS_RE33!$S$7:$S$874,$AH$2,BS_RE33!$N$7:$N$874,I35,BS_RE33!$P$7:$P$874,'30 days CF Table(EUR)'!G35,BS_RE33!$F$7:$F$874,'30 days CF Table(EUR)'!$C$2)</f>
        <v>0</v>
      </c>
      <c r="AI35" s="337">
        <f>SUMIFS(BS_RE33!$H$7:$H$874,BS_RE33!$S$7:$S$874,$AI$2,BS_RE33!$N$7:$N$874,I35,BS_RE33!$P$7:$P$874,'30 days CF Table(EUR)'!G35,BS_RE33!$F$7:$F$874,'30 days CF Table(EUR)'!$C$2)</f>
        <v>0</v>
      </c>
      <c r="AJ35" s="337">
        <f>SUMIFS(BS_RE33!$H$7:$H$874,BS_RE33!$S$7:$S$874,$AJ$2,BS_RE33!$N$7:$N$874,I35,BS_RE33!$P$7:$P$874,'30 days CF Table(EUR)'!G35,BS_RE33!$F$7:$F$874,'30 days CF Table(EUR)'!$C$2)</f>
        <v>0</v>
      </c>
      <c r="AK35" s="337">
        <f>SUMIFS(BS_RE33!$H$7:$H$874,BS_RE33!$S$7:$S$874,$AK$2,BS_RE33!$N$7:$N$874,I35,BS_RE33!$P$7:$P$874,'30 days CF Table(EUR)'!G35,BS_RE33!$F$7:$F$874,'30 days CF Table(EUR)'!$C$2)</f>
        <v>0</v>
      </c>
      <c r="AL35" s="337">
        <f>SUMIFS(BS_RE33!$H$7:$H$874,BS_RE33!$S$7:$S$874,$AL$2,BS_RE33!$N$7:$N$874,I35,BS_RE33!$P$7:$P$874,'30 days CF Table(EUR)'!G35,BS_RE33!$F$7:$F$874,'30 days CF Table(EUR)'!$C$2)</f>
        <v>0</v>
      </c>
      <c r="AM35" s="337">
        <f>SUMIFS(BS_RE33!$H$7:$H$874,BS_RE33!$S$7:$S$874,$AM$2,BS_RE33!$N$7:$N$874,I35,BS_RE33!$P$7:$P$874,'30 days CF Table(EUR)'!G35,BS_RE33!$F$7:$F$874,'30 days CF Table(EUR)'!$C$2)</f>
        <v>0</v>
      </c>
      <c r="AN35" s="337">
        <f>SUMIFS(BS_RE33!$H$7:$H$874,BS_RE33!$S$7:$S$874,$AN$2,BS_RE33!$N$7:$N$874,I35,BS_RE33!$P$7:$P$874,'30 days CF Table(EUR)'!G35,BS_RE33!$F$7:$F$874,'30 days CF Table(EUR)'!$C$2)</f>
        <v>0</v>
      </c>
      <c r="AO35" s="337">
        <f>SUMIFS(BS_RE33!$H$7:$H$874,BS_RE33!$S$7:$S$874,$AO$2,BS_RE33!$N$7:$N$874,I35,BS_RE33!$P$7:$P$874,'30 days CF Table(EUR)'!G35,BS_RE33!$F$7:$F$874,'30 days CF Table(EUR)'!$C$2)</f>
        <v>0</v>
      </c>
      <c r="AP35" s="338">
        <f>SUMIFS(BS_RE33!$H$7:$H$874,BS_RE33!$S$7:$S$874,$AP$2,BS_RE33!$N$7:$N$874,I35,BS_RE33!$P$7:$P$874,'30 days CF Table(EUR)'!G35,BS_RE33!$F$7:$F$874,'30 days CF Table(EUR)'!$C$2)</f>
        <v>0</v>
      </c>
      <c r="AR35" s="379">
        <f>SUMIFS(BS_RE33!$H$7:$H$874,BS_RE33!$S$7:$S$874,$AR$2,BS_RE33!$N$7:$N$874,I35,BS_RE33!$P$7:$P$874,'30 days CF Table(EUR)'!G35,BS_RE33!$F$7:$F$874,'30 days CF Table(EUR)'!$C$2)</f>
        <v>0</v>
      </c>
      <c r="AS35" s="379">
        <f>SUMIFS(BS_RE33!$H$7:$H$874,BS_RE33!$S$7:$S$874,$AS$2,BS_RE33!$N$7:$N$874,I35,BS_RE33!$P$7:$P$874,'30 days CF Table(EUR)'!G35,BS_RE33!$F$7:$F$874,'30 days CF Table(EUR)'!$C$2)</f>
        <v>0</v>
      </c>
      <c r="AT35" s="379">
        <f>SUMIFS(BS_RE33!$H$7:$H$874,BS_RE33!$S$7:$S$874,$AT$2,BS_RE33!$N$7:$N$874,I35,BS_RE33!$P$7:$P$874,'30 days CF Table(EUR)'!G35,BS_RE33!$F$7:$F$874,'30 days CF Table(EUR)'!$C$2)</f>
        <v>0</v>
      </c>
      <c r="AU35" s="379">
        <f>SUMIFS(BS_RE33!$H$7:$H$874,BS_RE33!$S$7:$S$874,$AU$2,BS_RE33!$N$7:$N$874,I35,BS_RE33!$P$7:$P$874,'30 days CF Table(EUR)'!G35,BS_RE33!$F$7:$F$874,'30 days CF Table(EUR)'!$C$2)</f>
        <v>0</v>
      </c>
      <c r="AV35" s="379">
        <f>SUMIFS(BS_RE33!$H$7:$H$874,BS_RE33!$S$7:$S$874,$AV$2,BS_RE33!$N$7:$N$874,I35,BS_RE33!$P$7:$P$874,'30 days CF Table(EUR)'!G35,BS_RE33!$F$7:$F$874,'30 days CF Table(EUR)'!$C$2)</f>
        <v>0</v>
      </c>
      <c r="AW35" s="379">
        <f>SUMIFS(BS_RE33!$H$7:$H$874,BS_RE33!$S$7:$S$874,$AW$2,BS_RE33!$N$7:$N$874,I35,BS_RE33!$P$7:$P$874,'30 days CF Table(EUR)'!G35,BS_RE33!$F$7:$F$874,'30 days CF Table(EUR)'!$C$2)</f>
        <v>0</v>
      </c>
      <c r="AX35" s="379">
        <f>SUMIFS(BS_RE33!$H$7:$H$874,BS_RE33!$S$7:$S$874,$AX$2,BS_RE33!$N$7:$N$874,I35,BS_RE33!$P$7:$P$874,'30 days CF Table(EUR)'!G35,BS_RE33!$F$7:$F$874,'30 days CF Table(EUR)'!$C$2)</f>
        <v>0</v>
      </c>
      <c r="AY35" s="379">
        <f>SUMIFS(BS_RE33!$H$7:$H$874,BS_RE33!$S$7:$S$874,$AY$2,BS_RE33!$N$7:$N$874,I35,BS_RE33!$P$7:$P$874,'30 days CF Table(EUR)'!G35,BS_RE33!$F$7:$F$874,'30 days CF Table(EUR)'!$C$2)</f>
        <v>0</v>
      </c>
      <c r="AZ35" s="379">
        <f>SUMIFS(BS_RE33!$H$7:$H$874,BS_RE33!$S$7:$S$874,$AZ$2,BS_RE33!$N$7:$N$874,I35,BS_RE33!$P$7:$P$874,'30 days CF Table(EUR)'!G35,BS_RE33!$F$7:$F$874,'30 days CF Table(EUR)'!$C$2)</f>
        <v>0</v>
      </c>
      <c r="BA35" s="379">
        <f>SUMIFS(BS_RE33!$H$7:$H$874,BS_RE33!$S$7:$S$874,$BA$2,BS_RE33!$N$7:$N$874,I35,BS_RE33!$P$7:$P$874,'30 days CF Table(EUR)'!G35,BS_RE33!$F$7:$F$874,'30 days CF Table(EUR)'!$C$2)</f>
        <v>0</v>
      </c>
      <c r="BB35" s="379">
        <f>SUMIFS(BS_RE33!$H$7:$H$874,BS_RE33!$S$7:$S$874,$BB$2,BS_RE33!$N$7:$N$874,I35,BS_RE33!$P$7:$P$874,'30 days CF Table(EUR)'!G35,BS_RE33!$F$7:$F$874,'30 days CF Table(EUR)'!$C$2)</f>
        <v>0</v>
      </c>
      <c r="BC35" s="379">
        <f>SUMIFS(BS_RE33!$H$7:$H$874,BS_RE33!$S$7:$S$874,$BC$2,BS_RE33!$N$7:$N$874,I35,BS_RE33!$P$7:$P$874,'30 days CF Table(EUR)'!G35,BS_RE33!$F$7:$F$874,'30 days CF Table(EUR)'!$C$2)</f>
        <v>0</v>
      </c>
      <c r="BD35" s="379">
        <f>SUMIFS(BS_RE33!$H$7:$H$874,BS_RE33!$S$7:$S$874,$BD$2,BS_RE33!$N$7:$N$874,I35,BS_RE33!$P$7:$P$874,'30 days CF Table(EUR)'!G35,BS_RE33!$F$7:$F$874,'30 days CF Table(EUR)'!$C$2)</f>
        <v>0</v>
      </c>
      <c r="BE35" s="379">
        <f>SUMIFS(BS_RE33!$H$7:$H$874,BS_RE33!$S$7:$S$874,$BE$2,BS_RE33!$N$7:$N$874,I35,BS_RE33!$P$7:$P$874,'30 days CF Table(EUR)'!G35,BS_RE33!$F$7:$F$874,'30 days CF Table(EUR)'!$C$2)</f>
        <v>0</v>
      </c>
      <c r="BF35" s="379">
        <f>SUMIFS(BS_RE33!$H$7:$H$874,BS_RE33!$S$7:$S$874,$BF$2,BS_RE33!$N$7:$N$874,I35,BS_RE33!$P$7:$P$874,'30 days CF Table(EUR)'!G35,BS_RE33!$F$7:$F$874,'30 days CF Table(EUR)'!$C$2)</f>
        <v>0</v>
      </c>
      <c r="BG35" s="379">
        <f>SUMIFS(BS_RE33!$H$7:$H$874,BS_RE33!$S$7:$S$874,$BG$2,BS_RE33!$N$7:$N$874,I35,BS_RE33!$P$7:$P$874,'30 days CF Table(EUR)'!G35,BS_RE33!$F$7:$F$874,'30 days CF Table(EUR)'!$C$2)</f>
        <v>0</v>
      </c>
      <c r="BH35" s="379">
        <f>SUMIFS(BS_RE33!$H$7:$H$874,BS_RE33!$S$7:$S$874,$BH$2,BS_RE33!$N$7:$N$874,I35,BS_RE33!$P$7:$P$874,'30 days CF Table(EUR)'!G35,BS_RE33!$F$7:$F$874,'30 days CF Table(EUR)'!$C$2)</f>
        <v>0</v>
      </c>
      <c r="BI35" s="379">
        <f>SUMIFS(BS_RE33!$H$7:$H$874,BS_RE33!$S$7:$S$874,$BI$2,BS_RE33!$N$7:$N$874,I35,BS_RE33!$P$7:$P$874,'30 days CF Table(EUR)'!G35,BS_RE33!$F$7:$F$874,'30 days CF Table(EUR)'!$C$2)</f>
        <v>0</v>
      </c>
      <c r="BJ35" s="379">
        <f>SUMIFS(BS_RE33!$H$7:$H$874,BS_RE33!$S$7:$S$874,$BJ$2,BS_RE33!$N$7:$N$874,I35,BS_RE33!$P$7:$P$874,'30 days CF Table(EUR)'!G35,BS_RE33!$F$7:$F$874,'30 days CF Table(EUR)'!$C$2)</f>
        <v>0</v>
      </c>
      <c r="BK35" s="379">
        <f>SUMIFS(BS_RE33!$H$7:$H$874,BS_RE33!$S$7:$S$874,$BK$2,BS_RE33!$N$7:$N$874,I35,BS_RE33!$P$7:$P$874,'30 days CF Table(EUR)'!G35,BS_RE33!$F$7:$F$874,'30 days CF Table(EUR)'!$C$2)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Table(EUR)'!G36,BS_RE33!$F$7:$F$874,'30 days CF Table(EUR)'!$C$2)</f>
        <v>0</v>
      </c>
      <c r="M36" s="337">
        <f>SUMIFS(BS_RE33!$H$7:$H$874,BS_RE33!$S$7:$S$874,$M$2,BS_RE33!$N$7:$N$874,I36,BS_RE33!$P$7:$P$874,'30 days CF Table(EUR)'!G36,BS_RE33!$F$7:$F$874,'30 days CF Table(EUR)'!$C$2)</f>
        <v>0</v>
      </c>
      <c r="N36" s="337">
        <f>SUMIFS(BS_RE33!$H$7:$H$874,BS_RE33!$S$7:$S$874,$N$2,BS_RE33!$N$7:$N$874,I36,BS_RE33!$P$7:$P$874,'30 days CF Table(EUR)'!G36,BS_RE33!$F$7:$F$874,'30 days CF Table(EUR)'!$C$2)</f>
        <v>0</v>
      </c>
      <c r="O36" s="337">
        <f>SUMIFS(BS_RE33!$H$7:$H$874,BS_RE33!$S$7:$S$874,$O$2,BS_RE33!$N$7:$N$874,I36,BS_RE33!$P$7:$P$874,'30 days CF Table(EUR)'!G36,BS_RE33!$F$7:$F$874,'30 days CF Table(EUR)'!$C$2)</f>
        <v>0</v>
      </c>
      <c r="P36" s="337">
        <f>SUMIFS(BS_RE33!$H$7:$H$874,BS_RE33!$S$7:$S$874,$P$2,BS_RE33!$N$7:$N$874,I36,BS_RE33!$P$7:$P$874,'30 days CF Table(EUR)'!G36,BS_RE33!$F$7:$F$874,'30 days CF Table(EUR)'!$C$2)</f>
        <v>0</v>
      </c>
      <c r="Q36" s="337">
        <f>SUMIFS(BS_RE33!$H$7:$H$874,BS_RE33!$S$7:$S$874,$Q$2,BS_RE33!$N$7:$N$874,I36,BS_RE33!$P$7:$P$874,'30 days CF Table(EUR)'!G36,BS_RE33!$F$7:$F$874,'30 days CF Table(EUR)'!$C$2)</f>
        <v>0</v>
      </c>
      <c r="R36" s="337">
        <f>SUMIFS(BS_RE33!$H$7:$H$874,BS_RE33!$S$7:$S$874,$R$2,BS_RE33!$N$7:$N$874,I36,BS_RE33!$P$7:$P$874,'30 days CF Table(EUR)'!G36,BS_RE33!$F$7:$F$874,'30 days CF Table(EUR)'!$C$2)</f>
        <v>0</v>
      </c>
      <c r="S36" s="337">
        <f>SUMIFS(BS_RE33!$H$7:$H$874,BS_RE33!$S$7:$S$874,$S$2,BS_RE33!$N$7:$N$874,I36,BS_RE33!$P$7:$P$874,'30 days CF Table(EUR)'!G36,BS_RE33!$F$7:$F$874,'30 days CF Table(EUR)'!$C$2)</f>
        <v>0</v>
      </c>
      <c r="T36" s="337">
        <f>SUMIFS(BS_RE33!$H$7:$H$874,BS_RE33!$S$7:$S$874,$T$2,BS_RE33!$N$7:$N$874,I36,BS_RE33!$P$7:$P$874,'30 days CF Table(EUR)'!G36,BS_RE33!$F$7:$F$874,'30 days CF Table(EUR)'!$C$2)</f>
        <v>0</v>
      </c>
      <c r="U36" s="337">
        <f>SUMIFS(BS_RE33!$H$7:$H$874,BS_RE33!$S$7:$S$874,$U$2,BS_RE33!$N$7:$N$874,I36,BS_RE33!$P$7:$P$874,'30 days CF Table(EUR)'!G36,BS_RE33!$F$7:$F$874,'30 days CF Table(EUR)'!$C$2)</f>
        <v>0</v>
      </c>
      <c r="V36" s="337">
        <f>SUMIFS(BS_RE33!$H$7:$H$874,BS_RE33!$S$7:$S$874,$V$2,BS_RE33!$N$7:$N$874,I36,BS_RE33!$P$7:$P$874,'30 days CF Table(EUR)'!G36,BS_RE33!$F$7:$F$874,'30 days CF Table(EUR)'!$C$2)</f>
        <v>0</v>
      </c>
      <c r="W36" s="337">
        <f>SUMIFS(BS_RE33!$H$7:$H$874,BS_RE33!$S$7:$S$874,$W$2,BS_RE33!$N$7:$N$874,I36,BS_RE33!$P$7:$P$874,'30 days CF Table(EUR)'!G36,BS_RE33!$F$7:$F$874,'30 days CF Table(EUR)'!$C$2)</f>
        <v>0</v>
      </c>
      <c r="X36" s="337">
        <f>SUMIFS(BS_RE33!$H$7:$H$874,BS_RE33!$S$7:$S$874,$X$2,BS_RE33!$N$7:$N$874,I36,BS_RE33!$P$7:$P$874,'30 days CF Table(EUR)'!G36,BS_RE33!$F$7:$F$874,'30 days CF Table(EUR)'!$C$2)</f>
        <v>0</v>
      </c>
      <c r="Y36" s="337">
        <f>SUMIFS(BS_RE33!$H$7:$H$874,BS_RE33!$S$7:$S$874,$Y$2,BS_RE33!$N$7:$N$874,I36,BS_RE33!$P$7:$P$874,'30 days CF Table(EUR)'!G36,BS_RE33!$F$7:$F$874,'30 days CF Table(EUR)'!$C$2)</f>
        <v>0</v>
      </c>
      <c r="Z36" s="337">
        <f>SUMIFS(BS_RE33!$H$7:$H$874,BS_RE33!$S$7:$S$874,$Z$2,BS_RE33!$N$7:$N$874,I36,BS_RE33!$P$7:$P$874,'30 days CF Table(EUR)'!G36,BS_RE33!$F$7:$F$874,'30 days CF Table(EUR)'!$C$2)</f>
        <v>0</v>
      </c>
      <c r="AA36" s="337">
        <f>SUMIFS(BS_RE33!$H$7:$H$874,BS_RE33!$S$7:$S$874,$AA$2,BS_RE33!$N$7:$N$874,I36,BS_RE33!$P$7:$P$874,'30 days CF Table(EUR)'!G36,BS_RE33!$F$7:$F$874,'30 days CF Table(EUR)'!$C$2)</f>
        <v>0</v>
      </c>
      <c r="AB36" s="337">
        <f>SUMIFS(BS_RE33!$H$7:$H$874,BS_RE33!$S$7:$S$874,$AB$2,BS_RE33!$N$7:$N$874,I36,BS_RE33!$P$7:$P$874,'30 days CF Table(EUR)'!G36,BS_RE33!$F$7:$F$874,'30 days CF Table(EUR)'!$C$2)</f>
        <v>0</v>
      </c>
      <c r="AC36" s="337">
        <f>SUMIFS(BS_RE33!$H$7:$H$874,BS_RE33!$S$7:$S$874,$AC$2,BS_RE33!$N$7:$N$874,I36,BS_RE33!$P$7:$P$874,'30 days CF Table(EUR)'!G36,BS_RE33!$F$7:$F$874,'30 days CF Table(EUR)'!$C$2)</f>
        <v>0</v>
      </c>
      <c r="AD36" s="337">
        <f>SUMIFS(BS_RE33!$H$7:$H$874,BS_RE33!$S$7:$S$874,$AD$2,BS_RE33!$N$7:$N$874,I36,BS_RE33!$P$7:$P$874,'30 days CF Table(EUR)'!G36,BS_RE33!$F$7:$F$874,'30 days CF Table(EUR)'!$C$2)</f>
        <v>0</v>
      </c>
      <c r="AE36" s="337">
        <f>SUMIFS(BS_RE33!$H$7:$H$874,BS_RE33!$S$7:$S$874,$AE$2,BS_RE33!$N$7:$N$874,I36,BS_RE33!$P$7:$P$874,'30 days CF Table(EUR)'!G36,BS_RE33!$F$7:$F$874,'30 days CF Table(EUR)'!$C$2)</f>
        <v>0</v>
      </c>
      <c r="AF36" s="337">
        <f>SUMIFS(BS_RE33!$H$7:$H$874,BS_RE33!$S$7:$S$874,$AF$2,BS_RE33!$N$7:$N$874,I36,BS_RE33!$P$7:$P$874,'30 days CF Table(EUR)'!G36,BS_RE33!$F$7:$F$874,'30 days CF Table(EUR)'!$C$2)</f>
        <v>0</v>
      </c>
      <c r="AG36" s="337">
        <f>SUMIFS(BS_RE33!$H$7:$H$874,BS_RE33!$S$7:$S$874,$AG$2,BS_RE33!$N$7:$N$874,I36,BS_RE33!$P$7:$P$874,'30 days CF Table(EUR)'!G36,BS_RE33!$F$7:$F$874,'30 days CF Table(EUR)'!$C$2)</f>
        <v>0</v>
      </c>
      <c r="AH36" s="337">
        <f>SUMIFS(BS_RE33!$H$7:$H$874,BS_RE33!$S$7:$S$874,$AH$2,BS_RE33!$N$7:$N$874,I36,BS_RE33!$P$7:$P$874,'30 days CF Table(EUR)'!G36,BS_RE33!$F$7:$F$874,'30 days CF Table(EUR)'!$C$2)</f>
        <v>0</v>
      </c>
      <c r="AI36" s="337">
        <f>SUMIFS(BS_RE33!$H$7:$H$874,BS_RE33!$S$7:$S$874,$AI$2,BS_RE33!$N$7:$N$874,I36,BS_RE33!$P$7:$P$874,'30 days CF Table(EUR)'!G36,BS_RE33!$F$7:$F$874,'30 days CF Table(EUR)'!$C$2)</f>
        <v>0</v>
      </c>
      <c r="AJ36" s="337">
        <f>SUMIFS(BS_RE33!$H$7:$H$874,BS_RE33!$S$7:$S$874,$AJ$2,BS_RE33!$N$7:$N$874,I36,BS_RE33!$P$7:$P$874,'30 days CF Table(EUR)'!G36,BS_RE33!$F$7:$F$874,'30 days CF Table(EUR)'!$C$2)</f>
        <v>0</v>
      </c>
      <c r="AK36" s="337">
        <f>SUMIFS(BS_RE33!$H$7:$H$874,BS_RE33!$S$7:$S$874,$AK$2,BS_RE33!$N$7:$N$874,I36,BS_RE33!$P$7:$P$874,'30 days CF Table(EUR)'!G36,BS_RE33!$F$7:$F$874,'30 days CF Table(EUR)'!$C$2)</f>
        <v>0</v>
      </c>
      <c r="AL36" s="337">
        <f>SUMIFS(BS_RE33!$H$7:$H$874,BS_RE33!$S$7:$S$874,$AL$2,BS_RE33!$N$7:$N$874,I36,BS_RE33!$P$7:$P$874,'30 days CF Table(EUR)'!G36,BS_RE33!$F$7:$F$874,'30 days CF Table(EUR)'!$C$2)</f>
        <v>0</v>
      </c>
      <c r="AM36" s="337">
        <f>SUMIFS(BS_RE33!$H$7:$H$874,BS_RE33!$S$7:$S$874,$AM$2,BS_RE33!$N$7:$N$874,I36,BS_RE33!$P$7:$P$874,'30 days CF Table(EUR)'!G36,BS_RE33!$F$7:$F$874,'30 days CF Table(EUR)'!$C$2)</f>
        <v>0</v>
      </c>
      <c r="AN36" s="337">
        <f>SUMIFS(BS_RE33!$H$7:$H$874,BS_RE33!$S$7:$S$874,$AN$2,BS_RE33!$N$7:$N$874,I36,BS_RE33!$P$7:$P$874,'30 days CF Table(EUR)'!G36,BS_RE33!$F$7:$F$874,'30 days CF Table(EUR)'!$C$2)</f>
        <v>0</v>
      </c>
      <c r="AO36" s="337">
        <f>SUMIFS(BS_RE33!$H$7:$H$874,BS_RE33!$S$7:$S$874,$AO$2,BS_RE33!$N$7:$N$874,I36,BS_RE33!$P$7:$P$874,'30 days CF Table(EUR)'!G36,BS_RE33!$F$7:$F$874,'30 days CF Table(EUR)'!$C$2)</f>
        <v>0</v>
      </c>
      <c r="AP36" s="338">
        <f>SUMIFS(BS_RE33!$H$7:$H$874,BS_RE33!$S$7:$S$874,$AP$2,BS_RE33!$N$7:$N$874,I36,BS_RE33!$P$7:$P$874,'30 days CF Table(EUR)'!G36,BS_RE33!$F$7:$F$874,'30 days CF Table(EUR)'!$C$2)</f>
        <v>0</v>
      </c>
      <c r="AR36" s="379">
        <f>SUMIFS(BS_RE33!$H$7:$H$874,BS_RE33!$S$7:$S$874,$AR$2,BS_RE33!$N$7:$N$874,I36,BS_RE33!$P$7:$P$874,'30 days CF Table(EUR)'!G36,BS_RE33!$F$7:$F$874,'30 days CF Table(EUR)'!$C$2)</f>
        <v>0</v>
      </c>
      <c r="AS36" s="379">
        <f>SUMIFS(BS_RE33!$H$7:$H$874,BS_RE33!$S$7:$S$874,$AS$2,BS_RE33!$N$7:$N$874,I36,BS_RE33!$P$7:$P$874,'30 days CF Table(EUR)'!G36,BS_RE33!$F$7:$F$874,'30 days CF Table(EUR)'!$C$2)</f>
        <v>0</v>
      </c>
      <c r="AT36" s="379">
        <f>SUMIFS(BS_RE33!$H$7:$H$874,BS_RE33!$S$7:$S$874,$AT$2,BS_RE33!$N$7:$N$874,I36,BS_RE33!$P$7:$P$874,'30 days CF Table(EUR)'!G36,BS_RE33!$F$7:$F$874,'30 days CF Table(EUR)'!$C$2)</f>
        <v>0</v>
      </c>
      <c r="AU36" s="379">
        <f>SUMIFS(BS_RE33!$H$7:$H$874,BS_RE33!$S$7:$S$874,$AU$2,BS_RE33!$N$7:$N$874,I36,BS_RE33!$P$7:$P$874,'30 days CF Table(EUR)'!G36,BS_RE33!$F$7:$F$874,'30 days CF Table(EUR)'!$C$2)</f>
        <v>0</v>
      </c>
      <c r="AV36" s="379">
        <f>SUMIFS(BS_RE33!$H$7:$H$874,BS_RE33!$S$7:$S$874,$AV$2,BS_RE33!$N$7:$N$874,I36,BS_RE33!$P$7:$P$874,'30 days CF Table(EUR)'!G36,BS_RE33!$F$7:$F$874,'30 days CF Table(EUR)'!$C$2)</f>
        <v>0</v>
      </c>
      <c r="AW36" s="379">
        <f>SUMIFS(BS_RE33!$H$7:$H$874,BS_RE33!$S$7:$S$874,$AW$2,BS_RE33!$N$7:$N$874,I36,BS_RE33!$P$7:$P$874,'30 days CF Table(EUR)'!G36,BS_RE33!$F$7:$F$874,'30 days CF Table(EUR)'!$C$2)</f>
        <v>0</v>
      </c>
      <c r="AX36" s="379">
        <f>SUMIFS(BS_RE33!$H$7:$H$874,BS_RE33!$S$7:$S$874,$AX$2,BS_RE33!$N$7:$N$874,I36,BS_RE33!$P$7:$P$874,'30 days CF Table(EUR)'!G36,BS_RE33!$F$7:$F$874,'30 days CF Table(EUR)'!$C$2)</f>
        <v>0</v>
      </c>
      <c r="AY36" s="379">
        <f>SUMIFS(BS_RE33!$H$7:$H$874,BS_RE33!$S$7:$S$874,$AY$2,BS_RE33!$N$7:$N$874,I36,BS_RE33!$P$7:$P$874,'30 days CF Table(EUR)'!G36,BS_RE33!$F$7:$F$874,'30 days CF Table(EUR)'!$C$2)</f>
        <v>0</v>
      </c>
      <c r="AZ36" s="379">
        <f>SUMIFS(BS_RE33!$H$7:$H$874,BS_RE33!$S$7:$S$874,$AZ$2,BS_RE33!$N$7:$N$874,I36,BS_RE33!$P$7:$P$874,'30 days CF Table(EUR)'!G36,BS_RE33!$F$7:$F$874,'30 days CF Table(EUR)'!$C$2)</f>
        <v>0</v>
      </c>
      <c r="BA36" s="379">
        <f>SUMIFS(BS_RE33!$H$7:$H$874,BS_RE33!$S$7:$S$874,$BA$2,BS_RE33!$N$7:$N$874,I36,BS_RE33!$P$7:$P$874,'30 days CF Table(EUR)'!G36,BS_RE33!$F$7:$F$874,'30 days CF Table(EUR)'!$C$2)</f>
        <v>0</v>
      </c>
      <c r="BB36" s="379">
        <f>SUMIFS(BS_RE33!$H$7:$H$874,BS_RE33!$S$7:$S$874,$BB$2,BS_RE33!$N$7:$N$874,I36,BS_RE33!$P$7:$P$874,'30 days CF Table(EUR)'!G36,BS_RE33!$F$7:$F$874,'30 days CF Table(EUR)'!$C$2)</f>
        <v>0</v>
      </c>
      <c r="BC36" s="379">
        <f>SUMIFS(BS_RE33!$H$7:$H$874,BS_RE33!$S$7:$S$874,$BC$2,BS_RE33!$N$7:$N$874,I36,BS_RE33!$P$7:$P$874,'30 days CF Table(EUR)'!G36,BS_RE33!$F$7:$F$874,'30 days CF Table(EUR)'!$C$2)</f>
        <v>0</v>
      </c>
      <c r="BD36" s="379">
        <f>SUMIFS(BS_RE33!$H$7:$H$874,BS_RE33!$S$7:$S$874,$BD$2,BS_RE33!$N$7:$N$874,I36,BS_RE33!$P$7:$P$874,'30 days CF Table(EUR)'!G36,BS_RE33!$F$7:$F$874,'30 days CF Table(EUR)'!$C$2)</f>
        <v>0</v>
      </c>
      <c r="BE36" s="379">
        <f>SUMIFS(BS_RE33!$H$7:$H$874,BS_RE33!$S$7:$S$874,$BE$2,BS_RE33!$N$7:$N$874,I36,BS_RE33!$P$7:$P$874,'30 days CF Table(EUR)'!G36,BS_RE33!$F$7:$F$874,'30 days CF Table(EUR)'!$C$2)</f>
        <v>0</v>
      </c>
      <c r="BF36" s="379">
        <f>SUMIFS(BS_RE33!$H$7:$H$874,BS_RE33!$S$7:$S$874,$BF$2,BS_RE33!$N$7:$N$874,I36,BS_RE33!$P$7:$P$874,'30 days CF Table(EUR)'!G36,BS_RE33!$F$7:$F$874,'30 days CF Table(EUR)'!$C$2)</f>
        <v>0</v>
      </c>
      <c r="BG36" s="379">
        <f>SUMIFS(BS_RE33!$H$7:$H$874,BS_RE33!$S$7:$S$874,$BG$2,BS_RE33!$N$7:$N$874,I36,BS_RE33!$P$7:$P$874,'30 days CF Table(EUR)'!G36,BS_RE33!$F$7:$F$874,'30 days CF Table(EUR)'!$C$2)</f>
        <v>0</v>
      </c>
      <c r="BH36" s="379">
        <f>SUMIFS(BS_RE33!$H$7:$H$874,BS_RE33!$S$7:$S$874,$BH$2,BS_RE33!$N$7:$N$874,I36,BS_RE33!$P$7:$P$874,'30 days CF Table(EUR)'!G36,BS_RE33!$F$7:$F$874,'30 days CF Table(EUR)'!$C$2)</f>
        <v>0</v>
      </c>
      <c r="BI36" s="379">
        <f>SUMIFS(BS_RE33!$H$7:$H$874,BS_RE33!$S$7:$S$874,$BI$2,BS_RE33!$N$7:$N$874,I36,BS_RE33!$P$7:$P$874,'30 days CF Table(EUR)'!G36,BS_RE33!$F$7:$F$874,'30 days CF Table(EUR)'!$C$2)</f>
        <v>0</v>
      </c>
      <c r="BJ36" s="379">
        <f>SUMIFS(BS_RE33!$H$7:$H$874,BS_RE33!$S$7:$S$874,$BJ$2,BS_RE33!$N$7:$N$874,I36,BS_RE33!$P$7:$P$874,'30 days CF Table(EUR)'!G36,BS_RE33!$F$7:$F$874,'30 days CF Table(EUR)'!$C$2)</f>
        <v>0</v>
      </c>
      <c r="BK36" s="379">
        <f>SUMIFS(BS_RE33!$H$7:$H$874,BS_RE33!$S$7:$S$874,$BK$2,BS_RE33!$N$7:$N$874,I36,BS_RE33!$P$7:$P$874,'30 days CF Table(EUR)'!G36,BS_RE33!$F$7:$F$874,'30 days CF Table(EUR)'!$C$2)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Table(EUR)'!G37,BS_RE33!$F$7:$F$874,'30 days CF Table(EUR)'!$C$2)</f>
        <v>0</v>
      </c>
      <c r="M37" s="337">
        <f>SUMIFS(BS_RE33!$H$7:$H$874,BS_RE33!$S$7:$S$874,$M$2,BS_RE33!$N$7:$N$874,I37,BS_RE33!$P$7:$P$874,'30 days CF Table(EUR)'!G37,BS_RE33!$F$7:$F$874,'30 days CF Table(EUR)'!$C$2)</f>
        <v>0</v>
      </c>
      <c r="N37" s="337">
        <f>SUMIFS(BS_RE33!$H$7:$H$874,BS_RE33!$S$7:$S$874,$N$2,BS_RE33!$N$7:$N$874,I37,BS_RE33!$P$7:$P$874,'30 days CF Table(EUR)'!G37,BS_RE33!$F$7:$F$874,'30 days CF Table(EUR)'!$C$2)</f>
        <v>0</v>
      </c>
      <c r="O37" s="337">
        <f>SUMIFS(BS_RE33!$H$7:$H$874,BS_RE33!$S$7:$S$874,$O$2,BS_RE33!$N$7:$N$874,I37,BS_RE33!$P$7:$P$874,'30 days CF Table(EUR)'!G37,BS_RE33!$F$7:$F$874,'30 days CF Table(EUR)'!$C$2)</f>
        <v>0</v>
      </c>
      <c r="P37" s="337">
        <f>SUMIFS(BS_RE33!$H$7:$H$874,BS_RE33!$S$7:$S$874,$P$2,BS_RE33!$N$7:$N$874,I37,BS_RE33!$P$7:$P$874,'30 days CF Table(EUR)'!G37,BS_RE33!$F$7:$F$874,'30 days CF Table(EUR)'!$C$2)</f>
        <v>0</v>
      </c>
      <c r="Q37" s="337">
        <f>SUMIFS(BS_RE33!$H$7:$H$874,BS_RE33!$S$7:$S$874,$Q$2,BS_RE33!$N$7:$N$874,I37,BS_RE33!$P$7:$P$874,'30 days CF Table(EUR)'!G37,BS_RE33!$F$7:$F$874,'30 days CF Table(EUR)'!$C$2)</f>
        <v>0</v>
      </c>
      <c r="R37" s="337">
        <f>SUMIFS(BS_RE33!$H$7:$H$874,BS_RE33!$S$7:$S$874,$R$2,BS_RE33!$N$7:$N$874,I37,BS_RE33!$P$7:$P$874,'30 days CF Table(EUR)'!G37,BS_RE33!$F$7:$F$874,'30 days CF Table(EUR)'!$C$2)</f>
        <v>0</v>
      </c>
      <c r="S37" s="337">
        <f>SUMIFS(BS_RE33!$H$7:$H$874,BS_RE33!$S$7:$S$874,$S$2,BS_RE33!$N$7:$N$874,I37,BS_RE33!$P$7:$P$874,'30 days CF Table(EUR)'!G37,BS_RE33!$F$7:$F$874,'30 days CF Table(EUR)'!$C$2)</f>
        <v>0</v>
      </c>
      <c r="T37" s="337">
        <f>SUMIFS(BS_RE33!$H$7:$H$874,BS_RE33!$S$7:$S$874,$T$2,BS_RE33!$N$7:$N$874,I37,BS_RE33!$P$7:$P$874,'30 days CF Table(EUR)'!G37,BS_RE33!$F$7:$F$874,'30 days CF Table(EUR)'!$C$2)</f>
        <v>0</v>
      </c>
      <c r="U37" s="337">
        <f>SUMIFS(BS_RE33!$H$7:$H$874,BS_RE33!$S$7:$S$874,$U$2,BS_RE33!$N$7:$N$874,I37,BS_RE33!$P$7:$P$874,'30 days CF Table(EUR)'!G37,BS_RE33!$F$7:$F$874,'30 days CF Table(EUR)'!$C$2)</f>
        <v>0</v>
      </c>
      <c r="V37" s="337">
        <f>SUMIFS(BS_RE33!$H$7:$H$874,BS_RE33!$S$7:$S$874,$V$2,BS_RE33!$N$7:$N$874,I37,BS_RE33!$P$7:$P$874,'30 days CF Table(EUR)'!G37,BS_RE33!$F$7:$F$874,'30 days CF Table(EUR)'!$C$2)</f>
        <v>0</v>
      </c>
      <c r="W37" s="337">
        <f>SUMIFS(BS_RE33!$H$7:$H$874,BS_RE33!$S$7:$S$874,$W$2,BS_RE33!$N$7:$N$874,I37,BS_RE33!$P$7:$P$874,'30 days CF Table(EUR)'!G37,BS_RE33!$F$7:$F$874,'30 days CF Table(EUR)'!$C$2)</f>
        <v>0</v>
      </c>
      <c r="X37" s="337">
        <f>SUMIFS(BS_RE33!$H$7:$H$874,BS_RE33!$S$7:$S$874,$X$2,BS_RE33!$N$7:$N$874,I37,BS_RE33!$P$7:$P$874,'30 days CF Table(EUR)'!G37,BS_RE33!$F$7:$F$874,'30 days CF Table(EUR)'!$C$2)</f>
        <v>0</v>
      </c>
      <c r="Y37" s="337">
        <f>SUMIFS(BS_RE33!$H$7:$H$874,BS_RE33!$S$7:$S$874,$Y$2,BS_RE33!$N$7:$N$874,I37,BS_RE33!$P$7:$P$874,'30 days CF Table(EUR)'!G37,BS_RE33!$F$7:$F$874,'30 days CF Table(EUR)'!$C$2)</f>
        <v>0</v>
      </c>
      <c r="Z37" s="337">
        <f>SUMIFS(BS_RE33!$H$7:$H$874,BS_RE33!$S$7:$S$874,$Z$2,BS_RE33!$N$7:$N$874,I37,BS_RE33!$P$7:$P$874,'30 days CF Table(EUR)'!G37,BS_RE33!$F$7:$F$874,'30 days CF Table(EUR)'!$C$2)</f>
        <v>0</v>
      </c>
      <c r="AA37" s="337">
        <f>SUMIFS(BS_RE33!$H$7:$H$874,BS_RE33!$S$7:$S$874,$AA$2,BS_RE33!$N$7:$N$874,I37,BS_RE33!$P$7:$P$874,'30 days CF Table(EUR)'!G37,BS_RE33!$F$7:$F$874,'30 days CF Table(EUR)'!$C$2)</f>
        <v>0</v>
      </c>
      <c r="AB37" s="337">
        <f>SUMIFS(BS_RE33!$H$7:$H$874,BS_RE33!$S$7:$S$874,$AB$2,BS_RE33!$N$7:$N$874,I37,BS_RE33!$P$7:$P$874,'30 days CF Table(EUR)'!G37,BS_RE33!$F$7:$F$874,'30 days CF Table(EUR)'!$C$2)</f>
        <v>0</v>
      </c>
      <c r="AC37" s="337">
        <f>SUMIFS(BS_RE33!$H$7:$H$874,BS_RE33!$S$7:$S$874,$AC$2,BS_RE33!$N$7:$N$874,I37,BS_RE33!$P$7:$P$874,'30 days CF Table(EUR)'!G37,BS_RE33!$F$7:$F$874,'30 days CF Table(EUR)'!$C$2)</f>
        <v>0</v>
      </c>
      <c r="AD37" s="337">
        <f>SUMIFS(BS_RE33!$H$7:$H$874,BS_RE33!$S$7:$S$874,$AD$2,BS_RE33!$N$7:$N$874,I37,BS_RE33!$P$7:$P$874,'30 days CF Table(EUR)'!G37,BS_RE33!$F$7:$F$874,'30 days CF Table(EUR)'!$C$2)</f>
        <v>0</v>
      </c>
      <c r="AE37" s="337">
        <f>SUMIFS(BS_RE33!$H$7:$H$874,BS_RE33!$S$7:$S$874,$AE$2,BS_RE33!$N$7:$N$874,I37,BS_RE33!$P$7:$P$874,'30 days CF Table(EUR)'!G37,BS_RE33!$F$7:$F$874,'30 days CF Table(EUR)'!$C$2)</f>
        <v>0</v>
      </c>
      <c r="AF37" s="337">
        <f>SUMIFS(BS_RE33!$H$7:$H$874,BS_RE33!$S$7:$S$874,$AF$2,BS_RE33!$N$7:$N$874,I37,BS_RE33!$P$7:$P$874,'30 days CF Table(EUR)'!G37,BS_RE33!$F$7:$F$874,'30 days CF Table(EUR)'!$C$2)</f>
        <v>0</v>
      </c>
      <c r="AG37" s="337">
        <f>SUMIFS(BS_RE33!$H$7:$H$874,BS_RE33!$S$7:$S$874,$AG$2,BS_RE33!$N$7:$N$874,I37,BS_RE33!$P$7:$P$874,'30 days CF Table(EUR)'!G37,BS_RE33!$F$7:$F$874,'30 days CF Table(EUR)'!$C$2)</f>
        <v>0</v>
      </c>
      <c r="AH37" s="337">
        <f>SUMIFS(BS_RE33!$H$7:$H$874,BS_RE33!$S$7:$S$874,$AH$2,BS_RE33!$N$7:$N$874,I37,BS_RE33!$P$7:$P$874,'30 days CF Table(EUR)'!G37,BS_RE33!$F$7:$F$874,'30 days CF Table(EUR)'!$C$2)</f>
        <v>0</v>
      </c>
      <c r="AI37" s="337">
        <f>SUMIFS(BS_RE33!$H$7:$H$874,BS_RE33!$S$7:$S$874,$AI$2,BS_RE33!$N$7:$N$874,I37,BS_RE33!$P$7:$P$874,'30 days CF Table(EUR)'!G37,BS_RE33!$F$7:$F$874,'30 days CF Table(EUR)'!$C$2)</f>
        <v>0</v>
      </c>
      <c r="AJ37" s="337">
        <f>SUMIFS(BS_RE33!$H$7:$H$874,BS_RE33!$S$7:$S$874,$AJ$2,BS_RE33!$N$7:$N$874,I37,BS_RE33!$P$7:$P$874,'30 days CF Table(EUR)'!G37,BS_RE33!$F$7:$F$874,'30 days CF Table(EUR)'!$C$2)</f>
        <v>0</v>
      </c>
      <c r="AK37" s="337">
        <f>SUMIFS(BS_RE33!$H$7:$H$874,BS_RE33!$S$7:$S$874,$AK$2,BS_RE33!$N$7:$N$874,I37,BS_RE33!$P$7:$P$874,'30 days CF Table(EUR)'!G37,BS_RE33!$F$7:$F$874,'30 days CF Table(EUR)'!$C$2)</f>
        <v>0</v>
      </c>
      <c r="AL37" s="337">
        <f>SUMIFS(BS_RE33!$H$7:$H$874,BS_RE33!$S$7:$S$874,$AL$2,BS_RE33!$N$7:$N$874,I37,BS_RE33!$P$7:$P$874,'30 days CF Table(EUR)'!G37,BS_RE33!$F$7:$F$874,'30 days CF Table(EUR)'!$C$2)</f>
        <v>0</v>
      </c>
      <c r="AM37" s="337">
        <f>SUMIFS(BS_RE33!$H$7:$H$874,BS_RE33!$S$7:$S$874,$AM$2,BS_RE33!$N$7:$N$874,I37,BS_RE33!$P$7:$P$874,'30 days CF Table(EUR)'!G37,BS_RE33!$F$7:$F$874,'30 days CF Table(EUR)'!$C$2)</f>
        <v>0</v>
      </c>
      <c r="AN37" s="337">
        <f>SUMIFS(BS_RE33!$H$7:$H$874,BS_RE33!$S$7:$S$874,$AN$2,BS_RE33!$N$7:$N$874,I37,BS_RE33!$P$7:$P$874,'30 days CF Table(EUR)'!G37,BS_RE33!$F$7:$F$874,'30 days CF Table(EUR)'!$C$2)</f>
        <v>0</v>
      </c>
      <c r="AO37" s="337">
        <f>SUMIFS(BS_RE33!$H$7:$H$874,BS_RE33!$S$7:$S$874,$AO$2,BS_RE33!$N$7:$N$874,I37,BS_RE33!$P$7:$P$874,'30 days CF Table(EUR)'!G37,BS_RE33!$F$7:$F$874,'30 days CF Table(EUR)'!$C$2)</f>
        <v>0</v>
      </c>
      <c r="AP37" s="338">
        <f>SUMIFS(BS_RE33!$H$7:$H$874,BS_RE33!$S$7:$S$874,$AP$2,BS_RE33!$N$7:$N$874,I37,BS_RE33!$P$7:$P$874,'30 days CF Table(EUR)'!G37,BS_RE33!$F$7:$F$874,'30 days CF Table(EUR)'!$C$2)</f>
        <v>0</v>
      </c>
      <c r="AR37" s="379">
        <f>SUMIFS(BS_RE33!$H$7:$H$874,BS_RE33!$S$7:$S$874,$AR$2,BS_RE33!$N$7:$N$874,I37,BS_RE33!$P$7:$P$874,'30 days CF Table(EUR)'!G37,BS_RE33!$F$7:$F$874,'30 days CF Table(EUR)'!$C$2)</f>
        <v>0</v>
      </c>
      <c r="AS37" s="379">
        <f>SUMIFS(BS_RE33!$H$7:$H$874,BS_RE33!$S$7:$S$874,$AS$2,BS_RE33!$N$7:$N$874,I37,BS_RE33!$P$7:$P$874,'30 days CF Table(EUR)'!G37,BS_RE33!$F$7:$F$874,'30 days CF Table(EUR)'!$C$2)</f>
        <v>0</v>
      </c>
      <c r="AT37" s="379">
        <f>SUMIFS(BS_RE33!$H$7:$H$874,BS_RE33!$S$7:$S$874,$AT$2,BS_RE33!$N$7:$N$874,I37,BS_RE33!$P$7:$P$874,'30 days CF Table(EUR)'!G37,BS_RE33!$F$7:$F$874,'30 days CF Table(EUR)'!$C$2)</f>
        <v>0</v>
      </c>
      <c r="AU37" s="379">
        <f>SUMIFS(BS_RE33!$H$7:$H$874,BS_RE33!$S$7:$S$874,$AU$2,BS_RE33!$N$7:$N$874,I37,BS_RE33!$P$7:$P$874,'30 days CF Table(EUR)'!G37,BS_RE33!$F$7:$F$874,'30 days CF Table(EUR)'!$C$2)</f>
        <v>0</v>
      </c>
      <c r="AV37" s="379">
        <f>SUMIFS(BS_RE33!$H$7:$H$874,BS_RE33!$S$7:$S$874,$AV$2,BS_RE33!$N$7:$N$874,I37,BS_RE33!$P$7:$P$874,'30 days CF Table(EUR)'!G37,BS_RE33!$F$7:$F$874,'30 days CF Table(EUR)'!$C$2)</f>
        <v>0</v>
      </c>
      <c r="AW37" s="379">
        <f>SUMIFS(BS_RE33!$H$7:$H$874,BS_RE33!$S$7:$S$874,$AW$2,BS_RE33!$N$7:$N$874,I37,BS_RE33!$P$7:$P$874,'30 days CF Table(EUR)'!G37,BS_RE33!$F$7:$F$874,'30 days CF Table(EUR)'!$C$2)</f>
        <v>0</v>
      </c>
      <c r="AX37" s="379">
        <f>SUMIFS(BS_RE33!$H$7:$H$874,BS_RE33!$S$7:$S$874,$AX$2,BS_RE33!$N$7:$N$874,I37,BS_RE33!$P$7:$P$874,'30 days CF Table(EUR)'!G37,BS_RE33!$F$7:$F$874,'30 days CF Table(EUR)'!$C$2)</f>
        <v>0</v>
      </c>
      <c r="AY37" s="379">
        <f>SUMIFS(BS_RE33!$H$7:$H$874,BS_RE33!$S$7:$S$874,$AY$2,BS_RE33!$N$7:$N$874,I37,BS_RE33!$P$7:$P$874,'30 days CF Table(EUR)'!G37,BS_RE33!$F$7:$F$874,'30 days CF Table(EUR)'!$C$2)</f>
        <v>0</v>
      </c>
      <c r="AZ37" s="379">
        <f>SUMIFS(BS_RE33!$H$7:$H$874,BS_RE33!$S$7:$S$874,$AZ$2,BS_RE33!$N$7:$N$874,I37,BS_RE33!$P$7:$P$874,'30 days CF Table(EUR)'!G37,BS_RE33!$F$7:$F$874,'30 days CF Table(EUR)'!$C$2)</f>
        <v>0</v>
      </c>
      <c r="BA37" s="379">
        <f>SUMIFS(BS_RE33!$H$7:$H$874,BS_RE33!$S$7:$S$874,$BA$2,BS_RE33!$N$7:$N$874,I37,BS_RE33!$P$7:$P$874,'30 days CF Table(EUR)'!G37,BS_RE33!$F$7:$F$874,'30 days CF Table(EUR)'!$C$2)</f>
        <v>0</v>
      </c>
      <c r="BB37" s="379">
        <f>SUMIFS(BS_RE33!$H$7:$H$874,BS_RE33!$S$7:$S$874,$BB$2,BS_RE33!$N$7:$N$874,I37,BS_RE33!$P$7:$P$874,'30 days CF Table(EUR)'!G37,BS_RE33!$F$7:$F$874,'30 days CF Table(EUR)'!$C$2)</f>
        <v>0</v>
      </c>
      <c r="BC37" s="379">
        <f>SUMIFS(BS_RE33!$H$7:$H$874,BS_RE33!$S$7:$S$874,$BC$2,BS_RE33!$N$7:$N$874,I37,BS_RE33!$P$7:$P$874,'30 days CF Table(EUR)'!G37,BS_RE33!$F$7:$F$874,'30 days CF Table(EUR)'!$C$2)</f>
        <v>0</v>
      </c>
      <c r="BD37" s="379">
        <f>SUMIFS(BS_RE33!$H$7:$H$874,BS_RE33!$S$7:$S$874,$BD$2,BS_RE33!$N$7:$N$874,I37,BS_RE33!$P$7:$P$874,'30 days CF Table(EUR)'!G37,BS_RE33!$F$7:$F$874,'30 days CF Table(EUR)'!$C$2)</f>
        <v>0</v>
      </c>
      <c r="BE37" s="379">
        <f>SUMIFS(BS_RE33!$H$7:$H$874,BS_RE33!$S$7:$S$874,$BE$2,BS_RE33!$N$7:$N$874,I37,BS_RE33!$P$7:$P$874,'30 days CF Table(EUR)'!G37,BS_RE33!$F$7:$F$874,'30 days CF Table(EUR)'!$C$2)</f>
        <v>0</v>
      </c>
      <c r="BF37" s="379">
        <f>SUMIFS(BS_RE33!$H$7:$H$874,BS_RE33!$S$7:$S$874,$BF$2,BS_RE33!$N$7:$N$874,I37,BS_RE33!$P$7:$P$874,'30 days CF Table(EUR)'!G37,BS_RE33!$F$7:$F$874,'30 days CF Table(EUR)'!$C$2)</f>
        <v>0</v>
      </c>
      <c r="BG37" s="379">
        <f>SUMIFS(BS_RE33!$H$7:$H$874,BS_RE33!$S$7:$S$874,$BG$2,BS_RE33!$N$7:$N$874,I37,BS_RE33!$P$7:$P$874,'30 days CF Table(EUR)'!G37,BS_RE33!$F$7:$F$874,'30 days CF Table(EUR)'!$C$2)</f>
        <v>0</v>
      </c>
      <c r="BH37" s="379">
        <f>SUMIFS(BS_RE33!$H$7:$H$874,BS_RE33!$S$7:$S$874,$BH$2,BS_RE33!$N$7:$N$874,I37,BS_RE33!$P$7:$P$874,'30 days CF Table(EUR)'!G37,BS_RE33!$F$7:$F$874,'30 days CF Table(EUR)'!$C$2)</f>
        <v>0</v>
      </c>
      <c r="BI37" s="379">
        <f>SUMIFS(BS_RE33!$H$7:$H$874,BS_RE33!$S$7:$S$874,$BI$2,BS_RE33!$N$7:$N$874,I37,BS_RE33!$P$7:$P$874,'30 days CF Table(EUR)'!G37,BS_RE33!$F$7:$F$874,'30 days CF Table(EUR)'!$C$2)</f>
        <v>0</v>
      </c>
      <c r="BJ37" s="379">
        <f>SUMIFS(BS_RE33!$H$7:$H$874,BS_RE33!$S$7:$S$874,$BJ$2,BS_RE33!$N$7:$N$874,I37,BS_RE33!$P$7:$P$874,'30 days CF Table(EUR)'!G37,BS_RE33!$F$7:$F$874,'30 days CF Table(EUR)'!$C$2)</f>
        <v>0</v>
      </c>
      <c r="BK37" s="379">
        <f>SUMIFS(BS_RE33!$H$7:$H$874,BS_RE33!$S$7:$S$874,$BK$2,BS_RE33!$N$7:$N$874,I37,BS_RE33!$P$7:$P$874,'30 days CF Table(EUR)'!G37,BS_RE33!$F$7:$F$874,'30 days CF Table(EUR)'!$C$2)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Table(EUR)'!G38,BS_RE33!$F$7:$F$874,'30 days CF Table(EUR)'!$C$2)</f>
        <v>0</v>
      </c>
      <c r="M38" s="337">
        <f>SUMIFS(BS_RE33!$H$7:$H$874,BS_RE33!$S$7:$S$874,$M$2,BS_RE33!$N$7:$N$874,I38,BS_RE33!$P$7:$P$874,'30 days CF Table(EUR)'!G38,BS_RE33!$F$7:$F$874,'30 days CF Table(EUR)'!$C$2)</f>
        <v>0</v>
      </c>
      <c r="N38" s="337">
        <f>SUMIFS(BS_RE33!$H$7:$H$874,BS_RE33!$S$7:$S$874,$N$2,BS_RE33!$N$7:$N$874,I38,BS_RE33!$P$7:$P$874,'30 days CF Table(EUR)'!G38,BS_RE33!$F$7:$F$874,'30 days CF Table(EUR)'!$C$2)</f>
        <v>0</v>
      </c>
      <c r="O38" s="337">
        <f>SUMIFS(BS_RE33!$H$7:$H$874,BS_RE33!$S$7:$S$874,$O$2,BS_RE33!$N$7:$N$874,I38,BS_RE33!$P$7:$P$874,'30 days CF Table(EUR)'!G38,BS_RE33!$F$7:$F$874,'30 days CF Table(EUR)'!$C$2)</f>
        <v>0</v>
      </c>
      <c r="P38" s="337">
        <f>SUMIFS(BS_RE33!$H$7:$H$874,BS_RE33!$S$7:$S$874,$P$2,BS_RE33!$N$7:$N$874,I38,BS_RE33!$P$7:$P$874,'30 days CF Table(EUR)'!G38,BS_RE33!$F$7:$F$874,'30 days CF Table(EUR)'!$C$2)</f>
        <v>0</v>
      </c>
      <c r="Q38" s="337">
        <f>SUMIFS(BS_RE33!$H$7:$H$874,BS_RE33!$S$7:$S$874,$Q$2,BS_RE33!$N$7:$N$874,I38,BS_RE33!$P$7:$P$874,'30 days CF Table(EUR)'!G38,BS_RE33!$F$7:$F$874,'30 days CF Table(EUR)'!$C$2)</f>
        <v>0</v>
      </c>
      <c r="R38" s="337">
        <f>SUMIFS(BS_RE33!$H$7:$H$874,BS_RE33!$S$7:$S$874,$R$2,BS_RE33!$N$7:$N$874,I38,BS_RE33!$P$7:$P$874,'30 days CF Table(EUR)'!G38,BS_RE33!$F$7:$F$874,'30 days CF Table(EUR)'!$C$2)</f>
        <v>0</v>
      </c>
      <c r="S38" s="337">
        <f>SUMIFS(BS_RE33!$H$7:$H$874,BS_RE33!$S$7:$S$874,$S$2,BS_RE33!$N$7:$N$874,I38,BS_RE33!$P$7:$P$874,'30 days CF Table(EUR)'!G38,BS_RE33!$F$7:$F$874,'30 days CF Table(EUR)'!$C$2)</f>
        <v>0</v>
      </c>
      <c r="T38" s="337">
        <f>SUMIFS(BS_RE33!$H$7:$H$874,BS_RE33!$S$7:$S$874,$T$2,BS_RE33!$N$7:$N$874,I38,BS_RE33!$P$7:$P$874,'30 days CF Table(EUR)'!G38,BS_RE33!$F$7:$F$874,'30 days CF Table(EUR)'!$C$2)</f>
        <v>0</v>
      </c>
      <c r="U38" s="337">
        <f>SUMIFS(BS_RE33!$H$7:$H$874,BS_RE33!$S$7:$S$874,$U$2,BS_RE33!$N$7:$N$874,I38,BS_RE33!$P$7:$P$874,'30 days CF Table(EUR)'!G38,BS_RE33!$F$7:$F$874,'30 days CF Table(EUR)'!$C$2)</f>
        <v>0</v>
      </c>
      <c r="V38" s="337">
        <f>SUMIFS(BS_RE33!$H$7:$H$874,BS_RE33!$S$7:$S$874,$V$2,BS_RE33!$N$7:$N$874,I38,BS_RE33!$P$7:$P$874,'30 days CF Table(EUR)'!G38,BS_RE33!$F$7:$F$874,'30 days CF Table(EUR)'!$C$2)</f>
        <v>0</v>
      </c>
      <c r="W38" s="337">
        <f>SUMIFS(BS_RE33!$H$7:$H$874,BS_RE33!$S$7:$S$874,$W$2,BS_RE33!$N$7:$N$874,I38,BS_RE33!$P$7:$P$874,'30 days CF Table(EUR)'!G38,BS_RE33!$F$7:$F$874,'30 days CF Table(EUR)'!$C$2)</f>
        <v>0</v>
      </c>
      <c r="X38" s="337">
        <f>SUMIFS(BS_RE33!$H$7:$H$874,BS_RE33!$S$7:$S$874,$X$2,BS_RE33!$N$7:$N$874,I38,BS_RE33!$P$7:$P$874,'30 days CF Table(EUR)'!G38,BS_RE33!$F$7:$F$874,'30 days CF Table(EUR)'!$C$2)</f>
        <v>0</v>
      </c>
      <c r="Y38" s="337">
        <f>SUMIFS(BS_RE33!$H$7:$H$874,BS_RE33!$S$7:$S$874,$Y$2,BS_RE33!$N$7:$N$874,I38,BS_RE33!$P$7:$P$874,'30 days CF Table(EUR)'!G38,BS_RE33!$F$7:$F$874,'30 days CF Table(EUR)'!$C$2)</f>
        <v>0</v>
      </c>
      <c r="Z38" s="337">
        <f>SUMIFS(BS_RE33!$H$7:$H$874,BS_RE33!$S$7:$S$874,$Z$2,BS_RE33!$N$7:$N$874,I38,BS_RE33!$P$7:$P$874,'30 days CF Table(EUR)'!G38,BS_RE33!$F$7:$F$874,'30 days CF Table(EUR)'!$C$2)</f>
        <v>0</v>
      </c>
      <c r="AA38" s="337">
        <f>SUMIFS(BS_RE33!$H$7:$H$874,BS_RE33!$S$7:$S$874,$AA$2,BS_RE33!$N$7:$N$874,I38,BS_RE33!$P$7:$P$874,'30 days CF Table(EUR)'!G38,BS_RE33!$F$7:$F$874,'30 days CF Table(EUR)'!$C$2)</f>
        <v>0</v>
      </c>
      <c r="AB38" s="337">
        <f>SUMIFS(BS_RE33!$H$7:$H$874,BS_RE33!$S$7:$S$874,$AB$2,BS_RE33!$N$7:$N$874,I38,BS_RE33!$P$7:$P$874,'30 days CF Table(EUR)'!G38,BS_RE33!$F$7:$F$874,'30 days CF Table(EUR)'!$C$2)</f>
        <v>0</v>
      </c>
      <c r="AC38" s="337">
        <f>SUMIFS(BS_RE33!$H$7:$H$874,BS_RE33!$S$7:$S$874,$AC$2,BS_RE33!$N$7:$N$874,I38,BS_RE33!$P$7:$P$874,'30 days CF Table(EUR)'!G38,BS_RE33!$F$7:$F$874,'30 days CF Table(EUR)'!$C$2)</f>
        <v>0</v>
      </c>
      <c r="AD38" s="337">
        <f>SUMIFS(BS_RE33!$H$7:$H$874,BS_RE33!$S$7:$S$874,$AD$2,BS_RE33!$N$7:$N$874,I38,BS_RE33!$P$7:$P$874,'30 days CF Table(EUR)'!G38,BS_RE33!$F$7:$F$874,'30 days CF Table(EUR)'!$C$2)</f>
        <v>0</v>
      </c>
      <c r="AE38" s="337">
        <f>SUMIFS(BS_RE33!$H$7:$H$874,BS_RE33!$S$7:$S$874,$AE$2,BS_RE33!$N$7:$N$874,I38,BS_RE33!$P$7:$P$874,'30 days CF Table(EUR)'!G38,BS_RE33!$F$7:$F$874,'30 days CF Table(EUR)'!$C$2)</f>
        <v>0</v>
      </c>
      <c r="AF38" s="337">
        <f>SUMIFS(BS_RE33!$H$7:$H$874,BS_RE33!$S$7:$S$874,$AF$2,BS_RE33!$N$7:$N$874,I38,BS_RE33!$P$7:$P$874,'30 days CF Table(EUR)'!G38,BS_RE33!$F$7:$F$874,'30 days CF Table(EUR)'!$C$2)</f>
        <v>0</v>
      </c>
      <c r="AG38" s="337">
        <f>SUMIFS(BS_RE33!$H$7:$H$874,BS_RE33!$S$7:$S$874,$AG$2,BS_RE33!$N$7:$N$874,I38,BS_RE33!$P$7:$P$874,'30 days CF Table(EUR)'!G38,BS_RE33!$F$7:$F$874,'30 days CF Table(EUR)'!$C$2)</f>
        <v>0</v>
      </c>
      <c r="AH38" s="337">
        <f>SUMIFS(BS_RE33!$H$7:$H$874,BS_RE33!$S$7:$S$874,$AH$2,BS_RE33!$N$7:$N$874,I38,BS_RE33!$P$7:$P$874,'30 days CF Table(EUR)'!G38,BS_RE33!$F$7:$F$874,'30 days CF Table(EUR)'!$C$2)</f>
        <v>0</v>
      </c>
      <c r="AI38" s="337">
        <f>SUMIFS(BS_RE33!$H$7:$H$874,BS_RE33!$S$7:$S$874,$AI$2,BS_RE33!$N$7:$N$874,I38,BS_RE33!$P$7:$P$874,'30 days CF Table(EUR)'!G38,BS_RE33!$F$7:$F$874,'30 days CF Table(EUR)'!$C$2)</f>
        <v>0</v>
      </c>
      <c r="AJ38" s="337">
        <f>SUMIFS(BS_RE33!$H$7:$H$874,BS_RE33!$S$7:$S$874,$AJ$2,BS_RE33!$N$7:$N$874,I38,BS_RE33!$P$7:$P$874,'30 days CF Table(EUR)'!G38,BS_RE33!$F$7:$F$874,'30 days CF Table(EUR)'!$C$2)</f>
        <v>0</v>
      </c>
      <c r="AK38" s="337">
        <f>SUMIFS(BS_RE33!$H$7:$H$874,BS_RE33!$S$7:$S$874,$AK$2,BS_RE33!$N$7:$N$874,I38,BS_RE33!$P$7:$P$874,'30 days CF Table(EUR)'!G38,BS_RE33!$F$7:$F$874,'30 days CF Table(EUR)'!$C$2)</f>
        <v>0</v>
      </c>
      <c r="AL38" s="337">
        <f>SUMIFS(BS_RE33!$H$7:$H$874,BS_RE33!$S$7:$S$874,$AL$2,BS_RE33!$N$7:$N$874,I38,BS_RE33!$P$7:$P$874,'30 days CF Table(EUR)'!G38,BS_RE33!$F$7:$F$874,'30 days CF Table(EUR)'!$C$2)</f>
        <v>0</v>
      </c>
      <c r="AM38" s="337">
        <f>SUMIFS(BS_RE33!$H$7:$H$874,BS_RE33!$S$7:$S$874,$AM$2,BS_RE33!$N$7:$N$874,I38,BS_RE33!$P$7:$P$874,'30 days CF Table(EUR)'!G38,BS_RE33!$F$7:$F$874,'30 days CF Table(EUR)'!$C$2)</f>
        <v>0</v>
      </c>
      <c r="AN38" s="337">
        <f>SUMIFS(BS_RE33!$H$7:$H$874,BS_RE33!$S$7:$S$874,$AN$2,BS_RE33!$N$7:$N$874,I38,BS_RE33!$P$7:$P$874,'30 days CF Table(EUR)'!G38,BS_RE33!$F$7:$F$874,'30 days CF Table(EUR)'!$C$2)</f>
        <v>0</v>
      </c>
      <c r="AO38" s="337">
        <f>SUMIFS(BS_RE33!$H$7:$H$874,BS_RE33!$S$7:$S$874,$AO$2,BS_RE33!$N$7:$N$874,I38,BS_RE33!$P$7:$P$874,'30 days CF Table(EUR)'!G38,BS_RE33!$F$7:$F$874,'30 days CF Table(EUR)'!$C$2)</f>
        <v>0</v>
      </c>
      <c r="AP38" s="338">
        <f>SUMIFS(BS_RE33!$H$7:$H$874,BS_RE33!$S$7:$S$874,$AP$2,BS_RE33!$N$7:$N$874,I38,BS_RE33!$P$7:$P$874,'30 days CF Table(EUR)'!G38,BS_RE33!$F$7:$F$874,'30 days CF Table(EUR)'!$C$2)</f>
        <v>0</v>
      </c>
      <c r="AR38" s="379">
        <f>SUMIFS(BS_RE33!$H$7:$H$874,BS_RE33!$S$7:$S$874,$AR$2,BS_RE33!$N$7:$N$874,I38,BS_RE33!$P$7:$P$874,'30 days CF Table(EUR)'!G38,BS_RE33!$F$7:$F$874,'30 days CF Table(EUR)'!$C$2)</f>
        <v>0</v>
      </c>
      <c r="AS38" s="379">
        <f>SUMIFS(BS_RE33!$H$7:$H$874,BS_RE33!$S$7:$S$874,$AS$2,BS_RE33!$N$7:$N$874,I38,BS_RE33!$P$7:$P$874,'30 days CF Table(EUR)'!G38,BS_RE33!$F$7:$F$874,'30 days CF Table(EUR)'!$C$2)</f>
        <v>0</v>
      </c>
      <c r="AT38" s="379">
        <f>SUMIFS(BS_RE33!$H$7:$H$874,BS_RE33!$S$7:$S$874,$AT$2,BS_RE33!$N$7:$N$874,I38,BS_RE33!$P$7:$P$874,'30 days CF Table(EUR)'!G38,BS_RE33!$F$7:$F$874,'30 days CF Table(EUR)'!$C$2)</f>
        <v>0</v>
      </c>
      <c r="AU38" s="379">
        <f>SUMIFS(BS_RE33!$H$7:$H$874,BS_RE33!$S$7:$S$874,$AU$2,BS_RE33!$N$7:$N$874,I38,BS_RE33!$P$7:$P$874,'30 days CF Table(EUR)'!G38,BS_RE33!$F$7:$F$874,'30 days CF Table(EUR)'!$C$2)</f>
        <v>0</v>
      </c>
      <c r="AV38" s="379">
        <f>SUMIFS(BS_RE33!$H$7:$H$874,BS_RE33!$S$7:$S$874,$AV$2,BS_RE33!$N$7:$N$874,I38,BS_RE33!$P$7:$P$874,'30 days CF Table(EUR)'!G38,BS_RE33!$F$7:$F$874,'30 days CF Table(EUR)'!$C$2)</f>
        <v>0</v>
      </c>
      <c r="AW38" s="379">
        <f>SUMIFS(BS_RE33!$H$7:$H$874,BS_RE33!$S$7:$S$874,$AW$2,BS_RE33!$N$7:$N$874,I38,BS_RE33!$P$7:$P$874,'30 days CF Table(EUR)'!G38,BS_RE33!$F$7:$F$874,'30 days CF Table(EUR)'!$C$2)</f>
        <v>0</v>
      </c>
      <c r="AX38" s="379">
        <f>SUMIFS(BS_RE33!$H$7:$H$874,BS_RE33!$S$7:$S$874,$AX$2,BS_RE33!$N$7:$N$874,I38,BS_RE33!$P$7:$P$874,'30 days CF Table(EUR)'!G38,BS_RE33!$F$7:$F$874,'30 days CF Table(EUR)'!$C$2)</f>
        <v>0</v>
      </c>
      <c r="AY38" s="379">
        <f>SUMIFS(BS_RE33!$H$7:$H$874,BS_RE33!$S$7:$S$874,$AY$2,BS_RE33!$N$7:$N$874,I38,BS_RE33!$P$7:$P$874,'30 days CF Table(EUR)'!G38,BS_RE33!$F$7:$F$874,'30 days CF Table(EUR)'!$C$2)</f>
        <v>0</v>
      </c>
      <c r="AZ38" s="379">
        <f>SUMIFS(BS_RE33!$H$7:$H$874,BS_RE33!$S$7:$S$874,$AZ$2,BS_RE33!$N$7:$N$874,I38,BS_RE33!$P$7:$P$874,'30 days CF Table(EUR)'!G38,BS_RE33!$F$7:$F$874,'30 days CF Table(EUR)'!$C$2)</f>
        <v>0</v>
      </c>
      <c r="BA38" s="379">
        <f>SUMIFS(BS_RE33!$H$7:$H$874,BS_RE33!$S$7:$S$874,$BA$2,BS_RE33!$N$7:$N$874,I38,BS_RE33!$P$7:$P$874,'30 days CF Table(EUR)'!G38,BS_RE33!$F$7:$F$874,'30 days CF Table(EUR)'!$C$2)</f>
        <v>0</v>
      </c>
      <c r="BB38" s="379">
        <f>SUMIFS(BS_RE33!$H$7:$H$874,BS_RE33!$S$7:$S$874,$BB$2,BS_RE33!$N$7:$N$874,I38,BS_RE33!$P$7:$P$874,'30 days CF Table(EUR)'!G38,BS_RE33!$F$7:$F$874,'30 days CF Table(EUR)'!$C$2)</f>
        <v>0</v>
      </c>
      <c r="BC38" s="379">
        <f>SUMIFS(BS_RE33!$H$7:$H$874,BS_RE33!$S$7:$S$874,$BC$2,BS_RE33!$N$7:$N$874,I38,BS_RE33!$P$7:$P$874,'30 days CF Table(EUR)'!G38,BS_RE33!$F$7:$F$874,'30 days CF Table(EUR)'!$C$2)</f>
        <v>0</v>
      </c>
      <c r="BD38" s="379">
        <f>SUMIFS(BS_RE33!$H$7:$H$874,BS_RE33!$S$7:$S$874,$BD$2,BS_RE33!$N$7:$N$874,I38,BS_RE33!$P$7:$P$874,'30 days CF Table(EUR)'!G38,BS_RE33!$F$7:$F$874,'30 days CF Table(EUR)'!$C$2)</f>
        <v>0</v>
      </c>
      <c r="BE38" s="379">
        <f>SUMIFS(BS_RE33!$H$7:$H$874,BS_RE33!$S$7:$S$874,$BE$2,BS_RE33!$N$7:$N$874,I38,BS_RE33!$P$7:$P$874,'30 days CF Table(EUR)'!G38,BS_RE33!$F$7:$F$874,'30 days CF Table(EUR)'!$C$2)</f>
        <v>0</v>
      </c>
      <c r="BF38" s="379">
        <f>SUMIFS(BS_RE33!$H$7:$H$874,BS_RE33!$S$7:$S$874,$BF$2,BS_RE33!$N$7:$N$874,I38,BS_RE33!$P$7:$P$874,'30 days CF Table(EUR)'!G38,BS_RE33!$F$7:$F$874,'30 days CF Table(EUR)'!$C$2)</f>
        <v>0</v>
      </c>
      <c r="BG38" s="379">
        <f>SUMIFS(BS_RE33!$H$7:$H$874,BS_RE33!$S$7:$S$874,$BG$2,BS_RE33!$N$7:$N$874,I38,BS_RE33!$P$7:$P$874,'30 days CF Table(EUR)'!G38,BS_RE33!$F$7:$F$874,'30 days CF Table(EUR)'!$C$2)</f>
        <v>0</v>
      </c>
      <c r="BH38" s="379">
        <f>SUMIFS(BS_RE33!$H$7:$H$874,BS_RE33!$S$7:$S$874,$BH$2,BS_RE33!$N$7:$N$874,I38,BS_RE33!$P$7:$P$874,'30 days CF Table(EUR)'!G38,BS_RE33!$F$7:$F$874,'30 days CF Table(EUR)'!$C$2)</f>
        <v>0</v>
      </c>
      <c r="BI38" s="379">
        <f>SUMIFS(BS_RE33!$H$7:$H$874,BS_RE33!$S$7:$S$874,$BI$2,BS_RE33!$N$7:$N$874,I38,BS_RE33!$P$7:$P$874,'30 days CF Table(EUR)'!G38,BS_RE33!$F$7:$F$874,'30 days CF Table(EUR)'!$C$2)</f>
        <v>0</v>
      </c>
      <c r="BJ38" s="379">
        <f>SUMIFS(BS_RE33!$H$7:$H$874,BS_RE33!$S$7:$S$874,$BJ$2,BS_RE33!$N$7:$N$874,I38,BS_RE33!$P$7:$P$874,'30 days CF Table(EUR)'!G38,BS_RE33!$F$7:$F$874,'30 days CF Table(EUR)'!$C$2)</f>
        <v>0</v>
      </c>
      <c r="BK38" s="379">
        <f>SUMIFS(BS_RE33!$H$7:$H$874,BS_RE33!$S$7:$S$874,$BK$2,BS_RE33!$N$7:$N$874,I38,BS_RE33!$P$7:$P$874,'30 days CF Table(EUR)'!G38,BS_RE33!$F$7:$F$874,'30 days CF Table(EUR)'!$C$2)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Table(EUR)'!G39,BS_RE33!$F$7:$F$874,'30 days CF Table(EUR)'!$C$2)</f>
        <v>0</v>
      </c>
      <c r="M39" s="337">
        <f>SUMIFS(BS_RE33!$H$7:$H$874,BS_RE33!$S$7:$S$874,$M$2,BS_RE33!$N$7:$N$874,I39,BS_RE33!$P$7:$P$874,'30 days CF Table(EUR)'!G39,BS_RE33!$F$7:$F$874,'30 days CF Table(EUR)'!$C$2)</f>
        <v>0</v>
      </c>
      <c r="N39" s="337">
        <f>SUMIFS(BS_RE33!$H$7:$H$874,BS_RE33!$S$7:$S$874,$N$2,BS_RE33!$N$7:$N$874,I39,BS_RE33!$P$7:$P$874,'30 days CF Table(EUR)'!G39,BS_RE33!$F$7:$F$874,'30 days CF Table(EUR)'!$C$2)</f>
        <v>0</v>
      </c>
      <c r="O39" s="337">
        <f>SUMIFS(BS_RE33!$H$7:$H$874,BS_RE33!$S$7:$S$874,$O$2,BS_RE33!$N$7:$N$874,I39,BS_RE33!$P$7:$P$874,'30 days CF Table(EUR)'!G39,BS_RE33!$F$7:$F$874,'30 days CF Table(EUR)'!$C$2)</f>
        <v>0</v>
      </c>
      <c r="P39" s="337">
        <f>SUMIFS(BS_RE33!$H$7:$H$874,BS_RE33!$S$7:$S$874,$P$2,BS_RE33!$N$7:$N$874,I39,BS_RE33!$P$7:$P$874,'30 days CF Table(EUR)'!G39,BS_RE33!$F$7:$F$874,'30 days CF Table(EUR)'!$C$2)</f>
        <v>0</v>
      </c>
      <c r="Q39" s="337">
        <f>SUMIFS(BS_RE33!$H$7:$H$874,BS_RE33!$S$7:$S$874,$Q$2,BS_RE33!$N$7:$N$874,I39,BS_RE33!$P$7:$P$874,'30 days CF Table(EUR)'!G39,BS_RE33!$F$7:$F$874,'30 days CF Table(EUR)'!$C$2)</f>
        <v>0</v>
      </c>
      <c r="R39" s="337">
        <f>SUMIFS(BS_RE33!$H$7:$H$874,BS_RE33!$S$7:$S$874,$R$2,BS_RE33!$N$7:$N$874,I39,BS_RE33!$P$7:$P$874,'30 days CF Table(EUR)'!G39,BS_RE33!$F$7:$F$874,'30 days CF Table(EUR)'!$C$2)</f>
        <v>0</v>
      </c>
      <c r="S39" s="337">
        <f>SUMIFS(BS_RE33!$H$7:$H$874,BS_RE33!$S$7:$S$874,$S$2,BS_RE33!$N$7:$N$874,I39,BS_RE33!$P$7:$P$874,'30 days CF Table(EUR)'!G39,BS_RE33!$F$7:$F$874,'30 days CF Table(EUR)'!$C$2)</f>
        <v>0</v>
      </c>
      <c r="T39" s="337">
        <f>SUMIFS(BS_RE33!$H$7:$H$874,BS_RE33!$S$7:$S$874,$T$2,BS_RE33!$N$7:$N$874,I39,BS_RE33!$P$7:$P$874,'30 days CF Table(EUR)'!G39,BS_RE33!$F$7:$F$874,'30 days CF Table(EUR)'!$C$2)</f>
        <v>0</v>
      </c>
      <c r="U39" s="337">
        <f>SUMIFS(BS_RE33!$H$7:$H$874,BS_RE33!$S$7:$S$874,$U$2,BS_RE33!$N$7:$N$874,I39,BS_RE33!$P$7:$P$874,'30 days CF Table(EUR)'!G39,BS_RE33!$F$7:$F$874,'30 days CF Table(EUR)'!$C$2)</f>
        <v>0</v>
      </c>
      <c r="V39" s="337">
        <f>SUMIFS(BS_RE33!$H$7:$H$874,BS_RE33!$S$7:$S$874,$V$2,BS_RE33!$N$7:$N$874,I39,BS_RE33!$P$7:$P$874,'30 days CF Table(EUR)'!G39,BS_RE33!$F$7:$F$874,'30 days CF Table(EUR)'!$C$2)</f>
        <v>0</v>
      </c>
      <c r="W39" s="337">
        <f>SUMIFS(BS_RE33!$H$7:$H$874,BS_RE33!$S$7:$S$874,$W$2,BS_RE33!$N$7:$N$874,I39,BS_RE33!$P$7:$P$874,'30 days CF Table(EUR)'!G39,BS_RE33!$F$7:$F$874,'30 days CF Table(EUR)'!$C$2)</f>
        <v>0</v>
      </c>
      <c r="X39" s="337">
        <f>SUMIFS(BS_RE33!$H$7:$H$874,BS_RE33!$S$7:$S$874,$X$2,BS_RE33!$N$7:$N$874,I39,BS_RE33!$P$7:$P$874,'30 days CF Table(EUR)'!G39,BS_RE33!$F$7:$F$874,'30 days CF Table(EUR)'!$C$2)</f>
        <v>0</v>
      </c>
      <c r="Y39" s="337">
        <f>SUMIFS(BS_RE33!$H$7:$H$874,BS_RE33!$S$7:$S$874,$Y$2,BS_RE33!$N$7:$N$874,I39,BS_RE33!$P$7:$P$874,'30 days CF Table(EUR)'!G39,BS_RE33!$F$7:$F$874,'30 days CF Table(EUR)'!$C$2)</f>
        <v>0</v>
      </c>
      <c r="Z39" s="337">
        <f>SUMIFS(BS_RE33!$H$7:$H$874,BS_RE33!$S$7:$S$874,$Z$2,BS_RE33!$N$7:$N$874,I39,BS_RE33!$P$7:$P$874,'30 days CF Table(EUR)'!G39,BS_RE33!$F$7:$F$874,'30 days CF Table(EUR)'!$C$2)</f>
        <v>0</v>
      </c>
      <c r="AA39" s="337">
        <f>SUMIFS(BS_RE33!$H$7:$H$874,BS_RE33!$S$7:$S$874,$AA$2,BS_RE33!$N$7:$N$874,I39,BS_RE33!$P$7:$P$874,'30 days CF Table(EUR)'!G39,BS_RE33!$F$7:$F$874,'30 days CF Table(EUR)'!$C$2)</f>
        <v>0</v>
      </c>
      <c r="AB39" s="337">
        <f>SUMIFS(BS_RE33!$H$7:$H$874,BS_RE33!$S$7:$S$874,$AB$2,BS_RE33!$N$7:$N$874,I39,BS_RE33!$P$7:$P$874,'30 days CF Table(EUR)'!G39,BS_RE33!$F$7:$F$874,'30 days CF Table(EUR)'!$C$2)</f>
        <v>0</v>
      </c>
      <c r="AC39" s="337">
        <f>SUMIFS(BS_RE33!$H$7:$H$874,BS_RE33!$S$7:$S$874,$AC$2,BS_RE33!$N$7:$N$874,I39,BS_RE33!$P$7:$P$874,'30 days CF Table(EUR)'!G39,BS_RE33!$F$7:$F$874,'30 days CF Table(EUR)'!$C$2)</f>
        <v>0</v>
      </c>
      <c r="AD39" s="337">
        <f>SUMIFS(BS_RE33!$H$7:$H$874,BS_RE33!$S$7:$S$874,$AD$2,BS_RE33!$N$7:$N$874,I39,BS_RE33!$P$7:$P$874,'30 days CF Table(EUR)'!G39,BS_RE33!$F$7:$F$874,'30 days CF Table(EUR)'!$C$2)</f>
        <v>0</v>
      </c>
      <c r="AE39" s="337">
        <f>SUMIFS(BS_RE33!$H$7:$H$874,BS_RE33!$S$7:$S$874,$AE$2,BS_RE33!$N$7:$N$874,I39,BS_RE33!$P$7:$P$874,'30 days CF Table(EUR)'!G39,BS_RE33!$F$7:$F$874,'30 days CF Table(EUR)'!$C$2)</f>
        <v>0</v>
      </c>
      <c r="AF39" s="337">
        <f>SUMIFS(BS_RE33!$H$7:$H$874,BS_RE33!$S$7:$S$874,$AF$2,BS_RE33!$N$7:$N$874,I39,BS_RE33!$P$7:$P$874,'30 days CF Table(EUR)'!G39,BS_RE33!$F$7:$F$874,'30 days CF Table(EUR)'!$C$2)</f>
        <v>0</v>
      </c>
      <c r="AG39" s="337">
        <f>SUMIFS(BS_RE33!$H$7:$H$874,BS_RE33!$S$7:$S$874,$AG$2,BS_RE33!$N$7:$N$874,I39,BS_RE33!$P$7:$P$874,'30 days CF Table(EUR)'!G39,BS_RE33!$F$7:$F$874,'30 days CF Table(EUR)'!$C$2)</f>
        <v>0</v>
      </c>
      <c r="AH39" s="337">
        <f>SUMIFS(BS_RE33!$H$7:$H$874,BS_RE33!$S$7:$S$874,$AH$2,BS_RE33!$N$7:$N$874,I39,BS_RE33!$P$7:$P$874,'30 days CF Table(EUR)'!G39,BS_RE33!$F$7:$F$874,'30 days CF Table(EUR)'!$C$2)</f>
        <v>0</v>
      </c>
      <c r="AI39" s="337">
        <f>SUMIFS(BS_RE33!$H$7:$H$874,BS_RE33!$S$7:$S$874,$AI$2,BS_RE33!$N$7:$N$874,I39,BS_RE33!$P$7:$P$874,'30 days CF Table(EUR)'!G39,BS_RE33!$F$7:$F$874,'30 days CF Table(EUR)'!$C$2)</f>
        <v>0</v>
      </c>
      <c r="AJ39" s="337">
        <f>SUMIFS(BS_RE33!$H$7:$H$874,BS_RE33!$S$7:$S$874,$AJ$2,BS_RE33!$N$7:$N$874,I39,BS_RE33!$P$7:$P$874,'30 days CF Table(EUR)'!G39,BS_RE33!$F$7:$F$874,'30 days CF Table(EUR)'!$C$2)</f>
        <v>0</v>
      </c>
      <c r="AK39" s="337">
        <f>SUMIFS(BS_RE33!$H$7:$H$874,BS_RE33!$S$7:$S$874,$AK$2,BS_RE33!$N$7:$N$874,I39,BS_RE33!$P$7:$P$874,'30 days CF Table(EUR)'!G39,BS_RE33!$F$7:$F$874,'30 days CF Table(EUR)'!$C$2)</f>
        <v>0</v>
      </c>
      <c r="AL39" s="337">
        <f>SUMIFS(BS_RE33!$H$7:$H$874,BS_RE33!$S$7:$S$874,$AL$2,BS_RE33!$N$7:$N$874,I39,BS_RE33!$P$7:$P$874,'30 days CF Table(EUR)'!G39,BS_RE33!$F$7:$F$874,'30 days CF Table(EUR)'!$C$2)</f>
        <v>0</v>
      </c>
      <c r="AM39" s="337">
        <f>SUMIFS(BS_RE33!$H$7:$H$874,BS_RE33!$S$7:$S$874,$AM$2,BS_RE33!$N$7:$N$874,I39,BS_RE33!$P$7:$P$874,'30 days CF Table(EUR)'!G39,BS_RE33!$F$7:$F$874,'30 days CF Table(EUR)'!$C$2)</f>
        <v>0</v>
      </c>
      <c r="AN39" s="337">
        <f>SUMIFS(BS_RE33!$H$7:$H$874,BS_RE33!$S$7:$S$874,$AN$2,BS_RE33!$N$7:$N$874,I39,BS_RE33!$P$7:$P$874,'30 days CF Table(EUR)'!G39,BS_RE33!$F$7:$F$874,'30 days CF Table(EUR)'!$C$2)</f>
        <v>0</v>
      </c>
      <c r="AO39" s="337">
        <f>SUMIFS(BS_RE33!$H$7:$H$874,BS_RE33!$S$7:$S$874,$AO$2,BS_RE33!$N$7:$N$874,I39,BS_RE33!$P$7:$P$874,'30 days CF Table(EUR)'!G39,BS_RE33!$F$7:$F$874,'30 days CF Table(EUR)'!$C$2)</f>
        <v>0</v>
      </c>
      <c r="AP39" s="338">
        <f>SUMIFS(BS_RE33!$H$7:$H$874,BS_RE33!$S$7:$S$874,$AP$2,BS_RE33!$N$7:$N$874,I39,BS_RE33!$P$7:$P$874,'30 days CF Table(EUR)'!G39,BS_RE33!$F$7:$F$874,'30 days CF Table(EUR)'!$C$2)</f>
        <v>0</v>
      </c>
      <c r="AR39" s="379">
        <f>SUMIFS(BS_RE33!$H$7:$H$874,BS_RE33!$S$7:$S$874,$AR$2,BS_RE33!$N$7:$N$874,I39,BS_RE33!$P$7:$P$874,'30 days CF Table(EUR)'!G39,BS_RE33!$F$7:$F$874,'30 days CF Table(EUR)'!$C$2)</f>
        <v>0</v>
      </c>
      <c r="AS39" s="379">
        <f>SUMIFS(BS_RE33!$H$7:$H$874,BS_RE33!$S$7:$S$874,$AS$2,BS_RE33!$N$7:$N$874,I39,BS_RE33!$P$7:$P$874,'30 days CF Table(EUR)'!G39,BS_RE33!$F$7:$F$874,'30 days CF Table(EUR)'!$C$2)</f>
        <v>0</v>
      </c>
      <c r="AT39" s="379">
        <f>SUMIFS(BS_RE33!$H$7:$H$874,BS_RE33!$S$7:$S$874,$AT$2,BS_RE33!$N$7:$N$874,I39,BS_RE33!$P$7:$P$874,'30 days CF Table(EUR)'!G39,BS_RE33!$F$7:$F$874,'30 days CF Table(EUR)'!$C$2)</f>
        <v>0</v>
      </c>
      <c r="AU39" s="379">
        <f>SUMIFS(BS_RE33!$H$7:$H$874,BS_RE33!$S$7:$S$874,$AU$2,BS_RE33!$N$7:$N$874,I39,BS_RE33!$P$7:$P$874,'30 days CF Table(EUR)'!G39,BS_RE33!$F$7:$F$874,'30 days CF Table(EUR)'!$C$2)</f>
        <v>0</v>
      </c>
      <c r="AV39" s="379">
        <f>SUMIFS(BS_RE33!$H$7:$H$874,BS_RE33!$S$7:$S$874,$AV$2,BS_RE33!$N$7:$N$874,I39,BS_RE33!$P$7:$P$874,'30 days CF Table(EUR)'!G39,BS_RE33!$F$7:$F$874,'30 days CF Table(EUR)'!$C$2)</f>
        <v>0</v>
      </c>
      <c r="AW39" s="379">
        <f>SUMIFS(BS_RE33!$H$7:$H$874,BS_RE33!$S$7:$S$874,$AW$2,BS_RE33!$N$7:$N$874,I39,BS_RE33!$P$7:$P$874,'30 days CF Table(EUR)'!G39,BS_RE33!$F$7:$F$874,'30 days CF Table(EUR)'!$C$2)</f>
        <v>0</v>
      </c>
      <c r="AX39" s="379">
        <f>SUMIFS(BS_RE33!$H$7:$H$874,BS_RE33!$S$7:$S$874,$AX$2,BS_RE33!$N$7:$N$874,I39,BS_RE33!$P$7:$P$874,'30 days CF Table(EUR)'!G39,BS_RE33!$F$7:$F$874,'30 days CF Table(EUR)'!$C$2)</f>
        <v>0</v>
      </c>
      <c r="AY39" s="379">
        <f>SUMIFS(BS_RE33!$H$7:$H$874,BS_RE33!$S$7:$S$874,$AY$2,BS_RE33!$N$7:$N$874,I39,BS_RE33!$P$7:$P$874,'30 days CF Table(EUR)'!G39,BS_RE33!$F$7:$F$874,'30 days CF Table(EUR)'!$C$2)</f>
        <v>0</v>
      </c>
      <c r="AZ39" s="379">
        <f>SUMIFS(BS_RE33!$H$7:$H$874,BS_RE33!$S$7:$S$874,$AZ$2,BS_RE33!$N$7:$N$874,I39,BS_RE33!$P$7:$P$874,'30 days CF Table(EUR)'!G39,BS_RE33!$F$7:$F$874,'30 days CF Table(EUR)'!$C$2)</f>
        <v>0</v>
      </c>
      <c r="BA39" s="379">
        <f>SUMIFS(BS_RE33!$H$7:$H$874,BS_RE33!$S$7:$S$874,$BA$2,BS_RE33!$N$7:$N$874,I39,BS_RE33!$P$7:$P$874,'30 days CF Table(EUR)'!G39,BS_RE33!$F$7:$F$874,'30 days CF Table(EUR)'!$C$2)</f>
        <v>0</v>
      </c>
      <c r="BB39" s="379">
        <f>SUMIFS(BS_RE33!$H$7:$H$874,BS_RE33!$S$7:$S$874,$BB$2,BS_RE33!$N$7:$N$874,I39,BS_RE33!$P$7:$P$874,'30 days CF Table(EUR)'!G39,BS_RE33!$F$7:$F$874,'30 days CF Table(EUR)'!$C$2)</f>
        <v>0</v>
      </c>
      <c r="BC39" s="379">
        <f>SUMIFS(BS_RE33!$H$7:$H$874,BS_RE33!$S$7:$S$874,$BC$2,BS_RE33!$N$7:$N$874,I39,BS_RE33!$P$7:$P$874,'30 days CF Table(EUR)'!G39,BS_RE33!$F$7:$F$874,'30 days CF Table(EUR)'!$C$2)</f>
        <v>0</v>
      </c>
      <c r="BD39" s="379">
        <f>SUMIFS(BS_RE33!$H$7:$H$874,BS_RE33!$S$7:$S$874,$BD$2,BS_RE33!$N$7:$N$874,I39,BS_RE33!$P$7:$P$874,'30 days CF Table(EUR)'!G39,BS_RE33!$F$7:$F$874,'30 days CF Table(EUR)'!$C$2)</f>
        <v>0</v>
      </c>
      <c r="BE39" s="379">
        <f>SUMIFS(BS_RE33!$H$7:$H$874,BS_RE33!$S$7:$S$874,$BE$2,BS_RE33!$N$7:$N$874,I39,BS_RE33!$P$7:$P$874,'30 days CF Table(EUR)'!G39,BS_RE33!$F$7:$F$874,'30 days CF Table(EUR)'!$C$2)</f>
        <v>0</v>
      </c>
      <c r="BF39" s="379">
        <f>SUMIFS(BS_RE33!$H$7:$H$874,BS_RE33!$S$7:$S$874,$BF$2,BS_RE33!$N$7:$N$874,I39,BS_RE33!$P$7:$P$874,'30 days CF Table(EUR)'!G39,BS_RE33!$F$7:$F$874,'30 days CF Table(EUR)'!$C$2)</f>
        <v>0</v>
      </c>
      <c r="BG39" s="379">
        <f>SUMIFS(BS_RE33!$H$7:$H$874,BS_RE33!$S$7:$S$874,$BG$2,BS_RE33!$N$7:$N$874,I39,BS_RE33!$P$7:$P$874,'30 days CF Table(EUR)'!G39,BS_RE33!$F$7:$F$874,'30 days CF Table(EUR)'!$C$2)</f>
        <v>0</v>
      </c>
      <c r="BH39" s="379">
        <f>SUMIFS(BS_RE33!$H$7:$H$874,BS_RE33!$S$7:$S$874,$BH$2,BS_RE33!$N$7:$N$874,I39,BS_RE33!$P$7:$P$874,'30 days CF Table(EUR)'!G39,BS_RE33!$F$7:$F$874,'30 days CF Table(EUR)'!$C$2)</f>
        <v>0</v>
      </c>
      <c r="BI39" s="379">
        <f>SUMIFS(BS_RE33!$H$7:$H$874,BS_RE33!$S$7:$S$874,$BI$2,BS_RE33!$N$7:$N$874,I39,BS_RE33!$P$7:$P$874,'30 days CF Table(EUR)'!G39,BS_RE33!$F$7:$F$874,'30 days CF Table(EUR)'!$C$2)</f>
        <v>0</v>
      </c>
      <c r="BJ39" s="379">
        <f>SUMIFS(BS_RE33!$H$7:$H$874,BS_RE33!$S$7:$S$874,$BJ$2,BS_RE33!$N$7:$N$874,I39,BS_RE33!$P$7:$P$874,'30 days CF Table(EUR)'!G39,BS_RE33!$F$7:$F$874,'30 days CF Table(EUR)'!$C$2)</f>
        <v>0</v>
      </c>
      <c r="BK39" s="379">
        <f>SUMIFS(BS_RE33!$H$7:$H$874,BS_RE33!$S$7:$S$874,$BK$2,BS_RE33!$N$7:$N$874,I39,BS_RE33!$P$7:$P$874,'30 days CF Table(EUR)'!G39,BS_RE33!$F$7:$F$874,'30 days CF Table(EUR)'!$C$2)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Table(EUR)'!G40,BS_RE33!$F$7:$F$874,'30 days CF Table(EUR)'!$C$2)</f>
        <v>0</v>
      </c>
      <c r="M40" s="337">
        <f>SUMIFS(BS_RE33!$H$7:$H$874,BS_RE33!$S$7:$S$874,$M$2,BS_RE33!$N$7:$N$874,I40,BS_RE33!$P$7:$P$874,'30 days CF Table(EUR)'!G40,BS_RE33!$F$7:$F$874,'30 days CF Table(EUR)'!$C$2)</f>
        <v>0</v>
      </c>
      <c r="N40" s="337">
        <f>SUMIFS(BS_RE33!$H$7:$H$874,BS_RE33!$S$7:$S$874,$N$2,BS_RE33!$N$7:$N$874,I40,BS_RE33!$P$7:$P$874,'30 days CF Table(EUR)'!G40,BS_RE33!$F$7:$F$874,'30 days CF Table(EUR)'!$C$2)</f>
        <v>0</v>
      </c>
      <c r="O40" s="337">
        <f>SUMIFS(BS_RE33!$H$7:$H$874,BS_RE33!$S$7:$S$874,$O$2,BS_RE33!$N$7:$N$874,I40,BS_RE33!$P$7:$P$874,'30 days CF Table(EUR)'!G40,BS_RE33!$F$7:$F$874,'30 days CF Table(EUR)'!$C$2)</f>
        <v>0</v>
      </c>
      <c r="P40" s="337">
        <f>SUMIFS(BS_RE33!$H$7:$H$874,BS_RE33!$S$7:$S$874,$P$2,BS_RE33!$N$7:$N$874,I40,BS_RE33!$P$7:$P$874,'30 days CF Table(EUR)'!G40,BS_RE33!$F$7:$F$874,'30 days CF Table(EUR)'!$C$2)</f>
        <v>0</v>
      </c>
      <c r="Q40" s="337">
        <f>SUMIFS(BS_RE33!$H$7:$H$874,BS_RE33!$S$7:$S$874,$Q$2,BS_RE33!$N$7:$N$874,I40,BS_RE33!$P$7:$P$874,'30 days CF Table(EUR)'!G40,BS_RE33!$F$7:$F$874,'30 days CF Table(EUR)'!$C$2)</f>
        <v>0</v>
      </c>
      <c r="R40" s="337">
        <f>SUMIFS(BS_RE33!$H$7:$H$874,BS_RE33!$S$7:$S$874,$R$2,BS_RE33!$N$7:$N$874,I40,BS_RE33!$P$7:$P$874,'30 days CF Table(EUR)'!G40,BS_RE33!$F$7:$F$874,'30 days CF Table(EUR)'!$C$2)</f>
        <v>0</v>
      </c>
      <c r="S40" s="337">
        <f>SUMIFS(BS_RE33!$H$7:$H$874,BS_RE33!$S$7:$S$874,$S$2,BS_RE33!$N$7:$N$874,I40,BS_RE33!$P$7:$P$874,'30 days CF Table(EUR)'!G40,BS_RE33!$F$7:$F$874,'30 days CF Table(EUR)'!$C$2)</f>
        <v>0</v>
      </c>
      <c r="T40" s="337">
        <f>SUMIFS(BS_RE33!$H$7:$H$874,BS_RE33!$S$7:$S$874,$T$2,BS_RE33!$N$7:$N$874,I40,BS_RE33!$P$7:$P$874,'30 days CF Table(EUR)'!G40,BS_RE33!$F$7:$F$874,'30 days CF Table(EUR)'!$C$2)</f>
        <v>0</v>
      </c>
      <c r="U40" s="337">
        <f>SUMIFS(BS_RE33!$H$7:$H$874,BS_RE33!$S$7:$S$874,$U$2,BS_RE33!$N$7:$N$874,I40,BS_RE33!$P$7:$P$874,'30 days CF Table(EUR)'!G40,BS_RE33!$F$7:$F$874,'30 days CF Table(EUR)'!$C$2)</f>
        <v>0</v>
      </c>
      <c r="V40" s="337">
        <f>SUMIFS(BS_RE33!$H$7:$H$874,BS_RE33!$S$7:$S$874,$V$2,BS_RE33!$N$7:$N$874,I40,BS_RE33!$P$7:$P$874,'30 days CF Table(EUR)'!G40,BS_RE33!$F$7:$F$874,'30 days CF Table(EUR)'!$C$2)</f>
        <v>0</v>
      </c>
      <c r="W40" s="337">
        <f>SUMIFS(BS_RE33!$H$7:$H$874,BS_RE33!$S$7:$S$874,$W$2,BS_RE33!$N$7:$N$874,I40,BS_RE33!$P$7:$P$874,'30 days CF Table(EUR)'!G40,BS_RE33!$F$7:$F$874,'30 days CF Table(EUR)'!$C$2)</f>
        <v>0</v>
      </c>
      <c r="X40" s="337">
        <f>SUMIFS(BS_RE33!$H$7:$H$874,BS_RE33!$S$7:$S$874,$X$2,BS_RE33!$N$7:$N$874,I40,BS_RE33!$P$7:$P$874,'30 days CF Table(EUR)'!G40,BS_RE33!$F$7:$F$874,'30 days CF Table(EUR)'!$C$2)</f>
        <v>0</v>
      </c>
      <c r="Y40" s="337">
        <f>SUMIFS(BS_RE33!$H$7:$H$874,BS_RE33!$S$7:$S$874,$Y$2,BS_RE33!$N$7:$N$874,I40,BS_RE33!$P$7:$P$874,'30 days CF Table(EUR)'!G40,BS_RE33!$F$7:$F$874,'30 days CF Table(EUR)'!$C$2)</f>
        <v>0</v>
      </c>
      <c r="Z40" s="337">
        <f>SUMIFS(BS_RE33!$H$7:$H$874,BS_RE33!$S$7:$S$874,$Z$2,BS_RE33!$N$7:$N$874,I40,BS_RE33!$P$7:$P$874,'30 days CF Table(EUR)'!G40,BS_RE33!$F$7:$F$874,'30 days CF Table(EUR)'!$C$2)</f>
        <v>0</v>
      </c>
      <c r="AA40" s="337">
        <f>SUMIFS(BS_RE33!$H$7:$H$874,BS_RE33!$S$7:$S$874,$AA$2,BS_RE33!$N$7:$N$874,I40,BS_RE33!$P$7:$P$874,'30 days CF Table(EUR)'!G40,BS_RE33!$F$7:$F$874,'30 days CF Table(EUR)'!$C$2)</f>
        <v>0</v>
      </c>
      <c r="AB40" s="337">
        <f>SUMIFS(BS_RE33!$H$7:$H$874,BS_RE33!$S$7:$S$874,$AB$2,BS_RE33!$N$7:$N$874,I40,BS_RE33!$P$7:$P$874,'30 days CF Table(EUR)'!G40,BS_RE33!$F$7:$F$874,'30 days CF Table(EUR)'!$C$2)</f>
        <v>0</v>
      </c>
      <c r="AC40" s="337">
        <f>SUMIFS(BS_RE33!$H$7:$H$874,BS_RE33!$S$7:$S$874,$AC$2,BS_RE33!$N$7:$N$874,I40,BS_RE33!$P$7:$P$874,'30 days CF Table(EUR)'!G40,BS_RE33!$F$7:$F$874,'30 days CF Table(EUR)'!$C$2)</f>
        <v>0</v>
      </c>
      <c r="AD40" s="337">
        <f>SUMIFS(BS_RE33!$H$7:$H$874,BS_RE33!$S$7:$S$874,$AD$2,BS_RE33!$N$7:$N$874,I40,BS_RE33!$P$7:$P$874,'30 days CF Table(EUR)'!G40,BS_RE33!$F$7:$F$874,'30 days CF Table(EUR)'!$C$2)</f>
        <v>0</v>
      </c>
      <c r="AE40" s="337">
        <f>SUMIFS(BS_RE33!$H$7:$H$874,BS_RE33!$S$7:$S$874,$AE$2,BS_RE33!$N$7:$N$874,I40,BS_RE33!$P$7:$P$874,'30 days CF Table(EUR)'!G40,BS_RE33!$F$7:$F$874,'30 days CF Table(EUR)'!$C$2)</f>
        <v>0</v>
      </c>
      <c r="AF40" s="337">
        <f>SUMIFS(BS_RE33!$H$7:$H$874,BS_RE33!$S$7:$S$874,$AF$2,BS_RE33!$N$7:$N$874,I40,BS_RE33!$P$7:$P$874,'30 days CF Table(EUR)'!G40,BS_RE33!$F$7:$F$874,'30 days CF Table(EUR)'!$C$2)</f>
        <v>0</v>
      </c>
      <c r="AG40" s="337">
        <f>SUMIFS(BS_RE33!$H$7:$H$874,BS_RE33!$S$7:$S$874,$AG$2,BS_RE33!$N$7:$N$874,I40,BS_RE33!$P$7:$P$874,'30 days CF Table(EUR)'!G40,BS_RE33!$F$7:$F$874,'30 days CF Table(EUR)'!$C$2)</f>
        <v>0</v>
      </c>
      <c r="AH40" s="337">
        <f>SUMIFS(BS_RE33!$H$7:$H$874,BS_RE33!$S$7:$S$874,$AH$2,BS_RE33!$N$7:$N$874,I40,BS_RE33!$P$7:$P$874,'30 days CF Table(EUR)'!G40,BS_RE33!$F$7:$F$874,'30 days CF Table(EUR)'!$C$2)</f>
        <v>0</v>
      </c>
      <c r="AI40" s="337">
        <f>SUMIFS(BS_RE33!$H$7:$H$874,BS_RE33!$S$7:$S$874,$AI$2,BS_RE33!$N$7:$N$874,I40,BS_RE33!$P$7:$P$874,'30 days CF Table(EUR)'!G40,BS_RE33!$F$7:$F$874,'30 days CF Table(EUR)'!$C$2)</f>
        <v>0</v>
      </c>
      <c r="AJ40" s="337">
        <f>SUMIFS(BS_RE33!$H$7:$H$874,BS_RE33!$S$7:$S$874,$AJ$2,BS_RE33!$N$7:$N$874,I40,BS_RE33!$P$7:$P$874,'30 days CF Table(EUR)'!G40,BS_RE33!$F$7:$F$874,'30 days CF Table(EUR)'!$C$2)</f>
        <v>0</v>
      </c>
      <c r="AK40" s="337">
        <f>SUMIFS(BS_RE33!$H$7:$H$874,BS_RE33!$S$7:$S$874,$AK$2,BS_RE33!$N$7:$N$874,I40,BS_RE33!$P$7:$P$874,'30 days CF Table(EUR)'!G40,BS_RE33!$F$7:$F$874,'30 days CF Table(EUR)'!$C$2)</f>
        <v>0</v>
      </c>
      <c r="AL40" s="337">
        <f>SUMIFS(BS_RE33!$H$7:$H$874,BS_RE33!$S$7:$S$874,$AL$2,BS_RE33!$N$7:$N$874,I40,BS_RE33!$P$7:$P$874,'30 days CF Table(EUR)'!G40,BS_RE33!$F$7:$F$874,'30 days CF Table(EUR)'!$C$2)</f>
        <v>0</v>
      </c>
      <c r="AM40" s="337">
        <f>SUMIFS(BS_RE33!$H$7:$H$874,BS_RE33!$S$7:$S$874,$AM$2,BS_RE33!$N$7:$N$874,I40,BS_RE33!$P$7:$P$874,'30 days CF Table(EUR)'!G40,BS_RE33!$F$7:$F$874,'30 days CF Table(EUR)'!$C$2)</f>
        <v>0</v>
      </c>
      <c r="AN40" s="337">
        <f>SUMIFS(BS_RE33!$H$7:$H$874,BS_RE33!$S$7:$S$874,$AN$2,BS_RE33!$N$7:$N$874,I40,BS_RE33!$P$7:$P$874,'30 days CF Table(EUR)'!G40,BS_RE33!$F$7:$F$874,'30 days CF Table(EUR)'!$C$2)</f>
        <v>0</v>
      </c>
      <c r="AO40" s="337">
        <f>SUMIFS(BS_RE33!$H$7:$H$874,BS_RE33!$S$7:$S$874,$AO$2,BS_RE33!$N$7:$N$874,I40,BS_RE33!$P$7:$P$874,'30 days CF Table(EUR)'!G40,BS_RE33!$F$7:$F$874,'30 days CF Table(EUR)'!$C$2)</f>
        <v>0</v>
      </c>
      <c r="AP40" s="338">
        <f>SUMIFS(BS_RE33!$H$7:$H$874,BS_RE33!$S$7:$S$874,$AP$2,BS_RE33!$N$7:$N$874,I40,BS_RE33!$P$7:$P$874,'30 days CF Table(EUR)'!G40,BS_RE33!$F$7:$F$874,'30 days CF Table(EUR)'!$C$2)</f>
        <v>0</v>
      </c>
      <c r="AR40" s="379">
        <f>SUMIFS(BS_RE33!$H$7:$H$874,BS_RE33!$S$7:$S$874,$AR$2,BS_RE33!$N$7:$N$874,I40,BS_RE33!$P$7:$P$874,'30 days CF Table(EUR)'!G40,BS_RE33!$F$7:$F$874,'30 days CF Table(EUR)'!$C$2)</f>
        <v>0</v>
      </c>
      <c r="AS40" s="379">
        <f>SUMIFS(BS_RE33!$H$7:$H$874,BS_RE33!$S$7:$S$874,$AS$2,BS_RE33!$N$7:$N$874,I40,BS_RE33!$P$7:$P$874,'30 days CF Table(EUR)'!G40,BS_RE33!$F$7:$F$874,'30 days CF Table(EUR)'!$C$2)</f>
        <v>0</v>
      </c>
      <c r="AT40" s="379">
        <f>SUMIFS(BS_RE33!$H$7:$H$874,BS_RE33!$S$7:$S$874,$AT$2,BS_RE33!$N$7:$N$874,I40,BS_RE33!$P$7:$P$874,'30 days CF Table(EUR)'!G40,BS_RE33!$F$7:$F$874,'30 days CF Table(EUR)'!$C$2)</f>
        <v>0</v>
      </c>
      <c r="AU40" s="379">
        <f>SUMIFS(BS_RE33!$H$7:$H$874,BS_RE33!$S$7:$S$874,$AU$2,BS_RE33!$N$7:$N$874,I40,BS_RE33!$P$7:$P$874,'30 days CF Table(EUR)'!G40,BS_RE33!$F$7:$F$874,'30 days CF Table(EUR)'!$C$2)</f>
        <v>0</v>
      </c>
      <c r="AV40" s="379">
        <f>SUMIFS(BS_RE33!$H$7:$H$874,BS_RE33!$S$7:$S$874,$AV$2,BS_RE33!$N$7:$N$874,I40,BS_RE33!$P$7:$P$874,'30 days CF Table(EUR)'!G40,BS_RE33!$F$7:$F$874,'30 days CF Table(EUR)'!$C$2)</f>
        <v>0</v>
      </c>
      <c r="AW40" s="379">
        <f>SUMIFS(BS_RE33!$H$7:$H$874,BS_RE33!$S$7:$S$874,$AW$2,BS_RE33!$N$7:$N$874,I40,BS_RE33!$P$7:$P$874,'30 days CF Table(EUR)'!G40,BS_RE33!$F$7:$F$874,'30 days CF Table(EUR)'!$C$2)</f>
        <v>0</v>
      </c>
      <c r="AX40" s="379">
        <f>SUMIFS(BS_RE33!$H$7:$H$874,BS_RE33!$S$7:$S$874,$AX$2,BS_RE33!$N$7:$N$874,I40,BS_RE33!$P$7:$P$874,'30 days CF Table(EUR)'!G40,BS_RE33!$F$7:$F$874,'30 days CF Table(EUR)'!$C$2)</f>
        <v>0</v>
      </c>
      <c r="AY40" s="379">
        <f>SUMIFS(BS_RE33!$H$7:$H$874,BS_RE33!$S$7:$S$874,$AY$2,BS_RE33!$N$7:$N$874,I40,BS_RE33!$P$7:$P$874,'30 days CF Table(EUR)'!G40,BS_RE33!$F$7:$F$874,'30 days CF Table(EUR)'!$C$2)</f>
        <v>0</v>
      </c>
      <c r="AZ40" s="379">
        <f>SUMIFS(BS_RE33!$H$7:$H$874,BS_RE33!$S$7:$S$874,$AZ$2,BS_RE33!$N$7:$N$874,I40,BS_RE33!$P$7:$P$874,'30 days CF Table(EUR)'!G40,BS_RE33!$F$7:$F$874,'30 days CF Table(EUR)'!$C$2)</f>
        <v>0</v>
      </c>
      <c r="BA40" s="379">
        <f>SUMIFS(BS_RE33!$H$7:$H$874,BS_RE33!$S$7:$S$874,$BA$2,BS_RE33!$N$7:$N$874,I40,BS_RE33!$P$7:$P$874,'30 days CF Table(EUR)'!G40,BS_RE33!$F$7:$F$874,'30 days CF Table(EUR)'!$C$2)</f>
        <v>0</v>
      </c>
      <c r="BB40" s="379">
        <f>SUMIFS(BS_RE33!$H$7:$H$874,BS_RE33!$S$7:$S$874,$BB$2,BS_RE33!$N$7:$N$874,I40,BS_RE33!$P$7:$P$874,'30 days CF Table(EUR)'!G40,BS_RE33!$F$7:$F$874,'30 days CF Table(EUR)'!$C$2)</f>
        <v>0</v>
      </c>
      <c r="BC40" s="379">
        <f>SUMIFS(BS_RE33!$H$7:$H$874,BS_RE33!$S$7:$S$874,$BC$2,BS_RE33!$N$7:$N$874,I40,BS_RE33!$P$7:$P$874,'30 days CF Table(EUR)'!G40,BS_RE33!$F$7:$F$874,'30 days CF Table(EUR)'!$C$2)</f>
        <v>0</v>
      </c>
      <c r="BD40" s="379">
        <f>SUMIFS(BS_RE33!$H$7:$H$874,BS_RE33!$S$7:$S$874,$BD$2,BS_RE33!$N$7:$N$874,I40,BS_RE33!$P$7:$P$874,'30 days CF Table(EUR)'!G40,BS_RE33!$F$7:$F$874,'30 days CF Table(EUR)'!$C$2)</f>
        <v>0</v>
      </c>
      <c r="BE40" s="379">
        <f>SUMIFS(BS_RE33!$H$7:$H$874,BS_RE33!$S$7:$S$874,$BE$2,BS_RE33!$N$7:$N$874,I40,BS_RE33!$P$7:$P$874,'30 days CF Table(EUR)'!G40,BS_RE33!$F$7:$F$874,'30 days CF Table(EUR)'!$C$2)</f>
        <v>0</v>
      </c>
      <c r="BF40" s="379">
        <f>SUMIFS(BS_RE33!$H$7:$H$874,BS_RE33!$S$7:$S$874,$BF$2,BS_RE33!$N$7:$N$874,I40,BS_RE33!$P$7:$P$874,'30 days CF Table(EUR)'!G40,BS_RE33!$F$7:$F$874,'30 days CF Table(EUR)'!$C$2)</f>
        <v>0</v>
      </c>
      <c r="BG40" s="379">
        <f>SUMIFS(BS_RE33!$H$7:$H$874,BS_RE33!$S$7:$S$874,$BG$2,BS_RE33!$N$7:$N$874,I40,BS_RE33!$P$7:$P$874,'30 days CF Table(EUR)'!G40,BS_RE33!$F$7:$F$874,'30 days CF Table(EUR)'!$C$2)</f>
        <v>0</v>
      </c>
      <c r="BH40" s="379">
        <f>SUMIFS(BS_RE33!$H$7:$H$874,BS_RE33!$S$7:$S$874,$BH$2,BS_RE33!$N$7:$N$874,I40,BS_RE33!$P$7:$P$874,'30 days CF Table(EUR)'!G40,BS_RE33!$F$7:$F$874,'30 days CF Table(EUR)'!$C$2)</f>
        <v>0</v>
      </c>
      <c r="BI40" s="379">
        <f>SUMIFS(BS_RE33!$H$7:$H$874,BS_RE33!$S$7:$S$874,$BI$2,BS_RE33!$N$7:$N$874,I40,BS_RE33!$P$7:$P$874,'30 days CF Table(EUR)'!G40,BS_RE33!$F$7:$F$874,'30 days CF Table(EUR)'!$C$2)</f>
        <v>0</v>
      </c>
      <c r="BJ40" s="379">
        <f>SUMIFS(BS_RE33!$H$7:$H$874,BS_RE33!$S$7:$S$874,$BJ$2,BS_RE33!$N$7:$N$874,I40,BS_RE33!$P$7:$P$874,'30 days CF Table(EUR)'!G40,BS_RE33!$F$7:$F$874,'30 days CF Table(EUR)'!$C$2)</f>
        <v>0</v>
      </c>
      <c r="BK40" s="379">
        <f>SUMIFS(BS_RE33!$H$7:$H$874,BS_RE33!$S$7:$S$874,$BK$2,BS_RE33!$N$7:$N$874,I40,BS_RE33!$P$7:$P$874,'30 days CF Table(EUR)'!G40,BS_RE33!$F$7:$F$874,'30 days CF Table(EUR)'!$C$2)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Table(EUR)'!G41,BS_RE33!$F$7:$F$874,'30 days CF Table(EUR)'!$C$2)</f>
        <v>0</v>
      </c>
      <c r="M41" s="337">
        <f>SUMIFS(BS_RE33!$H$7:$H$874,BS_RE33!$S$7:$S$874,$M$2,BS_RE33!$N$7:$N$874,I41,BS_RE33!$P$7:$P$874,'30 days CF Table(EUR)'!G41,BS_RE33!$F$7:$F$874,'30 days CF Table(EUR)'!$C$2)</f>
        <v>0</v>
      </c>
      <c r="N41" s="337">
        <f>SUMIFS(BS_RE33!$H$7:$H$874,BS_RE33!$S$7:$S$874,$N$2,BS_RE33!$N$7:$N$874,I41,BS_RE33!$P$7:$P$874,'30 days CF Table(EUR)'!G41,BS_RE33!$F$7:$F$874,'30 days CF Table(EUR)'!$C$2)</f>
        <v>0</v>
      </c>
      <c r="O41" s="337">
        <f>SUMIFS(BS_RE33!$H$7:$H$874,BS_RE33!$S$7:$S$874,$O$2,BS_RE33!$N$7:$N$874,I41,BS_RE33!$P$7:$P$874,'30 days CF Table(EUR)'!G41,BS_RE33!$F$7:$F$874,'30 days CF Table(EUR)'!$C$2)</f>
        <v>0</v>
      </c>
      <c r="P41" s="337">
        <f>SUMIFS(BS_RE33!$H$7:$H$874,BS_RE33!$S$7:$S$874,$P$2,BS_RE33!$N$7:$N$874,I41,BS_RE33!$P$7:$P$874,'30 days CF Table(EUR)'!G41,BS_RE33!$F$7:$F$874,'30 days CF Table(EUR)'!$C$2)</f>
        <v>0</v>
      </c>
      <c r="Q41" s="337">
        <f>SUMIFS(BS_RE33!$H$7:$H$874,BS_RE33!$S$7:$S$874,$Q$2,BS_RE33!$N$7:$N$874,I41,BS_RE33!$P$7:$P$874,'30 days CF Table(EUR)'!G41,BS_RE33!$F$7:$F$874,'30 days CF Table(EUR)'!$C$2)</f>
        <v>0</v>
      </c>
      <c r="R41" s="337">
        <f>SUMIFS(BS_RE33!$H$7:$H$874,BS_RE33!$S$7:$S$874,$R$2,BS_RE33!$N$7:$N$874,I41,BS_RE33!$P$7:$P$874,'30 days CF Table(EUR)'!G41,BS_RE33!$F$7:$F$874,'30 days CF Table(EUR)'!$C$2)</f>
        <v>0</v>
      </c>
      <c r="S41" s="337">
        <f>SUMIFS(BS_RE33!$H$7:$H$874,BS_RE33!$S$7:$S$874,$S$2,BS_RE33!$N$7:$N$874,I41,BS_RE33!$P$7:$P$874,'30 days CF Table(EUR)'!G41,BS_RE33!$F$7:$F$874,'30 days CF Table(EUR)'!$C$2)</f>
        <v>0</v>
      </c>
      <c r="T41" s="337">
        <f>SUMIFS(BS_RE33!$H$7:$H$874,BS_RE33!$S$7:$S$874,$T$2,BS_RE33!$N$7:$N$874,I41,BS_RE33!$P$7:$P$874,'30 days CF Table(EUR)'!G41,BS_RE33!$F$7:$F$874,'30 days CF Table(EUR)'!$C$2)</f>
        <v>0</v>
      </c>
      <c r="U41" s="337">
        <f>SUMIFS(BS_RE33!$H$7:$H$874,BS_RE33!$S$7:$S$874,$U$2,BS_RE33!$N$7:$N$874,I41,BS_RE33!$P$7:$P$874,'30 days CF Table(EUR)'!G41,BS_RE33!$F$7:$F$874,'30 days CF Table(EUR)'!$C$2)</f>
        <v>0</v>
      </c>
      <c r="V41" s="337">
        <f>SUMIFS(BS_RE33!$H$7:$H$874,BS_RE33!$S$7:$S$874,$V$2,BS_RE33!$N$7:$N$874,I41,BS_RE33!$P$7:$P$874,'30 days CF Table(EUR)'!G41,BS_RE33!$F$7:$F$874,'30 days CF Table(EUR)'!$C$2)</f>
        <v>0</v>
      </c>
      <c r="W41" s="337">
        <f>SUMIFS(BS_RE33!$H$7:$H$874,BS_RE33!$S$7:$S$874,$W$2,BS_RE33!$N$7:$N$874,I41,BS_RE33!$P$7:$P$874,'30 days CF Table(EUR)'!G41,BS_RE33!$F$7:$F$874,'30 days CF Table(EUR)'!$C$2)</f>
        <v>0</v>
      </c>
      <c r="X41" s="337">
        <f>SUMIFS(BS_RE33!$H$7:$H$874,BS_RE33!$S$7:$S$874,$X$2,BS_RE33!$N$7:$N$874,I41,BS_RE33!$P$7:$P$874,'30 days CF Table(EUR)'!G41,BS_RE33!$F$7:$F$874,'30 days CF Table(EUR)'!$C$2)</f>
        <v>0</v>
      </c>
      <c r="Y41" s="337">
        <f>SUMIFS(BS_RE33!$H$7:$H$874,BS_RE33!$S$7:$S$874,$Y$2,BS_RE33!$N$7:$N$874,I41,BS_RE33!$P$7:$P$874,'30 days CF Table(EUR)'!G41,BS_RE33!$F$7:$F$874,'30 days CF Table(EUR)'!$C$2)</f>
        <v>0</v>
      </c>
      <c r="Z41" s="337">
        <f>SUMIFS(BS_RE33!$H$7:$H$874,BS_RE33!$S$7:$S$874,$Z$2,BS_RE33!$N$7:$N$874,I41,BS_RE33!$P$7:$P$874,'30 days CF Table(EUR)'!G41,BS_RE33!$F$7:$F$874,'30 days CF Table(EUR)'!$C$2)</f>
        <v>0</v>
      </c>
      <c r="AA41" s="337">
        <f>SUMIFS(BS_RE33!$H$7:$H$874,BS_RE33!$S$7:$S$874,$AA$2,BS_RE33!$N$7:$N$874,I41,BS_RE33!$P$7:$P$874,'30 days CF Table(EUR)'!G41,BS_RE33!$F$7:$F$874,'30 days CF Table(EUR)'!$C$2)</f>
        <v>0</v>
      </c>
      <c r="AB41" s="337">
        <f>SUMIFS(BS_RE33!$H$7:$H$874,BS_RE33!$S$7:$S$874,$AB$2,BS_RE33!$N$7:$N$874,I41,BS_RE33!$P$7:$P$874,'30 days CF Table(EUR)'!G41,BS_RE33!$F$7:$F$874,'30 days CF Table(EUR)'!$C$2)</f>
        <v>0</v>
      </c>
      <c r="AC41" s="337">
        <f>SUMIFS(BS_RE33!$H$7:$H$874,BS_RE33!$S$7:$S$874,$AC$2,BS_RE33!$N$7:$N$874,I41,BS_RE33!$P$7:$P$874,'30 days CF Table(EUR)'!G41,BS_RE33!$F$7:$F$874,'30 days CF Table(EUR)'!$C$2)</f>
        <v>0</v>
      </c>
      <c r="AD41" s="337">
        <f>SUMIFS(BS_RE33!$H$7:$H$874,BS_RE33!$S$7:$S$874,$AD$2,BS_RE33!$N$7:$N$874,I41,BS_RE33!$P$7:$P$874,'30 days CF Table(EUR)'!G41,BS_RE33!$F$7:$F$874,'30 days CF Table(EUR)'!$C$2)</f>
        <v>0</v>
      </c>
      <c r="AE41" s="337">
        <f>SUMIFS(BS_RE33!$H$7:$H$874,BS_RE33!$S$7:$S$874,$AE$2,BS_RE33!$N$7:$N$874,I41,BS_RE33!$P$7:$P$874,'30 days CF Table(EUR)'!G41,BS_RE33!$F$7:$F$874,'30 days CF Table(EUR)'!$C$2)</f>
        <v>0</v>
      </c>
      <c r="AF41" s="337">
        <f>SUMIFS(BS_RE33!$H$7:$H$874,BS_RE33!$S$7:$S$874,$AF$2,BS_RE33!$N$7:$N$874,I41,BS_RE33!$P$7:$P$874,'30 days CF Table(EUR)'!G41,BS_RE33!$F$7:$F$874,'30 days CF Table(EUR)'!$C$2)</f>
        <v>0</v>
      </c>
      <c r="AG41" s="337">
        <f>SUMIFS(BS_RE33!$H$7:$H$874,BS_RE33!$S$7:$S$874,$AG$2,BS_RE33!$N$7:$N$874,I41,BS_RE33!$P$7:$P$874,'30 days CF Table(EUR)'!G41,BS_RE33!$F$7:$F$874,'30 days CF Table(EUR)'!$C$2)</f>
        <v>0</v>
      </c>
      <c r="AH41" s="337">
        <f>SUMIFS(BS_RE33!$H$7:$H$874,BS_RE33!$S$7:$S$874,$AH$2,BS_RE33!$N$7:$N$874,I41,BS_RE33!$P$7:$P$874,'30 days CF Table(EUR)'!G41,BS_RE33!$F$7:$F$874,'30 days CF Table(EUR)'!$C$2)</f>
        <v>0</v>
      </c>
      <c r="AI41" s="337">
        <f>SUMIFS(BS_RE33!$H$7:$H$874,BS_RE33!$S$7:$S$874,$AI$2,BS_RE33!$N$7:$N$874,I41,BS_RE33!$P$7:$P$874,'30 days CF Table(EUR)'!G41,BS_RE33!$F$7:$F$874,'30 days CF Table(EUR)'!$C$2)</f>
        <v>0</v>
      </c>
      <c r="AJ41" s="337">
        <f>SUMIFS(BS_RE33!$H$7:$H$874,BS_RE33!$S$7:$S$874,$AJ$2,BS_RE33!$N$7:$N$874,I41,BS_RE33!$P$7:$P$874,'30 days CF Table(EUR)'!G41,BS_RE33!$F$7:$F$874,'30 days CF Table(EUR)'!$C$2)</f>
        <v>0</v>
      </c>
      <c r="AK41" s="337">
        <f>SUMIFS(BS_RE33!$H$7:$H$874,BS_RE33!$S$7:$S$874,$AK$2,BS_RE33!$N$7:$N$874,I41,BS_RE33!$P$7:$P$874,'30 days CF Table(EUR)'!G41,BS_RE33!$F$7:$F$874,'30 days CF Table(EUR)'!$C$2)</f>
        <v>0</v>
      </c>
      <c r="AL41" s="337">
        <f>SUMIFS(BS_RE33!$H$7:$H$874,BS_RE33!$S$7:$S$874,$AL$2,BS_RE33!$N$7:$N$874,I41,BS_RE33!$P$7:$P$874,'30 days CF Table(EUR)'!G41,BS_RE33!$F$7:$F$874,'30 days CF Table(EUR)'!$C$2)</f>
        <v>0</v>
      </c>
      <c r="AM41" s="337">
        <f>SUMIFS(BS_RE33!$H$7:$H$874,BS_RE33!$S$7:$S$874,$AM$2,BS_RE33!$N$7:$N$874,I41,BS_RE33!$P$7:$P$874,'30 days CF Table(EUR)'!G41,BS_RE33!$F$7:$F$874,'30 days CF Table(EUR)'!$C$2)</f>
        <v>0</v>
      </c>
      <c r="AN41" s="337">
        <f>SUMIFS(BS_RE33!$H$7:$H$874,BS_RE33!$S$7:$S$874,$AN$2,BS_RE33!$N$7:$N$874,I41,BS_RE33!$P$7:$P$874,'30 days CF Table(EUR)'!G41,BS_RE33!$F$7:$F$874,'30 days CF Table(EUR)'!$C$2)</f>
        <v>0</v>
      </c>
      <c r="AO41" s="337">
        <f>SUMIFS(BS_RE33!$H$7:$H$874,BS_RE33!$S$7:$S$874,$AO$2,BS_RE33!$N$7:$N$874,I41,BS_RE33!$P$7:$P$874,'30 days CF Table(EUR)'!G41,BS_RE33!$F$7:$F$874,'30 days CF Table(EUR)'!$C$2)</f>
        <v>0</v>
      </c>
      <c r="AP41" s="338">
        <f>SUMIFS(BS_RE33!$H$7:$H$874,BS_RE33!$S$7:$S$874,$AP$2,BS_RE33!$N$7:$N$874,I41,BS_RE33!$P$7:$P$874,'30 days CF Table(EUR)'!G41,BS_RE33!$F$7:$F$874,'30 days CF Table(EUR)'!$C$2)</f>
        <v>0</v>
      </c>
      <c r="AR41" s="379">
        <f>SUMIFS(BS_RE33!$H$7:$H$874,BS_RE33!$S$7:$S$874,$AR$2,BS_RE33!$N$7:$N$874,I41,BS_RE33!$P$7:$P$874,'30 days CF Table(EUR)'!G41,BS_RE33!$F$7:$F$874,'30 days CF Table(EUR)'!$C$2)</f>
        <v>0</v>
      </c>
      <c r="AS41" s="379">
        <f>SUMIFS(BS_RE33!$H$7:$H$874,BS_RE33!$S$7:$S$874,$AS$2,BS_RE33!$N$7:$N$874,I41,BS_RE33!$P$7:$P$874,'30 days CF Table(EUR)'!G41,BS_RE33!$F$7:$F$874,'30 days CF Table(EUR)'!$C$2)</f>
        <v>0</v>
      </c>
      <c r="AT41" s="379">
        <f>SUMIFS(BS_RE33!$H$7:$H$874,BS_RE33!$S$7:$S$874,$AT$2,BS_RE33!$N$7:$N$874,I41,BS_RE33!$P$7:$P$874,'30 days CF Table(EUR)'!G41,BS_RE33!$F$7:$F$874,'30 days CF Table(EUR)'!$C$2)</f>
        <v>0</v>
      </c>
      <c r="AU41" s="379">
        <f>SUMIFS(BS_RE33!$H$7:$H$874,BS_RE33!$S$7:$S$874,$AU$2,BS_RE33!$N$7:$N$874,I41,BS_RE33!$P$7:$P$874,'30 days CF Table(EUR)'!G41,BS_RE33!$F$7:$F$874,'30 days CF Table(EUR)'!$C$2)</f>
        <v>0</v>
      </c>
      <c r="AV41" s="379">
        <f>SUMIFS(BS_RE33!$H$7:$H$874,BS_RE33!$S$7:$S$874,$AV$2,BS_RE33!$N$7:$N$874,I41,BS_RE33!$P$7:$P$874,'30 days CF Table(EUR)'!G41,BS_RE33!$F$7:$F$874,'30 days CF Table(EUR)'!$C$2)</f>
        <v>0</v>
      </c>
      <c r="AW41" s="379">
        <f>SUMIFS(BS_RE33!$H$7:$H$874,BS_RE33!$S$7:$S$874,$AW$2,BS_RE33!$N$7:$N$874,I41,BS_RE33!$P$7:$P$874,'30 days CF Table(EUR)'!G41,BS_RE33!$F$7:$F$874,'30 days CF Table(EUR)'!$C$2)</f>
        <v>0</v>
      </c>
      <c r="AX41" s="379">
        <f>SUMIFS(BS_RE33!$H$7:$H$874,BS_RE33!$S$7:$S$874,$AX$2,BS_RE33!$N$7:$N$874,I41,BS_RE33!$P$7:$P$874,'30 days CF Table(EUR)'!G41,BS_RE33!$F$7:$F$874,'30 days CF Table(EUR)'!$C$2)</f>
        <v>0</v>
      </c>
      <c r="AY41" s="379">
        <f>SUMIFS(BS_RE33!$H$7:$H$874,BS_RE33!$S$7:$S$874,$AY$2,BS_RE33!$N$7:$N$874,I41,BS_RE33!$P$7:$P$874,'30 days CF Table(EUR)'!G41,BS_RE33!$F$7:$F$874,'30 days CF Table(EUR)'!$C$2)</f>
        <v>0</v>
      </c>
      <c r="AZ41" s="379">
        <f>SUMIFS(BS_RE33!$H$7:$H$874,BS_RE33!$S$7:$S$874,$AZ$2,BS_RE33!$N$7:$N$874,I41,BS_RE33!$P$7:$P$874,'30 days CF Table(EUR)'!G41,BS_RE33!$F$7:$F$874,'30 days CF Table(EUR)'!$C$2)</f>
        <v>0</v>
      </c>
      <c r="BA41" s="379">
        <f>SUMIFS(BS_RE33!$H$7:$H$874,BS_RE33!$S$7:$S$874,$BA$2,BS_RE33!$N$7:$N$874,I41,BS_RE33!$P$7:$P$874,'30 days CF Table(EUR)'!G41,BS_RE33!$F$7:$F$874,'30 days CF Table(EUR)'!$C$2)</f>
        <v>0</v>
      </c>
      <c r="BB41" s="379">
        <f>SUMIFS(BS_RE33!$H$7:$H$874,BS_RE33!$S$7:$S$874,$BB$2,BS_RE33!$N$7:$N$874,I41,BS_RE33!$P$7:$P$874,'30 days CF Table(EUR)'!G41,BS_RE33!$F$7:$F$874,'30 days CF Table(EUR)'!$C$2)</f>
        <v>0</v>
      </c>
      <c r="BC41" s="379">
        <f>SUMIFS(BS_RE33!$H$7:$H$874,BS_RE33!$S$7:$S$874,$BC$2,BS_RE33!$N$7:$N$874,I41,BS_RE33!$P$7:$P$874,'30 days CF Table(EUR)'!G41,BS_RE33!$F$7:$F$874,'30 days CF Table(EUR)'!$C$2)</f>
        <v>0</v>
      </c>
      <c r="BD41" s="379">
        <f>SUMIFS(BS_RE33!$H$7:$H$874,BS_RE33!$S$7:$S$874,$BD$2,BS_RE33!$N$7:$N$874,I41,BS_RE33!$P$7:$P$874,'30 days CF Table(EUR)'!G41,BS_RE33!$F$7:$F$874,'30 days CF Table(EUR)'!$C$2)</f>
        <v>0</v>
      </c>
      <c r="BE41" s="379">
        <f>SUMIFS(BS_RE33!$H$7:$H$874,BS_RE33!$S$7:$S$874,$BE$2,BS_RE33!$N$7:$N$874,I41,BS_RE33!$P$7:$P$874,'30 days CF Table(EUR)'!G41,BS_RE33!$F$7:$F$874,'30 days CF Table(EUR)'!$C$2)</f>
        <v>0</v>
      </c>
      <c r="BF41" s="379">
        <f>SUMIFS(BS_RE33!$H$7:$H$874,BS_RE33!$S$7:$S$874,$BF$2,BS_RE33!$N$7:$N$874,I41,BS_RE33!$P$7:$P$874,'30 days CF Table(EUR)'!G41,BS_RE33!$F$7:$F$874,'30 days CF Table(EUR)'!$C$2)</f>
        <v>0</v>
      </c>
      <c r="BG41" s="379">
        <f>SUMIFS(BS_RE33!$H$7:$H$874,BS_RE33!$S$7:$S$874,$BG$2,BS_RE33!$N$7:$N$874,I41,BS_RE33!$P$7:$P$874,'30 days CF Table(EUR)'!G41,BS_RE33!$F$7:$F$874,'30 days CF Table(EUR)'!$C$2)</f>
        <v>0</v>
      </c>
      <c r="BH41" s="379">
        <f>SUMIFS(BS_RE33!$H$7:$H$874,BS_RE33!$S$7:$S$874,$BH$2,BS_RE33!$N$7:$N$874,I41,BS_RE33!$P$7:$P$874,'30 days CF Table(EUR)'!G41,BS_RE33!$F$7:$F$874,'30 days CF Table(EUR)'!$C$2)</f>
        <v>0</v>
      </c>
      <c r="BI41" s="379">
        <f>SUMIFS(BS_RE33!$H$7:$H$874,BS_RE33!$S$7:$S$874,$BI$2,BS_RE33!$N$7:$N$874,I41,BS_RE33!$P$7:$P$874,'30 days CF Table(EUR)'!G41,BS_RE33!$F$7:$F$874,'30 days CF Table(EUR)'!$C$2)</f>
        <v>0</v>
      </c>
      <c r="BJ41" s="379">
        <f>SUMIFS(BS_RE33!$H$7:$H$874,BS_RE33!$S$7:$S$874,$BJ$2,BS_RE33!$N$7:$N$874,I41,BS_RE33!$P$7:$P$874,'30 days CF Table(EUR)'!G41,BS_RE33!$F$7:$F$874,'30 days CF Table(EUR)'!$C$2)</f>
        <v>0</v>
      </c>
      <c r="BK41" s="379">
        <f>SUMIFS(BS_RE33!$H$7:$H$874,BS_RE33!$S$7:$S$874,$BK$2,BS_RE33!$N$7:$N$874,I41,BS_RE33!$P$7:$P$874,'30 days CF Table(EUR)'!G41,BS_RE33!$F$7:$F$874,'30 days CF Table(EUR)'!$C$2)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Table(EUR)'!G42,BS_RE33!$F$7:$F$874,'30 days CF Table(EUR)'!$C$2)</f>
        <v>0</v>
      </c>
      <c r="M42" s="337">
        <f>SUMIFS(BS_RE33!$H$7:$H$874,BS_RE33!$S$7:$S$874,$M$2,BS_RE33!$N$7:$N$874,I42,BS_RE33!$P$7:$P$874,'30 days CF Table(EUR)'!G42,BS_RE33!$F$7:$F$874,'30 days CF Table(EUR)'!$C$2)</f>
        <v>0</v>
      </c>
      <c r="N42" s="337">
        <f>SUMIFS(BS_RE33!$H$7:$H$874,BS_RE33!$S$7:$S$874,$N$2,BS_RE33!$N$7:$N$874,I42,BS_RE33!$P$7:$P$874,'30 days CF Table(EUR)'!G42,BS_RE33!$F$7:$F$874,'30 days CF Table(EUR)'!$C$2)</f>
        <v>0</v>
      </c>
      <c r="O42" s="337">
        <f>SUMIFS(BS_RE33!$H$7:$H$874,BS_RE33!$S$7:$S$874,$O$2,BS_RE33!$N$7:$N$874,I42,BS_RE33!$P$7:$P$874,'30 days CF Table(EUR)'!G42,BS_RE33!$F$7:$F$874,'30 days CF Table(EUR)'!$C$2)</f>
        <v>0</v>
      </c>
      <c r="P42" s="337">
        <f>SUMIFS(BS_RE33!$H$7:$H$874,BS_RE33!$S$7:$S$874,$P$2,BS_RE33!$N$7:$N$874,I42,BS_RE33!$P$7:$P$874,'30 days CF Table(EUR)'!G42,BS_RE33!$F$7:$F$874,'30 days CF Table(EUR)'!$C$2)</f>
        <v>0</v>
      </c>
      <c r="Q42" s="337">
        <f>SUMIFS(BS_RE33!$H$7:$H$874,BS_RE33!$S$7:$S$874,$Q$2,BS_RE33!$N$7:$N$874,I42,BS_RE33!$P$7:$P$874,'30 days CF Table(EUR)'!G42,BS_RE33!$F$7:$F$874,'30 days CF Table(EUR)'!$C$2)</f>
        <v>0</v>
      </c>
      <c r="R42" s="337">
        <f>SUMIFS(BS_RE33!$H$7:$H$874,BS_RE33!$S$7:$S$874,$R$2,BS_RE33!$N$7:$N$874,I42,BS_RE33!$P$7:$P$874,'30 days CF Table(EUR)'!G42,BS_RE33!$F$7:$F$874,'30 days CF Table(EUR)'!$C$2)</f>
        <v>0</v>
      </c>
      <c r="S42" s="337">
        <f>SUMIFS(BS_RE33!$H$7:$H$874,BS_RE33!$S$7:$S$874,$S$2,BS_RE33!$N$7:$N$874,I42,BS_RE33!$P$7:$P$874,'30 days CF Table(EUR)'!G42,BS_RE33!$F$7:$F$874,'30 days CF Table(EUR)'!$C$2)</f>
        <v>0</v>
      </c>
      <c r="T42" s="337">
        <f>SUMIFS(BS_RE33!$H$7:$H$874,BS_RE33!$S$7:$S$874,$T$2,BS_RE33!$N$7:$N$874,I42,BS_RE33!$P$7:$P$874,'30 days CF Table(EUR)'!G42,BS_RE33!$F$7:$F$874,'30 days CF Table(EUR)'!$C$2)</f>
        <v>0</v>
      </c>
      <c r="U42" s="337">
        <f>SUMIFS(BS_RE33!$H$7:$H$874,BS_RE33!$S$7:$S$874,$U$2,BS_RE33!$N$7:$N$874,I42,BS_RE33!$P$7:$P$874,'30 days CF Table(EUR)'!G42,BS_RE33!$F$7:$F$874,'30 days CF Table(EUR)'!$C$2)</f>
        <v>0</v>
      </c>
      <c r="V42" s="337">
        <f>SUMIFS(BS_RE33!$H$7:$H$874,BS_RE33!$S$7:$S$874,$V$2,BS_RE33!$N$7:$N$874,I42,BS_RE33!$P$7:$P$874,'30 days CF Table(EUR)'!G42,BS_RE33!$F$7:$F$874,'30 days CF Table(EUR)'!$C$2)</f>
        <v>0</v>
      </c>
      <c r="W42" s="337">
        <f>SUMIFS(BS_RE33!$H$7:$H$874,BS_RE33!$S$7:$S$874,$W$2,BS_RE33!$N$7:$N$874,I42,BS_RE33!$P$7:$P$874,'30 days CF Table(EUR)'!G42,BS_RE33!$F$7:$F$874,'30 days CF Table(EUR)'!$C$2)</f>
        <v>0</v>
      </c>
      <c r="X42" s="337">
        <f>SUMIFS(BS_RE33!$H$7:$H$874,BS_RE33!$S$7:$S$874,$X$2,BS_RE33!$N$7:$N$874,I42,BS_RE33!$P$7:$P$874,'30 days CF Table(EUR)'!G42,BS_RE33!$F$7:$F$874,'30 days CF Table(EUR)'!$C$2)</f>
        <v>0</v>
      </c>
      <c r="Y42" s="337">
        <f>SUMIFS(BS_RE33!$H$7:$H$874,BS_RE33!$S$7:$S$874,$Y$2,BS_RE33!$N$7:$N$874,I42,BS_RE33!$P$7:$P$874,'30 days CF Table(EUR)'!G42,BS_RE33!$F$7:$F$874,'30 days CF Table(EUR)'!$C$2)</f>
        <v>0</v>
      </c>
      <c r="Z42" s="337">
        <f>SUMIFS(BS_RE33!$H$7:$H$874,BS_RE33!$S$7:$S$874,$Z$2,BS_RE33!$N$7:$N$874,I42,BS_RE33!$P$7:$P$874,'30 days CF Table(EUR)'!G42,BS_RE33!$F$7:$F$874,'30 days CF Table(EUR)'!$C$2)</f>
        <v>0</v>
      </c>
      <c r="AA42" s="337">
        <f>SUMIFS(BS_RE33!$H$7:$H$874,BS_RE33!$S$7:$S$874,$AA$2,BS_RE33!$N$7:$N$874,I42,BS_RE33!$P$7:$P$874,'30 days CF Table(EUR)'!G42,BS_RE33!$F$7:$F$874,'30 days CF Table(EUR)'!$C$2)</f>
        <v>0</v>
      </c>
      <c r="AB42" s="337">
        <f>SUMIFS(BS_RE33!$H$7:$H$874,BS_RE33!$S$7:$S$874,$AB$2,BS_RE33!$N$7:$N$874,I42,BS_RE33!$P$7:$P$874,'30 days CF Table(EUR)'!G42,BS_RE33!$F$7:$F$874,'30 days CF Table(EUR)'!$C$2)</f>
        <v>0</v>
      </c>
      <c r="AC42" s="337">
        <f>SUMIFS(BS_RE33!$H$7:$H$874,BS_RE33!$S$7:$S$874,$AC$2,BS_RE33!$N$7:$N$874,I42,BS_RE33!$P$7:$P$874,'30 days CF Table(EUR)'!G42,BS_RE33!$F$7:$F$874,'30 days CF Table(EUR)'!$C$2)</f>
        <v>0</v>
      </c>
      <c r="AD42" s="337">
        <f>SUMIFS(BS_RE33!$H$7:$H$874,BS_RE33!$S$7:$S$874,$AD$2,BS_RE33!$N$7:$N$874,I42,BS_RE33!$P$7:$P$874,'30 days CF Table(EUR)'!G42,BS_RE33!$F$7:$F$874,'30 days CF Table(EUR)'!$C$2)</f>
        <v>0</v>
      </c>
      <c r="AE42" s="337">
        <f>SUMIFS(BS_RE33!$H$7:$H$874,BS_RE33!$S$7:$S$874,$AE$2,BS_RE33!$N$7:$N$874,I42,BS_RE33!$P$7:$P$874,'30 days CF Table(EUR)'!G42,BS_RE33!$F$7:$F$874,'30 days CF Table(EUR)'!$C$2)</f>
        <v>0</v>
      </c>
      <c r="AF42" s="337">
        <f>SUMIFS(BS_RE33!$H$7:$H$874,BS_RE33!$S$7:$S$874,$AF$2,BS_RE33!$N$7:$N$874,I42,BS_RE33!$P$7:$P$874,'30 days CF Table(EUR)'!G42,BS_RE33!$F$7:$F$874,'30 days CF Table(EUR)'!$C$2)</f>
        <v>0</v>
      </c>
      <c r="AG42" s="337">
        <f>SUMIFS(BS_RE33!$H$7:$H$874,BS_RE33!$S$7:$S$874,$AG$2,BS_RE33!$N$7:$N$874,I42,BS_RE33!$P$7:$P$874,'30 days CF Table(EUR)'!G42,BS_RE33!$F$7:$F$874,'30 days CF Table(EUR)'!$C$2)</f>
        <v>0</v>
      </c>
      <c r="AH42" s="337">
        <f>SUMIFS(BS_RE33!$H$7:$H$874,BS_RE33!$S$7:$S$874,$AH$2,BS_RE33!$N$7:$N$874,I42,BS_RE33!$P$7:$P$874,'30 days CF Table(EUR)'!G42,BS_RE33!$F$7:$F$874,'30 days CF Table(EUR)'!$C$2)</f>
        <v>0</v>
      </c>
      <c r="AI42" s="337">
        <f>SUMIFS(BS_RE33!$H$7:$H$874,BS_RE33!$S$7:$S$874,$AI$2,BS_RE33!$N$7:$N$874,I42,BS_RE33!$P$7:$P$874,'30 days CF Table(EUR)'!G42,BS_RE33!$F$7:$F$874,'30 days CF Table(EUR)'!$C$2)</f>
        <v>0</v>
      </c>
      <c r="AJ42" s="337">
        <f>SUMIFS(BS_RE33!$H$7:$H$874,BS_RE33!$S$7:$S$874,$AJ$2,BS_RE33!$N$7:$N$874,I42,BS_RE33!$P$7:$P$874,'30 days CF Table(EUR)'!G42,BS_RE33!$F$7:$F$874,'30 days CF Table(EUR)'!$C$2)</f>
        <v>0</v>
      </c>
      <c r="AK42" s="337">
        <f>SUMIFS(BS_RE33!$H$7:$H$874,BS_RE33!$S$7:$S$874,$AK$2,BS_RE33!$N$7:$N$874,I42,BS_RE33!$P$7:$P$874,'30 days CF Table(EUR)'!G42,BS_RE33!$F$7:$F$874,'30 days CF Table(EUR)'!$C$2)</f>
        <v>0</v>
      </c>
      <c r="AL42" s="337">
        <f>SUMIFS(BS_RE33!$H$7:$H$874,BS_RE33!$S$7:$S$874,$AL$2,BS_RE33!$N$7:$N$874,I42,BS_RE33!$P$7:$P$874,'30 days CF Table(EUR)'!G42,BS_RE33!$F$7:$F$874,'30 days CF Table(EUR)'!$C$2)</f>
        <v>0</v>
      </c>
      <c r="AM42" s="337">
        <f>SUMIFS(BS_RE33!$H$7:$H$874,BS_RE33!$S$7:$S$874,$AM$2,BS_RE33!$N$7:$N$874,I42,BS_RE33!$P$7:$P$874,'30 days CF Table(EUR)'!G42,BS_RE33!$F$7:$F$874,'30 days CF Table(EUR)'!$C$2)</f>
        <v>0</v>
      </c>
      <c r="AN42" s="337">
        <f>SUMIFS(BS_RE33!$H$7:$H$874,BS_RE33!$S$7:$S$874,$AN$2,BS_RE33!$N$7:$N$874,I42,BS_RE33!$P$7:$P$874,'30 days CF Table(EUR)'!G42,BS_RE33!$F$7:$F$874,'30 days CF Table(EUR)'!$C$2)</f>
        <v>0</v>
      </c>
      <c r="AO42" s="337">
        <f>SUMIFS(BS_RE33!$H$7:$H$874,BS_RE33!$S$7:$S$874,$AO$2,BS_RE33!$N$7:$N$874,I42,BS_RE33!$P$7:$P$874,'30 days CF Table(EUR)'!G42,BS_RE33!$F$7:$F$874,'30 days CF Table(EUR)'!$C$2)</f>
        <v>0</v>
      </c>
      <c r="AP42" s="338">
        <f>SUMIFS(BS_RE33!$H$7:$H$874,BS_RE33!$S$7:$S$874,$AP$2,BS_RE33!$N$7:$N$874,I42,BS_RE33!$P$7:$P$874,'30 days CF Table(EUR)'!G42,BS_RE33!$F$7:$F$874,'30 days CF Table(EUR)'!$C$2)</f>
        <v>0</v>
      </c>
      <c r="AR42" s="379">
        <f>SUMIFS(BS_RE33!$H$7:$H$874,BS_RE33!$S$7:$S$874,$AR$2,BS_RE33!$N$7:$N$874,I42,BS_RE33!$P$7:$P$874,'30 days CF Table(EUR)'!G42,BS_RE33!$F$7:$F$874,'30 days CF Table(EUR)'!$C$2)</f>
        <v>0</v>
      </c>
      <c r="AS42" s="379">
        <f>SUMIFS(BS_RE33!$H$7:$H$874,BS_RE33!$S$7:$S$874,$AS$2,BS_RE33!$N$7:$N$874,I42,BS_RE33!$P$7:$P$874,'30 days CF Table(EUR)'!G42,BS_RE33!$F$7:$F$874,'30 days CF Table(EUR)'!$C$2)</f>
        <v>0</v>
      </c>
      <c r="AT42" s="379">
        <f>SUMIFS(BS_RE33!$H$7:$H$874,BS_RE33!$S$7:$S$874,$AT$2,BS_RE33!$N$7:$N$874,I42,BS_RE33!$P$7:$P$874,'30 days CF Table(EUR)'!G42,BS_RE33!$F$7:$F$874,'30 days CF Table(EUR)'!$C$2)</f>
        <v>0</v>
      </c>
      <c r="AU42" s="379">
        <f>SUMIFS(BS_RE33!$H$7:$H$874,BS_RE33!$S$7:$S$874,$AU$2,BS_RE33!$N$7:$N$874,I42,BS_RE33!$P$7:$P$874,'30 days CF Table(EUR)'!G42,BS_RE33!$F$7:$F$874,'30 days CF Table(EUR)'!$C$2)</f>
        <v>0</v>
      </c>
      <c r="AV42" s="379">
        <f>SUMIFS(BS_RE33!$H$7:$H$874,BS_RE33!$S$7:$S$874,$AV$2,BS_RE33!$N$7:$N$874,I42,BS_RE33!$P$7:$P$874,'30 days CF Table(EUR)'!G42,BS_RE33!$F$7:$F$874,'30 days CF Table(EUR)'!$C$2)</f>
        <v>0</v>
      </c>
      <c r="AW42" s="379">
        <f>SUMIFS(BS_RE33!$H$7:$H$874,BS_RE33!$S$7:$S$874,$AW$2,BS_RE33!$N$7:$N$874,I42,BS_RE33!$P$7:$P$874,'30 days CF Table(EUR)'!G42,BS_RE33!$F$7:$F$874,'30 days CF Table(EUR)'!$C$2)</f>
        <v>0</v>
      </c>
      <c r="AX42" s="379">
        <f>SUMIFS(BS_RE33!$H$7:$H$874,BS_RE33!$S$7:$S$874,$AX$2,BS_RE33!$N$7:$N$874,I42,BS_RE33!$P$7:$P$874,'30 days CF Table(EUR)'!G42,BS_RE33!$F$7:$F$874,'30 days CF Table(EUR)'!$C$2)</f>
        <v>0</v>
      </c>
      <c r="AY42" s="379">
        <f>SUMIFS(BS_RE33!$H$7:$H$874,BS_RE33!$S$7:$S$874,$AY$2,BS_RE33!$N$7:$N$874,I42,BS_RE33!$P$7:$P$874,'30 days CF Table(EUR)'!G42,BS_RE33!$F$7:$F$874,'30 days CF Table(EUR)'!$C$2)</f>
        <v>0</v>
      </c>
      <c r="AZ42" s="379">
        <f>SUMIFS(BS_RE33!$H$7:$H$874,BS_RE33!$S$7:$S$874,$AZ$2,BS_RE33!$N$7:$N$874,I42,BS_RE33!$P$7:$P$874,'30 days CF Table(EUR)'!G42,BS_RE33!$F$7:$F$874,'30 days CF Table(EUR)'!$C$2)</f>
        <v>0</v>
      </c>
      <c r="BA42" s="379">
        <f>SUMIFS(BS_RE33!$H$7:$H$874,BS_RE33!$S$7:$S$874,$BA$2,BS_RE33!$N$7:$N$874,I42,BS_RE33!$P$7:$P$874,'30 days CF Table(EUR)'!G42,BS_RE33!$F$7:$F$874,'30 days CF Table(EUR)'!$C$2)</f>
        <v>0</v>
      </c>
      <c r="BB42" s="379">
        <f>SUMIFS(BS_RE33!$H$7:$H$874,BS_RE33!$S$7:$S$874,$BB$2,BS_RE33!$N$7:$N$874,I42,BS_RE33!$P$7:$P$874,'30 days CF Table(EUR)'!G42,BS_RE33!$F$7:$F$874,'30 days CF Table(EUR)'!$C$2)</f>
        <v>0</v>
      </c>
      <c r="BC42" s="379">
        <f>SUMIFS(BS_RE33!$H$7:$H$874,BS_RE33!$S$7:$S$874,$BC$2,BS_RE33!$N$7:$N$874,I42,BS_RE33!$P$7:$P$874,'30 days CF Table(EUR)'!G42,BS_RE33!$F$7:$F$874,'30 days CF Table(EUR)'!$C$2)</f>
        <v>0</v>
      </c>
      <c r="BD42" s="379">
        <f>SUMIFS(BS_RE33!$H$7:$H$874,BS_RE33!$S$7:$S$874,$BD$2,BS_RE33!$N$7:$N$874,I42,BS_RE33!$P$7:$P$874,'30 days CF Table(EUR)'!G42,BS_RE33!$F$7:$F$874,'30 days CF Table(EUR)'!$C$2)</f>
        <v>0</v>
      </c>
      <c r="BE42" s="379">
        <f>SUMIFS(BS_RE33!$H$7:$H$874,BS_RE33!$S$7:$S$874,$BE$2,BS_RE33!$N$7:$N$874,I42,BS_RE33!$P$7:$P$874,'30 days CF Table(EUR)'!G42,BS_RE33!$F$7:$F$874,'30 days CF Table(EUR)'!$C$2)</f>
        <v>0</v>
      </c>
      <c r="BF42" s="379">
        <f>SUMIFS(BS_RE33!$H$7:$H$874,BS_RE33!$S$7:$S$874,$BF$2,BS_RE33!$N$7:$N$874,I42,BS_RE33!$P$7:$P$874,'30 days CF Table(EUR)'!G42,BS_RE33!$F$7:$F$874,'30 days CF Table(EUR)'!$C$2)</f>
        <v>0</v>
      </c>
      <c r="BG42" s="379">
        <f>SUMIFS(BS_RE33!$H$7:$H$874,BS_RE33!$S$7:$S$874,$BG$2,BS_RE33!$N$7:$N$874,I42,BS_RE33!$P$7:$P$874,'30 days CF Table(EUR)'!G42,BS_RE33!$F$7:$F$874,'30 days CF Table(EUR)'!$C$2)</f>
        <v>0</v>
      </c>
      <c r="BH42" s="379">
        <f>SUMIFS(BS_RE33!$H$7:$H$874,BS_RE33!$S$7:$S$874,$BH$2,BS_RE33!$N$7:$N$874,I42,BS_RE33!$P$7:$P$874,'30 days CF Table(EUR)'!G42,BS_RE33!$F$7:$F$874,'30 days CF Table(EUR)'!$C$2)</f>
        <v>0</v>
      </c>
      <c r="BI42" s="379">
        <f>SUMIFS(BS_RE33!$H$7:$H$874,BS_RE33!$S$7:$S$874,$BI$2,BS_RE33!$N$7:$N$874,I42,BS_RE33!$P$7:$P$874,'30 days CF Table(EUR)'!G42,BS_RE33!$F$7:$F$874,'30 days CF Table(EUR)'!$C$2)</f>
        <v>0</v>
      </c>
      <c r="BJ42" s="379">
        <f>SUMIFS(BS_RE33!$H$7:$H$874,BS_RE33!$S$7:$S$874,$BJ$2,BS_RE33!$N$7:$N$874,I42,BS_RE33!$P$7:$P$874,'30 days CF Table(EUR)'!G42,BS_RE33!$F$7:$F$874,'30 days CF Table(EUR)'!$C$2)</f>
        <v>0</v>
      </c>
      <c r="BK42" s="379">
        <f>SUMIFS(BS_RE33!$H$7:$H$874,BS_RE33!$S$7:$S$874,$BK$2,BS_RE33!$N$7:$N$874,I42,BS_RE33!$P$7:$P$874,'30 days CF Table(EUR)'!G42,BS_RE33!$F$7:$F$874,'30 days CF Table(EUR)'!$C$2)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Table(EUR)'!G43,BS_RE33!$F$7:$F$874,'30 days CF Table(EUR)'!$C$2)</f>
        <v>0</v>
      </c>
      <c r="M43" s="337">
        <f>SUMIFS(BS_RE33!$H$7:$H$874,BS_RE33!$S$7:$S$874,$M$2,BS_RE33!$N$7:$N$874,I43,BS_RE33!$P$7:$P$874,'30 days CF Table(EUR)'!G43,BS_RE33!$F$7:$F$874,'30 days CF Table(EUR)'!$C$2)</f>
        <v>0</v>
      </c>
      <c r="N43" s="337">
        <f>SUMIFS(BS_RE33!$H$7:$H$874,BS_RE33!$S$7:$S$874,$N$2,BS_RE33!$N$7:$N$874,I43,BS_RE33!$P$7:$P$874,'30 days CF Table(EUR)'!G43,BS_RE33!$F$7:$F$874,'30 days CF Table(EUR)'!$C$2)</f>
        <v>0</v>
      </c>
      <c r="O43" s="337">
        <f>SUMIFS(BS_RE33!$H$7:$H$874,BS_RE33!$S$7:$S$874,$O$2,BS_RE33!$N$7:$N$874,I43,BS_RE33!$P$7:$P$874,'30 days CF Table(EUR)'!G43,BS_RE33!$F$7:$F$874,'30 days CF Table(EUR)'!$C$2)</f>
        <v>0</v>
      </c>
      <c r="P43" s="337">
        <f>SUMIFS(BS_RE33!$H$7:$H$874,BS_RE33!$S$7:$S$874,$P$2,BS_RE33!$N$7:$N$874,I43,BS_RE33!$P$7:$P$874,'30 days CF Table(EUR)'!G43,BS_RE33!$F$7:$F$874,'30 days CF Table(EUR)'!$C$2)</f>
        <v>0</v>
      </c>
      <c r="Q43" s="337">
        <f>SUMIFS(BS_RE33!$H$7:$H$874,BS_RE33!$S$7:$S$874,$Q$2,BS_RE33!$N$7:$N$874,I43,BS_RE33!$P$7:$P$874,'30 days CF Table(EUR)'!G43,BS_RE33!$F$7:$F$874,'30 days CF Table(EUR)'!$C$2)</f>
        <v>0</v>
      </c>
      <c r="R43" s="337">
        <f>SUMIFS(BS_RE33!$H$7:$H$874,BS_RE33!$S$7:$S$874,$R$2,BS_RE33!$N$7:$N$874,I43,BS_RE33!$P$7:$P$874,'30 days CF Table(EUR)'!G43,BS_RE33!$F$7:$F$874,'30 days CF Table(EUR)'!$C$2)</f>
        <v>0</v>
      </c>
      <c r="S43" s="337">
        <f>SUMIFS(BS_RE33!$H$7:$H$874,BS_RE33!$S$7:$S$874,$S$2,BS_RE33!$N$7:$N$874,I43,BS_RE33!$P$7:$P$874,'30 days CF Table(EUR)'!G43,BS_RE33!$F$7:$F$874,'30 days CF Table(EUR)'!$C$2)</f>
        <v>0</v>
      </c>
      <c r="T43" s="337">
        <f>SUMIFS(BS_RE33!$H$7:$H$874,BS_RE33!$S$7:$S$874,$T$2,BS_RE33!$N$7:$N$874,I43,BS_RE33!$P$7:$P$874,'30 days CF Table(EUR)'!G43,BS_RE33!$F$7:$F$874,'30 days CF Table(EUR)'!$C$2)</f>
        <v>0</v>
      </c>
      <c r="U43" s="337">
        <f>SUMIFS(BS_RE33!$H$7:$H$874,BS_RE33!$S$7:$S$874,$U$2,BS_RE33!$N$7:$N$874,I43,BS_RE33!$P$7:$P$874,'30 days CF Table(EUR)'!G43,BS_RE33!$F$7:$F$874,'30 days CF Table(EUR)'!$C$2)</f>
        <v>0</v>
      </c>
      <c r="V43" s="337">
        <f>SUMIFS(BS_RE33!$H$7:$H$874,BS_RE33!$S$7:$S$874,$V$2,BS_RE33!$N$7:$N$874,I43,BS_RE33!$P$7:$P$874,'30 days CF Table(EUR)'!G43,BS_RE33!$F$7:$F$874,'30 days CF Table(EUR)'!$C$2)</f>
        <v>0</v>
      </c>
      <c r="W43" s="337">
        <f>SUMIFS(BS_RE33!$H$7:$H$874,BS_RE33!$S$7:$S$874,$W$2,BS_RE33!$N$7:$N$874,I43,BS_RE33!$P$7:$P$874,'30 days CF Table(EUR)'!G43,BS_RE33!$F$7:$F$874,'30 days CF Table(EUR)'!$C$2)</f>
        <v>0</v>
      </c>
      <c r="X43" s="337">
        <f>SUMIFS(BS_RE33!$H$7:$H$874,BS_RE33!$S$7:$S$874,$X$2,BS_RE33!$N$7:$N$874,I43,BS_RE33!$P$7:$P$874,'30 days CF Table(EUR)'!G43,BS_RE33!$F$7:$F$874,'30 days CF Table(EUR)'!$C$2)</f>
        <v>0</v>
      </c>
      <c r="Y43" s="337">
        <f>SUMIFS(BS_RE33!$H$7:$H$874,BS_RE33!$S$7:$S$874,$Y$2,BS_RE33!$N$7:$N$874,I43,BS_RE33!$P$7:$P$874,'30 days CF Table(EUR)'!G43,BS_RE33!$F$7:$F$874,'30 days CF Table(EUR)'!$C$2)</f>
        <v>0</v>
      </c>
      <c r="Z43" s="337">
        <f>SUMIFS(BS_RE33!$H$7:$H$874,BS_RE33!$S$7:$S$874,$Z$2,BS_RE33!$N$7:$N$874,I43,BS_RE33!$P$7:$P$874,'30 days CF Table(EUR)'!G43,BS_RE33!$F$7:$F$874,'30 days CF Table(EUR)'!$C$2)</f>
        <v>0</v>
      </c>
      <c r="AA43" s="337">
        <f>SUMIFS(BS_RE33!$H$7:$H$874,BS_RE33!$S$7:$S$874,$AA$2,BS_RE33!$N$7:$N$874,I43,BS_RE33!$P$7:$P$874,'30 days CF Table(EUR)'!G43,BS_RE33!$F$7:$F$874,'30 days CF Table(EUR)'!$C$2)</f>
        <v>0</v>
      </c>
      <c r="AB43" s="337">
        <f>SUMIFS(BS_RE33!$H$7:$H$874,BS_RE33!$S$7:$S$874,$AB$2,BS_RE33!$N$7:$N$874,I43,BS_RE33!$P$7:$P$874,'30 days CF Table(EUR)'!G43,BS_RE33!$F$7:$F$874,'30 days CF Table(EUR)'!$C$2)</f>
        <v>0</v>
      </c>
      <c r="AC43" s="337">
        <f>SUMIFS(BS_RE33!$H$7:$H$874,BS_RE33!$S$7:$S$874,$AC$2,BS_RE33!$N$7:$N$874,I43,BS_RE33!$P$7:$P$874,'30 days CF Table(EUR)'!G43,BS_RE33!$F$7:$F$874,'30 days CF Table(EUR)'!$C$2)</f>
        <v>0</v>
      </c>
      <c r="AD43" s="337">
        <f>SUMIFS(BS_RE33!$H$7:$H$874,BS_RE33!$S$7:$S$874,$AD$2,BS_RE33!$N$7:$N$874,I43,BS_RE33!$P$7:$P$874,'30 days CF Table(EUR)'!G43,BS_RE33!$F$7:$F$874,'30 days CF Table(EUR)'!$C$2)</f>
        <v>0</v>
      </c>
      <c r="AE43" s="337">
        <f>SUMIFS(BS_RE33!$H$7:$H$874,BS_RE33!$S$7:$S$874,$AE$2,BS_RE33!$N$7:$N$874,I43,BS_RE33!$P$7:$P$874,'30 days CF Table(EUR)'!G43,BS_RE33!$F$7:$F$874,'30 days CF Table(EUR)'!$C$2)</f>
        <v>0</v>
      </c>
      <c r="AF43" s="337">
        <f>SUMIFS(BS_RE33!$H$7:$H$874,BS_RE33!$S$7:$S$874,$AF$2,BS_RE33!$N$7:$N$874,I43,BS_RE33!$P$7:$P$874,'30 days CF Table(EUR)'!G43,BS_RE33!$F$7:$F$874,'30 days CF Table(EUR)'!$C$2)</f>
        <v>0</v>
      </c>
      <c r="AG43" s="337">
        <f>SUMIFS(BS_RE33!$H$7:$H$874,BS_RE33!$S$7:$S$874,$AG$2,BS_RE33!$N$7:$N$874,I43,BS_RE33!$P$7:$P$874,'30 days CF Table(EUR)'!G43,BS_RE33!$F$7:$F$874,'30 days CF Table(EUR)'!$C$2)</f>
        <v>0</v>
      </c>
      <c r="AH43" s="337">
        <f>SUMIFS(BS_RE33!$H$7:$H$874,BS_RE33!$S$7:$S$874,$AH$2,BS_RE33!$N$7:$N$874,I43,BS_RE33!$P$7:$P$874,'30 days CF Table(EUR)'!G43,BS_RE33!$F$7:$F$874,'30 days CF Table(EUR)'!$C$2)</f>
        <v>0</v>
      </c>
      <c r="AI43" s="337">
        <f>SUMIFS(BS_RE33!$H$7:$H$874,BS_RE33!$S$7:$S$874,$AI$2,BS_RE33!$N$7:$N$874,I43,BS_RE33!$P$7:$P$874,'30 days CF Table(EUR)'!G43,BS_RE33!$F$7:$F$874,'30 days CF Table(EUR)'!$C$2)</f>
        <v>0</v>
      </c>
      <c r="AJ43" s="337">
        <f>SUMIFS(BS_RE33!$H$7:$H$874,BS_RE33!$S$7:$S$874,$AJ$2,BS_RE33!$N$7:$N$874,I43,BS_RE33!$P$7:$P$874,'30 days CF Table(EUR)'!G43,BS_RE33!$F$7:$F$874,'30 days CF Table(EUR)'!$C$2)</f>
        <v>0</v>
      </c>
      <c r="AK43" s="337">
        <f>SUMIFS(BS_RE33!$H$7:$H$874,BS_RE33!$S$7:$S$874,$AK$2,BS_RE33!$N$7:$N$874,I43,BS_RE33!$P$7:$P$874,'30 days CF Table(EUR)'!G43,BS_RE33!$F$7:$F$874,'30 days CF Table(EUR)'!$C$2)</f>
        <v>0</v>
      </c>
      <c r="AL43" s="337">
        <f>SUMIFS(BS_RE33!$H$7:$H$874,BS_RE33!$S$7:$S$874,$AL$2,BS_RE33!$N$7:$N$874,I43,BS_RE33!$P$7:$P$874,'30 days CF Table(EUR)'!G43,BS_RE33!$F$7:$F$874,'30 days CF Table(EUR)'!$C$2)</f>
        <v>0</v>
      </c>
      <c r="AM43" s="337">
        <f>SUMIFS(BS_RE33!$H$7:$H$874,BS_RE33!$S$7:$S$874,$AM$2,BS_RE33!$N$7:$N$874,I43,BS_RE33!$P$7:$P$874,'30 days CF Table(EUR)'!G43,BS_RE33!$F$7:$F$874,'30 days CF Table(EUR)'!$C$2)</f>
        <v>0</v>
      </c>
      <c r="AN43" s="337">
        <f>SUMIFS(BS_RE33!$H$7:$H$874,BS_RE33!$S$7:$S$874,$AN$2,BS_RE33!$N$7:$N$874,I43,BS_RE33!$P$7:$P$874,'30 days CF Table(EUR)'!G43,BS_RE33!$F$7:$F$874,'30 days CF Table(EUR)'!$C$2)</f>
        <v>0</v>
      </c>
      <c r="AO43" s="337">
        <f>SUMIFS(BS_RE33!$H$7:$H$874,BS_RE33!$S$7:$S$874,$AO$2,BS_RE33!$N$7:$N$874,I43,BS_RE33!$P$7:$P$874,'30 days CF Table(EUR)'!G43,BS_RE33!$F$7:$F$874,'30 days CF Table(EUR)'!$C$2)</f>
        <v>0</v>
      </c>
      <c r="AP43" s="338">
        <f>SUMIFS(BS_RE33!$H$7:$H$874,BS_RE33!$S$7:$S$874,$AP$2,BS_RE33!$N$7:$N$874,I43,BS_RE33!$P$7:$P$874,'30 days CF Table(EUR)'!G43,BS_RE33!$F$7:$F$874,'30 days CF Table(EUR)'!$C$2)</f>
        <v>0</v>
      </c>
      <c r="AR43" s="379">
        <f>SUMIFS(BS_RE33!$H$7:$H$874,BS_RE33!$S$7:$S$874,$AR$2,BS_RE33!$N$7:$N$874,I43,BS_RE33!$P$7:$P$874,'30 days CF Table(EUR)'!G43,BS_RE33!$F$7:$F$874,'30 days CF Table(EUR)'!$C$2)</f>
        <v>0</v>
      </c>
      <c r="AS43" s="379">
        <f>SUMIFS(BS_RE33!$H$7:$H$874,BS_RE33!$S$7:$S$874,$AS$2,BS_RE33!$N$7:$N$874,I43,BS_RE33!$P$7:$P$874,'30 days CF Table(EUR)'!G43,BS_RE33!$F$7:$F$874,'30 days CF Table(EUR)'!$C$2)</f>
        <v>0</v>
      </c>
      <c r="AT43" s="379">
        <f>SUMIFS(BS_RE33!$H$7:$H$874,BS_RE33!$S$7:$S$874,$AT$2,BS_RE33!$N$7:$N$874,I43,BS_RE33!$P$7:$P$874,'30 days CF Table(EUR)'!G43,BS_RE33!$F$7:$F$874,'30 days CF Table(EUR)'!$C$2)</f>
        <v>0</v>
      </c>
      <c r="AU43" s="379">
        <f>SUMIFS(BS_RE33!$H$7:$H$874,BS_RE33!$S$7:$S$874,$AU$2,BS_RE33!$N$7:$N$874,I43,BS_RE33!$P$7:$P$874,'30 days CF Table(EUR)'!G43,BS_RE33!$F$7:$F$874,'30 days CF Table(EUR)'!$C$2)</f>
        <v>0</v>
      </c>
      <c r="AV43" s="379">
        <f>SUMIFS(BS_RE33!$H$7:$H$874,BS_RE33!$S$7:$S$874,$AV$2,BS_RE33!$N$7:$N$874,I43,BS_RE33!$P$7:$P$874,'30 days CF Table(EUR)'!G43,BS_RE33!$F$7:$F$874,'30 days CF Table(EUR)'!$C$2)</f>
        <v>0</v>
      </c>
      <c r="AW43" s="379">
        <f>SUMIFS(BS_RE33!$H$7:$H$874,BS_RE33!$S$7:$S$874,$AW$2,BS_RE33!$N$7:$N$874,I43,BS_RE33!$P$7:$P$874,'30 days CF Table(EUR)'!G43,BS_RE33!$F$7:$F$874,'30 days CF Table(EUR)'!$C$2)</f>
        <v>0</v>
      </c>
      <c r="AX43" s="379">
        <f>SUMIFS(BS_RE33!$H$7:$H$874,BS_RE33!$S$7:$S$874,$AX$2,BS_RE33!$N$7:$N$874,I43,BS_RE33!$P$7:$P$874,'30 days CF Table(EUR)'!G43,BS_RE33!$F$7:$F$874,'30 days CF Table(EUR)'!$C$2)</f>
        <v>0</v>
      </c>
      <c r="AY43" s="379">
        <f>SUMIFS(BS_RE33!$H$7:$H$874,BS_RE33!$S$7:$S$874,$AY$2,BS_RE33!$N$7:$N$874,I43,BS_RE33!$P$7:$P$874,'30 days CF Table(EUR)'!G43,BS_RE33!$F$7:$F$874,'30 days CF Table(EUR)'!$C$2)</f>
        <v>0</v>
      </c>
      <c r="AZ43" s="379">
        <f>SUMIFS(BS_RE33!$H$7:$H$874,BS_RE33!$S$7:$S$874,$AZ$2,BS_RE33!$N$7:$N$874,I43,BS_RE33!$P$7:$P$874,'30 days CF Table(EUR)'!G43,BS_RE33!$F$7:$F$874,'30 days CF Table(EUR)'!$C$2)</f>
        <v>0</v>
      </c>
      <c r="BA43" s="379">
        <f>SUMIFS(BS_RE33!$H$7:$H$874,BS_RE33!$S$7:$S$874,$BA$2,BS_RE33!$N$7:$N$874,I43,BS_RE33!$P$7:$P$874,'30 days CF Table(EUR)'!G43,BS_RE33!$F$7:$F$874,'30 days CF Table(EUR)'!$C$2)</f>
        <v>0</v>
      </c>
      <c r="BB43" s="379">
        <f>SUMIFS(BS_RE33!$H$7:$H$874,BS_RE33!$S$7:$S$874,$BB$2,BS_RE33!$N$7:$N$874,I43,BS_RE33!$P$7:$P$874,'30 days CF Table(EUR)'!G43,BS_RE33!$F$7:$F$874,'30 days CF Table(EUR)'!$C$2)</f>
        <v>0</v>
      </c>
      <c r="BC43" s="379">
        <f>SUMIFS(BS_RE33!$H$7:$H$874,BS_RE33!$S$7:$S$874,$BC$2,BS_RE33!$N$7:$N$874,I43,BS_RE33!$P$7:$P$874,'30 days CF Table(EUR)'!G43,BS_RE33!$F$7:$F$874,'30 days CF Table(EUR)'!$C$2)</f>
        <v>0</v>
      </c>
      <c r="BD43" s="379">
        <f>SUMIFS(BS_RE33!$H$7:$H$874,BS_RE33!$S$7:$S$874,$BD$2,BS_RE33!$N$7:$N$874,I43,BS_RE33!$P$7:$P$874,'30 days CF Table(EUR)'!G43,BS_RE33!$F$7:$F$874,'30 days CF Table(EUR)'!$C$2)</f>
        <v>0</v>
      </c>
      <c r="BE43" s="379">
        <f>SUMIFS(BS_RE33!$H$7:$H$874,BS_RE33!$S$7:$S$874,$BE$2,BS_RE33!$N$7:$N$874,I43,BS_RE33!$P$7:$P$874,'30 days CF Table(EUR)'!G43,BS_RE33!$F$7:$F$874,'30 days CF Table(EUR)'!$C$2)</f>
        <v>0</v>
      </c>
      <c r="BF43" s="379">
        <f>SUMIFS(BS_RE33!$H$7:$H$874,BS_RE33!$S$7:$S$874,$BF$2,BS_RE33!$N$7:$N$874,I43,BS_RE33!$P$7:$P$874,'30 days CF Table(EUR)'!G43,BS_RE33!$F$7:$F$874,'30 days CF Table(EUR)'!$C$2)</f>
        <v>0</v>
      </c>
      <c r="BG43" s="379">
        <f>SUMIFS(BS_RE33!$H$7:$H$874,BS_RE33!$S$7:$S$874,$BG$2,BS_RE33!$N$7:$N$874,I43,BS_RE33!$P$7:$P$874,'30 days CF Table(EUR)'!G43,BS_RE33!$F$7:$F$874,'30 days CF Table(EUR)'!$C$2)</f>
        <v>0</v>
      </c>
      <c r="BH43" s="379">
        <f>SUMIFS(BS_RE33!$H$7:$H$874,BS_RE33!$S$7:$S$874,$BH$2,BS_RE33!$N$7:$N$874,I43,BS_RE33!$P$7:$P$874,'30 days CF Table(EUR)'!G43,BS_RE33!$F$7:$F$874,'30 days CF Table(EUR)'!$C$2)</f>
        <v>0</v>
      </c>
      <c r="BI43" s="379">
        <f>SUMIFS(BS_RE33!$H$7:$H$874,BS_RE33!$S$7:$S$874,$BI$2,BS_RE33!$N$7:$N$874,I43,BS_RE33!$P$7:$P$874,'30 days CF Table(EUR)'!G43,BS_RE33!$F$7:$F$874,'30 days CF Table(EUR)'!$C$2)</f>
        <v>0</v>
      </c>
      <c r="BJ43" s="379">
        <f>SUMIFS(BS_RE33!$H$7:$H$874,BS_RE33!$S$7:$S$874,$BJ$2,BS_RE33!$N$7:$N$874,I43,BS_RE33!$P$7:$P$874,'30 days CF Table(EUR)'!G43,BS_RE33!$F$7:$F$874,'30 days CF Table(EUR)'!$C$2)</f>
        <v>0</v>
      </c>
      <c r="BK43" s="379">
        <f>SUMIFS(BS_RE33!$H$7:$H$874,BS_RE33!$S$7:$S$874,$BK$2,BS_RE33!$N$7:$N$874,I43,BS_RE33!$P$7:$P$874,'30 days CF Table(EUR)'!G43,BS_RE33!$F$7:$F$874,'30 days CF Table(EUR)'!$C$2)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Table(EUR)'!G44,BS_RE33!$F$7:$F$874,'30 days CF Table(EUR)'!$C$2)</f>
        <v>0</v>
      </c>
      <c r="M44" s="337">
        <f>SUMIFS(BS_RE33!$H$7:$H$874,BS_RE33!$S$7:$S$874,$M$2,BS_RE33!$N$7:$N$874,I44,BS_RE33!$P$7:$P$874,'30 days CF Table(EUR)'!G44,BS_RE33!$F$7:$F$874,'30 days CF Table(EUR)'!$C$2)</f>
        <v>0</v>
      </c>
      <c r="N44" s="337">
        <f>SUMIFS(BS_RE33!$H$7:$H$874,BS_RE33!$S$7:$S$874,$N$2,BS_RE33!$N$7:$N$874,I44,BS_RE33!$P$7:$P$874,'30 days CF Table(EUR)'!G44,BS_RE33!$F$7:$F$874,'30 days CF Table(EUR)'!$C$2)</f>
        <v>0</v>
      </c>
      <c r="O44" s="337">
        <f>SUMIFS(BS_RE33!$H$7:$H$874,BS_RE33!$S$7:$S$874,$O$2,BS_RE33!$N$7:$N$874,I44,BS_RE33!$P$7:$P$874,'30 days CF Table(EUR)'!G44,BS_RE33!$F$7:$F$874,'30 days CF Table(EUR)'!$C$2)</f>
        <v>0</v>
      </c>
      <c r="P44" s="337">
        <f>SUMIFS(BS_RE33!$H$7:$H$874,BS_RE33!$S$7:$S$874,$P$2,BS_RE33!$N$7:$N$874,I44,BS_RE33!$P$7:$P$874,'30 days CF Table(EUR)'!G44,BS_RE33!$F$7:$F$874,'30 days CF Table(EUR)'!$C$2)</f>
        <v>0</v>
      </c>
      <c r="Q44" s="337">
        <f>SUMIFS(BS_RE33!$H$7:$H$874,BS_RE33!$S$7:$S$874,$Q$2,BS_RE33!$N$7:$N$874,I44,BS_RE33!$P$7:$P$874,'30 days CF Table(EUR)'!G44,BS_RE33!$F$7:$F$874,'30 days CF Table(EUR)'!$C$2)</f>
        <v>0</v>
      </c>
      <c r="R44" s="337">
        <f>SUMIFS(BS_RE33!$H$7:$H$874,BS_RE33!$S$7:$S$874,$R$2,BS_RE33!$N$7:$N$874,I44,BS_RE33!$P$7:$P$874,'30 days CF Table(EUR)'!G44,BS_RE33!$F$7:$F$874,'30 days CF Table(EUR)'!$C$2)</f>
        <v>0</v>
      </c>
      <c r="S44" s="337">
        <f>SUMIFS(BS_RE33!$H$7:$H$874,BS_RE33!$S$7:$S$874,$S$2,BS_RE33!$N$7:$N$874,I44,BS_RE33!$P$7:$P$874,'30 days CF Table(EUR)'!G44,BS_RE33!$F$7:$F$874,'30 days CF Table(EUR)'!$C$2)</f>
        <v>0</v>
      </c>
      <c r="T44" s="337">
        <f>SUMIFS(BS_RE33!$H$7:$H$874,BS_RE33!$S$7:$S$874,$T$2,BS_RE33!$N$7:$N$874,I44,BS_RE33!$P$7:$P$874,'30 days CF Table(EUR)'!G44,BS_RE33!$F$7:$F$874,'30 days CF Table(EUR)'!$C$2)</f>
        <v>0</v>
      </c>
      <c r="U44" s="337">
        <f>SUMIFS(BS_RE33!$H$7:$H$874,BS_RE33!$S$7:$S$874,$U$2,BS_RE33!$N$7:$N$874,I44,BS_RE33!$P$7:$P$874,'30 days CF Table(EUR)'!G44,BS_RE33!$F$7:$F$874,'30 days CF Table(EUR)'!$C$2)</f>
        <v>0</v>
      </c>
      <c r="V44" s="337">
        <f>SUMIFS(BS_RE33!$H$7:$H$874,BS_RE33!$S$7:$S$874,$V$2,BS_RE33!$N$7:$N$874,I44,BS_RE33!$P$7:$P$874,'30 days CF Table(EUR)'!G44,BS_RE33!$F$7:$F$874,'30 days CF Table(EUR)'!$C$2)</f>
        <v>0</v>
      </c>
      <c r="W44" s="337">
        <f>SUMIFS(BS_RE33!$H$7:$H$874,BS_RE33!$S$7:$S$874,$W$2,BS_RE33!$N$7:$N$874,I44,BS_RE33!$P$7:$P$874,'30 days CF Table(EUR)'!G44,BS_RE33!$F$7:$F$874,'30 days CF Table(EUR)'!$C$2)</f>
        <v>0</v>
      </c>
      <c r="X44" s="337">
        <f>SUMIFS(BS_RE33!$H$7:$H$874,BS_RE33!$S$7:$S$874,$X$2,BS_RE33!$N$7:$N$874,I44,BS_RE33!$P$7:$P$874,'30 days CF Table(EUR)'!G44,BS_RE33!$F$7:$F$874,'30 days CF Table(EUR)'!$C$2)</f>
        <v>0</v>
      </c>
      <c r="Y44" s="337">
        <f>SUMIFS(BS_RE33!$H$7:$H$874,BS_RE33!$S$7:$S$874,$Y$2,BS_RE33!$N$7:$N$874,I44,BS_RE33!$P$7:$P$874,'30 days CF Table(EUR)'!G44,BS_RE33!$F$7:$F$874,'30 days CF Table(EUR)'!$C$2)</f>
        <v>0</v>
      </c>
      <c r="Z44" s="337">
        <f>SUMIFS(BS_RE33!$H$7:$H$874,BS_RE33!$S$7:$S$874,$Z$2,BS_RE33!$N$7:$N$874,I44,BS_RE33!$P$7:$P$874,'30 days CF Table(EUR)'!G44,BS_RE33!$F$7:$F$874,'30 days CF Table(EUR)'!$C$2)</f>
        <v>0</v>
      </c>
      <c r="AA44" s="337">
        <f>SUMIFS(BS_RE33!$H$7:$H$874,BS_RE33!$S$7:$S$874,$AA$2,BS_RE33!$N$7:$N$874,I44,BS_RE33!$P$7:$P$874,'30 days CF Table(EUR)'!G44,BS_RE33!$F$7:$F$874,'30 days CF Table(EUR)'!$C$2)</f>
        <v>0</v>
      </c>
      <c r="AB44" s="337">
        <f>SUMIFS(BS_RE33!$H$7:$H$874,BS_RE33!$S$7:$S$874,$AB$2,BS_RE33!$N$7:$N$874,I44,BS_RE33!$P$7:$P$874,'30 days CF Table(EUR)'!G44,BS_RE33!$F$7:$F$874,'30 days CF Table(EUR)'!$C$2)</f>
        <v>0</v>
      </c>
      <c r="AC44" s="337">
        <f>SUMIFS(BS_RE33!$H$7:$H$874,BS_RE33!$S$7:$S$874,$AC$2,BS_RE33!$N$7:$N$874,I44,BS_RE33!$P$7:$P$874,'30 days CF Table(EUR)'!G44,BS_RE33!$F$7:$F$874,'30 days CF Table(EUR)'!$C$2)</f>
        <v>0</v>
      </c>
      <c r="AD44" s="337">
        <f>SUMIFS(BS_RE33!$H$7:$H$874,BS_RE33!$S$7:$S$874,$AD$2,BS_RE33!$N$7:$N$874,I44,BS_RE33!$P$7:$P$874,'30 days CF Table(EUR)'!G44,BS_RE33!$F$7:$F$874,'30 days CF Table(EUR)'!$C$2)</f>
        <v>0</v>
      </c>
      <c r="AE44" s="337">
        <f>SUMIFS(BS_RE33!$H$7:$H$874,BS_RE33!$S$7:$S$874,$AE$2,BS_RE33!$N$7:$N$874,I44,BS_RE33!$P$7:$P$874,'30 days CF Table(EUR)'!G44,BS_RE33!$F$7:$F$874,'30 days CF Table(EUR)'!$C$2)</f>
        <v>0</v>
      </c>
      <c r="AF44" s="337">
        <f>SUMIFS(BS_RE33!$H$7:$H$874,BS_RE33!$S$7:$S$874,$AF$2,BS_RE33!$N$7:$N$874,I44,BS_RE33!$P$7:$P$874,'30 days CF Table(EUR)'!G44,BS_RE33!$F$7:$F$874,'30 days CF Table(EUR)'!$C$2)</f>
        <v>0</v>
      </c>
      <c r="AG44" s="337">
        <f>SUMIFS(BS_RE33!$H$7:$H$874,BS_RE33!$S$7:$S$874,$AG$2,BS_RE33!$N$7:$N$874,I44,BS_RE33!$P$7:$P$874,'30 days CF Table(EUR)'!G44,BS_RE33!$F$7:$F$874,'30 days CF Table(EUR)'!$C$2)</f>
        <v>0</v>
      </c>
      <c r="AH44" s="337">
        <f>SUMIFS(BS_RE33!$H$7:$H$874,BS_RE33!$S$7:$S$874,$AH$2,BS_RE33!$N$7:$N$874,I44,BS_RE33!$P$7:$P$874,'30 days CF Table(EUR)'!G44,BS_RE33!$F$7:$F$874,'30 days CF Table(EUR)'!$C$2)</f>
        <v>0</v>
      </c>
      <c r="AI44" s="337">
        <f>SUMIFS(BS_RE33!$H$7:$H$874,BS_RE33!$S$7:$S$874,$AI$2,BS_RE33!$N$7:$N$874,I44,BS_RE33!$P$7:$P$874,'30 days CF Table(EUR)'!G44,BS_RE33!$F$7:$F$874,'30 days CF Table(EUR)'!$C$2)</f>
        <v>0</v>
      </c>
      <c r="AJ44" s="337">
        <f>SUMIFS(BS_RE33!$H$7:$H$874,BS_RE33!$S$7:$S$874,$AJ$2,BS_RE33!$N$7:$N$874,I44,BS_RE33!$P$7:$P$874,'30 days CF Table(EUR)'!G44,BS_RE33!$F$7:$F$874,'30 days CF Table(EUR)'!$C$2)</f>
        <v>0</v>
      </c>
      <c r="AK44" s="337">
        <f>SUMIFS(BS_RE33!$H$7:$H$874,BS_RE33!$S$7:$S$874,$AK$2,BS_RE33!$N$7:$N$874,I44,BS_RE33!$P$7:$P$874,'30 days CF Table(EUR)'!G44,BS_RE33!$F$7:$F$874,'30 days CF Table(EUR)'!$C$2)</f>
        <v>0</v>
      </c>
      <c r="AL44" s="337">
        <f>SUMIFS(BS_RE33!$H$7:$H$874,BS_RE33!$S$7:$S$874,$AL$2,BS_RE33!$N$7:$N$874,I44,BS_RE33!$P$7:$P$874,'30 days CF Table(EUR)'!G44,BS_RE33!$F$7:$F$874,'30 days CF Table(EUR)'!$C$2)</f>
        <v>0</v>
      </c>
      <c r="AM44" s="337">
        <f>SUMIFS(BS_RE33!$H$7:$H$874,BS_RE33!$S$7:$S$874,$AM$2,BS_RE33!$N$7:$N$874,I44,BS_RE33!$P$7:$P$874,'30 days CF Table(EUR)'!G44,BS_RE33!$F$7:$F$874,'30 days CF Table(EUR)'!$C$2)</f>
        <v>0</v>
      </c>
      <c r="AN44" s="337">
        <f>SUMIFS(BS_RE33!$H$7:$H$874,BS_RE33!$S$7:$S$874,$AN$2,BS_RE33!$N$7:$N$874,I44,BS_RE33!$P$7:$P$874,'30 days CF Table(EUR)'!G44,BS_RE33!$F$7:$F$874,'30 days CF Table(EUR)'!$C$2)</f>
        <v>0</v>
      </c>
      <c r="AO44" s="337">
        <f>SUMIFS(BS_RE33!$H$7:$H$874,BS_RE33!$S$7:$S$874,$AO$2,BS_RE33!$N$7:$N$874,I44,BS_RE33!$P$7:$P$874,'30 days CF Table(EUR)'!G44,BS_RE33!$F$7:$F$874,'30 days CF Table(EUR)'!$C$2)</f>
        <v>0</v>
      </c>
      <c r="AP44" s="338">
        <f>SUMIFS(BS_RE33!$H$7:$H$874,BS_RE33!$S$7:$S$874,$AP$2,BS_RE33!$N$7:$N$874,I44,BS_RE33!$P$7:$P$874,'30 days CF Table(EUR)'!G44,BS_RE33!$F$7:$F$874,'30 days CF Table(EUR)'!$C$2)</f>
        <v>0</v>
      </c>
      <c r="AR44" s="379">
        <f>SUMIFS(BS_RE33!$H$7:$H$874,BS_RE33!$S$7:$S$874,$AR$2,BS_RE33!$N$7:$N$874,I44,BS_RE33!$P$7:$P$874,'30 days CF Table(EUR)'!G44,BS_RE33!$F$7:$F$874,'30 days CF Table(EUR)'!$C$2)</f>
        <v>0</v>
      </c>
      <c r="AS44" s="379">
        <f>SUMIFS(BS_RE33!$H$7:$H$874,BS_RE33!$S$7:$S$874,$AS$2,BS_RE33!$N$7:$N$874,I44,BS_RE33!$P$7:$P$874,'30 days CF Table(EUR)'!G44,BS_RE33!$F$7:$F$874,'30 days CF Table(EUR)'!$C$2)</f>
        <v>0</v>
      </c>
      <c r="AT44" s="379">
        <f>SUMIFS(BS_RE33!$H$7:$H$874,BS_RE33!$S$7:$S$874,$AT$2,BS_RE33!$N$7:$N$874,I44,BS_RE33!$P$7:$P$874,'30 days CF Table(EUR)'!G44,BS_RE33!$F$7:$F$874,'30 days CF Table(EUR)'!$C$2)</f>
        <v>0</v>
      </c>
      <c r="AU44" s="379">
        <f>SUMIFS(BS_RE33!$H$7:$H$874,BS_RE33!$S$7:$S$874,$AU$2,BS_RE33!$N$7:$N$874,I44,BS_RE33!$P$7:$P$874,'30 days CF Table(EUR)'!G44,BS_RE33!$F$7:$F$874,'30 days CF Table(EUR)'!$C$2)</f>
        <v>0</v>
      </c>
      <c r="AV44" s="379">
        <f>SUMIFS(BS_RE33!$H$7:$H$874,BS_RE33!$S$7:$S$874,$AV$2,BS_RE33!$N$7:$N$874,I44,BS_RE33!$P$7:$P$874,'30 days CF Table(EUR)'!G44,BS_RE33!$F$7:$F$874,'30 days CF Table(EUR)'!$C$2)</f>
        <v>0</v>
      </c>
      <c r="AW44" s="379">
        <f>SUMIFS(BS_RE33!$H$7:$H$874,BS_RE33!$S$7:$S$874,$AW$2,BS_RE33!$N$7:$N$874,I44,BS_RE33!$P$7:$P$874,'30 days CF Table(EUR)'!G44,BS_RE33!$F$7:$F$874,'30 days CF Table(EUR)'!$C$2)</f>
        <v>0</v>
      </c>
      <c r="AX44" s="379">
        <f>SUMIFS(BS_RE33!$H$7:$H$874,BS_RE33!$S$7:$S$874,$AX$2,BS_RE33!$N$7:$N$874,I44,BS_RE33!$P$7:$P$874,'30 days CF Table(EUR)'!G44,BS_RE33!$F$7:$F$874,'30 days CF Table(EUR)'!$C$2)</f>
        <v>0</v>
      </c>
      <c r="AY44" s="379">
        <f>SUMIFS(BS_RE33!$H$7:$H$874,BS_RE33!$S$7:$S$874,$AY$2,BS_RE33!$N$7:$N$874,I44,BS_RE33!$P$7:$P$874,'30 days CF Table(EUR)'!G44,BS_RE33!$F$7:$F$874,'30 days CF Table(EUR)'!$C$2)</f>
        <v>0</v>
      </c>
      <c r="AZ44" s="379">
        <f>SUMIFS(BS_RE33!$H$7:$H$874,BS_RE33!$S$7:$S$874,$AZ$2,BS_RE33!$N$7:$N$874,I44,BS_RE33!$P$7:$P$874,'30 days CF Table(EUR)'!G44,BS_RE33!$F$7:$F$874,'30 days CF Table(EUR)'!$C$2)</f>
        <v>0</v>
      </c>
      <c r="BA44" s="379">
        <f>SUMIFS(BS_RE33!$H$7:$H$874,BS_RE33!$S$7:$S$874,$BA$2,BS_RE33!$N$7:$N$874,I44,BS_RE33!$P$7:$P$874,'30 days CF Table(EUR)'!G44,BS_RE33!$F$7:$F$874,'30 days CF Table(EUR)'!$C$2)</f>
        <v>0</v>
      </c>
      <c r="BB44" s="379">
        <f>SUMIFS(BS_RE33!$H$7:$H$874,BS_RE33!$S$7:$S$874,$BB$2,BS_RE33!$N$7:$N$874,I44,BS_RE33!$P$7:$P$874,'30 days CF Table(EUR)'!G44,BS_RE33!$F$7:$F$874,'30 days CF Table(EUR)'!$C$2)</f>
        <v>0</v>
      </c>
      <c r="BC44" s="379">
        <f>SUMIFS(BS_RE33!$H$7:$H$874,BS_RE33!$S$7:$S$874,$BC$2,BS_RE33!$N$7:$N$874,I44,BS_RE33!$P$7:$P$874,'30 days CF Table(EUR)'!G44,BS_RE33!$F$7:$F$874,'30 days CF Table(EUR)'!$C$2)</f>
        <v>0</v>
      </c>
      <c r="BD44" s="379">
        <f>SUMIFS(BS_RE33!$H$7:$H$874,BS_RE33!$S$7:$S$874,$BD$2,BS_RE33!$N$7:$N$874,I44,BS_RE33!$P$7:$P$874,'30 days CF Table(EUR)'!G44,BS_RE33!$F$7:$F$874,'30 days CF Table(EUR)'!$C$2)</f>
        <v>0</v>
      </c>
      <c r="BE44" s="379">
        <f>SUMIFS(BS_RE33!$H$7:$H$874,BS_RE33!$S$7:$S$874,$BE$2,BS_RE33!$N$7:$N$874,I44,BS_RE33!$P$7:$P$874,'30 days CF Table(EUR)'!G44,BS_RE33!$F$7:$F$874,'30 days CF Table(EUR)'!$C$2)</f>
        <v>0</v>
      </c>
      <c r="BF44" s="379">
        <f>SUMIFS(BS_RE33!$H$7:$H$874,BS_RE33!$S$7:$S$874,$BF$2,BS_RE33!$N$7:$N$874,I44,BS_RE33!$P$7:$P$874,'30 days CF Table(EUR)'!G44,BS_RE33!$F$7:$F$874,'30 days CF Table(EUR)'!$C$2)</f>
        <v>0</v>
      </c>
      <c r="BG44" s="379">
        <f>SUMIFS(BS_RE33!$H$7:$H$874,BS_RE33!$S$7:$S$874,$BG$2,BS_RE33!$N$7:$N$874,I44,BS_RE33!$P$7:$P$874,'30 days CF Table(EUR)'!G44,BS_RE33!$F$7:$F$874,'30 days CF Table(EUR)'!$C$2)</f>
        <v>0</v>
      </c>
      <c r="BH44" s="379">
        <f>SUMIFS(BS_RE33!$H$7:$H$874,BS_RE33!$S$7:$S$874,$BH$2,BS_RE33!$N$7:$N$874,I44,BS_RE33!$P$7:$P$874,'30 days CF Table(EUR)'!G44,BS_RE33!$F$7:$F$874,'30 days CF Table(EUR)'!$C$2)</f>
        <v>0</v>
      </c>
      <c r="BI44" s="379">
        <f>SUMIFS(BS_RE33!$H$7:$H$874,BS_RE33!$S$7:$S$874,$BI$2,BS_RE33!$N$7:$N$874,I44,BS_RE33!$P$7:$P$874,'30 days CF Table(EUR)'!G44,BS_RE33!$F$7:$F$874,'30 days CF Table(EUR)'!$C$2)</f>
        <v>0</v>
      </c>
      <c r="BJ44" s="379">
        <f>SUMIFS(BS_RE33!$H$7:$H$874,BS_RE33!$S$7:$S$874,$BJ$2,BS_RE33!$N$7:$N$874,I44,BS_RE33!$P$7:$P$874,'30 days CF Table(EUR)'!G44,BS_RE33!$F$7:$F$874,'30 days CF Table(EUR)'!$C$2)</f>
        <v>0</v>
      </c>
      <c r="BK44" s="379">
        <f>SUMIFS(BS_RE33!$H$7:$H$874,BS_RE33!$S$7:$S$874,$BK$2,BS_RE33!$N$7:$N$874,I44,BS_RE33!$P$7:$P$874,'30 days CF Table(EUR)'!G44,BS_RE33!$F$7:$F$874,'30 days CF Table(EUR)'!$C$2)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Table(EUR)'!G45,BS_RE33!$F$7:$F$874,'30 days CF Table(EUR)'!$C$2)</f>
        <v>0</v>
      </c>
      <c r="M45" s="337">
        <f>SUMIFS(BS_RE33!$H$7:$H$874,BS_RE33!$S$7:$S$874,$M$2,BS_RE33!$N$7:$N$874,I45,BS_RE33!$P$7:$P$874,'30 days CF Table(EUR)'!G45,BS_RE33!$F$7:$F$874,'30 days CF Table(EUR)'!$C$2)</f>
        <v>0</v>
      </c>
      <c r="N45" s="337">
        <f>SUMIFS(BS_RE33!$H$7:$H$874,BS_RE33!$S$7:$S$874,$N$2,BS_RE33!$N$7:$N$874,I45,BS_RE33!$P$7:$P$874,'30 days CF Table(EUR)'!G45,BS_RE33!$F$7:$F$874,'30 days CF Table(EUR)'!$C$2)</f>
        <v>0</v>
      </c>
      <c r="O45" s="337">
        <f>SUMIFS(BS_RE33!$H$7:$H$874,BS_RE33!$S$7:$S$874,$O$2,BS_RE33!$N$7:$N$874,I45,BS_RE33!$P$7:$P$874,'30 days CF Table(EUR)'!G45,BS_RE33!$F$7:$F$874,'30 days CF Table(EUR)'!$C$2)</f>
        <v>0</v>
      </c>
      <c r="P45" s="337">
        <f>SUMIFS(BS_RE33!$H$7:$H$874,BS_RE33!$S$7:$S$874,$P$2,BS_RE33!$N$7:$N$874,I45,BS_RE33!$P$7:$P$874,'30 days CF Table(EUR)'!G45,BS_RE33!$F$7:$F$874,'30 days CF Table(EUR)'!$C$2)</f>
        <v>0</v>
      </c>
      <c r="Q45" s="337">
        <f>SUMIFS(BS_RE33!$H$7:$H$874,BS_RE33!$S$7:$S$874,$Q$2,BS_RE33!$N$7:$N$874,I45,BS_RE33!$P$7:$P$874,'30 days CF Table(EUR)'!G45,BS_RE33!$F$7:$F$874,'30 days CF Table(EUR)'!$C$2)</f>
        <v>0</v>
      </c>
      <c r="R45" s="337">
        <f>SUMIFS(BS_RE33!$H$7:$H$874,BS_RE33!$S$7:$S$874,$R$2,BS_RE33!$N$7:$N$874,I45,BS_RE33!$P$7:$P$874,'30 days CF Table(EUR)'!G45,BS_RE33!$F$7:$F$874,'30 days CF Table(EUR)'!$C$2)</f>
        <v>0</v>
      </c>
      <c r="S45" s="337">
        <f>SUMIFS(BS_RE33!$H$7:$H$874,BS_RE33!$S$7:$S$874,$S$2,BS_RE33!$N$7:$N$874,I45,BS_RE33!$P$7:$P$874,'30 days CF Table(EUR)'!G45,BS_RE33!$F$7:$F$874,'30 days CF Table(EUR)'!$C$2)</f>
        <v>0</v>
      </c>
      <c r="T45" s="337">
        <f>SUMIFS(BS_RE33!$H$7:$H$874,BS_RE33!$S$7:$S$874,$T$2,BS_RE33!$N$7:$N$874,I45,BS_RE33!$P$7:$P$874,'30 days CF Table(EUR)'!G45,BS_RE33!$F$7:$F$874,'30 days CF Table(EUR)'!$C$2)</f>
        <v>0</v>
      </c>
      <c r="U45" s="337">
        <f>SUMIFS(BS_RE33!$H$7:$H$874,BS_RE33!$S$7:$S$874,$U$2,BS_RE33!$N$7:$N$874,I45,BS_RE33!$P$7:$P$874,'30 days CF Table(EUR)'!G45,BS_RE33!$F$7:$F$874,'30 days CF Table(EUR)'!$C$2)</f>
        <v>0</v>
      </c>
      <c r="V45" s="337">
        <f>SUMIFS(BS_RE33!$H$7:$H$874,BS_RE33!$S$7:$S$874,$V$2,BS_RE33!$N$7:$N$874,I45,BS_RE33!$P$7:$P$874,'30 days CF Table(EUR)'!G45,BS_RE33!$F$7:$F$874,'30 days CF Table(EUR)'!$C$2)</f>
        <v>0</v>
      </c>
      <c r="W45" s="337">
        <f>SUMIFS(BS_RE33!$H$7:$H$874,BS_RE33!$S$7:$S$874,$W$2,BS_RE33!$N$7:$N$874,I45,BS_RE33!$P$7:$P$874,'30 days CF Table(EUR)'!G45,BS_RE33!$F$7:$F$874,'30 days CF Table(EUR)'!$C$2)</f>
        <v>0</v>
      </c>
      <c r="X45" s="337">
        <f>SUMIFS(BS_RE33!$H$7:$H$874,BS_RE33!$S$7:$S$874,$X$2,BS_RE33!$N$7:$N$874,I45,BS_RE33!$P$7:$P$874,'30 days CF Table(EUR)'!G45,BS_RE33!$F$7:$F$874,'30 days CF Table(EUR)'!$C$2)</f>
        <v>0</v>
      </c>
      <c r="Y45" s="337">
        <f>SUMIFS(BS_RE33!$H$7:$H$874,BS_RE33!$S$7:$S$874,$Y$2,BS_RE33!$N$7:$N$874,I45,BS_RE33!$P$7:$P$874,'30 days CF Table(EUR)'!G45,BS_RE33!$F$7:$F$874,'30 days CF Table(EUR)'!$C$2)</f>
        <v>0</v>
      </c>
      <c r="Z45" s="337">
        <f>SUMIFS(BS_RE33!$H$7:$H$874,BS_RE33!$S$7:$S$874,$Z$2,BS_RE33!$N$7:$N$874,I45,BS_RE33!$P$7:$P$874,'30 days CF Table(EUR)'!G45,BS_RE33!$F$7:$F$874,'30 days CF Table(EUR)'!$C$2)</f>
        <v>0</v>
      </c>
      <c r="AA45" s="337">
        <f>SUMIFS(BS_RE33!$H$7:$H$874,BS_RE33!$S$7:$S$874,$AA$2,BS_RE33!$N$7:$N$874,I45,BS_RE33!$P$7:$P$874,'30 days CF Table(EUR)'!G45,BS_RE33!$F$7:$F$874,'30 days CF Table(EUR)'!$C$2)</f>
        <v>0</v>
      </c>
      <c r="AB45" s="337">
        <f>SUMIFS(BS_RE33!$H$7:$H$874,BS_RE33!$S$7:$S$874,$AB$2,BS_RE33!$N$7:$N$874,I45,BS_RE33!$P$7:$P$874,'30 days CF Table(EUR)'!G45,BS_RE33!$F$7:$F$874,'30 days CF Table(EUR)'!$C$2)</f>
        <v>0</v>
      </c>
      <c r="AC45" s="337">
        <f>SUMIFS(BS_RE33!$H$7:$H$874,BS_RE33!$S$7:$S$874,$AC$2,BS_RE33!$N$7:$N$874,I45,BS_RE33!$P$7:$P$874,'30 days CF Table(EUR)'!G45,BS_RE33!$F$7:$F$874,'30 days CF Table(EUR)'!$C$2)</f>
        <v>0</v>
      </c>
      <c r="AD45" s="337">
        <f>SUMIFS(BS_RE33!$H$7:$H$874,BS_RE33!$S$7:$S$874,$AD$2,BS_RE33!$N$7:$N$874,I45,BS_RE33!$P$7:$P$874,'30 days CF Table(EUR)'!G45,BS_RE33!$F$7:$F$874,'30 days CF Table(EUR)'!$C$2)</f>
        <v>0</v>
      </c>
      <c r="AE45" s="337">
        <f>SUMIFS(BS_RE33!$H$7:$H$874,BS_RE33!$S$7:$S$874,$AE$2,BS_RE33!$N$7:$N$874,I45,BS_RE33!$P$7:$P$874,'30 days CF Table(EUR)'!G45,BS_RE33!$F$7:$F$874,'30 days CF Table(EUR)'!$C$2)</f>
        <v>0</v>
      </c>
      <c r="AF45" s="337">
        <f>SUMIFS(BS_RE33!$H$7:$H$874,BS_RE33!$S$7:$S$874,$AF$2,BS_RE33!$N$7:$N$874,I45,BS_RE33!$P$7:$P$874,'30 days CF Table(EUR)'!G45,BS_RE33!$F$7:$F$874,'30 days CF Table(EUR)'!$C$2)</f>
        <v>0</v>
      </c>
      <c r="AG45" s="337">
        <f>SUMIFS(BS_RE33!$H$7:$H$874,BS_RE33!$S$7:$S$874,$AG$2,BS_RE33!$N$7:$N$874,I45,BS_RE33!$P$7:$P$874,'30 days CF Table(EUR)'!G45,BS_RE33!$F$7:$F$874,'30 days CF Table(EUR)'!$C$2)</f>
        <v>0</v>
      </c>
      <c r="AH45" s="337">
        <f>SUMIFS(BS_RE33!$H$7:$H$874,BS_RE33!$S$7:$S$874,$AH$2,BS_RE33!$N$7:$N$874,I45,BS_RE33!$P$7:$P$874,'30 days CF Table(EUR)'!G45,BS_RE33!$F$7:$F$874,'30 days CF Table(EUR)'!$C$2)</f>
        <v>0</v>
      </c>
      <c r="AI45" s="337">
        <f>SUMIFS(BS_RE33!$H$7:$H$874,BS_RE33!$S$7:$S$874,$AI$2,BS_RE33!$N$7:$N$874,I45,BS_RE33!$P$7:$P$874,'30 days CF Table(EUR)'!G45,BS_RE33!$F$7:$F$874,'30 days CF Table(EUR)'!$C$2)</f>
        <v>0</v>
      </c>
      <c r="AJ45" s="337">
        <f>SUMIFS(BS_RE33!$H$7:$H$874,BS_RE33!$S$7:$S$874,$AJ$2,BS_RE33!$N$7:$N$874,I45,BS_RE33!$P$7:$P$874,'30 days CF Table(EUR)'!G45,BS_RE33!$F$7:$F$874,'30 days CF Table(EUR)'!$C$2)</f>
        <v>0</v>
      </c>
      <c r="AK45" s="337">
        <f>SUMIFS(BS_RE33!$H$7:$H$874,BS_RE33!$S$7:$S$874,$AK$2,BS_RE33!$N$7:$N$874,I45,BS_RE33!$P$7:$P$874,'30 days CF Table(EUR)'!G45,BS_RE33!$F$7:$F$874,'30 days CF Table(EUR)'!$C$2)</f>
        <v>0</v>
      </c>
      <c r="AL45" s="337">
        <f>SUMIFS(BS_RE33!$H$7:$H$874,BS_RE33!$S$7:$S$874,$AL$2,BS_RE33!$N$7:$N$874,I45,BS_RE33!$P$7:$P$874,'30 days CF Table(EUR)'!G45,BS_RE33!$F$7:$F$874,'30 days CF Table(EUR)'!$C$2)</f>
        <v>0</v>
      </c>
      <c r="AM45" s="337">
        <f>SUMIFS(BS_RE33!$H$7:$H$874,BS_RE33!$S$7:$S$874,$AM$2,BS_RE33!$N$7:$N$874,I45,BS_RE33!$P$7:$P$874,'30 days CF Table(EUR)'!G45,BS_RE33!$F$7:$F$874,'30 days CF Table(EUR)'!$C$2)</f>
        <v>0</v>
      </c>
      <c r="AN45" s="337">
        <f>SUMIFS(BS_RE33!$H$7:$H$874,BS_RE33!$S$7:$S$874,$AN$2,BS_RE33!$N$7:$N$874,I45,BS_RE33!$P$7:$P$874,'30 days CF Table(EUR)'!G45,BS_RE33!$F$7:$F$874,'30 days CF Table(EUR)'!$C$2)</f>
        <v>0</v>
      </c>
      <c r="AO45" s="337">
        <f>SUMIFS(BS_RE33!$H$7:$H$874,BS_RE33!$S$7:$S$874,$AO$2,BS_RE33!$N$7:$N$874,I45,BS_RE33!$P$7:$P$874,'30 days CF Table(EUR)'!G45,BS_RE33!$F$7:$F$874,'30 days CF Table(EUR)'!$C$2)</f>
        <v>0</v>
      </c>
      <c r="AP45" s="338">
        <f>SUMIFS(BS_RE33!$H$7:$H$874,BS_RE33!$S$7:$S$874,$AP$2,BS_RE33!$N$7:$N$874,I45,BS_RE33!$P$7:$P$874,'30 days CF Table(EUR)'!G45,BS_RE33!$F$7:$F$874,'30 days CF Table(EUR)'!$C$2)</f>
        <v>0</v>
      </c>
      <c r="AR45" s="379">
        <f>SUMIFS(BS_RE33!$H$7:$H$874,BS_RE33!$S$7:$S$874,$AR$2,BS_RE33!$N$7:$N$874,I45,BS_RE33!$P$7:$P$874,'30 days CF Table(EUR)'!G45,BS_RE33!$F$7:$F$874,'30 days CF Table(EUR)'!$C$2)</f>
        <v>0</v>
      </c>
      <c r="AS45" s="379">
        <f>SUMIFS(BS_RE33!$H$7:$H$874,BS_RE33!$S$7:$S$874,$AS$2,BS_RE33!$N$7:$N$874,I45,BS_RE33!$P$7:$P$874,'30 days CF Table(EUR)'!G45,BS_RE33!$F$7:$F$874,'30 days CF Table(EUR)'!$C$2)</f>
        <v>0</v>
      </c>
      <c r="AT45" s="379">
        <f>SUMIFS(BS_RE33!$H$7:$H$874,BS_RE33!$S$7:$S$874,$AT$2,BS_RE33!$N$7:$N$874,I45,BS_RE33!$P$7:$P$874,'30 days CF Table(EUR)'!G45,BS_RE33!$F$7:$F$874,'30 days CF Table(EUR)'!$C$2)</f>
        <v>0</v>
      </c>
      <c r="AU45" s="379">
        <f>SUMIFS(BS_RE33!$H$7:$H$874,BS_RE33!$S$7:$S$874,$AU$2,BS_RE33!$N$7:$N$874,I45,BS_RE33!$P$7:$P$874,'30 days CF Table(EUR)'!G45,BS_RE33!$F$7:$F$874,'30 days CF Table(EUR)'!$C$2)</f>
        <v>0</v>
      </c>
      <c r="AV45" s="379">
        <f>SUMIFS(BS_RE33!$H$7:$H$874,BS_RE33!$S$7:$S$874,$AV$2,BS_RE33!$N$7:$N$874,I45,BS_RE33!$P$7:$P$874,'30 days CF Table(EUR)'!G45,BS_RE33!$F$7:$F$874,'30 days CF Table(EUR)'!$C$2)</f>
        <v>0</v>
      </c>
      <c r="AW45" s="379">
        <f>SUMIFS(BS_RE33!$H$7:$H$874,BS_RE33!$S$7:$S$874,$AW$2,BS_RE33!$N$7:$N$874,I45,BS_RE33!$P$7:$P$874,'30 days CF Table(EUR)'!G45,BS_RE33!$F$7:$F$874,'30 days CF Table(EUR)'!$C$2)</f>
        <v>0</v>
      </c>
      <c r="AX45" s="379">
        <f>SUMIFS(BS_RE33!$H$7:$H$874,BS_RE33!$S$7:$S$874,$AX$2,BS_RE33!$N$7:$N$874,I45,BS_RE33!$P$7:$P$874,'30 days CF Table(EUR)'!G45,BS_RE33!$F$7:$F$874,'30 days CF Table(EUR)'!$C$2)</f>
        <v>0</v>
      </c>
      <c r="AY45" s="379">
        <f>SUMIFS(BS_RE33!$H$7:$H$874,BS_RE33!$S$7:$S$874,$AY$2,BS_RE33!$N$7:$N$874,I45,BS_RE33!$P$7:$P$874,'30 days CF Table(EUR)'!G45,BS_RE33!$F$7:$F$874,'30 days CF Table(EUR)'!$C$2)</f>
        <v>0</v>
      </c>
      <c r="AZ45" s="379">
        <f>SUMIFS(BS_RE33!$H$7:$H$874,BS_RE33!$S$7:$S$874,$AZ$2,BS_RE33!$N$7:$N$874,I45,BS_RE33!$P$7:$P$874,'30 days CF Table(EUR)'!G45,BS_RE33!$F$7:$F$874,'30 days CF Table(EUR)'!$C$2)</f>
        <v>0</v>
      </c>
      <c r="BA45" s="379">
        <f>SUMIFS(BS_RE33!$H$7:$H$874,BS_RE33!$S$7:$S$874,$BA$2,BS_RE33!$N$7:$N$874,I45,BS_RE33!$P$7:$P$874,'30 days CF Table(EUR)'!G45,BS_RE33!$F$7:$F$874,'30 days CF Table(EUR)'!$C$2)</f>
        <v>0</v>
      </c>
      <c r="BB45" s="379">
        <f>SUMIFS(BS_RE33!$H$7:$H$874,BS_RE33!$S$7:$S$874,$BB$2,BS_RE33!$N$7:$N$874,I45,BS_RE33!$P$7:$P$874,'30 days CF Table(EUR)'!G45,BS_RE33!$F$7:$F$874,'30 days CF Table(EUR)'!$C$2)</f>
        <v>0</v>
      </c>
      <c r="BC45" s="379">
        <f>SUMIFS(BS_RE33!$H$7:$H$874,BS_RE33!$S$7:$S$874,$BC$2,BS_RE33!$N$7:$N$874,I45,BS_RE33!$P$7:$P$874,'30 days CF Table(EUR)'!G45,BS_RE33!$F$7:$F$874,'30 days CF Table(EUR)'!$C$2)</f>
        <v>0</v>
      </c>
      <c r="BD45" s="379">
        <f>SUMIFS(BS_RE33!$H$7:$H$874,BS_RE33!$S$7:$S$874,$BD$2,BS_RE33!$N$7:$N$874,I45,BS_RE33!$P$7:$P$874,'30 days CF Table(EUR)'!G45,BS_RE33!$F$7:$F$874,'30 days CF Table(EUR)'!$C$2)</f>
        <v>0</v>
      </c>
      <c r="BE45" s="379">
        <f>SUMIFS(BS_RE33!$H$7:$H$874,BS_RE33!$S$7:$S$874,$BE$2,BS_RE33!$N$7:$N$874,I45,BS_RE33!$P$7:$P$874,'30 days CF Table(EUR)'!G45,BS_RE33!$F$7:$F$874,'30 days CF Table(EUR)'!$C$2)</f>
        <v>0</v>
      </c>
      <c r="BF45" s="379">
        <f>SUMIFS(BS_RE33!$H$7:$H$874,BS_RE33!$S$7:$S$874,$BF$2,BS_RE33!$N$7:$N$874,I45,BS_RE33!$P$7:$P$874,'30 days CF Table(EUR)'!G45,BS_RE33!$F$7:$F$874,'30 days CF Table(EUR)'!$C$2)</f>
        <v>0</v>
      </c>
      <c r="BG45" s="379">
        <f>SUMIFS(BS_RE33!$H$7:$H$874,BS_RE33!$S$7:$S$874,$BG$2,BS_RE33!$N$7:$N$874,I45,BS_RE33!$P$7:$P$874,'30 days CF Table(EUR)'!G45,BS_RE33!$F$7:$F$874,'30 days CF Table(EUR)'!$C$2)</f>
        <v>0</v>
      </c>
      <c r="BH45" s="379">
        <f>SUMIFS(BS_RE33!$H$7:$H$874,BS_RE33!$S$7:$S$874,$BH$2,BS_RE33!$N$7:$N$874,I45,BS_RE33!$P$7:$P$874,'30 days CF Table(EUR)'!G45,BS_RE33!$F$7:$F$874,'30 days CF Table(EUR)'!$C$2)</f>
        <v>0</v>
      </c>
      <c r="BI45" s="379">
        <f>SUMIFS(BS_RE33!$H$7:$H$874,BS_RE33!$S$7:$S$874,$BI$2,BS_RE33!$N$7:$N$874,I45,BS_RE33!$P$7:$P$874,'30 days CF Table(EUR)'!G45,BS_RE33!$F$7:$F$874,'30 days CF Table(EUR)'!$C$2)</f>
        <v>0</v>
      </c>
      <c r="BJ45" s="379">
        <f>SUMIFS(BS_RE33!$H$7:$H$874,BS_RE33!$S$7:$S$874,$BJ$2,BS_RE33!$N$7:$N$874,I45,BS_RE33!$P$7:$P$874,'30 days CF Table(EUR)'!G45,BS_RE33!$F$7:$F$874,'30 days CF Table(EUR)'!$C$2)</f>
        <v>0</v>
      </c>
      <c r="BK45" s="379">
        <f>SUMIFS(BS_RE33!$H$7:$H$874,BS_RE33!$S$7:$S$874,$BK$2,BS_RE33!$N$7:$N$874,I45,BS_RE33!$P$7:$P$874,'30 days CF Table(EUR)'!G45,BS_RE33!$F$7:$F$874,'30 days CF Table(EUR)'!$C$2)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Table(EUR)'!G46,BS_RE33!$F$7:$F$874,'30 days CF Table(EUR)'!$C$2)</f>
        <v>0</v>
      </c>
      <c r="M46" s="548">
        <f>SUMIFS(BS_RE33!$H$7:$H$874,BS_RE33!$S$7:$S$874,$M$2,BS_RE33!$N$7:$N$874,I46,BS_RE33!$P$7:$P$874,'30 days CF Table(EUR)'!G46,BS_RE33!$F$7:$F$874,'30 days CF Table(EUR)'!$C$2)</f>
        <v>0</v>
      </c>
      <c r="N46" s="548">
        <f>SUMIFS(BS_RE33!$H$7:$H$874,BS_RE33!$S$7:$S$874,$N$2,BS_RE33!$N$7:$N$874,I46,BS_RE33!$P$7:$P$874,'30 days CF Table(EUR)'!G46,BS_RE33!$F$7:$F$874,'30 days CF Table(EUR)'!$C$2)</f>
        <v>0</v>
      </c>
      <c r="O46" s="548">
        <f>SUMIFS(BS_RE33!$H$7:$H$874,BS_RE33!$S$7:$S$874,$O$2,BS_RE33!$N$7:$N$874,I46,BS_RE33!$P$7:$P$874,'30 days CF Table(EUR)'!G46,BS_RE33!$F$7:$F$874,'30 days CF Table(EUR)'!$C$2)</f>
        <v>0</v>
      </c>
      <c r="P46" s="548">
        <f>SUMIFS(BS_RE33!$H$7:$H$874,BS_RE33!$S$7:$S$874,$P$2,BS_RE33!$N$7:$N$874,I46,BS_RE33!$P$7:$P$874,'30 days CF Table(EUR)'!G46,BS_RE33!$F$7:$F$874,'30 days CF Table(EUR)'!$C$2)</f>
        <v>0</v>
      </c>
      <c r="Q46" s="548">
        <f>SUMIFS(BS_RE33!$H$7:$H$874,BS_RE33!$S$7:$S$874,$Q$2,BS_RE33!$N$7:$N$874,I46,BS_RE33!$P$7:$P$874,'30 days CF Table(EUR)'!G46,BS_RE33!$F$7:$F$874,'30 days CF Table(EUR)'!$C$2)</f>
        <v>0</v>
      </c>
      <c r="R46" s="548">
        <f>SUMIFS(BS_RE33!$H$7:$H$874,BS_RE33!$S$7:$S$874,$R$2,BS_RE33!$N$7:$N$874,I46,BS_RE33!$P$7:$P$874,'30 days CF Table(EUR)'!G46,BS_RE33!$F$7:$F$874,'30 days CF Table(EUR)'!$C$2)</f>
        <v>0</v>
      </c>
      <c r="S46" s="548">
        <f>SUMIFS(BS_RE33!$H$7:$H$874,BS_RE33!$S$7:$S$874,$S$2,BS_RE33!$N$7:$N$874,I46,BS_RE33!$P$7:$P$874,'30 days CF Table(EUR)'!G46,BS_RE33!$F$7:$F$874,'30 days CF Table(EUR)'!$C$2)</f>
        <v>0</v>
      </c>
      <c r="T46" s="548">
        <f>SUMIFS(BS_RE33!$H$7:$H$874,BS_RE33!$S$7:$S$874,$T$2,BS_RE33!$N$7:$N$874,I46,BS_RE33!$P$7:$P$874,'30 days CF Table(EUR)'!G46,BS_RE33!$F$7:$F$874,'30 days CF Table(EUR)'!$C$2)</f>
        <v>0</v>
      </c>
      <c r="U46" s="548">
        <f>SUMIFS(BS_RE33!$H$7:$H$874,BS_RE33!$S$7:$S$874,$U$2,BS_RE33!$N$7:$N$874,I46,BS_RE33!$P$7:$P$874,'30 days CF Table(EUR)'!G46,BS_RE33!$F$7:$F$874,'30 days CF Table(EUR)'!$C$2)</f>
        <v>0</v>
      </c>
      <c r="V46" s="548">
        <f>SUMIFS(BS_RE33!$H$7:$H$874,BS_RE33!$S$7:$S$874,$V$2,BS_RE33!$N$7:$N$874,I46,BS_RE33!$P$7:$P$874,'30 days CF Table(EUR)'!G46,BS_RE33!$F$7:$F$874,'30 days CF Table(EUR)'!$C$2)</f>
        <v>0</v>
      </c>
      <c r="W46" s="548">
        <f>SUMIFS(BS_RE33!$H$7:$H$874,BS_RE33!$S$7:$S$874,$W$2,BS_RE33!$N$7:$N$874,I46,BS_RE33!$P$7:$P$874,'30 days CF Table(EUR)'!G46,BS_RE33!$F$7:$F$874,'30 days CF Table(EUR)'!$C$2)</f>
        <v>0</v>
      </c>
      <c r="X46" s="548">
        <f>SUMIFS(BS_RE33!$H$7:$H$874,BS_RE33!$S$7:$S$874,$X$2,BS_RE33!$N$7:$N$874,I46,BS_RE33!$P$7:$P$874,'30 days CF Table(EUR)'!G46,BS_RE33!$F$7:$F$874,'30 days CF Table(EUR)'!$C$2)</f>
        <v>0</v>
      </c>
      <c r="Y46" s="548">
        <f>SUMIFS(BS_RE33!$H$7:$H$874,BS_RE33!$S$7:$S$874,$Y$2,BS_RE33!$N$7:$N$874,I46,BS_RE33!$P$7:$P$874,'30 days CF Table(EUR)'!G46,BS_RE33!$F$7:$F$874,'30 days CF Table(EUR)'!$C$2)</f>
        <v>0</v>
      </c>
      <c r="Z46" s="548">
        <f>SUMIFS(BS_RE33!$H$7:$H$874,BS_RE33!$S$7:$S$874,$Z$2,BS_RE33!$N$7:$N$874,I46,BS_RE33!$P$7:$P$874,'30 days CF Table(EUR)'!G46,BS_RE33!$F$7:$F$874,'30 days CF Table(EUR)'!$C$2)</f>
        <v>0</v>
      </c>
      <c r="AA46" s="548">
        <f>SUMIFS(BS_RE33!$H$7:$H$874,BS_RE33!$S$7:$S$874,$AA$2,BS_RE33!$N$7:$N$874,I46,BS_RE33!$P$7:$P$874,'30 days CF Table(EUR)'!G46,BS_RE33!$F$7:$F$874,'30 days CF Table(EUR)'!$C$2)</f>
        <v>0</v>
      </c>
      <c r="AB46" s="548">
        <f>SUMIFS(BS_RE33!$H$7:$H$874,BS_RE33!$S$7:$S$874,$AB$2,BS_RE33!$N$7:$N$874,I46,BS_RE33!$P$7:$P$874,'30 days CF Table(EUR)'!G46,BS_RE33!$F$7:$F$874,'30 days CF Table(EUR)'!$C$2)</f>
        <v>0</v>
      </c>
      <c r="AC46" s="548">
        <f>SUMIFS(BS_RE33!$H$7:$H$874,BS_RE33!$S$7:$S$874,$AC$2,BS_RE33!$N$7:$N$874,I46,BS_RE33!$P$7:$P$874,'30 days CF Table(EUR)'!G46,BS_RE33!$F$7:$F$874,'30 days CF Table(EUR)'!$C$2)</f>
        <v>0</v>
      </c>
      <c r="AD46" s="548">
        <f>SUMIFS(BS_RE33!$H$7:$H$874,BS_RE33!$S$7:$S$874,$AD$2,BS_RE33!$N$7:$N$874,I46,BS_RE33!$P$7:$P$874,'30 days CF Table(EUR)'!G46,BS_RE33!$F$7:$F$874,'30 days CF Table(EUR)'!$C$2)</f>
        <v>0</v>
      </c>
      <c r="AE46" s="548">
        <f>SUMIFS(BS_RE33!$H$7:$H$874,BS_RE33!$S$7:$S$874,$AE$2,BS_RE33!$N$7:$N$874,I46,BS_RE33!$P$7:$P$874,'30 days CF Table(EUR)'!G46,BS_RE33!$F$7:$F$874,'30 days CF Table(EUR)'!$C$2)</f>
        <v>0</v>
      </c>
      <c r="AF46" s="548">
        <f>SUMIFS(BS_RE33!$H$7:$H$874,BS_RE33!$S$7:$S$874,$AF$2,BS_RE33!$N$7:$N$874,I46,BS_RE33!$P$7:$P$874,'30 days CF Table(EUR)'!G46,BS_RE33!$F$7:$F$874,'30 days CF Table(EUR)'!$C$2)</f>
        <v>0</v>
      </c>
      <c r="AG46" s="548">
        <f>SUMIFS(BS_RE33!$H$7:$H$874,BS_RE33!$S$7:$S$874,$AG$2,BS_RE33!$N$7:$N$874,I46,BS_RE33!$P$7:$P$874,'30 days CF Table(EUR)'!G46,BS_RE33!$F$7:$F$874,'30 days CF Table(EUR)'!$C$2)</f>
        <v>0</v>
      </c>
      <c r="AH46" s="548">
        <f>SUMIFS(BS_RE33!$H$7:$H$874,BS_RE33!$S$7:$S$874,$AH$2,BS_RE33!$N$7:$N$874,I46,BS_RE33!$P$7:$P$874,'30 days CF Table(EUR)'!G46,BS_RE33!$F$7:$F$874,'30 days CF Table(EUR)'!$C$2)</f>
        <v>0</v>
      </c>
      <c r="AI46" s="548">
        <f>SUMIFS(BS_RE33!$H$7:$H$874,BS_RE33!$S$7:$S$874,$AI$2,BS_RE33!$N$7:$N$874,I46,BS_RE33!$P$7:$P$874,'30 days CF Table(EUR)'!G46,BS_RE33!$F$7:$F$874,'30 days CF Table(EUR)'!$C$2)</f>
        <v>0</v>
      </c>
      <c r="AJ46" s="548">
        <f>SUMIFS(BS_RE33!$H$7:$H$874,BS_RE33!$S$7:$S$874,$AJ$2,BS_RE33!$N$7:$N$874,I46,BS_RE33!$P$7:$P$874,'30 days CF Table(EUR)'!G46,BS_RE33!$F$7:$F$874,'30 days CF Table(EUR)'!$C$2)</f>
        <v>0</v>
      </c>
      <c r="AK46" s="548">
        <f>SUMIFS(BS_RE33!$H$7:$H$874,BS_RE33!$S$7:$S$874,$AK$2,BS_RE33!$N$7:$N$874,I46,BS_RE33!$P$7:$P$874,'30 days CF Table(EUR)'!G46,BS_RE33!$F$7:$F$874,'30 days CF Table(EUR)'!$C$2)</f>
        <v>0</v>
      </c>
      <c r="AL46" s="548">
        <f>SUMIFS(BS_RE33!$H$7:$H$874,BS_RE33!$S$7:$S$874,$AL$2,BS_RE33!$N$7:$N$874,I46,BS_RE33!$P$7:$P$874,'30 days CF Table(EUR)'!G46,BS_RE33!$F$7:$F$874,'30 days CF Table(EUR)'!$C$2)</f>
        <v>0</v>
      </c>
      <c r="AM46" s="548">
        <f>SUMIFS(BS_RE33!$H$7:$H$874,BS_RE33!$S$7:$S$874,$AM$2,BS_RE33!$N$7:$N$874,I46,BS_RE33!$P$7:$P$874,'30 days CF Table(EUR)'!G46,BS_RE33!$F$7:$F$874,'30 days CF Table(EUR)'!$C$2)</f>
        <v>0</v>
      </c>
      <c r="AN46" s="548">
        <f>SUMIFS(BS_RE33!$H$7:$H$874,BS_RE33!$S$7:$S$874,$AN$2,BS_RE33!$N$7:$N$874,I46,BS_RE33!$P$7:$P$874,'30 days CF Table(EUR)'!G46,BS_RE33!$F$7:$F$874,'30 days CF Table(EUR)'!$C$2)</f>
        <v>0</v>
      </c>
      <c r="AO46" s="548">
        <f>SUMIFS(BS_RE33!$H$7:$H$874,BS_RE33!$S$7:$S$874,$AO$2,BS_RE33!$N$7:$N$874,I46,BS_RE33!$P$7:$P$874,'30 days CF Table(EUR)'!G46,BS_RE33!$F$7:$F$874,'30 days CF Table(EUR)'!$C$2)</f>
        <v>0</v>
      </c>
      <c r="AP46" s="549">
        <f>SUMIFS(BS_RE33!$H$7:$H$874,BS_RE33!$S$7:$S$874,$AP$2,BS_RE33!$N$7:$N$874,I46,BS_RE33!$P$7:$P$874,'30 days CF Table(EUR)'!G46,BS_RE33!$F$7:$F$874,'30 days CF Table(EUR)'!$C$2)</f>
        <v>0</v>
      </c>
      <c r="AQ46" s="550"/>
      <c r="AR46" s="380">
        <f>SUMIFS(BS_RE33!$H$7:$H$874,BS_RE33!$S$7:$S$874,$AR$2,BS_RE33!$N$7:$N$874,I46,BS_RE33!$P$7:$P$874,'30 days CF Table(EUR)'!G46,BS_RE33!$F$7:$F$874,'30 days CF Table(EUR)'!$C$2)</f>
        <v>0</v>
      </c>
      <c r="AS46" s="380">
        <f>SUMIFS(BS_RE33!$H$7:$H$874,BS_RE33!$S$7:$S$874,$AS$2,BS_RE33!$N$7:$N$874,I46,BS_RE33!$P$7:$P$874,'30 days CF Table(EUR)'!G46,BS_RE33!$F$7:$F$874,'30 days CF Table(EUR)'!$C$2)</f>
        <v>0</v>
      </c>
      <c r="AT46" s="380">
        <f>SUMIFS(BS_RE33!$H$7:$H$874,BS_RE33!$S$7:$S$874,$AT$2,BS_RE33!$N$7:$N$874,I46,BS_RE33!$P$7:$P$874,'30 days CF Table(EUR)'!G46,BS_RE33!$F$7:$F$874,'30 days CF Table(EUR)'!$C$2)</f>
        <v>0</v>
      </c>
      <c r="AU46" s="380">
        <f>SUMIFS(BS_RE33!$H$7:$H$874,BS_RE33!$S$7:$S$874,$AU$2,BS_RE33!$N$7:$N$874,I46,BS_RE33!$P$7:$P$874,'30 days CF Table(EUR)'!G46,BS_RE33!$F$7:$F$874,'30 days CF Table(EUR)'!$C$2)</f>
        <v>0</v>
      </c>
      <c r="AV46" s="380">
        <f>SUMIFS(BS_RE33!$H$7:$H$874,BS_RE33!$S$7:$S$874,$AV$2,BS_RE33!$N$7:$N$874,I46,BS_RE33!$P$7:$P$874,'30 days CF Table(EUR)'!G46,BS_RE33!$F$7:$F$874,'30 days CF Table(EUR)'!$C$2)</f>
        <v>0</v>
      </c>
      <c r="AW46" s="380">
        <f>SUMIFS(BS_RE33!$H$7:$H$874,BS_RE33!$S$7:$S$874,$AW$2,BS_RE33!$N$7:$N$874,I46,BS_RE33!$P$7:$P$874,'30 days CF Table(EUR)'!G46,BS_RE33!$F$7:$F$874,'30 days CF Table(EUR)'!$C$2)</f>
        <v>0</v>
      </c>
      <c r="AX46" s="380">
        <f>SUMIFS(BS_RE33!$H$7:$H$874,BS_RE33!$S$7:$S$874,$AX$2,BS_RE33!$N$7:$N$874,I46,BS_RE33!$P$7:$P$874,'30 days CF Table(EUR)'!G46,BS_RE33!$F$7:$F$874,'30 days CF Table(EUR)'!$C$2)</f>
        <v>0</v>
      </c>
      <c r="AY46" s="380">
        <f>SUMIFS(BS_RE33!$H$7:$H$874,BS_RE33!$S$7:$S$874,$AY$2,BS_RE33!$N$7:$N$874,I46,BS_RE33!$P$7:$P$874,'30 days CF Table(EUR)'!G46,BS_RE33!$F$7:$F$874,'30 days CF Table(EUR)'!$C$2)</f>
        <v>0</v>
      </c>
      <c r="AZ46" s="380">
        <f>SUMIFS(BS_RE33!$H$7:$H$874,BS_RE33!$S$7:$S$874,$AZ$2,BS_RE33!$N$7:$N$874,I46,BS_RE33!$P$7:$P$874,'30 days CF Table(EUR)'!G46,BS_RE33!$F$7:$F$874,'30 days CF Table(EUR)'!$C$2)</f>
        <v>0</v>
      </c>
      <c r="BA46" s="380">
        <f>SUMIFS(BS_RE33!$H$7:$H$874,BS_RE33!$S$7:$S$874,$BA$2,BS_RE33!$N$7:$N$874,I46,BS_RE33!$P$7:$P$874,'30 days CF Table(EUR)'!G46,BS_RE33!$F$7:$F$874,'30 days CF Table(EUR)'!$C$2)</f>
        <v>0</v>
      </c>
      <c r="BB46" s="380">
        <f>SUMIFS(BS_RE33!$H$7:$H$874,BS_RE33!$S$7:$S$874,$BB$2,BS_RE33!$N$7:$N$874,I46,BS_RE33!$P$7:$P$874,'30 days CF Table(EUR)'!G46,BS_RE33!$F$7:$F$874,'30 days CF Table(EUR)'!$C$2)</f>
        <v>0</v>
      </c>
      <c r="BC46" s="380">
        <f>SUMIFS(BS_RE33!$H$7:$H$874,BS_RE33!$S$7:$S$874,$BC$2,BS_RE33!$N$7:$N$874,I46,BS_RE33!$P$7:$P$874,'30 days CF Table(EUR)'!G46,BS_RE33!$F$7:$F$874,'30 days CF Table(EUR)'!$C$2)</f>
        <v>0</v>
      </c>
      <c r="BD46" s="380">
        <f>SUMIFS(BS_RE33!$H$7:$H$874,BS_RE33!$S$7:$S$874,$BD$2,BS_RE33!$N$7:$N$874,I46,BS_RE33!$P$7:$P$874,'30 days CF Table(EUR)'!G46,BS_RE33!$F$7:$F$874,'30 days CF Table(EUR)'!$C$2)</f>
        <v>0</v>
      </c>
      <c r="BE46" s="380">
        <f>SUMIFS(BS_RE33!$H$7:$H$874,BS_RE33!$S$7:$S$874,$BE$2,BS_RE33!$N$7:$N$874,I46,BS_RE33!$P$7:$P$874,'30 days CF Table(EUR)'!G46,BS_RE33!$F$7:$F$874,'30 days CF Table(EUR)'!$C$2)</f>
        <v>0</v>
      </c>
      <c r="BF46" s="380">
        <f>SUMIFS(BS_RE33!$H$7:$H$874,BS_RE33!$S$7:$S$874,$BF$2,BS_RE33!$N$7:$N$874,I46,BS_RE33!$P$7:$P$874,'30 days CF Table(EUR)'!G46,BS_RE33!$F$7:$F$874,'30 days CF Table(EUR)'!$C$2)</f>
        <v>0</v>
      </c>
      <c r="BG46" s="380">
        <f>SUMIFS(BS_RE33!$H$7:$H$874,BS_RE33!$S$7:$S$874,$BG$2,BS_RE33!$N$7:$N$874,I46,BS_RE33!$P$7:$P$874,'30 days CF Table(EUR)'!G46,BS_RE33!$F$7:$F$874,'30 days CF Table(EUR)'!$C$2)</f>
        <v>0</v>
      </c>
      <c r="BH46" s="380">
        <f>SUMIFS(BS_RE33!$H$7:$H$874,BS_RE33!$S$7:$S$874,$BH$2,BS_RE33!$N$7:$N$874,I46,BS_RE33!$P$7:$P$874,'30 days CF Table(EUR)'!G46,BS_RE33!$F$7:$F$874,'30 days CF Table(EUR)'!$C$2)</f>
        <v>0</v>
      </c>
      <c r="BI46" s="380">
        <f>SUMIFS(BS_RE33!$H$7:$H$874,BS_RE33!$S$7:$S$874,$BI$2,BS_RE33!$N$7:$N$874,I46,BS_RE33!$P$7:$P$874,'30 days CF Table(EUR)'!G46,BS_RE33!$F$7:$F$874,'30 days CF Table(EUR)'!$C$2)</f>
        <v>0</v>
      </c>
      <c r="BJ46" s="380">
        <f>SUMIFS(BS_RE33!$H$7:$H$874,BS_RE33!$S$7:$S$874,$BJ$2,BS_RE33!$N$7:$N$874,I46,BS_RE33!$P$7:$P$874,'30 days CF Table(EUR)'!G46,BS_RE33!$F$7:$F$874,'30 days CF Table(EUR)'!$C$2)</f>
        <v>0</v>
      </c>
      <c r="BK46" s="380">
        <f>SUMIFS(BS_RE33!$H$7:$H$874,BS_RE33!$S$7:$S$874,$BK$2,BS_RE33!$N$7:$N$874,I46,BS_RE33!$P$7:$P$874,'30 days CF Table(EUR)'!G46,BS_RE33!$F$7:$F$874,'30 days CF Table(EUR)'!$C$2)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Table(EUR)'!G47,BS_RE33!$F$7:$F$874,'30 days CF Table(EUR)'!$C$2)</f>
        <v>0</v>
      </c>
      <c r="M47" s="548">
        <f>SUMIFS(BS_RE33!$H$7:$H$874,BS_RE33!$S$7:$S$874,$M$2,BS_RE33!$N$7:$N$874,I47,BS_RE33!$P$7:$P$874,'30 days CF Table(EUR)'!G47,BS_RE33!$F$7:$F$874,'30 days CF Table(EUR)'!$C$2)</f>
        <v>0</v>
      </c>
      <c r="N47" s="548">
        <f>SUMIFS(BS_RE33!$H$7:$H$874,BS_RE33!$S$7:$S$874,$N$2,BS_RE33!$N$7:$N$874,I47,BS_RE33!$P$7:$P$874,'30 days CF Table(EUR)'!G47,BS_RE33!$F$7:$F$874,'30 days CF Table(EUR)'!$C$2)</f>
        <v>0</v>
      </c>
      <c r="O47" s="548">
        <f>SUMIFS(BS_RE33!$H$7:$H$874,BS_RE33!$S$7:$S$874,$O$2,BS_RE33!$N$7:$N$874,I47,BS_RE33!$P$7:$P$874,'30 days CF Table(EUR)'!G47,BS_RE33!$F$7:$F$874,'30 days CF Table(EUR)'!$C$2)</f>
        <v>0</v>
      </c>
      <c r="P47" s="548">
        <f>SUMIFS(BS_RE33!$H$7:$H$874,BS_RE33!$S$7:$S$874,$P$2,BS_RE33!$N$7:$N$874,I47,BS_RE33!$P$7:$P$874,'30 days CF Table(EUR)'!G47,BS_RE33!$F$7:$F$874,'30 days CF Table(EUR)'!$C$2)</f>
        <v>0</v>
      </c>
      <c r="Q47" s="548">
        <f>SUMIFS(BS_RE33!$H$7:$H$874,BS_RE33!$S$7:$S$874,$Q$2,BS_RE33!$N$7:$N$874,I47,BS_RE33!$P$7:$P$874,'30 days CF Table(EUR)'!G47,BS_RE33!$F$7:$F$874,'30 days CF Table(EUR)'!$C$2)</f>
        <v>0</v>
      </c>
      <c r="R47" s="548">
        <f>SUMIFS(BS_RE33!$H$7:$H$874,BS_RE33!$S$7:$S$874,$R$2,BS_RE33!$N$7:$N$874,I47,BS_RE33!$P$7:$P$874,'30 days CF Table(EUR)'!G47,BS_RE33!$F$7:$F$874,'30 days CF Table(EUR)'!$C$2)</f>
        <v>0</v>
      </c>
      <c r="S47" s="548">
        <f>SUMIFS(BS_RE33!$H$7:$H$874,BS_RE33!$S$7:$S$874,$S$2,BS_RE33!$N$7:$N$874,I47,BS_RE33!$P$7:$P$874,'30 days CF Table(EUR)'!G47,BS_RE33!$F$7:$F$874,'30 days CF Table(EUR)'!$C$2)</f>
        <v>0</v>
      </c>
      <c r="T47" s="548">
        <f>SUMIFS(BS_RE33!$H$7:$H$874,BS_RE33!$S$7:$S$874,$T$2,BS_RE33!$N$7:$N$874,I47,BS_RE33!$P$7:$P$874,'30 days CF Table(EUR)'!G47,BS_RE33!$F$7:$F$874,'30 days CF Table(EUR)'!$C$2)</f>
        <v>0</v>
      </c>
      <c r="U47" s="548">
        <f>SUMIFS(BS_RE33!$H$7:$H$874,BS_RE33!$S$7:$S$874,$U$2,BS_RE33!$N$7:$N$874,I47,BS_RE33!$P$7:$P$874,'30 days CF Table(EUR)'!G47,BS_RE33!$F$7:$F$874,'30 days CF Table(EUR)'!$C$2)</f>
        <v>0</v>
      </c>
      <c r="V47" s="548">
        <f>SUMIFS(BS_RE33!$H$7:$H$874,BS_RE33!$S$7:$S$874,$V$2,BS_RE33!$N$7:$N$874,I47,BS_RE33!$P$7:$P$874,'30 days CF Table(EUR)'!G47,BS_RE33!$F$7:$F$874,'30 days CF Table(EUR)'!$C$2)</f>
        <v>0</v>
      </c>
      <c r="W47" s="548">
        <f>SUMIFS(BS_RE33!$H$7:$H$874,BS_RE33!$S$7:$S$874,$W$2,BS_RE33!$N$7:$N$874,I47,BS_RE33!$P$7:$P$874,'30 days CF Table(EUR)'!G47,BS_RE33!$F$7:$F$874,'30 days CF Table(EUR)'!$C$2)</f>
        <v>0</v>
      </c>
      <c r="X47" s="548">
        <f>SUMIFS(BS_RE33!$H$7:$H$874,BS_RE33!$S$7:$S$874,$X$2,BS_RE33!$N$7:$N$874,I47,BS_RE33!$P$7:$P$874,'30 days CF Table(EUR)'!G47,BS_RE33!$F$7:$F$874,'30 days CF Table(EUR)'!$C$2)</f>
        <v>0</v>
      </c>
      <c r="Y47" s="548">
        <f>SUMIFS(BS_RE33!$H$7:$H$874,BS_RE33!$S$7:$S$874,$Y$2,BS_RE33!$N$7:$N$874,I47,BS_RE33!$P$7:$P$874,'30 days CF Table(EUR)'!G47,BS_RE33!$F$7:$F$874,'30 days CF Table(EUR)'!$C$2)</f>
        <v>0</v>
      </c>
      <c r="Z47" s="548">
        <f>SUMIFS(BS_RE33!$H$7:$H$874,BS_RE33!$S$7:$S$874,$Z$2,BS_RE33!$N$7:$N$874,I47,BS_RE33!$P$7:$P$874,'30 days CF Table(EUR)'!G47,BS_RE33!$F$7:$F$874,'30 days CF Table(EUR)'!$C$2)</f>
        <v>0</v>
      </c>
      <c r="AA47" s="548">
        <f>SUMIFS(BS_RE33!$H$7:$H$874,BS_RE33!$S$7:$S$874,$AA$2,BS_RE33!$N$7:$N$874,I47,BS_RE33!$P$7:$P$874,'30 days CF Table(EUR)'!G47,BS_RE33!$F$7:$F$874,'30 days CF Table(EUR)'!$C$2)</f>
        <v>0</v>
      </c>
      <c r="AB47" s="548">
        <f>SUMIFS(BS_RE33!$H$7:$H$874,BS_RE33!$S$7:$S$874,$AB$2,BS_RE33!$N$7:$N$874,I47,BS_RE33!$P$7:$P$874,'30 days CF Table(EUR)'!G47,BS_RE33!$F$7:$F$874,'30 days CF Table(EUR)'!$C$2)</f>
        <v>0</v>
      </c>
      <c r="AC47" s="548">
        <f>SUMIFS(BS_RE33!$H$7:$H$874,BS_RE33!$S$7:$S$874,$AC$2,BS_RE33!$N$7:$N$874,I47,BS_RE33!$P$7:$P$874,'30 days CF Table(EUR)'!G47,BS_RE33!$F$7:$F$874,'30 days CF Table(EUR)'!$C$2)</f>
        <v>0</v>
      </c>
      <c r="AD47" s="548">
        <f>SUMIFS(BS_RE33!$H$7:$H$874,BS_RE33!$S$7:$S$874,$AD$2,BS_RE33!$N$7:$N$874,I47,BS_RE33!$P$7:$P$874,'30 days CF Table(EUR)'!G47,BS_RE33!$F$7:$F$874,'30 days CF Table(EUR)'!$C$2)</f>
        <v>0</v>
      </c>
      <c r="AE47" s="548">
        <f>SUMIFS(BS_RE33!$H$7:$H$874,BS_RE33!$S$7:$S$874,$AE$2,BS_RE33!$N$7:$N$874,I47,BS_RE33!$P$7:$P$874,'30 days CF Table(EUR)'!G47,BS_RE33!$F$7:$F$874,'30 days CF Table(EUR)'!$C$2)</f>
        <v>0</v>
      </c>
      <c r="AF47" s="548">
        <f>SUMIFS(BS_RE33!$H$7:$H$874,BS_RE33!$S$7:$S$874,$AF$2,BS_RE33!$N$7:$N$874,I47,BS_RE33!$P$7:$P$874,'30 days CF Table(EUR)'!G47,BS_RE33!$F$7:$F$874,'30 days CF Table(EUR)'!$C$2)</f>
        <v>0</v>
      </c>
      <c r="AG47" s="548">
        <f>SUMIFS(BS_RE33!$H$7:$H$874,BS_RE33!$S$7:$S$874,$AG$2,BS_RE33!$N$7:$N$874,I47,BS_RE33!$P$7:$P$874,'30 days CF Table(EUR)'!G47,BS_RE33!$F$7:$F$874,'30 days CF Table(EUR)'!$C$2)</f>
        <v>0</v>
      </c>
      <c r="AH47" s="548">
        <f>SUMIFS(BS_RE33!$H$7:$H$874,BS_RE33!$S$7:$S$874,$AH$2,BS_RE33!$N$7:$N$874,I47,BS_RE33!$P$7:$P$874,'30 days CF Table(EUR)'!G47,BS_RE33!$F$7:$F$874,'30 days CF Table(EUR)'!$C$2)</f>
        <v>0</v>
      </c>
      <c r="AI47" s="548">
        <f>SUMIFS(BS_RE33!$H$7:$H$874,BS_RE33!$S$7:$S$874,$AI$2,BS_RE33!$N$7:$N$874,I47,BS_RE33!$P$7:$P$874,'30 days CF Table(EUR)'!G47,BS_RE33!$F$7:$F$874,'30 days CF Table(EUR)'!$C$2)</f>
        <v>0</v>
      </c>
      <c r="AJ47" s="548">
        <f>SUMIFS(BS_RE33!$H$7:$H$874,BS_RE33!$S$7:$S$874,$AJ$2,BS_RE33!$N$7:$N$874,I47,BS_RE33!$P$7:$P$874,'30 days CF Table(EUR)'!G47,BS_RE33!$F$7:$F$874,'30 days CF Table(EUR)'!$C$2)</f>
        <v>0</v>
      </c>
      <c r="AK47" s="548">
        <f>SUMIFS(BS_RE33!$H$7:$H$874,BS_RE33!$S$7:$S$874,$AK$2,BS_RE33!$N$7:$N$874,I47,BS_RE33!$P$7:$P$874,'30 days CF Table(EUR)'!G47,BS_RE33!$F$7:$F$874,'30 days CF Table(EUR)'!$C$2)</f>
        <v>0</v>
      </c>
      <c r="AL47" s="548">
        <f>SUMIFS(BS_RE33!$H$7:$H$874,BS_RE33!$S$7:$S$874,$AL$2,BS_RE33!$N$7:$N$874,I47,BS_RE33!$P$7:$P$874,'30 days CF Table(EUR)'!G47,BS_RE33!$F$7:$F$874,'30 days CF Table(EUR)'!$C$2)</f>
        <v>0</v>
      </c>
      <c r="AM47" s="548">
        <f>SUMIFS(BS_RE33!$H$7:$H$874,BS_RE33!$S$7:$S$874,$AM$2,BS_RE33!$N$7:$N$874,I47,BS_RE33!$P$7:$P$874,'30 days CF Table(EUR)'!G47,BS_RE33!$F$7:$F$874,'30 days CF Table(EUR)'!$C$2)</f>
        <v>0</v>
      </c>
      <c r="AN47" s="548">
        <f>SUMIFS(BS_RE33!$H$7:$H$874,BS_RE33!$S$7:$S$874,$AN$2,BS_RE33!$N$7:$N$874,I47,BS_RE33!$P$7:$P$874,'30 days CF Table(EUR)'!G47,BS_RE33!$F$7:$F$874,'30 days CF Table(EUR)'!$C$2)</f>
        <v>0</v>
      </c>
      <c r="AO47" s="548">
        <f>SUMIFS(BS_RE33!$H$7:$H$874,BS_RE33!$S$7:$S$874,$AO$2,BS_RE33!$N$7:$N$874,I47,BS_RE33!$P$7:$P$874,'30 days CF Table(EUR)'!G47,BS_RE33!$F$7:$F$874,'30 days CF Table(EUR)'!$C$2)</f>
        <v>0</v>
      </c>
      <c r="AP47" s="549">
        <f>SUMIFS(BS_RE33!$H$7:$H$874,BS_RE33!$S$7:$S$874,$AP$2,BS_RE33!$N$7:$N$874,I47,BS_RE33!$P$7:$P$874,'30 days CF Table(EUR)'!G47,BS_RE33!$F$7:$F$874,'30 days CF Table(EUR)'!$C$2)</f>
        <v>0</v>
      </c>
      <c r="AQ47" s="550"/>
      <c r="AR47" s="380">
        <f>SUMIFS(BS_RE33!$H$7:$H$874,BS_RE33!$S$7:$S$874,$AR$2,BS_RE33!$N$7:$N$874,I47,BS_RE33!$P$7:$P$874,'30 days CF Table(EUR)'!G47,BS_RE33!$F$7:$F$874,'30 days CF Table(EUR)'!$C$2)</f>
        <v>0</v>
      </c>
      <c r="AS47" s="380">
        <f>SUMIFS(BS_RE33!$H$7:$H$874,BS_RE33!$S$7:$S$874,$AS$2,BS_RE33!$N$7:$N$874,I47,BS_RE33!$P$7:$P$874,'30 days CF Table(EUR)'!G47,BS_RE33!$F$7:$F$874,'30 days CF Table(EUR)'!$C$2)</f>
        <v>0</v>
      </c>
      <c r="AT47" s="380">
        <f>SUMIFS(BS_RE33!$H$7:$H$874,BS_RE33!$S$7:$S$874,$AT$2,BS_RE33!$N$7:$N$874,I47,BS_RE33!$P$7:$P$874,'30 days CF Table(EUR)'!G47,BS_RE33!$F$7:$F$874,'30 days CF Table(EUR)'!$C$2)</f>
        <v>0</v>
      </c>
      <c r="AU47" s="380">
        <f>SUMIFS(BS_RE33!$H$7:$H$874,BS_RE33!$S$7:$S$874,$AU$2,BS_RE33!$N$7:$N$874,I47,BS_RE33!$P$7:$P$874,'30 days CF Table(EUR)'!G47,BS_RE33!$F$7:$F$874,'30 days CF Table(EUR)'!$C$2)</f>
        <v>0</v>
      </c>
      <c r="AV47" s="380">
        <f>SUMIFS(BS_RE33!$H$7:$H$874,BS_RE33!$S$7:$S$874,$AV$2,BS_RE33!$N$7:$N$874,I47,BS_RE33!$P$7:$P$874,'30 days CF Table(EUR)'!G47,BS_RE33!$F$7:$F$874,'30 days CF Table(EUR)'!$C$2)</f>
        <v>0</v>
      </c>
      <c r="AW47" s="380">
        <f>SUMIFS(BS_RE33!$H$7:$H$874,BS_RE33!$S$7:$S$874,$AW$2,BS_RE33!$N$7:$N$874,I47,BS_RE33!$P$7:$P$874,'30 days CF Table(EUR)'!G47,BS_RE33!$F$7:$F$874,'30 days CF Table(EUR)'!$C$2)</f>
        <v>0</v>
      </c>
      <c r="AX47" s="380">
        <f>SUMIFS(BS_RE33!$H$7:$H$874,BS_RE33!$S$7:$S$874,$AX$2,BS_RE33!$N$7:$N$874,I47,BS_RE33!$P$7:$P$874,'30 days CF Table(EUR)'!G47,BS_RE33!$F$7:$F$874,'30 days CF Table(EUR)'!$C$2)</f>
        <v>0</v>
      </c>
      <c r="AY47" s="380">
        <f>SUMIFS(BS_RE33!$H$7:$H$874,BS_RE33!$S$7:$S$874,$AY$2,BS_RE33!$N$7:$N$874,I47,BS_RE33!$P$7:$P$874,'30 days CF Table(EUR)'!G47,BS_RE33!$F$7:$F$874,'30 days CF Table(EUR)'!$C$2)</f>
        <v>0</v>
      </c>
      <c r="AZ47" s="380">
        <f>SUMIFS(BS_RE33!$H$7:$H$874,BS_RE33!$S$7:$S$874,$AZ$2,BS_RE33!$N$7:$N$874,I47,BS_RE33!$P$7:$P$874,'30 days CF Table(EUR)'!G47,BS_RE33!$F$7:$F$874,'30 days CF Table(EUR)'!$C$2)</f>
        <v>0</v>
      </c>
      <c r="BA47" s="380">
        <f>SUMIFS(BS_RE33!$H$7:$H$874,BS_RE33!$S$7:$S$874,$BA$2,BS_RE33!$N$7:$N$874,I47,BS_RE33!$P$7:$P$874,'30 days CF Table(EUR)'!G47,BS_RE33!$F$7:$F$874,'30 days CF Table(EUR)'!$C$2)</f>
        <v>0</v>
      </c>
      <c r="BB47" s="380">
        <f>SUMIFS(BS_RE33!$H$7:$H$874,BS_RE33!$S$7:$S$874,$BB$2,BS_RE33!$N$7:$N$874,I47,BS_RE33!$P$7:$P$874,'30 days CF Table(EUR)'!G47,BS_RE33!$F$7:$F$874,'30 days CF Table(EUR)'!$C$2)</f>
        <v>0</v>
      </c>
      <c r="BC47" s="380">
        <f>SUMIFS(BS_RE33!$H$7:$H$874,BS_RE33!$S$7:$S$874,$BC$2,BS_RE33!$N$7:$N$874,I47,BS_RE33!$P$7:$P$874,'30 days CF Table(EUR)'!G47,BS_RE33!$F$7:$F$874,'30 days CF Table(EUR)'!$C$2)</f>
        <v>0</v>
      </c>
      <c r="BD47" s="380">
        <f>SUMIFS(BS_RE33!$H$7:$H$874,BS_RE33!$S$7:$S$874,$BD$2,BS_RE33!$N$7:$N$874,I47,BS_RE33!$P$7:$P$874,'30 days CF Table(EUR)'!G47,BS_RE33!$F$7:$F$874,'30 days CF Table(EUR)'!$C$2)</f>
        <v>0</v>
      </c>
      <c r="BE47" s="380">
        <f>SUMIFS(BS_RE33!$H$7:$H$874,BS_RE33!$S$7:$S$874,$BE$2,BS_RE33!$N$7:$N$874,I47,BS_RE33!$P$7:$P$874,'30 days CF Table(EUR)'!G47,BS_RE33!$F$7:$F$874,'30 days CF Table(EUR)'!$C$2)</f>
        <v>0</v>
      </c>
      <c r="BF47" s="380">
        <f>SUMIFS(BS_RE33!$H$7:$H$874,BS_RE33!$S$7:$S$874,$BF$2,BS_RE33!$N$7:$N$874,I47,BS_RE33!$P$7:$P$874,'30 days CF Table(EUR)'!G47,BS_RE33!$F$7:$F$874,'30 days CF Table(EUR)'!$C$2)</f>
        <v>0</v>
      </c>
      <c r="BG47" s="380">
        <f>SUMIFS(BS_RE33!$H$7:$H$874,BS_RE33!$S$7:$S$874,$BG$2,BS_RE33!$N$7:$N$874,I47,BS_RE33!$P$7:$P$874,'30 days CF Table(EUR)'!G47,BS_RE33!$F$7:$F$874,'30 days CF Table(EUR)'!$C$2)</f>
        <v>0</v>
      </c>
      <c r="BH47" s="380">
        <f>SUMIFS(BS_RE33!$H$7:$H$874,BS_RE33!$S$7:$S$874,$BH$2,BS_RE33!$N$7:$N$874,I47,BS_RE33!$P$7:$P$874,'30 days CF Table(EUR)'!G47,BS_RE33!$F$7:$F$874,'30 days CF Table(EUR)'!$C$2)</f>
        <v>0</v>
      </c>
      <c r="BI47" s="380">
        <f>SUMIFS(BS_RE33!$H$7:$H$874,BS_RE33!$S$7:$S$874,$BI$2,BS_RE33!$N$7:$N$874,I47,BS_RE33!$P$7:$P$874,'30 days CF Table(EUR)'!G47,BS_RE33!$F$7:$F$874,'30 days CF Table(EUR)'!$C$2)</f>
        <v>0</v>
      </c>
      <c r="BJ47" s="380">
        <f>SUMIFS(BS_RE33!$H$7:$H$874,BS_RE33!$S$7:$S$874,$BJ$2,BS_RE33!$N$7:$N$874,I47,BS_RE33!$P$7:$P$874,'30 days CF Table(EUR)'!G47,BS_RE33!$F$7:$F$874,'30 days CF Table(EUR)'!$C$2)</f>
        <v>0</v>
      </c>
      <c r="BK47" s="380">
        <f>SUMIFS(BS_RE33!$H$7:$H$874,BS_RE33!$S$7:$S$874,$BK$2,BS_RE33!$N$7:$N$874,I47,BS_RE33!$P$7:$P$874,'30 days CF Table(EUR)'!G47,BS_RE33!$F$7:$F$874,'30 days CF Table(EUR)'!$C$2)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Table(EUR)'!G48,BS_RE33!$F$7:$F$874,'30 days CF Table(EUR)'!$C$2)</f>
        <v>0</v>
      </c>
      <c r="M48" s="548">
        <f>SUMIFS(BS_RE33!$H$7:$H$874,BS_RE33!$S$7:$S$874,$M$2,BS_RE33!$N$7:$N$874,I48,BS_RE33!$P$7:$P$874,'30 days CF Table(EUR)'!G48,BS_RE33!$F$7:$F$874,'30 days CF Table(EUR)'!$C$2)</f>
        <v>0</v>
      </c>
      <c r="N48" s="548">
        <f>SUMIFS(BS_RE33!$H$7:$H$874,BS_RE33!$S$7:$S$874,$N$2,BS_RE33!$N$7:$N$874,I48,BS_RE33!$P$7:$P$874,'30 days CF Table(EUR)'!G48,BS_RE33!$F$7:$F$874,'30 days CF Table(EUR)'!$C$2)</f>
        <v>0</v>
      </c>
      <c r="O48" s="548">
        <f>SUMIFS(BS_RE33!$H$7:$H$874,BS_RE33!$S$7:$S$874,$O$2,BS_RE33!$N$7:$N$874,I48,BS_RE33!$P$7:$P$874,'30 days CF Table(EUR)'!G48,BS_RE33!$F$7:$F$874,'30 days CF Table(EUR)'!$C$2)</f>
        <v>0</v>
      </c>
      <c r="P48" s="548">
        <f>SUMIFS(BS_RE33!$H$7:$H$874,BS_RE33!$S$7:$S$874,$P$2,BS_RE33!$N$7:$N$874,I48,BS_RE33!$P$7:$P$874,'30 days CF Table(EUR)'!G48,BS_RE33!$F$7:$F$874,'30 days CF Table(EUR)'!$C$2)</f>
        <v>0</v>
      </c>
      <c r="Q48" s="548">
        <f>SUMIFS(BS_RE33!$H$7:$H$874,BS_RE33!$S$7:$S$874,$Q$2,BS_RE33!$N$7:$N$874,I48,BS_RE33!$P$7:$P$874,'30 days CF Table(EUR)'!G48,BS_RE33!$F$7:$F$874,'30 days CF Table(EUR)'!$C$2)</f>
        <v>0</v>
      </c>
      <c r="R48" s="548">
        <f>SUMIFS(BS_RE33!$H$7:$H$874,BS_RE33!$S$7:$S$874,$R$2,BS_RE33!$N$7:$N$874,I48,BS_RE33!$P$7:$P$874,'30 days CF Table(EUR)'!G48,BS_RE33!$F$7:$F$874,'30 days CF Table(EUR)'!$C$2)</f>
        <v>0</v>
      </c>
      <c r="S48" s="548">
        <f>SUMIFS(BS_RE33!$H$7:$H$874,BS_RE33!$S$7:$S$874,$S$2,BS_RE33!$N$7:$N$874,I48,BS_RE33!$P$7:$P$874,'30 days CF Table(EUR)'!G48,BS_RE33!$F$7:$F$874,'30 days CF Table(EUR)'!$C$2)</f>
        <v>0</v>
      </c>
      <c r="T48" s="548">
        <f>SUMIFS(BS_RE33!$H$7:$H$874,BS_RE33!$S$7:$S$874,$T$2,BS_RE33!$N$7:$N$874,I48,BS_RE33!$P$7:$P$874,'30 days CF Table(EUR)'!G48,BS_RE33!$F$7:$F$874,'30 days CF Table(EUR)'!$C$2)</f>
        <v>0</v>
      </c>
      <c r="U48" s="548">
        <f>SUMIFS(BS_RE33!$H$7:$H$874,BS_RE33!$S$7:$S$874,$U$2,BS_RE33!$N$7:$N$874,I48,BS_RE33!$P$7:$P$874,'30 days CF Table(EUR)'!G48,BS_RE33!$F$7:$F$874,'30 days CF Table(EUR)'!$C$2)</f>
        <v>0</v>
      </c>
      <c r="V48" s="548">
        <f>SUMIFS(BS_RE33!$H$7:$H$874,BS_RE33!$S$7:$S$874,$V$2,BS_RE33!$N$7:$N$874,I48,BS_RE33!$P$7:$P$874,'30 days CF Table(EUR)'!G48,BS_RE33!$F$7:$F$874,'30 days CF Table(EUR)'!$C$2)</f>
        <v>0</v>
      </c>
      <c r="W48" s="548">
        <f>SUMIFS(BS_RE33!$H$7:$H$874,BS_RE33!$S$7:$S$874,$W$2,BS_RE33!$N$7:$N$874,I48,BS_RE33!$P$7:$P$874,'30 days CF Table(EUR)'!G48,BS_RE33!$F$7:$F$874,'30 days CF Table(EUR)'!$C$2)</f>
        <v>0</v>
      </c>
      <c r="X48" s="548">
        <f>SUMIFS(BS_RE33!$H$7:$H$874,BS_RE33!$S$7:$S$874,$X$2,BS_RE33!$N$7:$N$874,I48,BS_RE33!$P$7:$P$874,'30 days CF Table(EUR)'!G48,BS_RE33!$F$7:$F$874,'30 days CF Table(EUR)'!$C$2)</f>
        <v>0</v>
      </c>
      <c r="Y48" s="548">
        <f>SUMIFS(BS_RE33!$H$7:$H$874,BS_RE33!$S$7:$S$874,$Y$2,BS_RE33!$N$7:$N$874,I48,BS_RE33!$P$7:$P$874,'30 days CF Table(EUR)'!G48,BS_RE33!$F$7:$F$874,'30 days CF Table(EUR)'!$C$2)</f>
        <v>0</v>
      </c>
      <c r="Z48" s="548">
        <f>SUMIFS(BS_RE33!$H$7:$H$874,BS_RE33!$S$7:$S$874,$Z$2,BS_RE33!$N$7:$N$874,I48,BS_RE33!$P$7:$P$874,'30 days CF Table(EUR)'!G48,BS_RE33!$F$7:$F$874,'30 days CF Table(EUR)'!$C$2)</f>
        <v>0</v>
      </c>
      <c r="AA48" s="548">
        <f>SUMIFS(BS_RE33!$H$7:$H$874,BS_RE33!$S$7:$S$874,$AA$2,BS_RE33!$N$7:$N$874,I48,BS_RE33!$P$7:$P$874,'30 days CF Table(EUR)'!G48,BS_RE33!$F$7:$F$874,'30 days CF Table(EUR)'!$C$2)</f>
        <v>0</v>
      </c>
      <c r="AB48" s="548">
        <f>SUMIFS(BS_RE33!$H$7:$H$874,BS_RE33!$S$7:$S$874,$AB$2,BS_RE33!$N$7:$N$874,I48,BS_RE33!$P$7:$P$874,'30 days CF Table(EUR)'!G48,BS_RE33!$F$7:$F$874,'30 days CF Table(EUR)'!$C$2)</f>
        <v>0</v>
      </c>
      <c r="AC48" s="548">
        <f>SUMIFS(BS_RE33!$H$7:$H$874,BS_RE33!$S$7:$S$874,$AC$2,BS_RE33!$N$7:$N$874,I48,BS_RE33!$P$7:$P$874,'30 days CF Table(EUR)'!G48,BS_RE33!$F$7:$F$874,'30 days CF Table(EUR)'!$C$2)</f>
        <v>0</v>
      </c>
      <c r="AD48" s="548">
        <f>SUMIFS(BS_RE33!$H$7:$H$874,BS_RE33!$S$7:$S$874,$AD$2,BS_RE33!$N$7:$N$874,I48,BS_RE33!$P$7:$P$874,'30 days CF Table(EUR)'!G48,BS_RE33!$F$7:$F$874,'30 days CF Table(EUR)'!$C$2)</f>
        <v>0</v>
      </c>
      <c r="AE48" s="548">
        <f>SUMIFS(BS_RE33!$H$7:$H$874,BS_RE33!$S$7:$S$874,$AE$2,BS_RE33!$N$7:$N$874,I48,BS_RE33!$P$7:$P$874,'30 days CF Table(EUR)'!G48,BS_RE33!$F$7:$F$874,'30 days CF Table(EUR)'!$C$2)</f>
        <v>0</v>
      </c>
      <c r="AF48" s="548">
        <f>SUMIFS(BS_RE33!$H$7:$H$874,BS_RE33!$S$7:$S$874,$AF$2,BS_RE33!$N$7:$N$874,I48,BS_RE33!$P$7:$P$874,'30 days CF Table(EUR)'!G48,BS_RE33!$F$7:$F$874,'30 days CF Table(EUR)'!$C$2)</f>
        <v>0</v>
      </c>
      <c r="AG48" s="548">
        <f>SUMIFS(BS_RE33!$H$7:$H$874,BS_RE33!$S$7:$S$874,$AG$2,BS_RE33!$N$7:$N$874,I48,BS_RE33!$P$7:$P$874,'30 days CF Table(EUR)'!G48,BS_RE33!$F$7:$F$874,'30 days CF Table(EUR)'!$C$2)</f>
        <v>0</v>
      </c>
      <c r="AH48" s="548">
        <f>SUMIFS(BS_RE33!$H$7:$H$874,BS_RE33!$S$7:$S$874,$AH$2,BS_RE33!$N$7:$N$874,I48,BS_RE33!$P$7:$P$874,'30 days CF Table(EUR)'!G48,BS_RE33!$F$7:$F$874,'30 days CF Table(EUR)'!$C$2)</f>
        <v>0</v>
      </c>
      <c r="AI48" s="548">
        <f>SUMIFS(BS_RE33!$H$7:$H$874,BS_RE33!$S$7:$S$874,$AI$2,BS_RE33!$N$7:$N$874,I48,BS_RE33!$P$7:$P$874,'30 days CF Table(EUR)'!G48,BS_RE33!$F$7:$F$874,'30 days CF Table(EUR)'!$C$2)</f>
        <v>0</v>
      </c>
      <c r="AJ48" s="548">
        <f>SUMIFS(BS_RE33!$H$7:$H$874,BS_RE33!$S$7:$S$874,$AJ$2,BS_RE33!$N$7:$N$874,I48,BS_RE33!$P$7:$P$874,'30 days CF Table(EUR)'!G48,BS_RE33!$F$7:$F$874,'30 days CF Table(EUR)'!$C$2)</f>
        <v>0</v>
      </c>
      <c r="AK48" s="548">
        <f>SUMIFS(BS_RE33!$H$7:$H$874,BS_RE33!$S$7:$S$874,$AK$2,BS_RE33!$N$7:$N$874,I48,BS_RE33!$P$7:$P$874,'30 days CF Table(EUR)'!G48,BS_RE33!$F$7:$F$874,'30 days CF Table(EUR)'!$C$2)</f>
        <v>0</v>
      </c>
      <c r="AL48" s="548">
        <f>SUMIFS(BS_RE33!$H$7:$H$874,BS_RE33!$S$7:$S$874,$AL$2,BS_RE33!$N$7:$N$874,I48,BS_RE33!$P$7:$P$874,'30 days CF Table(EUR)'!G48,BS_RE33!$F$7:$F$874,'30 days CF Table(EUR)'!$C$2)</f>
        <v>0</v>
      </c>
      <c r="AM48" s="548">
        <f>SUMIFS(BS_RE33!$H$7:$H$874,BS_RE33!$S$7:$S$874,$AM$2,BS_RE33!$N$7:$N$874,I48,BS_RE33!$P$7:$P$874,'30 days CF Table(EUR)'!G48,BS_RE33!$F$7:$F$874,'30 days CF Table(EUR)'!$C$2)</f>
        <v>0</v>
      </c>
      <c r="AN48" s="548">
        <f>SUMIFS(BS_RE33!$H$7:$H$874,BS_RE33!$S$7:$S$874,$AN$2,BS_RE33!$N$7:$N$874,I48,BS_RE33!$P$7:$P$874,'30 days CF Table(EUR)'!G48,BS_RE33!$F$7:$F$874,'30 days CF Table(EUR)'!$C$2)</f>
        <v>0</v>
      </c>
      <c r="AO48" s="548">
        <f>SUMIFS(BS_RE33!$H$7:$H$874,BS_RE33!$S$7:$S$874,$AO$2,BS_RE33!$N$7:$N$874,I48,BS_RE33!$P$7:$P$874,'30 days CF Table(EUR)'!G48,BS_RE33!$F$7:$F$874,'30 days CF Table(EUR)'!$C$2)</f>
        <v>0</v>
      </c>
      <c r="AP48" s="549">
        <f>SUMIFS(BS_RE33!$H$7:$H$874,BS_RE33!$S$7:$S$874,$AP$2,BS_RE33!$N$7:$N$874,I48,BS_RE33!$P$7:$P$874,'30 days CF Table(EUR)'!G48,BS_RE33!$F$7:$F$874,'30 days CF Table(EUR)'!$C$2)</f>
        <v>0</v>
      </c>
      <c r="AQ48" s="550"/>
      <c r="AR48" s="380">
        <f>SUMIFS(BS_RE33!$H$7:$H$874,BS_RE33!$S$7:$S$874,$AR$2,BS_RE33!$N$7:$N$874,I48,BS_RE33!$P$7:$P$874,'30 days CF Table(EUR)'!G48,BS_RE33!$F$7:$F$874,'30 days CF Table(EUR)'!$C$2)</f>
        <v>0</v>
      </c>
      <c r="AS48" s="380">
        <f>SUMIFS(BS_RE33!$H$7:$H$874,BS_RE33!$S$7:$S$874,$AS$2,BS_RE33!$N$7:$N$874,I48,BS_RE33!$P$7:$P$874,'30 days CF Table(EUR)'!G48,BS_RE33!$F$7:$F$874,'30 days CF Table(EUR)'!$C$2)</f>
        <v>0</v>
      </c>
      <c r="AT48" s="380">
        <f>SUMIFS(BS_RE33!$H$7:$H$874,BS_RE33!$S$7:$S$874,$AT$2,BS_RE33!$N$7:$N$874,I48,BS_RE33!$P$7:$P$874,'30 days CF Table(EUR)'!G48,BS_RE33!$F$7:$F$874,'30 days CF Table(EUR)'!$C$2)</f>
        <v>0</v>
      </c>
      <c r="AU48" s="380">
        <f>SUMIFS(BS_RE33!$H$7:$H$874,BS_RE33!$S$7:$S$874,$AU$2,BS_RE33!$N$7:$N$874,I48,BS_RE33!$P$7:$P$874,'30 days CF Table(EUR)'!G48,BS_RE33!$F$7:$F$874,'30 days CF Table(EUR)'!$C$2)</f>
        <v>0</v>
      </c>
      <c r="AV48" s="380">
        <f>SUMIFS(BS_RE33!$H$7:$H$874,BS_RE33!$S$7:$S$874,$AV$2,BS_RE33!$N$7:$N$874,I48,BS_RE33!$P$7:$P$874,'30 days CF Table(EUR)'!G48,BS_RE33!$F$7:$F$874,'30 days CF Table(EUR)'!$C$2)</f>
        <v>0</v>
      </c>
      <c r="AW48" s="380">
        <f>SUMIFS(BS_RE33!$H$7:$H$874,BS_RE33!$S$7:$S$874,$AW$2,BS_RE33!$N$7:$N$874,I48,BS_RE33!$P$7:$P$874,'30 days CF Table(EUR)'!G48,BS_RE33!$F$7:$F$874,'30 days CF Table(EUR)'!$C$2)</f>
        <v>0</v>
      </c>
      <c r="AX48" s="380">
        <f>SUMIFS(BS_RE33!$H$7:$H$874,BS_RE33!$S$7:$S$874,$AX$2,BS_RE33!$N$7:$N$874,I48,BS_RE33!$P$7:$P$874,'30 days CF Table(EUR)'!G48,BS_RE33!$F$7:$F$874,'30 days CF Table(EUR)'!$C$2)</f>
        <v>0</v>
      </c>
      <c r="AY48" s="380">
        <f>SUMIFS(BS_RE33!$H$7:$H$874,BS_RE33!$S$7:$S$874,$AY$2,BS_RE33!$N$7:$N$874,I48,BS_RE33!$P$7:$P$874,'30 days CF Table(EUR)'!G48,BS_RE33!$F$7:$F$874,'30 days CF Table(EUR)'!$C$2)</f>
        <v>0</v>
      </c>
      <c r="AZ48" s="380">
        <f>SUMIFS(BS_RE33!$H$7:$H$874,BS_RE33!$S$7:$S$874,$AZ$2,BS_RE33!$N$7:$N$874,I48,BS_RE33!$P$7:$P$874,'30 days CF Table(EUR)'!G48,BS_RE33!$F$7:$F$874,'30 days CF Table(EUR)'!$C$2)</f>
        <v>0</v>
      </c>
      <c r="BA48" s="380">
        <f>SUMIFS(BS_RE33!$H$7:$H$874,BS_RE33!$S$7:$S$874,$BA$2,BS_RE33!$N$7:$N$874,I48,BS_RE33!$P$7:$P$874,'30 days CF Table(EUR)'!G48,BS_RE33!$F$7:$F$874,'30 days CF Table(EUR)'!$C$2)</f>
        <v>0</v>
      </c>
      <c r="BB48" s="380">
        <f>SUMIFS(BS_RE33!$H$7:$H$874,BS_RE33!$S$7:$S$874,$BB$2,BS_RE33!$N$7:$N$874,I48,BS_RE33!$P$7:$P$874,'30 days CF Table(EUR)'!G48,BS_RE33!$F$7:$F$874,'30 days CF Table(EUR)'!$C$2)</f>
        <v>0</v>
      </c>
      <c r="BC48" s="380">
        <f>SUMIFS(BS_RE33!$H$7:$H$874,BS_RE33!$S$7:$S$874,$BC$2,BS_RE33!$N$7:$N$874,I48,BS_RE33!$P$7:$P$874,'30 days CF Table(EUR)'!G48,BS_RE33!$F$7:$F$874,'30 days CF Table(EUR)'!$C$2)</f>
        <v>0</v>
      </c>
      <c r="BD48" s="380">
        <f>SUMIFS(BS_RE33!$H$7:$H$874,BS_RE33!$S$7:$S$874,$BD$2,BS_RE33!$N$7:$N$874,I48,BS_RE33!$P$7:$P$874,'30 days CF Table(EUR)'!G48,BS_RE33!$F$7:$F$874,'30 days CF Table(EUR)'!$C$2)</f>
        <v>0</v>
      </c>
      <c r="BE48" s="380">
        <f>SUMIFS(BS_RE33!$H$7:$H$874,BS_RE33!$S$7:$S$874,$BE$2,BS_RE33!$N$7:$N$874,I48,BS_RE33!$P$7:$P$874,'30 days CF Table(EUR)'!G48,BS_RE33!$F$7:$F$874,'30 days CF Table(EUR)'!$C$2)</f>
        <v>0</v>
      </c>
      <c r="BF48" s="380">
        <f>SUMIFS(BS_RE33!$H$7:$H$874,BS_RE33!$S$7:$S$874,$BF$2,BS_RE33!$N$7:$N$874,I48,BS_RE33!$P$7:$P$874,'30 days CF Table(EUR)'!G48,BS_RE33!$F$7:$F$874,'30 days CF Table(EUR)'!$C$2)</f>
        <v>0</v>
      </c>
      <c r="BG48" s="380">
        <f>SUMIFS(BS_RE33!$H$7:$H$874,BS_RE33!$S$7:$S$874,$BG$2,BS_RE33!$N$7:$N$874,I48,BS_RE33!$P$7:$P$874,'30 days CF Table(EUR)'!G48,BS_RE33!$F$7:$F$874,'30 days CF Table(EUR)'!$C$2)</f>
        <v>0</v>
      </c>
      <c r="BH48" s="380">
        <f>SUMIFS(BS_RE33!$H$7:$H$874,BS_RE33!$S$7:$S$874,$BH$2,BS_RE33!$N$7:$N$874,I48,BS_RE33!$P$7:$P$874,'30 days CF Table(EUR)'!G48,BS_RE33!$F$7:$F$874,'30 days CF Table(EUR)'!$C$2)</f>
        <v>0</v>
      </c>
      <c r="BI48" s="380">
        <f>SUMIFS(BS_RE33!$H$7:$H$874,BS_RE33!$S$7:$S$874,$BI$2,BS_RE33!$N$7:$N$874,I48,BS_RE33!$P$7:$P$874,'30 days CF Table(EUR)'!G48,BS_RE33!$F$7:$F$874,'30 days CF Table(EUR)'!$C$2)</f>
        <v>0</v>
      </c>
      <c r="BJ48" s="380">
        <f>SUMIFS(BS_RE33!$H$7:$H$874,BS_RE33!$S$7:$S$874,$BJ$2,BS_RE33!$N$7:$N$874,I48,BS_RE33!$P$7:$P$874,'30 days CF Table(EUR)'!G48,BS_RE33!$F$7:$F$874,'30 days CF Table(EUR)'!$C$2)</f>
        <v>0</v>
      </c>
      <c r="BK48" s="380">
        <f>SUMIFS(BS_RE33!$H$7:$H$874,BS_RE33!$S$7:$S$874,$BK$2,BS_RE33!$N$7:$N$874,I48,BS_RE33!$P$7:$P$874,'30 days CF Table(EUR)'!G48,BS_RE33!$F$7:$F$874,'30 days CF Table(EUR)'!$C$2)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Table(EUR)'!G49,BS_RE33!$F$7:$F$874,'30 days CF Table(EUR)'!$C$2)</f>
        <v>0</v>
      </c>
      <c r="M49" s="548">
        <f>SUMIFS(BS_RE33!$H$7:$H$874,BS_RE33!$S$7:$S$874,$M$2,BS_RE33!$N$7:$N$874,I49,BS_RE33!$P$7:$P$874,'30 days CF Table(EUR)'!G49,BS_RE33!$F$7:$F$874,'30 days CF Table(EUR)'!$C$2)</f>
        <v>0</v>
      </c>
      <c r="N49" s="548">
        <f>SUMIFS(BS_RE33!$H$7:$H$874,BS_RE33!$S$7:$S$874,$N$2,BS_RE33!$N$7:$N$874,I49,BS_RE33!$P$7:$P$874,'30 days CF Table(EUR)'!G49,BS_RE33!$F$7:$F$874,'30 days CF Table(EUR)'!$C$2)</f>
        <v>0</v>
      </c>
      <c r="O49" s="548">
        <f>SUMIFS(BS_RE33!$H$7:$H$874,BS_RE33!$S$7:$S$874,$O$2,BS_RE33!$N$7:$N$874,I49,BS_RE33!$P$7:$P$874,'30 days CF Table(EUR)'!G49,BS_RE33!$F$7:$F$874,'30 days CF Table(EUR)'!$C$2)</f>
        <v>0</v>
      </c>
      <c r="P49" s="548">
        <f>SUMIFS(BS_RE33!$H$7:$H$874,BS_RE33!$S$7:$S$874,$P$2,BS_RE33!$N$7:$N$874,I49,BS_RE33!$P$7:$P$874,'30 days CF Table(EUR)'!G49,BS_RE33!$F$7:$F$874,'30 days CF Table(EUR)'!$C$2)</f>
        <v>0</v>
      </c>
      <c r="Q49" s="548">
        <f>SUMIFS(BS_RE33!$H$7:$H$874,BS_RE33!$S$7:$S$874,$Q$2,BS_RE33!$N$7:$N$874,I49,BS_RE33!$P$7:$P$874,'30 days CF Table(EUR)'!G49,BS_RE33!$F$7:$F$874,'30 days CF Table(EUR)'!$C$2)</f>
        <v>0</v>
      </c>
      <c r="R49" s="548">
        <f>SUMIFS(BS_RE33!$H$7:$H$874,BS_RE33!$S$7:$S$874,$R$2,BS_RE33!$N$7:$N$874,I49,BS_RE33!$P$7:$P$874,'30 days CF Table(EUR)'!G49,BS_RE33!$F$7:$F$874,'30 days CF Table(EUR)'!$C$2)</f>
        <v>0</v>
      </c>
      <c r="S49" s="548">
        <f>SUMIFS(BS_RE33!$H$7:$H$874,BS_RE33!$S$7:$S$874,$S$2,BS_RE33!$N$7:$N$874,I49,BS_RE33!$P$7:$P$874,'30 days CF Table(EUR)'!G49,BS_RE33!$F$7:$F$874,'30 days CF Table(EUR)'!$C$2)</f>
        <v>0</v>
      </c>
      <c r="T49" s="548">
        <f>SUMIFS(BS_RE33!$H$7:$H$874,BS_RE33!$S$7:$S$874,$T$2,BS_RE33!$N$7:$N$874,I49,BS_RE33!$P$7:$P$874,'30 days CF Table(EUR)'!G49,BS_RE33!$F$7:$F$874,'30 days CF Table(EUR)'!$C$2)</f>
        <v>0</v>
      </c>
      <c r="U49" s="548">
        <f>SUMIFS(BS_RE33!$H$7:$H$874,BS_RE33!$S$7:$S$874,$U$2,BS_RE33!$N$7:$N$874,I49,BS_RE33!$P$7:$P$874,'30 days CF Table(EUR)'!G49,BS_RE33!$F$7:$F$874,'30 days CF Table(EUR)'!$C$2)</f>
        <v>0</v>
      </c>
      <c r="V49" s="548">
        <f>SUMIFS(BS_RE33!$H$7:$H$874,BS_RE33!$S$7:$S$874,$V$2,BS_RE33!$N$7:$N$874,I49,BS_RE33!$P$7:$P$874,'30 days CF Table(EUR)'!G49,BS_RE33!$F$7:$F$874,'30 days CF Table(EUR)'!$C$2)</f>
        <v>0</v>
      </c>
      <c r="W49" s="548">
        <f>SUMIFS(BS_RE33!$H$7:$H$874,BS_RE33!$S$7:$S$874,$W$2,BS_RE33!$N$7:$N$874,I49,BS_RE33!$P$7:$P$874,'30 days CF Table(EUR)'!G49,BS_RE33!$F$7:$F$874,'30 days CF Table(EUR)'!$C$2)</f>
        <v>0</v>
      </c>
      <c r="X49" s="548">
        <f>SUMIFS(BS_RE33!$H$7:$H$874,BS_RE33!$S$7:$S$874,$X$2,BS_RE33!$N$7:$N$874,I49,BS_RE33!$P$7:$P$874,'30 days CF Table(EUR)'!G49,BS_RE33!$F$7:$F$874,'30 days CF Table(EUR)'!$C$2)</f>
        <v>0</v>
      </c>
      <c r="Y49" s="548">
        <f>SUMIFS(BS_RE33!$H$7:$H$874,BS_RE33!$S$7:$S$874,$Y$2,BS_RE33!$N$7:$N$874,I49,BS_RE33!$P$7:$P$874,'30 days CF Table(EUR)'!G49,BS_RE33!$F$7:$F$874,'30 days CF Table(EUR)'!$C$2)</f>
        <v>0</v>
      </c>
      <c r="Z49" s="548">
        <f>SUMIFS(BS_RE33!$H$7:$H$874,BS_RE33!$S$7:$S$874,$Z$2,BS_RE33!$N$7:$N$874,I49,BS_RE33!$P$7:$P$874,'30 days CF Table(EUR)'!G49,BS_RE33!$F$7:$F$874,'30 days CF Table(EUR)'!$C$2)</f>
        <v>0</v>
      </c>
      <c r="AA49" s="548">
        <f>SUMIFS(BS_RE33!$H$7:$H$874,BS_RE33!$S$7:$S$874,$AA$2,BS_RE33!$N$7:$N$874,I49,BS_RE33!$P$7:$P$874,'30 days CF Table(EUR)'!G49,BS_RE33!$F$7:$F$874,'30 days CF Table(EUR)'!$C$2)</f>
        <v>0</v>
      </c>
      <c r="AB49" s="548">
        <f>SUMIFS(BS_RE33!$H$7:$H$874,BS_RE33!$S$7:$S$874,$AB$2,BS_RE33!$N$7:$N$874,I49,BS_RE33!$P$7:$P$874,'30 days CF Table(EUR)'!G49,BS_RE33!$F$7:$F$874,'30 days CF Table(EUR)'!$C$2)</f>
        <v>0</v>
      </c>
      <c r="AC49" s="548">
        <f>SUMIFS(BS_RE33!$H$7:$H$874,BS_RE33!$S$7:$S$874,$AC$2,BS_RE33!$N$7:$N$874,I49,BS_RE33!$P$7:$P$874,'30 days CF Table(EUR)'!G49,BS_RE33!$F$7:$F$874,'30 days CF Table(EUR)'!$C$2)</f>
        <v>0</v>
      </c>
      <c r="AD49" s="548">
        <f>SUMIFS(BS_RE33!$H$7:$H$874,BS_RE33!$S$7:$S$874,$AD$2,BS_RE33!$N$7:$N$874,I49,BS_RE33!$P$7:$P$874,'30 days CF Table(EUR)'!G49,BS_RE33!$F$7:$F$874,'30 days CF Table(EUR)'!$C$2)</f>
        <v>0</v>
      </c>
      <c r="AE49" s="548">
        <f>SUMIFS(BS_RE33!$H$7:$H$874,BS_RE33!$S$7:$S$874,$AE$2,BS_RE33!$N$7:$N$874,I49,BS_RE33!$P$7:$P$874,'30 days CF Table(EUR)'!G49,BS_RE33!$F$7:$F$874,'30 days CF Table(EUR)'!$C$2)</f>
        <v>0</v>
      </c>
      <c r="AF49" s="548">
        <f>SUMIFS(BS_RE33!$H$7:$H$874,BS_RE33!$S$7:$S$874,$AF$2,BS_RE33!$N$7:$N$874,I49,BS_RE33!$P$7:$P$874,'30 days CF Table(EUR)'!G49,BS_RE33!$F$7:$F$874,'30 days CF Table(EUR)'!$C$2)</f>
        <v>0</v>
      </c>
      <c r="AG49" s="548">
        <f>SUMIFS(BS_RE33!$H$7:$H$874,BS_RE33!$S$7:$S$874,$AG$2,BS_RE33!$N$7:$N$874,I49,BS_RE33!$P$7:$P$874,'30 days CF Table(EUR)'!G49,BS_RE33!$F$7:$F$874,'30 days CF Table(EUR)'!$C$2)</f>
        <v>0</v>
      </c>
      <c r="AH49" s="548">
        <f>SUMIFS(BS_RE33!$H$7:$H$874,BS_RE33!$S$7:$S$874,$AH$2,BS_RE33!$N$7:$N$874,I49,BS_RE33!$P$7:$P$874,'30 days CF Table(EUR)'!G49,BS_RE33!$F$7:$F$874,'30 days CF Table(EUR)'!$C$2)</f>
        <v>0</v>
      </c>
      <c r="AI49" s="548">
        <f>SUMIFS(BS_RE33!$H$7:$H$874,BS_RE33!$S$7:$S$874,$AI$2,BS_RE33!$N$7:$N$874,I49,BS_RE33!$P$7:$P$874,'30 days CF Table(EUR)'!G49,BS_RE33!$F$7:$F$874,'30 days CF Table(EUR)'!$C$2)</f>
        <v>0</v>
      </c>
      <c r="AJ49" s="548">
        <f>SUMIFS(BS_RE33!$H$7:$H$874,BS_RE33!$S$7:$S$874,$AJ$2,BS_RE33!$N$7:$N$874,I49,BS_RE33!$P$7:$P$874,'30 days CF Table(EUR)'!G49,BS_RE33!$F$7:$F$874,'30 days CF Table(EUR)'!$C$2)</f>
        <v>0</v>
      </c>
      <c r="AK49" s="548">
        <f>SUMIFS(BS_RE33!$H$7:$H$874,BS_RE33!$S$7:$S$874,$AK$2,BS_RE33!$N$7:$N$874,I49,BS_RE33!$P$7:$P$874,'30 days CF Table(EUR)'!G49,BS_RE33!$F$7:$F$874,'30 days CF Table(EUR)'!$C$2)</f>
        <v>0</v>
      </c>
      <c r="AL49" s="548">
        <f>SUMIFS(BS_RE33!$H$7:$H$874,BS_RE33!$S$7:$S$874,$AL$2,BS_RE33!$N$7:$N$874,I49,BS_RE33!$P$7:$P$874,'30 days CF Table(EUR)'!G49,BS_RE33!$F$7:$F$874,'30 days CF Table(EUR)'!$C$2)</f>
        <v>0</v>
      </c>
      <c r="AM49" s="548">
        <f>SUMIFS(BS_RE33!$H$7:$H$874,BS_RE33!$S$7:$S$874,$AM$2,BS_RE33!$N$7:$N$874,I49,BS_RE33!$P$7:$P$874,'30 days CF Table(EUR)'!G49,BS_RE33!$F$7:$F$874,'30 days CF Table(EUR)'!$C$2)</f>
        <v>0</v>
      </c>
      <c r="AN49" s="548">
        <f>SUMIFS(BS_RE33!$H$7:$H$874,BS_RE33!$S$7:$S$874,$AN$2,BS_RE33!$N$7:$N$874,I49,BS_RE33!$P$7:$P$874,'30 days CF Table(EUR)'!G49,BS_RE33!$F$7:$F$874,'30 days CF Table(EUR)'!$C$2)</f>
        <v>0</v>
      </c>
      <c r="AO49" s="548">
        <f>SUMIFS(BS_RE33!$H$7:$H$874,BS_RE33!$S$7:$S$874,$AO$2,BS_RE33!$N$7:$N$874,I49,BS_RE33!$P$7:$P$874,'30 days CF Table(EUR)'!G49,BS_RE33!$F$7:$F$874,'30 days CF Table(EUR)'!$C$2)</f>
        <v>0</v>
      </c>
      <c r="AP49" s="549">
        <f>SUMIFS(BS_RE33!$H$7:$H$874,BS_RE33!$S$7:$S$874,$AP$2,BS_RE33!$N$7:$N$874,I49,BS_RE33!$P$7:$P$874,'30 days CF Table(EUR)'!G49,BS_RE33!$F$7:$F$874,'30 days CF Table(EUR)'!$C$2)</f>
        <v>0</v>
      </c>
      <c r="AQ49" s="550"/>
      <c r="AR49" s="380">
        <f>SUMIFS(BS_RE33!$H$7:$H$874,BS_RE33!$S$7:$S$874,$AR$2,BS_RE33!$N$7:$N$874,I49,BS_RE33!$P$7:$P$874,'30 days CF Table(EUR)'!G49,BS_RE33!$F$7:$F$874,'30 days CF Table(EUR)'!$C$2)</f>
        <v>0</v>
      </c>
      <c r="AS49" s="380">
        <f>SUMIFS(BS_RE33!$H$7:$H$874,BS_RE33!$S$7:$S$874,$AS$2,BS_RE33!$N$7:$N$874,I49,BS_RE33!$P$7:$P$874,'30 days CF Table(EUR)'!G49,BS_RE33!$F$7:$F$874,'30 days CF Table(EUR)'!$C$2)</f>
        <v>0</v>
      </c>
      <c r="AT49" s="380">
        <f>SUMIFS(BS_RE33!$H$7:$H$874,BS_RE33!$S$7:$S$874,$AT$2,BS_RE33!$N$7:$N$874,I49,BS_RE33!$P$7:$P$874,'30 days CF Table(EUR)'!G49,BS_RE33!$F$7:$F$874,'30 days CF Table(EUR)'!$C$2)</f>
        <v>0</v>
      </c>
      <c r="AU49" s="380">
        <f>SUMIFS(BS_RE33!$H$7:$H$874,BS_RE33!$S$7:$S$874,$AU$2,BS_RE33!$N$7:$N$874,I49,BS_RE33!$P$7:$P$874,'30 days CF Table(EUR)'!G49,BS_RE33!$F$7:$F$874,'30 days CF Table(EUR)'!$C$2)</f>
        <v>0</v>
      </c>
      <c r="AV49" s="380">
        <f>SUMIFS(BS_RE33!$H$7:$H$874,BS_RE33!$S$7:$S$874,$AV$2,BS_RE33!$N$7:$N$874,I49,BS_RE33!$P$7:$P$874,'30 days CF Table(EUR)'!G49,BS_RE33!$F$7:$F$874,'30 days CF Table(EUR)'!$C$2)</f>
        <v>0</v>
      </c>
      <c r="AW49" s="380">
        <f>SUMIFS(BS_RE33!$H$7:$H$874,BS_RE33!$S$7:$S$874,$AW$2,BS_RE33!$N$7:$N$874,I49,BS_RE33!$P$7:$P$874,'30 days CF Table(EUR)'!G49,BS_RE33!$F$7:$F$874,'30 days CF Table(EUR)'!$C$2)</f>
        <v>0</v>
      </c>
      <c r="AX49" s="380">
        <f>SUMIFS(BS_RE33!$H$7:$H$874,BS_RE33!$S$7:$S$874,$AX$2,BS_RE33!$N$7:$N$874,I49,BS_RE33!$P$7:$P$874,'30 days CF Table(EUR)'!G49,BS_RE33!$F$7:$F$874,'30 days CF Table(EUR)'!$C$2)</f>
        <v>0</v>
      </c>
      <c r="AY49" s="380">
        <f>SUMIFS(BS_RE33!$H$7:$H$874,BS_RE33!$S$7:$S$874,$AY$2,BS_RE33!$N$7:$N$874,I49,BS_RE33!$P$7:$P$874,'30 days CF Table(EUR)'!G49,BS_RE33!$F$7:$F$874,'30 days CF Table(EUR)'!$C$2)</f>
        <v>0</v>
      </c>
      <c r="AZ49" s="380">
        <f>SUMIFS(BS_RE33!$H$7:$H$874,BS_RE33!$S$7:$S$874,$AZ$2,BS_RE33!$N$7:$N$874,I49,BS_RE33!$P$7:$P$874,'30 days CF Table(EUR)'!G49,BS_RE33!$F$7:$F$874,'30 days CF Table(EUR)'!$C$2)</f>
        <v>0</v>
      </c>
      <c r="BA49" s="380">
        <f>SUMIFS(BS_RE33!$H$7:$H$874,BS_RE33!$S$7:$S$874,$BA$2,BS_RE33!$N$7:$N$874,I49,BS_RE33!$P$7:$P$874,'30 days CF Table(EUR)'!G49,BS_RE33!$F$7:$F$874,'30 days CF Table(EUR)'!$C$2)</f>
        <v>0</v>
      </c>
      <c r="BB49" s="380">
        <f>SUMIFS(BS_RE33!$H$7:$H$874,BS_RE33!$S$7:$S$874,$BB$2,BS_RE33!$N$7:$N$874,I49,BS_RE33!$P$7:$P$874,'30 days CF Table(EUR)'!G49,BS_RE33!$F$7:$F$874,'30 days CF Table(EUR)'!$C$2)</f>
        <v>0</v>
      </c>
      <c r="BC49" s="380">
        <f>SUMIFS(BS_RE33!$H$7:$H$874,BS_RE33!$S$7:$S$874,$BC$2,BS_RE33!$N$7:$N$874,I49,BS_RE33!$P$7:$P$874,'30 days CF Table(EUR)'!G49,BS_RE33!$F$7:$F$874,'30 days CF Table(EUR)'!$C$2)</f>
        <v>0</v>
      </c>
      <c r="BD49" s="380">
        <f>SUMIFS(BS_RE33!$H$7:$H$874,BS_RE33!$S$7:$S$874,$BD$2,BS_RE33!$N$7:$N$874,I49,BS_RE33!$P$7:$P$874,'30 days CF Table(EUR)'!G49,BS_RE33!$F$7:$F$874,'30 days CF Table(EUR)'!$C$2)</f>
        <v>0</v>
      </c>
      <c r="BE49" s="380">
        <f>SUMIFS(BS_RE33!$H$7:$H$874,BS_RE33!$S$7:$S$874,$BE$2,BS_RE33!$N$7:$N$874,I49,BS_RE33!$P$7:$P$874,'30 days CF Table(EUR)'!G49,BS_RE33!$F$7:$F$874,'30 days CF Table(EUR)'!$C$2)</f>
        <v>0</v>
      </c>
      <c r="BF49" s="380">
        <f>SUMIFS(BS_RE33!$H$7:$H$874,BS_RE33!$S$7:$S$874,$BF$2,BS_RE33!$N$7:$N$874,I49,BS_RE33!$P$7:$P$874,'30 days CF Table(EUR)'!G49,BS_RE33!$F$7:$F$874,'30 days CF Table(EUR)'!$C$2)</f>
        <v>0</v>
      </c>
      <c r="BG49" s="380">
        <f>SUMIFS(BS_RE33!$H$7:$H$874,BS_RE33!$S$7:$S$874,$BG$2,BS_RE33!$N$7:$N$874,I49,BS_RE33!$P$7:$P$874,'30 days CF Table(EUR)'!G49,BS_RE33!$F$7:$F$874,'30 days CF Table(EUR)'!$C$2)</f>
        <v>0</v>
      </c>
      <c r="BH49" s="380">
        <f>SUMIFS(BS_RE33!$H$7:$H$874,BS_RE33!$S$7:$S$874,$BH$2,BS_RE33!$N$7:$N$874,I49,BS_RE33!$P$7:$P$874,'30 days CF Table(EUR)'!G49,BS_RE33!$F$7:$F$874,'30 days CF Table(EUR)'!$C$2)</f>
        <v>0</v>
      </c>
      <c r="BI49" s="380">
        <f>SUMIFS(BS_RE33!$H$7:$H$874,BS_RE33!$S$7:$S$874,$BI$2,BS_RE33!$N$7:$N$874,I49,BS_RE33!$P$7:$P$874,'30 days CF Table(EUR)'!G49,BS_RE33!$F$7:$F$874,'30 days CF Table(EUR)'!$C$2)</f>
        <v>0</v>
      </c>
      <c r="BJ49" s="380">
        <f>SUMIFS(BS_RE33!$H$7:$H$874,BS_RE33!$S$7:$S$874,$BJ$2,BS_RE33!$N$7:$N$874,I49,BS_RE33!$P$7:$P$874,'30 days CF Table(EUR)'!G49,BS_RE33!$F$7:$F$874,'30 days CF Table(EUR)'!$C$2)</f>
        <v>0</v>
      </c>
      <c r="BK49" s="380">
        <f>SUMIFS(BS_RE33!$H$7:$H$874,BS_RE33!$S$7:$S$874,$BK$2,BS_RE33!$N$7:$N$874,I49,BS_RE33!$P$7:$P$874,'30 days CF Table(EUR)'!G49,BS_RE33!$F$7:$F$874,'30 days CF Table(EUR)'!$C$2)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Table(EUR)'!G50,BS_RE33!$F$7:$F$874,'30 days CF Table(EUR)'!$C$2)</f>
        <v>0</v>
      </c>
      <c r="M50" s="548">
        <f>SUMIFS(BS_RE33!$H$7:$H$874,BS_RE33!$S$7:$S$874,$M$2,BS_RE33!$N$7:$N$874,I50,BS_RE33!$P$7:$P$874,'30 days CF Table(EUR)'!G50,BS_RE33!$F$7:$F$874,'30 days CF Table(EUR)'!$C$2)</f>
        <v>0</v>
      </c>
      <c r="N50" s="548">
        <f>SUMIFS(BS_RE33!$H$7:$H$874,BS_RE33!$S$7:$S$874,$N$2,BS_RE33!$N$7:$N$874,I50,BS_RE33!$P$7:$P$874,'30 days CF Table(EUR)'!G50,BS_RE33!$F$7:$F$874,'30 days CF Table(EUR)'!$C$2)</f>
        <v>0</v>
      </c>
      <c r="O50" s="548">
        <f>SUMIFS(BS_RE33!$H$7:$H$874,BS_RE33!$S$7:$S$874,$O$2,BS_RE33!$N$7:$N$874,I50,BS_RE33!$P$7:$P$874,'30 days CF Table(EUR)'!G50,BS_RE33!$F$7:$F$874,'30 days CF Table(EUR)'!$C$2)</f>
        <v>0</v>
      </c>
      <c r="P50" s="548">
        <f>SUMIFS(BS_RE33!$H$7:$H$874,BS_RE33!$S$7:$S$874,$P$2,BS_RE33!$N$7:$N$874,I50,BS_RE33!$P$7:$P$874,'30 days CF Table(EUR)'!G50,BS_RE33!$F$7:$F$874,'30 days CF Table(EUR)'!$C$2)</f>
        <v>0</v>
      </c>
      <c r="Q50" s="548">
        <f>SUMIFS(BS_RE33!$H$7:$H$874,BS_RE33!$S$7:$S$874,$Q$2,BS_RE33!$N$7:$N$874,I50,BS_RE33!$P$7:$P$874,'30 days CF Table(EUR)'!G50,BS_RE33!$F$7:$F$874,'30 days CF Table(EUR)'!$C$2)</f>
        <v>0</v>
      </c>
      <c r="R50" s="548">
        <f>SUMIFS(BS_RE33!$H$7:$H$874,BS_RE33!$S$7:$S$874,$R$2,BS_RE33!$N$7:$N$874,I50,BS_RE33!$P$7:$P$874,'30 days CF Table(EUR)'!G50,BS_RE33!$F$7:$F$874,'30 days CF Table(EUR)'!$C$2)</f>
        <v>0</v>
      </c>
      <c r="S50" s="548">
        <f>SUMIFS(BS_RE33!$H$7:$H$874,BS_RE33!$S$7:$S$874,$S$2,BS_RE33!$N$7:$N$874,I50,BS_RE33!$P$7:$P$874,'30 days CF Table(EUR)'!G50,BS_RE33!$F$7:$F$874,'30 days CF Table(EUR)'!$C$2)</f>
        <v>0</v>
      </c>
      <c r="T50" s="548">
        <f>SUMIFS(BS_RE33!$H$7:$H$874,BS_RE33!$S$7:$S$874,$T$2,BS_RE33!$N$7:$N$874,I50,BS_RE33!$P$7:$P$874,'30 days CF Table(EUR)'!G50,BS_RE33!$F$7:$F$874,'30 days CF Table(EUR)'!$C$2)</f>
        <v>0</v>
      </c>
      <c r="U50" s="548">
        <f>SUMIFS(BS_RE33!$H$7:$H$874,BS_RE33!$S$7:$S$874,$U$2,BS_RE33!$N$7:$N$874,I50,BS_RE33!$P$7:$P$874,'30 days CF Table(EUR)'!G50,BS_RE33!$F$7:$F$874,'30 days CF Table(EUR)'!$C$2)</f>
        <v>0</v>
      </c>
      <c r="V50" s="548">
        <f>SUMIFS(BS_RE33!$H$7:$H$874,BS_RE33!$S$7:$S$874,$V$2,BS_RE33!$N$7:$N$874,I50,BS_RE33!$P$7:$P$874,'30 days CF Table(EUR)'!G50,BS_RE33!$F$7:$F$874,'30 days CF Table(EUR)'!$C$2)</f>
        <v>0</v>
      </c>
      <c r="W50" s="548">
        <f>SUMIFS(BS_RE33!$H$7:$H$874,BS_RE33!$S$7:$S$874,$W$2,BS_RE33!$N$7:$N$874,I50,BS_RE33!$P$7:$P$874,'30 days CF Table(EUR)'!G50,BS_RE33!$F$7:$F$874,'30 days CF Table(EUR)'!$C$2)</f>
        <v>0</v>
      </c>
      <c r="X50" s="548">
        <f>SUMIFS(BS_RE33!$H$7:$H$874,BS_RE33!$S$7:$S$874,$X$2,BS_RE33!$N$7:$N$874,I50,BS_RE33!$P$7:$P$874,'30 days CF Table(EUR)'!G50,BS_RE33!$F$7:$F$874,'30 days CF Table(EUR)'!$C$2)</f>
        <v>0</v>
      </c>
      <c r="Y50" s="548">
        <f>SUMIFS(BS_RE33!$H$7:$H$874,BS_RE33!$S$7:$S$874,$Y$2,BS_RE33!$N$7:$N$874,I50,BS_RE33!$P$7:$P$874,'30 days CF Table(EUR)'!G50,BS_RE33!$F$7:$F$874,'30 days CF Table(EUR)'!$C$2)</f>
        <v>0</v>
      </c>
      <c r="Z50" s="548">
        <f>SUMIFS(BS_RE33!$H$7:$H$874,BS_RE33!$S$7:$S$874,$Z$2,BS_RE33!$N$7:$N$874,I50,BS_RE33!$P$7:$P$874,'30 days CF Table(EUR)'!G50,BS_RE33!$F$7:$F$874,'30 days CF Table(EUR)'!$C$2)</f>
        <v>0</v>
      </c>
      <c r="AA50" s="548">
        <f>SUMIFS(BS_RE33!$H$7:$H$874,BS_RE33!$S$7:$S$874,$AA$2,BS_RE33!$N$7:$N$874,I50,BS_RE33!$P$7:$P$874,'30 days CF Table(EUR)'!G50,BS_RE33!$F$7:$F$874,'30 days CF Table(EUR)'!$C$2)</f>
        <v>0</v>
      </c>
      <c r="AB50" s="548">
        <f>SUMIFS(BS_RE33!$H$7:$H$874,BS_RE33!$S$7:$S$874,$AB$2,BS_RE33!$N$7:$N$874,I50,BS_RE33!$P$7:$P$874,'30 days CF Table(EUR)'!G50,BS_RE33!$F$7:$F$874,'30 days CF Table(EUR)'!$C$2)</f>
        <v>0</v>
      </c>
      <c r="AC50" s="548">
        <f>SUMIFS(BS_RE33!$H$7:$H$874,BS_RE33!$S$7:$S$874,$AC$2,BS_RE33!$N$7:$N$874,I50,BS_RE33!$P$7:$P$874,'30 days CF Table(EUR)'!G50,BS_RE33!$F$7:$F$874,'30 days CF Table(EUR)'!$C$2)</f>
        <v>0</v>
      </c>
      <c r="AD50" s="548">
        <f>SUMIFS(BS_RE33!$H$7:$H$874,BS_RE33!$S$7:$S$874,$AD$2,BS_RE33!$N$7:$N$874,I50,BS_RE33!$P$7:$P$874,'30 days CF Table(EUR)'!G50,BS_RE33!$F$7:$F$874,'30 days CF Table(EUR)'!$C$2)</f>
        <v>0</v>
      </c>
      <c r="AE50" s="548">
        <f>SUMIFS(BS_RE33!$H$7:$H$874,BS_RE33!$S$7:$S$874,$AE$2,BS_RE33!$N$7:$N$874,I50,BS_RE33!$P$7:$P$874,'30 days CF Table(EUR)'!G50,BS_RE33!$F$7:$F$874,'30 days CF Table(EUR)'!$C$2)</f>
        <v>0</v>
      </c>
      <c r="AF50" s="548">
        <f>SUMIFS(BS_RE33!$H$7:$H$874,BS_RE33!$S$7:$S$874,$AF$2,BS_RE33!$N$7:$N$874,I50,BS_RE33!$P$7:$P$874,'30 days CF Table(EUR)'!G50,BS_RE33!$F$7:$F$874,'30 days CF Table(EUR)'!$C$2)</f>
        <v>0</v>
      </c>
      <c r="AG50" s="548">
        <f>SUMIFS(BS_RE33!$H$7:$H$874,BS_RE33!$S$7:$S$874,$AG$2,BS_RE33!$N$7:$N$874,I50,BS_RE33!$P$7:$P$874,'30 days CF Table(EUR)'!G50,BS_RE33!$F$7:$F$874,'30 days CF Table(EUR)'!$C$2)</f>
        <v>0</v>
      </c>
      <c r="AH50" s="548">
        <f>SUMIFS(BS_RE33!$H$7:$H$874,BS_RE33!$S$7:$S$874,$AH$2,BS_RE33!$N$7:$N$874,I50,BS_RE33!$P$7:$P$874,'30 days CF Table(EUR)'!G50,BS_RE33!$F$7:$F$874,'30 days CF Table(EUR)'!$C$2)</f>
        <v>0</v>
      </c>
      <c r="AI50" s="548">
        <f>SUMIFS(BS_RE33!$H$7:$H$874,BS_RE33!$S$7:$S$874,$AI$2,BS_RE33!$N$7:$N$874,I50,BS_RE33!$P$7:$P$874,'30 days CF Table(EUR)'!G50,BS_RE33!$F$7:$F$874,'30 days CF Table(EUR)'!$C$2)</f>
        <v>0</v>
      </c>
      <c r="AJ50" s="548">
        <f>SUMIFS(BS_RE33!$H$7:$H$874,BS_RE33!$S$7:$S$874,$AJ$2,BS_RE33!$N$7:$N$874,I50,BS_RE33!$P$7:$P$874,'30 days CF Table(EUR)'!G50,BS_RE33!$F$7:$F$874,'30 days CF Table(EUR)'!$C$2)</f>
        <v>0</v>
      </c>
      <c r="AK50" s="548">
        <f>SUMIFS(BS_RE33!$H$7:$H$874,BS_RE33!$S$7:$S$874,$AK$2,BS_RE33!$N$7:$N$874,I50,BS_RE33!$P$7:$P$874,'30 days CF Table(EUR)'!G50,BS_RE33!$F$7:$F$874,'30 days CF Table(EUR)'!$C$2)</f>
        <v>0</v>
      </c>
      <c r="AL50" s="548">
        <f>SUMIFS(BS_RE33!$H$7:$H$874,BS_RE33!$S$7:$S$874,$AL$2,BS_RE33!$N$7:$N$874,I50,BS_RE33!$P$7:$P$874,'30 days CF Table(EUR)'!G50,BS_RE33!$F$7:$F$874,'30 days CF Table(EUR)'!$C$2)</f>
        <v>0</v>
      </c>
      <c r="AM50" s="548">
        <f>SUMIFS(BS_RE33!$H$7:$H$874,BS_RE33!$S$7:$S$874,$AM$2,BS_RE33!$N$7:$N$874,I50,BS_RE33!$P$7:$P$874,'30 days CF Table(EUR)'!G50,BS_RE33!$F$7:$F$874,'30 days CF Table(EUR)'!$C$2)</f>
        <v>0</v>
      </c>
      <c r="AN50" s="548">
        <f>SUMIFS(BS_RE33!$H$7:$H$874,BS_RE33!$S$7:$S$874,$AN$2,BS_RE33!$N$7:$N$874,I50,BS_RE33!$P$7:$P$874,'30 days CF Table(EUR)'!G50,BS_RE33!$F$7:$F$874,'30 days CF Table(EUR)'!$C$2)</f>
        <v>0</v>
      </c>
      <c r="AO50" s="548">
        <f>SUMIFS(BS_RE33!$H$7:$H$874,BS_RE33!$S$7:$S$874,$AO$2,BS_RE33!$N$7:$N$874,I50,BS_RE33!$P$7:$P$874,'30 days CF Table(EUR)'!G50,BS_RE33!$F$7:$F$874,'30 days CF Table(EUR)'!$C$2)</f>
        <v>0</v>
      </c>
      <c r="AP50" s="549">
        <f>SUMIFS(BS_RE33!$H$7:$H$874,BS_RE33!$S$7:$S$874,$AP$2,BS_RE33!$N$7:$N$874,I50,BS_RE33!$P$7:$P$874,'30 days CF Table(EUR)'!G50,BS_RE33!$F$7:$F$874,'30 days CF Table(EUR)'!$C$2)</f>
        <v>0</v>
      </c>
      <c r="AQ50" s="550"/>
      <c r="AR50" s="380">
        <f>SUMIFS(BS_RE33!$H$7:$H$874,BS_RE33!$S$7:$S$874,$AR$2,BS_RE33!$N$7:$N$874,I50,BS_RE33!$P$7:$P$874,'30 days CF Table(EUR)'!G50,BS_RE33!$F$7:$F$874,'30 days CF Table(EUR)'!$C$2)</f>
        <v>0</v>
      </c>
      <c r="AS50" s="380">
        <f>SUMIFS(BS_RE33!$H$7:$H$874,BS_RE33!$S$7:$S$874,$AS$2,BS_RE33!$N$7:$N$874,I50,BS_RE33!$P$7:$P$874,'30 days CF Table(EUR)'!G50,BS_RE33!$F$7:$F$874,'30 days CF Table(EUR)'!$C$2)</f>
        <v>0</v>
      </c>
      <c r="AT50" s="380">
        <f>SUMIFS(BS_RE33!$H$7:$H$874,BS_RE33!$S$7:$S$874,$AT$2,BS_RE33!$N$7:$N$874,I50,BS_RE33!$P$7:$P$874,'30 days CF Table(EUR)'!G50,BS_RE33!$F$7:$F$874,'30 days CF Table(EUR)'!$C$2)</f>
        <v>0</v>
      </c>
      <c r="AU50" s="380">
        <f>SUMIFS(BS_RE33!$H$7:$H$874,BS_RE33!$S$7:$S$874,$AU$2,BS_RE33!$N$7:$N$874,I50,BS_RE33!$P$7:$P$874,'30 days CF Table(EUR)'!G50,BS_RE33!$F$7:$F$874,'30 days CF Table(EUR)'!$C$2)</f>
        <v>0</v>
      </c>
      <c r="AV50" s="380">
        <f>SUMIFS(BS_RE33!$H$7:$H$874,BS_RE33!$S$7:$S$874,$AV$2,BS_RE33!$N$7:$N$874,I50,BS_RE33!$P$7:$P$874,'30 days CF Table(EUR)'!G50,BS_RE33!$F$7:$F$874,'30 days CF Table(EUR)'!$C$2)</f>
        <v>0</v>
      </c>
      <c r="AW50" s="380">
        <f>SUMIFS(BS_RE33!$H$7:$H$874,BS_RE33!$S$7:$S$874,$AW$2,BS_RE33!$N$7:$N$874,I50,BS_RE33!$P$7:$P$874,'30 days CF Table(EUR)'!G50,BS_RE33!$F$7:$F$874,'30 days CF Table(EUR)'!$C$2)</f>
        <v>0</v>
      </c>
      <c r="AX50" s="380">
        <f>SUMIFS(BS_RE33!$H$7:$H$874,BS_RE33!$S$7:$S$874,$AX$2,BS_RE33!$N$7:$N$874,I50,BS_RE33!$P$7:$P$874,'30 days CF Table(EUR)'!G50,BS_RE33!$F$7:$F$874,'30 days CF Table(EUR)'!$C$2)</f>
        <v>0</v>
      </c>
      <c r="AY50" s="380">
        <f>SUMIFS(BS_RE33!$H$7:$H$874,BS_RE33!$S$7:$S$874,$AY$2,BS_RE33!$N$7:$N$874,I50,BS_RE33!$P$7:$P$874,'30 days CF Table(EUR)'!G50,BS_RE33!$F$7:$F$874,'30 days CF Table(EUR)'!$C$2)</f>
        <v>0</v>
      </c>
      <c r="AZ50" s="380">
        <f>SUMIFS(BS_RE33!$H$7:$H$874,BS_RE33!$S$7:$S$874,$AZ$2,BS_RE33!$N$7:$N$874,I50,BS_RE33!$P$7:$P$874,'30 days CF Table(EUR)'!G50,BS_RE33!$F$7:$F$874,'30 days CF Table(EUR)'!$C$2)</f>
        <v>0</v>
      </c>
      <c r="BA50" s="380">
        <f>SUMIFS(BS_RE33!$H$7:$H$874,BS_RE33!$S$7:$S$874,$BA$2,BS_RE33!$N$7:$N$874,I50,BS_RE33!$P$7:$P$874,'30 days CF Table(EUR)'!G50,BS_RE33!$F$7:$F$874,'30 days CF Table(EUR)'!$C$2)</f>
        <v>0</v>
      </c>
      <c r="BB50" s="380">
        <f>SUMIFS(BS_RE33!$H$7:$H$874,BS_RE33!$S$7:$S$874,$BB$2,BS_RE33!$N$7:$N$874,I50,BS_RE33!$P$7:$P$874,'30 days CF Table(EUR)'!G50,BS_RE33!$F$7:$F$874,'30 days CF Table(EUR)'!$C$2)</f>
        <v>0</v>
      </c>
      <c r="BC50" s="380">
        <f>SUMIFS(BS_RE33!$H$7:$H$874,BS_RE33!$S$7:$S$874,$BC$2,BS_RE33!$N$7:$N$874,I50,BS_RE33!$P$7:$P$874,'30 days CF Table(EUR)'!G50,BS_RE33!$F$7:$F$874,'30 days CF Table(EUR)'!$C$2)</f>
        <v>0</v>
      </c>
      <c r="BD50" s="380">
        <f>SUMIFS(BS_RE33!$H$7:$H$874,BS_RE33!$S$7:$S$874,$BD$2,BS_RE33!$N$7:$N$874,I50,BS_RE33!$P$7:$P$874,'30 days CF Table(EUR)'!G50,BS_RE33!$F$7:$F$874,'30 days CF Table(EUR)'!$C$2)</f>
        <v>0</v>
      </c>
      <c r="BE50" s="380">
        <f>SUMIFS(BS_RE33!$H$7:$H$874,BS_RE33!$S$7:$S$874,$BE$2,BS_RE33!$N$7:$N$874,I50,BS_RE33!$P$7:$P$874,'30 days CF Table(EUR)'!G50,BS_RE33!$F$7:$F$874,'30 days CF Table(EUR)'!$C$2)</f>
        <v>0</v>
      </c>
      <c r="BF50" s="380">
        <f>SUMIFS(BS_RE33!$H$7:$H$874,BS_RE33!$S$7:$S$874,$BF$2,BS_RE33!$N$7:$N$874,I50,BS_RE33!$P$7:$P$874,'30 days CF Table(EUR)'!G50,BS_RE33!$F$7:$F$874,'30 days CF Table(EUR)'!$C$2)</f>
        <v>0</v>
      </c>
      <c r="BG50" s="380">
        <f>SUMIFS(BS_RE33!$H$7:$H$874,BS_RE33!$S$7:$S$874,$BG$2,BS_RE33!$N$7:$N$874,I50,BS_RE33!$P$7:$P$874,'30 days CF Table(EUR)'!G50,BS_RE33!$F$7:$F$874,'30 days CF Table(EUR)'!$C$2)</f>
        <v>0</v>
      </c>
      <c r="BH50" s="380">
        <f>SUMIFS(BS_RE33!$H$7:$H$874,BS_RE33!$S$7:$S$874,$BH$2,BS_RE33!$N$7:$N$874,I50,BS_RE33!$P$7:$P$874,'30 days CF Table(EUR)'!G50,BS_RE33!$F$7:$F$874,'30 days CF Table(EUR)'!$C$2)</f>
        <v>0</v>
      </c>
      <c r="BI50" s="380">
        <f>SUMIFS(BS_RE33!$H$7:$H$874,BS_RE33!$S$7:$S$874,$BI$2,BS_RE33!$N$7:$N$874,I50,BS_RE33!$P$7:$P$874,'30 days CF Table(EUR)'!G50,BS_RE33!$F$7:$F$874,'30 days CF Table(EUR)'!$C$2)</f>
        <v>0</v>
      </c>
      <c r="BJ50" s="380">
        <f>SUMIFS(BS_RE33!$H$7:$H$874,BS_RE33!$S$7:$S$874,$BJ$2,BS_RE33!$N$7:$N$874,I50,BS_RE33!$P$7:$P$874,'30 days CF Table(EUR)'!G50,BS_RE33!$F$7:$F$874,'30 days CF Table(EUR)'!$C$2)</f>
        <v>0</v>
      </c>
      <c r="BK50" s="380">
        <f>SUMIFS(BS_RE33!$H$7:$H$874,BS_RE33!$S$7:$S$874,$BK$2,BS_RE33!$N$7:$N$874,I50,BS_RE33!$P$7:$P$874,'30 days CF Table(EUR)'!G50,BS_RE33!$F$7:$F$874,'30 days CF Table(EUR)'!$C$2)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Table(EUR)'!G51,BS_RE33!$F$7:$F$874,'30 days CF Table(EUR)'!$C$2)</f>
        <v>0</v>
      </c>
      <c r="M51" s="548">
        <f>SUMIFS(BS_RE33!$H$7:$H$874,BS_RE33!$S$7:$S$874,$M$2,BS_RE33!$N$7:$N$874,I51,BS_RE33!$P$7:$P$874,'30 days CF Table(EUR)'!G51,BS_RE33!$F$7:$F$874,'30 days CF Table(EUR)'!$C$2)</f>
        <v>0</v>
      </c>
      <c r="N51" s="548">
        <f>SUMIFS(BS_RE33!$H$7:$H$874,BS_RE33!$S$7:$S$874,$N$2,BS_RE33!$N$7:$N$874,I51,BS_RE33!$P$7:$P$874,'30 days CF Table(EUR)'!G51,BS_RE33!$F$7:$F$874,'30 days CF Table(EUR)'!$C$2)</f>
        <v>0</v>
      </c>
      <c r="O51" s="548">
        <f>SUMIFS(BS_RE33!$H$7:$H$874,BS_RE33!$S$7:$S$874,$O$2,BS_RE33!$N$7:$N$874,I51,BS_RE33!$P$7:$P$874,'30 days CF Table(EUR)'!G51,BS_RE33!$F$7:$F$874,'30 days CF Table(EUR)'!$C$2)</f>
        <v>0</v>
      </c>
      <c r="P51" s="548">
        <f>SUMIFS(BS_RE33!$H$7:$H$874,BS_RE33!$S$7:$S$874,$P$2,BS_RE33!$N$7:$N$874,I51,BS_RE33!$P$7:$P$874,'30 days CF Table(EUR)'!G51,BS_RE33!$F$7:$F$874,'30 days CF Table(EUR)'!$C$2)</f>
        <v>0</v>
      </c>
      <c r="Q51" s="548">
        <f>SUMIFS(BS_RE33!$H$7:$H$874,BS_RE33!$S$7:$S$874,$Q$2,BS_RE33!$N$7:$N$874,I51,BS_RE33!$P$7:$P$874,'30 days CF Table(EUR)'!G51,BS_RE33!$F$7:$F$874,'30 days CF Table(EUR)'!$C$2)</f>
        <v>0</v>
      </c>
      <c r="R51" s="548">
        <f>SUMIFS(BS_RE33!$H$7:$H$874,BS_RE33!$S$7:$S$874,$R$2,BS_RE33!$N$7:$N$874,I51,BS_RE33!$P$7:$P$874,'30 days CF Table(EUR)'!G51,BS_RE33!$F$7:$F$874,'30 days CF Table(EUR)'!$C$2)</f>
        <v>0</v>
      </c>
      <c r="S51" s="548">
        <f>SUMIFS(BS_RE33!$H$7:$H$874,BS_RE33!$S$7:$S$874,$S$2,BS_RE33!$N$7:$N$874,I51,BS_RE33!$P$7:$P$874,'30 days CF Table(EUR)'!G51,BS_RE33!$F$7:$F$874,'30 days CF Table(EUR)'!$C$2)</f>
        <v>0</v>
      </c>
      <c r="T51" s="548">
        <f>SUMIFS(BS_RE33!$H$7:$H$874,BS_RE33!$S$7:$S$874,$T$2,BS_RE33!$N$7:$N$874,I51,BS_RE33!$P$7:$P$874,'30 days CF Table(EUR)'!G51,BS_RE33!$F$7:$F$874,'30 days CF Table(EUR)'!$C$2)</f>
        <v>0</v>
      </c>
      <c r="U51" s="548">
        <f>SUMIFS(BS_RE33!$H$7:$H$874,BS_RE33!$S$7:$S$874,$U$2,BS_RE33!$N$7:$N$874,I51,BS_RE33!$P$7:$P$874,'30 days CF Table(EUR)'!G51,BS_RE33!$F$7:$F$874,'30 days CF Table(EUR)'!$C$2)</f>
        <v>0</v>
      </c>
      <c r="V51" s="548">
        <f>SUMIFS(BS_RE33!$H$7:$H$874,BS_RE33!$S$7:$S$874,$V$2,BS_RE33!$N$7:$N$874,I51,BS_RE33!$P$7:$P$874,'30 days CF Table(EUR)'!G51,BS_RE33!$F$7:$F$874,'30 days CF Table(EUR)'!$C$2)</f>
        <v>0</v>
      </c>
      <c r="W51" s="548">
        <f>SUMIFS(BS_RE33!$H$7:$H$874,BS_RE33!$S$7:$S$874,$W$2,BS_RE33!$N$7:$N$874,I51,BS_RE33!$P$7:$P$874,'30 days CF Table(EUR)'!G51,BS_RE33!$F$7:$F$874,'30 days CF Table(EUR)'!$C$2)</f>
        <v>0</v>
      </c>
      <c r="X51" s="548">
        <f>SUMIFS(BS_RE33!$H$7:$H$874,BS_RE33!$S$7:$S$874,$X$2,BS_RE33!$N$7:$N$874,I51,BS_RE33!$P$7:$P$874,'30 days CF Table(EUR)'!G51,BS_RE33!$F$7:$F$874,'30 days CF Table(EUR)'!$C$2)</f>
        <v>0</v>
      </c>
      <c r="Y51" s="548">
        <f>SUMIFS(BS_RE33!$H$7:$H$874,BS_RE33!$S$7:$S$874,$Y$2,BS_RE33!$N$7:$N$874,I51,BS_RE33!$P$7:$P$874,'30 days CF Table(EUR)'!G51,BS_RE33!$F$7:$F$874,'30 days CF Table(EUR)'!$C$2)</f>
        <v>0</v>
      </c>
      <c r="Z51" s="548">
        <f>SUMIFS(BS_RE33!$H$7:$H$874,BS_RE33!$S$7:$S$874,$Z$2,BS_RE33!$N$7:$N$874,I51,BS_RE33!$P$7:$P$874,'30 days CF Table(EUR)'!G51,BS_RE33!$F$7:$F$874,'30 days CF Table(EUR)'!$C$2)</f>
        <v>0</v>
      </c>
      <c r="AA51" s="548">
        <f>SUMIFS(BS_RE33!$H$7:$H$874,BS_RE33!$S$7:$S$874,$AA$2,BS_RE33!$N$7:$N$874,I51,BS_RE33!$P$7:$P$874,'30 days CF Table(EUR)'!G51,BS_RE33!$F$7:$F$874,'30 days CF Table(EUR)'!$C$2)</f>
        <v>0</v>
      </c>
      <c r="AB51" s="548">
        <f>SUMIFS(BS_RE33!$H$7:$H$874,BS_RE33!$S$7:$S$874,$AB$2,BS_RE33!$N$7:$N$874,I51,BS_RE33!$P$7:$P$874,'30 days CF Table(EUR)'!G51,BS_RE33!$F$7:$F$874,'30 days CF Table(EUR)'!$C$2)</f>
        <v>0</v>
      </c>
      <c r="AC51" s="548">
        <f>SUMIFS(BS_RE33!$H$7:$H$874,BS_RE33!$S$7:$S$874,$AC$2,BS_RE33!$N$7:$N$874,I51,BS_RE33!$P$7:$P$874,'30 days CF Table(EUR)'!G51,BS_RE33!$F$7:$F$874,'30 days CF Table(EUR)'!$C$2)</f>
        <v>0</v>
      </c>
      <c r="AD51" s="548">
        <f>SUMIFS(BS_RE33!$H$7:$H$874,BS_RE33!$S$7:$S$874,$AD$2,BS_RE33!$N$7:$N$874,I51,BS_RE33!$P$7:$P$874,'30 days CF Table(EUR)'!G51,BS_RE33!$F$7:$F$874,'30 days CF Table(EUR)'!$C$2)</f>
        <v>0</v>
      </c>
      <c r="AE51" s="548">
        <f>SUMIFS(BS_RE33!$H$7:$H$874,BS_RE33!$S$7:$S$874,$AE$2,BS_RE33!$N$7:$N$874,I51,BS_RE33!$P$7:$P$874,'30 days CF Table(EUR)'!G51,BS_RE33!$F$7:$F$874,'30 days CF Table(EUR)'!$C$2)</f>
        <v>0</v>
      </c>
      <c r="AF51" s="548">
        <f>SUMIFS(BS_RE33!$H$7:$H$874,BS_RE33!$S$7:$S$874,$AF$2,BS_RE33!$N$7:$N$874,I51,BS_RE33!$P$7:$P$874,'30 days CF Table(EUR)'!G51,BS_RE33!$F$7:$F$874,'30 days CF Table(EUR)'!$C$2)</f>
        <v>0</v>
      </c>
      <c r="AG51" s="548">
        <f>SUMIFS(BS_RE33!$H$7:$H$874,BS_RE33!$S$7:$S$874,$AG$2,BS_RE33!$N$7:$N$874,I51,BS_RE33!$P$7:$P$874,'30 days CF Table(EUR)'!G51,BS_RE33!$F$7:$F$874,'30 days CF Table(EUR)'!$C$2)</f>
        <v>0</v>
      </c>
      <c r="AH51" s="548">
        <f>SUMIFS(BS_RE33!$H$7:$H$874,BS_RE33!$S$7:$S$874,$AH$2,BS_RE33!$N$7:$N$874,I51,BS_RE33!$P$7:$P$874,'30 days CF Table(EUR)'!G51,BS_RE33!$F$7:$F$874,'30 days CF Table(EUR)'!$C$2)</f>
        <v>0</v>
      </c>
      <c r="AI51" s="548">
        <f>SUMIFS(BS_RE33!$H$7:$H$874,BS_RE33!$S$7:$S$874,$AI$2,BS_RE33!$N$7:$N$874,I51,BS_RE33!$P$7:$P$874,'30 days CF Table(EUR)'!G51,BS_RE33!$F$7:$F$874,'30 days CF Table(EUR)'!$C$2)</f>
        <v>0</v>
      </c>
      <c r="AJ51" s="548">
        <f>SUMIFS(BS_RE33!$H$7:$H$874,BS_RE33!$S$7:$S$874,$AJ$2,BS_RE33!$N$7:$N$874,I51,BS_RE33!$P$7:$P$874,'30 days CF Table(EUR)'!G51,BS_RE33!$F$7:$F$874,'30 days CF Table(EUR)'!$C$2)</f>
        <v>0</v>
      </c>
      <c r="AK51" s="548">
        <f>SUMIFS(BS_RE33!$H$7:$H$874,BS_RE33!$S$7:$S$874,$AK$2,BS_RE33!$N$7:$N$874,I51,BS_RE33!$P$7:$P$874,'30 days CF Table(EUR)'!G51,BS_RE33!$F$7:$F$874,'30 days CF Table(EUR)'!$C$2)</f>
        <v>0</v>
      </c>
      <c r="AL51" s="548">
        <f>SUMIFS(BS_RE33!$H$7:$H$874,BS_RE33!$S$7:$S$874,$AL$2,BS_RE33!$N$7:$N$874,I51,BS_RE33!$P$7:$P$874,'30 days CF Table(EUR)'!G51,BS_RE33!$F$7:$F$874,'30 days CF Table(EUR)'!$C$2)</f>
        <v>0</v>
      </c>
      <c r="AM51" s="548">
        <f>SUMIFS(BS_RE33!$H$7:$H$874,BS_RE33!$S$7:$S$874,$AM$2,BS_RE33!$N$7:$N$874,I51,BS_RE33!$P$7:$P$874,'30 days CF Table(EUR)'!G51,BS_RE33!$F$7:$F$874,'30 days CF Table(EUR)'!$C$2)</f>
        <v>0</v>
      </c>
      <c r="AN51" s="548">
        <f>SUMIFS(BS_RE33!$H$7:$H$874,BS_RE33!$S$7:$S$874,$AN$2,BS_RE33!$N$7:$N$874,I51,BS_RE33!$P$7:$P$874,'30 days CF Table(EUR)'!G51,BS_RE33!$F$7:$F$874,'30 days CF Table(EUR)'!$C$2)</f>
        <v>0</v>
      </c>
      <c r="AO51" s="548">
        <f>SUMIFS(BS_RE33!$H$7:$H$874,BS_RE33!$S$7:$S$874,$AO$2,BS_RE33!$N$7:$N$874,I51,BS_RE33!$P$7:$P$874,'30 days CF Table(EUR)'!G51,BS_RE33!$F$7:$F$874,'30 days CF Table(EUR)'!$C$2)</f>
        <v>0</v>
      </c>
      <c r="AP51" s="549">
        <f>SUMIFS(BS_RE33!$H$7:$H$874,BS_RE33!$S$7:$S$874,$AP$2,BS_RE33!$N$7:$N$874,I51,BS_RE33!$P$7:$P$874,'30 days CF Table(EUR)'!G51,BS_RE33!$F$7:$F$874,'30 days CF Table(EUR)'!$C$2)</f>
        <v>0</v>
      </c>
      <c r="AQ51" s="550"/>
      <c r="AR51" s="380">
        <f>SUMIFS(BS_RE33!$H$7:$H$874,BS_RE33!$S$7:$S$874,$AR$2,BS_RE33!$N$7:$N$874,I51,BS_RE33!$P$7:$P$874,'30 days CF Table(EUR)'!G51,BS_RE33!$F$7:$F$874,'30 days CF Table(EUR)'!$C$2)</f>
        <v>0</v>
      </c>
      <c r="AS51" s="380">
        <f>SUMIFS(BS_RE33!$H$7:$H$874,BS_RE33!$S$7:$S$874,$AS$2,BS_RE33!$N$7:$N$874,I51,BS_RE33!$P$7:$P$874,'30 days CF Table(EUR)'!G51,BS_RE33!$F$7:$F$874,'30 days CF Table(EUR)'!$C$2)</f>
        <v>0</v>
      </c>
      <c r="AT51" s="380">
        <f>SUMIFS(BS_RE33!$H$7:$H$874,BS_RE33!$S$7:$S$874,$AT$2,BS_RE33!$N$7:$N$874,I51,BS_RE33!$P$7:$P$874,'30 days CF Table(EUR)'!G51,BS_RE33!$F$7:$F$874,'30 days CF Table(EUR)'!$C$2)</f>
        <v>0</v>
      </c>
      <c r="AU51" s="380">
        <f>SUMIFS(BS_RE33!$H$7:$H$874,BS_RE33!$S$7:$S$874,$AU$2,BS_RE33!$N$7:$N$874,I51,BS_RE33!$P$7:$P$874,'30 days CF Table(EUR)'!G51,BS_RE33!$F$7:$F$874,'30 days CF Table(EUR)'!$C$2)</f>
        <v>0</v>
      </c>
      <c r="AV51" s="380">
        <f>SUMIFS(BS_RE33!$H$7:$H$874,BS_RE33!$S$7:$S$874,$AV$2,BS_RE33!$N$7:$N$874,I51,BS_RE33!$P$7:$P$874,'30 days CF Table(EUR)'!G51,BS_RE33!$F$7:$F$874,'30 days CF Table(EUR)'!$C$2)</f>
        <v>0</v>
      </c>
      <c r="AW51" s="380">
        <f>SUMIFS(BS_RE33!$H$7:$H$874,BS_RE33!$S$7:$S$874,$AW$2,BS_RE33!$N$7:$N$874,I51,BS_RE33!$P$7:$P$874,'30 days CF Table(EUR)'!G51,BS_RE33!$F$7:$F$874,'30 days CF Table(EUR)'!$C$2)</f>
        <v>0</v>
      </c>
      <c r="AX51" s="380">
        <f>SUMIFS(BS_RE33!$H$7:$H$874,BS_RE33!$S$7:$S$874,$AX$2,BS_RE33!$N$7:$N$874,I51,BS_RE33!$P$7:$P$874,'30 days CF Table(EUR)'!G51,BS_RE33!$F$7:$F$874,'30 days CF Table(EUR)'!$C$2)</f>
        <v>0</v>
      </c>
      <c r="AY51" s="380">
        <f>SUMIFS(BS_RE33!$H$7:$H$874,BS_RE33!$S$7:$S$874,$AY$2,BS_RE33!$N$7:$N$874,I51,BS_RE33!$P$7:$P$874,'30 days CF Table(EUR)'!G51,BS_RE33!$F$7:$F$874,'30 days CF Table(EUR)'!$C$2)</f>
        <v>0</v>
      </c>
      <c r="AZ51" s="380">
        <f>SUMIFS(BS_RE33!$H$7:$H$874,BS_RE33!$S$7:$S$874,$AZ$2,BS_RE33!$N$7:$N$874,I51,BS_RE33!$P$7:$P$874,'30 days CF Table(EUR)'!G51,BS_RE33!$F$7:$F$874,'30 days CF Table(EUR)'!$C$2)</f>
        <v>0</v>
      </c>
      <c r="BA51" s="380">
        <f>SUMIFS(BS_RE33!$H$7:$H$874,BS_RE33!$S$7:$S$874,$BA$2,BS_RE33!$N$7:$N$874,I51,BS_RE33!$P$7:$P$874,'30 days CF Table(EUR)'!G51,BS_RE33!$F$7:$F$874,'30 days CF Table(EUR)'!$C$2)</f>
        <v>0</v>
      </c>
      <c r="BB51" s="380">
        <f>SUMIFS(BS_RE33!$H$7:$H$874,BS_RE33!$S$7:$S$874,$BB$2,BS_RE33!$N$7:$N$874,I51,BS_RE33!$P$7:$P$874,'30 days CF Table(EUR)'!G51,BS_RE33!$F$7:$F$874,'30 days CF Table(EUR)'!$C$2)</f>
        <v>0</v>
      </c>
      <c r="BC51" s="380">
        <f>SUMIFS(BS_RE33!$H$7:$H$874,BS_RE33!$S$7:$S$874,$BC$2,BS_RE33!$N$7:$N$874,I51,BS_RE33!$P$7:$P$874,'30 days CF Table(EUR)'!G51,BS_RE33!$F$7:$F$874,'30 days CF Table(EUR)'!$C$2)</f>
        <v>0</v>
      </c>
      <c r="BD51" s="380">
        <f>SUMIFS(BS_RE33!$H$7:$H$874,BS_RE33!$S$7:$S$874,$BD$2,BS_RE33!$N$7:$N$874,I51,BS_RE33!$P$7:$P$874,'30 days CF Table(EUR)'!G51,BS_RE33!$F$7:$F$874,'30 days CF Table(EUR)'!$C$2)</f>
        <v>0</v>
      </c>
      <c r="BE51" s="380">
        <f>SUMIFS(BS_RE33!$H$7:$H$874,BS_RE33!$S$7:$S$874,$BE$2,BS_RE33!$N$7:$N$874,I51,BS_RE33!$P$7:$P$874,'30 days CF Table(EUR)'!G51,BS_RE33!$F$7:$F$874,'30 days CF Table(EUR)'!$C$2)</f>
        <v>0</v>
      </c>
      <c r="BF51" s="380">
        <f>SUMIFS(BS_RE33!$H$7:$H$874,BS_RE33!$S$7:$S$874,$BF$2,BS_RE33!$N$7:$N$874,I51,BS_RE33!$P$7:$P$874,'30 days CF Table(EUR)'!G51,BS_RE33!$F$7:$F$874,'30 days CF Table(EUR)'!$C$2)</f>
        <v>0</v>
      </c>
      <c r="BG51" s="380">
        <f>SUMIFS(BS_RE33!$H$7:$H$874,BS_RE33!$S$7:$S$874,$BG$2,BS_RE33!$N$7:$N$874,I51,BS_RE33!$P$7:$P$874,'30 days CF Table(EUR)'!G51,BS_RE33!$F$7:$F$874,'30 days CF Table(EUR)'!$C$2)</f>
        <v>0</v>
      </c>
      <c r="BH51" s="380">
        <f>SUMIFS(BS_RE33!$H$7:$H$874,BS_RE33!$S$7:$S$874,$BH$2,BS_RE33!$N$7:$N$874,I51,BS_RE33!$P$7:$P$874,'30 days CF Table(EUR)'!G51,BS_RE33!$F$7:$F$874,'30 days CF Table(EUR)'!$C$2)</f>
        <v>0</v>
      </c>
      <c r="BI51" s="380">
        <f>SUMIFS(BS_RE33!$H$7:$H$874,BS_RE33!$S$7:$S$874,$BI$2,BS_RE33!$N$7:$N$874,I51,BS_RE33!$P$7:$P$874,'30 days CF Table(EUR)'!G51,BS_RE33!$F$7:$F$874,'30 days CF Table(EUR)'!$C$2)</f>
        <v>0</v>
      </c>
      <c r="BJ51" s="380">
        <f>SUMIFS(BS_RE33!$H$7:$H$874,BS_RE33!$S$7:$S$874,$BJ$2,BS_RE33!$N$7:$N$874,I51,BS_RE33!$P$7:$P$874,'30 days CF Table(EUR)'!G51,BS_RE33!$F$7:$F$874,'30 days CF Table(EUR)'!$C$2)</f>
        <v>0</v>
      </c>
      <c r="BK51" s="380">
        <f>SUMIFS(BS_RE33!$H$7:$H$874,BS_RE33!$S$7:$S$874,$BK$2,BS_RE33!$N$7:$N$874,I51,BS_RE33!$P$7:$P$874,'30 days CF Table(EUR)'!G51,BS_RE33!$F$7:$F$874,'30 days CF Table(EUR)'!$C$2)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Table(EUR)'!G52,BS_RE33!$F$7:$F$874,'30 days CF Table(EUR)'!$C$2)</f>
        <v>0</v>
      </c>
      <c r="M52" s="337">
        <f>SUMIFS(BS_RE33!$H$7:$H$874,BS_RE33!$S$7:$S$874,$M$2,BS_RE33!$N$7:$N$874,I52,BS_RE33!$P$7:$P$874,'30 days CF Table(EUR)'!G52,BS_RE33!$F$7:$F$874,'30 days CF Table(EUR)'!$C$2)</f>
        <v>0</v>
      </c>
      <c r="N52" s="337">
        <f>SUMIFS(BS_RE33!$H$7:$H$874,BS_RE33!$S$7:$S$874,$N$2,BS_RE33!$N$7:$N$874,I52,BS_RE33!$P$7:$P$874,'30 days CF Table(EUR)'!G52,BS_RE33!$F$7:$F$874,'30 days CF Table(EUR)'!$C$2)</f>
        <v>0</v>
      </c>
      <c r="O52" s="337">
        <f>SUMIFS(BS_RE33!$H$7:$H$874,BS_RE33!$S$7:$S$874,$O$2,BS_RE33!$N$7:$N$874,I52,BS_RE33!$P$7:$P$874,'30 days CF Table(EUR)'!G52,BS_RE33!$F$7:$F$874,'30 days CF Table(EUR)'!$C$2)</f>
        <v>0</v>
      </c>
      <c r="P52" s="337">
        <f>SUMIFS(BS_RE33!$H$7:$H$874,BS_RE33!$S$7:$S$874,$P$2,BS_RE33!$N$7:$N$874,I52,BS_RE33!$P$7:$P$874,'30 days CF Table(EUR)'!G52,BS_RE33!$F$7:$F$874,'30 days CF Table(EUR)'!$C$2)</f>
        <v>0</v>
      </c>
      <c r="Q52" s="337">
        <f>SUMIFS(BS_RE33!$H$7:$H$874,BS_RE33!$S$7:$S$874,$Q$2,BS_RE33!$N$7:$N$874,I52,BS_RE33!$P$7:$P$874,'30 days CF Table(EUR)'!G52,BS_RE33!$F$7:$F$874,'30 days CF Table(EUR)'!$C$2)</f>
        <v>0</v>
      </c>
      <c r="R52" s="337">
        <f>SUMIFS(BS_RE33!$H$7:$H$874,BS_RE33!$S$7:$S$874,$R$2,BS_RE33!$N$7:$N$874,I52,BS_RE33!$P$7:$P$874,'30 days CF Table(EUR)'!G52,BS_RE33!$F$7:$F$874,'30 days CF Table(EUR)'!$C$2)</f>
        <v>0</v>
      </c>
      <c r="S52" s="337">
        <f>SUMIFS(BS_RE33!$H$7:$H$874,BS_RE33!$S$7:$S$874,$S$2,BS_RE33!$N$7:$N$874,I52,BS_RE33!$P$7:$P$874,'30 days CF Table(EUR)'!G52,BS_RE33!$F$7:$F$874,'30 days CF Table(EUR)'!$C$2)</f>
        <v>0</v>
      </c>
      <c r="T52" s="337">
        <f>SUMIFS(BS_RE33!$H$7:$H$874,BS_RE33!$S$7:$S$874,$T$2,BS_RE33!$N$7:$N$874,I52,BS_RE33!$P$7:$P$874,'30 days CF Table(EUR)'!G52,BS_RE33!$F$7:$F$874,'30 days CF Table(EUR)'!$C$2)</f>
        <v>0</v>
      </c>
      <c r="U52" s="337">
        <f>SUMIFS(BS_RE33!$H$7:$H$874,BS_RE33!$S$7:$S$874,$U$2,BS_RE33!$N$7:$N$874,I52,BS_RE33!$P$7:$P$874,'30 days CF Table(EUR)'!G52,BS_RE33!$F$7:$F$874,'30 days CF Table(EUR)'!$C$2)</f>
        <v>0</v>
      </c>
      <c r="V52" s="337">
        <f>SUMIFS(BS_RE33!$H$7:$H$874,BS_RE33!$S$7:$S$874,$V$2,BS_RE33!$N$7:$N$874,I52,BS_RE33!$P$7:$P$874,'30 days CF Table(EUR)'!G52,BS_RE33!$F$7:$F$874,'30 days CF Table(EUR)'!$C$2)</f>
        <v>0</v>
      </c>
      <c r="W52" s="337">
        <f>SUMIFS(BS_RE33!$H$7:$H$874,BS_RE33!$S$7:$S$874,$W$2,BS_RE33!$N$7:$N$874,I52,BS_RE33!$P$7:$P$874,'30 days CF Table(EUR)'!G52,BS_RE33!$F$7:$F$874,'30 days CF Table(EUR)'!$C$2)</f>
        <v>0</v>
      </c>
      <c r="X52" s="337">
        <f>SUMIFS(BS_RE33!$H$7:$H$874,BS_RE33!$S$7:$S$874,$X$2,BS_RE33!$N$7:$N$874,I52,BS_RE33!$P$7:$P$874,'30 days CF Table(EUR)'!G52,BS_RE33!$F$7:$F$874,'30 days CF Table(EUR)'!$C$2)</f>
        <v>0</v>
      </c>
      <c r="Y52" s="337">
        <f>SUMIFS(BS_RE33!$H$7:$H$874,BS_RE33!$S$7:$S$874,$Y$2,BS_RE33!$N$7:$N$874,I52,BS_RE33!$P$7:$P$874,'30 days CF Table(EUR)'!G52,BS_RE33!$F$7:$F$874,'30 days CF Table(EUR)'!$C$2)</f>
        <v>0</v>
      </c>
      <c r="Z52" s="337">
        <f>SUMIFS(BS_RE33!$H$7:$H$874,BS_RE33!$S$7:$S$874,$Z$2,BS_RE33!$N$7:$N$874,I52,BS_RE33!$P$7:$P$874,'30 days CF Table(EUR)'!G52,BS_RE33!$F$7:$F$874,'30 days CF Table(EUR)'!$C$2)</f>
        <v>0</v>
      </c>
      <c r="AA52" s="337">
        <f>SUMIFS(BS_RE33!$H$7:$H$874,BS_RE33!$S$7:$S$874,$AA$2,BS_RE33!$N$7:$N$874,I52,BS_RE33!$P$7:$P$874,'30 days CF Table(EUR)'!G52,BS_RE33!$F$7:$F$874,'30 days CF Table(EUR)'!$C$2)</f>
        <v>0</v>
      </c>
      <c r="AB52" s="337">
        <f>SUMIFS(BS_RE33!$H$7:$H$874,BS_RE33!$S$7:$S$874,$AB$2,BS_RE33!$N$7:$N$874,I52,BS_RE33!$P$7:$P$874,'30 days CF Table(EUR)'!G52,BS_RE33!$F$7:$F$874,'30 days CF Table(EUR)'!$C$2)</f>
        <v>0</v>
      </c>
      <c r="AC52" s="337">
        <f>SUMIFS(BS_RE33!$H$7:$H$874,BS_RE33!$S$7:$S$874,$AC$2,BS_RE33!$N$7:$N$874,I52,BS_RE33!$P$7:$P$874,'30 days CF Table(EUR)'!G52,BS_RE33!$F$7:$F$874,'30 days CF Table(EUR)'!$C$2)</f>
        <v>0</v>
      </c>
      <c r="AD52" s="337">
        <f>SUMIFS(BS_RE33!$H$7:$H$874,BS_RE33!$S$7:$S$874,$AD$2,BS_RE33!$N$7:$N$874,I52,BS_RE33!$P$7:$P$874,'30 days CF Table(EUR)'!G52,BS_RE33!$F$7:$F$874,'30 days CF Table(EUR)'!$C$2)</f>
        <v>0</v>
      </c>
      <c r="AE52" s="337">
        <f>SUMIFS(BS_RE33!$H$7:$H$874,BS_RE33!$S$7:$S$874,$AE$2,BS_RE33!$N$7:$N$874,I52,BS_RE33!$P$7:$P$874,'30 days CF Table(EUR)'!G52,BS_RE33!$F$7:$F$874,'30 days CF Table(EUR)'!$C$2)</f>
        <v>0</v>
      </c>
      <c r="AF52" s="337">
        <f>SUMIFS(BS_RE33!$H$7:$H$874,BS_RE33!$S$7:$S$874,$AF$2,BS_RE33!$N$7:$N$874,I52,BS_RE33!$P$7:$P$874,'30 days CF Table(EUR)'!G52,BS_RE33!$F$7:$F$874,'30 days CF Table(EUR)'!$C$2)</f>
        <v>0</v>
      </c>
      <c r="AG52" s="337">
        <f>SUMIFS(BS_RE33!$H$7:$H$874,BS_RE33!$S$7:$S$874,$AG$2,BS_RE33!$N$7:$N$874,I52,BS_RE33!$P$7:$P$874,'30 days CF Table(EUR)'!G52,BS_RE33!$F$7:$F$874,'30 days CF Table(EUR)'!$C$2)</f>
        <v>0</v>
      </c>
      <c r="AH52" s="337">
        <f>SUMIFS(BS_RE33!$H$7:$H$874,BS_RE33!$S$7:$S$874,$AH$2,BS_RE33!$N$7:$N$874,I52,BS_RE33!$P$7:$P$874,'30 days CF Table(EUR)'!G52,BS_RE33!$F$7:$F$874,'30 days CF Table(EUR)'!$C$2)</f>
        <v>0</v>
      </c>
      <c r="AI52" s="337">
        <f>SUMIFS(BS_RE33!$H$7:$H$874,BS_RE33!$S$7:$S$874,$AI$2,BS_RE33!$N$7:$N$874,I52,BS_RE33!$P$7:$P$874,'30 days CF Table(EUR)'!G52,BS_RE33!$F$7:$F$874,'30 days CF Table(EUR)'!$C$2)</f>
        <v>0</v>
      </c>
      <c r="AJ52" s="337">
        <f>SUMIFS(BS_RE33!$H$7:$H$874,BS_RE33!$S$7:$S$874,$AJ$2,BS_RE33!$N$7:$N$874,I52,BS_RE33!$P$7:$P$874,'30 days CF Table(EUR)'!G52,BS_RE33!$F$7:$F$874,'30 days CF Table(EUR)'!$C$2)</f>
        <v>0</v>
      </c>
      <c r="AK52" s="337">
        <f>SUMIFS(BS_RE33!$H$7:$H$874,BS_RE33!$S$7:$S$874,$AK$2,BS_RE33!$N$7:$N$874,I52,BS_RE33!$P$7:$P$874,'30 days CF Table(EUR)'!G52,BS_RE33!$F$7:$F$874,'30 days CF Table(EUR)'!$C$2)</f>
        <v>0</v>
      </c>
      <c r="AL52" s="337">
        <f>SUMIFS(BS_RE33!$H$7:$H$874,BS_RE33!$S$7:$S$874,$AL$2,BS_RE33!$N$7:$N$874,I52,BS_RE33!$P$7:$P$874,'30 days CF Table(EUR)'!G52,BS_RE33!$F$7:$F$874,'30 days CF Table(EUR)'!$C$2)</f>
        <v>0</v>
      </c>
      <c r="AM52" s="337">
        <f>SUMIFS(BS_RE33!$H$7:$H$874,BS_RE33!$S$7:$S$874,$AM$2,BS_RE33!$N$7:$N$874,I52,BS_RE33!$P$7:$P$874,'30 days CF Table(EUR)'!G52,BS_RE33!$F$7:$F$874,'30 days CF Table(EUR)'!$C$2)</f>
        <v>0</v>
      </c>
      <c r="AN52" s="337">
        <f>SUMIFS(BS_RE33!$H$7:$H$874,BS_RE33!$S$7:$S$874,$AN$2,BS_RE33!$N$7:$N$874,I52,BS_RE33!$P$7:$P$874,'30 days CF Table(EUR)'!G52,BS_RE33!$F$7:$F$874,'30 days CF Table(EUR)'!$C$2)</f>
        <v>0</v>
      </c>
      <c r="AO52" s="337">
        <f>SUMIFS(BS_RE33!$H$7:$H$874,BS_RE33!$S$7:$S$874,$AO$2,BS_RE33!$N$7:$N$874,I52,BS_RE33!$P$7:$P$874,'30 days CF Table(EUR)'!G52,BS_RE33!$F$7:$F$874,'30 days CF Table(EUR)'!$C$2)</f>
        <v>0</v>
      </c>
      <c r="AP52" s="338">
        <f>SUMIFS(BS_RE33!$H$7:$H$874,BS_RE33!$S$7:$S$874,$AP$2,BS_RE33!$N$7:$N$874,I52,BS_RE33!$P$7:$P$874,'30 days CF Table(EUR)'!G52,BS_RE33!$F$7:$F$874,'30 days CF Table(EUR)'!$C$2)</f>
        <v>0</v>
      </c>
      <c r="AR52" s="379">
        <f>SUMIFS(BS_RE33!$H$7:$H$874,BS_RE33!$S$7:$S$874,$AR$2,BS_RE33!$N$7:$N$874,I52,BS_RE33!$P$7:$P$874,'30 days CF Table(EUR)'!G52,BS_RE33!$F$7:$F$874,'30 days CF Table(EUR)'!$C$2)</f>
        <v>0</v>
      </c>
      <c r="AS52" s="379">
        <f>SUMIFS(BS_RE33!$H$7:$H$874,BS_RE33!$S$7:$S$874,$AS$2,BS_RE33!$N$7:$N$874,I52,BS_RE33!$P$7:$P$874,'30 days CF Table(EUR)'!G52,BS_RE33!$F$7:$F$874,'30 days CF Table(EUR)'!$C$2)</f>
        <v>0</v>
      </c>
      <c r="AT52" s="379">
        <f>SUMIFS(BS_RE33!$H$7:$H$874,BS_RE33!$S$7:$S$874,$AT$2,BS_RE33!$N$7:$N$874,I52,BS_RE33!$P$7:$P$874,'30 days CF Table(EUR)'!G52,BS_RE33!$F$7:$F$874,'30 days CF Table(EUR)'!$C$2)</f>
        <v>0</v>
      </c>
      <c r="AU52" s="379">
        <f>SUMIFS(BS_RE33!$H$7:$H$874,BS_RE33!$S$7:$S$874,$AU$2,BS_RE33!$N$7:$N$874,I52,BS_RE33!$P$7:$P$874,'30 days CF Table(EUR)'!G52,BS_RE33!$F$7:$F$874,'30 days CF Table(EUR)'!$C$2)</f>
        <v>0</v>
      </c>
      <c r="AV52" s="379">
        <f>SUMIFS(BS_RE33!$H$7:$H$874,BS_RE33!$S$7:$S$874,$AV$2,BS_RE33!$N$7:$N$874,I52,BS_RE33!$P$7:$P$874,'30 days CF Table(EUR)'!G52,BS_RE33!$F$7:$F$874,'30 days CF Table(EUR)'!$C$2)</f>
        <v>0</v>
      </c>
      <c r="AW52" s="379">
        <f>SUMIFS(BS_RE33!$H$7:$H$874,BS_RE33!$S$7:$S$874,$AW$2,BS_RE33!$N$7:$N$874,I52,BS_RE33!$P$7:$P$874,'30 days CF Table(EUR)'!G52,BS_RE33!$F$7:$F$874,'30 days CF Table(EUR)'!$C$2)</f>
        <v>0</v>
      </c>
      <c r="AX52" s="379">
        <f>SUMIFS(BS_RE33!$H$7:$H$874,BS_RE33!$S$7:$S$874,$AX$2,BS_RE33!$N$7:$N$874,I52,BS_RE33!$P$7:$P$874,'30 days CF Table(EUR)'!G52,BS_RE33!$F$7:$F$874,'30 days CF Table(EUR)'!$C$2)</f>
        <v>0</v>
      </c>
      <c r="AY52" s="379">
        <f>SUMIFS(BS_RE33!$H$7:$H$874,BS_RE33!$S$7:$S$874,$AY$2,BS_RE33!$N$7:$N$874,I52,BS_RE33!$P$7:$P$874,'30 days CF Table(EUR)'!G52,BS_RE33!$F$7:$F$874,'30 days CF Table(EUR)'!$C$2)</f>
        <v>0</v>
      </c>
      <c r="AZ52" s="379">
        <f>SUMIFS(BS_RE33!$H$7:$H$874,BS_RE33!$S$7:$S$874,$AZ$2,BS_RE33!$N$7:$N$874,I52,BS_RE33!$P$7:$P$874,'30 days CF Table(EUR)'!G52,BS_RE33!$F$7:$F$874,'30 days CF Table(EUR)'!$C$2)</f>
        <v>0</v>
      </c>
      <c r="BA52" s="379">
        <f>SUMIFS(BS_RE33!$H$7:$H$874,BS_RE33!$S$7:$S$874,$BA$2,BS_RE33!$N$7:$N$874,I52,BS_RE33!$P$7:$P$874,'30 days CF Table(EUR)'!G52,BS_RE33!$F$7:$F$874,'30 days CF Table(EUR)'!$C$2)</f>
        <v>0</v>
      </c>
      <c r="BB52" s="379">
        <f>SUMIFS(BS_RE33!$H$7:$H$874,BS_RE33!$S$7:$S$874,$BB$2,BS_RE33!$N$7:$N$874,I52,BS_RE33!$P$7:$P$874,'30 days CF Table(EUR)'!G52,BS_RE33!$F$7:$F$874,'30 days CF Table(EUR)'!$C$2)</f>
        <v>0</v>
      </c>
      <c r="BC52" s="379">
        <f>SUMIFS(BS_RE33!$H$7:$H$874,BS_RE33!$S$7:$S$874,$BC$2,BS_RE33!$N$7:$N$874,I52,BS_RE33!$P$7:$P$874,'30 days CF Table(EUR)'!G52,BS_RE33!$F$7:$F$874,'30 days CF Table(EUR)'!$C$2)</f>
        <v>0</v>
      </c>
      <c r="BD52" s="379">
        <f>SUMIFS(BS_RE33!$H$7:$H$874,BS_RE33!$S$7:$S$874,$BD$2,BS_RE33!$N$7:$N$874,I52,BS_RE33!$P$7:$P$874,'30 days CF Table(EUR)'!G52,BS_RE33!$F$7:$F$874,'30 days CF Table(EUR)'!$C$2)</f>
        <v>0</v>
      </c>
      <c r="BE52" s="379">
        <f>SUMIFS(BS_RE33!$H$7:$H$874,BS_RE33!$S$7:$S$874,$BE$2,BS_RE33!$N$7:$N$874,I52,BS_RE33!$P$7:$P$874,'30 days CF Table(EUR)'!G52,BS_RE33!$F$7:$F$874,'30 days CF Table(EUR)'!$C$2)</f>
        <v>0</v>
      </c>
      <c r="BF52" s="379">
        <f>SUMIFS(BS_RE33!$H$7:$H$874,BS_RE33!$S$7:$S$874,$BF$2,BS_RE33!$N$7:$N$874,I52,BS_RE33!$P$7:$P$874,'30 days CF Table(EUR)'!G52,BS_RE33!$F$7:$F$874,'30 days CF Table(EUR)'!$C$2)</f>
        <v>0</v>
      </c>
      <c r="BG52" s="379">
        <f>SUMIFS(BS_RE33!$H$7:$H$874,BS_RE33!$S$7:$S$874,$BG$2,BS_RE33!$N$7:$N$874,I52,BS_RE33!$P$7:$P$874,'30 days CF Table(EUR)'!G52,BS_RE33!$F$7:$F$874,'30 days CF Table(EUR)'!$C$2)</f>
        <v>0</v>
      </c>
      <c r="BH52" s="379">
        <f>SUMIFS(BS_RE33!$H$7:$H$874,BS_RE33!$S$7:$S$874,$BH$2,BS_RE33!$N$7:$N$874,I52,BS_RE33!$P$7:$P$874,'30 days CF Table(EUR)'!G52,BS_RE33!$F$7:$F$874,'30 days CF Table(EUR)'!$C$2)</f>
        <v>0</v>
      </c>
      <c r="BI52" s="379">
        <f>SUMIFS(BS_RE33!$H$7:$H$874,BS_RE33!$S$7:$S$874,$BI$2,BS_RE33!$N$7:$N$874,I52,BS_RE33!$P$7:$P$874,'30 days CF Table(EUR)'!G52,BS_RE33!$F$7:$F$874,'30 days CF Table(EUR)'!$C$2)</f>
        <v>0</v>
      </c>
      <c r="BJ52" s="379">
        <f>SUMIFS(BS_RE33!$H$7:$H$874,BS_RE33!$S$7:$S$874,$BJ$2,BS_RE33!$N$7:$N$874,I52,BS_RE33!$P$7:$P$874,'30 days CF Table(EUR)'!G52,BS_RE33!$F$7:$F$874,'30 days CF Table(EUR)'!$C$2)</f>
        <v>0</v>
      </c>
      <c r="BK52" s="379">
        <f>SUMIFS(BS_RE33!$H$7:$H$874,BS_RE33!$S$7:$S$874,$BK$2,BS_RE33!$N$7:$N$874,I52,BS_RE33!$P$7:$P$874,'30 days CF Table(EUR)'!G52,BS_RE33!$F$7:$F$874,'30 days CF Table(EUR)'!$C$2)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Table(EUR)'!G53,BS_RE33!$F$7:$F$874,'30 days CF Table(EUR)'!$C$2)</f>
        <v>0</v>
      </c>
      <c r="M53" s="337">
        <f>SUMIFS(BS_RE33!$H$7:$H$874,BS_RE33!$S$7:$S$874,$M$2,BS_RE33!$N$7:$N$874,I53,BS_RE33!$P$7:$P$874,'30 days CF Table(EUR)'!G53,BS_RE33!$F$7:$F$874,'30 days CF Table(EUR)'!$C$2)</f>
        <v>0</v>
      </c>
      <c r="N53" s="337">
        <f>SUMIFS(BS_RE33!$H$7:$H$874,BS_RE33!$S$7:$S$874,$N$2,BS_RE33!$N$7:$N$874,I53,BS_RE33!$P$7:$P$874,'30 days CF Table(EUR)'!G53,BS_RE33!$F$7:$F$874,'30 days CF Table(EUR)'!$C$2)</f>
        <v>0</v>
      </c>
      <c r="O53" s="337">
        <f>SUMIFS(BS_RE33!$H$7:$H$874,BS_RE33!$S$7:$S$874,$O$2,BS_RE33!$N$7:$N$874,I53,BS_RE33!$P$7:$P$874,'30 days CF Table(EUR)'!G53,BS_RE33!$F$7:$F$874,'30 days CF Table(EUR)'!$C$2)</f>
        <v>0</v>
      </c>
      <c r="P53" s="337">
        <f>SUMIFS(BS_RE33!$H$7:$H$874,BS_RE33!$S$7:$S$874,$P$2,BS_RE33!$N$7:$N$874,I53,BS_RE33!$P$7:$P$874,'30 days CF Table(EUR)'!G53,BS_RE33!$F$7:$F$874,'30 days CF Table(EUR)'!$C$2)</f>
        <v>0</v>
      </c>
      <c r="Q53" s="337">
        <f>SUMIFS(BS_RE33!$H$7:$H$874,BS_RE33!$S$7:$S$874,$Q$2,BS_RE33!$N$7:$N$874,I53,BS_RE33!$P$7:$P$874,'30 days CF Table(EUR)'!G53,BS_RE33!$F$7:$F$874,'30 days CF Table(EUR)'!$C$2)</f>
        <v>0</v>
      </c>
      <c r="R53" s="337">
        <f>SUMIFS(BS_RE33!$H$7:$H$874,BS_RE33!$S$7:$S$874,$R$2,BS_RE33!$N$7:$N$874,I53,BS_RE33!$P$7:$P$874,'30 days CF Table(EUR)'!G53,BS_RE33!$F$7:$F$874,'30 days CF Table(EUR)'!$C$2)</f>
        <v>0</v>
      </c>
      <c r="S53" s="337">
        <f>SUMIFS(BS_RE33!$H$7:$H$874,BS_RE33!$S$7:$S$874,$S$2,BS_RE33!$N$7:$N$874,I53,BS_RE33!$P$7:$P$874,'30 days CF Table(EUR)'!G53,BS_RE33!$F$7:$F$874,'30 days CF Table(EUR)'!$C$2)</f>
        <v>0</v>
      </c>
      <c r="T53" s="337">
        <f>SUMIFS(BS_RE33!$H$7:$H$874,BS_RE33!$S$7:$S$874,$T$2,BS_RE33!$N$7:$N$874,I53,BS_RE33!$P$7:$P$874,'30 days CF Table(EUR)'!G53,BS_RE33!$F$7:$F$874,'30 days CF Table(EUR)'!$C$2)</f>
        <v>0</v>
      </c>
      <c r="U53" s="337">
        <f>SUMIFS(BS_RE33!$H$7:$H$874,BS_RE33!$S$7:$S$874,$U$2,BS_RE33!$N$7:$N$874,I53,BS_RE33!$P$7:$P$874,'30 days CF Table(EUR)'!G53,BS_RE33!$F$7:$F$874,'30 days CF Table(EUR)'!$C$2)</f>
        <v>0</v>
      </c>
      <c r="V53" s="337">
        <f>SUMIFS(BS_RE33!$H$7:$H$874,BS_RE33!$S$7:$S$874,$V$2,BS_RE33!$N$7:$N$874,I53,BS_RE33!$P$7:$P$874,'30 days CF Table(EUR)'!G53,BS_RE33!$F$7:$F$874,'30 days CF Table(EUR)'!$C$2)</f>
        <v>0</v>
      </c>
      <c r="W53" s="337">
        <f>SUMIFS(BS_RE33!$H$7:$H$874,BS_RE33!$S$7:$S$874,$W$2,BS_RE33!$N$7:$N$874,I53,BS_RE33!$P$7:$P$874,'30 days CF Table(EUR)'!G53,BS_RE33!$F$7:$F$874,'30 days CF Table(EUR)'!$C$2)</f>
        <v>0</v>
      </c>
      <c r="X53" s="337">
        <f>SUMIFS(BS_RE33!$H$7:$H$874,BS_RE33!$S$7:$S$874,$X$2,BS_RE33!$N$7:$N$874,I53,BS_RE33!$P$7:$P$874,'30 days CF Table(EUR)'!G53,BS_RE33!$F$7:$F$874,'30 days CF Table(EUR)'!$C$2)</f>
        <v>0</v>
      </c>
      <c r="Y53" s="337">
        <f>SUMIFS(BS_RE33!$H$7:$H$874,BS_RE33!$S$7:$S$874,$Y$2,BS_RE33!$N$7:$N$874,I53,BS_RE33!$P$7:$P$874,'30 days CF Table(EUR)'!G53,BS_RE33!$F$7:$F$874,'30 days CF Table(EUR)'!$C$2)</f>
        <v>0</v>
      </c>
      <c r="Z53" s="337">
        <f>SUMIFS(BS_RE33!$H$7:$H$874,BS_RE33!$S$7:$S$874,$Z$2,BS_RE33!$N$7:$N$874,I53,BS_RE33!$P$7:$P$874,'30 days CF Table(EUR)'!G53,BS_RE33!$F$7:$F$874,'30 days CF Table(EUR)'!$C$2)</f>
        <v>0</v>
      </c>
      <c r="AA53" s="337">
        <f>SUMIFS(BS_RE33!$H$7:$H$874,BS_RE33!$S$7:$S$874,$AA$2,BS_RE33!$N$7:$N$874,I53,BS_RE33!$P$7:$P$874,'30 days CF Table(EUR)'!G53,BS_RE33!$F$7:$F$874,'30 days CF Table(EUR)'!$C$2)</f>
        <v>0</v>
      </c>
      <c r="AB53" s="337">
        <f>SUMIFS(BS_RE33!$H$7:$H$874,BS_RE33!$S$7:$S$874,$AB$2,BS_RE33!$N$7:$N$874,I53,BS_RE33!$P$7:$P$874,'30 days CF Table(EUR)'!G53,BS_RE33!$F$7:$F$874,'30 days CF Table(EUR)'!$C$2)</f>
        <v>0</v>
      </c>
      <c r="AC53" s="337">
        <f>SUMIFS(BS_RE33!$H$7:$H$874,BS_RE33!$S$7:$S$874,$AC$2,BS_RE33!$N$7:$N$874,I53,BS_RE33!$P$7:$P$874,'30 days CF Table(EUR)'!G53,BS_RE33!$F$7:$F$874,'30 days CF Table(EUR)'!$C$2)</f>
        <v>0</v>
      </c>
      <c r="AD53" s="337">
        <f>SUMIFS(BS_RE33!$H$7:$H$874,BS_RE33!$S$7:$S$874,$AD$2,BS_RE33!$N$7:$N$874,I53,BS_RE33!$P$7:$P$874,'30 days CF Table(EUR)'!G53,BS_RE33!$F$7:$F$874,'30 days CF Table(EUR)'!$C$2)</f>
        <v>0</v>
      </c>
      <c r="AE53" s="337">
        <f>SUMIFS(BS_RE33!$H$7:$H$874,BS_RE33!$S$7:$S$874,$AE$2,BS_RE33!$N$7:$N$874,I53,BS_RE33!$P$7:$P$874,'30 days CF Table(EUR)'!G53,BS_RE33!$F$7:$F$874,'30 days CF Table(EUR)'!$C$2)</f>
        <v>0</v>
      </c>
      <c r="AF53" s="337">
        <f>SUMIFS(BS_RE33!$H$7:$H$874,BS_RE33!$S$7:$S$874,$AF$2,BS_RE33!$N$7:$N$874,I53,BS_RE33!$P$7:$P$874,'30 days CF Table(EUR)'!G53,BS_RE33!$F$7:$F$874,'30 days CF Table(EUR)'!$C$2)</f>
        <v>0</v>
      </c>
      <c r="AG53" s="337">
        <f>SUMIFS(BS_RE33!$H$7:$H$874,BS_RE33!$S$7:$S$874,$AG$2,BS_RE33!$N$7:$N$874,I53,BS_RE33!$P$7:$P$874,'30 days CF Table(EUR)'!G53,BS_RE33!$F$7:$F$874,'30 days CF Table(EUR)'!$C$2)</f>
        <v>0</v>
      </c>
      <c r="AH53" s="337">
        <f>SUMIFS(BS_RE33!$H$7:$H$874,BS_RE33!$S$7:$S$874,$AH$2,BS_RE33!$N$7:$N$874,I53,BS_RE33!$P$7:$P$874,'30 days CF Table(EUR)'!G53,BS_RE33!$F$7:$F$874,'30 days CF Table(EUR)'!$C$2)</f>
        <v>0</v>
      </c>
      <c r="AI53" s="337">
        <f>SUMIFS(BS_RE33!$H$7:$H$874,BS_RE33!$S$7:$S$874,$AI$2,BS_RE33!$N$7:$N$874,I53,BS_RE33!$P$7:$P$874,'30 days CF Table(EUR)'!G53,BS_RE33!$F$7:$F$874,'30 days CF Table(EUR)'!$C$2)</f>
        <v>0</v>
      </c>
      <c r="AJ53" s="337">
        <f>SUMIFS(BS_RE33!$H$7:$H$874,BS_RE33!$S$7:$S$874,$AJ$2,BS_RE33!$N$7:$N$874,I53,BS_RE33!$P$7:$P$874,'30 days CF Table(EUR)'!G53,BS_RE33!$F$7:$F$874,'30 days CF Table(EUR)'!$C$2)</f>
        <v>0</v>
      </c>
      <c r="AK53" s="337">
        <f>SUMIFS(BS_RE33!$H$7:$H$874,BS_RE33!$S$7:$S$874,$AK$2,BS_RE33!$N$7:$N$874,I53,BS_RE33!$P$7:$P$874,'30 days CF Table(EUR)'!G53,BS_RE33!$F$7:$F$874,'30 days CF Table(EUR)'!$C$2)</f>
        <v>0</v>
      </c>
      <c r="AL53" s="337">
        <f>SUMIFS(BS_RE33!$H$7:$H$874,BS_RE33!$S$7:$S$874,$AL$2,BS_RE33!$N$7:$N$874,I53,BS_RE33!$P$7:$P$874,'30 days CF Table(EUR)'!G53,BS_RE33!$F$7:$F$874,'30 days CF Table(EUR)'!$C$2)</f>
        <v>0</v>
      </c>
      <c r="AM53" s="337">
        <f>SUMIFS(BS_RE33!$H$7:$H$874,BS_RE33!$S$7:$S$874,$AM$2,BS_RE33!$N$7:$N$874,I53,BS_RE33!$P$7:$P$874,'30 days CF Table(EUR)'!G53,BS_RE33!$F$7:$F$874,'30 days CF Table(EUR)'!$C$2)</f>
        <v>0</v>
      </c>
      <c r="AN53" s="337">
        <f>SUMIFS(BS_RE33!$H$7:$H$874,BS_RE33!$S$7:$S$874,$AN$2,BS_RE33!$N$7:$N$874,I53,BS_RE33!$P$7:$P$874,'30 days CF Table(EUR)'!G53,BS_RE33!$F$7:$F$874,'30 days CF Table(EUR)'!$C$2)</f>
        <v>0</v>
      </c>
      <c r="AO53" s="337">
        <f>SUMIFS(BS_RE33!$H$7:$H$874,BS_RE33!$S$7:$S$874,$AO$2,BS_RE33!$N$7:$N$874,I53,BS_RE33!$P$7:$P$874,'30 days CF Table(EUR)'!G53,BS_RE33!$F$7:$F$874,'30 days CF Table(EUR)'!$C$2)</f>
        <v>0</v>
      </c>
      <c r="AP53" s="338">
        <f>SUMIFS(BS_RE33!$H$7:$H$874,BS_RE33!$S$7:$S$874,$AP$2,BS_RE33!$N$7:$N$874,I53,BS_RE33!$P$7:$P$874,'30 days CF Table(EUR)'!G53,BS_RE33!$F$7:$F$874,'30 days CF Table(EUR)'!$C$2)</f>
        <v>0</v>
      </c>
      <c r="AR53" s="379">
        <f>SUMIFS(BS_RE33!$H$7:$H$874,BS_RE33!$S$7:$S$874,$AR$2,BS_RE33!$N$7:$N$874,I53,BS_RE33!$P$7:$P$874,'30 days CF Table(EUR)'!G53,BS_RE33!$F$7:$F$874,'30 days CF Table(EUR)'!$C$2)</f>
        <v>0</v>
      </c>
      <c r="AS53" s="379">
        <f>SUMIFS(BS_RE33!$H$7:$H$874,BS_RE33!$S$7:$S$874,$AS$2,BS_RE33!$N$7:$N$874,I53,BS_RE33!$P$7:$P$874,'30 days CF Table(EUR)'!G53,BS_RE33!$F$7:$F$874,'30 days CF Table(EUR)'!$C$2)</f>
        <v>0</v>
      </c>
      <c r="AT53" s="379">
        <f>SUMIFS(BS_RE33!$H$7:$H$874,BS_RE33!$S$7:$S$874,$AT$2,BS_RE33!$N$7:$N$874,I53,BS_RE33!$P$7:$P$874,'30 days CF Table(EUR)'!G53,BS_RE33!$F$7:$F$874,'30 days CF Table(EUR)'!$C$2)</f>
        <v>0</v>
      </c>
      <c r="AU53" s="379">
        <f>SUMIFS(BS_RE33!$H$7:$H$874,BS_RE33!$S$7:$S$874,$AU$2,BS_RE33!$N$7:$N$874,I53,BS_RE33!$P$7:$P$874,'30 days CF Table(EUR)'!G53,BS_RE33!$F$7:$F$874,'30 days CF Table(EUR)'!$C$2)</f>
        <v>0</v>
      </c>
      <c r="AV53" s="379">
        <f>SUMIFS(BS_RE33!$H$7:$H$874,BS_RE33!$S$7:$S$874,$AV$2,BS_RE33!$N$7:$N$874,I53,BS_RE33!$P$7:$P$874,'30 days CF Table(EUR)'!G53,BS_RE33!$F$7:$F$874,'30 days CF Table(EUR)'!$C$2)</f>
        <v>0</v>
      </c>
      <c r="AW53" s="379">
        <f>SUMIFS(BS_RE33!$H$7:$H$874,BS_RE33!$S$7:$S$874,$AW$2,BS_RE33!$N$7:$N$874,I53,BS_RE33!$P$7:$P$874,'30 days CF Table(EUR)'!G53,BS_RE33!$F$7:$F$874,'30 days CF Table(EUR)'!$C$2)</f>
        <v>0</v>
      </c>
      <c r="AX53" s="379">
        <f>SUMIFS(BS_RE33!$H$7:$H$874,BS_RE33!$S$7:$S$874,$AX$2,BS_RE33!$N$7:$N$874,I53,BS_RE33!$P$7:$P$874,'30 days CF Table(EUR)'!G53,BS_RE33!$F$7:$F$874,'30 days CF Table(EUR)'!$C$2)</f>
        <v>0</v>
      </c>
      <c r="AY53" s="379">
        <f>SUMIFS(BS_RE33!$H$7:$H$874,BS_RE33!$S$7:$S$874,$AY$2,BS_RE33!$N$7:$N$874,I53,BS_RE33!$P$7:$P$874,'30 days CF Table(EUR)'!G53,BS_RE33!$F$7:$F$874,'30 days CF Table(EUR)'!$C$2)</f>
        <v>0</v>
      </c>
      <c r="AZ53" s="379">
        <f>SUMIFS(BS_RE33!$H$7:$H$874,BS_RE33!$S$7:$S$874,$AZ$2,BS_RE33!$N$7:$N$874,I53,BS_RE33!$P$7:$P$874,'30 days CF Table(EUR)'!G53,BS_RE33!$F$7:$F$874,'30 days CF Table(EUR)'!$C$2)</f>
        <v>0</v>
      </c>
      <c r="BA53" s="379">
        <f>SUMIFS(BS_RE33!$H$7:$H$874,BS_RE33!$S$7:$S$874,$BA$2,BS_RE33!$N$7:$N$874,I53,BS_RE33!$P$7:$P$874,'30 days CF Table(EUR)'!G53,BS_RE33!$F$7:$F$874,'30 days CF Table(EUR)'!$C$2)</f>
        <v>0</v>
      </c>
      <c r="BB53" s="379">
        <f>SUMIFS(BS_RE33!$H$7:$H$874,BS_RE33!$S$7:$S$874,$BB$2,BS_RE33!$N$7:$N$874,I53,BS_RE33!$P$7:$P$874,'30 days CF Table(EUR)'!G53,BS_RE33!$F$7:$F$874,'30 days CF Table(EUR)'!$C$2)</f>
        <v>0</v>
      </c>
      <c r="BC53" s="379">
        <f>SUMIFS(BS_RE33!$H$7:$H$874,BS_RE33!$S$7:$S$874,$BC$2,BS_RE33!$N$7:$N$874,I53,BS_RE33!$P$7:$P$874,'30 days CF Table(EUR)'!G53,BS_RE33!$F$7:$F$874,'30 days CF Table(EUR)'!$C$2)</f>
        <v>0</v>
      </c>
      <c r="BD53" s="379">
        <f>SUMIFS(BS_RE33!$H$7:$H$874,BS_RE33!$S$7:$S$874,$BD$2,BS_RE33!$N$7:$N$874,I53,BS_RE33!$P$7:$P$874,'30 days CF Table(EUR)'!G53,BS_RE33!$F$7:$F$874,'30 days CF Table(EUR)'!$C$2)</f>
        <v>0</v>
      </c>
      <c r="BE53" s="379">
        <f>SUMIFS(BS_RE33!$H$7:$H$874,BS_RE33!$S$7:$S$874,$BE$2,BS_RE33!$N$7:$N$874,I53,BS_RE33!$P$7:$P$874,'30 days CF Table(EUR)'!G53,BS_RE33!$F$7:$F$874,'30 days CF Table(EUR)'!$C$2)</f>
        <v>0</v>
      </c>
      <c r="BF53" s="379">
        <f>SUMIFS(BS_RE33!$H$7:$H$874,BS_RE33!$S$7:$S$874,$BF$2,BS_RE33!$N$7:$N$874,I53,BS_RE33!$P$7:$P$874,'30 days CF Table(EUR)'!G53,BS_RE33!$F$7:$F$874,'30 days CF Table(EUR)'!$C$2)</f>
        <v>0</v>
      </c>
      <c r="BG53" s="379">
        <f>SUMIFS(BS_RE33!$H$7:$H$874,BS_RE33!$S$7:$S$874,$BG$2,BS_RE33!$N$7:$N$874,I53,BS_RE33!$P$7:$P$874,'30 days CF Table(EUR)'!G53,BS_RE33!$F$7:$F$874,'30 days CF Table(EUR)'!$C$2)</f>
        <v>0</v>
      </c>
      <c r="BH53" s="379">
        <f>SUMIFS(BS_RE33!$H$7:$H$874,BS_RE33!$S$7:$S$874,$BH$2,BS_RE33!$N$7:$N$874,I53,BS_RE33!$P$7:$P$874,'30 days CF Table(EUR)'!G53,BS_RE33!$F$7:$F$874,'30 days CF Table(EUR)'!$C$2)</f>
        <v>0</v>
      </c>
      <c r="BI53" s="379">
        <f>SUMIFS(BS_RE33!$H$7:$H$874,BS_RE33!$S$7:$S$874,$BI$2,BS_RE33!$N$7:$N$874,I53,BS_RE33!$P$7:$P$874,'30 days CF Table(EUR)'!G53,BS_RE33!$F$7:$F$874,'30 days CF Table(EUR)'!$C$2)</f>
        <v>0</v>
      </c>
      <c r="BJ53" s="379">
        <f>SUMIFS(BS_RE33!$H$7:$H$874,BS_RE33!$S$7:$S$874,$BJ$2,BS_RE33!$N$7:$N$874,I53,BS_RE33!$P$7:$P$874,'30 days CF Table(EUR)'!G53,BS_RE33!$F$7:$F$874,'30 days CF Table(EUR)'!$C$2)</f>
        <v>0</v>
      </c>
      <c r="BK53" s="379">
        <f>SUMIFS(BS_RE33!$H$7:$H$874,BS_RE33!$S$7:$S$874,$BK$2,BS_RE33!$N$7:$N$874,I53,BS_RE33!$P$7:$P$874,'30 days CF Table(EUR)'!G53,BS_RE33!$F$7:$F$874,'30 days CF Table(EUR)'!$C$2)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Table(EUR)'!G54,BS_RE33!$F$7:$F$874,'30 days CF Table(EUR)'!$C$2)</f>
        <v>0</v>
      </c>
      <c r="M54" s="337">
        <f>SUMIFS(BS_RE33!$H$7:$H$874,BS_RE33!$S$7:$S$874,$M$2,BS_RE33!$N$7:$N$874,I54,BS_RE33!$P$7:$P$874,'30 days CF Table(EUR)'!G54,BS_RE33!$F$7:$F$874,'30 days CF Table(EUR)'!$C$2)</f>
        <v>0</v>
      </c>
      <c r="N54" s="337">
        <f>SUMIFS(BS_RE33!$H$7:$H$874,BS_RE33!$S$7:$S$874,$N$2,BS_RE33!$N$7:$N$874,I54,BS_RE33!$P$7:$P$874,'30 days CF Table(EUR)'!G54,BS_RE33!$F$7:$F$874,'30 days CF Table(EUR)'!$C$2)</f>
        <v>0</v>
      </c>
      <c r="O54" s="337">
        <f>SUMIFS(BS_RE33!$H$7:$H$874,BS_RE33!$S$7:$S$874,$O$2,BS_RE33!$N$7:$N$874,I54,BS_RE33!$P$7:$P$874,'30 days CF Table(EUR)'!G54,BS_RE33!$F$7:$F$874,'30 days CF Table(EUR)'!$C$2)</f>
        <v>0</v>
      </c>
      <c r="P54" s="337">
        <f>SUMIFS(BS_RE33!$H$7:$H$874,BS_RE33!$S$7:$S$874,$P$2,BS_RE33!$N$7:$N$874,I54,BS_RE33!$P$7:$P$874,'30 days CF Table(EUR)'!G54,BS_RE33!$F$7:$F$874,'30 days CF Table(EUR)'!$C$2)</f>
        <v>0</v>
      </c>
      <c r="Q54" s="337">
        <f>SUMIFS(BS_RE33!$H$7:$H$874,BS_RE33!$S$7:$S$874,$Q$2,BS_RE33!$N$7:$N$874,I54,BS_RE33!$P$7:$P$874,'30 days CF Table(EUR)'!G54,BS_RE33!$F$7:$F$874,'30 days CF Table(EUR)'!$C$2)</f>
        <v>0</v>
      </c>
      <c r="R54" s="337">
        <f>SUMIFS(BS_RE33!$H$7:$H$874,BS_RE33!$S$7:$S$874,$R$2,BS_RE33!$N$7:$N$874,I54,BS_RE33!$P$7:$P$874,'30 days CF Table(EUR)'!G54,BS_RE33!$F$7:$F$874,'30 days CF Table(EUR)'!$C$2)</f>
        <v>0</v>
      </c>
      <c r="S54" s="337">
        <f>SUMIFS(BS_RE33!$H$7:$H$874,BS_RE33!$S$7:$S$874,$S$2,BS_RE33!$N$7:$N$874,I54,BS_RE33!$P$7:$P$874,'30 days CF Table(EUR)'!G54,BS_RE33!$F$7:$F$874,'30 days CF Table(EUR)'!$C$2)</f>
        <v>0</v>
      </c>
      <c r="T54" s="337">
        <f>SUMIFS(BS_RE33!$H$7:$H$874,BS_RE33!$S$7:$S$874,$T$2,BS_RE33!$N$7:$N$874,I54,BS_RE33!$P$7:$P$874,'30 days CF Table(EUR)'!G54,BS_RE33!$F$7:$F$874,'30 days CF Table(EUR)'!$C$2)</f>
        <v>0</v>
      </c>
      <c r="U54" s="337">
        <f>SUMIFS(BS_RE33!$H$7:$H$874,BS_RE33!$S$7:$S$874,$U$2,BS_RE33!$N$7:$N$874,I54,BS_RE33!$P$7:$P$874,'30 days CF Table(EUR)'!G54,BS_RE33!$F$7:$F$874,'30 days CF Table(EUR)'!$C$2)</f>
        <v>0</v>
      </c>
      <c r="V54" s="337">
        <f>SUMIFS(BS_RE33!$H$7:$H$874,BS_RE33!$S$7:$S$874,$V$2,BS_RE33!$N$7:$N$874,I54,BS_RE33!$P$7:$P$874,'30 days CF Table(EUR)'!G54,BS_RE33!$F$7:$F$874,'30 days CF Table(EUR)'!$C$2)</f>
        <v>0</v>
      </c>
      <c r="W54" s="337">
        <f>SUMIFS(BS_RE33!$H$7:$H$874,BS_RE33!$S$7:$S$874,$W$2,BS_RE33!$N$7:$N$874,I54,BS_RE33!$P$7:$P$874,'30 days CF Table(EUR)'!G54,BS_RE33!$F$7:$F$874,'30 days CF Table(EUR)'!$C$2)</f>
        <v>0</v>
      </c>
      <c r="X54" s="337">
        <f>SUMIFS(BS_RE33!$H$7:$H$874,BS_RE33!$S$7:$S$874,$X$2,BS_RE33!$N$7:$N$874,I54,BS_RE33!$P$7:$P$874,'30 days CF Table(EUR)'!G54,BS_RE33!$F$7:$F$874,'30 days CF Table(EUR)'!$C$2)</f>
        <v>0</v>
      </c>
      <c r="Y54" s="337">
        <f>SUMIFS(BS_RE33!$H$7:$H$874,BS_RE33!$S$7:$S$874,$Y$2,BS_RE33!$N$7:$N$874,I54,BS_RE33!$P$7:$P$874,'30 days CF Table(EUR)'!G54,BS_RE33!$F$7:$F$874,'30 days CF Table(EUR)'!$C$2)</f>
        <v>0</v>
      </c>
      <c r="Z54" s="337">
        <f>SUMIFS(BS_RE33!$H$7:$H$874,BS_RE33!$S$7:$S$874,$Z$2,BS_RE33!$N$7:$N$874,I54,BS_RE33!$P$7:$P$874,'30 days CF Table(EUR)'!G54,BS_RE33!$F$7:$F$874,'30 days CF Table(EUR)'!$C$2)</f>
        <v>0</v>
      </c>
      <c r="AA54" s="337">
        <f>SUMIFS(BS_RE33!$H$7:$H$874,BS_RE33!$S$7:$S$874,$AA$2,BS_RE33!$N$7:$N$874,I54,BS_RE33!$P$7:$P$874,'30 days CF Table(EUR)'!G54,BS_RE33!$F$7:$F$874,'30 days CF Table(EUR)'!$C$2)</f>
        <v>0</v>
      </c>
      <c r="AB54" s="337">
        <f>SUMIFS(BS_RE33!$H$7:$H$874,BS_RE33!$S$7:$S$874,$AB$2,BS_RE33!$N$7:$N$874,I54,BS_RE33!$P$7:$P$874,'30 days CF Table(EUR)'!G54,BS_RE33!$F$7:$F$874,'30 days CF Table(EUR)'!$C$2)</f>
        <v>0</v>
      </c>
      <c r="AC54" s="337">
        <f>SUMIFS(BS_RE33!$H$7:$H$874,BS_RE33!$S$7:$S$874,$AC$2,BS_RE33!$N$7:$N$874,I54,BS_RE33!$P$7:$P$874,'30 days CF Table(EUR)'!G54,BS_RE33!$F$7:$F$874,'30 days CF Table(EUR)'!$C$2)</f>
        <v>0</v>
      </c>
      <c r="AD54" s="337">
        <f>SUMIFS(BS_RE33!$H$7:$H$874,BS_RE33!$S$7:$S$874,$AD$2,BS_RE33!$N$7:$N$874,I54,BS_RE33!$P$7:$P$874,'30 days CF Table(EUR)'!G54,BS_RE33!$F$7:$F$874,'30 days CF Table(EUR)'!$C$2)</f>
        <v>0</v>
      </c>
      <c r="AE54" s="337">
        <f>SUMIFS(BS_RE33!$H$7:$H$874,BS_RE33!$S$7:$S$874,$AE$2,BS_RE33!$N$7:$N$874,I54,BS_RE33!$P$7:$P$874,'30 days CF Table(EUR)'!G54,BS_RE33!$F$7:$F$874,'30 days CF Table(EUR)'!$C$2)</f>
        <v>0</v>
      </c>
      <c r="AF54" s="337">
        <f>SUMIFS(BS_RE33!$H$7:$H$874,BS_RE33!$S$7:$S$874,$AF$2,BS_RE33!$N$7:$N$874,I54,BS_RE33!$P$7:$P$874,'30 days CF Table(EUR)'!G54,BS_RE33!$F$7:$F$874,'30 days CF Table(EUR)'!$C$2)</f>
        <v>0</v>
      </c>
      <c r="AG54" s="337">
        <f>SUMIFS(BS_RE33!$H$7:$H$874,BS_RE33!$S$7:$S$874,$AG$2,BS_RE33!$N$7:$N$874,I54,BS_RE33!$P$7:$P$874,'30 days CF Table(EUR)'!G54,BS_RE33!$F$7:$F$874,'30 days CF Table(EUR)'!$C$2)</f>
        <v>0</v>
      </c>
      <c r="AH54" s="337">
        <f>SUMIFS(BS_RE33!$H$7:$H$874,BS_RE33!$S$7:$S$874,$AH$2,BS_RE33!$N$7:$N$874,I54,BS_RE33!$P$7:$P$874,'30 days CF Table(EUR)'!G54,BS_RE33!$F$7:$F$874,'30 days CF Table(EUR)'!$C$2)</f>
        <v>0</v>
      </c>
      <c r="AI54" s="337">
        <f>SUMIFS(BS_RE33!$H$7:$H$874,BS_RE33!$S$7:$S$874,$AI$2,BS_RE33!$N$7:$N$874,I54,BS_RE33!$P$7:$P$874,'30 days CF Table(EUR)'!G54,BS_RE33!$F$7:$F$874,'30 days CF Table(EUR)'!$C$2)</f>
        <v>0</v>
      </c>
      <c r="AJ54" s="337">
        <f>SUMIFS(BS_RE33!$H$7:$H$874,BS_RE33!$S$7:$S$874,$AJ$2,BS_RE33!$N$7:$N$874,I54,BS_RE33!$P$7:$P$874,'30 days CF Table(EUR)'!G54,BS_RE33!$F$7:$F$874,'30 days CF Table(EUR)'!$C$2)</f>
        <v>0</v>
      </c>
      <c r="AK54" s="337">
        <f>SUMIFS(BS_RE33!$H$7:$H$874,BS_RE33!$S$7:$S$874,$AK$2,BS_RE33!$N$7:$N$874,I54,BS_RE33!$P$7:$P$874,'30 days CF Table(EUR)'!G54,BS_RE33!$F$7:$F$874,'30 days CF Table(EUR)'!$C$2)</f>
        <v>0</v>
      </c>
      <c r="AL54" s="337">
        <f>SUMIFS(BS_RE33!$H$7:$H$874,BS_RE33!$S$7:$S$874,$AL$2,BS_RE33!$N$7:$N$874,I54,BS_RE33!$P$7:$P$874,'30 days CF Table(EUR)'!G54,BS_RE33!$F$7:$F$874,'30 days CF Table(EUR)'!$C$2)</f>
        <v>0</v>
      </c>
      <c r="AM54" s="337">
        <f>SUMIFS(BS_RE33!$H$7:$H$874,BS_RE33!$S$7:$S$874,$AM$2,BS_RE33!$N$7:$N$874,I54,BS_RE33!$P$7:$P$874,'30 days CF Table(EUR)'!G54,BS_RE33!$F$7:$F$874,'30 days CF Table(EUR)'!$C$2)</f>
        <v>0</v>
      </c>
      <c r="AN54" s="337">
        <f>SUMIFS(BS_RE33!$H$7:$H$874,BS_RE33!$S$7:$S$874,$AN$2,BS_RE33!$N$7:$N$874,I54,BS_RE33!$P$7:$P$874,'30 days CF Table(EUR)'!G54,BS_RE33!$F$7:$F$874,'30 days CF Table(EUR)'!$C$2)</f>
        <v>0</v>
      </c>
      <c r="AO54" s="337">
        <f>SUMIFS(BS_RE33!$H$7:$H$874,BS_RE33!$S$7:$S$874,$AO$2,BS_RE33!$N$7:$N$874,I54,BS_RE33!$P$7:$P$874,'30 days CF Table(EUR)'!G54,BS_RE33!$F$7:$F$874,'30 days CF Table(EUR)'!$C$2)</f>
        <v>0</v>
      </c>
      <c r="AP54" s="338">
        <f>SUMIFS(BS_RE33!$H$7:$H$874,BS_RE33!$S$7:$S$874,$AP$2,BS_RE33!$N$7:$N$874,I54,BS_RE33!$P$7:$P$874,'30 days CF Table(EUR)'!G54,BS_RE33!$F$7:$F$874,'30 days CF Table(EUR)'!$C$2)</f>
        <v>0</v>
      </c>
      <c r="AR54" s="379">
        <f>SUMIFS(BS_RE33!$H$7:$H$874,BS_RE33!$S$7:$S$874,$AR$2,BS_RE33!$N$7:$N$874,I54,BS_RE33!$P$7:$P$874,'30 days CF Table(EUR)'!G54,BS_RE33!$F$7:$F$874,'30 days CF Table(EUR)'!$C$2)</f>
        <v>0</v>
      </c>
      <c r="AS54" s="379">
        <f>SUMIFS(BS_RE33!$H$7:$H$874,BS_RE33!$S$7:$S$874,$AS$2,BS_RE33!$N$7:$N$874,I54,BS_RE33!$P$7:$P$874,'30 days CF Table(EUR)'!G54,BS_RE33!$F$7:$F$874,'30 days CF Table(EUR)'!$C$2)</f>
        <v>0</v>
      </c>
      <c r="AT54" s="379">
        <f>SUMIFS(BS_RE33!$H$7:$H$874,BS_RE33!$S$7:$S$874,$AT$2,BS_RE33!$N$7:$N$874,I54,BS_RE33!$P$7:$P$874,'30 days CF Table(EUR)'!G54,BS_RE33!$F$7:$F$874,'30 days CF Table(EUR)'!$C$2)</f>
        <v>0</v>
      </c>
      <c r="AU54" s="379">
        <f>SUMIFS(BS_RE33!$H$7:$H$874,BS_RE33!$S$7:$S$874,$AU$2,BS_RE33!$N$7:$N$874,I54,BS_RE33!$P$7:$P$874,'30 days CF Table(EUR)'!G54,BS_RE33!$F$7:$F$874,'30 days CF Table(EUR)'!$C$2)</f>
        <v>0</v>
      </c>
      <c r="AV54" s="379">
        <f>SUMIFS(BS_RE33!$H$7:$H$874,BS_RE33!$S$7:$S$874,$AV$2,BS_RE33!$N$7:$N$874,I54,BS_RE33!$P$7:$P$874,'30 days CF Table(EUR)'!G54,BS_RE33!$F$7:$F$874,'30 days CF Table(EUR)'!$C$2)</f>
        <v>0</v>
      </c>
      <c r="AW54" s="379">
        <f>SUMIFS(BS_RE33!$H$7:$H$874,BS_RE33!$S$7:$S$874,$AW$2,BS_RE33!$N$7:$N$874,I54,BS_RE33!$P$7:$P$874,'30 days CF Table(EUR)'!G54,BS_RE33!$F$7:$F$874,'30 days CF Table(EUR)'!$C$2)</f>
        <v>0</v>
      </c>
      <c r="AX54" s="379">
        <f>SUMIFS(BS_RE33!$H$7:$H$874,BS_RE33!$S$7:$S$874,$AX$2,BS_RE33!$N$7:$N$874,I54,BS_RE33!$P$7:$P$874,'30 days CF Table(EUR)'!G54,BS_RE33!$F$7:$F$874,'30 days CF Table(EUR)'!$C$2)</f>
        <v>0</v>
      </c>
      <c r="AY54" s="379">
        <f>SUMIFS(BS_RE33!$H$7:$H$874,BS_RE33!$S$7:$S$874,$AY$2,BS_RE33!$N$7:$N$874,I54,BS_RE33!$P$7:$P$874,'30 days CF Table(EUR)'!G54,BS_RE33!$F$7:$F$874,'30 days CF Table(EUR)'!$C$2)</f>
        <v>0</v>
      </c>
      <c r="AZ54" s="379">
        <f>SUMIFS(BS_RE33!$H$7:$H$874,BS_RE33!$S$7:$S$874,$AZ$2,BS_RE33!$N$7:$N$874,I54,BS_RE33!$P$7:$P$874,'30 days CF Table(EUR)'!G54,BS_RE33!$F$7:$F$874,'30 days CF Table(EUR)'!$C$2)</f>
        <v>0</v>
      </c>
      <c r="BA54" s="379">
        <f>SUMIFS(BS_RE33!$H$7:$H$874,BS_RE33!$S$7:$S$874,$BA$2,BS_RE33!$N$7:$N$874,I54,BS_RE33!$P$7:$P$874,'30 days CF Table(EUR)'!G54,BS_RE33!$F$7:$F$874,'30 days CF Table(EUR)'!$C$2)</f>
        <v>0</v>
      </c>
      <c r="BB54" s="379">
        <f>SUMIFS(BS_RE33!$H$7:$H$874,BS_RE33!$S$7:$S$874,$BB$2,BS_RE33!$N$7:$N$874,I54,BS_RE33!$P$7:$P$874,'30 days CF Table(EUR)'!G54,BS_RE33!$F$7:$F$874,'30 days CF Table(EUR)'!$C$2)</f>
        <v>0</v>
      </c>
      <c r="BC54" s="379">
        <f>SUMIFS(BS_RE33!$H$7:$H$874,BS_RE33!$S$7:$S$874,$BC$2,BS_RE33!$N$7:$N$874,I54,BS_RE33!$P$7:$P$874,'30 days CF Table(EUR)'!G54,BS_RE33!$F$7:$F$874,'30 days CF Table(EUR)'!$C$2)</f>
        <v>0</v>
      </c>
      <c r="BD54" s="379">
        <f>SUMIFS(BS_RE33!$H$7:$H$874,BS_RE33!$S$7:$S$874,$BD$2,BS_RE33!$N$7:$N$874,I54,BS_RE33!$P$7:$P$874,'30 days CF Table(EUR)'!G54,BS_RE33!$F$7:$F$874,'30 days CF Table(EUR)'!$C$2)</f>
        <v>0</v>
      </c>
      <c r="BE54" s="379">
        <f>SUMIFS(BS_RE33!$H$7:$H$874,BS_RE33!$S$7:$S$874,$BE$2,BS_RE33!$N$7:$N$874,I54,BS_RE33!$P$7:$P$874,'30 days CF Table(EUR)'!G54,BS_RE33!$F$7:$F$874,'30 days CF Table(EUR)'!$C$2)</f>
        <v>0</v>
      </c>
      <c r="BF54" s="379">
        <f>SUMIFS(BS_RE33!$H$7:$H$874,BS_RE33!$S$7:$S$874,$BF$2,BS_RE33!$N$7:$N$874,I54,BS_RE33!$P$7:$P$874,'30 days CF Table(EUR)'!G54,BS_RE33!$F$7:$F$874,'30 days CF Table(EUR)'!$C$2)</f>
        <v>0</v>
      </c>
      <c r="BG54" s="379">
        <f>SUMIFS(BS_RE33!$H$7:$H$874,BS_RE33!$S$7:$S$874,$BG$2,BS_RE33!$N$7:$N$874,I54,BS_RE33!$P$7:$P$874,'30 days CF Table(EUR)'!G54,BS_RE33!$F$7:$F$874,'30 days CF Table(EUR)'!$C$2)</f>
        <v>0</v>
      </c>
      <c r="BH54" s="379">
        <f>SUMIFS(BS_RE33!$H$7:$H$874,BS_RE33!$S$7:$S$874,$BH$2,BS_RE33!$N$7:$N$874,I54,BS_RE33!$P$7:$P$874,'30 days CF Table(EUR)'!G54,BS_RE33!$F$7:$F$874,'30 days CF Table(EUR)'!$C$2)</f>
        <v>0</v>
      </c>
      <c r="BI54" s="379">
        <f>SUMIFS(BS_RE33!$H$7:$H$874,BS_RE33!$S$7:$S$874,$BI$2,BS_RE33!$N$7:$N$874,I54,BS_RE33!$P$7:$P$874,'30 days CF Table(EUR)'!G54,BS_RE33!$F$7:$F$874,'30 days CF Table(EUR)'!$C$2)</f>
        <v>0</v>
      </c>
      <c r="BJ54" s="379">
        <f>SUMIFS(BS_RE33!$H$7:$H$874,BS_RE33!$S$7:$S$874,$BJ$2,BS_RE33!$N$7:$N$874,I54,BS_RE33!$P$7:$P$874,'30 days CF Table(EUR)'!G54,BS_RE33!$F$7:$F$874,'30 days CF Table(EUR)'!$C$2)</f>
        <v>0</v>
      </c>
      <c r="BK54" s="379">
        <f>SUMIFS(BS_RE33!$H$7:$H$874,BS_RE33!$S$7:$S$874,$BK$2,BS_RE33!$N$7:$N$874,I54,BS_RE33!$P$7:$P$874,'30 days CF Table(EUR)'!G54,BS_RE33!$F$7:$F$874,'30 days CF Table(EUR)'!$C$2)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Table(EUR)'!G55,BS_RE33!$F$7:$F$874,'30 days CF Table(EUR)'!$C$2)</f>
        <v>0</v>
      </c>
      <c r="M55" s="337">
        <f>SUMIFS(BS_RE33!$H$7:$H$874,BS_RE33!$S$7:$S$874,$M$2,BS_RE33!$N$7:$N$874,I55,BS_RE33!$P$7:$P$874,'30 days CF Table(EUR)'!G55,BS_RE33!$F$7:$F$874,'30 days CF Table(EUR)'!$C$2)</f>
        <v>0</v>
      </c>
      <c r="N55" s="337">
        <f>SUMIFS(BS_RE33!$H$7:$H$874,BS_RE33!$S$7:$S$874,$N$2,BS_RE33!$N$7:$N$874,I55,BS_RE33!$P$7:$P$874,'30 days CF Table(EUR)'!G55,BS_RE33!$F$7:$F$874,'30 days CF Table(EUR)'!$C$2)</f>
        <v>0</v>
      </c>
      <c r="O55" s="337">
        <f>SUMIFS(BS_RE33!$H$7:$H$874,BS_RE33!$S$7:$S$874,$O$2,BS_RE33!$N$7:$N$874,I55,BS_RE33!$P$7:$P$874,'30 days CF Table(EUR)'!G55,BS_RE33!$F$7:$F$874,'30 days CF Table(EUR)'!$C$2)</f>
        <v>0</v>
      </c>
      <c r="P55" s="337">
        <f>SUMIFS(BS_RE33!$H$7:$H$874,BS_RE33!$S$7:$S$874,$P$2,BS_RE33!$N$7:$N$874,I55,BS_RE33!$P$7:$P$874,'30 days CF Table(EUR)'!G55,BS_RE33!$F$7:$F$874,'30 days CF Table(EUR)'!$C$2)</f>
        <v>0</v>
      </c>
      <c r="Q55" s="337">
        <f>SUMIFS(BS_RE33!$H$7:$H$874,BS_RE33!$S$7:$S$874,$Q$2,BS_RE33!$N$7:$N$874,I55,BS_RE33!$P$7:$P$874,'30 days CF Table(EUR)'!G55,BS_RE33!$F$7:$F$874,'30 days CF Table(EUR)'!$C$2)</f>
        <v>0</v>
      </c>
      <c r="R55" s="337">
        <f>SUMIFS(BS_RE33!$H$7:$H$874,BS_RE33!$S$7:$S$874,$R$2,BS_RE33!$N$7:$N$874,I55,BS_RE33!$P$7:$P$874,'30 days CF Table(EUR)'!G55,BS_RE33!$F$7:$F$874,'30 days CF Table(EUR)'!$C$2)</f>
        <v>0</v>
      </c>
      <c r="S55" s="337">
        <f>SUMIFS(BS_RE33!$H$7:$H$874,BS_RE33!$S$7:$S$874,$S$2,BS_RE33!$N$7:$N$874,I55,BS_RE33!$P$7:$P$874,'30 days CF Table(EUR)'!G55,BS_RE33!$F$7:$F$874,'30 days CF Table(EUR)'!$C$2)</f>
        <v>0</v>
      </c>
      <c r="T55" s="337">
        <f>SUMIFS(BS_RE33!$H$7:$H$874,BS_RE33!$S$7:$S$874,$T$2,BS_RE33!$N$7:$N$874,I55,BS_RE33!$P$7:$P$874,'30 days CF Table(EUR)'!G55,BS_RE33!$F$7:$F$874,'30 days CF Table(EUR)'!$C$2)</f>
        <v>0</v>
      </c>
      <c r="U55" s="337">
        <f>SUMIFS(BS_RE33!$H$7:$H$874,BS_RE33!$S$7:$S$874,$U$2,BS_RE33!$N$7:$N$874,I55,BS_RE33!$P$7:$P$874,'30 days CF Table(EUR)'!G55,BS_RE33!$F$7:$F$874,'30 days CF Table(EUR)'!$C$2)</f>
        <v>0</v>
      </c>
      <c r="V55" s="337">
        <f>SUMIFS(BS_RE33!$H$7:$H$874,BS_RE33!$S$7:$S$874,$V$2,BS_RE33!$N$7:$N$874,I55,BS_RE33!$P$7:$P$874,'30 days CF Table(EUR)'!G55,BS_RE33!$F$7:$F$874,'30 days CF Table(EUR)'!$C$2)</f>
        <v>0</v>
      </c>
      <c r="W55" s="337">
        <f>SUMIFS(BS_RE33!$H$7:$H$874,BS_RE33!$S$7:$S$874,$W$2,BS_RE33!$N$7:$N$874,I55,BS_RE33!$P$7:$P$874,'30 days CF Table(EUR)'!G55,BS_RE33!$F$7:$F$874,'30 days CF Table(EUR)'!$C$2)</f>
        <v>0</v>
      </c>
      <c r="X55" s="337">
        <f>SUMIFS(BS_RE33!$H$7:$H$874,BS_RE33!$S$7:$S$874,$X$2,BS_RE33!$N$7:$N$874,I55,BS_RE33!$P$7:$P$874,'30 days CF Table(EUR)'!G55,BS_RE33!$F$7:$F$874,'30 days CF Table(EUR)'!$C$2)</f>
        <v>0</v>
      </c>
      <c r="Y55" s="337">
        <f>SUMIFS(BS_RE33!$H$7:$H$874,BS_RE33!$S$7:$S$874,$Y$2,BS_RE33!$N$7:$N$874,I55,BS_RE33!$P$7:$P$874,'30 days CF Table(EUR)'!G55,BS_RE33!$F$7:$F$874,'30 days CF Table(EUR)'!$C$2)</f>
        <v>0</v>
      </c>
      <c r="Z55" s="337">
        <f>SUMIFS(BS_RE33!$H$7:$H$874,BS_RE33!$S$7:$S$874,$Z$2,BS_RE33!$N$7:$N$874,I55,BS_RE33!$P$7:$P$874,'30 days CF Table(EUR)'!G55,BS_RE33!$F$7:$F$874,'30 days CF Table(EUR)'!$C$2)</f>
        <v>0</v>
      </c>
      <c r="AA55" s="337">
        <f>SUMIFS(BS_RE33!$H$7:$H$874,BS_RE33!$S$7:$S$874,$AA$2,BS_RE33!$N$7:$N$874,I55,BS_RE33!$P$7:$P$874,'30 days CF Table(EUR)'!G55,BS_RE33!$F$7:$F$874,'30 days CF Table(EUR)'!$C$2)</f>
        <v>0</v>
      </c>
      <c r="AB55" s="337">
        <f>SUMIFS(BS_RE33!$H$7:$H$874,BS_RE33!$S$7:$S$874,$AB$2,BS_RE33!$N$7:$N$874,I55,BS_RE33!$P$7:$P$874,'30 days CF Table(EUR)'!G55,BS_RE33!$F$7:$F$874,'30 days CF Table(EUR)'!$C$2)</f>
        <v>0</v>
      </c>
      <c r="AC55" s="337">
        <f>SUMIFS(BS_RE33!$H$7:$H$874,BS_RE33!$S$7:$S$874,$AC$2,BS_RE33!$N$7:$N$874,I55,BS_RE33!$P$7:$P$874,'30 days CF Table(EUR)'!G55,BS_RE33!$F$7:$F$874,'30 days CF Table(EUR)'!$C$2)</f>
        <v>0</v>
      </c>
      <c r="AD55" s="337">
        <f>SUMIFS(BS_RE33!$H$7:$H$874,BS_RE33!$S$7:$S$874,$AD$2,BS_RE33!$N$7:$N$874,I55,BS_RE33!$P$7:$P$874,'30 days CF Table(EUR)'!G55,BS_RE33!$F$7:$F$874,'30 days CF Table(EUR)'!$C$2)</f>
        <v>0</v>
      </c>
      <c r="AE55" s="337">
        <f>SUMIFS(BS_RE33!$H$7:$H$874,BS_RE33!$S$7:$S$874,$AE$2,BS_RE33!$N$7:$N$874,I55,BS_RE33!$P$7:$P$874,'30 days CF Table(EUR)'!G55,BS_RE33!$F$7:$F$874,'30 days CF Table(EUR)'!$C$2)</f>
        <v>0</v>
      </c>
      <c r="AF55" s="337">
        <f>SUMIFS(BS_RE33!$H$7:$H$874,BS_RE33!$S$7:$S$874,$AF$2,BS_RE33!$N$7:$N$874,I55,BS_RE33!$P$7:$P$874,'30 days CF Table(EUR)'!G55,BS_RE33!$F$7:$F$874,'30 days CF Table(EUR)'!$C$2)</f>
        <v>0</v>
      </c>
      <c r="AG55" s="337">
        <f>SUMIFS(BS_RE33!$H$7:$H$874,BS_RE33!$S$7:$S$874,$AG$2,BS_RE33!$N$7:$N$874,I55,BS_RE33!$P$7:$P$874,'30 days CF Table(EUR)'!G55,BS_RE33!$F$7:$F$874,'30 days CF Table(EUR)'!$C$2)</f>
        <v>0</v>
      </c>
      <c r="AH55" s="337">
        <f>SUMIFS(BS_RE33!$H$7:$H$874,BS_RE33!$S$7:$S$874,$AH$2,BS_RE33!$N$7:$N$874,I55,BS_RE33!$P$7:$P$874,'30 days CF Table(EUR)'!G55,BS_RE33!$F$7:$F$874,'30 days CF Table(EUR)'!$C$2)</f>
        <v>0</v>
      </c>
      <c r="AI55" s="337">
        <f>SUMIFS(BS_RE33!$H$7:$H$874,BS_RE33!$S$7:$S$874,$AI$2,BS_RE33!$N$7:$N$874,I55,BS_RE33!$P$7:$P$874,'30 days CF Table(EUR)'!G55,BS_RE33!$F$7:$F$874,'30 days CF Table(EUR)'!$C$2)</f>
        <v>0</v>
      </c>
      <c r="AJ55" s="337">
        <f>SUMIFS(BS_RE33!$H$7:$H$874,BS_RE33!$S$7:$S$874,$AJ$2,BS_RE33!$N$7:$N$874,I55,BS_RE33!$P$7:$P$874,'30 days CF Table(EUR)'!G55,BS_RE33!$F$7:$F$874,'30 days CF Table(EUR)'!$C$2)</f>
        <v>0</v>
      </c>
      <c r="AK55" s="337">
        <f>SUMIFS(BS_RE33!$H$7:$H$874,BS_RE33!$S$7:$S$874,$AK$2,BS_RE33!$N$7:$N$874,I55,BS_RE33!$P$7:$P$874,'30 days CF Table(EUR)'!G55,BS_RE33!$F$7:$F$874,'30 days CF Table(EUR)'!$C$2)</f>
        <v>0</v>
      </c>
      <c r="AL55" s="337">
        <f>SUMIFS(BS_RE33!$H$7:$H$874,BS_RE33!$S$7:$S$874,$AL$2,BS_RE33!$N$7:$N$874,I55,BS_RE33!$P$7:$P$874,'30 days CF Table(EUR)'!G55,BS_RE33!$F$7:$F$874,'30 days CF Table(EUR)'!$C$2)</f>
        <v>0</v>
      </c>
      <c r="AM55" s="337">
        <f>SUMIFS(BS_RE33!$H$7:$H$874,BS_RE33!$S$7:$S$874,$AM$2,BS_RE33!$N$7:$N$874,I55,BS_RE33!$P$7:$P$874,'30 days CF Table(EUR)'!G55,BS_RE33!$F$7:$F$874,'30 days CF Table(EUR)'!$C$2)</f>
        <v>0</v>
      </c>
      <c r="AN55" s="337">
        <f>SUMIFS(BS_RE33!$H$7:$H$874,BS_RE33!$S$7:$S$874,$AN$2,BS_RE33!$N$7:$N$874,I55,BS_RE33!$P$7:$P$874,'30 days CF Table(EUR)'!G55,BS_RE33!$F$7:$F$874,'30 days CF Table(EUR)'!$C$2)</f>
        <v>0</v>
      </c>
      <c r="AO55" s="337">
        <f>SUMIFS(BS_RE33!$H$7:$H$874,BS_RE33!$S$7:$S$874,$AO$2,BS_RE33!$N$7:$N$874,I55,BS_RE33!$P$7:$P$874,'30 days CF Table(EUR)'!G55,BS_RE33!$F$7:$F$874,'30 days CF Table(EUR)'!$C$2)</f>
        <v>0</v>
      </c>
      <c r="AP55" s="338">
        <f>SUMIFS(BS_RE33!$H$7:$H$874,BS_RE33!$S$7:$S$874,$AP$2,BS_RE33!$N$7:$N$874,I55,BS_RE33!$P$7:$P$874,'30 days CF Table(EUR)'!G55,BS_RE33!$F$7:$F$874,'30 days CF Table(EUR)'!$C$2)</f>
        <v>0</v>
      </c>
      <c r="AR55" s="379">
        <f>SUMIFS(BS_RE33!$H$7:$H$874,BS_RE33!$S$7:$S$874,$AR$2,BS_RE33!$N$7:$N$874,I55,BS_RE33!$P$7:$P$874,'30 days CF Table(EUR)'!G55,BS_RE33!$F$7:$F$874,'30 days CF Table(EUR)'!$C$2)</f>
        <v>0</v>
      </c>
      <c r="AS55" s="379">
        <f>SUMIFS(BS_RE33!$H$7:$H$874,BS_RE33!$S$7:$S$874,$AS$2,BS_RE33!$N$7:$N$874,I55,BS_RE33!$P$7:$P$874,'30 days CF Table(EUR)'!G55,BS_RE33!$F$7:$F$874,'30 days CF Table(EUR)'!$C$2)</f>
        <v>0</v>
      </c>
      <c r="AT55" s="379">
        <f>SUMIFS(BS_RE33!$H$7:$H$874,BS_RE33!$S$7:$S$874,$AT$2,BS_RE33!$N$7:$N$874,I55,BS_RE33!$P$7:$P$874,'30 days CF Table(EUR)'!G55,BS_RE33!$F$7:$F$874,'30 days CF Table(EUR)'!$C$2)</f>
        <v>0</v>
      </c>
      <c r="AU55" s="379">
        <f>SUMIFS(BS_RE33!$H$7:$H$874,BS_RE33!$S$7:$S$874,$AU$2,BS_RE33!$N$7:$N$874,I55,BS_RE33!$P$7:$P$874,'30 days CF Table(EUR)'!G55,BS_RE33!$F$7:$F$874,'30 days CF Table(EUR)'!$C$2)</f>
        <v>0</v>
      </c>
      <c r="AV55" s="379">
        <f>SUMIFS(BS_RE33!$H$7:$H$874,BS_RE33!$S$7:$S$874,$AV$2,BS_RE33!$N$7:$N$874,I55,BS_RE33!$P$7:$P$874,'30 days CF Table(EUR)'!G55,BS_RE33!$F$7:$F$874,'30 days CF Table(EUR)'!$C$2)</f>
        <v>0</v>
      </c>
      <c r="AW55" s="379">
        <f>SUMIFS(BS_RE33!$H$7:$H$874,BS_RE33!$S$7:$S$874,$AW$2,BS_RE33!$N$7:$N$874,I55,BS_RE33!$P$7:$P$874,'30 days CF Table(EUR)'!G55,BS_RE33!$F$7:$F$874,'30 days CF Table(EUR)'!$C$2)</f>
        <v>0</v>
      </c>
      <c r="AX55" s="379">
        <f>SUMIFS(BS_RE33!$H$7:$H$874,BS_RE33!$S$7:$S$874,$AX$2,BS_RE33!$N$7:$N$874,I55,BS_RE33!$P$7:$P$874,'30 days CF Table(EUR)'!G55,BS_RE33!$F$7:$F$874,'30 days CF Table(EUR)'!$C$2)</f>
        <v>0</v>
      </c>
      <c r="AY55" s="379">
        <f>SUMIFS(BS_RE33!$H$7:$H$874,BS_RE33!$S$7:$S$874,$AY$2,BS_RE33!$N$7:$N$874,I55,BS_RE33!$P$7:$P$874,'30 days CF Table(EUR)'!G55,BS_RE33!$F$7:$F$874,'30 days CF Table(EUR)'!$C$2)</f>
        <v>0</v>
      </c>
      <c r="AZ55" s="379">
        <f>SUMIFS(BS_RE33!$H$7:$H$874,BS_RE33!$S$7:$S$874,$AZ$2,BS_RE33!$N$7:$N$874,I55,BS_RE33!$P$7:$P$874,'30 days CF Table(EUR)'!G55,BS_RE33!$F$7:$F$874,'30 days CF Table(EUR)'!$C$2)</f>
        <v>0</v>
      </c>
      <c r="BA55" s="379">
        <f>SUMIFS(BS_RE33!$H$7:$H$874,BS_RE33!$S$7:$S$874,$BA$2,BS_RE33!$N$7:$N$874,I55,BS_RE33!$P$7:$P$874,'30 days CF Table(EUR)'!G55,BS_RE33!$F$7:$F$874,'30 days CF Table(EUR)'!$C$2)</f>
        <v>0</v>
      </c>
      <c r="BB55" s="379">
        <f>SUMIFS(BS_RE33!$H$7:$H$874,BS_RE33!$S$7:$S$874,$BB$2,BS_RE33!$N$7:$N$874,I55,BS_RE33!$P$7:$P$874,'30 days CF Table(EUR)'!G55,BS_RE33!$F$7:$F$874,'30 days CF Table(EUR)'!$C$2)</f>
        <v>0</v>
      </c>
      <c r="BC55" s="379">
        <f>SUMIFS(BS_RE33!$H$7:$H$874,BS_RE33!$S$7:$S$874,$BC$2,BS_RE33!$N$7:$N$874,I55,BS_RE33!$P$7:$P$874,'30 days CF Table(EUR)'!G55,BS_RE33!$F$7:$F$874,'30 days CF Table(EUR)'!$C$2)</f>
        <v>0</v>
      </c>
      <c r="BD55" s="379">
        <f>SUMIFS(BS_RE33!$H$7:$H$874,BS_RE33!$S$7:$S$874,$BD$2,BS_RE33!$N$7:$N$874,I55,BS_RE33!$P$7:$P$874,'30 days CF Table(EUR)'!G55,BS_RE33!$F$7:$F$874,'30 days CF Table(EUR)'!$C$2)</f>
        <v>0</v>
      </c>
      <c r="BE55" s="379">
        <f>SUMIFS(BS_RE33!$H$7:$H$874,BS_RE33!$S$7:$S$874,$BE$2,BS_RE33!$N$7:$N$874,I55,BS_RE33!$P$7:$P$874,'30 days CF Table(EUR)'!G55,BS_RE33!$F$7:$F$874,'30 days CF Table(EUR)'!$C$2)</f>
        <v>0</v>
      </c>
      <c r="BF55" s="379">
        <f>SUMIFS(BS_RE33!$H$7:$H$874,BS_RE33!$S$7:$S$874,$BF$2,BS_RE33!$N$7:$N$874,I55,BS_RE33!$P$7:$P$874,'30 days CF Table(EUR)'!G55,BS_RE33!$F$7:$F$874,'30 days CF Table(EUR)'!$C$2)</f>
        <v>0</v>
      </c>
      <c r="BG55" s="379">
        <f>SUMIFS(BS_RE33!$H$7:$H$874,BS_RE33!$S$7:$S$874,$BG$2,BS_RE33!$N$7:$N$874,I55,BS_RE33!$P$7:$P$874,'30 days CF Table(EUR)'!G55,BS_RE33!$F$7:$F$874,'30 days CF Table(EUR)'!$C$2)</f>
        <v>0</v>
      </c>
      <c r="BH55" s="379">
        <f>SUMIFS(BS_RE33!$H$7:$H$874,BS_RE33!$S$7:$S$874,$BH$2,BS_RE33!$N$7:$N$874,I55,BS_RE33!$P$7:$P$874,'30 days CF Table(EUR)'!G55,BS_RE33!$F$7:$F$874,'30 days CF Table(EUR)'!$C$2)</f>
        <v>0</v>
      </c>
      <c r="BI55" s="379">
        <f>SUMIFS(BS_RE33!$H$7:$H$874,BS_RE33!$S$7:$S$874,$BI$2,BS_RE33!$N$7:$N$874,I55,BS_RE33!$P$7:$P$874,'30 days CF Table(EUR)'!G55,BS_RE33!$F$7:$F$874,'30 days CF Table(EUR)'!$C$2)</f>
        <v>0</v>
      </c>
      <c r="BJ55" s="379">
        <f>SUMIFS(BS_RE33!$H$7:$H$874,BS_RE33!$S$7:$S$874,$BJ$2,BS_RE33!$N$7:$N$874,I55,BS_RE33!$P$7:$P$874,'30 days CF Table(EUR)'!G55,BS_RE33!$F$7:$F$874,'30 days CF Table(EUR)'!$C$2)</f>
        <v>0</v>
      </c>
      <c r="BK55" s="379">
        <f>SUMIFS(BS_RE33!$H$7:$H$874,BS_RE33!$S$7:$S$874,$BK$2,BS_RE33!$N$7:$N$874,I55,BS_RE33!$P$7:$P$874,'30 days CF Table(EUR)'!G55,BS_RE33!$F$7:$F$874,'30 days CF Table(EUR)'!$C$2)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Table(EUR)'!G56,BS_RE33!$F$7:$F$874,'30 days CF Table(EUR)'!$C$2)</f>
        <v>0</v>
      </c>
      <c r="M56" s="337">
        <f>SUMIFS(BS_RE33!$H$7:$H$874,BS_RE33!$S$7:$S$874,$M$2,BS_RE33!$N$7:$N$874,I56,BS_RE33!$P$7:$P$874,'30 days CF Table(EUR)'!G56,BS_RE33!$F$7:$F$874,'30 days CF Table(EUR)'!$C$2)</f>
        <v>0</v>
      </c>
      <c r="N56" s="337">
        <f>SUMIFS(BS_RE33!$H$7:$H$874,BS_RE33!$S$7:$S$874,$N$2,BS_RE33!$N$7:$N$874,I56,BS_RE33!$P$7:$P$874,'30 days CF Table(EUR)'!G56,BS_RE33!$F$7:$F$874,'30 days CF Table(EUR)'!$C$2)</f>
        <v>0</v>
      </c>
      <c r="O56" s="337">
        <f>SUMIFS(BS_RE33!$H$7:$H$874,BS_RE33!$S$7:$S$874,$O$2,BS_RE33!$N$7:$N$874,I56,BS_RE33!$P$7:$P$874,'30 days CF Table(EUR)'!G56,BS_RE33!$F$7:$F$874,'30 days CF Table(EUR)'!$C$2)</f>
        <v>0</v>
      </c>
      <c r="P56" s="337">
        <f>SUMIFS(BS_RE33!$H$7:$H$874,BS_RE33!$S$7:$S$874,$P$2,BS_RE33!$N$7:$N$874,I56,BS_RE33!$P$7:$P$874,'30 days CF Table(EUR)'!G56,BS_RE33!$F$7:$F$874,'30 days CF Table(EUR)'!$C$2)</f>
        <v>0</v>
      </c>
      <c r="Q56" s="337">
        <f>SUMIFS(BS_RE33!$H$7:$H$874,BS_RE33!$S$7:$S$874,$Q$2,BS_RE33!$N$7:$N$874,I56,BS_RE33!$P$7:$P$874,'30 days CF Table(EUR)'!G56,BS_RE33!$F$7:$F$874,'30 days CF Table(EUR)'!$C$2)</f>
        <v>0</v>
      </c>
      <c r="R56" s="337">
        <f>SUMIFS(BS_RE33!$H$7:$H$874,BS_RE33!$S$7:$S$874,$R$2,BS_RE33!$N$7:$N$874,I56,BS_RE33!$P$7:$P$874,'30 days CF Table(EUR)'!G56,BS_RE33!$F$7:$F$874,'30 days CF Table(EUR)'!$C$2)</f>
        <v>0</v>
      </c>
      <c r="S56" s="337">
        <f>SUMIFS(BS_RE33!$H$7:$H$874,BS_RE33!$S$7:$S$874,$S$2,BS_RE33!$N$7:$N$874,I56,BS_RE33!$P$7:$P$874,'30 days CF Table(EUR)'!G56,BS_RE33!$F$7:$F$874,'30 days CF Table(EUR)'!$C$2)</f>
        <v>0</v>
      </c>
      <c r="T56" s="337">
        <f>SUMIFS(BS_RE33!$H$7:$H$874,BS_RE33!$S$7:$S$874,$T$2,BS_RE33!$N$7:$N$874,I56,BS_RE33!$P$7:$P$874,'30 days CF Table(EUR)'!G56,BS_RE33!$F$7:$F$874,'30 days CF Table(EUR)'!$C$2)</f>
        <v>0</v>
      </c>
      <c r="U56" s="337">
        <f>SUMIFS(BS_RE33!$H$7:$H$874,BS_RE33!$S$7:$S$874,$U$2,BS_RE33!$N$7:$N$874,I56,BS_RE33!$P$7:$P$874,'30 days CF Table(EUR)'!G56,BS_RE33!$F$7:$F$874,'30 days CF Table(EUR)'!$C$2)</f>
        <v>0</v>
      </c>
      <c r="V56" s="337">
        <f>SUMIFS(BS_RE33!$H$7:$H$874,BS_RE33!$S$7:$S$874,$V$2,BS_RE33!$N$7:$N$874,I56,BS_RE33!$P$7:$P$874,'30 days CF Table(EUR)'!G56,BS_RE33!$F$7:$F$874,'30 days CF Table(EUR)'!$C$2)</f>
        <v>0</v>
      </c>
      <c r="W56" s="337">
        <f>SUMIFS(BS_RE33!$H$7:$H$874,BS_RE33!$S$7:$S$874,$W$2,BS_RE33!$N$7:$N$874,I56,BS_RE33!$P$7:$P$874,'30 days CF Table(EUR)'!G56,BS_RE33!$F$7:$F$874,'30 days CF Table(EUR)'!$C$2)</f>
        <v>0</v>
      </c>
      <c r="X56" s="337">
        <f>SUMIFS(BS_RE33!$H$7:$H$874,BS_RE33!$S$7:$S$874,$X$2,BS_RE33!$N$7:$N$874,I56,BS_RE33!$P$7:$P$874,'30 days CF Table(EUR)'!G56,BS_RE33!$F$7:$F$874,'30 days CF Table(EUR)'!$C$2)</f>
        <v>0</v>
      </c>
      <c r="Y56" s="337">
        <f>SUMIFS(BS_RE33!$H$7:$H$874,BS_RE33!$S$7:$S$874,$Y$2,BS_RE33!$N$7:$N$874,I56,BS_RE33!$P$7:$P$874,'30 days CF Table(EUR)'!G56,BS_RE33!$F$7:$F$874,'30 days CF Table(EUR)'!$C$2)</f>
        <v>0</v>
      </c>
      <c r="Z56" s="337">
        <f>SUMIFS(BS_RE33!$H$7:$H$874,BS_RE33!$S$7:$S$874,$Z$2,BS_RE33!$N$7:$N$874,I56,BS_RE33!$P$7:$P$874,'30 days CF Table(EUR)'!G56,BS_RE33!$F$7:$F$874,'30 days CF Table(EUR)'!$C$2)</f>
        <v>0</v>
      </c>
      <c r="AA56" s="337">
        <f>SUMIFS(BS_RE33!$H$7:$H$874,BS_RE33!$S$7:$S$874,$AA$2,BS_RE33!$N$7:$N$874,I56,BS_RE33!$P$7:$P$874,'30 days CF Table(EUR)'!G56,BS_RE33!$F$7:$F$874,'30 days CF Table(EUR)'!$C$2)</f>
        <v>0</v>
      </c>
      <c r="AB56" s="337">
        <f>SUMIFS(BS_RE33!$H$7:$H$874,BS_RE33!$S$7:$S$874,$AB$2,BS_RE33!$N$7:$N$874,I56,BS_RE33!$P$7:$P$874,'30 days CF Table(EUR)'!G56,BS_RE33!$F$7:$F$874,'30 days CF Table(EUR)'!$C$2)</f>
        <v>0</v>
      </c>
      <c r="AC56" s="337">
        <f>SUMIFS(BS_RE33!$H$7:$H$874,BS_RE33!$S$7:$S$874,$AC$2,BS_RE33!$N$7:$N$874,I56,BS_RE33!$P$7:$P$874,'30 days CF Table(EUR)'!G56,BS_RE33!$F$7:$F$874,'30 days CF Table(EUR)'!$C$2)</f>
        <v>0</v>
      </c>
      <c r="AD56" s="337">
        <f>SUMIFS(BS_RE33!$H$7:$H$874,BS_RE33!$S$7:$S$874,$AD$2,BS_RE33!$N$7:$N$874,I56,BS_RE33!$P$7:$P$874,'30 days CF Table(EUR)'!G56,BS_RE33!$F$7:$F$874,'30 days CF Table(EUR)'!$C$2)</f>
        <v>0</v>
      </c>
      <c r="AE56" s="337">
        <f>SUMIFS(BS_RE33!$H$7:$H$874,BS_RE33!$S$7:$S$874,$AE$2,BS_RE33!$N$7:$N$874,I56,BS_RE33!$P$7:$P$874,'30 days CF Table(EUR)'!G56,BS_RE33!$F$7:$F$874,'30 days CF Table(EUR)'!$C$2)</f>
        <v>0</v>
      </c>
      <c r="AF56" s="337">
        <f>SUMIFS(BS_RE33!$H$7:$H$874,BS_RE33!$S$7:$S$874,$AF$2,BS_RE33!$N$7:$N$874,I56,BS_RE33!$P$7:$P$874,'30 days CF Table(EUR)'!G56,BS_RE33!$F$7:$F$874,'30 days CF Table(EUR)'!$C$2)</f>
        <v>0</v>
      </c>
      <c r="AG56" s="337">
        <f>SUMIFS(BS_RE33!$H$7:$H$874,BS_RE33!$S$7:$S$874,$AG$2,BS_RE33!$N$7:$N$874,I56,BS_RE33!$P$7:$P$874,'30 days CF Table(EUR)'!G56,BS_RE33!$F$7:$F$874,'30 days CF Table(EUR)'!$C$2)</f>
        <v>0</v>
      </c>
      <c r="AH56" s="337">
        <f>SUMIFS(BS_RE33!$H$7:$H$874,BS_RE33!$S$7:$S$874,$AH$2,BS_RE33!$N$7:$N$874,I56,BS_RE33!$P$7:$P$874,'30 days CF Table(EUR)'!G56,BS_RE33!$F$7:$F$874,'30 days CF Table(EUR)'!$C$2)</f>
        <v>0</v>
      </c>
      <c r="AI56" s="337">
        <f>SUMIFS(BS_RE33!$H$7:$H$874,BS_RE33!$S$7:$S$874,$AI$2,BS_RE33!$N$7:$N$874,I56,BS_RE33!$P$7:$P$874,'30 days CF Table(EUR)'!G56,BS_RE33!$F$7:$F$874,'30 days CF Table(EUR)'!$C$2)</f>
        <v>0</v>
      </c>
      <c r="AJ56" s="337">
        <f>SUMIFS(BS_RE33!$H$7:$H$874,BS_RE33!$S$7:$S$874,$AJ$2,BS_RE33!$N$7:$N$874,I56,BS_RE33!$P$7:$P$874,'30 days CF Table(EUR)'!G56,BS_RE33!$F$7:$F$874,'30 days CF Table(EUR)'!$C$2)</f>
        <v>0</v>
      </c>
      <c r="AK56" s="337">
        <f>SUMIFS(BS_RE33!$H$7:$H$874,BS_RE33!$S$7:$S$874,$AK$2,BS_RE33!$N$7:$N$874,I56,BS_RE33!$P$7:$P$874,'30 days CF Table(EUR)'!G56,BS_RE33!$F$7:$F$874,'30 days CF Table(EUR)'!$C$2)</f>
        <v>0</v>
      </c>
      <c r="AL56" s="337">
        <f>SUMIFS(BS_RE33!$H$7:$H$874,BS_RE33!$S$7:$S$874,$AL$2,BS_RE33!$N$7:$N$874,I56,BS_RE33!$P$7:$P$874,'30 days CF Table(EUR)'!G56,BS_RE33!$F$7:$F$874,'30 days CF Table(EUR)'!$C$2)</f>
        <v>0</v>
      </c>
      <c r="AM56" s="337">
        <f>SUMIFS(BS_RE33!$H$7:$H$874,BS_RE33!$S$7:$S$874,$AM$2,BS_RE33!$N$7:$N$874,I56,BS_RE33!$P$7:$P$874,'30 days CF Table(EUR)'!G56,BS_RE33!$F$7:$F$874,'30 days CF Table(EUR)'!$C$2)</f>
        <v>0</v>
      </c>
      <c r="AN56" s="337">
        <f>SUMIFS(BS_RE33!$H$7:$H$874,BS_RE33!$S$7:$S$874,$AN$2,BS_RE33!$N$7:$N$874,I56,BS_RE33!$P$7:$P$874,'30 days CF Table(EUR)'!G56,BS_RE33!$F$7:$F$874,'30 days CF Table(EUR)'!$C$2)</f>
        <v>0</v>
      </c>
      <c r="AO56" s="337">
        <f>SUMIFS(BS_RE33!$H$7:$H$874,BS_RE33!$S$7:$S$874,$AO$2,BS_RE33!$N$7:$N$874,I56,BS_RE33!$P$7:$P$874,'30 days CF Table(EUR)'!G56,BS_RE33!$F$7:$F$874,'30 days CF Table(EUR)'!$C$2)</f>
        <v>0</v>
      </c>
      <c r="AP56" s="338">
        <f>SUMIFS(BS_RE33!$H$7:$H$874,BS_RE33!$S$7:$S$874,$AP$2,BS_RE33!$N$7:$N$874,I56,BS_RE33!$P$7:$P$874,'30 days CF Table(EUR)'!G56,BS_RE33!$F$7:$F$874,'30 days CF Table(EUR)'!$C$2)</f>
        <v>0</v>
      </c>
      <c r="AR56" s="379">
        <f>SUMIFS(BS_RE33!$H$7:$H$874,BS_RE33!$S$7:$S$874,$AR$2,BS_RE33!$N$7:$N$874,I56,BS_RE33!$P$7:$P$874,'30 days CF Table(EUR)'!G56,BS_RE33!$F$7:$F$874,'30 days CF Table(EUR)'!$C$2)</f>
        <v>0</v>
      </c>
      <c r="AS56" s="379">
        <f>SUMIFS(BS_RE33!$H$7:$H$874,BS_RE33!$S$7:$S$874,$AS$2,BS_RE33!$N$7:$N$874,I56,BS_RE33!$P$7:$P$874,'30 days CF Table(EUR)'!G56,BS_RE33!$F$7:$F$874,'30 days CF Table(EUR)'!$C$2)</f>
        <v>0</v>
      </c>
      <c r="AT56" s="379">
        <f>SUMIFS(BS_RE33!$H$7:$H$874,BS_RE33!$S$7:$S$874,$AT$2,BS_RE33!$N$7:$N$874,I56,BS_RE33!$P$7:$P$874,'30 days CF Table(EUR)'!G56,BS_RE33!$F$7:$F$874,'30 days CF Table(EUR)'!$C$2)</f>
        <v>0</v>
      </c>
      <c r="AU56" s="379">
        <f>SUMIFS(BS_RE33!$H$7:$H$874,BS_RE33!$S$7:$S$874,$AU$2,BS_RE33!$N$7:$N$874,I56,BS_RE33!$P$7:$P$874,'30 days CF Table(EUR)'!G56,BS_RE33!$F$7:$F$874,'30 days CF Table(EUR)'!$C$2)</f>
        <v>0</v>
      </c>
      <c r="AV56" s="379">
        <f>SUMIFS(BS_RE33!$H$7:$H$874,BS_RE33!$S$7:$S$874,$AV$2,BS_RE33!$N$7:$N$874,I56,BS_RE33!$P$7:$P$874,'30 days CF Table(EUR)'!G56,BS_RE33!$F$7:$F$874,'30 days CF Table(EUR)'!$C$2)</f>
        <v>0</v>
      </c>
      <c r="AW56" s="379">
        <f>SUMIFS(BS_RE33!$H$7:$H$874,BS_RE33!$S$7:$S$874,$AW$2,BS_RE33!$N$7:$N$874,I56,BS_RE33!$P$7:$P$874,'30 days CF Table(EUR)'!G56,BS_RE33!$F$7:$F$874,'30 days CF Table(EUR)'!$C$2)</f>
        <v>0</v>
      </c>
      <c r="AX56" s="379">
        <f>SUMIFS(BS_RE33!$H$7:$H$874,BS_RE33!$S$7:$S$874,$AX$2,BS_RE33!$N$7:$N$874,I56,BS_RE33!$P$7:$P$874,'30 days CF Table(EUR)'!G56,BS_RE33!$F$7:$F$874,'30 days CF Table(EUR)'!$C$2)</f>
        <v>0</v>
      </c>
      <c r="AY56" s="379">
        <f>SUMIFS(BS_RE33!$H$7:$H$874,BS_RE33!$S$7:$S$874,$AY$2,BS_RE33!$N$7:$N$874,I56,BS_RE33!$P$7:$P$874,'30 days CF Table(EUR)'!G56,BS_RE33!$F$7:$F$874,'30 days CF Table(EUR)'!$C$2)</f>
        <v>0</v>
      </c>
      <c r="AZ56" s="379">
        <f>SUMIFS(BS_RE33!$H$7:$H$874,BS_RE33!$S$7:$S$874,$AZ$2,BS_RE33!$N$7:$N$874,I56,BS_RE33!$P$7:$P$874,'30 days CF Table(EUR)'!G56,BS_RE33!$F$7:$F$874,'30 days CF Table(EUR)'!$C$2)</f>
        <v>0</v>
      </c>
      <c r="BA56" s="379">
        <f>SUMIFS(BS_RE33!$H$7:$H$874,BS_RE33!$S$7:$S$874,$BA$2,BS_RE33!$N$7:$N$874,I56,BS_RE33!$P$7:$P$874,'30 days CF Table(EUR)'!G56,BS_RE33!$F$7:$F$874,'30 days CF Table(EUR)'!$C$2)</f>
        <v>0</v>
      </c>
      <c r="BB56" s="379">
        <f>SUMIFS(BS_RE33!$H$7:$H$874,BS_RE33!$S$7:$S$874,$BB$2,BS_RE33!$N$7:$N$874,I56,BS_RE33!$P$7:$P$874,'30 days CF Table(EUR)'!G56,BS_RE33!$F$7:$F$874,'30 days CF Table(EUR)'!$C$2)</f>
        <v>0</v>
      </c>
      <c r="BC56" s="379">
        <f>SUMIFS(BS_RE33!$H$7:$H$874,BS_RE33!$S$7:$S$874,$BC$2,BS_RE33!$N$7:$N$874,I56,BS_RE33!$P$7:$P$874,'30 days CF Table(EUR)'!G56,BS_RE33!$F$7:$F$874,'30 days CF Table(EUR)'!$C$2)</f>
        <v>0</v>
      </c>
      <c r="BD56" s="379">
        <f>SUMIFS(BS_RE33!$H$7:$H$874,BS_RE33!$S$7:$S$874,$BD$2,BS_RE33!$N$7:$N$874,I56,BS_RE33!$P$7:$P$874,'30 days CF Table(EUR)'!G56,BS_RE33!$F$7:$F$874,'30 days CF Table(EUR)'!$C$2)</f>
        <v>0</v>
      </c>
      <c r="BE56" s="379">
        <f>SUMIFS(BS_RE33!$H$7:$H$874,BS_RE33!$S$7:$S$874,$BE$2,BS_RE33!$N$7:$N$874,I56,BS_RE33!$P$7:$P$874,'30 days CF Table(EUR)'!G56,BS_RE33!$F$7:$F$874,'30 days CF Table(EUR)'!$C$2)</f>
        <v>0</v>
      </c>
      <c r="BF56" s="379">
        <f>SUMIFS(BS_RE33!$H$7:$H$874,BS_RE33!$S$7:$S$874,$BF$2,BS_RE33!$N$7:$N$874,I56,BS_RE33!$P$7:$P$874,'30 days CF Table(EUR)'!G56,BS_RE33!$F$7:$F$874,'30 days CF Table(EUR)'!$C$2)</f>
        <v>0</v>
      </c>
      <c r="BG56" s="379">
        <f>SUMIFS(BS_RE33!$H$7:$H$874,BS_RE33!$S$7:$S$874,$BG$2,BS_RE33!$N$7:$N$874,I56,BS_RE33!$P$7:$P$874,'30 days CF Table(EUR)'!G56,BS_RE33!$F$7:$F$874,'30 days CF Table(EUR)'!$C$2)</f>
        <v>0</v>
      </c>
      <c r="BH56" s="379">
        <f>SUMIFS(BS_RE33!$H$7:$H$874,BS_RE33!$S$7:$S$874,$BH$2,BS_RE33!$N$7:$N$874,I56,BS_RE33!$P$7:$P$874,'30 days CF Table(EUR)'!G56,BS_RE33!$F$7:$F$874,'30 days CF Table(EUR)'!$C$2)</f>
        <v>0</v>
      </c>
      <c r="BI56" s="379">
        <f>SUMIFS(BS_RE33!$H$7:$H$874,BS_RE33!$S$7:$S$874,$BI$2,BS_RE33!$N$7:$N$874,I56,BS_RE33!$P$7:$P$874,'30 days CF Table(EUR)'!G56,BS_RE33!$F$7:$F$874,'30 days CF Table(EUR)'!$C$2)</f>
        <v>0</v>
      </c>
      <c r="BJ56" s="379">
        <f>SUMIFS(BS_RE33!$H$7:$H$874,BS_RE33!$S$7:$S$874,$BJ$2,BS_RE33!$N$7:$N$874,I56,BS_RE33!$P$7:$P$874,'30 days CF Table(EUR)'!G56,BS_RE33!$F$7:$F$874,'30 days CF Table(EUR)'!$C$2)</f>
        <v>0</v>
      </c>
      <c r="BK56" s="379">
        <f>SUMIFS(BS_RE33!$H$7:$H$874,BS_RE33!$S$7:$S$874,$BK$2,BS_RE33!$N$7:$N$874,I56,BS_RE33!$P$7:$P$874,'30 days CF Table(EUR)'!G56,BS_RE33!$F$7:$F$874,'30 days CF Table(EUR)'!$C$2)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Table(EUR)'!G57,BS_RE33!$F$7:$F$874,'30 days CF Table(EUR)'!$C$2)</f>
        <v>0</v>
      </c>
      <c r="M57" s="337">
        <f>SUMIFS(BS_RE33!$H$7:$H$874,BS_RE33!$S$7:$S$874,$M$2,BS_RE33!$N$7:$N$874,I57,BS_RE33!$P$7:$P$874,'30 days CF Table(EUR)'!G57,BS_RE33!$F$7:$F$874,'30 days CF Table(EUR)'!$C$2)</f>
        <v>0</v>
      </c>
      <c r="N57" s="337">
        <f>SUMIFS(BS_RE33!$H$7:$H$874,BS_RE33!$S$7:$S$874,$N$2,BS_RE33!$N$7:$N$874,I57,BS_RE33!$P$7:$P$874,'30 days CF Table(EUR)'!G57,BS_RE33!$F$7:$F$874,'30 days CF Table(EUR)'!$C$2)</f>
        <v>0</v>
      </c>
      <c r="O57" s="337">
        <f>SUMIFS(BS_RE33!$H$7:$H$874,BS_RE33!$S$7:$S$874,$O$2,BS_RE33!$N$7:$N$874,I57,BS_RE33!$P$7:$P$874,'30 days CF Table(EUR)'!G57,BS_RE33!$F$7:$F$874,'30 days CF Table(EUR)'!$C$2)</f>
        <v>0</v>
      </c>
      <c r="P57" s="337">
        <f>SUMIFS(BS_RE33!$H$7:$H$874,BS_RE33!$S$7:$S$874,$P$2,BS_RE33!$N$7:$N$874,I57,BS_RE33!$P$7:$P$874,'30 days CF Table(EUR)'!G57,BS_RE33!$F$7:$F$874,'30 days CF Table(EUR)'!$C$2)</f>
        <v>0</v>
      </c>
      <c r="Q57" s="337">
        <f>SUMIFS(BS_RE33!$H$7:$H$874,BS_RE33!$S$7:$S$874,$Q$2,BS_RE33!$N$7:$N$874,I57,BS_RE33!$P$7:$P$874,'30 days CF Table(EUR)'!G57,BS_RE33!$F$7:$F$874,'30 days CF Table(EUR)'!$C$2)</f>
        <v>0</v>
      </c>
      <c r="R57" s="337">
        <f>SUMIFS(BS_RE33!$H$7:$H$874,BS_RE33!$S$7:$S$874,$R$2,BS_RE33!$N$7:$N$874,I57,BS_RE33!$P$7:$P$874,'30 days CF Table(EUR)'!G57,BS_RE33!$F$7:$F$874,'30 days CF Table(EUR)'!$C$2)</f>
        <v>0</v>
      </c>
      <c r="S57" s="337">
        <f>SUMIFS(BS_RE33!$H$7:$H$874,BS_RE33!$S$7:$S$874,$S$2,BS_RE33!$N$7:$N$874,I57,BS_RE33!$P$7:$P$874,'30 days CF Table(EUR)'!G57,BS_RE33!$F$7:$F$874,'30 days CF Table(EUR)'!$C$2)</f>
        <v>0</v>
      </c>
      <c r="T57" s="337">
        <f>SUMIFS(BS_RE33!$H$7:$H$874,BS_RE33!$S$7:$S$874,$T$2,BS_RE33!$N$7:$N$874,I57,BS_RE33!$P$7:$P$874,'30 days CF Table(EUR)'!G57,BS_RE33!$F$7:$F$874,'30 days CF Table(EUR)'!$C$2)</f>
        <v>0</v>
      </c>
      <c r="U57" s="337">
        <f>SUMIFS(BS_RE33!$H$7:$H$874,BS_RE33!$S$7:$S$874,$U$2,BS_RE33!$N$7:$N$874,I57,BS_RE33!$P$7:$P$874,'30 days CF Table(EUR)'!G57,BS_RE33!$F$7:$F$874,'30 days CF Table(EUR)'!$C$2)</f>
        <v>0</v>
      </c>
      <c r="V57" s="337">
        <f>SUMIFS(BS_RE33!$H$7:$H$874,BS_RE33!$S$7:$S$874,$V$2,BS_RE33!$N$7:$N$874,I57,BS_RE33!$P$7:$P$874,'30 days CF Table(EUR)'!G57,BS_RE33!$F$7:$F$874,'30 days CF Table(EUR)'!$C$2)</f>
        <v>0</v>
      </c>
      <c r="W57" s="337">
        <f>SUMIFS(BS_RE33!$H$7:$H$874,BS_RE33!$S$7:$S$874,$W$2,BS_RE33!$N$7:$N$874,I57,BS_RE33!$P$7:$P$874,'30 days CF Table(EUR)'!G57,BS_RE33!$F$7:$F$874,'30 days CF Table(EUR)'!$C$2)</f>
        <v>0</v>
      </c>
      <c r="X57" s="337">
        <f>SUMIFS(BS_RE33!$H$7:$H$874,BS_RE33!$S$7:$S$874,$X$2,BS_RE33!$N$7:$N$874,I57,BS_RE33!$P$7:$P$874,'30 days CF Table(EUR)'!G57,BS_RE33!$F$7:$F$874,'30 days CF Table(EUR)'!$C$2)</f>
        <v>0</v>
      </c>
      <c r="Y57" s="337">
        <f>SUMIFS(BS_RE33!$H$7:$H$874,BS_RE33!$S$7:$S$874,$Y$2,BS_RE33!$N$7:$N$874,I57,BS_RE33!$P$7:$P$874,'30 days CF Table(EUR)'!G57,BS_RE33!$F$7:$F$874,'30 days CF Table(EUR)'!$C$2)</f>
        <v>0</v>
      </c>
      <c r="Z57" s="337">
        <f>SUMIFS(BS_RE33!$H$7:$H$874,BS_RE33!$S$7:$S$874,$Z$2,BS_RE33!$N$7:$N$874,I57,BS_RE33!$P$7:$P$874,'30 days CF Table(EUR)'!G57,BS_RE33!$F$7:$F$874,'30 days CF Table(EUR)'!$C$2)</f>
        <v>0</v>
      </c>
      <c r="AA57" s="337">
        <f>SUMIFS(BS_RE33!$H$7:$H$874,BS_RE33!$S$7:$S$874,$AA$2,BS_RE33!$N$7:$N$874,I57,BS_RE33!$P$7:$P$874,'30 days CF Table(EUR)'!G57,BS_RE33!$F$7:$F$874,'30 days CF Table(EUR)'!$C$2)</f>
        <v>0</v>
      </c>
      <c r="AB57" s="337">
        <f>SUMIFS(BS_RE33!$H$7:$H$874,BS_RE33!$S$7:$S$874,$AB$2,BS_RE33!$N$7:$N$874,I57,BS_RE33!$P$7:$P$874,'30 days CF Table(EUR)'!G57,BS_RE33!$F$7:$F$874,'30 days CF Table(EUR)'!$C$2)</f>
        <v>0</v>
      </c>
      <c r="AC57" s="337">
        <f>SUMIFS(BS_RE33!$H$7:$H$874,BS_RE33!$S$7:$S$874,$AC$2,BS_RE33!$N$7:$N$874,I57,BS_RE33!$P$7:$P$874,'30 days CF Table(EUR)'!G57,BS_RE33!$F$7:$F$874,'30 days CF Table(EUR)'!$C$2)</f>
        <v>0</v>
      </c>
      <c r="AD57" s="337">
        <f>SUMIFS(BS_RE33!$H$7:$H$874,BS_RE33!$S$7:$S$874,$AD$2,BS_RE33!$N$7:$N$874,I57,BS_RE33!$P$7:$P$874,'30 days CF Table(EUR)'!G57,BS_RE33!$F$7:$F$874,'30 days CF Table(EUR)'!$C$2)</f>
        <v>0</v>
      </c>
      <c r="AE57" s="337">
        <f>SUMIFS(BS_RE33!$H$7:$H$874,BS_RE33!$S$7:$S$874,$AE$2,BS_RE33!$N$7:$N$874,I57,BS_RE33!$P$7:$P$874,'30 days CF Table(EUR)'!G57,BS_RE33!$F$7:$F$874,'30 days CF Table(EUR)'!$C$2)</f>
        <v>0</v>
      </c>
      <c r="AF57" s="337">
        <f>SUMIFS(BS_RE33!$H$7:$H$874,BS_RE33!$S$7:$S$874,$AF$2,BS_RE33!$N$7:$N$874,I57,BS_RE33!$P$7:$P$874,'30 days CF Table(EUR)'!G57,BS_RE33!$F$7:$F$874,'30 days CF Table(EUR)'!$C$2)</f>
        <v>0</v>
      </c>
      <c r="AG57" s="337">
        <f>SUMIFS(BS_RE33!$H$7:$H$874,BS_RE33!$S$7:$S$874,$AG$2,BS_RE33!$N$7:$N$874,I57,BS_RE33!$P$7:$P$874,'30 days CF Table(EUR)'!G57,BS_RE33!$F$7:$F$874,'30 days CF Table(EUR)'!$C$2)</f>
        <v>0</v>
      </c>
      <c r="AH57" s="337">
        <f>SUMIFS(BS_RE33!$H$7:$H$874,BS_RE33!$S$7:$S$874,$AH$2,BS_RE33!$N$7:$N$874,I57,BS_RE33!$P$7:$P$874,'30 days CF Table(EUR)'!G57,BS_RE33!$F$7:$F$874,'30 days CF Table(EUR)'!$C$2)</f>
        <v>0</v>
      </c>
      <c r="AI57" s="337">
        <f>SUMIFS(BS_RE33!$H$7:$H$874,BS_RE33!$S$7:$S$874,$AI$2,BS_RE33!$N$7:$N$874,I57,BS_RE33!$P$7:$P$874,'30 days CF Table(EUR)'!G57,BS_RE33!$F$7:$F$874,'30 days CF Table(EUR)'!$C$2)</f>
        <v>0</v>
      </c>
      <c r="AJ57" s="337">
        <f>SUMIFS(BS_RE33!$H$7:$H$874,BS_RE33!$S$7:$S$874,$AJ$2,BS_RE33!$N$7:$N$874,I57,BS_RE33!$P$7:$P$874,'30 days CF Table(EUR)'!G57,BS_RE33!$F$7:$F$874,'30 days CF Table(EUR)'!$C$2)</f>
        <v>0</v>
      </c>
      <c r="AK57" s="337">
        <f>SUMIFS(BS_RE33!$H$7:$H$874,BS_RE33!$S$7:$S$874,$AK$2,BS_RE33!$N$7:$N$874,I57,BS_RE33!$P$7:$P$874,'30 days CF Table(EUR)'!G57,BS_RE33!$F$7:$F$874,'30 days CF Table(EUR)'!$C$2)</f>
        <v>0</v>
      </c>
      <c r="AL57" s="337">
        <f>SUMIFS(BS_RE33!$H$7:$H$874,BS_RE33!$S$7:$S$874,$AL$2,BS_RE33!$N$7:$N$874,I57,BS_RE33!$P$7:$P$874,'30 days CF Table(EUR)'!G57,BS_RE33!$F$7:$F$874,'30 days CF Table(EUR)'!$C$2)</f>
        <v>0</v>
      </c>
      <c r="AM57" s="337">
        <f>SUMIFS(BS_RE33!$H$7:$H$874,BS_RE33!$S$7:$S$874,$AM$2,BS_RE33!$N$7:$N$874,I57,BS_RE33!$P$7:$P$874,'30 days CF Table(EUR)'!G57,BS_RE33!$F$7:$F$874,'30 days CF Table(EUR)'!$C$2)</f>
        <v>0</v>
      </c>
      <c r="AN57" s="337">
        <f>SUMIFS(BS_RE33!$H$7:$H$874,BS_RE33!$S$7:$S$874,$AN$2,BS_RE33!$N$7:$N$874,I57,BS_RE33!$P$7:$P$874,'30 days CF Table(EUR)'!G57,BS_RE33!$F$7:$F$874,'30 days CF Table(EUR)'!$C$2)</f>
        <v>0</v>
      </c>
      <c r="AO57" s="337">
        <f>SUMIFS(BS_RE33!$H$7:$H$874,BS_RE33!$S$7:$S$874,$AO$2,BS_RE33!$N$7:$N$874,I57,BS_RE33!$P$7:$P$874,'30 days CF Table(EUR)'!G57,BS_RE33!$F$7:$F$874,'30 days CF Table(EUR)'!$C$2)</f>
        <v>0</v>
      </c>
      <c r="AP57" s="338">
        <f>SUMIFS(BS_RE33!$H$7:$H$874,BS_RE33!$S$7:$S$874,$AP$2,BS_RE33!$N$7:$N$874,I57,BS_RE33!$P$7:$P$874,'30 days CF Table(EUR)'!G57,BS_RE33!$F$7:$F$874,'30 days CF Table(EUR)'!$C$2)</f>
        <v>0</v>
      </c>
      <c r="AR57" s="379">
        <f>SUMIFS(BS_RE33!$H$7:$H$874,BS_RE33!$S$7:$S$874,$AR$2,BS_RE33!$N$7:$N$874,I57,BS_RE33!$P$7:$P$874,'30 days CF Table(EUR)'!G57,BS_RE33!$F$7:$F$874,'30 days CF Table(EUR)'!$C$2)</f>
        <v>0</v>
      </c>
      <c r="AS57" s="379">
        <f>SUMIFS(BS_RE33!$H$7:$H$874,BS_RE33!$S$7:$S$874,$AS$2,BS_RE33!$N$7:$N$874,I57,BS_RE33!$P$7:$P$874,'30 days CF Table(EUR)'!G57,BS_RE33!$F$7:$F$874,'30 days CF Table(EUR)'!$C$2)</f>
        <v>0</v>
      </c>
      <c r="AT57" s="379">
        <f>SUMIFS(BS_RE33!$H$7:$H$874,BS_RE33!$S$7:$S$874,$AT$2,BS_RE33!$N$7:$N$874,I57,BS_RE33!$P$7:$P$874,'30 days CF Table(EUR)'!G57,BS_RE33!$F$7:$F$874,'30 days CF Table(EUR)'!$C$2)</f>
        <v>0</v>
      </c>
      <c r="AU57" s="379">
        <f>SUMIFS(BS_RE33!$H$7:$H$874,BS_RE33!$S$7:$S$874,$AU$2,BS_RE33!$N$7:$N$874,I57,BS_RE33!$P$7:$P$874,'30 days CF Table(EUR)'!G57,BS_RE33!$F$7:$F$874,'30 days CF Table(EUR)'!$C$2)</f>
        <v>0</v>
      </c>
      <c r="AV57" s="379">
        <f>SUMIFS(BS_RE33!$H$7:$H$874,BS_RE33!$S$7:$S$874,$AV$2,BS_RE33!$N$7:$N$874,I57,BS_RE33!$P$7:$P$874,'30 days CF Table(EUR)'!G57,BS_RE33!$F$7:$F$874,'30 days CF Table(EUR)'!$C$2)</f>
        <v>0</v>
      </c>
      <c r="AW57" s="379">
        <f>SUMIFS(BS_RE33!$H$7:$H$874,BS_RE33!$S$7:$S$874,$AW$2,BS_RE33!$N$7:$N$874,I57,BS_RE33!$P$7:$P$874,'30 days CF Table(EUR)'!G57,BS_RE33!$F$7:$F$874,'30 days CF Table(EUR)'!$C$2)</f>
        <v>0</v>
      </c>
      <c r="AX57" s="379">
        <f>SUMIFS(BS_RE33!$H$7:$H$874,BS_RE33!$S$7:$S$874,$AX$2,BS_RE33!$N$7:$N$874,I57,BS_RE33!$P$7:$P$874,'30 days CF Table(EUR)'!G57,BS_RE33!$F$7:$F$874,'30 days CF Table(EUR)'!$C$2)</f>
        <v>0</v>
      </c>
      <c r="AY57" s="379">
        <f>SUMIFS(BS_RE33!$H$7:$H$874,BS_RE33!$S$7:$S$874,$AY$2,BS_RE33!$N$7:$N$874,I57,BS_RE33!$P$7:$P$874,'30 days CF Table(EUR)'!G57,BS_RE33!$F$7:$F$874,'30 days CF Table(EUR)'!$C$2)</f>
        <v>0</v>
      </c>
      <c r="AZ57" s="379">
        <f>SUMIFS(BS_RE33!$H$7:$H$874,BS_RE33!$S$7:$S$874,$AZ$2,BS_RE33!$N$7:$N$874,I57,BS_RE33!$P$7:$P$874,'30 days CF Table(EUR)'!G57,BS_RE33!$F$7:$F$874,'30 days CF Table(EUR)'!$C$2)</f>
        <v>0</v>
      </c>
      <c r="BA57" s="379">
        <f>SUMIFS(BS_RE33!$H$7:$H$874,BS_RE33!$S$7:$S$874,$BA$2,BS_RE33!$N$7:$N$874,I57,BS_RE33!$P$7:$P$874,'30 days CF Table(EUR)'!G57,BS_RE33!$F$7:$F$874,'30 days CF Table(EUR)'!$C$2)</f>
        <v>0</v>
      </c>
      <c r="BB57" s="379">
        <f>SUMIFS(BS_RE33!$H$7:$H$874,BS_RE33!$S$7:$S$874,$BB$2,BS_RE33!$N$7:$N$874,I57,BS_RE33!$P$7:$P$874,'30 days CF Table(EUR)'!G57,BS_RE33!$F$7:$F$874,'30 days CF Table(EUR)'!$C$2)</f>
        <v>0</v>
      </c>
      <c r="BC57" s="379">
        <f>SUMIFS(BS_RE33!$H$7:$H$874,BS_RE33!$S$7:$S$874,$BC$2,BS_RE33!$N$7:$N$874,I57,BS_RE33!$P$7:$P$874,'30 days CF Table(EUR)'!G57,BS_RE33!$F$7:$F$874,'30 days CF Table(EUR)'!$C$2)</f>
        <v>0</v>
      </c>
      <c r="BD57" s="379">
        <f>SUMIFS(BS_RE33!$H$7:$H$874,BS_RE33!$S$7:$S$874,$BD$2,BS_RE33!$N$7:$N$874,I57,BS_RE33!$P$7:$P$874,'30 days CF Table(EUR)'!G57,BS_RE33!$F$7:$F$874,'30 days CF Table(EUR)'!$C$2)</f>
        <v>0</v>
      </c>
      <c r="BE57" s="379">
        <f>SUMIFS(BS_RE33!$H$7:$H$874,BS_RE33!$S$7:$S$874,$BE$2,BS_RE33!$N$7:$N$874,I57,BS_RE33!$P$7:$P$874,'30 days CF Table(EUR)'!G57,BS_RE33!$F$7:$F$874,'30 days CF Table(EUR)'!$C$2)</f>
        <v>0</v>
      </c>
      <c r="BF57" s="379">
        <f>SUMIFS(BS_RE33!$H$7:$H$874,BS_RE33!$S$7:$S$874,$BF$2,BS_RE33!$N$7:$N$874,I57,BS_RE33!$P$7:$P$874,'30 days CF Table(EUR)'!G57,BS_RE33!$F$7:$F$874,'30 days CF Table(EUR)'!$C$2)</f>
        <v>0</v>
      </c>
      <c r="BG57" s="379">
        <f>SUMIFS(BS_RE33!$H$7:$H$874,BS_RE33!$S$7:$S$874,$BG$2,BS_RE33!$N$7:$N$874,I57,BS_RE33!$P$7:$P$874,'30 days CF Table(EUR)'!G57,BS_RE33!$F$7:$F$874,'30 days CF Table(EUR)'!$C$2)</f>
        <v>0</v>
      </c>
      <c r="BH57" s="379">
        <f>SUMIFS(BS_RE33!$H$7:$H$874,BS_RE33!$S$7:$S$874,$BH$2,BS_RE33!$N$7:$N$874,I57,BS_RE33!$P$7:$P$874,'30 days CF Table(EUR)'!G57,BS_RE33!$F$7:$F$874,'30 days CF Table(EUR)'!$C$2)</f>
        <v>0</v>
      </c>
      <c r="BI57" s="379">
        <f>SUMIFS(BS_RE33!$H$7:$H$874,BS_RE33!$S$7:$S$874,$BI$2,BS_RE33!$N$7:$N$874,I57,BS_RE33!$P$7:$P$874,'30 days CF Table(EUR)'!G57,BS_RE33!$F$7:$F$874,'30 days CF Table(EUR)'!$C$2)</f>
        <v>0</v>
      </c>
      <c r="BJ57" s="379">
        <f>SUMIFS(BS_RE33!$H$7:$H$874,BS_RE33!$S$7:$S$874,$BJ$2,BS_RE33!$N$7:$N$874,I57,BS_RE33!$P$7:$P$874,'30 days CF Table(EUR)'!G57,BS_RE33!$F$7:$F$874,'30 days CF Table(EUR)'!$C$2)</f>
        <v>0</v>
      </c>
      <c r="BK57" s="379">
        <f>SUMIFS(BS_RE33!$H$7:$H$874,BS_RE33!$S$7:$S$874,$BK$2,BS_RE33!$N$7:$N$874,I57,BS_RE33!$P$7:$P$874,'30 days CF Table(EUR)'!G57,BS_RE33!$F$7:$F$874,'30 days CF Table(EUR)'!$C$2)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Table(EUR)'!G58,BS_RE33!$F$7:$F$874,'30 days CF Table(EUR)'!$C$2)</f>
        <v>0</v>
      </c>
      <c r="M58" s="337">
        <f>SUMIFS(BS_RE33!$H$7:$H$874,BS_RE33!$S$7:$S$874,$M$2,BS_RE33!$N$7:$N$874,I58,BS_RE33!$P$7:$P$874,'30 days CF Table(EUR)'!G58,BS_RE33!$F$7:$F$874,'30 days CF Table(EUR)'!$C$2)</f>
        <v>0</v>
      </c>
      <c r="N58" s="337">
        <f>SUMIFS(BS_RE33!$H$7:$H$874,BS_RE33!$S$7:$S$874,$N$2,BS_RE33!$N$7:$N$874,I58,BS_RE33!$P$7:$P$874,'30 days CF Table(EUR)'!G58,BS_RE33!$F$7:$F$874,'30 days CF Table(EUR)'!$C$2)</f>
        <v>0</v>
      </c>
      <c r="O58" s="337">
        <f>SUMIFS(BS_RE33!$H$7:$H$874,BS_RE33!$S$7:$S$874,$O$2,BS_RE33!$N$7:$N$874,I58,BS_RE33!$P$7:$P$874,'30 days CF Table(EUR)'!G58,BS_RE33!$F$7:$F$874,'30 days CF Table(EUR)'!$C$2)</f>
        <v>0</v>
      </c>
      <c r="P58" s="337">
        <f>SUMIFS(BS_RE33!$H$7:$H$874,BS_RE33!$S$7:$S$874,$P$2,BS_RE33!$N$7:$N$874,I58,BS_RE33!$P$7:$P$874,'30 days CF Table(EUR)'!G58,BS_RE33!$F$7:$F$874,'30 days CF Table(EUR)'!$C$2)</f>
        <v>0</v>
      </c>
      <c r="Q58" s="337">
        <f>SUMIFS(BS_RE33!$H$7:$H$874,BS_RE33!$S$7:$S$874,$Q$2,BS_RE33!$N$7:$N$874,I58,BS_RE33!$P$7:$P$874,'30 days CF Table(EUR)'!G58,BS_RE33!$F$7:$F$874,'30 days CF Table(EUR)'!$C$2)</f>
        <v>0</v>
      </c>
      <c r="R58" s="337">
        <f>SUMIFS(BS_RE33!$H$7:$H$874,BS_RE33!$S$7:$S$874,$R$2,BS_RE33!$N$7:$N$874,I58,BS_RE33!$P$7:$P$874,'30 days CF Table(EUR)'!G58,BS_RE33!$F$7:$F$874,'30 days CF Table(EUR)'!$C$2)</f>
        <v>0</v>
      </c>
      <c r="S58" s="337">
        <f>SUMIFS(BS_RE33!$H$7:$H$874,BS_RE33!$S$7:$S$874,$S$2,BS_RE33!$N$7:$N$874,I58,BS_RE33!$P$7:$P$874,'30 days CF Table(EUR)'!G58,BS_RE33!$F$7:$F$874,'30 days CF Table(EUR)'!$C$2)</f>
        <v>0</v>
      </c>
      <c r="T58" s="337">
        <f>SUMIFS(BS_RE33!$H$7:$H$874,BS_RE33!$S$7:$S$874,$T$2,BS_RE33!$N$7:$N$874,I58,BS_RE33!$P$7:$P$874,'30 days CF Table(EUR)'!G58,BS_RE33!$F$7:$F$874,'30 days CF Table(EUR)'!$C$2)</f>
        <v>0</v>
      </c>
      <c r="U58" s="337">
        <f>SUMIFS(BS_RE33!$H$7:$H$874,BS_RE33!$S$7:$S$874,$U$2,BS_RE33!$N$7:$N$874,I58,BS_RE33!$P$7:$P$874,'30 days CF Table(EUR)'!G58,BS_RE33!$F$7:$F$874,'30 days CF Table(EUR)'!$C$2)</f>
        <v>0</v>
      </c>
      <c r="V58" s="337">
        <f>SUMIFS(BS_RE33!$H$7:$H$874,BS_RE33!$S$7:$S$874,$V$2,BS_RE33!$N$7:$N$874,I58,BS_RE33!$P$7:$P$874,'30 days CF Table(EUR)'!G58,BS_RE33!$F$7:$F$874,'30 days CF Table(EUR)'!$C$2)</f>
        <v>0</v>
      </c>
      <c r="W58" s="337">
        <f>SUMIFS(BS_RE33!$H$7:$H$874,BS_RE33!$S$7:$S$874,$W$2,BS_RE33!$N$7:$N$874,I58,BS_RE33!$P$7:$P$874,'30 days CF Table(EUR)'!G58,BS_RE33!$F$7:$F$874,'30 days CF Table(EUR)'!$C$2)</f>
        <v>0</v>
      </c>
      <c r="X58" s="337">
        <f>SUMIFS(BS_RE33!$H$7:$H$874,BS_RE33!$S$7:$S$874,$X$2,BS_RE33!$N$7:$N$874,I58,BS_RE33!$P$7:$P$874,'30 days CF Table(EUR)'!G58,BS_RE33!$F$7:$F$874,'30 days CF Table(EUR)'!$C$2)</f>
        <v>0</v>
      </c>
      <c r="Y58" s="337">
        <f>SUMIFS(BS_RE33!$H$7:$H$874,BS_RE33!$S$7:$S$874,$Y$2,BS_RE33!$N$7:$N$874,I58,BS_RE33!$P$7:$P$874,'30 days CF Table(EUR)'!G58,BS_RE33!$F$7:$F$874,'30 days CF Table(EUR)'!$C$2)</f>
        <v>0</v>
      </c>
      <c r="Z58" s="337">
        <f>SUMIFS(BS_RE33!$H$7:$H$874,BS_RE33!$S$7:$S$874,$Z$2,BS_RE33!$N$7:$N$874,I58,BS_RE33!$P$7:$P$874,'30 days CF Table(EUR)'!G58,BS_RE33!$F$7:$F$874,'30 days CF Table(EUR)'!$C$2)</f>
        <v>0</v>
      </c>
      <c r="AA58" s="337">
        <f>SUMIFS(BS_RE33!$H$7:$H$874,BS_RE33!$S$7:$S$874,$AA$2,BS_RE33!$N$7:$N$874,I58,BS_RE33!$P$7:$P$874,'30 days CF Table(EUR)'!G58,BS_RE33!$F$7:$F$874,'30 days CF Table(EUR)'!$C$2)</f>
        <v>0</v>
      </c>
      <c r="AB58" s="337">
        <f>SUMIFS(BS_RE33!$H$7:$H$874,BS_RE33!$S$7:$S$874,$AB$2,BS_RE33!$N$7:$N$874,I58,BS_RE33!$P$7:$P$874,'30 days CF Table(EUR)'!G58,BS_RE33!$F$7:$F$874,'30 days CF Table(EUR)'!$C$2)</f>
        <v>0</v>
      </c>
      <c r="AC58" s="337">
        <f>SUMIFS(BS_RE33!$H$7:$H$874,BS_RE33!$S$7:$S$874,$AC$2,BS_RE33!$N$7:$N$874,I58,BS_RE33!$P$7:$P$874,'30 days CF Table(EUR)'!G58,BS_RE33!$F$7:$F$874,'30 days CF Table(EUR)'!$C$2)</f>
        <v>0</v>
      </c>
      <c r="AD58" s="337">
        <f>SUMIFS(BS_RE33!$H$7:$H$874,BS_RE33!$S$7:$S$874,$AD$2,BS_RE33!$N$7:$N$874,I58,BS_RE33!$P$7:$P$874,'30 days CF Table(EUR)'!G58,BS_RE33!$F$7:$F$874,'30 days CF Table(EUR)'!$C$2)</f>
        <v>0</v>
      </c>
      <c r="AE58" s="337">
        <f>SUMIFS(BS_RE33!$H$7:$H$874,BS_RE33!$S$7:$S$874,$AE$2,BS_RE33!$N$7:$N$874,I58,BS_RE33!$P$7:$P$874,'30 days CF Table(EUR)'!G58,BS_RE33!$F$7:$F$874,'30 days CF Table(EUR)'!$C$2)</f>
        <v>0</v>
      </c>
      <c r="AF58" s="337">
        <f>SUMIFS(BS_RE33!$H$7:$H$874,BS_RE33!$S$7:$S$874,$AF$2,BS_RE33!$N$7:$N$874,I58,BS_RE33!$P$7:$P$874,'30 days CF Table(EUR)'!G58,BS_RE33!$F$7:$F$874,'30 days CF Table(EUR)'!$C$2)</f>
        <v>0</v>
      </c>
      <c r="AG58" s="337">
        <f>SUMIFS(BS_RE33!$H$7:$H$874,BS_RE33!$S$7:$S$874,$AG$2,BS_RE33!$N$7:$N$874,I58,BS_RE33!$P$7:$P$874,'30 days CF Table(EUR)'!G58,BS_RE33!$F$7:$F$874,'30 days CF Table(EUR)'!$C$2)</f>
        <v>0</v>
      </c>
      <c r="AH58" s="337">
        <f>SUMIFS(BS_RE33!$H$7:$H$874,BS_RE33!$S$7:$S$874,$AH$2,BS_RE33!$N$7:$N$874,I58,BS_RE33!$P$7:$P$874,'30 days CF Table(EUR)'!G58,BS_RE33!$F$7:$F$874,'30 days CF Table(EUR)'!$C$2)</f>
        <v>0</v>
      </c>
      <c r="AI58" s="337">
        <f>SUMIFS(BS_RE33!$H$7:$H$874,BS_RE33!$S$7:$S$874,$AI$2,BS_RE33!$N$7:$N$874,I58,BS_RE33!$P$7:$P$874,'30 days CF Table(EUR)'!G58,BS_RE33!$F$7:$F$874,'30 days CF Table(EUR)'!$C$2)</f>
        <v>0</v>
      </c>
      <c r="AJ58" s="337">
        <f>SUMIFS(BS_RE33!$H$7:$H$874,BS_RE33!$S$7:$S$874,$AJ$2,BS_RE33!$N$7:$N$874,I58,BS_RE33!$P$7:$P$874,'30 days CF Table(EUR)'!G58,BS_RE33!$F$7:$F$874,'30 days CF Table(EUR)'!$C$2)</f>
        <v>0</v>
      </c>
      <c r="AK58" s="337">
        <f>SUMIFS(BS_RE33!$H$7:$H$874,BS_RE33!$S$7:$S$874,$AK$2,BS_RE33!$N$7:$N$874,I58,BS_RE33!$P$7:$P$874,'30 days CF Table(EUR)'!G58,BS_RE33!$F$7:$F$874,'30 days CF Table(EUR)'!$C$2)</f>
        <v>0</v>
      </c>
      <c r="AL58" s="337">
        <f>SUMIFS(BS_RE33!$H$7:$H$874,BS_RE33!$S$7:$S$874,$AL$2,BS_RE33!$N$7:$N$874,I58,BS_RE33!$P$7:$P$874,'30 days CF Table(EUR)'!G58,BS_RE33!$F$7:$F$874,'30 days CF Table(EUR)'!$C$2)</f>
        <v>0</v>
      </c>
      <c r="AM58" s="337">
        <f>SUMIFS(BS_RE33!$H$7:$H$874,BS_RE33!$S$7:$S$874,$AM$2,BS_RE33!$N$7:$N$874,I58,BS_RE33!$P$7:$P$874,'30 days CF Table(EUR)'!G58,BS_RE33!$F$7:$F$874,'30 days CF Table(EUR)'!$C$2)</f>
        <v>0</v>
      </c>
      <c r="AN58" s="337">
        <f>SUMIFS(BS_RE33!$H$7:$H$874,BS_RE33!$S$7:$S$874,$AN$2,BS_RE33!$N$7:$N$874,I58,BS_RE33!$P$7:$P$874,'30 days CF Table(EUR)'!G58,BS_RE33!$F$7:$F$874,'30 days CF Table(EUR)'!$C$2)</f>
        <v>0</v>
      </c>
      <c r="AO58" s="337">
        <f>SUMIFS(BS_RE33!$H$7:$H$874,BS_RE33!$S$7:$S$874,$AO$2,BS_RE33!$N$7:$N$874,I58,BS_RE33!$P$7:$P$874,'30 days CF Table(EUR)'!G58,BS_RE33!$F$7:$F$874,'30 days CF Table(EUR)'!$C$2)</f>
        <v>0</v>
      </c>
      <c r="AP58" s="338">
        <f>SUMIFS(BS_RE33!$H$7:$H$874,BS_RE33!$S$7:$S$874,$AP$2,BS_RE33!$N$7:$N$874,I58,BS_RE33!$P$7:$P$874,'30 days CF Table(EUR)'!G58,BS_RE33!$F$7:$F$874,'30 days CF Table(EUR)'!$C$2)</f>
        <v>0</v>
      </c>
      <c r="AR58" s="379">
        <f>SUMIFS(BS_RE33!$H$7:$H$874,BS_RE33!$S$7:$S$874,$AR$2,BS_RE33!$N$7:$N$874,I58,BS_RE33!$P$7:$P$874,'30 days CF Table(EUR)'!G58,BS_RE33!$F$7:$F$874,'30 days CF Table(EUR)'!$C$2)</f>
        <v>0</v>
      </c>
      <c r="AS58" s="379">
        <f>SUMIFS(BS_RE33!$H$7:$H$874,BS_RE33!$S$7:$S$874,$AS$2,BS_RE33!$N$7:$N$874,I58,BS_RE33!$P$7:$P$874,'30 days CF Table(EUR)'!G58,BS_RE33!$F$7:$F$874,'30 days CF Table(EUR)'!$C$2)</f>
        <v>0</v>
      </c>
      <c r="AT58" s="379">
        <f>SUMIFS(BS_RE33!$H$7:$H$874,BS_RE33!$S$7:$S$874,$AT$2,BS_RE33!$N$7:$N$874,I58,BS_RE33!$P$7:$P$874,'30 days CF Table(EUR)'!G58,BS_RE33!$F$7:$F$874,'30 days CF Table(EUR)'!$C$2)</f>
        <v>0</v>
      </c>
      <c r="AU58" s="379">
        <f>SUMIFS(BS_RE33!$H$7:$H$874,BS_RE33!$S$7:$S$874,$AU$2,BS_RE33!$N$7:$N$874,I58,BS_RE33!$P$7:$P$874,'30 days CF Table(EUR)'!G58,BS_RE33!$F$7:$F$874,'30 days CF Table(EUR)'!$C$2)</f>
        <v>0</v>
      </c>
      <c r="AV58" s="379">
        <f>SUMIFS(BS_RE33!$H$7:$H$874,BS_RE33!$S$7:$S$874,$AV$2,BS_RE33!$N$7:$N$874,I58,BS_RE33!$P$7:$P$874,'30 days CF Table(EUR)'!G58,BS_RE33!$F$7:$F$874,'30 days CF Table(EUR)'!$C$2)</f>
        <v>0</v>
      </c>
      <c r="AW58" s="379">
        <f>SUMIFS(BS_RE33!$H$7:$H$874,BS_RE33!$S$7:$S$874,$AW$2,BS_RE33!$N$7:$N$874,I58,BS_RE33!$P$7:$P$874,'30 days CF Table(EUR)'!G58,BS_RE33!$F$7:$F$874,'30 days CF Table(EUR)'!$C$2)</f>
        <v>0</v>
      </c>
      <c r="AX58" s="379">
        <f>SUMIFS(BS_RE33!$H$7:$H$874,BS_RE33!$S$7:$S$874,$AX$2,BS_RE33!$N$7:$N$874,I58,BS_RE33!$P$7:$P$874,'30 days CF Table(EUR)'!G58,BS_RE33!$F$7:$F$874,'30 days CF Table(EUR)'!$C$2)</f>
        <v>0</v>
      </c>
      <c r="AY58" s="379">
        <f>SUMIFS(BS_RE33!$H$7:$H$874,BS_RE33!$S$7:$S$874,$AY$2,BS_RE33!$N$7:$N$874,I58,BS_RE33!$P$7:$P$874,'30 days CF Table(EUR)'!G58,BS_RE33!$F$7:$F$874,'30 days CF Table(EUR)'!$C$2)</f>
        <v>0</v>
      </c>
      <c r="AZ58" s="379">
        <f>SUMIFS(BS_RE33!$H$7:$H$874,BS_RE33!$S$7:$S$874,$AZ$2,BS_RE33!$N$7:$N$874,I58,BS_RE33!$P$7:$P$874,'30 days CF Table(EUR)'!G58,BS_RE33!$F$7:$F$874,'30 days CF Table(EUR)'!$C$2)</f>
        <v>0</v>
      </c>
      <c r="BA58" s="379">
        <f>SUMIFS(BS_RE33!$H$7:$H$874,BS_RE33!$S$7:$S$874,$BA$2,BS_RE33!$N$7:$N$874,I58,BS_RE33!$P$7:$P$874,'30 days CF Table(EUR)'!G58,BS_RE33!$F$7:$F$874,'30 days CF Table(EUR)'!$C$2)</f>
        <v>0</v>
      </c>
      <c r="BB58" s="379">
        <f>SUMIFS(BS_RE33!$H$7:$H$874,BS_RE33!$S$7:$S$874,$BB$2,BS_RE33!$N$7:$N$874,I58,BS_RE33!$P$7:$P$874,'30 days CF Table(EUR)'!G58,BS_RE33!$F$7:$F$874,'30 days CF Table(EUR)'!$C$2)</f>
        <v>0</v>
      </c>
      <c r="BC58" s="379">
        <f>SUMIFS(BS_RE33!$H$7:$H$874,BS_RE33!$S$7:$S$874,$BC$2,BS_RE33!$N$7:$N$874,I58,BS_RE33!$P$7:$P$874,'30 days CF Table(EUR)'!G58,BS_RE33!$F$7:$F$874,'30 days CF Table(EUR)'!$C$2)</f>
        <v>0</v>
      </c>
      <c r="BD58" s="379">
        <f>SUMIFS(BS_RE33!$H$7:$H$874,BS_RE33!$S$7:$S$874,$BD$2,BS_RE33!$N$7:$N$874,I58,BS_RE33!$P$7:$P$874,'30 days CF Table(EUR)'!G58,BS_RE33!$F$7:$F$874,'30 days CF Table(EUR)'!$C$2)</f>
        <v>0</v>
      </c>
      <c r="BE58" s="379">
        <f>SUMIFS(BS_RE33!$H$7:$H$874,BS_RE33!$S$7:$S$874,$BE$2,BS_RE33!$N$7:$N$874,I58,BS_RE33!$P$7:$P$874,'30 days CF Table(EUR)'!G58,BS_RE33!$F$7:$F$874,'30 days CF Table(EUR)'!$C$2)</f>
        <v>0</v>
      </c>
      <c r="BF58" s="379">
        <f>SUMIFS(BS_RE33!$H$7:$H$874,BS_RE33!$S$7:$S$874,$BF$2,BS_RE33!$N$7:$N$874,I58,BS_RE33!$P$7:$P$874,'30 days CF Table(EUR)'!G58,BS_RE33!$F$7:$F$874,'30 days CF Table(EUR)'!$C$2)</f>
        <v>0</v>
      </c>
      <c r="BG58" s="379">
        <f>SUMIFS(BS_RE33!$H$7:$H$874,BS_RE33!$S$7:$S$874,$BG$2,BS_RE33!$N$7:$N$874,I58,BS_RE33!$P$7:$P$874,'30 days CF Table(EUR)'!G58,BS_RE33!$F$7:$F$874,'30 days CF Table(EUR)'!$C$2)</f>
        <v>0</v>
      </c>
      <c r="BH58" s="379">
        <f>SUMIFS(BS_RE33!$H$7:$H$874,BS_RE33!$S$7:$S$874,$BH$2,BS_RE33!$N$7:$N$874,I58,BS_RE33!$P$7:$P$874,'30 days CF Table(EUR)'!G58,BS_RE33!$F$7:$F$874,'30 days CF Table(EUR)'!$C$2)</f>
        <v>0</v>
      </c>
      <c r="BI58" s="379">
        <f>SUMIFS(BS_RE33!$H$7:$H$874,BS_RE33!$S$7:$S$874,$BI$2,BS_RE33!$N$7:$N$874,I58,BS_RE33!$P$7:$P$874,'30 days CF Table(EUR)'!G58,BS_RE33!$F$7:$F$874,'30 days CF Table(EUR)'!$C$2)</f>
        <v>0</v>
      </c>
      <c r="BJ58" s="379">
        <f>SUMIFS(BS_RE33!$H$7:$H$874,BS_RE33!$S$7:$S$874,$BJ$2,BS_RE33!$N$7:$N$874,I58,BS_RE33!$P$7:$P$874,'30 days CF Table(EUR)'!G58,BS_RE33!$F$7:$F$874,'30 days CF Table(EUR)'!$C$2)</f>
        <v>0</v>
      </c>
      <c r="BK58" s="379">
        <f>SUMIFS(BS_RE33!$H$7:$H$874,BS_RE33!$S$7:$S$874,$BK$2,BS_RE33!$N$7:$N$874,I58,BS_RE33!$P$7:$P$874,'30 days CF Table(EUR)'!G58,BS_RE33!$F$7:$F$874,'30 days CF Table(EUR)'!$C$2)</f>
        <v>0</v>
      </c>
    </row>
    <row r="59" spans="3:63">
      <c r="C59" s="1027"/>
      <c r="D59" s="1039"/>
      <c r="E59" s="105" t="s">
        <v>96</v>
      </c>
      <c r="F59" s="312" t="s">
        <v>493</v>
      </c>
      <c r="G59" s="392" t="s">
        <v>1250</v>
      </c>
      <c r="H59" s="317">
        <v>0.4</v>
      </c>
      <c r="I59" s="315" t="s">
        <v>80</v>
      </c>
      <c r="J59" s="479">
        <f t="shared" si="2"/>
        <v>0</v>
      </c>
      <c r="K59" s="336">
        <f t="shared" si="3"/>
        <v>0</v>
      </c>
      <c r="L59" s="337">
        <f>SUMIFS(BS_RE33!$H$7:$H$874,BS_RE33!$S$7:$S$874,$L$2,BS_RE33!$N$7:$N$874,I59,BS_RE33!$P$7:$P$874,'30 days CF Table(EUR)'!G59,BS_RE33!$F$7:$F$874,'30 days CF Table(EUR)'!$C$2)</f>
        <v>0</v>
      </c>
      <c r="M59" s="337">
        <f>SUMIFS(BS_RE33!$H$7:$H$874,BS_RE33!$S$7:$S$874,$M$2,BS_RE33!$N$7:$N$874,I59,BS_RE33!$P$7:$P$874,'30 days CF Table(EUR)'!G59,BS_RE33!$F$7:$F$874,'30 days CF Table(EUR)'!$C$2)</f>
        <v>0</v>
      </c>
      <c r="N59" s="337">
        <f>SUMIFS(BS_RE33!$H$7:$H$874,BS_RE33!$S$7:$S$874,$N$2,BS_RE33!$N$7:$N$874,I59,BS_RE33!$P$7:$P$874,'30 days CF Table(EUR)'!G59,BS_RE33!$F$7:$F$874,'30 days CF Table(EUR)'!$C$2)</f>
        <v>0</v>
      </c>
      <c r="O59" s="337">
        <f>SUMIFS(BS_RE33!$H$7:$H$874,BS_RE33!$S$7:$S$874,$O$2,BS_RE33!$N$7:$N$874,I59,BS_RE33!$P$7:$P$874,'30 days CF Table(EUR)'!G59,BS_RE33!$F$7:$F$874,'30 days CF Table(EUR)'!$C$2)</f>
        <v>0</v>
      </c>
      <c r="P59" s="337">
        <f>SUMIFS(BS_RE33!$H$7:$H$874,BS_RE33!$S$7:$S$874,$P$2,BS_RE33!$N$7:$N$874,I59,BS_RE33!$P$7:$P$874,'30 days CF Table(EUR)'!G59,BS_RE33!$F$7:$F$874,'30 days CF Table(EUR)'!$C$2)</f>
        <v>0</v>
      </c>
      <c r="Q59" s="337">
        <f>SUMIFS(BS_RE33!$H$7:$H$874,BS_RE33!$S$7:$S$874,$Q$2,BS_RE33!$N$7:$N$874,I59,BS_RE33!$P$7:$P$874,'30 days CF Table(EUR)'!G59,BS_RE33!$F$7:$F$874,'30 days CF Table(EUR)'!$C$2)</f>
        <v>0</v>
      </c>
      <c r="R59" s="337">
        <f>SUMIFS(BS_RE33!$H$7:$H$874,BS_RE33!$S$7:$S$874,$R$2,BS_RE33!$N$7:$N$874,I59,BS_RE33!$P$7:$P$874,'30 days CF Table(EUR)'!G59,BS_RE33!$F$7:$F$874,'30 days CF Table(EUR)'!$C$2)</f>
        <v>0</v>
      </c>
      <c r="S59" s="337">
        <f>SUMIFS(BS_RE33!$H$7:$H$874,BS_RE33!$S$7:$S$874,$S$2,BS_RE33!$N$7:$N$874,I59,BS_RE33!$P$7:$P$874,'30 days CF Table(EUR)'!G59,BS_RE33!$F$7:$F$874,'30 days CF Table(EUR)'!$C$2)</f>
        <v>0</v>
      </c>
      <c r="T59" s="337">
        <f>SUMIFS(BS_RE33!$H$7:$H$874,BS_RE33!$S$7:$S$874,$T$2,BS_RE33!$N$7:$N$874,I59,BS_RE33!$P$7:$P$874,'30 days CF Table(EUR)'!G59,BS_RE33!$F$7:$F$874,'30 days CF Table(EUR)'!$C$2)</f>
        <v>0</v>
      </c>
      <c r="U59" s="337">
        <f>SUMIFS(BS_RE33!$H$7:$H$874,BS_RE33!$S$7:$S$874,$U$2,BS_RE33!$N$7:$N$874,I59,BS_RE33!$P$7:$P$874,'30 days CF Table(EUR)'!G59,BS_RE33!$F$7:$F$874,'30 days CF Table(EUR)'!$C$2)</f>
        <v>0</v>
      </c>
      <c r="V59" s="337">
        <f>SUMIFS(BS_RE33!$H$7:$H$874,BS_RE33!$S$7:$S$874,$V$2,BS_RE33!$N$7:$N$874,I59,BS_RE33!$P$7:$P$874,'30 days CF Table(EUR)'!G59,BS_RE33!$F$7:$F$874,'30 days CF Table(EUR)'!$C$2)</f>
        <v>0</v>
      </c>
      <c r="W59" s="337">
        <f>SUMIFS(BS_RE33!$H$7:$H$874,BS_RE33!$S$7:$S$874,$W$2,BS_RE33!$N$7:$N$874,I59,BS_RE33!$P$7:$P$874,'30 days CF Table(EUR)'!G59,BS_RE33!$F$7:$F$874,'30 days CF Table(EUR)'!$C$2)</f>
        <v>0</v>
      </c>
      <c r="X59" s="337">
        <f>SUMIFS(BS_RE33!$H$7:$H$874,BS_RE33!$S$7:$S$874,$X$2,BS_RE33!$N$7:$N$874,I59,BS_RE33!$P$7:$P$874,'30 days CF Table(EUR)'!G59,BS_RE33!$F$7:$F$874,'30 days CF Table(EUR)'!$C$2)</f>
        <v>0</v>
      </c>
      <c r="Y59" s="337">
        <f>SUMIFS(BS_RE33!$H$7:$H$874,BS_RE33!$S$7:$S$874,$Y$2,BS_RE33!$N$7:$N$874,I59,BS_RE33!$P$7:$P$874,'30 days CF Table(EUR)'!G59,BS_RE33!$F$7:$F$874,'30 days CF Table(EUR)'!$C$2)</f>
        <v>0</v>
      </c>
      <c r="Z59" s="337">
        <f>SUMIFS(BS_RE33!$H$7:$H$874,BS_RE33!$S$7:$S$874,$Z$2,BS_RE33!$N$7:$N$874,I59,BS_RE33!$P$7:$P$874,'30 days CF Table(EUR)'!G59,BS_RE33!$F$7:$F$874,'30 days CF Table(EUR)'!$C$2)</f>
        <v>0</v>
      </c>
      <c r="AA59" s="337">
        <f>SUMIFS(BS_RE33!$H$7:$H$874,BS_RE33!$S$7:$S$874,$AA$2,BS_RE33!$N$7:$N$874,I59,BS_RE33!$P$7:$P$874,'30 days CF Table(EUR)'!G59,BS_RE33!$F$7:$F$874,'30 days CF Table(EUR)'!$C$2)</f>
        <v>0</v>
      </c>
      <c r="AB59" s="337">
        <f>SUMIFS(BS_RE33!$H$7:$H$874,BS_RE33!$S$7:$S$874,$AB$2,BS_RE33!$N$7:$N$874,I59,BS_RE33!$P$7:$P$874,'30 days CF Table(EUR)'!G59,BS_RE33!$F$7:$F$874,'30 days CF Table(EUR)'!$C$2)</f>
        <v>0</v>
      </c>
      <c r="AC59" s="337">
        <f>SUMIFS(BS_RE33!$H$7:$H$874,BS_RE33!$S$7:$S$874,$AC$2,BS_RE33!$N$7:$N$874,I59,BS_RE33!$P$7:$P$874,'30 days CF Table(EUR)'!G59,BS_RE33!$F$7:$F$874,'30 days CF Table(EUR)'!$C$2)</f>
        <v>0</v>
      </c>
      <c r="AD59" s="337">
        <f>SUMIFS(BS_RE33!$H$7:$H$874,BS_RE33!$S$7:$S$874,$AD$2,BS_RE33!$N$7:$N$874,I59,BS_RE33!$P$7:$P$874,'30 days CF Table(EUR)'!G59,BS_RE33!$F$7:$F$874,'30 days CF Table(EUR)'!$C$2)</f>
        <v>0</v>
      </c>
      <c r="AE59" s="337">
        <f>SUMIFS(BS_RE33!$H$7:$H$874,BS_RE33!$S$7:$S$874,$AE$2,BS_RE33!$N$7:$N$874,I59,BS_RE33!$P$7:$P$874,'30 days CF Table(EUR)'!G59,BS_RE33!$F$7:$F$874,'30 days CF Table(EUR)'!$C$2)</f>
        <v>0</v>
      </c>
      <c r="AF59" s="337">
        <f>SUMIFS(BS_RE33!$H$7:$H$874,BS_RE33!$S$7:$S$874,$AF$2,BS_RE33!$N$7:$N$874,I59,BS_RE33!$P$7:$P$874,'30 days CF Table(EUR)'!G59,BS_RE33!$F$7:$F$874,'30 days CF Table(EUR)'!$C$2)</f>
        <v>0</v>
      </c>
      <c r="AG59" s="337">
        <f>SUMIFS(BS_RE33!$H$7:$H$874,BS_RE33!$S$7:$S$874,$AG$2,BS_RE33!$N$7:$N$874,I59,BS_RE33!$P$7:$P$874,'30 days CF Table(EUR)'!G59,BS_RE33!$F$7:$F$874,'30 days CF Table(EUR)'!$C$2)</f>
        <v>0</v>
      </c>
      <c r="AH59" s="337">
        <f>SUMIFS(BS_RE33!$H$7:$H$874,BS_RE33!$S$7:$S$874,$AH$2,BS_RE33!$N$7:$N$874,I59,BS_RE33!$P$7:$P$874,'30 days CF Table(EUR)'!G59,BS_RE33!$F$7:$F$874,'30 days CF Table(EUR)'!$C$2)</f>
        <v>0</v>
      </c>
      <c r="AI59" s="337">
        <f>SUMIFS(BS_RE33!$H$7:$H$874,BS_RE33!$S$7:$S$874,$AI$2,BS_RE33!$N$7:$N$874,I59,BS_RE33!$P$7:$P$874,'30 days CF Table(EUR)'!G59,BS_RE33!$F$7:$F$874,'30 days CF Table(EUR)'!$C$2)</f>
        <v>0</v>
      </c>
      <c r="AJ59" s="337">
        <f>SUMIFS(BS_RE33!$H$7:$H$874,BS_RE33!$S$7:$S$874,$AJ$2,BS_RE33!$N$7:$N$874,I59,BS_RE33!$P$7:$P$874,'30 days CF Table(EUR)'!G59,BS_RE33!$F$7:$F$874,'30 days CF Table(EUR)'!$C$2)</f>
        <v>0</v>
      </c>
      <c r="AK59" s="337">
        <f>SUMIFS(BS_RE33!$H$7:$H$874,BS_RE33!$S$7:$S$874,$AK$2,BS_RE33!$N$7:$N$874,I59,BS_RE33!$P$7:$P$874,'30 days CF Table(EUR)'!G59,BS_RE33!$F$7:$F$874,'30 days CF Table(EUR)'!$C$2)</f>
        <v>0</v>
      </c>
      <c r="AL59" s="337">
        <f>SUMIFS(BS_RE33!$H$7:$H$874,BS_RE33!$S$7:$S$874,$AL$2,BS_RE33!$N$7:$N$874,I59,BS_RE33!$P$7:$P$874,'30 days CF Table(EUR)'!G59,BS_RE33!$F$7:$F$874,'30 days CF Table(EUR)'!$C$2)</f>
        <v>0</v>
      </c>
      <c r="AM59" s="337">
        <f>SUMIFS(BS_RE33!$H$7:$H$874,BS_RE33!$S$7:$S$874,$AM$2,BS_RE33!$N$7:$N$874,I59,BS_RE33!$P$7:$P$874,'30 days CF Table(EUR)'!G59,BS_RE33!$F$7:$F$874,'30 days CF Table(EUR)'!$C$2)</f>
        <v>0</v>
      </c>
      <c r="AN59" s="337">
        <f>SUMIFS(BS_RE33!$H$7:$H$874,BS_RE33!$S$7:$S$874,$AN$2,BS_RE33!$N$7:$N$874,I59,BS_RE33!$P$7:$P$874,'30 days CF Table(EUR)'!G59,BS_RE33!$F$7:$F$874,'30 days CF Table(EUR)'!$C$2)</f>
        <v>0</v>
      </c>
      <c r="AO59" s="337">
        <f>SUMIFS(BS_RE33!$H$7:$H$874,BS_RE33!$S$7:$S$874,$AO$2,BS_RE33!$N$7:$N$874,I59,BS_RE33!$P$7:$P$874,'30 days CF Table(EUR)'!G59,BS_RE33!$F$7:$F$874,'30 days CF Table(EUR)'!$C$2)</f>
        <v>0</v>
      </c>
      <c r="AP59" s="338">
        <f>SUMIFS(BS_RE33!$H$7:$H$874,BS_RE33!$S$7:$S$874,$AP$2,BS_RE33!$N$7:$N$874,I59,BS_RE33!$P$7:$P$874,'30 days CF Table(EUR)'!G59,BS_RE33!$F$7:$F$874,'30 days CF Table(EUR)'!$C$2)</f>
        <v>0</v>
      </c>
      <c r="AR59" s="379">
        <f>SUMIFS(BS_RE33!$H$7:$H$874,BS_RE33!$S$7:$S$874,$AR$2,BS_RE33!$N$7:$N$874,I59,BS_RE33!$P$7:$P$874,'30 days CF Table(EUR)'!G59,BS_RE33!$F$7:$F$874,'30 days CF Table(EUR)'!$C$2)</f>
        <v>0</v>
      </c>
      <c r="AS59" s="379">
        <f>SUMIFS(BS_RE33!$H$7:$H$874,BS_RE33!$S$7:$S$874,$AS$2,BS_RE33!$N$7:$N$874,I59,BS_RE33!$P$7:$P$874,'30 days CF Table(EUR)'!G59,BS_RE33!$F$7:$F$874,'30 days CF Table(EUR)'!$C$2)</f>
        <v>0</v>
      </c>
      <c r="AT59" s="379">
        <f>SUMIFS(BS_RE33!$H$7:$H$874,BS_RE33!$S$7:$S$874,$AT$2,BS_RE33!$N$7:$N$874,I59,BS_RE33!$P$7:$P$874,'30 days CF Table(EUR)'!G59,BS_RE33!$F$7:$F$874,'30 days CF Table(EUR)'!$C$2)</f>
        <v>0</v>
      </c>
      <c r="AU59" s="379">
        <f>SUMIFS(BS_RE33!$H$7:$H$874,BS_RE33!$S$7:$S$874,$AU$2,BS_RE33!$N$7:$N$874,I59,BS_RE33!$P$7:$P$874,'30 days CF Table(EUR)'!G59,BS_RE33!$F$7:$F$874,'30 days CF Table(EUR)'!$C$2)</f>
        <v>0</v>
      </c>
      <c r="AV59" s="379">
        <f>SUMIFS(BS_RE33!$H$7:$H$874,BS_RE33!$S$7:$S$874,$AV$2,BS_RE33!$N$7:$N$874,I59,BS_RE33!$P$7:$P$874,'30 days CF Table(EUR)'!G59,BS_RE33!$F$7:$F$874,'30 days CF Table(EUR)'!$C$2)</f>
        <v>0</v>
      </c>
      <c r="AW59" s="379">
        <f>SUMIFS(BS_RE33!$H$7:$H$874,BS_RE33!$S$7:$S$874,$AW$2,BS_RE33!$N$7:$N$874,I59,BS_RE33!$P$7:$P$874,'30 days CF Table(EUR)'!G59,BS_RE33!$F$7:$F$874,'30 days CF Table(EUR)'!$C$2)</f>
        <v>0</v>
      </c>
      <c r="AX59" s="379">
        <f>SUMIFS(BS_RE33!$H$7:$H$874,BS_RE33!$S$7:$S$874,$AX$2,BS_RE33!$N$7:$N$874,I59,BS_RE33!$P$7:$P$874,'30 days CF Table(EUR)'!G59,BS_RE33!$F$7:$F$874,'30 days CF Table(EUR)'!$C$2)</f>
        <v>0</v>
      </c>
      <c r="AY59" s="379">
        <f>SUMIFS(BS_RE33!$H$7:$H$874,BS_RE33!$S$7:$S$874,$AY$2,BS_RE33!$N$7:$N$874,I59,BS_RE33!$P$7:$P$874,'30 days CF Table(EUR)'!G59,BS_RE33!$F$7:$F$874,'30 days CF Table(EUR)'!$C$2)</f>
        <v>0</v>
      </c>
      <c r="AZ59" s="379">
        <f>SUMIFS(BS_RE33!$H$7:$H$874,BS_RE33!$S$7:$S$874,$AZ$2,BS_RE33!$N$7:$N$874,I59,BS_RE33!$P$7:$P$874,'30 days CF Table(EUR)'!G59,BS_RE33!$F$7:$F$874,'30 days CF Table(EUR)'!$C$2)</f>
        <v>0</v>
      </c>
      <c r="BA59" s="379">
        <f>SUMIFS(BS_RE33!$H$7:$H$874,BS_RE33!$S$7:$S$874,$BA$2,BS_RE33!$N$7:$N$874,I59,BS_RE33!$P$7:$P$874,'30 days CF Table(EUR)'!G59,BS_RE33!$F$7:$F$874,'30 days CF Table(EUR)'!$C$2)</f>
        <v>0</v>
      </c>
      <c r="BB59" s="379">
        <f>SUMIFS(BS_RE33!$H$7:$H$874,BS_RE33!$S$7:$S$874,$BB$2,BS_RE33!$N$7:$N$874,I59,BS_RE33!$P$7:$P$874,'30 days CF Table(EUR)'!G59,BS_RE33!$F$7:$F$874,'30 days CF Table(EUR)'!$C$2)</f>
        <v>0</v>
      </c>
      <c r="BC59" s="379">
        <f>SUMIFS(BS_RE33!$H$7:$H$874,BS_RE33!$S$7:$S$874,$BC$2,BS_RE33!$N$7:$N$874,I59,BS_RE33!$P$7:$P$874,'30 days CF Table(EUR)'!G59,BS_RE33!$F$7:$F$874,'30 days CF Table(EUR)'!$C$2)</f>
        <v>0</v>
      </c>
      <c r="BD59" s="379">
        <f>SUMIFS(BS_RE33!$H$7:$H$874,BS_RE33!$S$7:$S$874,$BD$2,BS_RE33!$N$7:$N$874,I59,BS_RE33!$P$7:$P$874,'30 days CF Table(EUR)'!G59,BS_RE33!$F$7:$F$874,'30 days CF Table(EUR)'!$C$2)</f>
        <v>0</v>
      </c>
      <c r="BE59" s="379">
        <f>SUMIFS(BS_RE33!$H$7:$H$874,BS_RE33!$S$7:$S$874,$BE$2,BS_RE33!$N$7:$N$874,I59,BS_RE33!$P$7:$P$874,'30 days CF Table(EUR)'!G59,BS_RE33!$F$7:$F$874,'30 days CF Table(EUR)'!$C$2)</f>
        <v>0</v>
      </c>
      <c r="BF59" s="379">
        <f>SUMIFS(BS_RE33!$H$7:$H$874,BS_RE33!$S$7:$S$874,$BF$2,BS_RE33!$N$7:$N$874,I59,BS_RE33!$P$7:$P$874,'30 days CF Table(EUR)'!G59,BS_RE33!$F$7:$F$874,'30 days CF Table(EUR)'!$C$2)</f>
        <v>0</v>
      </c>
      <c r="BG59" s="379">
        <f>SUMIFS(BS_RE33!$H$7:$H$874,BS_RE33!$S$7:$S$874,$BG$2,BS_RE33!$N$7:$N$874,I59,BS_RE33!$P$7:$P$874,'30 days CF Table(EUR)'!G59,BS_RE33!$F$7:$F$874,'30 days CF Table(EUR)'!$C$2)</f>
        <v>0</v>
      </c>
      <c r="BH59" s="379">
        <f>SUMIFS(BS_RE33!$H$7:$H$874,BS_RE33!$S$7:$S$874,$BH$2,BS_RE33!$N$7:$N$874,I59,BS_RE33!$P$7:$P$874,'30 days CF Table(EUR)'!G59,BS_RE33!$F$7:$F$874,'30 days CF Table(EUR)'!$C$2)</f>
        <v>0</v>
      </c>
      <c r="BI59" s="379">
        <f>SUMIFS(BS_RE33!$H$7:$H$874,BS_RE33!$S$7:$S$874,$BI$2,BS_RE33!$N$7:$N$874,I59,BS_RE33!$P$7:$P$874,'30 days CF Table(EUR)'!G59,BS_RE33!$F$7:$F$874,'30 days CF Table(EUR)'!$C$2)</f>
        <v>0</v>
      </c>
      <c r="BJ59" s="379">
        <f>SUMIFS(BS_RE33!$H$7:$H$874,BS_RE33!$S$7:$S$874,$BJ$2,BS_RE33!$N$7:$N$874,I59,BS_RE33!$P$7:$P$874,'30 days CF Table(EUR)'!G59,BS_RE33!$F$7:$F$874,'30 days CF Table(EUR)'!$C$2)</f>
        <v>0</v>
      </c>
      <c r="BK59" s="379">
        <f>SUMIFS(BS_RE33!$H$7:$H$874,BS_RE33!$S$7:$S$874,$BK$2,BS_RE33!$N$7:$N$874,I59,BS_RE33!$P$7:$P$874,'30 days CF Table(EUR)'!G59,BS_RE33!$F$7:$F$874,'30 days CF Table(EUR)'!$C$2)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Table(EUR)'!G60,BS_RE33!$F$7:$F$874,'30 days CF Table(EUR)'!$C$2)</f>
        <v>0</v>
      </c>
      <c r="M60" s="337">
        <f>SUMIFS(BS_RE33!$H$7:$H$874,BS_RE33!$S$7:$S$874,$M$2,BS_RE33!$N$7:$N$874,I60,BS_RE33!$P$7:$P$874,'30 days CF Table(EUR)'!G60,BS_RE33!$F$7:$F$874,'30 days CF Table(EUR)'!$C$2)</f>
        <v>0</v>
      </c>
      <c r="N60" s="337">
        <f>SUMIFS(BS_RE33!$H$7:$H$874,BS_RE33!$S$7:$S$874,$N$2,BS_RE33!$N$7:$N$874,I60,BS_RE33!$P$7:$P$874,'30 days CF Table(EUR)'!G60,BS_RE33!$F$7:$F$874,'30 days CF Table(EUR)'!$C$2)</f>
        <v>0</v>
      </c>
      <c r="O60" s="337">
        <f>SUMIFS(BS_RE33!$H$7:$H$874,BS_RE33!$S$7:$S$874,$O$2,BS_RE33!$N$7:$N$874,I60,BS_RE33!$P$7:$P$874,'30 days CF Table(EUR)'!G60,BS_RE33!$F$7:$F$874,'30 days CF Table(EUR)'!$C$2)</f>
        <v>0</v>
      </c>
      <c r="P60" s="337">
        <f>SUMIFS(BS_RE33!$H$7:$H$874,BS_RE33!$S$7:$S$874,$P$2,BS_RE33!$N$7:$N$874,I60,BS_RE33!$P$7:$P$874,'30 days CF Table(EUR)'!G60,BS_RE33!$F$7:$F$874,'30 days CF Table(EUR)'!$C$2)</f>
        <v>0</v>
      </c>
      <c r="Q60" s="337">
        <f>SUMIFS(BS_RE33!$H$7:$H$874,BS_RE33!$S$7:$S$874,$Q$2,BS_RE33!$N$7:$N$874,I60,BS_RE33!$P$7:$P$874,'30 days CF Table(EUR)'!G60,BS_RE33!$F$7:$F$874,'30 days CF Table(EUR)'!$C$2)</f>
        <v>0</v>
      </c>
      <c r="R60" s="337">
        <f>SUMIFS(BS_RE33!$H$7:$H$874,BS_RE33!$S$7:$S$874,$R$2,BS_RE33!$N$7:$N$874,I60,BS_RE33!$P$7:$P$874,'30 days CF Table(EUR)'!G60,BS_RE33!$F$7:$F$874,'30 days CF Table(EUR)'!$C$2)</f>
        <v>0</v>
      </c>
      <c r="S60" s="337">
        <f>SUMIFS(BS_RE33!$H$7:$H$874,BS_RE33!$S$7:$S$874,$S$2,BS_RE33!$N$7:$N$874,I60,BS_RE33!$P$7:$P$874,'30 days CF Table(EUR)'!G60,BS_RE33!$F$7:$F$874,'30 days CF Table(EUR)'!$C$2)</f>
        <v>0</v>
      </c>
      <c r="T60" s="337">
        <f>SUMIFS(BS_RE33!$H$7:$H$874,BS_RE33!$S$7:$S$874,$T$2,BS_RE33!$N$7:$N$874,I60,BS_RE33!$P$7:$P$874,'30 days CF Table(EUR)'!G60,BS_RE33!$F$7:$F$874,'30 days CF Table(EUR)'!$C$2)</f>
        <v>0</v>
      </c>
      <c r="U60" s="337">
        <f>SUMIFS(BS_RE33!$H$7:$H$874,BS_RE33!$S$7:$S$874,$U$2,BS_RE33!$N$7:$N$874,I60,BS_RE33!$P$7:$P$874,'30 days CF Table(EUR)'!G60,BS_RE33!$F$7:$F$874,'30 days CF Table(EUR)'!$C$2)</f>
        <v>0</v>
      </c>
      <c r="V60" s="337">
        <f>SUMIFS(BS_RE33!$H$7:$H$874,BS_RE33!$S$7:$S$874,$V$2,BS_RE33!$N$7:$N$874,I60,BS_RE33!$P$7:$P$874,'30 days CF Table(EUR)'!G60,BS_RE33!$F$7:$F$874,'30 days CF Table(EUR)'!$C$2)</f>
        <v>0</v>
      </c>
      <c r="W60" s="337">
        <f>SUMIFS(BS_RE33!$H$7:$H$874,BS_RE33!$S$7:$S$874,$W$2,BS_RE33!$N$7:$N$874,I60,BS_RE33!$P$7:$P$874,'30 days CF Table(EUR)'!G60,BS_RE33!$F$7:$F$874,'30 days CF Table(EUR)'!$C$2)</f>
        <v>0</v>
      </c>
      <c r="X60" s="337">
        <f>SUMIFS(BS_RE33!$H$7:$H$874,BS_RE33!$S$7:$S$874,$X$2,BS_RE33!$N$7:$N$874,I60,BS_RE33!$P$7:$P$874,'30 days CF Table(EUR)'!G60,BS_RE33!$F$7:$F$874,'30 days CF Table(EUR)'!$C$2)</f>
        <v>0</v>
      </c>
      <c r="Y60" s="337">
        <f>SUMIFS(BS_RE33!$H$7:$H$874,BS_RE33!$S$7:$S$874,$Y$2,BS_RE33!$N$7:$N$874,I60,BS_RE33!$P$7:$P$874,'30 days CF Table(EUR)'!G60,BS_RE33!$F$7:$F$874,'30 days CF Table(EUR)'!$C$2)</f>
        <v>0</v>
      </c>
      <c r="Z60" s="337">
        <f>SUMIFS(BS_RE33!$H$7:$H$874,BS_RE33!$S$7:$S$874,$Z$2,BS_RE33!$N$7:$N$874,I60,BS_RE33!$P$7:$P$874,'30 days CF Table(EUR)'!G60,BS_RE33!$F$7:$F$874,'30 days CF Table(EUR)'!$C$2)</f>
        <v>0</v>
      </c>
      <c r="AA60" s="337">
        <f>SUMIFS(BS_RE33!$H$7:$H$874,BS_RE33!$S$7:$S$874,$AA$2,BS_RE33!$N$7:$N$874,I60,BS_RE33!$P$7:$P$874,'30 days CF Table(EUR)'!G60,BS_RE33!$F$7:$F$874,'30 days CF Table(EUR)'!$C$2)</f>
        <v>0</v>
      </c>
      <c r="AB60" s="337">
        <f>SUMIFS(BS_RE33!$H$7:$H$874,BS_RE33!$S$7:$S$874,$AB$2,BS_RE33!$N$7:$N$874,I60,BS_RE33!$P$7:$P$874,'30 days CF Table(EUR)'!G60,BS_RE33!$F$7:$F$874,'30 days CF Table(EUR)'!$C$2)</f>
        <v>0</v>
      </c>
      <c r="AC60" s="337">
        <f>SUMIFS(BS_RE33!$H$7:$H$874,BS_RE33!$S$7:$S$874,$AC$2,BS_RE33!$N$7:$N$874,I60,BS_RE33!$P$7:$P$874,'30 days CF Table(EUR)'!G60,BS_RE33!$F$7:$F$874,'30 days CF Table(EUR)'!$C$2)</f>
        <v>0</v>
      </c>
      <c r="AD60" s="337">
        <f>SUMIFS(BS_RE33!$H$7:$H$874,BS_RE33!$S$7:$S$874,$AD$2,BS_RE33!$N$7:$N$874,I60,BS_RE33!$P$7:$P$874,'30 days CF Table(EUR)'!G60,BS_RE33!$F$7:$F$874,'30 days CF Table(EUR)'!$C$2)</f>
        <v>0</v>
      </c>
      <c r="AE60" s="337">
        <f>SUMIFS(BS_RE33!$H$7:$H$874,BS_RE33!$S$7:$S$874,$AE$2,BS_RE33!$N$7:$N$874,I60,BS_RE33!$P$7:$P$874,'30 days CF Table(EUR)'!G60,BS_RE33!$F$7:$F$874,'30 days CF Table(EUR)'!$C$2)</f>
        <v>0</v>
      </c>
      <c r="AF60" s="337">
        <f>SUMIFS(BS_RE33!$H$7:$H$874,BS_RE33!$S$7:$S$874,$AF$2,BS_RE33!$N$7:$N$874,I60,BS_RE33!$P$7:$P$874,'30 days CF Table(EUR)'!G60,BS_RE33!$F$7:$F$874,'30 days CF Table(EUR)'!$C$2)</f>
        <v>0</v>
      </c>
      <c r="AG60" s="337">
        <f>SUMIFS(BS_RE33!$H$7:$H$874,BS_RE33!$S$7:$S$874,$AG$2,BS_RE33!$N$7:$N$874,I60,BS_RE33!$P$7:$P$874,'30 days CF Table(EUR)'!G60,BS_RE33!$F$7:$F$874,'30 days CF Table(EUR)'!$C$2)</f>
        <v>0</v>
      </c>
      <c r="AH60" s="337">
        <f>SUMIFS(BS_RE33!$H$7:$H$874,BS_RE33!$S$7:$S$874,$AH$2,BS_RE33!$N$7:$N$874,I60,BS_RE33!$P$7:$P$874,'30 days CF Table(EUR)'!G60,BS_RE33!$F$7:$F$874,'30 days CF Table(EUR)'!$C$2)</f>
        <v>0</v>
      </c>
      <c r="AI60" s="337">
        <f>SUMIFS(BS_RE33!$H$7:$H$874,BS_RE33!$S$7:$S$874,$AI$2,BS_RE33!$N$7:$N$874,I60,BS_RE33!$P$7:$P$874,'30 days CF Table(EUR)'!G60,BS_RE33!$F$7:$F$874,'30 days CF Table(EUR)'!$C$2)</f>
        <v>0</v>
      </c>
      <c r="AJ60" s="337">
        <f>SUMIFS(BS_RE33!$H$7:$H$874,BS_RE33!$S$7:$S$874,$AJ$2,BS_RE33!$N$7:$N$874,I60,BS_RE33!$P$7:$P$874,'30 days CF Table(EUR)'!G60,BS_RE33!$F$7:$F$874,'30 days CF Table(EUR)'!$C$2)</f>
        <v>0</v>
      </c>
      <c r="AK60" s="337">
        <f>SUMIFS(BS_RE33!$H$7:$H$874,BS_RE33!$S$7:$S$874,$AK$2,BS_RE33!$N$7:$N$874,I60,BS_RE33!$P$7:$P$874,'30 days CF Table(EUR)'!G60,BS_RE33!$F$7:$F$874,'30 days CF Table(EUR)'!$C$2)</f>
        <v>0</v>
      </c>
      <c r="AL60" s="337">
        <f>SUMIFS(BS_RE33!$H$7:$H$874,BS_RE33!$S$7:$S$874,$AL$2,BS_RE33!$N$7:$N$874,I60,BS_RE33!$P$7:$P$874,'30 days CF Table(EUR)'!G60,BS_RE33!$F$7:$F$874,'30 days CF Table(EUR)'!$C$2)</f>
        <v>0</v>
      </c>
      <c r="AM60" s="337">
        <f>SUMIFS(BS_RE33!$H$7:$H$874,BS_RE33!$S$7:$S$874,$AM$2,BS_RE33!$N$7:$N$874,I60,BS_RE33!$P$7:$P$874,'30 days CF Table(EUR)'!G60,BS_RE33!$F$7:$F$874,'30 days CF Table(EUR)'!$C$2)</f>
        <v>0</v>
      </c>
      <c r="AN60" s="337">
        <f>SUMIFS(BS_RE33!$H$7:$H$874,BS_RE33!$S$7:$S$874,$AN$2,BS_RE33!$N$7:$N$874,I60,BS_RE33!$P$7:$P$874,'30 days CF Table(EUR)'!G60,BS_RE33!$F$7:$F$874,'30 days CF Table(EUR)'!$C$2)</f>
        <v>0</v>
      </c>
      <c r="AO60" s="337">
        <f>SUMIFS(BS_RE33!$H$7:$H$874,BS_RE33!$S$7:$S$874,$AO$2,BS_RE33!$N$7:$N$874,I60,BS_RE33!$P$7:$P$874,'30 days CF Table(EUR)'!G60,BS_RE33!$F$7:$F$874,'30 days CF Table(EUR)'!$C$2)</f>
        <v>0</v>
      </c>
      <c r="AP60" s="338">
        <f>SUMIFS(BS_RE33!$H$7:$H$874,BS_RE33!$S$7:$S$874,$AP$2,BS_RE33!$N$7:$N$874,I60,BS_RE33!$P$7:$P$874,'30 days CF Table(EUR)'!G60,BS_RE33!$F$7:$F$874,'30 days CF Table(EUR)'!$C$2)</f>
        <v>0</v>
      </c>
      <c r="AR60" s="379">
        <f>SUMIFS(BS_RE33!$H$7:$H$874,BS_RE33!$S$7:$S$874,$AR$2,BS_RE33!$N$7:$N$874,I60,BS_RE33!$P$7:$P$874,'30 days CF Table(EUR)'!G60,BS_RE33!$F$7:$F$874,'30 days CF Table(EUR)'!$C$2)</f>
        <v>0</v>
      </c>
      <c r="AS60" s="379">
        <f>SUMIFS(BS_RE33!$H$7:$H$874,BS_RE33!$S$7:$S$874,$AS$2,BS_RE33!$N$7:$N$874,I60,BS_RE33!$P$7:$P$874,'30 days CF Table(EUR)'!G60,BS_RE33!$F$7:$F$874,'30 days CF Table(EUR)'!$C$2)</f>
        <v>0</v>
      </c>
      <c r="AT60" s="379">
        <f>SUMIFS(BS_RE33!$H$7:$H$874,BS_RE33!$S$7:$S$874,$AT$2,BS_RE33!$N$7:$N$874,I60,BS_RE33!$P$7:$P$874,'30 days CF Table(EUR)'!G60,BS_RE33!$F$7:$F$874,'30 days CF Table(EUR)'!$C$2)</f>
        <v>0</v>
      </c>
      <c r="AU60" s="379">
        <f>SUMIFS(BS_RE33!$H$7:$H$874,BS_RE33!$S$7:$S$874,$AU$2,BS_RE33!$N$7:$N$874,I60,BS_RE33!$P$7:$P$874,'30 days CF Table(EUR)'!G60,BS_RE33!$F$7:$F$874,'30 days CF Table(EUR)'!$C$2)</f>
        <v>0</v>
      </c>
      <c r="AV60" s="379">
        <f>SUMIFS(BS_RE33!$H$7:$H$874,BS_RE33!$S$7:$S$874,$AV$2,BS_RE33!$N$7:$N$874,I60,BS_RE33!$P$7:$P$874,'30 days CF Table(EUR)'!G60,BS_RE33!$F$7:$F$874,'30 days CF Table(EUR)'!$C$2)</f>
        <v>0</v>
      </c>
      <c r="AW60" s="379">
        <f>SUMIFS(BS_RE33!$H$7:$H$874,BS_RE33!$S$7:$S$874,$AW$2,BS_RE33!$N$7:$N$874,I60,BS_RE33!$P$7:$P$874,'30 days CF Table(EUR)'!G60,BS_RE33!$F$7:$F$874,'30 days CF Table(EUR)'!$C$2)</f>
        <v>0</v>
      </c>
      <c r="AX60" s="379">
        <f>SUMIFS(BS_RE33!$H$7:$H$874,BS_RE33!$S$7:$S$874,$AX$2,BS_RE33!$N$7:$N$874,I60,BS_RE33!$P$7:$P$874,'30 days CF Table(EUR)'!G60,BS_RE33!$F$7:$F$874,'30 days CF Table(EUR)'!$C$2)</f>
        <v>0</v>
      </c>
      <c r="AY60" s="379">
        <f>SUMIFS(BS_RE33!$H$7:$H$874,BS_RE33!$S$7:$S$874,$AY$2,BS_RE33!$N$7:$N$874,I60,BS_RE33!$P$7:$P$874,'30 days CF Table(EUR)'!G60,BS_RE33!$F$7:$F$874,'30 days CF Table(EUR)'!$C$2)</f>
        <v>0</v>
      </c>
      <c r="AZ60" s="379">
        <f>SUMIFS(BS_RE33!$H$7:$H$874,BS_RE33!$S$7:$S$874,$AZ$2,BS_RE33!$N$7:$N$874,I60,BS_RE33!$P$7:$P$874,'30 days CF Table(EUR)'!G60,BS_RE33!$F$7:$F$874,'30 days CF Table(EUR)'!$C$2)</f>
        <v>0</v>
      </c>
      <c r="BA60" s="379">
        <f>SUMIFS(BS_RE33!$H$7:$H$874,BS_RE33!$S$7:$S$874,$BA$2,BS_RE33!$N$7:$N$874,I60,BS_RE33!$P$7:$P$874,'30 days CF Table(EUR)'!G60,BS_RE33!$F$7:$F$874,'30 days CF Table(EUR)'!$C$2)</f>
        <v>0</v>
      </c>
      <c r="BB60" s="379">
        <f>SUMIFS(BS_RE33!$H$7:$H$874,BS_RE33!$S$7:$S$874,$BB$2,BS_RE33!$N$7:$N$874,I60,BS_RE33!$P$7:$P$874,'30 days CF Table(EUR)'!G60,BS_RE33!$F$7:$F$874,'30 days CF Table(EUR)'!$C$2)</f>
        <v>0</v>
      </c>
      <c r="BC60" s="379">
        <f>SUMIFS(BS_RE33!$H$7:$H$874,BS_RE33!$S$7:$S$874,$BC$2,BS_RE33!$N$7:$N$874,I60,BS_RE33!$P$7:$P$874,'30 days CF Table(EUR)'!G60,BS_RE33!$F$7:$F$874,'30 days CF Table(EUR)'!$C$2)</f>
        <v>0</v>
      </c>
      <c r="BD60" s="379">
        <f>SUMIFS(BS_RE33!$H$7:$H$874,BS_RE33!$S$7:$S$874,$BD$2,BS_RE33!$N$7:$N$874,I60,BS_RE33!$P$7:$P$874,'30 days CF Table(EUR)'!G60,BS_RE33!$F$7:$F$874,'30 days CF Table(EUR)'!$C$2)</f>
        <v>0</v>
      </c>
      <c r="BE60" s="379">
        <f>SUMIFS(BS_RE33!$H$7:$H$874,BS_RE33!$S$7:$S$874,$BE$2,BS_RE33!$N$7:$N$874,I60,BS_RE33!$P$7:$P$874,'30 days CF Table(EUR)'!G60,BS_RE33!$F$7:$F$874,'30 days CF Table(EUR)'!$C$2)</f>
        <v>0</v>
      </c>
      <c r="BF60" s="379">
        <f>SUMIFS(BS_RE33!$H$7:$H$874,BS_RE33!$S$7:$S$874,$BF$2,BS_RE33!$N$7:$N$874,I60,BS_RE33!$P$7:$P$874,'30 days CF Table(EUR)'!G60,BS_RE33!$F$7:$F$874,'30 days CF Table(EUR)'!$C$2)</f>
        <v>0</v>
      </c>
      <c r="BG60" s="379">
        <f>SUMIFS(BS_RE33!$H$7:$H$874,BS_RE33!$S$7:$S$874,$BG$2,BS_RE33!$N$7:$N$874,I60,BS_RE33!$P$7:$P$874,'30 days CF Table(EUR)'!G60,BS_RE33!$F$7:$F$874,'30 days CF Table(EUR)'!$C$2)</f>
        <v>0</v>
      </c>
      <c r="BH60" s="379">
        <f>SUMIFS(BS_RE33!$H$7:$H$874,BS_RE33!$S$7:$S$874,$BH$2,BS_RE33!$N$7:$N$874,I60,BS_RE33!$P$7:$P$874,'30 days CF Table(EUR)'!G60,BS_RE33!$F$7:$F$874,'30 days CF Table(EUR)'!$C$2)</f>
        <v>0</v>
      </c>
      <c r="BI60" s="379">
        <f>SUMIFS(BS_RE33!$H$7:$H$874,BS_RE33!$S$7:$S$874,$BI$2,BS_RE33!$N$7:$N$874,I60,BS_RE33!$P$7:$P$874,'30 days CF Table(EUR)'!G60,BS_RE33!$F$7:$F$874,'30 days CF Table(EUR)'!$C$2)</f>
        <v>0</v>
      </c>
      <c r="BJ60" s="379">
        <f>SUMIFS(BS_RE33!$H$7:$H$874,BS_RE33!$S$7:$S$874,$BJ$2,BS_RE33!$N$7:$N$874,I60,BS_RE33!$P$7:$P$874,'30 days CF Table(EUR)'!G60,BS_RE33!$F$7:$F$874,'30 days CF Table(EUR)'!$C$2)</f>
        <v>0</v>
      </c>
      <c r="BK60" s="379">
        <f>SUMIFS(BS_RE33!$H$7:$H$874,BS_RE33!$S$7:$S$874,$BK$2,BS_RE33!$N$7:$N$874,I60,BS_RE33!$P$7:$P$874,'30 days CF Table(EUR)'!G60,BS_RE33!$F$7:$F$874,'30 days CF Table(EUR)'!$C$2)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Table(EUR)'!G61,BS_RE33!$F$7:$F$874,'30 days CF Table(EUR)'!$C$2)</f>
        <v>0</v>
      </c>
      <c r="M61" s="337">
        <f>SUMIFS(BS_RE33!$H$7:$H$874,BS_RE33!$S$7:$S$874,$M$2,BS_RE33!$N$7:$N$874,I61,BS_RE33!$P$7:$P$874,'30 days CF Table(EUR)'!G61,BS_RE33!$F$7:$F$874,'30 days CF Table(EUR)'!$C$2)</f>
        <v>0</v>
      </c>
      <c r="N61" s="337">
        <f>SUMIFS(BS_RE33!$H$7:$H$874,BS_RE33!$S$7:$S$874,$N$2,BS_RE33!$N$7:$N$874,I61,BS_RE33!$P$7:$P$874,'30 days CF Table(EUR)'!G61,BS_RE33!$F$7:$F$874,'30 days CF Table(EUR)'!$C$2)</f>
        <v>0</v>
      </c>
      <c r="O61" s="337">
        <f>SUMIFS(BS_RE33!$H$7:$H$874,BS_RE33!$S$7:$S$874,$O$2,BS_RE33!$N$7:$N$874,I61,BS_RE33!$P$7:$P$874,'30 days CF Table(EUR)'!G61,BS_RE33!$F$7:$F$874,'30 days CF Table(EUR)'!$C$2)</f>
        <v>0</v>
      </c>
      <c r="P61" s="337">
        <f>SUMIFS(BS_RE33!$H$7:$H$874,BS_RE33!$S$7:$S$874,$P$2,BS_RE33!$N$7:$N$874,I61,BS_RE33!$P$7:$P$874,'30 days CF Table(EUR)'!G61,BS_RE33!$F$7:$F$874,'30 days CF Table(EUR)'!$C$2)</f>
        <v>0</v>
      </c>
      <c r="Q61" s="337">
        <f>SUMIFS(BS_RE33!$H$7:$H$874,BS_RE33!$S$7:$S$874,$Q$2,BS_RE33!$N$7:$N$874,I61,BS_RE33!$P$7:$P$874,'30 days CF Table(EUR)'!G61,BS_RE33!$F$7:$F$874,'30 days CF Table(EUR)'!$C$2)</f>
        <v>0</v>
      </c>
      <c r="R61" s="337">
        <f>SUMIFS(BS_RE33!$H$7:$H$874,BS_RE33!$S$7:$S$874,$R$2,BS_RE33!$N$7:$N$874,I61,BS_RE33!$P$7:$P$874,'30 days CF Table(EUR)'!G61,BS_RE33!$F$7:$F$874,'30 days CF Table(EUR)'!$C$2)</f>
        <v>0</v>
      </c>
      <c r="S61" s="337">
        <f>SUMIFS(BS_RE33!$H$7:$H$874,BS_RE33!$S$7:$S$874,$S$2,BS_RE33!$N$7:$N$874,I61,BS_RE33!$P$7:$P$874,'30 days CF Table(EUR)'!G61,BS_RE33!$F$7:$F$874,'30 days CF Table(EUR)'!$C$2)</f>
        <v>0</v>
      </c>
      <c r="T61" s="337">
        <f>SUMIFS(BS_RE33!$H$7:$H$874,BS_RE33!$S$7:$S$874,$T$2,BS_RE33!$N$7:$N$874,I61,BS_RE33!$P$7:$P$874,'30 days CF Table(EUR)'!G61,BS_RE33!$F$7:$F$874,'30 days CF Table(EUR)'!$C$2)</f>
        <v>0</v>
      </c>
      <c r="U61" s="337">
        <f>SUMIFS(BS_RE33!$H$7:$H$874,BS_RE33!$S$7:$S$874,$U$2,BS_RE33!$N$7:$N$874,I61,BS_RE33!$P$7:$P$874,'30 days CF Table(EUR)'!G61,BS_RE33!$F$7:$F$874,'30 days CF Table(EUR)'!$C$2)</f>
        <v>0</v>
      </c>
      <c r="V61" s="337">
        <f>SUMIFS(BS_RE33!$H$7:$H$874,BS_RE33!$S$7:$S$874,$V$2,BS_RE33!$N$7:$N$874,I61,BS_RE33!$P$7:$P$874,'30 days CF Table(EUR)'!G61,BS_RE33!$F$7:$F$874,'30 days CF Table(EUR)'!$C$2)</f>
        <v>0</v>
      </c>
      <c r="W61" s="337">
        <f>SUMIFS(BS_RE33!$H$7:$H$874,BS_RE33!$S$7:$S$874,$W$2,BS_RE33!$N$7:$N$874,I61,BS_RE33!$P$7:$P$874,'30 days CF Table(EUR)'!G61,BS_RE33!$F$7:$F$874,'30 days CF Table(EUR)'!$C$2)</f>
        <v>0</v>
      </c>
      <c r="X61" s="337">
        <f>SUMIFS(BS_RE33!$H$7:$H$874,BS_RE33!$S$7:$S$874,$X$2,BS_RE33!$N$7:$N$874,I61,BS_RE33!$P$7:$P$874,'30 days CF Table(EUR)'!G61,BS_RE33!$F$7:$F$874,'30 days CF Table(EUR)'!$C$2)</f>
        <v>0</v>
      </c>
      <c r="Y61" s="337">
        <f>SUMIFS(BS_RE33!$H$7:$H$874,BS_RE33!$S$7:$S$874,$Y$2,BS_RE33!$N$7:$N$874,I61,BS_RE33!$P$7:$P$874,'30 days CF Table(EUR)'!G61,BS_RE33!$F$7:$F$874,'30 days CF Table(EUR)'!$C$2)</f>
        <v>0</v>
      </c>
      <c r="Z61" s="337">
        <f>SUMIFS(BS_RE33!$H$7:$H$874,BS_RE33!$S$7:$S$874,$Z$2,BS_RE33!$N$7:$N$874,I61,BS_RE33!$P$7:$P$874,'30 days CF Table(EUR)'!G61,BS_RE33!$F$7:$F$874,'30 days CF Table(EUR)'!$C$2)</f>
        <v>0</v>
      </c>
      <c r="AA61" s="337">
        <f>SUMIFS(BS_RE33!$H$7:$H$874,BS_RE33!$S$7:$S$874,$AA$2,BS_RE33!$N$7:$N$874,I61,BS_RE33!$P$7:$P$874,'30 days CF Table(EUR)'!G61,BS_RE33!$F$7:$F$874,'30 days CF Table(EUR)'!$C$2)</f>
        <v>0</v>
      </c>
      <c r="AB61" s="337">
        <f>SUMIFS(BS_RE33!$H$7:$H$874,BS_RE33!$S$7:$S$874,$AB$2,BS_RE33!$N$7:$N$874,I61,BS_RE33!$P$7:$P$874,'30 days CF Table(EUR)'!G61,BS_RE33!$F$7:$F$874,'30 days CF Table(EUR)'!$C$2)</f>
        <v>0</v>
      </c>
      <c r="AC61" s="337">
        <f>SUMIFS(BS_RE33!$H$7:$H$874,BS_RE33!$S$7:$S$874,$AC$2,BS_RE33!$N$7:$N$874,I61,BS_RE33!$P$7:$P$874,'30 days CF Table(EUR)'!G61,BS_RE33!$F$7:$F$874,'30 days CF Table(EUR)'!$C$2)</f>
        <v>0</v>
      </c>
      <c r="AD61" s="337">
        <f>SUMIFS(BS_RE33!$H$7:$H$874,BS_RE33!$S$7:$S$874,$AD$2,BS_RE33!$N$7:$N$874,I61,BS_RE33!$P$7:$P$874,'30 days CF Table(EUR)'!G61,BS_RE33!$F$7:$F$874,'30 days CF Table(EUR)'!$C$2)</f>
        <v>0</v>
      </c>
      <c r="AE61" s="337">
        <f>SUMIFS(BS_RE33!$H$7:$H$874,BS_RE33!$S$7:$S$874,$AE$2,BS_RE33!$N$7:$N$874,I61,BS_RE33!$P$7:$P$874,'30 days CF Table(EUR)'!G61,BS_RE33!$F$7:$F$874,'30 days CF Table(EUR)'!$C$2)</f>
        <v>0</v>
      </c>
      <c r="AF61" s="337">
        <f>SUMIFS(BS_RE33!$H$7:$H$874,BS_RE33!$S$7:$S$874,$AF$2,BS_RE33!$N$7:$N$874,I61,BS_RE33!$P$7:$P$874,'30 days CF Table(EUR)'!G61,BS_RE33!$F$7:$F$874,'30 days CF Table(EUR)'!$C$2)</f>
        <v>0</v>
      </c>
      <c r="AG61" s="337">
        <f>SUMIFS(BS_RE33!$H$7:$H$874,BS_RE33!$S$7:$S$874,$AG$2,BS_RE33!$N$7:$N$874,I61,BS_RE33!$P$7:$P$874,'30 days CF Table(EUR)'!G61,BS_RE33!$F$7:$F$874,'30 days CF Table(EUR)'!$C$2)</f>
        <v>0</v>
      </c>
      <c r="AH61" s="337">
        <f>SUMIFS(BS_RE33!$H$7:$H$874,BS_RE33!$S$7:$S$874,$AH$2,BS_RE33!$N$7:$N$874,I61,BS_RE33!$P$7:$P$874,'30 days CF Table(EUR)'!G61,BS_RE33!$F$7:$F$874,'30 days CF Table(EUR)'!$C$2)</f>
        <v>0</v>
      </c>
      <c r="AI61" s="337">
        <f>SUMIFS(BS_RE33!$H$7:$H$874,BS_RE33!$S$7:$S$874,$AI$2,BS_RE33!$N$7:$N$874,I61,BS_RE33!$P$7:$P$874,'30 days CF Table(EUR)'!G61,BS_RE33!$F$7:$F$874,'30 days CF Table(EUR)'!$C$2)</f>
        <v>0</v>
      </c>
      <c r="AJ61" s="337">
        <f>SUMIFS(BS_RE33!$H$7:$H$874,BS_RE33!$S$7:$S$874,$AJ$2,BS_RE33!$N$7:$N$874,I61,BS_RE33!$P$7:$P$874,'30 days CF Table(EUR)'!G61,BS_RE33!$F$7:$F$874,'30 days CF Table(EUR)'!$C$2)</f>
        <v>0</v>
      </c>
      <c r="AK61" s="337">
        <f>SUMIFS(BS_RE33!$H$7:$H$874,BS_RE33!$S$7:$S$874,$AK$2,BS_RE33!$N$7:$N$874,I61,BS_RE33!$P$7:$P$874,'30 days CF Table(EUR)'!G61,BS_RE33!$F$7:$F$874,'30 days CF Table(EUR)'!$C$2)</f>
        <v>0</v>
      </c>
      <c r="AL61" s="337">
        <f>SUMIFS(BS_RE33!$H$7:$H$874,BS_RE33!$S$7:$S$874,$AL$2,BS_RE33!$N$7:$N$874,I61,BS_RE33!$P$7:$P$874,'30 days CF Table(EUR)'!G61,BS_RE33!$F$7:$F$874,'30 days CF Table(EUR)'!$C$2)</f>
        <v>0</v>
      </c>
      <c r="AM61" s="337">
        <f>SUMIFS(BS_RE33!$H$7:$H$874,BS_RE33!$S$7:$S$874,$AM$2,BS_RE33!$N$7:$N$874,I61,BS_RE33!$P$7:$P$874,'30 days CF Table(EUR)'!G61,BS_RE33!$F$7:$F$874,'30 days CF Table(EUR)'!$C$2)</f>
        <v>0</v>
      </c>
      <c r="AN61" s="337">
        <f>SUMIFS(BS_RE33!$H$7:$H$874,BS_RE33!$S$7:$S$874,$AN$2,BS_RE33!$N$7:$N$874,I61,BS_RE33!$P$7:$P$874,'30 days CF Table(EUR)'!G61,BS_RE33!$F$7:$F$874,'30 days CF Table(EUR)'!$C$2)</f>
        <v>0</v>
      </c>
      <c r="AO61" s="337">
        <f>SUMIFS(BS_RE33!$H$7:$H$874,BS_RE33!$S$7:$S$874,$AO$2,BS_RE33!$N$7:$N$874,I61,BS_RE33!$P$7:$P$874,'30 days CF Table(EUR)'!G61,BS_RE33!$F$7:$F$874,'30 days CF Table(EUR)'!$C$2)</f>
        <v>0</v>
      </c>
      <c r="AP61" s="338">
        <f>SUMIFS(BS_RE33!$H$7:$H$874,BS_RE33!$S$7:$S$874,$AP$2,BS_RE33!$N$7:$N$874,I61,BS_RE33!$P$7:$P$874,'30 days CF Table(EUR)'!G61,BS_RE33!$F$7:$F$874,'30 days CF Table(EUR)'!$C$2)</f>
        <v>0</v>
      </c>
      <c r="AR61" s="379">
        <f>SUMIFS(BS_RE33!$H$7:$H$874,BS_RE33!$S$7:$S$874,$AR$2,BS_RE33!$N$7:$N$874,I61,BS_RE33!$P$7:$P$874,'30 days CF Table(EUR)'!G61,BS_RE33!$F$7:$F$874,'30 days CF Table(EUR)'!$C$2)</f>
        <v>0</v>
      </c>
      <c r="AS61" s="379">
        <f>SUMIFS(BS_RE33!$H$7:$H$874,BS_RE33!$S$7:$S$874,$AS$2,BS_RE33!$N$7:$N$874,I61,BS_RE33!$P$7:$P$874,'30 days CF Table(EUR)'!G61,BS_RE33!$F$7:$F$874,'30 days CF Table(EUR)'!$C$2)</f>
        <v>0</v>
      </c>
      <c r="AT61" s="379">
        <f>SUMIFS(BS_RE33!$H$7:$H$874,BS_RE33!$S$7:$S$874,$AT$2,BS_RE33!$N$7:$N$874,I61,BS_RE33!$P$7:$P$874,'30 days CF Table(EUR)'!G61,BS_RE33!$F$7:$F$874,'30 days CF Table(EUR)'!$C$2)</f>
        <v>0</v>
      </c>
      <c r="AU61" s="379">
        <f>SUMIFS(BS_RE33!$H$7:$H$874,BS_RE33!$S$7:$S$874,$AU$2,BS_RE33!$N$7:$N$874,I61,BS_RE33!$P$7:$P$874,'30 days CF Table(EUR)'!G61,BS_RE33!$F$7:$F$874,'30 days CF Table(EUR)'!$C$2)</f>
        <v>0</v>
      </c>
      <c r="AV61" s="379">
        <f>SUMIFS(BS_RE33!$H$7:$H$874,BS_RE33!$S$7:$S$874,$AV$2,BS_RE33!$N$7:$N$874,I61,BS_RE33!$P$7:$P$874,'30 days CF Table(EUR)'!G61,BS_RE33!$F$7:$F$874,'30 days CF Table(EUR)'!$C$2)</f>
        <v>0</v>
      </c>
      <c r="AW61" s="379">
        <f>SUMIFS(BS_RE33!$H$7:$H$874,BS_RE33!$S$7:$S$874,$AW$2,BS_RE33!$N$7:$N$874,I61,BS_RE33!$P$7:$P$874,'30 days CF Table(EUR)'!G61,BS_RE33!$F$7:$F$874,'30 days CF Table(EUR)'!$C$2)</f>
        <v>0</v>
      </c>
      <c r="AX61" s="379">
        <f>SUMIFS(BS_RE33!$H$7:$H$874,BS_RE33!$S$7:$S$874,$AX$2,BS_RE33!$N$7:$N$874,I61,BS_RE33!$P$7:$P$874,'30 days CF Table(EUR)'!G61,BS_RE33!$F$7:$F$874,'30 days CF Table(EUR)'!$C$2)</f>
        <v>0</v>
      </c>
      <c r="AY61" s="379">
        <f>SUMIFS(BS_RE33!$H$7:$H$874,BS_RE33!$S$7:$S$874,$AY$2,BS_RE33!$N$7:$N$874,I61,BS_RE33!$P$7:$P$874,'30 days CF Table(EUR)'!G61,BS_RE33!$F$7:$F$874,'30 days CF Table(EUR)'!$C$2)</f>
        <v>0</v>
      </c>
      <c r="AZ61" s="379">
        <f>SUMIFS(BS_RE33!$H$7:$H$874,BS_RE33!$S$7:$S$874,$AZ$2,BS_RE33!$N$7:$N$874,I61,BS_RE33!$P$7:$P$874,'30 days CF Table(EUR)'!G61,BS_RE33!$F$7:$F$874,'30 days CF Table(EUR)'!$C$2)</f>
        <v>0</v>
      </c>
      <c r="BA61" s="379">
        <f>SUMIFS(BS_RE33!$H$7:$H$874,BS_RE33!$S$7:$S$874,$BA$2,BS_RE33!$N$7:$N$874,I61,BS_RE33!$P$7:$P$874,'30 days CF Table(EUR)'!G61,BS_RE33!$F$7:$F$874,'30 days CF Table(EUR)'!$C$2)</f>
        <v>0</v>
      </c>
      <c r="BB61" s="379">
        <f>SUMIFS(BS_RE33!$H$7:$H$874,BS_RE33!$S$7:$S$874,$BB$2,BS_RE33!$N$7:$N$874,I61,BS_RE33!$P$7:$P$874,'30 days CF Table(EUR)'!G61,BS_RE33!$F$7:$F$874,'30 days CF Table(EUR)'!$C$2)</f>
        <v>0</v>
      </c>
      <c r="BC61" s="379">
        <f>SUMIFS(BS_RE33!$H$7:$H$874,BS_RE33!$S$7:$S$874,$BC$2,BS_RE33!$N$7:$N$874,I61,BS_RE33!$P$7:$P$874,'30 days CF Table(EUR)'!G61,BS_RE33!$F$7:$F$874,'30 days CF Table(EUR)'!$C$2)</f>
        <v>0</v>
      </c>
      <c r="BD61" s="379">
        <f>SUMIFS(BS_RE33!$H$7:$H$874,BS_RE33!$S$7:$S$874,$BD$2,BS_RE33!$N$7:$N$874,I61,BS_RE33!$P$7:$P$874,'30 days CF Table(EUR)'!G61,BS_RE33!$F$7:$F$874,'30 days CF Table(EUR)'!$C$2)</f>
        <v>0</v>
      </c>
      <c r="BE61" s="379">
        <f>SUMIFS(BS_RE33!$H$7:$H$874,BS_RE33!$S$7:$S$874,$BE$2,BS_RE33!$N$7:$N$874,I61,BS_RE33!$P$7:$P$874,'30 days CF Table(EUR)'!G61,BS_RE33!$F$7:$F$874,'30 days CF Table(EUR)'!$C$2)</f>
        <v>0</v>
      </c>
      <c r="BF61" s="379">
        <f>SUMIFS(BS_RE33!$H$7:$H$874,BS_RE33!$S$7:$S$874,$BF$2,BS_RE33!$N$7:$N$874,I61,BS_RE33!$P$7:$P$874,'30 days CF Table(EUR)'!G61,BS_RE33!$F$7:$F$874,'30 days CF Table(EUR)'!$C$2)</f>
        <v>0</v>
      </c>
      <c r="BG61" s="379">
        <f>SUMIFS(BS_RE33!$H$7:$H$874,BS_RE33!$S$7:$S$874,$BG$2,BS_RE33!$N$7:$N$874,I61,BS_RE33!$P$7:$P$874,'30 days CF Table(EUR)'!G61,BS_RE33!$F$7:$F$874,'30 days CF Table(EUR)'!$C$2)</f>
        <v>0</v>
      </c>
      <c r="BH61" s="379">
        <f>SUMIFS(BS_RE33!$H$7:$H$874,BS_RE33!$S$7:$S$874,$BH$2,BS_RE33!$N$7:$N$874,I61,BS_RE33!$P$7:$P$874,'30 days CF Table(EUR)'!G61,BS_RE33!$F$7:$F$874,'30 days CF Table(EUR)'!$C$2)</f>
        <v>0</v>
      </c>
      <c r="BI61" s="379">
        <f>SUMIFS(BS_RE33!$H$7:$H$874,BS_RE33!$S$7:$S$874,$BI$2,BS_RE33!$N$7:$N$874,I61,BS_RE33!$P$7:$P$874,'30 days CF Table(EUR)'!G61,BS_RE33!$F$7:$F$874,'30 days CF Table(EUR)'!$C$2)</f>
        <v>0</v>
      </c>
      <c r="BJ61" s="379">
        <f>SUMIFS(BS_RE33!$H$7:$H$874,BS_RE33!$S$7:$S$874,$BJ$2,BS_RE33!$N$7:$N$874,I61,BS_RE33!$P$7:$P$874,'30 days CF Table(EUR)'!G61,BS_RE33!$F$7:$F$874,'30 days CF Table(EUR)'!$C$2)</f>
        <v>0</v>
      </c>
      <c r="BK61" s="379">
        <f>SUMIFS(BS_RE33!$H$7:$H$874,BS_RE33!$S$7:$S$874,$BK$2,BS_RE33!$N$7:$N$874,I61,BS_RE33!$P$7:$P$874,'30 days CF Table(EUR)'!G61,BS_RE33!$F$7:$F$874,'30 days CF Table(EUR)'!$C$2)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Table(EUR)'!G62,BS_RE33!$F$7:$F$874,'30 days CF Table(EUR)'!$C$2)</f>
        <v>0</v>
      </c>
      <c r="M62" s="337">
        <f>SUMIFS(BS_RE33!$H$7:$H$874,BS_RE33!$S$7:$S$874,$M$2,BS_RE33!$N$7:$N$874,I62,BS_RE33!$P$7:$P$874,'30 days CF Table(EUR)'!G62,BS_RE33!$F$7:$F$874,'30 days CF Table(EUR)'!$C$2)</f>
        <v>0</v>
      </c>
      <c r="N62" s="337">
        <f>SUMIFS(BS_RE33!$H$7:$H$874,BS_RE33!$S$7:$S$874,$N$2,BS_RE33!$N$7:$N$874,I62,BS_RE33!$P$7:$P$874,'30 days CF Table(EUR)'!G62,BS_RE33!$F$7:$F$874,'30 days CF Table(EUR)'!$C$2)</f>
        <v>0</v>
      </c>
      <c r="O62" s="337">
        <f>SUMIFS(BS_RE33!$H$7:$H$874,BS_RE33!$S$7:$S$874,$O$2,BS_RE33!$N$7:$N$874,I62,BS_RE33!$P$7:$P$874,'30 days CF Table(EUR)'!G62,BS_RE33!$F$7:$F$874,'30 days CF Table(EUR)'!$C$2)</f>
        <v>0</v>
      </c>
      <c r="P62" s="337">
        <f>SUMIFS(BS_RE33!$H$7:$H$874,BS_RE33!$S$7:$S$874,$P$2,BS_RE33!$N$7:$N$874,I62,BS_RE33!$P$7:$P$874,'30 days CF Table(EUR)'!G62,BS_RE33!$F$7:$F$874,'30 days CF Table(EUR)'!$C$2)</f>
        <v>0</v>
      </c>
      <c r="Q62" s="337">
        <f>SUMIFS(BS_RE33!$H$7:$H$874,BS_RE33!$S$7:$S$874,$Q$2,BS_RE33!$N$7:$N$874,I62,BS_RE33!$P$7:$P$874,'30 days CF Table(EUR)'!G62,BS_RE33!$F$7:$F$874,'30 days CF Table(EUR)'!$C$2)</f>
        <v>0</v>
      </c>
      <c r="R62" s="337">
        <f>SUMIFS(BS_RE33!$H$7:$H$874,BS_RE33!$S$7:$S$874,$R$2,BS_RE33!$N$7:$N$874,I62,BS_RE33!$P$7:$P$874,'30 days CF Table(EUR)'!G62,BS_RE33!$F$7:$F$874,'30 days CF Table(EUR)'!$C$2)</f>
        <v>0</v>
      </c>
      <c r="S62" s="337">
        <f>SUMIFS(BS_RE33!$H$7:$H$874,BS_RE33!$S$7:$S$874,$S$2,BS_RE33!$N$7:$N$874,I62,BS_RE33!$P$7:$P$874,'30 days CF Table(EUR)'!G62,BS_RE33!$F$7:$F$874,'30 days CF Table(EUR)'!$C$2)</f>
        <v>0</v>
      </c>
      <c r="T62" s="337">
        <f>SUMIFS(BS_RE33!$H$7:$H$874,BS_RE33!$S$7:$S$874,$T$2,BS_RE33!$N$7:$N$874,I62,BS_RE33!$P$7:$P$874,'30 days CF Table(EUR)'!G62,BS_RE33!$F$7:$F$874,'30 days CF Table(EUR)'!$C$2)</f>
        <v>0</v>
      </c>
      <c r="U62" s="337">
        <f>SUMIFS(BS_RE33!$H$7:$H$874,BS_RE33!$S$7:$S$874,$U$2,BS_RE33!$N$7:$N$874,I62,BS_RE33!$P$7:$P$874,'30 days CF Table(EUR)'!G62,BS_RE33!$F$7:$F$874,'30 days CF Table(EUR)'!$C$2)</f>
        <v>0</v>
      </c>
      <c r="V62" s="337">
        <f>SUMIFS(BS_RE33!$H$7:$H$874,BS_RE33!$S$7:$S$874,$V$2,BS_RE33!$N$7:$N$874,I62,BS_RE33!$P$7:$P$874,'30 days CF Table(EUR)'!G62,BS_RE33!$F$7:$F$874,'30 days CF Table(EUR)'!$C$2)</f>
        <v>0</v>
      </c>
      <c r="W62" s="337">
        <f>SUMIFS(BS_RE33!$H$7:$H$874,BS_RE33!$S$7:$S$874,$W$2,BS_RE33!$N$7:$N$874,I62,BS_RE33!$P$7:$P$874,'30 days CF Table(EUR)'!G62,BS_RE33!$F$7:$F$874,'30 days CF Table(EUR)'!$C$2)</f>
        <v>0</v>
      </c>
      <c r="X62" s="337">
        <f>SUMIFS(BS_RE33!$H$7:$H$874,BS_RE33!$S$7:$S$874,$X$2,BS_RE33!$N$7:$N$874,I62,BS_RE33!$P$7:$P$874,'30 days CF Table(EUR)'!G62,BS_RE33!$F$7:$F$874,'30 days CF Table(EUR)'!$C$2)</f>
        <v>0</v>
      </c>
      <c r="Y62" s="337">
        <f>SUMIFS(BS_RE33!$H$7:$H$874,BS_RE33!$S$7:$S$874,$Y$2,BS_RE33!$N$7:$N$874,I62,BS_RE33!$P$7:$P$874,'30 days CF Table(EUR)'!G62,BS_RE33!$F$7:$F$874,'30 days CF Table(EUR)'!$C$2)</f>
        <v>0</v>
      </c>
      <c r="Z62" s="337">
        <f>SUMIFS(BS_RE33!$H$7:$H$874,BS_RE33!$S$7:$S$874,$Z$2,BS_RE33!$N$7:$N$874,I62,BS_RE33!$P$7:$P$874,'30 days CF Table(EUR)'!G62,BS_RE33!$F$7:$F$874,'30 days CF Table(EUR)'!$C$2)</f>
        <v>0</v>
      </c>
      <c r="AA62" s="337">
        <f>SUMIFS(BS_RE33!$H$7:$H$874,BS_RE33!$S$7:$S$874,$AA$2,BS_RE33!$N$7:$N$874,I62,BS_RE33!$P$7:$P$874,'30 days CF Table(EUR)'!G62,BS_RE33!$F$7:$F$874,'30 days CF Table(EUR)'!$C$2)</f>
        <v>0</v>
      </c>
      <c r="AB62" s="337">
        <f>SUMIFS(BS_RE33!$H$7:$H$874,BS_RE33!$S$7:$S$874,$AB$2,BS_RE33!$N$7:$N$874,I62,BS_RE33!$P$7:$P$874,'30 days CF Table(EUR)'!G62,BS_RE33!$F$7:$F$874,'30 days CF Table(EUR)'!$C$2)</f>
        <v>0</v>
      </c>
      <c r="AC62" s="337">
        <f>SUMIFS(BS_RE33!$H$7:$H$874,BS_RE33!$S$7:$S$874,$AC$2,BS_RE33!$N$7:$N$874,I62,BS_RE33!$P$7:$P$874,'30 days CF Table(EUR)'!G62,BS_RE33!$F$7:$F$874,'30 days CF Table(EUR)'!$C$2)</f>
        <v>0</v>
      </c>
      <c r="AD62" s="337">
        <f>SUMIFS(BS_RE33!$H$7:$H$874,BS_RE33!$S$7:$S$874,$AD$2,BS_RE33!$N$7:$N$874,I62,BS_RE33!$P$7:$P$874,'30 days CF Table(EUR)'!G62,BS_RE33!$F$7:$F$874,'30 days CF Table(EUR)'!$C$2)</f>
        <v>0</v>
      </c>
      <c r="AE62" s="337">
        <f>SUMIFS(BS_RE33!$H$7:$H$874,BS_RE33!$S$7:$S$874,$AE$2,BS_RE33!$N$7:$N$874,I62,BS_RE33!$P$7:$P$874,'30 days CF Table(EUR)'!G62,BS_RE33!$F$7:$F$874,'30 days CF Table(EUR)'!$C$2)</f>
        <v>0</v>
      </c>
      <c r="AF62" s="337">
        <f>SUMIFS(BS_RE33!$H$7:$H$874,BS_RE33!$S$7:$S$874,$AF$2,BS_RE33!$N$7:$N$874,I62,BS_RE33!$P$7:$P$874,'30 days CF Table(EUR)'!G62,BS_RE33!$F$7:$F$874,'30 days CF Table(EUR)'!$C$2)</f>
        <v>0</v>
      </c>
      <c r="AG62" s="337">
        <f>SUMIFS(BS_RE33!$H$7:$H$874,BS_RE33!$S$7:$S$874,$AG$2,BS_RE33!$N$7:$N$874,I62,BS_RE33!$P$7:$P$874,'30 days CF Table(EUR)'!G62,BS_RE33!$F$7:$F$874,'30 days CF Table(EUR)'!$C$2)</f>
        <v>0</v>
      </c>
      <c r="AH62" s="337">
        <f>SUMIFS(BS_RE33!$H$7:$H$874,BS_RE33!$S$7:$S$874,$AH$2,BS_RE33!$N$7:$N$874,I62,BS_RE33!$P$7:$P$874,'30 days CF Table(EUR)'!G62,BS_RE33!$F$7:$F$874,'30 days CF Table(EUR)'!$C$2)</f>
        <v>0</v>
      </c>
      <c r="AI62" s="337">
        <f>SUMIFS(BS_RE33!$H$7:$H$874,BS_RE33!$S$7:$S$874,$AI$2,BS_RE33!$N$7:$N$874,I62,BS_RE33!$P$7:$P$874,'30 days CF Table(EUR)'!G62,BS_RE33!$F$7:$F$874,'30 days CF Table(EUR)'!$C$2)</f>
        <v>0</v>
      </c>
      <c r="AJ62" s="337">
        <f>SUMIFS(BS_RE33!$H$7:$H$874,BS_RE33!$S$7:$S$874,$AJ$2,BS_RE33!$N$7:$N$874,I62,BS_RE33!$P$7:$P$874,'30 days CF Table(EUR)'!G62,BS_RE33!$F$7:$F$874,'30 days CF Table(EUR)'!$C$2)</f>
        <v>0</v>
      </c>
      <c r="AK62" s="337">
        <f>SUMIFS(BS_RE33!$H$7:$H$874,BS_RE33!$S$7:$S$874,$AK$2,BS_RE33!$N$7:$N$874,I62,BS_RE33!$P$7:$P$874,'30 days CF Table(EUR)'!G62,BS_RE33!$F$7:$F$874,'30 days CF Table(EUR)'!$C$2)</f>
        <v>0</v>
      </c>
      <c r="AL62" s="337">
        <f>SUMIFS(BS_RE33!$H$7:$H$874,BS_RE33!$S$7:$S$874,$AL$2,BS_RE33!$N$7:$N$874,I62,BS_RE33!$P$7:$P$874,'30 days CF Table(EUR)'!G62,BS_RE33!$F$7:$F$874,'30 days CF Table(EUR)'!$C$2)</f>
        <v>0</v>
      </c>
      <c r="AM62" s="337">
        <f>SUMIFS(BS_RE33!$H$7:$H$874,BS_RE33!$S$7:$S$874,$AM$2,BS_RE33!$N$7:$N$874,I62,BS_RE33!$P$7:$P$874,'30 days CF Table(EUR)'!G62,BS_RE33!$F$7:$F$874,'30 days CF Table(EUR)'!$C$2)</f>
        <v>0</v>
      </c>
      <c r="AN62" s="337">
        <f>SUMIFS(BS_RE33!$H$7:$H$874,BS_RE33!$S$7:$S$874,$AN$2,BS_RE33!$N$7:$N$874,I62,BS_RE33!$P$7:$P$874,'30 days CF Table(EUR)'!G62,BS_RE33!$F$7:$F$874,'30 days CF Table(EUR)'!$C$2)</f>
        <v>0</v>
      </c>
      <c r="AO62" s="337">
        <f>SUMIFS(BS_RE33!$H$7:$H$874,BS_RE33!$S$7:$S$874,$AO$2,BS_RE33!$N$7:$N$874,I62,BS_RE33!$P$7:$P$874,'30 days CF Table(EUR)'!G62,BS_RE33!$F$7:$F$874,'30 days CF Table(EUR)'!$C$2)</f>
        <v>0</v>
      </c>
      <c r="AP62" s="338">
        <f>SUMIFS(BS_RE33!$H$7:$H$874,BS_RE33!$S$7:$S$874,$AP$2,BS_RE33!$N$7:$N$874,I62,BS_RE33!$P$7:$P$874,'30 days CF Table(EUR)'!G62,BS_RE33!$F$7:$F$874,'30 days CF Table(EUR)'!$C$2)</f>
        <v>0</v>
      </c>
      <c r="AR62" s="379">
        <f>SUMIFS(BS_RE33!$H$7:$H$874,BS_RE33!$S$7:$S$874,$AR$2,BS_RE33!$N$7:$N$874,I62,BS_RE33!$P$7:$P$874,'30 days CF Table(EUR)'!G62,BS_RE33!$F$7:$F$874,'30 days CF Table(EUR)'!$C$2)</f>
        <v>0</v>
      </c>
      <c r="AS62" s="379">
        <f>SUMIFS(BS_RE33!$H$7:$H$874,BS_RE33!$S$7:$S$874,$AS$2,BS_RE33!$N$7:$N$874,I62,BS_RE33!$P$7:$P$874,'30 days CF Table(EUR)'!G62,BS_RE33!$F$7:$F$874,'30 days CF Table(EUR)'!$C$2)</f>
        <v>0</v>
      </c>
      <c r="AT62" s="379">
        <f>SUMIFS(BS_RE33!$H$7:$H$874,BS_RE33!$S$7:$S$874,$AT$2,BS_RE33!$N$7:$N$874,I62,BS_RE33!$P$7:$P$874,'30 days CF Table(EUR)'!G62,BS_RE33!$F$7:$F$874,'30 days CF Table(EUR)'!$C$2)</f>
        <v>0</v>
      </c>
      <c r="AU62" s="379">
        <f>SUMIFS(BS_RE33!$H$7:$H$874,BS_RE33!$S$7:$S$874,$AU$2,BS_RE33!$N$7:$N$874,I62,BS_RE33!$P$7:$P$874,'30 days CF Table(EUR)'!G62,BS_RE33!$F$7:$F$874,'30 days CF Table(EUR)'!$C$2)</f>
        <v>0</v>
      </c>
      <c r="AV62" s="379">
        <f>SUMIFS(BS_RE33!$H$7:$H$874,BS_RE33!$S$7:$S$874,$AV$2,BS_RE33!$N$7:$N$874,I62,BS_RE33!$P$7:$P$874,'30 days CF Table(EUR)'!G62,BS_RE33!$F$7:$F$874,'30 days CF Table(EUR)'!$C$2)</f>
        <v>0</v>
      </c>
      <c r="AW62" s="379">
        <f>SUMIFS(BS_RE33!$H$7:$H$874,BS_RE33!$S$7:$S$874,$AW$2,BS_RE33!$N$7:$N$874,I62,BS_RE33!$P$7:$P$874,'30 days CF Table(EUR)'!G62,BS_RE33!$F$7:$F$874,'30 days CF Table(EUR)'!$C$2)</f>
        <v>0</v>
      </c>
      <c r="AX62" s="379">
        <f>SUMIFS(BS_RE33!$H$7:$H$874,BS_RE33!$S$7:$S$874,$AX$2,BS_RE33!$N$7:$N$874,I62,BS_RE33!$P$7:$P$874,'30 days CF Table(EUR)'!G62,BS_RE33!$F$7:$F$874,'30 days CF Table(EUR)'!$C$2)</f>
        <v>0</v>
      </c>
      <c r="AY62" s="379">
        <f>SUMIFS(BS_RE33!$H$7:$H$874,BS_RE33!$S$7:$S$874,$AY$2,BS_RE33!$N$7:$N$874,I62,BS_RE33!$P$7:$P$874,'30 days CF Table(EUR)'!G62,BS_RE33!$F$7:$F$874,'30 days CF Table(EUR)'!$C$2)</f>
        <v>0</v>
      </c>
      <c r="AZ62" s="379">
        <f>SUMIFS(BS_RE33!$H$7:$H$874,BS_RE33!$S$7:$S$874,$AZ$2,BS_RE33!$N$7:$N$874,I62,BS_RE33!$P$7:$P$874,'30 days CF Table(EUR)'!G62,BS_RE33!$F$7:$F$874,'30 days CF Table(EUR)'!$C$2)</f>
        <v>0</v>
      </c>
      <c r="BA62" s="379">
        <f>SUMIFS(BS_RE33!$H$7:$H$874,BS_RE33!$S$7:$S$874,$BA$2,BS_RE33!$N$7:$N$874,I62,BS_RE33!$P$7:$P$874,'30 days CF Table(EUR)'!G62,BS_RE33!$F$7:$F$874,'30 days CF Table(EUR)'!$C$2)</f>
        <v>0</v>
      </c>
      <c r="BB62" s="379">
        <f>SUMIFS(BS_RE33!$H$7:$H$874,BS_RE33!$S$7:$S$874,$BB$2,BS_RE33!$N$7:$N$874,I62,BS_RE33!$P$7:$P$874,'30 days CF Table(EUR)'!G62,BS_RE33!$F$7:$F$874,'30 days CF Table(EUR)'!$C$2)</f>
        <v>0</v>
      </c>
      <c r="BC62" s="379">
        <f>SUMIFS(BS_RE33!$H$7:$H$874,BS_RE33!$S$7:$S$874,$BC$2,BS_RE33!$N$7:$N$874,I62,BS_RE33!$P$7:$P$874,'30 days CF Table(EUR)'!G62,BS_RE33!$F$7:$F$874,'30 days CF Table(EUR)'!$C$2)</f>
        <v>0</v>
      </c>
      <c r="BD62" s="379">
        <f>SUMIFS(BS_RE33!$H$7:$H$874,BS_RE33!$S$7:$S$874,$BD$2,BS_RE33!$N$7:$N$874,I62,BS_RE33!$P$7:$P$874,'30 days CF Table(EUR)'!G62,BS_RE33!$F$7:$F$874,'30 days CF Table(EUR)'!$C$2)</f>
        <v>0</v>
      </c>
      <c r="BE62" s="379">
        <f>SUMIFS(BS_RE33!$H$7:$H$874,BS_RE33!$S$7:$S$874,$BE$2,BS_RE33!$N$7:$N$874,I62,BS_RE33!$P$7:$P$874,'30 days CF Table(EUR)'!G62,BS_RE33!$F$7:$F$874,'30 days CF Table(EUR)'!$C$2)</f>
        <v>0</v>
      </c>
      <c r="BF62" s="379">
        <f>SUMIFS(BS_RE33!$H$7:$H$874,BS_RE33!$S$7:$S$874,$BF$2,BS_RE33!$N$7:$N$874,I62,BS_RE33!$P$7:$P$874,'30 days CF Table(EUR)'!G62,BS_RE33!$F$7:$F$874,'30 days CF Table(EUR)'!$C$2)</f>
        <v>0</v>
      </c>
      <c r="BG62" s="379">
        <f>SUMIFS(BS_RE33!$H$7:$H$874,BS_RE33!$S$7:$S$874,$BG$2,BS_RE33!$N$7:$N$874,I62,BS_RE33!$P$7:$P$874,'30 days CF Table(EUR)'!G62,BS_RE33!$F$7:$F$874,'30 days CF Table(EUR)'!$C$2)</f>
        <v>0</v>
      </c>
      <c r="BH62" s="379">
        <f>SUMIFS(BS_RE33!$H$7:$H$874,BS_RE33!$S$7:$S$874,$BH$2,BS_RE33!$N$7:$N$874,I62,BS_RE33!$P$7:$P$874,'30 days CF Table(EUR)'!G62,BS_RE33!$F$7:$F$874,'30 days CF Table(EUR)'!$C$2)</f>
        <v>0</v>
      </c>
      <c r="BI62" s="379">
        <f>SUMIFS(BS_RE33!$H$7:$H$874,BS_RE33!$S$7:$S$874,$BI$2,BS_RE33!$N$7:$N$874,I62,BS_RE33!$P$7:$P$874,'30 days CF Table(EUR)'!G62,BS_RE33!$F$7:$F$874,'30 days CF Table(EUR)'!$C$2)</f>
        <v>0</v>
      </c>
      <c r="BJ62" s="379">
        <f>SUMIFS(BS_RE33!$H$7:$H$874,BS_RE33!$S$7:$S$874,$BJ$2,BS_RE33!$N$7:$N$874,I62,BS_RE33!$P$7:$P$874,'30 days CF Table(EUR)'!G62,BS_RE33!$F$7:$F$874,'30 days CF Table(EUR)'!$C$2)</f>
        <v>0</v>
      </c>
      <c r="BK62" s="379">
        <f>SUMIFS(BS_RE33!$H$7:$H$874,BS_RE33!$S$7:$S$874,$BK$2,BS_RE33!$N$7:$N$874,I62,BS_RE33!$P$7:$P$874,'30 days CF Table(EUR)'!G62,BS_RE33!$F$7:$F$874,'30 days CF Table(EUR)'!$C$2)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Table(EUR)'!G63,BS_RE33!$F$7:$F$874,'30 days CF Table(EUR)'!$C$2)</f>
        <v>0</v>
      </c>
      <c r="M63" s="337">
        <f>SUMIFS(BS_RE33!$H$7:$H$874,BS_RE33!$S$7:$S$874,$M$2,BS_RE33!$N$7:$N$874,I63,BS_RE33!$P$7:$P$874,'30 days CF Table(EUR)'!G63,BS_RE33!$F$7:$F$874,'30 days CF Table(EUR)'!$C$2)</f>
        <v>0</v>
      </c>
      <c r="N63" s="337">
        <f>SUMIFS(BS_RE33!$H$7:$H$874,BS_RE33!$S$7:$S$874,$N$2,BS_RE33!$N$7:$N$874,I63,BS_RE33!$P$7:$P$874,'30 days CF Table(EUR)'!G63,BS_RE33!$F$7:$F$874,'30 days CF Table(EUR)'!$C$2)</f>
        <v>0</v>
      </c>
      <c r="O63" s="337">
        <f>SUMIFS(BS_RE33!$H$7:$H$874,BS_RE33!$S$7:$S$874,$O$2,BS_RE33!$N$7:$N$874,I63,BS_RE33!$P$7:$P$874,'30 days CF Table(EUR)'!G63,BS_RE33!$F$7:$F$874,'30 days CF Table(EUR)'!$C$2)</f>
        <v>0</v>
      </c>
      <c r="P63" s="337">
        <f>SUMIFS(BS_RE33!$H$7:$H$874,BS_RE33!$S$7:$S$874,$P$2,BS_RE33!$N$7:$N$874,I63,BS_RE33!$P$7:$P$874,'30 days CF Table(EUR)'!G63,BS_RE33!$F$7:$F$874,'30 days CF Table(EUR)'!$C$2)</f>
        <v>0</v>
      </c>
      <c r="Q63" s="337">
        <f>SUMIFS(BS_RE33!$H$7:$H$874,BS_RE33!$S$7:$S$874,$Q$2,BS_RE33!$N$7:$N$874,I63,BS_RE33!$P$7:$P$874,'30 days CF Table(EUR)'!G63,BS_RE33!$F$7:$F$874,'30 days CF Table(EUR)'!$C$2)</f>
        <v>0</v>
      </c>
      <c r="R63" s="337">
        <f>SUMIFS(BS_RE33!$H$7:$H$874,BS_RE33!$S$7:$S$874,$R$2,BS_RE33!$N$7:$N$874,I63,BS_RE33!$P$7:$P$874,'30 days CF Table(EUR)'!G63,BS_RE33!$F$7:$F$874,'30 days CF Table(EUR)'!$C$2)</f>
        <v>0</v>
      </c>
      <c r="S63" s="337">
        <f>SUMIFS(BS_RE33!$H$7:$H$874,BS_RE33!$S$7:$S$874,$S$2,BS_RE33!$N$7:$N$874,I63,BS_RE33!$P$7:$P$874,'30 days CF Table(EUR)'!G63,BS_RE33!$F$7:$F$874,'30 days CF Table(EUR)'!$C$2)</f>
        <v>0</v>
      </c>
      <c r="T63" s="337">
        <f>SUMIFS(BS_RE33!$H$7:$H$874,BS_RE33!$S$7:$S$874,$T$2,BS_RE33!$N$7:$N$874,I63,BS_RE33!$P$7:$P$874,'30 days CF Table(EUR)'!G63,BS_RE33!$F$7:$F$874,'30 days CF Table(EUR)'!$C$2)</f>
        <v>0</v>
      </c>
      <c r="U63" s="337">
        <f>SUMIFS(BS_RE33!$H$7:$H$874,BS_RE33!$S$7:$S$874,$U$2,BS_RE33!$N$7:$N$874,I63,BS_RE33!$P$7:$P$874,'30 days CF Table(EUR)'!G63,BS_RE33!$F$7:$F$874,'30 days CF Table(EUR)'!$C$2)</f>
        <v>0</v>
      </c>
      <c r="V63" s="337">
        <f>SUMIFS(BS_RE33!$H$7:$H$874,BS_RE33!$S$7:$S$874,$V$2,BS_RE33!$N$7:$N$874,I63,BS_RE33!$P$7:$P$874,'30 days CF Table(EUR)'!G63,BS_RE33!$F$7:$F$874,'30 days CF Table(EUR)'!$C$2)</f>
        <v>0</v>
      </c>
      <c r="W63" s="337">
        <f>SUMIFS(BS_RE33!$H$7:$H$874,BS_RE33!$S$7:$S$874,$W$2,BS_RE33!$N$7:$N$874,I63,BS_RE33!$P$7:$P$874,'30 days CF Table(EUR)'!G63,BS_RE33!$F$7:$F$874,'30 days CF Table(EUR)'!$C$2)</f>
        <v>0</v>
      </c>
      <c r="X63" s="337">
        <f>SUMIFS(BS_RE33!$H$7:$H$874,BS_RE33!$S$7:$S$874,$X$2,BS_RE33!$N$7:$N$874,I63,BS_RE33!$P$7:$P$874,'30 days CF Table(EUR)'!G63,BS_RE33!$F$7:$F$874,'30 days CF Table(EUR)'!$C$2)</f>
        <v>0</v>
      </c>
      <c r="Y63" s="337">
        <f>SUMIFS(BS_RE33!$H$7:$H$874,BS_RE33!$S$7:$S$874,$Y$2,BS_RE33!$N$7:$N$874,I63,BS_RE33!$P$7:$P$874,'30 days CF Table(EUR)'!G63,BS_RE33!$F$7:$F$874,'30 days CF Table(EUR)'!$C$2)</f>
        <v>0</v>
      </c>
      <c r="Z63" s="337">
        <f>SUMIFS(BS_RE33!$H$7:$H$874,BS_RE33!$S$7:$S$874,$Z$2,BS_RE33!$N$7:$N$874,I63,BS_RE33!$P$7:$P$874,'30 days CF Table(EUR)'!G63,BS_RE33!$F$7:$F$874,'30 days CF Table(EUR)'!$C$2)</f>
        <v>0</v>
      </c>
      <c r="AA63" s="337">
        <f>SUMIFS(BS_RE33!$H$7:$H$874,BS_RE33!$S$7:$S$874,$AA$2,BS_RE33!$N$7:$N$874,I63,BS_RE33!$P$7:$P$874,'30 days CF Table(EUR)'!G63,BS_RE33!$F$7:$F$874,'30 days CF Table(EUR)'!$C$2)</f>
        <v>0</v>
      </c>
      <c r="AB63" s="337">
        <f>SUMIFS(BS_RE33!$H$7:$H$874,BS_RE33!$S$7:$S$874,$AB$2,BS_RE33!$N$7:$N$874,I63,BS_RE33!$P$7:$P$874,'30 days CF Table(EUR)'!G63,BS_RE33!$F$7:$F$874,'30 days CF Table(EUR)'!$C$2)</f>
        <v>0</v>
      </c>
      <c r="AC63" s="337">
        <f>SUMIFS(BS_RE33!$H$7:$H$874,BS_RE33!$S$7:$S$874,$AC$2,BS_RE33!$N$7:$N$874,I63,BS_RE33!$P$7:$P$874,'30 days CF Table(EUR)'!G63,BS_RE33!$F$7:$F$874,'30 days CF Table(EUR)'!$C$2)</f>
        <v>0</v>
      </c>
      <c r="AD63" s="337">
        <f>SUMIFS(BS_RE33!$H$7:$H$874,BS_RE33!$S$7:$S$874,$AD$2,BS_RE33!$N$7:$N$874,I63,BS_RE33!$P$7:$P$874,'30 days CF Table(EUR)'!G63,BS_RE33!$F$7:$F$874,'30 days CF Table(EUR)'!$C$2)</f>
        <v>0</v>
      </c>
      <c r="AE63" s="337">
        <f>SUMIFS(BS_RE33!$H$7:$H$874,BS_RE33!$S$7:$S$874,$AE$2,BS_RE33!$N$7:$N$874,I63,BS_RE33!$P$7:$P$874,'30 days CF Table(EUR)'!G63,BS_RE33!$F$7:$F$874,'30 days CF Table(EUR)'!$C$2)</f>
        <v>0</v>
      </c>
      <c r="AF63" s="337">
        <f>SUMIFS(BS_RE33!$H$7:$H$874,BS_RE33!$S$7:$S$874,$AF$2,BS_RE33!$N$7:$N$874,I63,BS_RE33!$P$7:$P$874,'30 days CF Table(EUR)'!G63,BS_RE33!$F$7:$F$874,'30 days CF Table(EUR)'!$C$2)</f>
        <v>0</v>
      </c>
      <c r="AG63" s="337">
        <f>SUMIFS(BS_RE33!$H$7:$H$874,BS_RE33!$S$7:$S$874,$AG$2,BS_RE33!$N$7:$N$874,I63,BS_RE33!$P$7:$P$874,'30 days CF Table(EUR)'!G63,BS_RE33!$F$7:$F$874,'30 days CF Table(EUR)'!$C$2)</f>
        <v>0</v>
      </c>
      <c r="AH63" s="337">
        <f>SUMIFS(BS_RE33!$H$7:$H$874,BS_RE33!$S$7:$S$874,$AH$2,BS_RE33!$N$7:$N$874,I63,BS_RE33!$P$7:$P$874,'30 days CF Table(EUR)'!G63,BS_RE33!$F$7:$F$874,'30 days CF Table(EUR)'!$C$2)</f>
        <v>0</v>
      </c>
      <c r="AI63" s="337">
        <f>SUMIFS(BS_RE33!$H$7:$H$874,BS_RE33!$S$7:$S$874,$AI$2,BS_RE33!$N$7:$N$874,I63,BS_RE33!$P$7:$P$874,'30 days CF Table(EUR)'!G63,BS_RE33!$F$7:$F$874,'30 days CF Table(EUR)'!$C$2)</f>
        <v>0</v>
      </c>
      <c r="AJ63" s="337">
        <f>SUMIFS(BS_RE33!$H$7:$H$874,BS_RE33!$S$7:$S$874,$AJ$2,BS_RE33!$N$7:$N$874,I63,BS_RE33!$P$7:$P$874,'30 days CF Table(EUR)'!G63,BS_RE33!$F$7:$F$874,'30 days CF Table(EUR)'!$C$2)</f>
        <v>0</v>
      </c>
      <c r="AK63" s="337">
        <f>SUMIFS(BS_RE33!$H$7:$H$874,BS_RE33!$S$7:$S$874,$AK$2,BS_RE33!$N$7:$N$874,I63,BS_RE33!$P$7:$P$874,'30 days CF Table(EUR)'!G63,BS_RE33!$F$7:$F$874,'30 days CF Table(EUR)'!$C$2)</f>
        <v>0</v>
      </c>
      <c r="AL63" s="337">
        <f>SUMIFS(BS_RE33!$H$7:$H$874,BS_RE33!$S$7:$S$874,$AL$2,BS_RE33!$N$7:$N$874,I63,BS_RE33!$P$7:$P$874,'30 days CF Table(EUR)'!G63,BS_RE33!$F$7:$F$874,'30 days CF Table(EUR)'!$C$2)</f>
        <v>0</v>
      </c>
      <c r="AM63" s="337">
        <f>SUMIFS(BS_RE33!$H$7:$H$874,BS_RE33!$S$7:$S$874,$AM$2,BS_RE33!$N$7:$N$874,I63,BS_RE33!$P$7:$P$874,'30 days CF Table(EUR)'!G63,BS_RE33!$F$7:$F$874,'30 days CF Table(EUR)'!$C$2)</f>
        <v>0</v>
      </c>
      <c r="AN63" s="337">
        <f>SUMIFS(BS_RE33!$H$7:$H$874,BS_RE33!$S$7:$S$874,$AN$2,BS_RE33!$N$7:$N$874,I63,BS_RE33!$P$7:$P$874,'30 days CF Table(EUR)'!G63,BS_RE33!$F$7:$F$874,'30 days CF Table(EUR)'!$C$2)</f>
        <v>0</v>
      </c>
      <c r="AO63" s="337">
        <f>SUMIFS(BS_RE33!$H$7:$H$874,BS_RE33!$S$7:$S$874,$AO$2,BS_RE33!$N$7:$N$874,I63,BS_RE33!$P$7:$P$874,'30 days CF Table(EUR)'!G63,BS_RE33!$F$7:$F$874,'30 days CF Table(EUR)'!$C$2)</f>
        <v>0</v>
      </c>
      <c r="AP63" s="338">
        <f>SUMIFS(BS_RE33!$H$7:$H$874,BS_RE33!$S$7:$S$874,$AP$2,BS_RE33!$N$7:$N$874,I63,BS_RE33!$P$7:$P$874,'30 days CF Table(EUR)'!G63,BS_RE33!$F$7:$F$874,'30 days CF Table(EUR)'!$C$2)</f>
        <v>0</v>
      </c>
      <c r="AR63" s="379">
        <f>SUMIFS(BS_RE33!$H$7:$H$874,BS_RE33!$S$7:$S$874,$AR$2,BS_RE33!$N$7:$N$874,I63,BS_RE33!$P$7:$P$874,'30 days CF Table(EUR)'!G63,BS_RE33!$F$7:$F$874,'30 days CF Table(EUR)'!$C$2)</f>
        <v>0</v>
      </c>
      <c r="AS63" s="379">
        <f>SUMIFS(BS_RE33!$H$7:$H$874,BS_RE33!$S$7:$S$874,$AS$2,BS_RE33!$N$7:$N$874,I63,BS_RE33!$P$7:$P$874,'30 days CF Table(EUR)'!G63,BS_RE33!$F$7:$F$874,'30 days CF Table(EUR)'!$C$2)</f>
        <v>0</v>
      </c>
      <c r="AT63" s="379">
        <f>SUMIFS(BS_RE33!$H$7:$H$874,BS_RE33!$S$7:$S$874,$AT$2,BS_RE33!$N$7:$N$874,I63,BS_RE33!$P$7:$P$874,'30 days CF Table(EUR)'!G63,BS_RE33!$F$7:$F$874,'30 days CF Table(EUR)'!$C$2)</f>
        <v>0</v>
      </c>
      <c r="AU63" s="379">
        <f>SUMIFS(BS_RE33!$H$7:$H$874,BS_RE33!$S$7:$S$874,$AU$2,BS_RE33!$N$7:$N$874,I63,BS_RE33!$P$7:$P$874,'30 days CF Table(EUR)'!G63,BS_RE33!$F$7:$F$874,'30 days CF Table(EUR)'!$C$2)</f>
        <v>0</v>
      </c>
      <c r="AV63" s="379">
        <f>SUMIFS(BS_RE33!$H$7:$H$874,BS_RE33!$S$7:$S$874,$AV$2,BS_RE33!$N$7:$N$874,I63,BS_RE33!$P$7:$P$874,'30 days CF Table(EUR)'!G63,BS_RE33!$F$7:$F$874,'30 days CF Table(EUR)'!$C$2)</f>
        <v>0</v>
      </c>
      <c r="AW63" s="379">
        <f>SUMIFS(BS_RE33!$H$7:$H$874,BS_RE33!$S$7:$S$874,$AW$2,BS_RE33!$N$7:$N$874,I63,BS_RE33!$P$7:$P$874,'30 days CF Table(EUR)'!G63,BS_RE33!$F$7:$F$874,'30 days CF Table(EUR)'!$C$2)</f>
        <v>0</v>
      </c>
      <c r="AX63" s="379">
        <f>SUMIFS(BS_RE33!$H$7:$H$874,BS_RE33!$S$7:$S$874,$AX$2,BS_RE33!$N$7:$N$874,I63,BS_RE33!$P$7:$P$874,'30 days CF Table(EUR)'!G63,BS_RE33!$F$7:$F$874,'30 days CF Table(EUR)'!$C$2)</f>
        <v>0</v>
      </c>
      <c r="AY63" s="379">
        <f>SUMIFS(BS_RE33!$H$7:$H$874,BS_RE33!$S$7:$S$874,$AY$2,BS_RE33!$N$7:$N$874,I63,BS_RE33!$P$7:$P$874,'30 days CF Table(EUR)'!G63,BS_RE33!$F$7:$F$874,'30 days CF Table(EUR)'!$C$2)</f>
        <v>0</v>
      </c>
      <c r="AZ63" s="379">
        <f>SUMIFS(BS_RE33!$H$7:$H$874,BS_RE33!$S$7:$S$874,$AZ$2,BS_RE33!$N$7:$N$874,I63,BS_RE33!$P$7:$P$874,'30 days CF Table(EUR)'!G63,BS_RE33!$F$7:$F$874,'30 days CF Table(EUR)'!$C$2)</f>
        <v>0</v>
      </c>
      <c r="BA63" s="379">
        <f>SUMIFS(BS_RE33!$H$7:$H$874,BS_RE33!$S$7:$S$874,$BA$2,BS_RE33!$N$7:$N$874,I63,BS_RE33!$P$7:$P$874,'30 days CF Table(EUR)'!G63,BS_RE33!$F$7:$F$874,'30 days CF Table(EUR)'!$C$2)</f>
        <v>0</v>
      </c>
      <c r="BB63" s="379">
        <f>SUMIFS(BS_RE33!$H$7:$H$874,BS_RE33!$S$7:$S$874,$BB$2,BS_RE33!$N$7:$N$874,I63,BS_RE33!$P$7:$P$874,'30 days CF Table(EUR)'!G63,BS_RE33!$F$7:$F$874,'30 days CF Table(EUR)'!$C$2)</f>
        <v>0</v>
      </c>
      <c r="BC63" s="379">
        <f>SUMIFS(BS_RE33!$H$7:$H$874,BS_RE33!$S$7:$S$874,$BC$2,BS_RE33!$N$7:$N$874,I63,BS_RE33!$P$7:$P$874,'30 days CF Table(EUR)'!G63,BS_RE33!$F$7:$F$874,'30 days CF Table(EUR)'!$C$2)</f>
        <v>0</v>
      </c>
      <c r="BD63" s="379">
        <f>SUMIFS(BS_RE33!$H$7:$H$874,BS_RE33!$S$7:$S$874,$BD$2,BS_RE33!$N$7:$N$874,I63,BS_RE33!$P$7:$P$874,'30 days CF Table(EUR)'!G63,BS_RE33!$F$7:$F$874,'30 days CF Table(EUR)'!$C$2)</f>
        <v>0</v>
      </c>
      <c r="BE63" s="379">
        <f>SUMIFS(BS_RE33!$H$7:$H$874,BS_RE33!$S$7:$S$874,$BE$2,BS_RE33!$N$7:$N$874,I63,BS_RE33!$P$7:$P$874,'30 days CF Table(EUR)'!G63,BS_RE33!$F$7:$F$874,'30 days CF Table(EUR)'!$C$2)</f>
        <v>0</v>
      </c>
      <c r="BF63" s="379">
        <f>SUMIFS(BS_RE33!$H$7:$H$874,BS_RE33!$S$7:$S$874,$BF$2,BS_RE33!$N$7:$N$874,I63,BS_RE33!$P$7:$P$874,'30 days CF Table(EUR)'!G63,BS_RE33!$F$7:$F$874,'30 days CF Table(EUR)'!$C$2)</f>
        <v>0</v>
      </c>
      <c r="BG63" s="379">
        <f>SUMIFS(BS_RE33!$H$7:$H$874,BS_RE33!$S$7:$S$874,$BG$2,BS_RE33!$N$7:$N$874,I63,BS_RE33!$P$7:$P$874,'30 days CF Table(EUR)'!G63,BS_RE33!$F$7:$F$874,'30 days CF Table(EUR)'!$C$2)</f>
        <v>0</v>
      </c>
      <c r="BH63" s="379">
        <f>SUMIFS(BS_RE33!$H$7:$H$874,BS_RE33!$S$7:$S$874,$BH$2,BS_RE33!$N$7:$N$874,I63,BS_RE33!$P$7:$P$874,'30 days CF Table(EUR)'!G63,BS_RE33!$F$7:$F$874,'30 days CF Table(EUR)'!$C$2)</f>
        <v>0</v>
      </c>
      <c r="BI63" s="379">
        <f>SUMIFS(BS_RE33!$H$7:$H$874,BS_RE33!$S$7:$S$874,$BI$2,BS_RE33!$N$7:$N$874,I63,BS_RE33!$P$7:$P$874,'30 days CF Table(EUR)'!G63,BS_RE33!$F$7:$F$874,'30 days CF Table(EUR)'!$C$2)</f>
        <v>0</v>
      </c>
      <c r="BJ63" s="379">
        <f>SUMIFS(BS_RE33!$H$7:$H$874,BS_RE33!$S$7:$S$874,$BJ$2,BS_RE33!$N$7:$N$874,I63,BS_RE33!$P$7:$P$874,'30 days CF Table(EUR)'!G63,BS_RE33!$F$7:$F$874,'30 days CF Table(EUR)'!$C$2)</f>
        <v>0</v>
      </c>
      <c r="BK63" s="379">
        <f>SUMIFS(BS_RE33!$H$7:$H$874,BS_RE33!$S$7:$S$874,$BK$2,BS_RE33!$N$7:$N$874,I63,BS_RE33!$P$7:$P$874,'30 days CF Table(EUR)'!G63,BS_RE33!$F$7:$F$874,'30 days CF Table(EUR)'!$C$2)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Table(EUR)'!G64,BS_RE33!$F$7:$F$874,'30 days CF Table(EUR)'!$C$2)</f>
        <v>0</v>
      </c>
      <c r="M64" s="341">
        <f>SUMIFS(BS_RE33!$H$7:$H$874,BS_RE33!$S$7:$S$874,$M$2,BS_RE33!$N$7:$N$874,I64,BS_RE33!$P$7:$P$874,'30 days CF Table(EUR)'!G64,BS_RE33!$F$7:$F$874,'30 days CF Table(EUR)'!$C$2)</f>
        <v>0</v>
      </c>
      <c r="N64" s="341">
        <f>SUMIFS(BS_RE33!$H$7:$H$874,BS_RE33!$S$7:$S$874,$N$2,BS_RE33!$N$7:$N$874,I64,BS_RE33!$P$7:$P$874,'30 days CF Table(EUR)'!G64,BS_RE33!$F$7:$F$874,'30 days CF Table(EUR)'!$C$2)</f>
        <v>0</v>
      </c>
      <c r="O64" s="341">
        <f>SUMIFS(BS_RE33!$H$7:$H$874,BS_RE33!$S$7:$S$874,$O$2,BS_RE33!$N$7:$N$874,I64,BS_RE33!$P$7:$P$874,'30 days CF Table(EUR)'!G64,BS_RE33!$F$7:$F$874,'30 days CF Table(EUR)'!$C$2)</f>
        <v>0</v>
      </c>
      <c r="P64" s="341">
        <f>SUMIFS(BS_RE33!$H$7:$H$874,BS_RE33!$S$7:$S$874,$P$2,BS_RE33!$N$7:$N$874,I64,BS_RE33!$P$7:$P$874,'30 days CF Table(EUR)'!G64,BS_RE33!$F$7:$F$874,'30 days CF Table(EUR)'!$C$2)</f>
        <v>0</v>
      </c>
      <c r="Q64" s="341">
        <f>SUMIFS(BS_RE33!$H$7:$H$874,BS_RE33!$S$7:$S$874,$Q$2,BS_RE33!$N$7:$N$874,I64,BS_RE33!$P$7:$P$874,'30 days CF Table(EUR)'!G64,BS_RE33!$F$7:$F$874,'30 days CF Table(EUR)'!$C$2)</f>
        <v>0</v>
      </c>
      <c r="R64" s="341">
        <f>SUMIFS(BS_RE33!$H$7:$H$874,BS_RE33!$S$7:$S$874,$R$2,BS_RE33!$N$7:$N$874,I64,BS_RE33!$P$7:$P$874,'30 days CF Table(EUR)'!G64,BS_RE33!$F$7:$F$874,'30 days CF Table(EUR)'!$C$2)</f>
        <v>0</v>
      </c>
      <c r="S64" s="341">
        <f>SUMIFS(BS_RE33!$H$7:$H$874,BS_RE33!$S$7:$S$874,$S$2,BS_RE33!$N$7:$N$874,I64,BS_RE33!$P$7:$P$874,'30 days CF Table(EUR)'!G64,BS_RE33!$F$7:$F$874,'30 days CF Table(EUR)'!$C$2)</f>
        <v>0</v>
      </c>
      <c r="T64" s="341">
        <f>SUMIFS(BS_RE33!$H$7:$H$874,BS_RE33!$S$7:$S$874,$T$2,BS_RE33!$N$7:$N$874,I64,BS_RE33!$P$7:$P$874,'30 days CF Table(EUR)'!G64,BS_RE33!$F$7:$F$874,'30 days CF Table(EUR)'!$C$2)</f>
        <v>0</v>
      </c>
      <c r="U64" s="341">
        <f>SUMIFS(BS_RE33!$H$7:$H$874,BS_RE33!$S$7:$S$874,$U$2,BS_RE33!$N$7:$N$874,I64,BS_RE33!$P$7:$P$874,'30 days CF Table(EUR)'!G64,BS_RE33!$F$7:$F$874,'30 days CF Table(EUR)'!$C$2)</f>
        <v>0</v>
      </c>
      <c r="V64" s="341">
        <f>SUMIFS(BS_RE33!$H$7:$H$874,BS_RE33!$S$7:$S$874,$V$2,BS_RE33!$N$7:$N$874,I64,BS_RE33!$P$7:$P$874,'30 days CF Table(EUR)'!G64,BS_RE33!$F$7:$F$874,'30 days CF Table(EUR)'!$C$2)</f>
        <v>0</v>
      </c>
      <c r="W64" s="341">
        <f>SUMIFS(BS_RE33!$H$7:$H$874,BS_RE33!$S$7:$S$874,$W$2,BS_RE33!$N$7:$N$874,I64,BS_RE33!$P$7:$P$874,'30 days CF Table(EUR)'!G64,BS_RE33!$F$7:$F$874,'30 days CF Table(EUR)'!$C$2)</f>
        <v>0</v>
      </c>
      <c r="X64" s="341">
        <f>SUMIFS(BS_RE33!$H$7:$H$874,BS_RE33!$S$7:$S$874,$X$2,BS_RE33!$N$7:$N$874,I64,BS_RE33!$P$7:$P$874,'30 days CF Table(EUR)'!G64,BS_RE33!$F$7:$F$874,'30 days CF Table(EUR)'!$C$2)</f>
        <v>0</v>
      </c>
      <c r="Y64" s="341">
        <f>SUMIFS(BS_RE33!$H$7:$H$874,BS_RE33!$S$7:$S$874,$Y$2,BS_RE33!$N$7:$N$874,I64,BS_RE33!$P$7:$P$874,'30 days CF Table(EUR)'!G64,BS_RE33!$F$7:$F$874,'30 days CF Table(EUR)'!$C$2)</f>
        <v>0</v>
      </c>
      <c r="Z64" s="341">
        <f>SUMIFS(BS_RE33!$H$7:$H$874,BS_RE33!$S$7:$S$874,$Z$2,BS_RE33!$N$7:$N$874,I64,BS_RE33!$P$7:$P$874,'30 days CF Table(EUR)'!G64,BS_RE33!$F$7:$F$874,'30 days CF Table(EUR)'!$C$2)</f>
        <v>0</v>
      </c>
      <c r="AA64" s="341">
        <f>SUMIFS(BS_RE33!$H$7:$H$874,BS_RE33!$S$7:$S$874,$AA$2,BS_RE33!$N$7:$N$874,I64,BS_RE33!$P$7:$P$874,'30 days CF Table(EUR)'!G64,BS_RE33!$F$7:$F$874,'30 days CF Table(EUR)'!$C$2)</f>
        <v>0</v>
      </c>
      <c r="AB64" s="341">
        <f>SUMIFS(BS_RE33!$H$7:$H$874,BS_RE33!$S$7:$S$874,$AB$2,BS_RE33!$N$7:$N$874,I64,BS_RE33!$P$7:$P$874,'30 days CF Table(EUR)'!G64,BS_RE33!$F$7:$F$874,'30 days CF Table(EUR)'!$C$2)</f>
        <v>0</v>
      </c>
      <c r="AC64" s="341">
        <f>SUMIFS(BS_RE33!$H$7:$H$874,BS_RE33!$S$7:$S$874,$AC$2,BS_RE33!$N$7:$N$874,I64,BS_RE33!$P$7:$P$874,'30 days CF Table(EUR)'!G64,BS_RE33!$F$7:$F$874,'30 days CF Table(EUR)'!$C$2)</f>
        <v>0</v>
      </c>
      <c r="AD64" s="341">
        <f>SUMIFS(BS_RE33!$H$7:$H$874,BS_RE33!$S$7:$S$874,$AD$2,BS_RE33!$N$7:$N$874,I64,BS_RE33!$P$7:$P$874,'30 days CF Table(EUR)'!G64,BS_RE33!$F$7:$F$874,'30 days CF Table(EUR)'!$C$2)</f>
        <v>0</v>
      </c>
      <c r="AE64" s="341">
        <f>SUMIFS(BS_RE33!$H$7:$H$874,BS_RE33!$S$7:$S$874,$AE$2,BS_RE33!$N$7:$N$874,I64,BS_RE33!$P$7:$P$874,'30 days CF Table(EUR)'!G64,BS_RE33!$F$7:$F$874,'30 days CF Table(EUR)'!$C$2)</f>
        <v>0</v>
      </c>
      <c r="AF64" s="341">
        <f>SUMIFS(BS_RE33!$H$7:$H$874,BS_RE33!$S$7:$S$874,$AF$2,BS_RE33!$N$7:$N$874,I64,BS_RE33!$P$7:$P$874,'30 days CF Table(EUR)'!G64,BS_RE33!$F$7:$F$874,'30 days CF Table(EUR)'!$C$2)</f>
        <v>0</v>
      </c>
      <c r="AG64" s="341">
        <f>SUMIFS(BS_RE33!$H$7:$H$874,BS_RE33!$S$7:$S$874,$AG$2,BS_RE33!$N$7:$N$874,I64,BS_RE33!$P$7:$P$874,'30 days CF Table(EUR)'!G64,BS_RE33!$F$7:$F$874,'30 days CF Table(EUR)'!$C$2)</f>
        <v>0</v>
      </c>
      <c r="AH64" s="341">
        <f>SUMIFS(BS_RE33!$H$7:$H$874,BS_RE33!$S$7:$S$874,$AH$2,BS_RE33!$N$7:$N$874,I64,BS_RE33!$P$7:$P$874,'30 days CF Table(EUR)'!G64,BS_RE33!$F$7:$F$874,'30 days CF Table(EUR)'!$C$2)</f>
        <v>0</v>
      </c>
      <c r="AI64" s="341">
        <f>SUMIFS(BS_RE33!$H$7:$H$874,BS_RE33!$S$7:$S$874,$AI$2,BS_RE33!$N$7:$N$874,I64,BS_RE33!$P$7:$P$874,'30 days CF Table(EUR)'!G64,BS_RE33!$F$7:$F$874,'30 days CF Table(EUR)'!$C$2)</f>
        <v>0</v>
      </c>
      <c r="AJ64" s="341">
        <f>SUMIFS(BS_RE33!$H$7:$H$874,BS_RE33!$S$7:$S$874,$AJ$2,BS_RE33!$N$7:$N$874,I64,BS_RE33!$P$7:$P$874,'30 days CF Table(EUR)'!G64,BS_RE33!$F$7:$F$874,'30 days CF Table(EUR)'!$C$2)</f>
        <v>0</v>
      </c>
      <c r="AK64" s="341">
        <f>SUMIFS(BS_RE33!$H$7:$H$874,BS_RE33!$S$7:$S$874,$AK$2,BS_RE33!$N$7:$N$874,I64,BS_RE33!$P$7:$P$874,'30 days CF Table(EUR)'!G64,BS_RE33!$F$7:$F$874,'30 days CF Table(EUR)'!$C$2)</f>
        <v>0</v>
      </c>
      <c r="AL64" s="341">
        <f>SUMIFS(BS_RE33!$H$7:$H$874,BS_RE33!$S$7:$S$874,$AL$2,BS_RE33!$N$7:$N$874,I64,BS_RE33!$P$7:$P$874,'30 days CF Table(EUR)'!G64,BS_RE33!$F$7:$F$874,'30 days CF Table(EUR)'!$C$2)</f>
        <v>0</v>
      </c>
      <c r="AM64" s="341">
        <f>SUMIFS(BS_RE33!$H$7:$H$874,BS_RE33!$S$7:$S$874,$AM$2,BS_RE33!$N$7:$N$874,I64,BS_RE33!$P$7:$P$874,'30 days CF Table(EUR)'!G64,BS_RE33!$F$7:$F$874,'30 days CF Table(EUR)'!$C$2)</f>
        <v>0</v>
      </c>
      <c r="AN64" s="341">
        <f>SUMIFS(BS_RE33!$H$7:$H$874,BS_RE33!$S$7:$S$874,$AN$2,BS_RE33!$N$7:$N$874,I64,BS_RE33!$P$7:$P$874,'30 days CF Table(EUR)'!G64,BS_RE33!$F$7:$F$874,'30 days CF Table(EUR)'!$C$2)</f>
        <v>0</v>
      </c>
      <c r="AO64" s="341">
        <f>SUMIFS(BS_RE33!$H$7:$H$874,BS_RE33!$S$7:$S$874,$AO$2,BS_RE33!$N$7:$N$874,I64,BS_RE33!$P$7:$P$874,'30 days CF Table(EUR)'!G64,BS_RE33!$F$7:$F$874,'30 days CF Table(EUR)'!$C$2)</f>
        <v>0</v>
      </c>
      <c r="AP64" s="342">
        <f>SUMIFS(BS_RE33!$H$7:$H$874,BS_RE33!$S$7:$S$874,$AP$2,BS_RE33!$N$7:$N$874,I64,BS_RE33!$P$7:$P$874,'30 days CF Table(EUR)'!G64,BS_RE33!$F$7:$F$874,'30 days CF Table(EUR)'!$C$2)</f>
        <v>0</v>
      </c>
      <c r="AR64" s="381">
        <f>SUMIFS(BS_RE33!$H$7:$H$874,BS_RE33!$S$7:$S$874,$AR$2,BS_RE33!$N$7:$N$874,I64,BS_RE33!$P$7:$P$874,'30 days CF Table(EUR)'!G64,BS_RE33!$F$7:$F$874,'30 days CF Table(EUR)'!$C$2)</f>
        <v>0</v>
      </c>
      <c r="AS64" s="381">
        <f>SUMIFS(BS_RE33!$H$7:$H$874,BS_RE33!$S$7:$S$874,$AS$2,BS_RE33!$N$7:$N$874,I64,BS_RE33!$P$7:$P$874,'30 days CF Table(EUR)'!G64,BS_RE33!$F$7:$F$874,'30 days CF Table(EUR)'!$C$2)</f>
        <v>0</v>
      </c>
      <c r="AT64" s="381">
        <f>SUMIFS(BS_RE33!$H$7:$H$874,BS_RE33!$S$7:$S$874,$AT$2,BS_RE33!$N$7:$N$874,I64,BS_RE33!$P$7:$P$874,'30 days CF Table(EUR)'!G64,BS_RE33!$F$7:$F$874,'30 days CF Table(EUR)'!$C$2)</f>
        <v>0</v>
      </c>
      <c r="AU64" s="381">
        <f>SUMIFS(BS_RE33!$H$7:$H$874,BS_RE33!$S$7:$S$874,$AU$2,BS_RE33!$N$7:$N$874,I64,BS_RE33!$P$7:$P$874,'30 days CF Table(EUR)'!G64,BS_RE33!$F$7:$F$874,'30 days CF Table(EUR)'!$C$2)</f>
        <v>0</v>
      </c>
      <c r="AV64" s="381">
        <f>SUMIFS(BS_RE33!$H$7:$H$874,BS_RE33!$S$7:$S$874,$AV$2,BS_RE33!$N$7:$N$874,I64,BS_RE33!$P$7:$P$874,'30 days CF Table(EUR)'!G64,BS_RE33!$F$7:$F$874,'30 days CF Table(EUR)'!$C$2)</f>
        <v>0</v>
      </c>
      <c r="AW64" s="381">
        <f>SUMIFS(BS_RE33!$H$7:$H$874,BS_RE33!$S$7:$S$874,$AW$2,BS_RE33!$N$7:$N$874,I64,BS_RE33!$P$7:$P$874,'30 days CF Table(EUR)'!G64,BS_RE33!$F$7:$F$874,'30 days CF Table(EUR)'!$C$2)</f>
        <v>0</v>
      </c>
      <c r="AX64" s="381">
        <f>SUMIFS(BS_RE33!$H$7:$H$874,BS_RE33!$S$7:$S$874,$AX$2,BS_RE33!$N$7:$N$874,I64,BS_RE33!$P$7:$P$874,'30 days CF Table(EUR)'!G64,BS_RE33!$F$7:$F$874,'30 days CF Table(EUR)'!$C$2)</f>
        <v>0</v>
      </c>
      <c r="AY64" s="381">
        <f>SUMIFS(BS_RE33!$H$7:$H$874,BS_RE33!$S$7:$S$874,$AY$2,BS_RE33!$N$7:$N$874,I64,BS_RE33!$P$7:$P$874,'30 days CF Table(EUR)'!G64,BS_RE33!$F$7:$F$874,'30 days CF Table(EUR)'!$C$2)</f>
        <v>0</v>
      </c>
      <c r="AZ64" s="381">
        <f>SUMIFS(BS_RE33!$H$7:$H$874,BS_RE33!$S$7:$S$874,$AZ$2,BS_RE33!$N$7:$N$874,I64,BS_RE33!$P$7:$P$874,'30 days CF Table(EUR)'!G64,BS_RE33!$F$7:$F$874,'30 days CF Table(EUR)'!$C$2)</f>
        <v>0</v>
      </c>
      <c r="BA64" s="381">
        <f>SUMIFS(BS_RE33!$H$7:$H$874,BS_RE33!$S$7:$S$874,$BA$2,BS_RE33!$N$7:$N$874,I64,BS_RE33!$P$7:$P$874,'30 days CF Table(EUR)'!G64,BS_RE33!$F$7:$F$874,'30 days CF Table(EUR)'!$C$2)</f>
        <v>0</v>
      </c>
      <c r="BB64" s="381">
        <f>SUMIFS(BS_RE33!$H$7:$H$874,BS_RE33!$S$7:$S$874,$BB$2,BS_RE33!$N$7:$N$874,I64,BS_RE33!$P$7:$P$874,'30 days CF Table(EUR)'!G64,BS_RE33!$F$7:$F$874,'30 days CF Table(EUR)'!$C$2)</f>
        <v>0</v>
      </c>
      <c r="BC64" s="381">
        <f>SUMIFS(BS_RE33!$H$7:$H$874,BS_RE33!$S$7:$S$874,$BC$2,BS_RE33!$N$7:$N$874,I64,BS_RE33!$P$7:$P$874,'30 days CF Table(EUR)'!G64,BS_RE33!$F$7:$F$874,'30 days CF Table(EUR)'!$C$2)</f>
        <v>0</v>
      </c>
      <c r="BD64" s="381">
        <f>SUMIFS(BS_RE33!$H$7:$H$874,BS_RE33!$S$7:$S$874,$BD$2,BS_RE33!$N$7:$N$874,I64,BS_RE33!$P$7:$P$874,'30 days CF Table(EUR)'!G64,BS_RE33!$F$7:$F$874,'30 days CF Table(EUR)'!$C$2)</f>
        <v>0</v>
      </c>
      <c r="BE64" s="381">
        <f>SUMIFS(BS_RE33!$H$7:$H$874,BS_RE33!$S$7:$S$874,$BE$2,BS_RE33!$N$7:$N$874,I64,BS_RE33!$P$7:$P$874,'30 days CF Table(EUR)'!G64,BS_RE33!$F$7:$F$874,'30 days CF Table(EUR)'!$C$2)</f>
        <v>0</v>
      </c>
      <c r="BF64" s="381">
        <f>SUMIFS(BS_RE33!$H$7:$H$874,BS_RE33!$S$7:$S$874,$BF$2,BS_RE33!$N$7:$N$874,I64,BS_RE33!$P$7:$P$874,'30 days CF Table(EUR)'!G64,BS_RE33!$F$7:$F$874,'30 days CF Table(EUR)'!$C$2)</f>
        <v>0</v>
      </c>
      <c r="BG64" s="381">
        <f>SUMIFS(BS_RE33!$H$7:$H$874,BS_RE33!$S$7:$S$874,$BG$2,BS_RE33!$N$7:$N$874,I64,BS_RE33!$P$7:$P$874,'30 days CF Table(EUR)'!G64,BS_RE33!$F$7:$F$874,'30 days CF Table(EUR)'!$C$2)</f>
        <v>0</v>
      </c>
      <c r="BH64" s="381">
        <f>SUMIFS(BS_RE33!$H$7:$H$874,BS_RE33!$S$7:$S$874,$BH$2,BS_RE33!$N$7:$N$874,I64,BS_RE33!$P$7:$P$874,'30 days CF Table(EUR)'!G64,BS_RE33!$F$7:$F$874,'30 days CF Table(EUR)'!$C$2)</f>
        <v>0</v>
      </c>
      <c r="BI64" s="381">
        <f>SUMIFS(BS_RE33!$H$7:$H$874,BS_RE33!$S$7:$S$874,$BI$2,BS_RE33!$N$7:$N$874,I64,BS_RE33!$P$7:$P$874,'30 days CF Table(EUR)'!G64,BS_RE33!$F$7:$F$874,'30 days CF Table(EUR)'!$C$2)</f>
        <v>0</v>
      </c>
      <c r="BJ64" s="381">
        <f>SUMIFS(BS_RE33!$H$7:$H$874,BS_RE33!$S$7:$S$874,$BJ$2,BS_RE33!$N$7:$N$874,I64,BS_RE33!$P$7:$P$874,'30 days CF Table(EUR)'!G64,BS_RE33!$F$7:$F$874,'30 days CF Table(EUR)'!$C$2)</f>
        <v>0</v>
      </c>
      <c r="BK64" s="381">
        <f>SUMIFS(BS_RE33!$H$7:$H$874,BS_RE33!$S$7:$S$874,$BK$2,BS_RE33!$N$7:$N$874,I64,BS_RE33!$P$7:$P$874,'30 days CF Table(EUR)'!G64,BS_RE33!$F$7:$F$874,'30 days CF Table(EUR)'!$C$2)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Table(EUR)'!$C$2)/1000000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Table(EUR)'!$C$2)/1000000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Table(EUR)'!$C$2)/1000000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Table(EUR)'!$C$2)/1000000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Table(EUR)'!$C$2)/1000000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Table(EUR)'!$C$2)/1000000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Table(EUR)'!$C$2)/1000000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Table(EUR)'!$C$2)/1000000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t="b">
        <f>D94='Summary &amp; Working File(AllCcy)'!E21</f>
        <v>1</v>
      </c>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t="b">
        <f>D103='Summary &amp; Working File(AllCcy)'!I21</f>
        <v>1</v>
      </c>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J84*1000000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5" priority="1" operator="containsText" text="false">
      <formula>NOT(ISERROR(SEARCH("false",J88)))</formula>
    </cfRule>
    <cfRule type="containsText" dxfId="4" priority="2" operator="containsText" text="true">
      <formula>NOT(ISERROR(SEARCH("true",J88)))</formula>
    </cfRule>
  </conditionalFormatting>
  <dataValidations count="1">
    <dataValidation type="list" allowBlank="1" showInputMessage="1" showErrorMessage="1" sqref="C2" xr:uid="{00000000-0002-0000-0A00-000000000000}">
      <formula1>$I$80:$I$86</formula1>
    </dataValidation>
  </dataValidation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17"/>
  <sheetViews>
    <sheetView showGridLines="0" zoomScale="85" zoomScaleNormal="85" workbookViewId="0">
      <pane xSplit="11" ySplit="3" topLeftCell="L16"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1207</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Table(JPY)'!G4,BS_RE33!$F$7:$F$874,'30 days CF Table(JPY)'!$C$2)</f>
        <v>0</v>
      </c>
      <c r="M4" s="337">
        <f>SUMIFS(BS_RE33!$H$7:$H$874,BS_RE33!$S$7:$S$874,$M$2,BS_RE33!$N$7:$N$874,I4,BS_RE33!$P$7:$P$874,'30 days CF Table(JPY)'!G4,BS_RE33!$F$7:$F$874,'30 days CF Table(JPY)'!$C$2)</f>
        <v>0</v>
      </c>
      <c r="N4" s="337">
        <f>SUMIFS(BS_RE33!$H$7:$H$874,BS_RE33!$S$7:$S$874,$N$2,BS_RE33!$N$7:$N$874,I4,BS_RE33!$P$7:$P$874,'30 days CF Table(JPY)'!G4,BS_RE33!$F$7:$F$874,'30 days CF Table(JPY)'!$C$2)</f>
        <v>0</v>
      </c>
      <c r="O4" s="337">
        <f>SUMIFS(BS_RE33!$H$7:$H$874,BS_RE33!$S$7:$S$874,$O$2,BS_RE33!$N$7:$N$874,I4,BS_RE33!$P$7:$P$874,'30 days CF Table(JPY)'!G4,BS_RE33!$F$7:$F$874,'30 days CF Table(JPY)'!$C$2)</f>
        <v>0</v>
      </c>
      <c r="P4" s="337">
        <f>SUMIFS(BS_RE33!$H$7:$H$874,BS_RE33!$S$7:$S$874,$P$2,BS_RE33!$N$7:$N$874,I4,BS_RE33!$P$7:$P$874,'30 days CF Table(JPY)'!G4,BS_RE33!$F$7:$F$874,'30 days CF Table(JPY)'!$C$2)</f>
        <v>0</v>
      </c>
      <c r="Q4" s="337">
        <f>SUMIFS(BS_RE33!$H$7:$H$874,BS_RE33!$S$7:$S$874,$Q$2,BS_RE33!$N$7:$N$874,I4,BS_RE33!$P$7:$P$874,'30 days CF Table(JPY)'!G4,BS_RE33!$F$7:$F$874,'30 days CF Table(JPY)'!$C$2)</f>
        <v>0</v>
      </c>
      <c r="R4" s="337">
        <f>SUMIFS(BS_RE33!$H$7:$H$874,BS_RE33!$S$7:$S$874,$R$2,BS_RE33!$N$7:$N$874,I4,BS_RE33!$P$7:$P$874,'30 days CF Table(JPY)'!G4,BS_RE33!$F$7:$F$874,'30 days CF Table(JPY)'!$C$2)</f>
        <v>0</v>
      </c>
      <c r="S4" s="337">
        <f>SUMIFS(BS_RE33!$H$7:$H$874,BS_RE33!$S$7:$S$874,$S$2,BS_RE33!$N$7:$N$874,I4,BS_RE33!$P$7:$P$874,'30 days CF Table(JPY)'!G4,BS_RE33!$F$7:$F$874,'30 days CF Table(JPY)'!$C$2)</f>
        <v>0</v>
      </c>
      <c r="T4" s="337">
        <f>SUMIFS(BS_RE33!$H$7:$H$874,BS_RE33!$S$7:$S$874,$T$2,BS_RE33!$N$7:$N$874,I4,BS_RE33!$P$7:$P$874,'30 days CF Table(JPY)'!G4,BS_RE33!$F$7:$F$874,'30 days CF Table(JPY)'!$C$2)</f>
        <v>0</v>
      </c>
      <c r="U4" s="337">
        <f>SUMIFS(BS_RE33!$H$7:$H$874,BS_RE33!$S$7:$S$874,$U$2,BS_RE33!$N$7:$N$874,I4,BS_RE33!$P$7:$P$874,'30 days CF Table(JPY)'!G4,BS_RE33!$F$7:$F$874,'30 days CF Table(JPY)'!$C$2)</f>
        <v>0</v>
      </c>
      <c r="V4" s="337">
        <f>SUMIFS(BS_RE33!$H$7:$H$874,BS_RE33!$S$7:$S$874,$V$2,BS_RE33!$N$7:$N$874,I4,BS_RE33!$P$7:$P$874,'30 days CF Table(JPY)'!G4,BS_RE33!$F$7:$F$874,'30 days CF Table(JPY)'!$C$2)</f>
        <v>0</v>
      </c>
      <c r="W4" s="337">
        <f>SUMIFS(BS_RE33!$H$7:$H$874,BS_RE33!$S$7:$S$874,$W$2,BS_RE33!$N$7:$N$874,I4,BS_RE33!$P$7:$P$874,'30 days CF Table(JPY)'!G4,BS_RE33!$F$7:$F$874,'30 days CF Table(JPY)'!$C$2)</f>
        <v>0</v>
      </c>
      <c r="X4" s="337">
        <f>SUMIFS(BS_RE33!$H$7:$H$874,BS_RE33!$S$7:$S$874,$X$2,BS_RE33!$N$7:$N$874,I4,BS_RE33!$P$7:$P$874,'30 days CF Table(JPY)'!G4,BS_RE33!$F$7:$F$874,'30 days CF Table(JPY)'!$C$2)</f>
        <v>0</v>
      </c>
      <c r="Y4" s="337">
        <f>SUMIFS(BS_RE33!$H$7:$H$874,BS_RE33!$S$7:$S$874,$Y$2,BS_RE33!$N$7:$N$874,I4,BS_RE33!$P$7:$P$874,'30 days CF Table(JPY)'!G4,BS_RE33!$F$7:$F$874,'30 days CF Table(JPY)'!$C$2)</f>
        <v>0</v>
      </c>
      <c r="Z4" s="337">
        <f>SUMIFS(BS_RE33!$H$7:$H$874,BS_RE33!$S$7:$S$874,$Z$2,BS_RE33!$N$7:$N$874,I4,BS_RE33!$P$7:$P$874,'30 days CF Table(JPY)'!G4,BS_RE33!$F$7:$F$874,'30 days CF Table(JPY)'!$C$2)</f>
        <v>0</v>
      </c>
      <c r="AA4" s="337">
        <f>SUMIFS(BS_RE33!$H$7:$H$874,BS_RE33!$S$7:$S$874,$AA$2,BS_RE33!$N$7:$N$874,I4,BS_RE33!$P$7:$P$874,'30 days CF Table(JPY)'!G4,BS_RE33!$F$7:$F$874,'30 days CF Table(JPY)'!$C$2)</f>
        <v>0</v>
      </c>
      <c r="AB4" s="337">
        <f>SUMIFS(BS_RE33!$H$7:$H$874,BS_RE33!$S$7:$S$874,$AB$2,BS_RE33!$N$7:$N$874,I4,BS_RE33!$P$7:$P$874,'30 days CF Table(JPY)'!G4,BS_RE33!$F$7:$F$874,'30 days CF Table(JPY)'!$C$2)</f>
        <v>0</v>
      </c>
      <c r="AC4" s="337">
        <f>SUMIFS(BS_RE33!$H$7:$H$874,BS_RE33!$S$7:$S$874,$AC$2,BS_RE33!$N$7:$N$874,I4,BS_RE33!$P$7:$P$874,'30 days CF Table(JPY)'!G4,BS_RE33!$F$7:$F$874,'30 days CF Table(JPY)'!$C$2)</f>
        <v>0</v>
      </c>
      <c r="AD4" s="337">
        <f>SUMIFS(BS_RE33!$H$7:$H$874,BS_RE33!$S$7:$S$874,$AD$2,BS_RE33!$N$7:$N$874,I4,BS_RE33!$P$7:$P$874,'30 days CF Table(JPY)'!G4,BS_RE33!$F$7:$F$874,'30 days CF Table(JPY)'!$C$2)</f>
        <v>0</v>
      </c>
      <c r="AE4" s="337">
        <f>SUMIFS(BS_RE33!$H$7:$H$874,BS_RE33!$S$7:$S$874,$AE$2,BS_RE33!$N$7:$N$874,I4,BS_RE33!$P$7:$P$874,'30 days CF Table(JPY)'!G4,BS_RE33!$F$7:$F$874,'30 days CF Table(JPY)'!$C$2)</f>
        <v>0</v>
      </c>
      <c r="AF4" s="337">
        <f>SUMIFS(BS_RE33!$H$7:$H$874,BS_RE33!$S$7:$S$874,$AF$2,BS_RE33!$N$7:$N$874,I4,BS_RE33!$P$7:$P$874,'30 days CF Table(JPY)'!G4,BS_RE33!$F$7:$F$874,'30 days CF Table(JPY)'!$C$2)</f>
        <v>0</v>
      </c>
      <c r="AG4" s="337">
        <f>SUMIFS(BS_RE33!$H$7:$H$874,BS_RE33!$S$7:$S$874,$AG$2,BS_RE33!$N$7:$N$874,I4,BS_RE33!$P$7:$P$874,'30 days CF Table(JPY)'!G4,BS_RE33!$F$7:$F$874,'30 days CF Table(JPY)'!$C$2)</f>
        <v>0</v>
      </c>
      <c r="AH4" s="337">
        <f>SUMIFS(BS_RE33!$H$7:$H$874,BS_RE33!$S$7:$S$874,$AH$2,BS_RE33!$N$7:$N$874,I4,BS_RE33!$P$7:$P$874,'30 days CF Table(JPY)'!G4,BS_RE33!$F$7:$F$874,'30 days CF Table(JPY)'!$C$2)</f>
        <v>0</v>
      </c>
      <c r="AI4" s="337">
        <f>SUMIFS(BS_RE33!$H$7:$H$874,BS_RE33!$S$7:$S$874,$AI$2,BS_RE33!$N$7:$N$874,I4,BS_RE33!$P$7:$P$874,'30 days CF Table(JPY)'!G4,BS_RE33!$F$7:$F$874,'30 days CF Table(JPY)'!$C$2)</f>
        <v>0</v>
      </c>
      <c r="AJ4" s="337">
        <f>SUMIFS(BS_RE33!$H$7:$H$874,BS_RE33!$S$7:$S$874,$AJ$2,BS_RE33!$N$7:$N$874,I4,BS_RE33!$P$7:$P$874,'30 days CF Table(JPY)'!G4,BS_RE33!$F$7:$F$874,'30 days CF Table(JPY)'!$C$2)</f>
        <v>0</v>
      </c>
      <c r="AK4" s="337">
        <f>SUMIFS(BS_RE33!$H$7:$H$874,BS_RE33!$S$7:$S$874,$AK$2,BS_RE33!$N$7:$N$874,I4,BS_RE33!$P$7:$P$874,'30 days CF Table(JPY)'!G4,BS_RE33!$F$7:$F$874,'30 days CF Table(JPY)'!$C$2)</f>
        <v>0</v>
      </c>
      <c r="AL4" s="337">
        <f>SUMIFS(BS_RE33!$H$7:$H$874,BS_RE33!$S$7:$S$874,$AL$2,BS_RE33!$N$7:$N$874,I4,BS_RE33!$P$7:$P$874,'30 days CF Table(JPY)'!G4,BS_RE33!$F$7:$F$874,'30 days CF Table(JPY)'!$C$2)</f>
        <v>0</v>
      </c>
      <c r="AM4" s="337">
        <f>SUMIFS(BS_RE33!$H$7:$H$874,BS_RE33!$S$7:$S$874,$AM$2,BS_RE33!$N$7:$N$874,I4,BS_RE33!$P$7:$P$874,'30 days CF Table(JPY)'!G4,BS_RE33!$F$7:$F$874,'30 days CF Table(JPY)'!$C$2)</f>
        <v>0</v>
      </c>
      <c r="AN4" s="337">
        <f>SUMIFS(BS_RE33!$H$7:$H$874,BS_RE33!$S$7:$S$874,$AN$2,BS_RE33!$N$7:$N$874,I4,BS_RE33!$P$7:$P$874,'30 days CF Table(JPY)'!G4,BS_RE33!$F$7:$F$874,'30 days CF Table(JPY)'!$C$2)</f>
        <v>0</v>
      </c>
      <c r="AO4" s="337">
        <f>SUMIFS(BS_RE33!$H$7:$H$874,BS_RE33!$S$7:$S$874,$AO$2,BS_RE33!$N$7:$N$874,I4,BS_RE33!$P$7:$P$874,'30 days CF Table(JPY)'!G4,BS_RE33!$F$7:$F$874,'30 days CF Table(JPY)'!$C$2)</f>
        <v>0</v>
      </c>
      <c r="AP4" s="338">
        <f>SUMIFS(BS_RE33!$H$7:$H$874,BS_RE33!$S$7:$S$874,$AP$2,BS_RE33!$N$7:$N$874,I4,BS_RE33!$P$7:$P$874,'30 days CF Table(JPY)'!G4,BS_RE33!$F$7:$F$874,'30 days CF Table(JPY)'!$C$2)</f>
        <v>0</v>
      </c>
      <c r="AQ4" s="545"/>
      <c r="AR4" s="379">
        <f>SUMIFS(BS_RE33!$H$7:$H$874,BS_RE33!$S$7:$S$874,$AR$2,BS_RE33!$N$7:$N$874,I4,BS_RE33!$P$7:$P$874,'30 days CF Table(JPY)'!G4,BS_RE33!$F$7:$F$874,'30 days CF Table(JPY)'!$C$2)</f>
        <v>0</v>
      </c>
      <c r="AS4" s="379">
        <f>SUMIFS(BS_RE33!$H$7:$H$874,BS_RE33!$S$7:$S$874,$AS$2,BS_RE33!$N$7:$N$874,I4,BS_RE33!$P$7:$P$874,'30 days CF Table(JPY)'!G4,BS_RE33!$F$7:$F$874,'30 days CF Table(JPY)'!$C$2)</f>
        <v>0</v>
      </c>
      <c r="AT4" s="379">
        <f>SUMIFS(BS_RE33!$H$7:$H$874,BS_RE33!$S$7:$S$874,$AT$2,BS_RE33!$N$7:$N$874,I4,BS_RE33!$P$7:$P$874,'30 days CF Table(JPY)'!G4,BS_RE33!$F$7:$F$874,'30 days CF Table(JPY)'!$C$2)</f>
        <v>0</v>
      </c>
      <c r="AU4" s="379">
        <f>SUMIFS(BS_RE33!$H$7:$H$874,BS_RE33!$S$7:$S$874,$AU$2,BS_RE33!$N$7:$N$874,I4,BS_RE33!$P$7:$P$874,'30 days CF Table(JPY)'!G4,BS_RE33!$F$7:$F$874,'30 days CF Table(JPY)'!$C$2)</f>
        <v>0</v>
      </c>
      <c r="AV4" s="379">
        <f>SUMIFS(BS_RE33!$H$7:$H$874,BS_RE33!$S$7:$S$874,$AV$2,BS_RE33!$N$7:$N$874,I4,BS_RE33!$P$7:$P$874,'30 days CF Table(JPY)'!G4,BS_RE33!$F$7:$F$874,'30 days CF Table(JPY)'!$C$2)</f>
        <v>0</v>
      </c>
      <c r="AW4" s="379">
        <f>SUMIFS(BS_RE33!$H$7:$H$874,BS_RE33!$S$7:$S$874,$AW$2,BS_RE33!$N$7:$N$874,I4,BS_RE33!$P$7:$P$874,'30 days CF Table(JPY)'!G4,BS_RE33!$F$7:$F$874,'30 days CF Table(JPY)'!$C$2)</f>
        <v>0</v>
      </c>
      <c r="AX4" s="379">
        <f>SUMIFS(BS_RE33!$H$7:$H$874,BS_RE33!$S$7:$S$874,$AX$2,BS_RE33!$N$7:$N$874,I4,BS_RE33!$P$7:$P$874,'30 days CF Table(JPY)'!G4,BS_RE33!$F$7:$F$874,'30 days CF Table(JPY)'!$C$2)</f>
        <v>0</v>
      </c>
      <c r="AY4" s="379">
        <f>SUMIFS(BS_RE33!$H$7:$H$874,BS_RE33!$S$7:$S$874,$AY$2,BS_RE33!$N$7:$N$874,I4,BS_RE33!$P$7:$P$874,'30 days CF Table(JPY)'!G4,BS_RE33!$F$7:$F$874,'30 days CF Table(JPY)'!$C$2)</f>
        <v>0</v>
      </c>
      <c r="AZ4" s="379">
        <f>SUMIFS(BS_RE33!$H$7:$H$874,BS_RE33!$S$7:$S$874,$AZ$2,BS_RE33!$N$7:$N$874,I4,BS_RE33!$P$7:$P$874,'30 days CF Table(JPY)'!G4,BS_RE33!$F$7:$F$874,'30 days CF Table(JPY)'!$C$2)</f>
        <v>0</v>
      </c>
      <c r="BA4" s="379">
        <f>SUMIFS(BS_RE33!$H$7:$H$874,BS_RE33!$S$7:$S$874,$BA$2,BS_RE33!$N$7:$N$874,I4,BS_RE33!$P$7:$P$874,'30 days CF Table(JPY)'!G4,BS_RE33!$F$7:$F$874,'30 days CF Table(JPY)'!$C$2)</f>
        <v>0</v>
      </c>
      <c r="BB4" s="379">
        <f>SUMIFS(BS_RE33!$H$7:$H$874,BS_RE33!$S$7:$S$874,$BB$2,BS_RE33!$N$7:$N$874,I4,BS_RE33!$P$7:$P$874,'30 days CF Table(JPY)'!G4,BS_RE33!$F$7:$F$874,'30 days CF Table(JPY)'!$C$2)</f>
        <v>0</v>
      </c>
      <c r="BC4" s="379">
        <f>SUMIFS(BS_RE33!$H$7:$H$874,BS_RE33!$S$7:$S$874,$BC$2,BS_RE33!$N$7:$N$874,I4,BS_RE33!$P$7:$P$874,'30 days CF Table(JPY)'!G4,BS_RE33!$F$7:$F$874,'30 days CF Table(JPY)'!$C$2)</f>
        <v>0</v>
      </c>
      <c r="BD4" s="379">
        <f>SUMIFS(BS_RE33!$H$7:$H$874,BS_RE33!$S$7:$S$874,$BD$2,BS_RE33!$N$7:$N$874,I4,BS_RE33!$P$7:$P$874,'30 days CF Table(JPY)'!G4,BS_RE33!$F$7:$F$874,'30 days CF Table(JPY)'!$C$2)</f>
        <v>0</v>
      </c>
      <c r="BE4" s="379">
        <f>SUMIFS(BS_RE33!$H$7:$H$874,BS_RE33!$S$7:$S$874,$BE$2,BS_RE33!$N$7:$N$874,I4,BS_RE33!$P$7:$P$874,'30 days CF Table(JPY)'!G4,BS_RE33!$F$7:$F$874,'30 days CF Table(JPY)'!$C$2)</f>
        <v>0</v>
      </c>
      <c r="BF4" s="379">
        <f>SUMIFS(BS_RE33!$H$7:$H$874,BS_RE33!$S$7:$S$874,$BF$2,BS_RE33!$N$7:$N$874,I4,BS_RE33!$P$7:$P$874,'30 days CF Table(JPY)'!G4,BS_RE33!$F$7:$F$874,'30 days CF Table(JPY)'!$C$2)</f>
        <v>0</v>
      </c>
      <c r="BG4" s="379">
        <f>SUMIFS(BS_RE33!$H$7:$H$874,BS_RE33!$S$7:$S$874,$BG$2,BS_RE33!$N$7:$N$874,I4,BS_RE33!$P$7:$P$874,'30 days CF Table(JPY)'!G4,BS_RE33!$F$7:$F$874,'30 days CF Table(JPY)'!$C$2)</f>
        <v>0</v>
      </c>
      <c r="BH4" s="379">
        <f>SUMIFS(BS_RE33!$H$7:$H$874,BS_RE33!$S$7:$S$874,$BH$2,BS_RE33!$N$7:$N$874,I4,BS_RE33!$P$7:$P$874,'30 days CF Table(JPY)'!G4,BS_RE33!$F$7:$F$874,'30 days CF Table(JPY)'!$C$2)</f>
        <v>0</v>
      </c>
      <c r="BI4" s="379">
        <f>SUMIFS(BS_RE33!$H$7:$H$874,BS_RE33!$S$7:$S$874,$BI$2,BS_RE33!$N$7:$N$874,I4,BS_RE33!$P$7:$P$874,'30 days CF Table(JPY)'!G4,BS_RE33!$F$7:$F$874,'30 days CF Table(JPY)'!$C$2)</f>
        <v>0</v>
      </c>
      <c r="BJ4" s="379">
        <f>SUMIFS(BS_RE33!$H$7:$H$874,BS_RE33!$S$7:$S$874,$BJ$2,BS_RE33!$N$7:$N$874,I4,BS_RE33!$P$7:$P$874,'30 days CF Table(JPY)'!G4,BS_RE33!$F$7:$F$874,'30 days CF Table(JPY)'!$C$2)</f>
        <v>0</v>
      </c>
      <c r="BK4" s="379">
        <f>SUMIFS(BS_RE33!$H$7:$H$874,BS_RE33!$S$7:$S$874,$BK$2,BS_RE33!$N$7:$N$874,I4,BS_RE33!$P$7:$P$874,'30 days CF Table(JPY)'!G4,BS_RE33!$F$7:$F$874,'30 days CF Table(JPY)'!$C$2)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Table(JPY)'!G5,BS_RE33!$F$7:$F$874,'30 days CF Table(JPY)'!$C$2)</f>
        <v>0</v>
      </c>
      <c r="M5" s="337">
        <f>SUMIFS(BS_RE33!$H$7:$H$874,BS_RE33!$S$7:$S$874,$M$2,BS_RE33!$N$7:$N$874,I5,BS_RE33!$P$7:$P$874,'30 days CF Table(JPY)'!G5,BS_RE33!$F$7:$F$874,'30 days CF Table(JPY)'!$C$2)</f>
        <v>0</v>
      </c>
      <c r="N5" s="337">
        <f>SUMIFS(BS_RE33!$H$7:$H$874,BS_RE33!$S$7:$S$874,$N$2,BS_RE33!$N$7:$N$874,I5,BS_RE33!$P$7:$P$874,'30 days CF Table(JPY)'!G5,BS_RE33!$F$7:$F$874,'30 days CF Table(JPY)'!$C$2)</f>
        <v>0</v>
      </c>
      <c r="O5" s="337">
        <f>SUMIFS(BS_RE33!$H$7:$H$874,BS_RE33!$S$7:$S$874,$O$2,BS_RE33!$N$7:$N$874,I5,BS_RE33!$P$7:$P$874,'30 days CF Table(JPY)'!G5,BS_RE33!$F$7:$F$874,'30 days CF Table(JPY)'!$C$2)</f>
        <v>0</v>
      </c>
      <c r="P5" s="337">
        <f>SUMIFS(BS_RE33!$H$7:$H$874,BS_RE33!$S$7:$S$874,$P$2,BS_RE33!$N$7:$N$874,I5,BS_RE33!$P$7:$P$874,'30 days CF Table(JPY)'!G5,BS_RE33!$F$7:$F$874,'30 days CF Table(JPY)'!$C$2)</f>
        <v>0</v>
      </c>
      <c r="Q5" s="337">
        <f>SUMIFS(BS_RE33!$H$7:$H$874,BS_RE33!$S$7:$S$874,$Q$2,BS_RE33!$N$7:$N$874,I5,BS_RE33!$P$7:$P$874,'30 days CF Table(JPY)'!G5,BS_RE33!$F$7:$F$874,'30 days CF Table(JPY)'!$C$2)</f>
        <v>0</v>
      </c>
      <c r="R5" s="337">
        <f>SUMIFS(BS_RE33!$H$7:$H$874,BS_RE33!$S$7:$S$874,$R$2,BS_RE33!$N$7:$N$874,I5,BS_RE33!$P$7:$P$874,'30 days CF Table(JPY)'!G5,BS_RE33!$F$7:$F$874,'30 days CF Table(JPY)'!$C$2)</f>
        <v>0</v>
      </c>
      <c r="S5" s="337">
        <f>SUMIFS(BS_RE33!$H$7:$H$874,BS_RE33!$S$7:$S$874,$S$2,BS_RE33!$N$7:$N$874,I5,BS_RE33!$P$7:$P$874,'30 days CF Table(JPY)'!G5,BS_RE33!$F$7:$F$874,'30 days CF Table(JPY)'!$C$2)</f>
        <v>0</v>
      </c>
      <c r="T5" s="337">
        <f>SUMIFS(BS_RE33!$H$7:$H$874,BS_RE33!$S$7:$S$874,$T$2,BS_RE33!$N$7:$N$874,I5,BS_RE33!$P$7:$P$874,'30 days CF Table(JPY)'!G5,BS_RE33!$F$7:$F$874,'30 days CF Table(JPY)'!$C$2)</f>
        <v>0</v>
      </c>
      <c r="U5" s="337">
        <f>SUMIFS(BS_RE33!$H$7:$H$874,BS_RE33!$S$7:$S$874,$U$2,BS_RE33!$N$7:$N$874,I5,BS_RE33!$P$7:$P$874,'30 days CF Table(JPY)'!G5,BS_RE33!$F$7:$F$874,'30 days CF Table(JPY)'!$C$2)</f>
        <v>0</v>
      </c>
      <c r="V5" s="337">
        <f>SUMIFS(BS_RE33!$H$7:$H$874,BS_RE33!$S$7:$S$874,$V$2,BS_RE33!$N$7:$N$874,I5,BS_RE33!$P$7:$P$874,'30 days CF Table(JPY)'!G5,BS_RE33!$F$7:$F$874,'30 days CF Table(JPY)'!$C$2)</f>
        <v>0</v>
      </c>
      <c r="W5" s="337">
        <f>SUMIFS(BS_RE33!$H$7:$H$874,BS_RE33!$S$7:$S$874,$W$2,BS_RE33!$N$7:$N$874,I5,BS_RE33!$P$7:$P$874,'30 days CF Table(JPY)'!G5,BS_RE33!$F$7:$F$874,'30 days CF Table(JPY)'!$C$2)</f>
        <v>0</v>
      </c>
      <c r="X5" s="337">
        <f>SUMIFS(BS_RE33!$H$7:$H$874,BS_RE33!$S$7:$S$874,$X$2,BS_RE33!$N$7:$N$874,I5,BS_RE33!$P$7:$P$874,'30 days CF Table(JPY)'!G5,BS_RE33!$F$7:$F$874,'30 days CF Table(JPY)'!$C$2)</f>
        <v>0</v>
      </c>
      <c r="Y5" s="337">
        <f>SUMIFS(BS_RE33!$H$7:$H$874,BS_RE33!$S$7:$S$874,$Y$2,BS_RE33!$N$7:$N$874,I5,BS_RE33!$P$7:$P$874,'30 days CF Table(JPY)'!G5,BS_RE33!$F$7:$F$874,'30 days CF Table(JPY)'!$C$2)</f>
        <v>0</v>
      </c>
      <c r="Z5" s="337">
        <f>SUMIFS(BS_RE33!$H$7:$H$874,BS_RE33!$S$7:$S$874,$Z$2,BS_RE33!$N$7:$N$874,I5,BS_RE33!$P$7:$P$874,'30 days CF Table(JPY)'!G5,BS_RE33!$F$7:$F$874,'30 days CF Table(JPY)'!$C$2)</f>
        <v>0</v>
      </c>
      <c r="AA5" s="337">
        <f>SUMIFS(BS_RE33!$H$7:$H$874,BS_RE33!$S$7:$S$874,$AA$2,BS_RE33!$N$7:$N$874,I5,BS_RE33!$P$7:$P$874,'30 days CF Table(JPY)'!G5,BS_RE33!$F$7:$F$874,'30 days CF Table(JPY)'!$C$2)</f>
        <v>0</v>
      </c>
      <c r="AB5" s="337">
        <f>SUMIFS(BS_RE33!$H$7:$H$874,BS_RE33!$S$7:$S$874,$AB$2,BS_RE33!$N$7:$N$874,I5,BS_RE33!$P$7:$P$874,'30 days CF Table(JPY)'!G5,BS_RE33!$F$7:$F$874,'30 days CF Table(JPY)'!$C$2)</f>
        <v>0</v>
      </c>
      <c r="AC5" s="337">
        <f>SUMIFS(BS_RE33!$H$7:$H$874,BS_RE33!$S$7:$S$874,$AC$2,BS_RE33!$N$7:$N$874,I5,BS_RE33!$P$7:$P$874,'30 days CF Table(JPY)'!G5,BS_RE33!$F$7:$F$874,'30 days CF Table(JPY)'!$C$2)</f>
        <v>0</v>
      </c>
      <c r="AD5" s="337">
        <f>SUMIFS(BS_RE33!$H$7:$H$874,BS_RE33!$S$7:$S$874,$AD$2,BS_RE33!$N$7:$N$874,I5,BS_RE33!$P$7:$P$874,'30 days CF Table(JPY)'!G5,BS_RE33!$F$7:$F$874,'30 days CF Table(JPY)'!$C$2)</f>
        <v>0</v>
      </c>
      <c r="AE5" s="337">
        <f>SUMIFS(BS_RE33!$H$7:$H$874,BS_RE33!$S$7:$S$874,$AE$2,BS_RE33!$N$7:$N$874,I5,BS_RE33!$P$7:$P$874,'30 days CF Table(JPY)'!G5,BS_RE33!$F$7:$F$874,'30 days CF Table(JPY)'!$C$2)</f>
        <v>0</v>
      </c>
      <c r="AF5" s="337">
        <f>SUMIFS(BS_RE33!$H$7:$H$874,BS_RE33!$S$7:$S$874,$AF$2,BS_RE33!$N$7:$N$874,I5,BS_RE33!$P$7:$P$874,'30 days CF Table(JPY)'!G5,BS_RE33!$F$7:$F$874,'30 days CF Table(JPY)'!$C$2)</f>
        <v>0</v>
      </c>
      <c r="AG5" s="337">
        <f>SUMIFS(BS_RE33!$H$7:$H$874,BS_RE33!$S$7:$S$874,$AG$2,BS_RE33!$N$7:$N$874,I5,BS_RE33!$P$7:$P$874,'30 days CF Table(JPY)'!G5,BS_RE33!$F$7:$F$874,'30 days CF Table(JPY)'!$C$2)</f>
        <v>0</v>
      </c>
      <c r="AH5" s="337">
        <f>SUMIFS(BS_RE33!$H$7:$H$874,BS_RE33!$S$7:$S$874,$AH$2,BS_RE33!$N$7:$N$874,I5,BS_RE33!$P$7:$P$874,'30 days CF Table(JPY)'!G5,BS_RE33!$F$7:$F$874,'30 days CF Table(JPY)'!$C$2)</f>
        <v>0</v>
      </c>
      <c r="AI5" s="337">
        <f>SUMIFS(BS_RE33!$H$7:$H$874,BS_RE33!$S$7:$S$874,$AI$2,BS_RE33!$N$7:$N$874,I5,BS_RE33!$P$7:$P$874,'30 days CF Table(JPY)'!G5,BS_RE33!$F$7:$F$874,'30 days CF Table(JPY)'!$C$2)</f>
        <v>0</v>
      </c>
      <c r="AJ5" s="337">
        <f>SUMIFS(BS_RE33!$H$7:$H$874,BS_RE33!$S$7:$S$874,$AJ$2,BS_RE33!$N$7:$N$874,I5,BS_RE33!$P$7:$P$874,'30 days CF Table(JPY)'!G5,BS_RE33!$F$7:$F$874,'30 days CF Table(JPY)'!$C$2)</f>
        <v>0</v>
      </c>
      <c r="AK5" s="337">
        <f>SUMIFS(BS_RE33!$H$7:$H$874,BS_RE33!$S$7:$S$874,$AK$2,BS_RE33!$N$7:$N$874,I5,BS_RE33!$P$7:$P$874,'30 days CF Table(JPY)'!G5,BS_RE33!$F$7:$F$874,'30 days CF Table(JPY)'!$C$2)</f>
        <v>0</v>
      </c>
      <c r="AL5" s="337">
        <f>SUMIFS(BS_RE33!$H$7:$H$874,BS_RE33!$S$7:$S$874,$AL$2,BS_RE33!$N$7:$N$874,I5,BS_RE33!$P$7:$P$874,'30 days CF Table(JPY)'!G5,BS_RE33!$F$7:$F$874,'30 days CF Table(JPY)'!$C$2)</f>
        <v>0</v>
      </c>
      <c r="AM5" s="337">
        <f>SUMIFS(BS_RE33!$H$7:$H$874,BS_RE33!$S$7:$S$874,$AM$2,BS_RE33!$N$7:$N$874,I5,BS_RE33!$P$7:$P$874,'30 days CF Table(JPY)'!G5,BS_RE33!$F$7:$F$874,'30 days CF Table(JPY)'!$C$2)</f>
        <v>0</v>
      </c>
      <c r="AN5" s="337">
        <f>SUMIFS(BS_RE33!$H$7:$H$874,BS_RE33!$S$7:$S$874,$AN$2,BS_RE33!$N$7:$N$874,I5,BS_RE33!$P$7:$P$874,'30 days CF Table(JPY)'!G5,BS_RE33!$F$7:$F$874,'30 days CF Table(JPY)'!$C$2)</f>
        <v>0</v>
      </c>
      <c r="AO5" s="337">
        <f>SUMIFS(BS_RE33!$H$7:$H$874,BS_RE33!$S$7:$S$874,$AO$2,BS_RE33!$N$7:$N$874,I5,BS_RE33!$P$7:$P$874,'30 days CF Table(JPY)'!G5,BS_RE33!$F$7:$F$874,'30 days CF Table(JPY)'!$C$2)</f>
        <v>0</v>
      </c>
      <c r="AP5" s="338">
        <f>SUMIFS(BS_RE33!$H$7:$H$874,BS_RE33!$S$7:$S$874,$AP$2,BS_RE33!$N$7:$N$874,I5,BS_RE33!$P$7:$P$874,'30 days CF Table(JPY)'!G5,BS_RE33!$F$7:$F$874,'30 days CF Table(JPY)'!$C$2)</f>
        <v>0</v>
      </c>
      <c r="AQ5" s="545"/>
      <c r="AR5" s="379">
        <f>SUMIFS(BS_RE33!$H$7:$H$874,BS_RE33!$S$7:$S$874,$AR$2,BS_RE33!$N$7:$N$874,I5,BS_RE33!$P$7:$P$874,'30 days CF Table(JPY)'!G5,BS_RE33!$F$7:$F$874,'30 days CF Table(JPY)'!$C$2)</f>
        <v>0</v>
      </c>
      <c r="AS5" s="379">
        <f>SUMIFS(BS_RE33!$H$7:$H$874,BS_RE33!$S$7:$S$874,$AS$2,BS_RE33!$N$7:$N$874,I5,BS_RE33!$P$7:$P$874,'30 days CF Table(JPY)'!G5,BS_RE33!$F$7:$F$874,'30 days CF Table(JPY)'!$C$2)</f>
        <v>0</v>
      </c>
      <c r="AT5" s="379">
        <f>SUMIFS(BS_RE33!$H$7:$H$874,BS_RE33!$S$7:$S$874,$AT$2,BS_RE33!$N$7:$N$874,I5,BS_RE33!$P$7:$P$874,'30 days CF Table(JPY)'!G5,BS_RE33!$F$7:$F$874,'30 days CF Table(JPY)'!$C$2)</f>
        <v>0</v>
      </c>
      <c r="AU5" s="379">
        <f>SUMIFS(BS_RE33!$H$7:$H$874,BS_RE33!$S$7:$S$874,$AU$2,BS_RE33!$N$7:$N$874,I5,BS_RE33!$P$7:$P$874,'30 days CF Table(JPY)'!G5,BS_RE33!$F$7:$F$874,'30 days CF Table(JPY)'!$C$2)</f>
        <v>0</v>
      </c>
      <c r="AV5" s="379">
        <f>SUMIFS(BS_RE33!$H$7:$H$874,BS_RE33!$S$7:$S$874,$AV$2,BS_RE33!$N$7:$N$874,I5,BS_RE33!$P$7:$P$874,'30 days CF Table(JPY)'!G5,BS_RE33!$F$7:$F$874,'30 days CF Table(JPY)'!$C$2)</f>
        <v>0</v>
      </c>
      <c r="AW5" s="379">
        <f>SUMIFS(BS_RE33!$H$7:$H$874,BS_RE33!$S$7:$S$874,$AW$2,BS_RE33!$N$7:$N$874,I5,BS_RE33!$P$7:$P$874,'30 days CF Table(JPY)'!G5,BS_RE33!$F$7:$F$874,'30 days CF Table(JPY)'!$C$2)</f>
        <v>0</v>
      </c>
      <c r="AX5" s="379">
        <f>SUMIFS(BS_RE33!$H$7:$H$874,BS_RE33!$S$7:$S$874,$AX$2,BS_RE33!$N$7:$N$874,I5,BS_RE33!$P$7:$P$874,'30 days CF Table(JPY)'!G5,BS_RE33!$F$7:$F$874,'30 days CF Table(JPY)'!$C$2)</f>
        <v>0</v>
      </c>
      <c r="AY5" s="379">
        <f>SUMIFS(BS_RE33!$H$7:$H$874,BS_RE33!$S$7:$S$874,$AY$2,BS_RE33!$N$7:$N$874,I5,BS_RE33!$P$7:$P$874,'30 days CF Table(JPY)'!G5,BS_RE33!$F$7:$F$874,'30 days CF Table(JPY)'!$C$2)</f>
        <v>0</v>
      </c>
      <c r="AZ5" s="379">
        <f>SUMIFS(BS_RE33!$H$7:$H$874,BS_RE33!$S$7:$S$874,$AZ$2,BS_RE33!$N$7:$N$874,I5,BS_RE33!$P$7:$P$874,'30 days CF Table(JPY)'!G5,BS_RE33!$F$7:$F$874,'30 days CF Table(JPY)'!$C$2)</f>
        <v>0</v>
      </c>
      <c r="BA5" s="379">
        <f>SUMIFS(BS_RE33!$H$7:$H$874,BS_RE33!$S$7:$S$874,$BA$2,BS_RE33!$N$7:$N$874,I5,BS_RE33!$P$7:$P$874,'30 days CF Table(JPY)'!G5,BS_RE33!$F$7:$F$874,'30 days CF Table(JPY)'!$C$2)</f>
        <v>0</v>
      </c>
      <c r="BB5" s="379">
        <f>SUMIFS(BS_RE33!$H$7:$H$874,BS_RE33!$S$7:$S$874,$BB$2,BS_RE33!$N$7:$N$874,I5,BS_RE33!$P$7:$P$874,'30 days CF Table(JPY)'!G5,BS_RE33!$F$7:$F$874,'30 days CF Table(JPY)'!$C$2)</f>
        <v>0</v>
      </c>
      <c r="BC5" s="379">
        <f>SUMIFS(BS_RE33!$H$7:$H$874,BS_RE33!$S$7:$S$874,$BC$2,BS_RE33!$N$7:$N$874,I5,BS_RE33!$P$7:$P$874,'30 days CF Table(JPY)'!G5,BS_RE33!$F$7:$F$874,'30 days CF Table(JPY)'!$C$2)</f>
        <v>0</v>
      </c>
      <c r="BD5" s="379">
        <f>SUMIFS(BS_RE33!$H$7:$H$874,BS_RE33!$S$7:$S$874,$BD$2,BS_RE33!$N$7:$N$874,I5,BS_RE33!$P$7:$P$874,'30 days CF Table(JPY)'!G5,BS_RE33!$F$7:$F$874,'30 days CF Table(JPY)'!$C$2)</f>
        <v>0</v>
      </c>
      <c r="BE5" s="379">
        <f>SUMIFS(BS_RE33!$H$7:$H$874,BS_RE33!$S$7:$S$874,$BE$2,BS_RE33!$N$7:$N$874,I5,BS_RE33!$P$7:$P$874,'30 days CF Table(JPY)'!G5,BS_RE33!$F$7:$F$874,'30 days CF Table(JPY)'!$C$2)</f>
        <v>0</v>
      </c>
      <c r="BF5" s="379">
        <f>SUMIFS(BS_RE33!$H$7:$H$874,BS_RE33!$S$7:$S$874,$BF$2,BS_RE33!$N$7:$N$874,I5,BS_RE33!$P$7:$P$874,'30 days CF Table(JPY)'!G5,BS_RE33!$F$7:$F$874,'30 days CF Table(JPY)'!$C$2)</f>
        <v>0</v>
      </c>
      <c r="BG5" s="379">
        <f>SUMIFS(BS_RE33!$H$7:$H$874,BS_RE33!$S$7:$S$874,$BG$2,BS_RE33!$N$7:$N$874,I5,BS_RE33!$P$7:$P$874,'30 days CF Table(JPY)'!G5,BS_RE33!$F$7:$F$874,'30 days CF Table(JPY)'!$C$2)</f>
        <v>0</v>
      </c>
      <c r="BH5" s="379">
        <f>SUMIFS(BS_RE33!$H$7:$H$874,BS_RE33!$S$7:$S$874,$BH$2,BS_RE33!$N$7:$N$874,I5,BS_RE33!$P$7:$P$874,'30 days CF Table(JPY)'!G5,BS_RE33!$F$7:$F$874,'30 days CF Table(JPY)'!$C$2)</f>
        <v>0</v>
      </c>
      <c r="BI5" s="379">
        <f>SUMIFS(BS_RE33!$H$7:$H$874,BS_RE33!$S$7:$S$874,$BI$2,BS_RE33!$N$7:$N$874,I5,BS_RE33!$P$7:$P$874,'30 days CF Table(JPY)'!G5,BS_RE33!$F$7:$F$874,'30 days CF Table(JPY)'!$C$2)</f>
        <v>0</v>
      </c>
      <c r="BJ5" s="379">
        <f>SUMIFS(BS_RE33!$H$7:$H$874,BS_RE33!$S$7:$S$874,$BJ$2,BS_RE33!$N$7:$N$874,I5,BS_RE33!$P$7:$P$874,'30 days CF Table(JPY)'!G5,BS_RE33!$F$7:$F$874,'30 days CF Table(JPY)'!$C$2)</f>
        <v>0</v>
      </c>
      <c r="BK5" s="379">
        <f>SUMIFS(BS_RE33!$H$7:$H$874,BS_RE33!$S$7:$S$874,$BK$2,BS_RE33!$N$7:$N$874,I5,BS_RE33!$P$7:$P$874,'30 days CF Table(JPY)'!G5,BS_RE33!$F$7:$F$874,'30 days CF Table(JPY)'!$C$2)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Table(JPY)'!G6,BS_RE33!$F$7:$F$874,'30 days CF Table(JPY)'!$C$2)</f>
        <v>0</v>
      </c>
      <c r="M6" s="337">
        <f>SUMIFS(BS_RE33!$H$7:$H$874,BS_RE33!$S$7:$S$874,$M$2,BS_RE33!$N$7:$N$874,I6,BS_RE33!$P$7:$P$874,'30 days CF Table(JPY)'!G6,BS_RE33!$F$7:$F$874,'30 days CF Table(JPY)'!$C$2)</f>
        <v>0</v>
      </c>
      <c r="N6" s="337">
        <f>SUMIFS(BS_RE33!$H$7:$H$874,BS_RE33!$S$7:$S$874,$N$2,BS_RE33!$N$7:$N$874,I6,BS_RE33!$P$7:$P$874,'30 days CF Table(JPY)'!G6,BS_RE33!$F$7:$F$874,'30 days CF Table(JPY)'!$C$2)</f>
        <v>0</v>
      </c>
      <c r="O6" s="337">
        <f>SUMIFS(BS_RE33!$H$7:$H$874,BS_RE33!$S$7:$S$874,$O$2,BS_RE33!$N$7:$N$874,I6,BS_RE33!$P$7:$P$874,'30 days CF Table(JPY)'!G6,BS_RE33!$F$7:$F$874,'30 days CF Table(JPY)'!$C$2)</f>
        <v>0</v>
      </c>
      <c r="P6" s="337">
        <f>SUMIFS(BS_RE33!$H$7:$H$874,BS_RE33!$S$7:$S$874,$P$2,BS_RE33!$N$7:$N$874,I6,BS_RE33!$P$7:$P$874,'30 days CF Table(JPY)'!G6,BS_RE33!$F$7:$F$874,'30 days CF Table(JPY)'!$C$2)</f>
        <v>0</v>
      </c>
      <c r="Q6" s="337">
        <f>SUMIFS(BS_RE33!$H$7:$H$874,BS_RE33!$S$7:$S$874,$Q$2,BS_RE33!$N$7:$N$874,I6,BS_RE33!$P$7:$P$874,'30 days CF Table(JPY)'!G6,BS_RE33!$F$7:$F$874,'30 days CF Table(JPY)'!$C$2)</f>
        <v>0</v>
      </c>
      <c r="R6" s="337">
        <f>SUMIFS(BS_RE33!$H$7:$H$874,BS_RE33!$S$7:$S$874,$R$2,BS_RE33!$N$7:$N$874,I6,BS_RE33!$P$7:$P$874,'30 days CF Table(JPY)'!G6,BS_RE33!$F$7:$F$874,'30 days CF Table(JPY)'!$C$2)</f>
        <v>0</v>
      </c>
      <c r="S6" s="337">
        <f>SUMIFS(BS_RE33!$H$7:$H$874,BS_RE33!$S$7:$S$874,$S$2,BS_RE33!$N$7:$N$874,I6,BS_RE33!$P$7:$P$874,'30 days CF Table(JPY)'!G6,BS_RE33!$F$7:$F$874,'30 days CF Table(JPY)'!$C$2)</f>
        <v>0</v>
      </c>
      <c r="T6" s="337">
        <f>SUMIFS(BS_RE33!$H$7:$H$874,BS_RE33!$S$7:$S$874,$T$2,BS_RE33!$N$7:$N$874,I6,BS_RE33!$P$7:$P$874,'30 days CF Table(JPY)'!G6,BS_RE33!$F$7:$F$874,'30 days CF Table(JPY)'!$C$2)</f>
        <v>0</v>
      </c>
      <c r="U6" s="337">
        <f>SUMIFS(BS_RE33!$H$7:$H$874,BS_RE33!$S$7:$S$874,$U$2,BS_RE33!$N$7:$N$874,I6,BS_RE33!$P$7:$P$874,'30 days CF Table(JPY)'!G6,BS_RE33!$F$7:$F$874,'30 days CF Table(JPY)'!$C$2)</f>
        <v>0</v>
      </c>
      <c r="V6" s="337">
        <f>SUMIFS(BS_RE33!$H$7:$H$874,BS_RE33!$S$7:$S$874,$V$2,BS_RE33!$N$7:$N$874,I6,BS_RE33!$P$7:$P$874,'30 days CF Table(JPY)'!G6,BS_RE33!$F$7:$F$874,'30 days CF Table(JPY)'!$C$2)</f>
        <v>0</v>
      </c>
      <c r="W6" s="337">
        <f>SUMIFS(BS_RE33!$H$7:$H$874,BS_RE33!$S$7:$S$874,$W$2,BS_RE33!$N$7:$N$874,I6,BS_RE33!$P$7:$P$874,'30 days CF Table(JPY)'!G6,BS_RE33!$F$7:$F$874,'30 days CF Table(JPY)'!$C$2)</f>
        <v>0</v>
      </c>
      <c r="X6" s="337">
        <f>SUMIFS(BS_RE33!$H$7:$H$874,BS_RE33!$S$7:$S$874,$X$2,BS_RE33!$N$7:$N$874,I6,BS_RE33!$P$7:$P$874,'30 days CF Table(JPY)'!G6,BS_RE33!$F$7:$F$874,'30 days CF Table(JPY)'!$C$2)</f>
        <v>0</v>
      </c>
      <c r="Y6" s="337">
        <f>SUMIFS(BS_RE33!$H$7:$H$874,BS_RE33!$S$7:$S$874,$Y$2,BS_RE33!$N$7:$N$874,I6,BS_RE33!$P$7:$P$874,'30 days CF Table(JPY)'!G6,BS_RE33!$F$7:$F$874,'30 days CF Table(JPY)'!$C$2)</f>
        <v>0</v>
      </c>
      <c r="Z6" s="337">
        <f>SUMIFS(BS_RE33!$H$7:$H$874,BS_RE33!$S$7:$S$874,$Z$2,BS_RE33!$N$7:$N$874,I6,BS_RE33!$P$7:$P$874,'30 days CF Table(JPY)'!G6,BS_RE33!$F$7:$F$874,'30 days CF Table(JPY)'!$C$2)</f>
        <v>0</v>
      </c>
      <c r="AA6" s="337">
        <f>SUMIFS(BS_RE33!$H$7:$H$874,BS_RE33!$S$7:$S$874,$AA$2,BS_RE33!$N$7:$N$874,I6,BS_RE33!$P$7:$P$874,'30 days CF Table(JPY)'!G6,BS_RE33!$F$7:$F$874,'30 days CF Table(JPY)'!$C$2)</f>
        <v>0</v>
      </c>
      <c r="AB6" s="337">
        <f>SUMIFS(BS_RE33!$H$7:$H$874,BS_RE33!$S$7:$S$874,$AB$2,BS_RE33!$N$7:$N$874,I6,BS_RE33!$P$7:$P$874,'30 days CF Table(JPY)'!G6,BS_RE33!$F$7:$F$874,'30 days CF Table(JPY)'!$C$2)</f>
        <v>0</v>
      </c>
      <c r="AC6" s="337">
        <f>SUMIFS(BS_RE33!$H$7:$H$874,BS_RE33!$S$7:$S$874,$AC$2,BS_RE33!$N$7:$N$874,I6,BS_RE33!$P$7:$P$874,'30 days CF Table(JPY)'!G6,BS_RE33!$F$7:$F$874,'30 days CF Table(JPY)'!$C$2)</f>
        <v>0</v>
      </c>
      <c r="AD6" s="337">
        <f>SUMIFS(BS_RE33!$H$7:$H$874,BS_RE33!$S$7:$S$874,$AD$2,BS_RE33!$N$7:$N$874,I6,BS_RE33!$P$7:$P$874,'30 days CF Table(JPY)'!G6,BS_RE33!$F$7:$F$874,'30 days CF Table(JPY)'!$C$2)</f>
        <v>0</v>
      </c>
      <c r="AE6" s="337">
        <f>SUMIFS(BS_RE33!$H$7:$H$874,BS_RE33!$S$7:$S$874,$AE$2,BS_RE33!$N$7:$N$874,I6,BS_RE33!$P$7:$P$874,'30 days CF Table(JPY)'!G6,BS_RE33!$F$7:$F$874,'30 days CF Table(JPY)'!$C$2)</f>
        <v>0</v>
      </c>
      <c r="AF6" s="337">
        <f>SUMIFS(BS_RE33!$H$7:$H$874,BS_RE33!$S$7:$S$874,$AF$2,BS_RE33!$N$7:$N$874,I6,BS_RE33!$P$7:$P$874,'30 days CF Table(JPY)'!G6,BS_RE33!$F$7:$F$874,'30 days CF Table(JPY)'!$C$2)</f>
        <v>0</v>
      </c>
      <c r="AG6" s="337">
        <f>SUMIFS(BS_RE33!$H$7:$H$874,BS_RE33!$S$7:$S$874,$AG$2,BS_RE33!$N$7:$N$874,I6,BS_RE33!$P$7:$P$874,'30 days CF Table(JPY)'!G6,BS_RE33!$F$7:$F$874,'30 days CF Table(JPY)'!$C$2)</f>
        <v>0</v>
      </c>
      <c r="AH6" s="337">
        <f>SUMIFS(BS_RE33!$H$7:$H$874,BS_RE33!$S$7:$S$874,$AH$2,BS_RE33!$N$7:$N$874,I6,BS_RE33!$P$7:$P$874,'30 days CF Table(JPY)'!G6,BS_RE33!$F$7:$F$874,'30 days CF Table(JPY)'!$C$2)</f>
        <v>0</v>
      </c>
      <c r="AI6" s="337">
        <f>SUMIFS(BS_RE33!$H$7:$H$874,BS_RE33!$S$7:$S$874,$AI$2,BS_RE33!$N$7:$N$874,I6,BS_RE33!$P$7:$P$874,'30 days CF Table(JPY)'!G6,BS_RE33!$F$7:$F$874,'30 days CF Table(JPY)'!$C$2)</f>
        <v>0</v>
      </c>
      <c r="AJ6" s="337">
        <f>SUMIFS(BS_RE33!$H$7:$H$874,BS_RE33!$S$7:$S$874,$AJ$2,BS_RE33!$N$7:$N$874,I6,BS_RE33!$P$7:$P$874,'30 days CF Table(JPY)'!G6,BS_RE33!$F$7:$F$874,'30 days CF Table(JPY)'!$C$2)</f>
        <v>0</v>
      </c>
      <c r="AK6" s="337">
        <f>SUMIFS(BS_RE33!$H$7:$H$874,BS_RE33!$S$7:$S$874,$AK$2,BS_RE33!$N$7:$N$874,I6,BS_RE33!$P$7:$P$874,'30 days CF Table(JPY)'!G6,BS_RE33!$F$7:$F$874,'30 days CF Table(JPY)'!$C$2)</f>
        <v>0</v>
      </c>
      <c r="AL6" s="337">
        <f>SUMIFS(BS_RE33!$H$7:$H$874,BS_RE33!$S$7:$S$874,$AL$2,BS_RE33!$N$7:$N$874,I6,BS_RE33!$P$7:$P$874,'30 days CF Table(JPY)'!G6,BS_RE33!$F$7:$F$874,'30 days CF Table(JPY)'!$C$2)</f>
        <v>0</v>
      </c>
      <c r="AM6" s="337">
        <f>SUMIFS(BS_RE33!$H$7:$H$874,BS_RE33!$S$7:$S$874,$AM$2,BS_RE33!$N$7:$N$874,I6,BS_RE33!$P$7:$P$874,'30 days CF Table(JPY)'!G6,BS_RE33!$F$7:$F$874,'30 days CF Table(JPY)'!$C$2)</f>
        <v>0</v>
      </c>
      <c r="AN6" s="337">
        <f>SUMIFS(BS_RE33!$H$7:$H$874,BS_RE33!$S$7:$S$874,$AN$2,BS_RE33!$N$7:$N$874,I6,BS_RE33!$P$7:$P$874,'30 days CF Table(JPY)'!G6,BS_RE33!$F$7:$F$874,'30 days CF Table(JPY)'!$C$2)</f>
        <v>0</v>
      </c>
      <c r="AO6" s="337">
        <f>SUMIFS(BS_RE33!$H$7:$H$874,BS_RE33!$S$7:$S$874,$AO$2,BS_RE33!$N$7:$N$874,I6,BS_RE33!$P$7:$P$874,'30 days CF Table(JPY)'!G6,BS_RE33!$F$7:$F$874,'30 days CF Table(JPY)'!$C$2)</f>
        <v>0</v>
      </c>
      <c r="AP6" s="338">
        <f>SUMIFS(BS_RE33!$H$7:$H$874,BS_RE33!$S$7:$S$874,$AP$2,BS_RE33!$N$7:$N$874,I6,BS_RE33!$P$7:$P$874,'30 days CF Table(JPY)'!G6,BS_RE33!$F$7:$F$874,'30 days CF Table(JPY)'!$C$2)</f>
        <v>0</v>
      </c>
      <c r="AQ6" s="545"/>
      <c r="AR6" s="379">
        <f>SUMIFS(BS_RE33!$H$7:$H$874,BS_RE33!$S$7:$S$874,$AR$2,BS_RE33!$N$7:$N$874,I6,BS_RE33!$P$7:$P$874,'30 days CF Table(JPY)'!G6,BS_RE33!$F$7:$F$874,'30 days CF Table(JPY)'!$C$2)</f>
        <v>0</v>
      </c>
      <c r="AS6" s="379">
        <f>SUMIFS(BS_RE33!$H$7:$H$874,BS_RE33!$S$7:$S$874,$AS$2,BS_RE33!$N$7:$N$874,I6,BS_RE33!$P$7:$P$874,'30 days CF Table(JPY)'!G6,BS_RE33!$F$7:$F$874,'30 days CF Table(JPY)'!$C$2)</f>
        <v>0</v>
      </c>
      <c r="AT6" s="379">
        <f>SUMIFS(BS_RE33!$H$7:$H$874,BS_RE33!$S$7:$S$874,$AT$2,BS_RE33!$N$7:$N$874,I6,BS_RE33!$P$7:$P$874,'30 days CF Table(JPY)'!G6,BS_RE33!$F$7:$F$874,'30 days CF Table(JPY)'!$C$2)</f>
        <v>0</v>
      </c>
      <c r="AU6" s="379">
        <f>SUMIFS(BS_RE33!$H$7:$H$874,BS_RE33!$S$7:$S$874,$AU$2,BS_RE33!$N$7:$N$874,I6,BS_RE33!$P$7:$P$874,'30 days CF Table(JPY)'!G6,BS_RE33!$F$7:$F$874,'30 days CF Table(JPY)'!$C$2)</f>
        <v>0</v>
      </c>
      <c r="AV6" s="379">
        <f>SUMIFS(BS_RE33!$H$7:$H$874,BS_RE33!$S$7:$S$874,$AV$2,BS_RE33!$N$7:$N$874,I6,BS_RE33!$P$7:$P$874,'30 days CF Table(JPY)'!G6,BS_RE33!$F$7:$F$874,'30 days CF Table(JPY)'!$C$2)</f>
        <v>0</v>
      </c>
      <c r="AW6" s="379">
        <f>SUMIFS(BS_RE33!$H$7:$H$874,BS_RE33!$S$7:$S$874,$AW$2,BS_RE33!$N$7:$N$874,I6,BS_RE33!$P$7:$P$874,'30 days CF Table(JPY)'!G6,BS_RE33!$F$7:$F$874,'30 days CF Table(JPY)'!$C$2)</f>
        <v>0</v>
      </c>
      <c r="AX6" s="379">
        <f>SUMIFS(BS_RE33!$H$7:$H$874,BS_RE33!$S$7:$S$874,$AX$2,BS_RE33!$N$7:$N$874,I6,BS_RE33!$P$7:$P$874,'30 days CF Table(JPY)'!G6,BS_RE33!$F$7:$F$874,'30 days CF Table(JPY)'!$C$2)</f>
        <v>0</v>
      </c>
      <c r="AY6" s="379">
        <f>SUMIFS(BS_RE33!$H$7:$H$874,BS_RE33!$S$7:$S$874,$AY$2,BS_RE33!$N$7:$N$874,I6,BS_RE33!$P$7:$P$874,'30 days CF Table(JPY)'!G6,BS_RE33!$F$7:$F$874,'30 days CF Table(JPY)'!$C$2)</f>
        <v>0</v>
      </c>
      <c r="AZ6" s="379">
        <f>SUMIFS(BS_RE33!$H$7:$H$874,BS_RE33!$S$7:$S$874,$AZ$2,BS_RE33!$N$7:$N$874,I6,BS_RE33!$P$7:$P$874,'30 days CF Table(JPY)'!G6,BS_RE33!$F$7:$F$874,'30 days CF Table(JPY)'!$C$2)</f>
        <v>0</v>
      </c>
      <c r="BA6" s="379">
        <f>SUMIFS(BS_RE33!$H$7:$H$874,BS_RE33!$S$7:$S$874,$BA$2,BS_RE33!$N$7:$N$874,I6,BS_RE33!$P$7:$P$874,'30 days CF Table(JPY)'!G6,BS_RE33!$F$7:$F$874,'30 days CF Table(JPY)'!$C$2)</f>
        <v>0</v>
      </c>
      <c r="BB6" s="379">
        <f>SUMIFS(BS_RE33!$H$7:$H$874,BS_RE33!$S$7:$S$874,$BB$2,BS_RE33!$N$7:$N$874,I6,BS_RE33!$P$7:$P$874,'30 days CF Table(JPY)'!G6,BS_RE33!$F$7:$F$874,'30 days CF Table(JPY)'!$C$2)</f>
        <v>0</v>
      </c>
      <c r="BC6" s="379">
        <f>SUMIFS(BS_RE33!$H$7:$H$874,BS_RE33!$S$7:$S$874,$BC$2,BS_RE33!$N$7:$N$874,I6,BS_RE33!$P$7:$P$874,'30 days CF Table(JPY)'!G6,BS_RE33!$F$7:$F$874,'30 days CF Table(JPY)'!$C$2)</f>
        <v>0</v>
      </c>
      <c r="BD6" s="379">
        <f>SUMIFS(BS_RE33!$H$7:$H$874,BS_RE33!$S$7:$S$874,$BD$2,BS_RE33!$N$7:$N$874,I6,BS_RE33!$P$7:$P$874,'30 days CF Table(JPY)'!G6,BS_RE33!$F$7:$F$874,'30 days CF Table(JPY)'!$C$2)</f>
        <v>0</v>
      </c>
      <c r="BE6" s="379">
        <f>SUMIFS(BS_RE33!$H$7:$H$874,BS_RE33!$S$7:$S$874,$BE$2,BS_RE33!$N$7:$N$874,I6,BS_RE33!$P$7:$P$874,'30 days CF Table(JPY)'!G6,BS_RE33!$F$7:$F$874,'30 days CF Table(JPY)'!$C$2)</f>
        <v>0</v>
      </c>
      <c r="BF6" s="379">
        <f>SUMIFS(BS_RE33!$H$7:$H$874,BS_RE33!$S$7:$S$874,$BF$2,BS_RE33!$N$7:$N$874,I6,BS_RE33!$P$7:$P$874,'30 days CF Table(JPY)'!G6,BS_RE33!$F$7:$F$874,'30 days CF Table(JPY)'!$C$2)</f>
        <v>0</v>
      </c>
      <c r="BG6" s="379">
        <f>SUMIFS(BS_RE33!$H$7:$H$874,BS_RE33!$S$7:$S$874,$BG$2,BS_RE33!$N$7:$N$874,I6,BS_RE33!$P$7:$P$874,'30 days CF Table(JPY)'!G6,BS_RE33!$F$7:$F$874,'30 days CF Table(JPY)'!$C$2)</f>
        <v>0</v>
      </c>
      <c r="BH6" s="379">
        <f>SUMIFS(BS_RE33!$H$7:$H$874,BS_RE33!$S$7:$S$874,$BH$2,BS_RE33!$N$7:$N$874,I6,BS_RE33!$P$7:$P$874,'30 days CF Table(JPY)'!G6,BS_RE33!$F$7:$F$874,'30 days CF Table(JPY)'!$C$2)</f>
        <v>0</v>
      </c>
      <c r="BI6" s="379">
        <f>SUMIFS(BS_RE33!$H$7:$H$874,BS_RE33!$S$7:$S$874,$BI$2,BS_RE33!$N$7:$N$874,I6,BS_RE33!$P$7:$P$874,'30 days CF Table(JPY)'!G6,BS_RE33!$F$7:$F$874,'30 days CF Table(JPY)'!$C$2)</f>
        <v>0</v>
      </c>
      <c r="BJ6" s="379">
        <f>SUMIFS(BS_RE33!$H$7:$H$874,BS_RE33!$S$7:$S$874,$BJ$2,BS_RE33!$N$7:$N$874,I6,BS_RE33!$P$7:$P$874,'30 days CF Table(JPY)'!G6,BS_RE33!$F$7:$F$874,'30 days CF Table(JPY)'!$C$2)</f>
        <v>0</v>
      </c>
      <c r="BK6" s="379">
        <f>SUMIFS(BS_RE33!$H$7:$H$874,BS_RE33!$S$7:$S$874,$BK$2,BS_RE33!$N$7:$N$874,I6,BS_RE33!$P$7:$P$874,'30 days CF Table(JPY)'!G6,BS_RE33!$F$7:$F$874,'30 days CF Table(JPY)'!$C$2)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Table(JPY)'!G7,BS_RE33!$F$7:$F$874,'30 days CF Table(JPY)'!$C$2)</f>
        <v>0</v>
      </c>
      <c r="M7" s="337">
        <f>SUMIFS(BS_RE33!$H$7:$H$874,BS_RE33!$S$7:$S$874,$M$2,BS_RE33!$N$7:$N$874,I7,BS_RE33!$P$7:$P$874,'30 days CF Table(JPY)'!G7,BS_RE33!$F$7:$F$874,'30 days CF Table(JPY)'!$C$2)</f>
        <v>0</v>
      </c>
      <c r="N7" s="337">
        <f>SUMIFS(BS_RE33!$H$7:$H$874,BS_RE33!$S$7:$S$874,$N$2,BS_RE33!$N$7:$N$874,I7,BS_RE33!$P$7:$P$874,'30 days CF Table(JPY)'!G7,BS_RE33!$F$7:$F$874,'30 days CF Table(JPY)'!$C$2)</f>
        <v>0</v>
      </c>
      <c r="O7" s="337">
        <f>SUMIFS(BS_RE33!$H$7:$H$874,BS_RE33!$S$7:$S$874,$O$2,BS_RE33!$N$7:$N$874,I7,BS_RE33!$P$7:$P$874,'30 days CF Table(JPY)'!G7,BS_RE33!$F$7:$F$874,'30 days CF Table(JPY)'!$C$2)</f>
        <v>0</v>
      </c>
      <c r="P7" s="337">
        <f>SUMIFS(BS_RE33!$H$7:$H$874,BS_RE33!$S$7:$S$874,$P$2,BS_RE33!$N$7:$N$874,I7,BS_RE33!$P$7:$P$874,'30 days CF Table(JPY)'!G7,BS_RE33!$F$7:$F$874,'30 days CF Table(JPY)'!$C$2)</f>
        <v>0</v>
      </c>
      <c r="Q7" s="337">
        <f>SUMIFS(BS_RE33!$H$7:$H$874,BS_RE33!$S$7:$S$874,$Q$2,BS_RE33!$N$7:$N$874,I7,BS_RE33!$P$7:$P$874,'30 days CF Table(JPY)'!G7,BS_RE33!$F$7:$F$874,'30 days CF Table(JPY)'!$C$2)</f>
        <v>0</v>
      </c>
      <c r="R7" s="337">
        <f>SUMIFS(BS_RE33!$H$7:$H$874,BS_RE33!$S$7:$S$874,$R$2,BS_RE33!$N$7:$N$874,I7,BS_RE33!$P$7:$P$874,'30 days CF Table(JPY)'!G7,BS_RE33!$F$7:$F$874,'30 days CF Table(JPY)'!$C$2)</f>
        <v>0</v>
      </c>
      <c r="S7" s="337">
        <f>SUMIFS(BS_RE33!$H$7:$H$874,BS_RE33!$S$7:$S$874,$S$2,BS_RE33!$N$7:$N$874,I7,BS_RE33!$P$7:$P$874,'30 days CF Table(JPY)'!G7,BS_RE33!$F$7:$F$874,'30 days CF Table(JPY)'!$C$2)</f>
        <v>0</v>
      </c>
      <c r="T7" s="337">
        <f>SUMIFS(BS_RE33!$H$7:$H$874,BS_RE33!$S$7:$S$874,$T$2,BS_RE33!$N$7:$N$874,I7,BS_RE33!$P$7:$P$874,'30 days CF Table(JPY)'!G7,BS_RE33!$F$7:$F$874,'30 days CF Table(JPY)'!$C$2)</f>
        <v>0</v>
      </c>
      <c r="U7" s="337">
        <f>SUMIFS(BS_RE33!$H$7:$H$874,BS_RE33!$S$7:$S$874,$U$2,BS_RE33!$N$7:$N$874,I7,BS_RE33!$P$7:$P$874,'30 days CF Table(JPY)'!G7,BS_RE33!$F$7:$F$874,'30 days CF Table(JPY)'!$C$2)</f>
        <v>0</v>
      </c>
      <c r="V7" s="337">
        <f>SUMIFS(BS_RE33!$H$7:$H$874,BS_RE33!$S$7:$S$874,$V$2,BS_RE33!$N$7:$N$874,I7,BS_RE33!$P$7:$P$874,'30 days CF Table(JPY)'!G7,BS_RE33!$F$7:$F$874,'30 days CF Table(JPY)'!$C$2)</f>
        <v>0</v>
      </c>
      <c r="W7" s="337">
        <f>SUMIFS(BS_RE33!$H$7:$H$874,BS_RE33!$S$7:$S$874,$W$2,BS_RE33!$N$7:$N$874,I7,BS_RE33!$P$7:$P$874,'30 days CF Table(JPY)'!G7,BS_RE33!$F$7:$F$874,'30 days CF Table(JPY)'!$C$2)</f>
        <v>0</v>
      </c>
      <c r="X7" s="337">
        <f>SUMIFS(BS_RE33!$H$7:$H$874,BS_RE33!$S$7:$S$874,$X$2,BS_RE33!$N$7:$N$874,I7,BS_RE33!$P$7:$P$874,'30 days CF Table(JPY)'!G7,BS_RE33!$F$7:$F$874,'30 days CF Table(JPY)'!$C$2)</f>
        <v>0</v>
      </c>
      <c r="Y7" s="337">
        <f>SUMIFS(BS_RE33!$H$7:$H$874,BS_RE33!$S$7:$S$874,$Y$2,BS_RE33!$N$7:$N$874,I7,BS_RE33!$P$7:$P$874,'30 days CF Table(JPY)'!G7,BS_RE33!$F$7:$F$874,'30 days CF Table(JPY)'!$C$2)</f>
        <v>0</v>
      </c>
      <c r="Z7" s="337">
        <f>SUMIFS(BS_RE33!$H$7:$H$874,BS_RE33!$S$7:$S$874,$Z$2,BS_RE33!$N$7:$N$874,I7,BS_RE33!$P$7:$P$874,'30 days CF Table(JPY)'!G7,BS_RE33!$F$7:$F$874,'30 days CF Table(JPY)'!$C$2)</f>
        <v>0</v>
      </c>
      <c r="AA7" s="337">
        <f>SUMIFS(BS_RE33!$H$7:$H$874,BS_RE33!$S$7:$S$874,$AA$2,BS_RE33!$N$7:$N$874,I7,BS_RE33!$P$7:$P$874,'30 days CF Table(JPY)'!G7,BS_RE33!$F$7:$F$874,'30 days CF Table(JPY)'!$C$2)</f>
        <v>0</v>
      </c>
      <c r="AB7" s="337">
        <f>SUMIFS(BS_RE33!$H$7:$H$874,BS_RE33!$S$7:$S$874,$AB$2,BS_RE33!$N$7:$N$874,I7,BS_RE33!$P$7:$P$874,'30 days CF Table(JPY)'!G7,BS_RE33!$F$7:$F$874,'30 days CF Table(JPY)'!$C$2)</f>
        <v>0</v>
      </c>
      <c r="AC7" s="337">
        <f>SUMIFS(BS_RE33!$H$7:$H$874,BS_RE33!$S$7:$S$874,$AC$2,BS_RE33!$N$7:$N$874,I7,BS_RE33!$P$7:$P$874,'30 days CF Table(JPY)'!G7,BS_RE33!$F$7:$F$874,'30 days CF Table(JPY)'!$C$2)</f>
        <v>0</v>
      </c>
      <c r="AD7" s="337">
        <f>SUMIFS(BS_RE33!$H$7:$H$874,BS_RE33!$S$7:$S$874,$AD$2,BS_RE33!$N$7:$N$874,I7,BS_RE33!$P$7:$P$874,'30 days CF Table(JPY)'!G7,BS_RE33!$F$7:$F$874,'30 days CF Table(JPY)'!$C$2)</f>
        <v>0</v>
      </c>
      <c r="AE7" s="337">
        <f>SUMIFS(BS_RE33!$H$7:$H$874,BS_RE33!$S$7:$S$874,$AE$2,BS_RE33!$N$7:$N$874,I7,BS_RE33!$P$7:$P$874,'30 days CF Table(JPY)'!G7,BS_RE33!$F$7:$F$874,'30 days CF Table(JPY)'!$C$2)</f>
        <v>0</v>
      </c>
      <c r="AF7" s="337">
        <f>SUMIFS(BS_RE33!$H$7:$H$874,BS_RE33!$S$7:$S$874,$AF$2,BS_RE33!$N$7:$N$874,I7,BS_RE33!$P$7:$P$874,'30 days CF Table(JPY)'!G7,BS_RE33!$F$7:$F$874,'30 days CF Table(JPY)'!$C$2)</f>
        <v>0</v>
      </c>
      <c r="AG7" s="337">
        <f>SUMIFS(BS_RE33!$H$7:$H$874,BS_RE33!$S$7:$S$874,$AG$2,BS_RE33!$N$7:$N$874,I7,BS_RE33!$P$7:$P$874,'30 days CF Table(JPY)'!G7,BS_RE33!$F$7:$F$874,'30 days CF Table(JPY)'!$C$2)</f>
        <v>0</v>
      </c>
      <c r="AH7" s="337">
        <f>SUMIFS(BS_RE33!$H$7:$H$874,BS_RE33!$S$7:$S$874,$AH$2,BS_RE33!$N$7:$N$874,I7,BS_RE33!$P$7:$P$874,'30 days CF Table(JPY)'!G7,BS_RE33!$F$7:$F$874,'30 days CF Table(JPY)'!$C$2)</f>
        <v>0</v>
      </c>
      <c r="AI7" s="337">
        <f>SUMIFS(BS_RE33!$H$7:$H$874,BS_RE33!$S$7:$S$874,$AI$2,BS_RE33!$N$7:$N$874,I7,BS_RE33!$P$7:$P$874,'30 days CF Table(JPY)'!G7,BS_RE33!$F$7:$F$874,'30 days CF Table(JPY)'!$C$2)</f>
        <v>0</v>
      </c>
      <c r="AJ7" s="337">
        <f>SUMIFS(BS_RE33!$H$7:$H$874,BS_RE33!$S$7:$S$874,$AJ$2,BS_RE33!$N$7:$N$874,I7,BS_RE33!$P$7:$P$874,'30 days CF Table(JPY)'!G7,BS_RE33!$F$7:$F$874,'30 days CF Table(JPY)'!$C$2)</f>
        <v>0</v>
      </c>
      <c r="AK7" s="337">
        <f>SUMIFS(BS_RE33!$H$7:$H$874,BS_RE33!$S$7:$S$874,$AK$2,BS_RE33!$N$7:$N$874,I7,BS_RE33!$P$7:$P$874,'30 days CF Table(JPY)'!G7,BS_RE33!$F$7:$F$874,'30 days CF Table(JPY)'!$C$2)</f>
        <v>0</v>
      </c>
      <c r="AL7" s="337">
        <f>SUMIFS(BS_RE33!$H$7:$H$874,BS_RE33!$S$7:$S$874,$AL$2,BS_RE33!$N$7:$N$874,I7,BS_RE33!$P$7:$P$874,'30 days CF Table(JPY)'!G7,BS_RE33!$F$7:$F$874,'30 days CF Table(JPY)'!$C$2)</f>
        <v>0</v>
      </c>
      <c r="AM7" s="337">
        <f>SUMIFS(BS_RE33!$H$7:$H$874,BS_RE33!$S$7:$S$874,$AM$2,BS_RE33!$N$7:$N$874,I7,BS_RE33!$P$7:$P$874,'30 days CF Table(JPY)'!G7,BS_RE33!$F$7:$F$874,'30 days CF Table(JPY)'!$C$2)</f>
        <v>0</v>
      </c>
      <c r="AN7" s="337">
        <f>SUMIFS(BS_RE33!$H$7:$H$874,BS_RE33!$S$7:$S$874,$AN$2,BS_RE33!$N$7:$N$874,I7,BS_RE33!$P$7:$P$874,'30 days CF Table(JPY)'!G7,BS_RE33!$F$7:$F$874,'30 days CF Table(JPY)'!$C$2)</f>
        <v>0</v>
      </c>
      <c r="AO7" s="337">
        <f>SUMIFS(BS_RE33!$H$7:$H$874,BS_RE33!$S$7:$S$874,$AO$2,BS_RE33!$N$7:$N$874,I7,BS_RE33!$P$7:$P$874,'30 days CF Table(JPY)'!G7,BS_RE33!$F$7:$F$874,'30 days CF Table(JPY)'!$C$2)</f>
        <v>0</v>
      </c>
      <c r="AP7" s="338">
        <f>SUMIFS(BS_RE33!$H$7:$H$874,BS_RE33!$S$7:$S$874,$AP$2,BS_RE33!$N$7:$N$874,I7,BS_RE33!$P$7:$P$874,'30 days CF Table(JPY)'!G7,BS_RE33!$F$7:$F$874,'30 days CF Table(JPY)'!$C$2)</f>
        <v>0</v>
      </c>
      <c r="AQ7" s="545"/>
      <c r="AR7" s="379">
        <f>SUMIFS(BS_RE33!$H$7:$H$874,BS_RE33!$S$7:$S$874,$AR$2,BS_RE33!$N$7:$N$874,I7,BS_RE33!$P$7:$P$874,'30 days CF Table(JPY)'!G7,BS_RE33!$F$7:$F$874,'30 days CF Table(JPY)'!$C$2)</f>
        <v>0</v>
      </c>
      <c r="AS7" s="379">
        <f>SUMIFS(BS_RE33!$H$7:$H$874,BS_RE33!$S$7:$S$874,$AS$2,BS_RE33!$N$7:$N$874,I7,BS_RE33!$P$7:$P$874,'30 days CF Table(JPY)'!G7,BS_RE33!$F$7:$F$874,'30 days CF Table(JPY)'!$C$2)</f>
        <v>0</v>
      </c>
      <c r="AT7" s="379">
        <f>SUMIFS(BS_RE33!$H$7:$H$874,BS_RE33!$S$7:$S$874,$AT$2,BS_RE33!$N$7:$N$874,I7,BS_RE33!$P$7:$P$874,'30 days CF Table(JPY)'!G7,BS_RE33!$F$7:$F$874,'30 days CF Table(JPY)'!$C$2)</f>
        <v>0</v>
      </c>
      <c r="AU7" s="379">
        <f>SUMIFS(BS_RE33!$H$7:$H$874,BS_RE33!$S$7:$S$874,$AU$2,BS_RE33!$N$7:$N$874,I7,BS_RE33!$P$7:$P$874,'30 days CF Table(JPY)'!G7,BS_RE33!$F$7:$F$874,'30 days CF Table(JPY)'!$C$2)</f>
        <v>0</v>
      </c>
      <c r="AV7" s="379">
        <f>SUMIFS(BS_RE33!$H$7:$H$874,BS_RE33!$S$7:$S$874,$AV$2,BS_RE33!$N$7:$N$874,I7,BS_RE33!$P$7:$P$874,'30 days CF Table(JPY)'!G7,BS_RE33!$F$7:$F$874,'30 days CF Table(JPY)'!$C$2)</f>
        <v>0</v>
      </c>
      <c r="AW7" s="379">
        <f>SUMIFS(BS_RE33!$H$7:$H$874,BS_RE33!$S$7:$S$874,$AW$2,BS_RE33!$N$7:$N$874,I7,BS_RE33!$P$7:$P$874,'30 days CF Table(JPY)'!G7,BS_RE33!$F$7:$F$874,'30 days CF Table(JPY)'!$C$2)</f>
        <v>0</v>
      </c>
      <c r="AX7" s="379">
        <f>SUMIFS(BS_RE33!$H$7:$H$874,BS_RE33!$S$7:$S$874,$AX$2,BS_RE33!$N$7:$N$874,I7,BS_RE33!$P$7:$P$874,'30 days CF Table(JPY)'!G7,BS_RE33!$F$7:$F$874,'30 days CF Table(JPY)'!$C$2)</f>
        <v>0</v>
      </c>
      <c r="AY7" s="379">
        <f>SUMIFS(BS_RE33!$H$7:$H$874,BS_RE33!$S$7:$S$874,$AY$2,BS_RE33!$N$7:$N$874,I7,BS_RE33!$P$7:$P$874,'30 days CF Table(JPY)'!G7,BS_RE33!$F$7:$F$874,'30 days CF Table(JPY)'!$C$2)</f>
        <v>0</v>
      </c>
      <c r="AZ7" s="379">
        <f>SUMIFS(BS_RE33!$H$7:$H$874,BS_RE33!$S$7:$S$874,$AZ$2,BS_RE33!$N$7:$N$874,I7,BS_RE33!$P$7:$P$874,'30 days CF Table(JPY)'!G7,BS_RE33!$F$7:$F$874,'30 days CF Table(JPY)'!$C$2)</f>
        <v>0</v>
      </c>
      <c r="BA7" s="379">
        <f>SUMIFS(BS_RE33!$H$7:$H$874,BS_RE33!$S$7:$S$874,$BA$2,BS_RE33!$N$7:$N$874,I7,BS_RE33!$P$7:$P$874,'30 days CF Table(JPY)'!G7,BS_RE33!$F$7:$F$874,'30 days CF Table(JPY)'!$C$2)</f>
        <v>0</v>
      </c>
      <c r="BB7" s="379">
        <f>SUMIFS(BS_RE33!$H$7:$H$874,BS_RE33!$S$7:$S$874,$BB$2,BS_RE33!$N$7:$N$874,I7,BS_RE33!$P$7:$P$874,'30 days CF Table(JPY)'!G7,BS_RE33!$F$7:$F$874,'30 days CF Table(JPY)'!$C$2)</f>
        <v>0</v>
      </c>
      <c r="BC7" s="379">
        <f>SUMIFS(BS_RE33!$H$7:$H$874,BS_RE33!$S$7:$S$874,$BC$2,BS_RE33!$N$7:$N$874,I7,BS_RE33!$P$7:$P$874,'30 days CF Table(JPY)'!G7,BS_RE33!$F$7:$F$874,'30 days CF Table(JPY)'!$C$2)</f>
        <v>0</v>
      </c>
      <c r="BD7" s="379">
        <f>SUMIFS(BS_RE33!$H$7:$H$874,BS_RE33!$S$7:$S$874,$BD$2,BS_RE33!$N$7:$N$874,I7,BS_RE33!$P$7:$P$874,'30 days CF Table(JPY)'!G7,BS_RE33!$F$7:$F$874,'30 days CF Table(JPY)'!$C$2)</f>
        <v>0</v>
      </c>
      <c r="BE7" s="379">
        <f>SUMIFS(BS_RE33!$H$7:$H$874,BS_RE33!$S$7:$S$874,$BE$2,BS_RE33!$N$7:$N$874,I7,BS_RE33!$P$7:$P$874,'30 days CF Table(JPY)'!G7,BS_RE33!$F$7:$F$874,'30 days CF Table(JPY)'!$C$2)</f>
        <v>0</v>
      </c>
      <c r="BF7" s="379">
        <f>SUMIFS(BS_RE33!$H$7:$H$874,BS_RE33!$S$7:$S$874,$BF$2,BS_RE33!$N$7:$N$874,I7,BS_RE33!$P$7:$P$874,'30 days CF Table(JPY)'!G7,BS_RE33!$F$7:$F$874,'30 days CF Table(JPY)'!$C$2)</f>
        <v>0</v>
      </c>
      <c r="BG7" s="379">
        <f>SUMIFS(BS_RE33!$H$7:$H$874,BS_RE33!$S$7:$S$874,$BG$2,BS_RE33!$N$7:$N$874,I7,BS_RE33!$P$7:$P$874,'30 days CF Table(JPY)'!G7,BS_RE33!$F$7:$F$874,'30 days CF Table(JPY)'!$C$2)</f>
        <v>0</v>
      </c>
      <c r="BH7" s="379">
        <f>SUMIFS(BS_RE33!$H$7:$H$874,BS_RE33!$S$7:$S$874,$BH$2,BS_RE33!$N$7:$N$874,I7,BS_RE33!$P$7:$P$874,'30 days CF Table(JPY)'!G7,BS_RE33!$F$7:$F$874,'30 days CF Table(JPY)'!$C$2)</f>
        <v>0</v>
      </c>
      <c r="BI7" s="379">
        <f>SUMIFS(BS_RE33!$H$7:$H$874,BS_RE33!$S$7:$S$874,$BI$2,BS_RE33!$N$7:$N$874,I7,BS_RE33!$P$7:$P$874,'30 days CF Table(JPY)'!G7,BS_RE33!$F$7:$F$874,'30 days CF Table(JPY)'!$C$2)</f>
        <v>0</v>
      </c>
      <c r="BJ7" s="379">
        <f>SUMIFS(BS_RE33!$H$7:$H$874,BS_RE33!$S$7:$S$874,$BJ$2,BS_RE33!$N$7:$N$874,I7,BS_RE33!$P$7:$P$874,'30 days CF Table(JPY)'!G7,BS_RE33!$F$7:$F$874,'30 days CF Table(JPY)'!$C$2)</f>
        <v>0</v>
      </c>
      <c r="BK7" s="379">
        <f>SUMIFS(BS_RE33!$H$7:$H$874,BS_RE33!$S$7:$S$874,$BK$2,BS_RE33!$N$7:$N$874,I7,BS_RE33!$P$7:$P$874,'30 days CF Table(JPY)'!G7,BS_RE33!$F$7:$F$874,'30 days CF Table(JPY)'!$C$2)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Table(JPY)'!G8,BS_RE33!$F$7:$F$874,'30 days CF Table(JPY)'!$C$2)</f>
        <v>0</v>
      </c>
      <c r="M8" s="337">
        <f>SUMIFS(BS_RE33!$H$7:$H$874,BS_RE33!$S$7:$S$874,$M$2,BS_RE33!$N$7:$N$874,I8,BS_RE33!$P$7:$P$874,'30 days CF Table(JPY)'!G8,BS_RE33!$F$7:$F$874,'30 days CF Table(JPY)'!$C$2)</f>
        <v>0</v>
      </c>
      <c r="N8" s="337">
        <f>SUMIFS(BS_RE33!$H$7:$H$874,BS_RE33!$S$7:$S$874,$N$2,BS_RE33!$N$7:$N$874,I8,BS_RE33!$P$7:$P$874,'30 days CF Table(JPY)'!G8,BS_RE33!$F$7:$F$874,'30 days CF Table(JPY)'!$C$2)</f>
        <v>0</v>
      </c>
      <c r="O8" s="337">
        <f>SUMIFS(BS_RE33!$H$7:$H$874,BS_RE33!$S$7:$S$874,$O$2,BS_RE33!$N$7:$N$874,I8,BS_RE33!$P$7:$P$874,'30 days CF Table(JPY)'!G8,BS_RE33!$F$7:$F$874,'30 days CF Table(JPY)'!$C$2)</f>
        <v>0</v>
      </c>
      <c r="P8" s="337">
        <f>SUMIFS(BS_RE33!$H$7:$H$874,BS_RE33!$S$7:$S$874,$P$2,BS_RE33!$N$7:$N$874,I8,BS_RE33!$P$7:$P$874,'30 days CF Table(JPY)'!G8,BS_RE33!$F$7:$F$874,'30 days CF Table(JPY)'!$C$2)</f>
        <v>0</v>
      </c>
      <c r="Q8" s="337">
        <f>SUMIFS(BS_RE33!$H$7:$H$874,BS_RE33!$S$7:$S$874,$Q$2,BS_RE33!$N$7:$N$874,I8,BS_RE33!$P$7:$P$874,'30 days CF Table(JPY)'!G8,BS_RE33!$F$7:$F$874,'30 days CF Table(JPY)'!$C$2)</f>
        <v>0</v>
      </c>
      <c r="R8" s="337">
        <f>SUMIFS(BS_RE33!$H$7:$H$874,BS_RE33!$S$7:$S$874,$R$2,BS_RE33!$N$7:$N$874,I8,BS_RE33!$P$7:$P$874,'30 days CF Table(JPY)'!G8,BS_RE33!$F$7:$F$874,'30 days CF Table(JPY)'!$C$2)</f>
        <v>0</v>
      </c>
      <c r="S8" s="337">
        <f>SUMIFS(BS_RE33!$H$7:$H$874,BS_RE33!$S$7:$S$874,$S$2,BS_RE33!$N$7:$N$874,I8,BS_RE33!$P$7:$P$874,'30 days CF Table(JPY)'!G8,BS_RE33!$F$7:$F$874,'30 days CF Table(JPY)'!$C$2)</f>
        <v>0</v>
      </c>
      <c r="T8" s="337">
        <f>SUMIFS(BS_RE33!$H$7:$H$874,BS_RE33!$S$7:$S$874,$T$2,BS_RE33!$N$7:$N$874,I8,BS_RE33!$P$7:$P$874,'30 days CF Table(JPY)'!G8,BS_RE33!$F$7:$F$874,'30 days CF Table(JPY)'!$C$2)</f>
        <v>0</v>
      </c>
      <c r="U8" s="337">
        <f>SUMIFS(BS_RE33!$H$7:$H$874,BS_RE33!$S$7:$S$874,$U$2,BS_RE33!$N$7:$N$874,I8,BS_RE33!$P$7:$P$874,'30 days CF Table(JPY)'!G8,BS_RE33!$F$7:$F$874,'30 days CF Table(JPY)'!$C$2)</f>
        <v>0</v>
      </c>
      <c r="V8" s="337">
        <f>SUMIFS(BS_RE33!$H$7:$H$874,BS_RE33!$S$7:$S$874,$V$2,BS_RE33!$N$7:$N$874,I8,BS_RE33!$P$7:$P$874,'30 days CF Table(JPY)'!G8,BS_RE33!$F$7:$F$874,'30 days CF Table(JPY)'!$C$2)</f>
        <v>0</v>
      </c>
      <c r="W8" s="337">
        <f>SUMIFS(BS_RE33!$H$7:$H$874,BS_RE33!$S$7:$S$874,$W$2,BS_RE33!$N$7:$N$874,I8,BS_RE33!$P$7:$P$874,'30 days CF Table(JPY)'!G8,BS_RE33!$F$7:$F$874,'30 days CF Table(JPY)'!$C$2)</f>
        <v>0</v>
      </c>
      <c r="X8" s="337">
        <f>SUMIFS(BS_RE33!$H$7:$H$874,BS_RE33!$S$7:$S$874,$X$2,BS_RE33!$N$7:$N$874,I8,BS_RE33!$P$7:$P$874,'30 days CF Table(JPY)'!G8,BS_RE33!$F$7:$F$874,'30 days CF Table(JPY)'!$C$2)</f>
        <v>0</v>
      </c>
      <c r="Y8" s="337">
        <f>SUMIFS(BS_RE33!$H$7:$H$874,BS_RE33!$S$7:$S$874,$Y$2,BS_RE33!$N$7:$N$874,I8,BS_RE33!$P$7:$P$874,'30 days CF Table(JPY)'!G8,BS_RE33!$F$7:$F$874,'30 days CF Table(JPY)'!$C$2)</f>
        <v>0</v>
      </c>
      <c r="Z8" s="337">
        <f>SUMIFS(BS_RE33!$H$7:$H$874,BS_RE33!$S$7:$S$874,$Z$2,BS_RE33!$N$7:$N$874,I8,BS_RE33!$P$7:$P$874,'30 days CF Table(JPY)'!G8,BS_RE33!$F$7:$F$874,'30 days CF Table(JPY)'!$C$2)</f>
        <v>0</v>
      </c>
      <c r="AA8" s="337">
        <f>SUMIFS(BS_RE33!$H$7:$H$874,BS_RE33!$S$7:$S$874,$AA$2,BS_RE33!$N$7:$N$874,I8,BS_RE33!$P$7:$P$874,'30 days CF Table(JPY)'!G8,BS_RE33!$F$7:$F$874,'30 days CF Table(JPY)'!$C$2)</f>
        <v>0</v>
      </c>
      <c r="AB8" s="337">
        <f>SUMIFS(BS_RE33!$H$7:$H$874,BS_RE33!$S$7:$S$874,$AB$2,BS_RE33!$N$7:$N$874,I8,BS_RE33!$P$7:$P$874,'30 days CF Table(JPY)'!G8,BS_RE33!$F$7:$F$874,'30 days CF Table(JPY)'!$C$2)</f>
        <v>0</v>
      </c>
      <c r="AC8" s="337">
        <f>SUMIFS(BS_RE33!$H$7:$H$874,BS_RE33!$S$7:$S$874,$AC$2,BS_RE33!$N$7:$N$874,I8,BS_RE33!$P$7:$P$874,'30 days CF Table(JPY)'!G8,BS_RE33!$F$7:$F$874,'30 days CF Table(JPY)'!$C$2)</f>
        <v>0</v>
      </c>
      <c r="AD8" s="337">
        <f>SUMIFS(BS_RE33!$H$7:$H$874,BS_RE33!$S$7:$S$874,$AD$2,BS_RE33!$N$7:$N$874,I8,BS_RE33!$P$7:$P$874,'30 days CF Table(JPY)'!G8,BS_RE33!$F$7:$F$874,'30 days CF Table(JPY)'!$C$2)</f>
        <v>0</v>
      </c>
      <c r="AE8" s="337">
        <f>SUMIFS(BS_RE33!$H$7:$H$874,BS_RE33!$S$7:$S$874,$AE$2,BS_RE33!$N$7:$N$874,I8,BS_RE33!$P$7:$P$874,'30 days CF Table(JPY)'!G8,BS_RE33!$F$7:$F$874,'30 days CF Table(JPY)'!$C$2)</f>
        <v>0</v>
      </c>
      <c r="AF8" s="337">
        <f>SUMIFS(BS_RE33!$H$7:$H$874,BS_RE33!$S$7:$S$874,$AF$2,BS_RE33!$N$7:$N$874,I8,BS_RE33!$P$7:$P$874,'30 days CF Table(JPY)'!G8,BS_RE33!$F$7:$F$874,'30 days CF Table(JPY)'!$C$2)</f>
        <v>0</v>
      </c>
      <c r="AG8" s="337">
        <f>SUMIFS(BS_RE33!$H$7:$H$874,BS_RE33!$S$7:$S$874,$AG$2,BS_RE33!$N$7:$N$874,I8,BS_RE33!$P$7:$P$874,'30 days CF Table(JPY)'!G8,BS_RE33!$F$7:$F$874,'30 days CF Table(JPY)'!$C$2)</f>
        <v>0</v>
      </c>
      <c r="AH8" s="337">
        <f>SUMIFS(BS_RE33!$H$7:$H$874,BS_RE33!$S$7:$S$874,$AH$2,BS_RE33!$N$7:$N$874,I8,BS_RE33!$P$7:$P$874,'30 days CF Table(JPY)'!G8,BS_RE33!$F$7:$F$874,'30 days CF Table(JPY)'!$C$2)</f>
        <v>0</v>
      </c>
      <c r="AI8" s="337">
        <f>SUMIFS(BS_RE33!$H$7:$H$874,BS_RE33!$S$7:$S$874,$AI$2,BS_RE33!$N$7:$N$874,I8,BS_RE33!$P$7:$P$874,'30 days CF Table(JPY)'!G8,BS_RE33!$F$7:$F$874,'30 days CF Table(JPY)'!$C$2)</f>
        <v>0</v>
      </c>
      <c r="AJ8" s="337">
        <f>SUMIFS(BS_RE33!$H$7:$H$874,BS_RE33!$S$7:$S$874,$AJ$2,BS_RE33!$N$7:$N$874,I8,BS_RE33!$P$7:$P$874,'30 days CF Table(JPY)'!G8,BS_RE33!$F$7:$F$874,'30 days CF Table(JPY)'!$C$2)</f>
        <v>0</v>
      </c>
      <c r="AK8" s="337">
        <f>SUMIFS(BS_RE33!$H$7:$H$874,BS_RE33!$S$7:$S$874,$AK$2,BS_RE33!$N$7:$N$874,I8,BS_RE33!$P$7:$P$874,'30 days CF Table(JPY)'!G8,BS_RE33!$F$7:$F$874,'30 days CF Table(JPY)'!$C$2)</f>
        <v>0</v>
      </c>
      <c r="AL8" s="337">
        <f>SUMIFS(BS_RE33!$H$7:$H$874,BS_RE33!$S$7:$S$874,$AL$2,BS_RE33!$N$7:$N$874,I8,BS_RE33!$P$7:$P$874,'30 days CF Table(JPY)'!G8,BS_RE33!$F$7:$F$874,'30 days CF Table(JPY)'!$C$2)</f>
        <v>0</v>
      </c>
      <c r="AM8" s="337">
        <f>SUMIFS(BS_RE33!$H$7:$H$874,BS_RE33!$S$7:$S$874,$AM$2,BS_RE33!$N$7:$N$874,I8,BS_RE33!$P$7:$P$874,'30 days CF Table(JPY)'!G8,BS_RE33!$F$7:$F$874,'30 days CF Table(JPY)'!$C$2)</f>
        <v>0</v>
      </c>
      <c r="AN8" s="337">
        <f>SUMIFS(BS_RE33!$H$7:$H$874,BS_RE33!$S$7:$S$874,$AN$2,BS_RE33!$N$7:$N$874,I8,BS_RE33!$P$7:$P$874,'30 days CF Table(JPY)'!G8,BS_RE33!$F$7:$F$874,'30 days CF Table(JPY)'!$C$2)</f>
        <v>0</v>
      </c>
      <c r="AO8" s="337">
        <f>SUMIFS(BS_RE33!$H$7:$H$874,BS_RE33!$S$7:$S$874,$AO$2,BS_RE33!$N$7:$N$874,I8,BS_RE33!$P$7:$P$874,'30 days CF Table(JPY)'!G8,BS_RE33!$F$7:$F$874,'30 days CF Table(JPY)'!$C$2)</f>
        <v>0</v>
      </c>
      <c r="AP8" s="338">
        <f>SUMIFS(BS_RE33!$H$7:$H$874,BS_RE33!$S$7:$S$874,$AP$2,BS_RE33!$N$7:$N$874,I8,BS_RE33!$P$7:$P$874,'30 days CF Table(JPY)'!G8,BS_RE33!$F$7:$F$874,'30 days CF Table(JPY)'!$C$2)</f>
        <v>0</v>
      </c>
      <c r="AQ8" s="545"/>
      <c r="AR8" s="379">
        <f>SUMIFS(BS_RE33!$H$7:$H$874,BS_RE33!$S$7:$S$874,$AR$2,BS_RE33!$N$7:$N$874,I8,BS_RE33!$P$7:$P$874,'30 days CF Table(JPY)'!G8,BS_RE33!$F$7:$F$874,'30 days CF Table(JPY)'!$C$2)</f>
        <v>0</v>
      </c>
      <c r="AS8" s="379">
        <f>SUMIFS(BS_RE33!$H$7:$H$874,BS_RE33!$S$7:$S$874,$AS$2,BS_RE33!$N$7:$N$874,I8,BS_RE33!$P$7:$P$874,'30 days CF Table(JPY)'!G8,BS_RE33!$F$7:$F$874,'30 days CF Table(JPY)'!$C$2)</f>
        <v>0</v>
      </c>
      <c r="AT8" s="379">
        <f>SUMIFS(BS_RE33!$H$7:$H$874,BS_RE33!$S$7:$S$874,$AT$2,BS_RE33!$N$7:$N$874,I8,BS_RE33!$P$7:$P$874,'30 days CF Table(JPY)'!G8,BS_RE33!$F$7:$F$874,'30 days CF Table(JPY)'!$C$2)</f>
        <v>0</v>
      </c>
      <c r="AU8" s="379">
        <f>SUMIFS(BS_RE33!$H$7:$H$874,BS_RE33!$S$7:$S$874,$AU$2,BS_RE33!$N$7:$N$874,I8,BS_RE33!$P$7:$P$874,'30 days CF Table(JPY)'!G8,BS_RE33!$F$7:$F$874,'30 days CF Table(JPY)'!$C$2)</f>
        <v>0</v>
      </c>
      <c r="AV8" s="379">
        <f>SUMIFS(BS_RE33!$H$7:$H$874,BS_RE33!$S$7:$S$874,$AV$2,BS_RE33!$N$7:$N$874,I8,BS_RE33!$P$7:$P$874,'30 days CF Table(JPY)'!G8,BS_RE33!$F$7:$F$874,'30 days CF Table(JPY)'!$C$2)</f>
        <v>0</v>
      </c>
      <c r="AW8" s="379">
        <f>SUMIFS(BS_RE33!$H$7:$H$874,BS_RE33!$S$7:$S$874,$AW$2,BS_RE33!$N$7:$N$874,I8,BS_RE33!$P$7:$P$874,'30 days CF Table(JPY)'!G8,BS_RE33!$F$7:$F$874,'30 days CF Table(JPY)'!$C$2)</f>
        <v>0</v>
      </c>
      <c r="AX8" s="379">
        <f>SUMIFS(BS_RE33!$H$7:$H$874,BS_RE33!$S$7:$S$874,$AX$2,BS_RE33!$N$7:$N$874,I8,BS_RE33!$P$7:$P$874,'30 days CF Table(JPY)'!G8,BS_RE33!$F$7:$F$874,'30 days CF Table(JPY)'!$C$2)</f>
        <v>0</v>
      </c>
      <c r="AY8" s="379">
        <f>SUMIFS(BS_RE33!$H$7:$H$874,BS_RE33!$S$7:$S$874,$AY$2,BS_RE33!$N$7:$N$874,I8,BS_RE33!$P$7:$P$874,'30 days CF Table(JPY)'!G8,BS_RE33!$F$7:$F$874,'30 days CF Table(JPY)'!$C$2)</f>
        <v>0</v>
      </c>
      <c r="AZ8" s="379">
        <f>SUMIFS(BS_RE33!$H$7:$H$874,BS_RE33!$S$7:$S$874,$AZ$2,BS_RE33!$N$7:$N$874,I8,BS_RE33!$P$7:$P$874,'30 days CF Table(JPY)'!G8,BS_RE33!$F$7:$F$874,'30 days CF Table(JPY)'!$C$2)</f>
        <v>0</v>
      </c>
      <c r="BA8" s="379">
        <f>SUMIFS(BS_RE33!$H$7:$H$874,BS_RE33!$S$7:$S$874,$BA$2,BS_RE33!$N$7:$N$874,I8,BS_RE33!$P$7:$P$874,'30 days CF Table(JPY)'!G8,BS_RE33!$F$7:$F$874,'30 days CF Table(JPY)'!$C$2)</f>
        <v>0</v>
      </c>
      <c r="BB8" s="379">
        <f>SUMIFS(BS_RE33!$H$7:$H$874,BS_RE33!$S$7:$S$874,$BB$2,BS_RE33!$N$7:$N$874,I8,BS_RE33!$P$7:$P$874,'30 days CF Table(JPY)'!G8,BS_RE33!$F$7:$F$874,'30 days CF Table(JPY)'!$C$2)</f>
        <v>0</v>
      </c>
      <c r="BC8" s="379">
        <f>SUMIFS(BS_RE33!$H$7:$H$874,BS_RE33!$S$7:$S$874,$BC$2,BS_RE33!$N$7:$N$874,I8,BS_RE33!$P$7:$P$874,'30 days CF Table(JPY)'!G8,BS_RE33!$F$7:$F$874,'30 days CF Table(JPY)'!$C$2)</f>
        <v>0</v>
      </c>
      <c r="BD8" s="379">
        <f>SUMIFS(BS_RE33!$H$7:$H$874,BS_RE33!$S$7:$S$874,$BD$2,BS_RE33!$N$7:$N$874,I8,BS_RE33!$P$7:$P$874,'30 days CF Table(JPY)'!G8,BS_RE33!$F$7:$F$874,'30 days CF Table(JPY)'!$C$2)</f>
        <v>0</v>
      </c>
      <c r="BE8" s="379">
        <f>SUMIFS(BS_RE33!$H$7:$H$874,BS_RE33!$S$7:$S$874,$BE$2,BS_RE33!$N$7:$N$874,I8,BS_RE33!$P$7:$P$874,'30 days CF Table(JPY)'!G8,BS_RE33!$F$7:$F$874,'30 days CF Table(JPY)'!$C$2)</f>
        <v>0</v>
      </c>
      <c r="BF8" s="379">
        <f>SUMIFS(BS_RE33!$H$7:$H$874,BS_RE33!$S$7:$S$874,$BF$2,BS_RE33!$N$7:$N$874,I8,BS_RE33!$P$7:$P$874,'30 days CF Table(JPY)'!G8,BS_RE33!$F$7:$F$874,'30 days CF Table(JPY)'!$C$2)</f>
        <v>0</v>
      </c>
      <c r="BG8" s="379">
        <f>SUMIFS(BS_RE33!$H$7:$H$874,BS_RE33!$S$7:$S$874,$BG$2,BS_RE33!$N$7:$N$874,I8,BS_RE33!$P$7:$P$874,'30 days CF Table(JPY)'!G8,BS_RE33!$F$7:$F$874,'30 days CF Table(JPY)'!$C$2)</f>
        <v>0</v>
      </c>
      <c r="BH8" s="379">
        <f>SUMIFS(BS_RE33!$H$7:$H$874,BS_RE33!$S$7:$S$874,$BH$2,BS_RE33!$N$7:$N$874,I8,BS_RE33!$P$7:$P$874,'30 days CF Table(JPY)'!G8,BS_RE33!$F$7:$F$874,'30 days CF Table(JPY)'!$C$2)</f>
        <v>0</v>
      </c>
      <c r="BI8" s="379">
        <f>SUMIFS(BS_RE33!$H$7:$H$874,BS_RE33!$S$7:$S$874,$BI$2,BS_RE33!$N$7:$N$874,I8,BS_RE33!$P$7:$P$874,'30 days CF Table(JPY)'!G8,BS_RE33!$F$7:$F$874,'30 days CF Table(JPY)'!$C$2)</f>
        <v>0</v>
      </c>
      <c r="BJ8" s="379">
        <f>SUMIFS(BS_RE33!$H$7:$H$874,BS_RE33!$S$7:$S$874,$BJ$2,BS_RE33!$N$7:$N$874,I8,BS_RE33!$P$7:$P$874,'30 days CF Table(JPY)'!G8,BS_RE33!$F$7:$F$874,'30 days CF Table(JPY)'!$C$2)</f>
        <v>0</v>
      </c>
      <c r="BK8" s="379">
        <f>SUMIFS(BS_RE33!$H$7:$H$874,BS_RE33!$S$7:$S$874,$BK$2,BS_RE33!$N$7:$N$874,I8,BS_RE33!$P$7:$P$874,'30 days CF Table(JPY)'!G8,BS_RE33!$F$7:$F$874,'30 days CF Table(JPY)'!$C$2)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Table(JPY)'!G9,BS_RE33!$F$7:$F$874,'30 days CF Table(JPY)'!$C$2)</f>
        <v>0</v>
      </c>
      <c r="M9" s="337">
        <f>SUMIFS(BS_RE33!$H$7:$H$874,BS_RE33!$S$7:$S$874,$M$2,BS_RE33!$N$7:$N$874,I9,BS_RE33!$P$7:$P$874,'30 days CF Table(JPY)'!G9,BS_RE33!$F$7:$F$874,'30 days CF Table(JPY)'!$C$2)</f>
        <v>0</v>
      </c>
      <c r="N9" s="337">
        <f>SUMIFS(BS_RE33!$H$7:$H$874,BS_RE33!$S$7:$S$874,$N$2,BS_RE33!$N$7:$N$874,I9,BS_RE33!$P$7:$P$874,'30 days CF Table(JPY)'!G9,BS_RE33!$F$7:$F$874,'30 days CF Table(JPY)'!$C$2)</f>
        <v>0</v>
      </c>
      <c r="O9" s="337">
        <f>SUMIFS(BS_RE33!$H$7:$H$874,BS_RE33!$S$7:$S$874,$O$2,BS_RE33!$N$7:$N$874,I9,BS_RE33!$P$7:$P$874,'30 days CF Table(JPY)'!G9,BS_RE33!$F$7:$F$874,'30 days CF Table(JPY)'!$C$2)</f>
        <v>0</v>
      </c>
      <c r="P9" s="337">
        <f>SUMIFS(BS_RE33!$H$7:$H$874,BS_RE33!$S$7:$S$874,$P$2,BS_RE33!$N$7:$N$874,I9,BS_RE33!$P$7:$P$874,'30 days CF Table(JPY)'!G9,BS_RE33!$F$7:$F$874,'30 days CF Table(JPY)'!$C$2)</f>
        <v>0</v>
      </c>
      <c r="Q9" s="337">
        <f>SUMIFS(BS_RE33!$H$7:$H$874,BS_RE33!$S$7:$S$874,$Q$2,BS_RE33!$N$7:$N$874,I9,BS_RE33!$P$7:$P$874,'30 days CF Table(JPY)'!G9,BS_RE33!$F$7:$F$874,'30 days CF Table(JPY)'!$C$2)</f>
        <v>0</v>
      </c>
      <c r="R9" s="337">
        <f>SUMIFS(BS_RE33!$H$7:$H$874,BS_RE33!$S$7:$S$874,$R$2,BS_RE33!$N$7:$N$874,I9,BS_RE33!$P$7:$P$874,'30 days CF Table(JPY)'!G9,BS_RE33!$F$7:$F$874,'30 days CF Table(JPY)'!$C$2)</f>
        <v>0</v>
      </c>
      <c r="S9" s="337">
        <f>SUMIFS(BS_RE33!$H$7:$H$874,BS_RE33!$S$7:$S$874,$S$2,BS_RE33!$N$7:$N$874,I9,BS_RE33!$P$7:$P$874,'30 days CF Table(JPY)'!G9,BS_RE33!$F$7:$F$874,'30 days CF Table(JPY)'!$C$2)</f>
        <v>0</v>
      </c>
      <c r="T9" s="337">
        <f>SUMIFS(BS_RE33!$H$7:$H$874,BS_RE33!$S$7:$S$874,$T$2,BS_RE33!$N$7:$N$874,I9,BS_RE33!$P$7:$P$874,'30 days CF Table(JPY)'!G9,BS_RE33!$F$7:$F$874,'30 days CF Table(JPY)'!$C$2)</f>
        <v>0</v>
      </c>
      <c r="U9" s="337">
        <f>SUMIFS(BS_RE33!$H$7:$H$874,BS_RE33!$S$7:$S$874,$U$2,BS_RE33!$N$7:$N$874,I9,BS_RE33!$P$7:$P$874,'30 days CF Table(JPY)'!G9,BS_RE33!$F$7:$F$874,'30 days CF Table(JPY)'!$C$2)</f>
        <v>0</v>
      </c>
      <c r="V9" s="337">
        <f>SUMIFS(BS_RE33!$H$7:$H$874,BS_RE33!$S$7:$S$874,$V$2,BS_RE33!$N$7:$N$874,I9,BS_RE33!$P$7:$P$874,'30 days CF Table(JPY)'!G9,BS_RE33!$F$7:$F$874,'30 days CF Table(JPY)'!$C$2)</f>
        <v>0</v>
      </c>
      <c r="W9" s="337">
        <f>SUMIFS(BS_RE33!$H$7:$H$874,BS_RE33!$S$7:$S$874,$W$2,BS_RE33!$N$7:$N$874,I9,BS_RE33!$P$7:$P$874,'30 days CF Table(JPY)'!G9,BS_RE33!$F$7:$F$874,'30 days CF Table(JPY)'!$C$2)</f>
        <v>0</v>
      </c>
      <c r="X9" s="337">
        <f>SUMIFS(BS_RE33!$H$7:$H$874,BS_RE33!$S$7:$S$874,$X$2,BS_RE33!$N$7:$N$874,I9,BS_RE33!$P$7:$P$874,'30 days CF Table(JPY)'!G9,BS_RE33!$F$7:$F$874,'30 days CF Table(JPY)'!$C$2)</f>
        <v>0</v>
      </c>
      <c r="Y9" s="337">
        <f>SUMIFS(BS_RE33!$H$7:$H$874,BS_RE33!$S$7:$S$874,$Y$2,BS_RE33!$N$7:$N$874,I9,BS_RE33!$P$7:$P$874,'30 days CF Table(JPY)'!G9,BS_RE33!$F$7:$F$874,'30 days CF Table(JPY)'!$C$2)</f>
        <v>0</v>
      </c>
      <c r="Z9" s="337">
        <f>SUMIFS(BS_RE33!$H$7:$H$874,BS_RE33!$S$7:$S$874,$Z$2,BS_RE33!$N$7:$N$874,I9,BS_RE33!$P$7:$P$874,'30 days CF Table(JPY)'!G9,BS_RE33!$F$7:$F$874,'30 days CF Table(JPY)'!$C$2)</f>
        <v>0</v>
      </c>
      <c r="AA9" s="337">
        <f>SUMIFS(BS_RE33!$H$7:$H$874,BS_RE33!$S$7:$S$874,$AA$2,BS_RE33!$N$7:$N$874,I9,BS_RE33!$P$7:$P$874,'30 days CF Table(JPY)'!G9,BS_RE33!$F$7:$F$874,'30 days CF Table(JPY)'!$C$2)</f>
        <v>0</v>
      </c>
      <c r="AB9" s="337">
        <f>SUMIFS(BS_RE33!$H$7:$H$874,BS_RE33!$S$7:$S$874,$AB$2,BS_RE33!$N$7:$N$874,I9,BS_RE33!$P$7:$P$874,'30 days CF Table(JPY)'!G9,BS_RE33!$F$7:$F$874,'30 days CF Table(JPY)'!$C$2)</f>
        <v>0</v>
      </c>
      <c r="AC9" s="337">
        <f>SUMIFS(BS_RE33!$H$7:$H$874,BS_RE33!$S$7:$S$874,$AC$2,BS_RE33!$N$7:$N$874,I9,BS_RE33!$P$7:$P$874,'30 days CF Table(JPY)'!G9,BS_RE33!$F$7:$F$874,'30 days CF Table(JPY)'!$C$2)</f>
        <v>0</v>
      </c>
      <c r="AD9" s="337">
        <f>SUMIFS(BS_RE33!$H$7:$H$874,BS_RE33!$S$7:$S$874,$AD$2,BS_RE33!$N$7:$N$874,I9,BS_RE33!$P$7:$P$874,'30 days CF Table(JPY)'!G9,BS_RE33!$F$7:$F$874,'30 days CF Table(JPY)'!$C$2)</f>
        <v>0</v>
      </c>
      <c r="AE9" s="337">
        <f>SUMIFS(BS_RE33!$H$7:$H$874,BS_RE33!$S$7:$S$874,$AE$2,BS_RE33!$N$7:$N$874,I9,BS_RE33!$P$7:$P$874,'30 days CF Table(JPY)'!G9,BS_RE33!$F$7:$F$874,'30 days CF Table(JPY)'!$C$2)</f>
        <v>0</v>
      </c>
      <c r="AF9" s="337">
        <f>SUMIFS(BS_RE33!$H$7:$H$874,BS_RE33!$S$7:$S$874,$AF$2,BS_RE33!$N$7:$N$874,I9,BS_RE33!$P$7:$P$874,'30 days CF Table(JPY)'!G9,BS_RE33!$F$7:$F$874,'30 days CF Table(JPY)'!$C$2)</f>
        <v>0</v>
      </c>
      <c r="AG9" s="337">
        <f>SUMIFS(BS_RE33!$H$7:$H$874,BS_RE33!$S$7:$S$874,$AG$2,BS_RE33!$N$7:$N$874,I9,BS_RE33!$P$7:$P$874,'30 days CF Table(JPY)'!G9,BS_RE33!$F$7:$F$874,'30 days CF Table(JPY)'!$C$2)</f>
        <v>0</v>
      </c>
      <c r="AH9" s="337">
        <f>SUMIFS(BS_RE33!$H$7:$H$874,BS_RE33!$S$7:$S$874,$AH$2,BS_RE33!$N$7:$N$874,I9,BS_RE33!$P$7:$P$874,'30 days CF Table(JPY)'!G9,BS_RE33!$F$7:$F$874,'30 days CF Table(JPY)'!$C$2)</f>
        <v>0</v>
      </c>
      <c r="AI9" s="337">
        <f>SUMIFS(BS_RE33!$H$7:$H$874,BS_RE33!$S$7:$S$874,$AI$2,BS_RE33!$N$7:$N$874,I9,BS_RE33!$P$7:$P$874,'30 days CF Table(JPY)'!G9,BS_RE33!$F$7:$F$874,'30 days CF Table(JPY)'!$C$2)</f>
        <v>0</v>
      </c>
      <c r="AJ9" s="337">
        <f>SUMIFS(BS_RE33!$H$7:$H$874,BS_RE33!$S$7:$S$874,$AJ$2,BS_RE33!$N$7:$N$874,I9,BS_RE33!$P$7:$P$874,'30 days CF Table(JPY)'!G9,BS_RE33!$F$7:$F$874,'30 days CF Table(JPY)'!$C$2)</f>
        <v>0</v>
      </c>
      <c r="AK9" s="337">
        <f>SUMIFS(BS_RE33!$H$7:$H$874,BS_RE33!$S$7:$S$874,$AK$2,BS_RE33!$N$7:$N$874,I9,BS_RE33!$P$7:$P$874,'30 days CF Table(JPY)'!G9,BS_RE33!$F$7:$F$874,'30 days CF Table(JPY)'!$C$2)</f>
        <v>0</v>
      </c>
      <c r="AL9" s="337">
        <f>SUMIFS(BS_RE33!$H$7:$H$874,BS_RE33!$S$7:$S$874,$AL$2,BS_RE33!$N$7:$N$874,I9,BS_RE33!$P$7:$P$874,'30 days CF Table(JPY)'!G9,BS_RE33!$F$7:$F$874,'30 days CF Table(JPY)'!$C$2)</f>
        <v>0</v>
      </c>
      <c r="AM9" s="337">
        <f>SUMIFS(BS_RE33!$H$7:$H$874,BS_RE33!$S$7:$S$874,$AM$2,BS_RE33!$N$7:$N$874,I9,BS_RE33!$P$7:$P$874,'30 days CF Table(JPY)'!G9,BS_RE33!$F$7:$F$874,'30 days CF Table(JPY)'!$C$2)</f>
        <v>0</v>
      </c>
      <c r="AN9" s="337">
        <f>SUMIFS(BS_RE33!$H$7:$H$874,BS_RE33!$S$7:$S$874,$AN$2,BS_RE33!$N$7:$N$874,I9,BS_RE33!$P$7:$P$874,'30 days CF Table(JPY)'!G9,BS_RE33!$F$7:$F$874,'30 days CF Table(JPY)'!$C$2)</f>
        <v>0</v>
      </c>
      <c r="AO9" s="337">
        <f>SUMIFS(BS_RE33!$H$7:$H$874,BS_RE33!$S$7:$S$874,$AO$2,BS_RE33!$N$7:$N$874,I9,BS_RE33!$P$7:$P$874,'30 days CF Table(JPY)'!G9,BS_RE33!$F$7:$F$874,'30 days CF Table(JPY)'!$C$2)</f>
        <v>0</v>
      </c>
      <c r="AP9" s="338">
        <f>SUMIFS(BS_RE33!$H$7:$H$874,BS_RE33!$S$7:$S$874,$AP$2,BS_RE33!$N$7:$N$874,I9,BS_RE33!$P$7:$P$874,'30 days CF Table(JPY)'!G9,BS_RE33!$F$7:$F$874,'30 days CF Table(JPY)'!$C$2)</f>
        <v>0</v>
      </c>
      <c r="AQ9" s="545"/>
      <c r="AR9" s="379">
        <f>SUMIFS(BS_RE33!$H$7:$H$874,BS_RE33!$S$7:$S$874,$AR$2,BS_RE33!$N$7:$N$874,I9,BS_RE33!$P$7:$P$874,'30 days CF Table(JPY)'!G9,BS_RE33!$F$7:$F$874,'30 days CF Table(JPY)'!$C$2)</f>
        <v>0</v>
      </c>
      <c r="AS9" s="379">
        <f>SUMIFS(BS_RE33!$H$7:$H$874,BS_RE33!$S$7:$S$874,$AS$2,BS_RE33!$N$7:$N$874,I9,BS_RE33!$P$7:$P$874,'30 days CF Table(JPY)'!G9,BS_RE33!$F$7:$F$874,'30 days CF Table(JPY)'!$C$2)</f>
        <v>0</v>
      </c>
      <c r="AT9" s="379">
        <f>SUMIFS(BS_RE33!$H$7:$H$874,BS_RE33!$S$7:$S$874,$AT$2,BS_RE33!$N$7:$N$874,I9,BS_RE33!$P$7:$P$874,'30 days CF Table(JPY)'!G9,BS_RE33!$F$7:$F$874,'30 days CF Table(JPY)'!$C$2)</f>
        <v>0</v>
      </c>
      <c r="AU9" s="379">
        <f>SUMIFS(BS_RE33!$H$7:$H$874,BS_RE33!$S$7:$S$874,$AU$2,BS_RE33!$N$7:$N$874,I9,BS_RE33!$P$7:$P$874,'30 days CF Table(JPY)'!G9,BS_RE33!$F$7:$F$874,'30 days CF Table(JPY)'!$C$2)</f>
        <v>0</v>
      </c>
      <c r="AV9" s="379">
        <f>SUMIFS(BS_RE33!$H$7:$H$874,BS_RE33!$S$7:$S$874,$AV$2,BS_RE33!$N$7:$N$874,I9,BS_RE33!$P$7:$P$874,'30 days CF Table(JPY)'!G9,BS_RE33!$F$7:$F$874,'30 days CF Table(JPY)'!$C$2)</f>
        <v>0</v>
      </c>
      <c r="AW9" s="379">
        <f>SUMIFS(BS_RE33!$H$7:$H$874,BS_RE33!$S$7:$S$874,$AW$2,BS_RE33!$N$7:$N$874,I9,BS_RE33!$P$7:$P$874,'30 days CF Table(JPY)'!G9,BS_RE33!$F$7:$F$874,'30 days CF Table(JPY)'!$C$2)</f>
        <v>0</v>
      </c>
      <c r="AX9" s="379">
        <f>SUMIFS(BS_RE33!$H$7:$H$874,BS_RE33!$S$7:$S$874,$AX$2,BS_RE33!$N$7:$N$874,I9,BS_RE33!$P$7:$P$874,'30 days CF Table(JPY)'!G9,BS_RE33!$F$7:$F$874,'30 days CF Table(JPY)'!$C$2)</f>
        <v>0</v>
      </c>
      <c r="AY9" s="379">
        <f>SUMIFS(BS_RE33!$H$7:$H$874,BS_RE33!$S$7:$S$874,$AY$2,BS_RE33!$N$7:$N$874,I9,BS_RE33!$P$7:$P$874,'30 days CF Table(JPY)'!G9,BS_RE33!$F$7:$F$874,'30 days CF Table(JPY)'!$C$2)</f>
        <v>0</v>
      </c>
      <c r="AZ9" s="379">
        <f>SUMIFS(BS_RE33!$H$7:$H$874,BS_RE33!$S$7:$S$874,$AZ$2,BS_RE33!$N$7:$N$874,I9,BS_RE33!$P$7:$P$874,'30 days CF Table(JPY)'!G9,BS_RE33!$F$7:$F$874,'30 days CF Table(JPY)'!$C$2)</f>
        <v>0</v>
      </c>
      <c r="BA9" s="379">
        <f>SUMIFS(BS_RE33!$H$7:$H$874,BS_RE33!$S$7:$S$874,$BA$2,BS_RE33!$N$7:$N$874,I9,BS_RE33!$P$7:$P$874,'30 days CF Table(JPY)'!G9,BS_RE33!$F$7:$F$874,'30 days CF Table(JPY)'!$C$2)</f>
        <v>0</v>
      </c>
      <c r="BB9" s="379">
        <f>SUMIFS(BS_RE33!$H$7:$H$874,BS_RE33!$S$7:$S$874,$BB$2,BS_RE33!$N$7:$N$874,I9,BS_RE33!$P$7:$P$874,'30 days CF Table(JPY)'!G9,BS_RE33!$F$7:$F$874,'30 days CF Table(JPY)'!$C$2)</f>
        <v>0</v>
      </c>
      <c r="BC9" s="379">
        <f>SUMIFS(BS_RE33!$H$7:$H$874,BS_RE33!$S$7:$S$874,$BC$2,BS_RE33!$N$7:$N$874,I9,BS_RE33!$P$7:$P$874,'30 days CF Table(JPY)'!G9,BS_RE33!$F$7:$F$874,'30 days CF Table(JPY)'!$C$2)</f>
        <v>0</v>
      </c>
      <c r="BD9" s="379">
        <f>SUMIFS(BS_RE33!$H$7:$H$874,BS_RE33!$S$7:$S$874,$BD$2,BS_RE33!$N$7:$N$874,I9,BS_RE33!$P$7:$P$874,'30 days CF Table(JPY)'!G9,BS_RE33!$F$7:$F$874,'30 days CF Table(JPY)'!$C$2)</f>
        <v>0</v>
      </c>
      <c r="BE9" s="379">
        <f>SUMIFS(BS_RE33!$H$7:$H$874,BS_RE33!$S$7:$S$874,$BE$2,BS_RE33!$N$7:$N$874,I9,BS_RE33!$P$7:$P$874,'30 days CF Table(JPY)'!G9,BS_RE33!$F$7:$F$874,'30 days CF Table(JPY)'!$C$2)</f>
        <v>0</v>
      </c>
      <c r="BF9" s="379">
        <f>SUMIFS(BS_RE33!$H$7:$H$874,BS_RE33!$S$7:$S$874,$BF$2,BS_RE33!$N$7:$N$874,I9,BS_RE33!$P$7:$P$874,'30 days CF Table(JPY)'!G9,BS_RE33!$F$7:$F$874,'30 days CF Table(JPY)'!$C$2)</f>
        <v>0</v>
      </c>
      <c r="BG9" s="379">
        <f>SUMIFS(BS_RE33!$H$7:$H$874,BS_RE33!$S$7:$S$874,$BG$2,BS_RE33!$N$7:$N$874,I9,BS_RE33!$P$7:$P$874,'30 days CF Table(JPY)'!G9,BS_RE33!$F$7:$F$874,'30 days CF Table(JPY)'!$C$2)</f>
        <v>0</v>
      </c>
      <c r="BH9" s="379">
        <f>SUMIFS(BS_RE33!$H$7:$H$874,BS_RE33!$S$7:$S$874,$BH$2,BS_RE33!$N$7:$N$874,I9,BS_RE33!$P$7:$P$874,'30 days CF Table(JPY)'!G9,BS_RE33!$F$7:$F$874,'30 days CF Table(JPY)'!$C$2)</f>
        <v>0</v>
      </c>
      <c r="BI9" s="379">
        <f>SUMIFS(BS_RE33!$H$7:$H$874,BS_RE33!$S$7:$S$874,$BI$2,BS_RE33!$N$7:$N$874,I9,BS_RE33!$P$7:$P$874,'30 days CF Table(JPY)'!G9,BS_RE33!$F$7:$F$874,'30 days CF Table(JPY)'!$C$2)</f>
        <v>0</v>
      </c>
      <c r="BJ9" s="379">
        <f>SUMIFS(BS_RE33!$H$7:$H$874,BS_RE33!$S$7:$S$874,$BJ$2,BS_RE33!$N$7:$N$874,I9,BS_RE33!$P$7:$P$874,'30 days CF Table(JPY)'!G9,BS_RE33!$F$7:$F$874,'30 days CF Table(JPY)'!$C$2)</f>
        <v>0</v>
      </c>
      <c r="BK9" s="379">
        <f>SUMIFS(BS_RE33!$H$7:$H$874,BS_RE33!$S$7:$S$874,$BK$2,BS_RE33!$N$7:$N$874,I9,BS_RE33!$P$7:$P$874,'30 days CF Table(JPY)'!G9,BS_RE33!$F$7:$F$874,'30 days CF Table(JPY)'!$C$2)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Table(JPY)'!G10,BS_RE33!$F$7:$F$874,'30 days CF Table(JPY)'!$C$2)</f>
        <v>0</v>
      </c>
      <c r="M10" s="337">
        <f>SUMIFS(BS_RE33!$H$7:$H$874,BS_RE33!$S$7:$S$874,$M$2,BS_RE33!$N$7:$N$874,I10,BS_RE33!$P$7:$P$874,'30 days CF Table(JPY)'!G10,BS_RE33!$F$7:$F$874,'30 days CF Table(JPY)'!$C$2)</f>
        <v>0</v>
      </c>
      <c r="N10" s="337">
        <f>SUMIFS(BS_RE33!$H$7:$H$874,BS_RE33!$S$7:$S$874,$N$2,BS_RE33!$N$7:$N$874,I10,BS_RE33!$P$7:$P$874,'30 days CF Table(JPY)'!G10,BS_RE33!$F$7:$F$874,'30 days CF Table(JPY)'!$C$2)</f>
        <v>0</v>
      </c>
      <c r="O10" s="337">
        <f>SUMIFS(BS_RE33!$H$7:$H$874,BS_RE33!$S$7:$S$874,$O$2,BS_RE33!$N$7:$N$874,I10,BS_RE33!$P$7:$P$874,'30 days CF Table(JPY)'!G10,BS_RE33!$F$7:$F$874,'30 days CF Table(JPY)'!$C$2)</f>
        <v>0</v>
      </c>
      <c r="P10" s="337">
        <f>SUMIFS(BS_RE33!$H$7:$H$874,BS_RE33!$S$7:$S$874,$P$2,BS_RE33!$N$7:$N$874,I10,BS_RE33!$P$7:$P$874,'30 days CF Table(JPY)'!G10,BS_RE33!$F$7:$F$874,'30 days CF Table(JPY)'!$C$2)</f>
        <v>0</v>
      </c>
      <c r="Q10" s="337">
        <f>SUMIFS(BS_RE33!$H$7:$H$874,BS_RE33!$S$7:$S$874,$Q$2,BS_RE33!$N$7:$N$874,I10,BS_RE33!$P$7:$P$874,'30 days CF Table(JPY)'!G10,BS_RE33!$F$7:$F$874,'30 days CF Table(JPY)'!$C$2)</f>
        <v>0</v>
      </c>
      <c r="R10" s="337">
        <f>SUMIFS(BS_RE33!$H$7:$H$874,BS_RE33!$S$7:$S$874,$R$2,BS_RE33!$N$7:$N$874,I10,BS_RE33!$P$7:$P$874,'30 days CF Table(JPY)'!G10,BS_RE33!$F$7:$F$874,'30 days CF Table(JPY)'!$C$2)</f>
        <v>0</v>
      </c>
      <c r="S10" s="337">
        <f>SUMIFS(BS_RE33!$H$7:$H$874,BS_RE33!$S$7:$S$874,$S$2,BS_RE33!$N$7:$N$874,I10,BS_RE33!$P$7:$P$874,'30 days CF Table(JPY)'!G10,BS_RE33!$F$7:$F$874,'30 days CF Table(JPY)'!$C$2)</f>
        <v>0</v>
      </c>
      <c r="T10" s="337">
        <f>SUMIFS(BS_RE33!$H$7:$H$874,BS_RE33!$S$7:$S$874,$T$2,BS_RE33!$N$7:$N$874,I10,BS_RE33!$P$7:$P$874,'30 days CF Table(JPY)'!G10,BS_RE33!$F$7:$F$874,'30 days CF Table(JPY)'!$C$2)</f>
        <v>0</v>
      </c>
      <c r="U10" s="337">
        <f>SUMIFS(BS_RE33!$H$7:$H$874,BS_RE33!$S$7:$S$874,$U$2,BS_RE33!$N$7:$N$874,I10,BS_RE33!$P$7:$P$874,'30 days CF Table(JPY)'!G10,BS_RE33!$F$7:$F$874,'30 days CF Table(JPY)'!$C$2)</f>
        <v>0</v>
      </c>
      <c r="V10" s="337">
        <f>SUMIFS(BS_RE33!$H$7:$H$874,BS_RE33!$S$7:$S$874,$V$2,BS_RE33!$N$7:$N$874,I10,BS_RE33!$P$7:$P$874,'30 days CF Table(JPY)'!G10,BS_RE33!$F$7:$F$874,'30 days CF Table(JPY)'!$C$2)</f>
        <v>0</v>
      </c>
      <c r="W10" s="337">
        <f>SUMIFS(BS_RE33!$H$7:$H$874,BS_RE33!$S$7:$S$874,$W$2,BS_RE33!$N$7:$N$874,I10,BS_RE33!$P$7:$P$874,'30 days CF Table(JPY)'!G10,BS_RE33!$F$7:$F$874,'30 days CF Table(JPY)'!$C$2)</f>
        <v>0</v>
      </c>
      <c r="X10" s="337">
        <f>SUMIFS(BS_RE33!$H$7:$H$874,BS_RE33!$S$7:$S$874,$X$2,BS_RE33!$N$7:$N$874,I10,BS_RE33!$P$7:$P$874,'30 days CF Table(JPY)'!G10,BS_RE33!$F$7:$F$874,'30 days CF Table(JPY)'!$C$2)</f>
        <v>0</v>
      </c>
      <c r="Y10" s="337">
        <f>SUMIFS(BS_RE33!$H$7:$H$874,BS_RE33!$S$7:$S$874,$Y$2,BS_RE33!$N$7:$N$874,I10,BS_RE33!$P$7:$P$874,'30 days CF Table(JPY)'!G10,BS_RE33!$F$7:$F$874,'30 days CF Table(JPY)'!$C$2)</f>
        <v>0</v>
      </c>
      <c r="Z10" s="337">
        <f>SUMIFS(BS_RE33!$H$7:$H$874,BS_RE33!$S$7:$S$874,$Z$2,BS_RE33!$N$7:$N$874,I10,BS_RE33!$P$7:$P$874,'30 days CF Table(JPY)'!G10,BS_RE33!$F$7:$F$874,'30 days CF Table(JPY)'!$C$2)</f>
        <v>0</v>
      </c>
      <c r="AA10" s="337">
        <f>SUMIFS(BS_RE33!$H$7:$H$874,BS_RE33!$S$7:$S$874,$AA$2,BS_RE33!$N$7:$N$874,I10,BS_RE33!$P$7:$P$874,'30 days CF Table(JPY)'!G10,BS_RE33!$F$7:$F$874,'30 days CF Table(JPY)'!$C$2)</f>
        <v>0</v>
      </c>
      <c r="AB10" s="337">
        <f>SUMIFS(BS_RE33!$H$7:$H$874,BS_RE33!$S$7:$S$874,$AB$2,BS_RE33!$N$7:$N$874,I10,BS_RE33!$P$7:$P$874,'30 days CF Table(JPY)'!G10,BS_RE33!$F$7:$F$874,'30 days CF Table(JPY)'!$C$2)</f>
        <v>0</v>
      </c>
      <c r="AC10" s="337">
        <f>SUMIFS(BS_RE33!$H$7:$H$874,BS_RE33!$S$7:$S$874,$AC$2,BS_RE33!$N$7:$N$874,I10,BS_RE33!$P$7:$P$874,'30 days CF Table(JPY)'!G10,BS_RE33!$F$7:$F$874,'30 days CF Table(JPY)'!$C$2)</f>
        <v>0</v>
      </c>
      <c r="AD10" s="337">
        <f>SUMIFS(BS_RE33!$H$7:$H$874,BS_RE33!$S$7:$S$874,$AD$2,BS_RE33!$N$7:$N$874,I10,BS_RE33!$P$7:$P$874,'30 days CF Table(JPY)'!G10,BS_RE33!$F$7:$F$874,'30 days CF Table(JPY)'!$C$2)</f>
        <v>0</v>
      </c>
      <c r="AE10" s="337">
        <f>SUMIFS(BS_RE33!$H$7:$H$874,BS_RE33!$S$7:$S$874,$AE$2,BS_RE33!$N$7:$N$874,I10,BS_RE33!$P$7:$P$874,'30 days CF Table(JPY)'!G10,BS_RE33!$F$7:$F$874,'30 days CF Table(JPY)'!$C$2)</f>
        <v>0</v>
      </c>
      <c r="AF10" s="337">
        <f>SUMIFS(BS_RE33!$H$7:$H$874,BS_RE33!$S$7:$S$874,$AF$2,BS_RE33!$N$7:$N$874,I10,BS_RE33!$P$7:$P$874,'30 days CF Table(JPY)'!G10,BS_RE33!$F$7:$F$874,'30 days CF Table(JPY)'!$C$2)</f>
        <v>0</v>
      </c>
      <c r="AG10" s="337">
        <f>SUMIFS(BS_RE33!$H$7:$H$874,BS_RE33!$S$7:$S$874,$AG$2,BS_RE33!$N$7:$N$874,I10,BS_RE33!$P$7:$P$874,'30 days CF Table(JPY)'!G10,BS_RE33!$F$7:$F$874,'30 days CF Table(JPY)'!$C$2)</f>
        <v>0</v>
      </c>
      <c r="AH10" s="337">
        <f>SUMIFS(BS_RE33!$H$7:$H$874,BS_RE33!$S$7:$S$874,$AH$2,BS_RE33!$N$7:$N$874,I10,BS_RE33!$P$7:$P$874,'30 days CF Table(JPY)'!G10,BS_RE33!$F$7:$F$874,'30 days CF Table(JPY)'!$C$2)</f>
        <v>0</v>
      </c>
      <c r="AI10" s="337">
        <f>SUMIFS(BS_RE33!$H$7:$H$874,BS_RE33!$S$7:$S$874,$AI$2,BS_RE33!$N$7:$N$874,I10,BS_RE33!$P$7:$P$874,'30 days CF Table(JPY)'!G10,BS_RE33!$F$7:$F$874,'30 days CF Table(JPY)'!$C$2)</f>
        <v>0</v>
      </c>
      <c r="AJ10" s="337">
        <f>SUMIFS(BS_RE33!$H$7:$H$874,BS_RE33!$S$7:$S$874,$AJ$2,BS_RE33!$N$7:$N$874,I10,BS_RE33!$P$7:$P$874,'30 days CF Table(JPY)'!G10,BS_RE33!$F$7:$F$874,'30 days CF Table(JPY)'!$C$2)</f>
        <v>0</v>
      </c>
      <c r="AK10" s="337">
        <f>SUMIFS(BS_RE33!$H$7:$H$874,BS_RE33!$S$7:$S$874,$AK$2,BS_RE33!$N$7:$N$874,I10,BS_RE33!$P$7:$P$874,'30 days CF Table(JPY)'!G10,BS_RE33!$F$7:$F$874,'30 days CF Table(JPY)'!$C$2)</f>
        <v>0</v>
      </c>
      <c r="AL10" s="337">
        <f>SUMIFS(BS_RE33!$H$7:$H$874,BS_RE33!$S$7:$S$874,$AL$2,BS_RE33!$N$7:$N$874,I10,BS_RE33!$P$7:$P$874,'30 days CF Table(JPY)'!G10,BS_RE33!$F$7:$F$874,'30 days CF Table(JPY)'!$C$2)</f>
        <v>0</v>
      </c>
      <c r="AM10" s="337">
        <f>SUMIFS(BS_RE33!$H$7:$H$874,BS_RE33!$S$7:$S$874,$AM$2,BS_RE33!$N$7:$N$874,I10,BS_RE33!$P$7:$P$874,'30 days CF Table(JPY)'!G10,BS_RE33!$F$7:$F$874,'30 days CF Table(JPY)'!$C$2)</f>
        <v>0</v>
      </c>
      <c r="AN10" s="337">
        <f>SUMIFS(BS_RE33!$H$7:$H$874,BS_RE33!$S$7:$S$874,$AN$2,BS_RE33!$N$7:$N$874,I10,BS_RE33!$P$7:$P$874,'30 days CF Table(JPY)'!G10,BS_RE33!$F$7:$F$874,'30 days CF Table(JPY)'!$C$2)</f>
        <v>0</v>
      </c>
      <c r="AO10" s="337">
        <f>SUMIFS(BS_RE33!$H$7:$H$874,BS_RE33!$S$7:$S$874,$AO$2,BS_RE33!$N$7:$N$874,I10,BS_RE33!$P$7:$P$874,'30 days CF Table(JPY)'!G10,BS_RE33!$F$7:$F$874,'30 days CF Table(JPY)'!$C$2)</f>
        <v>0</v>
      </c>
      <c r="AP10" s="338">
        <f>SUMIFS(BS_RE33!$H$7:$H$874,BS_RE33!$S$7:$S$874,$AP$2,BS_RE33!$N$7:$N$874,I10,BS_RE33!$P$7:$P$874,'30 days CF Table(JPY)'!G10,BS_RE33!$F$7:$F$874,'30 days CF Table(JPY)'!$C$2)</f>
        <v>0</v>
      </c>
      <c r="AQ10" s="545"/>
      <c r="AR10" s="379">
        <f>SUMIFS(BS_RE33!$H$7:$H$874,BS_RE33!$S$7:$S$874,$AR$2,BS_RE33!$N$7:$N$874,I10,BS_RE33!$P$7:$P$874,'30 days CF Table(JPY)'!G10,BS_RE33!$F$7:$F$874,'30 days CF Table(JPY)'!$C$2)</f>
        <v>0</v>
      </c>
      <c r="AS10" s="379">
        <f>SUMIFS(BS_RE33!$H$7:$H$874,BS_RE33!$S$7:$S$874,$AS$2,BS_RE33!$N$7:$N$874,I10,BS_RE33!$P$7:$P$874,'30 days CF Table(JPY)'!G10,BS_RE33!$F$7:$F$874,'30 days CF Table(JPY)'!$C$2)</f>
        <v>0</v>
      </c>
      <c r="AT10" s="379">
        <f>SUMIFS(BS_RE33!$H$7:$H$874,BS_RE33!$S$7:$S$874,$AT$2,BS_RE33!$N$7:$N$874,I10,BS_RE33!$P$7:$P$874,'30 days CF Table(JPY)'!G10,BS_RE33!$F$7:$F$874,'30 days CF Table(JPY)'!$C$2)</f>
        <v>0</v>
      </c>
      <c r="AU10" s="379">
        <f>SUMIFS(BS_RE33!$H$7:$H$874,BS_RE33!$S$7:$S$874,$AU$2,BS_RE33!$N$7:$N$874,I10,BS_RE33!$P$7:$P$874,'30 days CF Table(JPY)'!G10,BS_RE33!$F$7:$F$874,'30 days CF Table(JPY)'!$C$2)</f>
        <v>0</v>
      </c>
      <c r="AV10" s="379">
        <f>SUMIFS(BS_RE33!$H$7:$H$874,BS_RE33!$S$7:$S$874,$AV$2,BS_RE33!$N$7:$N$874,I10,BS_RE33!$P$7:$P$874,'30 days CF Table(JPY)'!G10,BS_RE33!$F$7:$F$874,'30 days CF Table(JPY)'!$C$2)</f>
        <v>0</v>
      </c>
      <c r="AW10" s="379">
        <f>SUMIFS(BS_RE33!$H$7:$H$874,BS_RE33!$S$7:$S$874,$AW$2,BS_RE33!$N$7:$N$874,I10,BS_RE33!$P$7:$P$874,'30 days CF Table(JPY)'!G10,BS_RE33!$F$7:$F$874,'30 days CF Table(JPY)'!$C$2)</f>
        <v>0</v>
      </c>
      <c r="AX10" s="379">
        <f>SUMIFS(BS_RE33!$H$7:$H$874,BS_RE33!$S$7:$S$874,$AX$2,BS_RE33!$N$7:$N$874,I10,BS_RE33!$P$7:$P$874,'30 days CF Table(JPY)'!G10,BS_RE33!$F$7:$F$874,'30 days CF Table(JPY)'!$C$2)</f>
        <v>0</v>
      </c>
      <c r="AY10" s="379">
        <f>SUMIFS(BS_RE33!$H$7:$H$874,BS_RE33!$S$7:$S$874,$AY$2,BS_RE33!$N$7:$N$874,I10,BS_RE33!$P$7:$P$874,'30 days CF Table(JPY)'!G10,BS_RE33!$F$7:$F$874,'30 days CF Table(JPY)'!$C$2)</f>
        <v>0</v>
      </c>
      <c r="AZ10" s="379">
        <f>SUMIFS(BS_RE33!$H$7:$H$874,BS_RE33!$S$7:$S$874,$AZ$2,BS_RE33!$N$7:$N$874,I10,BS_RE33!$P$7:$P$874,'30 days CF Table(JPY)'!G10,BS_RE33!$F$7:$F$874,'30 days CF Table(JPY)'!$C$2)</f>
        <v>0</v>
      </c>
      <c r="BA10" s="379">
        <f>SUMIFS(BS_RE33!$H$7:$H$874,BS_RE33!$S$7:$S$874,$BA$2,BS_RE33!$N$7:$N$874,I10,BS_RE33!$P$7:$P$874,'30 days CF Table(JPY)'!G10,BS_RE33!$F$7:$F$874,'30 days CF Table(JPY)'!$C$2)</f>
        <v>0</v>
      </c>
      <c r="BB10" s="379">
        <f>SUMIFS(BS_RE33!$H$7:$H$874,BS_RE33!$S$7:$S$874,$BB$2,BS_RE33!$N$7:$N$874,I10,BS_RE33!$P$7:$P$874,'30 days CF Table(JPY)'!G10,BS_RE33!$F$7:$F$874,'30 days CF Table(JPY)'!$C$2)</f>
        <v>0</v>
      </c>
      <c r="BC10" s="379">
        <f>SUMIFS(BS_RE33!$H$7:$H$874,BS_RE33!$S$7:$S$874,$BC$2,BS_RE33!$N$7:$N$874,I10,BS_RE33!$P$7:$P$874,'30 days CF Table(JPY)'!G10,BS_RE33!$F$7:$F$874,'30 days CF Table(JPY)'!$C$2)</f>
        <v>0</v>
      </c>
      <c r="BD10" s="379">
        <f>SUMIFS(BS_RE33!$H$7:$H$874,BS_RE33!$S$7:$S$874,$BD$2,BS_RE33!$N$7:$N$874,I10,BS_RE33!$P$7:$P$874,'30 days CF Table(JPY)'!G10,BS_RE33!$F$7:$F$874,'30 days CF Table(JPY)'!$C$2)</f>
        <v>0</v>
      </c>
      <c r="BE10" s="379">
        <f>SUMIFS(BS_RE33!$H$7:$H$874,BS_RE33!$S$7:$S$874,$BE$2,BS_RE33!$N$7:$N$874,I10,BS_RE33!$P$7:$P$874,'30 days CF Table(JPY)'!G10,BS_RE33!$F$7:$F$874,'30 days CF Table(JPY)'!$C$2)</f>
        <v>0</v>
      </c>
      <c r="BF10" s="379">
        <f>SUMIFS(BS_RE33!$H$7:$H$874,BS_RE33!$S$7:$S$874,$BF$2,BS_RE33!$N$7:$N$874,I10,BS_RE33!$P$7:$P$874,'30 days CF Table(JPY)'!G10,BS_RE33!$F$7:$F$874,'30 days CF Table(JPY)'!$C$2)</f>
        <v>0</v>
      </c>
      <c r="BG10" s="379">
        <f>SUMIFS(BS_RE33!$H$7:$H$874,BS_RE33!$S$7:$S$874,$BG$2,BS_RE33!$N$7:$N$874,I10,BS_RE33!$P$7:$P$874,'30 days CF Table(JPY)'!G10,BS_RE33!$F$7:$F$874,'30 days CF Table(JPY)'!$C$2)</f>
        <v>0</v>
      </c>
      <c r="BH10" s="379">
        <f>SUMIFS(BS_RE33!$H$7:$H$874,BS_RE33!$S$7:$S$874,$BH$2,BS_RE33!$N$7:$N$874,I10,BS_RE33!$P$7:$P$874,'30 days CF Table(JPY)'!G10,BS_RE33!$F$7:$F$874,'30 days CF Table(JPY)'!$C$2)</f>
        <v>0</v>
      </c>
      <c r="BI10" s="379">
        <f>SUMIFS(BS_RE33!$H$7:$H$874,BS_RE33!$S$7:$S$874,$BI$2,BS_RE33!$N$7:$N$874,I10,BS_RE33!$P$7:$P$874,'30 days CF Table(JPY)'!G10,BS_RE33!$F$7:$F$874,'30 days CF Table(JPY)'!$C$2)</f>
        <v>0</v>
      </c>
      <c r="BJ10" s="379">
        <f>SUMIFS(BS_RE33!$H$7:$H$874,BS_RE33!$S$7:$S$874,$BJ$2,BS_RE33!$N$7:$N$874,I10,BS_RE33!$P$7:$P$874,'30 days CF Table(JPY)'!G10,BS_RE33!$F$7:$F$874,'30 days CF Table(JPY)'!$C$2)</f>
        <v>0</v>
      </c>
      <c r="BK10" s="379">
        <f>SUMIFS(BS_RE33!$H$7:$H$874,BS_RE33!$S$7:$S$874,$BK$2,BS_RE33!$N$7:$N$874,I10,BS_RE33!$P$7:$P$874,'30 days CF Table(JPY)'!G10,BS_RE33!$F$7:$F$874,'30 days CF Table(JPY)'!$C$2)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Table(JPY)'!G11,BS_RE33!$F$7:$F$874,'30 days CF Table(JPY)'!$C$2)</f>
        <v>0</v>
      </c>
      <c r="M11" s="337">
        <f>SUMIFS(BS_RE33!$H$7:$H$874,BS_RE33!$S$7:$S$874,$M$2,BS_RE33!$N$7:$N$874,I11,BS_RE33!$P$7:$P$874,'30 days CF Table(JPY)'!G11,BS_RE33!$F$7:$F$874,'30 days CF Table(JPY)'!$C$2)</f>
        <v>0</v>
      </c>
      <c r="N11" s="337">
        <f>SUMIFS(BS_RE33!$H$7:$H$874,BS_RE33!$S$7:$S$874,$N$2,BS_RE33!$N$7:$N$874,I11,BS_RE33!$P$7:$P$874,'30 days CF Table(JPY)'!G11,BS_RE33!$F$7:$F$874,'30 days CF Table(JPY)'!$C$2)</f>
        <v>0</v>
      </c>
      <c r="O11" s="337">
        <f>SUMIFS(BS_RE33!$H$7:$H$874,BS_RE33!$S$7:$S$874,$O$2,BS_RE33!$N$7:$N$874,I11,BS_RE33!$P$7:$P$874,'30 days CF Table(JPY)'!G11,BS_RE33!$F$7:$F$874,'30 days CF Table(JPY)'!$C$2)</f>
        <v>0</v>
      </c>
      <c r="P11" s="337">
        <f>SUMIFS(BS_RE33!$H$7:$H$874,BS_RE33!$S$7:$S$874,$P$2,BS_RE33!$N$7:$N$874,I11,BS_RE33!$P$7:$P$874,'30 days CF Table(JPY)'!G11,BS_RE33!$F$7:$F$874,'30 days CF Table(JPY)'!$C$2)</f>
        <v>0</v>
      </c>
      <c r="Q11" s="337">
        <f>SUMIFS(BS_RE33!$H$7:$H$874,BS_RE33!$S$7:$S$874,$Q$2,BS_RE33!$N$7:$N$874,I11,BS_RE33!$P$7:$P$874,'30 days CF Table(JPY)'!G11,BS_RE33!$F$7:$F$874,'30 days CF Table(JPY)'!$C$2)</f>
        <v>0</v>
      </c>
      <c r="R11" s="337">
        <f>SUMIFS(BS_RE33!$H$7:$H$874,BS_RE33!$S$7:$S$874,$R$2,BS_RE33!$N$7:$N$874,I11,BS_RE33!$P$7:$P$874,'30 days CF Table(JPY)'!G11,BS_RE33!$F$7:$F$874,'30 days CF Table(JPY)'!$C$2)</f>
        <v>0</v>
      </c>
      <c r="S11" s="337">
        <f>SUMIFS(BS_RE33!$H$7:$H$874,BS_RE33!$S$7:$S$874,$S$2,BS_RE33!$N$7:$N$874,I11,BS_RE33!$P$7:$P$874,'30 days CF Table(JPY)'!G11,BS_RE33!$F$7:$F$874,'30 days CF Table(JPY)'!$C$2)</f>
        <v>0</v>
      </c>
      <c r="T11" s="337">
        <f>SUMIFS(BS_RE33!$H$7:$H$874,BS_RE33!$S$7:$S$874,$T$2,BS_RE33!$N$7:$N$874,I11,BS_RE33!$P$7:$P$874,'30 days CF Table(JPY)'!G11,BS_RE33!$F$7:$F$874,'30 days CF Table(JPY)'!$C$2)</f>
        <v>0</v>
      </c>
      <c r="U11" s="337">
        <f>SUMIFS(BS_RE33!$H$7:$H$874,BS_RE33!$S$7:$S$874,$U$2,BS_RE33!$N$7:$N$874,I11,BS_RE33!$P$7:$P$874,'30 days CF Table(JPY)'!G11,BS_RE33!$F$7:$F$874,'30 days CF Table(JPY)'!$C$2)</f>
        <v>0</v>
      </c>
      <c r="V11" s="337">
        <f>SUMIFS(BS_RE33!$H$7:$H$874,BS_RE33!$S$7:$S$874,$V$2,BS_RE33!$N$7:$N$874,I11,BS_RE33!$P$7:$P$874,'30 days CF Table(JPY)'!G11,BS_RE33!$F$7:$F$874,'30 days CF Table(JPY)'!$C$2)</f>
        <v>0</v>
      </c>
      <c r="W11" s="337">
        <f>SUMIFS(BS_RE33!$H$7:$H$874,BS_RE33!$S$7:$S$874,$W$2,BS_RE33!$N$7:$N$874,I11,BS_RE33!$P$7:$P$874,'30 days CF Table(JPY)'!G11,BS_RE33!$F$7:$F$874,'30 days CF Table(JPY)'!$C$2)</f>
        <v>0</v>
      </c>
      <c r="X11" s="337">
        <f>SUMIFS(BS_RE33!$H$7:$H$874,BS_RE33!$S$7:$S$874,$X$2,BS_RE33!$N$7:$N$874,I11,BS_RE33!$P$7:$P$874,'30 days CF Table(JPY)'!G11,BS_RE33!$F$7:$F$874,'30 days CF Table(JPY)'!$C$2)</f>
        <v>0</v>
      </c>
      <c r="Y11" s="337">
        <f>SUMIFS(BS_RE33!$H$7:$H$874,BS_RE33!$S$7:$S$874,$Y$2,BS_RE33!$N$7:$N$874,I11,BS_RE33!$P$7:$P$874,'30 days CF Table(JPY)'!G11,BS_RE33!$F$7:$F$874,'30 days CF Table(JPY)'!$C$2)</f>
        <v>0</v>
      </c>
      <c r="Z11" s="337">
        <f>SUMIFS(BS_RE33!$H$7:$H$874,BS_RE33!$S$7:$S$874,$Z$2,BS_RE33!$N$7:$N$874,I11,BS_RE33!$P$7:$P$874,'30 days CF Table(JPY)'!G11,BS_RE33!$F$7:$F$874,'30 days CF Table(JPY)'!$C$2)</f>
        <v>0</v>
      </c>
      <c r="AA11" s="337">
        <f>SUMIFS(BS_RE33!$H$7:$H$874,BS_RE33!$S$7:$S$874,$AA$2,BS_RE33!$N$7:$N$874,I11,BS_RE33!$P$7:$P$874,'30 days CF Table(JPY)'!G11,BS_RE33!$F$7:$F$874,'30 days CF Table(JPY)'!$C$2)</f>
        <v>0</v>
      </c>
      <c r="AB11" s="337">
        <f>SUMIFS(BS_RE33!$H$7:$H$874,BS_RE33!$S$7:$S$874,$AB$2,BS_RE33!$N$7:$N$874,I11,BS_RE33!$P$7:$P$874,'30 days CF Table(JPY)'!G11,BS_RE33!$F$7:$F$874,'30 days CF Table(JPY)'!$C$2)</f>
        <v>0</v>
      </c>
      <c r="AC11" s="337">
        <f>SUMIFS(BS_RE33!$H$7:$H$874,BS_RE33!$S$7:$S$874,$AC$2,BS_RE33!$N$7:$N$874,I11,BS_RE33!$P$7:$P$874,'30 days CF Table(JPY)'!G11,BS_RE33!$F$7:$F$874,'30 days CF Table(JPY)'!$C$2)</f>
        <v>0</v>
      </c>
      <c r="AD11" s="337">
        <f>SUMIFS(BS_RE33!$H$7:$H$874,BS_RE33!$S$7:$S$874,$AD$2,BS_RE33!$N$7:$N$874,I11,BS_RE33!$P$7:$P$874,'30 days CF Table(JPY)'!G11,BS_RE33!$F$7:$F$874,'30 days CF Table(JPY)'!$C$2)</f>
        <v>0</v>
      </c>
      <c r="AE11" s="337">
        <f>SUMIFS(BS_RE33!$H$7:$H$874,BS_RE33!$S$7:$S$874,$AE$2,BS_RE33!$N$7:$N$874,I11,BS_RE33!$P$7:$P$874,'30 days CF Table(JPY)'!G11,BS_RE33!$F$7:$F$874,'30 days CF Table(JPY)'!$C$2)</f>
        <v>0</v>
      </c>
      <c r="AF11" s="337">
        <f>SUMIFS(BS_RE33!$H$7:$H$874,BS_RE33!$S$7:$S$874,$AF$2,BS_RE33!$N$7:$N$874,I11,BS_RE33!$P$7:$P$874,'30 days CF Table(JPY)'!G11,BS_RE33!$F$7:$F$874,'30 days CF Table(JPY)'!$C$2)</f>
        <v>0</v>
      </c>
      <c r="AG11" s="337">
        <f>SUMIFS(BS_RE33!$H$7:$H$874,BS_RE33!$S$7:$S$874,$AG$2,BS_RE33!$N$7:$N$874,I11,BS_RE33!$P$7:$P$874,'30 days CF Table(JPY)'!G11,BS_RE33!$F$7:$F$874,'30 days CF Table(JPY)'!$C$2)</f>
        <v>0</v>
      </c>
      <c r="AH11" s="337">
        <f>SUMIFS(BS_RE33!$H$7:$H$874,BS_RE33!$S$7:$S$874,$AH$2,BS_RE33!$N$7:$N$874,I11,BS_RE33!$P$7:$P$874,'30 days CF Table(JPY)'!G11,BS_RE33!$F$7:$F$874,'30 days CF Table(JPY)'!$C$2)</f>
        <v>0</v>
      </c>
      <c r="AI11" s="337">
        <f>SUMIFS(BS_RE33!$H$7:$H$874,BS_RE33!$S$7:$S$874,$AI$2,BS_RE33!$N$7:$N$874,I11,BS_RE33!$P$7:$P$874,'30 days CF Table(JPY)'!G11,BS_RE33!$F$7:$F$874,'30 days CF Table(JPY)'!$C$2)</f>
        <v>0</v>
      </c>
      <c r="AJ11" s="337">
        <f>SUMIFS(BS_RE33!$H$7:$H$874,BS_RE33!$S$7:$S$874,$AJ$2,BS_RE33!$N$7:$N$874,I11,BS_RE33!$P$7:$P$874,'30 days CF Table(JPY)'!G11,BS_RE33!$F$7:$F$874,'30 days CF Table(JPY)'!$C$2)</f>
        <v>0</v>
      </c>
      <c r="AK11" s="337">
        <f>SUMIFS(BS_RE33!$H$7:$H$874,BS_RE33!$S$7:$S$874,$AK$2,BS_RE33!$N$7:$N$874,I11,BS_RE33!$P$7:$P$874,'30 days CF Table(JPY)'!G11,BS_RE33!$F$7:$F$874,'30 days CF Table(JPY)'!$C$2)</f>
        <v>0</v>
      </c>
      <c r="AL11" s="337">
        <f>SUMIFS(BS_RE33!$H$7:$H$874,BS_RE33!$S$7:$S$874,$AL$2,BS_RE33!$N$7:$N$874,I11,BS_RE33!$P$7:$P$874,'30 days CF Table(JPY)'!G11,BS_RE33!$F$7:$F$874,'30 days CF Table(JPY)'!$C$2)</f>
        <v>0</v>
      </c>
      <c r="AM11" s="337">
        <f>SUMIFS(BS_RE33!$H$7:$H$874,BS_RE33!$S$7:$S$874,$AM$2,BS_RE33!$N$7:$N$874,I11,BS_RE33!$P$7:$P$874,'30 days CF Table(JPY)'!G11,BS_RE33!$F$7:$F$874,'30 days CF Table(JPY)'!$C$2)</f>
        <v>0</v>
      </c>
      <c r="AN11" s="337">
        <f>SUMIFS(BS_RE33!$H$7:$H$874,BS_RE33!$S$7:$S$874,$AN$2,BS_RE33!$N$7:$N$874,I11,BS_RE33!$P$7:$P$874,'30 days CF Table(JPY)'!G11,BS_RE33!$F$7:$F$874,'30 days CF Table(JPY)'!$C$2)</f>
        <v>0</v>
      </c>
      <c r="AO11" s="337">
        <f>SUMIFS(BS_RE33!$H$7:$H$874,BS_RE33!$S$7:$S$874,$AO$2,BS_RE33!$N$7:$N$874,I11,BS_RE33!$P$7:$P$874,'30 days CF Table(JPY)'!G11,BS_RE33!$F$7:$F$874,'30 days CF Table(JPY)'!$C$2)</f>
        <v>0</v>
      </c>
      <c r="AP11" s="338">
        <f>SUMIFS(BS_RE33!$H$7:$H$874,BS_RE33!$S$7:$S$874,$AP$2,BS_RE33!$N$7:$N$874,I11,BS_RE33!$P$7:$P$874,'30 days CF Table(JPY)'!G11,BS_RE33!$F$7:$F$874,'30 days CF Table(JPY)'!$C$2)</f>
        <v>0</v>
      </c>
      <c r="AQ11" s="545"/>
      <c r="AR11" s="379">
        <f>SUMIFS(BS_RE33!$H$7:$H$874,BS_RE33!$S$7:$S$874,$AR$2,BS_RE33!$N$7:$N$874,I11,BS_RE33!$P$7:$P$874,'30 days CF Table(JPY)'!G11,BS_RE33!$F$7:$F$874,'30 days CF Table(JPY)'!$C$2)</f>
        <v>0</v>
      </c>
      <c r="AS11" s="379">
        <f>SUMIFS(BS_RE33!$H$7:$H$874,BS_RE33!$S$7:$S$874,$AS$2,BS_RE33!$N$7:$N$874,I11,BS_RE33!$P$7:$P$874,'30 days CF Table(JPY)'!G11,BS_RE33!$F$7:$F$874,'30 days CF Table(JPY)'!$C$2)</f>
        <v>0</v>
      </c>
      <c r="AT11" s="379">
        <f>SUMIFS(BS_RE33!$H$7:$H$874,BS_RE33!$S$7:$S$874,$AT$2,BS_RE33!$N$7:$N$874,I11,BS_RE33!$P$7:$P$874,'30 days CF Table(JPY)'!G11,BS_RE33!$F$7:$F$874,'30 days CF Table(JPY)'!$C$2)</f>
        <v>0</v>
      </c>
      <c r="AU11" s="379">
        <f>SUMIFS(BS_RE33!$H$7:$H$874,BS_RE33!$S$7:$S$874,$AU$2,BS_RE33!$N$7:$N$874,I11,BS_RE33!$P$7:$P$874,'30 days CF Table(JPY)'!G11,BS_RE33!$F$7:$F$874,'30 days CF Table(JPY)'!$C$2)</f>
        <v>0</v>
      </c>
      <c r="AV11" s="379">
        <f>SUMIFS(BS_RE33!$H$7:$H$874,BS_RE33!$S$7:$S$874,$AV$2,BS_RE33!$N$7:$N$874,I11,BS_RE33!$P$7:$P$874,'30 days CF Table(JPY)'!G11,BS_RE33!$F$7:$F$874,'30 days CF Table(JPY)'!$C$2)</f>
        <v>0</v>
      </c>
      <c r="AW11" s="379">
        <f>SUMIFS(BS_RE33!$H$7:$H$874,BS_RE33!$S$7:$S$874,$AW$2,BS_RE33!$N$7:$N$874,I11,BS_RE33!$P$7:$P$874,'30 days CF Table(JPY)'!G11,BS_RE33!$F$7:$F$874,'30 days CF Table(JPY)'!$C$2)</f>
        <v>0</v>
      </c>
      <c r="AX11" s="379">
        <f>SUMIFS(BS_RE33!$H$7:$H$874,BS_RE33!$S$7:$S$874,$AX$2,BS_RE33!$N$7:$N$874,I11,BS_RE33!$P$7:$P$874,'30 days CF Table(JPY)'!G11,BS_RE33!$F$7:$F$874,'30 days CF Table(JPY)'!$C$2)</f>
        <v>0</v>
      </c>
      <c r="AY11" s="379">
        <f>SUMIFS(BS_RE33!$H$7:$H$874,BS_RE33!$S$7:$S$874,$AY$2,BS_RE33!$N$7:$N$874,I11,BS_RE33!$P$7:$P$874,'30 days CF Table(JPY)'!G11,BS_RE33!$F$7:$F$874,'30 days CF Table(JPY)'!$C$2)</f>
        <v>0</v>
      </c>
      <c r="AZ11" s="379">
        <f>SUMIFS(BS_RE33!$H$7:$H$874,BS_RE33!$S$7:$S$874,$AZ$2,BS_RE33!$N$7:$N$874,I11,BS_RE33!$P$7:$P$874,'30 days CF Table(JPY)'!G11,BS_RE33!$F$7:$F$874,'30 days CF Table(JPY)'!$C$2)</f>
        <v>0</v>
      </c>
      <c r="BA11" s="379">
        <f>SUMIFS(BS_RE33!$H$7:$H$874,BS_RE33!$S$7:$S$874,$BA$2,BS_RE33!$N$7:$N$874,I11,BS_RE33!$P$7:$P$874,'30 days CF Table(JPY)'!G11,BS_RE33!$F$7:$F$874,'30 days CF Table(JPY)'!$C$2)</f>
        <v>0</v>
      </c>
      <c r="BB11" s="379">
        <f>SUMIFS(BS_RE33!$H$7:$H$874,BS_RE33!$S$7:$S$874,$BB$2,BS_RE33!$N$7:$N$874,I11,BS_RE33!$P$7:$P$874,'30 days CF Table(JPY)'!G11,BS_RE33!$F$7:$F$874,'30 days CF Table(JPY)'!$C$2)</f>
        <v>0</v>
      </c>
      <c r="BC11" s="379">
        <f>SUMIFS(BS_RE33!$H$7:$H$874,BS_RE33!$S$7:$S$874,$BC$2,BS_RE33!$N$7:$N$874,I11,BS_RE33!$P$7:$P$874,'30 days CF Table(JPY)'!G11,BS_RE33!$F$7:$F$874,'30 days CF Table(JPY)'!$C$2)</f>
        <v>0</v>
      </c>
      <c r="BD11" s="379">
        <f>SUMIFS(BS_RE33!$H$7:$H$874,BS_RE33!$S$7:$S$874,$BD$2,BS_RE33!$N$7:$N$874,I11,BS_RE33!$P$7:$P$874,'30 days CF Table(JPY)'!G11,BS_RE33!$F$7:$F$874,'30 days CF Table(JPY)'!$C$2)</f>
        <v>0</v>
      </c>
      <c r="BE11" s="379">
        <f>SUMIFS(BS_RE33!$H$7:$H$874,BS_RE33!$S$7:$S$874,$BE$2,BS_RE33!$N$7:$N$874,I11,BS_RE33!$P$7:$P$874,'30 days CF Table(JPY)'!G11,BS_RE33!$F$7:$F$874,'30 days CF Table(JPY)'!$C$2)</f>
        <v>0</v>
      </c>
      <c r="BF11" s="379">
        <f>SUMIFS(BS_RE33!$H$7:$H$874,BS_RE33!$S$7:$S$874,$BF$2,BS_RE33!$N$7:$N$874,I11,BS_RE33!$P$7:$P$874,'30 days CF Table(JPY)'!G11,BS_RE33!$F$7:$F$874,'30 days CF Table(JPY)'!$C$2)</f>
        <v>0</v>
      </c>
      <c r="BG11" s="379">
        <f>SUMIFS(BS_RE33!$H$7:$H$874,BS_RE33!$S$7:$S$874,$BG$2,BS_RE33!$N$7:$N$874,I11,BS_RE33!$P$7:$P$874,'30 days CF Table(JPY)'!G11,BS_RE33!$F$7:$F$874,'30 days CF Table(JPY)'!$C$2)</f>
        <v>0</v>
      </c>
      <c r="BH11" s="379">
        <f>SUMIFS(BS_RE33!$H$7:$H$874,BS_RE33!$S$7:$S$874,$BH$2,BS_RE33!$N$7:$N$874,I11,BS_RE33!$P$7:$P$874,'30 days CF Table(JPY)'!G11,BS_RE33!$F$7:$F$874,'30 days CF Table(JPY)'!$C$2)</f>
        <v>0</v>
      </c>
      <c r="BI11" s="379">
        <f>SUMIFS(BS_RE33!$H$7:$H$874,BS_RE33!$S$7:$S$874,$BI$2,BS_RE33!$N$7:$N$874,I11,BS_RE33!$P$7:$P$874,'30 days CF Table(JPY)'!G11,BS_RE33!$F$7:$F$874,'30 days CF Table(JPY)'!$C$2)</f>
        <v>0</v>
      </c>
      <c r="BJ11" s="379">
        <f>SUMIFS(BS_RE33!$H$7:$H$874,BS_RE33!$S$7:$S$874,$BJ$2,BS_RE33!$N$7:$N$874,I11,BS_RE33!$P$7:$P$874,'30 days CF Table(JPY)'!G11,BS_RE33!$F$7:$F$874,'30 days CF Table(JPY)'!$C$2)</f>
        <v>0</v>
      </c>
      <c r="BK11" s="379">
        <f>SUMIFS(BS_RE33!$H$7:$H$874,BS_RE33!$S$7:$S$874,$BK$2,BS_RE33!$N$7:$N$874,I11,BS_RE33!$P$7:$P$874,'30 days CF Table(JPY)'!G11,BS_RE33!$F$7:$F$874,'30 days CF Table(JPY)'!$C$2)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Table(JPY)'!G12,BS_RE33!$F$7:$F$874,'30 days CF Table(JPY)'!$C$2)</f>
        <v>0</v>
      </c>
      <c r="M12" s="337">
        <f>SUMIFS(BS_RE33!$H$7:$H$874,BS_RE33!$S$7:$S$874,$M$2,BS_RE33!$N$7:$N$874,I12,BS_RE33!$P$7:$P$874,'30 days CF Table(JPY)'!G12,BS_RE33!$F$7:$F$874,'30 days CF Table(JPY)'!$C$2)</f>
        <v>0</v>
      </c>
      <c r="N12" s="337">
        <f>SUMIFS(BS_RE33!$H$7:$H$874,BS_RE33!$S$7:$S$874,$N$2,BS_RE33!$N$7:$N$874,I12,BS_RE33!$P$7:$P$874,'30 days CF Table(JPY)'!G12,BS_RE33!$F$7:$F$874,'30 days CF Table(JPY)'!$C$2)</f>
        <v>0</v>
      </c>
      <c r="O12" s="337">
        <f>SUMIFS(BS_RE33!$H$7:$H$874,BS_RE33!$S$7:$S$874,$O$2,BS_RE33!$N$7:$N$874,I12,BS_RE33!$P$7:$P$874,'30 days CF Table(JPY)'!G12,BS_RE33!$F$7:$F$874,'30 days CF Table(JPY)'!$C$2)</f>
        <v>0</v>
      </c>
      <c r="P12" s="337">
        <f>SUMIFS(BS_RE33!$H$7:$H$874,BS_RE33!$S$7:$S$874,$P$2,BS_RE33!$N$7:$N$874,I12,BS_RE33!$P$7:$P$874,'30 days CF Table(JPY)'!G12,BS_RE33!$F$7:$F$874,'30 days CF Table(JPY)'!$C$2)</f>
        <v>0</v>
      </c>
      <c r="Q12" s="337">
        <f>SUMIFS(BS_RE33!$H$7:$H$874,BS_RE33!$S$7:$S$874,$Q$2,BS_RE33!$N$7:$N$874,I12,BS_RE33!$P$7:$P$874,'30 days CF Table(JPY)'!G12,BS_RE33!$F$7:$F$874,'30 days CF Table(JPY)'!$C$2)</f>
        <v>0</v>
      </c>
      <c r="R12" s="337">
        <f>SUMIFS(BS_RE33!$H$7:$H$874,BS_RE33!$S$7:$S$874,$R$2,BS_RE33!$N$7:$N$874,I12,BS_RE33!$P$7:$P$874,'30 days CF Table(JPY)'!G12,BS_RE33!$F$7:$F$874,'30 days CF Table(JPY)'!$C$2)</f>
        <v>0</v>
      </c>
      <c r="S12" s="337">
        <f>SUMIFS(BS_RE33!$H$7:$H$874,BS_RE33!$S$7:$S$874,$S$2,BS_RE33!$N$7:$N$874,I12,BS_RE33!$P$7:$P$874,'30 days CF Table(JPY)'!G12,BS_RE33!$F$7:$F$874,'30 days CF Table(JPY)'!$C$2)</f>
        <v>0</v>
      </c>
      <c r="T12" s="337">
        <f>SUMIFS(BS_RE33!$H$7:$H$874,BS_RE33!$S$7:$S$874,$T$2,BS_RE33!$N$7:$N$874,I12,BS_RE33!$P$7:$P$874,'30 days CF Table(JPY)'!G12,BS_RE33!$F$7:$F$874,'30 days CF Table(JPY)'!$C$2)</f>
        <v>0</v>
      </c>
      <c r="U12" s="337">
        <f>SUMIFS(BS_RE33!$H$7:$H$874,BS_RE33!$S$7:$S$874,$U$2,BS_RE33!$N$7:$N$874,I12,BS_RE33!$P$7:$P$874,'30 days CF Table(JPY)'!G12,BS_RE33!$F$7:$F$874,'30 days CF Table(JPY)'!$C$2)</f>
        <v>0</v>
      </c>
      <c r="V12" s="337">
        <f>SUMIFS(BS_RE33!$H$7:$H$874,BS_RE33!$S$7:$S$874,$V$2,BS_RE33!$N$7:$N$874,I12,BS_RE33!$P$7:$P$874,'30 days CF Table(JPY)'!G12,BS_RE33!$F$7:$F$874,'30 days CF Table(JPY)'!$C$2)</f>
        <v>0</v>
      </c>
      <c r="W12" s="337">
        <f>SUMIFS(BS_RE33!$H$7:$H$874,BS_RE33!$S$7:$S$874,$W$2,BS_RE33!$N$7:$N$874,I12,BS_RE33!$P$7:$P$874,'30 days CF Table(JPY)'!G12,BS_RE33!$F$7:$F$874,'30 days CF Table(JPY)'!$C$2)</f>
        <v>0</v>
      </c>
      <c r="X12" s="337">
        <f>SUMIFS(BS_RE33!$H$7:$H$874,BS_RE33!$S$7:$S$874,$X$2,BS_RE33!$N$7:$N$874,I12,BS_RE33!$P$7:$P$874,'30 days CF Table(JPY)'!G12,BS_RE33!$F$7:$F$874,'30 days CF Table(JPY)'!$C$2)</f>
        <v>0</v>
      </c>
      <c r="Y12" s="337">
        <f>SUMIFS(BS_RE33!$H$7:$H$874,BS_RE33!$S$7:$S$874,$Y$2,BS_RE33!$N$7:$N$874,I12,BS_RE33!$P$7:$P$874,'30 days CF Table(JPY)'!G12,BS_RE33!$F$7:$F$874,'30 days CF Table(JPY)'!$C$2)</f>
        <v>0</v>
      </c>
      <c r="Z12" s="337">
        <f>SUMIFS(BS_RE33!$H$7:$H$874,BS_RE33!$S$7:$S$874,$Z$2,BS_RE33!$N$7:$N$874,I12,BS_RE33!$P$7:$P$874,'30 days CF Table(JPY)'!G12,BS_RE33!$F$7:$F$874,'30 days CF Table(JPY)'!$C$2)</f>
        <v>0</v>
      </c>
      <c r="AA12" s="337">
        <f>SUMIFS(BS_RE33!$H$7:$H$874,BS_RE33!$S$7:$S$874,$AA$2,BS_RE33!$N$7:$N$874,I12,BS_RE33!$P$7:$P$874,'30 days CF Table(JPY)'!G12,BS_RE33!$F$7:$F$874,'30 days CF Table(JPY)'!$C$2)</f>
        <v>0</v>
      </c>
      <c r="AB12" s="337">
        <f>SUMIFS(BS_RE33!$H$7:$H$874,BS_RE33!$S$7:$S$874,$AB$2,BS_RE33!$N$7:$N$874,I12,BS_RE33!$P$7:$P$874,'30 days CF Table(JPY)'!G12,BS_RE33!$F$7:$F$874,'30 days CF Table(JPY)'!$C$2)</f>
        <v>0</v>
      </c>
      <c r="AC12" s="337">
        <f>SUMIFS(BS_RE33!$H$7:$H$874,BS_RE33!$S$7:$S$874,$AC$2,BS_RE33!$N$7:$N$874,I12,BS_RE33!$P$7:$P$874,'30 days CF Table(JPY)'!G12,BS_RE33!$F$7:$F$874,'30 days CF Table(JPY)'!$C$2)</f>
        <v>0</v>
      </c>
      <c r="AD12" s="337">
        <f>SUMIFS(BS_RE33!$H$7:$H$874,BS_RE33!$S$7:$S$874,$AD$2,BS_RE33!$N$7:$N$874,I12,BS_RE33!$P$7:$P$874,'30 days CF Table(JPY)'!G12,BS_RE33!$F$7:$F$874,'30 days CF Table(JPY)'!$C$2)</f>
        <v>0</v>
      </c>
      <c r="AE12" s="337">
        <f>SUMIFS(BS_RE33!$H$7:$H$874,BS_RE33!$S$7:$S$874,$AE$2,BS_RE33!$N$7:$N$874,I12,BS_RE33!$P$7:$P$874,'30 days CF Table(JPY)'!G12,BS_RE33!$F$7:$F$874,'30 days CF Table(JPY)'!$C$2)</f>
        <v>0</v>
      </c>
      <c r="AF12" s="337">
        <f>SUMIFS(BS_RE33!$H$7:$H$874,BS_RE33!$S$7:$S$874,$AF$2,BS_RE33!$N$7:$N$874,I12,BS_RE33!$P$7:$P$874,'30 days CF Table(JPY)'!G12,BS_RE33!$F$7:$F$874,'30 days CF Table(JPY)'!$C$2)</f>
        <v>0</v>
      </c>
      <c r="AG12" s="337">
        <f>SUMIFS(BS_RE33!$H$7:$H$874,BS_RE33!$S$7:$S$874,$AG$2,BS_RE33!$N$7:$N$874,I12,BS_RE33!$P$7:$P$874,'30 days CF Table(JPY)'!G12,BS_RE33!$F$7:$F$874,'30 days CF Table(JPY)'!$C$2)</f>
        <v>0</v>
      </c>
      <c r="AH12" s="337">
        <f>SUMIFS(BS_RE33!$H$7:$H$874,BS_RE33!$S$7:$S$874,$AH$2,BS_RE33!$N$7:$N$874,I12,BS_RE33!$P$7:$P$874,'30 days CF Table(JPY)'!G12,BS_RE33!$F$7:$F$874,'30 days CF Table(JPY)'!$C$2)</f>
        <v>0</v>
      </c>
      <c r="AI12" s="337">
        <f>SUMIFS(BS_RE33!$H$7:$H$874,BS_RE33!$S$7:$S$874,$AI$2,BS_RE33!$N$7:$N$874,I12,BS_RE33!$P$7:$P$874,'30 days CF Table(JPY)'!G12,BS_RE33!$F$7:$F$874,'30 days CF Table(JPY)'!$C$2)</f>
        <v>0</v>
      </c>
      <c r="AJ12" s="337">
        <f>SUMIFS(BS_RE33!$H$7:$H$874,BS_RE33!$S$7:$S$874,$AJ$2,BS_RE33!$N$7:$N$874,I12,BS_RE33!$P$7:$P$874,'30 days CF Table(JPY)'!G12,BS_RE33!$F$7:$F$874,'30 days CF Table(JPY)'!$C$2)</f>
        <v>0</v>
      </c>
      <c r="AK12" s="337">
        <f>SUMIFS(BS_RE33!$H$7:$H$874,BS_RE33!$S$7:$S$874,$AK$2,BS_RE33!$N$7:$N$874,I12,BS_RE33!$P$7:$P$874,'30 days CF Table(JPY)'!G12,BS_RE33!$F$7:$F$874,'30 days CF Table(JPY)'!$C$2)</f>
        <v>0</v>
      </c>
      <c r="AL12" s="337">
        <f>SUMIFS(BS_RE33!$H$7:$H$874,BS_RE33!$S$7:$S$874,$AL$2,BS_RE33!$N$7:$N$874,I12,BS_RE33!$P$7:$P$874,'30 days CF Table(JPY)'!G12,BS_RE33!$F$7:$F$874,'30 days CF Table(JPY)'!$C$2)</f>
        <v>0</v>
      </c>
      <c r="AM12" s="337">
        <f>SUMIFS(BS_RE33!$H$7:$H$874,BS_RE33!$S$7:$S$874,$AM$2,BS_RE33!$N$7:$N$874,I12,BS_RE33!$P$7:$P$874,'30 days CF Table(JPY)'!G12,BS_RE33!$F$7:$F$874,'30 days CF Table(JPY)'!$C$2)</f>
        <v>0</v>
      </c>
      <c r="AN12" s="337">
        <f>SUMIFS(BS_RE33!$H$7:$H$874,BS_RE33!$S$7:$S$874,$AN$2,BS_RE33!$N$7:$N$874,I12,BS_RE33!$P$7:$P$874,'30 days CF Table(JPY)'!G12,BS_RE33!$F$7:$F$874,'30 days CF Table(JPY)'!$C$2)</f>
        <v>0</v>
      </c>
      <c r="AO12" s="337">
        <f>SUMIFS(BS_RE33!$H$7:$H$874,BS_RE33!$S$7:$S$874,$AO$2,BS_RE33!$N$7:$N$874,I12,BS_RE33!$P$7:$P$874,'30 days CF Table(JPY)'!G12,BS_RE33!$F$7:$F$874,'30 days CF Table(JPY)'!$C$2)</f>
        <v>0</v>
      </c>
      <c r="AP12" s="338">
        <f>SUMIFS(BS_RE33!$H$7:$H$874,BS_RE33!$S$7:$S$874,$AP$2,BS_RE33!$N$7:$N$874,I12,BS_RE33!$P$7:$P$874,'30 days CF Table(JPY)'!G12,BS_RE33!$F$7:$F$874,'30 days CF Table(JPY)'!$C$2)</f>
        <v>0</v>
      </c>
      <c r="AQ12" s="545"/>
      <c r="AR12" s="379">
        <f>SUMIFS(BS_RE33!$H$7:$H$874,BS_RE33!$S$7:$S$874,$AR$2,BS_RE33!$N$7:$N$874,I12,BS_RE33!$P$7:$P$874,'30 days CF Table(JPY)'!G12,BS_RE33!$F$7:$F$874,'30 days CF Table(JPY)'!$C$2)</f>
        <v>0</v>
      </c>
      <c r="AS12" s="379">
        <f>SUMIFS(BS_RE33!$H$7:$H$874,BS_RE33!$S$7:$S$874,$AS$2,BS_RE33!$N$7:$N$874,I12,BS_RE33!$P$7:$P$874,'30 days CF Table(JPY)'!G12,BS_RE33!$F$7:$F$874,'30 days CF Table(JPY)'!$C$2)</f>
        <v>0</v>
      </c>
      <c r="AT12" s="379">
        <f>SUMIFS(BS_RE33!$H$7:$H$874,BS_RE33!$S$7:$S$874,$AT$2,BS_RE33!$N$7:$N$874,I12,BS_RE33!$P$7:$P$874,'30 days CF Table(JPY)'!G12,BS_RE33!$F$7:$F$874,'30 days CF Table(JPY)'!$C$2)</f>
        <v>0</v>
      </c>
      <c r="AU12" s="379">
        <f>SUMIFS(BS_RE33!$H$7:$H$874,BS_RE33!$S$7:$S$874,$AU$2,BS_RE33!$N$7:$N$874,I12,BS_RE33!$P$7:$P$874,'30 days CF Table(JPY)'!G12,BS_RE33!$F$7:$F$874,'30 days CF Table(JPY)'!$C$2)</f>
        <v>0</v>
      </c>
      <c r="AV12" s="379">
        <f>SUMIFS(BS_RE33!$H$7:$H$874,BS_RE33!$S$7:$S$874,$AV$2,BS_RE33!$N$7:$N$874,I12,BS_RE33!$P$7:$P$874,'30 days CF Table(JPY)'!G12,BS_RE33!$F$7:$F$874,'30 days CF Table(JPY)'!$C$2)</f>
        <v>0</v>
      </c>
      <c r="AW12" s="379">
        <f>SUMIFS(BS_RE33!$H$7:$H$874,BS_RE33!$S$7:$S$874,$AW$2,BS_RE33!$N$7:$N$874,I12,BS_RE33!$P$7:$P$874,'30 days CF Table(JPY)'!G12,BS_RE33!$F$7:$F$874,'30 days CF Table(JPY)'!$C$2)</f>
        <v>0</v>
      </c>
      <c r="AX12" s="379">
        <f>SUMIFS(BS_RE33!$H$7:$H$874,BS_RE33!$S$7:$S$874,$AX$2,BS_RE33!$N$7:$N$874,I12,BS_RE33!$P$7:$P$874,'30 days CF Table(JPY)'!G12,BS_RE33!$F$7:$F$874,'30 days CF Table(JPY)'!$C$2)</f>
        <v>0</v>
      </c>
      <c r="AY12" s="379">
        <f>SUMIFS(BS_RE33!$H$7:$H$874,BS_RE33!$S$7:$S$874,$AY$2,BS_RE33!$N$7:$N$874,I12,BS_RE33!$P$7:$P$874,'30 days CF Table(JPY)'!G12,BS_RE33!$F$7:$F$874,'30 days CF Table(JPY)'!$C$2)</f>
        <v>0</v>
      </c>
      <c r="AZ12" s="379">
        <f>SUMIFS(BS_RE33!$H$7:$H$874,BS_RE33!$S$7:$S$874,$AZ$2,BS_RE33!$N$7:$N$874,I12,BS_RE33!$P$7:$P$874,'30 days CF Table(JPY)'!G12,BS_RE33!$F$7:$F$874,'30 days CF Table(JPY)'!$C$2)</f>
        <v>0</v>
      </c>
      <c r="BA12" s="379">
        <f>SUMIFS(BS_RE33!$H$7:$H$874,BS_RE33!$S$7:$S$874,$BA$2,BS_RE33!$N$7:$N$874,I12,BS_RE33!$P$7:$P$874,'30 days CF Table(JPY)'!G12,BS_RE33!$F$7:$F$874,'30 days CF Table(JPY)'!$C$2)</f>
        <v>0</v>
      </c>
      <c r="BB12" s="379">
        <f>SUMIFS(BS_RE33!$H$7:$H$874,BS_RE33!$S$7:$S$874,$BB$2,BS_RE33!$N$7:$N$874,I12,BS_RE33!$P$7:$P$874,'30 days CF Table(JPY)'!G12,BS_RE33!$F$7:$F$874,'30 days CF Table(JPY)'!$C$2)</f>
        <v>0</v>
      </c>
      <c r="BC12" s="379">
        <f>SUMIFS(BS_RE33!$H$7:$H$874,BS_RE33!$S$7:$S$874,$BC$2,BS_RE33!$N$7:$N$874,I12,BS_RE33!$P$7:$P$874,'30 days CF Table(JPY)'!G12,BS_RE33!$F$7:$F$874,'30 days CF Table(JPY)'!$C$2)</f>
        <v>0</v>
      </c>
      <c r="BD12" s="379">
        <f>SUMIFS(BS_RE33!$H$7:$H$874,BS_RE33!$S$7:$S$874,$BD$2,BS_RE33!$N$7:$N$874,I12,BS_RE33!$P$7:$P$874,'30 days CF Table(JPY)'!G12,BS_RE33!$F$7:$F$874,'30 days CF Table(JPY)'!$C$2)</f>
        <v>0</v>
      </c>
      <c r="BE12" s="379">
        <f>SUMIFS(BS_RE33!$H$7:$H$874,BS_RE33!$S$7:$S$874,$BE$2,BS_RE33!$N$7:$N$874,I12,BS_RE33!$P$7:$P$874,'30 days CF Table(JPY)'!G12,BS_RE33!$F$7:$F$874,'30 days CF Table(JPY)'!$C$2)</f>
        <v>0</v>
      </c>
      <c r="BF12" s="379">
        <f>SUMIFS(BS_RE33!$H$7:$H$874,BS_RE33!$S$7:$S$874,$BF$2,BS_RE33!$N$7:$N$874,I12,BS_RE33!$P$7:$P$874,'30 days CF Table(JPY)'!G12,BS_RE33!$F$7:$F$874,'30 days CF Table(JPY)'!$C$2)</f>
        <v>0</v>
      </c>
      <c r="BG12" s="379">
        <f>SUMIFS(BS_RE33!$H$7:$H$874,BS_RE33!$S$7:$S$874,$BG$2,BS_RE33!$N$7:$N$874,I12,BS_RE33!$P$7:$P$874,'30 days CF Table(JPY)'!G12,BS_RE33!$F$7:$F$874,'30 days CF Table(JPY)'!$C$2)</f>
        <v>0</v>
      </c>
      <c r="BH12" s="379">
        <f>SUMIFS(BS_RE33!$H$7:$H$874,BS_RE33!$S$7:$S$874,$BH$2,BS_RE33!$N$7:$N$874,I12,BS_RE33!$P$7:$P$874,'30 days CF Table(JPY)'!G12,BS_RE33!$F$7:$F$874,'30 days CF Table(JPY)'!$C$2)</f>
        <v>0</v>
      </c>
      <c r="BI12" s="379">
        <f>SUMIFS(BS_RE33!$H$7:$H$874,BS_RE33!$S$7:$S$874,$BI$2,BS_RE33!$N$7:$N$874,I12,BS_RE33!$P$7:$P$874,'30 days CF Table(JPY)'!G12,BS_RE33!$F$7:$F$874,'30 days CF Table(JPY)'!$C$2)</f>
        <v>0</v>
      </c>
      <c r="BJ12" s="379">
        <f>SUMIFS(BS_RE33!$H$7:$H$874,BS_RE33!$S$7:$S$874,$BJ$2,BS_RE33!$N$7:$N$874,I12,BS_RE33!$P$7:$P$874,'30 days CF Table(JPY)'!G12,BS_RE33!$F$7:$F$874,'30 days CF Table(JPY)'!$C$2)</f>
        <v>0</v>
      </c>
      <c r="BK12" s="379">
        <f>SUMIFS(BS_RE33!$H$7:$H$874,BS_RE33!$S$7:$S$874,$BK$2,BS_RE33!$N$7:$N$874,I12,BS_RE33!$P$7:$P$874,'30 days CF Table(JPY)'!G12,BS_RE33!$F$7:$F$874,'30 days CF Table(JPY)'!$C$2)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Table(JPY)'!G13,BS_RE33!$F$7:$F$874,'30 days CF Table(JPY)'!$C$2)</f>
        <v>0</v>
      </c>
      <c r="M13" s="337">
        <f>SUMIFS(BS_RE33!$H$7:$H$874,BS_RE33!$S$7:$S$874,$M$2,BS_RE33!$N$7:$N$874,I13,BS_RE33!$P$7:$P$874,'30 days CF Table(JPY)'!G13,BS_RE33!$F$7:$F$874,'30 days CF Table(JPY)'!$C$2)</f>
        <v>0</v>
      </c>
      <c r="N13" s="337">
        <f>SUMIFS(BS_RE33!$H$7:$H$874,BS_RE33!$S$7:$S$874,$N$2,BS_RE33!$N$7:$N$874,I13,BS_RE33!$P$7:$P$874,'30 days CF Table(JPY)'!G13,BS_RE33!$F$7:$F$874,'30 days CF Table(JPY)'!$C$2)</f>
        <v>0</v>
      </c>
      <c r="O13" s="337">
        <f>SUMIFS(BS_RE33!$H$7:$H$874,BS_RE33!$S$7:$S$874,$O$2,BS_RE33!$N$7:$N$874,I13,BS_RE33!$P$7:$P$874,'30 days CF Table(JPY)'!G13,BS_RE33!$F$7:$F$874,'30 days CF Table(JPY)'!$C$2)</f>
        <v>0</v>
      </c>
      <c r="P13" s="337">
        <f>SUMIFS(BS_RE33!$H$7:$H$874,BS_RE33!$S$7:$S$874,$P$2,BS_RE33!$N$7:$N$874,I13,BS_RE33!$P$7:$P$874,'30 days CF Table(JPY)'!G13,BS_RE33!$F$7:$F$874,'30 days CF Table(JPY)'!$C$2)</f>
        <v>0</v>
      </c>
      <c r="Q13" s="337">
        <f>SUMIFS(BS_RE33!$H$7:$H$874,BS_RE33!$S$7:$S$874,$Q$2,BS_RE33!$N$7:$N$874,I13,BS_RE33!$P$7:$P$874,'30 days CF Table(JPY)'!G13,BS_RE33!$F$7:$F$874,'30 days CF Table(JPY)'!$C$2)</f>
        <v>0</v>
      </c>
      <c r="R13" s="337">
        <f>SUMIFS(BS_RE33!$H$7:$H$874,BS_RE33!$S$7:$S$874,$R$2,BS_RE33!$N$7:$N$874,I13,BS_RE33!$P$7:$P$874,'30 days CF Table(JPY)'!G13,BS_RE33!$F$7:$F$874,'30 days CF Table(JPY)'!$C$2)</f>
        <v>0</v>
      </c>
      <c r="S13" s="337">
        <f>SUMIFS(BS_RE33!$H$7:$H$874,BS_RE33!$S$7:$S$874,$S$2,BS_RE33!$N$7:$N$874,I13,BS_RE33!$P$7:$P$874,'30 days CF Table(JPY)'!G13,BS_RE33!$F$7:$F$874,'30 days CF Table(JPY)'!$C$2)</f>
        <v>0</v>
      </c>
      <c r="T13" s="337">
        <f>SUMIFS(BS_RE33!$H$7:$H$874,BS_RE33!$S$7:$S$874,$T$2,BS_RE33!$N$7:$N$874,I13,BS_RE33!$P$7:$P$874,'30 days CF Table(JPY)'!G13,BS_RE33!$F$7:$F$874,'30 days CF Table(JPY)'!$C$2)</f>
        <v>0</v>
      </c>
      <c r="U13" s="337">
        <f>SUMIFS(BS_RE33!$H$7:$H$874,BS_RE33!$S$7:$S$874,$U$2,BS_RE33!$N$7:$N$874,I13,BS_RE33!$P$7:$P$874,'30 days CF Table(JPY)'!G13,BS_RE33!$F$7:$F$874,'30 days CF Table(JPY)'!$C$2)</f>
        <v>0</v>
      </c>
      <c r="V13" s="337">
        <f>SUMIFS(BS_RE33!$H$7:$H$874,BS_RE33!$S$7:$S$874,$V$2,BS_RE33!$N$7:$N$874,I13,BS_RE33!$P$7:$P$874,'30 days CF Table(JPY)'!G13,BS_RE33!$F$7:$F$874,'30 days CF Table(JPY)'!$C$2)</f>
        <v>0</v>
      </c>
      <c r="W13" s="337">
        <f>SUMIFS(BS_RE33!$H$7:$H$874,BS_RE33!$S$7:$S$874,$W$2,BS_RE33!$N$7:$N$874,I13,BS_RE33!$P$7:$P$874,'30 days CF Table(JPY)'!G13,BS_RE33!$F$7:$F$874,'30 days CF Table(JPY)'!$C$2)</f>
        <v>0</v>
      </c>
      <c r="X13" s="337">
        <f>SUMIFS(BS_RE33!$H$7:$H$874,BS_RE33!$S$7:$S$874,$X$2,BS_RE33!$N$7:$N$874,I13,BS_RE33!$P$7:$P$874,'30 days CF Table(JPY)'!G13,BS_RE33!$F$7:$F$874,'30 days CF Table(JPY)'!$C$2)</f>
        <v>0</v>
      </c>
      <c r="Y13" s="337">
        <f>SUMIFS(BS_RE33!$H$7:$H$874,BS_RE33!$S$7:$S$874,$Y$2,BS_RE33!$N$7:$N$874,I13,BS_RE33!$P$7:$P$874,'30 days CF Table(JPY)'!G13,BS_RE33!$F$7:$F$874,'30 days CF Table(JPY)'!$C$2)</f>
        <v>0</v>
      </c>
      <c r="Z13" s="337">
        <f>SUMIFS(BS_RE33!$H$7:$H$874,BS_RE33!$S$7:$S$874,$Z$2,BS_RE33!$N$7:$N$874,I13,BS_RE33!$P$7:$P$874,'30 days CF Table(JPY)'!G13,BS_RE33!$F$7:$F$874,'30 days CF Table(JPY)'!$C$2)</f>
        <v>0</v>
      </c>
      <c r="AA13" s="337">
        <f>SUMIFS(BS_RE33!$H$7:$H$874,BS_RE33!$S$7:$S$874,$AA$2,BS_RE33!$N$7:$N$874,I13,BS_RE33!$P$7:$P$874,'30 days CF Table(JPY)'!G13,BS_RE33!$F$7:$F$874,'30 days CF Table(JPY)'!$C$2)</f>
        <v>0</v>
      </c>
      <c r="AB13" s="337">
        <f>SUMIFS(BS_RE33!$H$7:$H$874,BS_RE33!$S$7:$S$874,$AB$2,BS_RE33!$N$7:$N$874,I13,BS_RE33!$P$7:$P$874,'30 days CF Table(JPY)'!G13,BS_RE33!$F$7:$F$874,'30 days CF Table(JPY)'!$C$2)</f>
        <v>0</v>
      </c>
      <c r="AC13" s="337">
        <f>SUMIFS(BS_RE33!$H$7:$H$874,BS_RE33!$S$7:$S$874,$AC$2,BS_RE33!$N$7:$N$874,I13,BS_RE33!$P$7:$P$874,'30 days CF Table(JPY)'!G13,BS_RE33!$F$7:$F$874,'30 days CF Table(JPY)'!$C$2)</f>
        <v>0</v>
      </c>
      <c r="AD13" s="337">
        <f>SUMIFS(BS_RE33!$H$7:$H$874,BS_RE33!$S$7:$S$874,$AD$2,BS_RE33!$N$7:$N$874,I13,BS_RE33!$P$7:$P$874,'30 days CF Table(JPY)'!G13,BS_RE33!$F$7:$F$874,'30 days CF Table(JPY)'!$C$2)</f>
        <v>0</v>
      </c>
      <c r="AE13" s="337">
        <f>SUMIFS(BS_RE33!$H$7:$H$874,BS_RE33!$S$7:$S$874,$AE$2,BS_RE33!$N$7:$N$874,I13,BS_RE33!$P$7:$P$874,'30 days CF Table(JPY)'!G13,BS_RE33!$F$7:$F$874,'30 days CF Table(JPY)'!$C$2)</f>
        <v>0</v>
      </c>
      <c r="AF13" s="337">
        <f>SUMIFS(BS_RE33!$H$7:$H$874,BS_RE33!$S$7:$S$874,$AF$2,BS_RE33!$N$7:$N$874,I13,BS_RE33!$P$7:$P$874,'30 days CF Table(JPY)'!G13,BS_RE33!$F$7:$F$874,'30 days CF Table(JPY)'!$C$2)</f>
        <v>0</v>
      </c>
      <c r="AG13" s="337">
        <f>SUMIFS(BS_RE33!$H$7:$H$874,BS_RE33!$S$7:$S$874,$AG$2,BS_RE33!$N$7:$N$874,I13,BS_RE33!$P$7:$P$874,'30 days CF Table(JPY)'!G13,BS_RE33!$F$7:$F$874,'30 days CF Table(JPY)'!$C$2)</f>
        <v>0</v>
      </c>
      <c r="AH13" s="337">
        <f>SUMIFS(BS_RE33!$H$7:$H$874,BS_RE33!$S$7:$S$874,$AH$2,BS_RE33!$N$7:$N$874,I13,BS_RE33!$P$7:$P$874,'30 days CF Table(JPY)'!G13,BS_RE33!$F$7:$F$874,'30 days CF Table(JPY)'!$C$2)</f>
        <v>0</v>
      </c>
      <c r="AI13" s="337">
        <f>SUMIFS(BS_RE33!$H$7:$H$874,BS_RE33!$S$7:$S$874,$AI$2,BS_RE33!$N$7:$N$874,I13,BS_RE33!$P$7:$P$874,'30 days CF Table(JPY)'!G13,BS_RE33!$F$7:$F$874,'30 days CF Table(JPY)'!$C$2)</f>
        <v>0</v>
      </c>
      <c r="AJ13" s="337">
        <f>SUMIFS(BS_RE33!$H$7:$H$874,BS_RE33!$S$7:$S$874,$AJ$2,BS_RE33!$N$7:$N$874,I13,BS_RE33!$P$7:$P$874,'30 days CF Table(JPY)'!G13,BS_RE33!$F$7:$F$874,'30 days CF Table(JPY)'!$C$2)</f>
        <v>0</v>
      </c>
      <c r="AK13" s="337">
        <f>SUMIFS(BS_RE33!$H$7:$H$874,BS_RE33!$S$7:$S$874,$AK$2,BS_RE33!$N$7:$N$874,I13,BS_RE33!$P$7:$P$874,'30 days CF Table(JPY)'!G13,BS_RE33!$F$7:$F$874,'30 days CF Table(JPY)'!$C$2)</f>
        <v>0</v>
      </c>
      <c r="AL13" s="337">
        <f>SUMIFS(BS_RE33!$H$7:$H$874,BS_RE33!$S$7:$S$874,$AL$2,BS_RE33!$N$7:$N$874,I13,BS_RE33!$P$7:$P$874,'30 days CF Table(JPY)'!G13,BS_RE33!$F$7:$F$874,'30 days CF Table(JPY)'!$C$2)</f>
        <v>0</v>
      </c>
      <c r="AM13" s="337">
        <f>SUMIFS(BS_RE33!$H$7:$H$874,BS_RE33!$S$7:$S$874,$AM$2,BS_RE33!$N$7:$N$874,I13,BS_RE33!$P$7:$P$874,'30 days CF Table(JPY)'!G13,BS_RE33!$F$7:$F$874,'30 days CF Table(JPY)'!$C$2)</f>
        <v>0</v>
      </c>
      <c r="AN13" s="337">
        <f>SUMIFS(BS_RE33!$H$7:$H$874,BS_RE33!$S$7:$S$874,$AN$2,BS_RE33!$N$7:$N$874,I13,BS_RE33!$P$7:$P$874,'30 days CF Table(JPY)'!G13,BS_RE33!$F$7:$F$874,'30 days CF Table(JPY)'!$C$2)</f>
        <v>0</v>
      </c>
      <c r="AO13" s="337">
        <f>SUMIFS(BS_RE33!$H$7:$H$874,BS_RE33!$S$7:$S$874,$AO$2,BS_RE33!$N$7:$N$874,I13,BS_RE33!$P$7:$P$874,'30 days CF Table(JPY)'!G13,BS_RE33!$F$7:$F$874,'30 days CF Table(JPY)'!$C$2)</f>
        <v>0</v>
      </c>
      <c r="AP13" s="338">
        <f>SUMIFS(BS_RE33!$H$7:$H$874,BS_RE33!$S$7:$S$874,$AP$2,BS_RE33!$N$7:$N$874,I13,BS_RE33!$P$7:$P$874,'30 days CF Table(JPY)'!G13,BS_RE33!$F$7:$F$874,'30 days CF Table(JPY)'!$C$2)</f>
        <v>0</v>
      </c>
      <c r="AQ13" s="545"/>
      <c r="AR13" s="379">
        <f>SUMIFS(BS_RE33!$H$7:$H$874,BS_RE33!$S$7:$S$874,$AR$2,BS_RE33!$N$7:$N$874,I13,BS_RE33!$P$7:$P$874,'30 days CF Table(JPY)'!G13,BS_RE33!$F$7:$F$874,'30 days CF Table(JPY)'!$C$2)</f>
        <v>0</v>
      </c>
      <c r="AS13" s="379">
        <f>SUMIFS(BS_RE33!$H$7:$H$874,BS_RE33!$S$7:$S$874,$AS$2,BS_RE33!$N$7:$N$874,I13,BS_RE33!$P$7:$P$874,'30 days CF Table(JPY)'!G13,BS_RE33!$F$7:$F$874,'30 days CF Table(JPY)'!$C$2)</f>
        <v>0</v>
      </c>
      <c r="AT13" s="379">
        <f>SUMIFS(BS_RE33!$H$7:$H$874,BS_RE33!$S$7:$S$874,$AT$2,BS_RE33!$N$7:$N$874,I13,BS_RE33!$P$7:$P$874,'30 days CF Table(JPY)'!G13,BS_RE33!$F$7:$F$874,'30 days CF Table(JPY)'!$C$2)</f>
        <v>0</v>
      </c>
      <c r="AU13" s="379">
        <f>SUMIFS(BS_RE33!$H$7:$H$874,BS_RE33!$S$7:$S$874,$AU$2,BS_RE33!$N$7:$N$874,I13,BS_RE33!$P$7:$P$874,'30 days CF Table(JPY)'!G13,BS_RE33!$F$7:$F$874,'30 days CF Table(JPY)'!$C$2)</f>
        <v>0</v>
      </c>
      <c r="AV13" s="379">
        <f>SUMIFS(BS_RE33!$H$7:$H$874,BS_RE33!$S$7:$S$874,$AV$2,BS_RE33!$N$7:$N$874,I13,BS_RE33!$P$7:$P$874,'30 days CF Table(JPY)'!G13,BS_RE33!$F$7:$F$874,'30 days CF Table(JPY)'!$C$2)</f>
        <v>0</v>
      </c>
      <c r="AW13" s="379">
        <f>SUMIFS(BS_RE33!$H$7:$H$874,BS_RE33!$S$7:$S$874,$AW$2,BS_RE33!$N$7:$N$874,I13,BS_RE33!$P$7:$P$874,'30 days CF Table(JPY)'!G13,BS_RE33!$F$7:$F$874,'30 days CF Table(JPY)'!$C$2)</f>
        <v>0</v>
      </c>
      <c r="AX13" s="379">
        <f>SUMIFS(BS_RE33!$H$7:$H$874,BS_RE33!$S$7:$S$874,$AX$2,BS_RE33!$N$7:$N$874,I13,BS_RE33!$P$7:$P$874,'30 days CF Table(JPY)'!G13,BS_RE33!$F$7:$F$874,'30 days CF Table(JPY)'!$C$2)</f>
        <v>0</v>
      </c>
      <c r="AY13" s="379">
        <f>SUMIFS(BS_RE33!$H$7:$H$874,BS_RE33!$S$7:$S$874,$AY$2,BS_RE33!$N$7:$N$874,I13,BS_RE33!$P$7:$P$874,'30 days CF Table(JPY)'!G13,BS_RE33!$F$7:$F$874,'30 days CF Table(JPY)'!$C$2)</f>
        <v>0</v>
      </c>
      <c r="AZ13" s="379">
        <f>SUMIFS(BS_RE33!$H$7:$H$874,BS_RE33!$S$7:$S$874,$AZ$2,BS_RE33!$N$7:$N$874,I13,BS_RE33!$P$7:$P$874,'30 days CF Table(JPY)'!G13,BS_RE33!$F$7:$F$874,'30 days CF Table(JPY)'!$C$2)</f>
        <v>0</v>
      </c>
      <c r="BA13" s="379">
        <f>SUMIFS(BS_RE33!$H$7:$H$874,BS_RE33!$S$7:$S$874,$BA$2,BS_RE33!$N$7:$N$874,I13,BS_RE33!$P$7:$P$874,'30 days CF Table(JPY)'!G13,BS_RE33!$F$7:$F$874,'30 days CF Table(JPY)'!$C$2)</f>
        <v>0</v>
      </c>
      <c r="BB13" s="379">
        <f>SUMIFS(BS_RE33!$H$7:$H$874,BS_RE33!$S$7:$S$874,$BB$2,BS_RE33!$N$7:$N$874,I13,BS_RE33!$P$7:$P$874,'30 days CF Table(JPY)'!G13,BS_RE33!$F$7:$F$874,'30 days CF Table(JPY)'!$C$2)</f>
        <v>0</v>
      </c>
      <c r="BC13" s="379">
        <f>SUMIFS(BS_RE33!$H$7:$H$874,BS_RE33!$S$7:$S$874,$BC$2,BS_RE33!$N$7:$N$874,I13,BS_RE33!$P$7:$P$874,'30 days CF Table(JPY)'!G13,BS_RE33!$F$7:$F$874,'30 days CF Table(JPY)'!$C$2)</f>
        <v>0</v>
      </c>
      <c r="BD13" s="379">
        <f>SUMIFS(BS_RE33!$H$7:$H$874,BS_RE33!$S$7:$S$874,$BD$2,BS_RE33!$N$7:$N$874,I13,BS_RE33!$P$7:$P$874,'30 days CF Table(JPY)'!G13,BS_RE33!$F$7:$F$874,'30 days CF Table(JPY)'!$C$2)</f>
        <v>0</v>
      </c>
      <c r="BE13" s="379">
        <f>SUMIFS(BS_RE33!$H$7:$H$874,BS_RE33!$S$7:$S$874,$BE$2,BS_RE33!$N$7:$N$874,I13,BS_RE33!$P$7:$P$874,'30 days CF Table(JPY)'!G13,BS_RE33!$F$7:$F$874,'30 days CF Table(JPY)'!$C$2)</f>
        <v>0</v>
      </c>
      <c r="BF13" s="379">
        <f>SUMIFS(BS_RE33!$H$7:$H$874,BS_RE33!$S$7:$S$874,$BF$2,BS_RE33!$N$7:$N$874,I13,BS_RE33!$P$7:$P$874,'30 days CF Table(JPY)'!G13,BS_RE33!$F$7:$F$874,'30 days CF Table(JPY)'!$C$2)</f>
        <v>0</v>
      </c>
      <c r="BG13" s="379">
        <f>SUMIFS(BS_RE33!$H$7:$H$874,BS_RE33!$S$7:$S$874,$BG$2,BS_RE33!$N$7:$N$874,I13,BS_RE33!$P$7:$P$874,'30 days CF Table(JPY)'!G13,BS_RE33!$F$7:$F$874,'30 days CF Table(JPY)'!$C$2)</f>
        <v>0</v>
      </c>
      <c r="BH13" s="379">
        <f>SUMIFS(BS_RE33!$H$7:$H$874,BS_RE33!$S$7:$S$874,$BH$2,BS_RE33!$N$7:$N$874,I13,BS_RE33!$P$7:$P$874,'30 days CF Table(JPY)'!G13,BS_RE33!$F$7:$F$874,'30 days CF Table(JPY)'!$C$2)</f>
        <v>0</v>
      </c>
      <c r="BI13" s="379">
        <f>SUMIFS(BS_RE33!$H$7:$H$874,BS_RE33!$S$7:$S$874,$BI$2,BS_RE33!$N$7:$N$874,I13,BS_RE33!$P$7:$P$874,'30 days CF Table(JPY)'!G13,BS_RE33!$F$7:$F$874,'30 days CF Table(JPY)'!$C$2)</f>
        <v>0</v>
      </c>
      <c r="BJ13" s="379">
        <f>SUMIFS(BS_RE33!$H$7:$H$874,BS_RE33!$S$7:$S$874,$BJ$2,BS_RE33!$N$7:$N$874,I13,BS_RE33!$P$7:$P$874,'30 days CF Table(JPY)'!G13,BS_RE33!$F$7:$F$874,'30 days CF Table(JPY)'!$C$2)</f>
        <v>0</v>
      </c>
      <c r="BK13" s="379">
        <f>SUMIFS(BS_RE33!$H$7:$H$874,BS_RE33!$S$7:$S$874,$BK$2,BS_RE33!$N$7:$N$874,I13,BS_RE33!$P$7:$P$874,'30 days CF Table(JPY)'!G13,BS_RE33!$F$7:$F$874,'30 days CF Table(JPY)'!$C$2)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Table(JPY)'!G14,BS_RE33!$F$7:$F$874,'30 days CF Table(JPY)'!$C$2)</f>
        <v>0</v>
      </c>
      <c r="M14" s="337">
        <f>SUMIFS(BS_RE33!$H$7:$H$874,BS_RE33!$S$7:$S$874,$M$2,BS_RE33!$N$7:$N$874,I14,BS_RE33!$P$7:$P$874,'30 days CF Table(JPY)'!G14,BS_RE33!$F$7:$F$874,'30 days CF Table(JPY)'!$C$2)</f>
        <v>0</v>
      </c>
      <c r="N14" s="337">
        <f>SUMIFS(BS_RE33!$H$7:$H$874,BS_RE33!$S$7:$S$874,$N$2,BS_RE33!$N$7:$N$874,I14,BS_RE33!$P$7:$P$874,'30 days CF Table(JPY)'!G14,BS_RE33!$F$7:$F$874,'30 days CF Table(JPY)'!$C$2)</f>
        <v>0</v>
      </c>
      <c r="O14" s="337">
        <f>SUMIFS(BS_RE33!$H$7:$H$874,BS_RE33!$S$7:$S$874,$O$2,BS_RE33!$N$7:$N$874,I14,BS_RE33!$P$7:$P$874,'30 days CF Table(JPY)'!G14,BS_RE33!$F$7:$F$874,'30 days CF Table(JPY)'!$C$2)</f>
        <v>0</v>
      </c>
      <c r="P14" s="337">
        <f>SUMIFS(BS_RE33!$H$7:$H$874,BS_RE33!$S$7:$S$874,$P$2,BS_RE33!$N$7:$N$874,I14,BS_RE33!$P$7:$P$874,'30 days CF Table(JPY)'!G14,BS_RE33!$F$7:$F$874,'30 days CF Table(JPY)'!$C$2)</f>
        <v>0</v>
      </c>
      <c r="Q14" s="337">
        <f>SUMIFS(BS_RE33!$H$7:$H$874,BS_RE33!$S$7:$S$874,$Q$2,BS_RE33!$N$7:$N$874,I14,BS_RE33!$P$7:$P$874,'30 days CF Table(JPY)'!G14,BS_RE33!$F$7:$F$874,'30 days CF Table(JPY)'!$C$2)</f>
        <v>0</v>
      </c>
      <c r="R14" s="337">
        <f>SUMIFS(BS_RE33!$H$7:$H$874,BS_RE33!$S$7:$S$874,$R$2,BS_RE33!$N$7:$N$874,I14,BS_RE33!$P$7:$P$874,'30 days CF Table(JPY)'!G14,BS_RE33!$F$7:$F$874,'30 days CF Table(JPY)'!$C$2)</f>
        <v>0</v>
      </c>
      <c r="S14" s="337">
        <f>SUMIFS(BS_RE33!$H$7:$H$874,BS_RE33!$S$7:$S$874,$S$2,BS_RE33!$N$7:$N$874,I14,BS_RE33!$P$7:$P$874,'30 days CF Table(JPY)'!G14,BS_RE33!$F$7:$F$874,'30 days CF Table(JPY)'!$C$2)</f>
        <v>0</v>
      </c>
      <c r="T14" s="337">
        <f>SUMIFS(BS_RE33!$H$7:$H$874,BS_RE33!$S$7:$S$874,$T$2,BS_RE33!$N$7:$N$874,I14,BS_RE33!$P$7:$P$874,'30 days CF Table(JPY)'!G14,BS_RE33!$F$7:$F$874,'30 days CF Table(JPY)'!$C$2)</f>
        <v>0</v>
      </c>
      <c r="U14" s="337">
        <f>SUMIFS(BS_RE33!$H$7:$H$874,BS_RE33!$S$7:$S$874,$U$2,BS_RE33!$N$7:$N$874,I14,BS_RE33!$P$7:$P$874,'30 days CF Table(JPY)'!G14,BS_RE33!$F$7:$F$874,'30 days CF Table(JPY)'!$C$2)</f>
        <v>0</v>
      </c>
      <c r="V14" s="337">
        <f>SUMIFS(BS_RE33!$H$7:$H$874,BS_RE33!$S$7:$S$874,$V$2,BS_RE33!$N$7:$N$874,I14,BS_RE33!$P$7:$P$874,'30 days CF Table(JPY)'!G14,BS_RE33!$F$7:$F$874,'30 days CF Table(JPY)'!$C$2)</f>
        <v>0</v>
      </c>
      <c r="W14" s="337">
        <f>SUMIFS(BS_RE33!$H$7:$H$874,BS_RE33!$S$7:$S$874,$W$2,BS_RE33!$N$7:$N$874,I14,BS_RE33!$P$7:$P$874,'30 days CF Table(JPY)'!G14,BS_RE33!$F$7:$F$874,'30 days CF Table(JPY)'!$C$2)</f>
        <v>0</v>
      </c>
      <c r="X14" s="337">
        <f>SUMIFS(BS_RE33!$H$7:$H$874,BS_RE33!$S$7:$S$874,$X$2,BS_RE33!$N$7:$N$874,I14,BS_RE33!$P$7:$P$874,'30 days CF Table(JPY)'!G14,BS_RE33!$F$7:$F$874,'30 days CF Table(JPY)'!$C$2)</f>
        <v>0</v>
      </c>
      <c r="Y14" s="337">
        <f>SUMIFS(BS_RE33!$H$7:$H$874,BS_RE33!$S$7:$S$874,$Y$2,BS_RE33!$N$7:$N$874,I14,BS_RE33!$P$7:$P$874,'30 days CF Table(JPY)'!G14,BS_RE33!$F$7:$F$874,'30 days CF Table(JPY)'!$C$2)</f>
        <v>0</v>
      </c>
      <c r="Z14" s="337">
        <f>SUMIFS(BS_RE33!$H$7:$H$874,BS_RE33!$S$7:$S$874,$Z$2,BS_RE33!$N$7:$N$874,I14,BS_RE33!$P$7:$P$874,'30 days CF Table(JPY)'!G14,BS_RE33!$F$7:$F$874,'30 days CF Table(JPY)'!$C$2)</f>
        <v>0</v>
      </c>
      <c r="AA14" s="337">
        <f>SUMIFS(BS_RE33!$H$7:$H$874,BS_RE33!$S$7:$S$874,$AA$2,BS_RE33!$N$7:$N$874,I14,BS_RE33!$P$7:$P$874,'30 days CF Table(JPY)'!G14,BS_RE33!$F$7:$F$874,'30 days CF Table(JPY)'!$C$2)</f>
        <v>0</v>
      </c>
      <c r="AB14" s="337">
        <f>SUMIFS(BS_RE33!$H$7:$H$874,BS_RE33!$S$7:$S$874,$AB$2,BS_RE33!$N$7:$N$874,I14,BS_RE33!$P$7:$P$874,'30 days CF Table(JPY)'!G14,BS_RE33!$F$7:$F$874,'30 days CF Table(JPY)'!$C$2)</f>
        <v>0</v>
      </c>
      <c r="AC14" s="337">
        <f>SUMIFS(BS_RE33!$H$7:$H$874,BS_RE33!$S$7:$S$874,$AC$2,BS_RE33!$N$7:$N$874,I14,BS_RE33!$P$7:$P$874,'30 days CF Table(JPY)'!G14,BS_RE33!$F$7:$F$874,'30 days CF Table(JPY)'!$C$2)</f>
        <v>0</v>
      </c>
      <c r="AD14" s="337">
        <f>SUMIFS(BS_RE33!$H$7:$H$874,BS_RE33!$S$7:$S$874,$AD$2,BS_RE33!$N$7:$N$874,I14,BS_RE33!$P$7:$P$874,'30 days CF Table(JPY)'!G14,BS_RE33!$F$7:$F$874,'30 days CF Table(JPY)'!$C$2)</f>
        <v>0</v>
      </c>
      <c r="AE14" s="337">
        <f>SUMIFS(BS_RE33!$H$7:$H$874,BS_RE33!$S$7:$S$874,$AE$2,BS_RE33!$N$7:$N$874,I14,BS_RE33!$P$7:$P$874,'30 days CF Table(JPY)'!G14,BS_RE33!$F$7:$F$874,'30 days CF Table(JPY)'!$C$2)</f>
        <v>0</v>
      </c>
      <c r="AF14" s="337">
        <f>SUMIFS(BS_RE33!$H$7:$H$874,BS_RE33!$S$7:$S$874,$AF$2,BS_RE33!$N$7:$N$874,I14,BS_RE33!$P$7:$P$874,'30 days CF Table(JPY)'!G14,BS_RE33!$F$7:$F$874,'30 days CF Table(JPY)'!$C$2)</f>
        <v>0</v>
      </c>
      <c r="AG14" s="337">
        <f>SUMIFS(BS_RE33!$H$7:$H$874,BS_RE33!$S$7:$S$874,$AG$2,BS_RE33!$N$7:$N$874,I14,BS_RE33!$P$7:$P$874,'30 days CF Table(JPY)'!G14,BS_RE33!$F$7:$F$874,'30 days CF Table(JPY)'!$C$2)</f>
        <v>0</v>
      </c>
      <c r="AH14" s="337">
        <f>SUMIFS(BS_RE33!$H$7:$H$874,BS_RE33!$S$7:$S$874,$AH$2,BS_RE33!$N$7:$N$874,I14,BS_RE33!$P$7:$P$874,'30 days CF Table(JPY)'!G14,BS_RE33!$F$7:$F$874,'30 days CF Table(JPY)'!$C$2)</f>
        <v>0</v>
      </c>
      <c r="AI14" s="337">
        <f>SUMIFS(BS_RE33!$H$7:$H$874,BS_RE33!$S$7:$S$874,$AI$2,BS_RE33!$N$7:$N$874,I14,BS_RE33!$P$7:$P$874,'30 days CF Table(JPY)'!G14,BS_RE33!$F$7:$F$874,'30 days CF Table(JPY)'!$C$2)</f>
        <v>0</v>
      </c>
      <c r="AJ14" s="337">
        <f>SUMIFS(BS_RE33!$H$7:$H$874,BS_RE33!$S$7:$S$874,$AJ$2,BS_RE33!$N$7:$N$874,I14,BS_RE33!$P$7:$P$874,'30 days CF Table(JPY)'!G14,BS_RE33!$F$7:$F$874,'30 days CF Table(JPY)'!$C$2)</f>
        <v>0</v>
      </c>
      <c r="AK14" s="337">
        <f>SUMIFS(BS_RE33!$H$7:$H$874,BS_RE33!$S$7:$S$874,$AK$2,BS_RE33!$N$7:$N$874,I14,BS_RE33!$P$7:$P$874,'30 days CF Table(JPY)'!G14,BS_RE33!$F$7:$F$874,'30 days CF Table(JPY)'!$C$2)</f>
        <v>0</v>
      </c>
      <c r="AL14" s="337">
        <f>SUMIFS(BS_RE33!$H$7:$H$874,BS_RE33!$S$7:$S$874,$AL$2,BS_RE33!$N$7:$N$874,I14,BS_RE33!$P$7:$P$874,'30 days CF Table(JPY)'!G14,BS_RE33!$F$7:$F$874,'30 days CF Table(JPY)'!$C$2)</f>
        <v>0</v>
      </c>
      <c r="AM14" s="337">
        <f>SUMIFS(BS_RE33!$H$7:$H$874,BS_RE33!$S$7:$S$874,$AM$2,BS_RE33!$N$7:$N$874,I14,BS_RE33!$P$7:$P$874,'30 days CF Table(JPY)'!G14,BS_RE33!$F$7:$F$874,'30 days CF Table(JPY)'!$C$2)</f>
        <v>0</v>
      </c>
      <c r="AN14" s="337">
        <f>SUMIFS(BS_RE33!$H$7:$H$874,BS_RE33!$S$7:$S$874,$AN$2,BS_RE33!$N$7:$N$874,I14,BS_RE33!$P$7:$P$874,'30 days CF Table(JPY)'!G14,BS_RE33!$F$7:$F$874,'30 days CF Table(JPY)'!$C$2)</f>
        <v>0</v>
      </c>
      <c r="AO14" s="337">
        <f>SUMIFS(BS_RE33!$H$7:$H$874,BS_RE33!$S$7:$S$874,$AO$2,BS_RE33!$N$7:$N$874,I14,BS_RE33!$P$7:$P$874,'30 days CF Table(JPY)'!G14,BS_RE33!$F$7:$F$874,'30 days CF Table(JPY)'!$C$2)</f>
        <v>0</v>
      </c>
      <c r="AP14" s="338">
        <f>SUMIFS(BS_RE33!$H$7:$H$874,BS_RE33!$S$7:$S$874,$AP$2,BS_RE33!$N$7:$N$874,I14,BS_RE33!$P$7:$P$874,'30 days CF Table(JPY)'!G14,BS_RE33!$F$7:$F$874,'30 days CF Table(JPY)'!$C$2)</f>
        <v>0</v>
      </c>
      <c r="AQ14" s="545"/>
      <c r="AR14" s="379">
        <f>SUMIFS(BS_RE33!$H$7:$H$874,BS_RE33!$S$7:$S$874,$AR$2,BS_RE33!$N$7:$N$874,I14,BS_RE33!$P$7:$P$874,'30 days CF Table(JPY)'!G14,BS_RE33!$F$7:$F$874,'30 days CF Table(JPY)'!$C$2)</f>
        <v>0</v>
      </c>
      <c r="AS14" s="379">
        <f>SUMIFS(BS_RE33!$H$7:$H$874,BS_RE33!$S$7:$S$874,$AS$2,BS_RE33!$N$7:$N$874,I14,BS_RE33!$P$7:$P$874,'30 days CF Table(JPY)'!G14,BS_RE33!$F$7:$F$874,'30 days CF Table(JPY)'!$C$2)</f>
        <v>0</v>
      </c>
      <c r="AT14" s="379">
        <f>SUMIFS(BS_RE33!$H$7:$H$874,BS_RE33!$S$7:$S$874,$AT$2,BS_RE33!$N$7:$N$874,I14,BS_RE33!$P$7:$P$874,'30 days CF Table(JPY)'!G14,BS_RE33!$F$7:$F$874,'30 days CF Table(JPY)'!$C$2)</f>
        <v>0</v>
      </c>
      <c r="AU14" s="379">
        <f>SUMIFS(BS_RE33!$H$7:$H$874,BS_RE33!$S$7:$S$874,$AU$2,BS_RE33!$N$7:$N$874,I14,BS_RE33!$P$7:$P$874,'30 days CF Table(JPY)'!G14,BS_RE33!$F$7:$F$874,'30 days CF Table(JPY)'!$C$2)</f>
        <v>0</v>
      </c>
      <c r="AV14" s="379">
        <f>SUMIFS(BS_RE33!$H$7:$H$874,BS_RE33!$S$7:$S$874,$AV$2,BS_RE33!$N$7:$N$874,I14,BS_RE33!$P$7:$P$874,'30 days CF Table(JPY)'!G14,BS_RE33!$F$7:$F$874,'30 days CF Table(JPY)'!$C$2)</f>
        <v>0</v>
      </c>
      <c r="AW14" s="379">
        <f>SUMIFS(BS_RE33!$H$7:$H$874,BS_RE33!$S$7:$S$874,$AW$2,BS_RE33!$N$7:$N$874,I14,BS_RE33!$P$7:$P$874,'30 days CF Table(JPY)'!G14,BS_RE33!$F$7:$F$874,'30 days CF Table(JPY)'!$C$2)</f>
        <v>0</v>
      </c>
      <c r="AX14" s="379">
        <f>SUMIFS(BS_RE33!$H$7:$H$874,BS_RE33!$S$7:$S$874,$AX$2,BS_RE33!$N$7:$N$874,I14,BS_RE33!$P$7:$P$874,'30 days CF Table(JPY)'!G14,BS_RE33!$F$7:$F$874,'30 days CF Table(JPY)'!$C$2)</f>
        <v>0</v>
      </c>
      <c r="AY14" s="379">
        <f>SUMIFS(BS_RE33!$H$7:$H$874,BS_RE33!$S$7:$S$874,$AY$2,BS_RE33!$N$7:$N$874,I14,BS_RE33!$P$7:$P$874,'30 days CF Table(JPY)'!G14,BS_RE33!$F$7:$F$874,'30 days CF Table(JPY)'!$C$2)</f>
        <v>0</v>
      </c>
      <c r="AZ14" s="379">
        <f>SUMIFS(BS_RE33!$H$7:$H$874,BS_RE33!$S$7:$S$874,$AZ$2,BS_RE33!$N$7:$N$874,I14,BS_RE33!$P$7:$P$874,'30 days CF Table(JPY)'!G14,BS_RE33!$F$7:$F$874,'30 days CF Table(JPY)'!$C$2)</f>
        <v>0</v>
      </c>
      <c r="BA14" s="379">
        <f>SUMIFS(BS_RE33!$H$7:$H$874,BS_RE33!$S$7:$S$874,$BA$2,BS_RE33!$N$7:$N$874,I14,BS_RE33!$P$7:$P$874,'30 days CF Table(JPY)'!G14,BS_RE33!$F$7:$F$874,'30 days CF Table(JPY)'!$C$2)</f>
        <v>0</v>
      </c>
      <c r="BB14" s="379">
        <f>SUMIFS(BS_RE33!$H$7:$H$874,BS_RE33!$S$7:$S$874,$BB$2,BS_RE33!$N$7:$N$874,I14,BS_RE33!$P$7:$P$874,'30 days CF Table(JPY)'!G14,BS_RE33!$F$7:$F$874,'30 days CF Table(JPY)'!$C$2)</f>
        <v>0</v>
      </c>
      <c r="BC14" s="379">
        <f>SUMIFS(BS_RE33!$H$7:$H$874,BS_RE33!$S$7:$S$874,$BC$2,BS_RE33!$N$7:$N$874,I14,BS_RE33!$P$7:$P$874,'30 days CF Table(JPY)'!G14,BS_RE33!$F$7:$F$874,'30 days CF Table(JPY)'!$C$2)</f>
        <v>0</v>
      </c>
      <c r="BD14" s="379">
        <f>SUMIFS(BS_RE33!$H$7:$H$874,BS_RE33!$S$7:$S$874,$BD$2,BS_RE33!$N$7:$N$874,I14,BS_RE33!$P$7:$P$874,'30 days CF Table(JPY)'!G14,BS_RE33!$F$7:$F$874,'30 days CF Table(JPY)'!$C$2)</f>
        <v>0</v>
      </c>
      <c r="BE14" s="379">
        <f>SUMIFS(BS_RE33!$H$7:$H$874,BS_RE33!$S$7:$S$874,$BE$2,BS_RE33!$N$7:$N$874,I14,BS_RE33!$P$7:$P$874,'30 days CF Table(JPY)'!G14,BS_RE33!$F$7:$F$874,'30 days CF Table(JPY)'!$C$2)</f>
        <v>0</v>
      </c>
      <c r="BF14" s="379">
        <f>SUMIFS(BS_RE33!$H$7:$H$874,BS_RE33!$S$7:$S$874,$BF$2,BS_RE33!$N$7:$N$874,I14,BS_RE33!$P$7:$P$874,'30 days CF Table(JPY)'!G14,BS_RE33!$F$7:$F$874,'30 days CF Table(JPY)'!$C$2)</f>
        <v>0</v>
      </c>
      <c r="BG14" s="379">
        <f>SUMIFS(BS_RE33!$H$7:$H$874,BS_RE33!$S$7:$S$874,$BG$2,BS_RE33!$N$7:$N$874,I14,BS_RE33!$P$7:$P$874,'30 days CF Table(JPY)'!G14,BS_RE33!$F$7:$F$874,'30 days CF Table(JPY)'!$C$2)</f>
        <v>0</v>
      </c>
      <c r="BH14" s="379">
        <f>SUMIFS(BS_RE33!$H$7:$H$874,BS_RE33!$S$7:$S$874,$BH$2,BS_RE33!$N$7:$N$874,I14,BS_RE33!$P$7:$P$874,'30 days CF Table(JPY)'!G14,BS_RE33!$F$7:$F$874,'30 days CF Table(JPY)'!$C$2)</f>
        <v>0</v>
      </c>
      <c r="BI14" s="379">
        <f>SUMIFS(BS_RE33!$H$7:$H$874,BS_RE33!$S$7:$S$874,$BI$2,BS_RE33!$N$7:$N$874,I14,BS_RE33!$P$7:$P$874,'30 days CF Table(JPY)'!G14,BS_RE33!$F$7:$F$874,'30 days CF Table(JPY)'!$C$2)</f>
        <v>0</v>
      </c>
      <c r="BJ14" s="379">
        <f>SUMIFS(BS_RE33!$H$7:$H$874,BS_RE33!$S$7:$S$874,$BJ$2,BS_RE33!$N$7:$N$874,I14,BS_RE33!$P$7:$P$874,'30 days CF Table(JPY)'!G14,BS_RE33!$F$7:$F$874,'30 days CF Table(JPY)'!$C$2)</f>
        <v>0</v>
      </c>
      <c r="BK14" s="379">
        <f>SUMIFS(BS_RE33!$H$7:$H$874,BS_RE33!$S$7:$S$874,$BK$2,BS_RE33!$N$7:$N$874,I14,BS_RE33!$P$7:$P$874,'30 days CF Table(JPY)'!G14,BS_RE33!$F$7:$F$874,'30 days CF Table(JPY)'!$C$2)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Table(JPY)'!G15,BS_RE33!$F$7:$F$874,'30 days CF Table(JPY)'!$C$2)</f>
        <v>0</v>
      </c>
      <c r="M15" s="337">
        <f>SUMIFS(BS_RE33!$H$7:$H$874,BS_RE33!$S$7:$S$874,$M$2,BS_RE33!$N$7:$N$874,I15,BS_RE33!$P$7:$P$874,'30 days CF Table(JPY)'!G15,BS_RE33!$F$7:$F$874,'30 days CF Table(JPY)'!$C$2)</f>
        <v>0</v>
      </c>
      <c r="N15" s="337">
        <f>SUMIFS(BS_RE33!$H$7:$H$874,BS_RE33!$S$7:$S$874,$N$2,BS_RE33!$N$7:$N$874,I15,BS_RE33!$P$7:$P$874,'30 days CF Table(JPY)'!G15,BS_RE33!$F$7:$F$874,'30 days CF Table(JPY)'!$C$2)</f>
        <v>0</v>
      </c>
      <c r="O15" s="337">
        <f>SUMIFS(BS_RE33!$H$7:$H$874,BS_RE33!$S$7:$S$874,$O$2,BS_RE33!$N$7:$N$874,I15,BS_RE33!$P$7:$P$874,'30 days CF Table(JPY)'!G15,BS_RE33!$F$7:$F$874,'30 days CF Table(JPY)'!$C$2)</f>
        <v>0</v>
      </c>
      <c r="P15" s="337">
        <f>SUMIFS(BS_RE33!$H$7:$H$874,BS_RE33!$S$7:$S$874,$P$2,BS_RE33!$N$7:$N$874,I15,BS_RE33!$P$7:$P$874,'30 days CF Table(JPY)'!G15,BS_RE33!$F$7:$F$874,'30 days CF Table(JPY)'!$C$2)</f>
        <v>0</v>
      </c>
      <c r="Q15" s="337">
        <f>SUMIFS(BS_RE33!$H$7:$H$874,BS_RE33!$S$7:$S$874,$Q$2,BS_RE33!$N$7:$N$874,I15,BS_RE33!$P$7:$P$874,'30 days CF Table(JPY)'!G15,BS_RE33!$F$7:$F$874,'30 days CF Table(JPY)'!$C$2)</f>
        <v>0</v>
      </c>
      <c r="R15" s="337">
        <f>SUMIFS(BS_RE33!$H$7:$H$874,BS_RE33!$S$7:$S$874,$R$2,BS_RE33!$N$7:$N$874,I15,BS_RE33!$P$7:$P$874,'30 days CF Table(JPY)'!G15,BS_RE33!$F$7:$F$874,'30 days CF Table(JPY)'!$C$2)</f>
        <v>0</v>
      </c>
      <c r="S15" s="337">
        <f>SUMIFS(BS_RE33!$H$7:$H$874,BS_RE33!$S$7:$S$874,$S$2,BS_RE33!$N$7:$N$874,I15,BS_RE33!$P$7:$P$874,'30 days CF Table(JPY)'!G15,BS_RE33!$F$7:$F$874,'30 days CF Table(JPY)'!$C$2)</f>
        <v>0</v>
      </c>
      <c r="T15" s="337">
        <f>SUMIFS(BS_RE33!$H$7:$H$874,BS_RE33!$S$7:$S$874,$T$2,BS_RE33!$N$7:$N$874,I15,BS_RE33!$P$7:$P$874,'30 days CF Table(JPY)'!G15,BS_RE33!$F$7:$F$874,'30 days CF Table(JPY)'!$C$2)</f>
        <v>0</v>
      </c>
      <c r="U15" s="337">
        <f>SUMIFS(BS_RE33!$H$7:$H$874,BS_RE33!$S$7:$S$874,$U$2,BS_RE33!$N$7:$N$874,I15,BS_RE33!$P$7:$P$874,'30 days CF Table(JPY)'!G15,BS_RE33!$F$7:$F$874,'30 days CF Table(JPY)'!$C$2)</f>
        <v>0</v>
      </c>
      <c r="V15" s="337">
        <f>SUMIFS(BS_RE33!$H$7:$H$874,BS_RE33!$S$7:$S$874,$V$2,BS_RE33!$N$7:$N$874,I15,BS_RE33!$P$7:$P$874,'30 days CF Table(JPY)'!G15,BS_RE33!$F$7:$F$874,'30 days CF Table(JPY)'!$C$2)</f>
        <v>0</v>
      </c>
      <c r="W15" s="337">
        <f>SUMIFS(BS_RE33!$H$7:$H$874,BS_RE33!$S$7:$S$874,$W$2,BS_RE33!$N$7:$N$874,I15,BS_RE33!$P$7:$P$874,'30 days CF Table(JPY)'!G15,BS_RE33!$F$7:$F$874,'30 days CF Table(JPY)'!$C$2)</f>
        <v>0</v>
      </c>
      <c r="X15" s="337">
        <f>SUMIFS(BS_RE33!$H$7:$H$874,BS_RE33!$S$7:$S$874,$X$2,BS_RE33!$N$7:$N$874,I15,BS_RE33!$P$7:$P$874,'30 days CF Table(JPY)'!G15,BS_RE33!$F$7:$F$874,'30 days CF Table(JPY)'!$C$2)</f>
        <v>0</v>
      </c>
      <c r="Y15" s="337">
        <f>SUMIFS(BS_RE33!$H$7:$H$874,BS_RE33!$S$7:$S$874,$Y$2,BS_RE33!$N$7:$N$874,I15,BS_RE33!$P$7:$P$874,'30 days CF Table(JPY)'!G15,BS_RE33!$F$7:$F$874,'30 days CF Table(JPY)'!$C$2)</f>
        <v>0</v>
      </c>
      <c r="Z15" s="337">
        <f>SUMIFS(BS_RE33!$H$7:$H$874,BS_RE33!$S$7:$S$874,$Z$2,BS_RE33!$N$7:$N$874,I15,BS_RE33!$P$7:$P$874,'30 days CF Table(JPY)'!G15,BS_RE33!$F$7:$F$874,'30 days CF Table(JPY)'!$C$2)</f>
        <v>0</v>
      </c>
      <c r="AA15" s="337">
        <f>SUMIFS(BS_RE33!$H$7:$H$874,BS_RE33!$S$7:$S$874,$AA$2,BS_RE33!$N$7:$N$874,I15,BS_RE33!$P$7:$P$874,'30 days CF Table(JPY)'!G15,BS_RE33!$F$7:$F$874,'30 days CF Table(JPY)'!$C$2)</f>
        <v>0</v>
      </c>
      <c r="AB15" s="337">
        <f>SUMIFS(BS_RE33!$H$7:$H$874,BS_RE33!$S$7:$S$874,$AB$2,BS_RE33!$N$7:$N$874,I15,BS_RE33!$P$7:$P$874,'30 days CF Table(JPY)'!G15,BS_RE33!$F$7:$F$874,'30 days CF Table(JPY)'!$C$2)</f>
        <v>0</v>
      </c>
      <c r="AC15" s="337">
        <f>SUMIFS(BS_RE33!$H$7:$H$874,BS_RE33!$S$7:$S$874,$AC$2,BS_RE33!$N$7:$N$874,I15,BS_RE33!$P$7:$P$874,'30 days CF Table(JPY)'!G15,BS_RE33!$F$7:$F$874,'30 days CF Table(JPY)'!$C$2)</f>
        <v>0</v>
      </c>
      <c r="AD15" s="337">
        <f>SUMIFS(BS_RE33!$H$7:$H$874,BS_RE33!$S$7:$S$874,$AD$2,BS_RE33!$N$7:$N$874,I15,BS_RE33!$P$7:$P$874,'30 days CF Table(JPY)'!G15,BS_RE33!$F$7:$F$874,'30 days CF Table(JPY)'!$C$2)</f>
        <v>0</v>
      </c>
      <c r="AE15" s="337">
        <f>SUMIFS(BS_RE33!$H$7:$H$874,BS_RE33!$S$7:$S$874,$AE$2,BS_RE33!$N$7:$N$874,I15,BS_RE33!$P$7:$P$874,'30 days CF Table(JPY)'!G15,BS_RE33!$F$7:$F$874,'30 days CF Table(JPY)'!$C$2)</f>
        <v>0</v>
      </c>
      <c r="AF15" s="337">
        <f>SUMIFS(BS_RE33!$H$7:$H$874,BS_RE33!$S$7:$S$874,$AF$2,BS_RE33!$N$7:$N$874,I15,BS_RE33!$P$7:$P$874,'30 days CF Table(JPY)'!G15,BS_RE33!$F$7:$F$874,'30 days CF Table(JPY)'!$C$2)</f>
        <v>0</v>
      </c>
      <c r="AG15" s="337">
        <f>SUMIFS(BS_RE33!$H$7:$H$874,BS_RE33!$S$7:$S$874,$AG$2,BS_RE33!$N$7:$N$874,I15,BS_RE33!$P$7:$P$874,'30 days CF Table(JPY)'!G15,BS_RE33!$F$7:$F$874,'30 days CF Table(JPY)'!$C$2)</f>
        <v>0</v>
      </c>
      <c r="AH15" s="337">
        <f>SUMIFS(BS_RE33!$H$7:$H$874,BS_RE33!$S$7:$S$874,$AH$2,BS_RE33!$N$7:$N$874,I15,BS_RE33!$P$7:$P$874,'30 days CF Table(JPY)'!G15,BS_RE33!$F$7:$F$874,'30 days CF Table(JPY)'!$C$2)</f>
        <v>0</v>
      </c>
      <c r="AI15" s="337">
        <f>SUMIFS(BS_RE33!$H$7:$H$874,BS_RE33!$S$7:$S$874,$AI$2,BS_RE33!$N$7:$N$874,I15,BS_RE33!$P$7:$P$874,'30 days CF Table(JPY)'!G15,BS_RE33!$F$7:$F$874,'30 days CF Table(JPY)'!$C$2)</f>
        <v>0</v>
      </c>
      <c r="AJ15" s="337">
        <f>SUMIFS(BS_RE33!$H$7:$H$874,BS_RE33!$S$7:$S$874,$AJ$2,BS_RE33!$N$7:$N$874,I15,BS_RE33!$P$7:$P$874,'30 days CF Table(JPY)'!G15,BS_RE33!$F$7:$F$874,'30 days CF Table(JPY)'!$C$2)</f>
        <v>0</v>
      </c>
      <c r="AK15" s="337">
        <f>SUMIFS(BS_RE33!$H$7:$H$874,BS_RE33!$S$7:$S$874,$AK$2,BS_RE33!$N$7:$N$874,I15,BS_RE33!$P$7:$P$874,'30 days CF Table(JPY)'!G15,BS_RE33!$F$7:$F$874,'30 days CF Table(JPY)'!$C$2)</f>
        <v>0</v>
      </c>
      <c r="AL15" s="337">
        <f>SUMIFS(BS_RE33!$H$7:$H$874,BS_RE33!$S$7:$S$874,$AL$2,BS_RE33!$N$7:$N$874,I15,BS_RE33!$P$7:$P$874,'30 days CF Table(JPY)'!G15,BS_RE33!$F$7:$F$874,'30 days CF Table(JPY)'!$C$2)</f>
        <v>0</v>
      </c>
      <c r="AM15" s="337">
        <f>SUMIFS(BS_RE33!$H$7:$H$874,BS_RE33!$S$7:$S$874,$AM$2,BS_RE33!$N$7:$N$874,I15,BS_RE33!$P$7:$P$874,'30 days CF Table(JPY)'!G15,BS_RE33!$F$7:$F$874,'30 days CF Table(JPY)'!$C$2)</f>
        <v>0</v>
      </c>
      <c r="AN15" s="337">
        <f>SUMIFS(BS_RE33!$H$7:$H$874,BS_RE33!$S$7:$S$874,$AN$2,BS_RE33!$N$7:$N$874,I15,BS_RE33!$P$7:$P$874,'30 days CF Table(JPY)'!G15,BS_RE33!$F$7:$F$874,'30 days CF Table(JPY)'!$C$2)</f>
        <v>0</v>
      </c>
      <c r="AO15" s="337">
        <f>SUMIFS(BS_RE33!$H$7:$H$874,BS_RE33!$S$7:$S$874,$AO$2,BS_RE33!$N$7:$N$874,I15,BS_RE33!$P$7:$P$874,'30 days CF Table(JPY)'!G15,BS_RE33!$F$7:$F$874,'30 days CF Table(JPY)'!$C$2)</f>
        <v>0</v>
      </c>
      <c r="AP15" s="338">
        <f>SUMIFS(BS_RE33!$H$7:$H$874,BS_RE33!$S$7:$S$874,$AP$2,BS_RE33!$N$7:$N$874,I15,BS_RE33!$P$7:$P$874,'30 days CF Table(JPY)'!G15,BS_RE33!$F$7:$F$874,'30 days CF Table(JPY)'!$C$2)</f>
        <v>0</v>
      </c>
      <c r="AQ15" s="545"/>
      <c r="AR15" s="379">
        <f>SUMIFS(BS_RE33!$H$7:$H$874,BS_RE33!$S$7:$S$874,$AR$2,BS_RE33!$N$7:$N$874,I15,BS_RE33!$P$7:$P$874,'30 days CF Table(JPY)'!G15,BS_RE33!$F$7:$F$874,'30 days CF Table(JPY)'!$C$2)</f>
        <v>0</v>
      </c>
      <c r="AS15" s="379">
        <f>SUMIFS(BS_RE33!$H$7:$H$874,BS_RE33!$S$7:$S$874,$AS$2,BS_RE33!$N$7:$N$874,I15,BS_RE33!$P$7:$P$874,'30 days CF Table(JPY)'!G15,BS_RE33!$F$7:$F$874,'30 days CF Table(JPY)'!$C$2)</f>
        <v>0</v>
      </c>
      <c r="AT15" s="379">
        <f>SUMIFS(BS_RE33!$H$7:$H$874,BS_RE33!$S$7:$S$874,$AT$2,BS_RE33!$N$7:$N$874,I15,BS_RE33!$P$7:$P$874,'30 days CF Table(JPY)'!G15,BS_RE33!$F$7:$F$874,'30 days CF Table(JPY)'!$C$2)</f>
        <v>0</v>
      </c>
      <c r="AU15" s="379">
        <f>SUMIFS(BS_RE33!$H$7:$H$874,BS_RE33!$S$7:$S$874,$AU$2,BS_RE33!$N$7:$N$874,I15,BS_RE33!$P$7:$P$874,'30 days CF Table(JPY)'!G15,BS_RE33!$F$7:$F$874,'30 days CF Table(JPY)'!$C$2)</f>
        <v>0</v>
      </c>
      <c r="AV15" s="379">
        <f>SUMIFS(BS_RE33!$H$7:$H$874,BS_RE33!$S$7:$S$874,$AV$2,BS_RE33!$N$7:$N$874,I15,BS_RE33!$P$7:$P$874,'30 days CF Table(JPY)'!G15,BS_RE33!$F$7:$F$874,'30 days CF Table(JPY)'!$C$2)</f>
        <v>0</v>
      </c>
      <c r="AW15" s="379">
        <f>SUMIFS(BS_RE33!$H$7:$H$874,BS_RE33!$S$7:$S$874,$AW$2,BS_RE33!$N$7:$N$874,I15,BS_RE33!$P$7:$P$874,'30 days CF Table(JPY)'!G15,BS_RE33!$F$7:$F$874,'30 days CF Table(JPY)'!$C$2)</f>
        <v>0</v>
      </c>
      <c r="AX15" s="379">
        <f>SUMIFS(BS_RE33!$H$7:$H$874,BS_RE33!$S$7:$S$874,$AX$2,BS_RE33!$N$7:$N$874,I15,BS_RE33!$P$7:$P$874,'30 days CF Table(JPY)'!G15,BS_RE33!$F$7:$F$874,'30 days CF Table(JPY)'!$C$2)</f>
        <v>0</v>
      </c>
      <c r="AY15" s="379">
        <f>SUMIFS(BS_RE33!$H$7:$H$874,BS_RE33!$S$7:$S$874,$AY$2,BS_RE33!$N$7:$N$874,I15,BS_RE33!$P$7:$P$874,'30 days CF Table(JPY)'!G15,BS_RE33!$F$7:$F$874,'30 days CF Table(JPY)'!$C$2)</f>
        <v>0</v>
      </c>
      <c r="AZ15" s="379">
        <f>SUMIFS(BS_RE33!$H$7:$H$874,BS_RE33!$S$7:$S$874,$AZ$2,BS_RE33!$N$7:$N$874,I15,BS_RE33!$P$7:$P$874,'30 days CF Table(JPY)'!G15,BS_RE33!$F$7:$F$874,'30 days CF Table(JPY)'!$C$2)</f>
        <v>0</v>
      </c>
      <c r="BA15" s="379">
        <f>SUMIFS(BS_RE33!$H$7:$H$874,BS_RE33!$S$7:$S$874,$BA$2,BS_RE33!$N$7:$N$874,I15,BS_RE33!$P$7:$P$874,'30 days CF Table(JPY)'!G15,BS_RE33!$F$7:$F$874,'30 days CF Table(JPY)'!$C$2)</f>
        <v>0</v>
      </c>
      <c r="BB15" s="379">
        <f>SUMIFS(BS_RE33!$H$7:$H$874,BS_RE33!$S$7:$S$874,$BB$2,BS_RE33!$N$7:$N$874,I15,BS_RE33!$P$7:$P$874,'30 days CF Table(JPY)'!G15,BS_RE33!$F$7:$F$874,'30 days CF Table(JPY)'!$C$2)</f>
        <v>0</v>
      </c>
      <c r="BC15" s="379">
        <f>SUMIFS(BS_RE33!$H$7:$H$874,BS_RE33!$S$7:$S$874,$BC$2,BS_RE33!$N$7:$N$874,I15,BS_RE33!$P$7:$P$874,'30 days CF Table(JPY)'!G15,BS_RE33!$F$7:$F$874,'30 days CF Table(JPY)'!$C$2)</f>
        <v>0</v>
      </c>
      <c r="BD15" s="379">
        <f>SUMIFS(BS_RE33!$H$7:$H$874,BS_RE33!$S$7:$S$874,$BD$2,BS_RE33!$N$7:$N$874,I15,BS_RE33!$P$7:$P$874,'30 days CF Table(JPY)'!G15,BS_RE33!$F$7:$F$874,'30 days CF Table(JPY)'!$C$2)</f>
        <v>0</v>
      </c>
      <c r="BE15" s="379">
        <f>SUMIFS(BS_RE33!$H$7:$H$874,BS_RE33!$S$7:$S$874,$BE$2,BS_RE33!$N$7:$N$874,I15,BS_RE33!$P$7:$P$874,'30 days CF Table(JPY)'!G15,BS_RE33!$F$7:$F$874,'30 days CF Table(JPY)'!$C$2)</f>
        <v>0</v>
      </c>
      <c r="BF15" s="379">
        <f>SUMIFS(BS_RE33!$H$7:$H$874,BS_RE33!$S$7:$S$874,$BF$2,BS_RE33!$N$7:$N$874,I15,BS_RE33!$P$7:$P$874,'30 days CF Table(JPY)'!G15,BS_RE33!$F$7:$F$874,'30 days CF Table(JPY)'!$C$2)</f>
        <v>0</v>
      </c>
      <c r="BG15" s="379">
        <f>SUMIFS(BS_RE33!$H$7:$H$874,BS_RE33!$S$7:$S$874,$BG$2,BS_RE33!$N$7:$N$874,I15,BS_RE33!$P$7:$P$874,'30 days CF Table(JPY)'!G15,BS_RE33!$F$7:$F$874,'30 days CF Table(JPY)'!$C$2)</f>
        <v>0</v>
      </c>
      <c r="BH15" s="379">
        <f>SUMIFS(BS_RE33!$H$7:$H$874,BS_RE33!$S$7:$S$874,$BH$2,BS_RE33!$N$7:$N$874,I15,BS_RE33!$P$7:$P$874,'30 days CF Table(JPY)'!G15,BS_RE33!$F$7:$F$874,'30 days CF Table(JPY)'!$C$2)</f>
        <v>0</v>
      </c>
      <c r="BI15" s="379">
        <f>SUMIFS(BS_RE33!$H$7:$H$874,BS_RE33!$S$7:$S$874,$BI$2,BS_RE33!$N$7:$N$874,I15,BS_RE33!$P$7:$P$874,'30 days CF Table(JPY)'!G15,BS_RE33!$F$7:$F$874,'30 days CF Table(JPY)'!$C$2)</f>
        <v>0</v>
      </c>
      <c r="BJ15" s="379">
        <f>SUMIFS(BS_RE33!$H$7:$H$874,BS_RE33!$S$7:$S$874,$BJ$2,BS_RE33!$N$7:$N$874,I15,BS_RE33!$P$7:$P$874,'30 days CF Table(JPY)'!G15,BS_RE33!$F$7:$F$874,'30 days CF Table(JPY)'!$C$2)</f>
        <v>0</v>
      </c>
      <c r="BK15" s="379">
        <f>SUMIFS(BS_RE33!$H$7:$H$874,BS_RE33!$S$7:$S$874,$BK$2,BS_RE33!$N$7:$N$874,I15,BS_RE33!$P$7:$P$874,'30 days CF Table(JPY)'!G15,BS_RE33!$F$7:$F$874,'30 days CF Table(JPY)'!$C$2)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Table(JPY)'!G16,BS_RE33!$F$7:$F$874,'30 days CF Table(JPY)'!$C$2)</f>
        <v>0</v>
      </c>
      <c r="M16" s="337">
        <f>SUMIFS(BS_RE33!$H$7:$H$874,BS_RE33!$S$7:$S$874,$M$2,BS_RE33!$N$7:$N$874,I16,BS_RE33!$P$7:$P$874,'30 days CF Table(JPY)'!G16,BS_RE33!$F$7:$F$874,'30 days CF Table(JPY)'!$C$2)</f>
        <v>0</v>
      </c>
      <c r="N16" s="337">
        <f>SUMIFS(BS_RE33!$H$7:$H$874,BS_RE33!$S$7:$S$874,$N$2,BS_RE33!$N$7:$N$874,I16,BS_RE33!$P$7:$P$874,'30 days CF Table(JPY)'!G16,BS_RE33!$F$7:$F$874,'30 days CF Table(JPY)'!$C$2)</f>
        <v>0</v>
      </c>
      <c r="O16" s="337">
        <f>SUMIFS(BS_RE33!$H$7:$H$874,BS_RE33!$S$7:$S$874,$O$2,BS_RE33!$N$7:$N$874,I16,BS_RE33!$P$7:$P$874,'30 days CF Table(JPY)'!G16,BS_RE33!$F$7:$F$874,'30 days CF Table(JPY)'!$C$2)</f>
        <v>0</v>
      </c>
      <c r="P16" s="337">
        <f>SUMIFS(BS_RE33!$H$7:$H$874,BS_RE33!$S$7:$S$874,$P$2,BS_RE33!$N$7:$N$874,I16,BS_RE33!$P$7:$P$874,'30 days CF Table(JPY)'!G16,BS_RE33!$F$7:$F$874,'30 days CF Table(JPY)'!$C$2)</f>
        <v>0</v>
      </c>
      <c r="Q16" s="337">
        <f>SUMIFS(BS_RE33!$H$7:$H$874,BS_RE33!$S$7:$S$874,$Q$2,BS_RE33!$N$7:$N$874,I16,BS_RE33!$P$7:$P$874,'30 days CF Table(JPY)'!G16,BS_RE33!$F$7:$F$874,'30 days CF Table(JPY)'!$C$2)</f>
        <v>0</v>
      </c>
      <c r="R16" s="337">
        <f>SUMIFS(BS_RE33!$H$7:$H$874,BS_RE33!$S$7:$S$874,$R$2,BS_RE33!$N$7:$N$874,I16,BS_RE33!$P$7:$P$874,'30 days CF Table(JPY)'!G16,BS_RE33!$F$7:$F$874,'30 days CF Table(JPY)'!$C$2)</f>
        <v>0</v>
      </c>
      <c r="S16" s="337">
        <f>SUMIFS(BS_RE33!$H$7:$H$874,BS_RE33!$S$7:$S$874,$S$2,BS_RE33!$N$7:$N$874,I16,BS_RE33!$P$7:$P$874,'30 days CF Table(JPY)'!G16,BS_RE33!$F$7:$F$874,'30 days CF Table(JPY)'!$C$2)</f>
        <v>0</v>
      </c>
      <c r="T16" s="337">
        <f>SUMIFS(BS_RE33!$H$7:$H$874,BS_RE33!$S$7:$S$874,$T$2,BS_RE33!$N$7:$N$874,I16,BS_RE33!$P$7:$P$874,'30 days CF Table(JPY)'!G16,BS_RE33!$F$7:$F$874,'30 days CF Table(JPY)'!$C$2)</f>
        <v>0</v>
      </c>
      <c r="U16" s="337">
        <f>SUMIFS(BS_RE33!$H$7:$H$874,BS_RE33!$S$7:$S$874,$U$2,BS_RE33!$N$7:$N$874,I16,BS_RE33!$P$7:$P$874,'30 days CF Table(JPY)'!G16,BS_RE33!$F$7:$F$874,'30 days CF Table(JPY)'!$C$2)</f>
        <v>0</v>
      </c>
      <c r="V16" s="337">
        <f>SUMIFS(BS_RE33!$H$7:$H$874,BS_RE33!$S$7:$S$874,$V$2,BS_RE33!$N$7:$N$874,I16,BS_RE33!$P$7:$P$874,'30 days CF Table(JPY)'!G16,BS_RE33!$F$7:$F$874,'30 days CF Table(JPY)'!$C$2)</f>
        <v>0</v>
      </c>
      <c r="W16" s="337">
        <f>SUMIFS(BS_RE33!$H$7:$H$874,BS_RE33!$S$7:$S$874,$W$2,BS_RE33!$N$7:$N$874,I16,BS_RE33!$P$7:$P$874,'30 days CF Table(JPY)'!G16,BS_RE33!$F$7:$F$874,'30 days CF Table(JPY)'!$C$2)</f>
        <v>0</v>
      </c>
      <c r="X16" s="337">
        <f>SUMIFS(BS_RE33!$H$7:$H$874,BS_RE33!$S$7:$S$874,$X$2,BS_RE33!$N$7:$N$874,I16,BS_RE33!$P$7:$P$874,'30 days CF Table(JPY)'!G16,BS_RE33!$F$7:$F$874,'30 days CF Table(JPY)'!$C$2)</f>
        <v>0</v>
      </c>
      <c r="Y16" s="337">
        <f>SUMIFS(BS_RE33!$H$7:$H$874,BS_RE33!$S$7:$S$874,$Y$2,BS_RE33!$N$7:$N$874,I16,BS_RE33!$P$7:$P$874,'30 days CF Table(JPY)'!G16,BS_RE33!$F$7:$F$874,'30 days CF Table(JPY)'!$C$2)</f>
        <v>0</v>
      </c>
      <c r="Z16" s="337">
        <f>SUMIFS(BS_RE33!$H$7:$H$874,BS_RE33!$S$7:$S$874,$Z$2,BS_RE33!$N$7:$N$874,I16,BS_RE33!$P$7:$P$874,'30 days CF Table(JPY)'!G16,BS_RE33!$F$7:$F$874,'30 days CF Table(JPY)'!$C$2)</f>
        <v>0</v>
      </c>
      <c r="AA16" s="337">
        <f>SUMIFS(BS_RE33!$H$7:$H$874,BS_RE33!$S$7:$S$874,$AA$2,BS_RE33!$N$7:$N$874,I16,BS_RE33!$P$7:$P$874,'30 days CF Table(JPY)'!G16,BS_RE33!$F$7:$F$874,'30 days CF Table(JPY)'!$C$2)</f>
        <v>0</v>
      </c>
      <c r="AB16" s="337">
        <f>SUMIFS(BS_RE33!$H$7:$H$874,BS_RE33!$S$7:$S$874,$AB$2,BS_RE33!$N$7:$N$874,I16,BS_RE33!$P$7:$P$874,'30 days CF Table(JPY)'!G16,BS_RE33!$F$7:$F$874,'30 days CF Table(JPY)'!$C$2)</f>
        <v>0</v>
      </c>
      <c r="AC16" s="337">
        <f>SUMIFS(BS_RE33!$H$7:$H$874,BS_RE33!$S$7:$S$874,$AC$2,BS_RE33!$N$7:$N$874,I16,BS_RE33!$P$7:$P$874,'30 days CF Table(JPY)'!G16,BS_RE33!$F$7:$F$874,'30 days CF Table(JPY)'!$C$2)</f>
        <v>0</v>
      </c>
      <c r="AD16" s="337">
        <f>SUMIFS(BS_RE33!$H$7:$H$874,BS_RE33!$S$7:$S$874,$AD$2,BS_RE33!$N$7:$N$874,I16,BS_RE33!$P$7:$P$874,'30 days CF Table(JPY)'!G16,BS_RE33!$F$7:$F$874,'30 days CF Table(JPY)'!$C$2)</f>
        <v>0</v>
      </c>
      <c r="AE16" s="337">
        <f>SUMIFS(BS_RE33!$H$7:$H$874,BS_RE33!$S$7:$S$874,$AE$2,BS_RE33!$N$7:$N$874,I16,BS_RE33!$P$7:$P$874,'30 days CF Table(JPY)'!G16,BS_RE33!$F$7:$F$874,'30 days CF Table(JPY)'!$C$2)</f>
        <v>0</v>
      </c>
      <c r="AF16" s="337">
        <f>SUMIFS(BS_RE33!$H$7:$H$874,BS_RE33!$S$7:$S$874,$AF$2,BS_RE33!$N$7:$N$874,I16,BS_RE33!$P$7:$P$874,'30 days CF Table(JPY)'!G16,BS_RE33!$F$7:$F$874,'30 days CF Table(JPY)'!$C$2)</f>
        <v>0</v>
      </c>
      <c r="AG16" s="337">
        <f>SUMIFS(BS_RE33!$H$7:$H$874,BS_RE33!$S$7:$S$874,$AG$2,BS_RE33!$N$7:$N$874,I16,BS_RE33!$P$7:$P$874,'30 days CF Table(JPY)'!G16,BS_RE33!$F$7:$F$874,'30 days CF Table(JPY)'!$C$2)</f>
        <v>0</v>
      </c>
      <c r="AH16" s="337">
        <f>SUMIFS(BS_RE33!$H$7:$H$874,BS_RE33!$S$7:$S$874,$AH$2,BS_RE33!$N$7:$N$874,I16,BS_RE33!$P$7:$P$874,'30 days CF Table(JPY)'!G16,BS_RE33!$F$7:$F$874,'30 days CF Table(JPY)'!$C$2)</f>
        <v>0</v>
      </c>
      <c r="AI16" s="337">
        <f>SUMIFS(BS_RE33!$H$7:$H$874,BS_RE33!$S$7:$S$874,$AI$2,BS_RE33!$N$7:$N$874,I16,BS_RE33!$P$7:$P$874,'30 days CF Table(JPY)'!G16,BS_RE33!$F$7:$F$874,'30 days CF Table(JPY)'!$C$2)</f>
        <v>0</v>
      </c>
      <c r="AJ16" s="337">
        <f>SUMIFS(BS_RE33!$H$7:$H$874,BS_RE33!$S$7:$S$874,$AJ$2,BS_RE33!$N$7:$N$874,I16,BS_RE33!$P$7:$P$874,'30 days CF Table(JPY)'!G16,BS_RE33!$F$7:$F$874,'30 days CF Table(JPY)'!$C$2)</f>
        <v>0</v>
      </c>
      <c r="AK16" s="337">
        <f>SUMIFS(BS_RE33!$H$7:$H$874,BS_RE33!$S$7:$S$874,$AK$2,BS_RE33!$N$7:$N$874,I16,BS_RE33!$P$7:$P$874,'30 days CF Table(JPY)'!G16,BS_RE33!$F$7:$F$874,'30 days CF Table(JPY)'!$C$2)</f>
        <v>0</v>
      </c>
      <c r="AL16" s="337">
        <f>SUMIFS(BS_RE33!$H$7:$H$874,BS_RE33!$S$7:$S$874,$AL$2,BS_RE33!$N$7:$N$874,I16,BS_RE33!$P$7:$P$874,'30 days CF Table(JPY)'!G16,BS_RE33!$F$7:$F$874,'30 days CF Table(JPY)'!$C$2)</f>
        <v>0</v>
      </c>
      <c r="AM16" s="337">
        <f>SUMIFS(BS_RE33!$H$7:$H$874,BS_RE33!$S$7:$S$874,$AM$2,BS_RE33!$N$7:$N$874,I16,BS_RE33!$P$7:$P$874,'30 days CF Table(JPY)'!G16,BS_RE33!$F$7:$F$874,'30 days CF Table(JPY)'!$C$2)</f>
        <v>0</v>
      </c>
      <c r="AN16" s="337">
        <f>SUMIFS(BS_RE33!$H$7:$H$874,BS_RE33!$S$7:$S$874,$AN$2,BS_RE33!$N$7:$N$874,I16,BS_RE33!$P$7:$P$874,'30 days CF Table(JPY)'!G16,BS_RE33!$F$7:$F$874,'30 days CF Table(JPY)'!$C$2)</f>
        <v>0</v>
      </c>
      <c r="AO16" s="337">
        <f>SUMIFS(BS_RE33!$H$7:$H$874,BS_RE33!$S$7:$S$874,$AO$2,BS_RE33!$N$7:$N$874,I16,BS_RE33!$P$7:$P$874,'30 days CF Table(JPY)'!G16,BS_RE33!$F$7:$F$874,'30 days CF Table(JPY)'!$C$2)</f>
        <v>0</v>
      </c>
      <c r="AP16" s="338">
        <f>SUMIFS(BS_RE33!$H$7:$H$874,BS_RE33!$S$7:$S$874,$AP$2,BS_RE33!$N$7:$N$874,I16,BS_RE33!$P$7:$P$874,'30 days CF Table(JPY)'!G16,BS_RE33!$F$7:$F$874,'30 days CF Table(JPY)'!$C$2)</f>
        <v>0</v>
      </c>
      <c r="AQ16" s="545"/>
      <c r="AR16" s="379">
        <f>SUMIFS(BS_RE33!$H$7:$H$874,BS_RE33!$S$7:$S$874,$AR$2,BS_RE33!$N$7:$N$874,I16,BS_RE33!$P$7:$P$874,'30 days CF Table(JPY)'!G16,BS_RE33!$F$7:$F$874,'30 days CF Table(JPY)'!$C$2)</f>
        <v>0</v>
      </c>
      <c r="AS16" s="379">
        <f>SUMIFS(BS_RE33!$H$7:$H$874,BS_RE33!$S$7:$S$874,$AS$2,BS_RE33!$N$7:$N$874,I16,BS_RE33!$P$7:$P$874,'30 days CF Table(JPY)'!G16,BS_RE33!$F$7:$F$874,'30 days CF Table(JPY)'!$C$2)</f>
        <v>0</v>
      </c>
      <c r="AT16" s="379">
        <f>SUMIFS(BS_RE33!$H$7:$H$874,BS_RE33!$S$7:$S$874,$AT$2,BS_RE33!$N$7:$N$874,I16,BS_RE33!$P$7:$P$874,'30 days CF Table(JPY)'!G16,BS_RE33!$F$7:$F$874,'30 days CF Table(JPY)'!$C$2)</f>
        <v>0</v>
      </c>
      <c r="AU16" s="379">
        <f>SUMIFS(BS_RE33!$H$7:$H$874,BS_RE33!$S$7:$S$874,$AU$2,BS_RE33!$N$7:$N$874,I16,BS_RE33!$P$7:$P$874,'30 days CF Table(JPY)'!G16,BS_RE33!$F$7:$F$874,'30 days CF Table(JPY)'!$C$2)</f>
        <v>0</v>
      </c>
      <c r="AV16" s="379">
        <f>SUMIFS(BS_RE33!$H$7:$H$874,BS_RE33!$S$7:$S$874,$AV$2,BS_RE33!$N$7:$N$874,I16,BS_RE33!$P$7:$P$874,'30 days CF Table(JPY)'!G16,BS_RE33!$F$7:$F$874,'30 days CF Table(JPY)'!$C$2)</f>
        <v>0</v>
      </c>
      <c r="AW16" s="379">
        <f>SUMIFS(BS_RE33!$H$7:$H$874,BS_RE33!$S$7:$S$874,$AW$2,BS_RE33!$N$7:$N$874,I16,BS_RE33!$P$7:$P$874,'30 days CF Table(JPY)'!G16,BS_RE33!$F$7:$F$874,'30 days CF Table(JPY)'!$C$2)</f>
        <v>0</v>
      </c>
      <c r="AX16" s="379">
        <f>SUMIFS(BS_RE33!$H$7:$H$874,BS_RE33!$S$7:$S$874,$AX$2,BS_RE33!$N$7:$N$874,I16,BS_RE33!$P$7:$P$874,'30 days CF Table(JPY)'!G16,BS_RE33!$F$7:$F$874,'30 days CF Table(JPY)'!$C$2)</f>
        <v>0</v>
      </c>
      <c r="AY16" s="379">
        <f>SUMIFS(BS_RE33!$H$7:$H$874,BS_RE33!$S$7:$S$874,$AY$2,BS_RE33!$N$7:$N$874,I16,BS_RE33!$P$7:$P$874,'30 days CF Table(JPY)'!G16,BS_RE33!$F$7:$F$874,'30 days CF Table(JPY)'!$C$2)</f>
        <v>0</v>
      </c>
      <c r="AZ16" s="379">
        <f>SUMIFS(BS_RE33!$H$7:$H$874,BS_RE33!$S$7:$S$874,$AZ$2,BS_RE33!$N$7:$N$874,I16,BS_RE33!$P$7:$P$874,'30 days CF Table(JPY)'!G16,BS_RE33!$F$7:$F$874,'30 days CF Table(JPY)'!$C$2)</f>
        <v>0</v>
      </c>
      <c r="BA16" s="379">
        <f>SUMIFS(BS_RE33!$H$7:$H$874,BS_RE33!$S$7:$S$874,$BA$2,BS_RE33!$N$7:$N$874,I16,BS_RE33!$P$7:$P$874,'30 days CF Table(JPY)'!G16,BS_RE33!$F$7:$F$874,'30 days CF Table(JPY)'!$C$2)</f>
        <v>0</v>
      </c>
      <c r="BB16" s="379">
        <f>SUMIFS(BS_RE33!$H$7:$H$874,BS_RE33!$S$7:$S$874,$BB$2,BS_RE33!$N$7:$N$874,I16,BS_RE33!$P$7:$P$874,'30 days CF Table(JPY)'!G16,BS_RE33!$F$7:$F$874,'30 days CF Table(JPY)'!$C$2)</f>
        <v>0</v>
      </c>
      <c r="BC16" s="379">
        <f>SUMIFS(BS_RE33!$H$7:$H$874,BS_RE33!$S$7:$S$874,$BC$2,BS_RE33!$N$7:$N$874,I16,BS_RE33!$P$7:$P$874,'30 days CF Table(JPY)'!G16,BS_RE33!$F$7:$F$874,'30 days CF Table(JPY)'!$C$2)</f>
        <v>0</v>
      </c>
      <c r="BD16" s="379">
        <f>SUMIFS(BS_RE33!$H$7:$H$874,BS_RE33!$S$7:$S$874,$BD$2,BS_RE33!$N$7:$N$874,I16,BS_RE33!$P$7:$P$874,'30 days CF Table(JPY)'!G16,BS_RE33!$F$7:$F$874,'30 days CF Table(JPY)'!$C$2)</f>
        <v>0</v>
      </c>
      <c r="BE16" s="379">
        <f>SUMIFS(BS_RE33!$H$7:$H$874,BS_RE33!$S$7:$S$874,$BE$2,BS_RE33!$N$7:$N$874,I16,BS_RE33!$P$7:$P$874,'30 days CF Table(JPY)'!G16,BS_RE33!$F$7:$F$874,'30 days CF Table(JPY)'!$C$2)</f>
        <v>0</v>
      </c>
      <c r="BF16" s="379">
        <f>SUMIFS(BS_RE33!$H$7:$H$874,BS_RE33!$S$7:$S$874,$BF$2,BS_RE33!$N$7:$N$874,I16,BS_RE33!$P$7:$P$874,'30 days CF Table(JPY)'!G16,BS_RE33!$F$7:$F$874,'30 days CF Table(JPY)'!$C$2)</f>
        <v>0</v>
      </c>
      <c r="BG16" s="379">
        <f>SUMIFS(BS_RE33!$H$7:$H$874,BS_RE33!$S$7:$S$874,$BG$2,BS_RE33!$N$7:$N$874,I16,BS_RE33!$P$7:$P$874,'30 days CF Table(JPY)'!G16,BS_RE33!$F$7:$F$874,'30 days CF Table(JPY)'!$C$2)</f>
        <v>0</v>
      </c>
      <c r="BH16" s="379">
        <f>SUMIFS(BS_RE33!$H$7:$H$874,BS_RE33!$S$7:$S$874,$BH$2,BS_RE33!$N$7:$N$874,I16,BS_RE33!$P$7:$P$874,'30 days CF Table(JPY)'!G16,BS_RE33!$F$7:$F$874,'30 days CF Table(JPY)'!$C$2)</f>
        <v>0</v>
      </c>
      <c r="BI16" s="379">
        <f>SUMIFS(BS_RE33!$H$7:$H$874,BS_RE33!$S$7:$S$874,$BI$2,BS_RE33!$N$7:$N$874,I16,BS_RE33!$P$7:$P$874,'30 days CF Table(JPY)'!G16,BS_RE33!$F$7:$F$874,'30 days CF Table(JPY)'!$C$2)</f>
        <v>0</v>
      </c>
      <c r="BJ16" s="379">
        <f>SUMIFS(BS_RE33!$H$7:$H$874,BS_RE33!$S$7:$S$874,$BJ$2,BS_RE33!$N$7:$N$874,I16,BS_RE33!$P$7:$P$874,'30 days CF Table(JPY)'!G16,BS_RE33!$F$7:$F$874,'30 days CF Table(JPY)'!$C$2)</f>
        <v>0</v>
      </c>
      <c r="BK16" s="379">
        <f>SUMIFS(BS_RE33!$H$7:$H$874,BS_RE33!$S$7:$S$874,$BK$2,BS_RE33!$N$7:$N$874,I16,BS_RE33!$P$7:$P$874,'30 days CF Table(JPY)'!G16,BS_RE33!$F$7:$F$874,'30 days CF Table(JPY)'!$C$2)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Table(JPY)'!G17,BS_RE33!$F$7:$F$874,'30 days CF Table(JPY)'!$C$2)</f>
        <v>0</v>
      </c>
      <c r="M17" s="337">
        <f>SUMIFS(BS_RE33!$H$7:$H$874,BS_RE33!$S$7:$S$874,$M$2,BS_RE33!$N$7:$N$874,I17,BS_RE33!$P$7:$P$874,'30 days CF Table(JPY)'!G17,BS_RE33!$F$7:$F$874,'30 days CF Table(JPY)'!$C$2)</f>
        <v>0</v>
      </c>
      <c r="N17" s="337">
        <f>SUMIFS(BS_RE33!$H$7:$H$874,BS_RE33!$S$7:$S$874,$N$2,BS_RE33!$N$7:$N$874,I17,BS_RE33!$P$7:$P$874,'30 days CF Table(JPY)'!G17,BS_RE33!$F$7:$F$874,'30 days CF Table(JPY)'!$C$2)</f>
        <v>0</v>
      </c>
      <c r="O17" s="337">
        <f>SUMIFS(BS_RE33!$H$7:$H$874,BS_RE33!$S$7:$S$874,$O$2,BS_RE33!$N$7:$N$874,I17,BS_RE33!$P$7:$P$874,'30 days CF Table(JPY)'!G17,BS_RE33!$F$7:$F$874,'30 days CF Table(JPY)'!$C$2)</f>
        <v>0</v>
      </c>
      <c r="P17" s="337">
        <f>SUMIFS(BS_RE33!$H$7:$H$874,BS_RE33!$S$7:$S$874,$P$2,BS_RE33!$N$7:$N$874,I17,BS_RE33!$P$7:$P$874,'30 days CF Table(JPY)'!G17,BS_RE33!$F$7:$F$874,'30 days CF Table(JPY)'!$C$2)</f>
        <v>0</v>
      </c>
      <c r="Q17" s="337">
        <f>SUMIFS(BS_RE33!$H$7:$H$874,BS_RE33!$S$7:$S$874,$Q$2,BS_RE33!$N$7:$N$874,I17,BS_RE33!$P$7:$P$874,'30 days CF Table(JPY)'!G17,BS_RE33!$F$7:$F$874,'30 days CF Table(JPY)'!$C$2)</f>
        <v>0</v>
      </c>
      <c r="R17" s="337">
        <f>SUMIFS(BS_RE33!$H$7:$H$874,BS_RE33!$S$7:$S$874,$R$2,BS_RE33!$N$7:$N$874,I17,BS_RE33!$P$7:$P$874,'30 days CF Table(JPY)'!G17,BS_RE33!$F$7:$F$874,'30 days CF Table(JPY)'!$C$2)</f>
        <v>0</v>
      </c>
      <c r="S17" s="337">
        <f>SUMIFS(BS_RE33!$H$7:$H$874,BS_RE33!$S$7:$S$874,$S$2,BS_RE33!$N$7:$N$874,I17,BS_RE33!$P$7:$P$874,'30 days CF Table(JPY)'!G17,BS_RE33!$F$7:$F$874,'30 days CF Table(JPY)'!$C$2)</f>
        <v>0</v>
      </c>
      <c r="T17" s="337">
        <f>SUMIFS(BS_RE33!$H$7:$H$874,BS_RE33!$S$7:$S$874,$T$2,BS_RE33!$N$7:$N$874,I17,BS_RE33!$P$7:$P$874,'30 days CF Table(JPY)'!G17,BS_RE33!$F$7:$F$874,'30 days CF Table(JPY)'!$C$2)</f>
        <v>0</v>
      </c>
      <c r="U17" s="337">
        <f>SUMIFS(BS_RE33!$H$7:$H$874,BS_RE33!$S$7:$S$874,$U$2,BS_RE33!$N$7:$N$874,I17,BS_RE33!$P$7:$P$874,'30 days CF Table(JPY)'!G17,BS_RE33!$F$7:$F$874,'30 days CF Table(JPY)'!$C$2)</f>
        <v>0</v>
      </c>
      <c r="V17" s="337">
        <f>SUMIFS(BS_RE33!$H$7:$H$874,BS_RE33!$S$7:$S$874,$V$2,BS_RE33!$N$7:$N$874,I17,BS_RE33!$P$7:$P$874,'30 days CF Table(JPY)'!G17,BS_RE33!$F$7:$F$874,'30 days CF Table(JPY)'!$C$2)</f>
        <v>0</v>
      </c>
      <c r="W17" s="337">
        <f>SUMIFS(BS_RE33!$H$7:$H$874,BS_RE33!$S$7:$S$874,$W$2,BS_RE33!$N$7:$N$874,I17,BS_RE33!$P$7:$P$874,'30 days CF Table(JPY)'!G17,BS_RE33!$F$7:$F$874,'30 days CF Table(JPY)'!$C$2)</f>
        <v>0</v>
      </c>
      <c r="X17" s="337">
        <f>SUMIFS(BS_RE33!$H$7:$H$874,BS_RE33!$S$7:$S$874,$X$2,BS_RE33!$N$7:$N$874,I17,BS_RE33!$P$7:$P$874,'30 days CF Table(JPY)'!G17,BS_RE33!$F$7:$F$874,'30 days CF Table(JPY)'!$C$2)</f>
        <v>0</v>
      </c>
      <c r="Y17" s="337">
        <f>SUMIFS(BS_RE33!$H$7:$H$874,BS_RE33!$S$7:$S$874,$Y$2,BS_RE33!$N$7:$N$874,I17,BS_RE33!$P$7:$P$874,'30 days CF Table(JPY)'!G17,BS_RE33!$F$7:$F$874,'30 days CF Table(JPY)'!$C$2)</f>
        <v>0</v>
      </c>
      <c r="Z17" s="337">
        <f>SUMIFS(BS_RE33!$H$7:$H$874,BS_RE33!$S$7:$S$874,$Z$2,BS_RE33!$N$7:$N$874,I17,BS_RE33!$P$7:$P$874,'30 days CF Table(JPY)'!G17,BS_RE33!$F$7:$F$874,'30 days CF Table(JPY)'!$C$2)</f>
        <v>0</v>
      </c>
      <c r="AA17" s="337">
        <f>SUMIFS(BS_RE33!$H$7:$H$874,BS_RE33!$S$7:$S$874,$AA$2,BS_RE33!$N$7:$N$874,I17,BS_RE33!$P$7:$P$874,'30 days CF Table(JPY)'!G17,BS_RE33!$F$7:$F$874,'30 days CF Table(JPY)'!$C$2)</f>
        <v>0</v>
      </c>
      <c r="AB17" s="337">
        <f>SUMIFS(BS_RE33!$H$7:$H$874,BS_RE33!$S$7:$S$874,$AB$2,BS_RE33!$N$7:$N$874,I17,BS_RE33!$P$7:$P$874,'30 days CF Table(JPY)'!G17,BS_RE33!$F$7:$F$874,'30 days CF Table(JPY)'!$C$2)</f>
        <v>0</v>
      </c>
      <c r="AC17" s="337">
        <f>SUMIFS(BS_RE33!$H$7:$H$874,BS_RE33!$S$7:$S$874,$AC$2,BS_RE33!$N$7:$N$874,I17,BS_RE33!$P$7:$P$874,'30 days CF Table(JPY)'!G17,BS_RE33!$F$7:$F$874,'30 days CF Table(JPY)'!$C$2)</f>
        <v>0</v>
      </c>
      <c r="AD17" s="337">
        <f>SUMIFS(BS_RE33!$H$7:$H$874,BS_RE33!$S$7:$S$874,$AD$2,BS_RE33!$N$7:$N$874,I17,BS_RE33!$P$7:$P$874,'30 days CF Table(JPY)'!G17,BS_RE33!$F$7:$F$874,'30 days CF Table(JPY)'!$C$2)</f>
        <v>0</v>
      </c>
      <c r="AE17" s="337">
        <f>SUMIFS(BS_RE33!$H$7:$H$874,BS_RE33!$S$7:$S$874,$AE$2,BS_RE33!$N$7:$N$874,I17,BS_RE33!$P$7:$P$874,'30 days CF Table(JPY)'!G17,BS_RE33!$F$7:$F$874,'30 days CF Table(JPY)'!$C$2)</f>
        <v>0</v>
      </c>
      <c r="AF17" s="337">
        <f>SUMIFS(BS_RE33!$H$7:$H$874,BS_RE33!$S$7:$S$874,$AF$2,BS_RE33!$N$7:$N$874,I17,BS_RE33!$P$7:$P$874,'30 days CF Table(JPY)'!G17,BS_RE33!$F$7:$F$874,'30 days CF Table(JPY)'!$C$2)</f>
        <v>0</v>
      </c>
      <c r="AG17" s="337">
        <f>SUMIFS(BS_RE33!$H$7:$H$874,BS_RE33!$S$7:$S$874,$AG$2,BS_RE33!$N$7:$N$874,I17,BS_RE33!$P$7:$P$874,'30 days CF Table(JPY)'!G17,BS_RE33!$F$7:$F$874,'30 days CF Table(JPY)'!$C$2)</f>
        <v>0</v>
      </c>
      <c r="AH17" s="337">
        <f>SUMIFS(BS_RE33!$H$7:$H$874,BS_RE33!$S$7:$S$874,$AH$2,BS_RE33!$N$7:$N$874,I17,BS_RE33!$P$7:$P$874,'30 days CF Table(JPY)'!G17,BS_RE33!$F$7:$F$874,'30 days CF Table(JPY)'!$C$2)</f>
        <v>0</v>
      </c>
      <c r="AI17" s="337">
        <f>SUMIFS(BS_RE33!$H$7:$H$874,BS_RE33!$S$7:$S$874,$AI$2,BS_RE33!$N$7:$N$874,I17,BS_RE33!$P$7:$P$874,'30 days CF Table(JPY)'!G17,BS_RE33!$F$7:$F$874,'30 days CF Table(JPY)'!$C$2)</f>
        <v>0</v>
      </c>
      <c r="AJ17" s="337">
        <f>SUMIFS(BS_RE33!$H$7:$H$874,BS_RE33!$S$7:$S$874,$AJ$2,BS_RE33!$N$7:$N$874,I17,BS_RE33!$P$7:$P$874,'30 days CF Table(JPY)'!G17,BS_RE33!$F$7:$F$874,'30 days CF Table(JPY)'!$C$2)</f>
        <v>0</v>
      </c>
      <c r="AK17" s="337">
        <f>SUMIFS(BS_RE33!$H$7:$H$874,BS_RE33!$S$7:$S$874,$AK$2,BS_RE33!$N$7:$N$874,I17,BS_RE33!$P$7:$P$874,'30 days CF Table(JPY)'!G17,BS_RE33!$F$7:$F$874,'30 days CF Table(JPY)'!$C$2)</f>
        <v>0</v>
      </c>
      <c r="AL17" s="337">
        <f>SUMIFS(BS_RE33!$H$7:$H$874,BS_RE33!$S$7:$S$874,$AL$2,BS_RE33!$N$7:$N$874,I17,BS_RE33!$P$7:$P$874,'30 days CF Table(JPY)'!G17,BS_RE33!$F$7:$F$874,'30 days CF Table(JPY)'!$C$2)</f>
        <v>0</v>
      </c>
      <c r="AM17" s="337">
        <f>SUMIFS(BS_RE33!$H$7:$H$874,BS_RE33!$S$7:$S$874,$AM$2,BS_RE33!$N$7:$N$874,I17,BS_RE33!$P$7:$P$874,'30 days CF Table(JPY)'!G17,BS_RE33!$F$7:$F$874,'30 days CF Table(JPY)'!$C$2)</f>
        <v>0</v>
      </c>
      <c r="AN17" s="337">
        <f>SUMIFS(BS_RE33!$H$7:$H$874,BS_RE33!$S$7:$S$874,$AN$2,BS_RE33!$N$7:$N$874,I17,BS_RE33!$P$7:$P$874,'30 days CF Table(JPY)'!G17,BS_RE33!$F$7:$F$874,'30 days CF Table(JPY)'!$C$2)</f>
        <v>0</v>
      </c>
      <c r="AO17" s="337">
        <f>SUMIFS(BS_RE33!$H$7:$H$874,BS_RE33!$S$7:$S$874,$AO$2,BS_RE33!$N$7:$N$874,I17,BS_RE33!$P$7:$P$874,'30 days CF Table(JPY)'!G17,BS_RE33!$F$7:$F$874,'30 days CF Table(JPY)'!$C$2)</f>
        <v>0</v>
      </c>
      <c r="AP17" s="338">
        <f>SUMIFS(BS_RE33!$H$7:$H$874,BS_RE33!$S$7:$S$874,$AP$2,BS_RE33!$N$7:$N$874,I17,BS_RE33!$P$7:$P$874,'30 days CF Table(JPY)'!G17,BS_RE33!$F$7:$F$874,'30 days CF Table(JPY)'!$C$2)</f>
        <v>0</v>
      </c>
      <c r="AQ17" s="545"/>
      <c r="AR17" s="379">
        <f>SUMIFS(BS_RE33!$H$7:$H$874,BS_RE33!$S$7:$S$874,$AR$2,BS_RE33!$N$7:$N$874,I17,BS_RE33!$P$7:$P$874,'30 days CF Table(JPY)'!G17,BS_RE33!$F$7:$F$874,'30 days CF Table(JPY)'!$C$2)</f>
        <v>0</v>
      </c>
      <c r="AS17" s="379">
        <f>SUMIFS(BS_RE33!$H$7:$H$874,BS_RE33!$S$7:$S$874,$AS$2,BS_RE33!$N$7:$N$874,I17,BS_RE33!$P$7:$P$874,'30 days CF Table(JPY)'!G17,BS_RE33!$F$7:$F$874,'30 days CF Table(JPY)'!$C$2)</f>
        <v>0</v>
      </c>
      <c r="AT17" s="379">
        <f>SUMIFS(BS_RE33!$H$7:$H$874,BS_RE33!$S$7:$S$874,$AT$2,BS_RE33!$N$7:$N$874,I17,BS_RE33!$P$7:$P$874,'30 days CF Table(JPY)'!G17,BS_RE33!$F$7:$F$874,'30 days CF Table(JPY)'!$C$2)</f>
        <v>0</v>
      </c>
      <c r="AU17" s="379">
        <f>SUMIFS(BS_RE33!$H$7:$H$874,BS_RE33!$S$7:$S$874,$AU$2,BS_RE33!$N$7:$N$874,I17,BS_RE33!$P$7:$P$874,'30 days CF Table(JPY)'!G17,BS_RE33!$F$7:$F$874,'30 days CF Table(JPY)'!$C$2)</f>
        <v>0</v>
      </c>
      <c r="AV17" s="379">
        <f>SUMIFS(BS_RE33!$H$7:$H$874,BS_RE33!$S$7:$S$874,$AV$2,BS_RE33!$N$7:$N$874,I17,BS_RE33!$P$7:$P$874,'30 days CF Table(JPY)'!G17,BS_RE33!$F$7:$F$874,'30 days CF Table(JPY)'!$C$2)</f>
        <v>0</v>
      </c>
      <c r="AW17" s="379">
        <f>SUMIFS(BS_RE33!$H$7:$H$874,BS_RE33!$S$7:$S$874,$AW$2,BS_RE33!$N$7:$N$874,I17,BS_RE33!$P$7:$P$874,'30 days CF Table(JPY)'!G17,BS_RE33!$F$7:$F$874,'30 days CF Table(JPY)'!$C$2)</f>
        <v>0</v>
      </c>
      <c r="AX17" s="379">
        <f>SUMIFS(BS_RE33!$H$7:$H$874,BS_RE33!$S$7:$S$874,$AX$2,BS_RE33!$N$7:$N$874,I17,BS_RE33!$P$7:$P$874,'30 days CF Table(JPY)'!G17,BS_RE33!$F$7:$F$874,'30 days CF Table(JPY)'!$C$2)</f>
        <v>0</v>
      </c>
      <c r="AY17" s="379">
        <f>SUMIFS(BS_RE33!$H$7:$H$874,BS_RE33!$S$7:$S$874,$AY$2,BS_RE33!$N$7:$N$874,I17,BS_RE33!$P$7:$P$874,'30 days CF Table(JPY)'!G17,BS_RE33!$F$7:$F$874,'30 days CF Table(JPY)'!$C$2)</f>
        <v>0</v>
      </c>
      <c r="AZ17" s="379">
        <f>SUMIFS(BS_RE33!$H$7:$H$874,BS_RE33!$S$7:$S$874,$AZ$2,BS_RE33!$N$7:$N$874,I17,BS_RE33!$P$7:$P$874,'30 days CF Table(JPY)'!G17,BS_RE33!$F$7:$F$874,'30 days CF Table(JPY)'!$C$2)</f>
        <v>0</v>
      </c>
      <c r="BA17" s="379">
        <f>SUMIFS(BS_RE33!$H$7:$H$874,BS_RE33!$S$7:$S$874,$BA$2,BS_RE33!$N$7:$N$874,I17,BS_RE33!$P$7:$P$874,'30 days CF Table(JPY)'!G17,BS_RE33!$F$7:$F$874,'30 days CF Table(JPY)'!$C$2)</f>
        <v>0</v>
      </c>
      <c r="BB17" s="379">
        <f>SUMIFS(BS_RE33!$H$7:$H$874,BS_RE33!$S$7:$S$874,$BB$2,BS_RE33!$N$7:$N$874,I17,BS_RE33!$P$7:$P$874,'30 days CF Table(JPY)'!G17,BS_RE33!$F$7:$F$874,'30 days CF Table(JPY)'!$C$2)</f>
        <v>0</v>
      </c>
      <c r="BC17" s="379">
        <f>SUMIFS(BS_RE33!$H$7:$H$874,BS_RE33!$S$7:$S$874,$BC$2,BS_RE33!$N$7:$N$874,I17,BS_RE33!$P$7:$P$874,'30 days CF Table(JPY)'!G17,BS_RE33!$F$7:$F$874,'30 days CF Table(JPY)'!$C$2)</f>
        <v>0</v>
      </c>
      <c r="BD17" s="379">
        <f>SUMIFS(BS_RE33!$H$7:$H$874,BS_RE33!$S$7:$S$874,$BD$2,BS_RE33!$N$7:$N$874,I17,BS_RE33!$P$7:$P$874,'30 days CF Table(JPY)'!G17,BS_RE33!$F$7:$F$874,'30 days CF Table(JPY)'!$C$2)</f>
        <v>0</v>
      </c>
      <c r="BE17" s="379">
        <f>SUMIFS(BS_RE33!$H$7:$H$874,BS_RE33!$S$7:$S$874,$BE$2,BS_RE33!$N$7:$N$874,I17,BS_RE33!$P$7:$P$874,'30 days CF Table(JPY)'!G17,BS_RE33!$F$7:$F$874,'30 days CF Table(JPY)'!$C$2)</f>
        <v>0</v>
      </c>
      <c r="BF17" s="379">
        <f>SUMIFS(BS_RE33!$H$7:$H$874,BS_RE33!$S$7:$S$874,$BF$2,BS_RE33!$N$7:$N$874,I17,BS_RE33!$P$7:$P$874,'30 days CF Table(JPY)'!G17,BS_RE33!$F$7:$F$874,'30 days CF Table(JPY)'!$C$2)</f>
        <v>0</v>
      </c>
      <c r="BG17" s="379">
        <f>SUMIFS(BS_RE33!$H$7:$H$874,BS_RE33!$S$7:$S$874,$BG$2,BS_RE33!$N$7:$N$874,I17,BS_RE33!$P$7:$P$874,'30 days CF Table(JPY)'!G17,BS_RE33!$F$7:$F$874,'30 days CF Table(JPY)'!$C$2)</f>
        <v>0</v>
      </c>
      <c r="BH17" s="379">
        <f>SUMIFS(BS_RE33!$H$7:$H$874,BS_RE33!$S$7:$S$874,$BH$2,BS_RE33!$N$7:$N$874,I17,BS_RE33!$P$7:$P$874,'30 days CF Table(JPY)'!G17,BS_RE33!$F$7:$F$874,'30 days CF Table(JPY)'!$C$2)</f>
        <v>0</v>
      </c>
      <c r="BI17" s="379">
        <f>SUMIFS(BS_RE33!$H$7:$H$874,BS_RE33!$S$7:$S$874,$BI$2,BS_RE33!$N$7:$N$874,I17,BS_RE33!$P$7:$P$874,'30 days CF Table(JPY)'!G17,BS_RE33!$F$7:$F$874,'30 days CF Table(JPY)'!$C$2)</f>
        <v>0</v>
      </c>
      <c r="BJ17" s="379">
        <f>SUMIFS(BS_RE33!$H$7:$H$874,BS_RE33!$S$7:$S$874,$BJ$2,BS_RE33!$N$7:$N$874,I17,BS_RE33!$P$7:$P$874,'30 days CF Table(JPY)'!G17,BS_RE33!$F$7:$F$874,'30 days CF Table(JPY)'!$C$2)</f>
        <v>0</v>
      </c>
      <c r="BK17" s="379">
        <f>SUMIFS(BS_RE33!$H$7:$H$874,BS_RE33!$S$7:$S$874,$BK$2,BS_RE33!$N$7:$N$874,I17,BS_RE33!$P$7:$P$874,'30 days CF Table(JPY)'!G17,BS_RE33!$F$7:$F$874,'30 days CF Table(JPY)'!$C$2)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Table(JPY)'!G18,BS_RE33!$F$7:$F$874,'30 days CF Table(JPY)'!$C$2)</f>
        <v>0</v>
      </c>
      <c r="M18" s="337">
        <f>SUMIFS(BS_RE33!$H$7:$H$874,BS_RE33!$S$7:$S$874,$M$2,BS_RE33!$N$7:$N$874,I18,BS_RE33!$P$7:$P$874,'30 days CF Table(JPY)'!G18,BS_RE33!$F$7:$F$874,'30 days CF Table(JPY)'!$C$2)</f>
        <v>0</v>
      </c>
      <c r="N18" s="337">
        <f>SUMIFS(BS_RE33!$H$7:$H$874,BS_RE33!$S$7:$S$874,$N$2,BS_RE33!$N$7:$N$874,I18,BS_RE33!$P$7:$P$874,'30 days CF Table(JPY)'!G18,BS_RE33!$F$7:$F$874,'30 days CF Table(JPY)'!$C$2)</f>
        <v>0</v>
      </c>
      <c r="O18" s="337">
        <f>SUMIFS(BS_RE33!$H$7:$H$874,BS_RE33!$S$7:$S$874,$O$2,BS_RE33!$N$7:$N$874,I18,BS_RE33!$P$7:$P$874,'30 days CF Table(JPY)'!G18,BS_RE33!$F$7:$F$874,'30 days CF Table(JPY)'!$C$2)</f>
        <v>0</v>
      </c>
      <c r="P18" s="337">
        <f>SUMIFS(BS_RE33!$H$7:$H$874,BS_RE33!$S$7:$S$874,$P$2,BS_RE33!$N$7:$N$874,I18,BS_RE33!$P$7:$P$874,'30 days CF Table(JPY)'!G18,BS_RE33!$F$7:$F$874,'30 days CF Table(JPY)'!$C$2)</f>
        <v>0</v>
      </c>
      <c r="Q18" s="337">
        <f>SUMIFS(BS_RE33!$H$7:$H$874,BS_RE33!$S$7:$S$874,$Q$2,BS_RE33!$N$7:$N$874,I18,BS_RE33!$P$7:$P$874,'30 days CF Table(JPY)'!G18,BS_RE33!$F$7:$F$874,'30 days CF Table(JPY)'!$C$2)</f>
        <v>0</v>
      </c>
      <c r="R18" s="337">
        <f>SUMIFS(BS_RE33!$H$7:$H$874,BS_RE33!$S$7:$S$874,$R$2,BS_RE33!$N$7:$N$874,I18,BS_RE33!$P$7:$P$874,'30 days CF Table(JPY)'!G18,BS_RE33!$F$7:$F$874,'30 days CF Table(JPY)'!$C$2)</f>
        <v>0</v>
      </c>
      <c r="S18" s="337">
        <f>SUMIFS(BS_RE33!$H$7:$H$874,BS_RE33!$S$7:$S$874,$S$2,BS_RE33!$N$7:$N$874,I18,BS_RE33!$P$7:$P$874,'30 days CF Table(JPY)'!G18,BS_RE33!$F$7:$F$874,'30 days CF Table(JPY)'!$C$2)</f>
        <v>0</v>
      </c>
      <c r="T18" s="337">
        <f>SUMIFS(BS_RE33!$H$7:$H$874,BS_RE33!$S$7:$S$874,$T$2,BS_RE33!$N$7:$N$874,I18,BS_RE33!$P$7:$P$874,'30 days CF Table(JPY)'!G18,BS_RE33!$F$7:$F$874,'30 days CF Table(JPY)'!$C$2)</f>
        <v>0</v>
      </c>
      <c r="U18" s="337">
        <f>SUMIFS(BS_RE33!$H$7:$H$874,BS_RE33!$S$7:$S$874,$U$2,BS_RE33!$N$7:$N$874,I18,BS_RE33!$P$7:$P$874,'30 days CF Table(JPY)'!G18,BS_RE33!$F$7:$F$874,'30 days CF Table(JPY)'!$C$2)</f>
        <v>0</v>
      </c>
      <c r="V18" s="337">
        <f>SUMIFS(BS_RE33!$H$7:$H$874,BS_RE33!$S$7:$S$874,$V$2,BS_RE33!$N$7:$N$874,I18,BS_RE33!$P$7:$P$874,'30 days CF Table(JPY)'!G18,BS_RE33!$F$7:$F$874,'30 days CF Table(JPY)'!$C$2)</f>
        <v>0</v>
      </c>
      <c r="W18" s="337">
        <f>SUMIFS(BS_RE33!$H$7:$H$874,BS_RE33!$S$7:$S$874,$W$2,BS_RE33!$N$7:$N$874,I18,BS_RE33!$P$7:$P$874,'30 days CF Table(JPY)'!G18,BS_RE33!$F$7:$F$874,'30 days CF Table(JPY)'!$C$2)</f>
        <v>0</v>
      </c>
      <c r="X18" s="337">
        <f>SUMIFS(BS_RE33!$H$7:$H$874,BS_RE33!$S$7:$S$874,$X$2,BS_RE33!$N$7:$N$874,I18,BS_RE33!$P$7:$P$874,'30 days CF Table(JPY)'!G18,BS_RE33!$F$7:$F$874,'30 days CF Table(JPY)'!$C$2)</f>
        <v>0</v>
      </c>
      <c r="Y18" s="337">
        <f>SUMIFS(BS_RE33!$H$7:$H$874,BS_RE33!$S$7:$S$874,$Y$2,BS_RE33!$N$7:$N$874,I18,BS_RE33!$P$7:$P$874,'30 days CF Table(JPY)'!G18,BS_RE33!$F$7:$F$874,'30 days CF Table(JPY)'!$C$2)</f>
        <v>0</v>
      </c>
      <c r="Z18" s="337">
        <f>SUMIFS(BS_RE33!$H$7:$H$874,BS_RE33!$S$7:$S$874,$Z$2,BS_RE33!$N$7:$N$874,I18,BS_RE33!$P$7:$P$874,'30 days CF Table(JPY)'!G18,BS_RE33!$F$7:$F$874,'30 days CF Table(JPY)'!$C$2)</f>
        <v>0</v>
      </c>
      <c r="AA18" s="337">
        <f>SUMIFS(BS_RE33!$H$7:$H$874,BS_RE33!$S$7:$S$874,$AA$2,BS_RE33!$N$7:$N$874,I18,BS_RE33!$P$7:$P$874,'30 days CF Table(JPY)'!G18,BS_RE33!$F$7:$F$874,'30 days CF Table(JPY)'!$C$2)</f>
        <v>0</v>
      </c>
      <c r="AB18" s="337">
        <f>SUMIFS(BS_RE33!$H$7:$H$874,BS_RE33!$S$7:$S$874,$AB$2,BS_RE33!$N$7:$N$874,I18,BS_RE33!$P$7:$P$874,'30 days CF Table(JPY)'!G18,BS_RE33!$F$7:$F$874,'30 days CF Table(JPY)'!$C$2)</f>
        <v>0</v>
      </c>
      <c r="AC18" s="337">
        <f>SUMIFS(BS_RE33!$H$7:$H$874,BS_RE33!$S$7:$S$874,$AC$2,BS_RE33!$N$7:$N$874,I18,BS_RE33!$P$7:$P$874,'30 days CF Table(JPY)'!G18,BS_RE33!$F$7:$F$874,'30 days CF Table(JPY)'!$C$2)</f>
        <v>0</v>
      </c>
      <c r="AD18" s="337">
        <f>SUMIFS(BS_RE33!$H$7:$H$874,BS_RE33!$S$7:$S$874,$AD$2,BS_RE33!$N$7:$N$874,I18,BS_RE33!$P$7:$P$874,'30 days CF Table(JPY)'!G18,BS_RE33!$F$7:$F$874,'30 days CF Table(JPY)'!$C$2)</f>
        <v>0</v>
      </c>
      <c r="AE18" s="337">
        <f>SUMIFS(BS_RE33!$H$7:$H$874,BS_RE33!$S$7:$S$874,$AE$2,BS_RE33!$N$7:$N$874,I18,BS_RE33!$P$7:$P$874,'30 days CF Table(JPY)'!G18,BS_RE33!$F$7:$F$874,'30 days CF Table(JPY)'!$C$2)</f>
        <v>0</v>
      </c>
      <c r="AF18" s="337">
        <f>SUMIFS(BS_RE33!$H$7:$H$874,BS_RE33!$S$7:$S$874,$AF$2,BS_RE33!$N$7:$N$874,I18,BS_RE33!$P$7:$P$874,'30 days CF Table(JPY)'!G18,BS_RE33!$F$7:$F$874,'30 days CF Table(JPY)'!$C$2)</f>
        <v>0</v>
      </c>
      <c r="AG18" s="337">
        <f>SUMIFS(BS_RE33!$H$7:$H$874,BS_RE33!$S$7:$S$874,$AG$2,BS_RE33!$N$7:$N$874,I18,BS_RE33!$P$7:$P$874,'30 days CF Table(JPY)'!G18,BS_RE33!$F$7:$F$874,'30 days CF Table(JPY)'!$C$2)</f>
        <v>0</v>
      </c>
      <c r="AH18" s="337">
        <f>SUMIFS(BS_RE33!$H$7:$H$874,BS_RE33!$S$7:$S$874,$AH$2,BS_RE33!$N$7:$N$874,I18,BS_RE33!$P$7:$P$874,'30 days CF Table(JPY)'!G18,BS_RE33!$F$7:$F$874,'30 days CF Table(JPY)'!$C$2)</f>
        <v>0</v>
      </c>
      <c r="AI18" s="337">
        <f>SUMIFS(BS_RE33!$H$7:$H$874,BS_RE33!$S$7:$S$874,$AI$2,BS_RE33!$N$7:$N$874,I18,BS_RE33!$P$7:$P$874,'30 days CF Table(JPY)'!G18,BS_RE33!$F$7:$F$874,'30 days CF Table(JPY)'!$C$2)</f>
        <v>0</v>
      </c>
      <c r="AJ18" s="337">
        <f>SUMIFS(BS_RE33!$H$7:$H$874,BS_RE33!$S$7:$S$874,$AJ$2,BS_RE33!$N$7:$N$874,I18,BS_RE33!$P$7:$P$874,'30 days CF Table(JPY)'!G18,BS_RE33!$F$7:$F$874,'30 days CF Table(JPY)'!$C$2)</f>
        <v>0</v>
      </c>
      <c r="AK18" s="337">
        <f>SUMIFS(BS_RE33!$H$7:$H$874,BS_RE33!$S$7:$S$874,$AK$2,BS_RE33!$N$7:$N$874,I18,BS_RE33!$P$7:$P$874,'30 days CF Table(JPY)'!G18,BS_RE33!$F$7:$F$874,'30 days CF Table(JPY)'!$C$2)</f>
        <v>0</v>
      </c>
      <c r="AL18" s="337">
        <f>SUMIFS(BS_RE33!$H$7:$H$874,BS_RE33!$S$7:$S$874,$AL$2,BS_RE33!$N$7:$N$874,I18,BS_RE33!$P$7:$P$874,'30 days CF Table(JPY)'!G18,BS_RE33!$F$7:$F$874,'30 days CF Table(JPY)'!$C$2)</f>
        <v>0</v>
      </c>
      <c r="AM18" s="337">
        <f>SUMIFS(BS_RE33!$H$7:$H$874,BS_RE33!$S$7:$S$874,$AM$2,BS_RE33!$N$7:$N$874,I18,BS_RE33!$P$7:$P$874,'30 days CF Table(JPY)'!G18,BS_RE33!$F$7:$F$874,'30 days CF Table(JPY)'!$C$2)</f>
        <v>0</v>
      </c>
      <c r="AN18" s="337">
        <f>SUMIFS(BS_RE33!$H$7:$H$874,BS_RE33!$S$7:$S$874,$AN$2,BS_RE33!$N$7:$N$874,I18,BS_RE33!$P$7:$P$874,'30 days CF Table(JPY)'!G18,BS_RE33!$F$7:$F$874,'30 days CF Table(JPY)'!$C$2)</f>
        <v>0</v>
      </c>
      <c r="AO18" s="337">
        <f>SUMIFS(BS_RE33!$H$7:$H$874,BS_RE33!$S$7:$S$874,$AO$2,BS_RE33!$N$7:$N$874,I18,BS_RE33!$P$7:$P$874,'30 days CF Table(JPY)'!G18,BS_RE33!$F$7:$F$874,'30 days CF Table(JPY)'!$C$2)</f>
        <v>0</v>
      </c>
      <c r="AP18" s="338">
        <f>SUMIFS(BS_RE33!$H$7:$H$874,BS_RE33!$S$7:$S$874,$AP$2,BS_RE33!$N$7:$N$874,I18,BS_RE33!$P$7:$P$874,'30 days CF Table(JPY)'!G18,BS_RE33!$F$7:$F$874,'30 days CF Table(JPY)'!$C$2)</f>
        <v>0</v>
      </c>
      <c r="AQ18" s="545"/>
      <c r="AR18" s="379">
        <f>SUMIFS(BS_RE33!$H$7:$H$874,BS_RE33!$S$7:$S$874,$AR$2,BS_RE33!$N$7:$N$874,I18,BS_RE33!$P$7:$P$874,'30 days CF Table(JPY)'!G18,BS_RE33!$F$7:$F$874,'30 days CF Table(JPY)'!$C$2)</f>
        <v>0</v>
      </c>
      <c r="AS18" s="379">
        <f>SUMIFS(BS_RE33!$H$7:$H$874,BS_RE33!$S$7:$S$874,$AS$2,BS_RE33!$N$7:$N$874,I18,BS_RE33!$P$7:$P$874,'30 days CF Table(JPY)'!G18,BS_RE33!$F$7:$F$874,'30 days CF Table(JPY)'!$C$2)</f>
        <v>0</v>
      </c>
      <c r="AT18" s="379">
        <f>SUMIFS(BS_RE33!$H$7:$H$874,BS_RE33!$S$7:$S$874,$AT$2,BS_RE33!$N$7:$N$874,I18,BS_RE33!$P$7:$P$874,'30 days CF Table(JPY)'!G18,BS_RE33!$F$7:$F$874,'30 days CF Table(JPY)'!$C$2)</f>
        <v>0</v>
      </c>
      <c r="AU18" s="379">
        <f>SUMIFS(BS_RE33!$H$7:$H$874,BS_RE33!$S$7:$S$874,$AU$2,BS_RE33!$N$7:$N$874,I18,BS_RE33!$P$7:$P$874,'30 days CF Table(JPY)'!G18,BS_RE33!$F$7:$F$874,'30 days CF Table(JPY)'!$C$2)</f>
        <v>0</v>
      </c>
      <c r="AV18" s="379">
        <f>SUMIFS(BS_RE33!$H$7:$H$874,BS_RE33!$S$7:$S$874,$AV$2,BS_RE33!$N$7:$N$874,I18,BS_RE33!$P$7:$P$874,'30 days CF Table(JPY)'!G18,BS_RE33!$F$7:$F$874,'30 days CF Table(JPY)'!$C$2)</f>
        <v>0</v>
      </c>
      <c r="AW18" s="379">
        <f>SUMIFS(BS_RE33!$H$7:$H$874,BS_RE33!$S$7:$S$874,$AW$2,BS_RE33!$N$7:$N$874,I18,BS_RE33!$P$7:$P$874,'30 days CF Table(JPY)'!G18,BS_RE33!$F$7:$F$874,'30 days CF Table(JPY)'!$C$2)</f>
        <v>0</v>
      </c>
      <c r="AX18" s="379">
        <f>SUMIFS(BS_RE33!$H$7:$H$874,BS_RE33!$S$7:$S$874,$AX$2,BS_RE33!$N$7:$N$874,I18,BS_RE33!$P$7:$P$874,'30 days CF Table(JPY)'!G18,BS_RE33!$F$7:$F$874,'30 days CF Table(JPY)'!$C$2)</f>
        <v>0</v>
      </c>
      <c r="AY18" s="379">
        <f>SUMIFS(BS_RE33!$H$7:$H$874,BS_RE33!$S$7:$S$874,$AY$2,BS_RE33!$N$7:$N$874,I18,BS_RE33!$P$7:$P$874,'30 days CF Table(JPY)'!G18,BS_RE33!$F$7:$F$874,'30 days CF Table(JPY)'!$C$2)</f>
        <v>0</v>
      </c>
      <c r="AZ18" s="379">
        <f>SUMIFS(BS_RE33!$H$7:$H$874,BS_RE33!$S$7:$S$874,$AZ$2,BS_RE33!$N$7:$N$874,I18,BS_RE33!$P$7:$P$874,'30 days CF Table(JPY)'!G18,BS_RE33!$F$7:$F$874,'30 days CF Table(JPY)'!$C$2)</f>
        <v>0</v>
      </c>
      <c r="BA18" s="379">
        <f>SUMIFS(BS_RE33!$H$7:$H$874,BS_RE33!$S$7:$S$874,$BA$2,BS_RE33!$N$7:$N$874,I18,BS_RE33!$P$7:$P$874,'30 days CF Table(JPY)'!G18,BS_RE33!$F$7:$F$874,'30 days CF Table(JPY)'!$C$2)</f>
        <v>0</v>
      </c>
      <c r="BB18" s="379">
        <f>SUMIFS(BS_RE33!$H$7:$H$874,BS_RE33!$S$7:$S$874,$BB$2,BS_RE33!$N$7:$N$874,I18,BS_RE33!$P$7:$P$874,'30 days CF Table(JPY)'!G18,BS_RE33!$F$7:$F$874,'30 days CF Table(JPY)'!$C$2)</f>
        <v>0</v>
      </c>
      <c r="BC18" s="379">
        <f>SUMIFS(BS_RE33!$H$7:$H$874,BS_RE33!$S$7:$S$874,$BC$2,BS_RE33!$N$7:$N$874,I18,BS_RE33!$P$7:$P$874,'30 days CF Table(JPY)'!G18,BS_RE33!$F$7:$F$874,'30 days CF Table(JPY)'!$C$2)</f>
        <v>0</v>
      </c>
      <c r="BD18" s="379">
        <f>SUMIFS(BS_RE33!$H$7:$H$874,BS_RE33!$S$7:$S$874,$BD$2,BS_RE33!$N$7:$N$874,I18,BS_RE33!$P$7:$P$874,'30 days CF Table(JPY)'!G18,BS_RE33!$F$7:$F$874,'30 days CF Table(JPY)'!$C$2)</f>
        <v>0</v>
      </c>
      <c r="BE18" s="379">
        <f>SUMIFS(BS_RE33!$H$7:$H$874,BS_RE33!$S$7:$S$874,$BE$2,BS_RE33!$N$7:$N$874,I18,BS_RE33!$P$7:$P$874,'30 days CF Table(JPY)'!G18,BS_RE33!$F$7:$F$874,'30 days CF Table(JPY)'!$C$2)</f>
        <v>0</v>
      </c>
      <c r="BF18" s="379">
        <f>SUMIFS(BS_RE33!$H$7:$H$874,BS_RE33!$S$7:$S$874,$BF$2,BS_RE33!$N$7:$N$874,I18,BS_RE33!$P$7:$P$874,'30 days CF Table(JPY)'!G18,BS_RE33!$F$7:$F$874,'30 days CF Table(JPY)'!$C$2)</f>
        <v>0</v>
      </c>
      <c r="BG18" s="379">
        <f>SUMIFS(BS_RE33!$H$7:$H$874,BS_RE33!$S$7:$S$874,$BG$2,BS_RE33!$N$7:$N$874,I18,BS_RE33!$P$7:$P$874,'30 days CF Table(JPY)'!G18,BS_RE33!$F$7:$F$874,'30 days CF Table(JPY)'!$C$2)</f>
        <v>0</v>
      </c>
      <c r="BH18" s="379">
        <f>SUMIFS(BS_RE33!$H$7:$H$874,BS_RE33!$S$7:$S$874,$BH$2,BS_RE33!$N$7:$N$874,I18,BS_RE33!$P$7:$P$874,'30 days CF Table(JPY)'!G18,BS_RE33!$F$7:$F$874,'30 days CF Table(JPY)'!$C$2)</f>
        <v>0</v>
      </c>
      <c r="BI18" s="379">
        <f>SUMIFS(BS_RE33!$H$7:$H$874,BS_RE33!$S$7:$S$874,$BI$2,BS_RE33!$N$7:$N$874,I18,BS_RE33!$P$7:$P$874,'30 days CF Table(JPY)'!G18,BS_RE33!$F$7:$F$874,'30 days CF Table(JPY)'!$C$2)</f>
        <v>0</v>
      </c>
      <c r="BJ18" s="379">
        <f>SUMIFS(BS_RE33!$H$7:$H$874,BS_RE33!$S$7:$S$874,$BJ$2,BS_RE33!$N$7:$N$874,I18,BS_RE33!$P$7:$P$874,'30 days CF Table(JPY)'!G18,BS_RE33!$F$7:$F$874,'30 days CF Table(JPY)'!$C$2)</f>
        <v>0</v>
      </c>
      <c r="BK18" s="379">
        <f>SUMIFS(BS_RE33!$H$7:$H$874,BS_RE33!$S$7:$S$874,$BK$2,BS_RE33!$N$7:$N$874,I18,BS_RE33!$P$7:$P$874,'30 days CF Table(JPY)'!G18,BS_RE33!$F$7:$F$874,'30 days CF Table(JPY)'!$C$2)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Table(JPY)'!G19,BS_RE33!$F$7:$F$874,'30 days CF Table(JPY)'!$C$2)</f>
        <v>0</v>
      </c>
      <c r="M19" s="548">
        <f>SUMIFS(BS_RE33!$H$7:$H$874,BS_RE33!$S$7:$S$874,$M$2,BS_RE33!$N$7:$N$874,I19,BS_RE33!$P$7:$P$874,'30 days CF Table(JPY)'!G19,BS_RE33!$F$7:$F$874,'30 days CF Table(JPY)'!$C$2)</f>
        <v>0</v>
      </c>
      <c r="N19" s="548">
        <f>SUMIFS(BS_RE33!$H$7:$H$874,BS_RE33!$S$7:$S$874,$N$2,BS_RE33!$N$7:$N$874,I19,BS_RE33!$P$7:$P$874,'30 days CF Table(JPY)'!G19,BS_RE33!$F$7:$F$874,'30 days CF Table(JPY)'!$C$2)</f>
        <v>0</v>
      </c>
      <c r="O19" s="548">
        <f>SUMIFS(BS_RE33!$H$7:$H$874,BS_RE33!$S$7:$S$874,$O$2,BS_RE33!$N$7:$N$874,I19,BS_RE33!$P$7:$P$874,'30 days CF Table(JPY)'!G19,BS_RE33!$F$7:$F$874,'30 days CF Table(JPY)'!$C$2)</f>
        <v>0</v>
      </c>
      <c r="P19" s="548">
        <f>SUMIFS(BS_RE33!$H$7:$H$874,BS_RE33!$S$7:$S$874,$P$2,BS_RE33!$N$7:$N$874,I19,BS_RE33!$P$7:$P$874,'30 days CF Table(JPY)'!G19,BS_RE33!$F$7:$F$874,'30 days CF Table(JPY)'!$C$2)</f>
        <v>0</v>
      </c>
      <c r="Q19" s="548">
        <f>SUMIFS(BS_RE33!$H$7:$H$874,BS_RE33!$S$7:$S$874,$Q$2,BS_RE33!$N$7:$N$874,I19,BS_RE33!$P$7:$P$874,'30 days CF Table(JPY)'!G19,BS_RE33!$F$7:$F$874,'30 days CF Table(JPY)'!$C$2)</f>
        <v>0</v>
      </c>
      <c r="R19" s="548">
        <f>SUMIFS(BS_RE33!$H$7:$H$874,BS_RE33!$S$7:$S$874,$R$2,BS_RE33!$N$7:$N$874,I19,BS_RE33!$P$7:$P$874,'30 days CF Table(JPY)'!G19,BS_RE33!$F$7:$F$874,'30 days CF Table(JPY)'!$C$2)</f>
        <v>0</v>
      </c>
      <c r="S19" s="548">
        <f>SUMIFS(BS_RE33!$H$7:$H$874,BS_RE33!$S$7:$S$874,$S$2,BS_RE33!$N$7:$N$874,I19,BS_RE33!$P$7:$P$874,'30 days CF Table(JPY)'!G19,BS_RE33!$F$7:$F$874,'30 days CF Table(JPY)'!$C$2)</f>
        <v>0</v>
      </c>
      <c r="T19" s="548">
        <f>SUMIFS(BS_RE33!$H$7:$H$874,BS_RE33!$S$7:$S$874,$T$2,BS_RE33!$N$7:$N$874,I19,BS_RE33!$P$7:$P$874,'30 days CF Table(JPY)'!G19,BS_RE33!$F$7:$F$874,'30 days CF Table(JPY)'!$C$2)</f>
        <v>0</v>
      </c>
      <c r="U19" s="548">
        <f>SUMIFS(BS_RE33!$H$7:$H$874,BS_RE33!$S$7:$S$874,$U$2,BS_RE33!$N$7:$N$874,I19,BS_RE33!$P$7:$P$874,'30 days CF Table(JPY)'!G19,BS_RE33!$F$7:$F$874,'30 days CF Table(JPY)'!$C$2)</f>
        <v>0</v>
      </c>
      <c r="V19" s="548">
        <f>SUMIFS(BS_RE33!$H$7:$H$874,BS_RE33!$S$7:$S$874,$V$2,BS_RE33!$N$7:$N$874,I19,BS_RE33!$P$7:$P$874,'30 days CF Table(JPY)'!G19,BS_RE33!$F$7:$F$874,'30 days CF Table(JPY)'!$C$2)</f>
        <v>0</v>
      </c>
      <c r="W19" s="548">
        <f>SUMIFS(BS_RE33!$H$7:$H$874,BS_RE33!$S$7:$S$874,$W$2,BS_RE33!$N$7:$N$874,I19,BS_RE33!$P$7:$P$874,'30 days CF Table(JPY)'!G19,BS_RE33!$F$7:$F$874,'30 days CF Table(JPY)'!$C$2)</f>
        <v>0</v>
      </c>
      <c r="X19" s="548">
        <f>SUMIFS(BS_RE33!$H$7:$H$874,BS_RE33!$S$7:$S$874,$X$2,BS_RE33!$N$7:$N$874,I19,BS_RE33!$P$7:$P$874,'30 days CF Table(JPY)'!G19,BS_RE33!$F$7:$F$874,'30 days CF Table(JPY)'!$C$2)</f>
        <v>0</v>
      </c>
      <c r="Y19" s="548">
        <f>SUMIFS(BS_RE33!$H$7:$H$874,BS_RE33!$S$7:$S$874,$Y$2,BS_RE33!$N$7:$N$874,I19,BS_RE33!$P$7:$P$874,'30 days CF Table(JPY)'!G19,BS_RE33!$F$7:$F$874,'30 days CF Table(JPY)'!$C$2)</f>
        <v>0</v>
      </c>
      <c r="Z19" s="548">
        <f>SUMIFS(BS_RE33!$H$7:$H$874,BS_RE33!$S$7:$S$874,$Z$2,BS_RE33!$N$7:$N$874,I19,BS_RE33!$P$7:$P$874,'30 days CF Table(JPY)'!G19,BS_RE33!$F$7:$F$874,'30 days CF Table(JPY)'!$C$2)</f>
        <v>0</v>
      </c>
      <c r="AA19" s="548">
        <f>SUMIFS(BS_RE33!$H$7:$H$874,BS_RE33!$S$7:$S$874,$AA$2,BS_RE33!$N$7:$N$874,I19,BS_RE33!$P$7:$P$874,'30 days CF Table(JPY)'!G19,BS_RE33!$F$7:$F$874,'30 days CF Table(JPY)'!$C$2)</f>
        <v>0</v>
      </c>
      <c r="AB19" s="548">
        <f>SUMIFS(BS_RE33!$H$7:$H$874,BS_RE33!$S$7:$S$874,$AB$2,BS_RE33!$N$7:$N$874,I19,BS_RE33!$P$7:$P$874,'30 days CF Table(JPY)'!G19,BS_RE33!$F$7:$F$874,'30 days CF Table(JPY)'!$C$2)</f>
        <v>0</v>
      </c>
      <c r="AC19" s="548">
        <f>SUMIFS(BS_RE33!$H$7:$H$874,BS_RE33!$S$7:$S$874,$AC$2,BS_RE33!$N$7:$N$874,I19,BS_RE33!$P$7:$P$874,'30 days CF Table(JPY)'!G19,BS_RE33!$F$7:$F$874,'30 days CF Table(JPY)'!$C$2)</f>
        <v>0</v>
      </c>
      <c r="AD19" s="548">
        <f>SUMIFS(BS_RE33!$H$7:$H$874,BS_RE33!$S$7:$S$874,$AD$2,BS_RE33!$N$7:$N$874,I19,BS_RE33!$P$7:$P$874,'30 days CF Table(JPY)'!G19,BS_RE33!$F$7:$F$874,'30 days CF Table(JPY)'!$C$2)</f>
        <v>0</v>
      </c>
      <c r="AE19" s="548">
        <f>SUMIFS(BS_RE33!$H$7:$H$874,BS_RE33!$S$7:$S$874,$AE$2,BS_RE33!$N$7:$N$874,I19,BS_RE33!$P$7:$P$874,'30 days CF Table(JPY)'!G19,BS_RE33!$F$7:$F$874,'30 days CF Table(JPY)'!$C$2)</f>
        <v>0</v>
      </c>
      <c r="AF19" s="548">
        <f>SUMIFS(BS_RE33!$H$7:$H$874,BS_RE33!$S$7:$S$874,$AF$2,BS_RE33!$N$7:$N$874,I19,BS_RE33!$P$7:$P$874,'30 days CF Table(JPY)'!G19,BS_RE33!$F$7:$F$874,'30 days CF Table(JPY)'!$C$2)</f>
        <v>0</v>
      </c>
      <c r="AG19" s="548">
        <f>SUMIFS(BS_RE33!$H$7:$H$874,BS_RE33!$S$7:$S$874,$AG$2,BS_RE33!$N$7:$N$874,I19,BS_RE33!$P$7:$P$874,'30 days CF Table(JPY)'!G19,BS_RE33!$F$7:$F$874,'30 days CF Table(JPY)'!$C$2)</f>
        <v>0</v>
      </c>
      <c r="AH19" s="548">
        <f>SUMIFS(BS_RE33!$H$7:$H$874,BS_RE33!$S$7:$S$874,$AH$2,BS_RE33!$N$7:$N$874,I19,BS_RE33!$P$7:$P$874,'30 days CF Table(JPY)'!G19,BS_RE33!$F$7:$F$874,'30 days CF Table(JPY)'!$C$2)</f>
        <v>0</v>
      </c>
      <c r="AI19" s="548">
        <f>SUMIFS(BS_RE33!$H$7:$H$874,BS_RE33!$S$7:$S$874,$AI$2,BS_RE33!$N$7:$N$874,I19,BS_RE33!$P$7:$P$874,'30 days CF Table(JPY)'!G19,BS_RE33!$F$7:$F$874,'30 days CF Table(JPY)'!$C$2)</f>
        <v>0</v>
      </c>
      <c r="AJ19" s="548">
        <f>SUMIFS(BS_RE33!$H$7:$H$874,BS_RE33!$S$7:$S$874,$AJ$2,BS_RE33!$N$7:$N$874,I19,BS_RE33!$P$7:$P$874,'30 days CF Table(JPY)'!G19,BS_RE33!$F$7:$F$874,'30 days CF Table(JPY)'!$C$2)</f>
        <v>0</v>
      </c>
      <c r="AK19" s="548">
        <f>SUMIFS(BS_RE33!$H$7:$H$874,BS_RE33!$S$7:$S$874,$AK$2,BS_RE33!$N$7:$N$874,I19,BS_RE33!$P$7:$P$874,'30 days CF Table(JPY)'!G19,BS_RE33!$F$7:$F$874,'30 days CF Table(JPY)'!$C$2)</f>
        <v>0</v>
      </c>
      <c r="AL19" s="548">
        <f>SUMIFS(BS_RE33!$H$7:$H$874,BS_RE33!$S$7:$S$874,$AL$2,BS_RE33!$N$7:$N$874,I19,BS_RE33!$P$7:$P$874,'30 days CF Table(JPY)'!G19,BS_RE33!$F$7:$F$874,'30 days CF Table(JPY)'!$C$2)</f>
        <v>0</v>
      </c>
      <c r="AM19" s="548">
        <f>SUMIFS(BS_RE33!$H$7:$H$874,BS_RE33!$S$7:$S$874,$AM$2,BS_RE33!$N$7:$N$874,I19,BS_RE33!$P$7:$P$874,'30 days CF Table(JPY)'!G19,BS_RE33!$F$7:$F$874,'30 days CF Table(JPY)'!$C$2)</f>
        <v>0</v>
      </c>
      <c r="AN19" s="548">
        <f>SUMIFS(BS_RE33!$H$7:$H$874,BS_RE33!$S$7:$S$874,$AN$2,BS_RE33!$N$7:$N$874,I19,BS_RE33!$P$7:$P$874,'30 days CF Table(JPY)'!G19,BS_RE33!$F$7:$F$874,'30 days CF Table(JPY)'!$C$2)</f>
        <v>0</v>
      </c>
      <c r="AO19" s="548">
        <f>SUMIFS(BS_RE33!$H$7:$H$874,BS_RE33!$S$7:$S$874,$AO$2,BS_RE33!$N$7:$N$874,I19,BS_RE33!$P$7:$P$874,'30 days CF Table(JPY)'!G19,BS_RE33!$F$7:$F$874,'30 days CF Table(JPY)'!$C$2)</f>
        <v>0</v>
      </c>
      <c r="AP19" s="549">
        <f>SUMIFS(BS_RE33!$H$7:$H$874,BS_RE33!$S$7:$S$874,$AP$2,BS_RE33!$N$7:$N$874,I19,BS_RE33!$P$7:$P$874,'30 days CF Table(JPY)'!G19,BS_RE33!$F$7:$F$874,'30 days CF Table(JPY)'!$C$2)</f>
        <v>0</v>
      </c>
      <c r="AQ19" s="550"/>
      <c r="AR19" s="380">
        <f>SUMIFS(BS_RE33!$H$7:$H$874,BS_RE33!$S$7:$S$874,$AR$2,BS_RE33!$N$7:$N$874,I19,BS_RE33!$P$7:$P$874,'30 days CF Table(JPY)'!G19,BS_RE33!$F$7:$F$874,'30 days CF Table(JPY)'!$C$2)</f>
        <v>0</v>
      </c>
      <c r="AS19" s="380">
        <f>SUMIFS(BS_RE33!$H$7:$H$874,BS_RE33!$S$7:$S$874,$AS$2,BS_RE33!$N$7:$N$874,I19,BS_RE33!$P$7:$P$874,'30 days CF Table(JPY)'!G19,BS_RE33!$F$7:$F$874,'30 days CF Table(JPY)'!$C$2)</f>
        <v>0</v>
      </c>
      <c r="AT19" s="380">
        <f>SUMIFS(BS_RE33!$H$7:$H$874,BS_RE33!$S$7:$S$874,$AT$2,BS_RE33!$N$7:$N$874,I19,BS_RE33!$P$7:$P$874,'30 days CF Table(JPY)'!G19,BS_RE33!$F$7:$F$874,'30 days CF Table(JPY)'!$C$2)</f>
        <v>0</v>
      </c>
      <c r="AU19" s="380">
        <f>SUMIFS(BS_RE33!$H$7:$H$874,BS_RE33!$S$7:$S$874,$AU$2,BS_RE33!$N$7:$N$874,I19,BS_RE33!$P$7:$P$874,'30 days CF Table(JPY)'!G19,BS_RE33!$F$7:$F$874,'30 days CF Table(JPY)'!$C$2)</f>
        <v>0</v>
      </c>
      <c r="AV19" s="380">
        <f>SUMIFS(BS_RE33!$H$7:$H$874,BS_RE33!$S$7:$S$874,$AV$2,BS_RE33!$N$7:$N$874,I19,BS_RE33!$P$7:$P$874,'30 days CF Table(JPY)'!G19,BS_RE33!$F$7:$F$874,'30 days CF Table(JPY)'!$C$2)</f>
        <v>0</v>
      </c>
      <c r="AW19" s="380">
        <f>SUMIFS(BS_RE33!$H$7:$H$874,BS_RE33!$S$7:$S$874,$AW$2,BS_RE33!$N$7:$N$874,I19,BS_RE33!$P$7:$P$874,'30 days CF Table(JPY)'!G19,BS_RE33!$F$7:$F$874,'30 days CF Table(JPY)'!$C$2)</f>
        <v>0</v>
      </c>
      <c r="AX19" s="380">
        <f>SUMIFS(BS_RE33!$H$7:$H$874,BS_RE33!$S$7:$S$874,$AX$2,BS_RE33!$N$7:$N$874,I19,BS_RE33!$P$7:$P$874,'30 days CF Table(JPY)'!G19,BS_RE33!$F$7:$F$874,'30 days CF Table(JPY)'!$C$2)</f>
        <v>0</v>
      </c>
      <c r="AY19" s="380">
        <f>SUMIFS(BS_RE33!$H$7:$H$874,BS_RE33!$S$7:$S$874,$AY$2,BS_RE33!$N$7:$N$874,I19,BS_RE33!$P$7:$P$874,'30 days CF Table(JPY)'!G19,BS_RE33!$F$7:$F$874,'30 days CF Table(JPY)'!$C$2)</f>
        <v>0</v>
      </c>
      <c r="AZ19" s="380">
        <f>SUMIFS(BS_RE33!$H$7:$H$874,BS_RE33!$S$7:$S$874,$AZ$2,BS_RE33!$N$7:$N$874,I19,BS_RE33!$P$7:$P$874,'30 days CF Table(JPY)'!G19,BS_RE33!$F$7:$F$874,'30 days CF Table(JPY)'!$C$2)</f>
        <v>0</v>
      </c>
      <c r="BA19" s="380">
        <f>SUMIFS(BS_RE33!$H$7:$H$874,BS_RE33!$S$7:$S$874,$BA$2,BS_RE33!$N$7:$N$874,I19,BS_RE33!$P$7:$P$874,'30 days CF Table(JPY)'!G19,BS_RE33!$F$7:$F$874,'30 days CF Table(JPY)'!$C$2)</f>
        <v>0</v>
      </c>
      <c r="BB19" s="380">
        <f>SUMIFS(BS_RE33!$H$7:$H$874,BS_RE33!$S$7:$S$874,$BB$2,BS_RE33!$N$7:$N$874,I19,BS_RE33!$P$7:$P$874,'30 days CF Table(JPY)'!G19,BS_RE33!$F$7:$F$874,'30 days CF Table(JPY)'!$C$2)</f>
        <v>0</v>
      </c>
      <c r="BC19" s="380">
        <f>SUMIFS(BS_RE33!$H$7:$H$874,BS_RE33!$S$7:$S$874,$BC$2,BS_RE33!$N$7:$N$874,I19,BS_RE33!$P$7:$P$874,'30 days CF Table(JPY)'!G19,BS_RE33!$F$7:$F$874,'30 days CF Table(JPY)'!$C$2)</f>
        <v>0</v>
      </c>
      <c r="BD19" s="380">
        <f>SUMIFS(BS_RE33!$H$7:$H$874,BS_RE33!$S$7:$S$874,$BD$2,BS_RE33!$N$7:$N$874,I19,BS_RE33!$P$7:$P$874,'30 days CF Table(JPY)'!G19,BS_RE33!$F$7:$F$874,'30 days CF Table(JPY)'!$C$2)</f>
        <v>0</v>
      </c>
      <c r="BE19" s="380">
        <f>SUMIFS(BS_RE33!$H$7:$H$874,BS_RE33!$S$7:$S$874,$BE$2,BS_RE33!$N$7:$N$874,I19,BS_RE33!$P$7:$P$874,'30 days CF Table(JPY)'!G19,BS_RE33!$F$7:$F$874,'30 days CF Table(JPY)'!$C$2)</f>
        <v>0</v>
      </c>
      <c r="BF19" s="380">
        <f>SUMIFS(BS_RE33!$H$7:$H$874,BS_RE33!$S$7:$S$874,$BF$2,BS_RE33!$N$7:$N$874,I19,BS_RE33!$P$7:$P$874,'30 days CF Table(JPY)'!G19,BS_RE33!$F$7:$F$874,'30 days CF Table(JPY)'!$C$2)</f>
        <v>0</v>
      </c>
      <c r="BG19" s="380">
        <f>SUMIFS(BS_RE33!$H$7:$H$874,BS_RE33!$S$7:$S$874,$BG$2,BS_RE33!$N$7:$N$874,I19,BS_RE33!$P$7:$P$874,'30 days CF Table(JPY)'!G19,BS_RE33!$F$7:$F$874,'30 days CF Table(JPY)'!$C$2)</f>
        <v>0</v>
      </c>
      <c r="BH19" s="380">
        <f>SUMIFS(BS_RE33!$H$7:$H$874,BS_RE33!$S$7:$S$874,$BH$2,BS_RE33!$N$7:$N$874,I19,BS_RE33!$P$7:$P$874,'30 days CF Table(JPY)'!G19,BS_RE33!$F$7:$F$874,'30 days CF Table(JPY)'!$C$2)</f>
        <v>0</v>
      </c>
      <c r="BI19" s="380">
        <f>SUMIFS(BS_RE33!$H$7:$H$874,BS_RE33!$S$7:$S$874,$BI$2,BS_RE33!$N$7:$N$874,I19,BS_RE33!$P$7:$P$874,'30 days CF Table(JPY)'!G19,BS_RE33!$F$7:$F$874,'30 days CF Table(JPY)'!$C$2)</f>
        <v>0</v>
      </c>
      <c r="BJ19" s="380">
        <f>SUMIFS(BS_RE33!$H$7:$H$874,BS_RE33!$S$7:$S$874,$BJ$2,BS_RE33!$N$7:$N$874,I19,BS_RE33!$P$7:$P$874,'30 days CF Table(JPY)'!G19,BS_RE33!$F$7:$F$874,'30 days CF Table(JPY)'!$C$2)</f>
        <v>0</v>
      </c>
      <c r="BK19" s="380">
        <f>SUMIFS(BS_RE33!$H$7:$H$874,BS_RE33!$S$7:$S$874,$BK$2,BS_RE33!$N$7:$N$874,I19,BS_RE33!$P$7:$P$874,'30 days CF Table(JPY)'!G19,BS_RE33!$F$7:$F$874,'30 days CF Table(JPY)'!$C$2)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Table(JPY)'!G20,BS_RE33!$F$7:$F$874,'30 days CF Table(JPY)'!$C$2)</f>
        <v>0</v>
      </c>
      <c r="M20" s="548">
        <f>SUMIFS(BS_RE33!$H$7:$H$874,BS_RE33!$S$7:$S$874,$M$2,BS_RE33!$N$7:$N$874,I20,BS_RE33!$P$7:$P$874,'30 days CF Table(JPY)'!G20,BS_RE33!$F$7:$F$874,'30 days CF Table(JPY)'!$C$2)</f>
        <v>0</v>
      </c>
      <c r="N20" s="548">
        <f>SUMIFS(BS_RE33!$H$7:$H$874,BS_RE33!$S$7:$S$874,$N$2,BS_RE33!$N$7:$N$874,I20,BS_RE33!$P$7:$P$874,'30 days CF Table(JPY)'!G20,BS_RE33!$F$7:$F$874,'30 days CF Table(JPY)'!$C$2)</f>
        <v>0</v>
      </c>
      <c r="O20" s="548">
        <f>SUMIFS(BS_RE33!$H$7:$H$874,BS_RE33!$S$7:$S$874,$O$2,BS_RE33!$N$7:$N$874,I20,BS_RE33!$P$7:$P$874,'30 days CF Table(JPY)'!G20,BS_RE33!$F$7:$F$874,'30 days CF Table(JPY)'!$C$2)</f>
        <v>0</v>
      </c>
      <c r="P20" s="548">
        <f>SUMIFS(BS_RE33!$H$7:$H$874,BS_RE33!$S$7:$S$874,$P$2,BS_RE33!$N$7:$N$874,I20,BS_RE33!$P$7:$P$874,'30 days CF Table(JPY)'!G20,BS_RE33!$F$7:$F$874,'30 days CF Table(JPY)'!$C$2)</f>
        <v>0</v>
      </c>
      <c r="Q20" s="548">
        <f>SUMIFS(BS_RE33!$H$7:$H$874,BS_RE33!$S$7:$S$874,$Q$2,BS_RE33!$N$7:$N$874,I20,BS_RE33!$P$7:$P$874,'30 days CF Table(JPY)'!G20,BS_RE33!$F$7:$F$874,'30 days CF Table(JPY)'!$C$2)</f>
        <v>0</v>
      </c>
      <c r="R20" s="548">
        <f>SUMIFS(BS_RE33!$H$7:$H$874,BS_RE33!$S$7:$S$874,$R$2,BS_RE33!$N$7:$N$874,I20,BS_RE33!$P$7:$P$874,'30 days CF Table(JPY)'!G20,BS_RE33!$F$7:$F$874,'30 days CF Table(JPY)'!$C$2)</f>
        <v>0</v>
      </c>
      <c r="S20" s="548">
        <f>SUMIFS(BS_RE33!$H$7:$H$874,BS_RE33!$S$7:$S$874,$S$2,BS_RE33!$N$7:$N$874,I20,BS_RE33!$P$7:$P$874,'30 days CF Table(JPY)'!G20,BS_RE33!$F$7:$F$874,'30 days CF Table(JPY)'!$C$2)</f>
        <v>0</v>
      </c>
      <c r="T20" s="548">
        <f>SUMIFS(BS_RE33!$H$7:$H$874,BS_RE33!$S$7:$S$874,$T$2,BS_RE33!$N$7:$N$874,I20,BS_RE33!$P$7:$P$874,'30 days CF Table(JPY)'!G20,BS_RE33!$F$7:$F$874,'30 days CF Table(JPY)'!$C$2)</f>
        <v>0</v>
      </c>
      <c r="U20" s="548">
        <f>SUMIFS(BS_RE33!$H$7:$H$874,BS_RE33!$S$7:$S$874,$U$2,BS_RE33!$N$7:$N$874,I20,BS_RE33!$P$7:$P$874,'30 days CF Table(JPY)'!G20,BS_RE33!$F$7:$F$874,'30 days CF Table(JPY)'!$C$2)</f>
        <v>0</v>
      </c>
      <c r="V20" s="548">
        <f>SUMIFS(BS_RE33!$H$7:$H$874,BS_RE33!$S$7:$S$874,$V$2,BS_RE33!$N$7:$N$874,I20,BS_RE33!$P$7:$P$874,'30 days CF Table(JPY)'!G20,BS_RE33!$F$7:$F$874,'30 days CF Table(JPY)'!$C$2)</f>
        <v>0</v>
      </c>
      <c r="W20" s="548">
        <f>SUMIFS(BS_RE33!$H$7:$H$874,BS_RE33!$S$7:$S$874,$W$2,BS_RE33!$N$7:$N$874,I20,BS_RE33!$P$7:$P$874,'30 days CF Table(JPY)'!G20,BS_RE33!$F$7:$F$874,'30 days CF Table(JPY)'!$C$2)</f>
        <v>0</v>
      </c>
      <c r="X20" s="548">
        <f>SUMIFS(BS_RE33!$H$7:$H$874,BS_RE33!$S$7:$S$874,$X$2,BS_RE33!$N$7:$N$874,I20,BS_RE33!$P$7:$P$874,'30 days CF Table(JPY)'!G20,BS_RE33!$F$7:$F$874,'30 days CF Table(JPY)'!$C$2)</f>
        <v>0</v>
      </c>
      <c r="Y20" s="548">
        <f>SUMIFS(BS_RE33!$H$7:$H$874,BS_RE33!$S$7:$S$874,$Y$2,BS_RE33!$N$7:$N$874,I20,BS_RE33!$P$7:$P$874,'30 days CF Table(JPY)'!G20,BS_RE33!$F$7:$F$874,'30 days CF Table(JPY)'!$C$2)</f>
        <v>0</v>
      </c>
      <c r="Z20" s="548">
        <f>SUMIFS(BS_RE33!$H$7:$H$874,BS_RE33!$S$7:$S$874,$Z$2,BS_RE33!$N$7:$N$874,I20,BS_RE33!$P$7:$P$874,'30 days CF Table(JPY)'!G20,BS_RE33!$F$7:$F$874,'30 days CF Table(JPY)'!$C$2)</f>
        <v>0</v>
      </c>
      <c r="AA20" s="548">
        <f>SUMIFS(BS_RE33!$H$7:$H$874,BS_RE33!$S$7:$S$874,$AA$2,BS_RE33!$N$7:$N$874,I20,BS_RE33!$P$7:$P$874,'30 days CF Table(JPY)'!G20,BS_RE33!$F$7:$F$874,'30 days CF Table(JPY)'!$C$2)</f>
        <v>0</v>
      </c>
      <c r="AB20" s="548">
        <f>SUMIFS(BS_RE33!$H$7:$H$874,BS_RE33!$S$7:$S$874,$AB$2,BS_RE33!$N$7:$N$874,I20,BS_RE33!$P$7:$P$874,'30 days CF Table(JPY)'!G20,BS_RE33!$F$7:$F$874,'30 days CF Table(JPY)'!$C$2)</f>
        <v>0</v>
      </c>
      <c r="AC20" s="548">
        <f>SUMIFS(BS_RE33!$H$7:$H$874,BS_RE33!$S$7:$S$874,$AC$2,BS_RE33!$N$7:$N$874,I20,BS_RE33!$P$7:$P$874,'30 days CF Table(JPY)'!G20,BS_RE33!$F$7:$F$874,'30 days CF Table(JPY)'!$C$2)</f>
        <v>0</v>
      </c>
      <c r="AD20" s="548">
        <f>SUMIFS(BS_RE33!$H$7:$H$874,BS_RE33!$S$7:$S$874,$AD$2,BS_RE33!$N$7:$N$874,I20,BS_RE33!$P$7:$P$874,'30 days CF Table(JPY)'!G20,BS_RE33!$F$7:$F$874,'30 days CF Table(JPY)'!$C$2)</f>
        <v>0</v>
      </c>
      <c r="AE20" s="548">
        <f>SUMIFS(BS_RE33!$H$7:$H$874,BS_RE33!$S$7:$S$874,$AE$2,BS_RE33!$N$7:$N$874,I20,BS_RE33!$P$7:$P$874,'30 days CF Table(JPY)'!G20,BS_RE33!$F$7:$F$874,'30 days CF Table(JPY)'!$C$2)</f>
        <v>0</v>
      </c>
      <c r="AF20" s="548">
        <f>SUMIFS(BS_RE33!$H$7:$H$874,BS_RE33!$S$7:$S$874,$AF$2,BS_RE33!$N$7:$N$874,I20,BS_RE33!$P$7:$P$874,'30 days CF Table(JPY)'!G20,BS_RE33!$F$7:$F$874,'30 days CF Table(JPY)'!$C$2)</f>
        <v>0</v>
      </c>
      <c r="AG20" s="548">
        <f>SUMIFS(BS_RE33!$H$7:$H$874,BS_RE33!$S$7:$S$874,$AG$2,BS_RE33!$N$7:$N$874,I20,BS_RE33!$P$7:$P$874,'30 days CF Table(JPY)'!G20,BS_RE33!$F$7:$F$874,'30 days CF Table(JPY)'!$C$2)</f>
        <v>0</v>
      </c>
      <c r="AH20" s="548">
        <f>SUMIFS(BS_RE33!$H$7:$H$874,BS_RE33!$S$7:$S$874,$AH$2,BS_RE33!$N$7:$N$874,I20,BS_RE33!$P$7:$P$874,'30 days CF Table(JPY)'!G20,BS_RE33!$F$7:$F$874,'30 days CF Table(JPY)'!$C$2)</f>
        <v>0</v>
      </c>
      <c r="AI20" s="548">
        <f>SUMIFS(BS_RE33!$H$7:$H$874,BS_RE33!$S$7:$S$874,$AI$2,BS_RE33!$N$7:$N$874,I20,BS_RE33!$P$7:$P$874,'30 days CF Table(JPY)'!G20,BS_RE33!$F$7:$F$874,'30 days CF Table(JPY)'!$C$2)</f>
        <v>0</v>
      </c>
      <c r="AJ20" s="548">
        <f>SUMIFS(BS_RE33!$H$7:$H$874,BS_RE33!$S$7:$S$874,$AJ$2,BS_RE33!$N$7:$N$874,I20,BS_RE33!$P$7:$P$874,'30 days CF Table(JPY)'!G20,BS_RE33!$F$7:$F$874,'30 days CF Table(JPY)'!$C$2)</f>
        <v>0</v>
      </c>
      <c r="AK20" s="548">
        <f>SUMIFS(BS_RE33!$H$7:$H$874,BS_RE33!$S$7:$S$874,$AK$2,BS_RE33!$N$7:$N$874,I20,BS_RE33!$P$7:$P$874,'30 days CF Table(JPY)'!G20,BS_RE33!$F$7:$F$874,'30 days CF Table(JPY)'!$C$2)</f>
        <v>0</v>
      </c>
      <c r="AL20" s="548">
        <f>SUMIFS(BS_RE33!$H$7:$H$874,BS_RE33!$S$7:$S$874,$AL$2,BS_RE33!$N$7:$N$874,I20,BS_RE33!$P$7:$P$874,'30 days CF Table(JPY)'!G20,BS_RE33!$F$7:$F$874,'30 days CF Table(JPY)'!$C$2)</f>
        <v>0</v>
      </c>
      <c r="AM20" s="548">
        <f>SUMIFS(BS_RE33!$H$7:$H$874,BS_RE33!$S$7:$S$874,$AM$2,BS_RE33!$N$7:$N$874,I20,BS_RE33!$P$7:$P$874,'30 days CF Table(JPY)'!G20,BS_RE33!$F$7:$F$874,'30 days CF Table(JPY)'!$C$2)</f>
        <v>0</v>
      </c>
      <c r="AN20" s="548">
        <f>SUMIFS(BS_RE33!$H$7:$H$874,BS_RE33!$S$7:$S$874,$AN$2,BS_RE33!$N$7:$N$874,I20,BS_RE33!$P$7:$P$874,'30 days CF Table(JPY)'!G20,BS_RE33!$F$7:$F$874,'30 days CF Table(JPY)'!$C$2)</f>
        <v>0</v>
      </c>
      <c r="AO20" s="548">
        <f>SUMIFS(BS_RE33!$H$7:$H$874,BS_RE33!$S$7:$S$874,$AO$2,BS_RE33!$N$7:$N$874,I20,BS_RE33!$P$7:$P$874,'30 days CF Table(JPY)'!G20,BS_RE33!$F$7:$F$874,'30 days CF Table(JPY)'!$C$2)</f>
        <v>0</v>
      </c>
      <c r="AP20" s="549">
        <f>SUMIFS(BS_RE33!$H$7:$H$874,BS_RE33!$S$7:$S$874,$AP$2,BS_RE33!$N$7:$N$874,I20,BS_RE33!$P$7:$P$874,'30 days CF Table(JPY)'!G20,BS_RE33!$F$7:$F$874,'30 days CF Table(JPY)'!$C$2)</f>
        <v>0</v>
      </c>
      <c r="AQ20" s="550"/>
      <c r="AR20" s="380">
        <f>SUMIFS(BS_RE33!$H$7:$H$874,BS_RE33!$S$7:$S$874,$AR$2,BS_RE33!$N$7:$N$874,I20,BS_RE33!$P$7:$P$874,'30 days CF Table(JPY)'!G20,BS_RE33!$F$7:$F$874,'30 days CF Table(JPY)'!$C$2)</f>
        <v>0</v>
      </c>
      <c r="AS20" s="380">
        <f>SUMIFS(BS_RE33!$H$7:$H$874,BS_RE33!$S$7:$S$874,$AS$2,BS_RE33!$N$7:$N$874,I20,BS_RE33!$P$7:$P$874,'30 days CF Table(JPY)'!G20,BS_RE33!$F$7:$F$874,'30 days CF Table(JPY)'!$C$2)</f>
        <v>0</v>
      </c>
      <c r="AT20" s="380">
        <f>SUMIFS(BS_RE33!$H$7:$H$874,BS_RE33!$S$7:$S$874,$AT$2,BS_RE33!$N$7:$N$874,I20,BS_RE33!$P$7:$P$874,'30 days CF Table(JPY)'!G20,BS_RE33!$F$7:$F$874,'30 days CF Table(JPY)'!$C$2)</f>
        <v>0</v>
      </c>
      <c r="AU20" s="380">
        <f>SUMIFS(BS_RE33!$H$7:$H$874,BS_RE33!$S$7:$S$874,$AU$2,BS_RE33!$N$7:$N$874,I20,BS_RE33!$P$7:$P$874,'30 days CF Table(JPY)'!G20,BS_RE33!$F$7:$F$874,'30 days CF Table(JPY)'!$C$2)</f>
        <v>0</v>
      </c>
      <c r="AV20" s="380">
        <f>SUMIFS(BS_RE33!$H$7:$H$874,BS_RE33!$S$7:$S$874,$AV$2,BS_RE33!$N$7:$N$874,I20,BS_RE33!$P$7:$P$874,'30 days CF Table(JPY)'!G20,BS_RE33!$F$7:$F$874,'30 days CF Table(JPY)'!$C$2)</f>
        <v>0</v>
      </c>
      <c r="AW20" s="380">
        <f>SUMIFS(BS_RE33!$H$7:$H$874,BS_RE33!$S$7:$S$874,$AW$2,BS_RE33!$N$7:$N$874,I20,BS_RE33!$P$7:$P$874,'30 days CF Table(JPY)'!G20,BS_RE33!$F$7:$F$874,'30 days CF Table(JPY)'!$C$2)</f>
        <v>0</v>
      </c>
      <c r="AX20" s="380">
        <f>SUMIFS(BS_RE33!$H$7:$H$874,BS_RE33!$S$7:$S$874,$AX$2,BS_RE33!$N$7:$N$874,I20,BS_RE33!$P$7:$P$874,'30 days CF Table(JPY)'!G20,BS_RE33!$F$7:$F$874,'30 days CF Table(JPY)'!$C$2)</f>
        <v>0</v>
      </c>
      <c r="AY20" s="380">
        <f>SUMIFS(BS_RE33!$H$7:$H$874,BS_RE33!$S$7:$S$874,$AY$2,BS_RE33!$N$7:$N$874,I20,BS_RE33!$P$7:$P$874,'30 days CF Table(JPY)'!G20,BS_RE33!$F$7:$F$874,'30 days CF Table(JPY)'!$C$2)</f>
        <v>0</v>
      </c>
      <c r="AZ20" s="380">
        <f>SUMIFS(BS_RE33!$H$7:$H$874,BS_RE33!$S$7:$S$874,$AZ$2,BS_RE33!$N$7:$N$874,I20,BS_RE33!$P$7:$P$874,'30 days CF Table(JPY)'!G20,BS_RE33!$F$7:$F$874,'30 days CF Table(JPY)'!$C$2)</f>
        <v>0</v>
      </c>
      <c r="BA20" s="380">
        <f>SUMIFS(BS_RE33!$H$7:$H$874,BS_RE33!$S$7:$S$874,$BA$2,BS_RE33!$N$7:$N$874,I20,BS_RE33!$P$7:$P$874,'30 days CF Table(JPY)'!G20,BS_RE33!$F$7:$F$874,'30 days CF Table(JPY)'!$C$2)</f>
        <v>0</v>
      </c>
      <c r="BB20" s="380">
        <f>SUMIFS(BS_RE33!$H$7:$H$874,BS_RE33!$S$7:$S$874,$BB$2,BS_RE33!$N$7:$N$874,I20,BS_RE33!$P$7:$P$874,'30 days CF Table(JPY)'!G20,BS_RE33!$F$7:$F$874,'30 days CF Table(JPY)'!$C$2)</f>
        <v>0</v>
      </c>
      <c r="BC20" s="380">
        <f>SUMIFS(BS_RE33!$H$7:$H$874,BS_RE33!$S$7:$S$874,$BC$2,BS_RE33!$N$7:$N$874,I20,BS_RE33!$P$7:$P$874,'30 days CF Table(JPY)'!G20,BS_RE33!$F$7:$F$874,'30 days CF Table(JPY)'!$C$2)</f>
        <v>0</v>
      </c>
      <c r="BD20" s="380">
        <f>SUMIFS(BS_RE33!$H$7:$H$874,BS_RE33!$S$7:$S$874,$BD$2,BS_RE33!$N$7:$N$874,I20,BS_RE33!$P$7:$P$874,'30 days CF Table(JPY)'!G20,BS_RE33!$F$7:$F$874,'30 days CF Table(JPY)'!$C$2)</f>
        <v>0</v>
      </c>
      <c r="BE20" s="380">
        <f>SUMIFS(BS_RE33!$H$7:$H$874,BS_RE33!$S$7:$S$874,$BE$2,BS_RE33!$N$7:$N$874,I20,BS_RE33!$P$7:$P$874,'30 days CF Table(JPY)'!G20,BS_RE33!$F$7:$F$874,'30 days CF Table(JPY)'!$C$2)</f>
        <v>0</v>
      </c>
      <c r="BF20" s="380">
        <f>SUMIFS(BS_RE33!$H$7:$H$874,BS_RE33!$S$7:$S$874,$BF$2,BS_RE33!$N$7:$N$874,I20,BS_RE33!$P$7:$P$874,'30 days CF Table(JPY)'!G20,BS_RE33!$F$7:$F$874,'30 days CF Table(JPY)'!$C$2)</f>
        <v>0</v>
      </c>
      <c r="BG20" s="380">
        <f>SUMIFS(BS_RE33!$H$7:$H$874,BS_RE33!$S$7:$S$874,$BG$2,BS_RE33!$N$7:$N$874,I20,BS_RE33!$P$7:$P$874,'30 days CF Table(JPY)'!G20,BS_RE33!$F$7:$F$874,'30 days CF Table(JPY)'!$C$2)</f>
        <v>0</v>
      </c>
      <c r="BH20" s="380">
        <f>SUMIFS(BS_RE33!$H$7:$H$874,BS_RE33!$S$7:$S$874,$BH$2,BS_RE33!$N$7:$N$874,I20,BS_RE33!$P$7:$P$874,'30 days CF Table(JPY)'!G20,BS_RE33!$F$7:$F$874,'30 days CF Table(JPY)'!$C$2)</f>
        <v>0</v>
      </c>
      <c r="BI20" s="380">
        <f>SUMIFS(BS_RE33!$H$7:$H$874,BS_RE33!$S$7:$S$874,$BI$2,BS_RE33!$N$7:$N$874,I20,BS_RE33!$P$7:$P$874,'30 days CF Table(JPY)'!G20,BS_RE33!$F$7:$F$874,'30 days CF Table(JPY)'!$C$2)</f>
        <v>0</v>
      </c>
      <c r="BJ20" s="380">
        <f>SUMIFS(BS_RE33!$H$7:$H$874,BS_RE33!$S$7:$S$874,$BJ$2,BS_RE33!$N$7:$N$874,I20,BS_RE33!$P$7:$P$874,'30 days CF Table(JPY)'!G20,BS_RE33!$F$7:$F$874,'30 days CF Table(JPY)'!$C$2)</f>
        <v>0</v>
      </c>
      <c r="BK20" s="380">
        <f>SUMIFS(BS_RE33!$H$7:$H$874,BS_RE33!$S$7:$S$874,$BK$2,BS_RE33!$N$7:$N$874,I20,BS_RE33!$P$7:$P$874,'30 days CF Table(JPY)'!G20,BS_RE33!$F$7:$F$874,'30 days CF Table(JPY)'!$C$2)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Table(JPY)'!G21,BS_RE33!$F$7:$F$874,'30 days CF Table(JPY)'!$C$2)</f>
        <v>0</v>
      </c>
      <c r="M21" s="548">
        <f>SUMIFS(BS_RE33!$H$7:$H$874,BS_RE33!$S$7:$S$874,$M$2,BS_RE33!$N$7:$N$874,I21,BS_RE33!$P$7:$P$874,'30 days CF Table(JPY)'!G21,BS_RE33!$F$7:$F$874,'30 days CF Table(JPY)'!$C$2)</f>
        <v>0</v>
      </c>
      <c r="N21" s="548">
        <f>SUMIFS(BS_RE33!$H$7:$H$874,BS_RE33!$S$7:$S$874,$N$2,BS_RE33!$N$7:$N$874,I21,BS_RE33!$P$7:$P$874,'30 days CF Table(JPY)'!G21,BS_RE33!$F$7:$F$874,'30 days CF Table(JPY)'!$C$2)</f>
        <v>0</v>
      </c>
      <c r="O21" s="548">
        <f>SUMIFS(BS_RE33!$H$7:$H$874,BS_RE33!$S$7:$S$874,$O$2,BS_RE33!$N$7:$N$874,I21,BS_RE33!$P$7:$P$874,'30 days CF Table(JPY)'!G21,BS_RE33!$F$7:$F$874,'30 days CF Table(JPY)'!$C$2)</f>
        <v>0</v>
      </c>
      <c r="P21" s="548">
        <f>SUMIFS(BS_RE33!$H$7:$H$874,BS_RE33!$S$7:$S$874,$P$2,BS_RE33!$N$7:$N$874,I21,BS_RE33!$P$7:$P$874,'30 days CF Table(JPY)'!G21,BS_RE33!$F$7:$F$874,'30 days CF Table(JPY)'!$C$2)</f>
        <v>0</v>
      </c>
      <c r="Q21" s="548">
        <f>SUMIFS(BS_RE33!$H$7:$H$874,BS_RE33!$S$7:$S$874,$Q$2,BS_RE33!$N$7:$N$874,I21,BS_RE33!$P$7:$P$874,'30 days CF Table(JPY)'!G21,BS_RE33!$F$7:$F$874,'30 days CF Table(JPY)'!$C$2)</f>
        <v>0</v>
      </c>
      <c r="R21" s="548">
        <f>SUMIFS(BS_RE33!$H$7:$H$874,BS_RE33!$S$7:$S$874,$R$2,BS_RE33!$N$7:$N$874,I21,BS_RE33!$P$7:$P$874,'30 days CF Table(JPY)'!G21,BS_RE33!$F$7:$F$874,'30 days CF Table(JPY)'!$C$2)</f>
        <v>0</v>
      </c>
      <c r="S21" s="548">
        <f>SUMIFS(BS_RE33!$H$7:$H$874,BS_RE33!$S$7:$S$874,$S$2,BS_RE33!$N$7:$N$874,I21,BS_RE33!$P$7:$P$874,'30 days CF Table(JPY)'!G21,BS_RE33!$F$7:$F$874,'30 days CF Table(JPY)'!$C$2)</f>
        <v>0</v>
      </c>
      <c r="T21" s="548">
        <f>SUMIFS(BS_RE33!$H$7:$H$874,BS_RE33!$S$7:$S$874,$T$2,BS_RE33!$N$7:$N$874,I21,BS_RE33!$P$7:$P$874,'30 days CF Table(JPY)'!G21,BS_RE33!$F$7:$F$874,'30 days CF Table(JPY)'!$C$2)</f>
        <v>0</v>
      </c>
      <c r="U21" s="548">
        <f>SUMIFS(BS_RE33!$H$7:$H$874,BS_RE33!$S$7:$S$874,$U$2,BS_RE33!$N$7:$N$874,I21,BS_RE33!$P$7:$P$874,'30 days CF Table(JPY)'!G21,BS_RE33!$F$7:$F$874,'30 days CF Table(JPY)'!$C$2)</f>
        <v>0</v>
      </c>
      <c r="V21" s="548">
        <f>SUMIFS(BS_RE33!$H$7:$H$874,BS_RE33!$S$7:$S$874,$V$2,BS_RE33!$N$7:$N$874,I21,BS_RE33!$P$7:$P$874,'30 days CF Table(JPY)'!G21,BS_RE33!$F$7:$F$874,'30 days CF Table(JPY)'!$C$2)</f>
        <v>0</v>
      </c>
      <c r="W21" s="548">
        <f>SUMIFS(BS_RE33!$H$7:$H$874,BS_RE33!$S$7:$S$874,$W$2,BS_RE33!$N$7:$N$874,I21,BS_RE33!$P$7:$P$874,'30 days CF Table(JPY)'!G21,BS_RE33!$F$7:$F$874,'30 days CF Table(JPY)'!$C$2)</f>
        <v>0</v>
      </c>
      <c r="X21" s="548">
        <f>SUMIFS(BS_RE33!$H$7:$H$874,BS_RE33!$S$7:$S$874,$X$2,BS_RE33!$N$7:$N$874,I21,BS_RE33!$P$7:$P$874,'30 days CF Table(JPY)'!G21,BS_RE33!$F$7:$F$874,'30 days CF Table(JPY)'!$C$2)</f>
        <v>0</v>
      </c>
      <c r="Y21" s="548">
        <f>SUMIFS(BS_RE33!$H$7:$H$874,BS_RE33!$S$7:$S$874,$Y$2,BS_RE33!$N$7:$N$874,I21,BS_RE33!$P$7:$P$874,'30 days CF Table(JPY)'!G21,BS_RE33!$F$7:$F$874,'30 days CF Table(JPY)'!$C$2)</f>
        <v>0</v>
      </c>
      <c r="Z21" s="548">
        <f>SUMIFS(BS_RE33!$H$7:$H$874,BS_RE33!$S$7:$S$874,$Z$2,BS_RE33!$N$7:$N$874,I21,BS_RE33!$P$7:$P$874,'30 days CF Table(JPY)'!G21,BS_RE33!$F$7:$F$874,'30 days CF Table(JPY)'!$C$2)</f>
        <v>0</v>
      </c>
      <c r="AA21" s="548">
        <f>SUMIFS(BS_RE33!$H$7:$H$874,BS_RE33!$S$7:$S$874,$AA$2,BS_RE33!$N$7:$N$874,I21,BS_RE33!$P$7:$P$874,'30 days CF Table(JPY)'!G21,BS_RE33!$F$7:$F$874,'30 days CF Table(JPY)'!$C$2)</f>
        <v>0</v>
      </c>
      <c r="AB21" s="548">
        <f>SUMIFS(BS_RE33!$H$7:$H$874,BS_RE33!$S$7:$S$874,$AB$2,BS_RE33!$N$7:$N$874,I21,BS_RE33!$P$7:$P$874,'30 days CF Table(JPY)'!G21,BS_RE33!$F$7:$F$874,'30 days CF Table(JPY)'!$C$2)</f>
        <v>0</v>
      </c>
      <c r="AC21" s="548">
        <f>SUMIFS(BS_RE33!$H$7:$H$874,BS_RE33!$S$7:$S$874,$AC$2,BS_RE33!$N$7:$N$874,I21,BS_RE33!$P$7:$P$874,'30 days CF Table(JPY)'!G21,BS_RE33!$F$7:$F$874,'30 days CF Table(JPY)'!$C$2)</f>
        <v>0</v>
      </c>
      <c r="AD21" s="548">
        <f>SUMIFS(BS_RE33!$H$7:$H$874,BS_RE33!$S$7:$S$874,$AD$2,BS_RE33!$N$7:$N$874,I21,BS_RE33!$P$7:$P$874,'30 days CF Table(JPY)'!G21,BS_RE33!$F$7:$F$874,'30 days CF Table(JPY)'!$C$2)</f>
        <v>0</v>
      </c>
      <c r="AE21" s="548">
        <f>SUMIFS(BS_RE33!$H$7:$H$874,BS_RE33!$S$7:$S$874,$AE$2,BS_RE33!$N$7:$N$874,I21,BS_RE33!$P$7:$P$874,'30 days CF Table(JPY)'!G21,BS_RE33!$F$7:$F$874,'30 days CF Table(JPY)'!$C$2)</f>
        <v>0</v>
      </c>
      <c r="AF21" s="548">
        <f>SUMIFS(BS_RE33!$H$7:$H$874,BS_RE33!$S$7:$S$874,$AF$2,BS_RE33!$N$7:$N$874,I21,BS_RE33!$P$7:$P$874,'30 days CF Table(JPY)'!G21,BS_RE33!$F$7:$F$874,'30 days CF Table(JPY)'!$C$2)</f>
        <v>0</v>
      </c>
      <c r="AG21" s="548">
        <f>SUMIFS(BS_RE33!$H$7:$H$874,BS_RE33!$S$7:$S$874,$AG$2,BS_RE33!$N$7:$N$874,I21,BS_RE33!$P$7:$P$874,'30 days CF Table(JPY)'!G21,BS_RE33!$F$7:$F$874,'30 days CF Table(JPY)'!$C$2)</f>
        <v>0</v>
      </c>
      <c r="AH21" s="548">
        <f>SUMIFS(BS_RE33!$H$7:$H$874,BS_RE33!$S$7:$S$874,$AH$2,BS_RE33!$N$7:$N$874,I21,BS_RE33!$P$7:$P$874,'30 days CF Table(JPY)'!G21,BS_RE33!$F$7:$F$874,'30 days CF Table(JPY)'!$C$2)</f>
        <v>0</v>
      </c>
      <c r="AI21" s="548">
        <f>SUMIFS(BS_RE33!$H$7:$H$874,BS_RE33!$S$7:$S$874,$AI$2,BS_RE33!$N$7:$N$874,I21,BS_RE33!$P$7:$P$874,'30 days CF Table(JPY)'!G21,BS_RE33!$F$7:$F$874,'30 days CF Table(JPY)'!$C$2)</f>
        <v>0</v>
      </c>
      <c r="AJ21" s="548">
        <f>SUMIFS(BS_RE33!$H$7:$H$874,BS_RE33!$S$7:$S$874,$AJ$2,BS_RE33!$N$7:$N$874,I21,BS_RE33!$P$7:$P$874,'30 days CF Table(JPY)'!G21,BS_RE33!$F$7:$F$874,'30 days CF Table(JPY)'!$C$2)</f>
        <v>0</v>
      </c>
      <c r="AK21" s="548">
        <f>SUMIFS(BS_RE33!$H$7:$H$874,BS_RE33!$S$7:$S$874,$AK$2,BS_RE33!$N$7:$N$874,I21,BS_RE33!$P$7:$P$874,'30 days CF Table(JPY)'!G21,BS_RE33!$F$7:$F$874,'30 days CF Table(JPY)'!$C$2)</f>
        <v>0</v>
      </c>
      <c r="AL21" s="548">
        <f>SUMIFS(BS_RE33!$H$7:$H$874,BS_RE33!$S$7:$S$874,$AL$2,BS_RE33!$N$7:$N$874,I21,BS_RE33!$P$7:$P$874,'30 days CF Table(JPY)'!G21,BS_RE33!$F$7:$F$874,'30 days CF Table(JPY)'!$C$2)</f>
        <v>0</v>
      </c>
      <c r="AM21" s="548">
        <f>SUMIFS(BS_RE33!$H$7:$H$874,BS_RE33!$S$7:$S$874,$AM$2,BS_RE33!$N$7:$N$874,I21,BS_RE33!$P$7:$P$874,'30 days CF Table(JPY)'!G21,BS_RE33!$F$7:$F$874,'30 days CF Table(JPY)'!$C$2)</f>
        <v>0</v>
      </c>
      <c r="AN21" s="548">
        <f>SUMIFS(BS_RE33!$H$7:$H$874,BS_RE33!$S$7:$S$874,$AN$2,BS_RE33!$N$7:$N$874,I21,BS_RE33!$P$7:$P$874,'30 days CF Table(JPY)'!G21,BS_RE33!$F$7:$F$874,'30 days CF Table(JPY)'!$C$2)</f>
        <v>0</v>
      </c>
      <c r="AO21" s="548">
        <f>SUMIFS(BS_RE33!$H$7:$H$874,BS_RE33!$S$7:$S$874,$AO$2,BS_RE33!$N$7:$N$874,I21,BS_RE33!$P$7:$P$874,'30 days CF Table(JPY)'!G21,BS_RE33!$F$7:$F$874,'30 days CF Table(JPY)'!$C$2)</f>
        <v>0</v>
      </c>
      <c r="AP21" s="549">
        <f>SUMIFS(BS_RE33!$H$7:$H$874,BS_RE33!$S$7:$S$874,$AP$2,BS_RE33!$N$7:$N$874,I21,BS_RE33!$P$7:$P$874,'30 days CF Table(JPY)'!G21,BS_RE33!$F$7:$F$874,'30 days CF Table(JPY)'!$C$2)</f>
        <v>0</v>
      </c>
      <c r="AQ21" s="550"/>
      <c r="AR21" s="380">
        <f>SUMIFS(BS_RE33!$H$7:$H$874,BS_RE33!$S$7:$S$874,$AR$2,BS_RE33!$N$7:$N$874,I21,BS_RE33!$P$7:$P$874,'30 days CF Table(JPY)'!G21,BS_RE33!$F$7:$F$874,'30 days CF Table(JPY)'!$C$2)</f>
        <v>0</v>
      </c>
      <c r="AS21" s="380">
        <f>SUMIFS(BS_RE33!$H$7:$H$874,BS_RE33!$S$7:$S$874,$AS$2,BS_RE33!$N$7:$N$874,I21,BS_RE33!$P$7:$P$874,'30 days CF Table(JPY)'!G21,BS_RE33!$F$7:$F$874,'30 days CF Table(JPY)'!$C$2)</f>
        <v>0</v>
      </c>
      <c r="AT21" s="380">
        <f>SUMIFS(BS_RE33!$H$7:$H$874,BS_RE33!$S$7:$S$874,$AT$2,BS_RE33!$N$7:$N$874,I21,BS_RE33!$P$7:$P$874,'30 days CF Table(JPY)'!G21,BS_RE33!$F$7:$F$874,'30 days CF Table(JPY)'!$C$2)</f>
        <v>0</v>
      </c>
      <c r="AU21" s="380">
        <f>SUMIFS(BS_RE33!$H$7:$H$874,BS_RE33!$S$7:$S$874,$AU$2,BS_RE33!$N$7:$N$874,I21,BS_RE33!$P$7:$P$874,'30 days CF Table(JPY)'!G21,BS_RE33!$F$7:$F$874,'30 days CF Table(JPY)'!$C$2)</f>
        <v>0</v>
      </c>
      <c r="AV21" s="380">
        <f>SUMIFS(BS_RE33!$H$7:$H$874,BS_RE33!$S$7:$S$874,$AV$2,BS_RE33!$N$7:$N$874,I21,BS_RE33!$P$7:$P$874,'30 days CF Table(JPY)'!G21,BS_RE33!$F$7:$F$874,'30 days CF Table(JPY)'!$C$2)</f>
        <v>0</v>
      </c>
      <c r="AW21" s="380">
        <f>SUMIFS(BS_RE33!$H$7:$H$874,BS_RE33!$S$7:$S$874,$AW$2,BS_RE33!$N$7:$N$874,I21,BS_RE33!$P$7:$P$874,'30 days CF Table(JPY)'!G21,BS_RE33!$F$7:$F$874,'30 days CF Table(JPY)'!$C$2)</f>
        <v>0</v>
      </c>
      <c r="AX21" s="380">
        <f>SUMIFS(BS_RE33!$H$7:$H$874,BS_RE33!$S$7:$S$874,$AX$2,BS_RE33!$N$7:$N$874,I21,BS_RE33!$P$7:$P$874,'30 days CF Table(JPY)'!G21,BS_RE33!$F$7:$F$874,'30 days CF Table(JPY)'!$C$2)</f>
        <v>0</v>
      </c>
      <c r="AY21" s="380">
        <f>SUMIFS(BS_RE33!$H$7:$H$874,BS_RE33!$S$7:$S$874,$AY$2,BS_RE33!$N$7:$N$874,I21,BS_RE33!$P$7:$P$874,'30 days CF Table(JPY)'!G21,BS_RE33!$F$7:$F$874,'30 days CF Table(JPY)'!$C$2)</f>
        <v>0</v>
      </c>
      <c r="AZ21" s="380">
        <f>SUMIFS(BS_RE33!$H$7:$H$874,BS_RE33!$S$7:$S$874,$AZ$2,BS_RE33!$N$7:$N$874,I21,BS_RE33!$P$7:$P$874,'30 days CF Table(JPY)'!G21,BS_RE33!$F$7:$F$874,'30 days CF Table(JPY)'!$C$2)</f>
        <v>0</v>
      </c>
      <c r="BA21" s="380">
        <f>SUMIFS(BS_RE33!$H$7:$H$874,BS_RE33!$S$7:$S$874,$BA$2,BS_RE33!$N$7:$N$874,I21,BS_RE33!$P$7:$P$874,'30 days CF Table(JPY)'!G21,BS_RE33!$F$7:$F$874,'30 days CF Table(JPY)'!$C$2)</f>
        <v>0</v>
      </c>
      <c r="BB21" s="380">
        <f>SUMIFS(BS_RE33!$H$7:$H$874,BS_RE33!$S$7:$S$874,$BB$2,BS_RE33!$N$7:$N$874,I21,BS_RE33!$P$7:$P$874,'30 days CF Table(JPY)'!G21,BS_RE33!$F$7:$F$874,'30 days CF Table(JPY)'!$C$2)</f>
        <v>0</v>
      </c>
      <c r="BC21" s="380">
        <f>SUMIFS(BS_RE33!$H$7:$H$874,BS_RE33!$S$7:$S$874,$BC$2,BS_RE33!$N$7:$N$874,I21,BS_RE33!$P$7:$P$874,'30 days CF Table(JPY)'!G21,BS_RE33!$F$7:$F$874,'30 days CF Table(JPY)'!$C$2)</f>
        <v>0</v>
      </c>
      <c r="BD21" s="380">
        <f>SUMIFS(BS_RE33!$H$7:$H$874,BS_RE33!$S$7:$S$874,$BD$2,BS_RE33!$N$7:$N$874,I21,BS_RE33!$P$7:$P$874,'30 days CF Table(JPY)'!G21,BS_RE33!$F$7:$F$874,'30 days CF Table(JPY)'!$C$2)</f>
        <v>0</v>
      </c>
      <c r="BE21" s="380">
        <f>SUMIFS(BS_RE33!$H$7:$H$874,BS_RE33!$S$7:$S$874,$BE$2,BS_RE33!$N$7:$N$874,I21,BS_RE33!$P$7:$P$874,'30 days CF Table(JPY)'!G21,BS_RE33!$F$7:$F$874,'30 days CF Table(JPY)'!$C$2)</f>
        <v>0</v>
      </c>
      <c r="BF21" s="380">
        <f>SUMIFS(BS_RE33!$H$7:$H$874,BS_RE33!$S$7:$S$874,$BF$2,BS_RE33!$N$7:$N$874,I21,BS_RE33!$P$7:$P$874,'30 days CF Table(JPY)'!G21,BS_RE33!$F$7:$F$874,'30 days CF Table(JPY)'!$C$2)</f>
        <v>0</v>
      </c>
      <c r="BG21" s="380">
        <f>SUMIFS(BS_RE33!$H$7:$H$874,BS_RE33!$S$7:$S$874,$BG$2,BS_RE33!$N$7:$N$874,I21,BS_RE33!$P$7:$P$874,'30 days CF Table(JPY)'!G21,BS_RE33!$F$7:$F$874,'30 days CF Table(JPY)'!$C$2)</f>
        <v>0</v>
      </c>
      <c r="BH21" s="380">
        <f>SUMIFS(BS_RE33!$H$7:$H$874,BS_RE33!$S$7:$S$874,$BH$2,BS_RE33!$N$7:$N$874,I21,BS_RE33!$P$7:$P$874,'30 days CF Table(JPY)'!G21,BS_RE33!$F$7:$F$874,'30 days CF Table(JPY)'!$C$2)</f>
        <v>0</v>
      </c>
      <c r="BI21" s="380">
        <f>SUMIFS(BS_RE33!$H$7:$H$874,BS_RE33!$S$7:$S$874,$BI$2,BS_RE33!$N$7:$N$874,I21,BS_RE33!$P$7:$P$874,'30 days CF Table(JPY)'!G21,BS_RE33!$F$7:$F$874,'30 days CF Table(JPY)'!$C$2)</f>
        <v>0</v>
      </c>
      <c r="BJ21" s="380">
        <f>SUMIFS(BS_RE33!$H$7:$H$874,BS_RE33!$S$7:$S$874,$BJ$2,BS_RE33!$N$7:$N$874,I21,BS_RE33!$P$7:$P$874,'30 days CF Table(JPY)'!G21,BS_RE33!$F$7:$F$874,'30 days CF Table(JPY)'!$C$2)</f>
        <v>0</v>
      </c>
      <c r="BK21" s="380">
        <f>SUMIFS(BS_RE33!$H$7:$H$874,BS_RE33!$S$7:$S$874,$BK$2,BS_RE33!$N$7:$N$874,I21,BS_RE33!$P$7:$P$874,'30 days CF Table(JPY)'!G21,BS_RE33!$F$7:$F$874,'30 days CF Table(JPY)'!$C$2)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Table(JPY)'!G22,BS_RE33!$F$7:$F$874,'30 days CF Table(JPY)'!$C$2)</f>
        <v>0</v>
      </c>
      <c r="M22" s="337">
        <f>SUMIFS(BS_RE33!$H$7:$H$874,BS_RE33!$S$7:$S$874,$M$2,BS_RE33!$N$7:$N$874,I22,BS_RE33!$P$7:$P$874,'30 days CF Table(JPY)'!G22,BS_RE33!$F$7:$F$874,'30 days CF Table(JPY)'!$C$2)</f>
        <v>0</v>
      </c>
      <c r="N22" s="337">
        <f>SUMIFS(BS_RE33!$H$7:$H$874,BS_RE33!$S$7:$S$874,$N$2,BS_RE33!$N$7:$N$874,I22,BS_RE33!$P$7:$P$874,'30 days CF Table(JPY)'!G22,BS_RE33!$F$7:$F$874,'30 days CF Table(JPY)'!$C$2)</f>
        <v>0</v>
      </c>
      <c r="O22" s="337">
        <f>SUMIFS(BS_RE33!$H$7:$H$874,BS_RE33!$S$7:$S$874,$O$2,BS_RE33!$N$7:$N$874,I22,BS_RE33!$P$7:$P$874,'30 days CF Table(JPY)'!G22,BS_RE33!$F$7:$F$874,'30 days CF Table(JPY)'!$C$2)</f>
        <v>0</v>
      </c>
      <c r="P22" s="337">
        <f>SUMIFS(BS_RE33!$H$7:$H$874,BS_RE33!$S$7:$S$874,$P$2,BS_RE33!$N$7:$N$874,I22,BS_RE33!$P$7:$P$874,'30 days CF Table(JPY)'!G22,BS_RE33!$F$7:$F$874,'30 days CF Table(JPY)'!$C$2)</f>
        <v>0</v>
      </c>
      <c r="Q22" s="337">
        <f>SUMIFS(BS_RE33!$H$7:$H$874,BS_RE33!$S$7:$S$874,$Q$2,BS_RE33!$N$7:$N$874,I22,BS_RE33!$P$7:$P$874,'30 days CF Table(JPY)'!G22,BS_RE33!$F$7:$F$874,'30 days CF Table(JPY)'!$C$2)</f>
        <v>0</v>
      </c>
      <c r="R22" s="337">
        <f>SUMIFS(BS_RE33!$H$7:$H$874,BS_RE33!$S$7:$S$874,$R$2,BS_RE33!$N$7:$N$874,I22,BS_RE33!$P$7:$P$874,'30 days CF Table(JPY)'!G22,BS_RE33!$F$7:$F$874,'30 days CF Table(JPY)'!$C$2)</f>
        <v>0</v>
      </c>
      <c r="S22" s="337">
        <f>SUMIFS(BS_RE33!$H$7:$H$874,BS_RE33!$S$7:$S$874,$S$2,BS_RE33!$N$7:$N$874,I22,BS_RE33!$P$7:$P$874,'30 days CF Table(JPY)'!G22,BS_RE33!$F$7:$F$874,'30 days CF Table(JPY)'!$C$2)</f>
        <v>0</v>
      </c>
      <c r="T22" s="337">
        <f>SUMIFS(BS_RE33!$H$7:$H$874,BS_RE33!$S$7:$S$874,$T$2,BS_RE33!$N$7:$N$874,I22,BS_RE33!$P$7:$P$874,'30 days CF Table(JPY)'!G22,BS_RE33!$F$7:$F$874,'30 days CF Table(JPY)'!$C$2)</f>
        <v>0</v>
      </c>
      <c r="U22" s="337">
        <f>SUMIFS(BS_RE33!$H$7:$H$874,BS_RE33!$S$7:$S$874,$U$2,BS_RE33!$N$7:$N$874,I22,BS_RE33!$P$7:$P$874,'30 days CF Table(JPY)'!G22,BS_RE33!$F$7:$F$874,'30 days CF Table(JPY)'!$C$2)</f>
        <v>0</v>
      </c>
      <c r="V22" s="337">
        <f>SUMIFS(BS_RE33!$H$7:$H$874,BS_RE33!$S$7:$S$874,$V$2,BS_RE33!$N$7:$N$874,I22,BS_RE33!$P$7:$P$874,'30 days CF Table(JPY)'!G22,BS_RE33!$F$7:$F$874,'30 days CF Table(JPY)'!$C$2)</f>
        <v>0</v>
      </c>
      <c r="W22" s="337">
        <f>SUMIFS(BS_RE33!$H$7:$H$874,BS_RE33!$S$7:$S$874,$W$2,BS_RE33!$N$7:$N$874,I22,BS_RE33!$P$7:$P$874,'30 days CF Table(JPY)'!G22,BS_RE33!$F$7:$F$874,'30 days CF Table(JPY)'!$C$2)</f>
        <v>0</v>
      </c>
      <c r="X22" s="337">
        <f>SUMIFS(BS_RE33!$H$7:$H$874,BS_RE33!$S$7:$S$874,$X$2,BS_RE33!$N$7:$N$874,I22,BS_RE33!$P$7:$P$874,'30 days CF Table(JPY)'!G22,BS_RE33!$F$7:$F$874,'30 days CF Table(JPY)'!$C$2)</f>
        <v>0</v>
      </c>
      <c r="Y22" s="337">
        <f>SUMIFS(BS_RE33!$H$7:$H$874,BS_RE33!$S$7:$S$874,$Y$2,BS_RE33!$N$7:$N$874,I22,BS_RE33!$P$7:$P$874,'30 days CF Table(JPY)'!G22,BS_RE33!$F$7:$F$874,'30 days CF Table(JPY)'!$C$2)</f>
        <v>0</v>
      </c>
      <c r="Z22" s="337">
        <f>SUMIFS(BS_RE33!$H$7:$H$874,BS_RE33!$S$7:$S$874,$Z$2,BS_RE33!$N$7:$N$874,I22,BS_RE33!$P$7:$P$874,'30 days CF Table(JPY)'!G22,BS_RE33!$F$7:$F$874,'30 days CF Table(JPY)'!$C$2)</f>
        <v>0</v>
      </c>
      <c r="AA22" s="337">
        <f>SUMIFS(BS_RE33!$H$7:$H$874,BS_RE33!$S$7:$S$874,$AA$2,BS_RE33!$N$7:$N$874,I22,BS_RE33!$P$7:$P$874,'30 days CF Table(JPY)'!G22,BS_RE33!$F$7:$F$874,'30 days CF Table(JPY)'!$C$2)</f>
        <v>0</v>
      </c>
      <c r="AB22" s="337">
        <f>SUMIFS(BS_RE33!$H$7:$H$874,BS_RE33!$S$7:$S$874,$AB$2,BS_RE33!$N$7:$N$874,I22,BS_RE33!$P$7:$P$874,'30 days CF Table(JPY)'!G22,BS_RE33!$F$7:$F$874,'30 days CF Table(JPY)'!$C$2)</f>
        <v>0</v>
      </c>
      <c r="AC22" s="337">
        <f>SUMIFS(BS_RE33!$H$7:$H$874,BS_RE33!$S$7:$S$874,$AC$2,BS_RE33!$N$7:$N$874,I22,BS_RE33!$P$7:$P$874,'30 days CF Table(JPY)'!G22,BS_RE33!$F$7:$F$874,'30 days CF Table(JPY)'!$C$2)</f>
        <v>0</v>
      </c>
      <c r="AD22" s="337">
        <f>SUMIFS(BS_RE33!$H$7:$H$874,BS_RE33!$S$7:$S$874,$AD$2,BS_RE33!$N$7:$N$874,I22,BS_RE33!$P$7:$P$874,'30 days CF Table(JPY)'!G22,BS_RE33!$F$7:$F$874,'30 days CF Table(JPY)'!$C$2)</f>
        <v>0</v>
      </c>
      <c r="AE22" s="337">
        <f>SUMIFS(BS_RE33!$H$7:$H$874,BS_RE33!$S$7:$S$874,$AE$2,BS_RE33!$N$7:$N$874,I22,BS_RE33!$P$7:$P$874,'30 days CF Table(JPY)'!G22,BS_RE33!$F$7:$F$874,'30 days CF Table(JPY)'!$C$2)</f>
        <v>0</v>
      </c>
      <c r="AF22" s="337">
        <f>SUMIFS(BS_RE33!$H$7:$H$874,BS_RE33!$S$7:$S$874,$AF$2,BS_RE33!$N$7:$N$874,I22,BS_RE33!$P$7:$P$874,'30 days CF Table(JPY)'!G22,BS_RE33!$F$7:$F$874,'30 days CF Table(JPY)'!$C$2)</f>
        <v>0</v>
      </c>
      <c r="AG22" s="337">
        <f>SUMIFS(BS_RE33!$H$7:$H$874,BS_RE33!$S$7:$S$874,$AG$2,BS_RE33!$N$7:$N$874,I22,BS_RE33!$P$7:$P$874,'30 days CF Table(JPY)'!G22,BS_RE33!$F$7:$F$874,'30 days CF Table(JPY)'!$C$2)</f>
        <v>0</v>
      </c>
      <c r="AH22" s="337">
        <f>SUMIFS(BS_RE33!$H$7:$H$874,BS_RE33!$S$7:$S$874,$AH$2,BS_RE33!$N$7:$N$874,I22,BS_RE33!$P$7:$P$874,'30 days CF Table(JPY)'!G22,BS_RE33!$F$7:$F$874,'30 days CF Table(JPY)'!$C$2)</f>
        <v>0</v>
      </c>
      <c r="AI22" s="337">
        <f>SUMIFS(BS_RE33!$H$7:$H$874,BS_RE33!$S$7:$S$874,$AI$2,BS_RE33!$N$7:$N$874,I22,BS_RE33!$P$7:$P$874,'30 days CF Table(JPY)'!G22,BS_RE33!$F$7:$F$874,'30 days CF Table(JPY)'!$C$2)</f>
        <v>0</v>
      </c>
      <c r="AJ22" s="337">
        <f>SUMIFS(BS_RE33!$H$7:$H$874,BS_RE33!$S$7:$S$874,$AJ$2,BS_RE33!$N$7:$N$874,I22,BS_RE33!$P$7:$P$874,'30 days CF Table(JPY)'!G22,BS_RE33!$F$7:$F$874,'30 days CF Table(JPY)'!$C$2)</f>
        <v>0</v>
      </c>
      <c r="AK22" s="337">
        <f>SUMIFS(BS_RE33!$H$7:$H$874,BS_RE33!$S$7:$S$874,$AK$2,BS_RE33!$N$7:$N$874,I22,BS_RE33!$P$7:$P$874,'30 days CF Table(JPY)'!G22,BS_RE33!$F$7:$F$874,'30 days CF Table(JPY)'!$C$2)</f>
        <v>0</v>
      </c>
      <c r="AL22" s="337">
        <f>SUMIFS(BS_RE33!$H$7:$H$874,BS_RE33!$S$7:$S$874,$AL$2,BS_RE33!$N$7:$N$874,I22,BS_RE33!$P$7:$P$874,'30 days CF Table(JPY)'!G22,BS_RE33!$F$7:$F$874,'30 days CF Table(JPY)'!$C$2)</f>
        <v>0</v>
      </c>
      <c r="AM22" s="337">
        <f>SUMIFS(BS_RE33!$H$7:$H$874,BS_RE33!$S$7:$S$874,$AM$2,BS_RE33!$N$7:$N$874,I22,BS_RE33!$P$7:$P$874,'30 days CF Table(JPY)'!G22,BS_RE33!$F$7:$F$874,'30 days CF Table(JPY)'!$C$2)</f>
        <v>0</v>
      </c>
      <c r="AN22" s="337">
        <f>SUMIFS(BS_RE33!$H$7:$H$874,BS_RE33!$S$7:$S$874,$AN$2,BS_RE33!$N$7:$N$874,I22,BS_RE33!$P$7:$P$874,'30 days CF Table(JPY)'!G22,BS_RE33!$F$7:$F$874,'30 days CF Table(JPY)'!$C$2)</f>
        <v>0</v>
      </c>
      <c r="AO22" s="337">
        <f>SUMIFS(BS_RE33!$H$7:$H$874,BS_RE33!$S$7:$S$874,$AO$2,BS_RE33!$N$7:$N$874,I22,BS_RE33!$P$7:$P$874,'30 days CF Table(JPY)'!G22,BS_RE33!$F$7:$F$874,'30 days CF Table(JPY)'!$C$2)</f>
        <v>0</v>
      </c>
      <c r="AP22" s="338">
        <f>SUMIFS(BS_RE33!$H$7:$H$874,BS_RE33!$S$7:$S$874,$AP$2,BS_RE33!$N$7:$N$874,I22,BS_RE33!$P$7:$P$874,'30 days CF Table(JPY)'!G22,BS_RE33!$F$7:$F$874,'30 days CF Table(JPY)'!$C$2)</f>
        <v>0</v>
      </c>
      <c r="AQ22" s="545"/>
      <c r="AR22" s="379">
        <f>SUMIFS(BS_RE33!$H$7:$H$874,BS_RE33!$S$7:$S$874,$AR$2,BS_RE33!$N$7:$N$874,I22,BS_RE33!$P$7:$P$874,'30 days CF Table(JPY)'!G22,BS_RE33!$F$7:$F$874,'30 days CF Table(JPY)'!$C$2)</f>
        <v>0</v>
      </c>
      <c r="AS22" s="379">
        <f>SUMIFS(BS_RE33!$H$7:$H$874,BS_RE33!$S$7:$S$874,$AS$2,BS_RE33!$N$7:$N$874,I22,BS_RE33!$P$7:$P$874,'30 days CF Table(JPY)'!G22,BS_RE33!$F$7:$F$874,'30 days CF Table(JPY)'!$C$2)</f>
        <v>0</v>
      </c>
      <c r="AT22" s="379">
        <f>SUMIFS(BS_RE33!$H$7:$H$874,BS_RE33!$S$7:$S$874,$AT$2,BS_RE33!$N$7:$N$874,I22,BS_RE33!$P$7:$P$874,'30 days CF Table(JPY)'!G22,BS_RE33!$F$7:$F$874,'30 days CF Table(JPY)'!$C$2)</f>
        <v>0</v>
      </c>
      <c r="AU22" s="379">
        <f>SUMIFS(BS_RE33!$H$7:$H$874,BS_RE33!$S$7:$S$874,$AU$2,BS_RE33!$N$7:$N$874,I22,BS_RE33!$P$7:$P$874,'30 days CF Table(JPY)'!G22,BS_RE33!$F$7:$F$874,'30 days CF Table(JPY)'!$C$2)</f>
        <v>0</v>
      </c>
      <c r="AV22" s="379">
        <f>SUMIFS(BS_RE33!$H$7:$H$874,BS_RE33!$S$7:$S$874,$AV$2,BS_RE33!$N$7:$N$874,I22,BS_RE33!$P$7:$P$874,'30 days CF Table(JPY)'!G22,BS_RE33!$F$7:$F$874,'30 days CF Table(JPY)'!$C$2)</f>
        <v>0</v>
      </c>
      <c r="AW22" s="379">
        <f>SUMIFS(BS_RE33!$H$7:$H$874,BS_RE33!$S$7:$S$874,$AW$2,BS_RE33!$N$7:$N$874,I22,BS_RE33!$P$7:$P$874,'30 days CF Table(JPY)'!G22,BS_RE33!$F$7:$F$874,'30 days CF Table(JPY)'!$C$2)</f>
        <v>0</v>
      </c>
      <c r="AX22" s="379">
        <f>SUMIFS(BS_RE33!$H$7:$H$874,BS_RE33!$S$7:$S$874,$AX$2,BS_RE33!$N$7:$N$874,I22,BS_RE33!$P$7:$P$874,'30 days CF Table(JPY)'!G22,BS_RE33!$F$7:$F$874,'30 days CF Table(JPY)'!$C$2)</f>
        <v>0</v>
      </c>
      <c r="AY22" s="379">
        <f>SUMIFS(BS_RE33!$H$7:$H$874,BS_RE33!$S$7:$S$874,$AY$2,BS_RE33!$N$7:$N$874,I22,BS_RE33!$P$7:$P$874,'30 days CF Table(JPY)'!G22,BS_RE33!$F$7:$F$874,'30 days CF Table(JPY)'!$C$2)</f>
        <v>0</v>
      </c>
      <c r="AZ22" s="379">
        <f>SUMIFS(BS_RE33!$H$7:$H$874,BS_RE33!$S$7:$S$874,$AZ$2,BS_RE33!$N$7:$N$874,I22,BS_RE33!$P$7:$P$874,'30 days CF Table(JPY)'!G22,BS_RE33!$F$7:$F$874,'30 days CF Table(JPY)'!$C$2)</f>
        <v>0</v>
      </c>
      <c r="BA22" s="379">
        <f>SUMIFS(BS_RE33!$H$7:$H$874,BS_RE33!$S$7:$S$874,$BA$2,BS_RE33!$N$7:$N$874,I22,BS_RE33!$P$7:$P$874,'30 days CF Table(JPY)'!G22,BS_RE33!$F$7:$F$874,'30 days CF Table(JPY)'!$C$2)</f>
        <v>0</v>
      </c>
      <c r="BB22" s="379">
        <f>SUMIFS(BS_RE33!$H$7:$H$874,BS_RE33!$S$7:$S$874,$BB$2,BS_RE33!$N$7:$N$874,I22,BS_RE33!$P$7:$P$874,'30 days CF Table(JPY)'!G22,BS_RE33!$F$7:$F$874,'30 days CF Table(JPY)'!$C$2)</f>
        <v>0</v>
      </c>
      <c r="BC22" s="379">
        <f>SUMIFS(BS_RE33!$H$7:$H$874,BS_RE33!$S$7:$S$874,$BC$2,BS_RE33!$N$7:$N$874,I22,BS_RE33!$P$7:$P$874,'30 days CF Table(JPY)'!G22,BS_RE33!$F$7:$F$874,'30 days CF Table(JPY)'!$C$2)</f>
        <v>0</v>
      </c>
      <c r="BD22" s="379">
        <f>SUMIFS(BS_RE33!$H$7:$H$874,BS_RE33!$S$7:$S$874,$BD$2,BS_RE33!$N$7:$N$874,I22,BS_RE33!$P$7:$P$874,'30 days CF Table(JPY)'!G22,BS_RE33!$F$7:$F$874,'30 days CF Table(JPY)'!$C$2)</f>
        <v>0</v>
      </c>
      <c r="BE22" s="379">
        <f>SUMIFS(BS_RE33!$H$7:$H$874,BS_RE33!$S$7:$S$874,$BE$2,BS_RE33!$N$7:$N$874,I22,BS_RE33!$P$7:$P$874,'30 days CF Table(JPY)'!G22,BS_RE33!$F$7:$F$874,'30 days CF Table(JPY)'!$C$2)</f>
        <v>0</v>
      </c>
      <c r="BF22" s="379">
        <f>SUMIFS(BS_RE33!$H$7:$H$874,BS_RE33!$S$7:$S$874,$BF$2,BS_RE33!$N$7:$N$874,I22,BS_RE33!$P$7:$P$874,'30 days CF Table(JPY)'!G22,BS_RE33!$F$7:$F$874,'30 days CF Table(JPY)'!$C$2)</f>
        <v>0</v>
      </c>
      <c r="BG22" s="379">
        <f>SUMIFS(BS_RE33!$H$7:$H$874,BS_RE33!$S$7:$S$874,$BG$2,BS_RE33!$N$7:$N$874,I22,BS_RE33!$P$7:$P$874,'30 days CF Table(JPY)'!G22,BS_RE33!$F$7:$F$874,'30 days CF Table(JPY)'!$C$2)</f>
        <v>0</v>
      </c>
      <c r="BH22" s="379">
        <f>SUMIFS(BS_RE33!$H$7:$H$874,BS_RE33!$S$7:$S$874,$BH$2,BS_RE33!$N$7:$N$874,I22,BS_RE33!$P$7:$P$874,'30 days CF Table(JPY)'!G22,BS_RE33!$F$7:$F$874,'30 days CF Table(JPY)'!$C$2)</f>
        <v>0</v>
      </c>
      <c r="BI22" s="379">
        <f>SUMIFS(BS_RE33!$H$7:$H$874,BS_RE33!$S$7:$S$874,$BI$2,BS_RE33!$N$7:$N$874,I22,BS_RE33!$P$7:$P$874,'30 days CF Table(JPY)'!G22,BS_RE33!$F$7:$F$874,'30 days CF Table(JPY)'!$C$2)</f>
        <v>0</v>
      </c>
      <c r="BJ22" s="379">
        <f>SUMIFS(BS_RE33!$H$7:$H$874,BS_RE33!$S$7:$S$874,$BJ$2,BS_RE33!$N$7:$N$874,I22,BS_RE33!$P$7:$P$874,'30 days CF Table(JPY)'!G22,BS_RE33!$F$7:$F$874,'30 days CF Table(JPY)'!$C$2)</f>
        <v>0</v>
      </c>
      <c r="BK22" s="379">
        <f>SUMIFS(BS_RE33!$H$7:$H$874,BS_RE33!$S$7:$S$874,$BK$2,BS_RE33!$N$7:$N$874,I22,BS_RE33!$P$7:$P$874,'30 days CF Table(JPY)'!G22,BS_RE33!$F$7:$F$874,'30 days CF Table(JPY)'!$C$2)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Table(JPY)'!G23,BS_RE33!$F$7:$F$874,'30 days CF Table(JPY)'!$C$2)</f>
        <v>0</v>
      </c>
      <c r="M23" s="337">
        <f>SUMIFS(BS_RE33!$H$7:$H$874,BS_RE33!$S$7:$S$874,$M$2,BS_RE33!$N$7:$N$874,I23,BS_RE33!$P$7:$P$874,'30 days CF Table(JPY)'!G23,BS_RE33!$F$7:$F$874,'30 days CF Table(JPY)'!$C$2)</f>
        <v>0</v>
      </c>
      <c r="N23" s="337">
        <f>SUMIFS(BS_RE33!$H$7:$H$874,BS_RE33!$S$7:$S$874,$N$2,BS_RE33!$N$7:$N$874,I23,BS_RE33!$P$7:$P$874,'30 days CF Table(JPY)'!G23,BS_RE33!$F$7:$F$874,'30 days CF Table(JPY)'!$C$2)</f>
        <v>0</v>
      </c>
      <c r="O23" s="337">
        <f>SUMIFS(BS_RE33!$H$7:$H$874,BS_RE33!$S$7:$S$874,$O$2,BS_RE33!$N$7:$N$874,I23,BS_RE33!$P$7:$P$874,'30 days CF Table(JPY)'!G23,BS_RE33!$F$7:$F$874,'30 days CF Table(JPY)'!$C$2)</f>
        <v>0</v>
      </c>
      <c r="P23" s="337">
        <f>SUMIFS(BS_RE33!$H$7:$H$874,BS_RE33!$S$7:$S$874,$P$2,BS_RE33!$N$7:$N$874,I23,BS_RE33!$P$7:$P$874,'30 days CF Table(JPY)'!G23,BS_RE33!$F$7:$F$874,'30 days CF Table(JPY)'!$C$2)</f>
        <v>0</v>
      </c>
      <c r="Q23" s="337">
        <f>SUMIFS(BS_RE33!$H$7:$H$874,BS_RE33!$S$7:$S$874,$Q$2,BS_RE33!$N$7:$N$874,I23,BS_RE33!$P$7:$P$874,'30 days CF Table(JPY)'!G23,BS_RE33!$F$7:$F$874,'30 days CF Table(JPY)'!$C$2)</f>
        <v>0</v>
      </c>
      <c r="R23" s="337">
        <f>SUMIFS(BS_RE33!$H$7:$H$874,BS_RE33!$S$7:$S$874,$R$2,BS_RE33!$N$7:$N$874,I23,BS_RE33!$P$7:$P$874,'30 days CF Table(JPY)'!G23,BS_RE33!$F$7:$F$874,'30 days CF Table(JPY)'!$C$2)</f>
        <v>0</v>
      </c>
      <c r="S23" s="337">
        <f>SUMIFS(BS_RE33!$H$7:$H$874,BS_RE33!$S$7:$S$874,$S$2,BS_RE33!$N$7:$N$874,I23,BS_RE33!$P$7:$P$874,'30 days CF Table(JPY)'!G23,BS_RE33!$F$7:$F$874,'30 days CF Table(JPY)'!$C$2)</f>
        <v>0</v>
      </c>
      <c r="T23" s="337">
        <f>SUMIFS(BS_RE33!$H$7:$H$874,BS_RE33!$S$7:$S$874,$T$2,BS_RE33!$N$7:$N$874,I23,BS_RE33!$P$7:$P$874,'30 days CF Table(JPY)'!G23,BS_RE33!$F$7:$F$874,'30 days CF Table(JPY)'!$C$2)</f>
        <v>0</v>
      </c>
      <c r="U23" s="337">
        <f>SUMIFS(BS_RE33!$H$7:$H$874,BS_RE33!$S$7:$S$874,$U$2,BS_RE33!$N$7:$N$874,I23,BS_RE33!$P$7:$P$874,'30 days CF Table(JPY)'!G23,BS_RE33!$F$7:$F$874,'30 days CF Table(JPY)'!$C$2)</f>
        <v>0</v>
      </c>
      <c r="V23" s="337">
        <f>SUMIFS(BS_RE33!$H$7:$H$874,BS_RE33!$S$7:$S$874,$V$2,BS_RE33!$N$7:$N$874,I23,BS_RE33!$P$7:$P$874,'30 days CF Table(JPY)'!G23,BS_RE33!$F$7:$F$874,'30 days CF Table(JPY)'!$C$2)</f>
        <v>0</v>
      </c>
      <c r="W23" s="337">
        <f>SUMIFS(BS_RE33!$H$7:$H$874,BS_RE33!$S$7:$S$874,$W$2,BS_RE33!$N$7:$N$874,I23,BS_RE33!$P$7:$P$874,'30 days CF Table(JPY)'!G23,BS_RE33!$F$7:$F$874,'30 days CF Table(JPY)'!$C$2)</f>
        <v>0</v>
      </c>
      <c r="X23" s="337">
        <f>SUMIFS(BS_RE33!$H$7:$H$874,BS_RE33!$S$7:$S$874,$X$2,BS_RE33!$N$7:$N$874,I23,BS_RE33!$P$7:$P$874,'30 days CF Table(JPY)'!G23,BS_RE33!$F$7:$F$874,'30 days CF Table(JPY)'!$C$2)</f>
        <v>0</v>
      </c>
      <c r="Y23" s="337">
        <f>SUMIFS(BS_RE33!$H$7:$H$874,BS_RE33!$S$7:$S$874,$Y$2,BS_RE33!$N$7:$N$874,I23,BS_RE33!$P$7:$P$874,'30 days CF Table(JPY)'!G23,BS_RE33!$F$7:$F$874,'30 days CF Table(JPY)'!$C$2)</f>
        <v>0</v>
      </c>
      <c r="Z23" s="337">
        <f>SUMIFS(BS_RE33!$H$7:$H$874,BS_RE33!$S$7:$S$874,$Z$2,BS_RE33!$N$7:$N$874,I23,BS_RE33!$P$7:$P$874,'30 days CF Table(JPY)'!G23,BS_RE33!$F$7:$F$874,'30 days CF Table(JPY)'!$C$2)</f>
        <v>0</v>
      </c>
      <c r="AA23" s="337">
        <f>SUMIFS(BS_RE33!$H$7:$H$874,BS_RE33!$S$7:$S$874,$AA$2,BS_RE33!$N$7:$N$874,I23,BS_RE33!$P$7:$P$874,'30 days CF Table(JPY)'!G23,BS_RE33!$F$7:$F$874,'30 days CF Table(JPY)'!$C$2)</f>
        <v>0</v>
      </c>
      <c r="AB23" s="337">
        <f>SUMIFS(BS_RE33!$H$7:$H$874,BS_RE33!$S$7:$S$874,$AB$2,BS_RE33!$N$7:$N$874,I23,BS_RE33!$P$7:$P$874,'30 days CF Table(JPY)'!G23,BS_RE33!$F$7:$F$874,'30 days CF Table(JPY)'!$C$2)</f>
        <v>0</v>
      </c>
      <c r="AC23" s="337">
        <f>SUMIFS(BS_RE33!$H$7:$H$874,BS_RE33!$S$7:$S$874,$AC$2,BS_RE33!$N$7:$N$874,I23,BS_RE33!$P$7:$P$874,'30 days CF Table(JPY)'!G23,BS_RE33!$F$7:$F$874,'30 days CF Table(JPY)'!$C$2)</f>
        <v>0</v>
      </c>
      <c r="AD23" s="337">
        <f>SUMIFS(BS_RE33!$H$7:$H$874,BS_RE33!$S$7:$S$874,$AD$2,BS_RE33!$N$7:$N$874,I23,BS_RE33!$P$7:$P$874,'30 days CF Table(JPY)'!G23,BS_RE33!$F$7:$F$874,'30 days CF Table(JPY)'!$C$2)</f>
        <v>0</v>
      </c>
      <c r="AE23" s="337">
        <f>SUMIFS(BS_RE33!$H$7:$H$874,BS_RE33!$S$7:$S$874,$AE$2,BS_RE33!$N$7:$N$874,I23,BS_RE33!$P$7:$P$874,'30 days CF Table(JPY)'!G23,BS_RE33!$F$7:$F$874,'30 days CF Table(JPY)'!$C$2)</f>
        <v>0</v>
      </c>
      <c r="AF23" s="337">
        <f>SUMIFS(BS_RE33!$H$7:$H$874,BS_RE33!$S$7:$S$874,$AF$2,BS_RE33!$N$7:$N$874,I23,BS_RE33!$P$7:$P$874,'30 days CF Table(JPY)'!G23,BS_RE33!$F$7:$F$874,'30 days CF Table(JPY)'!$C$2)</f>
        <v>0</v>
      </c>
      <c r="AG23" s="337">
        <f>SUMIFS(BS_RE33!$H$7:$H$874,BS_RE33!$S$7:$S$874,$AG$2,BS_RE33!$N$7:$N$874,I23,BS_RE33!$P$7:$P$874,'30 days CF Table(JPY)'!G23,BS_RE33!$F$7:$F$874,'30 days CF Table(JPY)'!$C$2)</f>
        <v>0</v>
      </c>
      <c r="AH23" s="337">
        <f>SUMIFS(BS_RE33!$H$7:$H$874,BS_RE33!$S$7:$S$874,$AH$2,BS_RE33!$N$7:$N$874,I23,BS_RE33!$P$7:$P$874,'30 days CF Table(JPY)'!G23,BS_RE33!$F$7:$F$874,'30 days CF Table(JPY)'!$C$2)</f>
        <v>0</v>
      </c>
      <c r="AI23" s="337">
        <f>SUMIFS(BS_RE33!$H$7:$H$874,BS_RE33!$S$7:$S$874,$AI$2,BS_RE33!$N$7:$N$874,I23,BS_RE33!$P$7:$P$874,'30 days CF Table(JPY)'!G23,BS_RE33!$F$7:$F$874,'30 days CF Table(JPY)'!$C$2)</f>
        <v>0</v>
      </c>
      <c r="AJ23" s="337">
        <f>SUMIFS(BS_RE33!$H$7:$H$874,BS_RE33!$S$7:$S$874,$AJ$2,BS_RE33!$N$7:$N$874,I23,BS_RE33!$P$7:$P$874,'30 days CF Table(JPY)'!G23,BS_RE33!$F$7:$F$874,'30 days CF Table(JPY)'!$C$2)</f>
        <v>0</v>
      </c>
      <c r="AK23" s="337">
        <f>SUMIFS(BS_RE33!$H$7:$H$874,BS_RE33!$S$7:$S$874,$AK$2,BS_RE33!$N$7:$N$874,I23,BS_RE33!$P$7:$P$874,'30 days CF Table(JPY)'!G23,BS_RE33!$F$7:$F$874,'30 days CF Table(JPY)'!$C$2)</f>
        <v>0</v>
      </c>
      <c r="AL23" s="337">
        <f>SUMIFS(BS_RE33!$H$7:$H$874,BS_RE33!$S$7:$S$874,$AL$2,BS_RE33!$N$7:$N$874,I23,BS_RE33!$P$7:$P$874,'30 days CF Table(JPY)'!G23,BS_RE33!$F$7:$F$874,'30 days CF Table(JPY)'!$C$2)</f>
        <v>0</v>
      </c>
      <c r="AM23" s="337">
        <f>SUMIFS(BS_RE33!$H$7:$H$874,BS_RE33!$S$7:$S$874,$AM$2,BS_RE33!$N$7:$N$874,I23,BS_RE33!$P$7:$P$874,'30 days CF Table(JPY)'!G23,BS_RE33!$F$7:$F$874,'30 days CF Table(JPY)'!$C$2)</f>
        <v>0</v>
      </c>
      <c r="AN23" s="337">
        <f>SUMIFS(BS_RE33!$H$7:$H$874,BS_RE33!$S$7:$S$874,$AN$2,BS_RE33!$N$7:$N$874,I23,BS_RE33!$P$7:$P$874,'30 days CF Table(JPY)'!G23,BS_RE33!$F$7:$F$874,'30 days CF Table(JPY)'!$C$2)</f>
        <v>0</v>
      </c>
      <c r="AO23" s="337">
        <f>SUMIFS(BS_RE33!$H$7:$H$874,BS_RE33!$S$7:$S$874,$AO$2,BS_RE33!$N$7:$N$874,I23,BS_RE33!$P$7:$P$874,'30 days CF Table(JPY)'!G23,BS_RE33!$F$7:$F$874,'30 days CF Table(JPY)'!$C$2)</f>
        <v>0</v>
      </c>
      <c r="AP23" s="338">
        <f>SUMIFS(BS_RE33!$H$7:$H$874,BS_RE33!$S$7:$S$874,$AP$2,BS_RE33!$N$7:$N$874,I23,BS_RE33!$P$7:$P$874,'30 days CF Table(JPY)'!G23,BS_RE33!$F$7:$F$874,'30 days CF Table(JPY)'!$C$2)</f>
        <v>0</v>
      </c>
      <c r="AQ23" s="545"/>
      <c r="AR23" s="379">
        <f>SUMIFS(BS_RE33!$H$7:$H$874,BS_RE33!$S$7:$S$874,$AR$2,BS_RE33!$N$7:$N$874,I23,BS_RE33!$P$7:$P$874,'30 days CF Table(JPY)'!G23,BS_RE33!$F$7:$F$874,'30 days CF Table(JPY)'!$C$2)</f>
        <v>0</v>
      </c>
      <c r="AS23" s="379">
        <f>SUMIFS(BS_RE33!$H$7:$H$874,BS_RE33!$S$7:$S$874,$AS$2,BS_RE33!$N$7:$N$874,I23,BS_RE33!$P$7:$P$874,'30 days CF Table(JPY)'!G23,BS_RE33!$F$7:$F$874,'30 days CF Table(JPY)'!$C$2)</f>
        <v>0</v>
      </c>
      <c r="AT23" s="379">
        <f>SUMIFS(BS_RE33!$H$7:$H$874,BS_RE33!$S$7:$S$874,$AT$2,BS_RE33!$N$7:$N$874,I23,BS_RE33!$P$7:$P$874,'30 days CF Table(JPY)'!G23,BS_RE33!$F$7:$F$874,'30 days CF Table(JPY)'!$C$2)</f>
        <v>0</v>
      </c>
      <c r="AU23" s="379">
        <f>SUMIFS(BS_RE33!$H$7:$H$874,BS_RE33!$S$7:$S$874,$AU$2,BS_RE33!$N$7:$N$874,I23,BS_RE33!$P$7:$P$874,'30 days CF Table(JPY)'!G23,BS_RE33!$F$7:$F$874,'30 days CF Table(JPY)'!$C$2)</f>
        <v>0</v>
      </c>
      <c r="AV23" s="379">
        <f>SUMIFS(BS_RE33!$H$7:$H$874,BS_RE33!$S$7:$S$874,$AV$2,BS_RE33!$N$7:$N$874,I23,BS_RE33!$P$7:$P$874,'30 days CF Table(JPY)'!G23,BS_RE33!$F$7:$F$874,'30 days CF Table(JPY)'!$C$2)</f>
        <v>0</v>
      </c>
      <c r="AW23" s="379">
        <f>SUMIFS(BS_RE33!$H$7:$H$874,BS_RE33!$S$7:$S$874,$AW$2,BS_RE33!$N$7:$N$874,I23,BS_RE33!$P$7:$P$874,'30 days CF Table(JPY)'!G23,BS_RE33!$F$7:$F$874,'30 days CF Table(JPY)'!$C$2)</f>
        <v>0</v>
      </c>
      <c r="AX23" s="379">
        <f>SUMIFS(BS_RE33!$H$7:$H$874,BS_RE33!$S$7:$S$874,$AX$2,BS_RE33!$N$7:$N$874,I23,BS_RE33!$P$7:$P$874,'30 days CF Table(JPY)'!G23,BS_RE33!$F$7:$F$874,'30 days CF Table(JPY)'!$C$2)</f>
        <v>0</v>
      </c>
      <c r="AY23" s="379">
        <f>SUMIFS(BS_RE33!$H$7:$H$874,BS_RE33!$S$7:$S$874,$AY$2,BS_RE33!$N$7:$N$874,I23,BS_RE33!$P$7:$P$874,'30 days CF Table(JPY)'!G23,BS_RE33!$F$7:$F$874,'30 days CF Table(JPY)'!$C$2)</f>
        <v>0</v>
      </c>
      <c r="AZ23" s="379">
        <f>SUMIFS(BS_RE33!$H$7:$H$874,BS_RE33!$S$7:$S$874,$AZ$2,BS_RE33!$N$7:$N$874,I23,BS_RE33!$P$7:$P$874,'30 days CF Table(JPY)'!G23,BS_RE33!$F$7:$F$874,'30 days CF Table(JPY)'!$C$2)</f>
        <v>0</v>
      </c>
      <c r="BA23" s="379">
        <f>SUMIFS(BS_RE33!$H$7:$H$874,BS_RE33!$S$7:$S$874,$BA$2,BS_RE33!$N$7:$N$874,I23,BS_RE33!$P$7:$P$874,'30 days CF Table(JPY)'!G23,BS_RE33!$F$7:$F$874,'30 days CF Table(JPY)'!$C$2)</f>
        <v>0</v>
      </c>
      <c r="BB23" s="379">
        <f>SUMIFS(BS_RE33!$H$7:$H$874,BS_RE33!$S$7:$S$874,$BB$2,BS_RE33!$N$7:$N$874,I23,BS_RE33!$P$7:$P$874,'30 days CF Table(JPY)'!G23,BS_RE33!$F$7:$F$874,'30 days CF Table(JPY)'!$C$2)</f>
        <v>0</v>
      </c>
      <c r="BC23" s="379">
        <f>SUMIFS(BS_RE33!$H$7:$H$874,BS_RE33!$S$7:$S$874,$BC$2,BS_RE33!$N$7:$N$874,I23,BS_RE33!$P$7:$P$874,'30 days CF Table(JPY)'!G23,BS_RE33!$F$7:$F$874,'30 days CF Table(JPY)'!$C$2)</f>
        <v>0</v>
      </c>
      <c r="BD23" s="379">
        <f>SUMIFS(BS_RE33!$H$7:$H$874,BS_RE33!$S$7:$S$874,$BD$2,BS_RE33!$N$7:$N$874,I23,BS_RE33!$P$7:$P$874,'30 days CF Table(JPY)'!G23,BS_RE33!$F$7:$F$874,'30 days CF Table(JPY)'!$C$2)</f>
        <v>0</v>
      </c>
      <c r="BE23" s="379">
        <f>SUMIFS(BS_RE33!$H$7:$H$874,BS_RE33!$S$7:$S$874,$BE$2,BS_RE33!$N$7:$N$874,I23,BS_RE33!$P$7:$P$874,'30 days CF Table(JPY)'!G23,BS_RE33!$F$7:$F$874,'30 days CF Table(JPY)'!$C$2)</f>
        <v>0</v>
      </c>
      <c r="BF23" s="379">
        <f>SUMIFS(BS_RE33!$H$7:$H$874,BS_RE33!$S$7:$S$874,$BF$2,BS_RE33!$N$7:$N$874,I23,BS_RE33!$P$7:$P$874,'30 days CF Table(JPY)'!G23,BS_RE33!$F$7:$F$874,'30 days CF Table(JPY)'!$C$2)</f>
        <v>0</v>
      </c>
      <c r="BG23" s="379">
        <f>SUMIFS(BS_RE33!$H$7:$H$874,BS_RE33!$S$7:$S$874,$BG$2,BS_RE33!$N$7:$N$874,I23,BS_RE33!$P$7:$P$874,'30 days CF Table(JPY)'!G23,BS_RE33!$F$7:$F$874,'30 days CF Table(JPY)'!$C$2)</f>
        <v>0</v>
      </c>
      <c r="BH23" s="379">
        <f>SUMIFS(BS_RE33!$H$7:$H$874,BS_RE33!$S$7:$S$874,$BH$2,BS_RE33!$N$7:$N$874,I23,BS_RE33!$P$7:$P$874,'30 days CF Table(JPY)'!G23,BS_RE33!$F$7:$F$874,'30 days CF Table(JPY)'!$C$2)</f>
        <v>0</v>
      </c>
      <c r="BI23" s="379">
        <f>SUMIFS(BS_RE33!$H$7:$H$874,BS_RE33!$S$7:$S$874,$BI$2,BS_RE33!$N$7:$N$874,I23,BS_RE33!$P$7:$P$874,'30 days CF Table(JPY)'!G23,BS_RE33!$F$7:$F$874,'30 days CF Table(JPY)'!$C$2)</f>
        <v>0</v>
      </c>
      <c r="BJ23" s="379">
        <f>SUMIFS(BS_RE33!$H$7:$H$874,BS_RE33!$S$7:$S$874,$BJ$2,BS_RE33!$N$7:$N$874,I23,BS_RE33!$P$7:$P$874,'30 days CF Table(JPY)'!G23,BS_RE33!$F$7:$F$874,'30 days CF Table(JPY)'!$C$2)</f>
        <v>0</v>
      </c>
      <c r="BK23" s="379">
        <f>SUMIFS(BS_RE33!$H$7:$H$874,BS_RE33!$S$7:$S$874,$BK$2,BS_RE33!$N$7:$N$874,I23,BS_RE33!$P$7:$P$874,'30 days CF Table(JPY)'!G23,BS_RE33!$F$7:$F$874,'30 days CF Table(JPY)'!$C$2)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Table(JPY)'!G24,BS_RE33!$F$7:$F$874,'30 days CF Table(JPY)'!$C$2)</f>
        <v>0</v>
      </c>
      <c r="M24" s="337">
        <f>SUMIFS(BS_RE33!$H$7:$H$874,BS_RE33!$S$7:$S$874,$M$2,BS_RE33!$N$7:$N$874,I24,BS_RE33!$P$7:$P$874,'30 days CF Table(JPY)'!G24,BS_RE33!$F$7:$F$874,'30 days CF Table(JPY)'!$C$2)</f>
        <v>0</v>
      </c>
      <c r="N24" s="337">
        <f>SUMIFS(BS_RE33!$H$7:$H$874,BS_RE33!$S$7:$S$874,$N$2,BS_RE33!$N$7:$N$874,I24,BS_RE33!$P$7:$P$874,'30 days CF Table(JPY)'!G24,BS_RE33!$F$7:$F$874,'30 days CF Table(JPY)'!$C$2)</f>
        <v>0</v>
      </c>
      <c r="O24" s="337">
        <f>SUMIFS(BS_RE33!$H$7:$H$874,BS_RE33!$S$7:$S$874,$O$2,BS_RE33!$N$7:$N$874,I24,BS_RE33!$P$7:$P$874,'30 days CF Table(JPY)'!G24,BS_RE33!$F$7:$F$874,'30 days CF Table(JPY)'!$C$2)</f>
        <v>0</v>
      </c>
      <c r="P24" s="337">
        <f>SUMIFS(BS_RE33!$H$7:$H$874,BS_RE33!$S$7:$S$874,$P$2,BS_RE33!$N$7:$N$874,I24,BS_RE33!$P$7:$P$874,'30 days CF Table(JPY)'!G24,BS_RE33!$F$7:$F$874,'30 days CF Table(JPY)'!$C$2)</f>
        <v>0</v>
      </c>
      <c r="Q24" s="337">
        <f>SUMIFS(BS_RE33!$H$7:$H$874,BS_RE33!$S$7:$S$874,$Q$2,BS_RE33!$N$7:$N$874,I24,BS_RE33!$P$7:$P$874,'30 days CF Table(JPY)'!G24,BS_RE33!$F$7:$F$874,'30 days CF Table(JPY)'!$C$2)</f>
        <v>0</v>
      </c>
      <c r="R24" s="337">
        <f>SUMIFS(BS_RE33!$H$7:$H$874,BS_RE33!$S$7:$S$874,$R$2,BS_RE33!$N$7:$N$874,I24,BS_RE33!$P$7:$P$874,'30 days CF Table(JPY)'!G24,BS_RE33!$F$7:$F$874,'30 days CF Table(JPY)'!$C$2)</f>
        <v>0</v>
      </c>
      <c r="S24" s="337">
        <f>SUMIFS(BS_RE33!$H$7:$H$874,BS_RE33!$S$7:$S$874,$S$2,BS_RE33!$N$7:$N$874,I24,BS_RE33!$P$7:$P$874,'30 days CF Table(JPY)'!G24,BS_RE33!$F$7:$F$874,'30 days CF Table(JPY)'!$C$2)</f>
        <v>0</v>
      </c>
      <c r="T24" s="337">
        <f>SUMIFS(BS_RE33!$H$7:$H$874,BS_RE33!$S$7:$S$874,$T$2,BS_RE33!$N$7:$N$874,I24,BS_RE33!$P$7:$P$874,'30 days CF Table(JPY)'!G24,BS_RE33!$F$7:$F$874,'30 days CF Table(JPY)'!$C$2)</f>
        <v>0</v>
      </c>
      <c r="U24" s="337">
        <f>SUMIFS(BS_RE33!$H$7:$H$874,BS_RE33!$S$7:$S$874,$U$2,BS_RE33!$N$7:$N$874,I24,BS_RE33!$P$7:$P$874,'30 days CF Table(JPY)'!G24,BS_RE33!$F$7:$F$874,'30 days CF Table(JPY)'!$C$2)</f>
        <v>0</v>
      </c>
      <c r="V24" s="337">
        <f>SUMIFS(BS_RE33!$H$7:$H$874,BS_RE33!$S$7:$S$874,$V$2,BS_RE33!$N$7:$N$874,I24,BS_RE33!$P$7:$P$874,'30 days CF Table(JPY)'!G24,BS_RE33!$F$7:$F$874,'30 days CF Table(JPY)'!$C$2)</f>
        <v>0</v>
      </c>
      <c r="W24" s="337">
        <f>SUMIFS(BS_RE33!$H$7:$H$874,BS_RE33!$S$7:$S$874,$W$2,BS_RE33!$N$7:$N$874,I24,BS_RE33!$P$7:$P$874,'30 days CF Table(JPY)'!G24,BS_RE33!$F$7:$F$874,'30 days CF Table(JPY)'!$C$2)</f>
        <v>0</v>
      </c>
      <c r="X24" s="337">
        <f>SUMIFS(BS_RE33!$H$7:$H$874,BS_RE33!$S$7:$S$874,$X$2,BS_RE33!$N$7:$N$874,I24,BS_RE33!$P$7:$P$874,'30 days CF Table(JPY)'!G24,BS_RE33!$F$7:$F$874,'30 days CF Table(JPY)'!$C$2)</f>
        <v>0</v>
      </c>
      <c r="Y24" s="337">
        <f>SUMIFS(BS_RE33!$H$7:$H$874,BS_RE33!$S$7:$S$874,$Y$2,BS_RE33!$N$7:$N$874,I24,BS_RE33!$P$7:$P$874,'30 days CF Table(JPY)'!G24,BS_RE33!$F$7:$F$874,'30 days CF Table(JPY)'!$C$2)</f>
        <v>0</v>
      </c>
      <c r="Z24" s="337">
        <f>SUMIFS(BS_RE33!$H$7:$H$874,BS_RE33!$S$7:$S$874,$Z$2,BS_RE33!$N$7:$N$874,I24,BS_RE33!$P$7:$P$874,'30 days CF Table(JPY)'!G24,BS_RE33!$F$7:$F$874,'30 days CF Table(JPY)'!$C$2)</f>
        <v>0</v>
      </c>
      <c r="AA24" s="337">
        <f>SUMIFS(BS_RE33!$H$7:$H$874,BS_RE33!$S$7:$S$874,$AA$2,BS_RE33!$N$7:$N$874,I24,BS_RE33!$P$7:$P$874,'30 days CF Table(JPY)'!G24,BS_RE33!$F$7:$F$874,'30 days CF Table(JPY)'!$C$2)</f>
        <v>0</v>
      </c>
      <c r="AB24" s="337">
        <f>SUMIFS(BS_RE33!$H$7:$H$874,BS_RE33!$S$7:$S$874,$AB$2,BS_RE33!$N$7:$N$874,I24,BS_RE33!$P$7:$P$874,'30 days CF Table(JPY)'!G24,BS_RE33!$F$7:$F$874,'30 days CF Table(JPY)'!$C$2)</f>
        <v>0</v>
      </c>
      <c r="AC24" s="337">
        <f>SUMIFS(BS_RE33!$H$7:$H$874,BS_RE33!$S$7:$S$874,$AC$2,BS_RE33!$N$7:$N$874,I24,BS_RE33!$P$7:$P$874,'30 days CF Table(JPY)'!G24,BS_RE33!$F$7:$F$874,'30 days CF Table(JPY)'!$C$2)</f>
        <v>0</v>
      </c>
      <c r="AD24" s="337">
        <f>SUMIFS(BS_RE33!$H$7:$H$874,BS_RE33!$S$7:$S$874,$AD$2,BS_RE33!$N$7:$N$874,I24,BS_RE33!$P$7:$P$874,'30 days CF Table(JPY)'!G24,BS_RE33!$F$7:$F$874,'30 days CF Table(JPY)'!$C$2)</f>
        <v>0</v>
      </c>
      <c r="AE24" s="337">
        <f>SUMIFS(BS_RE33!$H$7:$H$874,BS_RE33!$S$7:$S$874,$AE$2,BS_RE33!$N$7:$N$874,I24,BS_RE33!$P$7:$P$874,'30 days CF Table(JPY)'!G24,BS_RE33!$F$7:$F$874,'30 days CF Table(JPY)'!$C$2)</f>
        <v>0</v>
      </c>
      <c r="AF24" s="337">
        <f>SUMIFS(BS_RE33!$H$7:$H$874,BS_RE33!$S$7:$S$874,$AF$2,BS_RE33!$N$7:$N$874,I24,BS_RE33!$P$7:$P$874,'30 days CF Table(JPY)'!G24,BS_RE33!$F$7:$F$874,'30 days CF Table(JPY)'!$C$2)</f>
        <v>0</v>
      </c>
      <c r="AG24" s="337">
        <f>SUMIFS(BS_RE33!$H$7:$H$874,BS_RE33!$S$7:$S$874,$AG$2,BS_RE33!$N$7:$N$874,I24,BS_RE33!$P$7:$P$874,'30 days CF Table(JPY)'!G24,BS_RE33!$F$7:$F$874,'30 days CF Table(JPY)'!$C$2)</f>
        <v>0</v>
      </c>
      <c r="AH24" s="337">
        <f>SUMIFS(BS_RE33!$H$7:$H$874,BS_RE33!$S$7:$S$874,$AH$2,BS_RE33!$N$7:$N$874,I24,BS_RE33!$P$7:$P$874,'30 days CF Table(JPY)'!G24,BS_RE33!$F$7:$F$874,'30 days CF Table(JPY)'!$C$2)</f>
        <v>0</v>
      </c>
      <c r="AI24" s="337">
        <f>SUMIFS(BS_RE33!$H$7:$H$874,BS_RE33!$S$7:$S$874,$AI$2,BS_RE33!$N$7:$N$874,I24,BS_RE33!$P$7:$P$874,'30 days CF Table(JPY)'!G24,BS_RE33!$F$7:$F$874,'30 days CF Table(JPY)'!$C$2)</f>
        <v>0</v>
      </c>
      <c r="AJ24" s="337">
        <f>SUMIFS(BS_RE33!$H$7:$H$874,BS_RE33!$S$7:$S$874,$AJ$2,BS_RE33!$N$7:$N$874,I24,BS_RE33!$P$7:$P$874,'30 days CF Table(JPY)'!G24,BS_RE33!$F$7:$F$874,'30 days CF Table(JPY)'!$C$2)</f>
        <v>0</v>
      </c>
      <c r="AK24" s="337">
        <f>SUMIFS(BS_RE33!$H$7:$H$874,BS_RE33!$S$7:$S$874,$AK$2,BS_RE33!$N$7:$N$874,I24,BS_RE33!$P$7:$P$874,'30 days CF Table(JPY)'!G24,BS_RE33!$F$7:$F$874,'30 days CF Table(JPY)'!$C$2)</f>
        <v>0</v>
      </c>
      <c r="AL24" s="337">
        <f>SUMIFS(BS_RE33!$H$7:$H$874,BS_RE33!$S$7:$S$874,$AL$2,BS_RE33!$N$7:$N$874,I24,BS_RE33!$P$7:$P$874,'30 days CF Table(JPY)'!G24,BS_RE33!$F$7:$F$874,'30 days CF Table(JPY)'!$C$2)</f>
        <v>0</v>
      </c>
      <c r="AM24" s="337">
        <f>SUMIFS(BS_RE33!$H$7:$H$874,BS_RE33!$S$7:$S$874,$AM$2,BS_RE33!$N$7:$N$874,I24,BS_RE33!$P$7:$P$874,'30 days CF Table(JPY)'!G24,BS_RE33!$F$7:$F$874,'30 days CF Table(JPY)'!$C$2)</f>
        <v>0</v>
      </c>
      <c r="AN24" s="337">
        <f>SUMIFS(BS_RE33!$H$7:$H$874,BS_RE33!$S$7:$S$874,$AN$2,BS_RE33!$N$7:$N$874,I24,BS_RE33!$P$7:$P$874,'30 days CF Table(JPY)'!G24,BS_RE33!$F$7:$F$874,'30 days CF Table(JPY)'!$C$2)</f>
        <v>0</v>
      </c>
      <c r="AO24" s="337">
        <f>SUMIFS(BS_RE33!$H$7:$H$874,BS_RE33!$S$7:$S$874,$AO$2,BS_RE33!$N$7:$N$874,I24,BS_RE33!$P$7:$P$874,'30 days CF Table(JPY)'!G24,BS_RE33!$F$7:$F$874,'30 days CF Table(JPY)'!$C$2)</f>
        <v>0</v>
      </c>
      <c r="AP24" s="338">
        <f>SUMIFS(BS_RE33!$H$7:$H$874,BS_RE33!$S$7:$S$874,$AP$2,BS_RE33!$N$7:$N$874,I24,BS_RE33!$P$7:$P$874,'30 days CF Table(JPY)'!G24,BS_RE33!$F$7:$F$874,'30 days CF Table(JPY)'!$C$2)</f>
        <v>0</v>
      </c>
      <c r="AQ24" s="545"/>
      <c r="AR24" s="379">
        <f>SUMIFS(BS_RE33!$H$7:$H$874,BS_RE33!$S$7:$S$874,$AR$2,BS_RE33!$N$7:$N$874,I24,BS_RE33!$P$7:$P$874,'30 days CF Table(JPY)'!G24,BS_RE33!$F$7:$F$874,'30 days CF Table(JPY)'!$C$2)</f>
        <v>0</v>
      </c>
      <c r="AS24" s="379">
        <f>SUMIFS(BS_RE33!$H$7:$H$874,BS_RE33!$S$7:$S$874,$AS$2,BS_RE33!$N$7:$N$874,I24,BS_RE33!$P$7:$P$874,'30 days CF Table(JPY)'!G24,BS_RE33!$F$7:$F$874,'30 days CF Table(JPY)'!$C$2)</f>
        <v>0</v>
      </c>
      <c r="AT24" s="379">
        <f>SUMIFS(BS_RE33!$H$7:$H$874,BS_RE33!$S$7:$S$874,$AT$2,BS_RE33!$N$7:$N$874,I24,BS_RE33!$P$7:$P$874,'30 days CF Table(JPY)'!G24,BS_RE33!$F$7:$F$874,'30 days CF Table(JPY)'!$C$2)</f>
        <v>0</v>
      </c>
      <c r="AU24" s="379">
        <f>SUMIFS(BS_RE33!$H$7:$H$874,BS_RE33!$S$7:$S$874,$AU$2,BS_RE33!$N$7:$N$874,I24,BS_RE33!$P$7:$P$874,'30 days CF Table(JPY)'!G24,BS_RE33!$F$7:$F$874,'30 days CF Table(JPY)'!$C$2)</f>
        <v>0</v>
      </c>
      <c r="AV24" s="379">
        <f>SUMIFS(BS_RE33!$H$7:$H$874,BS_RE33!$S$7:$S$874,$AV$2,BS_RE33!$N$7:$N$874,I24,BS_RE33!$P$7:$P$874,'30 days CF Table(JPY)'!G24,BS_RE33!$F$7:$F$874,'30 days CF Table(JPY)'!$C$2)</f>
        <v>0</v>
      </c>
      <c r="AW24" s="379">
        <f>SUMIFS(BS_RE33!$H$7:$H$874,BS_RE33!$S$7:$S$874,$AW$2,BS_RE33!$N$7:$N$874,I24,BS_RE33!$P$7:$P$874,'30 days CF Table(JPY)'!G24,BS_RE33!$F$7:$F$874,'30 days CF Table(JPY)'!$C$2)</f>
        <v>0</v>
      </c>
      <c r="AX24" s="379">
        <f>SUMIFS(BS_RE33!$H$7:$H$874,BS_RE33!$S$7:$S$874,$AX$2,BS_RE33!$N$7:$N$874,I24,BS_RE33!$P$7:$P$874,'30 days CF Table(JPY)'!G24,BS_RE33!$F$7:$F$874,'30 days CF Table(JPY)'!$C$2)</f>
        <v>0</v>
      </c>
      <c r="AY24" s="379">
        <f>SUMIFS(BS_RE33!$H$7:$H$874,BS_RE33!$S$7:$S$874,$AY$2,BS_RE33!$N$7:$N$874,I24,BS_RE33!$P$7:$P$874,'30 days CF Table(JPY)'!G24,BS_RE33!$F$7:$F$874,'30 days CF Table(JPY)'!$C$2)</f>
        <v>0</v>
      </c>
      <c r="AZ24" s="379">
        <f>SUMIFS(BS_RE33!$H$7:$H$874,BS_RE33!$S$7:$S$874,$AZ$2,BS_RE33!$N$7:$N$874,I24,BS_RE33!$P$7:$P$874,'30 days CF Table(JPY)'!G24,BS_RE33!$F$7:$F$874,'30 days CF Table(JPY)'!$C$2)</f>
        <v>0</v>
      </c>
      <c r="BA24" s="379">
        <f>SUMIFS(BS_RE33!$H$7:$H$874,BS_RE33!$S$7:$S$874,$BA$2,BS_RE33!$N$7:$N$874,I24,BS_RE33!$P$7:$P$874,'30 days CF Table(JPY)'!G24,BS_RE33!$F$7:$F$874,'30 days CF Table(JPY)'!$C$2)</f>
        <v>0</v>
      </c>
      <c r="BB24" s="379">
        <f>SUMIFS(BS_RE33!$H$7:$H$874,BS_RE33!$S$7:$S$874,$BB$2,BS_RE33!$N$7:$N$874,I24,BS_RE33!$P$7:$P$874,'30 days CF Table(JPY)'!G24,BS_RE33!$F$7:$F$874,'30 days CF Table(JPY)'!$C$2)</f>
        <v>0</v>
      </c>
      <c r="BC24" s="379">
        <f>SUMIFS(BS_RE33!$H$7:$H$874,BS_RE33!$S$7:$S$874,$BC$2,BS_RE33!$N$7:$N$874,I24,BS_RE33!$P$7:$P$874,'30 days CF Table(JPY)'!G24,BS_RE33!$F$7:$F$874,'30 days CF Table(JPY)'!$C$2)</f>
        <v>0</v>
      </c>
      <c r="BD24" s="379">
        <f>SUMIFS(BS_RE33!$H$7:$H$874,BS_RE33!$S$7:$S$874,$BD$2,BS_RE33!$N$7:$N$874,I24,BS_RE33!$P$7:$P$874,'30 days CF Table(JPY)'!G24,BS_RE33!$F$7:$F$874,'30 days CF Table(JPY)'!$C$2)</f>
        <v>0</v>
      </c>
      <c r="BE24" s="379">
        <f>SUMIFS(BS_RE33!$H$7:$H$874,BS_RE33!$S$7:$S$874,$BE$2,BS_RE33!$N$7:$N$874,I24,BS_RE33!$P$7:$P$874,'30 days CF Table(JPY)'!G24,BS_RE33!$F$7:$F$874,'30 days CF Table(JPY)'!$C$2)</f>
        <v>0</v>
      </c>
      <c r="BF24" s="379">
        <f>SUMIFS(BS_RE33!$H$7:$H$874,BS_RE33!$S$7:$S$874,$BF$2,BS_RE33!$N$7:$N$874,I24,BS_RE33!$P$7:$P$874,'30 days CF Table(JPY)'!G24,BS_RE33!$F$7:$F$874,'30 days CF Table(JPY)'!$C$2)</f>
        <v>0</v>
      </c>
      <c r="BG24" s="379">
        <f>SUMIFS(BS_RE33!$H$7:$H$874,BS_RE33!$S$7:$S$874,$BG$2,BS_RE33!$N$7:$N$874,I24,BS_RE33!$P$7:$P$874,'30 days CF Table(JPY)'!G24,BS_RE33!$F$7:$F$874,'30 days CF Table(JPY)'!$C$2)</f>
        <v>0</v>
      </c>
      <c r="BH24" s="379">
        <f>SUMIFS(BS_RE33!$H$7:$H$874,BS_RE33!$S$7:$S$874,$BH$2,BS_RE33!$N$7:$N$874,I24,BS_RE33!$P$7:$P$874,'30 days CF Table(JPY)'!G24,BS_RE33!$F$7:$F$874,'30 days CF Table(JPY)'!$C$2)</f>
        <v>0</v>
      </c>
      <c r="BI24" s="379">
        <f>SUMIFS(BS_RE33!$H$7:$H$874,BS_RE33!$S$7:$S$874,$BI$2,BS_RE33!$N$7:$N$874,I24,BS_RE33!$P$7:$P$874,'30 days CF Table(JPY)'!G24,BS_RE33!$F$7:$F$874,'30 days CF Table(JPY)'!$C$2)</f>
        <v>0</v>
      </c>
      <c r="BJ24" s="379">
        <f>SUMIFS(BS_RE33!$H$7:$H$874,BS_RE33!$S$7:$S$874,$BJ$2,BS_RE33!$N$7:$N$874,I24,BS_RE33!$P$7:$P$874,'30 days CF Table(JPY)'!G24,BS_RE33!$F$7:$F$874,'30 days CF Table(JPY)'!$C$2)</f>
        <v>0</v>
      </c>
      <c r="BK24" s="379">
        <f>SUMIFS(BS_RE33!$H$7:$H$874,BS_RE33!$S$7:$S$874,$BK$2,BS_RE33!$N$7:$N$874,I24,BS_RE33!$P$7:$P$874,'30 days CF Table(JPY)'!G24,BS_RE33!$F$7:$F$874,'30 days CF Table(JPY)'!$C$2)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Table(JPY)'!G25,BS_RE33!$F$7:$F$874,'30 days CF Table(JPY)'!$C$2)</f>
        <v>0</v>
      </c>
      <c r="M25" s="337">
        <f>SUMIFS(BS_RE33!$H$7:$H$874,BS_RE33!$S$7:$S$874,$M$2,BS_RE33!$N$7:$N$874,I25,BS_RE33!$P$7:$P$874,'30 days CF Table(JPY)'!G25,BS_RE33!$F$7:$F$874,'30 days CF Table(JPY)'!$C$2)</f>
        <v>0</v>
      </c>
      <c r="N25" s="337">
        <f>SUMIFS(BS_RE33!$H$7:$H$874,BS_RE33!$S$7:$S$874,$N$2,BS_RE33!$N$7:$N$874,I25,BS_RE33!$P$7:$P$874,'30 days CF Table(JPY)'!G25,BS_RE33!$F$7:$F$874,'30 days CF Table(JPY)'!$C$2)</f>
        <v>0</v>
      </c>
      <c r="O25" s="337">
        <f>SUMIFS(BS_RE33!$H$7:$H$874,BS_RE33!$S$7:$S$874,$O$2,BS_RE33!$N$7:$N$874,I25,BS_RE33!$P$7:$P$874,'30 days CF Table(JPY)'!G25,BS_RE33!$F$7:$F$874,'30 days CF Table(JPY)'!$C$2)</f>
        <v>0</v>
      </c>
      <c r="P25" s="337">
        <f>SUMIFS(BS_RE33!$H$7:$H$874,BS_RE33!$S$7:$S$874,$P$2,BS_RE33!$N$7:$N$874,I25,BS_RE33!$P$7:$P$874,'30 days CF Table(JPY)'!G25,BS_RE33!$F$7:$F$874,'30 days CF Table(JPY)'!$C$2)</f>
        <v>0</v>
      </c>
      <c r="Q25" s="337">
        <f>SUMIFS(BS_RE33!$H$7:$H$874,BS_RE33!$S$7:$S$874,$Q$2,BS_RE33!$N$7:$N$874,I25,BS_RE33!$P$7:$P$874,'30 days CF Table(JPY)'!G25,BS_RE33!$F$7:$F$874,'30 days CF Table(JPY)'!$C$2)</f>
        <v>0</v>
      </c>
      <c r="R25" s="337">
        <f>SUMIFS(BS_RE33!$H$7:$H$874,BS_RE33!$S$7:$S$874,$R$2,BS_RE33!$N$7:$N$874,I25,BS_RE33!$P$7:$P$874,'30 days CF Table(JPY)'!G25,BS_RE33!$F$7:$F$874,'30 days CF Table(JPY)'!$C$2)</f>
        <v>0</v>
      </c>
      <c r="S25" s="337">
        <f>SUMIFS(BS_RE33!$H$7:$H$874,BS_RE33!$S$7:$S$874,$S$2,BS_RE33!$N$7:$N$874,I25,BS_RE33!$P$7:$P$874,'30 days CF Table(JPY)'!G25,BS_RE33!$F$7:$F$874,'30 days CF Table(JPY)'!$C$2)</f>
        <v>0</v>
      </c>
      <c r="T25" s="337">
        <f>SUMIFS(BS_RE33!$H$7:$H$874,BS_RE33!$S$7:$S$874,$T$2,BS_RE33!$N$7:$N$874,I25,BS_RE33!$P$7:$P$874,'30 days CF Table(JPY)'!G25,BS_RE33!$F$7:$F$874,'30 days CF Table(JPY)'!$C$2)</f>
        <v>0</v>
      </c>
      <c r="U25" s="337">
        <f>SUMIFS(BS_RE33!$H$7:$H$874,BS_RE33!$S$7:$S$874,$U$2,BS_RE33!$N$7:$N$874,I25,BS_RE33!$P$7:$P$874,'30 days CF Table(JPY)'!G25,BS_RE33!$F$7:$F$874,'30 days CF Table(JPY)'!$C$2)</f>
        <v>0</v>
      </c>
      <c r="V25" s="337">
        <f>SUMIFS(BS_RE33!$H$7:$H$874,BS_RE33!$S$7:$S$874,$V$2,BS_RE33!$N$7:$N$874,I25,BS_RE33!$P$7:$P$874,'30 days CF Table(JPY)'!G25,BS_RE33!$F$7:$F$874,'30 days CF Table(JPY)'!$C$2)</f>
        <v>0</v>
      </c>
      <c r="W25" s="337">
        <f>SUMIFS(BS_RE33!$H$7:$H$874,BS_RE33!$S$7:$S$874,$W$2,BS_RE33!$N$7:$N$874,I25,BS_RE33!$P$7:$P$874,'30 days CF Table(JPY)'!G25,BS_RE33!$F$7:$F$874,'30 days CF Table(JPY)'!$C$2)</f>
        <v>0</v>
      </c>
      <c r="X25" s="337">
        <f>SUMIFS(BS_RE33!$H$7:$H$874,BS_RE33!$S$7:$S$874,$X$2,BS_RE33!$N$7:$N$874,I25,BS_RE33!$P$7:$P$874,'30 days CF Table(JPY)'!G25,BS_RE33!$F$7:$F$874,'30 days CF Table(JPY)'!$C$2)</f>
        <v>0</v>
      </c>
      <c r="Y25" s="337">
        <f>SUMIFS(BS_RE33!$H$7:$H$874,BS_RE33!$S$7:$S$874,$Y$2,BS_RE33!$N$7:$N$874,I25,BS_RE33!$P$7:$P$874,'30 days CF Table(JPY)'!G25,BS_RE33!$F$7:$F$874,'30 days CF Table(JPY)'!$C$2)</f>
        <v>0</v>
      </c>
      <c r="Z25" s="337">
        <f>SUMIFS(BS_RE33!$H$7:$H$874,BS_RE33!$S$7:$S$874,$Z$2,BS_RE33!$N$7:$N$874,I25,BS_RE33!$P$7:$P$874,'30 days CF Table(JPY)'!G25,BS_RE33!$F$7:$F$874,'30 days CF Table(JPY)'!$C$2)</f>
        <v>0</v>
      </c>
      <c r="AA25" s="337">
        <f>SUMIFS(BS_RE33!$H$7:$H$874,BS_RE33!$S$7:$S$874,$AA$2,BS_RE33!$N$7:$N$874,I25,BS_RE33!$P$7:$P$874,'30 days CF Table(JPY)'!G25,BS_RE33!$F$7:$F$874,'30 days CF Table(JPY)'!$C$2)</f>
        <v>0</v>
      </c>
      <c r="AB25" s="337">
        <f>SUMIFS(BS_RE33!$H$7:$H$874,BS_RE33!$S$7:$S$874,$AB$2,BS_RE33!$N$7:$N$874,I25,BS_RE33!$P$7:$P$874,'30 days CF Table(JPY)'!G25,BS_RE33!$F$7:$F$874,'30 days CF Table(JPY)'!$C$2)</f>
        <v>0</v>
      </c>
      <c r="AC25" s="337">
        <f>SUMIFS(BS_RE33!$H$7:$H$874,BS_RE33!$S$7:$S$874,$AC$2,BS_RE33!$N$7:$N$874,I25,BS_RE33!$P$7:$P$874,'30 days CF Table(JPY)'!G25,BS_RE33!$F$7:$F$874,'30 days CF Table(JPY)'!$C$2)</f>
        <v>0</v>
      </c>
      <c r="AD25" s="337">
        <f>SUMIFS(BS_RE33!$H$7:$H$874,BS_RE33!$S$7:$S$874,$AD$2,BS_RE33!$N$7:$N$874,I25,BS_RE33!$P$7:$P$874,'30 days CF Table(JPY)'!G25,BS_RE33!$F$7:$F$874,'30 days CF Table(JPY)'!$C$2)</f>
        <v>0</v>
      </c>
      <c r="AE25" s="337">
        <f>SUMIFS(BS_RE33!$H$7:$H$874,BS_RE33!$S$7:$S$874,$AE$2,BS_RE33!$N$7:$N$874,I25,BS_RE33!$P$7:$P$874,'30 days CF Table(JPY)'!G25,BS_RE33!$F$7:$F$874,'30 days CF Table(JPY)'!$C$2)</f>
        <v>0</v>
      </c>
      <c r="AF25" s="337">
        <f>SUMIFS(BS_RE33!$H$7:$H$874,BS_RE33!$S$7:$S$874,$AF$2,BS_RE33!$N$7:$N$874,I25,BS_RE33!$P$7:$P$874,'30 days CF Table(JPY)'!G25,BS_RE33!$F$7:$F$874,'30 days CF Table(JPY)'!$C$2)</f>
        <v>0</v>
      </c>
      <c r="AG25" s="337">
        <f>SUMIFS(BS_RE33!$H$7:$H$874,BS_RE33!$S$7:$S$874,$AG$2,BS_RE33!$N$7:$N$874,I25,BS_RE33!$P$7:$P$874,'30 days CF Table(JPY)'!G25,BS_RE33!$F$7:$F$874,'30 days CF Table(JPY)'!$C$2)</f>
        <v>0</v>
      </c>
      <c r="AH25" s="337">
        <f>SUMIFS(BS_RE33!$H$7:$H$874,BS_RE33!$S$7:$S$874,$AH$2,BS_RE33!$N$7:$N$874,I25,BS_RE33!$P$7:$P$874,'30 days CF Table(JPY)'!G25,BS_RE33!$F$7:$F$874,'30 days CF Table(JPY)'!$C$2)</f>
        <v>0</v>
      </c>
      <c r="AI25" s="337">
        <f>SUMIFS(BS_RE33!$H$7:$H$874,BS_RE33!$S$7:$S$874,$AI$2,BS_RE33!$N$7:$N$874,I25,BS_RE33!$P$7:$P$874,'30 days CF Table(JPY)'!G25,BS_RE33!$F$7:$F$874,'30 days CF Table(JPY)'!$C$2)</f>
        <v>0</v>
      </c>
      <c r="AJ25" s="337">
        <f>SUMIFS(BS_RE33!$H$7:$H$874,BS_RE33!$S$7:$S$874,$AJ$2,BS_RE33!$N$7:$N$874,I25,BS_RE33!$P$7:$P$874,'30 days CF Table(JPY)'!G25,BS_RE33!$F$7:$F$874,'30 days CF Table(JPY)'!$C$2)</f>
        <v>0</v>
      </c>
      <c r="AK25" s="337">
        <f>SUMIFS(BS_RE33!$H$7:$H$874,BS_RE33!$S$7:$S$874,$AK$2,BS_RE33!$N$7:$N$874,I25,BS_RE33!$P$7:$P$874,'30 days CF Table(JPY)'!G25,BS_RE33!$F$7:$F$874,'30 days CF Table(JPY)'!$C$2)</f>
        <v>0</v>
      </c>
      <c r="AL25" s="337">
        <f>SUMIFS(BS_RE33!$H$7:$H$874,BS_RE33!$S$7:$S$874,$AL$2,BS_RE33!$N$7:$N$874,I25,BS_RE33!$P$7:$P$874,'30 days CF Table(JPY)'!G25,BS_RE33!$F$7:$F$874,'30 days CF Table(JPY)'!$C$2)</f>
        <v>0</v>
      </c>
      <c r="AM25" s="337">
        <f>SUMIFS(BS_RE33!$H$7:$H$874,BS_RE33!$S$7:$S$874,$AM$2,BS_RE33!$N$7:$N$874,I25,BS_RE33!$P$7:$P$874,'30 days CF Table(JPY)'!G25,BS_RE33!$F$7:$F$874,'30 days CF Table(JPY)'!$C$2)</f>
        <v>0</v>
      </c>
      <c r="AN25" s="337">
        <f>SUMIFS(BS_RE33!$H$7:$H$874,BS_RE33!$S$7:$S$874,$AN$2,BS_RE33!$N$7:$N$874,I25,BS_RE33!$P$7:$P$874,'30 days CF Table(JPY)'!G25,BS_RE33!$F$7:$F$874,'30 days CF Table(JPY)'!$C$2)</f>
        <v>0</v>
      </c>
      <c r="AO25" s="337">
        <f>SUMIFS(BS_RE33!$H$7:$H$874,BS_RE33!$S$7:$S$874,$AO$2,BS_RE33!$N$7:$N$874,I25,BS_RE33!$P$7:$P$874,'30 days CF Table(JPY)'!G25,BS_RE33!$F$7:$F$874,'30 days CF Table(JPY)'!$C$2)</f>
        <v>0</v>
      </c>
      <c r="AP25" s="338">
        <f>SUMIFS(BS_RE33!$H$7:$H$874,BS_RE33!$S$7:$S$874,$AP$2,BS_RE33!$N$7:$N$874,I25,BS_RE33!$P$7:$P$874,'30 days CF Table(JPY)'!G25,BS_RE33!$F$7:$F$874,'30 days CF Table(JPY)'!$C$2)</f>
        <v>0</v>
      </c>
      <c r="AR25" s="379">
        <f>SUMIFS(BS_RE33!$H$7:$H$874,BS_RE33!$S$7:$S$874,$AR$2,BS_RE33!$N$7:$N$874,I25,BS_RE33!$P$7:$P$874,'30 days CF Table(JPY)'!G25,BS_RE33!$F$7:$F$874,'30 days CF Table(JPY)'!$C$2)</f>
        <v>0</v>
      </c>
      <c r="AS25" s="379">
        <f>SUMIFS(BS_RE33!$H$7:$H$874,BS_RE33!$S$7:$S$874,$AS$2,BS_RE33!$N$7:$N$874,I25,BS_RE33!$P$7:$P$874,'30 days CF Table(JPY)'!G25,BS_RE33!$F$7:$F$874,'30 days CF Table(JPY)'!$C$2)</f>
        <v>0</v>
      </c>
      <c r="AT25" s="379">
        <f>SUMIFS(BS_RE33!$H$7:$H$874,BS_RE33!$S$7:$S$874,$AT$2,BS_RE33!$N$7:$N$874,I25,BS_RE33!$P$7:$P$874,'30 days CF Table(JPY)'!G25,BS_RE33!$F$7:$F$874,'30 days CF Table(JPY)'!$C$2)</f>
        <v>0</v>
      </c>
      <c r="AU25" s="379">
        <f>SUMIFS(BS_RE33!$H$7:$H$874,BS_RE33!$S$7:$S$874,$AU$2,BS_RE33!$N$7:$N$874,I25,BS_RE33!$P$7:$P$874,'30 days CF Table(JPY)'!G25,BS_RE33!$F$7:$F$874,'30 days CF Table(JPY)'!$C$2)</f>
        <v>0</v>
      </c>
      <c r="AV25" s="379">
        <f>SUMIFS(BS_RE33!$H$7:$H$874,BS_RE33!$S$7:$S$874,$AV$2,BS_RE33!$N$7:$N$874,I25,BS_RE33!$P$7:$P$874,'30 days CF Table(JPY)'!G25,BS_RE33!$F$7:$F$874,'30 days CF Table(JPY)'!$C$2)</f>
        <v>0</v>
      </c>
      <c r="AW25" s="379">
        <f>SUMIFS(BS_RE33!$H$7:$H$874,BS_RE33!$S$7:$S$874,$AW$2,BS_RE33!$N$7:$N$874,I25,BS_RE33!$P$7:$P$874,'30 days CF Table(JPY)'!G25,BS_RE33!$F$7:$F$874,'30 days CF Table(JPY)'!$C$2)</f>
        <v>0</v>
      </c>
      <c r="AX25" s="379">
        <f>SUMIFS(BS_RE33!$H$7:$H$874,BS_RE33!$S$7:$S$874,$AX$2,BS_RE33!$N$7:$N$874,I25,BS_RE33!$P$7:$P$874,'30 days CF Table(JPY)'!G25,BS_RE33!$F$7:$F$874,'30 days CF Table(JPY)'!$C$2)</f>
        <v>0</v>
      </c>
      <c r="AY25" s="379">
        <f>SUMIFS(BS_RE33!$H$7:$H$874,BS_RE33!$S$7:$S$874,$AY$2,BS_RE33!$N$7:$N$874,I25,BS_RE33!$P$7:$P$874,'30 days CF Table(JPY)'!G25,BS_RE33!$F$7:$F$874,'30 days CF Table(JPY)'!$C$2)</f>
        <v>0</v>
      </c>
      <c r="AZ25" s="379">
        <f>SUMIFS(BS_RE33!$H$7:$H$874,BS_RE33!$S$7:$S$874,$AZ$2,BS_RE33!$N$7:$N$874,I25,BS_RE33!$P$7:$P$874,'30 days CF Table(JPY)'!G25,BS_RE33!$F$7:$F$874,'30 days CF Table(JPY)'!$C$2)</f>
        <v>0</v>
      </c>
      <c r="BA25" s="379">
        <f>SUMIFS(BS_RE33!$H$7:$H$874,BS_RE33!$S$7:$S$874,$BA$2,BS_RE33!$N$7:$N$874,I25,BS_RE33!$P$7:$P$874,'30 days CF Table(JPY)'!G25,BS_RE33!$F$7:$F$874,'30 days CF Table(JPY)'!$C$2)</f>
        <v>0</v>
      </c>
      <c r="BB25" s="379">
        <f>SUMIFS(BS_RE33!$H$7:$H$874,BS_RE33!$S$7:$S$874,$BB$2,BS_RE33!$N$7:$N$874,I25,BS_RE33!$P$7:$P$874,'30 days CF Table(JPY)'!G25,BS_RE33!$F$7:$F$874,'30 days CF Table(JPY)'!$C$2)</f>
        <v>0</v>
      </c>
      <c r="BC25" s="379">
        <f>SUMIFS(BS_RE33!$H$7:$H$874,BS_RE33!$S$7:$S$874,$BC$2,BS_RE33!$N$7:$N$874,I25,BS_RE33!$P$7:$P$874,'30 days CF Table(JPY)'!G25,BS_RE33!$F$7:$F$874,'30 days CF Table(JPY)'!$C$2)</f>
        <v>0</v>
      </c>
      <c r="BD25" s="379">
        <f>SUMIFS(BS_RE33!$H$7:$H$874,BS_RE33!$S$7:$S$874,$BD$2,BS_RE33!$N$7:$N$874,I25,BS_RE33!$P$7:$P$874,'30 days CF Table(JPY)'!G25,BS_RE33!$F$7:$F$874,'30 days CF Table(JPY)'!$C$2)</f>
        <v>0</v>
      </c>
      <c r="BE25" s="379">
        <f>SUMIFS(BS_RE33!$H$7:$H$874,BS_RE33!$S$7:$S$874,$BE$2,BS_RE33!$N$7:$N$874,I25,BS_RE33!$P$7:$P$874,'30 days CF Table(JPY)'!G25,BS_RE33!$F$7:$F$874,'30 days CF Table(JPY)'!$C$2)</f>
        <v>0</v>
      </c>
      <c r="BF25" s="379">
        <f>SUMIFS(BS_RE33!$H$7:$H$874,BS_RE33!$S$7:$S$874,$BF$2,BS_RE33!$N$7:$N$874,I25,BS_RE33!$P$7:$P$874,'30 days CF Table(JPY)'!G25,BS_RE33!$F$7:$F$874,'30 days CF Table(JPY)'!$C$2)</f>
        <v>0</v>
      </c>
      <c r="BG25" s="379">
        <f>SUMIFS(BS_RE33!$H$7:$H$874,BS_RE33!$S$7:$S$874,$BG$2,BS_RE33!$N$7:$N$874,I25,BS_RE33!$P$7:$P$874,'30 days CF Table(JPY)'!G25,BS_RE33!$F$7:$F$874,'30 days CF Table(JPY)'!$C$2)</f>
        <v>0</v>
      </c>
      <c r="BH25" s="379">
        <f>SUMIFS(BS_RE33!$H$7:$H$874,BS_RE33!$S$7:$S$874,$BH$2,BS_RE33!$N$7:$N$874,I25,BS_RE33!$P$7:$P$874,'30 days CF Table(JPY)'!G25,BS_RE33!$F$7:$F$874,'30 days CF Table(JPY)'!$C$2)</f>
        <v>0</v>
      </c>
      <c r="BI25" s="379">
        <f>SUMIFS(BS_RE33!$H$7:$H$874,BS_RE33!$S$7:$S$874,$BI$2,BS_RE33!$N$7:$N$874,I25,BS_RE33!$P$7:$P$874,'30 days CF Table(JPY)'!G25,BS_RE33!$F$7:$F$874,'30 days CF Table(JPY)'!$C$2)</f>
        <v>0</v>
      </c>
      <c r="BJ25" s="379">
        <f>SUMIFS(BS_RE33!$H$7:$H$874,BS_RE33!$S$7:$S$874,$BJ$2,BS_RE33!$N$7:$N$874,I25,BS_RE33!$P$7:$P$874,'30 days CF Table(JPY)'!G25,BS_RE33!$F$7:$F$874,'30 days CF Table(JPY)'!$C$2)</f>
        <v>0</v>
      </c>
      <c r="BK25" s="379">
        <f>SUMIFS(BS_RE33!$H$7:$H$874,BS_RE33!$S$7:$S$874,$BK$2,BS_RE33!$N$7:$N$874,I25,BS_RE33!$P$7:$P$874,'30 days CF Table(JPY)'!G25,BS_RE33!$F$7:$F$874,'30 days CF Table(JPY)'!$C$2)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Table(JPY)'!G26,BS_RE33!$F$7:$F$874,'30 days CF Table(JPY)'!$C$2)</f>
        <v>0</v>
      </c>
      <c r="M26" s="337">
        <f>SUMIFS(BS_RE33!$H$7:$H$874,BS_RE33!$S$7:$S$874,$M$2,BS_RE33!$N$7:$N$874,I26,BS_RE33!$P$7:$P$874,'30 days CF Table(JPY)'!G26,BS_RE33!$F$7:$F$874,'30 days CF Table(JPY)'!$C$2)</f>
        <v>0</v>
      </c>
      <c r="N26" s="337">
        <f>SUMIFS(BS_RE33!$H$7:$H$874,BS_RE33!$S$7:$S$874,$N$2,BS_RE33!$N$7:$N$874,I26,BS_RE33!$P$7:$P$874,'30 days CF Table(JPY)'!G26,BS_RE33!$F$7:$F$874,'30 days CF Table(JPY)'!$C$2)</f>
        <v>0</v>
      </c>
      <c r="O26" s="337">
        <f>SUMIFS(BS_RE33!$H$7:$H$874,BS_RE33!$S$7:$S$874,$O$2,BS_RE33!$N$7:$N$874,I26,BS_RE33!$P$7:$P$874,'30 days CF Table(JPY)'!G26,BS_RE33!$F$7:$F$874,'30 days CF Table(JPY)'!$C$2)</f>
        <v>0</v>
      </c>
      <c r="P26" s="337">
        <f>SUMIFS(BS_RE33!$H$7:$H$874,BS_RE33!$S$7:$S$874,$P$2,BS_RE33!$N$7:$N$874,I26,BS_RE33!$P$7:$P$874,'30 days CF Table(JPY)'!G26,BS_RE33!$F$7:$F$874,'30 days CF Table(JPY)'!$C$2)</f>
        <v>0</v>
      </c>
      <c r="Q26" s="337">
        <f>SUMIFS(BS_RE33!$H$7:$H$874,BS_RE33!$S$7:$S$874,$Q$2,BS_RE33!$N$7:$N$874,I26,BS_RE33!$P$7:$P$874,'30 days CF Table(JPY)'!G26,BS_RE33!$F$7:$F$874,'30 days CF Table(JPY)'!$C$2)</f>
        <v>0</v>
      </c>
      <c r="R26" s="337">
        <f>SUMIFS(BS_RE33!$H$7:$H$874,BS_RE33!$S$7:$S$874,$R$2,BS_RE33!$N$7:$N$874,I26,BS_RE33!$P$7:$P$874,'30 days CF Table(JPY)'!G26,BS_RE33!$F$7:$F$874,'30 days CF Table(JPY)'!$C$2)</f>
        <v>0</v>
      </c>
      <c r="S26" s="337">
        <f>SUMIFS(BS_RE33!$H$7:$H$874,BS_RE33!$S$7:$S$874,$S$2,BS_RE33!$N$7:$N$874,I26,BS_RE33!$P$7:$P$874,'30 days CF Table(JPY)'!G26,BS_RE33!$F$7:$F$874,'30 days CF Table(JPY)'!$C$2)</f>
        <v>0</v>
      </c>
      <c r="T26" s="337">
        <f>SUMIFS(BS_RE33!$H$7:$H$874,BS_RE33!$S$7:$S$874,$T$2,BS_RE33!$N$7:$N$874,I26,BS_RE33!$P$7:$P$874,'30 days CF Table(JPY)'!G26,BS_RE33!$F$7:$F$874,'30 days CF Table(JPY)'!$C$2)</f>
        <v>0</v>
      </c>
      <c r="U26" s="337">
        <f>SUMIFS(BS_RE33!$H$7:$H$874,BS_RE33!$S$7:$S$874,$U$2,BS_RE33!$N$7:$N$874,I26,BS_RE33!$P$7:$P$874,'30 days CF Table(JPY)'!G26,BS_RE33!$F$7:$F$874,'30 days CF Table(JPY)'!$C$2)</f>
        <v>0</v>
      </c>
      <c r="V26" s="337">
        <f>SUMIFS(BS_RE33!$H$7:$H$874,BS_RE33!$S$7:$S$874,$V$2,BS_RE33!$N$7:$N$874,I26,BS_RE33!$P$7:$P$874,'30 days CF Table(JPY)'!G26,BS_RE33!$F$7:$F$874,'30 days CF Table(JPY)'!$C$2)</f>
        <v>0</v>
      </c>
      <c r="W26" s="337">
        <f>SUMIFS(BS_RE33!$H$7:$H$874,BS_RE33!$S$7:$S$874,$W$2,BS_RE33!$N$7:$N$874,I26,BS_RE33!$P$7:$P$874,'30 days CF Table(JPY)'!G26,BS_RE33!$F$7:$F$874,'30 days CF Table(JPY)'!$C$2)</f>
        <v>0</v>
      </c>
      <c r="X26" s="337">
        <f>SUMIFS(BS_RE33!$H$7:$H$874,BS_RE33!$S$7:$S$874,$X$2,BS_RE33!$N$7:$N$874,I26,BS_RE33!$P$7:$P$874,'30 days CF Table(JPY)'!G26,BS_RE33!$F$7:$F$874,'30 days CF Table(JPY)'!$C$2)</f>
        <v>0</v>
      </c>
      <c r="Y26" s="337">
        <f>SUMIFS(BS_RE33!$H$7:$H$874,BS_RE33!$S$7:$S$874,$Y$2,BS_RE33!$N$7:$N$874,I26,BS_RE33!$P$7:$P$874,'30 days CF Table(JPY)'!G26,BS_RE33!$F$7:$F$874,'30 days CF Table(JPY)'!$C$2)</f>
        <v>0</v>
      </c>
      <c r="Z26" s="337">
        <f>SUMIFS(BS_RE33!$H$7:$H$874,BS_RE33!$S$7:$S$874,$Z$2,BS_RE33!$N$7:$N$874,I26,BS_RE33!$P$7:$P$874,'30 days CF Table(JPY)'!G26,BS_RE33!$F$7:$F$874,'30 days CF Table(JPY)'!$C$2)</f>
        <v>0</v>
      </c>
      <c r="AA26" s="337">
        <f>SUMIFS(BS_RE33!$H$7:$H$874,BS_RE33!$S$7:$S$874,$AA$2,BS_RE33!$N$7:$N$874,I26,BS_RE33!$P$7:$P$874,'30 days CF Table(JPY)'!G26,BS_RE33!$F$7:$F$874,'30 days CF Table(JPY)'!$C$2)</f>
        <v>0</v>
      </c>
      <c r="AB26" s="337">
        <f>SUMIFS(BS_RE33!$H$7:$H$874,BS_RE33!$S$7:$S$874,$AB$2,BS_RE33!$N$7:$N$874,I26,BS_RE33!$P$7:$P$874,'30 days CF Table(JPY)'!G26,BS_RE33!$F$7:$F$874,'30 days CF Table(JPY)'!$C$2)</f>
        <v>0</v>
      </c>
      <c r="AC26" s="337">
        <f>SUMIFS(BS_RE33!$H$7:$H$874,BS_RE33!$S$7:$S$874,$AC$2,BS_RE33!$N$7:$N$874,I26,BS_RE33!$P$7:$P$874,'30 days CF Table(JPY)'!G26,BS_RE33!$F$7:$F$874,'30 days CF Table(JPY)'!$C$2)</f>
        <v>0</v>
      </c>
      <c r="AD26" s="337">
        <f>SUMIFS(BS_RE33!$H$7:$H$874,BS_RE33!$S$7:$S$874,$AD$2,BS_RE33!$N$7:$N$874,I26,BS_RE33!$P$7:$P$874,'30 days CF Table(JPY)'!G26,BS_RE33!$F$7:$F$874,'30 days CF Table(JPY)'!$C$2)</f>
        <v>0</v>
      </c>
      <c r="AE26" s="337">
        <f>SUMIFS(BS_RE33!$H$7:$H$874,BS_RE33!$S$7:$S$874,$AE$2,BS_RE33!$N$7:$N$874,I26,BS_RE33!$P$7:$P$874,'30 days CF Table(JPY)'!G26,BS_RE33!$F$7:$F$874,'30 days CF Table(JPY)'!$C$2)</f>
        <v>0</v>
      </c>
      <c r="AF26" s="337">
        <f>SUMIFS(BS_RE33!$H$7:$H$874,BS_RE33!$S$7:$S$874,$AF$2,BS_RE33!$N$7:$N$874,I26,BS_RE33!$P$7:$P$874,'30 days CF Table(JPY)'!G26,BS_RE33!$F$7:$F$874,'30 days CF Table(JPY)'!$C$2)</f>
        <v>0</v>
      </c>
      <c r="AG26" s="337">
        <f>SUMIFS(BS_RE33!$H$7:$H$874,BS_RE33!$S$7:$S$874,$AG$2,BS_RE33!$N$7:$N$874,I26,BS_RE33!$P$7:$P$874,'30 days CF Table(JPY)'!G26,BS_RE33!$F$7:$F$874,'30 days CF Table(JPY)'!$C$2)</f>
        <v>0</v>
      </c>
      <c r="AH26" s="337">
        <f>SUMIFS(BS_RE33!$H$7:$H$874,BS_RE33!$S$7:$S$874,$AH$2,BS_RE33!$N$7:$N$874,I26,BS_RE33!$P$7:$P$874,'30 days CF Table(JPY)'!G26,BS_RE33!$F$7:$F$874,'30 days CF Table(JPY)'!$C$2)</f>
        <v>0</v>
      </c>
      <c r="AI26" s="337">
        <f>SUMIFS(BS_RE33!$H$7:$H$874,BS_RE33!$S$7:$S$874,$AI$2,BS_RE33!$N$7:$N$874,I26,BS_RE33!$P$7:$P$874,'30 days CF Table(JPY)'!G26,BS_RE33!$F$7:$F$874,'30 days CF Table(JPY)'!$C$2)</f>
        <v>0</v>
      </c>
      <c r="AJ26" s="337">
        <f>SUMIFS(BS_RE33!$H$7:$H$874,BS_RE33!$S$7:$S$874,$AJ$2,BS_RE33!$N$7:$N$874,I26,BS_RE33!$P$7:$P$874,'30 days CF Table(JPY)'!G26,BS_RE33!$F$7:$F$874,'30 days CF Table(JPY)'!$C$2)</f>
        <v>0</v>
      </c>
      <c r="AK26" s="337">
        <f>SUMIFS(BS_RE33!$H$7:$H$874,BS_RE33!$S$7:$S$874,$AK$2,BS_RE33!$N$7:$N$874,I26,BS_RE33!$P$7:$P$874,'30 days CF Table(JPY)'!G26,BS_RE33!$F$7:$F$874,'30 days CF Table(JPY)'!$C$2)</f>
        <v>0</v>
      </c>
      <c r="AL26" s="337">
        <f>SUMIFS(BS_RE33!$H$7:$H$874,BS_RE33!$S$7:$S$874,$AL$2,BS_RE33!$N$7:$N$874,I26,BS_RE33!$P$7:$P$874,'30 days CF Table(JPY)'!G26,BS_RE33!$F$7:$F$874,'30 days CF Table(JPY)'!$C$2)</f>
        <v>0</v>
      </c>
      <c r="AM26" s="337">
        <f>SUMIFS(BS_RE33!$H$7:$H$874,BS_RE33!$S$7:$S$874,$AM$2,BS_RE33!$N$7:$N$874,I26,BS_RE33!$P$7:$P$874,'30 days CF Table(JPY)'!G26,BS_RE33!$F$7:$F$874,'30 days CF Table(JPY)'!$C$2)</f>
        <v>0</v>
      </c>
      <c r="AN26" s="337">
        <f>SUMIFS(BS_RE33!$H$7:$H$874,BS_RE33!$S$7:$S$874,$AN$2,BS_RE33!$N$7:$N$874,I26,BS_RE33!$P$7:$P$874,'30 days CF Table(JPY)'!G26,BS_RE33!$F$7:$F$874,'30 days CF Table(JPY)'!$C$2)</f>
        <v>0</v>
      </c>
      <c r="AO26" s="337">
        <f>SUMIFS(BS_RE33!$H$7:$H$874,BS_RE33!$S$7:$S$874,$AO$2,BS_RE33!$N$7:$N$874,I26,BS_RE33!$P$7:$P$874,'30 days CF Table(JPY)'!G26,BS_RE33!$F$7:$F$874,'30 days CF Table(JPY)'!$C$2)</f>
        <v>0</v>
      </c>
      <c r="AP26" s="338">
        <f>SUMIFS(BS_RE33!$H$7:$H$874,BS_RE33!$S$7:$S$874,$AP$2,BS_RE33!$N$7:$N$874,I26,BS_RE33!$P$7:$P$874,'30 days CF Table(JPY)'!G26,BS_RE33!$F$7:$F$874,'30 days CF Table(JPY)'!$C$2)</f>
        <v>0</v>
      </c>
      <c r="AR26" s="379">
        <f>SUMIFS(BS_RE33!$H$7:$H$874,BS_RE33!$S$7:$S$874,$AR$2,BS_RE33!$N$7:$N$874,I26,BS_RE33!$P$7:$P$874,'30 days CF Table(JPY)'!G26,BS_RE33!$F$7:$F$874,'30 days CF Table(JPY)'!$C$2)</f>
        <v>0</v>
      </c>
      <c r="AS26" s="379">
        <f>SUMIFS(BS_RE33!$H$7:$H$874,BS_RE33!$S$7:$S$874,$AS$2,BS_RE33!$N$7:$N$874,I26,BS_RE33!$P$7:$P$874,'30 days CF Table(JPY)'!G26,BS_RE33!$F$7:$F$874,'30 days CF Table(JPY)'!$C$2)</f>
        <v>0</v>
      </c>
      <c r="AT26" s="379">
        <f>SUMIFS(BS_RE33!$H$7:$H$874,BS_RE33!$S$7:$S$874,$AT$2,BS_RE33!$N$7:$N$874,I26,BS_RE33!$P$7:$P$874,'30 days CF Table(JPY)'!G26,BS_RE33!$F$7:$F$874,'30 days CF Table(JPY)'!$C$2)</f>
        <v>0</v>
      </c>
      <c r="AU26" s="379">
        <f>SUMIFS(BS_RE33!$H$7:$H$874,BS_RE33!$S$7:$S$874,$AU$2,BS_RE33!$N$7:$N$874,I26,BS_RE33!$P$7:$P$874,'30 days CF Table(JPY)'!G26,BS_RE33!$F$7:$F$874,'30 days CF Table(JPY)'!$C$2)</f>
        <v>0</v>
      </c>
      <c r="AV26" s="379">
        <f>SUMIFS(BS_RE33!$H$7:$H$874,BS_RE33!$S$7:$S$874,$AV$2,BS_RE33!$N$7:$N$874,I26,BS_RE33!$P$7:$P$874,'30 days CF Table(JPY)'!G26,BS_RE33!$F$7:$F$874,'30 days CF Table(JPY)'!$C$2)</f>
        <v>0</v>
      </c>
      <c r="AW26" s="379">
        <f>SUMIFS(BS_RE33!$H$7:$H$874,BS_RE33!$S$7:$S$874,$AW$2,BS_RE33!$N$7:$N$874,I26,BS_RE33!$P$7:$P$874,'30 days CF Table(JPY)'!G26,BS_RE33!$F$7:$F$874,'30 days CF Table(JPY)'!$C$2)</f>
        <v>0</v>
      </c>
      <c r="AX26" s="379">
        <f>SUMIFS(BS_RE33!$H$7:$H$874,BS_RE33!$S$7:$S$874,$AX$2,BS_RE33!$N$7:$N$874,I26,BS_RE33!$P$7:$P$874,'30 days CF Table(JPY)'!G26,BS_RE33!$F$7:$F$874,'30 days CF Table(JPY)'!$C$2)</f>
        <v>0</v>
      </c>
      <c r="AY26" s="379">
        <f>SUMIFS(BS_RE33!$H$7:$H$874,BS_RE33!$S$7:$S$874,$AY$2,BS_RE33!$N$7:$N$874,I26,BS_RE33!$P$7:$P$874,'30 days CF Table(JPY)'!G26,BS_RE33!$F$7:$F$874,'30 days CF Table(JPY)'!$C$2)</f>
        <v>0</v>
      </c>
      <c r="AZ26" s="379">
        <f>SUMIFS(BS_RE33!$H$7:$H$874,BS_RE33!$S$7:$S$874,$AZ$2,BS_RE33!$N$7:$N$874,I26,BS_RE33!$P$7:$P$874,'30 days CF Table(JPY)'!G26,BS_RE33!$F$7:$F$874,'30 days CF Table(JPY)'!$C$2)</f>
        <v>0</v>
      </c>
      <c r="BA26" s="379">
        <f>SUMIFS(BS_RE33!$H$7:$H$874,BS_RE33!$S$7:$S$874,$BA$2,BS_RE33!$N$7:$N$874,I26,BS_RE33!$P$7:$P$874,'30 days CF Table(JPY)'!G26,BS_RE33!$F$7:$F$874,'30 days CF Table(JPY)'!$C$2)</f>
        <v>0</v>
      </c>
      <c r="BB26" s="379">
        <f>SUMIFS(BS_RE33!$H$7:$H$874,BS_RE33!$S$7:$S$874,$BB$2,BS_RE33!$N$7:$N$874,I26,BS_RE33!$P$7:$P$874,'30 days CF Table(JPY)'!G26,BS_RE33!$F$7:$F$874,'30 days CF Table(JPY)'!$C$2)</f>
        <v>0</v>
      </c>
      <c r="BC26" s="379">
        <f>SUMIFS(BS_RE33!$H$7:$H$874,BS_RE33!$S$7:$S$874,$BC$2,BS_RE33!$N$7:$N$874,I26,BS_RE33!$P$7:$P$874,'30 days CF Table(JPY)'!G26,BS_RE33!$F$7:$F$874,'30 days CF Table(JPY)'!$C$2)</f>
        <v>0</v>
      </c>
      <c r="BD26" s="379">
        <f>SUMIFS(BS_RE33!$H$7:$H$874,BS_RE33!$S$7:$S$874,$BD$2,BS_RE33!$N$7:$N$874,I26,BS_RE33!$P$7:$P$874,'30 days CF Table(JPY)'!G26,BS_RE33!$F$7:$F$874,'30 days CF Table(JPY)'!$C$2)</f>
        <v>0</v>
      </c>
      <c r="BE26" s="379">
        <f>SUMIFS(BS_RE33!$H$7:$H$874,BS_RE33!$S$7:$S$874,$BE$2,BS_RE33!$N$7:$N$874,I26,BS_RE33!$P$7:$P$874,'30 days CF Table(JPY)'!G26,BS_RE33!$F$7:$F$874,'30 days CF Table(JPY)'!$C$2)</f>
        <v>0</v>
      </c>
      <c r="BF26" s="379">
        <f>SUMIFS(BS_RE33!$H$7:$H$874,BS_RE33!$S$7:$S$874,$BF$2,BS_RE33!$N$7:$N$874,I26,BS_RE33!$P$7:$P$874,'30 days CF Table(JPY)'!G26,BS_RE33!$F$7:$F$874,'30 days CF Table(JPY)'!$C$2)</f>
        <v>0</v>
      </c>
      <c r="BG26" s="379">
        <f>SUMIFS(BS_RE33!$H$7:$H$874,BS_RE33!$S$7:$S$874,$BG$2,BS_RE33!$N$7:$N$874,I26,BS_RE33!$P$7:$P$874,'30 days CF Table(JPY)'!G26,BS_RE33!$F$7:$F$874,'30 days CF Table(JPY)'!$C$2)</f>
        <v>0</v>
      </c>
      <c r="BH26" s="379">
        <f>SUMIFS(BS_RE33!$H$7:$H$874,BS_RE33!$S$7:$S$874,$BH$2,BS_RE33!$N$7:$N$874,I26,BS_RE33!$P$7:$P$874,'30 days CF Table(JPY)'!G26,BS_RE33!$F$7:$F$874,'30 days CF Table(JPY)'!$C$2)</f>
        <v>0</v>
      </c>
      <c r="BI26" s="379">
        <f>SUMIFS(BS_RE33!$H$7:$H$874,BS_RE33!$S$7:$S$874,$BI$2,BS_RE33!$N$7:$N$874,I26,BS_RE33!$P$7:$P$874,'30 days CF Table(JPY)'!G26,BS_RE33!$F$7:$F$874,'30 days CF Table(JPY)'!$C$2)</f>
        <v>0</v>
      </c>
      <c r="BJ26" s="379">
        <f>SUMIFS(BS_RE33!$H$7:$H$874,BS_RE33!$S$7:$S$874,$BJ$2,BS_RE33!$N$7:$N$874,I26,BS_RE33!$P$7:$P$874,'30 days CF Table(JPY)'!G26,BS_RE33!$F$7:$F$874,'30 days CF Table(JPY)'!$C$2)</f>
        <v>0</v>
      </c>
      <c r="BK26" s="379">
        <f>SUMIFS(BS_RE33!$H$7:$H$874,BS_RE33!$S$7:$S$874,$BK$2,BS_RE33!$N$7:$N$874,I26,BS_RE33!$P$7:$P$874,'30 days CF Table(JPY)'!G26,BS_RE33!$F$7:$F$874,'30 days CF Table(JPY)'!$C$2)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Table(JPY)'!G27,BS_RE33!$F$7:$F$874,'30 days CF Table(JPY)'!$C$2)</f>
        <v>0</v>
      </c>
      <c r="M27" s="337">
        <f>SUMIFS(BS_RE33!$H$7:$H$874,BS_RE33!$S$7:$S$874,$M$2,BS_RE33!$N$7:$N$874,I27,BS_RE33!$P$7:$P$874,'30 days CF Table(JPY)'!G27,BS_RE33!$F$7:$F$874,'30 days CF Table(JPY)'!$C$2)</f>
        <v>0</v>
      </c>
      <c r="N27" s="337">
        <f>SUMIFS(BS_RE33!$H$7:$H$874,BS_RE33!$S$7:$S$874,$N$2,BS_RE33!$N$7:$N$874,I27,BS_RE33!$P$7:$P$874,'30 days CF Table(JPY)'!G27,BS_RE33!$F$7:$F$874,'30 days CF Table(JPY)'!$C$2)</f>
        <v>0</v>
      </c>
      <c r="O27" s="337">
        <f>SUMIFS(BS_RE33!$H$7:$H$874,BS_RE33!$S$7:$S$874,$O$2,BS_RE33!$N$7:$N$874,I27,BS_RE33!$P$7:$P$874,'30 days CF Table(JPY)'!G27,BS_RE33!$F$7:$F$874,'30 days CF Table(JPY)'!$C$2)</f>
        <v>0</v>
      </c>
      <c r="P27" s="337">
        <f>SUMIFS(BS_RE33!$H$7:$H$874,BS_RE33!$S$7:$S$874,$P$2,BS_RE33!$N$7:$N$874,I27,BS_RE33!$P$7:$P$874,'30 days CF Table(JPY)'!G27,BS_RE33!$F$7:$F$874,'30 days CF Table(JPY)'!$C$2)</f>
        <v>0</v>
      </c>
      <c r="Q27" s="337">
        <f>SUMIFS(BS_RE33!$H$7:$H$874,BS_RE33!$S$7:$S$874,$Q$2,BS_RE33!$N$7:$N$874,I27,BS_RE33!$P$7:$P$874,'30 days CF Table(JPY)'!G27,BS_RE33!$F$7:$F$874,'30 days CF Table(JPY)'!$C$2)</f>
        <v>0</v>
      </c>
      <c r="R27" s="337">
        <f>SUMIFS(BS_RE33!$H$7:$H$874,BS_RE33!$S$7:$S$874,$R$2,BS_RE33!$N$7:$N$874,I27,BS_RE33!$P$7:$P$874,'30 days CF Table(JPY)'!G27,BS_RE33!$F$7:$F$874,'30 days CF Table(JPY)'!$C$2)</f>
        <v>0</v>
      </c>
      <c r="S27" s="337">
        <f>SUMIFS(BS_RE33!$H$7:$H$874,BS_RE33!$S$7:$S$874,$S$2,BS_RE33!$N$7:$N$874,I27,BS_RE33!$P$7:$P$874,'30 days CF Table(JPY)'!G27,BS_RE33!$F$7:$F$874,'30 days CF Table(JPY)'!$C$2)</f>
        <v>0</v>
      </c>
      <c r="T27" s="337">
        <f>SUMIFS(BS_RE33!$H$7:$H$874,BS_RE33!$S$7:$S$874,$T$2,BS_RE33!$N$7:$N$874,I27,BS_RE33!$P$7:$P$874,'30 days CF Table(JPY)'!G27,BS_RE33!$F$7:$F$874,'30 days CF Table(JPY)'!$C$2)</f>
        <v>0</v>
      </c>
      <c r="U27" s="337">
        <f>SUMIFS(BS_RE33!$H$7:$H$874,BS_RE33!$S$7:$S$874,$U$2,BS_RE33!$N$7:$N$874,I27,BS_RE33!$P$7:$P$874,'30 days CF Table(JPY)'!G27,BS_RE33!$F$7:$F$874,'30 days CF Table(JPY)'!$C$2)</f>
        <v>0</v>
      </c>
      <c r="V27" s="337">
        <f>SUMIFS(BS_RE33!$H$7:$H$874,BS_RE33!$S$7:$S$874,$V$2,BS_RE33!$N$7:$N$874,I27,BS_RE33!$P$7:$P$874,'30 days CF Table(JPY)'!G27,BS_RE33!$F$7:$F$874,'30 days CF Table(JPY)'!$C$2)</f>
        <v>0</v>
      </c>
      <c r="W27" s="337">
        <f>SUMIFS(BS_RE33!$H$7:$H$874,BS_RE33!$S$7:$S$874,$W$2,BS_RE33!$N$7:$N$874,I27,BS_RE33!$P$7:$P$874,'30 days CF Table(JPY)'!G27,BS_RE33!$F$7:$F$874,'30 days CF Table(JPY)'!$C$2)</f>
        <v>0</v>
      </c>
      <c r="X27" s="337">
        <f>SUMIFS(BS_RE33!$H$7:$H$874,BS_RE33!$S$7:$S$874,$X$2,BS_RE33!$N$7:$N$874,I27,BS_RE33!$P$7:$P$874,'30 days CF Table(JPY)'!G27,BS_RE33!$F$7:$F$874,'30 days CF Table(JPY)'!$C$2)</f>
        <v>0</v>
      </c>
      <c r="Y27" s="337">
        <f>SUMIFS(BS_RE33!$H$7:$H$874,BS_RE33!$S$7:$S$874,$Y$2,BS_RE33!$N$7:$N$874,I27,BS_RE33!$P$7:$P$874,'30 days CF Table(JPY)'!G27,BS_RE33!$F$7:$F$874,'30 days CF Table(JPY)'!$C$2)</f>
        <v>0</v>
      </c>
      <c r="Z27" s="337">
        <f>SUMIFS(BS_RE33!$H$7:$H$874,BS_RE33!$S$7:$S$874,$Z$2,BS_RE33!$N$7:$N$874,I27,BS_RE33!$P$7:$P$874,'30 days CF Table(JPY)'!G27,BS_RE33!$F$7:$F$874,'30 days CF Table(JPY)'!$C$2)</f>
        <v>0</v>
      </c>
      <c r="AA27" s="337">
        <f>SUMIFS(BS_RE33!$H$7:$H$874,BS_RE33!$S$7:$S$874,$AA$2,BS_RE33!$N$7:$N$874,I27,BS_RE33!$P$7:$P$874,'30 days CF Table(JPY)'!G27,BS_RE33!$F$7:$F$874,'30 days CF Table(JPY)'!$C$2)</f>
        <v>0</v>
      </c>
      <c r="AB27" s="337">
        <f>SUMIFS(BS_RE33!$H$7:$H$874,BS_RE33!$S$7:$S$874,$AB$2,BS_RE33!$N$7:$N$874,I27,BS_RE33!$P$7:$P$874,'30 days CF Table(JPY)'!G27,BS_RE33!$F$7:$F$874,'30 days CF Table(JPY)'!$C$2)</f>
        <v>0</v>
      </c>
      <c r="AC27" s="337">
        <f>SUMIFS(BS_RE33!$H$7:$H$874,BS_RE33!$S$7:$S$874,$AC$2,BS_RE33!$N$7:$N$874,I27,BS_RE33!$P$7:$P$874,'30 days CF Table(JPY)'!G27,BS_RE33!$F$7:$F$874,'30 days CF Table(JPY)'!$C$2)</f>
        <v>0</v>
      </c>
      <c r="AD27" s="337">
        <f>SUMIFS(BS_RE33!$H$7:$H$874,BS_RE33!$S$7:$S$874,$AD$2,BS_RE33!$N$7:$N$874,I27,BS_RE33!$P$7:$P$874,'30 days CF Table(JPY)'!G27,BS_RE33!$F$7:$F$874,'30 days CF Table(JPY)'!$C$2)</f>
        <v>0</v>
      </c>
      <c r="AE27" s="337">
        <f>SUMIFS(BS_RE33!$H$7:$H$874,BS_RE33!$S$7:$S$874,$AE$2,BS_RE33!$N$7:$N$874,I27,BS_RE33!$P$7:$P$874,'30 days CF Table(JPY)'!G27,BS_RE33!$F$7:$F$874,'30 days CF Table(JPY)'!$C$2)</f>
        <v>0</v>
      </c>
      <c r="AF27" s="337">
        <f>SUMIFS(BS_RE33!$H$7:$H$874,BS_RE33!$S$7:$S$874,$AF$2,BS_RE33!$N$7:$N$874,I27,BS_RE33!$P$7:$P$874,'30 days CF Table(JPY)'!G27,BS_RE33!$F$7:$F$874,'30 days CF Table(JPY)'!$C$2)</f>
        <v>0</v>
      </c>
      <c r="AG27" s="337">
        <f>SUMIFS(BS_RE33!$H$7:$H$874,BS_RE33!$S$7:$S$874,$AG$2,BS_RE33!$N$7:$N$874,I27,BS_RE33!$P$7:$P$874,'30 days CF Table(JPY)'!G27,BS_RE33!$F$7:$F$874,'30 days CF Table(JPY)'!$C$2)</f>
        <v>0</v>
      </c>
      <c r="AH27" s="337">
        <f>SUMIFS(BS_RE33!$H$7:$H$874,BS_RE33!$S$7:$S$874,$AH$2,BS_RE33!$N$7:$N$874,I27,BS_RE33!$P$7:$P$874,'30 days CF Table(JPY)'!G27,BS_RE33!$F$7:$F$874,'30 days CF Table(JPY)'!$C$2)</f>
        <v>0</v>
      </c>
      <c r="AI27" s="337">
        <f>SUMIFS(BS_RE33!$H$7:$H$874,BS_RE33!$S$7:$S$874,$AI$2,BS_RE33!$N$7:$N$874,I27,BS_RE33!$P$7:$P$874,'30 days CF Table(JPY)'!G27,BS_RE33!$F$7:$F$874,'30 days CF Table(JPY)'!$C$2)</f>
        <v>0</v>
      </c>
      <c r="AJ27" s="337">
        <f>SUMIFS(BS_RE33!$H$7:$H$874,BS_RE33!$S$7:$S$874,$AJ$2,BS_RE33!$N$7:$N$874,I27,BS_RE33!$P$7:$P$874,'30 days CF Table(JPY)'!G27,BS_RE33!$F$7:$F$874,'30 days CF Table(JPY)'!$C$2)</f>
        <v>0</v>
      </c>
      <c r="AK27" s="337">
        <f>SUMIFS(BS_RE33!$H$7:$H$874,BS_RE33!$S$7:$S$874,$AK$2,BS_RE33!$N$7:$N$874,I27,BS_RE33!$P$7:$P$874,'30 days CF Table(JPY)'!G27,BS_RE33!$F$7:$F$874,'30 days CF Table(JPY)'!$C$2)</f>
        <v>0</v>
      </c>
      <c r="AL27" s="337">
        <f>SUMIFS(BS_RE33!$H$7:$H$874,BS_RE33!$S$7:$S$874,$AL$2,BS_RE33!$N$7:$N$874,I27,BS_RE33!$P$7:$P$874,'30 days CF Table(JPY)'!G27,BS_RE33!$F$7:$F$874,'30 days CF Table(JPY)'!$C$2)</f>
        <v>0</v>
      </c>
      <c r="AM27" s="337">
        <f>SUMIFS(BS_RE33!$H$7:$H$874,BS_RE33!$S$7:$S$874,$AM$2,BS_RE33!$N$7:$N$874,I27,BS_RE33!$P$7:$P$874,'30 days CF Table(JPY)'!G27,BS_RE33!$F$7:$F$874,'30 days CF Table(JPY)'!$C$2)</f>
        <v>0</v>
      </c>
      <c r="AN27" s="337">
        <f>SUMIFS(BS_RE33!$H$7:$H$874,BS_RE33!$S$7:$S$874,$AN$2,BS_RE33!$N$7:$N$874,I27,BS_RE33!$P$7:$P$874,'30 days CF Table(JPY)'!G27,BS_RE33!$F$7:$F$874,'30 days CF Table(JPY)'!$C$2)</f>
        <v>0</v>
      </c>
      <c r="AO27" s="337">
        <f>SUMIFS(BS_RE33!$H$7:$H$874,BS_RE33!$S$7:$S$874,$AO$2,BS_RE33!$N$7:$N$874,I27,BS_RE33!$P$7:$P$874,'30 days CF Table(JPY)'!G27,BS_RE33!$F$7:$F$874,'30 days CF Table(JPY)'!$C$2)</f>
        <v>0</v>
      </c>
      <c r="AP27" s="338">
        <f>SUMIFS(BS_RE33!$H$7:$H$874,BS_RE33!$S$7:$S$874,$AP$2,BS_RE33!$N$7:$N$874,I27,BS_RE33!$P$7:$P$874,'30 days CF Table(JPY)'!G27,BS_RE33!$F$7:$F$874,'30 days CF Table(JPY)'!$C$2)</f>
        <v>0</v>
      </c>
      <c r="AR27" s="379">
        <f>SUMIFS(BS_RE33!$H$7:$H$874,BS_RE33!$S$7:$S$874,$AR$2,BS_RE33!$N$7:$N$874,I27,BS_RE33!$P$7:$P$874,'30 days CF Table(JPY)'!G27,BS_RE33!$F$7:$F$874,'30 days CF Table(JPY)'!$C$2)</f>
        <v>0</v>
      </c>
      <c r="AS27" s="379">
        <f>SUMIFS(BS_RE33!$H$7:$H$874,BS_RE33!$S$7:$S$874,$AS$2,BS_RE33!$N$7:$N$874,I27,BS_RE33!$P$7:$P$874,'30 days CF Table(JPY)'!G27,BS_RE33!$F$7:$F$874,'30 days CF Table(JPY)'!$C$2)</f>
        <v>0</v>
      </c>
      <c r="AT27" s="379">
        <f>SUMIFS(BS_RE33!$H$7:$H$874,BS_RE33!$S$7:$S$874,$AT$2,BS_RE33!$N$7:$N$874,I27,BS_RE33!$P$7:$P$874,'30 days CF Table(JPY)'!G27,BS_RE33!$F$7:$F$874,'30 days CF Table(JPY)'!$C$2)</f>
        <v>0</v>
      </c>
      <c r="AU27" s="379">
        <f>SUMIFS(BS_RE33!$H$7:$H$874,BS_RE33!$S$7:$S$874,$AU$2,BS_RE33!$N$7:$N$874,I27,BS_RE33!$P$7:$P$874,'30 days CF Table(JPY)'!G27,BS_RE33!$F$7:$F$874,'30 days CF Table(JPY)'!$C$2)</f>
        <v>0</v>
      </c>
      <c r="AV27" s="379">
        <f>SUMIFS(BS_RE33!$H$7:$H$874,BS_RE33!$S$7:$S$874,$AV$2,BS_RE33!$N$7:$N$874,I27,BS_RE33!$P$7:$P$874,'30 days CF Table(JPY)'!G27,BS_RE33!$F$7:$F$874,'30 days CF Table(JPY)'!$C$2)</f>
        <v>0</v>
      </c>
      <c r="AW27" s="379">
        <f>SUMIFS(BS_RE33!$H$7:$H$874,BS_RE33!$S$7:$S$874,$AW$2,BS_RE33!$N$7:$N$874,I27,BS_RE33!$P$7:$P$874,'30 days CF Table(JPY)'!G27,BS_RE33!$F$7:$F$874,'30 days CF Table(JPY)'!$C$2)</f>
        <v>0</v>
      </c>
      <c r="AX27" s="379">
        <f>SUMIFS(BS_RE33!$H$7:$H$874,BS_RE33!$S$7:$S$874,$AX$2,BS_RE33!$N$7:$N$874,I27,BS_RE33!$P$7:$P$874,'30 days CF Table(JPY)'!G27,BS_RE33!$F$7:$F$874,'30 days CF Table(JPY)'!$C$2)</f>
        <v>0</v>
      </c>
      <c r="AY27" s="379">
        <f>SUMIFS(BS_RE33!$H$7:$H$874,BS_RE33!$S$7:$S$874,$AY$2,BS_RE33!$N$7:$N$874,I27,BS_RE33!$P$7:$P$874,'30 days CF Table(JPY)'!G27,BS_RE33!$F$7:$F$874,'30 days CF Table(JPY)'!$C$2)</f>
        <v>0</v>
      </c>
      <c r="AZ27" s="379">
        <f>SUMIFS(BS_RE33!$H$7:$H$874,BS_RE33!$S$7:$S$874,$AZ$2,BS_RE33!$N$7:$N$874,I27,BS_RE33!$P$7:$P$874,'30 days CF Table(JPY)'!G27,BS_RE33!$F$7:$F$874,'30 days CF Table(JPY)'!$C$2)</f>
        <v>0</v>
      </c>
      <c r="BA27" s="379">
        <f>SUMIFS(BS_RE33!$H$7:$H$874,BS_RE33!$S$7:$S$874,$BA$2,BS_RE33!$N$7:$N$874,I27,BS_RE33!$P$7:$P$874,'30 days CF Table(JPY)'!G27,BS_RE33!$F$7:$F$874,'30 days CF Table(JPY)'!$C$2)</f>
        <v>0</v>
      </c>
      <c r="BB27" s="379">
        <f>SUMIFS(BS_RE33!$H$7:$H$874,BS_RE33!$S$7:$S$874,$BB$2,BS_RE33!$N$7:$N$874,I27,BS_RE33!$P$7:$P$874,'30 days CF Table(JPY)'!G27,BS_RE33!$F$7:$F$874,'30 days CF Table(JPY)'!$C$2)</f>
        <v>0</v>
      </c>
      <c r="BC27" s="379">
        <f>SUMIFS(BS_RE33!$H$7:$H$874,BS_RE33!$S$7:$S$874,$BC$2,BS_RE33!$N$7:$N$874,I27,BS_RE33!$P$7:$P$874,'30 days CF Table(JPY)'!G27,BS_RE33!$F$7:$F$874,'30 days CF Table(JPY)'!$C$2)</f>
        <v>0</v>
      </c>
      <c r="BD27" s="379">
        <f>SUMIFS(BS_RE33!$H$7:$H$874,BS_RE33!$S$7:$S$874,$BD$2,BS_RE33!$N$7:$N$874,I27,BS_RE33!$P$7:$P$874,'30 days CF Table(JPY)'!G27,BS_RE33!$F$7:$F$874,'30 days CF Table(JPY)'!$C$2)</f>
        <v>0</v>
      </c>
      <c r="BE27" s="379">
        <f>SUMIFS(BS_RE33!$H$7:$H$874,BS_RE33!$S$7:$S$874,$BE$2,BS_RE33!$N$7:$N$874,I27,BS_RE33!$P$7:$P$874,'30 days CF Table(JPY)'!G27,BS_RE33!$F$7:$F$874,'30 days CF Table(JPY)'!$C$2)</f>
        <v>0</v>
      </c>
      <c r="BF27" s="379">
        <f>SUMIFS(BS_RE33!$H$7:$H$874,BS_RE33!$S$7:$S$874,$BF$2,BS_RE33!$N$7:$N$874,I27,BS_RE33!$P$7:$P$874,'30 days CF Table(JPY)'!G27,BS_RE33!$F$7:$F$874,'30 days CF Table(JPY)'!$C$2)</f>
        <v>0</v>
      </c>
      <c r="BG27" s="379">
        <f>SUMIFS(BS_RE33!$H$7:$H$874,BS_RE33!$S$7:$S$874,$BG$2,BS_RE33!$N$7:$N$874,I27,BS_RE33!$P$7:$P$874,'30 days CF Table(JPY)'!G27,BS_RE33!$F$7:$F$874,'30 days CF Table(JPY)'!$C$2)</f>
        <v>0</v>
      </c>
      <c r="BH27" s="379">
        <f>SUMIFS(BS_RE33!$H$7:$H$874,BS_RE33!$S$7:$S$874,$BH$2,BS_RE33!$N$7:$N$874,I27,BS_RE33!$P$7:$P$874,'30 days CF Table(JPY)'!G27,BS_RE33!$F$7:$F$874,'30 days CF Table(JPY)'!$C$2)</f>
        <v>0</v>
      </c>
      <c r="BI27" s="379">
        <f>SUMIFS(BS_RE33!$H$7:$H$874,BS_RE33!$S$7:$S$874,$BI$2,BS_RE33!$N$7:$N$874,I27,BS_RE33!$P$7:$P$874,'30 days CF Table(JPY)'!G27,BS_RE33!$F$7:$F$874,'30 days CF Table(JPY)'!$C$2)</f>
        <v>0</v>
      </c>
      <c r="BJ27" s="379">
        <f>SUMIFS(BS_RE33!$H$7:$H$874,BS_RE33!$S$7:$S$874,$BJ$2,BS_RE33!$N$7:$N$874,I27,BS_RE33!$P$7:$P$874,'30 days CF Table(JPY)'!G27,BS_RE33!$F$7:$F$874,'30 days CF Table(JPY)'!$C$2)</f>
        <v>0</v>
      </c>
      <c r="BK27" s="379">
        <f>SUMIFS(BS_RE33!$H$7:$H$874,BS_RE33!$S$7:$S$874,$BK$2,BS_RE33!$N$7:$N$874,I27,BS_RE33!$P$7:$P$874,'30 days CF Table(JPY)'!G27,BS_RE33!$F$7:$F$874,'30 days CF Table(JPY)'!$C$2)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Table(JPY)'!G28,BS_RE33!$F$7:$F$874,'30 days CF Table(JPY)'!$C$2)</f>
        <v>0</v>
      </c>
      <c r="M28" s="337">
        <f>SUMIFS(BS_RE33!$H$7:$H$874,BS_RE33!$S$7:$S$874,$M$2,BS_RE33!$N$7:$N$874,I28,BS_RE33!$P$7:$P$874,'30 days CF Table(JPY)'!G28,BS_RE33!$F$7:$F$874,'30 days CF Table(JPY)'!$C$2)</f>
        <v>0</v>
      </c>
      <c r="N28" s="337">
        <f>SUMIFS(BS_RE33!$H$7:$H$874,BS_RE33!$S$7:$S$874,$N$2,BS_RE33!$N$7:$N$874,I28,BS_RE33!$P$7:$P$874,'30 days CF Table(JPY)'!G28,BS_RE33!$F$7:$F$874,'30 days CF Table(JPY)'!$C$2)</f>
        <v>0</v>
      </c>
      <c r="O28" s="337">
        <f>SUMIFS(BS_RE33!$H$7:$H$874,BS_RE33!$S$7:$S$874,$O$2,BS_RE33!$N$7:$N$874,I28,BS_RE33!$P$7:$P$874,'30 days CF Table(JPY)'!G28,BS_RE33!$F$7:$F$874,'30 days CF Table(JPY)'!$C$2)</f>
        <v>0</v>
      </c>
      <c r="P28" s="337">
        <f>SUMIFS(BS_RE33!$H$7:$H$874,BS_RE33!$S$7:$S$874,$P$2,BS_RE33!$N$7:$N$874,I28,BS_RE33!$P$7:$P$874,'30 days CF Table(JPY)'!G28,BS_RE33!$F$7:$F$874,'30 days CF Table(JPY)'!$C$2)</f>
        <v>0</v>
      </c>
      <c r="Q28" s="337">
        <f>SUMIFS(BS_RE33!$H$7:$H$874,BS_RE33!$S$7:$S$874,$Q$2,BS_RE33!$N$7:$N$874,I28,BS_RE33!$P$7:$P$874,'30 days CF Table(JPY)'!G28,BS_RE33!$F$7:$F$874,'30 days CF Table(JPY)'!$C$2)</f>
        <v>0</v>
      </c>
      <c r="R28" s="337">
        <f>SUMIFS(BS_RE33!$H$7:$H$874,BS_RE33!$S$7:$S$874,$R$2,BS_RE33!$N$7:$N$874,I28,BS_RE33!$P$7:$P$874,'30 days CF Table(JPY)'!G28,BS_RE33!$F$7:$F$874,'30 days CF Table(JPY)'!$C$2)</f>
        <v>0</v>
      </c>
      <c r="S28" s="337">
        <f>SUMIFS(BS_RE33!$H$7:$H$874,BS_RE33!$S$7:$S$874,$S$2,BS_RE33!$N$7:$N$874,I28,BS_RE33!$P$7:$P$874,'30 days CF Table(JPY)'!G28,BS_RE33!$F$7:$F$874,'30 days CF Table(JPY)'!$C$2)</f>
        <v>0</v>
      </c>
      <c r="T28" s="337">
        <f>SUMIFS(BS_RE33!$H$7:$H$874,BS_RE33!$S$7:$S$874,$T$2,BS_RE33!$N$7:$N$874,I28,BS_RE33!$P$7:$P$874,'30 days CF Table(JPY)'!G28,BS_RE33!$F$7:$F$874,'30 days CF Table(JPY)'!$C$2)</f>
        <v>0</v>
      </c>
      <c r="U28" s="337">
        <f>SUMIFS(BS_RE33!$H$7:$H$874,BS_RE33!$S$7:$S$874,$U$2,BS_RE33!$N$7:$N$874,I28,BS_RE33!$P$7:$P$874,'30 days CF Table(JPY)'!G28,BS_RE33!$F$7:$F$874,'30 days CF Table(JPY)'!$C$2)</f>
        <v>0</v>
      </c>
      <c r="V28" s="337">
        <f>SUMIFS(BS_RE33!$H$7:$H$874,BS_RE33!$S$7:$S$874,$V$2,BS_RE33!$N$7:$N$874,I28,BS_RE33!$P$7:$P$874,'30 days CF Table(JPY)'!G28,BS_RE33!$F$7:$F$874,'30 days CF Table(JPY)'!$C$2)</f>
        <v>0</v>
      </c>
      <c r="W28" s="337">
        <f>SUMIFS(BS_RE33!$H$7:$H$874,BS_RE33!$S$7:$S$874,$W$2,BS_RE33!$N$7:$N$874,I28,BS_RE33!$P$7:$P$874,'30 days CF Table(JPY)'!G28,BS_RE33!$F$7:$F$874,'30 days CF Table(JPY)'!$C$2)</f>
        <v>0</v>
      </c>
      <c r="X28" s="337">
        <f>SUMIFS(BS_RE33!$H$7:$H$874,BS_RE33!$S$7:$S$874,$X$2,BS_RE33!$N$7:$N$874,I28,BS_RE33!$P$7:$P$874,'30 days CF Table(JPY)'!G28,BS_RE33!$F$7:$F$874,'30 days CF Table(JPY)'!$C$2)</f>
        <v>0</v>
      </c>
      <c r="Y28" s="337">
        <f>SUMIFS(BS_RE33!$H$7:$H$874,BS_RE33!$S$7:$S$874,$Y$2,BS_RE33!$N$7:$N$874,I28,BS_RE33!$P$7:$P$874,'30 days CF Table(JPY)'!G28,BS_RE33!$F$7:$F$874,'30 days CF Table(JPY)'!$C$2)</f>
        <v>0</v>
      </c>
      <c r="Z28" s="337">
        <f>SUMIFS(BS_RE33!$H$7:$H$874,BS_RE33!$S$7:$S$874,$Z$2,BS_RE33!$N$7:$N$874,I28,BS_RE33!$P$7:$P$874,'30 days CF Table(JPY)'!G28,BS_RE33!$F$7:$F$874,'30 days CF Table(JPY)'!$C$2)</f>
        <v>0</v>
      </c>
      <c r="AA28" s="337">
        <f>SUMIFS(BS_RE33!$H$7:$H$874,BS_RE33!$S$7:$S$874,$AA$2,BS_RE33!$N$7:$N$874,I28,BS_RE33!$P$7:$P$874,'30 days CF Table(JPY)'!G28,BS_RE33!$F$7:$F$874,'30 days CF Table(JPY)'!$C$2)</f>
        <v>0</v>
      </c>
      <c r="AB28" s="337">
        <f>SUMIFS(BS_RE33!$H$7:$H$874,BS_RE33!$S$7:$S$874,$AB$2,BS_RE33!$N$7:$N$874,I28,BS_RE33!$P$7:$P$874,'30 days CF Table(JPY)'!G28,BS_RE33!$F$7:$F$874,'30 days CF Table(JPY)'!$C$2)</f>
        <v>0</v>
      </c>
      <c r="AC28" s="337">
        <f>SUMIFS(BS_RE33!$H$7:$H$874,BS_RE33!$S$7:$S$874,$AC$2,BS_RE33!$N$7:$N$874,I28,BS_RE33!$P$7:$P$874,'30 days CF Table(JPY)'!G28,BS_RE33!$F$7:$F$874,'30 days CF Table(JPY)'!$C$2)</f>
        <v>0</v>
      </c>
      <c r="AD28" s="337">
        <f>SUMIFS(BS_RE33!$H$7:$H$874,BS_RE33!$S$7:$S$874,$AD$2,BS_RE33!$N$7:$N$874,I28,BS_RE33!$P$7:$P$874,'30 days CF Table(JPY)'!G28,BS_RE33!$F$7:$F$874,'30 days CF Table(JPY)'!$C$2)</f>
        <v>0</v>
      </c>
      <c r="AE28" s="337">
        <f>SUMIFS(BS_RE33!$H$7:$H$874,BS_RE33!$S$7:$S$874,$AE$2,BS_RE33!$N$7:$N$874,I28,BS_RE33!$P$7:$P$874,'30 days CF Table(JPY)'!G28,BS_RE33!$F$7:$F$874,'30 days CF Table(JPY)'!$C$2)</f>
        <v>0</v>
      </c>
      <c r="AF28" s="337">
        <f>SUMIFS(BS_RE33!$H$7:$H$874,BS_RE33!$S$7:$S$874,$AF$2,BS_RE33!$N$7:$N$874,I28,BS_RE33!$P$7:$P$874,'30 days CF Table(JPY)'!G28,BS_RE33!$F$7:$F$874,'30 days CF Table(JPY)'!$C$2)</f>
        <v>0</v>
      </c>
      <c r="AG28" s="337">
        <f>SUMIFS(BS_RE33!$H$7:$H$874,BS_RE33!$S$7:$S$874,$AG$2,BS_RE33!$N$7:$N$874,I28,BS_RE33!$P$7:$P$874,'30 days CF Table(JPY)'!G28,BS_RE33!$F$7:$F$874,'30 days CF Table(JPY)'!$C$2)</f>
        <v>0</v>
      </c>
      <c r="AH28" s="337">
        <f>SUMIFS(BS_RE33!$H$7:$H$874,BS_RE33!$S$7:$S$874,$AH$2,BS_RE33!$N$7:$N$874,I28,BS_RE33!$P$7:$P$874,'30 days CF Table(JPY)'!G28,BS_RE33!$F$7:$F$874,'30 days CF Table(JPY)'!$C$2)</f>
        <v>0</v>
      </c>
      <c r="AI28" s="337">
        <f>SUMIFS(BS_RE33!$H$7:$H$874,BS_RE33!$S$7:$S$874,$AI$2,BS_RE33!$N$7:$N$874,I28,BS_RE33!$P$7:$P$874,'30 days CF Table(JPY)'!G28,BS_RE33!$F$7:$F$874,'30 days CF Table(JPY)'!$C$2)</f>
        <v>0</v>
      </c>
      <c r="AJ28" s="337">
        <f>SUMIFS(BS_RE33!$H$7:$H$874,BS_RE33!$S$7:$S$874,$AJ$2,BS_RE33!$N$7:$N$874,I28,BS_RE33!$P$7:$P$874,'30 days CF Table(JPY)'!G28,BS_RE33!$F$7:$F$874,'30 days CF Table(JPY)'!$C$2)</f>
        <v>0</v>
      </c>
      <c r="AK28" s="337">
        <f>SUMIFS(BS_RE33!$H$7:$H$874,BS_RE33!$S$7:$S$874,$AK$2,BS_RE33!$N$7:$N$874,I28,BS_RE33!$P$7:$P$874,'30 days CF Table(JPY)'!G28,BS_RE33!$F$7:$F$874,'30 days CF Table(JPY)'!$C$2)</f>
        <v>0</v>
      </c>
      <c r="AL28" s="337">
        <f>SUMIFS(BS_RE33!$H$7:$H$874,BS_RE33!$S$7:$S$874,$AL$2,BS_RE33!$N$7:$N$874,I28,BS_RE33!$P$7:$P$874,'30 days CF Table(JPY)'!G28,BS_RE33!$F$7:$F$874,'30 days CF Table(JPY)'!$C$2)</f>
        <v>0</v>
      </c>
      <c r="AM28" s="337">
        <f>SUMIFS(BS_RE33!$H$7:$H$874,BS_RE33!$S$7:$S$874,$AM$2,BS_RE33!$N$7:$N$874,I28,BS_RE33!$P$7:$P$874,'30 days CF Table(JPY)'!G28,BS_RE33!$F$7:$F$874,'30 days CF Table(JPY)'!$C$2)</f>
        <v>0</v>
      </c>
      <c r="AN28" s="337">
        <f>SUMIFS(BS_RE33!$H$7:$H$874,BS_RE33!$S$7:$S$874,$AN$2,BS_RE33!$N$7:$N$874,I28,BS_RE33!$P$7:$P$874,'30 days CF Table(JPY)'!G28,BS_RE33!$F$7:$F$874,'30 days CF Table(JPY)'!$C$2)</f>
        <v>0</v>
      </c>
      <c r="AO28" s="337">
        <f>SUMIFS(BS_RE33!$H$7:$H$874,BS_RE33!$S$7:$S$874,$AO$2,BS_RE33!$N$7:$N$874,I28,BS_RE33!$P$7:$P$874,'30 days CF Table(JPY)'!G28,BS_RE33!$F$7:$F$874,'30 days CF Table(JPY)'!$C$2)</f>
        <v>0</v>
      </c>
      <c r="AP28" s="338">
        <f>SUMIFS(BS_RE33!$H$7:$H$874,BS_RE33!$S$7:$S$874,$AP$2,BS_RE33!$N$7:$N$874,I28,BS_RE33!$P$7:$P$874,'30 days CF Table(JPY)'!G28,BS_RE33!$F$7:$F$874,'30 days CF Table(JPY)'!$C$2)</f>
        <v>0</v>
      </c>
      <c r="AR28" s="379">
        <f>SUMIFS(BS_RE33!$H$7:$H$874,BS_RE33!$S$7:$S$874,$AR$2,BS_RE33!$N$7:$N$874,I28,BS_RE33!$P$7:$P$874,'30 days CF Table(JPY)'!G28,BS_RE33!$F$7:$F$874,'30 days CF Table(JPY)'!$C$2)</f>
        <v>0</v>
      </c>
      <c r="AS28" s="379">
        <f>SUMIFS(BS_RE33!$H$7:$H$874,BS_RE33!$S$7:$S$874,$AS$2,BS_RE33!$N$7:$N$874,I28,BS_RE33!$P$7:$P$874,'30 days CF Table(JPY)'!G28,BS_RE33!$F$7:$F$874,'30 days CF Table(JPY)'!$C$2)</f>
        <v>0</v>
      </c>
      <c r="AT28" s="379">
        <f>SUMIFS(BS_RE33!$H$7:$H$874,BS_RE33!$S$7:$S$874,$AT$2,BS_RE33!$N$7:$N$874,I28,BS_RE33!$P$7:$P$874,'30 days CF Table(JPY)'!G28,BS_RE33!$F$7:$F$874,'30 days CF Table(JPY)'!$C$2)</f>
        <v>0</v>
      </c>
      <c r="AU28" s="379">
        <f>SUMIFS(BS_RE33!$H$7:$H$874,BS_RE33!$S$7:$S$874,$AU$2,BS_RE33!$N$7:$N$874,I28,BS_RE33!$P$7:$P$874,'30 days CF Table(JPY)'!G28,BS_RE33!$F$7:$F$874,'30 days CF Table(JPY)'!$C$2)</f>
        <v>0</v>
      </c>
      <c r="AV28" s="379">
        <f>SUMIFS(BS_RE33!$H$7:$H$874,BS_RE33!$S$7:$S$874,$AV$2,BS_RE33!$N$7:$N$874,I28,BS_RE33!$P$7:$P$874,'30 days CF Table(JPY)'!G28,BS_RE33!$F$7:$F$874,'30 days CF Table(JPY)'!$C$2)</f>
        <v>0</v>
      </c>
      <c r="AW28" s="379">
        <f>SUMIFS(BS_RE33!$H$7:$H$874,BS_RE33!$S$7:$S$874,$AW$2,BS_RE33!$N$7:$N$874,I28,BS_RE33!$P$7:$P$874,'30 days CF Table(JPY)'!G28,BS_RE33!$F$7:$F$874,'30 days CF Table(JPY)'!$C$2)</f>
        <v>0</v>
      </c>
      <c r="AX28" s="379">
        <f>SUMIFS(BS_RE33!$H$7:$H$874,BS_RE33!$S$7:$S$874,$AX$2,BS_RE33!$N$7:$N$874,I28,BS_RE33!$P$7:$P$874,'30 days CF Table(JPY)'!G28,BS_RE33!$F$7:$F$874,'30 days CF Table(JPY)'!$C$2)</f>
        <v>0</v>
      </c>
      <c r="AY28" s="379">
        <f>SUMIFS(BS_RE33!$H$7:$H$874,BS_RE33!$S$7:$S$874,$AY$2,BS_RE33!$N$7:$N$874,I28,BS_RE33!$P$7:$P$874,'30 days CF Table(JPY)'!G28,BS_RE33!$F$7:$F$874,'30 days CF Table(JPY)'!$C$2)</f>
        <v>0</v>
      </c>
      <c r="AZ28" s="379">
        <f>SUMIFS(BS_RE33!$H$7:$H$874,BS_RE33!$S$7:$S$874,$AZ$2,BS_RE33!$N$7:$N$874,I28,BS_RE33!$P$7:$P$874,'30 days CF Table(JPY)'!G28,BS_RE33!$F$7:$F$874,'30 days CF Table(JPY)'!$C$2)</f>
        <v>0</v>
      </c>
      <c r="BA28" s="379">
        <f>SUMIFS(BS_RE33!$H$7:$H$874,BS_RE33!$S$7:$S$874,$BA$2,BS_RE33!$N$7:$N$874,I28,BS_RE33!$P$7:$P$874,'30 days CF Table(JPY)'!G28,BS_RE33!$F$7:$F$874,'30 days CF Table(JPY)'!$C$2)</f>
        <v>0</v>
      </c>
      <c r="BB28" s="379">
        <f>SUMIFS(BS_RE33!$H$7:$H$874,BS_RE33!$S$7:$S$874,$BB$2,BS_RE33!$N$7:$N$874,I28,BS_RE33!$P$7:$P$874,'30 days CF Table(JPY)'!G28,BS_RE33!$F$7:$F$874,'30 days CF Table(JPY)'!$C$2)</f>
        <v>0</v>
      </c>
      <c r="BC28" s="379">
        <f>SUMIFS(BS_RE33!$H$7:$H$874,BS_RE33!$S$7:$S$874,$BC$2,BS_RE33!$N$7:$N$874,I28,BS_RE33!$P$7:$P$874,'30 days CF Table(JPY)'!G28,BS_RE33!$F$7:$F$874,'30 days CF Table(JPY)'!$C$2)</f>
        <v>0</v>
      </c>
      <c r="BD28" s="379">
        <f>SUMIFS(BS_RE33!$H$7:$H$874,BS_RE33!$S$7:$S$874,$BD$2,BS_RE33!$N$7:$N$874,I28,BS_RE33!$P$7:$P$874,'30 days CF Table(JPY)'!G28,BS_RE33!$F$7:$F$874,'30 days CF Table(JPY)'!$C$2)</f>
        <v>0</v>
      </c>
      <c r="BE28" s="379">
        <f>SUMIFS(BS_RE33!$H$7:$H$874,BS_RE33!$S$7:$S$874,$BE$2,BS_RE33!$N$7:$N$874,I28,BS_RE33!$P$7:$P$874,'30 days CF Table(JPY)'!G28,BS_RE33!$F$7:$F$874,'30 days CF Table(JPY)'!$C$2)</f>
        <v>0</v>
      </c>
      <c r="BF28" s="379">
        <f>SUMIFS(BS_RE33!$H$7:$H$874,BS_RE33!$S$7:$S$874,$BF$2,BS_RE33!$N$7:$N$874,I28,BS_RE33!$P$7:$P$874,'30 days CF Table(JPY)'!G28,BS_RE33!$F$7:$F$874,'30 days CF Table(JPY)'!$C$2)</f>
        <v>0</v>
      </c>
      <c r="BG28" s="379">
        <f>SUMIFS(BS_RE33!$H$7:$H$874,BS_RE33!$S$7:$S$874,$BG$2,BS_RE33!$N$7:$N$874,I28,BS_RE33!$P$7:$P$874,'30 days CF Table(JPY)'!G28,BS_RE33!$F$7:$F$874,'30 days CF Table(JPY)'!$C$2)</f>
        <v>0</v>
      </c>
      <c r="BH28" s="379">
        <f>SUMIFS(BS_RE33!$H$7:$H$874,BS_RE33!$S$7:$S$874,$BH$2,BS_RE33!$N$7:$N$874,I28,BS_RE33!$P$7:$P$874,'30 days CF Table(JPY)'!G28,BS_RE33!$F$7:$F$874,'30 days CF Table(JPY)'!$C$2)</f>
        <v>0</v>
      </c>
      <c r="BI28" s="379">
        <f>SUMIFS(BS_RE33!$H$7:$H$874,BS_RE33!$S$7:$S$874,$BI$2,BS_RE33!$N$7:$N$874,I28,BS_RE33!$P$7:$P$874,'30 days CF Table(JPY)'!G28,BS_RE33!$F$7:$F$874,'30 days CF Table(JPY)'!$C$2)</f>
        <v>0</v>
      </c>
      <c r="BJ28" s="379">
        <f>SUMIFS(BS_RE33!$H$7:$H$874,BS_RE33!$S$7:$S$874,$BJ$2,BS_RE33!$N$7:$N$874,I28,BS_RE33!$P$7:$P$874,'30 days CF Table(JPY)'!G28,BS_RE33!$F$7:$F$874,'30 days CF Table(JPY)'!$C$2)</f>
        <v>0</v>
      </c>
      <c r="BK28" s="379">
        <f>SUMIFS(BS_RE33!$H$7:$H$874,BS_RE33!$S$7:$S$874,$BK$2,BS_RE33!$N$7:$N$874,I28,BS_RE33!$P$7:$P$874,'30 days CF Table(JPY)'!G28,BS_RE33!$F$7:$F$874,'30 days CF Table(JPY)'!$C$2)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Table(JPY)'!G29,BS_RE33!$F$7:$F$874,'30 days CF Table(JPY)'!$C$2)</f>
        <v>0</v>
      </c>
      <c r="M29" s="337">
        <f>SUMIFS(BS_RE33!$H$7:$H$874,BS_RE33!$S$7:$S$874,$M$2,BS_RE33!$N$7:$N$874,I29,BS_RE33!$P$7:$P$874,'30 days CF Table(JPY)'!G29,BS_RE33!$F$7:$F$874,'30 days CF Table(JPY)'!$C$2)</f>
        <v>0</v>
      </c>
      <c r="N29" s="337">
        <f>SUMIFS(BS_RE33!$H$7:$H$874,BS_RE33!$S$7:$S$874,$N$2,BS_RE33!$N$7:$N$874,I29,BS_RE33!$P$7:$P$874,'30 days CF Table(JPY)'!G29,BS_RE33!$F$7:$F$874,'30 days CF Table(JPY)'!$C$2)</f>
        <v>0</v>
      </c>
      <c r="O29" s="337">
        <f>SUMIFS(BS_RE33!$H$7:$H$874,BS_RE33!$S$7:$S$874,$O$2,BS_RE33!$N$7:$N$874,I29,BS_RE33!$P$7:$P$874,'30 days CF Table(JPY)'!G29,BS_RE33!$F$7:$F$874,'30 days CF Table(JPY)'!$C$2)</f>
        <v>0</v>
      </c>
      <c r="P29" s="337">
        <f>SUMIFS(BS_RE33!$H$7:$H$874,BS_RE33!$S$7:$S$874,$P$2,BS_RE33!$N$7:$N$874,I29,BS_RE33!$P$7:$P$874,'30 days CF Table(JPY)'!G29,BS_RE33!$F$7:$F$874,'30 days CF Table(JPY)'!$C$2)</f>
        <v>0</v>
      </c>
      <c r="Q29" s="337">
        <f>SUMIFS(BS_RE33!$H$7:$H$874,BS_RE33!$S$7:$S$874,$Q$2,BS_RE33!$N$7:$N$874,I29,BS_RE33!$P$7:$P$874,'30 days CF Table(JPY)'!G29,BS_RE33!$F$7:$F$874,'30 days CF Table(JPY)'!$C$2)</f>
        <v>0</v>
      </c>
      <c r="R29" s="337">
        <f>SUMIFS(BS_RE33!$H$7:$H$874,BS_RE33!$S$7:$S$874,$R$2,BS_RE33!$N$7:$N$874,I29,BS_RE33!$P$7:$P$874,'30 days CF Table(JPY)'!G29,BS_RE33!$F$7:$F$874,'30 days CF Table(JPY)'!$C$2)</f>
        <v>0</v>
      </c>
      <c r="S29" s="337">
        <f>SUMIFS(BS_RE33!$H$7:$H$874,BS_RE33!$S$7:$S$874,$S$2,BS_RE33!$N$7:$N$874,I29,BS_RE33!$P$7:$P$874,'30 days CF Table(JPY)'!G29,BS_RE33!$F$7:$F$874,'30 days CF Table(JPY)'!$C$2)</f>
        <v>0</v>
      </c>
      <c r="T29" s="337">
        <f>SUMIFS(BS_RE33!$H$7:$H$874,BS_RE33!$S$7:$S$874,$T$2,BS_RE33!$N$7:$N$874,I29,BS_RE33!$P$7:$P$874,'30 days CF Table(JPY)'!G29,BS_RE33!$F$7:$F$874,'30 days CF Table(JPY)'!$C$2)</f>
        <v>0</v>
      </c>
      <c r="U29" s="337">
        <f>SUMIFS(BS_RE33!$H$7:$H$874,BS_RE33!$S$7:$S$874,$U$2,BS_RE33!$N$7:$N$874,I29,BS_RE33!$P$7:$P$874,'30 days CF Table(JPY)'!G29,BS_RE33!$F$7:$F$874,'30 days CF Table(JPY)'!$C$2)</f>
        <v>0</v>
      </c>
      <c r="V29" s="337">
        <f>SUMIFS(BS_RE33!$H$7:$H$874,BS_RE33!$S$7:$S$874,$V$2,BS_RE33!$N$7:$N$874,I29,BS_RE33!$P$7:$P$874,'30 days CF Table(JPY)'!G29,BS_RE33!$F$7:$F$874,'30 days CF Table(JPY)'!$C$2)</f>
        <v>0</v>
      </c>
      <c r="W29" s="337">
        <f>SUMIFS(BS_RE33!$H$7:$H$874,BS_RE33!$S$7:$S$874,$W$2,BS_RE33!$N$7:$N$874,I29,BS_RE33!$P$7:$P$874,'30 days CF Table(JPY)'!G29,BS_RE33!$F$7:$F$874,'30 days CF Table(JPY)'!$C$2)</f>
        <v>0</v>
      </c>
      <c r="X29" s="337">
        <f>SUMIFS(BS_RE33!$H$7:$H$874,BS_RE33!$S$7:$S$874,$X$2,BS_RE33!$N$7:$N$874,I29,BS_RE33!$P$7:$P$874,'30 days CF Table(JPY)'!G29,BS_RE33!$F$7:$F$874,'30 days CF Table(JPY)'!$C$2)</f>
        <v>0</v>
      </c>
      <c r="Y29" s="337">
        <f>SUMIFS(BS_RE33!$H$7:$H$874,BS_RE33!$S$7:$S$874,$Y$2,BS_RE33!$N$7:$N$874,I29,BS_RE33!$P$7:$P$874,'30 days CF Table(JPY)'!G29,BS_RE33!$F$7:$F$874,'30 days CF Table(JPY)'!$C$2)</f>
        <v>0</v>
      </c>
      <c r="Z29" s="337">
        <f>SUMIFS(BS_RE33!$H$7:$H$874,BS_RE33!$S$7:$S$874,$Z$2,BS_RE33!$N$7:$N$874,I29,BS_RE33!$P$7:$P$874,'30 days CF Table(JPY)'!G29,BS_RE33!$F$7:$F$874,'30 days CF Table(JPY)'!$C$2)</f>
        <v>0</v>
      </c>
      <c r="AA29" s="337">
        <f>SUMIFS(BS_RE33!$H$7:$H$874,BS_RE33!$S$7:$S$874,$AA$2,BS_RE33!$N$7:$N$874,I29,BS_RE33!$P$7:$P$874,'30 days CF Table(JPY)'!G29,BS_RE33!$F$7:$F$874,'30 days CF Table(JPY)'!$C$2)</f>
        <v>0</v>
      </c>
      <c r="AB29" s="337">
        <f>SUMIFS(BS_RE33!$H$7:$H$874,BS_RE33!$S$7:$S$874,$AB$2,BS_RE33!$N$7:$N$874,I29,BS_RE33!$P$7:$P$874,'30 days CF Table(JPY)'!G29,BS_RE33!$F$7:$F$874,'30 days CF Table(JPY)'!$C$2)</f>
        <v>0</v>
      </c>
      <c r="AC29" s="337">
        <f>SUMIFS(BS_RE33!$H$7:$H$874,BS_RE33!$S$7:$S$874,$AC$2,BS_RE33!$N$7:$N$874,I29,BS_RE33!$P$7:$P$874,'30 days CF Table(JPY)'!G29,BS_RE33!$F$7:$F$874,'30 days CF Table(JPY)'!$C$2)</f>
        <v>0</v>
      </c>
      <c r="AD29" s="337">
        <f>SUMIFS(BS_RE33!$H$7:$H$874,BS_RE33!$S$7:$S$874,$AD$2,BS_RE33!$N$7:$N$874,I29,BS_RE33!$P$7:$P$874,'30 days CF Table(JPY)'!G29,BS_RE33!$F$7:$F$874,'30 days CF Table(JPY)'!$C$2)</f>
        <v>0</v>
      </c>
      <c r="AE29" s="337">
        <f>SUMIFS(BS_RE33!$H$7:$H$874,BS_RE33!$S$7:$S$874,$AE$2,BS_RE33!$N$7:$N$874,I29,BS_RE33!$P$7:$P$874,'30 days CF Table(JPY)'!G29,BS_RE33!$F$7:$F$874,'30 days CF Table(JPY)'!$C$2)</f>
        <v>0</v>
      </c>
      <c r="AF29" s="337">
        <f>SUMIFS(BS_RE33!$H$7:$H$874,BS_RE33!$S$7:$S$874,$AF$2,BS_RE33!$N$7:$N$874,I29,BS_RE33!$P$7:$P$874,'30 days CF Table(JPY)'!G29,BS_RE33!$F$7:$F$874,'30 days CF Table(JPY)'!$C$2)</f>
        <v>0</v>
      </c>
      <c r="AG29" s="337">
        <f>SUMIFS(BS_RE33!$H$7:$H$874,BS_RE33!$S$7:$S$874,$AG$2,BS_RE33!$N$7:$N$874,I29,BS_RE33!$P$7:$P$874,'30 days CF Table(JPY)'!G29,BS_RE33!$F$7:$F$874,'30 days CF Table(JPY)'!$C$2)</f>
        <v>0</v>
      </c>
      <c r="AH29" s="337">
        <f>SUMIFS(BS_RE33!$H$7:$H$874,BS_RE33!$S$7:$S$874,$AH$2,BS_RE33!$N$7:$N$874,I29,BS_RE33!$P$7:$P$874,'30 days CF Table(JPY)'!G29,BS_RE33!$F$7:$F$874,'30 days CF Table(JPY)'!$C$2)</f>
        <v>0</v>
      </c>
      <c r="AI29" s="337">
        <f>SUMIFS(BS_RE33!$H$7:$H$874,BS_RE33!$S$7:$S$874,$AI$2,BS_RE33!$N$7:$N$874,I29,BS_RE33!$P$7:$P$874,'30 days CF Table(JPY)'!G29,BS_RE33!$F$7:$F$874,'30 days CF Table(JPY)'!$C$2)</f>
        <v>0</v>
      </c>
      <c r="AJ29" s="337">
        <f>SUMIFS(BS_RE33!$H$7:$H$874,BS_RE33!$S$7:$S$874,$AJ$2,BS_RE33!$N$7:$N$874,I29,BS_RE33!$P$7:$P$874,'30 days CF Table(JPY)'!G29,BS_RE33!$F$7:$F$874,'30 days CF Table(JPY)'!$C$2)</f>
        <v>0</v>
      </c>
      <c r="AK29" s="337">
        <f>SUMIFS(BS_RE33!$H$7:$H$874,BS_RE33!$S$7:$S$874,$AK$2,BS_RE33!$N$7:$N$874,I29,BS_RE33!$P$7:$P$874,'30 days CF Table(JPY)'!G29,BS_RE33!$F$7:$F$874,'30 days CF Table(JPY)'!$C$2)</f>
        <v>0</v>
      </c>
      <c r="AL29" s="337">
        <f>SUMIFS(BS_RE33!$H$7:$H$874,BS_RE33!$S$7:$S$874,$AL$2,BS_RE33!$N$7:$N$874,I29,BS_RE33!$P$7:$P$874,'30 days CF Table(JPY)'!G29,BS_RE33!$F$7:$F$874,'30 days CF Table(JPY)'!$C$2)</f>
        <v>0</v>
      </c>
      <c r="AM29" s="337">
        <f>SUMIFS(BS_RE33!$H$7:$H$874,BS_RE33!$S$7:$S$874,$AM$2,BS_RE33!$N$7:$N$874,I29,BS_RE33!$P$7:$P$874,'30 days CF Table(JPY)'!G29,BS_RE33!$F$7:$F$874,'30 days CF Table(JPY)'!$C$2)</f>
        <v>0</v>
      </c>
      <c r="AN29" s="337">
        <f>SUMIFS(BS_RE33!$H$7:$H$874,BS_RE33!$S$7:$S$874,$AN$2,BS_RE33!$N$7:$N$874,I29,BS_RE33!$P$7:$P$874,'30 days CF Table(JPY)'!G29,BS_RE33!$F$7:$F$874,'30 days CF Table(JPY)'!$C$2)</f>
        <v>0</v>
      </c>
      <c r="AO29" s="337">
        <f>SUMIFS(BS_RE33!$H$7:$H$874,BS_RE33!$S$7:$S$874,$AO$2,BS_RE33!$N$7:$N$874,I29,BS_RE33!$P$7:$P$874,'30 days CF Table(JPY)'!G29,BS_RE33!$F$7:$F$874,'30 days CF Table(JPY)'!$C$2)</f>
        <v>0</v>
      </c>
      <c r="AP29" s="338">
        <f>SUMIFS(BS_RE33!$H$7:$H$874,BS_RE33!$S$7:$S$874,$AP$2,BS_RE33!$N$7:$N$874,I29,BS_RE33!$P$7:$P$874,'30 days CF Table(JPY)'!G29,BS_RE33!$F$7:$F$874,'30 days CF Table(JPY)'!$C$2)</f>
        <v>0</v>
      </c>
      <c r="AR29" s="379">
        <f>SUMIFS(BS_RE33!$H$7:$H$874,BS_RE33!$S$7:$S$874,$AR$2,BS_RE33!$N$7:$N$874,I29,BS_RE33!$P$7:$P$874,'30 days CF Table(JPY)'!G29,BS_RE33!$F$7:$F$874,'30 days CF Table(JPY)'!$C$2)</f>
        <v>0</v>
      </c>
      <c r="AS29" s="379">
        <f>SUMIFS(BS_RE33!$H$7:$H$874,BS_RE33!$S$7:$S$874,$AS$2,BS_RE33!$N$7:$N$874,I29,BS_RE33!$P$7:$P$874,'30 days CF Table(JPY)'!G29,BS_RE33!$F$7:$F$874,'30 days CF Table(JPY)'!$C$2)</f>
        <v>0</v>
      </c>
      <c r="AT29" s="379">
        <f>SUMIFS(BS_RE33!$H$7:$H$874,BS_RE33!$S$7:$S$874,$AT$2,BS_RE33!$N$7:$N$874,I29,BS_RE33!$P$7:$P$874,'30 days CF Table(JPY)'!G29,BS_RE33!$F$7:$F$874,'30 days CF Table(JPY)'!$C$2)</f>
        <v>0</v>
      </c>
      <c r="AU29" s="379">
        <f>SUMIFS(BS_RE33!$H$7:$H$874,BS_RE33!$S$7:$S$874,$AU$2,BS_RE33!$N$7:$N$874,I29,BS_RE33!$P$7:$P$874,'30 days CF Table(JPY)'!G29,BS_RE33!$F$7:$F$874,'30 days CF Table(JPY)'!$C$2)</f>
        <v>0</v>
      </c>
      <c r="AV29" s="379">
        <f>SUMIFS(BS_RE33!$H$7:$H$874,BS_RE33!$S$7:$S$874,$AV$2,BS_RE33!$N$7:$N$874,I29,BS_RE33!$P$7:$P$874,'30 days CF Table(JPY)'!G29,BS_RE33!$F$7:$F$874,'30 days CF Table(JPY)'!$C$2)</f>
        <v>0</v>
      </c>
      <c r="AW29" s="379">
        <f>SUMIFS(BS_RE33!$H$7:$H$874,BS_RE33!$S$7:$S$874,$AW$2,BS_RE33!$N$7:$N$874,I29,BS_RE33!$P$7:$P$874,'30 days CF Table(JPY)'!G29,BS_RE33!$F$7:$F$874,'30 days CF Table(JPY)'!$C$2)</f>
        <v>0</v>
      </c>
      <c r="AX29" s="379">
        <f>SUMIFS(BS_RE33!$H$7:$H$874,BS_RE33!$S$7:$S$874,$AX$2,BS_RE33!$N$7:$N$874,I29,BS_RE33!$P$7:$P$874,'30 days CF Table(JPY)'!G29,BS_RE33!$F$7:$F$874,'30 days CF Table(JPY)'!$C$2)</f>
        <v>0</v>
      </c>
      <c r="AY29" s="379">
        <f>SUMIFS(BS_RE33!$H$7:$H$874,BS_RE33!$S$7:$S$874,$AY$2,BS_RE33!$N$7:$N$874,I29,BS_RE33!$P$7:$P$874,'30 days CF Table(JPY)'!G29,BS_RE33!$F$7:$F$874,'30 days CF Table(JPY)'!$C$2)</f>
        <v>0</v>
      </c>
      <c r="AZ29" s="379">
        <f>SUMIFS(BS_RE33!$H$7:$H$874,BS_RE33!$S$7:$S$874,$AZ$2,BS_RE33!$N$7:$N$874,I29,BS_RE33!$P$7:$P$874,'30 days CF Table(JPY)'!G29,BS_RE33!$F$7:$F$874,'30 days CF Table(JPY)'!$C$2)</f>
        <v>0</v>
      </c>
      <c r="BA29" s="379">
        <f>SUMIFS(BS_RE33!$H$7:$H$874,BS_RE33!$S$7:$S$874,$BA$2,BS_RE33!$N$7:$N$874,I29,BS_RE33!$P$7:$P$874,'30 days CF Table(JPY)'!G29,BS_RE33!$F$7:$F$874,'30 days CF Table(JPY)'!$C$2)</f>
        <v>0</v>
      </c>
      <c r="BB29" s="379">
        <f>SUMIFS(BS_RE33!$H$7:$H$874,BS_RE33!$S$7:$S$874,$BB$2,BS_RE33!$N$7:$N$874,I29,BS_RE33!$P$7:$P$874,'30 days CF Table(JPY)'!G29,BS_RE33!$F$7:$F$874,'30 days CF Table(JPY)'!$C$2)</f>
        <v>0</v>
      </c>
      <c r="BC29" s="379">
        <f>SUMIFS(BS_RE33!$H$7:$H$874,BS_RE33!$S$7:$S$874,$BC$2,BS_RE33!$N$7:$N$874,I29,BS_RE33!$P$7:$P$874,'30 days CF Table(JPY)'!G29,BS_RE33!$F$7:$F$874,'30 days CF Table(JPY)'!$C$2)</f>
        <v>0</v>
      </c>
      <c r="BD29" s="379">
        <f>SUMIFS(BS_RE33!$H$7:$H$874,BS_RE33!$S$7:$S$874,$BD$2,BS_RE33!$N$7:$N$874,I29,BS_RE33!$P$7:$P$874,'30 days CF Table(JPY)'!G29,BS_RE33!$F$7:$F$874,'30 days CF Table(JPY)'!$C$2)</f>
        <v>0</v>
      </c>
      <c r="BE29" s="379">
        <f>SUMIFS(BS_RE33!$H$7:$H$874,BS_RE33!$S$7:$S$874,$BE$2,BS_RE33!$N$7:$N$874,I29,BS_RE33!$P$7:$P$874,'30 days CF Table(JPY)'!G29,BS_RE33!$F$7:$F$874,'30 days CF Table(JPY)'!$C$2)</f>
        <v>0</v>
      </c>
      <c r="BF29" s="379">
        <f>SUMIFS(BS_RE33!$H$7:$H$874,BS_RE33!$S$7:$S$874,$BF$2,BS_RE33!$N$7:$N$874,I29,BS_RE33!$P$7:$P$874,'30 days CF Table(JPY)'!G29,BS_RE33!$F$7:$F$874,'30 days CF Table(JPY)'!$C$2)</f>
        <v>0</v>
      </c>
      <c r="BG29" s="379">
        <f>SUMIFS(BS_RE33!$H$7:$H$874,BS_RE33!$S$7:$S$874,$BG$2,BS_RE33!$N$7:$N$874,I29,BS_RE33!$P$7:$P$874,'30 days CF Table(JPY)'!G29,BS_RE33!$F$7:$F$874,'30 days CF Table(JPY)'!$C$2)</f>
        <v>0</v>
      </c>
      <c r="BH29" s="379">
        <f>SUMIFS(BS_RE33!$H$7:$H$874,BS_RE33!$S$7:$S$874,$BH$2,BS_RE33!$N$7:$N$874,I29,BS_RE33!$P$7:$P$874,'30 days CF Table(JPY)'!G29,BS_RE33!$F$7:$F$874,'30 days CF Table(JPY)'!$C$2)</f>
        <v>0</v>
      </c>
      <c r="BI29" s="379">
        <f>SUMIFS(BS_RE33!$H$7:$H$874,BS_RE33!$S$7:$S$874,$BI$2,BS_RE33!$N$7:$N$874,I29,BS_RE33!$P$7:$P$874,'30 days CF Table(JPY)'!G29,BS_RE33!$F$7:$F$874,'30 days CF Table(JPY)'!$C$2)</f>
        <v>0</v>
      </c>
      <c r="BJ29" s="379">
        <f>SUMIFS(BS_RE33!$H$7:$H$874,BS_RE33!$S$7:$S$874,$BJ$2,BS_RE33!$N$7:$N$874,I29,BS_RE33!$P$7:$P$874,'30 days CF Table(JPY)'!G29,BS_RE33!$F$7:$F$874,'30 days CF Table(JPY)'!$C$2)</f>
        <v>0</v>
      </c>
      <c r="BK29" s="379">
        <f>SUMIFS(BS_RE33!$H$7:$H$874,BS_RE33!$S$7:$S$874,$BK$2,BS_RE33!$N$7:$N$874,I29,BS_RE33!$P$7:$P$874,'30 days CF Table(JPY)'!G29,BS_RE33!$F$7:$F$874,'30 days CF Table(JPY)'!$C$2)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Table(JPY)'!G30,BS_RE33!$F$7:$F$874,'30 days CF Table(JPY)'!$C$2)</f>
        <v>0</v>
      </c>
      <c r="M30" s="337">
        <f>SUMIFS(BS_RE33!$H$7:$H$874,BS_RE33!$S$7:$S$874,$M$2,BS_RE33!$N$7:$N$874,I30,BS_RE33!$P$7:$P$874,'30 days CF Table(JPY)'!G30,BS_RE33!$F$7:$F$874,'30 days CF Table(JPY)'!$C$2)</f>
        <v>0</v>
      </c>
      <c r="N30" s="337">
        <f>SUMIFS(BS_RE33!$H$7:$H$874,BS_RE33!$S$7:$S$874,$N$2,BS_RE33!$N$7:$N$874,I30,BS_RE33!$P$7:$P$874,'30 days CF Table(JPY)'!G30,BS_RE33!$F$7:$F$874,'30 days CF Table(JPY)'!$C$2)</f>
        <v>0</v>
      </c>
      <c r="O30" s="337">
        <f>SUMIFS(BS_RE33!$H$7:$H$874,BS_RE33!$S$7:$S$874,$O$2,BS_RE33!$N$7:$N$874,I30,BS_RE33!$P$7:$P$874,'30 days CF Table(JPY)'!G30,BS_RE33!$F$7:$F$874,'30 days CF Table(JPY)'!$C$2)</f>
        <v>0</v>
      </c>
      <c r="P30" s="337">
        <f>SUMIFS(BS_RE33!$H$7:$H$874,BS_RE33!$S$7:$S$874,$P$2,BS_RE33!$N$7:$N$874,I30,BS_RE33!$P$7:$P$874,'30 days CF Table(JPY)'!G30,BS_RE33!$F$7:$F$874,'30 days CF Table(JPY)'!$C$2)</f>
        <v>0</v>
      </c>
      <c r="Q30" s="337">
        <f>SUMIFS(BS_RE33!$H$7:$H$874,BS_RE33!$S$7:$S$874,$Q$2,BS_RE33!$N$7:$N$874,I30,BS_RE33!$P$7:$P$874,'30 days CF Table(JPY)'!G30,BS_RE33!$F$7:$F$874,'30 days CF Table(JPY)'!$C$2)</f>
        <v>0</v>
      </c>
      <c r="R30" s="337">
        <f>SUMIFS(BS_RE33!$H$7:$H$874,BS_RE33!$S$7:$S$874,$R$2,BS_RE33!$N$7:$N$874,I30,BS_RE33!$P$7:$P$874,'30 days CF Table(JPY)'!G30,BS_RE33!$F$7:$F$874,'30 days CF Table(JPY)'!$C$2)</f>
        <v>0</v>
      </c>
      <c r="S30" s="337">
        <f>SUMIFS(BS_RE33!$H$7:$H$874,BS_RE33!$S$7:$S$874,$S$2,BS_RE33!$N$7:$N$874,I30,BS_RE33!$P$7:$P$874,'30 days CF Table(JPY)'!G30,BS_RE33!$F$7:$F$874,'30 days CF Table(JPY)'!$C$2)</f>
        <v>0</v>
      </c>
      <c r="T30" s="337">
        <f>SUMIFS(BS_RE33!$H$7:$H$874,BS_RE33!$S$7:$S$874,$T$2,BS_RE33!$N$7:$N$874,I30,BS_RE33!$P$7:$P$874,'30 days CF Table(JPY)'!G30,BS_RE33!$F$7:$F$874,'30 days CF Table(JPY)'!$C$2)</f>
        <v>0</v>
      </c>
      <c r="U30" s="337">
        <f>SUMIFS(BS_RE33!$H$7:$H$874,BS_RE33!$S$7:$S$874,$U$2,BS_RE33!$N$7:$N$874,I30,BS_RE33!$P$7:$P$874,'30 days CF Table(JPY)'!G30,BS_RE33!$F$7:$F$874,'30 days CF Table(JPY)'!$C$2)</f>
        <v>0</v>
      </c>
      <c r="V30" s="337">
        <f>SUMIFS(BS_RE33!$H$7:$H$874,BS_RE33!$S$7:$S$874,$V$2,BS_RE33!$N$7:$N$874,I30,BS_RE33!$P$7:$P$874,'30 days CF Table(JPY)'!G30,BS_RE33!$F$7:$F$874,'30 days CF Table(JPY)'!$C$2)</f>
        <v>0</v>
      </c>
      <c r="W30" s="337">
        <f>SUMIFS(BS_RE33!$H$7:$H$874,BS_RE33!$S$7:$S$874,$W$2,BS_RE33!$N$7:$N$874,I30,BS_RE33!$P$7:$P$874,'30 days CF Table(JPY)'!G30,BS_RE33!$F$7:$F$874,'30 days CF Table(JPY)'!$C$2)</f>
        <v>0</v>
      </c>
      <c r="X30" s="337">
        <f>SUMIFS(BS_RE33!$H$7:$H$874,BS_RE33!$S$7:$S$874,$X$2,BS_RE33!$N$7:$N$874,I30,BS_RE33!$P$7:$P$874,'30 days CF Table(JPY)'!G30,BS_RE33!$F$7:$F$874,'30 days CF Table(JPY)'!$C$2)</f>
        <v>0</v>
      </c>
      <c r="Y30" s="337">
        <f>SUMIFS(BS_RE33!$H$7:$H$874,BS_RE33!$S$7:$S$874,$Y$2,BS_RE33!$N$7:$N$874,I30,BS_RE33!$P$7:$P$874,'30 days CF Table(JPY)'!G30,BS_RE33!$F$7:$F$874,'30 days CF Table(JPY)'!$C$2)</f>
        <v>0</v>
      </c>
      <c r="Z30" s="337">
        <f>SUMIFS(BS_RE33!$H$7:$H$874,BS_RE33!$S$7:$S$874,$Z$2,BS_RE33!$N$7:$N$874,I30,BS_RE33!$P$7:$P$874,'30 days CF Table(JPY)'!G30,BS_RE33!$F$7:$F$874,'30 days CF Table(JPY)'!$C$2)</f>
        <v>0</v>
      </c>
      <c r="AA30" s="337">
        <f>SUMIFS(BS_RE33!$H$7:$H$874,BS_RE33!$S$7:$S$874,$AA$2,BS_RE33!$N$7:$N$874,I30,BS_RE33!$P$7:$P$874,'30 days CF Table(JPY)'!G30,BS_RE33!$F$7:$F$874,'30 days CF Table(JPY)'!$C$2)</f>
        <v>0</v>
      </c>
      <c r="AB30" s="337">
        <f>SUMIFS(BS_RE33!$H$7:$H$874,BS_RE33!$S$7:$S$874,$AB$2,BS_RE33!$N$7:$N$874,I30,BS_RE33!$P$7:$P$874,'30 days CF Table(JPY)'!G30,BS_RE33!$F$7:$F$874,'30 days CF Table(JPY)'!$C$2)</f>
        <v>0</v>
      </c>
      <c r="AC30" s="337">
        <f>SUMIFS(BS_RE33!$H$7:$H$874,BS_RE33!$S$7:$S$874,$AC$2,BS_RE33!$N$7:$N$874,I30,BS_RE33!$P$7:$P$874,'30 days CF Table(JPY)'!G30,BS_RE33!$F$7:$F$874,'30 days CF Table(JPY)'!$C$2)</f>
        <v>0</v>
      </c>
      <c r="AD30" s="337">
        <f>SUMIFS(BS_RE33!$H$7:$H$874,BS_RE33!$S$7:$S$874,$AD$2,BS_RE33!$N$7:$N$874,I30,BS_RE33!$P$7:$P$874,'30 days CF Table(JPY)'!G30,BS_RE33!$F$7:$F$874,'30 days CF Table(JPY)'!$C$2)</f>
        <v>0</v>
      </c>
      <c r="AE30" s="337">
        <f>SUMIFS(BS_RE33!$H$7:$H$874,BS_RE33!$S$7:$S$874,$AE$2,BS_RE33!$N$7:$N$874,I30,BS_RE33!$P$7:$P$874,'30 days CF Table(JPY)'!G30,BS_RE33!$F$7:$F$874,'30 days CF Table(JPY)'!$C$2)</f>
        <v>0</v>
      </c>
      <c r="AF30" s="337">
        <f>SUMIFS(BS_RE33!$H$7:$H$874,BS_RE33!$S$7:$S$874,$AF$2,BS_RE33!$N$7:$N$874,I30,BS_RE33!$P$7:$P$874,'30 days CF Table(JPY)'!G30,BS_RE33!$F$7:$F$874,'30 days CF Table(JPY)'!$C$2)</f>
        <v>0</v>
      </c>
      <c r="AG30" s="337">
        <f>SUMIFS(BS_RE33!$H$7:$H$874,BS_RE33!$S$7:$S$874,$AG$2,BS_RE33!$N$7:$N$874,I30,BS_RE33!$P$7:$P$874,'30 days CF Table(JPY)'!G30,BS_RE33!$F$7:$F$874,'30 days CF Table(JPY)'!$C$2)</f>
        <v>0</v>
      </c>
      <c r="AH30" s="337">
        <f>SUMIFS(BS_RE33!$H$7:$H$874,BS_RE33!$S$7:$S$874,$AH$2,BS_RE33!$N$7:$N$874,I30,BS_RE33!$P$7:$P$874,'30 days CF Table(JPY)'!G30,BS_RE33!$F$7:$F$874,'30 days CF Table(JPY)'!$C$2)</f>
        <v>0</v>
      </c>
      <c r="AI30" s="337">
        <f>SUMIFS(BS_RE33!$H$7:$H$874,BS_RE33!$S$7:$S$874,$AI$2,BS_RE33!$N$7:$N$874,I30,BS_RE33!$P$7:$P$874,'30 days CF Table(JPY)'!G30,BS_RE33!$F$7:$F$874,'30 days CF Table(JPY)'!$C$2)</f>
        <v>0</v>
      </c>
      <c r="AJ30" s="337">
        <f>SUMIFS(BS_RE33!$H$7:$H$874,BS_RE33!$S$7:$S$874,$AJ$2,BS_RE33!$N$7:$N$874,I30,BS_RE33!$P$7:$P$874,'30 days CF Table(JPY)'!G30,BS_RE33!$F$7:$F$874,'30 days CF Table(JPY)'!$C$2)</f>
        <v>0</v>
      </c>
      <c r="AK30" s="337">
        <f>SUMIFS(BS_RE33!$H$7:$H$874,BS_RE33!$S$7:$S$874,$AK$2,BS_RE33!$N$7:$N$874,I30,BS_RE33!$P$7:$P$874,'30 days CF Table(JPY)'!G30,BS_RE33!$F$7:$F$874,'30 days CF Table(JPY)'!$C$2)</f>
        <v>0</v>
      </c>
      <c r="AL30" s="337">
        <f>SUMIFS(BS_RE33!$H$7:$H$874,BS_RE33!$S$7:$S$874,$AL$2,BS_RE33!$N$7:$N$874,I30,BS_RE33!$P$7:$P$874,'30 days CF Table(JPY)'!G30,BS_RE33!$F$7:$F$874,'30 days CF Table(JPY)'!$C$2)</f>
        <v>0</v>
      </c>
      <c r="AM30" s="337">
        <f>SUMIFS(BS_RE33!$H$7:$H$874,BS_RE33!$S$7:$S$874,$AM$2,BS_RE33!$N$7:$N$874,I30,BS_RE33!$P$7:$P$874,'30 days CF Table(JPY)'!G30,BS_RE33!$F$7:$F$874,'30 days CF Table(JPY)'!$C$2)</f>
        <v>0</v>
      </c>
      <c r="AN30" s="337">
        <f>SUMIFS(BS_RE33!$H$7:$H$874,BS_RE33!$S$7:$S$874,$AN$2,BS_RE33!$N$7:$N$874,I30,BS_RE33!$P$7:$P$874,'30 days CF Table(JPY)'!G30,BS_RE33!$F$7:$F$874,'30 days CF Table(JPY)'!$C$2)</f>
        <v>0</v>
      </c>
      <c r="AO30" s="337">
        <f>SUMIFS(BS_RE33!$H$7:$H$874,BS_RE33!$S$7:$S$874,$AO$2,BS_RE33!$N$7:$N$874,I30,BS_RE33!$P$7:$P$874,'30 days CF Table(JPY)'!G30,BS_RE33!$F$7:$F$874,'30 days CF Table(JPY)'!$C$2)</f>
        <v>0</v>
      </c>
      <c r="AP30" s="338">
        <f>SUMIFS(BS_RE33!$H$7:$H$874,BS_RE33!$S$7:$S$874,$AP$2,BS_RE33!$N$7:$N$874,I30,BS_RE33!$P$7:$P$874,'30 days CF Table(JPY)'!G30,BS_RE33!$F$7:$F$874,'30 days CF Table(JPY)'!$C$2)</f>
        <v>0</v>
      </c>
      <c r="AR30" s="379">
        <f>SUMIFS(BS_RE33!$H$7:$H$874,BS_RE33!$S$7:$S$874,$AR$2,BS_RE33!$N$7:$N$874,I30,BS_RE33!$P$7:$P$874,'30 days CF Table(JPY)'!G30,BS_RE33!$F$7:$F$874,'30 days CF Table(JPY)'!$C$2)</f>
        <v>0</v>
      </c>
      <c r="AS30" s="379">
        <f>SUMIFS(BS_RE33!$H$7:$H$874,BS_RE33!$S$7:$S$874,$AS$2,BS_RE33!$N$7:$N$874,I30,BS_RE33!$P$7:$P$874,'30 days CF Table(JPY)'!G30,BS_RE33!$F$7:$F$874,'30 days CF Table(JPY)'!$C$2)</f>
        <v>0</v>
      </c>
      <c r="AT30" s="379">
        <f>SUMIFS(BS_RE33!$H$7:$H$874,BS_RE33!$S$7:$S$874,$AT$2,BS_RE33!$N$7:$N$874,I30,BS_RE33!$P$7:$P$874,'30 days CF Table(JPY)'!G30,BS_RE33!$F$7:$F$874,'30 days CF Table(JPY)'!$C$2)</f>
        <v>0</v>
      </c>
      <c r="AU30" s="379">
        <f>SUMIFS(BS_RE33!$H$7:$H$874,BS_RE33!$S$7:$S$874,$AU$2,BS_RE33!$N$7:$N$874,I30,BS_RE33!$P$7:$P$874,'30 days CF Table(JPY)'!G30,BS_RE33!$F$7:$F$874,'30 days CF Table(JPY)'!$C$2)</f>
        <v>0</v>
      </c>
      <c r="AV30" s="379">
        <f>SUMIFS(BS_RE33!$H$7:$H$874,BS_RE33!$S$7:$S$874,$AV$2,BS_RE33!$N$7:$N$874,I30,BS_RE33!$P$7:$P$874,'30 days CF Table(JPY)'!G30,BS_RE33!$F$7:$F$874,'30 days CF Table(JPY)'!$C$2)</f>
        <v>0</v>
      </c>
      <c r="AW30" s="379">
        <f>SUMIFS(BS_RE33!$H$7:$H$874,BS_RE33!$S$7:$S$874,$AW$2,BS_RE33!$N$7:$N$874,I30,BS_RE33!$P$7:$P$874,'30 days CF Table(JPY)'!G30,BS_RE33!$F$7:$F$874,'30 days CF Table(JPY)'!$C$2)</f>
        <v>0</v>
      </c>
      <c r="AX30" s="379">
        <f>SUMIFS(BS_RE33!$H$7:$H$874,BS_RE33!$S$7:$S$874,$AX$2,BS_RE33!$N$7:$N$874,I30,BS_RE33!$P$7:$P$874,'30 days CF Table(JPY)'!G30,BS_RE33!$F$7:$F$874,'30 days CF Table(JPY)'!$C$2)</f>
        <v>0</v>
      </c>
      <c r="AY30" s="379">
        <f>SUMIFS(BS_RE33!$H$7:$H$874,BS_RE33!$S$7:$S$874,$AY$2,BS_RE33!$N$7:$N$874,I30,BS_RE33!$P$7:$P$874,'30 days CF Table(JPY)'!G30,BS_RE33!$F$7:$F$874,'30 days CF Table(JPY)'!$C$2)</f>
        <v>0</v>
      </c>
      <c r="AZ30" s="379">
        <f>SUMIFS(BS_RE33!$H$7:$H$874,BS_RE33!$S$7:$S$874,$AZ$2,BS_RE33!$N$7:$N$874,I30,BS_RE33!$P$7:$P$874,'30 days CF Table(JPY)'!G30,BS_RE33!$F$7:$F$874,'30 days CF Table(JPY)'!$C$2)</f>
        <v>0</v>
      </c>
      <c r="BA30" s="379">
        <f>SUMIFS(BS_RE33!$H$7:$H$874,BS_RE33!$S$7:$S$874,$BA$2,BS_RE33!$N$7:$N$874,I30,BS_RE33!$P$7:$P$874,'30 days CF Table(JPY)'!G30,BS_RE33!$F$7:$F$874,'30 days CF Table(JPY)'!$C$2)</f>
        <v>0</v>
      </c>
      <c r="BB30" s="379">
        <f>SUMIFS(BS_RE33!$H$7:$H$874,BS_RE33!$S$7:$S$874,$BB$2,BS_RE33!$N$7:$N$874,I30,BS_RE33!$P$7:$P$874,'30 days CF Table(JPY)'!G30,BS_RE33!$F$7:$F$874,'30 days CF Table(JPY)'!$C$2)</f>
        <v>0</v>
      </c>
      <c r="BC30" s="379">
        <f>SUMIFS(BS_RE33!$H$7:$H$874,BS_RE33!$S$7:$S$874,$BC$2,BS_RE33!$N$7:$N$874,I30,BS_RE33!$P$7:$P$874,'30 days CF Table(JPY)'!G30,BS_RE33!$F$7:$F$874,'30 days CF Table(JPY)'!$C$2)</f>
        <v>0</v>
      </c>
      <c r="BD30" s="379">
        <f>SUMIFS(BS_RE33!$H$7:$H$874,BS_RE33!$S$7:$S$874,$BD$2,BS_RE33!$N$7:$N$874,I30,BS_RE33!$P$7:$P$874,'30 days CF Table(JPY)'!G30,BS_RE33!$F$7:$F$874,'30 days CF Table(JPY)'!$C$2)</f>
        <v>0</v>
      </c>
      <c r="BE30" s="379">
        <f>SUMIFS(BS_RE33!$H$7:$H$874,BS_RE33!$S$7:$S$874,$BE$2,BS_RE33!$N$7:$N$874,I30,BS_RE33!$P$7:$P$874,'30 days CF Table(JPY)'!G30,BS_RE33!$F$7:$F$874,'30 days CF Table(JPY)'!$C$2)</f>
        <v>0</v>
      </c>
      <c r="BF30" s="379">
        <f>SUMIFS(BS_RE33!$H$7:$H$874,BS_RE33!$S$7:$S$874,$BF$2,BS_RE33!$N$7:$N$874,I30,BS_RE33!$P$7:$P$874,'30 days CF Table(JPY)'!G30,BS_RE33!$F$7:$F$874,'30 days CF Table(JPY)'!$C$2)</f>
        <v>0</v>
      </c>
      <c r="BG30" s="379">
        <f>SUMIFS(BS_RE33!$H$7:$H$874,BS_RE33!$S$7:$S$874,$BG$2,BS_RE33!$N$7:$N$874,I30,BS_RE33!$P$7:$P$874,'30 days CF Table(JPY)'!G30,BS_RE33!$F$7:$F$874,'30 days CF Table(JPY)'!$C$2)</f>
        <v>0</v>
      </c>
      <c r="BH30" s="379">
        <f>SUMIFS(BS_RE33!$H$7:$H$874,BS_RE33!$S$7:$S$874,$BH$2,BS_RE33!$N$7:$N$874,I30,BS_RE33!$P$7:$P$874,'30 days CF Table(JPY)'!G30,BS_RE33!$F$7:$F$874,'30 days CF Table(JPY)'!$C$2)</f>
        <v>0</v>
      </c>
      <c r="BI30" s="379">
        <f>SUMIFS(BS_RE33!$H$7:$H$874,BS_RE33!$S$7:$S$874,$BI$2,BS_RE33!$N$7:$N$874,I30,BS_RE33!$P$7:$P$874,'30 days CF Table(JPY)'!G30,BS_RE33!$F$7:$F$874,'30 days CF Table(JPY)'!$C$2)</f>
        <v>0</v>
      </c>
      <c r="BJ30" s="379">
        <f>SUMIFS(BS_RE33!$H$7:$H$874,BS_RE33!$S$7:$S$874,$BJ$2,BS_RE33!$N$7:$N$874,I30,BS_RE33!$P$7:$P$874,'30 days CF Table(JPY)'!G30,BS_RE33!$F$7:$F$874,'30 days CF Table(JPY)'!$C$2)</f>
        <v>0</v>
      </c>
      <c r="BK30" s="379">
        <f>SUMIFS(BS_RE33!$H$7:$H$874,BS_RE33!$S$7:$S$874,$BK$2,BS_RE33!$N$7:$N$874,I30,BS_RE33!$P$7:$P$874,'30 days CF Table(JPY)'!G30,BS_RE33!$F$7:$F$874,'30 days CF Table(JPY)'!$C$2)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Table(JPY)'!G31,BS_RE33!$F$7:$F$874,'30 days CF Table(JPY)'!$C$2)</f>
        <v>0</v>
      </c>
      <c r="M31" s="337">
        <f>SUMIFS(BS_RE33!$H$7:$H$874,BS_RE33!$S$7:$S$874,$M$2,BS_RE33!$N$7:$N$874,I31,BS_RE33!$P$7:$P$874,'30 days CF Table(JPY)'!G31,BS_RE33!$F$7:$F$874,'30 days CF Table(JPY)'!$C$2)</f>
        <v>0</v>
      </c>
      <c r="N31" s="337">
        <f>SUMIFS(BS_RE33!$H$7:$H$874,BS_RE33!$S$7:$S$874,$N$2,BS_RE33!$N$7:$N$874,I31,BS_RE33!$P$7:$P$874,'30 days CF Table(JPY)'!G31,BS_RE33!$F$7:$F$874,'30 days CF Table(JPY)'!$C$2)</f>
        <v>0</v>
      </c>
      <c r="O31" s="337">
        <f>SUMIFS(BS_RE33!$H$7:$H$874,BS_RE33!$S$7:$S$874,$O$2,BS_RE33!$N$7:$N$874,I31,BS_RE33!$P$7:$P$874,'30 days CF Table(JPY)'!G31,BS_RE33!$F$7:$F$874,'30 days CF Table(JPY)'!$C$2)</f>
        <v>0</v>
      </c>
      <c r="P31" s="337">
        <f>SUMIFS(BS_RE33!$H$7:$H$874,BS_RE33!$S$7:$S$874,$P$2,BS_RE33!$N$7:$N$874,I31,BS_RE33!$P$7:$P$874,'30 days CF Table(JPY)'!G31,BS_RE33!$F$7:$F$874,'30 days CF Table(JPY)'!$C$2)</f>
        <v>0</v>
      </c>
      <c r="Q31" s="337">
        <f>SUMIFS(BS_RE33!$H$7:$H$874,BS_RE33!$S$7:$S$874,$Q$2,BS_RE33!$N$7:$N$874,I31,BS_RE33!$P$7:$P$874,'30 days CF Table(JPY)'!G31,BS_RE33!$F$7:$F$874,'30 days CF Table(JPY)'!$C$2)</f>
        <v>0</v>
      </c>
      <c r="R31" s="337">
        <f>SUMIFS(BS_RE33!$H$7:$H$874,BS_RE33!$S$7:$S$874,$R$2,BS_RE33!$N$7:$N$874,I31,BS_RE33!$P$7:$P$874,'30 days CF Table(JPY)'!G31,BS_RE33!$F$7:$F$874,'30 days CF Table(JPY)'!$C$2)</f>
        <v>0</v>
      </c>
      <c r="S31" s="337">
        <f>SUMIFS(BS_RE33!$H$7:$H$874,BS_RE33!$S$7:$S$874,$S$2,BS_RE33!$N$7:$N$874,I31,BS_RE33!$P$7:$P$874,'30 days CF Table(JPY)'!G31,BS_RE33!$F$7:$F$874,'30 days CF Table(JPY)'!$C$2)</f>
        <v>0</v>
      </c>
      <c r="T31" s="337">
        <f>SUMIFS(BS_RE33!$H$7:$H$874,BS_RE33!$S$7:$S$874,$T$2,BS_RE33!$N$7:$N$874,I31,BS_RE33!$P$7:$P$874,'30 days CF Table(JPY)'!G31,BS_RE33!$F$7:$F$874,'30 days CF Table(JPY)'!$C$2)</f>
        <v>0</v>
      </c>
      <c r="U31" s="337">
        <f>SUMIFS(BS_RE33!$H$7:$H$874,BS_RE33!$S$7:$S$874,$U$2,BS_RE33!$N$7:$N$874,I31,BS_RE33!$P$7:$P$874,'30 days CF Table(JPY)'!G31,BS_RE33!$F$7:$F$874,'30 days CF Table(JPY)'!$C$2)</f>
        <v>0</v>
      </c>
      <c r="V31" s="337">
        <f>SUMIFS(BS_RE33!$H$7:$H$874,BS_RE33!$S$7:$S$874,$V$2,BS_RE33!$N$7:$N$874,I31,BS_RE33!$P$7:$P$874,'30 days CF Table(JPY)'!G31,BS_RE33!$F$7:$F$874,'30 days CF Table(JPY)'!$C$2)</f>
        <v>0</v>
      </c>
      <c r="W31" s="337">
        <f>SUMIFS(BS_RE33!$H$7:$H$874,BS_RE33!$S$7:$S$874,$W$2,BS_RE33!$N$7:$N$874,I31,BS_RE33!$P$7:$P$874,'30 days CF Table(JPY)'!G31,BS_RE33!$F$7:$F$874,'30 days CF Table(JPY)'!$C$2)</f>
        <v>0</v>
      </c>
      <c r="X31" s="337">
        <f>SUMIFS(BS_RE33!$H$7:$H$874,BS_RE33!$S$7:$S$874,$X$2,BS_RE33!$N$7:$N$874,I31,BS_RE33!$P$7:$P$874,'30 days CF Table(JPY)'!G31,BS_RE33!$F$7:$F$874,'30 days CF Table(JPY)'!$C$2)</f>
        <v>0</v>
      </c>
      <c r="Y31" s="337">
        <f>SUMIFS(BS_RE33!$H$7:$H$874,BS_RE33!$S$7:$S$874,$Y$2,BS_RE33!$N$7:$N$874,I31,BS_RE33!$P$7:$P$874,'30 days CF Table(JPY)'!G31,BS_RE33!$F$7:$F$874,'30 days CF Table(JPY)'!$C$2)</f>
        <v>0</v>
      </c>
      <c r="Z31" s="337">
        <f>SUMIFS(BS_RE33!$H$7:$H$874,BS_RE33!$S$7:$S$874,$Z$2,BS_RE33!$N$7:$N$874,I31,BS_RE33!$P$7:$P$874,'30 days CF Table(JPY)'!G31,BS_RE33!$F$7:$F$874,'30 days CF Table(JPY)'!$C$2)</f>
        <v>0</v>
      </c>
      <c r="AA31" s="337">
        <f>SUMIFS(BS_RE33!$H$7:$H$874,BS_RE33!$S$7:$S$874,$AA$2,BS_RE33!$N$7:$N$874,I31,BS_RE33!$P$7:$P$874,'30 days CF Table(JPY)'!G31,BS_RE33!$F$7:$F$874,'30 days CF Table(JPY)'!$C$2)</f>
        <v>0</v>
      </c>
      <c r="AB31" s="337">
        <f>SUMIFS(BS_RE33!$H$7:$H$874,BS_RE33!$S$7:$S$874,$AB$2,BS_RE33!$N$7:$N$874,I31,BS_RE33!$P$7:$P$874,'30 days CF Table(JPY)'!G31,BS_RE33!$F$7:$F$874,'30 days CF Table(JPY)'!$C$2)</f>
        <v>0</v>
      </c>
      <c r="AC31" s="337">
        <f>SUMIFS(BS_RE33!$H$7:$H$874,BS_RE33!$S$7:$S$874,$AC$2,BS_RE33!$N$7:$N$874,I31,BS_RE33!$P$7:$P$874,'30 days CF Table(JPY)'!G31,BS_RE33!$F$7:$F$874,'30 days CF Table(JPY)'!$C$2)</f>
        <v>0</v>
      </c>
      <c r="AD31" s="337">
        <f>SUMIFS(BS_RE33!$H$7:$H$874,BS_RE33!$S$7:$S$874,$AD$2,BS_RE33!$N$7:$N$874,I31,BS_RE33!$P$7:$P$874,'30 days CF Table(JPY)'!G31,BS_RE33!$F$7:$F$874,'30 days CF Table(JPY)'!$C$2)</f>
        <v>0</v>
      </c>
      <c r="AE31" s="337">
        <f>SUMIFS(BS_RE33!$H$7:$H$874,BS_RE33!$S$7:$S$874,$AE$2,BS_RE33!$N$7:$N$874,I31,BS_RE33!$P$7:$P$874,'30 days CF Table(JPY)'!G31,BS_RE33!$F$7:$F$874,'30 days CF Table(JPY)'!$C$2)</f>
        <v>0</v>
      </c>
      <c r="AF31" s="337">
        <f>SUMIFS(BS_RE33!$H$7:$H$874,BS_RE33!$S$7:$S$874,$AF$2,BS_RE33!$N$7:$N$874,I31,BS_RE33!$P$7:$P$874,'30 days CF Table(JPY)'!G31,BS_RE33!$F$7:$F$874,'30 days CF Table(JPY)'!$C$2)</f>
        <v>0</v>
      </c>
      <c r="AG31" s="337">
        <f>SUMIFS(BS_RE33!$H$7:$H$874,BS_RE33!$S$7:$S$874,$AG$2,BS_RE33!$N$7:$N$874,I31,BS_RE33!$P$7:$P$874,'30 days CF Table(JPY)'!G31,BS_RE33!$F$7:$F$874,'30 days CF Table(JPY)'!$C$2)</f>
        <v>0</v>
      </c>
      <c r="AH31" s="337">
        <f>SUMIFS(BS_RE33!$H$7:$H$874,BS_RE33!$S$7:$S$874,$AH$2,BS_RE33!$N$7:$N$874,I31,BS_RE33!$P$7:$P$874,'30 days CF Table(JPY)'!G31,BS_RE33!$F$7:$F$874,'30 days CF Table(JPY)'!$C$2)</f>
        <v>0</v>
      </c>
      <c r="AI31" s="337">
        <f>SUMIFS(BS_RE33!$H$7:$H$874,BS_RE33!$S$7:$S$874,$AI$2,BS_RE33!$N$7:$N$874,I31,BS_RE33!$P$7:$P$874,'30 days CF Table(JPY)'!G31,BS_RE33!$F$7:$F$874,'30 days CF Table(JPY)'!$C$2)</f>
        <v>0</v>
      </c>
      <c r="AJ31" s="337">
        <f>SUMIFS(BS_RE33!$H$7:$H$874,BS_RE33!$S$7:$S$874,$AJ$2,BS_RE33!$N$7:$N$874,I31,BS_RE33!$P$7:$P$874,'30 days CF Table(JPY)'!G31,BS_RE33!$F$7:$F$874,'30 days CF Table(JPY)'!$C$2)</f>
        <v>0</v>
      </c>
      <c r="AK31" s="337">
        <f>SUMIFS(BS_RE33!$H$7:$H$874,BS_RE33!$S$7:$S$874,$AK$2,BS_RE33!$N$7:$N$874,I31,BS_RE33!$P$7:$P$874,'30 days CF Table(JPY)'!G31,BS_RE33!$F$7:$F$874,'30 days CF Table(JPY)'!$C$2)</f>
        <v>0</v>
      </c>
      <c r="AL31" s="337">
        <f>SUMIFS(BS_RE33!$H$7:$H$874,BS_RE33!$S$7:$S$874,$AL$2,BS_RE33!$N$7:$N$874,I31,BS_RE33!$P$7:$P$874,'30 days CF Table(JPY)'!G31,BS_RE33!$F$7:$F$874,'30 days CF Table(JPY)'!$C$2)</f>
        <v>0</v>
      </c>
      <c r="AM31" s="337">
        <f>SUMIFS(BS_RE33!$H$7:$H$874,BS_RE33!$S$7:$S$874,$AM$2,BS_RE33!$N$7:$N$874,I31,BS_RE33!$P$7:$P$874,'30 days CF Table(JPY)'!G31,BS_RE33!$F$7:$F$874,'30 days CF Table(JPY)'!$C$2)</f>
        <v>0</v>
      </c>
      <c r="AN31" s="337">
        <f>SUMIFS(BS_RE33!$H$7:$H$874,BS_RE33!$S$7:$S$874,$AN$2,BS_RE33!$N$7:$N$874,I31,BS_RE33!$P$7:$P$874,'30 days CF Table(JPY)'!G31,BS_RE33!$F$7:$F$874,'30 days CF Table(JPY)'!$C$2)</f>
        <v>0</v>
      </c>
      <c r="AO31" s="337">
        <f>SUMIFS(BS_RE33!$H$7:$H$874,BS_RE33!$S$7:$S$874,$AO$2,BS_RE33!$N$7:$N$874,I31,BS_RE33!$P$7:$P$874,'30 days CF Table(JPY)'!G31,BS_RE33!$F$7:$F$874,'30 days CF Table(JPY)'!$C$2)</f>
        <v>0</v>
      </c>
      <c r="AP31" s="338">
        <f>SUMIFS(BS_RE33!$H$7:$H$874,BS_RE33!$S$7:$S$874,$AP$2,BS_RE33!$N$7:$N$874,I31,BS_RE33!$P$7:$P$874,'30 days CF Table(JPY)'!G31,BS_RE33!$F$7:$F$874,'30 days CF Table(JPY)'!$C$2)</f>
        <v>0</v>
      </c>
      <c r="AR31" s="379">
        <f>SUMIFS(BS_RE33!$H$7:$H$874,BS_RE33!$S$7:$S$874,$AR$2,BS_RE33!$N$7:$N$874,I31,BS_RE33!$P$7:$P$874,'30 days CF Table(JPY)'!G31,BS_RE33!$F$7:$F$874,'30 days CF Table(JPY)'!$C$2)</f>
        <v>0</v>
      </c>
      <c r="AS31" s="379">
        <f>SUMIFS(BS_RE33!$H$7:$H$874,BS_RE33!$S$7:$S$874,$AS$2,BS_RE33!$N$7:$N$874,I31,BS_RE33!$P$7:$P$874,'30 days CF Table(JPY)'!G31,BS_RE33!$F$7:$F$874,'30 days CF Table(JPY)'!$C$2)</f>
        <v>0</v>
      </c>
      <c r="AT31" s="379">
        <f>SUMIFS(BS_RE33!$H$7:$H$874,BS_RE33!$S$7:$S$874,$AT$2,BS_RE33!$N$7:$N$874,I31,BS_RE33!$P$7:$P$874,'30 days CF Table(JPY)'!G31,BS_RE33!$F$7:$F$874,'30 days CF Table(JPY)'!$C$2)</f>
        <v>0</v>
      </c>
      <c r="AU31" s="379">
        <f>SUMIFS(BS_RE33!$H$7:$H$874,BS_RE33!$S$7:$S$874,$AU$2,BS_RE33!$N$7:$N$874,I31,BS_RE33!$P$7:$P$874,'30 days CF Table(JPY)'!G31,BS_RE33!$F$7:$F$874,'30 days CF Table(JPY)'!$C$2)</f>
        <v>0</v>
      </c>
      <c r="AV31" s="379">
        <f>SUMIFS(BS_RE33!$H$7:$H$874,BS_RE33!$S$7:$S$874,$AV$2,BS_RE33!$N$7:$N$874,I31,BS_RE33!$P$7:$P$874,'30 days CF Table(JPY)'!G31,BS_RE33!$F$7:$F$874,'30 days CF Table(JPY)'!$C$2)</f>
        <v>0</v>
      </c>
      <c r="AW31" s="379">
        <f>SUMIFS(BS_RE33!$H$7:$H$874,BS_RE33!$S$7:$S$874,$AW$2,BS_RE33!$N$7:$N$874,I31,BS_RE33!$P$7:$P$874,'30 days CF Table(JPY)'!G31,BS_RE33!$F$7:$F$874,'30 days CF Table(JPY)'!$C$2)</f>
        <v>0</v>
      </c>
      <c r="AX31" s="379">
        <f>SUMIFS(BS_RE33!$H$7:$H$874,BS_RE33!$S$7:$S$874,$AX$2,BS_RE33!$N$7:$N$874,I31,BS_RE33!$P$7:$P$874,'30 days CF Table(JPY)'!G31,BS_RE33!$F$7:$F$874,'30 days CF Table(JPY)'!$C$2)</f>
        <v>0</v>
      </c>
      <c r="AY31" s="379">
        <f>SUMIFS(BS_RE33!$H$7:$H$874,BS_RE33!$S$7:$S$874,$AY$2,BS_RE33!$N$7:$N$874,I31,BS_RE33!$P$7:$P$874,'30 days CF Table(JPY)'!G31,BS_RE33!$F$7:$F$874,'30 days CF Table(JPY)'!$C$2)</f>
        <v>0</v>
      </c>
      <c r="AZ31" s="379">
        <f>SUMIFS(BS_RE33!$H$7:$H$874,BS_RE33!$S$7:$S$874,$AZ$2,BS_RE33!$N$7:$N$874,I31,BS_RE33!$P$7:$P$874,'30 days CF Table(JPY)'!G31,BS_RE33!$F$7:$F$874,'30 days CF Table(JPY)'!$C$2)</f>
        <v>0</v>
      </c>
      <c r="BA31" s="379">
        <f>SUMIFS(BS_RE33!$H$7:$H$874,BS_RE33!$S$7:$S$874,$BA$2,BS_RE33!$N$7:$N$874,I31,BS_RE33!$P$7:$P$874,'30 days CF Table(JPY)'!G31,BS_RE33!$F$7:$F$874,'30 days CF Table(JPY)'!$C$2)</f>
        <v>0</v>
      </c>
      <c r="BB31" s="379">
        <f>SUMIFS(BS_RE33!$H$7:$H$874,BS_RE33!$S$7:$S$874,$BB$2,BS_RE33!$N$7:$N$874,I31,BS_RE33!$P$7:$P$874,'30 days CF Table(JPY)'!G31,BS_RE33!$F$7:$F$874,'30 days CF Table(JPY)'!$C$2)</f>
        <v>0</v>
      </c>
      <c r="BC31" s="379">
        <f>SUMIFS(BS_RE33!$H$7:$H$874,BS_RE33!$S$7:$S$874,$BC$2,BS_RE33!$N$7:$N$874,I31,BS_RE33!$P$7:$P$874,'30 days CF Table(JPY)'!G31,BS_RE33!$F$7:$F$874,'30 days CF Table(JPY)'!$C$2)</f>
        <v>0</v>
      </c>
      <c r="BD31" s="379">
        <f>SUMIFS(BS_RE33!$H$7:$H$874,BS_RE33!$S$7:$S$874,$BD$2,BS_RE33!$N$7:$N$874,I31,BS_RE33!$P$7:$P$874,'30 days CF Table(JPY)'!G31,BS_RE33!$F$7:$F$874,'30 days CF Table(JPY)'!$C$2)</f>
        <v>0</v>
      </c>
      <c r="BE31" s="379">
        <f>SUMIFS(BS_RE33!$H$7:$H$874,BS_RE33!$S$7:$S$874,$BE$2,BS_RE33!$N$7:$N$874,I31,BS_RE33!$P$7:$P$874,'30 days CF Table(JPY)'!G31,BS_RE33!$F$7:$F$874,'30 days CF Table(JPY)'!$C$2)</f>
        <v>0</v>
      </c>
      <c r="BF31" s="379">
        <f>SUMIFS(BS_RE33!$H$7:$H$874,BS_RE33!$S$7:$S$874,$BF$2,BS_RE33!$N$7:$N$874,I31,BS_RE33!$P$7:$P$874,'30 days CF Table(JPY)'!G31,BS_RE33!$F$7:$F$874,'30 days CF Table(JPY)'!$C$2)</f>
        <v>0</v>
      </c>
      <c r="BG31" s="379">
        <f>SUMIFS(BS_RE33!$H$7:$H$874,BS_RE33!$S$7:$S$874,$BG$2,BS_RE33!$N$7:$N$874,I31,BS_RE33!$P$7:$P$874,'30 days CF Table(JPY)'!G31,BS_RE33!$F$7:$F$874,'30 days CF Table(JPY)'!$C$2)</f>
        <v>0</v>
      </c>
      <c r="BH31" s="379">
        <f>SUMIFS(BS_RE33!$H$7:$H$874,BS_RE33!$S$7:$S$874,$BH$2,BS_RE33!$N$7:$N$874,I31,BS_RE33!$P$7:$P$874,'30 days CF Table(JPY)'!G31,BS_RE33!$F$7:$F$874,'30 days CF Table(JPY)'!$C$2)</f>
        <v>0</v>
      </c>
      <c r="BI31" s="379">
        <f>SUMIFS(BS_RE33!$H$7:$H$874,BS_RE33!$S$7:$S$874,$BI$2,BS_RE33!$N$7:$N$874,I31,BS_RE33!$P$7:$P$874,'30 days CF Table(JPY)'!G31,BS_RE33!$F$7:$F$874,'30 days CF Table(JPY)'!$C$2)</f>
        <v>0</v>
      </c>
      <c r="BJ31" s="379">
        <f>SUMIFS(BS_RE33!$H$7:$H$874,BS_RE33!$S$7:$S$874,$BJ$2,BS_RE33!$N$7:$N$874,I31,BS_RE33!$P$7:$P$874,'30 days CF Table(JPY)'!G31,BS_RE33!$F$7:$F$874,'30 days CF Table(JPY)'!$C$2)</f>
        <v>0</v>
      </c>
      <c r="BK31" s="379">
        <f>SUMIFS(BS_RE33!$H$7:$H$874,BS_RE33!$S$7:$S$874,$BK$2,BS_RE33!$N$7:$N$874,I31,BS_RE33!$P$7:$P$874,'30 days CF Table(JPY)'!G31,BS_RE33!$F$7:$F$874,'30 days CF Table(JPY)'!$C$2)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Table(JPY)'!G32,BS_RE33!$F$7:$F$874,'30 days CF Table(JPY)'!$C$2)</f>
        <v>0</v>
      </c>
      <c r="M32" s="337">
        <f>SUMIFS(BS_RE33!$H$7:$H$874,BS_RE33!$S$7:$S$874,$M$2,BS_RE33!$N$7:$N$874,I32,BS_RE33!$P$7:$P$874,'30 days CF Table(JPY)'!G32,BS_RE33!$F$7:$F$874,'30 days CF Table(JPY)'!$C$2)</f>
        <v>0</v>
      </c>
      <c r="N32" s="337">
        <f>SUMIFS(BS_RE33!$H$7:$H$874,BS_RE33!$S$7:$S$874,$N$2,BS_RE33!$N$7:$N$874,I32,BS_RE33!$P$7:$P$874,'30 days CF Table(JPY)'!G32,BS_RE33!$F$7:$F$874,'30 days CF Table(JPY)'!$C$2)</f>
        <v>0</v>
      </c>
      <c r="O32" s="337">
        <f>SUMIFS(BS_RE33!$H$7:$H$874,BS_RE33!$S$7:$S$874,$O$2,BS_RE33!$N$7:$N$874,I32,BS_RE33!$P$7:$P$874,'30 days CF Table(JPY)'!G32,BS_RE33!$F$7:$F$874,'30 days CF Table(JPY)'!$C$2)</f>
        <v>0</v>
      </c>
      <c r="P32" s="337">
        <f>SUMIFS(BS_RE33!$H$7:$H$874,BS_RE33!$S$7:$S$874,$P$2,BS_RE33!$N$7:$N$874,I32,BS_RE33!$P$7:$P$874,'30 days CF Table(JPY)'!G32,BS_RE33!$F$7:$F$874,'30 days CF Table(JPY)'!$C$2)</f>
        <v>0</v>
      </c>
      <c r="Q32" s="337">
        <f>SUMIFS(BS_RE33!$H$7:$H$874,BS_RE33!$S$7:$S$874,$Q$2,BS_RE33!$N$7:$N$874,I32,BS_RE33!$P$7:$P$874,'30 days CF Table(JPY)'!G32,BS_RE33!$F$7:$F$874,'30 days CF Table(JPY)'!$C$2)</f>
        <v>0</v>
      </c>
      <c r="R32" s="337">
        <f>SUMIFS(BS_RE33!$H$7:$H$874,BS_RE33!$S$7:$S$874,$R$2,BS_RE33!$N$7:$N$874,I32,BS_RE33!$P$7:$P$874,'30 days CF Table(JPY)'!G32,BS_RE33!$F$7:$F$874,'30 days CF Table(JPY)'!$C$2)</f>
        <v>0</v>
      </c>
      <c r="S32" s="337">
        <f>SUMIFS(BS_RE33!$H$7:$H$874,BS_RE33!$S$7:$S$874,$S$2,BS_RE33!$N$7:$N$874,I32,BS_RE33!$P$7:$P$874,'30 days CF Table(JPY)'!G32,BS_RE33!$F$7:$F$874,'30 days CF Table(JPY)'!$C$2)</f>
        <v>0</v>
      </c>
      <c r="T32" s="337">
        <f>SUMIFS(BS_RE33!$H$7:$H$874,BS_RE33!$S$7:$S$874,$T$2,BS_RE33!$N$7:$N$874,I32,BS_RE33!$P$7:$P$874,'30 days CF Table(JPY)'!G32,BS_RE33!$F$7:$F$874,'30 days CF Table(JPY)'!$C$2)</f>
        <v>0</v>
      </c>
      <c r="U32" s="337">
        <f>SUMIFS(BS_RE33!$H$7:$H$874,BS_RE33!$S$7:$S$874,$U$2,BS_RE33!$N$7:$N$874,I32,BS_RE33!$P$7:$P$874,'30 days CF Table(JPY)'!G32,BS_RE33!$F$7:$F$874,'30 days CF Table(JPY)'!$C$2)</f>
        <v>0</v>
      </c>
      <c r="V32" s="337">
        <f>SUMIFS(BS_RE33!$H$7:$H$874,BS_RE33!$S$7:$S$874,$V$2,BS_RE33!$N$7:$N$874,I32,BS_RE33!$P$7:$P$874,'30 days CF Table(JPY)'!G32,BS_RE33!$F$7:$F$874,'30 days CF Table(JPY)'!$C$2)</f>
        <v>0</v>
      </c>
      <c r="W32" s="337">
        <f>SUMIFS(BS_RE33!$H$7:$H$874,BS_RE33!$S$7:$S$874,$W$2,BS_RE33!$N$7:$N$874,I32,BS_RE33!$P$7:$P$874,'30 days CF Table(JPY)'!G32,BS_RE33!$F$7:$F$874,'30 days CF Table(JPY)'!$C$2)</f>
        <v>0</v>
      </c>
      <c r="X32" s="337">
        <f>SUMIFS(BS_RE33!$H$7:$H$874,BS_RE33!$S$7:$S$874,$X$2,BS_RE33!$N$7:$N$874,I32,BS_RE33!$P$7:$P$874,'30 days CF Table(JPY)'!G32,BS_RE33!$F$7:$F$874,'30 days CF Table(JPY)'!$C$2)</f>
        <v>0</v>
      </c>
      <c r="Y32" s="337">
        <f>SUMIFS(BS_RE33!$H$7:$H$874,BS_RE33!$S$7:$S$874,$Y$2,BS_RE33!$N$7:$N$874,I32,BS_RE33!$P$7:$P$874,'30 days CF Table(JPY)'!G32,BS_RE33!$F$7:$F$874,'30 days CF Table(JPY)'!$C$2)</f>
        <v>0</v>
      </c>
      <c r="Z32" s="337">
        <f>SUMIFS(BS_RE33!$H$7:$H$874,BS_RE33!$S$7:$S$874,$Z$2,BS_RE33!$N$7:$N$874,I32,BS_RE33!$P$7:$P$874,'30 days CF Table(JPY)'!G32,BS_RE33!$F$7:$F$874,'30 days CF Table(JPY)'!$C$2)</f>
        <v>0</v>
      </c>
      <c r="AA32" s="337">
        <f>SUMIFS(BS_RE33!$H$7:$H$874,BS_RE33!$S$7:$S$874,$AA$2,BS_RE33!$N$7:$N$874,I32,BS_RE33!$P$7:$P$874,'30 days CF Table(JPY)'!G32,BS_RE33!$F$7:$F$874,'30 days CF Table(JPY)'!$C$2)</f>
        <v>0</v>
      </c>
      <c r="AB32" s="337">
        <f>SUMIFS(BS_RE33!$H$7:$H$874,BS_RE33!$S$7:$S$874,$AB$2,BS_RE33!$N$7:$N$874,I32,BS_RE33!$P$7:$P$874,'30 days CF Table(JPY)'!G32,BS_RE33!$F$7:$F$874,'30 days CF Table(JPY)'!$C$2)</f>
        <v>0</v>
      </c>
      <c r="AC32" s="337">
        <f>SUMIFS(BS_RE33!$H$7:$H$874,BS_RE33!$S$7:$S$874,$AC$2,BS_RE33!$N$7:$N$874,I32,BS_RE33!$P$7:$P$874,'30 days CF Table(JPY)'!G32,BS_RE33!$F$7:$F$874,'30 days CF Table(JPY)'!$C$2)</f>
        <v>0</v>
      </c>
      <c r="AD32" s="337">
        <f>SUMIFS(BS_RE33!$H$7:$H$874,BS_RE33!$S$7:$S$874,$AD$2,BS_RE33!$N$7:$N$874,I32,BS_RE33!$P$7:$P$874,'30 days CF Table(JPY)'!G32,BS_RE33!$F$7:$F$874,'30 days CF Table(JPY)'!$C$2)</f>
        <v>0</v>
      </c>
      <c r="AE32" s="337">
        <f>SUMIFS(BS_RE33!$H$7:$H$874,BS_RE33!$S$7:$S$874,$AE$2,BS_RE33!$N$7:$N$874,I32,BS_RE33!$P$7:$P$874,'30 days CF Table(JPY)'!G32,BS_RE33!$F$7:$F$874,'30 days CF Table(JPY)'!$C$2)</f>
        <v>0</v>
      </c>
      <c r="AF32" s="337">
        <f>SUMIFS(BS_RE33!$H$7:$H$874,BS_RE33!$S$7:$S$874,$AF$2,BS_RE33!$N$7:$N$874,I32,BS_RE33!$P$7:$P$874,'30 days CF Table(JPY)'!G32,BS_RE33!$F$7:$F$874,'30 days CF Table(JPY)'!$C$2)</f>
        <v>0</v>
      </c>
      <c r="AG32" s="337">
        <f>SUMIFS(BS_RE33!$H$7:$H$874,BS_RE33!$S$7:$S$874,$AG$2,BS_RE33!$N$7:$N$874,I32,BS_RE33!$P$7:$P$874,'30 days CF Table(JPY)'!G32,BS_RE33!$F$7:$F$874,'30 days CF Table(JPY)'!$C$2)</f>
        <v>0</v>
      </c>
      <c r="AH32" s="337">
        <f>SUMIFS(BS_RE33!$H$7:$H$874,BS_RE33!$S$7:$S$874,$AH$2,BS_RE33!$N$7:$N$874,I32,BS_RE33!$P$7:$P$874,'30 days CF Table(JPY)'!G32,BS_RE33!$F$7:$F$874,'30 days CF Table(JPY)'!$C$2)</f>
        <v>0</v>
      </c>
      <c r="AI32" s="337">
        <f>SUMIFS(BS_RE33!$H$7:$H$874,BS_RE33!$S$7:$S$874,$AI$2,BS_RE33!$N$7:$N$874,I32,BS_RE33!$P$7:$P$874,'30 days CF Table(JPY)'!G32,BS_RE33!$F$7:$F$874,'30 days CF Table(JPY)'!$C$2)</f>
        <v>0</v>
      </c>
      <c r="AJ32" s="337">
        <f>SUMIFS(BS_RE33!$H$7:$H$874,BS_RE33!$S$7:$S$874,$AJ$2,BS_RE33!$N$7:$N$874,I32,BS_RE33!$P$7:$P$874,'30 days CF Table(JPY)'!G32,BS_RE33!$F$7:$F$874,'30 days CF Table(JPY)'!$C$2)</f>
        <v>0</v>
      </c>
      <c r="AK32" s="337">
        <f>SUMIFS(BS_RE33!$H$7:$H$874,BS_RE33!$S$7:$S$874,$AK$2,BS_RE33!$N$7:$N$874,I32,BS_RE33!$P$7:$P$874,'30 days CF Table(JPY)'!G32,BS_RE33!$F$7:$F$874,'30 days CF Table(JPY)'!$C$2)</f>
        <v>0</v>
      </c>
      <c r="AL32" s="337">
        <f>SUMIFS(BS_RE33!$H$7:$H$874,BS_RE33!$S$7:$S$874,$AL$2,BS_RE33!$N$7:$N$874,I32,BS_RE33!$P$7:$P$874,'30 days CF Table(JPY)'!G32,BS_RE33!$F$7:$F$874,'30 days CF Table(JPY)'!$C$2)</f>
        <v>0</v>
      </c>
      <c r="AM32" s="337">
        <f>SUMIFS(BS_RE33!$H$7:$H$874,BS_RE33!$S$7:$S$874,$AM$2,BS_RE33!$N$7:$N$874,I32,BS_RE33!$P$7:$P$874,'30 days CF Table(JPY)'!G32,BS_RE33!$F$7:$F$874,'30 days CF Table(JPY)'!$C$2)</f>
        <v>0</v>
      </c>
      <c r="AN32" s="337">
        <f>SUMIFS(BS_RE33!$H$7:$H$874,BS_RE33!$S$7:$S$874,$AN$2,BS_RE33!$N$7:$N$874,I32,BS_RE33!$P$7:$P$874,'30 days CF Table(JPY)'!G32,BS_RE33!$F$7:$F$874,'30 days CF Table(JPY)'!$C$2)</f>
        <v>0</v>
      </c>
      <c r="AO32" s="337">
        <f>SUMIFS(BS_RE33!$H$7:$H$874,BS_RE33!$S$7:$S$874,$AO$2,BS_RE33!$N$7:$N$874,I32,BS_RE33!$P$7:$P$874,'30 days CF Table(JPY)'!G32,BS_RE33!$F$7:$F$874,'30 days CF Table(JPY)'!$C$2)</f>
        <v>0</v>
      </c>
      <c r="AP32" s="338">
        <f>SUMIFS(BS_RE33!$H$7:$H$874,BS_RE33!$S$7:$S$874,$AP$2,BS_RE33!$N$7:$N$874,I32,BS_RE33!$P$7:$P$874,'30 days CF Table(JPY)'!G32,BS_RE33!$F$7:$F$874,'30 days CF Table(JPY)'!$C$2)</f>
        <v>0</v>
      </c>
      <c r="AR32" s="379">
        <f>SUMIFS(BS_RE33!$H$7:$H$874,BS_RE33!$S$7:$S$874,$AR$2,BS_RE33!$N$7:$N$874,I32,BS_RE33!$P$7:$P$874,'30 days CF Table(JPY)'!G32,BS_RE33!$F$7:$F$874,'30 days CF Table(JPY)'!$C$2)</f>
        <v>0</v>
      </c>
      <c r="AS32" s="379">
        <f>SUMIFS(BS_RE33!$H$7:$H$874,BS_RE33!$S$7:$S$874,$AS$2,BS_RE33!$N$7:$N$874,I32,BS_RE33!$P$7:$P$874,'30 days CF Table(JPY)'!G32,BS_RE33!$F$7:$F$874,'30 days CF Table(JPY)'!$C$2)</f>
        <v>0</v>
      </c>
      <c r="AT32" s="379">
        <f>SUMIFS(BS_RE33!$H$7:$H$874,BS_RE33!$S$7:$S$874,$AT$2,BS_RE33!$N$7:$N$874,I32,BS_RE33!$P$7:$P$874,'30 days CF Table(JPY)'!G32,BS_RE33!$F$7:$F$874,'30 days CF Table(JPY)'!$C$2)</f>
        <v>0</v>
      </c>
      <c r="AU32" s="379">
        <f>SUMIFS(BS_RE33!$H$7:$H$874,BS_RE33!$S$7:$S$874,$AU$2,BS_RE33!$N$7:$N$874,I32,BS_RE33!$P$7:$P$874,'30 days CF Table(JPY)'!G32,BS_RE33!$F$7:$F$874,'30 days CF Table(JPY)'!$C$2)</f>
        <v>0</v>
      </c>
      <c r="AV32" s="379">
        <f>SUMIFS(BS_RE33!$H$7:$H$874,BS_RE33!$S$7:$S$874,$AV$2,BS_RE33!$N$7:$N$874,I32,BS_RE33!$P$7:$P$874,'30 days CF Table(JPY)'!G32,BS_RE33!$F$7:$F$874,'30 days CF Table(JPY)'!$C$2)</f>
        <v>0</v>
      </c>
      <c r="AW32" s="379">
        <f>SUMIFS(BS_RE33!$H$7:$H$874,BS_RE33!$S$7:$S$874,$AW$2,BS_RE33!$N$7:$N$874,I32,BS_RE33!$P$7:$P$874,'30 days CF Table(JPY)'!G32,BS_RE33!$F$7:$F$874,'30 days CF Table(JPY)'!$C$2)</f>
        <v>0</v>
      </c>
      <c r="AX32" s="379">
        <f>SUMIFS(BS_RE33!$H$7:$H$874,BS_RE33!$S$7:$S$874,$AX$2,BS_RE33!$N$7:$N$874,I32,BS_RE33!$P$7:$P$874,'30 days CF Table(JPY)'!G32,BS_RE33!$F$7:$F$874,'30 days CF Table(JPY)'!$C$2)</f>
        <v>0</v>
      </c>
      <c r="AY32" s="379">
        <f>SUMIFS(BS_RE33!$H$7:$H$874,BS_RE33!$S$7:$S$874,$AY$2,BS_RE33!$N$7:$N$874,I32,BS_RE33!$P$7:$P$874,'30 days CF Table(JPY)'!G32,BS_RE33!$F$7:$F$874,'30 days CF Table(JPY)'!$C$2)</f>
        <v>0</v>
      </c>
      <c r="AZ32" s="379">
        <f>SUMIFS(BS_RE33!$H$7:$H$874,BS_RE33!$S$7:$S$874,$AZ$2,BS_RE33!$N$7:$N$874,I32,BS_RE33!$P$7:$P$874,'30 days CF Table(JPY)'!G32,BS_RE33!$F$7:$F$874,'30 days CF Table(JPY)'!$C$2)</f>
        <v>0</v>
      </c>
      <c r="BA32" s="379">
        <f>SUMIFS(BS_RE33!$H$7:$H$874,BS_RE33!$S$7:$S$874,$BA$2,BS_RE33!$N$7:$N$874,I32,BS_RE33!$P$7:$P$874,'30 days CF Table(JPY)'!G32,BS_RE33!$F$7:$F$874,'30 days CF Table(JPY)'!$C$2)</f>
        <v>0</v>
      </c>
      <c r="BB32" s="379">
        <f>SUMIFS(BS_RE33!$H$7:$H$874,BS_RE33!$S$7:$S$874,$BB$2,BS_RE33!$N$7:$N$874,I32,BS_RE33!$P$7:$P$874,'30 days CF Table(JPY)'!G32,BS_RE33!$F$7:$F$874,'30 days CF Table(JPY)'!$C$2)</f>
        <v>0</v>
      </c>
      <c r="BC32" s="379">
        <f>SUMIFS(BS_RE33!$H$7:$H$874,BS_RE33!$S$7:$S$874,$BC$2,BS_RE33!$N$7:$N$874,I32,BS_RE33!$P$7:$P$874,'30 days CF Table(JPY)'!G32,BS_RE33!$F$7:$F$874,'30 days CF Table(JPY)'!$C$2)</f>
        <v>0</v>
      </c>
      <c r="BD32" s="379">
        <f>SUMIFS(BS_RE33!$H$7:$H$874,BS_RE33!$S$7:$S$874,$BD$2,BS_RE33!$N$7:$N$874,I32,BS_RE33!$P$7:$P$874,'30 days CF Table(JPY)'!G32,BS_RE33!$F$7:$F$874,'30 days CF Table(JPY)'!$C$2)</f>
        <v>0</v>
      </c>
      <c r="BE32" s="379">
        <f>SUMIFS(BS_RE33!$H$7:$H$874,BS_RE33!$S$7:$S$874,$BE$2,BS_RE33!$N$7:$N$874,I32,BS_RE33!$P$7:$P$874,'30 days CF Table(JPY)'!G32,BS_RE33!$F$7:$F$874,'30 days CF Table(JPY)'!$C$2)</f>
        <v>0</v>
      </c>
      <c r="BF32" s="379">
        <f>SUMIFS(BS_RE33!$H$7:$H$874,BS_RE33!$S$7:$S$874,$BF$2,BS_RE33!$N$7:$N$874,I32,BS_RE33!$P$7:$P$874,'30 days CF Table(JPY)'!G32,BS_RE33!$F$7:$F$874,'30 days CF Table(JPY)'!$C$2)</f>
        <v>0</v>
      </c>
      <c r="BG32" s="379">
        <f>SUMIFS(BS_RE33!$H$7:$H$874,BS_RE33!$S$7:$S$874,$BG$2,BS_RE33!$N$7:$N$874,I32,BS_RE33!$P$7:$P$874,'30 days CF Table(JPY)'!G32,BS_RE33!$F$7:$F$874,'30 days CF Table(JPY)'!$C$2)</f>
        <v>0</v>
      </c>
      <c r="BH32" s="379">
        <f>SUMIFS(BS_RE33!$H$7:$H$874,BS_RE33!$S$7:$S$874,$BH$2,BS_RE33!$N$7:$N$874,I32,BS_RE33!$P$7:$P$874,'30 days CF Table(JPY)'!G32,BS_RE33!$F$7:$F$874,'30 days CF Table(JPY)'!$C$2)</f>
        <v>0</v>
      </c>
      <c r="BI32" s="379">
        <f>SUMIFS(BS_RE33!$H$7:$H$874,BS_RE33!$S$7:$S$874,$BI$2,BS_RE33!$N$7:$N$874,I32,BS_RE33!$P$7:$P$874,'30 days CF Table(JPY)'!G32,BS_RE33!$F$7:$F$874,'30 days CF Table(JPY)'!$C$2)</f>
        <v>0</v>
      </c>
      <c r="BJ32" s="379">
        <f>SUMIFS(BS_RE33!$H$7:$H$874,BS_RE33!$S$7:$S$874,$BJ$2,BS_RE33!$N$7:$N$874,I32,BS_RE33!$P$7:$P$874,'30 days CF Table(JPY)'!G32,BS_RE33!$F$7:$F$874,'30 days CF Table(JPY)'!$C$2)</f>
        <v>0</v>
      </c>
      <c r="BK32" s="379">
        <f>SUMIFS(BS_RE33!$H$7:$H$874,BS_RE33!$S$7:$S$874,$BK$2,BS_RE33!$N$7:$N$874,I32,BS_RE33!$P$7:$P$874,'30 days CF Table(JPY)'!G32,BS_RE33!$F$7:$F$874,'30 days CF Table(JPY)'!$C$2)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Table(JPY)'!G33,BS_RE33!$F$7:$F$874,'30 days CF Table(JPY)'!$C$2)</f>
        <v>0</v>
      </c>
      <c r="M33" s="337">
        <f>SUMIFS(BS_RE33!$H$7:$H$874,BS_RE33!$S$7:$S$874,$M$2,BS_RE33!$N$7:$N$874,I33,BS_RE33!$P$7:$P$874,'30 days CF Table(JPY)'!G33,BS_RE33!$F$7:$F$874,'30 days CF Table(JPY)'!$C$2)</f>
        <v>0</v>
      </c>
      <c r="N33" s="337">
        <f>SUMIFS(BS_RE33!$H$7:$H$874,BS_RE33!$S$7:$S$874,$N$2,BS_RE33!$N$7:$N$874,I33,BS_RE33!$P$7:$P$874,'30 days CF Table(JPY)'!G33,BS_RE33!$F$7:$F$874,'30 days CF Table(JPY)'!$C$2)</f>
        <v>0</v>
      </c>
      <c r="O33" s="337">
        <f>SUMIFS(BS_RE33!$H$7:$H$874,BS_RE33!$S$7:$S$874,$O$2,BS_RE33!$N$7:$N$874,I33,BS_RE33!$P$7:$P$874,'30 days CF Table(JPY)'!G33,BS_RE33!$F$7:$F$874,'30 days CF Table(JPY)'!$C$2)</f>
        <v>0</v>
      </c>
      <c r="P33" s="337">
        <f>SUMIFS(BS_RE33!$H$7:$H$874,BS_RE33!$S$7:$S$874,$P$2,BS_RE33!$N$7:$N$874,I33,BS_RE33!$P$7:$P$874,'30 days CF Table(JPY)'!G33,BS_RE33!$F$7:$F$874,'30 days CF Table(JPY)'!$C$2)</f>
        <v>0</v>
      </c>
      <c r="Q33" s="337">
        <f>SUMIFS(BS_RE33!$H$7:$H$874,BS_RE33!$S$7:$S$874,$Q$2,BS_RE33!$N$7:$N$874,I33,BS_RE33!$P$7:$P$874,'30 days CF Table(JPY)'!G33,BS_RE33!$F$7:$F$874,'30 days CF Table(JPY)'!$C$2)</f>
        <v>0</v>
      </c>
      <c r="R33" s="337">
        <f>SUMIFS(BS_RE33!$H$7:$H$874,BS_RE33!$S$7:$S$874,$R$2,BS_RE33!$N$7:$N$874,I33,BS_RE33!$P$7:$P$874,'30 days CF Table(JPY)'!G33,BS_RE33!$F$7:$F$874,'30 days CF Table(JPY)'!$C$2)</f>
        <v>0</v>
      </c>
      <c r="S33" s="337">
        <f>SUMIFS(BS_RE33!$H$7:$H$874,BS_RE33!$S$7:$S$874,$S$2,BS_RE33!$N$7:$N$874,I33,BS_RE33!$P$7:$P$874,'30 days CF Table(JPY)'!G33,BS_RE33!$F$7:$F$874,'30 days CF Table(JPY)'!$C$2)</f>
        <v>0</v>
      </c>
      <c r="T33" s="337">
        <f>SUMIFS(BS_RE33!$H$7:$H$874,BS_RE33!$S$7:$S$874,$T$2,BS_RE33!$N$7:$N$874,I33,BS_RE33!$P$7:$P$874,'30 days CF Table(JPY)'!G33,BS_RE33!$F$7:$F$874,'30 days CF Table(JPY)'!$C$2)</f>
        <v>0</v>
      </c>
      <c r="U33" s="337">
        <f>SUMIFS(BS_RE33!$H$7:$H$874,BS_RE33!$S$7:$S$874,$U$2,BS_RE33!$N$7:$N$874,I33,BS_RE33!$P$7:$P$874,'30 days CF Table(JPY)'!G33,BS_RE33!$F$7:$F$874,'30 days CF Table(JPY)'!$C$2)</f>
        <v>0</v>
      </c>
      <c r="V33" s="337">
        <f>SUMIFS(BS_RE33!$H$7:$H$874,BS_RE33!$S$7:$S$874,$V$2,BS_RE33!$N$7:$N$874,I33,BS_RE33!$P$7:$P$874,'30 days CF Table(JPY)'!G33,BS_RE33!$F$7:$F$874,'30 days CF Table(JPY)'!$C$2)</f>
        <v>0</v>
      </c>
      <c r="W33" s="337">
        <f>SUMIFS(BS_RE33!$H$7:$H$874,BS_RE33!$S$7:$S$874,$W$2,BS_RE33!$N$7:$N$874,I33,BS_RE33!$P$7:$P$874,'30 days CF Table(JPY)'!G33,BS_RE33!$F$7:$F$874,'30 days CF Table(JPY)'!$C$2)</f>
        <v>0</v>
      </c>
      <c r="X33" s="337">
        <f>SUMIFS(BS_RE33!$H$7:$H$874,BS_RE33!$S$7:$S$874,$X$2,BS_RE33!$N$7:$N$874,I33,BS_RE33!$P$7:$P$874,'30 days CF Table(JPY)'!G33,BS_RE33!$F$7:$F$874,'30 days CF Table(JPY)'!$C$2)</f>
        <v>0</v>
      </c>
      <c r="Y33" s="337">
        <f>SUMIFS(BS_RE33!$H$7:$H$874,BS_RE33!$S$7:$S$874,$Y$2,BS_RE33!$N$7:$N$874,I33,BS_RE33!$P$7:$P$874,'30 days CF Table(JPY)'!G33,BS_RE33!$F$7:$F$874,'30 days CF Table(JPY)'!$C$2)</f>
        <v>0</v>
      </c>
      <c r="Z33" s="337">
        <f>SUMIFS(BS_RE33!$H$7:$H$874,BS_RE33!$S$7:$S$874,$Z$2,BS_RE33!$N$7:$N$874,I33,BS_RE33!$P$7:$P$874,'30 days CF Table(JPY)'!G33,BS_RE33!$F$7:$F$874,'30 days CF Table(JPY)'!$C$2)</f>
        <v>0</v>
      </c>
      <c r="AA33" s="337">
        <f>SUMIFS(BS_RE33!$H$7:$H$874,BS_RE33!$S$7:$S$874,$AA$2,BS_RE33!$N$7:$N$874,I33,BS_RE33!$P$7:$P$874,'30 days CF Table(JPY)'!G33,BS_RE33!$F$7:$F$874,'30 days CF Table(JPY)'!$C$2)</f>
        <v>0</v>
      </c>
      <c r="AB33" s="337">
        <f>SUMIFS(BS_RE33!$H$7:$H$874,BS_RE33!$S$7:$S$874,$AB$2,BS_RE33!$N$7:$N$874,I33,BS_RE33!$P$7:$P$874,'30 days CF Table(JPY)'!G33,BS_RE33!$F$7:$F$874,'30 days CF Table(JPY)'!$C$2)</f>
        <v>0</v>
      </c>
      <c r="AC33" s="337">
        <f>SUMIFS(BS_RE33!$H$7:$H$874,BS_RE33!$S$7:$S$874,$AC$2,BS_RE33!$N$7:$N$874,I33,BS_RE33!$P$7:$P$874,'30 days CF Table(JPY)'!G33,BS_RE33!$F$7:$F$874,'30 days CF Table(JPY)'!$C$2)</f>
        <v>0</v>
      </c>
      <c r="AD33" s="337">
        <f>SUMIFS(BS_RE33!$H$7:$H$874,BS_RE33!$S$7:$S$874,$AD$2,BS_RE33!$N$7:$N$874,I33,BS_RE33!$P$7:$P$874,'30 days CF Table(JPY)'!G33,BS_RE33!$F$7:$F$874,'30 days CF Table(JPY)'!$C$2)</f>
        <v>0</v>
      </c>
      <c r="AE33" s="337">
        <f>SUMIFS(BS_RE33!$H$7:$H$874,BS_RE33!$S$7:$S$874,$AE$2,BS_RE33!$N$7:$N$874,I33,BS_RE33!$P$7:$P$874,'30 days CF Table(JPY)'!G33,BS_RE33!$F$7:$F$874,'30 days CF Table(JPY)'!$C$2)</f>
        <v>0</v>
      </c>
      <c r="AF33" s="337">
        <f>SUMIFS(BS_RE33!$H$7:$H$874,BS_RE33!$S$7:$S$874,$AF$2,BS_RE33!$N$7:$N$874,I33,BS_RE33!$P$7:$P$874,'30 days CF Table(JPY)'!G33,BS_RE33!$F$7:$F$874,'30 days CF Table(JPY)'!$C$2)</f>
        <v>0</v>
      </c>
      <c r="AG33" s="337">
        <f>SUMIFS(BS_RE33!$H$7:$H$874,BS_RE33!$S$7:$S$874,$AG$2,BS_RE33!$N$7:$N$874,I33,BS_RE33!$P$7:$P$874,'30 days CF Table(JPY)'!G33,BS_RE33!$F$7:$F$874,'30 days CF Table(JPY)'!$C$2)</f>
        <v>0</v>
      </c>
      <c r="AH33" s="337">
        <f>SUMIFS(BS_RE33!$H$7:$H$874,BS_RE33!$S$7:$S$874,$AH$2,BS_RE33!$N$7:$N$874,I33,BS_RE33!$P$7:$P$874,'30 days CF Table(JPY)'!G33,BS_RE33!$F$7:$F$874,'30 days CF Table(JPY)'!$C$2)</f>
        <v>0</v>
      </c>
      <c r="AI33" s="337">
        <f>SUMIFS(BS_RE33!$H$7:$H$874,BS_RE33!$S$7:$S$874,$AI$2,BS_RE33!$N$7:$N$874,I33,BS_RE33!$P$7:$P$874,'30 days CF Table(JPY)'!G33,BS_RE33!$F$7:$F$874,'30 days CF Table(JPY)'!$C$2)</f>
        <v>0</v>
      </c>
      <c r="AJ33" s="337">
        <f>SUMIFS(BS_RE33!$H$7:$H$874,BS_RE33!$S$7:$S$874,$AJ$2,BS_RE33!$N$7:$N$874,I33,BS_RE33!$P$7:$P$874,'30 days CF Table(JPY)'!G33,BS_RE33!$F$7:$F$874,'30 days CF Table(JPY)'!$C$2)</f>
        <v>0</v>
      </c>
      <c r="AK33" s="337">
        <f>SUMIFS(BS_RE33!$H$7:$H$874,BS_RE33!$S$7:$S$874,$AK$2,BS_RE33!$N$7:$N$874,I33,BS_RE33!$P$7:$P$874,'30 days CF Table(JPY)'!G33,BS_RE33!$F$7:$F$874,'30 days CF Table(JPY)'!$C$2)</f>
        <v>0</v>
      </c>
      <c r="AL33" s="337">
        <f>SUMIFS(BS_RE33!$H$7:$H$874,BS_RE33!$S$7:$S$874,$AL$2,BS_RE33!$N$7:$N$874,I33,BS_RE33!$P$7:$P$874,'30 days CF Table(JPY)'!G33,BS_RE33!$F$7:$F$874,'30 days CF Table(JPY)'!$C$2)</f>
        <v>0</v>
      </c>
      <c r="AM33" s="337">
        <f>SUMIFS(BS_RE33!$H$7:$H$874,BS_RE33!$S$7:$S$874,$AM$2,BS_RE33!$N$7:$N$874,I33,BS_RE33!$P$7:$P$874,'30 days CF Table(JPY)'!G33,BS_RE33!$F$7:$F$874,'30 days CF Table(JPY)'!$C$2)</f>
        <v>0</v>
      </c>
      <c r="AN33" s="337">
        <f>SUMIFS(BS_RE33!$H$7:$H$874,BS_RE33!$S$7:$S$874,$AN$2,BS_RE33!$N$7:$N$874,I33,BS_RE33!$P$7:$P$874,'30 days CF Table(JPY)'!G33,BS_RE33!$F$7:$F$874,'30 days CF Table(JPY)'!$C$2)</f>
        <v>0</v>
      </c>
      <c r="AO33" s="337">
        <f>SUMIFS(BS_RE33!$H$7:$H$874,BS_RE33!$S$7:$S$874,$AO$2,BS_RE33!$N$7:$N$874,I33,BS_RE33!$P$7:$P$874,'30 days CF Table(JPY)'!G33,BS_RE33!$F$7:$F$874,'30 days CF Table(JPY)'!$C$2)</f>
        <v>0</v>
      </c>
      <c r="AP33" s="338">
        <f>SUMIFS(BS_RE33!$H$7:$H$874,BS_RE33!$S$7:$S$874,$AP$2,BS_RE33!$N$7:$N$874,I33,BS_RE33!$P$7:$P$874,'30 days CF Table(JPY)'!G33,BS_RE33!$F$7:$F$874,'30 days CF Table(JPY)'!$C$2)</f>
        <v>0</v>
      </c>
      <c r="AR33" s="379">
        <f>SUMIFS(BS_RE33!$H$7:$H$874,BS_RE33!$S$7:$S$874,$AR$2,BS_RE33!$N$7:$N$874,I33,BS_RE33!$P$7:$P$874,'30 days CF Table(JPY)'!G33,BS_RE33!$F$7:$F$874,'30 days CF Table(JPY)'!$C$2)</f>
        <v>0</v>
      </c>
      <c r="AS33" s="379">
        <f>SUMIFS(BS_RE33!$H$7:$H$874,BS_RE33!$S$7:$S$874,$AS$2,BS_RE33!$N$7:$N$874,I33,BS_RE33!$P$7:$P$874,'30 days CF Table(JPY)'!G33,BS_RE33!$F$7:$F$874,'30 days CF Table(JPY)'!$C$2)</f>
        <v>0</v>
      </c>
      <c r="AT33" s="379">
        <f>SUMIFS(BS_RE33!$H$7:$H$874,BS_RE33!$S$7:$S$874,$AT$2,BS_RE33!$N$7:$N$874,I33,BS_RE33!$P$7:$P$874,'30 days CF Table(JPY)'!G33,BS_RE33!$F$7:$F$874,'30 days CF Table(JPY)'!$C$2)</f>
        <v>0</v>
      </c>
      <c r="AU33" s="379">
        <f>SUMIFS(BS_RE33!$H$7:$H$874,BS_RE33!$S$7:$S$874,$AU$2,BS_RE33!$N$7:$N$874,I33,BS_RE33!$P$7:$P$874,'30 days CF Table(JPY)'!G33,BS_RE33!$F$7:$F$874,'30 days CF Table(JPY)'!$C$2)</f>
        <v>0</v>
      </c>
      <c r="AV33" s="379">
        <f>SUMIFS(BS_RE33!$H$7:$H$874,BS_RE33!$S$7:$S$874,$AV$2,BS_RE33!$N$7:$N$874,I33,BS_RE33!$P$7:$P$874,'30 days CF Table(JPY)'!G33,BS_RE33!$F$7:$F$874,'30 days CF Table(JPY)'!$C$2)</f>
        <v>0</v>
      </c>
      <c r="AW33" s="379">
        <f>SUMIFS(BS_RE33!$H$7:$H$874,BS_RE33!$S$7:$S$874,$AW$2,BS_RE33!$N$7:$N$874,I33,BS_RE33!$P$7:$P$874,'30 days CF Table(JPY)'!G33,BS_RE33!$F$7:$F$874,'30 days CF Table(JPY)'!$C$2)</f>
        <v>0</v>
      </c>
      <c r="AX33" s="379">
        <f>SUMIFS(BS_RE33!$H$7:$H$874,BS_RE33!$S$7:$S$874,$AX$2,BS_RE33!$N$7:$N$874,I33,BS_RE33!$P$7:$P$874,'30 days CF Table(JPY)'!G33,BS_RE33!$F$7:$F$874,'30 days CF Table(JPY)'!$C$2)</f>
        <v>0</v>
      </c>
      <c r="AY33" s="379">
        <f>SUMIFS(BS_RE33!$H$7:$H$874,BS_RE33!$S$7:$S$874,$AY$2,BS_RE33!$N$7:$N$874,I33,BS_RE33!$P$7:$P$874,'30 days CF Table(JPY)'!G33,BS_RE33!$F$7:$F$874,'30 days CF Table(JPY)'!$C$2)</f>
        <v>0</v>
      </c>
      <c r="AZ33" s="379">
        <f>SUMIFS(BS_RE33!$H$7:$H$874,BS_RE33!$S$7:$S$874,$AZ$2,BS_RE33!$N$7:$N$874,I33,BS_RE33!$P$7:$P$874,'30 days CF Table(JPY)'!G33,BS_RE33!$F$7:$F$874,'30 days CF Table(JPY)'!$C$2)</f>
        <v>0</v>
      </c>
      <c r="BA33" s="379">
        <f>SUMIFS(BS_RE33!$H$7:$H$874,BS_RE33!$S$7:$S$874,$BA$2,BS_RE33!$N$7:$N$874,I33,BS_RE33!$P$7:$P$874,'30 days CF Table(JPY)'!G33,BS_RE33!$F$7:$F$874,'30 days CF Table(JPY)'!$C$2)</f>
        <v>0</v>
      </c>
      <c r="BB33" s="379">
        <f>SUMIFS(BS_RE33!$H$7:$H$874,BS_RE33!$S$7:$S$874,$BB$2,BS_RE33!$N$7:$N$874,I33,BS_RE33!$P$7:$P$874,'30 days CF Table(JPY)'!G33,BS_RE33!$F$7:$F$874,'30 days CF Table(JPY)'!$C$2)</f>
        <v>0</v>
      </c>
      <c r="BC33" s="379">
        <f>SUMIFS(BS_RE33!$H$7:$H$874,BS_RE33!$S$7:$S$874,$BC$2,BS_RE33!$N$7:$N$874,I33,BS_RE33!$P$7:$P$874,'30 days CF Table(JPY)'!G33,BS_RE33!$F$7:$F$874,'30 days CF Table(JPY)'!$C$2)</f>
        <v>0</v>
      </c>
      <c r="BD33" s="379">
        <f>SUMIFS(BS_RE33!$H$7:$H$874,BS_RE33!$S$7:$S$874,$BD$2,BS_RE33!$N$7:$N$874,I33,BS_RE33!$P$7:$P$874,'30 days CF Table(JPY)'!G33,BS_RE33!$F$7:$F$874,'30 days CF Table(JPY)'!$C$2)</f>
        <v>0</v>
      </c>
      <c r="BE33" s="379">
        <f>SUMIFS(BS_RE33!$H$7:$H$874,BS_RE33!$S$7:$S$874,$BE$2,BS_RE33!$N$7:$N$874,I33,BS_RE33!$P$7:$P$874,'30 days CF Table(JPY)'!G33,BS_RE33!$F$7:$F$874,'30 days CF Table(JPY)'!$C$2)</f>
        <v>0</v>
      </c>
      <c r="BF33" s="379">
        <f>SUMIFS(BS_RE33!$H$7:$H$874,BS_RE33!$S$7:$S$874,$BF$2,BS_RE33!$N$7:$N$874,I33,BS_RE33!$P$7:$P$874,'30 days CF Table(JPY)'!G33,BS_RE33!$F$7:$F$874,'30 days CF Table(JPY)'!$C$2)</f>
        <v>0</v>
      </c>
      <c r="BG33" s="379">
        <f>SUMIFS(BS_RE33!$H$7:$H$874,BS_RE33!$S$7:$S$874,$BG$2,BS_RE33!$N$7:$N$874,I33,BS_RE33!$P$7:$P$874,'30 days CF Table(JPY)'!G33,BS_RE33!$F$7:$F$874,'30 days CF Table(JPY)'!$C$2)</f>
        <v>0</v>
      </c>
      <c r="BH33" s="379">
        <f>SUMIFS(BS_RE33!$H$7:$H$874,BS_RE33!$S$7:$S$874,$BH$2,BS_RE33!$N$7:$N$874,I33,BS_RE33!$P$7:$P$874,'30 days CF Table(JPY)'!G33,BS_RE33!$F$7:$F$874,'30 days CF Table(JPY)'!$C$2)</f>
        <v>0</v>
      </c>
      <c r="BI33" s="379">
        <f>SUMIFS(BS_RE33!$H$7:$H$874,BS_RE33!$S$7:$S$874,$BI$2,BS_RE33!$N$7:$N$874,I33,BS_RE33!$P$7:$P$874,'30 days CF Table(JPY)'!G33,BS_RE33!$F$7:$F$874,'30 days CF Table(JPY)'!$C$2)</f>
        <v>0</v>
      </c>
      <c r="BJ33" s="379">
        <f>SUMIFS(BS_RE33!$H$7:$H$874,BS_RE33!$S$7:$S$874,$BJ$2,BS_RE33!$N$7:$N$874,I33,BS_RE33!$P$7:$P$874,'30 days CF Table(JPY)'!G33,BS_RE33!$F$7:$F$874,'30 days CF Table(JPY)'!$C$2)</f>
        <v>0</v>
      </c>
      <c r="BK33" s="379">
        <f>SUMIFS(BS_RE33!$H$7:$H$874,BS_RE33!$S$7:$S$874,$BK$2,BS_RE33!$N$7:$N$874,I33,BS_RE33!$P$7:$P$874,'30 days CF Table(JPY)'!G33,BS_RE33!$F$7:$F$874,'30 days CF Table(JPY)'!$C$2)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Table(JPY)'!G34,BS_RE33!$F$7:$F$874,'30 days CF Table(JPY)'!$C$2)</f>
        <v>0</v>
      </c>
      <c r="M34" s="337">
        <f>SUMIFS(BS_RE33!$H$7:$H$874,BS_RE33!$S$7:$S$874,$M$2,BS_RE33!$N$7:$N$874,I34,BS_RE33!$P$7:$P$874,'30 days CF Table(JPY)'!G34,BS_RE33!$F$7:$F$874,'30 days CF Table(JPY)'!$C$2)</f>
        <v>0</v>
      </c>
      <c r="N34" s="337">
        <f>SUMIFS(BS_RE33!$H$7:$H$874,BS_RE33!$S$7:$S$874,$N$2,BS_RE33!$N$7:$N$874,I34,BS_RE33!$P$7:$P$874,'30 days CF Table(JPY)'!G34,BS_RE33!$F$7:$F$874,'30 days CF Table(JPY)'!$C$2)</f>
        <v>0</v>
      </c>
      <c r="O34" s="337">
        <f>SUMIFS(BS_RE33!$H$7:$H$874,BS_RE33!$S$7:$S$874,$O$2,BS_RE33!$N$7:$N$874,I34,BS_RE33!$P$7:$P$874,'30 days CF Table(JPY)'!G34,BS_RE33!$F$7:$F$874,'30 days CF Table(JPY)'!$C$2)</f>
        <v>0</v>
      </c>
      <c r="P34" s="337">
        <f>SUMIFS(BS_RE33!$H$7:$H$874,BS_RE33!$S$7:$S$874,$P$2,BS_RE33!$N$7:$N$874,I34,BS_RE33!$P$7:$P$874,'30 days CF Table(JPY)'!G34,BS_RE33!$F$7:$F$874,'30 days CF Table(JPY)'!$C$2)</f>
        <v>0</v>
      </c>
      <c r="Q34" s="337">
        <f>SUMIFS(BS_RE33!$H$7:$H$874,BS_RE33!$S$7:$S$874,$Q$2,BS_RE33!$N$7:$N$874,I34,BS_RE33!$P$7:$P$874,'30 days CF Table(JPY)'!G34,BS_RE33!$F$7:$F$874,'30 days CF Table(JPY)'!$C$2)</f>
        <v>0</v>
      </c>
      <c r="R34" s="337">
        <f>SUMIFS(BS_RE33!$H$7:$H$874,BS_RE33!$S$7:$S$874,$R$2,BS_RE33!$N$7:$N$874,I34,BS_RE33!$P$7:$P$874,'30 days CF Table(JPY)'!G34,BS_RE33!$F$7:$F$874,'30 days CF Table(JPY)'!$C$2)</f>
        <v>0</v>
      </c>
      <c r="S34" s="337">
        <f>SUMIFS(BS_RE33!$H$7:$H$874,BS_RE33!$S$7:$S$874,$S$2,BS_RE33!$N$7:$N$874,I34,BS_RE33!$P$7:$P$874,'30 days CF Table(JPY)'!G34,BS_RE33!$F$7:$F$874,'30 days CF Table(JPY)'!$C$2)</f>
        <v>0</v>
      </c>
      <c r="T34" s="337">
        <f>SUMIFS(BS_RE33!$H$7:$H$874,BS_RE33!$S$7:$S$874,$T$2,BS_RE33!$N$7:$N$874,I34,BS_RE33!$P$7:$P$874,'30 days CF Table(JPY)'!G34,BS_RE33!$F$7:$F$874,'30 days CF Table(JPY)'!$C$2)</f>
        <v>0</v>
      </c>
      <c r="U34" s="337">
        <f>SUMIFS(BS_RE33!$H$7:$H$874,BS_RE33!$S$7:$S$874,$U$2,BS_RE33!$N$7:$N$874,I34,BS_RE33!$P$7:$P$874,'30 days CF Table(JPY)'!G34,BS_RE33!$F$7:$F$874,'30 days CF Table(JPY)'!$C$2)</f>
        <v>0</v>
      </c>
      <c r="V34" s="337">
        <f>SUMIFS(BS_RE33!$H$7:$H$874,BS_RE33!$S$7:$S$874,$V$2,BS_RE33!$N$7:$N$874,I34,BS_RE33!$P$7:$P$874,'30 days CF Table(JPY)'!G34,BS_RE33!$F$7:$F$874,'30 days CF Table(JPY)'!$C$2)</f>
        <v>0</v>
      </c>
      <c r="W34" s="337">
        <f>SUMIFS(BS_RE33!$H$7:$H$874,BS_RE33!$S$7:$S$874,$W$2,BS_RE33!$N$7:$N$874,I34,BS_RE33!$P$7:$P$874,'30 days CF Table(JPY)'!G34,BS_RE33!$F$7:$F$874,'30 days CF Table(JPY)'!$C$2)</f>
        <v>0</v>
      </c>
      <c r="X34" s="337">
        <f>SUMIFS(BS_RE33!$H$7:$H$874,BS_RE33!$S$7:$S$874,$X$2,BS_RE33!$N$7:$N$874,I34,BS_RE33!$P$7:$P$874,'30 days CF Table(JPY)'!G34,BS_RE33!$F$7:$F$874,'30 days CF Table(JPY)'!$C$2)</f>
        <v>0</v>
      </c>
      <c r="Y34" s="337">
        <f>SUMIFS(BS_RE33!$H$7:$H$874,BS_RE33!$S$7:$S$874,$Y$2,BS_RE33!$N$7:$N$874,I34,BS_RE33!$P$7:$P$874,'30 days CF Table(JPY)'!G34,BS_RE33!$F$7:$F$874,'30 days CF Table(JPY)'!$C$2)</f>
        <v>0</v>
      </c>
      <c r="Z34" s="337">
        <f>SUMIFS(BS_RE33!$H$7:$H$874,BS_RE33!$S$7:$S$874,$Z$2,BS_RE33!$N$7:$N$874,I34,BS_RE33!$P$7:$P$874,'30 days CF Table(JPY)'!G34,BS_RE33!$F$7:$F$874,'30 days CF Table(JPY)'!$C$2)</f>
        <v>0</v>
      </c>
      <c r="AA34" s="337">
        <f>SUMIFS(BS_RE33!$H$7:$H$874,BS_RE33!$S$7:$S$874,$AA$2,BS_RE33!$N$7:$N$874,I34,BS_RE33!$P$7:$P$874,'30 days CF Table(JPY)'!G34,BS_RE33!$F$7:$F$874,'30 days CF Table(JPY)'!$C$2)</f>
        <v>0</v>
      </c>
      <c r="AB34" s="337">
        <f>SUMIFS(BS_RE33!$H$7:$H$874,BS_RE33!$S$7:$S$874,$AB$2,BS_RE33!$N$7:$N$874,I34,BS_RE33!$P$7:$P$874,'30 days CF Table(JPY)'!G34,BS_RE33!$F$7:$F$874,'30 days CF Table(JPY)'!$C$2)</f>
        <v>0</v>
      </c>
      <c r="AC34" s="337">
        <f>SUMIFS(BS_RE33!$H$7:$H$874,BS_RE33!$S$7:$S$874,$AC$2,BS_RE33!$N$7:$N$874,I34,BS_RE33!$P$7:$P$874,'30 days CF Table(JPY)'!G34,BS_RE33!$F$7:$F$874,'30 days CF Table(JPY)'!$C$2)</f>
        <v>0</v>
      </c>
      <c r="AD34" s="337">
        <f>SUMIFS(BS_RE33!$H$7:$H$874,BS_RE33!$S$7:$S$874,$AD$2,BS_RE33!$N$7:$N$874,I34,BS_RE33!$P$7:$P$874,'30 days CF Table(JPY)'!G34,BS_RE33!$F$7:$F$874,'30 days CF Table(JPY)'!$C$2)</f>
        <v>0</v>
      </c>
      <c r="AE34" s="337">
        <f>SUMIFS(BS_RE33!$H$7:$H$874,BS_RE33!$S$7:$S$874,$AE$2,BS_RE33!$N$7:$N$874,I34,BS_RE33!$P$7:$P$874,'30 days CF Table(JPY)'!G34,BS_RE33!$F$7:$F$874,'30 days CF Table(JPY)'!$C$2)</f>
        <v>0</v>
      </c>
      <c r="AF34" s="337">
        <f>SUMIFS(BS_RE33!$H$7:$H$874,BS_RE33!$S$7:$S$874,$AF$2,BS_RE33!$N$7:$N$874,I34,BS_RE33!$P$7:$P$874,'30 days CF Table(JPY)'!G34,BS_RE33!$F$7:$F$874,'30 days CF Table(JPY)'!$C$2)</f>
        <v>0</v>
      </c>
      <c r="AG34" s="337">
        <f>SUMIFS(BS_RE33!$H$7:$H$874,BS_RE33!$S$7:$S$874,$AG$2,BS_RE33!$N$7:$N$874,I34,BS_RE33!$P$7:$P$874,'30 days CF Table(JPY)'!G34,BS_RE33!$F$7:$F$874,'30 days CF Table(JPY)'!$C$2)</f>
        <v>0</v>
      </c>
      <c r="AH34" s="337">
        <f>SUMIFS(BS_RE33!$H$7:$H$874,BS_RE33!$S$7:$S$874,$AH$2,BS_RE33!$N$7:$N$874,I34,BS_RE33!$P$7:$P$874,'30 days CF Table(JPY)'!G34,BS_RE33!$F$7:$F$874,'30 days CF Table(JPY)'!$C$2)</f>
        <v>0</v>
      </c>
      <c r="AI34" s="337">
        <f>SUMIFS(BS_RE33!$H$7:$H$874,BS_RE33!$S$7:$S$874,$AI$2,BS_RE33!$N$7:$N$874,I34,BS_RE33!$P$7:$P$874,'30 days CF Table(JPY)'!G34,BS_RE33!$F$7:$F$874,'30 days CF Table(JPY)'!$C$2)</f>
        <v>0</v>
      </c>
      <c r="AJ34" s="337">
        <f>SUMIFS(BS_RE33!$H$7:$H$874,BS_RE33!$S$7:$S$874,$AJ$2,BS_RE33!$N$7:$N$874,I34,BS_RE33!$P$7:$P$874,'30 days CF Table(JPY)'!G34,BS_RE33!$F$7:$F$874,'30 days CF Table(JPY)'!$C$2)</f>
        <v>0</v>
      </c>
      <c r="AK34" s="337">
        <f>SUMIFS(BS_RE33!$H$7:$H$874,BS_RE33!$S$7:$S$874,$AK$2,BS_RE33!$N$7:$N$874,I34,BS_RE33!$P$7:$P$874,'30 days CF Table(JPY)'!G34,BS_RE33!$F$7:$F$874,'30 days CF Table(JPY)'!$C$2)</f>
        <v>0</v>
      </c>
      <c r="AL34" s="337">
        <f>SUMIFS(BS_RE33!$H$7:$H$874,BS_RE33!$S$7:$S$874,$AL$2,BS_RE33!$N$7:$N$874,I34,BS_RE33!$P$7:$P$874,'30 days CF Table(JPY)'!G34,BS_RE33!$F$7:$F$874,'30 days CF Table(JPY)'!$C$2)</f>
        <v>0</v>
      </c>
      <c r="AM34" s="337">
        <f>SUMIFS(BS_RE33!$H$7:$H$874,BS_RE33!$S$7:$S$874,$AM$2,BS_RE33!$N$7:$N$874,I34,BS_RE33!$P$7:$P$874,'30 days CF Table(JPY)'!G34,BS_RE33!$F$7:$F$874,'30 days CF Table(JPY)'!$C$2)</f>
        <v>0</v>
      </c>
      <c r="AN34" s="337">
        <f>SUMIFS(BS_RE33!$H$7:$H$874,BS_RE33!$S$7:$S$874,$AN$2,BS_RE33!$N$7:$N$874,I34,BS_RE33!$P$7:$P$874,'30 days CF Table(JPY)'!G34,BS_RE33!$F$7:$F$874,'30 days CF Table(JPY)'!$C$2)</f>
        <v>0</v>
      </c>
      <c r="AO34" s="337">
        <f>SUMIFS(BS_RE33!$H$7:$H$874,BS_RE33!$S$7:$S$874,$AO$2,BS_RE33!$N$7:$N$874,I34,BS_RE33!$P$7:$P$874,'30 days CF Table(JPY)'!G34,BS_RE33!$F$7:$F$874,'30 days CF Table(JPY)'!$C$2)</f>
        <v>0</v>
      </c>
      <c r="AP34" s="338">
        <f>SUMIFS(BS_RE33!$H$7:$H$874,BS_RE33!$S$7:$S$874,$AP$2,BS_RE33!$N$7:$N$874,I34,BS_RE33!$P$7:$P$874,'30 days CF Table(JPY)'!G34,BS_RE33!$F$7:$F$874,'30 days CF Table(JPY)'!$C$2)</f>
        <v>0</v>
      </c>
      <c r="AR34" s="379">
        <f>SUMIFS(BS_RE33!$H$7:$H$874,BS_RE33!$S$7:$S$874,$AR$2,BS_RE33!$N$7:$N$874,I34,BS_RE33!$P$7:$P$874,'30 days CF Table(JPY)'!G34,BS_RE33!$F$7:$F$874,'30 days CF Table(JPY)'!$C$2)</f>
        <v>0</v>
      </c>
      <c r="AS34" s="379">
        <f>SUMIFS(BS_RE33!$H$7:$H$874,BS_RE33!$S$7:$S$874,$AS$2,BS_RE33!$N$7:$N$874,I34,BS_RE33!$P$7:$P$874,'30 days CF Table(JPY)'!G34,BS_RE33!$F$7:$F$874,'30 days CF Table(JPY)'!$C$2)</f>
        <v>0</v>
      </c>
      <c r="AT34" s="379">
        <f>SUMIFS(BS_RE33!$H$7:$H$874,BS_RE33!$S$7:$S$874,$AT$2,BS_RE33!$N$7:$N$874,I34,BS_RE33!$P$7:$P$874,'30 days CF Table(JPY)'!G34,BS_RE33!$F$7:$F$874,'30 days CF Table(JPY)'!$C$2)</f>
        <v>0</v>
      </c>
      <c r="AU34" s="379">
        <f>SUMIFS(BS_RE33!$H$7:$H$874,BS_RE33!$S$7:$S$874,$AU$2,BS_RE33!$N$7:$N$874,I34,BS_RE33!$P$7:$P$874,'30 days CF Table(JPY)'!G34,BS_RE33!$F$7:$F$874,'30 days CF Table(JPY)'!$C$2)</f>
        <v>0</v>
      </c>
      <c r="AV34" s="379">
        <f>SUMIFS(BS_RE33!$H$7:$H$874,BS_RE33!$S$7:$S$874,$AV$2,BS_RE33!$N$7:$N$874,I34,BS_RE33!$P$7:$P$874,'30 days CF Table(JPY)'!G34,BS_RE33!$F$7:$F$874,'30 days CF Table(JPY)'!$C$2)</f>
        <v>0</v>
      </c>
      <c r="AW34" s="379">
        <f>SUMIFS(BS_RE33!$H$7:$H$874,BS_RE33!$S$7:$S$874,$AW$2,BS_RE33!$N$7:$N$874,I34,BS_RE33!$P$7:$P$874,'30 days CF Table(JPY)'!G34,BS_RE33!$F$7:$F$874,'30 days CF Table(JPY)'!$C$2)</f>
        <v>0</v>
      </c>
      <c r="AX34" s="379">
        <f>SUMIFS(BS_RE33!$H$7:$H$874,BS_RE33!$S$7:$S$874,$AX$2,BS_RE33!$N$7:$N$874,I34,BS_RE33!$P$7:$P$874,'30 days CF Table(JPY)'!G34,BS_RE33!$F$7:$F$874,'30 days CF Table(JPY)'!$C$2)</f>
        <v>0</v>
      </c>
      <c r="AY34" s="379">
        <f>SUMIFS(BS_RE33!$H$7:$H$874,BS_RE33!$S$7:$S$874,$AY$2,BS_RE33!$N$7:$N$874,I34,BS_RE33!$P$7:$P$874,'30 days CF Table(JPY)'!G34,BS_RE33!$F$7:$F$874,'30 days CF Table(JPY)'!$C$2)</f>
        <v>0</v>
      </c>
      <c r="AZ34" s="379">
        <f>SUMIFS(BS_RE33!$H$7:$H$874,BS_RE33!$S$7:$S$874,$AZ$2,BS_RE33!$N$7:$N$874,I34,BS_RE33!$P$7:$P$874,'30 days CF Table(JPY)'!G34,BS_RE33!$F$7:$F$874,'30 days CF Table(JPY)'!$C$2)</f>
        <v>0</v>
      </c>
      <c r="BA34" s="379">
        <f>SUMIFS(BS_RE33!$H$7:$H$874,BS_RE33!$S$7:$S$874,$BA$2,BS_RE33!$N$7:$N$874,I34,BS_RE33!$P$7:$P$874,'30 days CF Table(JPY)'!G34,BS_RE33!$F$7:$F$874,'30 days CF Table(JPY)'!$C$2)</f>
        <v>0</v>
      </c>
      <c r="BB34" s="379">
        <f>SUMIFS(BS_RE33!$H$7:$H$874,BS_RE33!$S$7:$S$874,$BB$2,BS_RE33!$N$7:$N$874,I34,BS_RE33!$P$7:$P$874,'30 days CF Table(JPY)'!G34,BS_RE33!$F$7:$F$874,'30 days CF Table(JPY)'!$C$2)</f>
        <v>0</v>
      </c>
      <c r="BC34" s="379">
        <f>SUMIFS(BS_RE33!$H$7:$H$874,BS_RE33!$S$7:$S$874,$BC$2,BS_RE33!$N$7:$N$874,I34,BS_RE33!$P$7:$P$874,'30 days CF Table(JPY)'!G34,BS_RE33!$F$7:$F$874,'30 days CF Table(JPY)'!$C$2)</f>
        <v>0</v>
      </c>
      <c r="BD34" s="379">
        <f>SUMIFS(BS_RE33!$H$7:$H$874,BS_RE33!$S$7:$S$874,$BD$2,BS_RE33!$N$7:$N$874,I34,BS_RE33!$P$7:$P$874,'30 days CF Table(JPY)'!G34,BS_RE33!$F$7:$F$874,'30 days CF Table(JPY)'!$C$2)</f>
        <v>0</v>
      </c>
      <c r="BE34" s="379">
        <f>SUMIFS(BS_RE33!$H$7:$H$874,BS_RE33!$S$7:$S$874,$BE$2,BS_RE33!$N$7:$N$874,I34,BS_RE33!$P$7:$P$874,'30 days CF Table(JPY)'!G34,BS_RE33!$F$7:$F$874,'30 days CF Table(JPY)'!$C$2)</f>
        <v>0</v>
      </c>
      <c r="BF34" s="379">
        <f>SUMIFS(BS_RE33!$H$7:$H$874,BS_RE33!$S$7:$S$874,$BF$2,BS_RE33!$N$7:$N$874,I34,BS_RE33!$P$7:$P$874,'30 days CF Table(JPY)'!G34,BS_RE33!$F$7:$F$874,'30 days CF Table(JPY)'!$C$2)</f>
        <v>0</v>
      </c>
      <c r="BG34" s="379">
        <f>SUMIFS(BS_RE33!$H$7:$H$874,BS_RE33!$S$7:$S$874,$BG$2,BS_RE33!$N$7:$N$874,I34,BS_RE33!$P$7:$P$874,'30 days CF Table(JPY)'!G34,BS_RE33!$F$7:$F$874,'30 days CF Table(JPY)'!$C$2)</f>
        <v>0</v>
      </c>
      <c r="BH34" s="379">
        <f>SUMIFS(BS_RE33!$H$7:$H$874,BS_RE33!$S$7:$S$874,$BH$2,BS_RE33!$N$7:$N$874,I34,BS_RE33!$P$7:$P$874,'30 days CF Table(JPY)'!G34,BS_RE33!$F$7:$F$874,'30 days CF Table(JPY)'!$C$2)</f>
        <v>0</v>
      </c>
      <c r="BI34" s="379">
        <f>SUMIFS(BS_RE33!$H$7:$H$874,BS_RE33!$S$7:$S$874,$BI$2,BS_RE33!$N$7:$N$874,I34,BS_RE33!$P$7:$P$874,'30 days CF Table(JPY)'!G34,BS_RE33!$F$7:$F$874,'30 days CF Table(JPY)'!$C$2)</f>
        <v>0</v>
      </c>
      <c r="BJ34" s="379">
        <f>SUMIFS(BS_RE33!$H$7:$H$874,BS_RE33!$S$7:$S$874,$BJ$2,BS_RE33!$N$7:$N$874,I34,BS_RE33!$P$7:$P$874,'30 days CF Table(JPY)'!G34,BS_RE33!$F$7:$F$874,'30 days CF Table(JPY)'!$C$2)</f>
        <v>0</v>
      </c>
      <c r="BK34" s="379">
        <f>SUMIFS(BS_RE33!$H$7:$H$874,BS_RE33!$S$7:$S$874,$BK$2,BS_RE33!$N$7:$N$874,I34,BS_RE33!$P$7:$P$874,'30 days CF Table(JPY)'!G34,BS_RE33!$F$7:$F$874,'30 days CF Table(JPY)'!$C$2)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Table(JPY)'!G35,BS_RE33!$F$7:$F$874,'30 days CF Table(JPY)'!$C$2)</f>
        <v>0</v>
      </c>
      <c r="M35" s="337">
        <f>SUMIFS(BS_RE33!$H$7:$H$874,BS_RE33!$S$7:$S$874,$M$2,BS_RE33!$N$7:$N$874,I35,BS_RE33!$P$7:$P$874,'30 days CF Table(JPY)'!G35,BS_RE33!$F$7:$F$874,'30 days CF Table(JPY)'!$C$2)</f>
        <v>0</v>
      </c>
      <c r="N35" s="337">
        <f>SUMIFS(BS_RE33!$H$7:$H$874,BS_RE33!$S$7:$S$874,$N$2,BS_RE33!$N$7:$N$874,I35,BS_RE33!$P$7:$P$874,'30 days CF Table(JPY)'!G35,BS_RE33!$F$7:$F$874,'30 days CF Table(JPY)'!$C$2)</f>
        <v>0</v>
      </c>
      <c r="O35" s="337">
        <f>SUMIFS(BS_RE33!$H$7:$H$874,BS_RE33!$S$7:$S$874,$O$2,BS_RE33!$N$7:$N$874,I35,BS_RE33!$P$7:$P$874,'30 days CF Table(JPY)'!G35,BS_RE33!$F$7:$F$874,'30 days CF Table(JPY)'!$C$2)</f>
        <v>0</v>
      </c>
      <c r="P35" s="337">
        <f>SUMIFS(BS_RE33!$H$7:$H$874,BS_RE33!$S$7:$S$874,$P$2,BS_RE33!$N$7:$N$874,I35,BS_RE33!$P$7:$P$874,'30 days CF Table(JPY)'!G35,BS_RE33!$F$7:$F$874,'30 days CF Table(JPY)'!$C$2)</f>
        <v>0</v>
      </c>
      <c r="Q35" s="337">
        <f>SUMIFS(BS_RE33!$H$7:$H$874,BS_RE33!$S$7:$S$874,$Q$2,BS_RE33!$N$7:$N$874,I35,BS_RE33!$P$7:$P$874,'30 days CF Table(JPY)'!G35,BS_RE33!$F$7:$F$874,'30 days CF Table(JPY)'!$C$2)</f>
        <v>0</v>
      </c>
      <c r="R35" s="337">
        <f>SUMIFS(BS_RE33!$H$7:$H$874,BS_RE33!$S$7:$S$874,$R$2,BS_RE33!$N$7:$N$874,I35,BS_RE33!$P$7:$P$874,'30 days CF Table(JPY)'!G35,BS_RE33!$F$7:$F$874,'30 days CF Table(JPY)'!$C$2)</f>
        <v>0</v>
      </c>
      <c r="S35" s="337">
        <f>SUMIFS(BS_RE33!$H$7:$H$874,BS_RE33!$S$7:$S$874,$S$2,BS_RE33!$N$7:$N$874,I35,BS_RE33!$P$7:$P$874,'30 days CF Table(JPY)'!G35,BS_RE33!$F$7:$F$874,'30 days CF Table(JPY)'!$C$2)</f>
        <v>0</v>
      </c>
      <c r="T35" s="337">
        <f>SUMIFS(BS_RE33!$H$7:$H$874,BS_RE33!$S$7:$S$874,$T$2,BS_RE33!$N$7:$N$874,I35,BS_RE33!$P$7:$P$874,'30 days CF Table(JPY)'!G35,BS_RE33!$F$7:$F$874,'30 days CF Table(JPY)'!$C$2)</f>
        <v>0</v>
      </c>
      <c r="U35" s="337">
        <f>SUMIFS(BS_RE33!$H$7:$H$874,BS_RE33!$S$7:$S$874,$U$2,BS_RE33!$N$7:$N$874,I35,BS_RE33!$P$7:$P$874,'30 days CF Table(JPY)'!G35,BS_RE33!$F$7:$F$874,'30 days CF Table(JPY)'!$C$2)</f>
        <v>0</v>
      </c>
      <c r="V35" s="337">
        <f>SUMIFS(BS_RE33!$H$7:$H$874,BS_RE33!$S$7:$S$874,$V$2,BS_RE33!$N$7:$N$874,I35,BS_RE33!$P$7:$P$874,'30 days CF Table(JPY)'!G35,BS_RE33!$F$7:$F$874,'30 days CF Table(JPY)'!$C$2)</f>
        <v>0</v>
      </c>
      <c r="W35" s="337">
        <f>SUMIFS(BS_RE33!$H$7:$H$874,BS_RE33!$S$7:$S$874,$W$2,BS_RE33!$N$7:$N$874,I35,BS_RE33!$P$7:$P$874,'30 days CF Table(JPY)'!G35,BS_RE33!$F$7:$F$874,'30 days CF Table(JPY)'!$C$2)</f>
        <v>0</v>
      </c>
      <c r="X35" s="337">
        <f>SUMIFS(BS_RE33!$H$7:$H$874,BS_RE33!$S$7:$S$874,$X$2,BS_RE33!$N$7:$N$874,I35,BS_RE33!$P$7:$P$874,'30 days CF Table(JPY)'!G35,BS_RE33!$F$7:$F$874,'30 days CF Table(JPY)'!$C$2)</f>
        <v>0</v>
      </c>
      <c r="Y35" s="337">
        <f>SUMIFS(BS_RE33!$H$7:$H$874,BS_RE33!$S$7:$S$874,$Y$2,BS_RE33!$N$7:$N$874,I35,BS_RE33!$P$7:$P$874,'30 days CF Table(JPY)'!G35,BS_RE33!$F$7:$F$874,'30 days CF Table(JPY)'!$C$2)</f>
        <v>0</v>
      </c>
      <c r="Z35" s="337">
        <f>SUMIFS(BS_RE33!$H$7:$H$874,BS_RE33!$S$7:$S$874,$Z$2,BS_RE33!$N$7:$N$874,I35,BS_RE33!$P$7:$P$874,'30 days CF Table(JPY)'!G35,BS_RE33!$F$7:$F$874,'30 days CF Table(JPY)'!$C$2)</f>
        <v>0</v>
      </c>
      <c r="AA35" s="337">
        <f>SUMIFS(BS_RE33!$H$7:$H$874,BS_RE33!$S$7:$S$874,$AA$2,BS_RE33!$N$7:$N$874,I35,BS_RE33!$P$7:$P$874,'30 days CF Table(JPY)'!G35,BS_RE33!$F$7:$F$874,'30 days CF Table(JPY)'!$C$2)</f>
        <v>0</v>
      </c>
      <c r="AB35" s="337">
        <f>SUMIFS(BS_RE33!$H$7:$H$874,BS_RE33!$S$7:$S$874,$AB$2,BS_RE33!$N$7:$N$874,I35,BS_RE33!$P$7:$P$874,'30 days CF Table(JPY)'!G35,BS_RE33!$F$7:$F$874,'30 days CF Table(JPY)'!$C$2)</f>
        <v>0</v>
      </c>
      <c r="AC35" s="337">
        <f>SUMIFS(BS_RE33!$H$7:$H$874,BS_RE33!$S$7:$S$874,$AC$2,BS_RE33!$N$7:$N$874,I35,BS_RE33!$P$7:$P$874,'30 days CF Table(JPY)'!G35,BS_RE33!$F$7:$F$874,'30 days CF Table(JPY)'!$C$2)</f>
        <v>0</v>
      </c>
      <c r="AD35" s="337">
        <f>SUMIFS(BS_RE33!$H$7:$H$874,BS_RE33!$S$7:$S$874,$AD$2,BS_RE33!$N$7:$N$874,I35,BS_RE33!$P$7:$P$874,'30 days CF Table(JPY)'!G35,BS_RE33!$F$7:$F$874,'30 days CF Table(JPY)'!$C$2)</f>
        <v>0</v>
      </c>
      <c r="AE35" s="337">
        <f>SUMIFS(BS_RE33!$H$7:$H$874,BS_RE33!$S$7:$S$874,$AE$2,BS_RE33!$N$7:$N$874,I35,BS_RE33!$P$7:$P$874,'30 days CF Table(JPY)'!G35,BS_RE33!$F$7:$F$874,'30 days CF Table(JPY)'!$C$2)</f>
        <v>0</v>
      </c>
      <c r="AF35" s="337">
        <f>SUMIFS(BS_RE33!$H$7:$H$874,BS_RE33!$S$7:$S$874,$AF$2,BS_RE33!$N$7:$N$874,I35,BS_RE33!$P$7:$P$874,'30 days CF Table(JPY)'!G35,BS_RE33!$F$7:$F$874,'30 days CF Table(JPY)'!$C$2)</f>
        <v>0</v>
      </c>
      <c r="AG35" s="337">
        <f>SUMIFS(BS_RE33!$H$7:$H$874,BS_RE33!$S$7:$S$874,$AG$2,BS_RE33!$N$7:$N$874,I35,BS_RE33!$P$7:$P$874,'30 days CF Table(JPY)'!G35,BS_RE33!$F$7:$F$874,'30 days CF Table(JPY)'!$C$2)</f>
        <v>0</v>
      </c>
      <c r="AH35" s="337">
        <f>SUMIFS(BS_RE33!$H$7:$H$874,BS_RE33!$S$7:$S$874,$AH$2,BS_RE33!$N$7:$N$874,I35,BS_RE33!$P$7:$P$874,'30 days CF Table(JPY)'!G35,BS_RE33!$F$7:$F$874,'30 days CF Table(JPY)'!$C$2)</f>
        <v>0</v>
      </c>
      <c r="AI35" s="337">
        <f>SUMIFS(BS_RE33!$H$7:$H$874,BS_RE33!$S$7:$S$874,$AI$2,BS_RE33!$N$7:$N$874,I35,BS_RE33!$P$7:$P$874,'30 days CF Table(JPY)'!G35,BS_RE33!$F$7:$F$874,'30 days CF Table(JPY)'!$C$2)</f>
        <v>0</v>
      </c>
      <c r="AJ35" s="337">
        <f>SUMIFS(BS_RE33!$H$7:$H$874,BS_RE33!$S$7:$S$874,$AJ$2,BS_RE33!$N$7:$N$874,I35,BS_RE33!$P$7:$P$874,'30 days CF Table(JPY)'!G35,BS_RE33!$F$7:$F$874,'30 days CF Table(JPY)'!$C$2)</f>
        <v>0</v>
      </c>
      <c r="AK35" s="337">
        <f>SUMIFS(BS_RE33!$H$7:$H$874,BS_RE33!$S$7:$S$874,$AK$2,BS_RE33!$N$7:$N$874,I35,BS_RE33!$P$7:$P$874,'30 days CF Table(JPY)'!G35,BS_RE33!$F$7:$F$874,'30 days CF Table(JPY)'!$C$2)</f>
        <v>0</v>
      </c>
      <c r="AL35" s="337">
        <f>SUMIFS(BS_RE33!$H$7:$H$874,BS_RE33!$S$7:$S$874,$AL$2,BS_RE33!$N$7:$N$874,I35,BS_RE33!$P$7:$P$874,'30 days CF Table(JPY)'!G35,BS_RE33!$F$7:$F$874,'30 days CF Table(JPY)'!$C$2)</f>
        <v>0</v>
      </c>
      <c r="AM35" s="337">
        <f>SUMIFS(BS_RE33!$H$7:$H$874,BS_RE33!$S$7:$S$874,$AM$2,BS_RE33!$N$7:$N$874,I35,BS_RE33!$P$7:$P$874,'30 days CF Table(JPY)'!G35,BS_RE33!$F$7:$F$874,'30 days CF Table(JPY)'!$C$2)</f>
        <v>0</v>
      </c>
      <c r="AN35" s="337">
        <f>SUMIFS(BS_RE33!$H$7:$H$874,BS_RE33!$S$7:$S$874,$AN$2,BS_RE33!$N$7:$N$874,I35,BS_RE33!$P$7:$P$874,'30 days CF Table(JPY)'!G35,BS_RE33!$F$7:$F$874,'30 days CF Table(JPY)'!$C$2)</f>
        <v>0</v>
      </c>
      <c r="AO35" s="337">
        <f>SUMIFS(BS_RE33!$H$7:$H$874,BS_RE33!$S$7:$S$874,$AO$2,BS_RE33!$N$7:$N$874,I35,BS_RE33!$P$7:$P$874,'30 days CF Table(JPY)'!G35,BS_RE33!$F$7:$F$874,'30 days CF Table(JPY)'!$C$2)</f>
        <v>0</v>
      </c>
      <c r="AP35" s="338">
        <f>SUMIFS(BS_RE33!$H$7:$H$874,BS_RE33!$S$7:$S$874,$AP$2,BS_RE33!$N$7:$N$874,I35,BS_RE33!$P$7:$P$874,'30 days CF Table(JPY)'!G35,BS_RE33!$F$7:$F$874,'30 days CF Table(JPY)'!$C$2)</f>
        <v>0</v>
      </c>
      <c r="AR35" s="379">
        <f>SUMIFS(BS_RE33!$H$7:$H$874,BS_RE33!$S$7:$S$874,$AR$2,BS_RE33!$N$7:$N$874,I35,BS_RE33!$P$7:$P$874,'30 days CF Table(JPY)'!G35,BS_RE33!$F$7:$F$874,'30 days CF Table(JPY)'!$C$2)</f>
        <v>0</v>
      </c>
      <c r="AS35" s="379">
        <f>SUMIFS(BS_RE33!$H$7:$H$874,BS_RE33!$S$7:$S$874,$AS$2,BS_RE33!$N$7:$N$874,I35,BS_RE33!$P$7:$P$874,'30 days CF Table(JPY)'!G35,BS_RE33!$F$7:$F$874,'30 days CF Table(JPY)'!$C$2)</f>
        <v>0</v>
      </c>
      <c r="AT35" s="379">
        <f>SUMIFS(BS_RE33!$H$7:$H$874,BS_RE33!$S$7:$S$874,$AT$2,BS_RE33!$N$7:$N$874,I35,BS_RE33!$P$7:$P$874,'30 days CF Table(JPY)'!G35,BS_RE33!$F$7:$F$874,'30 days CF Table(JPY)'!$C$2)</f>
        <v>0</v>
      </c>
      <c r="AU35" s="379">
        <f>SUMIFS(BS_RE33!$H$7:$H$874,BS_RE33!$S$7:$S$874,$AU$2,BS_RE33!$N$7:$N$874,I35,BS_RE33!$P$7:$P$874,'30 days CF Table(JPY)'!G35,BS_RE33!$F$7:$F$874,'30 days CF Table(JPY)'!$C$2)</f>
        <v>0</v>
      </c>
      <c r="AV35" s="379">
        <f>SUMIFS(BS_RE33!$H$7:$H$874,BS_RE33!$S$7:$S$874,$AV$2,BS_RE33!$N$7:$N$874,I35,BS_RE33!$P$7:$P$874,'30 days CF Table(JPY)'!G35,BS_RE33!$F$7:$F$874,'30 days CF Table(JPY)'!$C$2)</f>
        <v>0</v>
      </c>
      <c r="AW35" s="379">
        <f>SUMIFS(BS_RE33!$H$7:$H$874,BS_RE33!$S$7:$S$874,$AW$2,BS_RE33!$N$7:$N$874,I35,BS_RE33!$P$7:$P$874,'30 days CF Table(JPY)'!G35,BS_RE33!$F$7:$F$874,'30 days CF Table(JPY)'!$C$2)</f>
        <v>0</v>
      </c>
      <c r="AX35" s="379">
        <f>SUMIFS(BS_RE33!$H$7:$H$874,BS_RE33!$S$7:$S$874,$AX$2,BS_RE33!$N$7:$N$874,I35,BS_RE33!$P$7:$P$874,'30 days CF Table(JPY)'!G35,BS_RE33!$F$7:$F$874,'30 days CF Table(JPY)'!$C$2)</f>
        <v>0</v>
      </c>
      <c r="AY35" s="379">
        <f>SUMIFS(BS_RE33!$H$7:$H$874,BS_RE33!$S$7:$S$874,$AY$2,BS_RE33!$N$7:$N$874,I35,BS_RE33!$P$7:$P$874,'30 days CF Table(JPY)'!G35,BS_RE33!$F$7:$F$874,'30 days CF Table(JPY)'!$C$2)</f>
        <v>0</v>
      </c>
      <c r="AZ35" s="379">
        <f>SUMIFS(BS_RE33!$H$7:$H$874,BS_RE33!$S$7:$S$874,$AZ$2,BS_RE33!$N$7:$N$874,I35,BS_RE33!$P$7:$P$874,'30 days CF Table(JPY)'!G35,BS_RE33!$F$7:$F$874,'30 days CF Table(JPY)'!$C$2)</f>
        <v>0</v>
      </c>
      <c r="BA35" s="379">
        <f>SUMIFS(BS_RE33!$H$7:$H$874,BS_RE33!$S$7:$S$874,$BA$2,BS_RE33!$N$7:$N$874,I35,BS_RE33!$P$7:$P$874,'30 days CF Table(JPY)'!G35,BS_RE33!$F$7:$F$874,'30 days CF Table(JPY)'!$C$2)</f>
        <v>0</v>
      </c>
      <c r="BB35" s="379">
        <f>SUMIFS(BS_RE33!$H$7:$H$874,BS_RE33!$S$7:$S$874,$BB$2,BS_RE33!$N$7:$N$874,I35,BS_RE33!$P$7:$P$874,'30 days CF Table(JPY)'!G35,BS_RE33!$F$7:$F$874,'30 days CF Table(JPY)'!$C$2)</f>
        <v>0</v>
      </c>
      <c r="BC35" s="379">
        <f>SUMIFS(BS_RE33!$H$7:$H$874,BS_RE33!$S$7:$S$874,$BC$2,BS_RE33!$N$7:$N$874,I35,BS_RE33!$P$7:$P$874,'30 days CF Table(JPY)'!G35,BS_RE33!$F$7:$F$874,'30 days CF Table(JPY)'!$C$2)</f>
        <v>0</v>
      </c>
      <c r="BD35" s="379">
        <f>SUMIFS(BS_RE33!$H$7:$H$874,BS_RE33!$S$7:$S$874,$BD$2,BS_RE33!$N$7:$N$874,I35,BS_RE33!$P$7:$P$874,'30 days CF Table(JPY)'!G35,BS_RE33!$F$7:$F$874,'30 days CF Table(JPY)'!$C$2)</f>
        <v>0</v>
      </c>
      <c r="BE35" s="379">
        <f>SUMIFS(BS_RE33!$H$7:$H$874,BS_RE33!$S$7:$S$874,$BE$2,BS_RE33!$N$7:$N$874,I35,BS_RE33!$P$7:$P$874,'30 days CF Table(JPY)'!G35,BS_RE33!$F$7:$F$874,'30 days CF Table(JPY)'!$C$2)</f>
        <v>0</v>
      </c>
      <c r="BF35" s="379">
        <f>SUMIFS(BS_RE33!$H$7:$H$874,BS_RE33!$S$7:$S$874,$BF$2,BS_RE33!$N$7:$N$874,I35,BS_RE33!$P$7:$P$874,'30 days CF Table(JPY)'!G35,BS_RE33!$F$7:$F$874,'30 days CF Table(JPY)'!$C$2)</f>
        <v>0</v>
      </c>
      <c r="BG35" s="379">
        <f>SUMIFS(BS_RE33!$H$7:$H$874,BS_RE33!$S$7:$S$874,$BG$2,BS_RE33!$N$7:$N$874,I35,BS_RE33!$P$7:$P$874,'30 days CF Table(JPY)'!G35,BS_RE33!$F$7:$F$874,'30 days CF Table(JPY)'!$C$2)</f>
        <v>0</v>
      </c>
      <c r="BH35" s="379">
        <f>SUMIFS(BS_RE33!$H$7:$H$874,BS_RE33!$S$7:$S$874,$BH$2,BS_RE33!$N$7:$N$874,I35,BS_RE33!$P$7:$P$874,'30 days CF Table(JPY)'!G35,BS_RE33!$F$7:$F$874,'30 days CF Table(JPY)'!$C$2)</f>
        <v>0</v>
      </c>
      <c r="BI35" s="379">
        <f>SUMIFS(BS_RE33!$H$7:$H$874,BS_RE33!$S$7:$S$874,$BI$2,BS_RE33!$N$7:$N$874,I35,BS_RE33!$P$7:$P$874,'30 days CF Table(JPY)'!G35,BS_RE33!$F$7:$F$874,'30 days CF Table(JPY)'!$C$2)</f>
        <v>0</v>
      </c>
      <c r="BJ35" s="379">
        <f>SUMIFS(BS_RE33!$H$7:$H$874,BS_RE33!$S$7:$S$874,$BJ$2,BS_RE33!$N$7:$N$874,I35,BS_RE33!$P$7:$P$874,'30 days CF Table(JPY)'!G35,BS_RE33!$F$7:$F$874,'30 days CF Table(JPY)'!$C$2)</f>
        <v>0</v>
      </c>
      <c r="BK35" s="379">
        <f>SUMIFS(BS_RE33!$H$7:$H$874,BS_RE33!$S$7:$S$874,$BK$2,BS_RE33!$N$7:$N$874,I35,BS_RE33!$P$7:$P$874,'30 days CF Table(JPY)'!G35,BS_RE33!$F$7:$F$874,'30 days CF Table(JPY)'!$C$2)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Table(JPY)'!G36,BS_RE33!$F$7:$F$874,'30 days CF Table(JPY)'!$C$2)</f>
        <v>0</v>
      </c>
      <c r="M36" s="337">
        <f>SUMIFS(BS_RE33!$H$7:$H$874,BS_RE33!$S$7:$S$874,$M$2,BS_RE33!$N$7:$N$874,I36,BS_RE33!$P$7:$P$874,'30 days CF Table(JPY)'!G36,BS_RE33!$F$7:$F$874,'30 days CF Table(JPY)'!$C$2)</f>
        <v>0</v>
      </c>
      <c r="N36" s="337">
        <f>SUMIFS(BS_RE33!$H$7:$H$874,BS_RE33!$S$7:$S$874,$N$2,BS_RE33!$N$7:$N$874,I36,BS_RE33!$P$7:$P$874,'30 days CF Table(JPY)'!G36,BS_RE33!$F$7:$F$874,'30 days CF Table(JPY)'!$C$2)</f>
        <v>0</v>
      </c>
      <c r="O36" s="337">
        <f>SUMIFS(BS_RE33!$H$7:$H$874,BS_RE33!$S$7:$S$874,$O$2,BS_RE33!$N$7:$N$874,I36,BS_RE33!$P$7:$P$874,'30 days CF Table(JPY)'!G36,BS_RE33!$F$7:$F$874,'30 days CF Table(JPY)'!$C$2)</f>
        <v>0</v>
      </c>
      <c r="P36" s="337">
        <f>SUMIFS(BS_RE33!$H$7:$H$874,BS_RE33!$S$7:$S$874,$P$2,BS_RE33!$N$7:$N$874,I36,BS_RE33!$P$7:$P$874,'30 days CF Table(JPY)'!G36,BS_RE33!$F$7:$F$874,'30 days CF Table(JPY)'!$C$2)</f>
        <v>0</v>
      </c>
      <c r="Q36" s="337">
        <f>SUMIFS(BS_RE33!$H$7:$H$874,BS_RE33!$S$7:$S$874,$Q$2,BS_RE33!$N$7:$N$874,I36,BS_RE33!$P$7:$P$874,'30 days CF Table(JPY)'!G36,BS_RE33!$F$7:$F$874,'30 days CF Table(JPY)'!$C$2)</f>
        <v>0</v>
      </c>
      <c r="R36" s="337">
        <f>SUMIFS(BS_RE33!$H$7:$H$874,BS_RE33!$S$7:$S$874,$R$2,BS_RE33!$N$7:$N$874,I36,BS_RE33!$P$7:$P$874,'30 days CF Table(JPY)'!G36,BS_RE33!$F$7:$F$874,'30 days CF Table(JPY)'!$C$2)</f>
        <v>0</v>
      </c>
      <c r="S36" s="337">
        <f>SUMIFS(BS_RE33!$H$7:$H$874,BS_RE33!$S$7:$S$874,$S$2,BS_RE33!$N$7:$N$874,I36,BS_RE33!$P$7:$P$874,'30 days CF Table(JPY)'!G36,BS_RE33!$F$7:$F$874,'30 days CF Table(JPY)'!$C$2)</f>
        <v>0</v>
      </c>
      <c r="T36" s="337">
        <f>SUMIFS(BS_RE33!$H$7:$H$874,BS_RE33!$S$7:$S$874,$T$2,BS_RE33!$N$7:$N$874,I36,BS_RE33!$P$7:$P$874,'30 days CF Table(JPY)'!G36,BS_RE33!$F$7:$F$874,'30 days CF Table(JPY)'!$C$2)</f>
        <v>0</v>
      </c>
      <c r="U36" s="337">
        <f>SUMIFS(BS_RE33!$H$7:$H$874,BS_RE33!$S$7:$S$874,$U$2,BS_RE33!$N$7:$N$874,I36,BS_RE33!$P$7:$P$874,'30 days CF Table(JPY)'!G36,BS_RE33!$F$7:$F$874,'30 days CF Table(JPY)'!$C$2)</f>
        <v>0</v>
      </c>
      <c r="V36" s="337">
        <f>SUMIFS(BS_RE33!$H$7:$H$874,BS_RE33!$S$7:$S$874,$V$2,BS_RE33!$N$7:$N$874,I36,BS_RE33!$P$7:$P$874,'30 days CF Table(JPY)'!G36,BS_RE33!$F$7:$F$874,'30 days CF Table(JPY)'!$C$2)</f>
        <v>0</v>
      </c>
      <c r="W36" s="337">
        <f>SUMIFS(BS_RE33!$H$7:$H$874,BS_RE33!$S$7:$S$874,$W$2,BS_RE33!$N$7:$N$874,I36,BS_RE33!$P$7:$P$874,'30 days CF Table(JPY)'!G36,BS_RE33!$F$7:$F$874,'30 days CF Table(JPY)'!$C$2)</f>
        <v>0</v>
      </c>
      <c r="X36" s="337">
        <f>SUMIFS(BS_RE33!$H$7:$H$874,BS_RE33!$S$7:$S$874,$X$2,BS_RE33!$N$7:$N$874,I36,BS_RE33!$P$7:$P$874,'30 days CF Table(JPY)'!G36,BS_RE33!$F$7:$F$874,'30 days CF Table(JPY)'!$C$2)</f>
        <v>0</v>
      </c>
      <c r="Y36" s="337">
        <f>SUMIFS(BS_RE33!$H$7:$H$874,BS_RE33!$S$7:$S$874,$Y$2,BS_RE33!$N$7:$N$874,I36,BS_RE33!$P$7:$P$874,'30 days CF Table(JPY)'!G36,BS_RE33!$F$7:$F$874,'30 days CF Table(JPY)'!$C$2)</f>
        <v>0</v>
      </c>
      <c r="Z36" s="337">
        <f>SUMIFS(BS_RE33!$H$7:$H$874,BS_RE33!$S$7:$S$874,$Z$2,BS_RE33!$N$7:$N$874,I36,BS_RE33!$P$7:$P$874,'30 days CF Table(JPY)'!G36,BS_RE33!$F$7:$F$874,'30 days CF Table(JPY)'!$C$2)</f>
        <v>0</v>
      </c>
      <c r="AA36" s="337">
        <f>SUMIFS(BS_RE33!$H$7:$H$874,BS_RE33!$S$7:$S$874,$AA$2,BS_RE33!$N$7:$N$874,I36,BS_RE33!$P$7:$P$874,'30 days CF Table(JPY)'!G36,BS_RE33!$F$7:$F$874,'30 days CF Table(JPY)'!$C$2)</f>
        <v>0</v>
      </c>
      <c r="AB36" s="337">
        <f>SUMIFS(BS_RE33!$H$7:$H$874,BS_RE33!$S$7:$S$874,$AB$2,BS_RE33!$N$7:$N$874,I36,BS_RE33!$P$7:$P$874,'30 days CF Table(JPY)'!G36,BS_RE33!$F$7:$F$874,'30 days CF Table(JPY)'!$C$2)</f>
        <v>0</v>
      </c>
      <c r="AC36" s="337">
        <f>SUMIFS(BS_RE33!$H$7:$H$874,BS_RE33!$S$7:$S$874,$AC$2,BS_RE33!$N$7:$N$874,I36,BS_RE33!$P$7:$P$874,'30 days CF Table(JPY)'!G36,BS_RE33!$F$7:$F$874,'30 days CF Table(JPY)'!$C$2)</f>
        <v>0</v>
      </c>
      <c r="AD36" s="337">
        <f>SUMIFS(BS_RE33!$H$7:$H$874,BS_RE33!$S$7:$S$874,$AD$2,BS_RE33!$N$7:$N$874,I36,BS_RE33!$P$7:$P$874,'30 days CF Table(JPY)'!G36,BS_RE33!$F$7:$F$874,'30 days CF Table(JPY)'!$C$2)</f>
        <v>0</v>
      </c>
      <c r="AE36" s="337">
        <f>SUMIFS(BS_RE33!$H$7:$H$874,BS_RE33!$S$7:$S$874,$AE$2,BS_RE33!$N$7:$N$874,I36,BS_RE33!$P$7:$P$874,'30 days CF Table(JPY)'!G36,BS_RE33!$F$7:$F$874,'30 days CF Table(JPY)'!$C$2)</f>
        <v>0</v>
      </c>
      <c r="AF36" s="337">
        <f>SUMIFS(BS_RE33!$H$7:$H$874,BS_RE33!$S$7:$S$874,$AF$2,BS_RE33!$N$7:$N$874,I36,BS_RE33!$P$7:$P$874,'30 days CF Table(JPY)'!G36,BS_RE33!$F$7:$F$874,'30 days CF Table(JPY)'!$C$2)</f>
        <v>0</v>
      </c>
      <c r="AG36" s="337">
        <f>SUMIFS(BS_RE33!$H$7:$H$874,BS_RE33!$S$7:$S$874,$AG$2,BS_RE33!$N$7:$N$874,I36,BS_RE33!$P$7:$P$874,'30 days CF Table(JPY)'!G36,BS_RE33!$F$7:$F$874,'30 days CF Table(JPY)'!$C$2)</f>
        <v>0</v>
      </c>
      <c r="AH36" s="337">
        <f>SUMIFS(BS_RE33!$H$7:$H$874,BS_RE33!$S$7:$S$874,$AH$2,BS_RE33!$N$7:$N$874,I36,BS_RE33!$P$7:$P$874,'30 days CF Table(JPY)'!G36,BS_RE33!$F$7:$F$874,'30 days CF Table(JPY)'!$C$2)</f>
        <v>0</v>
      </c>
      <c r="AI36" s="337">
        <f>SUMIFS(BS_RE33!$H$7:$H$874,BS_RE33!$S$7:$S$874,$AI$2,BS_RE33!$N$7:$N$874,I36,BS_RE33!$P$7:$P$874,'30 days CF Table(JPY)'!G36,BS_RE33!$F$7:$F$874,'30 days CF Table(JPY)'!$C$2)</f>
        <v>0</v>
      </c>
      <c r="AJ36" s="337">
        <f>SUMIFS(BS_RE33!$H$7:$H$874,BS_RE33!$S$7:$S$874,$AJ$2,BS_RE33!$N$7:$N$874,I36,BS_RE33!$P$7:$P$874,'30 days CF Table(JPY)'!G36,BS_RE33!$F$7:$F$874,'30 days CF Table(JPY)'!$C$2)</f>
        <v>0</v>
      </c>
      <c r="AK36" s="337">
        <f>SUMIFS(BS_RE33!$H$7:$H$874,BS_RE33!$S$7:$S$874,$AK$2,BS_RE33!$N$7:$N$874,I36,BS_RE33!$P$7:$P$874,'30 days CF Table(JPY)'!G36,BS_RE33!$F$7:$F$874,'30 days CF Table(JPY)'!$C$2)</f>
        <v>0</v>
      </c>
      <c r="AL36" s="337">
        <f>SUMIFS(BS_RE33!$H$7:$H$874,BS_RE33!$S$7:$S$874,$AL$2,BS_RE33!$N$7:$N$874,I36,BS_RE33!$P$7:$P$874,'30 days CF Table(JPY)'!G36,BS_RE33!$F$7:$F$874,'30 days CF Table(JPY)'!$C$2)</f>
        <v>0</v>
      </c>
      <c r="AM36" s="337">
        <f>SUMIFS(BS_RE33!$H$7:$H$874,BS_RE33!$S$7:$S$874,$AM$2,BS_RE33!$N$7:$N$874,I36,BS_RE33!$P$7:$P$874,'30 days CF Table(JPY)'!G36,BS_RE33!$F$7:$F$874,'30 days CF Table(JPY)'!$C$2)</f>
        <v>0</v>
      </c>
      <c r="AN36" s="337">
        <f>SUMIFS(BS_RE33!$H$7:$H$874,BS_RE33!$S$7:$S$874,$AN$2,BS_RE33!$N$7:$N$874,I36,BS_RE33!$P$7:$P$874,'30 days CF Table(JPY)'!G36,BS_RE33!$F$7:$F$874,'30 days CF Table(JPY)'!$C$2)</f>
        <v>0</v>
      </c>
      <c r="AO36" s="337">
        <f>SUMIFS(BS_RE33!$H$7:$H$874,BS_RE33!$S$7:$S$874,$AO$2,BS_RE33!$N$7:$N$874,I36,BS_RE33!$P$7:$P$874,'30 days CF Table(JPY)'!G36,BS_RE33!$F$7:$F$874,'30 days CF Table(JPY)'!$C$2)</f>
        <v>0</v>
      </c>
      <c r="AP36" s="338">
        <f>SUMIFS(BS_RE33!$H$7:$H$874,BS_RE33!$S$7:$S$874,$AP$2,BS_RE33!$N$7:$N$874,I36,BS_RE33!$P$7:$P$874,'30 days CF Table(JPY)'!G36,BS_RE33!$F$7:$F$874,'30 days CF Table(JPY)'!$C$2)</f>
        <v>0</v>
      </c>
      <c r="AR36" s="379">
        <f>SUMIFS(BS_RE33!$H$7:$H$874,BS_RE33!$S$7:$S$874,$AR$2,BS_RE33!$N$7:$N$874,I36,BS_RE33!$P$7:$P$874,'30 days CF Table(JPY)'!G36,BS_RE33!$F$7:$F$874,'30 days CF Table(JPY)'!$C$2)</f>
        <v>0</v>
      </c>
      <c r="AS36" s="379">
        <f>SUMIFS(BS_RE33!$H$7:$H$874,BS_RE33!$S$7:$S$874,$AS$2,BS_RE33!$N$7:$N$874,I36,BS_RE33!$P$7:$P$874,'30 days CF Table(JPY)'!G36,BS_RE33!$F$7:$F$874,'30 days CF Table(JPY)'!$C$2)</f>
        <v>0</v>
      </c>
      <c r="AT36" s="379">
        <f>SUMIFS(BS_RE33!$H$7:$H$874,BS_RE33!$S$7:$S$874,$AT$2,BS_RE33!$N$7:$N$874,I36,BS_RE33!$P$7:$P$874,'30 days CF Table(JPY)'!G36,BS_RE33!$F$7:$F$874,'30 days CF Table(JPY)'!$C$2)</f>
        <v>0</v>
      </c>
      <c r="AU36" s="379">
        <f>SUMIFS(BS_RE33!$H$7:$H$874,BS_RE33!$S$7:$S$874,$AU$2,BS_RE33!$N$7:$N$874,I36,BS_RE33!$P$7:$P$874,'30 days CF Table(JPY)'!G36,BS_RE33!$F$7:$F$874,'30 days CF Table(JPY)'!$C$2)</f>
        <v>0</v>
      </c>
      <c r="AV36" s="379">
        <f>SUMIFS(BS_RE33!$H$7:$H$874,BS_RE33!$S$7:$S$874,$AV$2,BS_RE33!$N$7:$N$874,I36,BS_RE33!$P$7:$P$874,'30 days CF Table(JPY)'!G36,BS_RE33!$F$7:$F$874,'30 days CF Table(JPY)'!$C$2)</f>
        <v>0</v>
      </c>
      <c r="AW36" s="379">
        <f>SUMIFS(BS_RE33!$H$7:$H$874,BS_RE33!$S$7:$S$874,$AW$2,BS_RE33!$N$7:$N$874,I36,BS_RE33!$P$7:$P$874,'30 days CF Table(JPY)'!G36,BS_RE33!$F$7:$F$874,'30 days CF Table(JPY)'!$C$2)</f>
        <v>0</v>
      </c>
      <c r="AX36" s="379">
        <f>SUMIFS(BS_RE33!$H$7:$H$874,BS_RE33!$S$7:$S$874,$AX$2,BS_RE33!$N$7:$N$874,I36,BS_RE33!$P$7:$P$874,'30 days CF Table(JPY)'!G36,BS_RE33!$F$7:$F$874,'30 days CF Table(JPY)'!$C$2)</f>
        <v>0</v>
      </c>
      <c r="AY36" s="379">
        <f>SUMIFS(BS_RE33!$H$7:$H$874,BS_RE33!$S$7:$S$874,$AY$2,BS_RE33!$N$7:$N$874,I36,BS_RE33!$P$7:$P$874,'30 days CF Table(JPY)'!G36,BS_RE33!$F$7:$F$874,'30 days CF Table(JPY)'!$C$2)</f>
        <v>0</v>
      </c>
      <c r="AZ36" s="379">
        <f>SUMIFS(BS_RE33!$H$7:$H$874,BS_RE33!$S$7:$S$874,$AZ$2,BS_RE33!$N$7:$N$874,I36,BS_RE33!$P$7:$P$874,'30 days CF Table(JPY)'!G36,BS_RE33!$F$7:$F$874,'30 days CF Table(JPY)'!$C$2)</f>
        <v>0</v>
      </c>
      <c r="BA36" s="379">
        <f>SUMIFS(BS_RE33!$H$7:$H$874,BS_RE33!$S$7:$S$874,$BA$2,BS_RE33!$N$7:$N$874,I36,BS_RE33!$P$7:$P$874,'30 days CF Table(JPY)'!G36,BS_RE33!$F$7:$F$874,'30 days CF Table(JPY)'!$C$2)</f>
        <v>0</v>
      </c>
      <c r="BB36" s="379">
        <f>SUMIFS(BS_RE33!$H$7:$H$874,BS_RE33!$S$7:$S$874,$BB$2,BS_RE33!$N$7:$N$874,I36,BS_RE33!$P$7:$P$874,'30 days CF Table(JPY)'!G36,BS_RE33!$F$7:$F$874,'30 days CF Table(JPY)'!$C$2)</f>
        <v>0</v>
      </c>
      <c r="BC36" s="379">
        <f>SUMIFS(BS_RE33!$H$7:$H$874,BS_RE33!$S$7:$S$874,$BC$2,BS_RE33!$N$7:$N$874,I36,BS_RE33!$P$7:$P$874,'30 days CF Table(JPY)'!G36,BS_RE33!$F$7:$F$874,'30 days CF Table(JPY)'!$C$2)</f>
        <v>0</v>
      </c>
      <c r="BD36" s="379">
        <f>SUMIFS(BS_RE33!$H$7:$H$874,BS_RE33!$S$7:$S$874,$BD$2,BS_RE33!$N$7:$N$874,I36,BS_RE33!$P$7:$P$874,'30 days CF Table(JPY)'!G36,BS_RE33!$F$7:$F$874,'30 days CF Table(JPY)'!$C$2)</f>
        <v>0</v>
      </c>
      <c r="BE36" s="379">
        <f>SUMIFS(BS_RE33!$H$7:$H$874,BS_RE33!$S$7:$S$874,$BE$2,BS_RE33!$N$7:$N$874,I36,BS_RE33!$P$7:$P$874,'30 days CF Table(JPY)'!G36,BS_RE33!$F$7:$F$874,'30 days CF Table(JPY)'!$C$2)</f>
        <v>0</v>
      </c>
      <c r="BF36" s="379">
        <f>SUMIFS(BS_RE33!$H$7:$H$874,BS_RE33!$S$7:$S$874,$BF$2,BS_RE33!$N$7:$N$874,I36,BS_RE33!$P$7:$P$874,'30 days CF Table(JPY)'!G36,BS_RE33!$F$7:$F$874,'30 days CF Table(JPY)'!$C$2)</f>
        <v>0</v>
      </c>
      <c r="BG36" s="379">
        <f>SUMIFS(BS_RE33!$H$7:$H$874,BS_RE33!$S$7:$S$874,$BG$2,BS_RE33!$N$7:$N$874,I36,BS_RE33!$P$7:$P$874,'30 days CF Table(JPY)'!G36,BS_RE33!$F$7:$F$874,'30 days CF Table(JPY)'!$C$2)</f>
        <v>0</v>
      </c>
      <c r="BH36" s="379">
        <f>SUMIFS(BS_RE33!$H$7:$H$874,BS_RE33!$S$7:$S$874,$BH$2,BS_RE33!$N$7:$N$874,I36,BS_RE33!$P$7:$P$874,'30 days CF Table(JPY)'!G36,BS_RE33!$F$7:$F$874,'30 days CF Table(JPY)'!$C$2)</f>
        <v>0</v>
      </c>
      <c r="BI36" s="379">
        <f>SUMIFS(BS_RE33!$H$7:$H$874,BS_RE33!$S$7:$S$874,$BI$2,BS_RE33!$N$7:$N$874,I36,BS_RE33!$P$7:$P$874,'30 days CF Table(JPY)'!G36,BS_RE33!$F$7:$F$874,'30 days CF Table(JPY)'!$C$2)</f>
        <v>0</v>
      </c>
      <c r="BJ36" s="379">
        <f>SUMIFS(BS_RE33!$H$7:$H$874,BS_RE33!$S$7:$S$874,$BJ$2,BS_RE33!$N$7:$N$874,I36,BS_RE33!$P$7:$P$874,'30 days CF Table(JPY)'!G36,BS_RE33!$F$7:$F$874,'30 days CF Table(JPY)'!$C$2)</f>
        <v>0</v>
      </c>
      <c r="BK36" s="379">
        <f>SUMIFS(BS_RE33!$H$7:$H$874,BS_RE33!$S$7:$S$874,$BK$2,BS_RE33!$N$7:$N$874,I36,BS_RE33!$P$7:$P$874,'30 days CF Table(JPY)'!G36,BS_RE33!$F$7:$F$874,'30 days CF Table(JPY)'!$C$2)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Table(JPY)'!G37,BS_RE33!$F$7:$F$874,'30 days CF Table(JPY)'!$C$2)</f>
        <v>0</v>
      </c>
      <c r="M37" s="337">
        <f>SUMIFS(BS_RE33!$H$7:$H$874,BS_RE33!$S$7:$S$874,$M$2,BS_RE33!$N$7:$N$874,I37,BS_RE33!$P$7:$P$874,'30 days CF Table(JPY)'!G37,BS_RE33!$F$7:$F$874,'30 days CF Table(JPY)'!$C$2)</f>
        <v>0</v>
      </c>
      <c r="N37" s="337">
        <f>SUMIFS(BS_RE33!$H$7:$H$874,BS_RE33!$S$7:$S$874,$N$2,BS_RE33!$N$7:$N$874,I37,BS_RE33!$P$7:$P$874,'30 days CF Table(JPY)'!G37,BS_RE33!$F$7:$F$874,'30 days CF Table(JPY)'!$C$2)</f>
        <v>0</v>
      </c>
      <c r="O37" s="337">
        <f>SUMIFS(BS_RE33!$H$7:$H$874,BS_RE33!$S$7:$S$874,$O$2,BS_RE33!$N$7:$N$874,I37,BS_RE33!$P$7:$P$874,'30 days CF Table(JPY)'!G37,BS_RE33!$F$7:$F$874,'30 days CF Table(JPY)'!$C$2)</f>
        <v>0</v>
      </c>
      <c r="P37" s="337">
        <f>SUMIFS(BS_RE33!$H$7:$H$874,BS_RE33!$S$7:$S$874,$P$2,BS_RE33!$N$7:$N$874,I37,BS_RE33!$P$7:$P$874,'30 days CF Table(JPY)'!G37,BS_RE33!$F$7:$F$874,'30 days CF Table(JPY)'!$C$2)</f>
        <v>0</v>
      </c>
      <c r="Q37" s="337">
        <f>SUMIFS(BS_RE33!$H$7:$H$874,BS_RE33!$S$7:$S$874,$Q$2,BS_RE33!$N$7:$N$874,I37,BS_RE33!$P$7:$P$874,'30 days CF Table(JPY)'!G37,BS_RE33!$F$7:$F$874,'30 days CF Table(JPY)'!$C$2)</f>
        <v>0</v>
      </c>
      <c r="R37" s="337">
        <f>SUMIFS(BS_RE33!$H$7:$H$874,BS_RE33!$S$7:$S$874,$R$2,BS_RE33!$N$7:$N$874,I37,BS_RE33!$P$7:$P$874,'30 days CF Table(JPY)'!G37,BS_RE33!$F$7:$F$874,'30 days CF Table(JPY)'!$C$2)</f>
        <v>0</v>
      </c>
      <c r="S37" s="337">
        <f>SUMIFS(BS_RE33!$H$7:$H$874,BS_RE33!$S$7:$S$874,$S$2,BS_RE33!$N$7:$N$874,I37,BS_RE33!$P$7:$P$874,'30 days CF Table(JPY)'!G37,BS_RE33!$F$7:$F$874,'30 days CF Table(JPY)'!$C$2)</f>
        <v>0</v>
      </c>
      <c r="T37" s="337">
        <f>SUMIFS(BS_RE33!$H$7:$H$874,BS_RE33!$S$7:$S$874,$T$2,BS_RE33!$N$7:$N$874,I37,BS_RE33!$P$7:$P$874,'30 days CF Table(JPY)'!G37,BS_RE33!$F$7:$F$874,'30 days CF Table(JPY)'!$C$2)</f>
        <v>0</v>
      </c>
      <c r="U37" s="337">
        <f>SUMIFS(BS_RE33!$H$7:$H$874,BS_RE33!$S$7:$S$874,$U$2,BS_RE33!$N$7:$N$874,I37,BS_RE33!$P$7:$P$874,'30 days CF Table(JPY)'!G37,BS_RE33!$F$7:$F$874,'30 days CF Table(JPY)'!$C$2)</f>
        <v>0</v>
      </c>
      <c r="V37" s="337">
        <f>SUMIFS(BS_RE33!$H$7:$H$874,BS_RE33!$S$7:$S$874,$V$2,BS_RE33!$N$7:$N$874,I37,BS_RE33!$P$7:$P$874,'30 days CF Table(JPY)'!G37,BS_RE33!$F$7:$F$874,'30 days CF Table(JPY)'!$C$2)</f>
        <v>0</v>
      </c>
      <c r="W37" s="337">
        <f>SUMIFS(BS_RE33!$H$7:$H$874,BS_RE33!$S$7:$S$874,$W$2,BS_RE33!$N$7:$N$874,I37,BS_RE33!$P$7:$P$874,'30 days CF Table(JPY)'!G37,BS_RE33!$F$7:$F$874,'30 days CF Table(JPY)'!$C$2)</f>
        <v>0</v>
      </c>
      <c r="X37" s="337">
        <f>SUMIFS(BS_RE33!$H$7:$H$874,BS_RE33!$S$7:$S$874,$X$2,BS_RE33!$N$7:$N$874,I37,BS_RE33!$P$7:$P$874,'30 days CF Table(JPY)'!G37,BS_RE33!$F$7:$F$874,'30 days CF Table(JPY)'!$C$2)</f>
        <v>0</v>
      </c>
      <c r="Y37" s="337">
        <f>SUMIFS(BS_RE33!$H$7:$H$874,BS_RE33!$S$7:$S$874,$Y$2,BS_RE33!$N$7:$N$874,I37,BS_RE33!$P$7:$P$874,'30 days CF Table(JPY)'!G37,BS_RE33!$F$7:$F$874,'30 days CF Table(JPY)'!$C$2)</f>
        <v>0</v>
      </c>
      <c r="Z37" s="337">
        <f>SUMIFS(BS_RE33!$H$7:$H$874,BS_RE33!$S$7:$S$874,$Z$2,BS_RE33!$N$7:$N$874,I37,BS_RE33!$P$7:$P$874,'30 days CF Table(JPY)'!G37,BS_RE33!$F$7:$F$874,'30 days CF Table(JPY)'!$C$2)</f>
        <v>0</v>
      </c>
      <c r="AA37" s="337">
        <f>SUMIFS(BS_RE33!$H$7:$H$874,BS_RE33!$S$7:$S$874,$AA$2,BS_RE33!$N$7:$N$874,I37,BS_RE33!$P$7:$P$874,'30 days CF Table(JPY)'!G37,BS_RE33!$F$7:$F$874,'30 days CF Table(JPY)'!$C$2)</f>
        <v>0</v>
      </c>
      <c r="AB37" s="337">
        <f>SUMIFS(BS_RE33!$H$7:$H$874,BS_RE33!$S$7:$S$874,$AB$2,BS_RE33!$N$7:$N$874,I37,BS_RE33!$P$7:$P$874,'30 days CF Table(JPY)'!G37,BS_RE33!$F$7:$F$874,'30 days CF Table(JPY)'!$C$2)</f>
        <v>0</v>
      </c>
      <c r="AC37" s="337">
        <f>SUMIFS(BS_RE33!$H$7:$H$874,BS_RE33!$S$7:$S$874,$AC$2,BS_RE33!$N$7:$N$874,I37,BS_RE33!$P$7:$P$874,'30 days CF Table(JPY)'!G37,BS_RE33!$F$7:$F$874,'30 days CF Table(JPY)'!$C$2)</f>
        <v>0</v>
      </c>
      <c r="AD37" s="337">
        <f>SUMIFS(BS_RE33!$H$7:$H$874,BS_RE33!$S$7:$S$874,$AD$2,BS_RE33!$N$7:$N$874,I37,BS_RE33!$P$7:$P$874,'30 days CF Table(JPY)'!G37,BS_RE33!$F$7:$F$874,'30 days CF Table(JPY)'!$C$2)</f>
        <v>0</v>
      </c>
      <c r="AE37" s="337">
        <f>SUMIFS(BS_RE33!$H$7:$H$874,BS_RE33!$S$7:$S$874,$AE$2,BS_RE33!$N$7:$N$874,I37,BS_RE33!$P$7:$P$874,'30 days CF Table(JPY)'!G37,BS_RE33!$F$7:$F$874,'30 days CF Table(JPY)'!$C$2)</f>
        <v>0</v>
      </c>
      <c r="AF37" s="337">
        <f>SUMIFS(BS_RE33!$H$7:$H$874,BS_RE33!$S$7:$S$874,$AF$2,BS_RE33!$N$7:$N$874,I37,BS_RE33!$P$7:$P$874,'30 days CF Table(JPY)'!G37,BS_RE33!$F$7:$F$874,'30 days CF Table(JPY)'!$C$2)</f>
        <v>0</v>
      </c>
      <c r="AG37" s="337">
        <f>SUMIFS(BS_RE33!$H$7:$H$874,BS_RE33!$S$7:$S$874,$AG$2,BS_RE33!$N$7:$N$874,I37,BS_RE33!$P$7:$P$874,'30 days CF Table(JPY)'!G37,BS_RE33!$F$7:$F$874,'30 days CF Table(JPY)'!$C$2)</f>
        <v>0</v>
      </c>
      <c r="AH37" s="337">
        <f>SUMIFS(BS_RE33!$H$7:$H$874,BS_RE33!$S$7:$S$874,$AH$2,BS_RE33!$N$7:$N$874,I37,BS_RE33!$P$7:$P$874,'30 days CF Table(JPY)'!G37,BS_RE33!$F$7:$F$874,'30 days CF Table(JPY)'!$C$2)</f>
        <v>0</v>
      </c>
      <c r="AI37" s="337">
        <f>SUMIFS(BS_RE33!$H$7:$H$874,BS_RE33!$S$7:$S$874,$AI$2,BS_RE33!$N$7:$N$874,I37,BS_RE33!$P$7:$P$874,'30 days CF Table(JPY)'!G37,BS_RE33!$F$7:$F$874,'30 days CF Table(JPY)'!$C$2)</f>
        <v>0</v>
      </c>
      <c r="AJ37" s="337">
        <f>SUMIFS(BS_RE33!$H$7:$H$874,BS_RE33!$S$7:$S$874,$AJ$2,BS_RE33!$N$7:$N$874,I37,BS_RE33!$P$7:$P$874,'30 days CF Table(JPY)'!G37,BS_RE33!$F$7:$F$874,'30 days CF Table(JPY)'!$C$2)</f>
        <v>0</v>
      </c>
      <c r="AK37" s="337">
        <f>SUMIFS(BS_RE33!$H$7:$H$874,BS_RE33!$S$7:$S$874,$AK$2,BS_RE33!$N$7:$N$874,I37,BS_RE33!$P$7:$P$874,'30 days CF Table(JPY)'!G37,BS_RE33!$F$7:$F$874,'30 days CF Table(JPY)'!$C$2)</f>
        <v>0</v>
      </c>
      <c r="AL37" s="337">
        <f>SUMIFS(BS_RE33!$H$7:$H$874,BS_RE33!$S$7:$S$874,$AL$2,BS_RE33!$N$7:$N$874,I37,BS_RE33!$P$7:$P$874,'30 days CF Table(JPY)'!G37,BS_RE33!$F$7:$F$874,'30 days CF Table(JPY)'!$C$2)</f>
        <v>0</v>
      </c>
      <c r="AM37" s="337">
        <f>SUMIFS(BS_RE33!$H$7:$H$874,BS_RE33!$S$7:$S$874,$AM$2,BS_RE33!$N$7:$N$874,I37,BS_RE33!$P$7:$P$874,'30 days CF Table(JPY)'!G37,BS_RE33!$F$7:$F$874,'30 days CF Table(JPY)'!$C$2)</f>
        <v>0</v>
      </c>
      <c r="AN37" s="337">
        <f>SUMIFS(BS_RE33!$H$7:$H$874,BS_RE33!$S$7:$S$874,$AN$2,BS_RE33!$N$7:$N$874,I37,BS_RE33!$P$7:$P$874,'30 days CF Table(JPY)'!G37,BS_RE33!$F$7:$F$874,'30 days CF Table(JPY)'!$C$2)</f>
        <v>0</v>
      </c>
      <c r="AO37" s="337">
        <f>SUMIFS(BS_RE33!$H$7:$H$874,BS_RE33!$S$7:$S$874,$AO$2,BS_RE33!$N$7:$N$874,I37,BS_RE33!$P$7:$P$874,'30 days CF Table(JPY)'!G37,BS_RE33!$F$7:$F$874,'30 days CF Table(JPY)'!$C$2)</f>
        <v>0</v>
      </c>
      <c r="AP37" s="338">
        <f>SUMIFS(BS_RE33!$H$7:$H$874,BS_RE33!$S$7:$S$874,$AP$2,BS_RE33!$N$7:$N$874,I37,BS_RE33!$P$7:$P$874,'30 days CF Table(JPY)'!G37,BS_RE33!$F$7:$F$874,'30 days CF Table(JPY)'!$C$2)</f>
        <v>0</v>
      </c>
      <c r="AR37" s="379">
        <f>SUMIFS(BS_RE33!$H$7:$H$874,BS_RE33!$S$7:$S$874,$AR$2,BS_RE33!$N$7:$N$874,I37,BS_RE33!$P$7:$P$874,'30 days CF Table(JPY)'!G37,BS_RE33!$F$7:$F$874,'30 days CF Table(JPY)'!$C$2)</f>
        <v>0</v>
      </c>
      <c r="AS37" s="379">
        <f>SUMIFS(BS_RE33!$H$7:$H$874,BS_RE33!$S$7:$S$874,$AS$2,BS_RE33!$N$7:$N$874,I37,BS_RE33!$P$7:$P$874,'30 days CF Table(JPY)'!G37,BS_RE33!$F$7:$F$874,'30 days CF Table(JPY)'!$C$2)</f>
        <v>0</v>
      </c>
      <c r="AT37" s="379">
        <f>SUMIFS(BS_RE33!$H$7:$H$874,BS_RE33!$S$7:$S$874,$AT$2,BS_RE33!$N$7:$N$874,I37,BS_RE33!$P$7:$P$874,'30 days CF Table(JPY)'!G37,BS_RE33!$F$7:$F$874,'30 days CF Table(JPY)'!$C$2)</f>
        <v>0</v>
      </c>
      <c r="AU37" s="379">
        <f>SUMIFS(BS_RE33!$H$7:$H$874,BS_RE33!$S$7:$S$874,$AU$2,BS_RE33!$N$7:$N$874,I37,BS_RE33!$P$7:$P$874,'30 days CF Table(JPY)'!G37,BS_RE33!$F$7:$F$874,'30 days CF Table(JPY)'!$C$2)</f>
        <v>0</v>
      </c>
      <c r="AV37" s="379">
        <f>SUMIFS(BS_RE33!$H$7:$H$874,BS_RE33!$S$7:$S$874,$AV$2,BS_RE33!$N$7:$N$874,I37,BS_RE33!$P$7:$P$874,'30 days CF Table(JPY)'!G37,BS_RE33!$F$7:$F$874,'30 days CF Table(JPY)'!$C$2)</f>
        <v>0</v>
      </c>
      <c r="AW37" s="379">
        <f>SUMIFS(BS_RE33!$H$7:$H$874,BS_RE33!$S$7:$S$874,$AW$2,BS_RE33!$N$7:$N$874,I37,BS_RE33!$P$7:$P$874,'30 days CF Table(JPY)'!G37,BS_RE33!$F$7:$F$874,'30 days CF Table(JPY)'!$C$2)</f>
        <v>0</v>
      </c>
      <c r="AX37" s="379">
        <f>SUMIFS(BS_RE33!$H$7:$H$874,BS_RE33!$S$7:$S$874,$AX$2,BS_RE33!$N$7:$N$874,I37,BS_RE33!$P$7:$P$874,'30 days CF Table(JPY)'!G37,BS_RE33!$F$7:$F$874,'30 days CF Table(JPY)'!$C$2)</f>
        <v>0</v>
      </c>
      <c r="AY37" s="379">
        <f>SUMIFS(BS_RE33!$H$7:$H$874,BS_RE33!$S$7:$S$874,$AY$2,BS_RE33!$N$7:$N$874,I37,BS_RE33!$P$7:$P$874,'30 days CF Table(JPY)'!G37,BS_RE33!$F$7:$F$874,'30 days CF Table(JPY)'!$C$2)</f>
        <v>0</v>
      </c>
      <c r="AZ37" s="379">
        <f>SUMIFS(BS_RE33!$H$7:$H$874,BS_RE33!$S$7:$S$874,$AZ$2,BS_RE33!$N$7:$N$874,I37,BS_RE33!$P$7:$P$874,'30 days CF Table(JPY)'!G37,BS_RE33!$F$7:$F$874,'30 days CF Table(JPY)'!$C$2)</f>
        <v>0</v>
      </c>
      <c r="BA37" s="379">
        <f>SUMIFS(BS_RE33!$H$7:$H$874,BS_RE33!$S$7:$S$874,$BA$2,BS_RE33!$N$7:$N$874,I37,BS_RE33!$P$7:$P$874,'30 days CF Table(JPY)'!G37,BS_RE33!$F$7:$F$874,'30 days CF Table(JPY)'!$C$2)</f>
        <v>0</v>
      </c>
      <c r="BB37" s="379">
        <f>SUMIFS(BS_RE33!$H$7:$H$874,BS_RE33!$S$7:$S$874,$BB$2,BS_RE33!$N$7:$N$874,I37,BS_RE33!$P$7:$P$874,'30 days CF Table(JPY)'!G37,BS_RE33!$F$7:$F$874,'30 days CF Table(JPY)'!$C$2)</f>
        <v>0</v>
      </c>
      <c r="BC37" s="379">
        <f>SUMIFS(BS_RE33!$H$7:$H$874,BS_RE33!$S$7:$S$874,$BC$2,BS_RE33!$N$7:$N$874,I37,BS_RE33!$P$7:$P$874,'30 days CF Table(JPY)'!G37,BS_RE33!$F$7:$F$874,'30 days CF Table(JPY)'!$C$2)</f>
        <v>0</v>
      </c>
      <c r="BD37" s="379">
        <f>SUMIFS(BS_RE33!$H$7:$H$874,BS_RE33!$S$7:$S$874,$BD$2,BS_RE33!$N$7:$N$874,I37,BS_RE33!$P$7:$P$874,'30 days CF Table(JPY)'!G37,BS_RE33!$F$7:$F$874,'30 days CF Table(JPY)'!$C$2)</f>
        <v>0</v>
      </c>
      <c r="BE37" s="379">
        <f>SUMIFS(BS_RE33!$H$7:$H$874,BS_RE33!$S$7:$S$874,$BE$2,BS_RE33!$N$7:$N$874,I37,BS_RE33!$P$7:$P$874,'30 days CF Table(JPY)'!G37,BS_RE33!$F$7:$F$874,'30 days CF Table(JPY)'!$C$2)</f>
        <v>0</v>
      </c>
      <c r="BF37" s="379">
        <f>SUMIFS(BS_RE33!$H$7:$H$874,BS_RE33!$S$7:$S$874,$BF$2,BS_RE33!$N$7:$N$874,I37,BS_RE33!$P$7:$P$874,'30 days CF Table(JPY)'!G37,BS_RE33!$F$7:$F$874,'30 days CF Table(JPY)'!$C$2)</f>
        <v>0</v>
      </c>
      <c r="BG37" s="379">
        <f>SUMIFS(BS_RE33!$H$7:$H$874,BS_RE33!$S$7:$S$874,$BG$2,BS_RE33!$N$7:$N$874,I37,BS_RE33!$P$7:$P$874,'30 days CF Table(JPY)'!G37,BS_RE33!$F$7:$F$874,'30 days CF Table(JPY)'!$C$2)</f>
        <v>0</v>
      </c>
      <c r="BH37" s="379">
        <f>SUMIFS(BS_RE33!$H$7:$H$874,BS_RE33!$S$7:$S$874,$BH$2,BS_RE33!$N$7:$N$874,I37,BS_RE33!$P$7:$P$874,'30 days CF Table(JPY)'!G37,BS_RE33!$F$7:$F$874,'30 days CF Table(JPY)'!$C$2)</f>
        <v>0</v>
      </c>
      <c r="BI37" s="379">
        <f>SUMIFS(BS_RE33!$H$7:$H$874,BS_RE33!$S$7:$S$874,$BI$2,BS_RE33!$N$7:$N$874,I37,BS_RE33!$P$7:$P$874,'30 days CF Table(JPY)'!G37,BS_RE33!$F$7:$F$874,'30 days CF Table(JPY)'!$C$2)</f>
        <v>0</v>
      </c>
      <c r="BJ37" s="379">
        <f>SUMIFS(BS_RE33!$H$7:$H$874,BS_RE33!$S$7:$S$874,$BJ$2,BS_RE33!$N$7:$N$874,I37,BS_RE33!$P$7:$P$874,'30 days CF Table(JPY)'!G37,BS_RE33!$F$7:$F$874,'30 days CF Table(JPY)'!$C$2)</f>
        <v>0</v>
      </c>
      <c r="BK37" s="379">
        <f>SUMIFS(BS_RE33!$H$7:$H$874,BS_RE33!$S$7:$S$874,$BK$2,BS_RE33!$N$7:$N$874,I37,BS_RE33!$P$7:$P$874,'30 days CF Table(JPY)'!G37,BS_RE33!$F$7:$F$874,'30 days CF Table(JPY)'!$C$2)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Table(JPY)'!G38,BS_RE33!$F$7:$F$874,'30 days CF Table(JPY)'!$C$2)</f>
        <v>0</v>
      </c>
      <c r="M38" s="337">
        <f>SUMIFS(BS_RE33!$H$7:$H$874,BS_RE33!$S$7:$S$874,$M$2,BS_RE33!$N$7:$N$874,I38,BS_RE33!$P$7:$P$874,'30 days CF Table(JPY)'!G38,BS_RE33!$F$7:$F$874,'30 days CF Table(JPY)'!$C$2)</f>
        <v>0</v>
      </c>
      <c r="N38" s="337">
        <f>SUMIFS(BS_RE33!$H$7:$H$874,BS_RE33!$S$7:$S$874,$N$2,BS_RE33!$N$7:$N$874,I38,BS_RE33!$P$7:$P$874,'30 days CF Table(JPY)'!G38,BS_RE33!$F$7:$F$874,'30 days CF Table(JPY)'!$C$2)</f>
        <v>0</v>
      </c>
      <c r="O38" s="337">
        <f>SUMIFS(BS_RE33!$H$7:$H$874,BS_RE33!$S$7:$S$874,$O$2,BS_RE33!$N$7:$N$874,I38,BS_RE33!$P$7:$P$874,'30 days CF Table(JPY)'!G38,BS_RE33!$F$7:$F$874,'30 days CF Table(JPY)'!$C$2)</f>
        <v>0</v>
      </c>
      <c r="P38" s="337">
        <f>SUMIFS(BS_RE33!$H$7:$H$874,BS_RE33!$S$7:$S$874,$P$2,BS_RE33!$N$7:$N$874,I38,BS_RE33!$P$7:$P$874,'30 days CF Table(JPY)'!G38,BS_RE33!$F$7:$F$874,'30 days CF Table(JPY)'!$C$2)</f>
        <v>0</v>
      </c>
      <c r="Q38" s="337">
        <f>SUMIFS(BS_RE33!$H$7:$H$874,BS_RE33!$S$7:$S$874,$Q$2,BS_RE33!$N$7:$N$874,I38,BS_RE33!$P$7:$P$874,'30 days CF Table(JPY)'!G38,BS_RE33!$F$7:$F$874,'30 days CF Table(JPY)'!$C$2)</f>
        <v>0</v>
      </c>
      <c r="R38" s="337">
        <f>SUMIFS(BS_RE33!$H$7:$H$874,BS_RE33!$S$7:$S$874,$R$2,BS_RE33!$N$7:$N$874,I38,BS_RE33!$P$7:$P$874,'30 days CF Table(JPY)'!G38,BS_RE33!$F$7:$F$874,'30 days CF Table(JPY)'!$C$2)</f>
        <v>0</v>
      </c>
      <c r="S38" s="337">
        <f>SUMIFS(BS_RE33!$H$7:$H$874,BS_RE33!$S$7:$S$874,$S$2,BS_RE33!$N$7:$N$874,I38,BS_RE33!$P$7:$P$874,'30 days CF Table(JPY)'!G38,BS_RE33!$F$7:$F$874,'30 days CF Table(JPY)'!$C$2)</f>
        <v>0</v>
      </c>
      <c r="T38" s="337">
        <f>SUMIFS(BS_RE33!$H$7:$H$874,BS_RE33!$S$7:$S$874,$T$2,BS_RE33!$N$7:$N$874,I38,BS_RE33!$P$7:$P$874,'30 days CF Table(JPY)'!G38,BS_RE33!$F$7:$F$874,'30 days CF Table(JPY)'!$C$2)</f>
        <v>0</v>
      </c>
      <c r="U38" s="337">
        <f>SUMIFS(BS_RE33!$H$7:$H$874,BS_RE33!$S$7:$S$874,$U$2,BS_RE33!$N$7:$N$874,I38,BS_RE33!$P$7:$P$874,'30 days CF Table(JPY)'!G38,BS_RE33!$F$7:$F$874,'30 days CF Table(JPY)'!$C$2)</f>
        <v>0</v>
      </c>
      <c r="V38" s="337">
        <f>SUMIFS(BS_RE33!$H$7:$H$874,BS_RE33!$S$7:$S$874,$V$2,BS_RE33!$N$7:$N$874,I38,BS_RE33!$P$7:$P$874,'30 days CF Table(JPY)'!G38,BS_RE33!$F$7:$F$874,'30 days CF Table(JPY)'!$C$2)</f>
        <v>0</v>
      </c>
      <c r="W38" s="337">
        <f>SUMIFS(BS_RE33!$H$7:$H$874,BS_RE33!$S$7:$S$874,$W$2,BS_RE33!$N$7:$N$874,I38,BS_RE33!$P$7:$P$874,'30 days CF Table(JPY)'!G38,BS_RE33!$F$7:$F$874,'30 days CF Table(JPY)'!$C$2)</f>
        <v>0</v>
      </c>
      <c r="X38" s="337">
        <f>SUMIFS(BS_RE33!$H$7:$H$874,BS_RE33!$S$7:$S$874,$X$2,BS_RE33!$N$7:$N$874,I38,BS_RE33!$P$7:$P$874,'30 days CF Table(JPY)'!G38,BS_RE33!$F$7:$F$874,'30 days CF Table(JPY)'!$C$2)</f>
        <v>0</v>
      </c>
      <c r="Y38" s="337">
        <f>SUMIFS(BS_RE33!$H$7:$H$874,BS_RE33!$S$7:$S$874,$Y$2,BS_RE33!$N$7:$N$874,I38,BS_RE33!$P$7:$P$874,'30 days CF Table(JPY)'!G38,BS_RE33!$F$7:$F$874,'30 days CF Table(JPY)'!$C$2)</f>
        <v>0</v>
      </c>
      <c r="Z38" s="337">
        <f>SUMIFS(BS_RE33!$H$7:$H$874,BS_RE33!$S$7:$S$874,$Z$2,BS_RE33!$N$7:$N$874,I38,BS_RE33!$P$7:$P$874,'30 days CF Table(JPY)'!G38,BS_RE33!$F$7:$F$874,'30 days CF Table(JPY)'!$C$2)</f>
        <v>0</v>
      </c>
      <c r="AA38" s="337">
        <f>SUMIFS(BS_RE33!$H$7:$H$874,BS_RE33!$S$7:$S$874,$AA$2,BS_RE33!$N$7:$N$874,I38,BS_RE33!$P$7:$P$874,'30 days CF Table(JPY)'!G38,BS_RE33!$F$7:$F$874,'30 days CF Table(JPY)'!$C$2)</f>
        <v>0</v>
      </c>
      <c r="AB38" s="337">
        <f>SUMIFS(BS_RE33!$H$7:$H$874,BS_RE33!$S$7:$S$874,$AB$2,BS_RE33!$N$7:$N$874,I38,BS_RE33!$P$7:$P$874,'30 days CF Table(JPY)'!G38,BS_RE33!$F$7:$F$874,'30 days CF Table(JPY)'!$C$2)</f>
        <v>0</v>
      </c>
      <c r="AC38" s="337">
        <f>SUMIFS(BS_RE33!$H$7:$H$874,BS_RE33!$S$7:$S$874,$AC$2,BS_RE33!$N$7:$N$874,I38,BS_RE33!$P$7:$P$874,'30 days CF Table(JPY)'!G38,BS_RE33!$F$7:$F$874,'30 days CF Table(JPY)'!$C$2)</f>
        <v>0</v>
      </c>
      <c r="AD38" s="337">
        <f>SUMIFS(BS_RE33!$H$7:$H$874,BS_RE33!$S$7:$S$874,$AD$2,BS_RE33!$N$7:$N$874,I38,BS_RE33!$P$7:$P$874,'30 days CF Table(JPY)'!G38,BS_RE33!$F$7:$F$874,'30 days CF Table(JPY)'!$C$2)</f>
        <v>0</v>
      </c>
      <c r="AE38" s="337">
        <f>SUMIFS(BS_RE33!$H$7:$H$874,BS_RE33!$S$7:$S$874,$AE$2,BS_RE33!$N$7:$N$874,I38,BS_RE33!$P$7:$P$874,'30 days CF Table(JPY)'!G38,BS_RE33!$F$7:$F$874,'30 days CF Table(JPY)'!$C$2)</f>
        <v>0</v>
      </c>
      <c r="AF38" s="337">
        <f>SUMIFS(BS_RE33!$H$7:$H$874,BS_RE33!$S$7:$S$874,$AF$2,BS_RE33!$N$7:$N$874,I38,BS_RE33!$P$7:$P$874,'30 days CF Table(JPY)'!G38,BS_RE33!$F$7:$F$874,'30 days CF Table(JPY)'!$C$2)</f>
        <v>0</v>
      </c>
      <c r="AG38" s="337">
        <f>SUMIFS(BS_RE33!$H$7:$H$874,BS_RE33!$S$7:$S$874,$AG$2,BS_RE33!$N$7:$N$874,I38,BS_RE33!$P$7:$P$874,'30 days CF Table(JPY)'!G38,BS_RE33!$F$7:$F$874,'30 days CF Table(JPY)'!$C$2)</f>
        <v>0</v>
      </c>
      <c r="AH38" s="337">
        <f>SUMIFS(BS_RE33!$H$7:$H$874,BS_RE33!$S$7:$S$874,$AH$2,BS_RE33!$N$7:$N$874,I38,BS_RE33!$P$7:$P$874,'30 days CF Table(JPY)'!G38,BS_RE33!$F$7:$F$874,'30 days CF Table(JPY)'!$C$2)</f>
        <v>0</v>
      </c>
      <c r="AI38" s="337">
        <f>SUMIFS(BS_RE33!$H$7:$H$874,BS_RE33!$S$7:$S$874,$AI$2,BS_RE33!$N$7:$N$874,I38,BS_RE33!$P$7:$P$874,'30 days CF Table(JPY)'!G38,BS_RE33!$F$7:$F$874,'30 days CF Table(JPY)'!$C$2)</f>
        <v>0</v>
      </c>
      <c r="AJ38" s="337">
        <f>SUMIFS(BS_RE33!$H$7:$H$874,BS_RE33!$S$7:$S$874,$AJ$2,BS_RE33!$N$7:$N$874,I38,BS_RE33!$P$7:$P$874,'30 days CF Table(JPY)'!G38,BS_RE33!$F$7:$F$874,'30 days CF Table(JPY)'!$C$2)</f>
        <v>0</v>
      </c>
      <c r="AK38" s="337">
        <f>SUMIFS(BS_RE33!$H$7:$H$874,BS_RE33!$S$7:$S$874,$AK$2,BS_RE33!$N$7:$N$874,I38,BS_RE33!$P$7:$P$874,'30 days CF Table(JPY)'!G38,BS_RE33!$F$7:$F$874,'30 days CF Table(JPY)'!$C$2)</f>
        <v>0</v>
      </c>
      <c r="AL38" s="337">
        <f>SUMIFS(BS_RE33!$H$7:$H$874,BS_RE33!$S$7:$S$874,$AL$2,BS_RE33!$N$7:$N$874,I38,BS_RE33!$P$7:$P$874,'30 days CF Table(JPY)'!G38,BS_RE33!$F$7:$F$874,'30 days CF Table(JPY)'!$C$2)</f>
        <v>0</v>
      </c>
      <c r="AM38" s="337">
        <f>SUMIFS(BS_RE33!$H$7:$H$874,BS_RE33!$S$7:$S$874,$AM$2,BS_RE33!$N$7:$N$874,I38,BS_RE33!$P$7:$P$874,'30 days CF Table(JPY)'!G38,BS_RE33!$F$7:$F$874,'30 days CF Table(JPY)'!$C$2)</f>
        <v>0</v>
      </c>
      <c r="AN38" s="337">
        <f>SUMIFS(BS_RE33!$H$7:$H$874,BS_RE33!$S$7:$S$874,$AN$2,BS_RE33!$N$7:$N$874,I38,BS_RE33!$P$7:$P$874,'30 days CF Table(JPY)'!G38,BS_RE33!$F$7:$F$874,'30 days CF Table(JPY)'!$C$2)</f>
        <v>0</v>
      </c>
      <c r="AO38" s="337">
        <f>SUMIFS(BS_RE33!$H$7:$H$874,BS_RE33!$S$7:$S$874,$AO$2,BS_RE33!$N$7:$N$874,I38,BS_RE33!$P$7:$P$874,'30 days CF Table(JPY)'!G38,BS_RE33!$F$7:$F$874,'30 days CF Table(JPY)'!$C$2)</f>
        <v>0</v>
      </c>
      <c r="AP38" s="338">
        <f>SUMIFS(BS_RE33!$H$7:$H$874,BS_RE33!$S$7:$S$874,$AP$2,BS_RE33!$N$7:$N$874,I38,BS_RE33!$P$7:$P$874,'30 days CF Table(JPY)'!G38,BS_RE33!$F$7:$F$874,'30 days CF Table(JPY)'!$C$2)</f>
        <v>0</v>
      </c>
      <c r="AR38" s="379">
        <f>SUMIFS(BS_RE33!$H$7:$H$874,BS_RE33!$S$7:$S$874,$AR$2,BS_RE33!$N$7:$N$874,I38,BS_RE33!$P$7:$P$874,'30 days CF Table(JPY)'!G38,BS_RE33!$F$7:$F$874,'30 days CF Table(JPY)'!$C$2)</f>
        <v>0</v>
      </c>
      <c r="AS38" s="379">
        <f>SUMIFS(BS_RE33!$H$7:$H$874,BS_RE33!$S$7:$S$874,$AS$2,BS_RE33!$N$7:$N$874,I38,BS_RE33!$P$7:$P$874,'30 days CF Table(JPY)'!G38,BS_RE33!$F$7:$F$874,'30 days CF Table(JPY)'!$C$2)</f>
        <v>0</v>
      </c>
      <c r="AT38" s="379">
        <f>SUMIFS(BS_RE33!$H$7:$H$874,BS_RE33!$S$7:$S$874,$AT$2,BS_RE33!$N$7:$N$874,I38,BS_RE33!$P$7:$P$874,'30 days CF Table(JPY)'!G38,BS_RE33!$F$7:$F$874,'30 days CF Table(JPY)'!$C$2)</f>
        <v>0</v>
      </c>
      <c r="AU38" s="379">
        <f>SUMIFS(BS_RE33!$H$7:$H$874,BS_RE33!$S$7:$S$874,$AU$2,BS_RE33!$N$7:$N$874,I38,BS_RE33!$P$7:$P$874,'30 days CF Table(JPY)'!G38,BS_RE33!$F$7:$F$874,'30 days CF Table(JPY)'!$C$2)</f>
        <v>0</v>
      </c>
      <c r="AV38" s="379">
        <f>SUMIFS(BS_RE33!$H$7:$H$874,BS_RE33!$S$7:$S$874,$AV$2,BS_RE33!$N$7:$N$874,I38,BS_RE33!$P$7:$P$874,'30 days CF Table(JPY)'!G38,BS_RE33!$F$7:$F$874,'30 days CF Table(JPY)'!$C$2)</f>
        <v>0</v>
      </c>
      <c r="AW38" s="379">
        <f>SUMIFS(BS_RE33!$H$7:$H$874,BS_RE33!$S$7:$S$874,$AW$2,BS_RE33!$N$7:$N$874,I38,BS_RE33!$P$7:$P$874,'30 days CF Table(JPY)'!G38,BS_RE33!$F$7:$F$874,'30 days CF Table(JPY)'!$C$2)</f>
        <v>0</v>
      </c>
      <c r="AX38" s="379">
        <f>SUMIFS(BS_RE33!$H$7:$H$874,BS_RE33!$S$7:$S$874,$AX$2,BS_RE33!$N$7:$N$874,I38,BS_RE33!$P$7:$P$874,'30 days CF Table(JPY)'!G38,BS_RE33!$F$7:$F$874,'30 days CF Table(JPY)'!$C$2)</f>
        <v>0</v>
      </c>
      <c r="AY38" s="379">
        <f>SUMIFS(BS_RE33!$H$7:$H$874,BS_RE33!$S$7:$S$874,$AY$2,BS_RE33!$N$7:$N$874,I38,BS_RE33!$P$7:$P$874,'30 days CF Table(JPY)'!G38,BS_RE33!$F$7:$F$874,'30 days CF Table(JPY)'!$C$2)</f>
        <v>0</v>
      </c>
      <c r="AZ38" s="379">
        <f>SUMIFS(BS_RE33!$H$7:$H$874,BS_RE33!$S$7:$S$874,$AZ$2,BS_RE33!$N$7:$N$874,I38,BS_RE33!$P$7:$P$874,'30 days CF Table(JPY)'!G38,BS_RE33!$F$7:$F$874,'30 days CF Table(JPY)'!$C$2)</f>
        <v>0</v>
      </c>
      <c r="BA38" s="379">
        <f>SUMIFS(BS_RE33!$H$7:$H$874,BS_RE33!$S$7:$S$874,$BA$2,BS_RE33!$N$7:$N$874,I38,BS_RE33!$P$7:$P$874,'30 days CF Table(JPY)'!G38,BS_RE33!$F$7:$F$874,'30 days CF Table(JPY)'!$C$2)</f>
        <v>0</v>
      </c>
      <c r="BB38" s="379">
        <f>SUMIFS(BS_RE33!$H$7:$H$874,BS_RE33!$S$7:$S$874,$BB$2,BS_RE33!$N$7:$N$874,I38,BS_RE33!$P$7:$P$874,'30 days CF Table(JPY)'!G38,BS_RE33!$F$7:$F$874,'30 days CF Table(JPY)'!$C$2)</f>
        <v>0</v>
      </c>
      <c r="BC38" s="379">
        <f>SUMIFS(BS_RE33!$H$7:$H$874,BS_RE33!$S$7:$S$874,$BC$2,BS_RE33!$N$7:$N$874,I38,BS_RE33!$P$7:$P$874,'30 days CF Table(JPY)'!G38,BS_RE33!$F$7:$F$874,'30 days CF Table(JPY)'!$C$2)</f>
        <v>0</v>
      </c>
      <c r="BD38" s="379">
        <f>SUMIFS(BS_RE33!$H$7:$H$874,BS_RE33!$S$7:$S$874,$BD$2,BS_RE33!$N$7:$N$874,I38,BS_RE33!$P$7:$P$874,'30 days CF Table(JPY)'!G38,BS_RE33!$F$7:$F$874,'30 days CF Table(JPY)'!$C$2)</f>
        <v>0</v>
      </c>
      <c r="BE38" s="379">
        <f>SUMIFS(BS_RE33!$H$7:$H$874,BS_RE33!$S$7:$S$874,$BE$2,BS_RE33!$N$7:$N$874,I38,BS_RE33!$P$7:$P$874,'30 days CF Table(JPY)'!G38,BS_RE33!$F$7:$F$874,'30 days CF Table(JPY)'!$C$2)</f>
        <v>0</v>
      </c>
      <c r="BF38" s="379">
        <f>SUMIFS(BS_RE33!$H$7:$H$874,BS_RE33!$S$7:$S$874,$BF$2,BS_RE33!$N$7:$N$874,I38,BS_RE33!$P$7:$P$874,'30 days CF Table(JPY)'!G38,BS_RE33!$F$7:$F$874,'30 days CF Table(JPY)'!$C$2)</f>
        <v>0</v>
      </c>
      <c r="BG38" s="379">
        <f>SUMIFS(BS_RE33!$H$7:$H$874,BS_RE33!$S$7:$S$874,$BG$2,BS_RE33!$N$7:$N$874,I38,BS_RE33!$P$7:$P$874,'30 days CF Table(JPY)'!G38,BS_RE33!$F$7:$F$874,'30 days CF Table(JPY)'!$C$2)</f>
        <v>0</v>
      </c>
      <c r="BH38" s="379">
        <f>SUMIFS(BS_RE33!$H$7:$H$874,BS_RE33!$S$7:$S$874,$BH$2,BS_RE33!$N$7:$N$874,I38,BS_RE33!$P$7:$P$874,'30 days CF Table(JPY)'!G38,BS_RE33!$F$7:$F$874,'30 days CF Table(JPY)'!$C$2)</f>
        <v>0</v>
      </c>
      <c r="BI38" s="379">
        <f>SUMIFS(BS_RE33!$H$7:$H$874,BS_RE33!$S$7:$S$874,$BI$2,BS_RE33!$N$7:$N$874,I38,BS_RE33!$P$7:$P$874,'30 days CF Table(JPY)'!G38,BS_RE33!$F$7:$F$874,'30 days CF Table(JPY)'!$C$2)</f>
        <v>0</v>
      </c>
      <c r="BJ38" s="379">
        <f>SUMIFS(BS_RE33!$H$7:$H$874,BS_RE33!$S$7:$S$874,$BJ$2,BS_RE33!$N$7:$N$874,I38,BS_RE33!$P$7:$P$874,'30 days CF Table(JPY)'!G38,BS_RE33!$F$7:$F$874,'30 days CF Table(JPY)'!$C$2)</f>
        <v>0</v>
      </c>
      <c r="BK38" s="379">
        <f>SUMIFS(BS_RE33!$H$7:$H$874,BS_RE33!$S$7:$S$874,$BK$2,BS_RE33!$N$7:$N$874,I38,BS_RE33!$P$7:$P$874,'30 days CF Table(JPY)'!G38,BS_RE33!$F$7:$F$874,'30 days CF Table(JPY)'!$C$2)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Table(JPY)'!G39,BS_RE33!$F$7:$F$874,'30 days CF Table(JPY)'!$C$2)</f>
        <v>0</v>
      </c>
      <c r="M39" s="337">
        <f>SUMIFS(BS_RE33!$H$7:$H$874,BS_RE33!$S$7:$S$874,$M$2,BS_RE33!$N$7:$N$874,I39,BS_RE33!$P$7:$P$874,'30 days CF Table(JPY)'!G39,BS_RE33!$F$7:$F$874,'30 days CF Table(JPY)'!$C$2)</f>
        <v>0</v>
      </c>
      <c r="N39" s="337">
        <f>SUMIFS(BS_RE33!$H$7:$H$874,BS_RE33!$S$7:$S$874,$N$2,BS_RE33!$N$7:$N$874,I39,BS_RE33!$P$7:$P$874,'30 days CF Table(JPY)'!G39,BS_RE33!$F$7:$F$874,'30 days CF Table(JPY)'!$C$2)</f>
        <v>0</v>
      </c>
      <c r="O39" s="337">
        <f>SUMIFS(BS_RE33!$H$7:$H$874,BS_RE33!$S$7:$S$874,$O$2,BS_RE33!$N$7:$N$874,I39,BS_RE33!$P$7:$P$874,'30 days CF Table(JPY)'!G39,BS_RE33!$F$7:$F$874,'30 days CF Table(JPY)'!$C$2)</f>
        <v>0</v>
      </c>
      <c r="P39" s="337">
        <f>SUMIFS(BS_RE33!$H$7:$H$874,BS_RE33!$S$7:$S$874,$P$2,BS_RE33!$N$7:$N$874,I39,BS_RE33!$P$7:$P$874,'30 days CF Table(JPY)'!G39,BS_RE33!$F$7:$F$874,'30 days CF Table(JPY)'!$C$2)</f>
        <v>0</v>
      </c>
      <c r="Q39" s="337">
        <f>SUMIFS(BS_RE33!$H$7:$H$874,BS_RE33!$S$7:$S$874,$Q$2,BS_RE33!$N$7:$N$874,I39,BS_RE33!$P$7:$P$874,'30 days CF Table(JPY)'!G39,BS_RE33!$F$7:$F$874,'30 days CF Table(JPY)'!$C$2)</f>
        <v>0</v>
      </c>
      <c r="R39" s="337">
        <f>SUMIFS(BS_RE33!$H$7:$H$874,BS_RE33!$S$7:$S$874,$R$2,BS_RE33!$N$7:$N$874,I39,BS_RE33!$P$7:$P$874,'30 days CF Table(JPY)'!G39,BS_RE33!$F$7:$F$874,'30 days CF Table(JPY)'!$C$2)</f>
        <v>0</v>
      </c>
      <c r="S39" s="337">
        <f>SUMIFS(BS_RE33!$H$7:$H$874,BS_RE33!$S$7:$S$874,$S$2,BS_RE33!$N$7:$N$874,I39,BS_RE33!$P$7:$P$874,'30 days CF Table(JPY)'!G39,BS_RE33!$F$7:$F$874,'30 days CF Table(JPY)'!$C$2)</f>
        <v>0</v>
      </c>
      <c r="T39" s="337">
        <f>SUMIFS(BS_RE33!$H$7:$H$874,BS_RE33!$S$7:$S$874,$T$2,BS_RE33!$N$7:$N$874,I39,BS_RE33!$P$7:$P$874,'30 days CF Table(JPY)'!G39,BS_RE33!$F$7:$F$874,'30 days CF Table(JPY)'!$C$2)</f>
        <v>0</v>
      </c>
      <c r="U39" s="337">
        <f>SUMIFS(BS_RE33!$H$7:$H$874,BS_RE33!$S$7:$S$874,$U$2,BS_RE33!$N$7:$N$874,I39,BS_RE33!$P$7:$P$874,'30 days CF Table(JPY)'!G39,BS_RE33!$F$7:$F$874,'30 days CF Table(JPY)'!$C$2)</f>
        <v>0</v>
      </c>
      <c r="V39" s="337">
        <f>SUMIFS(BS_RE33!$H$7:$H$874,BS_RE33!$S$7:$S$874,$V$2,BS_RE33!$N$7:$N$874,I39,BS_RE33!$P$7:$P$874,'30 days CF Table(JPY)'!G39,BS_RE33!$F$7:$F$874,'30 days CF Table(JPY)'!$C$2)</f>
        <v>0</v>
      </c>
      <c r="W39" s="337">
        <f>SUMIFS(BS_RE33!$H$7:$H$874,BS_RE33!$S$7:$S$874,$W$2,BS_RE33!$N$7:$N$874,I39,BS_RE33!$P$7:$P$874,'30 days CF Table(JPY)'!G39,BS_RE33!$F$7:$F$874,'30 days CF Table(JPY)'!$C$2)</f>
        <v>0</v>
      </c>
      <c r="X39" s="337">
        <f>SUMIFS(BS_RE33!$H$7:$H$874,BS_RE33!$S$7:$S$874,$X$2,BS_RE33!$N$7:$N$874,I39,BS_RE33!$P$7:$P$874,'30 days CF Table(JPY)'!G39,BS_RE33!$F$7:$F$874,'30 days CF Table(JPY)'!$C$2)</f>
        <v>0</v>
      </c>
      <c r="Y39" s="337">
        <f>SUMIFS(BS_RE33!$H$7:$H$874,BS_RE33!$S$7:$S$874,$Y$2,BS_RE33!$N$7:$N$874,I39,BS_RE33!$P$7:$P$874,'30 days CF Table(JPY)'!G39,BS_RE33!$F$7:$F$874,'30 days CF Table(JPY)'!$C$2)</f>
        <v>0</v>
      </c>
      <c r="Z39" s="337">
        <f>SUMIFS(BS_RE33!$H$7:$H$874,BS_RE33!$S$7:$S$874,$Z$2,BS_RE33!$N$7:$N$874,I39,BS_RE33!$P$7:$P$874,'30 days CF Table(JPY)'!G39,BS_RE33!$F$7:$F$874,'30 days CF Table(JPY)'!$C$2)</f>
        <v>0</v>
      </c>
      <c r="AA39" s="337">
        <f>SUMIFS(BS_RE33!$H$7:$H$874,BS_RE33!$S$7:$S$874,$AA$2,BS_RE33!$N$7:$N$874,I39,BS_RE33!$P$7:$P$874,'30 days CF Table(JPY)'!G39,BS_RE33!$F$7:$F$874,'30 days CF Table(JPY)'!$C$2)</f>
        <v>0</v>
      </c>
      <c r="AB39" s="337">
        <f>SUMIFS(BS_RE33!$H$7:$H$874,BS_RE33!$S$7:$S$874,$AB$2,BS_RE33!$N$7:$N$874,I39,BS_RE33!$P$7:$P$874,'30 days CF Table(JPY)'!G39,BS_RE33!$F$7:$F$874,'30 days CF Table(JPY)'!$C$2)</f>
        <v>0</v>
      </c>
      <c r="AC39" s="337">
        <f>SUMIFS(BS_RE33!$H$7:$H$874,BS_RE33!$S$7:$S$874,$AC$2,BS_RE33!$N$7:$N$874,I39,BS_RE33!$P$7:$P$874,'30 days CF Table(JPY)'!G39,BS_RE33!$F$7:$F$874,'30 days CF Table(JPY)'!$C$2)</f>
        <v>0</v>
      </c>
      <c r="AD39" s="337">
        <f>SUMIFS(BS_RE33!$H$7:$H$874,BS_RE33!$S$7:$S$874,$AD$2,BS_RE33!$N$7:$N$874,I39,BS_RE33!$P$7:$P$874,'30 days CF Table(JPY)'!G39,BS_RE33!$F$7:$F$874,'30 days CF Table(JPY)'!$C$2)</f>
        <v>0</v>
      </c>
      <c r="AE39" s="337">
        <f>SUMIFS(BS_RE33!$H$7:$H$874,BS_RE33!$S$7:$S$874,$AE$2,BS_RE33!$N$7:$N$874,I39,BS_RE33!$P$7:$P$874,'30 days CF Table(JPY)'!G39,BS_RE33!$F$7:$F$874,'30 days CF Table(JPY)'!$C$2)</f>
        <v>0</v>
      </c>
      <c r="AF39" s="337">
        <f>SUMIFS(BS_RE33!$H$7:$H$874,BS_RE33!$S$7:$S$874,$AF$2,BS_RE33!$N$7:$N$874,I39,BS_RE33!$P$7:$P$874,'30 days CF Table(JPY)'!G39,BS_RE33!$F$7:$F$874,'30 days CF Table(JPY)'!$C$2)</f>
        <v>0</v>
      </c>
      <c r="AG39" s="337">
        <f>SUMIFS(BS_RE33!$H$7:$H$874,BS_RE33!$S$7:$S$874,$AG$2,BS_RE33!$N$7:$N$874,I39,BS_RE33!$P$7:$P$874,'30 days CF Table(JPY)'!G39,BS_RE33!$F$7:$F$874,'30 days CF Table(JPY)'!$C$2)</f>
        <v>0</v>
      </c>
      <c r="AH39" s="337">
        <f>SUMIFS(BS_RE33!$H$7:$H$874,BS_RE33!$S$7:$S$874,$AH$2,BS_RE33!$N$7:$N$874,I39,BS_RE33!$P$7:$P$874,'30 days CF Table(JPY)'!G39,BS_RE33!$F$7:$F$874,'30 days CF Table(JPY)'!$C$2)</f>
        <v>0</v>
      </c>
      <c r="AI39" s="337">
        <f>SUMIFS(BS_RE33!$H$7:$H$874,BS_RE33!$S$7:$S$874,$AI$2,BS_RE33!$N$7:$N$874,I39,BS_RE33!$P$7:$P$874,'30 days CF Table(JPY)'!G39,BS_RE33!$F$7:$F$874,'30 days CF Table(JPY)'!$C$2)</f>
        <v>0</v>
      </c>
      <c r="AJ39" s="337">
        <f>SUMIFS(BS_RE33!$H$7:$H$874,BS_RE33!$S$7:$S$874,$AJ$2,BS_RE33!$N$7:$N$874,I39,BS_RE33!$P$7:$P$874,'30 days CF Table(JPY)'!G39,BS_RE33!$F$7:$F$874,'30 days CF Table(JPY)'!$C$2)</f>
        <v>0</v>
      </c>
      <c r="AK39" s="337">
        <f>SUMIFS(BS_RE33!$H$7:$H$874,BS_RE33!$S$7:$S$874,$AK$2,BS_RE33!$N$7:$N$874,I39,BS_RE33!$P$7:$P$874,'30 days CF Table(JPY)'!G39,BS_RE33!$F$7:$F$874,'30 days CF Table(JPY)'!$C$2)</f>
        <v>0</v>
      </c>
      <c r="AL39" s="337">
        <f>SUMIFS(BS_RE33!$H$7:$H$874,BS_RE33!$S$7:$S$874,$AL$2,BS_RE33!$N$7:$N$874,I39,BS_RE33!$P$7:$P$874,'30 days CF Table(JPY)'!G39,BS_RE33!$F$7:$F$874,'30 days CF Table(JPY)'!$C$2)</f>
        <v>0</v>
      </c>
      <c r="AM39" s="337">
        <f>SUMIFS(BS_RE33!$H$7:$H$874,BS_RE33!$S$7:$S$874,$AM$2,BS_RE33!$N$7:$N$874,I39,BS_RE33!$P$7:$P$874,'30 days CF Table(JPY)'!G39,BS_RE33!$F$7:$F$874,'30 days CF Table(JPY)'!$C$2)</f>
        <v>0</v>
      </c>
      <c r="AN39" s="337">
        <f>SUMIFS(BS_RE33!$H$7:$H$874,BS_RE33!$S$7:$S$874,$AN$2,BS_RE33!$N$7:$N$874,I39,BS_RE33!$P$7:$P$874,'30 days CF Table(JPY)'!G39,BS_RE33!$F$7:$F$874,'30 days CF Table(JPY)'!$C$2)</f>
        <v>0</v>
      </c>
      <c r="AO39" s="337">
        <f>SUMIFS(BS_RE33!$H$7:$H$874,BS_RE33!$S$7:$S$874,$AO$2,BS_RE33!$N$7:$N$874,I39,BS_RE33!$P$7:$P$874,'30 days CF Table(JPY)'!G39,BS_RE33!$F$7:$F$874,'30 days CF Table(JPY)'!$C$2)</f>
        <v>0</v>
      </c>
      <c r="AP39" s="338">
        <f>SUMIFS(BS_RE33!$H$7:$H$874,BS_RE33!$S$7:$S$874,$AP$2,BS_RE33!$N$7:$N$874,I39,BS_RE33!$P$7:$P$874,'30 days CF Table(JPY)'!G39,BS_RE33!$F$7:$F$874,'30 days CF Table(JPY)'!$C$2)</f>
        <v>0</v>
      </c>
      <c r="AR39" s="379">
        <f>SUMIFS(BS_RE33!$H$7:$H$874,BS_RE33!$S$7:$S$874,$AR$2,BS_RE33!$N$7:$N$874,I39,BS_RE33!$P$7:$P$874,'30 days CF Table(JPY)'!G39,BS_RE33!$F$7:$F$874,'30 days CF Table(JPY)'!$C$2)</f>
        <v>0</v>
      </c>
      <c r="AS39" s="379">
        <f>SUMIFS(BS_RE33!$H$7:$H$874,BS_RE33!$S$7:$S$874,$AS$2,BS_RE33!$N$7:$N$874,I39,BS_RE33!$P$7:$P$874,'30 days CF Table(JPY)'!G39,BS_RE33!$F$7:$F$874,'30 days CF Table(JPY)'!$C$2)</f>
        <v>0</v>
      </c>
      <c r="AT39" s="379">
        <f>SUMIFS(BS_RE33!$H$7:$H$874,BS_RE33!$S$7:$S$874,$AT$2,BS_RE33!$N$7:$N$874,I39,BS_RE33!$P$7:$P$874,'30 days CF Table(JPY)'!G39,BS_RE33!$F$7:$F$874,'30 days CF Table(JPY)'!$C$2)</f>
        <v>0</v>
      </c>
      <c r="AU39" s="379">
        <f>SUMIFS(BS_RE33!$H$7:$H$874,BS_RE33!$S$7:$S$874,$AU$2,BS_RE33!$N$7:$N$874,I39,BS_RE33!$P$7:$P$874,'30 days CF Table(JPY)'!G39,BS_RE33!$F$7:$F$874,'30 days CF Table(JPY)'!$C$2)</f>
        <v>0</v>
      </c>
      <c r="AV39" s="379">
        <f>SUMIFS(BS_RE33!$H$7:$H$874,BS_RE33!$S$7:$S$874,$AV$2,BS_RE33!$N$7:$N$874,I39,BS_RE33!$P$7:$P$874,'30 days CF Table(JPY)'!G39,BS_RE33!$F$7:$F$874,'30 days CF Table(JPY)'!$C$2)</f>
        <v>0</v>
      </c>
      <c r="AW39" s="379">
        <f>SUMIFS(BS_RE33!$H$7:$H$874,BS_RE33!$S$7:$S$874,$AW$2,BS_RE33!$N$7:$N$874,I39,BS_RE33!$P$7:$P$874,'30 days CF Table(JPY)'!G39,BS_RE33!$F$7:$F$874,'30 days CF Table(JPY)'!$C$2)</f>
        <v>0</v>
      </c>
      <c r="AX39" s="379">
        <f>SUMIFS(BS_RE33!$H$7:$H$874,BS_RE33!$S$7:$S$874,$AX$2,BS_RE33!$N$7:$N$874,I39,BS_RE33!$P$7:$P$874,'30 days CF Table(JPY)'!G39,BS_RE33!$F$7:$F$874,'30 days CF Table(JPY)'!$C$2)</f>
        <v>0</v>
      </c>
      <c r="AY39" s="379">
        <f>SUMIFS(BS_RE33!$H$7:$H$874,BS_RE33!$S$7:$S$874,$AY$2,BS_RE33!$N$7:$N$874,I39,BS_RE33!$P$7:$P$874,'30 days CF Table(JPY)'!G39,BS_RE33!$F$7:$F$874,'30 days CF Table(JPY)'!$C$2)</f>
        <v>0</v>
      </c>
      <c r="AZ39" s="379">
        <f>SUMIFS(BS_RE33!$H$7:$H$874,BS_RE33!$S$7:$S$874,$AZ$2,BS_RE33!$N$7:$N$874,I39,BS_RE33!$P$7:$P$874,'30 days CF Table(JPY)'!G39,BS_RE33!$F$7:$F$874,'30 days CF Table(JPY)'!$C$2)</f>
        <v>0</v>
      </c>
      <c r="BA39" s="379">
        <f>SUMIFS(BS_RE33!$H$7:$H$874,BS_RE33!$S$7:$S$874,$BA$2,BS_RE33!$N$7:$N$874,I39,BS_RE33!$P$7:$P$874,'30 days CF Table(JPY)'!G39,BS_RE33!$F$7:$F$874,'30 days CF Table(JPY)'!$C$2)</f>
        <v>0</v>
      </c>
      <c r="BB39" s="379">
        <f>SUMIFS(BS_RE33!$H$7:$H$874,BS_RE33!$S$7:$S$874,$BB$2,BS_RE33!$N$7:$N$874,I39,BS_RE33!$P$7:$P$874,'30 days CF Table(JPY)'!G39,BS_RE33!$F$7:$F$874,'30 days CF Table(JPY)'!$C$2)</f>
        <v>0</v>
      </c>
      <c r="BC39" s="379">
        <f>SUMIFS(BS_RE33!$H$7:$H$874,BS_RE33!$S$7:$S$874,$BC$2,BS_RE33!$N$7:$N$874,I39,BS_RE33!$P$7:$P$874,'30 days CF Table(JPY)'!G39,BS_RE33!$F$7:$F$874,'30 days CF Table(JPY)'!$C$2)</f>
        <v>0</v>
      </c>
      <c r="BD39" s="379">
        <f>SUMIFS(BS_RE33!$H$7:$H$874,BS_RE33!$S$7:$S$874,$BD$2,BS_RE33!$N$7:$N$874,I39,BS_RE33!$P$7:$P$874,'30 days CF Table(JPY)'!G39,BS_RE33!$F$7:$F$874,'30 days CF Table(JPY)'!$C$2)</f>
        <v>0</v>
      </c>
      <c r="BE39" s="379">
        <f>SUMIFS(BS_RE33!$H$7:$H$874,BS_RE33!$S$7:$S$874,$BE$2,BS_RE33!$N$7:$N$874,I39,BS_RE33!$P$7:$P$874,'30 days CF Table(JPY)'!G39,BS_RE33!$F$7:$F$874,'30 days CF Table(JPY)'!$C$2)</f>
        <v>0</v>
      </c>
      <c r="BF39" s="379">
        <f>SUMIFS(BS_RE33!$H$7:$H$874,BS_RE33!$S$7:$S$874,$BF$2,BS_RE33!$N$7:$N$874,I39,BS_RE33!$P$7:$P$874,'30 days CF Table(JPY)'!G39,BS_RE33!$F$7:$F$874,'30 days CF Table(JPY)'!$C$2)</f>
        <v>0</v>
      </c>
      <c r="BG39" s="379">
        <f>SUMIFS(BS_RE33!$H$7:$H$874,BS_RE33!$S$7:$S$874,$BG$2,BS_RE33!$N$7:$N$874,I39,BS_RE33!$P$7:$P$874,'30 days CF Table(JPY)'!G39,BS_RE33!$F$7:$F$874,'30 days CF Table(JPY)'!$C$2)</f>
        <v>0</v>
      </c>
      <c r="BH39" s="379">
        <f>SUMIFS(BS_RE33!$H$7:$H$874,BS_RE33!$S$7:$S$874,$BH$2,BS_RE33!$N$7:$N$874,I39,BS_RE33!$P$7:$P$874,'30 days CF Table(JPY)'!G39,BS_RE33!$F$7:$F$874,'30 days CF Table(JPY)'!$C$2)</f>
        <v>0</v>
      </c>
      <c r="BI39" s="379">
        <f>SUMIFS(BS_RE33!$H$7:$H$874,BS_RE33!$S$7:$S$874,$BI$2,BS_RE33!$N$7:$N$874,I39,BS_RE33!$P$7:$P$874,'30 days CF Table(JPY)'!G39,BS_RE33!$F$7:$F$874,'30 days CF Table(JPY)'!$C$2)</f>
        <v>0</v>
      </c>
      <c r="BJ39" s="379">
        <f>SUMIFS(BS_RE33!$H$7:$H$874,BS_RE33!$S$7:$S$874,$BJ$2,BS_RE33!$N$7:$N$874,I39,BS_RE33!$P$7:$P$874,'30 days CF Table(JPY)'!G39,BS_RE33!$F$7:$F$874,'30 days CF Table(JPY)'!$C$2)</f>
        <v>0</v>
      </c>
      <c r="BK39" s="379">
        <f>SUMIFS(BS_RE33!$H$7:$H$874,BS_RE33!$S$7:$S$874,$BK$2,BS_RE33!$N$7:$N$874,I39,BS_RE33!$P$7:$P$874,'30 days CF Table(JPY)'!G39,BS_RE33!$F$7:$F$874,'30 days CF Table(JPY)'!$C$2)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Table(JPY)'!G40,BS_RE33!$F$7:$F$874,'30 days CF Table(JPY)'!$C$2)</f>
        <v>0</v>
      </c>
      <c r="M40" s="337">
        <f>SUMIFS(BS_RE33!$H$7:$H$874,BS_RE33!$S$7:$S$874,$M$2,BS_RE33!$N$7:$N$874,I40,BS_RE33!$P$7:$P$874,'30 days CF Table(JPY)'!G40,BS_RE33!$F$7:$F$874,'30 days CF Table(JPY)'!$C$2)</f>
        <v>0</v>
      </c>
      <c r="N40" s="337">
        <f>SUMIFS(BS_RE33!$H$7:$H$874,BS_RE33!$S$7:$S$874,$N$2,BS_RE33!$N$7:$N$874,I40,BS_RE33!$P$7:$P$874,'30 days CF Table(JPY)'!G40,BS_RE33!$F$7:$F$874,'30 days CF Table(JPY)'!$C$2)</f>
        <v>0</v>
      </c>
      <c r="O40" s="337">
        <f>SUMIFS(BS_RE33!$H$7:$H$874,BS_RE33!$S$7:$S$874,$O$2,BS_RE33!$N$7:$N$874,I40,BS_RE33!$P$7:$P$874,'30 days CF Table(JPY)'!G40,BS_RE33!$F$7:$F$874,'30 days CF Table(JPY)'!$C$2)</f>
        <v>0</v>
      </c>
      <c r="P40" s="337">
        <f>SUMIFS(BS_RE33!$H$7:$H$874,BS_RE33!$S$7:$S$874,$P$2,BS_RE33!$N$7:$N$874,I40,BS_RE33!$P$7:$P$874,'30 days CF Table(JPY)'!G40,BS_RE33!$F$7:$F$874,'30 days CF Table(JPY)'!$C$2)</f>
        <v>0</v>
      </c>
      <c r="Q40" s="337">
        <f>SUMIFS(BS_RE33!$H$7:$H$874,BS_RE33!$S$7:$S$874,$Q$2,BS_RE33!$N$7:$N$874,I40,BS_RE33!$P$7:$P$874,'30 days CF Table(JPY)'!G40,BS_RE33!$F$7:$F$874,'30 days CF Table(JPY)'!$C$2)</f>
        <v>0</v>
      </c>
      <c r="R40" s="337">
        <f>SUMIFS(BS_RE33!$H$7:$H$874,BS_RE33!$S$7:$S$874,$R$2,BS_RE33!$N$7:$N$874,I40,BS_RE33!$P$7:$P$874,'30 days CF Table(JPY)'!G40,BS_RE33!$F$7:$F$874,'30 days CF Table(JPY)'!$C$2)</f>
        <v>0</v>
      </c>
      <c r="S40" s="337">
        <f>SUMIFS(BS_RE33!$H$7:$H$874,BS_RE33!$S$7:$S$874,$S$2,BS_RE33!$N$7:$N$874,I40,BS_RE33!$P$7:$P$874,'30 days CF Table(JPY)'!G40,BS_RE33!$F$7:$F$874,'30 days CF Table(JPY)'!$C$2)</f>
        <v>0</v>
      </c>
      <c r="T40" s="337">
        <f>SUMIFS(BS_RE33!$H$7:$H$874,BS_RE33!$S$7:$S$874,$T$2,BS_RE33!$N$7:$N$874,I40,BS_RE33!$P$7:$P$874,'30 days CF Table(JPY)'!G40,BS_RE33!$F$7:$F$874,'30 days CF Table(JPY)'!$C$2)</f>
        <v>0</v>
      </c>
      <c r="U40" s="337">
        <f>SUMIFS(BS_RE33!$H$7:$H$874,BS_RE33!$S$7:$S$874,$U$2,BS_RE33!$N$7:$N$874,I40,BS_RE33!$P$7:$P$874,'30 days CF Table(JPY)'!G40,BS_RE33!$F$7:$F$874,'30 days CF Table(JPY)'!$C$2)</f>
        <v>0</v>
      </c>
      <c r="V40" s="337">
        <f>SUMIFS(BS_RE33!$H$7:$H$874,BS_RE33!$S$7:$S$874,$V$2,BS_RE33!$N$7:$N$874,I40,BS_RE33!$P$7:$P$874,'30 days CF Table(JPY)'!G40,BS_RE33!$F$7:$F$874,'30 days CF Table(JPY)'!$C$2)</f>
        <v>0</v>
      </c>
      <c r="W40" s="337">
        <f>SUMIFS(BS_RE33!$H$7:$H$874,BS_RE33!$S$7:$S$874,$W$2,BS_RE33!$N$7:$N$874,I40,BS_RE33!$P$7:$P$874,'30 days CF Table(JPY)'!G40,BS_RE33!$F$7:$F$874,'30 days CF Table(JPY)'!$C$2)</f>
        <v>0</v>
      </c>
      <c r="X40" s="337">
        <f>SUMIFS(BS_RE33!$H$7:$H$874,BS_RE33!$S$7:$S$874,$X$2,BS_RE33!$N$7:$N$874,I40,BS_RE33!$P$7:$P$874,'30 days CF Table(JPY)'!G40,BS_RE33!$F$7:$F$874,'30 days CF Table(JPY)'!$C$2)</f>
        <v>0</v>
      </c>
      <c r="Y40" s="337">
        <f>SUMIFS(BS_RE33!$H$7:$H$874,BS_RE33!$S$7:$S$874,$Y$2,BS_RE33!$N$7:$N$874,I40,BS_RE33!$P$7:$P$874,'30 days CF Table(JPY)'!G40,BS_RE33!$F$7:$F$874,'30 days CF Table(JPY)'!$C$2)</f>
        <v>0</v>
      </c>
      <c r="Z40" s="337">
        <f>SUMIFS(BS_RE33!$H$7:$H$874,BS_RE33!$S$7:$S$874,$Z$2,BS_RE33!$N$7:$N$874,I40,BS_RE33!$P$7:$P$874,'30 days CF Table(JPY)'!G40,BS_RE33!$F$7:$F$874,'30 days CF Table(JPY)'!$C$2)</f>
        <v>0</v>
      </c>
      <c r="AA40" s="337">
        <f>SUMIFS(BS_RE33!$H$7:$H$874,BS_RE33!$S$7:$S$874,$AA$2,BS_RE33!$N$7:$N$874,I40,BS_RE33!$P$7:$P$874,'30 days CF Table(JPY)'!G40,BS_RE33!$F$7:$F$874,'30 days CF Table(JPY)'!$C$2)</f>
        <v>0</v>
      </c>
      <c r="AB40" s="337">
        <f>SUMIFS(BS_RE33!$H$7:$H$874,BS_RE33!$S$7:$S$874,$AB$2,BS_RE33!$N$7:$N$874,I40,BS_RE33!$P$7:$P$874,'30 days CF Table(JPY)'!G40,BS_RE33!$F$7:$F$874,'30 days CF Table(JPY)'!$C$2)</f>
        <v>0</v>
      </c>
      <c r="AC40" s="337">
        <f>SUMIFS(BS_RE33!$H$7:$H$874,BS_RE33!$S$7:$S$874,$AC$2,BS_RE33!$N$7:$N$874,I40,BS_RE33!$P$7:$P$874,'30 days CF Table(JPY)'!G40,BS_RE33!$F$7:$F$874,'30 days CF Table(JPY)'!$C$2)</f>
        <v>0</v>
      </c>
      <c r="AD40" s="337">
        <f>SUMIFS(BS_RE33!$H$7:$H$874,BS_RE33!$S$7:$S$874,$AD$2,BS_RE33!$N$7:$N$874,I40,BS_RE33!$P$7:$P$874,'30 days CF Table(JPY)'!G40,BS_RE33!$F$7:$F$874,'30 days CF Table(JPY)'!$C$2)</f>
        <v>0</v>
      </c>
      <c r="AE40" s="337">
        <f>SUMIFS(BS_RE33!$H$7:$H$874,BS_RE33!$S$7:$S$874,$AE$2,BS_RE33!$N$7:$N$874,I40,BS_RE33!$P$7:$P$874,'30 days CF Table(JPY)'!G40,BS_RE33!$F$7:$F$874,'30 days CF Table(JPY)'!$C$2)</f>
        <v>0</v>
      </c>
      <c r="AF40" s="337">
        <f>SUMIFS(BS_RE33!$H$7:$H$874,BS_RE33!$S$7:$S$874,$AF$2,BS_RE33!$N$7:$N$874,I40,BS_RE33!$P$7:$P$874,'30 days CF Table(JPY)'!G40,BS_RE33!$F$7:$F$874,'30 days CF Table(JPY)'!$C$2)</f>
        <v>0</v>
      </c>
      <c r="AG40" s="337">
        <f>SUMIFS(BS_RE33!$H$7:$H$874,BS_RE33!$S$7:$S$874,$AG$2,BS_RE33!$N$7:$N$874,I40,BS_RE33!$P$7:$P$874,'30 days CF Table(JPY)'!G40,BS_RE33!$F$7:$F$874,'30 days CF Table(JPY)'!$C$2)</f>
        <v>0</v>
      </c>
      <c r="AH40" s="337">
        <f>SUMIFS(BS_RE33!$H$7:$H$874,BS_RE33!$S$7:$S$874,$AH$2,BS_RE33!$N$7:$N$874,I40,BS_RE33!$P$7:$P$874,'30 days CF Table(JPY)'!G40,BS_RE33!$F$7:$F$874,'30 days CF Table(JPY)'!$C$2)</f>
        <v>0</v>
      </c>
      <c r="AI40" s="337">
        <f>SUMIFS(BS_RE33!$H$7:$H$874,BS_RE33!$S$7:$S$874,$AI$2,BS_RE33!$N$7:$N$874,I40,BS_RE33!$P$7:$P$874,'30 days CF Table(JPY)'!G40,BS_RE33!$F$7:$F$874,'30 days CF Table(JPY)'!$C$2)</f>
        <v>0</v>
      </c>
      <c r="AJ40" s="337">
        <f>SUMIFS(BS_RE33!$H$7:$H$874,BS_RE33!$S$7:$S$874,$AJ$2,BS_RE33!$N$7:$N$874,I40,BS_RE33!$P$7:$P$874,'30 days CF Table(JPY)'!G40,BS_RE33!$F$7:$F$874,'30 days CF Table(JPY)'!$C$2)</f>
        <v>0</v>
      </c>
      <c r="AK40" s="337">
        <f>SUMIFS(BS_RE33!$H$7:$H$874,BS_RE33!$S$7:$S$874,$AK$2,BS_RE33!$N$7:$N$874,I40,BS_RE33!$P$7:$P$874,'30 days CF Table(JPY)'!G40,BS_RE33!$F$7:$F$874,'30 days CF Table(JPY)'!$C$2)</f>
        <v>0</v>
      </c>
      <c r="AL40" s="337">
        <f>SUMIFS(BS_RE33!$H$7:$H$874,BS_RE33!$S$7:$S$874,$AL$2,BS_RE33!$N$7:$N$874,I40,BS_RE33!$P$7:$P$874,'30 days CF Table(JPY)'!G40,BS_RE33!$F$7:$F$874,'30 days CF Table(JPY)'!$C$2)</f>
        <v>0</v>
      </c>
      <c r="AM40" s="337">
        <f>SUMIFS(BS_RE33!$H$7:$H$874,BS_RE33!$S$7:$S$874,$AM$2,BS_RE33!$N$7:$N$874,I40,BS_RE33!$P$7:$P$874,'30 days CF Table(JPY)'!G40,BS_RE33!$F$7:$F$874,'30 days CF Table(JPY)'!$C$2)</f>
        <v>0</v>
      </c>
      <c r="AN40" s="337">
        <f>SUMIFS(BS_RE33!$H$7:$H$874,BS_RE33!$S$7:$S$874,$AN$2,BS_RE33!$N$7:$N$874,I40,BS_RE33!$P$7:$P$874,'30 days CF Table(JPY)'!G40,BS_RE33!$F$7:$F$874,'30 days CF Table(JPY)'!$C$2)</f>
        <v>0</v>
      </c>
      <c r="AO40" s="337">
        <f>SUMIFS(BS_RE33!$H$7:$H$874,BS_RE33!$S$7:$S$874,$AO$2,BS_RE33!$N$7:$N$874,I40,BS_RE33!$P$7:$P$874,'30 days CF Table(JPY)'!G40,BS_RE33!$F$7:$F$874,'30 days CF Table(JPY)'!$C$2)</f>
        <v>0</v>
      </c>
      <c r="AP40" s="338">
        <f>SUMIFS(BS_RE33!$H$7:$H$874,BS_RE33!$S$7:$S$874,$AP$2,BS_RE33!$N$7:$N$874,I40,BS_RE33!$P$7:$P$874,'30 days CF Table(JPY)'!G40,BS_RE33!$F$7:$F$874,'30 days CF Table(JPY)'!$C$2)</f>
        <v>0</v>
      </c>
      <c r="AR40" s="379">
        <f>SUMIFS(BS_RE33!$H$7:$H$874,BS_RE33!$S$7:$S$874,$AR$2,BS_RE33!$N$7:$N$874,I40,BS_RE33!$P$7:$P$874,'30 days CF Table(JPY)'!G40,BS_RE33!$F$7:$F$874,'30 days CF Table(JPY)'!$C$2)</f>
        <v>0</v>
      </c>
      <c r="AS40" s="379">
        <f>SUMIFS(BS_RE33!$H$7:$H$874,BS_RE33!$S$7:$S$874,$AS$2,BS_RE33!$N$7:$N$874,I40,BS_RE33!$P$7:$P$874,'30 days CF Table(JPY)'!G40,BS_RE33!$F$7:$F$874,'30 days CF Table(JPY)'!$C$2)</f>
        <v>0</v>
      </c>
      <c r="AT40" s="379">
        <f>SUMIFS(BS_RE33!$H$7:$H$874,BS_RE33!$S$7:$S$874,$AT$2,BS_RE33!$N$7:$N$874,I40,BS_RE33!$P$7:$P$874,'30 days CF Table(JPY)'!G40,BS_RE33!$F$7:$F$874,'30 days CF Table(JPY)'!$C$2)</f>
        <v>0</v>
      </c>
      <c r="AU40" s="379">
        <f>SUMIFS(BS_RE33!$H$7:$H$874,BS_RE33!$S$7:$S$874,$AU$2,BS_RE33!$N$7:$N$874,I40,BS_RE33!$P$7:$P$874,'30 days CF Table(JPY)'!G40,BS_RE33!$F$7:$F$874,'30 days CF Table(JPY)'!$C$2)</f>
        <v>0</v>
      </c>
      <c r="AV40" s="379">
        <f>SUMIFS(BS_RE33!$H$7:$H$874,BS_RE33!$S$7:$S$874,$AV$2,BS_RE33!$N$7:$N$874,I40,BS_RE33!$P$7:$P$874,'30 days CF Table(JPY)'!G40,BS_RE33!$F$7:$F$874,'30 days CF Table(JPY)'!$C$2)</f>
        <v>0</v>
      </c>
      <c r="AW40" s="379">
        <f>SUMIFS(BS_RE33!$H$7:$H$874,BS_RE33!$S$7:$S$874,$AW$2,BS_RE33!$N$7:$N$874,I40,BS_RE33!$P$7:$P$874,'30 days CF Table(JPY)'!G40,BS_RE33!$F$7:$F$874,'30 days CF Table(JPY)'!$C$2)</f>
        <v>0</v>
      </c>
      <c r="AX40" s="379">
        <f>SUMIFS(BS_RE33!$H$7:$H$874,BS_RE33!$S$7:$S$874,$AX$2,BS_RE33!$N$7:$N$874,I40,BS_RE33!$P$7:$P$874,'30 days CF Table(JPY)'!G40,BS_RE33!$F$7:$F$874,'30 days CF Table(JPY)'!$C$2)</f>
        <v>0</v>
      </c>
      <c r="AY40" s="379">
        <f>SUMIFS(BS_RE33!$H$7:$H$874,BS_RE33!$S$7:$S$874,$AY$2,BS_RE33!$N$7:$N$874,I40,BS_RE33!$P$7:$P$874,'30 days CF Table(JPY)'!G40,BS_RE33!$F$7:$F$874,'30 days CF Table(JPY)'!$C$2)</f>
        <v>0</v>
      </c>
      <c r="AZ40" s="379">
        <f>SUMIFS(BS_RE33!$H$7:$H$874,BS_RE33!$S$7:$S$874,$AZ$2,BS_RE33!$N$7:$N$874,I40,BS_RE33!$P$7:$P$874,'30 days CF Table(JPY)'!G40,BS_RE33!$F$7:$F$874,'30 days CF Table(JPY)'!$C$2)</f>
        <v>0</v>
      </c>
      <c r="BA40" s="379">
        <f>SUMIFS(BS_RE33!$H$7:$H$874,BS_RE33!$S$7:$S$874,$BA$2,BS_RE33!$N$7:$N$874,I40,BS_RE33!$P$7:$P$874,'30 days CF Table(JPY)'!G40,BS_RE33!$F$7:$F$874,'30 days CF Table(JPY)'!$C$2)</f>
        <v>0</v>
      </c>
      <c r="BB40" s="379">
        <f>SUMIFS(BS_RE33!$H$7:$H$874,BS_RE33!$S$7:$S$874,$BB$2,BS_RE33!$N$7:$N$874,I40,BS_RE33!$P$7:$P$874,'30 days CF Table(JPY)'!G40,BS_RE33!$F$7:$F$874,'30 days CF Table(JPY)'!$C$2)</f>
        <v>0</v>
      </c>
      <c r="BC40" s="379">
        <f>SUMIFS(BS_RE33!$H$7:$H$874,BS_RE33!$S$7:$S$874,$BC$2,BS_RE33!$N$7:$N$874,I40,BS_RE33!$P$7:$P$874,'30 days CF Table(JPY)'!G40,BS_RE33!$F$7:$F$874,'30 days CF Table(JPY)'!$C$2)</f>
        <v>0</v>
      </c>
      <c r="BD40" s="379">
        <f>SUMIFS(BS_RE33!$H$7:$H$874,BS_RE33!$S$7:$S$874,$BD$2,BS_RE33!$N$7:$N$874,I40,BS_RE33!$P$7:$P$874,'30 days CF Table(JPY)'!G40,BS_RE33!$F$7:$F$874,'30 days CF Table(JPY)'!$C$2)</f>
        <v>0</v>
      </c>
      <c r="BE40" s="379">
        <f>SUMIFS(BS_RE33!$H$7:$H$874,BS_RE33!$S$7:$S$874,$BE$2,BS_RE33!$N$7:$N$874,I40,BS_RE33!$P$7:$P$874,'30 days CF Table(JPY)'!G40,BS_RE33!$F$7:$F$874,'30 days CF Table(JPY)'!$C$2)</f>
        <v>0</v>
      </c>
      <c r="BF40" s="379">
        <f>SUMIFS(BS_RE33!$H$7:$H$874,BS_RE33!$S$7:$S$874,$BF$2,BS_RE33!$N$7:$N$874,I40,BS_RE33!$P$7:$P$874,'30 days CF Table(JPY)'!G40,BS_RE33!$F$7:$F$874,'30 days CF Table(JPY)'!$C$2)</f>
        <v>0</v>
      </c>
      <c r="BG40" s="379">
        <f>SUMIFS(BS_RE33!$H$7:$H$874,BS_RE33!$S$7:$S$874,$BG$2,BS_RE33!$N$7:$N$874,I40,BS_RE33!$P$7:$P$874,'30 days CF Table(JPY)'!G40,BS_RE33!$F$7:$F$874,'30 days CF Table(JPY)'!$C$2)</f>
        <v>0</v>
      </c>
      <c r="BH40" s="379">
        <f>SUMIFS(BS_RE33!$H$7:$H$874,BS_RE33!$S$7:$S$874,$BH$2,BS_RE33!$N$7:$N$874,I40,BS_RE33!$P$7:$P$874,'30 days CF Table(JPY)'!G40,BS_RE33!$F$7:$F$874,'30 days CF Table(JPY)'!$C$2)</f>
        <v>0</v>
      </c>
      <c r="BI40" s="379">
        <f>SUMIFS(BS_RE33!$H$7:$H$874,BS_RE33!$S$7:$S$874,$BI$2,BS_RE33!$N$7:$N$874,I40,BS_RE33!$P$7:$P$874,'30 days CF Table(JPY)'!G40,BS_RE33!$F$7:$F$874,'30 days CF Table(JPY)'!$C$2)</f>
        <v>0</v>
      </c>
      <c r="BJ40" s="379">
        <f>SUMIFS(BS_RE33!$H$7:$H$874,BS_RE33!$S$7:$S$874,$BJ$2,BS_RE33!$N$7:$N$874,I40,BS_RE33!$P$7:$P$874,'30 days CF Table(JPY)'!G40,BS_RE33!$F$7:$F$874,'30 days CF Table(JPY)'!$C$2)</f>
        <v>0</v>
      </c>
      <c r="BK40" s="379">
        <f>SUMIFS(BS_RE33!$H$7:$H$874,BS_RE33!$S$7:$S$874,$BK$2,BS_RE33!$N$7:$N$874,I40,BS_RE33!$P$7:$P$874,'30 days CF Table(JPY)'!G40,BS_RE33!$F$7:$F$874,'30 days CF Table(JPY)'!$C$2)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Table(JPY)'!G41,BS_RE33!$F$7:$F$874,'30 days CF Table(JPY)'!$C$2)</f>
        <v>0</v>
      </c>
      <c r="M41" s="337">
        <f>SUMIFS(BS_RE33!$H$7:$H$874,BS_RE33!$S$7:$S$874,$M$2,BS_RE33!$N$7:$N$874,I41,BS_RE33!$P$7:$P$874,'30 days CF Table(JPY)'!G41,BS_RE33!$F$7:$F$874,'30 days CF Table(JPY)'!$C$2)</f>
        <v>0</v>
      </c>
      <c r="N41" s="337">
        <f>SUMIFS(BS_RE33!$H$7:$H$874,BS_RE33!$S$7:$S$874,$N$2,BS_RE33!$N$7:$N$874,I41,BS_RE33!$P$7:$P$874,'30 days CF Table(JPY)'!G41,BS_RE33!$F$7:$F$874,'30 days CF Table(JPY)'!$C$2)</f>
        <v>0</v>
      </c>
      <c r="O41" s="337">
        <f>SUMIFS(BS_RE33!$H$7:$H$874,BS_RE33!$S$7:$S$874,$O$2,BS_RE33!$N$7:$N$874,I41,BS_RE33!$P$7:$P$874,'30 days CF Table(JPY)'!G41,BS_RE33!$F$7:$F$874,'30 days CF Table(JPY)'!$C$2)</f>
        <v>0</v>
      </c>
      <c r="P41" s="337">
        <f>SUMIFS(BS_RE33!$H$7:$H$874,BS_RE33!$S$7:$S$874,$P$2,BS_RE33!$N$7:$N$874,I41,BS_RE33!$P$7:$P$874,'30 days CF Table(JPY)'!G41,BS_RE33!$F$7:$F$874,'30 days CF Table(JPY)'!$C$2)</f>
        <v>0</v>
      </c>
      <c r="Q41" s="337">
        <f>SUMIFS(BS_RE33!$H$7:$H$874,BS_RE33!$S$7:$S$874,$Q$2,BS_RE33!$N$7:$N$874,I41,BS_RE33!$P$7:$P$874,'30 days CF Table(JPY)'!G41,BS_RE33!$F$7:$F$874,'30 days CF Table(JPY)'!$C$2)</f>
        <v>0</v>
      </c>
      <c r="R41" s="337">
        <f>SUMIFS(BS_RE33!$H$7:$H$874,BS_RE33!$S$7:$S$874,$R$2,BS_RE33!$N$7:$N$874,I41,BS_RE33!$P$7:$P$874,'30 days CF Table(JPY)'!G41,BS_RE33!$F$7:$F$874,'30 days CF Table(JPY)'!$C$2)</f>
        <v>0</v>
      </c>
      <c r="S41" s="337">
        <f>SUMIFS(BS_RE33!$H$7:$H$874,BS_RE33!$S$7:$S$874,$S$2,BS_RE33!$N$7:$N$874,I41,BS_RE33!$P$7:$P$874,'30 days CF Table(JPY)'!G41,BS_RE33!$F$7:$F$874,'30 days CF Table(JPY)'!$C$2)</f>
        <v>0</v>
      </c>
      <c r="T41" s="337">
        <f>SUMIFS(BS_RE33!$H$7:$H$874,BS_RE33!$S$7:$S$874,$T$2,BS_RE33!$N$7:$N$874,I41,BS_RE33!$P$7:$P$874,'30 days CF Table(JPY)'!G41,BS_RE33!$F$7:$F$874,'30 days CF Table(JPY)'!$C$2)</f>
        <v>0</v>
      </c>
      <c r="U41" s="337">
        <f>SUMIFS(BS_RE33!$H$7:$H$874,BS_RE33!$S$7:$S$874,$U$2,BS_RE33!$N$7:$N$874,I41,BS_RE33!$P$7:$P$874,'30 days CF Table(JPY)'!G41,BS_RE33!$F$7:$F$874,'30 days CF Table(JPY)'!$C$2)</f>
        <v>0</v>
      </c>
      <c r="V41" s="337">
        <f>SUMIFS(BS_RE33!$H$7:$H$874,BS_RE33!$S$7:$S$874,$V$2,BS_RE33!$N$7:$N$874,I41,BS_RE33!$P$7:$P$874,'30 days CF Table(JPY)'!G41,BS_RE33!$F$7:$F$874,'30 days CF Table(JPY)'!$C$2)</f>
        <v>0</v>
      </c>
      <c r="W41" s="337">
        <f>SUMIFS(BS_RE33!$H$7:$H$874,BS_RE33!$S$7:$S$874,$W$2,BS_RE33!$N$7:$N$874,I41,BS_RE33!$P$7:$P$874,'30 days CF Table(JPY)'!G41,BS_RE33!$F$7:$F$874,'30 days CF Table(JPY)'!$C$2)</f>
        <v>0</v>
      </c>
      <c r="X41" s="337">
        <f>SUMIFS(BS_RE33!$H$7:$H$874,BS_RE33!$S$7:$S$874,$X$2,BS_RE33!$N$7:$N$874,I41,BS_RE33!$P$7:$P$874,'30 days CF Table(JPY)'!G41,BS_RE33!$F$7:$F$874,'30 days CF Table(JPY)'!$C$2)</f>
        <v>0</v>
      </c>
      <c r="Y41" s="337">
        <f>SUMIFS(BS_RE33!$H$7:$H$874,BS_RE33!$S$7:$S$874,$Y$2,BS_RE33!$N$7:$N$874,I41,BS_RE33!$P$7:$P$874,'30 days CF Table(JPY)'!G41,BS_RE33!$F$7:$F$874,'30 days CF Table(JPY)'!$C$2)</f>
        <v>0</v>
      </c>
      <c r="Z41" s="337">
        <f>SUMIFS(BS_RE33!$H$7:$H$874,BS_RE33!$S$7:$S$874,$Z$2,BS_RE33!$N$7:$N$874,I41,BS_RE33!$P$7:$P$874,'30 days CF Table(JPY)'!G41,BS_RE33!$F$7:$F$874,'30 days CF Table(JPY)'!$C$2)</f>
        <v>0</v>
      </c>
      <c r="AA41" s="337">
        <f>SUMIFS(BS_RE33!$H$7:$H$874,BS_RE33!$S$7:$S$874,$AA$2,BS_RE33!$N$7:$N$874,I41,BS_RE33!$P$7:$P$874,'30 days CF Table(JPY)'!G41,BS_RE33!$F$7:$F$874,'30 days CF Table(JPY)'!$C$2)</f>
        <v>0</v>
      </c>
      <c r="AB41" s="337">
        <f>SUMIFS(BS_RE33!$H$7:$H$874,BS_RE33!$S$7:$S$874,$AB$2,BS_RE33!$N$7:$N$874,I41,BS_RE33!$P$7:$P$874,'30 days CF Table(JPY)'!G41,BS_RE33!$F$7:$F$874,'30 days CF Table(JPY)'!$C$2)</f>
        <v>0</v>
      </c>
      <c r="AC41" s="337">
        <f>SUMIFS(BS_RE33!$H$7:$H$874,BS_RE33!$S$7:$S$874,$AC$2,BS_RE33!$N$7:$N$874,I41,BS_RE33!$P$7:$P$874,'30 days CF Table(JPY)'!G41,BS_RE33!$F$7:$F$874,'30 days CF Table(JPY)'!$C$2)</f>
        <v>0</v>
      </c>
      <c r="AD41" s="337">
        <f>SUMIFS(BS_RE33!$H$7:$H$874,BS_RE33!$S$7:$S$874,$AD$2,BS_RE33!$N$7:$N$874,I41,BS_RE33!$P$7:$P$874,'30 days CF Table(JPY)'!G41,BS_RE33!$F$7:$F$874,'30 days CF Table(JPY)'!$C$2)</f>
        <v>0</v>
      </c>
      <c r="AE41" s="337">
        <f>SUMIFS(BS_RE33!$H$7:$H$874,BS_RE33!$S$7:$S$874,$AE$2,BS_RE33!$N$7:$N$874,I41,BS_RE33!$P$7:$P$874,'30 days CF Table(JPY)'!G41,BS_RE33!$F$7:$F$874,'30 days CF Table(JPY)'!$C$2)</f>
        <v>0</v>
      </c>
      <c r="AF41" s="337">
        <f>SUMIFS(BS_RE33!$H$7:$H$874,BS_RE33!$S$7:$S$874,$AF$2,BS_RE33!$N$7:$N$874,I41,BS_RE33!$P$7:$P$874,'30 days CF Table(JPY)'!G41,BS_RE33!$F$7:$F$874,'30 days CF Table(JPY)'!$C$2)</f>
        <v>0</v>
      </c>
      <c r="AG41" s="337">
        <f>SUMIFS(BS_RE33!$H$7:$H$874,BS_RE33!$S$7:$S$874,$AG$2,BS_RE33!$N$7:$N$874,I41,BS_RE33!$P$7:$P$874,'30 days CF Table(JPY)'!G41,BS_RE33!$F$7:$F$874,'30 days CF Table(JPY)'!$C$2)</f>
        <v>0</v>
      </c>
      <c r="AH41" s="337">
        <f>SUMIFS(BS_RE33!$H$7:$H$874,BS_RE33!$S$7:$S$874,$AH$2,BS_RE33!$N$7:$N$874,I41,BS_RE33!$P$7:$P$874,'30 days CF Table(JPY)'!G41,BS_RE33!$F$7:$F$874,'30 days CF Table(JPY)'!$C$2)</f>
        <v>0</v>
      </c>
      <c r="AI41" s="337">
        <f>SUMIFS(BS_RE33!$H$7:$H$874,BS_RE33!$S$7:$S$874,$AI$2,BS_RE33!$N$7:$N$874,I41,BS_RE33!$P$7:$P$874,'30 days CF Table(JPY)'!G41,BS_RE33!$F$7:$F$874,'30 days CF Table(JPY)'!$C$2)</f>
        <v>0</v>
      </c>
      <c r="AJ41" s="337">
        <f>SUMIFS(BS_RE33!$H$7:$H$874,BS_RE33!$S$7:$S$874,$AJ$2,BS_RE33!$N$7:$N$874,I41,BS_RE33!$P$7:$P$874,'30 days CF Table(JPY)'!G41,BS_RE33!$F$7:$F$874,'30 days CF Table(JPY)'!$C$2)</f>
        <v>0</v>
      </c>
      <c r="AK41" s="337">
        <f>SUMIFS(BS_RE33!$H$7:$H$874,BS_RE33!$S$7:$S$874,$AK$2,BS_RE33!$N$7:$N$874,I41,BS_RE33!$P$7:$P$874,'30 days CF Table(JPY)'!G41,BS_RE33!$F$7:$F$874,'30 days CF Table(JPY)'!$C$2)</f>
        <v>0</v>
      </c>
      <c r="AL41" s="337">
        <f>SUMIFS(BS_RE33!$H$7:$H$874,BS_RE33!$S$7:$S$874,$AL$2,BS_RE33!$N$7:$N$874,I41,BS_RE33!$P$7:$P$874,'30 days CF Table(JPY)'!G41,BS_RE33!$F$7:$F$874,'30 days CF Table(JPY)'!$C$2)</f>
        <v>0</v>
      </c>
      <c r="AM41" s="337">
        <f>SUMIFS(BS_RE33!$H$7:$H$874,BS_RE33!$S$7:$S$874,$AM$2,BS_RE33!$N$7:$N$874,I41,BS_RE33!$P$7:$P$874,'30 days CF Table(JPY)'!G41,BS_RE33!$F$7:$F$874,'30 days CF Table(JPY)'!$C$2)</f>
        <v>0</v>
      </c>
      <c r="AN41" s="337">
        <f>SUMIFS(BS_RE33!$H$7:$H$874,BS_RE33!$S$7:$S$874,$AN$2,BS_RE33!$N$7:$N$874,I41,BS_RE33!$P$7:$P$874,'30 days CF Table(JPY)'!G41,BS_RE33!$F$7:$F$874,'30 days CF Table(JPY)'!$C$2)</f>
        <v>0</v>
      </c>
      <c r="AO41" s="337">
        <f>SUMIFS(BS_RE33!$H$7:$H$874,BS_RE33!$S$7:$S$874,$AO$2,BS_RE33!$N$7:$N$874,I41,BS_RE33!$P$7:$P$874,'30 days CF Table(JPY)'!G41,BS_RE33!$F$7:$F$874,'30 days CF Table(JPY)'!$C$2)</f>
        <v>0</v>
      </c>
      <c r="AP41" s="338">
        <f>SUMIFS(BS_RE33!$H$7:$H$874,BS_RE33!$S$7:$S$874,$AP$2,BS_RE33!$N$7:$N$874,I41,BS_RE33!$P$7:$P$874,'30 days CF Table(JPY)'!G41,BS_RE33!$F$7:$F$874,'30 days CF Table(JPY)'!$C$2)</f>
        <v>0</v>
      </c>
      <c r="AR41" s="379">
        <f>SUMIFS(BS_RE33!$H$7:$H$874,BS_RE33!$S$7:$S$874,$AR$2,BS_RE33!$N$7:$N$874,I41,BS_RE33!$P$7:$P$874,'30 days CF Table(JPY)'!G41,BS_RE33!$F$7:$F$874,'30 days CF Table(JPY)'!$C$2)</f>
        <v>0</v>
      </c>
      <c r="AS41" s="379">
        <f>SUMIFS(BS_RE33!$H$7:$H$874,BS_RE33!$S$7:$S$874,$AS$2,BS_RE33!$N$7:$N$874,I41,BS_RE33!$P$7:$P$874,'30 days CF Table(JPY)'!G41,BS_RE33!$F$7:$F$874,'30 days CF Table(JPY)'!$C$2)</f>
        <v>0</v>
      </c>
      <c r="AT41" s="379">
        <f>SUMIFS(BS_RE33!$H$7:$H$874,BS_RE33!$S$7:$S$874,$AT$2,BS_RE33!$N$7:$N$874,I41,BS_RE33!$P$7:$P$874,'30 days CF Table(JPY)'!G41,BS_RE33!$F$7:$F$874,'30 days CF Table(JPY)'!$C$2)</f>
        <v>0</v>
      </c>
      <c r="AU41" s="379">
        <f>SUMIFS(BS_RE33!$H$7:$H$874,BS_RE33!$S$7:$S$874,$AU$2,BS_RE33!$N$7:$N$874,I41,BS_RE33!$P$7:$P$874,'30 days CF Table(JPY)'!G41,BS_RE33!$F$7:$F$874,'30 days CF Table(JPY)'!$C$2)</f>
        <v>0</v>
      </c>
      <c r="AV41" s="379">
        <f>SUMIFS(BS_RE33!$H$7:$H$874,BS_RE33!$S$7:$S$874,$AV$2,BS_RE33!$N$7:$N$874,I41,BS_RE33!$P$7:$P$874,'30 days CF Table(JPY)'!G41,BS_RE33!$F$7:$F$874,'30 days CF Table(JPY)'!$C$2)</f>
        <v>0</v>
      </c>
      <c r="AW41" s="379">
        <f>SUMIFS(BS_RE33!$H$7:$H$874,BS_RE33!$S$7:$S$874,$AW$2,BS_RE33!$N$7:$N$874,I41,BS_RE33!$P$7:$P$874,'30 days CF Table(JPY)'!G41,BS_RE33!$F$7:$F$874,'30 days CF Table(JPY)'!$C$2)</f>
        <v>0</v>
      </c>
      <c r="AX41" s="379">
        <f>SUMIFS(BS_RE33!$H$7:$H$874,BS_RE33!$S$7:$S$874,$AX$2,BS_RE33!$N$7:$N$874,I41,BS_RE33!$P$7:$P$874,'30 days CF Table(JPY)'!G41,BS_RE33!$F$7:$F$874,'30 days CF Table(JPY)'!$C$2)</f>
        <v>0</v>
      </c>
      <c r="AY41" s="379">
        <f>SUMIFS(BS_RE33!$H$7:$H$874,BS_RE33!$S$7:$S$874,$AY$2,BS_RE33!$N$7:$N$874,I41,BS_RE33!$P$7:$P$874,'30 days CF Table(JPY)'!G41,BS_RE33!$F$7:$F$874,'30 days CF Table(JPY)'!$C$2)</f>
        <v>0</v>
      </c>
      <c r="AZ41" s="379">
        <f>SUMIFS(BS_RE33!$H$7:$H$874,BS_RE33!$S$7:$S$874,$AZ$2,BS_RE33!$N$7:$N$874,I41,BS_RE33!$P$7:$P$874,'30 days CF Table(JPY)'!G41,BS_RE33!$F$7:$F$874,'30 days CF Table(JPY)'!$C$2)</f>
        <v>0</v>
      </c>
      <c r="BA41" s="379">
        <f>SUMIFS(BS_RE33!$H$7:$H$874,BS_RE33!$S$7:$S$874,$BA$2,BS_RE33!$N$7:$N$874,I41,BS_RE33!$P$7:$P$874,'30 days CF Table(JPY)'!G41,BS_RE33!$F$7:$F$874,'30 days CF Table(JPY)'!$C$2)</f>
        <v>0</v>
      </c>
      <c r="BB41" s="379">
        <f>SUMIFS(BS_RE33!$H$7:$H$874,BS_RE33!$S$7:$S$874,$BB$2,BS_RE33!$N$7:$N$874,I41,BS_RE33!$P$7:$P$874,'30 days CF Table(JPY)'!G41,BS_RE33!$F$7:$F$874,'30 days CF Table(JPY)'!$C$2)</f>
        <v>0</v>
      </c>
      <c r="BC41" s="379">
        <f>SUMIFS(BS_RE33!$H$7:$H$874,BS_RE33!$S$7:$S$874,$BC$2,BS_RE33!$N$7:$N$874,I41,BS_RE33!$P$7:$P$874,'30 days CF Table(JPY)'!G41,BS_RE33!$F$7:$F$874,'30 days CF Table(JPY)'!$C$2)</f>
        <v>0</v>
      </c>
      <c r="BD41" s="379">
        <f>SUMIFS(BS_RE33!$H$7:$H$874,BS_RE33!$S$7:$S$874,$BD$2,BS_RE33!$N$7:$N$874,I41,BS_RE33!$P$7:$P$874,'30 days CF Table(JPY)'!G41,BS_RE33!$F$7:$F$874,'30 days CF Table(JPY)'!$C$2)</f>
        <v>0</v>
      </c>
      <c r="BE41" s="379">
        <f>SUMIFS(BS_RE33!$H$7:$H$874,BS_RE33!$S$7:$S$874,$BE$2,BS_RE33!$N$7:$N$874,I41,BS_RE33!$P$7:$P$874,'30 days CF Table(JPY)'!G41,BS_RE33!$F$7:$F$874,'30 days CF Table(JPY)'!$C$2)</f>
        <v>0</v>
      </c>
      <c r="BF41" s="379">
        <f>SUMIFS(BS_RE33!$H$7:$H$874,BS_RE33!$S$7:$S$874,$BF$2,BS_RE33!$N$7:$N$874,I41,BS_RE33!$P$7:$P$874,'30 days CF Table(JPY)'!G41,BS_RE33!$F$7:$F$874,'30 days CF Table(JPY)'!$C$2)</f>
        <v>0</v>
      </c>
      <c r="BG41" s="379">
        <f>SUMIFS(BS_RE33!$H$7:$H$874,BS_RE33!$S$7:$S$874,$BG$2,BS_RE33!$N$7:$N$874,I41,BS_RE33!$P$7:$P$874,'30 days CF Table(JPY)'!G41,BS_RE33!$F$7:$F$874,'30 days CF Table(JPY)'!$C$2)</f>
        <v>0</v>
      </c>
      <c r="BH41" s="379">
        <f>SUMIFS(BS_RE33!$H$7:$H$874,BS_RE33!$S$7:$S$874,$BH$2,BS_RE33!$N$7:$N$874,I41,BS_RE33!$P$7:$P$874,'30 days CF Table(JPY)'!G41,BS_RE33!$F$7:$F$874,'30 days CF Table(JPY)'!$C$2)</f>
        <v>0</v>
      </c>
      <c r="BI41" s="379">
        <f>SUMIFS(BS_RE33!$H$7:$H$874,BS_RE33!$S$7:$S$874,$BI$2,BS_RE33!$N$7:$N$874,I41,BS_RE33!$P$7:$P$874,'30 days CF Table(JPY)'!G41,BS_RE33!$F$7:$F$874,'30 days CF Table(JPY)'!$C$2)</f>
        <v>0</v>
      </c>
      <c r="BJ41" s="379">
        <f>SUMIFS(BS_RE33!$H$7:$H$874,BS_RE33!$S$7:$S$874,$BJ$2,BS_RE33!$N$7:$N$874,I41,BS_RE33!$P$7:$P$874,'30 days CF Table(JPY)'!G41,BS_RE33!$F$7:$F$874,'30 days CF Table(JPY)'!$C$2)</f>
        <v>0</v>
      </c>
      <c r="BK41" s="379">
        <f>SUMIFS(BS_RE33!$H$7:$H$874,BS_RE33!$S$7:$S$874,$BK$2,BS_RE33!$N$7:$N$874,I41,BS_RE33!$P$7:$P$874,'30 days CF Table(JPY)'!G41,BS_RE33!$F$7:$F$874,'30 days CF Table(JPY)'!$C$2)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Table(JPY)'!G42,BS_RE33!$F$7:$F$874,'30 days CF Table(JPY)'!$C$2)</f>
        <v>0</v>
      </c>
      <c r="M42" s="337">
        <f>SUMIFS(BS_RE33!$H$7:$H$874,BS_RE33!$S$7:$S$874,$M$2,BS_RE33!$N$7:$N$874,I42,BS_RE33!$P$7:$P$874,'30 days CF Table(JPY)'!G42,BS_RE33!$F$7:$F$874,'30 days CF Table(JPY)'!$C$2)</f>
        <v>0</v>
      </c>
      <c r="N42" s="337">
        <f>SUMIFS(BS_RE33!$H$7:$H$874,BS_RE33!$S$7:$S$874,$N$2,BS_RE33!$N$7:$N$874,I42,BS_RE33!$P$7:$P$874,'30 days CF Table(JPY)'!G42,BS_RE33!$F$7:$F$874,'30 days CF Table(JPY)'!$C$2)</f>
        <v>0</v>
      </c>
      <c r="O42" s="337">
        <f>SUMIFS(BS_RE33!$H$7:$H$874,BS_RE33!$S$7:$S$874,$O$2,BS_RE33!$N$7:$N$874,I42,BS_RE33!$P$7:$P$874,'30 days CF Table(JPY)'!G42,BS_RE33!$F$7:$F$874,'30 days CF Table(JPY)'!$C$2)</f>
        <v>0</v>
      </c>
      <c r="P42" s="337">
        <f>SUMIFS(BS_RE33!$H$7:$H$874,BS_RE33!$S$7:$S$874,$P$2,BS_RE33!$N$7:$N$874,I42,BS_RE33!$P$7:$P$874,'30 days CF Table(JPY)'!G42,BS_RE33!$F$7:$F$874,'30 days CF Table(JPY)'!$C$2)</f>
        <v>0</v>
      </c>
      <c r="Q42" s="337">
        <f>SUMIFS(BS_RE33!$H$7:$H$874,BS_RE33!$S$7:$S$874,$Q$2,BS_RE33!$N$7:$N$874,I42,BS_RE33!$P$7:$P$874,'30 days CF Table(JPY)'!G42,BS_RE33!$F$7:$F$874,'30 days CF Table(JPY)'!$C$2)</f>
        <v>0</v>
      </c>
      <c r="R42" s="337">
        <f>SUMIFS(BS_RE33!$H$7:$H$874,BS_RE33!$S$7:$S$874,$R$2,BS_RE33!$N$7:$N$874,I42,BS_RE33!$P$7:$P$874,'30 days CF Table(JPY)'!G42,BS_RE33!$F$7:$F$874,'30 days CF Table(JPY)'!$C$2)</f>
        <v>0</v>
      </c>
      <c r="S42" s="337">
        <f>SUMIFS(BS_RE33!$H$7:$H$874,BS_RE33!$S$7:$S$874,$S$2,BS_RE33!$N$7:$N$874,I42,BS_RE33!$P$7:$P$874,'30 days CF Table(JPY)'!G42,BS_RE33!$F$7:$F$874,'30 days CF Table(JPY)'!$C$2)</f>
        <v>0</v>
      </c>
      <c r="T42" s="337">
        <f>SUMIFS(BS_RE33!$H$7:$H$874,BS_RE33!$S$7:$S$874,$T$2,BS_RE33!$N$7:$N$874,I42,BS_RE33!$P$7:$P$874,'30 days CF Table(JPY)'!G42,BS_RE33!$F$7:$F$874,'30 days CF Table(JPY)'!$C$2)</f>
        <v>0</v>
      </c>
      <c r="U42" s="337">
        <f>SUMIFS(BS_RE33!$H$7:$H$874,BS_RE33!$S$7:$S$874,$U$2,BS_RE33!$N$7:$N$874,I42,BS_RE33!$P$7:$P$874,'30 days CF Table(JPY)'!G42,BS_RE33!$F$7:$F$874,'30 days CF Table(JPY)'!$C$2)</f>
        <v>0</v>
      </c>
      <c r="V42" s="337">
        <f>SUMIFS(BS_RE33!$H$7:$H$874,BS_RE33!$S$7:$S$874,$V$2,BS_RE33!$N$7:$N$874,I42,BS_RE33!$P$7:$P$874,'30 days CF Table(JPY)'!G42,BS_RE33!$F$7:$F$874,'30 days CF Table(JPY)'!$C$2)</f>
        <v>0</v>
      </c>
      <c r="W42" s="337">
        <f>SUMIFS(BS_RE33!$H$7:$H$874,BS_RE33!$S$7:$S$874,$W$2,BS_RE33!$N$7:$N$874,I42,BS_RE33!$P$7:$P$874,'30 days CF Table(JPY)'!G42,BS_RE33!$F$7:$F$874,'30 days CF Table(JPY)'!$C$2)</f>
        <v>0</v>
      </c>
      <c r="X42" s="337">
        <f>SUMIFS(BS_RE33!$H$7:$H$874,BS_RE33!$S$7:$S$874,$X$2,BS_RE33!$N$7:$N$874,I42,BS_RE33!$P$7:$P$874,'30 days CF Table(JPY)'!G42,BS_RE33!$F$7:$F$874,'30 days CF Table(JPY)'!$C$2)</f>
        <v>0</v>
      </c>
      <c r="Y42" s="337">
        <f>SUMIFS(BS_RE33!$H$7:$H$874,BS_RE33!$S$7:$S$874,$Y$2,BS_RE33!$N$7:$N$874,I42,BS_RE33!$P$7:$P$874,'30 days CF Table(JPY)'!G42,BS_RE33!$F$7:$F$874,'30 days CF Table(JPY)'!$C$2)</f>
        <v>0</v>
      </c>
      <c r="Z42" s="337">
        <f>SUMIFS(BS_RE33!$H$7:$H$874,BS_RE33!$S$7:$S$874,$Z$2,BS_RE33!$N$7:$N$874,I42,BS_RE33!$P$7:$P$874,'30 days CF Table(JPY)'!G42,BS_RE33!$F$7:$F$874,'30 days CF Table(JPY)'!$C$2)</f>
        <v>0</v>
      </c>
      <c r="AA42" s="337">
        <f>SUMIFS(BS_RE33!$H$7:$H$874,BS_RE33!$S$7:$S$874,$AA$2,BS_RE33!$N$7:$N$874,I42,BS_RE33!$P$7:$P$874,'30 days CF Table(JPY)'!G42,BS_RE33!$F$7:$F$874,'30 days CF Table(JPY)'!$C$2)</f>
        <v>0</v>
      </c>
      <c r="AB42" s="337">
        <f>SUMIFS(BS_RE33!$H$7:$H$874,BS_RE33!$S$7:$S$874,$AB$2,BS_RE33!$N$7:$N$874,I42,BS_RE33!$P$7:$P$874,'30 days CF Table(JPY)'!G42,BS_RE33!$F$7:$F$874,'30 days CF Table(JPY)'!$C$2)</f>
        <v>0</v>
      </c>
      <c r="AC42" s="337">
        <f>SUMIFS(BS_RE33!$H$7:$H$874,BS_RE33!$S$7:$S$874,$AC$2,BS_RE33!$N$7:$N$874,I42,BS_RE33!$P$7:$P$874,'30 days CF Table(JPY)'!G42,BS_RE33!$F$7:$F$874,'30 days CF Table(JPY)'!$C$2)</f>
        <v>0</v>
      </c>
      <c r="AD42" s="337">
        <f>SUMIFS(BS_RE33!$H$7:$H$874,BS_RE33!$S$7:$S$874,$AD$2,BS_RE33!$N$7:$N$874,I42,BS_RE33!$P$7:$P$874,'30 days CF Table(JPY)'!G42,BS_RE33!$F$7:$F$874,'30 days CF Table(JPY)'!$C$2)</f>
        <v>0</v>
      </c>
      <c r="AE42" s="337">
        <f>SUMIFS(BS_RE33!$H$7:$H$874,BS_RE33!$S$7:$S$874,$AE$2,BS_RE33!$N$7:$N$874,I42,BS_RE33!$P$7:$P$874,'30 days CF Table(JPY)'!G42,BS_RE33!$F$7:$F$874,'30 days CF Table(JPY)'!$C$2)</f>
        <v>0</v>
      </c>
      <c r="AF42" s="337">
        <f>SUMIFS(BS_RE33!$H$7:$H$874,BS_RE33!$S$7:$S$874,$AF$2,BS_RE33!$N$7:$N$874,I42,BS_RE33!$P$7:$P$874,'30 days CF Table(JPY)'!G42,BS_RE33!$F$7:$F$874,'30 days CF Table(JPY)'!$C$2)</f>
        <v>0</v>
      </c>
      <c r="AG42" s="337">
        <f>SUMIFS(BS_RE33!$H$7:$H$874,BS_RE33!$S$7:$S$874,$AG$2,BS_RE33!$N$7:$N$874,I42,BS_RE33!$P$7:$P$874,'30 days CF Table(JPY)'!G42,BS_RE33!$F$7:$F$874,'30 days CF Table(JPY)'!$C$2)</f>
        <v>0</v>
      </c>
      <c r="AH42" s="337">
        <f>SUMIFS(BS_RE33!$H$7:$H$874,BS_RE33!$S$7:$S$874,$AH$2,BS_RE33!$N$7:$N$874,I42,BS_RE33!$P$7:$P$874,'30 days CF Table(JPY)'!G42,BS_RE33!$F$7:$F$874,'30 days CF Table(JPY)'!$C$2)</f>
        <v>0</v>
      </c>
      <c r="AI42" s="337">
        <f>SUMIFS(BS_RE33!$H$7:$H$874,BS_RE33!$S$7:$S$874,$AI$2,BS_RE33!$N$7:$N$874,I42,BS_RE33!$P$7:$P$874,'30 days CF Table(JPY)'!G42,BS_RE33!$F$7:$F$874,'30 days CF Table(JPY)'!$C$2)</f>
        <v>0</v>
      </c>
      <c r="AJ42" s="337">
        <f>SUMIFS(BS_RE33!$H$7:$H$874,BS_RE33!$S$7:$S$874,$AJ$2,BS_RE33!$N$7:$N$874,I42,BS_RE33!$P$7:$P$874,'30 days CF Table(JPY)'!G42,BS_RE33!$F$7:$F$874,'30 days CF Table(JPY)'!$C$2)</f>
        <v>0</v>
      </c>
      <c r="AK42" s="337">
        <f>SUMIFS(BS_RE33!$H$7:$H$874,BS_RE33!$S$7:$S$874,$AK$2,BS_RE33!$N$7:$N$874,I42,BS_RE33!$P$7:$P$874,'30 days CF Table(JPY)'!G42,BS_RE33!$F$7:$F$874,'30 days CF Table(JPY)'!$C$2)</f>
        <v>0</v>
      </c>
      <c r="AL42" s="337">
        <f>SUMIFS(BS_RE33!$H$7:$H$874,BS_RE33!$S$7:$S$874,$AL$2,BS_RE33!$N$7:$N$874,I42,BS_RE33!$P$7:$P$874,'30 days CF Table(JPY)'!G42,BS_RE33!$F$7:$F$874,'30 days CF Table(JPY)'!$C$2)</f>
        <v>0</v>
      </c>
      <c r="AM42" s="337">
        <f>SUMIFS(BS_RE33!$H$7:$H$874,BS_RE33!$S$7:$S$874,$AM$2,BS_RE33!$N$7:$N$874,I42,BS_RE33!$P$7:$P$874,'30 days CF Table(JPY)'!G42,BS_RE33!$F$7:$F$874,'30 days CF Table(JPY)'!$C$2)</f>
        <v>0</v>
      </c>
      <c r="AN42" s="337">
        <f>SUMIFS(BS_RE33!$H$7:$H$874,BS_RE33!$S$7:$S$874,$AN$2,BS_RE33!$N$7:$N$874,I42,BS_RE33!$P$7:$P$874,'30 days CF Table(JPY)'!G42,BS_RE33!$F$7:$F$874,'30 days CF Table(JPY)'!$C$2)</f>
        <v>0</v>
      </c>
      <c r="AO42" s="337">
        <f>SUMIFS(BS_RE33!$H$7:$H$874,BS_RE33!$S$7:$S$874,$AO$2,BS_RE33!$N$7:$N$874,I42,BS_RE33!$P$7:$P$874,'30 days CF Table(JPY)'!G42,BS_RE33!$F$7:$F$874,'30 days CF Table(JPY)'!$C$2)</f>
        <v>0</v>
      </c>
      <c r="AP42" s="338">
        <f>SUMIFS(BS_RE33!$H$7:$H$874,BS_RE33!$S$7:$S$874,$AP$2,BS_RE33!$N$7:$N$874,I42,BS_RE33!$P$7:$P$874,'30 days CF Table(JPY)'!G42,BS_RE33!$F$7:$F$874,'30 days CF Table(JPY)'!$C$2)</f>
        <v>0</v>
      </c>
      <c r="AR42" s="379">
        <f>SUMIFS(BS_RE33!$H$7:$H$874,BS_RE33!$S$7:$S$874,$AR$2,BS_RE33!$N$7:$N$874,I42,BS_RE33!$P$7:$P$874,'30 days CF Table(JPY)'!G42,BS_RE33!$F$7:$F$874,'30 days CF Table(JPY)'!$C$2)</f>
        <v>0</v>
      </c>
      <c r="AS42" s="379">
        <f>SUMIFS(BS_RE33!$H$7:$H$874,BS_RE33!$S$7:$S$874,$AS$2,BS_RE33!$N$7:$N$874,I42,BS_RE33!$P$7:$P$874,'30 days CF Table(JPY)'!G42,BS_RE33!$F$7:$F$874,'30 days CF Table(JPY)'!$C$2)</f>
        <v>0</v>
      </c>
      <c r="AT42" s="379">
        <f>SUMIFS(BS_RE33!$H$7:$H$874,BS_RE33!$S$7:$S$874,$AT$2,BS_RE33!$N$7:$N$874,I42,BS_RE33!$P$7:$P$874,'30 days CF Table(JPY)'!G42,BS_RE33!$F$7:$F$874,'30 days CF Table(JPY)'!$C$2)</f>
        <v>0</v>
      </c>
      <c r="AU42" s="379">
        <f>SUMIFS(BS_RE33!$H$7:$H$874,BS_RE33!$S$7:$S$874,$AU$2,BS_RE33!$N$7:$N$874,I42,BS_RE33!$P$7:$P$874,'30 days CF Table(JPY)'!G42,BS_RE33!$F$7:$F$874,'30 days CF Table(JPY)'!$C$2)</f>
        <v>0</v>
      </c>
      <c r="AV42" s="379">
        <f>SUMIFS(BS_RE33!$H$7:$H$874,BS_RE33!$S$7:$S$874,$AV$2,BS_RE33!$N$7:$N$874,I42,BS_RE33!$P$7:$P$874,'30 days CF Table(JPY)'!G42,BS_RE33!$F$7:$F$874,'30 days CF Table(JPY)'!$C$2)</f>
        <v>0</v>
      </c>
      <c r="AW42" s="379">
        <f>SUMIFS(BS_RE33!$H$7:$H$874,BS_RE33!$S$7:$S$874,$AW$2,BS_RE33!$N$7:$N$874,I42,BS_RE33!$P$7:$P$874,'30 days CF Table(JPY)'!G42,BS_RE33!$F$7:$F$874,'30 days CF Table(JPY)'!$C$2)</f>
        <v>0</v>
      </c>
      <c r="AX42" s="379">
        <f>SUMIFS(BS_RE33!$H$7:$H$874,BS_RE33!$S$7:$S$874,$AX$2,BS_RE33!$N$7:$N$874,I42,BS_RE33!$P$7:$P$874,'30 days CF Table(JPY)'!G42,BS_RE33!$F$7:$F$874,'30 days CF Table(JPY)'!$C$2)</f>
        <v>0</v>
      </c>
      <c r="AY42" s="379">
        <f>SUMIFS(BS_RE33!$H$7:$H$874,BS_RE33!$S$7:$S$874,$AY$2,BS_RE33!$N$7:$N$874,I42,BS_RE33!$P$7:$P$874,'30 days CF Table(JPY)'!G42,BS_RE33!$F$7:$F$874,'30 days CF Table(JPY)'!$C$2)</f>
        <v>0</v>
      </c>
      <c r="AZ42" s="379">
        <f>SUMIFS(BS_RE33!$H$7:$H$874,BS_RE33!$S$7:$S$874,$AZ$2,BS_RE33!$N$7:$N$874,I42,BS_RE33!$P$7:$P$874,'30 days CF Table(JPY)'!G42,BS_RE33!$F$7:$F$874,'30 days CF Table(JPY)'!$C$2)</f>
        <v>0</v>
      </c>
      <c r="BA42" s="379">
        <f>SUMIFS(BS_RE33!$H$7:$H$874,BS_RE33!$S$7:$S$874,$BA$2,BS_RE33!$N$7:$N$874,I42,BS_RE33!$P$7:$P$874,'30 days CF Table(JPY)'!G42,BS_RE33!$F$7:$F$874,'30 days CF Table(JPY)'!$C$2)</f>
        <v>0</v>
      </c>
      <c r="BB42" s="379">
        <f>SUMIFS(BS_RE33!$H$7:$H$874,BS_RE33!$S$7:$S$874,$BB$2,BS_RE33!$N$7:$N$874,I42,BS_RE33!$P$7:$P$874,'30 days CF Table(JPY)'!G42,BS_RE33!$F$7:$F$874,'30 days CF Table(JPY)'!$C$2)</f>
        <v>0</v>
      </c>
      <c r="BC42" s="379">
        <f>SUMIFS(BS_RE33!$H$7:$H$874,BS_RE33!$S$7:$S$874,$BC$2,BS_RE33!$N$7:$N$874,I42,BS_RE33!$P$7:$P$874,'30 days CF Table(JPY)'!G42,BS_RE33!$F$7:$F$874,'30 days CF Table(JPY)'!$C$2)</f>
        <v>0</v>
      </c>
      <c r="BD42" s="379">
        <f>SUMIFS(BS_RE33!$H$7:$H$874,BS_RE33!$S$7:$S$874,$BD$2,BS_RE33!$N$7:$N$874,I42,BS_RE33!$P$7:$P$874,'30 days CF Table(JPY)'!G42,BS_RE33!$F$7:$F$874,'30 days CF Table(JPY)'!$C$2)</f>
        <v>0</v>
      </c>
      <c r="BE42" s="379">
        <f>SUMIFS(BS_RE33!$H$7:$H$874,BS_RE33!$S$7:$S$874,$BE$2,BS_RE33!$N$7:$N$874,I42,BS_RE33!$P$7:$P$874,'30 days CF Table(JPY)'!G42,BS_RE33!$F$7:$F$874,'30 days CF Table(JPY)'!$C$2)</f>
        <v>0</v>
      </c>
      <c r="BF42" s="379">
        <f>SUMIFS(BS_RE33!$H$7:$H$874,BS_RE33!$S$7:$S$874,$BF$2,BS_RE33!$N$7:$N$874,I42,BS_RE33!$P$7:$P$874,'30 days CF Table(JPY)'!G42,BS_RE33!$F$7:$F$874,'30 days CF Table(JPY)'!$C$2)</f>
        <v>0</v>
      </c>
      <c r="BG42" s="379">
        <f>SUMIFS(BS_RE33!$H$7:$H$874,BS_RE33!$S$7:$S$874,$BG$2,BS_RE33!$N$7:$N$874,I42,BS_RE33!$P$7:$P$874,'30 days CF Table(JPY)'!G42,BS_RE33!$F$7:$F$874,'30 days CF Table(JPY)'!$C$2)</f>
        <v>0</v>
      </c>
      <c r="BH42" s="379">
        <f>SUMIFS(BS_RE33!$H$7:$H$874,BS_RE33!$S$7:$S$874,$BH$2,BS_RE33!$N$7:$N$874,I42,BS_RE33!$P$7:$P$874,'30 days CF Table(JPY)'!G42,BS_RE33!$F$7:$F$874,'30 days CF Table(JPY)'!$C$2)</f>
        <v>0</v>
      </c>
      <c r="BI42" s="379">
        <f>SUMIFS(BS_RE33!$H$7:$H$874,BS_RE33!$S$7:$S$874,$BI$2,BS_RE33!$N$7:$N$874,I42,BS_RE33!$P$7:$P$874,'30 days CF Table(JPY)'!G42,BS_RE33!$F$7:$F$874,'30 days CF Table(JPY)'!$C$2)</f>
        <v>0</v>
      </c>
      <c r="BJ42" s="379">
        <f>SUMIFS(BS_RE33!$H$7:$H$874,BS_RE33!$S$7:$S$874,$BJ$2,BS_RE33!$N$7:$N$874,I42,BS_RE33!$P$7:$P$874,'30 days CF Table(JPY)'!G42,BS_RE33!$F$7:$F$874,'30 days CF Table(JPY)'!$C$2)</f>
        <v>0</v>
      </c>
      <c r="BK42" s="379">
        <f>SUMIFS(BS_RE33!$H$7:$H$874,BS_RE33!$S$7:$S$874,$BK$2,BS_RE33!$N$7:$N$874,I42,BS_RE33!$P$7:$P$874,'30 days CF Table(JPY)'!G42,BS_RE33!$F$7:$F$874,'30 days CF Table(JPY)'!$C$2)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Table(JPY)'!G43,BS_RE33!$F$7:$F$874,'30 days CF Table(JPY)'!$C$2)</f>
        <v>0</v>
      </c>
      <c r="M43" s="337">
        <f>SUMIFS(BS_RE33!$H$7:$H$874,BS_RE33!$S$7:$S$874,$M$2,BS_RE33!$N$7:$N$874,I43,BS_RE33!$P$7:$P$874,'30 days CF Table(JPY)'!G43,BS_RE33!$F$7:$F$874,'30 days CF Table(JPY)'!$C$2)</f>
        <v>0</v>
      </c>
      <c r="N43" s="337">
        <f>SUMIFS(BS_RE33!$H$7:$H$874,BS_RE33!$S$7:$S$874,$N$2,BS_RE33!$N$7:$N$874,I43,BS_RE33!$P$7:$P$874,'30 days CF Table(JPY)'!G43,BS_RE33!$F$7:$F$874,'30 days CF Table(JPY)'!$C$2)</f>
        <v>0</v>
      </c>
      <c r="O43" s="337">
        <f>SUMIFS(BS_RE33!$H$7:$H$874,BS_RE33!$S$7:$S$874,$O$2,BS_RE33!$N$7:$N$874,I43,BS_RE33!$P$7:$P$874,'30 days CF Table(JPY)'!G43,BS_RE33!$F$7:$F$874,'30 days CF Table(JPY)'!$C$2)</f>
        <v>0</v>
      </c>
      <c r="P43" s="337">
        <f>SUMIFS(BS_RE33!$H$7:$H$874,BS_RE33!$S$7:$S$874,$P$2,BS_RE33!$N$7:$N$874,I43,BS_RE33!$P$7:$P$874,'30 days CF Table(JPY)'!G43,BS_RE33!$F$7:$F$874,'30 days CF Table(JPY)'!$C$2)</f>
        <v>0</v>
      </c>
      <c r="Q43" s="337">
        <f>SUMIFS(BS_RE33!$H$7:$H$874,BS_RE33!$S$7:$S$874,$Q$2,BS_RE33!$N$7:$N$874,I43,BS_RE33!$P$7:$P$874,'30 days CF Table(JPY)'!G43,BS_RE33!$F$7:$F$874,'30 days CF Table(JPY)'!$C$2)</f>
        <v>0</v>
      </c>
      <c r="R43" s="337">
        <f>SUMIFS(BS_RE33!$H$7:$H$874,BS_RE33!$S$7:$S$874,$R$2,BS_RE33!$N$7:$N$874,I43,BS_RE33!$P$7:$P$874,'30 days CF Table(JPY)'!G43,BS_RE33!$F$7:$F$874,'30 days CF Table(JPY)'!$C$2)</f>
        <v>0</v>
      </c>
      <c r="S43" s="337">
        <f>SUMIFS(BS_RE33!$H$7:$H$874,BS_RE33!$S$7:$S$874,$S$2,BS_RE33!$N$7:$N$874,I43,BS_RE33!$P$7:$P$874,'30 days CF Table(JPY)'!G43,BS_RE33!$F$7:$F$874,'30 days CF Table(JPY)'!$C$2)</f>
        <v>0</v>
      </c>
      <c r="T43" s="337">
        <f>SUMIFS(BS_RE33!$H$7:$H$874,BS_RE33!$S$7:$S$874,$T$2,BS_RE33!$N$7:$N$874,I43,BS_RE33!$P$7:$P$874,'30 days CF Table(JPY)'!G43,BS_RE33!$F$7:$F$874,'30 days CF Table(JPY)'!$C$2)</f>
        <v>0</v>
      </c>
      <c r="U43" s="337">
        <f>SUMIFS(BS_RE33!$H$7:$H$874,BS_RE33!$S$7:$S$874,$U$2,BS_RE33!$N$7:$N$874,I43,BS_RE33!$P$7:$P$874,'30 days CF Table(JPY)'!G43,BS_RE33!$F$7:$F$874,'30 days CF Table(JPY)'!$C$2)</f>
        <v>0</v>
      </c>
      <c r="V43" s="337">
        <f>SUMIFS(BS_RE33!$H$7:$H$874,BS_RE33!$S$7:$S$874,$V$2,BS_RE33!$N$7:$N$874,I43,BS_RE33!$P$7:$P$874,'30 days CF Table(JPY)'!G43,BS_RE33!$F$7:$F$874,'30 days CF Table(JPY)'!$C$2)</f>
        <v>0</v>
      </c>
      <c r="W43" s="337">
        <f>SUMIFS(BS_RE33!$H$7:$H$874,BS_RE33!$S$7:$S$874,$W$2,BS_RE33!$N$7:$N$874,I43,BS_RE33!$P$7:$P$874,'30 days CF Table(JPY)'!G43,BS_RE33!$F$7:$F$874,'30 days CF Table(JPY)'!$C$2)</f>
        <v>0</v>
      </c>
      <c r="X43" s="337">
        <f>SUMIFS(BS_RE33!$H$7:$H$874,BS_RE33!$S$7:$S$874,$X$2,BS_RE33!$N$7:$N$874,I43,BS_RE33!$P$7:$P$874,'30 days CF Table(JPY)'!G43,BS_RE33!$F$7:$F$874,'30 days CF Table(JPY)'!$C$2)</f>
        <v>0</v>
      </c>
      <c r="Y43" s="337">
        <f>SUMIFS(BS_RE33!$H$7:$H$874,BS_RE33!$S$7:$S$874,$Y$2,BS_RE33!$N$7:$N$874,I43,BS_RE33!$P$7:$P$874,'30 days CF Table(JPY)'!G43,BS_RE33!$F$7:$F$874,'30 days CF Table(JPY)'!$C$2)</f>
        <v>0</v>
      </c>
      <c r="Z43" s="337">
        <f>SUMIFS(BS_RE33!$H$7:$H$874,BS_RE33!$S$7:$S$874,$Z$2,BS_RE33!$N$7:$N$874,I43,BS_RE33!$P$7:$P$874,'30 days CF Table(JPY)'!G43,BS_RE33!$F$7:$F$874,'30 days CF Table(JPY)'!$C$2)</f>
        <v>0</v>
      </c>
      <c r="AA43" s="337">
        <f>SUMIFS(BS_RE33!$H$7:$H$874,BS_RE33!$S$7:$S$874,$AA$2,BS_RE33!$N$7:$N$874,I43,BS_RE33!$P$7:$P$874,'30 days CF Table(JPY)'!G43,BS_RE33!$F$7:$F$874,'30 days CF Table(JPY)'!$C$2)</f>
        <v>0</v>
      </c>
      <c r="AB43" s="337">
        <f>SUMIFS(BS_RE33!$H$7:$H$874,BS_RE33!$S$7:$S$874,$AB$2,BS_RE33!$N$7:$N$874,I43,BS_RE33!$P$7:$P$874,'30 days CF Table(JPY)'!G43,BS_RE33!$F$7:$F$874,'30 days CF Table(JPY)'!$C$2)</f>
        <v>0</v>
      </c>
      <c r="AC43" s="337">
        <f>SUMIFS(BS_RE33!$H$7:$H$874,BS_RE33!$S$7:$S$874,$AC$2,BS_RE33!$N$7:$N$874,I43,BS_RE33!$P$7:$P$874,'30 days CF Table(JPY)'!G43,BS_RE33!$F$7:$F$874,'30 days CF Table(JPY)'!$C$2)</f>
        <v>0</v>
      </c>
      <c r="AD43" s="337">
        <f>SUMIFS(BS_RE33!$H$7:$H$874,BS_RE33!$S$7:$S$874,$AD$2,BS_RE33!$N$7:$N$874,I43,BS_RE33!$P$7:$P$874,'30 days CF Table(JPY)'!G43,BS_RE33!$F$7:$F$874,'30 days CF Table(JPY)'!$C$2)</f>
        <v>0</v>
      </c>
      <c r="AE43" s="337">
        <f>SUMIFS(BS_RE33!$H$7:$H$874,BS_RE33!$S$7:$S$874,$AE$2,BS_RE33!$N$7:$N$874,I43,BS_RE33!$P$7:$P$874,'30 days CF Table(JPY)'!G43,BS_RE33!$F$7:$F$874,'30 days CF Table(JPY)'!$C$2)</f>
        <v>0</v>
      </c>
      <c r="AF43" s="337">
        <f>SUMIFS(BS_RE33!$H$7:$H$874,BS_RE33!$S$7:$S$874,$AF$2,BS_RE33!$N$7:$N$874,I43,BS_RE33!$P$7:$P$874,'30 days CF Table(JPY)'!G43,BS_RE33!$F$7:$F$874,'30 days CF Table(JPY)'!$C$2)</f>
        <v>0</v>
      </c>
      <c r="AG43" s="337">
        <f>SUMIFS(BS_RE33!$H$7:$H$874,BS_RE33!$S$7:$S$874,$AG$2,BS_RE33!$N$7:$N$874,I43,BS_RE33!$P$7:$P$874,'30 days CF Table(JPY)'!G43,BS_RE33!$F$7:$F$874,'30 days CF Table(JPY)'!$C$2)</f>
        <v>0</v>
      </c>
      <c r="AH43" s="337">
        <f>SUMIFS(BS_RE33!$H$7:$H$874,BS_RE33!$S$7:$S$874,$AH$2,BS_RE33!$N$7:$N$874,I43,BS_RE33!$P$7:$P$874,'30 days CF Table(JPY)'!G43,BS_RE33!$F$7:$F$874,'30 days CF Table(JPY)'!$C$2)</f>
        <v>0</v>
      </c>
      <c r="AI43" s="337">
        <f>SUMIFS(BS_RE33!$H$7:$H$874,BS_RE33!$S$7:$S$874,$AI$2,BS_RE33!$N$7:$N$874,I43,BS_RE33!$P$7:$P$874,'30 days CF Table(JPY)'!G43,BS_RE33!$F$7:$F$874,'30 days CF Table(JPY)'!$C$2)</f>
        <v>0</v>
      </c>
      <c r="AJ43" s="337">
        <f>SUMIFS(BS_RE33!$H$7:$H$874,BS_RE33!$S$7:$S$874,$AJ$2,BS_RE33!$N$7:$N$874,I43,BS_RE33!$P$7:$P$874,'30 days CF Table(JPY)'!G43,BS_RE33!$F$7:$F$874,'30 days CF Table(JPY)'!$C$2)</f>
        <v>0</v>
      </c>
      <c r="AK43" s="337">
        <f>SUMIFS(BS_RE33!$H$7:$H$874,BS_RE33!$S$7:$S$874,$AK$2,BS_RE33!$N$7:$N$874,I43,BS_RE33!$P$7:$P$874,'30 days CF Table(JPY)'!G43,BS_RE33!$F$7:$F$874,'30 days CF Table(JPY)'!$C$2)</f>
        <v>0</v>
      </c>
      <c r="AL43" s="337">
        <f>SUMIFS(BS_RE33!$H$7:$H$874,BS_RE33!$S$7:$S$874,$AL$2,BS_RE33!$N$7:$N$874,I43,BS_RE33!$P$7:$P$874,'30 days CF Table(JPY)'!G43,BS_RE33!$F$7:$F$874,'30 days CF Table(JPY)'!$C$2)</f>
        <v>0</v>
      </c>
      <c r="AM43" s="337">
        <f>SUMIFS(BS_RE33!$H$7:$H$874,BS_RE33!$S$7:$S$874,$AM$2,BS_RE33!$N$7:$N$874,I43,BS_RE33!$P$7:$P$874,'30 days CF Table(JPY)'!G43,BS_RE33!$F$7:$F$874,'30 days CF Table(JPY)'!$C$2)</f>
        <v>0</v>
      </c>
      <c r="AN43" s="337">
        <f>SUMIFS(BS_RE33!$H$7:$H$874,BS_RE33!$S$7:$S$874,$AN$2,BS_RE33!$N$7:$N$874,I43,BS_RE33!$P$7:$P$874,'30 days CF Table(JPY)'!G43,BS_RE33!$F$7:$F$874,'30 days CF Table(JPY)'!$C$2)</f>
        <v>0</v>
      </c>
      <c r="AO43" s="337">
        <f>SUMIFS(BS_RE33!$H$7:$H$874,BS_RE33!$S$7:$S$874,$AO$2,BS_RE33!$N$7:$N$874,I43,BS_RE33!$P$7:$P$874,'30 days CF Table(JPY)'!G43,BS_RE33!$F$7:$F$874,'30 days CF Table(JPY)'!$C$2)</f>
        <v>0</v>
      </c>
      <c r="AP43" s="338">
        <f>SUMIFS(BS_RE33!$H$7:$H$874,BS_RE33!$S$7:$S$874,$AP$2,BS_RE33!$N$7:$N$874,I43,BS_RE33!$P$7:$P$874,'30 days CF Table(JPY)'!G43,BS_RE33!$F$7:$F$874,'30 days CF Table(JPY)'!$C$2)</f>
        <v>0</v>
      </c>
      <c r="AR43" s="379">
        <f>SUMIFS(BS_RE33!$H$7:$H$874,BS_RE33!$S$7:$S$874,$AR$2,BS_RE33!$N$7:$N$874,I43,BS_RE33!$P$7:$P$874,'30 days CF Table(JPY)'!G43,BS_RE33!$F$7:$F$874,'30 days CF Table(JPY)'!$C$2)</f>
        <v>0</v>
      </c>
      <c r="AS43" s="379">
        <f>SUMIFS(BS_RE33!$H$7:$H$874,BS_RE33!$S$7:$S$874,$AS$2,BS_RE33!$N$7:$N$874,I43,BS_RE33!$P$7:$P$874,'30 days CF Table(JPY)'!G43,BS_RE33!$F$7:$F$874,'30 days CF Table(JPY)'!$C$2)</f>
        <v>0</v>
      </c>
      <c r="AT43" s="379">
        <f>SUMIFS(BS_RE33!$H$7:$H$874,BS_RE33!$S$7:$S$874,$AT$2,BS_RE33!$N$7:$N$874,I43,BS_RE33!$P$7:$P$874,'30 days CF Table(JPY)'!G43,BS_RE33!$F$7:$F$874,'30 days CF Table(JPY)'!$C$2)</f>
        <v>0</v>
      </c>
      <c r="AU43" s="379">
        <f>SUMIFS(BS_RE33!$H$7:$H$874,BS_RE33!$S$7:$S$874,$AU$2,BS_RE33!$N$7:$N$874,I43,BS_RE33!$P$7:$P$874,'30 days CF Table(JPY)'!G43,BS_RE33!$F$7:$F$874,'30 days CF Table(JPY)'!$C$2)</f>
        <v>0</v>
      </c>
      <c r="AV43" s="379">
        <f>SUMIFS(BS_RE33!$H$7:$H$874,BS_RE33!$S$7:$S$874,$AV$2,BS_RE33!$N$7:$N$874,I43,BS_RE33!$P$7:$P$874,'30 days CF Table(JPY)'!G43,BS_RE33!$F$7:$F$874,'30 days CF Table(JPY)'!$C$2)</f>
        <v>0</v>
      </c>
      <c r="AW43" s="379">
        <f>SUMIFS(BS_RE33!$H$7:$H$874,BS_RE33!$S$7:$S$874,$AW$2,BS_RE33!$N$7:$N$874,I43,BS_RE33!$P$7:$P$874,'30 days CF Table(JPY)'!G43,BS_RE33!$F$7:$F$874,'30 days CF Table(JPY)'!$C$2)</f>
        <v>0</v>
      </c>
      <c r="AX43" s="379">
        <f>SUMIFS(BS_RE33!$H$7:$H$874,BS_RE33!$S$7:$S$874,$AX$2,BS_RE33!$N$7:$N$874,I43,BS_RE33!$P$7:$P$874,'30 days CF Table(JPY)'!G43,BS_RE33!$F$7:$F$874,'30 days CF Table(JPY)'!$C$2)</f>
        <v>0</v>
      </c>
      <c r="AY43" s="379">
        <f>SUMIFS(BS_RE33!$H$7:$H$874,BS_RE33!$S$7:$S$874,$AY$2,BS_RE33!$N$7:$N$874,I43,BS_RE33!$P$7:$P$874,'30 days CF Table(JPY)'!G43,BS_RE33!$F$7:$F$874,'30 days CF Table(JPY)'!$C$2)</f>
        <v>0</v>
      </c>
      <c r="AZ43" s="379">
        <f>SUMIFS(BS_RE33!$H$7:$H$874,BS_RE33!$S$7:$S$874,$AZ$2,BS_RE33!$N$7:$N$874,I43,BS_RE33!$P$7:$P$874,'30 days CF Table(JPY)'!G43,BS_RE33!$F$7:$F$874,'30 days CF Table(JPY)'!$C$2)</f>
        <v>0</v>
      </c>
      <c r="BA43" s="379">
        <f>SUMIFS(BS_RE33!$H$7:$H$874,BS_RE33!$S$7:$S$874,$BA$2,BS_RE33!$N$7:$N$874,I43,BS_RE33!$P$7:$P$874,'30 days CF Table(JPY)'!G43,BS_RE33!$F$7:$F$874,'30 days CF Table(JPY)'!$C$2)</f>
        <v>0</v>
      </c>
      <c r="BB43" s="379">
        <f>SUMIFS(BS_RE33!$H$7:$H$874,BS_RE33!$S$7:$S$874,$BB$2,BS_RE33!$N$7:$N$874,I43,BS_RE33!$P$7:$P$874,'30 days CF Table(JPY)'!G43,BS_RE33!$F$7:$F$874,'30 days CF Table(JPY)'!$C$2)</f>
        <v>0</v>
      </c>
      <c r="BC43" s="379">
        <f>SUMIFS(BS_RE33!$H$7:$H$874,BS_RE33!$S$7:$S$874,$BC$2,BS_RE33!$N$7:$N$874,I43,BS_RE33!$P$7:$P$874,'30 days CF Table(JPY)'!G43,BS_RE33!$F$7:$F$874,'30 days CF Table(JPY)'!$C$2)</f>
        <v>0</v>
      </c>
      <c r="BD43" s="379">
        <f>SUMIFS(BS_RE33!$H$7:$H$874,BS_RE33!$S$7:$S$874,$BD$2,BS_RE33!$N$7:$N$874,I43,BS_RE33!$P$7:$P$874,'30 days CF Table(JPY)'!G43,BS_RE33!$F$7:$F$874,'30 days CF Table(JPY)'!$C$2)</f>
        <v>0</v>
      </c>
      <c r="BE43" s="379">
        <f>SUMIFS(BS_RE33!$H$7:$H$874,BS_RE33!$S$7:$S$874,$BE$2,BS_RE33!$N$7:$N$874,I43,BS_RE33!$P$7:$P$874,'30 days CF Table(JPY)'!G43,BS_RE33!$F$7:$F$874,'30 days CF Table(JPY)'!$C$2)</f>
        <v>0</v>
      </c>
      <c r="BF43" s="379">
        <f>SUMIFS(BS_RE33!$H$7:$H$874,BS_RE33!$S$7:$S$874,$BF$2,BS_RE33!$N$7:$N$874,I43,BS_RE33!$P$7:$P$874,'30 days CF Table(JPY)'!G43,BS_RE33!$F$7:$F$874,'30 days CF Table(JPY)'!$C$2)</f>
        <v>0</v>
      </c>
      <c r="BG43" s="379">
        <f>SUMIFS(BS_RE33!$H$7:$H$874,BS_RE33!$S$7:$S$874,$BG$2,BS_RE33!$N$7:$N$874,I43,BS_RE33!$P$7:$P$874,'30 days CF Table(JPY)'!G43,BS_RE33!$F$7:$F$874,'30 days CF Table(JPY)'!$C$2)</f>
        <v>0</v>
      </c>
      <c r="BH43" s="379">
        <f>SUMIFS(BS_RE33!$H$7:$H$874,BS_RE33!$S$7:$S$874,$BH$2,BS_RE33!$N$7:$N$874,I43,BS_RE33!$P$7:$P$874,'30 days CF Table(JPY)'!G43,BS_RE33!$F$7:$F$874,'30 days CF Table(JPY)'!$C$2)</f>
        <v>0</v>
      </c>
      <c r="BI43" s="379">
        <f>SUMIFS(BS_RE33!$H$7:$H$874,BS_RE33!$S$7:$S$874,$BI$2,BS_RE33!$N$7:$N$874,I43,BS_RE33!$P$7:$P$874,'30 days CF Table(JPY)'!G43,BS_RE33!$F$7:$F$874,'30 days CF Table(JPY)'!$C$2)</f>
        <v>0</v>
      </c>
      <c r="BJ43" s="379">
        <f>SUMIFS(BS_RE33!$H$7:$H$874,BS_RE33!$S$7:$S$874,$BJ$2,BS_RE33!$N$7:$N$874,I43,BS_RE33!$P$7:$P$874,'30 days CF Table(JPY)'!G43,BS_RE33!$F$7:$F$874,'30 days CF Table(JPY)'!$C$2)</f>
        <v>0</v>
      </c>
      <c r="BK43" s="379">
        <f>SUMIFS(BS_RE33!$H$7:$H$874,BS_RE33!$S$7:$S$874,$BK$2,BS_RE33!$N$7:$N$874,I43,BS_RE33!$P$7:$P$874,'30 days CF Table(JPY)'!G43,BS_RE33!$F$7:$F$874,'30 days CF Table(JPY)'!$C$2)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Table(JPY)'!G44,BS_RE33!$F$7:$F$874,'30 days CF Table(JPY)'!$C$2)</f>
        <v>0</v>
      </c>
      <c r="M44" s="337">
        <f>SUMIFS(BS_RE33!$H$7:$H$874,BS_RE33!$S$7:$S$874,$M$2,BS_RE33!$N$7:$N$874,I44,BS_RE33!$P$7:$P$874,'30 days CF Table(JPY)'!G44,BS_RE33!$F$7:$F$874,'30 days CF Table(JPY)'!$C$2)</f>
        <v>0</v>
      </c>
      <c r="N44" s="337">
        <f>SUMIFS(BS_RE33!$H$7:$H$874,BS_RE33!$S$7:$S$874,$N$2,BS_RE33!$N$7:$N$874,I44,BS_RE33!$P$7:$P$874,'30 days CF Table(JPY)'!G44,BS_RE33!$F$7:$F$874,'30 days CF Table(JPY)'!$C$2)</f>
        <v>0</v>
      </c>
      <c r="O44" s="337">
        <f>SUMIFS(BS_RE33!$H$7:$H$874,BS_RE33!$S$7:$S$874,$O$2,BS_RE33!$N$7:$N$874,I44,BS_RE33!$P$7:$P$874,'30 days CF Table(JPY)'!G44,BS_RE33!$F$7:$F$874,'30 days CF Table(JPY)'!$C$2)</f>
        <v>0</v>
      </c>
      <c r="P44" s="337">
        <f>SUMIFS(BS_RE33!$H$7:$H$874,BS_RE33!$S$7:$S$874,$P$2,BS_RE33!$N$7:$N$874,I44,BS_RE33!$P$7:$P$874,'30 days CF Table(JPY)'!G44,BS_RE33!$F$7:$F$874,'30 days CF Table(JPY)'!$C$2)</f>
        <v>0</v>
      </c>
      <c r="Q44" s="337">
        <f>SUMIFS(BS_RE33!$H$7:$H$874,BS_RE33!$S$7:$S$874,$Q$2,BS_RE33!$N$7:$N$874,I44,BS_RE33!$P$7:$P$874,'30 days CF Table(JPY)'!G44,BS_RE33!$F$7:$F$874,'30 days CF Table(JPY)'!$C$2)</f>
        <v>0</v>
      </c>
      <c r="R44" s="337">
        <f>SUMIFS(BS_RE33!$H$7:$H$874,BS_RE33!$S$7:$S$874,$R$2,BS_RE33!$N$7:$N$874,I44,BS_RE33!$P$7:$P$874,'30 days CF Table(JPY)'!G44,BS_RE33!$F$7:$F$874,'30 days CF Table(JPY)'!$C$2)</f>
        <v>0</v>
      </c>
      <c r="S44" s="337">
        <f>SUMIFS(BS_RE33!$H$7:$H$874,BS_RE33!$S$7:$S$874,$S$2,BS_RE33!$N$7:$N$874,I44,BS_RE33!$P$7:$P$874,'30 days CF Table(JPY)'!G44,BS_RE33!$F$7:$F$874,'30 days CF Table(JPY)'!$C$2)</f>
        <v>0</v>
      </c>
      <c r="T44" s="337">
        <f>SUMIFS(BS_RE33!$H$7:$H$874,BS_RE33!$S$7:$S$874,$T$2,BS_RE33!$N$7:$N$874,I44,BS_RE33!$P$7:$P$874,'30 days CF Table(JPY)'!G44,BS_RE33!$F$7:$F$874,'30 days CF Table(JPY)'!$C$2)</f>
        <v>0</v>
      </c>
      <c r="U44" s="337">
        <f>SUMIFS(BS_RE33!$H$7:$H$874,BS_RE33!$S$7:$S$874,$U$2,BS_RE33!$N$7:$N$874,I44,BS_RE33!$P$7:$P$874,'30 days CF Table(JPY)'!G44,BS_RE33!$F$7:$F$874,'30 days CF Table(JPY)'!$C$2)</f>
        <v>0</v>
      </c>
      <c r="V44" s="337">
        <f>SUMIFS(BS_RE33!$H$7:$H$874,BS_RE33!$S$7:$S$874,$V$2,BS_RE33!$N$7:$N$874,I44,BS_RE33!$P$7:$P$874,'30 days CF Table(JPY)'!G44,BS_RE33!$F$7:$F$874,'30 days CF Table(JPY)'!$C$2)</f>
        <v>0</v>
      </c>
      <c r="W44" s="337">
        <f>SUMIFS(BS_RE33!$H$7:$H$874,BS_RE33!$S$7:$S$874,$W$2,BS_RE33!$N$7:$N$874,I44,BS_RE33!$P$7:$P$874,'30 days CF Table(JPY)'!G44,BS_RE33!$F$7:$F$874,'30 days CF Table(JPY)'!$C$2)</f>
        <v>0</v>
      </c>
      <c r="X44" s="337">
        <f>SUMIFS(BS_RE33!$H$7:$H$874,BS_RE33!$S$7:$S$874,$X$2,BS_RE33!$N$7:$N$874,I44,BS_RE33!$P$7:$P$874,'30 days CF Table(JPY)'!G44,BS_RE33!$F$7:$F$874,'30 days CF Table(JPY)'!$C$2)</f>
        <v>0</v>
      </c>
      <c r="Y44" s="337">
        <f>SUMIFS(BS_RE33!$H$7:$H$874,BS_RE33!$S$7:$S$874,$Y$2,BS_RE33!$N$7:$N$874,I44,BS_RE33!$P$7:$P$874,'30 days CF Table(JPY)'!G44,BS_RE33!$F$7:$F$874,'30 days CF Table(JPY)'!$C$2)</f>
        <v>0</v>
      </c>
      <c r="Z44" s="337">
        <f>SUMIFS(BS_RE33!$H$7:$H$874,BS_RE33!$S$7:$S$874,$Z$2,BS_RE33!$N$7:$N$874,I44,BS_RE33!$P$7:$P$874,'30 days CF Table(JPY)'!G44,BS_RE33!$F$7:$F$874,'30 days CF Table(JPY)'!$C$2)</f>
        <v>0</v>
      </c>
      <c r="AA44" s="337">
        <f>SUMIFS(BS_RE33!$H$7:$H$874,BS_RE33!$S$7:$S$874,$AA$2,BS_RE33!$N$7:$N$874,I44,BS_RE33!$P$7:$P$874,'30 days CF Table(JPY)'!G44,BS_RE33!$F$7:$F$874,'30 days CF Table(JPY)'!$C$2)</f>
        <v>0</v>
      </c>
      <c r="AB44" s="337">
        <f>SUMIFS(BS_RE33!$H$7:$H$874,BS_RE33!$S$7:$S$874,$AB$2,BS_RE33!$N$7:$N$874,I44,BS_RE33!$P$7:$P$874,'30 days CF Table(JPY)'!G44,BS_RE33!$F$7:$F$874,'30 days CF Table(JPY)'!$C$2)</f>
        <v>0</v>
      </c>
      <c r="AC44" s="337">
        <f>SUMIFS(BS_RE33!$H$7:$H$874,BS_RE33!$S$7:$S$874,$AC$2,BS_RE33!$N$7:$N$874,I44,BS_RE33!$P$7:$P$874,'30 days CF Table(JPY)'!G44,BS_RE33!$F$7:$F$874,'30 days CF Table(JPY)'!$C$2)</f>
        <v>0</v>
      </c>
      <c r="AD44" s="337">
        <f>SUMIFS(BS_RE33!$H$7:$H$874,BS_RE33!$S$7:$S$874,$AD$2,BS_RE33!$N$7:$N$874,I44,BS_RE33!$P$7:$P$874,'30 days CF Table(JPY)'!G44,BS_RE33!$F$7:$F$874,'30 days CF Table(JPY)'!$C$2)</f>
        <v>0</v>
      </c>
      <c r="AE44" s="337">
        <f>SUMIFS(BS_RE33!$H$7:$H$874,BS_RE33!$S$7:$S$874,$AE$2,BS_RE33!$N$7:$N$874,I44,BS_RE33!$P$7:$P$874,'30 days CF Table(JPY)'!G44,BS_RE33!$F$7:$F$874,'30 days CF Table(JPY)'!$C$2)</f>
        <v>0</v>
      </c>
      <c r="AF44" s="337">
        <f>SUMIFS(BS_RE33!$H$7:$H$874,BS_RE33!$S$7:$S$874,$AF$2,BS_RE33!$N$7:$N$874,I44,BS_RE33!$P$7:$P$874,'30 days CF Table(JPY)'!G44,BS_RE33!$F$7:$F$874,'30 days CF Table(JPY)'!$C$2)</f>
        <v>0</v>
      </c>
      <c r="AG44" s="337">
        <f>SUMIFS(BS_RE33!$H$7:$H$874,BS_RE33!$S$7:$S$874,$AG$2,BS_RE33!$N$7:$N$874,I44,BS_RE33!$P$7:$P$874,'30 days CF Table(JPY)'!G44,BS_RE33!$F$7:$F$874,'30 days CF Table(JPY)'!$C$2)</f>
        <v>0</v>
      </c>
      <c r="AH44" s="337">
        <f>SUMIFS(BS_RE33!$H$7:$H$874,BS_RE33!$S$7:$S$874,$AH$2,BS_RE33!$N$7:$N$874,I44,BS_RE33!$P$7:$P$874,'30 days CF Table(JPY)'!G44,BS_RE33!$F$7:$F$874,'30 days CF Table(JPY)'!$C$2)</f>
        <v>0</v>
      </c>
      <c r="AI44" s="337">
        <f>SUMIFS(BS_RE33!$H$7:$H$874,BS_RE33!$S$7:$S$874,$AI$2,BS_RE33!$N$7:$N$874,I44,BS_RE33!$P$7:$P$874,'30 days CF Table(JPY)'!G44,BS_RE33!$F$7:$F$874,'30 days CF Table(JPY)'!$C$2)</f>
        <v>0</v>
      </c>
      <c r="AJ44" s="337">
        <f>SUMIFS(BS_RE33!$H$7:$H$874,BS_RE33!$S$7:$S$874,$AJ$2,BS_RE33!$N$7:$N$874,I44,BS_RE33!$P$7:$P$874,'30 days CF Table(JPY)'!G44,BS_RE33!$F$7:$F$874,'30 days CF Table(JPY)'!$C$2)</f>
        <v>0</v>
      </c>
      <c r="AK44" s="337">
        <f>SUMIFS(BS_RE33!$H$7:$H$874,BS_RE33!$S$7:$S$874,$AK$2,BS_RE33!$N$7:$N$874,I44,BS_RE33!$P$7:$P$874,'30 days CF Table(JPY)'!G44,BS_RE33!$F$7:$F$874,'30 days CF Table(JPY)'!$C$2)</f>
        <v>0</v>
      </c>
      <c r="AL44" s="337">
        <f>SUMIFS(BS_RE33!$H$7:$H$874,BS_RE33!$S$7:$S$874,$AL$2,BS_RE33!$N$7:$N$874,I44,BS_RE33!$P$7:$P$874,'30 days CF Table(JPY)'!G44,BS_RE33!$F$7:$F$874,'30 days CF Table(JPY)'!$C$2)</f>
        <v>0</v>
      </c>
      <c r="AM44" s="337">
        <f>SUMIFS(BS_RE33!$H$7:$H$874,BS_RE33!$S$7:$S$874,$AM$2,BS_RE33!$N$7:$N$874,I44,BS_RE33!$P$7:$P$874,'30 days CF Table(JPY)'!G44,BS_RE33!$F$7:$F$874,'30 days CF Table(JPY)'!$C$2)</f>
        <v>0</v>
      </c>
      <c r="AN44" s="337">
        <f>SUMIFS(BS_RE33!$H$7:$H$874,BS_RE33!$S$7:$S$874,$AN$2,BS_RE33!$N$7:$N$874,I44,BS_RE33!$P$7:$P$874,'30 days CF Table(JPY)'!G44,BS_RE33!$F$7:$F$874,'30 days CF Table(JPY)'!$C$2)</f>
        <v>0</v>
      </c>
      <c r="AO44" s="337">
        <f>SUMIFS(BS_RE33!$H$7:$H$874,BS_RE33!$S$7:$S$874,$AO$2,BS_RE33!$N$7:$N$874,I44,BS_RE33!$P$7:$P$874,'30 days CF Table(JPY)'!G44,BS_RE33!$F$7:$F$874,'30 days CF Table(JPY)'!$C$2)</f>
        <v>0</v>
      </c>
      <c r="AP44" s="338">
        <f>SUMIFS(BS_RE33!$H$7:$H$874,BS_RE33!$S$7:$S$874,$AP$2,BS_RE33!$N$7:$N$874,I44,BS_RE33!$P$7:$P$874,'30 days CF Table(JPY)'!G44,BS_RE33!$F$7:$F$874,'30 days CF Table(JPY)'!$C$2)</f>
        <v>0</v>
      </c>
      <c r="AR44" s="379">
        <f>SUMIFS(BS_RE33!$H$7:$H$874,BS_RE33!$S$7:$S$874,$AR$2,BS_RE33!$N$7:$N$874,I44,BS_RE33!$P$7:$P$874,'30 days CF Table(JPY)'!G44,BS_RE33!$F$7:$F$874,'30 days CF Table(JPY)'!$C$2)</f>
        <v>0</v>
      </c>
      <c r="AS44" s="379">
        <f>SUMIFS(BS_RE33!$H$7:$H$874,BS_RE33!$S$7:$S$874,$AS$2,BS_RE33!$N$7:$N$874,I44,BS_RE33!$P$7:$P$874,'30 days CF Table(JPY)'!G44,BS_RE33!$F$7:$F$874,'30 days CF Table(JPY)'!$C$2)</f>
        <v>0</v>
      </c>
      <c r="AT44" s="379">
        <f>SUMIFS(BS_RE33!$H$7:$H$874,BS_RE33!$S$7:$S$874,$AT$2,BS_RE33!$N$7:$N$874,I44,BS_RE33!$P$7:$P$874,'30 days CF Table(JPY)'!G44,BS_RE33!$F$7:$F$874,'30 days CF Table(JPY)'!$C$2)</f>
        <v>0</v>
      </c>
      <c r="AU44" s="379">
        <f>SUMIFS(BS_RE33!$H$7:$H$874,BS_RE33!$S$7:$S$874,$AU$2,BS_RE33!$N$7:$N$874,I44,BS_RE33!$P$7:$P$874,'30 days CF Table(JPY)'!G44,BS_RE33!$F$7:$F$874,'30 days CF Table(JPY)'!$C$2)</f>
        <v>0</v>
      </c>
      <c r="AV44" s="379">
        <f>SUMIFS(BS_RE33!$H$7:$H$874,BS_RE33!$S$7:$S$874,$AV$2,BS_RE33!$N$7:$N$874,I44,BS_RE33!$P$7:$P$874,'30 days CF Table(JPY)'!G44,BS_RE33!$F$7:$F$874,'30 days CF Table(JPY)'!$C$2)</f>
        <v>0</v>
      </c>
      <c r="AW44" s="379">
        <f>SUMIFS(BS_RE33!$H$7:$H$874,BS_RE33!$S$7:$S$874,$AW$2,BS_RE33!$N$7:$N$874,I44,BS_RE33!$P$7:$P$874,'30 days CF Table(JPY)'!G44,BS_RE33!$F$7:$F$874,'30 days CF Table(JPY)'!$C$2)</f>
        <v>0</v>
      </c>
      <c r="AX44" s="379">
        <f>SUMIFS(BS_RE33!$H$7:$H$874,BS_RE33!$S$7:$S$874,$AX$2,BS_RE33!$N$7:$N$874,I44,BS_RE33!$P$7:$P$874,'30 days CF Table(JPY)'!G44,BS_RE33!$F$7:$F$874,'30 days CF Table(JPY)'!$C$2)</f>
        <v>0</v>
      </c>
      <c r="AY44" s="379">
        <f>SUMIFS(BS_RE33!$H$7:$H$874,BS_RE33!$S$7:$S$874,$AY$2,BS_RE33!$N$7:$N$874,I44,BS_RE33!$P$7:$P$874,'30 days CF Table(JPY)'!G44,BS_RE33!$F$7:$F$874,'30 days CF Table(JPY)'!$C$2)</f>
        <v>0</v>
      </c>
      <c r="AZ44" s="379">
        <f>SUMIFS(BS_RE33!$H$7:$H$874,BS_RE33!$S$7:$S$874,$AZ$2,BS_RE33!$N$7:$N$874,I44,BS_RE33!$P$7:$P$874,'30 days CF Table(JPY)'!G44,BS_RE33!$F$7:$F$874,'30 days CF Table(JPY)'!$C$2)</f>
        <v>0</v>
      </c>
      <c r="BA44" s="379">
        <f>SUMIFS(BS_RE33!$H$7:$H$874,BS_RE33!$S$7:$S$874,$BA$2,BS_RE33!$N$7:$N$874,I44,BS_RE33!$P$7:$P$874,'30 days CF Table(JPY)'!G44,BS_RE33!$F$7:$F$874,'30 days CF Table(JPY)'!$C$2)</f>
        <v>0</v>
      </c>
      <c r="BB44" s="379">
        <f>SUMIFS(BS_RE33!$H$7:$H$874,BS_RE33!$S$7:$S$874,$BB$2,BS_RE33!$N$7:$N$874,I44,BS_RE33!$P$7:$P$874,'30 days CF Table(JPY)'!G44,BS_RE33!$F$7:$F$874,'30 days CF Table(JPY)'!$C$2)</f>
        <v>0</v>
      </c>
      <c r="BC44" s="379">
        <f>SUMIFS(BS_RE33!$H$7:$H$874,BS_RE33!$S$7:$S$874,$BC$2,BS_RE33!$N$7:$N$874,I44,BS_RE33!$P$7:$P$874,'30 days CF Table(JPY)'!G44,BS_RE33!$F$7:$F$874,'30 days CF Table(JPY)'!$C$2)</f>
        <v>0</v>
      </c>
      <c r="BD44" s="379">
        <f>SUMIFS(BS_RE33!$H$7:$H$874,BS_RE33!$S$7:$S$874,$BD$2,BS_RE33!$N$7:$N$874,I44,BS_RE33!$P$7:$P$874,'30 days CF Table(JPY)'!G44,BS_RE33!$F$7:$F$874,'30 days CF Table(JPY)'!$C$2)</f>
        <v>0</v>
      </c>
      <c r="BE44" s="379">
        <f>SUMIFS(BS_RE33!$H$7:$H$874,BS_RE33!$S$7:$S$874,$BE$2,BS_RE33!$N$7:$N$874,I44,BS_RE33!$P$7:$P$874,'30 days CF Table(JPY)'!G44,BS_RE33!$F$7:$F$874,'30 days CF Table(JPY)'!$C$2)</f>
        <v>0</v>
      </c>
      <c r="BF44" s="379">
        <f>SUMIFS(BS_RE33!$H$7:$H$874,BS_RE33!$S$7:$S$874,$BF$2,BS_RE33!$N$7:$N$874,I44,BS_RE33!$P$7:$P$874,'30 days CF Table(JPY)'!G44,BS_RE33!$F$7:$F$874,'30 days CF Table(JPY)'!$C$2)</f>
        <v>0</v>
      </c>
      <c r="BG44" s="379">
        <f>SUMIFS(BS_RE33!$H$7:$H$874,BS_RE33!$S$7:$S$874,$BG$2,BS_RE33!$N$7:$N$874,I44,BS_RE33!$P$7:$P$874,'30 days CF Table(JPY)'!G44,BS_RE33!$F$7:$F$874,'30 days CF Table(JPY)'!$C$2)</f>
        <v>0</v>
      </c>
      <c r="BH44" s="379">
        <f>SUMIFS(BS_RE33!$H$7:$H$874,BS_RE33!$S$7:$S$874,$BH$2,BS_RE33!$N$7:$N$874,I44,BS_RE33!$P$7:$P$874,'30 days CF Table(JPY)'!G44,BS_RE33!$F$7:$F$874,'30 days CF Table(JPY)'!$C$2)</f>
        <v>0</v>
      </c>
      <c r="BI44" s="379">
        <f>SUMIFS(BS_RE33!$H$7:$H$874,BS_RE33!$S$7:$S$874,$BI$2,BS_RE33!$N$7:$N$874,I44,BS_RE33!$P$7:$P$874,'30 days CF Table(JPY)'!G44,BS_RE33!$F$7:$F$874,'30 days CF Table(JPY)'!$C$2)</f>
        <v>0</v>
      </c>
      <c r="BJ44" s="379">
        <f>SUMIFS(BS_RE33!$H$7:$H$874,BS_RE33!$S$7:$S$874,$BJ$2,BS_RE33!$N$7:$N$874,I44,BS_RE33!$P$7:$P$874,'30 days CF Table(JPY)'!G44,BS_RE33!$F$7:$F$874,'30 days CF Table(JPY)'!$C$2)</f>
        <v>0</v>
      </c>
      <c r="BK44" s="379">
        <f>SUMIFS(BS_RE33!$H$7:$H$874,BS_RE33!$S$7:$S$874,$BK$2,BS_RE33!$N$7:$N$874,I44,BS_RE33!$P$7:$P$874,'30 days CF Table(JPY)'!G44,BS_RE33!$F$7:$F$874,'30 days CF Table(JPY)'!$C$2)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Table(JPY)'!G45,BS_RE33!$F$7:$F$874,'30 days CF Table(JPY)'!$C$2)</f>
        <v>0</v>
      </c>
      <c r="M45" s="337">
        <f>SUMIFS(BS_RE33!$H$7:$H$874,BS_RE33!$S$7:$S$874,$M$2,BS_RE33!$N$7:$N$874,I45,BS_RE33!$P$7:$P$874,'30 days CF Table(JPY)'!G45,BS_RE33!$F$7:$F$874,'30 days CF Table(JPY)'!$C$2)</f>
        <v>0</v>
      </c>
      <c r="N45" s="337">
        <f>SUMIFS(BS_RE33!$H$7:$H$874,BS_RE33!$S$7:$S$874,$N$2,BS_RE33!$N$7:$N$874,I45,BS_RE33!$P$7:$P$874,'30 days CF Table(JPY)'!G45,BS_RE33!$F$7:$F$874,'30 days CF Table(JPY)'!$C$2)</f>
        <v>0</v>
      </c>
      <c r="O45" s="337">
        <f>SUMIFS(BS_RE33!$H$7:$H$874,BS_RE33!$S$7:$S$874,$O$2,BS_RE33!$N$7:$N$874,I45,BS_RE33!$P$7:$P$874,'30 days CF Table(JPY)'!G45,BS_RE33!$F$7:$F$874,'30 days CF Table(JPY)'!$C$2)</f>
        <v>0</v>
      </c>
      <c r="P45" s="337">
        <f>SUMIFS(BS_RE33!$H$7:$H$874,BS_RE33!$S$7:$S$874,$P$2,BS_RE33!$N$7:$N$874,I45,BS_RE33!$P$7:$P$874,'30 days CF Table(JPY)'!G45,BS_RE33!$F$7:$F$874,'30 days CF Table(JPY)'!$C$2)</f>
        <v>0</v>
      </c>
      <c r="Q45" s="337">
        <f>SUMIFS(BS_RE33!$H$7:$H$874,BS_RE33!$S$7:$S$874,$Q$2,BS_RE33!$N$7:$N$874,I45,BS_RE33!$P$7:$P$874,'30 days CF Table(JPY)'!G45,BS_RE33!$F$7:$F$874,'30 days CF Table(JPY)'!$C$2)</f>
        <v>0</v>
      </c>
      <c r="R45" s="337">
        <f>SUMIFS(BS_RE33!$H$7:$H$874,BS_RE33!$S$7:$S$874,$R$2,BS_RE33!$N$7:$N$874,I45,BS_RE33!$P$7:$P$874,'30 days CF Table(JPY)'!G45,BS_RE33!$F$7:$F$874,'30 days CF Table(JPY)'!$C$2)</f>
        <v>0</v>
      </c>
      <c r="S45" s="337">
        <f>SUMIFS(BS_RE33!$H$7:$H$874,BS_RE33!$S$7:$S$874,$S$2,BS_RE33!$N$7:$N$874,I45,BS_RE33!$P$7:$P$874,'30 days CF Table(JPY)'!G45,BS_RE33!$F$7:$F$874,'30 days CF Table(JPY)'!$C$2)</f>
        <v>0</v>
      </c>
      <c r="T45" s="337">
        <f>SUMIFS(BS_RE33!$H$7:$H$874,BS_RE33!$S$7:$S$874,$T$2,BS_RE33!$N$7:$N$874,I45,BS_RE33!$P$7:$P$874,'30 days CF Table(JPY)'!G45,BS_RE33!$F$7:$F$874,'30 days CF Table(JPY)'!$C$2)</f>
        <v>0</v>
      </c>
      <c r="U45" s="337">
        <f>SUMIFS(BS_RE33!$H$7:$H$874,BS_RE33!$S$7:$S$874,$U$2,BS_RE33!$N$7:$N$874,I45,BS_RE33!$P$7:$P$874,'30 days CF Table(JPY)'!G45,BS_RE33!$F$7:$F$874,'30 days CF Table(JPY)'!$C$2)</f>
        <v>0</v>
      </c>
      <c r="V45" s="337">
        <f>SUMIFS(BS_RE33!$H$7:$H$874,BS_RE33!$S$7:$S$874,$V$2,BS_RE33!$N$7:$N$874,I45,BS_RE33!$P$7:$P$874,'30 days CF Table(JPY)'!G45,BS_RE33!$F$7:$F$874,'30 days CF Table(JPY)'!$C$2)</f>
        <v>0</v>
      </c>
      <c r="W45" s="337">
        <f>SUMIFS(BS_RE33!$H$7:$H$874,BS_RE33!$S$7:$S$874,$W$2,BS_RE33!$N$7:$N$874,I45,BS_RE33!$P$7:$P$874,'30 days CF Table(JPY)'!G45,BS_RE33!$F$7:$F$874,'30 days CF Table(JPY)'!$C$2)</f>
        <v>0</v>
      </c>
      <c r="X45" s="337">
        <f>SUMIFS(BS_RE33!$H$7:$H$874,BS_RE33!$S$7:$S$874,$X$2,BS_RE33!$N$7:$N$874,I45,BS_RE33!$P$7:$P$874,'30 days CF Table(JPY)'!G45,BS_RE33!$F$7:$F$874,'30 days CF Table(JPY)'!$C$2)</f>
        <v>0</v>
      </c>
      <c r="Y45" s="337">
        <f>SUMIFS(BS_RE33!$H$7:$H$874,BS_RE33!$S$7:$S$874,$Y$2,BS_RE33!$N$7:$N$874,I45,BS_RE33!$P$7:$P$874,'30 days CF Table(JPY)'!G45,BS_RE33!$F$7:$F$874,'30 days CF Table(JPY)'!$C$2)</f>
        <v>0</v>
      </c>
      <c r="Z45" s="337">
        <f>SUMIFS(BS_RE33!$H$7:$H$874,BS_RE33!$S$7:$S$874,$Z$2,BS_RE33!$N$7:$N$874,I45,BS_RE33!$P$7:$P$874,'30 days CF Table(JPY)'!G45,BS_RE33!$F$7:$F$874,'30 days CF Table(JPY)'!$C$2)</f>
        <v>0</v>
      </c>
      <c r="AA45" s="337">
        <f>SUMIFS(BS_RE33!$H$7:$H$874,BS_RE33!$S$7:$S$874,$AA$2,BS_RE33!$N$7:$N$874,I45,BS_RE33!$P$7:$P$874,'30 days CF Table(JPY)'!G45,BS_RE33!$F$7:$F$874,'30 days CF Table(JPY)'!$C$2)</f>
        <v>0</v>
      </c>
      <c r="AB45" s="337">
        <f>SUMIFS(BS_RE33!$H$7:$H$874,BS_RE33!$S$7:$S$874,$AB$2,BS_RE33!$N$7:$N$874,I45,BS_RE33!$P$7:$P$874,'30 days CF Table(JPY)'!G45,BS_RE33!$F$7:$F$874,'30 days CF Table(JPY)'!$C$2)</f>
        <v>0</v>
      </c>
      <c r="AC45" s="337">
        <f>SUMIFS(BS_RE33!$H$7:$H$874,BS_RE33!$S$7:$S$874,$AC$2,BS_RE33!$N$7:$N$874,I45,BS_RE33!$P$7:$P$874,'30 days CF Table(JPY)'!G45,BS_RE33!$F$7:$F$874,'30 days CF Table(JPY)'!$C$2)</f>
        <v>0</v>
      </c>
      <c r="AD45" s="337">
        <f>SUMIFS(BS_RE33!$H$7:$H$874,BS_RE33!$S$7:$S$874,$AD$2,BS_RE33!$N$7:$N$874,I45,BS_RE33!$P$7:$P$874,'30 days CF Table(JPY)'!G45,BS_RE33!$F$7:$F$874,'30 days CF Table(JPY)'!$C$2)</f>
        <v>0</v>
      </c>
      <c r="AE45" s="337">
        <f>SUMIFS(BS_RE33!$H$7:$H$874,BS_RE33!$S$7:$S$874,$AE$2,BS_RE33!$N$7:$N$874,I45,BS_RE33!$P$7:$P$874,'30 days CF Table(JPY)'!G45,BS_RE33!$F$7:$F$874,'30 days CF Table(JPY)'!$C$2)</f>
        <v>0</v>
      </c>
      <c r="AF45" s="337">
        <f>SUMIFS(BS_RE33!$H$7:$H$874,BS_RE33!$S$7:$S$874,$AF$2,BS_RE33!$N$7:$N$874,I45,BS_RE33!$P$7:$P$874,'30 days CF Table(JPY)'!G45,BS_RE33!$F$7:$F$874,'30 days CF Table(JPY)'!$C$2)</f>
        <v>0</v>
      </c>
      <c r="AG45" s="337">
        <f>SUMIFS(BS_RE33!$H$7:$H$874,BS_RE33!$S$7:$S$874,$AG$2,BS_RE33!$N$7:$N$874,I45,BS_RE33!$P$7:$P$874,'30 days CF Table(JPY)'!G45,BS_RE33!$F$7:$F$874,'30 days CF Table(JPY)'!$C$2)</f>
        <v>0</v>
      </c>
      <c r="AH45" s="337">
        <f>SUMIFS(BS_RE33!$H$7:$H$874,BS_RE33!$S$7:$S$874,$AH$2,BS_RE33!$N$7:$N$874,I45,BS_RE33!$P$7:$P$874,'30 days CF Table(JPY)'!G45,BS_RE33!$F$7:$F$874,'30 days CF Table(JPY)'!$C$2)</f>
        <v>0</v>
      </c>
      <c r="AI45" s="337">
        <f>SUMIFS(BS_RE33!$H$7:$H$874,BS_RE33!$S$7:$S$874,$AI$2,BS_RE33!$N$7:$N$874,I45,BS_RE33!$P$7:$P$874,'30 days CF Table(JPY)'!G45,BS_RE33!$F$7:$F$874,'30 days CF Table(JPY)'!$C$2)</f>
        <v>0</v>
      </c>
      <c r="AJ45" s="337">
        <f>SUMIFS(BS_RE33!$H$7:$H$874,BS_RE33!$S$7:$S$874,$AJ$2,BS_RE33!$N$7:$N$874,I45,BS_RE33!$P$7:$P$874,'30 days CF Table(JPY)'!G45,BS_RE33!$F$7:$F$874,'30 days CF Table(JPY)'!$C$2)</f>
        <v>0</v>
      </c>
      <c r="AK45" s="337">
        <f>SUMIFS(BS_RE33!$H$7:$H$874,BS_RE33!$S$7:$S$874,$AK$2,BS_RE33!$N$7:$N$874,I45,BS_RE33!$P$7:$P$874,'30 days CF Table(JPY)'!G45,BS_RE33!$F$7:$F$874,'30 days CF Table(JPY)'!$C$2)</f>
        <v>0</v>
      </c>
      <c r="AL45" s="337">
        <f>SUMIFS(BS_RE33!$H$7:$H$874,BS_RE33!$S$7:$S$874,$AL$2,BS_RE33!$N$7:$N$874,I45,BS_RE33!$P$7:$P$874,'30 days CF Table(JPY)'!G45,BS_RE33!$F$7:$F$874,'30 days CF Table(JPY)'!$C$2)</f>
        <v>0</v>
      </c>
      <c r="AM45" s="337">
        <f>SUMIFS(BS_RE33!$H$7:$H$874,BS_RE33!$S$7:$S$874,$AM$2,BS_RE33!$N$7:$N$874,I45,BS_RE33!$P$7:$P$874,'30 days CF Table(JPY)'!G45,BS_RE33!$F$7:$F$874,'30 days CF Table(JPY)'!$C$2)</f>
        <v>0</v>
      </c>
      <c r="AN45" s="337">
        <f>SUMIFS(BS_RE33!$H$7:$H$874,BS_RE33!$S$7:$S$874,$AN$2,BS_RE33!$N$7:$N$874,I45,BS_RE33!$P$7:$P$874,'30 days CF Table(JPY)'!G45,BS_RE33!$F$7:$F$874,'30 days CF Table(JPY)'!$C$2)</f>
        <v>0</v>
      </c>
      <c r="AO45" s="337">
        <f>SUMIFS(BS_RE33!$H$7:$H$874,BS_RE33!$S$7:$S$874,$AO$2,BS_RE33!$N$7:$N$874,I45,BS_RE33!$P$7:$P$874,'30 days CF Table(JPY)'!G45,BS_RE33!$F$7:$F$874,'30 days CF Table(JPY)'!$C$2)</f>
        <v>0</v>
      </c>
      <c r="AP45" s="338">
        <f>SUMIFS(BS_RE33!$H$7:$H$874,BS_RE33!$S$7:$S$874,$AP$2,BS_RE33!$N$7:$N$874,I45,BS_RE33!$P$7:$P$874,'30 days CF Table(JPY)'!G45,BS_RE33!$F$7:$F$874,'30 days CF Table(JPY)'!$C$2)</f>
        <v>0</v>
      </c>
      <c r="AR45" s="379">
        <f>SUMIFS(BS_RE33!$H$7:$H$874,BS_RE33!$S$7:$S$874,$AR$2,BS_RE33!$N$7:$N$874,I45,BS_RE33!$P$7:$P$874,'30 days CF Table(JPY)'!G45,BS_RE33!$F$7:$F$874,'30 days CF Table(JPY)'!$C$2)</f>
        <v>0</v>
      </c>
      <c r="AS45" s="379">
        <f>SUMIFS(BS_RE33!$H$7:$H$874,BS_RE33!$S$7:$S$874,$AS$2,BS_RE33!$N$7:$N$874,I45,BS_RE33!$P$7:$P$874,'30 days CF Table(JPY)'!G45,BS_RE33!$F$7:$F$874,'30 days CF Table(JPY)'!$C$2)</f>
        <v>0</v>
      </c>
      <c r="AT45" s="379">
        <f>SUMIFS(BS_RE33!$H$7:$H$874,BS_RE33!$S$7:$S$874,$AT$2,BS_RE33!$N$7:$N$874,I45,BS_RE33!$P$7:$P$874,'30 days CF Table(JPY)'!G45,BS_RE33!$F$7:$F$874,'30 days CF Table(JPY)'!$C$2)</f>
        <v>0</v>
      </c>
      <c r="AU45" s="379">
        <f>SUMIFS(BS_RE33!$H$7:$H$874,BS_RE33!$S$7:$S$874,$AU$2,BS_RE33!$N$7:$N$874,I45,BS_RE33!$P$7:$P$874,'30 days CF Table(JPY)'!G45,BS_RE33!$F$7:$F$874,'30 days CF Table(JPY)'!$C$2)</f>
        <v>0</v>
      </c>
      <c r="AV45" s="379">
        <f>SUMIFS(BS_RE33!$H$7:$H$874,BS_RE33!$S$7:$S$874,$AV$2,BS_RE33!$N$7:$N$874,I45,BS_RE33!$P$7:$P$874,'30 days CF Table(JPY)'!G45,BS_RE33!$F$7:$F$874,'30 days CF Table(JPY)'!$C$2)</f>
        <v>0</v>
      </c>
      <c r="AW45" s="379">
        <f>SUMIFS(BS_RE33!$H$7:$H$874,BS_RE33!$S$7:$S$874,$AW$2,BS_RE33!$N$7:$N$874,I45,BS_RE33!$P$7:$P$874,'30 days CF Table(JPY)'!G45,BS_RE33!$F$7:$F$874,'30 days CF Table(JPY)'!$C$2)</f>
        <v>0</v>
      </c>
      <c r="AX45" s="379">
        <f>SUMIFS(BS_RE33!$H$7:$H$874,BS_RE33!$S$7:$S$874,$AX$2,BS_RE33!$N$7:$N$874,I45,BS_RE33!$P$7:$P$874,'30 days CF Table(JPY)'!G45,BS_RE33!$F$7:$F$874,'30 days CF Table(JPY)'!$C$2)</f>
        <v>0</v>
      </c>
      <c r="AY45" s="379">
        <f>SUMIFS(BS_RE33!$H$7:$H$874,BS_RE33!$S$7:$S$874,$AY$2,BS_RE33!$N$7:$N$874,I45,BS_RE33!$P$7:$P$874,'30 days CF Table(JPY)'!G45,BS_RE33!$F$7:$F$874,'30 days CF Table(JPY)'!$C$2)</f>
        <v>0</v>
      </c>
      <c r="AZ45" s="379">
        <f>SUMIFS(BS_RE33!$H$7:$H$874,BS_RE33!$S$7:$S$874,$AZ$2,BS_RE33!$N$7:$N$874,I45,BS_RE33!$P$7:$P$874,'30 days CF Table(JPY)'!G45,BS_RE33!$F$7:$F$874,'30 days CF Table(JPY)'!$C$2)</f>
        <v>0</v>
      </c>
      <c r="BA45" s="379">
        <f>SUMIFS(BS_RE33!$H$7:$H$874,BS_RE33!$S$7:$S$874,$BA$2,BS_RE33!$N$7:$N$874,I45,BS_RE33!$P$7:$P$874,'30 days CF Table(JPY)'!G45,BS_RE33!$F$7:$F$874,'30 days CF Table(JPY)'!$C$2)</f>
        <v>0</v>
      </c>
      <c r="BB45" s="379">
        <f>SUMIFS(BS_RE33!$H$7:$H$874,BS_RE33!$S$7:$S$874,$BB$2,BS_RE33!$N$7:$N$874,I45,BS_RE33!$P$7:$P$874,'30 days CF Table(JPY)'!G45,BS_RE33!$F$7:$F$874,'30 days CF Table(JPY)'!$C$2)</f>
        <v>0</v>
      </c>
      <c r="BC45" s="379">
        <f>SUMIFS(BS_RE33!$H$7:$H$874,BS_RE33!$S$7:$S$874,$BC$2,BS_RE33!$N$7:$N$874,I45,BS_RE33!$P$7:$P$874,'30 days CF Table(JPY)'!G45,BS_RE33!$F$7:$F$874,'30 days CF Table(JPY)'!$C$2)</f>
        <v>0</v>
      </c>
      <c r="BD45" s="379">
        <f>SUMIFS(BS_RE33!$H$7:$H$874,BS_RE33!$S$7:$S$874,$BD$2,BS_RE33!$N$7:$N$874,I45,BS_RE33!$P$7:$P$874,'30 days CF Table(JPY)'!G45,BS_RE33!$F$7:$F$874,'30 days CF Table(JPY)'!$C$2)</f>
        <v>0</v>
      </c>
      <c r="BE45" s="379">
        <f>SUMIFS(BS_RE33!$H$7:$H$874,BS_RE33!$S$7:$S$874,$BE$2,BS_RE33!$N$7:$N$874,I45,BS_RE33!$P$7:$P$874,'30 days CF Table(JPY)'!G45,BS_RE33!$F$7:$F$874,'30 days CF Table(JPY)'!$C$2)</f>
        <v>0</v>
      </c>
      <c r="BF45" s="379">
        <f>SUMIFS(BS_RE33!$H$7:$H$874,BS_RE33!$S$7:$S$874,$BF$2,BS_RE33!$N$7:$N$874,I45,BS_RE33!$P$7:$P$874,'30 days CF Table(JPY)'!G45,BS_RE33!$F$7:$F$874,'30 days CF Table(JPY)'!$C$2)</f>
        <v>0</v>
      </c>
      <c r="BG45" s="379">
        <f>SUMIFS(BS_RE33!$H$7:$H$874,BS_RE33!$S$7:$S$874,$BG$2,BS_RE33!$N$7:$N$874,I45,BS_RE33!$P$7:$P$874,'30 days CF Table(JPY)'!G45,BS_RE33!$F$7:$F$874,'30 days CF Table(JPY)'!$C$2)</f>
        <v>0</v>
      </c>
      <c r="BH45" s="379">
        <f>SUMIFS(BS_RE33!$H$7:$H$874,BS_RE33!$S$7:$S$874,$BH$2,BS_RE33!$N$7:$N$874,I45,BS_RE33!$P$7:$P$874,'30 days CF Table(JPY)'!G45,BS_RE33!$F$7:$F$874,'30 days CF Table(JPY)'!$C$2)</f>
        <v>0</v>
      </c>
      <c r="BI45" s="379">
        <f>SUMIFS(BS_RE33!$H$7:$H$874,BS_RE33!$S$7:$S$874,$BI$2,BS_RE33!$N$7:$N$874,I45,BS_RE33!$P$7:$P$874,'30 days CF Table(JPY)'!G45,BS_RE33!$F$7:$F$874,'30 days CF Table(JPY)'!$C$2)</f>
        <v>0</v>
      </c>
      <c r="BJ45" s="379">
        <f>SUMIFS(BS_RE33!$H$7:$H$874,BS_RE33!$S$7:$S$874,$BJ$2,BS_RE33!$N$7:$N$874,I45,BS_RE33!$P$7:$P$874,'30 days CF Table(JPY)'!G45,BS_RE33!$F$7:$F$874,'30 days CF Table(JPY)'!$C$2)</f>
        <v>0</v>
      </c>
      <c r="BK45" s="379">
        <f>SUMIFS(BS_RE33!$H$7:$H$874,BS_RE33!$S$7:$S$874,$BK$2,BS_RE33!$N$7:$N$874,I45,BS_RE33!$P$7:$P$874,'30 days CF Table(JPY)'!G45,BS_RE33!$F$7:$F$874,'30 days CF Table(JPY)'!$C$2)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Table(JPY)'!G46,BS_RE33!$F$7:$F$874,'30 days CF Table(JPY)'!$C$2)</f>
        <v>0</v>
      </c>
      <c r="M46" s="548">
        <f>SUMIFS(BS_RE33!$H$7:$H$874,BS_RE33!$S$7:$S$874,$M$2,BS_RE33!$N$7:$N$874,I46,BS_RE33!$P$7:$P$874,'30 days CF Table(JPY)'!G46,BS_RE33!$F$7:$F$874,'30 days CF Table(JPY)'!$C$2)</f>
        <v>0</v>
      </c>
      <c r="N46" s="548">
        <f>SUMIFS(BS_RE33!$H$7:$H$874,BS_RE33!$S$7:$S$874,$N$2,BS_RE33!$N$7:$N$874,I46,BS_RE33!$P$7:$P$874,'30 days CF Table(JPY)'!G46,BS_RE33!$F$7:$F$874,'30 days CF Table(JPY)'!$C$2)</f>
        <v>0</v>
      </c>
      <c r="O46" s="548">
        <f>SUMIFS(BS_RE33!$H$7:$H$874,BS_RE33!$S$7:$S$874,$O$2,BS_RE33!$N$7:$N$874,I46,BS_RE33!$P$7:$P$874,'30 days CF Table(JPY)'!G46,BS_RE33!$F$7:$F$874,'30 days CF Table(JPY)'!$C$2)</f>
        <v>0</v>
      </c>
      <c r="P46" s="548">
        <f>SUMIFS(BS_RE33!$H$7:$H$874,BS_RE33!$S$7:$S$874,$P$2,BS_RE33!$N$7:$N$874,I46,BS_RE33!$P$7:$P$874,'30 days CF Table(JPY)'!G46,BS_RE33!$F$7:$F$874,'30 days CF Table(JPY)'!$C$2)</f>
        <v>0</v>
      </c>
      <c r="Q46" s="548">
        <f>SUMIFS(BS_RE33!$H$7:$H$874,BS_RE33!$S$7:$S$874,$Q$2,BS_RE33!$N$7:$N$874,I46,BS_RE33!$P$7:$P$874,'30 days CF Table(JPY)'!G46,BS_RE33!$F$7:$F$874,'30 days CF Table(JPY)'!$C$2)</f>
        <v>0</v>
      </c>
      <c r="R46" s="548">
        <f>SUMIFS(BS_RE33!$H$7:$H$874,BS_RE33!$S$7:$S$874,$R$2,BS_RE33!$N$7:$N$874,I46,BS_RE33!$P$7:$P$874,'30 days CF Table(JPY)'!G46,BS_RE33!$F$7:$F$874,'30 days CF Table(JPY)'!$C$2)</f>
        <v>0</v>
      </c>
      <c r="S46" s="548">
        <f>SUMIFS(BS_RE33!$H$7:$H$874,BS_RE33!$S$7:$S$874,$S$2,BS_RE33!$N$7:$N$874,I46,BS_RE33!$P$7:$P$874,'30 days CF Table(JPY)'!G46,BS_RE33!$F$7:$F$874,'30 days CF Table(JPY)'!$C$2)</f>
        <v>0</v>
      </c>
      <c r="T46" s="548">
        <f>SUMIFS(BS_RE33!$H$7:$H$874,BS_RE33!$S$7:$S$874,$T$2,BS_RE33!$N$7:$N$874,I46,BS_RE33!$P$7:$P$874,'30 days CF Table(JPY)'!G46,BS_RE33!$F$7:$F$874,'30 days CF Table(JPY)'!$C$2)</f>
        <v>0</v>
      </c>
      <c r="U46" s="548">
        <f>SUMIFS(BS_RE33!$H$7:$H$874,BS_RE33!$S$7:$S$874,$U$2,BS_RE33!$N$7:$N$874,I46,BS_RE33!$P$7:$P$874,'30 days CF Table(JPY)'!G46,BS_RE33!$F$7:$F$874,'30 days CF Table(JPY)'!$C$2)</f>
        <v>0</v>
      </c>
      <c r="V46" s="548">
        <f>SUMIFS(BS_RE33!$H$7:$H$874,BS_RE33!$S$7:$S$874,$V$2,BS_RE33!$N$7:$N$874,I46,BS_RE33!$P$7:$P$874,'30 days CF Table(JPY)'!G46,BS_RE33!$F$7:$F$874,'30 days CF Table(JPY)'!$C$2)</f>
        <v>0</v>
      </c>
      <c r="W46" s="548">
        <f>SUMIFS(BS_RE33!$H$7:$H$874,BS_RE33!$S$7:$S$874,$W$2,BS_RE33!$N$7:$N$874,I46,BS_RE33!$P$7:$P$874,'30 days CF Table(JPY)'!G46,BS_RE33!$F$7:$F$874,'30 days CF Table(JPY)'!$C$2)</f>
        <v>0</v>
      </c>
      <c r="X46" s="548">
        <f>SUMIFS(BS_RE33!$H$7:$H$874,BS_RE33!$S$7:$S$874,$X$2,BS_RE33!$N$7:$N$874,I46,BS_RE33!$P$7:$P$874,'30 days CF Table(JPY)'!G46,BS_RE33!$F$7:$F$874,'30 days CF Table(JPY)'!$C$2)</f>
        <v>0</v>
      </c>
      <c r="Y46" s="548">
        <f>SUMIFS(BS_RE33!$H$7:$H$874,BS_RE33!$S$7:$S$874,$Y$2,BS_RE33!$N$7:$N$874,I46,BS_RE33!$P$7:$P$874,'30 days CF Table(JPY)'!G46,BS_RE33!$F$7:$F$874,'30 days CF Table(JPY)'!$C$2)</f>
        <v>0</v>
      </c>
      <c r="Z46" s="548">
        <f>SUMIFS(BS_RE33!$H$7:$H$874,BS_RE33!$S$7:$S$874,$Z$2,BS_RE33!$N$7:$N$874,I46,BS_RE33!$P$7:$P$874,'30 days CF Table(JPY)'!G46,BS_RE33!$F$7:$F$874,'30 days CF Table(JPY)'!$C$2)</f>
        <v>0</v>
      </c>
      <c r="AA46" s="548">
        <f>SUMIFS(BS_RE33!$H$7:$H$874,BS_RE33!$S$7:$S$874,$AA$2,BS_RE33!$N$7:$N$874,I46,BS_RE33!$P$7:$P$874,'30 days CF Table(JPY)'!G46,BS_RE33!$F$7:$F$874,'30 days CF Table(JPY)'!$C$2)</f>
        <v>0</v>
      </c>
      <c r="AB46" s="548">
        <f>SUMIFS(BS_RE33!$H$7:$H$874,BS_RE33!$S$7:$S$874,$AB$2,BS_RE33!$N$7:$N$874,I46,BS_RE33!$P$7:$P$874,'30 days CF Table(JPY)'!G46,BS_RE33!$F$7:$F$874,'30 days CF Table(JPY)'!$C$2)</f>
        <v>0</v>
      </c>
      <c r="AC46" s="548">
        <f>SUMIFS(BS_RE33!$H$7:$H$874,BS_RE33!$S$7:$S$874,$AC$2,BS_RE33!$N$7:$N$874,I46,BS_RE33!$P$7:$P$874,'30 days CF Table(JPY)'!G46,BS_RE33!$F$7:$F$874,'30 days CF Table(JPY)'!$C$2)</f>
        <v>0</v>
      </c>
      <c r="AD46" s="548">
        <f>SUMIFS(BS_RE33!$H$7:$H$874,BS_RE33!$S$7:$S$874,$AD$2,BS_RE33!$N$7:$N$874,I46,BS_RE33!$P$7:$P$874,'30 days CF Table(JPY)'!G46,BS_RE33!$F$7:$F$874,'30 days CF Table(JPY)'!$C$2)</f>
        <v>0</v>
      </c>
      <c r="AE46" s="548">
        <f>SUMIFS(BS_RE33!$H$7:$H$874,BS_RE33!$S$7:$S$874,$AE$2,BS_RE33!$N$7:$N$874,I46,BS_RE33!$P$7:$P$874,'30 days CF Table(JPY)'!G46,BS_RE33!$F$7:$F$874,'30 days CF Table(JPY)'!$C$2)</f>
        <v>0</v>
      </c>
      <c r="AF46" s="548">
        <f>SUMIFS(BS_RE33!$H$7:$H$874,BS_RE33!$S$7:$S$874,$AF$2,BS_RE33!$N$7:$N$874,I46,BS_RE33!$P$7:$P$874,'30 days CF Table(JPY)'!G46,BS_RE33!$F$7:$F$874,'30 days CF Table(JPY)'!$C$2)</f>
        <v>0</v>
      </c>
      <c r="AG46" s="548">
        <f>SUMIFS(BS_RE33!$H$7:$H$874,BS_RE33!$S$7:$S$874,$AG$2,BS_RE33!$N$7:$N$874,I46,BS_RE33!$P$7:$P$874,'30 days CF Table(JPY)'!G46,BS_RE33!$F$7:$F$874,'30 days CF Table(JPY)'!$C$2)</f>
        <v>0</v>
      </c>
      <c r="AH46" s="548">
        <f>SUMIFS(BS_RE33!$H$7:$H$874,BS_RE33!$S$7:$S$874,$AH$2,BS_RE33!$N$7:$N$874,I46,BS_RE33!$P$7:$P$874,'30 days CF Table(JPY)'!G46,BS_RE33!$F$7:$F$874,'30 days CF Table(JPY)'!$C$2)</f>
        <v>0</v>
      </c>
      <c r="AI46" s="548">
        <f>SUMIFS(BS_RE33!$H$7:$H$874,BS_RE33!$S$7:$S$874,$AI$2,BS_RE33!$N$7:$N$874,I46,BS_RE33!$P$7:$P$874,'30 days CF Table(JPY)'!G46,BS_RE33!$F$7:$F$874,'30 days CF Table(JPY)'!$C$2)</f>
        <v>0</v>
      </c>
      <c r="AJ46" s="548">
        <f>SUMIFS(BS_RE33!$H$7:$H$874,BS_RE33!$S$7:$S$874,$AJ$2,BS_RE33!$N$7:$N$874,I46,BS_RE33!$P$7:$P$874,'30 days CF Table(JPY)'!G46,BS_RE33!$F$7:$F$874,'30 days CF Table(JPY)'!$C$2)</f>
        <v>0</v>
      </c>
      <c r="AK46" s="548">
        <f>SUMIFS(BS_RE33!$H$7:$H$874,BS_RE33!$S$7:$S$874,$AK$2,BS_RE33!$N$7:$N$874,I46,BS_RE33!$P$7:$P$874,'30 days CF Table(JPY)'!G46,BS_RE33!$F$7:$F$874,'30 days CF Table(JPY)'!$C$2)</f>
        <v>0</v>
      </c>
      <c r="AL46" s="548">
        <f>SUMIFS(BS_RE33!$H$7:$H$874,BS_RE33!$S$7:$S$874,$AL$2,BS_RE33!$N$7:$N$874,I46,BS_RE33!$P$7:$P$874,'30 days CF Table(JPY)'!G46,BS_RE33!$F$7:$F$874,'30 days CF Table(JPY)'!$C$2)</f>
        <v>0</v>
      </c>
      <c r="AM46" s="548">
        <f>SUMIFS(BS_RE33!$H$7:$H$874,BS_RE33!$S$7:$S$874,$AM$2,BS_RE33!$N$7:$N$874,I46,BS_RE33!$P$7:$P$874,'30 days CF Table(JPY)'!G46,BS_RE33!$F$7:$F$874,'30 days CF Table(JPY)'!$C$2)</f>
        <v>0</v>
      </c>
      <c r="AN46" s="548">
        <f>SUMIFS(BS_RE33!$H$7:$H$874,BS_RE33!$S$7:$S$874,$AN$2,BS_RE33!$N$7:$N$874,I46,BS_RE33!$P$7:$P$874,'30 days CF Table(JPY)'!G46,BS_RE33!$F$7:$F$874,'30 days CF Table(JPY)'!$C$2)</f>
        <v>0</v>
      </c>
      <c r="AO46" s="548">
        <f>SUMIFS(BS_RE33!$H$7:$H$874,BS_RE33!$S$7:$S$874,$AO$2,BS_RE33!$N$7:$N$874,I46,BS_RE33!$P$7:$P$874,'30 days CF Table(JPY)'!G46,BS_RE33!$F$7:$F$874,'30 days CF Table(JPY)'!$C$2)</f>
        <v>0</v>
      </c>
      <c r="AP46" s="549">
        <f>SUMIFS(BS_RE33!$H$7:$H$874,BS_RE33!$S$7:$S$874,$AP$2,BS_RE33!$N$7:$N$874,I46,BS_RE33!$P$7:$P$874,'30 days CF Table(JPY)'!G46,BS_RE33!$F$7:$F$874,'30 days CF Table(JPY)'!$C$2)</f>
        <v>0</v>
      </c>
      <c r="AQ46" s="550"/>
      <c r="AR46" s="380">
        <f>SUMIFS(BS_RE33!$H$7:$H$874,BS_RE33!$S$7:$S$874,$AR$2,BS_RE33!$N$7:$N$874,I46,BS_RE33!$P$7:$P$874,'30 days CF Table(JPY)'!G46,BS_RE33!$F$7:$F$874,'30 days CF Table(JPY)'!$C$2)</f>
        <v>0</v>
      </c>
      <c r="AS46" s="380">
        <f>SUMIFS(BS_RE33!$H$7:$H$874,BS_RE33!$S$7:$S$874,$AS$2,BS_RE33!$N$7:$N$874,I46,BS_RE33!$P$7:$P$874,'30 days CF Table(JPY)'!G46,BS_RE33!$F$7:$F$874,'30 days CF Table(JPY)'!$C$2)</f>
        <v>0</v>
      </c>
      <c r="AT46" s="380">
        <f>SUMIFS(BS_RE33!$H$7:$H$874,BS_RE33!$S$7:$S$874,$AT$2,BS_RE33!$N$7:$N$874,I46,BS_RE33!$P$7:$P$874,'30 days CF Table(JPY)'!G46,BS_RE33!$F$7:$F$874,'30 days CF Table(JPY)'!$C$2)</f>
        <v>0</v>
      </c>
      <c r="AU46" s="380">
        <f>SUMIFS(BS_RE33!$H$7:$H$874,BS_RE33!$S$7:$S$874,$AU$2,BS_RE33!$N$7:$N$874,I46,BS_RE33!$P$7:$P$874,'30 days CF Table(JPY)'!G46,BS_RE33!$F$7:$F$874,'30 days CF Table(JPY)'!$C$2)</f>
        <v>0</v>
      </c>
      <c r="AV46" s="380">
        <f>SUMIFS(BS_RE33!$H$7:$H$874,BS_RE33!$S$7:$S$874,$AV$2,BS_RE33!$N$7:$N$874,I46,BS_RE33!$P$7:$P$874,'30 days CF Table(JPY)'!G46,BS_RE33!$F$7:$F$874,'30 days CF Table(JPY)'!$C$2)</f>
        <v>0</v>
      </c>
      <c r="AW46" s="380">
        <f>SUMIFS(BS_RE33!$H$7:$H$874,BS_RE33!$S$7:$S$874,$AW$2,BS_RE33!$N$7:$N$874,I46,BS_RE33!$P$7:$P$874,'30 days CF Table(JPY)'!G46,BS_RE33!$F$7:$F$874,'30 days CF Table(JPY)'!$C$2)</f>
        <v>0</v>
      </c>
      <c r="AX46" s="380">
        <f>SUMIFS(BS_RE33!$H$7:$H$874,BS_RE33!$S$7:$S$874,$AX$2,BS_RE33!$N$7:$N$874,I46,BS_RE33!$P$7:$P$874,'30 days CF Table(JPY)'!G46,BS_RE33!$F$7:$F$874,'30 days CF Table(JPY)'!$C$2)</f>
        <v>0</v>
      </c>
      <c r="AY46" s="380">
        <f>SUMIFS(BS_RE33!$H$7:$H$874,BS_RE33!$S$7:$S$874,$AY$2,BS_RE33!$N$7:$N$874,I46,BS_RE33!$P$7:$P$874,'30 days CF Table(JPY)'!G46,BS_RE33!$F$7:$F$874,'30 days CF Table(JPY)'!$C$2)</f>
        <v>0</v>
      </c>
      <c r="AZ46" s="380">
        <f>SUMIFS(BS_RE33!$H$7:$H$874,BS_RE33!$S$7:$S$874,$AZ$2,BS_RE33!$N$7:$N$874,I46,BS_RE33!$P$7:$P$874,'30 days CF Table(JPY)'!G46,BS_RE33!$F$7:$F$874,'30 days CF Table(JPY)'!$C$2)</f>
        <v>0</v>
      </c>
      <c r="BA46" s="380">
        <f>SUMIFS(BS_RE33!$H$7:$H$874,BS_RE33!$S$7:$S$874,$BA$2,BS_RE33!$N$7:$N$874,I46,BS_RE33!$P$7:$P$874,'30 days CF Table(JPY)'!G46,BS_RE33!$F$7:$F$874,'30 days CF Table(JPY)'!$C$2)</f>
        <v>0</v>
      </c>
      <c r="BB46" s="380">
        <f>SUMIFS(BS_RE33!$H$7:$H$874,BS_RE33!$S$7:$S$874,$BB$2,BS_RE33!$N$7:$N$874,I46,BS_RE33!$P$7:$P$874,'30 days CF Table(JPY)'!G46,BS_RE33!$F$7:$F$874,'30 days CF Table(JPY)'!$C$2)</f>
        <v>0</v>
      </c>
      <c r="BC46" s="380">
        <f>SUMIFS(BS_RE33!$H$7:$H$874,BS_RE33!$S$7:$S$874,$BC$2,BS_RE33!$N$7:$N$874,I46,BS_RE33!$P$7:$P$874,'30 days CF Table(JPY)'!G46,BS_RE33!$F$7:$F$874,'30 days CF Table(JPY)'!$C$2)</f>
        <v>0</v>
      </c>
      <c r="BD46" s="380">
        <f>SUMIFS(BS_RE33!$H$7:$H$874,BS_RE33!$S$7:$S$874,$BD$2,BS_RE33!$N$7:$N$874,I46,BS_RE33!$P$7:$P$874,'30 days CF Table(JPY)'!G46,BS_RE33!$F$7:$F$874,'30 days CF Table(JPY)'!$C$2)</f>
        <v>0</v>
      </c>
      <c r="BE46" s="380">
        <f>SUMIFS(BS_RE33!$H$7:$H$874,BS_RE33!$S$7:$S$874,$BE$2,BS_RE33!$N$7:$N$874,I46,BS_RE33!$P$7:$P$874,'30 days CF Table(JPY)'!G46,BS_RE33!$F$7:$F$874,'30 days CF Table(JPY)'!$C$2)</f>
        <v>0</v>
      </c>
      <c r="BF46" s="380">
        <f>SUMIFS(BS_RE33!$H$7:$H$874,BS_RE33!$S$7:$S$874,$BF$2,BS_RE33!$N$7:$N$874,I46,BS_RE33!$P$7:$P$874,'30 days CF Table(JPY)'!G46,BS_RE33!$F$7:$F$874,'30 days CF Table(JPY)'!$C$2)</f>
        <v>0</v>
      </c>
      <c r="BG46" s="380">
        <f>SUMIFS(BS_RE33!$H$7:$H$874,BS_RE33!$S$7:$S$874,$BG$2,BS_RE33!$N$7:$N$874,I46,BS_RE33!$P$7:$P$874,'30 days CF Table(JPY)'!G46,BS_RE33!$F$7:$F$874,'30 days CF Table(JPY)'!$C$2)</f>
        <v>0</v>
      </c>
      <c r="BH46" s="380">
        <f>SUMIFS(BS_RE33!$H$7:$H$874,BS_RE33!$S$7:$S$874,$BH$2,BS_RE33!$N$7:$N$874,I46,BS_RE33!$P$7:$P$874,'30 days CF Table(JPY)'!G46,BS_RE33!$F$7:$F$874,'30 days CF Table(JPY)'!$C$2)</f>
        <v>0</v>
      </c>
      <c r="BI46" s="380">
        <f>SUMIFS(BS_RE33!$H$7:$H$874,BS_RE33!$S$7:$S$874,$BI$2,BS_RE33!$N$7:$N$874,I46,BS_RE33!$P$7:$P$874,'30 days CF Table(JPY)'!G46,BS_RE33!$F$7:$F$874,'30 days CF Table(JPY)'!$C$2)</f>
        <v>0</v>
      </c>
      <c r="BJ46" s="380">
        <f>SUMIFS(BS_RE33!$H$7:$H$874,BS_RE33!$S$7:$S$874,$BJ$2,BS_RE33!$N$7:$N$874,I46,BS_RE33!$P$7:$P$874,'30 days CF Table(JPY)'!G46,BS_RE33!$F$7:$F$874,'30 days CF Table(JPY)'!$C$2)</f>
        <v>0</v>
      </c>
      <c r="BK46" s="380">
        <f>SUMIFS(BS_RE33!$H$7:$H$874,BS_RE33!$S$7:$S$874,$BK$2,BS_RE33!$N$7:$N$874,I46,BS_RE33!$P$7:$P$874,'30 days CF Table(JPY)'!G46,BS_RE33!$F$7:$F$874,'30 days CF Table(JPY)'!$C$2)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Table(JPY)'!G47,BS_RE33!$F$7:$F$874,'30 days CF Table(JPY)'!$C$2)</f>
        <v>0</v>
      </c>
      <c r="M47" s="548">
        <f>SUMIFS(BS_RE33!$H$7:$H$874,BS_RE33!$S$7:$S$874,$M$2,BS_RE33!$N$7:$N$874,I47,BS_RE33!$P$7:$P$874,'30 days CF Table(JPY)'!G47,BS_RE33!$F$7:$F$874,'30 days CF Table(JPY)'!$C$2)</f>
        <v>0</v>
      </c>
      <c r="N47" s="548">
        <f>SUMIFS(BS_RE33!$H$7:$H$874,BS_RE33!$S$7:$S$874,$N$2,BS_RE33!$N$7:$N$874,I47,BS_RE33!$P$7:$P$874,'30 days CF Table(JPY)'!G47,BS_RE33!$F$7:$F$874,'30 days CF Table(JPY)'!$C$2)</f>
        <v>0</v>
      </c>
      <c r="O47" s="548">
        <f>SUMIFS(BS_RE33!$H$7:$H$874,BS_RE33!$S$7:$S$874,$O$2,BS_RE33!$N$7:$N$874,I47,BS_RE33!$P$7:$P$874,'30 days CF Table(JPY)'!G47,BS_RE33!$F$7:$F$874,'30 days CF Table(JPY)'!$C$2)</f>
        <v>0</v>
      </c>
      <c r="P47" s="548">
        <f>SUMIFS(BS_RE33!$H$7:$H$874,BS_RE33!$S$7:$S$874,$P$2,BS_RE33!$N$7:$N$874,I47,BS_RE33!$P$7:$P$874,'30 days CF Table(JPY)'!G47,BS_RE33!$F$7:$F$874,'30 days CF Table(JPY)'!$C$2)</f>
        <v>0</v>
      </c>
      <c r="Q47" s="548">
        <f>SUMIFS(BS_RE33!$H$7:$H$874,BS_RE33!$S$7:$S$874,$Q$2,BS_RE33!$N$7:$N$874,I47,BS_RE33!$P$7:$P$874,'30 days CF Table(JPY)'!G47,BS_RE33!$F$7:$F$874,'30 days CF Table(JPY)'!$C$2)</f>
        <v>0</v>
      </c>
      <c r="R47" s="548">
        <f>SUMIFS(BS_RE33!$H$7:$H$874,BS_RE33!$S$7:$S$874,$R$2,BS_RE33!$N$7:$N$874,I47,BS_RE33!$P$7:$P$874,'30 days CF Table(JPY)'!G47,BS_RE33!$F$7:$F$874,'30 days CF Table(JPY)'!$C$2)</f>
        <v>0</v>
      </c>
      <c r="S47" s="548">
        <f>SUMIFS(BS_RE33!$H$7:$H$874,BS_RE33!$S$7:$S$874,$S$2,BS_RE33!$N$7:$N$874,I47,BS_RE33!$P$7:$P$874,'30 days CF Table(JPY)'!G47,BS_RE33!$F$7:$F$874,'30 days CF Table(JPY)'!$C$2)</f>
        <v>0</v>
      </c>
      <c r="T47" s="548">
        <f>SUMIFS(BS_RE33!$H$7:$H$874,BS_RE33!$S$7:$S$874,$T$2,BS_RE33!$N$7:$N$874,I47,BS_RE33!$P$7:$P$874,'30 days CF Table(JPY)'!G47,BS_RE33!$F$7:$F$874,'30 days CF Table(JPY)'!$C$2)</f>
        <v>0</v>
      </c>
      <c r="U47" s="548">
        <f>SUMIFS(BS_RE33!$H$7:$H$874,BS_RE33!$S$7:$S$874,$U$2,BS_RE33!$N$7:$N$874,I47,BS_RE33!$P$7:$P$874,'30 days CF Table(JPY)'!G47,BS_RE33!$F$7:$F$874,'30 days CF Table(JPY)'!$C$2)</f>
        <v>0</v>
      </c>
      <c r="V47" s="548">
        <f>SUMIFS(BS_RE33!$H$7:$H$874,BS_RE33!$S$7:$S$874,$V$2,BS_RE33!$N$7:$N$874,I47,BS_RE33!$P$7:$P$874,'30 days CF Table(JPY)'!G47,BS_RE33!$F$7:$F$874,'30 days CF Table(JPY)'!$C$2)</f>
        <v>0</v>
      </c>
      <c r="W47" s="548">
        <f>SUMIFS(BS_RE33!$H$7:$H$874,BS_RE33!$S$7:$S$874,$W$2,BS_RE33!$N$7:$N$874,I47,BS_RE33!$P$7:$P$874,'30 days CF Table(JPY)'!G47,BS_RE33!$F$7:$F$874,'30 days CF Table(JPY)'!$C$2)</f>
        <v>0</v>
      </c>
      <c r="X47" s="548">
        <f>SUMIFS(BS_RE33!$H$7:$H$874,BS_RE33!$S$7:$S$874,$X$2,BS_RE33!$N$7:$N$874,I47,BS_RE33!$P$7:$P$874,'30 days CF Table(JPY)'!G47,BS_RE33!$F$7:$F$874,'30 days CF Table(JPY)'!$C$2)</f>
        <v>0</v>
      </c>
      <c r="Y47" s="548">
        <f>SUMIFS(BS_RE33!$H$7:$H$874,BS_RE33!$S$7:$S$874,$Y$2,BS_RE33!$N$7:$N$874,I47,BS_RE33!$P$7:$P$874,'30 days CF Table(JPY)'!G47,BS_RE33!$F$7:$F$874,'30 days CF Table(JPY)'!$C$2)</f>
        <v>0</v>
      </c>
      <c r="Z47" s="548">
        <f>SUMIFS(BS_RE33!$H$7:$H$874,BS_RE33!$S$7:$S$874,$Z$2,BS_RE33!$N$7:$N$874,I47,BS_RE33!$P$7:$P$874,'30 days CF Table(JPY)'!G47,BS_RE33!$F$7:$F$874,'30 days CF Table(JPY)'!$C$2)</f>
        <v>0</v>
      </c>
      <c r="AA47" s="548">
        <f>SUMIFS(BS_RE33!$H$7:$H$874,BS_RE33!$S$7:$S$874,$AA$2,BS_RE33!$N$7:$N$874,I47,BS_RE33!$P$7:$P$874,'30 days CF Table(JPY)'!G47,BS_RE33!$F$7:$F$874,'30 days CF Table(JPY)'!$C$2)</f>
        <v>0</v>
      </c>
      <c r="AB47" s="548">
        <f>SUMIFS(BS_RE33!$H$7:$H$874,BS_RE33!$S$7:$S$874,$AB$2,BS_RE33!$N$7:$N$874,I47,BS_RE33!$P$7:$P$874,'30 days CF Table(JPY)'!G47,BS_RE33!$F$7:$F$874,'30 days CF Table(JPY)'!$C$2)</f>
        <v>0</v>
      </c>
      <c r="AC47" s="548">
        <f>SUMIFS(BS_RE33!$H$7:$H$874,BS_RE33!$S$7:$S$874,$AC$2,BS_RE33!$N$7:$N$874,I47,BS_RE33!$P$7:$P$874,'30 days CF Table(JPY)'!G47,BS_RE33!$F$7:$F$874,'30 days CF Table(JPY)'!$C$2)</f>
        <v>0</v>
      </c>
      <c r="AD47" s="548">
        <f>SUMIFS(BS_RE33!$H$7:$H$874,BS_RE33!$S$7:$S$874,$AD$2,BS_RE33!$N$7:$N$874,I47,BS_RE33!$P$7:$P$874,'30 days CF Table(JPY)'!G47,BS_RE33!$F$7:$F$874,'30 days CF Table(JPY)'!$C$2)</f>
        <v>0</v>
      </c>
      <c r="AE47" s="548">
        <f>SUMIFS(BS_RE33!$H$7:$H$874,BS_RE33!$S$7:$S$874,$AE$2,BS_RE33!$N$7:$N$874,I47,BS_RE33!$P$7:$P$874,'30 days CF Table(JPY)'!G47,BS_RE33!$F$7:$F$874,'30 days CF Table(JPY)'!$C$2)</f>
        <v>0</v>
      </c>
      <c r="AF47" s="548">
        <f>SUMIFS(BS_RE33!$H$7:$H$874,BS_RE33!$S$7:$S$874,$AF$2,BS_RE33!$N$7:$N$874,I47,BS_RE33!$P$7:$P$874,'30 days CF Table(JPY)'!G47,BS_RE33!$F$7:$F$874,'30 days CF Table(JPY)'!$C$2)</f>
        <v>0</v>
      </c>
      <c r="AG47" s="548">
        <f>SUMIFS(BS_RE33!$H$7:$H$874,BS_RE33!$S$7:$S$874,$AG$2,BS_RE33!$N$7:$N$874,I47,BS_RE33!$P$7:$P$874,'30 days CF Table(JPY)'!G47,BS_RE33!$F$7:$F$874,'30 days CF Table(JPY)'!$C$2)</f>
        <v>0</v>
      </c>
      <c r="AH47" s="548">
        <f>SUMIFS(BS_RE33!$H$7:$H$874,BS_RE33!$S$7:$S$874,$AH$2,BS_RE33!$N$7:$N$874,I47,BS_RE33!$P$7:$P$874,'30 days CF Table(JPY)'!G47,BS_RE33!$F$7:$F$874,'30 days CF Table(JPY)'!$C$2)</f>
        <v>0</v>
      </c>
      <c r="AI47" s="548">
        <f>SUMIFS(BS_RE33!$H$7:$H$874,BS_RE33!$S$7:$S$874,$AI$2,BS_RE33!$N$7:$N$874,I47,BS_RE33!$P$7:$P$874,'30 days CF Table(JPY)'!G47,BS_RE33!$F$7:$F$874,'30 days CF Table(JPY)'!$C$2)</f>
        <v>0</v>
      </c>
      <c r="AJ47" s="548">
        <f>SUMIFS(BS_RE33!$H$7:$H$874,BS_RE33!$S$7:$S$874,$AJ$2,BS_RE33!$N$7:$N$874,I47,BS_RE33!$P$7:$P$874,'30 days CF Table(JPY)'!G47,BS_RE33!$F$7:$F$874,'30 days CF Table(JPY)'!$C$2)</f>
        <v>0</v>
      </c>
      <c r="AK47" s="548">
        <f>SUMIFS(BS_RE33!$H$7:$H$874,BS_RE33!$S$7:$S$874,$AK$2,BS_RE33!$N$7:$N$874,I47,BS_RE33!$P$7:$P$874,'30 days CF Table(JPY)'!G47,BS_RE33!$F$7:$F$874,'30 days CF Table(JPY)'!$C$2)</f>
        <v>0</v>
      </c>
      <c r="AL47" s="548">
        <f>SUMIFS(BS_RE33!$H$7:$H$874,BS_RE33!$S$7:$S$874,$AL$2,BS_RE33!$N$7:$N$874,I47,BS_RE33!$P$7:$P$874,'30 days CF Table(JPY)'!G47,BS_RE33!$F$7:$F$874,'30 days CF Table(JPY)'!$C$2)</f>
        <v>0</v>
      </c>
      <c r="AM47" s="548">
        <f>SUMIFS(BS_RE33!$H$7:$H$874,BS_RE33!$S$7:$S$874,$AM$2,BS_RE33!$N$7:$N$874,I47,BS_RE33!$P$7:$P$874,'30 days CF Table(JPY)'!G47,BS_RE33!$F$7:$F$874,'30 days CF Table(JPY)'!$C$2)</f>
        <v>0</v>
      </c>
      <c r="AN47" s="548">
        <f>SUMIFS(BS_RE33!$H$7:$H$874,BS_RE33!$S$7:$S$874,$AN$2,BS_RE33!$N$7:$N$874,I47,BS_RE33!$P$7:$P$874,'30 days CF Table(JPY)'!G47,BS_RE33!$F$7:$F$874,'30 days CF Table(JPY)'!$C$2)</f>
        <v>0</v>
      </c>
      <c r="AO47" s="548">
        <f>SUMIFS(BS_RE33!$H$7:$H$874,BS_RE33!$S$7:$S$874,$AO$2,BS_RE33!$N$7:$N$874,I47,BS_RE33!$P$7:$P$874,'30 days CF Table(JPY)'!G47,BS_RE33!$F$7:$F$874,'30 days CF Table(JPY)'!$C$2)</f>
        <v>0</v>
      </c>
      <c r="AP47" s="549">
        <f>SUMIFS(BS_RE33!$H$7:$H$874,BS_RE33!$S$7:$S$874,$AP$2,BS_RE33!$N$7:$N$874,I47,BS_RE33!$P$7:$P$874,'30 days CF Table(JPY)'!G47,BS_RE33!$F$7:$F$874,'30 days CF Table(JPY)'!$C$2)</f>
        <v>0</v>
      </c>
      <c r="AQ47" s="550"/>
      <c r="AR47" s="380">
        <f>SUMIFS(BS_RE33!$H$7:$H$874,BS_RE33!$S$7:$S$874,$AR$2,BS_RE33!$N$7:$N$874,I47,BS_RE33!$P$7:$P$874,'30 days CF Table(JPY)'!G47,BS_RE33!$F$7:$F$874,'30 days CF Table(JPY)'!$C$2)</f>
        <v>0</v>
      </c>
      <c r="AS47" s="380">
        <f>SUMIFS(BS_RE33!$H$7:$H$874,BS_RE33!$S$7:$S$874,$AS$2,BS_RE33!$N$7:$N$874,I47,BS_RE33!$P$7:$P$874,'30 days CF Table(JPY)'!G47,BS_RE33!$F$7:$F$874,'30 days CF Table(JPY)'!$C$2)</f>
        <v>0</v>
      </c>
      <c r="AT47" s="380">
        <f>SUMIFS(BS_RE33!$H$7:$H$874,BS_RE33!$S$7:$S$874,$AT$2,BS_RE33!$N$7:$N$874,I47,BS_RE33!$P$7:$P$874,'30 days CF Table(JPY)'!G47,BS_RE33!$F$7:$F$874,'30 days CF Table(JPY)'!$C$2)</f>
        <v>0</v>
      </c>
      <c r="AU47" s="380">
        <f>SUMIFS(BS_RE33!$H$7:$H$874,BS_RE33!$S$7:$S$874,$AU$2,BS_RE33!$N$7:$N$874,I47,BS_RE33!$P$7:$P$874,'30 days CF Table(JPY)'!G47,BS_RE33!$F$7:$F$874,'30 days CF Table(JPY)'!$C$2)</f>
        <v>0</v>
      </c>
      <c r="AV47" s="380">
        <f>SUMIFS(BS_RE33!$H$7:$H$874,BS_RE33!$S$7:$S$874,$AV$2,BS_RE33!$N$7:$N$874,I47,BS_RE33!$P$7:$P$874,'30 days CF Table(JPY)'!G47,BS_RE33!$F$7:$F$874,'30 days CF Table(JPY)'!$C$2)</f>
        <v>0</v>
      </c>
      <c r="AW47" s="380">
        <f>SUMIFS(BS_RE33!$H$7:$H$874,BS_RE33!$S$7:$S$874,$AW$2,BS_RE33!$N$7:$N$874,I47,BS_RE33!$P$7:$P$874,'30 days CF Table(JPY)'!G47,BS_RE33!$F$7:$F$874,'30 days CF Table(JPY)'!$C$2)</f>
        <v>0</v>
      </c>
      <c r="AX47" s="380">
        <f>SUMIFS(BS_RE33!$H$7:$H$874,BS_RE33!$S$7:$S$874,$AX$2,BS_RE33!$N$7:$N$874,I47,BS_RE33!$P$7:$P$874,'30 days CF Table(JPY)'!G47,BS_RE33!$F$7:$F$874,'30 days CF Table(JPY)'!$C$2)</f>
        <v>0</v>
      </c>
      <c r="AY47" s="380">
        <f>SUMIFS(BS_RE33!$H$7:$H$874,BS_RE33!$S$7:$S$874,$AY$2,BS_RE33!$N$7:$N$874,I47,BS_RE33!$P$7:$P$874,'30 days CF Table(JPY)'!G47,BS_RE33!$F$7:$F$874,'30 days CF Table(JPY)'!$C$2)</f>
        <v>0</v>
      </c>
      <c r="AZ47" s="380">
        <f>SUMIFS(BS_RE33!$H$7:$H$874,BS_RE33!$S$7:$S$874,$AZ$2,BS_RE33!$N$7:$N$874,I47,BS_RE33!$P$7:$P$874,'30 days CF Table(JPY)'!G47,BS_RE33!$F$7:$F$874,'30 days CF Table(JPY)'!$C$2)</f>
        <v>0</v>
      </c>
      <c r="BA47" s="380">
        <f>SUMIFS(BS_RE33!$H$7:$H$874,BS_RE33!$S$7:$S$874,$BA$2,BS_RE33!$N$7:$N$874,I47,BS_RE33!$P$7:$P$874,'30 days CF Table(JPY)'!G47,BS_RE33!$F$7:$F$874,'30 days CF Table(JPY)'!$C$2)</f>
        <v>0</v>
      </c>
      <c r="BB47" s="380">
        <f>SUMIFS(BS_RE33!$H$7:$H$874,BS_RE33!$S$7:$S$874,$BB$2,BS_RE33!$N$7:$N$874,I47,BS_RE33!$P$7:$P$874,'30 days CF Table(JPY)'!G47,BS_RE33!$F$7:$F$874,'30 days CF Table(JPY)'!$C$2)</f>
        <v>0</v>
      </c>
      <c r="BC47" s="380">
        <f>SUMIFS(BS_RE33!$H$7:$H$874,BS_RE33!$S$7:$S$874,$BC$2,BS_RE33!$N$7:$N$874,I47,BS_RE33!$P$7:$P$874,'30 days CF Table(JPY)'!G47,BS_RE33!$F$7:$F$874,'30 days CF Table(JPY)'!$C$2)</f>
        <v>0</v>
      </c>
      <c r="BD47" s="380">
        <f>SUMIFS(BS_RE33!$H$7:$H$874,BS_RE33!$S$7:$S$874,$BD$2,BS_RE33!$N$7:$N$874,I47,BS_RE33!$P$7:$P$874,'30 days CF Table(JPY)'!G47,BS_RE33!$F$7:$F$874,'30 days CF Table(JPY)'!$C$2)</f>
        <v>0</v>
      </c>
      <c r="BE47" s="380">
        <f>SUMIFS(BS_RE33!$H$7:$H$874,BS_RE33!$S$7:$S$874,$BE$2,BS_RE33!$N$7:$N$874,I47,BS_RE33!$P$7:$P$874,'30 days CF Table(JPY)'!G47,BS_RE33!$F$7:$F$874,'30 days CF Table(JPY)'!$C$2)</f>
        <v>0</v>
      </c>
      <c r="BF47" s="380">
        <f>SUMIFS(BS_RE33!$H$7:$H$874,BS_RE33!$S$7:$S$874,$BF$2,BS_RE33!$N$7:$N$874,I47,BS_RE33!$P$7:$P$874,'30 days CF Table(JPY)'!G47,BS_RE33!$F$7:$F$874,'30 days CF Table(JPY)'!$C$2)</f>
        <v>0</v>
      </c>
      <c r="BG47" s="380">
        <f>SUMIFS(BS_RE33!$H$7:$H$874,BS_RE33!$S$7:$S$874,$BG$2,BS_RE33!$N$7:$N$874,I47,BS_RE33!$P$7:$P$874,'30 days CF Table(JPY)'!G47,BS_RE33!$F$7:$F$874,'30 days CF Table(JPY)'!$C$2)</f>
        <v>0</v>
      </c>
      <c r="BH47" s="380">
        <f>SUMIFS(BS_RE33!$H$7:$H$874,BS_RE33!$S$7:$S$874,$BH$2,BS_RE33!$N$7:$N$874,I47,BS_RE33!$P$7:$P$874,'30 days CF Table(JPY)'!G47,BS_RE33!$F$7:$F$874,'30 days CF Table(JPY)'!$C$2)</f>
        <v>0</v>
      </c>
      <c r="BI47" s="380">
        <f>SUMIFS(BS_RE33!$H$7:$H$874,BS_RE33!$S$7:$S$874,$BI$2,BS_RE33!$N$7:$N$874,I47,BS_RE33!$P$7:$P$874,'30 days CF Table(JPY)'!G47,BS_RE33!$F$7:$F$874,'30 days CF Table(JPY)'!$C$2)</f>
        <v>0</v>
      </c>
      <c r="BJ47" s="380">
        <f>SUMIFS(BS_RE33!$H$7:$H$874,BS_RE33!$S$7:$S$874,$BJ$2,BS_RE33!$N$7:$N$874,I47,BS_RE33!$P$7:$P$874,'30 days CF Table(JPY)'!G47,BS_RE33!$F$7:$F$874,'30 days CF Table(JPY)'!$C$2)</f>
        <v>0</v>
      </c>
      <c r="BK47" s="380">
        <f>SUMIFS(BS_RE33!$H$7:$H$874,BS_RE33!$S$7:$S$874,$BK$2,BS_RE33!$N$7:$N$874,I47,BS_RE33!$P$7:$P$874,'30 days CF Table(JPY)'!G47,BS_RE33!$F$7:$F$874,'30 days CF Table(JPY)'!$C$2)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Table(JPY)'!G48,BS_RE33!$F$7:$F$874,'30 days CF Table(JPY)'!$C$2)</f>
        <v>0</v>
      </c>
      <c r="M48" s="548">
        <f>SUMIFS(BS_RE33!$H$7:$H$874,BS_RE33!$S$7:$S$874,$M$2,BS_RE33!$N$7:$N$874,I48,BS_RE33!$P$7:$P$874,'30 days CF Table(JPY)'!G48,BS_RE33!$F$7:$F$874,'30 days CF Table(JPY)'!$C$2)</f>
        <v>0</v>
      </c>
      <c r="N48" s="548">
        <f>SUMIFS(BS_RE33!$H$7:$H$874,BS_RE33!$S$7:$S$874,$N$2,BS_RE33!$N$7:$N$874,I48,BS_RE33!$P$7:$P$874,'30 days CF Table(JPY)'!G48,BS_RE33!$F$7:$F$874,'30 days CF Table(JPY)'!$C$2)</f>
        <v>0</v>
      </c>
      <c r="O48" s="548">
        <f>SUMIFS(BS_RE33!$H$7:$H$874,BS_RE33!$S$7:$S$874,$O$2,BS_RE33!$N$7:$N$874,I48,BS_RE33!$P$7:$P$874,'30 days CF Table(JPY)'!G48,BS_RE33!$F$7:$F$874,'30 days CF Table(JPY)'!$C$2)</f>
        <v>0</v>
      </c>
      <c r="P48" s="548">
        <f>SUMIFS(BS_RE33!$H$7:$H$874,BS_RE33!$S$7:$S$874,$P$2,BS_RE33!$N$7:$N$874,I48,BS_RE33!$P$7:$P$874,'30 days CF Table(JPY)'!G48,BS_RE33!$F$7:$F$874,'30 days CF Table(JPY)'!$C$2)</f>
        <v>0</v>
      </c>
      <c r="Q48" s="548">
        <f>SUMIFS(BS_RE33!$H$7:$H$874,BS_RE33!$S$7:$S$874,$Q$2,BS_RE33!$N$7:$N$874,I48,BS_RE33!$P$7:$P$874,'30 days CF Table(JPY)'!G48,BS_RE33!$F$7:$F$874,'30 days CF Table(JPY)'!$C$2)</f>
        <v>0</v>
      </c>
      <c r="R48" s="548">
        <f>SUMIFS(BS_RE33!$H$7:$H$874,BS_RE33!$S$7:$S$874,$R$2,BS_RE33!$N$7:$N$874,I48,BS_RE33!$P$7:$P$874,'30 days CF Table(JPY)'!G48,BS_RE33!$F$7:$F$874,'30 days CF Table(JPY)'!$C$2)</f>
        <v>0</v>
      </c>
      <c r="S48" s="548">
        <f>SUMIFS(BS_RE33!$H$7:$H$874,BS_RE33!$S$7:$S$874,$S$2,BS_RE33!$N$7:$N$874,I48,BS_RE33!$P$7:$P$874,'30 days CF Table(JPY)'!G48,BS_RE33!$F$7:$F$874,'30 days CF Table(JPY)'!$C$2)</f>
        <v>0</v>
      </c>
      <c r="T48" s="548">
        <f>SUMIFS(BS_RE33!$H$7:$H$874,BS_RE33!$S$7:$S$874,$T$2,BS_RE33!$N$7:$N$874,I48,BS_RE33!$P$7:$P$874,'30 days CF Table(JPY)'!G48,BS_RE33!$F$7:$F$874,'30 days CF Table(JPY)'!$C$2)</f>
        <v>0</v>
      </c>
      <c r="U48" s="548">
        <f>SUMIFS(BS_RE33!$H$7:$H$874,BS_RE33!$S$7:$S$874,$U$2,BS_RE33!$N$7:$N$874,I48,BS_RE33!$P$7:$P$874,'30 days CF Table(JPY)'!G48,BS_RE33!$F$7:$F$874,'30 days CF Table(JPY)'!$C$2)</f>
        <v>0</v>
      </c>
      <c r="V48" s="548">
        <f>SUMIFS(BS_RE33!$H$7:$H$874,BS_RE33!$S$7:$S$874,$V$2,BS_RE33!$N$7:$N$874,I48,BS_RE33!$P$7:$P$874,'30 days CF Table(JPY)'!G48,BS_RE33!$F$7:$F$874,'30 days CF Table(JPY)'!$C$2)</f>
        <v>0</v>
      </c>
      <c r="W48" s="548">
        <f>SUMIFS(BS_RE33!$H$7:$H$874,BS_RE33!$S$7:$S$874,$W$2,BS_RE33!$N$7:$N$874,I48,BS_RE33!$P$7:$P$874,'30 days CF Table(JPY)'!G48,BS_RE33!$F$7:$F$874,'30 days CF Table(JPY)'!$C$2)</f>
        <v>0</v>
      </c>
      <c r="X48" s="548">
        <f>SUMIFS(BS_RE33!$H$7:$H$874,BS_RE33!$S$7:$S$874,$X$2,BS_RE33!$N$7:$N$874,I48,BS_RE33!$P$7:$P$874,'30 days CF Table(JPY)'!G48,BS_RE33!$F$7:$F$874,'30 days CF Table(JPY)'!$C$2)</f>
        <v>0</v>
      </c>
      <c r="Y48" s="548">
        <f>SUMIFS(BS_RE33!$H$7:$H$874,BS_RE33!$S$7:$S$874,$Y$2,BS_RE33!$N$7:$N$874,I48,BS_RE33!$P$7:$P$874,'30 days CF Table(JPY)'!G48,BS_RE33!$F$7:$F$874,'30 days CF Table(JPY)'!$C$2)</f>
        <v>0</v>
      </c>
      <c r="Z48" s="548">
        <f>SUMIFS(BS_RE33!$H$7:$H$874,BS_RE33!$S$7:$S$874,$Z$2,BS_RE33!$N$7:$N$874,I48,BS_RE33!$P$7:$P$874,'30 days CF Table(JPY)'!G48,BS_RE33!$F$7:$F$874,'30 days CF Table(JPY)'!$C$2)</f>
        <v>0</v>
      </c>
      <c r="AA48" s="548">
        <f>SUMIFS(BS_RE33!$H$7:$H$874,BS_RE33!$S$7:$S$874,$AA$2,BS_RE33!$N$7:$N$874,I48,BS_RE33!$P$7:$P$874,'30 days CF Table(JPY)'!G48,BS_RE33!$F$7:$F$874,'30 days CF Table(JPY)'!$C$2)</f>
        <v>0</v>
      </c>
      <c r="AB48" s="548">
        <f>SUMIFS(BS_RE33!$H$7:$H$874,BS_RE33!$S$7:$S$874,$AB$2,BS_RE33!$N$7:$N$874,I48,BS_RE33!$P$7:$P$874,'30 days CF Table(JPY)'!G48,BS_RE33!$F$7:$F$874,'30 days CF Table(JPY)'!$C$2)</f>
        <v>0</v>
      </c>
      <c r="AC48" s="548">
        <f>SUMIFS(BS_RE33!$H$7:$H$874,BS_RE33!$S$7:$S$874,$AC$2,BS_RE33!$N$7:$N$874,I48,BS_RE33!$P$7:$P$874,'30 days CF Table(JPY)'!G48,BS_RE33!$F$7:$F$874,'30 days CF Table(JPY)'!$C$2)</f>
        <v>0</v>
      </c>
      <c r="AD48" s="548">
        <f>SUMIFS(BS_RE33!$H$7:$H$874,BS_RE33!$S$7:$S$874,$AD$2,BS_RE33!$N$7:$N$874,I48,BS_RE33!$P$7:$P$874,'30 days CF Table(JPY)'!G48,BS_RE33!$F$7:$F$874,'30 days CF Table(JPY)'!$C$2)</f>
        <v>0</v>
      </c>
      <c r="AE48" s="548">
        <f>SUMIFS(BS_RE33!$H$7:$H$874,BS_RE33!$S$7:$S$874,$AE$2,BS_RE33!$N$7:$N$874,I48,BS_RE33!$P$7:$P$874,'30 days CF Table(JPY)'!G48,BS_RE33!$F$7:$F$874,'30 days CF Table(JPY)'!$C$2)</f>
        <v>0</v>
      </c>
      <c r="AF48" s="548">
        <f>SUMIFS(BS_RE33!$H$7:$H$874,BS_RE33!$S$7:$S$874,$AF$2,BS_RE33!$N$7:$N$874,I48,BS_RE33!$P$7:$P$874,'30 days CF Table(JPY)'!G48,BS_RE33!$F$7:$F$874,'30 days CF Table(JPY)'!$C$2)</f>
        <v>0</v>
      </c>
      <c r="AG48" s="548">
        <f>SUMIFS(BS_RE33!$H$7:$H$874,BS_RE33!$S$7:$S$874,$AG$2,BS_RE33!$N$7:$N$874,I48,BS_RE33!$P$7:$P$874,'30 days CF Table(JPY)'!G48,BS_RE33!$F$7:$F$874,'30 days CF Table(JPY)'!$C$2)</f>
        <v>0</v>
      </c>
      <c r="AH48" s="548">
        <f>SUMIFS(BS_RE33!$H$7:$H$874,BS_RE33!$S$7:$S$874,$AH$2,BS_RE33!$N$7:$N$874,I48,BS_RE33!$P$7:$P$874,'30 days CF Table(JPY)'!G48,BS_RE33!$F$7:$F$874,'30 days CF Table(JPY)'!$C$2)</f>
        <v>0</v>
      </c>
      <c r="AI48" s="548">
        <f>SUMIFS(BS_RE33!$H$7:$H$874,BS_RE33!$S$7:$S$874,$AI$2,BS_RE33!$N$7:$N$874,I48,BS_RE33!$P$7:$P$874,'30 days CF Table(JPY)'!G48,BS_RE33!$F$7:$F$874,'30 days CF Table(JPY)'!$C$2)</f>
        <v>0</v>
      </c>
      <c r="AJ48" s="548">
        <f>SUMIFS(BS_RE33!$H$7:$H$874,BS_RE33!$S$7:$S$874,$AJ$2,BS_RE33!$N$7:$N$874,I48,BS_RE33!$P$7:$P$874,'30 days CF Table(JPY)'!G48,BS_RE33!$F$7:$F$874,'30 days CF Table(JPY)'!$C$2)</f>
        <v>0</v>
      </c>
      <c r="AK48" s="548">
        <f>SUMIFS(BS_RE33!$H$7:$H$874,BS_RE33!$S$7:$S$874,$AK$2,BS_RE33!$N$7:$N$874,I48,BS_RE33!$P$7:$P$874,'30 days CF Table(JPY)'!G48,BS_RE33!$F$7:$F$874,'30 days CF Table(JPY)'!$C$2)</f>
        <v>0</v>
      </c>
      <c r="AL48" s="548">
        <f>SUMIFS(BS_RE33!$H$7:$H$874,BS_RE33!$S$7:$S$874,$AL$2,BS_RE33!$N$7:$N$874,I48,BS_RE33!$P$7:$P$874,'30 days CF Table(JPY)'!G48,BS_RE33!$F$7:$F$874,'30 days CF Table(JPY)'!$C$2)</f>
        <v>0</v>
      </c>
      <c r="AM48" s="548">
        <f>SUMIFS(BS_RE33!$H$7:$H$874,BS_RE33!$S$7:$S$874,$AM$2,BS_RE33!$N$7:$N$874,I48,BS_RE33!$P$7:$P$874,'30 days CF Table(JPY)'!G48,BS_RE33!$F$7:$F$874,'30 days CF Table(JPY)'!$C$2)</f>
        <v>0</v>
      </c>
      <c r="AN48" s="548">
        <f>SUMIFS(BS_RE33!$H$7:$H$874,BS_RE33!$S$7:$S$874,$AN$2,BS_RE33!$N$7:$N$874,I48,BS_RE33!$P$7:$P$874,'30 days CF Table(JPY)'!G48,BS_RE33!$F$7:$F$874,'30 days CF Table(JPY)'!$C$2)</f>
        <v>0</v>
      </c>
      <c r="AO48" s="548">
        <f>SUMIFS(BS_RE33!$H$7:$H$874,BS_RE33!$S$7:$S$874,$AO$2,BS_RE33!$N$7:$N$874,I48,BS_RE33!$P$7:$P$874,'30 days CF Table(JPY)'!G48,BS_RE33!$F$7:$F$874,'30 days CF Table(JPY)'!$C$2)</f>
        <v>0</v>
      </c>
      <c r="AP48" s="549">
        <f>SUMIFS(BS_RE33!$H$7:$H$874,BS_RE33!$S$7:$S$874,$AP$2,BS_RE33!$N$7:$N$874,I48,BS_RE33!$P$7:$P$874,'30 days CF Table(JPY)'!G48,BS_RE33!$F$7:$F$874,'30 days CF Table(JPY)'!$C$2)</f>
        <v>0</v>
      </c>
      <c r="AQ48" s="550"/>
      <c r="AR48" s="380">
        <f>SUMIFS(BS_RE33!$H$7:$H$874,BS_RE33!$S$7:$S$874,$AR$2,BS_RE33!$N$7:$N$874,I48,BS_RE33!$P$7:$P$874,'30 days CF Table(JPY)'!G48,BS_RE33!$F$7:$F$874,'30 days CF Table(JPY)'!$C$2)</f>
        <v>0</v>
      </c>
      <c r="AS48" s="380">
        <f>SUMIFS(BS_RE33!$H$7:$H$874,BS_RE33!$S$7:$S$874,$AS$2,BS_RE33!$N$7:$N$874,I48,BS_RE33!$P$7:$P$874,'30 days CF Table(JPY)'!G48,BS_RE33!$F$7:$F$874,'30 days CF Table(JPY)'!$C$2)</f>
        <v>0</v>
      </c>
      <c r="AT48" s="380">
        <f>SUMIFS(BS_RE33!$H$7:$H$874,BS_RE33!$S$7:$S$874,$AT$2,BS_RE33!$N$7:$N$874,I48,BS_RE33!$P$7:$P$874,'30 days CF Table(JPY)'!G48,BS_RE33!$F$7:$F$874,'30 days CF Table(JPY)'!$C$2)</f>
        <v>0</v>
      </c>
      <c r="AU48" s="380">
        <f>SUMIFS(BS_RE33!$H$7:$H$874,BS_RE33!$S$7:$S$874,$AU$2,BS_RE33!$N$7:$N$874,I48,BS_RE33!$P$7:$P$874,'30 days CF Table(JPY)'!G48,BS_RE33!$F$7:$F$874,'30 days CF Table(JPY)'!$C$2)</f>
        <v>0</v>
      </c>
      <c r="AV48" s="380">
        <f>SUMIFS(BS_RE33!$H$7:$H$874,BS_RE33!$S$7:$S$874,$AV$2,BS_RE33!$N$7:$N$874,I48,BS_RE33!$P$7:$P$874,'30 days CF Table(JPY)'!G48,BS_RE33!$F$7:$F$874,'30 days CF Table(JPY)'!$C$2)</f>
        <v>0</v>
      </c>
      <c r="AW48" s="380">
        <f>SUMIFS(BS_RE33!$H$7:$H$874,BS_RE33!$S$7:$S$874,$AW$2,BS_RE33!$N$7:$N$874,I48,BS_RE33!$P$7:$P$874,'30 days CF Table(JPY)'!G48,BS_RE33!$F$7:$F$874,'30 days CF Table(JPY)'!$C$2)</f>
        <v>0</v>
      </c>
      <c r="AX48" s="380">
        <f>SUMIFS(BS_RE33!$H$7:$H$874,BS_RE33!$S$7:$S$874,$AX$2,BS_RE33!$N$7:$N$874,I48,BS_RE33!$P$7:$P$874,'30 days CF Table(JPY)'!G48,BS_RE33!$F$7:$F$874,'30 days CF Table(JPY)'!$C$2)</f>
        <v>0</v>
      </c>
      <c r="AY48" s="380">
        <f>SUMIFS(BS_RE33!$H$7:$H$874,BS_RE33!$S$7:$S$874,$AY$2,BS_RE33!$N$7:$N$874,I48,BS_RE33!$P$7:$P$874,'30 days CF Table(JPY)'!G48,BS_RE33!$F$7:$F$874,'30 days CF Table(JPY)'!$C$2)</f>
        <v>0</v>
      </c>
      <c r="AZ48" s="380">
        <f>SUMIFS(BS_RE33!$H$7:$H$874,BS_RE33!$S$7:$S$874,$AZ$2,BS_RE33!$N$7:$N$874,I48,BS_RE33!$P$7:$P$874,'30 days CF Table(JPY)'!G48,BS_RE33!$F$7:$F$874,'30 days CF Table(JPY)'!$C$2)</f>
        <v>0</v>
      </c>
      <c r="BA48" s="380">
        <f>SUMIFS(BS_RE33!$H$7:$H$874,BS_RE33!$S$7:$S$874,$BA$2,BS_RE33!$N$7:$N$874,I48,BS_RE33!$P$7:$P$874,'30 days CF Table(JPY)'!G48,BS_RE33!$F$7:$F$874,'30 days CF Table(JPY)'!$C$2)</f>
        <v>0</v>
      </c>
      <c r="BB48" s="380">
        <f>SUMIFS(BS_RE33!$H$7:$H$874,BS_RE33!$S$7:$S$874,$BB$2,BS_RE33!$N$7:$N$874,I48,BS_RE33!$P$7:$P$874,'30 days CF Table(JPY)'!G48,BS_RE33!$F$7:$F$874,'30 days CF Table(JPY)'!$C$2)</f>
        <v>0</v>
      </c>
      <c r="BC48" s="380">
        <f>SUMIFS(BS_RE33!$H$7:$H$874,BS_RE33!$S$7:$S$874,$BC$2,BS_RE33!$N$7:$N$874,I48,BS_RE33!$P$7:$P$874,'30 days CF Table(JPY)'!G48,BS_RE33!$F$7:$F$874,'30 days CF Table(JPY)'!$C$2)</f>
        <v>0</v>
      </c>
      <c r="BD48" s="380">
        <f>SUMIFS(BS_RE33!$H$7:$H$874,BS_RE33!$S$7:$S$874,$BD$2,BS_RE33!$N$7:$N$874,I48,BS_RE33!$P$7:$P$874,'30 days CF Table(JPY)'!G48,BS_RE33!$F$7:$F$874,'30 days CF Table(JPY)'!$C$2)</f>
        <v>0</v>
      </c>
      <c r="BE48" s="380">
        <f>SUMIFS(BS_RE33!$H$7:$H$874,BS_RE33!$S$7:$S$874,$BE$2,BS_RE33!$N$7:$N$874,I48,BS_RE33!$P$7:$P$874,'30 days CF Table(JPY)'!G48,BS_RE33!$F$7:$F$874,'30 days CF Table(JPY)'!$C$2)</f>
        <v>0</v>
      </c>
      <c r="BF48" s="380">
        <f>SUMIFS(BS_RE33!$H$7:$H$874,BS_RE33!$S$7:$S$874,$BF$2,BS_RE33!$N$7:$N$874,I48,BS_RE33!$P$7:$P$874,'30 days CF Table(JPY)'!G48,BS_RE33!$F$7:$F$874,'30 days CF Table(JPY)'!$C$2)</f>
        <v>0</v>
      </c>
      <c r="BG48" s="380">
        <f>SUMIFS(BS_RE33!$H$7:$H$874,BS_RE33!$S$7:$S$874,$BG$2,BS_RE33!$N$7:$N$874,I48,BS_RE33!$P$7:$P$874,'30 days CF Table(JPY)'!G48,BS_RE33!$F$7:$F$874,'30 days CF Table(JPY)'!$C$2)</f>
        <v>0</v>
      </c>
      <c r="BH48" s="380">
        <f>SUMIFS(BS_RE33!$H$7:$H$874,BS_RE33!$S$7:$S$874,$BH$2,BS_RE33!$N$7:$N$874,I48,BS_RE33!$P$7:$P$874,'30 days CF Table(JPY)'!G48,BS_RE33!$F$7:$F$874,'30 days CF Table(JPY)'!$C$2)</f>
        <v>0</v>
      </c>
      <c r="BI48" s="380">
        <f>SUMIFS(BS_RE33!$H$7:$H$874,BS_RE33!$S$7:$S$874,$BI$2,BS_RE33!$N$7:$N$874,I48,BS_RE33!$P$7:$P$874,'30 days CF Table(JPY)'!G48,BS_RE33!$F$7:$F$874,'30 days CF Table(JPY)'!$C$2)</f>
        <v>0</v>
      </c>
      <c r="BJ48" s="380">
        <f>SUMIFS(BS_RE33!$H$7:$H$874,BS_RE33!$S$7:$S$874,$BJ$2,BS_RE33!$N$7:$N$874,I48,BS_RE33!$P$7:$P$874,'30 days CF Table(JPY)'!G48,BS_RE33!$F$7:$F$874,'30 days CF Table(JPY)'!$C$2)</f>
        <v>0</v>
      </c>
      <c r="BK48" s="380">
        <f>SUMIFS(BS_RE33!$H$7:$H$874,BS_RE33!$S$7:$S$874,$BK$2,BS_RE33!$N$7:$N$874,I48,BS_RE33!$P$7:$P$874,'30 days CF Table(JPY)'!G48,BS_RE33!$F$7:$F$874,'30 days CF Table(JPY)'!$C$2)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Table(JPY)'!G49,BS_RE33!$F$7:$F$874,'30 days CF Table(JPY)'!$C$2)</f>
        <v>0</v>
      </c>
      <c r="M49" s="548">
        <f>SUMIFS(BS_RE33!$H$7:$H$874,BS_RE33!$S$7:$S$874,$M$2,BS_RE33!$N$7:$N$874,I49,BS_RE33!$P$7:$P$874,'30 days CF Table(JPY)'!G49,BS_RE33!$F$7:$F$874,'30 days CF Table(JPY)'!$C$2)</f>
        <v>0</v>
      </c>
      <c r="N49" s="548">
        <f>SUMIFS(BS_RE33!$H$7:$H$874,BS_RE33!$S$7:$S$874,$N$2,BS_RE33!$N$7:$N$874,I49,BS_RE33!$P$7:$P$874,'30 days CF Table(JPY)'!G49,BS_RE33!$F$7:$F$874,'30 days CF Table(JPY)'!$C$2)</f>
        <v>0</v>
      </c>
      <c r="O49" s="548">
        <f>SUMIFS(BS_RE33!$H$7:$H$874,BS_RE33!$S$7:$S$874,$O$2,BS_RE33!$N$7:$N$874,I49,BS_RE33!$P$7:$P$874,'30 days CF Table(JPY)'!G49,BS_RE33!$F$7:$F$874,'30 days CF Table(JPY)'!$C$2)</f>
        <v>0</v>
      </c>
      <c r="P49" s="548">
        <f>SUMIFS(BS_RE33!$H$7:$H$874,BS_RE33!$S$7:$S$874,$P$2,BS_RE33!$N$7:$N$874,I49,BS_RE33!$P$7:$P$874,'30 days CF Table(JPY)'!G49,BS_RE33!$F$7:$F$874,'30 days CF Table(JPY)'!$C$2)</f>
        <v>0</v>
      </c>
      <c r="Q49" s="548">
        <f>SUMIFS(BS_RE33!$H$7:$H$874,BS_RE33!$S$7:$S$874,$Q$2,BS_RE33!$N$7:$N$874,I49,BS_RE33!$P$7:$P$874,'30 days CF Table(JPY)'!G49,BS_RE33!$F$7:$F$874,'30 days CF Table(JPY)'!$C$2)</f>
        <v>0</v>
      </c>
      <c r="R49" s="548">
        <f>SUMIFS(BS_RE33!$H$7:$H$874,BS_RE33!$S$7:$S$874,$R$2,BS_RE33!$N$7:$N$874,I49,BS_RE33!$P$7:$P$874,'30 days CF Table(JPY)'!G49,BS_RE33!$F$7:$F$874,'30 days CF Table(JPY)'!$C$2)</f>
        <v>0</v>
      </c>
      <c r="S49" s="548">
        <f>SUMIFS(BS_RE33!$H$7:$H$874,BS_RE33!$S$7:$S$874,$S$2,BS_RE33!$N$7:$N$874,I49,BS_RE33!$P$7:$P$874,'30 days CF Table(JPY)'!G49,BS_RE33!$F$7:$F$874,'30 days CF Table(JPY)'!$C$2)</f>
        <v>0</v>
      </c>
      <c r="T49" s="548">
        <f>SUMIFS(BS_RE33!$H$7:$H$874,BS_RE33!$S$7:$S$874,$T$2,BS_RE33!$N$7:$N$874,I49,BS_RE33!$P$7:$P$874,'30 days CF Table(JPY)'!G49,BS_RE33!$F$7:$F$874,'30 days CF Table(JPY)'!$C$2)</f>
        <v>0</v>
      </c>
      <c r="U49" s="548">
        <f>SUMIFS(BS_RE33!$H$7:$H$874,BS_RE33!$S$7:$S$874,$U$2,BS_RE33!$N$7:$N$874,I49,BS_RE33!$P$7:$P$874,'30 days CF Table(JPY)'!G49,BS_RE33!$F$7:$F$874,'30 days CF Table(JPY)'!$C$2)</f>
        <v>0</v>
      </c>
      <c r="V49" s="548">
        <f>SUMIFS(BS_RE33!$H$7:$H$874,BS_RE33!$S$7:$S$874,$V$2,BS_RE33!$N$7:$N$874,I49,BS_RE33!$P$7:$P$874,'30 days CF Table(JPY)'!G49,BS_RE33!$F$7:$F$874,'30 days CF Table(JPY)'!$C$2)</f>
        <v>0</v>
      </c>
      <c r="W49" s="548">
        <f>SUMIFS(BS_RE33!$H$7:$H$874,BS_RE33!$S$7:$S$874,$W$2,BS_RE33!$N$7:$N$874,I49,BS_RE33!$P$7:$P$874,'30 days CF Table(JPY)'!G49,BS_RE33!$F$7:$F$874,'30 days CF Table(JPY)'!$C$2)</f>
        <v>0</v>
      </c>
      <c r="X49" s="548">
        <f>SUMIFS(BS_RE33!$H$7:$H$874,BS_RE33!$S$7:$S$874,$X$2,BS_RE33!$N$7:$N$874,I49,BS_RE33!$P$7:$P$874,'30 days CF Table(JPY)'!G49,BS_RE33!$F$7:$F$874,'30 days CF Table(JPY)'!$C$2)</f>
        <v>0</v>
      </c>
      <c r="Y49" s="548">
        <f>SUMIFS(BS_RE33!$H$7:$H$874,BS_RE33!$S$7:$S$874,$Y$2,BS_RE33!$N$7:$N$874,I49,BS_RE33!$P$7:$P$874,'30 days CF Table(JPY)'!G49,BS_RE33!$F$7:$F$874,'30 days CF Table(JPY)'!$C$2)</f>
        <v>0</v>
      </c>
      <c r="Z49" s="548">
        <f>SUMIFS(BS_RE33!$H$7:$H$874,BS_RE33!$S$7:$S$874,$Z$2,BS_RE33!$N$7:$N$874,I49,BS_RE33!$P$7:$P$874,'30 days CF Table(JPY)'!G49,BS_RE33!$F$7:$F$874,'30 days CF Table(JPY)'!$C$2)</f>
        <v>0</v>
      </c>
      <c r="AA49" s="548">
        <f>SUMIFS(BS_RE33!$H$7:$H$874,BS_RE33!$S$7:$S$874,$AA$2,BS_RE33!$N$7:$N$874,I49,BS_RE33!$P$7:$P$874,'30 days CF Table(JPY)'!G49,BS_RE33!$F$7:$F$874,'30 days CF Table(JPY)'!$C$2)</f>
        <v>0</v>
      </c>
      <c r="AB49" s="548">
        <f>SUMIFS(BS_RE33!$H$7:$H$874,BS_RE33!$S$7:$S$874,$AB$2,BS_RE33!$N$7:$N$874,I49,BS_RE33!$P$7:$P$874,'30 days CF Table(JPY)'!G49,BS_RE33!$F$7:$F$874,'30 days CF Table(JPY)'!$C$2)</f>
        <v>0</v>
      </c>
      <c r="AC49" s="548">
        <f>SUMIFS(BS_RE33!$H$7:$H$874,BS_RE33!$S$7:$S$874,$AC$2,BS_RE33!$N$7:$N$874,I49,BS_RE33!$P$7:$P$874,'30 days CF Table(JPY)'!G49,BS_RE33!$F$7:$F$874,'30 days CF Table(JPY)'!$C$2)</f>
        <v>0</v>
      </c>
      <c r="AD49" s="548">
        <f>SUMIFS(BS_RE33!$H$7:$H$874,BS_RE33!$S$7:$S$874,$AD$2,BS_RE33!$N$7:$N$874,I49,BS_RE33!$P$7:$P$874,'30 days CF Table(JPY)'!G49,BS_RE33!$F$7:$F$874,'30 days CF Table(JPY)'!$C$2)</f>
        <v>0</v>
      </c>
      <c r="AE49" s="548">
        <f>SUMIFS(BS_RE33!$H$7:$H$874,BS_RE33!$S$7:$S$874,$AE$2,BS_RE33!$N$7:$N$874,I49,BS_RE33!$P$7:$P$874,'30 days CF Table(JPY)'!G49,BS_RE33!$F$7:$F$874,'30 days CF Table(JPY)'!$C$2)</f>
        <v>0</v>
      </c>
      <c r="AF49" s="548">
        <f>SUMIFS(BS_RE33!$H$7:$H$874,BS_RE33!$S$7:$S$874,$AF$2,BS_RE33!$N$7:$N$874,I49,BS_RE33!$P$7:$P$874,'30 days CF Table(JPY)'!G49,BS_RE33!$F$7:$F$874,'30 days CF Table(JPY)'!$C$2)</f>
        <v>0</v>
      </c>
      <c r="AG49" s="548">
        <f>SUMIFS(BS_RE33!$H$7:$H$874,BS_RE33!$S$7:$S$874,$AG$2,BS_RE33!$N$7:$N$874,I49,BS_RE33!$P$7:$P$874,'30 days CF Table(JPY)'!G49,BS_RE33!$F$7:$F$874,'30 days CF Table(JPY)'!$C$2)</f>
        <v>0</v>
      </c>
      <c r="AH49" s="548">
        <f>SUMIFS(BS_RE33!$H$7:$H$874,BS_RE33!$S$7:$S$874,$AH$2,BS_RE33!$N$7:$N$874,I49,BS_RE33!$P$7:$P$874,'30 days CF Table(JPY)'!G49,BS_RE33!$F$7:$F$874,'30 days CF Table(JPY)'!$C$2)</f>
        <v>0</v>
      </c>
      <c r="AI49" s="548">
        <f>SUMIFS(BS_RE33!$H$7:$H$874,BS_RE33!$S$7:$S$874,$AI$2,BS_RE33!$N$7:$N$874,I49,BS_RE33!$P$7:$P$874,'30 days CF Table(JPY)'!G49,BS_RE33!$F$7:$F$874,'30 days CF Table(JPY)'!$C$2)</f>
        <v>0</v>
      </c>
      <c r="AJ49" s="548">
        <f>SUMIFS(BS_RE33!$H$7:$H$874,BS_RE33!$S$7:$S$874,$AJ$2,BS_RE33!$N$7:$N$874,I49,BS_RE33!$P$7:$P$874,'30 days CF Table(JPY)'!G49,BS_RE33!$F$7:$F$874,'30 days CF Table(JPY)'!$C$2)</f>
        <v>0</v>
      </c>
      <c r="AK49" s="548">
        <f>SUMIFS(BS_RE33!$H$7:$H$874,BS_RE33!$S$7:$S$874,$AK$2,BS_RE33!$N$7:$N$874,I49,BS_RE33!$P$7:$P$874,'30 days CF Table(JPY)'!G49,BS_RE33!$F$7:$F$874,'30 days CF Table(JPY)'!$C$2)</f>
        <v>0</v>
      </c>
      <c r="AL49" s="548">
        <f>SUMIFS(BS_RE33!$H$7:$H$874,BS_RE33!$S$7:$S$874,$AL$2,BS_RE33!$N$7:$N$874,I49,BS_RE33!$P$7:$P$874,'30 days CF Table(JPY)'!G49,BS_RE33!$F$7:$F$874,'30 days CF Table(JPY)'!$C$2)</f>
        <v>0</v>
      </c>
      <c r="AM49" s="548">
        <f>SUMIFS(BS_RE33!$H$7:$H$874,BS_RE33!$S$7:$S$874,$AM$2,BS_RE33!$N$7:$N$874,I49,BS_RE33!$P$7:$P$874,'30 days CF Table(JPY)'!G49,BS_RE33!$F$7:$F$874,'30 days CF Table(JPY)'!$C$2)</f>
        <v>0</v>
      </c>
      <c r="AN49" s="548">
        <f>SUMIFS(BS_RE33!$H$7:$H$874,BS_RE33!$S$7:$S$874,$AN$2,BS_RE33!$N$7:$N$874,I49,BS_RE33!$P$7:$P$874,'30 days CF Table(JPY)'!G49,BS_RE33!$F$7:$F$874,'30 days CF Table(JPY)'!$C$2)</f>
        <v>0</v>
      </c>
      <c r="AO49" s="548">
        <f>SUMIFS(BS_RE33!$H$7:$H$874,BS_RE33!$S$7:$S$874,$AO$2,BS_RE33!$N$7:$N$874,I49,BS_RE33!$P$7:$P$874,'30 days CF Table(JPY)'!G49,BS_RE33!$F$7:$F$874,'30 days CF Table(JPY)'!$C$2)</f>
        <v>0</v>
      </c>
      <c r="AP49" s="549">
        <f>SUMIFS(BS_RE33!$H$7:$H$874,BS_RE33!$S$7:$S$874,$AP$2,BS_RE33!$N$7:$N$874,I49,BS_RE33!$P$7:$P$874,'30 days CF Table(JPY)'!G49,BS_RE33!$F$7:$F$874,'30 days CF Table(JPY)'!$C$2)</f>
        <v>0</v>
      </c>
      <c r="AQ49" s="550"/>
      <c r="AR49" s="380">
        <f>SUMIFS(BS_RE33!$H$7:$H$874,BS_RE33!$S$7:$S$874,$AR$2,BS_RE33!$N$7:$N$874,I49,BS_RE33!$P$7:$P$874,'30 days CF Table(JPY)'!G49,BS_RE33!$F$7:$F$874,'30 days CF Table(JPY)'!$C$2)</f>
        <v>0</v>
      </c>
      <c r="AS49" s="380">
        <f>SUMIFS(BS_RE33!$H$7:$H$874,BS_RE33!$S$7:$S$874,$AS$2,BS_RE33!$N$7:$N$874,I49,BS_RE33!$P$7:$P$874,'30 days CF Table(JPY)'!G49,BS_RE33!$F$7:$F$874,'30 days CF Table(JPY)'!$C$2)</f>
        <v>0</v>
      </c>
      <c r="AT49" s="380">
        <f>SUMIFS(BS_RE33!$H$7:$H$874,BS_RE33!$S$7:$S$874,$AT$2,BS_RE33!$N$7:$N$874,I49,BS_RE33!$P$7:$P$874,'30 days CF Table(JPY)'!G49,BS_RE33!$F$7:$F$874,'30 days CF Table(JPY)'!$C$2)</f>
        <v>0</v>
      </c>
      <c r="AU49" s="380">
        <f>SUMIFS(BS_RE33!$H$7:$H$874,BS_RE33!$S$7:$S$874,$AU$2,BS_RE33!$N$7:$N$874,I49,BS_RE33!$P$7:$P$874,'30 days CF Table(JPY)'!G49,BS_RE33!$F$7:$F$874,'30 days CF Table(JPY)'!$C$2)</f>
        <v>0</v>
      </c>
      <c r="AV49" s="380">
        <f>SUMIFS(BS_RE33!$H$7:$H$874,BS_RE33!$S$7:$S$874,$AV$2,BS_RE33!$N$7:$N$874,I49,BS_RE33!$P$7:$P$874,'30 days CF Table(JPY)'!G49,BS_RE33!$F$7:$F$874,'30 days CF Table(JPY)'!$C$2)</f>
        <v>0</v>
      </c>
      <c r="AW49" s="380">
        <f>SUMIFS(BS_RE33!$H$7:$H$874,BS_RE33!$S$7:$S$874,$AW$2,BS_RE33!$N$7:$N$874,I49,BS_RE33!$P$7:$P$874,'30 days CF Table(JPY)'!G49,BS_RE33!$F$7:$F$874,'30 days CF Table(JPY)'!$C$2)</f>
        <v>0</v>
      </c>
      <c r="AX49" s="380">
        <f>SUMIFS(BS_RE33!$H$7:$H$874,BS_RE33!$S$7:$S$874,$AX$2,BS_RE33!$N$7:$N$874,I49,BS_RE33!$P$7:$P$874,'30 days CF Table(JPY)'!G49,BS_RE33!$F$7:$F$874,'30 days CF Table(JPY)'!$C$2)</f>
        <v>0</v>
      </c>
      <c r="AY49" s="380">
        <f>SUMIFS(BS_RE33!$H$7:$H$874,BS_RE33!$S$7:$S$874,$AY$2,BS_RE33!$N$7:$N$874,I49,BS_RE33!$P$7:$P$874,'30 days CF Table(JPY)'!G49,BS_RE33!$F$7:$F$874,'30 days CF Table(JPY)'!$C$2)</f>
        <v>0</v>
      </c>
      <c r="AZ49" s="380">
        <f>SUMIFS(BS_RE33!$H$7:$H$874,BS_RE33!$S$7:$S$874,$AZ$2,BS_RE33!$N$7:$N$874,I49,BS_RE33!$P$7:$P$874,'30 days CF Table(JPY)'!G49,BS_RE33!$F$7:$F$874,'30 days CF Table(JPY)'!$C$2)</f>
        <v>0</v>
      </c>
      <c r="BA49" s="380">
        <f>SUMIFS(BS_RE33!$H$7:$H$874,BS_RE33!$S$7:$S$874,$BA$2,BS_RE33!$N$7:$N$874,I49,BS_RE33!$P$7:$P$874,'30 days CF Table(JPY)'!G49,BS_RE33!$F$7:$F$874,'30 days CF Table(JPY)'!$C$2)</f>
        <v>0</v>
      </c>
      <c r="BB49" s="380">
        <f>SUMIFS(BS_RE33!$H$7:$H$874,BS_RE33!$S$7:$S$874,$BB$2,BS_RE33!$N$7:$N$874,I49,BS_RE33!$P$7:$P$874,'30 days CF Table(JPY)'!G49,BS_RE33!$F$7:$F$874,'30 days CF Table(JPY)'!$C$2)</f>
        <v>0</v>
      </c>
      <c r="BC49" s="380">
        <f>SUMIFS(BS_RE33!$H$7:$H$874,BS_RE33!$S$7:$S$874,$BC$2,BS_RE33!$N$7:$N$874,I49,BS_RE33!$P$7:$P$874,'30 days CF Table(JPY)'!G49,BS_RE33!$F$7:$F$874,'30 days CF Table(JPY)'!$C$2)</f>
        <v>0</v>
      </c>
      <c r="BD49" s="380">
        <f>SUMIFS(BS_RE33!$H$7:$H$874,BS_RE33!$S$7:$S$874,$BD$2,BS_RE33!$N$7:$N$874,I49,BS_RE33!$P$7:$P$874,'30 days CF Table(JPY)'!G49,BS_RE33!$F$7:$F$874,'30 days CF Table(JPY)'!$C$2)</f>
        <v>0</v>
      </c>
      <c r="BE49" s="380">
        <f>SUMIFS(BS_RE33!$H$7:$H$874,BS_RE33!$S$7:$S$874,$BE$2,BS_RE33!$N$7:$N$874,I49,BS_RE33!$P$7:$P$874,'30 days CF Table(JPY)'!G49,BS_RE33!$F$7:$F$874,'30 days CF Table(JPY)'!$C$2)</f>
        <v>0</v>
      </c>
      <c r="BF49" s="380">
        <f>SUMIFS(BS_RE33!$H$7:$H$874,BS_RE33!$S$7:$S$874,$BF$2,BS_RE33!$N$7:$N$874,I49,BS_RE33!$P$7:$P$874,'30 days CF Table(JPY)'!G49,BS_RE33!$F$7:$F$874,'30 days CF Table(JPY)'!$C$2)</f>
        <v>0</v>
      </c>
      <c r="BG49" s="380">
        <f>SUMIFS(BS_RE33!$H$7:$H$874,BS_RE33!$S$7:$S$874,$BG$2,BS_RE33!$N$7:$N$874,I49,BS_RE33!$P$7:$P$874,'30 days CF Table(JPY)'!G49,BS_RE33!$F$7:$F$874,'30 days CF Table(JPY)'!$C$2)</f>
        <v>0</v>
      </c>
      <c r="BH49" s="380">
        <f>SUMIFS(BS_RE33!$H$7:$H$874,BS_RE33!$S$7:$S$874,$BH$2,BS_RE33!$N$7:$N$874,I49,BS_RE33!$P$7:$P$874,'30 days CF Table(JPY)'!G49,BS_RE33!$F$7:$F$874,'30 days CF Table(JPY)'!$C$2)</f>
        <v>0</v>
      </c>
      <c r="BI49" s="380">
        <f>SUMIFS(BS_RE33!$H$7:$H$874,BS_RE33!$S$7:$S$874,$BI$2,BS_RE33!$N$7:$N$874,I49,BS_RE33!$P$7:$P$874,'30 days CF Table(JPY)'!G49,BS_RE33!$F$7:$F$874,'30 days CF Table(JPY)'!$C$2)</f>
        <v>0</v>
      </c>
      <c r="BJ49" s="380">
        <f>SUMIFS(BS_RE33!$H$7:$H$874,BS_RE33!$S$7:$S$874,$BJ$2,BS_RE33!$N$7:$N$874,I49,BS_RE33!$P$7:$P$874,'30 days CF Table(JPY)'!G49,BS_RE33!$F$7:$F$874,'30 days CF Table(JPY)'!$C$2)</f>
        <v>0</v>
      </c>
      <c r="BK49" s="380">
        <f>SUMIFS(BS_RE33!$H$7:$H$874,BS_RE33!$S$7:$S$874,$BK$2,BS_RE33!$N$7:$N$874,I49,BS_RE33!$P$7:$P$874,'30 days CF Table(JPY)'!G49,BS_RE33!$F$7:$F$874,'30 days CF Table(JPY)'!$C$2)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Table(JPY)'!G50,BS_RE33!$F$7:$F$874,'30 days CF Table(JPY)'!$C$2)</f>
        <v>0</v>
      </c>
      <c r="M50" s="548">
        <f>SUMIFS(BS_RE33!$H$7:$H$874,BS_RE33!$S$7:$S$874,$M$2,BS_RE33!$N$7:$N$874,I50,BS_RE33!$P$7:$P$874,'30 days CF Table(JPY)'!G50,BS_RE33!$F$7:$F$874,'30 days CF Table(JPY)'!$C$2)</f>
        <v>0</v>
      </c>
      <c r="N50" s="548">
        <f>SUMIFS(BS_RE33!$H$7:$H$874,BS_RE33!$S$7:$S$874,$N$2,BS_RE33!$N$7:$N$874,I50,BS_RE33!$P$7:$P$874,'30 days CF Table(JPY)'!G50,BS_RE33!$F$7:$F$874,'30 days CF Table(JPY)'!$C$2)</f>
        <v>0</v>
      </c>
      <c r="O50" s="548">
        <f>SUMIFS(BS_RE33!$H$7:$H$874,BS_RE33!$S$7:$S$874,$O$2,BS_RE33!$N$7:$N$874,I50,BS_RE33!$P$7:$P$874,'30 days CF Table(JPY)'!G50,BS_RE33!$F$7:$F$874,'30 days CF Table(JPY)'!$C$2)</f>
        <v>0</v>
      </c>
      <c r="P50" s="548">
        <f>SUMIFS(BS_RE33!$H$7:$H$874,BS_RE33!$S$7:$S$874,$P$2,BS_RE33!$N$7:$N$874,I50,BS_RE33!$P$7:$P$874,'30 days CF Table(JPY)'!G50,BS_RE33!$F$7:$F$874,'30 days CF Table(JPY)'!$C$2)</f>
        <v>0</v>
      </c>
      <c r="Q50" s="548">
        <f>SUMIFS(BS_RE33!$H$7:$H$874,BS_RE33!$S$7:$S$874,$Q$2,BS_RE33!$N$7:$N$874,I50,BS_RE33!$P$7:$P$874,'30 days CF Table(JPY)'!G50,BS_RE33!$F$7:$F$874,'30 days CF Table(JPY)'!$C$2)</f>
        <v>0</v>
      </c>
      <c r="R50" s="548">
        <f>SUMIFS(BS_RE33!$H$7:$H$874,BS_RE33!$S$7:$S$874,$R$2,BS_RE33!$N$7:$N$874,I50,BS_RE33!$P$7:$P$874,'30 days CF Table(JPY)'!G50,BS_RE33!$F$7:$F$874,'30 days CF Table(JPY)'!$C$2)</f>
        <v>0</v>
      </c>
      <c r="S50" s="548">
        <f>SUMIFS(BS_RE33!$H$7:$H$874,BS_RE33!$S$7:$S$874,$S$2,BS_RE33!$N$7:$N$874,I50,BS_RE33!$P$7:$P$874,'30 days CF Table(JPY)'!G50,BS_RE33!$F$7:$F$874,'30 days CF Table(JPY)'!$C$2)</f>
        <v>0</v>
      </c>
      <c r="T50" s="548">
        <f>SUMIFS(BS_RE33!$H$7:$H$874,BS_RE33!$S$7:$S$874,$T$2,BS_RE33!$N$7:$N$874,I50,BS_RE33!$P$7:$P$874,'30 days CF Table(JPY)'!G50,BS_RE33!$F$7:$F$874,'30 days CF Table(JPY)'!$C$2)</f>
        <v>0</v>
      </c>
      <c r="U50" s="548">
        <f>SUMIFS(BS_RE33!$H$7:$H$874,BS_RE33!$S$7:$S$874,$U$2,BS_RE33!$N$7:$N$874,I50,BS_RE33!$P$7:$P$874,'30 days CF Table(JPY)'!G50,BS_RE33!$F$7:$F$874,'30 days CF Table(JPY)'!$C$2)</f>
        <v>0</v>
      </c>
      <c r="V50" s="548">
        <f>SUMIFS(BS_RE33!$H$7:$H$874,BS_RE33!$S$7:$S$874,$V$2,BS_RE33!$N$7:$N$874,I50,BS_RE33!$P$7:$P$874,'30 days CF Table(JPY)'!G50,BS_RE33!$F$7:$F$874,'30 days CF Table(JPY)'!$C$2)</f>
        <v>0</v>
      </c>
      <c r="W50" s="548">
        <f>SUMIFS(BS_RE33!$H$7:$H$874,BS_RE33!$S$7:$S$874,$W$2,BS_RE33!$N$7:$N$874,I50,BS_RE33!$P$7:$P$874,'30 days CF Table(JPY)'!G50,BS_RE33!$F$7:$F$874,'30 days CF Table(JPY)'!$C$2)</f>
        <v>0</v>
      </c>
      <c r="X50" s="548">
        <f>SUMIFS(BS_RE33!$H$7:$H$874,BS_RE33!$S$7:$S$874,$X$2,BS_RE33!$N$7:$N$874,I50,BS_RE33!$P$7:$P$874,'30 days CF Table(JPY)'!G50,BS_RE33!$F$7:$F$874,'30 days CF Table(JPY)'!$C$2)</f>
        <v>0</v>
      </c>
      <c r="Y50" s="548">
        <f>SUMIFS(BS_RE33!$H$7:$H$874,BS_RE33!$S$7:$S$874,$Y$2,BS_RE33!$N$7:$N$874,I50,BS_RE33!$P$7:$P$874,'30 days CF Table(JPY)'!G50,BS_RE33!$F$7:$F$874,'30 days CF Table(JPY)'!$C$2)</f>
        <v>0</v>
      </c>
      <c r="Z50" s="548">
        <f>SUMIFS(BS_RE33!$H$7:$H$874,BS_RE33!$S$7:$S$874,$Z$2,BS_RE33!$N$7:$N$874,I50,BS_RE33!$P$7:$P$874,'30 days CF Table(JPY)'!G50,BS_RE33!$F$7:$F$874,'30 days CF Table(JPY)'!$C$2)</f>
        <v>0</v>
      </c>
      <c r="AA50" s="548">
        <f>SUMIFS(BS_RE33!$H$7:$H$874,BS_RE33!$S$7:$S$874,$AA$2,BS_RE33!$N$7:$N$874,I50,BS_RE33!$P$7:$P$874,'30 days CF Table(JPY)'!G50,BS_RE33!$F$7:$F$874,'30 days CF Table(JPY)'!$C$2)</f>
        <v>0</v>
      </c>
      <c r="AB50" s="548">
        <f>SUMIFS(BS_RE33!$H$7:$H$874,BS_RE33!$S$7:$S$874,$AB$2,BS_RE33!$N$7:$N$874,I50,BS_RE33!$P$7:$P$874,'30 days CF Table(JPY)'!G50,BS_RE33!$F$7:$F$874,'30 days CF Table(JPY)'!$C$2)</f>
        <v>0</v>
      </c>
      <c r="AC50" s="548">
        <f>SUMIFS(BS_RE33!$H$7:$H$874,BS_RE33!$S$7:$S$874,$AC$2,BS_RE33!$N$7:$N$874,I50,BS_RE33!$P$7:$P$874,'30 days CF Table(JPY)'!G50,BS_RE33!$F$7:$F$874,'30 days CF Table(JPY)'!$C$2)</f>
        <v>0</v>
      </c>
      <c r="AD50" s="548">
        <f>SUMIFS(BS_RE33!$H$7:$H$874,BS_RE33!$S$7:$S$874,$AD$2,BS_RE33!$N$7:$N$874,I50,BS_RE33!$P$7:$P$874,'30 days CF Table(JPY)'!G50,BS_RE33!$F$7:$F$874,'30 days CF Table(JPY)'!$C$2)</f>
        <v>0</v>
      </c>
      <c r="AE50" s="548">
        <f>SUMIFS(BS_RE33!$H$7:$H$874,BS_RE33!$S$7:$S$874,$AE$2,BS_RE33!$N$7:$N$874,I50,BS_RE33!$P$7:$P$874,'30 days CF Table(JPY)'!G50,BS_RE33!$F$7:$F$874,'30 days CF Table(JPY)'!$C$2)</f>
        <v>0</v>
      </c>
      <c r="AF50" s="548">
        <f>SUMIFS(BS_RE33!$H$7:$H$874,BS_RE33!$S$7:$S$874,$AF$2,BS_RE33!$N$7:$N$874,I50,BS_RE33!$P$7:$P$874,'30 days CF Table(JPY)'!G50,BS_RE33!$F$7:$F$874,'30 days CF Table(JPY)'!$C$2)</f>
        <v>0</v>
      </c>
      <c r="AG50" s="548">
        <f>SUMIFS(BS_RE33!$H$7:$H$874,BS_RE33!$S$7:$S$874,$AG$2,BS_RE33!$N$7:$N$874,I50,BS_RE33!$P$7:$P$874,'30 days CF Table(JPY)'!G50,BS_RE33!$F$7:$F$874,'30 days CF Table(JPY)'!$C$2)</f>
        <v>0</v>
      </c>
      <c r="AH50" s="548">
        <f>SUMIFS(BS_RE33!$H$7:$H$874,BS_RE33!$S$7:$S$874,$AH$2,BS_RE33!$N$7:$N$874,I50,BS_RE33!$P$7:$P$874,'30 days CF Table(JPY)'!G50,BS_RE33!$F$7:$F$874,'30 days CF Table(JPY)'!$C$2)</f>
        <v>0</v>
      </c>
      <c r="AI50" s="548">
        <f>SUMIFS(BS_RE33!$H$7:$H$874,BS_RE33!$S$7:$S$874,$AI$2,BS_RE33!$N$7:$N$874,I50,BS_RE33!$P$7:$P$874,'30 days CF Table(JPY)'!G50,BS_RE33!$F$7:$F$874,'30 days CF Table(JPY)'!$C$2)</f>
        <v>0</v>
      </c>
      <c r="AJ50" s="548">
        <f>SUMIFS(BS_RE33!$H$7:$H$874,BS_RE33!$S$7:$S$874,$AJ$2,BS_RE33!$N$7:$N$874,I50,BS_RE33!$P$7:$P$874,'30 days CF Table(JPY)'!G50,BS_RE33!$F$7:$F$874,'30 days CF Table(JPY)'!$C$2)</f>
        <v>0</v>
      </c>
      <c r="AK50" s="548">
        <f>SUMIFS(BS_RE33!$H$7:$H$874,BS_RE33!$S$7:$S$874,$AK$2,BS_RE33!$N$7:$N$874,I50,BS_RE33!$P$7:$P$874,'30 days CF Table(JPY)'!G50,BS_RE33!$F$7:$F$874,'30 days CF Table(JPY)'!$C$2)</f>
        <v>0</v>
      </c>
      <c r="AL50" s="548">
        <f>SUMIFS(BS_RE33!$H$7:$H$874,BS_RE33!$S$7:$S$874,$AL$2,BS_RE33!$N$7:$N$874,I50,BS_RE33!$P$7:$P$874,'30 days CF Table(JPY)'!G50,BS_RE33!$F$7:$F$874,'30 days CF Table(JPY)'!$C$2)</f>
        <v>0</v>
      </c>
      <c r="AM50" s="548">
        <f>SUMIFS(BS_RE33!$H$7:$H$874,BS_RE33!$S$7:$S$874,$AM$2,BS_RE33!$N$7:$N$874,I50,BS_RE33!$P$7:$P$874,'30 days CF Table(JPY)'!G50,BS_RE33!$F$7:$F$874,'30 days CF Table(JPY)'!$C$2)</f>
        <v>0</v>
      </c>
      <c r="AN50" s="548">
        <f>SUMIFS(BS_RE33!$H$7:$H$874,BS_RE33!$S$7:$S$874,$AN$2,BS_RE33!$N$7:$N$874,I50,BS_RE33!$P$7:$P$874,'30 days CF Table(JPY)'!G50,BS_RE33!$F$7:$F$874,'30 days CF Table(JPY)'!$C$2)</f>
        <v>0</v>
      </c>
      <c r="AO50" s="548">
        <f>SUMIFS(BS_RE33!$H$7:$H$874,BS_RE33!$S$7:$S$874,$AO$2,BS_RE33!$N$7:$N$874,I50,BS_RE33!$P$7:$P$874,'30 days CF Table(JPY)'!G50,BS_RE33!$F$7:$F$874,'30 days CF Table(JPY)'!$C$2)</f>
        <v>0</v>
      </c>
      <c r="AP50" s="549">
        <f>SUMIFS(BS_RE33!$H$7:$H$874,BS_RE33!$S$7:$S$874,$AP$2,BS_RE33!$N$7:$N$874,I50,BS_RE33!$P$7:$P$874,'30 days CF Table(JPY)'!G50,BS_RE33!$F$7:$F$874,'30 days CF Table(JPY)'!$C$2)</f>
        <v>0</v>
      </c>
      <c r="AQ50" s="550"/>
      <c r="AR50" s="380">
        <f>SUMIFS(BS_RE33!$H$7:$H$874,BS_RE33!$S$7:$S$874,$AR$2,BS_RE33!$N$7:$N$874,I50,BS_RE33!$P$7:$P$874,'30 days CF Table(JPY)'!G50,BS_RE33!$F$7:$F$874,'30 days CF Table(JPY)'!$C$2)</f>
        <v>0</v>
      </c>
      <c r="AS50" s="380">
        <f>SUMIFS(BS_RE33!$H$7:$H$874,BS_RE33!$S$7:$S$874,$AS$2,BS_RE33!$N$7:$N$874,I50,BS_RE33!$P$7:$P$874,'30 days CF Table(JPY)'!G50,BS_RE33!$F$7:$F$874,'30 days CF Table(JPY)'!$C$2)</f>
        <v>0</v>
      </c>
      <c r="AT50" s="380">
        <f>SUMIFS(BS_RE33!$H$7:$H$874,BS_RE33!$S$7:$S$874,$AT$2,BS_RE33!$N$7:$N$874,I50,BS_RE33!$P$7:$P$874,'30 days CF Table(JPY)'!G50,BS_RE33!$F$7:$F$874,'30 days CF Table(JPY)'!$C$2)</f>
        <v>0</v>
      </c>
      <c r="AU50" s="380">
        <f>SUMIFS(BS_RE33!$H$7:$H$874,BS_RE33!$S$7:$S$874,$AU$2,BS_RE33!$N$7:$N$874,I50,BS_RE33!$P$7:$P$874,'30 days CF Table(JPY)'!G50,BS_RE33!$F$7:$F$874,'30 days CF Table(JPY)'!$C$2)</f>
        <v>0</v>
      </c>
      <c r="AV50" s="380">
        <f>SUMIFS(BS_RE33!$H$7:$H$874,BS_RE33!$S$7:$S$874,$AV$2,BS_RE33!$N$7:$N$874,I50,BS_RE33!$P$7:$P$874,'30 days CF Table(JPY)'!G50,BS_RE33!$F$7:$F$874,'30 days CF Table(JPY)'!$C$2)</f>
        <v>0</v>
      </c>
      <c r="AW50" s="380">
        <f>SUMIFS(BS_RE33!$H$7:$H$874,BS_RE33!$S$7:$S$874,$AW$2,BS_RE33!$N$7:$N$874,I50,BS_RE33!$P$7:$P$874,'30 days CF Table(JPY)'!G50,BS_RE33!$F$7:$F$874,'30 days CF Table(JPY)'!$C$2)</f>
        <v>0</v>
      </c>
      <c r="AX50" s="380">
        <f>SUMIFS(BS_RE33!$H$7:$H$874,BS_RE33!$S$7:$S$874,$AX$2,BS_RE33!$N$7:$N$874,I50,BS_RE33!$P$7:$P$874,'30 days CF Table(JPY)'!G50,BS_RE33!$F$7:$F$874,'30 days CF Table(JPY)'!$C$2)</f>
        <v>0</v>
      </c>
      <c r="AY50" s="380">
        <f>SUMIFS(BS_RE33!$H$7:$H$874,BS_RE33!$S$7:$S$874,$AY$2,BS_RE33!$N$7:$N$874,I50,BS_RE33!$P$7:$P$874,'30 days CF Table(JPY)'!G50,BS_RE33!$F$7:$F$874,'30 days CF Table(JPY)'!$C$2)</f>
        <v>0</v>
      </c>
      <c r="AZ50" s="380">
        <f>SUMIFS(BS_RE33!$H$7:$H$874,BS_RE33!$S$7:$S$874,$AZ$2,BS_RE33!$N$7:$N$874,I50,BS_RE33!$P$7:$P$874,'30 days CF Table(JPY)'!G50,BS_RE33!$F$7:$F$874,'30 days CF Table(JPY)'!$C$2)</f>
        <v>0</v>
      </c>
      <c r="BA50" s="380">
        <f>SUMIFS(BS_RE33!$H$7:$H$874,BS_RE33!$S$7:$S$874,$BA$2,BS_RE33!$N$7:$N$874,I50,BS_RE33!$P$7:$P$874,'30 days CF Table(JPY)'!G50,BS_RE33!$F$7:$F$874,'30 days CF Table(JPY)'!$C$2)</f>
        <v>0</v>
      </c>
      <c r="BB50" s="380">
        <f>SUMIFS(BS_RE33!$H$7:$H$874,BS_RE33!$S$7:$S$874,$BB$2,BS_RE33!$N$7:$N$874,I50,BS_RE33!$P$7:$P$874,'30 days CF Table(JPY)'!G50,BS_RE33!$F$7:$F$874,'30 days CF Table(JPY)'!$C$2)</f>
        <v>0</v>
      </c>
      <c r="BC50" s="380">
        <f>SUMIFS(BS_RE33!$H$7:$H$874,BS_RE33!$S$7:$S$874,$BC$2,BS_RE33!$N$7:$N$874,I50,BS_RE33!$P$7:$P$874,'30 days CF Table(JPY)'!G50,BS_RE33!$F$7:$F$874,'30 days CF Table(JPY)'!$C$2)</f>
        <v>0</v>
      </c>
      <c r="BD50" s="380">
        <f>SUMIFS(BS_RE33!$H$7:$H$874,BS_RE33!$S$7:$S$874,$BD$2,BS_RE33!$N$7:$N$874,I50,BS_RE33!$P$7:$P$874,'30 days CF Table(JPY)'!G50,BS_RE33!$F$7:$F$874,'30 days CF Table(JPY)'!$C$2)</f>
        <v>0</v>
      </c>
      <c r="BE50" s="380">
        <f>SUMIFS(BS_RE33!$H$7:$H$874,BS_RE33!$S$7:$S$874,$BE$2,BS_RE33!$N$7:$N$874,I50,BS_RE33!$P$7:$P$874,'30 days CF Table(JPY)'!G50,BS_RE33!$F$7:$F$874,'30 days CF Table(JPY)'!$C$2)</f>
        <v>0</v>
      </c>
      <c r="BF50" s="380">
        <f>SUMIFS(BS_RE33!$H$7:$H$874,BS_RE33!$S$7:$S$874,$BF$2,BS_RE33!$N$7:$N$874,I50,BS_RE33!$P$7:$P$874,'30 days CF Table(JPY)'!G50,BS_RE33!$F$7:$F$874,'30 days CF Table(JPY)'!$C$2)</f>
        <v>0</v>
      </c>
      <c r="BG50" s="380">
        <f>SUMIFS(BS_RE33!$H$7:$H$874,BS_RE33!$S$7:$S$874,$BG$2,BS_RE33!$N$7:$N$874,I50,BS_RE33!$P$7:$P$874,'30 days CF Table(JPY)'!G50,BS_RE33!$F$7:$F$874,'30 days CF Table(JPY)'!$C$2)</f>
        <v>0</v>
      </c>
      <c r="BH50" s="380">
        <f>SUMIFS(BS_RE33!$H$7:$H$874,BS_RE33!$S$7:$S$874,$BH$2,BS_RE33!$N$7:$N$874,I50,BS_RE33!$P$7:$P$874,'30 days CF Table(JPY)'!G50,BS_RE33!$F$7:$F$874,'30 days CF Table(JPY)'!$C$2)</f>
        <v>0</v>
      </c>
      <c r="BI50" s="380">
        <f>SUMIFS(BS_RE33!$H$7:$H$874,BS_RE33!$S$7:$S$874,$BI$2,BS_RE33!$N$7:$N$874,I50,BS_RE33!$P$7:$P$874,'30 days CF Table(JPY)'!G50,BS_RE33!$F$7:$F$874,'30 days CF Table(JPY)'!$C$2)</f>
        <v>0</v>
      </c>
      <c r="BJ50" s="380">
        <f>SUMIFS(BS_RE33!$H$7:$H$874,BS_RE33!$S$7:$S$874,$BJ$2,BS_RE33!$N$7:$N$874,I50,BS_RE33!$P$7:$P$874,'30 days CF Table(JPY)'!G50,BS_RE33!$F$7:$F$874,'30 days CF Table(JPY)'!$C$2)</f>
        <v>0</v>
      </c>
      <c r="BK50" s="380">
        <f>SUMIFS(BS_RE33!$H$7:$H$874,BS_RE33!$S$7:$S$874,$BK$2,BS_RE33!$N$7:$N$874,I50,BS_RE33!$P$7:$P$874,'30 days CF Table(JPY)'!G50,BS_RE33!$F$7:$F$874,'30 days CF Table(JPY)'!$C$2)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Table(JPY)'!G51,BS_RE33!$F$7:$F$874,'30 days CF Table(JPY)'!$C$2)</f>
        <v>0</v>
      </c>
      <c r="M51" s="548">
        <f>SUMIFS(BS_RE33!$H$7:$H$874,BS_RE33!$S$7:$S$874,$M$2,BS_RE33!$N$7:$N$874,I51,BS_RE33!$P$7:$P$874,'30 days CF Table(JPY)'!G51,BS_RE33!$F$7:$F$874,'30 days CF Table(JPY)'!$C$2)</f>
        <v>0</v>
      </c>
      <c r="N51" s="548">
        <f>SUMIFS(BS_RE33!$H$7:$H$874,BS_RE33!$S$7:$S$874,$N$2,BS_RE33!$N$7:$N$874,I51,BS_RE33!$P$7:$P$874,'30 days CF Table(JPY)'!G51,BS_RE33!$F$7:$F$874,'30 days CF Table(JPY)'!$C$2)</f>
        <v>0</v>
      </c>
      <c r="O51" s="548">
        <f>SUMIFS(BS_RE33!$H$7:$H$874,BS_RE33!$S$7:$S$874,$O$2,BS_RE33!$N$7:$N$874,I51,BS_RE33!$P$7:$P$874,'30 days CF Table(JPY)'!G51,BS_RE33!$F$7:$F$874,'30 days CF Table(JPY)'!$C$2)</f>
        <v>0</v>
      </c>
      <c r="P51" s="548">
        <f>SUMIFS(BS_RE33!$H$7:$H$874,BS_RE33!$S$7:$S$874,$P$2,BS_RE33!$N$7:$N$874,I51,BS_RE33!$P$7:$P$874,'30 days CF Table(JPY)'!G51,BS_RE33!$F$7:$F$874,'30 days CF Table(JPY)'!$C$2)</f>
        <v>0</v>
      </c>
      <c r="Q51" s="548">
        <f>SUMIFS(BS_RE33!$H$7:$H$874,BS_RE33!$S$7:$S$874,$Q$2,BS_RE33!$N$7:$N$874,I51,BS_RE33!$P$7:$P$874,'30 days CF Table(JPY)'!G51,BS_RE33!$F$7:$F$874,'30 days CF Table(JPY)'!$C$2)</f>
        <v>0</v>
      </c>
      <c r="R51" s="548">
        <f>SUMIFS(BS_RE33!$H$7:$H$874,BS_RE33!$S$7:$S$874,$R$2,BS_RE33!$N$7:$N$874,I51,BS_RE33!$P$7:$P$874,'30 days CF Table(JPY)'!G51,BS_RE33!$F$7:$F$874,'30 days CF Table(JPY)'!$C$2)</f>
        <v>0</v>
      </c>
      <c r="S51" s="548">
        <f>SUMIFS(BS_RE33!$H$7:$H$874,BS_RE33!$S$7:$S$874,$S$2,BS_RE33!$N$7:$N$874,I51,BS_RE33!$P$7:$P$874,'30 days CF Table(JPY)'!G51,BS_RE33!$F$7:$F$874,'30 days CF Table(JPY)'!$C$2)</f>
        <v>0</v>
      </c>
      <c r="T51" s="548">
        <f>SUMIFS(BS_RE33!$H$7:$H$874,BS_RE33!$S$7:$S$874,$T$2,BS_RE33!$N$7:$N$874,I51,BS_RE33!$P$7:$P$874,'30 days CF Table(JPY)'!G51,BS_RE33!$F$7:$F$874,'30 days CF Table(JPY)'!$C$2)</f>
        <v>0</v>
      </c>
      <c r="U51" s="548">
        <f>SUMIFS(BS_RE33!$H$7:$H$874,BS_RE33!$S$7:$S$874,$U$2,BS_RE33!$N$7:$N$874,I51,BS_RE33!$P$7:$P$874,'30 days CF Table(JPY)'!G51,BS_RE33!$F$7:$F$874,'30 days CF Table(JPY)'!$C$2)</f>
        <v>0</v>
      </c>
      <c r="V51" s="548">
        <f>SUMIFS(BS_RE33!$H$7:$H$874,BS_RE33!$S$7:$S$874,$V$2,BS_RE33!$N$7:$N$874,I51,BS_RE33!$P$7:$P$874,'30 days CF Table(JPY)'!G51,BS_RE33!$F$7:$F$874,'30 days CF Table(JPY)'!$C$2)</f>
        <v>0</v>
      </c>
      <c r="W51" s="548">
        <f>SUMIFS(BS_RE33!$H$7:$H$874,BS_RE33!$S$7:$S$874,$W$2,BS_RE33!$N$7:$N$874,I51,BS_RE33!$P$7:$P$874,'30 days CF Table(JPY)'!G51,BS_RE33!$F$7:$F$874,'30 days CF Table(JPY)'!$C$2)</f>
        <v>0</v>
      </c>
      <c r="X51" s="548">
        <f>SUMIFS(BS_RE33!$H$7:$H$874,BS_RE33!$S$7:$S$874,$X$2,BS_RE33!$N$7:$N$874,I51,BS_RE33!$P$7:$P$874,'30 days CF Table(JPY)'!G51,BS_RE33!$F$7:$F$874,'30 days CF Table(JPY)'!$C$2)</f>
        <v>0</v>
      </c>
      <c r="Y51" s="548">
        <f>SUMIFS(BS_RE33!$H$7:$H$874,BS_RE33!$S$7:$S$874,$Y$2,BS_RE33!$N$7:$N$874,I51,BS_RE33!$P$7:$P$874,'30 days CF Table(JPY)'!G51,BS_RE33!$F$7:$F$874,'30 days CF Table(JPY)'!$C$2)</f>
        <v>0</v>
      </c>
      <c r="Z51" s="548">
        <f>SUMIFS(BS_RE33!$H$7:$H$874,BS_RE33!$S$7:$S$874,$Z$2,BS_RE33!$N$7:$N$874,I51,BS_RE33!$P$7:$P$874,'30 days CF Table(JPY)'!G51,BS_RE33!$F$7:$F$874,'30 days CF Table(JPY)'!$C$2)</f>
        <v>0</v>
      </c>
      <c r="AA51" s="548">
        <f>SUMIFS(BS_RE33!$H$7:$H$874,BS_RE33!$S$7:$S$874,$AA$2,BS_RE33!$N$7:$N$874,I51,BS_RE33!$P$7:$P$874,'30 days CF Table(JPY)'!G51,BS_RE33!$F$7:$F$874,'30 days CF Table(JPY)'!$C$2)</f>
        <v>0</v>
      </c>
      <c r="AB51" s="548">
        <f>SUMIFS(BS_RE33!$H$7:$H$874,BS_RE33!$S$7:$S$874,$AB$2,BS_RE33!$N$7:$N$874,I51,BS_RE33!$P$7:$P$874,'30 days CF Table(JPY)'!G51,BS_RE33!$F$7:$F$874,'30 days CF Table(JPY)'!$C$2)</f>
        <v>0</v>
      </c>
      <c r="AC51" s="548">
        <f>SUMIFS(BS_RE33!$H$7:$H$874,BS_RE33!$S$7:$S$874,$AC$2,BS_RE33!$N$7:$N$874,I51,BS_RE33!$P$7:$P$874,'30 days CF Table(JPY)'!G51,BS_RE33!$F$7:$F$874,'30 days CF Table(JPY)'!$C$2)</f>
        <v>0</v>
      </c>
      <c r="AD51" s="548">
        <f>SUMIFS(BS_RE33!$H$7:$H$874,BS_RE33!$S$7:$S$874,$AD$2,BS_RE33!$N$7:$N$874,I51,BS_RE33!$P$7:$P$874,'30 days CF Table(JPY)'!G51,BS_RE33!$F$7:$F$874,'30 days CF Table(JPY)'!$C$2)</f>
        <v>0</v>
      </c>
      <c r="AE51" s="548">
        <f>SUMIFS(BS_RE33!$H$7:$H$874,BS_RE33!$S$7:$S$874,$AE$2,BS_RE33!$N$7:$N$874,I51,BS_RE33!$P$7:$P$874,'30 days CF Table(JPY)'!G51,BS_RE33!$F$7:$F$874,'30 days CF Table(JPY)'!$C$2)</f>
        <v>0</v>
      </c>
      <c r="AF51" s="548">
        <f>SUMIFS(BS_RE33!$H$7:$H$874,BS_RE33!$S$7:$S$874,$AF$2,BS_RE33!$N$7:$N$874,I51,BS_RE33!$P$7:$P$874,'30 days CF Table(JPY)'!G51,BS_RE33!$F$7:$F$874,'30 days CF Table(JPY)'!$C$2)</f>
        <v>0</v>
      </c>
      <c r="AG51" s="548">
        <f>SUMIFS(BS_RE33!$H$7:$H$874,BS_RE33!$S$7:$S$874,$AG$2,BS_RE33!$N$7:$N$874,I51,BS_RE33!$P$7:$P$874,'30 days CF Table(JPY)'!G51,BS_RE33!$F$7:$F$874,'30 days CF Table(JPY)'!$C$2)</f>
        <v>0</v>
      </c>
      <c r="AH51" s="548">
        <f>SUMIFS(BS_RE33!$H$7:$H$874,BS_RE33!$S$7:$S$874,$AH$2,BS_RE33!$N$7:$N$874,I51,BS_RE33!$P$7:$P$874,'30 days CF Table(JPY)'!G51,BS_RE33!$F$7:$F$874,'30 days CF Table(JPY)'!$C$2)</f>
        <v>0</v>
      </c>
      <c r="AI51" s="548">
        <f>SUMIFS(BS_RE33!$H$7:$H$874,BS_RE33!$S$7:$S$874,$AI$2,BS_RE33!$N$7:$N$874,I51,BS_RE33!$P$7:$P$874,'30 days CF Table(JPY)'!G51,BS_RE33!$F$7:$F$874,'30 days CF Table(JPY)'!$C$2)</f>
        <v>0</v>
      </c>
      <c r="AJ51" s="548">
        <f>SUMIFS(BS_RE33!$H$7:$H$874,BS_RE33!$S$7:$S$874,$AJ$2,BS_RE33!$N$7:$N$874,I51,BS_RE33!$P$7:$P$874,'30 days CF Table(JPY)'!G51,BS_RE33!$F$7:$F$874,'30 days CF Table(JPY)'!$C$2)</f>
        <v>0</v>
      </c>
      <c r="AK51" s="548">
        <f>SUMIFS(BS_RE33!$H$7:$H$874,BS_RE33!$S$7:$S$874,$AK$2,BS_RE33!$N$7:$N$874,I51,BS_RE33!$P$7:$P$874,'30 days CF Table(JPY)'!G51,BS_RE33!$F$7:$F$874,'30 days CF Table(JPY)'!$C$2)</f>
        <v>0</v>
      </c>
      <c r="AL51" s="548">
        <f>SUMIFS(BS_RE33!$H$7:$H$874,BS_RE33!$S$7:$S$874,$AL$2,BS_RE33!$N$7:$N$874,I51,BS_RE33!$P$7:$P$874,'30 days CF Table(JPY)'!G51,BS_RE33!$F$7:$F$874,'30 days CF Table(JPY)'!$C$2)</f>
        <v>0</v>
      </c>
      <c r="AM51" s="548">
        <f>SUMIFS(BS_RE33!$H$7:$H$874,BS_RE33!$S$7:$S$874,$AM$2,BS_RE33!$N$7:$N$874,I51,BS_RE33!$P$7:$P$874,'30 days CF Table(JPY)'!G51,BS_RE33!$F$7:$F$874,'30 days CF Table(JPY)'!$C$2)</f>
        <v>0</v>
      </c>
      <c r="AN51" s="548">
        <f>SUMIFS(BS_RE33!$H$7:$H$874,BS_RE33!$S$7:$S$874,$AN$2,BS_RE33!$N$7:$N$874,I51,BS_RE33!$P$7:$P$874,'30 days CF Table(JPY)'!G51,BS_RE33!$F$7:$F$874,'30 days CF Table(JPY)'!$C$2)</f>
        <v>0</v>
      </c>
      <c r="AO51" s="548">
        <f>SUMIFS(BS_RE33!$H$7:$H$874,BS_RE33!$S$7:$S$874,$AO$2,BS_RE33!$N$7:$N$874,I51,BS_RE33!$P$7:$P$874,'30 days CF Table(JPY)'!G51,BS_RE33!$F$7:$F$874,'30 days CF Table(JPY)'!$C$2)</f>
        <v>0</v>
      </c>
      <c r="AP51" s="549">
        <f>SUMIFS(BS_RE33!$H$7:$H$874,BS_RE33!$S$7:$S$874,$AP$2,BS_RE33!$N$7:$N$874,I51,BS_RE33!$P$7:$P$874,'30 days CF Table(JPY)'!G51,BS_RE33!$F$7:$F$874,'30 days CF Table(JPY)'!$C$2)</f>
        <v>0</v>
      </c>
      <c r="AQ51" s="550"/>
      <c r="AR51" s="380">
        <f>SUMIFS(BS_RE33!$H$7:$H$874,BS_RE33!$S$7:$S$874,$AR$2,BS_RE33!$N$7:$N$874,I51,BS_RE33!$P$7:$P$874,'30 days CF Table(JPY)'!G51,BS_RE33!$F$7:$F$874,'30 days CF Table(JPY)'!$C$2)</f>
        <v>0</v>
      </c>
      <c r="AS51" s="380">
        <f>SUMIFS(BS_RE33!$H$7:$H$874,BS_RE33!$S$7:$S$874,$AS$2,BS_RE33!$N$7:$N$874,I51,BS_RE33!$P$7:$P$874,'30 days CF Table(JPY)'!G51,BS_RE33!$F$7:$F$874,'30 days CF Table(JPY)'!$C$2)</f>
        <v>0</v>
      </c>
      <c r="AT51" s="380">
        <f>SUMIFS(BS_RE33!$H$7:$H$874,BS_RE33!$S$7:$S$874,$AT$2,BS_RE33!$N$7:$N$874,I51,BS_RE33!$P$7:$P$874,'30 days CF Table(JPY)'!G51,BS_RE33!$F$7:$F$874,'30 days CF Table(JPY)'!$C$2)</f>
        <v>0</v>
      </c>
      <c r="AU51" s="380">
        <f>SUMIFS(BS_RE33!$H$7:$H$874,BS_RE33!$S$7:$S$874,$AU$2,BS_RE33!$N$7:$N$874,I51,BS_RE33!$P$7:$P$874,'30 days CF Table(JPY)'!G51,BS_RE33!$F$7:$F$874,'30 days CF Table(JPY)'!$C$2)</f>
        <v>0</v>
      </c>
      <c r="AV51" s="380">
        <f>SUMIFS(BS_RE33!$H$7:$H$874,BS_RE33!$S$7:$S$874,$AV$2,BS_RE33!$N$7:$N$874,I51,BS_RE33!$P$7:$P$874,'30 days CF Table(JPY)'!G51,BS_RE33!$F$7:$F$874,'30 days CF Table(JPY)'!$C$2)</f>
        <v>0</v>
      </c>
      <c r="AW51" s="380">
        <f>SUMIFS(BS_RE33!$H$7:$H$874,BS_RE33!$S$7:$S$874,$AW$2,BS_RE33!$N$7:$N$874,I51,BS_RE33!$P$7:$P$874,'30 days CF Table(JPY)'!G51,BS_RE33!$F$7:$F$874,'30 days CF Table(JPY)'!$C$2)</f>
        <v>0</v>
      </c>
      <c r="AX51" s="380">
        <f>SUMIFS(BS_RE33!$H$7:$H$874,BS_RE33!$S$7:$S$874,$AX$2,BS_RE33!$N$7:$N$874,I51,BS_RE33!$P$7:$P$874,'30 days CF Table(JPY)'!G51,BS_RE33!$F$7:$F$874,'30 days CF Table(JPY)'!$C$2)</f>
        <v>0</v>
      </c>
      <c r="AY51" s="380">
        <f>SUMIFS(BS_RE33!$H$7:$H$874,BS_RE33!$S$7:$S$874,$AY$2,BS_RE33!$N$7:$N$874,I51,BS_RE33!$P$7:$P$874,'30 days CF Table(JPY)'!G51,BS_RE33!$F$7:$F$874,'30 days CF Table(JPY)'!$C$2)</f>
        <v>0</v>
      </c>
      <c r="AZ51" s="380">
        <f>SUMIFS(BS_RE33!$H$7:$H$874,BS_RE33!$S$7:$S$874,$AZ$2,BS_RE33!$N$7:$N$874,I51,BS_RE33!$P$7:$P$874,'30 days CF Table(JPY)'!G51,BS_RE33!$F$7:$F$874,'30 days CF Table(JPY)'!$C$2)</f>
        <v>0</v>
      </c>
      <c r="BA51" s="380">
        <f>SUMIFS(BS_RE33!$H$7:$H$874,BS_RE33!$S$7:$S$874,$BA$2,BS_RE33!$N$7:$N$874,I51,BS_RE33!$P$7:$P$874,'30 days CF Table(JPY)'!G51,BS_RE33!$F$7:$F$874,'30 days CF Table(JPY)'!$C$2)</f>
        <v>0</v>
      </c>
      <c r="BB51" s="380">
        <f>SUMIFS(BS_RE33!$H$7:$H$874,BS_RE33!$S$7:$S$874,$BB$2,BS_RE33!$N$7:$N$874,I51,BS_RE33!$P$7:$P$874,'30 days CF Table(JPY)'!G51,BS_RE33!$F$7:$F$874,'30 days CF Table(JPY)'!$C$2)</f>
        <v>0</v>
      </c>
      <c r="BC51" s="380">
        <f>SUMIFS(BS_RE33!$H$7:$H$874,BS_RE33!$S$7:$S$874,$BC$2,BS_RE33!$N$7:$N$874,I51,BS_RE33!$P$7:$P$874,'30 days CF Table(JPY)'!G51,BS_RE33!$F$7:$F$874,'30 days CF Table(JPY)'!$C$2)</f>
        <v>0</v>
      </c>
      <c r="BD51" s="380">
        <f>SUMIFS(BS_RE33!$H$7:$H$874,BS_RE33!$S$7:$S$874,$BD$2,BS_RE33!$N$7:$N$874,I51,BS_RE33!$P$7:$P$874,'30 days CF Table(JPY)'!G51,BS_RE33!$F$7:$F$874,'30 days CF Table(JPY)'!$C$2)</f>
        <v>0</v>
      </c>
      <c r="BE51" s="380">
        <f>SUMIFS(BS_RE33!$H$7:$H$874,BS_RE33!$S$7:$S$874,$BE$2,BS_RE33!$N$7:$N$874,I51,BS_RE33!$P$7:$P$874,'30 days CF Table(JPY)'!G51,BS_RE33!$F$7:$F$874,'30 days CF Table(JPY)'!$C$2)</f>
        <v>0</v>
      </c>
      <c r="BF51" s="380">
        <f>SUMIFS(BS_RE33!$H$7:$H$874,BS_RE33!$S$7:$S$874,$BF$2,BS_RE33!$N$7:$N$874,I51,BS_RE33!$P$7:$P$874,'30 days CF Table(JPY)'!G51,BS_RE33!$F$7:$F$874,'30 days CF Table(JPY)'!$C$2)</f>
        <v>0</v>
      </c>
      <c r="BG51" s="380">
        <f>SUMIFS(BS_RE33!$H$7:$H$874,BS_RE33!$S$7:$S$874,$BG$2,BS_RE33!$N$7:$N$874,I51,BS_RE33!$P$7:$P$874,'30 days CF Table(JPY)'!G51,BS_RE33!$F$7:$F$874,'30 days CF Table(JPY)'!$C$2)</f>
        <v>0</v>
      </c>
      <c r="BH51" s="380">
        <f>SUMIFS(BS_RE33!$H$7:$H$874,BS_RE33!$S$7:$S$874,$BH$2,BS_RE33!$N$7:$N$874,I51,BS_RE33!$P$7:$P$874,'30 days CF Table(JPY)'!G51,BS_RE33!$F$7:$F$874,'30 days CF Table(JPY)'!$C$2)</f>
        <v>0</v>
      </c>
      <c r="BI51" s="380">
        <f>SUMIFS(BS_RE33!$H$7:$H$874,BS_RE33!$S$7:$S$874,$BI$2,BS_RE33!$N$7:$N$874,I51,BS_RE33!$P$7:$P$874,'30 days CF Table(JPY)'!G51,BS_RE33!$F$7:$F$874,'30 days CF Table(JPY)'!$C$2)</f>
        <v>0</v>
      </c>
      <c r="BJ51" s="380">
        <f>SUMIFS(BS_RE33!$H$7:$H$874,BS_RE33!$S$7:$S$874,$BJ$2,BS_RE33!$N$7:$N$874,I51,BS_RE33!$P$7:$P$874,'30 days CF Table(JPY)'!G51,BS_RE33!$F$7:$F$874,'30 days CF Table(JPY)'!$C$2)</f>
        <v>0</v>
      </c>
      <c r="BK51" s="380">
        <f>SUMIFS(BS_RE33!$H$7:$H$874,BS_RE33!$S$7:$S$874,$BK$2,BS_RE33!$N$7:$N$874,I51,BS_RE33!$P$7:$P$874,'30 days CF Table(JPY)'!G51,BS_RE33!$F$7:$F$874,'30 days CF Table(JPY)'!$C$2)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Table(JPY)'!G52,BS_RE33!$F$7:$F$874,'30 days CF Table(JPY)'!$C$2)</f>
        <v>0</v>
      </c>
      <c r="M52" s="337">
        <f>SUMIFS(BS_RE33!$H$7:$H$874,BS_RE33!$S$7:$S$874,$M$2,BS_RE33!$N$7:$N$874,I52,BS_RE33!$P$7:$P$874,'30 days CF Table(JPY)'!G52,BS_RE33!$F$7:$F$874,'30 days CF Table(JPY)'!$C$2)</f>
        <v>0</v>
      </c>
      <c r="N52" s="337">
        <f>SUMIFS(BS_RE33!$H$7:$H$874,BS_RE33!$S$7:$S$874,$N$2,BS_RE33!$N$7:$N$874,I52,BS_RE33!$P$7:$P$874,'30 days CF Table(JPY)'!G52,BS_RE33!$F$7:$F$874,'30 days CF Table(JPY)'!$C$2)</f>
        <v>0</v>
      </c>
      <c r="O52" s="337">
        <f>SUMIFS(BS_RE33!$H$7:$H$874,BS_RE33!$S$7:$S$874,$O$2,BS_RE33!$N$7:$N$874,I52,BS_RE33!$P$7:$P$874,'30 days CF Table(JPY)'!G52,BS_RE33!$F$7:$F$874,'30 days CF Table(JPY)'!$C$2)</f>
        <v>0</v>
      </c>
      <c r="P52" s="337">
        <f>SUMIFS(BS_RE33!$H$7:$H$874,BS_RE33!$S$7:$S$874,$P$2,BS_RE33!$N$7:$N$874,I52,BS_RE33!$P$7:$P$874,'30 days CF Table(JPY)'!G52,BS_RE33!$F$7:$F$874,'30 days CF Table(JPY)'!$C$2)</f>
        <v>0</v>
      </c>
      <c r="Q52" s="337">
        <f>SUMIFS(BS_RE33!$H$7:$H$874,BS_RE33!$S$7:$S$874,$Q$2,BS_RE33!$N$7:$N$874,I52,BS_RE33!$P$7:$P$874,'30 days CF Table(JPY)'!G52,BS_RE33!$F$7:$F$874,'30 days CF Table(JPY)'!$C$2)</f>
        <v>0</v>
      </c>
      <c r="R52" s="337">
        <f>SUMIFS(BS_RE33!$H$7:$H$874,BS_RE33!$S$7:$S$874,$R$2,BS_RE33!$N$7:$N$874,I52,BS_RE33!$P$7:$P$874,'30 days CF Table(JPY)'!G52,BS_RE33!$F$7:$F$874,'30 days CF Table(JPY)'!$C$2)</f>
        <v>0</v>
      </c>
      <c r="S52" s="337">
        <f>SUMIFS(BS_RE33!$H$7:$H$874,BS_RE33!$S$7:$S$874,$S$2,BS_RE33!$N$7:$N$874,I52,BS_RE33!$P$7:$P$874,'30 days CF Table(JPY)'!G52,BS_RE33!$F$7:$F$874,'30 days CF Table(JPY)'!$C$2)</f>
        <v>0</v>
      </c>
      <c r="T52" s="337">
        <f>SUMIFS(BS_RE33!$H$7:$H$874,BS_RE33!$S$7:$S$874,$T$2,BS_RE33!$N$7:$N$874,I52,BS_RE33!$P$7:$P$874,'30 days CF Table(JPY)'!G52,BS_RE33!$F$7:$F$874,'30 days CF Table(JPY)'!$C$2)</f>
        <v>0</v>
      </c>
      <c r="U52" s="337">
        <f>SUMIFS(BS_RE33!$H$7:$H$874,BS_RE33!$S$7:$S$874,$U$2,BS_RE33!$N$7:$N$874,I52,BS_RE33!$P$7:$P$874,'30 days CF Table(JPY)'!G52,BS_RE33!$F$7:$F$874,'30 days CF Table(JPY)'!$C$2)</f>
        <v>0</v>
      </c>
      <c r="V52" s="337">
        <f>SUMIFS(BS_RE33!$H$7:$H$874,BS_RE33!$S$7:$S$874,$V$2,BS_RE33!$N$7:$N$874,I52,BS_RE33!$P$7:$P$874,'30 days CF Table(JPY)'!G52,BS_RE33!$F$7:$F$874,'30 days CF Table(JPY)'!$C$2)</f>
        <v>0</v>
      </c>
      <c r="W52" s="337">
        <f>SUMIFS(BS_RE33!$H$7:$H$874,BS_RE33!$S$7:$S$874,$W$2,BS_RE33!$N$7:$N$874,I52,BS_RE33!$P$7:$P$874,'30 days CF Table(JPY)'!G52,BS_RE33!$F$7:$F$874,'30 days CF Table(JPY)'!$C$2)</f>
        <v>0</v>
      </c>
      <c r="X52" s="337">
        <f>SUMIFS(BS_RE33!$H$7:$H$874,BS_RE33!$S$7:$S$874,$X$2,BS_RE33!$N$7:$N$874,I52,BS_RE33!$P$7:$P$874,'30 days CF Table(JPY)'!G52,BS_RE33!$F$7:$F$874,'30 days CF Table(JPY)'!$C$2)</f>
        <v>0</v>
      </c>
      <c r="Y52" s="337">
        <f>SUMIFS(BS_RE33!$H$7:$H$874,BS_RE33!$S$7:$S$874,$Y$2,BS_RE33!$N$7:$N$874,I52,BS_RE33!$P$7:$P$874,'30 days CF Table(JPY)'!G52,BS_RE33!$F$7:$F$874,'30 days CF Table(JPY)'!$C$2)</f>
        <v>0</v>
      </c>
      <c r="Z52" s="337">
        <f>SUMIFS(BS_RE33!$H$7:$H$874,BS_RE33!$S$7:$S$874,$Z$2,BS_RE33!$N$7:$N$874,I52,BS_RE33!$P$7:$P$874,'30 days CF Table(JPY)'!G52,BS_RE33!$F$7:$F$874,'30 days CF Table(JPY)'!$C$2)</f>
        <v>0</v>
      </c>
      <c r="AA52" s="337">
        <f>SUMIFS(BS_RE33!$H$7:$H$874,BS_RE33!$S$7:$S$874,$AA$2,BS_RE33!$N$7:$N$874,I52,BS_RE33!$P$7:$P$874,'30 days CF Table(JPY)'!G52,BS_RE33!$F$7:$F$874,'30 days CF Table(JPY)'!$C$2)</f>
        <v>0</v>
      </c>
      <c r="AB52" s="337">
        <f>SUMIFS(BS_RE33!$H$7:$H$874,BS_RE33!$S$7:$S$874,$AB$2,BS_RE33!$N$7:$N$874,I52,BS_RE33!$P$7:$P$874,'30 days CF Table(JPY)'!G52,BS_RE33!$F$7:$F$874,'30 days CF Table(JPY)'!$C$2)</f>
        <v>0</v>
      </c>
      <c r="AC52" s="337">
        <f>SUMIFS(BS_RE33!$H$7:$H$874,BS_RE33!$S$7:$S$874,$AC$2,BS_RE33!$N$7:$N$874,I52,BS_RE33!$P$7:$P$874,'30 days CF Table(JPY)'!G52,BS_RE33!$F$7:$F$874,'30 days CF Table(JPY)'!$C$2)</f>
        <v>0</v>
      </c>
      <c r="AD52" s="337">
        <f>SUMIFS(BS_RE33!$H$7:$H$874,BS_RE33!$S$7:$S$874,$AD$2,BS_RE33!$N$7:$N$874,I52,BS_RE33!$P$7:$P$874,'30 days CF Table(JPY)'!G52,BS_RE33!$F$7:$F$874,'30 days CF Table(JPY)'!$C$2)</f>
        <v>0</v>
      </c>
      <c r="AE52" s="337">
        <f>SUMIFS(BS_RE33!$H$7:$H$874,BS_RE33!$S$7:$S$874,$AE$2,BS_RE33!$N$7:$N$874,I52,BS_RE33!$P$7:$P$874,'30 days CF Table(JPY)'!G52,BS_RE33!$F$7:$F$874,'30 days CF Table(JPY)'!$C$2)</f>
        <v>0</v>
      </c>
      <c r="AF52" s="337">
        <f>SUMIFS(BS_RE33!$H$7:$H$874,BS_RE33!$S$7:$S$874,$AF$2,BS_RE33!$N$7:$N$874,I52,BS_RE33!$P$7:$P$874,'30 days CF Table(JPY)'!G52,BS_RE33!$F$7:$F$874,'30 days CF Table(JPY)'!$C$2)</f>
        <v>0</v>
      </c>
      <c r="AG52" s="337">
        <f>SUMIFS(BS_RE33!$H$7:$H$874,BS_RE33!$S$7:$S$874,$AG$2,BS_RE33!$N$7:$N$874,I52,BS_RE33!$P$7:$P$874,'30 days CF Table(JPY)'!G52,BS_RE33!$F$7:$F$874,'30 days CF Table(JPY)'!$C$2)</f>
        <v>0</v>
      </c>
      <c r="AH52" s="337">
        <f>SUMIFS(BS_RE33!$H$7:$H$874,BS_RE33!$S$7:$S$874,$AH$2,BS_RE33!$N$7:$N$874,I52,BS_RE33!$P$7:$P$874,'30 days CF Table(JPY)'!G52,BS_RE33!$F$7:$F$874,'30 days CF Table(JPY)'!$C$2)</f>
        <v>0</v>
      </c>
      <c r="AI52" s="337">
        <f>SUMIFS(BS_RE33!$H$7:$H$874,BS_RE33!$S$7:$S$874,$AI$2,BS_RE33!$N$7:$N$874,I52,BS_RE33!$P$7:$P$874,'30 days CF Table(JPY)'!G52,BS_RE33!$F$7:$F$874,'30 days CF Table(JPY)'!$C$2)</f>
        <v>0</v>
      </c>
      <c r="AJ52" s="337">
        <f>SUMIFS(BS_RE33!$H$7:$H$874,BS_RE33!$S$7:$S$874,$AJ$2,BS_RE33!$N$7:$N$874,I52,BS_RE33!$P$7:$P$874,'30 days CF Table(JPY)'!G52,BS_RE33!$F$7:$F$874,'30 days CF Table(JPY)'!$C$2)</f>
        <v>0</v>
      </c>
      <c r="AK52" s="337">
        <f>SUMIFS(BS_RE33!$H$7:$H$874,BS_RE33!$S$7:$S$874,$AK$2,BS_RE33!$N$7:$N$874,I52,BS_RE33!$P$7:$P$874,'30 days CF Table(JPY)'!G52,BS_RE33!$F$7:$F$874,'30 days CF Table(JPY)'!$C$2)</f>
        <v>0</v>
      </c>
      <c r="AL52" s="337">
        <f>SUMIFS(BS_RE33!$H$7:$H$874,BS_RE33!$S$7:$S$874,$AL$2,BS_RE33!$N$7:$N$874,I52,BS_RE33!$P$7:$P$874,'30 days CF Table(JPY)'!G52,BS_RE33!$F$7:$F$874,'30 days CF Table(JPY)'!$C$2)</f>
        <v>0</v>
      </c>
      <c r="AM52" s="337">
        <f>SUMIFS(BS_RE33!$H$7:$H$874,BS_RE33!$S$7:$S$874,$AM$2,BS_RE33!$N$7:$N$874,I52,BS_RE33!$P$7:$P$874,'30 days CF Table(JPY)'!G52,BS_RE33!$F$7:$F$874,'30 days CF Table(JPY)'!$C$2)</f>
        <v>0</v>
      </c>
      <c r="AN52" s="337">
        <f>SUMIFS(BS_RE33!$H$7:$H$874,BS_RE33!$S$7:$S$874,$AN$2,BS_RE33!$N$7:$N$874,I52,BS_RE33!$P$7:$P$874,'30 days CF Table(JPY)'!G52,BS_RE33!$F$7:$F$874,'30 days CF Table(JPY)'!$C$2)</f>
        <v>0</v>
      </c>
      <c r="AO52" s="337">
        <f>SUMIFS(BS_RE33!$H$7:$H$874,BS_RE33!$S$7:$S$874,$AO$2,BS_RE33!$N$7:$N$874,I52,BS_RE33!$P$7:$P$874,'30 days CF Table(JPY)'!G52,BS_RE33!$F$7:$F$874,'30 days CF Table(JPY)'!$C$2)</f>
        <v>0</v>
      </c>
      <c r="AP52" s="338">
        <f>SUMIFS(BS_RE33!$H$7:$H$874,BS_RE33!$S$7:$S$874,$AP$2,BS_RE33!$N$7:$N$874,I52,BS_RE33!$P$7:$P$874,'30 days CF Table(JPY)'!G52,BS_RE33!$F$7:$F$874,'30 days CF Table(JPY)'!$C$2)</f>
        <v>0</v>
      </c>
      <c r="AR52" s="379">
        <f>SUMIFS(BS_RE33!$H$7:$H$874,BS_RE33!$S$7:$S$874,$AR$2,BS_RE33!$N$7:$N$874,I52,BS_RE33!$P$7:$P$874,'30 days CF Table(JPY)'!G52,BS_RE33!$F$7:$F$874,'30 days CF Table(JPY)'!$C$2)</f>
        <v>0</v>
      </c>
      <c r="AS52" s="379">
        <f>SUMIFS(BS_RE33!$H$7:$H$874,BS_RE33!$S$7:$S$874,$AS$2,BS_RE33!$N$7:$N$874,I52,BS_RE33!$P$7:$P$874,'30 days CF Table(JPY)'!G52,BS_RE33!$F$7:$F$874,'30 days CF Table(JPY)'!$C$2)</f>
        <v>0</v>
      </c>
      <c r="AT52" s="379">
        <f>SUMIFS(BS_RE33!$H$7:$H$874,BS_RE33!$S$7:$S$874,$AT$2,BS_RE33!$N$7:$N$874,I52,BS_RE33!$P$7:$P$874,'30 days CF Table(JPY)'!G52,BS_RE33!$F$7:$F$874,'30 days CF Table(JPY)'!$C$2)</f>
        <v>0</v>
      </c>
      <c r="AU52" s="379">
        <f>SUMIFS(BS_RE33!$H$7:$H$874,BS_RE33!$S$7:$S$874,$AU$2,BS_RE33!$N$7:$N$874,I52,BS_RE33!$P$7:$P$874,'30 days CF Table(JPY)'!G52,BS_RE33!$F$7:$F$874,'30 days CF Table(JPY)'!$C$2)</f>
        <v>0</v>
      </c>
      <c r="AV52" s="379">
        <f>SUMIFS(BS_RE33!$H$7:$H$874,BS_RE33!$S$7:$S$874,$AV$2,BS_RE33!$N$7:$N$874,I52,BS_RE33!$P$7:$P$874,'30 days CF Table(JPY)'!G52,BS_RE33!$F$7:$F$874,'30 days CF Table(JPY)'!$C$2)</f>
        <v>0</v>
      </c>
      <c r="AW52" s="379">
        <f>SUMIFS(BS_RE33!$H$7:$H$874,BS_RE33!$S$7:$S$874,$AW$2,BS_RE33!$N$7:$N$874,I52,BS_RE33!$P$7:$P$874,'30 days CF Table(JPY)'!G52,BS_RE33!$F$7:$F$874,'30 days CF Table(JPY)'!$C$2)</f>
        <v>0</v>
      </c>
      <c r="AX52" s="379">
        <f>SUMIFS(BS_RE33!$H$7:$H$874,BS_RE33!$S$7:$S$874,$AX$2,BS_RE33!$N$7:$N$874,I52,BS_RE33!$P$7:$P$874,'30 days CF Table(JPY)'!G52,BS_RE33!$F$7:$F$874,'30 days CF Table(JPY)'!$C$2)</f>
        <v>0</v>
      </c>
      <c r="AY52" s="379">
        <f>SUMIFS(BS_RE33!$H$7:$H$874,BS_RE33!$S$7:$S$874,$AY$2,BS_RE33!$N$7:$N$874,I52,BS_RE33!$P$7:$P$874,'30 days CF Table(JPY)'!G52,BS_RE33!$F$7:$F$874,'30 days CF Table(JPY)'!$C$2)</f>
        <v>0</v>
      </c>
      <c r="AZ52" s="379">
        <f>SUMIFS(BS_RE33!$H$7:$H$874,BS_RE33!$S$7:$S$874,$AZ$2,BS_RE33!$N$7:$N$874,I52,BS_RE33!$P$7:$P$874,'30 days CF Table(JPY)'!G52,BS_RE33!$F$7:$F$874,'30 days CF Table(JPY)'!$C$2)</f>
        <v>0</v>
      </c>
      <c r="BA52" s="379">
        <f>SUMIFS(BS_RE33!$H$7:$H$874,BS_RE33!$S$7:$S$874,$BA$2,BS_RE33!$N$7:$N$874,I52,BS_RE33!$P$7:$P$874,'30 days CF Table(JPY)'!G52,BS_RE33!$F$7:$F$874,'30 days CF Table(JPY)'!$C$2)</f>
        <v>0</v>
      </c>
      <c r="BB52" s="379">
        <f>SUMIFS(BS_RE33!$H$7:$H$874,BS_RE33!$S$7:$S$874,$BB$2,BS_RE33!$N$7:$N$874,I52,BS_RE33!$P$7:$P$874,'30 days CF Table(JPY)'!G52,BS_RE33!$F$7:$F$874,'30 days CF Table(JPY)'!$C$2)</f>
        <v>0</v>
      </c>
      <c r="BC52" s="379">
        <f>SUMIFS(BS_RE33!$H$7:$H$874,BS_RE33!$S$7:$S$874,$BC$2,BS_RE33!$N$7:$N$874,I52,BS_RE33!$P$7:$P$874,'30 days CF Table(JPY)'!G52,BS_RE33!$F$7:$F$874,'30 days CF Table(JPY)'!$C$2)</f>
        <v>0</v>
      </c>
      <c r="BD52" s="379">
        <f>SUMIFS(BS_RE33!$H$7:$H$874,BS_RE33!$S$7:$S$874,$BD$2,BS_RE33!$N$7:$N$874,I52,BS_RE33!$P$7:$P$874,'30 days CF Table(JPY)'!G52,BS_RE33!$F$7:$F$874,'30 days CF Table(JPY)'!$C$2)</f>
        <v>0</v>
      </c>
      <c r="BE52" s="379">
        <f>SUMIFS(BS_RE33!$H$7:$H$874,BS_RE33!$S$7:$S$874,$BE$2,BS_RE33!$N$7:$N$874,I52,BS_RE33!$P$7:$P$874,'30 days CF Table(JPY)'!G52,BS_RE33!$F$7:$F$874,'30 days CF Table(JPY)'!$C$2)</f>
        <v>0</v>
      </c>
      <c r="BF52" s="379">
        <f>SUMIFS(BS_RE33!$H$7:$H$874,BS_RE33!$S$7:$S$874,$BF$2,BS_RE33!$N$7:$N$874,I52,BS_RE33!$P$7:$P$874,'30 days CF Table(JPY)'!G52,BS_RE33!$F$7:$F$874,'30 days CF Table(JPY)'!$C$2)</f>
        <v>0</v>
      </c>
      <c r="BG52" s="379">
        <f>SUMIFS(BS_RE33!$H$7:$H$874,BS_RE33!$S$7:$S$874,$BG$2,BS_RE33!$N$7:$N$874,I52,BS_RE33!$P$7:$P$874,'30 days CF Table(JPY)'!G52,BS_RE33!$F$7:$F$874,'30 days CF Table(JPY)'!$C$2)</f>
        <v>0</v>
      </c>
      <c r="BH52" s="379">
        <f>SUMIFS(BS_RE33!$H$7:$H$874,BS_RE33!$S$7:$S$874,$BH$2,BS_RE33!$N$7:$N$874,I52,BS_RE33!$P$7:$P$874,'30 days CF Table(JPY)'!G52,BS_RE33!$F$7:$F$874,'30 days CF Table(JPY)'!$C$2)</f>
        <v>0</v>
      </c>
      <c r="BI52" s="379">
        <f>SUMIFS(BS_RE33!$H$7:$H$874,BS_RE33!$S$7:$S$874,$BI$2,BS_RE33!$N$7:$N$874,I52,BS_RE33!$P$7:$P$874,'30 days CF Table(JPY)'!G52,BS_RE33!$F$7:$F$874,'30 days CF Table(JPY)'!$C$2)</f>
        <v>0</v>
      </c>
      <c r="BJ52" s="379">
        <f>SUMIFS(BS_RE33!$H$7:$H$874,BS_RE33!$S$7:$S$874,$BJ$2,BS_RE33!$N$7:$N$874,I52,BS_RE33!$P$7:$P$874,'30 days CF Table(JPY)'!G52,BS_RE33!$F$7:$F$874,'30 days CF Table(JPY)'!$C$2)</f>
        <v>0</v>
      </c>
      <c r="BK52" s="379">
        <f>SUMIFS(BS_RE33!$H$7:$H$874,BS_RE33!$S$7:$S$874,$BK$2,BS_RE33!$N$7:$N$874,I52,BS_RE33!$P$7:$P$874,'30 days CF Table(JPY)'!G52,BS_RE33!$F$7:$F$874,'30 days CF Table(JPY)'!$C$2)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Table(JPY)'!G53,BS_RE33!$F$7:$F$874,'30 days CF Table(JPY)'!$C$2)</f>
        <v>0</v>
      </c>
      <c r="M53" s="337">
        <f>SUMIFS(BS_RE33!$H$7:$H$874,BS_RE33!$S$7:$S$874,$M$2,BS_RE33!$N$7:$N$874,I53,BS_RE33!$P$7:$P$874,'30 days CF Table(JPY)'!G53,BS_RE33!$F$7:$F$874,'30 days CF Table(JPY)'!$C$2)</f>
        <v>0</v>
      </c>
      <c r="N53" s="337">
        <f>SUMIFS(BS_RE33!$H$7:$H$874,BS_RE33!$S$7:$S$874,$N$2,BS_RE33!$N$7:$N$874,I53,BS_RE33!$P$7:$P$874,'30 days CF Table(JPY)'!G53,BS_RE33!$F$7:$F$874,'30 days CF Table(JPY)'!$C$2)</f>
        <v>0</v>
      </c>
      <c r="O53" s="337">
        <f>SUMIFS(BS_RE33!$H$7:$H$874,BS_RE33!$S$7:$S$874,$O$2,BS_RE33!$N$7:$N$874,I53,BS_RE33!$P$7:$P$874,'30 days CF Table(JPY)'!G53,BS_RE33!$F$7:$F$874,'30 days CF Table(JPY)'!$C$2)</f>
        <v>0</v>
      </c>
      <c r="P53" s="337">
        <f>SUMIFS(BS_RE33!$H$7:$H$874,BS_RE33!$S$7:$S$874,$P$2,BS_RE33!$N$7:$N$874,I53,BS_RE33!$P$7:$P$874,'30 days CF Table(JPY)'!G53,BS_RE33!$F$7:$F$874,'30 days CF Table(JPY)'!$C$2)</f>
        <v>0</v>
      </c>
      <c r="Q53" s="337">
        <f>SUMIFS(BS_RE33!$H$7:$H$874,BS_RE33!$S$7:$S$874,$Q$2,BS_RE33!$N$7:$N$874,I53,BS_RE33!$P$7:$P$874,'30 days CF Table(JPY)'!G53,BS_RE33!$F$7:$F$874,'30 days CF Table(JPY)'!$C$2)</f>
        <v>0</v>
      </c>
      <c r="R53" s="337">
        <f>SUMIFS(BS_RE33!$H$7:$H$874,BS_RE33!$S$7:$S$874,$R$2,BS_RE33!$N$7:$N$874,I53,BS_RE33!$P$7:$P$874,'30 days CF Table(JPY)'!G53,BS_RE33!$F$7:$F$874,'30 days CF Table(JPY)'!$C$2)</f>
        <v>0</v>
      </c>
      <c r="S53" s="337">
        <f>SUMIFS(BS_RE33!$H$7:$H$874,BS_RE33!$S$7:$S$874,$S$2,BS_RE33!$N$7:$N$874,I53,BS_RE33!$P$7:$P$874,'30 days CF Table(JPY)'!G53,BS_RE33!$F$7:$F$874,'30 days CF Table(JPY)'!$C$2)</f>
        <v>0</v>
      </c>
      <c r="T53" s="337">
        <f>SUMIFS(BS_RE33!$H$7:$H$874,BS_RE33!$S$7:$S$874,$T$2,BS_RE33!$N$7:$N$874,I53,BS_RE33!$P$7:$P$874,'30 days CF Table(JPY)'!G53,BS_RE33!$F$7:$F$874,'30 days CF Table(JPY)'!$C$2)</f>
        <v>0</v>
      </c>
      <c r="U53" s="337">
        <f>SUMIFS(BS_RE33!$H$7:$H$874,BS_RE33!$S$7:$S$874,$U$2,BS_RE33!$N$7:$N$874,I53,BS_RE33!$P$7:$P$874,'30 days CF Table(JPY)'!G53,BS_RE33!$F$7:$F$874,'30 days CF Table(JPY)'!$C$2)</f>
        <v>0</v>
      </c>
      <c r="V53" s="337">
        <f>SUMIFS(BS_RE33!$H$7:$H$874,BS_RE33!$S$7:$S$874,$V$2,BS_RE33!$N$7:$N$874,I53,BS_RE33!$P$7:$P$874,'30 days CF Table(JPY)'!G53,BS_RE33!$F$7:$F$874,'30 days CF Table(JPY)'!$C$2)</f>
        <v>0</v>
      </c>
      <c r="W53" s="337">
        <f>SUMIFS(BS_RE33!$H$7:$H$874,BS_RE33!$S$7:$S$874,$W$2,BS_RE33!$N$7:$N$874,I53,BS_RE33!$P$7:$P$874,'30 days CF Table(JPY)'!G53,BS_RE33!$F$7:$F$874,'30 days CF Table(JPY)'!$C$2)</f>
        <v>0</v>
      </c>
      <c r="X53" s="337">
        <f>SUMIFS(BS_RE33!$H$7:$H$874,BS_RE33!$S$7:$S$874,$X$2,BS_RE33!$N$7:$N$874,I53,BS_RE33!$P$7:$P$874,'30 days CF Table(JPY)'!G53,BS_RE33!$F$7:$F$874,'30 days CF Table(JPY)'!$C$2)</f>
        <v>0</v>
      </c>
      <c r="Y53" s="337">
        <f>SUMIFS(BS_RE33!$H$7:$H$874,BS_RE33!$S$7:$S$874,$Y$2,BS_RE33!$N$7:$N$874,I53,BS_RE33!$P$7:$P$874,'30 days CF Table(JPY)'!G53,BS_RE33!$F$7:$F$874,'30 days CF Table(JPY)'!$C$2)</f>
        <v>0</v>
      </c>
      <c r="Z53" s="337">
        <f>SUMIFS(BS_RE33!$H$7:$H$874,BS_RE33!$S$7:$S$874,$Z$2,BS_RE33!$N$7:$N$874,I53,BS_RE33!$P$7:$P$874,'30 days CF Table(JPY)'!G53,BS_RE33!$F$7:$F$874,'30 days CF Table(JPY)'!$C$2)</f>
        <v>0</v>
      </c>
      <c r="AA53" s="337">
        <f>SUMIFS(BS_RE33!$H$7:$H$874,BS_RE33!$S$7:$S$874,$AA$2,BS_RE33!$N$7:$N$874,I53,BS_RE33!$P$7:$P$874,'30 days CF Table(JPY)'!G53,BS_RE33!$F$7:$F$874,'30 days CF Table(JPY)'!$C$2)</f>
        <v>0</v>
      </c>
      <c r="AB53" s="337">
        <f>SUMIFS(BS_RE33!$H$7:$H$874,BS_RE33!$S$7:$S$874,$AB$2,BS_RE33!$N$7:$N$874,I53,BS_RE33!$P$7:$P$874,'30 days CF Table(JPY)'!G53,BS_RE33!$F$7:$F$874,'30 days CF Table(JPY)'!$C$2)</f>
        <v>0</v>
      </c>
      <c r="AC53" s="337">
        <f>SUMIFS(BS_RE33!$H$7:$H$874,BS_RE33!$S$7:$S$874,$AC$2,BS_RE33!$N$7:$N$874,I53,BS_RE33!$P$7:$P$874,'30 days CF Table(JPY)'!G53,BS_RE33!$F$7:$F$874,'30 days CF Table(JPY)'!$C$2)</f>
        <v>0</v>
      </c>
      <c r="AD53" s="337">
        <f>SUMIFS(BS_RE33!$H$7:$H$874,BS_RE33!$S$7:$S$874,$AD$2,BS_RE33!$N$7:$N$874,I53,BS_RE33!$P$7:$P$874,'30 days CF Table(JPY)'!G53,BS_RE33!$F$7:$F$874,'30 days CF Table(JPY)'!$C$2)</f>
        <v>0</v>
      </c>
      <c r="AE53" s="337">
        <f>SUMIFS(BS_RE33!$H$7:$H$874,BS_RE33!$S$7:$S$874,$AE$2,BS_RE33!$N$7:$N$874,I53,BS_RE33!$P$7:$P$874,'30 days CF Table(JPY)'!G53,BS_RE33!$F$7:$F$874,'30 days CF Table(JPY)'!$C$2)</f>
        <v>0</v>
      </c>
      <c r="AF53" s="337">
        <f>SUMIFS(BS_RE33!$H$7:$H$874,BS_RE33!$S$7:$S$874,$AF$2,BS_RE33!$N$7:$N$874,I53,BS_RE33!$P$7:$P$874,'30 days CF Table(JPY)'!G53,BS_RE33!$F$7:$F$874,'30 days CF Table(JPY)'!$C$2)</f>
        <v>0</v>
      </c>
      <c r="AG53" s="337">
        <f>SUMIFS(BS_RE33!$H$7:$H$874,BS_RE33!$S$7:$S$874,$AG$2,BS_RE33!$N$7:$N$874,I53,BS_RE33!$P$7:$P$874,'30 days CF Table(JPY)'!G53,BS_RE33!$F$7:$F$874,'30 days CF Table(JPY)'!$C$2)</f>
        <v>0</v>
      </c>
      <c r="AH53" s="337">
        <f>SUMIFS(BS_RE33!$H$7:$H$874,BS_RE33!$S$7:$S$874,$AH$2,BS_RE33!$N$7:$N$874,I53,BS_RE33!$P$7:$P$874,'30 days CF Table(JPY)'!G53,BS_RE33!$F$7:$F$874,'30 days CF Table(JPY)'!$C$2)</f>
        <v>0</v>
      </c>
      <c r="AI53" s="337">
        <f>SUMIFS(BS_RE33!$H$7:$H$874,BS_RE33!$S$7:$S$874,$AI$2,BS_RE33!$N$7:$N$874,I53,BS_RE33!$P$7:$P$874,'30 days CF Table(JPY)'!G53,BS_RE33!$F$7:$F$874,'30 days CF Table(JPY)'!$C$2)</f>
        <v>0</v>
      </c>
      <c r="AJ53" s="337">
        <f>SUMIFS(BS_RE33!$H$7:$H$874,BS_RE33!$S$7:$S$874,$AJ$2,BS_RE33!$N$7:$N$874,I53,BS_RE33!$P$7:$P$874,'30 days CF Table(JPY)'!G53,BS_RE33!$F$7:$F$874,'30 days CF Table(JPY)'!$C$2)</f>
        <v>0</v>
      </c>
      <c r="AK53" s="337">
        <f>SUMIFS(BS_RE33!$H$7:$H$874,BS_RE33!$S$7:$S$874,$AK$2,BS_RE33!$N$7:$N$874,I53,BS_RE33!$P$7:$P$874,'30 days CF Table(JPY)'!G53,BS_RE33!$F$7:$F$874,'30 days CF Table(JPY)'!$C$2)</f>
        <v>0</v>
      </c>
      <c r="AL53" s="337">
        <f>SUMIFS(BS_RE33!$H$7:$H$874,BS_RE33!$S$7:$S$874,$AL$2,BS_RE33!$N$7:$N$874,I53,BS_RE33!$P$7:$P$874,'30 days CF Table(JPY)'!G53,BS_RE33!$F$7:$F$874,'30 days CF Table(JPY)'!$C$2)</f>
        <v>0</v>
      </c>
      <c r="AM53" s="337">
        <f>SUMIFS(BS_RE33!$H$7:$H$874,BS_RE33!$S$7:$S$874,$AM$2,BS_RE33!$N$7:$N$874,I53,BS_RE33!$P$7:$P$874,'30 days CF Table(JPY)'!G53,BS_RE33!$F$7:$F$874,'30 days CF Table(JPY)'!$C$2)</f>
        <v>0</v>
      </c>
      <c r="AN53" s="337">
        <f>SUMIFS(BS_RE33!$H$7:$H$874,BS_RE33!$S$7:$S$874,$AN$2,BS_RE33!$N$7:$N$874,I53,BS_RE33!$P$7:$P$874,'30 days CF Table(JPY)'!G53,BS_RE33!$F$7:$F$874,'30 days CF Table(JPY)'!$C$2)</f>
        <v>0</v>
      </c>
      <c r="AO53" s="337">
        <f>SUMIFS(BS_RE33!$H$7:$H$874,BS_RE33!$S$7:$S$874,$AO$2,BS_RE33!$N$7:$N$874,I53,BS_RE33!$P$7:$P$874,'30 days CF Table(JPY)'!G53,BS_RE33!$F$7:$F$874,'30 days CF Table(JPY)'!$C$2)</f>
        <v>0</v>
      </c>
      <c r="AP53" s="338">
        <f>SUMIFS(BS_RE33!$H$7:$H$874,BS_RE33!$S$7:$S$874,$AP$2,BS_RE33!$N$7:$N$874,I53,BS_RE33!$P$7:$P$874,'30 days CF Table(JPY)'!G53,BS_RE33!$F$7:$F$874,'30 days CF Table(JPY)'!$C$2)</f>
        <v>0</v>
      </c>
      <c r="AR53" s="379">
        <f>SUMIFS(BS_RE33!$H$7:$H$874,BS_RE33!$S$7:$S$874,$AR$2,BS_RE33!$N$7:$N$874,I53,BS_RE33!$P$7:$P$874,'30 days CF Table(JPY)'!G53,BS_RE33!$F$7:$F$874,'30 days CF Table(JPY)'!$C$2)</f>
        <v>0</v>
      </c>
      <c r="AS53" s="379">
        <f>SUMIFS(BS_RE33!$H$7:$H$874,BS_RE33!$S$7:$S$874,$AS$2,BS_RE33!$N$7:$N$874,I53,BS_RE33!$P$7:$P$874,'30 days CF Table(JPY)'!G53,BS_RE33!$F$7:$F$874,'30 days CF Table(JPY)'!$C$2)</f>
        <v>0</v>
      </c>
      <c r="AT53" s="379">
        <f>SUMIFS(BS_RE33!$H$7:$H$874,BS_RE33!$S$7:$S$874,$AT$2,BS_RE33!$N$7:$N$874,I53,BS_RE33!$P$7:$P$874,'30 days CF Table(JPY)'!G53,BS_RE33!$F$7:$F$874,'30 days CF Table(JPY)'!$C$2)</f>
        <v>0</v>
      </c>
      <c r="AU53" s="379">
        <f>SUMIFS(BS_RE33!$H$7:$H$874,BS_RE33!$S$7:$S$874,$AU$2,BS_RE33!$N$7:$N$874,I53,BS_RE33!$P$7:$P$874,'30 days CF Table(JPY)'!G53,BS_RE33!$F$7:$F$874,'30 days CF Table(JPY)'!$C$2)</f>
        <v>0</v>
      </c>
      <c r="AV53" s="379">
        <f>SUMIFS(BS_RE33!$H$7:$H$874,BS_RE33!$S$7:$S$874,$AV$2,BS_RE33!$N$7:$N$874,I53,BS_RE33!$P$7:$P$874,'30 days CF Table(JPY)'!G53,BS_RE33!$F$7:$F$874,'30 days CF Table(JPY)'!$C$2)</f>
        <v>0</v>
      </c>
      <c r="AW53" s="379">
        <f>SUMIFS(BS_RE33!$H$7:$H$874,BS_RE33!$S$7:$S$874,$AW$2,BS_RE33!$N$7:$N$874,I53,BS_RE33!$P$7:$P$874,'30 days CF Table(JPY)'!G53,BS_RE33!$F$7:$F$874,'30 days CF Table(JPY)'!$C$2)</f>
        <v>0</v>
      </c>
      <c r="AX53" s="379">
        <f>SUMIFS(BS_RE33!$H$7:$H$874,BS_RE33!$S$7:$S$874,$AX$2,BS_RE33!$N$7:$N$874,I53,BS_RE33!$P$7:$P$874,'30 days CF Table(JPY)'!G53,BS_RE33!$F$7:$F$874,'30 days CF Table(JPY)'!$C$2)</f>
        <v>0</v>
      </c>
      <c r="AY53" s="379">
        <f>SUMIFS(BS_RE33!$H$7:$H$874,BS_RE33!$S$7:$S$874,$AY$2,BS_RE33!$N$7:$N$874,I53,BS_RE33!$P$7:$P$874,'30 days CF Table(JPY)'!G53,BS_RE33!$F$7:$F$874,'30 days CF Table(JPY)'!$C$2)</f>
        <v>0</v>
      </c>
      <c r="AZ53" s="379">
        <f>SUMIFS(BS_RE33!$H$7:$H$874,BS_RE33!$S$7:$S$874,$AZ$2,BS_RE33!$N$7:$N$874,I53,BS_RE33!$P$7:$P$874,'30 days CF Table(JPY)'!G53,BS_RE33!$F$7:$F$874,'30 days CF Table(JPY)'!$C$2)</f>
        <v>0</v>
      </c>
      <c r="BA53" s="379">
        <f>SUMIFS(BS_RE33!$H$7:$H$874,BS_RE33!$S$7:$S$874,$BA$2,BS_RE33!$N$7:$N$874,I53,BS_RE33!$P$7:$P$874,'30 days CF Table(JPY)'!G53,BS_RE33!$F$7:$F$874,'30 days CF Table(JPY)'!$C$2)</f>
        <v>0</v>
      </c>
      <c r="BB53" s="379">
        <f>SUMIFS(BS_RE33!$H$7:$H$874,BS_RE33!$S$7:$S$874,$BB$2,BS_RE33!$N$7:$N$874,I53,BS_RE33!$P$7:$P$874,'30 days CF Table(JPY)'!G53,BS_RE33!$F$7:$F$874,'30 days CF Table(JPY)'!$C$2)</f>
        <v>0</v>
      </c>
      <c r="BC53" s="379">
        <f>SUMIFS(BS_RE33!$H$7:$H$874,BS_RE33!$S$7:$S$874,$BC$2,BS_RE33!$N$7:$N$874,I53,BS_RE33!$P$7:$P$874,'30 days CF Table(JPY)'!G53,BS_RE33!$F$7:$F$874,'30 days CF Table(JPY)'!$C$2)</f>
        <v>0</v>
      </c>
      <c r="BD53" s="379">
        <f>SUMIFS(BS_RE33!$H$7:$H$874,BS_RE33!$S$7:$S$874,$BD$2,BS_RE33!$N$7:$N$874,I53,BS_RE33!$P$7:$P$874,'30 days CF Table(JPY)'!G53,BS_RE33!$F$7:$F$874,'30 days CF Table(JPY)'!$C$2)</f>
        <v>0</v>
      </c>
      <c r="BE53" s="379">
        <f>SUMIFS(BS_RE33!$H$7:$H$874,BS_RE33!$S$7:$S$874,$BE$2,BS_RE33!$N$7:$N$874,I53,BS_RE33!$P$7:$P$874,'30 days CF Table(JPY)'!G53,BS_RE33!$F$7:$F$874,'30 days CF Table(JPY)'!$C$2)</f>
        <v>0</v>
      </c>
      <c r="BF53" s="379">
        <f>SUMIFS(BS_RE33!$H$7:$H$874,BS_RE33!$S$7:$S$874,$BF$2,BS_RE33!$N$7:$N$874,I53,BS_RE33!$P$7:$P$874,'30 days CF Table(JPY)'!G53,BS_RE33!$F$7:$F$874,'30 days CF Table(JPY)'!$C$2)</f>
        <v>0</v>
      </c>
      <c r="BG53" s="379">
        <f>SUMIFS(BS_RE33!$H$7:$H$874,BS_RE33!$S$7:$S$874,$BG$2,BS_RE33!$N$7:$N$874,I53,BS_RE33!$P$7:$P$874,'30 days CF Table(JPY)'!G53,BS_RE33!$F$7:$F$874,'30 days CF Table(JPY)'!$C$2)</f>
        <v>0</v>
      </c>
      <c r="BH53" s="379">
        <f>SUMIFS(BS_RE33!$H$7:$H$874,BS_RE33!$S$7:$S$874,$BH$2,BS_RE33!$N$7:$N$874,I53,BS_RE33!$P$7:$P$874,'30 days CF Table(JPY)'!G53,BS_RE33!$F$7:$F$874,'30 days CF Table(JPY)'!$C$2)</f>
        <v>0</v>
      </c>
      <c r="BI53" s="379">
        <f>SUMIFS(BS_RE33!$H$7:$H$874,BS_RE33!$S$7:$S$874,$BI$2,BS_RE33!$N$7:$N$874,I53,BS_RE33!$P$7:$P$874,'30 days CF Table(JPY)'!G53,BS_RE33!$F$7:$F$874,'30 days CF Table(JPY)'!$C$2)</f>
        <v>0</v>
      </c>
      <c r="BJ53" s="379">
        <f>SUMIFS(BS_RE33!$H$7:$H$874,BS_RE33!$S$7:$S$874,$BJ$2,BS_RE33!$N$7:$N$874,I53,BS_RE33!$P$7:$P$874,'30 days CF Table(JPY)'!G53,BS_RE33!$F$7:$F$874,'30 days CF Table(JPY)'!$C$2)</f>
        <v>0</v>
      </c>
      <c r="BK53" s="379">
        <f>SUMIFS(BS_RE33!$H$7:$H$874,BS_RE33!$S$7:$S$874,$BK$2,BS_RE33!$N$7:$N$874,I53,BS_RE33!$P$7:$P$874,'30 days CF Table(JPY)'!G53,BS_RE33!$F$7:$F$874,'30 days CF Table(JPY)'!$C$2)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Table(JPY)'!G54,BS_RE33!$F$7:$F$874,'30 days CF Table(JPY)'!$C$2)</f>
        <v>0</v>
      </c>
      <c r="M54" s="337">
        <f>SUMIFS(BS_RE33!$H$7:$H$874,BS_RE33!$S$7:$S$874,$M$2,BS_RE33!$N$7:$N$874,I54,BS_RE33!$P$7:$P$874,'30 days CF Table(JPY)'!G54,BS_RE33!$F$7:$F$874,'30 days CF Table(JPY)'!$C$2)</f>
        <v>0</v>
      </c>
      <c r="N54" s="337">
        <f>SUMIFS(BS_RE33!$H$7:$H$874,BS_RE33!$S$7:$S$874,$N$2,BS_RE33!$N$7:$N$874,I54,BS_RE33!$P$7:$P$874,'30 days CF Table(JPY)'!G54,BS_RE33!$F$7:$F$874,'30 days CF Table(JPY)'!$C$2)</f>
        <v>0</v>
      </c>
      <c r="O54" s="337">
        <f>SUMIFS(BS_RE33!$H$7:$H$874,BS_RE33!$S$7:$S$874,$O$2,BS_RE33!$N$7:$N$874,I54,BS_RE33!$P$7:$P$874,'30 days CF Table(JPY)'!G54,BS_RE33!$F$7:$F$874,'30 days CF Table(JPY)'!$C$2)</f>
        <v>0</v>
      </c>
      <c r="P54" s="337">
        <f>SUMIFS(BS_RE33!$H$7:$H$874,BS_RE33!$S$7:$S$874,$P$2,BS_RE33!$N$7:$N$874,I54,BS_RE33!$P$7:$P$874,'30 days CF Table(JPY)'!G54,BS_RE33!$F$7:$F$874,'30 days CF Table(JPY)'!$C$2)</f>
        <v>0</v>
      </c>
      <c r="Q54" s="337">
        <f>SUMIFS(BS_RE33!$H$7:$H$874,BS_RE33!$S$7:$S$874,$Q$2,BS_RE33!$N$7:$N$874,I54,BS_RE33!$P$7:$P$874,'30 days CF Table(JPY)'!G54,BS_RE33!$F$7:$F$874,'30 days CF Table(JPY)'!$C$2)</f>
        <v>0</v>
      </c>
      <c r="R54" s="337">
        <f>SUMIFS(BS_RE33!$H$7:$H$874,BS_RE33!$S$7:$S$874,$R$2,BS_RE33!$N$7:$N$874,I54,BS_RE33!$P$7:$P$874,'30 days CF Table(JPY)'!G54,BS_RE33!$F$7:$F$874,'30 days CF Table(JPY)'!$C$2)</f>
        <v>0</v>
      </c>
      <c r="S54" s="337">
        <f>SUMIFS(BS_RE33!$H$7:$H$874,BS_RE33!$S$7:$S$874,$S$2,BS_RE33!$N$7:$N$874,I54,BS_RE33!$P$7:$P$874,'30 days CF Table(JPY)'!G54,BS_RE33!$F$7:$F$874,'30 days CF Table(JPY)'!$C$2)</f>
        <v>0</v>
      </c>
      <c r="T54" s="337">
        <f>SUMIFS(BS_RE33!$H$7:$H$874,BS_RE33!$S$7:$S$874,$T$2,BS_RE33!$N$7:$N$874,I54,BS_RE33!$P$7:$P$874,'30 days CF Table(JPY)'!G54,BS_RE33!$F$7:$F$874,'30 days CF Table(JPY)'!$C$2)</f>
        <v>0</v>
      </c>
      <c r="U54" s="337">
        <f>SUMIFS(BS_RE33!$H$7:$H$874,BS_RE33!$S$7:$S$874,$U$2,BS_RE33!$N$7:$N$874,I54,BS_RE33!$P$7:$P$874,'30 days CF Table(JPY)'!G54,BS_RE33!$F$7:$F$874,'30 days CF Table(JPY)'!$C$2)</f>
        <v>0</v>
      </c>
      <c r="V54" s="337">
        <f>SUMIFS(BS_RE33!$H$7:$H$874,BS_RE33!$S$7:$S$874,$V$2,BS_RE33!$N$7:$N$874,I54,BS_RE33!$P$7:$P$874,'30 days CF Table(JPY)'!G54,BS_RE33!$F$7:$F$874,'30 days CF Table(JPY)'!$C$2)</f>
        <v>0</v>
      </c>
      <c r="W54" s="337">
        <f>SUMIFS(BS_RE33!$H$7:$H$874,BS_RE33!$S$7:$S$874,$W$2,BS_RE33!$N$7:$N$874,I54,BS_RE33!$P$7:$P$874,'30 days CF Table(JPY)'!G54,BS_RE33!$F$7:$F$874,'30 days CF Table(JPY)'!$C$2)</f>
        <v>0</v>
      </c>
      <c r="X54" s="337">
        <f>SUMIFS(BS_RE33!$H$7:$H$874,BS_RE33!$S$7:$S$874,$X$2,BS_RE33!$N$7:$N$874,I54,BS_RE33!$P$7:$P$874,'30 days CF Table(JPY)'!G54,BS_RE33!$F$7:$F$874,'30 days CF Table(JPY)'!$C$2)</f>
        <v>0</v>
      </c>
      <c r="Y54" s="337">
        <f>SUMIFS(BS_RE33!$H$7:$H$874,BS_RE33!$S$7:$S$874,$Y$2,BS_RE33!$N$7:$N$874,I54,BS_RE33!$P$7:$P$874,'30 days CF Table(JPY)'!G54,BS_RE33!$F$7:$F$874,'30 days CF Table(JPY)'!$C$2)</f>
        <v>0</v>
      </c>
      <c r="Z54" s="337">
        <f>SUMIFS(BS_RE33!$H$7:$H$874,BS_RE33!$S$7:$S$874,$Z$2,BS_RE33!$N$7:$N$874,I54,BS_RE33!$P$7:$P$874,'30 days CF Table(JPY)'!G54,BS_RE33!$F$7:$F$874,'30 days CF Table(JPY)'!$C$2)</f>
        <v>0</v>
      </c>
      <c r="AA54" s="337">
        <f>SUMIFS(BS_RE33!$H$7:$H$874,BS_RE33!$S$7:$S$874,$AA$2,BS_RE33!$N$7:$N$874,I54,BS_RE33!$P$7:$P$874,'30 days CF Table(JPY)'!G54,BS_RE33!$F$7:$F$874,'30 days CF Table(JPY)'!$C$2)</f>
        <v>0</v>
      </c>
      <c r="AB54" s="337">
        <f>SUMIFS(BS_RE33!$H$7:$H$874,BS_RE33!$S$7:$S$874,$AB$2,BS_RE33!$N$7:$N$874,I54,BS_RE33!$P$7:$P$874,'30 days CF Table(JPY)'!G54,BS_RE33!$F$7:$F$874,'30 days CF Table(JPY)'!$C$2)</f>
        <v>0</v>
      </c>
      <c r="AC54" s="337">
        <f>SUMIFS(BS_RE33!$H$7:$H$874,BS_RE33!$S$7:$S$874,$AC$2,BS_RE33!$N$7:$N$874,I54,BS_RE33!$P$7:$P$874,'30 days CF Table(JPY)'!G54,BS_RE33!$F$7:$F$874,'30 days CF Table(JPY)'!$C$2)</f>
        <v>0</v>
      </c>
      <c r="AD54" s="337">
        <f>SUMIFS(BS_RE33!$H$7:$H$874,BS_RE33!$S$7:$S$874,$AD$2,BS_RE33!$N$7:$N$874,I54,BS_RE33!$P$7:$P$874,'30 days CF Table(JPY)'!G54,BS_RE33!$F$7:$F$874,'30 days CF Table(JPY)'!$C$2)</f>
        <v>0</v>
      </c>
      <c r="AE54" s="337">
        <f>SUMIFS(BS_RE33!$H$7:$H$874,BS_RE33!$S$7:$S$874,$AE$2,BS_RE33!$N$7:$N$874,I54,BS_RE33!$P$7:$P$874,'30 days CF Table(JPY)'!G54,BS_RE33!$F$7:$F$874,'30 days CF Table(JPY)'!$C$2)</f>
        <v>0</v>
      </c>
      <c r="AF54" s="337">
        <f>SUMIFS(BS_RE33!$H$7:$H$874,BS_RE33!$S$7:$S$874,$AF$2,BS_RE33!$N$7:$N$874,I54,BS_RE33!$P$7:$P$874,'30 days CF Table(JPY)'!G54,BS_RE33!$F$7:$F$874,'30 days CF Table(JPY)'!$C$2)</f>
        <v>0</v>
      </c>
      <c r="AG54" s="337">
        <f>SUMIFS(BS_RE33!$H$7:$H$874,BS_RE33!$S$7:$S$874,$AG$2,BS_RE33!$N$7:$N$874,I54,BS_RE33!$P$7:$P$874,'30 days CF Table(JPY)'!G54,BS_RE33!$F$7:$F$874,'30 days CF Table(JPY)'!$C$2)</f>
        <v>0</v>
      </c>
      <c r="AH54" s="337">
        <f>SUMIFS(BS_RE33!$H$7:$H$874,BS_RE33!$S$7:$S$874,$AH$2,BS_RE33!$N$7:$N$874,I54,BS_RE33!$P$7:$P$874,'30 days CF Table(JPY)'!G54,BS_RE33!$F$7:$F$874,'30 days CF Table(JPY)'!$C$2)</f>
        <v>0</v>
      </c>
      <c r="AI54" s="337">
        <f>SUMIFS(BS_RE33!$H$7:$H$874,BS_RE33!$S$7:$S$874,$AI$2,BS_RE33!$N$7:$N$874,I54,BS_RE33!$P$7:$P$874,'30 days CF Table(JPY)'!G54,BS_RE33!$F$7:$F$874,'30 days CF Table(JPY)'!$C$2)</f>
        <v>0</v>
      </c>
      <c r="AJ54" s="337">
        <f>SUMIFS(BS_RE33!$H$7:$H$874,BS_RE33!$S$7:$S$874,$AJ$2,BS_RE33!$N$7:$N$874,I54,BS_RE33!$P$7:$P$874,'30 days CF Table(JPY)'!G54,BS_RE33!$F$7:$F$874,'30 days CF Table(JPY)'!$C$2)</f>
        <v>0</v>
      </c>
      <c r="AK54" s="337">
        <f>SUMIFS(BS_RE33!$H$7:$H$874,BS_RE33!$S$7:$S$874,$AK$2,BS_RE33!$N$7:$N$874,I54,BS_RE33!$P$7:$P$874,'30 days CF Table(JPY)'!G54,BS_RE33!$F$7:$F$874,'30 days CF Table(JPY)'!$C$2)</f>
        <v>0</v>
      </c>
      <c r="AL54" s="337">
        <f>SUMIFS(BS_RE33!$H$7:$H$874,BS_RE33!$S$7:$S$874,$AL$2,BS_RE33!$N$7:$N$874,I54,BS_RE33!$P$7:$P$874,'30 days CF Table(JPY)'!G54,BS_RE33!$F$7:$F$874,'30 days CF Table(JPY)'!$C$2)</f>
        <v>0</v>
      </c>
      <c r="AM54" s="337">
        <f>SUMIFS(BS_RE33!$H$7:$H$874,BS_RE33!$S$7:$S$874,$AM$2,BS_RE33!$N$7:$N$874,I54,BS_RE33!$P$7:$P$874,'30 days CF Table(JPY)'!G54,BS_RE33!$F$7:$F$874,'30 days CF Table(JPY)'!$C$2)</f>
        <v>0</v>
      </c>
      <c r="AN54" s="337">
        <f>SUMIFS(BS_RE33!$H$7:$H$874,BS_RE33!$S$7:$S$874,$AN$2,BS_RE33!$N$7:$N$874,I54,BS_RE33!$P$7:$P$874,'30 days CF Table(JPY)'!G54,BS_RE33!$F$7:$F$874,'30 days CF Table(JPY)'!$C$2)</f>
        <v>0</v>
      </c>
      <c r="AO54" s="337">
        <f>SUMIFS(BS_RE33!$H$7:$H$874,BS_RE33!$S$7:$S$874,$AO$2,BS_RE33!$N$7:$N$874,I54,BS_RE33!$P$7:$P$874,'30 days CF Table(JPY)'!G54,BS_RE33!$F$7:$F$874,'30 days CF Table(JPY)'!$C$2)</f>
        <v>0</v>
      </c>
      <c r="AP54" s="338">
        <f>SUMIFS(BS_RE33!$H$7:$H$874,BS_RE33!$S$7:$S$874,$AP$2,BS_RE33!$N$7:$N$874,I54,BS_RE33!$P$7:$P$874,'30 days CF Table(JPY)'!G54,BS_RE33!$F$7:$F$874,'30 days CF Table(JPY)'!$C$2)</f>
        <v>0</v>
      </c>
      <c r="AR54" s="379">
        <f>SUMIFS(BS_RE33!$H$7:$H$874,BS_RE33!$S$7:$S$874,$AR$2,BS_RE33!$N$7:$N$874,I54,BS_RE33!$P$7:$P$874,'30 days CF Table(JPY)'!G54,BS_RE33!$F$7:$F$874,'30 days CF Table(JPY)'!$C$2)</f>
        <v>0</v>
      </c>
      <c r="AS54" s="379">
        <f>SUMIFS(BS_RE33!$H$7:$H$874,BS_RE33!$S$7:$S$874,$AS$2,BS_RE33!$N$7:$N$874,I54,BS_RE33!$P$7:$P$874,'30 days CF Table(JPY)'!G54,BS_RE33!$F$7:$F$874,'30 days CF Table(JPY)'!$C$2)</f>
        <v>0</v>
      </c>
      <c r="AT54" s="379">
        <f>SUMIFS(BS_RE33!$H$7:$H$874,BS_RE33!$S$7:$S$874,$AT$2,BS_RE33!$N$7:$N$874,I54,BS_RE33!$P$7:$P$874,'30 days CF Table(JPY)'!G54,BS_RE33!$F$7:$F$874,'30 days CF Table(JPY)'!$C$2)</f>
        <v>0</v>
      </c>
      <c r="AU54" s="379">
        <f>SUMIFS(BS_RE33!$H$7:$H$874,BS_RE33!$S$7:$S$874,$AU$2,BS_RE33!$N$7:$N$874,I54,BS_RE33!$P$7:$P$874,'30 days CF Table(JPY)'!G54,BS_RE33!$F$7:$F$874,'30 days CF Table(JPY)'!$C$2)</f>
        <v>0</v>
      </c>
      <c r="AV54" s="379">
        <f>SUMIFS(BS_RE33!$H$7:$H$874,BS_RE33!$S$7:$S$874,$AV$2,BS_RE33!$N$7:$N$874,I54,BS_RE33!$P$7:$P$874,'30 days CF Table(JPY)'!G54,BS_RE33!$F$7:$F$874,'30 days CF Table(JPY)'!$C$2)</f>
        <v>0</v>
      </c>
      <c r="AW54" s="379">
        <f>SUMIFS(BS_RE33!$H$7:$H$874,BS_RE33!$S$7:$S$874,$AW$2,BS_RE33!$N$7:$N$874,I54,BS_RE33!$P$7:$P$874,'30 days CF Table(JPY)'!G54,BS_RE33!$F$7:$F$874,'30 days CF Table(JPY)'!$C$2)</f>
        <v>0</v>
      </c>
      <c r="AX54" s="379">
        <f>SUMIFS(BS_RE33!$H$7:$H$874,BS_RE33!$S$7:$S$874,$AX$2,BS_RE33!$N$7:$N$874,I54,BS_RE33!$P$7:$P$874,'30 days CF Table(JPY)'!G54,BS_RE33!$F$7:$F$874,'30 days CF Table(JPY)'!$C$2)</f>
        <v>0</v>
      </c>
      <c r="AY54" s="379">
        <f>SUMIFS(BS_RE33!$H$7:$H$874,BS_RE33!$S$7:$S$874,$AY$2,BS_RE33!$N$7:$N$874,I54,BS_RE33!$P$7:$P$874,'30 days CF Table(JPY)'!G54,BS_RE33!$F$7:$F$874,'30 days CF Table(JPY)'!$C$2)</f>
        <v>0</v>
      </c>
      <c r="AZ54" s="379">
        <f>SUMIFS(BS_RE33!$H$7:$H$874,BS_RE33!$S$7:$S$874,$AZ$2,BS_RE33!$N$7:$N$874,I54,BS_RE33!$P$7:$P$874,'30 days CF Table(JPY)'!G54,BS_RE33!$F$7:$F$874,'30 days CF Table(JPY)'!$C$2)</f>
        <v>0</v>
      </c>
      <c r="BA54" s="379">
        <f>SUMIFS(BS_RE33!$H$7:$H$874,BS_RE33!$S$7:$S$874,$BA$2,BS_RE33!$N$7:$N$874,I54,BS_RE33!$P$7:$P$874,'30 days CF Table(JPY)'!G54,BS_RE33!$F$7:$F$874,'30 days CF Table(JPY)'!$C$2)</f>
        <v>0</v>
      </c>
      <c r="BB54" s="379">
        <f>SUMIFS(BS_RE33!$H$7:$H$874,BS_RE33!$S$7:$S$874,$BB$2,BS_RE33!$N$7:$N$874,I54,BS_RE33!$P$7:$P$874,'30 days CF Table(JPY)'!G54,BS_RE33!$F$7:$F$874,'30 days CF Table(JPY)'!$C$2)</f>
        <v>0</v>
      </c>
      <c r="BC54" s="379">
        <f>SUMIFS(BS_RE33!$H$7:$H$874,BS_RE33!$S$7:$S$874,$BC$2,BS_RE33!$N$7:$N$874,I54,BS_RE33!$P$7:$P$874,'30 days CF Table(JPY)'!G54,BS_RE33!$F$7:$F$874,'30 days CF Table(JPY)'!$C$2)</f>
        <v>0</v>
      </c>
      <c r="BD54" s="379">
        <f>SUMIFS(BS_RE33!$H$7:$H$874,BS_RE33!$S$7:$S$874,$BD$2,BS_RE33!$N$7:$N$874,I54,BS_RE33!$P$7:$P$874,'30 days CF Table(JPY)'!G54,BS_RE33!$F$7:$F$874,'30 days CF Table(JPY)'!$C$2)</f>
        <v>0</v>
      </c>
      <c r="BE54" s="379">
        <f>SUMIFS(BS_RE33!$H$7:$H$874,BS_RE33!$S$7:$S$874,$BE$2,BS_RE33!$N$7:$N$874,I54,BS_RE33!$P$7:$P$874,'30 days CF Table(JPY)'!G54,BS_RE33!$F$7:$F$874,'30 days CF Table(JPY)'!$C$2)</f>
        <v>0</v>
      </c>
      <c r="BF54" s="379">
        <f>SUMIFS(BS_RE33!$H$7:$H$874,BS_RE33!$S$7:$S$874,$BF$2,BS_RE33!$N$7:$N$874,I54,BS_RE33!$P$7:$P$874,'30 days CF Table(JPY)'!G54,BS_RE33!$F$7:$F$874,'30 days CF Table(JPY)'!$C$2)</f>
        <v>0</v>
      </c>
      <c r="BG54" s="379">
        <f>SUMIFS(BS_RE33!$H$7:$H$874,BS_RE33!$S$7:$S$874,$BG$2,BS_RE33!$N$7:$N$874,I54,BS_RE33!$P$7:$P$874,'30 days CF Table(JPY)'!G54,BS_RE33!$F$7:$F$874,'30 days CF Table(JPY)'!$C$2)</f>
        <v>0</v>
      </c>
      <c r="BH54" s="379">
        <f>SUMIFS(BS_RE33!$H$7:$H$874,BS_RE33!$S$7:$S$874,$BH$2,BS_RE33!$N$7:$N$874,I54,BS_RE33!$P$7:$P$874,'30 days CF Table(JPY)'!G54,BS_RE33!$F$7:$F$874,'30 days CF Table(JPY)'!$C$2)</f>
        <v>0</v>
      </c>
      <c r="BI54" s="379">
        <f>SUMIFS(BS_RE33!$H$7:$H$874,BS_RE33!$S$7:$S$874,$BI$2,BS_RE33!$N$7:$N$874,I54,BS_RE33!$P$7:$P$874,'30 days CF Table(JPY)'!G54,BS_RE33!$F$7:$F$874,'30 days CF Table(JPY)'!$C$2)</f>
        <v>0</v>
      </c>
      <c r="BJ54" s="379">
        <f>SUMIFS(BS_RE33!$H$7:$H$874,BS_RE33!$S$7:$S$874,$BJ$2,BS_RE33!$N$7:$N$874,I54,BS_RE33!$P$7:$P$874,'30 days CF Table(JPY)'!G54,BS_RE33!$F$7:$F$874,'30 days CF Table(JPY)'!$C$2)</f>
        <v>0</v>
      </c>
      <c r="BK54" s="379">
        <f>SUMIFS(BS_RE33!$H$7:$H$874,BS_RE33!$S$7:$S$874,$BK$2,BS_RE33!$N$7:$N$874,I54,BS_RE33!$P$7:$P$874,'30 days CF Table(JPY)'!G54,BS_RE33!$F$7:$F$874,'30 days CF Table(JPY)'!$C$2)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Table(JPY)'!G55,BS_RE33!$F$7:$F$874,'30 days CF Table(JPY)'!$C$2)</f>
        <v>0</v>
      </c>
      <c r="M55" s="337">
        <f>SUMIFS(BS_RE33!$H$7:$H$874,BS_RE33!$S$7:$S$874,$M$2,BS_RE33!$N$7:$N$874,I55,BS_RE33!$P$7:$P$874,'30 days CF Table(JPY)'!G55,BS_RE33!$F$7:$F$874,'30 days CF Table(JPY)'!$C$2)</f>
        <v>0</v>
      </c>
      <c r="N55" s="337">
        <f>SUMIFS(BS_RE33!$H$7:$H$874,BS_RE33!$S$7:$S$874,$N$2,BS_RE33!$N$7:$N$874,I55,BS_RE33!$P$7:$P$874,'30 days CF Table(JPY)'!G55,BS_RE33!$F$7:$F$874,'30 days CF Table(JPY)'!$C$2)</f>
        <v>0</v>
      </c>
      <c r="O55" s="337">
        <f>SUMIFS(BS_RE33!$H$7:$H$874,BS_RE33!$S$7:$S$874,$O$2,BS_RE33!$N$7:$N$874,I55,BS_RE33!$P$7:$P$874,'30 days CF Table(JPY)'!G55,BS_RE33!$F$7:$F$874,'30 days CF Table(JPY)'!$C$2)</f>
        <v>0</v>
      </c>
      <c r="P55" s="337">
        <f>SUMIFS(BS_RE33!$H$7:$H$874,BS_RE33!$S$7:$S$874,$P$2,BS_RE33!$N$7:$N$874,I55,BS_RE33!$P$7:$P$874,'30 days CF Table(JPY)'!G55,BS_RE33!$F$7:$F$874,'30 days CF Table(JPY)'!$C$2)</f>
        <v>0</v>
      </c>
      <c r="Q55" s="337">
        <f>SUMIFS(BS_RE33!$H$7:$H$874,BS_RE33!$S$7:$S$874,$Q$2,BS_RE33!$N$7:$N$874,I55,BS_RE33!$P$7:$P$874,'30 days CF Table(JPY)'!G55,BS_RE33!$F$7:$F$874,'30 days CF Table(JPY)'!$C$2)</f>
        <v>0</v>
      </c>
      <c r="R55" s="337">
        <f>SUMIFS(BS_RE33!$H$7:$H$874,BS_RE33!$S$7:$S$874,$R$2,BS_RE33!$N$7:$N$874,I55,BS_RE33!$P$7:$P$874,'30 days CF Table(JPY)'!G55,BS_RE33!$F$7:$F$874,'30 days CF Table(JPY)'!$C$2)</f>
        <v>0</v>
      </c>
      <c r="S55" s="337">
        <f>SUMIFS(BS_RE33!$H$7:$H$874,BS_RE33!$S$7:$S$874,$S$2,BS_RE33!$N$7:$N$874,I55,BS_RE33!$P$7:$P$874,'30 days CF Table(JPY)'!G55,BS_RE33!$F$7:$F$874,'30 days CF Table(JPY)'!$C$2)</f>
        <v>0</v>
      </c>
      <c r="T55" s="337">
        <f>SUMIFS(BS_RE33!$H$7:$H$874,BS_RE33!$S$7:$S$874,$T$2,BS_RE33!$N$7:$N$874,I55,BS_RE33!$P$7:$P$874,'30 days CF Table(JPY)'!G55,BS_RE33!$F$7:$F$874,'30 days CF Table(JPY)'!$C$2)</f>
        <v>0</v>
      </c>
      <c r="U55" s="337">
        <f>SUMIFS(BS_RE33!$H$7:$H$874,BS_RE33!$S$7:$S$874,$U$2,BS_RE33!$N$7:$N$874,I55,BS_RE33!$P$7:$P$874,'30 days CF Table(JPY)'!G55,BS_RE33!$F$7:$F$874,'30 days CF Table(JPY)'!$C$2)</f>
        <v>0</v>
      </c>
      <c r="V55" s="337">
        <f>SUMIFS(BS_RE33!$H$7:$H$874,BS_RE33!$S$7:$S$874,$V$2,BS_RE33!$N$7:$N$874,I55,BS_RE33!$P$7:$P$874,'30 days CF Table(JPY)'!G55,BS_RE33!$F$7:$F$874,'30 days CF Table(JPY)'!$C$2)</f>
        <v>0</v>
      </c>
      <c r="W55" s="337">
        <f>SUMIFS(BS_RE33!$H$7:$H$874,BS_RE33!$S$7:$S$874,$W$2,BS_RE33!$N$7:$N$874,I55,BS_RE33!$P$7:$P$874,'30 days CF Table(JPY)'!G55,BS_RE33!$F$7:$F$874,'30 days CF Table(JPY)'!$C$2)</f>
        <v>0</v>
      </c>
      <c r="X55" s="337">
        <f>SUMIFS(BS_RE33!$H$7:$H$874,BS_RE33!$S$7:$S$874,$X$2,BS_RE33!$N$7:$N$874,I55,BS_RE33!$P$7:$P$874,'30 days CF Table(JPY)'!G55,BS_RE33!$F$7:$F$874,'30 days CF Table(JPY)'!$C$2)</f>
        <v>0</v>
      </c>
      <c r="Y55" s="337">
        <f>SUMIFS(BS_RE33!$H$7:$H$874,BS_RE33!$S$7:$S$874,$Y$2,BS_RE33!$N$7:$N$874,I55,BS_RE33!$P$7:$P$874,'30 days CF Table(JPY)'!G55,BS_RE33!$F$7:$F$874,'30 days CF Table(JPY)'!$C$2)</f>
        <v>0</v>
      </c>
      <c r="Z55" s="337">
        <f>SUMIFS(BS_RE33!$H$7:$H$874,BS_RE33!$S$7:$S$874,$Z$2,BS_RE33!$N$7:$N$874,I55,BS_RE33!$P$7:$P$874,'30 days CF Table(JPY)'!G55,BS_RE33!$F$7:$F$874,'30 days CF Table(JPY)'!$C$2)</f>
        <v>0</v>
      </c>
      <c r="AA55" s="337">
        <f>SUMIFS(BS_RE33!$H$7:$H$874,BS_RE33!$S$7:$S$874,$AA$2,BS_RE33!$N$7:$N$874,I55,BS_RE33!$P$7:$P$874,'30 days CF Table(JPY)'!G55,BS_RE33!$F$7:$F$874,'30 days CF Table(JPY)'!$C$2)</f>
        <v>0</v>
      </c>
      <c r="AB55" s="337">
        <f>SUMIFS(BS_RE33!$H$7:$H$874,BS_RE33!$S$7:$S$874,$AB$2,BS_RE33!$N$7:$N$874,I55,BS_RE33!$P$7:$P$874,'30 days CF Table(JPY)'!G55,BS_RE33!$F$7:$F$874,'30 days CF Table(JPY)'!$C$2)</f>
        <v>0</v>
      </c>
      <c r="AC55" s="337">
        <f>SUMIFS(BS_RE33!$H$7:$H$874,BS_RE33!$S$7:$S$874,$AC$2,BS_RE33!$N$7:$N$874,I55,BS_RE33!$P$7:$P$874,'30 days CF Table(JPY)'!G55,BS_RE33!$F$7:$F$874,'30 days CF Table(JPY)'!$C$2)</f>
        <v>0</v>
      </c>
      <c r="AD55" s="337">
        <f>SUMIFS(BS_RE33!$H$7:$H$874,BS_RE33!$S$7:$S$874,$AD$2,BS_RE33!$N$7:$N$874,I55,BS_RE33!$P$7:$P$874,'30 days CF Table(JPY)'!G55,BS_RE33!$F$7:$F$874,'30 days CF Table(JPY)'!$C$2)</f>
        <v>0</v>
      </c>
      <c r="AE55" s="337">
        <f>SUMIFS(BS_RE33!$H$7:$H$874,BS_RE33!$S$7:$S$874,$AE$2,BS_RE33!$N$7:$N$874,I55,BS_RE33!$P$7:$P$874,'30 days CF Table(JPY)'!G55,BS_RE33!$F$7:$F$874,'30 days CF Table(JPY)'!$C$2)</f>
        <v>0</v>
      </c>
      <c r="AF55" s="337">
        <f>SUMIFS(BS_RE33!$H$7:$H$874,BS_RE33!$S$7:$S$874,$AF$2,BS_RE33!$N$7:$N$874,I55,BS_RE33!$P$7:$P$874,'30 days CF Table(JPY)'!G55,BS_RE33!$F$7:$F$874,'30 days CF Table(JPY)'!$C$2)</f>
        <v>0</v>
      </c>
      <c r="AG55" s="337">
        <f>SUMIFS(BS_RE33!$H$7:$H$874,BS_RE33!$S$7:$S$874,$AG$2,BS_RE33!$N$7:$N$874,I55,BS_RE33!$P$7:$P$874,'30 days CF Table(JPY)'!G55,BS_RE33!$F$7:$F$874,'30 days CF Table(JPY)'!$C$2)</f>
        <v>0</v>
      </c>
      <c r="AH55" s="337">
        <f>SUMIFS(BS_RE33!$H$7:$H$874,BS_RE33!$S$7:$S$874,$AH$2,BS_RE33!$N$7:$N$874,I55,BS_RE33!$P$7:$P$874,'30 days CF Table(JPY)'!G55,BS_RE33!$F$7:$F$874,'30 days CF Table(JPY)'!$C$2)</f>
        <v>0</v>
      </c>
      <c r="AI55" s="337">
        <f>SUMIFS(BS_RE33!$H$7:$H$874,BS_RE33!$S$7:$S$874,$AI$2,BS_RE33!$N$7:$N$874,I55,BS_RE33!$P$7:$P$874,'30 days CF Table(JPY)'!G55,BS_RE33!$F$7:$F$874,'30 days CF Table(JPY)'!$C$2)</f>
        <v>0</v>
      </c>
      <c r="AJ55" s="337">
        <f>SUMIFS(BS_RE33!$H$7:$H$874,BS_RE33!$S$7:$S$874,$AJ$2,BS_RE33!$N$7:$N$874,I55,BS_RE33!$P$7:$P$874,'30 days CF Table(JPY)'!G55,BS_RE33!$F$7:$F$874,'30 days CF Table(JPY)'!$C$2)</f>
        <v>0</v>
      </c>
      <c r="AK55" s="337">
        <f>SUMIFS(BS_RE33!$H$7:$H$874,BS_RE33!$S$7:$S$874,$AK$2,BS_RE33!$N$7:$N$874,I55,BS_RE33!$P$7:$P$874,'30 days CF Table(JPY)'!G55,BS_RE33!$F$7:$F$874,'30 days CF Table(JPY)'!$C$2)</f>
        <v>0</v>
      </c>
      <c r="AL55" s="337">
        <f>SUMIFS(BS_RE33!$H$7:$H$874,BS_RE33!$S$7:$S$874,$AL$2,BS_RE33!$N$7:$N$874,I55,BS_RE33!$P$7:$P$874,'30 days CF Table(JPY)'!G55,BS_RE33!$F$7:$F$874,'30 days CF Table(JPY)'!$C$2)</f>
        <v>0</v>
      </c>
      <c r="AM55" s="337">
        <f>SUMIFS(BS_RE33!$H$7:$H$874,BS_RE33!$S$7:$S$874,$AM$2,BS_RE33!$N$7:$N$874,I55,BS_RE33!$P$7:$P$874,'30 days CF Table(JPY)'!G55,BS_RE33!$F$7:$F$874,'30 days CF Table(JPY)'!$C$2)</f>
        <v>0</v>
      </c>
      <c r="AN55" s="337">
        <f>SUMIFS(BS_RE33!$H$7:$H$874,BS_RE33!$S$7:$S$874,$AN$2,BS_RE33!$N$7:$N$874,I55,BS_RE33!$P$7:$P$874,'30 days CF Table(JPY)'!G55,BS_RE33!$F$7:$F$874,'30 days CF Table(JPY)'!$C$2)</f>
        <v>0</v>
      </c>
      <c r="AO55" s="337">
        <f>SUMIFS(BS_RE33!$H$7:$H$874,BS_RE33!$S$7:$S$874,$AO$2,BS_RE33!$N$7:$N$874,I55,BS_RE33!$P$7:$P$874,'30 days CF Table(JPY)'!G55,BS_RE33!$F$7:$F$874,'30 days CF Table(JPY)'!$C$2)</f>
        <v>0</v>
      </c>
      <c r="AP55" s="338">
        <f>SUMIFS(BS_RE33!$H$7:$H$874,BS_RE33!$S$7:$S$874,$AP$2,BS_RE33!$N$7:$N$874,I55,BS_RE33!$P$7:$P$874,'30 days CF Table(JPY)'!G55,BS_RE33!$F$7:$F$874,'30 days CF Table(JPY)'!$C$2)</f>
        <v>0</v>
      </c>
      <c r="AR55" s="379">
        <f>SUMIFS(BS_RE33!$H$7:$H$874,BS_RE33!$S$7:$S$874,$AR$2,BS_RE33!$N$7:$N$874,I55,BS_RE33!$P$7:$P$874,'30 days CF Table(JPY)'!G55,BS_RE33!$F$7:$F$874,'30 days CF Table(JPY)'!$C$2)</f>
        <v>0</v>
      </c>
      <c r="AS55" s="379">
        <f>SUMIFS(BS_RE33!$H$7:$H$874,BS_RE33!$S$7:$S$874,$AS$2,BS_RE33!$N$7:$N$874,I55,BS_RE33!$P$7:$P$874,'30 days CF Table(JPY)'!G55,BS_RE33!$F$7:$F$874,'30 days CF Table(JPY)'!$C$2)</f>
        <v>0</v>
      </c>
      <c r="AT55" s="379">
        <f>SUMIFS(BS_RE33!$H$7:$H$874,BS_RE33!$S$7:$S$874,$AT$2,BS_RE33!$N$7:$N$874,I55,BS_RE33!$P$7:$P$874,'30 days CF Table(JPY)'!G55,BS_RE33!$F$7:$F$874,'30 days CF Table(JPY)'!$C$2)</f>
        <v>0</v>
      </c>
      <c r="AU55" s="379">
        <f>SUMIFS(BS_RE33!$H$7:$H$874,BS_RE33!$S$7:$S$874,$AU$2,BS_RE33!$N$7:$N$874,I55,BS_RE33!$P$7:$P$874,'30 days CF Table(JPY)'!G55,BS_RE33!$F$7:$F$874,'30 days CF Table(JPY)'!$C$2)</f>
        <v>0</v>
      </c>
      <c r="AV55" s="379">
        <f>SUMIFS(BS_RE33!$H$7:$H$874,BS_RE33!$S$7:$S$874,$AV$2,BS_RE33!$N$7:$N$874,I55,BS_RE33!$P$7:$P$874,'30 days CF Table(JPY)'!G55,BS_RE33!$F$7:$F$874,'30 days CF Table(JPY)'!$C$2)</f>
        <v>0</v>
      </c>
      <c r="AW55" s="379">
        <f>SUMIFS(BS_RE33!$H$7:$H$874,BS_RE33!$S$7:$S$874,$AW$2,BS_RE33!$N$7:$N$874,I55,BS_RE33!$P$7:$P$874,'30 days CF Table(JPY)'!G55,BS_RE33!$F$7:$F$874,'30 days CF Table(JPY)'!$C$2)</f>
        <v>0</v>
      </c>
      <c r="AX55" s="379">
        <f>SUMIFS(BS_RE33!$H$7:$H$874,BS_RE33!$S$7:$S$874,$AX$2,BS_RE33!$N$7:$N$874,I55,BS_RE33!$P$7:$P$874,'30 days CF Table(JPY)'!G55,BS_RE33!$F$7:$F$874,'30 days CF Table(JPY)'!$C$2)</f>
        <v>0</v>
      </c>
      <c r="AY55" s="379">
        <f>SUMIFS(BS_RE33!$H$7:$H$874,BS_RE33!$S$7:$S$874,$AY$2,BS_RE33!$N$7:$N$874,I55,BS_RE33!$P$7:$P$874,'30 days CF Table(JPY)'!G55,BS_RE33!$F$7:$F$874,'30 days CF Table(JPY)'!$C$2)</f>
        <v>0</v>
      </c>
      <c r="AZ55" s="379">
        <f>SUMIFS(BS_RE33!$H$7:$H$874,BS_RE33!$S$7:$S$874,$AZ$2,BS_RE33!$N$7:$N$874,I55,BS_RE33!$P$7:$P$874,'30 days CF Table(JPY)'!G55,BS_RE33!$F$7:$F$874,'30 days CF Table(JPY)'!$C$2)</f>
        <v>0</v>
      </c>
      <c r="BA55" s="379">
        <f>SUMIFS(BS_RE33!$H$7:$H$874,BS_RE33!$S$7:$S$874,$BA$2,BS_RE33!$N$7:$N$874,I55,BS_RE33!$P$7:$P$874,'30 days CF Table(JPY)'!G55,BS_RE33!$F$7:$F$874,'30 days CF Table(JPY)'!$C$2)</f>
        <v>0</v>
      </c>
      <c r="BB55" s="379">
        <f>SUMIFS(BS_RE33!$H$7:$H$874,BS_RE33!$S$7:$S$874,$BB$2,BS_RE33!$N$7:$N$874,I55,BS_RE33!$P$7:$P$874,'30 days CF Table(JPY)'!G55,BS_RE33!$F$7:$F$874,'30 days CF Table(JPY)'!$C$2)</f>
        <v>0</v>
      </c>
      <c r="BC55" s="379">
        <f>SUMIFS(BS_RE33!$H$7:$H$874,BS_RE33!$S$7:$S$874,$BC$2,BS_RE33!$N$7:$N$874,I55,BS_RE33!$P$7:$P$874,'30 days CF Table(JPY)'!G55,BS_RE33!$F$7:$F$874,'30 days CF Table(JPY)'!$C$2)</f>
        <v>0</v>
      </c>
      <c r="BD55" s="379">
        <f>SUMIFS(BS_RE33!$H$7:$H$874,BS_RE33!$S$7:$S$874,$BD$2,BS_RE33!$N$7:$N$874,I55,BS_RE33!$P$7:$P$874,'30 days CF Table(JPY)'!G55,BS_RE33!$F$7:$F$874,'30 days CF Table(JPY)'!$C$2)</f>
        <v>0</v>
      </c>
      <c r="BE55" s="379">
        <f>SUMIFS(BS_RE33!$H$7:$H$874,BS_RE33!$S$7:$S$874,$BE$2,BS_RE33!$N$7:$N$874,I55,BS_RE33!$P$7:$P$874,'30 days CF Table(JPY)'!G55,BS_RE33!$F$7:$F$874,'30 days CF Table(JPY)'!$C$2)</f>
        <v>0</v>
      </c>
      <c r="BF55" s="379">
        <f>SUMIFS(BS_RE33!$H$7:$H$874,BS_RE33!$S$7:$S$874,$BF$2,BS_RE33!$N$7:$N$874,I55,BS_RE33!$P$7:$P$874,'30 days CF Table(JPY)'!G55,BS_RE33!$F$7:$F$874,'30 days CF Table(JPY)'!$C$2)</f>
        <v>0</v>
      </c>
      <c r="BG55" s="379">
        <f>SUMIFS(BS_RE33!$H$7:$H$874,BS_RE33!$S$7:$S$874,$BG$2,BS_RE33!$N$7:$N$874,I55,BS_RE33!$P$7:$P$874,'30 days CF Table(JPY)'!G55,BS_RE33!$F$7:$F$874,'30 days CF Table(JPY)'!$C$2)</f>
        <v>0</v>
      </c>
      <c r="BH55" s="379">
        <f>SUMIFS(BS_RE33!$H$7:$H$874,BS_RE33!$S$7:$S$874,$BH$2,BS_RE33!$N$7:$N$874,I55,BS_RE33!$P$7:$P$874,'30 days CF Table(JPY)'!G55,BS_RE33!$F$7:$F$874,'30 days CF Table(JPY)'!$C$2)</f>
        <v>0</v>
      </c>
      <c r="BI55" s="379">
        <f>SUMIFS(BS_RE33!$H$7:$H$874,BS_RE33!$S$7:$S$874,$BI$2,BS_RE33!$N$7:$N$874,I55,BS_RE33!$P$7:$P$874,'30 days CF Table(JPY)'!G55,BS_RE33!$F$7:$F$874,'30 days CF Table(JPY)'!$C$2)</f>
        <v>0</v>
      </c>
      <c r="BJ55" s="379">
        <f>SUMIFS(BS_RE33!$H$7:$H$874,BS_RE33!$S$7:$S$874,$BJ$2,BS_RE33!$N$7:$N$874,I55,BS_RE33!$P$7:$P$874,'30 days CF Table(JPY)'!G55,BS_RE33!$F$7:$F$874,'30 days CF Table(JPY)'!$C$2)</f>
        <v>0</v>
      </c>
      <c r="BK55" s="379">
        <f>SUMIFS(BS_RE33!$H$7:$H$874,BS_RE33!$S$7:$S$874,$BK$2,BS_RE33!$N$7:$N$874,I55,BS_RE33!$P$7:$P$874,'30 days CF Table(JPY)'!G55,BS_RE33!$F$7:$F$874,'30 days CF Table(JPY)'!$C$2)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Table(JPY)'!G56,BS_RE33!$F$7:$F$874,'30 days CF Table(JPY)'!$C$2)</f>
        <v>0</v>
      </c>
      <c r="M56" s="337">
        <f>SUMIFS(BS_RE33!$H$7:$H$874,BS_RE33!$S$7:$S$874,$M$2,BS_RE33!$N$7:$N$874,I56,BS_RE33!$P$7:$P$874,'30 days CF Table(JPY)'!G56,BS_RE33!$F$7:$F$874,'30 days CF Table(JPY)'!$C$2)</f>
        <v>0</v>
      </c>
      <c r="N56" s="337">
        <f>SUMIFS(BS_RE33!$H$7:$H$874,BS_RE33!$S$7:$S$874,$N$2,BS_RE33!$N$7:$N$874,I56,BS_RE33!$P$7:$P$874,'30 days CF Table(JPY)'!G56,BS_RE33!$F$7:$F$874,'30 days CF Table(JPY)'!$C$2)</f>
        <v>0</v>
      </c>
      <c r="O56" s="337">
        <f>SUMIFS(BS_RE33!$H$7:$H$874,BS_RE33!$S$7:$S$874,$O$2,BS_RE33!$N$7:$N$874,I56,BS_RE33!$P$7:$P$874,'30 days CF Table(JPY)'!G56,BS_RE33!$F$7:$F$874,'30 days CF Table(JPY)'!$C$2)</f>
        <v>0</v>
      </c>
      <c r="P56" s="337">
        <f>SUMIFS(BS_RE33!$H$7:$H$874,BS_RE33!$S$7:$S$874,$P$2,BS_RE33!$N$7:$N$874,I56,BS_RE33!$P$7:$P$874,'30 days CF Table(JPY)'!G56,BS_RE33!$F$7:$F$874,'30 days CF Table(JPY)'!$C$2)</f>
        <v>0</v>
      </c>
      <c r="Q56" s="337">
        <f>SUMIFS(BS_RE33!$H$7:$H$874,BS_RE33!$S$7:$S$874,$Q$2,BS_RE33!$N$7:$N$874,I56,BS_RE33!$P$7:$P$874,'30 days CF Table(JPY)'!G56,BS_RE33!$F$7:$F$874,'30 days CF Table(JPY)'!$C$2)</f>
        <v>0</v>
      </c>
      <c r="R56" s="337">
        <f>SUMIFS(BS_RE33!$H$7:$H$874,BS_RE33!$S$7:$S$874,$R$2,BS_RE33!$N$7:$N$874,I56,BS_RE33!$P$7:$P$874,'30 days CF Table(JPY)'!G56,BS_RE33!$F$7:$F$874,'30 days CF Table(JPY)'!$C$2)</f>
        <v>0</v>
      </c>
      <c r="S56" s="337">
        <f>SUMIFS(BS_RE33!$H$7:$H$874,BS_RE33!$S$7:$S$874,$S$2,BS_RE33!$N$7:$N$874,I56,BS_RE33!$P$7:$P$874,'30 days CF Table(JPY)'!G56,BS_RE33!$F$7:$F$874,'30 days CF Table(JPY)'!$C$2)</f>
        <v>0</v>
      </c>
      <c r="T56" s="337">
        <f>SUMIFS(BS_RE33!$H$7:$H$874,BS_RE33!$S$7:$S$874,$T$2,BS_RE33!$N$7:$N$874,I56,BS_RE33!$P$7:$P$874,'30 days CF Table(JPY)'!G56,BS_RE33!$F$7:$F$874,'30 days CF Table(JPY)'!$C$2)</f>
        <v>0</v>
      </c>
      <c r="U56" s="337">
        <f>SUMIFS(BS_RE33!$H$7:$H$874,BS_RE33!$S$7:$S$874,$U$2,BS_RE33!$N$7:$N$874,I56,BS_RE33!$P$7:$P$874,'30 days CF Table(JPY)'!G56,BS_RE33!$F$7:$F$874,'30 days CF Table(JPY)'!$C$2)</f>
        <v>0</v>
      </c>
      <c r="V56" s="337">
        <f>SUMIFS(BS_RE33!$H$7:$H$874,BS_RE33!$S$7:$S$874,$V$2,BS_RE33!$N$7:$N$874,I56,BS_RE33!$P$7:$P$874,'30 days CF Table(JPY)'!G56,BS_RE33!$F$7:$F$874,'30 days CF Table(JPY)'!$C$2)</f>
        <v>0</v>
      </c>
      <c r="W56" s="337">
        <f>SUMIFS(BS_RE33!$H$7:$H$874,BS_RE33!$S$7:$S$874,$W$2,BS_RE33!$N$7:$N$874,I56,BS_RE33!$P$7:$P$874,'30 days CF Table(JPY)'!G56,BS_RE33!$F$7:$F$874,'30 days CF Table(JPY)'!$C$2)</f>
        <v>0</v>
      </c>
      <c r="X56" s="337">
        <f>SUMIFS(BS_RE33!$H$7:$H$874,BS_RE33!$S$7:$S$874,$X$2,BS_RE33!$N$7:$N$874,I56,BS_RE33!$P$7:$P$874,'30 days CF Table(JPY)'!G56,BS_RE33!$F$7:$F$874,'30 days CF Table(JPY)'!$C$2)</f>
        <v>0</v>
      </c>
      <c r="Y56" s="337">
        <f>SUMIFS(BS_RE33!$H$7:$H$874,BS_RE33!$S$7:$S$874,$Y$2,BS_RE33!$N$7:$N$874,I56,BS_RE33!$P$7:$P$874,'30 days CF Table(JPY)'!G56,BS_RE33!$F$7:$F$874,'30 days CF Table(JPY)'!$C$2)</f>
        <v>0</v>
      </c>
      <c r="Z56" s="337">
        <f>SUMIFS(BS_RE33!$H$7:$H$874,BS_RE33!$S$7:$S$874,$Z$2,BS_RE33!$N$7:$N$874,I56,BS_RE33!$P$7:$P$874,'30 days CF Table(JPY)'!G56,BS_RE33!$F$7:$F$874,'30 days CF Table(JPY)'!$C$2)</f>
        <v>0</v>
      </c>
      <c r="AA56" s="337">
        <f>SUMIFS(BS_RE33!$H$7:$H$874,BS_RE33!$S$7:$S$874,$AA$2,BS_RE33!$N$7:$N$874,I56,BS_RE33!$P$7:$P$874,'30 days CF Table(JPY)'!G56,BS_RE33!$F$7:$F$874,'30 days CF Table(JPY)'!$C$2)</f>
        <v>0</v>
      </c>
      <c r="AB56" s="337">
        <f>SUMIFS(BS_RE33!$H$7:$H$874,BS_RE33!$S$7:$S$874,$AB$2,BS_RE33!$N$7:$N$874,I56,BS_RE33!$P$7:$P$874,'30 days CF Table(JPY)'!G56,BS_RE33!$F$7:$F$874,'30 days CF Table(JPY)'!$C$2)</f>
        <v>0</v>
      </c>
      <c r="AC56" s="337">
        <f>SUMIFS(BS_RE33!$H$7:$H$874,BS_RE33!$S$7:$S$874,$AC$2,BS_RE33!$N$7:$N$874,I56,BS_RE33!$P$7:$P$874,'30 days CF Table(JPY)'!G56,BS_RE33!$F$7:$F$874,'30 days CF Table(JPY)'!$C$2)</f>
        <v>0</v>
      </c>
      <c r="AD56" s="337">
        <f>SUMIFS(BS_RE33!$H$7:$H$874,BS_RE33!$S$7:$S$874,$AD$2,BS_RE33!$N$7:$N$874,I56,BS_RE33!$P$7:$P$874,'30 days CF Table(JPY)'!G56,BS_RE33!$F$7:$F$874,'30 days CF Table(JPY)'!$C$2)</f>
        <v>0</v>
      </c>
      <c r="AE56" s="337">
        <f>SUMIFS(BS_RE33!$H$7:$H$874,BS_RE33!$S$7:$S$874,$AE$2,BS_RE33!$N$7:$N$874,I56,BS_RE33!$P$7:$P$874,'30 days CF Table(JPY)'!G56,BS_RE33!$F$7:$F$874,'30 days CF Table(JPY)'!$C$2)</f>
        <v>0</v>
      </c>
      <c r="AF56" s="337">
        <f>SUMIFS(BS_RE33!$H$7:$H$874,BS_RE33!$S$7:$S$874,$AF$2,BS_RE33!$N$7:$N$874,I56,BS_RE33!$P$7:$P$874,'30 days CF Table(JPY)'!G56,BS_RE33!$F$7:$F$874,'30 days CF Table(JPY)'!$C$2)</f>
        <v>0</v>
      </c>
      <c r="AG56" s="337">
        <f>SUMIFS(BS_RE33!$H$7:$H$874,BS_RE33!$S$7:$S$874,$AG$2,BS_RE33!$N$7:$N$874,I56,BS_RE33!$P$7:$P$874,'30 days CF Table(JPY)'!G56,BS_RE33!$F$7:$F$874,'30 days CF Table(JPY)'!$C$2)</f>
        <v>0</v>
      </c>
      <c r="AH56" s="337">
        <f>SUMIFS(BS_RE33!$H$7:$H$874,BS_RE33!$S$7:$S$874,$AH$2,BS_RE33!$N$7:$N$874,I56,BS_RE33!$P$7:$P$874,'30 days CF Table(JPY)'!G56,BS_RE33!$F$7:$F$874,'30 days CF Table(JPY)'!$C$2)</f>
        <v>0</v>
      </c>
      <c r="AI56" s="337">
        <f>SUMIFS(BS_RE33!$H$7:$H$874,BS_RE33!$S$7:$S$874,$AI$2,BS_RE33!$N$7:$N$874,I56,BS_RE33!$P$7:$P$874,'30 days CF Table(JPY)'!G56,BS_RE33!$F$7:$F$874,'30 days CF Table(JPY)'!$C$2)</f>
        <v>0</v>
      </c>
      <c r="AJ56" s="337">
        <f>SUMIFS(BS_RE33!$H$7:$H$874,BS_RE33!$S$7:$S$874,$AJ$2,BS_RE33!$N$7:$N$874,I56,BS_RE33!$P$7:$P$874,'30 days CF Table(JPY)'!G56,BS_RE33!$F$7:$F$874,'30 days CF Table(JPY)'!$C$2)</f>
        <v>0</v>
      </c>
      <c r="AK56" s="337">
        <f>SUMIFS(BS_RE33!$H$7:$H$874,BS_RE33!$S$7:$S$874,$AK$2,BS_RE33!$N$7:$N$874,I56,BS_RE33!$P$7:$P$874,'30 days CF Table(JPY)'!G56,BS_RE33!$F$7:$F$874,'30 days CF Table(JPY)'!$C$2)</f>
        <v>0</v>
      </c>
      <c r="AL56" s="337">
        <f>SUMIFS(BS_RE33!$H$7:$H$874,BS_RE33!$S$7:$S$874,$AL$2,BS_RE33!$N$7:$N$874,I56,BS_RE33!$P$7:$P$874,'30 days CF Table(JPY)'!G56,BS_RE33!$F$7:$F$874,'30 days CF Table(JPY)'!$C$2)</f>
        <v>0</v>
      </c>
      <c r="AM56" s="337">
        <f>SUMIFS(BS_RE33!$H$7:$H$874,BS_RE33!$S$7:$S$874,$AM$2,BS_RE33!$N$7:$N$874,I56,BS_RE33!$P$7:$P$874,'30 days CF Table(JPY)'!G56,BS_RE33!$F$7:$F$874,'30 days CF Table(JPY)'!$C$2)</f>
        <v>0</v>
      </c>
      <c r="AN56" s="337">
        <f>SUMIFS(BS_RE33!$H$7:$H$874,BS_RE33!$S$7:$S$874,$AN$2,BS_RE33!$N$7:$N$874,I56,BS_RE33!$P$7:$P$874,'30 days CF Table(JPY)'!G56,BS_RE33!$F$7:$F$874,'30 days CF Table(JPY)'!$C$2)</f>
        <v>0</v>
      </c>
      <c r="AO56" s="337">
        <f>SUMIFS(BS_RE33!$H$7:$H$874,BS_RE33!$S$7:$S$874,$AO$2,BS_RE33!$N$7:$N$874,I56,BS_RE33!$P$7:$P$874,'30 days CF Table(JPY)'!G56,BS_RE33!$F$7:$F$874,'30 days CF Table(JPY)'!$C$2)</f>
        <v>0</v>
      </c>
      <c r="AP56" s="338">
        <f>SUMIFS(BS_RE33!$H$7:$H$874,BS_RE33!$S$7:$S$874,$AP$2,BS_RE33!$N$7:$N$874,I56,BS_RE33!$P$7:$P$874,'30 days CF Table(JPY)'!G56,BS_RE33!$F$7:$F$874,'30 days CF Table(JPY)'!$C$2)</f>
        <v>0</v>
      </c>
      <c r="AR56" s="379">
        <f>SUMIFS(BS_RE33!$H$7:$H$874,BS_RE33!$S$7:$S$874,$AR$2,BS_RE33!$N$7:$N$874,I56,BS_RE33!$P$7:$P$874,'30 days CF Table(JPY)'!G56,BS_RE33!$F$7:$F$874,'30 days CF Table(JPY)'!$C$2)</f>
        <v>0</v>
      </c>
      <c r="AS56" s="379">
        <f>SUMIFS(BS_RE33!$H$7:$H$874,BS_RE33!$S$7:$S$874,$AS$2,BS_RE33!$N$7:$N$874,I56,BS_RE33!$P$7:$P$874,'30 days CF Table(JPY)'!G56,BS_RE33!$F$7:$F$874,'30 days CF Table(JPY)'!$C$2)</f>
        <v>0</v>
      </c>
      <c r="AT56" s="379">
        <f>SUMIFS(BS_RE33!$H$7:$H$874,BS_RE33!$S$7:$S$874,$AT$2,BS_RE33!$N$7:$N$874,I56,BS_RE33!$P$7:$P$874,'30 days CF Table(JPY)'!G56,BS_RE33!$F$7:$F$874,'30 days CF Table(JPY)'!$C$2)</f>
        <v>0</v>
      </c>
      <c r="AU56" s="379">
        <f>SUMIFS(BS_RE33!$H$7:$H$874,BS_RE33!$S$7:$S$874,$AU$2,BS_RE33!$N$7:$N$874,I56,BS_RE33!$P$7:$P$874,'30 days CF Table(JPY)'!G56,BS_RE33!$F$7:$F$874,'30 days CF Table(JPY)'!$C$2)</f>
        <v>0</v>
      </c>
      <c r="AV56" s="379">
        <f>SUMIFS(BS_RE33!$H$7:$H$874,BS_RE33!$S$7:$S$874,$AV$2,BS_RE33!$N$7:$N$874,I56,BS_RE33!$P$7:$P$874,'30 days CF Table(JPY)'!G56,BS_RE33!$F$7:$F$874,'30 days CF Table(JPY)'!$C$2)</f>
        <v>0</v>
      </c>
      <c r="AW56" s="379">
        <f>SUMIFS(BS_RE33!$H$7:$H$874,BS_RE33!$S$7:$S$874,$AW$2,BS_RE33!$N$7:$N$874,I56,BS_RE33!$P$7:$P$874,'30 days CF Table(JPY)'!G56,BS_RE33!$F$7:$F$874,'30 days CF Table(JPY)'!$C$2)</f>
        <v>0</v>
      </c>
      <c r="AX56" s="379">
        <f>SUMIFS(BS_RE33!$H$7:$H$874,BS_RE33!$S$7:$S$874,$AX$2,BS_RE33!$N$7:$N$874,I56,BS_RE33!$P$7:$P$874,'30 days CF Table(JPY)'!G56,BS_RE33!$F$7:$F$874,'30 days CF Table(JPY)'!$C$2)</f>
        <v>0</v>
      </c>
      <c r="AY56" s="379">
        <f>SUMIFS(BS_RE33!$H$7:$H$874,BS_RE33!$S$7:$S$874,$AY$2,BS_RE33!$N$7:$N$874,I56,BS_RE33!$P$7:$P$874,'30 days CF Table(JPY)'!G56,BS_RE33!$F$7:$F$874,'30 days CF Table(JPY)'!$C$2)</f>
        <v>0</v>
      </c>
      <c r="AZ56" s="379">
        <f>SUMIFS(BS_RE33!$H$7:$H$874,BS_RE33!$S$7:$S$874,$AZ$2,BS_RE33!$N$7:$N$874,I56,BS_RE33!$P$7:$P$874,'30 days CF Table(JPY)'!G56,BS_RE33!$F$7:$F$874,'30 days CF Table(JPY)'!$C$2)</f>
        <v>0</v>
      </c>
      <c r="BA56" s="379">
        <f>SUMIFS(BS_RE33!$H$7:$H$874,BS_RE33!$S$7:$S$874,$BA$2,BS_RE33!$N$7:$N$874,I56,BS_RE33!$P$7:$P$874,'30 days CF Table(JPY)'!G56,BS_RE33!$F$7:$F$874,'30 days CF Table(JPY)'!$C$2)</f>
        <v>0</v>
      </c>
      <c r="BB56" s="379">
        <f>SUMIFS(BS_RE33!$H$7:$H$874,BS_RE33!$S$7:$S$874,$BB$2,BS_RE33!$N$7:$N$874,I56,BS_RE33!$P$7:$P$874,'30 days CF Table(JPY)'!G56,BS_RE33!$F$7:$F$874,'30 days CF Table(JPY)'!$C$2)</f>
        <v>0</v>
      </c>
      <c r="BC56" s="379">
        <f>SUMIFS(BS_RE33!$H$7:$H$874,BS_RE33!$S$7:$S$874,$BC$2,BS_RE33!$N$7:$N$874,I56,BS_RE33!$P$7:$P$874,'30 days CF Table(JPY)'!G56,BS_RE33!$F$7:$F$874,'30 days CF Table(JPY)'!$C$2)</f>
        <v>0</v>
      </c>
      <c r="BD56" s="379">
        <f>SUMIFS(BS_RE33!$H$7:$H$874,BS_RE33!$S$7:$S$874,$BD$2,BS_RE33!$N$7:$N$874,I56,BS_RE33!$P$7:$P$874,'30 days CF Table(JPY)'!G56,BS_RE33!$F$7:$F$874,'30 days CF Table(JPY)'!$C$2)</f>
        <v>0</v>
      </c>
      <c r="BE56" s="379">
        <f>SUMIFS(BS_RE33!$H$7:$H$874,BS_RE33!$S$7:$S$874,$BE$2,BS_RE33!$N$7:$N$874,I56,BS_RE33!$P$7:$P$874,'30 days CF Table(JPY)'!G56,BS_RE33!$F$7:$F$874,'30 days CF Table(JPY)'!$C$2)</f>
        <v>0</v>
      </c>
      <c r="BF56" s="379">
        <f>SUMIFS(BS_RE33!$H$7:$H$874,BS_RE33!$S$7:$S$874,$BF$2,BS_RE33!$N$7:$N$874,I56,BS_RE33!$P$7:$P$874,'30 days CF Table(JPY)'!G56,BS_RE33!$F$7:$F$874,'30 days CF Table(JPY)'!$C$2)</f>
        <v>0</v>
      </c>
      <c r="BG56" s="379">
        <f>SUMIFS(BS_RE33!$H$7:$H$874,BS_RE33!$S$7:$S$874,$BG$2,BS_RE33!$N$7:$N$874,I56,BS_RE33!$P$7:$P$874,'30 days CF Table(JPY)'!G56,BS_RE33!$F$7:$F$874,'30 days CF Table(JPY)'!$C$2)</f>
        <v>0</v>
      </c>
      <c r="BH56" s="379">
        <f>SUMIFS(BS_RE33!$H$7:$H$874,BS_RE33!$S$7:$S$874,$BH$2,BS_RE33!$N$7:$N$874,I56,BS_RE33!$P$7:$P$874,'30 days CF Table(JPY)'!G56,BS_RE33!$F$7:$F$874,'30 days CF Table(JPY)'!$C$2)</f>
        <v>0</v>
      </c>
      <c r="BI56" s="379">
        <f>SUMIFS(BS_RE33!$H$7:$H$874,BS_RE33!$S$7:$S$874,$BI$2,BS_RE33!$N$7:$N$874,I56,BS_RE33!$P$7:$P$874,'30 days CF Table(JPY)'!G56,BS_RE33!$F$7:$F$874,'30 days CF Table(JPY)'!$C$2)</f>
        <v>0</v>
      </c>
      <c r="BJ56" s="379">
        <f>SUMIFS(BS_RE33!$H$7:$H$874,BS_RE33!$S$7:$S$874,$BJ$2,BS_RE33!$N$7:$N$874,I56,BS_RE33!$P$7:$P$874,'30 days CF Table(JPY)'!G56,BS_RE33!$F$7:$F$874,'30 days CF Table(JPY)'!$C$2)</f>
        <v>0</v>
      </c>
      <c r="BK56" s="379">
        <f>SUMIFS(BS_RE33!$H$7:$H$874,BS_RE33!$S$7:$S$874,$BK$2,BS_RE33!$N$7:$N$874,I56,BS_RE33!$P$7:$P$874,'30 days CF Table(JPY)'!G56,BS_RE33!$F$7:$F$874,'30 days CF Table(JPY)'!$C$2)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Table(JPY)'!G57,BS_RE33!$F$7:$F$874,'30 days CF Table(JPY)'!$C$2)</f>
        <v>0</v>
      </c>
      <c r="M57" s="337">
        <f>SUMIFS(BS_RE33!$H$7:$H$874,BS_RE33!$S$7:$S$874,$M$2,BS_RE33!$N$7:$N$874,I57,BS_RE33!$P$7:$P$874,'30 days CF Table(JPY)'!G57,BS_RE33!$F$7:$F$874,'30 days CF Table(JPY)'!$C$2)</f>
        <v>0</v>
      </c>
      <c r="N57" s="337">
        <f>SUMIFS(BS_RE33!$H$7:$H$874,BS_RE33!$S$7:$S$874,$N$2,BS_RE33!$N$7:$N$874,I57,BS_RE33!$P$7:$P$874,'30 days CF Table(JPY)'!G57,BS_RE33!$F$7:$F$874,'30 days CF Table(JPY)'!$C$2)</f>
        <v>0</v>
      </c>
      <c r="O57" s="337">
        <f>SUMIFS(BS_RE33!$H$7:$H$874,BS_RE33!$S$7:$S$874,$O$2,BS_RE33!$N$7:$N$874,I57,BS_RE33!$P$7:$P$874,'30 days CF Table(JPY)'!G57,BS_RE33!$F$7:$F$874,'30 days CF Table(JPY)'!$C$2)</f>
        <v>0</v>
      </c>
      <c r="P57" s="337">
        <f>SUMIFS(BS_RE33!$H$7:$H$874,BS_RE33!$S$7:$S$874,$P$2,BS_RE33!$N$7:$N$874,I57,BS_RE33!$P$7:$P$874,'30 days CF Table(JPY)'!G57,BS_RE33!$F$7:$F$874,'30 days CF Table(JPY)'!$C$2)</f>
        <v>0</v>
      </c>
      <c r="Q57" s="337">
        <f>SUMIFS(BS_RE33!$H$7:$H$874,BS_RE33!$S$7:$S$874,$Q$2,BS_RE33!$N$7:$N$874,I57,BS_RE33!$P$7:$P$874,'30 days CF Table(JPY)'!G57,BS_RE33!$F$7:$F$874,'30 days CF Table(JPY)'!$C$2)</f>
        <v>0</v>
      </c>
      <c r="R57" s="337">
        <f>SUMIFS(BS_RE33!$H$7:$H$874,BS_RE33!$S$7:$S$874,$R$2,BS_RE33!$N$7:$N$874,I57,BS_RE33!$P$7:$P$874,'30 days CF Table(JPY)'!G57,BS_RE33!$F$7:$F$874,'30 days CF Table(JPY)'!$C$2)</f>
        <v>0</v>
      </c>
      <c r="S57" s="337">
        <f>SUMIFS(BS_RE33!$H$7:$H$874,BS_RE33!$S$7:$S$874,$S$2,BS_RE33!$N$7:$N$874,I57,BS_RE33!$P$7:$P$874,'30 days CF Table(JPY)'!G57,BS_RE33!$F$7:$F$874,'30 days CF Table(JPY)'!$C$2)</f>
        <v>0</v>
      </c>
      <c r="T57" s="337">
        <f>SUMIFS(BS_RE33!$H$7:$H$874,BS_RE33!$S$7:$S$874,$T$2,BS_RE33!$N$7:$N$874,I57,BS_RE33!$P$7:$P$874,'30 days CF Table(JPY)'!G57,BS_RE33!$F$7:$F$874,'30 days CF Table(JPY)'!$C$2)</f>
        <v>0</v>
      </c>
      <c r="U57" s="337">
        <f>SUMIFS(BS_RE33!$H$7:$H$874,BS_RE33!$S$7:$S$874,$U$2,BS_RE33!$N$7:$N$874,I57,BS_RE33!$P$7:$P$874,'30 days CF Table(JPY)'!G57,BS_RE33!$F$7:$F$874,'30 days CF Table(JPY)'!$C$2)</f>
        <v>0</v>
      </c>
      <c r="V57" s="337">
        <f>SUMIFS(BS_RE33!$H$7:$H$874,BS_RE33!$S$7:$S$874,$V$2,BS_RE33!$N$7:$N$874,I57,BS_RE33!$P$7:$P$874,'30 days CF Table(JPY)'!G57,BS_RE33!$F$7:$F$874,'30 days CF Table(JPY)'!$C$2)</f>
        <v>0</v>
      </c>
      <c r="W57" s="337">
        <f>SUMIFS(BS_RE33!$H$7:$H$874,BS_RE33!$S$7:$S$874,$W$2,BS_RE33!$N$7:$N$874,I57,BS_RE33!$P$7:$P$874,'30 days CF Table(JPY)'!G57,BS_RE33!$F$7:$F$874,'30 days CF Table(JPY)'!$C$2)</f>
        <v>0</v>
      </c>
      <c r="X57" s="337">
        <f>SUMIFS(BS_RE33!$H$7:$H$874,BS_RE33!$S$7:$S$874,$X$2,BS_RE33!$N$7:$N$874,I57,BS_RE33!$P$7:$P$874,'30 days CF Table(JPY)'!G57,BS_RE33!$F$7:$F$874,'30 days CF Table(JPY)'!$C$2)</f>
        <v>0</v>
      </c>
      <c r="Y57" s="337">
        <f>SUMIFS(BS_RE33!$H$7:$H$874,BS_RE33!$S$7:$S$874,$Y$2,BS_RE33!$N$7:$N$874,I57,BS_RE33!$P$7:$P$874,'30 days CF Table(JPY)'!G57,BS_RE33!$F$7:$F$874,'30 days CF Table(JPY)'!$C$2)</f>
        <v>0</v>
      </c>
      <c r="Z57" s="337">
        <f>SUMIFS(BS_RE33!$H$7:$H$874,BS_RE33!$S$7:$S$874,$Z$2,BS_RE33!$N$7:$N$874,I57,BS_RE33!$P$7:$P$874,'30 days CF Table(JPY)'!G57,BS_RE33!$F$7:$F$874,'30 days CF Table(JPY)'!$C$2)</f>
        <v>0</v>
      </c>
      <c r="AA57" s="337">
        <f>SUMIFS(BS_RE33!$H$7:$H$874,BS_RE33!$S$7:$S$874,$AA$2,BS_RE33!$N$7:$N$874,I57,BS_RE33!$P$7:$P$874,'30 days CF Table(JPY)'!G57,BS_RE33!$F$7:$F$874,'30 days CF Table(JPY)'!$C$2)</f>
        <v>0</v>
      </c>
      <c r="AB57" s="337">
        <f>SUMIFS(BS_RE33!$H$7:$H$874,BS_RE33!$S$7:$S$874,$AB$2,BS_RE33!$N$7:$N$874,I57,BS_RE33!$P$7:$P$874,'30 days CF Table(JPY)'!G57,BS_RE33!$F$7:$F$874,'30 days CF Table(JPY)'!$C$2)</f>
        <v>0</v>
      </c>
      <c r="AC57" s="337">
        <f>SUMIFS(BS_RE33!$H$7:$H$874,BS_RE33!$S$7:$S$874,$AC$2,BS_RE33!$N$7:$N$874,I57,BS_RE33!$P$7:$P$874,'30 days CF Table(JPY)'!G57,BS_RE33!$F$7:$F$874,'30 days CF Table(JPY)'!$C$2)</f>
        <v>0</v>
      </c>
      <c r="AD57" s="337">
        <f>SUMIFS(BS_RE33!$H$7:$H$874,BS_RE33!$S$7:$S$874,$AD$2,BS_RE33!$N$7:$N$874,I57,BS_RE33!$P$7:$P$874,'30 days CF Table(JPY)'!G57,BS_RE33!$F$7:$F$874,'30 days CF Table(JPY)'!$C$2)</f>
        <v>0</v>
      </c>
      <c r="AE57" s="337">
        <f>SUMIFS(BS_RE33!$H$7:$H$874,BS_RE33!$S$7:$S$874,$AE$2,BS_RE33!$N$7:$N$874,I57,BS_RE33!$P$7:$P$874,'30 days CF Table(JPY)'!G57,BS_RE33!$F$7:$F$874,'30 days CF Table(JPY)'!$C$2)</f>
        <v>0</v>
      </c>
      <c r="AF57" s="337">
        <f>SUMIFS(BS_RE33!$H$7:$H$874,BS_RE33!$S$7:$S$874,$AF$2,BS_RE33!$N$7:$N$874,I57,BS_RE33!$P$7:$P$874,'30 days CF Table(JPY)'!G57,BS_RE33!$F$7:$F$874,'30 days CF Table(JPY)'!$C$2)</f>
        <v>0</v>
      </c>
      <c r="AG57" s="337">
        <f>SUMIFS(BS_RE33!$H$7:$H$874,BS_RE33!$S$7:$S$874,$AG$2,BS_RE33!$N$7:$N$874,I57,BS_RE33!$P$7:$P$874,'30 days CF Table(JPY)'!G57,BS_RE33!$F$7:$F$874,'30 days CF Table(JPY)'!$C$2)</f>
        <v>0</v>
      </c>
      <c r="AH57" s="337">
        <f>SUMIFS(BS_RE33!$H$7:$H$874,BS_RE33!$S$7:$S$874,$AH$2,BS_RE33!$N$7:$N$874,I57,BS_RE33!$P$7:$P$874,'30 days CF Table(JPY)'!G57,BS_RE33!$F$7:$F$874,'30 days CF Table(JPY)'!$C$2)</f>
        <v>0</v>
      </c>
      <c r="AI57" s="337">
        <f>SUMIFS(BS_RE33!$H$7:$H$874,BS_RE33!$S$7:$S$874,$AI$2,BS_RE33!$N$7:$N$874,I57,BS_RE33!$P$7:$P$874,'30 days CF Table(JPY)'!G57,BS_RE33!$F$7:$F$874,'30 days CF Table(JPY)'!$C$2)</f>
        <v>0</v>
      </c>
      <c r="AJ57" s="337">
        <f>SUMIFS(BS_RE33!$H$7:$H$874,BS_RE33!$S$7:$S$874,$AJ$2,BS_RE33!$N$7:$N$874,I57,BS_RE33!$P$7:$P$874,'30 days CF Table(JPY)'!G57,BS_RE33!$F$7:$F$874,'30 days CF Table(JPY)'!$C$2)</f>
        <v>0</v>
      </c>
      <c r="AK57" s="337">
        <f>SUMIFS(BS_RE33!$H$7:$H$874,BS_RE33!$S$7:$S$874,$AK$2,BS_RE33!$N$7:$N$874,I57,BS_RE33!$P$7:$P$874,'30 days CF Table(JPY)'!G57,BS_RE33!$F$7:$F$874,'30 days CF Table(JPY)'!$C$2)</f>
        <v>0</v>
      </c>
      <c r="AL57" s="337">
        <f>SUMIFS(BS_RE33!$H$7:$H$874,BS_RE33!$S$7:$S$874,$AL$2,BS_RE33!$N$7:$N$874,I57,BS_RE33!$P$7:$P$874,'30 days CF Table(JPY)'!G57,BS_RE33!$F$7:$F$874,'30 days CF Table(JPY)'!$C$2)</f>
        <v>0</v>
      </c>
      <c r="AM57" s="337">
        <f>SUMIFS(BS_RE33!$H$7:$H$874,BS_RE33!$S$7:$S$874,$AM$2,BS_RE33!$N$7:$N$874,I57,BS_RE33!$P$7:$P$874,'30 days CF Table(JPY)'!G57,BS_RE33!$F$7:$F$874,'30 days CF Table(JPY)'!$C$2)</f>
        <v>0</v>
      </c>
      <c r="AN57" s="337">
        <f>SUMIFS(BS_RE33!$H$7:$H$874,BS_RE33!$S$7:$S$874,$AN$2,BS_RE33!$N$7:$N$874,I57,BS_RE33!$P$7:$P$874,'30 days CF Table(JPY)'!G57,BS_RE33!$F$7:$F$874,'30 days CF Table(JPY)'!$C$2)</f>
        <v>0</v>
      </c>
      <c r="AO57" s="337">
        <f>SUMIFS(BS_RE33!$H$7:$H$874,BS_RE33!$S$7:$S$874,$AO$2,BS_RE33!$N$7:$N$874,I57,BS_RE33!$P$7:$P$874,'30 days CF Table(JPY)'!G57,BS_RE33!$F$7:$F$874,'30 days CF Table(JPY)'!$C$2)</f>
        <v>0</v>
      </c>
      <c r="AP57" s="338">
        <f>SUMIFS(BS_RE33!$H$7:$H$874,BS_RE33!$S$7:$S$874,$AP$2,BS_RE33!$N$7:$N$874,I57,BS_RE33!$P$7:$P$874,'30 days CF Table(JPY)'!G57,BS_RE33!$F$7:$F$874,'30 days CF Table(JPY)'!$C$2)</f>
        <v>0</v>
      </c>
      <c r="AR57" s="379">
        <f>SUMIFS(BS_RE33!$H$7:$H$874,BS_RE33!$S$7:$S$874,$AR$2,BS_RE33!$N$7:$N$874,I57,BS_RE33!$P$7:$P$874,'30 days CF Table(JPY)'!G57,BS_RE33!$F$7:$F$874,'30 days CF Table(JPY)'!$C$2)</f>
        <v>0</v>
      </c>
      <c r="AS57" s="379">
        <f>SUMIFS(BS_RE33!$H$7:$H$874,BS_RE33!$S$7:$S$874,$AS$2,BS_RE33!$N$7:$N$874,I57,BS_RE33!$P$7:$P$874,'30 days CF Table(JPY)'!G57,BS_RE33!$F$7:$F$874,'30 days CF Table(JPY)'!$C$2)</f>
        <v>0</v>
      </c>
      <c r="AT57" s="379">
        <f>SUMIFS(BS_RE33!$H$7:$H$874,BS_RE33!$S$7:$S$874,$AT$2,BS_RE33!$N$7:$N$874,I57,BS_RE33!$P$7:$P$874,'30 days CF Table(JPY)'!G57,BS_RE33!$F$7:$F$874,'30 days CF Table(JPY)'!$C$2)</f>
        <v>0</v>
      </c>
      <c r="AU57" s="379">
        <f>SUMIFS(BS_RE33!$H$7:$H$874,BS_RE33!$S$7:$S$874,$AU$2,BS_RE33!$N$7:$N$874,I57,BS_RE33!$P$7:$P$874,'30 days CF Table(JPY)'!G57,BS_RE33!$F$7:$F$874,'30 days CF Table(JPY)'!$C$2)</f>
        <v>0</v>
      </c>
      <c r="AV57" s="379">
        <f>SUMIFS(BS_RE33!$H$7:$H$874,BS_RE33!$S$7:$S$874,$AV$2,BS_RE33!$N$7:$N$874,I57,BS_RE33!$P$7:$P$874,'30 days CF Table(JPY)'!G57,BS_RE33!$F$7:$F$874,'30 days CF Table(JPY)'!$C$2)</f>
        <v>0</v>
      </c>
      <c r="AW57" s="379">
        <f>SUMIFS(BS_RE33!$H$7:$H$874,BS_RE33!$S$7:$S$874,$AW$2,BS_RE33!$N$7:$N$874,I57,BS_RE33!$P$7:$P$874,'30 days CF Table(JPY)'!G57,BS_RE33!$F$7:$F$874,'30 days CF Table(JPY)'!$C$2)</f>
        <v>0</v>
      </c>
      <c r="AX57" s="379">
        <f>SUMIFS(BS_RE33!$H$7:$H$874,BS_RE33!$S$7:$S$874,$AX$2,BS_RE33!$N$7:$N$874,I57,BS_RE33!$P$7:$P$874,'30 days CF Table(JPY)'!G57,BS_RE33!$F$7:$F$874,'30 days CF Table(JPY)'!$C$2)</f>
        <v>0</v>
      </c>
      <c r="AY57" s="379">
        <f>SUMIFS(BS_RE33!$H$7:$H$874,BS_RE33!$S$7:$S$874,$AY$2,BS_RE33!$N$7:$N$874,I57,BS_RE33!$P$7:$P$874,'30 days CF Table(JPY)'!G57,BS_RE33!$F$7:$F$874,'30 days CF Table(JPY)'!$C$2)</f>
        <v>0</v>
      </c>
      <c r="AZ57" s="379">
        <f>SUMIFS(BS_RE33!$H$7:$H$874,BS_RE33!$S$7:$S$874,$AZ$2,BS_RE33!$N$7:$N$874,I57,BS_RE33!$P$7:$P$874,'30 days CF Table(JPY)'!G57,BS_RE33!$F$7:$F$874,'30 days CF Table(JPY)'!$C$2)</f>
        <v>0</v>
      </c>
      <c r="BA57" s="379">
        <f>SUMIFS(BS_RE33!$H$7:$H$874,BS_RE33!$S$7:$S$874,$BA$2,BS_RE33!$N$7:$N$874,I57,BS_RE33!$P$7:$P$874,'30 days CF Table(JPY)'!G57,BS_RE33!$F$7:$F$874,'30 days CF Table(JPY)'!$C$2)</f>
        <v>0</v>
      </c>
      <c r="BB57" s="379">
        <f>SUMIFS(BS_RE33!$H$7:$H$874,BS_RE33!$S$7:$S$874,$BB$2,BS_RE33!$N$7:$N$874,I57,BS_RE33!$P$7:$P$874,'30 days CF Table(JPY)'!G57,BS_RE33!$F$7:$F$874,'30 days CF Table(JPY)'!$C$2)</f>
        <v>0</v>
      </c>
      <c r="BC57" s="379">
        <f>SUMIFS(BS_RE33!$H$7:$H$874,BS_RE33!$S$7:$S$874,$BC$2,BS_RE33!$N$7:$N$874,I57,BS_RE33!$P$7:$P$874,'30 days CF Table(JPY)'!G57,BS_RE33!$F$7:$F$874,'30 days CF Table(JPY)'!$C$2)</f>
        <v>0</v>
      </c>
      <c r="BD57" s="379">
        <f>SUMIFS(BS_RE33!$H$7:$H$874,BS_RE33!$S$7:$S$874,$BD$2,BS_RE33!$N$7:$N$874,I57,BS_RE33!$P$7:$P$874,'30 days CF Table(JPY)'!G57,BS_RE33!$F$7:$F$874,'30 days CF Table(JPY)'!$C$2)</f>
        <v>0</v>
      </c>
      <c r="BE57" s="379">
        <f>SUMIFS(BS_RE33!$H$7:$H$874,BS_RE33!$S$7:$S$874,$BE$2,BS_RE33!$N$7:$N$874,I57,BS_RE33!$P$7:$P$874,'30 days CF Table(JPY)'!G57,BS_RE33!$F$7:$F$874,'30 days CF Table(JPY)'!$C$2)</f>
        <v>0</v>
      </c>
      <c r="BF57" s="379">
        <f>SUMIFS(BS_RE33!$H$7:$H$874,BS_RE33!$S$7:$S$874,$BF$2,BS_RE33!$N$7:$N$874,I57,BS_RE33!$P$7:$P$874,'30 days CF Table(JPY)'!G57,BS_RE33!$F$7:$F$874,'30 days CF Table(JPY)'!$C$2)</f>
        <v>0</v>
      </c>
      <c r="BG57" s="379">
        <f>SUMIFS(BS_RE33!$H$7:$H$874,BS_RE33!$S$7:$S$874,$BG$2,BS_RE33!$N$7:$N$874,I57,BS_RE33!$P$7:$P$874,'30 days CF Table(JPY)'!G57,BS_RE33!$F$7:$F$874,'30 days CF Table(JPY)'!$C$2)</f>
        <v>0</v>
      </c>
      <c r="BH57" s="379">
        <f>SUMIFS(BS_RE33!$H$7:$H$874,BS_RE33!$S$7:$S$874,$BH$2,BS_RE33!$N$7:$N$874,I57,BS_RE33!$P$7:$P$874,'30 days CF Table(JPY)'!G57,BS_RE33!$F$7:$F$874,'30 days CF Table(JPY)'!$C$2)</f>
        <v>0</v>
      </c>
      <c r="BI57" s="379">
        <f>SUMIFS(BS_RE33!$H$7:$H$874,BS_RE33!$S$7:$S$874,$BI$2,BS_RE33!$N$7:$N$874,I57,BS_RE33!$P$7:$P$874,'30 days CF Table(JPY)'!G57,BS_RE33!$F$7:$F$874,'30 days CF Table(JPY)'!$C$2)</f>
        <v>0</v>
      </c>
      <c r="BJ57" s="379">
        <f>SUMIFS(BS_RE33!$H$7:$H$874,BS_RE33!$S$7:$S$874,$BJ$2,BS_RE33!$N$7:$N$874,I57,BS_RE33!$P$7:$P$874,'30 days CF Table(JPY)'!G57,BS_RE33!$F$7:$F$874,'30 days CF Table(JPY)'!$C$2)</f>
        <v>0</v>
      </c>
      <c r="BK57" s="379">
        <f>SUMIFS(BS_RE33!$H$7:$H$874,BS_RE33!$S$7:$S$874,$BK$2,BS_RE33!$N$7:$N$874,I57,BS_RE33!$P$7:$P$874,'30 days CF Table(JPY)'!G57,BS_RE33!$F$7:$F$874,'30 days CF Table(JPY)'!$C$2)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Table(JPY)'!G58,BS_RE33!$F$7:$F$874,'30 days CF Table(JPY)'!$C$2)</f>
        <v>0</v>
      </c>
      <c r="M58" s="337">
        <f>SUMIFS(BS_RE33!$H$7:$H$874,BS_RE33!$S$7:$S$874,$M$2,BS_RE33!$N$7:$N$874,I58,BS_RE33!$P$7:$P$874,'30 days CF Table(JPY)'!G58,BS_RE33!$F$7:$F$874,'30 days CF Table(JPY)'!$C$2)</f>
        <v>0</v>
      </c>
      <c r="N58" s="337">
        <f>SUMIFS(BS_RE33!$H$7:$H$874,BS_RE33!$S$7:$S$874,$N$2,BS_RE33!$N$7:$N$874,I58,BS_RE33!$P$7:$P$874,'30 days CF Table(JPY)'!G58,BS_RE33!$F$7:$F$874,'30 days CF Table(JPY)'!$C$2)</f>
        <v>0</v>
      </c>
      <c r="O58" s="337">
        <f>SUMIFS(BS_RE33!$H$7:$H$874,BS_RE33!$S$7:$S$874,$O$2,BS_RE33!$N$7:$N$874,I58,BS_RE33!$P$7:$P$874,'30 days CF Table(JPY)'!G58,BS_RE33!$F$7:$F$874,'30 days CF Table(JPY)'!$C$2)</f>
        <v>0</v>
      </c>
      <c r="P58" s="337">
        <f>SUMIFS(BS_RE33!$H$7:$H$874,BS_RE33!$S$7:$S$874,$P$2,BS_RE33!$N$7:$N$874,I58,BS_RE33!$P$7:$P$874,'30 days CF Table(JPY)'!G58,BS_RE33!$F$7:$F$874,'30 days CF Table(JPY)'!$C$2)</f>
        <v>0</v>
      </c>
      <c r="Q58" s="337">
        <f>SUMIFS(BS_RE33!$H$7:$H$874,BS_RE33!$S$7:$S$874,$Q$2,BS_RE33!$N$7:$N$874,I58,BS_RE33!$P$7:$P$874,'30 days CF Table(JPY)'!G58,BS_RE33!$F$7:$F$874,'30 days CF Table(JPY)'!$C$2)</f>
        <v>0</v>
      </c>
      <c r="R58" s="337">
        <f>SUMIFS(BS_RE33!$H$7:$H$874,BS_RE33!$S$7:$S$874,$R$2,BS_RE33!$N$7:$N$874,I58,BS_RE33!$P$7:$P$874,'30 days CF Table(JPY)'!G58,BS_RE33!$F$7:$F$874,'30 days CF Table(JPY)'!$C$2)</f>
        <v>0</v>
      </c>
      <c r="S58" s="337">
        <f>SUMIFS(BS_RE33!$H$7:$H$874,BS_RE33!$S$7:$S$874,$S$2,BS_RE33!$N$7:$N$874,I58,BS_RE33!$P$7:$P$874,'30 days CF Table(JPY)'!G58,BS_RE33!$F$7:$F$874,'30 days CF Table(JPY)'!$C$2)</f>
        <v>0</v>
      </c>
      <c r="T58" s="337">
        <f>SUMIFS(BS_RE33!$H$7:$H$874,BS_RE33!$S$7:$S$874,$T$2,BS_RE33!$N$7:$N$874,I58,BS_RE33!$P$7:$P$874,'30 days CF Table(JPY)'!G58,BS_RE33!$F$7:$F$874,'30 days CF Table(JPY)'!$C$2)</f>
        <v>0</v>
      </c>
      <c r="U58" s="337">
        <f>SUMIFS(BS_RE33!$H$7:$H$874,BS_RE33!$S$7:$S$874,$U$2,BS_RE33!$N$7:$N$874,I58,BS_RE33!$P$7:$P$874,'30 days CF Table(JPY)'!G58,BS_RE33!$F$7:$F$874,'30 days CF Table(JPY)'!$C$2)</f>
        <v>0</v>
      </c>
      <c r="V58" s="337">
        <f>SUMIFS(BS_RE33!$H$7:$H$874,BS_RE33!$S$7:$S$874,$V$2,BS_RE33!$N$7:$N$874,I58,BS_RE33!$P$7:$P$874,'30 days CF Table(JPY)'!G58,BS_RE33!$F$7:$F$874,'30 days CF Table(JPY)'!$C$2)</f>
        <v>0</v>
      </c>
      <c r="W58" s="337">
        <f>SUMIFS(BS_RE33!$H$7:$H$874,BS_RE33!$S$7:$S$874,$W$2,BS_RE33!$N$7:$N$874,I58,BS_RE33!$P$7:$P$874,'30 days CF Table(JPY)'!G58,BS_RE33!$F$7:$F$874,'30 days CF Table(JPY)'!$C$2)</f>
        <v>0</v>
      </c>
      <c r="X58" s="337">
        <f>SUMIFS(BS_RE33!$H$7:$H$874,BS_RE33!$S$7:$S$874,$X$2,BS_RE33!$N$7:$N$874,I58,BS_RE33!$P$7:$P$874,'30 days CF Table(JPY)'!G58,BS_RE33!$F$7:$F$874,'30 days CF Table(JPY)'!$C$2)</f>
        <v>0</v>
      </c>
      <c r="Y58" s="337">
        <f>SUMIFS(BS_RE33!$H$7:$H$874,BS_RE33!$S$7:$S$874,$Y$2,BS_RE33!$N$7:$N$874,I58,BS_RE33!$P$7:$P$874,'30 days CF Table(JPY)'!G58,BS_RE33!$F$7:$F$874,'30 days CF Table(JPY)'!$C$2)</f>
        <v>0</v>
      </c>
      <c r="Z58" s="337">
        <f>SUMIFS(BS_RE33!$H$7:$H$874,BS_RE33!$S$7:$S$874,$Z$2,BS_RE33!$N$7:$N$874,I58,BS_RE33!$P$7:$P$874,'30 days CF Table(JPY)'!G58,BS_RE33!$F$7:$F$874,'30 days CF Table(JPY)'!$C$2)</f>
        <v>0</v>
      </c>
      <c r="AA58" s="337">
        <f>SUMIFS(BS_RE33!$H$7:$H$874,BS_RE33!$S$7:$S$874,$AA$2,BS_RE33!$N$7:$N$874,I58,BS_RE33!$P$7:$P$874,'30 days CF Table(JPY)'!G58,BS_RE33!$F$7:$F$874,'30 days CF Table(JPY)'!$C$2)</f>
        <v>0</v>
      </c>
      <c r="AB58" s="337">
        <f>SUMIFS(BS_RE33!$H$7:$H$874,BS_RE33!$S$7:$S$874,$AB$2,BS_RE33!$N$7:$N$874,I58,BS_RE33!$P$7:$P$874,'30 days CF Table(JPY)'!G58,BS_RE33!$F$7:$F$874,'30 days CF Table(JPY)'!$C$2)</f>
        <v>0</v>
      </c>
      <c r="AC58" s="337">
        <f>SUMIFS(BS_RE33!$H$7:$H$874,BS_RE33!$S$7:$S$874,$AC$2,BS_RE33!$N$7:$N$874,I58,BS_RE33!$P$7:$P$874,'30 days CF Table(JPY)'!G58,BS_RE33!$F$7:$F$874,'30 days CF Table(JPY)'!$C$2)</f>
        <v>0</v>
      </c>
      <c r="AD58" s="337">
        <f>SUMIFS(BS_RE33!$H$7:$H$874,BS_RE33!$S$7:$S$874,$AD$2,BS_RE33!$N$7:$N$874,I58,BS_RE33!$P$7:$P$874,'30 days CF Table(JPY)'!G58,BS_RE33!$F$7:$F$874,'30 days CF Table(JPY)'!$C$2)</f>
        <v>0</v>
      </c>
      <c r="AE58" s="337">
        <f>SUMIFS(BS_RE33!$H$7:$H$874,BS_RE33!$S$7:$S$874,$AE$2,BS_RE33!$N$7:$N$874,I58,BS_RE33!$P$7:$P$874,'30 days CF Table(JPY)'!G58,BS_RE33!$F$7:$F$874,'30 days CF Table(JPY)'!$C$2)</f>
        <v>0</v>
      </c>
      <c r="AF58" s="337">
        <f>SUMIFS(BS_RE33!$H$7:$H$874,BS_RE33!$S$7:$S$874,$AF$2,BS_RE33!$N$7:$N$874,I58,BS_RE33!$P$7:$P$874,'30 days CF Table(JPY)'!G58,BS_RE33!$F$7:$F$874,'30 days CF Table(JPY)'!$C$2)</f>
        <v>0</v>
      </c>
      <c r="AG58" s="337">
        <f>SUMIFS(BS_RE33!$H$7:$H$874,BS_RE33!$S$7:$S$874,$AG$2,BS_RE33!$N$7:$N$874,I58,BS_RE33!$P$7:$P$874,'30 days CF Table(JPY)'!G58,BS_RE33!$F$7:$F$874,'30 days CF Table(JPY)'!$C$2)</f>
        <v>0</v>
      </c>
      <c r="AH58" s="337">
        <f>SUMIFS(BS_RE33!$H$7:$H$874,BS_RE33!$S$7:$S$874,$AH$2,BS_RE33!$N$7:$N$874,I58,BS_RE33!$P$7:$P$874,'30 days CF Table(JPY)'!G58,BS_RE33!$F$7:$F$874,'30 days CF Table(JPY)'!$C$2)</f>
        <v>0</v>
      </c>
      <c r="AI58" s="337">
        <f>SUMIFS(BS_RE33!$H$7:$H$874,BS_RE33!$S$7:$S$874,$AI$2,BS_RE33!$N$7:$N$874,I58,BS_RE33!$P$7:$P$874,'30 days CF Table(JPY)'!G58,BS_RE33!$F$7:$F$874,'30 days CF Table(JPY)'!$C$2)</f>
        <v>0</v>
      </c>
      <c r="AJ58" s="337">
        <f>SUMIFS(BS_RE33!$H$7:$H$874,BS_RE33!$S$7:$S$874,$AJ$2,BS_RE33!$N$7:$N$874,I58,BS_RE33!$P$7:$P$874,'30 days CF Table(JPY)'!G58,BS_RE33!$F$7:$F$874,'30 days CF Table(JPY)'!$C$2)</f>
        <v>0</v>
      </c>
      <c r="AK58" s="337">
        <f>SUMIFS(BS_RE33!$H$7:$H$874,BS_RE33!$S$7:$S$874,$AK$2,BS_RE33!$N$7:$N$874,I58,BS_RE33!$P$7:$P$874,'30 days CF Table(JPY)'!G58,BS_RE33!$F$7:$F$874,'30 days CF Table(JPY)'!$C$2)</f>
        <v>0</v>
      </c>
      <c r="AL58" s="337">
        <f>SUMIFS(BS_RE33!$H$7:$H$874,BS_RE33!$S$7:$S$874,$AL$2,BS_RE33!$N$7:$N$874,I58,BS_RE33!$P$7:$P$874,'30 days CF Table(JPY)'!G58,BS_RE33!$F$7:$F$874,'30 days CF Table(JPY)'!$C$2)</f>
        <v>0</v>
      </c>
      <c r="AM58" s="337">
        <f>SUMIFS(BS_RE33!$H$7:$H$874,BS_RE33!$S$7:$S$874,$AM$2,BS_RE33!$N$7:$N$874,I58,BS_RE33!$P$7:$P$874,'30 days CF Table(JPY)'!G58,BS_RE33!$F$7:$F$874,'30 days CF Table(JPY)'!$C$2)</f>
        <v>0</v>
      </c>
      <c r="AN58" s="337">
        <f>SUMIFS(BS_RE33!$H$7:$H$874,BS_RE33!$S$7:$S$874,$AN$2,BS_RE33!$N$7:$N$874,I58,BS_RE33!$P$7:$P$874,'30 days CF Table(JPY)'!G58,BS_RE33!$F$7:$F$874,'30 days CF Table(JPY)'!$C$2)</f>
        <v>0</v>
      </c>
      <c r="AO58" s="337">
        <f>SUMIFS(BS_RE33!$H$7:$H$874,BS_RE33!$S$7:$S$874,$AO$2,BS_RE33!$N$7:$N$874,I58,BS_RE33!$P$7:$P$874,'30 days CF Table(JPY)'!G58,BS_RE33!$F$7:$F$874,'30 days CF Table(JPY)'!$C$2)</f>
        <v>0</v>
      </c>
      <c r="AP58" s="338">
        <f>SUMIFS(BS_RE33!$H$7:$H$874,BS_RE33!$S$7:$S$874,$AP$2,BS_RE33!$N$7:$N$874,I58,BS_RE33!$P$7:$P$874,'30 days CF Table(JPY)'!G58,BS_RE33!$F$7:$F$874,'30 days CF Table(JPY)'!$C$2)</f>
        <v>0</v>
      </c>
      <c r="AR58" s="379">
        <f>SUMIFS(BS_RE33!$H$7:$H$874,BS_RE33!$S$7:$S$874,$AR$2,BS_RE33!$N$7:$N$874,I58,BS_RE33!$P$7:$P$874,'30 days CF Table(JPY)'!G58,BS_RE33!$F$7:$F$874,'30 days CF Table(JPY)'!$C$2)</f>
        <v>0</v>
      </c>
      <c r="AS58" s="379">
        <f>SUMIFS(BS_RE33!$H$7:$H$874,BS_RE33!$S$7:$S$874,$AS$2,BS_RE33!$N$7:$N$874,I58,BS_RE33!$P$7:$P$874,'30 days CF Table(JPY)'!G58,BS_RE33!$F$7:$F$874,'30 days CF Table(JPY)'!$C$2)</f>
        <v>0</v>
      </c>
      <c r="AT58" s="379">
        <f>SUMIFS(BS_RE33!$H$7:$H$874,BS_RE33!$S$7:$S$874,$AT$2,BS_RE33!$N$7:$N$874,I58,BS_RE33!$P$7:$P$874,'30 days CF Table(JPY)'!G58,BS_RE33!$F$7:$F$874,'30 days CF Table(JPY)'!$C$2)</f>
        <v>0</v>
      </c>
      <c r="AU58" s="379">
        <f>SUMIFS(BS_RE33!$H$7:$H$874,BS_RE33!$S$7:$S$874,$AU$2,BS_RE33!$N$7:$N$874,I58,BS_RE33!$P$7:$P$874,'30 days CF Table(JPY)'!G58,BS_RE33!$F$7:$F$874,'30 days CF Table(JPY)'!$C$2)</f>
        <v>0</v>
      </c>
      <c r="AV58" s="379">
        <f>SUMIFS(BS_RE33!$H$7:$H$874,BS_RE33!$S$7:$S$874,$AV$2,BS_RE33!$N$7:$N$874,I58,BS_RE33!$P$7:$P$874,'30 days CF Table(JPY)'!G58,BS_RE33!$F$7:$F$874,'30 days CF Table(JPY)'!$C$2)</f>
        <v>0</v>
      </c>
      <c r="AW58" s="379">
        <f>SUMIFS(BS_RE33!$H$7:$H$874,BS_RE33!$S$7:$S$874,$AW$2,BS_RE33!$N$7:$N$874,I58,BS_RE33!$P$7:$P$874,'30 days CF Table(JPY)'!G58,BS_RE33!$F$7:$F$874,'30 days CF Table(JPY)'!$C$2)</f>
        <v>0</v>
      </c>
      <c r="AX58" s="379">
        <f>SUMIFS(BS_RE33!$H$7:$H$874,BS_RE33!$S$7:$S$874,$AX$2,BS_RE33!$N$7:$N$874,I58,BS_RE33!$P$7:$P$874,'30 days CF Table(JPY)'!G58,BS_RE33!$F$7:$F$874,'30 days CF Table(JPY)'!$C$2)</f>
        <v>0</v>
      </c>
      <c r="AY58" s="379">
        <f>SUMIFS(BS_RE33!$H$7:$H$874,BS_RE33!$S$7:$S$874,$AY$2,BS_RE33!$N$7:$N$874,I58,BS_RE33!$P$7:$P$874,'30 days CF Table(JPY)'!G58,BS_RE33!$F$7:$F$874,'30 days CF Table(JPY)'!$C$2)</f>
        <v>0</v>
      </c>
      <c r="AZ58" s="379">
        <f>SUMIFS(BS_RE33!$H$7:$H$874,BS_RE33!$S$7:$S$874,$AZ$2,BS_RE33!$N$7:$N$874,I58,BS_RE33!$P$7:$P$874,'30 days CF Table(JPY)'!G58,BS_RE33!$F$7:$F$874,'30 days CF Table(JPY)'!$C$2)</f>
        <v>0</v>
      </c>
      <c r="BA58" s="379">
        <f>SUMIFS(BS_RE33!$H$7:$H$874,BS_RE33!$S$7:$S$874,$BA$2,BS_RE33!$N$7:$N$874,I58,BS_RE33!$P$7:$P$874,'30 days CF Table(JPY)'!G58,BS_RE33!$F$7:$F$874,'30 days CF Table(JPY)'!$C$2)</f>
        <v>0</v>
      </c>
      <c r="BB58" s="379">
        <f>SUMIFS(BS_RE33!$H$7:$H$874,BS_RE33!$S$7:$S$874,$BB$2,BS_RE33!$N$7:$N$874,I58,BS_RE33!$P$7:$P$874,'30 days CF Table(JPY)'!G58,BS_RE33!$F$7:$F$874,'30 days CF Table(JPY)'!$C$2)</f>
        <v>0</v>
      </c>
      <c r="BC58" s="379">
        <f>SUMIFS(BS_RE33!$H$7:$H$874,BS_RE33!$S$7:$S$874,$BC$2,BS_RE33!$N$7:$N$874,I58,BS_RE33!$P$7:$P$874,'30 days CF Table(JPY)'!G58,BS_RE33!$F$7:$F$874,'30 days CF Table(JPY)'!$C$2)</f>
        <v>0</v>
      </c>
      <c r="BD58" s="379">
        <f>SUMIFS(BS_RE33!$H$7:$H$874,BS_RE33!$S$7:$S$874,$BD$2,BS_RE33!$N$7:$N$874,I58,BS_RE33!$P$7:$P$874,'30 days CF Table(JPY)'!G58,BS_RE33!$F$7:$F$874,'30 days CF Table(JPY)'!$C$2)</f>
        <v>0</v>
      </c>
      <c r="BE58" s="379">
        <f>SUMIFS(BS_RE33!$H$7:$H$874,BS_RE33!$S$7:$S$874,$BE$2,BS_RE33!$N$7:$N$874,I58,BS_RE33!$P$7:$P$874,'30 days CF Table(JPY)'!G58,BS_RE33!$F$7:$F$874,'30 days CF Table(JPY)'!$C$2)</f>
        <v>0</v>
      </c>
      <c r="BF58" s="379">
        <f>SUMIFS(BS_RE33!$H$7:$H$874,BS_RE33!$S$7:$S$874,$BF$2,BS_RE33!$N$7:$N$874,I58,BS_RE33!$P$7:$P$874,'30 days CF Table(JPY)'!G58,BS_RE33!$F$7:$F$874,'30 days CF Table(JPY)'!$C$2)</f>
        <v>0</v>
      </c>
      <c r="BG58" s="379">
        <f>SUMIFS(BS_RE33!$H$7:$H$874,BS_RE33!$S$7:$S$874,$BG$2,BS_RE33!$N$7:$N$874,I58,BS_RE33!$P$7:$P$874,'30 days CF Table(JPY)'!G58,BS_RE33!$F$7:$F$874,'30 days CF Table(JPY)'!$C$2)</f>
        <v>0</v>
      </c>
      <c r="BH58" s="379">
        <f>SUMIFS(BS_RE33!$H$7:$H$874,BS_RE33!$S$7:$S$874,$BH$2,BS_RE33!$N$7:$N$874,I58,BS_RE33!$P$7:$P$874,'30 days CF Table(JPY)'!G58,BS_RE33!$F$7:$F$874,'30 days CF Table(JPY)'!$C$2)</f>
        <v>0</v>
      </c>
      <c r="BI58" s="379">
        <f>SUMIFS(BS_RE33!$H$7:$H$874,BS_RE33!$S$7:$S$874,$BI$2,BS_RE33!$N$7:$N$874,I58,BS_RE33!$P$7:$P$874,'30 days CF Table(JPY)'!G58,BS_RE33!$F$7:$F$874,'30 days CF Table(JPY)'!$C$2)</f>
        <v>0</v>
      </c>
      <c r="BJ58" s="379">
        <f>SUMIFS(BS_RE33!$H$7:$H$874,BS_RE33!$S$7:$S$874,$BJ$2,BS_RE33!$N$7:$N$874,I58,BS_RE33!$P$7:$P$874,'30 days CF Table(JPY)'!G58,BS_RE33!$F$7:$F$874,'30 days CF Table(JPY)'!$C$2)</f>
        <v>0</v>
      </c>
      <c r="BK58" s="379">
        <f>SUMIFS(BS_RE33!$H$7:$H$874,BS_RE33!$S$7:$S$874,$BK$2,BS_RE33!$N$7:$N$874,I58,BS_RE33!$P$7:$P$874,'30 days CF Table(JPY)'!G58,BS_RE33!$F$7:$F$874,'30 days CF Table(JPY)'!$C$2)</f>
        <v>0</v>
      </c>
    </row>
    <row r="59" spans="3:63">
      <c r="C59" s="1027"/>
      <c r="D59" s="1039"/>
      <c r="E59" s="105" t="s">
        <v>96</v>
      </c>
      <c r="F59" s="312" t="s">
        <v>493</v>
      </c>
      <c r="G59" s="392" t="s">
        <v>1249</v>
      </c>
      <c r="H59" s="317">
        <v>0.4</v>
      </c>
      <c r="I59" s="315" t="s">
        <v>80</v>
      </c>
      <c r="J59" s="479">
        <f t="shared" si="2"/>
        <v>0</v>
      </c>
      <c r="K59" s="336">
        <f t="shared" si="3"/>
        <v>0</v>
      </c>
      <c r="L59" s="337">
        <f>SUMIFS(BS_RE33!$H$7:$H$874,BS_RE33!$S$7:$S$874,$L$2,BS_RE33!$N$7:$N$874,I59,BS_RE33!$P$7:$P$874,'30 days CF Table(JPY)'!G59,BS_RE33!$F$7:$F$874,'30 days CF Table(JPY)'!$C$2)</f>
        <v>0</v>
      </c>
      <c r="M59" s="337">
        <f>SUMIFS(BS_RE33!$H$7:$H$874,BS_RE33!$S$7:$S$874,$M$2,BS_RE33!$N$7:$N$874,I59,BS_RE33!$P$7:$P$874,'30 days CF Table(JPY)'!G59,BS_RE33!$F$7:$F$874,'30 days CF Table(JPY)'!$C$2)</f>
        <v>0</v>
      </c>
      <c r="N59" s="337">
        <f>SUMIFS(BS_RE33!$H$7:$H$874,BS_RE33!$S$7:$S$874,$N$2,BS_RE33!$N$7:$N$874,I59,BS_RE33!$P$7:$P$874,'30 days CF Table(JPY)'!G59,BS_RE33!$F$7:$F$874,'30 days CF Table(JPY)'!$C$2)</f>
        <v>0</v>
      </c>
      <c r="O59" s="337">
        <f>SUMIFS(BS_RE33!$H$7:$H$874,BS_RE33!$S$7:$S$874,$O$2,BS_RE33!$N$7:$N$874,I59,BS_RE33!$P$7:$P$874,'30 days CF Table(JPY)'!G59,BS_RE33!$F$7:$F$874,'30 days CF Table(JPY)'!$C$2)</f>
        <v>0</v>
      </c>
      <c r="P59" s="337">
        <f>SUMIFS(BS_RE33!$H$7:$H$874,BS_RE33!$S$7:$S$874,$P$2,BS_RE33!$N$7:$N$874,I59,BS_RE33!$P$7:$P$874,'30 days CF Table(JPY)'!G59,BS_RE33!$F$7:$F$874,'30 days CF Table(JPY)'!$C$2)</f>
        <v>0</v>
      </c>
      <c r="Q59" s="337">
        <f>SUMIFS(BS_RE33!$H$7:$H$874,BS_RE33!$S$7:$S$874,$Q$2,BS_RE33!$N$7:$N$874,I59,BS_RE33!$P$7:$P$874,'30 days CF Table(JPY)'!G59,BS_RE33!$F$7:$F$874,'30 days CF Table(JPY)'!$C$2)</f>
        <v>0</v>
      </c>
      <c r="R59" s="337">
        <f>SUMIFS(BS_RE33!$H$7:$H$874,BS_RE33!$S$7:$S$874,$R$2,BS_RE33!$N$7:$N$874,I59,BS_RE33!$P$7:$P$874,'30 days CF Table(JPY)'!G59,BS_RE33!$F$7:$F$874,'30 days CF Table(JPY)'!$C$2)</f>
        <v>0</v>
      </c>
      <c r="S59" s="337">
        <f>SUMIFS(BS_RE33!$H$7:$H$874,BS_RE33!$S$7:$S$874,$S$2,BS_RE33!$N$7:$N$874,I59,BS_RE33!$P$7:$P$874,'30 days CF Table(JPY)'!G59,BS_RE33!$F$7:$F$874,'30 days CF Table(JPY)'!$C$2)</f>
        <v>0</v>
      </c>
      <c r="T59" s="337">
        <f>SUMIFS(BS_RE33!$H$7:$H$874,BS_RE33!$S$7:$S$874,$T$2,BS_RE33!$N$7:$N$874,I59,BS_RE33!$P$7:$P$874,'30 days CF Table(JPY)'!G59,BS_RE33!$F$7:$F$874,'30 days CF Table(JPY)'!$C$2)</f>
        <v>0</v>
      </c>
      <c r="U59" s="337">
        <f>SUMIFS(BS_RE33!$H$7:$H$874,BS_RE33!$S$7:$S$874,$U$2,BS_RE33!$N$7:$N$874,I59,BS_RE33!$P$7:$P$874,'30 days CF Table(JPY)'!G59,BS_RE33!$F$7:$F$874,'30 days CF Table(JPY)'!$C$2)</f>
        <v>0</v>
      </c>
      <c r="V59" s="337">
        <f>SUMIFS(BS_RE33!$H$7:$H$874,BS_RE33!$S$7:$S$874,$V$2,BS_RE33!$N$7:$N$874,I59,BS_RE33!$P$7:$P$874,'30 days CF Table(JPY)'!G59,BS_RE33!$F$7:$F$874,'30 days CF Table(JPY)'!$C$2)</f>
        <v>0</v>
      </c>
      <c r="W59" s="337">
        <f>SUMIFS(BS_RE33!$H$7:$H$874,BS_RE33!$S$7:$S$874,$W$2,BS_RE33!$N$7:$N$874,I59,BS_RE33!$P$7:$P$874,'30 days CF Table(JPY)'!G59,BS_RE33!$F$7:$F$874,'30 days CF Table(JPY)'!$C$2)</f>
        <v>0</v>
      </c>
      <c r="X59" s="337">
        <f>SUMIFS(BS_RE33!$H$7:$H$874,BS_RE33!$S$7:$S$874,$X$2,BS_RE33!$N$7:$N$874,I59,BS_RE33!$P$7:$P$874,'30 days CF Table(JPY)'!G59,BS_RE33!$F$7:$F$874,'30 days CF Table(JPY)'!$C$2)</f>
        <v>0</v>
      </c>
      <c r="Y59" s="337">
        <f>SUMIFS(BS_RE33!$H$7:$H$874,BS_RE33!$S$7:$S$874,$Y$2,BS_RE33!$N$7:$N$874,I59,BS_RE33!$P$7:$P$874,'30 days CF Table(JPY)'!G59,BS_RE33!$F$7:$F$874,'30 days CF Table(JPY)'!$C$2)</f>
        <v>0</v>
      </c>
      <c r="Z59" s="337">
        <f>SUMIFS(BS_RE33!$H$7:$H$874,BS_RE33!$S$7:$S$874,$Z$2,BS_RE33!$N$7:$N$874,I59,BS_RE33!$P$7:$P$874,'30 days CF Table(JPY)'!G59,BS_RE33!$F$7:$F$874,'30 days CF Table(JPY)'!$C$2)</f>
        <v>0</v>
      </c>
      <c r="AA59" s="337">
        <f>SUMIFS(BS_RE33!$H$7:$H$874,BS_RE33!$S$7:$S$874,$AA$2,BS_RE33!$N$7:$N$874,I59,BS_RE33!$P$7:$P$874,'30 days CF Table(JPY)'!G59,BS_RE33!$F$7:$F$874,'30 days CF Table(JPY)'!$C$2)</f>
        <v>0</v>
      </c>
      <c r="AB59" s="337">
        <f>SUMIFS(BS_RE33!$H$7:$H$874,BS_RE33!$S$7:$S$874,$AB$2,BS_RE33!$N$7:$N$874,I59,BS_RE33!$P$7:$P$874,'30 days CF Table(JPY)'!G59,BS_RE33!$F$7:$F$874,'30 days CF Table(JPY)'!$C$2)</f>
        <v>0</v>
      </c>
      <c r="AC59" s="337">
        <f>SUMIFS(BS_RE33!$H$7:$H$874,BS_RE33!$S$7:$S$874,$AC$2,BS_RE33!$N$7:$N$874,I59,BS_RE33!$P$7:$P$874,'30 days CF Table(JPY)'!G59,BS_RE33!$F$7:$F$874,'30 days CF Table(JPY)'!$C$2)</f>
        <v>0</v>
      </c>
      <c r="AD59" s="337">
        <f>SUMIFS(BS_RE33!$H$7:$H$874,BS_RE33!$S$7:$S$874,$AD$2,BS_RE33!$N$7:$N$874,I59,BS_RE33!$P$7:$P$874,'30 days CF Table(JPY)'!G59,BS_RE33!$F$7:$F$874,'30 days CF Table(JPY)'!$C$2)</f>
        <v>0</v>
      </c>
      <c r="AE59" s="337">
        <f>SUMIFS(BS_RE33!$H$7:$H$874,BS_RE33!$S$7:$S$874,$AE$2,BS_RE33!$N$7:$N$874,I59,BS_RE33!$P$7:$P$874,'30 days CF Table(JPY)'!G59,BS_RE33!$F$7:$F$874,'30 days CF Table(JPY)'!$C$2)</f>
        <v>0</v>
      </c>
      <c r="AF59" s="337">
        <f>SUMIFS(BS_RE33!$H$7:$H$874,BS_RE33!$S$7:$S$874,$AF$2,BS_RE33!$N$7:$N$874,I59,BS_RE33!$P$7:$P$874,'30 days CF Table(JPY)'!G59,BS_RE33!$F$7:$F$874,'30 days CF Table(JPY)'!$C$2)</f>
        <v>0</v>
      </c>
      <c r="AG59" s="337">
        <f>SUMIFS(BS_RE33!$H$7:$H$874,BS_RE33!$S$7:$S$874,$AG$2,BS_RE33!$N$7:$N$874,I59,BS_RE33!$P$7:$P$874,'30 days CF Table(JPY)'!G59,BS_RE33!$F$7:$F$874,'30 days CF Table(JPY)'!$C$2)</f>
        <v>0</v>
      </c>
      <c r="AH59" s="337">
        <f>SUMIFS(BS_RE33!$H$7:$H$874,BS_RE33!$S$7:$S$874,$AH$2,BS_RE33!$N$7:$N$874,I59,BS_RE33!$P$7:$P$874,'30 days CF Table(JPY)'!G59,BS_RE33!$F$7:$F$874,'30 days CF Table(JPY)'!$C$2)</f>
        <v>0</v>
      </c>
      <c r="AI59" s="337">
        <f>SUMIFS(BS_RE33!$H$7:$H$874,BS_RE33!$S$7:$S$874,$AI$2,BS_RE33!$N$7:$N$874,I59,BS_RE33!$P$7:$P$874,'30 days CF Table(JPY)'!G59,BS_RE33!$F$7:$F$874,'30 days CF Table(JPY)'!$C$2)</f>
        <v>0</v>
      </c>
      <c r="AJ59" s="337">
        <f>SUMIFS(BS_RE33!$H$7:$H$874,BS_RE33!$S$7:$S$874,$AJ$2,BS_RE33!$N$7:$N$874,I59,BS_RE33!$P$7:$P$874,'30 days CF Table(JPY)'!G59,BS_RE33!$F$7:$F$874,'30 days CF Table(JPY)'!$C$2)</f>
        <v>0</v>
      </c>
      <c r="AK59" s="337">
        <f>SUMIFS(BS_RE33!$H$7:$H$874,BS_RE33!$S$7:$S$874,$AK$2,BS_RE33!$N$7:$N$874,I59,BS_RE33!$P$7:$P$874,'30 days CF Table(JPY)'!G59,BS_RE33!$F$7:$F$874,'30 days CF Table(JPY)'!$C$2)</f>
        <v>0</v>
      </c>
      <c r="AL59" s="337">
        <f>SUMIFS(BS_RE33!$H$7:$H$874,BS_RE33!$S$7:$S$874,$AL$2,BS_RE33!$N$7:$N$874,I59,BS_RE33!$P$7:$P$874,'30 days CF Table(JPY)'!G59,BS_RE33!$F$7:$F$874,'30 days CF Table(JPY)'!$C$2)</f>
        <v>0</v>
      </c>
      <c r="AM59" s="337">
        <f>SUMIFS(BS_RE33!$H$7:$H$874,BS_RE33!$S$7:$S$874,$AM$2,BS_RE33!$N$7:$N$874,I59,BS_RE33!$P$7:$P$874,'30 days CF Table(JPY)'!G59,BS_RE33!$F$7:$F$874,'30 days CF Table(JPY)'!$C$2)</f>
        <v>0</v>
      </c>
      <c r="AN59" s="337">
        <f>SUMIFS(BS_RE33!$H$7:$H$874,BS_RE33!$S$7:$S$874,$AN$2,BS_RE33!$N$7:$N$874,I59,BS_RE33!$P$7:$P$874,'30 days CF Table(JPY)'!G59,BS_RE33!$F$7:$F$874,'30 days CF Table(JPY)'!$C$2)</f>
        <v>0</v>
      </c>
      <c r="AO59" s="337">
        <f>SUMIFS(BS_RE33!$H$7:$H$874,BS_RE33!$S$7:$S$874,$AO$2,BS_RE33!$N$7:$N$874,I59,BS_RE33!$P$7:$P$874,'30 days CF Table(JPY)'!G59,BS_RE33!$F$7:$F$874,'30 days CF Table(JPY)'!$C$2)</f>
        <v>0</v>
      </c>
      <c r="AP59" s="338">
        <f>SUMIFS(BS_RE33!$H$7:$H$874,BS_RE33!$S$7:$S$874,$AP$2,BS_RE33!$N$7:$N$874,I59,BS_RE33!$P$7:$P$874,'30 days CF Table(JPY)'!G59,BS_RE33!$F$7:$F$874,'30 days CF Table(JPY)'!$C$2)</f>
        <v>0</v>
      </c>
      <c r="AR59" s="379">
        <f>SUMIFS(BS_RE33!$H$7:$H$874,BS_RE33!$S$7:$S$874,$AR$2,BS_RE33!$N$7:$N$874,I59,BS_RE33!$P$7:$P$874,'30 days CF Table(JPY)'!G59,BS_RE33!$F$7:$F$874,'30 days CF Table(JPY)'!$C$2)</f>
        <v>0</v>
      </c>
      <c r="AS59" s="379">
        <f>SUMIFS(BS_RE33!$H$7:$H$874,BS_RE33!$S$7:$S$874,$AS$2,BS_RE33!$N$7:$N$874,I59,BS_RE33!$P$7:$P$874,'30 days CF Table(JPY)'!G59,BS_RE33!$F$7:$F$874,'30 days CF Table(JPY)'!$C$2)</f>
        <v>0</v>
      </c>
      <c r="AT59" s="379">
        <f>SUMIFS(BS_RE33!$H$7:$H$874,BS_RE33!$S$7:$S$874,$AT$2,BS_RE33!$N$7:$N$874,I59,BS_RE33!$P$7:$P$874,'30 days CF Table(JPY)'!G59,BS_RE33!$F$7:$F$874,'30 days CF Table(JPY)'!$C$2)</f>
        <v>0</v>
      </c>
      <c r="AU59" s="379">
        <f>SUMIFS(BS_RE33!$H$7:$H$874,BS_RE33!$S$7:$S$874,$AU$2,BS_RE33!$N$7:$N$874,I59,BS_RE33!$P$7:$P$874,'30 days CF Table(JPY)'!G59,BS_RE33!$F$7:$F$874,'30 days CF Table(JPY)'!$C$2)</f>
        <v>0</v>
      </c>
      <c r="AV59" s="379">
        <f>SUMIFS(BS_RE33!$H$7:$H$874,BS_RE33!$S$7:$S$874,$AV$2,BS_RE33!$N$7:$N$874,I59,BS_RE33!$P$7:$P$874,'30 days CF Table(JPY)'!G59,BS_RE33!$F$7:$F$874,'30 days CF Table(JPY)'!$C$2)</f>
        <v>0</v>
      </c>
      <c r="AW59" s="379">
        <f>SUMIFS(BS_RE33!$H$7:$H$874,BS_RE33!$S$7:$S$874,$AW$2,BS_RE33!$N$7:$N$874,I59,BS_RE33!$P$7:$P$874,'30 days CF Table(JPY)'!G59,BS_RE33!$F$7:$F$874,'30 days CF Table(JPY)'!$C$2)</f>
        <v>0</v>
      </c>
      <c r="AX59" s="379">
        <f>SUMIFS(BS_RE33!$H$7:$H$874,BS_RE33!$S$7:$S$874,$AX$2,BS_RE33!$N$7:$N$874,I59,BS_RE33!$P$7:$P$874,'30 days CF Table(JPY)'!G59,BS_RE33!$F$7:$F$874,'30 days CF Table(JPY)'!$C$2)</f>
        <v>0</v>
      </c>
      <c r="AY59" s="379">
        <f>SUMIFS(BS_RE33!$H$7:$H$874,BS_RE33!$S$7:$S$874,$AY$2,BS_RE33!$N$7:$N$874,I59,BS_RE33!$P$7:$P$874,'30 days CF Table(JPY)'!G59,BS_RE33!$F$7:$F$874,'30 days CF Table(JPY)'!$C$2)</f>
        <v>0</v>
      </c>
      <c r="AZ59" s="379">
        <f>SUMIFS(BS_RE33!$H$7:$H$874,BS_RE33!$S$7:$S$874,$AZ$2,BS_RE33!$N$7:$N$874,I59,BS_RE33!$P$7:$P$874,'30 days CF Table(JPY)'!G59,BS_RE33!$F$7:$F$874,'30 days CF Table(JPY)'!$C$2)</f>
        <v>0</v>
      </c>
      <c r="BA59" s="379">
        <f>SUMIFS(BS_RE33!$H$7:$H$874,BS_RE33!$S$7:$S$874,$BA$2,BS_RE33!$N$7:$N$874,I59,BS_RE33!$P$7:$P$874,'30 days CF Table(JPY)'!G59,BS_RE33!$F$7:$F$874,'30 days CF Table(JPY)'!$C$2)</f>
        <v>0</v>
      </c>
      <c r="BB59" s="379">
        <f>SUMIFS(BS_RE33!$H$7:$H$874,BS_RE33!$S$7:$S$874,$BB$2,BS_RE33!$N$7:$N$874,I59,BS_RE33!$P$7:$P$874,'30 days CF Table(JPY)'!G59,BS_RE33!$F$7:$F$874,'30 days CF Table(JPY)'!$C$2)</f>
        <v>0</v>
      </c>
      <c r="BC59" s="379">
        <f>SUMIFS(BS_RE33!$H$7:$H$874,BS_RE33!$S$7:$S$874,$BC$2,BS_RE33!$N$7:$N$874,I59,BS_RE33!$P$7:$P$874,'30 days CF Table(JPY)'!G59,BS_RE33!$F$7:$F$874,'30 days CF Table(JPY)'!$C$2)</f>
        <v>0</v>
      </c>
      <c r="BD59" s="379">
        <f>SUMIFS(BS_RE33!$H$7:$H$874,BS_RE33!$S$7:$S$874,$BD$2,BS_RE33!$N$7:$N$874,I59,BS_RE33!$P$7:$P$874,'30 days CF Table(JPY)'!G59,BS_RE33!$F$7:$F$874,'30 days CF Table(JPY)'!$C$2)</f>
        <v>0</v>
      </c>
      <c r="BE59" s="379">
        <f>SUMIFS(BS_RE33!$H$7:$H$874,BS_RE33!$S$7:$S$874,$BE$2,BS_RE33!$N$7:$N$874,I59,BS_RE33!$P$7:$P$874,'30 days CF Table(JPY)'!G59,BS_RE33!$F$7:$F$874,'30 days CF Table(JPY)'!$C$2)</f>
        <v>0</v>
      </c>
      <c r="BF59" s="379">
        <f>SUMIFS(BS_RE33!$H$7:$H$874,BS_RE33!$S$7:$S$874,$BF$2,BS_RE33!$N$7:$N$874,I59,BS_RE33!$P$7:$P$874,'30 days CF Table(JPY)'!G59,BS_RE33!$F$7:$F$874,'30 days CF Table(JPY)'!$C$2)</f>
        <v>0</v>
      </c>
      <c r="BG59" s="379">
        <f>SUMIFS(BS_RE33!$H$7:$H$874,BS_RE33!$S$7:$S$874,$BG$2,BS_RE33!$N$7:$N$874,I59,BS_RE33!$P$7:$P$874,'30 days CF Table(JPY)'!G59,BS_RE33!$F$7:$F$874,'30 days CF Table(JPY)'!$C$2)</f>
        <v>0</v>
      </c>
      <c r="BH59" s="379">
        <f>SUMIFS(BS_RE33!$H$7:$H$874,BS_RE33!$S$7:$S$874,$BH$2,BS_RE33!$N$7:$N$874,I59,BS_RE33!$P$7:$P$874,'30 days CF Table(JPY)'!G59,BS_RE33!$F$7:$F$874,'30 days CF Table(JPY)'!$C$2)</f>
        <v>0</v>
      </c>
      <c r="BI59" s="379">
        <f>SUMIFS(BS_RE33!$H$7:$H$874,BS_RE33!$S$7:$S$874,$BI$2,BS_RE33!$N$7:$N$874,I59,BS_RE33!$P$7:$P$874,'30 days CF Table(JPY)'!G59,BS_RE33!$F$7:$F$874,'30 days CF Table(JPY)'!$C$2)</f>
        <v>0</v>
      </c>
      <c r="BJ59" s="379">
        <f>SUMIFS(BS_RE33!$H$7:$H$874,BS_RE33!$S$7:$S$874,$BJ$2,BS_RE33!$N$7:$N$874,I59,BS_RE33!$P$7:$P$874,'30 days CF Table(JPY)'!G59,BS_RE33!$F$7:$F$874,'30 days CF Table(JPY)'!$C$2)</f>
        <v>0</v>
      </c>
      <c r="BK59" s="379">
        <f>SUMIFS(BS_RE33!$H$7:$H$874,BS_RE33!$S$7:$S$874,$BK$2,BS_RE33!$N$7:$N$874,I59,BS_RE33!$P$7:$P$874,'30 days CF Table(JPY)'!G59,BS_RE33!$F$7:$F$874,'30 days CF Table(JPY)'!$C$2)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Table(JPY)'!G60,BS_RE33!$F$7:$F$874,'30 days CF Table(JPY)'!$C$2)</f>
        <v>0</v>
      </c>
      <c r="M60" s="337">
        <f>SUMIFS(BS_RE33!$H$7:$H$874,BS_RE33!$S$7:$S$874,$M$2,BS_RE33!$N$7:$N$874,I60,BS_RE33!$P$7:$P$874,'30 days CF Table(JPY)'!G60,BS_RE33!$F$7:$F$874,'30 days CF Table(JPY)'!$C$2)</f>
        <v>0</v>
      </c>
      <c r="N60" s="337">
        <f>SUMIFS(BS_RE33!$H$7:$H$874,BS_RE33!$S$7:$S$874,$N$2,BS_RE33!$N$7:$N$874,I60,BS_RE33!$P$7:$P$874,'30 days CF Table(JPY)'!G60,BS_RE33!$F$7:$F$874,'30 days CF Table(JPY)'!$C$2)</f>
        <v>0</v>
      </c>
      <c r="O60" s="337">
        <f>SUMIFS(BS_RE33!$H$7:$H$874,BS_RE33!$S$7:$S$874,$O$2,BS_RE33!$N$7:$N$874,I60,BS_RE33!$P$7:$P$874,'30 days CF Table(JPY)'!G60,BS_RE33!$F$7:$F$874,'30 days CF Table(JPY)'!$C$2)</f>
        <v>0</v>
      </c>
      <c r="P60" s="337">
        <f>SUMIFS(BS_RE33!$H$7:$H$874,BS_RE33!$S$7:$S$874,$P$2,BS_RE33!$N$7:$N$874,I60,BS_RE33!$P$7:$P$874,'30 days CF Table(JPY)'!G60,BS_RE33!$F$7:$F$874,'30 days CF Table(JPY)'!$C$2)</f>
        <v>0</v>
      </c>
      <c r="Q60" s="337">
        <f>SUMIFS(BS_RE33!$H$7:$H$874,BS_RE33!$S$7:$S$874,$Q$2,BS_RE33!$N$7:$N$874,I60,BS_RE33!$P$7:$P$874,'30 days CF Table(JPY)'!G60,BS_RE33!$F$7:$F$874,'30 days CF Table(JPY)'!$C$2)</f>
        <v>0</v>
      </c>
      <c r="R60" s="337">
        <f>SUMIFS(BS_RE33!$H$7:$H$874,BS_RE33!$S$7:$S$874,$R$2,BS_RE33!$N$7:$N$874,I60,BS_RE33!$P$7:$P$874,'30 days CF Table(JPY)'!G60,BS_RE33!$F$7:$F$874,'30 days CF Table(JPY)'!$C$2)</f>
        <v>0</v>
      </c>
      <c r="S60" s="337">
        <f>SUMIFS(BS_RE33!$H$7:$H$874,BS_RE33!$S$7:$S$874,$S$2,BS_RE33!$N$7:$N$874,I60,BS_RE33!$P$7:$P$874,'30 days CF Table(JPY)'!G60,BS_RE33!$F$7:$F$874,'30 days CF Table(JPY)'!$C$2)</f>
        <v>0</v>
      </c>
      <c r="T60" s="337">
        <f>SUMIFS(BS_RE33!$H$7:$H$874,BS_RE33!$S$7:$S$874,$T$2,BS_RE33!$N$7:$N$874,I60,BS_RE33!$P$7:$P$874,'30 days CF Table(JPY)'!G60,BS_RE33!$F$7:$F$874,'30 days CF Table(JPY)'!$C$2)</f>
        <v>0</v>
      </c>
      <c r="U60" s="337">
        <f>SUMIFS(BS_RE33!$H$7:$H$874,BS_RE33!$S$7:$S$874,$U$2,BS_RE33!$N$7:$N$874,I60,BS_RE33!$P$7:$P$874,'30 days CF Table(JPY)'!G60,BS_RE33!$F$7:$F$874,'30 days CF Table(JPY)'!$C$2)</f>
        <v>0</v>
      </c>
      <c r="V60" s="337">
        <f>SUMIFS(BS_RE33!$H$7:$H$874,BS_RE33!$S$7:$S$874,$V$2,BS_RE33!$N$7:$N$874,I60,BS_RE33!$P$7:$P$874,'30 days CF Table(JPY)'!G60,BS_RE33!$F$7:$F$874,'30 days CF Table(JPY)'!$C$2)</f>
        <v>0</v>
      </c>
      <c r="W60" s="337">
        <f>SUMIFS(BS_RE33!$H$7:$H$874,BS_RE33!$S$7:$S$874,$W$2,BS_RE33!$N$7:$N$874,I60,BS_RE33!$P$7:$P$874,'30 days CF Table(JPY)'!G60,BS_RE33!$F$7:$F$874,'30 days CF Table(JPY)'!$C$2)</f>
        <v>0</v>
      </c>
      <c r="X60" s="337">
        <f>SUMIFS(BS_RE33!$H$7:$H$874,BS_RE33!$S$7:$S$874,$X$2,BS_RE33!$N$7:$N$874,I60,BS_RE33!$P$7:$P$874,'30 days CF Table(JPY)'!G60,BS_RE33!$F$7:$F$874,'30 days CF Table(JPY)'!$C$2)</f>
        <v>0</v>
      </c>
      <c r="Y60" s="337">
        <f>SUMIFS(BS_RE33!$H$7:$H$874,BS_RE33!$S$7:$S$874,$Y$2,BS_RE33!$N$7:$N$874,I60,BS_RE33!$P$7:$P$874,'30 days CF Table(JPY)'!G60,BS_RE33!$F$7:$F$874,'30 days CF Table(JPY)'!$C$2)</f>
        <v>0</v>
      </c>
      <c r="Z60" s="337">
        <f>SUMIFS(BS_RE33!$H$7:$H$874,BS_RE33!$S$7:$S$874,$Z$2,BS_RE33!$N$7:$N$874,I60,BS_RE33!$P$7:$P$874,'30 days CF Table(JPY)'!G60,BS_RE33!$F$7:$F$874,'30 days CF Table(JPY)'!$C$2)</f>
        <v>0</v>
      </c>
      <c r="AA60" s="337">
        <f>SUMIFS(BS_RE33!$H$7:$H$874,BS_RE33!$S$7:$S$874,$AA$2,BS_RE33!$N$7:$N$874,I60,BS_RE33!$P$7:$P$874,'30 days CF Table(JPY)'!G60,BS_RE33!$F$7:$F$874,'30 days CF Table(JPY)'!$C$2)</f>
        <v>0</v>
      </c>
      <c r="AB60" s="337">
        <f>SUMIFS(BS_RE33!$H$7:$H$874,BS_RE33!$S$7:$S$874,$AB$2,BS_RE33!$N$7:$N$874,I60,BS_RE33!$P$7:$P$874,'30 days CF Table(JPY)'!G60,BS_RE33!$F$7:$F$874,'30 days CF Table(JPY)'!$C$2)</f>
        <v>0</v>
      </c>
      <c r="AC60" s="337">
        <f>SUMIFS(BS_RE33!$H$7:$H$874,BS_RE33!$S$7:$S$874,$AC$2,BS_RE33!$N$7:$N$874,I60,BS_RE33!$P$7:$P$874,'30 days CF Table(JPY)'!G60,BS_RE33!$F$7:$F$874,'30 days CF Table(JPY)'!$C$2)</f>
        <v>0</v>
      </c>
      <c r="AD60" s="337">
        <f>SUMIFS(BS_RE33!$H$7:$H$874,BS_RE33!$S$7:$S$874,$AD$2,BS_RE33!$N$7:$N$874,I60,BS_RE33!$P$7:$P$874,'30 days CF Table(JPY)'!G60,BS_RE33!$F$7:$F$874,'30 days CF Table(JPY)'!$C$2)</f>
        <v>0</v>
      </c>
      <c r="AE60" s="337">
        <f>SUMIFS(BS_RE33!$H$7:$H$874,BS_RE33!$S$7:$S$874,$AE$2,BS_RE33!$N$7:$N$874,I60,BS_RE33!$P$7:$P$874,'30 days CF Table(JPY)'!G60,BS_RE33!$F$7:$F$874,'30 days CF Table(JPY)'!$C$2)</f>
        <v>0</v>
      </c>
      <c r="AF60" s="337">
        <f>SUMIFS(BS_RE33!$H$7:$H$874,BS_RE33!$S$7:$S$874,$AF$2,BS_RE33!$N$7:$N$874,I60,BS_RE33!$P$7:$P$874,'30 days CF Table(JPY)'!G60,BS_RE33!$F$7:$F$874,'30 days CF Table(JPY)'!$C$2)</f>
        <v>0</v>
      </c>
      <c r="AG60" s="337">
        <f>SUMIFS(BS_RE33!$H$7:$H$874,BS_RE33!$S$7:$S$874,$AG$2,BS_RE33!$N$7:$N$874,I60,BS_RE33!$P$7:$P$874,'30 days CF Table(JPY)'!G60,BS_RE33!$F$7:$F$874,'30 days CF Table(JPY)'!$C$2)</f>
        <v>0</v>
      </c>
      <c r="AH60" s="337">
        <f>SUMIFS(BS_RE33!$H$7:$H$874,BS_RE33!$S$7:$S$874,$AH$2,BS_RE33!$N$7:$N$874,I60,BS_RE33!$P$7:$P$874,'30 days CF Table(JPY)'!G60,BS_RE33!$F$7:$F$874,'30 days CF Table(JPY)'!$C$2)</f>
        <v>0</v>
      </c>
      <c r="AI60" s="337">
        <f>SUMIFS(BS_RE33!$H$7:$H$874,BS_RE33!$S$7:$S$874,$AI$2,BS_RE33!$N$7:$N$874,I60,BS_RE33!$P$7:$P$874,'30 days CF Table(JPY)'!G60,BS_RE33!$F$7:$F$874,'30 days CF Table(JPY)'!$C$2)</f>
        <v>0</v>
      </c>
      <c r="AJ60" s="337">
        <f>SUMIFS(BS_RE33!$H$7:$H$874,BS_RE33!$S$7:$S$874,$AJ$2,BS_RE33!$N$7:$N$874,I60,BS_RE33!$P$7:$P$874,'30 days CF Table(JPY)'!G60,BS_RE33!$F$7:$F$874,'30 days CF Table(JPY)'!$C$2)</f>
        <v>0</v>
      </c>
      <c r="AK60" s="337">
        <f>SUMIFS(BS_RE33!$H$7:$H$874,BS_RE33!$S$7:$S$874,$AK$2,BS_RE33!$N$7:$N$874,I60,BS_RE33!$P$7:$P$874,'30 days CF Table(JPY)'!G60,BS_RE33!$F$7:$F$874,'30 days CF Table(JPY)'!$C$2)</f>
        <v>0</v>
      </c>
      <c r="AL60" s="337">
        <f>SUMIFS(BS_RE33!$H$7:$H$874,BS_RE33!$S$7:$S$874,$AL$2,BS_RE33!$N$7:$N$874,I60,BS_RE33!$P$7:$P$874,'30 days CF Table(JPY)'!G60,BS_RE33!$F$7:$F$874,'30 days CF Table(JPY)'!$C$2)</f>
        <v>0</v>
      </c>
      <c r="AM60" s="337">
        <f>SUMIFS(BS_RE33!$H$7:$H$874,BS_RE33!$S$7:$S$874,$AM$2,BS_RE33!$N$7:$N$874,I60,BS_RE33!$P$7:$P$874,'30 days CF Table(JPY)'!G60,BS_RE33!$F$7:$F$874,'30 days CF Table(JPY)'!$C$2)</f>
        <v>0</v>
      </c>
      <c r="AN60" s="337">
        <f>SUMIFS(BS_RE33!$H$7:$H$874,BS_RE33!$S$7:$S$874,$AN$2,BS_RE33!$N$7:$N$874,I60,BS_RE33!$P$7:$P$874,'30 days CF Table(JPY)'!G60,BS_RE33!$F$7:$F$874,'30 days CF Table(JPY)'!$C$2)</f>
        <v>0</v>
      </c>
      <c r="AO60" s="337">
        <f>SUMIFS(BS_RE33!$H$7:$H$874,BS_RE33!$S$7:$S$874,$AO$2,BS_RE33!$N$7:$N$874,I60,BS_RE33!$P$7:$P$874,'30 days CF Table(JPY)'!G60,BS_RE33!$F$7:$F$874,'30 days CF Table(JPY)'!$C$2)</f>
        <v>0</v>
      </c>
      <c r="AP60" s="338">
        <f>SUMIFS(BS_RE33!$H$7:$H$874,BS_RE33!$S$7:$S$874,$AP$2,BS_RE33!$N$7:$N$874,I60,BS_RE33!$P$7:$P$874,'30 days CF Table(JPY)'!G60,BS_RE33!$F$7:$F$874,'30 days CF Table(JPY)'!$C$2)</f>
        <v>0</v>
      </c>
      <c r="AR60" s="379">
        <f>SUMIFS(BS_RE33!$H$7:$H$874,BS_RE33!$S$7:$S$874,$AR$2,BS_RE33!$N$7:$N$874,I60,BS_RE33!$P$7:$P$874,'30 days CF Table(JPY)'!G60,BS_RE33!$F$7:$F$874,'30 days CF Table(JPY)'!$C$2)</f>
        <v>0</v>
      </c>
      <c r="AS60" s="379">
        <f>SUMIFS(BS_RE33!$H$7:$H$874,BS_RE33!$S$7:$S$874,$AS$2,BS_RE33!$N$7:$N$874,I60,BS_RE33!$P$7:$P$874,'30 days CF Table(JPY)'!G60,BS_RE33!$F$7:$F$874,'30 days CF Table(JPY)'!$C$2)</f>
        <v>0</v>
      </c>
      <c r="AT60" s="379">
        <f>SUMIFS(BS_RE33!$H$7:$H$874,BS_RE33!$S$7:$S$874,$AT$2,BS_RE33!$N$7:$N$874,I60,BS_RE33!$P$7:$P$874,'30 days CF Table(JPY)'!G60,BS_RE33!$F$7:$F$874,'30 days CF Table(JPY)'!$C$2)</f>
        <v>0</v>
      </c>
      <c r="AU60" s="379">
        <f>SUMIFS(BS_RE33!$H$7:$H$874,BS_RE33!$S$7:$S$874,$AU$2,BS_RE33!$N$7:$N$874,I60,BS_RE33!$P$7:$P$874,'30 days CF Table(JPY)'!G60,BS_RE33!$F$7:$F$874,'30 days CF Table(JPY)'!$C$2)</f>
        <v>0</v>
      </c>
      <c r="AV60" s="379">
        <f>SUMIFS(BS_RE33!$H$7:$H$874,BS_RE33!$S$7:$S$874,$AV$2,BS_RE33!$N$7:$N$874,I60,BS_RE33!$P$7:$P$874,'30 days CF Table(JPY)'!G60,BS_RE33!$F$7:$F$874,'30 days CF Table(JPY)'!$C$2)</f>
        <v>0</v>
      </c>
      <c r="AW60" s="379">
        <f>SUMIFS(BS_RE33!$H$7:$H$874,BS_RE33!$S$7:$S$874,$AW$2,BS_RE33!$N$7:$N$874,I60,BS_RE33!$P$7:$P$874,'30 days CF Table(JPY)'!G60,BS_RE33!$F$7:$F$874,'30 days CF Table(JPY)'!$C$2)</f>
        <v>0</v>
      </c>
      <c r="AX60" s="379">
        <f>SUMIFS(BS_RE33!$H$7:$H$874,BS_RE33!$S$7:$S$874,$AX$2,BS_RE33!$N$7:$N$874,I60,BS_RE33!$P$7:$P$874,'30 days CF Table(JPY)'!G60,BS_RE33!$F$7:$F$874,'30 days CF Table(JPY)'!$C$2)</f>
        <v>0</v>
      </c>
      <c r="AY60" s="379">
        <f>SUMIFS(BS_RE33!$H$7:$H$874,BS_RE33!$S$7:$S$874,$AY$2,BS_RE33!$N$7:$N$874,I60,BS_RE33!$P$7:$P$874,'30 days CF Table(JPY)'!G60,BS_RE33!$F$7:$F$874,'30 days CF Table(JPY)'!$C$2)</f>
        <v>0</v>
      </c>
      <c r="AZ60" s="379">
        <f>SUMIFS(BS_RE33!$H$7:$H$874,BS_RE33!$S$7:$S$874,$AZ$2,BS_RE33!$N$7:$N$874,I60,BS_RE33!$P$7:$P$874,'30 days CF Table(JPY)'!G60,BS_RE33!$F$7:$F$874,'30 days CF Table(JPY)'!$C$2)</f>
        <v>0</v>
      </c>
      <c r="BA60" s="379">
        <f>SUMIFS(BS_RE33!$H$7:$H$874,BS_RE33!$S$7:$S$874,$BA$2,BS_RE33!$N$7:$N$874,I60,BS_RE33!$P$7:$P$874,'30 days CF Table(JPY)'!G60,BS_RE33!$F$7:$F$874,'30 days CF Table(JPY)'!$C$2)</f>
        <v>0</v>
      </c>
      <c r="BB60" s="379">
        <f>SUMIFS(BS_RE33!$H$7:$H$874,BS_RE33!$S$7:$S$874,$BB$2,BS_RE33!$N$7:$N$874,I60,BS_RE33!$P$7:$P$874,'30 days CF Table(JPY)'!G60,BS_RE33!$F$7:$F$874,'30 days CF Table(JPY)'!$C$2)</f>
        <v>0</v>
      </c>
      <c r="BC60" s="379">
        <f>SUMIFS(BS_RE33!$H$7:$H$874,BS_RE33!$S$7:$S$874,$BC$2,BS_RE33!$N$7:$N$874,I60,BS_RE33!$P$7:$P$874,'30 days CF Table(JPY)'!G60,BS_RE33!$F$7:$F$874,'30 days CF Table(JPY)'!$C$2)</f>
        <v>0</v>
      </c>
      <c r="BD60" s="379">
        <f>SUMIFS(BS_RE33!$H$7:$H$874,BS_RE33!$S$7:$S$874,$BD$2,BS_RE33!$N$7:$N$874,I60,BS_RE33!$P$7:$P$874,'30 days CF Table(JPY)'!G60,BS_RE33!$F$7:$F$874,'30 days CF Table(JPY)'!$C$2)</f>
        <v>0</v>
      </c>
      <c r="BE60" s="379">
        <f>SUMIFS(BS_RE33!$H$7:$H$874,BS_RE33!$S$7:$S$874,$BE$2,BS_RE33!$N$7:$N$874,I60,BS_RE33!$P$7:$P$874,'30 days CF Table(JPY)'!G60,BS_RE33!$F$7:$F$874,'30 days CF Table(JPY)'!$C$2)</f>
        <v>0</v>
      </c>
      <c r="BF60" s="379">
        <f>SUMIFS(BS_RE33!$H$7:$H$874,BS_RE33!$S$7:$S$874,$BF$2,BS_RE33!$N$7:$N$874,I60,BS_RE33!$P$7:$P$874,'30 days CF Table(JPY)'!G60,BS_RE33!$F$7:$F$874,'30 days CF Table(JPY)'!$C$2)</f>
        <v>0</v>
      </c>
      <c r="BG60" s="379">
        <f>SUMIFS(BS_RE33!$H$7:$H$874,BS_RE33!$S$7:$S$874,$BG$2,BS_RE33!$N$7:$N$874,I60,BS_RE33!$P$7:$P$874,'30 days CF Table(JPY)'!G60,BS_RE33!$F$7:$F$874,'30 days CF Table(JPY)'!$C$2)</f>
        <v>0</v>
      </c>
      <c r="BH60" s="379">
        <f>SUMIFS(BS_RE33!$H$7:$H$874,BS_RE33!$S$7:$S$874,$BH$2,BS_RE33!$N$7:$N$874,I60,BS_RE33!$P$7:$P$874,'30 days CF Table(JPY)'!G60,BS_RE33!$F$7:$F$874,'30 days CF Table(JPY)'!$C$2)</f>
        <v>0</v>
      </c>
      <c r="BI60" s="379">
        <f>SUMIFS(BS_RE33!$H$7:$H$874,BS_RE33!$S$7:$S$874,$BI$2,BS_RE33!$N$7:$N$874,I60,BS_RE33!$P$7:$P$874,'30 days CF Table(JPY)'!G60,BS_RE33!$F$7:$F$874,'30 days CF Table(JPY)'!$C$2)</f>
        <v>0</v>
      </c>
      <c r="BJ60" s="379">
        <f>SUMIFS(BS_RE33!$H$7:$H$874,BS_RE33!$S$7:$S$874,$BJ$2,BS_RE33!$N$7:$N$874,I60,BS_RE33!$P$7:$P$874,'30 days CF Table(JPY)'!G60,BS_RE33!$F$7:$F$874,'30 days CF Table(JPY)'!$C$2)</f>
        <v>0</v>
      </c>
      <c r="BK60" s="379">
        <f>SUMIFS(BS_RE33!$H$7:$H$874,BS_RE33!$S$7:$S$874,$BK$2,BS_RE33!$N$7:$N$874,I60,BS_RE33!$P$7:$P$874,'30 days CF Table(JPY)'!G60,BS_RE33!$F$7:$F$874,'30 days CF Table(JPY)'!$C$2)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Table(JPY)'!G61,BS_RE33!$F$7:$F$874,'30 days CF Table(JPY)'!$C$2)</f>
        <v>0</v>
      </c>
      <c r="M61" s="337">
        <f>SUMIFS(BS_RE33!$H$7:$H$874,BS_RE33!$S$7:$S$874,$M$2,BS_RE33!$N$7:$N$874,I61,BS_RE33!$P$7:$P$874,'30 days CF Table(JPY)'!G61,BS_RE33!$F$7:$F$874,'30 days CF Table(JPY)'!$C$2)</f>
        <v>0</v>
      </c>
      <c r="N61" s="337">
        <f>SUMIFS(BS_RE33!$H$7:$H$874,BS_RE33!$S$7:$S$874,$N$2,BS_RE33!$N$7:$N$874,I61,BS_RE33!$P$7:$P$874,'30 days CF Table(JPY)'!G61,BS_RE33!$F$7:$F$874,'30 days CF Table(JPY)'!$C$2)</f>
        <v>0</v>
      </c>
      <c r="O61" s="337">
        <f>SUMIFS(BS_RE33!$H$7:$H$874,BS_RE33!$S$7:$S$874,$O$2,BS_RE33!$N$7:$N$874,I61,BS_RE33!$P$7:$P$874,'30 days CF Table(JPY)'!G61,BS_RE33!$F$7:$F$874,'30 days CF Table(JPY)'!$C$2)</f>
        <v>0</v>
      </c>
      <c r="P61" s="337">
        <f>SUMIFS(BS_RE33!$H$7:$H$874,BS_RE33!$S$7:$S$874,$P$2,BS_RE33!$N$7:$N$874,I61,BS_RE33!$P$7:$P$874,'30 days CF Table(JPY)'!G61,BS_RE33!$F$7:$F$874,'30 days CF Table(JPY)'!$C$2)</f>
        <v>0</v>
      </c>
      <c r="Q61" s="337">
        <f>SUMIFS(BS_RE33!$H$7:$H$874,BS_RE33!$S$7:$S$874,$Q$2,BS_RE33!$N$7:$N$874,I61,BS_RE33!$P$7:$P$874,'30 days CF Table(JPY)'!G61,BS_RE33!$F$7:$F$874,'30 days CF Table(JPY)'!$C$2)</f>
        <v>0</v>
      </c>
      <c r="R61" s="337">
        <f>SUMIFS(BS_RE33!$H$7:$H$874,BS_RE33!$S$7:$S$874,$R$2,BS_RE33!$N$7:$N$874,I61,BS_RE33!$P$7:$P$874,'30 days CF Table(JPY)'!G61,BS_RE33!$F$7:$F$874,'30 days CF Table(JPY)'!$C$2)</f>
        <v>0</v>
      </c>
      <c r="S61" s="337">
        <f>SUMIFS(BS_RE33!$H$7:$H$874,BS_RE33!$S$7:$S$874,$S$2,BS_RE33!$N$7:$N$874,I61,BS_RE33!$P$7:$P$874,'30 days CF Table(JPY)'!G61,BS_RE33!$F$7:$F$874,'30 days CF Table(JPY)'!$C$2)</f>
        <v>0</v>
      </c>
      <c r="T61" s="337">
        <f>SUMIFS(BS_RE33!$H$7:$H$874,BS_RE33!$S$7:$S$874,$T$2,BS_RE33!$N$7:$N$874,I61,BS_RE33!$P$7:$P$874,'30 days CF Table(JPY)'!G61,BS_RE33!$F$7:$F$874,'30 days CF Table(JPY)'!$C$2)</f>
        <v>0</v>
      </c>
      <c r="U61" s="337">
        <f>SUMIFS(BS_RE33!$H$7:$H$874,BS_RE33!$S$7:$S$874,$U$2,BS_RE33!$N$7:$N$874,I61,BS_RE33!$P$7:$P$874,'30 days CF Table(JPY)'!G61,BS_RE33!$F$7:$F$874,'30 days CF Table(JPY)'!$C$2)</f>
        <v>0</v>
      </c>
      <c r="V61" s="337">
        <f>SUMIFS(BS_RE33!$H$7:$H$874,BS_RE33!$S$7:$S$874,$V$2,BS_RE33!$N$7:$N$874,I61,BS_RE33!$P$7:$P$874,'30 days CF Table(JPY)'!G61,BS_RE33!$F$7:$F$874,'30 days CF Table(JPY)'!$C$2)</f>
        <v>0</v>
      </c>
      <c r="W61" s="337">
        <f>SUMIFS(BS_RE33!$H$7:$H$874,BS_RE33!$S$7:$S$874,$W$2,BS_RE33!$N$7:$N$874,I61,BS_RE33!$P$7:$P$874,'30 days CF Table(JPY)'!G61,BS_RE33!$F$7:$F$874,'30 days CF Table(JPY)'!$C$2)</f>
        <v>0</v>
      </c>
      <c r="X61" s="337">
        <f>SUMIFS(BS_RE33!$H$7:$H$874,BS_RE33!$S$7:$S$874,$X$2,BS_RE33!$N$7:$N$874,I61,BS_RE33!$P$7:$P$874,'30 days CF Table(JPY)'!G61,BS_RE33!$F$7:$F$874,'30 days CF Table(JPY)'!$C$2)</f>
        <v>0</v>
      </c>
      <c r="Y61" s="337">
        <f>SUMIFS(BS_RE33!$H$7:$H$874,BS_RE33!$S$7:$S$874,$Y$2,BS_RE33!$N$7:$N$874,I61,BS_RE33!$P$7:$P$874,'30 days CF Table(JPY)'!G61,BS_RE33!$F$7:$F$874,'30 days CF Table(JPY)'!$C$2)</f>
        <v>0</v>
      </c>
      <c r="Z61" s="337">
        <f>SUMIFS(BS_RE33!$H$7:$H$874,BS_RE33!$S$7:$S$874,$Z$2,BS_RE33!$N$7:$N$874,I61,BS_RE33!$P$7:$P$874,'30 days CF Table(JPY)'!G61,BS_RE33!$F$7:$F$874,'30 days CF Table(JPY)'!$C$2)</f>
        <v>0</v>
      </c>
      <c r="AA61" s="337">
        <f>SUMIFS(BS_RE33!$H$7:$H$874,BS_RE33!$S$7:$S$874,$AA$2,BS_RE33!$N$7:$N$874,I61,BS_RE33!$P$7:$P$874,'30 days CF Table(JPY)'!G61,BS_RE33!$F$7:$F$874,'30 days CF Table(JPY)'!$C$2)</f>
        <v>0</v>
      </c>
      <c r="AB61" s="337">
        <f>SUMIFS(BS_RE33!$H$7:$H$874,BS_RE33!$S$7:$S$874,$AB$2,BS_RE33!$N$7:$N$874,I61,BS_RE33!$P$7:$P$874,'30 days CF Table(JPY)'!G61,BS_RE33!$F$7:$F$874,'30 days CF Table(JPY)'!$C$2)</f>
        <v>0</v>
      </c>
      <c r="AC61" s="337">
        <f>SUMIFS(BS_RE33!$H$7:$H$874,BS_RE33!$S$7:$S$874,$AC$2,BS_RE33!$N$7:$N$874,I61,BS_RE33!$P$7:$P$874,'30 days CF Table(JPY)'!G61,BS_RE33!$F$7:$F$874,'30 days CF Table(JPY)'!$C$2)</f>
        <v>0</v>
      </c>
      <c r="AD61" s="337">
        <f>SUMIFS(BS_RE33!$H$7:$H$874,BS_RE33!$S$7:$S$874,$AD$2,BS_RE33!$N$7:$N$874,I61,BS_RE33!$P$7:$P$874,'30 days CF Table(JPY)'!G61,BS_RE33!$F$7:$F$874,'30 days CF Table(JPY)'!$C$2)</f>
        <v>0</v>
      </c>
      <c r="AE61" s="337">
        <f>SUMIFS(BS_RE33!$H$7:$H$874,BS_RE33!$S$7:$S$874,$AE$2,BS_RE33!$N$7:$N$874,I61,BS_RE33!$P$7:$P$874,'30 days CF Table(JPY)'!G61,BS_RE33!$F$7:$F$874,'30 days CF Table(JPY)'!$C$2)</f>
        <v>0</v>
      </c>
      <c r="AF61" s="337">
        <f>SUMIFS(BS_RE33!$H$7:$H$874,BS_RE33!$S$7:$S$874,$AF$2,BS_RE33!$N$7:$N$874,I61,BS_RE33!$P$7:$P$874,'30 days CF Table(JPY)'!G61,BS_RE33!$F$7:$F$874,'30 days CF Table(JPY)'!$C$2)</f>
        <v>0</v>
      </c>
      <c r="AG61" s="337">
        <f>SUMIFS(BS_RE33!$H$7:$H$874,BS_RE33!$S$7:$S$874,$AG$2,BS_RE33!$N$7:$N$874,I61,BS_RE33!$P$7:$P$874,'30 days CF Table(JPY)'!G61,BS_RE33!$F$7:$F$874,'30 days CF Table(JPY)'!$C$2)</f>
        <v>0</v>
      </c>
      <c r="AH61" s="337">
        <f>SUMIFS(BS_RE33!$H$7:$H$874,BS_RE33!$S$7:$S$874,$AH$2,BS_RE33!$N$7:$N$874,I61,BS_RE33!$P$7:$P$874,'30 days CF Table(JPY)'!G61,BS_RE33!$F$7:$F$874,'30 days CF Table(JPY)'!$C$2)</f>
        <v>0</v>
      </c>
      <c r="AI61" s="337">
        <f>SUMIFS(BS_RE33!$H$7:$H$874,BS_RE33!$S$7:$S$874,$AI$2,BS_RE33!$N$7:$N$874,I61,BS_RE33!$P$7:$P$874,'30 days CF Table(JPY)'!G61,BS_RE33!$F$7:$F$874,'30 days CF Table(JPY)'!$C$2)</f>
        <v>0</v>
      </c>
      <c r="AJ61" s="337">
        <f>SUMIFS(BS_RE33!$H$7:$H$874,BS_RE33!$S$7:$S$874,$AJ$2,BS_RE33!$N$7:$N$874,I61,BS_RE33!$P$7:$P$874,'30 days CF Table(JPY)'!G61,BS_RE33!$F$7:$F$874,'30 days CF Table(JPY)'!$C$2)</f>
        <v>0</v>
      </c>
      <c r="AK61" s="337">
        <f>SUMIFS(BS_RE33!$H$7:$H$874,BS_RE33!$S$7:$S$874,$AK$2,BS_RE33!$N$7:$N$874,I61,BS_RE33!$P$7:$P$874,'30 days CF Table(JPY)'!G61,BS_RE33!$F$7:$F$874,'30 days CF Table(JPY)'!$C$2)</f>
        <v>0</v>
      </c>
      <c r="AL61" s="337">
        <f>SUMIFS(BS_RE33!$H$7:$H$874,BS_RE33!$S$7:$S$874,$AL$2,BS_RE33!$N$7:$N$874,I61,BS_RE33!$P$7:$P$874,'30 days CF Table(JPY)'!G61,BS_RE33!$F$7:$F$874,'30 days CF Table(JPY)'!$C$2)</f>
        <v>0</v>
      </c>
      <c r="AM61" s="337">
        <f>SUMIFS(BS_RE33!$H$7:$H$874,BS_RE33!$S$7:$S$874,$AM$2,BS_RE33!$N$7:$N$874,I61,BS_RE33!$P$7:$P$874,'30 days CF Table(JPY)'!G61,BS_RE33!$F$7:$F$874,'30 days CF Table(JPY)'!$C$2)</f>
        <v>0</v>
      </c>
      <c r="AN61" s="337">
        <f>SUMIFS(BS_RE33!$H$7:$H$874,BS_RE33!$S$7:$S$874,$AN$2,BS_RE33!$N$7:$N$874,I61,BS_RE33!$P$7:$P$874,'30 days CF Table(JPY)'!G61,BS_RE33!$F$7:$F$874,'30 days CF Table(JPY)'!$C$2)</f>
        <v>0</v>
      </c>
      <c r="AO61" s="337">
        <f>SUMIFS(BS_RE33!$H$7:$H$874,BS_RE33!$S$7:$S$874,$AO$2,BS_RE33!$N$7:$N$874,I61,BS_RE33!$P$7:$P$874,'30 days CF Table(JPY)'!G61,BS_RE33!$F$7:$F$874,'30 days CF Table(JPY)'!$C$2)</f>
        <v>0</v>
      </c>
      <c r="AP61" s="338">
        <f>SUMIFS(BS_RE33!$H$7:$H$874,BS_RE33!$S$7:$S$874,$AP$2,BS_RE33!$N$7:$N$874,I61,BS_RE33!$P$7:$P$874,'30 days CF Table(JPY)'!G61,BS_RE33!$F$7:$F$874,'30 days CF Table(JPY)'!$C$2)</f>
        <v>0</v>
      </c>
      <c r="AR61" s="379">
        <f>SUMIFS(BS_RE33!$H$7:$H$874,BS_RE33!$S$7:$S$874,$AR$2,BS_RE33!$N$7:$N$874,I61,BS_RE33!$P$7:$P$874,'30 days CF Table(JPY)'!G61,BS_RE33!$F$7:$F$874,'30 days CF Table(JPY)'!$C$2)</f>
        <v>0</v>
      </c>
      <c r="AS61" s="379">
        <f>SUMIFS(BS_RE33!$H$7:$H$874,BS_RE33!$S$7:$S$874,$AS$2,BS_RE33!$N$7:$N$874,I61,BS_RE33!$P$7:$P$874,'30 days CF Table(JPY)'!G61,BS_RE33!$F$7:$F$874,'30 days CF Table(JPY)'!$C$2)</f>
        <v>0</v>
      </c>
      <c r="AT61" s="379">
        <f>SUMIFS(BS_RE33!$H$7:$H$874,BS_RE33!$S$7:$S$874,$AT$2,BS_RE33!$N$7:$N$874,I61,BS_RE33!$P$7:$P$874,'30 days CF Table(JPY)'!G61,BS_RE33!$F$7:$F$874,'30 days CF Table(JPY)'!$C$2)</f>
        <v>0</v>
      </c>
      <c r="AU61" s="379">
        <f>SUMIFS(BS_RE33!$H$7:$H$874,BS_RE33!$S$7:$S$874,$AU$2,BS_RE33!$N$7:$N$874,I61,BS_RE33!$P$7:$P$874,'30 days CF Table(JPY)'!G61,BS_RE33!$F$7:$F$874,'30 days CF Table(JPY)'!$C$2)</f>
        <v>0</v>
      </c>
      <c r="AV61" s="379">
        <f>SUMIFS(BS_RE33!$H$7:$H$874,BS_RE33!$S$7:$S$874,$AV$2,BS_RE33!$N$7:$N$874,I61,BS_RE33!$P$7:$P$874,'30 days CF Table(JPY)'!G61,BS_RE33!$F$7:$F$874,'30 days CF Table(JPY)'!$C$2)</f>
        <v>0</v>
      </c>
      <c r="AW61" s="379">
        <f>SUMIFS(BS_RE33!$H$7:$H$874,BS_RE33!$S$7:$S$874,$AW$2,BS_RE33!$N$7:$N$874,I61,BS_RE33!$P$7:$P$874,'30 days CF Table(JPY)'!G61,BS_RE33!$F$7:$F$874,'30 days CF Table(JPY)'!$C$2)</f>
        <v>0</v>
      </c>
      <c r="AX61" s="379">
        <f>SUMIFS(BS_RE33!$H$7:$H$874,BS_RE33!$S$7:$S$874,$AX$2,BS_RE33!$N$7:$N$874,I61,BS_RE33!$P$7:$P$874,'30 days CF Table(JPY)'!G61,BS_RE33!$F$7:$F$874,'30 days CF Table(JPY)'!$C$2)</f>
        <v>0</v>
      </c>
      <c r="AY61" s="379">
        <f>SUMIFS(BS_RE33!$H$7:$H$874,BS_RE33!$S$7:$S$874,$AY$2,BS_RE33!$N$7:$N$874,I61,BS_RE33!$P$7:$P$874,'30 days CF Table(JPY)'!G61,BS_RE33!$F$7:$F$874,'30 days CF Table(JPY)'!$C$2)</f>
        <v>0</v>
      </c>
      <c r="AZ61" s="379">
        <f>SUMIFS(BS_RE33!$H$7:$H$874,BS_RE33!$S$7:$S$874,$AZ$2,BS_RE33!$N$7:$N$874,I61,BS_RE33!$P$7:$P$874,'30 days CF Table(JPY)'!G61,BS_RE33!$F$7:$F$874,'30 days CF Table(JPY)'!$C$2)</f>
        <v>0</v>
      </c>
      <c r="BA61" s="379">
        <f>SUMIFS(BS_RE33!$H$7:$H$874,BS_RE33!$S$7:$S$874,$BA$2,BS_RE33!$N$7:$N$874,I61,BS_RE33!$P$7:$P$874,'30 days CF Table(JPY)'!G61,BS_RE33!$F$7:$F$874,'30 days CF Table(JPY)'!$C$2)</f>
        <v>0</v>
      </c>
      <c r="BB61" s="379">
        <f>SUMIFS(BS_RE33!$H$7:$H$874,BS_RE33!$S$7:$S$874,$BB$2,BS_RE33!$N$7:$N$874,I61,BS_RE33!$P$7:$P$874,'30 days CF Table(JPY)'!G61,BS_RE33!$F$7:$F$874,'30 days CF Table(JPY)'!$C$2)</f>
        <v>0</v>
      </c>
      <c r="BC61" s="379">
        <f>SUMIFS(BS_RE33!$H$7:$H$874,BS_RE33!$S$7:$S$874,$BC$2,BS_RE33!$N$7:$N$874,I61,BS_RE33!$P$7:$P$874,'30 days CF Table(JPY)'!G61,BS_RE33!$F$7:$F$874,'30 days CF Table(JPY)'!$C$2)</f>
        <v>0</v>
      </c>
      <c r="BD61" s="379">
        <f>SUMIFS(BS_RE33!$H$7:$H$874,BS_RE33!$S$7:$S$874,$BD$2,BS_RE33!$N$7:$N$874,I61,BS_RE33!$P$7:$P$874,'30 days CF Table(JPY)'!G61,BS_RE33!$F$7:$F$874,'30 days CF Table(JPY)'!$C$2)</f>
        <v>0</v>
      </c>
      <c r="BE61" s="379">
        <f>SUMIFS(BS_RE33!$H$7:$H$874,BS_RE33!$S$7:$S$874,$BE$2,BS_RE33!$N$7:$N$874,I61,BS_RE33!$P$7:$P$874,'30 days CF Table(JPY)'!G61,BS_RE33!$F$7:$F$874,'30 days CF Table(JPY)'!$C$2)</f>
        <v>0</v>
      </c>
      <c r="BF61" s="379">
        <f>SUMIFS(BS_RE33!$H$7:$H$874,BS_RE33!$S$7:$S$874,$BF$2,BS_RE33!$N$7:$N$874,I61,BS_RE33!$P$7:$P$874,'30 days CF Table(JPY)'!G61,BS_RE33!$F$7:$F$874,'30 days CF Table(JPY)'!$C$2)</f>
        <v>0</v>
      </c>
      <c r="BG61" s="379">
        <f>SUMIFS(BS_RE33!$H$7:$H$874,BS_RE33!$S$7:$S$874,$BG$2,BS_RE33!$N$7:$N$874,I61,BS_RE33!$P$7:$P$874,'30 days CF Table(JPY)'!G61,BS_RE33!$F$7:$F$874,'30 days CF Table(JPY)'!$C$2)</f>
        <v>0</v>
      </c>
      <c r="BH61" s="379">
        <f>SUMIFS(BS_RE33!$H$7:$H$874,BS_RE33!$S$7:$S$874,$BH$2,BS_RE33!$N$7:$N$874,I61,BS_RE33!$P$7:$P$874,'30 days CF Table(JPY)'!G61,BS_RE33!$F$7:$F$874,'30 days CF Table(JPY)'!$C$2)</f>
        <v>0</v>
      </c>
      <c r="BI61" s="379">
        <f>SUMIFS(BS_RE33!$H$7:$H$874,BS_RE33!$S$7:$S$874,$BI$2,BS_RE33!$N$7:$N$874,I61,BS_RE33!$P$7:$P$874,'30 days CF Table(JPY)'!G61,BS_RE33!$F$7:$F$874,'30 days CF Table(JPY)'!$C$2)</f>
        <v>0</v>
      </c>
      <c r="BJ61" s="379">
        <f>SUMIFS(BS_RE33!$H$7:$H$874,BS_RE33!$S$7:$S$874,$BJ$2,BS_RE33!$N$7:$N$874,I61,BS_RE33!$P$7:$P$874,'30 days CF Table(JPY)'!G61,BS_RE33!$F$7:$F$874,'30 days CF Table(JPY)'!$C$2)</f>
        <v>0</v>
      </c>
      <c r="BK61" s="379">
        <f>SUMIFS(BS_RE33!$H$7:$H$874,BS_RE33!$S$7:$S$874,$BK$2,BS_RE33!$N$7:$N$874,I61,BS_RE33!$P$7:$P$874,'30 days CF Table(JPY)'!G61,BS_RE33!$F$7:$F$874,'30 days CF Table(JPY)'!$C$2)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Table(JPY)'!G62,BS_RE33!$F$7:$F$874,'30 days CF Table(JPY)'!$C$2)</f>
        <v>0</v>
      </c>
      <c r="M62" s="337">
        <f>SUMIFS(BS_RE33!$H$7:$H$874,BS_RE33!$S$7:$S$874,$M$2,BS_RE33!$N$7:$N$874,I62,BS_RE33!$P$7:$P$874,'30 days CF Table(JPY)'!G62,BS_RE33!$F$7:$F$874,'30 days CF Table(JPY)'!$C$2)</f>
        <v>0</v>
      </c>
      <c r="N62" s="337">
        <f>SUMIFS(BS_RE33!$H$7:$H$874,BS_RE33!$S$7:$S$874,$N$2,BS_RE33!$N$7:$N$874,I62,BS_RE33!$P$7:$P$874,'30 days CF Table(JPY)'!G62,BS_RE33!$F$7:$F$874,'30 days CF Table(JPY)'!$C$2)</f>
        <v>0</v>
      </c>
      <c r="O62" s="337">
        <f>SUMIFS(BS_RE33!$H$7:$H$874,BS_RE33!$S$7:$S$874,$O$2,BS_RE33!$N$7:$N$874,I62,BS_RE33!$P$7:$P$874,'30 days CF Table(JPY)'!G62,BS_RE33!$F$7:$F$874,'30 days CF Table(JPY)'!$C$2)</f>
        <v>0</v>
      </c>
      <c r="P62" s="337">
        <f>SUMIFS(BS_RE33!$H$7:$H$874,BS_RE33!$S$7:$S$874,$P$2,BS_RE33!$N$7:$N$874,I62,BS_RE33!$P$7:$P$874,'30 days CF Table(JPY)'!G62,BS_RE33!$F$7:$F$874,'30 days CF Table(JPY)'!$C$2)</f>
        <v>0</v>
      </c>
      <c r="Q62" s="337">
        <f>SUMIFS(BS_RE33!$H$7:$H$874,BS_RE33!$S$7:$S$874,$Q$2,BS_RE33!$N$7:$N$874,I62,BS_RE33!$P$7:$P$874,'30 days CF Table(JPY)'!G62,BS_RE33!$F$7:$F$874,'30 days CF Table(JPY)'!$C$2)</f>
        <v>0</v>
      </c>
      <c r="R62" s="337">
        <f>SUMIFS(BS_RE33!$H$7:$H$874,BS_RE33!$S$7:$S$874,$R$2,BS_RE33!$N$7:$N$874,I62,BS_RE33!$P$7:$P$874,'30 days CF Table(JPY)'!G62,BS_RE33!$F$7:$F$874,'30 days CF Table(JPY)'!$C$2)</f>
        <v>0</v>
      </c>
      <c r="S62" s="337">
        <f>SUMIFS(BS_RE33!$H$7:$H$874,BS_RE33!$S$7:$S$874,$S$2,BS_RE33!$N$7:$N$874,I62,BS_RE33!$P$7:$P$874,'30 days CF Table(JPY)'!G62,BS_RE33!$F$7:$F$874,'30 days CF Table(JPY)'!$C$2)</f>
        <v>0</v>
      </c>
      <c r="T62" s="337">
        <f>SUMIFS(BS_RE33!$H$7:$H$874,BS_RE33!$S$7:$S$874,$T$2,BS_RE33!$N$7:$N$874,I62,BS_RE33!$P$7:$P$874,'30 days CF Table(JPY)'!G62,BS_RE33!$F$7:$F$874,'30 days CF Table(JPY)'!$C$2)</f>
        <v>0</v>
      </c>
      <c r="U62" s="337">
        <f>SUMIFS(BS_RE33!$H$7:$H$874,BS_RE33!$S$7:$S$874,$U$2,BS_RE33!$N$7:$N$874,I62,BS_RE33!$P$7:$P$874,'30 days CF Table(JPY)'!G62,BS_RE33!$F$7:$F$874,'30 days CF Table(JPY)'!$C$2)</f>
        <v>0</v>
      </c>
      <c r="V62" s="337">
        <f>SUMIFS(BS_RE33!$H$7:$H$874,BS_RE33!$S$7:$S$874,$V$2,BS_RE33!$N$7:$N$874,I62,BS_RE33!$P$7:$P$874,'30 days CF Table(JPY)'!G62,BS_RE33!$F$7:$F$874,'30 days CF Table(JPY)'!$C$2)</f>
        <v>0</v>
      </c>
      <c r="W62" s="337">
        <f>SUMIFS(BS_RE33!$H$7:$H$874,BS_RE33!$S$7:$S$874,$W$2,BS_RE33!$N$7:$N$874,I62,BS_RE33!$P$7:$P$874,'30 days CF Table(JPY)'!G62,BS_RE33!$F$7:$F$874,'30 days CF Table(JPY)'!$C$2)</f>
        <v>0</v>
      </c>
      <c r="X62" s="337">
        <f>SUMIFS(BS_RE33!$H$7:$H$874,BS_RE33!$S$7:$S$874,$X$2,BS_RE33!$N$7:$N$874,I62,BS_RE33!$P$7:$P$874,'30 days CF Table(JPY)'!G62,BS_RE33!$F$7:$F$874,'30 days CF Table(JPY)'!$C$2)</f>
        <v>0</v>
      </c>
      <c r="Y62" s="337">
        <f>SUMIFS(BS_RE33!$H$7:$H$874,BS_RE33!$S$7:$S$874,$Y$2,BS_RE33!$N$7:$N$874,I62,BS_RE33!$P$7:$P$874,'30 days CF Table(JPY)'!G62,BS_RE33!$F$7:$F$874,'30 days CF Table(JPY)'!$C$2)</f>
        <v>0</v>
      </c>
      <c r="Z62" s="337">
        <f>SUMIFS(BS_RE33!$H$7:$H$874,BS_RE33!$S$7:$S$874,$Z$2,BS_RE33!$N$7:$N$874,I62,BS_RE33!$P$7:$P$874,'30 days CF Table(JPY)'!G62,BS_RE33!$F$7:$F$874,'30 days CF Table(JPY)'!$C$2)</f>
        <v>0</v>
      </c>
      <c r="AA62" s="337">
        <f>SUMIFS(BS_RE33!$H$7:$H$874,BS_RE33!$S$7:$S$874,$AA$2,BS_RE33!$N$7:$N$874,I62,BS_RE33!$P$7:$P$874,'30 days CF Table(JPY)'!G62,BS_RE33!$F$7:$F$874,'30 days CF Table(JPY)'!$C$2)</f>
        <v>0</v>
      </c>
      <c r="AB62" s="337">
        <f>SUMIFS(BS_RE33!$H$7:$H$874,BS_RE33!$S$7:$S$874,$AB$2,BS_RE33!$N$7:$N$874,I62,BS_RE33!$P$7:$P$874,'30 days CF Table(JPY)'!G62,BS_RE33!$F$7:$F$874,'30 days CF Table(JPY)'!$C$2)</f>
        <v>0</v>
      </c>
      <c r="AC62" s="337">
        <f>SUMIFS(BS_RE33!$H$7:$H$874,BS_RE33!$S$7:$S$874,$AC$2,BS_RE33!$N$7:$N$874,I62,BS_RE33!$P$7:$P$874,'30 days CF Table(JPY)'!G62,BS_RE33!$F$7:$F$874,'30 days CF Table(JPY)'!$C$2)</f>
        <v>0</v>
      </c>
      <c r="AD62" s="337">
        <f>SUMIFS(BS_RE33!$H$7:$H$874,BS_RE33!$S$7:$S$874,$AD$2,BS_RE33!$N$7:$N$874,I62,BS_RE33!$P$7:$P$874,'30 days CF Table(JPY)'!G62,BS_RE33!$F$7:$F$874,'30 days CF Table(JPY)'!$C$2)</f>
        <v>0</v>
      </c>
      <c r="AE62" s="337">
        <f>SUMIFS(BS_RE33!$H$7:$H$874,BS_RE33!$S$7:$S$874,$AE$2,BS_RE33!$N$7:$N$874,I62,BS_RE33!$P$7:$P$874,'30 days CF Table(JPY)'!G62,BS_RE33!$F$7:$F$874,'30 days CF Table(JPY)'!$C$2)</f>
        <v>0</v>
      </c>
      <c r="AF62" s="337">
        <f>SUMIFS(BS_RE33!$H$7:$H$874,BS_RE33!$S$7:$S$874,$AF$2,BS_RE33!$N$7:$N$874,I62,BS_RE33!$P$7:$P$874,'30 days CF Table(JPY)'!G62,BS_RE33!$F$7:$F$874,'30 days CF Table(JPY)'!$C$2)</f>
        <v>0</v>
      </c>
      <c r="AG62" s="337">
        <f>SUMIFS(BS_RE33!$H$7:$H$874,BS_RE33!$S$7:$S$874,$AG$2,BS_RE33!$N$7:$N$874,I62,BS_RE33!$P$7:$P$874,'30 days CF Table(JPY)'!G62,BS_RE33!$F$7:$F$874,'30 days CF Table(JPY)'!$C$2)</f>
        <v>0</v>
      </c>
      <c r="AH62" s="337">
        <f>SUMIFS(BS_RE33!$H$7:$H$874,BS_RE33!$S$7:$S$874,$AH$2,BS_RE33!$N$7:$N$874,I62,BS_RE33!$P$7:$P$874,'30 days CF Table(JPY)'!G62,BS_RE33!$F$7:$F$874,'30 days CF Table(JPY)'!$C$2)</f>
        <v>0</v>
      </c>
      <c r="AI62" s="337">
        <f>SUMIFS(BS_RE33!$H$7:$H$874,BS_RE33!$S$7:$S$874,$AI$2,BS_RE33!$N$7:$N$874,I62,BS_RE33!$P$7:$P$874,'30 days CF Table(JPY)'!G62,BS_RE33!$F$7:$F$874,'30 days CF Table(JPY)'!$C$2)</f>
        <v>0</v>
      </c>
      <c r="AJ62" s="337">
        <f>SUMIFS(BS_RE33!$H$7:$H$874,BS_RE33!$S$7:$S$874,$AJ$2,BS_RE33!$N$7:$N$874,I62,BS_RE33!$P$7:$P$874,'30 days CF Table(JPY)'!G62,BS_RE33!$F$7:$F$874,'30 days CF Table(JPY)'!$C$2)</f>
        <v>0</v>
      </c>
      <c r="AK62" s="337">
        <f>SUMIFS(BS_RE33!$H$7:$H$874,BS_RE33!$S$7:$S$874,$AK$2,BS_RE33!$N$7:$N$874,I62,BS_RE33!$P$7:$P$874,'30 days CF Table(JPY)'!G62,BS_RE33!$F$7:$F$874,'30 days CF Table(JPY)'!$C$2)</f>
        <v>0</v>
      </c>
      <c r="AL62" s="337">
        <f>SUMIFS(BS_RE33!$H$7:$H$874,BS_RE33!$S$7:$S$874,$AL$2,BS_RE33!$N$7:$N$874,I62,BS_RE33!$P$7:$P$874,'30 days CF Table(JPY)'!G62,BS_RE33!$F$7:$F$874,'30 days CF Table(JPY)'!$C$2)</f>
        <v>0</v>
      </c>
      <c r="AM62" s="337">
        <f>SUMIFS(BS_RE33!$H$7:$H$874,BS_RE33!$S$7:$S$874,$AM$2,BS_RE33!$N$7:$N$874,I62,BS_RE33!$P$7:$P$874,'30 days CF Table(JPY)'!G62,BS_RE33!$F$7:$F$874,'30 days CF Table(JPY)'!$C$2)</f>
        <v>0</v>
      </c>
      <c r="AN62" s="337">
        <f>SUMIFS(BS_RE33!$H$7:$H$874,BS_RE33!$S$7:$S$874,$AN$2,BS_RE33!$N$7:$N$874,I62,BS_RE33!$P$7:$P$874,'30 days CF Table(JPY)'!G62,BS_RE33!$F$7:$F$874,'30 days CF Table(JPY)'!$C$2)</f>
        <v>0</v>
      </c>
      <c r="AO62" s="337">
        <f>SUMIFS(BS_RE33!$H$7:$H$874,BS_RE33!$S$7:$S$874,$AO$2,BS_RE33!$N$7:$N$874,I62,BS_RE33!$P$7:$P$874,'30 days CF Table(JPY)'!G62,BS_RE33!$F$7:$F$874,'30 days CF Table(JPY)'!$C$2)</f>
        <v>0</v>
      </c>
      <c r="AP62" s="338">
        <f>SUMIFS(BS_RE33!$H$7:$H$874,BS_RE33!$S$7:$S$874,$AP$2,BS_RE33!$N$7:$N$874,I62,BS_RE33!$P$7:$P$874,'30 days CF Table(JPY)'!G62,BS_RE33!$F$7:$F$874,'30 days CF Table(JPY)'!$C$2)</f>
        <v>0</v>
      </c>
      <c r="AR62" s="379">
        <f>SUMIFS(BS_RE33!$H$7:$H$874,BS_RE33!$S$7:$S$874,$AR$2,BS_RE33!$N$7:$N$874,I62,BS_RE33!$P$7:$P$874,'30 days CF Table(JPY)'!G62,BS_RE33!$F$7:$F$874,'30 days CF Table(JPY)'!$C$2)</f>
        <v>0</v>
      </c>
      <c r="AS62" s="379">
        <f>SUMIFS(BS_RE33!$H$7:$H$874,BS_RE33!$S$7:$S$874,$AS$2,BS_RE33!$N$7:$N$874,I62,BS_RE33!$P$7:$P$874,'30 days CF Table(JPY)'!G62,BS_RE33!$F$7:$F$874,'30 days CF Table(JPY)'!$C$2)</f>
        <v>0</v>
      </c>
      <c r="AT62" s="379">
        <f>SUMIFS(BS_RE33!$H$7:$H$874,BS_RE33!$S$7:$S$874,$AT$2,BS_RE33!$N$7:$N$874,I62,BS_RE33!$P$7:$P$874,'30 days CF Table(JPY)'!G62,BS_RE33!$F$7:$F$874,'30 days CF Table(JPY)'!$C$2)</f>
        <v>0</v>
      </c>
      <c r="AU62" s="379">
        <f>SUMIFS(BS_RE33!$H$7:$H$874,BS_RE33!$S$7:$S$874,$AU$2,BS_RE33!$N$7:$N$874,I62,BS_RE33!$P$7:$P$874,'30 days CF Table(JPY)'!G62,BS_RE33!$F$7:$F$874,'30 days CF Table(JPY)'!$C$2)</f>
        <v>0</v>
      </c>
      <c r="AV62" s="379">
        <f>SUMIFS(BS_RE33!$H$7:$H$874,BS_RE33!$S$7:$S$874,$AV$2,BS_RE33!$N$7:$N$874,I62,BS_RE33!$P$7:$P$874,'30 days CF Table(JPY)'!G62,BS_RE33!$F$7:$F$874,'30 days CF Table(JPY)'!$C$2)</f>
        <v>0</v>
      </c>
      <c r="AW62" s="379">
        <f>SUMIFS(BS_RE33!$H$7:$H$874,BS_RE33!$S$7:$S$874,$AW$2,BS_RE33!$N$7:$N$874,I62,BS_RE33!$P$7:$P$874,'30 days CF Table(JPY)'!G62,BS_RE33!$F$7:$F$874,'30 days CF Table(JPY)'!$C$2)</f>
        <v>0</v>
      </c>
      <c r="AX62" s="379">
        <f>SUMIFS(BS_RE33!$H$7:$H$874,BS_RE33!$S$7:$S$874,$AX$2,BS_RE33!$N$7:$N$874,I62,BS_RE33!$P$7:$P$874,'30 days CF Table(JPY)'!G62,BS_RE33!$F$7:$F$874,'30 days CF Table(JPY)'!$C$2)</f>
        <v>0</v>
      </c>
      <c r="AY62" s="379">
        <f>SUMIFS(BS_RE33!$H$7:$H$874,BS_RE33!$S$7:$S$874,$AY$2,BS_RE33!$N$7:$N$874,I62,BS_RE33!$P$7:$P$874,'30 days CF Table(JPY)'!G62,BS_RE33!$F$7:$F$874,'30 days CF Table(JPY)'!$C$2)</f>
        <v>0</v>
      </c>
      <c r="AZ62" s="379">
        <f>SUMIFS(BS_RE33!$H$7:$H$874,BS_RE33!$S$7:$S$874,$AZ$2,BS_RE33!$N$7:$N$874,I62,BS_RE33!$P$7:$P$874,'30 days CF Table(JPY)'!G62,BS_RE33!$F$7:$F$874,'30 days CF Table(JPY)'!$C$2)</f>
        <v>0</v>
      </c>
      <c r="BA62" s="379">
        <f>SUMIFS(BS_RE33!$H$7:$H$874,BS_RE33!$S$7:$S$874,$BA$2,BS_RE33!$N$7:$N$874,I62,BS_RE33!$P$7:$P$874,'30 days CF Table(JPY)'!G62,BS_RE33!$F$7:$F$874,'30 days CF Table(JPY)'!$C$2)</f>
        <v>0</v>
      </c>
      <c r="BB62" s="379">
        <f>SUMIFS(BS_RE33!$H$7:$H$874,BS_RE33!$S$7:$S$874,$BB$2,BS_RE33!$N$7:$N$874,I62,BS_RE33!$P$7:$P$874,'30 days CF Table(JPY)'!G62,BS_RE33!$F$7:$F$874,'30 days CF Table(JPY)'!$C$2)</f>
        <v>0</v>
      </c>
      <c r="BC62" s="379">
        <f>SUMIFS(BS_RE33!$H$7:$H$874,BS_RE33!$S$7:$S$874,$BC$2,BS_RE33!$N$7:$N$874,I62,BS_RE33!$P$7:$P$874,'30 days CF Table(JPY)'!G62,BS_RE33!$F$7:$F$874,'30 days CF Table(JPY)'!$C$2)</f>
        <v>0</v>
      </c>
      <c r="BD62" s="379">
        <f>SUMIFS(BS_RE33!$H$7:$H$874,BS_RE33!$S$7:$S$874,$BD$2,BS_RE33!$N$7:$N$874,I62,BS_RE33!$P$7:$P$874,'30 days CF Table(JPY)'!G62,BS_RE33!$F$7:$F$874,'30 days CF Table(JPY)'!$C$2)</f>
        <v>0</v>
      </c>
      <c r="BE62" s="379">
        <f>SUMIFS(BS_RE33!$H$7:$H$874,BS_RE33!$S$7:$S$874,$BE$2,BS_RE33!$N$7:$N$874,I62,BS_RE33!$P$7:$P$874,'30 days CF Table(JPY)'!G62,BS_RE33!$F$7:$F$874,'30 days CF Table(JPY)'!$C$2)</f>
        <v>0</v>
      </c>
      <c r="BF62" s="379">
        <f>SUMIFS(BS_RE33!$H$7:$H$874,BS_RE33!$S$7:$S$874,$BF$2,BS_RE33!$N$7:$N$874,I62,BS_RE33!$P$7:$P$874,'30 days CF Table(JPY)'!G62,BS_RE33!$F$7:$F$874,'30 days CF Table(JPY)'!$C$2)</f>
        <v>0</v>
      </c>
      <c r="BG62" s="379">
        <f>SUMIFS(BS_RE33!$H$7:$H$874,BS_RE33!$S$7:$S$874,$BG$2,BS_RE33!$N$7:$N$874,I62,BS_RE33!$P$7:$P$874,'30 days CF Table(JPY)'!G62,BS_RE33!$F$7:$F$874,'30 days CF Table(JPY)'!$C$2)</f>
        <v>0</v>
      </c>
      <c r="BH62" s="379">
        <f>SUMIFS(BS_RE33!$H$7:$H$874,BS_RE33!$S$7:$S$874,$BH$2,BS_RE33!$N$7:$N$874,I62,BS_RE33!$P$7:$P$874,'30 days CF Table(JPY)'!G62,BS_RE33!$F$7:$F$874,'30 days CF Table(JPY)'!$C$2)</f>
        <v>0</v>
      </c>
      <c r="BI62" s="379">
        <f>SUMIFS(BS_RE33!$H$7:$H$874,BS_RE33!$S$7:$S$874,$BI$2,BS_RE33!$N$7:$N$874,I62,BS_RE33!$P$7:$P$874,'30 days CF Table(JPY)'!G62,BS_RE33!$F$7:$F$874,'30 days CF Table(JPY)'!$C$2)</f>
        <v>0</v>
      </c>
      <c r="BJ62" s="379">
        <f>SUMIFS(BS_RE33!$H$7:$H$874,BS_RE33!$S$7:$S$874,$BJ$2,BS_RE33!$N$7:$N$874,I62,BS_RE33!$P$7:$P$874,'30 days CF Table(JPY)'!G62,BS_RE33!$F$7:$F$874,'30 days CF Table(JPY)'!$C$2)</f>
        <v>0</v>
      </c>
      <c r="BK62" s="379">
        <f>SUMIFS(BS_RE33!$H$7:$H$874,BS_RE33!$S$7:$S$874,$BK$2,BS_RE33!$N$7:$N$874,I62,BS_RE33!$P$7:$P$874,'30 days CF Table(JPY)'!G62,BS_RE33!$F$7:$F$874,'30 days CF Table(JPY)'!$C$2)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Table(JPY)'!G63,BS_RE33!$F$7:$F$874,'30 days CF Table(JPY)'!$C$2)</f>
        <v>0</v>
      </c>
      <c r="M63" s="337">
        <f>SUMIFS(BS_RE33!$H$7:$H$874,BS_RE33!$S$7:$S$874,$M$2,BS_RE33!$N$7:$N$874,I63,BS_RE33!$P$7:$P$874,'30 days CF Table(JPY)'!G63,BS_RE33!$F$7:$F$874,'30 days CF Table(JPY)'!$C$2)</f>
        <v>0</v>
      </c>
      <c r="N63" s="337">
        <f>SUMIFS(BS_RE33!$H$7:$H$874,BS_RE33!$S$7:$S$874,$N$2,BS_RE33!$N$7:$N$874,I63,BS_RE33!$P$7:$P$874,'30 days CF Table(JPY)'!G63,BS_RE33!$F$7:$F$874,'30 days CF Table(JPY)'!$C$2)</f>
        <v>0</v>
      </c>
      <c r="O63" s="337">
        <f>SUMIFS(BS_RE33!$H$7:$H$874,BS_RE33!$S$7:$S$874,$O$2,BS_RE33!$N$7:$N$874,I63,BS_RE33!$P$7:$P$874,'30 days CF Table(JPY)'!G63,BS_RE33!$F$7:$F$874,'30 days CF Table(JPY)'!$C$2)</f>
        <v>0</v>
      </c>
      <c r="P63" s="337">
        <f>SUMIFS(BS_RE33!$H$7:$H$874,BS_RE33!$S$7:$S$874,$P$2,BS_RE33!$N$7:$N$874,I63,BS_RE33!$P$7:$P$874,'30 days CF Table(JPY)'!G63,BS_RE33!$F$7:$F$874,'30 days CF Table(JPY)'!$C$2)</f>
        <v>0</v>
      </c>
      <c r="Q63" s="337">
        <f>SUMIFS(BS_RE33!$H$7:$H$874,BS_RE33!$S$7:$S$874,$Q$2,BS_RE33!$N$7:$N$874,I63,BS_RE33!$P$7:$P$874,'30 days CF Table(JPY)'!G63,BS_RE33!$F$7:$F$874,'30 days CF Table(JPY)'!$C$2)</f>
        <v>0</v>
      </c>
      <c r="R63" s="337">
        <f>SUMIFS(BS_RE33!$H$7:$H$874,BS_RE33!$S$7:$S$874,$R$2,BS_RE33!$N$7:$N$874,I63,BS_RE33!$P$7:$P$874,'30 days CF Table(JPY)'!G63,BS_RE33!$F$7:$F$874,'30 days CF Table(JPY)'!$C$2)</f>
        <v>0</v>
      </c>
      <c r="S63" s="337">
        <f>SUMIFS(BS_RE33!$H$7:$H$874,BS_RE33!$S$7:$S$874,$S$2,BS_RE33!$N$7:$N$874,I63,BS_RE33!$P$7:$P$874,'30 days CF Table(JPY)'!G63,BS_RE33!$F$7:$F$874,'30 days CF Table(JPY)'!$C$2)</f>
        <v>0</v>
      </c>
      <c r="T63" s="337">
        <f>SUMIFS(BS_RE33!$H$7:$H$874,BS_RE33!$S$7:$S$874,$T$2,BS_RE33!$N$7:$N$874,I63,BS_RE33!$P$7:$P$874,'30 days CF Table(JPY)'!G63,BS_RE33!$F$7:$F$874,'30 days CF Table(JPY)'!$C$2)</f>
        <v>0</v>
      </c>
      <c r="U63" s="337">
        <f>SUMIFS(BS_RE33!$H$7:$H$874,BS_RE33!$S$7:$S$874,$U$2,BS_RE33!$N$7:$N$874,I63,BS_RE33!$P$7:$P$874,'30 days CF Table(JPY)'!G63,BS_RE33!$F$7:$F$874,'30 days CF Table(JPY)'!$C$2)</f>
        <v>0</v>
      </c>
      <c r="V63" s="337">
        <f>SUMIFS(BS_RE33!$H$7:$H$874,BS_RE33!$S$7:$S$874,$V$2,BS_RE33!$N$7:$N$874,I63,BS_RE33!$P$7:$P$874,'30 days CF Table(JPY)'!G63,BS_RE33!$F$7:$F$874,'30 days CF Table(JPY)'!$C$2)</f>
        <v>0</v>
      </c>
      <c r="W63" s="337">
        <f>SUMIFS(BS_RE33!$H$7:$H$874,BS_RE33!$S$7:$S$874,$W$2,BS_RE33!$N$7:$N$874,I63,BS_RE33!$P$7:$P$874,'30 days CF Table(JPY)'!G63,BS_RE33!$F$7:$F$874,'30 days CF Table(JPY)'!$C$2)</f>
        <v>0</v>
      </c>
      <c r="X63" s="337">
        <f>SUMIFS(BS_RE33!$H$7:$H$874,BS_RE33!$S$7:$S$874,$X$2,BS_RE33!$N$7:$N$874,I63,BS_RE33!$P$7:$P$874,'30 days CF Table(JPY)'!G63,BS_RE33!$F$7:$F$874,'30 days CF Table(JPY)'!$C$2)</f>
        <v>0</v>
      </c>
      <c r="Y63" s="337">
        <f>SUMIFS(BS_RE33!$H$7:$H$874,BS_RE33!$S$7:$S$874,$Y$2,BS_RE33!$N$7:$N$874,I63,BS_RE33!$P$7:$P$874,'30 days CF Table(JPY)'!G63,BS_RE33!$F$7:$F$874,'30 days CF Table(JPY)'!$C$2)</f>
        <v>0</v>
      </c>
      <c r="Z63" s="337">
        <f>SUMIFS(BS_RE33!$H$7:$H$874,BS_RE33!$S$7:$S$874,$Z$2,BS_RE33!$N$7:$N$874,I63,BS_RE33!$P$7:$P$874,'30 days CF Table(JPY)'!G63,BS_RE33!$F$7:$F$874,'30 days CF Table(JPY)'!$C$2)</f>
        <v>0</v>
      </c>
      <c r="AA63" s="337">
        <f>SUMIFS(BS_RE33!$H$7:$H$874,BS_RE33!$S$7:$S$874,$AA$2,BS_RE33!$N$7:$N$874,I63,BS_RE33!$P$7:$P$874,'30 days CF Table(JPY)'!G63,BS_RE33!$F$7:$F$874,'30 days CF Table(JPY)'!$C$2)</f>
        <v>0</v>
      </c>
      <c r="AB63" s="337">
        <f>SUMIFS(BS_RE33!$H$7:$H$874,BS_RE33!$S$7:$S$874,$AB$2,BS_RE33!$N$7:$N$874,I63,BS_RE33!$P$7:$P$874,'30 days CF Table(JPY)'!G63,BS_RE33!$F$7:$F$874,'30 days CF Table(JPY)'!$C$2)</f>
        <v>0</v>
      </c>
      <c r="AC63" s="337">
        <f>SUMIFS(BS_RE33!$H$7:$H$874,BS_RE33!$S$7:$S$874,$AC$2,BS_RE33!$N$7:$N$874,I63,BS_RE33!$P$7:$P$874,'30 days CF Table(JPY)'!G63,BS_RE33!$F$7:$F$874,'30 days CF Table(JPY)'!$C$2)</f>
        <v>0</v>
      </c>
      <c r="AD63" s="337">
        <f>SUMIFS(BS_RE33!$H$7:$H$874,BS_RE33!$S$7:$S$874,$AD$2,BS_RE33!$N$7:$N$874,I63,BS_RE33!$P$7:$P$874,'30 days CF Table(JPY)'!G63,BS_RE33!$F$7:$F$874,'30 days CF Table(JPY)'!$C$2)</f>
        <v>0</v>
      </c>
      <c r="AE63" s="337">
        <f>SUMIFS(BS_RE33!$H$7:$H$874,BS_RE33!$S$7:$S$874,$AE$2,BS_RE33!$N$7:$N$874,I63,BS_RE33!$P$7:$P$874,'30 days CF Table(JPY)'!G63,BS_RE33!$F$7:$F$874,'30 days CF Table(JPY)'!$C$2)</f>
        <v>0</v>
      </c>
      <c r="AF63" s="337">
        <f>SUMIFS(BS_RE33!$H$7:$H$874,BS_RE33!$S$7:$S$874,$AF$2,BS_RE33!$N$7:$N$874,I63,BS_RE33!$P$7:$P$874,'30 days CF Table(JPY)'!G63,BS_RE33!$F$7:$F$874,'30 days CF Table(JPY)'!$C$2)</f>
        <v>0</v>
      </c>
      <c r="AG63" s="337">
        <f>SUMIFS(BS_RE33!$H$7:$H$874,BS_RE33!$S$7:$S$874,$AG$2,BS_RE33!$N$7:$N$874,I63,BS_RE33!$P$7:$P$874,'30 days CF Table(JPY)'!G63,BS_RE33!$F$7:$F$874,'30 days CF Table(JPY)'!$C$2)</f>
        <v>0</v>
      </c>
      <c r="AH63" s="337">
        <f>SUMIFS(BS_RE33!$H$7:$H$874,BS_RE33!$S$7:$S$874,$AH$2,BS_RE33!$N$7:$N$874,I63,BS_RE33!$P$7:$P$874,'30 days CF Table(JPY)'!G63,BS_RE33!$F$7:$F$874,'30 days CF Table(JPY)'!$C$2)</f>
        <v>0</v>
      </c>
      <c r="AI63" s="337">
        <f>SUMIFS(BS_RE33!$H$7:$H$874,BS_RE33!$S$7:$S$874,$AI$2,BS_RE33!$N$7:$N$874,I63,BS_RE33!$P$7:$P$874,'30 days CF Table(JPY)'!G63,BS_RE33!$F$7:$F$874,'30 days CF Table(JPY)'!$C$2)</f>
        <v>0</v>
      </c>
      <c r="AJ63" s="337">
        <f>SUMIFS(BS_RE33!$H$7:$H$874,BS_RE33!$S$7:$S$874,$AJ$2,BS_RE33!$N$7:$N$874,I63,BS_RE33!$P$7:$P$874,'30 days CF Table(JPY)'!G63,BS_RE33!$F$7:$F$874,'30 days CF Table(JPY)'!$C$2)</f>
        <v>0</v>
      </c>
      <c r="AK63" s="337">
        <f>SUMIFS(BS_RE33!$H$7:$H$874,BS_RE33!$S$7:$S$874,$AK$2,BS_RE33!$N$7:$N$874,I63,BS_RE33!$P$7:$P$874,'30 days CF Table(JPY)'!G63,BS_RE33!$F$7:$F$874,'30 days CF Table(JPY)'!$C$2)</f>
        <v>0</v>
      </c>
      <c r="AL63" s="337">
        <f>SUMIFS(BS_RE33!$H$7:$H$874,BS_RE33!$S$7:$S$874,$AL$2,BS_RE33!$N$7:$N$874,I63,BS_RE33!$P$7:$P$874,'30 days CF Table(JPY)'!G63,BS_RE33!$F$7:$F$874,'30 days CF Table(JPY)'!$C$2)</f>
        <v>0</v>
      </c>
      <c r="AM63" s="337">
        <f>SUMIFS(BS_RE33!$H$7:$H$874,BS_RE33!$S$7:$S$874,$AM$2,BS_RE33!$N$7:$N$874,I63,BS_RE33!$P$7:$P$874,'30 days CF Table(JPY)'!G63,BS_RE33!$F$7:$F$874,'30 days CF Table(JPY)'!$C$2)</f>
        <v>0</v>
      </c>
      <c r="AN63" s="337">
        <f>SUMIFS(BS_RE33!$H$7:$H$874,BS_RE33!$S$7:$S$874,$AN$2,BS_RE33!$N$7:$N$874,I63,BS_RE33!$P$7:$P$874,'30 days CF Table(JPY)'!G63,BS_RE33!$F$7:$F$874,'30 days CF Table(JPY)'!$C$2)</f>
        <v>0</v>
      </c>
      <c r="AO63" s="337">
        <f>SUMIFS(BS_RE33!$H$7:$H$874,BS_RE33!$S$7:$S$874,$AO$2,BS_RE33!$N$7:$N$874,I63,BS_RE33!$P$7:$P$874,'30 days CF Table(JPY)'!G63,BS_RE33!$F$7:$F$874,'30 days CF Table(JPY)'!$C$2)</f>
        <v>0</v>
      </c>
      <c r="AP63" s="338">
        <f>SUMIFS(BS_RE33!$H$7:$H$874,BS_RE33!$S$7:$S$874,$AP$2,BS_RE33!$N$7:$N$874,I63,BS_RE33!$P$7:$P$874,'30 days CF Table(JPY)'!G63,BS_RE33!$F$7:$F$874,'30 days CF Table(JPY)'!$C$2)</f>
        <v>0</v>
      </c>
      <c r="AR63" s="379">
        <f>SUMIFS(BS_RE33!$H$7:$H$874,BS_RE33!$S$7:$S$874,$AR$2,BS_RE33!$N$7:$N$874,I63,BS_RE33!$P$7:$P$874,'30 days CF Table(JPY)'!G63,BS_RE33!$F$7:$F$874,'30 days CF Table(JPY)'!$C$2)</f>
        <v>0</v>
      </c>
      <c r="AS63" s="379">
        <f>SUMIFS(BS_RE33!$H$7:$H$874,BS_RE33!$S$7:$S$874,$AS$2,BS_RE33!$N$7:$N$874,I63,BS_RE33!$P$7:$P$874,'30 days CF Table(JPY)'!G63,BS_RE33!$F$7:$F$874,'30 days CF Table(JPY)'!$C$2)</f>
        <v>0</v>
      </c>
      <c r="AT63" s="379">
        <f>SUMIFS(BS_RE33!$H$7:$H$874,BS_RE33!$S$7:$S$874,$AT$2,BS_RE33!$N$7:$N$874,I63,BS_RE33!$P$7:$P$874,'30 days CF Table(JPY)'!G63,BS_RE33!$F$7:$F$874,'30 days CF Table(JPY)'!$C$2)</f>
        <v>0</v>
      </c>
      <c r="AU63" s="379">
        <f>SUMIFS(BS_RE33!$H$7:$H$874,BS_RE33!$S$7:$S$874,$AU$2,BS_RE33!$N$7:$N$874,I63,BS_RE33!$P$7:$P$874,'30 days CF Table(JPY)'!G63,BS_RE33!$F$7:$F$874,'30 days CF Table(JPY)'!$C$2)</f>
        <v>0</v>
      </c>
      <c r="AV63" s="379">
        <f>SUMIFS(BS_RE33!$H$7:$H$874,BS_RE33!$S$7:$S$874,$AV$2,BS_RE33!$N$7:$N$874,I63,BS_RE33!$P$7:$P$874,'30 days CF Table(JPY)'!G63,BS_RE33!$F$7:$F$874,'30 days CF Table(JPY)'!$C$2)</f>
        <v>0</v>
      </c>
      <c r="AW63" s="379">
        <f>SUMIFS(BS_RE33!$H$7:$H$874,BS_RE33!$S$7:$S$874,$AW$2,BS_RE33!$N$7:$N$874,I63,BS_RE33!$P$7:$P$874,'30 days CF Table(JPY)'!G63,BS_RE33!$F$7:$F$874,'30 days CF Table(JPY)'!$C$2)</f>
        <v>0</v>
      </c>
      <c r="AX63" s="379">
        <f>SUMIFS(BS_RE33!$H$7:$H$874,BS_RE33!$S$7:$S$874,$AX$2,BS_RE33!$N$7:$N$874,I63,BS_RE33!$P$7:$P$874,'30 days CF Table(JPY)'!G63,BS_RE33!$F$7:$F$874,'30 days CF Table(JPY)'!$C$2)</f>
        <v>0</v>
      </c>
      <c r="AY63" s="379">
        <f>SUMIFS(BS_RE33!$H$7:$H$874,BS_RE33!$S$7:$S$874,$AY$2,BS_RE33!$N$7:$N$874,I63,BS_RE33!$P$7:$P$874,'30 days CF Table(JPY)'!G63,BS_RE33!$F$7:$F$874,'30 days CF Table(JPY)'!$C$2)</f>
        <v>0</v>
      </c>
      <c r="AZ63" s="379">
        <f>SUMIFS(BS_RE33!$H$7:$H$874,BS_RE33!$S$7:$S$874,$AZ$2,BS_RE33!$N$7:$N$874,I63,BS_RE33!$P$7:$P$874,'30 days CF Table(JPY)'!G63,BS_RE33!$F$7:$F$874,'30 days CF Table(JPY)'!$C$2)</f>
        <v>0</v>
      </c>
      <c r="BA63" s="379">
        <f>SUMIFS(BS_RE33!$H$7:$H$874,BS_RE33!$S$7:$S$874,$BA$2,BS_RE33!$N$7:$N$874,I63,BS_RE33!$P$7:$P$874,'30 days CF Table(JPY)'!G63,BS_RE33!$F$7:$F$874,'30 days CF Table(JPY)'!$C$2)</f>
        <v>0</v>
      </c>
      <c r="BB63" s="379">
        <f>SUMIFS(BS_RE33!$H$7:$H$874,BS_RE33!$S$7:$S$874,$BB$2,BS_RE33!$N$7:$N$874,I63,BS_RE33!$P$7:$P$874,'30 days CF Table(JPY)'!G63,BS_RE33!$F$7:$F$874,'30 days CF Table(JPY)'!$C$2)</f>
        <v>0</v>
      </c>
      <c r="BC63" s="379">
        <f>SUMIFS(BS_RE33!$H$7:$H$874,BS_RE33!$S$7:$S$874,$BC$2,BS_RE33!$N$7:$N$874,I63,BS_RE33!$P$7:$P$874,'30 days CF Table(JPY)'!G63,BS_RE33!$F$7:$F$874,'30 days CF Table(JPY)'!$C$2)</f>
        <v>0</v>
      </c>
      <c r="BD63" s="379">
        <f>SUMIFS(BS_RE33!$H$7:$H$874,BS_RE33!$S$7:$S$874,$BD$2,BS_RE33!$N$7:$N$874,I63,BS_RE33!$P$7:$P$874,'30 days CF Table(JPY)'!G63,BS_RE33!$F$7:$F$874,'30 days CF Table(JPY)'!$C$2)</f>
        <v>0</v>
      </c>
      <c r="BE63" s="379">
        <f>SUMIFS(BS_RE33!$H$7:$H$874,BS_RE33!$S$7:$S$874,$BE$2,BS_RE33!$N$7:$N$874,I63,BS_RE33!$P$7:$P$874,'30 days CF Table(JPY)'!G63,BS_RE33!$F$7:$F$874,'30 days CF Table(JPY)'!$C$2)</f>
        <v>0</v>
      </c>
      <c r="BF63" s="379">
        <f>SUMIFS(BS_RE33!$H$7:$H$874,BS_RE33!$S$7:$S$874,$BF$2,BS_RE33!$N$7:$N$874,I63,BS_RE33!$P$7:$P$874,'30 days CF Table(JPY)'!G63,BS_RE33!$F$7:$F$874,'30 days CF Table(JPY)'!$C$2)</f>
        <v>0</v>
      </c>
      <c r="BG63" s="379">
        <f>SUMIFS(BS_RE33!$H$7:$H$874,BS_RE33!$S$7:$S$874,$BG$2,BS_RE33!$N$7:$N$874,I63,BS_RE33!$P$7:$P$874,'30 days CF Table(JPY)'!G63,BS_RE33!$F$7:$F$874,'30 days CF Table(JPY)'!$C$2)</f>
        <v>0</v>
      </c>
      <c r="BH63" s="379">
        <f>SUMIFS(BS_RE33!$H$7:$H$874,BS_RE33!$S$7:$S$874,$BH$2,BS_RE33!$N$7:$N$874,I63,BS_RE33!$P$7:$P$874,'30 days CF Table(JPY)'!G63,BS_RE33!$F$7:$F$874,'30 days CF Table(JPY)'!$C$2)</f>
        <v>0</v>
      </c>
      <c r="BI63" s="379">
        <f>SUMIFS(BS_RE33!$H$7:$H$874,BS_RE33!$S$7:$S$874,$BI$2,BS_RE33!$N$7:$N$874,I63,BS_RE33!$P$7:$P$874,'30 days CF Table(JPY)'!G63,BS_RE33!$F$7:$F$874,'30 days CF Table(JPY)'!$C$2)</f>
        <v>0</v>
      </c>
      <c r="BJ63" s="379">
        <f>SUMIFS(BS_RE33!$H$7:$H$874,BS_RE33!$S$7:$S$874,$BJ$2,BS_RE33!$N$7:$N$874,I63,BS_RE33!$P$7:$P$874,'30 days CF Table(JPY)'!G63,BS_RE33!$F$7:$F$874,'30 days CF Table(JPY)'!$C$2)</f>
        <v>0</v>
      </c>
      <c r="BK63" s="379">
        <f>SUMIFS(BS_RE33!$H$7:$H$874,BS_RE33!$S$7:$S$874,$BK$2,BS_RE33!$N$7:$N$874,I63,BS_RE33!$P$7:$P$874,'30 days CF Table(JPY)'!G63,BS_RE33!$F$7:$F$874,'30 days CF Table(JPY)'!$C$2)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Table(JPY)'!G64,BS_RE33!$F$7:$F$874,'30 days CF Table(JPY)'!$C$2)</f>
        <v>0</v>
      </c>
      <c r="M64" s="341">
        <f>SUMIFS(BS_RE33!$H$7:$H$874,BS_RE33!$S$7:$S$874,$M$2,BS_RE33!$N$7:$N$874,I64,BS_RE33!$P$7:$P$874,'30 days CF Table(JPY)'!G64,BS_RE33!$F$7:$F$874,'30 days CF Table(JPY)'!$C$2)</f>
        <v>0</v>
      </c>
      <c r="N64" s="341">
        <f>SUMIFS(BS_RE33!$H$7:$H$874,BS_RE33!$S$7:$S$874,$N$2,BS_RE33!$N$7:$N$874,I64,BS_RE33!$P$7:$P$874,'30 days CF Table(JPY)'!G64,BS_RE33!$F$7:$F$874,'30 days CF Table(JPY)'!$C$2)</f>
        <v>0</v>
      </c>
      <c r="O64" s="341">
        <f>SUMIFS(BS_RE33!$H$7:$H$874,BS_RE33!$S$7:$S$874,$O$2,BS_RE33!$N$7:$N$874,I64,BS_RE33!$P$7:$P$874,'30 days CF Table(JPY)'!G64,BS_RE33!$F$7:$F$874,'30 days CF Table(JPY)'!$C$2)</f>
        <v>0</v>
      </c>
      <c r="P64" s="341">
        <f>SUMIFS(BS_RE33!$H$7:$H$874,BS_RE33!$S$7:$S$874,$P$2,BS_RE33!$N$7:$N$874,I64,BS_RE33!$P$7:$P$874,'30 days CF Table(JPY)'!G64,BS_RE33!$F$7:$F$874,'30 days CF Table(JPY)'!$C$2)</f>
        <v>0</v>
      </c>
      <c r="Q64" s="341">
        <f>SUMIFS(BS_RE33!$H$7:$H$874,BS_RE33!$S$7:$S$874,$Q$2,BS_RE33!$N$7:$N$874,I64,BS_RE33!$P$7:$P$874,'30 days CF Table(JPY)'!G64,BS_RE33!$F$7:$F$874,'30 days CF Table(JPY)'!$C$2)</f>
        <v>0</v>
      </c>
      <c r="R64" s="341">
        <f>SUMIFS(BS_RE33!$H$7:$H$874,BS_RE33!$S$7:$S$874,$R$2,BS_RE33!$N$7:$N$874,I64,BS_RE33!$P$7:$P$874,'30 days CF Table(JPY)'!G64,BS_RE33!$F$7:$F$874,'30 days CF Table(JPY)'!$C$2)</f>
        <v>0</v>
      </c>
      <c r="S64" s="341">
        <f>SUMIFS(BS_RE33!$H$7:$H$874,BS_RE33!$S$7:$S$874,$S$2,BS_RE33!$N$7:$N$874,I64,BS_RE33!$P$7:$P$874,'30 days CF Table(JPY)'!G64,BS_RE33!$F$7:$F$874,'30 days CF Table(JPY)'!$C$2)</f>
        <v>0</v>
      </c>
      <c r="T64" s="341">
        <f>SUMIFS(BS_RE33!$H$7:$H$874,BS_RE33!$S$7:$S$874,$T$2,BS_RE33!$N$7:$N$874,I64,BS_RE33!$P$7:$P$874,'30 days CF Table(JPY)'!G64,BS_RE33!$F$7:$F$874,'30 days CF Table(JPY)'!$C$2)</f>
        <v>0</v>
      </c>
      <c r="U64" s="341">
        <f>SUMIFS(BS_RE33!$H$7:$H$874,BS_RE33!$S$7:$S$874,$U$2,BS_RE33!$N$7:$N$874,I64,BS_RE33!$P$7:$P$874,'30 days CF Table(JPY)'!G64,BS_RE33!$F$7:$F$874,'30 days CF Table(JPY)'!$C$2)</f>
        <v>0</v>
      </c>
      <c r="V64" s="341">
        <f>SUMIFS(BS_RE33!$H$7:$H$874,BS_RE33!$S$7:$S$874,$V$2,BS_RE33!$N$7:$N$874,I64,BS_RE33!$P$7:$P$874,'30 days CF Table(JPY)'!G64,BS_RE33!$F$7:$F$874,'30 days CF Table(JPY)'!$C$2)</f>
        <v>0</v>
      </c>
      <c r="W64" s="341">
        <f>SUMIFS(BS_RE33!$H$7:$H$874,BS_RE33!$S$7:$S$874,$W$2,BS_RE33!$N$7:$N$874,I64,BS_RE33!$P$7:$P$874,'30 days CF Table(JPY)'!G64,BS_RE33!$F$7:$F$874,'30 days CF Table(JPY)'!$C$2)</f>
        <v>0</v>
      </c>
      <c r="X64" s="341">
        <f>SUMIFS(BS_RE33!$H$7:$H$874,BS_RE33!$S$7:$S$874,$X$2,BS_RE33!$N$7:$N$874,I64,BS_RE33!$P$7:$P$874,'30 days CF Table(JPY)'!G64,BS_RE33!$F$7:$F$874,'30 days CF Table(JPY)'!$C$2)</f>
        <v>0</v>
      </c>
      <c r="Y64" s="341">
        <f>SUMIFS(BS_RE33!$H$7:$H$874,BS_RE33!$S$7:$S$874,$Y$2,BS_RE33!$N$7:$N$874,I64,BS_RE33!$P$7:$P$874,'30 days CF Table(JPY)'!G64,BS_RE33!$F$7:$F$874,'30 days CF Table(JPY)'!$C$2)</f>
        <v>0</v>
      </c>
      <c r="Z64" s="341">
        <f>SUMIFS(BS_RE33!$H$7:$H$874,BS_RE33!$S$7:$S$874,$Z$2,BS_RE33!$N$7:$N$874,I64,BS_RE33!$P$7:$P$874,'30 days CF Table(JPY)'!G64,BS_RE33!$F$7:$F$874,'30 days CF Table(JPY)'!$C$2)</f>
        <v>0</v>
      </c>
      <c r="AA64" s="341">
        <f>SUMIFS(BS_RE33!$H$7:$H$874,BS_RE33!$S$7:$S$874,$AA$2,BS_RE33!$N$7:$N$874,I64,BS_RE33!$P$7:$P$874,'30 days CF Table(JPY)'!G64,BS_RE33!$F$7:$F$874,'30 days CF Table(JPY)'!$C$2)</f>
        <v>0</v>
      </c>
      <c r="AB64" s="341">
        <f>SUMIFS(BS_RE33!$H$7:$H$874,BS_RE33!$S$7:$S$874,$AB$2,BS_RE33!$N$7:$N$874,I64,BS_RE33!$P$7:$P$874,'30 days CF Table(JPY)'!G64,BS_RE33!$F$7:$F$874,'30 days CF Table(JPY)'!$C$2)</f>
        <v>0</v>
      </c>
      <c r="AC64" s="341">
        <f>SUMIFS(BS_RE33!$H$7:$H$874,BS_RE33!$S$7:$S$874,$AC$2,BS_RE33!$N$7:$N$874,I64,BS_RE33!$P$7:$P$874,'30 days CF Table(JPY)'!G64,BS_RE33!$F$7:$F$874,'30 days CF Table(JPY)'!$C$2)</f>
        <v>0</v>
      </c>
      <c r="AD64" s="341">
        <f>SUMIFS(BS_RE33!$H$7:$H$874,BS_RE33!$S$7:$S$874,$AD$2,BS_RE33!$N$7:$N$874,I64,BS_RE33!$P$7:$P$874,'30 days CF Table(JPY)'!G64,BS_RE33!$F$7:$F$874,'30 days CF Table(JPY)'!$C$2)</f>
        <v>0</v>
      </c>
      <c r="AE64" s="341">
        <f>SUMIFS(BS_RE33!$H$7:$H$874,BS_RE33!$S$7:$S$874,$AE$2,BS_RE33!$N$7:$N$874,I64,BS_RE33!$P$7:$P$874,'30 days CF Table(JPY)'!G64,BS_RE33!$F$7:$F$874,'30 days CF Table(JPY)'!$C$2)</f>
        <v>0</v>
      </c>
      <c r="AF64" s="341">
        <f>SUMIFS(BS_RE33!$H$7:$H$874,BS_RE33!$S$7:$S$874,$AF$2,BS_RE33!$N$7:$N$874,I64,BS_RE33!$P$7:$P$874,'30 days CF Table(JPY)'!G64,BS_RE33!$F$7:$F$874,'30 days CF Table(JPY)'!$C$2)</f>
        <v>0</v>
      </c>
      <c r="AG64" s="341">
        <f>SUMIFS(BS_RE33!$H$7:$H$874,BS_RE33!$S$7:$S$874,$AG$2,BS_RE33!$N$7:$N$874,I64,BS_RE33!$P$7:$P$874,'30 days CF Table(JPY)'!G64,BS_RE33!$F$7:$F$874,'30 days CF Table(JPY)'!$C$2)</f>
        <v>0</v>
      </c>
      <c r="AH64" s="341">
        <f>SUMIFS(BS_RE33!$H$7:$H$874,BS_RE33!$S$7:$S$874,$AH$2,BS_RE33!$N$7:$N$874,I64,BS_RE33!$P$7:$P$874,'30 days CF Table(JPY)'!G64,BS_RE33!$F$7:$F$874,'30 days CF Table(JPY)'!$C$2)</f>
        <v>0</v>
      </c>
      <c r="AI64" s="341">
        <f>SUMIFS(BS_RE33!$H$7:$H$874,BS_RE33!$S$7:$S$874,$AI$2,BS_RE33!$N$7:$N$874,I64,BS_RE33!$P$7:$P$874,'30 days CF Table(JPY)'!G64,BS_RE33!$F$7:$F$874,'30 days CF Table(JPY)'!$C$2)</f>
        <v>0</v>
      </c>
      <c r="AJ64" s="341">
        <f>SUMIFS(BS_RE33!$H$7:$H$874,BS_RE33!$S$7:$S$874,$AJ$2,BS_RE33!$N$7:$N$874,I64,BS_RE33!$P$7:$P$874,'30 days CF Table(JPY)'!G64,BS_RE33!$F$7:$F$874,'30 days CF Table(JPY)'!$C$2)</f>
        <v>0</v>
      </c>
      <c r="AK64" s="341">
        <f>SUMIFS(BS_RE33!$H$7:$H$874,BS_RE33!$S$7:$S$874,$AK$2,BS_RE33!$N$7:$N$874,I64,BS_RE33!$P$7:$P$874,'30 days CF Table(JPY)'!G64,BS_RE33!$F$7:$F$874,'30 days CF Table(JPY)'!$C$2)</f>
        <v>0</v>
      </c>
      <c r="AL64" s="341">
        <f>SUMIFS(BS_RE33!$H$7:$H$874,BS_RE33!$S$7:$S$874,$AL$2,BS_RE33!$N$7:$N$874,I64,BS_RE33!$P$7:$P$874,'30 days CF Table(JPY)'!G64,BS_RE33!$F$7:$F$874,'30 days CF Table(JPY)'!$C$2)</f>
        <v>0</v>
      </c>
      <c r="AM64" s="341">
        <f>SUMIFS(BS_RE33!$H$7:$H$874,BS_RE33!$S$7:$S$874,$AM$2,BS_RE33!$N$7:$N$874,I64,BS_RE33!$P$7:$P$874,'30 days CF Table(JPY)'!G64,BS_RE33!$F$7:$F$874,'30 days CF Table(JPY)'!$C$2)</f>
        <v>0</v>
      </c>
      <c r="AN64" s="341">
        <f>SUMIFS(BS_RE33!$H$7:$H$874,BS_RE33!$S$7:$S$874,$AN$2,BS_RE33!$N$7:$N$874,I64,BS_RE33!$P$7:$P$874,'30 days CF Table(JPY)'!G64,BS_RE33!$F$7:$F$874,'30 days CF Table(JPY)'!$C$2)</f>
        <v>0</v>
      </c>
      <c r="AO64" s="341">
        <f>SUMIFS(BS_RE33!$H$7:$H$874,BS_RE33!$S$7:$S$874,$AO$2,BS_RE33!$N$7:$N$874,I64,BS_RE33!$P$7:$P$874,'30 days CF Table(JPY)'!G64,BS_RE33!$F$7:$F$874,'30 days CF Table(JPY)'!$C$2)</f>
        <v>0</v>
      </c>
      <c r="AP64" s="342">
        <f>SUMIFS(BS_RE33!$H$7:$H$874,BS_RE33!$S$7:$S$874,$AP$2,BS_RE33!$N$7:$N$874,I64,BS_RE33!$P$7:$P$874,'30 days CF Table(JPY)'!G64,BS_RE33!$F$7:$F$874,'30 days CF Table(JPY)'!$C$2)</f>
        <v>0</v>
      </c>
      <c r="AR64" s="381">
        <f>SUMIFS(BS_RE33!$H$7:$H$874,BS_RE33!$S$7:$S$874,$AR$2,BS_RE33!$N$7:$N$874,I64,BS_RE33!$P$7:$P$874,'30 days CF Table(JPY)'!G64,BS_RE33!$F$7:$F$874,'30 days CF Table(JPY)'!$C$2)</f>
        <v>0</v>
      </c>
      <c r="AS64" s="381">
        <f>SUMIFS(BS_RE33!$H$7:$H$874,BS_RE33!$S$7:$S$874,$AS$2,BS_RE33!$N$7:$N$874,I64,BS_RE33!$P$7:$P$874,'30 days CF Table(JPY)'!G64,BS_RE33!$F$7:$F$874,'30 days CF Table(JPY)'!$C$2)</f>
        <v>0</v>
      </c>
      <c r="AT64" s="381">
        <f>SUMIFS(BS_RE33!$H$7:$H$874,BS_RE33!$S$7:$S$874,$AT$2,BS_RE33!$N$7:$N$874,I64,BS_RE33!$P$7:$P$874,'30 days CF Table(JPY)'!G64,BS_RE33!$F$7:$F$874,'30 days CF Table(JPY)'!$C$2)</f>
        <v>0</v>
      </c>
      <c r="AU64" s="381">
        <f>SUMIFS(BS_RE33!$H$7:$H$874,BS_RE33!$S$7:$S$874,$AU$2,BS_RE33!$N$7:$N$874,I64,BS_RE33!$P$7:$P$874,'30 days CF Table(JPY)'!G64,BS_RE33!$F$7:$F$874,'30 days CF Table(JPY)'!$C$2)</f>
        <v>0</v>
      </c>
      <c r="AV64" s="381">
        <f>SUMIFS(BS_RE33!$H$7:$H$874,BS_RE33!$S$7:$S$874,$AV$2,BS_RE33!$N$7:$N$874,I64,BS_RE33!$P$7:$P$874,'30 days CF Table(JPY)'!G64,BS_RE33!$F$7:$F$874,'30 days CF Table(JPY)'!$C$2)</f>
        <v>0</v>
      </c>
      <c r="AW64" s="381">
        <f>SUMIFS(BS_RE33!$H$7:$H$874,BS_RE33!$S$7:$S$874,$AW$2,BS_RE33!$N$7:$N$874,I64,BS_RE33!$P$7:$P$874,'30 days CF Table(JPY)'!G64,BS_RE33!$F$7:$F$874,'30 days CF Table(JPY)'!$C$2)</f>
        <v>0</v>
      </c>
      <c r="AX64" s="381">
        <f>SUMIFS(BS_RE33!$H$7:$H$874,BS_RE33!$S$7:$S$874,$AX$2,BS_RE33!$N$7:$N$874,I64,BS_RE33!$P$7:$P$874,'30 days CF Table(JPY)'!G64,BS_RE33!$F$7:$F$874,'30 days CF Table(JPY)'!$C$2)</f>
        <v>0</v>
      </c>
      <c r="AY64" s="381">
        <f>SUMIFS(BS_RE33!$H$7:$H$874,BS_RE33!$S$7:$S$874,$AY$2,BS_RE33!$N$7:$N$874,I64,BS_RE33!$P$7:$P$874,'30 days CF Table(JPY)'!G64,BS_RE33!$F$7:$F$874,'30 days CF Table(JPY)'!$C$2)</f>
        <v>0</v>
      </c>
      <c r="AZ64" s="381">
        <f>SUMIFS(BS_RE33!$H$7:$H$874,BS_RE33!$S$7:$S$874,$AZ$2,BS_RE33!$N$7:$N$874,I64,BS_RE33!$P$7:$P$874,'30 days CF Table(JPY)'!G64,BS_RE33!$F$7:$F$874,'30 days CF Table(JPY)'!$C$2)</f>
        <v>0</v>
      </c>
      <c r="BA64" s="381">
        <f>SUMIFS(BS_RE33!$H$7:$H$874,BS_RE33!$S$7:$S$874,$BA$2,BS_RE33!$N$7:$N$874,I64,BS_RE33!$P$7:$P$874,'30 days CF Table(JPY)'!G64,BS_RE33!$F$7:$F$874,'30 days CF Table(JPY)'!$C$2)</f>
        <v>0</v>
      </c>
      <c r="BB64" s="381">
        <f>SUMIFS(BS_RE33!$H$7:$H$874,BS_RE33!$S$7:$S$874,$BB$2,BS_RE33!$N$7:$N$874,I64,BS_RE33!$P$7:$P$874,'30 days CF Table(JPY)'!G64,BS_RE33!$F$7:$F$874,'30 days CF Table(JPY)'!$C$2)</f>
        <v>0</v>
      </c>
      <c r="BC64" s="381">
        <f>SUMIFS(BS_RE33!$H$7:$H$874,BS_RE33!$S$7:$S$874,$BC$2,BS_RE33!$N$7:$N$874,I64,BS_RE33!$P$7:$P$874,'30 days CF Table(JPY)'!G64,BS_RE33!$F$7:$F$874,'30 days CF Table(JPY)'!$C$2)</f>
        <v>0</v>
      </c>
      <c r="BD64" s="381">
        <f>SUMIFS(BS_RE33!$H$7:$H$874,BS_RE33!$S$7:$S$874,$BD$2,BS_RE33!$N$7:$N$874,I64,BS_RE33!$P$7:$P$874,'30 days CF Table(JPY)'!G64,BS_RE33!$F$7:$F$874,'30 days CF Table(JPY)'!$C$2)</f>
        <v>0</v>
      </c>
      <c r="BE64" s="381">
        <f>SUMIFS(BS_RE33!$H$7:$H$874,BS_RE33!$S$7:$S$874,$BE$2,BS_RE33!$N$7:$N$874,I64,BS_RE33!$P$7:$P$874,'30 days CF Table(JPY)'!G64,BS_RE33!$F$7:$F$874,'30 days CF Table(JPY)'!$C$2)</f>
        <v>0</v>
      </c>
      <c r="BF64" s="381">
        <f>SUMIFS(BS_RE33!$H$7:$H$874,BS_RE33!$S$7:$S$874,$BF$2,BS_RE33!$N$7:$N$874,I64,BS_RE33!$P$7:$P$874,'30 days CF Table(JPY)'!G64,BS_RE33!$F$7:$F$874,'30 days CF Table(JPY)'!$C$2)</f>
        <v>0</v>
      </c>
      <c r="BG64" s="381">
        <f>SUMIFS(BS_RE33!$H$7:$H$874,BS_RE33!$S$7:$S$874,$BG$2,BS_RE33!$N$7:$N$874,I64,BS_RE33!$P$7:$P$874,'30 days CF Table(JPY)'!G64,BS_RE33!$F$7:$F$874,'30 days CF Table(JPY)'!$C$2)</f>
        <v>0</v>
      </c>
      <c r="BH64" s="381">
        <f>SUMIFS(BS_RE33!$H$7:$H$874,BS_RE33!$S$7:$S$874,$BH$2,BS_RE33!$N$7:$N$874,I64,BS_RE33!$P$7:$P$874,'30 days CF Table(JPY)'!G64,BS_RE33!$F$7:$F$874,'30 days CF Table(JPY)'!$C$2)</f>
        <v>0</v>
      </c>
      <c r="BI64" s="381">
        <f>SUMIFS(BS_RE33!$H$7:$H$874,BS_RE33!$S$7:$S$874,$BI$2,BS_RE33!$N$7:$N$874,I64,BS_RE33!$P$7:$P$874,'30 days CF Table(JPY)'!G64,BS_RE33!$F$7:$F$874,'30 days CF Table(JPY)'!$C$2)</f>
        <v>0</v>
      </c>
      <c r="BJ64" s="381">
        <f>SUMIFS(BS_RE33!$H$7:$H$874,BS_RE33!$S$7:$S$874,$BJ$2,BS_RE33!$N$7:$N$874,I64,BS_RE33!$P$7:$P$874,'30 days CF Table(JPY)'!G64,BS_RE33!$F$7:$F$874,'30 days CF Table(JPY)'!$C$2)</f>
        <v>0</v>
      </c>
      <c r="BK64" s="381">
        <f>SUMIFS(BS_RE33!$H$7:$H$874,BS_RE33!$S$7:$S$874,$BK$2,BS_RE33!$N$7:$N$874,I64,BS_RE33!$P$7:$P$874,'30 days CF Table(JPY)'!G64,BS_RE33!$F$7:$F$874,'30 days CF Table(JPY)'!$C$2)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Table(JPY)'!$C$2)/1000000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Table(JPY)'!$C$2)/1000000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Table(JPY)'!$C$2)/1000000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Table(JPY)'!$C$2)/1000000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Table(JPY)'!$C$2)/1000000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Table(JPY)'!$C$2)/1000000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Table(JPY)'!$C$2)/1000000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Table(JPY)'!$C$2)/1000000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t="b">
        <f>D94='Summary &amp; Working File(AllCcy)'!E21</f>
        <v>1</v>
      </c>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t="b">
        <f>D103='Summary &amp; Working File(AllCcy)'!I21</f>
        <v>1</v>
      </c>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J85*1000000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3" priority="1" operator="containsText" text="false">
      <formula>NOT(ISERROR(SEARCH("false",J88)))</formula>
    </cfRule>
    <cfRule type="containsText" dxfId="2" priority="2" operator="containsText" text="true">
      <formula>NOT(ISERROR(SEARCH("true",J88)))</formula>
    </cfRule>
  </conditionalFormatting>
  <dataValidations count="1">
    <dataValidation type="list" allowBlank="1" showInputMessage="1" showErrorMessage="1" sqref="C2" xr:uid="{00000000-0002-0000-0B00-000000000000}">
      <formula1>$I$80:$I$86</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1208</v>
      </c>
      <c r="E2" s="522"/>
      <c r="F2" s="522"/>
      <c r="G2" s="395"/>
      <c r="I2" s="395"/>
      <c r="J2" s="395"/>
      <c r="L2" s="319" t="s">
        <v>65</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733</v>
      </c>
      <c r="D3" s="321" t="s">
        <v>734</v>
      </c>
      <c r="E3" s="321" t="s">
        <v>55</v>
      </c>
      <c r="F3" s="321" t="s">
        <v>56</v>
      </c>
      <c r="G3" s="321" t="s">
        <v>5</v>
      </c>
      <c r="H3" s="321" t="s">
        <v>717</v>
      </c>
      <c r="I3" s="321" t="s">
        <v>494</v>
      </c>
      <c r="J3" s="475" t="s">
        <v>1177</v>
      </c>
      <c r="K3" s="322" t="s">
        <v>808</v>
      </c>
      <c r="L3" s="330" t="s">
        <v>807</v>
      </c>
      <c r="M3" s="330" t="s">
        <v>806</v>
      </c>
      <c r="N3" s="330" t="s">
        <v>777</v>
      </c>
      <c r="O3" s="330" t="s">
        <v>778</v>
      </c>
      <c r="P3" s="330" t="s">
        <v>779</v>
      </c>
      <c r="Q3" s="330" t="s">
        <v>780</v>
      </c>
      <c r="R3" s="330" t="s">
        <v>781</v>
      </c>
      <c r="S3" s="330" t="s">
        <v>782</v>
      </c>
      <c r="T3" s="330" t="s">
        <v>783</v>
      </c>
      <c r="U3" s="330" t="s">
        <v>784</v>
      </c>
      <c r="V3" s="330" t="s">
        <v>785</v>
      </c>
      <c r="W3" s="330" t="s">
        <v>786</v>
      </c>
      <c r="X3" s="330" t="s">
        <v>787</v>
      </c>
      <c r="Y3" s="330" t="s">
        <v>788</v>
      </c>
      <c r="Z3" s="330" t="s">
        <v>789</v>
      </c>
      <c r="AA3" s="330" t="s">
        <v>790</v>
      </c>
      <c r="AB3" s="330" t="s">
        <v>791</v>
      </c>
      <c r="AC3" s="330" t="s">
        <v>792</v>
      </c>
      <c r="AD3" s="330" t="s">
        <v>793</v>
      </c>
      <c r="AE3" s="330" t="s">
        <v>794</v>
      </c>
      <c r="AF3" s="330" t="s">
        <v>795</v>
      </c>
      <c r="AG3" s="330" t="s">
        <v>796</v>
      </c>
      <c r="AH3" s="330" t="s">
        <v>797</v>
      </c>
      <c r="AI3" s="330" t="s">
        <v>798</v>
      </c>
      <c r="AJ3" s="330" t="s">
        <v>799</v>
      </c>
      <c r="AK3" s="330" t="s">
        <v>800</v>
      </c>
      <c r="AL3" s="330" t="s">
        <v>801</v>
      </c>
      <c r="AM3" s="330" t="s">
        <v>802</v>
      </c>
      <c r="AN3" s="330" t="s">
        <v>803</v>
      </c>
      <c r="AO3" s="330" t="s">
        <v>804</v>
      </c>
      <c r="AP3" s="331" t="s">
        <v>805</v>
      </c>
      <c r="AR3" s="378" t="s">
        <v>823</v>
      </c>
      <c r="AS3" s="378" t="s">
        <v>824</v>
      </c>
      <c r="AT3" s="378" t="s">
        <v>825</v>
      </c>
      <c r="AU3" s="378" t="s">
        <v>826</v>
      </c>
      <c r="AV3" s="378" t="s">
        <v>827</v>
      </c>
      <c r="AW3" s="378" t="s">
        <v>828</v>
      </c>
      <c r="AX3" s="378" t="s">
        <v>829</v>
      </c>
      <c r="AY3" s="378" t="s">
        <v>830</v>
      </c>
      <c r="AZ3" s="378" t="s">
        <v>831</v>
      </c>
      <c r="BA3" s="378" t="s">
        <v>832</v>
      </c>
      <c r="BB3" s="378" t="s">
        <v>833</v>
      </c>
      <c r="BC3" s="378" t="s">
        <v>834</v>
      </c>
      <c r="BD3" s="378" t="s">
        <v>835</v>
      </c>
      <c r="BE3" s="378" t="s">
        <v>836</v>
      </c>
      <c r="BF3" s="378" t="s">
        <v>837</v>
      </c>
      <c r="BG3" s="378" t="s">
        <v>838</v>
      </c>
      <c r="BH3" s="378" t="s">
        <v>839</v>
      </c>
      <c r="BI3" s="378" t="s">
        <v>840</v>
      </c>
      <c r="BJ3" s="378" t="s">
        <v>841</v>
      </c>
      <c r="BK3" s="378" t="s">
        <v>842</v>
      </c>
    </row>
    <row r="4" spans="1:63">
      <c r="C4" s="1029" t="s">
        <v>735</v>
      </c>
      <c r="D4" s="1030" t="s">
        <v>736</v>
      </c>
      <c r="E4" s="73" t="s">
        <v>62</v>
      </c>
      <c r="F4" s="559"/>
      <c r="G4" s="392" t="s">
        <v>64</v>
      </c>
      <c r="H4" s="130">
        <v>1</v>
      </c>
      <c r="I4" s="305" t="s">
        <v>63</v>
      </c>
      <c r="J4" s="477">
        <f>SUM(L4:AP4)/1000000</f>
        <v>0</v>
      </c>
      <c r="K4" s="335">
        <f>SUM(L4:AP4)*H4</f>
        <v>0</v>
      </c>
      <c r="L4" s="337">
        <f>SUMIFS(BS_RE33!$H$7:$H$874,BS_RE33!$S$7:$S$874,$L$2,BS_RE33!$N$7:$N$874,I4,BS_RE33!$P$7:$P$874,'30 days CF Table(RMB)'!G4,BS_RE33!$F$7:$F$874,'30 days CF Table(RMB)'!$C$2)</f>
        <v>0</v>
      </c>
      <c r="M4" s="337">
        <f>SUMIFS(BS_RE33!$H$7:$H$874,BS_RE33!$S$7:$S$874,$M$2,BS_RE33!$N$7:$N$874,I4,BS_RE33!$P$7:$P$874,'30 days CF Table(RMB)'!G4,BS_RE33!$F$7:$F$874,'30 days CF Table(RMB)'!$C$2)</f>
        <v>0</v>
      </c>
      <c r="N4" s="337">
        <f>SUMIFS(BS_RE33!$H$7:$H$874,BS_RE33!$S$7:$S$874,$N$2,BS_RE33!$N$7:$N$874,I4,BS_RE33!$P$7:$P$874,'30 days CF Table(RMB)'!G4,BS_RE33!$F$7:$F$874,'30 days CF Table(RMB)'!$C$2)</f>
        <v>0</v>
      </c>
      <c r="O4" s="337">
        <f>SUMIFS(BS_RE33!$H$7:$H$874,BS_RE33!$S$7:$S$874,$O$2,BS_RE33!$N$7:$N$874,I4,BS_RE33!$P$7:$P$874,'30 days CF Table(RMB)'!G4,BS_RE33!$F$7:$F$874,'30 days CF Table(RMB)'!$C$2)</f>
        <v>0</v>
      </c>
      <c r="P4" s="337">
        <f>SUMIFS(BS_RE33!$H$7:$H$874,BS_RE33!$S$7:$S$874,$P$2,BS_RE33!$N$7:$N$874,I4,BS_RE33!$P$7:$P$874,'30 days CF Table(RMB)'!G4,BS_RE33!$F$7:$F$874,'30 days CF Table(RMB)'!$C$2)</f>
        <v>0</v>
      </c>
      <c r="Q4" s="337">
        <f>SUMIFS(BS_RE33!$H$7:$H$874,BS_RE33!$S$7:$S$874,$Q$2,BS_RE33!$N$7:$N$874,I4,BS_RE33!$P$7:$P$874,'30 days CF Table(RMB)'!G4,BS_RE33!$F$7:$F$874,'30 days CF Table(RMB)'!$C$2)</f>
        <v>0</v>
      </c>
      <c r="R4" s="337">
        <f>SUMIFS(BS_RE33!$H$7:$H$874,BS_RE33!$S$7:$S$874,$R$2,BS_RE33!$N$7:$N$874,I4,BS_RE33!$P$7:$P$874,'30 days CF Table(RMB)'!G4,BS_RE33!$F$7:$F$874,'30 days CF Table(RMB)'!$C$2)</f>
        <v>0</v>
      </c>
      <c r="S4" s="337">
        <f>SUMIFS(BS_RE33!$H$7:$H$874,BS_RE33!$S$7:$S$874,$S$2,BS_RE33!$N$7:$N$874,I4,BS_RE33!$P$7:$P$874,'30 days CF Table(RMB)'!G4,BS_RE33!$F$7:$F$874,'30 days CF Table(RMB)'!$C$2)</f>
        <v>0</v>
      </c>
      <c r="T4" s="337">
        <f>SUMIFS(BS_RE33!$H$7:$H$874,BS_RE33!$S$7:$S$874,$T$2,BS_RE33!$N$7:$N$874,I4,BS_RE33!$P$7:$P$874,'30 days CF Table(RMB)'!G4,BS_RE33!$F$7:$F$874,'30 days CF Table(RMB)'!$C$2)</f>
        <v>0</v>
      </c>
      <c r="U4" s="337">
        <f>SUMIFS(BS_RE33!$H$7:$H$874,BS_RE33!$S$7:$S$874,$U$2,BS_RE33!$N$7:$N$874,I4,BS_RE33!$P$7:$P$874,'30 days CF Table(RMB)'!G4,BS_RE33!$F$7:$F$874,'30 days CF Table(RMB)'!$C$2)</f>
        <v>0</v>
      </c>
      <c r="V4" s="337">
        <f>SUMIFS(BS_RE33!$H$7:$H$874,BS_RE33!$S$7:$S$874,$V$2,BS_RE33!$N$7:$N$874,I4,BS_RE33!$P$7:$P$874,'30 days CF Table(RMB)'!G4,BS_RE33!$F$7:$F$874,'30 days CF Table(RMB)'!$C$2)</f>
        <v>0</v>
      </c>
      <c r="W4" s="337">
        <f>SUMIFS(BS_RE33!$H$7:$H$874,BS_RE33!$S$7:$S$874,$W$2,BS_RE33!$N$7:$N$874,I4,BS_RE33!$P$7:$P$874,'30 days CF Table(RMB)'!G4,BS_RE33!$F$7:$F$874,'30 days CF Table(RMB)'!$C$2)</f>
        <v>0</v>
      </c>
      <c r="X4" s="337">
        <f>SUMIFS(BS_RE33!$H$7:$H$874,BS_RE33!$S$7:$S$874,$X$2,BS_RE33!$N$7:$N$874,I4,BS_RE33!$P$7:$P$874,'30 days CF Table(RMB)'!G4,BS_RE33!$F$7:$F$874,'30 days CF Table(RMB)'!$C$2)</f>
        <v>0</v>
      </c>
      <c r="Y4" s="337">
        <f>SUMIFS(BS_RE33!$H$7:$H$874,BS_RE33!$S$7:$S$874,$Y$2,BS_RE33!$N$7:$N$874,I4,BS_RE33!$P$7:$P$874,'30 days CF Table(RMB)'!G4,BS_RE33!$F$7:$F$874,'30 days CF Table(RMB)'!$C$2)</f>
        <v>0</v>
      </c>
      <c r="Z4" s="337">
        <f>SUMIFS(BS_RE33!$H$7:$H$874,BS_RE33!$S$7:$S$874,$Z$2,BS_RE33!$N$7:$N$874,I4,BS_RE33!$P$7:$P$874,'30 days CF Table(RMB)'!G4,BS_RE33!$F$7:$F$874,'30 days CF Table(RMB)'!$C$2)</f>
        <v>0</v>
      </c>
      <c r="AA4" s="337">
        <f>SUMIFS(BS_RE33!$H$7:$H$874,BS_RE33!$S$7:$S$874,$AA$2,BS_RE33!$N$7:$N$874,I4,BS_RE33!$P$7:$P$874,'30 days CF Table(RMB)'!G4,BS_RE33!$F$7:$F$874,'30 days CF Table(RMB)'!$C$2)</f>
        <v>0</v>
      </c>
      <c r="AB4" s="337">
        <f>SUMIFS(BS_RE33!$H$7:$H$874,BS_RE33!$S$7:$S$874,$AB$2,BS_RE33!$N$7:$N$874,I4,BS_RE33!$P$7:$P$874,'30 days CF Table(RMB)'!G4,BS_RE33!$F$7:$F$874,'30 days CF Table(RMB)'!$C$2)</f>
        <v>0</v>
      </c>
      <c r="AC4" s="337">
        <f>SUMIFS(BS_RE33!$H$7:$H$874,BS_RE33!$S$7:$S$874,$AC$2,BS_RE33!$N$7:$N$874,I4,BS_RE33!$P$7:$P$874,'30 days CF Table(RMB)'!G4,BS_RE33!$F$7:$F$874,'30 days CF Table(RMB)'!$C$2)</f>
        <v>0</v>
      </c>
      <c r="AD4" s="337">
        <f>SUMIFS(BS_RE33!$H$7:$H$874,BS_RE33!$S$7:$S$874,$AD$2,BS_RE33!$N$7:$N$874,I4,BS_RE33!$P$7:$P$874,'30 days CF Table(RMB)'!G4,BS_RE33!$F$7:$F$874,'30 days CF Table(RMB)'!$C$2)</f>
        <v>0</v>
      </c>
      <c r="AE4" s="337">
        <f>SUMIFS(BS_RE33!$H$7:$H$874,BS_RE33!$S$7:$S$874,$AE$2,BS_RE33!$N$7:$N$874,I4,BS_RE33!$P$7:$P$874,'30 days CF Table(RMB)'!G4,BS_RE33!$F$7:$F$874,'30 days CF Table(RMB)'!$C$2)</f>
        <v>0</v>
      </c>
      <c r="AF4" s="337">
        <f>SUMIFS(BS_RE33!$H$7:$H$874,BS_RE33!$S$7:$S$874,$AF$2,BS_RE33!$N$7:$N$874,I4,BS_RE33!$P$7:$P$874,'30 days CF Table(RMB)'!G4,BS_RE33!$F$7:$F$874,'30 days CF Table(RMB)'!$C$2)</f>
        <v>0</v>
      </c>
      <c r="AG4" s="337">
        <f>SUMIFS(BS_RE33!$H$7:$H$874,BS_RE33!$S$7:$S$874,$AG$2,BS_RE33!$N$7:$N$874,I4,BS_RE33!$P$7:$P$874,'30 days CF Table(RMB)'!G4,BS_RE33!$F$7:$F$874,'30 days CF Table(RMB)'!$C$2)</f>
        <v>0</v>
      </c>
      <c r="AH4" s="337">
        <f>SUMIFS(BS_RE33!$H$7:$H$874,BS_RE33!$S$7:$S$874,$AH$2,BS_RE33!$N$7:$N$874,I4,BS_RE33!$P$7:$P$874,'30 days CF Table(RMB)'!G4,BS_RE33!$F$7:$F$874,'30 days CF Table(RMB)'!$C$2)</f>
        <v>0</v>
      </c>
      <c r="AI4" s="337">
        <f>SUMIFS(BS_RE33!$H$7:$H$874,BS_RE33!$S$7:$S$874,$AI$2,BS_RE33!$N$7:$N$874,I4,BS_RE33!$P$7:$P$874,'30 days CF Table(RMB)'!G4,BS_RE33!$F$7:$F$874,'30 days CF Table(RMB)'!$C$2)</f>
        <v>0</v>
      </c>
      <c r="AJ4" s="337">
        <f>SUMIFS(BS_RE33!$H$7:$H$874,BS_RE33!$S$7:$S$874,$AJ$2,BS_RE33!$N$7:$N$874,I4,BS_RE33!$P$7:$P$874,'30 days CF Table(RMB)'!G4,BS_RE33!$F$7:$F$874,'30 days CF Table(RMB)'!$C$2)</f>
        <v>0</v>
      </c>
      <c r="AK4" s="337">
        <f>SUMIFS(BS_RE33!$H$7:$H$874,BS_RE33!$S$7:$S$874,$AK$2,BS_RE33!$N$7:$N$874,I4,BS_RE33!$P$7:$P$874,'30 days CF Table(RMB)'!G4,BS_RE33!$F$7:$F$874,'30 days CF Table(RMB)'!$C$2)</f>
        <v>0</v>
      </c>
      <c r="AL4" s="337">
        <f>SUMIFS(BS_RE33!$H$7:$H$874,BS_RE33!$S$7:$S$874,$AL$2,BS_RE33!$N$7:$N$874,I4,BS_RE33!$P$7:$P$874,'30 days CF Table(RMB)'!G4,BS_RE33!$F$7:$F$874,'30 days CF Table(RMB)'!$C$2)</f>
        <v>0</v>
      </c>
      <c r="AM4" s="337">
        <f>SUMIFS(BS_RE33!$H$7:$H$874,BS_RE33!$S$7:$S$874,$AM$2,BS_RE33!$N$7:$N$874,I4,BS_RE33!$P$7:$P$874,'30 days CF Table(RMB)'!G4,BS_RE33!$F$7:$F$874,'30 days CF Table(RMB)'!$C$2)</f>
        <v>0</v>
      </c>
      <c r="AN4" s="337">
        <f>SUMIFS(BS_RE33!$H$7:$H$874,BS_RE33!$S$7:$S$874,$AN$2,BS_RE33!$N$7:$N$874,I4,BS_RE33!$P$7:$P$874,'30 days CF Table(RMB)'!G4,BS_RE33!$F$7:$F$874,'30 days CF Table(RMB)'!$C$2)</f>
        <v>0</v>
      </c>
      <c r="AO4" s="337">
        <f>SUMIFS(BS_RE33!$H$7:$H$874,BS_RE33!$S$7:$S$874,$AO$2,BS_RE33!$N$7:$N$874,I4,BS_RE33!$P$7:$P$874,'30 days CF Table(RMB)'!G4,BS_RE33!$F$7:$F$874,'30 days CF Table(RMB)'!$C$2)</f>
        <v>0</v>
      </c>
      <c r="AP4" s="338">
        <f>SUMIFS(BS_RE33!$H$7:$H$874,BS_RE33!$S$7:$S$874,$AP$2,BS_RE33!$N$7:$N$874,I4,BS_RE33!$P$7:$P$874,'30 days CF Table(RMB)'!G4,BS_RE33!$F$7:$F$874,'30 days CF Table(RMB)'!$C$2)</f>
        <v>0</v>
      </c>
      <c r="AQ4" s="545"/>
      <c r="AR4" s="379">
        <f>SUMIFS(BS_RE33!$H$7:$H$874,BS_RE33!$S$7:$S$874,$AR$2,BS_RE33!$N$7:$N$874,I4,BS_RE33!$P$7:$P$874,'30 days CF Table(RMB)'!G4,BS_RE33!$F$7:$F$874,'30 days CF Table(RMB)'!$C$2)</f>
        <v>0</v>
      </c>
      <c r="AS4" s="379">
        <f>SUMIFS(BS_RE33!$H$7:$H$874,BS_RE33!$S$7:$S$874,$AS$2,BS_RE33!$N$7:$N$874,I4,BS_RE33!$P$7:$P$874,'30 days CF Table(RMB)'!G4,BS_RE33!$F$7:$F$874,'30 days CF Table(RMB)'!$C$2)</f>
        <v>0</v>
      </c>
      <c r="AT4" s="379">
        <f>SUMIFS(BS_RE33!$H$7:$H$874,BS_RE33!$S$7:$S$874,$AT$2,BS_RE33!$N$7:$N$874,I4,BS_RE33!$P$7:$P$874,'30 days CF Table(RMB)'!G4,BS_RE33!$F$7:$F$874,'30 days CF Table(RMB)'!$C$2)</f>
        <v>0</v>
      </c>
      <c r="AU4" s="379">
        <f>SUMIFS(BS_RE33!$H$7:$H$874,BS_RE33!$S$7:$S$874,$AU$2,BS_RE33!$N$7:$N$874,I4,BS_RE33!$P$7:$P$874,'30 days CF Table(RMB)'!G4,BS_RE33!$F$7:$F$874,'30 days CF Table(RMB)'!$C$2)</f>
        <v>0</v>
      </c>
      <c r="AV4" s="379">
        <f>SUMIFS(BS_RE33!$H$7:$H$874,BS_RE33!$S$7:$S$874,$AV$2,BS_RE33!$N$7:$N$874,I4,BS_RE33!$P$7:$P$874,'30 days CF Table(RMB)'!G4,BS_RE33!$F$7:$F$874,'30 days CF Table(RMB)'!$C$2)</f>
        <v>0</v>
      </c>
      <c r="AW4" s="379">
        <f>SUMIFS(BS_RE33!$H$7:$H$874,BS_RE33!$S$7:$S$874,$AW$2,BS_RE33!$N$7:$N$874,I4,BS_RE33!$P$7:$P$874,'30 days CF Table(RMB)'!G4,BS_RE33!$F$7:$F$874,'30 days CF Table(RMB)'!$C$2)</f>
        <v>0</v>
      </c>
      <c r="AX4" s="379">
        <f>SUMIFS(BS_RE33!$H$7:$H$874,BS_RE33!$S$7:$S$874,$AX$2,BS_RE33!$N$7:$N$874,I4,BS_RE33!$P$7:$P$874,'30 days CF Table(RMB)'!G4,BS_RE33!$F$7:$F$874,'30 days CF Table(RMB)'!$C$2)</f>
        <v>0</v>
      </c>
      <c r="AY4" s="379">
        <f>SUMIFS(BS_RE33!$H$7:$H$874,BS_RE33!$S$7:$S$874,$AY$2,BS_RE33!$N$7:$N$874,I4,BS_RE33!$P$7:$P$874,'30 days CF Table(RMB)'!G4,BS_RE33!$F$7:$F$874,'30 days CF Table(RMB)'!$C$2)</f>
        <v>0</v>
      </c>
      <c r="AZ4" s="379">
        <f>SUMIFS(BS_RE33!$H$7:$H$874,BS_RE33!$S$7:$S$874,$AZ$2,BS_RE33!$N$7:$N$874,I4,BS_RE33!$P$7:$P$874,'30 days CF Table(RMB)'!G4,BS_RE33!$F$7:$F$874,'30 days CF Table(RMB)'!$C$2)</f>
        <v>0</v>
      </c>
      <c r="BA4" s="379">
        <f>SUMIFS(BS_RE33!$H$7:$H$874,BS_RE33!$S$7:$S$874,$BA$2,BS_RE33!$N$7:$N$874,I4,BS_RE33!$P$7:$P$874,'30 days CF Table(RMB)'!G4,BS_RE33!$F$7:$F$874,'30 days CF Table(RMB)'!$C$2)</f>
        <v>0</v>
      </c>
      <c r="BB4" s="379">
        <f>SUMIFS(BS_RE33!$H$7:$H$874,BS_RE33!$S$7:$S$874,$BB$2,BS_RE33!$N$7:$N$874,I4,BS_RE33!$P$7:$P$874,'30 days CF Table(RMB)'!G4,BS_RE33!$F$7:$F$874,'30 days CF Table(RMB)'!$C$2)</f>
        <v>0</v>
      </c>
      <c r="BC4" s="379">
        <f>SUMIFS(BS_RE33!$H$7:$H$874,BS_RE33!$S$7:$S$874,$BC$2,BS_RE33!$N$7:$N$874,I4,BS_RE33!$P$7:$P$874,'30 days CF Table(RMB)'!G4,BS_RE33!$F$7:$F$874,'30 days CF Table(RMB)'!$C$2)</f>
        <v>0</v>
      </c>
      <c r="BD4" s="379">
        <f>SUMIFS(BS_RE33!$H$7:$H$874,BS_RE33!$S$7:$S$874,$BD$2,BS_RE33!$N$7:$N$874,I4,BS_RE33!$P$7:$P$874,'30 days CF Table(RMB)'!G4,BS_RE33!$F$7:$F$874,'30 days CF Table(RMB)'!$C$2)</f>
        <v>0</v>
      </c>
      <c r="BE4" s="379">
        <f>SUMIFS(BS_RE33!$H$7:$H$874,BS_RE33!$S$7:$S$874,$BE$2,BS_RE33!$N$7:$N$874,I4,BS_RE33!$P$7:$P$874,'30 days CF Table(RMB)'!G4,BS_RE33!$F$7:$F$874,'30 days CF Table(RMB)'!$C$2)</f>
        <v>0</v>
      </c>
      <c r="BF4" s="379">
        <f>SUMIFS(BS_RE33!$H$7:$H$874,BS_RE33!$S$7:$S$874,$BF$2,BS_RE33!$N$7:$N$874,I4,BS_RE33!$P$7:$P$874,'30 days CF Table(RMB)'!G4,BS_RE33!$F$7:$F$874,'30 days CF Table(RMB)'!$C$2)</f>
        <v>0</v>
      </c>
      <c r="BG4" s="379">
        <f>SUMIFS(BS_RE33!$H$7:$H$874,BS_RE33!$S$7:$S$874,$BG$2,BS_RE33!$N$7:$N$874,I4,BS_RE33!$P$7:$P$874,'30 days CF Table(RMB)'!G4,BS_RE33!$F$7:$F$874,'30 days CF Table(RMB)'!$C$2)</f>
        <v>0</v>
      </c>
      <c r="BH4" s="379">
        <f>SUMIFS(BS_RE33!$H$7:$H$874,BS_RE33!$S$7:$S$874,$BH$2,BS_RE33!$N$7:$N$874,I4,BS_RE33!$P$7:$P$874,'30 days CF Table(RMB)'!G4,BS_RE33!$F$7:$F$874,'30 days CF Table(RMB)'!$C$2)</f>
        <v>0</v>
      </c>
      <c r="BI4" s="379">
        <f>SUMIFS(BS_RE33!$H$7:$H$874,BS_RE33!$S$7:$S$874,$BI$2,BS_RE33!$N$7:$N$874,I4,BS_RE33!$P$7:$P$874,'30 days CF Table(RMB)'!G4,BS_RE33!$F$7:$F$874,'30 days CF Table(RMB)'!$C$2)</f>
        <v>0</v>
      </c>
      <c r="BJ4" s="379">
        <f>SUMIFS(BS_RE33!$H$7:$H$874,BS_RE33!$S$7:$S$874,$BJ$2,BS_RE33!$N$7:$N$874,I4,BS_RE33!$P$7:$P$874,'30 days CF Table(RMB)'!G4,BS_RE33!$F$7:$F$874,'30 days CF Table(RMB)'!$C$2)</f>
        <v>0</v>
      </c>
      <c r="BK4" s="379">
        <f>SUMIFS(BS_RE33!$H$7:$H$874,BS_RE33!$S$7:$S$874,$BK$2,BS_RE33!$N$7:$N$874,I4,BS_RE33!$P$7:$P$874,'30 days CF Table(RMB)'!G4,BS_RE33!$F$7:$F$874,'30 days CF Table(RMB)'!$C$2)</f>
        <v>0</v>
      </c>
    </row>
    <row r="5" spans="1:63">
      <c r="C5" s="1029"/>
      <c r="D5" s="1030"/>
      <c r="E5" s="73" t="s">
        <v>61</v>
      </c>
      <c r="F5" s="309"/>
      <c r="G5" s="392" t="s">
        <v>496</v>
      </c>
      <c r="H5" s="130">
        <v>1</v>
      </c>
      <c r="I5" s="305" t="s">
        <v>63</v>
      </c>
      <c r="J5" s="477">
        <f t="shared" ref="J5:J64" si="2">SUM(L5:AP5)/1000000</f>
        <v>0</v>
      </c>
      <c r="K5" s="335">
        <f t="shared" ref="K5:K64" si="3">SUM(L5:AP5)*H5</f>
        <v>0</v>
      </c>
      <c r="L5" s="337">
        <f>SUMIFS(BS_RE33!$H$7:$H$874,BS_RE33!$S$7:$S$874,$L$2,BS_RE33!$N$7:$N$874,I5,BS_RE33!$P$7:$P$874,'30 days CF Table(RMB)'!G5,BS_RE33!$F$7:$F$874,'30 days CF Table(RMB)'!$C$2)</f>
        <v>0</v>
      </c>
      <c r="M5" s="337">
        <f>SUMIFS(BS_RE33!$H$7:$H$874,BS_RE33!$S$7:$S$874,$M$2,BS_RE33!$N$7:$N$874,I5,BS_RE33!$P$7:$P$874,'30 days CF Table(RMB)'!G5,BS_RE33!$F$7:$F$874,'30 days CF Table(RMB)'!$C$2)</f>
        <v>0</v>
      </c>
      <c r="N5" s="337">
        <f>SUMIFS(BS_RE33!$H$7:$H$874,BS_RE33!$S$7:$S$874,$N$2,BS_RE33!$N$7:$N$874,I5,BS_RE33!$P$7:$P$874,'30 days CF Table(RMB)'!G5,BS_RE33!$F$7:$F$874,'30 days CF Table(RMB)'!$C$2)</f>
        <v>0</v>
      </c>
      <c r="O5" s="337">
        <f>SUMIFS(BS_RE33!$H$7:$H$874,BS_RE33!$S$7:$S$874,$O$2,BS_RE33!$N$7:$N$874,I5,BS_RE33!$P$7:$P$874,'30 days CF Table(RMB)'!G5,BS_RE33!$F$7:$F$874,'30 days CF Table(RMB)'!$C$2)</f>
        <v>0</v>
      </c>
      <c r="P5" s="337">
        <f>SUMIFS(BS_RE33!$H$7:$H$874,BS_RE33!$S$7:$S$874,$P$2,BS_RE33!$N$7:$N$874,I5,BS_RE33!$P$7:$P$874,'30 days CF Table(RMB)'!G5,BS_RE33!$F$7:$F$874,'30 days CF Table(RMB)'!$C$2)</f>
        <v>0</v>
      </c>
      <c r="Q5" s="337">
        <f>SUMIFS(BS_RE33!$H$7:$H$874,BS_RE33!$S$7:$S$874,$Q$2,BS_RE33!$N$7:$N$874,I5,BS_RE33!$P$7:$P$874,'30 days CF Table(RMB)'!G5,BS_RE33!$F$7:$F$874,'30 days CF Table(RMB)'!$C$2)</f>
        <v>0</v>
      </c>
      <c r="R5" s="337">
        <f>SUMIFS(BS_RE33!$H$7:$H$874,BS_RE33!$S$7:$S$874,$R$2,BS_RE33!$N$7:$N$874,I5,BS_RE33!$P$7:$P$874,'30 days CF Table(RMB)'!G5,BS_RE33!$F$7:$F$874,'30 days CF Table(RMB)'!$C$2)</f>
        <v>0</v>
      </c>
      <c r="S5" s="337">
        <f>SUMIFS(BS_RE33!$H$7:$H$874,BS_RE33!$S$7:$S$874,$S$2,BS_RE33!$N$7:$N$874,I5,BS_RE33!$P$7:$P$874,'30 days CF Table(RMB)'!G5,BS_RE33!$F$7:$F$874,'30 days CF Table(RMB)'!$C$2)</f>
        <v>0</v>
      </c>
      <c r="T5" s="337">
        <f>SUMIFS(BS_RE33!$H$7:$H$874,BS_RE33!$S$7:$S$874,$T$2,BS_RE33!$N$7:$N$874,I5,BS_RE33!$P$7:$P$874,'30 days CF Table(RMB)'!G5,BS_RE33!$F$7:$F$874,'30 days CF Table(RMB)'!$C$2)</f>
        <v>0</v>
      </c>
      <c r="U5" s="337">
        <f>SUMIFS(BS_RE33!$H$7:$H$874,BS_RE33!$S$7:$S$874,$U$2,BS_RE33!$N$7:$N$874,I5,BS_RE33!$P$7:$P$874,'30 days CF Table(RMB)'!G5,BS_RE33!$F$7:$F$874,'30 days CF Table(RMB)'!$C$2)</f>
        <v>0</v>
      </c>
      <c r="V5" s="337">
        <f>SUMIFS(BS_RE33!$H$7:$H$874,BS_RE33!$S$7:$S$874,$V$2,BS_RE33!$N$7:$N$874,I5,BS_RE33!$P$7:$P$874,'30 days CF Table(RMB)'!G5,BS_RE33!$F$7:$F$874,'30 days CF Table(RMB)'!$C$2)</f>
        <v>0</v>
      </c>
      <c r="W5" s="337">
        <f>SUMIFS(BS_RE33!$H$7:$H$874,BS_RE33!$S$7:$S$874,$W$2,BS_RE33!$N$7:$N$874,I5,BS_RE33!$P$7:$P$874,'30 days CF Table(RMB)'!G5,BS_RE33!$F$7:$F$874,'30 days CF Table(RMB)'!$C$2)</f>
        <v>0</v>
      </c>
      <c r="X5" s="337">
        <f>SUMIFS(BS_RE33!$H$7:$H$874,BS_RE33!$S$7:$S$874,$X$2,BS_RE33!$N$7:$N$874,I5,BS_RE33!$P$7:$P$874,'30 days CF Table(RMB)'!G5,BS_RE33!$F$7:$F$874,'30 days CF Table(RMB)'!$C$2)</f>
        <v>0</v>
      </c>
      <c r="Y5" s="337">
        <f>SUMIFS(BS_RE33!$H$7:$H$874,BS_RE33!$S$7:$S$874,$Y$2,BS_RE33!$N$7:$N$874,I5,BS_RE33!$P$7:$P$874,'30 days CF Table(RMB)'!G5,BS_RE33!$F$7:$F$874,'30 days CF Table(RMB)'!$C$2)</f>
        <v>0</v>
      </c>
      <c r="Z5" s="337">
        <f>SUMIFS(BS_RE33!$H$7:$H$874,BS_RE33!$S$7:$S$874,$Z$2,BS_RE33!$N$7:$N$874,I5,BS_RE33!$P$7:$P$874,'30 days CF Table(RMB)'!G5,BS_RE33!$F$7:$F$874,'30 days CF Table(RMB)'!$C$2)</f>
        <v>0</v>
      </c>
      <c r="AA5" s="337">
        <f>SUMIFS(BS_RE33!$H$7:$H$874,BS_RE33!$S$7:$S$874,$AA$2,BS_RE33!$N$7:$N$874,I5,BS_RE33!$P$7:$P$874,'30 days CF Table(RMB)'!G5,BS_RE33!$F$7:$F$874,'30 days CF Table(RMB)'!$C$2)</f>
        <v>0</v>
      </c>
      <c r="AB5" s="337">
        <f>SUMIFS(BS_RE33!$H$7:$H$874,BS_RE33!$S$7:$S$874,$AB$2,BS_RE33!$N$7:$N$874,I5,BS_RE33!$P$7:$P$874,'30 days CF Table(RMB)'!G5,BS_RE33!$F$7:$F$874,'30 days CF Table(RMB)'!$C$2)</f>
        <v>0</v>
      </c>
      <c r="AC5" s="337">
        <f>SUMIFS(BS_RE33!$H$7:$H$874,BS_RE33!$S$7:$S$874,$AC$2,BS_RE33!$N$7:$N$874,I5,BS_RE33!$P$7:$P$874,'30 days CF Table(RMB)'!G5,BS_RE33!$F$7:$F$874,'30 days CF Table(RMB)'!$C$2)</f>
        <v>0</v>
      </c>
      <c r="AD5" s="337">
        <f>SUMIFS(BS_RE33!$H$7:$H$874,BS_RE33!$S$7:$S$874,$AD$2,BS_RE33!$N$7:$N$874,I5,BS_RE33!$P$7:$P$874,'30 days CF Table(RMB)'!G5,BS_RE33!$F$7:$F$874,'30 days CF Table(RMB)'!$C$2)</f>
        <v>0</v>
      </c>
      <c r="AE5" s="337">
        <f>SUMIFS(BS_RE33!$H$7:$H$874,BS_RE33!$S$7:$S$874,$AE$2,BS_RE33!$N$7:$N$874,I5,BS_RE33!$P$7:$P$874,'30 days CF Table(RMB)'!G5,BS_RE33!$F$7:$F$874,'30 days CF Table(RMB)'!$C$2)</f>
        <v>0</v>
      </c>
      <c r="AF5" s="337">
        <f>SUMIFS(BS_RE33!$H$7:$H$874,BS_RE33!$S$7:$S$874,$AF$2,BS_RE33!$N$7:$N$874,I5,BS_RE33!$P$7:$P$874,'30 days CF Table(RMB)'!G5,BS_RE33!$F$7:$F$874,'30 days CF Table(RMB)'!$C$2)</f>
        <v>0</v>
      </c>
      <c r="AG5" s="337">
        <f>SUMIFS(BS_RE33!$H$7:$H$874,BS_RE33!$S$7:$S$874,$AG$2,BS_RE33!$N$7:$N$874,I5,BS_RE33!$P$7:$P$874,'30 days CF Table(RMB)'!G5,BS_RE33!$F$7:$F$874,'30 days CF Table(RMB)'!$C$2)</f>
        <v>0</v>
      </c>
      <c r="AH5" s="337">
        <f>SUMIFS(BS_RE33!$H$7:$H$874,BS_RE33!$S$7:$S$874,$AH$2,BS_RE33!$N$7:$N$874,I5,BS_RE33!$P$7:$P$874,'30 days CF Table(RMB)'!G5,BS_RE33!$F$7:$F$874,'30 days CF Table(RMB)'!$C$2)</f>
        <v>0</v>
      </c>
      <c r="AI5" s="337">
        <f>SUMIFS(BS_RE33!$H$7:$H$874,BS_RE33!$S$7:$S$874,$AI$2,BS_RE33!$N$7:$N$874,I5,BS_RE33!$P$7:$P$874,'30 days CF Table(RMB)'!G5,BS_RE33!$F$7:$F$874,'30 days CF Table(RMB)'!$C$2)</f>
        <v>0</v>
      </c>
      <c r="AJ5" s="337">
        <f>SUMIFS(BS_RE33!$H$7:$H$874,BS_RE33!$S$7:$S$874,$AJ$2,BS_RE33!$N$7:$N$874,I5,BS_RE33!$P$7:$P$874,'30 days CF Table(RMB)'!G5,BS_RE33!$F$7:$F$874,'30 days CF Table(RMB)'!$C$2)</f>
        <v>0</v>
      </c>
      <c r="AK5" s="337">
        <f>SUMIFS(BS_RE33!$H$7:$H$874,BS_RE33!$S$7:$S$874,$AK$2,BS_RE33!$N$7:$N$874,I5,BS_RE33!$P$7:$P$874,'30 days CF Table(RMB)'!G5,BS_RE33!$F$7:$F$874,'30 days CF Table(RMB)'!$C$2)</f>
        <v>0</v>
      </c>
      <c r="AL5" s="337">
        <f>SUMIFS(BS_RE33!$H$7:$H$874,BS_RE33!$S$7:$S$874,$AL$2,BS_RE33!$N$7:$N$874,I5,BS_RE33!$P$7:$P$874,'30 days CF Table(RMB)'!G5,BS_RE33!$F$7:$F$874,'30 days CF Table(RMB)'!$C$2)</f>
        <v>0</v>
      </c>
      <c r="AM5" s="337">
        <f>SUMIFS(BS_RE33!$H$7:$H$874,BS_RE33!$S$7:$S$874,$AM$2,BS_RE33!$N$7:$N$874,I5,BS_RE33!$P$7:$P$874,'30 days CF Table(RMB)'!G5,BS_RE33!$F$7:$F$874,'30 days CF Table(RMB)'!$C$2)</f>
        <v>0</v>
      </c>
      <c r="AN5" s="337">
        <f>SUMIFS(BS_RE33!$H$7:$H$874,BS_RE33!$S$7:$S$874,$AN$2,BS_RE33!$N$7:$N$874,I5,BS_RE33!$P$7:$P$874,'30 days CF Table(RMB)'!G5,BS_RE33!$F$7:$F$874,'30 days CF Table(RMB)'!$C$2)</f>
        <v>0</v>
      </c>
      <c r="AO5" s="337">
        <f>SUMIFS(BS_RE33!$H$7:$H$874,BS_RE33!$S$7:$S$874,$AO$2,BS_RE33!$N$7:$N$874,I5,BS_RE33!$P$7:$P$874,'30 days CF Table(RMB)'!G5,BS_RE33!$F$7:$F$874,'30 days CF Table(RMB)'!$C$2)</f>
        <v>0</v>
      </c>
      <c r="AP5" s="338">
        <f>SUMIFS(BS_RE33!$H$7:$H$874,BS_RE33!$S$7:$S$874,$AP$2,BS_RE33!$N$7:$N$874,I5,BS_RE33!$P$7:$P$874,'30 days CF Table(RMB)'!G5,BS_RE33!$F$7:$F$874,'30 days CF Table(RMB)'!$C$2)</f>
        <v>0</v>
      </c>
      <c r="AQ5" s="545"/>
      <c r="AR5" s="379">
        <f>SUMIFS(BS_RE33!$H$7:$H$874,BS_RE33!$S$7:$S$874,$AR$2,BS_RE33!$N$7:$N$874,I5,BS_RE33!$P$7:$P$874,'30 days CF Table(RMB)'!G5,BS_RE33!$F$7:$F$874,'30 days CF Table(RMB)'!$C$2)</f>
        <v>0</v>
      </c>
      <c r="AS5" s="379">
        <f>SUMIFS(BS_RE33!$H$7:$H$874,BS_RE33!$S$7:$S$874,$AS$2,BS_RE33!$N$7:$N$874,I5,BS_RE33!$P$7:$P$874,'30 days CF Table(RMB)'!G5,BS_RE33!$F$7:$F$874,'30 days CF Table(RMB)'!$C$2)</f>
        <v>0</v>
      </c>
      <c r="AT5" s="379">
        <f>SUMIFS(BS_RE33!$H$7:$H$874,BS_RE33!$S$7:$S$874,$AT$2,BS_RE33!$N$7:$N$874,I5,BS_RE33!$P$7:$P$874,'30 days CF Table(RMB)'!G5,BS_RE33!$F$7:$F$874,'30 days CF Table(RMB)'!$C$2)</f>
        <v>0</v>
      </c>
      <c r="AU5" s="379">
        <f>SUMIFS(BS_RE33!$H$7:$H$874,BS_RE33!$S$7:$S$874,$AU$2,BS_RE33!$N$7:$N$874,I5,BS_RE33!$P$7:$P$874,'30 days CF Table(RMB)'!G5,BS_RE33!$F$7:$F$874,'30 days CF Table(RMB)'!$C$2)</f>
        <v>0</v>
      </c>
      <c r="AV5" s="379">
        <f>SUMIFS(BS_RE33!$H$7:$H$874,BS_RE33!$S$7:$S$874,$AV$2,BS_RE33!$N$7:$N$874,I5,BS_RE33!$P$7:$P$874,'30 days CF Table(RMB)'!G5,BS_RE33!$F$7:$F$874,'30 days CF Table(RMB)'!$C$2)</f>
        <v>0</v>
      </c>
      <c r="AW5" s="379">
        <f>SUMIFS(BS_RE33!$H$7:$H$874,BS_RE33!$S$7:$S$874,$AW$2,BS_RE33!$N$7:$N$874,I5,BS_RE33!$P$7:$P$874,'30 days CF Table(RMB)'!G5,BS_RE33!$F$7:$F$874,'30 days CF Table(RMB)'!$C$2)</f>
        <v>0</v>
      </c>
      <c r="AX5" s="379">
        <f>SUMIFS(BS_RE33!$H$7:$H$874,BS_RE33!$S$7:$S$874,$AX$2,BS_RE33!$N$7:$N$874,I5,BS_RE33!$P$7:$P$874,'30 days CF Table(RMB)'!G5,BS_RE33!$F$7:$F$874,'30 days CF Table(RMB)'!$C$2)</f>
        <v>0</v>
      </c>
      <c r="AY5" s="379">
        <f>SUMIFS(BS_RE33!$H$7:$H$874,BS_RE33!$S$7:$S$874,$AY$2,BS_RE33!$N$7:$N$874,I5,BS_RE33!$P$7:$P$874,'30 days CF Table(RMB)'!G5,BS_RE33!$F$7:$F$874,'30 days CF Table(RMB)'!$C$2)</f>
        <v>0</v>
      </c>
      <c r="AZ5" s="379">
        <f>SUMIFS(BS_RE33!$H$7:$H$874,BS_RE33!$S$7:$S$874,$AZ$2,BS_RE33!$N$7:$N$874,I5,BS_RE33!$P$7:$P$874,'30 days CF Table(RMB)'!G5,BS_RE33!$F$7:$F$874,'30 days CF Table(RMB)'!$C$2)</f>
        <v>0</v>
      </c>
      <c r="BA5" s="379">
        <f>SUMIFS(BS_RE33!$H$7:$H$874,BS_RE33!$S$7:$S$874,$BA$2,BS_RE33!$N$7:$N$874,I5,BS_RE33!$P$7:$P$874,'30 days CF Table(RMB)'!G5,BS_RE33!$F$7:$F$874,'30 days CF Table(RMB)'!$C$2)</f>
        <v>0</v>
      </c>
      <c r="BB5" s="379">
        <f>SUMIFS(BS_RE33!$H$7:$H$874,BS_RE33!$S$7:$S$874,$BB$2,BS_RE33!$N$7:$N$874,I5,BS_RE33!$P$7:$P$874,'30 days CF Table(RMB)'!G5,BS_RE33!$F$7:$F$874,'30 days CF Table(RMB)'!$C$2)</f>
        <v>0</v>
      </c>
      <c r="BC5" s="379">
        <f>SUMIFS(BS_RE33!$H$7:$H$874,BS_RE33!$S$7:$S$874,$BC$2,BS_RE33!$N$7:$N$874,I5,BS_RE33!$P$7:$P$874,'30 days CF Table(RMB)'!G5,BS_RE33!$F$7:$F$874,'30 days CF Table(RMB)'!$C$2)</f>
        <v>0</v>
      </c>
      <c r="BD5" s="379">
        <f>SUMIFS(BS_RE33!$H$7:$H$874,BS_RE33!$S$7:$S$874,$BD$2,BS_RE33!$N$7:$N$874,I5,BS_RE33!$P$7:$P$874,'30 days CF Table(RMB)'!G5,BS_RE33!$F$7:$F$874,'30 days CF Table(RMB)'!$C$2)</f>
        <v>0</v>
      </c>
      <c r="BE5" s="379">
        <f>SUMIFS(BS_RE33!$H$7:$H$874,BS_RE33!$S$7:$S$874,$BE$2,BS_RE33!$N$7:$N$874,I5,BS_RE33!$P$7:$P$874,'30 days CF Table(RMB)'!G5,BS_RE33!$F$7:$F$874,'30 days CF Table(RMB)'!$C$2)</f>
        <v>0</v>
      </c>
      <c r="BF5" s="379">
        <f>SUMIFS(BS_RE33!$H$7:$H$874,BS_RE33!$S$7:$S$874,$BF$2,BS_RE33!$N$7:$N$874,I5,BS_RE33!$P$7:$P$874,'30 days CF Table(RMB)'!G5,BS_RE33!$F$7:$F$874,'30 days CF Table(RMB)'!$C$2)</f>
        <v>0</v>
      </c>
      <c r="BG5" s="379">
        <f>SUMIFS(BS_RE33!$H$7:$H$874,BS_RE33!$S$7:$S$874,$BG$2,BS_RE33!$N$7:$N$874,I5,BS_RE33!$P$7:$P$874,'30 days CF Table(RMB)'!G5,BS_RE33!$F$7:$F$874,'30 days CF Table(RMB)'!$C$2)</f>
        <v>0</v>
      </c>
      <c r="BH5" s="379">
        <f>SUMIFS(BS_RE33!$H$7:$H$874,BS_RE33!$S$7:$S$874,$BH$2,BS_RE33!$N$7:$N$874,I5,BS_RE33!$P$7:$P$874,'30 days CF Table(RMB)'!G5,BS_RE33!$F$7:$F$874,'30 days CF Table(RMB)'!$C$2)</f>
        <v>0</v>
      </c>
      <c r="BI5" s="379">
        <f>SUMIFS(BS_RE33!$H$7:$H$874,BS_RE33!$S$7:$S$874,$BI$2,BS_RE33!$N$7:$N$874,I5,BS_RE33!$P$7:$P$874,'30 days CF Table(RMB)'!G5,BS_RE33!$F$7:$F$874,'30 days CF Table(RMB)'!$C$2)</f>
        <v>0</v>
      </c>
      <c r="BJ5" s="379">
        <f>SUMIFS(BS_RE33!$H$7:$H$874,BS_RE33!$S$7:$S$874,$BJ$2,BS_RE33!$N$7:$N$874,I5,BS_RE33!$P$7:$P$874,'30 days CF Table(RMB)'!G5,BS_RE33!$F$7:$F$874,'30 days CF Table(RMB)'!$C$2)</f>
        <v>0</v>
      </c>
      <c r="BK5" s="379">
        <f>SUMIFS(BS_RE33!$H$7:$H$874,BS_RE33!$S$7:$S$874,$BK$2,BS_RE33!$N$7:$N$874,I5,BS_RE33!$P$7:$P$874,'30 days CF Table(RMB)'!G5,BS_RE33!$F$7:$F$874,'30 days CF Table(RMB)'!$C$2)</f>
        <v>0</v>
      </c>
    </row>
    <row r="6" spans="1:63" ht="20.25">
      <c r="C6" s="1029"/>
      <c r="D6" s="332" t="s">
        <v>737</v>
      </c>
      <c r="E6" s="310" t="s">
        <v>546</v>
      </c>
      <c r="F6" s="309"/>
      <c r="G6" s="392" t="s">
        <v>547</v>
      </c>
      <c r="H6" s="130">
        <v>1</v>
      </c>
      <c r="I6" s="305" t="s">
        <v>63</v>
      </c>
      <c r="J6" s="477">
        <f t="shared" si="2"/>
        <v>0</v>
      </c>
      <c r="K6" s="335">
        <f t="shared" si="3"/>
        <v>0</v>
      </c>
      <c r="L6" s="337">
        <f>SUMIFS(BS_RE33!$H$7:$H$874,BS_RE33!$S$7:$S$874,$L$2,BS_RE33!$N$7:$N$874,I6,BS_RE33!$P$7:$P$874,'30 days CF Table(RMB)'!G6,BS_RE33!$F$7:$F$874,'30 days CF Table(RMB)'!$C$2)</f>
        <v>0</v>
      </c>
      <c r="M6" s="337">
        <f>SUMIFS(BS_RE33!$H$7:$H$874,BS_RE33!$S$7:$S$874,$M$2,BS_RE33!$N$7:$N$874,I6,BS_RE33!$P$7:$P$874,'30 days CF Table(RMB)'!G6,BS_RE33!$F$7:$F$874,'30 days CF Table(RMB)'!$C$2)</f>
        <v>0</v>
      </c>
      <c r="N6" s="337">
        <f>SUMIFS(BS_RE33!$H$7:$H$874,BS_RE33!$S$7:$S$874,$N$2,BS_RE33!$N$7:$N$874,I6,BS_RE33!$P$7:$P$874,'30 days CF Table(RMB)'!G6,BS_RE33!$F$7:$F$874,'30 days CF Table(RMB)'!$C$2)</f>
        <v>0</v>
      </c>
      <c r="O6" s="337">
        <f>SUMIFS(BS_RE33!$H$7:$H$874,BS_RE33!$S$7:$S$874,$O$2,BS_RE33!$N$7:$N$874,I6,BS_RE33!$P$7:$P$874,'30 days CF Table(RMB)'!G6,BS_RE33!$F$7:$F$874,'30 days CF Table(RMB)'!$C$2)</f>
        <v>0</v>
      </c>
      <c r="P6" s="337">
        <f>SUMIFS(BS_RE33!$H$7:$H$874,BS_RE33!$S$7:$S$874,$P$2,BS_RE33!$N$7:$N$874,I6,BS_RE33!$P$7:$P$874,'30 days CF Table(RMB)'!G6,BS_RE33!$F$7:$F$874,'30 days CF Table(RMB)'!$C$2)</f>
        <v>0</v>
      </c>
      <c r="Q6" s="337">
        <f>SUMIFS(BS_RE33!$H$7:$H$874,BS_RE33!$S$7:$S$874,$Q$2,BS_RE33!$N$7:$N$874,I6,BS_RE33!$P$7:$P$874,'30 days CF Table(RMB)'!G6,BS_RE33!$F$7:$F$874,'30 days CF Table(RMB)'!$C$2)</f>
        <v>0</v>
      </c>
      <c r="R6" s="337">
        <f>SUMIFS(BS_RE33!$H$7:$H$874,BS_RE33!$S$7:$S$874,$R$2,BS_RE33!$N$7:$N$874,I6,BS_RE33!$P$7:$P$874,'30 days CF Table(RMB)'!G6,BS_RE33!$F$7:$F$874,'30 days CF Table(RMB)'!$C$2)</f>
        <v>0</v>
      </c>
      <c r="S6" s="337">
        <f>SUMIFS(BS_RE33!$H$7:$H$874,BS_RE33!$S$7:$S$874,$S$2,BS_RE33!$N$7:$N$874,I6,BS_RE33!$P$7:$P$874,'30 days CF Table(RMB)'!G6,BS_RE33!$F$7:$F$874,'30 days CF Table(RMB)'!$C$2)</f>
        <v>0</v>
      </c>
      <c r="T6" s="337">
        <f>SUMIFS(BS_RE33!$H$7:$H$874,BS_RE33!$S$7:$S$874,$T$2,BS_RE33!$N$7:$N$874,I6,BS_RE33!$P$7:$P$874,'30 days CF Table(RMB)'!G6,BS_RE33!$F$7:$F$874,'30 days CF Table(RMB)'!$C$2)</f>
        <v>0</v>
      </c>
      <c r="U6" s="337">
        <f>SUMIFS(BS_RE33!$H$7:$H$874,BS_RE33!$S$7:$S$874,$U$2,BS_RE33!$N$7:$N$874,I6,BS_RE33!$P$7:$P$874,'30 days CF Table(RMB)'!G6,BS_RE33!$F$7:$F$874,'30 days CF Table(RMB)'!$C$2)</f>
        <v>0</v>
      </c>
      <c r="V6" s="337">
        <f>SUMIFS(BS_RE33!$H$7:$H$874,BS_RE33!$S$7:$S$874,$V$2,BS_RE33!$N$7:$N$874,I6,BS_RE33!$P$7:$P$874,'30 days CF Table(RMB)'!G6,BS_RE33!$F$7:$F$874,'30 days CF Table(RMB)'!$C$2)</f>
        <v>0</v>
      </c>
      <c r="W6" s="337">
        <f>SUMIFS(BS_RE33!$H$7:$H$874,BS_RE33!$S$7:$S$874,$W$2,BS_RE33!$N$7:$N$874,I6,BS_RE33!$P$7:$P$874,'30 days CF Table(RMB)'!G6,BS_RE33!$F$7:$F$874,'30 days CF Table(RMB)'!$C$2)</f>
        <v>0</v>
      </c>
      <c r="X6" s="337">
        <f>SUMIFS(BS_RE33!$H$7:$H$874,BS_RE33!$S$7:$S$874,$X$2,BS_RE33!$N$7:$N$874,I6,BS_RE33!$P$7:$P$874,'30 days CF Table(RMB)'!G6,BS_RE33!$F$7:$F$874,'30 days CF Table(RMB)'!$C$2)</f>
        <v>0</v>
      </c>
      <c r="Y6" s="337">
        <f>SUMIFS(BS_RE33!$H$7:$H$874,BS_RE33!$S$7:$S$874,$Y$2,BS_RE33!$N$7:$N$874,I6,BS_RE33!$P$7:$P$874,'30 days CF Table(RMB)'!G6,BS_RE33!$F$7:$F$874,'30 days CF Table(RMB)'!$C$2)</f>
        <v>0</v>
      </c>
      <c r="Z6" s="337">
        <f>SUMIFS(BS_RE33!$H$7:$H$874,BS_RE33!$S$7:$S$874,$Z$2,BS_RE33!$N$7:$N$874,I6,BS_RE33!$P$7:$P$874,'30 days CF Table(RMB)'!G6,BS_RE33!$F$7:$F$874,'30 days CF Table(RMB)'!$C$2)</f>
        <v>0</v>
      </c>
      <c r="AA6" s="337">
        <f>SUMIFS(BS_RE33!$H$7:$H$874,BS_RE33!$S$7:$S$874,$AA$2,BS_RE33!$N$7:$N$874,I6,BS_RE33!$P$7:$P$874,'30 days CF Table(RMB)'!G6,BS_RE33!$F$7:$F$874,'30 days CF Table(RMB)'!$C$2)</f>
        <v>0</v>
      </c>
      <c r="AB6" s="337">
        <f>SUMIFS(BS_RE33!$H$7:$H$874,BS_RE33!$S$7:$S$874,$AB$2,BS_RE33!$N$7:$N$874,I6,BS_RE33!$P$7:$P$874,'30 days CF Table(RMB)'!G6,BS_RE33!$F$7:$F$874,'30 days CF Table(RMB)'!$C$2)</f>
        <v>0</v>
      </c>
      <c r="AC6" s="337">
        <f>SUMIFS(BS_RE33!$H$7:$H$874,BS_RE33!$S$7:$S$874,$AC$2,BS_RE33!$N$7:$N$874,I6,BS_RE33!$P$7:$P$874,'30 days CF Table(RMB)'!G6,BS_RE33!$F$7:$F$874,'30 days CF Table(RMB)'!$C$2)</f>
        <v>0</v>
      </c>
      <c r="AD6" s="337">
        <f>SUMIFS(BS_RE33!$H$7:$H$874,BS_RE33!$S$7:$S$874,$AD$2,BS_RE33!$N$7:$N$874,I6,BS_RE33!$P$7:$P$874,'30 days CF Table(RMB)'!G6,BS_RE33!$F$7:$F$874,'30 days CF Table(RMB)'!$C$2)</f>
        <v>0</v>
      </c>
      <c r="AE6" s="337">
        <f>SUMIFS(BS_RE33!$H$7:$H$874,BS_RE33!$S$7:$S$874,$AE$2,BS_RE33!$N$7:$N$874,I6,BS_RE33!$P$7:$P$874,'30 days CF Table(RMB)'!G6,BS_RE33!$F$7:$F$874,'30 days CF Table(RMB)'!$C$2)</f>
        <v>0</v>
      </c>
      <c r="AF6" s="337">
        <f>SUMIFS(BS_RE33!$H$7:$H$874,BS_RE33!$S$7:$S$874,$AF$2,BS_RE33!$N$7:$N$874,I6,BS_RE33!$P$7:$P$874,'30 days CF Table(RMB)'!G6,BS_RE33!$F$7:$F$874,'30 days CF Table(RMB)'!$C$2)</f>
        <v>0</v>
      </c>
      <c r="AG6" s="337">
        <f>SUMIFS(BS_RE33!$H$7:$H$874,BS_RE33!$S$7:$S$874,$AG$2,BS_RE33!$N$7:$N$874,I6,BS_RE33!$P$7:$P$874,'30 days CF Table(RMB)'!G6,BS_RE33!$F$7:$F$874,'30 days CF Table(RMB)'!$C$2)</f>
        <v>0</v>
      </c>
      <c r="AH6" s="337">
        <f>SUMIFS(BS_RE33!$H$7:$H$874,BS_RE33!$S$7:$S$874,$AH$2,BS_RE33!$N$7:$N$874,I6,BS_RE33!$P$7:$P$874,'30 days CF Table(RMB)'!G6,BS_RE33!$F$7:$F$874,'30 days CF Table(RMB)'!$C$2)</f>
        <v>0</v>
      </c>
      <c r="AI6" s="337">
        <f>SUMIFS(BS_RE33!$H$7:$H$874,BS_RE33!$S$7:$S$874,$AI$2,BS_RE33!$N$7:$N$874,I6,BS_RE33!$P$7:$P$874,'30 days CF Table(RMB)'!G6,BS_RE33!$F$7:$F$874,'30 days CF Table(RMB)'!$C$2)</f>
        <v>0</v>
      </c>
      <c r="AJ6" s="337">
        <f>SUMIFS(BS_RE33!$H$7:$H$874,BS_RE33!$S$7:$S$874,$AJ$2,BS_RE33!$N$7:$N$874,I6,BS_RE33!$P$7:$P$874,'30 days CF Table(RMB)'!G6,BS_RE33!$F$7:$F$874,'30 days CF Table(RMB)'!$C$2)</f>
        <v>0</v>
      </c>
      <c r="AK6" s="337">
        <f>SUMIFS(BS_RE33!$H$7:$H$874,BS_RE33!$S$7:$S$874,$AK$2,BS_RE33!$N$7:$N$874,I6,BS_RE33!$P$7:$P$874,'30 days CF Table(RMB)'!G6,BS_RE33!$F$7:$F$874,'30 days CF Table(RMB)'!$C$2)</f>
        <v>0</v>
      </c>
      <c r="AL6" s="337">
        <f>SUMIFS(BS_RE33!$H$7:$H$874,BS_RE33!$S$7:$S$874,$AL$2,BS_RE33!$N$7:$N$874,I6,BS_RE33!$P$7:$P$874,'30 days CF Table(RMB)'!G6,BS_RE33!$F$7:$F$874,'30 days CF Table(RMB)'!$C$2)</f>
        <v>0</v>
      </c>
      <c r="AM6" s="337">
        <f>SUMIFS(BS_RE33!$H$7:$H$874,BS_RE33!$S$7:$S$874,$AM$2,BS_RE33!$N$7:$N$874,I6,BS_RE33!$P$7:$P$874,'30 days CF Table(RMB)'!G6,BS_RE33!$F$7:$F$874,'30 days CF Table(RMB)'!$C$2)</f>
        <v>0</v>
      </c>
      <c r="AN6" s="337">
        <f>SUMIFS(BS_RE33!$H$7:$H$874,BS_RE33!$S$7:$S$874,$AN$2,BS_RE33!$N$7:$N$874,I6,BS_RE33!$P$7:$P$874,'30 days CF Table(RMB)'!G6,BS_RE33!$F$7:$F$874,'30 days CF Table(RMB)'!$C$2)</f>
        <v>0</v>
      </c>
      <c r="AO6" s="337">
        <f>SUMIFS(BS_RE33!$H$7:$H$874,BS_RE33!$S$7:$S$874,$AO$2,BS_RE33!$N$7:$N$874,I6,BS_RE33!$P$7:$P$874,'30 days CF Table(RMB)'!G6,BS_RE33!$F$7:$F$874,'30 days CF Table(RMB)'!$C$2)</f>
        <v>0</v>
      </c>
      <c r="AP6" s="338">
        <f>SUMIFS(BS_RE33!$H$7:$H$874,BS_RE33!$S$7:$S$874,$AP$2,BS_RE33!$N$7:$N$874,I6,BS_RE33!$P$7:$P$874,'30 days CF Table(RMB)'!G6,BS_RE33!$F$7:$F$874,'30 days CF Table(RMB)'!$C$2)</f>
        <v>0</v>
      </c>
      <c r="AQ6" s="545"/>
      <c r="AR6" s="379">
        <f>SUMIFS(BS_RE33!$H$7:$H$874,BS_RE33!$S$7:$S$874,$AR$2,BS_RE33!$N$7:$N$874,I6,BS_RE33!$P$7:$P$874,'30 days CF Table(RMB)'!G6,BS_RE33!$F$7:$F$874,'30 days CF Table(RMB)'!$C$2)</f>
        <v>0</v>
      </c>
      <c r="AS6" s="379">
        <f>SUMIFS(BS_RE33!$H$7:$H$874,BS_RE33!$S$7:$S$874,$AS$2,BS_RE33!$N$7:$N$874,I6,BS_RE33!$P$7:$P$874,'30 days CF Table(RMB)'!G6,BS_RE33!$F$7:$F$874,'30 days CF Table(RMB)'!$C$2)</f>
        <v>0</v>
      </c>
      <c r="AT6" s="379">
        <f>SUMIFS(BS_RE33!$H$7:$H$874,BS_RE33!$S$7:$S$874,$AT$2,BS_RE33!$N$7:$N$874,I6,BS_RE33!$P$7:$P$874,'30 days CF Table(RMB)'!G6,BS_RE33!$F$7:$F$874,'30 days CF Table(RMB)'!$C$2)</f>
        <v>0</v>
      </c>
      <c r="AU6" s="379">
        <f>SUMIFS(BS_RE33!$H$7:$H$874,BS_RE33!$S$7:$S$874,$AU$2,BS_RE33!$N$7:$N$874,I6,BS_RE33!$P$7:$P$874,'30 days CF Table(RMB)'!G6,BS_RE33!$F$7:$F$874,'30 days CF Table(RMB)'!$C$2)</f>
        <v>0</v>
      </c>
      <c r="AV6" s="379">
        <f>SUMIFS(BS_RE33!$H$7:$H$874,BS_RE33!$S$7:$S$874,$AV$2,BS_RE33!$N$7:$N$874,I6,BS_RE33!$P$7:$P$874,'30 days CF Table(RMB)'!G6,BS_RE33!$F$7:$F$874,'30 days CF Table(RMB)'!$C$2)</f>
        <v>0</v>
      </c>
      <c r="AW6" s="379">
        <f>SUMIFS(BS_RE33!$H$7:$H$874,BS_RE33!$S$7:$S$874,$AW$2,BS_RE33!$N$7:$N$874,I6,BS_RE33!$P$7:$P$874,'30 days CF Table(RMB)'!G6,BS_RE33!$F$7:$F$874,'30 days CF Table(RMB)'!$C$2)</f>
        <v>0</v>
      </c>
      <c r="AX6" s="379">
        <f>SUMIFS(BS_RE33!$H$7:$H$874,BS_RE33!$S$7:$S$874,$AX$2,BS_RE33!$N$7:$N$874,I6,BS_RE33!$P$7:$P$874,'30 days CF Table(RMB)'!G6,BS_RE33!$F$7:$F$874,'30 days CF Table(RMB)'!$C$2)</f>
        <v>0</v>
      </c>
      <c r="AY6" s="379">
        <f>SUMIFS(BS_RE33!$H$7:$H$874,BS_RE33!$S$7:$S$874,$AY$2,BS_RE33!$N$7:$N$874,I6,BS_RE33!$P$7:$P$874,'30 days CF Table(RMB)'!G6,BS_RE33!$F$7:$F$874,'30 days CF Table(RMB)'!$C$2)</f>
        <v>0</v>
      </c>
      <c r="AZ6" s="379">
        <f>SUMIFS(BS_RE33!$H$7:$H$874,BS_RE33!$S$7:$S$874,$AZ$2,BS_RE33!$N$7:$N$874,I6,BS_RE33!$P$7:$P$874,'30 days CF Table(RMB)'!G6,BS_RE33!$F$7:$F$874,'30 days CF Table(RMB)'!$C$2)</f>
        <v>0</v>
      </c>
      <c r="BA6" s="379">
        <f>SUMIFS(BS_RE33!$H$7:$H$874,BS_RE33!$S$7:$S$874,$BA$2,BS_RE33!$N$7:$N$874,I6,BS_RE33!$P$7:$P$874,'30 days CF Table(RMB)'!G6,BS_RE33!$F$7:$F$874,'30 days CF Table(RMB)'!$C$2)</f>
        <v>0</v>
      </c>
      <c r="BB6" s="379">
        <f>SUMIFS(BS_RE33!$H$7:$H$874,BS_RE33!$S$7:$S$874,$BB$2,BS_RE33!$N$7:$N$874,I6,BS_RE33!$P$7:$P$874,'30 days CF Table(RMB)'!G6,BS_RE33!$F$7:$F$874,'30 days CF Table(RMB)'!$C$2)</f>
        <v>0</v>
      </c>
      <c r="BC6" s="379">
        <f>SUMIFS(BS_RE33!$H$7:$H$874,BS_RE33!$S$7:$S$874,$BC$2,BS_RE33!$N$7:$N$874,I6,BS_RE33!$P$7:$P$874,'30 days CF Table(RMB)'!G6,BS_RE33!$F$7:$F$874,'30 days CF Table(RMB)'!$C$2)</f>
        <v>0</v>
      </c>
      <c r="BD6" s="379">
        <f>SUMIFS(BS_RE33!$H$7:$H$874,BS_RE33!$S$7:$S$874,$BD$2,BS_RE33!$N$7:$N$874,I6,BS_RE33!$P$7:$P$874,'30 days CF Table(RMB)'!G6,BS_RE33!$F$7:$F$874,'30 days CF Table(RMB)'!$C$2)</f>
        <v>0</v>
      </c>
      <c r="BE6" s="379">
        <f>SUMIFS(BS_RE33!$H$7:$H$874,BS_RE33!$S$7:$S$874,$BE$2,BS_RE33!$N$7:$N$874,I6,BS_RE33!$P$7:$P$874,'30 days CF Table(RMB)'!G6,BS_RE33!$F$7:$F$874,'30 days CF Table(RMB)'!$C$2)</f>
        <v>0</v>
      </c>
      <c r="BF6" s="379">
        <f>SUMIFS(BS_RE33!$H$7:$H$874,BS_RE33!$S$7:$S$874,$BF$2,BS_RE33!$N$7:$N$874,I6,BS_RE33!$P$7:$P$874,'30 days CF Table(RMB)'!G6,BS_RE33!$F$7:$F$874,'30 days CF Table(RMB)'!$C$2)</f>
        <v>0</v>
      </c>
      <c r="BG6" s="379">
        <f>SUMIFS(BS_RE33!$H$7:$H$874,BS_RE33!$S$7:$S$874,$BG$2,BS_RE33!$N$7:$N$874,I6,BS_RE33!$P$7:$P$874,'30 days CF Table(RMB)'!G6,BS_RE33!$F$7:$F$874,'30 days CF Table(RMB)'!$C$2)</f>
        <v>0</v>
      </c>
      <c r="BH6" s="379">
        <f>SUMIFS(BS_RE33!$H$7:$H$874,BS_RE33!$S$7:$S$874,$BH$2,BS_RE33!$N$7:$N$874,I6,BS_RE33!$P$7:$P$874,'30 days CF Table(RMB)'!G6,BS_RE33!$F$7:$F$874,'30 days CF Table(RMB)'!$C$2)</f>
        <v>0</v>
      </c>
      <c r="BI6" s="379">
        <f>SUMIFS(BS_RE33!$H$7:$H$874,BS_RE33!$S$7:$S$874,$BI$2,BS_RE33!$N$7:$N$874,I6,BS_RE33!$P$7:$P$874,'30 days CF Table(RMB)'!G6,BS_RE33!$F$7:$F$874,'30 days CF Table(RMB)'!$C$2)</f>
        <v>0</v>
      </c>
      <c r="BJ6" s="379">
        <f>SUMIFS(BS_RE33!$H$7:$H$874,BS_RE33!$S$7:$S$874,$BJ$2,BS_RE33!$N$7:$N$874,I6,BS_RE33!$P$7:$P$874,'30 days CF Table(RMB)'!G6,BS_RE33!$F$7:$F$874,'30 days CF Table(RMB)'!$C$2)</f>
        <v>0</v>
      </c>
      <c r="BK6" s="379">
        <f>SUMIFS(BS_RE33!$H$7:$H$874,BS_RE33!$S$7:$S$874,$BK$2,BS_RE33!$N$7:$N$874,I6,BS_RE33!$P$7:$P$874,'30 days CF Table(RMB)'!G6,BS_RE33!$F$7:$F$874,'30 days CF Table(RMB)'!$C$2)</f>
        <v>0</v>
      </c>
    </row>
    <row r="7" spans="1:63">
      <c r="C7" s="1029"/>
      <c r="D7" s="1030" t="s">
        <v>739</v>
      </c>
      <c r="E7" s="306" t="s">
        <v>69</v>
      </c>
      <c r="F7" s="560" t="s">
        <v>491</v>
      </c>
      <c r="G7" s="392" t="s">
        <v>497</v>
      </c>
      <c r="H7" s="130">
        <v>0.5</v>
      </c>
      <c r="I7" s="305" t="s">
        <v>63</v>
      </c>
      <c r="J7" s="477">
        <f t="shared" si="2"/>
        <v>0</v>
      </c>
      <c r="K7" s="335">
        <f t="shared" si="3"/>
        <v>0</v>
      </c>
      <c r="L7" s="337">
        <f>SUMIFS(BS_RE33!$H$7:$H$874,BS_RE33!$S$7:$S$874,$L$2,BS_RE33!$N$7:$N$874,I7,BS_RE33!$P$7:$P$874,'30 days CF Table(RMB)'!G7,BS_RE33!$F$7:$F$874,'30 days CF Table(RMB)'!$C$2)</f>
        <v>0</v>
      </c>
      <c r="M7" s="337">
        <f>SUMIFS(BS_RE33!$H$7:$H$874,BS_RE33!$S$7:$S$874,$M$2,BS_RE33!$N$7:$N$874,I7,BS_RE33!$P$7:$P$874,'30 days CF Table(RMB)'!G7,BS_RE33!$F$7:$F$874,'30 days CF Table(RMB)'!$C$2)</f>
        <v>0</v>
      </c>
      <c r="N7" s="337">
        <f>SUMIFS(BS_RE33!$H$7:$H$874,BS_RE33!$S$7:$S$874,$N$2,BS_RE33!$N$7:$N$874,I7,BS_RE33!$P$7:$P$874,'30 days CF Table(RMB)'!G7,BS_RE33!$F$7:$F$874,'30 days CF Table(RMB)'!$C$2)</f>
        <v>0</v>
      </c>
      <c r="O7" s="337">
        <f>SUMIFS(BS_RE33!$H$7:$H$874,BS_RE33!$S$7:$S$874,$O$2,BS_RE33!$N$7:$N$874,I7,BS_RE33!$P$7:$P$874,'30 days CF Table(RMB)'!G7,BS_RE33!$F$7:$F$874,'30 days CF Table(RMB)'!$C$2)</f>
        <v>0</v>
      </c>
      <c r="P7" s="337">
        <f>SUMIFS(BS_RE33!$H$7:$H$874,BS_RE33!$S$7:$S$874,$P$2,BS_RE33!$N$7:$N$874,I7,BS_RE33!$P$7:$P$874,'30 days CF Table(RMB)'!G7,BS_RE33!$F$7:$F$874,'30 days CF Table(RMB)'!$C$2)</f>
        <v>0</v>
      </c>
      <c r="Q7" s="337">
        <f>SUMIFS(BS_RE33!$H$7:$H$874,BS_RE33!$S$7:$S$874,$Q$2,BS_RE33!$N$7:$N$874,I7,BS_RE33!$P$7:$P$874,'30 days CF Table(RMB)'!G7,BS_RE33!$F$7:$F$874,'30 days CF Table(RMB)'!$C$2)</f>
        <v>0</v>
      </c>
      <c r="R7" s="337">
        <f>SUMIFS(BS_RE33!$H$7:$H$874,BS_RE33!$S$7:$S$874,$R$2,BS_RE33!$N$7:$N$874,I7,BS_RE33!$P$7:$P$874,'30 days CF Table(RMB)'!G7,BS_RE33!$F$7:$F$874,'30 days CF Table(RMB)'!$C$2)</f>
        <v>0</v>
      </c>
      <c r="S7" s="337">
        <f>SUMIFS(BS_RE33!$H$7:$H$874,BS_RE33!$S$7:$S$874,$S$2,BS_RE33!$N$7:$N$874,I7,BS_RE33!$P$7:$P$874,'30 days CF Table(RMB)'!G7,BS_RE33!$F$7:$F$874,'30 days CF Table(RMB)'!$C$2)</f>
        <v>0</v>
      </c>
      <c r="T7" s="337">
        <f>SUMIFS(BS_RE33!$H$7:$H$874,BS_RE33!$S$7:$S$874,$T$2,BS_RE33!$N$7:$N$874,I7,BS_RE33!$P$7:$P$874,'30 days CF Table(RMB)'!G7,BS_RE33!$F$7:$F$874,'30 days CF Table(RMB)'!$C$2)</f>
        <v>0</v>
      </c>
      <c r="U7" s="337">
        <f>SUMIFS(BS_RE33!$H$7:$H$874,BS_RE33!$S$7:$S$874,$U$2,BS_RE33!$N$7:$N$874,I7,BS_RE33!$P$7:$P$874,'30 days CF Table(RMB)'!G7,BS_RE33!$F$7:$F$874,'30 days CF Table(RMB)'!$C$2)</f>
        <v>0</v>
      </c>
      <c r="V7" s="337">
        <f>SUMIFS(BS_RE33!$H$7:$H$874,BS_RE33!$S$7:$S$874,$V$2,BS_RE33!$N$7:$N$874,I7,BS_RE33!$P$7:$P$874,'30 days CF Table(RMB)'!G7,BS_RE33!$F$7:$F$874,'30 days CF Table(RMB)'!$C$2)</f>
        <v>0</v>
      </c>
      <c r="W7" s="337">
        <f>SUMIFS(BS_RE33!$H$7:$H$874,BS_RE33!$S$7:$S$874,$W$2,BS_RE33!$N$7:$N$874,I7,BS_RE33!$P$7:$P$874,'30 days CF Table(RMB)'!G7,BS_RE33!$F$7:$F$874,'30 days CF Table(RMB)'!$C$2)</f>
        <v>0</v>
      </c>
      <c r="X7" s="337">
        <f>SUMIFS(BS_RE33!$H$7:$H$874,BS_RE33!$S$7:$S$874,$X$2,BS_RE33!$N$7:$N$874,I7,BS_RE33!$P$7:$P$874,'30 days CF Table(RMB)'!G7,BS_RE33!$F$7:$F$874,'30 days CF Table(RMB)'!$C$2)</f>
        <v>0</v>
      </c>
      <c r="Y7" s="337">
        <f>SUMIFS(BS_RE33!$H$7:$H$874,BS_RE33!$S$7:$S$874,$Y$2,BS_RE33!$N$7:$N$874,I7,BS_RE33!$P$7:$P$874,'30 days CF Table(RMB)'!G7,BS_RE33!$F$7:$F$874,'30 days CF Table(RMB)'!$C$2)</f>
        <v>0</v>
      </c>
      <c r="Z7" s="337">
        <f>SUMIFS(BS_RE33!$H$7:$H$874,BS_RE33!$S$7:$S$874,$Z$2,BS_RE33!$N$7:$N$874,I7,BS_RE33!$P$7:$P$874,'30 days CF Table(RMB)'!G7,BS_RE33!$F$7:$F$874,'30 days CF Table(RMB)'!$C$2)</f>
        <v>0</v>
      </c>
      <c r="AA7" s="337">
        <f>SUMIFS(BS_RE33!$H$7:$H$874,BS_RE33!$S$7:$S$874,$AA$2,BS_RE33!$N$7:$N$874,I7,BS_RE33!$P$7:$P$874,'30 days CF Table(RMB)'!G7,BS_RE33!$F$7:$F$874,'30 days CF Table(RMB)'!$C$2)</f>
        <v>0</v>
      </c>
      <c r="AB7" s="337">
        <f>SUMIFS(BS_RE33!$H$7:$H$874,BS_RE33!$S$7:$S$874,$AB$2,BS_RE33!$N$7:$N$874,I7,BS_RE33!$P$7:$P$874,'30 days CF Table(RMB)'!G7,BS_RE33!$F$7:$F$874,'30 days CF Table(RMB)'!$C$2)</f>
        <v>0</v>
      </c>
      <c r="AC7" s="337">
        <f>SUMIFS(BS_RE33!$H$7:$H$874,BS_RE33!$S$7:$S$874,$AC$2,BS_RE33!$N$7:$N$874,I7,BS_RE33!$P$7:$P$874,'30 days CF Table(RMB)'!G7,BS_RE33!$F$7:$F$874,'30 days CF Table(RMB)'!$C$2)</f>
        <v>0</v>
      </c>
      <c r="AD7" s="337">
        <f>SUMIFS(BS_RE33!$H$7:$H$874,BS_RE33!$S$7:$S$874,$AD$2,BS_RE33!$N$7:$N$874,I7,BS_RE33!$P$7:$P$874,'30 days CF Table(RMB)'!G7,BS_RE33!$F$7:$F$874,'30 days CF Table(RMB)'!$C$2)</f>
        <v>0</v>
      </c>
      <c r="AE7" s="337">
        <f>SUMIFS(BS_RE33!$H$7:$H$874,BS_RE33!$S$7:$S$874,$AE$2,BS_RE33!$N$7:$N$874,I7,BS_RE33!$P$7:$P$874,'30 days CF Table(RMB)'!G7,BS_RE33!$F$7:$F$874,'30 days CF Table(RMB)'!$C$2)</f>
        <v>0</v>
      </c>
      <c r="AF7" s="337">
        <f>SUMIFS(BS_RE33!$H$7:$H$874,BS_RE33!$S$7:$S$874,$AF$2,BS_RE33!$N$7:$N$874,I7,BS_RE33!$P$7:$P$874,'30 days CF Table(RMB)'!G7,BS_RE33!$F$7:$F$874,'30 days CF Table(RMB)'!$C$2)</f>
        <v>0</v>
      </c>
      <c r="AG7" s="337">
        <f>SUMIFS(BS_RE33!$H$7:$H$874,BS_RE33!$S$7:$S$874,$AG$2,BS_RE33!$N$7:$N$874,I7,BS_RE33!$P$7:$P$874,'30 days CF Table(RMB)'!G7,BS_RE33!$F$7:$F$874,'30 days CF Table(RMB)'!$C$2)</f>
        <v>0</v>
      </c>
      <c r="AH7" s="337">
        <f>SUMIFS(BS_RE33!$H$7:$H$874,BS_RE33!$S$7:$S$874,$AH$2,BS_RE33!$N$7:$N$874,I7,BS_RE33!$P$7:$P$874,'30 days CF Table(RMB)'!G7,BS_RE33!$F$7:$F$874,'30 days CF Table(RMB)'!$C$2)</f>
        <v>0</v>
      </c>
      <c r="AI7" s="337">
        <f>SUMIFS(BS_RE33!$H$7:$H$874,BS_RE33!$S$7:$S$874,$AI$2,BS_RE33!$N$7:$N$874,I7,BS_RE33!$P$7:$P$874,'30 days CF Table(RMB)'!G7,BS_RE33!$F$7:$F$874,'30 days CF Table(RMB)'!$C$2)</f>
        <v>0</v>
      </c>
      <c r="AJ7" s="337">
        <f>SUMIFS(BS_RE33!$H$7:$H$874,BS_RE33!$S$7:$S$874,$AJ$2,BS_RE33!$N$7:$N$874,I7,BS_RE33!$P$7:$P$874,'30 days CF Table(RMB)'!G7,BS_RE33!$F$7:$F$874,'30 days CF Table(RMB)'!$C$2)</f>
        <v>0</v>
      </c>
      <c r="AK7" s="337">
        <f>SUMIFS(BS_RE33!$H$7:$H$874,BS_RE33!$S$7:$S$874,$AK$2,BS_RE33!$N$7:$N$874,I7,BS_RE33!$P$7:$P$874,'30 days CF Table(RMB)'!G7,BS_RE33!$F$7:$F$874,'30 days CF Table(RMB)'!$C$2)</f>
        <v>0</v>
      </c>
      <c r="AL7" s="337">
        <f>SUMIFS(BS_RE33!$H$7:$H$874,BS_RE33!$S$7:$S$874,$AL$2,BS_RE33!$N$7:$N$874,I7,BS_RE33!$P$7:$P$874,'30 days CF Table(RMB)'!G7,BS_RE33!$F$7:$F$874,'30 days CF Table(RMB)'!$C$2)</f>
        <v>0</v>
      </c>
      <c r="AM7" s="337">
        <f>SUMIFS(BS_RE33!$H$7:$H$874,BS_RE33!$S$7:$S$874,$AM$2,BS_RE33!$N$7:$N$874,I7,BS_RE33!$P$7:$P$874,'30 days CF Table(RMB)'!G7,BS_RE33!$F$7:$F$874,'30 days CF Table(RMB)'!$C$2)</f>
        <v>0</v>
      </c>
      <c r="AN7" s="337">
        <f>SUMIFS(BS_RE33!$H$7:$H$874,BS_RE33!$S$7:$S$874,$AN$2,BS_RE33!$N$7:$N$874,I7,BS_RE33!$P$7:$P$874,'30 days CF Table(RMB)'!G7,BS_RE33!$F$7:$F$874,'30 days CF Table(RMB)'!$C$2)</f>
        <v>0</v>
      </c>
      <c r="AO7" s="337">
        <f>SUMIFS(BS_RE33!$H$7:$H$874,BS_RE33!$S$7:$S$874,$AO$2,BS_RE33!$N$7:$N$874,I7,BS_RE33!$P$7:$P$874,'30 days CF Table(RMB)'!G7,BS_RE33!$F$7:$F$874,'30 days CF Table(RMB)'!$C$2)</f>
        <v>0</v>
      </c>
      <c r="AP7" s="338">
        <f>SUMIFS(BS_RE33!$H$7:$H$874,BS_RE33!$S$7:$S$874,$AP$2,BS_RE33!$N$7:$N$874,I7,BS_RE33!$P$7:$P$874,'30 days CF Table(RMB)'!G7,BS_RE33!$F$7:$F$874,'30 days CF Table(RMB)'!$C$2)</f>
        <v>0</v>
      </c>
      <c r="AQ7" s="545"/>
      <c r="AR7" s="379">
        <f>SUMIFS(BS_RE33!$H$7:$H$874,BS_RE33!$S$7:$S$874,$AR$2,BS_RE33!$N$7:$N$874,I7,BS_RE33!$P$7:$P$874,'30 days CF Table(RMB)'!G7,BS_RE33!$F$7:$F$874,'30 days CF Table(RMB)'!$C$2)</f>
        <v>0</v>
      </c>
      <c r="AS7" s="379">
        <f>SUMIFS(BS_RE33!$H$7:$H$874,BS_RE33!$S$7:$S$874,$AS$2,BS_RE33!$N$7:$N$874,I7,BS_RE33!$P$7:$P$874,'30 days CF Table(RMB)'!G7,BS_RE33!$F$7:$F$874,'30 days CF Table(RMB)'!$C$2)</f>
        <v>0</v>
      </c>
      <c r="AT7" s="379">
        <f>SUMIFS(BS_RE33!$H$7:$H$874,BS_RE33!$S$7:$S$874,$AT$2,BS_RE33!$N$7:$N$874,I7,BS_RE33!$P$7:$P$874,'30 days CF Table(RMB)'!G7,BS_RE33!$F$7:$F$874,'30 days CF Table(RMB)'!$C$2)</f>
        <v>0</v>
      </c>
      <c r="AU7" s="379">
        <f>SUMIFS(BS_RE33!$H$7:$H$874,BS_RE33!$S$7:$S$874,$AU$2,BS_RE33!$N$7:$N$874,I7,BS_RE33!$P$7:$P$874,'30 days CF Table(RMB)'!G7,BS_RE33!$F$7:$F$874,'30 days CF Table(RMB)'!$C$2)</f>
        <v>0</v>
      </c>
      <c r="AV7" s="379">
        <f>SUMIFS(BS_RE33!$H$7:$H$874,BS_RE33!$S$7:$S$874,$AV$2,BS_RE33!$N$7:$N$874,I7,BS_RE33!$P$7:$P$874,'30 days CF Table(RMB)'!G7,BS_RE33!$F$7:$F$874,'30 days CF Table(RMB)'!$C$2)</f>
        <v>0</v>
      </c>
      <c r="AW7" s="379">
        <f>SUMIFS(BS_RE33!$H$7:$H$874,BS_RE33!$S$7:$S$874,$AW$2,BS_RE33!$N$7:$N$874,I7,BS_RE33!$P$7:$P$874,'30 days CF Table(RMB)'!G7,BS_RE33!$F$7:$F$874,'30 days CF Table(RMB)'!$C$2)</f>
        <v>0</v>
      </c>
      <c r="AX7" s="379">
        <f>SUMIFS(BS_RE33!$H$7:$H$874,BS_RE33!$S$7:$S$874,$AX$2,BS_RE33!$N$7:$N$874,I7,BS_RE33!$P$7:$P$874,'30 days CF Table(RMB)'!G7,BS_RE33!$F$7:$F$874,'30 days CF Table(RMB)'!$C$2)</f>
        <v>0</v>
      </c>
      <c r="AY7" s="379">
        <f>SUMIFS(BS_RE33!$H$7:$H$874,BS_RE33!$S$7:$S$874,$AY$2,BS_RE33!$N$7:$N$874,I7,BS_RE33!$P$7:$P$874,'30 days CF Table(RMB)'!G7,BS_RE33!$F$7:$F$874,'30 days CF Table(RMB)'!$C$2)</f>
        <v>0</v>
      </c>
      <c r="AZ7" s="379">
        <f>SUMIFS(BS_RE33!$H$7:$H$874,BS_RE33!$S$7:$S$874,$AZ$2,BS_RE33!$N$7:$N$874,I7,BS_RE33!$P$7:$P$874,'30 days CF Table(RMB)'!G7,BS_RE33!$F$7:$F$874,'30 days CF Table(RMB)'!$C$2)</f>
        <v>0</v>
      </c>
      <c r="BA7" s="379">
        <f>SUMIFS(BS_RE33!$H$7:$H$874,BS_RE33!$S$7:$S$874,$BA$2,BS_RE33!$N$7:$N$874,I7,BS_RE33!$P$7:$P$874,'30 days CF Table(RMB)'!G7,BS_RE33!$F$7:$F$874,'30 days CF Table(RMB)'!$C$2)</f>
        <v>0</v>
      </c>
      <c r="BB7" s="379">
        <f>SUMIFS(BS_RE33!$H$7:$H$874,BS_RE33!$S$7:$S$874,$BB$2,BS_RE33!$N$7:$N$874,I7,BS_RE33!$P$7:$P$874,'30 days CF Table(RMB)'!G7,BS_RE33!$F$7:$F$874,'30 days CF Table(RMB)'!$C$2)</f>
        <v>0</v>
      </c>
      <c r="BC7" s="379">
        <f>SUMIFS(BS_RE33!$H$7:$H$874,BS_RE33!$S$7:$S$874,$BC$2,BS_RE33!$N$7:$N$874,I7,BS_RE33!$P$7:$P$874,'30 days CF Table(RMB)'!G7,BS_RE33!$F$7:$F$874,'30 days CF Table(RMB)'!$C$2)</f>
        <v>0</v>
      </c>
      <c r="BD7" s="379">
        <f>SUMIFS(BS_RE33!$H$7:$H$874,BS_RE33!$S$7:$S$874,$BD$2,BS_RE33!$N$7:$N$874,I7,BS_RE33!$P$7:$P$874,'30 days CF Table(RMB)'!G7,BS_RE33!$F$7:$F$874,'30 days CF Table(RMB)'!$C$2)</f>
        <v>0</v>
      </c>
      <c r="BE7" s="379">
        <f>SUMIFS(BS_RE33!$H$7:$H$874,BS_RE33!$S$7:$S$874,$BE$2,BS_RE33!$N$7:$N$874,I7,BS_RE33!$P$7:$P$874,'30 days CF Table(RMB)'!G7,BS_RE33!$F$7:$F$874,'30 days CF Table(RMB)'!$C$2)</f>
        <v>0</v>
      </c>
      <c r="BF7" s="379">
        <f>SUMIFS(BS_RE33!$H$7:$H$874,BS_RE33!$S$7:$S$874,$BF$2,BS_RE33!$N$7:$N$874,I7,BS_RE33!$P$7:$P$874,'30 days CF Table(RMB)'!G7,BS_RE33!$F$7:$F$874,'30 days CF Table(RMB)'!$C$2)</f>
        <v>0</v>
      </c>
      <c r="BG7" s="379">
        <f>SUMIFS(BS_RE33!$H$7:$H$874,BS_RE33!$S$7:$S$874,$BG$2,BS_RE33!$N$7:$N$874,I7,BS_RE33!$P$7:$P$874,'30 days CF Table(RMB)'!G7,BS_RE33!$F$7:$F$874,'30 days CF Table(RMB)'!$C$2)</f>
        <v>0</v>
      </c>
      <c r="BH7" s="379">
        <f>SUMIFS(BS_RE33!$H$7:$H$874,BS_RE33!$S$7:$S$874,$BH$2,BS_RE33!$N$7:$N$874,I7,BS_RE33!$P$7:$P$874,'30 days CF Table(RMB)'!G7,BS_RE33!$F$7:$F$874,'30 days CF Table(RMB)'!$C$2)</f>
        <v>0</v>
      </c>
      <c r="BI7" s="379">
        <f>SUMIFS(BS_RE33!$H$7:$H$874,BS_RE33!$S$7:$S$874,$BI$2,BS_RE33!$N$7:$N$874,I7,BS_RE33!$P$7:$P$874,'30 days CF Table(RMB)'!G7,BS_RE33!$F$7:$F$874,'30 days CF Table(RMB)'!$C$2)</f>
        <v>0</v>
      </c>
      <c r="BJ7" s="379">
        <f>SUMIFS(BS_RE33!$H$7:$H$874,BS_RE33!$S$7:$S$874,$BJ$2,BS_RE33!$N$7:$N$874,I7,BS_RE33!$P$7:$P$874,'30 days CF Table(RMB)'!G7,BS_RE33!$F$7:$F$874,'30 days CF Table(RMB)'!$C$2)</f>
        <v>0</v>
      </c>
      <c r="BK7" s="379">
        <f>SUMIFS(BS_RE33!$H$7:$H$874,BS_RE33!$S$7:$S$874,$BK$2,BS_RE33!$N$7:$N$874,I7,BS_RE33!$P$7:$P$874,'30 days CF Table(RMB)'!G7,BS_RE33!$F$7:$F$874,'30 days CF Table(RMB)'!$C$2)</f>
        <v>0</v>
      </c>
    </row>
    <row r="8" spans="1:63">
      <c r="C8" s="1029"/>
      <c r="D8" s="1030"/>
      <c r="E8" s="306" t="s">
        <v>69</v>
      </c>
      <c r="F8" s="560" t="s">
        <v>490</v>
      </c>
      <c r="G8" s="392" t="s">
        <v>498</v>
      </c>
      <c r="H8" s="130">
        <v>0.5</v>
      </c>
      <c r="I8" s="305" t="s">
        <v>63</v>
      </c>
      <c r="J8" s="477">
        <f t="shared" si="2"/>
        <v>0</v>
      </c>
      <c r="K8" s="335">
        <f t="shared" si="3"/>
        <v>0</v>
      </c>
      <c r="L8" s="337">
        <f>SUMIFS(BS_RE33!$H$7:$H$874,BS_RE33!$S$7:$S$874,$L$2,BS_RE33!$N$7:$N$874,I8,BS_RE33!$P$7:$P$874,'30 days CF Table(RMB)'!G8,BS_RE33!$F$7:$F$874,'30 days CF Table(RMB)'!$C$2)</f>
        <v>0</v>
      </c>
      <c r="M8" s="337">
        <f>SUMIFS(BS_RE33!$H$7:$H$874,BS_RE33!$S$7:$S$874,$M$2,BS_RE33!$N$7:$N$874,I8,BS_RE33!$P$7:$P$874,'30 days CF Table(RMB)'!G8,BS_RE33!$F$7:$F$874,'30 days CF Table(RMB)'!$C$2)</f>
        <v>0</v>
      </c>
      <c r="N8" s="337">
        <f>SUMIFS(BS_RE33!$H$7:$H$874,BS_RE33!$S$7:$S$874,$N$2,BS_RE33!$N$7:$N$874,I8,BS_RE33!$P$7:$P$874,'30 days CF Table(RMB)'!G8,BS_RE33!$F$7:$F$874,'30 days CF Table(RMB)'!$C$2)</f>
        <v>0</v>
      </c>
      <c r="O8" s="337">
        <f>SUMIFS(BS_RE33!$H$7:$H$874,BS_RE33!$S$7:$S$874,$O$2,BS_RE33!$N$7:$N$874,I8,BS_RE33!$P$7:$P$874,'30 days CF Table(RMB)'!G8,BS_RE33!$F$7:$F$874,'30 days CF Table(RMB)'!$C$2)</f>
        <v>0</v>
      </c>
      <c r="P8" s="337">
        <f>SUMIFS(BS_RE33!$H$7:$H$874,BS_RE33!$S$7:$S$874,$P$2,BS_RE33!$N$7:$N$874,I8,BS_RE33!$P$7:$P$874,'30 days CF Table(RMB)'!G8,BS_RE33!$F$7:$F$874,'30 days CF Table(RMB)'!$C$2)</f>
        <v>0</v>
      </c>
      <c r="Q8" s="337">
        <f>SUMIFS(BS_RE33!$H$7:$H$874,BS_RE33!$S$7:$S$874,$Q$2,BS_RE33!$N$7:$N$874,I8,BS_RE33!$P$7:$P$874,'30 days CF Table(RMB)'!G8,BS_RE33!$F$7:$F$874,'30 days CF Table(RMB)'!$C$2)</f>
        <v>0</v>
      </c>
      <c r="R8" s="337">
        <f>SUMIFS(BS_RE33!$H$7:$H$874,BS_RE33!$S$7:$S$874,$R$2,BS_RE33!$N$7:$N$874,I8,BS_RE33!$P$7:$P$874,'30 days CF Table(RMB)'!G8,BS_RE33!$F$7:$F$874,'30 days CF Table(RMB)'!$C$2)</f>
        <v>0</v>
      </c>
      <c r="S8" s="337">
        <f>SUMIFS(BS_RE33!$H$7:$H$874,BS_RE33!$S$7:$S$874,$S$2,BS_RE33!$N$7:$N$874,I8,BS_RE33!$P$7:$P$874,'30 days CF Table(RMB)'!G8,BS_RE33!$F$7:$F$874,'30 days CF Table(RMB)'!$C$2)</f>
        <v>0</v>
      </c>
      <c r="T8" s="337">
        <f>SUMIFS(BS_RE33!$H$7:$H$874,BS_RE33!$S$7:$S$874,$T$2,BS_RE33!$N$7:$N$874,I8,BS_RE33!$P$7:$P$874,'30 days CF Table(RMB)'!G8,BS_RE33!$F$7:$F$874,'30 days CF Table(RMB)'!$C$2)</f>
        <v>0</v>
      </c>
      <c r="U8" s="337">
        <f>SUMIFS(BS_RE33!$H$7:$H$874,BS_RE33!$S$7:$S$874,$U$2,BS_RE33!$N$7:$N$874,I8,BS_RE33!$P$7:$P$874,'30 days CF Table(RMB)'!G8,BS_RE33!$F$7:$F$874,'30 days CF Table(RMB)'!$C$2)</f>
        <v>0</v>
      </c>
      <c r="V8" s="337">
        <f>SUMIFS(BS_RE33!$H$7:$H$874,BS_RE33!$S$7:$S$874,$V$2,BS_RE33!$N$7:$N$874,I8,BS_RE33!$P$7:$P$874,'30 days CF Table(RMB)'!G8,BS_RE33!$F$7:$F$874,'30 days CF Table(RMB)'!$C$2)</f>
        <v>0</v>
      </c>
      <c r="W8" s="337">
        <f>SUMIFS(BS_RE33!$H$7:$H$874,BS_RE33!$S$7:$S$874,$W$2,BS_RE33!$N$7:$N$874,I8,BS_RE33!$P$7:$P$874,'30 days CF Table(RMB)'!G8,BS_RE33!$F$7:$F$874,'30 days CF Table(RMB)'!$C$2)</f>
        <v>0</v>
      </c>
      <c r="X8" s="337">
        <f>SUMIFS(BS_RE33!$H$7:$H$874,BS_RE33!$S$7:$S$874,$X$2,BS_RE33!$N$7:$N$874,I8,BS_RE33!$P$7:$P$874,'30 days CF Table(RMB)'!G8,BS_RE33!$F$7:$F$874,'30 days CF Table(RMB)'!$C$2)</f>
        <v>0</v>
      </c>
      <c r="Y8" s="337">
        <f>SUMIFS(BS_RE33!$H$7:$H$874,BS_RE33!$S$7:$S$874,$Y$2,BS_RE33!$N$7:$N$874,I8,BS_RE33!$P$7:$P$874,'30 days CF Table(RMB)'!G8,BS_RE33!$F$7:$F$874,'30 days CF Table(RMB)'!$C$2)</f>
        <v>0</v>
      </c>
      <c r="Z8" s="337">
        <f>SUMIFS(BS_RE33!$H$7:$H$874,BS_RE33!$S$7:$S$874,$Z$2,BS_RE33!$N$7:$N$874,I8,BS_RE33!$P$7:$P$874,'30 days CF Table(RMB)'!G8,BS_RE33!$F$7:$F$874,'30 days CF Table(RMB)'!$C$2)</f>
        <v>0</v>
      </c>
      <c r="AA8" s="337">
        <f>SUMIFS(BS_RE33!$H$7:$H$874,BS_RE33!$S$7:$S$874,$AA$2,BS_RE33!$N$7:$N$874,I8,BS_RE33!$P$7:$P$874,'30 days CF Table(RMB)'!G8,BS_RE33!$F$7:$F$874,'30 days CF Table(RMB)'!$C$2)</f>
        <v>0</v>
      </c>
      <c r="AB8" s="337">
        <f>SUMIFS(BS_RE33!$H$7:$H$874,BS_RE33!$S$7:$S$874,$AB$2,BS_RE33!$N$7:$N$874,I8,BS_RE33!$P$7:$P$874,'30 days CF Table(RMB)'!G8,BS_RE33!$F$7:$F$874,'30 days CF Table(RMB)'!$C$2)</f>
        <v>0</v>
      </c>
      <c r="AC8" s="337">
        <f>SUMIFS(BS_RE33!$H$7:$H$874,BS_RE33!$S$7:$S$874,$AC$2,BS_RE33!$N$7:$N$874,I8,BS_RE33!$P$7:$P$874,'30 days CF Table(RMB)'!G8,BS_RE33!$F$7:$F$874,'30 days CF Table(RMB)'!$C$2)</f>
        <v>0</v>
      </c>
      <c r="AD8" s="337">
        <f>SUMIFS(BS_RE33!$H$7:$H$874,BS_RE33!$S$7:$S$874,$AD$2,BS_RE33!$N$7:$N$874,I8,BS_RE33!$P$7:$P$874,'30 days CF Table(RMB)'!G8,BS_RE33!$F$7:$F$874,'30 days CF Table(RMB)'!$C$2)</f>
        <v>0</v>
      </c>
      <c r="AE8" s="337">
        <f>SUMIFS(BS_RE33!$H$7:$H$874,BS_RE33!$S$7:$S$874,$AE$2,BS_RE33!$N$7:$N$874,I8,BS_RE33!$P$7:$P$874,'30 days CF Table(RMB)'!G8,BS_RE33!$F$7:$F$874,'30 days CF Table(RMB)'!$C$2)</f>
        <v>0</v>
      </c>
      <c r="AF8" s="337">
        <f>SUMIFS(BS_RE33!$H$7:$H$874,BS_RE33!$S$7:$S$874,$AF$2,BS_RE33!$N$7:$N$874,I8,BS_RE33!$P$7:$P$874,'30 days CF Table(RMB)'!G8,BS_RE33!$F$7:$F$874,'30 days CF Table(RMB)'!$C$2)</f>
        <v>0</v>
      </c>
      <c r="AG8" s="337">
        <f>SUMIFS(BS_RE33!$H$7:$H$874,BS_RE33!$S$7:$S$874,$AG$2,BS_RE33!$N$7:$N$874,I8,BS_RE33!$P$7:$P$874,'30 days CF Table(RMB)'!G8,BS_RE33!$F$7:$F$874,'30 days CF Table(RMB)'!$C$2)</f>
        <v>0</v>
      </c>
      <c r="AH8" s="337">
        <f>SUMIFS(BS_RE33!$H$7:$H$874,BS_RE33!$S$7:$S$874,$AH$2,BS_RE33!$N$7:$N$874,I8,BS_RE33!$P$7:$P$874,'30 days CF Table(RMB)'!G8,BS_RE33!$F$7:$F$874,'30 days CF Table(RMB)'!$C$2)</f>
        <v>0</v>
      </c>
      <c r="AI8" s="337">
        <f>SUMIFS(BS_RE33!$H$7:$H$874,BS_RE33!$S$7:$S$874,$AI$2,BS_RE33!$N$7:$N$874,I8,BS_RE33!$P$7:$P$874,'30 days CF Table(RMB)'!G8,BS_RE33!$F$7:$F$874,'30 days CF Table(RMB)'!$C$2)</f>
        <v>0</v>
      </c>
      <c r="AJ8" s="337">
        <f>SUMIFS(BS_RE33!$H$7:$H$874,BS_RE33!$S$7:$S$874,$AJ$2,BS_RE33!$N$7:$N$874,I8,BS_RE33!$P$7:$P$874,'30 days CF Table(RMB)'!G8,BS_RE33!$F$7:$F$874,'30 days CF Table(RMB)'!$C$2)</f>
        <v>0</v>
      </c>
      <c r="AK8" s="337">
        <f>SUMIFS(BS_RE33!$H$7:$H$874,BS_RE33!$S$7:$S$874,$AK$2,BS_RE33!$N$7:$N$874,I8,BS_RE33!$P$7:$P$874,'30 days CF Table(RMB)'!G8,BS_RE33!$F$7:$F$874,'30 days CF Table(RMB)'!$C$2)</f>
        <v>0</v>
      </c>
      <c r="AL8" s="337">
        <f>SUMIFS(BS_RE33!$H$7:$H$874,BS_RE33!$S$7:$S$874,$AL$2,BS_RE33!$N$7:$N$874,I8,BS_RE33!$P$7:$P$874,'30 days CF Table(RMB)'!G8,BS_RE33!$F$7:$F$874,'30 days CF Table(RMB)'!$C$2)</f>
        <v>0</v>
      </c>
      <c r="AM8" s="337">
        <f>SUMIFS(BS_RE33!$H$7:$H$874,BS_RE33!$S$7:$S$874,$AM$2,BS_RE33!$N$7:$N$874,I8,BS_RE33!$P$7:$P$874,'30 days CF Table(RMB)'!G8,BS_RE33!$F$7:$F$874,'30 days CF Table(RMB)'!$C$2)</f>
        <v>0</v>
      </c>
      <c r="AN8" s="337">
        <f>SUMIFS(BS_RE33!$H$7:$H$874,BS_RE33!$S$7:$S$874,$AN$2,BS_RE33!$N$7:$N$874,I8,BS_RE33!$P$7:$P$874,'30 days CF Table(RMB)'!G8,BS_RE33!$F$7:$F$874,'30 days CF Table(RMB)'!$C$2)</f>
        <v>0</v>
      </c>
      <c r="AO8" s="337">
        <f>SUMIFS(BS_RE33!$H$7:$H$874,BS_RE33!$S$7:$S$874,$AO$2,BS_RE33!$N$7:$N$874,I8,BS_RE33!$P$7:$P$874,'30 days CF Table(RMB)'!G8,BS_RE33!$F$7:$F$874,'30 days CF Table(RMB)'!$C$2)</f>
        <v>0</v>
      </c>
      <c r="AP8" s="338">
        <f>SUMIFS(BS_RE33!$H$7:$H$874,BS_RE33!$S$7:$S$874,$AP$2,BS_RE33!$N$7:$N$874,I8,BS_RE33!$P$7:$P$874,'30 days CF Table(RMB)'!G8,BS_RE33!$F$7:$F$874,'30 days CF Table(RMB)'!$C$2)</f>
        <v>0</v>
      </c>
      <c r="AQ8" s="545"/>
      <c r="AR8" s="379">
        <f>SUMIFS(BS_RE33!$H$7:$H$874,BS_RE33!$S$7:$S$874,$AR$2,BS_RE33!$N$7:$N$874,I8,BS_RE33!$P$7:$P$874,'30 days CF Table(RMB)'!G8,BS_RE33!$F$7:$F$874,'30 days CF Table(RMB)'!$C$2)</f>
        <v>0</v>
      </c>
      <c r="AS8" s="379">
        <f>SUMIFS(BS_RE33!$H$7:$H$874,BS_RE33!$S$7:$S$874,$AS$2,BS_RE33!$N$7:$N$874,I8,BS_RE33!$P$7:$P$874,'30 days CF Table(RMB)'!G8,BS_RE33!$F$7:$F$874,'30 days CF Table(RMB)'!$C$2)</f>
        <v>0</v>
      </c>
      <c r="AT8" s="379">
        <f>SUMIFS(BS_RE33!$H$7:$H$874,BS_RE33!$S$7:$S$874,$AT$2,BS_RE33!$N$7:$N$874,I8,BS_RE33!$P$7:$P$874,'30 days CF Table(RMB)'!G8,BS_RE33!$F$7:$F$874,'30 days CF Table(RMB)'!$C$2)</f>
        <v>0</v>
      </c>
      <c r="AU8" s="379">
        <f>SUMIFS(BS_RE33!$H$7:$H$874,BS_RE33!$S$7:$S$874,$AU$2,BS_RE33!$N$7:$N$874,I8,BS_RE33!$P$7:$P$874,'30 days CF Table(RMB)'!G8,BS_RE33!$F$7:$F$874,'30 days CF Table(RMB)'!$C$2)</f>
        <v>0</v>
      </c>
      <c r="AV8" s="379">
        <f>SUMIFS(BS_RE33!$H$7:$H$874,BS_RE33!$S$7:$S$874,$AV$2,BS_RE33!$N$7:$N$874,I8,BS_RE33!$P$7:$P$874,'30 days CF Table(RMB)'!G8,BS_RE33!$F$7:$F$874,'30 days CF Table(RMB)'!$C$2)</f>
        <v>0</v>
      </c>
      <c r="AW8" s="379">
        <f>SUMIFS(BS_RE33!$H$7:$H$874,BS_RE33!$S$7:$S$874,$AW$2,BS_RE33!$N$7:$N$874,I8,BS_RE33!$P$7:$P$874,'30 days CF Table(RMB)'!G8,BS_RE33!$F$7:$F$874,'30 days CF Table(RMB)'!$C$2)</f>
        <v>0</v>
      </c>
      <c r="AX8" s="379">
        <f>SUMIFS(BS_RE33!$H$7:$H$874,BS_RE33!$S$7:$S$874,$AX$2,BS_RE33!$N$7:$N$874,I8,BS_RE33!$P$7:$P$874,'30 days CF Table(RMB)'!G8,BS_RE33!$F$7:$F$874,'30 days CF Table(RMB)'!$C$2)</f>
        <v>0</v>
      </c>
      <c r="AY8" s="379">
        <f>SUMIFS(BS_RE33!$H$7:$H$874,BS_RE33!$S$7:$S$874,$AY$2,BS_RE33!$N$7:$N$874,I8,BS_RE33!$P$7:$P$874,'30 days CF Table(RMB)'!G8,BS_RE33!$F$7:$F$874,'30 days CF Table(RMB)'!$C$2)</f>
        <v>0</v>
      </c>
      <c r="AZ8" s="379">
        <f>SUMIFS(BS_RE33!$H$7:$H$874,BS_RE33!$S$7:$S$874,$AZ$2,BS_RE33!$N$7:$N$874,I8,BS_RE33!$P$7:$P$874,'30 days CF Table(RMB)'!G8,BS_RE33!$F$7:$F$874,'30 days CF Table(RMB)'!$C$2)</f>
        <v>0</v>
      </c>
      <c r="BA8" s="379">
        <f>SUMIFS(BS_RE33!$H$7:$H$874,BS_RE33!$S$7:$S$874,$BA$2,BS_RE33!$N$7:$N$874,I8,BS_RE33!$P$7:$P$874,'30 days CF Table(RMB)'!G8,BS_RE33!$F$7:$F$874,'30 days CF Table(RMB)'!$C$2)</f>
        <v>0</v>
      </c>
      <c r="BB8" s="379">
        <f>SUMIFS(BS_RE33!$H$7:$H$874,BS_RE33!$S$7:$S$874,$BB$2,BS_RE33!$N$7:$N$874,I8,BS_RE33!$P$7:$P$874,'30 days CF Table(RMB)'!G8,BS_RE33!$F$7:$F$874,'30 days CF Table(RMB)'!$C$2)</f>
        <v>0</v>
      </c>
      <c r="BC8" s="379">
        <f>SUMIFS(BS_RE33!$H$7:$H$874,BS_RE33!$S$7:$S$874,$BC$2,BS_RE33!$N$7:$N$874,I8,BS_RE33!$P$7:$P$874,'30 days CF Table(RMB)'!G8,BS_RE33!$F$7:$F$874,'30 days CF Table(RMB)'!$C$2)</f>
        <v>0</v>
      </c>
      <c r="BD8" s="379">
        <f>SUMIFS(BS_RE33!$H$7:$H$874,BS_RE33!$S$7:$S$874,$BD$2,BS_RE33!$N$7:$N$874,I8,BS_RE33!$P$7:$P$874,'30 days CF Table(RMB)'!G8,BS_RE33!$F$7:$F$874,'30 days CF Table(RMB)'!$C$2)</f>
        <v>0</v>
      </c>
      <c r="BE8" s="379">
        <f>SUMIFS(BS_RE33!$H$7:$H$874,BS_RE33!$S$7:$S$874,$BE$2,BS_RE33!$N$7:$N$874,I8,BS_RE33!$P$7:$P$874,'30 days CF Table(RMB)'!G8,BS_RE33!$F$7:$F$874,'30 days CF Table(RMB)'!$C$2)</f>
        <v>0</v>
      </c>
      <c r="BF8" s="379">
        <f>SUMIFS(BS_RE33!$H$7:$H$874,BS_RE33!$S$7:$S$874,$BF$2,BS_RE33!$N$7:$N$874,I8,BS_RE33!$P$7:$P$874,'30 days CF Table(RMB)'!G8,BS_RE33!$F$7:$F$874,'30 days CF Table(RMB)'!$C$2)</f>
        <v>0</v>
      </c>
      <c r="BG8" s="379">
        <f>SUMIFS(BS_RE33!$H$7:$H$874,BS_RE33!$S$7:$S$874,$BG$2,BS_RE33!$N$7:$N$874,I8,BS_RE33!$P$7:$P$874,'30 days CF Table(RMB)'!G8,BS_RE33!$F$7:$F$874,'30 days CF Table(RMB)'!$C$2)</f>
        <v>0</v>
      </c>
      <c r="BH8" s="379">
        <f>SUMIFS(BS_RE33!$H$7:$H$874,BS_RE33!$S$7:$S$874,$BH$2,BS_RE33!$N$7:$N$874,I8,BS_RE33!$P$7:$P$874,'30 days CF Table(RMB)'!G8,BS_RE33!$F$7:$F$874,'30 days CF Table(RMB)'!$C$2)</f>
        <v>0</v>
      </c>
      <c r="BI8" s="379">
        <f>SUMIFS(BS_RE33!$H$7:$H$874,BS_RE33!$S$7:$S$874,$BI$2,BS_RE33!$N$7:$N$874,I8,BS_RE33!$P$7:$P$874,'30 days CF Table(RMB)'!G8,BS_RE33!$F$7:$F$874,'30 days CF Table(RMB)'!$C$2)</f>
        <v>0</v>
      </c>
      <c r="BJ8" s="379">
        <f>SUMIFS(BS_RE33!$H$7:$H$874,BS_RE33!$S$7:$S$874,$BJ$2,BS_RE33!$N$7:$N$874,I8,BS_RE33!$P$7:$P$874,'30 days CF Table(RMB)'!G8,BS_RE33!$F$7:$F$874,'30 days CF Table(RMB)'!$C$2)</f>
        <v>0</v>
      </c>
      <c r="BK8" s="379">
        <f>SUMIFS(BS_RE33!$H$7:$H$874,BS_RE33!$S$7:$S$874,$BK$2,BS_RE33!$N$7:$N$874,I8,BS_RE33!$P$7:$P$874,'30 days CF Table(RMB)'!G8,BS_RE33!$F$7:$F$874,'30 days CF Table(RMB)'!$C$2)</f>
        <v>0</v>
      </c>
    </row>
    <row r="9" spans="1:63">
      <c r="C9" s="1029"/>
      <c r="D9" s="1030"/>
      <c r="E9" s="306" t="s">
        <v>69</v>
      </c>
      <c r="F9" s="560" t="s">
        <v>489</v>
      </c>
      <c r="G9" s="392" t="s">
        <v>499</v>
      </c>
      <c r="H9" s="130">
        <v>0.5</v>
      </c>
      <c r="I9" s="305" t="s">
        <v>63</v>
      </c>
      <c r="J9" s="477">
        <f t="shared" si="2"/>
        <v>0</v>
      </c>
      <c r="K9" s="335">
        <f t="shared" si="3"/>
        <v>0</v>
      </c>
      <c r="L9" s="337">
        <f>SUMIFS(BS_RE33!$H$7:$H$874,BS_RE33!$S$7:$S$874,$L$2,BS_RE33!$N$7:$N$874,I9,BS_RE33!$P$7:$P$874,'30 days CF Table(RMB)'!G9,BS_RE33!$F$7:$F$874,'30 days CF Table(RMB)'!$C$2)</f>
        <v>0</v>
      </c>
      <c r="M9" s="337">
        <f>SUMIFS(BS_RE33!$H$7:$H$874,BS_RE33!$S$7:$S$874,$M$2,BS_RE33!$N$7:$N$874,I9,BS_RE33!$P$7:$P$874,'30 days CF Table(RMB)'!G9,BS_RE33!$F$7:$F$874,'30 days CF Table(RMB)'!$C$2)</f>
        <v>0</v>
      </c>
      <c r="N9" s="337">
        <f>SUMIFS(BS_RE33!$H$7:$H$874,BS_RE33!$S$7:$S$874,$N$2,BS_RE33!$N$7:$N$874,I9,BS_RE33!$P$7:$P$874,'30 days CF Table(RMB)'!G9,BS_RE33!$F$7:$F$874,'30 days CF Table(RMB)'!$C$2)</f>
        <v>0</v>
      </c>
      <c r="O9" s="337">
        <f>SUMIFS(BS_RE33!$H$7:$H$874,BS_RE33!$S$7:$S$874,$O$2,BS_RE33!$N$7:$N$874,I9,BS_RE33!$P$7:$P$874,'30 days CF Table(RMB)'!G9,BS_RE33!$F$7:$F$874,'30 days CF Table(RMB)'!$C$2)</f>
        <v>0</v>
      </c>
      <c r="P9" s="337">
        <f>SUMIFS(BS_RE33!$H$7:$H$874,BS_RE33!$S$7:$S$874,$P$2,BS_RE33!$N$7:$N$874,I9,BS_RE33!$P$7:$P$874,'30 days CF Table(RMB)'!G9,BS_RE33!$F$7:$F$874,'30 days CF Table(RMB)'!$C$2)</f>
        <v>0</v>
      </c>
      <c r="Q9" s="337">
        <f>SUMIFS(BS_RE33!$H$7:$H$874,BS_RE33!$S$7:$S$874,$Q$2,BS_RE33!$N$7:$N$874,I9,BS_RE33!$P$7:$P$874,'30 days CF Table(RMB)'!G9,BS_RE33!$F$7:$F$874,'30 days CF Table(RMB)'!$C$2)</f>
        <v>0</v>
      </c>
      <c r="R9" s="337">
        <f>SUMIFS(BS_RE33!$H$7:$H$874,BS_RE33!$S$7:$S$874,$R$2,BS_RE33!$N$7:$N$874,I9,BS_RE33!$P$7:$P$874,'30 days CF Table(RMB)'!G9,BS_RE33!$F$7:$F$874,'30 days CF Table(RMB)'!$C$2)</f>
        <v>0</v>
      </c>
      <c r="S9" s="337">
        <f>SUMIFS(BS_RE33!$H$7:$H$874,BS_RE33!$S$7:$S$874,$S$2,BS_RE33!$N$7:$N$874,I9,BS_RE33!$P$7:$P$874,'30 days CF Table(RMB)'!G9,BS_RE33!$F$7:$F$874,'30 days CF Table(RMB)'!$C$2)</f>
        <v>0</v>
      </c>
      <c r="T9" s="337">
        <f>SUMIFS(BS_RE33!$H$7:$H$874,BS_RE33!$S$7:$S$874,$T$2,BS_RE33!$N$7:$N$874,I9,BS_RE33!$P$7:$P$874,'30 days CF Table(RMB)'!G9,BS_RE33!$F$7:$F$874,'30 days CF Table(RMB)'!$C$2)</f>
        <v>0</v>
      </c>
      <c r="U9" s="337">
        <f>SUMIFS(BS_RE33!$H$7:$H$874,BS_RE33!$S$7:$S$874,$U$2,BS_RE33!$N$7:$N$874,I9,BS_RE33!$P$7:$P$874,'30 days CF Table(RMB)'!G9,BS_RE33!$F$7:$F$874,'30 days CF Table(RMB)'!$C$2)</f>
        <v>0</v>
      </c>
      <c r="V9" s="337">
        <f>SUMIFS(BS_RE33!$H$7:$H$874,BS_RE33!$S$7:$S$874,$V$2,BS_RE33!$N$7:$N$874,I9,BS_RE33!$P$7:$P$874,'30 days CF Table(RMB)'!G9,BS_RE33!$F$7:$F$874,'30 days CF Table(RMB)'!$C$2)</f>
        <v>0</v>
      </c>
      <c r="W9" s="337">
        <f>SUMIFS(BS_RE33!$H$7:$H$874,BS_RE33!$S$7:$S$874,$W$2,BS_RE33!$N$7:$N$874,I9,BS_RE33!$P$7:$P$874,'30 days CF Table(RMB)'!G9,BS_RE33!$F$7:$F$874,'30 days CF Table(RMB)'!$C$2)</f>
        <v>0</v>
      </c>
      <c r="X9" s="337">
        <f>SUMIFS(BS_RE33!$H$7:$H$874,BS_RE33!$S$7:$S$874,$X$2,BS_RE33!$N$7:$N$874,I9,BS_RE33!$P$7:$P$874,'30 days CF Table(RMB)'!G9,BS_RE33!$F$7:$F$874,'30 days CF Table(RMB)'!$C$2)</f>
        <v>0</v>
      </c>
      <c r="Y9" s="337">
        <f>SUMIFS(BS_RE33!$H$7:$H$874,BS_RE33!$S$7:$S$874,$Y$2,BS_RE33!$N$7:$N$874,I9,BS_RE33!$P$7:$P$874,'30 days CF Table(RMB)'!G9,BS_RE33!$F$7:$F$874,'30 days CF Table(RMB)'!$C$2)</f>
        <v>0</v>
      </c>
      <c r="Z9" s="337">
        <f>SUMIFS(BS_RE33!$H$7:$H$874,BS_RE33!$S$7:$S$874,$Z$2,BS_RE33!$N$7:$N$874,I9,BS_RE33!$P$7:$P$874,'30 days CF Table(RMB)'!G9,BS_RE33!$F$7:$F$874,'30 days CF Table(RMB)'!$C$2)</f>
        <v>0</v>
      </c>
      <c r="AA9" s="337">
        <f>SUMIFS(BS_RE33!$H$7:$H$874,BS_RE33!$S$7:$S$874,$AA$2,BS_RE33!$N$7:$N$874,I9,BS_RE33!$P$7:$P$874,'30 days CF Table(RMB)'!G9,BS_RE33!$F$7:$F$874,'30 days CF Table(RMB)'!$C$2)</f>
        <v>0</v>
      </c>
      <c r="AB9" s="337">
        <f>SUMIFS(BS_RE33!$H$7:$H$874,BS_RE33!$S$7:$S$874,$AB$2,BS_RE33!$N$7:$N$874,I9,BS_RE33!$P$7:$P$874,'30 days CF Table(RMB)'!G9,BS_RE33!$F$7:$F$874,'30 days CF Table(RMB)'!$C$2)</f>
        <v>0</v>
      </c>
      <c r="AC9" s="337">
        <f>SUMIFS(BS_RE33!$H$7:$H$874,BS_RE33!$S$7:$S$874,$AC$2,BS_RE33!$N$7:$N$874,I9,BS_RE33!$P$7:$P$874,'30 days CF Table(RMB)'!G9,BS_RE33!$F$7:$F$874,'30 days CF Table(RMB)'!$C$2)</f>
        <v>0</v>
      </c>
      <c r="AD9" s="337">
        <f>SUMIFS(BS_RE33!$H$7:$H$874,BS_RE33!$S$7:$S$874,$AD$2,BS_RE33!$N$7:$N$874,I9,BS_RE33!$P$7:$P$874,'30 days CF Table(RMB)'!G9,BS_RE33!$F$7:$F$874,'30 days CF Table(RMB)'!$C$2)</f>
        <v>0</v>
      </c>
      <c r="AE9" s="337">
        <f>SUMIFS(BS_RE33!$H$7:$H$874,BS_RE33!$S$7:$S$874,$AE$2,BS_RE33!$N$7:$N$874,I9,BS_RE33!$P$7:$P$874,'30 days CF Table(RMB)'!G9,BS_RE33!$F$7:$F$874,'30 days CF Table(RMB)'!$C$2)</f>
        <v>0</v>
      </c>
      <c r="AF9" s="337">
        <f>SUMIFS(BS_RE33!$H$7:$H$874,BS_RE33!$S$7:$S$874,$AF$2,BS_RE33!$N$7:$N$874,I9,BS_RE33!$P$7:$P$874,'30 days CF Table(RMB)'!G9,BS_RE33!$F$7:$F$874,'30 days CF Table(RMB)'!$C$2)</f>
        <v>0</v>
      </c>
      <c r="AG9" s="337">
        <f>SUMIFS(BS_RE33!$H$7:$H$874,BS_RE33!$S$7:$S$874,$AG$2,BS_RE33!$N$7:$N$874,I9,BS_RE33!$P$7:$P$874,'30 days CF Table(RMB)'!G9,BS_RE33!$F$7:$F$874,'30 days CF Table(RMB)'!$C$2)</f>
        <v>0</v>
      </c>
      <c r="AH9" s="337">
        <f>SUMIFS(BS_RE33!$H$7:$H$874,BS_RE33!$S$7:$S$874,$AH$2,BS_RE33!$N$7:$N$874,I9,BS_RE33!$P$7:$P$874,'30 days CF Table(RMB)'!G9,BS_RE33!$F$7:$F$874,'30 days CF Table(RMB)'!$C$2)</f>
        <v>0</v>
      </c>
      <c r="AI9" s="337">
        <f>SUMIFS(BS_RE33!$H$7:$H$874,BS_RE33!$S$7:$S$874,$AI$2,BS_RE33!$N$7:$N$874,I9,BS_RE33!$P$7:$P$874,'30 days CF Table(RMB)'!G9,BS_RE33!$F$7:$F$874,'30 days CF Table(RMB)'!$C$2)</f>
        <v>0</v>
      </c>
      <c r="AJ9" s="337">
        <f>SUMIFS(BS_RE33!$H$7:$H$874,BS_RE33!$S$7:$S$874,$AJ$2,BS_RE33!$N$7:$N$874,I9,BS_RE33!$P$7:$P$874,'30 days CF Table(RMB)'!G9,BS_RE33!$F$7:$F$874,'30 days CF Table(RMB)'!$C$2)</f>
        <v>0</v>
      </c>
      <c r="AK9" s="337">
        <f>SUMIFS(BS_RE33!$H$7:$H$874,BS_RE33!$S$7:$S$874,$AK$2,BS_RE33!$N$7:$N$874,I9,BS_RE33!$P$7:$P$874,'30 days CF Table(RMB)'!G9,BS_RE33!$F$7:$F$874,'30 days CF Table(RMB)'!$C$2)</f>
        <v>0</v>
      </c>
      <c r="AL9" s="337">
        <f>SUMIFS(BS_RE33!$H$7:$H$874,BS_RE33!$S$7:$S$874,$AL$2,BS_RE33!$N$7:$N$874,I9,BS_RE33!$P$7:$P$874,'30 days CF Table(RMB)'!G9,BS_RE33!$F$7:$F$874,'30 days CF Table(RMB)'!$C$2)</f>
        <v>0</v>
      </c>
      <c r="AM9" s="337">
        <f>SUMIFS(BS_RE33!$H$7:$H$874,BS_RE33!$S$7:$S$874,$AM$2,BS_RE33!$N$7:$N$874,I9,BS_RE33!$P$7:$P$874,'30 days CF Table(RMB)'!G9,BS_RE33!$F$7:$F$874,'30 days CF Table(RMB)'!$C$2)</f>
        <v>0</v>
      </c>
      <c r="AN9" s="337">
        <f>SUMIFS(BS_RE33!$H$7:$H$874,BS_RE33!$S$7:$S$874,$AN$2,BS_RE33!$N$7:$N$874,I9,BS_RE33!$P$7:$P$874,'30 days CF Table(RMB)'!G9,BS_RE33!$F$7:$F$874,'30 days CF Table(RMB)'!$C$2)</f>
        <v>0</v>
      </c>
      <c r="AO9" s="337">
        <f>SUMIFS(BS_RE33!$H$7:$H$874,BS_RE33!$S$7:$S$874,$AO$2,BS_RE33!$N$7:$N$874,I9,BS_RE33!$P$7:$P$874,'30 days CF Table(RMB)'!G9,BS_RE33!$F$7:$F$874,'30 days CF Table(RMB)'!$C$2)</f>
        <v>0</v>
      </c>
      <c r="AP9" s="338">
        <f>SUMIFS(BS_RE33!$H$7:$H$874,BS_RE33!$S$7:$S$874,$AP$2,BS_RE33!$N$7:$N$874,I9,BS_RE33!$P$7:$P$874,'30 days CF Table(RMB)'!G9,BS_RE33!$F$7:$F$874,'30 days CF Table(RMB)'!$C$2)</f>
        <v>0</v>
      </c>
      <c r="AQ9" s="545"/>
      <c r="AR9" s="379">
        <f>SUMIFS(BS_RE33!$H$7:$H$874,BS_RE33!$S$7:$S$874,$AR$2,BS_RE33!$N$7:$N$874,I9,BS_RE33!$P$7:$P$874,'30 days CF Table(RMB)'!G9,BS_RE33!$F$7:$F$874,'30 days CF Table(RMB)'!$C$2)</f>
        <v>0</v>
      </c>
      <c r="AS9" s="379">
        <f>SUMIFS(BS_RE33!$H$7:$H$874,BS_RE33!$S$7:$S$874,$AS$2,BS_RE33!$N$7:$N$874,I9,BS_RE33!$P$7:$P$874,'30 days CF Table(RMB)'!G9,BS_RE33!$F$7:$F$874,'30 days CF Table(RMB)'!$C$2)</f>
        <v>0</v>
      </c>
      <c r="AT9" s="379">
        <f>SUMIFS(BS_RE33!$H$7:$H$874,BS_RE33!$S$7:$S$874,$AT$2,BS_RE33!$N$7:$N$874,I9,BS_RE33!$P$7:$P$874,'30 days CF Table(RMB)'!G9,BS_RE33!$F$7:$F$874,'30 days CF Table(RMB)'!$C$2)</f>
        <v>0</v>
      </c>
      <c r="AU9" s="379">
        <f>SUMIFS(BS_RE33!$H$7:$H$874,BS_RE33!$S$7:$S$874,$AU$2,BS_RE33!$N$7:$N$874,I9,BS_RE33!$P$7:$P$874,'30 days CF Table(RMB)'!G9,BS_RE33!$F$7:$F$874,'30 days CF Table(RMB)'!$C$2)</f>
        <v>0</v>
      </c>
      <c r="AV9" s="379">
        <f>SUMIFS(BS_RE33!$H$7:$H$874,BS_RE33!$S$7:$S$874,$AV$2,BS_RE33!$N$7:$N$874,I9,BS_RE33!$P$7:$P$874,'30 days CF Table(RMB)'!G9,BS_RE33!$F$7:$F$874,'30 days CF Table(RMB)'!$C$2)</f>
        <v>0</v>
      </c>
      <c r="AW9" s="379">
        <f>SUMIFS(BS_RE33!$H$7:$H$874,BS_RE33!$S$7:$S$874,$AW$2,BS_RE33!$N$7:$N$874,I9,BS_RE33!$P$7:$P$874,'30 days CF Table(RMB)'!G9,BS_RE33!$F$7:$F$874,'30 days CF Table(RMB)'!$C$2)</f>
        <v>0</v>
      </c>
      <c r="AX9" s="379">
        <f>SUMIFS(BS_RE33!$H$7:$H$874,BS_RE33!$S$7:$S$874,$AX$2,BS_RE33!$N$7:$N$874,I9,BS_RE33!$P$7:$P$874,'30 days CF Table(RMB)'!G9,BS_RE33!$F$7:$F$874,'30 days CF Table(RMB)'!$C$2)</f>
        <v>0</v>
      </c>
      <c r="AY9" s="379">
        <f>SUMIFS(BS_RE33!$H$7:$H$874,BS_RE33!$S$7:$S$874,$AY$2,BS_RE33!$N$7:$N$874,I9,BS_RE33!$P$7:$P$874,'30 days CF Table(RMB)'!G9,BS_RE33!$F$7:$F$874,'30 days CF Table(RMB)'!$C$2)</f>
        <v>0</v>
      </c>
      <c r="AZ9" s="379">
        <f>SUMIFS(BS_RE33!$H$7:$H$874,BS_RE33!$S$7:$S$874,$AZ$2,BS_RE33!$N$7:$N$874,I9,BS_RE33!$P$7:$P$874,'30 days CF Table(RMB)'!G9,BS_RE33!$F$7:$F$874,'30 days CF Table(RMB)'!$C$2)</f>
        <v>0</v>
      </c>
      <c r="BA9" s="379">
        <f>SUMIFS(BS_RE33!$H$7:$H$874,BS_RE33!$S$7:$S$874,$BA$2,BS_RE33!$N$7:$N$874,I9,BS_RE33!$P$7:$P$874,'30 days CF Table(RMB)'!G9,BS_RE33!$F$7:$F$874,'30 days CF Table(RMB)'!$C$2)</f>
        <v>0</v>
      </c>
      <c r="BB9" s="379">
        <f>SUMIFS(BS_RE33!$H$7:$H$874,BS_RE33!$S$7:$S$874,$BB$2,BS_RE33!$N$7:$N$874,I9,BS_RE33!$P$7:$P$874,'30 days CF Table(RMB)'!G9,BS_RE33!$F$7:$F$874,'30 days CF Table(RMB)'!$C$2)</f>
        <v>0</v>
      </c>
      <c r="BC9" s="379">
        <f>SUMIFS(BS_RE33!$H$7:$H$874,BS_RE33!$S$7:$S$874,$BC$2,BS_RE33!$N$7:$N$874,I9,BS_RE33!$P$7:$P$874,'30 days CF Table(RMB)'!G9,BS_RE33!$F$7:$F$874,'30 days CF Table(RMB)'!$C$2)</f>
        <v>0</v>
      </c>
      <c r="BD9" s="379">
        <f>SUMIFS(BS_RE33!$H$7:$H$874,BS_RE33!$S$7:$S$874,$BD$2,BS_RE33!$N$7:$N$874,I9,BS_RE33!$P$7:$P$874,'30 days CF Table(RMB)'!G9,BS_RE33!$F$7:$F$874,'30 days CF Table(RMB)'!$C$2)</f>
        <v>0</v>
      </c>
      <c r="BE9" s="379">
        <f>SUMIFS(BS_RE33!$H$7:$H$874,BS_RE33!$S$7:$S$874,$BE$2,BS_RE33!$N$7:$N$874,I9,BS_RE33!$P$7:$P$874,'30 days CF Table(RMB)'!G9,BS_RE33!$F$7:$F$874,'30 days CF Table(RMB)'!$C$2)</f>
        <v>0</v>
      </c>
      <c r="BF9" s="379">
        <f>SUMIFS(BS_RE33!$H$7:$H$874,BS_RE33!$S$7:$S$874,$BF$2,BS_RE33!$N$7:$N$874,I9,BS_RE33!$P$7:$P$874,'30 days CF Table(RMB)'!G9,BS_RE33!$F$7:$F$874,'30 days CF Table(RMB)'!$C$2)</f>
        <v>0</v>
      </c>
      <c r="BG9" s="379">
        <f>SUMIFS(BS_RE33!$H$7:$H$874,BS_RE33!$S$7:$S$874,$BG$2,BS_RE33!$N$7:$N$874,I9,BS_RE33!$P$7:$P$874,'30 days CF Table(RMB)'!G9,BS_RE33!$F$7:$F$874,'30 days CF Table(RMB)'!$C$2)</f>
        <v>0</v>
      </c>
      <c r="BH9" s="379">
        <f>SUMIFS(BS_RE33!$H$7:$H$874,BS_RE33!$S$7:$S$874,$BH$2,BS_RE33!$N$7:$N$874,I9,BS_RE33!$P$7:$P$874,'30 days CF Table(RMB)'!G9,BS_RE33!$F$7:$F$874,'30 days CF Table(RMB)'!$C$2)</f>
        <v>0</v>
      </c>
      <c r="BI9" s="379">
        <f>SUMIFS(BS_RE33!$H$7:$H$874,BS_RE33!$S$7:$S$874,$BI$2,BS_RE33!$N$7:$N$874,I9,BS_RE33!$P$7:$P$874,'30 days CF Table(RMB)'!G9,BS_RE33!$F$7:$F$874,'30 days CF Table(RMB)'!$C$2)</f>
        <v>0</v>
      </c>
      <c r="BJ9" s="379">
        <f>SUMIFS(BS_RE33!$H$7:$H$874,BS_RE33!$S$7:$S$874,$BJ$2,BS_RE33!$N$7:$N$874,I9,BS_RE33!$P$7:$P$874,'30 days CF Table(RMB)'!G9,BS_RE33!$F$7:$F$874,'30 days CF Table(RMB)'!$C$2)</f>
        <v>0</v>
      </c>
      <c r="BK9" s="379">
        <f>SUMIFS(BS_RE33!$H$7:$H$874,BS_RE33!$S$7:$S$874,$BK$2,BS_RE33!$N$7:$N$874,I9,BS_RE33!$P$7:$P$874,'30 days CF Table(RMB)'!G9,BS_RE33!$F$7:$F$874,'30 days CF Table(RMB)'!$C$2)</f>
        <v>0</v>
      </c>
    </row>
    <row r="10" spans="1:63">
      <c r="C10" s="1029"/>
      <c r="D10" s="1030"/>
      <c r="E10" s="306" t="s">
        <v>69</v>
      </c>
      <c r="F10" s="312" t="s">
        <v>500</v>
      </c>
      <c r="G10" s="392" t="s">
        <v>501</v>
      </c>
      <c r="H10" s="130">
        <v>0.5</v>
      </c>
      <c r="I10" s="305" t="s">
        <v>63</v>
      </c>
      <c r="J10" s="477">
        <f t="shared" si="2"/>
        <v>0</v>
      </c>
      <c r="K10" s="335">
        <f t="shared" si="3"/>
        <v>0</v>
      </c>
      <c r="L10" s="337">
        <f>SUMIFS(BS_RE33!$H$7:$H$874,BS_RE33!$S$7:$S$874,$L$2,BS_RE33!$N$7:$N$874,I10,BS_RE33!$P$7:$P$874,'30 days CF Table(RMB)'!G10,BS_RE33!$F$7:$F$874,'30 days CF Table(RMB)'!$C$2)</f>
        <v>0</v>
      </c>
      <c r="M10" s="337">
        <f>SUMIFS(BS_RE33!$H$7:$H$874,BS_RE33!$S$7:$S$874,$M$2,BS_RE33!$N$7:$N$874,I10,BS_RE33!$P$7:$P$874,'30 days CF Table(RMB)'!G10,BS_RE33!$F$7:$F$874,'30 days CF Table(RMB)'!$C$2)</f>
        <v>0</v>
      </c>
      <c r="N10" s="337">
        <f>SUMIFS(BS_RE33!$H$7:$H$874,BS_RE33!$S$7:$S$874,$N$2,BS_RE33!$N$7:$N$874,I10,BS_RE33!$P$7:$P$874,'30 days CF Table(RMB)'!G10,BS_RE33!$F$7:$F$874,'30 days CF Table(RMB)'!$C$2)</f>
        <v>0</v>
      </c>
      <c r="O10" s="337">
        <f>SUMIFS(BS_RE33!$H$7:$H$874,BS_RE33!$S$7:$S$874,$O$2,BS_RE33!$N$7:$N$874,I10,BS_RE33!$P$7:$P$874,'30 days CF Table(RMB)'!G10,BS_RE33!$F$7:$F$874,'30 days CF Table(RMB)'!$C$2)</f>
        <v>0</v>
      </c>
      <c r="P10" s="337">
        <f>SUMIFS(BS_RE33!$H$7:$H$874,BS_RE33!$S$7:$S$874,$P$2,BS_RE33!$N$7:$N$874,I10,BS_RE33!$P$7:$P$874,'30 days CF Table(RMB)'!G10,BS_RE33!$F$7:$F$874,'30 days CF Table(RMB)'!$C$2)</f>
        <v>0</v>
      </c>
      <c r="Q10" s="337">
        <f>SUMIFS(BS_RE33!$H$7:$H$874,BS_RE33!$S$7:$S$874,$Q$2,BS_RE33!$N$7:$N$874,I10,BS_RE33!$P$7:$P$874,'30 days CF Table(RMB)'!G10,BS_RE33!$F$7:$F$874,'30 days CF Table(RMB)'!$C$2)</f>
        <v>0</v>
      </c>
      <c r="R10" s="337">
        <f>SUMIFS(BS_RE33!$H$7:$H$874,BS_RE33!$S$7:$S$874,$R$2,BS_RE33!$N$7:$N$874,I10,BS_RE33!$P$7:$P$874,'30 days CF Table(RMB)'!G10,BS_RE33!$F$7:$F$874,'30 days CF Table(RMB)'!$C$2)</f>
        <v>0</v>
      </c>
      <c r="S10" s="337">
        <f>SUMIFS(BS_RE33!$H$7:$H$874,BS_RE33!$S$7:$S$874,$S$2,BS_RE33!$N$7:$N$874,I10,BS_RE33!$P$7:$P$874,'30 days CF Table(RMB)'!G10,BS_RE33!$F$7:$F$874,'30 days CF Table(RMB)'!$C$2)</f>
        <v>0</v>
      </c>
      <c r="T10" s="337">
        <f>SUMIFS(BS_RE33!$H$7:$H$874,BS_RE33!$S$7:$S$874,$T$2,BS_RE33!$N$7:$N$874,I10,BS_RE33!$P$7:$P$874,'30 days CF Table(RMB)'!G10,BS_RE33!$F$7:$F$874,'30 days CF Table(RMB)'!$C$2)</f>
        <v>0</v>
      </c>
      <c r="U10" s="337">
        <f>SUMIFS(BS_RE33!$H$7:$H$874,BS_RE33!$S$7:$S$874,$U$2,BS_RE33!$N$7:$N$874,I10,BS_RE33!$P$7:$P$874,'30 days CF Table(RMB)'!G10,BS_RE33!$F$7:$F$874,'30 days CF Table(RMB)'!$C$2)</f>
        <v>0</v>
      </c>
      <c r="V10" s="337">
        <f>SUMIFS(BS_RE33!$H$7:$H$874,BS_RE33!$S$7:$S$874,$V$2,BS_RE33!$N$7:$N$874,I10,BS_RE33!$P$7:$P$874,'30 days CF Table(RMB)'!G10,BS_RE33!$F$7:$F$874,'30 days CF Table(RMB)'!$C$2)</f>
        <v>0</v>
      </c>
      <c r="W10" s="337">
        <f>SUMIFS(BS_RE33!$H$7:$H$874,BS_RE33!$S$7:$S$874,$W$2,BS_RE33!$N$7:$N$874,I10,BS_RE33!$P$7:$P$874,'30 days CF Table(RMB)'!G10,BS_RE33!$F$7:$F$874,'30 days CF Table(RMB)'!$C$2)</f>
        <v>0</v>
      </c>
      <c r="X10" s="337">
        <f>SUMIFS(BS_RE33!$H$7:$H$874,BS_RE33!$S$7:$S$874,$X$2,BS_RE33!$N$7:$N$874,I10,BS_RE33!$P$7:$P$874,'30 days CF Table(RMB)'!G10,BS_RE33!$F$7:$F$874,'30 days CF Table(RMB)'!$C$2)</f>
        <v>0</v>
      </c>
      <c r="Y10" s="337">
        <f>SUMIFS(BS_RE33!$H$7:$H$874,BS_RE33!$S$7:$S$874,$Y$2,BS_RE33!$N$7:$N$874,I10,BS_RE33!$P$7:$P$874,'30 days CF Table(RMB)'!G10,BS_RE33!$F$7:$F$874,'30 days CF Table(RMB)'!$C$2)</f>
        <v>0</v>
      </c>
      <c r="Z10" s="337">
        <f>SUMIFS(BS_RE33!$H$7:$H$874,BS_RE33!$S$7:$S$874,$Z$2,BS_RE33!$N$7:$N$874,I10,BS_RE33!$P$7:$P$874,'30 days CF Table(RMB)'!G10,BS_RE33!$F$7:$F$874,'30 days CF Table(RMB)'!$C$2)</f>
        <v>0</v>
      </c>
      <c r="AA10" s="337">
        <f>SUMIFS(BS_RE33!$H$7:$H$874,BS_RE33!$S$7:$S$874,$AA$2,BS_RE33!$N$7:$N$874,I10,BS_RE33!$P$7:$P$874,'30 days CF Table(RMB)'!G10,BS_RE33!$F$7:$F$874,'30 days CF Table(RMB)'!$C$2)</f>
        <v>0</v>
      </c>
      <c r="AB10" s="337">
        <f>SUMIFS(BS_RE33!$H$7:$H$874,BS_RE33!$S$7:$S$874,$AB$2,BS_RE33!$N$7:$N$874,I10,BS_RE33!$P$7:$P$874,'30 days CF Table(RMB)'!G10,BS_RE33!$F$7:$F$874,'30 days CF Table(RMB)'!$C$2)</f>
        <v>0</v>
      </c>
      <c r="AC10" s="337">
        <f>SUMIFS(BS_RE33!$H$7:$H$874,BS_RE33!$S$7:$S$874,$AC$2,BS_RE33!$N$7:$N$874,I10,BS_RE33!$P$7:$P$874,'30 days CF Table(RMB)'!G10,BS_RE33!$F$7:$F$874,'30 days CF Table(RMB)'!$C$2)</f>
        <v>0</v>
      </c>
      <c r="AD10" s="337">
        <f>SUMIFS(BS_RE33!$H$7:$H$874,BS_RE33!$S$7:$S$874,$AD$2,BS_RE33!$N$7:$N$874,I10,BS_RE33!$P$7:$P$874,'30 days CF Table(RMB)'!G10,BS_RE33!$F$7:$F$874,'30 days CF Table(RMB)'!$C$2)</f>
        <v>0</v>
      </c>
      <c r="AE10" s="337">
        <f>SUMIFS(BS_RE33!$H$7:$H$874,BS_RE33!$S$7:$S$874,$AE$2,BS_RE33!$N$7:$N$874,I10,BS_RE33!$P$7:$P$874,'30 days CF Table(RMB)'!G10,BS_RE33!$F$7:$F$874,'30 days CF Table(RMB)'!$C$2)</f>
        <v>0</v>
      </c>
      <c r="AF10" s="337">
        <f>SUMIFS(BS_RE33!$H$7:$H$874,BS_RE33!$S$7:$S$874,$AF$2,BS_RE33!$N$7:$N$874,I10,BS_RE33!$P$7:$P$874,'30 days CF Table(RMB)'!G10,BS_RE33!$F$7:$F$874,'30 days CF Table(RMB)'!$C$2)</f>
        <v>0</v>
      </c>
      <c r="AG10" s="337">
        <f>SUMIFS(BS_RE33!$H$7:$H$874,BS_RE33!$S$7:$S$874,$AG$2,BS_RE33!$N$7:$N$874,I10,BS_RE33!$P$7:$P$874,'30 days CF Table(RMB)'!G10,BS_RE33!$F$7:$F$874,'30 days CF Table(RMB)'!$C$2)</f>
        <v>0</v>
      </c>
      <c r="AH10" s="337">
        <f>SUMIFS(BS_RE33!$H$7:$H$874,BS_RE33!$S$7:$S$874,$AH$2,BS_RE33!$N$7:$N$874,I10,BS_RE33!$P$7:$P$874,'30 days CF Table(RMB)'!G10,BS_RE33!$F$7:$F$874,'30 days CF Table(RMB)'!$C$2)</f>
        <v>0</v>
      </c>
      <c r="AI10" s="337">
        <f>SUMIFS(BS_RE33!$H$7:$H$874,BS_RE33!$S$7:$S$874,$AI$2,BS_RE33!$N$7:$N$874,I10,BS_RE33!$P$7:$P$874,'30 days CF Table(RMB)'!G10,BS_RE33!$F$7:$F$874,'30 days CF Table(RMB)'!$C$2)</f>
        <v>0</v>
      </c>
      <c r="AJ10" s="337">
        <f>SUMIFS(BS_RE33!$H$7:$H$874,BS_RE33!$S$7:$S$874,$AJ$2,BS_RE33!$N$7:$N$874,I10,BS_RE33!$P$7:$P$874,'30 days CF Table(RMB)'!G10,BS_RE33!$F$7:$F$874,'30 days CF Table(RMB)'!$C$2)</f>
        <v>0</v>
      </c>
      <c r="AK10" s="337">
        <f>SUMIFS(BS_RE33!$H$7:$H$874,BS_RE33!$S$7:$S$874,$AK$2,BS_RE33!$N$7:$N$874,I10,BS_RE33!$P$7:$P$874,'30 days CF Table(RMB)'!G10,BS_RE33!$F$7:$F$874,'30 days CF Table(RMB)'!$C$2)</f>
        <v>0</v>
      </c>
      <c r="AL10" s="337">
        <f>SUMIFS(BS_RE33!$H$7:$H$874,BS_RE33!$S$7:$S$874,$AL$2,BS_RE33!$N$7:$N$874,I10,BS_RE33!$P$7:$P$874,'30 days CF Table(RMB)'!G10,BS_RE33!$F$7:$F$874,'30 days CF Table(RMB)'!$C$2)</f>
        <v>0</v>
      </c>
      <c r="AM10" s="337">
        <f>SUMIFS(BS_RE33!$H$7:$H$874,BS_RE33!$S$7:$S$874,$AM$2,BS_RE33!$N$7:$N$874,I10,BS_RE33!$P$7:$P$874,'30 days CF Table(RMB)'!G10,BS_RE33!$F$7:$F$874,'30 days CF Table(RMB)'!$C$2)</f>
        <v>0</v>
      </c>
      <c r="AN10" s="337">
        <f>SUMIFS(BS_RE33!$H$7:$H$874,BS_RE33!$S$7:$S$874,$AN$2,BS_RE33!$N$7:$N$874,I10,BS_RE33!$P$7:$P$874,'30 days CF Table(RMB)'!G10,BS_RE33!$F$7:$F$874,'30 days CF Table(RMB)'!$C$2)</f>
        <v>0</v>
      </c>
      <c r="AO10" s="337">
        <f>SUMIFS(BS_RE33!$H$7:$H$874,BS_RE33!$S$7:$S$874,$AO$2,BS_RE33!$N$7:$N$874,I10,BS_RE33!$P$7:$P$874,'30 days CF Table(RMB)'!G10,BS_RE33!$F$7:$F$874,'30 days CF Table(RMB)'!$C$2)</f>
        <v>0</v>
      </c>
      <c r="AP10" s="338">
        <f>SUMIFS(BS_RE33!$H$7:$H$874,BS_RE33!$S$7:$S$874,$AP$2,BS_RE33!$N$7:$N$874,I10,BS_RE33!$P$7:$P$874,'30 days CF Table(RMB)'!G10,BS_RE33!$F$7:$F$874,'30 days CF Table(RMB)'!$C$2)</f>
        <v>0</v>
      </c>
      <c r="AQ10" s="545"/>
      <c r="AR10" s="379">
        <f>SUMIFS(BS_RE33!$H$7:$H$874,BS_RE33!$S$7:$S$874,$AR$2,BS_RE33!$N$7:$N$874,I10,BS_RE33!$P$7:$P$874,'30 days CF Table(RMB)'!G10,BS_RE33!$F$7:$F$874,'30 days CF Table(RMB)'!$C$2)</f>
        <v>0</v>
      </c>
      <c r="AS10" s="379">
        <f>SUMIFS(BS_RE33!$H$7:$H$874,BS_RE33!$S$7:$S$874,$AS$2,BS_RE33!$N$7:$N$874,I10,BS_RE33!$P$7:$P$874,'30 days CF Table(RMB)'!G10,BS_RE33!$F$7:$F$874,'30 days CF Table(RMB)'!$C$2)</f>
        <v>0</v>
      </c>
      <c r="AT10" s="379">
        <f>SUMIFS(BS_RE33!$H$7:$H$874,BS_RE33!$S$7:$S$874,$AT$2,BS_RE33!$N$7:$N$874,I10,BS_RE33!$P$7:$P$874,'30 days CF Table(RMB)'!G10,BS_RE33!$F$7:$F$874,'30 days CF Table(RMB)'!$C$2)</f>
        <v>0</v>
      </c>
      <c r="AU10" s="379">
        <f>SUMIFS(BS_RE33!$H$7:$H$874,BS_RE33!$S$7:$S$874,$AU$2,BS_RE33!$N$7:$N$874,I10,BS_RE33!$P$7:$P$874,'30 days CF Table(RMB)'!G10,BS_RE33!$F$7:$F$874,'30 days CF Table(RMB)'!$C$2)</f>
        <v>0</v>
      </c>
      <c r="AV10" s="379">
        <f>SUMIFS(BS_RE33!$H$7:$H$874,BS_RE33!$S$7:$S$874,$AV$2,BS_RE33!$N$7:$N$874,I10,BS_RE33!$P$7:$P$874,'30 days CF Table(RMB)'!G10,BS_RE33!$F$7:$F$874,'30 days CF Table(RMB)'!$C$2)</f>
        <v>0</v>
      </c>
      <c r="AW10" s="379">
        <f>SUMIFS(BS_RE33!$H$7:$H$874,BS_RE33!$S$7:$S$874,$AW$2,BS_RE33!$N$7:$N$874,I10,BS_RE33!$P$7:$P$874,'30 days CF Table(RMB)'!G10,BS_RE33!$F$7:$F$874,'30 days CF Table(RMB)'!$C$2)</f>
        <v>0</v>
      </c>
      <c r="AX10" s="379">
        <f>SUMIFS(BS_RE33!$H$7:$H$874,BS_RE33!$S$7:$S$874,$AX$2,BS_RE33!$N$7:$N$874,I10,BS_RE33!$P$7:$P$874,'30 days CF Table(RMB)'!G10,BS_RE33!$F$7:$F$874,'30 days CF Table(RMB)'!$C$2)</f>
        <v>0</v>
      </c>
      <c r="AY10" s="379">
        <f>SUMIFS(BS_RE33!$H$7:$H$874,BS_RE33!$S$7:$S$874,$AY$2,BS_RE33!$N$7:$N$874,I10,BS_RE33!$P$7:$P$874,'30 days CF Table(RMB)'!G10,BS_RE33!$F$7:$F$874,'30 days CF Table(RMB)'!$C$2)</f>
        <v>0</v>
      </c>
      <c r="AZ10" s="379">
        <f>SUMIFS(BS_RE33!$H$7:$H$874,BS_RE33!$S$7:$S$874,$AZ$2,BS_RE33!$N$7:$N$874,I10,BS_RE33!$P$7:$P$874,'30 days CF Table(RMB)'!G10,BS_RE33!$F$7:$F$874,'30 days CF Table(RMB)'!$C$2)</f>
        <v>0</v>
      </c>
      <c r="BA10" s="379">
        <f>SUMIFS(BS_RE33!$H$7:$H$874,BS_RE33!$S$7:$S$874,$BA$2,BS_RE33!$N$7:$N$874,I10,BS_RE33!$P$7:$P$874,'30 days CF Table(RMB)'!G10,BS_RE33!$F$7:$F$874,'30 days CF Table(RMB)'!$C$2)</f>
        <v>0</v>
      </c>
      <c r="BB10" s="379">
        <f>SUMIFS(BS_RE33!$H$7:$H$874,BS_RE33!$S$7:$S$874,$BB$2,BS_RE33!$N$7:$N$874,I10,BS_RE33!$P$7:$P$874,'30 days CF Table(RMB)'!G10,BS_RE33!$F$7:$F$874,'30 days CF Table(RMB)'!$C$2)</f>
        <v>0</v>
      </c>
      <c r="BC10" s="379">
        <f>SUMIFS(BS_RE33!$H$7:$H$874,BS_RE33!$S$7:$S$874,$BC$2,BS_RE33!$N$7:$N$874,I10,BS_RE33!$P$7:$P$874,'30 days CF Table(RMB)'!G10,BS_RE33!$F$7:$F$874,'30 days CF Table(RMB)'!$C$2)</f>
        <v>0</v>
      </c>
      <c r="BD10" s="379">
        <f>SUMIFS(BS_RE33!$H$7:$H$874,BS_RE33!$S$7:$S$874,$BD$2,BS_RE33!$N$7:$N$874,I10,BS_RE33!$P$7:$P$874,'30 days CF Table(RMB)'!G10,BS_RE33!$F$7:$F$874,'30 days CF Table(RMB)'!$C$2)</f>
        <v>0</v>
      </c>
      <c r="BE10" s="379">
        <f>SUMIFS(BS_RE33!$H$7:$H$874,BS_RE33!$S$7:$S$874,$BE$2,BS_RE33!$N$7:$N$874,I10,BS_RE33!$P$7:$P$874,'30 days CF Table(RMB)'!G10,BS_RE33!$F$7:$F$874,'30 days CF Table(RMB)'!$C$2)</f>
        <v>0</v>
      </c>
      <c r="BF10" s="379">
        <f>SUMIFS(BS_RE33!$H$7:$H$874,BS_RE33!$S$7:$S$874,$BF$2,BS_RE33!$N$7:$N$874,I10,BS_RE33!$P$7:$P$874,'30 days CF Table(RMB)'!G10,BS_RE33!$F$7:$F$874,'30 days CF Table(RMB)'!$C$2)</f>
        <v>0</v>
      </c>
      <c r="BG10" s="379">
        <f>SUMIFS(BS_RE33!$H$7:$H$874,BS_RE33!$S$7:$S$874,$BG$2,BS_RE33!$N$7:$N$874,I10,BS_RE33!$P$7:$P$874,'30 days CF Table(RMB)'!G10,BS_RE33!$F$7:$F$874,'30 days CF Table(RMB)'!$C$2)</f>
        <v>0</v>
      </c>
      <c r="BH10" s="379">
        <f>SUMIFS(BS_RE33!$H$7:$H$874,BS_RE33!$S$7:$S$874,$BH$2,BS_RE33!$N$7:$N$874,I10,BS_RE33!$P$7:$P$874,'30 days CF Table(RMB)'!G10,BS_RE33!$F$7:$F$874,'30 days CF Table(RMB)'!$C$2)</f>
        <v>0</v>
      </c>
      <c r="BI10" s="379">
        <f>SUMIFS(BS_RE33!$H$7:$H$874,BS_RE33!$S$7:$S$874,$BI$2,BS_RE33!$N$7:$N$874,I10,BS_RE33!$P$7:$P$874,'30 days CF Table(RMB)'!G10,BS_RE33!$F$7:$F$874,'30 days CF Table(RMB)'!$C$2)</f>
        <v>0</v>
      </c>
      <c r="BJ10" s="379">
        <f>SUMIFS(BS_RE33!$H$7:$H$874,BS_RE33!$S$7:$S$874,$BJ$2,BS_RE33!$N$7:$N$874,I10,BS_RE33!$P$7:$P$874,'30 days CF Table(RMB)'!G10,BS_RE33!$F$7:$F$874,'30 days CF Table(RMB)'!$C$2)</f>
        <v>0</v>
      </c>
      <c r="BK10" s="379">
        <f>SUMIFS(BS_RE33!$H$7:$H$874,BS_RE33!$S$7:$S$874,$BK$2,BS_RE33!$N$7:$N$874,I10,BS_RE33!$P$7:$P$874,'30 days CF Table(RMB)'!G10,BS_RE33!$F$7:$F$874,'30 days CF Table(RMB)'!$C$2)</f>
        <v>0</v>
      </c>
    </row>
    <row r="11" spans="1:63">
      <c r="C11" s="1029"/>
      <c r="D11" s="1030"/>
      <c r="E11" s="306" t="s">
        <v>69</v>
      </c>
      <c r="F11" s="312" t="s">
        <v>502</v>
      </c>
      <c r="G11" s="392" t="s">
        <v>503</v>
      </c>
      <c r="H11" s="130">
        <v>0.5</v>
      </c>
      <c r="I11" s="305" t="s">
        <v>63</v>
      </c>
      <c r="J11" s="477">
        <f t="shared" si="2"/>
        <v>0</v>
      </c>
      <c r="K11" s="335">
        <f t="shared" si="3"/>
        <v>0</v>
      </c>
      <c r="L11" s="337">
        <f>SUMIFS(BS_RE33!$H$7:$H$874,BS_RE33!$S$7:$S$874,$L$2,BS_RE33!$N$7:$N$874,I11,BS_RE33!$P$7:$P$874,'30 days CF Table(RMB)'!G11,BS_RE33!$F$7:$F$874,'30 days CF Table(RMB)'!$C$2)</f>
        <v>0</v>
      </c>
      <c r="M11" s="337">
        <f>SUMIFS(BS_RE33!$H$7:$H$874,BS_RE33!$S$7:$S$874,$M$2,BS_RE33!$N$7:$N$874,I11,BS_RE33!$P$7:$P$874,'30 days CF Table(RMB)'!G11,BS_RE33!$F$7:$F$874,'30 days CF Table(RMB)'!$C$2)</f>
        <v>0</v>
      </c>
      <c r="N11" s="337">
        <f>SUMIFS(BS_RE33!$H$7:$H$874,BS_RE33!$S$7:$S$874,$N$2,BS_RE33!$N$7:$N$874,I11,BS_RE33!$P$7:$P$874,'30 days CF Table(RMB)'!G11,BS_RE33!$F$7:$F$874,'30 days CF Table(RMB)'!$C$2)</f>
        <v>0</v>
      </c>
      <c r="O11" s="337">
        <f>SUMIFS(BS_RE33!$H$7:$H$874,BS_RE33!$S$7:$S$874,$O$2,BS_RE33!$N$7:$N$874,I11,BS_RE33!$P$7:$P$874,'30 days CF Table(RMB)'!G11,BS_RE33!$F$7:$F$874,'30 days CF Table(RMB)'!$C$2)</f>
        <v>0</v>
      </c>
      <c r="P11" s="337">
        <f>SUMIFS(BS_RE33!$H$7:$H$874,BS_RE33!$S$7:$S$874,$P$2,BS_RE33!$N$7:$N$874,I11,BS_RE33!$P$7:$P$874,'30 days CF Table(RMB)'!G11,BS_RE33!$F$7:$F$874,'30 days CF Table(RMB)'!$C$2)</f>
        <v>0</v>
      </c>
      <c r="Q11" s="337">
        <f>SUMIFS(BS_RE33!$H$7:$H$874,BS_RE33!$S$7:$S$874,$Q$2,BS_RE33!$N$7:$N$874,I11,BS_RE33!$P$7:$P$874,'30 days CF Table(RMB)'!G11,BS_RE33!$F$7:$F$874,'30 days CF Table(RMB)'!$C$2)</f>
        <v>0</v>
      </c>
      <c r="R11" s="337">
        <f>SUMIFS(BS_RE33!$H$7:$H$874,BS_RE33!$S$7:$S$874,$R$2,BS_RE33!$N$7:$N$874,I11,BS_RE33!$P$7:$P$874,'30 days CF Table(RMB)'!G11,BS_RE33!$F$7:$F$874,'30 days CF Table(RMB)'!$C$2)</f>
        <v>0</v>
      </c>
      <c r="S11" s="337">
        <f>SUMIFS(BS_RE33!$H$7:$H$874,BS_RE33!$S$7:$S$874,$S$2,BS_RE33!$N$7:$N$874,I11,BS_RE33!$P$7:$P$874,'30 days CF Table(RMB)'!G11,BS_RE33!$F$7:$F$874,'30 days CF Table(RMB)'!$C$2)</f>
        <v>0</v>
      </c>
      <c r="T11" s="337">
        <f>SUMIFS(BS_RE33!$H$7:$H$874,BS_RE33!$S$7:$S$874,$T$2,BS_RE33!$N$7:$N$874,I11,BS_RE33!$P$7:$P$874,'30 days CF Table(RMB)'!G11,BS_RE33!$F$7:$F$874,'30 days CF Table(RMB)'!$C$2)</f>
        <v>0</v>
      </c>
      <c r="U11" s="337">
        <f>SUMIFS(BS_RE33!$H$7:$H$874,BS_RE33!$S$7:$S$874,$U$2,BS_RE33!$N$7:$N$874,I11,BS_RE33!$P$7:$P$874,'30 days CF Table(RMB)'!G11,BS_RE33!$F$7:$F$874,'30 days CF Table(RMB)'!$C$2)</f>
        <v>0</v>
      </c>
      <c r="V11" s="337">
        <f>SUMIFS(BS_RE33!$H$7:$H$874,BS_RE33!$S$7:$S$874,$V$2,BS_RE33!$N$7:$N$874,I11,BS_RE33!$P$7:$P$874,'30 days CF Table(RMB)'!G11,BS_RE33!$F$7:$F$874,'30 days CF Table(RMB)'!$C$2)</f>
        <v>0</v>
      </c>
      <c r="W11" s="337">
        <f>SUMIFS(BS_RE33!$H$7:$H$874,BS_RE33!$S$7:$S$874,$W$2,BS_RE33!$N$7:$N$874,I11,BS_RE33!$P$7:$P$874,'30 days CF Table(RMB)'!G11,BS_RE33!$F$7:$F$874,'30 days CF Table(RMB)'!$C$2)</f>
        <v>0</v>
      </c>
      <c r="X11" s="337">
        <f>SUMIFS(BS_RE33!$H$7:$H$874,BS_RE33!$S$7:$S$874,$X$2,BS_RE33!$N$7:$N$874,I11,BS_RE33!$P$7:$P$874,'30 days CF Table(RMB)'!G11,BS_RE33!$F$7:$F$874,'30 days CF Table(RMB)'!$C$2)</f>
        <v>0</v>
      </c>
      <c r="Y11" s="337">
        <f>SUMIFS(BS_RE33!$H$7:$H$874,BS_RE33!$S$7:$S$874,$Y$2,BS_RE33!$N$7:$N$874,I11,BS_RE33!$P$7:$P$874,'30 days CF Table(RMB)'!G11,BS_RE33!$F$7:$F$874,'30 days CF Table(RMB)'!$C$2)</f>
        <v>0</v>
      </c>
      <c r="Z11" s="337">
        <f>SUMIFS(BS_RE33!$H$7:$H$874,BS_RE33!$S$7:$S$874,$Z$2,BS_RE33!$N$7:$N$874,I11,BS_RE33!$P$7:$P$874,'30 days CF Table(RMB)'!G11,BS_RE33!$F$7:$F$874,'30 days CF Table(RMB)'!$C$2)</f>
        <v>0</v>
      </c>
      <c r="AA11" s="337">
        <f>SUMIFS(BS_RE33!$H$7:$H$874,BS_RE33!$S$7:$S$874,$AA$2,BS_RE33!$N$7:$N$874,I11,BS_RE33!$P$7:$P$874,'30 days CF Table(RMB)'!G11,BS_RE33!$F$7:$F$874,'30 days CF Table(RMB)'!$C$2)</f>
        <v>0</v>
      </c>
      <c r="AB11" s="337">
        <f>SUMIFS(BS_RE33!$H$7:$H$874,BS_RE33!$S$7:$S$874,$AB$2,BS_RE33!$N$7:$N$874,I11,BS_RE33!$P$7:$P$874,'30 days CF Table(RMB)'!G11,BS_RE33!$F$7:$F$874,'30 days CF Table(RMB)'!$C$2)</f>
        <v>0</v>
      </c>
      <c r="AC11" s="337">
        <f>SUMIFS(BS_RE33!$H$7:$H$874,BS_RE33!$S$7:$S$874,$AC$2,BS_RE33!$N$7:$N$874,I11,BS_RE33!$P$7:$P$874,'30 days CF Table(RMB)'!G11,BS_RE33!$F$7:$F$874,'30 days CF Table(RMB)'!$C$2)</f>
        <v>0</v>
      </c>
      <c r="AD11" s="337">
        <f>SUMIFS(BS_RE33!$H$7:$H$874,BS_RE33!$S$7:$S$874,$AD$2,BS_RE33!$N$7:$N$874,I11,BS_RE33!$P$7:$P$874,'30 days CF Table(RMB)'!G11,BS_RE33!$F$7:$F$874,'30 days CF Table(RMB)'!$C$2)</f>
        <v>0</v>
      </c>
      <c r="AE11" s="337">
        <f>SUMIFS(BS_RE33!$H$7:$H$874,BS_RE33!$S$7:$S$874,$AE$2,BS_RE33!$N$7:$N$874,I11,BS_RE33!$P$7:$P$874,'30 days CF Table(RMB)'!G11,BS_RE33!$F$7:$F$874,'30 days CF Table(RMB)'!$C$2)</f>
        <v>0</v>
      </c>
      <c r="AF11" s="337">
        <f>SUMIFS(BS_RE33!$H$7:$H$874,BS_RE33!$S$7:$S$874,$AF$2,BS_RE33!$N$7:$N$874,I11,BS_RE33!$P$7:$P$874,'30 days CF Table(RMB)'!G11,BS_RE33!$F$7:$F$874,'30 days CF Table(RMB)'!$C$2)</f>
        <v>0</v>
      </c>
      <c r="AG11" s="337">
        <f>SUMIFS(BS_RE33!$H$7:$H$874,BS_RE33!$S$7:$S$874,$AG$2,BS_RE33!$N$7:$N$874,I11,BS_RE33!$P$7:$P$874,'30 days CF Table(RMB)'!G11,BS_RE33!$F$7:$F$874,'30 days CF Table(RMB)'!$C$2)</f>
        <v>0</v>
      </c>
      <c r="AH11" s="337">
        <f>SUMIFS(BS_RE33!$H$7:$H$874,BS_RE33!$S$7:$S$874,$AH$2,BS_RE33!$N$7:$N$874,I11,BS_RE33!$P$7:$P$874,'30 days CF Table(RMB)'!G11,BS_RE33!$F$7:$F$874,'30 days CF Table(RMB)'!$C$2)</f>
        <v>0</v>
      </c>
      <c r="AI11" s="337">
        <f>SUMIFS(BS_RE33!$H$7:$H$874,BS_RE33!$S$7:$S$874,$AI$2,BS_RE33!$N$7:$N$874,I11,BS_RE33!$P$7:$P$874,'30 days CF Table(RMB)'!G11,BS_RE33!$F$7:$F$874,'30 days CF Table(RMB)'!$C$2)</f>
        <v>0</v>
      </c>
      <c r="AJ11" s="337">
        <f>SUMIFS(BS_RE33!$H$7:$H$874,BS_RE33!$S$7:$S$874,$AJ$2,BS_RE33!$N$7:$N$874,I11,BS_RE33!$P$7:$P$874,'30 days CF Table(RMB)'!G11,BS_RE33!$F$7:$F$874,'30 days CF Table(RMB)'!$C$2)</f>
        <v>0</v>
      </c>
      <c r="AK11" s="337">
        <f>SUMIFS(BS_RE33!$H$7:$H$874,BS_RE33!$S$7:$S$874,$AK$2,BS_RE33!$N$7:$N$874,I11,BS_RE33!$P$7:$P$874,'30 days CF Table(RMB)'!G11,BS_RE33!$F$7:$F$874,'30 days CF Table(RMB)'!$C$2)</f>
        <v>0</v>
      </c>
      <c r="AL11" s="337">
        <f>SUMIFS(BS_RE33!$H$7:$H$874,BS_RE33!$S$7:$S$874,$AL$2,BS_RE33!$N$7:$N$874,I11,BS_RE33!$P$7:$P$874,'30 days CF Table(RMB)'!G11,BS_RE33!$F$7:$F$874,'30 days CF Table(RMB)'!$C$2)</f>
        <v>0</v>
      </c>
      <c r="AM11" s="337">
        <f>SUMIFS(BS_RE33!$H$7:$H$874,BS_RE33!$S$7:$S$874,$AM$2,BS_RE33!$N$7:$N$874,I11,BS_RE33!$P$7:$P$874,'30 days CF Table(RMB)'!G11,BS_RE33!$F$7:$F$874,'30 days CF Table(RMB)'!$C$2)</f>
        <v>0</v>
      </c>
      <c r="AN11" s="337">
        <f>SUMIFS(BS_RE33!$H$7:$H$874,BS_RE33!$S$7:$S$874,$AN$2,BS_RE33!$N$7:$N$874,I11,BS_RE33!$P$7:$P$874,'30 days CF Table(RMB)'!G11,BS_RE33!$F$7:$F$874,'30 days CF Table(RMB)'!$C$2)</f>
        <v>0</v>
      </c>
      <c r="AO11" s="337">
        <f>SUMIFS(BS_RE33!$H$7:$H$874,BS_RE33!$S$7:$S$874,$AO$2,BS_RE33!$N$7:$N$874,I11,BS_RE33!$P$7:$P$874,'30 days CF Table(RMB)'!G11,BS_RE33!$F$7:$F$874,'30 days CF Table(RMB)'!$C$2)</f>
        <v>0</v>
      </c>
      <c r="AP11" s="338">
        <f>SUMIFS(BS_RE33!$H$7:$H$874,BS_RE33!$S$7:$S$874,$AP$2,BS_RE33!$N$7:$N$874,I11,BS_RE33!$P$7:$P$874,'30 days CF Table(RMB)'!G11,BS_RE33!$F$7:$F$874,'30 days CF Table(RMB)'!$C$2)</f>
        <v>0</v>
      </c>
      <c r="AQ11" s="545"/>
      <c r="AR11" s="379">
        <f>SUMIFS(BS_RE33!$H$7:$H$874,BS_RE33!$S$7:$S$874,$AR$2,BS_RE33!$N$7:$N$874,I11,BS_RE33!$P$7:$P$874,'30 days CF Table(RMB)'!G11,BS_RE33!$F$7:$F$874,'30 days CF Table(RMB)'!$C$2)</f>
        <v>0</v>
      </c>
      <c r="AS11" s="379">
        <f>SUMIFS(BS_RE33!$H$7:$H$874,BS_RE33!$S$7:$S$874,$AS$2,BS_RE33!$N$7:$N$874,I11,BS_RE33!$P$7:$P$874,'30 days CF Table(RMB)'!G11,BS_RE33!$F$7:$F$874,'30 days CF Table(RMB)'!$C$2)</f>
        <v>0</v>
      </c>
      <c r="AT11" s="379">
        <f>SUMIFS(BS_RE33!$H$7:$H$874,BS_RE33!$S$7:$S$874,$AT$2,BS_RE33!$N$7:$N$874,I11,BS_RE33!$P$7:$P$874,'30 days CF Table(RMB)'!G11,BS_RE33!$F$7:$F$874,'30 days CF Table(RMB)'!$C$2)</f>
        <v>0</v>
      </c>
      <c r="AU11" s="379">
        <f>SUMIFS(BS_RE33!$H$7:$H$874,BS_RE33!$S$7:$S$874,$AU$2,BS_RE33!$N$7:$N$874,I11,BS_RE33!$P$7:$P$874,'30 days CF Table(RMB)'!G11,BS_RE33!$F$7:$F$874,'30 days CF Table(RMB)'!$C$2)</f>
        <v>0</v>
      </c>
      <c r="AV11" s="379">
        <f>SUMIFS(BS_RE33!$H$7:$H$874,BS_RE33!$S$7:$S$874,$AV$2,BS_RE33!$N$7:$N$874,I11,BS_RE33!$P$7:$P$874,'30 days CF Table(RMB)'!G11,BS_RE33!$F$7:$F$874,'30 days CF Table(RMB)'!$C$2)</f>
        <v>0</v>
      </c>
      <c r="AW11" s="379">
        <f>SUMIFS(BS_RE33!$H$7:$H$874,BS_RE33!$S$7:$S$874,$AW$2,BS_RE33!$N$7:$N$874,I11,BS_RE33!$P$7:$P$874,'30 days CF Table(RMB)'!G11,BS_RE33!$F$7:$F$874,'30 days CF Table(RMB)'!$C$2)</f>
        <v>0</v>
      </c>
      <c r="AX11" s="379">
        <f>SUMIFS(BS_RE33!$H$7:$H$874,BS_RE33!$S$7:$S$874,$AX$2,BS_RE33!$N$7:$N$874,I11,BS_RE33!$P$7:$P$874,'30 days CF Table(RMB)'!G11,BS_RE33!$F$7:$F$874,'30 days CF Table(RMB)'!$C$2)</f>
        <v>0</v>
      </c>
      <c r="AY11" s="379">
        <f>SUMIFS(BS_RE33!$H$7:$H$874,BS_RE33!$S$7:$S$874,$AY$2,BS_RE33!$N$7:$N$874,I11,BS_RE33!$P$7:$P$874,'30 days CF Table(RMB)'!G11,BS_RE33!$F$7:$F$874,'30 days CF Table(RMB)'!$C$2)</f>
        <v>0</v>
      </c>
      <c r="AZ11" s="379">
        <f>SUMIFS(BS_RE33!$H$7:$H$874,BS_RE33!$S$7:$S$874,$AZ$2,BS_RE33!$N$7:$N$874,I11,BS_RE33!$P$7:$P$874,'30 days CF Table(RMB)'!G11,BS_RE33!$F$7:$F$874,'30 days CF Table(RMB)'!$C$2)</f>
        <v>0</v>
      </c>
      <c r="BA11" s="379">
        <f>SUMIFS(BS_RE33!$H$7:$H$874,BS_RE33!$S$7:$S$874,$BA$2,BS_RE33!$N$7:$N$874,I11,BS_RE33!$P$7:$P$874,'30 days CF Table(RMB)'!G11,BS_RE33!$F$7:$F$874,'30 days CF Table(RMB)'!$C$2)</f>
        <v>0</v>
      </c>
      <c r="BB11" s="379">
        <f>SUMIFS(BS_RE33!$H$7:$H$874,BS_RE33!$S$7:$S$874,$BB$2,BS_RE33!$N$7:$N$874,I11,BS_RE33!$P$7:$P$874,'30 days CF Table(RMB)'!G11,BS_RE33!$F$7:$F$874,'30 days CF Table(RMB)'!$C$2)</f>
        <v>0</v>
      </c>
      <c r="BC11" s="379">
        <f>SUMIFS(BS_RE33!$H$7:$H$874,BS_RE33!$S$7:$S$874,$BC$2,BS_RE33!$N$7:$N$874,I11,BS_RE33!$P$7:$P$874,'30 days CF Table(RMB)'!G11,BS_RE33!$F$7:$F$874,'30 days CF Table(RMB)'!$C$2)</f>
        <v>0</v>
      </c>
      <c r="BD11" s="379">
        <f>SUMIFS(BS_RE33!$H$7:$H$874,BS_RE33!$S$7:$S$874,$BD$2,BS_RE33!$N$7:$N$874,I11,BS_RE33!$P$7:$P$874,'30 days CF Table(RMB)'!G11,BS_RE33!$F$7:$F$874,'30 days CF Table(RMB)'!$C$2)</f>
        <v>0</v>
      </c>
      <c r="BE11" s="379">
        <f>SUMIFS(BS_RE33!$H$7:$H$874,BS_RE33!$S$7:$S$874,$BE$2,BS_RE33!$N$7:$N$874,I11,BS_RE33!$P$7:$P$874,'30 days CF Table(RMB)'!G11,BS_RE33!$F$7:$F$874,'30 days CF Table(RMB)'!$C$2)</f>
        <v>0</v>
      </c>
      <c r="BF11" s="379">
        <f>SUMIFS(BS_RE33!$H$7:$H$874,BS_RE33!$S$7:$S$874,$BF$2,BS_RE33!$N$7:$N$874,I11,BS_RE33!$P$7:$P$874,'30 days CF Table(RMB)'!G11,BS_RE33!$F$7:$F$874,'30 days CF Table(RMB)'!$C$2)</f>
        <v>0</v>
      </c>
      <c r="BG11" s="379">
        <f>SUMIFS(BS_RE33!$H$7:$H$874,BS_RE33!$S$7:$S$874,$BG$2,BS_RE33!$N$7:$N$874,I11,BS_RE33!$P$7:$P$874,'30 days CF Table(RMB)'!G11,BS_RE33!$F$7:$F$874,'30 days CF Table(RMB)'!$C$2)</f>
        <v>0</v>
      </c>
      <c r="BH11" s="379">
        <f>SUMIFS(BS_RE33!$H$7:$H$874,BS_RE33!$S$7:$S$874,$BH$2,BS_RE33!$N$7:$N$874,I11,BS_RE33!$P$7:$P$874,'30 days CF Table(RMB)'!G11,BS_RE33!$F$7:$F$874,'30 days CF Table(RMB)'!$C$2)</f>
        <v>0</v>
      </c>
      <c r="BI11" s="379">
        <f>SUMIFS(BS_RE33!$H$7:$H$874,BS_RE33!$S$7:$S$874,$BI$2,BS_RE33!$N$7:$N$874,I11,BS_RE33!$P$7:$P$874,'30 days CF Table(RMB)'!G11,BS_RE33!$F$7:$F$874,'30 days CF Table(RMB)'!$C$2)</f>
        <v>0</v>
      </c>
      <c r="BJ11" s="379">
        <f>SUMIFS(BS_RE33!$H$7:$H$874,BS_RE33!$S$7:$S$874,$BJ$2,BS_RE33!$N$7:$N$874,I11,BS_RE33!$P$7:$P$874,'30 days CF Table(RMB)'!G11,BS_RE33!$F$7:$F$874,'30 days CF Table(RMB)'!$C$2)</f>
        <v>0</v>
      </c>
      <c r="BK11" s="379">
        <f>SUMIFS(BS_RE33!$H$7:$H$874,BS_RE33!$S$7:$S$874,$BK$2,BS_RE33!$N$7:$N$874,I11,BS_RE33!$P$7:$P$874,'30 days CF Table(RMB)'!G11,BS_RE33!$F$7:$F$874,'30 days CF Table(RMB)'!$C$2)</f>
        <v>0</v>
      </c>
    </row>
    <row r="12" spans="1:63" s="395" customFormat="1">
      <c r="C12" s="1029"/>
      <c r="D12" s="1030"/>
      <c r="E12" s="306" t="s">
        <v>69</v>
      </c>
      <c r="F12" s="312" t="s">
        <v>504</v>
      </c>
      <c r="G12" s="392" t="s">
        <v>505</v>
      </c>
      <c r="H12" s="130">
        <v>1</v>
      </c>
      <c r="I12" s="305" t="s">
        <v>63</v>
      </c>
      <c r="J12" s="477">
        <f t="shared" si="2"/>
        <v>0</v>
      </c>
      <c r="K12" s="335">
        <f t="shared" si="3"/>
        <v>0</v>
      </c>
      <c r="L12" s="337">
        <f>SUMIFS(BS_RE33!$H$7:$H$874,BS_RE33!$S$7:$S$874,$L$2,BS_RE33!$N$7:$N$874,I12,BS_RE33!$P$7:$P$874,'30 days CF Table(RMB)'!G12,BS_RE33!$F$7:$F$874,'30 days CF Table(RMB)'!$C$2)</f>
        <v>0</v>
      </c>
      <c r="M12" s="337">
        <f>SUMIFS(BS_RE33!$H$7:$H$874,BS_RE33!$S$7:$S$874,$M$2,BS_RE33!$N$7:$N$874,I12,BS_RE33!$P$7:$P$874,'30 days CF Table(RMB)'!G12,BS_RE33!$F$7:$F$874,'30 days CF Table(RMB)'!$C$2)</f>
        <v>0</v>
      </c>
      <c r="N12" s="337">
        <f>SUMIFS(BS_RE33!$H$7:$H$874,BS_RE33!$S$7:$S$874,$N$2,BS_RE33!$N$7:$N$874,I12,BS_RE33!$P$7:$P$874,'30 days CF Table(RMB)'!G12,BS_RE33!$F$7:$F$874,'30 days CF Table(RMB)'!$C$2)</f>
        <v>0</v>
      </c>
      <c r="O12" s="337">
        <f>SUMIFS(BS_RE33!$H$7:$H$874,BS_RE33!$S$7:$S$874,$O$2,BS_RE33!$N$7:$N$874,I12,BS_RE33!$P$7:$P$874,'30 days CF Table(RMB)'!G12,BS_RE33!$F$7:$F$874,'30 days CF Table(RMB)'!$C$2)</f>
        <v>0</v>
      </c>
      <c r="P12" s="337">
        <f>SUMIFS(BS_RE33!$H$7:$H$874,BS_RE33!$S$7:$S$874,$P$2,BS_RE33!$N$7:$N$874,I12,BS_RE33!$P$7:$P$874,'30 days CF Table(RMB)'!G12,BS_RE33!$F$7:$F$874,'30 days CF Table(RMB)'!$C$2)</f>
        <v>0</v>
      </c>
      <c r="Q12" s="337">
        <f>SUMIFS(BS_RE33!$H$7:$H$874,BS_RE33!$S$7:$S$874,$Q$2,BS_RE33!$N$7:$N$874,I12,BS_RE33!$P$7:$P$874,'30 days CF Table(RMB)'!G12,BS_RE33!$F$7:$F$874,'30 days CF Table(RMB)'!$C$2)</f>
        <v>0</v>
      </c>
      <c r="R12" s="337">
        <f>SUMIFS(BS_RE33!$H$7:$H$874,BS_RE33!$S$7:$S$874,$R$2,BS_RE33!$N$7:$N$874,I12,BS_RE33!$P$7:$P$874,'30 days CF Table(RMB)'!G12,BS_RE33!$F$7:$F$874,'30 days CF Table(RMB)'!$C$2)</f>
        <v>0</v>
      </c>
      <c r="S12" s="337">
        <f>SUMIFS(BS_RE33!$H$7:$H$874,BS_RE33!$S$7:$S$874,$S$2,BS_RE33!$N$7:$N$874,I12,BS_RE33!$P$7:$P$874,'30 days CF Table(RMB)'!G12,BS_RE33!$F$7:$F$874,'30 days CF Table(RMB)'!$C$2)</f>
        <v>0</v>
      </c>
      <c r="T12" s="337">
        <f>SUMIFS(BS_RE33!$H$7:$H$874,BS_RE33!$S$7:$S$874,$T$2,BS_RE33!$N$7:$N$874,I12,BS_RE33!$P$7:$P$874,'30 days CF Table(RMB)'!G12,BS_RE33!$F$7:$F$874,'30 days CF Table(RMB)'!$C$2)</f>
        <v>0</v>
      </c>
      <c r="U12" s="337">
        <f>SUMIFS(BS_RE33!$H$7:$H$874,BS_RE33!$S$7:$S$874,$U$2,BS_RE33!$N$7:$N$874,I12,BS_RE33!$P$7:$P$874,'30 days CF Table(RMB)'!G12,BS_RE33!$F$7:$F$874,'30 days CF Table(RMB)'!$C$2)</f>
        <v>0</v>
      </c>
      <c r="V12" s="337">
        <f>SUMIFS(BS_RE33!$H$7:$H$874,BS_RE33!$S$7:$S$874,$V$2,BS_RE33!$N$7:$N$874,I12,BS_RE33!$P$7:$P$874,'30 days CF Table(RMB)'!G12,BS_RE33!$F$7:$F$874,'30 days CF Table(RMB)'!$C$2)</f>
        <v>0</v>
      </c>
      <c r="W12" s="337">
        <f>SUMIFS(BS_RE33!$H$7:$H$874,BS_RE33!$S$7:$S$874,$W$2,BS_RE33!$N$7:$N$874,I12,BS_RE33!$P$7:$P$874,'30 days CF Table(RMB)'!G12,BS_RE33!$F$7:$F$874,'30 days CF Table(RMB)'!$C$2)</f>
        <v>0</v>
      </c>
      <c r="X12" s="337">
        <f>SUMIFS(BS_RE33!$H$7:$H$874,BS_RE33!$S$7:$S$874,$X$2,BS_RE33!$N$7:$N$874,I12,BS_RE33!$P$7:$P$874,'30 days CF Table(RMB)'!G12,BS_RE33!$F$7:$F$874,'30 days CF Table(RMB)'!$C$2)</f>
        <v>0</v>
      </c>
      <c r="Y12" s="337">
        <f>SUMIFS(BS_RE33!$H$7:$H$874,BS_RE33!$S$7:$S$874,$Y$2,BS_RE33!$N$7:$N$874,I12,BS_RE33!$P$7:$P$874,'30 days CF Table(RMB)'!G12,BS_RE33!$F$7:$F$874,'30 days CF Table(RMB)'!$C$2)</f>
        <v>0</v>
      </c>
      <c r="Z12" s="337">
        <f>SUMIFS(BS_RE33!$H$7:$H$874,BS_RE33!$S$7:$S$874,$Z$2,BS_RE33!$N$7:$N$874,I12,BS_RE33!$P$7:$P$874,'30 days CF Table(RMB)'!G12,BS_RE33!$F$7:$F$874,'30 days CF Table(RMB)'!$C$2)</f>
        <v>0</v>
      </c>
      <c r="AA12" s="337">
        <f>SUMIFS(BS_RE33!$H$7:$H$874,BS_RE33!$S$7:$S$874,$AA$2,BS_RE33!$N$7:$N$874,I12,BS_RE33!$P$7:$P$874,'30 days CF Table(RMB)'!G12,BS_RE33!$F$7:$F$874,'30 days CF Table(RMB)'!$C$2)</f>
        <v>0</v>
      </c>
      <c r="AB12" s="337">
        <f>SUMIFS(BS_RE33!$H$7:$H$874,BS_RE33!$S$7:$S$874,$AB$2,BS_RE33!$N$7:$N$874,I12,BS_RE33!$P$7:$P$874,'30 days CF Table(RMB)'!G12,BS_RE33!$F$7:$F$874,'30 days CF Table(RMB)'!$C$2)</f>
        <v>0</v>
      </c>
      <c r="AC12" s="337">
        <f>SUMIFS(BS_RE33!$H$7:$H$874,BS_RE33!$S$7:$S$874,$AC$2,BS_RE33!$N$7:$N$874,I12,BS_RE33!$P$7:$P$874,'30 days CF Table(RMB)'!G12,BS_RE33!$F$7:$F$874,'30 days CF Table(RMB)'!$C$2)</f>
        <v>0</v>
      </c>
      <c r="AD12" s="337">
        <f>SUMIFS(BS_RE33!$H$7:$H$874,BS_RE33!$S$7:$S$874,$AD$2,BS_RE33!$N$7:$N$874,I12,BS_RE33!$P$7:$P$874,'30 days CF Table(RMB)'!G12,BS_RE33!$F$7:$F$874,'30 days CF Table(RMB)'!$C$2)</f>
        <v>0</v>
      </c>
      <c r="AE12" s="337">
        <f>SUMIFS(BS_RE33!$H$7:$H$874,BS_RE33!$S$7:$S$874,$AE$2,BS_RE33!$N$7:$N$874,I12,BS_RE33!$P$7:$P$874,'30 days CF Table(RMB)'!G12,BS_RE33!$F$7:$F$874,'30 days CF Table(RMB)'!$C$2)</f>
        <v>0</v>
      </c>
      <c r="AF12" s="337">
        <f>SUMIFS(BS_RE33!$H$7:$H$874,BS_RE33!$S$7:$S$874,$AF$2,BS_RE33!$N$7:$N$874,I12,BS_RE33!$P$7:$P$874,'30 days CF Table(RMB)'!G12,BS_RE33!$F$7:$F$874,'30 days CF Table(RMB)'!$C$2)</f>
        <v>0</v>
      </c>
      <c r="AG12" s="337">
        <f>SUMIFS(BS_RE33!$H$7:$H$874,BS_RE33!$S$7:$S$874,$AG$2,BS_RE33!$N$7:$N$874,I12,BS_RE33!$P$7:$P$874,'30 days CF Table(RMB)'!G12,BS_RE33!$F$7:$F$874,'30 days CF Table(RMB)'!$C$2)</f>
        <v>0</v>
      </c>
      <c r="AH12" s="337">
        <f>SUMIFS(BS_RE33!$H$7:$H$874,BS_RE33!$S$7:$S$874,$AH$2,BS_RE33!$N$7:$N$874,I12,BS_RE33!$P$7:$P$874,'30 days CF Table(RMB)'!G12,BS_RE33!$F$7:$F$874,'30 days CF Table(RMB)'!$C$2)</f>
        <v>0</v>
      </c>
      <c r="AI12" s="337">
        <f>SUMIFS(BS_RE33!$H$7:$H$874,BS_RE33!$S$7:$S$874,$AI$2,BS_RE33!$N$7:$N$874,I12,BS_RE33!$P$7:$P$874,'30 days CF Table(RMB)'!G12,BS_RE33!$F$7:$F$874,'30 days CF Table(RMB)'!$C$2)</f>
        <v>0</v>
      </c>
      <c r="AJ12" s="337">
        <f>SUMIFS(BS_RE33!$H$7:$H$874,BS_RE33!$S$7:$S$874,$AJ$2,BS_RE33!$N$7:$N$874,I12,BS_RE33!$P$7:$P$874,'30 days CF Table(RMB)'!G12,BS_RE33!$F$7:$F$874,'30 days CF Table(RMB)'!$C$2)</f>
        <v>0</v>
      </c>
      <c r="AK12" s="337">
        <f>SUMIFS(BS_RE33!$H$7:$H$874,BS_RE33!$S$7:$S$874,$AK$2,BS_RE33!$N$7:$N$874,I12,BS_RE33!$P$7:$P$874,'30 days CF Table(RMB)'!G12,BS_RE33!$F$7:$F$874,'30 days CF Table(RMB)'!$C$2)</f>
        <v>0</v>
      </c>
      <c r="AL12" s="337">
        <f>SUMIFS(BS_RE33!$H$7:$H$874,BS_RE33!$S$7:$S$874,$AL$2,BS_RE33!$N$7:$N$874,I12,BS_RE33!$P$7:$P$874,'30 days CF Table(RMB)'!G12,BS_RE33!$F$7:$F$874,'30 days CF Table(RMB)'!$C$2)</f>
        <v>0</v>
      </c>
      <c r="AM12" s="337">
        <f>SUMIFS(BS_RE33!$H$7:$H$874,BS_RE33!$S$7:$S$874,$AM$2,BS_RE33!$N$7:$N$874,I12,BS_RE33!$P$7:$P$874,'30 days CF Table(RMB)'!G12,BS_RE33!$F$7:$F$874,'30 days CF Table(RMB)'!$C$2)</f>
        <v>0</v>
      </c>
      <c r="AN12" s="337">
        <f>SUMIFS(BS_RE33!$H$7:$H$874,BS_RE33!$S$7:$S$874,$AN$2,BS_RE33!$N$7:$N$874,I12,BS_RE33!$P$7:$P$874,'30 days CF Table(RMB)'!G12,BS_RE33!$F$7:$F$874,'30 days CF Table(RMB)'!$C$2)</f>
        <v>0</v>
      </c>
      <c r="AO12" s="337">
        <f>SUMIFS(BS_RE33!$H$7:$H$874,BS_RE33!$S$7:$S$874,$AO$2,BS_RE33!$N$7:$N$874,I12,BS_RE33!$P$7:$P$874,'30 days CF Table(RMB)'!G12,BS_RE33!$F$7:$F$874,'30 days CF Table(RMB)'!$C$2)</f>
        <v>0</v>
      </c>
      <c r="AP12" s="338">
        <f>SUMIFS(BS_RE33!$H$7:$H$874,BS_RE33!$S$7:$S$874,$AP$2,BS_RE33!$N$7:$N$874,I12,BS_RE33!$P$7:$P$874,'30 days CF Table(RMB)'!G12,BS_RE33!$F$7:$F$874,'30 days CF Table(RMB)'!$C$2)</f>
        <v>0</v>
      </c>
      <c r="AQ12" s="545"/>
      <c r="AR12" s="379">
        <f>SUMIFS(BS_RE33!$H$7:$H$874,BS_RE33!$S$7:$S$874,$AR$2,BS_RE33!$N$7:$N$874,I12,BS_RE33!$P$7:$P$874,'30 days CF Table(RMB)'!G12,BS_RE33!$F$7:$F$874,'30 days CF Table(RMB)'!$C$2)</f>
        <v>0</v>
      </c>
      <c r="AS12" s="379">
        <f>SUMIFS(BS_RE33!$H$7:$H$874,BS_RE33!$S$7:$S$874,$AS$2,BS_RE33!$N$7:$N$874,I12,BS_RE33!$P$7:$P$874,'30 days CF Table(RMB)'!G12,BS_RE33!$F$7:$F$874,'30 days CF Table(RMB)'!$C$2)</f>
        <v>0</v>
      </c>
      <c r="AT12" s="379">
        <f>SUMIFS(BS_RE33!$H$7:$H$874,BS_RE33!$S$7:$S$874,$AT$2,BS_RE33!$N$7:$N$874,I12,BS_RE33!$P$7:$P$874,'30 days CF Table(RMB)'!G12,BS_RE33!$F$7:$F$874,'30 days CF Table(RMB)'!$C$2)</f>
        <v>0</v>
      </c>
      <c r="AU12" s="379">
        <f>SUMIFS(BS_RE33!$H$7:$H$874,BS_RE33!$S$7:$S$874,$AU$2,BS_RE33!$N$7:$N$874,I12,BS_RE33!$P$7:$P$874,'30 days CF Table(RMB)'!G12,BS_RE33!$F$7:$F$874,'30 days CF Table(RMB)'!$C$2)</f>
        <v>0</v>
      </c>
      <c r="AV12" s="379">
        <f>SUMIFS(BS_RE33!$H$7:$H$874,BS_RE33!$S$7:$S$874,$AV$2,BS_RE33!$N$7:$N$874,I12,BS_RE33!$P$7:$P$874,'30 days CF Table(RMB)'!G12,BS_RE33!$F$7:$F$874,'30 days CF Table(RMB)'!$C$2)</f>
        <v>0</v>
      </c>
      <c r="AW12" s="379">
        <f>SUMIFS(BS_RE33!$H$7:$H$874,BS_RE33!$S$7:$S$874,$AW$2,BS_RE33!$N$7:$N$874,I12,BS_RE33!$P$7:$P$874,'30 days CF Table(RMB)'!G12,BS_RE33!$F$7:$F$874,'30 days CF Table(RMB)'!$C$2)</f>
        <v>0</v>
      </c>
      <c r="AX12" s="379">
        <f>SUMIFS(BS_RE33!$H$7:$H$874,BS_RE33!$S$7:$S$874,$AX$2,BS_RE33!$N$7:$N$874,I12,BS_RE33!$P$7:$P$874,'30 days CF Table(RMB)'!G12,BS_RE33!$F$7:$F$874,'30 days CF Table(RMB)'!$C$2)</f>
        <v>0</v>
      </c>
      <c r="AY12" s="379">
        <f>SUMIFS(BS_RE33!$H$7:$H$874,BS_RE33!$S$7:$S$874,$AY$2,BS_RE33!$N$7:$N$874,I12,BS_RE33!$P$7:$P$874,'30 days CF Table(RMB)'!G12,BS_RE33!$F$7:$F$874,'30 days CF Table(RMB)'!$C$2)</f>
        <v>0</v>
      </c>
      <c r="AZ12" s="379">
        <f>SUMIFS(BS_RE33!$H$7:$H$874,BS_RE33!$S$7:$S$874,$AZ$2,BS_RE33!$N$7:$N$874,I12,BS_RE33!$P$7:$P$874,'30 days CF Table(RMB)'!G12,BS_RE33!$F$7:$F$874,'30 days CF Table(RMB)'!$C$2)</f>
        <v>0</v>
      </c>
      <c r="BA12" s="379">
        <f>SUMIFS(BS_RE33!$H$7:$H$874,BS_RE33!$S$7:$S$874,$BA$2,BS_RE33!$N$7:$N$874,I12,BS_RE33!$P$7:$P$874,'30 days CF Table(RMB)'!G12,BS_RE33!$F$7:$F$874,'30 days CF Table(RMB)'!$C$2)</f>
        <v>0</v>
      </c>
      <c r="BB12" s="379">
        <f>SUMIFS(BS_RE33!$H$7:$H$874,BS_RE33!$S$7:$S$874,$BB$2,BS_RE33!$N$7:$N$874,I12,BS_RE33!$P$7:$P$874,'30 days CF Table(RMB)'!G12,BS_RE33!$F$7:$F$874,'30 days CF Table(RMB)'!$C$2)</f>
        <v>0</v>
      </c>
      <c r="BC12" s="379">
        <f>SUMIFS(BS_RE33!$H$7:$H$874,BS_RE33!$S$7:$S$874,$BC$2,BS_RE33!$N$7:$N$874,I12,BS_RE33!$P$7:$P$874,'30 days CF Table(RMB)'!G12,BS_RE33!$F$7:$F$874,'30 days CF Table(RMB)'!$C$2)</f>
        <v>0</v>
      </c>
      <c r="BD12" s="379">
        <f>SUMIFS(BS_RE33!$H$7:$H$874,BS_RE33!$S$7:$S$874,$BD$2,BS_RE33!$N$7:$N$874,I12,BS_RE33!$P$7:$P$874,'30 days CF Table(RMB)'!G12,BS_RE33!$F$7:$F$874,'30 days CF Table(RMB)'!$C$2)</f>
        <v>0</v>
      </c>
      <c r="BE12" s="379">
        <f>SUMIFS(BS_RE33!$H$7:$H$874,BS_RE33!$S$7:$S$874,$BE$2,BS_RE33!$N$7:$N$874,I12,BS_RE33!$P$7:$P$874,'30 days CF Table(RMB)'!G12,BS_RE33!$F$7:$F$874,'30 days CF Table(RMB)'!$C$2)</f>
        <v>0</v>
      </c>
      <c r="BF12" s="379">
        <f>SUMIFS(BS_RE33!$H$7:$H$874,BS_RE33!$S$7:$S$874,$BF$2,BS_RE33!$N$7:$N$874,I12,BS_RE33!$P$7:$P$874,'30 days CF Table(RMB)'!G12,BS_RE33!$F$7:$F$874,'30 days CF Table(RMB)'!$C$2)</f>
        <v>0</v>
      </c>
      <c r="BG12" s="379">
        <f>SUMIFS(BS_RE33!$H$7:$H$874,BS_RE33!$S$7:$S$874,$BG$2,BS_RE33!$N$7:$N$874,I12,BS_RE33!$P$7:$P$874,'30 days CF Table(RMB)'!G12,BS_RE33!$F$7:$F$874,'30 days CF Table(RMB)'!$C$2)</f>
        <v>0</v>
      </c>
      <c r="BH12" s="379">
        <f>SUMIFS(BS_RE33!$H$7:$H$874,BS_RE33!$S$7:$S$874,$BH$2,BS_RE33!$N$7:$N$874,I12,BS_RE33!$P$7:$P$874,'30 days CF Table(RMB)'!G12,BS_RE33!$F$7:$F$874,'30 days CF Table(RMB)'!$C$2)</f>
        <v>0</v>
      </c>
      <c r="BI12" s="379">
        <f>SUMIFS(BS_RE33!$H$7:$H$874,BS_RE33!$S$7:$S$874,$BI$2,BS_RE33!$N$7:$N$874,I12,BS_RE33!$P$7:$P$874,'30 days CF Table(RMB)'!G12,BS_RE33!$F$7:$F$874,'30 days CF Table(RMB)'!$C$2)</f>
        <v>0</v>
      </c>
      <c r="BJ12" s="379">
        <f>SUMIFS(BS_RE33!$H$7:$H$874,BS_RE33!$S$7:$S$874,$BJ$2,BS_RE33!$N$7:$N$874,I12,BS_RE33!$P$7:$P$874,'30 days CF Table(RMB)'!G12,BS_RE33!$F$7:$F$874,'30 days CF Table(RMB)'!$C$2)</f>
        <v>0</v>
      </c>
      <c r="BK12" s="379">
        <f>SUMIFS(BS_RE33!$H$7:$H$874,BS_RE33!$S$7:$S$874,$BK$2,BS_RE33!$N$7:$N$874,I12,BS_RE33!$P$7:$P$874,'30 days CF Table(RMB)'!G12,BS_RE33!$F$7:$F$874,'30 days CF Table(RMB)'!$C$2)</f>
        <v>0</v>
      </c>
    </row>
    <row r="13" spans="1:63" s="395" customFormat="1">
      <c r="C13" s="1029"/>
      <c r="D13" s="1030"/>
      <c r="E13" s="40" t="s">
        <v>69</v>
      </c>
      <c r="F13" s="560" t="s">
        <v>493</v>
      </c>
      <c r="G13" s="392" t="s">
        <v>506</v>
      </c>
      <c r="H13" s="130">
        <v>1</v>
      </c>
      <c r="I13" s="305" t="s">
        <v>63</v>
      </c>
      <c r="J13" s="477">
        <f t="shared" si="2"/>
        <v>0</v>
      </c>
      <c r="K13" s="335">
        <f t="shared" si="3"/>
        <v>0</v>
      </c>
      <c r="L13" s="337">
        <f>SUMIFS(BS_RE33!$H$7:$H$874,BS_RE33!$S$7:$S$874,$L$2,BS_RE33!$N$7:$N$874,I13,BS_RE33!$P$7:$P$874,'30 days CF Table(RMB)'!G13,BS_RE33!$F$7:$F$874,'30 days CF Table(RMB)'!$C$2)</f>
        <v>0</v>
      </c>
      <c r="M13" s="337">
        <f>SUMIFS(BS_RE33!$H$7:$H$874,BS_RE33!$S$7:$S$874,$M$2,BS_RE33!$N$7:$N$874,I13,BS_RE33!$P$7:$P$874,'30 days CF Table(RMB)'!G13,BS_RE33!$F$7:$F$874,'30 days CF Table(RMB)'!$C$2)</f>
        <v>0</v>
      </c>
      <c r="N13" s="337">
        <f>SUMIFS(BS_RE33!$H$7:$H$874,BS_RE33!$S$7:$S$874,$N$2,BS_RE33!$N$7:$N$874,I13,BS_RE33!$P$7:$P$874,'30 days CF Table(RMB)'!G13,BS_RE33!$F$7:$F$874,'30 days CF Table(RMB)'!$C$2)</f>
        <v>0</v>
      </c>
      <c r="O13" s="337">
        <f>SUMIFS(BS_RE33!$H$7:$H$874,BS_RE33!$S$7:$S$874,$O$2,BS_RE33!$N$7:$N$874,I13,BS_RE33!$P$7:$P$874,'30 days CF Table(RMB)'!G13,BS_RE33!$F$7:$F$874,'30 days CF Table(RMB)'!$C$2)</f>
        <v>0</v>
      </c>
      <c r="P13" s="337">
        <f>SUMIFS(BS_RE33!$H$7:$H$874,BS_RE33!$S$7:$S$874,$P$2,BS_RE33!$N$7:$N$874,I13,BS_RE33!$P$7:$P$874,'30 days CF Table(RMB)'!G13,BS_RE33!$F$7:$F$874,'30 days CF Table(RMB)'!$C$2)</f>
        <v>0</v>
      </c>
      <c r="Q13" s="337">
        <f>SUMIFS(BS_RE33!$H$7:$H$874,BS_RE33!$S$7:$S$874,$Q$2,BS_RE33!$N$7:$N$874,I13,BS_RE33!$P$7:$P$874,'30 days CF Table(RMB)'!G13,BS_RE33!$F$7:$F$874,'30 days CF Table(RMB)'!$C$2)</f>
        <v>0</v>
      </c>
      <c r="R13" s="337">
        <f>SUMIFS(BS_RE33!$H$7:$H$874,BS_RE33!$S$7:$S$874,$R$2,BS_RE33!$N$7:$N$874,I13,BS_RE33!$P$7:$P$874,'30 days CF Table(RMB)'!G13,BS_RE33!$F$7:$F$874,'30 days CF Table(RMB)'!$C$2)</f>
        <v>0</v>
      </c>
      <c r="S13" s="337">
        <f>SUMIFS(BS_RE33!$H$7:$H$874,BS_RE33!$S$7:$S$874,$S$2,BS_RE33!$N$7:$N$874,I13,BS_RE33!$P$7:$P$874,'30 days CF Table(RMB)'!G13,BS_RE33!$F$7:$F$874,'30 days CF Table(RMB)'!$C$2)</f>
        <v>0</v>
      </c>
      <c r="T13" s="337">
        <f>SUMIFS(BS_RE33!$H$7:$H$874,BS_RE33!$S$7:$S$874,$T$2,BS_RE33!$N$7:$N$874,I13,BS_RE33!$P$7:$P$874,'30 days CF Table(RMB)'!G13,BS_RE33!$F$7:$F$874,'30 days CF Table(RMB)'!$C$2)</f>
        <v>0</v>
      </c>
      <c r="U13" s="337">
        <f>SUMIFS(BS_RE33!$H$7:$H$874,BS_RE33!$S$7:$S$874,$U$2,BS_RE33!$N$7:$N$874,I13,BS_RE33!$P$7:$P$874,'30 days CF Table(RMB)'!G13,BS_RE33!$F$7:$F$874,'30 days CF Table(RMB)'!$C$2)</f>
        <v>0</v>
      </c>
      <c r="V13" s="337">
        <f>SUMIFS(BS_RE33!$H$7:$H$874,BS_RE33!$S$7:$S$874,$V$2,BS_RE33!$N$7:$N$874,I13,BS_RE33!$P$7:$P$874,'30 days CF Table(RMB)'!G13,BS_RE33!$F$7:$F$874,'30 days CF Table(RMB)'!$C$2)</f>
        <v>0</v>
      </c>
      <c r="W13" s="337">
        <f>SUMIFS(BS_RE33!$H$7:$H$874,BS_RE33!$S$7:$S$874,$W$2,BS_RE33!$N$7:$N$874,I13,BS_RE33!$P$7:$P$874,'30 days CF Table(RMB)'!G13,BS_RE33!$F$7:$F$874,'30 days CF Table(RMB)'!$C$2)</f>
        <v>0</v>
      </c>
      <c r="X13" s="337">
        <f>SUMIFS(BS_RE33!$H$7:$H$874,BS_RE33!$S$7:$S$874,$X$2,BS_RE33!$N$7:$N$874,I13,BS_RE33!$P$7:$P$874,'30 days CF Table(RMB)'!G13,BS_RE33!$F$7:$F$874,'30 days CF Table(RMB)'!$C$2)</f>
        <v>0</v>
      </c>
      <c r="Y13" s="337">
        <f>SUMIFS(BS_RE33!$H$7:$H$874,BS_RE33!$S$7:$S$874,$Y$2,BS_RE33!$N$7:$N$874,I13,BS_RE33!$P$7:$P$874,'30 days CF Table(RMB)'!G13,BS_RE33!$F$7:$F$874,'30 days CF Table(RMB)'!$C$2)</f>
        <v>0</v>
      </c>
      <c r="Z13" s="337">
        <f>SUMIFS(BS_RE33!$H$7:$H$874,BS_RE33!$S$7:$S$874,$Z$2,BS_RE33!$N$7:$N$874,I13,BS_RE33!$P$7:$P$874,'30 days CF Table(RMB)'!G13,BS_RE33!$F$7:$F$874,'30 days CF Table(RMB)'!$C$2)</f>
        <v>0</v>
      </c>
      <c r="AA13" s="337">
        <f>SUMIFS(BS_RE33!$H$7:$H$874,BS_RE33!$S$7:$S$874,$AA$2,BS_RE33!$N$7:$N$874,I13,BS_RE33!$P$7:$P$874,'30 days CF Table(RMB)'!G13,BS_RE33!$F$7:$F$874,'30 days CF Table(RMB)'!$C$2)</f>
        <v>0</v>
      </c>
      <c r="AB13" s="337">
        <f>SUMIFS(BS_RE33!$H$7:$H$874,BS_RE33!$S$7:$S$874,$AB$2,BS_RE33!$N$7:$N$874,I13,BS_RE33!$P$7:$P$874,'30 days CF Table(RMB)'!G13,BS_RE33!$F$7:$F$874,'30 days CF Table(RMB)'!$C$2)</f>
        <v>0</v>
      </c>
      <c r="AC13" s="337">
        <f>SUMIFS(BS_RE33!$H$7:$H$874,BS_RE33!$S$7:$S$874,$AC$2,BS_RE33!$N$7:$N$874,I13,BS_RE33!$P$7:$P$874,'30 days CF Table(RMB)'!G13,BS_RE33!$F$7:$F$874,'30 days CF Table(RMB)'!$C$2)</f>
        <v>0</v>
      </c>
      <c r="AD13" s="337">
        <f>SUMIFS(BS_RE33!$H$7:$H$874,BS_RE33!$S$7:$S$874,$AD$2,BS_RE33!$N$7:$N$874,I13,BS_RE33!$P$7:$P$874,'30 days CF Table(RMB)'!G13,BS_RE33!$F$7:$F$874,'30 days CF Table(RMB)'!$C$2)</f>
        <v>0</v>
      </c>
      <c r="AE13" s="337">
        <f>SUMIFS(BS_RE33!$H$7:$H$874,BS_RE33!$S$7:$S$874,$AE$2,BS_RE33!$N$7:$N$874,I13,BS_RE33!$P$7:$P$874,'30 days CF Table(RMB)'!G13,BS_RE33!$F$7:$F$874,'30 days CF Table(RMB)'!$C$2)</f>
        <v>0</v>
      </c>
      <c r="AF13" s="337">
        <f>SUMIFS(BS_RE33!$H$7:$H$874,BS_RE33!$S$7:$S$874,$AF$2,BS_RE33!$N$7:$N$874,I13,BS_RE33!$P$7:$P$874,'30 days CF Table(RMB)'!G13,BS_RE33!$F$7:$F$874,'30 days CF Table(RMB)'!$C$2)</f>
        <v>0</v>
      </c>
      <c r="AG13" s="337">
        <f>SUMIFS(BS_RE33!$H$7:$H$874,BS_RE33!$S$7:$S$874,$AG$2,BS_RE33!$N$7:$N$874,I13,BS_RE33!$P$7:$P$874,'30 days CF Table(RMB)'!G13,BS_RE33!$F$7:$F$874,'30 days CF Table(RMB)'!$C$2)</f>
        <v>0</v>
      </c>
      <c r="AH13" s="337">
        <f>SUMIFS(BS_RE33!$H$7:$H$874,BS_RE33!$S$7:$S$874,$AH$2,BS_RE33!$N$7:$N$874,I13,BS_RE33!$P$7:$P$874,'30 days CF Table(RMB)'!G13,BS_RE33!$F$7:$F$874,'30 days CF Table(RMB)'!$C$2)</f>
        <v>0</v>
      </c>
      <c r="AI13" s="337">
        <f>SUMIFS(BS_RE33!$H$7:$H$874,BS_RE33!$S$7:$S$874,$AI$2,BS_RE33!$N$7:$N$874,I13,BS_RE33!$P$7:$P$874,'30 days CF Table(RMB)'!G13,BS_RE33!$F$7:$F$874,'30 days CF Table(RMB)'!$C$2)</f>
        <v>0</v>
      </c>
      <c r="AJ13" s="337">
        <f>SUMIFS(BS_RE33!$H$7:$H$874,BS_RE33!$S$7:$S$874,$AJ$2,BS_RE33!$N$7:$N$874,I13,BS_RE33!$P$7:$P$874,'30 days CF Table(RMB)'!G13,BS_RE33!$F$7:$F$874,'30 days CF Table(RMB)'!$C$2)</f>
        <v>0</v>
      </c>
      <c r="AK13" s="337">
        <f>SUMIFS(BS_RE33!$H$7:$H$874,BS_RE33!$S$7:$S$874,$AK$2,BS_RE33!$N$7:$N$874,I13,BS_RE33!$P$7:$P$874,'30 days CF Table(RMB)'!G13,BS_RE33!$F$7:$F$874,'30 days CF Table(RMB)'!$C$2)</f>
        <v>0</v>
      </c>
      <c r="AL13" s="337">
        <f>SUMIFS(BS_RE33!$H$7:$H$874,BS_RE33!$S$7:$S$874,$AL$2,BS_RE33!$N$7:$N$874,I13,BS_RE33!$P$7:$P$874,'30 days CF Table(RMB)'!G13,BS_RE33!$F$7:$F$874,'30 days CF Table(RMB)'!$C$2)</f>
        <v>0</v>
      </c>
      <c r="AM13" s="337">
        <f>SUMIFS(BS_RE33!$H$7:$H$874,BS_RE33!$S$7:$S$874,$AM$2,BS_RE33!$N$7:$N$874,I13,BS_RE33!$P$7:$P$874,'30 days CF Table(RMB)'!G13,BS_RE33!$F$7:$F$874,'30 days CF Table(RMB)'!$C$2)</f>
        <v>0</v>
      </c>
      <c r="AN13" s="337">
        <f>SUMIFS(BS_RE33!$H$7:$H$874,BS_RE33!$S$7:$S$874,$AN$2,BS_RE33!$N$7:$N$874,I13,BS_RE33!$P$7:$P$874,'30 days CF Table(RMB)'!G13,BS_RE33!$F$7:$F$874,'30 days CF Table(RMB)'!$C$2)</f>
        <v>0</v>
      </c>
      <c r="AO13" s="337">
        <f>SUMIFS(BS_RE33!$H$7:$H$874,BS_RE33!$S$7:$S$874,$AO$2,BS_RE33!$N$7:$N$874,I13,BS_RE33!$P$7:$P$874,'30 days CF Table(RMB)'!G13,BS_RE33!$F$7:$F$874,'30 days CF Table(RMB)'!$C$2)</f>
        <v>0</v>
      </c>
      <c r="AP13" s="338">
        <f>SUMIFS(BS_RE33!$H$7:$H$874,BS_RE33!$S$7:$S$874,$AP$2,BS_RE33!$N$7:$N$874,I13,BS_RE33!$P$7:$P$874,'30 days CF Table(RMB)'!G13,BS_RE33!$F$7:$F$874,'30 days CF Table(RMB)'!$C$2)</f>
        <v>0</v>
      </c>
      <c r="AQ13" s="545"/>
      <c r="AR13" s="379">
        <f>SUMIFS(BS_RE33!$H$7:$H$874,BS_RE33!$S$7:$S$874,$AR$2,BS_RE33!$N$7:$N$874,I13,BS_RE33!$P$7:$P$874,'30 days CF Table(RMB)'!G13,BS_RE33!$F$7:$F$874,'30 days CF Table(RMB)'!$C$2)</f>
        <v>0</v>
      </c>
      <c r="AS13" s="379">
        <f>SUMIFS(BS_RE33!$H$7:$H$874,BS_RE33!$S$7:$S$874,$AS$2,BS_RE33!$N$7:$N$874,I13,BS_RE33!$P$7:$P$874,'30 days CF Table(RMB)'!G13,BS_RE33!$F$7:$F$874,'30 days CF Table(RMB)'!$C$2)</f>
        <v>0</v>
      </c>
      <c r="AT13" s="379">
        <f>SUMIFS(BS_RE33!$H$7:$H$874,BS_RE33!$S$7:$S$874,$AT$2,BS_RE33!$N$7:$N$874,I13,BS_RE33!$P$7:$P$874,'30 days CF Table(RMB)'!G13,BS_RE33!$F$7:$F$874,'30 days CF Table(RMB)'!$C$2)</f>
        <v>0</v>
      </c>
      <c r="AU13" s="379">
        <f>SUMIFS(BS_RE33!$H$7:$H$874,BS_RE33!$S$7:$S$874,$AU$2,BS_RE33!$N$7:$N$874,I13,BS_RE33!$P$7:$P$874,'30 days CF Table(RMB)'!G13,BS_RE33!$F$7:$F$874,'30 days CF Table(RMB)'!$C$2)</f>
        <v>0</v>
      </c>
      <c r="AV13" s="379">
        <f>SUMIFS(BS_RE33!$H$7:$H$874,BS_RE33!$S$7:$S$874,$AV$2,BS_RE33!$N$7:$N$874,I13,BS_RE33!$P$7:$P$874,'30 days CF Table(RMB)'!G13,BS_RE33!$F$7:$F$874,'30 days CF Table(RMB)'!$C$2)</f>
        <v>0</v>
      </c>
      <c r="AW13" s="379">
        <f>SUMIFS(BS_RE33!$H$7:$H$874,BS_RE33!$S$7:$S$874,$AW$2,BS_RE33!$N$7:$N$874,I13,BS_RE33!$P$7:$P$874,'30 days CF Table(RMB)'!G13,BS_RE33!$F$7:$F$874,'30 days CF Table(RMB)'!$C$2)</f>
        <v>0</v>
      </c>
      <c r="AX13" s="379">
        <f>SUMIFS(BS_RE33!$H$7:$H$874,BS_RE33!$S$7:$S$874,$AX$2,BS_RE33!$N$7:$N$874,I13,BS_RE33!$P$7:$P$874,'30 days CF Table(RMB)'!G13,BS_RE33!$F$7:$F$874,'30 days CF Table(RMB)'!$C$2)</f>
        <v>0</v>
      </c>
      <c r="AY13" s="379">
        <f>SUMIFS(BS_RE33!$H$7:$H$874,BS_RE33!$S$7:$S$874,$AY$2,BS_RE33!$N$7:$N$874,I13,BS_RE33!$P$7:$P$874,'30 days CF Table(RMB)'!G13,BS_RE33!$F$7:$F$874,'30 days CF Table(RMB)'!$C$2)</f>
        <v>0</v>
      </c>
      <c r="AZ13" s="379">
        <f>SUMIFS(BS_RE33!$H$7:$H$874,BS_RE33!$S$7:$S$874,$AZ$2,BS_RE33!$N$7:$N$874,I13,BS_RE33!$P$7:$P$874,'30 days CF Table(RMB)'!G13,BS_RE33!$F$7:$F$874,'30 days CF Table(RMB)'!$C$2)</f>
        <v>0</v>
      </c>
      <c r="BA13" s="379">
        <f>SUMIFS(BS_RE33!$H$7:$H$874,BS_RE33!$S$7:$S$874,$BA$2,BS_RE33!$N$7:$N$874,I13,BS_RE33!$P$7:$P$874,'30 days CF Table(RMB)'!G13,BS_RE33!$F$7:$F$874,'30 days CF Table(RMB)'!$C$2)</f>
        <v>0</v>
      </c>
      <c r="BB13" s="379">
        <f>SUMIFS(BS_RE33!$H$7:$H$874,BS_RE33!$S$7:$S$874,$BB$2,BS_RE33!$N$7:$N$874,I13,BS_RE33!$P$7:$P$874,'30 days CF Table(RMB)'!G13,BS_RE33!$F$7:$F$874,'30 days CF Table(RMB)'!$C$2)</f>
        <v>0</v>
      </c>
      <c r="BC13" s="379">
        <f>SUMIFS(BS_RE33!$H$7:$H$874,BS_RE33!$S$7:$S$874,$BC$2,BS_RE33!$N$7:$N$874,I13,BS_RE33!$P$7:$P$874,'30 days CF Table(RMB)'!G13,BS_RE33!$F$7:$F$874,'30 days CF Table(RMB)'!$C$2)</f>
        <v>0</v>
      </c>
      <c r="BD13" s="379">
        <f>SUMIFS(BS_RE33!$H$7:$H$874,BS_RE33!$S$7:$S$874,$BD$2,BS_RE33!$N$7:$N$874,I13,BS_RE33!$P$7:$P$874,'30 days CF Table(RMB)'!G13,BS_RE33!$F$7:$F$874,'30 days CF Table(RMB)'!$C$2)</f>
        <v>0</v>
      </c>
      <c r="BE13" s="379">
        <f>SUMIFS(BS_RE33!$H$7:$H$874,BS_RE33!$S$7:$S$874,$BE$2,BS_RE33!$N$7:$N$874,I13,BS_RE33!$P$7:$P$874,'30 days CF Table(RMB)'!G13,BS_RE33!$F$7:$F$874,'30 days CF Table(RMB)'!$C$2)</f>
        <v>0</v>
      </c>
      <c r="BF13" s="379">
        <f>SUMIFS(BS_RE33!$H$7:$H$874,BS_RE33!$S$7:$S$874,$BF$2,BS_RE33!$N$7:$N$874,I13,BS_RE33!$P$7:$P$874,'30 days CF Table(RMB)'!G13,BS_RE33!$F$7:$F$874,'30 days CF Table(RMB)'!$C$2)</f>
        <v>0</v>
      </c>
      <c r="BG13" s="379">
        <f>SUMIFS(BS_RE33!$H$7:$H$874,BS_RE33!$S$7:$S$874,$BG$2,BS_RE33!$N$7:$N$874,I13,BS_RE33!$P$7:$P$874,'30 days CF Table(RMB)'!G13,BS_RE33!$F$7:$F$874,'30 days CF Table(RMB)'!$C$2)</f>
        <v>0</v>
      </c>
      <c r="BH13" s="379">
        <f>SUMIFS(BS_RE33!$H$7:$H$874,BS_RE33!$S$7:$S$874,$BH$2,BS_RE33!$N$7:$N$874,I13,BS_RE33!$P$7:$P$874,'30 days CF Table(RMB)'!G13,BS_RE33!$F$7:$F$874,'30 days CF Table(RMB)'!$C$2)</f>
        <v>0</v>
      </c>
      <c r="BI13" s="379">
        <f>SUMIFS(BS_RE33!$H$7:$H$874,BS_RE33!$S$7:$S$874,$BI$2,BS_RE33!$N$7:$N$874,I13,BS_RE33!$P$7:$P$874,'30 days CF Table(RMB)'!G13,BS_RE33!$F$7:$F$874,'30 days CF Table(RMB)'!$C$2)</f>
        <v>0</v>
      </c>
      <c r="BJ13" s="379">
        <f>SUMIFS(BS_RE33!$H$7:$H$874,BS_RE33!$S$7:$S$874,$BJ$2,BS_RE33!$N$7:$N$874,I13,BS_RE33!$P$7:$P$874,'30 days CF Table(RMB)'!G13,BS_RE33!$F$7:$F$874,'30 days CF Table(RMB)'!$C$2)</f>
        <v>0</v>
      </c>
      <c r="BK13" s="379">
        <f>SUMIFS(BS_RE33!$H$7:$H$874,BS_RE33!$S$7:$S$874,$BK$2,BS_RE33!$N$7:$N$874,I13,BS_RE33!$P$7:$P$874,'30 days CF Table(RMB)'!G13,BS_RE33!$F$7:$F$874,'30 days CF Table(RMB)'!$C$2)</f>
        <v>0</v>
      </c>
    </row>
    <row r="14" spans="1:63" s="395" customFormat="1" ht="20.25">
      <c r="C14" s="1029"/>
      <c r="D14" s="332" t="s">
        <v>740</v>
      </c>
      <c r="E14" s="310" t="s">
        <v>542</v>
      </c>
      <c r="F14" s="309"/>
      <c r="G14" s="392" t="s">
        <v>544</v>
      </c>
      <c r="H14" s="130">
        <v>1</v>
      </c>
      <c r="I14" s="305" t="s">
        <v>63</v>
      </c>
      <c r="J14" s="477">
        <f t="shared" si="2"/>
        <v>0</v>
      </c>
      <c r="K14" s="335">
        <f t="shared" si="3"/>
        <v>0</v>
      </c>
      <c r="L14" s="337">
        <f>SUMIFS(BS_RE33!$H$7:$H$874,BS_RE33!$S$7:$S$874,$L$2,BS_RE33!$N$7:$N$874,I14,BS_RE33!$P$7:$P$874,'30 days CF Table(RMB)'!G14,BS_RE33!$F$7:$F$874,'30 days CF Table(RMB)'!$C$2)</f>
        <v>0</v>
      </c>
      <c r="M14" s="337">
        <f>SUMIFS(BS_RE33!$H$7:$H$874,BS_RE33!$S$7:$S$874,$M$2,BS_RE33!$N$7:$N$874,I14,BS_RE33!$P$7:$P$874,'30 days CF Table(RMB)'!G14,BS_RE33!$F$7:$F$874,'30 days CF Table(RMB)'!$C$2)</f>
        <v>0</v>
      </c>
      <c r="N14" s="337">
        <f>SUMIFS(BS_RE33!$H$7:$H$874,BS_RE33!$S$7:$S$874,$N$2,BS_RE33!$N$7:$N$874,I14,BS_RE33!$P$7:$P$874,'30 days CF Table(RMB)'!G14,BS_RE33!$F$7:$F$874,'30 days CF Table(RMB)'!$C$2)</f>
        <v>0</v>
      </c>
      <c r="O14" s="337">
        <f>SUMIFS(BS_RE33!$H$7:$H$874,BS_RE33!$S$7:$S$874,$O$2,BS_RE33!$N$7:$N$874,I14,BS_RE33!$P$7:$P$874,'30 days CF Table(RMB)'!G14,BS_RE33!$F$7:$F$874,'30 days CF Table(RMB)'!$C$2)</f>
        <v>0</v>
      </c>
      <c r="P14" s="337">
        <f>SUMIFS(BS_RE33!$H$7:$H$874,BS_RE33!$S$7:$S$874,$P$2,BS_RE33!$N$7:$N$874,I14,BS_RE33!$P$7:$P$874,'30 days CF Table(RMB)'!G14,BS_RE33!$F$7:$F$874,'30 days CF Table(RMB)'!$C$2)</f>
        <v>0</v>
      </c>
      <c r="Q14" s="337">
        <f>SUMIFS(BS_RE33!$H$7:$H$874,BS_RE33!$S$7:$S$874,$Q$2,BS_RE33!$N$7:$N$874,I14,BS_RE33!$P$7:$P$874,'30 days CF Table(RMB)'!G14,BS_RE33!$F$7:$F$874,'30 days CF Table(RMB)'!$C$2)</f>
        <v>0</v>
      </c>
      <c r="R14" s="337">
        <f>SUMIFS(BS_RE33!$H$7:$H$874,BS_RE33!$S$7:$S$874,$R$2,BS_RE33!$N$7:$N$874,I14,BS_RE33!$P$7:$P$874,'30 days CF Table(RMB)'!G14,BS_RE33!$F$7:$F$874,'30 days CF Table(RMB)'!$C$2)</f>
        <v>0</v>
      </c>
      <c r="S14" s="337">
        <f>SUMIFS(BS_RE33!$H$7:$H$874,BS_RE33!$S$7:$S$874,$S$2,BS_RE33!$N$7:$N$874,I14,BS_RE33!$P$7:$P$874,'30 days CF Table(RMB)'!G14,BS_RE33!$F$7:$F$874,'30 days CF Table(RMB)'!$C$2)</f>
        <v>0</v>
      </c>
      <c r="T14" s="337">
        <f>SUMIFS(BS_RE33!$H$7:$H$874,BS_RE33!$S$7:$S$874,$T$2,BS_RE33!$N$7:$N$874,I14,BS_RE33!$P$7:$P$874,'30 days CF Table(RMB)'!G14,BS_RE33!$F$7:$F$874,'30 days CF Table(RMB)'!$C$2)</f>
        <v>0</v>
      </c>
      <c r="U14" s="337">
        <f>SUMIFS(BS_RE33!$H$7:$H$874,BS_RE33!$S$7:$S$874,$U$2,BS_RE33!$N$7:$N$874,I14,BS_RE33!$P$7:$P$874,'30 days CF Table(RMB)'!G14,BS_RE33!$F$7:$F$874,'30 days CF Table(RMB)'!$C$2)</f>
        <v>0</v>
      </c>
      <c r="V14" s="337">
        <f>SUMIFS(BS_RE33!$H$7:$H$874,BS_RE33!$S$7:$S$874,$V$2,BS_RE33!$N$7:$N$874,I14,BS_RE33!$P$7:$P$874,'30 days CF Table(RMB)'!G14,BS_RE33!$F$7:$F$874,'30 days CF Table(RMB)'!$C$2)</f>
        <v>0</v>
      </c>
      <c r="W14" s="337">
        <f>SUMIFS(BS_RE33!$H$7:$H$874,BS_RE33!$S$7:$S$874,$W$2,BS_RE33!$N$7:$N$874,I14,BS_RE33!$P$7:$P$874,'30 days CF Table(RMB)'!G14,BS_RE33!$F$7:$F$874,'30 days CF Table(RMB)'!$C$2)</f>
        <v>0</v>
      </c>
      <c r="X14" s="337">
        <f>SUMIFS(BS_RE33!$H$7:$H$874,BS_RE33!$S$7:$S$874,$X$2,BS_RE33!$N$7:$N$874,I14,BS_RE33!$P$7:$P$874,'30 days CF Table(RMB)'!G14,BS_RE33!$F$7:$F$874,'30 days CF Table(RMB)'!$C$2)</f>
        <v>0</v>
      </c>
      <c r="Y14" s="337">
        <f>SUMIFS(BS_RE33!$H$7:$H$874,BS_RE33!$S$7:$S$874,$Y$2,BS_RE33!$N$7:$N$874,I14,BS_RE33!$P$7:$P$874,'30 days CF Table(RMB)'!G14,BS_RE33!$F$7:$F$874,'30 days CF Table(RMB)'!$C$2)</f>
        <v>0</v>
      </c>
      <c r="Z14" s="337">
        <f>SUMIFS(BS_RE33!$H$7:$H$874,BS_RE33!$S$7:$S$874,$Z$2,BS_RE33!$N$7:$N$874,I14,BS_RE33!$P$7:$P$874,'30 days CF Table(RMB)'!G14,BS_RE33!$F$7:$F$874,'30 days CF Table(RMB)'!$C$2)</f>
        <v>0</v>
      </c>
      <c r="AA14" s="337">
        <f>SUMIFS(BS_RE33!$H$7:$H$874,BS_RE33!$S$7:$S$874,$AA$2,BS_RE33!$N$7:$N$874,I14,BS_RE33!$P$7:$P$874,'30 days CF Table(RMB)'!G14,BS_RE33!$F$7:$F$874,'30 days CF Table(RMB)'!$C$2)</f>
        <v>0</v>
      </c>
      <c r="AB14" s="337">
        <f>SUMIFS(BS_RE33!$H$7:$H$874,BS_RE33!$S$7:$S$874,$AB$2,BS_RE33!$N$7:$N$874,I14,BS_RE33!$P$7:$P$874,'30 days CF Table(RMB)'!G14,BS_RE33!$F$7:$F$874,'30 days CF Table(RMB)'!$C$2)</f>
        <v>0</v>
      </c>
      <c r="AC14" s="337">
        <f>SUMIFS(BS_RE33!$H$7:$H$874,BS_RE33!$S$7:$S$874,$AC$2,BS_RE33!$N$7:$N$874,I14,BS_RE33!$P$7:$P$874,'30 days CF Table(RMB)'!G14,BS_RE33!$F$7:$F$874,'30 days CF Table(RMB)'!$C$2)</f>
        <v>0</v>
      </c>
      <c r="AD14" s="337">
        <f>SUMIFS(BS_RE33!$H$7:$H$874,BS_RE33!$S$7:$S$874,$AD$2,BS_RE33!$N$7:$N$874,I14,BS_RE33!$P$7:$P$874,'30 days CF Table(RMB)'!G14,BS_RE33!$F$7:$F$874,'30 days CF Table(RMB)'!$C$2)</f>
        <v>0</v>
      </c>
      <c r="AE14" s="337">
        <f>SUMIFS(BS_RE33!$H$7:$H$874,BS_RE33!$S$7:$S$874,$AE$2,BS_RE33!$N$7:$N$874,I14,BS_RE33!$P$7:$P$874,'30 days CF Table(RMB)'!G14,BS_RE33!$F$7:$F$874,'30 days CF Table(RMB)'!$C$2)</f>
        <v>0</v>
      </c>
      <c r="AF14" s="337">
        <f>SUMIFS(BS_RE33!$H$7:$H$874,BS_RE33!$S$7:$S$874,$AF$2,BS_RE33!$N$7:$N$874,I14,BS_RE33!$P$7:$P$874,'30 days CF Table(RMB)'!G14,BS_RE33!$F$7:$F$874,'30 days CF Table(RMB)'!$C$2)</f>
        <v>0</v>
      </c>
      <c r="AG14" s="337">
        <f>SUMIFS(BS_RE33!$H$7:$H$874,BS_RE33!$S$7:$S$874,$AG$2,BS_RE33!$N$7:$N$874,I14,BS_RE33!$P$7:$P$874,'30 days CF Table(RMB)'!G14,BS_RE33!$F$7:$F$874,'30 days CF Table(RMB)'!$C$2)</f>
        <v>0</v>
      </c>
      <c r="AH14" s="337">
        <f>SUMIFS(BS_RE33!$H$7:$H$874,BS_RE33!$S$7:$S$874,$AH$2,BS_RE33!$N$7:$N$874,I14,BS_RE33!$P$7:$P$874,'30 days CF Table(RMB)'!G14,BS_RE33!$F$7:$F$874,'30 days CF Table(RMB)'!$C$2)</f>
        <v>0</v>
      </c>
      <c r="AI14" s="337">
        <f>SUMIFS(BS_RE33!$H$7:$H$874,BS_RE33!$S$7:$S$874,$AI$2,BS_RE33!$N$7:$N$874,I14,BS_RE33!$P$7:$P$874,'30 days CF Table(RMB)'!G14,BS_RE33!$F$7:$F$874,'30 days CF Table(RMB)'!$C$2)</f>
        <v>0</v>
      </c>
      <c r="AJ14" s="337">
        <f>SUMIFS(BS_RE33!$H$7:$H$874,BS_RE33!$S$7:$S$874,$AJ$2,BS_RE33!$N$7:$N$874,I14,BS_RE33!$P$7:$P$874,'30 days CF Table(RMB)'!G14,BS_RE33!$F$7:$F$874,'30 days CF Table(RMB)'!$C$2)</f>
        <v>0</v>
      </c>
      <c r="AK14" s="337">
        <f>SUMIFS(BS_RE33!$H$7:$H$874,BS_RE33!$S$7:$S$874,$AK$2,BS_RE33!$N$7:$N$874,I14,BS_RE33!$P$7:$P$874,'30 days CF Table(RMB)'!G14,BS_RE33!$F$7:$F$874,'30 days CF Table(RMB)'!$C$2)</f>
        <v>0</v>
      </c>
      <c r="AL14" s="337">
        <f>SUMIFS(BS_RE33!$H$7:$H$874,BS_RE33!$S$7:$S$874,$AL$2,BS_RE33!$N$7:$N$874,I14,BS_RE33!$P$7:$P$874,'30 days CF Table(RMB)'!G14,BS_RE33!$F$7:$F$874,'30 days CF Table(RMB)'!$C$2)</f>
        <v>0</v>
      </c>
      <c r="AM14" s="337">
        <f>SUMIFS(BS_RE33!$H$7:$H$874,BS_RE33!$S$7:$S$874,$AM$2,BS_RE33!$N$7:$N$874,I14,BS_RE33!$P$7:$P$874,'30 days CF Table(RMB)'!G14,BS_RE33!$F$7:$F$874,'30 days CF Table(RMB)'!$C$2)</f>
        <v>0</v>
      </c>
      <c r="AN14" s="337">
        <f>SUMIFS(BS_RE33!$H$7:$H$874,BS_RE33!$S$7:$S$874,$AN$2,BS_RE33!$N$7:$N$874,I14,BS_RE33!$P$7:$P$874,'30 days CF Table(RMB)'!G14,BS_RE33!$F$7:$F$874,'30 days CF Table(RMB)'!$C$2)</f>
        <v>0</v>
      </c>
      <c r="AO14" s="337">
        <f>SUMIFS(BS_RE33!$H$7:$H$874,BS_RE33!$S$7:$S$874,$AO$2,BS_RE33!$N$7:$N$874,I14,BS_RE33!$P$7:$P$874,'30 days CF Table(RMB)'!G14,BS_RE33!$F$7:$F$874,'30 days CF Table(RMB)'!$C$2)</f>
        <v>0</v>
      </c>
      <c r="AP14" s="338">
        <f>SUMIFS(BS_RE33!$H$7:$H$874,BS_RE33!$S$7:$S$874,$AP$2,BS_RE33!$N$7:$N$874,I14,BS_RE33!$P$7:$P$874,'30 days CF Table(RMB)'!G14,BS_RE33!$F$7:$F$874,'30 days CF Table(RMB)'!$C$2)</f>
        <v>0</v>
      </c>
      <c r="AQ14" s="545"/>
      <c r="AR14" s="379">
        <f>SUMIFS(BS_RE33!$H$7:$H$874,BS_RE33!$S$7:$S$874,$AR$2,BS_RE33!$N$7:$N$874,I14,BS_RE33!$P$7:$P$874,'30 days CF Table(RMB)'!G14,BS_RE33!$F$7:$F$874,'30 days CF Table(RMB)'!$C$2)</f>
        <v>0</v>
      </c>
      <c r="AS14" s="379">
        <f>SUMIFS(BS_RE33!$H$7:$H$874,BS_RE33!$S$7:$S$874,$AS$2,BS_RE33!$N$7:$N$874,I14,BS_RE33!$P$7:$P$874,'30 days CF Table(RMB)'!G14,BS_RE33!$F$7:$F$874,'30 days CF Table(RMB)'!$C$2)</f>
        <v>0</v>
      </c>
      <c r="AT14" s="379">
        <f>SUMIFS(BS_RE33!$H$7:$H$874,BS_RE33!$S$7:$S$874,$AT$2,BS_RE33!$N$7:$N$874,I14,BS_RE33!$P$7:$P$874,'30 days CF Table(RMB)'!G14,BS_RE33!$F$7:$F$874,'30 days CF Table(RMB)'!$C$2)</f>
        <v>0</v>
      </c>
      <c r="AU14" s="379">
        <f>SUMIFS(BS_RE33!$H$7:$H$874,BS_RE33!$S$7:$S$874,$AU$2,BS_RE33!$N$7:$N$874,I14,BS_RE33!$P$7:$P$874,'30 days CF Table(RMB)'!G14,BS_RE33!$F$7:$F$874,'30 days CF Table(RMB)'!$C$2)</f>
        <v>0</v>
      </c>
      <c r="AV14" s="379">
        <f>SUMIFS(BS_RE33!$H$7:$H$874,BS_RE33!$S$7:$S$874,$AV$2,BS_RE33!$N$7:$N$874,I14,BS_RE33!$P$7:$P$874,'30 days CF Table(RMB)'!G14,BS_RE33!$F$7:$F$874,'30 days CF Table(RMB)'!$C$2)</f>
        <v>0</v>
      </c>
      <c r="AW14" s="379">
        <f>SUMIFS(BS_RE33!$H$7:$H$874,BS_RE33!$S$7:$S$874,$AW$2,BS_RE33!$N$7:$N$874,I14,BS_RE33!$P$7:$P$874,'30 days CF Table(RMB)'!G14,BS_RE33!$F$7:$F$874,'30 days CF Table(RMB)'!$C$2)</f>
        <v>0</v>
      </c>
      <c r="AX14" s="379">
        <f>SUMIFS(BS_RE33!$H$7:$H$874,BS_RE33!$S$7:$S$874,$AX$2,BS_RE33!$N$7:$N$874,I14,BS_RE33!$P$7:$P$874,'30 days CF Table(RMB)'!G14,BS_RE33!$F$7:$F$874,'30 days CF Table(RMB)'!$C$2)</f>
        <v>0</v>
      </c>
      <c r="AY14" s="379">
        <f>SUMIFS(BS_RE33!$H$7:$H$874,BS_RE33!$S$7:$S$874,$AY$2,BS_RE33!$N$7:$N$874,I14,BS_RE33!$P$7:$P$874,'30 days CF Table(RMB)'!G14,BS_RE33!$F$7:$F$874,'30 days CF Table(RMB)'!$C$2)</f>
        <v>0</v>
      </c>
      <c r="AZ14" s="379">
        <f>SUMIFS(BS_RE33!$H$7:$H$874,BS_RE33!$S$7:$S$874,$AZ$2,BS_RE33!$N$7:$N$874,I14,BS_RE33!$P$7:$P$874,'30 days CF Table(RMB)'!G14,BS_RE33!$F$7:$F$874,'30 days CF Table(RMB)'!$C$2)</f>
        <v>0</v>
      </c>
      <c r="BA14" s="379">
        <f>SUMIFS(BS_RE33!$H$7:$H$874,BS_RE33!$S$7:$S$874,$BA$2,BS_RE33!$N$7:$N$874,I14,BS_RE33!$P$7:$P$874,'30 days CF Table(RMB)'!G14,BS_RE33!$F$7:$F$874,'30 days CF Table(RMB)'!$C$2)</f>
        <v>0</v>
      </c>
      <c r="BB14" s="379">
        <f>SUMIFS(BS_RE33!$H$7:$H$874,BS_RE33!$S$7:$S$874,$BB$2,BS_RE33!$N$7:$N$874,I14,BS_RE33!$P$7:$P$874,'30 days CF Table(RMB)'!G14,BS_RE33!$F$7:$F$874,'30 days CF Table(RMB)'!$C$2)</f>
        <v>0</v>
      </c>
      <c r="BC14" s="379">
        <f>SUMIFS(BS_RE33!$H$7:$H$874,BS_RE33!$S$7:$S$874,$BC$2,BS_RE33!$N$7:$N$874,I14,BS_RE33!$P$7:$P$874,'30 days CF Table(RMB)'!G14,BS_RE33!$F$7:$F$874,'30 days CF Table(RMB)'!$C$2)</f>
        <v>0</v>
      </c>
      <c r="BD14" s="379">
        <f>SUMIFS(BS_RE33!$H$7:$H$874,BS_RE33!$S$7:$S$874,$BD$2,BS_RE33!$N$7:$N$874,I14,BS_RE33!$P$7:$P$874,'30 days CF Table(RMB)'!G14,BS_RE33!$F$7:$F$874,'30 days CF Table(RMB)'!$C$2)</f>
        <v>0</v>
      </c>
      <c r="BE14" s="379">
        <f>SUMIFS(BS_RE33!$H$7:$H$874,BS_RE33!$S$7:$S$874,$BE$2,BS_RE33!$N$7:$N$874,I14,BS_RE33!$P$7:$P$874,'30 days CF Table(RMB)'!G14,BS_RE33!$F$7:$F$874,'30 days CF Table(RMB)'!$C$2)</f>
        <v>0</v>
      </c>
      <c r="BF14" s="379">
        <f>SUMIFS(BS_RE33!$H$7:$H$874,BS_RE33!$S$7:$S$874,$BF$2,BS_RE33!$N$7:$N$874,I14,BS_RE33!$P$7:$P$874,'30 days CF Table(RMB)'!G14,BS_RE33!$F$7:$F$874,'30 days CF Table(RMB)'!$C$2)</f>
        <v>0</v>
      </c>
      <c r="BG14" s="379">
        <f>SUMIFS(BS_RE33!$H$7:$H$874,BS_RE33!$S$7:$S$874,$BG$2,BS_RE33!$N$7:$N$874,I14,BS_RE33!$P$7:$P$874,'30 days CF Table(RMB)'!G14,BS_RE33!$F$7:$F$874,'30 days CF Table(RMB)'!$C$2)</f>
        <v>0</v>
      </c>
      <c r="BH14" s="379">
        <f>SUMIFS(BS_RE33!$H$7:$H$874,BS_RE33!$S$7:$S$874,$BH$2,BS_RE33!$N$7:$N$874,I14,BS_RE33!$P$7:$P$874,'30 days CF Table(RMB)'!G14,BS_RE33!$F$7:$F$874,'30 days CF Table(RMB)'!$C$2)</f>
        <v>0</v>
      </c>
      <c r="BI14" s="379">
        <f>SUMIFS(BS_RE33!$H$7:$H$874,BS_RE33!$S$7:$S$874,$BI$2,BS_RE33!$N$7:$N$874,I14,BS_RE33!$P$7:$P$874,'30 days CF Table(RMB)'!G14,BS_RE33!$F$7:$F$874,'30 days CF Table(RMB)'!$C$2)</f>
        <v>0</v>
      </c>
      <c r="BJ14" s="379">
        <f>SUMIFS(BS_RE33!$H$7:$H$874,BS_RE33!$S$7:$S$874,$BJ$2,BS_RE33!$N$7:$N$874,I14,BS_RE33!$P$7:$P$874,'30 days CF Table(RMB)'!G14,BS_RE33!$F$7:$F$874,'30 days CF Table(RMB)'!$C$2)</f>
        <v>0</v>
      </c>
      <c r="BK14" s="379">
        <f>SUMIFS(BS_RE33!$H$7:$H$874,BS_RE33!$S$7:$S$874,$BK$2,BS_RE33!$N$7:$N$874,I14,BS_RE33!$P$7:$P$874,'30 days CF Table(RMB)'!G14,BS_RE33!$F$7:$F$874,'30 days CF Table(RMB)'!$C$2)</f>
        <v>0</v>
      </c>
    </row>
    <row r="15" spans="1:63" s="395" customFormat="1">
      <c r="A15"/>
      <c r="B15"/>
      <c r="C15" s="1029"/>
      <c r="D15" s="1031" t="s">
        <v>741</v>
      </c>
      <c r="E15" s="73" t="s">
        <v>552</v>
      </c>
      <c r="F15" s="309"/>
      <c r="G15" s="392" t="s">
        <v>553</v>
      </c>
      <c r="H15" s="130">
        <v>1</v>
      </c>
      <c r="I15" s="305" t="s">
        <v>63</v>
      </c>
      <c r="J15" s="477">
        <f t="shared" si="2"/>
        <v>0</v>
      </c>
      <c r="K15" s="335">
        <f t="shared" si="3"/>
        <v>0</v>
      </c>
      <c r="L15" s="337">
        <f>SUMIFS(BS_RE33!$H$7:$H$874,BS_RE33!$S$7:$S$874,$L$2,BS_RE33!$N$7:$N$874,I15,BS_RE33!$P$7:$P$874,'30 days CF Table(RMB)'!G15,BS_RE33!$F$7:$F$874,'30 days CF Table(RMB)'!$C$2)</f>
        <v>0</v>
      </c>
      <c r="M15" s="337">
        <f>SUMIFS(BS_RE33!$H$7:$H$874,BS_RE33!$S$7:$S$874,$M$2,BS_RE33!$N$7:$N$874,I15,BS_RE33!$P$7:$P$874,'30 days CF Table(RMB)'!G15,BS_RE33!$F$7:$F$874,'30 days CF Table(RMB)'!$C$2)</f>
        <v>0</v>
      </c>
      <c r="N15" s="337">
        <f>SUMIFS(BS_RE33!$H$7:$H$874,BS_RE33!$S$7:$S$874,$N$2,BS_RE33!$N$7:$N$874,I15,BS_RE33!$P$7:$P$874,'30 days CF Table(RMB)'!G15,BS_RE33!$F$7:$F$874,'30 days CF Table(RMB)'!$C$2)</f>
        <v>0</v>
      </c>
      <c r="O15" s="337">
        <f>SUMIFS(BS_RE33!$H$7:$H$874,BS_RE33!$S$7:$S$874,$O$2,BS_RE33!$N$7:$N$874,I15,BS_RE33!$P$7:$P$874,'30 days CF Table(RMB)'!G15,BS_RE33!$F$7:$F$874,'30 days CF Table(RMB)'!$C$2)</f>
        <v>0</v>
      </c>
      <c r="P15" s="337">
        <f>SUMIFS(BS_RE33!$H$7:$H$874,BS_RE33!$S$7:$S$874,$P$2,BS_RE33!$N$7:$N$874,I15,BS_RE33!$P$7:$P$874,'30 days CF Table(RMB)'!G15,BS_RE33!$F$7:$F$874,'30 days CF Table(RMB)'!$C$2)</f>
        <v>0</v>
      </c>
      <c r="Q15" s="337">
        <f>SUMIFS(BS_RE33!$H$7:$H$874,BS_RE33!$S$7:$S$874,$Q$2,BS_RE33!$N$7:$N$874,I15,BS_RE33!$P$7:$P$874,'30 days CF Table(RMB)'!G15,BS_RE33!$F$7:$F$874,'30 days CF Table(RMB)'!$C$2)</f>
        <v>0</v>
      </c>
      <c r="R15" s="337">
        <f>SUMIFS(BS_RE33!$H$7:$H$874,BS_RE33!$S$7:$S$874,$R$2,BS_RE33!$N$7:$N$874,I15,BS_RE33!$P$7:$P$874,'30 days CF Table(RMB)'!G15,BS_RE33!$F$7:$F$874,'30 days CF Table(RMB)'!$C$2)</f>
        <v>0</v>
      </c>
      <c r="S15" s="337">
        <f>SUMIFS(BS_RE33!$H$7:$H$874,BS_RE33!$S$7:$S$874,$S$2,BS_RE33!$N$7:$N$874,I15,BS_RE33!$P$7:$P$874,'30 days CF Table(RMB)'!G15,BS_RE33!$F$7:$F$874,'30 days CF Table(RMB)'!$C$2)</f>
        <v>0</v>
      </c>
      <c r="T15" s="337">
        <f>SUMIFS(BS_RE33!$H$7:$H$874,BS_RE33!$S$7:$S$874,$T$2,BS_RE33!$N$7:$N$874,I15,BS_RE33!$P$7:$P$874,'30 days CF Table(RMB)'!G15,BS_RE33!$F$7:$F$874,'30 days CF Table(RMB)'!$C$2)</f>
        <v>0</v>
      </c>
      <c r="U15" s="337">
        <f>SUMIFS(BS_RE33!$H$7:$H$874,BS_RE33!$S$7:$S$874,$U$2,BS_RE33!$N$7:$N$874,I15,BS_RE33!$P$7:$P$874,'30 days CF Table(RMB)'!G15,BS_RE33!$F$7:$F$874,'30 days CF Table(RMB)'!$C$2)</f>
        <v>0</v>
      </c>
      <c r="V15" s="337">
        <f>SUMIFS(BS_RE33!$H$7:$H$874,BS_RE33!$S$7:$S$874,$V$2,BS_RE33!$N$7:$N$874,I15,BS_RE33!$P$7:$P$874,'30 days CF Table(RMB)'!G15,BS_RE33!$F$7:$F$874,'30 days CF Table(RMB)'!$C$2)</f>
        <v>0</v>
      </c>
      <c r="W15" s="337">
        <f>SUMIFS(BS_RE33!$H$7:$H$874,BS_RE33!$S$7:$S$874,$W$2,BS_RE33!$N$7:$N$874,I15,BS_RE33!$P$7:$P$874,'30 days CF Table(RMB)'!G15,BS_RE33!$F$7:$F$874,'30 days CF Table(RMB)'!$C$2)</f>
        <v>0</v>
      </c>
      <c r="X15" s="337">
        <f>SUMIFS(BS_RE33!$H$7:$H$874,BS_RE33!$S$7:$S$874,$X$2,BS_RE33!$N$7:$N$874,I15,BS_RE33!$P$7:$P$874,'30 days CF Table(RMB)'!G15,BS_RE33!$F$7:$F$874,'30 days CF Table(RMB)'!$C$2)</f>
        <v>0</v>
      </c>
      <c r="Y15" s="337">
        <f>SUMIFS(BS_RE33!$H$7:$H$874,BS_RE33!$S$7:$S$874,$Y$2,BS_RE33!$N$7:$N$874,I15,BS_RE33!$P$7:$P$874,'30 days CF Table(RMB)'!G15,BS_RE33!$F$7:$F$874,'30 days CF Table(RMB)'!$C$2)</f>
        <v>0</v>
      </c>
      <c r="Z15" s="337">
        <f>SUMIFS(BS_RE33!$H$7:$H$874,BS_RE33!$S$7:$S$874,$Z$2,BS_RE33!$N$7:$N$874,I15,BS_RE33!$P$7:$P$874,'30 days CF Table(RMB)'!G15,BS_RE33!$F$7:$F$874,'30 days CF Table(RMB)'!$C$2)</f>
        <v>0</v>
      </c>
      <c r="AA15" s="337">
        <f>SUMIFS(BS_RE33!$H$7:$H$874,BS_RE33!$S$7:$S$874,$AA$2,BS_RE33!$N$7:$N$874,I15,BS_RE33!$P$7:$P$874,'30 days CF Table(RMB)'!G15,BS_RE33!$F$7:$F$874,'30 days CF Table(RMB)'!$C$2)</f>
        <v>0</v>
      </c>
      <c r="AB15" s="337">
        <f>SUMIFS(BS_RE33!$H$7:$H$874,BS_RE33!$S$7:$S$874,$AB$2,BS_RE33!$N$7:$N$874,I15,BS_RE33!$P$7:$P$874,'30 days CF Table(RMB)'!G15,BS_RE33!$F$7:$F$874,'30 days CF Table(RMB)'!$C$2)</f>
        <v>0</v>
      </c>
      <c r="AC15" s="337">
        <f>SUMIFS(BS_RE33!$H$7:$H$874,BS_RE33!$S$7:$S$874,$AC$2,BS_RE33!$N$7:$N$874,I15,BS_RE33!$P$7:$P$874,'30 days CF Table(RMB)'!G15,BS_RE33!$F$7:$F$874,'30 days CF Table(RMB)'!$C$2)</f>
        <v>0</v>
      </c>
      <c r="AD15" s="337">
        <f>SUMIFS(BS_RE33!$H$7:$H$874,BS_RE33!$S$7:$S$874,$AD$2,BS_RE33!$N$7:$N$874,I15,BS_RE33!$P$7:$P$874,'30 days CF Table(RMB)'!G15,BS_RE33!$F$7:$F$874,'30 days CF Table(RMB)'!$C$2)</f>
        <v>0</v>
      </c>
      <c r="AE15" s="337">
        <f>SUMIFS(BS_RE33!$H$7:$H$874,BS_RE33!$S$7:$S$874,$AE$2,BS_RE33!$N$7:$N$874,I15,BS_RE33!$P$7:$P$874,'30 days CF Table(RMB)'!G15,BS_RE33!$F$7:$F$874,'30 days CF Table(RMB)'!$C$2)</f>
        <v>0</v>
      </c>
      <c r="AF15" s="337">
        <f>SUMIFS(BS_RE33!$H$7:$H$874,BS_RE33!$S$7:$S$874,$AF$2,BS_RE33!$N$7:$N$874,I15,BS_RE33!$P$7:$P$874,'30 days CF Table(RMB)'!G15,BS_RE33!$F$7:$F$874,'30 days CF Table(RMB)'!$C$2)</f>
        <v>0</v>
      </c>
      <c r="AG15" s="337">
        <f>SUMIFS(BS_RE33!$H$7:$H$874,BS_RE33!$S$7:$S$874,$AG$2,BS_RE33!$N$7:$N$874,I15,BS_RE33!$P$7:$P$874,'30 days CF Table(RMB)'!G15,BS_RE33!$F$7:$F$874,'30 days CF Table(RMB)'!$C$2)</f>
        <v>0</v>
      </c>
      <c r="AH15" s="337">
        <f>SUMIFS(BS_RE33!$H$7:$H$874,BS_RE33!$S$7:$S$874,$AH$2,BS_RE33!$N$7:$N$874,I15,BS_RE33!$P$7:$P$874,'30 days CF Table(RMB)'!G15,BS_RE33!$F$7:$F$874,'30 days CF Table(RMB)'!$C$2)</f>
        <v>0</v>
      </c>
      <c r="AI15" s="337">
        <f>SUMIFS(BS_RE33!$H$7:$H$874,BS_RE33!$S$7:$S$874,$AI$2,BS_RE33!$N$7:$N$874,I15,BS_RE33!$P$7:$P$874,'30 days CF Table(RMB)'!G15,BS_RE33!$F$7:$F$874,'30 days CF Table(RMB)'!$C$2)</f>
        <v>0</v>
      </c>
      <c r="AJ15" s="337">
        <f>SUMIFS(BS_RE33!$H$7:$H$874,BS_RE33!$S$7:$S$874,$AJ$2,BS_RE33!$N$7:$N$874,I15,BS_RE33!$P$7:$P$874,'30 days CF Table(RMB)'!G15,BS_RE33!$F$7:$F$874,'30 days CF Table(RMB)'!$C$2)</f>
        <v>0</v>
      </c>
      <c r="AK15" s="337">
        <f>SUMIFS(BS_RE33!$H$7:$H$874,BS_RE33!$S$7:$S$874,$AK$2,BS_RE33!$N$7:$N$874,I15,BS_RE33!$P$7:$P$874,'30 days CF Table(RMB)'!G15,BS_RE33!$F$7:$F$874,'30 days CF Table(RMB)'!$C$2)</f>
        <v>0</v>
      </c>
      <c r="AL15" s="337">
        <f>SUMIFS(BS_RE33!$H$7:$H$874,BS_RE33!$S$7:$S$874,$AL$2,BS_RE33!$N$7:$N$874,I15,BS_RE33!$P$7:$P$874,'30 days CF Table(RMB)'!G15,BS_RE33!$F$7:$F$874,'30 days CF Table(RMB)'!$C$2)</f>
        <v>0</v>
      </c>
      <c r="AM15" s="337">
        <f>SUMIFS(BS_RE33!$H$7:$H$874,BS_RE33!$S$7:$S$874,$AM$2,BS_RE33!$N$7:$N$874,I15,BS_RE33!$P$7:$P$874,'30 days CF Table(RMB)'!G15,BS_RE33!$F$7:$F$874,'30 days CF Table(RMB)'!$C$2)</f>
        <v>0</v>
      </c>
      <c r="AN15" s="337">
        <f>SUMIFS(BS_RE33!$H$7:$H$874,BS_RE33!$S$7:$S$874,$AN$2,BS_RE33!$N$7:$N$874,I15,BS_RE33!$P$7:$P$874,'30 days CF Table(RMB)'!G15,BS_RE33!$F$7:$F$874,'30 days CF Table(RMB)'!$C$2)</f>
        <v>0</v>
      </c>
      <c r="AO15" s="337">
        <f>SUMIFS(BS_RE33!$H$7:$H$874,BS_RE33!$S$7:$S$874,$AO$2,BS_RE33!$N$7:$N$874,I15,BS_RE33!$P$7:$P$874,'30 days CF Table(RMB)'!G15,BS_RE33!$F$7:$F$874,'30 days CF Table(RMB)'!$C$2)</f>
        <v>0</v>
      </c>
      <c r="AP15" s="338">
        <f>SUMIFS(BS_RE33!$H$7:$H$874,BS_RE33!$S$7:$S$874,$AP$2,BS_RE33!$N$7:$N$874,I15,BS_RE33!$P$7:$P$874,'30 days CF Table(RMB)'!G15,BS_RE33!$F$7:$F$874,'30 days CF Table(RMB)'!$C$2)</f>
        <v>0</v>
      </c>
      <c r="AQ15" s="545"/>
      <c r="AR15" s="379">
        <f>SUMIFS(BS_RE33!$H$7:$H$874,BS_RE33!$S$7:$S$874,$AR$2,BS_RE33!$N$7:$N$874,I15,BS_RE33!$P$7:$P$874,'30 days CF Table(RMB)'!G15,BS_RE33!$F$7:$F$874,'30 days CF Table(RMB)'!$C$2)</f>
        <v>0</v>
      </c>
      <c r="AS15" s="379">
        <f>SUMIFS(BS_RE33!$H$7:$H$874,BS_RE33!$S$7:$S$874,$AS$2,BS_RE33!$N$7:$N$874,I15,BS_RE33!$P$7:$P$874,'30 days CF Table(RMB)'!G15,BS_RE33!$F$7:$F$874,'30 days CF Table(RMB)'!$C$2)</f>
        <v>0</v>
      </c>
      <c r="AT15" s="379">
        <f>SUMIFS(BS_RE33!$H$7:$H$874,BS_RE33!$S$7:$S$874,$AT$2,BS_RE33!$N$7:$N$874,I15,BS_RE33!$P$7:$P$874,'30 days CF Table(RMB)'!G15,BS_RE33!$F$7:$F$874,'30 days CF Table(RMB)'!$C$2)</f>
        <v>0</v>
      </c>
      <c r="AU15" s="379">
        <f>SUMIFS(BS_RE33!$H$7:$H$874,BS_RE33!$S$7:$S$874,$AU$2,BS_RE33!$N$7:$N$874,I15,BS_RE33!$P$7:$P$874,'30 days CF Table(RMB)'!G15,BS_RE33!$F$7:$F$874,'30 days CF Table(RMB)'!$C$2)</f>
        <v>0</v>
      </c>
      <c r="AV15" s="379">
        <f>SUMIFS(BS_RE33!$H$7:$H$874,BS_RE33!$S$7:$S$874,$AV$2,BS_RE33!$N$7:$N$874,I15,BS_RE33!$P$7:$P$874,'30 days CF Table(RMB)'!G15,BS_RE33!$F$7:$F$874,'30 days CF Table(RMB)'!$C$2)</f>
        <v>0</v>
      </c>
      <c r="AW15" s="379">
        <f>SUMIFS(BS_RE33!$H$7:$H$874,BS_RE33!$S$7:$S$874,$AW$2,BS_RE33!$N$7:$N$874,I15,BS_RE33!$P$7:$P$874,'30 days CF Table(RMB)'!G15,BS_RE33!$F$7:$F$874,'30 days CF Table(RMB)'!$C$2)</f>
        <v>0</v>
      </c>
      <c r="AX15" s="379">
        <f>SUMIFS(BS_RE33!$H$7:$H$874,BS_RE33!$S$7:$S$874,$AX$2,BS_RE33!$N$7:$N$874,I15,BS_RE33!$P$7:$P$874,'30 days CF Table(RMB)'!G15,BS_RE33!$F$7:$F$874,'30 days CF Table(RMB)'!$C$2)</f>
        <v>0</v>
      </c>
      <c r="AY15" s="379">
        <f>SUMIFS(BS_RE33!$H$7:$H$874,BS_RE33!$S$7:$S$874,$AY$2,BS_RE33!$N$7:$N$874,I15,BS_RE33!$P$7:$P$874,'30 days CF Table(RMB)'!G15,BS_RE33!$F$7:$F$874,'30 days CF Table(RMB)'!$C$2)</f>
        <v>0</v>
      </c>
      <c r="AZ15" s="379">
        <f>SUMIFS(BS_RE33!$H$7:$H$874,BS_RE33!$S$7:$S$874,$AZ$2,BS_RE33!$N$7:$N$874,I15,BS_RE33!$P$7:$P$874,'30 days CF Table(RMB)'!G15,BS_RE33!$F$7:$F$874,'30 days CF Table(RMB)'!$C$2)</f>
        <v>0</v>
      </c>
      <c r="BA15" s="379">
        <f>SUMIFS(BS_RE33!$H$7:$H$874,BS_RE33!$S$7:$S$874,$BA$2,BS_RE33!$N$7:$N$874,I15,BS_RE33!$P$7:$P$874,'30 days CF Table(RMB)'!G15,BS_RE33!$F$7:$F$874,'30 days CF Table(RMB)'!$C$2)</f>
        <v>0</v>
      </c>
      <c r="BB15" s="379">
        <f>SUMIFS(BS_RE33!$H$7:$H$874,BS_RE33!$S$7:$S$874,$BB$2,BS_RE33!$N$7:$N$874,I15,BS_RE33!$P$7:$P$874,'30 days CF Table(RMB)'!G15,BS_RE33!$F$7:$F$874,'30 days CF Table(RMB)'!$C$2)</f>
        <v>0</v>
      </c>
      <c r="BC15" s="379">
        <f>SUMIFS(BS_RE33!$H$7:$H$874,BS_RE33!$S$7:$S$874,$BC$2,BS_RE33!$N$7:$N$874,I15,BS_RE33!$P$7:$P$874,'30 days CF Table(RMB)'!G15,BS_RE33!$F$7:$F$874,'30 days CF Table(RMB)'!$C$2)</f>
        <v>0</v>
      </c>
      <c r="BD15" s="379">
        <f>SUMIFS(BS_RE33!$H$7:$H$874,BS_RE33!$S$7:$S$874,$BD$2,BS_RE33!$N$7:$N$874,I15,BS_RE33!$P$7:$P$874,'30 days CF Table(RMB)'!G15,BS_RE33!$F$7:$F$874,'30 days CF Table(RMB)'!$C$2)</f>
        <v>0</v>
      </c>
      <c r="BE15" s="379">
        <f>SUMIFS(BS_RE33!$H$7:$H$874,BS_RE33!$S$7:$S$874,$BE$2,BS_RE33!$N$7:$N$874,I15,BS_RE33!$P$7:$P$874,'30 days CF Table(RMB)'!G15,BS_RE33!$F$7:$F$874,'30 days CF Table(RMB)'!$C$2)</f>
        <v>0</v>
      </c>
      <c r="BF15" s="379">
        <f>SUMIFS(BS_RE33!$H$7:$H$874,BS_RE33!$S$7:$S$874,$BF$2,BS_RE33!$N$7:$N$874,I15,BS_RE33!$P$7:$P$874,'30 days CF Table(RMB)'!G15,BS_RE33!$F$7:$F$874,'30 days CF Table(RMB)'!$C$2)</f>
        <v>0</v>
      </c>
      <c r="BG15" s="379">
        <f>SUMIFS(BS_RE33!$H$7:$H$874,BS_RE33!$S$7:$S$874,$BG$2,BS_RE33!$N$7:$N$874,I15,BS_RE33!$P$7:$P$874,'30 days CF Table(RMB)'!G15,BS_RE33!$F$7:$F$874,'30 days CF Table(RMB)'!$C$2)</f>
        <v>0</v>
      </c>
      <c r="BH15" s="379">
        <f>SUMIFS(BS_RE33!$H$7:$H$874,BS_RE33!$S$7:$S$874,$BH$2,BS_RE33!$N$7:$N$874,I15,BS_RE33!$P$7:$P$874,'30 days CF Table(RMB)'!G15,BS_RE33!$F$7:$F$874,'30 days CF Table(RMB)'!$C$2)</f>
        <v>0</v>
      </c>
      <c r="BI15" s="379">
        <f>SUMIFS(BS_RE33!$H$7:$H$874,BS_RE33!$S$7:$S$874,$BI$2,BS_RE33!$N$7:$N$874,I15,BS_RE33!$P$7:$P$874,'30 days CF Table(RMB)'!G15,BS_RE33!$F$7:$F$874,'30 days CF Table(RMB)'!$C$2)</f>
        <v>0</v>
      </c>
      <c r="BJ15" s="379">
        <f>SUMIFS(BS_RE33!$H$7:$H$874,BS_RE33!$S$7:$S$874,$BJ$2,BS_RE33!$N$7:$N$874,I15,BS_RE33!$P$7:$P$874,'30 days CF Table(RMB)'!G15,BS_RE33!$F$7:$F$874,'30 days CF Table(RMB)'!$C$2)</f>
        <v>0</v>
      </c>
      <c r="BK15" s="379">
        <f>SUMIFS(BS_RE33!$H$7:$H$874,BS_RE33!$S$7:$S$874,$BK$2,BS_RE33!$N$7:$N$874,I15,BS_RE33!$P$7:$P$874,'30 days CF Table(RMB)'!G15,BS_RE33!$F$7:$F$874,'30 days CF Table(RMB)'!$C$2)</f>
        <v>0</v>
      </c>
    </row>
    <row r="16" spans="1:63" s="395" customFormat="1">
      <c r="A16"/>
      <c r="B16"/>
      <c r="C16" s="1029"/>
      <c r="D16" s="1031"/>
      <c r="E16" s="73" t="s">
        <v>554</v>
      </c>
      <c r="F16" s="309"/>
      <c r="G16" s="392" t="s">
        <v>555</v>
      </c>
      <c r="H16" s="130">
        <v>1</v>
      </c>
      <c r="I16" s="305" t="s">
        <v>63</v>
      </c>
      <c r="J16" s="477">
        <f t="shared" si="2"/>
        <v>0</v>
      </c>
      <c r="K16" s="335">
        <f t="shared" si="3"/>
        <v>0</v>
      </c>
      <c r="L16" s="337">
        <f>SUMIFS(BS_RE33!$H$7:$H$874,BS_RE33!$S$7:$S$874,$L$2,BS_RE33!$N$7:$N$874,I16,BS_RE33!$P$7:$P$874,'30 days CF Table(RMB)'!G16,BS_RE33!$F$7:$F$874,'30 days CF Table(RMB)'!$C$2)</f>
        <v>0</v>
      </c>
      <c r="M16" s="337">
        <f>SUMIFS(BS_RE33!$H$7:$H$874,BS_RE33!$S$7:$S$874,$M$2,BS_RE33!$N$7:$N$874,I16,BS_RE33!$P$7:$P$874,'30 days CF Table(RMB)'!G16,BS_RE33!$F$7:$F$874,'30 days CF Table(RMB)'!$C$2)</f>
        <v>0</v>
      </c>
      <c r="N16" s="337">
        <f>SUMIFS(BS_RE33!$H$7:$H$874,BS_RE33!$S$7:$S$874,$N$2,BS_RE33!$N$7:$N$874,I16,BS_RE33!$P$7:$P$874,'30 days CF Table(RMB)'!G16,BS_RE33!$F$7:$F$874,'30 days CF Table(RMB)'!$C$2)</f>
        <v>0</v>
      </c>
      <c r="O16" s="337">
        <f>SUMIFS(BS_RE33!$H$7:$H$874,BS_RE33!$S$7:$S$874,$O$2,BS_RE33!$N$7:$N$874,I16,BS_RE33!$P$7:$P$874,'30 days CF Table(RMB)'!G16,BS_RE33!$F$7:$F$874,'30 days CF Table(RMB)'!$C$2)</f>
        <v>0</v>
      </c>
      <c r="P16" s="337">
        <f>SUMIFS(BS_RE33!$H$7:$H$874,BS_RE33!$S$7:$S$874,$P$2,BS_RE33!$N$7:$N$874,I16,BS_RE33!$P$7:$P$874,'30 days CF Table(RMB)'!G16,BS_RE33!$F$7:$F$874,'30 days CF Table(RMB)'!$C$2)</f>
        <v>0</v>
      </c>
      <c r="Q16" s="337">
        <f>SUMIFS(BS_RE33!$H$7:$H$874,BS_RE33!$S$7:$S$874,$Q$2,BS_RE33!$N$7:$N$874,I16,BS_RE33!$P$7:$P$874,'30 days CF Table(RMB)'!G16,BS_RE33!$F$7:$F$874,'30 days CF Table(RMB)'!$C$2)</f>
        <v>0</v>
      </c>
      <c r="R16" s="337">
        <f>SUMIFS(BS_RE33!$H$7:$H$874,BS_RE33!$S$7:$S$874,$R$2,BS_RE33!$N$7:$N$874,I16,BS_RE33!$P$7:$P$874,'30 days CF Table(RMB)'!G16,BS_RE33!$F$7:$F$874,'30 days CF Table(RMB)'!$C$2)</f>
        <v>0</v>
      </c>
      <c r="S16" s="337">
        <f>SUMIFS(BS_RE33!$H$7:$H$874,BS_RE33!$S$7:$S$874,$S$2,BS_RE33!$N$7:$N$874,I16,BS_RE33!$P$7:$P$874,'30 days CF Table(RMB)'!G16,BS_RE33!$F$7:$F$874,'30 days CF Table(RMB)'!$C$2)</f>
        <v>0</v>
      </c>
      <c r="T16" s="337">
        <f>SUMIFS(BS_RE33!$H$7:$H$874,BS_RE33!$S$7:$S$874,$T$2,BS_RE33!$N$7:$N$874,I16,BS_RE33!$P$7:$P$874,'30 days CF Table(RMB)'!G16,BS_RE33!$F$7:$F$874,'30 days CF Table(RMB)'!$C$2)</f>
        <v>0</v>
      </c>
      <c r="U16" s="337">
        <f>SUMIFS(BS_RE33!$H$7:$H$874,BS_RE33!$S$7:$S$874,$U$2,BS_RE33!$N$7:$N$874,I16,BS_RE33!$P$7:$P$874,'30 days CF Table(RMB)'!G16,BS_RE33!$F$7:$F$874,'30 days CF Table(RMB)'!$C$2)</f>
        <v>0</v>
      </c>
      <c r="V16" s="337">
        <f>SUMIFS(BS_RE33!$H$7:$H$874,BS_RE33!$S$7:$S$874,$V$2,BS_RE33!$N$7:$N$874,I16,BS_RE33!$P$7:$P$874,'30 days CF Table(RMB)'!G16,BS_RE33!$F$7:$F$874,'30 days CF Table(RMB)'!$C$2)</f>
        <v>0</v>
      </c>
      <c r="W16" s="337">
        <f>SUMIFS(BS_RE33!$H$7:$H$874,BS_RE33!$S$7:$S$874,$W$2,BS_RE33!$N$7:$N$874,I16,BS_RE33!$P$7:$P$874,'30 days CF Table(RMB)'!G16,BS_RE33!$F$7:$F$874,'30 days CF Table(RMB)'!$C$2)</f>
        <v>0</v>
      </c>
      <c r="X16" s="337">
        <f>SUMIFS(BS_RE33!$H$7:$H$874,BS_RE33!$S$7:$S$874,$X$2,BS_RE33!$N$7:$N$874,I16,BS_RE33!$P$7:$P$874,'30 days CF Table(RMB)'!G16,BS_RE33!$F$7:$F$874,'30 days CF Table(RMB)'!$C$2)</f>
        <v>0</v>
      </c>
      <c r="Y16" s="337">
        <f>SUMIFS(BS_RE33!$H$7:$H$874,BS_RE33!$S$7:$S$874,$Y$2,BS_RE33!$N$7:$N$874,I16,BS_RE33!$P$7:$P$874,'30 days CF Table(RMB)'!G16,BS_RE33!$F$7:$F$874,'30 days CF Table(RMB)'!$C$2)</f>
        <v>0</v>
      </c>
      <c r="Z16" s="337">
        <f>SUMIFS(BS_RE33!$H$7:$H$874,BS_RE33!$S$7:$S$874,$Z$2,BS_RE33!$N$7:$N$874,I16,BS_RE33!$P$7:$P$874,'30 days CF Table(RMB)'!G16,BS_RE33!$F$7:$F$874,'30 days CF Table(RMB)'!$C$2)</f>
        <v>0</v>
      </c>
      <c r="AA16" s="337">
        <f>SUMIFS(BS_RE33!$H$7:$H$874,BS_RE33!$S$7:$S$874,$AA$2,BS_RE33!$N$7:$N$874,I16,BS_RE33!$P$7:$P$874,'30 days CF Table(RMB)'!G16,BS_RE33!$F$7:$F$874,'30 days CF Table(RMB)'!$C$2)</f>
        <v>0</v>
      </c>
      <c r="AB16" s="337">
        <f>SUMIFS(BS_RE33!$H$7:$H$874,BS_RE33!$S$7:$S$874,$AB$2,BS_RE33!$N$7:$N$874,I16,BS_RE33!$P$7:$P$874,'30 days CF Table(RMB)'!G16,BS_RE33!$F$7:$F$874,'30 days CF Table(RMB)'!$C$2)</f>
        <v>0</v>
      </c>
      <c r="AC16" s="337">
        <f>SUMIFS(BS_RE33!$H$7:$H$874,BS_RE33!$S$7:$S$874,$AC$2,BS_RE33!$N$7:$N$874,I16,BS_RE33!$P$7:$P$874,'30 days CF Table(RMB)'!G16,BS_RE33!$F$7:$F$874,'30 days CF Table(RMB)'!$C$2)</f>
        <v>0</v>
      </c>
      <c r="AD16" s="337">
        <f>SUMIFS(BS_RE33!$H$7:$H$874,BS_RE33!$S$7:$S$874,$AD$2,BS_RE33!$N$7:$N$874,I16,BS_RE33!$P$7:$P$874,'30 days CF Table(RMB)'!G16,BS_RE33!$F$7:$F$874,'30 days CF Table(RMB)'!$C$2)</f>
        <v>0</v>
      </c>
      <c r="AE16" s="337">
        <f>SUMIFS(BS_RE33!$H$7:$H$874,BS_RE33!$S$7:$S$874,$AE$2,BS_RE33!$N$7:$N$874,I16,BS_RE33!$P$7:$P$874,'30 days CF Table(RMB)'!G16,BS_RE33!$F$7:$F$874,'30 days CF Table(RMB)'!$C$2)</f>
        <v>0</v>
      </c>
      <c r="AF16" s="337">
        <f>SUMIFS(BS_RE33!$H$7:$H$874,BS_RE33!$S$7:$S$874,$AF$2,BS_RE33!$N$7:$N$874,I16,BS_RE33!$P$7:$P$874,'30 days CF Table(RMB)'!G16,BS_RE33!$F$7:$F$874,'30 days CF Table(RMB)'!$C$2)</f>
        <v>0</v>
      </c>
      <c r="AG16" s="337">
        <f>SUMIFS(BS_RE33!$H$7:$H$874,BS_RE33!$S$7:$S$874,$AG$2,BS_RE33!$N$7:$N$874,I16,BS_RE33!$P$7:$P$874,'30 days CF Table(RMB)'!G16,BS_RE33!$F$7:$F$874,'30 days CF Table(RMB)'!$C$2)</f>
        <v>0</v>
      </c>
      <c r="AH16" s="337">
        <f>SUMIFS(BS_RE33!$H$7:$H$874,BS_RE33!$S$7:$S$874,$AH$2,BS_RE33!$N$7:$N$874,I16,BS_RE33!$P$7:$P$874,'30 days CF Table(RMB)'!G16,BS_RE33!$F$7:$F$874,'30 days CF Table(RMB)'!$C$2)</f>
        <v>0</v>
      </c>
      <c r="AI16" s="337">
        <f>SUMIFS(BS_RE33!$H$7:$H$874,BS_RE33!$S$7:$S$874,$AI$2,BS_RE33!$N$7:$N$874,I16,BS_RE33!$P$7:$P$874,'30 days CF Table(RMB)'!G16,BS_RE33!$F$7:$F$874,'30 days CF Table(RMB)'!$C$2)</f>
        <v>0</v>
      </c>
      <c r="AJ16" s="337">
        <f>SUMIFS(BS_RE33!$H$7:$H$874,BS_RE33!$S$7:$S$874,$AJ$2,BS_RE33!$N$7:$N$874,I16,BS_RE33!$P$7:$P$874,'30 days CF Table(RMB)'!G16,BS_RE33!$F$7:$F$874,'30 days CF Table(RMB)'!$C$2)</f>
        <v>0</v>
      </c>
      <c r="AK16" s="337">
        <f>SUMIFS(BS_RE33!$H$7:$H$874,BS_RE33!$S$7:$S$874,$AK$2,BS_RE33!$N$7:$N$874,I16,BS_RE33!$P$7:$P$874,'30 days CF Table(RMB)'!G16,BS_RE33!$F$7:$F$874,'30 days CF Table(RMB)'!$C$2)</f>
        <v>0</v>
      </c>
      <c r="AL16" s="337">
        <f>SUMIFS(BS_RE33!$H$7:$H$874,BS_RE33!$S$7:$S$874,$AL$2,BS_RE33!$N$7:$N$874,I16,BS_RE33!$P$7:$P$874,'30 days CF Table(RMB)'!G16,BS_RE33!$F$7:$F$874,'30 days CF Table(RMB)'!$C$2)</f>
        <v>0</v>
      </c>
      <c r="AM16" s="337">
        <f>SUMIFS(BS_RE33!$H$7:$H$874,BS_RE33!$S$7:$S$874,$AM$2,BS_RE33!$N$7:$N$874,I16,BS_RE33!$P$7:$P$874,'30 days CF Table(RMB)'!G16,BS_RE33!$F$7:$F$874,'30 days CF Table(RMB)'!$C$2)</f>
        <v>0</v>
      </c>
      <c r="AN16" s="337">
        <f>SUMIFS(BS_RE33!$H$7:$H$874,BS_RE33!$S$7:$S$874,$AN$2,BS_RE33!$N$7:$N$874,I16,BS_RE33!$P$7:$P$874,'30 days CF Table(RMB)'!G16,BS_RE33!$F$7:$F$874,'30 days CF Table(RMB)'!$C$2)</f>
        <v>0</v>
      </c>
      <c r="AO16" s="337">
        <f>SUMIFS(BS_RE33!$H$7:$H$874,BS_RE33!$S$7:$S$874,$AO$2,BS_RE33!$N$7:$N$874,I16,BS_RE33!$P$7:$P$874,'30 days CF Table(RMB)'!G16,BS_RE33!$F$7:$F$874,'30 days CF Table(RMB)'!$C$2)</f>
        <v>0</v>
      </c>
      <c r="AP16" s="338">
        <f>SUMIFS(BS_RE33!$H$7:$H$874,BS_RE33!$S$7:$S$874,$AP$2,BS_RE33!$N$7:$N$874,I16,BS_RE33!$P$7:$P$874,'30 days CF Table(RMB)'!G16,BS_RE33!$F$7:$F$874,'30 days CF Table(RMB)'!$C$2)</f>
        <v>0</v>
      </c>
      <c r="AQ16" s="545"/>
      <c r="AR16" s="379">
        <f>SUMIFS(BS_RE33!$H$7:$H$874,BS_RE33!$S$7:$S$874,$AR$2,BS_RE33!$N$7:$N$874,I16,BS_RE33!$P$7:$P$874,'30 days CF Table(RMB)'!G16,BS_RE33!$F$7:$F$874,'30 days CF Table(RMB)'!$C$2)</f>
        <v>0</v>
      </c>
      <c r="AS16" s="379">
        <f>SUMIFS(BS_RE33!$H$7:$H$874,BS_RE33!$S$7:$S$874,$AS$2,BS_RE33!$N$7:$N$874,I16,BS_RE33!$P$7:$P$874,'30 days CF Table(RMB)'!G16,BS_RE33!$F$7:$F$874,'30 days CF Table(RMB)'!$C$2)</f>
        <v>0</v>
      </c>
      <c r="AT16" s="379">
        <f>SUMIFS(BS_RE33!$H$7:$H$874,BS_RE33!$S$7:$S$874,$AT$2,BS_RE33!$N$7:$N$874,I16,BS_RE33!$P$7:$P$874,'30 days CF Table(RMB)'!G16,BS_RE33!$F$7:$F$874,'30 days CF Table(RMB)'!$C$2)</f>
        <v>0</v>
      </c>
      <c r="AU16" s="379">
        <f>SUMIFS(BS_RE33!$H$7:$H$874,BS_RE33!$S$7:$S$874,$AU$2,BS_RE33!$N$7:$N$874,I16,BS_RE33!$P$7:$P$874,'30 days CF Table(RMB)'!G16,BS_RE33!$F$7:$F$874,'30 days CF Table(RMB)'!$C$2)</f>
        <v>0</v>
      </c>
      <c r="AV16" s="379">
        <f>SUMIFS(BS_RE33!$H$7:$H$874,BS_RE33!$S$7:$S$874,$AV$2,BS_RE33!$N$7:$N$874,I16,BS_RE33!$P$7:$P$874,'30 days CF Table(RMB)'!G16,BS_RE33!$F$7:$F$874,'30 days CF Table(RMB)'!$C$2)</f>
        <v>0</v>
      </c>
      <c r="AW16" s="379">
        <f>SUMIFS(BS_RE33!$H$7:$H$874,BS_RE33!$S$7:$S$874,$AW$2,BS_RE33!$N$7:$N$874,I16,BS_RE33!$P$7:$P$874,'30 days CF Table(RMB)'!G16,BS_RE33!$F$7:$F$874,'30 days CF Table(RMB)'!$C$2)</f>
        <v>0</v>
      </c>
      <c r="AX16" s="379">
        <f>SUMIFS(BS_RE33!$H$7:$H$874,BS_RE33!$S$7:$S$874,$AX$2,BS_RE33!$N$7:$N$874,I16,BS_RE33!$P$7:$P$874,'30 days CF Table(RMB)'!G16,BS_RE33!$F$7:$F$874,'30 days CF Table(RMB)'!$C$2)</f>
        <v>0</v>
      </c>
      <c r="AY16" s="379">
        <f>SUMIFS(BS_RE33!$H$7:$H$874,BS_RE33!$S$7:$S$874,$AY$2,BS_RE33!$N$7:$N$874,I16,BS_RE33!$P$7:$P$874,'30 days CF Table(RMB)'!G16,BS_RE33!$F$7:$F$874,'30 days CF Table(RMB)'!$C$2)</f>
        <v>0</v>
      </c>
      <c r="AZ16" s="379">
        <f>SUMIFS(BS_RE33!$H$7:$H$874,BS_RE33!$S$7:$S$874,$AZ$2,BS_RE33!$N$7:$N$874,I16,BS_RE33!$P$7:$P$874,'30 days CF Table(RMB)'!G16,BS_RE33!$F$7:$F$874,'30 days CF Table(RMB)'!$C$2)</f>
        <v>0</v>
      </c>
      <c r="BA16" s="379">
        <f>SUMIFS(BS_RE33!$H$7:$H$874,BS_RE33!$S$7:$S$874,$BA$2,BS_RE33!$N$7:$N$874,I16,BS_RE33!$P$7:$P$874,'30 days CF Table(RMB)'!G16,BS_RE33!$F$7:$F$874,'30 days CF Table(RMB)'!$C$2)</f>
        <v>0</v>
      </c>
      <c r="BB16" s="379">
        <f>SUMIFS(BS_RE33!$H$7:$H$874,BS_RE33!$S$7:$S$874,$BB$2,BS_RE33!$N$7:$N$874,I16,BS_RE33!$P$7:$P$874,'30 days CF Table(RMB)'!G16,BS_RE33!$F$7:$F$874,'30 days CF Table(RMB)'!$C$2)</f>
        <v>0</v>
      </c>
      <c r="BC16" s="379">
        <f>SUMIFS(BS_RE33!$H$7:$H$874,BS_RE33!$S$7:$S$874,$BC$2,BS_RE33!$N$7:$N$874,I16,BS_RE33!$P$7:$P$874,'30 days CF Table(RMB)'!G16,BS_RE33!$F$7:$F$874,'30 days CF Table(RMB)'!$C$2)</f>
        <v>0</v>
      </c>
      <c r="BD16" s="379">
        <f>SUMIFS(BS_RE33!$H$7:$H$874,BS_RE33!$S$7:$S$874,$BD$2,BS_RE33!$N$7:$N$874,I16,BS_RE33!$P$7:$P$874,'30 days CF Table(RMB)'!G16,BS_RE33!$F$7:$F$874,'30 days CF Table(RMB)'!$C$2)</f>
        <v>0</v>
      </c>
      <c r="BE16" s="379">
        <f>SUMIFS(BS_RE33!$H$7:$H$874,BS_RE33!$S$7:$S$874,$BE$2,BS_RE33!$N$7:$N$874,I16,BS_RE33!$P$7:$P$874,'30 days CF Table(RMB)'!G16,BS_RE33!$F$7:$F$874,'30 days CF Table(RMB)'!$C$2)</f>
        <v>0</v>
      </c>
      <c r="BF16" s="379">
        <f>SUMIFS(BS_RE33!$H$7:$H$874,BS_RE33!$S$7:$S$874,$BF$2,BS_RE33!$N$7:$N$874,I16,BS_RE33!$P$7:$P$874,'30 days CF Table(RMB)'!G16,BS_RE33!$F$7:$F$874,'30 days CF Table(RMB)'!$C$2)</f>
        <v>0</v>
      </c>
      <c r="BG16" s="379">
        <f>SUMIFS(BS_RE33!$H$7:$H$874,BS_RE33!$S$7:$S$874,$BG$2,BS_RE33!$N$7:$N$874,I16,BS_RE33!$P$7:$P$874,'30 days CF Table(RMB)'!G16,BS_RE33!$F$7:$F$874,'30 days CF Table(RMB)'!$C$2)</f>
        <v>0</v>
      </c>
      <c r="BH16" s="379">
        <f>SUMIFS(BS_RE33!$H$7:$H$874,BS_RE33!$S$7:$S$874,$BH$2,BS_RE33!$N$7:$N$874,I16,BS_RE33!$P$7:$P$874,'30 days CF Table(RMB)'!G16,BS_RE33!$F$7:$F$874,'30 days CF Table(RMB)'!$C$2)</f>
        <v>0</v>
      </c>
      <c r="BI16" s="379">
        <f>SUMIFS(BS_RE33!$H$7:$H$874,BS_RE33!$S$7:$S$874,$BI$2,BS_RE33!$N$7:$N$874,I16,BS_RE33!$P$7:$P$874,'30 days CF Table(RMB)'!G16,BS_RE33!$F$7:$F$874,'30 days CF Table(RMB)'!$C$2)</f>
        <v>0</v>
      </c>
      <c r="BJ16" s="379">
        <f>SUMIFS(BS_RE33!$H$7:$H$874,BS_RE33!$S$7:$S$874,$BJ$2,BS_RE33!$N$7:$N$874,I16,BS_RE33!$P$7:$P$874,'30 days CF Table(RMB)'!G16,BS_RE33!$F$7:$F$874,'30 days CF Table(RMB)'!$C$2)</f>
        <v>0</v>
      </c>
      <c r="BK16" s="379">
        <f>SUMIFS(BS_RE33!$H$7:$H$874,BS_RE33!$S$7:$S$874,$BK$2,BS_RE33!$N$7:$N$874,I16,BS_RE33!$P$7:$P$874,'30 days CF Table(RMB)'!G16,BS_RE33!$F$7:$F$874,'30 days CF Table(RMB)'!$C$2)</f>
        <v>0</v>
      </c>
    </row>
    <row r="17" spans="1:63" s="395" customFormat="1">
      <c r="A17"/>
      <c r="B17"/>
      <c r="C17" s="1029"/>
      <c r="D17" s="1028" t="s">
        <v>744</v>
      </c>
      <c r="E17" s="310" t="s">
        <v>745</v>
      </c>
      <c r="F17" s="309"/>
      <c r="G17" s="392" t="s">
        <v>580</v>
      </c>
      <c r="H17" s="130">
        <v>1</v>
      </c>
      <c r="I17" s="305" t="s">
        <v>63</v>
      </c>
      <c r="J17" s="477">
        <f t="shared" si="2"/>
        <v>0</v>
      </c>
      <c r="K17" s="335">
        <f t="shared" si="3"/>
        <v>0</v>
      </c>
      <c r="L17" s="337">
        <f>SUMIFS(BS_RE33!$H$7:$H$874,BS_RE33!$S$7:$S$874,$L$2,BS_RE33!$N$7:$N$874,I17,BS_RE33!$P$7:$P$874,'30 days CF Table(RMB)'!G17,BS_RE33!$F$7:$F$874,'30 days CF Table(RMB)'!$C$2)</f>
        <v>0</v>
      </c>
      <c r="M17" s="337">
        <f>SUMIFS(BS_RE33!$H$7:$H$874,BS_RE33!$S$7:$S$874,$M$2,BS_RE33!$N$7:$N$874,I17,BS_RE33!$P$7:$P$874,'30 days CF Table(RMB)'!G17,BS_RE33!$F$7:$F$874,'30 days CF Table(RMB)'!$C$2)</f>
        <v>0</v>
      </c>
      <c r="N17" s="337">
        <f>SUMIFS(BS_RE33!$H$7:$H$874,BS_RE33!$S$7:$S$874,$N$2,BS_RE33!$N$7:$N$874,I17,BS_RE33!$P$7:$P$874,'30 days CF Table(RMB)'!G17,BS_RE33!$F$7:$F$874,'30 days CF Table(RMB)'!$C$2)</f>
        <v>0</v>
      </c>
      <c r="O17" s="337">
        <f>SUMIFS(BS_RE33!$H$7:$H$874,BS_RE33!$S$7:$S$874,$O$2,BS_RE33!$N$7:$N$874,I17,BS_RE33!$P$7:$P$874,'30 days CF Table(RMB)'!G17,BS_RE33!$F$7:$F$874,'30 days CF Table(RMB)'!$C$2)</f>
        <v>0</v>
      </c>
      <c r="P17" s="337">
        <f>SUMIFS(BS_RE33!$H$7:$H$874,BS_RE33!$S$7:$S$874,$P$2,BS_RE33!$N$7:$N$874,I17,BS_RE33!$P$7:$P$874,'30 days CF Table(RMB)'!G17,BS_RE33!$F$7:$F$874,'30 days CF Table(RMB)'!$C$2)</f>
        <v>0</v>
      </c>
      <c r="Q17" s="337">
        <f>SUMIFS(BS_RE33!$H$7:$H$874,BS_RE33!$S$7:$S$874,$Q$2,BS_RE33!$N$7:$N$874,I17,BS_RE33!$P$7:$P$874,'30 days CF Table(RMB)'!G17,BS_RE33!$F$7:$F$874,'30 days CF Table(RMB)'!$C$2)</f>
        <v>0</v>
      </c>
      <c r="R17" s="337">
        <f>SUMIFS(BS_RE33!$H$7:$H$874,BS_RE33!$S$7:$S$874,$R$2,BS_RE33!$N$7:$N$874,I17,BS_RE33!$P$7:$P$874,'30 days CF Table(RMB)'!G17,BS_RE33!$F$7:$F$874,'30 days CF Table(RMB)'!$C$2)</f>
        <v>0</v>
      </c>
      <c r="S17" s="337">
        <f>SUMIFS(BS_RE33!$H$7:$H$874,BS_RE33!$S$7:$S$874,$S$2,BS_RE33!$N$7:$N$874,I17,BS_RE33!$P$7:$P$874,'30 days CF Table(RMB)'!G17,BS_RE33!$F$7:$F$874,'30 days CF Table(RMB)'!$C$2)</f>
        <v>0</v>
      </c>
      <c r="T17" s="337">
        <f>SUMIFS(BS_RE33!$H$7:$H$874,BS_RE33!$S$7:$S$874,$T$2,BS_RE33!$N$7:$N$874,I17,BS_RE33!$P$7:$P$874,'30 days CF Table(RMB)'!G17,BS_RE33!$F$7:$F$874,'30 days CF Table(RMB)'!$C$2)</f>
        <v>0</v>
      </c>
      <c r="U17" s="337">
        <f>SUMIFS(BS_RE33!$H$7:$H$874,BS_RE33!$S$7:$S$874,$U$2,BS_RE33!$N$7:$N$874,I17,BS_RE33!$P$7:$P$874,'30 days CF Table(RMB)'!G17,BS_RE33!$F$7:$F$874,'30 days CF Table(RMB)'!$C$2)</f>
        <v>0</v>
      </c>
      <c r="V17" s="337">
        <f>SUMIFS(BS_RE33!$H$7:$H$874,BS_RE33!$S$7:$S$874,$V$2,BS_RE33!$N$7:$N$874,I17,BS_RE33!$P$7:$P$874,'30 days CF Table(RMB)'!G17,BS_RE33!$F$7:$F$874,'30 days CF Table(RMB)'!$C$2)</f>
        <v>0</v>
      </c>
      <c r="W17" s="337">
        <f>SUMIFS(BS_RE33!$H$7:$H$874,BS_RE33!$S$7:$S$874,$W$2,BS_RE33!$N$7:$N$874,I17,BS_RE33!$P$7:$P$874,'30 days CF Table(RMB)'!G17,BS_RE33!$F$7:$F$874,'30 days CF Table(RMB)'!$C$2)</f>
        <v>0</v>
      </c>
      <c r="X17" s="337">
        <f>SUMIFS(BS_RE33!$H$7:$H$874,BS_RE33!$S$7:$S$874,$X$2,BS_RE33!$N$7:$N$874,I17,BS_RE33!$P$7:$P$874,'30 days CF Table(RMB)'!G17,BS_RE33!$F$7:$F$874,'30 days CF Table(RMB)'!$C$2)</f>
        <v>0</v>
      </c>
      <c r="Y17" s="337">
        <f>SUMIFS(BS_RE33!$H$7:$H$874,BS_RE33!$S$7:$S$874,$Y$2,BS_RE33!$N$7:$N$874,I17,BS_RE33!$P$7:$P$874,'30 days CF Table(RMB)'!G17,BS_RE33!$F$7:$F$874,'30 days CF Table(RMB)'!$C$2)</f>
        <v>0</v>
      </c>
      <c r="Z17" s="337">
        <f>SUMIFS(BS_RE33!$H$7:$H$874,BS_RE33!$S$7:$S$874,$Z$2,BS_RE33!$N$7:$N$874,I17,BS_RE33!$P$7:$P$874,'30 days CF Table(RMB)'!G17,BS_RE33!$F$7:$F$874,'30 days CF Table(RMB)'!$C$2)</f>
        <v>0</v>
      </c>
      <c r="AA17" s="337">
        <f>SUMIFS(BS_RE33!$H$7:$H$874,BS_RE33!$S$7:$S$874,$AA$2,BS_RE33!$N$7:$N$874,I17,BS_RE33!$P$7:$P$874,'30 days CF Table(RMB)'!G17,BS_RE33!$F$7:$F$874,'30 days CF Table(RMB)'!$C$2)</f>
        <v>0</v>
      </c>
      <c r="AB17" s="337">
        <f>SUMIFS(BS_RE33!$H$7:$H$874,BS_RE33!$S$7:$S$874,$AB$2,BS_RE33!$N$7:$N$874,I17,BS_RE33!$P$7:$P$874,'30 days CF Table(RMB)'!G17,BS_RE33!$F$7:$F$874,'30 days CF Table(RMB)'!$C$2)</f>
        <v>0</v>
      </c>
      <c r="AC17" s="337">
        <f>SUMIFS(BS_RE33!$H$7:$H$874,BS_RE33!$S$7:$S$874,$AC$2,BS_RE33!$N$7:$N$874,I17,BS_RE33!$P$7:$P$874,'30 days CF Table(RMB)'!G17,BS_RE33!$F$7:$F$874,'30 days CF Table(RMB)'!$C$2)</f>
        <v>0</v>
      </c>
      <c r="AD17" s="337">
        <f>SUMIFS(BS_RE33!$H$7:$H$874,BS_RE33!$S$7:$S$874,$AD$2,BS_RE33!$N$7:$N$874,I17,BS_RE33!$P$7:$P$874,'30 days CF Table(RMB)'!G17,BS_RE33!$F$7:$F$874,'30 days CF Table(RMB)'!$C$2)</f>
        <v>0</v>
      </c>
      <c r="AE17" s="337">
        <f>SUMIFS(BS_RE33!$H$7:$H$874,BS_RE33!$S$7:$S$874,$AE$2,BS_RE33!$N$7:$N$874,I17,BS_RE33!$P$7:$P$874,'30 days CF Table(RMB)'!G17,BS_RE33!$F$7:$F$874,'30 days CF Table(RMB)'!$C$2)</f>
        <v>0</v>
      </c>
      <c r="AF17" s="337">
        <f>SUMIFS(BS_RE33!$H$7:$H$874,BS_RE33!$S$7:$S$874,$AF$2,BS_RE33!$N$7:$N$874,I17,BS_RE33!$P$7:$P$874,'30 days CF Table(RMB)'!G17,BS_RE33!$F$7:$F$874,'30 days CF Table(RMB)'!$C$2)</f>
        <v>0</v>
      </c>
      <c r="AG17" s="337">
        <f>SUMIFS(BS_RE33!$H$7:$H$874,BS_RE33!$S$7:$S$874,$AG$2,BS_RE33!$N$7:$N$874,I17,BS_RE33!$P$7:$P$874,'30 days CF Table(RMB)'!G17,BS_RE33!$F$7:$F$874,'30 days CF Table(RMB)'!$C$2)</f>
        <v>0</v>
      </c>
      <c r="AH17" s="337">
        <f>SUMIFS(BS_RE33!$H$7:$H$874,BS_RE33!$S$7:$S$874,$AH$2,BS_RE33!$N$7:$N$874,I17,BS_RE33!$P$7:$P$874,'30 days CF Table(RMB)'!G17,BS_RE33!$F$7:$F$874,'30 days CF Table(RMB)'!$C$2)</f>
        <v>0</v>
      </c>
      <c r="AI17" s="337">
        <f>SUMIFS(BS_RE33!$H$7:$H$874,BS_RE33!$S$7:$S$874,$AI$2,BS_RE33!$N$7:$N$874,I17,BS_RE33!$P$7:$P$874,'30 days CF Table(RMB)'!G17,BS_RE33!$F$7:$F$874,'30 days CF Table(RMB)'!$C$2)</f>
        <v>0</v>
      </c>
      <c r="AJ17" s="337">
        <f>SUMIFS(BS_RE33!$H$7:$H$874,BS_RE33!$S$7:$S$874,$AJ$2,BS_RE33!$N$7:$N$874,I17,BS_RE33!$P$7:$P$874,'30 days CF Table(RMB)'!G17,BS_RE33!$F$7:$F$874,'30 days CF Table(RMB)'!$C$2)</f>
        <v>0</v>
      </c>
      <c r="AK17" s="337">
        <f>SUMIFS(BS_RE33!$H$7:$H$874,BS_RE33!$S$7:$S$874,$AK$2,BS_RE33!$N$7:$N$874,I17,BS_RE33!$P$7:$P$874,'30 days CF Table(RMB)'!G17,BS_RE33!$F$7:$F$874,'30 days CF Table(RMB)'!$C$2)</f>
        <v>0</v>
      </c>
      <c r="AL17" s="337">
        <f>SUMIFS(BS_RE33!$H$7:$H$874,BS_RE33!$S$7:$S$874,$AL$2,BS_RE33!$N$7:$N$874,I17,BS_RE33!$P$7:$P$874,'30 days CF Table(RMB)'!G17,BS_RE33!$F$7:$F$874,'30 days CF Table(RMB)'!$C$2)</f>
        <v>0</v>
      </c>
      <c r="AM17" s="337">
        <f>SUMIFS(BS_RE33!$H$7:$H$874,BS_RE33!$S$7:$S$874,$AM$2,BS_RE33!$N$7:$N$874,I17,BS_RE33!$P$7:$P$874,'30 days CF Table(RMB)'!G17,BS_RE33!$F$7:$F$874,'30 days CF Table(RMB)'!$C$2)</f>
        <v>0</v>
      </c>
      <c r="AN17" s="337">
        <f>SUMIFS(BS_RE33!$H$7:$H$874,BS_RE33!$S$7:$S$874,$AN$2,BS_RE33!$N$7:$N$874,I17,BS_RE33!$P$7:$P$874,'30 days CF Table(RMB)'!G17,BS_RE33!$F$7:$F$874,'30 days CF Table(RMB)'!$C$2)</f>
        <v>0</v>
      </c>
      <c r="AO17" s="337">
        <f>SUMIFS(BS_RE33!$H$7:$H$874,BS_RE33!$S$7:$S$874,$AO$2,BS_RE33!$N$7:$N$874,I17,BS_RE33!$P$7:$P$874,'30 days CF Table(RMB)'!G17,BS_RE33!$F$7:$F$874,'30 days CF Table(RMB)'!$C$2)</f>
        <v>0</v>
      </c>
      <c r="AP17" s="338">
        <f>SUMIFS(BS_RE33!$H$7:$H$874,BS_RE33!$S$7:$S$874,$AP$2,BS_RE33!$N$7:$N$874,I17,BS_RE33!$P$7:$P$874,'30 days CF Table(RMB)'!G17,BS_RE33!$F$7:$F$874,'30 days CF Table(RMB)'!$C$2)</f>
        <v>0</v>
      </c>
      <c r="AQ17" s="545"/>
      <c r="AR17" s="379">
        <f>SUMIFS(BS_RE33!$H$7:$H$874,BS_RE33!$S$7:$S$874,$AR$2,BS_RE33!$N$7:$N$874,I17,BS_RE33!$P$7:$P$874,'30 days CF Table(RMB)'!G17,BS_RE33!$F$7:$F$874,'30 days CF Table(RMB)'!$C$2)</f>
        <v>0</v>
      </c>
      <c r="AS17" s="379">
        <f>SUMIFS(BS_RE33!$H$7:$H$874,BS_RE33!$S$7:$S$874,$AS$2,BS_RE33!$N$7:$N$874,I17,BS_RE33!$P$7:$P$874,'30 days CF Table(RMB)'!G17,BS_RE33!$F$7:$F$874,'30 days CF Table(RMB)'!$C$2)</f>
        <v>0</v>
      </c>
      <c r="AT17" s="379">
        <f>SUMIFS(BS_RE33!$H$7:$H$874,BS_RE33!$S$7:$S$874,$AT$2,BS_RE33!$N$7:$N$874,I17,BS_RE33!$P$7:$P$874,'30 days CF Table(RMB)'!G17,BS_RE33!$F$7:$F$874,'30 days CF Table(RMB)'!$C$2)</f>
        <v>0</v>
      </c>
      <c r="AU17" s="379">
        <f>SUMIFS(BS_RE33!$H$7:$H$874,BS_RE33!$S$7:$S$874,$AU$2,BS_RE33!$N$7:$N$874,I17,BS_RE33!$P$7:$P$874,'30 days CF Table(RMB)'!G17,BS_RE33!$F$7:$F$874,'30 days CF Table(RMB)'!$C$2)</f>
        <v>0</v>
      </c>
      <c r="AV17" s="379">
        <f>SUMIFS(BS_RE33!$H$7:$H$874,BS_RE33!$S$7:$S$874,$AV$2,BS_RE33!$N$7:$N$874,I17,BS_RE33!$P$7:$P$874,'30 days CF Table(RMB)'!G17,BS_RE33!$F$7:$F$874,'30 days CF Table(RMB)'!$C$2)</f>
        <v>0</v>
      </c>
      <c r="AW17" s="379">
        <f>SUMIFS(BS_RE33!$H$7:$H$874,BS_RE33!$S$7:$S$874,$AW$2,BS_RE33!$N$7:$N$874,I17,BS_RE33!$P$7:$P$874,'30 days CF Table(RMB)'!G17,BS_RE33!$F$7:$F$874,'30 days CF Table(RMB)'!$C$2)</f>
        <v>0</v>
      </c>
      <c r="AX17" s="379">
        <f>SUMIFS(BS_RE33!$H$7:$H$874,BS_RE33!$S$7:$S$874,$AX$2,BS_RE33!$N$7:$N$874,I17,BS_RE33!$P$7:$P$874,'30 days CF Table(RMB)'!G17,BS_RE33!$F$7:$F$874,'30 days CF Table(RMB)'!$C$2)</f>
        <v>0</v>
      </c>
      <c r="AY17" s="379">
        <f>SUMIFS(BS_RE33!$H$7:$H$874,BS_RE33!$S$7:$S$874,$AY$2,BS_RE33!$N$7:$N$874,I17,BS_RE33!$P$7:$P$874,'30 days CF Table(RMB)'!G17,BS_RE33!$F$7:$F$874,'30 days CF Table(RMB)'!$C$2)</f>
        <v>0</v>
      </c>
      <c r="AZ17" s="379">
        <f>SUMIFS(BS_RE33!$H$7:$H$874,BS_RE33!$S$7:$S$874,$AZ$2,BS_RE33!$N$7:$N$874,I17,BS_RE33!$P$7:$P$874,'30 days CF Table(RMB)'!G17,BS_RE33!$F$7:$F$874,'30 days CF Table(RMB)'!$C$2)</f>
        <v>0</v>
      </c>
      <c r="BA17" s="379">
        <f>SUMIFS(BS_RE33!$H$7:$H$874,BS_RE33!$S$7:$S$874,$BA$2,BS_RE33!$N$7:$N$874,I17,BS_RE33!$P$7:$P$874,'30 days CF Table(RMB)'!G17,BS_RE33!$F$7:$F$874,'30 days CF Table(RMB)'!$C$2)</f>
        <v>0</v>
      </c>
      <c r="BB17" s="379">
        <f>SUMIFS(BS_RE33!$H$7:$H$874,BS_RE33!$S$7:$S$874,$BB$2,BS_RE33!$N$7:$N$874,I17,BS_RE33!$P$7:$P$874,'30 days CF Table(RMB)'!G17,BS_RE33!$F$7:$F$874,'30 days CF Table(RMB)'!$C$2)</f>
        <v>0</v>
      </c>
      <c r="BC17" s="379">
        <f>SUMIFS(BS_RE33!$H$7:$H$874,BS_RE33!$S$7:$S$874,$BC$2,BS_RE33!$N$7:$N$874,I17,BS_RE33!$P$7:$P$874,'30 days CF Table(RMB)'!G17,BS_RE33!$F$7:$F$874,'30 days CF Table(RMB)'!$C$2)</f>
        <v>0</v>
      </c>
      <c r="BD17" s="379">
        <f>SUMIFS(BS_RE33!$H$7:$H$874,BS_RE33!$S$7:$S$874,$BD$2,BS_RE33!$N$7:$N$874,I17,BS_RE33!$P$7:$P$874,'30 days CF Table(RMB)'!G17,BS_RE33!$F$7:$F$874,'30 days CF Table(RMB)'!$C$2)</f>
        <v>0</v>
      </c>
      <c r="BE17" s="379">
        <f>SUMIFS(BS_RE33!$H$7:$H$874,BS_RE33!$S$7:$S$874,$BE$2,BS_RE33!$N$7:$N$874,I17,BS_RE33!$P$7:$P$874,'30 days CF Table(RMB)'!G17,BS_RE33!$F$7:$F$874,'30 days CF Table(RMB)'!$C$2)</f>
        <v>0</v>
      </c>
      <c r="BF17" s="379">
        <f>SUMIFS(BS_RE33!$H$7:$H$874,BS_RE33!$S$7:$S$874,$BF$2,BS_RE33!$N$7:$N$874,I17,BS_RE33!$P$7:$P$874,'30 days CF Table(RMB)'!G17,BS_RE33!$F$7:$F$874,'30 days CF Table(RMB)'!$C$2)</f>
        <v>0</v>
      </c>
      <c r="BG17" s="379">
        <f>SUMIFS(BS_RE33!$H$7:$H$874,BS_RE33!$S$7:$S$874,$BG$2,BS_RE33!$N$7:$N$874,I17,BS_RE33!$P$7:$P$874,'30 days CF Table(RMB)'!G17,BS_RE33!$F$7:$F$874,'30 days CF Table(RMB)'!$C$2)</f>
        <v>0</v>
      </c>
      <c r="BH17" s="379">
        <f>SUMIFS(BS_RE33!$H$7:$H$874,BS_RE33!$S$7:$S$874,$BH$2,BS_RE33!$N$7:$N$874,I17,BS_RE33!$P$7:$P$874,'30 days CF Table(RMB)'!G17,BS_RE33!$F$7:$F$874,'30 days CF Table(RMB)'!$C$2)</f>
        <v>0</v>
      </c>
      <c r="BI17" s="379">
        <f>SUMIFS(BS_RE33!$H$7:$H$874,BS_RE33!$S$7:$S$874,$BI$2,BS_RE33!$N$7:$N$874,I17,BS_RE33!$P$7:$P$874,'30 days CF Table(RMB)'!G17,BS_RE33!$F$7:$F$874,'30 days CF Table(RMB)'!$C$2)</f>
        <v>0</v>
      </c>
      <c r="BJ17" s="379">
        <f>SUMIFS(BS_RE33!$H$7:$H$874,BS_RE33!$S$7:$S$874,$BJ$2,BS_RE33!$N$7:$N$874,I17,BS_RE33!$P$7:$P$874,'30 days CF Table(RMB)'!G17,BS_RE33!$F$7:$F$874,'30 days CF Table(RMB)'!$C$2)</f>
        <v>0</v>
      </c>
      <c r="BK17" s="379">
        <f>SUMIFS(BS_RE33!$H$7:$H$874,BS_RE33!$S$7:$S$874,$BK$2,BS_RE33!$N$7:$N$874,I17,BS_RE33!$P$7:$P$874,'30 days CF Table(RMB)'!G17,BS_RE33!$F$7:$F$874,'30 days CF Table(RMB)'!$C$2)</f>
        <v>0</v>
      </c>
    </row>
    <row r="18" spans="1:63" s="395" customFormat="1">
      <c r="A18"/>
      <c r="B18"/>
      <c r="C18" s="1029"/>
      <c r="D18" s="1028"/>
      <c r="E18" s="310" t="s">
        <v>572</v>
      </c>
      <c r="F18" s="311"/>
      <c r="G18" s="392" t="s">
        <v>574</v>
      </c>
      <c r="H18" s="130">
        <v>1</v>
      </c>
      <c r="I18" s="305" t="s">
        <v>63</v>
      </c>
      <c r="J18" s="477">
        <f t="shared" si="2"/>
        <v>0</v>
      </c>
      <c r="K18" s="335">
        <f t="shared" si="3"/>
        <v>0</v>
      </c>
      <c r="L18" s="337">
        <f>SUMIFS(BS_RE33!$H$7:$H$874,BS_RE33!$S$7:$S$874,$L$2,BS_RE33!$N$7:$N$874,I18,BS_RE33!$P$7:$P$874,'30 days CF Table(RMB)'!G18,BS_RE33!$F$7:$F$874,'30 days CF Table(RMB)'!$C$2)</f>
        <v>0</v>
      </c>
      <c r="M18" s="337">
        <f>SUMIFS(BS_RE33!$H$7:$H$874,BS_RE33!$S$7:$S$874,$M$2,BS_RE33!$N$7:$N$874,I18,BS_RE33!$P$7:$P$874,'30 days CF Table(RMB)'!G18,BS_RE33!$F$7:$F$874,'30 days CF Table(RMB)'!$C$2)</f>
        <v>0</v>
      </c>
      <c r="N18" s="337">
        <f>SUMIFS(BS_RE33!$H$7:$H$874,BS_RE33!$S$7:$S$874,$N$2,BS_RE33!$N$7:$N$874,I18,BS_RE33!$P$7:$P$874,'30 days CF Table(RMB)'!G18,BS_RE33!$F$7:$F$874,'30 days CF Table(RMB)'!$C$2)</f>
        <v>0</v>
      </c>
      <c r="O18" s="337">
        <f>SUMIFS(BS_RE33!$H$7:$H$874,BS_RE33!$S$7:$S$874,$O$2,BS_RE33!$N$7:$N$874,I18,BS_RE33!$P$7:$P$874,'30 days CF Table(RMB)'!G18,BS_RE33!$F$7:$F$874,'30 days CF Table(RMB)'!$C$2)</f>
        <v>0</v>
      </c>
      <c r="P18" s="337">
        <f>SUMIFS(BS_RE33!$H$7:$H$874,BS_RE33!$S$7:$S$874,$P$2,BS_RE33!$N$7:$N$874,I18,BS_RE33!$P$7:$P$874,'30 days CF Table(RMB)'!G18,BS_RE33!$F$7:$F$874,'30 days CF Table(RMB)'!$C$2)</f>
        <v>0</v>
      </c>
      <c r="Q18" s="337">
        <f>SUMIFS(BS_RE33!$H$7:$H$874,BS_RE33!$S$7:$S$874,$Q$2,BS_RE33!$N$7:$N$874,I18,BS_RE33!$P$7:$P$874,'30 days CF Table(RMB)'!G18,BS_RE33!$F$7:$F$874,'30 days CF Table(RMB)'!$C$2)</f>
        <v>0</v>
      </c>
      <c r="R18" s="337">
        <f>SUMIFS(BS_RE33!$H$7:$H$874,BS_RE33!$S$7:$S$874,$R$2,BS_RE33!$N$7:$N$874,I18,BS_RE33!$P$7:$P$874,'30 days CF Table(RMB)'!G18,BS_RE33!$F$7:$F$874,'30 days CF Table(RMB)'!$C$2)</f>
        <v>0</v>
      </c>
      <c r="S18" s="337">
        <f>SUMIFS(BS_RE33!$H$7:$H$874,BS_RE33!$S$7:$S$874,$S$2,BS_RE33!$N$7:$N$874,I18,BS_RE33!$P$7:$P$874,'30 days CF Table(RMB)'!G18,BS_RE33!$F$7:$F$874,'30 days CF Table(RMB)'!$C$2)</f>
        <v>0</v>
      </c>
      <c r="T18" s="337">
        <f>SUMIFS(BS_RE33!$H$7:$H$874,BS_RE33!$S$7:$S$874,$T$2,BS_RE33!$N$7:$N$874,I18,BS_RE33!$P$7:$P$874,'30 days CF Table(RMB)'!G18,BS_RE33!$F$7:$F$874,'30 days CF Table(RMB)'!$C$2)</f>
        <v>0</v>
      </c>
      <c r="U18" s="337">
        <f>SUMIFS(BS_RE33!$H$7:$H$874,BS_RE33!$S$7:$S$874,$U$2,BS_RE33!$N$7:$N$874,I18,BS_RE33!$P$7:$P$874,'30 days CF Table(RMB)'!G18,BS_RE33!$F$7:$F$874,'30 days CF Table(RMB)'!$C$2)</f>
        <v>0</v>
      </c>
      <c r="V18" s="337">
        <f>SUMIFS(BS_RE33!$H$7:$H$874,BS_RE33!$S$7:$S$874,$V$2,BS_RE33!$N$7:$N$874,I18,BS_RE33!$P$7:$P$874,'30 days CF Table(RMB)'!G18,BS_RE33!$F$7:$F$874,'30 days CF Table(RMB)'!$C$2)</f>
        <v>0</v>
      </c>
      <c r="W18" s="337">
        <f>SUMIFS(BS_RE33!$H$7:$H$874,BS_RE33!$S$7:$S$874,$W$2,BS_RE33!$N$7:$N$874,I18,BS_RE33!$P$7:$P$874,'30 days CF Table(RMB)'!G18,BS_RE33!$F$7:$F$874,'30 days CF Table(RMB)'!$C$2)</f>
        <v>0</v>
      </c>
      <c r="X18" s="337">
        <f>SUMIFS(BS_RE33!$H$7:$H$874,BS_RE33!$S$7:$S$874,$X$2,BS_RE33!$N$7:$N$874,I18,BS_RE33!$P$7:$P$874,'30 days CF Table(RMB)'!G18,BS_RE33!$F$7:$F$874,'30 days CF Table(RMB)'!$C$2)</f>
        <v>0</v>
      </c>
      <c r="Y18" s="337">
        <f>SUMIFS(BS_RE33!$H$7:$H$874,BS_RE33!$S$7:$S$874,$Y$2,BS_RE33!$N$7:$N$874,I18,BS_RE33!$P$7:$P$874,'30 days CF Table(RMB)'!G18,BS_RE33!$F$7:$F$874,'30 days CF Table(RMB)'!$C$2)</f>
        <v>0</v>
      </c>
      <c r="Z18" s="337">
        <f>SUMIFS(BS_RE33!$H$7:$H$874,BS_RE33!$S$7:$S$874,$Z$2,BS_RE33!$N$7:$N$874,I18,BS_RE33!$P$7:$P$874,'30 days CF Table(RMB)'!G18,BS_RE33!$F$7:$F$874,'30 days CF Table(RMB)'!$C$2)</f>
        <v>0</v>
      </c>
      <c r="AA18" s="337">
        <f>SUMIFS(BS_RE33!$H$7:$H$874,BS_RE33!$S$7:$S$874,$AA$2,BS_RE33!$N$7:$N$874,I18,BS_RE33!$P$7:$P$874,'30 days CF Table(RMB)'!G18,BS_RE33!$F$7:$F$874,'30 days CF Table(RMB)'!$C$2)</f>
        <v>0</v>
      </c>
      <c r="AB18" s="337">
        <f>SUMIFS(BS_RE33!$H$7:$H$874,BS_RE33!$S$7:$S$874,$AB$2,BS_RE33!$N$7:$N$874,I18,BS_RE33!$P$7:$P$874,'30 days CF Table(RMB)'!G18,BS_RE33!$F$7:$F$874,'30 days CF Table(RMB)'!$C$2)</f>
        <v>0</v>
      </c>
      <c r="AC18" s="337">
        <f>SUMIFS(BS_RE33!$H$7:$H$874,BS_RE33!$S$7:$S$874,$AC$2,BS_RE33!$N$7:$N$874,I18,BS_RE33!$P$7:$P$874,'30 days CF Table(RMB)'!G18,BS_RE33!$F$7:$F$874,'30 days CF Table(RMB)'!$C$2)</f>
        <v>0</v>
      </c>
      <c r="AD18" s="337">
        <f>SUMIFS(BS_RE33!$H$7:$H$874,BS_RE33!$S$7:$S$874,$AD$2,BS_RE33!$N$7:$N$874,I18,BS_RE33!$P$7:$P$874,'30 days CF Table(RMB)'!G18,BS_RE33!$F$7:$F$874,'30 days CF Table(RMB)'!$C$2)</f>
        <v>0</v>
      </c>
      <c r="AE18" s="337">
        <f>SUMIFS(BS_RE33!$H$7:$H$874,BS_RE33!$S$7:$S$874,$AE$2,BS_RE33!$N$7:$N$874,I18,BS_RE33!$P$7:$P$874,'30 days CF Table(RMB)'!G18,BS_RE33!$F$7:$F$874,'30 days CF Table(RMB)'!$C$2)</f>
        <v>0</v>
      </c>
      <c r="AF18" s="337">
        <f>SUMIFS(BS_RE33!$H$7:$H$874,BS_RE33!$S$7:$S$874,$AF$2,BS_RE33!$N$7:$N$874,I18,BS_RE33!$P$7:$P$874,'30 days CF Table(RMB)'!G18,BS_RE33!$F$7:$F$874,'30 days CF Table(RMB)'!$C$2)</f>
        <v>0</v>
      </c>
      <c r="AG18" s="337">
        <f>SUMIFS(BS_RE33!$H$7:$H$874,BS_RE33!$S$7:$S$874,$AG$2,BS_RE33!$N$7:$N$874,I18,BS_RE33!$P$7:$P$874,'30 days CF Table(RMB)'!G18,BS_RE33!$F$7:$F$874,'30 days CF Table(RMB)'!$C$2)</f>
        <v>0</v>
      </c>
      <c r="AH18" s="337">
        <f>SUMIFS(BS_RE33!$H$7:$H$874,BS_RE33!$S$7:$S$874,$AH$2,BS_RE33!$N$7:$N$874,I18,BS_RE33!$P$7:$P$874,'30 days CF Table(RMB)'!G18,BS_RE33!$F$7:$F$874,'30 days CF Table(RMB)'!$C$2)</f>
        <v>0</v>
      </c>
      <c r="AI18" s="337">
        <f>SUMIFS(BS_RE33!$H$7:$H$874,BS_RE33!$S$7:$S$874,$AI$2,BS_RE33!$N$7:$N$874,I18,BS_RE33!$P$7:$P$874,'30 days CF Table(RMB)'!G18,BS_RE33!$F$7:$F$874,'30 days CF Table(RMB)'!$C$2)</f>
        <v>0</v>
      </c>
      <c r="AJ18" s="337">
        <f>SUMIFS(BS_RE33!$H$7:$H$874,BS_RE33!$S$7:$S$874,$AJ$2,BS_RE33!$N$7:$N$874,I18,BS_RE33!$P$7:$P$874,'30 days CF Table(RMB)'!G18,BS_RE33!$F$7:$F$874,'30 days CF Table(RMB)'!$C$2)</f>
        <v>0</v>
      </c>
      <c r="AK18" s="337">
        <f>SUMIFS(BS_RE33!$H$7:$H$874,BS_RE33!$S$7:$S$874,$AK$2,BS_RE33!$N$7:$N$874,I18,BS_RE33!$P$7:$P$874,'30 days CF Table(RMB)'!G18,BS_RE33!$F$7:$F$874,'30 days CF Table(RMB)'!$C$2)</f>
        <v>0</v>
      </c>
      <c r="AL18" s="337">
        <f>SUMIFS(BS_RE33!$H$7:$H$874,BS_RE33!$S$7:$S$874,$AL$2,BS_RE33!$N$7:$N$874,I18,BS_RE33!$P$7:$P$874,'30 days CF Table(RMB)'!G18,BS_RE33!$F$7:$F$874,'30 days CF Table(RMB)'!$C$2)</f>
        <v>0</v>
      </c>
      <c r="AM18" s="337">
        <f>SUMIFS(BS_RE33!$H$7:$H$874,BS_RE33!$S$7:$S$874,$AM$2,BS_RE33!$N$7:$N$874,I18,BS_RE33!$P$7:$P$874,'30 days CF Table(RMB)'!G18,BS_RE33!$F$7:$F$874,'30 days CF Table(RMB)'!$C$2)</f>
        <v>0</v>
      </c>
      <c r="AN18" s="337">
        <f>SUMIFS(BS_RE33!$H$7:$H$874,BS_RE33!$S$7:$S$874,$AN$2,BS_RE33!$N$7:$N$874,I18,BS_RE33!$P$7:$P$874,'30 days CF Table(RMB)'!G18,BS_RE33!$F$7:$F$874,'30 days CF Table(RMB)'!$C$2)</f>
        <v>0</v>
      </c>
      <c r="AO18" s="337">
        <f>SUMIFS(BS_RE33!$H$7:$H$874,BS_RE33!$S$7:$S$874,$AO$2,BS_RE33!$N$7:$N$874,I18,BS_RE33!$P$7:$P$874,'30 days CF Table(RMB)'!G18,BS_RE33!$F$7:$F$874,'30 days CF Table(RMB)'!$C$2)</f>
        <v>0</v>
      </c>
      <c r="AP18" s="338">
        <f>SUMIFS(BS_RE33!$H$7:$H$874,BS_RE33!$S$7:$S$874,$AP$2,BS_RE33!$N$7:$N$874,I18,BS_RE33!$P$7:$P$874,'30 days CF Table(RMB)'!G18,BS_RE33!$F$7:$F$874,'30 days CF Table(RMB)'!$C$2)</f>
        <v>0</v>
      </c>
      <c r="AQ18" s="545"/>
      <c r="AR18" s="379">
        <f>SUMIFS(BS_RE33!$H$7:$H$874,BS_RE33!$S$7:$S$874,$AR$2,BS_RE33!$N$7:$N$874,I18,BS_RE33!$P$7:$P$874,'30 days CF Table(RMB)'!G18,BS_RE33!$F$7:$F$874,'30 days CF Table(RMB)'!$C$2)</f>
        <v>0</v>
      </c>
      <c r="AS18" s="379">
        <f>SUMIFS(BS_RE33!$H$7:$H$874,BS_RE33!$S$7:$S$874,$AS$2,BS_RE33!$N$7:$N$874,I18,BS_RE33!$P$7:$P$874,'30 days CF Table(RMB)'!G18,BS_RE33!$F$7:$F$874,'30 days CF Table(RMB)'!$C$2)</f>
        <v>0</v>
      </c>
      <c r="AT18" s="379">
        <f>SUMIFS(BS_RE33!$H$7:$H$874,BS_RE33!$S$7:$S$874,$AT$2,BS_RE33!$N$7:$N$874,I18,BS_RE33!$P$7:$P$874,'30 days CF Table(RMB)'!G18,BS_RE33!$F$7:$F$874,'30 days CF Table(RMB)'!$C$2)</f>
        <v>0</v>
      </c>
      <c r="AU18" s="379">
        <f>SUMIFS(BS_RE33!$H$7:$H$874,BS_RE33!$S$7:$S$874,$AU$2,BS_RE33!$N$7:$N$874,I18,BS_RE33!$P$7:$P$874,'30 days CF Table(RMB)'!G18,BS_RE33!$F$7:$F$874,'30 days CF Table(RMB)'!$C$2)</f>
        <v>0</v>
      </c>
      <c r="AV18" s="379">
        <f>SUMIFS(BS_RE33!$H$7:$H$874,BS_RE33!$S$7:$S$874,$AV$2,BS_RE33!$N$7:$N$874,I18,BS_RE33!$P$7:$P$874,'30 days CF Table(RMB)'!G18,BS_RE33!$F$7:$F$874,'30 days CF Table(RMB)'!$C$2)</f>
        <v>0</v>
      </c>
      <c r="AW18" s="379">
        <f>SUMIFS(BS_RE33!$H$7:$H$874,BS_RE33!$S$7:$S$874,$AW$2,BS_RE33!$N$7:$N$874,I18,BS_RE33!$P$7:$P$874,'30 days CF Table(RMB)'!G18,BS_RE33!$F$7:$F$874,'30 days CF Table(RMB)'!$C$2)</f>
        <v>0</v>
      </c>
      <c r="AX18" s="379">
        <f>SUMIFS(BS_RE33!$H$7:$H$874,BS_RE33!$S$7:$S$874,$AX$2,BS_RE33!$N$7:$N$874,I18,BS_RE33!$P$7:$P$874,'30 days CF Table(RMB)'!G18,BS_RE33!$F$7:$F$874,'30 days CF Table(RMB)'!$C$2)</f>
        <v>0</v>
      </c>
      <c r="AY18" s="379">
        <f>SUMIFS(BS_RE33!$H$7:$H$874,BS_RE33!$S$7:$S$874,$AY$2,BS_RE33!$N$7:$N$874,I18,BS_RE33!$P$7:$P$874,'30 days CF Table(RMB)'!G18,BS_RE33!$F$7:$F$874,'30 days CF Table(RMB)'!$C$2)</f>
        <v>0</v>
      </c>
      <c r="AZ18" s="379">
        <f>SUMIFS(BS_RE33!$H$7:$H$874,BS_RE33!$S$7:$S$874,$AZ$2,BS_RE33!$N$7:$N$874,I18,BS_RE33!$P$7:$P$874,'30 days CF Table(RMB)'!G18,BS_RE33!$F$7:$F$874,'30 days CF Table(RMB)'!$C$2)</f>
        <v>0</v>
      </c>
      <c r="BA18" s="379">
        <f>SUMIFS(BS_RE33!$H$7:$H$874,BS_RE33!$S$7:$S$874,$BA$2,BS_RE33!$N$7:$N$874,I18,BS_RE33!$P$7:$P$874,'30 days CF Table(RMB)'!G18,BS_RE33!$F$7:$F$874,'30 days CF Table(RMB)'!$C$2)</f>
        <v>0</v>
      </c>
      <c r="BB18" s="379">
        <f>SUMIFS(BS_RE33!$H$7:$H$874,BS_RE33!$S$7:$S$874,$BB$2,BS_RE33!$N$7:$N$874,I18,BS_RE33!$P$7:$P$874,'30 days CF Table(RMB)'!G18,BS_RE33!$F$7:$F$874,'30 days CF Table(RMB)'!$C$2)</f>
        <v>0</v>
      </c>
      <c r="BC18" s="379">
        <f>SUMIFS(BS_RE33!$H$7:$H$874,BS_RE33!$S$7:$S$874,$BC$2,BS_RE33!$N$7:$N$874,I18,BS_RE33!$P$7:$P$874,'30 days CF Table(RMB)'!G18,BS_RE33!$F$7:$F$874,'30 days CF Table(RMB)'!$C$2)</f>
        <v>0</v>
      </c>
      <c r="BD18" s="379">
        <f>SUMIFS(BS_RE33!$H$7:$H$874,BS_RE33!$S$7:$S$874,$BD$2,BS_RE33!$N$7:$N$874,I18,BS_RE33!$P$7:$P$874,'30 days CF Table(RMB)'!G18,BS_RE33!$F$7:$F$874,'30 days CF Table(RMB)'!$C$2)</f>
        <v>0</v>
      </c>
      <c r="BE18" s="379">
        <f>SUMIFS(BS_RE33!$H$7:$H$874,BS_RE33!$S$7:$S$874,$BE$2,BS_RE33!$N$7:$N$874,I18,BS_RE33!$P$7:$P$874,'30 days CF Table(RMB)'!G18,BS_RE33!$F$7:$F$874,'30 days CF Table(RMB)'!$C$2)</f>
        <v>0</v>
      </c>
      <c r="BF18" s="379">
        <f>SUMIFS(BS_RE33!$H$7:$H$874,BS_RE33!$S$7:$S$874,$BF$2,BS_RE33!$N$7:$N$874,I18,BS_RE33!$P$7:$P$874,'30 days CF Table(RMB)'!G18,BS_RE33!$F$7:$F$874,'30 days CF Table(RMB)'!$C$2)</f>
        <v>0</v>
      </c>
      <c r="BG18" s="379">
        <f>SUMIFS(BS_RE33!$H$7:$H$874,BS_RE33!$S$7:$S$874,$BG$2,BS_RE33!$N$7:$N$874,I18,BS_RE33!$P$7:$P$874,'30 days CF Table(RMB)'!G18,BS_RE33!$F$7:$F$874,'30 days CF Table(RMB)'!$C$2)</f>
        <v>0</v>
      </c>
      <c r="BH18" s="379">
        <f>SUMIFS(BS_RE33!$H$7:$H$874,BS_RE33!$S$7:$S$874,$BH$2,BS_RE33!$N$7:$N$874,I18,BS_RE33!$P$7:$P$874,'30 days CF Table(RMB)'!G18,BS_RE33!$F$7:$F$874,'30 days CF Table(RMB)'!$C$2)</f>
        <v>0</v>
      </c>
      <c r="BI18" s="379">
        <f>SUMIFS(BS_RE33!$H$7:$H$874,BS_RE33!$S$7:$S$874,$BI$2,BS_RE33!$N$7:$N$874,I18,BS_RE33!$P$7:$P$874,'30 days CF Table(RMB)'!G18,BS_RE33!$F$7:$F$874,'30 days CF Table(RMB)'!$C$2)</f>
        <v>0</v>
      </c>
      <c r="BJ18" s="379">
        <f>SUMIFS(BS_RE33!$H$7:$H$874,BS_RE33!$S$7:$S$874,$BJ$2,BS_RE33!$N$7:$N$874,I18,BS_RE33!$P$7:$P$874,'30 days CF Table(RMB)'!G18,BS_RE33!$F$7:$F$874,'30 days CF Table(RMB)'!$C$2)</f>
        <v>0</v>
      </c>
      <c r="BK18" s="379">
        <f>SUMIFS(BS_RE33!$H$7:$H$874,BS_RE33!$S$7:$S$874,$BK$2,BS_RE33!$N$7:$N$874,I18,BS_RE33!$P$7:$P$874,'30 days CF Table(RMB)'!G18,BS_RE33!$F$7:$F$874,'30 days CF Table(RMB)'!$C$2)</f>
        <v>0</v>
      </c>
    </row>
    <row r="19" spans="1:63">
      <c r="C19" s="1029"/>
      <c r="D19" s="1028"/>
      <c r="E19" s="310" t="s">
        <v>71</v>
      </c>
      <c r="F19" s="309"/>
      <c r="G19" s="392" t="s">
        <v>507</v>
      </c>
      <c r="H19" s="168">
        <v>0</v>
      </c>
      <c r="I19" s="307" t="s">
        <v>167</v>
      </c>
      <c r="J19" s="478">
        <f t="shared" si="2"/>
        <v>0</v>
      </c>
      <c r="K19" s="547">
        <f t="shared" si="3"/>
        <v>0</v>
      </c>
      <c r="L19" s="548">
        <f>SUMIFS(BS_RE33!$H$7:$H$874,BS_RE33!$S$7:$S$874,$L$2,BS_RE33!$N$7:$N$874,I19,BS_RE33!$P$7:$P$874,'30 days CF Table(RMB)'!G19,BS_RE33!$F$7:$F$874,'30 days CF Table(RMB)'!$C$2)</f>
        <v>0</v>
      </c>
      <c r="M19" s="548">
        <f>SUMIFS(BS_RE33!$H$7:$H$874,BS_RE33!$S$7:$S$874,$M$2,BS_RE33!$N$7:$N$874,I19,BS_RE33!$P$7:$P$874,'30 days CF Table(RMB)'!G19,BS_RE33!$F$7:$F$874,'30 days CF Table(RMB)'!$C$2)</f>
        <v>0</v>
      </c>
      <c r="N19" s="548">
        <f>SUMIFS(BS_RE33!$H$7:$H$874,BS_RE33!$S$7:$S$874,$N$2,BS_RE33!$N$7:$N$874,I19,BS_RE33!$P$7:$P$874,'30 days CF Table(RMB)'!G19,BS_RE33!$F$7:$F$874,'30 days CF Table(RMB)'!$C$2)</f>
        <v>0</v>
      </c>
      <c r="O19" s="548">
        <f>SUMIFS(BS_RE33!$H$7:$H$874,BS_RE33!$S$7:$S$874,$O$2,BS_RE33!$N$7:$N$874,I19,BS_RE33!$P$7:$P$874,'30 days CF Table(RMB)'!G19,BS_RE33!$F$7:$F$874,'30 days CF Table(RMB)'!$C$2)</f>
        <v>0</v>
      </c>
      <c r="P19" s="548">
        <f>SUMIFS(BS_RE33!$H$7:$H$874,BS_RE33!$S$7:$S$874,$P$2,BS_RE33!$N$7:$N$874,I19,BS_RE33!$P$7:$P$874,'30 days CF Table(RMB)'!G19,BS_RE33!$F$7:$F$874,'30 days CF Table(RMB)'!$C$2)</f>
        <v>0</v>
      </c>
      <c r="Q19" s="548">
        <f>SUMIFS(BS_RE33!$H$7:$H$874,BS_RE33!$S$7:$S$874,$Q$2,BS_RE33!$N$7:$N$874,I19,BS_RE33!$P$7:$P$874,'30 days CF Table(RMB)'!G19,BS_RE33!$F$7:$F$874,'30 days CF Table(RMB)'!$C$2)</f>
        <v>0</v>
      </c>
      <c r="R19" s="548">
        <f>SUMIFS(BS_RE33!$H$7:$H$874,BS_RE33!$S$7:$S$874,$R$2,BS_RE33!$N$7:$N$874,I19,BS_RE33!$P$7:$P$874,'30 days CF Table(RMB)'!G19,BS_RE33!$F$7:$F$874,'30 days CF Table(RMB)'!$C$2)</f>
        <v>0</v>
      </c>
      <c r="S19" s="548">
        <f>SUMIFS(BS_RE33!$H$7:$H$874,BS_RE33!$S$7:$S$874,$S$2,BS_RE33!$N$7:$N$874,I19,BS_RE33!$P$7:$P$874,'30 days CF Table(RMB)'!G19,BS_RE33!$F$7:$F$874,'30 days CF Table(RMB)'!$C$2)</f>
        <v>0</v>
      </c>
      <c r="T19" s="548">
        <f>SUMIFS(BS_RE33!$H$7:$H$874,BS_RE33!$S$7:$S$874,$T$2,BS_RE33!$N$7:$N$874,I19,BS_RE33!$P$7:$P$874,'30 days CF Table(RMB)'!G19,BS_RE33!$F$7:$F$874,'30 days CF Table(RMB)'!$C$2)</f>
        <v>0</v>
      </c>
      <c r="U19" s="548">
        <f>SUMIFS(BS_RE33!$H$7:$H$874,BS_RE33!$S$7:$S$874,$U$2,BS_RE33!$N$7:$N$874,I19,BS_RE33!$P$7:$P$874,'30 days CF Table(RMB)'!G19,BS_RE33!$F$7:$F$874,'30 days CF Table(RMB)'!$C$2)</f>
        <v>0</v>
      </c>
      <c r="V19" s="548">
        <f>SUMIFS(BS_RE33!$H$7:$H$874,BS_RE33!$S$7:$S$874,$V$2,BS_RE33!$N$7:$N$874,I19,BS_RE33!$P$7:$P$874,'30 days CF Table(RMB)'!G19,BS_RE33!$F$7:$F$874,'30 days CF Table(RMB)'!$C$2)</f>
        <v>0</v>
      </c>
      <c r="W19" s="548">
        <f>SUMIFS(BS_RE33!$H$7:$H$874,BS_RE33!$S$7:$S$874,$W$2,BS_RE33!$N$7:$N$874,I19,BS_RE33!$P$7:$P$874,'30 days CF Table(RMB)'!G19,BS_RE33!$F$7:$F$874,'30 days CF Table(RMB)'!$C$2)</f>
        <v>0</v>
      </c>
      <c r="X19" s="548">
        <f>SUMIFS(BS_RE33!$H$7:$H$874,BS_RE33!$S$7:$S$874,$X$2,BS_RE33!$N$7:$N$874,I19,BS_RE33!$P$7:$P$874,'30 days CF Table(RMB)'!G19,BS_RE33!$F$7:$F$874,'30 days CF Table(RMB)'!$C$2)</f>
        <v>0</v>
      </c>
      <c r="Y19" s="548">
        <f>SUMIFS(BS_RE33!$H$7:$H$874,BS_RE33!$S$7:$S$874,$Y$2,BS_RE33!$N$7:$N$874,I19,BS_RE33!$P$7:$P$874,'30 days CF Table(RMB)'!G19,BS_RE33!$F$7:$F$874,'30 days CF Table(RMB)'!$C$2)</f>
        <v>0</v>
      </c>
      <c r="Z19" s="548">
        <f>SUMIFS(BS_RE33!$H$7:$H$874,BS_RE33!$S$7:$S$874,$Z$2,BS_RE33!$N$7:$N$874,I19,BS_RE33!$P$7:$P$874,'30 days CF Table(RMB)'!G19,BS_RE33!$F$7:$F$874,'30 days CF Table(RMB)'!$C$2)</f>
        <v>0</v>
      </c>
      <c r="AA19" s="548">
        <f>SUMIFS(BS_RE33!$H$7:$H$874,BS_RE33!$S$7:$S$874,$AA$2,BS_RE33!$N$7:$N$874,I19,BS_RE33!$P$7:$P$874,'30 days CF Table(RMB)'!G19,BS_RE33!$F$7:$F$874,'30 days CF Table(RMB)'!$C$2)</f>
        <v>0</v>
      </c>
      <c r="AB19" s="548">
        <f>SUMIFS(BS_RE33!$H$7:$H$874,BS_RE33!$S$7:$S$874,$AB$2,BS_RE33!$N$7:$N$874,I19,BS_RE33!$P$7:$P$874,'30 days CF Table(RMB)'!G19,BS_RE33!$F$7:$F$874,'30 days CF Table(RMB)'!$C$2)</f>
        <v>0</v>
      </c>
      <c r="AC19" s="548">
        <f>SUMIFS(BS_RE33!$H$7:$H$874,BS_RE33!$S$7:$S$874,$AC$2,BS_RE33!$N$7:$N$874,I19,BS_RE33!$P$7:$P$874,'30 days CF Table(RMB)'!G19,BS_RE33!$F$7:$F$874,'30 days CF Table(RMB)'!$C$2)</f>
        <v>0</v>
      </c>
      <c r="AD19" s="548">
        <f>SUMIFS(BS_RE33!$H$7:$H$874,BS_RE33!$S$7:$S$874,$AD$2,BS_RE33!$N$7:$N$874,I19,BS_RE33!$P$7:$P$874,'30 days CF Table(RMB)'!G19,BS_RE33!$F$7:$F$874,'30 days CF Table(RMB)'!$C$2)</f>
        <v>0</v>
      </c>
      <c r="AE19" s="548">
        <f>SUMIFS(BS_RE33!$H$7:$H$874,BS_RE33!$S$7:$S$874,$AE$2,BS_RE33!$N$7:$N$874,I19,BS_RE33!$P$7:$P$874,'30 days CF Table(RMB)'!G19,BS_RE33!$F$7:$F$874,'30 days CF Table(RMB)'!$C$2)</f>
        <v>0</v>
      </c>
      <c r="AF19" s="548">
        <f>SUMIFS(BS_RE33!$H$7:$H$874,BS_RE33!$S$7:$S$874,$AF$2,BS_RE33!$N$7:$N$874,I19,BS_RE33!$P$7:$P$874,'30 days CF Table(RMB)'!G19,BS_RE33!$F$7:$F$874,'30 days CF Table(RMB)'!$C$2)</f>
        <v>0</v>
      </c>
      <c r="AG19" s="548">
        <f>SUMIFS(BS_RE33!$H$7:$H$874,BS_RE33!$S$7:$S$874,$AG$2,BS_RE33!$N$7:$N$874,I19,BS_RE33!$P$7:$P$874,'30 days CF Table(RMB)'!G19,BS_RE33!$F$7:$F$874,'30 days CF Table(RMB)'!$C$2)</f>
        <v>0</v>
      </c>
      <c r="AH19" s="548">
        <f>SUMIFS(BS_RE33!$H$7:$H$874,BS_RE33!$S$7:$S$874,$AH$2,BS_RE33!$N$7:$N$874,I19,BS_RE33!$P$7:$P$874,'30 days CF Table(RMB)'!G19,BS_RE33!$F$7:$F$874,'30 days CF Table(RMB)'!$C$2)</f>
        <v>0</v>
      </c>
      <c r="AI19" s="548">
        <f>SUMIFS(BS_RE33!$H$7:$H$874,BS_RE33!$S$7:$S$874,$AI$2,BS_RE33!$N$7:$N$874,I19,BS_RE33!$P$7:$P$874,'30 days CF Table(RMB)'!G19,BS_RE33!$F$7:$F$874,'30 days CF Table(RMB)'!$C$2)</f>
        <v>0</v>
      </c>
      <c r="AJ19" s="548">
        <f>SUMIFS(BS_RE33!$H$7:$H$874,BS_RE33!$S$7:$S$874,$AJ$2,BS_RE33!$N$7:$N$874,I19,BS_RE33!$P$7:$P$874,'30 days CF Table(RMB)'!G19,BS_RE33!$F$7:$F$874,'30 days CF Table(RMB)'!$C$2)</f>
        <v>0</v>
      </c>
      <c r="AK19" s="548">
        <f>SUMIFS(BS_RE33!$H$7:$H$874,BS_RE33!$S$7:$S$874,$AK$2,BS_RE33!$N$7:$N$874,I19,BS_RE33!$P$7:$P$874,'30 days CF Table(RMB)'!G19,BS_RE33!$F$7:$F$874,'30 days CF Table(RMB)'!$C$2)</f>
        <v>0</v>
      </c>
      <c r="AL19" s="548">
        <f>SUMIFS(BS_RE33!$H$7:$H$874,BS_RE33!$S$7:$S$874,$AL$2,BS_RE33!$N$7:$N$874,I19,BS_RE33!$P$7:$P$874,'30 days CF Table(RMB)'!G19,BS_RE33!$F$7:$F$874,'30 days CF Table(RMB)'!$C$2)</f>
        <v>0</v>
      </c>
      <c r="AM19" s="548">
        <f>SUMIFS(BS_RE33!$H$7:$H$874,BS_RE33!$S$7:$S$874,$AM$2,BS_RE33!$N$7:$N$874,I19,BS_RE33!$P$7:$P$874,'30 days CF Table(RMB)'!G19,BS_RE33!$F$7:$F$874,'30 days CF Table(RMB)'!$C$2)</f>
        <v>0</v>
      </c>
      <c r="AN19" s="548">
        <f>SUMIFS(BS_RE33!$H$7:$H$874,BS_RE33!$S$7:$S$874,$AN$2,BS_RE33!$N$7:$N$874,I19,BS_RE33!$P$7:$P$874,'30 days CF Table(RMB)'!G19,BS_RE33!$F$7:$F$874,'30 days CF Table(RMB)'!$C$2)</f>
        <v>0</v>
      </c>
      <c r="AO19" s="548">
        <f>SUMIFS(BS_RE33!$H$7:$H$874,BS_RE33!$S$7:$S$874,$AO$2,BS_RE33!$N$7:$N$874,I19,BS_RE33!$P$7:$P$874,'30 days CF Table(RMB)'!G19,BS_RE33!$F$7:$F$874,'30 days CF Table(RMB)'!$C$2)</f>
        <v>0</v>
      </c>
      <c r="AP19" s="549">
        <f>SUMIFS(BS_RE33!$H$7:$H$874,BS_RE33!$S$7:$S$874,$AP$2,BS_RE33!$N$7:$N$874,I19,BS_RE33!$P$7:$P$874,'30 days CF Table(RMB)'!G19,BS_RE33!$F$7:$F$874,'30 days CF Table(RMB)'!$C$2)</f>
        <v>0</v>
      </c>
      <c r="AQ19" s="550"/>
      <c r="AR19" s="380">
        <f>SUMIFS(BS_RE33!$H$7:$H$874,BS_RE33!$S$7:$S$874,$AR$2,BS_RE33!$N$7:$N$874,I19,BS_RE33!$P$7:$P$874,'30 days CF Table(RMB)'!G19,BS_RE33!$F$7:$F$874,'30 days CF Table(RMB)'!$C$2)</f>
        <v>0</v>
      </c>
      <c r="AS19" s="380">
        <f>SUMIFS(BS_RE33!$H$7:$H$874,BS_RE33!$S$7:$S$874,$AS$2,BS_RE33!$N$7:$N$874,I19,BS_RE33!$P$7:$P$874,'30 days CF Table(RMB)'!G19,BS_RE33!$F$7:$F$874,'30 days CF Table(RMB)'!$C$2)</f>
        <v>0</v>
      </c>
      <c r="AT19" s="380">
        <f>SUMIFS(BS_RE33!$H$7:$H$874,BS_RE33!$S$7:$S$874,$AT$2,BS_RE33!$N$7:$N$874,I19,BS_RE33!$P$7:$P$874,'30 days CF Table(RMB)'!G19,BS_RE33!$F$7:$F$874,'30 days CF Table(RMB)'!$C$2)</f>
        <v>0</v>
      </c>
      <c r="AU19" s="380">
        <f>SUMIFS(BS_RE33!$H$7:$H$874,BS_RE33!$S$7:$S$874,$AU$2,BS_RE33!$N$7:$N$874,I19,BS_RE33!$P$7:$P$874,'30 days CF Table(RMB)'!G19,BS_RE33!$F$7:$F$874,'30 days CF Table(RMB)'!$C$2)</f>
        <v>0</v>
      </c>
      <c r="AV19" s="380">
        <f>SUMIFS(BS_RE33!$H$7:$H$874,BS_RE33!$S$7:$S$874,$AV$2,BS_RE33!$N$7:$N$874,I19,BS_RE33!$P$7:$P$874,'30 days CF Table(RMB)'!G19,BS_RE33!$F$7:$F$874,'30 days CF Table(RMB)'!$C$2)</f>
        <v>0</v>
      </c>
      <c r="AW19" s="380">
        <f>SUMIFS(BS_RE33!$H$7:$H$874,BS_RE33!$S$7:$S$874,$AW$2,BS_RE33!$N$7:$N$874,I19,BS_RE33!$P$7:$P$874,'30 days CF Table(RMB)'!G19,BS_RE33!$F$7:$F$874,'30 days CF Table(RMB)'!$C$2)</f>
        <v>0</v>
      </c>
      <c r="AX19" s="380">
        <f>SUMIFS(BS_RE33!$H$7:$H$874,BS_RE33!$S$7:$S$874,$AX$2,BS_RE33!$N$7:$N$874,I19,BS_RE33!$P$7:$P$874,'30 days CF Table(RMB)'!G19,BS_RE33!$F$7:$F$874,'30 days CF Table(RMB)'!$C$2)</f>
        <v>0</v>
      </c>
      <c r="AY19" s="380">
        <f>SUMIFS(BS_RE33!$H$7:$H$874,BS_RE33!$S$7:$S$874,$AY$2,BS_RE33!$N$7:$N$874,I19,BS_RE33!$P$7:$P$874,'30 days CF Table(RMB)'!G19,BS_RE33!$F$7:$F$874,'30 days CF Table(RMB)'!$C$2)</f>
        <v>0</v>
      </c>
      <c r="AZ19" s="380">
        <f>SUMIFS(BS_RE33!$H$7:$H$874,BS_RE33!$S$7:$S$874,$AZ$2,BS_RE33!$N$7:$N$874,I19,BS_RE33!$P$7:$P$874,'30 days CF Table(RMB)'!G19,BS_RE33!$F$7:$F$874,'30 days CF Table(RMB)'!$C$2)</f>
        <v>0</v>
      </c>
      <c r="BA19" s="380">
        <f>SUMIFS(BS_RE33!$H$7:$H$874,BS_RE33!$S$7:$S$874,$BA$2,BS_RE33!$N$7:$N$874,I19,BS_RE33!$P$7:$P$874,'30 days CF Table(RMB)'!G19,BS_RE33!$F$7:$F$874,'30 days CF Table(RMB)'!$C$2)</f>
        <v>0</v>
      </c>
      <c r="BB19" s="380">
        <f>SUMIFS(BS_RE33!$H$7:$H$874,BS_RE33!$S$7:$S$874,$BB$2,BS_RE33!$N$7:$N$874,I19,BS_RE33!$P$7:$P$874,'30 days CF Table(RMB)'!G19,BS_RE33!$F$7:$F$874,'30 days CF Table(RMB)'!$C$2)</f>
        <v>0</v>
      </c>
      <c r="BC19" s="380">
        <f>SUMIFS(BS_RE33!$H$7:$H$874,BS_RE33!$S$7:$S$874,$BC$2,BS_RE33!$N$7:$N$874,I19,BS_RE33!$P$7:$P$874,'30 days CF Table(RMB)'!G19,BS_RE33!$F$7:$F$874,'30 days CF Table(RMB)'!$C$2)</f>
        <v>0</v>
      </c>
      <c r="BD19" s="380">
        <f>SUMIFS(BS_RE33!$H$7:$H$874,BS_RE33!$S$7:$S$874,$BD$2,BS_RE33!$N$7:$N$874,I19,BS_RE33!$P$7:$P$874,'30 days CF Table(RMB)'!G19,BS_RE33!$F$7:$F$874,'30 days CF Table(RMB)'!$C$2)</f>
        <v>0</v>
      </c>
      <c r="BE19" s="380">
        <f>SUMIFS(BS_RE33!$H$7:$H$874,BS_RE33!$S$7:$S$874,$BE$2,BS_RE33!$N$7:$N$874,I19,BS_RE33!$P$7:$P$874,'30 days CF Table(RMB)'!G19,BS_RE33!$F$7:$F$874,'30 days CF Table(RMB)'!$C$2)</f>
        <v>0</v>
      </c>
      <c r="BF19" s="380">
        <f>SUMIFS(BS_RE33!$H$7:$H$874,BS_RE33!$S$7:$S$874,$BF$2,BS_RE33!$N$7:$N$874,I19,BS_RE33!$P$7:$P$874,'30 days CF Table(RMB)'!G19,BS_RE33!$F$7:$F$874,'30 days CF Table(RMB)'!$C$2)</f>
        <v>0</v>
      </c>
      <c r="BG19" s="380">
        <f>SUMIFS(BS_RE33!$H$7:$H$874,BS_RE33!$S$7:$S$874,$BG$2,BS_RE33!$N$7:$N$874,I19,BS_RE33!$P$7:$P$874,'30 days CF Table(RMB)'!G19,BS_RE33!$F$7:$F$874,'30 days CF Table(RMB)'!$C$2)</f>
        <v>0</v>
      </c>
      <c r="BH19" s="380">
        <f>SUMIFS(BS_RE33!$H$7:$H$874,BS_RE33!$S$7:$S$874,$BH$2,BS_RE33!$N$7:$N$874,I19,BS_RE33!$P$7:$P$874,'30 days CF Table(RMB)'!G19,BS_RE33!$F$7:$F$874,'30 days CF Table(RMB)'!$C$2)</f>
        <v>0</v>
      </c>
      <c r="BI19" s="380">
        <f>SUMIFS(BS_RE33!$H$7:$H$874,BS_RE33!$S$7:$S$874,$BI$2,BS_RE33!$N$7:$N$874,I19,BS_RE33!$P$7:$P$874,'30 days CF Table(RMB)'!G19,BS_RE33!$F$7:$F$874,'30 days CF Table(RMB)'!$C$2)</f>
        <v>0</v>
      </c>
      <c r="BJ19" s="380">
        <f>SUMIFS(BS_RE33!$H$7:$H$874,BS_RE33!$S$7:$S$874,$BJ$2,BS_RE33!$N$7:$N$874,I19,BS_RE33!$P$7:$P$874,'30 days CF Table(RMB)'!G19,BS_RE33!$F$7:$F$874,'30 days CF Table(RMB)'!$C$2)</f>
        <v>0</v>
      </c>
      <c r="BK19" s="380">
        <f>SUMIFS(BS_RE33!$H$7:$H$874,BS_RE33!$S$7:$S$874,$BK$2,BS_RE33!$N$7:$N$874,I19,BS_RE33!$P$7:$P$874,'30 days CF Table(RMB)'!G19,BS_RE33!$F$7:$F$874,'30 days CF Table(RMB)'!$C$2)</f>
        <v>0</v>
      </c>
    </row>
    <row r="20" spans="1:63">
      <c r="C20" s="1029"/>
      <c r="D20" s="1028"/>
      <c r="E20" s="310" t="s">
        <v>73</v>
      </c>
      <c r="F20" s="311"/>
      <c r="G20" s="392" t="s">
        <v>508</v>
      </c>
      <c r="H20" s="168">
        <v>0</v>
      </c>
      <c r="I20" s="307" t="s">
        <v>167</v>
      </c>
      <c r="J20" s="478">
        <f t="shared" si="2"/>
        <v>0</v>
      </c>
      <c r="K20" s="547">
        <f t="shared" si="3"/>
        <v>0</v>
      </c>
      <c r="L20" s="548">
        <f>SUMIFS(BS_RE33!$H$7:$H$874,BS_RE33!$S$7:$S$874,$L$2,BS_RE33!$N$7:$N$874,I20,BS_RE33!$P$7:$P$874,'30 days CF Table(RMB)'!G20,BS_RE33!$F$7:$F$874,'30 days CF Table(RMB)'!$C$2)</f>
        <v>0</v>
      </c>
      <c r="M20" s="548">
        <f>SUMIFS(BS_RE33!$H$7:$H$874,BS_RE33!$S$7:$S$874,$M$2,BS_RE33!$N$7:$N$874,I20,BS_RE33!$P$7:$P$874,'30 days CF Table(RMB)'!G20,BS_RE33!$F$7:$F$874,'30 days CF Table(RMB)'!$C$2)</f>
        <v>0</v>
      </c>
      <c r="N20" s="548">
        <f>SUMIFS(BS_RE33!$H$7:$H$874,BS_RE33!$S$7:$S$874,$N$2,BS_RE33!$N$7:$N$874,I20,BS_RE33!$P$7:$P$874,'30 days CF Table(RMB)'!G20,BS_RE33!$F$7:$F$874,'30 days CF Table(RMB)'!$C$2)</f>
        <v>0</v>
      </c>
      <c r="O20" s="548">
        <f>SUMIFS(BS_RE33!$H$7:$H$874,BS_RE33!$S$7:$S$874,$O$2,BS_RE33!$N$7:$N$874,I20,BS_RE33!$P$7:$P$874,'30 days CF Table(RMB)'!G20,BS_RE33!$F$7:$F$874,'30 days CF Table(RMB)'!$C$2)</f>
        <v>0</v>
      </c>
      <c r="P20" s="548">
        <f>SUMIFS(BS_RE33!$H$7:$H$874,BS_RE33!$S$7:$S$874,$P$2,BS_RE33!$N$7:$N$874,I20,BS_RE33!$P$7:$P$874,'30 days CF Table(RMB)'!G20,BS_RE33!$F$7:$F$874,'30 days CF Table(RMB)'!$C$2)</f>
        <v>0</v>
      </c>
      <c r="Q20" s="548">
        <f>SUMIFS(BS_RE33!$H$7:$H$874,BS_RE33!$S$7:$S$874,$Q$2,BS_RE33!$N$7:$N$874,I20,BS_RE33!$P$7:$P$874,'30 days CF Table(RMB)'!G20,BS_RE33!$F$7:$F$874,'30 days CF Table(RMB)'!$C$2)</f>
        <v>0</v>
      </c>
      <c r="R20" s="548">
        <f>SUMIFS(BS_RE33!$H$7:$H$874,BS_RE33!$S$7:$S$874,$R$2,BS_RE33!$N$7:$N$874,I20,BS_RE33!$P$7:$P$874,'30 days CF Table(RMB)'!G20,BS_RE33!$F$7:$F$874,'30 days CF Table(RMB)'!$C$2)</f>
        <v>0</v>
      </c>
      <c r="S20" s="548">
        <f>SUMIFS(BS_RE33!$H$7:$H$874,BS_RE33!$S$7:$S$874,$S$2,BS_RE33!$N$7:$N$874,I20,BS_RE33!$P$7:$P$874,'30 days CF Table(RMB)'!G20,BS_RE33!$F$7:$F$874,'30 days CF Table(RMB)'!$C$2)</f>
        <v>0</v>
      </c>
      <c r="T20" s="548">
        <f>SUMIFS(BS_RE33!$H$7:$H$874,BS_RE33!$S$7:$S$874,$T$2,BS_RE33!$N$7:$N$874,I20,BS_RE33!$P$7:$P$874,'30 days CF Table(RMB)'!G20,BS_RE33!$F$7:$F$874,'30 days CF Table(RMB)'!$C$2)</f>
        <v>0</v>
      </c>
      <c r="U20" s="548">
        <f>SUMIFS(BS_RE33!$H$7:$H$874,BS_RE33!$S$7:$S$874,$U$2,BS_RE33!$N$7:$N$874,I20,BS_RE33!$P$7:$P$874,'30 days CF Table(RMB)'!G20,BS_RE33!$F$7:$F$874,'30 days CF Table(RMB)'!$C$2)</f>
        <v>0</v>
      </c>
      <c r="V20" s="548">
        <f>SUMIFS(BS_RE33!$H$7:$H$874,BS_RE33!$S$7:$S$874,$V$2,BS_RE33!$N$7:$N$874,I20,BS_RE33!$P$7:$P$874,'30 days CF Table(RMB)'!G20,BS_RE33!$F$7:$F$874,'30 days CF Table(RMB)'!$C$2)</f>
        <v>0</v>
      </c>
      <c r="W20" s="548">
        <f>SUMIFS(BS_RE33!$H$7:$H$874,BS_RE33!$S$7:$S$874,$W$2,BS_RE33!$N$7:$N$874,I20,BS_RE33!$P$7:$P$874,'30 days CF Table(RMB)'!G20,BS_RE33!$F$7:$F$874,'30 days CF Table(RMB)'!$C$2)</f>
        <v>0</v>
      </c>
      <c r="X20" s="548">
        <f>SUMIFS(BS_RE33!$H$7:$H$874,BS_RE33!$S$7:$S$874,$X$2,BS_RE33!$N$7:$N$874,I20,BS_RE33!$P$7:$P$874,'30 days CF Table(RMB)'!G20,BS_RE33!$F$7:$F$874,'30 days CF Table(RMB)'!$C$2)</f>
        <v>0</v>
      </c>
      <c r="Y20" s="548">
        <f>SUMIFS(BS_RE33!$H$7:$H$874,BS_RE33!$S$7:$S$874,$Y$2,BS_RE33!$N$7:$N$874,I20,BS_RE33!$P$7:$P$874,'30 days CF Table(RMB)'!G20,BS_RE33!$F$7:$F$874,'30 days CF Table(RMB)'!$C$2)</f>
        <v>0</v>
      </c>
      <c r="Z20" s="548">
        <f>SUMIFS(BS_RE33!$H$7:$H$874,BS_RE33!$S$7:$S$874,$Z$2,BS_RE33!$N$7:$N$874,I20,BS_RE33!$P$7:$P$874,'30 days CF Table(RMB)'!G20,BS_RE33!$F$7:$F$874,'30 days CF Table(RMB)'!$C$2)</f>
        <v>0</v>
      </c>
      <c r="AA20" s="548">
        <f>SUMIFS(BS_RE33!$H$7:$H$874,BS_RE33!$S$7:$S$874,$AA$2,BS_RE33!$N$7:$N$874,I20,BS_RE33!$P$7:$P$874,'30 days CF Table(RMB)'!G20,BS_RE33!$F$7:$F$874,'30 days CF Table(RMB)'!$C$2)</f>
        <v>0</v>
      </c>
      <c r="AB20" s="548">
        <f>SUMIFS(BS_RE33!$H$7:$H$874,BS_RE33!$S$7:$S$874,$AB$2,BS_RE33!$N$7:$N$874,I20,BS_RE33!$P$7:$P$874,'30 days CF Table(RMB)'!G20,BS_RE33!$F$7:$F$874,'30 days CF Table(RMB)'!$C$2)</f>
        <v>0</v>
      </c>
      <c r="AC20" s="548">
        <f>SUMIFS(BS_RE33!$H$7:$H$874,BS_RE33!$S$7:$S$874,$AC$2,BS_RE33!$N$7:$N$874,I20,BS_RE33!$P$7:$P$874,'30 days CF Table(RMB)'!G20,BS_RE33!$F$7:$F$874,'30 days CF Table(RMB)'!$C$2)</f>
        <v>0</v>
      </c>
      <c r="AD20" s="548">
        <f>SUMIFS(BS_RE33!$H$7:$H$874,BS_RE33!$S$7:$S$874,$AD$2,BS_RE33!$N$7:$N$874,I20,BS_RE33!$P$7:$P$874,'30 days CF Table(RMB)'!G20,BS_RE33!$F$7:$F$874,'30 days CF Table(RMB)'!$C$2)</f>
        <v>0</v>
      </c>
      <c r="AE20" s="548">
        <f>SUMIFS(BS_RE33!$H$7:$H$874,BS_RE33!$S$7:$S$874,$AE$2,BS_RE33!$N$7:$N$874,I20,BS_RE33!$P$7:$P$874,'30 days CF Table(RMB)'!G20,BS_RE33!$F$7:$F$874,'30 days CF Table(RMB)'!$C$2)</f>
        <v>0</v>
      </c>
      <c r="AF20" s="548">
        <f>SUMIFS(BS_RE33!$H$7:$H$874,BS_RE33!$S$7:$S$874,$AF$2,BS_RE33!$N$7:$N$874,I20,BS_RE33!$P$7:$P$874,'30 days CF Table(RMB)'!G20,BS_RE33!$F$7:$F$874,'30 days CF Table(RMB)'!$C$2)</f>
        <v>0</v>
      </c>
      <c r="AG20" s="548">
        <f>SUMIFS(BS_RE33!$H$7:$H$874,BS_RE33!$S$7:$S$874,$AG$2,BS_RE33!$N$7:$N$874,I20,BS_RE33!$P$7:$P$874,'30 days CF Table(RMB)'!G20,BS_RE33!$F$7:$F$874,'30 days CF Table(RMB)'!$C$2)</f>
        <v>0</v>
      </c>
      <c r="AH20" s="548">
        <f>SUMIFS(BS_RE33!$H$7:$H$874,BS_RE33!$S$7:$S$874,$AH$2,BS_RE33!$N$7:$N$874,I20,BS_RE33!$P$7:$P$874,'30 days CF Table(RMB)'!G20,BS_RE33!$F$7:$F$874,'30 days CF Table(RMB)'!$C$2)</f>
        <v>0</v>
      </c>
      <c r="AI20" s="548">
        <f>SUMIFS(BS_RE33!$H$7:$H$874,BS_RE33!$S$7:$S$874,$AI$2,BS_RE33!$N$7:$N$874,I20,BS_RE33!$P$7:$P$874,'30 days CF Table(RMB)'!G20,BS_RE33!$F$7:$F$874,'30 days CF Table(RMB)'!$C$2)</f>
        <v>0</v>
      </c>
      <c r="AJ20" s="548">
        <f>SUMIFS(BS_RE33!$H$7:$H$874,BS_RE33!$S$7:$S$874,$AJ$2,BS_RE33!$N$7:$N$874,I20,BS_RE33!$P$7:$P$874,'30 days CF Table(RMB)'!G20,BS_RE33!$F$7:$F$874,'30 days CF Table(RMB)'!$C$2)</f>
        <v>0</v>
      </c>
      <c r="AK20" s="548">
        <f>SUMIFS(BS_RE33!$H$7:$H$874,BS_RE33!$S$7:$S$874,$AK$2,BS_RE33!$N$7:$N$874,I20,BS_RE33!$P$7:$P$874,'30 days CF Table(RMB)'!G20,BS_RE33!$F$7:$F$874,'30 days CF Table(RMB)'!$C$2)</f>
        <v>0</v>
      </c>
      <c r="AL20" s="548">
        <f>SUMIFS(BS_RE33!$H$7:$H$874,BS_RE33!$S$7:$S$874,$AL$2,BS_RE33!$N$7:$N$874,I20,BS_RE33!$P$7:$P$874,'30 days CF Table(RMB)'!G20,BS_RE33!$F$7:$F$874,'30 days CF Table(RMB)'!$C$2)</f>
        <v>0</v>
      </c>
      <c r="AM20" s="548">
        <f>SUMIFS(BS_RE33!$H$7:$H$874,BS_RE33!$S$7:$S$874,$AM$2,BS_RE33!$N$7:$N$874,I20,BS_RE33!$P$7:$P$874,'30 days CF Table(RMB)'!G20,BS_RE33!$F$7:$F$874,'30 days CF Table(RMB)'!$C$2)</f>
        <v>0</v>
      </c>
      <c r="AN20" s="548">
        <f>SUMIFS(BS_RE33!$H$7:$H$874,BS_RE33!$S$7:$S$874,$AN$2,BS_RE33!$N$7:$N$874,I20,BS_RE33!$P$7:$P$874,'30 days CF Table(RMB)'!G20,BS_RE33!$F$7:$F$874,'30 days CF Table(RMB)'!$C$2)</f>
        <v>0</v>
      </c>
      <c r="AO20" s="548">
        <f>SUMIFS(BS_RE33!$H$7:$H$874,BS_RE33!$S$7:$S$874,$AO$2,BS_RE33!$N$7:$N$874,I20,BS_RE33!$P$7:$P$874,'30 days CF Table(RMB)'!G20,BS_RE33!$F$7:$F$874,'30 days CF Table(RMB)'!$C$2)</f>
        <v>0</v>
      </c>
      <c r="AP20" s="549">
        <f>SUMIFS(BS_RE33!$H$7:$H$874,BS_RE33!$S$7:$S$874,$AP$2,BS_RE33!$N$7:$N$874,I20,BS_RE33!$P$7:$P$874,'30 days CF Table(RMB)'!G20,BS_RE33!$F$7:$F$874,'30 days CF Table(RMB)'!$C$2)</f>
        <v>0</v>
      </c>
      <c r="AQ20" s="550"/>
      <c r="AR20" s="380">
        <f>SUMIFS(BS_RE33!$H$7:$H$874,BS_RE33!$S$7:$S$874,$AR$2,BS_RE33!$N$7:$N$874,I20,BS_RE33!$P$7:$P$874,'30 days CF Table(RMB)'!G20,BS_RE33!$F$7:$F$874,'30 days CF Table(RMB)'!$C$2)</f>
        <v>0</v>
      </c>
      <c r="AS20" s="380">
        <f>SUMIFS(BS_RE33!$H$7:$H$874,BS_RE33!$S$7:$S$874,$AS$2,BS_RE33!$N$7:$N$874,I20,BS_RE33!$P$7:$P$874,'30 days CF Table(RMB)'!G20,BS_RE33!$F$7:$F$874,'30 days CF Table(RMB)'!$C$2)</f>
        <v>0</v>
      </c>
      <c r="AT20" s="380">
        <f>SUMIFS(BS_RE33!$H$7:$H$874,BS_RE33!$S$7:$S$874,$AT$2,BS_RE33!$N$7:$N$874,I20,BS_RE33!$P$7:$P$874,'30 days CF Table(RMB)'!G20,BS_RE33!$F$7:$F$874,'30 days CF Table(RMB)'!$C$2)</f>
        <v>0</v>
      </c>
      <c r="AU20" s="380">
        <f>SUMIFS(BS_RE33!$H$7:$H$874,BS_RE33!$S$7:$S$874,$AU$2,BS_RE33!$N$7:$N$874,I20,BS_RE33!$P$7:$P$874,'30 days CF Table(RMB)'!G20,BS_RE33!$F$7:$F$874,'30 days CF Table(RMB)'!$C$2)</f>
        <v>0</v>
      </c>
      <c r="AV20" s="380">
        <f>SUMIFS(BS_RE33!$H$7:$H$874,BS_RE33!$S$7:$S$874,$AV$2,BS_RE33!$N$7:$N$874,I20,BS_RE33!$P$7:$P$874,'30 days CF Table(RMB)'!G20,BS_RE33!$F$7:$F$874,'30 days CF Table(RMB)'!$C$2)</f>
        <v>0</v>
      </c>
      <c r="AW20" s="380">
        <f>SUMIFS(BS_RE33!$H$7:$H$874,BS_RE33!$S$7:$S$874,$AW$2,BS_RE33!$N$7:$N$874,I20,BS_RE33!$P$7:$P$874,'30 days CF Table(RMB)'!G20,BS_RE33!$F$7:$F$874,'30 days CF Table(RMB)'!$C$2)</f>
        <v>0</v>
      </c>
      <c r="AX20" s="380">
        <f>SUMIFS(BS_RE33!$H$7:$H$874,BS_RE33!$S$7:$S$874,$AX$2,BS_RE33!$N$7:$N$874,I20,BS_RE33!$P$7:$P$874,'30 days CF Table(RMB)'!G20,BS_RE33!$F$7:$F$874,'30 days CF Table(RMB)'!$C$2)</f>
        <v>0</v>
      </c>
      <c r="AY20" s="380">
        <f>SUMIFS(BS_RE33!$H$7:$H$874,BS_RE33!$S$7:$S$874,$AY$2,BS_RE33!$N$7:$N$874,I20,BS_RE33!$P$7:$P$874,'30 days CF Table(RMB)'!G20,BS_RE33!$F$7:$F$874,'30 days CF Table(RMB)'!$C$2)</f>
        <v>0</v>
      </c>
      <c r="AZ20" s="380">
        <f>SUMIFS(BS_RE33!$H$7:$H$874,BS_RE33!$S$7:$S$874,$AZ$2,BS_RE33!$N$7:$N$874,I20,BS_RE33!$P$7:$P$874,'30 days CF Table(RMB)'!G20,BS_RE33!$F$7:$F$874,'30 days CF Table(RMB)'!$C$2)</f>
        <v>0</v>
      </c>
      <c r="BA20" s="380">
        <f>SUMIFS(BS_RE33!$H$7:$H$874,BS_RE33!$S$7:$S$874,$BA$2,BS_RE33!$N$7:$N$874,I20,BS_RE33!$P$7:$P$874,'30 days CF Table(RMB)'!G20,BS_RE33!$F$7:$F$874,'30 days CF Table(RMB)'!$C$2)</f>
        <v>0</v>
      </c>
      <c r="BB20" s="380">
        <f>SUMIFS(BS_RE33!$H$7:$H$874,BS_RE33!$S$7:$S$874,$BB$2,BS_RE33!$N$7:$N$874,I20,BS_RE33!$P$7:$P$874,'30 days CF Table(RMB)'!G20,BS_RE33!$F$7:$F$874,'30 days CF Table(RMB)'!$C$2)</f>
        <v>0</v>
      </c>
      <c r="BC20" s="380">
        <f>SUMIFS(BS_RE33!$H$7:$H$874,BS_RE33!$S$7:$S$874,$BC$2,BS_RE33!$N$7:$N$874,I20,BS_RE33!$P$7:$P$874,'30 days CF Table(RMB)'!G20,BS_RE33!$F$7:$F$874,'30 days CF Table(RMB)'!$C$2)</f>
        <v>0</v>
      </c>
      <c r="BD20" s="380">
        <f>SUMIFS(BS_RE33!$H$7:$H$874,BS_RE33!$S$7:$S$874,$BD$2,BS_RE33!$N$7:$N$874,I20,BS_RE33!$P$7:$P$874,'30 days CF Table(RMB)'!G20,BS_RE33!$F$7:$F$874,'30 days CF Table(RMB)'!$C$2)</f>
        <v>0</v>
      </c>
      <c r="BE20" s="380">
        <f>SUMIFS(BS_RE33!$H$7:$H$874,BS_RE33!$S$7:$S$874,$BE$2,BS_RE33!$N$7:$N$874,I20,BS_RE33!$P$7:$P$874,'30 days CF Table(RMB)'!G20,BS_RE33!$F$7:$F$874,'30 days CF Table(RMB)'!$C$2)</f>
        <v>0</v>
      </c>
      <c r="BF20" s="380">
        <f>SUMIFS(BS_RE33!$H$7:$H$874,BS_RE33!$S$7:$S$874,$BF$2,BS_RE33!$N$7:$N$874,I20,BS_RE33!$P$7:$P$874,'30 days CF Table(RMB)'!G20,BS_RE33!$F$7:$F$874,'30 days CF Table(RMB)'!$C$2)</f>
        <v>0</v>
      </c>
      <c r="BG20" s="380">
        <f>SUMIFS(BS_RE33!$H$7:$H$874,BS_RE33!$S$7:$S$874,$BG$2,BS_RE33!$N$7:$N$874,I20,BS_RE33!$P$7:$P$874,'30 days CF Table(RMB)'!G20,BS_RE33!$F$7:$F$874,'30 days CF Table(RMB)'!$C$2)</f>
        <v>0</v>
      </c>
      <c r="BH20" s="380">
        <f>SUMIFS(BS_RE33!$H$7:$H$874,BS_RE33!$S$7:$S$874,$BH$2,BS_RE33!$N$7:$N$874,I20,BS_RE33!$P$7:$P$874,'30 days CF Table(RMB)'!G20,BS_RE33!$F$7:$F$874,'30 days CF Table(RMB)'!$C$2)</f>
        <v>0</v>
      </c>
      <c r="BI20" s="380">
        <f>SUMIFS(BS_RE33!$H$7:$H$874,BS_RE33!$S$7:$S$874,$BI$2,BS_RE33!$N$7:$N$874,I20,BS_RE33!$P$7:$P$874,'30 days CF Table(RMB)'!G20,BS_RE33!$F$7:$F$874,'30 days CF Table(RMB)'!$C$2)</f>
        <v>0</v>
      </c>
      <c r="BJ20" s="380">
        <f>SUMIFS(BS_RE33!$H$7:$H$874,BS_RE33!$S$7:$S$874,$BJ$2,BS_RE33!$N$7:$N$874,I20,BS_RE33!$P$7:$P$874,'30 days CF Table(RMB)'!G20,BS_RE33!$F$7:$F$874,'30 days CF Table(RMB)'!$C$2)</f>
        <v>0</v>
      </c>
      <c r="BK20" s="380">
        <f>SUMIFS(BS_RE33!$H$7:$H$874,BS_RE33!$S$7:$S$874,$BK$2,BS_RE33!$N$7:$N$874,I20,BS_RE33!$P$7:$P$874,'30 days CF Table(RMB)'!G20,BS_RE33!$F$7:$F$874,'30 days CF Table(RMB)'!$C$2)</f>
        <v>0</v>
      </c>
    </row>
    <row r="21" spans="1:63">
      <c r="C21" s="1029"/>
      <c r="D21" s="1028"/>
      <c r="E21" s="310" t="s">
        <v>550</v>
      </c>
      <c r="F21" s="311"/>
      <c r="G21" s="392" t="s">
        <v>551</v>
      </c>
      <c r="H21" s="168">
        <v>0</v>
      </c>
      <c r="I21" s="307" t="s">
        <v>167</v>
      </c>
      <c r="J21" s="478">
        <f t="shared" si="2"/>
        <v>0</v>
      </c>
      <c r="K21" s="547">
        <f t="shared" si="3"/>
        <v>0</v>
      </c>
      <c r="L21" s="548">
        <f>SUMIFS(BS_RE33!$H$7:$H$874,BS_RE33!$S$7:$S$874,$L$2,BS_RE33!$N$7:$N$874,I21,BS_RE33!$P$7:$P$874,'30 days CF Table(RMB)'!G21,BS_RE33!$F$7:$F$874,'30 days CF Table(RMB)'!$C$2)</f>
        <v>0</v>
      </c>
      <c r="M21" s="548">
        <f>SUMIFS(BS_RE33!$H$7:$H$874,BS_RE33!$S$7:$S$874,$M$2,BS_RE33!$N$7:$N$874,I21,BS_RE33!$P$7:$P$874,'30 days CF Table(RMB)'!G21,BS_RE33!$F$7:$F$874,'30 days CF Table(RMB)'!$C$2)</f>
        <v>0</v>
      </c>
      <c r="N21" s="548">
        <f>SUMIFS(BS_RE33!$H$7:$H$874,BS_RE33!$S$7:$S$874,$N$2,BS_RE33!$N$7:$N$874,I21,BS_RE33!$P$7:$P$874,'30 days CF Table(RMB)'!G21,BS_RE33!$F$7:$F$874,'30 days CF Table(RMB)'!$C$2)</f>
        <v>0</v>
      </c>
      <c r="O21" s="548">
        <f>SUMIFS(BS_RE33!$H$7:$H$874,BS_RE33!$S$7:$S$874,$O$2,BS_RE33!$N$7:$N$874,I21,BS_RE33!$P$7:$P$874,'30 days CF Table(RMB)'!G21,BS_RE33!$F$7:$F$874,'30 days CF Table(RMB)'!$C$2)</f>
        <v>0</v>
      </c>
      <c r="P21" s="548">
        <f>SUMIFS(BS_RE33!$H$7:$H$874,BS_RE33!$S$7:$S$874,$P$2,BS_RE33!$N$7:$N$874,I21,BS_RE33!$P$7:$P$874,'30 days CF Table(RMB)'!G21,BS_RE33!$F$7:$F$874,'30 days CF Table(RMB)'!$C$2)</f>
        <v>0</v>
      </c>
      <c r="Q21" s="548">
        <f>SUMIFS(BS_RE33!$H$7:$H$874,BS_RE33!$S$7:$S$874,$Q$2,BS_RE33!$N$7:$N$874,I21,BS_RE33!$P$7:$P$874,'30 days CF Table(RMB)'!G21,BS_RE33!$F$7:$F$874,'30 days CF Table(RMB)'!$C$2)</f>
        <v>0</v>
      </c>
      <c r="R21" s="548">
        <f>SUMIFS(BS_RE33!$H$7:$H$874,BS_RE33!$S$7:$S$874,$R$2,BS_RE33!$N$7:$N$874,I21,BS_RE33!$P$7:$P$874,'30 days CF Table(RMB)'!G21,BS_RE33!$F$7:$F$874,'30 days CF Table(RMB)'!$C$2)</f>
        <v>0</v>
      </c>
      <c r="S21" s="548">
        <f>SUMIFS(BS_RE33!$H$7:$H$874,BS_RE33!$S$7:$S$874,$S$2,BS_RE33!$N$7:$N$874,I21,BS_RE33!$P$7:$P$874,'30 days CF Table(RMB)'!G21,BS_RE33!$F$7:$F$874,'30 days CF Table(RMB)'!$C$2)</f>
        <v>0</v>
      </c>
      <c r="T21" s="548">
        <f>SUMIFS(BS_RE33!$H$7:$H$874,BS_RE33!$S$7:$S$874,$T$2,BS_RE33!$N$7:$N$874,I21,BS_RE33!$P$7:$P$874,'30 days CF Table(RMB)'!G21,BS_RE33!$F$7:$F$874,'30 days CF Table(RMB)'!$C$2)</f>
        <v>0</v>
      </c>
      <c r="U21" s="548">
        <f>SUMIFS(BS_RE33!$H$7:$H$874,BS_RE33!$S$7:$S$874,$U$2,BS_RE33!$N$7:$N$874,I21,BS_RE33!$P$7:$P$874,'30 days CF Table(RMB)'!G21,BS_RE33!$F$7:$F$874,'30 days CF Table(RMB)'!$C$2)</f>
        <v>0</v>
      </c>
      <c r="V21" s="548">
        <f>SUMIFS(BS_RE33!$H$7:$H$874,BS_RE33!$S$7:$S$874,$V$2,BS_RE33!$N$7:$N$874,I21,BS_RE33!$P$7:$P$874,'30 days CF Table(RMB)'!G21,BS_RE33!$F$7:$F$874,'30 days CF Table(RMB)'!$C$2)</f>
        <v>0</v>
      </c>
      <c r="W21" s="548">
        <f>SUMIFS(BS_RE33!$H$7:$H$874,BS_RE33!$S$7:$S$874,$W$2,BS_RE33!$N$7:$N$874,I21,BS_RE33!$P$7:$P$874,'30 days CF Table(RMB)'!G21,BS_RE33!$F$7:$F$874,'30 days CF Table(RMB)'!$C$2)</f>
        <v>0</v>
      </c>
      <c r="X21" s="548">
        <f>SUMIFS(BS_RE33!$H$7:$H$874,BS_RE33!$S$7:$S$874,$X$2,BS_RE33!$N$7:$N$874,I21,BS_RE33!$P$7:$P$874,'30 days CF Table(RMB)'!G21,BS_RE33!$F$7:$F$874,'30 days CF Table(RMB)'!$C$2)</f>
        <v>0</v>
      </c>
      <c r="Y21" s="548">
        <f>SUMIFS(BS_RE33!$H$7:$H$874,BS_RE33!$S$7:$S$874,$Y$2,BS_RE33!$N$7:$N$874,I21,BS_RE33!$P$7:$P$874,'30 days CF Table(RMB)'!G21,BS_RE33!$F$7:$F$874,'30 days CF Table(RMB)'!$C$2)</f>
        <v>0</v>
      </c>
      <c r="Z21" s="548">
        <f>SUMIFS(BS_RE33!$H$7:$H$874,BS_RE33!$S$7:$S$874,$Z$2,BS_RE33!$N$7:$N$874,I21,BS_RE33!$P$7:$P$874,'30 days CF Table(RMB)'!G21,BS_RE33!$F$7:$F$874,'30 days CF Table(RMB)'!$C$2)</f>
        <v>0</v>
      </c>
      <c r="AA21" s="548">
        <f>SUMIFS(BS_RE33!$H$7:$H$874,BS_RE33!$S$7:$S$874,$AA$2,BS_RE33!$N$7:$N$874,I21,BS_RE33!$P$7:$P$874,'30 days CF Table(RMB)'!G21,BS_RE33!$F$7:$F$874,'30 days CF Table(RMB)'!$C$2)</f>
        <v>0</v>
      </c>
      <c r="AB21" s="548">
        <f>SUMIFS(BS_RE33!$H$7:$H$874,BS_RE33!$S$7:$S$874,$AB$2,BS_RE33!$N$7:$N$874,I21,BS_RE33!$P$7:$P$874,'30 days CF Table(RMB)'!G21,BS_RE33!$F$7:$F$874,'30 days CF Table(RMB)'!$C$2)</f>
        <v>0</v>
      </c>
      <c r="AC21" s="548">
        <f>SUMIFS(BS_RE33!$H$7:$H$874,BS_RE33!$S$7:$S$874,$AC$2,BS_RE33!$N$7:$N$874,I21,BS_RE33!$P$7:$P$874,'30 days CF Table(RMB)'!G21,BS_RE33!$F$7:$F$874,'30 days CF Table(RMB)'!$C$2)</f>
        <v>0</v>
      </c>
      <c r="AD21" s="548">
        <f>SUMIFS(BS_RE33!$H$7:$H$874,BS_RE33!$S$7:$S$874,$AD$2,BS_RE33!$N$7:$N$874,I21,BS_RE33!$P$7:$P$874,'30 days CF Table(RMB)'!G21,BS_RE33!$F$7:$F$874,'30 days CF Table(RMB)'!$C$2)</f>
        <v>0</v>
      </c>
      <c r="AE21" s="548">
        <f>SUMIFS(BS_RE33!$H$7:$H$874,BS_RE33!$S$7:$S$874,$AE$2,BS_RE33!$N$7:$N$874,I21,BS_RE33!$P$7:$P$874,'30 days CF Table(RMB)'!G21,BS_RE33!$F$7:$F$874,'30 days CF Table(RMB)'!$C$2)</f>
        <v>0</v>
      </c>
      <c r="AF21" s="548">
        <f>SUMIFS(BS_RE33!$H$7:$H$874,BS_RE33!$S$7:$S$874,$AF$2,BS_RE33!$N$7:$N$874,I21,BS_RE33!$P$7:$P$874,'30 days CF Table(RMB)'!G21,BS_RE33!$F$7:$F$874,'30 days CF Table(RMB)'!$C$2)</f>
        <v>0</v>
      </c>
      <c r="AG21" s="548">
        <f>SUMIFS(BS_RE33!$H$7:$H$874,BS_RE33!$S$7:$S$874,$AG$2,BS_RE33!$N$7:$N$874,I21,BS_RE33!$P$7:$P$874,'30 days CF Table(RMB)'!G21,BS_RE33!$F$7:$F$874,'30 days CF Table(RMB)'!$C$2)</f>
        <v>0</v>
      </c>
      <c r="AH21" s="548">
        <f>SUMIFS(BS_RE33!$H$7:$H$874,BS_RE33!$S$7:$S$874,$AH$2,BS_RE33!$N$7:$N$874,I21,BS_RE33!$P$7:$P$874,'30 days CF Table(RMB)'!G21,BS_RE33!$F$7:$F$874,'30 days CF Table(RMB)'!$C$2)</f>
        <v>0</v>
      </c>
      <c r="AI21" s="548">
        <f>SUMIFS(BS_RE33!$H$7:$H$874,BS_RE33!$S$7:$S$874,$AI$2,BS_RE33!$N$7:$N$874,I21,BS_RE33!$P$7:$P$874,'30 days CF Table(RMB)'!G21,BS_RE33!$F$7:$F$874,'30 days CF Table(RMB)'!$C$2)</f>
        <v>0</v>
      </c>
      <c r="AJ21" s="548">
        <f>SUMIFS(BS_RE33!$H$7:$H$874,BS_RE33!$S$7:$S$874,$AJ$2,BS_RE33!$N$7:$N$874,I21,BS_RE33!$P$7:$P$874,'30 days CF Table(RMB)'!G21,BS_RE33!$F$7:$F$874,'30 days CF Table(RMB)'!$C$2)</f>
        <v>0</v>
      </c>
      <c r="AK21" s="548">
        <f>SUMIFS(BS_RE33!$H$7:$H$874,BS_RE33!$S$7:$S$874,$AK$2,BS_RE33!$N$7:$N$874,I21,BS_RE33!$P$7:$P$874,'30 days CF Table(RMB)'!G21,BS_RE33!$F$7:$F$874,'30 days CF Table(RMB)'!$C$2)</f>
        <v>0</v>
      </c>
      <c r="AL21" s="548">
        <f>SUMIFS(BS_RE33!$H$7:$H$874,BS_RE33!$S$7:$S$874,$AL$2,BS_RE33!$N$7:$N$874,I21,BS_RE33!$P$7:$P$874,'30 days CF Table(RMB)'!G21,BS_RE33!$F$7:$F$874,'30 days CF Table(RMB)'!$C$2)</f>
        <v>0</v>
      </c>
      <c r="AM21" s="548">
        <f>SUMIFS(BS_RE33!$H$7:$H$874,BS_RE33!$S$7:$S$874,$AM$2,BS_RE33!$N$7:$N$874,I21,BS_RE33!$P$7:$P$874,'30 days CF Table(RMB)'!G21,BS_RE33!$F$7:$F$874,'30 days CF Table(RMB)'!$C$2)</f>
        <v>0</v>
      </c>
      <c r="AN21" s="548">
        <f>SUMIFS(BS_RE33!$H$7:$H$874,BS_RE33!$S$7:$S$874,$AN$2,BS_RE33!$N$7:$N$874,I21,BS_RE33!$P$7:$P$874,'30 days CF Table(RMB)'!G21,BS_RE33!$F$7:$F$874,'30 days CF Table(RMB)'!$C$2)</f>
        <v>0</v>
      </c>
      <c r="AO21" s="548">
        <f>SUMIFS(BS_RE33!$H$7:$H$874,BS_RE33!$S$7:$S$874,$AO$2,BS_RE33!$N$7:$N$874,I21,BS_RE33!$P$7:$P$874,'30 days CF Table(RMB)'!G21,BS_RE33!$F$7:$F$874,'30 days CF Table(RMB)'!$C$2)</f>
        <v>0</v>
      </c>
      <c r="AP21" s="549">
        <f>SUMIFS(BS_RE33!$H$7:$H$874,BS_RE33!$S$7:$S$874,$AP$2,BS_RE33!$N$7:$N$874,I21,BS_RE33!$P$7:$P$874,'30 days CF Table(RMB)'!G21,BS_RE33!$F$7:$F$874,'30 days CF Table(RMB)'!$C$2)</f>
        <v>0</v>
      </c>
      <c r="AQ21" s="550"/>
      <c r="AR21" s="380">
        <f>SUMIFS(BS_RE33!$H$7:$H$874,BS_RE33!$S$7:$S$874,$AR$2,BS_RE33!$N$7:$N$874,I21,BS_RE33!$P$7:$P$874,'30 days CF Table(RMB)'!G21,BS_RE33!$F$7:$F$874,'30 days CF Table(RMB)'!$C$2)</f>
        <v>0</v>
      </c>
      <c r="AS21" s="380">
        <f>SUMIFS(BS_RE33!$H$7:$H$874,BS_RE33!$S$7:$S$874,$AS$2,BS_RE33!$N$7:$N$874,I21,BS_RE33!$P$7:$P$874,'30 days CF Table(RMB)'!G21,BS_RE33!$F$7:$F$874,'30 days CF Table(RMB)'!$C$2)</f>
        <v>0</v>
      </c>
      <c r="AT21" s="380">
        <f>SUMIFS(BS_RE33!$H$7:$H$874,BS_RE33!$S$7:$S$874,$AT$2,BS_RE33!$N$7:$N$874,I21,BS_RE33!$P$7:$P$874,'30 days CF Table(RMB)'!G21,BS_RE33!$F$7:$F$874,'30 days CF Table(RMB)'!$C$2)</f>
        <v>0</v>
      </c>
      <c r="AU21" s="380">
        <f>SUMIFS(BS_RE33!$H$7:$H$874,BS_RE33!$S$7:$S$874,$AU$2,BS_RE33!$N$7:$N$874,I21,BS_RE33!$P$7:$P$874,'30 days CF Table(RMB)'!G21,BS_RE33!$F$7:$F$874,'30 days CF Table(RMB)'!$C$2)</f>
        <v>0</v>
      </c>
      <c r="AV21" s="380">
        <f>SUMIFS(BS_RE33!$H$7:$H$874,BS_RE33!$S$7:$S$874,$AV$2,BS_RE33!$N$7:$N$874,I21,BS_RE33!$P$7:$P$874,'30 days CF Table(RMB)'!G21,BS_RE33!$F$7:$F$874,'30 days CF Table(RMB)'!$C$2)</f>
        <v>0</v>
      </c>
      <c r="AW21" s="380">
        <f>SUMIFS(BS_RE33!$H$7:$H$874,BS_RE33!$S$7:$S$874,$AW$2,BS_RE33!$N$7:$N$874,I21,BS_RE33!$P$7:$P$874,'30 days CF Table(RMB)'!G21,BS_RE33!$F$7:$F$874,'30 days CF Table(RMB)'!$C$2)</f>
        <v>0</v>
      </c>
      <c r="AX21" s="380">
        <f>SUMIFS(BS_RE33!$H$7:$H$874,BS_RE33!$S$7:$S$874,$AX$2,BS_RE33!$N$7:$N$874,I21,BS_RE33!$P$7:$P$874,'30 days CF Table(RMB)'!G21,BS_RE33!$F$7:$F$874,'30 days CF Table(RMB)'!$C$2)</f>
        <v>0</v>
      </c>
      <c r="AY21" s="380">
        <f>SUMIFS(BS_RE33!$H$7:$H$874,BS_RE33!$S$7:$S$874,$AY$2,BS_RE33!$N$7:$N$874,I21,BS_RE33!$P$7:$P$874,'30 days CF Table(RMB)'!G21,BS_RE33!$F$7:$F$874,'30 days CF Table(RMB)'!$C$2)</f>
        <v>0</v>
      </c>
      <c r="AZ21" s="380">
        <f>SUMIFS(BS_RE33!$H$7:$H$874,BS_RE33!$S$7:$S$874,$AZ$2,BS_RE33!$N$7:$N$874,I21,BS_RE33!$P$7:$P$874,'30 days CF Table(RMB)'!G21,BS_RE33!$F$7:$F$874,'30 days CF Table(RMB)'!$C$2)</f>
        <v>0</v>
      </c>
      <c r="BA21" s="380">
        <f>SUMIFS(BS_RE33!$H$7:$H$874,BS_RE33!$S$7:$S$874,$BA$2,BS_RE33!$N$7:$N$874,I21,BS_RE33!$P$7:$P$874,'30 days CF Table(RMB)'!G21,BS_RE33!$F$7:$F$874,'30 days CF Table(RMB)'!$C$2)</f>
        <v>0</v>
      </c>
      <c r="BB21" s="380">
        <f>SUMIFS(BS_RE33!$H$7:$H$874,BS_RE33!$S$7:$S$874,$BB$2,BS_RE33!$N$7:$N$874,I21,BS_RE33!$P$7:$P$874,'30 days CF Table(RMB)'!G21,BS_RE33!$F$7:$F$874,'30 days CF Table(RMB)'!$C$2)</f>
        <v>0</v>
      </c>
      <c r="BC21" s="380">
        <f>SUMIFS(BS_RE33!$H$7:$H$874,BS_RE33!$S$7:$S$874,$BC$2,BS_RE33!$N$7:$N$874,I21,BS_RE33!$P$7:$P$874,'30 days CF Table(RMB)'!G21,BS_RE33!$F$7:$F$874,'30 days CF Table(RMB)'!$C$2)</f>
        <v>0</v>
      </c>
      <c r="BD21" s="380">
        <f>SUMIFS(BS_RE33!$H$7:$H$874,BS_RE33!$S$7:$S$874,$BD$2,BS_RE33!$N$7:$N$874,I21,BS_RE33!$P$7:$P$874,'30 days CF Table(RMB)'!G21,BS_RE33!$F$7:$F$874,'30 days CF Table(RMB)'!$C$2)</f>
        <v>0</v>
      </c>
      <c r="BE21" s="380">
        <f>SUMIFS(BS_RE33!$H$7:$H$874,BS_RE33!$S$7:$S$874,$BE$2,BS_RE33!$N$7:$N$874,I21,BS_RE33!$P$7:$P$874,'30 days CF Table(RMB)'!G21,BS_RE33!$F$7:$F$874,'30 days CF Table(RMB)'!$C$2)</f>
        <v>0</v>
      </c>
      <c r="BF21" s="380">
        <f>SUMIFS(BS_RE33!$H$7:$H$874,BS_RE33!$S$7:$S$874,$BF$2,BS_RE33!$N$7:$N$874,I21,BS_RE33!$P$7:$P$874,'30 days CF Table(RMB)'!G21,BS_RE33!$F$7:$F$874,'30 days CF Table(RMB)'!$C$2)</f>
        <v>0</v>
      </c>
      <c r="BG21" s="380">
        <f>SUMIFS(BS_RE33!$H$7:$H$874,BS_RE33!$S$7:$S$874,$BG$2,BS_RE33!$N$7:$N$874,I21,BS_RE33!$P$7:$P$874,'30 days CF Table(RMB)'!G21,BS_RE33!$F$7:$F$874,'30 days CF Table(RMB)'!$C$2)</f>
        <v>0</v>
      </c>
      <c r="BH21" s="380">
        <f>SUMIFS(BS_RE33!$H$7:$H$874,BS_RE33!$S$7:$S$874,$BH$2,BS_RE33!$N$7:$N$874,I21,BS_RE33!$P$7:$P$874,'30 days CF Table(RMB)'!G21,BS_RE33!$F$7:$F$874,'30 days CF Table(RMB)'!$C$2)</f>
        <v>0</v>
      </c>
      <c r="BI21" s="380">
        <f>SUMIFS(BS_RE33!$H$7:$H$874,BS_RE33!$S$7:$S$874,$BI$2,BS_RE33!$N$7:$N$874,I21,BS_RE33!$P$7:$P$874,'30 days CF Table(RMB)'!G21,BS_RE33!$F$7:$F$874,'30 days CF Table(RMB)'!$C$2)</f>
        <v>0</v>
      </c>
      <c r="BJ21" s="380">
        <f>SUMIFS(BS_RE33!$H$7:$H$874,BS_RE33!$S$7:$S$874,$BJ$2,BS_RE33!$N$7:$N$874,I21,BS_RE33!$P$7:$P$874,'30 days CF Table(RMB)'!G21,BS_RE33!$F$7:$F$874,'30 days CF Table(RMB)'!$C$2)</f>
        <v>0</v>
      </c>
      <c r="BK21" s="380">
        <f>SUMIFS(BS_RE33!$H$7:$H$874,BS_RE33!$S$7:$S$874,$BK$2,BS_RE33!$N$7:$N$874,I21,BS_RE33!$P$7:$P$874,'30 days CF Table(RMB)'!G21,BS_RE33!$F$7:$F$874,'30 days CF Table(RMB)'!$C$2)</f>
        <v>0</v>
      </c>
    </row>
    <row r="22" spans="1:63" ht="20.25">
      <c r="C22" s="1027" t="s">
        <v>747</v>
      </c>
      <c r="D22" s="521" t="s">
        <v>748</v>
      </c>
      <c r="E22" s="73" t="s">
        <v>749</v>
      </c>
      <c r="F22" s="309"/>
      <c r="G22" s="392" t="s">
        <v>509</v>
      </c>
      <c r="H22" s="130">
        <v>1</v>
      </c>
      <c r="I22" s="305" t="s">
        <v>63</v>
      </c>
      <c r="J22" s="477">
        <f t="shared" si="2"/>
        <v>0</v>
      </c>
      <c r="K22" s="335">
        <f t="shared" si="3"/>
        <v>0</v>
      </c>
      <c r="L22" s="337">
        <f>SUMIFS(BS_RE33!$H$7:$H$874,BS_RE33!$S$7:$S$874,$L$2,BS_RE33!$N$7:$N$874,I22,BS_RE33!$P$7:$P$874,'30 days CF Table(RMB)'!G22,BS_RE33!$F$7:$F$874,'30 days CF Table(RMB)'!$C$2)</f>
        <v>0</v>
      </c>
      <c r="M22" s="337">
        <f>SUMIFS(BS_RE33!$H$7:$H$874,BS_RE33!$S$7:$S$874,$M$2,BS_RE33!$N$7:$N$874,I22,BS_RE33!$P$7:$P$874,'30 days CF Table(RMB)'!G22,BS_RE33!$F$7:$F$874,'30 days CF Table(RMB)'!$C$2)</f>
        <v>0</v>
      </c>
      <c r="N22" s="337">
        <f>SUMIFS(BS_RE33!$H$7:$H$874,BS_RE33!$S$7:$S$874,$N$2,BS_RE33!$N$7:$N$874,I22,BS_RE33!$P$7:$P$874,'30 days CF Table(RMB)'!G22,BS_RE33!$F$7:$F$874,'30 days CF Table(RMB)'!$C$2)</f>
        <v>0</v>
      </c>
      <c r="O22" s="337">
        <f>SUMIFS(BS_RE33!$H$7:$H$874,BS_RE33!$S$7:$S$874,$O$2,BS_RE33!$N$7:$N$874,I22,BS_RE33!$P$7:$P$874,'30 days CF Table(RMB)'!G22,BS_RE33!$F$7:$F$874,'30 days CF Table(RMB)'!$C$2)</f>
        <v>0</v>
      </c>
      <c r="P22" s="337">
        <f>SUMIFS(BS_RE33!$H$7:$H$874,BS_RE33!$S$7:$S$874,$P$2,BS_RE33!$N$7:$N$874,I22,BS_RE33!$P$7:$P$874,'30 days CF Table(RMB)'!G22,BS_RE33!$F$7:$F$874,'30 days CF Table(RMB)'!$C$2)</f>
        <v>0</v>
      </c>
      <c r="Q22" s="337">
        <f>SUMIFS(BS_RE33!$H$7:$H$874,BS_RE33!$S$7:$S$874,$Q$2,BS_RE33!$N$7:$N$874,I22,BS_RE33!$P$7:$P$874,'30 days CF Table(RMB)'!G22,BS_RE33!$F$7:$F$874,'30 days CF Table(RMB)'!$C$2)</f>
        <v>0</v>
      </c>
      <c r="R22" s="337">
        <f>SUMIFS(BS_RE33!$H$7:$H$874,BS_RE33!$S$7:$S$874,$R$2,BS_RE33!$N$7:$N$874,I22,BS_RE33!$P$7:$P$874,'30 days CF Table(RMB)'!G22,BS_RE33!$F$7:$F$874,'30 days CF Table(RMB)'!$C$2)</f>
        <v>0</v>
      </c>
      <c r="S22" s="337">
        <f>SUMIFS(BS_RE33!$H$7:$H$874,BS_RE33!$S$7:$S$874,$S$2,BS_RE33!$N$7:$N$874,I22,BS_RE33!$P$7:$P$874,'30 days CF Table(RMB)'!G22,BS_RE33!$F$7:$F$874,'30 days CF Table(RMB)'!$C$2)</f>
        <v>0</v>
      </c>
      <c r="T22" s="337">
        <f>SUMIFS(BS_RE33!$H$7:$H$874,BS_RE33!$S$7:$S$874,$T$2,BS_RE33!$N$7:$N$874,I22,BS_RE33!$P$7:$P$874,'30 days CF Table(RMB)'!G22,BS_RE33!$F$7:$F$874,'30 days CF Table(RMB)'!$C$2)</f>
        <v>0</v>
      </c>
      <c r="U22" s="337">
        <f>SUMIFS(BS_RE33!$H$7:$H$874,BS_RE33!$S$7:$S$874,$U$2,BS_RE33!$N$7:$N$874,I22,BS_RE33!$P$7:$P$874,'30 days CF Table(RMB)'!G22,BS_RE33!$F$7:$F$874,'30 days CF Table(RMB)'!$C$2)</f>
        <v>0</v>
      </c>
      <c r="V22" s="337">
        <f>SUMIFS(BS_RE33!$H$7:$H$874,BS_RE33!$S$7:$S$874,$V$2,BS_RE33!$N$7:$N$874,I22,BS_RE33!$P$7:$P$874,'30 days CF Table(RMB)'!G22,BS_RE33!$F$7:$F$874,'30 days CF Table(RMB)'!$C$2)</f>
        <v>0</v>
      </c>
      <c r="W22" s="337">
        <f>SUMIFS(BS_RE33!$H$7:$H$874,BS_RE33!$S$7:$S$874,$W$2,BS_RE33!$N$7:$N$874,I22,BS_RE33!$P$7:$P$874,'30 days CF Table(RMB)'!G22,BS_RE33!$F$7:$F$874,'30 days CF Table(RMB)'!$C$2)</f>
        <v>0</v>
      </c>
      <c r="X22" s="337">
        <f>SUMIFS(BS_RE33!$H$7:$H$874,BS_RE33!$S$7:$S$874,$X$2,BS_RE33!$N$7:$N$874,I22,BS_RE33!$P$7:$P$874,'30 days CF Table(RMB)'!G22,BS_RE33!$F$7:$F$874,'30 days CF Table(RMB)'!$C$2)</f>
        <v>0</v>
      </c>
      <c r="Y22" s="337">
        <f>SUMIFS(BS_RE33!$H$7:$H$874,BS_RE33!$S$7:$S$874,$Y$2,BS_RE33!$N$7:$N$874,I22,BS_RE33!$P$7:$P$874,'30 days CF Table(RMB)'!G22,BS_RE33!$F$7:$F$874,'30 days CF Table(RMB)'!$C$2)</f>
        <v>0</v>
      </c>
      <c r="Z22" s="337">
        <f>SUMIFS(BS_RE33!$H$7:$H$874,BS_RE33!$S$7:$S$874,$Z$2,BS_RE33!$N$7:$N$874,I22,BS_RE33!$P$7:$P$874,'30 days CF Table(RMB)'!G22,BS_RE33!$F$7:$F$874,'30 days CF Table(RMB)'!$C$2)</f>
        <v>0</v>
      </c>
      <c r="AA22" s="337">
        <f>SUMIFS(BS_RE33!$H$7:$H$874,BS_RE33!$S$7:$S$874,$AA$2,BS_RE33!$N$7:$N$874,I22,BS_RE33!$P$7:$P$874,'30 days CF Table(RMB)'!G22,BS_RE33!$F$7:$F$874,'30 days CF Table(RMB)'!$C$2)</f>
        <v>0</v>
      </c>
      <c r="AB22" s="337">
        <f>SUMIFS(BS_RE33!$H$7:$H$874,BS_RE33!$S$7:$S$874,$AB$2,BS_RE33!$N$7:$N$874,I22,BS_RE33!$P$7:$P$874,'30 days CF Table(RMB)'!G22,BS_RE33!$F$7:$F$874,'30 days CF Table(RMB)'!$C$2)</f>
        <v>0</v>
      </c>
      <c r="AC22" s="337">
        <f>SUMIFS(BS_RE33!$H$7:$H$874,BS_RE33!$S$7:$S$874,$AC$2,BS_RE33!$N$7:$N$874,I22,BS_RE33!$P$7:$P$874,'30 days CF Table(RMB)'!G22,BS_RE33!$F$7:$F$874,'30 days CF Table(RMB)'!$C$2)</f>
        <v>0</v>
      </c>
      <c r="AD22" s="337">
        <f>SUMIFS(BS_RE33!$H$7:$H$874,BS_RE33!$S$7:$S$874,$AD$2,BS_RE33!$N$7:$N$874,I22,BS_RE33!$P$7:$P$874,'30 days CF Table(RMB)'!G22,BS_RE33!$F$7:$F$874,'30 days CF Table(RMB)'!$C$2)</f>
        <v>0</v>
      </c>
      <c r="AE22" s="337">
        <f>SUMIFS(BS_RE33!$H$7:$H$874,BS_RE33!$S$7:$S$874,$AE$2,BS_RE33!$N$7:$N$874,I22,BS_RE33!$P$7:$P$874,'30 days CF Table(RMB)'!G22,BS_RE33!$F$7:$F$874,'30 days CF Table(RMB)'!$C$2)</f>
        <v>0</v>
      </c>
      <c r="AF22" s="337">
        <f>SUMIFS(BS_RE33!$H$7:$H$874,BS_RE33!$S$7:$S$874,$AF$2,BS_RE33!$N$7:$N$874,I22,BS_RE33!$P$7:$P$874,'30 days CF Table(RMB)'!G22,BS_RE33!$F$7:$F$874,'30 days CF Table(RMB)'!$C$2)</f>
        <v>0</v>
      </c>
      <c r="AG22" s="337">
        <f>SUMIFS(BS_RE33!$H$7:$H$874,BS_RE33!$S$7:$S$874,$AG$2,BS_RE33!$N$7:$N$874,I22,BS_RE33!$P$7:$P$874,'30 days CF Table(RMB)'!G22,BS_RE33!$F$7:$F$874,'30 days CF Table(RMB)'!$C$2)</f>
        <v>0</v>
      </c>
      <c r="AH22" s="337">
        <f>SUMIFS(BS_RE33!$H$7:$H$874,BS_RE33!$S$7:$S$874,$AH$2,BS_RE33!$N$7:$N$874,I22,BS_RE33!$P$7:$P$874,'30 days CF Table(RMB)'!G22,BS_RE33!$F$7:$F$874,'30 days CF Table(RMB)'!$C$2)</f>
        <v>0</v>
      </c>
      <c r="AI22" s="337">
        <f>SUMIFS(BS_RE33!$H$7:$H$874,BS_RE33!$S$7:$S$874,$AI$2,BS_RE33!$N$7:$N$874,I22,BS_RE33!$P$7:$P$874,'30 days CF Table(RMB)'!G22,BS_RE33!$F$7:$F$874,'30 days CF Table(RMB)'!$C$2)</f>
        <v>0</v>
      </c>
      <c r="AJ22" s="337">
        <f>SUMIFS(BS_RE33!$H$7:$H$874,BS_RE33!$S$7:$S$874,$AJ$2,BS_RE33!$N$7:$N$874,I22,BS_RE33!$P$7:$P$874,'30 days CF Table(RMB)'!G22,BS_RE33!$F$7:$F$874,'30 days CF Table(RMB)'!$C$2)</f>
        <v>0</v>
      </c>
      <c r="AK22" s="337">
        <f>SUMIFS(BS_RE33!$H$7:$H$874,BS_RE33!$S$7:$S$874,$AK$2,BS_RE33!$N$7:$N$874,I22,BS_RE33!$P$7:$P$874,'30 days CF Table(RMB)'!G22,BS_RE33!$F$7:$F$874,'30 days CF Table(RMB)'!$C$2)</f>
        <v>0</v>
      </c>
      <c r="AL22" s="337">
        <f>SUMIFS(BS_RE33!$H$7:$H$874,BS_RE33!$S$7:$S$874,$AL$2,BS_RE33!$N$7:$N$874,I22,BS_RE33!$P$7:$P$874,'30 days CF Table(RMB)'!G22,BS_RE33!$F$7:$F$874,'30 days CF Table(RMB)'!$C$2)</f>
        <v>0</v>
      </c>
      <c r="AM22" s="337">
        <f>SUMIFS(BS_RE33!$H$7:$H$874,BS_RE33!$S$7:$S$874,$AM$2,BS_RE33!$N$7:$N$874,I22,BS_RE33!$P$7:$P$874,'30 days CF Table(RMB)'!G22,BS_RE33!$F$7:$F$874,'30 days CF Table(RMB)'!$C$2)</f>
        <v>0</v>
      </c>
      <c r="AN22" s="337">
        <f>SUMIFS(BS_RE33!$H$7:$H$874,BS_RE33!$S$7:$S$874,$AN$2,BS_RE33!$N$7:$N$874,I22,BS_RE33!$P$7:$P$874,'30 days CF Table(RMB)'!G22,BS_RE33!$F$7:$F$874,'30 days CF Table(RMB)'!$C$2)</f>
        <v>0</v>
      </c>
      <c r="AO22" s="337">
        <f>SUMIFS(BS_RE33!$H$7:$H$874,BS_RE33!$S$7:$S$874,$AO$2,BS_RE33!$N$7:$N$874,I22,BS_RE33!$P$7:$P$874,'30 days CF Table(RMB)'!G22,BS_RE33!$F$7:$F$874,'30 days CF Table(RMB)'!$C$2)</f>
        <v>0</v>
      </c>
      <c r="AP22" s="338">
        <f>SUMIFS(BS_RE33!$H$7:$H$874,BS_RE33!$S$7:$S$874,$AP$2,BS_RE33!$N$7:$N$874,I22,BS_RE33!$P$7:$P$874,'30 days CF Table(RMB)'!G22,BS_RE33!$F$7:$F$874,'30 days CF Table(RMB)'!$C$2)</f>
        <v>0</v>
      </c>
      <c r="AQ22" s="545"/>
      <c r="AR22" s="379">
        <f>SUMIFS(BS_RE33!$H$7:$H$874,BS_RE33!$S$7:$S$874,$AR$2,BS_RE33!$N$7:$N$874,I22,BS_RE33!$P$7:$P$874,'30 days CF Table(RMB)'!G22,BS_RE33!$F$7:$F$874,'30 days CF Table(RMB)'!$C$2)</f>
        <v>0</v>
      </c>
      <c r="AS22" s="379">
        <f>SUMIFS(BS_RE33!$H$7:$H$874,BS_RE33!$S$7:$S$874,$AS$2,BS_RE33!$N$7:$N$874,I22,BS_RE33!$P$7:$P$874,'30 days CF Table(RMB)'!G22,BS_RE33!$F$7:$F$874,'30 days CF Table(RMB)'!$C$2)</f>
        <v>0</v>
      </c>
      <c r="AT22" s="379">
        <f>SUMIFS(BS_RE33!$H$7:$H$874,BS_RE33!$S$7:$S$874,$AT$2,BS_RE33!$N$7:$N$874,I22,BS_RE33!$P$7:$P$874,'30 days CF Table(RMB)'!G22,BS_RE33!$F$7:$F$874,'30 days CF Table(RMB)'!$C$2)</f>
        <v>0</v>
      </c>
      <c r="AU22" s="379">
        <f>SUMIFS(BS_RE33!$H$7:$H$874,BS_RE33!$S$7:$S$874,$AU$2,BS_RE33!$N$7:$N$874,I22,BS_RE33!$P$7:$P$874,'30 days CF Table(RMB)'!G22,BS_RE33!$F$7:$F$874,'30 days CF Table(RMB)'!$C$2)</f>
        <v>0</v>
      </c>
      <c r="AV22" s="379">
        <f>SUMIFS(BS_RE33!$H$7:$H$874,BS_RE33!$S$7:$S$874,$AV$2,BS_RE33!$N$7:$N$874,I22,BS_RE33!$P$7:$P$874,'30 days CF Table(RMB)'!G22,BS_RE33!$F$7:$F$874,'30 days CF Table(RMB)'!$C$2)</f>
        <v>0</v>
      </c>
      <c r="AW22" s="379">
        <f>SUMIFS(BS_RE33!$H$7:$H$874,BS_RE33!$S$7:$S$874,$AW$2,BS_RE33!$N$7:$N$874,I22,BS_RE33!$P$7:$P$874,'30 days CF Table(RMB)'!G22,BS_RE33!$F$7:$F$874,'30 days CF Table(RMB)'!$C$2)</f>
        <v>0</v>
      </c>
      <c r="AX22" s="379">
        <f>SUMIFS(BS_RE33!$H$7:$H$874,BS_RE33!$S$7:$S$874,$AX$2,BS_RE33!$N$7:$N$874,I22,BS_RE33!$P$7:$P$874,'30 days CF Table(RMB)'!G22,BS_RE33!$F$7:$F$874,'30 days CF Table(RMB)'!$C$2)</f>
        <v>0</v>
      </c>
      <c r="AY22" s="379">
        <f>SUMIFS(BS_RE33!$H$7:$H$874,BS_RE33!$S$7:$S$874,$AY$2,BS_RE33!$N$7:$N$874,I22,BS_RE33!$P$7:$P$874,'30 days CF Table(RMB)'!G22,BS_RE33!$F$7:$F$874,'30 days CF Table(RMB)'!$C$2)</f>
        <v>0</v>
      </c>
      <c r="AZ22" s="379">
        <f>SUMIFS(BS_RE33!$H$7:$H$874,BS_RE33!$S$7:$S$874,$AZ$2,BS_RE33!$N$7:$N$874,I22,BS_RE33!$P$7:$P$874,'30 days CF Table(RMB)'!G22,BS_RE33!$F$7:$F$874,'30 days CF Table(RMB)'!$C$2)</f>
        <v>0</v>
      </c>
      <c r="BA22" s="379">
        <f>SUMIFS(BS_RE33!$H$7:$H$874,BS_RE33!$S$7:$S$874,$BA$2,BS_RE33!$N$7:$N$874,I22,BS_RE33!$P$7:$P$874,'30 days CF Table(RMB)'!G22,BS_RE33!$F$7:$F$874,'30 days CF Table(RMB)'!$C$2)</f>
        <v>0</v>
      </c>
      <c r="BB22" s="379">
        <f>SUMIFS(BS_RE33!$H$7:$H$874,BS_RE33!$S$7:$S$874,$BB$2,BS_RE33!$N$7:$N$874,I22,BS_RE33!$P$7:$P$874,'30 days CF Table(RMB)'!G22,BS_RE33!$F$7:$F$874,'30 days CF Table(RMB)'!$C$2)</f>
        <v>0</v>
      </c>
      <c r="BC22" s="379">
        <f>SUMIFS(BS_RE33!$H$7:$H$874,BS_RE33!$S$7:$S$874,$BC$2,BS_RE33!$N$7:$N$874,I22,BS_RE33!$P$7:$P$874,'30 days CF Table(RMB)'!G22,BS_RE33!$F$7:$F$874,'30 days CF Table(RMB)'!$C$2)</f>
        <v>0</v>
      </c>
      <c r="BD22" s="379">
        <f>SUMIFS(BS_RE33!$H$7:$H$874,BS_RE33!$S$7:$S$874,$BD$2,BS_RE33!$N$7:$N$874,I22,BS_RE33!$P$7:$P$874,'30 days CF Table(RMB)'!G22,BS_RE33!$F$7:$F$874,'30 days CF Table(RMB)'!$C$2)</f>
        <v>0</v>
      </c>
      <c r="BE22" s="379">
        <f>SUMIFS(BS_RE33!$H$7:$H$874,BS_RE33!$S$7:$S$874,$BE$2,BS_RE33!$N$7:$N$874,I22,BS_RE33!$P$7:$P$874,'30 days CF Table(RMB)'!G22,BS_RE33!$F$7:$F$874,'30 days CF Table(RMB)'!$C$2)</f>
        <v>0</v>
      </c>
      <c r="BF22" s="379">
        <f>SUMIFS(BS_RE33!$H$7:$H$874,BS_RE33!$S$7:$S$874,$BF$2,BS_RE33!$N$7:$N$874,I22,BS_RE33!$P$7:$P$874,'30 days CF Table(RMB)'!G22,BS_RE33!$F$7:$F$874,'30 days CF Table(RMB)'!$C$2)</f>
        <v>0</v>
      </c>
      <c r="BG22" s="379">
        <f>SUMIFS(BS_RE33!$H$7:$H$874,BS_RE33!$S$7:$S$874,$BG$2,BS_RE33!$N$7:$N$874,I22,BS_RE33!$P$7:$P$874,'30 days CF Table(RMB)'!G22,BS_RE33!$F$7:$F$874,'30 days CF Table(RMB)'!$C$2)</f>
        <v>0</v>
      </c>
      <c r="BH22" s="379">
        <f>SUMIFS(BS_RE33!$H$7:$H$874,BS_RE33!$S$7:$S$874,$BH$2,BS_RE33!$N$7:$N$874,I22,BS_RE33!$P$7:$P$874,'30 days CF Table(RMB)'!G22,BS_RE33!$F$7:$F$874,'30 days CF Table(RMB)'!$C$2)</f>
        <v>0</v>
      </c>
      <c r="BI22" s="379">
        <f>SUMIFS(BS_RE33!$H$7:$H$874,BS_RE33!$S$7:$S$874,$BI$2,BS_RE33!$N$7:$N$874,I22,BS_RE33!$P$7:$P$874,'30 days CF Table(RMB)'!G22,BS_RE33!$F$7:$F$874,'30 days CF Table(RMB)'!$C$2)</f>
        <v>0</v>
      </c>
      <c r="BJ22" s="379">
        <f>SUMIFS(BS_RE33!$H$7:$H$874,BS_RE33!$S$7:$S$874,$BJ$2,BS_RE33!$N$7:$N$874,I22,BS_RE33!$P$7:$P$874,'30 days CF Table(RMB)'!G22,BS_RE33!$F$7:$F$874,'30 days CF Table(RMB)'!$C$2)</f>
        <v>0</v>
      </c>
      <c r="BK22" s="379">
        <f>SUMIFS(BS_RE33!$H$7:$H$874,BS_RE33!$S$7:$S$874,$BK$2,BS_RE33!$N$7:$N$874,I22,BS_RE33!$P$7:$P$874,'30 days CF Table(RMB)'!G22,BS_RE33!$F$7:$F$874,'30 days CF Table(RMB)'!$C$2)</f>
        <v>0</v>
      </c>
    </row>
    <row r="23" spans="1:63">
      <c r="C23" s="1027"/>
      <c r="D23" s="1028" t="s">
        <v>750</v>
      </c>
      <c r="E23" s="310" t="s">
        <v>76</v>
      </c>
      <c r="F23" s="309"/>
      <c r="G23" s="392" t="s">
        <v>510</v>
      </c>
      <c r="H23" s="130">
        <v>0</v>
      </c>
      <c r="I23" s="305" t="s">
        <v>63</v>
      </c>
      <c r="J23" s="477">
        <f t="shared" si="2"/>
        <v>0</v>
      </c>
      <c r="K23" s="335">
        <f t="shared" si="3"/>
        <v>0</v>
      </c>
      <c r="L23" s="337">
        <f>SUMIFS(BS_RE33!$H$7:$H$874,BS_RE33!$S$7:$S$874,$L$2,BS_RE33!$N$7:$N$874,I23,BS_RE33!$P$7:$P$874,'30 days CF Table(RMB)'!G23,BS_RE33!$F$7:$F$874,'30 days CF Table(RMB)'!$C$2)</f>
        <v>0</v>
      </c>
      <c r="M23" s="337">
        <f>SUMIFS(BS_RE33!$H$7:$H$874,BS_RE33!$S$7:$S$874,$M$2,BS_RE33!$N$7:$N$874,I23,BS_RE33!$P$7:$P$874,'30 days CF Table(RMB)'!G23,BS_RE33!$F$7:$F$874,'30 days CF Table(RMB)'!$C$2)</f>
        <v>0</v>
      </c>
      <c r="N23" s="337">
        <f>SUMIFS(BS_RE33!$H$7:$H$874,BS_RE33!$S$7:$S$874,$N$2,BS_RE33!$N$7:$N$874,I23,BS_RE33!$P$7:$P$874,'30 days CF Table(RMB)'!G23,BS_RE33!$F$7:$F$874,'30 days CF Table(RMB)'!$C$2)</f>
        <v>0</v>
      </c>
      <c r="O23" s="337">
        <f>SUMIFS(BS_RE33!$H$7:$H$874,BS_RE33!$S$7:$S$874,$O$2,BS_RE33!$N$7:$N$874,I23,BS_RE33!$P$7:$P$874,'30 days CF Table(RMB)'!G23,BS_RE33!$F$7:$F$874,'30 days CF Table(RMB)'!$C$2)</f>
        <v>0</v>
      </c>
      <c r="P23" s="337">
        <f>SUMIFS(BS_RE33!$H$7:$H$874,BS_RE33!$S$7:$S$874,$P$2,BS_RE33!$N$7:$N$874,I23,BS_RE33!$P$7:$P$874,'30 days CF Table(RMB)'!G23,BS_RE33!$F$7:$F$874,'30 days CF Table(RMB)'!$C$2)</f>
        <v>0</v>
      </c>
      <c r="Q23" s="337">
        <f>SUMIFS(BS_RE33!$H$7:$H$874,BS_RE33!$S$7:$S$874,$Q$2,BS_RE33!$N$7:$N$874,I23,BS_RE33!$P$7:$P$874,'30 days CF Table(RMB)'!G23,BS_RE33!$F$7:$F$874,'30 days CF Table(RMB)'!$C$2)</f>
        <v>0</v>
      </c>
      <c r="R23" s="337">
        <f>SUMIFS(BS_RE33!$H$7:$H$874,BS_RE33!$S$7:$S$874,$R$2,BS_RE33!$N$7:$N$874,I23,BS_RE33!$P$7:$P$874,'30 days CF Table(RMB)'!G23,BS_RE33!$F$7:$F$874,'30 days CF Table(RMB)'!$C$2)</f>
        <v>0</v>
      </c>
      <c r="S23" s="337">
        <f>SUMIFS(BS_RE33!$H$7:$H$874,BS_RE33!$S$7:$S$874,$S$2,BS_RE33!$N$7:$N$874,I23,BS_RE33!$P$7:$P$874,'30 days CF Table(RMB)'!G23,BS_RE33!$F$7:$F$874,'30 days CF Table(RMB)'!$C$2)</f>
        <v>0</v>
      </c>
      <c r="T23" s="337">
        <f>SUMIFS(BS_RE33!$H$7:$H$874,BS_RE33!$S$7:$S$874,$T$2,BS_RE33!$N$7:$N$874,I23,BS_RE33!$P$7:$P$874,'30 days CF Table(RMB)'!G23,BS_RE33!$F$7:$F$874,'30 days CF Table(RMB)'!$C$2)</f>
        <v>0</v>
      </c>
      <c r="U23" s="337">
        <f>SUMIFS(BS_RE33!$H$7:$H$874,BS_RE33!$S$7:$S$874,$U$2,BS_RE33!$N$7:$N$874,I23,BS_RE33!$P$7:$P$874,'30 days CF Table(RMB)'!G23,BS_RE33!$F$7:$F$874,'30 days CF Table(RMB)'!$C$2)</f>
        <v>0</v>
      </c>
      <c r="V23" s="337">
        <f>SUMIFS(BS_RE33!$H$7:$H$874,BS_RE33!$S$7:$S$874,$V$2,BS_RE33!$N$7:$N$874,I23,BS_RE33!$P$7:$P$874,'30 days CF Table(RMB)'!G23,BS_RE33!$F$7:$F$874,'30 days CF Table(RMB)'!$C$2)</f>
        <v>0</v>
      </c>
      <c r="W23" s="337">
        <f>SUMIFS(BS_RE33!$H$7:$H$874,BS_RE33!$S$7:$S$874,$W$2,BS_RE33!$N$7:$N$874,I23,BS_RE33!$P$7:$P$874,'30 days CF Table(RMB)'!G23,BS_RE33!$F$7:$F$874,'30 days CF Table(RMB)'!$C$2)</f>
        <v>0</v>
      </c>
      <c r="X23" s="337">
        <f>SUMIFS(BS_RE33!$H$7:$H$874,BS_RE33!$S$7:$S$874,$X$2,BS_RE33!$N$7:$N$874,I23,BS_RE33!$P$7:$P$874,'30 days CF Table(RMB)'!G23,BS_RE33!$F$7:$F$874,'30 days CF Table(RMB)'!$C$2)</f>
        <v>0</v>
      </c>
      <c r="Y23" s="337">
        <f>SUMIFS(BS_RE33!$H$7:$H$874,BS_RE33!$S$7:$S$874,$Y$2,BS_RE33!$N$7:$N$874,I23,BS_RE33!$P$7:$P$874,'30 days CF Table(RMB)'!G23,BS_RE33!$F$7:$F$874,'30 days CF Table(RMB)'!$C$2)</f>
        <v>0</v>
      </c>
      <c r="Z23" s="337">
        <f>SUMIFS(BS_RE33!$H$7:$H$874,BS_RE33!$S$7:$S$874,$Z$2,BS_RE33!$N$7:$N$874,I23,BS_RE33!$P$7:$P$874,'30 days CF Table(RMB)'!G23,BS_RE33!$F$7:$F$874,'30 days CF Table(RMB)'!$C$2)</f>
        <v>0</v>
      </c>
      <c r="AA23" s="337">
        <f>SUMIFS(BS_RE33!$H$7:$H$874,BS_RE33!$S$7:$S$874,$AA$2,BS_RE33!$N$7:$N$874,I23,BS_RE33!$P$7:$P$874,'30 days CF Table(RMB)'!G23,BS_RE33!$F$7:$F$874,'30 days CF Table(RMB)'!$C$2)</f>
        <v>0</v>
      </c>
      <c r="AB23" s="337">
        <f>SUMIFS(BS_RE33!$H$7:$H$874,BS_RE33!$S$7:$S$874,$AB$2,BS_RE33!$N$7:$N$874,I23,BS_RE33!$P$7:$P$874,'30 days CF Table(RMB)'!G23,BS_RE33!$F$7:$F$874,'30 days CF Table(RMB)'!$C$2)</f>
        <v>0</v>
      </c>
      <c r="AC23" s="337">
        <f>SUMIFS(BS_RE33!$H$7:$H$874,BS_RE33!$S$7:$S$874,$AC$2,BS_RE33!$N$7:$N$874,I23,BS_RE33!$P$7:$P$874,'30 days CF Table(RMB)'!G23,BS_RE33!$F$7:$F$874,'30 days CF Table(RMB)'!$C$2)</f>
        <v>0</v>
      </c>
      <c r="AD23" s="337">
        <f>SUMIFS(BS_RE33!$H$7:$H$874,BS_RE33!$S$7:$S$874,$AD$2,BS_RE33!$N$7:$N$874,I23,BS_RE33!$P$7:$P$874,'30 days CF Table(RMB)'!G23,BS_RE33!$F$7:$F$874,'30 days CF Table(RMB)'!$C$2)</f>
        <v>0</v>
      </c>
      <c r="AE23" s="337">
        <f>SUMIFS(BS_RE33!$H$7:$H$874,BS_RE33!$S$7:$S$874,$AE$2,BS_RE33!$N$7:$N$874,I23,BS_RE33!$P$7:$P$874,'30 days CF Table(RMB)'!G23,BS_RE33!$F$7:$F$874,'30 days CF Table(RMB)'!$C$2)</f>
        <v>0</v>
      </c>
      <c r="AF23" s="337">
        <f>SUMIFS(BS_RE33!$H$7:$H$874,BS_RE33!$S$7:$S$874,$AF$2,BS_RE33!$N$7:$N$874,I23,BS_RE33!$P$7:$P$874,'30 days CF Table(RMB)'!G23,BS_RE33!$F$7:$F$874,'30 days CF Table(RMB)'!$C$2)</f>
        <v>0</v>
      </c>
      <c r="AG23" s="337">
        <f>SUMIFS(BS_RE33!$H$7:$H$874,BS_RE33!$S$7:$S$874,$AG$2,BS_RE33!$N$7:$N$874,I23,BS_RE33!$P$7:$P$874,'30 days CF Table(RMB)'!G23,BS_RE33!$F$7:$F$874,'30 days CF Table(RMB)'!$C$2)</f>
        <v>0</v>
      </c>
      <c r="AH23" s="337">
        <f>SUMIFS(BS_RE33!$H$7:$H$874,BS_RE33!$S$7:$S$874,$AH$2,BS_RE33!$N$7:$N$874,I23,BS_RE33!$P$7:$P$874,'30 days CF Table(RMB)'!G23,BS_RE33!$F$7:$F$874,'30 days CF Table(RMB)'!$C$2)</f>
        <v>0</v>
      </c>
      <c r="AI23" s="337">
        <f>SUMIFS(BS_RE33!$H$7:$H$874,BS_RE33!$S$7:$S$874,$AI$2,BS_RE33!$N$7:$N$874,I23,BS_RE33!$P$7:$P$874,'30 days CF Table(RMB)'!G23,BS_RE33!$F$7:$F$874,'30 days CF Table(RMB)'!$C$2)</f>
        <v>0</v>
      </c>
      <c r="AJ23" s="337">
        <f>SUMIFS(BS_RE33!$H$7:$H$874,BS_RE33!$S$7:$S$874,$AJ$2,BS_RE33!$N$7:$N$874,I23,BS_RE33!$P$7:$P$874,'30 days CF Table(RMB)'!G23,BS_RE33!$F$7:$F$874,'30 days CF Table(RMB)'!$C$2)</f>
        <v>0</v>
      </c>
      <c r="AK23" s="337">
        <f>SUMIFS(BS_RE33!$H$7:$H$874,BS_RE33!$S$7:$S$874,$AK$2,BS_RE33!$N$7:$N$874,I23,BS_RE33!$P$7:$P$874,'30 days CF Table(RMB)'!G23,BS_RE33!$F$7:$F$874,'30 days CF Table(RMB)'!$C$2)</f>
        <v>0</v>
      </c>
      <c r="AL23" s="337">
        <f>SUMIFS(BS_RE33!$H$7:$H$874,BS_RE33!$S$7:$S$874,$AL$2,BS_RE33!$N$7:$N$874,I23,BS_RE33!$P$7:$P$874,'30 days CF Table(RMB)'!G23,BS_RE33!$F$7:$F$874,'30 days CF Table(RMB)'!$C$2)</f>
        <v>0</v>
      </c>
      <c r="AM23" s="337">
        <f>SUMIFS(BS_RE33!$H$7:$H$874,BS_RE33!$S$7:$S$874,$AM$2,BS_RE33!$N$7:$N$874,I23,BS_RE33!$P$7:$P$874,'30 days CF Table(RMB)'!G23,BS_RE33!$F$7:$F$874,'30 days CF Table(RMB)'!$C$2)</f>
        <v>0</v>
      </c>
      <c r="AN23" s="337">
        <f>SUMIFS(BS_RE33!$H$7:$H$874,BS_RE33!$S$7:$S$874,$AN$2,BS_RE33!$N$7:$N$874,I23,BS_RE33!$P$7:$P$874,'30 days CF Table(RMB)'!G23,BS_RE33!$F$7:$F$874,'30 days CF Table(RMB)'!$C$2)</f>
        <v>0</v>
      </c>
      <c r="AO23" s="337">
        <f>SUMIFS(BS_RE33!$H$7:$H$874,BS_RE33!$S$7:$S$874,$AO$2,BS_RE33!$N$7:$N$874,I23,BS_RE33!$P$7:$P$874,'30 days CF Table(RMB)'!G23,BS_RE33!$F$7:$F$874,'30 days CF Table(RMB)'!$C$2)</f>
        <v>0</v>
      </c>
      <c r="AP23" s="338">
        <f>SUMIFS(BS_RE33!$H$7:$H$874,BS_RE33!$S$7:$S$874,$AP$2,BS_RE33!$N$7:$N$874,I23,BS_RE33!$P$7:$P$874,'30 days CF Table(RMB)'!G23,BS_RE33!$F$7:$F$874,'30 days CF Table(RMB)'!$C$2)</f>
        <v>0</v>
      </c>
      <c r="AQ23" s="545"/>
      <c r="AR23" s="379">
        <f>SUMIFS(BS_RE33!$H$7:$H$874,BS_RE33!$S$7:$S$874,$AR$2,BS_RE33!$N$7:$N$874,I23,BS_RE33!$P$7:$P$874,'30 days CF Table(RMB)'!G23,BS_RE33!$F$7:$F$874,'30 days CF Table(RMB)'!$C$2)</f>
        <v>0</v>
      </c>
      <c r="AS23" s="379">
        <f>SUMIFS(BS_RE33!$H$7:$H$874,BS_RE33!$S$7:$S$874,$AS$2,BS_RE33!$N$7:$N$874,I23,BS_RE33!$P$7:$P$874,'30 days CF Table(RMB)'!G23,BS_RE33!$F$7:$F$874,'30 days CF Table(RMB)'!$C$2)</f>
        <v>0</v>
      </c>
      <c r="AT23" s="379">
        <f>SUMIFS(BS_RE33!$H$7:$H$874,BS_RE33!$S$7:$S$874,$AT$2,BS_RE33!$N$7:$N$874,I23,BS_RE33!$P$7:$P$874,'30 days CF Table(RMB)'!G23,BS_RE33!$F$7:$F$874,'30 days CF Table(RMB)'!$C$2)</f>
        <v>0</v>
      </c>
      <c r="AU23" s="379">
        <f>SUMIFS(BS_RE33!$H$7:$H$874,BS_RE33!$S$7:$S$874,$AU$2,BS_RE33!$N$7:$N$874,I23,BS_RE33!$P$7:$P$874,'30 days CF Table(RMB)'!G23,BS_RE33!$F$7:$F$874,'30 days CF Table(RMB)'!$C$2)</f>
        <v>0</v>
      </c>
      <c r="AV23" s="379">
        <f>SUMIFS(BS_RE33!$H$7:$H$874,BS_RE33!$S$7:$S$874,$AV$2,BS_RE33!$N$7:$N$874,I23,BS_RE33!$P$7:$P$874,'30 days CF Table(RMB)'!G23,BS_RE33!$F$7:$F$874,'30 days CF Table(RMB)'!$C$2)</f>
        <v>0</v>
      </c>
      <c r="AW23" s="379">
        <f>SUMIFS(BS_RE33!$H$7:$H$874,BS_RE33!$S$7:$S$874,$AW$2,BS_RE33!$N$7:$N$874,I23,BS_RE33!$P$7:$P$874,'30 days CF Table(RMB)'!G23,BS_RE33!$F$7:$F$874,'30 days CF Table(RMB)'!$C$2)</f>
        <v>0</v>
      </c>
      <c r="AX23" s="379">
        <f>SUMIFS(BS_RE33!$H$7:$H$874,BS_RE33!$S$7:$S$874,$AX$2,BS_RE33!$N$7:$N$874,I23,BS_RE33!$P$7:$P$874,'30 days CF Table(RMB)'!G23,BS_RE33!$F$7:$F$874,'30 days CF Table(RMB)'!$C$2)</f>
        <v>0</v>
      </c>
      <c r="AY23" s="379">
        <f>SUMIFS(BS_RE33!$H$7:$H$874,BS_RE33!$S$7:$S$874,$AY$2,BS_RE33!$N$7:$N$874,I23,BS_RE33!$P$7:$P$874,'30 days CF Table(RMB)'!G23,BS_RE33!$F$7:$F$874,'30 days CF Table(RMB)'!$C$2)</f>
        <v>0</v>
      </c>
      <c r="AZ23" s="379">
        <f>SUMIFS(BS_RE33!$H$7:$H$874,BS_RE33!$S$7:$S$874,$AZ$2,BS_RE33!$N$7:$N$874,I23,BS_RE33!$P$7:$P$874,'30 days CF Table(RMB)'!G23,BS_RE33!$F$7:$F$874,'30 days CF Table(RMB)'!$C$2)</f>
        <v>0</v>
      </c>
      <c r="BA23" s="379">
        <f>SUMIFS(BS_RE33!$H$7:$H$874,BS_RE33!$S$7:$S$874,$BA$2,BS_RE33!$N$7:$N$874,I23,BS_RE33!$P$7:$P$874,'30 days CF Table(RMB)'!G23,BS_RE33!$F$7:$F$874,'30 days CF Table(RMB)'!$C$2)</f>
        <v>0</v>
      </c>
      <c r="BB23" s="379">
        <f>SUMIFS(BS_RE33!$H$7:$H$874,BS_RE33!$S$7:$S$874,$BB$2,BS_RE33!$N$7:$N$874,I23,BS_RE33!$P$7:$P$874,'30 days CF Table(RMB)'!G23,BS_RE33!$F$7:$F$874,'30 days CF Table(RMB)'!$C$2)</f>
        <v>0</v>
      </c>
      <c r="BC23" s="379">
        <f>SUMIFS(BS_RE33!$H$7:$H$874,BS_RE33!$S$7:$S$874,$BC$2,BS_RE33!$N$7:$N$874,I23,BS_RE33!$P$7:$P$874,'30 days CF Table(RMB)'!G23,BS_RE33!$F$7:$F$874,'30 days CF Table(RMB)'!$C$2)</f>
        <v>0</v>
      </c>
      <c r="BD23" s="379">
        <f>SUMIFS(BS_RE33!$H$7:$H$874,BS_RE33!$S$7:$S$874,$BD$2,BS_RE33!$N$7:$N$874,I23,BS_RE33!$P$7:$P$874,'30 days CF Table(RMB)'!G23,BS_RE33!$F$7:$F$874,'30 days CF Table(RMB)'!$C$2)</f>
        <v>0</v>
      </c>
      <c r="BE23" s="379">
        <f>SUMIFS(BS_RE33!$H$7:$H$874,BS_RE33!$S$7:$S$874,$BE$2,BS_RE33!$N$7:$N$874,I23,BS_RE33!$P$7:$P$874,'30 days CF Table(RMB)'!G23,BS_RE33!$F$7:$F$874,'30 days CF Table(RMB)'!$C$2)</f>
        <v>0</v>
      </c>
      <c r="BF23" s="379">
        <f>SUMIFS(BS_RE33!$H$7:$H$874,BS_RE33!$S$7:$S$874,$BF$2,BS_RE33!$N$7:$N$874,I23,BS_RE33!$P$7:$P$874,'30 days CF Table(RMB)'!G23,BS_RE33!$F$7:$F$874,'30 days CF Table(RMB)'!$C$2)</f>
        <v>0</v>
      </c>
      <c r="BG23" s="379">
        <f>SUMIFS(BS_RE33!$H$7:$H$874,BS_RE33!$S$7:$S$874,$BG$2,BS_RE33!$N$7:$N$874,I23,BS_RE33!$P$7:$P$874,'30 days CF Table(RMB)'!G23,BS_RE33!$F$7:$F$874,'30 days CF Table(RMB)'!$C$2)</f>
        <v>0</v>
      </c>
      <c r="BH23" s="379">
        <f>SUMIFS(BS_RE33!$H$7:$H$874,BS_RE33!$S$7:$S$874,$BH$2,BS_RE33!$N$7:$N$874,I23,BS_RE33!$P$7:$P$874,'30 days CF Table(RMB)'!G23,BS_RE33!$F$7:$F$874,'30 days CF Table(RMB)'!$C$2)</f>
        <v>0</v>
      </c>
      <c r="BI23" s="379">
        <f>SUMIFS(BS_RE33!$H$7:$H$874,BS_RE33!$S$7:$S$874,$BI$2,BS_RE33!$N$7:$N$874,I23,BS_RE33!$P$7:$P$874,'30 days CF Table(RMB)'!G23,BS_RE33!$F$7:$F$874,'30 days CF Table(RMB)'!$C$2)</f>
        <v>0</v>
      </c>
      <c r="BJ23" s="379">
        <f>SUMIFS(BS_RE33!$H$7:$H$874,BS_RE33!$S$7:$S$874,$BJ$2,BS_RE33!$N$7:$N$874,I23,BS_RE33!$P$7:$P$874,'30 days CF Table(RMB)'!G23,BS_RE33!$F$7:$F$874,'30 days CF Table(RMB)'!$C$2)</f>
        <v>0</v>
      </c>
      <c r="BK23" s="379">
        <f>SUMIFS(BS_RE33!$H$7:$H$874,BS_RE33!$S$7:$S$874,$BK$2,BS_RE33!$N$7:$N$874,I23,BS_RE33!$P$7:$P$874,'30 days CF Table(RMB)'!G23,BS_RE33!$F$7:$F$874,'30 days CF Table(RMB)'!$C$2)</f>
        <v>0</v>
      </c>
    </row>
    <row r="24" spans="1:63">
      <c r="C24" s="1027"/>
      <c r="D24" s="1028"/>
      <c r="E24" s="310" t="s">
        <v>77</v>
      </c>
      <c r="F24" s="311"/>
      <c r="G24" s="392" t="s">
        <v>511</v>
      </c>
      <c r="H24" s="130">
        <v>0</v>
      </c>
      <c r="I24" s="305" t="s">
        <v>63</v>
      </c>
      <c r="J24" s="477">
        <f t="shared" si="2"/>
        <v>0</v>
      </c>
      <c r="K24" s="335">
        <f t="shared" si="3"/>
        <v>0</v>
      </c>
      <c r="L24" s="337">
        <f>SUMIFS(BS_RE33!$H$7:$H$874,BS_RE33!$S$7:$S$874,$L$2,BS_RE33!$N$7:$N$874,I24,BS_RE33!$P$7:$P$874,'30 days CF Table(RMB)'!G24,BS_RE33!$F$7:$F$874,'30 days CF Table(RMB)'!$C$2)</f>
        <v>0</v>
      </c>
      <c r="M24" s="337">
        <f>SUMIFS(BS_RE33!$H$7:$H$874,BS_RE33!$S$7:$S$874,$M$2,BS_RE33!$N$7:$N$874,I24,BS_RE33!$P$7:$P$874,'30 days CF Table(RMB)'!G24,BS_RE33!$F$7:$F$874,'30 days CF Table(RMB)'!$C$2)</f>
        <v>0</v>
      </c>
      <c r="N24" s="337">
        <f>SUMIFS(BS_RE33!$H$7:$H$874,BS_RE33!$S$7:$S$874,$N$2,BS_RE33!$N$7:$N$874,I24,BS_RE33!$P$7:$P$874,'30 days CF Table(RMB)'!G24,BS_RE33!$F$7:$F$874,'30 days CF Table(RMB)'!$C$2)</f>
        <v>0</v>
      </c>
      <c r="O24" s="337">
        <f>SUMIFS(BS_RE33!$H$7:$H$874,BS_RE33!$S$7:$S$874,$O$2,BS_RE33!$N$7:$N$874,I24,BS_RE33!$P$7:$P$874,'30 days CF Table(RMB)'!G24,BS_RE33!$F$7:$F$874,'30 days CF Table(RMB)'!$C$2)</f>
        <v>0</v>
      </c>
      <c r="P24" s="337">
        <f>SUMIFS(BS_RE33!$H$7:$H$874,BS_RE33!$S$7:$S$874,$P$2,BS_RE33!$N$7:$N$874,I24,BS_RE33!$P$7:$P$874,'30 days CF Table(RMB)'!G24,BS_RE33!$F$7:$F$874,'30 days CF Table(RMB)'!$C$2)</f>
        <v>0</v>
      </c>
      <c r="Q24" s="337">
        <f>SUMIFS(BS_RE33!$H$7:$H$874,BS_RE33!$S$7:$S$874,$Q$2,BS_RE33!$N$7:$N$874,I24,BS_RE33!$P$7:$P$874,'30 days CF Table(RMB)'!G24,BS_RE33!$F$7:$F$874,'30 days CF Table(RMB)'!$C$2)</f>
        <v>0</v>
      </c>
      <c r="R24" s="337">
        <f>SUMIFS(BS_RE33!$H$7:$H$874,BS_RE33!$S$7:$S$874,$R$2,BS_RE33!$N$7:$N$874,I24,BS_RE33!$P$7:$P$874,'30 days CF Table(RMB)'!G24,BS_RE33!$F$7:$F$874,'30 days CF Table(RMB)'!$C$2)</f>
        <v>0</v>
      </c>
      <c r="S24" s="337">
        <f>SUMIFS(BS_RE33!$H$7:$H$874,BS_RE33!$S$7:$S$874,$S$2,BS_RE33!$N$7:$N$874,I24,BS_RE33!$P$7:$P$874,'30 days CF Table(RMB)'!G24,BS_RE33!$F$7:$F$874,'30 days CF Table(RMB)'!$C$2)</f>
        <v>0</v>
      </c>
      <c r="T24" s="337">
        <f>SUMIFS(BS_RE33!$H$7:$H$874,BS_RE33!$S$7:$S$874,$T$2,BS_RE33!$N$7:$N$874,I24,BS_RE33!$P$7:$P$874,'30 days CF Table(RMB)'!G24,BS_RE33!$F$7:$F$874,'30 days CF Table(RMB)'!$C$2)</f>
        <v>0</v>
      </c>
      <c r="U24" s="337">
        <f>SUMIFS(BS_RE33!$H$7:$H$874,BS_RE33!$S$7:$S$874,$U$2,BS_RE33!$N$7:$N$874,I24,BS_RE33!$P$7:$P$874,'30 days CF Table(RMB)'!G24,BS_RE33!$F$7:$F$874,'30 days CF Table(RMB)'!$C$2)</f>
        <v>0</v>
      </c>
      <c r="V24" s="337">
        <f>SUMIFS(BS_RE33!$H$7:$H$874,BS_RE33!$S$7:$S$874,$V$2,BS_RE33!$N$7:$N$874,I24,BS_RE33!$P$7:$P$874,'30 days CF Table(RMB)'!G24,BS_RE33!$F$7:$F$874,'30 days CF Table(RMB)'!$C$2)</f>
        <v>0</v>
      </c>
      <c r="W24" s="337">
        <f>SUMIFS(BS_RE33!$H$7:$H$874,BS_RE33!$S$7:$S$874,$W$2,BS_RE33!$N$7:$N$874,I24,BS_RE33!$P$7:$P$874,'30 days CF Table(RMB)'!G24,BS_RE33!$F$7:$F$874,'30 days CF Table(RMB)'!$C$2)</f>
        <v>0</v>
      </c>
      <c r="X24" s="337">
        <f>SUMIFS(BS_RE33!$H$7:$H$874,BS_RE33!$S$7:$S$874,$X$2,BS_RE33!$N$7:$N$874,I24,BS_RE33!$P$7:$P$874,'30 days CF Table(RMB)'!G24,BS_RE33!$F$7:$F$874,'30 days CF Table(RMB)'!$C$2)</f>
        <v>0</v>
      </c>
      <c r="Y24" s="337">
        <f>SUMIFS(BS_RE33!$H$7:$H$874,BS_RE33!$S$7:$S$874,$Y$2,BS_RE33!$N$7:$N$874,I24,BS_RE33!$P$7:$P$874,'30 days CF Table(RMB)'!G24,BS_RE33!$F$7:$F$874,'30 days CF Table(RMB)'!$C$2)</f>
        <v>0</v>
      </c>
      <c r="Z24" s="337">
        <f>SUMIFS(BS_RE33!$H$7:$H$874,BS_RE33!$S$7:$S$874,$Z$2,BS_RE33!$N$7:$N$874,I24,BS_RE33!$P$7:$P$874,'30 days CF Table(RMB)'!G24,BS_RE33!$F$7:$F$874,'30 days CF Table(RMB)'!$C$2)</f>
        <v>0</v>
      </c>
      <c r="AA24" s="337">
        <f>SUMIFS(BS_RE33!$H$7:$H$874,BS_RE33!$S$7:$S$874,$AA$2,BS_RE33!$N$7:$N$874,I24,BS_RE33!$P$7:$P$874,'30 days CF Table(RMB)'!G24,BS_RE33!$F$7:$F$874,'30 days CF Table(RMB)'!$C$2)</f>
        <v>0</v>
      </c>
      <c r="AB24" s="337">
        <f>SUMIFS(BS_RE33!$H$7:$H$874,BS_RE33!$S$7:$S$874,$AB$2,BS_RE33!$N$7:$N$874,I24,BS_RE33!$P$7:$P$874,'30 days CF Table(RMB)'!G24,BS_RE33!$F$7:$F$874,'30 days CF Table(RMB)'!$C$2)</f>
        <v>0</v>
      </c>
      <c r="AC24" s="337">
        <f>SUMIFS(BS_RE33!$H$7:$H$874,BS_RE33!$S$7:$S$874,$AC$2,BS_RE33!$N$7:$N$874,I24,BS_RE33!$P$7:$P$874,'30 days CF Table(RMB)'!G24,BS_RE33!$F$7:$F$874,'30 days CF Table(RMB)'!$C$2)</f>
        <v>0</v>
      </c>
      <c r="AD24" s="337">
        <f>SUMIFS(BS_RE33!$H$7:$H$874,BS_RE33!$S$7:$S$874,$AD$2,BS_RE33!$N$7:$N$874,I24,BS_RE33!$P$7:$P$874,'30 days CF Table(RMB)'!G24,BS_RE33!$F$7:$F$874,'30 days CF Table(RMB)'!$C$2)</f>
        <v>0</v>
      </c>
      <c r="AE24" s="337">
        <f>SUMIFS(BS_RE33!$H$7:$H$874,BS_RE33!$S$7:$S$874,$AE$2,BS_RE33!$N$7:$N$874,I24,BS_RE33!$P$7:$P$874,'30 days CF Table(RMB)'!G24,BS_RE33!$F$7:$F$874,'30 days CF Table(RMB)'!$C$2)</f>
        <v>0</v>
      </c>
      <c r="AF24" s="337">
        <f>SUMIFS(BS_RE33!$H$7:$H$874,BS_RE33!$S$7:$S$874,$AF$2,BS_RE33!$N$7:$N$874,I24,BS_RE33!$P$7:$P$874,'30 days CF Table(RMB)'!G24,BS_RE33!$F$7:$F$874,'30 days CF Table(RMB)'!$C$2)</f>
        <v>0</v>
      </c>
      <c r="AG24" s="337">
        <f>SUMIFS(BS_RE33!$H$7:$H$874,BS_RE33!$S$7:$S$874,$AG$2,BS_RE33!$N$7:$N$874,I24,BS_RE33!$P$7:$P$874,'30 days CF Table(RMB)'!G24,BS_RE33!$F$7:$F$874,'30 days CF Table(RMB)'!$C$2)</f>
        <v>0</v>
      </c>
      <c r="AH24" s="337">
        <f>SUMIFS(BS_RE33!$H$7:$H$874,BS_RE33!$S$7:$S$874,$AH$2,BS_RE33!$N$7:$N$874,I24,BS_RE33!$P$7:$P$874,'30 days CF Table(RMB)'!G24,BS_RE33!$F$7:$F$874,'30 days CF Table(RMB)'!$C$2)</f>
        <v>0</v>
      </c>
      <c r="AI24" s="337">
        <f>SUMIFS(BS_RE33!$H$7:$H$874,BS_RE33!$S$7:$S$874,$AI$2,BS_RE33!$N$7:$N$874,I24,BS_RE33!$P$7:$P$874,'30 days CF Table(RMB)'!G24,BS_RE33!$F$7:$F$874,'30 days CF Table(RMB)'!$C$2)</f>
        <v>0</v>
      </c>
      <c r="AJ24" s="337">
        <f>SUMIFS(BS_RE33!$H$7:$H$874,BS_RE33!$S$7:$S$874,$AJ$2,BS_RE33!$N$7:$N$874,I24,BS_RE33!$P$7:$P$874,'30 days CF Table(RMB)'!G24,BS_RE33!$F$7:$F$874,'30 days CF Table(RMB)'!$C$2)</f>
        <v>0</v>
      </c>
      <c r="AK24" s="337">
        <f>SUMIFS(BS_RE33!$H$7:$H$874,BS_RE33!$S$7:$S$874,$AK$2,BS_RE33!$N$7:$N$874,I24,BS_RE33!$P$7:$P$874,'30 days CF Table(RMB)'!G24,BS_RE33!$F$7:$F$874,'30 days CF Table(RMB)'!$C$2)</f>
        <v>0</v>
      </c>
      <c r="AL24" s="337">
        <f>SUMIFS(BS_RE33!$H$7:$H$874,BS_RE33!$S$7:$S$874,$AL$2,BS_RE33!$N$7:$N$874,I24,BS_RE33!$P$7:$P$874,'30 days CF Table(RMB)'!G24,BS_RE33!$F$7:$F$874,'30 days CF Table(RMB)'!$C$2)</f>
        <v>0</v>
      </c>
      <c r="AM24" s="337">
        <f>SUMIFS(BS_RE33!$H$7:$H$874,BS_RE33!$S$7:$S$874,$AM$2,BS_RE33!$N$7:$N$874,I24,BS_RE33!$P$7:$P$874,'30 days CF Table(RMB)'!G24,BS_RE33!$F$7:$F$874,'30 days CF Table(RMB)'!$C$2)</f>
        <v>0</v>
      </c>
      <c r="AN24" s="337">
        <f>SUMIFS(BS_RE33!$H$7:$H$874,BS_RE33!$S$7:$S$874,$AN$2,BS_RE33!$N$7:$N$874,I24,BS_RE33!$P$7:$P$874,'30 days CF Table(RMB)'!G24,BS_RE33!$F$7:$F$874,'30 days CF Table(RMB)'!$C$2)</f>
        <v>0</v>
      </c>
      <c r="AO24" s="337">
        <f>SUMIFS(BS_RE33!$H$7:$H$874,BS_RE33!$S$7:$S$874,$AO$2,BS_RE33!$N$7:$N$874,I24,BS_RE33!$P$7:$P$874,'30 days CF Table(RMB)'!G24,BS_RE33!$F$7:$F$874,'30 days CF Table(RMB)'!$C$2)</f>
        <v>0</v>
      </c>
      <c r="AP24" s="338">
        <f>SUMIFS(BS_RE33!$H$7:$H$874,BS_RE33!$S$7:$S$874,$AP$2,BS_RE33!$N$7:$N$874,I24,BS_RE33!$P$7:$P$874,'30 days CF Table(RMB)'!G24,BS_RE33!$F$7:$F$874,'30 days CF Table(RMB)'!$C$2)</f>
        <v>0</v>
      </c>
      <c r="AQ24" s="545"/>
      <c r="AR24" s="379">
        <f>SUMIFS(BS_RE33!$H$7:$H$874,BS_RE33!$S$7:$S$874,$AR$2,BS_RE33!$N$7:$N$874,I24,BS_RE33!$P$7:$P$874,'30 days CF Table(RMB)'!G24,BS_RE33!$F$7:$F$874,'30 days CF Table(RMB)'!$C$2)</f>
        <v>0</v>
      </c>
      <c r="AS24" s="379">
        <f>SUMIFS(BS_RE33!$H$7:$H$874,BS_RE33!$S$7:$S$874,$AS$2,BS_RE33!$N$7:$N$874,I24,BS_RE33!$P$7:$P$874,'30 days CF Table(RMB)'!G24,BS_RE33!$F$7:$F$874,'30 days CF Table(RMB)'!$C$2)</f>
        <v>0</v>
      </c>
      <c r="AT24" s="379">
        <f>SUMIFS(BS_RE33!$H$7:$H$874,BS_RE33!$S$7:$S$874,$AT$2,BS_RE33!$N$7:$N$874,I24,BS_RE33!$P$7:$P$874,'30 days CF Table(RMB)'!G24,BS_RE33!$F$7:$F$874,'30 days CF Table(RMB)'!$C$2)</f>
        <v>0</v>
      </c>
      <c r="AU24" s="379">
        <f>SUMIFS(BS_RE33!$H$7:$H$874,BS_RE33!$S$7:$S$874,$AU$2,BS_RE33!$N$7:$N$874,I24,BS_RE33!$P$7:$P$874,'30 days CF Table(RMB)'!G24,BS_RE33!$F$7:$F$874,'30 days CF Table(RMB)'!$C$2)</f>
        <v>0</v>
      </c>
      <c r="AV24" s="379">
        <f>SUMIFS(BS_RE33!$H$7:$H$874,BS_RE33!$S$7:$S$874,$AV$2,BS_RE33!$N$7:$N$874,I24,BS_RE33!$P$7:$P$874,'30 days CF Table(RMB)'!G24,BS_RE33!$F$7:$F$874,'30 days CF Table(RMB)'!$C$2)</f>
        <v>0</v>
      </c>
      <c r="AW24" s="379">
        <f>SUMIFS(BS_RE33!$H$7:$H$874,BS_RE33!$S$7:$S$874,$AW$2,BS_RE33!$N$7:$N$874,I24,BS_RE33!$P$7:$P$874,'30 days CF Table(RMB)'!G24,BS_RE33!$F$7:$F$874,'30 days CF Table(RMB)'!$C$2)</f>
        <v>0</v>
      </c>
      <c r="AX24" s="379">
        <f>SUMIFS(BS_RE33!$H$7:$H$874,BS_RE33!$S$7:$S$874,$AX$2,BS_RE33!$N$7:$N$874,I24,BS_RE33!$P$7:$P$874,'30 days CF Table(RMB)'!G24,BS_RE33!$F$7:$F$874,'30 days CF Table(RMB)'!$C$2)</f>
        <v>0</v>
      </c>
      <c r="AY24" s="379">
        <f>SUMIFS(BS_RE33!$H$7:$H$874,BS_RE33!$S$7:$S$874,$AY$2,BS_RE33!$N$7:$N$874,I24,BS_RE33!$P$7:$P$874,'30 days CF Table(RMB)'!G24,BS_RE33!$F$7:$F$874,'30 days CF Table(RMB)'!$C$2)</f>
        <v>0</v>
      </c>
      <c r="AZ24" s="379">
        <f>SUMIFS(BS_RE33!$H$7:$H$874,BS_RE33!$S$7:$S$874,$AZ$2,BS_RE33!$N$7:$N$874,I24,BS_RE33!$P$7:$P$874,'30 days CF Table(RMB)'!G24,BS_RE33!$F$7:$F$874,'30 days CF Table(RMB)'!$C$2)</f>
        <v>0</v>
      </c>
      <c r="BA24" s="379">
        <f>SUMIFS(BS_RE33!$H$7:$H$874,BS_RE33!$S$7:$S$874,$BA$2,BS_RE33!$N$7:$N$874,I24,BS_RE33!$P$7:$P$874,'30 days CF Table(RMB)'!G24,BS_RE33!$F$7:$F$874,'30 days CF Table(RMB)'!$C$2)</f>
        <v>0</v>
      </c>
      <c r="BB24" s="379">
        <f>SUMIFS(BS_RE33!$H$7:$H$874,BS_RE33!$S$7:$S$874,$BB$2,BS_RE33!$N$7:$N$874,I24,BS_RE33!$P$7:$P$874,'30 days CF Table(RMB)'!G24,BS_RE33!$F$7:$F$874,'30 days CF Table(RMB)'!$C$2)</f>
        <v>0</v>
      </c>
      <c r="BC24" s="379">
        <f>SUMIFS(BS_RE33!$H$7:$H$874,BS_RE33!$S$7:$S$874,$BC$2,BS_RE33!$N$7:$N$874,I24,BS_RE33!$P$7:$P$874,'30 days CF Table(RMB)'!G24,BS_RE33!$F$7:$F$874,'30 days CF Table(RMB)'!$C$2)</f>
        <v>0</v>
      </c>
      <c r="BD24" s="379">
        <f>SUMIFS(BS_RE33!$H$7:$H$874,BS_RE33!$S$7:$S$874,$BD$2,BS_RE33!$N$7:$N$874,I24,BS_RE33!$P$7:$P$874,'30 days CF Table(RMB)'!G24,BS_RE33!$F$7:$F$874,'30 days CF Table(RMB)'!$C$2)</f>
        <v>0</v>
      </c>
      <c r="BE24" s="379">
        <f>SUMIFS(BS_RE33!$H$7:$H$874,BS_RE33!$S$7:$S$874,$BE$2,BS_RE33!$N$7:$N$874,I24,BS_RE33!$P$7:$P$874,'30 days CF Table(RMB)'!G24,BS_RE33!$F$7:$F$874,'30 days CF Table(RMB)'!$C$2)</f>
        <v>0</v>
      </c>
      <c r="BF24" s="379">
        <f>SUMIFS(BS_RE33!$H$7:$H$874,BS_RE33!$S$7:$S$874,$BF$2,BS_RE33!$N$7:$N$874,I24,BS_RE33!$P$7:$P$874,'30 days CF Table(RMB)'!G24,BS_RE33!$F$7:$F$874,'30 days CF Table(RMB)'!$C$2)</f>
        <v>0</v>
      </c>
      <c r="BG24" s="379">
        <f>SUMIFS(BS_RE33!$H$7:$H$874,BS_RE33!$S$7:$S$874,$BG$2,BS_RE33!$N$7:$N$874,I24,BS_RE33!$P$7:$P$874,'30 days CF Table(RMB)'!G24,BS_RE33!$F$7:$F$874,'30 days CF Table(RMB)'!$C$2)</f>
        <v>0</v>
      </c>
      <c r="BH24" s="379">
        <f>SUMIFS(BS_RE33!$H$7:$H$874,BS_RE33!$S$7:$S$874,$BH$2,BS_RE33!$N$7:$N$874,I24,BS_RE33!$P$7:$P$874,'30 days CF Table(RMB)'!G24,BS_RE33!$F$7:$F$874,'30 days CF Table(RMB)'!$C$2)</f>
        <v>0</v>
      </c>
      <c r="BI24" s="379">
        <f>SUMIFS(BS_RE33!$H$7:$H$874,BS_RE33!$S$7:$S$874,$BI$2,BS_RE33!$N$7:$N$874,I24,BS_RE33!$P$7:$P$874,'30 days CF Table(RMB)'!G24,BS_RE33!$F$7:$F$874,'30 days CF Table(RMB)'!$C$2)</f>
        <v>0</v>
      </c>
      <c r="BJ24" s="379">
        <f>SUMIFS(BS_RE33!$H$7:$H$874,BS_RE33!$S$7:$S$874,$BJ$2,BS_RE33!$N$7:$N$874,I24,BS_RE33!$P$7:$P$874,'30 days CF Table(RMB)'!G24,BS_RE33!$F$7:$F$874,'30 days CF Table(RMB)'!$C$2)</f>
        <v>0</v>
      </c>
      <c r="BK24" s="379">
        <f>SUMIFS(BS_RE33!$H$7:$H$874,BS_RE33!$S$7:$S$874,$BK$2,BS_RE33!$N$7:$N$874,I24,BS_RE33!$P$7:$P$874,'30 days CF Table(RMB)'!G24,BS_RE33!$F$7:$F$874,'30 days CF Table(RMB)'!$C$2)</f>
        <v>0</v>
      </c>
    </row>
    <row r="25" spans="1:63">
      <c r="C25" s="1029" t="s">
        <v>810</v>
      </c>
      <c r="D25" s="1038" t="s">
        <v>761</v>
      </c>
      <c r="E25" s="306" t="s">
        <v>79</v>
      </c>
      <c r="F25" s="560" t="s">
        <v>491</v>
      </c>
      <c r="G25" s="392" t="s">
        <v>512</v>
      </c>
      <c r="H25" s="314">
        <v>0.25</v>
      </c>
      <c r="I25" s="315" t="s">
        <v>80</v>
      </c>
      <c r="J25" s="479">
        <f t="shared" si="2"/>
        <v>0</v>
      </c>
      <c r="K25" s="336">
        <f t="shared" si="3"/>
        <v>0</v>
      </c>
      <c r="L25" s="337">
        <f>SUMIFS(BS_RE33!$H$7:$H$874,BS_RE33!$S$7:$S$874,$L$2,BS_RE33!$N$7:$N$874,I25,BS_RE33!$P$7:$P$874,'30 days CF Table(RMB)'!G25,BS_RE33!$F$7:$F$874,'30 days CF Table(RMB)'!$C$2)</f>
        <v>0</v>
      </c>
      <c r="M25" s="337">
        <f>SUMIFS(BS_RE33!$H$7:$H$874,BS_RE33!$S$7:$S$874,$M$2,BS_RE33!$N$7:$N$874,I25,BS_RE33!$P$7:$P$874,'30 days CF Table(RMB)'!G25,BS_RE33!$F$7:$F$874,'30 days CF Table(RMB)'!$C$2)</f>
        <v>0</v>
      </c>
      <c r="N25" s="337">
        <f>SUMIFS(BS_RE33!$H$7:$H$874,BS_RE33!$S$7:$S$874,$N$2,BS_RE33!$N$7:$N$874,I25,BS_RE33!$P$7:$P$874,'30 days CF Table(RMB)'!G25,BS_RE33!$F$7:$F$874,'30 days CF Table(RMB)'!$C$2)</f>
        <v>0</v>
      </c>
      <c r="O25" s="337">
        <f>SUMIFS(BS_RE33!$H$7:$H$874,BS_RE33!$S$7:$S$874,$O$2,BS_RE33!$N$7:$N$874,I25,BS_RE33!$P$7:$P$874,'30 days CF Table(RMB)'!G25,BS_RE33!$F$7:$F$874,'30 days CF Table(RMB)'!$C$2)</f>
        <v>0</v>
      </c>
      <c r="P25" s="337">
        <f>SUMIFS(BS_RE33!$H$7:$H$874,BS_RE33!$S$7:$S$874,$P$2,BS_RE33!$N$7:$N$874,I25,BS_RE33!$P$7:$P$874,'30 days CF Table(RMB)'!G25,BS_RE33!$F$7:$F$874,'30 days CF Table(RMB)'!$C$2)</f>
        <v>0</v>
      </c>
      <c r="Q25" s="337">
        <f>SUMIFS(BS_RE33!$H$7:$H$874,BS_RE33!$S$7:$S$874,$Q$2,BS_RE33!$N$7:$N$874,I25,BS_RE33!$P$7:$P$874,'30 days CF Table(RMB)'!G25,BS_RE33!$F$7:$F$874,'30 days CF Table(RMB)'!$C$2)</f>
        <v>0</v>
      </c>
      <c r="R25" s="337">
        <f>SUMIFS(BS_RE33!$H$7:$H$874,BS_RE33!$S$7:$S$874,$R$2,BS_RE33!$N$7:$N$874,I25,BS_RE33!$P$7:$P$874,'30 days CF Table(RMB)'!G25,BS_RE33!$F$7:$F$874,'30 days CF Table(RMB)'!$C$2)</f>
        <v>0</v>
      </c>
      <c r="S25" s="337">
        <f>SUMIFS(BS_RE33!$H$7:$H$874,BS_RE33!$S$7:$S$874,$S$2,BS_RE33!$N$7:$N$874,I25,BS_RE33!$P$7:$P$874,'30 days CF Table(RMB)'!G25,BS_RE33!$F$7:$F$874,'30 days CF Table(RMB)'!$C$2)</f>
        <v>0</v>
      </c>
      <c r="T25" s="337">
        <f>SUMIFS(BS_RE33!$H$7:$H$874,BS_RE33!$S$7:$S$874,$T$2,BS_RE33!$N$7:$N$874,I25,BS_RE33!$P$7:$P$874,'30 days CF Table(RMB)'!G25,BS_RE33!$F$7:$F$874,'30 days CF Table(RMB)'!$C$2)</f>
        <v>0</v>
      </c>
      <c r="U25" s="337">
        <f>SUMIFS(BS_RE33!$H$7:$H$874,BS_RE33!$S$7:$S$874,$U$2,BS_RE33!$N$7:$N$874,I25,BS_RE33!$P$7:$P$874,'30 days CF Table(RMB)'!G25,BS_RE33!$F$7:$F$874,'30 days CF Table(RMB)'!$C$2)</f>
        <v>0</v>
      </c>
      <c r="V25" s="337">
        <f>SUMIFS(BS_RE33!$H$7:$H$874,BS_RE33!$S$7:$S$874,$V$2,BS_RE33!$N$7:$N$874,I25,BS_RE33!$P$7:$P$874,'30 days CF Table(RMB)'!G25,BS_RE33!$F$7:$F$874,'30 days CF Table(RMB)'!$C$2)</f>
        <v>0</v>
      </c>
      <c r="W25" s="337">
        <f>SUMIFS(BS_RE33!$H$7:$H$874,BS_RE33!$S$7:$S$874,$W$2,BS_RE33!$N$7:$N$874,I25,BS_RE33!$P$7:$P$874,'30 days CF Table(RMB)'!G25,BS_RE33!$F$7:$F$874,'30 days CF Table(RMB)'!$C$2)</f>
        <v>0</v>
      </c>
      <c r="X25" s="337">
        <f>SUMIFS(BS_RE33!$H$7:$H$874,BS_RE33!$S$7:$S$874,$X$2,BS_RE33!$N$7:$N$874,I25,BS_RE33!$P$7:$P$874,'30 days CF Table(RMB)'!G25,BS_RE33!$F$7:$F$874,'30 days CF Table(RMB)'!$C$2)</f>
        <v>0</v>
      </c>
      <c r="Y25" s="337">
        <f>SUMIFS(BS_RE33!$H$7:$H$874,BS_RE33!$S$7:$S$874,$Y$2,BS_RE33!$N$7:$N$874,I25,BS_RE33!$P$7:$P$874,'30 days CF Table(RMB)'!G25,BS_RE33!$F$7:$F$874,'30 days CF Table(RMB)'!$C$2)</f>
        <v>0</v>
      </c>
      <c r="Z25" s="337">
        <f>SUMIFS(BS_RE33!$H$7:$H$874,BS_RE33!$S$7:$S$874,$Z$2,BS_RE33!$N$7:$N$874,I25,BS_RE33!$P$7:$P$874,'30 days CF Table(RMB)'!G25,BS_RE33!$F$7:$F$874,'30 days CF Table(RMB)'!$C$2)</f>
        <v>0</v>
      </c>
      <c r="AA25" s="337">
        <f>SUMIFS(BS_RE33!$H$7:$H$874,BS_RE33!$S$7:$S$874,$AA$2,BS_RE33!$N$7:$N$874,I25,BS_RE33!$P$7:$P$874,'30 days CF Table(RMB)'!G25,BS_RE33!$F$7:$F$874,'30 days CF Table(RMB)'!$C$2)</f>
        <v>0</v>
      </c>
      <c r="AB25" s="337">
        <f>SUMIFS(BS_RE33!$H$7:$H$874,BS_RE33!$S$7:$S$874,$AB$2,BS_RE33!$N$7:$N$874,I25,BS_RE33!$P$7:$P$874,'30 days CF Table(RMB)'!G25,BS_RE33!$F$7:$F$874,'30 days CF Table(RMB)'!$C$2)</f>
        <v>0</v>
      </c>
      <c r="AC25" s="337">
        <f>SUMIFS(BS_RE33!$H$7:$H$874,BS_RE33!$S$7:$S$874,$AC$2,BS_RE33!$N$7:$N$874,I25,BS_RE33!$P$7:$P$874,'30 days CF Table(RMB)'!G25,BS_RE33!$F$7:$F$874,'30 days CF Table(RMB)'!$C$2)</f>
        <v>0</v>
      </c>
      <c r="AD25" s="337">
        <f>SUMIFS(BS_RE33!$H$7:$H$874,BS_RE33!$S$7:$S$874,$AD$2,BS_RE33!$N$7:$N$874,I25,BS_RE33!$P$7:$P$874,'30 days CF Table(RMB)'!G25,BS_RE33!$F$7:$F$874,'30 days CF Table(RMB)'!$C$2)</f>
        <v>0</v>
      </c>
      <c r="AE25" s="337">
        <f>SUMIFS(BS_RE33!$H$7:$H$874,BS_RE33!$S$7:$S$874,$AE$2,BS_RE33!$N$7:$N$874,I25,BS_RE33!$P$7:$P$874,'30 days CF Table(RMB)'!G25,BS_RE33!$F$7:$F$874,'30 days CF Table(RMB)'!$C$2)</f>
        <v>0</v>
      </c>
      <c r="AF25" s="337">
        <f>SUMIFS(BS_RE33!$H$7:$H$874,BS_RE33!$S$7:$S$874,$AF$2,BS_RE33!$N$7:$N$874,I25,BS_RE33!$P$7:$P$874,'30 days CF Table(RMB)'!G25,BS_RE33!$F$7:$F$874,'30 days CF Table(RMB)'!$C$2)</f>
        <v>0</v>
      </c>
      <c r="AG25" s="337">
        <f>SUMIFS(BS_RE33!$H$7:$H$874,BS_RE33!$S$7:$S$874,$AG$2,BS_RE33!$N$7:$N$874,I25,BS_RE33!$P$7:$P$874,'30 days CF Table(RMB)'!G25,BS_RE33!$F$7:$F$874,'30 days CF Table(RMB)'!$C$2)</f>
        <v>0</v>
      </c>
      <c r="AH25" s="337">
        <f>SUMIFS(BS_RE33!$H$7:$H$874,BS_RE33!$S$7:$S$874,$AH$2,BS_RE33!$N$7:$N$874,I25,BS_RE33!$P$7:$P$874,'30 days CF Table(RMB)'!G25,BS_RE33!$F$7:$F$874,'30 days CF Table(RMB)'!$C$2)</f>
        <v>0</v>
      </c>
      <c r="AI25" s="337">
        <f>SUMIFS(BS_RE33!$H$7:$H$874,BS_RE33!$S$7:$S$874,$AI$2,BS_RE33!$N$7:$N$874,I25,BS_RE33!$P$7:$P$874,'30 days CF Table(RMB)'!G25,BS_RE33!$F$7:$F$874,'30 days CF Table(RMB)'!$C$2)</f>
        <v>0</v>
      </c>
      <c r="AJ25" s="337">
        <f>SUMIFS(BS_RE33!$H$7:$H$874,BS_RE33!$S$7:$S$874,$AJ$2,BS_RE33!$N$7:$N$874,I25,BS_RE33!$P$7:$P$874,'30 days CF Table(RMB)'!G25,BS_RE33!$F$7:$F$874,'30 days CF Table(RMB)'!$C$2)</f>
        <v>0</v>
      </c>
      <c r="AK25" s="337">
        <f>SUMIFS(BS_RE33!$H$7:$H$874,BS_RE33!$S$7:$S$874,$AK$2,BS_RE33!$N$7:$N$874,I25,BS_RE33!$P$7:$P$874,'30 days CF Table(RMB)'!G25,BS_RE33!$F$7:$F$874,'30 days CF Table(RMB)'!$C$2)</f>
        <v>0</v>
      </c>
      <c r="AL25" s="337">
        <f>SUMIFS(BS_RE33!$H$7:$H$874,BS_RE33!$S$7:$S$874,$AL$2,BS_RE33!$N$7:$N$874,I25,BS_RE33!$P$7:$P$874,'30 days CF Table(RMB)'!G25,BS_RE33!$F$7:$F$874,'30 days CF Table(RMB)'!$C$2)</f>
        <v>0</v>
      </c>
      <c r="AM25" s="337">
        <f>SUMIFS(BS_RE33!$H$7:$H$874,BS_RE33!$S$7:$S$874,$AM$2,BS_RE33!$N$7:$N$874,I25,BS_RE33!$P$7:$P$874,'30 days CF Table(RMB)'!G25,BS_RE33!$F$7:$F$874,'30 days CF Table(RMB)'!$C$2)</f>
        <v>0</v>
      </c>
      <c r="AN25" s="337">
        <f>SUMIFS(BS_RE33!$H$7:$H$874,BS_RE33!$S$7:$S$874,$AN$2,BS_RE33!$N$7:$N$874,I25,BS_RE33!$P$7:$P$874,'30 days CF Table(RMB)'!G25,BS_RE33!$F$7:$F$874,'30 days CF Table(RMB)'!$C$2)</f>
        <v>0</v>
      </c>
      <c r="AO25" s="337">
        <f>SUMIFS(BS_RE33!$H$7:$H$874,BS_RE33!$S$7:$S$874,$AO$2,BS_RE33!$N$7:$N$874,I25,BS_RE33!$P$7:$P$874,'30 days CF Table(RMB)'!G25,BS_RE33!$F$7:$F$874,'30 days CF Table(RMB)'!$C$2)</f>
        <v>0</v>
      </c>
      <c r="AP25" s="338">
        <f>SUMIFS(BS_RE33!$H$7:$H$874,BS_RE33!$S$7:$S$874,$AP$2,BS_RE33!$N$7:$N$874,I25,BS_RE33!$P$7:$P$874,'30 days CF Table(RMB)'!G25,BS_RE33!$F$7:$F$874,'30 days CF Table(RMB)'!$C$2)</f>
        <v>0</v>
      </c>
      <c r="AR25" s="379">
        <f>SUMIFS(BS_RE33!$H$7:$H$874,BS_RE33!$S$7:$S$874,$AR$2,BS_RE33!$N$7:$N$874,I25,BS_RE33!$P$7:$P$874,'30 days CF Table(RMB)'!G25,BS_RE33!$F$7:$F$874,'30 days CF Table(RMB)'!$C$2)</f>
        <v>0</v>
      </c>
      <c r="AS25" s="379">
        <f>SUMIFS(BS_RE33!$H$7:$H$874,BS_RE33!$S$7:$S$874,$AS$2,BS_RE33!$N$7:$N$874,I25,BS_RE33!$P$7:$P$874,'30 days CF Table(RMB)'!G25,BS_RE33!$F$7:$F$874,'30 days CF Table(RMB)'!$C$2)</f>
        <v>0</v>
      </c>
      <c r="AT25" s="379">
        <f>SUMIFS(BS_RE33!$H$7:$H$874,BS_RE33!$S$7:$S$874,$AT$2,BS_RE33!$N$7:$N$874,I25,BS_RE33!$P$7:$P$874,'30 days CF Table(RMB)'!G25,BS_RE33!$F$7:$F$874,'30 days CF Table(RMB)'!$C$2)</f>
        <v>0</v>
      </c>
      <c r="AU25" s="379">
        <f>SUMIFS(BS_RE33!$H$7:$H$874,BS_RE33!$S$7:$S$874,$AU$2,BS_RE33!$N$7:$N$874,I25,BS_RE33!$P$7:$P$874,'30 days CF Table(RMB)'!G25,BS_RE33!$F$7:$F$874,'30 days CF Table(RMB)'!$C$2)</f>
        <v>0</v>
      </c>
      <c r="AV25" s="379">
        <f>SUMIFS(BS_RE33!$H$7:$H$874,BS_RE33!$S$7:$S$874,$AV$2,BS_RE33!$N$7:$N$874,I25,BS_RE33!$P$7:$P$874,'30 days CF Table(RMB)'!G25,BS_RE33!$F$7:$F$874,'30 days CF Table(RMB)'!$C$2)</f>
        <v>0</v>
      </c>
      <c r="AW25" s="379">
        <f>SUMIFS(BS_RE33!$H$7:$H$874,BS_RE33!$S$7:$S$874,$AW$2,BS_RE33!$N$7:$N$874,I25,BS_RE33!$P$7:$P$874,'30 days CF Table(RMB)'!G25,BS_RE33!$F$7:$F$874,'30 days CF Table(RMB)'!$C$2)</f>
        <v>0</v>
      </c>
      <c r="AX25" s="379">
        <f>SUMIFS(BS_RE33!$H$7:$H$874,BS_RE33!$S$7:$S$874,$AX$2,BS_RE33!$N$7:$N$874,I25,BS_RE33!$P$7:$P$874,'30 days CF Table(RMB)'!G25,BS_RE33!$F$7:$F$874,'30 days CF Table(RMB)'!$C$2)</f>
        <v>0</v>
      </c>
      <c r="AY25" s="379">
        <f>SUMIFS(BS_RE33!$H$7:$H$874,BS_RE33!$S$7:$S$874,$AY$2,BS_RE33!$N$7:$N$874,I25,BS_RE33!$P$7:$P$874,'30 days CF Table(RMB)'!G25,BS_RE33!$F$7:$F$874,'30 days CF Table(RMB)'!$C$2)</f>
        <v>0</v>
      </c>
      <c r="AZ25" s="379">
        <f>SUMIFS(BS_RE33!$H$7:$H$874,BS_RE33!$S$7:$S$874,$AZ$2,BS_RE33!$N$7:$N$874,I25,BS_RE33!$P$7:$P$874,'30 days CF Table(RMB)'!G25,BS_RE33!$F$7:$F$874,'30 days CF Table(RMB)'!$C$2)</f>
        <v>0</v>
      </c>
      <c r="BA25" s="379">
        <f>SUMIFS(BS_RE33!$H$7:$H$874,BS_RE33!$S$7:$S$874,$BA$2,BS_RE33!$N$7:$N$874,I25,BS_RE33!$P$7:$P$874,'30 days CF Table(RMB)'!G25,BS_RE33!$F$7:$F$874,'30 days CF Table(RMB)'!$C$2)</f>
        <v>0</v>
      </c>
      <c r="BB25" s="379">
        <f>SUMIFS(BS_RE33!$H$7:$H$874,BS_RE33!$S$7:$S$874,$BB$2,BS_RE33!$N$7:$N$874,I25,BS_RE33!$P$7:$P$874,'30 days CF Table(RMB)'!G25,BS_RE33!$F$7:$F$874,'30 days CF Table(RMB)'!$C$2)</f>
        <v>0</v>
      </c>
      <c r="BC25" s="379">
        <f>SUMIFS(BS_RE33!$H$7:$H$874,BS_RE33!$S$7:$S$874,$BC$2,BS_RE33!$N$7:$N$874,I25,BS_RE33!$P$7:$P$874,'30 days CF Table(RMB)'!G25,BS_RE33!$F$7:$F$874,'30 days CF Table(RMB)'!$C$2)</f>
        <v>0</v>
      </c>
      <c r="BD25" s="379">
        <f>SUMIFS(BS_RE33!$H$7:$H$874,BS_RE33!$S$7:$S$874,$BD$2,BS_RE33!$N$7:$N$874,I25,BS_RE33!$P$7:$P$874,'30 days CF Table(RMB)'!G25,BS_RE33!$F$7:$F$874,'30 days CF Table(RMB)'!$C$2)</f>
        <v>0</v>
      </c>
      <c r="BE25" s="379">
        <f>SUMIFS(BS_RE33!$H$7:$H$874,BS_RE33!$S$7:$S$874,$BE$2,BS_RE33!$N$7:$N$874,I25,BS_RE33!$P$7:$P$874,'30 days CF Table(RMB)'!G25,BS_RE33!$F$7:$F$874,'30 days CF Table(RMB)'!$C$2)</f>
        <v>0</v>
      </c>
      <c r="BF25" s="379">
        <f>SUMIFS(BS_RE33!$H$7:$H$874,BS_RE33!$S$7:$S$874,$BF$2,BS_RE33!$N$7:$N$874,I25,BS_RE33!$P$7:$P$874,'30 days CF Table(RMB)'!G25,BS_RE33!$F$7:$F$874,'30 days CF Table(RMB)'!$C$2)</f>
        <v>0</v>
      </c>
      <c r="BG25" s="379">
        <f>SUMIFS(BS_RE33!$H$7:$H$874,BS_RE33!$S$7:$S$874,$BG$2,BS_RE33!$N$7:$N$874,I25,BS_RE33!$P$7:$P$874,'30 days CF Table(RMB)'!G25,BS_RE33!$F$7:$F$874,'30 days CF Table(RMB)'!$C$2)</f>
        <v>0</v>
      </c>
      <c r="BH25" s="379">
        <f>SUMIFS(BS_RE33!$H$7:$H$874,BS_RE33!$S$7:$S$874,$BH$2,BS_RE33!$N$7:$N$874,I25,BS_RE33!$P$7:$P$874,'30 days CF Table(RMB)'!G25,BS_RE33!$F$7:$F$874,'30 days CF Table(RMB)'!$C$2)</f>
        <v>0</v>
      </c>
      <c r="BI25" s="379">
        <f>SUMIFS(BS_RE33!$H$7:$H$874,BS_RE33!$S$7:$S$874,$BI$2,BS_RE33!$N$7:$N$874,I25,BS_RE33!$P$7:$P$874,'30 days CF Table(RMB)'!G25,BS_RE33!$F$7:$F$874,'30 days CF Table(RMB)'!$C$2)</f>
        <v>0</v>
      </c>
      <c r="BJ25" s="379">
        <f>SUMIFS(BS_RE33!$H$7:$H$874,BS_RE33!$S$7:$S$874,$BJ$2,BS_RE33!$N$7:$N$874,I25,BS_RE33!$P$7:$P$874,'30 days CF Table(RMB)'!G25,BS_RE33!$F$7:$F$874,'30 days CF Table(RMB)'!$C$2)</f>
        <v>0</v>
      </c>
      <c r="BK25" s="379">
        <f>SUMIFS(BS_RE33!$H$7:$H$874,BS_RE33!$S$7:$S$874,$BK$2,BS_RE33!$N$7:$N$874,I25,BS_RE33!$P$7:$P$874,'30 days CF Table(RMB)'!G25,BS_RE33!$F$7:$F$874,'30 days CF Table(RMB)'!$C$2)</f>
        <v>0</v>
      </c>
    </row>
    <row r="26" spans="1:63">
      <c r="C26" s="1029"/>
      <c r="D26" s="1039"/>
      <c r="E26" s="306" t="s">
        <v>79</v>
      </c>
      <c r="F26" s="560" t="s">
        <v>490</v>
      </c>
      <c r="G26" s="392" t="s">
        <v>514</v>
      </c>
      <c r="H26" s="314">
        <v>0.25</v>
      </c>
      <c r="I26" s="315" t="s">
        <v>80</v>
      </c>
      <c r="J26" s="479">
        <f t="shared" si="2"/>
        <v>0</v>
      </c>
      <c r="K26" s="336">
        <f t="shared" si="3"/>
        <v>0</v>
      </c>
      <c r="L26" s="337">
        <f>SUMIFS(BS_RE33!$H$7:$H$874,BS_RE33!$S$7:$S$874,$L$2,BS_RE33!$N$7:$N$874,I26,BS_RE33!$P$7:$P$874,'30 days CF Table(RMB)'!G26,BS_RE33!$F$7:$F$874,'30 days CF Table(RMB)'!$C$2)</f>
        <v>0</v>
      </c>
      <c r="M26" s="337">
        <f>SUMIFS(BS_RE33!$H$7:$H$874,BS_RE33!$S$7:$S$874,$M$2,BS_RE33!$N$7:$N$874,I26,BS_RE33!$P$7:$P$874,'30 days CF Table(RMB)'!G26,BS_RE33!$F$7:$F$874,'30 days CF Table(RMB)'!$C$2)</f>
        <v>0</v>
      </c>
      <c r="N26" s="337">
        <f>SUMIFS(BS_RE33!$H$7:$H$874,BS_RE33!$S$7:$S$874,$N$2,BS_RE33!$N$7:$N$874,I26,BS_RE33!$P$7:$P$874,'30 days CF Table(RMB)'!G26,BS_RE33!$F$7:$F$874,'30 days CF Table(RMB)'!$C$2)</f>
        <v>0</v>
      </c>
      <c r="O26" s="337">
        <f>SUMIFS(BS_RE33!$H$7:$H$874,BS_RE33!$S$7:$S$874,$O$2,BS_RE33!$N$7:$N$874,I26,BS_RE33!$P$7:$P$874,'30 days CF Table(RMB)'!G26,BS_RE33!$F$7:$F$874,'30 days CF Table(RMB)'!$C$2)</f>
        <v>0</v>
      </c>
      <c r="P26" s="337">
        <f>SUMIFS(BS_RE33!$H$7:$H$874,BS_RE33!$S$7:$S$874,$P$2,BS_RE33!$N$7:$N$874,I26,BS_RE33!$P$7:$P$874,'30 days CF Table(RMB)'!G26,BS_RE33!$F$7:$F$874,'30 days CF Table(RMB)'!$C$2)</f>
        <v>0</v>
      </c>
      <c r="Q26" s="337">
        <f>SUMIFS(BS_RE33!$H$7:$H$874,BS_RE33!$S$7:$S$874,$Q$2,BS_RE33!$N$7:$N$874,I26,BS_RE33!$P$7:$P$874,'30 days CF Table(RMB)'!G26,BS_RE33!$F$7:$F$874,'30 days CF Table(RMB)'!$C$2)</f>
        <v>0</v>
      </c>
      <c r="R26" s="337">
        <f>SUMIFS(BS_RE33!$H$7:$H$874,BS_RE33!$S$7:$S$874,$R$2,BS_RE33!$N$7:$N$874,I26,BS_RE33!$P$7:$P$874,'30 days CF Table(RMB)'!G26,BS_RE33!$F$7:$F$874,'30 days CF Table(RMB)'!$C$2)</f>
        <v>0</v>
      </c>
      <c r="S26" s="337">
        <f>SUMIFS(BS_RE33!$H$7:$H$874,BS_RE33!$S$7:$S$874,$S$2,BS_RE33!$N$7:$N$874,I26,BS_RE33!$P$7:$P$874,'30 days CF Table(RMB)'!G26,BS_RE33!$F$7:$F$874,'30 days CF Table(RMB)'!$C$2)</f>
        <v>0</v>
      </c>
      <c r="T26" s="337">
        <f>SUMIFS(BS_RE33!$H$7:$H$874,BS_RE33!$S$7:$S$874,$T$2,BS_RE33!$N$7:$N$874,I26,BS_RE33!$P$7:$P$874,'30 days CF Table(RMB)'!G26,BS_RE33!$F$7:$F$874,'30 days CF Table(RMB)'!$C$2)</f>
        <v>0</v>
      </c>
      <c r="U26" s="337">
        <f>SUMIFS(BS_RE33!$H$7:$H$874,BS_RE33!$S$7:$S$874,$U$2,BS_RE33!$N$7:$N$874,I26,BS_RE33!$P$7:$P$874,'30 days CF Table(RMB)'!G26,BS_RE33!$F$7:$F$874,'30 days CF Table(RMB)'!$C$2)</f>
        <v>0</v>
      </c>
      <c r="V26" s="337">
        <f>SUMIFS(BS_RE33!$H$7:$H$874,BS_RE33!$S$7:$S$874,$V$2,BS_RE33!$N$7:$N$874,I26,BS_RE33!$P$7:$P$874,'30 days CF Table(RMB)'!G26,BS_RE33!$F$7:$F$874,'30 days CF Table(RMB)'!$C$2)</f>
        <v>0</v>
      </c>
      <c r="W26" s="337">
        <f>SUMIFS(BS_RE33!$H$7:$H$874,BS_RE33!$S$7:$S$874,$W$2,BS_RE33!$N$7:$N$874,I26,BS_RE33!$P$7:$P$874,'30 days CF Table(RMB)'!G26,BS_RE33!$F$7:$F$874,'30 days CF Table(RMB)'!$C$2)</f>
        <v>0</v>
      </c>
      <c r="X26" s="337">
        <f>SUMIFS(BS_RE33!$H$7:$H$874,BS_RE33!$S$7:$S$874,$X$2,BS_RE33!$N$7:$N$874,I26,BS_RE33!$P$7:$P$874,'30 days CF Table(RMB)'!G26,BS_RE33!$F$7:$F$874,'30 days CF Table(RMB)'!$C$2)</f>
        <v>0</v>
      </c>
      <c r="Y26" s="337">
        <f>SUMIFS(BS_RE33!$H$7:$H$874,BS_RE33!$S$7:$S$874,$Y$2,BS_RE33!$N$7:$N$874,I26,BS_RE33!$P$7:$P$874,'30 days CF Table(RMB)'!G26,BS_RE33!$F$7:$F$874,'30 days CF Table(RMB)'!$C$2)</f>
        <v>0</v>
      </c>
      <c r="Z26" s="337">
        <f>SUMIFS(BS_RE33!$H$7:$H$874,BS_RE33!$S$7:$S$874,$Z$2,BS_RE33!$N$7:$N$874,I26,BS_RE33!$P$7:$P$874,'30 days CF Table(RMB)'!G26,BS_RE33!$F$7:$F$874,'30 days CF Table(RMB)'!$C$2)</f>
        <v>0</v>
      </c>
      <c r="AA26" s="337">
        <f>SUMIFS(BS_RE33!$H$7:$H$874,BS_RE33!$S$7:$S$874,$AA$2,BS_RE33!$N$7:$N$874,I26,BS_RE33!$P$7:$P$874,'30 days CF Table(RMB)'!G26,BS_RE33!$F$7:$F$874,'30 days CF Table(RMB)'!$C$2)</f>
        <v>0</v>
      </c>
      <c r="AB26" s="337">
        <f>SUMIFS(BS_RE33!$H$7:$H$874,BS_RE33!$S$7:$S$874,$AB$2,BS_RE33!$N$7:$N$874,I26,BS_RE33!$P$7:$P$874,'30 days CF Table(RMB)'!G26,BS_RE33!$F$7:$F$874,'30 days CF Table(RMB)'!$C$2)</f>
        <v>0</v>
      </c>
      <c r="AC26" s="337">
        <f>SUMIFS(BS_RE33!$H$7:$H$874,BS_RE33!$S$7:$S$874,$AC$2,BS_RE33!$N$7:$N$874,I26,BS_RE33!$P$7:$P$874,'30 days CF Table(RMB)'!G26,BS_RE33!$F$7:$F$874,'30 days CF Table(RMB)'!$C$2)</f>
        <v>0</v>
      </c>
      <c r="AD26" s="337">
        <f>SUMIFS(BS_RE33!$H$7:$H$874,BS_RE33!$S$7:$S$874,$AD$2,BS_RE33!$N$7:$N$874,I26,BS_RE33!$P$7:$P$874,'30 days CF Table(RMB)'!G26,BS_RE33!$F$7:$F$874,'30 days CF Table(RMB)'!$C$2)</f>
        <v>0</v>
      </c>
      <c r="AE26" s="337">
        <f>SUMIFS(BS_RE33!$H$7:$H$874,BS_RE33!$S$7:$S$874,$AE$2,BS_RE33!$N$7:$N$874,I26,BS_RE33!$P$7:$P$874,'30 days CF Table(RMB)'!G26,BS_RE33!$F$7:$F$874,'30 days CF Table(RMB)'!$C$2)</f>
        <v>0</v>
      </c>
      <c r="AF26" s="337">
        <f>SUMIFS(BS_RE33!$H$7:$H$874,BS_RE33!$S$7:$S$874,$AF$2,BS_RE33!$N$7:$N$874,I26,BS_RE33!$P$7:$P$874,'30 days CF Table(RMB)'!G26,BS_RE33!$F$7:$F$874,'30 days CF Table(RMB)'!$C$2)</f>
        <v>0</v>
      </c>
      <c r="AG26" s="337">
        <f>SUMIFS(BS_RE33!$H$7:$H$874,BS_RE33!$S$7:$S$874,$AG$2,BS_RE33!$N$7:$N$874,I26,BS_RE33!$P$7:$P$874,'30 days CF Table(RMB)'!G26,BS_RE33!$F$7:$F$874,'30 days CF Table(RMB)'!$C$2)</f>
        <v>0</v>
      </c>
      <c r="AH26" s="337">
        <f>SUMIFS(BS_RE33!$H$7:$H$874,BS_RE33!$S$7:$S$874,$AH$2,BS_RE33!$N$7:$N$874,I26,BS_RE33!$P$7:$P$874,'30 days CF Table(RMB)'!G26,BS_RE33!$F$7:$F$874,'30 days CF Table(RMB)'!$C$2)</f>
        <v>0</v>
      </c>
      <c r="AI26" s="337">
        <f>SUMIFS(BS_RE33!$H$7:$H$874,BS_RE33!$S$7:$S$874,$AI$2,BS_RE33!$N$7:$N$874,I26,BS_RE33!$P$7:$P$874,'30 days CF Table(RMB)'!G26,BS_RE33!$F$7:$F$874,'30 days CF Table(RMB)'!$C$2)</f>
        <v>0</v>
      </c>
      <c r="AJ26" s="337">
        <f>SUMIFS(BS_RE33!$H$7:$H$874,BS_RE33!$S$7:$S$874,$AJ$2,BS_RE33!$N$7:$N$874,I26,BS_RE33!$P$7:$P$874,'30 days CF Table(RMB)'!G26,BS_RE33!$F$7:$F$874,'30 days CF Table(RMB)'!$C$2)</f>
        <v>0</v>
      </c>
      <c r="AK26" s="337">
        <f>SUMIFS(BS_RE33!$H$7:$H$874,BS_RE33!$S$7:$S$874,$AK$2,BS_RE33!$N$7:$N$874,I26,BS_RE33!$P$7:$P$874,'30 days CF Table(RMB)'!G26,BS_RE33!$F$7:$F$874,'30 days CF Table(RMB)'!$C$2)</f>
        <v>0</v>
      </c>
      <c r="AL26" s="337">
        <f>SUMIFS(BS_RE33!$H$7:$H$874,BS_RE33!$S$7:$S$874,$AL$2,BS_RE33!$N$7:$N$874,I26,BS_RE33!$P$7:$P$874,'30 days CF Table(RMB)'!G26,BS_RE33!$F$7:$F$874,'30 days CF Table(RMB)'!$C$2)</f>
        <v>0</v>
      </c>
      <c r="AM26" s="337">
        <f>SUMIFS(BS_RE33!$H$7:$H$874,BS_RE33!$S$7:$S$874,$AM$2,BS_RE33!$N$7:$N$874,I26,BS_RE33!$P$7:$P$874,'30 days CF Table(RMB)'!G26,BS_RE33!$F$7:$F$874,'30 days CF Table(RMB)'!$C$2)</f>
        <v>0</v>
      </c>
      <c r="AN26" s="337">
        <f>SUMIFS(BS_RE33!$H$7:$H$874,BS_RE33!$S$7:$S$874,$AN$2,BS_RE33!$N$7:$N$874,I26,BS_RE33!$P$7:$P$874,'30 days CF Table(RMB)'!G26,BS_RE33!$F$7:$F$874,'30 days CF Table(RMB)'!$C$2)</f>
        <v>0</v>
      </c>
      <c r="AO26" s="337">
        <f>SUMIFS(BS_RE33!$H$7:$H$874,BS_RE33!$S$7:$S$874,$AO$2,BS_RE33!$N$7:$N$874,I26,BS_RE33!$P$7:$P$874,'30 days CF Table(RMB)'!G26,BS_RE33!$F$7:$F$874,'30 days CF Table(RMB)'!$C$2)</f>
        <v>0</v>
      </c>
      <c r="AP26" s="338">
        <f>SUMIFS(BS_RE33!$H$7:$H$874,BS_RE33!$S$7:$S$874,$AP$2,BS_RE33!$N$7:$N$874,I26,BS_RE33!$P$7:$P$874,'30 days CF Table(RMB)'!G26,BS_RE33!$F$7:$F$874,'30 days CF Table(RMB)'!$C$2)</f>
        <v>0</v>
      </c>
      <c r="AR26" s="379">
        <f>SUMIFS(BS_RE33!$H$7:$H$874,BS_RE33!$S$7:$S$874,$AR$2,BS_RE33!$N$7:$N$874,I26,BS_RE33!$P$7:$P$874,'30 days CF Table(RMB)'!G26,BS_RE33!$F$7:$F$874,'30 days CF Table(RMB)'!$C$2)</f>
        <v>0</v>
      </c>
      <c r="AS26" s="379">
        <f>SUMIFS(BS_RE33!$H$7:$H$874,BS_RE33!$S$7:$S$874,$AS$2,BS_RE33!$N$7:$N$874,I26,BS_RE33!$P$7:$P$874,'30 days CF Table(RMB)'!G26,BS_RE33!$F$7:$F$874,'30 days CF Table(RMB)'!$C$2)</f>
        <v>0</v>
      </c>
      <c r="AT26" s="379">
        <f>SUMIFS(BS_RE33!$H$7:$H$874,BS_RE33!$S$7:$S$874,$AT$2,BS_RE33!$N$7:$N$874,I26,BS_RE33!$P$7:$P$874,'30 days CF Table(RMB)'!G26,BS_RE33!$F$7:$F$874,'30 days CF Table(RMB)'!$C$2)</f>
        <v>0</v>
      </c>
      <c r="AU26" s="379">
        <f>SUMIFS(BS_RE33!$H$7:$H$874,BS_RE33!$S$7:$S$874,$AU$2,BS_RE33!$N$7:$N$874,I26,BS_RE33!$P$7:$P$874,'30 days CF Table(RMB)'!G26,BS_RE33!$F$7:$F$874,'30 days CF Table(RMB)'!$C$2)</f>
        <v>0</v>
      </c>
      <c r="AV26" s="379">
        <f>SUMIFS(BS_RE33!$H$7:$H$874,BS_RE33!$S$7:$S$874,$AV$2,BS_RE33!$N$7:$N$874,I26,BS_RE33!$P$7:$P$874,'30 days CF Table(RMB)'!G26,BS_RE33!$F$7:$F$874,'30 days CF Table(RMB)'!$C$2)</f>
        <v>0</v>
      </c>
      <c r="AW26" s="379">
        <f>SUMIFS(BS_RE33!$H$7:$H$874,BS_RE33!$S$7:$S$874,$AW$2,BS_RE33!$N$7:$N$874,I26,BS_RE33!$P$7:$P$874,'30 days CF Table(RMB)'!G26,BS_RE33!$F$7:$F$874,'30 days CF Table(RMB)'!$C$2)</f>
        <v>0</v>
      </c>
      <c r="AX26" s="379">
        <f>SUMIFS(BS_RE33!$H$7:$H$874,BS_RE33!$S$7:$S$874,$AX$2,BS_RE33!$N$7:$N$874,I26,BS_RE33!$P$7:$P$874,'30 days CF Table(RMB)'!G26,BS_RE33!$F$7:$F$874,'30 days CF Table(RMB)'!$C$2)</f>
        <v>0</v>
      </c>
      <c r="AY26" s="379">
        <f>SUMIFS(BS_RE33!$H$7:$H$874,BS_RE33!$S$7:$S$874,$AY$2,BS_RE33!$N$7:$N$874,I26,BS_RE33!$P$7:$P$874,'30 days CF Table(RMB)'!G26,BS_RE33!$F$7:$F$874,'30 days CF Table(RMB)'!$C$2)</f>
        <v>0</v>
      </c>
      <c r="AZ26" s="379">
        <f>SUMIFS(BS_RE33!$H$7:$H$874,BS_RE33!$S$7:$S$874,$AZ$2,BS_RE33!$N$7:$N$874,I26,BS_RE33!$P$7:$P$874,'30 days CF Table(RMB)'!G26,BS_RE33!$F$7:$F$874,'30 days CF Table(RMB)'!$C$2)</f>
        <v>0</v>
      </c>
      <c r="BA26" s="379">
        <f>SUMIFS(BS_RE33!$H$7:$H$874,BS_RE33!$S$7:$S$874,$BA$2,BS_RE33!$N$7:$N$874,I26,BS_RE33!$P$7:$P$874,'30 days CF Table(RMB)'!G26,BS_RE33!$F$7:$F$874,'30 days CF Table(RMB)'!$C$2)</f>
        <v>0</v>
      </c>
      <c r="BB26" s="379">
        <f>SUMIFS(BS_RE33!$H$7:$H$874,BS_RE33!$S$7:$S$874,$BB$2,BS_RE33!$N$7:$N$874,I26,BS_RE33!$P$7:$P$874,'30 days CF Table(RMB)'!G26,BS_RE33!$F$7:$F$874,'30 days CF Table(RMB)'!$C$2)</f>
        <v>0</v>
      </c>
      <c r="BC26" s="379">
        <f>SUMIFS(BS_RE33!$H$7:$H$874,BS_RE33!$S$7:$S$874,$BC$2,BS_RE33!$N$7:$N$874,I26,BS_RE33!$P$7:$P$874,'30 days CF Table(RMB)'!G26,BS_RE33!$F$7:$F$874,'30 days CF Table(RMB)'!$C$2)</f>
        <v>0</v>
      </c>
      <c r="BD26" s="379">
        <f>SUMIFS(BS_RE33!$H$7:$H$874,BS_RE33!$S$7:$S$874,$BD$2,BS_RE33!$N$7:$N$874,I26,BS_RE33!$P$7:$P$874,'30 days CF Table(RMB)'!G26,BS_RE33!$F$7:$F$874,'30 days CF Table(RMB)'!$C$2)</f>
        <v>0</v>
      </c>
      <c r="BE26" s="379">
        <f>SUMIFS(BS_RE33!$H$7:$H$874,BS_RE33!$S$7:$S$874,$BE$2,BS_RE33!$N$7:$N$874,I26,BS_RE33!$P$7:$P$874,'30 days CF Table(RMB)'!G26,BS_RE33!$F$7:$F$874,'30 days CF Table(RMB)'!$C$2)</f>
        <v>0</v>
      </c>
      <c r="BF26" s="379">
        <f>SUMIFS(BS_RE33!$H$7:$H$874,BS_RE33!$S$7:$S$874,$BF$2,BS_RE33!$N$7:$N$874,I26,BS_RE33!$P$7:$P$874,'30 days CF Table(RMB)'!G26,BS_RE33!$F$7:$F$874,'30 days CF Table(RMB)'!$C$2)</f>
        <v>0</v>
      </c>
      <c r="BG26" s="379">
        <f>SUMIFS(BS_RE33!$H$7:$H$874,BS_RE33!$S$7:$S$874,$BG$2,BS_RE33!$N$7:$N$874,I26,BS_RE33!$P$7:$P$874,'30 days CF Table(RMB)'!G26,BS_RE33!$F$7:$F$874,'30 days CF Table(RMB)'!$C$2)</f>
        <v>0</v>
      </c>
      <c r="BH26" s="379">
        <f>SUMIFS(BS_RE33!$H$7:$H$874,BS_RE33!$S$7:$S$874,$BH$2,BS_RE33!$N$7:$N$874,I26,BS_RE33!$P$7:$P$874,'30 days CF Table(RMB)'!G26,BS_RE33!$F$7:$F$874,'30 days CF Table(RMB)'!$C$2)</f>
        <v>0</v>
      </c>
      <c r="BI26" s="379">
        <f>SUMIFS(BS_RE33!$H$7:$H$874,BS_RE33!$S$7:$S$874,$BI$2,BS_RE33!$N$7:$N$874,I26,BS_RE33!$P$7:$P$874,'30 days CF Table(RMB)'!G26,BS_RE33!$F$7:$F$874,'30 days CF Table(RMB)'!$C$2)</f>
        <v>0</v>
      </c>
      <c r="BJ26" s="379">
        <f>SUMIFS(BS_RE33!$H$7:$H$874,BS_RE33!$S$7:$S$874,$BJ$2,BS_RE33!$N$7:$N$874,I26,BS_RE33!$P$7:$P$874,'30 days CF Table(RMB)'!G26,BS_RE33!$F$7:$F$874,'30 days CF Table(RMB)'!$C$2)</f>
        <v>0</v>
      </c>
      <c r="BK26" s="379">
        <f>SUMIFS(BS_RE33!$H$7:$H$874,BS_RE33!$S$7:$S$874,$BK$2,BS_RE33!$N$7:$N$874,I26,BS_RE33!$P$7:$P$874,'30 days CF Table(RMB)'!G26,BS_RE33!$F$7:$F$874,'30 days CF Table(RMB)'!$C$2)</f>
        <v>0</v>
      </c>
    </row>
    <row r="27" spans="1:63">
      <c r="C27" s="1029"/>
      <c r="D27" s="1039"/>
      <c r="E27" s="306" t="s">
        <v>79</v>
      </c>
      <c r="F27" s="560" t="s">
        <v>489</v>
      </c>
      <c r="G27" s="392" t="s">
        <v>515</v>
      </c>
      <c r="H27" s="314">
        <v>0.25</v>
      </c>
      <c r="I27" s="315" t="s">
        <v>80</v>
      </c>
      <c r="J27" s="479">
        <f t="shared" si="2"/>
        <v>0</v>
      </c>
      <c r="K27" s="336">
        <f t="shared" si="3"/>
        <v>0</v>
      </c>
      <c r="L27" s="337">
        <f>SUMIFS(BS_RE33!$H$7:$H$874,BS_RE33!$S$7:$S$874,$L$2,BS_RE33!$N$7:$N$874,I27,BS_RE33!$P$7:$P$874,'30 days CF Table(RMB)'!G27,BS_RE33!$F$7:$F$874,'30 days CF Table(RMB)'!$C$2)</f>
        <v>0</v>
      </c>
      <c r="M27" s="337">
        <f>SUMIFS(BS_RE33!$H$7:$H$874,BS_RE33!$S$7:$S$874,$M$2,BS_RE33!$N$7:$N$874,I27,BS_RE33!$P$7:$P$874,'30 days CF Table(RMB)'!G27,BS_RE33!$F$7:$F$874,'30 days CF Table(RMB)'!$C$2)</f>
        <v>0</v>
      </c>
      <c r="N27" s="337">
        <f>SUMIFS(BS_RE33!$H$7:$H$874,BS_RE33!$S$7:$S$874,$N$2,BS_RE33!$N$7:$N$874,I27,BS_RE33!$P$7:$P$874,'30 days CF Table(RMB)'!G27,BS_RE33!$F$7:$F$874,'30 days CF Table(RMB)'!$C$2)</f>
        <v>0</v>
      </c>
      <c r="O27" s="337">
        <f>SUMIFS(BS_RE33!$H$7:$H$874,BS_RE33!$S$7:$S$874,$O$2,BS_RE33!$N$7:$N$874,I27,BS_RE33!$P$7:$P$874,'30 days CF Table(RMB)'!G27,BS_RE33!$F$7:$F$874,'30 days CF Table(RMB)'!$C$2)</f>
        <v>0</v>
      </c>
      <c r="P27" s="337">
        <f>SUMIFS(BS_RE33!$H$7:$H$874,BS_RE33!$S$7:$S$874,$P$2,BS_RE33!$N$7:$N$874,I27,BS_RE33!$P$7:$P$874,'30 days CF Table(RMB)'!G27,BS_RE33!$F$7:$F$874,'30 days CF Table(RMB)'!$C$2)</f>
        <v>0</v>
      </c>
      <c r="Q27" s="337">
        <f>SUMIFS(BS_RE33!$H$7:$H$874,BS_RE33!$S$7:$S$874,$Q$2,BS_RE33!$N$7:$N$874,I27,BS_RE33!$P$7:$P$874,'30 days CF Table(RMB)'!G27,BS_RE33!$F$7:$F$874,'30 days CF Table(RMB)'!$C$2)</f>
        <v>0</v>
      </c>
      <c r="R27" s="337">
        <f>SUMIFS(BS_RE33!$H$7:$H$874,BS_RE33!$S$7:$S$874,$R$2,BS_RE33!$N$7:$N$874,I27,BS_RE33!$P$7:$P$874,'30 days CF Table(RMB)'!G27,BS_RE33!$F$7:$F$874,'30 days CF Table(RMB)'!$C$2)</f>
        <v>0</v>
      </c>
      <c r="S27" s="337">
        <f>SUMIFS(BS_RE33!$H$7:$H$874,BS_RE33!$S$7:$S$874,$S$2,BS_RE33!$N$7:$N$874,I27,BS_RE33!$P$7:$P$874,'30 days CF Table(RMB)'!G27,BS_RE33!$F$7:$F$874,'30 days CF Table(RMB)'!$C$2)</f>
        <v>0</v>
      </c>
      <c r="T27" s="337">
        <f>SUMIFS(BS_RE33!$H$7:$H$874,BS_RE33!$S$7:$S$874,$T$2,BS_RE33!$N$7:$N$874,I27,BS_RE33!$P$7:$P$874,'30 days CF Table(RMB)'!G27,BS_RE33!$F$7:$F$874,'30 days CF Table(RMB)'!$C$2)</f>
        <v>0</v>
      </c>
      <c r="U27" s="337">
        <f>SUMIFS(BS_RE33!$H$7:$H$874,BS_RE33!$S$7:$S$874,$U$2,BS_RE33!$N$7:$N$874,I27,BS_RE33!$P$7:$P$874,'30 days CF Table(RMB)'!G27,BS_RE33!$F$7:$F$874,'30 days CF Table(RMB)'!$C$2)</f>
        <v>0</v>
      </c>
      <c r="V27" s="337">
        <f>SUMIFS(BS_RE33!$H$7:$H$874,BS_RE33!$S$7:$S$874,$V$2,BS_RE33!$N$7:$N$874,I27,BS_RE33!$P$7:$P$874,'30 days CF Table(RMB)'!G27,BS_RE33!$F$7:$F$874,'30 days CF Table(RMB)'!$C$2)</f>
        <v>0</v>
      </c>
      <c r="W27" s="337">
        <f>SUMIFS(BS_RE33!$H$7:$H$874,BS_RE33!$S$7:$S$874,$W$2,BS_RE33!$N$7:$N$874,I27,BS_RE33!$P$7:$P$874,'30 days CF Table(RMB)'!G27,BS_RE33!$F$7:$F$874,'30 days CF Table(RMB)'!$C$2)</f>
        <v>0</v>
      </c>
      <c r="X27" s="337">
        <f>SUMIFS(BS_RE33!$H$7:$H$874,BS_RE33!$S$7:$S$874,$X$2,BS_RE33!$N$7:$N$874,I27,BS_RE33!$P$7:$P$874,'30 days CF Table(RMB)'!G27,BS_RE33!$F$7:$F$874,'30 days CF Table(RMB)'!$C$2)</f>
        <v>0</v>
      </c>
      <c r="Y27" s="337">
        <f>SUMIFS(BS_RE33!$H$7:$H$874,BS_RE33!$S$7:$S$874,$Y$2,BS_RE33!$N$7:$N$874,I27,BS_RE33!$P$7:$P$874,'30 days CF Table(RMB)'!G27,BS_RE33!$F$7:$F$874,'30 days CF Table(RMB)'!$C$2)</f>
        <v>0</v>
      </c>
      <c r="Z27" s="337">
        <f>SUMIFS(BS_RE33!$H$7:$H$874,BS_RE33!$S$7:$S$874,$Z$2,BS_RE33!$N$7:$N$874,I27,BS_RE33!$P$7:$P$874,'30 days CF Table(RMB)'!G27,BS_RE33!$F$7:$F$874,'30 days CF Table(RMB)'!$C$2)</f>
        <v>0</v>
      </c>
      <c r="AA27" s="337">
        <f>SUMIFS(BS_RE33!$H$7:$H$874,BS_RE33!$S$7:$S$874,$AA$2,BS_RE33!$N$7:$N$874,I27,BS_RE33!$P$7:$P$874,'30 days CF Table(RMB)'!G27,BS_RE33!$F$7:$F$874,'30 days CF Table(RMB)'!$C$2)</f>
        <v>0</v>
      </c>
      <c r="AB27" s="337">
        <f>SUMIFS(BS_RE33!$H$7:$H$874,BS_RE33!$S$7:$S$874,$AB$2,BS_RE33!$N$7:$N$874,I27,BS_RE33!$P$7:$P$874,'30 days CF Table(RMB)'!G27,BS_RE33!$F$7:$F$874,'30 days CF Table(RMB)'!$C$2)</f>
        <v>0</v>
      </c>
      <c r="AC27" s="337">
        <f>SUMIFS(BS_RE33!$H$7:$H$874,BS_RE33!$S$7:$S$874,$AC$2,BS_RE33!$N$7:$N$874,I27,BS_RE33!$P$7:$P$874,'30 days CF Table(RMB)'!G27,BS_RE33!$F$7:$F$874,'30 days CF Table(RMB)'!$C$2)</f>
        <v>0</v>
      </c>
      <c r="AD27" s="337">
        <f>SUMIFS(BS_RE33!$H$7:$H$874,BS_RE33!$S$7:$S$874,$AD$2,BS_RE33!$N$7:$N$874,I27,BS_RE33!$P$7:$P$874,'30 days CF Table(RMB)'!G27,BS_RE33!$F$7:$F$874,'30 days CF Table(RMB)'!$C$2)</f>
        <v>0</v>
      </c>
      <c r="AE27" s="337">
        <f>SUMIFS(BS_RE33!$H$7:$H$874,BS_RE33!$S$7:$S$874,$AE$2,BS_RE33!$N$7:$N$874,I27,BS_RE33!$P$7:$P$874,'30 days CF Table(RMB)'!G27,BS_RE33!$F$7:$F$874,'30 days CF Table(RMB)'!$C$2)</f>
        <v>0</v>
      </c>
      <c r="AF27" s="337">
        <f>SUMIFS(BS_RE33!$H$7:$H$874,BS_RE33!$S$7:$S$874,$AF$2,BS_RE33!$N$7:$N$874,I27,BS_RE33!$P$7:$P$874,'30 days CF Table(RMB)'!G27,BS_RE33!$F$7:$F$874,'30 days CF Table(RMB)'!$C$2)</f>
        <v>0</v>
      </c>
      <c r="AG27" s="337">
        <f>SUMIFS(BS_RE33!$H$7:$H$874,BS_RE33!$S$7:$S$874,$AG$2,BS_RE33!$N$7:$N$874,I27,BS_RE33!$P$7:$P$874,'30 days CF Table(RMB)'!G27,BS_RE33!$F$7:$F$874,'30 days CF Table(RMB)'!$C$2)</f>
        <v>0</v>
      </c>
      <c r="AH27" s="337">
        <f>SUMIFS(BS_RE33!$H$7:$H$874,BS_RE33!$S$7:$S$874,$AH$2,BS_RE33!$N$7:$N$874,I27,BS_RE33!$P$7:$P$874,'30 days CF Table(RMB)'!G27,BS_RE33!$F$7:$F$874,'30 days CF Table(RMB)'!$C$2)</f>
        <v>0</v>
      </c>
      <c r="AI27" s="337">
        <f>SUMIFS(BS_RE33!$H$7:$H$874,BS_RE33!$S$7:$S$874,$AI$2,BS_RE33!$N$7:$N$874,I27,BS_RE33!$P$7:$P$874,'30 days CF Table(RMB)'!G27,BS_RE33!$F$7:$F$874,'30 days CF Table(RMB)'!$C$2)</f>
        <v>0</v>
      </c>
      <c r="AJ27" s="337">
        <f>SUMIFS(BS_RE33!$H$7:$H$874,BS_RE33!$S$7:$S$874,$AJ$2,BS_RE33!$N$7:$N$874,I27,BS_RE33!$P$7:$P$874,'30 days CF Table(RMB)'!G27,BS_RE33!$F$7:$F$874,'30 days CF Table(RMB)'!$C$2)</f>
        <v>0</v>
      </c>
      <c r="AK27" s="337">
        <f>SUMIFS(BS_RE33!$H$7:$H$874,BS_RE33!$S$7:$S$874,$AK$2,BS_RE33!$N$7:$N$874,I27,BS_RE33!$P$7:$P$874,'30 days CF Table(RMB)'!G27,BS_RE33!$F$7:$F$874,'30 days CF Table(RMB)'!$C$2)</f>
        <v>0</v>
      </c>
      <c r="AL27" s="337">
        <f>SUMIFS(BS_RE33!$H$7:$H$874,BS_RE33!$S$7:$S$874,$AL$2,BS_RE33!$N$7:$N$874,I27,BS_RE33!$P$7:$P$874,'30 days CF Table(RMB)'!G27,BS_RE33!$F$7:$F$874,'30 days CF Table(RMB)'!$C$2)</f>
        <v>0</v>
      </c>
      <c r="AM27" s="337">
        <f>SUMIFS(BS_RE33!$H$7:$H$874,BS_RE33!$S$7:$S$874,$AM$2,BS_RE33!$N$7:$N$874,I27,BS_RE33!$P$7:$P$874,'30 days CF Table(RMB)'!G27,BS_RE33!$F$7:$F$874,'30 days CF Table(RMB)'!$C$2)</f>
        <v>0</v>
      </c>
      <c r="AN27" s="337">
        <f>SUMIFS(BS_RE33!$H$7:$H$874,BS_RE33!$S$7:$S$874,$AN$2,BS_RE33!$N$7:$N$874,I27,BS_RE33!$P$7:$P$874,'30 days CF Table(RMB)'!G27,BS_RE33!$F$7:$F$874,'30 days CF Table(RMB)'!$C$2)</f>
        <v>0</v>
      </c>
      <c r="AO27" s="337">
        <f>SUMIFS(BS_RE33!$H$7:$H$874,BS_RE33!$S$7:$S$874,$AO$2,BS_RE33!$N$7:$N$874,I27,BS_RE33!$P$7:$P$874,'30 days CF Table(RMB)'!G27,BS_RE33!$F$7:$F$874,'30 days CF Table(RMB)'!$C$2)</f>
        <v>0</v>
      </c>
      <c r="AP27" s="338">
        <f>SUMIFS(BS_RE33!$H$7:$H$874,BS_RE33!$S$7:$S$874,$AP$2,BS_RE33!$N$7:$N$874,I27,BS_RE33!$P$7:$P$874,'30 days CF Table(RMB)'!G27,BS_RE33!$F$7:$F$874,'30 days CF Table(RMB)'!$C$2)</f>
        <v>0</v>
      </c>
      <c r="AR27" s="379">
        <f>SUMIFS(BS_RE33!$H$7:$H$874,BS_RE33!$S$7:$S$874,$AR$2,BS_RE33!$N$7:$N$874,I27,BS_RE33!$P$7:$P$874,'30 days CF Table(RMB)'!G27,BS_RE33!$F$7:$F$874,'30 days CF Table(RMB)'!$C$2)</f>
        <v>0</v>
      </c>
      <c r="AS27" s="379">
        <f>SUMIFS(BS_RE33!$H$7:$H$874,BS_RE33!$S$7:$S$874,$AS$2,BS_RE33!$N$7:$N$874,I27,BS_RE33!$P$7:$P$874,'30 days CF Table(RMB)'!G27,BS_RE33!$F$7:$F$874,'30 days CF Table(RMB)'!$C$2)</f>
        <v>0</v>
      </c>
      <c r="AT27" s="379">
        <f>SUMIFS(BS_RE33!$H$7:$H$874,BS_RE33!$S$7:$S$874,$AT$2,BS_RE33!$N$7:$N$874,I27,BS_RE33!$P$7:$P$874,'30 days CF Table(RMB)'!G27,BS_RE33!$F$7:$F$874,'30 days CF Table(RMB)'!$C$2)</f>
        <v>0</v>
      </c>
      <c r="AU27" s="379">
        <f>SUMIFS(BS_RE33!$H$7:$H$874,BS_RE33!$S$7:$S$874,$AU$2,BS_RE33!$N$7:$N$874,I27,BS_RE33!$P$7:$P$874,'30 days CF Table(RMB)'!G27,BS_RE33!$F$7:$F$874,'30 days CF Table(RMB)'!$C$2)</f>
        <v>0</v>
      </c>
      <c r="AV27" s="379">
        <f>SUMIFS(BS_RE33!$H$7:$H$874,BS_RE33!$S$7:$S$874,$AV$2,BS_RE33!$N$7:$N$874,I27,BS_RE33!$P$7:$P$874,'30 days CF Table(RMB)'!G27,BS_RE33!$F$7:$F$874,'30 days CF Table(RMB)'!$C$2)</f>
        <v>0</v>
      </c>
      <c r="AW27" s="379">
        <f>SUMIFS(BS_RE33!$H$7:$H$874,BS_RE33!$S$7:$S$874,$AW$2,BS_RE33!$N$7:$N$874,I27,BS_RE33!$P$7:$P$874,'30 days CF Table(RMB)'!G27,BS_RE33!$F$7:$F$874,'30 days CF Table(RMB)'!$C$2)</f>
        <v>0</v>
      </c>
      <c r="AX27" s="379">
        <f>SUMIFS(BS_RE33!$H$7:$H$874,BS_RE33!$S$7:$S$874,$AX$2,BS_RE33!$N$7:$N$874,I27,BS_RE33!$P$7:$P$874,'30 days CF Table(RMB)'!G27,BS_RE33!$F$7:$F$874,'30 days CF Table(RMB)'!$C$2)</f>
        <v>0</v>
      </c>
      <c r="AY27" s="379">
        <f>SUMIFS(BS_RE33!$H$7:$H$874,BS_RE33!$S$7:$S$874,$AY$2,BS_RE33!$N$7:$N$874,I27,BS_RE33!$P$7:$P$874,'30 days CF Table(RMB)'!G27,BS_RE33!$F$7:$F$874,'30 days CF Table(RMB)'!$C$2)</f>
        <v>0</v>
      </c>
      <c r="AZ27" s="379">
        <f>SUMIFS(BS_RE33!$H$7:$H$874,BS_RE33!$S$7:$S$874,$AZ$2,BS_RE33!$N$7:$N$874,I27,BS_RE33!$P$7:$P$874,'30 days CF Table(RMB)'!G27,BS_RE33!$F$7:$F$874,'30 days CF Table(RMB)'!$C$2)</f>
        <v>0</v>
      </c>
      <c r="BA27" s="379">
        <f>SUMIFS(BS_RE33!$H$7:$H$874,BS_RE33!$S$7:$S$874,$BA$2,BS_RE33!$N$7:$N$874,I27,BS_RE33!$P$7:$P$874,'30 days CF Table(RMB)'!G27,BS_RE33!$F$7:$F$874,'30 days CF Table(RMB)'!$C$2)</f>
        <v>0</v>
      </c>
      <c r="BB27" s="379">
        <f>SUMIFS(BS_RE33!$H$7:$H$874,BS_RE33!$S$7:$S$874,$BB$2,BS_RE33!$N$7:$N$874,I27,BS_RE33!$P$7:$P$874,'30 days CF Table(RMB)'!G27,BS_RE33!$F$7:$F$874,'30 days CF Table(RMB)'!$C$2)</f>
        <v>0</v>
      </c>
      <c r="BC27" s="379">
        <f>SUMIFS(BS_RE33!$H$7:$H$874,BS_RE33!$S$7:$S$874,$BC$2,BS_RE33!$N$7:$N$874,I27,BS_RE33!$P$7:$P$874,'30 days CF Table(RMB)'!G27,BS_RE33!$F$7:$F$874,'30 days CF Table(RMB)'!$C$2)</f>
        <v>0</v>
      </c>
      <c r="BD27" s="379">
        <f>SUMIFS(BS_RE33!$H$7:$H$874,BS_RE33!$S$7:$S$874,$BD$2,BS_RE33!$N$7:$N$874,I27,BS_RE33!$P$7:$P$874,'30 days CF Table(RMB)'!G27,BS_RE33!$F$7:$F$874,'30 days CF Table(RMB)'!$C$2)</f>
        <v>0</v>
      </c>
      <c r="BE27" s="379">
        <f>SUMIFS(BS_RE33!$H$7:$H$874,BS_RE33!$S$7:$S$874,$BE$2,BS_RE33!$N$7:$N$874,I27,BS_RE33!$P$7:$P$874,'30 days CF Table(RMB)'!G27,BS_RE33!$F$7:$F$874,'30 days CF Table(RMB)'!$C$2)</f>
        <v>0</v>
      </c>
      <c r="BF27" s="379">
        <f>SUMIFS(BS_RE33!$H$7:$H$874,BS_RE33!$S$7:$S$874,$BF$2,BS_RE33!$N$7:$N$874,I27,BS_RE33!$P$7:$P$874,'30 days CF Table(RMB)'!G27,BS_RE33!$F$7:$F$874,'30 days CF Table(RMB)'!$C$2)</f>
        <v>0</v>
      </c>
      <c r="BG27" s="379">
        <f>SUMIFS(BS_RE33!$H$7:$H$874,BS_RE33!$S$7:$S$874,$BG$2,BS_RE33!$N$7:$N$874,I27,BS_RE33!$P$7:$P$874,'30 days CF Table(RMB)'!G27,BS_RE33!$F$7:$F$874,'30 days CF Table(RMB)'!$C$2)</f>
        <v>0</v>
      </c>
      <c r="BH27" s="379">
        <f>SUMIFS(BS_RE33!$H$7:$H$874,BS_RE33!$S$7:$S$874,$BH$2,BS_RE33!$N$7:$N$874,I27,BS_RE33!$P$7:$P$874,'30 days CF Table(RMB)'!G27,BS_RE33!$F$7:$F$874,'30 days CF Table(RMB)'!$C$2)</f>
        <v>0</v>
      </c>
      <c r="BI27" s="379">
        <f>SUMIFS(BS_RE33!$H$7:$H$874,BS_RE33!$S$7:$S$874,$BI$2,BS_RE33!$N$7:$N$874,I27,BS_RE33!$P$7:$P$874,'30 days CF Table(RMB)'!G27,BS_RE33!$F$7:$F$874,'30 days CF Table(RMB)'!$C$2)</f>
        <v>0</v>
      </c>
      <c r="BJ27" s="379">
        <f>SUMIFS(BS_RE33!$H$7:$H$874,BS_RE33!$S$7:$S$874,$BJ$2,BS_RE33!$N$7:$N$874,I27,BS_RE33!$P$7:$P$874,'30 days CF Table(RMB)'!G27,BS_RE33!$F$7:$F$874,'30 days CF Table(RMB)'!$C$2)</f>
        <v>0</v>
      </c>
      <c r="BK27" s="379">
        <f>SUMIFS(BS_RE33!$H$7:$H$874,BS_RE33!$S$7:$S$874,$BK$2,BS_RE33!$N$7:$N$874,I27,BS_RE33!$P$7:$P$874,'30 days CF Table(RMB)'!G27,BS_RE33!$F$7:$F$874,'30 days CF Table(RMB)'!$C$2)</f>
        <v>0</v>
      </c>
    </row>
    <row r="28" spans="1:63">
      <c r="C28" s="1029"/>
      <c r="D28" s="1039"/>
      <c r="E28" s="40" t="s">
        <v>79</v>
      </c>
      <c r="F28" s="560" t="s">
        <v>492</v>
      </c>
      <c r="G28" s="392" t="s">
        <v>516</v>
      </c>
      <c r="H28" s="314">
        <v>0.25</v>
      </c>
      <c r="I28" s="315" t="s">
        <v>80</v>
      </c>
      <c r="J28" s="479">
        <f t="shared" si="2"/>
        <v>0</v>
      </c>
      <c r="K28" s="336">
        <f t="shared" si="3"/>
        <v>0</v>
      </c>
      <c r="L28" s="337">
        <f>SUMIFS(BS_RE33!$H$7:$H$874,BS_RE33!$S$7:$S$874,$L$2,BS_RE33!$N$7:$N$874,I28,BS_RE33!$P$7:$P$874,'30 days CF Table(RMB)'!G28,BS_RE33!$F$7:$F$874,'30 days CF Table(RMB)'!$C$2)</f>
        <v>0</v>
      </c>
      <c r="M28" s="337">
        <f>SUMIFS(BS_RE33!$H$7:$H$874,BS_RE33!$S$7:$S$874,$M$2,BS_RE33!$N$7:$N$874,I28,BS_RE33!$P$7:$P$874,'30 days CF Table(RMB)'!G28,BS_RE33!$F$7:$F$874,'30 days CF Table(RMB)'!$C$2)</f>
        <v>0</v>
      </c>
      <c r="N28" s="337">
        <f>SUMIFS(BS_RE33!$H$7:$H$874,BS_RE33!$S$7:$S$874,$N$2,BS_RE33!$N$7:$N$874,I28,BS_RE33!$P$7:$P$874,'30 days CF Table(RMB)'!G28,BS_RE33!$F$7:$F$874,'30 days CF Table(RMB)'!$C$2)</f>
        <v>0</v>
      </c>
      <c r="O28" s="337">
        <f>SUMIFS(BS_RE33!$H$7:$H$874,BS_RE33!$S$7:$S$874,$O$2,BS_RE33!$N$7:$N$874,I28,BS_RE33!$P$7:$P$874,'30 days CF Table(RMB)'!G28,BS_RE33!$F$7:$F$874,'30 days CF Table(RMB)'!$C$2)</f>
        <v>0</v>
      </c>
      <c r="P28" s="337">
        <f>SUMIFS(BS_RE33!$H$7:$H$874,BS_RE33!$S$7:$S$874,$P$2,BS_RE33!$N$7:$N$874,I28,BS_RE33!$P$7:$P$874,'30 days CF Table(RMB)'!G28,BS_RE33!$F$7:$F$874,'30 days CF Table(RMB)'!$C$2)</f>
        <v>0</v>
      </c>
      <c r="Q28" s="337">
        <f>SUMIFS(BS_RE33!$H$7:$H$874,BS_RE33!$S$7:$S$874,$Q$2,BS_RE33!$N$7:$N$874,I28,BS_RE33!$P$7:$P$874,'30 days CF Table(RMB)'!G28,BS_RE33!$F$7:$F$874,'30 days CF Table(RMB)'!$C$2)</f>
        <v>0</v>
      </c>
      <c r="R28" s="337">
        <f>SUMIFS(BS_RE33!$H$7:$H$874,BS_RE33!$S$7:$S$874,$R$2,BS_RE33!$N$7:$N$874,I28,BS_RE33!$P$7:$P$874,'30 days CF Table(RMB)'!G28,BS_RE33!$F$7:$F$874,'30 days CF Table(RMB)'!$C$2)</f>
        <v>0</v>
      </c>
      <c r="S28" s="337">
        <f>SUMIFS(BS_RE33!$H$7:$H$874,BS_RE33!$S$7:$S$874,$S$2,BS_RE33!$N$7:$N$874,I28,BS_RE33!$P$7:$P$874,'30 days CF Table(RMB)'!G28,BS_RE33!$F$7:$F$874,'30 days CF Table(RMB)'!$C$2)</f>
        <v>0</v>
      </c>
      <c r="T28" s="337">
        <f>SUMIFS(BS_RE33!$H$7:$H$874,BS_RE33!$S$7:$S$874,$T$2,BS_RE33!$N$7:$N$874,I28,BS_RE33!$P$7:$P$874,'30 days CF Table(RMB)'!G28,BS_RE33!$F$7:$F$874,'30 days CF Table(RMB)'!$C$2)</f>
        <v>0</v>
      </c>
      <c r="U28" s="337">
        <f>SUMIFS(BS_RE33!$H$7:$H$874,BS_RE33!$S$7:$S$874,$U$2,BS_RE33!$N$7:$N$874,I28,BS_RE33!$P$7:$P$874,'30 days CF Table(RMB)'!G28,BS_RE33!$F$7:$F$874,'30 days CF Table(RMB)'!$C$2)</f>
        <v>0</v>
      </c>
      <c r="V28" s="337">
        <f>SUMIFS(BS_RE33!$H$7:$H$874,BS_RE33!$S$7:$S$874,$V$2,BS_RE33!$N$7:$N$874,I28,BS_RE33!$P$7:$P$874,'30 days CF Table(RMB)'!G28,BS_RE33!$F$7:$F$874,'30 days CF Table(RMB)'!$C$2)</f>
        <v>0</v>
      </c>
      <c r="W28" s="337">
        <f>SUMIFS(BS_RE33!$H$7:$H$874,BS_RE33!$S$7:$S$874,$W$2,BS_RE33!$N$7:$N$874,I28,BS_RE33!$P$7:$P$874,'30 days CF Table(RMB)'!G28,BS_RE33!$F$7:$F$874,'30 days CF Table(RMB)'!$C$2)</f>
        <v>0</v>
      </c>
      <c r="X28" s="337">
        <f>SUMIFS(BS_RE33!$H$7:$H$874,BS_RE33!$S$7:$S$874,$X$2,BS_RE33!$N$7:$N$874,I28,BS_RE33!$P$7:$P$874,'30 days CF Table(RMB)'!G28,BS_RE33!$F$7:$F$874,'30 days CF Table(RMB)'!$C$2)</f>
        <v>0</v>
      </c>
      <c r="Y28" s="337">
        <f>SUMIFS(BS_RE33!$H$7:$H$874,BS_RE33!$S$7:$S$874,$Y$2,BS_RE33!$N$7:$N$874,I28,BS_RE33!$P$7:$P$874,'30 days CF Table(RMB)'!G28,BS_RE33!$F$7:$F$874,'30 days CF Table(RMB)'!$C$2)</f>
        <v>0</v>
      </c>
      <c r="Z28" s="337">
        <f>SUMIFS(BS_RE33!$H$7:$H$874,BS_RE33!$S$7:$S$874,$Z$2,BS_RE33!$N$7:$N$874,I28,BS_RE33!$P$7:$P$874,'30 days CF Table(RMB)'!G28,BS_RE33!$F$7:$F$874,'30 days CF Table(RMB)'!$C$2)</f>
        <v>0</v>
      </c>
      <c r="AA28" s="337">
        <f>SUMIFS(BS_RE33!$H$7:$H$874,BS_RE33!$S$7:$S$874,$AA$2,BS_RE33!$N$7:$N$874,I28,BS_RE33!$P$7:$P$874,'30 days CF Table(RMB)'!G28,BS_RE33!$F$7:$F$874,'30 days CF Table(RMB)'!$C$2)</f>
        <v>0</v>
      </c>
      <c r="AB28" s="337">
        <f>SUMIFS(BS_RE33!$H$7:$H$874,BS_RE33!$S$7:$S$874,$AB$2,BS_RE33!$N$7:$N$874,I28,BS_RE33!$P$7:$P$874,'30 days CF Table(RMB)'!G28,BS_RE33!$F$7:$F$874,'30 days CF Table(RMB)'!$C$2)</f>
        <v>0</v>
      </c>
      <c r="AC28" s="337">
        <f>SUMIFS(BS_RE33!$H$7:$H$874,BS_RE33!$S$7:$S$874,$AC$2,BS_RE33!$N$7:$N$874,I28,BS_RE33!$P$7:$P$874,'30 days CF Table(RMB)'!G28,BS_RE33!$F$7:$F$874,'30 days CF Table(RMB)'!$C$2)</f>
        <v>0</v>
      </c>
      <c r="AD28" s="337">
        <f>SUMIFS(BS_RE33!$H$7:$H$874,BS_RE33!$S$7:$S$874,$AD$2,BS_RE33!$N$7:$N$874,I28,BS_RE33!$P$7:$P$874,'30 days CF Table(RMB)'!G28,BS_RE33!$F$7:$F$874,'30 days CF Table(RMB)'!$C$2)</f>
        <v>0</v>
      </c>
      <c r="AE28" s="337">
        <f>SUMIFS(BS_RE33!$H$7:$H$874,BS_RE33!$S$7:$S$874,$AE$2,BS_RE33!$N$7:$N$874,I28,BS_RE33!$P$7:$P$874,'30 days CF Table(RMB)'!G28,BS_RE33!$F$7:$F$874,'30 days CF Table(RMB)'!$C$2)</f>
        <v>0</v>
      </c>
      <c r="AF28" s="337">
        <f>SUMIFS(BS_RE33!$H$7:$H$874,BS_RE33!$S$7:$S$874,$AF$2,BS_RE33!$N$7:$N$874,I28,BS_RE33!$P$7:$P$874,'30 days CF Table(RMB)'!G28,BS_RE33!$F$7:$F$874,'30 days CF Table(RMB)'!$C$2)</f>
        <v>0</v>
      </c>
      <c r="AG28" s="337">
        <f>SUMIFS(BS_RE33!$H$7:$H$874,BS_RE33!$S$7:$S$874,$AG$2,BS_RE33!$N$7:$N$874,I28,BS_RE33!$P$7:$P$874,'30 days CF Table(RMB)'!G28,BS_RE33!$F$7:$F$874,'30 days CF Table(RMB)'!$C$2)</f>
        <v>0</v>
      </c>
      <c r="AH28" s="337">
        <f>SUMIFS(BS_RE33!$H$7:$H$874,BS_RE33!$S$7:$S$874,$AH$2,BS_RE33!$N$7:$N$874,I28,BS_RE33!$P$7:$P$874,'30 days CF Table(RMB)'!G28,BS_RE33!$F$7:$F$874,'30 days CF Table(RMB)'!$C$2)</f>
        <v>0</v>
      </c>
      <c r="AI28" s="337">
        <f>SUMIFS(BS_RE33!$H$7:$H$874,BS_RE33!$S$7:$S$874,$AI$2,BS_RE33!$N$7:$N$874,I28,BS_RE33!$P$7:$P$874,'30 days CF Table(RMB)'!G28,BS_RE33!$F$7:$F$874,'30 days CF Table(RMB)'!$C$2)</f>
        <v>0</v>
      </c>
      <c r="AJ28" s="337">
        <f>SUMIFS(BS_RE33!$H$7:$H$874,BS_RE33!$S$7:$S$874,$AJ$2,BS_RE33!$N$7:$N$874,I28,BS_RE33!$P$7:$P$874,'30 days CF Table(RMB)'!G28,BS_RE33!$F$7:$F$874,'30 days CF Table(RMB)'!$C$2)</f>
        <v>0</v>
      </c>
      <c r="AK28" s="337">
        <f>SUMIFS(BS_RE33!$H$7:$H$874,BS_RE33!$S$7:$S$874,$AK$2,BS_RE33!$N$7:$N$874,I28,BS_RE33!$P$7:$P$874,'30 days CF Table(RMB)'!G28,BS_RE33!$F$7:$F$874,'30 days CF Table(RMB)'!$C$2)</f>
        <v>0</v>
      </c>
      <c r="AL28" s="337">
        <f>SUMIFS(BS_RE33!$H$7:$H$874,BS_RE33!$S$7:$S$874,$AL$2,BS_RE33!$N$7:$N$874,I28,BS_RE33!$P$7:$P$874,'30 days CF Table(RMB)'!G28,BS_RE33!$F$7:$F$874,'30 days CF Table(RMB)'!$C$2)</f>
        <v>0</v>
      </c>
      <c r="AM28" s="337">
        <f>SUMIFS(BS_RE33!$H$7:$H$874,BS_RE33!$S$7:$S$874,$AM$2,BS_RE33!$N$7:$N$874,I28,BS_RE33!$P$7:$P$874,'30 days CF Table(RMB)'!G28,BS_RE33!$F$7:$F$874,'30 days CF Table(RMB)'!$C$2)</f>
        <v>0</v>
      </c>
      <c r="AN28" s="337">
        <f>SUMIFS(BS_RE33!$H$7:$H$874,BS_RE33!$S$7:$S$874,$AN$2,BS_RE33!$N$7:$N$874,I28,BS_RE33!$P$7:$P$874,'30 days CF Table(RMB)'!G28,BS_RE33!$F$7:$F$874,'30 days CF Table(RMB)'!$C$2)</f>
        <v>0</v>
      </c>
      <c r="AO28" s="337">
        <f>SUMIFS(BS_RE33!$H$7:$H$874,BS_RE33!$S$7:$S$874,$AO$2,BS_RE33!$N$7:$N$874,I28,BS_RE33!$P$7:$P$874,'30 days CF Table(RMB)'!G28,BS_RE33!$F$7:$F$874,'30 days CF Table(RMB)'!$C$2)</f>
        <v>0</v>
      </c>
      <c r="AP28" s="338">
        <f>SUMIFS(BS_RE33!$H$7:$H$874,BS_RE33!$S$7:$S$874,$AP$2,BS_RE33!$N$7:$N$874,I28,BS_RE33!$P$7:$P$874,'30 days CF Table(RMB)'!G28,BS_RE33!$F$7:$F$874,'30 days CF Table(RMB)'!$C$2)</f>
        <v>0</v>
      </c>
      <c r="AR28" s="379">
        <f>SUMIFS(BS_RE33!$H$7:$H$874,BS_RE33!$S$7:$S$874,$AR$2,BS_RE33!$N$7:$N$874,I28,BS_RE33!$P$7:$P$874,'30 days CF Table(RMB)'!G28,BS_RE33!$F$7:$F$874,'30 days CF Table(RMB)'!$C$2)</f>
        <v>0</v>
      </c>
      <c r="AS28" s="379">
        <f>SUMIFS(BS_RE33!$H$7:$H$874,BS_RE33!$S$7:$S$874,$AS$2,BS_RE33!$N$7:$N$874,I28,BS_RE33!$P$7:$P$874,'30 days CF Table(RMB)'!G28,BS_RE33!$F$7:$F$874,'30 days CF Table(RMB)'!$C$2)</f>
        <v>0</v>
      </c>
      <c r="AT28" s="379">
        <f>SUMIFS(BS_RE33!$H$7:$H$874,BS_RE33!$S$7:$S$874,$AT$2,BS_RE33!$N$7:$N$874,I28,BS_RE33!$P$7:$P$874,'30 days CF Table(RMB)'!G28,BS_RE33!$F$7:$F$874,'30 days CF Table(RMB)'!$C$2)</f>
        <v>0</v>
      </c>
      <c r="AU28" s="379">
        <f>SUMIFS(BS_RE33!$H$7:$H$874,BS_RE33!$S$7:$S$874,$AU$2,BS_RE33!$N$7:$N$874,I28,BS_RE33!$P$7:$P$874,'30 days CF Table(RMB)'!G28,BS_RE33!$F$7:$F$874,'30 days CF Table(RMB)'!$C$2)</f>
        <v>0</v>
      </c>
      <c r="AV28" s="379">
        <f>SUMIFS(BS_RE33!$H$7:$H$874,BS_RE33!$S$7:$S$874,$AV$2,BS_RE33!$N$7:$N$874,I28,BS_RE33!$P$7:$P$874,'30 days CF Table(RMB)'!G28,BS_RE33!$F$7:$F$874,'30 days CF Table(RMB)'!$C$2)</f>
        <v>0</v>
      </c>
      <c r="AW28" s="379">
        <f>SUMIFS(BS_RE33!$H$7:$H$874,BS_RE33!$S$7:$S$874,$AW$2,BS_RE33!$N$7:$N$874,I28,BS_RE33!$P$7:$P$874,'30 days CF Table(RMB)'!G28,BS_RE33!$F$7:$F$874,'30 days CF Table(RMB)'!$C$2)</f>
        <v>0</v>
      </c>
      <c r="AX28" s="379">
        <f>SUMIFS(BS_RE33!$H$7:$H$874,BS_RE33!$S$7:$S$874,$AX$2,BS_RE33!$N$7:$N$874,I28,BS_RE33!$P$7:$P$874,'30 days CF Table(RMB)'!G28,BS_RE33!$F$7:$F$874,'30 days CF Table(RMB)'!$C$2)</f>
        <v>0</v>
      </c>
      <c r="AY28" s="379">
        <f>SUMIFS(BS_RE33!$H$7:$H$874,BS_RE33!$S$7:$S$874,$AY$2,BS_RE33!$N$7:$N$874,I28,BS_RE33!$P$7:$P$874,'30 days CF Table(RMB)'!G28,BS_RE33!$F$7:$F$874,'30 days CF Table(RMB)'!$C$2)</f>
        <v>0</v>
      </c>
      <c r="AZ28" s="379">
        <f>SUMIFS(BS_RE33!$H$7:$H$874,BS_RE33!$S$7:$S$874,$AZ$2,BS_RE33!$N$7:$N$874,I28,BS_RE33!$P$7:$P$874,'30 days CF Table(RMB)'!G28,BS_RE33!$F$7:$F$874,'30 days CF Table(RMB)'!$C$2)</f>
        <v>0</v>
      </c>
      <c r="BA28" s="379">
        <f>SUMIFS(BS_RE33!$H$7:$H$874,BS_RE33!$S$7:$S$874,$BA$2,BS_RE33!$N$7:$N$874,I28,BS_RE33!$P$7:$P$874,'30 days CF Table(RMB)'!G28,BS_RE33!$F$7:$F$874,'30 days CF Table(RMB)'!$C$2)</f>
        <v>0</v>
      </c>
      <c r="BB28" s="379">
        <f>SUMIFS(BS_RE33!$H$7:$H$874,BS_RE33!$S$7:$S$874,$BB$2,BS_RE33!$N$7:$N$874,I28,BS_RE33!$P$7:$P$874,'30 days CF Table(RMB)'!G28,BS_RE33!$F$7:$F$874,'30 days CF Table(RMB)'!$C$2)</f>
        <v>0</v>
      </c>
      <c r="BC28" s="379">
        <f>SUMIFS(BS_RE33!$H$7:$H$874,BS_RE33!$S$7:$S$874,$BC$2,BS_RE33!$N$7:$N$874,I28,BS_RE33!$P$7:$P$874,'30 days CF Table(RMB)'!G28,BS_RE33!$F$7:$F$874,'30 days CF Table(RMB)'!$C$2)</f>
        <v>0</v>
      </c>
      <c r="BD28" s="379">
        <f>SUMIFS(BS_RE33!$H$7:$H$874,BS_RE33!$S$7:$S$874,$BD$2,BS_RE33!$N$7:$N$874,I28,BS_RE33!$P$7:$P$874,'30 days CF Table(RMB)'!G28,BS_RE33!$F$7:$F$874,'30 days CF Table(RMB)'!$C$2)</f>
        <v>0</v>
      </c>
      <c r="BE28" s="379">
        <f>SUMIFS(BS_RE33!$H$7:$H$874,BS_RE33!$S$7:$S$874,$BE$2,BS_RE33!$N$7:$N$874,I28,BS_RE33!$P$7:$P$874,'30 days CF Table(RMB)'!G28,BS_RE33!$F$7:$F$874,'30 days CF Table(RMB)'!$C$2)</f>
        <v>0</v>
      </c>
      <c r="BF28" s="379">
        <f>SUMIFS(BS_RE33!$H$7:$H$874,BS_RE33!$S$7:$S$874,$BF$2,BS_RE33!$N$7:$N$874,I28,BS_RE33!$P$7:$P$874,'30 days CF Table(RMB)'!G28,BS_RE33!$F$7:$F$874,'30 days CF Table(RMB)'!$C$2)</f>
        <v>0</v>
      </c>
      <c r="BG28" s="379">
        <f>SUMIFS(BS_RE33!$H$7:$H$874,BS_RE33!$S$7:$S$874,$BG$2,BS_RE33!$N$7:$N$874,I28,BS_RE33!$P$7:$P$874,'30 days CF Table(RMB)'!G28,BS_RE33!$F$7:$F$874,'30 days CF Table(RMB)'!$C$2)</f>
        <v>0</v>
      </c>
      <c r="BH28" s="379">
        <f>SUMIFS(BS_RE33!$H$7:$H$874,BS_RE33!$S$7:$S$874,$BH$2,BS_RE33!$N$7:$N$874,I28,BS_RE33!$P$7:$P$874,'30 days CF Table(RMB)'!G28,BS_RE33!$F$7:$F$874,'30 days CF Table(RMB)'!$C$2)</f>
        <v>0</v>
      </c>
      <c r="BI28" s="379">
        <f>SUMIFS(BS_RE33!$H$7:$H$874,BS_RE33!$S$7:$S$874,$BI$2,BS_RE33!$N$7:$N$874,I28,BS_RE33!$P$7:$P$874,'30 days CF Table(RMB)'!G28,BS_RE33!$F$7:$F$874,'30 days CF Table(RMB)'!$C$2)</f>
        <v>0</v>
      </c>
      <c r="BJ28" s="379">
        <f>SUMIFS(BS_RE33!$H$7:$H$874,BS_RE33!$S$7:$S$874,$BJ$2,BS_RE33!$N$7:$N$874,I28,BS_RE33!$P$7:$P$874,'30 days CF Table(RMB)'!G28,BS_RE33!$F$7:$F$874,'30 days CF Table(RMB)'!$C$2)</f>
        <v>0</v>
      </c>
      <c r="BK28" s="379">
        <f>SUMIFS(BS_RE33!$H$7:$H$874,BS_RE33!$S$7:$S$874,$BK$2,BS_RE33!$N$7:$N$874,I28,BS_RE33!$P$7:$P$874,'30 days CF Table(RMB)'!G28,BS_RE33!$F$7:$F$874,'30 days CF Table(RMB)'!$C$2)</f>
        <v>0</v>
      </c>
    </row>
    <row r="29" spans="1:63">
      <c r="C29" s="1029"/>
      <c r="D29" s="1039"/>
      <c r="E29" s="306" t="s">
        <v>79</v>
      </c>
      <c r="F29" s="560" t="s">
        <v>493</v>
      </c>
      <c r="G29" s="392" t="s">
        <v>517</v>
      </c>
      <c r="H29" s="314">
        <v>0.25</v>
      </c>
      <c r="I29" s="315" t="s">
        <v>80</v>
      </c>
      <c r="J29" s="479">
        <f t="shared" si="2"/>
        <v>0</v>
      </c>
      <c r="K29" s="336">
        <f t="shared" si="3"/>
        <v>0</v>
      </c>
      <c r="L29" s="337">
        <f>SUMIFS(BS_RE33!$H$7:$H$874,BS_RE33!$S$7:$S$874,$L$2,BS_RE33!$N$7:$N$874,I29,BS_RE33!$P$7:$P$874,'30 days CF Table(RMB)'!G29,BS_RE33!$F$7:$F$874,'30 days CF Table(RMB)'!$C$2)</f>
        <v>0</v>
      </c>
      <c r="M29" s="337">
        <f>SUMIFS(BS_RE33!$H$7:$H$874,BS_RE33!$S$7:$S$874,$M$2,BS_RE33!$N$7:$N$874,I29,BS_RE33!$P$7:$P$874,'30 days CF Table(RMB)'!G29,BS_RE33!$F$7:$F$874,'30 days CF Table(RMB)'!$C$2)</f>
        <v>0</v>
      </c>
      <c r="N29" s="337">
        <f>SUMIFS(BS_RE33!$H$7:$H$874,BS_RE33!$S$7:$S$874,$N$2,BS_RE33!$N$7:$N$874,I29,BS_RE33!$P$7:$P$874,'30 days CF Table(RMB)'!G29,BS_RE33!$F$7:$F$874,'30 days CF Table(RMB)'!$C$2)</f>
        <v>0</v>
      </c>
      <c r="O29" s="337">
        <f>SUMIFS(BS_RE33!$H$7:$H$874,BS_RE33!$S$7:$S$874,$O$2,BS_RE33!$N$7:$N$874,I29,BS_RE33!$P$7:$P$874,'30 days CF Table(RMB)'!G29,BS_RE33!$F$7:$F$874,'30 days CF Table(RMB)'!$C$2)</f>
        <v>0</v>
      </c>
      <c r="P29" s="337">
        <f>SUMIFS(BS_RE33!$H$7:$H$874,BS_RE33!$S$7:$S$874,$P$2,BS_RE33!$N$7:$N$874,I29,BS_RE33!$P$7:$P$874,'30 days CF Table(RMB)'!G29,BS_RE33!$F$7:$F$874,'30 days CF Table(RMB)'!$C$2)</f>
        <v>0</v>
      </c>
      <c r="Q29" s="337">
        <f>SUMIFS(BS_RE33!$H$7:$H$874,BS_RE33!$S$7:$S$874,$Q$2,BS_RE33!$N$7:$N$874,I29,BS_RE33!$P$7:$P$874,'30 days CF Table(RMB)'!G29,BS_RE33!$F$7:$F$874,'30 days CF Table(RMB)'!$C$2)</f>
        <v>0</v>
      </c>
      <c r="R29" s="337">
        <f>SUMIFS(BS_RE33!$H$7:$H$874,BS_RE33!$S$7:$S$874,$R$2,BS_RE33!$N$7:$N$874,I29,BS_RE33!$P$7:$P$874,'30 days CF Table(RMB)'!G29,BS_RE33!$F$7:$F$874,'30 days CF Table(RMB)'!$C$2)</f>
        <v>0</v>
      </c>
      <c r="S29" s="337">
        <f>SUMIFS(BS_RE33!$H$7:$H$874,BS_RE33!$S$7:$S$874,$S$2,BS_RE33!$N$7:$N$874,I29,BS_RE33!$P$7:$P$874,'30 days CF Table(RMB)'!G29,BS_RE33!$F$7:$F$874,'30 days CF Table(RMB)'!$C$2)</f>
        <v>0</v>
      </c>
      <c r="T29" s="337">
        <f>SUMIFS(BS_RE33!$H$7:$H$874,BS_RE33!$S$7:$S$874,$T$2,BS_RE33!$N$7:$N$874,I29,BS_RE33!$P$7:$P$874,'30 days CF Table(RMB)'!G29,BS_RE33!$F$7:$F$874,'30 days CF Table(RMB)'!$C$2)</f>
        <v>0</v>
      </c>
      <c r="U29" s="337">
        <f>SUMIFS(BS_RE33!$H$7:$H$874,BS_RE33!$S$7:$S$874,$U$2,BS_RE33!$N$7:$N$874,I29,BS_RE33!$P$7:$P$874,'30 days CF Table(RMB)'!G29,BS_RE33!$F$7:$F$874,'30 days CF Table(RMB)'!$C$2)</f>
        <v>0</v>
      </c>
      <c r="V29" s="337">
        <f>SUMIFS(BS_RE33!$H$7:$H$874,BS_RE33!$S$7:$S$874,$V$2,BS_RE33!$N$7:$N$874,I29,BS_RE33!$P$7:$P$874,'30 days CF Table(RMB)'!G29,BS_RE33!$F$7:$F$874,'30 days CF Table(RMB)'!$C$2)</f>
        <v>0</v>
      </c>
      <c r="W29" s="337">
        <f>SUMIFS(BS_RE33!$H$7:$H$874,BS_RE33!$S$7:$S$874,$W$2,BS_RE33!$N$7:$N$874,I29,BS_RE33!$P$7:$P$874,'30 days CF Table(RMB)'!G29,BS_RE33!$F$7:$F$874,'30 days CF Table(RMB)'!$C$2)</f>
        <v>0</v>
      </c>
      <c r="X29" s="337">
        <f>SUMIFS(BS_RE33!$H$7:$H$874,BS_RE33!$S$7:$S$874,$X$2,BS_RE33!$N$7:$N$874,I29,BS_RE33!$P$7:$P$874,'30 days CF Table(RMB)'!G29,BS_RE33!$F$7:$F$874,'30 days CF Table(RMB)'!$C$2)</f>
        <v>0</v>
      </c>
      <c r="Y29" s="337">
        <f>SUMIFS(BS_RE33!$H$7:$H$874,BS_RE33!$S$7:$S$874,$Y$2,BS_RE33!$N$7:$N$874,I29,BS_RE33!$P$7:$P$874,'30 days CF Table(RMB)'!G29,BS_RE33!$F$7:$F$874,'30 days CF Table(RMB)'!$C$2)</f>
        <v>0</v>
      </c>
      <c r="Z29" s="337">
        <f>SUMIFS(BS_RE33!$H$7:$H$874,BS_RE33!$S$7:$S$874,$Z$2,BS_RE33!$N$7:$N$874,I29,BS_RE33!$P$7:$P$874,'30 days CF Table(RMB)'!G29,BS_RE33!$F$7:$F$874,'30 days CF Table(RMB)'!$C$2)</f>
        <v>0</v>
      </c>
      <c r="AA29" s="337">
        <f>SUMIFS(BS_RE33!$H$7:$H$874,BS_RE33!$S$7:$S$874,$AA$2,BS_RE33!$N$7:$N$874,I29,BS_RE33!$P$7:$P$874,'30 days CF Table(RMB)'!G29,BS_RE33!$F$7:$F$874,'30 days CF Table(RMB)'!$C$2)</f>
        <v>0</v>
      </c>
      <c r="AB29" s="337">
        <f>SUMIFS(BS_RE33!$H$7:$H$874,BS_RE33!$S$7:$S$874,$AB$2,BS_RE33!$N$7:$N$874,I29,BS_RE33!$P$7:$P$874,'30 days CF Table(RMB)'!G29,BS_RE33!$F$7:$F$874,'30 days CF Table(RMB)'!$C$2)</f>
        <v>0</v>
      </c>
      <c r="AC29" s="337">
        <f>SUMIFS(BS_RE33!$H$7:$H$874,BS_RE33!$S$7:$S$874,$AC$2,BS_RE33!$N$7:$N$874,I29,BS_RE33!$P$7:$P$874,'30 days CF Table(RMB)'!G29,BS_RE33!$F$7:$F$874,'30 days CF Table(RMB)'!$C$2)</f>
        <v>0</v>
      </c>
      <c r="AD29" s="337">
        <f>SUMIFS(BS_RE33!$H$7:$H$874,BS_RE33!$S$7:$S$874,$AD$2,BS_RE33!$N$7:$N$874,I29,BS_RE33!$P$7:$P$874,'30 days CF Table(RMB)'!G29,BS_RE33!$F$7:$F$874,'30 days CF Table(RMB)'!$C$2)</f>
        <v>0</v>
      </c>
      <c r="AE29" s="337">
        <f>SUMIFS(BS_RE33!$H$7:$H$874,BS_RE33!$S$7:$S$874,$AE$2,BS_RE33!$N$7:$N$874,I29,BS_RE33!$P$7:$P$874,'30 days CF Table(RMB)'!G29,BS_RE33!$F$7:$F$874,'30 days CF Table(RMB)'!$C$2)</f>
        <v>0</v>
      </c>
      <c r="AF29" s="337">
        <f>SUMIFS(BS_RE33!$H$7:$H$874,BS_RE33!$S$7:$S$874,$AF$2,BS_RE33!$N$7:$N$874,I29,BS_RE33!$P$7:$P$874,'30 days CF Table(RMB)'!G29,BS_RE33!$F$7:$F$874,'30 days CF Table(RMB)'!$C$2)</f>
        <v>0</v>
      </c>
      <c r="AG29" s="337">
        <f>SUMIFS(BS_RE33!$H$7:$H$874,BS_RE33!$S$7:$S$874,$AG$2,BS_RE33!$N$7:$N$874,I29,BS_RE33!$P$7:$P$874,'30 days CF Table(RMB)'!G29,BS_RE33!$F$7:$F$874,'30 days CF Table(RMB)'!$C$2)</f>
        <v>0</v>
      </c>
      <c r="AH29" s="337">
        <f>SUMIFS(BS_RE33!$H$7:$H$874,BS_RE33!$S$7:$S$874,$AH$2,BS_RE33!$N$7:$N$874,I29,BS_RE33!$P$7:$P$874,'30 days CF Table(RMB)'!G29,BS_RE33!$F$7:$F$874,'30 days CF Table(RMB)'!$C$2)</f>
        <v>0</v>
      </c>
      <c r="AI29" s="337">
        <f>SUMIFS(BS_RE33!$H$7:$H$874,BS_RE33!$S$7:$S$874,$AI$2,BS_RE33!$N$7:$N$874,I29,BS_RE33!$P$7:$P$874,'30 days CF Table(RMB)'!G29,BS_RE33!$F$7:$F$874,'30 days CF Table(RMB)'!$C$2)</f>
        <v>0</v>
      </c>
      <c r="AJ29" s="337">
        <f>SUMIFS(BS_RE33!$H$7:$H$874,BS_RE33!$S$7:$S$874,$AJ$2,BS_RE33!$N$7:$N$874,I29,BS_RE33!$P$7:$P$874,'30 days CF Table(RMB)'!G29,BS_RE33!$F$7:$F$874,'30 days CF Table(RMB)'!$C$2)</f>
        <v>0</v>
      </c>
      <c r="AK29" s="337">
        <f>SUMIFS(BS_RE33!$H$7:$H$874,BS_RE33!$S$7:$S$874,$AK$2,BS_RE33!$N$7:$N$874,I29,BS_RE33!$P$7:$P$874,'30 days CF Table(RMB)'!G29,BS_RE33!$F$7:$F$874,'30 days CF Table(RMB)'!$C$2)</f>
        <v>0</v>
      </c>
      <c r="AL29" s="337">
        <f>SUMIFS(BS_RE33!$H$7:$H$874,BS_RE33!$S$7:$S$874,$AL$2,BS_RE33!$N$7:$N$874,I29,BS_RE33!$P$7:$P$874,'30 days CF Table(RMB)'!G29,BS_RE33!$F$7:$F$874,'30 days CF Table(RMB)'!$C$2)</f>
        <v>0</v>
      </c>
      <c r="AM29" s="337">
        <f>SUMIFS(BS_RE33!$H$7:$H$874,BS_RE33!$S$7:$S$874,$AM$2,BS_RE33!$N$7:$N$874,I29,BS_RE33!$P$7:$P$874,'30 days CF Table(RMB)'!G29,BS_RE33!$F$7:$F$874,'30 days CF Table(RMB)'!$C$2)</f>
        <v>0</v>
      </c>
      <c r="AN29" s="337">
        <f>SUMIFS(BS_RE33!$H$7:$H$874,BS_RE33!$S$7:$S$874,$AN$2,BS_RE33!$N$7:$N$874,I29,BS_RE33!$P$7:$P$874,'30 days CF Table(RMB)'!G29,BS_RE33!$F$7:$F$874,'30 days CF Table(RMB)'!$C$2)</f>
        <v>0</v>
      </c>
      <c r="AO29" s="337">
        <f>SUMIFS(BS_RE33!$H$7:$H$874,BS_RE33!$S$7:$S$874,$AO$2,BS_RE33!$N$7:$N$874,I29,BS_RE33!$P$7:$P$874,'30 days CF Table(RMB)'!G29,BS_RE33!$F$7:$F$874,'30 days CF Table(RMB)'!$C$2)</f>
        <v>0</v>
      </c>
      <c r="AP29" s="338">
        <f>SUMIFS(BS_RE33!$H$7:$H$874,BS_RE33!$S$7:$S$874,$AP$2,BS_RE33!$N$7:$N$874,I29,BS_RE33!$P$7:$P$874,'30 days CF Table(RMB)'!G29,BS_RE33!$F$7:$F$874,'30 days CF Table(RMB)'!$C$2)</f>
        <v>0</v>
      </c>
      <c r="AR29" s="379">
        <f>SUMIFS(BS_RE33!$H$7:$H$874,BS_RE33!$S$7:$S$874,$AR$2,BS_RE33!$N$7:$N$874,I29,BS_RE33!$P$7:$P$874,'30 days CF Table(RMB)'!G29,BS_RE33!$F$7:$F$874,'30 days CF Table(RMB)'!$C$2)</f>
        <v>0</v>
      </c>
      <c r="AS29" s="379">
        <f>SUMIFS(BS_RE33!$H$7:$H$874,BS_RE33!$S$7:$S$874,$AS$2,BS_RE33!$N$7:$N$874,I29,BS_RE33!$P$7:$P$874,'30 days CF Table(RMB)'!G29,BS_RE33!$F$7:$F$874,'30 days CF Table(RMB)'!$C$2)</f>
        <v>0</v>
      </c>
      <c r="AT29" s="379">
        <f>SUMIFS(BS_RE33!$H$7:$H$874,BS_RE33!$S$7:$S$874,$AT$2,BS_RE33!$N$7:$N$874,I29,BS_RE33!$P$7:$P$874,'30 days CF Table(RMB)'!G29,BS_RE33!$F$7:$F$874,'30 days CF Table(RMB)'!$C$2)</f>
        <v>0</v>
      </c>
      <c r="AU29" s="379">
        <f>SUMIFS(BS_RE33!$H$7:$H$874,BS_RE33!$S$7:$S$874,$AU$2,BS_RE33!$N$7:$N$874,I29,BS_RE33!$P$7:$P$874,'30 days CF Table(RMB)'!G29,BS_RE33!$F$7:$F$874,'30 days CF Table(RMB)'!$C$2)</f>
        <v>0</v>
      </c>
      <c r="AV29" s="379">
        <f>SUMIFS(BS_RE33!$H$7:$H$874,BS_RE33!$S$7:$S$874,$AV$2,BS_RE33!$N$7:$N$874,I29,BS_RE33!$P$7:$P$874,'30 days CF Table(RMB)'!G29,BS_RE33!$F$7:$F$874,'30 days CF Table(RMB)'!$C$2)</f>
        <v>0</v>
      </c>
      <c r="AW29" s="379">
        <f>SUMIFS(BS_RE33!$H$7:$H$874,BS_RE33!$S$7:$S$874,$AW$2,BS_RE33!$N$7:$N$874,I29,BS_RE33!$P$7:$P$874,'30 days CF Table(RMB)'!G29,BS_RE33!$F$7:$F$874,'30 days CF Table(RMB)'!$C$2)</f>
        <v>0</v>
      </c>
      <c r="AX29" s="379">
        <f>SUMIFS(BS_RE33!$H$7:$H$874,BS_RE33!$S$7:$S$874,$AX$2,BS_RE33!$N$7:$N$874,I29,BS_RE33!$P$7:$P$874,'30 days CF Table(RMB)'!G29,BS_RE33!$F$7:$F$874,'30 days CF Table(RMB)'!$C$2)</f>
        <v>0</v>
      </c>
      <c r="AY29" s="379">
        <f>SUMIFS(BS_RE33!$H$7:$H$874,BS_RE33!$S$7:$S$874,$AY$2,BS_RE33!$N$7:$N$874,I29,BS_RE33!$P$7:$P$874,'30 days CF Table(RMB)'!G29,BS_RE33!$F$7:$F$874,'30 days CF Table(RMB)'!$C$2)</f>
        <v>0</v>
      </c>
      <c r="AZ29" s="379">
        <f>SUMIFS(BS_RE33!$H$7:$H$874,BS_RE33!$S$7:$S$874,$AZ$2,BS_RE33!$N$7:$N$874,I29,BS_RE33!$P$7:$P$874,'30 days CF Table(RMB)'!G29,BS_RE33!$F$7:$F$874,'30 days CF Table(RMB)'!$C$2)</f>
        <v>0</v>
      </c>
      <c r="BA29" s="379">
        <f>SUMIFS(BS_RE33!$H$7:$H$874,BS_RE33!$S$7:$S$874,$BA$2,BS_RE33!$N$7:$N$874,I29,BS_RE33!$P$7:$P$874,'30 days CF Table(RMB)'!G29,BS_RE33!$F$7:$F$874,'30 days CF Table(RMB)'!$C$2)</f>
        <v>0</v>
      </c>
      <c r="BB29" s="379">
        <f>SUMIFS(BS_RE33!$H$7:$H$874,BS_RE33!$S$7:$S$874,$BB$2,BS_RE33!$N$7:$N$874,I29,BS_RE33!$P$7:$P$874,'30 days CF Table(RMB)'!G29,BS_RE33!$F$7:$F$874,'30 days CF Table(RMB)'!$C$2)</f>
        <v>0</v>
      </c>
      <c r="BC29" s="379">
        <f>SUMIFS(BS_RE33!$H$7:$H$874,BS_RE33!$S$7:$S$874,$BC$2,BS_RE33!$N$7:$N$874,I29,BS_RE33!$P$7:$P$874,'30 days CF Table(RMB)'!G29,BS_RE33!$F$7:$F$874,'30 days CF Table(RMB)'!$C$2)</f>
        <v>0</v>
      </c>
      <c r="BD29" s="379">
        <f>SUMIFS(BS_RE33!$H$7:$H$874,BS_RE33!$S$7:$S$874,$BD$2,BS_RE33!$N$7:$N$874,I29,BS_RE33!$P$7:$P$874,'30 days CF Table(RMB)'!G29,BS_RE33!$F$7:$F$874,'30 days CF Table(RMB)'!$C$2)</f>
        <v>0</v>
      </c>
      <c r="BE29" s="379">
        <f>SUMIFS(BS_RE33!$H$7:$H$874,BS_RE33!$S$7:$S$874,$BE$2,BS_RE33!$N$7:$N$874,I29,BS_RE33!$P$7:$P$874,'30 days CF Table(RMB)'!G29,BS_RE33!$F$7:$F$874,'30 days CF Table(RMB)'!$C$2)</f>
        <v>0</v>
      </c>
      <c r="BF29" s="379">
        <f>SUMIFS(BS_RE33!$H$7:$H$874,BS_RE33!$S$7:$S$874,$BF$2,BS_RE33!$N$7:$N$874,I29,BS_RE33!$P$7:$P$874,'30 days CF Table(RMB)'!G29,BS_RE33!$F$7:$F$874,'30 days CF Table(RMB)'!$C$2)</f>
        <v>0</v>
      </c>
      <c r="BG29" s="379">
        <f>SUMIFS(BS_RE33!$H$7:$H$874,BS_RE33!$S$7:$S$874,$BG$2,BS_RE33!$N$7:$N$874,I29,BS_RE33!$P$7:$P$874,'30 days CF Table(RMB)'!G29,BS_RE33!$F$7:$F$874,'30 days CF Table(RMB)'!$C$2)</f>
        <v>0</v>
      </c>
      <c r="BH29" s="379">
        <f>SUMIFS(BS_RE33!$H$7:$H$874,BS_RE33!$S$7:$S$874,$BH$2,BS_RE33!$N$7:$N$874,I29,BS_RE33!$P$7:$P$874,'30 days CF Table(RMB)'!G29,BS_RE33!$F$7:$F$874,'30 days CF Table(RMB)'!$C$2)</f>
        <v>0</v>
      </c>
      <c r="BI29" s="379">
        <f>SUMIFS(BS_RE33!$H$7:$H$874,BS_RE33!$S$7:$S$874,$BI$2,BS_RE33!$N$7:$N$874,I29,BS_RE33!$P$7:$P$874,'30 days CF Table(RMB)'!G29,BS_RE33!$F$7:$F$874,'30 days CF Table(RMB)'!$C$2)</f>
        <v>0</v>
      </c>
      <c r="BJ29" s="379">
        <f>SUMIFS(BS_RE33!$H$7:$H$874,BS_RE33!$S$7:$S$874,$BJ$2,BS_RE33!$N$7:$N$874,I29,BS_RE33!$P$7:$P$874,'30 days CF Table(RMB)'!G29,BS_RE33!$F$7:$F$874,'30 days CF Table(RMB)'!$C$2)</f>
        <v>0</v>
      </c>
      <c r="BK29" s="379">
        <f>SUMIFS(BS_RE33!$H$7:$H$874,BS_RE33!$S$7:$S$874,$BK$2,BS_RE33!$N$7:$N$874,I29,BS_RE33!$P$7:$P$874,'30 days CF Table(RMB)'!G29,BS_RE33!$F$7:$F$874,'30 days CF Table(RMB)'!$C$2)</f>
        <v>0</v>
      </c>
    </row>
    <row r="30" spans="1:63">
      <c r="C30" s="1029"/>
      <c r="D30" s="1039"/>
      <c r="E30" s="306" t="s">
        <v>81</v>
      </c>
      <c r="F30" s="560" t="s">
        <v>491</v>
      </c>
      <c r="G30" s="392" t="s">
        <v>518</v>
      </c>
      <c r="H30" s="314">
        <v>0.25</v>
      </c>
      <c r="I30" s="315" t="s">
        <v>80</v>
      </c>
      <c r="J30" s="479">
        <f t="shared" si="2"/>
        <v>0</v>
      </c>
      <c r="K30" s="336">
        <f t="shared" si="3"/>
        <v>0</v>
      </c>
      <c r="L30" s="337">
        <f>SUMIFS(BS_RE33!$H$7:$H$874,BS_RE33!$S$7:$S$874,$L$2,BS_RE33!$N$7:$N$874,I30,BS_RE33!$P$7:$P$874,'30 days CF Table(RMB)'!G30,BS_RE33!$F$7:$F$874,'30 days CF Table(RMB)'!$C$2)</f>
        <v>0</v>
      </c>
      <c r="M30" s="337">
        <f>SUMIFS(BS_RE33!$H$7:$H$874,BS_RE33!$S$7:$S$874,$M$2,BS_RE33!$N$7:$N$874,I30,BS_RE33!$P$7:$P$874,'30 days CF Table(RMB)'!G30,BS_RE33!$F$7:$F$874,'30 days CF Table(RMB)'!$C$2)</f>
        <v>0</v>
      </c>
      <c r="N30" s="337">
        <f>SUMIFS(BS_RE33!$H$7:$H$874,BS_RE33!$S$7:$S$874,$N$2,BS_RE33!$N$7:$N$874,I30,BS_RE33!$P$7:$P$874,'30 days CF Table(RMB)'!G30,BS_RE33!$F$7:$F$874,'30 days CF Table(RMB)'!$C$2)</f>
        <v>0</v>
      </c>
      <c r="O30" s="337">
        <f>SUMIFS(BS_RE33!$H$7:$H$874,BS_RE33!$S$7:$S$874,$O$2,BS_RE33!$N$7:$N$874,I30,BS_RE33!$P$7:$P$874,'30 days CF Table(RMB)'!G30,BS_RE33!$F$7:$F$874,'30 days CF Table(RMB)'!$C$2)</f>
        <v>0</v>
      </c>
      <c r="P30" s="337">
        <f>SUMIFS(BS_RE33!$H$7:$H$874,BS_RE33!$S$7:$S$874,$P$2,BS_RE33!$N$7:$N$874,I30,BS_RE33!$P$7:$P$874,'30 days CF Table(RMB)'!G30,BS_RE33!$F$7:$F$874,'30 days CF Table(RMB)'!$C$2)</f>
        <v>0</v>
      </c>
      <c r="Q30" s="337">
        <f>SUMIFS(BS_RE33!$H$7:$H$874,BS_RE33!$S$7:$S$874,$Q$2,BS_RE33!$N$7:$N$874,I30,BS_RE33!$P$7:$P$874,'30 days CF Table(RMB)'!G30,BS_RE33!$F$7:$F$874,'30 days CF Table(RMB)'!$C$2)</f>
        <v>0</v>
      </c>
      <c r="R30" s="337">
        <f>SUMIFS(BS_RE33!$H$7:$H$874,BS_RE33!$S$7:$S$874,$R$2,BS_RE33!$N$7:$N$874,I30,BS_RE33!$P$7:$P$874,'30 days CF Table(RMB)'!G30,BS_RE33!$F$7:$F$874,'30 days CF Table(RMB)'!$C$2)</f>
        <v>0</v>
      </c>
      <c r="S30" s="337">
        <f>SUMIFS(BS_RE33!$H$7:$H$874,BS_RE33!$S$7:$S$874,$S$2,BS_RE33!$N$7:$N$874,I30,BS_RE33!$P$7:$P$874,'30 days CF Table(RMB)'!G30,BS_RE33!$F$7:$F$874,'30 days CF Table(RMB)'!$C$2)</f>
        <v>0</v>
      </c>
      <c r="T30" s="337">
        <f>SUMIFS(BS_RE33!$H$7:$H$874,BS_RE33!$S$7:$S$874,$T$2,BS_RE33!$N$7:$N$874,I30,BS_RE33!$P$7:$P$874,'30 days CF Table(RMB)'!G30,BS_RE33!$F$7:$F$874,'30 days CF Table(RMB)'!$C$2)</f>
        <v>0</v>
      </c>
      <c r="U30" s="337">
        <f>SUMIFS(BS_RE33!$H$7:$H$874,BS_RE33!$S$7:$S$874,$U$2,BS_RE33!$N$7:$N$874,I30,BS_RE33!$P$7:$P$874,'30 days CF Table(RMB)'!G30,BS_RE33!$F$7:$F$874,'30 days CF Table(RMB)'!$C$2)</f>
        <v>0</v>
      </c>
      <c r="V30" s="337">
        <f>SUMIFS(BS_RE33!$H$7:$H$874,BS_RE33!$S$7:$S$874,$V$2,BS_RE33!$N$7:$N$874,I30,BS_RE33!$P$7:$P$874,'30 days CF Table(RMB)'!G30,BS_RE33!$F$7:$F$874,'30 days CF Table(RMB)'!$C$2)</f>
        <v>0</v>
      </c>
      <c r="W30" s="337">
        <f>SUMIFS(BS_RE33!$H$7:$H$874,BS_RE33!$S$7:$S$874,$W$2,BS_RE33!$N$7:$N$874,I30,BS_RE33!$P$7:$P$874,'30 days CF Table(RMB)'!G30,BS_RE33!$F$7:$F$874,'30 days CF Table(RMB)'!$C$2)</f>
        <v>0</v>
      </c>
      <c r="X30" s="337">
        <f>SUMIFS(BS_RE33!$H$7:$H$874,BS_RE33!$S$7:$S$874,$X$2,BS_RE33!$N$7:$N$874,I30,BS_RE33!$P$7:$P$874,'30 days CF Table(RMB)'!G30,BS_RE33!$F$7:$F$874,'30 days CF Table(RMB)'!$C$2)</f>
        <v>0</v>
      </c>
      <c r="Y30" s="337">
        <f>SUMIFS(BS_RE33!$H$7:$H$874,BS_RE33!$S$7:$S$874,$Y$2,BS_RE33!$N$7:$N$874,I30,BS_RE33!$P$7:$P$874,'30 days CF Table(RMB)'!G30,BS_RE33!$F$7:$F$874,'30 days CF Table(RMB)'!$C$2)</f>
        <v>0</v>
      </c>
      <c r="Z30" s="337">
        <f>SUMIFS(BS_RE33!$H$7:$H$874,BS_RE33!$S$7:$S$874,$Z$2,BS_RE33!$N$7:$N$874,I30,BS_RE33!$P$7:$P$874,'30 days CF Table(RMB)'!G30,BS_RE33!$F$7:$F$874,'30 days CF Table(RMB)'!$C$2)</f>
        <v>0</v>
      </c>
      <c r="AA30" s="337">
        <f>SUMIFS(BS_RE33!$H$7:$H$874,BS_RE33!$S$7:$S$874,$AA$2,BS_RE33!$N$7:$N$874,I30,BS_RE33!$P$7:$P$874,'30 days CF Table(RMB)'!G30,BS_RE33!$F$7:$F$874,'30 days CF Table(RMB)'!$C$2)</f>
        <v>0</v>
      </c>
      <c r="AB30" s="337">
        <f>SUMIFS(BS_RE33!$H$7:$H$874,BS_RE33!$S$7:$S$874,$AB$2,BS_RE33!$N$7:$N$874,I30,BS_RE33!$P$7:$P$874,'30 days CF Table(RMB)'!G30,BS_RE33!$F$7:$F$874,'30 days CF Table(RMB)'!$C$2)</f>
        <v>0</v>
      </c>
      <c r="AC30" s="337">
        <f>SUMIFS(BS_RE33!$H$7:$H$874,BS_RE33!$S$7:$S$874,$AC$2,BS_RE33!$N$7:$N$874,I30,BS_RE33!$P$7:$P$874,'30 days CF Table(RMB)'!G30,BS_RE33!$F$7:$F$874,'30 days CF Table(RMB)'!$C$2)</f>
        <v>0</v>
      </c>
      <c r="AD30" s="337">
        <f>SUMIFS(BS_RE33!$H$7:$H$874,BS_RE33!$S$7:$S$874,$AD$2,BS_RE33!$N$7:$N$874,I30,BS_RE33!$P$7:$P$874,'30 days CF Table(RMB)'!G30,BS_RE33!$F$7:$F$874,'30 days CF Table(RMB)'!$C$2)</f>
        <v>0</v>
      </c>
      <c r="AE30" s="337">
        <f>SUMIFS(BS_RE33!$H$7:$H$874,BS_RE33!$S$7:$S$874,$AE$2,BS_RE33!$N$7:$N$874,I30,BS_RE33!$P$7:$P$874,'30 days CF Table(RMB)'!G30,BS_RE33!$F$7:$F$874,'30 days CF Table(RMB)'!$C$2)</f>
        <v>0</v>
      </c>
      <c r="AF30" s="337">
        <f>SUMIFS(BS_RE33!$H$7:$H$874,BS_RE33!$S$7:$S$874,$AF$2,BS_RE33!$N$7:$N$874,I30,BS_RE33!$P$7:$P$874,'30 days CF Table(RMB)'!G30,BS_RE33!$F$7:$F$874,'30 days CF Table(RMB)'!$C$2)</f>
        <v>0</v>
      </c>
      <c r="AG30" s="337">
        <f>SUMIFS(BS_RE33!$H$7:$H$874,BS_RE33!$S$7:$S$874,$AG$2,BS_RE33!$N$7:$N$874,I30,BS_RE33!$P$7:$P$874,'30 days CF Table(RMB)'!G30,BS_RE33!$F$7:$F$874,'30 days CF Table(RMB)'!$C$2)</f>
        <v>0</v>
      </c>
      <c r="AH30" s="337">
        <f>SUMIFS(BS_RE33!$H$7:$H$874,BS_RE33!$S$7:$S$874,$AH$2,BS_RE33!$N$7:$N$874,I30,BS_RE33!$P$7:$P$874,'30 days CF Table(RMB)'!G30,BS_RE33!$F$7:$F$874,'30 days CF Table(RMB)'!$C$2)</f>
        <v>0</v>
      </c>
      <c r="AI30" s="337">
        <f>SUMIFS(BS_RE33!$H$7:$H$874,BS_RE33!$S$7:$S$874,$AI$2,BS_RE33!$N$7:$N$874,I30,BS_RE33!$P$7:$P$874,'30 days CF Table(RMB)'!G30,BS_RE33!$F$7:$F$874,'30 days CF Table(RMB)'!$C$2)</f>
        <v>0</v>
      </c>
      <c r="AJ30" s="337">
        <f>SUMIFS(BS_RE33!$H$7:$H$874,BS_RE33!$S$7:$S$874,$AJ$2,BS_RE33!$N$7:$N$874,I30,BS_RE33!$P$7:$P$874,'30 days CF Table(RMB)'!G30,BS_RE33!$F$7:$F$874,'30 days CF Table(RMB)'!$C$2)</f>
        <v>0</v>
      </c>
      <c r="AK30" s="337">
        <f>SUMIFS(BS_RE33!$H$7:$H$874,BS_RE33!$S$7:$S$874,$AK$2,BS_RE33!$N$7:$N$874,I30,BS_RE33!$P$7:$P$874,'30 days CF Table(RMB)'!G30,BS_RE33!$F$7:$F$874,'30 days CF Table(RMB)'!$C$2)</f>
        <v>0</v>
      </c>
      <c r="AL30" s="337">
        <f>SUMIFS(BS_RE33!$H$7:$H$874,BS_RE33!$S$7:$S$874,$AL$2,BS_RE33!$N$7:$N$874,I30,BS_RE33!$P$7:$P$874,'30 days CF Table(RMB)'!G30,BS_RE33!$F$7:$F$874,'30 days CF Table(RMB)'!$C$2)</f>
        <v>0</v>
      </c>
      <c r="AM30" s="337">
        <f>SUMIFS(BS_RE33!$H$7:$H$874,BS_RE33!$S$7:$S$874,$AM$2,BS_RE33!$N$7:$N$874,I30,BS_RE33!$P$7:$P$874,'30 days CF Table(RMB)'!G30,BS_RE33!$F$7:$F$874,'30 days CF Table(RMB)'!$C$2)</f>
        <v>0</v>
      </c>
      <c r="AN30" s="337">
        <f>SUMIFS(BS_RE33!$H$7:$H$874,BS_RE33!$S$7:$S$874,$AN$2,BS_RE33!$N$7:$N$874,I30,BS_RE33!$P$7:$P$874,'30 days CF Table(RMB)'!G30,BS_RE33!$F$7:$F$874,'30 days CF Table(RMB)'!$C$2)</f>
        <v>0</v>
      </c>
      <c r="AO30" s="337">
        <f>SUMIFS(BS_RE33!$H$7:$H$874,BS_RE33!$S$7:$S$874,$AO$2,BS_RE33!$N$7:$N$874,I30,BS_RE33!$P$7:$P$874,'30 days CF Table(RMB)'!G30,BS_RE33!$F$7:$F$874,'30 days CF Table(RMB)'!$C$2)</f>
        <v>0</v>
      </c>
      <c r="AP30" s="338">
        <f>SUMIFS(BS_RE33!$H$7:$H$874,BS_RE33!$S$7:$S$874,$AP$2,BS_RE33!$N$7:$N$874,I30,BS_RE33!$P$7:$P$874,'30 days CF Table(RMB)'!G30,BS_RE33!$F$7:$F$874,'30 days CF Table(RMB)'!$C$2)</f>
        <v>0</v>
      </c>
      <c r="AR30" s="379">
        <f>SUMIFS(BS_RE33!$H$7:$H$874,BS_RE33!$S$7:$S$874,$AR$2,BS_RE33!$N$7:$N$874,I30,BS_RE33!$P$7:$P$874,'30 days CF Table(RMB)'!G30,BS_RE33!$F$7:$F$874,'30 days CF Table(RMB)'!$C$2)</f>
        <v>0</v>
      </c>
      <c r="AS30" s="379">
        <f>SUMIFS(BS_RE33!$H$7:$H$874,BS_RE33!$S$7:$S$874,$AS$2,BS_RE33!$N$7:$N$874,I30,BS_RE33!$P$7:$P$874,'30 days CF Table(RMB)'!G30,BS_RE33!$F$7:$F$874,'30 days CF Table(RMB)'!$C$2)</f>
        <v>0</v>
      </c>
      <c r="AT30" s="379">
        <f>SUMIFS(BS_RE33!$H$7:$H$874,BS_RE33!$S$7:$S$874,$AT$2,BS_RE33!$N$7:$N$874,I30,BS_RE33!$P$7:$P$874,'30 days CF Table(RMB)'!G30,BS_RE33!$F$7:$F$874,'30 days CF Table(RMB)'!$C$2)</f>
        <v>0</v>
      </c>
      <c r="AU30" s="379">
        <f>SUMIFS(BS_RE33!$H$7:$H$874,BS_RE33!$S$7:$S$874,$AU$2,BS_RE33!$N$7:$N$874,I30,BS_RE33!$P$7:$P$874,'30 days CF Table(RMB)'!G30,BS_RE33!$F$7:$F$874,'30 days CF Table(RMB)'!$C$2)</f>
        <v>0</v>
      </c>
      <c r="AV30" s="379">
        <f>SUMIFS(BS_RE33!$H$7:$H$874,BS_RE33!$S$7:$S$874,$AV$2,BS_RE33!$N$7:$N$874,I30,BS_RE33!$P$7:$P$874,'30 days CF Table(RMB)'!G30,BS_RE33!$F$7:$F$874,'30 days CF Table(RMB)'!$C$2)</f>
        <v>0</v>
      </c>
      <c r="AW30" s="379">
        <f>SUMIFS(BS_RE33!$H$7:$H$874,BS_RE33!$S$7:$S$874,$AW$2,BS_RE33!$N$7:$N$874,I30,BS_RE33!$P$7:$P$874,'30 days CF Table(RMB)'!G30,BS_RE33!$F$7:$F$874,'30 days CF Table(RMB)'!$C$2)</f>
        <v>0</v>
      </c>
      <c r="AX30" s="379">
        <f>SUMIFS(BS_RE33!$H$7:$H$874,BS_RE33!$S$7:$S$874,$AX$2,BS_RE33!$N$7:$N$874,I30,BS_RE33!$P$7:$P$874,'30 days CF Table(RMB)'!G30,BS_RE33!$F$7:$F$874,'30 days CF Table(RMB)'!$C$2)</f>
        <v>0</v>
      </c>
      <c r="AY30" s="379">
        <f>SUMIFS(BS_RE33!$H$7:$H$874,BS_RE33!$S$7:$S$874,$AY$2,BS_RE33!$N$7:$N$874,I30,BS_RE33!$P$7:$P$874,'30 days CF Table(RMB)'!G30,BS_RE33!$F$7:$F$874,'30 days CF Table(RMB)'!$C$2)</f>
        <v>0</v>
      </c>
      <c r="AZ30" s="379">
        <f>SUMIFS(BS_RE33!$H$7:$H$874,BS_RE33!$S$7:$S$874,$AZ$2,BS_RE33!$N$7:$N$874,I30,BS_RE33!$P$7:$P$874,'30 days CF Table(RMB)'!G30,BS_RE33!$F$7:$F$874,'30 days CF Table(RMB)'!$C$2)</f>
        <v>0</v>
      </c>
      <c r="BA30" s="379">
        <f>SUMIFS(BS_RE33!$H$7:$H$874,BS_RE33!$S$7:$S$874,$BA$2,BS_RE33!$N$7:$N$874,I30,BS_RE33!$P$7:$P$874,'30 days CF Table(RMB)'!G30,BS_RE33!$F$7:$F$874,'30 days CF Table(RMB)'!$C$2)</f>
        <v>0</v>
      </c>
      <c r="BB30" s="379">
        <f>SUMIFS(BS_RE33!$H$7:$H$874,BS_RE33!$S$7:$S$874,$BB$2,BS_RE33!$N$7:$N$874,I30,BS_RE33!$P$7:$P$874,'30 days CF Table(RMB)'!G30,BS_RE33!$F$7:$F$874,'30 days CF Table(RMB)'!$C$2)</f>
        <v>0</v>
      </c>
      <c r="BC30" s="379">
        <f>SUMIFS(BS_RE33!$H$7:$H$874,BS_RE33!$S$7:$S$874,$BC$2,BS_RE33!$N$7:$N$874,I30,BS_RE33!$P$7:$P$874,'30 days CF Table(RMB)'!G30,BS_RE33!$F$7:$F$874,'30 days CF Table(RMB)'!$C$2)</f>
        <v>0</v>
      </c>
      <c r="BD30" s="379">
        <f>SUMIFS(BS_RE33!$H$7:$H$874,BS_RE33!$S$7:$S$874,$BD$2,BS_RE33!$N$7:$N$874,I30,BS_RE33!$P$7:$P$874,'30 days CF Table(RMB)'!G30,BS_RE33!$F$7:$F$874,'30 days CF Table(RMB)'!$C$2)</f>
        <v>0</v>
      </c>
      <c r="BE30" s="379">
        <f>SUMIFS(BS_RE33!$H$7:$H$874,BS_RE33!$S$7:$S$874,$BE$2,BS_RE33!$N$7:$N$874,I30,BS_RE33!$P$7:$P$874,'30 days CF Table(RMB)'!G30,BS_RE33!$F$7:$F$874,'30 days CF Table(RMB)'!$C$2)</f>
        <v>0</v>
      </c>
      <c r="BF30" s="379">
        <f>SUMIFS(BS_RE33!$H$7:$H$874,BS_RE33!$S$7:$S$874,$BF$2,BS_RE33!$N$7:$N$874,I30,BS_RE33!$P$7:$P$874,'30 days CF Table(RMB)'!G30,BS_RE33!$F$7:$F$874,'30 days CF Table(RMB)'!$C$2)</f>
        <v>0</v>
      </c>
      <c r="BG30" s="379">
        <f>SUMIFS(BS_RE33!$H$7:$H$874,BS_RE33!$S$7:$S$874,$BG$2,BS_RE33!$N$7:$N$874,I30,BS_RE33!$P$7:$P$874,'30 days CF Table(RMB)'!G30,BS_RE33!$F$7:$F$874,'30 days CF Table(RMB)'!$C$2)</f>
        <v>0</v>
      </c>
      <c r="BH30" s="379">
        <f>SUMIFS(BS_RE33!$H$7:$H$874,BS_RE33!$S$7:$S$874,$BH$2,BS_RE33!$N$7:$N$874,I30,BS_RE33!$P$7:$P$874,'30 days CF Table(RMB)'!G30,BS_RE33!$F$7:$F$874,'30 days CF Table(RMB)'!$C$2)</f>
        <v>0</v>
      </c>
      <c r="BI30" s="379">
        <f>SUMIFS(BS_RE33!$H$7:$H$874,BS_RE33!$S$7:$S$874,$BI$2,BS_RE33!$N$7:$N$874,I30,BS_RE33!$P$7:$P$874,'30 days CF Table(RMB)'!G30,BS_RE33!$F$7:$F$874,'30 days CF Table(RMB)'!$C$2)</f>
        <v>0</v>
      </c>
      <c r="BJ30" s="379">
        <f>SUMIFS(BS_RE33!$H$7:$H$874,BS_RE33!$S$7:$S$874,$BJ$2,BS_RE33!$N$7:$N$874,I30,BS_RE33!$P$7:$P$874,'30 days CF Table(RMB)'!G30,BS_RE33!$F$7:$F$874,'30 days CF Table(RMB)'!$C$2)</f>
        <v>0</v>
      </c>
      <c r="BK30" s="379">
        <f>SUMIFS(BS_RE33!$H$7:$H$874,BS_RE33!$S$7:$S$874,$BK$2,BS_RE33!$N$7:$N$874,I30,BS_RE33!$P$7:$P$874,'30 days CF Table(RMB)'!G30,BS_RE33!$F$7:$F$874,'30 days CF Table(RMB)'!$C$2)</f>
        <v>0</v>
      </c>
    </row>
    <row r="31" spans="1:63">
      <c r="C31" s="1029"/>
      <c r="D31" s="1039"/>
      <c r="E31" s="306" t="s">
        <v>81</v>
      </c>
      <c r="F31" s="560" t="s">
        <v>490</v>
      </c>
      <c r="G31" s="392" t="s">
        <v>519</v>
      </c>
      <c r="H31" s="314">
        <v>0.25</v>
      </c>
      <c r="I31" s="315" t="s">
        <v>80</v>
      </c>
      <c r="J31" s="479">
        <f t="shared" si="2"/>
        <v>0</v>
      </c>
      <c r="K31" s="336">
        <f t="shared" si="3"/>
        <v>0</v>
      </c>
      <c r="L31" s="337">
        <f>SUMIFS(BS_RE33!$H$7:$H$874,BS_RE33!$S$7:$S$874,$L$2,BS_RE33!$N$7:$N$874,I31,BS_RE33!$P$7:$P$874,'30 days CF Table(RMB)'!G31,BS_RE33!$F$7:$F$874,'30 days CF Table(RMB)'!$C$2)</f>
        <v>0</v>
      </c>
      <c r="M31" s="337">
        <f>SUMIFS(BS_RE33!$H$7:$H$874,BS_RE33!$S$7:$S$874,$M$2,BS_RE33!$N$7:$N$874,I31,BS_RE33!$P$7:$P$874,'30 days CF Table(RMB)'!G31,BS_RE33!$F$7:$F$874,'30 days CF Table(RMB)'!$C$2)</f>
        <v>0</v>
      </c>
      <c r="N31" s="337">
        <f>SUMIFS(BS_RE33!$H$7:$H$874,BS_RE33!$S$7:$S$874,$N$2,BS_RE33!$N$7:$N$874,I31,BS_RE33!$P$7:$P$874,'30 days CF Table(RMB)'!G31,BS_RE33!$F$7:$F$874,'30 days CF Table(RMB)'!$C$2)</f>
        <v>0</v>
      </c>
      <c r="O31" s="337">
        <f>SUMIFS(BS_RE33!$H$7:$H$874,BS_RE33!$S$7:$S$874,$O$2,BS_RE33!$N$7:$N$874,I31,BS_RE33!$P$7:$P$874,'30 days CF Table(RMB)'!G31,BS_RE33!$F$7:$F$874,'30 days CF Table(RMB)'!$C$2)</f>
        <v>0</v>
      </c>
      <c r="P31" s="337">
        <f>SUMIFS(BS_RE33!$H$7:$H$874,BS_RE33!$S$7:$S$874,$P$2,BS_RE33!$N$7:$N$874,I31,BS_RE33!$P$7:$P$874,'30 days CF Table(RMB)'!G31,BS_RE33!$F$7:$F$874,'30 days CF Table(RMB)'!$C$2)</f>
        <v>0</v>
      </c>
      <c r="Q31" s="337">
        <f>SUMIFS(BS_RE33!$H$7:$H$874,BS_RE33!$S$7:$S$874,$Q$2,BS_RE33!$N$7:$N$874,I31,BS_RE33!$P$7:$P$874,'30 days CF Table(RMB)'!G31,BS_RE33!$F$7:$F$874,'30 days CF Table(RMB)'!$C$2)</f>
        <v>0</v>
      </c>
      <c r="R31" s="337">
        <f>SUMIFS(BS_RE33!$H$7:$H$874,BS_RE33!$S$7:$S$874,$R$2,BS_RE33!$N$7:$N$874,I31,BS_RE33!$P$7:$P$874,'30 days CF Table(RMB)'!G31,BS_RE33!$F$7:$F$874,'30 days CF Table(RMB)'!$C$2)</f>
        <v>0</v>
      </c>
      <c r="S31" s="337">
        <f>SUMIFS(BS_RE33!$H$7:$H$874,BS_RE33!$S$7:$S$874,$S$2,BS_RE33!$N$7:$N$874,I31,BS_RE33!$P$7:$P$874,'30 days CF Table(RMB)'!G31,BS_RE33!$F$7:$F$874,'30 days CF Table(RMB)'!$C$2)</f>
        <v>0</v>
      </c>
      <c r="T31" s="337">
        <f>SUMIFS(BS_RE33!$H$7:$H$874,BS_RE33!$S$7:$S$874,$T$2,BS_RE33!$N$7:$N$874,I31,BS_RE33!$P$7:$P$874,'30 days CF Table(RMB)'!G31,BS_RE33!$F$7:$F$874,'30 days CF Table(RMB)'!$C$2)</f>
        <v>0</v>
      </c>
      <c r="U31" s="337">
        <f>SUMIFS(BS_RE33!$H$7:$H$874,BS_RE33!$S$7:$S$874,$U$2,BS_RE33!$N$7:$N$874,I31,BS_RE33!$P$7:$P$874,'30 days CF Table(RMB)'!G31,BS_RE33!$F$7:$F$874,'30 days CF Table(RMB)'!$C$2)</f>
        <v>0</v>
      </c>
      <c r="V31" s="337">
        <f>SUMIFS(BS_RE33!$H$7:$H$874,BS_RE33!$S$7:$S$874,$V$2,BS_RE33!$N$7:$N$874,I31,BS_RE33!$P$7:$P$874,'30 days CF Table(RMB)'!G31,BS_RE33!$F$7:$F$874,'30 days CF Table(RMB)'!$C$2)</f>
        <v>0</v>
      </c>
      <c r="W31" s="337">
        <f>SUMIFS(BS_RE33!$H$7:$H$874,BS_RE33!$S$7:$S$874,$W$2,BS_RE33!$N$7:$N$874,I31,BS_RE33!$P$7:$P$874,'30 days CF Table(RMB)'!G31,BS_RE33!$F$7:$F$874,'30 days CF Table(RMB)'!$C$2)</f>
        <v>0</v>
      </c>
      <c r="X31" s="337">
        <f>SUMIFS(BS_RE33!$H$7:$H$874,BS_RE33!$S$7:$S$874,$X$2,BS_RE33!$N$7:$N$874,I31,BS_RE33!$P$7:$P$874,'30 days CF Table(RMB)'!G31,BS_RE33!$F$7:$F$874,'30 days CF Table(RMB)'!$C$2)</f>
        <v>0</v>
      </c>
      <c r="Y31" s="337">
        <f>SUMIFS(BS_RE33!$H$7:$H$874,BS_RE33!$S$7:$S$874,$Y$2,BS_RE33!$N$7:$N$874,I31,BS_RE33!$P$7:$P$874,'30 days CF Table(RMB)'!G31,BS_RE33!$F$7:$F$874,'30 days CF Table(RMB)'!$C$2)</f>
        <v>0</v>
      </c>
      <c r="Z31" s="337">
        <f>SUMIFS(BS_RE33!$H$7:$H$874,BS_RE33!$S$7:$S$874,$Z$2,BS_RE33!$N$7:$N$874,I31,BS_RE33!$P$7:$P$874,'30 days CF Table(RMB)'!G31,BS_RE33!$F$7:$F$874,'30 days CF Table(RMB)'!$C$2)</f>
        <v>0</v>
      </c>
      <c r="AA31" s="337">
        <f>SUMIFS(BS_RE33!$H$7:$H$874,BS_RE33!$S$7:$S$874,$AA$2,BS_RE33!$N$7:$N$874,I31,BS_RE33!$P$7:$P$874,'30 days CF Table(RMB)'!G31,BS_RE33!$F$7:$F$874,'30 days CF Table(RMB)'!$C$2)</f>
        <v>0</v>
      </c>
      <c r="AB31" s="337">
        <f>SUMIFS(BS_RE33!$H$7:$H$874,BS_RE33!$S$7:$S$874,$AB$2,BS_RE33!$N$7:$N$874,I31,BS_RE33!$P$7:$P$874,'30 days CF Table(RMB)'!G31,BS_RE33!$F$7:$F$874,'30 days CF Table(RMB)'!$C$2)</f>
        <v>0</v>
      </c>
      <c r="AC31" s="337">
        <f>SUMIFS(BS_RE33!$H$7:$H$874,BS_RE33!$S$7:$S$874,$AC$2,BS_RE33!$N$7:$N$874,I31,BS_RE33!$P$7:$P$874,'30 days CF Table(RMB)'!G31,BS_RE33!$F$7:$F$874,'30 days CF Table(RMB)'!$C$2)</f>
        <v>0</v>
      </c>
      <c r="AD31" s="337">
        <f>SUMIFS(BS_RE33!$H$7:$H$874,BS_RE33!$S$7:$S$874,$AD$2,BS_RE33!$N$7:$N$874,I31,BS_RE33!$P$7:$P$874,'30 days CF Table(RMB)'!G31,BS_RE33!$F$7:$F$874,'30 days CF Table(RMB)'!$C$2)</f>
        <v>0</v>
      </c>
      <c r="AE31" s="337">
        <f>SUMIFS(BS_RE33!$H$7:$H$874,BS_RE33!$S$7:$S$874,$AE$2,BS_RE33!$N$7:$N$874,I31,BS_RE33!$P$7:$P$874,'30 days CF Table(RMB)'!G31,BS_RE33!$F$7:$F$874,'30 days CF Table(RMB)'!$C$2)</f>
        <v>0</v>
      </c>
      <c r="AF31" s="337">
        <f>SUMIFS(BS_RE33!$H$7:$H$874,BS_RE33!$S$7:$S$874,$AF$2,BS_RE33!$N$7:$N$874,I31,BS_RE33!$P$7:$P$874,'30 days CF Table(RMB)'!G31,BS_RE33!$F$7:$F$874,'30 days CF Table(RMB)'!$C$2)</f>
        <v>0</v>
      </c>
      <c r="AG31" s="337">
        <f>SUMIFS(BS_RE33!$H$7:$H$874,BS_RE33!$S$7:$S$874,$AG$2,BS_RE33!$N$7:$N$874,I31,BS_RE33!$P$7:$P$874,'30 days CF Table(RMB)'!G31,BS_RE33!$F$7:$F$874,'30 days CF Table(RMB)'!$C$2)</f>
        <v>0</v>
      </c>
      <c r="AH31" s="337">
        <f>SUMIFS(BS_RE33!$H$7:$H$874,BS_RE33!$S$7:$S$874,$AH$2,BS_RE33!$N$7:$N$874,I31,BS_RE33!$P$7:$P$874,'30 days CF Table(RMB)'!G31,BS_RE33!$F$7:$F$874,'30 days CF Table(RMB)'!$C$2)</f>
        <v>0</v>
      </c>
      <c r="AI31" s="337">
        <f>SUMIFS(BS_RE33!$H$7:$H$874,BS_RE33!$S$7:$S$874,$AI$2,BS_RE33!$N$7:$N$874,I31,BS_RE33!$P$7:$P$874,'30 days CF Table(RMB)'!G31,BS_RE33!$F$7:$F$874,'30 days CF Table(RMB)'!$C$2)</f>
        <v>0</v>
      </c>
      <c r="AJ31" s="337">
        <f>SUMIFS(BS_RE33!$H$7:$H$874,BS_RE33!$S$7:$S$874,$AJ$2,BS_RE33!$N$7:$N$874,I31,BS_RE33!$P$7:$P$874,'30 days CF Table(RMB)'!G31,BS_RE33!$F$7:$F$874,'30 days CF Table(RMB)'!$C$2)</f>
        <v>0</v>
      </c>
      <c r="AK31" s="337">
        <f>SUMIFS(BS_RE33!$H$7:$H$874,BS_RE33!$S$7:$S$874,$AK$2,BS_RE33!$N$7:$N$874,I31,BS_RE33!$P$7:$P$874,'30 days CF Table(RMB)'!G31,BS_RE33!$F$7:$F$874,'30 days CF Table(RMB)'!$C$2)</f>
        <v>0</v>
      </c>
      <c r="AL31" s="337">
        <f>SUMIFS(BS_RE33!$H$7:$H$874,BS_RE33!$S$7:$S$874,$AL$2,BS_RE33!$N$7:$N$874,I31,BS_RE33!$P$7:$P$874,'30 days CF Table(RMB)'!G31,BS_RE33!$F$7:$F$874,'30 days CF Table(RMB)'!$C$2)</f>
        <v>0</v>
      </c>
      <c r="AM31" s="337">
        <f>SUMIFS(BS_RE33!$H$7:$H$874,BS_RE33!$S$7:$S$874,$AM$2,BS_RE33!$N$7:$N$874,I31,BS_RE33!$P$7:$P$874,'30 days CF Table(RMB)'!G31,BS_RE33!$F$7:$F$874,'30 days CF Table(RMB)'!$C$2)</f>
        <v>0</v>
      </c>
      <c r="AN31" s="337">
        <f>SUMIFS(BS_RE33!$H$7:$H$874,BS_RE33!$S$7:$S$874,$AN$2,BS_RE33!$N$7:$N$874,I31,BS_RE33!$P$7:$P$874,'30 days CF Table(RMB)'!G31,BS_RE33!$F$7:$F$874,'30 days CF Table(RMB)'!$C$2)</f>
        <v>0</v>
      </c>
      <c r="AO31" s="337">
        <f>SUMIFS(BS_RE33!$H$7:$H$874,BS_RE33!$S$7:$S$874,$AO$2,BS_RE33!$N$7:$N$874,I31,BS_RE33!$P$7:$P$874,'30 days CF Table(RMB)'!G31,BS_RE33!$F$7:$F$874,'30 days CF Table(RMB)'!$C$2)</f>
        <v>0</v>
      </c>
      <c r="AP31" s="338">
        <f>SUMIFS(BS_RE33!$H$7:$H$874,BS_RE33!$S$7:$S$874,$AP$2,BS_RE33!$N$7:$N$874,I31,BS_RE33!$P$7:$P$874,'30 days CF Table(RMB)'!G31,BS_RE33!$F$7:$F$874,'30 days CF Table(RMB)'!$C$2)</f>
        <v>0</v>
      </c>
      <c r="AR31" s="379">
        <f>SUMIFS(BS_RE33!$H$7:$H$874,BS_RE33!$S$7:$S$874,$AR$2,BS_RE33!$N$7:$N$874,I31,BS_RE33!$P$7:$P$874,'30 days CF Table(RMB)'!G31,BS_RE33!$F$7:$F$874,'30 days CF Table(RMB)'!$C$2)</f>
        <v>0</v>
      </c>
      <c r="AS31" s="379">
        <f>SUMIFS(BS_RE33!$H$7:$H$874,BS_RE33!$S$7:$S$874,$AS$2,BS_RE33!$N$7:$N$874,I31,BS_RE33!$P$7:$P$874,'30 days CF Table(RMB)'!G31,BS_RE33!$F$7:$F$874,'30 days CF Table(RMB)'!$C$2)</f>
        <v>0</v>
      </c>
      <c r="AT31" s="379">
        <f>SUMIFS(BS_RE33!$H$7:$H$874,BS_RE33!$S$7:$S$874,$AT$2,BS_RE33!$N$7:$N$874,I31,BS_RE33!$P$7:$P$874,'30 days CF Table(RMB)'!G31,BS_RE33!$F$7:$F$874,'30 days CF Table(RMB)'!$C$2)</f>
        <v>0</v>
      </c>
      <c r="AU31" s="379">
        <f>SUMIFS(BS_RE33!$H$7:$H$874,BS_RE33!$S$7:$S$874,$AU$2,BS_RE33!$N$7:$N$874,I31,BS_RE33!$P$7:$P$874,'30 days CF Table(RMB)'!G31,BS_RE33!$F$7:$F$874,'30 days CF Table(RMB)'!$C$2)</f>
        <v>0</v>
      </c>
      <c r="AV31" s="379">
        <f>SUMIFS(BS_RE33!$H$7:$H$874,BS_RE33!$S$7:$S$874,$AV$2,BS_RE33!$N$7:$N$874,I31,BS_RE33!$P$7:$P$874,'30 days CF Table(RMB)'!G31,BS_RE33!$F$7:$F$874,'30 days CF Table(RMB)'!$C$2)</f>
        <v>0</v>
      </c>
      <c r="AW31" s="379">
        <f>SUMIFS(BS_RE33!$H$7:$H$874,BS_RE33!$S$7:$S$874,$AW$2,BS_RE33!$N$7:$N$874,I31,BS_RE33!$P$7:$P$874,'30 days CF Table(RMB)'!G31,BS_RE33!$F$7:$F$874,'30 days CF Table(RMB)'!$C$2)</f>
        <v>0</v>
      </c>
      <c r="AX31" s="379">
        <f>SUMIFS(BS_RE33!$H$7:$H$874,BS_RE33!$S$7:$S$874,$AX$2,BS_RE33!$N$7:$N$874,I31,BS_RE33!$P$7:$P$874,'30 days CF Table(RMB)'!G31,BS_RE33!$F$7:$F$874,'30 days CF Table(RMB)'!$C$2)</f>
        <v>0</v>
      </c>
      <c r="AY31" s="379">
        <f>SUMIFS(BS_RE33!$H$7:$H$874,BS_RE33!$S$7:$S$874,$AY$2,BS_RE33!$N$7:$N$874,I31,BS_RE33!$P$7:$P$874,'30 days CF Table(RMB)'!G31,BS_RE33!$F$7:$F$874,'30 days CF Table(RMB)'!$C$2)</f>
        <v>0</v>
      </c>
      <c r="AZ31" s="379">
        <f>SUMIFS(BS_RE33!$H$7:$H$874,BS_RE33!$S$7:$S$874,$AZ$2,BS_RE33!$N$7:$N$874,I31,BS_RE33!$P$7:$P$874,'30 days CF Table(RMB)'!G31,BS_RE33!$F$7:$F$874,'30 days CF Table(RMB)'!$C$2)</f>
        <v>0</v>
      </c>
      <c r="BA31" s="379">
        <f>SUMIFS(BS_RE33!$H$7:$H$874,BS_RE33!$S$7:$S$874,$BA$2,BS_RE33!$N$7:$N$874,I31,BS_RE33!$P$7:$P$874,'30 days CF Table(RMB)'!G31,BS_RE33!$F$7:$F$874,'30 days CF Table(RMB)'!$C$2)</f>
        <v>0</v>
      </c>
      <c r="BB31" s="379">
        <f>SUMIFS(BS_RE33!$H$7:$H$874,BS_RE33!$S$7:$S$874,$BB$2,BS_RE33!$N$7:$N$874,I31,BS_RE33!$P$7:$P$874,'30 days CF Table(RMB)'!G31,BS_RE33!$F$7:$F$874,'30 days CF Table(RMB)'!$C$2)</f>
        <v>0</v>
      </c>
      <c r="BC31" s="379">
        <f>SUMIFS(BS_RE33!$H$7:$H$874,BS_RE33!$S$7:$S$874,$BC$2,BS_RE33!$N$7:$N$874,I31,BS_RE33!$P$7:$P$874,'30 days CF Table(RMB)'!G31,BS_RE33!$F$7:$F$874,'30 days CF Table(RMB)'!$C$2)</f>
        <v>0</v>
      </c>
      <c r="BD31" s="379">
        <f>SUMIFS(BS_RE33!$H$7:$H$874,BS_RE33!$S$7:$S$874,$BD$2,BS_RE33!$N$7:$N$874,I31,BS_RE33!$P$7:$P$874,'30 days CF Table(RMB)'!G31,BS_RE33!$F$7:$F$874,'30 days CF Table(RMB)'!$C$2)</f>
        <v>0</v>
      </c>
      <c r="BE31" s="379">
        <f>SUMIFS(BS_RE33!$H$7:$H$874,BS_RE33!$S$7:$S$874,$BE$2,BS_RE33!$N$7:$N$874,I31,BS_RE33!$P$7:$P$874,'30 days CF Table(RMB)'!G31,BS_RE33!$F$7:$F$874,'30 days CF Table(RMB)'!$C$2)</f>
        <v>0</v>
      </c>
      <c r="BF31" s="379">
        <f>SUMIFS(BS_RE33!$H$7:$H$874,BS_RE33!$S$7:$S$874,$BF$2,BS_RE33!$N$7:$N$874,I31,BS_RE33!$P$7:$P$874,'30 days CF Table(RMB)'!G31,BS_RE33!$F$7:$F$874,'30 days CF Table(RMB)'!$C$2)</f>
        <v>0</v>
      </c>
      <c r="BG31" s="379">
        <f>SUMIFS(BS_RE33!$H$7:$H$874,BS_RE33!$S$7:$S$874,$BG$2,BS_RE33!$N$7:$N$874,I31,BS_RE33!$P$7:$P$874,'30 days CF Table(RMB)'!G31,BS_RE33!$F$7:$F$874,'30 days CF Table(RMB)'!$C$2)</f>
        <v>0</v>
      </c>
      <c r="BH31" s="379">
        <f>SUMIFS(BS_RE33!$H$7:$H$874,BS_RE33!$S$7:$S$874,$BH$2,BS_RE33!$N$7:$N$874,I31,BS_RE33!$P$7:$P$874,'30 days CF Table(RMB)'!G31,BS_RE33!$F$7:$F$874,'30 days CF Table(RMB)'!$C$2)</f>
        <v>0</v>
      </c>
      <c r="BI31" s="379">
        <f>SUMIFS(BS_RE33!$H$7:$H$874,BS_RE33!$S$7:$S$874,$BI$2,BS_RE33!$N$7:$N$874,I31,BS_RE33!$P$7:$P$874,'30 days CF Table(RMB)'!G31,BS_RE33!$F$7:$F$874,'30 days CF Table(RMB)'!$C$2)</f>
        <v>0</v>
      </c>
      <c r="BJ31" s="379">
        <f>SUMIFS(BS_RE33!$H$7:$H$874,BS_RE33!$S$7:$S$874,$BJ$2,BS_RE33!$N$7:$N$874,I31,BS_RE33!$P$7:$P$874,'30 days CF Table(RMB)'!G31,BS_RE33!$F$7:$F$874,'30 days CF Table(RMB)'!$C$2)</f>
        <v>0</v>
      </c>
      <c r="BK31" s="379">
        <f>SUMIFS(BS_RE33!$H$7:$H$874,BS_RE33!$S$7:$S$874,$BK$2,BS_RE33!$N$7:$N$874,I31,BS_RE33!$P$7:$P$874,'30 days CF Table(RMB)'!G31,BS_RE33!$F$7:$F$874,'30 days CF Table(RMB)'!$C$2)</f>
        <v>0</v>
      </c>
    </row>
    <row r="32" spans="1:63">
      <c r="C32" s="1029"/>
      <c r="D32" s="1039"/>
      <c r="E32" s="306" t="s">
        <v>81</v>
      </c>
      <c r="F32" s="560" t="s">
        <v>489</v>
      </c>
      <c r="G32" s="392" t="s">
        <v>520</v>
      </c>
      <c r="H32" s="314">
        <v>0.4</v>
      </c>
      <c r="I32" s="315" t="s">
        <v>80</v>
      </c>
      <c r="J32" s="479">
        <f t="shared" si="2"/>
        <v>0</v>
      </c>
      <c r="K32" s="336">
        <f t="shared" si="3"/>
        <v>0</v>
      </c>
      <c r="L32" s="337">
        <f>SUMIFS(BS_RE33!$H$7:$H$874,BS_RE33!$S$7:$S$874,$L$2,BS_RE33!$N$7:$N$874,I32,BS_RE33!$P$7:$P$874,'30 days CF Table(RMB)'!G32,BS_RE33!$F$7:$F$874,'30 days CF Table(RMB)'!$C$2)</f>
        <v>0</v>
      </c>
      <c r="M32" s="337">
        <f>SUMIFS(BS_RE33!$H$7:$H$874,BS_RE33!$S$7:$S$874,$M$2,BS_RE33!$N$7:$N$874,I32,BS_RE33!$P$7:$P$874,'30 days CF Table(RMB)'!G32,BS_RE33!$F$7:$F$874,'30 days CF Table(RMB)'!$C$2)</f>
        <v>0</v>
      </c>
      <c r="N32" s="337">
        <f>SUMIFS(BS_RE33!$H$7:$H$874,BS_RE33!$S$7:$S$874,$N$2,BS_RE33!$N$7:$N$874,I32,BS_RE33!$P$7:$P$874,'30 days CF Table(RMB)'!G32,BS_RE33!$F$7:$F$874,'30 days CF Table(RMB)'!$C$2)</f>
        <v>0</v>
      </c>
      <c r="O32" s="337">
        <f>SUMIFS(BS_RE33!$H$7:$H$874,BS_RE33!$S$7:$S$874,$O$2,BS_RE33!$N$7:$N$874,I32,BS_RE33!$P$7:$P$874,'30 days CF Table(RMB)'!G32,BS_RE33!$F$7:$F$874,'30 days CF Table(RMB)'!$C$2)</f>
        <v>0</v>
      </c>
      <c r="P32" s="337">
        <f>SUMIFS(BS_RE33!$H$7:$H$874,BS_RE33!$S$7:$S$874,$P$2,BS_RE33!$N$7:$N$874,I32,BS_RE33!$P$7:$P$874,'30 days CF Table(RMB)'!G32,BS_RE33!$F$7:$F$874,'30 days CF Table(RMB)'!$C$2)</f>
        <v>0</v>
      </c>
      <c r="Q32" s="337">
        <f>SUMIFS(BS_RE33!$H$7:$H$874,BS_RE33!$S$7:$S$874,$Q$2,BS_RE33!$N$7:$N$874,I32,BS_RE33!$P$7:$P$874,'30 days CF Table(RMB)'!G32,BS_RE33!$F$7:$F$874,'30 days CF Table(RMB)'!$C$2)</f>
        <v>0</v>
      </c>
      <c r="R32" s="337">
        <f>SUMIFS(BS_RE33!$H$7:$H$874,BS_RE33!$S$7:$S$874,$R$2,BS_RE33!$N$7:$N$874,I32,BS_RE33!$P$7:$P$874,'30 days CF Table(RMB)'!G32,BS_RE33!$F$7:$F$874,'30 days CF Table(RMB)'!$C$2)</f>
        <v>0</v>
      </c>
      <c r="S32" s="337">
        <f>SUMIFS(BS_RE33!$H$7:$H$874,BS_RE33!$S$7:$S$874,$S$2,BS_RE33!$N$7:$N$874,I32,BS_RE33!$P$7:$P$874,'30 days CF Table(RMB)'!G32,BS_RE33!$F$7:$F$874,'30 days CF Table(RMB)'!$C$2)</f>
        <v>0</v>
      </c>
      <c r="T32" s="337">
        <f>SUMIFS(BS_RE33!$H$7:$H$874,BS_RE33!$S$7:$S$874,$T$2,BS_RE33!$N$7:$N$874,I32,BS_RE33!$P$7:$P$874,'30 days CF Table(RMB)'!G32,BS_RE33!$F$7:$F$874,'30 days CF Table(RMB)'!$C$2)</f>
        <v>0</v>
      </c>
      <c r="U32" s="337">
        <f>SUMIFS(BS_RE33!$H$7:$H$874,BS_RE33!$S$7:$S$874,$U$2,BS_RE33!$N$7:$N$874,I32,BS_RE33!$P$7:$P$874,'30 days CF Table(RMB)'!G32,BS_RE33!$F$7:$F$874,'30 days CF Table(RMB)'!$C$2)</f>
        <v>0</v>
      </c>
      <c r="V32" s="337">
        <f>SUMIFS(BS_RE33!$H$7:$H$874,BS_RE33!$S$7:$S$874,$V$2,BS_RE33!$N$7:$N$874,I32,BS_RE33!$P$7:$P$874,'30 days CF Table(RMB)'!G32,BS_RE33!$F$7:$F$874,'30 days CF Table(RMB)'!$C$2)</f>
        <v>0</v>
      </c>
      <c r="W32" s="337">
        <f>SUMIFS(BS_RE33!$H$7:$H$874,BS_RE33!$S$7:$S$874,$W$2,BS_RE33!$N$7:$N$874,I32,BS_RE33!$P$7:$P$874,'30 days CF Table(RMB)'!G32,BS_RE33!$F$7:$F$874,'30 days CF Table(RMB)'!$C$2)</f>
        <v>0</v>
      </c>
      <c r="X32" s="337">
        <f>SUMIFS(BS_RE33!$H$7:$H$874,BS_RE33!$S$7:$S$874,$X$2,BS_RE33!$N$7:$N$874,I32,BS_RE33!$P$7:$P$874,'30 days CF Table(RMB)'!G32,BS_RE33!$F$7:$F$874,'30 days CF Table(RMB)'!$C$2)</f>
        <v>0</v>
      </c>
      <c r="Y32" s="337">
        <f>SUMIFS(BS_RE33!$H$7:$H$874,BS_RE33!$S$7:$S$874,$Y$2,BS_RE33!$N$7:$N$874,I32,BS_RE33!$P$7:$P$874,'30 days CF Table(RMB)'!G32,BS_RE33!$F$7:$F$874,'30 days CF Table(RMB)'!$C$2)</f>
        <v>0</v>
      </c>
      <c r="Z32" s="337">
        <f>SUMIFS(BS_RE33!$H$7:$H$874,BS_RE33!$S$7:$S$874,$Z$2,BS_RE33!$N$7:$N$874,I32,BS_RE33!$P$7:$P$874,'30 days CF Table(RMB)'!G32,BS_RE33!$F$7:$F$874,'30 days CF Table(RMB)'!$C$2)</f>
        <v>0</v>
      </c>
      <c r="AA32" s="337">
        <f>SUMIFS(BS_RE33!$H$7:$H$874,BS_RE33!$S$7:$S$874,$AA$2,BS_RE33!$N$7:$N$874,I32,BS_RE33!$P$7:$P$874,'30 days CF Table(RMB)'!G32,BS_RE33!$F$7:$F$874,'30 days CF Table(RMB)'!$C$2)</f>
        <v>0</v>
      </c>
      <c r="AB32" s="337">
        <f>SUMIFS(BS_RE33!$H$7:$H$874,BS_RE33!$S$7:$S$874,$AB$2,BS_RE33!$N$7:$N$874,I32,BS_RE33!$P$7:$P$874,'30 days CF Table(RMB)'!G32,BS_RE33!$F$7:$F$874,'30 days CF Table(RMB)'!$C$2)</f>
        <v>0</v>
      </c>
      <c r="AC32" s="337">
        <f>SUMIFS(BS_RE33!$H$7:$H$874,BS_RE33!$S$7:$S$874,$AC$2,BS_RE33!$N$7:$N$874,I32,BS_RE33!$P$7:$P$874,'30 days CF Table(RMB)'!G32,BS_RE33!$F$7:$F$874,'30 days CF Table(RMB)'!$C$2)</f>
        <v>0</v>
      </c>
      <c r="AD32" s="337">
        <f>SUMIFS(BS_RE33!$H$7:$H$874,BS_RE33!$S$7:$S$874,$AD$2,BS_RE33!$N$7:$N$874,I32,BS_RE33!$P$7:$P$874,'30 days CF Table(RMB)'!G32,BS_RE33!$F$7:$F$874,'30 days CF Table(RMB)'!$C$2)</f>
        <v>0</v>
      </c>
      <c r="AE32" s="337">
        <f>SUMIFS(BS_RE33!$H$7:$H$874,BS_RE33!$S$7:$S$874,$AE$2,BS_RE33!$N$7:$N$874,I32,BS_RE33!$P$7:$P$874,'30 days CF Table(RMB)'!G32,BS_RE33!$F$7:$F$874,'30 days CF Table(RMB)'!$C$2)</f>
        <v>0</v>
      </c>
      <c r="AF32" s="337">
        <f>SUMIFS(BS_RE33!$H$7:$H$874,BS_RE33!$S$7:$S$874,$AF$2,BS_RE33!$N$7:$N$874,I32,BS_RE33!$P$7:$P$874,'30 days CF Table(RMB)'!G32,BS_RE33!$F$7:$F$874,'30 days CF Table(RMB)'!$C$2)</f>
        <v>0</v>
      </c>
      <c r="AG32" s="337">
        <f>SUMIFS(BS_RE33!$H$7:$H$874,BS_RE33!$S$7:$S$874,$AG$2,BS_RE33!$N$7:$N$874,I32,BS_RE33!$P$7:$P$874,'30 days CF Table(RMB)'!G32,BS_RE33!$F$7:$F$874,'30 days CF Table(RMB)'!$C$2)</f>
        <v>0</v>
      </c>
      <c r="AH32" s="337">
        <f>SUMIFS(BS_RE33!$H$7:$H$874,BS_RE33!$S$7:$S$874,$AH$2,BS_RE33!$N$7:$N$874,I32,BS_RE33!$P$7:$P$874,'30 days CF Table(RMB)'!G32,BS_RE33!$F$7:$F$874,'30 days CF Table(RMB)'!$C$2)</f>
        <v>0</v>
      </c>
      <c r="AI32" s="337">
        <f>SUMIFS(BS_RE33!$H$7:$H$874,BS_RE33!$S$7:$S$874,$AI$2,BS_RE33!$N$7:$N$874,I32,BS_RE33!$P$7:$P$874,'30 days CF Table(RMB)'!G32,BS_RE33!$F$7:$F$874,'30 days CF Table(RMB)'!$C$2)</f>
        <v>0</v>
      </c>
      <c r="AJ32" s="337">
        <f>SUMIFS(BS_RE33!$H$7:$H$874,BS_RE33!$S$7:$S$874,$AJ$2,BS_RE33!$N$7:$N$874,I32,BS_RE33!$P$7:$P$874,'30 days CF Table(RMB)'!G32,BS_RE33!$F$7:$F$874,'30 days CF Table(RMB)'!$C$2)</f>
        <v>0</v>
      </c>
      <c r="AK32" s="337">
        <f>SUMIFS(BS_RE33!$H$7:$H$874,BS_RE33!$S$7:$S$874,$AK$2,BS_RE33!$N$7:$N$874,I32,BS_RE33!$P$7:$P$874,'30 days CF Table(RMB)'!G32,BS_RE33!$F$7:$F$874,'30 days CF Table(RMB)'!$C$2)</f>
        <v>0</v>
      </c>
      <c r="AL32" s="337">
        <f>SUMIFS(BS_RE33!$H$7:$H$874,BS_RE33!$S$7:$S$874,$AL$2,BS_RE33!$N$7:$N$874,I32,BS_RE33!$P$7:$P$874,'30 days CF Table(RMB)'!G32,BS_RE33!$F$7:$F$874,'30 days CF Table(RMB)'!$C$2)</f>
        <v>0</v>
      </c>
      <c r="AM32" s="337">
        <f>SUMIFS(BS_RE33!$H$7:$H$874,BS_RE33!$S$7:$S$874,$AM$2,BS_RE33!$N$7:$N$874,I32,BS_RE33!$P$7:$P$874,'30 days CF Table(RMB)'!G32,BS_RE33!$F$7:$F$874,'30 days CF Table(RMB)'!$C$2)</f>
        <v>0</v>
      </c>
      <c r="AN32" s="337">
        <f>SUMIFS(BS_RE33!$H$7:$H$874,BS_RE33!$S$7:$S$874,$AN$2,BS_RE33!$N$7:$N$874,I32,BS_RE33!$P$7:$P$874,'30 days CF Table(RMB)'!G32,BS_RE33!$F$7:$F$874,'30 days CF Table(RMB)'!$C$2)</f>
        <v>0</v>
      </c>
      <c r="AO32" s="337">
        <f>SUMIFS(BS_RE33!$H$7:$H$874,BS_RE33!$S$7:$S$874,$AO$2,BS_RE33!$N$7:$N$874,I32,BS_RE33!$P$7:$P$874,'30 days CF Table(RMB)'!G32,BS_RE33!$F$7:$F$874,'30 days CF Table(RMB)'!$C$2)</f>
        <v>0</v>
      </c>
      <c r="AP32" s="338">
        <f>SUMIFS(BS_RE33!$H$7:$H$874,BS_RE33!$S$7:$S$874,$AP$2,BS_RE33!$N$7:$N$874,I32,BS_RE33!$P$7:$P$874,'30 days CF Table(RMB)'!G32,BS_RE33!$F$7:$F$874,'30 days CF Table(RMB)'!$C$2)</f>
        <v>0</v>
      </c>
      <c r="AR32" s="379">
        <f>SUMIFS(BS_RE33!$H$7:$H$874,BS_RE33!$S$7:$S$874,$AR$2,BS_RE33!$N$7:$N$874,I32,BS_RE33!$P$7:$P$874,'30 days CF Table(RMB)'!G32,BS_RE33!$F$7:$F$874,'30 days CF Table(RMB)'!$C$2)</f>
        <v>0</v>
      </c>
      <c r="AS32" s="379">
        <f>SUMIFS(BS_RE33!$H$7:$H$874,BS_RE33!$S$7:$S$874,$AS$2,BS_RE33!$N$7:$N$874,I32,BS_RE33!$P$7:$P$874,'30 days CF Table(RMB)'!G32,BS_RE33!$F$7:$F$874,'30 days CF Table(RMB)'!$C$2)</f>
        <v>0</v>
      </c>
      <c r="AT32" s="379">
        <f>SUMIFS(BS_RE33!$H$7:$H$874,BS_RE33!$S$7:$S$874,$AT$2,BS_RE33!$N$7:$N$874,I32,BS_RE33!$P$7:$P$874,'30 days CF Table(RMB)'!G32,BS_RE33!$F$7:$F$874,'30 days CF Table(RMB)'!$C$2)</f>
        <v>0</v>
      </c>
      <c r="AU32" s="379">
        <f>SUMIFS(BS_RE33!$H$7:$H$874,BS_RE33!$S$7:$S$874,$AU$2,BS_RE33!$N$7:$N$874,I32,BS_RE33!$P$7:$P$874,'30 days CF Table(RMB)'!G32,BS_RE33!$F$7:$F$874,'30 days CF Table(RMB)'!$C$2)</f>
        <v>0</v>
      </c>
      <c r="AV32" s="379">
        <f>SUMIFS(BS_RE33!$H$7:$H$874,BS_RE33!$S$7:$S$874,$AV$2,BS_RE33!$N$7:$N$874,I32,BS_RE33!$P$7:$P$874,'30 days CF Table(RMB)'!G32,BS_RE33!$F$7:$F$874,'30 days CF Table(RMB)'!$C$2)</f>
        <v>0</v>
      </c>
      <c r="AW32" s="379">
        <f>SUMIFS(BS_RE33!$H$7:$H$874,BS_RE33!$S$7:$S$874,$AW$2,BS_RE33!$N$7:$N$874,I32,BS_RE33!$P$7:$P$874,'30 days CF Table(RMB)'!G32,BS_RE33!$F$7:$F$874,'30 days CF Table(RMB)'!$C$2)</f>
        <v>0</v>
      </c>
      <c r="AX32" s="379">
        <f>SUMIFS(BS_RE33!$H$7:$H$874,BS_RE33!$S$7:$S$874,$AX$2,BS_RE33!$N$7:$N$874,I32,BS_RE33!$P$7:$P$874,'30 days CF Table(RMB)'!G32,BS_RE33!$F$7:$F$874,'30 days CF Table(RMB)'!$C$2)</f>
        <v>0</v>
      </c>
      <c r="AY32" s="379">
        <f>SUMIFS(BS_RE33!$H$7:$H$874,BS_RE33!$S$7:$S$874,$AY$2,BS_RE33!$N$7:$N$874,I32,BS_RE33!$P$7:$P$874,'30 days CF Table(RMB)'!G32,BS_RE33!$F$7:$F$874,'30 days CF Table(RMB)'!$C$2)</f>
        <v>0</v>
      </c>
      <c r="AZ32" s="379">
        <f>SUMIFS(BS_RE33!$H$7:$H$874,BS_RE33!$S$7:$S$874,$AZ$2,BS_RE33!$N$7:$N$874,I32,BS_RE33!$P$7:$P$874,'30 days CF Table(RMB)'!G32,BS_RE33!$F$7:$F$874,'30 days CF Table(RMB)'!$C$2)</f>
        <v>0</v>
      </c>
      <c r="BA32" s="379">
        <f>SUMIFS(BS_RE33!$H$7:$H$874,BS_RE33!$S$7:$S$874,$BA$2,BS_RE33!$N$7:$N$874,I32,BS_RE33!$P$7:$P$874,'30 days CF Table(RMB)'!G32,BS_RE33!$F$7:$F$874,'30 days CF Table(RMB)'!$C$2)</f>
        <v>0</v>
      </c>
      <c r="BB32" s="379">
        <f>SUMIFS(BS_RE33!$H$7:$H$874,BS_RE33!$S$7:$S$874,$BB$2,BS_RE33!$N$7:$N$874,I32,BS_RE33!$P$7:$P$874,'30 days CF Table(RMB)'!G32,BS_RE33!$F$7:$F$874,'30 days CF Table(RMB)'!$C$2)</f>
        <v>0</v>
      </c>
      <c r="BC32" s="379">
        <f>SUMIFS(BS_RE33!$H$7:$H$874,BS_RE33!$S$7:$S$874,$BC$2,BS_RE33!$N$7:$N$874,I32,BS_RE33!$P$7:$P$874,'30 days CF Table(RMB)'!G32,BS_RE33!$F$7:$F$874,'30 days CF Table(RMB)'!$C$2)</f>
        <v>0</v>
      </c>
      <c r="BD32" s="379">
        <f>SUMIFS(BS_RE33!$H$7:$H$874,BS_RE33!$S$7:$S$874,$BD$2,BS_RE33!$N$7:$N$874,I32,BS_RE33!$P$7:$P$874,'30 days CF Table(RMB)'!G32,BS_RE33!$F$7:$F$874,'30 days CF Table(RMB)'!$C$2)</f>
        <v>0</v>
      </c>
      <c r="BE32" s="379">
        <f>SUMIFS(BS_RE33!$H$7:$H$874,BS_RE33!$S$7:$S$874,$BE$2,BS_RE33!$N$7:$N$874,I32,BS_RE33!$P$7:$P$874,'30 days CF Table(RMB)'!G32,BS_RE33!$F$7:$F$874,'30 days CF Table(RMB)'!$C$2)</f>
        <v>0</v>
      </c>
      <c r="BF32" s="379">
        <f>SUMIFS(BS_RE33!$H$7:$H$874,BS_RE33!$S$7:$S$874,$BF$2,BS_RE33!$N$7:$N$874,I32,BS_RE33!$P$7:$P$874,'30 days CF Table(RMB)'!G32,BS_RE33!$F$7:$F$874,'30 days CF Table(RMB)'!$C$2)</f>
        <v>0</v>
      </c>
      <c r="BG32" s="379">
        <f>SUMIFS(BS_RE33!$H$7:$H$874,BS_RE33!$S$7:$S$874,$BG$2,BS_RE33!$N$7:$N$874,I32,BS_RE33!$P$7:$P$874,'30 days CF Table(RMB)'!G32,BS_RE33!$F$7:$F$874,'30 days CF Table(RMB)'!$C$2)</f>
        <v>0</v>
      </c>
      <c r="BH32" s="379">
        <f>SUMIFS(BS_RE33!$H$7:$H$874,BS_RE33!$S$7:$S$874,$BH$2,BS_RE33!$N$7:$N$874,I32,BS_RE33!$P$7:$P$874,'30 days CF Table(RMB)'!G32,BS_RE33!$F$7:$F$874,'30 days CF Table(RMB)'!$C$2)</f>
        <v>0</v>
      </c>
      <c r="BI32" s="379">
        <f>SUMIFS(BS_RE33!$H$7:$H$874,BS_RE33!$S$7:$S$874,$BI$2,BS_RE33!$N$7:$N$874,I32,BS_RE33!$P$7:$P$874,'30 days CF Table(RMB)'!G32,BS_RE33!$F$7:$F$874,'30 days CF Table(RMB)'!$C$2)</f>
        <v>0</v>
      </c>
      <c r="BJ32" s="379">
        <f>SUMIFS(BS_RE33!$H$7:$H$874,BS_RE33!$S$7:$S$874,$BJ$2,BS_RE33!$N$7:$N$874,I32,BS_RE33!$P$7:$P$874,'30 days CF Table(RMB)'!G32,BS_RE33!$F$7:$F$874,'30 days CF Table(RMB)'!$C$2)</f>
        <v>0</v>
      </c>
      <c r="BK32" s="379">
        <f>SUMIFS(BS_RE33!$H$7:$H$874,BS_RE33!$S$7:$S$874,$BK$2,BS_RE33!$N$7:$N$874,I32,BS_RE33!$P$7:$P$874,'30 days CF Table(RMB)'!G32,BS_RE33!$F$7:$F$874,'30 days CF Table(RMB)'!$C$2)</f>
        <v>0</v>
      </c>
    </row>
    <row r="33" spans="3:63">
      <c r="C33" s="1029"/>
      <c r="D33" s="1039"/>
      <c r="E33" s="40" t="s">
        <v>81</v>
      </c>
      <c r="F33" s="560" t="s">
        <v>492</v>
      </c>
      <c r="G33" s="392" t="s">
        <v>521</v>
      </c>
      <c r="H33" s="517">
        <v>1</v>
      </c>
      <c r="I33" s="315" t="s">
        <v>80</v>
      </c>
      <c r="J33" s="479">
        <f t="shared" si="2"/>
        <v>0</v>
      </c>
      <c r="K33" s="336">
        <f t="shared" si="3"/>
        <v>0</v>
      </c>
      <c r="L33" s="337">
        <f>SUMIFS(BS_RE33!$H$7:$H$874,BS_RE33!$S$7:$S$874,$L$2,BS_RE33!$N$7:$N$874,I33,BS_RE33!$P$7:$P$874,'30 days CF Table(RMB)'!G33,BS_RE33!$F$7:$F$874,'30 days CF Table(RMB)'!$C$2)</f>
        <v>0</v>
      </c>
      <c r="M33" s="337">
        <f>SUMIFS(BS_RE33!$H$7:$H$874,BS_RE33!$S$7:$S$874,$M$2,BS_RE33!$N$7:$N$874,I33,BS_RE33!$P$7:$P$874,'30 days CF Table(RMB)'!G33,BS_RE33!$F$7:$F$874,'30 days CF Table(RMB)'!$C$2)</f>
        <v>0</v>
      </c>
      <c r="N33" s="337">
        <f>SUMIFS(BS_RE33!$H$7:$H$874,BS_RE33!$S$7:$S$874,$N$2,BS_RE33!$N$7:$N$874,I33,BS_RE33!$P$7:$P$874,'30 days CF Table(RMB)'!G33,BS_RE33!$F$7:$F$874,'30 days CF Table(RMB)'!$C$2)</f>
        <v>0</v>
      </c>
      <c r="O33" s="337">
        <f>SUMIFS(BS_RE33!$H$7:$H$874,BS_RE33!$S$7:$S$874,$O$2,BS_RE33!$N$7:$N$874,I33,BS_RE33!$P$7:$P$874,'30 days CF Table(RMB)'!G33,BS_RE33!$F$7:$F$874,'30 days CF Table(RMB)'!$C$2)</f>
        <v>0</v>
      </c>
      <c r="P33" s="337">
        <f>SUMIFS(BS_RE33!$H$7:$H$874,BS_RE33!$S$7:$S$874,$P$2,BS_RE33!$N$7:$N$874,I33,BS_RE33!$P$7:$P$874,'30 days CF Table(RMB)'!G33,BS_RE33!$F$7:$F$874,'30 days CF Table(RMB)'!$C$2)</f>
        <v>0</v>
      </c>
      <c r="Q33" s="337">
        <f>SUMIFS(BS_RE33!$H$7:$H$874,BS_RE33!$S$7:$S$874,$Q$2,BS_RE33!$N$7:$N$874,I33,BS_RE33!$P$7:$P$874,'30 days CF Table(RMB)'!G33,BS_RE33!$F$7:$F$874,'30 days CF Table(RMB)'!$C$2)</f>
        <v>0</v>
      </c>
      <c r="R33" s="337">
        <f>SUMIFS(BS_RE33!$H$7:$H$874,BS_RE33!$S$7:$S$874,$R$2,BS_RE33!$N$7:$N$874,I33,BS_RE33!$P$7:$P$874,'30 days CF Table(RMB)'!G33,BS_RE33!$F$7:$F$874,'30 days CF Table(RMB)'!$C$2)</f>
        <v>0</v>
      </c>
      <c r="S33" s="337">
        <f>SUMIFS(BS_RE33!$H$7:$H$874,BS_RE33!$S$7:$S$874,$S$2,BS_RE33!$N$7:$N$874,I33,BS_RE33!$P$7:$P$874,'30 days CF Table(RMB)'!G33,BS_RE33!$F$7:$F$874,'30 days CF Table(RMB)'!$C$2)</f>
        <v>0</v>
      </c>
      <c r="T33" s="337">
        <f>SUMIFS(BS_RE33!$H$7:$H$874,BS_RE33!$S$7:$S$874,$T$2,BS_RE33!$N$7:$N$874,I33,BS_RE33!$P$7:$P$874,'30 days CF Table(RMB)'!G33,BS_RE33!$F$7:$F$874,'30 days CF Table(RMB)'!$C$2)</f>
        <v>0</v>
      </c>
      <c r="U33" s="337">
        <f>SUMIFS(BS_RE33!$H$7:$H$874,BS_RE33!$S$7:$S$874,$U$2,BS_RE33!$N$7:$N$874,I33,BS_RE33!$P$7:$P$874,'30 days CF Table(RMB)'!G33,BS_RE33!$F$7:$F$874,'30 days CF Table(RMB)'!$C$2)</f>
        <v>0</v>
      </c>
      <c r="V33" s="337">
        <f>SUMIFS(BS_RE33!$H$7:$H$874,BS_RE33!$S$7:$S$874,$V$2,BS_RE33!$N$7:$N$874,I33,BS_RE33!$P$7:$P$874,'30 days CF Table(RMB)'!G33,BS_RE33!$F$7:$F$874,'30 days CF Table(RMB)'!$C$2)</f>
        <v>0</v>
      </c>
      <c r="W33" s="337">
        <f>SUMIFS(BS_RE33!$H$7:$H$874,BS_RE33!$S$7:$S$874,$W$2,BS_RE33!$N$7:$N$874,I33,BS_RE33!$P$7:$P$874,'30 days CF Table(RMB)'!G33,BS_RE33!$F$7:$F$874,'30 days CF Table(RMB)'!$C$2)</f>
        <v>0</v>
      </c>
      <c r="X33" s="337">
        <f>SUMIFS(BS_RE33!$H$7:$H$874,BS_RE33!$S$7:$S$874,$X$2,BS_RE33!$N$7:$N$874,I33,BS_RE33!$P$7:$P$874,'30 days CF Table(RMB)'!G33,BS_RE33!$F$7:$F$874,'30 days CF Table(RMB)'!$C$2)</f>
        <v>0</v>
      </c>
      <c r="Y33" s="337">
        <f>SUMIFS(BS_RE33!$H$7:$H$874,BS_RE33!$S$7:$S$874,$Y$2,BS_RE33!$N$7:$N$874,I33,BS_RE33!$P$7:$P$874,'30 days CF Table(RMB)'!G33,BS_RE33!$F$7:$F$874,'30 days CF Table(RMB)'!$C$2)</f>
        <v>0</v>
      </c>
      <c r="Z33" s="337">
        <f>SUMIFS(BS_RE33!$H$7:$H$874,BS_RE33!$S$7:$S$874,$Z$2,BS_RE33!$N$7:$N$874,I33,BS_RE33!$P$7:$P$874,'30 days CF Table(RMB)'!G33,BS_RE33!$F$7:$F$874,'30 days CF Table(RMB)'!$C$2)</f>
        <v>0</v>
      </c>
      <c r="AA33" s="337">
        <f>SUMIFS(BS_RE33!$H$7:$H$874,BS_RE33!$S$7:$S$874,$AA$2,BS_RE33!$N$7:$N$874,I33,BS_RE33!$P$7:$P$874,'30 days CF Table(RMB)'!G33,BS_RE33!$F$7:$F$874,'30 days CF Table(RMB)'!$C$2)</f>
        <v>0</v>
      </c>
      <c r="AB33" s="337">
        <f>SUMIFS(BS_RE33!$H$7:$H$874,BS_RE33!$S$7:$S$874,$AB$2,BS_RE33!$N$7:$N$874,I33,BS_RE33!$P$7:$P$874,'30 days CF Table(RMB)'!G33,BS_RE33!$F$7:$F$874,'30 days CF Table(RMB)'!$C$2)</f>
        <v>0</v>
      </c>
      <c r="AC33" s="337">
        <f>SUMIFS(BS_RE33!$H$7:$H$874,BS_RE33!$S$7:$S$874,$AC$2,BS_RE33!$N$7:$N$874,I33,BS_RE33!$P$7:$P$874,'30 days CF Table(RMB)'!G33,BS_RE33!$F$7:$F$874,'30 days CF Table(RMB)'!$C$2)</f>
        <v>0</v>
      </c>
      <c r="AD33" s="337">
        <f>SUMIFS(BS_RE33!$H$7:$H$874,BS_RE33!$S$7:$S$874,$AD$2,BS_RE33!$N$7:$N$874,I33,BS_RE33!$P$7:$P$874,'30 days CF Table(RMB)'!G33,BS_RE33!$F$7:$F$874,'30 days CF Table(RMB)'!$C$2)</f>
        <v>0</v>
      </c>
      <c r="AE33" s="337">
        <f>SUMIFS(BS_RE33!$H$7:$H$874,BS_RE33!$S$7:$S$874,$AE$2,BS_RE33!$N$7:$N$874,I33,BS_RE33!$P$7:$P$874,'30 days CF Table(RMB)'!G33,BS_RE33!$F$7:$F$874,'30 days CF Table(RMB)'!$C$2)</f>
        <v>0</v>
      </c>
      <c r="AF33" s="337">
        <f>SUMIFS(BS_RE33!$H$7:$H$874,BS_RE33!$S$7:$S$874,$AF$2,BS_RE33!$N$7:$N$874,I33,BS_RE33!$P$7:$P$874,'30 days CF Table(RMB)'!G33,BS_RE33!$F$7:$F$874,'30 days CF Table(RMB)'!$C$2)</f>
        <v>0</v>
      </c>
      <c r="AG33" s="337">
        <f>SUMIFS(BS_RE33!$H$7:$H$874,BS_RE33!$S$7:$S$874,$AG$2,BS_RE33!$N$7:$N$874,I33,BS_RE33!$P$7:$P$874,'30 days CF Table(RMB)'!G33,BS_RE33!$F$7:$F$874,'30 days CF Table(RMB)'!$C$2)</f>
        <v>0</v>
      </c>
      <c r="AH33" s="337">
        <f>SUMIFS(BS_RE33!$H$7:$H$874,BS_RE33!$S$7:$S$874,$AH$2,BS_RE33!$N$7:$N$874,I33,BS_RE33!$P$7:$P$874,'30 days CF Table(RMB)'!G33,BS_RE33!$F$7:$F$874,'30 days CF Table(RMB)'!$C$2)</f>
        <v>0</v>
      </c>
      <c r="AI33" s="337">
        <f>SUMIFS(BS_RE33!$H$7:$H$874,BS_RE33!$S$7:$S$874,$AI$2,BS_RE33!$N$7:$N$874,I33,BS_RE33!$P$7:$P$874,'30 days CF Table(RMB)'!G33,BS_RE33!$F$7:$F$874,'30 days CF Table(RMB)'!$C$2)</f>
        <v>0</v>
      </c>
      <c r="AJ33" s="337">
        <f>SUMIFS(BS_RE33!$H$7:$H$874,BS_RE33!$S$7:$S$874,$AJ$2,BS_RE33!$N$7:$N$874,I33,BS_RE33!$P$7:$P$874,'30 days CF Table(RMB)'!G33,BS_RE33!$F$7:$F$874,'30 days CF Table(RMB)'!$C$2)</f>
        <v>0</v>
      </c>
      <c r="AK33" s="337">
        <f>SUMIFS(BS_RE33!$H$7:$H$874,BS_RE33!$S$7:$S$874,$AK$2,BS_RE33!$N$7:$N$874,I33,BS_RE33!$P$7:$P$874,'30 days CF Table(RMB)'!G33,BS_RE33!$F$7:$F$874,'30 days CF Table(RMB)'!$C$2)</f>
        <v>0</v>
      </c>
      <c r="AL33" s="337">
        <f>SUMIFS(BS_RE33!$H$7:$H$874,BS_RE33!$S$7:$S$874,$AL$2,BS_RE33!$N$7:$N$874,I33,BS_RE33!$P$7:$P$874,'30 days CF Table(RMB)'!G33,BS_RE33!$F$7:$F$874,'30 days CF Table(RMB)'!$C$2)</f>
        <v>0</v>
      </c>
      <c r="AM33" s="337">
        <f>SUMIFS(BS_RE33!$H$7:$H$874,BS_RE33!$S$7:$S$874,$AM$2,BS_RE33!$N$7:$N$874,I33,BS_RE33!$P$7:$P$874,'30 days CF Table(RMB)'!G33,BS_RE33!$F$7:$F$874,'30 days CF Table(RMB)'!$C$2)</f>
        <v>0</v>
      </c>
      <c r="AN33" s="337">
        <f>SUMIFS(BS_RE33!$H$7:$H$874,BS_RE33!$S$7:$S$874,$AN$2,BS_RE33!$N$7:$N$874,I33,BS_RE33!$P$7:$P$874,'30 days CF Table(RMB)'!G33,BS_RE33!$F$7:$F$874,'30 days CF Table(RMB)'!$C$2)</f>
        <v>0</v>
      </c>
      <c r="AO33" s="337">
        <f>SUMIFS(BS_RE33!$H$7:$H$874,BS_RE33!$S$7:$S$874,$AO$2,BS_RE33!$N$7:$N$874,I33,BS_RE33!$P$7:$P$874,'30 days CF Table(RMB)'!G33,BS_RE33!$F$7:$F$874,'30 days CF Table(RMB)'!$C$2)</f>
        <v>0</v>
      </c>
      <c r="AP33" s="338">
        <f>SUMIFS(BS_RE33!$H$7:$H$874,BS_RE33!$S$7:$S$874,$AP$2,BS_RE33!$N$7:$N$874,I33,BS_RE33!$P$7:$P$874,'30 days CF Table(RMB)'!G33,BS_RE33!$F$7:$F$874,'30 days CF Table(RMB)'!$C$2)</f>
        <v>0</v>
      </c>
      <c r="AR33" s="379">
        <f>SUMIFS(BS_RE33!$H$7:$H$874,BS_RE33!$S$7:$S$874,$AR$2,BS_RE33!$N$7:$N$874,I33,BS_RE33!$P$7:$P$874,'30 days CF Table(RMB)'!G33,BS_RE33!$F$7:$F$874,'30 days CF Table(RMB)'!$C$2)</f>
        <v>0</v>
      </c>
      <c r="AS33" s="379">
        <f>SUMIFS(BS_RE33!$H$7:$H$874,BS_RE33!$S$7:$S$874,$AS$2,BS_RE33!$N$7:$N$874,I33,BS_RE33!$P$7:$P$874,'30 days CF Table(RMB)'!G33,BS_RE33!$F$7:$F$874,'30 days CF Table(RMB)'!$C$2)</f>
        <v>0</v>
      </c>
      <c r="AT33" s="379">
        <f>SUMIFS(BS_RE33!$H$7:$H$874,BS_RE33!$S$7:$S$874,$AT$2,BS_RE33!$N$7:$N$874,I33,BS_RE33!$P$7:$P$874,'30 days CF Table(RMB)'!G33,BS_RE33!$F$7:$F$874,'30 days CF Table(RMB)'!$C$2)</f>
        <v>0</v>
      </c>
      <c r="AU33" s="379">
        <f>SUMIFS(BS_RE33!$H$7:$H$874,BS_RE33!$S$7:$S$874,$AU$2,BS_RE33!$N$7:$N$874,I33,BS_RE33!$P$7:$P$874,'30 days CF Table(RMB)'!G33,BS_RE33!$F$7:$F$874,'30 days CF Table(RMB)'!$C$2)</f>
        <v>0</v>
      </c>
      <c r="AV33" s="379">
        <f>SUMIFS(BS_RE33!$H$7:$H$874,BS_RE33!$S$7:$S$874,$AV$2,BS_RE33!$N$7:$N$874,I33,BS_RE33!$P$7:$P$874,'30 days CF Table(RMB)'!G33,BS_RE33!$F$7:$F$874,'30 days CF Table(RMB)'!$C$2)</f>
        <v>0</v>
      </c>
      <c r="AW33" s="379">
        <f>SUMIFS(BS_RE33!$H$7:$H$874,BS_RE33!$S$7:$S$874,$AW$2,BS_RE33!$N$7:$N$874,I33,BS_RE33!$P$7:$P$874,'30 days CF Table(RMB)'!G33,BS_RE33!$F$7:$F$874,'30 days CF Table(RMB)'!$C$2)</f>
        <v>0</v>
      </c>
      <c r="AX33" s="379">
        <f>SUMIFS(BS_RE33!$H$7:$H$874,BS_RE33!$S$7:$S$874,$AX$2,BS_RE33!$N$7:$N$874,I33,BS_RE33!$P$7:$P$874,'30 days CF Table(RMB)'!G33,BS_RE33!$F$7:$F$874,'30 days CF Table(RMB)'!$C$2)</f>
        <v>0</v>
      </c>
      <c r="AY33" s="379">
        <f>SUMIFS(BS_RE33!$H$7:$H$874,BS_RE33!$S$7:$S$874,$AY$2,BS_RE33!$N$7:$N$874,I33,BS_RE33!$P$7:$P$874,'30 days CF Table(RMB)'!G33,BS_RE33!$F$7:$F$874,'30 days CF Table(RMB)'!$C$2)</f>
        <v>0</v>
      </c>
      <c r="AZ33" s="379">
        <f>SUMIFS(BS_RE33!$H$7:$H$874,BS_RE33!$S$7:$S$874,$AZ$2,BS_RE33!$N$7:$N$874,I33,BS_RE33!$P$7:$P$874,'30 days CF Table(RMB)'!G33,BS_RE33!$F$7:$F$874,'30 days CF Table(RMB)'!$C$2)</f>
        <v>0</v>
      </c>
      <c r="BA33" s="379">
        <f>SUMIFS(BS_RE33!$H$7:$H$874,BS_RE33!$S$7:$S$874,$BA$2,BS_RE33!$N$7:$N$874,I33,BS_RE33!$P$7:$P$874,'30 days CF Table(RMB)'!G33,BS_RE33!$F$7:$F$874,'30 days CF Table(RMB)'!$C$2)</f>
        <v>0</v>
      </c>
      <c r="BB33" s="379">
        <f>SUMIFS(BS_RE33!$H$7:$H$874,BS_RE33!$S$7:$S$874,$BB$2,BS_RE33!$N$7:$N$874,I33,BS_RE33!$P$7:$P$874,'30 days CF Table(RMB)'!G33,BS_RE33!$F$7:$F$874,'30 days CF Table(RMB)'!$C$2)</f>
        <v>0</v>
      </c>
      <c r="BC33" s="379">
        <f>SUMIFS(BS_RE33!$H$7:$H$874,BS_RE33!$S$7:$S$874,$BC$2,BS_RE33!$N$7:$N$874,I33,BS_RE33!$P$7:$P$874,'30 days CF Table(RMB)'!G33,BS_RE33!$F$7:$F$874,'30 days CF Table(RMB)'!$C$2)</f>
        <v>0</v>
      </c>
      <c r="BD33" s="379">
        <f>SUMIFS(BS_RE33!$H$7:$H$874,BS_RE33!$S$7:$S$874,$BD$2,BS_RE33!$N$7:$N$874,I33,BS_RE33!$P$7:$P$874,'30 days CF Table(RMB)'!G33,BS_RE33!$F$7:$F$874,'30 days CF Table(RMB)'!$C$2)</f>
        <v>0</v>
      </c>
      <c r="BE33" s="379">
        <f>SUMIFS(BS_RE33!$H$7:$H$874,BS_RE33!$S$7:$S$874,$BE$2,BS_RE33!$N$7:$N$874,I33,BS_RE33!$P$7:$P$874,'30 days CF Table(RMB)'!G33,BS_RE33!$F$7:$F$874,'30 days CF Table(RMB)'!$C$2)</f>
        <v>0</v>
      </c>
      <c r="BF33" s="379">
        <f>SUMIFS(BS_RE33!$H$7:$H$874,BS_RE33!$S$7:$S$874,$BF$2,BS_RE33!$N$7:$N$874,I33,BS_RE33!$P$7:$P$874,'30 days CF Table(RMB)'!G33,BS_RE33!$F$7:$F$874,'30 days CF Table(RMB)'!$C$2)</f>
        <v>0</v>
      </c>
      <c r="BG33" s="379">
        <f>SUMIFS(BS_RE33!$H$7:$H$874,BS_RE33!$S$7:$S$874,$BG$2,BS_RE33!$N$7:$N$874,I33,BS_RE33!$P$7:$P$874,'30 days CF Table(RMB)'!G33,BS_RE33!$F$7:$F$874,'30 days CF Table(RMB)'!$C$2)</f>
        <v>0</v>
      </c>
      <c r="BH33" s="379">
        <f>SUMIFS(BS_RE33!$H$7:$H$874,BS_RE33!$S$7:$S$874,$BH$2,BS_RE33!$N$7:$N$874,I33,BS_RE33!$P$7:$P$874,'30 days CF Table(RMB)'!G33,BS_RE33!$F$7:$F$874,'30 days CF Table(RMB)'!$C$2)</f>
        <v>0</v>
      </c>
      <c r="BI33" s="379">
        <f>SUMIFS(BS_RE33!$H$7:$H$874,BS_RE33!$S$7:$S$874,$BI$2,BS_RE33!$N$7:$N$874,I33,BS_RE33!$P$7:$P$874,'30 days CF Table(RMB)'!G33,BS_RE33!$F$7:$F$874,'30 days CF Table(RMB)'!$C$2)</f>
        <v>0</v>
      </c>
      <c r="BJ33" s="379">
        <f>SUMIFS(BS_RE33!$H$7:$H$874,BS_RE33!$S$7:$S$874,$BJ$2,BS_RE33!$N$7:$N$874,I33,BS_RE33!$P$7:$P$874,'30 days CF Table(RMB)'!G33,BS_RE33!$F$7:$F$874,'30 days CF Table(RMB)'!$C$2)</f>
        <v>0</v>
      </c>
      <c r="BK33" s="379">
        <f>SUMIFS(BS_RE33!$H$7:$H$874,BS_RE33!$S$7:$S$874,$BK$2,BS_RE33!$N$7:$N$874,I33,BS_RE33!$P$7:$P$874,'30 days CF Table(RMB)'!G33,BS_RE33!$F$7:$F$874,'30 days CF Table(RMB)'!$C$2)</f>
        <v>0</v>
      </c>
    </row>
    <row r="34" spans="3:63">
      <c r="C34" s="1029"/>
      <c r="D34" s="1040"/>
      <c r="E34" s="306" t="s">
        <v>81</v>
      </c>
      <c r="F34" s="560" t="s">
        <v>493</v>
      </c>
      <c r="G34" s="392" t="s">
        <v>522</v>
      </c>
      <c r="H34" s="314">
        <v>1</v>
      </c>
      <c r="I34" s="315" t="s">
        <v>80</v>
      </c>
      <c r="J34" s="479">
        <f t="shared" si="2"/>
        <v>0</v>
      </c>
      <c r="K34" s="336">
        <f t="shared" si="3"/>
        <v>0</v>
      </c>
      <c r="L34" s="337">
        <f>SUMIFS(BS_RE33!$H$7:$H$874,BS_RE33!$S$7:$S$874,$L$2,BS_RE33!$N$7:$N$874,I34,BS_RE33!$P$7:$P$874,'30 days CF Table(RMB)'!G34,BS_RE33!$F$7:$F$874,'30 days CF Table(RMB)'!$C$2)</f>
        <v>0</v>
      </c>
      <c r="M34" s="337">
        <f>SUMIFS(BS_RE33!$H$7:$H$874,BS_RE33!$S$7:$S$874,$M$2,BS_RE33!$N$7:$N$874,I34,BS_RE33!$P$7:$P$874,'30 days CF Table(RMB)'!G34,BS_RE33!$F$7:$F$874,'30 days CF Table(RMB)'!$C$2)</f>
        <v>0</v>
      </c>
      <c r="N34" s="337">
        <f>SUMIFS(BS_RE33!$H$7:$H$874,BS_RE33!$S$7:$S$874,$N$2,BS_RE33!$N$7:$N$874,I34,BS_RE33!$P$7:$P$874,'30 days CF Table(RMB)'!G34,BS_RE33!$F$7:$F$874,'30 days CF Table(RMB)'!$C$2)</f>
        <v>0</v>
      </c>
      <c r="O34" s="337">
        <f>SUMIFS(BS_RE33!$H$7:$H$874,BS_RE33!$S$7:$S$874,$O$2,BS_RE33!$N$7:$N$874,I34,BS_RE33!$P$7:$P$874,'30 days CF Table(RMB)'!G34,BS_RE33!$F$7:$F$874,'30 days CF Table(RMB)'!$C$2)</f>
        <v>0</v>
      </c>
      <c r="P34" s="337">
        <f>SUMIFS(BS_RE33!$H$7:$H$874,BS_RE33!$S$7:$S$874,$P$2,BS_RE33!$N$7:$N$874,I34,BS_RE33!$P$7:$P$874,'30 days CF Table(RMB)'!G34,BS_RE33!$F$7:$F$874,'30 days CF Table(RMB)'!$C$2)</f>
        <v>0</v>
      </c>
      <c r="Q34" s="337">
        <f>SUMIFS(BS_RE33!$H$7:$H$874,BS_RE33!$S$7:$S$874,$Q$2,BS_RE33!$N$7:$N$874,I34,BS_RE33!$P$7:$P$874,'30 days CF Table(RMB)'!G34,BS_RE33!$F$7:$F$874,'30 days CF Table(RMB)'!$C$2)</f>
        <v>0</v>
      </c>
      <c r="R34" s="337">
        <f>SUMIFS(BS_RE33!$H$7:$H$874,BS_RE33!$S$7:$S$874,$R$2,BS_RE33!$N$7:$N$874,I34,BS_RE33!$P$7:$P$874,'30 days CF Table(RMB)'!G34,BS_RE33!$F$7:$F$874,'30 days CF Table(RMB)'!$C$2)</f>
        <v>0</v>
      </c>
      <c r="S34" s="337">
        <f>SUMIFS(BS_RE33!$H$7:$H$874,BS_RE33!$S$7:$S$874,$S$2,BS_RE33!$N$7:$N$874,I34,BS_RE33!$P$7:$P$874,'30 days CF Table(RMB)'!G34,BS_RE33!$F$7:$F$874,'30 days CF Table(RMB)'!$C$2)</f>
        <v>0</v>
      </c>
      <c r="T34" s="337">
        <f>SUMIFS(BS_RE33!$H$7:$H$874,BS_RE33!$S$7:$S$874,$T$2,BS_RE33!$N$7:$N$874,I34,BS_RE33!$P$7:$P$874,'30 days CF Table(RMB)'!G34,BS_RE33!$F$7:$F$874,'30 days CF Table(RMB)'!$C$2)</f>
        <v>0</v>
      </c>
      <c r="U34" s="337">
        <f>SUMIFS(BS_RE33!$H$7:$H$874,BS_RE33!$S$7:$S$874,$U$2,BS_RE33!$N$7:$N$874,I34,BS_RE33!$P$7:$P$874,'30 days CF Table(RMB)'!G34,BS_RE33!$F$7:$F$874,'30 days CF Table(RMB)'!$C$2)</f>
        <v>0</v>
      </c>
      <c r="V34" s="337">
        <f>SUMIFS(BS_RE33!$H$7:$H$874,BS_RE33!$S$7:$S$874,$V$2,BS_RE33!$N$7:$N$874,I34,BS_RE33!$P$7:$P$874,'30 days CF Table(RMB)'!G34,BS_RE33!$F$7:$F$874,'30 days CF Table(RMB)'!$C$2)</f>
        <v>0</v>
      </c>
      <c r="W34" s="337">
        <f>SUMIFS(BS_RE33!$H$7:$H$874,BS_RE33!$S$7:$S$874,$W$2,BS_RE33!$N$7:$N$874,I34,BS_RE33!$P$7:$P$874,'30 days CF Table(RMB)'!G34,BS_RE33!$F$7:$F$874,'30 days CF Table(RMB)'!$C$2)</f>
        <v>0</v>
      </c>
      <c r="X34" s="337">
        <f>SUMIFS(BS_RE33!$H$7:$H$874,BS_RE33!$S$7:$S$874,$X$2,BS_RE33!$N$7:$N$874,I34,BS_RE33!$P$7:$P$874,'30 days CF Table(RMB)'!G34,BS_RE33!$F$7:$F$874,'30 days CF Table(RMB)'!$C$2)</f>
        <v>0</v>
      </c>
      <c r="Y34" s="337">
        <f>SUMIFS(BS_RE33!$H$7:$H$874,BS_RE33!$S$7:$S$874,$Y$2,BS_RE33!$N$7:$N$874,I34,BS_RE33!$P$7:$P$874,'30 days CF Table(RMB)'!G34,BS_RE33!$F$7:$F$874,'30 days CF Table(RMB)'!$C$2)</f>
        <v>0</v>
      </c>
      <c r="Z34" s="337">
        <f>SUMIFS(BS_RE33!$H$7:$H$874,BS_RE33!$S$7:$S$874,$Z$2,BS_RE33!$N$7:$N$874,I34,BS_RE33!$P$7:$P$874,'30 days CF Table(RMB)'!G34,BS_RE33!$F$7:$F$874,'30 days CF Table(RMB)'!$C$2)</f>
        <v>0</v>
      </c>
      <c r="AA34" s="337">
        <f>SUMIFS(BS_RE33!$H$7:$H$874,BS_RE33!$S$7:$S$874,$AA$2,BS_RE33!$N$7:$N$874,I34,BS_RE33!$P$7:$P$874,'30 days CF Table(RMB)'!G34,BS_RE33!$F$7:$F$874,'30 days CF Table(RMB)'!$C$2)</f>
        <v>0</v>
      </c>
      <c r="AB34" s="337">
        <f>SUMIFS(BS_RE33!$H$7:$H$874,BS_RE33!$S$7:$S$874,$AB$2,BS_RE33!$N$7:$N$874,I34,BS_RE33!$P$7:$P$874,'30 days CF Table(RMB)'!G34,BS_RE33!$F$7:$F$874,'30 days CF Table(RMB)'!$C$2)</f>
        <v>0</v>
      </c>
      <c r="AC34" s="337">
        <f>SUMIFS(BS_RE33!$H$7:$H$874,BS_RE33!$S$7:$S$874,$AC$2,BS_RE33!$N$7:$N$874,I34,BS_RE33!$P$7:$P$874,'30 days CF Table(RMB)'!G34,BS_RE33!$F$7:$F$874,'30 days CF Table(RMB)'!$C$2)</f>
        <v>0</v>
      </c>
      <c r="AD34" s="337">
        <f>SUMIFS(BS_RE33!$H$7:$H$874,BS_RE33!$S$7:$S$874,$AD$2,BS_RE33!$N$7:$N$874,I34,BS_RE33!$P$7:$P$874,'30 days CF Table(RMB)'!G34,BS_RE33!$F$7:$F$874,'30 days CF Table(RMB)'!$C$2)</f>
        <v>0</v>
      </c>
      <c r="AE34" s="337">
        <f>SUMIFS(BS_RE33!$H$7:$H$874,BS_RE33!$S$7:$S$874,$AE$2,BS_RE33!$N$7:$N$874,I34,BS_RE33!$P$7:$P$874,'30 days CF Table(RMB)'!G34,BS_RE33!$F$7:$F$874,'30 days CF Table(RMB)'!$C$2)</f>
        <v>0</v>
      </c>
      <c r="AF34" s="337">
        <f>SUMIFS(BS_RE33!$H$7:$H$874,BS_RE33!$S$7:$S$874,$AF$2,BS_RE33!$N$7:$N$874,I34,BS_RE33!$P$7:$P$874,'30 days CF Table(RMB)'!G34,BS_RE33!$F$7:$F$874,'30 days CF Table(RMB)'!$C$2)</f>
        <v>0</v>
      </c>
      <c r="AG34" s="337">
        <f>SUMIFS(BS_RE33!$H$7:$H$874,BS_RE33!$S$7:$S$874,$AG$2,BS_RE33!$N$7:$N$874,I34,BS_RE33!$P$7:$P$874,'30 days CF Table(RMB)'!G34,BS_RE33!$F$7:$F$874,'30 days CF Table(RMB)'!$C$2)</f>
        <v>0</v>
      </c>
      <c r="AH34" s="337">
        <f>SUMIFS(BS_RE33!$H$7:$H$874,BS_RE33!$S$7:$S$874,$AH$2,BS_RE33!$N$7:$N$874,I34,BS_RE33!$P$7:$P$874,'30 days CF Table(RMB)'!G34,BS_RE33!$F$7:$F$874,'30 days CF Table(RMB)'!$C$2)</f>
        <v>0</v>
      </c>
      <c r="AI34" s="337">
        <f>SUMIFS(BS_RE33!$H$7:$H$874,BS_RE33!$S$7:$S$874,$AI$2,BS_RE33!$N$7:$N$874,I34,BS_RE33!$P$7:$P$874,'30 days CF Table(RMB)'!G34,BS_RE33!$F$7:$F$874,'30 days CF Table(RMB)'!$C$2)</f>
        <v>0</v>
      </c>
      <c r="AJ34" s="337">
        <f>SUMIFS(BS_RE33!$H$7:$H$874,BS_RE33!$S$7:$S$874,$AJ$2,BS_RE33!$N$7:$N$874,I34,BS_RE33!$P$7:$P$874,'30 days CF Table(RMB)'!G34,BS_RE33!$F$7:$F$874,'30 days CF Table(RMB)'!$C$2)</f>
        <v>0</v>
      </c>
      <c r="AK34" s="337">
        <f>SUMIFS(BS_RE33!$H$7:$H$874,BS_RE33!$S$7:$S$874,$AK$2,BS_RE33!$N$7:$N$874,I34,BS_RE33!$P$7:$P$874,'30 days CF Table(RMB)'!G34,BS_RE33!$F$7:$F$874,'30 days CF Table(RMB)'!$C$2)</f>
        <v>0</v>
      </c>
      <c r="AL34" s="337">
        <f>SUMIFS(BS_RE33!$H$7:$H$874,BS_RE33!$S$7:$S$874,$AL$2,BS_RE33!$N$7:$N$874,I34,BS_RE33!$P$7:$P$874,'30 days CF Table(RMB)'!G34,BS_RE33!$F$7:$F$874,'30 days CF Table(RMB)'!$C$2)</f>
        <v>0</v>
      </c>
      <c r="AM34" s="337">
        <f>SUMIFS(BS_RE33!$H$7:$H$874,BS_RE33!$S$7:$S$874,$AM$2,BS_RE33!$N$7:$N$874,I34,BS_RE33!$P$7:$P$874,'30 days CF Table(RMB)'!G34,BS_RE33!$F$7:$F$874,'30 days CF Table(RMB)'!$C$2)</f>
        <v>0</v>
      </c>
      <c r="AN34" s="337">
        <f>SUMIFS(BS_RE33!$H$7:$H$874,BS_RE33!$S$7:$S$874,$AN$2,BS_RE33!$N$7:$N$874,I34,BS_RE33!$P$7:$P$874,'30 days CF Table(RMB)'!G34,BS_RE33!$F$7:$F$874,'30 days CF Table(RMB)'!$C$2)</f>
        <v>0</v>
      </c>
      <c r="AO34" s="337">
        <f>SUMIFS(BS_RE33!$H$7:$H$874,BS_RE33!$S$7:$S$874,$AO$2,BS_RE33!$N$7:$N$874,I34,BS_RE33!$P$7:$P$874,'30 days CF Table(RMB)'!G34,BS_RE33!$F$7:$F$874,'30 days CF Table(RMB)'!$C$2)</f>
        <v>0</v>
      </c>
      <c r="AP34" s="338">
        <f>SUMIFS(BS_RE33!$H$7:$H$874,BS_RE33!$S$7:$S$874,$AP$2,BS_RE33!$N$7:$N$874,I34,BS_RE33!$P$7:$P$874,'30 days CF Table(RMB)'!G34,BS_RE33!$F$7:$F$874,'30 days CF Table(RMB)'!$C$2)</f>
        <v>0</v>
      </c>
      <c r="AR34" s="379">
        <f>SUMIFS(BS_RE33!$H$7:$H$874,BS_RE33!$S$7:$S$874,$AR$2,BS_RE33!$N$7:$N$874,I34,BS_RE33!$P$7:$P$874,'30 days CF Table(RMB)'!G34,BS_RE33!$F$7:$F$874,'30 days CF Table(RMB)'!$C$2)</f>
        <v>0</v>
      </c>
      <c r="AS34" s="379">
        <f>SUMIFS(BS_RE33!$H$7:$H$874,BS_RE33!$S$7:$S$874,$AS$2,BS_RE33!$N$7:$N$874,I34,BS_RE33!$P$7:$P$874,'30 days CF Table(RMB)'!G34,BS_RE33!$F$7:$F$874,'30 days CF Table(RMB)'!$C$2)</f>
        <v>0</v>
      </c>
      <c r="AT34" s="379">
        <f>SUMIFS(BS_RE33!$H$7:$H$874,BS_RE33!$S$7:$S$874,$AT$2,BS_RE33!$N$7:$N$874,I34,BS_RE33!$P$7:$P$874,'30 days CF Table(RMB)'!G34,BS_RE33!$F$7:$F$874,'30 days CF Table(RMB)'!$C$2)</f>
        <v>0</v>
      </c>
      <c r="AU34" s="379">
        <f>SUMIFS(BS_RE33!$H$7:$H$874,BS_RE33!$S$7:$S$874,$AU$2,BS_RE33!$N$7:$N$874,I34,BS_RE33!$P$7:$P$874,'30 days CF Table(RMB)'!G34,BS_RE33!$F$7:$F$874,'30 days CF Table(RMB)'!$C$2)</f>
        <v>0</v>
      </c>
      <c r="AV34" s="379">
        <f>SUMIFS(BS_RE33!$H$7:$H$874,BS_RE33!$S$7:$S$874,$AV$2,BS_RE33!$N$7:$N$874,I34,BS_RE33!$P$7:$P$874,'30 days CF Table(RMB)'!G34,BS_RE33!$F$7:$F$874,'30 days CF Table(RMB)'!$C$2)</f>
        <v>0</v>
      </c>
      <c r="AW34" s="379">
        <f>SUMIFS(BS_RE33!$H$7:$H$874,BS_RE33!$S$7:$S$874,$AW$2,BS_RE33!$N$7:$N$874,I34,BS_RE33!$P$7:$P$874,'30 days CF Table(RMB)'!G34,BS_RE33!$F$7:$F$874,'30 days CF Table(RMB)'!$C$2)</f>
        <v>0</v>
      </c>
      <c r="AX34" s="379">
        <f>SUMIFS(BS_RE33!$H$7:$H$874,BS_RE33!$S$7:$S$874,$AX$2,BS_RE33!$N$7:$N$874,I34,BS_RE33!$P$7:$P$874,'30 days CF Table(RMB)'!G34,BS_RE33!$F$7:$F$874,'30 days CF Table(RMB)'!$C$2)</f>
        <v>0</v>
      </c>
      <c r="AY34" s="379">
        <f>SUMIFS(BS_RE33!$H$7:$H$874,BS_RE33!$S$7:$S$874,$AY$2,BS_RE33!$N$7:$N$874,I34,BS_RE33!$P$7:$P$874,'30 days CF Table(RMB)'!G34,BS_RE33!$F$7:$F$874,'30 days CF Table(RMB)'!$C$2)</f>
        <v>0</v>
      </c>
      <c r="AZ34" s="379">
        <f>SUMIFS(BS_RE33!$H$7:$H$874,BS_RE33!$S$7:$S$874,$AZ$2,BS_RE33!$N$7:$N$874,I34,BS_RE33!$P$7:$P$874,'30 days CF Table(RMB)'!G34,BS_RE33!$F$7:$F$874,'30 days CF Table(RMB)'!$C$2)</f>
        <v>0</v>
      </c>
      <c r="BA34" s="379">
        <f>SUMIFS(BS_RE33!$H$7:$H$874,BS_RE33!$S$7:$S$874,$BA$2,BS_RE33!$N$7:$N$874,I34,BS_RE33!$P$7:$P$874,'30 days CF Table(RMB)'!G34,BS_RE33!$F$7:$F$874,'30 days CF Table(RMB)'!$C$2)</f>
        <v>0</v>
      </c>
      <c r="BB34" s="379">
        <f>SUMIFS(BS_RE33!$H$7:$H$874,BS_RE33!$S$7:$S$874,$BB$2,BS_RE33!$N$7:$N$874,I34,BS_RE33!$P$7:$P$874,'30 days CF Table(RMB)'!G34,BS_RE33!$F$7:$F$874,'30 days CF Table(RMB)'!$C$2)</f>
        <v>0</v>
      </c>
      <c r="BC34" s="379">
        <f>SUMIFS(BS_RE33!$H$7:$H$874,BS_RE33!$S$7:$S$874,$BC$2,BS_RE33!$N$7:$N$874,I34,BS_RE33!$P$7:$P$874,'30 days CF Table(RMB)'!G34,BS_RE33!$F$7:$F$874,'30 days CF Table(RMB)'!$C$2)</f>
        <v>0</v>
      </c>
      <c r="BD34" s="379">
        <f>SUMIFS(BS_RE33!$H$7:$H$874,BS_RE33!$S$7:$S$874,$BD$2,BS_RE33!$N$7:$N$874,I34,BS_RE33!$P$7:$P$874,'30 days CF Table(RMB)'!G34,BS_RE33!$F$7:$F$874,'30 days CF Table(RMB)'!$C$2)</f>
        <v>0</v>
      </c>
      <c r="BE34" s="379">
        <f>SUMIFS(BS_RE33!$H$7:$H$874,BS_RE33!$S$7:$S$874,$BE$2,BS_RE33!$N$7:$N$874,I34,BS_RE33!$P$7:$P$874,'30 days CF Table(RMB)'!G34,BS_RE33!$F$7:$F$874,'30 days CF Table(RMB)'!$C$2)</f>
        <v>0</v>
      </c>
      <c r="BF34" s="379">
        <f>SUMIFS(BS_RE33!$H$7:$H$874,BS_RE33!$S$7:$S$874,$BF$2,BS_RE33!$N$7:$N$874,I34,BS_RE33!$P$7:$P$874,'30 days CF Table(RMB)'!G34,BS_RE33!$F$7:$F$874,'30 days CF Table(RMB)'!$C$2)</f>
        <v>0</v>
      </c>
      <c r="BG34" s="379">
        <f>SUMIFS(BS_RE33!$H$7:$H$874,BS_RE33!$S$7:$S$874,$BG$2,BS_RE33!$N$7:$N$874,I34,BS_RE33!$P$7:$P$874,'30 days CF Table(RMB)'!G34,BS_RE33!$F$7:$F$874,'30 days CF Table(RMB)'!$C$2)</f>
        <v>0</v>
      </c>
      <c r="BH34" s="379">
        <f>SUMIFS(BS_RE33!$H$7:$H$874,BS_RE33!$S$7:$S$874,$BH$2,BS_RE33!$N$7:$N$874,I34,BS_RE33!$P$7:$P$874,'30 days CF Table(RMB)'!G34,BS_RE33!$F$7:$F$874,'30 days CF Table(RMB)'!$C$2)</f>
        <v>0</v>
      </c>
      <c r="BI34" s="379">
        <f>SUMIFS(BS_RE33!$H$7:$H$874,BS_RE33!$S$7:$S$874,$BI$2,BS_RE33!$N$7:$N$874,I34,BS_RE33!$P$7:$P$874,'30 days CF Table(RMB)'!G34,BS_RE33!$F$7:$F$874,'30 days CF Table(RMB)'!$C$2)</f>
        <v>0</v>
      </c>
      <c r="BJ34" s="379">
        <f>SUMIFS(BS_RE33!$H$7:$H$874,BS_RE33!$S$7:$S$874,$BJ$2,BS_RE33!$N$7:$N$874,I34,BS_RE33!$P$7:$P$874,'30 days CF Table(RMB)'!G34,BS_RE33!$F$7:$F$874,'30 days CF Table(RMB)'!$C$2)</f>
        <v>0</v>
      </c>
      <c r="BK34" s="379">
        <f>SUMIFS(BS_RE33!$H$7:$H$874,BS_RE33!$S$7:$S$874,$BK$2,BS_RE33!$N$7:$N$874,I34,BS_RE33!$P$7:$P$874,'30 days CF Table(RMB)'!G34,BS_RE33!$F$7:$F$874,'30 days CF Table(RMB)'!$C$2)</f>
        <v>0</v>
      </c>
    </row>
    <row r="35" spans="3:63">
      <c r="C35" s="1029"/>
      <c r="D35" s="1041" t="s">
        <v>760</v>
      </c>
      <c r="E35" s="40" t="s">
        <v>759</v>
      </c>
      <c r="F35" s="311"/>
      <c r="G35" s="392" t="s">
        <v>523</v>
      </c>
      <c r="H35" s="314">
        <v>1</v>
      </c>
      <c r="I35" s="315" t="s">
        <v>80</v>
      </c>
      <c r="J35" s="479">
        <f t="shared" si="2"/>
        <v>0</v>
      </c>
      <c r="K35" s="336">
        <f t="shared" si="3"/>
        <v>0</v>
      </c>
      <c r="L35" s="337">
        <f>SUMIFS(BS_RE33!$H$7:$H$874,BS_RE33!$S$7:$S$874,$L$2,BS_RE33!$N$7:$N$874,I35,BS_RE33!$P$7:$P$874,'30 days CF Table(RMB)'!G35,BS_RE33!$F$7:$F$874,'30 days CF Table(RMB)'!$C$2)</f>
        <v>0</v>
      </c>
      <c r="M35" s="337">
        <f>SUMIFS(BS_RE33!$H$7:$H$874,BS_RE33!$S$7:$S$874,$M$2,BS_RE33!$N$7:$N$874,I35,BS_RE33!$P$7:$P$874,'30 days CF Table(RMB)'!G35,BS_RE33!$F$7:$F$874,'30 days CF Table(RMB)'!$C$2)</f>
        <v>0</v>
      </c>
      <c r="N35" s="337">
        <f>SUMIFS(BS_RE33!$H$7:$H$874,BS_RE33!$S$7:$S$874,$N$2,BS_RE33!$N$7:$N$874,I35,BS_RE33!$P$7:$P$874,'30 days CF Table(RMB)'!G35,BS_RE33!$F$7:$F$874,'30 days CF Table(RMB)'!$C$2)</f>
        <v>0</v>
      </c>
      <c r="O35" s="337">
        <f>SUMIFS(BS_RE33!$H$7:$H$874,BS_RE33!$S$7:$S$874,$O$2,BS_RE33!$N$7:$N$874,I35,BS_RE33!$P$7:$P$874,'30 days CF Table(RMB)'!G35,BS_RE33!$F$7:$F$874,'30 days CF Table(RMB)'!$C$2)</f>
        <v>0</v>
      </c>
      <c r="P35" s="337">
        <f>SUMIFS(BS_RE33!$H$7:$H$874,BS_RE33!$S$7:$S$874,$P$2,BS_RE33!$N$7:$N$874,I35,BS_RE33!$P$7:$P$874,'30 days CF Table(RMB)'!G35,BS_RE33!$F$7:$F$874,'30 days CF Table(RMB)'!$C$2)</f>
        <v>0</v>
      </c>
      <c r="Q35" s="337">
        <f>SUMIFS(BS_RE33!$H$7:$H$874,BS_RE33!$S$7:$S$874,$Q$2,BS_RE33!$N$7:$N$874,I35,BS_RE33!$P$7:$P$874,'30 days CF Table(RMB)'!G35,BS_RE33!$F$7:$F$874,'30 days CF Table(RMB)'!$C$2)</f>
        <v>0</v>
      </c>
      <c r="R35" s="337">
        <f>SUMIFS(BS_RE33!$H$7:$H$874,BS_RE33!$S$7:$S$874,$R$2,BS_RE33!$N$7:$N$874,I35,BS_RE33!$P$7:$P$874,'30 days CF Table(RMB)'!G35,BS_RE33!$F$7:$F$874,'30 days CF Table(RMB)'!$C$2)</f>
        <v>0</v>
      </c>
      <c r="S35" s="337">
        <f>SUMIFS(BS_RE33!$H$7:$H$874,BS_RE33!$S$7:$S$874,$S$2,BS_RE33!$N$7:$N$874,I35,BS_RE33!$P$7:$P$874,'30 days CF Table(RMB)'!G35,BS_RE33!$F$7:$F$874,'30 days CF Table(RMB)'!$C$2)</f>
        <v>0</v>
      </c>
      <c r="T35" s="337">
        <f>SUMIFS(BS_RE33!$H$7:$H$874,BS_RE33!$S$7:$S$874,$T$2,BS_RE33!$N$7:$N$874,I35,BS_RE33!$P$7:$P$874,'30 days CF Table(RMB)'!G35,BS_RE33!$F$7:$F$874,'30 days CF Table(RMB)'!$C$2)</f>
        <v>0</v>
      </c>
      <c r="U35" s="337">
        <f>SUMIFS(BS_RE33!$H$7:$H$874,BS_RE33!$S$7:$S$874,$U$2,BS_RE33!$N$7:$N$874,I35,BS_RE33!$P$7:$P$874,'30 days CF Table(RMB)'!G35,BS_RE33!$F$7:$F$874,'30 days CF Table(RMB)'!$C$2)</f>
        <v>0</v>
      </c>
      <c r="V35" s="337">
        <f>SUMIFS(BS_RE33!$H$7:$H$874,BS_RE33!$S$7:$S$874,$V$2,BS_RE33!$N$7:$N$874,I35,BS_RE33!$P$7:$P$874,'30 days CF Table(RMB)'!G35,BS_RE33!$F$7:$F$874,'30 days CF Table(RMB)'!$C$2)</f>
        <v>0</v>
      </c>
      <c r="W35" s="337">
        <f>SUMIFS(BS_RE33!$H$7:$H$874,BS_RE33!$S$7:$S$874,$W$2,BS_RE33!$N$7:$N$874,I35,BS_RE33!$P$7:$P$874,'30 days CF Table(RMB)'!G35,BS_RE33!$F$7:$F$874,'30 days CF Table(RMB)'!$C$2)</f>
        <v>0</v>
      </c>
      <c r="X35" s="337">
        <f>SUMIFS(BS_RE33!$H$7:$H$874,BS_RE33!$S$7:$S$874,$X$2,BS_RE33!$N$7:$N$874,I35,BS_RE33!$P$7:$P$874,'30 days CF Table(RMB)'!G35,BS_RE33!$F$7:$F$874,'30 days CF Table(RMB)'!$C$2)</f>
        <v>0</v>
      </c>
      <c r="Y35" s="337">
        <f>SUMIFS(BS_RE33!$H$7:$H$874,BS_RE33!$S$7:$S$874,$Y$2,BS_RE33!$N$7:$N$874,I35,BS_RE33!$P$7:$P$874,'30 days CF Table(RMB)'!G35,BS_RE33!$F$7:$F$874,'30 days CF Table(RMB)'!$C$2)</f>
        <v>0</v>
      </c>
      <c r="Z35" s="337">
        <f>SUMIFS(BS_RE33!$H$7:$H$874,BS_RE33!$S$7:$S$874,$Z$2,BS_RE33!$N$7:$N$874,I35,BS_RE33!$P$7:$P$874,'30 days CF Table(RMB)'!G35,BS_RE33!$F$7:$F$874,'30 days CF Table(RMB)'!$C$2)</f>
        <v>0</v>
      </c>
      <c r="AA35" s="337">
        <f>SUMIFS(BS_RE33!$H$7:$H$874,BS_RE33!$S$7:$S$874,$AA$2,BS_RE33!$N$7:$N$874,I35,BS_RE33!$P$7:$P$874,'30 days CF Table(RMB)'!G35,BS_RE33!$F$7:$F$874,'30 days CF Table(RMB)'!$C$2)</f>
        <v>0</v>
      </c>
      <c r="AB35" s="337">
        <f>SUMIFS(BS_RE33!$H$7:$H$874,BS_RE33!$S$7:$S$874,$AB$2,BS_RE33!$N$7:$N$874,I35,BS_RE33!$P$7:$P$874,'30 days CF Table(RMB)'!G35,BS_RE33!$F$7:$F$874,'30 days CF Table(RMB)'!$C$2)</f>
        <v>0</v>
      </c>
      <c r="AC35" s="337">
        <f>SUMIFS(BS_RE33!$H$7:$H$874,BS_RE33!$S$7:$S$874,$AC$2,BS_RE33!$N$7:$N$874,I35,BS_RE33!$P$7:$P$874,'30 days CF Table(RMB)'!G35,BS_RE33!$F$7:$F$874,'30 days CF Table(RMB)'!$C$2)</f>
        <v>0</v>
      </c>
      <c r="AD35" s="337">
        <f>SUMIFS(BS_RE33!$H$7:$H$874,BS_RE33!$S$7:$S$874,$AD$2,BS_RE33!$N$7:$N$874,I35,BS_RE33!$P$7:$P$874,'30 days CF Table(RMB)'!G35,BS_RE33!$F$7:$F$874,'30 days CF Table(RMB)'!$C$2)</f>
        <v>0</v>
      </c>
      <c r="AE35" s="337">
        <f>SUMIFS(BS_RE33!$H$7:$H$874,BS_RE33!$S$7:$S$874,$AE$2,BS_RE33!$N$7:$N$874,I35,BS_RE33!$P$7:$P$874,'30 days CF Table(RMB)'!G35,BS_RE33!$F$7:$F$874,'30 days CF Table(RMB)'!$C$2)</f>
        <v>0</v>
      </c>
      <c r="AF35" s="337">
        <f>SUMIFS(BS_RE33!$H$7:$H$874,BS_RE33!$S$7:$S$874,$AF$2,BS_RE33!$N$7:$N$874,I35,BS_RE33!$P$7:$P$874,'30 days CF Table(RMB)'!G35,BS_RE33!$F$7:$F$874,'30 days CF Table(RMB)'!$C$2)</f>
        <v>0</v>
      </c>
      <c r="AG35" s="337">
        <f>SUMIFS(BS_RE33!$H$7:$H$874,BS_RE33!$S$7:$S$874,$AG$2,BS_RE33!$N$7:$N$874,I35,BS_RE33!$P$7:$P$874,'30 days CF Table(RMB)'!G35,BS_RE33!$F$7:$F$874,'30 days CF Table(RMB)'!$C$2)</f>
        <v>0</v>
      </c>
      <c r="AH35" s="337">
        <f>SUMIFS(BS_RE33!$H$7:$H$874,BS_RE33!$S$7:$S$874,$AH$2,BS_RE33!$N$7:$N$874,I35,BS_RE33!$P$7:$P$874,'30 days CF Table(RMB)'!G35,BS_RE33!$F$7:$F$874,'30 days CF Table(RMB)'!$C$2)</f>
        <v>0</v>
      </c>
      <c r="AI35" s="337">
        <f>SUMIFS(BS_RE33!$H$7:$H$874,BS_RE33!$S$7:$S$874,$AI$2,BS_RE33!$N$7:$N$874,I35,BS_RE33!$P$7:$P$874,'30 days CF Table(RMB)'!G35,BS_RE33!$F$7:$F$874,'30 days CF Table(RMB)'!$C$2)</f>
        <v>0</v>
      </c>
      <c r="AJ35" s="337">
        <f>SUMIFS(BS_RE33!$H$7:$H$874,BS_RE33!$S$7:$S$874,$AJ$2,BS_RE33!$N$7:$N$874,I35,BS_RE33!$P$7:$P$874,'30 days CF Table(RMB)'!G35,BS_RE33!$F$7:$F$874,'30 days CF Table(RMB)'!$C$2)</f>
        <v>0</v>
      </c>
      <c r="AK35" s="337">
        <f>SUMIFS(BS_RE33!$H$7:$H$874,BS_RE33!$S$7:$S$874,$AK$2,BS_RE33!$N$7:$N$874,I35,BS_RE33!$P$7:$P$874,'30 days CF Table(RMB)'!G35,BS_RE33!$F$7:$F$874,'30 days CF Table(RMB)'!$C$2)</f>
        <v>0</v>
      </c>
      <c r="AL35" s="337">
        <f>SUMIFS(BS_RE33!$H$7:$H$874,BS_RE33!$S$7:$S$874,$AL$2,BS_RE33!$N$7:$N$874,I35,BS_RE33!$P$7:$P$874,'30 days CF Table(RMB)'!G35,BS_RE33!$F$7:$F$874,'30 days CF Table(RMB)'!$C$2)</f>
        <v>0</v>
      </c>
      <c r="AM35" s="337">
        <f>SUMIFS(BS_RE33!$H$7:$H$874,BS_RE33!$S$7:$S$874,$AM$2,BS_RE33!$N$7:$N$874,I35,BS_RE33!$P$7:$P$874,'30 days CF Table(RMB)'!G35,BS_RE33!$F$7:$F$874,'30 days CF Table(RMB)'!$C$2)</f>
        <v>0</v>
      </c>
      <c r="AN35" s="337">
        <f>SUMIFS(BS_RE33!$H$7:$H$874,BS_RE33!$S$7:$S$874,$AN$2,BS_RE33!$N$7:$N$874,I35,BS_RE33!$P$7:$P$874,'30 days CF Table(RMB)'!G35,BS_RE33!$F$7:$F$874,'30 days CF Table(RMB)'!$C$2)</f>
        <v>0</v>
      </c>
      <c r="AO35" s="337">
        <f>SUMIFS(BS_RE33!$H$7:$H$874,BS_RE33!$S$7:$S$874,$AO$2,BS_RE33!$N$7:$N$874,I35,BS_RE33!$P$7:$P$874,'30 days CF Table(RMB)'!G35,BS_RE33!$F$7:$F$874,'30 days CF Table(RMB)'!$C$2)</f>
        <v>0</v>
      </c>
      <c r="AP35" s="338">
        <f>SUMIFS(BS_RE33!$H$7:$H$874,BS_RE33!$S$7:$S$874,$AP$2,BS_RE33!$N$7:$N$874,I35,BS_RE33!$P$7:$P$874,'30 days CF Table(RMB)'!G35,BS_RE33!$F$7:$F$874,'30 days CF Table(RMB)'!$C$2)</f>
        <v>0</v>
      </c>
      <c r="AR35" s="379">
        <f>SUMIFS(BS_RE33!$H$7:$H$874,BS_RE33!$S$7:$S$874,$AR$2,BS_RE33!$N$7:$N$874,I35,BS_RE33!$P$7:$P$874,'30 days CF Table(RMB)'!G35,BS_RE33!$F$7:$F$874,'30 days CF Table(RMB)'!$C$2)</f>
        <v>0</v>
      </c>
      <c r="AS35" s="379">
        <f>SUMIFS(BS_RE33!$H$7:$H$874,BS_RE33!$S$7:$S$874,$AS$2,BS_RE33!$N$7:$N$874,I35,BS_RE33!$P$7:$P$874,'30 days CF Table(RMB)'!G35,BS_RE33!$F$7:$F$874,'30 days CF Table(RMB)'!$C$2)</f>
        <v>0</v>
      </c>
      <c r="AT35" s="379">
        <f>SUMIFS(BS_RE33!$H$7:$H$874,BS_RE33!$S$7:$S$874,$AT$2,BS_RE33!$N$7:$N$874,I35,BS_RE33!$P$7:$P$874,'30 days CF Table(RMB)'!G35,BS_RE33!$F$7:$F$874,'30 days CF Table(RMB)'!$C$2)</f>
        <v>0</v>
      </c>
      <c r="AU35" s="379">
        <f>SUMIFS(BS_RE33!$H$7:$H$874,BS_RE33!$S$7:$S$874,$AU$2,BS_RE33!$N$7:$N$874,I35,BS_RE33!$P$7:$P$874,'30 days CF Table(RMB)'!G35,BS_RE33!$F$7:$F$874,'30 days CF Table(RMB)'!$C$2)</f>
        <v>0</v>
      </c>
      <c r="AV35" s="379">
        <f>SUMIFS(BS_RE33!$H$7:$H$874,BS_RE33!$S$7:$S$874,$AV$2,BS_RE33!$N$7:$N$874,I35,BS_RE33!$P$7:$P$874,'30 days CF Table(RMB)'!G35,BS_RE33!$F$7:$F$874,'30 days CF Table(RMB)'!$C$2)</f>
        <v>0</v>
      </c>
      <c r="AW35" s="379">
        <f>SUMIFS(BS_RE33!$H$7:$H$874,BS_RE33!$S$7:$S$874,$AW$2,BS_RE33!$N$7:$N$874,I35,BS_RE33!$P$7:$P$874,'30 days CF Table(RMB)'!G35,BS_RE33!$F$7:$F$874,'30 days CF Table(RMB)'!$C$2)</f>
        <v>0</v>
      </c>
      <c r="AX35" s="379">
        <f>SUMIFS(BS_RE33!$H$7:$H$874,BS_RE33!$S$7:$S$874,$AX$2,BS_RE33!$N$7:$N$874,I35,BS_RE33!$P$7:$P$874,'30 days CF Table(RMB)'!G35,BS_RE33!$F$7:$F$874,'30 days CF Table(RMB)'!$C$2)</f>
        <v>0</v>
      </c>
      <c r="AY35" s="379">
        <f>SUMIFS(BS_RE33!$H$7:$H$874,BS_RE33!$S$7:$S$874,$AY$2,BS_RE33!$N$7:$N$874,I35,BS_RE33!$P$7:$P$874,'30 days CF Table(RMB)'!G35,BS_RE33!$F$7:$F$874,'30 days CF Table(RMB)'!$C$2)</f>
        <v>0</v>
      </c>
      <c r="AZ35" s="379">
        <f>SUMIFS(BS_RE33!$H$7:$H$874,BS_RE33!$S$7:$S$874,$AZ$2,BS_RE33!$N$7:$N$874,I35,BS_RE33!$P$7:$P$874,'30 days CF Table(RMB)'!G35,BS_RE33!$F$7:$F$874,'30 days CF Table(RMB)'!$C$2)</f>
        <v>0</v>
      </c>
      <c r="BA35" s="379">
        <f>SUMIFS(BS_RE33!$H$7:$H$874,BS_RE33!$S$7:$S$874,$BA$2,BS_RE33!$N$7:$N$874,I35,BS_RE33!$P$7:$P$874,'30 days CF Table(RMB)'!G35,BS_RE33!$F$7:$F$874,'30 days CF Table(RMB)'!$C$2)</f>
        <v>0</v>
      </c>
      <c r="BB35" s="379">
        <f>SUMIFS(BS_RE33!$H$7:$H$874,BS_RE33!$S$7:$S$874,$BB$2,BS_RE33!$N$7:$N$874,I35,BS_RE33!$P$7:$P$874,'30 days CF Table(RMB)'!G35,BS_RE33!$F$7:$F$874,'30 days CF Table(RMB)'!$C$2)</f>
        <v>0</v>
      </c>
      <c r="BC35" s="379">
        <f>SUMIFS(BS_RE33!$H$7:$H$874,BS_RE33!$S$7:$S$874,$BC$2,BS_RE33!$N$7:$N$874,I35,BS_RE33!$P$7:$P$874,'30 days CF Table(RMB)'!G35,BS_RE33!$F$7:$F$874,'30 days CF Table(RMB)'!$C$2)</f>
        <v>0</v>
      </c>
      <c r="BD35" s="379">
        <f>SUMIFS(BS_RE33!$H$7:$H$874,BS_RE33!$S$7:$S$874,$BD$2,BS_RE33!$N$7:$N$874,I35,BS_RE33!$P$7:$P$874,'30 days CF Table(RMB)'!G35,BS_RE33!$F$7:$F$874,'30 days CF Table(RMB)'!$C$2)</f>
        <v>0</v>
      </c>
      <c r="BE35" s="379">
        <f>SUMIFS(BS_RE33!$H$7:$H$874,BS_RE33!$S$7:$S$874,$BE$2,BS_RE33!$N$7:$N$874,I35,BS_RE33!$P$7:$P$874,'30 days CF Table(RMB)'!G35,BS_RE33!$F$7:$F$874,'30 days CF Table(RMB)'!$C$2)</f>
        <v>0</v>
      </c>
      <c r="BF35" s="379">
        <f>SUMIFS(BS_RE33!$H$7:$H$874,BS_RE33!$S$7:$S$874,$BF$2,BS_RE33!$N$7:$N$874,I35,BS_RE33!$P$7:$P$874,'30 days CF Table(RMB)'!G35,BS_RE33!$F$7:$F$874,'30 days CF Table(RMB)'!$C$2)</f>
        <v>0</v>
      </c>
      <c r="BG35" s="379">
        <f>SUMIFS(BS_RE33!$H$7:$H$874,BS_RE33!$S$7:$S$874,$BG$2,BS_RE33!$N$7:$N$874,I35,BS_RE33!$P$7:$P$874,'30 days CF Table(RMB)'!G35,BS_RE33!$F$7:$F$874,'30 days CF Table(RMB)'!$C$2)</f>
        <v>0</v>
      </c>
      <c r="BH35" s="379">
        <f>SUMIFS(BS_RE33!$H$7:$H$874,BS_RE33!$S$7:$S$874,$BH$2,BS_RE33!$N$7:$N$874,I35,BS_RE33!$P$7:$P$874,'30 days CF Table(RMB)'!G35,BS_RE33!$F$7:$F$874,'30 days CF Table(RMB)'!$C$2)</f>
        <v>0</v>
      </c>
      <c r="BI35" s="379">
        <f>SUMIFS(BS_RE33!$H$7:$H$874,BS_RE33!$S$7:$S$874,$BI$2,BS_RE33!$N$7:$N$874,I35,BS_RE33!$P$7:$P$874,'30 days CF Table(RMB)'!G35,BS_RE33!$F$7:$F$874,'30 days CF Table(RMB)'!$C$2)</f>
        <v>0</v>
      </c>
      <c r="BJ35" s="379">
        <f>SUMIFS(BS_RE33!$H$7:$H$874,BS_RE33!$S$7:$S$874,$BJ$2,BS_RE33!$N$7:$N$874,I35,BS_RE33!$P$7:$P$874,'30 days CF Table(RMB)'!G35,BS_RE33!$F$7:$F$874,'30 days CF Table(RMB)'!$C$2)</f>
        <v>0</v>
      </c>
      <c r="BK35" s="379">
        <f>SUMIFS(BS_RE33!$H$7:$H$874,BS_RE33!$S$7:$S$874,$BK$2,BS_RE33!$N$7:$N$874,I35,BS_RE33!$P$7:$P$874,'30 days CF Table(RMB)'!G35,BS_RE33!$F$7:$F$874,'30 days CF Table(RMB)'!$C$2)</f>
        <v>0</v>
      </c>
    </row>
    <row r="36" spans="3:63">
      <c r="C36" s="1029"/>
      <c r="D36" s="1042"/>
      <c r="E36" s="40" t="s">
        <v>562</v>
      </c>
      <c r="F36" s="311"/>
      <c r="G36" s="392" t="s">
        <v>563</v>
      </c>
      <c r="H36" s="314">
        <v>1</v>
      </c>
      <c r="I36" s="315" t="s">
        <v>80</v>
      </c>
      <c r="J36" s="479">
        <f t="shared" si="2"/>
        <v>0</v>
      </c>
      <c r="K36" s="336">
        <f t="shared" si="3"/>
        <v>0</v>
      </c>
      <c r="L36" s="337">
        <f>SUMIFS(BS_RE33!$H$7:$H$874,BS_RE33!$S$7:$S$874,$L$2,BS_RE33!$N$7:$N$874,I36,BS_RE33!$P$7:$P$874,'30 days CF Table(RMB)'!G36,BS_RE33!$F$7:$F$874,'30 days CF Table(RMB)'!$C$2)</f>
        <v>0</v>
      </c>
      <c r="M36" s="337">
        <f>SUMIFS(BS_RE33!$H$7:$H$874,BS_RE33!$S$7:$S$874,$M$2,BS_RE33!$N$7:$N$874,I36,BS_RE33!$P$7:$P$874,'30 days CF Table(RMB)'!G36,BS_RE33!$F$7:$F$874,'30 days CF Table(RMB)'!$C$2)</f>
        <v>0</v>
      </c>
      <c r="N36" s="337">
        <f>SUMIFS(BS_RE33!$H$7:$H$874,BS_RE33!$S$7:$S$874,$N$2,BS_RE33!$N$7:$N$874,I36,BS_RE33!$P$7:$P$874,'30 days CF Table(RMB)'!G36,BS_RE33!$F$7:$F$874,'30 days CF Table(RMB)'!$C$2)</f>
        <v>0</v>
      </c>
      <c r="O36" s="337">
        <f>SUMIFS(BS_RE33!$H$7:$H$874,BS_RE33!$S$7:$S$874,$O$2,BS_RE33!$N$7:$N$874,I36,BS_RE33!$P$7:$P$874,'30 days CF Table(RMB)'!G36,BS_RE33!$F$7:$F$874,'30 days CF Table(RMB)'!$C$2)</f>
        <v>0</v>
      </c>
      <c r="P36" s="337">
        <f>SUMIFS(BS_RE33!$H$7:$H$874,BS_RE33!$S$7:$S$874,$P$2,BS_RE33!$N$7:$N$874,I36,BS_RE33!$P$7:$P$874,'30 days CF Table(RMB)'!G36,BS_RE33!$F$7:$F$874,'30 days CF Table(RMB)'!$C$2)</f>
        <v>0</v>
      </c>
      <c r="Q36" s="337">
        <f>SUMIFS(BS_RE33!$H$7:$H$874,BS_RE33!$S$7:$S$874,$Q$2,BS_RE33!$N$7:$N$874,I36,BS_RE33!$P$7:$P$874,'30 days CF Table(RMB)'!G36,BS_RE33!$F$7:$F$874,'30 days CF Table(RMB)'!$C$2)</f>
        <v>0</v>
      </c>
      <c r="R36" s="337">
        <f>SUMIFS(BS_RE33!$H$7:$H$874,BS_RE33!$S$7:$S$874,$R$2,BS_RE33!$N$7:$N$874,I36,BS_RE33!$P$7:$P$874,'30 days CF Table(RMB)'!G36,BS_RE33!$F$7:$F$874,'30 days CF Table(RMB)'!$C$2)</f>
        <v>0</v>
      </c>
      <c r="S36" s="337">
        <f>SUMIFS(BS_RE33!$H$7:$H$874,BS_RE33!$S$7:$S$874,$S$2,BS_RE33!$N$7:$N$874,I36,BS_RE33!$P$7:$P$874,'30 days CF Table(RMB)'!G36,BS_RE33!$F$7:$F$874,'30 days CF Table(RMB)'!$C$2)</f>
        <v>0</v>
      </c>
      <c r="T36" s="337">
        <f>SUMIFS(BS_RE33!$H$7:$H$874,BS_RE33!$S$7:$S$874,$T$2,BS_RE33!$N$7:$N$874,I36,BS_RE33!$P$7:$P$874,'30 days CF Table(RMB)'!G36,BS_RE33!$F$7:$F$874,'30 days CF Table(RMB)'!$C$2)</f>
        <v>0</v>
      </c>
      <c r="U36" s="337">
        <f>SUMIFS(BS_RE33!$H$7:$H$874,BS_RE33!$S$7:$S$874,$U$2,BS_RE33!$N$7:$N$874,I36,BS_RE33!$P$7:$P$874,'30 days CF Table(RMB)'!G36,BS_RE33!$F$7:$F$874,'30 days CF Table(RMB)'!$C$2)</f>
        <v>0</v>
      </c>
      <c r="V36" s="337">
        <f>SUMIFS(BS_RE33!$H$7:$H$874,BS_RE33!$S$7:$S$874,$V$2,BS_RE33!$N$7:$N$874,I36,BS_RE33!$P$7:$P$874,'30 days CF Table(RMB)'!G36,BS_RE33!$F$7:$F$874,'30 days CF Table(RMB)'!$C$2)</f>
        <v>0</v>
      </c>
      <c r="W36" s="337">
        <f>SUMIFS(BS_RE33!$H$7:$H$874,BS_RE33!$S$7:$S$874,$W$2,BS_RE33!$N$7:$N$874,I36,BS_RE33!$P$7:$P$874,'30 days CF Table(RMB)'!G36,BS_RE33!$F$7:$F$874,'30 days CF Table(RMB)'!$C$2)</f>
        <v>0</v>
      </c>
      <c r="X36" s="337">
        <f>SUMIFS(BS_RE33!$H$7:$H$874,BS_RE33!$S$7:$S$874,$X$2,BS_RE33!$N$7:$N$874,I36,BS_RE33!$P$7:$P$874,'30 days CF Table(RMB)'!G36,BS_RE33!$F$7:$F$874,'30 days CF Table(RMB)'!$C$2)</f>
        <v>0</v>
      </c>
      <c r="Y36" s="337">
        <f>SUMIFS(BS_RE33!$H$7:$H$874,BS_RE33!$S$7:$S$874,$Y$2,BS_RE33!$N$7:$N$874,I36,BS_RE33!$P$7:$P$874,'30 days CF Table(RMB)'!G36,BS_RE33!$F$7:$F$874,'30 days CF Table(RMB)'!$C$2)</f>
        <v>0</v>
      </c>
      <c r="Z36" s="337">
        <f>SUMIFS(BS_RE33!$H$7:$H$874,BS_RE33!$S$7:$S$874,$Z$2,BS_RE33!$N$7:$N$874,I36,BS_RE33!$P$7:$P$874,'30 days CF Table(RMB)'!G36,BS_RE33!$F$7:$F$874,'30 days CF Table(RMB)'!$C$2)</f>
        <v>0</v>
      </c>
      <c r="AA36" s="337">
        <f>SUMIFS(BS_RE33!$H$7:$H$874,BS_RE33!$S$7:$S$874,$AA$2,BS_RE33!$N$7:$N$874,I36,BS_RE33!$P$7:$P$874,'30 days CF Table(RMB)'!G36,BS_RE33!$F$7:$F$874,'30 days CF Table(RMB)'!$C$2)</f>
        <v>0</v>
      </c>
      <c r="AB36" s="337">
        <f>SUMIFS(BS_RE33!$H$7:$H$874,BS_RE33!$S$7:$S$874,$AB$2,BS_RE33!$N$7:$N$874,I36,BS_RE33!$P$7:$P$874,'30 days CF Table(RMB)'!G36,BS_RE33!$F$7:$F$874,'30 days CF Table(RMB)'!$C$2)</f>
        <v>0</v>
      </c>
      <c r="AC36" s="337">
        <f>SUMIFS(BS_RE33!$H$7:$H$874,BS_RE33!$S$7:$S$874,$AC$2,BS_RE33!$N$7:$N$874,I36,BS_RE33!$P$7:$P$874,'30 days CF Table(RMB)'!G36,BS_RE33!$F$7:$F$874,'30 days CF Table(RMB)'!$C$2)</f>
        <v>0</v>
      </c>
      <c r="AD36" s="337">
        <f>SUMIFS(BS_RE33!$H$7:$H$874,BS_RE33!$S$7:$S$874,$AD$2,BS_RE33!$N$7:$N$874,I36,BS_RE33!$P$7:$P$874,'30 days CF Table(RMB)'!G36,BS_RE33!$F$7:$F$874,'30 days CF Table(RMB)'!$C$2)</f>
        <v>0</v>
      </c>
      <c r="AE36" s="337">
        <f>SUMIFS(BS_RE33!$H$7:$H$874,BS_RE33!$S$7:$S$874,$AE$2,BS_RE33!$N$7:$N$874,I36,BS_RE33!$P$7:$P$874,'30 days CF Table(RMB)'!G36,BS_RE33!$F$7:$F$874,'30 days CF Table(RMB)'!$C$2)</f>
        <v>0</v>
      </c>
      <c r="AF36" s="337">
        <f>SUMIFS(BS_RE33!$H$7:$H$874,BS_RE33!$S$7:$S$874,$AF$2,BS_RE33!$N$7:$N$874,I36,BS_RE33!$P$7:$P$874,'30 days CF Table(RMB)'!G36,BS_RE33!$F$7:$F$874,'30 days CF Table(RMB)'!$C$2)</f>
        <v>0</v>
      </c>
      <c r="AG36" s="337">
        <f>SUMIFS(BS_RE33!$H$7:$H$874,BS_RE33!$S$7:$S$874,$AG$2,BS_RE33!$N$7:$N$874,I36,BS_RE33!$P$7:$P$874,'30 days CF Table(RMB)'!G36,BS_RE33!$F$7:$F$874,'30 days CF Table(RMB)'!$C$2)</f>
        <v>0</v>
      </c>
      <c r="AH36" s="337">
        <f>SUMIFS(BS_RE33!$H$7:$H$874,BS_RE33!$S$7:$S$874,$AH$2,BS_RE33!$N$7:$N$874,I36,BS_RE33!$P$7:$P$874,'30 days CF Table(RMB)'!G36,BS_RE33!$F$7:$F$874,'30 days CF Table(RMB)'!$C$2)</f>
        <v>0</v>
      </c>
      <c r="AI36" s="337">
        <f>SUMIFS(BS_RE33!$H$7:$H$874,BS_RE33!$S$7:$S$874,$AI$2,BS_RE33!$N$7:$N$874,I36,BS_RE33!$P$7:$P$874,'30 days CF Table(RMB)'!G36,BS_RE33!$F$7:$F$874,'30 days CF Table(RMB)'!$C$2)</f>
        <v>0</v>
      </c>
      <c r="AJ36" s="337">
        <f>SUMIFS(BS_RE33!$H$7:$H$874,BS_RE33!$S$7:$S$874,$AJ$2,BS_RE33!$N$7:$N$874,I36,BS_RE33!$P$7:$P$874,'30 days CF Table(RMB)'!G36,BS_RE33!$F$7:$F$874,'30 days CF Table(RMB)'!$C$2)</f>
        <v>0</v>
      </c>
      <c r="AK36" s="337">
        <f>SUMIFS(BS_RE33!$H$7:$H$874,BS_RE33!$S$7:$S$874,$AK$2,BS_RE33!$N$7:$N$874,I36,BS_RE33!$P$7:$P$874,'30 days CF Table(RMB)'!G36,BS_RE33!$F$7:$F$874,'30 days CF Table(RMB)'!$C$2)</f>
        <v>0</v>
      </c>
      <c r="AL36" s="337">
        <f>SUMIFS(BS_RE33!$H$7:$H$874,BS_RE33!$S$7:$S$874,$AL$2,BS_RE33!$N$7:$N$874,I36,BS_RE33!$P$7:$P$874,'30 days CF Table(RMB)'!G36,BS_RE33!$F$7:$F$874,'30 days CF Table(RMB)'!$C$2)</f>
        <v>0</v>
      </c>
      <c r="AM36" s="337">
        <f>SUMIFS(BS_RE33!$H$7:$H$874,BS_RE33!$S$7:$S$874,$AM$2,BS_RE33!$N$7:$N$874,I36,BS_RE33!$P$7:$P$874,'30 days CF Table(RMB)'!G36,BS_RE33!$F$7:$F$874,'30 days CF Table(RMB)'!$C$2)</f>
        <v>0</v>
      </c>
      <c r="AN36" s="337">
        <f>SUMIFS(BS_RE33!$H$7:$H$874,BS_RE33!$S$7:$S$874,$AN$2,BS_RE33!$N$7:$N$874,I36,BS_RE33!$P$7:$P$874,'30 days CF Table(RMB)'!G36,BS_RE33!$F$7:$F$874,'30 days CF Table(RMB)'!$C$2)</f>
        <v>0</v>
      </c>
      <c r="AO36" s="337">
        <f>SUMIFS(BS_RE33!$H$7:$H$874,BS_RE33!$S$7:$S$874,$AO$2,BS_RE33!$N$7:$N$874,I36,BS_RE33!$P$7:$P$874,'30 days CF Table(RMB)'!G36,BS_RE33!$F$7:$F$874,'30 days CF Table(RMB)'!$C$2)</f>
        <v>0</v>
      </c>
      <c r="AP36" s="338">
        <f>SUMIFS(BS_RE33!$H$7:$H$874,BS_RE33!$S$7:$S$874,$AP$2,BS_RE33!$N$7:$N$874,I36,BS_RE33!$P$7:$P$874,'30 days CF Table(RMB)'!G36,BS_RE33!$F$7:$F$874,'30 days CF Table(RMB)'!$C$2)</f>
        <v>0</v>
      </c>
      <c r="AR36" s="379">
        <f>SUMIFS(BS_RE33!$H$7:$H$874,BS_RE33!$S$7:$S$874,$AR$2,BS_RE33!$N$7:$N$874,I36,BS_RE33!$P$7:$P$874,'30 days CF Table(RMB)'!G36,BS_RE33!$F$7:$F$874,'30 days CF Table(RMB)'!$C$2)</f>
        <v>0</v>
      </c>
      <c r="AS36" s="379">
        <f>SUMIFS(BS_RE33!$H$7:$H$874,BS_RE33!$S$7:$S$874,$AS$2,BS_RE33!$N$7:$N$874,I36,BS_RE33!$P$7:$P$874,'30 days CF Table(RMB)'!G36,BS_RE33!$F$7:$F$874,'30 days CF Table(RMB)'!$C$2)</f>
        <v>0</v>
      </c>
      <c r="AT36" s="379">
        <f>SUMIFS(BS_RE33!$H$7:$H$874,BS_RE33!$S$7:$S$874,$AT$2,BS_RE33!$N$7:$N$874,I36,BS_RE33!$P$7:$P$874,'30 days CF Table(RMB)'!G36,BS_RE33!$F$7:$F$874,'30 days CF Table(RMB)'!$C$2)</f>
        <v>0</v>
      </c>
      <c r="AU36" s="379">
        <f>SUMIFS(BS_RE33!$H$7:$H$874,BS_RE33!$S$7:$S$874,$AU$2,BS_RE33!$N$7:$N$874,I36,BS_RE33!$P$7:$P$874,'30 days CF Table(RMB)'!G36,BS_RE33!$F$7:$F$874,'30 days CF Table(RMB)'!$C$2)</f>
        <v>0</v>
      </c>
      <c r="AV36" s="379">
        <f>SUMIFS(BS_RE33!$H$7:$H$874,BS_RE33!$S$7:$S$874,$AV$2,BS_RE33!$N$7:$N$874,I36,BS_RE33!$P$7:$P$874,'30 days CF Table(RMB)'!G36,BS_RE33!$F$7:$F$874,'30 days CF Table(RMB)'!$C$2)</f>
        <v>0</v>
      </c>
      <c r="AW36" s="379">
        <f>SUMIFS(BS_RE33!$H$7:$H$874,BS_RE33!$S$7:$S$874,$AW$2,BS_RE33!$N$7:$N$874,I36,BS_RE33!$P$7:$P$874,'30 days CF Table(RMB)'!G36,BS_RE33!$F$7:$F$874,'30 days CF Table(RMB)'!$C$2)</f>
        <v>0</v>
      </c>
      <c r="AX36" s="379">
        <f>SUMIFS(BS_RE33!$H$7:$H$874,BS_RE33!$S$7:$S$874,$AX$2,BS_RE33!$N$7:$N$874,I36,BS_RE33!$P$7:$P$874,'30 days CF Table(RMB)'!G36,BS_RE33!$F$7:$F$874,'30 days CF Table(RMB)'!$C$2)</f>
        <v>0</v>
      </c>
      <c r="AY36" s="379">
        <f>SUMIFS(BS_RE33!$H$7:$H$874,BS_RE33!$S$7:$S$874,$AY$2,BS_RE33!$N$7:$N$874,I36,BS_RE33!$P$7:$P$874,'30 days CF Table(RMB)'!G36,BS_RE33!$F$7:$F$874,'30 days CF Table(RMB)'!$C$2)</f>
        <v>0</v>
      </c>
      <c r="AZ36" s="379">
        <f>SUMIFS(BS_RE33!$H$7:$H$874,BS_RE33!$S$7:$S$874,$AZ$2,BS_RE33!$N$7:$N$874,I36,BS_RE33!$P$7:$P$874,'30 days CF Table(RMB)'!G36,BS_RE33!$F$7:$F$874,'30 days CF Table(RMB)'!$C$2)</f>
        <v>0</v>
      </c>
      <c r="BA36" s="379">
        <f>SUMIFS(BS_RE33!$H$7:$H$874,BS_RE33!$S$7:$S$874,$BA$2,BS_RE33!$N$7:$N$874,I36,BS_RE33!$P$7:$P$874,'30 days CF Table(RMB)'!G36,BS_RE33!$F$7:$F$874,'30 days CF Table(RMB)'!$C$2)</f>
        <v>0</v>
      </c>
      <c r="BB36" s="379">
        <f>SUMIFS(BS_RE33!$H$7:$H$874,BS_RE33!$S$7:$S$874,$BB$2,BS_RE33!$N$7:$N$874,I36,BS_RE33!$P$7:$P$874,'30 days CF Table(RMB)'!G36,BS_RE33!$F$7:$F$874,'30 days CF Table(RMB)'!$C$2)</f>
        <v>0</v>
      </c>
      <c r="BC36" s="379">
        <f>SUMIFS(BS_RE33!$H$7:$H$874,BS_RE33!$S$7:$S$874,$BC$2,BS_RE33!$N$7:$N$874,I36,BS_RE33!$P$7:$P$874,'30 days CF Table(RMB)'!G36,BS_RE33!$F$7:$F$874,'30 days CF Table(RMB)'!$C$2)</f>
        <v>0</v>
      </c>
      <c r="BD36" s="379">
        <f>SUMIFS(BS_RE33!$H$7:$H$874,BS_RE33!$S$7:$S$874,$BD$2,BS_RE33!$N$7:$N$874,I36,BS_RE33!$P$7:$P$874,'30 days CF Table(RMB)'!G36,BS_RE33!$F$7:$F$874,'30 days CF Table(RMB)'!$C$2)</f>
        <v>0</v>
      </c>
      <c r="BE36" s="379">
        <f>SUMIFS(BS_RE33!$H$7:$H$874,BS_RE33!$S$7:$S$874,$BE$2,BS_RE33!$N$7:$N$874,I36,BS_RE33!$P$7:$P$874,'30 days CF Table(RMB)'!G36,BS_RE33!$F$7:$F$874,'30 days CF Table(RMB)'!$C$2)</f>
        <v>0</v>
      </c>
      <c r="BF36" s="379">
        <f>SUMIFS(BS_RE33!$H$7:$H$874,BS_RE33!$S$7:$S$874,$BF$2,BS_RE33!$N$7:$N$874,I36,BS_RE33!$P$7:$P$874,'30 days CF Table(RMB)'!G36,BS_RE33!$F$7:$F$874,'30 days CF Table(RMB)'!$C$2)</f>
        <v>0</v>
      </c>
      <c r="BG36" s="379">
        <f>SUMIFS(BS_RE33!$H$7:$H$874,BS_RE33!$S$7:$S$874,$BG$2,BS_RE33!$N$7:$N$874,I36,BS_RE33!$P$7:$P$874,'30 days CF Table(RMB)'!G36,BS_RE33!$F$7:$F$874,'30 days CF Table(RMB)'!$C$2)</f>
        <v>0</v>
      </c>
      <c r="BH36" s="379">
        <f>SUMIFS(BS_RE33!$H$7:$H$874,BS_RE33!$S$7:$S$874,$BH$2,BS_RE33!$N$7:$N$874,I36,BS_RE33!$P$7:$P$874,'30 days CF Table(RMB)'!G36,BS_RE33!$F$7:$F$874,'30 days CF Table(RMB)'!$C$2)</f>
        <v>0</v>
      </c>
      <c r="BI36" s="379">
        <f>SUMIFS(BS_RE33!$H$7:$H$874,BS_RE33!$S$7:$S$874,$BI$2,BS_RE33!$N$7:$N$874,I36,BS_RE33!$P$7:$P$874,'30 days CF Table(RMB)'!G36,BS_RE33!$F$7:$F$874,'30 days CF Table(RMB)'!$C$2)</f>
        <v>0</v>
      </c>
      <c r="BJ36" s="379">
        <f>SUMIFS(BS_RE33!$H$7:$H$874,BS_RE33!$S$7:$S$874,$BJ$2,BS_RE33!$N$7:$N$874,I36,BS_RE33!$P$7:$P$874,'30 days CF Table(RMB)'!G36,BS_RE33!$F$7:$F$874,'30 days CF Table(RMB)'!$C$2)</f>
        <v>0</v>
      </c>
      <c r="BK36" s="379">
        <f>SUMIFS(BS_RE33!$H$7:$H$874,BS_RE33!$S$7:$S$874,$BK$2,BS_RE33!$N$7:$N$874,I36,BS_RE33!$P$7:$P$874,'30 days CF Table(RMB)'!G36,BS_RE33!$F$7:$F$874,'30 days CF Table(RMB)'!$C$2)</f>
        <v>0</v>
      </c>
    </row>
    <row r="37" spans="3:63">
      <c r="C37" s="1029"/>
      <c r="D37" s="1038" t="s">
        <v>762</v>
      </c>
      <c r="E37" s="105" t="s">
        <v>85</v>
      </c>
      <c r="F37" s="309"/>
      <c r="G37" s="392" t="s">
        <v>524</v>
      </c>
      <c r="H37" s="314">
        <v>1</v>
      </c>
      <c r="I37" s="315" t="s">
        <v>80</v>
      </c>
      <c r="J37" s="479">
        <f t="shared" si="2"/>
        <v>0</v>
      </c>
      <c r="K37" s="336">
        <f t="shared" si="3"/>
        <v>0</v>
      </c>
      <c r="L37" s="337">
        <f>SUMIFS(BS_RE33!$H$7:$H$874,BS_RE33!$S$7:$S$874,$L$2,BS_RE33!$N$7:$N$874,I37,BS_RE33!$P$7:$P$874,'30 days CF Table(RMB)'!G37,BS_RE33!$F$7:$F$874,'30 days CF Table(RMB)'!$C$2)</f>
        <v>0</v>
      </c>
      <c r="M37" s="337">
        <f>SUMIFS(BS_RE33!$H$7:$H$874,BS_RE33!$S$7:$S$874,$M$2,BS_RE33!$N$7:$N$874,I37,BS_RE33!$P$7:$P$874,'30 days CF Table(RMB)'!G37,BS_RE33!$F$7:$F$874,'30 days CF Table(RMB)'!$C$2)</f>
        <v>0</v>
      </c>
      <c r="N37" s="337">
        <f>SUMIFS(BS_RE33!$H$7:$H$874,BS_RE33!$S$7:$S$874,$N$2,BS_RE33!$N$7:$N$874,I37,BS_RE33!$P$7:$P$874,'30 days CF Table(RMB)'!G37,BS_RE33!$F$7:$F$874,'30 days CF Table(RMB)'!$C$2)</f>
        <v>0</v>
      </c>
      <c r="O37" s="337">
        <f>SUMIFS(BS_RE33!$H$7:$H$874,BS_RE33!$S$7:$S$874,$O$2,BS_RE33!$N$7:$N$874,I37,BS_RE33!$P$7:$P$874,'30 days CF Table(RMB)'!G37,BS_RE33!$F$7:$F$874,'30 days CF Table(RMB)'!$C$2)</f>
        <v>0</v>
      </c>
      <c r="P37" s="337">
        <f>SUMIFS(BS_RE33!$H$7:$H$874,BS_RE33!$S$7:$S$874,$P$2,BS_RE33!$N$7:$N$874,I37,BS_RE33!$P$7:$P$874,'30 days CF Table(RMB)'!G37,BS_RE33!$F$7:$F$874,'30 days CF Table(RMB)'!$C$2)</f>
        <v>0</v>
      </c>
      <c r="Q37" s="337">
        <f>SUMIFS(BS_RE33!$H$7:$H$874,BS_RE33!$S$7:$S$874,$Q$2,BS_RE33!$N$7:$N$874,I37,BS_RE33!$P$7:$P$874,'30 days CF Table(RMB)'!G37,BS_RE33!$F$7:$F$874,'30 days CF Table(RMB)'!$C$2)</f>
        <v>0</v>
      </c>
      <c r="R37" s="337">
        <f>SUMIFS(BS_RE33!$H$7:$H$874,BS_RE33!$S$7:$S$874,$R$2,BS_RE33!$N$7:$N$874,I37,BS_RE33!$P$7:$P$874,'30 days CF Table(RMB)'!G37,BS_RE33!$F$7:$F$874,'30 days CF Table(RMB)'!$C$2)</f>
        <v>0</v>
      </c>
      <c r="S37" s="337">
        <f>SUMIFS(BS_RE33!$H$7:$H$874,BS_RE33!$S$7:$S$874,$S$2,BS_RE33!$N$7:$N$874,I37,BS_RE33!$P$7:$P$874,'30 days CF Table(RMB)'!G37,BS_RE33!$F$7:$F$874,'30 days CF Table(RMB)'!$C$2)</f>
        <v>0</v>
      </c>
      <c r="T37" s="337">
        <f>SUMIFS(BS_RE33!$H$7:$H$874,BS_RE33!$S$7:$S$874,$T$2,BS_RE33!$N$7:$N$874,I37,BS_RE33!$P$7:$P$874,'30 days CF Table(RMB)'!G37,BS_RE33!$F$7:$F$874,'30 days CF Table(RMB)'!$C$2)</f>
        <v>0</v>
      </c>
      <c r="U37" s="337">
        <f>SUMIFS(BS_RE33!$H$7:$H$874,BS_RE33!$S$7:$S$874,$U$2,BS_RE33!$N$7:$N$874,I37,BS_RE33!$P$7:$P$874,'30 days CF Table(RMB)'!G37,BS_RE33!$F$7:$F$874,'30 days CF Table(RMB)'!$C$2)</f>
        <v>0</v>
      </c>
      <c r="V37" s="337">
        <f>SUMIFS(BS_RE33!$H$7:$H$874,BS_RE33!$S$7:$S$874,$V$2,BS_RE33!$N$7:$N$874,I37,BS_RE33!$P$7:$P$874,'30 days CF Table(RMB)'!G37,BS_RE33!$F$7:$F$874,'30 days CF Table(RMB)'!$C$2)</f>
        <v>0</v>
      </c>
      <c r="W37" s="337">
        <f>SUMIFS(BS_RE33!$H$7:$H$874,BS_RE33!$S$7:$S$874,$W$2,BS_RE33!$N$7:$N$874,I37,BS_RE33!$P$7:$P$874,'30 days CF Table(RMB)'!G37,BS_RE33!$F$7:$F$874,'30 days CF Table(RMB)'!$C$2)</f>
        <v>0</v>
      </c>
      <c r="X37" s="337">
        <f>SUMIFS(BS_RE33!$H$7:$H$874,BS_RE33!$S$7:$S$874,$X$2,BS_RE33!$N$7:$N$874,I37,BS_RE33!$P$7:$P$874,'30 days CF Table(RMB)'!G37,BS_RE33!$F$7:$F$874,'30 days CF Table(RMB)'!$C$2)</f>
        <v>0</v>
      </c>
      <c r="Y37" s="337">
        <f>SUMIFS(BS_RE33!$H$7:$H$874,BS_RE33!$S$7:$S$874,$Y$2,BS_RE33!$N$7:$N$874,I37,BS_RE33!$P$7:$P$874,'30 days CF Table(RMB)'!G37,BS_RE33!$F$7:$F$874,'30 days CF Table(RMB)'!$C$2)</f>
        <v>0</v>
      </c>
      <c r="Z37" s="337">
        <f>SUMIFS(BS_RE33!$H$7:$H$874,BS_RE33!$S$7:$S$874,$Z$2,BS_RE33!$N$7:$N$874,I37,BS_RE33!$P$7:$P$874,'30 days CF Table(RMB)'!G37,BS_RE33!$F$7:$F$874,'30 days CF Table(RMB)'!$C$2)</f>
        <v>0</v>
      </c>
      <c r="AA37" s="337">
        <f>SUMIFS(BS_RE33!$H$7:$H$874,BS_RE33!$S$7:$S$874,$AA$2,BS_RE33!$N$7:$N$874,I37,BS_RE33!$P$7:$P$874,'30 days CF Table(RMB)'!G37,BS_RE33!$F$7:$F$874,'30 days CF Table(RMB)'!$C$2)</f>
        <v>0</v>
      </c>
      <c r="AB37" s="337">
        <f>SUMIFS(BS_RE33!$H$7:$H$874,BS_RE33!$S$7:$S$874,$AB$2,BS_RE33!$N$7:$N$874,I37,BS_RE33!$P$7:$P$874,'30 days CF Table(RMB)'!G37,BS_RE33!$F$7:$F$874,'30 days CF Table(RMB)'!$C$2)</f>
        <v>0</v>
      </c>
      <c r="AC37" s="337">
        <f>SUMIFS(BS_RE33!$H$7:$H$874,BS_RE33!$S$7:$S$874,$AC$2,BS_RE33!$N$7:$N$874,I37,BS_RE33!$P$7:$P$874,'30 days CF Table(RMB)'!G37,BS_RE33!$F$7:$F$874,'30 days CF Table(RMB)'!$C$2)</f>
        <v>0</v>
      </c>
      <c r="AD37" s="337">
        <f>SUMIFS(BS_RE33!$H$7:$H$874,BS_RE33!$S$7:$S$874,$AD$2,BS_RE33!$N$7:$N$874,I37,BS_RE33!$P$7:$P$874,'30 days CF Table(RMB)'!G37,BS_RE33!$F$7:$F$874,'30 days CF Table(RMB)'!$C$2)</f>
        <v>0</v>
      </c>
      <c r="AE37" s="337">
        <f>SUMIFS(BS_RE33!$H$7:$H$874,BS_RE33!$S$7:$S$874,$AE$2,BS_RE33!$N$7:$N$874,I37,BS_RE33!$P$7:$P$874,'30 days CF Table(RMB)'!G37,BS_RE33!$F$7:$F$874,'30 days CF Table(RMB)'!$C$2)</f>
        <v>0</v>
      </c>
      <c r="AF37" s="337">
        <f>SUMIFS(BS_RE33!$H$7:$H$874,BS_RE33!$S$7:$S$874,$AF$2,BS_RE33!$N$7:$N$874,I37,BS_RE33!$P$7:$P$874,'30 days CF Table(RMB)'!G37,BS_RE33!$F$7:$F$874,'30 days CF Table(RMB)'!$C$2)</f>
        <v>0</v>
      </c>
      <c r="AG37" s="337">
        <f>SUMIFS(BS_RE33!$H$7:$H$874,BS_RE33!$S$7:$S$874,$AG$2,BS_RE33!$N$7:$N$874,I37,BS_RE33!$P$7:$P$874,'30 days CF Table(RMB)'!G37,BS_RE33!$F$7:$F$874,'30 days CF Table(RMB)'!$C$2)</f>
        <v>0</v>
      </c>
      <c r="AH37" s="337">
        <f>SUMIFS(BS_RE33!$H$7:$H$874,BS_RE33!$S$7:$S$874,$AH$2,BS_RE33!$N$7:$N$874,I37,BS_RE33!$P$7:$P$874,'30 days CF Table(RMB)'!G37,BS_RE33!$F$7:$F$874,'30 days CF Table(RMB)'!$C$2)</f>
        <v>0</v>
      </c>
      <c r="AI37" s="337">
        <f>SUMIFS(BS_RE33!$H$7:$H$874,BS_RE33!$S$7:$S$874,$AI$2,BS_RE33!$N$7:$N$874,I37,BS_RE33!$P$7:$P$874,'30 days CF Table(RMB)'!G37,BS_RE33!$F$7:$F$874,'30 days CF Table(RMB)'!$C$2)</f>
        <v>0</v>
      </c>
      <c r="AJ37" s="337">
        <f>SUMIFS(BS_RE33!$H$7:$H$874,BS_RE33!$S$7:$S$874,$AJ$2,BS_RE33!$N$7:$N$874,I37,BS_RE33!$P$7:$P$874,'30 days CF Table(RMB)'!G37,BS_RE33!$F$7:$F$874,'30 days CF Table(RMB)'!$C$2)</f>
        <v>0</v>
      </c>
      <c r="AK37" s="337">
        <f>SUMIFS(BS_RE33!$H$7:$H$874,BS_RE33!$S$7:$S$874,$AK$2,BS_RE33!$N$7:$N$874,I37,BS_RE33!$P$7:$P$874,'30 days CF Table(RMB)'!G37,BS_RE33!$F$7:$F$874,'30 days CF Table(RMB)'!$C$2)</f>
        <v>0</v>
      </c>
      <c r="AL37" s="337">
        <f>SUMIFS(BS_RE33!$H$7:$H$874,BS_RE33!$S$7:$S$874,$AL$2,BS_RE33!$N$7:$N$874,I37,BS_RE33!$P$7:$P$874,'30 days CF Table(RMB)'!G37,BS_RE33!$F$7:$F$874,'30 days CF Table(RMB)'!$C$2)</f>
        <v>0</v>
      </c>
      <c r="AM37" s="337">
        <f>SUMIFS(BS_RE33!$H$7:$H$874,BS_RE33!$S$7:$S$874,$AM$2,BS_RE33!$N$7:$N$874,I37,BS_RE33!$P$7:$P$874,'30 days CF Table(RMB)'!G37,BS_RE33!$F$7:$F$874,'30 days CF Table(RMB)'!$C$2)</f>
        <v>0</v>
      </c>
      <c r="AN37" s="337">
        <f>SUMIFS(BS_RE33!$H$7:$H$874,BS_RE33!$S$7:$S$874,$AN$2,BS_RE33!$N$7:$N$874,I37,BS_RE33!$P$7:$P$874,'30 days CF Table(RMB)'!G37,BS_RE33!$F$7:$F$874,'30 days CF Table(RMB)'!$C$2)</f>
        <v>0</v>
      </c>
      <c r="AO37" s="337">
        <f>SUMIFS(BS_RE33!$H$7:$H$874,BS_RE33!$S$7:$S$874,$AO$2,BS_RE33!$N$7:$N$874,I37,BS_RE33!$P$7:$P$874,'30 days CF Table(RMB)'!G37,BS_RE33!$F$7:$F$874,'30 days CF Table(RMB)'!$C$2)</f>
        <v>0</v>
      </c>
      <c r="AP37" s="338">
        <f>SUMIFS(BS_RE33!$H$7:$H$874,BS_RE33!$S$7:$S$874,$AP$2,BS_RE33!$N$7:$N$874,I37,BS_RE33!$P$7:$P$874,'30 days CF Table(RMB)'!G37,BS_RE33!$F$7:$F$874,'30 days CF Table(RMB)'!$C$2)</f>
        <v>0</v>
      </c>
      <c r="AR37" s="379">
        <f>SUMIFS(BS_RE33!$H$7:$H$874,BS_RE33!$S$7:$S$874,$AR$2,BS_RE33!$N$7:$N$874,I37,BS_RE33!$P$7:$P$874,'30 days CF Table(RMB)'!G37,BS_RE33!$F$7:$F$874,'30 days CF Table(RMB)'!$C$2)</f>
        <v>0</v>
      </c>
      <c r="AS37" s="379">
        <f>SUMIFS(BS_RE33!$H$7:$H$874,BS_RE33!$S$7:$S$874,$AS$2,BS_RE33!$N$7:$N$874,I37,BS_RE33!$P$7:$P$874,'30 days CF Table(RMB)'!G37,BS_RE33!$F$7:$F$874,'30 days CF Table(RMB)'!$C$2)</f>
        <v>0</v>
      </c>
      <c r="AT37" s="379">
        <f>SUMIFS(BS_RE33!$H$7:$H$874,BS_RE33!$S$7:$S$874,$AT$2,BS_RE33!$N$7:$N$874,I37,BS_RE33!$P$7:$P$874,'30 days CF Table(RMB)'!G37,BS_RE33!$F$7:$F$874,'30 days CF Table(RMB)'!$C$2)</f>
        <v>0</v>
      </c>
      <c r="AU37" s="379">
        <f>SUMIFS(BS_RE33!$H$7:$H$874,BS_RE33!$S$7:$S$874,$AU$2,BS_RE33!$N$7:$N$874,I37,BS_RE33!$P$7:$P$874,'30 days CF Table(RMB)'!G37,BS_RE33!$F$7:$F$874,'30 days CF Table(RMB)'!$C$2)</f>
        <v>0</v>
      </c>
      <c r="AV37" s="379">
        <f>SUMIFS(BS_RE33!$H$7:$H$874,BS_RE33!$S$7:$S$874,$AV$2,BS_RE33!$N$7:$N$874,I37,BS_RE33!$P$7:$P$874,'30 days CF Table(RMB)'!G37,BS_RE33!$F$7:$F$874,'30 days CF Table(RMB)'!$C$2)</f>
        <v>0</v>
      </c>
      <c r="AW37" s="379">
        <f>SUMIFS(BS_RE33!$H$7:$H$874,BS_RE33!$S$7:$S$874,$AW$2,BS_RE33!$N$7:$N$874,I37,BS_RE33!$P$7:$P$874,'30 days CF Table(RMB)'!G37,BS_RE33!$F$7:$F$874,'30 days CF Table(RMB)'!$C$2)</f>
        <v>0</v>
      </c>
      <c r="AX37" s="379">
        <f>SUMIFS(BS_RE33!$H$7:$H$874,BS_RE33!$S$7:$S$874,$AX$2,BS_RE33!$N$7:$N$874,I37,BS_RE33!$P$7:$P$874,'30 days CF Table(RMB)'!G37,BS_RE33!$F$7:$F$874,'30 days CF Table(RMB)'!$C$2)</f>
        <v>0</v>
      </c>
      <c r="AY37" s="379">
        <f>SUMIFS(BS_RE33!$H$7:$H$874,BS_RE33!$S$7:$S$874,$AY$2,BS_RE33!$N$7:$N$874,I37,BS_RE33!$P$7:$P$874,'30 days CF Table(RMB)'!G37,BS_RE33!$F$7:$F$874,'30 days CF Table(RMB)'!$C$2)</f>
        <v>0</v>
      </c>
      <c r="AZ37" s="379">
        <f>SUMIFS(BS_RE33!$H$7:$H$874,BS_RE33!$S$7:$S$874,$AZ$2,BS_RE33!$N$7:$N$874,I37,BS_RE33!$P$7:$P$874,'30 days CF Table(RMB)'!G37,BS_RE33!$F$7:$F$874,'30 days CF Table(RMB)'!$C$2)</f>
        <v>0</v>
      </c>
      <c r="BA37" s="379">
        <f>SUMIFS(BS_RE33!$H$7:$H$874,BS_RE33!$S$7:$S$874,$BA$2,BS_RE33!$N$7:$N$874,I37,BS_RE33!$P$7:$P$874,'30 days CF Table(RMB)'!G37,BS_RE33!$F$7:$F$874,'30 days CF Table(RMB)'!$C$2)</f>
        <v>0</v>
      </c>
      <c r="BB37" s="379">
        <f>SUMIFS(BS_RE33!$H$7:$H$874,BS_RE33!$S$7:$S$874,$BB$2,BS_RE33!$N$7:$N$874,I37,BS_RE33!$P$7:$P$874,'30 days CF Table(RMB)'!G37,BS_RE33!$F$7:$F$874,'30 days CF Table(RMB)'!$C$2)</f>
        <v>0</v>
      </c>
      <c r="BC37" s="379">
        <f>SUMIFS(BS_RE33!$H$7:$H$874,BS_RE33!$S$7:$S$874,$BC$2,BS_RE33!$N$7:$N$874,I37,BS_RE33!$P$7:$P$874,'30 days CF Table(RMB)'!G37,BS_RE33!$F$7:$F$874,'30 days CF Table(RMB)'!$C$2)</f>
        <v>0</v>
      </c>
      <c r="BD37" s="379">
        <f>SUMIFS(BS_RE33!$H$7:$H$874,BS_RE33!$S$7:$S$874,$BD$2,BS_RE33!$N$7:$N$874,I37,BS_RE33!$P$7:$P$874,'30 days CF Table(RMB)'!G37,BS_RE33!$F$7:$F$874,'30 days CF Table(RMB)'!$C$2)</f>
        <v>0</v>
      </c>
      <c r="BE37" s="379">
        <f>SUMIFS(BS_RE33!$H$7:$H$874,BS_RE33!$S$7:$S$874,$BE$2,BS_RE33!$N$7:$N$874,I37,BS_RE33!$P$7:$P$874,'30 days CF Table(RMB)'!G37,BS_RE33!$F$7:$F$874,'30 days CF Table(RMB)'!$C$2)</f>
        <v>0</v>
      </c>
      <c r="BF37" s="379">
        <f>SUMIFS(BS_RE33!$H$7:$H$874,BS_RE33!$S$7:$S$874,$BF$2,BS_RE33!$N$7:$N$874,I37,BS_RE33!$P$7:$P$874,'30 days CF Table(RMB)'!G37,BS_RE33!$F$7:$F$874,'30 days CF Table(RMB)'!$C$2)</f>
        <v>0</v>
      </c>
      <c r="BG37" s="379">
        <f>SUMIFS(BS_RE33!$H$7:$H$874,BS_RE33!$S$7:$S$874,$BG$2,BS_RE33!$N$7:$N$874,I37,BS_RE33!$P$7:$P$874,'30 days CF Table(RMB)'!G37,BS_RE33!$F$7:$F$874,'30 days CF Table(RMB)'!$C$2)</f>
        <v>0</v>
      </c>
      <c r="BH37" s="379">
        <f>SUMIFS(BS_RE33!$H$7:$H$874,BS_RE33!$S$7:$S$874,$BH$2,BS_RE33!$N$7:$N$874,I37,BS_RE33!$P$7:$P$874,'30 days CF Table(RMB)'!G37,BS_RE33!$F$7:$F$874,'30 days CF Table(RMB)'!$C$2)</f>
        <v>0</v>
      </c>
      <c r="BI37" s="379">
        <f>SUMIFS(BS_RE33!$H$7:$H$874,BS_RE33!$S$7:$S$874,$BI$2,BS_RE33!$N$7:$N$874,I37,BS_RE33!$P$7:$P$874,'30 days CF Table(RMB)'!G37,BS_RE33!$F$7:$F$874,'30 days CF Table(RMB)'!$C$2)</f>
        <v>0</v>
      </c>
      <c r="BJ37" s="379">
        <f>SUMIFS(BS_RE33!$H$7:$H$874,BS_RE33!$S$7:$S$874,$BJ$2,BS_RE33!$N$7:$N$874,I37,BS_RE33!$P$7:$P$874,'30 days CF Table(RMB)'!G37,BS_RE33!$F$7:$F$874,'30 days CF Table(RMB)'!$C$2)</f>
        <v>0</v>
      </c>
      <c r="BK37" s="379">
        <f>SUMIFS(BS_RE33!$H$7:$H$874,BS_RE33!$S$7:$S$874,$BK$2,BS_RE33!$N$7:$N$874,I37,BS_RE33!$P$7:$P$874,'30 days CF Table(RMB)'!G37,BS_RE33!$F$7:$F$874,'30 days CF Table(RMB)'!$C$2)</f>
        <v>0</v>
      </c>
    </row>
    <row r="38" spans="3:63">
      <c r="C38" s="1029"/>
      <c r="D38" s="1040"/>
      <c r="E38" s="105" t="s">
        <v>556</v>
      </c>
      <c r="F38" s="309"/>
      <c r="G38" s="392" t="s">
        <v>557</v>
      </c>
      <c r="H38" s="314">
        <v>1</v>
      </c>
      <c r="I38" s="315" t="s">
        <v>80</v>
      </c>
      <c r="J38" s="479">
        <f t="shared" si="2"/>
        <v>0</v>
      </c>
      <c r="K38" s="336">
        <f t="shared" si="3"/>
        <v>0</v>
      </c>
      <c r="L38" s="337">
        <f>SUMIFS(BS_RE33!$H$7:$H$874,BS_RE33!$S$7:$S$874,$L$2,BS_RE33!$N$7:$N$874,I38,BS_RE33!$P$7:$P$874,'30 days CF Table(RMB)'!G38,BS_RE33!$F$7:$F$874,'30 days CF Table(RMB)'!$C$2)</f>
        <v>0</v>
      </c>
      <c r="M38" s="337">
        <f>SUMIFS(BS_RE33!$H$7:$H$874,BS_RE33!$S$7:$S$874,$M$2,BS_RE33!$N$7:$N$874,I38,BS_RE33!$P$7:$P$874,'30 days CF Table(RMB)'!G38,BS_RE33!$F$7:$F$874,'30 days CF Table(RMB)'!$C$2)</f>
        <v>0</v>
      </c>
      <c r="N38" s="337">
        <f>SUMIFS(BS_RE33!$H$7:$H$874,BS_RE33!$S$7:$S$874,$N$2,BS_RE33!$N$7:$N$874,I38,BS_RE33!$P$7:$P$874,'30 days CF Table(RMB)'!G38,BS_RE33!$F$7:$F$874,'30 days CF Table(RMB)'!$C$2)</f>
        <v>0</v>
      </c>
      <c r="O38" s="337">
        <f>SUMIFS(BS_RE33!$H$7:$H$874,BS_RE33!$S$7:$S$874,$O$2,BS_RE33!$N$7:$N$874,I38,BS_RE33!$P$7:$P$874,'30 days CF Table(RMB)'!G38,BS_RE33!$F$7:$F$874,'30 days CF Table(RMB)'!$C$2)</f>
        <v>0</v>
      </c>
      <c r="P38" s="337">
        <f>SUMIFS(BS_RE33!$H$7:$H$874,BS_RE33!$S$7:$S$874,$P$2,BS_RE33!$N$7:$N$874,I38,BS_RE33!$P$7:$P$874,'30 days CF Table(RMB)'!G38,BS_RE33!$F$7:$F$874,'30 days CF Table(RMB)'!$C$2)</f>
        <v>0</v>
      </c>
      <c r="Q38" s="337">
        <f>SUMIFS(BS_RE33!$H$7:$H$874,BS_RE33!$S$7:$S$874,$Q$2,BS_RE33!$N$7:$N$874,I38,BS_RE33!$P$7:$P$874,'30 days CF Table(RMB)'!G38,BS_RE33!$F$7:$F$874,'30 days CF Table(RMB)'!$C$2)</f>
        <v>0</v>
      </c>
      <c r="R38" s="337">
        <f>SUMIFS(BS_RE33!$H$7:$H$874,BS_RE33!$S$7:$S$874,$R$2,BS_RE33!$N$7:$N$874,I38,BS_RE33!$P$7:$P$874,'30 days CF Table(RMB)'!G38,BS_RE33!$F$7:$F$874,'30 days CF Table(RMB)'!$C$2)</f>
        <v>0</v>
      </c>
      <c r="S38" s="337">
        <f>SUMIFS(BS_RE33!$H$7:$H$874,BS_RE33!$S$7:$S$874,$S$2,BS_RE33!$N$7:$N$874,I38,BS_RE33!$P$7:$P$874,'30 days CF Table(RMB)'!G38,BS_RE33!$F$7:$F$874,'30 days CF Table(RMB)'!$C$2)</f>
        <v>0</v>
      </c>
      <c r="T38" s="337">
        <f>SUMIFS(BS_RE33!$H$7:$H$874,BS_RE33!$S$7:$S$874,$T$2,BS_RE33!$N$7:$N$874,I38,BS_RE33!$P$7:$P$874,'30 days CF Table(RMB)'!G38,BS_RE33!$F$7:$F$874,'30 days CF Table(RMB)'!$C$2)</f>
        <v>0</v>
      </c>
      <c r="U38" s="337">
        <f>SUMIFS(BS_RE33!$H$7:$H$874,BS_RE33!$S$7:$S$874,$U$2,BS_RE33!$N$7:$N$874,I38,BS_RE33!$P$7:$P$874,'30 days CF Table(RMB)'!G38,BS_RE33!$F$7:$F$874,'30 days CF Table(RMB)'!$C$2)</f>
        <v>0</v>
      </c>
      <c r="V38" s="337">
        <f>SUMIFS(BS_RE33!$H$7:$H$874,BS_RE33!$S$7:$S$874,$V$2,BS_RE33!$N$7:$N$874,I38,BS_RE33!$P$7:$P$874,'30 days CF Table(RMB)'!G38,BS_RE33!$F$7:$F$874,'30 days CF Table(RMB)'!$C$2)</f>
        <v>0</v>
      </c>
      <c r="W38" s="337">
        <f>SUMIFS(BS_RE33!$H$7:$H$874,BS_RE33!$S$7:$S$874,$W$2,BS_RE33!$N$7:$N$874,I38,BS_RE33!$P$7:$P$874,'30 days CF Table(RMB)'!G38,BS_RE33!$F$7:$F$874,'30 days CF Table(RMB)'!$C$2)</f>
        <v>0</v>
      </c>
      <c r="X38" s="337">
        <f>SUMIFS(BS_RE33!$H$7:$H$874,BS_RE33!$S$7:$S$874,$X$2,BS_RE33!$N$7:$N$874,I38,BS_RE33!$P$7:$P$874,'30 days CF Table(RMB)'!G38,BS_RE33!$F$7:$F$874,'30 days CF Table(RMB)'!$C$2)</f>
        <v>0</v>
      </c>
      <c r="Y38" s="337">
        <f>SUMIFS(BS_RE33!$H$7:$H$874,BS_RE33!$S$7:$S$874,$Y$2,BS_RE33!$N$7:$N$874,I38,BS_RE33!$P$7:$P$874,'30 days CF Table(RMB)'!G38,BS_RE33!$F$7:$F$874,'30 days CF Table(RMB)'!$C$2)</f>
        <v>0</v>
      </c>
      <c r="Z38" s="337">
        <f>SUMIFS(BS_RE33!$H$7:$H$874,BS_RE33!$S$7:$S$874,$Z$2,BS_RE33!$N$7:$N$874,I38,BS_RE33!$P$7:$P$874,'30 days CF Table(RMB)'!G38,BS_RE33!$F$7:$F$874,'30 days CF Table(RMB)'!$C$2)</f>
        <v>0</v>
      </c>
      <c r="AA38" s="337">
        <f>SUMIFS(BS_RE33!$H$7:$H$874,BS_RE33!$S$7:$S$874,$AA$2,BS_RE33!$N$7:$N$874,I38,BS_RE33!$P$7:$P$874,'30 days CF Table(RMB)'!G38,BS_RE33!$F$7:$F$874,'30 days CF Table(RMB)'!$C$2)</f>
        <v>0</v>
      </c>
      <c r="AB38" s="337">
        <f>SUMIFS(BS_RE33!$H$7:$H$874,BS_RE33!$S$7:$S$874,$AB$2,BS_RE33!$N$7:$N$874,I38,BS_RE33!$P$7:$P$874,'30 days CF Table(RMB)'!G38,BS_RE33!$F$7:$F$874,'30 days CF Table(RMB)'!$C$2)</f>
        <v>0</v>
      </c>
      <c r="AC38" s="337">
        <f>SUMIFS(BS_RE33!$H$7:$H$874,BS_RE33!$S$7:$S$874,$AC$2,BS_RE33!$N$7:$N$874,I38,BS_RE33!$P$7:$P$874,'30 days CF Table(RMB)'!G38,BS_RE33!$F$7:$F$874,'30 days CF Table(RMB)'!$C$2)</f>
        <v>0</v>
      </c>
      <c r="AD38" s="337">
        <f>SUMIFS(BS_RE33!$H$7:$H$874,BS_RE33!$S$7:$S$874,$AD$2,BS_RE33!$N$7:$N$874,I38,BS_RE33!$P$7:$P$874,'30 days CF Table(RMB)'!G38,BS_RE33!$F$7:$F$874,'30 days CF Table(RMB)'!$C$2)</f>
        <v>0</v>
      </c>
      <c r="AE38" s="337">
        <f>SUMIFS(BS_RE33!$H$7:$H$874,BS_RE33!$S$7:$S$874,$AE$2,BS_RE33!$N$7:$N$874,I38,BS_RE33!$P$7:$P$874,'30 days CF Table(RMB)'!G38,BS_RE33!$F$7:$F$874,'30 days CF Table(RMB)'!$C$2)</f>
        <v>0</v>
      </c>
      <c r="AF38" s="337">
        <f>SUMIFS(BS_RE33!$H$7:$H$874,BS_RE33!$S$7:$S$874,$AF$2,BS_RE33!$N$7:$N$874,I38,BS_RE33!$P$7:$P$874,'30 days CF Table(RMB)'!G38,BS_RE33!$F$7:$F$874,'30 days CF Table(RMB)'!$C$2)</f>
        <v>0</v>
      </c>
      <c r="AG38" s="337">
        <f>SUMIFS(BS_RE33!$H$7:$H$874,BS_RE33!$S$7:$S$874,$AG$2,BS_RE33!$N$7:$N$874,I38,BS_RE33!$P$7:$P$874,'30 days CF Table(RMB)'!G38,BS_RE33!$F$7:$F$874,'30 days CF Table(RMB)'!$C$2)</f>
        <v>0</v>
      </c>
      <c r="AH38" s="337">
        <f>SUMIFS(BS_RE33!$H$7:$H$874,BS_RE33!$S$7:$S$874,$AH$2,BS_RE33!$N$7:$N$874,I38,BS_RE33!$P$7:$P$874,'30 days CF Table(RMB)'!G38,BS_RE33!$F$7:$F$874,'30 days CF Table(RMB)'!$C$2)</f>
        <v>0</v>
      </c>
      <c r="AI38" s="337">
        <f>SUMIFS(BS_RE33!$H$7:$H$874,BS_RE33!$S$7:$S$874,$AI$2,BS_RE33!$N$7:$N$874,I38,BS_RE33!$P$7:$P$874,'30 days CF Table(RMB)'!G38,BS_RE33!$F$7:$F$874,'30 days CF Table(RMB)'!$C$2)</f>
        <v>0</v>
      </c>
      <c r="AJ38" s="337">
        <f>SUMIFS(BS_RE33!$H$7:$H$874,BS_RE33!$S$7:$S$874,$AJ$2,BS_RE33!$N$7:$N$874,I38,BS_RE33!$P$7:$P$874,'30 days CF Table(RMB)'!G38,BS_RE33!$F$7:$F$874,'30 days CF Table(RMB)'!$C$2)</f>
        <v>0</v>
      </c>
      <c r="AK38" s="337">
        <f>SUMIFS(BS_RE33!$H$7:$H$874,BS_RE33!$S$7:$S$874,$AK$2,BS_RE33!$N$7:$N$874,I38,BS_RE33!$P$7:$P$874,'30 days CF Table(RMB)'!G38,BS_RE33!$F$7:$F$874,'30 days CF Table(RMB)'!$C$2)</f>
        <v>0</v>
      </c>
      <c r="AL38" s="337">
        <f>SUMIFS(BS_RE33!$H$7:$H$874,BS_RE33!$S$7:$S$874,$AL$2,BS_RE33!$N$7:$N$874,I38,BS_RE33!$P$7:$P$874,'30 days CF Table(RMB)'!G38,BS_RE33!$F$7:$F$874,'30 days CF Table(RMB)'!$C$2)</f>
        <v>0</v>
      </c>
      <c r="AM38" s="337">
        <f>SUMIFS(BS_RE33!$H$7:$H$874,BS_RE33!$S$7:$S$874,$AM$2,BS_RE33!$N$7:$N$874,I38,BS_RE33!$P$7:$P$874,'30 days CF Table(RMB)'!G38,BS_RE33!$F$7:$F$874,'30 days CF Table(RMB)'!$C$2)</f>
        <v>0</v>
      </c>
      <c r="AN38" s="337">
        <f>SUMIFS(BS_RE33!$H$7:$H$874,BS_RE33!$S$7:$S$874,$AN$2,BS_RE33!$N$7:$N$874,I38,BS_RE33!$P$7:$P$874,'30 days CF Table(RMB)'!G38,BS_RE33!$F$7:$F$874,'30 days CF Table(RMB)'!$C$2)</f>
        <v>0</v>
      </c>
      <c r="AO38" s="337">
        <f>SUMIFS(BS_RE33!$H$7:$H$874,BS_RE33!$S$7:$S$874,$AO$2,BS_RE33!$N$7:$N$874,I38,BS_RE33!$P$7:$P$874,'30 days CF Table(RMB)'!G38,BS_RE33!$F$7:$F$874,'30 days CF Table(RMB)'!$C$2)</f>
        <v>0</v>
      </c>
      <c r="AP38" s="338">
        <f>SUMIFS(BS_RE33!$H$7:$H$874,BS_RE33!$S$7:$S$874,$AP$2,BS_RE33!$N$7:$N$874,I38,BS_RE33!$P$7:$P$874,'30 days CF Table(RMB)'!G38,BS_RE33!$F$7:$F$874,'30 days CF Table(RMB)'!$C$2)</f>
        <v>0</v>
      </c>
      <c r="AR38" s="379">
        <f>SUMIFS(BS_RE33!$H$7:$H$874,BS_RE33!$S$7:$S$874,$AR$2,BS_RE33!$N$7:$N$874,I38,BS_RE33!$P$7:$P$874,'30 days CF Table(RMB)'!G38,BS_RE33!$F$7:$F$874,'30 days CF Table(RMB)'!$C$2)</f>
        <v>0</v>
      </c>
      <c r="AS38" s="379">
        <f>SUMIFS(BS_RE33!$H$7:$H$874,BS_RE33!$S$7:$S$874,$AS$2,BS_RE33!$N$7:$N$874,I38,BS_RE33!$P$7:$P$874,'30 days CF Table(RMB)'!G38,BS_RE33!$F$7:$F$874,'30 days CF Table(RMB)'!$C$2)</f>
        <v>0</v>
      </c>
      <c r="AT38" s="379">
        <f>SUMIFS(BS_RE33!$H$7:$H$874,BS_RE33!$S$7:$S$874,$AT$2,BS_RE33!$N$7:$N$874,I38,BS_RE33!$P$7:$P$874,'30 days CF Table(RMB)'!G38,BS_RE33!$F$7:$F$874,'30 days CF Table(RMB)'!$C$2)</f>
        <v>0</v>
      </c>
      <c r="AU38" s="379">
        <f>SUMIFS(BS_RE33!$H$7:$H$874,BS_RE33!$S$7:$S$874,$AU$2,BS_RE33!$N$7:$N$874,I38,BS_RE33!$P$7:$P$874,'30 days CF Table(RMB)'!G38,BS_RE33!$F$7:$F$874,'30 days CF Table(RMB)'!$C$2)</f>
        <v>0</v>
      </c>
      <c r="AV38" s="379">
        <f>SUMIFS(BS_RE33!$H$7:$H$874,BS_RE33!$S$7:$S$874,$AV$2,BS_RE33!$N$7:$N$874,I38,BS_RE33!$P$7:$P$874,'30 days CF Table(RMB)'!G38,BS_RE33!$F$7:$F$874,'30 days CF Table(RMB)'!$C$2)</f>
        <v>0</v>
      </c>
      <c r="AW38" s="379">
        <f>SUMIFS(BS_RE33!$H$7:$H$874,BS_RE33!$S$7:$S$874,$AW$2,BS_RE33!$N$7:$N$874,I38,BS_RE33!$P$7:$P$874,'30 days CF Table(RMB)'!G38,BS_RE33!$F$7:$F$874,'30 days CF Table(RMB)'!$C$2)</f>
        <v>0</v>
      </c>
      <c r="AX38" s="379">
        <f>SUMIFS(BS_RE33!$H$7:$H$874,BS_RE33!$S$7:$S$874,$AX$2,BS_RE33!$N$7:$N$874,I38,BS_RE33!$P$7:$P$874,'30 days CF Table(RMB)'!G38,BS_RE33!$F$7:$F$874,'30 days CF Table(RMB)'!$C$2)</f>
        <v>0</v>
      </c>
      <c r="AY38" s="379">
        <f>SUMIFS(BS_RE33!$H$7:$H$874,BS_RE33!$S$7:$S$874,$AY$2,BS_RE33!$N$7:$N$874,I38,BS_RE33!$P$7:$P$874,'30 days CF Table(RMB)'!G38,BS_RE33!$F$7:$F$874,'30 days CF Table(RMB)'!$C$2)</f>
        <v>0</v>
      </c>
      <c r="AZ38" s="379">
        <f>SUMIFS(BS_RE33!$H$7:$H$874,BS_RE33!$S$7:$S$874,$AZ$2,BS_RE33!$N$7:$N$874,I38,BS_RE33!$P$7:$P$874,'30 days CF Table(RMB)'!G38,BS_RE33!$F$7:$F$874,'30 days CF Table(RMB)'!$C$2)</f>
        <v>0</v>
      </c>
      <c r="BA38" s="379">
        <f>SUMIFS(BS_RE33!$H$7:$H$874,BS_RE33!$S$7:$S$874,$BA$2,BS_RE33!$N$7:$N$874,I38,BS_RE33!$P$7:$P$874,'30 days CF Table(RMB)'!G38,BS_RE33!$F$7:$F$874,'30 days CF Table(RMB)'!$C$2)</f>
        <v>0</v>
      </c>
      <c r="BB38" s="379">
        <f>SUMIFS(BS_RE33!$H$7:$H$874,BS_RE33!$S$7:$S$874,$BB$2,BS_RE33!$N$7:$N$874,I38,BS_RE33!$P$7:$P$874,'30 days CF Table(RMB)'!G38,BS_RE33!$F$7:$F$874,'30 days CF Table(RMB)'!$C$2)</f>
        <v>0</v>
      </c>
      <c r="BC38" s="379">
        <f>SUMIFS(BS_RE33!$H$7:$H$874,BS_RE33!$S$7:$S$874,$BC$2,BS_RE33!$N$7:$N$874,I38,BS_RE33!$P$7:$P$874,'30 days CF Table(RMB)'!G38,BS_RE33!$F$7:$F$874,'30 days CF Table(RMB)'!$C$2)</f>
        <v>0</v>
      </c>
      <c r="BD38" s="379">
        <f>SUMIFS(BS_RE33!$H$7:$H$874,BS_RE33!$S$7:$S$874,$BD$2,BS_RE33!$N$7:$N$874,I38,BS_RE33!$P$7:$P$874,'30 days CF Table(RMB)'!G38,BS_RE33!$F$7:$F$874,'30 days CF Table(RMB)'!$C$2)</f>
        <v>0</v>
      </c>
      <c r="BE38" s="379">
        <f>SUMIFS(BS_RE33!$H$7:$H$874,BS_RE33!$S$7:$S$874,$BE$2,BS_RE33!$N$7:$N$874,I38,BS_RE33!$P$7:$P$874,'30 days CF Table(RMB)'!G38,BS_RE33!$F$7:$F$874,'30 days CF Table(RMB)'!$C$2)</f>
        <v>0</v>
      </c>
      <c r="BF38" s="379">
        <f>SUMIFS(BS_RE33!$H$7:$H$874,BS_RE33!$S$7:$S$874,$BF$2,BS_RE33!$N$7:$N$874,I38,BS_RE33!$P$7:$P$874,'30 days CF Table(RMB)'!G38,BS_RE33!$F$7:$F$874,'30 days CF Table(RMB)'!$C$2)</f>
        <v>0</v>
      </c>
      <c r="BG38" s="379">
        <f>SUMIFS(BS_RE33!$H$7:$H$874,BS_RE33!$S$7:$S$874,$BG$2,BS_RE33!$N$7:$N$874,I38,BS_RE33!$P$7:$P$874,'30 days CF Table(RMB)'!G38,BS_RE33!$F$7:$F$874,'30 days CF Table(RMB)'!$C$2)</f>
        <v>0</v>
      </c>
      <c r="BH38" s="379">
        <f>SUMIFS(BS_RE33!$H$7:$H$874,BS_RE33!$S$7:$S$874,$BH$2,BS_RE33!$N$7:$N$874,I38,BS_RE33!$P$7:$P$874,'30 days CF Table(RMB)'!G38,BS_RE33!$F$7:$F$874,'30 days CF Table(RMB)'!$C$2)</f>
        <v>0</v>
      </c>
      <c r="BI38" s="379">
        <f>SUMIFS(BS_RE33!$H$7:$H$874,BS_RE33!$S$7:$S$874,$BI$2,BS_RE33!$N$7:$N$874,I38,BS_RE33!$P$7:$P$874,'30 days CF Table(RMB)'!G38,BS_RE33!$F$7:$F$874,'30 days CF Table(RMB)'!$C$2)</f>
        <v>0</v>
      </c>
      <c r="BJ38" s="379">
        <f>SUMIFS(BS_RE33!$H$7:$H$874,BS_RE33!$S$7:$S$874,$BJ$2,BS_RE33!$N$7:$N$874,I38,BS_RE33!$P$7:$P$874,'30 days CF Table(RMB)'!G38,BS_RE33!$F$7:$F$874,'30 days CF Table(RMB)'!$C$2)</f>
        <v>0</v>
      </c>
      <c r="BK38" s="379">
        <f>SUMIFS(BS_RE33!$H$7:$H$874,BS_RE33!$S$7:$S$874,$BK$2,BS_RE33!$N$7:$N$874,I38,BS_RE33!$P$7:$P$874,'30 days CF Table(RMB)'!G38,BS_RE33!$F$7:$F$874,'30 days CF Table(RMB)'!$C$2)</f>
        <v>0</v>
      </c>
    </row>
    <row r="39" spans="3:63" ht="20.25">
      <c r="C39" s="1029"/>
      <c r="D39" s="520" t="s">
        <v>763</v>
      </c>
      <c r="E39" s="108" t="s">
        <v>753</v>
      </c>
      <c r="F39" s="309"/>
      <c r="G39" s="392" t="s">
        <v>561</v>
      </c>
      <c r="H39" s="314">
        <v>1</v>
      </c>
      <c r="I39" s="315" t="s">
        <v>80</v>
      </c>
      <c r="J39" s="479">
        <f t="shared" si="2"/>
        <v>0</v>
      </c>
      <c r="K39" s="336">
        <f t="shared" si="3"/>
        <v>0</v>
      </c>
      <c r="L39" s="337">
        <f>SUMIFS(BS_RE33!$H$7:$H$874,BS_RE33!$S$7:$S$874,$L$2,BS_RE33!$N$7:$N$874,I39,BS_RE33!$P$7:$P$874,'30 days CF Table(RMB)'!G39,BS_RE33!$F$7:$F$874,'30 days CF Table(RMB)'!$C$2)</f>
        <v>0</v>
      </c>
      <c r="M39" s="337">
        <f>SUMIFS(BS_RE33!$H$7:$H$874,BS_RE33!$S$7:$S$874,$M$2,BS_RE33!$N$7:$N$874,I39,BS_RE33!$P$7:$P$874,'30 days CF Table(RMB)'!G39,BS_RE33!$F$7:$F$874,'30 days CF Table(RMB)'!$C$2)</f>
        <v>0</v>
      </c>
      <c r="N39" s="337">
        <f>SUMIFS(BS_RE33!$H$7:$H$874,BS_RE33!$S$7:$S$874,$N$2,BS_RE33!$N$7:$N$874,I39,BS_RE33!$P$7:$P$874,'30 days CF Table(RMB)'!G39,BS_RE33!$F$7:$F$874,'30 days CF Table(RMB)'!$C$2)</f>
        <v>0</v>
      </c>
      <c r="O39" s="337">
        <f>SUMIFS(BS_RE33!$H$7:$H$874,BS_RE33!$S$7:$S$874,$O$2,BS_RE33!$N$7:$N$874,I39,BS_RE33!$P$7:$P$874,'30 days CF Table(RMB)'!G39,BS_RE33!$F$7:$F$874,'30 days CF Table(RMB)'!$C$2)</f>
        <v>0</v>
      </c>
      <c r="P39" s="337">
        <f>SUMIFS(BS_RE33!$H$7:$H$874,BS_RE33!$S$7:$S$874,$P$2,BS_RE33!$N$7:$N$874,I39,BS_RE33!$P$7:$P$874,'30 days CF Table(RMB)'!G39,BS_RE33!$F$7:$F$874,'30 days CF Table(RMB)'!$C$2)</f>
        <v>0</v>
      </c>
      <c r="Q39" s="337">
        <f>SUMIFS(BS_RE33!$H$7:$H$874,BS_RE33!$S$7:$S$874,$Q$2,BS_RE33!$N$7:$N$874,I39,BS_RE33!$P$7:$P$874,'30 days CF Table(RMB)'!G39,BS_RE33!$F$7:$F$874,'30 days CF Table(RMB)'!$C$2)</f>
        <v>0</v>
      </c>
      <c r="R39" s="337">
        <f>SUMIFS(BS_RE33!$H$7:$H$874,BS_RE33!$S$7:$S$874,$R$2,BS_RE33!$N$7:$N$874,I39,BS_RE33!$P$7:$P$874,'30 days CF Table(RMB)'!G39,BS_RE33!$F$7:$F$874,'30 days CF Table(RMB)'!$C$2)</f>
        <v>0</v>
      </c>
      <c r="S39" s="337">
        <f>SUMIFS(BS_RE33!$H$7:$H$874,BS_RE33!$S$7:$S$874,$S$2,BS_RE33!$N$7:$N$874,I39,BS_RE33!$P$7:$P$874,'30 days CF Table(RMB)'!G39,BS_RE33!$F$7:$F$874,'30 days CF Table(RMB)'!$C$2)</f>
        <v>0</v>
      </c>
      <c r="T39" s="337">
        <f>SUMIFS(BS_RE33!$H$7:$H$874,BS_RE33!$S$7:$S$874,$T$2,BS_RE33!$N$7:$N$874,I39,BS_RE33!$P$7:$P$874,'30 days CF Table(RMB)'!G39,BS_RE33!$F$7:$F$874,'30 days CF Table(RMB)'!$C$2)</f>
        <v>0</v>
      </c>
      <c r="U39" s="337">
        <f>SUMIFS(BS_RE33!$H$7:$H$874,BS_RE33!$S$7:$S$874,$U$2,BS_RE33!$N$7:$N$874,I39,BS_RE33!$P$7:$P$874,'30 days CF Table(RMB)'!G39,BS_RE33!$F$7:$F$874,'30 days CF Table(RMB)'!$C$2)</f>
        <v>0</v>
      </c>
      <c r="V39" s="337">
        <f>SUMIFS(BS_RE33!$H$7:$H$874,BS_RE33!$S$7:$S$874,$V$2,BS_RE33!$N$7:$N$874,I39,BS_RE33!$P$7:$P$874,'30 days CF Table(RMB)'!G39,BS_RE33!$F$7:$F$874,'30 days CF Table(RMB)'!$C$2)</f>
        <v>0</v>
      </c>
      <c r="W39" s="337">
        <f>SUMIFS(BS_RE33!$H$7:$H$874,BS_RE33!$S$7:$S$874,$W$2,BS_RE33!$N$7:$N$874,I39,BS_RE33!$P$7:$P$874,'30 days CF Table(RMB)'!G39,BS_RE33!$F$7:$F$874,'30 days CF Table(RMB)'!$C$2)</f>
        <v>0</v>
      </c>
      <c r="X39" s="337">
        <f>SUMIFS(BS_RE33!$H$7:$H$874,BS_RE33!$S$7:$S$874,$X$2,BS_RE33!$N$7:$N$874,I39,BS_RE33!$P$7:$P$874,'30 days CF Table(RMB)'!G39,BS_RE33!$F$7:$F$874,'30 days CF Table(RMB)'!$C$2)</f>
        <v>0</v>
      </c>
      <c r="Y39" s="337">
        <f>SUMIFS(BS_RE33!$H$7:$H$874,BS_RE33!$S$7:$S$874,$Y$2,BS_RE33!$N$7:$N$874,I39,BS_RE33!$P$7:$P$874,'30 days CF Table(RMB)'!G39,BS_RE33!$F$7:$F$874,'30 days CF Table(RMB)'!$C$2)</f>
        <v>0</v>
      </c>
      <c r="Z39" s="337">
        <f>SUMIFS(BS_RE33!$H$7:$H$874,BS_RE33!$S$7:$S$874,$Z$2,BS_RE33!$N$7:$N$874,I39,BS_RE33!$P$7:$P$874,'30 days CF Table(RMB)'!G39,BS_RE33!$F$7:$F$874,'30 days CF Table(RMB)'!$C$2)</f>
        <v>0</v>
      </c>
      <c r="AA39" s="337">
        <f>SUMIFS(BS_RE33!$H$7:$H$874,BS_RE33!$S$7:$S$874,$AA$2,BS_RE33!$N$7:$N$874,I39,BS_RE33!$P$7:$P$874,'30 days CF Table(RMB)'!G39,BS_RE33!$F$7:$F$874,'30 days CF Table(RMB)'!$C$2)</f>
        <v>0</v>
      </c>
      <c r="AB39" s="337">
        <f>SUMIFS(BS_RE33!$H$7:$H$874,BS_RE33!$S$7:$S$874,$AB$2,BS_RE33!$N$7:$N$874,I39,BS_RE33!$P$7:$P$874,'30 days CF Table(RMB)'!G39,BS_RE33!$F$7:$F$874,'30 days CF Table(RMB)'!$C$2)</f>
        <v>0</v>
      </c>
      <c r="AC39" s="337">
        <f>SUMIFS(BS_RE33!$H$7:$H$874,BS_RE33!$S$7:$S$874,$AC$2,BS_RE33!$N$7:$N$874,I39,BS_RE33!$P$7:$P$874,'30 days CF Table(RMB)'!G39,BS_RE33!$F$7:$F$874,'30 days CF Table(RMB)'!$C$2)</f>
        <v>0</v>
      </c>
      <c r="AD39" s="337">
        <f>SUMIFS(BS_RE33!$H$7:$H$874,BS_RE33!$S$7:$S$874,$AD$2,BS_RE33!$N$7:$N$874,I39,BS_RE33!$P$7:$P$874,'30 days CF Table(RMB)'!G39,BS_RE33!$F$7:$F$874,'30 days CF Table(RMB)'!$C$2)</f>
        <v>0</v>
      </c>
      <c r="AE39" s="337">
        <f>SUMIFS(BS_RE33!$H$7:$H$874,BS_RE33!$S$7:$S$874,$AE$2,BS_RE33!$N$7:$N$874,I39,BS_RE33!$P$7:$P$874,'30 days CF Table(RMB)'!G39,BS_RE33!$F$7:$F$874,'30 days CF Table(RMB)'!$C$2)</f>
        <v>0</v>
      </c>
      <c r="AF39" s="337">
        <f>SUMIFS(BS_RE33!$H$7:$H$874,BS_RE33!$S$7:$S$874,$AF$2,BS_RE33!$N$7:$N$874,I39,BS_RE33!$P$7:$P$874,'30 days CF Table(RMB)'!G39,BS_RE33!$F$7:$F$874,'30 days CF Table(RMB)'!$C$2)</f>
        <v>0</v>
      </c>
      <c r="AG39" s="337">
        <f>SUMIFS(BS_RE33!$H$7:$H$874,BS_RE33!$S$7:$S$874,$AG$2,BS_RE33!$N$7:$N$874,I39,BS_RE33!$P$7:$P$874,'30 days CF Table(RMB)'!G39,BS_RE33!$F$7:$F$874,'30 days CF Table(RMB)'!$C$2)</f>
        <v>0</v>
      </c>
      <c r="AH39" s="337">
        <f>SUMIFS(BS_RE33!$H$7:$H$874,BS_RE33!$S$7:$S$874,$AH$2,BS_RE33!$N$7:$N$874,I39,BS_RE33!$P$7:$P$874,'30 days CF Table(RMB)'!G39,BS_RE33!$F$7:$F$874,'30 days CF Table(RMB)'!$C$2)</f>
        <v>0</v>
      </c>
      <c r="AI39" s="337">
        <f>SUMIFS(BS_RE33!$H$7:$H$874,BS_RE33!$S$7:$S$874,$AI$2,BS_RE33!$N$7:$N$874,I39,BS_RE33!$P$7:$P$874,'30 days CF Table(RMB)'!G39,BS_RE33!$F$7:$F$874,'30 days CF Table(RMB)'!$C$2)</f>
        <v>0</v>
      </c>
      <c r="AJ39" s="337">
        <f>SUMIFS(BS_RE33!$H$7:$H$874,BS_RE33!$S$7:$S$874,$AJ$2,BS_RE33!$N$7:$N$874,I39,BS_RE33!$P$7:$P$874,'30 days CF Table(RMB)'!G39,BS_RE33!$F$7:$F$874,'30 days CF Table(RMB)'!$C$2)</f>
        <v>0</v>
      </c>
      <c r="AK39" s="337">
        <f>SUMIFS(BS_RE33!$H$7:$H$874,BS_RE33!$S$7:$S$874,$AK$2,BS_RE33!$N$7:$N$874,I39,BS_RE33!$P$7:$P$874,'30 days CF Table(RMB)'!G39,BS_RE33!$F$7:$F$874,'30 days CF Table(RMB)'!$C$2)</f>
        <v>0</v>
      </c>
      <c r="AL39" s="337">
        <f>SUMIFS(BS_RE33!$H$7:$H$874,BS_RE33!$S$7:$S$874,$AL$2,BS_RE33!$N$7:$N$874,I39,BS_RE33!$P$7:$P$874,'30 days CF Table(RMB)'!G39,BS_RE33!$F$7:$F$874,'30 days CF Table(RMB)'!$C$2)</f>
        <v>0</v>
      </c>
      <c r="AM39" s="337">
        <f>SUMIFS(BS_RE33!$H$7:$H$874,BS_RE33!$S$7:$S$874,$AM$2,BS_RE33!$N$7:$N$874,I39,BS_RE33!$P$7:$P$874,'30 days CF Table(RMB)'!G39,BS_RE33!$F$7:$F$874,'30 days CF Table(RMB)'!$C$2)</f>
        <v>0</v>
      </c>
      <c r="AN39" s="337">
        <f>SUMIFS(BS_RE33!$H$7:$H$874,BS_RE33!$S$7:$S$874,$AN$2,BS_RE33!$N$7:$N$874,I39,BS_RE33!$P$7:$P$874,'30 days CF Table(RMB)'!G39,BS_RE33!$F$7:$F$874,'30 days CF Table(RMB)'!$C$2)</f>
        <v>0</v>
      </c>
      <c r="AO39" s="337">
        <f>SUMIFS(BS_RE33!$H$7:$H$874,BS_RE33!$S$7:$S$874,$AO$2,BS_RE33!$N$7:$N$874,I39,BS_RE33!$P$7:$P$874,'30 days CF Table(RMB)'!G39,BS_RE33!$F$7:$F$874,'30 days CF Table(RMB)'!$C$2)</f>
        <v>0</v>
      </c>
      <c r="AP39" s="338">
        <f>SUMIFS(BS_RE33!$H$7:$H$874,BS_RE33!$S$7:$S$874,$AP$2,BS_RE33!$N$7:$N$874,I39,BS_RE33!$P$7:$P$874,'30 days CF Table(RMB)'!G39,BS_RE33!$F$7:$F$874,'30 days CF Table(RMB)'!$C$2)</f>
        <v>0</v>
      </c>
      <c r="AR39" s="379">
        <f>SUMIFS(BS_RE33!$H$7:$H$874,BS_RE33!$S$7:$S$874,$AR$2,BS_RE33!$N$7:$N$874,I39,BS_RE33!$P$7:$P$874,'30 days CF Table(RMB)'!G39,BS_RE33!$F$7:$F$874,'30 days CF Table(RMB)'!$C$2)</f>
        <v>0</v>
      </c>
      <c r="AS39" s="379">
        <f>SUMIFS(BS_RE33!$H$7:$H$874,BS_RE33!$S$7:$S$874,$AS$2,BS_RE33!$N$7:$N$874,I39,BS_RE33!$P$7:$P$874,'30 days CF Table(RMB)'!G39,BS_RE33!$F$7:$F$874,'30 days CF Table(RMB)'!$C$2)</f>
        <v>0</v>
      </c>
      <c r="AT39" s="379">
        <f>SUMIFS(BS_RE33!$H$7:$H$874,BS_RE33!$S$7:$S$874,$AT$2,BS_RE33!$N$7:$N$874,I39,BS_RE33!$P$7:$P$874,'30 days CF Table(RMB)'!G39,BS_RE33!$F$7:$F$874,'30 days CF Table(RMB)'!$C$2)</f>
        <v>0</v>
      </c>
      <c r="AU39" s="379">
        <f>SUMIFS(BS_RE33!$H$7:$H$874,BS_RE33!$S$7:$S$874,$AU$2,BS_RE33!$N$7:$N$874,I39,BS_RE33!$P$7:$P$874,'30 days CF Table(RMB)'!G39,BS_RE33!$F$7:$F$874,'30 days CF Table(RMB)'!$C$2)</f>
        <v>0</v>
      </c>
      <c r="AV39" s="379">
        <f>SUMIFS(BS_RE33!$H$7:$H$874,BS_RE33!$S$7:$S$874,$AV$2,BS_RE33!$N$7:$N$874,I39,BS_RE33!$P$7:$P$874,'30 days CF Table(RMB)'!G39,BS_RE33!$F$7:$F$874,'30 days CF Table(RMB)'!$C$2)</f>
        <v>0</v>
      </c>
      <c r="AW39" s="379">
        <f>SUMIFS(BS_RE33!$H$7:$H$874,BS_RE33!$S$7:$S$874,$AW$2,BS_RE33!$N$7:$N$874,I39,BS_RE33!$P$7:$P$874,'30 days CF Table(RMB)'!G39,BS_RE33!$F$7:$F$874,'30 days CF Table(RMB)'!$C$2)</f>
        <v>0</v>
      </c>
      <c r="AX39" s="379">
        <f>SUMIFS(BS_RE33!$H$7:$H$874,BS_RE33!$S$7:$S$874,$AX$2,BS_RE33!$N$7:$N$874,I39,BS_RE33!$P$7:$P$874,'30 days CF Table(RMB)'!G39,BS_RE33!$F$7:$F$874,'30 days CF Table(RMB)'!$C$2)</f>
        <v>0</v>
      </c>
      <c r="AY39" s="379">
        <f>SUMIFS(BS_RE33!$H$7:$H$874,BS_RE33!$S$7:$S$874,$AY$2,BS_RE33!$N$7:$N$874,I39,BS_RE33!$P$7:$P$874,'30 days CF Table(RMB)'!G39,BS_RE33!$F$7:$F$874,'30 days CF Table(RMB)'!$C$2)</f>
        <v>0</v>
      </c>
      <c r="AZ39" s="379">
        <f>SUMIFS(BS_RE33!$H$7:$H$874,BS_RE33!$S$7:$S$874,$AZ$2,BS_RE33!$N$7:$N$874,I39,BS_RE33!$P$7:$P$874,'30 days CF Table(RMB)'!G39,BS_RE33!$F$7:$F$874,'30 days CF Table(RMB)'!$C$2)</f>
        <v>0</v>
      </c>
      <c r="BA39" s="379">
        <f>SUMIFS(BS_RE33!$H$7:$H$874,BS_RE33!$S$7:$S$874,$BA$2,BS_RE33!$N$7:$N$874,I39,BS_RE33!$P$7:$P$874,'30 days CF Table(RMB)'!G39,BS_RE33!$F$7:$F$874,'30 days CF Table(RMB)'!$C$2)</f>
        <v>0</v>
      </c>
      <c r="BB39" s="379">
        <f>SUMIFS(BS_RE33!$H$7:$H$874,BS_RE33!$S$7:$S$874,$BB$2,BS_RE33!$N$7:$N$874,I39,BS_RE33!$P$7:$P$874,'30 days CF Table(RMB)'!G39,BS_RE33!$F$7:$F$874,'30 days CF Table(RMB)'!$C$2)</f>
        <v>0</v>
      </c>
      <c r="BC39" s="379">
        <f>SUMIFS(BS_RE33!$H$7:$H$874,BS_RE33!$S$7:$S$874,$BC$2,BS_RE33!$N$7:$N$874,I39,BS_RE33!$P$7:$P$874,'30 days CF Table(RMB)'!G39,BS_RE33!$F$7:$F$874,'30 days CF Table(RMB)'!$C$2)</f>
        <v>0</v>
      </c>
      <c r="BD39" s="379">
        <f>SUMIFS(BS_RE33!$H$7:$H$874,BS_RE33!$S$7:$S$874,$BD$2,BS_RE33!$N$7:$N$874,I39,BS_RE33!$P$7:$P$874,'30 days CF Table(RMB)'!G39,BS_RE33!$F$7:$F$874,'30 days CF Table(RMB)'!$C$2)</f>
        <v>0</v>
      </c>
      <c r="BE39" s="379">
        <f>SUMIFS(BS_RE33!$H$7:$H$874,BS_RE33!$S$7:$S$874,$BE$2,BS_RE33!$N$7:$N$874,I39,BS_RE33!$P$7:$P$874,'30 days CF Table(RMB)'!G39,BS_RE33!$F$7:$F$874,'30 days CF Table(RMB)'!$C$2)</f>
        <v>0</v>
      </c>
      <c r="BF39" s="379">
        <f>SUMIFS(BS_RE33!$H$7:$H$874,BS_RE33!$S$7:$S$874,$BF$2,BS_RE33!$N$7:$N$874,I39,BS_RE33!$P$7:$P$874,'30 days CF Table(RMB)'!G39,BS_RE33!$F$7:$F$874,'30 days CF Table(RMB)'!$C$2)</f>
        <v>0</v>
      </c>
      <c r="BG39" s="379">
        <f>SUMIFS(BS_RE33!$H$7:$H$874,BS_RE33!$S$7:$S$874,$BG$2,BS_RE33!$N$7:$N$874,I39,BS_RE33!$P$7:$P$874,'30 days CF Table(RMB)'!G39,BS_RE33!$F$7:$F$874,'30 days CF Table(RMB)'!$C$2)</f>
        <v>0</v>
      </c>
      <c r="BH39" s="379">
        <f>SUMIFS(BS_RE33!$H$7:$H$874,BS_RE33!$S$7:$S$874,$BH$2,BS_RE33!$N$7:$N$874,I39,BS_RE33!$P$7:$P$874,'30 days CF Table(RMB)'!G39,BS_RE33!$F$7:$F$874,'30 days CF Table(RMB)'!$C$2)</f>
        <v>0</v>
      </c>
      <c r="BI39" s="379">
        <f>SUMIFS(BS_RE33!$H$7:$H$874,BS_RE33!$S$7:$S$874,$BI$2,BS_RE33!$N$7:$N$874,I39,BS_RE33!$P$7:$P$874,'30 days CF Table(RMB)'!G39,BS_RE33!$F$7:$F$874,'30 days CF Table(RMB)'!$C$2)</f>
        <v>0</v>
      </c>
      <c r="BJ39" s="379">
        <f>SUMIFS(BS_RE33!$H$7:$H$874,BS_RE33!$S$7:$S$874,$BJ$2,BS_RE33!$N$7:$N$874,I39,BS_RE33!$P$7:$P$874,'30 days CF Table(RMB)'!G39,BS_RE33!$F$7:$F$874,'30 days CF Table(RMB)'!$C$2)</f>
        <v>0</v>
      </c>
      <c r="BK39" s="379">
        <f>SUMIFS(BS_RE33!$H$7:$H$874,BS_RE33!$S$7:$S$874,$BK$2,BS_RE33!$N$7:$N$874,I39,BS_RE33!$P$7:$P$874,'30 days CF Table(RMB)'!G39,BS_RE33!$F$7:$F$874,'30 days CF Table(RMB)'!$C$2)</f>
        <v>0</v>
      </c>
    </row>
    <row r="40" spans="3:63" ht="20.25">
      <c r="C40" s="1029"/>
      <c r="D40" s="304" t="s">
        <v>740</v>
      </c>
      <c r="E40" s="105" t="s">
        <v>585</v>
      </c>
      <c r="F40" s="309"/>
      <c r="G40" s="392" t="s">
        <v>754</v>
      </c>
      <c r="H40" s="314">
        <v>1</v>
      </c>
      <c r="I40" s="315" t="s">
        <v>80</v>
      </c>
      <c r="J40" s="479">
        <f t="shared" si="2"/>
        <v>0</v>
      </c>
      <c r="K40" s="336">
        <f t="shared" si="3"/>
        <v>0</v>
      </c>
      <c r="L40" s="337">
        <f>SUMIFS(BS_RE33!$H$7:$H$874,BS_RE33!$S$7:$S$874,$L$2,BS_RE33!$N$7:$N$874,I40,BS_RE33!$P$7:$P$874,'30 days CF Table(RMB)'!G40,BS_RE33!$F$7:$F$874,'30 days CF Table(RMB)'!$C$2)</f>
        <v>0</v>
      </c>
      <c r="M40" s="337">
        <f>SUMIFS(BS_RE33!$H$7:$H$874,BS_RE33!$S$7:$S$874,$M$2,BS_RE33!$N$7:$N$874,I40,BS_RE33!$P$7:$P$874,'30 days CF Table(RMB)'!G40,BS_RE33!$F$7:$F$874,'30 days CF Table(RMB)'!$C$2)</f>
        <v>0</v>
      </c>
      <c r="N40" s="337">
        <f>SUMIFS(BS_RE33!$H$7:$H$874,BS_RE33!$S$7:$S$874,$N$2,BS_RE33!$N$7:$N$874,I40,BS_RE33!$P$7:$P$874,'30 days CF Table(RMB)'!G40,BS_RE33!$F$7:$F$874,'30 days CF Table(RMB)'!$C$2)</f>
        <v>0</v>
      </c>
      <c r="O40" s="337">
        <f>SUMIFS(BS_RE33!$H$7:$H$874,BS_RE33!$S$7:$S$874,$O$2,BS_RE33!$N$7:$N$874,I40,BS_RE33!$P$7:$P$874,'30 days CF Table(RMB)'!G40,BS_RE33!$F$7:$F$874,'30 days CF Table(RMB)'!$C$2)</f>
        <v>0</v>
      </c>
      <c r="P40" s="337">
        <f>SUMIFS(BS_RE33!$H$7:$H$874,BS_RE33!$S$7:$S$874,$P$2,BS_RE33!$N$7:$N$874,I40,BS_RE33!$P$7:$P$874,'30 days CF Table(RMB)'!G40,BS_RE33!$F$7:$F$874,'30 days CF Table(RMB)'!$C$2)</f>
        <v>0</v>
      </c>
      <c r="Q40" s="337">
        <f>SUMIFS(BS_RE33!$H$7:$H$874,BS_RE33!$S$7:$S$874,$Q$2,BS_RE33!$N$7:$N$874,I40,BS_RE33!$P$7:$P$874,'30 days CF Table(RMB)'!G40,BS_RE33!$F$7:$F$874,'30 days CF Table(RMB)'!$C$2)</f>
        <v>0</v>
      </c>
      <c r="R40" s="337">
        <f>SUMIFS(BS_RE33!$H$7:$H$874,BS_RE33!$S$7:$S$874,$R$2,BS_RE33!$N$7:$N$874,I40,BS_RE33!$P$7:$P$874,'30 days CF Table(RMB)'!G40,BS_RE33!$F$7:$F$874,'30 days CF Table(RMB)'!$C$2)</f>
        <v>0</v>
      </c>
      <c r="S40" s="337">
        <f>SUMIFS(BS_RE33!$H$7:$H$874,BS_RE33!$S$7:$S$874,$S$2,BS_RE33!$N$7:$N$874,I40,BS_RE33!$P$7:$P$874,'30 days CF Table(RMB)'!G40,BS_RE33!$F$7:$F$874,'30 days CF Table(RMB)'!$C$2)</f>
        <v>0</v>
      </c>
      <c r="T40" s="337">
        <f>SUMIFS(BS_RE33!$H$7:$H$874,BS_RE33!$S$7:$S$874,$T$2,BS_RE33!$N$7:$N$874,I40,BS_RE33!$P$7:$P$874,'30 days CF Table(RMB)'!G40,BS_RE33!$F$7:$F$874,'30 days CF Table(RMB)'!$C$2)</f>
        <v>0</v>
      </c>
      <c r="U40" s="337">
        <f>SUMIFS(BS_RE33!$H$7:$H$874,BS_RE33!$S$7:$S$874,$U$2,BS_RE33!$N$7:$N$874,I40,BS_RE33!$P$7:$P$874,'30 days CF Table(RMB)'!G40,BS_RE33!$F$7:$F$874,'30 days CF Table(RMB)'!$C$2)</f>
        <v>0</v>
      </c>
      <c r="V40" s="337">
        <f>SUMIFS(BS_RE33!$H$7:$H$874,BS_RE33!$S$7:$S$874,$V$2,BS_RE33!$N$7:$N$874,I40,BS_RE33!$P$7:$P$874,'30 days CF Table(RMB)'!G40,BS_RE33!$F$7:$F$874,'30 days CF Table(RMB)'!$C$2)</f>
        <v>0</v>
      </c>
      <c r="W40" s="337">
        <f>SUMIFS(BS_RE33!$H$7:$H$874,BS_RE33!$S$7:$S$874,$W$2,BS_RE33!$N$7:$N$874,I40,BS_RE33!$P$7:$P$874,'30 days CF Table(RMB)'!G40,BS_RE33!$F$7:$F$874,'30 days CF Table(RMB)'!$C$2)</f>
        <v>0</v>
      </c>
      <c r="X40" s="337">
        <f>SUMIFS(BS_RE33!$H$7:$H$874,BS_RE33!$S$7:$S$874,$X$2,BS_RE33!$N$7:$N$874,I40,BS_RE33!$P$7:$P$874,'30 days CF Table(RMB)'!G40,BS_RE33!$F$7:$F$874,'30 days CF Table(RMB)'!$C$2)</f>
        <v>0</v>
      </c>
      <c r="Y40" s="337">
        <f>SUMIFS(BS_RE33!$H$7:$H$874,BS_RE33!$S$7:$S$874,$Y$2,BS_RE33!$N$7:$N$874,I40,BS_RE33!$P$7:$P$874,'30 days CF Table(RMB)'!G40,BS_RE33!$F$7:$F$874,'30 days CF Table(RMB)'!$C$2)</f>
        <v>0</v>
      </c>
      <c r="Z40" s="337">
        <f>SUMIFS(BS_RE33!$H$7:$H$874,BS_RE33!$S$7:$S$874,$Z$2,BS_RE33!$N$7:$N$874,I40,BS_RE33!$P$7:$P$874,'30 days CF Table(RMB)'!G40,BS_RE33!$F$7:$F$874,'30 days CF Table(RMB)'!$C$2)</f>
        <v>0</v>
      </c>
      <c r="AA40" s="337">
        <f>SUMIFS(BS_RE33!$H$7:$H$874,BS_RE33!$S$7:$S$874,$AA$2,BS_RE33!$N$7:$N$874,I40,BS_RE33!$P$7:$P$874,'30 days CF Table(RMB)'!G40,BS_RE33!$F$7:$F$874,'30 days CF Table(RMB)'!$C$2)</f>
        <v>0</v>
      </c>
      <c r="AB40" s="337">
        <f>SUMIFS(BS_RE33!$H$7:$H$874,BS_RE33!$S$7:$S$874,$AB$2,BS_RE33!$N$7:$N$874,I40,BS_RE33!$P$7:$P$874,'30 days CF Table(RMB)'!G40,BS_RE33!$F$7:$F$874,'30 days CF Table(RMB)'!$C$2)</f>
        <v>0</v>
      </c>
      <c r="AC40" s="337">
        <f>SUMIFS(BS_RE33!$H$7:$H$874,BS_RE33!$S$7:$S$874,$AC$2,BS_RE33!$N$7:$N$874,I40,BS_RE33!$P$7:$P$874,'30 days CF Table(RMB)'!G40,BS_RE33!$F$7:$F$874,'30 days CF Table(RMB)'!$C$2)</f>
        <v>0</v>
      </c>
      <c r="AD40" s="337">
        <f>SUMIFS(BS_RE33!$H$7:$H$874,BS_RE33!$S$7:$S$874,$AD$2,BS_RE33!$N$7:$N$874,I40,BS_RE33!$P$7:$P$874,'30 days CF Table(RMB)'!G40,BS_RE33!$F$7:$F$874,'30 days CF Table(RMB)'!$C$2)</f>
        <v>0</v>
      </c>
      <c r="AE40" s="337">
        <f>SUMIFS(BS_RE33!$H$7:$H$874,BS_RE33!$S$7:$S$874,$AE$2,BS_RE33!$N$7:$N$874,I40,BS_RE33!$P$7:$P$874,'30 days CF Table(RMB)'!G40,BS_RE33!$F$7:$F$874,'30 days CF Table(RMB)'!$C$2)</f>
        <v>0</v>
      </c>
      <c r="AF40" s="337">
        <f>SUMIFS(BS_RE33!$H$7:$H$874,BS_RE33!$S$7:$S$874,$AF$2,BS_RE33!$N$7:$N$874,I40,BS_RE33!$P$7:$P$874,'30 days CF Table(RMB)'!G40,BS_RE33!$F$7:$F$874,'30 days CF Table(RMB)'!$C$2)</f>
        <v>0</v>
      </c>
      <c r="AG40" s="337">
        <f>SUMIFS(BS_RE33!$H$7:$H$874,BS_RE33!$S$7:$S$874,$AG$2,BS_RE33!$N$7:$N$874,I40,BS_RE33!$P$7:$P$874,'30 days CF Table(RMB)'!G40,BS_RE33!$F$7:$F$874,'30 days CF Table(RMB)'!$C$2)</f>
        <v>0</v>
      </c>
      <c r="AH40" s="337">
        <f>SUMIFS(BS_RE33!$H$7:$H$874,BS_RE33!$S$7:$S$874,$AH$2,BS_RE33!$N$7:$N$874,I40,BS_RE33!$P$7:$P$874,'30 days CF Table(RMB)'!G40,BS_RE33!$F$7:$F$874,'30 days CF Table(RMB)'!$C$2)</f>
        <v>0</v>
      </c>
      <c r="AI40" s="337">
        <f>SUMIFS(BS_RE33!$H$7:$H$874,BS_RE33!$S$7:$S$874,$AI$2,BS_RE33!$N$7:$N$874,I40,BS_RE33!$P$7:$P$874,'30 days CF Table(RMB)'!G40,BS_RE33!$F$7:$F$874,'30 days CF Table(RMB)'!$C$2)</f>
        <v>0</v>
      </c>
      <c r="AJ40" s="337">
        <f>SUMIFS(BS_RE33!$H$7:$H$874,BS_RE33!$S$7:$S$874,$AJ$2,BS_RE33!$N$7:$N$874,I40,BS_RE33!$P$7:$P$874,'30 days CF Table(RMB)'!G40,BS_RE33!$F$7:$F$874,'30 days CF Table(RMB)'!$C$2)</f>
        <v>0</v>
      </c>
      <c r="AK40" s="337">
        <f>SUMIFS(BS_RE33!$H$7:$H$874,BS_RE33!$S$7:$S$874,$AK$2,BS_RE33!$N$7:$N$874,I40,BS_RE33!$P$7:$P$874,'30 days CF Table(RMB)'!G40,BS_RE33!$F$7:$F$874,'30 days CF Table(RMB)'!$C$2)</f>
        <v>0</v>
      </c>
      <c r="AL40" s="337">
        <f>SUMIFS(BS_RE33!$H$7:$H$874,BS_RE33!$S$7:$S$874,$AL$2,BS_RE33!$N$7:$N$874,I40,BS_RE33!$P$7:$P$874,'30 days CF Table(RMB)'!G40,BS_RE33!$F$7:$F$874,'30 days CF Table(RMB)'!$C$2)</f>
        <v>0</v>
      </c>
      <c r="AM40" s="337">
        <f>SUMIFS(BS_RE33!$H$7:$H$874,BS_RE33!$S$7:$S$874,$AM$2,BS_RE33!$N$7:$N$874,I40,BS_RE33!$P$7:$P$874,'30 days CF Table(RMB)'!G40,BS_RE33!$F$7:$F$874,'30 days CF Table(RMB)'!$C$2)</f>
        <v>0</v>
      </c>
      <c r="AN40" s="337">
        <f>SUMIFS(BS_RE33!$H$7:$H$874,BS_RE33!$S$7:$S$874,$AN$2,BS_RE33!$N$7:$N$874,I40,BS_RE33!$P$7:$P$874,'30 days CF Table(RMB)'!G40,BS_RE33!$F$7:$F$874,'30 days CF Table(RMB)'!$C$2)</f>
        <v>0</v>
      </c>
      <c r="AO40" s="337">
        <f>SUMIFS(BS_RE33!$H$7:$H$874,BS_RE33!$S$7:$S$874,$AO$2,BS_RE33!$N$7:$N$874,I40,BS_RE33!$P$7:$P$874,'30 days CF Table(RMB)'!G40,BS_RE33!$F$7:$F$874,'30 days CF Table(RMB)'!$C$2)</f>
        <v>0</v>
      </c>
      <c r="AP40" s="338">
        <f>SUMIFS(BS_RE33!$H$7:$H$874,BS_RE33!$S$7:$S$874,$AP$2,BS_RE33!$N$7:$N$874,I40,BS_RE33!$P$7:$P$874,'30 days CF Table(RMB)'!G40,BS_RE33!$F$7:$F$874,'30 days CF Table(RMB)'!$C$2)</f>
        <v>0</v>
      </c>
      <c r="AR40" s="379">
        <f>SUMIFS(BS_RE33!$H$7:$H$874,BS_RE33!$S$7:$S$874,$AR$2,BS_RE33!$N$7:$N$874,I40,BS_RE33!$P$7:$P$874,'30 days CF Table(RMB)'!G40,BS_RE33!$F$7:$F$874,'30 days CF Table(RMB)'!$C$2)</f>
        <v>0</v>
      </c>
      <c r="AS40" s="379">
        <f>SUMIFS(BS_RE33!$H$7:$H$874,BS_RE33!$S$7:$S$874,$AS$2,BS_RE33!$N$7:$N$874,I40,BS_RE33!$P$7:$P$874,'30 days CF Table(RMB)'!G40,BS_RE33!$F$7:$F$874,'30 days CF Table(RMB)'!$C$2)</f>
        <v>0</v>
      </c>
      <c r="AT40" s="379">
        <f>SUMIFS(BS_RE33!$H$7:$H$874,BS_RE33!$S$7:$S$874,$AT$2,BS_RE33!$N$7:$N$874,I40,BS_RE33!$P$7:$P$874,'30 days CF Table(RMB)'!G40,BS_RE33!$F$7:$F$874,'30 days CF Table(RMB)'!$C$2)</f>
        <v>0</v>
      </c>
      <c r="AU40" s="379">
        <f>SUMIFS(BS_RE33!$H$7:$H$874,BS_RE33!$S$7:$S$874,$AU$2,BS_RE33!$N$7:$N$874,I40,BS_RE33!$P$7:$P$874,'30 days CF Table(RMB)'!G40,BS_RE33!$F$7:$F$874,'30 days CF Table(RMB)'!$C$2)</f>
        <v>0</v>
      </c>
      <c r="AV40" s="379">
        <f>SUMIFS(BS_RE33!$H$7:$H$874,BS_RE33!$S$7:$S$874,$AV$2,BS_RE33!$N$7:$N$874,I40,BS_RE33!$P$7:$P$874,'30 days CF Table(RMB)'!G40,BS_RE33!$F$7:$F$874,'30 days CF Table(RMB)'!$C$2)</f>
        <v>0</v>
      </c>
      <c r="AW40" s="379">
        <f>SUMIFS(BS_RE33!$H$7:$H$874,BS_RE33!$S$7:$S$874,$AW$2,BS_RE33!$N$7:$N$874,I40,BS_RE33!$P$7:$P$874,'30 days CF Table(RMB)'!G40,BS_RE33!$F$7:$F$874,'30 days CF Table(RMB)'!$C$2)</f>
        <v>0</v>
      </c>
      <c r="AX40" s="379">
        <f>SUMIFS(BS_RE33!$H$7:$H$874,BS_RE33!$S$7:$S$874,$AX$2,BS_RE33!$N$7:$N$874,I40,BS_RE33!$P$7:$P$874,'30 days CF Table(RMB)'!G40,BS_RE33!$F$7:$F$874,'30 days CF Table(RMB)'!$C$2)</f>
        <v>0</v>
      </c>
      <c r="AY40" s="379">
        <f>SUMIFS(BS_RE33!$H$7:$H$874,BS_RE33!$S$7:$S$874,$AY$2,BS_RE33!$N$7:$N$874,I40,BS_RE33!$P$7:$P$874,'30 days CF Table(RMB)'!G40,BS_RE33!$F$7:$F$874,'30 days CF Table(RMB)'!$C$2)</f>
        <v>0</v>
      </c>
      <c r="AZ40" s="379">
        <f>SUMIFS(BS_RE33!$H$7:$H$874,BS_RE33!$S$7:$S$874,$AZ$2,BS_RE33!$N$7:$N$874,I40,BS_RE33!$P$7:$P$874,'30 days CF Table(RMB)'!G40,BS_RE33!$F$7:$F$874,'30 days CF Table(RMB)'!$C$2)</f>
        <v>0</v>
      </c>
      <c r="BA40" s="379">
        <f>SUMIFS(BS_RE33!$H$7:$H$874,BS_RE33!$S$7:$S$874,$BA$2,BS_RE33!$N$7:$N$874,I40,BS_RE33!$P$7:$P$874,'30 days CF Table(RMB)'!G40,BS_RE33!$F$7:$F$874,'30 days CF Table(RMB)'!$C$2)</f>
        <v>0</v>
      </c>
      <c r="BB40" s="379">
        <f>SUMIFS(BS_RE33!$H$7:$H$874,BS_RE33!$S$7:$S$874,$BB$2,BS_RE33!$N$7:$N$874,I40,BS_RE33!$P$7:$P$874,'30 days CF Table(RMB)'!G40,BS_RE33!$F$7:$F$874,'30 days CF Table(RMB)'!$C$2)</f>
        <v>0</v>
      </c>
      <c r="BC40" s="379">
        <f>SUMIFS(BS_RE33!$H$7:$H$874,BS_RE33!$S$7:$S$874,$BC$2,BS_RE33!$N$7:$N$874,I40,BS_RE33!$P$7:$P$874,'30 days CF Table(RMB)'!G40,BS_RE33!$F$7:$F$874,'30 days CF Table(RMB)'!$C$2)</f>
        <v>0</v>
      </c>
      <c r="BD40" s="379">
        <f>SUMIFS(BS_RE33!$H$7:$H$874,BS_RE33!$S$7:$S$874,$BD$2,BS_RE33!$N$7:$N$874,I40,BS_RE33!$P$7:$P$874,'30 days CF Table(RMB)'!G40,BS_RE33!$F$7:$F$874,'30 days CF Table(RMB)'!$C$2)</f>
        <v>0</v>
      </c>
      <c r="BE40" s="379">
        <f>SUMIFS(BS_RE33!$H$7:$H$874,BS_RE33!$S$7:$S$874,$BE$2,BS_RE33!$N$7:$N$874,I40,BS_RE33!$P$7:$P$874,'30 days CF Table(RMB)'!G40,BS_RE33!$F$7:$F$874,'30 days CF Table(RMB)'!$C$2)</f>
        <v>0</v>
      </c>
      <c r="BF40" s="379">
        <f>SUMIFS(BS_RE33!$H$7:$H$874,BS_RE33!$S$7:$S$874,$BF$2,BS_RE33!$N$7:$N$874,I40,BS_RE33!$P$7:$P$874,'30 days CF Table(RMB)'!G40,BS_RE33!$F$7:$F$874,'30 days CF Table(RMB)'!$C$2)</f>
        <v>0</v>
      </c>
      <c r="BG40" s="379">
        <f>SUMIFS(BS_RE33!$H$7:$H$874,BS_RE33!$S$7:$S$874,$BG$2,BS_RE33!$N$7:$N$874,I40,BS_RE33!$P$7:$P$874,'30 days CF Table(RMB)'!G40,BS_RE33!$F$7:$F$874,'30 days CF Table(RMB)'!$C$2)</f>
        <v>0</v>
      </c>
      <c r="BH40" s="379">
        <f>SUMIFS(BS_RE33!$H$7:$H$874,BS_RE33!$S$7:$S$874,$BH$2,BS_RE33!$N$7:$N$874,I40,BS_RE33!$P$7:$P$874,'30 days CF Table(RMB)'!G40,BS_RE33!$F$7:$F$874,'30 days CF Table(RMB)'!$C$2)</f>
        <v>0</v>
      </c>
      <c r="BI40" s="379">
        <f>SUMIFS(BS_RE33!$H$7:$H$874,BS_RE33!$S$7:$S$874,$BI$2,BS_RE33!$N$7:$N$874,I40,BS_RE33!$P$7:$P$874,'30 days CF Table(RMB)'!G40,BS_RE33!$F$7:$F$874,'30 days CF Table(RMB)'!$C$2)</f>
        <v>0</v>
      </c>
      <c r="BJ40" s="379">
        <f>SUMIFS(BS_RE33!$H$7:$H$874,BS_RE33!$S$7:$S$874,$BJ$2,BS_RE33!$N$7:$N$874,I40,BS_RE33!$P$7:$P$874,'30 days CF Table(RMB)'!G40,BS_RE33!$F$7:$F$874,'30 days CF Table(RMB)'!$C$2)</f>
        <v>0</v>
      </c>
      <c r="BK40" s="379">
        <f>SUMIFS(BS_RE33!$H$7:$H$874,BS_RE33!$S$7:$S$874,$BK$2,BS_RE33!$N$7:$N$874,I40,BS_RE33!$P$7:$P$874,'30 days CF Table(RMB)'!G40,BS_RE33!$F$7:$F$874,'30 days CF Table(RMB)'!$C$2)</f>
        <v>0</v>
      </c>
    </row>
    <row r="41" spans="3:63">
      <c r="C41" s="1029"/>
      <c r="D41" s="1041" t="s">
        <v>764</v>
      </c>
      <c r="E41" s="108" t="s">
        <v>87</v>
      </c>
      <c r="F41" s="309"/>
      <c r="G41" s="392" t="s">
        <v>525</v>
      </c>
      <c r="H41" s="314">
        <v>1</v>
      </c>
      <c r="I41" s="315" t="s">
        <v>80</v>
      </c>
      <c r="J41" s="479">
        <f t="shared" si="2"/>
        <v>0</v>
      </c>
      <c r="K41" s="336">
        <f t="shared" si="3"/>
        <v>0</v>
      </c>
      <c r="L41" s="337">
        <f>SUMIFS(BS_RE33!$H$7:$H$874,BS_RE33!$S$7:$S$874,$L$2,BS_RE33!$N$7:$N$874,I41,BS_RE33!$P$7:$P$874,'30 days CF Table(RMB)'!G41,BS_RE33!$F$7:$F$874,'30 days CF Table(RMB)'!$C$2)</f>
        <v>0</v>
      </c>
      <c r="M41" s="337">
        <f>SUMIFS(BS_RE33!$H$7:$H$874,BS_RE33!$S$7:$S$874,$M$2,BS_RE33!$N$7:$N$874,I41,BS_RE33!$P$7:$P$874,'30 days CF Table(RMB)'!G41,BS_RE33!$F$7:$F$874,'30 days CF Table(RMB)'!$C$2)</f>
        <v>0</v>
      </c>
      <c r="N41" s="337">
        <f>SUMIFS(BS_RE33!$H$7:$H$874,BS_RE33!$S$7:$S$874,$N$2,BS_RE33!$N$7:$N$874,I41,BS_RE33!$P$7:$P$874,'30 days CF Table(RMB)'!G41,BS_RE33!$F$7:$F$874,'30 days CF Table(RMB)'!$C$2)</f>
        <v>0</v>
      </c>
      <c r="O41" s="337">
        <f>SUMIFS(BS_RE33!$H$7:$H$874,BS_RE33!$S$7:$S$874,$O$2,BS_RE33!$N$7:$N$874,I41,BS_RE33!$P$7:$P$874,'30 days CF Table(RMB)'!G41,BS_RE33!$F$7:$F$874,'30 days CF Table(RMB)'!$C$2)</f>
        <v>0</v>
      </c>
      <c r="P41" s="337">
        <f>SUMIFS(BS_RE33!$H$7:$H$874,BS_RE33!$S$7:$S$874,$P$2,BS_RE33!$N$7:$N$874,I41,BS_RE33!$P$7:$P$874,'30 days CF Table(RMB)'!G41,BS_RE33!$F$7:$F$874,'30 days CF Table(RMB)'!$C$2)</f>
        <v>0</v>
      </c>
      <c r="Q41" s="337">
        <f>SUMIFS(BS_RE33!$H$7:$H$874,BS_RE33!$S$7:$S$874,$Q$2,BS_RE33!$N$7:$N$874,I41,BS_RE33!$P$7:$P$874,'30 days CF Table(RMB)'!G41,BS_RE33!$F$7:$F$874,'30 days CF Table(RMB)'!$C$2)</f>
        <v>0</v>
      </c>
      <c r="R41" s="337">
        <f>SUMIFS(BS_RE33!$H$7:$H$874,BS_RE33!$S$7:$S$874,$R$2,BS_RE33!$N$7:$N$874,I41,BS_RE33!$P$7:$P$874,'30 days CF Table(RMB)'!G41,BS_RE33!$F$7:$F$874,'30 days CF Table(RMB)'!$C$2)</f>
        <v>0</v>
      </c>
      <c r="S41" s="337">
        <f>SUMIFS(BS_RE33!$H$7:$H$874,BS_RE33!$S$7:$S$874,$S$2,BS_RE33!$N$7:$N$874,I41,BS_RE33!$P$7:$P$874,'30 days CF Table(RMB)'!G41,BS_RE33!$F$7:$F$874,'30 days CF Table(RMB)'!$C$2)</f>
        <v>0</v>
      </c>
      <c r="T41" s="337">
        <f>SUMIFS(BS_RE33!$H$7:$H$874,BS_RE33!$S$7:$S$874,$T$2,BS_RE33!$N$7:$N$874,I41,BS_RE33!$P$7:$P$874,'30 days CF Table(RMB)'!G41,BS_RE33!$F$7:$F$874,'30 days CF Table(RMB)'!$C$2)</f>
        <v>0</v>
      </c>
      <c r="U41" s="337">
        <f>SUMIFS(BS_RE33!$H$7:$H$874,BS_RE33!$S$7:$S$874,$U$2,BS_RE33!$N$7:$N$874,I41,BS_RE33!$P$7:$P$874,'30 days CF Table(RMB)'!G41,BS_RE33!$F$7:$F$874,'30 days CF Table(RMB)'!$C$2)</f>
        <v>0</v>
      </c>
      <c r="V41" s="337">
        <f>SUMIFS(BS_RE33!$H$7:$H$874,BS_RE33!$S$7:$S$874,$V$2,BS_RE33!$N$7:$N$874,I41,BS_RE33!$P$7:$P$874,'30 days CF Table(RMB)'!G41,BS_RE33!$F$7:$F$874,'30 days CF Table(RMB)'!$C$2)</f>
        <v>0</v>
      </c>
      <c r="W41" s="337">
        <f>SUMIFS(BS_RE33!$H$7:$H$874,BS_RE33!$S$7:$S$874,$W$2,BS_RE33!$N$7:$N$874,I41,BS_RE33!$P$7:$P$874,'30 days CF Table(RMB)'!G41,BS_RE33!$F$7:$F$874,'30 days CF Table(RMB)'!$C$2)</f>
        <v>0</v>
      </c>
      <c r="X41" s="337">
        <f>SUMIFS(BS_RE33!$H$7:$H$874,BS_RE33!$S$7:$S$874,$X$2,BS_RE33!$N$7:$N$874,I41,BS_RE33!$P$7:$P$874,'30 days CF Table(RMB)'!G41,BS_RE33!$F$7:$F$874,'30 days CF Table(RMB)'!$C$2)</f>
        <v>0</v>
      </c>
      <c r="Y41" s="337">
        <f>SUMIFS(BS_RE33!$H$7:$H$874,BS_RE33!$S$7:$S$874,$Y$2,BS_RE33!$N$7:$N$874,I41,BS_RE33!$P$7:$P$874,'30 days CF Table(RMB)'!G41,BS_RE33!$F$7:$F$874,'30 days CF Table(RMB)'!$C$2)</f>
        <v>0</v>
      </c>
      <c r="Z41" s="337">
        <f>SUMIFS(BS_RE33!$H$7:$H$874,BS_RE33!$S$7:$S$874,$Z$2,BS_RE33!$N$7:$N$874,I41,BS_RE33!$P$7:$P$874,'30 days CF Table(RMB)'!G41,BS_RE33!$F$7:$F$874,'30 days CF Table(RMB)'!$C$2)</f>
        <v>0</v>
      </c>
      <c r="AA41" s="337">
        <f>SUMIFS(BS_RE33!$H$7:$H$874,BS_RE33!$S$7:$S$874,$AA$2,BS_RE33!$N$7:$N$874,I41,BS_RE33!$P$7:$P$874,'30 days CF Table(RMB)'!G41,BS_RE33!$F$7:$F$874,'30 days CF Table(RMB)'!$C$2)</f>
        <v>0</v>
      </c>
      <c r="AB41" s="337">
        <f>SUMIFS(BS_RE33!$H$7:$H$874,BS_RE33!$S$7:$S$874,$AB$2,BS_RE33!$N$7:$N$874,I41,BS_RE33!$P$7:$P$874,'30 days CF Table(RMB)'!G41,BS_RE33!$F$7:$F$874,'30 days CF Table(RMB)'!$C$2)</f>
        <v>0</v>
      </c>
      <c r="AC41" s="337">
        <f>SUMIFS(BS_RE33!$H$7:$H$874,BS_RE33!$S$7:$S$874,$AC$2,BS_RE33!$N$7:$N$874,I41,BS_RE33!$P$7:$P$874,'30 days CF Table(RMB)'!G41,BS_RE33!$F$7:$F$874,'30 days CF Table(RMB)'!$C$2)</f>
        <v>0</v>
      </c>
      <c r="AD41" s="337">
        <f>SUMIFS(BS_RE33!$H$7:$H$874,BS_RE33!$S$7:$S$874,$AD$2,BS_RE33!$N$7:$N$874,I41,BS_RE33!$P$7:$P$874,'30 days CF Table(RMB)'!G41,BS_RE33!$F$7:$F$874,'30 days CF Table(RMB)'!$C$2)</f>
        <v>0</v>
      </c>
      <c r="AE41" s="337">
        <f>SUMIFS(BS_RE33!$H$7:$H$874,BS_RE33!$S$7:$S$874,$AE$2,BS_RE33!$N$7:$N$874,I41,BS_RE33!$P$7:$P$874,'30 days CF Table(RMB)'!G41,BS_RE33!$F$7:$F$874,'30 days CF Table(RMB)'!$C$2)</f>
        <v>0</v>
      </c>
      <c r="AF41" s="337">
        <f>SUMIFS(BS_RE33!$H$7:$H$874,BS_RE33!$S$7:$S$874,$AF$2,BS_RE33!$N$7:$N$874,I41,BS_RE33!$P$7:$P$874,'30 days CF Table(RMB)'!G41,BS_RE33!$F$7:$F$874,'30 days CF Table(RMB)'!$C$2)</f>
        <v>0</v>
      </c>
      <c r="AG41" s="337">
        <f>SUMIFS(BS_RE33!$H$7:$H$874,BS_RE33!$S$7:$S$874,$AG$2,BS_RE33!$N$7:$N$874,I41,BS_RE33!$P$7:$P$874,'30 days CF Table(RMB)'!G41,BS_RE33!$F$7:$F$874,'30 days CF Table(RMB)'!$C$2)</f>
        <v>0</v>
      </c>
      <c r="AH41" s="337">
        <f>SUMIFS(BS_RE33!$H$7:$H$874,BS_RE33!$S$7:$S$874,$AH$2,BS_RE33!$N$7:$N$874,I41,BS_RE33!$P$7:$P$874,'30 days CF Table(RMB)'!G41,BS_RE33!$F$7:$F$874,'30 days CF Table(RMB)'!$C$2)</f>
        <v>0</v>
      </c>
      <c r="AI41" s="337">
        <f>SUMIFS(BS_RE33!$H$7:$H$874,BS_RE33!$S$7:$S$874,$AI$2,BS_RE33!$N$7:$N$874,I41,BS_RE33!$P$7:$P$874,'30 days CF Table(RMB)'!G41,BS_RE33!$F$7:$F$874,'30 days CF Table(RMB)'!$C$2)</f>
        <v>0</v>
      </c>
      <c r="AJ41" s="337">
        <f>SUMIFS(BS_RE33!$H$7:$H$874,BS_RE33!$S$7:$S$874,$AJ$2,BS_RE33!$N$7:$N$874,I41,BS_RE33!$P$7:$P$874,'30 days CF Table(RMB)'!G41,BS_RE33!$F$7:$F$874,'30 days CF Table(RMB)'!$C$2)</f>
        <v>0</v>
      </c>
      <c r="AK41" s="337">
        <f>SUMIFS(BS_RE33!$H$7:$H$874,BS_RE33!$S$7:$S$874,$AK$2,BS_RE33!$N$7:$N$874,I41,BS_RE33!$P$7:$P$874,'30 days CF Table(RMB)'!G41,BS_RE33!$F$7:$F$874,'30 days CF Table(RMB)'!$C$2)</f>
        <v>0</v>
      </c>
      <c r="AL41" s="337">
        <f>SUMIFS(BS_RE33!$H$7:$H$874,BS_RE33!$S$7:$S$874,$AL$2,BS_RE33!$N$7:$N$874,I41,BS_RE33!$P$7:$P$874,'30 days CF Table(RMB)'!G41,BS_RE33!$F$7:$F$874,'30 days CF Table(RMB)'!$C$2)</f>
        <v>0</v>
      </c>
      <c r="AM41" s="337">
        <f>SUMIFS(BS_RE33!$H$7:$H$874,BS_RE33!$S$7:$S$874,$AM$2,BS_RE33!$N$7:$N$874,I41,BS_RE33!$P$7:$P$874,'30 days CF Table(RMB)'!G41,BS_RE33!$F$7:$F$874,'30 days CF Table(RMB)'!$C$2)</f>
        <v>0</v>
      </c>
      <c r="AN41" s="337">
        <f>SUMIFS(BS_RE33!$H$7:$H$874,BS_RE33!$S$7:$S$874,$AN$2,BS_RE33!$N$7:$N$874,I41,BS_RE33!$P$7:$P$874,'30 days CF Table(RMB)'!G41,BS_RE33!$F$7:$F$874,'30 days CF Table(RMB)'!$C$2)</f>
        <v>0</v>
      </c>
      <c r="AO41" s="337">
        <f>SUMIFS(BS_RE33!$H$7:$H$874,BS_RE33!$S$7:$S$874,$AO$2,BS_RE33!$N$7:$N$874,I41,BS_RE33!$P$7:$P$874,'30 days CF Table(RMB)'!G41,BS_RE33!$F$7:$F$874,'30 days CF Table(RMB)'!$C$2)</f>
        <v>0</v>
      </c>
      <c r="AP41" s="338">
        <f>SUMIFS(BS_RE33!$H$7:$H$874,BS_RE33!$S$7:$S$874,$AP$2,BS_RE33!$N$7:$N$874,I41,BS_RE33!$P$7:$P$874,'30 days CF Table(RMB)'!G41,BS_RE33!$F$7:$F$874,'30 days CF Table(RMB)'!$C$2)</f>
        <v>0</v>
      </c>
      <c r="AR41" s="379">
        <f>SUMIFS(BS_RE33!$H$7:$H$874,BS_RE33!$S$7:$S$874,$AR$2,BS_RE33!$N$7:$N$874,I41,BS_RE33!$P$7:$P$874,'30 days CF Table(RMB)'!G41,BS_RE33!$F$7:$F$874,'30 days CF Table(RMB)'!$C$2)</f>
        <v>0</v>
      </c>
      <c r="AS41" s="379">
        <f>SUMIFS(BS_RE33!$H$7:$H$874,BS_RE33!$S$7:$S$874,$AS$2,BS_RE33!$N$7:$N$874,I41,BS_RE33!$P$7:$P$874,'30 days CF Table(RMB)'!G41,BS_RE33!$F$7:$F$874,'30 days CF Table(RMB)'!$C$2)</f>
        <v>0</v>
      </c>
      <c r="AT41" s="379">
        <f>SUMIFS(BS_RE33!$H$7:$H$874,BS_RE33!$S$7:$S$874,$AT$2,BS_RE33!$N$7:$N$874,I41,BS_RE33!$P$7:$P$874,'30 days CF Table(RMB)'!G41,BS_RE33!$F$7:$F$874,'30 days CF Table(RMB)'!$C$2)</f>
        <v>0</v>
      </c>
      <c r="AU41" s="379">
        <f>SUMIFS(BS_RE33!$H$7:$H$874,BS_RE33!$S$7:$S$874,$AU$2,BS_RE33!$N$7:$N$874,I41,BS_RE33!$P$7:$P$874,'30 days CF Table(RMB)'!G41,BS_RE33!$F$7:$F$874,'30 days CF Table(RMB)'!$C$2)</f>
        <v>0</v>
      </c>
      <c r="AV41" s="379">
        <f>SUMIFS(BS_RE33!$H$7:$H$874,BS_RE33!$S$7:$S$874,$AV$2,BS_RE33!$N$7:$N$874,I41,BS_RE33!$P$7:$P$874,'30 days CF Table(RMB)'!G41,BS_RE33!$F$7:$F$874,'30 days CF Table(RMB)'!$C$2)</f>
        <v>0</v>
      </c>
      <c r="AW41" s="379">
        <f>SUMIFS(BS_RE33!$H$7:$H$874,BS_RE33!$S$7:$S$874,$AW$2,BS_RE33!$N$7:$N$874,I41,BS_RE33!$P$7:$P$874,'30 days CF Table(RMB)'!G41,BS_RE33!$F$7:$F$874,'30 days CF Table(RMB)'!$C$2)</f>
        <v>0</v>
      </c>
      <c r="AX41" s="379">
        <f>SUMIFS(BS_RE33!$H$7:$H$874,BS_RE33!$S$7:$S$874,$AX$2,BS_RE33!$N$7:$N$874,I41,BS_RE33!$P$7:$P$874,'30 days CF Table(RMB)'!G41,BS_RE33!$F$7:$F$874,'30 days CF Table(RMB)'!$C$2)</f>
        <v>0</v>
      </c>
      <c r="AY41" s="379">
        <f>SUMIFS(BS_RE33!$H$7:$H$874,BS_RE33!$S$7:$S$874,$AY$2,BS_RE33!$N$7:$N$874,I41,BS_RE33!$P$7:$P$874,'30 days CF Table(RMB)'!G41,BS_RE33!$F$7:$F$874,'30 days CF Table(RMB)'!$C$2)</f>
        <v>0</v>
      </c>
      <c r="AZ41" s="379">
        <f>SUMIFS(BS_RE33!$H$7:$H$874,BS_RE33!$S$7:$S$874,$AZ$2,BS_RE33!$N$7:$N$874,I41,BS_RE33!$P$7:$P$874,'30 days CF Table(RMB)'!G41,BS_RE33!$F$7:$F$874,'30 days CF Table(RMB)'!$C$2)</f>
        <v>0</v>
      </c>
      <c r="BA41" s="379">
        <f>SUMIFS(BS_RE33!$H$7:$H$874,BS_RE33!$S$7:$S$874,$BA$2,BS_RE33!$N$7:$N$874,I41,BS_RE33!$P$7:$P$874,'30 days CF Table(RMB)'!G41,BS_RE33!$F$7:$F$874,'30 days CF Table(RMB)'!$C$2)</f>
        <v>0</v>
      </c>
      <c r="BB41" s="379">
        <f>SUMIFS(BS_RE33!$H$7:$H$874,BS_RE33!$S$7:$S$874,$BB$2,BS_RE33!$N$7:$N$874,I41,BS_RE33!$P$7:$P$874,'30 days CF Table(RMB)'!G41,BS_RE33!$F$7:$F$874,'30 days CF Table(RMB)'!$C$2)</f>
        <v>0</v>
      </c>
      <c r="BC41" s="379">
        <f>SUMIFS(BS_RE33!$H$7:$H$874,BS_RE33!$S$7:$S$874,$BC$2,BS_RE33!$N$7:$N$874,I41,BS_RE33!$P$7:$P$874,'30 days CF Table(RMB)'!G41,BS_RE33!$F$7:$F$874,'30 days CF Table(RMB)'!$C$2)</f>
        <v>0</v>
      </c>
      <c r="BD41" s="379">
        <f>SUMIFS(BS_RE33!$H$7:$H$874,BS_RE33!$S$7:$S$874,$BD$2,BS_RE33!$N$7:$N$874,I41,BS_RE33!$P$7:$P$874,'30 days CF Table(RMB)'!G41,BS_RE33!$F$7:$F$874,'30 days CF Table(RMB)'!$C$2)</f>
        <v>0</v>
      </c>
      <c r="BE41" s="379">
        <f>SUMIFS(BS_RE33!$H$7:$H$874,BS_RE33!$S$7:$S$874,$BE$2,BS_RE33!$N$7:$N$874,I41,BS_RE33!$P$7:$P$874,'30 days CF Table(RMB)'!G41,BS_RE33!$F$7:$F$874,'30 days CF Table(RMB)'!$C$2)</f>
        <v>0</v>
      </c>
      <c r="BF41" s="379">
        <f>SUMIFS(BS_RE33!$H$7:$H$874,BS_RE33!$S$7:$S$874,$BF$2,BS_RE33!$N$7:$N$874,I41,BS_RE33!$P$7:$P$874,'30 days CF Table(RMB)'!G41,BS_RE33!$F$7:$F$874,'30 days CF Table(RMB)'!$C$2)</f>
        <v>0</v>
      </c>
      <c r="BG41" s="379">
        <f>SUMIFS(BS_RE33!$H$7:$H$874,BS_RE33!$S$7:$S$874,$BG$2,BS_RE33!$N$7:$N$874,I41,BS_RE33!$P$7:$P$874,'30 days CF Table(RMB)'!G41,BS_RE33!$F$7:$F$874,'30 days CF Table(RMB)'!$C$2)</f>
        <v>0</v>
      </c>
      <c r="BH41" s="379">
        <f>SUMIFS(BS_RE33!$H$7:$H$874,BS_RE33!$S$7:$S$874,$BH$2,BS_RE33!$N$7:$N$874,I41,BS_RE33!$P$7:$P$874,'30 days CF Table(RMB)'!G41,BS_RE33!$F$7:$F$874,'30 days CF Table(RMB)'!$C$2)</f>
        <v>0</v>
      </c>
      <c r="BI41" s="379">
        <f>SUMIFS(BS_RE33!$H$7:$H$874,BS_RE33!$S$7:$S$874,$BI$2,BS_RE33!$N$7:$N$874,I41,BS_RE33!$P$7:$P$874,'30 days CF Table(RMB)'!G41,BS_RE33!$F$7:$F$874,'30 days CF Table(RMB)'!$C$2)</f>
        <v>0</v>
      </c>
      <c r="BJ41" s="379">
        <f>SUMIFS(BS_RE33!$H$7:$H$874,BS_RE33!$S$7:$S$874,$BJ$2,BS_RE33!$N$7:$N$874,I41,BS_RE33!$P$7:$P$874,'30 days CF Table(RMB)'!G41,BS_RE33!$F$7:$F$874,'30 days CF Table(RMB)'!$C$2)</f>
        <v>0</v>
      </c>
      <c r="BK41" s="379">
        <f>SUMIFS(BS_RE33!$H$7:$H$874,BS_RE33!$S$7:$S$874,$BK$2,BS_RE33!$N$7:$N$874,I41,BS_RE33!$P$7:$P$874,'30 days CF Table(RMB)'!G41,BS_RE33!$F$7:$F$874,'30 days CF Table(RMB)'!$C$2)</f>
        <v>0</v>
      </c>
    </row>
    <row r="42" spans="3:63">
      <c r="C42" s="1029"/>
      <c r="D42" s="1043"/>
      <c r="E42" s="108" t="s">
        <v>564</v>
      </c>
      <c r="F42" s="561"/>
      <c r="G42" s="392" t="s">
        <v>755</v>
      </c>
      <c r="H42" s="314">
        <v>1</v>
      </c>
      <c r="I42" s="315" t="s">
        <v>80</v>
      </c>
      <c r="J42" s="479">
        <f t="shared" si="2"/>
        <v>0</v>
      </c>
      <c r="K42" s="336">
        <f t="shared" si="3"/>
        <v>0</v>
      </c>
      <c r="L42" s="337">
        <f>SUMIFS(BS_RE33!$H$7:$H$874,BS_RE33!$S$7:$S$874,$L$2,BS_RE33!$N$7:$N$874,I42,BS_RE33!$P$7:$P$874,'30 days CF Table(RMB)'!G42,BS_RE33!$F$7:$F$874,'30 days CF Table(RMB)'!$C$2)</f>
        <v>0</v>
      </c>
      <c r="M42" s="337">
        <f>SUMIFS(BS_RE33!$H$7:$H$874,BS_RE33!$S$7:$S$874,$M$2,BS_RE33!$N$7:$N$874,I42,BS_RE33!$P$7:$P$874,'30 days CF Table(RMB)'!G42,BS_RE33!$F$7:$F$874,'30 days CF Table(RMB)'!$C$2)</f>
        <v>0</v>
      </c>
      <c r="N42" s="337">
        <f>SUMIFS(BS_RE33!$H$7:$H$874,BS_RE33!$S$7:$S$874,$N$2,BS_RE33!$N$7:$N$874,I42,BS_RE33!$P$7:$P$874,'30 days CF Table(RMB)'!G42,BS_RE33!$F$7:$F$874,'30 days CF Table(RMB)'!$C$2)</f>
        <v>0</v>
      </c>
      <c r="O42" s="337">
        <f>SUMIFS(BS_RE33!$H$7:$H$874,BS_RE33!$S$7:$S$874,$O$2,BS_RE33!$N$7:$N$874,I42,BS_RE33!$P$7:$P$874,'30 days CF Table(RMB)'!G42,BS_RE33!$F$7:$F$874,'30 days CF Table(RMB)'!$C$2)</f>
        <v>0</v>
      </c>
      <c r="P42" s="337">
        <f>SUMIFS(BS_RE33!$H$7:$H$874,BS_RE33!$S$7:$S$874,$P$2,BS_RE33!$N$7:$N$874,I42,BS_RE33!$P$7:$P$874,'30 days CF Table(RMB)'!G42,BS_RE33!$F$7:$F$874,'30 days CF Table(RMB)'!$C$2)</f>
        <v>0</v>
      </c>
      <c r="Q42" s="337">
        <f>SUMIFS(BS_RE33!$H$7:$H$874,BS_RE33!$S$7:$S$874,$Q$2,BS_RE33!$N$7:$N$874,I42,BS_RE33!$P$7:$P$874,'30 days CF Table(RMB)'!G42,BS_RE33!$F$7:$F$874,'30 days CF Table(RMB)'!$C$2)</f>
        <v>0</v>
      </c>
      <c r="R42" s="337">
        <f>SUMIFS(BS_RE33!$H$7:$H$874,BS_RE33!$S$7:$S$874,$R$2,BS_RE33!$N$7:$N$874,I42,BS_RE33!$P$7:$P$874,'30 days CF Table(RMB)'!G42,BS_RE33!$F$7:$F$874,'30 days CF Table(RMB)'!$C$2)</f>
        <v>0</v>
      </c>
      <c r="S42" s="337">
        <f>SUMIFS(BS_RE33!$H$7:$H$874,BS_RE33!$S$7:$S$874,$S$2,BS_RE33!$N$7:$N$874,I42,BS_RE33!$P$7:$P$874,'30 days CF Table(RMB)'!G42,BS_RE33!$F$7:$F$874,'30 days CF Table(RMB)'!$C$2)</f>
        <v>0</v>
      </c>
      <c r="T42" s="337">
        <f>SUMIFS(BS_RE33!$H$7:$H$874,BS_RE33!$S$7:$S$874,$T$2,BS_RE33!$N$7:$N$874,I42,BS_RE33!$P$7:$P$874,'30 days CF Table(RMB)'!G42,BS_RE33!$F$7:$F$874,'30 days CF Table(RMB)'!$C$2)</f>
        <v>0</v>
      </c>
      <c r="U42" s="337">
        <f>SUMIFS(BS_RE33!$H$7:$H$874,BS_RE33!$S$7:$S$874,$U$2,BS_RE33!$N$7:$N$874,I42,BS_RE33!$P$7:$P$874,'30 days CF Table(RMB)'!G42,BS_RE33!$F$7:$F$874,'30 days CF Table(RMB)'!$C$2)</f>
        <v>0</v>
      </c>
      <c r="V42" s="337">
        <f>SUMIFS(BS_RE33!$H$7:$H$874,BS_RE33!$S$7:$S$874,$V$2,BS_RE33!$N$7:$N$874,I42,BS_RE33!$P$7:$P$874,'30 days CF Table(RMB)'!G42,BS_RE33!$F$7:$F$874,'30 days CF Table(RMB)'!$C$2)</f>
        <v>0</v>
      </c>
      <c r="W42" s="337">
        <f>SUMIFS(BS_RE33!$H$7:$H$874,BS_RE33!$S$7:$S$874,$W$2,BS_RE33!$N$7:$N$874,I42,BS_RE33!$P$7:$P$874,'30 days CF Table(RMB)'!G42,BS_RE33!$F$7:$F$874,'30 days CF Table(RMB)'!$C$2)</f>
        <v>0</v>
      </c>
      <c r="X42" s="337">
        <f>SUMIFS(BS_RE33!$H$7:$H$874,BS_RE33!$S$7:$S$874,$X$2,BS_RE33!$N$7:$N$874,I42,BS_RE33!$P$7:$P$874,'30 days CF Table(RMB)'!G42,BS_RE33!$F$7:$F$874,'30 days CF Table(RMB)'!$C$2)</f>
        <v>0</v>
      </c>
      <c r="Y42" s="337">
        <f>SUMIFS(BS_RE33!$H$7:$H$874,BS_RE33!$S$7:$S$874,$Y$2,BS_RE33!$N$7:$N$874,I42,BS_RE33!$P$7:$P$874,'30 days CF Table(RMB)'!G42,BS_RE33!$F$7:$F$874,'30 days CF Table(RMB)'!$C$2)</f>
        <v>0</v>
      </c>
      <c r="Z42" s="337">
        <f>SUMIFS(BS_RE33!$H$7:$H$874,BS_RE33!$S$7:$S$874,$Z$2,BS_RE33!$N$7:$N$874,I42,BS_RE33!$P$7:$P$874,'30 days CF Table(RMB)'!G42,BS_RE33!$F$7:$F$874,'30 days CF Table(RMB)'!$C$2)</f>
        <v>0</v>
      </c>
      <c r="AA42" s="337">
        <f>SUMIFS(BS_RE33!$H$7:$H$874,BS_RE33!$S$7:$S$874,$AA$2,BS_RE33!$N$7:$N$874,I42,BS_RE33!$P$7:$P$874,'30 days CF Table(RMB)'!G42,BS_RE33!$F$7:$F$874,'30 days CF Table(RMB)'!$C$2)</f>
        <v>0</v>
      </c>
      <c r="AB42" s="337">
        <f>SUMIFS(BS_RE33!$H$7:$H$874,BS_RE33!$S$7:$S$874,$AB$2,BS_RE33!$N$7:$N$874,I42,BS_RE33!$P$7:$P$874,'30 days CF Table(RMB)'!G42,BS_RE33!$F$7:$F$874,'30 days CF Table(RMB)'!$C$2)</f>
        <v>0</v>
      </c>
      <c r="AC42" s="337">
        <f>SUMIFS(BS_RE33!$H$7:$H$874,BS_RE33!$S$7:$S$874,$AC$2,BS_RE33!$N$7:$N$874,I42,BS_RE33!$P$7:$P$874,'30 days CF Table(RMB)'!G42,BS_RE33!$F$7:$F$874,'30 days CF Table(RMB)'!$C$2)</f>
        <v>0</v>
      </c>
      <c r="AD42" s="337">
        <f>SUMIFS(BS_RE33!$H$7:$H$874,BS_RE33!$S$7:$S$874,$AD$2,BS_RE33!$N$7:$N$874,I42,BS_RE33!$P$7:$P$874,'30 days CF Table(RMB)'!G42,BS_RE33!$F$7:$F$874,'30 days CF Table(RMB)'!$C$2)</f>
        <v>0</v>
      </c>
      <c r="AE42" s="337">
        <f>SUMIFS(BS_RE33!$H$7:$H$874,BS_RE33!$S$7:$S$874,$AE$2,BS_RE33!$N$7:$N$874,I42,BS_RE33!$P$7:$P$874,'30 days CF Table(RMB)'!G42,BS_RE33!$F$7:$F$874,'30 days CF Table(RMB)'!$C$2)</f>
        <v>0</v>
      </c>
      <c r="AF42" s="337">
        <f>SUMIFS(BS_RE33!$H$7:$H$874,BS_RE33!$S$7:$S$874,$AF$2,BS_RE33!$N$7:$N$874,I42,BS_RE33!$P$7:$P$874,'30 days CF Table(RMB)'!G42,BS_RE33!$F$7:$F$874,'30 days CF Table(RMB)'!$C$2)</f>
        <v>0</v>
      </c>
      <c r="AG42" s="337">
        <f>SUMIFS(BS_RE33!$H$7:$H$874,BS_RE33!$S$7:$S$874,$AG$2,BS_RE33!$N$7:$N$874,I42,BS_RE33!$P$7:$P$874,'30 days CF Table(RMB)'!G42,BS_RE33!$F$7:$F$874,'30 days CF Table(RMB)'!$C$2)</f>
        <v>0</v>
      </c>
      <c r="AH42" s="337">
        <f>SUMIFS(BS_RE33!$H$7:$H$874,BS_RE33!$S$7:$S$874,$AH$2,BS_RE33!$N$7:$N$874,I42,BS_RE33!$P$7:$P$874,'30 days CF Table(RMB)'!G42,BS_RE33!$F$7:$F$874,'30 days CF Table(RMB)'!$C$2)</f>
        <v>0</v>
      </c>
      <c r="AI42" s="337">
        <f>SUMIFS(BS_RE33!$H$7:$H$874,BS_RE33!$S$7:$S$874,$AI$2,BS_RE33!$N$7:$N$874,I42,BS_RE33!$P$7:$P$874,'30 days CF Table(RMB)'!G42,BS_RE33!$F$7:$F$874,'30 days CF Table(RMB)'!$C$2)</f>
        <v>0</v>
      </c>
      <c r="AJ42" s="337">
        <f>SUMIFS(BS_RE33!$H$7:$H$874,BS_RE33!$S$7:$S$874,$AJ$2,BS_RE33!$N$7:$N$874,I42,BS_RE33!$P$7:$P$874,'30 days CF Table(RMB)'!G42,BS_RE33!$F$7:$F$874,'30 days CF Table(RMB)'!$C$2)</f>
        <v>0</v>
      </c>
      <c r="AK42" s="337">
        <f>SUMIFS(BS_RE33!$H$7:$H$874,BS_RE33!$S$7:$S$874,$AK$2,BS_RE33!$N$7:$N$874,I42,BS_RE33!$P$7:$P$874,'30 days CF Table(RMB)'!G42,BS_RE33!$F$7:$F$874,'30 days CF Table(RMB)'!$C$2)</f>
        <v>0</v>
      </c>
      <c r="AL42" s="337">
        <f>SUMIFS(BS_RE33!$H$7:$H$874,BS_RE33!$S$7:$S$874,$AL$2,BS_RE33!$N$7:$N$874,I42,BS_RE33!$P$7:$P$874,'30 days CF Table(RMB)'!G42,BS_RE33!$F$7:$F$874,'30 days CF Table(RMB)'!$C$2)</f>
        <v>0</v>
      </c>
      <c r="AM42" s="337">
        <f>SUMIFS(BS_RE33!$H$7:$H$874,BS_RE33!$S$7:$S$874,$AM$2,BS_RE33!$N$7:$N$874,I42,BS_RE33!$P$7:$P$874,'30 days CF Table(RMB)'!G42,BS_RE33!$F$7:$F$874,'30 days CF Table(RMB)'!$C$2)</f>
        <v>0</v>
      </c>
      <c r="AN42" s="337">
        <f>SUMIFS(BS_RE33!$H$7:$H$874,BS_RE33!$S$7:$S$874,$AN$2,BS_RE33!$N$7:$N$874,I42,BS_RE33!$P$7:$P$874,'30 days CF Table(RMB)'!G42,BS_RE33!$F$7:$F$874,'30 days CF Table(RMB)'!$C$2)</f>
        <v>0</v>
      </c>
      <c r="AO42" s="337">
        <f>SUMIFS(BS_RE33!$H$7:$H$874,BS_RE33!$S$7:$S$874,$AO$2,BS_RE33!$N$7:$N$874,I42,BS_RE33!$P$7:$P$874,'30 days CF Table(RMB)'!G42,BS_RE33!$F$7:$F$874,'30 days CF Table(RMB)'!$C$2)</f>
        <v>0</v>
      </c>
      <c r="AP42" s="338">
        <f>SUMIFS(BS_RE33!$H$7:$H$874,BS_RE33!$S$7:$S$874,$AP$2,BS_RE33!$N$7:$N$874,I42,BS_RE33!$P$7:$P$874,'30 days CF Table(RMB)'!G42,BS_RE33!$F$7:$F$874,'30 days CF Table(RMB)'!$C$2)</f>
        <v>0</v>
      </c>
      <c r="AR42" s="379">
        <f>SUMIFS(BS_RE33!$H$7:$H$874,BS_RE33!$S$7:$S$874,$AR$2,BS_RE33!$N$7:$N$874,I42,BS_RE33!$P$7:$P$874,'30 days CF Table(RMB)'!G42,BS_RE33!$F$7:$F$874,'30 days CF Table(RMB)'!$C$2)</f>
        <v>0</v>
      </c>
      <c r="AS42" s="379">
        <f>SUMIFS(BS_RE33!$H$7:$H$874,BS_RE33!$S$7:$S$874,$AS$2,BS_RE33!$N$7:$N$874,I42,BS_RE33!$P$7:$P$874,'30 days CF Table(RMB)'!G42,BS_RE33!$F$7:$F$874,'30 days CF Table(RMB)'!$C$2)</f>
        <v>0</v>
      </c>
      <c r="AT42" s="379">
        <f>SUMIFS(BS_RE33!$H$7:$H$874,BS_RE33!$S$7:$S$874,$AT$2,BS_RE33!$N$7:$N$874,I42,BS_RE33!$P$7:$P$874,'30 days CF Table(RMB)'!G42,BS_RE33!$F$7:$F$874,'30 days CF Table(RMB)'!$C$2)</f>
        <v>0</v>
      </c>
      <c r="AU42" s="379">
        <f>SUMIFS(BS_RE33!$H$7:$H$874,BS_RE33!$S$7:$S$874,$AU$2,BS_RE33!$N$7:$N$874,I42,BS_RE33!$P$7:$P$874,'30 days CF Table(RMB)'!G42,BS_RE33!$F$7:$F$874,'30 days CF Table(RMB)'!$C$2)</f>
        <v>0</v>
      </c>
      <c r="AV42" s="379">
        <f>SUMIFS(BS_RE33!$H$7:$H$874,BS_RE33!$S$7:$S$874,$AV$2,BS_RE33!$N$7:$N$874,I42,BS_RE33!$P$7:$P$874,'30 days CF Table(RMB)'!G42,BS_RE33!$F$7:$F$874,'30 days CF Table(RMB)'!$C$2)</f>
        <v>0</v>
      </c>
      <c r="AW42" s="379">
        <f>SUMIFS(BS_RE33!$H$7:$H$874,BS_RE33!$S$7:$S$874,$AW$2,BS_RE33!$N$7:$N$874,I42,BS_RE33!$P$7:$P$874,'30 days CF Table(RMB)'!G42,BS_RE33!$F$7:$F$874,'30 days CF Table(RMB)'!$C$2)</f>
        <v>0</v>
      </c>
      <c r="AX42" s="379">
        <f>SUMIFS(BS_RE33!$H$7:$H$874,BS_RE33!$S$7:$S$874,$AX$2,BS_RE33!$N$7:$N$874,I42,BS_RE33!$P$7:$P$874,'30 days CF Table(RMB)'!G42,BS_RE33!$F$7:$F$874,'30 days CF Table(RMB)'!$C$2)</f>
        <v>0</v>
      </c>
      <c r="AY42" s="379">
        <f>SUMIFS(BS_RE33!$H$7:$H$874,BS_RE33!$S$7:$S$874,$AY$2,BS_RE33!$N$7:$N$874,I42,BS_RE33!$P$7:$P$874,'30 days CF Table(RMB)'!G42,BS_RE33!$F$7:$F$874,'30 days CF Table(RMB)'!$C$2)</f>
        <v>0</v>
      </c>
      <c r="AZ42" s="379">
        <f>SUMIFS(BS_RE33!$H$7:$H$874,BS_RE33!$S$7:$S$874,$AZ$2,BS_RE33!$N$7:$N$874,I42,BS_RE33!$P$7:$P$874,'30 days CF Table(RMB)'!G42,BS_RE33!$F$7:$F$874,'30 days CF Table(RMB)'!$C$2)</f>
        <v>0</v>
      </c>
      <c r="BA42" s="379">
        <f>SUMIFS(BS_RE33!$H$7:$H$874,BS_RE33!$S$7:$S$874,$BA$2,BS_RE33!$N$7:$N$874,I42,BS_RE33!$P$7:$P$874,'30 days CF Table(RMB)'!G42,BS_RE33!$F$7:$F$874,'30 days CF Table(RMB)'!$C$2)</f>
        <v>0</v>
      </c>
      <c r="BB42" s="379">
        <f>SUMIFS(BS_RE33!$H$7:$H$874,BS_RE33!$S$7:$S$874,$BB$2,BS_RE33!$N$7:$N$874,I42,BS_RE33!$P$7:$P$874,'30 days CF Table(RMB)'!G42,BS_RE33!$F$7:$F$874,'30 days CF Table(RMB)'!$C$2)</f>
        <v>0</v>
      </c>
      <c r="BC42" s="379">
        <f>SUMIFS(BS_RE33!$H$7:$H$874,BS_RE33!$S$7:$S$874,$BC$2,BS_RE33!$N$7:$N$874,I42,BS_RE33!$P$7:$P$874,'30 days CF Table(RMB)'!G42,BS_RE33!$F$7:$F$874,'30 days CF Table(RMB)'!$C$2)</f>
        <v>0</v>
      </c>
      <c r="BD42" s="379">
        <f>SUMIFS(BS_RE33!$H$7:$H$874,BS_RE33!$S$7:$S$874,$BD$2,BS_RE33!$N$7:$N$874,I42,BS_RE33!$P$7:$P$874,'30 days CF Table(RMB)'!G42,BS_RE33!$F$7:$F$874,'30 days CF Table(RMB)'!$C$2)</f>
        <v>0</v>
      </c>
      <c r="BE42" s="379">
        <f>SUMIFS(BS_RE33!$H$7:$H$874,BS_RE33!$S$7:$S$874,$BE$2,BS_RE33!$N$7:$N$874,I42,BS_RE33!$P$7:$P$874,'30 days CF Table(RMB)'!G42,BS_RE33!$F$7:$F$874,'30 days CF Table(RMB)'!$C$2)</f>
        <v>0</v>
      </c>
      <c r="BF42" s="379">
        <f>SUMIFS(BS_RE33!$H$7:$H$874,BS_RE33!$S$7:$S$874,$BF$2,BS_RE33!$N$7:$N$874,I42,BS_RE33!$P$7:$P$874,'30 days CF Table(RMB)'!G42,BS_RE33!$F$7:$F$874,'30 days CF Table(RMB)'!$C$2)</f>
        <v>0</v>
      </c>
      <c r="BG42" s="379">
        <f>SUMIFS(BS_RE33!$H$7:$H$874,BS_RE33!$S$7:$S$874,$BG$2,BS_RE33!$N$7:$N$874,I42,BS_RE33!$P$7:$P$874,'30 days CF Table(RMB)'!G42,BS_RE33!$F$7:$F$874,'30 days CF Table(RMB)'!$C$2)</f>
        <v>0</v>
      </c>
      <c r="BH42" s="379">
        <f>SUMIFS(BS_RE33!$H$7:$H$874,BS_RE33!$S$7:$S$874,$BH$2,BS_RE33!$N$7:$N$874,I42,BS_RE33!$P$7:$P$874,'30 days CF Table(RMB)'!G42,BS_RE33!$F$7:$F$874,'30 days CF Table(RMB)'!$C$2)</f>
        <v>0</v>
      </c>
      <c r="BI42" s="379">
        <f>SUMIFS(BS_RE33!$H$7:$H$874,BS_RE33!$S$7:$S$874,$BI$2,BS_RE33!$N$7:$N$874,I42,BS_RE33!$P$7:$P$874,'30 days CF Table(RMB)'!G42,BS_RE33!$F$7:$F$874,'30 days CF Table(RMB)'!$C$2)</f>
        <v>0</v>
      </c>
      <c r="BJ42" s="379">
        <f>SUMIFS(BS_RE33!$H$7:$H$874,BS_RE33!$S$7:$S$874,$BJ$2,BS_RE33!$N$7:$N$874,I42,BS_RE33!$P$7:$P$874,'30 days CF Table(RMB)'!G42,BS_RE33!$F$7:$F$874,'30 days CF Table(RMB)'!$C$2)</f>
        <v>0</v>
      </c>
      <c r="BK42" s="379">
        <f>SUMIFS(BS_RE33!$H$7:$H$874,BS_RE33!$S$7:$S$874,$BK$2,BS_RE33!$N$7:$N$874,I42,BS_RE33!$P$7:$P$874,'30 days CF Table(RMB)'!G42,BS_RE33!$F$7:$F$874,'30 days CF Table(RMB)'!$C$2)</f>
        <v>0</v>
      </c>
    </row>
    <row r="43" spans="3:63">
      <c r="C43" s="1029"/>
      <c r="D43" s="1042"/>
      <c r="E43" s="108" t="s">
        <v>88</v>
      </c>
      <c r="F43" s="309"/>
      <c r="G43" s="392" t="s">
        <v>526</v>
      </c>
      <c r="H43" s="314">
        <v>1</v>
      </c>
      <c r="I43" s="315" t="s">
        <v>80</v>
      </c>
      <c r="J43" s="479">
        <f t="shared" si="2"/>
        <v>0</v>
      </c>
      <c r="K43" s="336">
        <f t="shared" si="3"/>
        <v>0</v>
      </c>
      <c r="L43" s="337">
        <f>SUMIFS(BS_RE33!$H$7:$H$874,BS_RE33!$S$7:$S$874,$L$2,BS_RE33!$N$7:$N$874,I43,BS_RE33!$P$7:$P$874,'30 days CF Table(RMB)'!G43,BS_RE33!$F$7:$F$874,'30 days CF Table(RMB)'!$C$2)</f>
        <v>0</v>
      </c>
      <c r="M43" s="337">
        <f>SUMIFS(BS_RE33!$H$7:$H$874,BS_RE33!$S$7:$S$874,$M$2,BS_RE33!$N$7:$N$874,I43,BS_RE33!$P$7:$P$874,'30 days CF Table(RMB)'!G43,BS_RE33!$F$7:$F$874,'30 days CF Table(RMB)'!$C$2)</f>
        <v>0</v>
      </c>
      <c r="N43" s="337">
        <f>SUMIFS(BS_RE33!$H$7:$H$874,BS_RE33!$S$7:$S$874,$N$2,BS_RE33!$N$7:$N$874,I43,BS_RE33!$P$7:$P$874,'30 days CF Table(RMB)'!G43,BS_RE33!$F$7:$F$874,'30 days CF Table(RMB)'!$C$2)</f>
        <v>0</v>
      </c>
      <c r="O43" s="337">
        <f>SUMIFS(BS_RE33!$H$7:$H$874,BS_RE33!$S$7:$S$874,$O$2,BS_RE33!$N$7:$N$874,I43,BS_RE33!$P$7:$P$874,'30 days CF Table(RMB)'!G43,BS_RE33!$F$7:$F$874,'30 days CF Table(RMB)'!$C$2)</f>
        <v>0</v>
      </c>
      <c r="P43" s="337">
        <f>SUMIFS(BS_RE33!$H$7:$H$874,BS_RE33!$S$7:$S$874,$P$2,BS_RE33!$N$7:$N$874,I43,BS_RE33!$P$7:$P$874,'30 days CF Table(RMB)'!G43,BS_RE33!$F$7:$F$874,'30 days CF Table(RMB)'!$C$2)</f>
        <v>0</v>
      </c>
      <c r="Q43" s="337">
        <f>SUMIFS(BS_RE33!$H$7:$H$874,BS_RE33!$S$7:$S$874,$Q$2,BS_RE33!$N$7:$N$874,I43,BS_RE33!$P$7:$P$874,'30 days CF Table(RMB)'!G43,BS_RE33!$F$7:$F$874,'30 days CF Table(RMB)'!$C$2)</f>
        <v>0</v>
      </c>
      <c r="R43" s="337">
        <f>SUMIFS(BS_RE33!$H$7:$H$874,BS_RE33!$S$7:$S$874,$R$2,BS_RE33!$N$7:$N$874,I43,BS_RE33!$P$7:$P$874,'30 days CF Table(RMB)'!G43,BS_RE33!$F$7:$F$874,'30 days CF Table(RMB)'!$C$2)</f>
        <v>0</v>
      </c>
      <c r="S43" s="337">
        <f>SUMIFS(BS_RE33!$H$7:$H$874,BS_RE33!$S$7:$S$874,$S$2,BS_RE33!$N$7:$N$874,I43,BS_RE33!$P$7:$P$874,'30 days CF Table(RMB)'!G43,BS_RE33!$F$7:$F$874,'30 days CF Table(RMB)'!$C$2)</f>
        <v>0</v>
      </c>
      <c r="T43" s="337">
        <f>SUMIFS(BS_RE33!$H$7:$H$874,BS_RE33!$S$7:$S$874,$T$2,BS_RE33!$N$7:$N$874,I43,BS_RE33!$P$7:$P$874,'30 days CF Table(RMB)'!G43,BS_RE33!$F$7:$F$874,'30 days CF Table(RMB)'!$C$2)</f>
        <v>0</v>
      </c>
      <c r="U43" s="337">
        <f>SUMIFS(BS_RE33!$H$7:$H$874,BS_RE33!$S$7:$S$874,$U$2,BS_RE33!$N$7:$N$874,I43,BS_RE33!$P$7:$P$874,'30 days CF Table(RMB)'!G43,BS_RE33!$F$7:$F$874,'30 days CF Table(RMB)'!$C$2)</f>
        <v>0</v>
      </c>
      <c r="V43" s="337">
        <f>SUMIFS(BS_RE33!$H$7:$H$874,BS_RE33!$S$7:$S$874,$V$2,BS_RE33!$N$7:$N$874,I43,BS_RE33!$P$7:$P$874,'30 days CF Table(RMB)'!G43,BS_RE33!$F$7:$F$874,'30 days CF Table(RMB)'!$C$2)</f>
        <v>0</v>
      </c>
      <c r="W43" s="337">
        <f>SUMIFS(BS_RE33!$H$7:$H$874,BS_RE33!$S$7:$S$874,$W$2,BS_RE33!$N$7:$N$874,I43,BS_RE33!$P$7:$P$874,'30 days CF Table(RMB)'!G43,BS_RE33!$F$7:$F$874,'30 days CF Table(RMB)'!$C$2)</f>
        <v>0</v>
      </c>
      <c r="X43" s="337">
        <f>SUMIFS(BS_RE33!$H$7:$H$874,BS_RE33!$S$7:$S$874,$X$2,BS_RE33!$N$7:$N$874,I43,BS_RE33!$P$7:$P$874,'30 days CF Table(RMB)'!G43,BS_RE33!$F$7:$F$874,'30 days CF Table(RMB)'!$C$2)</f>
        <v>0</v>
      </c>
      <c r="Y43" s="337">
        <f>SUMIFS(BS_RE33!$H$7:$H$874,BS_RE33!$S$7:$S$874,$Y$2,BS_RE33!$N$7:$N$874,I43,BS_RE33!$P$7:$P$874,'30 days CF Table(RMB)'!G43,BS_RE33!$F$7:$F$874,'30 days CF Table(RMB)'!$C$2)</f>
        <v>0</v>
      </c>
      <c r="Z43" s="337">
        <f>SUMIFS(BS_RE33!$H$7:$H$874,BS_RE33!$S$7:$S$874,$Z$2,BS_RE33!$N$7:$N$874,I43,BS_RE33!$P$7:$P$874,'30 days CF Table(RMB)'!G43,BS_RE33!$F$7:$F$874,'30 days CF Table(RMB)'!$C$2)</f>
        <v>0</v>
      </c>
      <c r="AA43" s="337">
        <f>SUMIFS(BS_RE33!$H$7:$H$874,BS_RE33!$S$7:$S$874,$AA$2,BS_RE33!$N$7:$N$874,I43,BS_RE33!$P$7:$P$874,'30 days CF Table(RMB)'!G43,BS_RE33!$F$7:$F$874,'30 days CF Table(RMB)'!$C$2)</f>
        <v>0</v>
      </c>
      <c r="AB43" s="337">
        <f>SUMIFS(BS_RE33!$H$7:$H$874,BS_RE33!$S$7:$S$874,$AB$2,BS_RE33!$N$7:$N$874,I43,BS_RE33!$P$7:$P$874,'30 days CF Table(RMB)'!G43,BS_RE33!$F$7:$F$874,'30 days CF Table(RMB)'!$C$2)</f>
        <v>0</v>
      </c>
      <c r="AC43" s="337">
        <f>SUMIFS(BS_RE33!$H$7:$H$874,BS_RE33!$S$7:$S$874,$AC$2,BS_RE33!$N$7:$N$874,I43,BS_RE33!$P$7:$P$874,'30 days CF Table(RMB)'!G43,BS_RE33!$F$7:$F$874,'30 days CF Table(RMB)'!$C$2)</f>
        <v>0</v>
      </c>
      <c r="AD43" s="337">
        <f>SUMIFS(BS_RE33!$H$7:$H$874,BS_RE33!$S$7:$S$874,$AD$2,BS_RE33!$N$7:$N$874,I43,BS_RE33!$P$7:$P$874,'30 days CF Table(RMB)'!G43,BS_RE33!$F$7:$F$874,'30 days CF Table(RMB)'!$C$2)</f>
        <v>0</v>
      </c>
      <c r="AE43" s="337">
        <f>SUMIFS(BS_RE33!$H$7:$H$874,BS_RE33!$S$7:$S$874,$AE$2,BS_RE33!$N$7:$N$874,I43,BS_RE33!$P$7:$P$874,'30 days CF Table(RMB)'!G43,BS_RE33!$F$7:$F$874,'30 days CF Table(RMB)'!$C$2)</f>
        <v>0</v>
      </c>
      <c r="AF43" s="337">
        <f>SUMIFS(BS_RE33!$H$7:$H$874,BS_RE33!$S$7:$S$874,$AF$2,BS_RE33!$N$7:$N$874,I43,BS_RE33!$P$7:$P$874,'30 days CF Table(RMB)'!G43,BS_RE33!$F$7:$F$874,'30 days CF Table(RMB)'!$C$2)</f>
        <v>0</v>
      </c>
      <c r="AG43" s="337">
        <f>SUMIFS(BS_RE33!$H$7:$H$874,BS_RE33!$S$7:$S$874,$AG$2,BS_RE33!$N$7:$N$874,I43,BS_RE33!$P$7:$P$874,'30 days CF Table(RMB)'!G43,BS_RE33!$F$7:$F$874,'30 days CF Table(RMB)'!$C$2)</f>
        <v>0</v>
      </c>
      <c r="AH43" s="337">
        <f>SUMIFS(BS_RE33!$H$7:$H$874,BS_RE33!$S$7:$S$874,$AH$2,BS_RE33!$N$7:$N$874,I43,BS_RE33!$P$7:$P$874,'30 days CF Table(RMB)'!G43,BS_RE33!$F$7:$F$874,'30 days CF Table(RMB)'!$C$2)</f>
        <v>0</v>
      </c>
      <c r="AI43" s="337">
        <f>SUMIFS(BS_RE33!$H$7:$H$874,BS_RE33!$S$7:$S$874,$AI$2,BS_RE33!$N$7:$N$874,I43,BS_RE33!$P$7:$P$874,'30 days CF Table(RMB)'!G43,BS_RE33!$F$7:$F$874,'30 days CF Table(RMB)'!$C$2)</f>
        <v>0</v>
      </c>
      <c r="AJ43" s="337">
        <f>SUMIFS(BS_RE33!$H$7:$H$874,BS_RE33!$S$7:$S$874,$AJ$2,BS_RE33!$N$7:$N$874,I43,BS_RE33!$P$7:$P$874,'30 days CF Table(RMB)'!G43,BS_RE33!$F$7:$F$874,'30 days CF Table(RMB)'!$C$2)</f>
        <v>0</v>
      </c>
      <c r="AK43" s="337">
        <f>SUMIFS(BS_RE33!$H$7:$H$874,BS_RE33!$S$7:$S$874,$AK$2,BS_RE33!$N$7:$N$874,I43,BS_RE33!$P$7:$P$874,'30 days CF Table(RMB)'!G43,BS_RE33!$F$7:$F$874,'30 days CF Table(RMB)'!$C$2)</f>
        <v>0</v>
      </c>
      <c r="AL43" s="337">
        <f>SUMIFS(BS_RE33!$H$7:$H$874,BS_RE33!$S$7:$S$874,$AL$2,BS_RE33!$N$7:$N$874,I43,BS_RE33!$P$7:$P$874,'30 days CF Table(RMB)'!G43,BS_RE33!$F$7:$F$874,'30 days CF Table(RMB)'!$C$2)</f>
        <v>0</v>
      </c>
      <c r="AM43" s="337">
        <f>SUMIFS(BS_RE33!$H$7:$H$874,BS_RE33!$S$7:$S$874,$AM$2,BS_RE33!$N$7:$N$874,I43,BS_RE33!$P$7:$P$874,'30 days CF Table(RMB)'!G43,BS_RE33!$F$7:$F$874,'30 days CF Table(RMB)'!$C$2)</f>
        <v>0</v>
      </c>
      <c r="AN43" s="337">
        <f>SUMIFS(BS_RE33!$H$7:$H$874,BS_RE33!$S$7:$S$874,$AN$2,BS_RE33!$N$7:$N$874,I43,BS_RE33!$P$7:$P$874,'30 days CF Table(RMB)'!G43,BS_RE33!$F$7:$F$874,'30 days CF Table(RMB)'!$C$2)</f>
        <v>0</v>
      </c>
      <c r="AO43" s="337">
        <f>SUMIFS(BS_RE33!$H$7:$H$874,BS_RE33!$S$7:$S$874,$AO$2,BS_RE33!$N$7:$N$874,I43,BS_RE33!$P$7:$P$874,'30 days CF Table(RMB)'!G43,BS_RE33!$F$7:$F$874,'30 days CF Table(RMB)'!$C$2)</f>
        <v>0</v>
      </c>
      <c r="AP43" s="338">
        <f>SUMIFS(BS_RE33!$H$7:$H$874,BS_RE33!$S$7:$S$874,$AP$2,BS_RE33!$N$7:$N$874,I43,BS_RE33!$P$7:$P$874,'30 days CF Table(RMB)'!G43,BS_RE33!$F$7:$F$874,'30 days CF Table(RMB)'!$C$2)</f>
        <v>0</v>
      </c>
      <c r="AR43" s="379">
        <f>SUMIFS(BS_RE33!$H$7:$H$874,BS_RE33!$S$7:$S$874,$AR$2,BS_RE33!$N$7:$N$874,I43,BS_RE33!$P$7:$P$874,'30 days CF Table(RMB)'!G43,BS_RE33!$F$7:$F$874,'30 days CF Table(RMB)'!$C$2)</f>
        <v>0</v>
      </c>
      <c r="AS43" s="379">
        <f>SUMIFS(BS_RE33!$H$7:$H$874,BS_RE33!$S$7:$S$874,$AS$2,BS_RE33!$N$7:$N$874,I43,BS_RE33!$P$7:$P$874,'30 days CF Table(RMB)'!G43,BS_RE33!$F$7:$F$874,'30 days CF Table(RMB)'!$C$2)</f>
        <v>0</v>
      </c>
      <c r="AT43" s="379">
        <f>SUMIFS(BS_RE33!$H$7:$H$874,BS_RE33!$S$7:$S$874,$AT$2,BS_RE33!$N$7:$N$874,I43,BS_RE33!$P$7:$P$874,'30 days CF Table(RMB)'!G43,BS_RE33!$F$7:$F$874,'30 days CF Table(RMB)'!$C$2)</f>
        <v>0</v>
      </c>
      <c r="AU43" s="379">
        <f>SUMIFS(BS_RE33!$H$7:$H$874,BS_RE33!$S$7:$S$874,$AU$2,BS_RE33!$N$7:$N$874,I43,BS_RE33!$P$7:$P$874,'30 days CF Table(RMB)'!G43,BS_RE33!$F$7:$F$874,'30 days CF Table(RMB)'!$C$2)</f>
        <v>0</v>
      </c>
      <c r="AV43" s="379">
        <f>SUMIFS(BS_RE33!$H$7:$H$874,BS_RE33!$S$7:$S$874,$AV$2,BS_RE33!$N$7:$N$874,I43,BS_RE33!$P$7:$P$874,'30 days CF Table(RMB)'!G43,BS_RE33!$F$7:$F$874,'30 days CF Table(RMB)'!$C$2)</f>
        <v>0</v>
      </c>
      <c r="AW43" s="379">
        <f>SUMIFS(BS_RE33!$H$7:$H$874,BS_RE33!$S$7:$S$874,$AW$2,BS_RE33!$N$7:$N$874,I43,BS_RE33!$P$7:$P$874,'30 days CF Table(RMB)'!G43,BS_RE33!$F$7:$F$874,'30 days CF Table(RMB)'!$C$2)</f>
        <v>0</v>
      </c>
      <c r="AX43" s="379">
        <f>SUMIFS(BS_RE33!$H$7:$H$874,BS_RE33!$S$7:$S$874,$AX$2,BS_RE33!$N$7:$N$874,I43,BS_RE33!$P$7:$P$874,'30 days CF Table(RMB)'!G43,BS_RE33!$F$7:$F$874,'30 days CF Table(RMB)'!$C$2)</f>
        <v>0</v>
      </c>
      <c r="AY43" s="379">
        <f>SUMIFS(BS_RE33!$H$7:$H$874,BS_RE33!$S$7:$S$874,$AY$2,BS_RE33!$N$7:$N$874,I43,BS_RE33!$P$7:$P$874,'30 days CF Table(RMB)'!G43,BS_RE33!$F$7:$F$874,'30 days CF Table(RMB)'!$C$2)</f>
        <v>0</v>
      </c>
      <c r="AZ43" s="379">
        <f>SUMIFS(BS_RE33!$H$7:$H$874,BS_RE33!$S$7:$S$874,$AZ$2,BS_RE33!$N$7:$N$874,I43,BS_RE33!$P$7:$P$874,'30 days CF Table(RMB)'!G43,BS_RE33!$F$7:$F$874,'30 days CF Table(RMB)'!$C$2)</f>
        <v>0</v>
      </c>
      <c r="BA43" s="379">
        <f>SUMIFS(BS_RE33!$H$7:$H$874,BS_RE33!$S$7:$S$874,$BA$2,BS_RE33!$N$7:$N$874,I43,BS_RE33!$P$7:$P$874,'30 days CF Table(RMB)'!G43,BS_RE33!$F$7:$F$874,'30 days CF Table(RMB)'!$C$2)</f>
        <v>0</v>
      </c>
      <c r="BB43" s="379">
        <f>SUMIFS(BS_RE33!$H$7:$H$874,BS_RE33!$S$7:$S$874,$BB$2,BS_RE33!$N$7:$N$874,I43,BS_RE33!$P$7:$P$874,'30 days CF Table(RMB)'!G43,BS_RE33!$F$7:$F$874,'30 days CF Table(RMB)'!$C$2)</f>
        <v>0</v>
      </c>
      <c r="BC43" s="379">
        <f>SUMIFS(BS_RE33!$H$7:$H$874,BS_RE33!$S$7:$S$874,$BC$2,BS_RE33!$N$7:$N$874,I43,BS_RE33!$P$7:$P$874,'30 days CF Table(RMB)'!G43,BS_RE33!$F$7:$F$874,'30 days CF Table(RMB)'!$C$2)</f>
        <v>0</v>
      </c>
      <c r="BD43" s="379">
        <f>SUMIFS(BS_RE33!$H$7:$H$874,BS_RE33!$S$7:$S$874,$BD$2,BS_RE33!$N$7:$N$874,I43,BS_RE33!$P$7:$P$874,'30 days CF Table(RMB)'!G43,BS_RE33!$F$7:$F$874,'30 days CF Table(RMB)'!$C$2)</f>
        <v>0</v>
      </c>
      <c r="BE43" s="379">
        <f>SUMIFS(BS_RE33!$H$7:$H$874,BS_RE33!$S$7:$S$874,$BE$2,BS_RE33!$N$7:$N$874,I43,BS_RE33!$P$7:$P$874,'30 days CF Table(RMB)'!G43,BS_RE33!$F$7:$F$874,'30 days CF Table(RMB)'!$C$2)</f>
        <v>0</v>
      </c>
      <c r="BF43" s="379">
        <f>SUMIFS(BS_RE33!$H$7:$H$874,BS_RE33!$S$7:$S$874,$BF$2,BS_RE33!$N$7:$N$874,I43,BS_RE33!$P$7:$P$874,'30 days CF Table(RMB)'!G43,BS_RE33!$F$7:$F$874,'30 days CF Table(RMB)'!$C$2)</f>
        <v>0</v>
      </c>
      <c r="BG43" s="379">
        <f>SUMIFS(BS_RE33!$H$7:$H$874,BS_RE33!$S$7:$S$874,$BG$2,BS_RE33!$N$7:$N$874,I43,BS_RE33!$P$7:$P$874,'30 days CF Table(RMB)'!G43,BS_RE33!$F$7:$F$874,'30 days CF Table(RMB)'!$C$2)</f>
        <v>0</v>
      </c>
      <c r="BH43" s="379">
        <f>SUMIFS(BS_RE33!$H$7:$H$874,BS_RE33!$S$7:$S$874,$BH$2,BS_RE33!$N$7:$N$874,I43,BS_RE33!$P$7:$P$874,'30 days CF Table(RMB)'!G43,BS_RE33!$F$7:$F$874,'30 days CF Table(RMB)'!$C$2)</f>
        <v>0</v>
      </c>
      <c r="BI43" s="379">
        <f>SUMIFS(BS_RE33!$H$7:$H$874,BS_RE33!$S$7:$S$874,$BI$2,BS_RE33!$N$7:$N$874,I43,BS_RE33!$P$7:$P$874,'30 days CF Table(RMB)'!G43,BS_RE33!$F$7:$F$874,'30 days CF Table(RMB)'!$C$2)</f>
        <v>0</v>
      </c>
      <c r="BJ43" s="379">
        <f>SUMIFS(BS_RE33!$H$7:$H$874,BS_RE33!$S$7:$S$874,$BJ$2,BS_RE33!$N$7:$N$874,I43,BS_RE33!$P$7:$P$874,'30 days CF Table(RMB)'!G43,BS_RE33!$F$7:$F$874,'30 days CF Table(RMB)'!$C$2)</f>
        <v>0</v>
      </c>
      <c r="BK43" s="379">
        <f>SUMIFS(BS_RE33!$H$7:$H$874,BS_RE33!$S$7:$S$874,$BK$2,BS_RE33!$N$7:$N$874,I43,BS_RE33!$P$7:$P$874,'30 days CF Table(RMB)'!G43,BS_RE33!$F$7:$F$874,'30 days CF Table(RMB)'!$C$2)</f>
        <v>0</v>
      </c>
    </row>
    <row r="44" spans="3:63">
      <c r="C44" s="1029"/>
      <c r="D44" s="1038" t="s">
        <v>766</v>
      </c>
      <c r="E44" s="105" t="s">
        <v>582</v>
      </c>
      <c r="F44" s="309"/>
      <c r="G44" s="392" t="s">
        <v>587</v>
      </c>
      <c r="H44" s="314">
        <v>1</v>
      </c>
      <c r="I44" s="315" t="s">
        <v>80</v>
      </c>
      <c r="J44" s="479">
        <f t="shared" si="2"/>
        <v>0</v>
      </c>
      <c r="K44" s="336">
        <f t="shared" si="3"/>
        <v>0</v>
      </c>
      <c r="L44" s="337">
        <f>SUMIFS(BS_RE33!$H$7:$H$874,BS_RE33!$S$7:$S$874,$L$2,BS_RE33!$N$7:$N$874,I44,BS_RE33!$P$7:$P$874,'30 days CF Table(RMB)'!G44,BS_RE33!$F$7:$F$874,'30 days CF Table(RMB)'!$C$2)</f>
        <v>0</v>
      </c>
      <c r="M44" s="337">
        <f>SUMIFS(BS_RE33!$H$7:$H$874,BS_RE33!$S$7:$S$874,$M$2,BS_RE33!$N$7:$N$874,I44,BS_RE33!$P$7:$P$874,'30 days CF Table(RMB)'!G44,BS_RE33!$F$7:$F$874,'30 days CF Table(RMB)'!$C$2)</f>
        <v>0</v>
      </c>
      <c r="N44" s="337">
        <f>SUMIFS(BS_RE33!$H$7:$H$874,BS_RE33!$S$7:$S$874,$N$2,BS_RE33!$N$7:$N$874,I44,BS_RE33!$P$7:$P$874,'30 days CF Table(RMB)'!G44,BS_RE33!$F$7:$F$874,'30 days CF Table(RMB)'!$C$2)</f>
        <v>0</v>
      </c>
      <c r="O44" s="337">
        <f>SUMIFS(BS_RE33!$H$7:$H$874,BS_RE33!$S$7:$S$874,$O$2,BS_RE33!$N$7:$N$874,I44,BS_RE33!$P$7:$P$874,'30 days CF Table(RMB)'!G44,BS_RE33!$F$7:$F$874,'30 days CF Table(RMB)'!$C$2)</f>
        <v>0</v>
      </c>
      <c r="P44" s="337">
        <f>SUMIFS(BS_RE33!$H$7:$H$874,BS_RE33!$S$7:$S$874,$P$2,BS_RE33!$N$7:$N$874,I44,BS_RE33!$P$7:$P$874,'30 days CF Table(RMB)'!G44,BS_RE33!$F$7:$F$874,'30 days CF Table(RMB)'!$C$2)</f>
        <v>0</v>
      </c>
      <c r="Q44" s="337">
        <f>SUMIFS(BS_RE33!$H$7:$H$874,BS_RE33!$S$7:$S$874,$Q$2,BS_RE33!$N$7:$N$874,I44,BS_RE33!$P$7:$P$874,'30 days CF Table(RMB)'!G44,BS_RE33!$F$7:$F$874,'30 days CF Table(RMB)'!$C$2)</f>
        <v>0</v>
      </c>
      <c r="R44" s="337">
        <f>SUMIFS(BS_RE33!$H$7:$H$874,BS_RE33!$S$7:$S$874,$R$2,BS_RE33!$N$7:$N$874,I44,BS_RE33!$P$7:$P$874,'30 days CF Table(RMB)'!G44,BS_RE33!$F$7:$F$874,'30 days CF Table(RMB)'!$C$2)</f>
        <v>0</v>
      </c>
      <c r="S44" s="337">
        <f>SUMIFS(BS_RE33!$H$7:$H$874,BS_RE33!$S$7:$S$874,$S$2,BS_RE33!$N$7:$N$874,I44,BS_RE33!$P$7:$P$874,'30 days CF Table(RMB)'!G44,BS_RE33!$F$7:$F$874,'30 days CF Table(RMB)'!$C$2)</f>
        <v>0</v>
      </c>
      <c r="T44" s="337">
        <f>SUMIFS(BS_RE33!$H$7:$H$874,BS_RE33!$S$7:$S$874,$T$2,BS_RE33!$N$7:$N$874,I44,BS_RE33!$P$7:$P$874,'30 days CF Table(RMB)'!G44,BS_RE33!$F$7:$F$874,'30 days CF Table(RMB)'!$C$2)</f>
        <v>0</v>
      </c>
      <c r="U44" s="337">
        <f>SUMIFS(BS_RE33!$H$7:$H$874,BS_RE33!$S$7:$S$874,$U$2,BS_RE33!$N$7:$N$874,I44,BS_RE33!$P$7:$P$874,'30 days CF Table(RMB)'!G44,BS_RE33!$F$7:$F$874,'30 days CF Table(RMB)'!$C$2)</f>
        <v>0</v>
      </c>
      <c r="V44" s="337">
        <f>SUMIFS(BS_RE33!$H$7:$H$874,BS_RE33!$S$7:$S$874,$V$2,BS_RE33!$N$7:$N$874,I44,BS_RE33!$P$7:$P$874,'30 days CF Table(RMB)'!G44,BS_RE33!$F$7:$F$874,'30 days CF Table(RMB)'!$C$2)</f>
        <v>0</v>
      </c>
      <c r="W44" s="337">
        <f>SUMIFS(BS_RE33!$H$7:$H$874,BS_RE33!$S$7:$S$874,$W$2,BS_RE33!$N$7:$N$874,I44,BS_RE33!$P$7:$P$874,'30 days CF Table(RMB)'!G44,BS_RE33!$F$7:$F$874,'30 days CF Table(RMB)'!$C$2)</f>
        <v>0</v>
      </c>
      <c r="X44" s="337">
        <f>SUMIFS(BS_RE33!$H$7:$H$874,BS_RE33!$S$7:$S$874,$X$2,BS_RE33!$N$7:$N$874,I44,BS_RE33!$P$7:$P$874,'30 days CF Table(RMB)'!G44,BS_RE33!$F$7:$F$874,'30 days CF Table(RMB)'!$C$2)</f>
        <v>0</v>
      </c>
      <c r="Y44" s="337">
        <f>SUMIFS(BS_RE33!$H$7:$H$874,BS_RE33!$S$7:$S$874,$Y$2,BS_RE33!$N$7:$N$874,I44,BS_RE33!$P$7:$P$874,'30 days CF Table(RMB)'!G44,BS_RE33!$F$7:$F$874,'30 days CF Table(RMB)'!$C$2)</f>
        <v>0</v>
      </c>
      <c r="Z44" s="337">
        <f>SUMIFS(BS_RE33!$H$7:$H$874,BS_RE33!$S$7:$S$874,$Z$2,BS_RE33!$N$7:$N$874,I44,BS_RE33!$P$7:$P$874,'30 days CF Table(RMB)'!G44,BS_RE33!$F$7:$F$874,'30 days CF Table(RMB)'!$C$2)</f>
        <v>0</v>
      </c>
      <c r="AA44" s="337">
        <f>SUMIFS(BS_RE33!$H$7:$H$874,BS_RE33!$S$7:$S$874,$AA$2,BS_RE33!$N$7:$N$874,I44,BS_RE33!$P$7:$P$874,'30 days CF Table(RMB)'!G44,BS_RE33!$F$7:$F$874,'30 days CF Table(RMB)'!$C$2)</f>
        <v>0</v>
      </c>
      <c r="AB44" s="337">
        <f>SUMIFS(BS_RE33!$H$7:$H$874,BS_RE33!$S$7:$S$874,$AB$2,BS_RE33!$N$7:$N$874,I44,BS_RE33!$P$7:$P$874,'30 days CF Table(RMB)'!G44,BS_RE33!$F$7:$F$874,'30 days CF Table(RMB)'!$C$2)</f>
        <v>0</v>
      </c>
      <c r="AC44" s="337">
        <f>SUMIFS(BS_RE33!$H$7:$H$874,BS_RE33!$S$7:$S$874,$AC$2,BS_RE33!$N$7:$N$874,I44,BS_RE33!$P$7:$P$874,'30 days CF Table(RMB)'!G44,BS_RE33!$F$7:$F$874,'30 days CF Table(RMB)'!$C$2)</f>
        <v>0</v>
      </c>
      <c r="AD44" s="337">
        <f>SUMIFS(BS_RE33!$H$7:$H$874,BS_RE33!$S$7:$S$874,$AD$2,BS_RE33!$N$7:$N$874,I44,BS_RE33!$P$7:$P$874,'30 days CF Table(RMB)'!G44,BS_RE33!$F$7:$F$874,'30 days CF Table(RMB)'!$C$2)</f>
        <v>0</v>
      </c>
      <c r="AE44" s="337">
        <f>SUMIFS(BS_RE33!$H$7:$H$874,BS_RE33!$S$7:$S$874,$AE$2,BS_RE33!$N$7:$N$874,I44,BS_RE33!$P$7:$P$874,'30 days CF Table(RMB)'!G44,BS_RE33!$F$7:$F$874,'30 days CF Table(RMB)'!$C$2)</f>
        <v>0</v>
      </c>
      <c r="AF44" s="337">
        <f>SUMIFS(BS_RE33!$H$7:$H$874,BS_RE33!$S$7:$S$874,$AF$2,BS_RE33!$N$7:$N$874,I44,BS_RE33!$P$7:$P$874,'30 days CF Table(RMB)'!G44,BS_RE33!$F$7:$F$874,'30 days CF Table(RMB)'!$C$2)</f>
        <v>0</v>
      </c>
      <c r="AG44" s="337">
        <f>SUMIFS(BS_RE33!$H$7:$H$874,BS_RE33!$S$7:$S$874,$AG$2,BS_RE33!$N$7:$N$874,I44,BS_RE33!$P$7:$P$874,'30 days CF Table(RMB)'!G44,BS_RE33!$F$7:$F$874,'30 days CF Table(RMB)'!$C$2)</f>
        <v>0</v>
      </c>
      <c r="AH44" s="337">
        <f>SUMIFS(BS_RE33!$H$7:$H$874,BS_RE33!$S$7:$S$874,$AH$2,BS_RE33!$N$7:$N$874,I44,BS_RE33!$P$7:$P$874,'30 days CF Table(RMB)'!G44,BS_RE33!$F$7:$F$874,'30 days CF Table(RMB)'!$C$2)</f>
        <v>0</v>
      </c>
      <c r="AI44" s="337">
        <f>SUMIFS(BS_RE33!$H$7:$H$874,BS_RE33!$S$7:$S$874,$AI$2,BS_RE33!$N$7:$N$874,I44,BS_RE33!$P$7:$P$874,'30 days CF Table(RMB)'!G44,BS_RE33!$F$7:$F$874,'30 days CF Table(RMB)'!$C$2)</f>
        <v>0</v>
      </c>
      <c r="AJ44" s="337">
        <f>SUMIFS(BS_RE33!$H$7:$H$874,BS_RE33!$S$7:$S$874,$AJ$2,BS_RE33!$N$7:$N$874,I44,BS_RE33!$P$7:$P$874,'30 days CF Table(RMB)'!G44,BS_RE33!$F$7:$F$874,'30 days CF Table(RMB)'!$C$2)</f>
        <v>0</v>
      </c>
      <c r="AK44" s="337">
        <f>SUMIFS(BS_RE33!$H$7:$H$874,BS_RE33!$S$7:$S$874,$AK$2,BS_RE33!$N$7:$N$874,I44,BS_RE33!$P$7:$P$874,'30 days CF Table(RMB)'!G44,BS_RE33!$F$7:$F$874,'30 days CF Table(RMB)'!$C$2)</f>
        <v>0</v>
      </c>
      <c r="AL44" s="337">
        <f>SUMIFS(BS_RE33!$H$7:$H$874,BS_RE33!$S$7:$S$874,$AL$2,BS_RE33!$N$7:$N$874,I44,BS_RE33!$P$7:$P$874,'30 days CF Table(RMB)'!G44,BS_RE33!$F$7:$F$874,'30 days CF Table(RMB)'!$C$2)</f>
        <v>0</v>
      </c>
      <c r="AM44" s="337">
        <f>SUMIFS(BS_RE33!$H$7:$H$874,BS_RE33!$S$7:$S$874,$AM$2,BS_RE33!$N$7:$N$874,I44,BS_RE33!$P$7:$P$874,'30 days CF Table(RMB)'!G44,BS_RE33!$F$7:$F$874,'30 days CF Table(RMB)'!$C$2)</f>
        <v>0</v>
      </c>
      <c r="AN44" s="337">
        <f>SUMIFS(BS_RE33!$H$7:$H$874,BS_RE33!$S$7:$S$874,$AN$2,BS_RE33!$N$7:$N$874,I44,BS_RE33!$P$7:$P$874,'30 days CF Table(RMB)'!G44,BS_RE33!$F$7:$F$874,'30 days CF Table(RMB)'!$C$2)</f>
        <v>0</v>
      </c>
      <c r="AO44" s="337">
        <f>SUMIFS(BS_RE33!$H$7:$H$874,BS_RE33!$S$7:$S$874,$AO$2,BS_RE33!$N$7:$N$874,I44,BS_RE33!$P$7:$P$874,'30 days CF Table(RMB)'!G44,BS_RE33!$F$7:$F$874,'30 days CF Table(RMB)'!$C$2)</f>
        <v>0</v>
      </c>
      <c r="AP44" s="338">
        <f>SUMIFS(BS_RE33!$H$7:$H$874,BS_RE33!$S$7:$S$874,$AP$2,BS_RE33!$N$7:$N$874,I44,BS_RE33!$P$7:$P$874,'30 days CF Table(RMB)'!G44,BS_RE33!$F$7:$F$874,'30 days CF Table(RMB)'!$C$2)</f>
        <v>0</v>
      </c>
      <c r="AR44" s="379">
        <f>SUMIFS(BS_RE33!$H$7:$H$874,BS_RE33!$S$7:$S$874,$AR$2,BS_RE33!$N$7:$N$874,I44,BS_RE33!$P$7:$P$874,'30 days CF Table(RMB)'!G44,BS_RE33!$F$7:$F$874,'30 days CF Table(RMB)'!$C$2)</f>
        <v>0</v>
      </c>
      <c r="AS44" s="379">
        <f>SUMIFS(BS_RE33!$H$7:$H$874,BS_RE33!$S$7:$S$874,$AS$2,BS_RE33!$N$7:$N$874,I44,BS_RE33!$P$7:$P$874,'30 days CF Table(RMB)'!G44,BS_RE33!$F$7:$F$874,'30 days CF Table(RMB)'!$C$2)</f>
        <v>0</v>
      </c>
      <c r="AT44" s="379">
        <f>SUMIFS(BS_RE33!$H$7:$H$874,BS_RE33!$S$7:$S$874,$AT$2,BS_RE33!$N$7:$N$874,I44,BS_RE33!$P$7:$P$874,'30 days CF Table(RMB)'!G44,BS_RE33!$F$7:$F$874,'30 days CF Table(RMB)'!$C$2)</f>
        <v>0</v>
      </c>
      <c r="AU44" s="379">
        <f>SUMIFS(BS_RE33!$H$7:$H$874,BS_RE33!$S$7:$S$874,$AU$2,BS_RE33!$N$7:$N$874,I44,BS_RE33!$P$7:$P$874,'30 days CF Table(RMB)'!G44,BS_RE33!$F$7:$F$874,'30 days CF Table(RMB)'!$C$2)</f>
        <v>0</v>
      </c>
      <c r="AV44" s="379">
        <f>SUMIFS(BS_RE33!$H$7:$H$874,BS_RE33!$S$7:$S$874,$AV$2,BS_RE33!$N$7:$N$874,I44,BS_RE33!$P$7:$P$874,'30 days CF Table(RMB)'!G44,BS_RE33!$F$7:$F$874,'30 days CF Table(RMB)'!$C$2)</f>
        <v>0</v>
      </c>
      <c r="AW44" s="379">
        <f>SUMIFS(BS_RE33!$H$7:$H$874,BS_RE33!$S$7:$S$874,$AW$2,BS_RE33!$N$7:$N$874,I44,BS_RE33!$P$7:$P$874,'30 days CF Table(RMB)'!G44,BS_RE33!$F$7:$F$874,'30 days CF Table(RMB)'!$C$2)</f>
        <v>0</v>
      </c>
      <c r="AX44" s="379">
        <f>SUMIFS(BS_RE33!$H$7:$H$874,BS_RE33!$S$7:$S$874,$AX$2,BS_RE33!$N$7:$N$874,I44,BS_RE33!$P$7:$P$874,'30 days CF Table(RMB)'!G44,BS_RE33!$F$7:$F$874,'30 days CF Table(RMB)'!$C$2)</f>
        <v>0</v>
      </c>
      <c r="AY44" s="379">
        <f>SUMIFS(BS_RE33!$H$7:$H$874,BS_RE33!$S$7:$S$874,$AY$2,BS_RE33!$N$7:$N$874,I44,BS_RE33!$P$7:$P$874,'30 days CF Table(RMB)'!G44,BS_RE33!$F$7:$F$874,'30 days CF Table(RMB)'!$C$2)</f>
        <v>0</v>
      </c>
      <c r="AZ44" s="379">
        <f>SUMIFS(BS_RE33!$H$7:$H$874,BS_RE33!$S$7:$S$874,$AZ$2,BS_RE33!$N$7:$N$874,I44,BS_RE33!$P$7:$P$874,'30 days CF Table(RMB)'!G44,BS_RE33!$F$7:$F$874,'30 days CF Table(RMB)'!$C$2)</f>
        <v>0</v>
      </c>
      <c r="BA44" s="379">
        <f>SUMIFS(BS_RE33!$H$7:$H$874,BS_RE33!$S$7:$S$874,$BA$2,BS_RE33!$N$7:$N$874,I44,BS_RE33!$P$7:$P$874,'30 days CF Table(RMB)'!G44,BS_RE33!$F$7:$F$874,'30 days CF Table(RMB)'!$C$2)</f>
        <v>0</v>
      </c>
      <c r="BB44" s="379">
        <f>SUMIFS(BS_RE33!$H$7:$H$874,BS_RE33!$S$7:$S$874,$BB$2,BS_RE33!$N$7:$N$874,I44,BS_RE33!$P$7:$P$874,'30 days CF Table(RMB)'!G44,BS_RE33!$F$7:$F$874,'30 days CF Table(RMB)'!$C$2)</f>
        <v>0</v>
      </c>
      <c r="BC44" s="379">
        <f>SUMIFS(BS_RE33!$H$7:$H$874,BS_RE33!$S$7:$S$874,$BC$2,BS_RE33!$N$7:$N$874,I44,BS_RE33!$P$7:$P$874,'30 days CF Table(RMB)'!G44,BS_RE33!$F$7:$F$874,'30 days CF Table(RMB)'!$C$2)</f>
        <v>0</v>
      </c>
      <c r="BD44" s="379">
        <f>SUMIFS(BS_RE33!$H$7:$H$874,BS_RE33!$S$7:$S$874,$BD$2,BS_RE33!$N$7:$N$874,I44,BS_RE33!$P$7:$P$874,'30 days CF Table(RMB)'!G44,BS_RE33!$F$7:$F$874,'30 days CF Table(RMB)'!$C$2)</f>
        <v>0</v>
      </c>
      <c r="BE44" s="379">
        <f>SUMIFS(BS_RE33!$H$7:$H$874,BS_RE33!$S$7:$S$874,$BE$2,BS_RE33!$N$7:$N$874,I44,BS_RE33!$P$7:$P$874,'30 days CF Table(RMB)'!G44,BS_RE33!$F$7:$F$874,'30 days CF Table(RMB)'!$C$2)</f>
        <v>0</v>
      </c>
      <c r="BF44" s="379">
        <f>SUMIFS(BS_RE33!$H$7:$H$874,BS_RE33!$S$7:$S$874,$BF$2,BS_RE33!$N$7:$N$874,I44,BS_RE33!$P$7:$P$874,'30 days CF Table(RMB)'!G44,BS_RE33!$F$7:$F$874,'30 days CF Table(RMB)'!$C$2)</f>
        <v>0</v>
      </c>
      <c r="BG44" s="379">
        <f>SUMIFS(BS_RE33!$H$7:$H$874,BS_RE33!$S$7:$S$874,$BG$2,BS_RE33!$N$7:$N$874,I44,BS_RE33!$P$7:$P$874,'30 days CF Table(RMB)'!G44,BS_RE33!$F$7:$F$874,'30 days CF Table(RMB)'!$C$2)</f>
        <v>0</v>
      </c>
      <c r="BH44" s="379">
        <f>SUMIFS(BS_RE33!$H$7:$H$874,BS_RE33!$S$7:$S$874,$BH$2,BS_RE33!$N$7:$N$874,I44,BS_RE33!$P$7:$P$874,'30 days CF Table(RMB)'!G44,BS_RE33!$F$7:$F$874,'30 days CF Table(RMB)'!$C$2)</f>
        <v>0</v>
      </c>
      <c r="BI44" s="379">
        <f>SUMIFS(BS_RE33!$H$7:$H$874,BS_RE33!$S$7:$S$874,$BI$2,BS_RE33!$N$7:$N$874,I44,BS_RE33!$P$7:$P$874,'30 days CF Table(RMB)'!G44,BS_RE33!$F$7:$F$874,'30 days CF Table(RMB)'!$C$2)</f>
        <v>0</v>
      </c>
      <c r="BJ44" s="379">
        <f>SUMIFS(BS_RE33!$H$7:$H$874,BS_RE33!$S$7:$S$874,$BJ$2,BS_RE33!$N$7:$N$874,I44,BS_RE33!$P$7:$P$874,'30 days CF Table(RMB)'!G44,BS_RE33!$F$7:$F$874,'30 days CF Table(RMB)'!$C$2)</f>
        <v>0</v>
      </c>
      <c r="BK44" s="379">
        <f>SUMIFS(BS_RE33!$H$7:$H$874,BS_RE33!$S$7:$S$874,$BK$2,BS_RE33!$N$7:$N$874,I44,BS_RE33!$P$7:$P$874,'30 days CF Table(RMB)'!G44,BS_RE33!$F$7:$F$874,'30 days CF Table(RMB)'!$C$2)</f>
        <v>0</v>
      </c>
    </row>
    <row r="45" spans="3:63">
      <c r="C45" s="1029"/>
      <c r="D45" s="1039"/>
      <c r="E45" s="105" t="s">
        <v>569</v>
      </c>
      <c r="F45" s="309"/>
      <c r="G45" s="392" t="s">
        <v>571</v>
      </c>
      <c r="H45" s="314">
        <v>1</v>
      </c>
      <c r="I45" s="315" t="s">
        <v>80</v>
      </c>
      <c r="J45" s="479">
        <f t="shared" si="2"/>
        <v>0</v>
      </c>
      <c r="K45" s="336">
        <f t="shared" si="3"/>
        <v>0</v>
      </c>
      <c r="L45" s="337">
        <f>SUMIFS(BS_RE33!$H$7:$H$874,BS_RE33!$S$7:$S$874,$L$2,BS_RE33!$N$7:$N$874,I45,BS_RE33!$P$7:$P$874,'30 days CF Table(RMB)'!G45,BS_RE33!$F$7:$F$874,'30 days CF Table(RMB)'!$C$2)</f>
        <v>0</v>
      </c>
      <c r="M45" s="337">
        <f>SUMIFS(BS_RE33!$H$7:$H$874,BS_RE33!$S$7:$S$874,$M$2,BS_RE33!$N$7:$N$874,I45,BS_RE33!$P$7:$P$874,'30 days CF Table(RMB)'!G45,BS_RE33!$F$7:$F$874,'30 days CF Table(RMB)'!$C$2)</f>
        <v>0</v>
      </c>
      <c r="N45" s="337">
        <f>SUMIFS(BS_RE33!$H$7:$H$874,BS_RE33!$S$7:$S$874,$N$2,BS_RE33!$N$7:$N$874,I45,BS_RE33!$P$7:$P$874,'30 days CF Table(RMB)'!G45,BS_RE33!$F$7:$F$874,'30 days CF Table(RMB)'!$C$2)</f>
        <v>0</v>
      </c>
      <c r="O45" s="337">
        <f>SUMIFS(BS_RE33!$H$7:$H$874,BS_RE33!$S$7:$S$874,$O$2,BS_RE33!$N$7:$N$874,I45,BS_RE33!$P$7:$P$874,'30 days CF Table(RMB)'!G45,BS_RE33!$F$7:$F$874,'30 days CF Table(RMB)'!$C$2)</f>
        <v>0</v>
      </c>
      <c r="P45" s="337">
        <f>SUMIFS(BS_RE33!$H$7:$H$874,BS_RE33!$S$7:$S$874,$P$2,BS_RE33!$N$7:$N$874,I45,BS_RE33!$P$7:$P$874,'30 days CF Table(RMB)'!G45,BS_RE33!$F$7:$F$874,'30 days CF Table(RMB)'!$C$2)</f>
        <v>0</v>
      </c>
      <c r="Q45" s="337">
        <f>SUMIFS(BS_RE33!$H$7:$H$874,BS_RE33!$S$7:$S$874,$Q$2,BS_RE33!$N$7:$N$874,I45,BS_RE33!$P$7:$P$874,'30 days CF Table(RMB)'!G45,BS_RE33!$F$7:$F$874,'30 days CF Table(RMB)'!$C$2)</f>
        <v>0</v>
      </c>
      <c r="R45" s="337">
        <f>SUMIFS(BS_RE33!$H$7:$H$874,BS_RE33!$S$7:$S$874,$R$2,BS_RE33!$N$7:$N$874,I45,BS_RE33!$P$7:$P$874,'30 days CF Table(RMB)'!G45,BS_RE33!$F$7:$F$874,'30 days CF Table(RMB)'!$C$2)</f>
        <v>0</v>
      </c>
      <c r="S45" s="337">
        <f>SUMIFS(BS_RE33!$H$7:$H$874,BS_RE33!$S$7:$S$874,$S$2,BS_RE33!$N$7:$N$874,I45,BS_RE33!$P$7:$P$874,'30 days CF Table(RMB)'!G45,BS_RE33!$F$7:$F$874,'30 days CF Table(RMB)'!$C$2)</f>
        <v>0</v>
      </c>
      <c r="T45" s="337">
        <f>SUMIFS(BS_RE33!$H$7:$H$874,BS_RE33!$S$7:$S$874,$T$2,BS_RE33!$N$7:$N$874,I45,BS_RE33!$P$7:$P$874,'30 days CF Table(RMB)'!G45,BS_RE33!$F$7:$F$874,'30 days CF Table(RMB)'!$C$2)</f>
        <v>0</v>
      </c>
      <c r="U45" s="337">
        <f>SUMIFS(BS_RE33!$H$7:$H$874,BS_RE33!$S$7:$S$874,$U$2,BS_RE33!$N$7:$N$874,I45,BS_RE33!$P$7:$P$874,'30 days CF Table(RMB)'!G45,BS_RE33!$F$7:$F$874,'30 days CF Table(RMB)'!$C$2)</f>
        <v>0</v>
      </c>
      <c r="V45" s="337">
        <f>SUMIFS(BS_RE33!$H$7:$H$874,BS_RE33!$S$7:$S$874,$V$2,BS_RE33!$N$7:$N$874,I45,BS_RE33!$P$7:$P$874,'30 days CF Table(RMB)'!G45,BS_RE33!$F$7:$F$874,'30 days CF Table(RMB)'!$C$2)</f>
        <v>0</v>
      </c>
      <c r="W45" s="337">
        <f>SUMIFS(BS_RE33!$H$7:$H$874,BS_RE33!$S$7:$S$874,$W$2,BS_RE33!$N$7:$N$874,I45,BS_RE33!$P$7:$P$874,'30 days CF Table(RMB)'!G45,BS_RE33!$F$7:$F$874,'30 days CF Table(RMB)'!$C$2)</f>
        <v>0</v>
      </c>
      <c r="X45" s="337">
        <f>SUMIFS(BS_RE33!$H$7:$H$874,BS_RE33!$S$7:$S$874,$X$2,BS_RE33!$N$7:$N$874,I45,BS_RE33!$P$7:$P$874,'30 days CF Table(RMB)'!G45,BS_RE33!$F$7:$F$874,'30 days CF Table(RMB)'!$C$2)</f>
        <v>0</v>
      </c>
      <c r="Y45" s="337">
        <f>SUMIFS(BS_RE33!$H$7:$H$874,BS_RE33!$S$7:$S$874,$Y$2,BS_RE33!$N$7:$N$874,I45,BS_RE33!$P$7:$P$874,'30 days CF Table(RMB)'!G45,BS_RE33!$F$7:$F$874,'30 days CF Table(RMB)'!$C$2)</f>
        <v>0</v>
      </c>
      <c r="Z45" s="337">
        <f>SUMIFS(BS_RE33!$H$7:$H$874,BS_RE33!$S$7:$S$874,$Z$2,BS_RE33!$N$7:$N$874,I45,BS_RE33!$P$7:$P$874,'30 days CF Table(RMB)'!G45,BS_RE33!$F$7:$F$874,'30 days CF Table(RMB)'!$C$2)</f>
        <v>0</v>
      </c>
      <c r="AA45" s="337">
        <f>SUMIFS(BS_RE33!$H$7:$H$874,BS_RE33!$S$7:$S$874,$AA$2,BS_RE33!$N$7:$N$874,I45,BS_RE33!$P$7:$P$874,'30 days CF Table(RMB)'!G45,BS_RE33!$F$7:$F$874,'30 days CF Table(RMB)'!$C$2)</f>
        <v>0</v>
      </c>
      <c r="AB45" s="337">
        <f>SUMIFS(BS_RE33!$H$7:$H$874,BS_RE33!$S$7:$S$874,$AB$2,BS_RE33!$N$7:$N$874,I45,BS_RE33!$P$7:$P$874,'30 days CF Table(RMB)'!G45,BS_RE33!$F$7:$F$874,'30 days CF Table(RMB)'!$C$2)</f>
        <v>0</v>
      </c>
      <c r="AC45" s="337">
        <f>SUMIFS(BS_RE33!$H$7:$H$874,BS_RE33!$S$7:$S$874,$AC$2,BS_RE33!$N$7:$N$874,I45,BS_RE33!$P$7:$P$874,'30 days CF Table(RMB)'!G45,BS_RE33!$F$7:$F$874,'30 days CF Table(RMB)'!$C$2)</f>
        <v>0</v>
      </c>
      <c r="AD45" s="337">
        <f>SUMIFS(BS_RE33!$H$7:$H$874,BS_RE33!$S$7:$S$874,$AD$2,BS_RE33!$N$7:$N$874,I45,BS_RE33!$P$7:$P$874,'30 days CF Table(RMB)'!G45,BS_RE33!$F$7:$F$874,'30 days CF Table(RMB)'!$C$2)</f>
        <v>0</v>
      </c>
      <c r="AE45" s="337">
        <f>SUMIFS(BS_RE33!$H$7:$H$874,BS_RE33!$S$7:$S$874,$AE$2,BS_RE33!$N$7:$N$874,I45,BS_RE33!$P$7:$P$874,'30 days CF Table(RMB)'!G45,BS_RE33!$F$7:$F$874,'30 days CF Table(RMB)'!$C$2)</f>
        <v>0</v>
      </c>
      <c r="AF45" s="337">
        <f>SUMIFS(BS_RE33!$H$7:$H$874,BS_RE33!$S$7:$S$874,$AF$2,BS_RE33!$N$7:$N$874,I45,BS_RE33!$P$7:$P$874,'30 days CF Table(RMB)'!G45,BS_RE33!$F$7:$F$874,'30 days CF Table(RMB)'!$C$2)</f>
        <v>0</v>
      </c>
      <c r="AG45" s="337">
        <f>SUMIFS(BS_RE33!$H$7:$H$874,BS_RE33!$S$7:$S$874,$AG$2,BS_RE33!$N$7:$N$874,I45,BS_RE33!$P$7:$P$874,'30 days CF Table(RMB)'!G45,BS_RE33!$F$7:$F$874,'30 days CF Table(RMB)'!$C$2)</f>
        <v>0</v>
      </c>
      <c r="AH45" s="337">
        <f>SUMIFS(BS_RE33!$H$7:$H$874,BS_RE33!$S$7:$S$874,$AH$2,BS_RE33!$N$7:$N$874,I45,BS_RE33!$P$7:$P$874,'30 days CF Table(RMB)'!G45,BS_RE33!$F$7:$F$874,'30 days CF Table(RMB)'!$C$2)</f>
        <v>0</v>
      </c>
      <c r="AI45" s="337">
        <f>SUMIFS(BS_RE33!$H$7:$H$874,BS_RE33!$S$7:$S$874,$AI$2,BS_RE33!$N$7:$N$874,I45,BS_RE33!$P$7:$P$874,'30 days CF Table(RMB)'!G45,BS_RE33!$F$7:$F$874,'30 days CF Table(RMB)'!$C$2)</f>
        <v>0</v>
      </c>
      <c r="AJ45" s="337">
        <f>SUMIFS(BS_RE33!$H$7:$H$874,BS_RE33!$S$7:$S$874,$AJ$2,BS_RE33!$N$7:$N$874,I45,BS_RE33!$P$7:$P$874,'30 days CF Table(RMB)'!G45,BS_RE33!$F$7:$F$874,'30 days CF Table(RMB)'!$C$2)</f>
        <v>0</v>
      </c>
      <c r="AK45" s="337">
        <f>SUMIFS(BS_RE33!$H$7:$H$874,BS_RE33!$S$7:$S$874,$AK$2,BS_RE33!$N$7:$N$874,I45,BS_RE33!$P$7:$P$874,'30 days CF Table(RMB)'!G45,BS_RE33!$F$7:$F$874,'30 days CF Table(RMB)'!$C$2)</f>
        <v>0</v>
      </c>
      <c r="AL45" s="337">
        <f>SUMIFS(BS_RE33!$H$7:$H$874,BS_RE33!$S$7:$S$874,$AL$2,BS_RE33!$N$7:$N$874,I45,BS_RE33!$P$7:$P$874,'30 days CF Table(RMB)'!G45,BS_RE33!$F$7:$F$874,'30 days CF Table(RMB)'!$C$2)</f>
        <v>0</v>
      </c>
      <c r="AM45" s="337">
        <f>SUMIFS(BS_RE33!$H$7:$H$874,BS_RE33!$S$7:$S$874,$AM$2,BS_RE33!$N$7:$N$874,I45,BS_RE33!$P$7:$P$874,'30 days CF Table(RMB)'!G45,BS_RE33!$F$7:$F$874,'30 days CF Table(RMB)'!$C$2)</f>
        <v>0</v>
      </c>
      <c r="AN45" s="337">
        <f>SUMIFS(BS_RE33!$H$7:$H$874,BS_RE33!$S$7:$S$874,$AN$2,BS_RE33!$N$7:$N$874,I45,BS_RE33!$P$7:$P$874,'30 days CF Table(RMB)'!G45,BS_RE33!$F$7:$F$874,'30 days CF Table(RMB)'!$C$2)</f>
        <v>0</v>
      </c>
      <c r="AO45" s="337">
        <f>SUMIFS(BS_RE33!$H$7:$H$874,BS_RE33!$S$7:$S$874,$AO$2,BS_RE33!$N$7:$N$874,I45,BS_RE33!$P$7:$P$874,'30 days CF Table(RMB)'!G45,BS_RE33!$F$7:$F$874,'30 days CF Table(RMB)'!$C$2)</f>
        <v>0</v>
      </c>
      <c r="AP45" s="338">
        <f>SUMIFS(BS_RE33!$H$7:$H$874,BS_RE33!$S$7:$S$874,$AP$2,BS_RE33!$N$7:$N$874,I45,BS_RE33!$P$7:$P$874,'30 days CF Table(RMB)'!G45,BS_RE33!$F$7:$F$874,'30 days CF Table(RMB)'!$C$2)</f>
        <v>0</v>
      </c>
      <c r="AR45" s="379">
        <f>SUMIFS(BS_RE33!$H$7:$H$874,BS_RE33!$S$7:$S$874,$AR$2,BS_RE33!$N$7:$N$874,I45,BS_RE33!$P$7:$P$874,'30 days CF Table(RMB)'!G45,BS_RE33!$F$7:$F$874,'30 days CF Table(RMB)'!$C$2)</f>
        <v>0</v>
      </c>
      <c r="AS45" s="379">
        <f>SUMIFS(BS_RE33!$H$7:$H$874,BS_RE33!$S$7:$S$874,$AS$2,BS_RE33!$N$7:$N$874,I45,BS_RE33!$P$7:$P$874,'30 days CF Table(RMB)'!G45,BS_RE33!$F$7:$F$874,'30 days CF Table(RMB)'!$C$2)</f>
        <v>0</v>
      </c>
      <c r="AT45" s="379">
        <f>SUMIFS(BS_RE33!$H$7:$H$874,BS_RE33!$S$7:$S$874,$AT$2,BS_RE33!$N$7:$N$874,I45,BS_RE33!$P$7:$P$874,'30 days CF Table(RMB)'!G45,BS_RE33!$F$7:$F$874,'30 days CF Table(RMB)'!$C$2)</f>
        <v>0</v>
      </c>
      <c r="AU45" s="379">
        <f>SUMIFS(BS_RE33!$H$7:$H$874,BS_RE33!$S$7:$S$874,$AU$2,BS_RE33!$N$7:$N$874,I45,BS_RE33!$P$7:$P$874,'30 days CF Table(RMB)'!G45,BS_RE33!$F$7:$F$874,'30 days CF Table(RMB)'!$C$2)</f>
        <v>0</v>
      </c>
      <c r="AV45" s="379">
        <f>SUMIFS(BS_RE33!$H$7:$H$874,BS_RE33!$S$7:$S$874,$AV$2,BS_RE33!$N$7:$N$874,I45,BS_RE33!$P$7:$P$874,'30 days CF Table(RMB)'!G45,BS_RE33!$F$7:$F$874,'30 days CF Table(RMB)'!$C$2)</f>
        <v>0</v>
      </c>
      <c r="AW45" s="379">
        <f>SUMIFS(BS_RE33!$H$7:$H$874,BS_RE33!$S$7:$S$874,$AW$2,BS_RE33!$N$7:$N$874,I45,BS_RE33!$P$7:$P$874,'30 days CF Table(RMB)'!G45,BS_RE33!$F$7:$F$874,'30 days CF Table(RMB)'!$C$2)</f>
        <v>0</v>
      </c>
      <c r="AX45" s="379">
        <f>SUMIFS(BS_RE33!$H$7:$H$874,BS_RE33!$S$7:$S$874,$AX$2,BS_RE33!$N$7:$N$874,I45,BS_RE33!$P$7:$P$874,'30 days CF Table(RMB)'!G45,BS_RE33!$F$7:$F$874,'30 days CF Table(RMB)'!$C$2)</f>
        <v>0</v>
      </c>
      <c r="AY45" s="379">
        <f>SUMIFS(BS_RE33!$H$7:$H$874,BS_RE33!$S$7:$S$874,$AY$2,BS_RE33!$N$7:$N$874,I45,BS_RE33!$P$7:$P$874,'30 days CF Table(RMB)'!G45,BS_RE33!$F$7:$F$874,'30 days CF Table(RMB)'!$C$2)</f>
        <v>0</v>
      </c>
      <c r="AZ45" s="379">
        <f>SUMIFS(BS_RE33!$H$7:$H$874,BS_RE33!$S$7:$S$874,$AZ$2,BS_RE33!$N$7:$N$874,I45,BS_RE33!$P$7:$P$874,'30 days CF Table(RMB)'!G45,BS_RE33!$F$7:$F$874,'30 days CF Table(RMB)'!$C$2)</f>
        <v>0</v>
      </c>
      <c r="BA45" s="379">
        <f>SUMIFS(BS_RE33!$H$7:$H$874,BS_RE33!$S$7:$S$874,$BA$2,BS_RE33!$N$7:$N$874,I45,BS_RE33!$P$7:$P$874,'30 days CF Table(RMB)'!G45,BS_RE33!$F$7:$F$874,'30 days CF Table(RMB)'!$C$2)</f>
        <v>0</v>
      </c>
      <c r="BB45" s="379">
        <f>SUMIFS(BS_RE33!$H$7:$H$874,BS_RE33!$S$7:$S$874,$BB$2,BS_RE33!$N$7:$N$874,I45,BS_RE33!$P$7:$P$874,'30 days CF Table(RMB)'!G45,BS_RE33!$F$7:$F$874,'30 days CF Table(RMB)'!$C$2)</f>
        <v>0</v>
      </c>
      <c r="BC45" s="379">
        <f>SUMIFS(BS_RE33!$H$7:$H$874,BS_RE33!$S$7:$S$874,$BC$2,BS_RE33!$N$7:$N$874,I45,BS_RE33!$P$7:$P$874,'30 days CF Table(RMB)'!G45,BS_RE33!$F$7:$F$874,'30 days CF Table(RMB)'!$C$2)</f>
        <v>0</v>
      </c>
      <c r="BD45" s="379">
        <f>SUMIFS(BS_RE33!$H$7:$H$874,BS_RE33!$S$7:$S$874,$BD$2,BS_RE33!$N$7:$N$874,I45,BS_RE33!$P$7:$P$874,'30 days CF Table(RMB)'!G45,BS_RE33!$F$7:$F$874,'30 days CF Table(RMB)'!$C$2)</f>
        <v>0</v>
      </c>
      <c r="BE45" s="379">
        <f>SUMIFS(BS_RE33!$H$7:$H$874,BS_RE33!$S$7:$S$874,$BE$2,BS_RE33!$N$7:$N$874,I45,BS_RE33!$P$7:$P$874,'30 days CF Table(RMB)'!G45,BS_RE33!$F$7:$F$874,'30 days CF Table(RMB)'!$C$2)</f>
        <v>0</v>
      </c>
      <c r="BF45" s="379">
        <f>SUMIFS(BS_RE33!$H$7:$H$874,BS_RE33!$S$7:$S$874,$BF$2,BS_RE33!$N$7:$N$874,I45,BS_RE33!$P$7:$P$874,'30 days CF Table(RMB)'!G45,BS_RE33!$F$7:$F$874,'30 days CF Table(RMB)'!$C$2)</f>
        <v>0</v>
      </c>
      <c r="BG45" s="379">
        <f>SUMIFS(BS_RE33!$H$7:$H$874,BS_RE33!$S$7:$S$874,$BG$2,BS_RE33!$N$7:$N$874,I45,BS_RE33!$P$7:$P$874,'30 days CF Table(RMB)'!G45,BS_RE33!$F$7:$F$874,'30 days CF Table(RMB)'!$C$2)</f>
        <v>0</v>
      </c>
      <c r="BH45" s="379">
        <f>SUMIFS(BS_RE33!$H$7:$H$874,BS_RE33!$S$7:$S$874,$BH$2,BS_RE33!$N$7:$N$874,I45,BS_RE33!$P$7:$P$874,'30 days CF Table(RMB)'!G45,BS_RE33!$F$7:$F$874,'30 days CF Table(RMB)'!$C$2)</f>
        <v>0</v>
      </c>
      <c r="BI45" s="379">
        <f>SUMIFS(BS_RE33!$H$7:$H$874,BS_RE33!$S$7:$S$874,$BI$2,BS_RE33!$N$7:$N$874,I45,BS_RE33!$P$7:$P$874,'30 days CF Table(RMB)'!G45,BS_RE33!$F$7:$F$874,'30 days CF Table(RMB)'!$C$2)</f>
        <v>0</v>
      </c>
      <c r="BJ45" s="379">
        <f>SUMIFS(BS_RE33!$H$7:$H$874,BS_RE33!$S$7:$S$874,$BJ$2,BS_RE33!$N$7:$N$874,I45,BS_RE33!$P$7:$P$874,'30 days CF Table(RMB)'!G45,BS_RE33!$F$7:$F$874,'30 days CF Table(RMB)'!$C$2)</f>
        <v>0</v>
      </c>
      <c r="BK45" s="379">
        <f>SUMIFS(BS_RE33!$H$7:$H$874,BS_RE33!$S$7:$S$874,$BK$2,BS_RE33!$N$7:$N$874,I45,BS_RE33!$P$7:$P$874,'30 days CF Table(RMB)'!G45,BS_RE33!$F$7:$F$874,'30 days CF Table(RMB)'!$C$2)</f>
        <v>0</v>
      </c>
    </row>
    <row r="46" spans="3:63">
      <c r="C46" s="1029"/>
      <c r="D46" s="1039"/>
      <c r="E46" s="108" t="s">
        <v>90</v>
      </c>
      <c r="F46" s="309"/>
      <c r="G46" s="392" t="s">
        <v>527</v>
      </c>
      <c r="H46" s="168">
        <v>0</v>
      </c>
      <c r="I46" s="307" t="s">
        <v>167</v>
      </c>
      <c r="J46" s="478">
        <f t="shared" si="2"/>
        <v>0</v>
      </c>
      <c r="K46" s="547">
        <f t="shared" si="3"/>
        <v>0</v>
      </c>
      <c r="L46" s="548">
        <f>SUMIFS(BS_RE33!$H$7:$H$874,BS_RE33!$S$7:$S$874,$L$2,BS_RE33!$N$7:$N$874,I46,BS_RE33!$P$7:$P$874,'30 days CF Table(RMB)'!G46,BS_RE33!$F$7:$F$874,'30 days CF Table(RMB)'!$C$2)</f>
        <v>0</v>
      </c>
      <c r="M46" s="548">
        <f>SUMIFS(BS_RE33!$H$7:$H$874,BS_RE33!$S$7:$S$874,$M$2,BS_RE33!$N$7:$N$874,I46,BS_RE33!$P$7:$P$874,'30 days CF Table(RMB)'!G46,BS_RE33!$F$7:$F$874,'30 days CF Table(RMB)'!$C$2)</f>
        <v>0</v>
      </c>
      <c r="N46" s="548">
        <f>SUMIFS(BS_RE33!$H$7:$H$874,BS_RE33!$S$7:$S$874,$N$2,BS_RE33!$N$7:$N$874,I46,BS_RE33!$P$7:$P$874,'30 days CF Table(RMB)'!G46,BS_RE33!$F$7:$F$874,'30 days CF Table(RMB)'!$C$2)</f>
        <v>0</v>
      </c>
      <c r="O46" s="548">
        <f>SUMIFS(BS_RE33!$H$7:$H$874,BS_RE33!$S$7:$S$874,$O$2,BS_RE33!$N$7:$N$874,I46,BS_RE33!$P$7:$P$874,'30 days CF Table(RMB)'!G46,BS_RE33!$F$7:$F$874,'30 days CF Table(RMB)'!$C$2)</f>
        <v>0</v>
      </c>
      <c r="P46" s="548">
        <f>SUMIFS(BS_RE33!$H$7:$H$874,BS_RE33!$S$7:$S$874,$P$2,BS_RE33!$N$7:$N$874,I46,BS_RE33!$P$7:$P$874,'30 days CF Table(RMB)'!G46,BS_RE33!$F$7:$F$874,'30 days CF Table(RMB)'!$C$2)</f>
        <v>0</v>
      </c>
      <c r="Q46" s="548">
        <f>SUMIFS(BS_RE33!$H$7:$H$874,BS_RE33!$S$7:$S$874,$Q$2,BS_RE33!$N$7:$N$874,I46,BS_RE33!$P$7:$P$874,'30 days CF Table(RMB)'!G46,BS_RE33!$F$7:$F$874,'30 days CF Table(RMB)'!$C$2)</f>
        <v>0</v>
      </c>
      <c r="R46" s="548">
        <f>SUMIFS(BS_RE33!$H$7:$H$874,BS_RE33!$S$7:$S$874,$R$2,BS_RE33!$N$7:$N$874,I46,BS_RE33!$P$7:$P$874,'30 days CF Table(RMB)'!G46,BS_RE33!$F$7:$F$874,'30 days CF Table(RMB)'!$C$2)</f>
        <v>0</v>
      </c>
      <c r="S46" s="548">
        <f>SUMIFS(BS_RE33!$H$7:$H$874,BS_RE33!$S$7:$S$874,$S$2,BS_RE33!$N$7:$N$874,I46,BS_RE33!$P$7:$P$874,'30 days CF Table(RMB)'!G46,BS_RE33!$F$7:$F$874,'30 days CF Table(RMB)'!$C$2)</f>
        <v>0</v>
      </c>
      <c r="T46" s="548">
        <f>SUMIFS(BS_RE33!$H$7:$H$874,BS_RE33!$S$7:$S$874,$T$2,BS_RE33!$N$7:$N$874,I46,BS_RE33!$P$7:$P$874,'30 days CF Table(RMB)'!G46,BS_RE33!$F$7:$F$874,'30 days CF Table(RMB)'!$C$2)</f>
        <v>0</v>
      </c>
      <c r="U46" s="548">
        <f>SUMIFS(BS_RE33!$H$7:$H$874,BS_RE33!$S$7:$S$874,$U$2,BS_RE33!$N$7:$N$874,I46,BS_RE33!$P$7:$P$874,'30 days CF Table(RMB)'!G46,BS_RE33!$F$7:$F$874,'30 days CF Table(RMB)'!$C$2)</f>
        <v>0</v>
      </c>
      <c r="V46" s="548">
        <f>SUMIFS(BS_RE33!$H$7:$H$874,BS_RE33!$S$7:$S$874,$V$2,BS_RE33!$N$7:$N$874,I46,BS_RE33!$P$7:$P$874,'30 days CF Table(RMB)'!G46,BS_RE33!$F$7:$F$874,'30 days CF Table(RMB)'!$C$2)</f>
        <v>0</v>
      </c>
      <c r="W46" s="548">
        <f>SUMIFS(BS_RE33!$H$7:$H$874,BS_RE33!$S$7:$S$874,$W$2,BS_RE33!$N$7:$N$874,I46,BS_RE33!$P$7:$P$874,'30 days CF Table(RMB)'!G46,BS_RE33!$F$7:$F$874,'30 days CF Table(RMB)'!$C$2)</f>
        <v>0</v>
      </c>
      <c r="X46" s="548">
        <f>SUMIFS(BS_RE33!$H$7:$H$874,BS_RE33!$S$7:$S$874,$X$2,BS_RE33!$N$7:$N$874,I46,BS_RE33!$P$7:$P$874,'30 days CF Table(RMB)'!G46,BS_RE33!$F$7:$F$874,'30 days CF Table(RMB)'!$C$2)</f>
        <v>0</v>
      </c>
      <c r="Y46" s="548">
        <f>SUMIFS(BS_RE33!$H$7:$H$874,BS_RE33!$S$7:$S$874,$Y$2,BS_RE33!$N$7:$N$874,I46,BS_RE33!$P$7:$P$874,'30 days CF Table(RMB)'!G46,BS_RE33!$F$7:$F$874,'30 days CF Table(RMB)'!$C$2)</f>
        <v>0</v>
      </c>
      <c r="Z46" s="548">
        <f>SUMIFS(BS_RE33!$H$7:$H$874,BS_RE33!$S$7:$S$874,$Z$2,BS_RE33!$N$7:$N$874,I46,BS_RE33!$P$7:$P$874,'30 days CF Table(RMB)'!G46,BS_RE33!$F$7:$F$874,'30 days CF Table(RMB)'!$C$2)</f>
        <v>0</v>
      </c>
      <c r="AA46" s="548">
        <f>SUMIFS(BS_RE33!$H$7:$H$874,BS_RE33!$S$7:$S$874,$AA$2,BS_RE33!$N$7:$N$874,I46,BS_RE33!$P$7:$P$874,'30 days CF Table(RMB)'!G46,BS_RE33!$F$7:$F$874,'30 days CF Table(RMB)'!$C$2)</f>
        <v>0</v>
      </c>
      <c r="AB46" s="548">
        <f>SUMIFS(BS_RE33!$H$7:$H$874,BS_RE33!$S$7:$S$874,$AB$2,BS_RE33!$N$7:$N$874,I46,BS_RE33!$P$7:$P$874,'30 days CF Table(RMB)'!G46,BS_RE33!$F$7:$F$874,'30 days CF Table(RMB)'!$C$2)</f>
        <v>0</v>
      </c>
      <c r="AC46" s="548">
        <f>SUMIFS(BS_RE33!$H$7:$H$874,BS_RE33!$S$7:$S$874,$AC$2,BS_RE33!$N$7:$N$874,I46,BS_RE33!$P$7:$P$874,'30 days CF Table(RMB)'!G46,BS_RE33!$F$7:$F$874,'30 days CF Table(RMB)'!$C$2)</f>
        <v>0</v>
      </c>
      <c r="AD46" s="548">
        <f>SUMIFS(BS_RE33!$H$7:$H$874,BS_RE33!$S$7:$S$874,$AD$2,BS_RE33!$N$7:$N$874,I46,BS_RE33!$P$7:$P$874,'30 days CF Table(RMB)'!G46,BS_RE33!$F$7:$F$874,'30 days CF Table(RMB)'!$C$2)</f>
        <v>0</v>
      </c>
      <c r="AE46" s="548">
        <f>SUMIFS(BS_RE33!$H$7:$H$874,BS_RE33!$S$7:$S$874,$AE$2,BS_RE33!$N$7:$N$874,I46,BS_RE33!$P$7:$P$874,'30 days CF Table(RMB)'!G46,BS_RE33!$F$7:$F$874,'30 days CF Table(RMB)'!$C$2)</f>
        <v>0</v>
      </c>
      <c r="AF46" s="548">
        <f>SUMIFS(BS_RE33!$H$7:$H$874,BS_RE33!$S$7:$S$874,$AF$2,BS_RE33!$N$7:$N$874,I46,BS_RE33!$P$7:$P$874,'30 days CF Table(RMB)'!G46,BS_RE33!$F$7:$F$874,'30 days CF Table(RMB)'!$C$2)</f>
        <v>0</v>
      </c>
      <c r="AG46" s="548">
        <f>SUMIFS(BS_RE33!$H$7:$H$874,BS_RE33!$S$7:$S$874,$AG$2,BS_RE33!$N$7:$N$874,I46,BS_RE33!$P$7:$P$874,'30 days CF Table(RMB)'!G46,BS_RE33!$F$7:$F$874,'30 days CF Table(RMB)'!$C$2)</f>
        <v>0</v>
      </c>
      <c r="AH46" s="548">
        <f>SUMIFS(BS_RE33!$H$7:$H$874,BS_RE33!$S$7:$S$874,$AH$2,BS_RE33!$N$7:$N$874,I46,BS_RE33!$P$7:$P$874,'30 days CF Table(RMB)'!G46,BS_RE33!$F$7:$F$874,'30 days CF Table(RMB)'!$C$2)</f>
        <v>0</v>
      </c>
      <c r="AI46" s="548">
        <f>SUMIFS(BS_RE33!$H$7:$H$874,BS_RE33!$S$7:$S$874,$AI$2,BS_RE33!$N$7:$N$874,I46,BS_RE33!$P$7:$P$874,'30 days CF Table(RMB)'!G46,BS_RE33!$F$7:$F$874,'30 days CF Table(RMB)'!$C$2)</f>
        <v>0</v>
      </c>
      <c r="AJ46" s="548">
        <f>SUMIFS(BS_RE33!$H$7:$H$874,BS_RE33!$S$7:$S$874,$AJ$2,BS_RE33!$N$7:$N$874,I46,BS_RE33!$P$7:$P$874,'30 days CF Table(RMB)'!G46,BS_RE33!$F$7:$F$874,'30 days CF Table(RMB)'!$C$2)</f>
        <v>0</v>
      </c>
      <c r="AK46" s="548">
        <f>SUMIFS(BS_RE33!$H$7:$H$874,BS_RE33!$S$7:$S$874,$AK$2,BS_RE33!$N$7:$N$874,I46,BS_RE33!$P$7:$P$874,'30 days CF Table(RMB)'!G46,BS_RE33!$F$7:$F$874,'30 days CF Table(RMB)'!$C$2)</f>
        <v>0</v>
      </c>
      <c r="AL46" s="548">
        <f>SUMIFS(BS_RE33!$H$7:$H$874,BS_RE33!$S$7:$S$874,$AL$2,BS_RE33!$N$7:$N$874,I46,BS_RE33!$P$7:$P$874,'30 days CF Table(RMB)'!G46,BS_RE33!$F$7:$F$874,'30 days CF Table(RMB)'!$C$2)</f>
        <v>0</v>
      </c>
      <c r="AM46" s="548">
        <f>SUMIFS(BS_RE33!$H$7:$H$874,BS_RE33!$S$7:$S$874,$AM$2,BS_RE33!$N$7:$N$874,I46,BS_RE33!$P$7:$P$874,'30 days CF Table(RMB)'!G46,BS_RE33!$F$7:$F$874,'30 days CF Table(RMB)'!$C$2)</f>
        <v>0</v>
      </c>
      <c r="AN46" s="548">
        <f>SUMIFS(BS_RE33!$H$7:$H$874,BS_RE33!$S$7:$S$874,$AN$2,BS_RE33!$N$7:$N$874,I46,BS_RE33!$P$7:$P$874,'30 days CF Table(RMB)'!G46,BS_RE33!$F$7:$F$874,'30 days CF Table(RMB)'!$C$2)</f>
        <v>0</v>
      </c>
      <c r="AO46" s="548">
        <f>SUMIFS(BS_RE33!$H$7:$H$874,BS_RE33!$S$7:$S$874,$AO$2,BS_RE33!$N$7:$N$874,I46,BS_RE33!$P$7:$P$874,'30 days CF Table(RMB)'!G46,BS_RE33!$F$7:$F$874,'30 days CF Table(RMB)'!$C$2)</f>
        <v>0</v>
      </c>
      <c r="AP46" s="549">
        <f>SUMIFS(BS_RE33!$H$7:$H$874,BS_RE33!$S$7:$S$874,$AP$2,BS_RE33!$N$7:$N$874,I46,BS_RE33!$P$7:$P$874,'30 days CF Table(RMB)'!G46,BS_RE33!$F$7:$F$874,'30 days CF Table(RMB)'!$C$2)</f>
        <v>0</v>
      </c>
      <c r="AQ46" s="550"/>
      <c r="AR46" s="380">
        <f>SUMIFS(BS_RE33!$H$7:$H$874,BS_RE33!$S$7:$S$874,$AR$2,BS_RE33!$N$7:$N$874,I46,BS_RE33!$P$7:$P$874,'30 days CF Table(RMB)'!G46,BS_RE33!$F$7:$F$874,'30 days CF Table(RMB)'!$C$2)</f>
        <v>0</v>
      </c>
      <c r="AS46" s="380">
        <f>SUMIFS(BS_RE33!$H$7:$H$874,BS_RE33!$S$7:$S$874,$AS$2,BS_RE33!$N$7:$N$874,I46,BS_RE33!$P$7:$P$874,'30 days CF Table(RMB)'!G46,BS_RE33!$F$7:$F$874,'30 days CF Table(RMB)'!$C$2)</f>
        <v>0</v>
      </c>
      <c r="AT46" s="380">
        <f>SUMIFS(BS_RE33!$H$7:$H$874,BS_RE33!$S$7:$S$874,$AT$2,BS_RE33!$N$7:$N$874,I46,BS_RE33!$P$7:$P$874,'30 days CF Table(RMB)'!G46,BS_RE33!$F$7:$F$874,'30 days CF Table(RMB)'!$C$2)</f>
        <v>0</v>
      </c>
      <c r="AU46" s="380">
        <f>SUMIFS(BS_RE33!$H$7:$H$874,BS_RE33!$S$7:$S$874,$AU$2,BS_RE33!$N$7:$N$874,I46,BS_RE33!$P$7:$P$874,'30 days CF Table(RMB)'!G46,BS_RE33!$F$7:$F$874,'30 days CF Table(RMB)'!$C$2)</f>
        <v>0</v>
      </c>
      <c r="AV46" s="380">
        <f>SUMIFS(BS_RE33!$H$7:$H$874,BS_RE33!$S$7:$S$874,$AV$2,BS_RE33!$N$7:$N$874,I46,BS_RE33!$P$7:$P$874,'30 days CF Table(RMB)'!G46,BS_RE33!$F$7:$F$874,'30 days CF Table(RMB)'!$C$2)</f>
        <v>0</v>
      </c>
      <c r="AW46" s="380">
        <f>SUMIFS(BS_RE33!$H$7:$H$874,BS_RE33!$S$7:$S$874,$AW$2,BS_RE33!$N$7:$N$874,I46,BS_RE33!$P$7:$P$874,'30 days CF Table(RMB)'!G46,BS_RE33!$F$7:$F$874,'30 days CF Table(RMB)'!$C$2)</f>
        <v>0</v>
      </c>
      <c r="AX46" s="380">
        <f>SUMIFS(BS_RE33!$H$7:$H$874,BS_RE33!$S$7:$S$874,$AX$2,BS_RE33!$N$7:$N$874,I46,BS_RE33!$P$7:$P$874,'30 days CF Table(RMB)'!G46,BS_RE33!$F$7:$F$874,'30 days CF Table(RMB)'!$C$2)</f>
        <v>0</v>
      </c>
      <c r="AY46" s="380">
        <f>SUMIFS(BS_RE33!$H$7:$H$874,BS_RE33!$S$7:$S$874,$AY$2,BS_RE33!$N$7:$N$874,I46,BS_RE33!$P$7:$P$874,'30 days CF Table(RMB)'!G46,BS_RE33!$F$7:$F$874,'30 days CF Table(RMB)'!$C$2)</f>
        <v>0</v>
      </c>
      <c r="AZ46" s="380">
        <f>SUMIFS(BS_RE33!$H$7:$H$874,BS_RE33!$S$7:$S$874,$AZ$2,BS_RE33!$N$7:$N$874,I46,BS_RE33!$P$7:$P$874,'30 days CF Table(RMB)'!G46,BS_RE33!$F$7:$F$874,'30 days CF Table(RMB)'!$C$2)</f>
        <v>0</v>
      </c>
      <c r="BA46" s="380">
        <f>SUMIFS(BS_RE33!$H$7:$H$874,BS_RE33!$S$7:$S$874,$BA$2,BS_RE33!$N$7:$N$874,I46,BS_RE33!$P$7:$P$874,'30 days CF Table(RMB)'!G46,BS_RE33!$F$7:$F$874,'30 days CF Table(RMB)'!$C$2)</f>
        <v>0</v>
      </c>
      <c r="BB46" s="380">
        <f>SUMIFS(BS_RE33!$H$7:$H$874,BS_RE33!$S$7:$S$874,$BB$2,BS_RE33!$N$7:$N$874,I46,BS_RE33!$P$7:$P$874,'30 days CF Table(RMB)'!G46,BS_RE33!$F$7:$F$874,'30 days CF Table(RMB)'!$C$2)</f>
        <v>0</v>
      </c>
      <c r="BC46" s="380">
        <f>SUMIFS(BS_RE33!$H$7:$H$874,BS_RE33!$S$7:$S$874,$BC$2,BS_RE33!$N$7:$N$874,I46,BS_RE33!$P$7:$P$874,'30 days CF Table(RMB)'!G46,BS_RE33!$F$7:$F$874,'30 days CF Table(RMB)'!$C$2)</f>
        <v>0</v>
      </c>
      <c r="BD46" s="380">
        <f>SUMIFS(BS_RE33!$H$7:$H$874,BS_RE33!$S$7:$S$874,$BD$2,BS_RE33!$N$7:$N$874,I46,BS_RE33!$P$7:$P$874,'30 days CF Table(RMB)'!G46,BS_RE33!$F$7:$F$874,'30 days CF Table(RMB)'!$C$2)</f>
        <v>0</v>
      </c>
      <c r="BE46" s="380">
        <f>SUMIFS(BS_RE33!$H$7:$H$874,BS_RE33!$S$7:$S$874,$BE$2,BS_RE33!$N$7:$N$874,I46,BS_RE33!$P$7:$P$874,'30 days CF Table(RMB)'!G46,BS_RE33!$F$7:$F$874,'30 days CF Table(RMB)'!$C$2)</f>
        <v>0</v>
      </c>
      <c r="BF46" s="380">
        <f>SUMIFS(BS_RE33!$H$7:$H$874,BS_RE33!$S$7:$S$874,$BF$2,BS_RE33!$N$7:$N$874,I46,BS_RE33!$P$7:$P$874,'30 days CF Table(RMB)'!G46,BS_RE33!$F$7:$F$874,'30 days CF Table(RMB)'!$C$2)</f>
        <v>0</v>
      </c>
      <c r="BG46" s="380">
        <f>SUMIFS(BS_RE33!$H$7:$H$874,BS_RE33!$S$7:$S$874,$BG$2,BS_RE33!$N$7:$N$874,I46,BS_RE33!$P$7:$P$874,'30 days CF Table(RMB)'!G46,BS_RE33!$F$7:$F$874,'30 days CF Table(RMB)'!$C$2)</f>
        <v>0</v>
      </c>
      <c r="BH46" s="380">
        <f>SUMIFS(BS_RE33!$H$7:$H$874,BS_RE33!$S$7:$S$874,$BH$2,BS_RE33!$N$7:$N$874,I46,BS_RE33!$P$7:$P$874,'30 days CF Table(RMB)'!G46,BS_RE33!$F$7:$F$874,'30 days CF Table(RMB)'!$C$2)</f>
        <v>0</v>
      </c>
      <c r="BI46" s="380">
        <f>SUMIFS(BS_RE33!$H$7:$H$874,BS_RE33!$S$7:$S$874,$BI$2,BS_RE33!$N$7:$N$874,I46,BS_RE33!$P$7:$P$874,'30 days CF Table(RMB)'!G46,BS_RE33!$F$7:$F$874,'30 days CF Table(RMB)'!$C$2)</f>
        <v>0</v>
      </c>
      <c r="BJ46" s="380">
        <f>SUMIFS(BS_RE33!$H$7:$H$874,BS_RE33!$S$7:$S$874,$BJ$2,BS_RE33!$N$7:$N$874,I46,BS_RE33!$P$7:$P$874,'30 days CF Table(RMB)'!G46,BS_RE33!$F$7:$F$874,'30 days CF Table(RMB)'!$C$2)</f>
        <v>0</v>
      </c>
      <c r="BK46" s="380">
        <f>SUMIFS(BS_RE33!$H$7:$H$874,BS_RE33!$S$7:$S$874,$BK$2,BS_RE33!$N$7:$N$874,I46,BS_RE33!$P$7:$P$874,'30 days CF Table(RMB)'!G46,BS_RE33!$F$7:$F$874,'30 days CF Table(RMB)'!$C$2)</f>
        <v>0</v>
      </c>
    </row>
    <row r="47" spans="3:63">
      <c r="C47" s="1029"/>
      <c r="D47" s="1039"/>
      <c r="E47" s="108" t="s">
        <v>765</v>
      </c>
      <c r="F47" s="309"/>
      <c r="G47" s="392" t="s">
        <v>756</v>
      </c>
      <c r="H47" s="168">
        <v>0</v>
      </c>
      <c r="I47" s="307" t="s">
        <v>167</v>
      </c>
      <c r="J47" s="478">
        <f t="shared" si="2"/>
        <v>0</v>
      </c>
      <c r="K47" s="547">
        <f t="shared" si="3"/>
        <v>0</v>
      </c>
      <c r="L47" s="548">
        <f>SUMIFS(BS_RE33!$H$7:$H$874,BS_RE33!$S$7:$S$874,$L$2,BS_RE33!$N$7:$N$874,I47,BS_RE33!$P$7:$P$874,'30 days CF Table(RMB)'!G47,BS_RE33!$F$7:$F$874,'30 days CF Table(RMB)'!$C$2)</f>
        <v>0</v>
      </c>
      <c r="M47" s="548">
        <f>SUMIFS(BS_RE33!$H$7:$H$874,BS_RE33!$S$7:$S$874,$M$2,BS_RE33!$N$7:$N$874,I47,BS_RE33!$P$7:$P$874,'30 days CF Table(RMB)'!G47,BS_RE33!$F$7:$F$874,'30 days CF Table(RMB)'!$C$2)</f>
        <v>0</v>
      </c>
      <c r="N47" s="548">
        <f>SUMIFS(BS_RE33!$H$7:$H$874,BS_RE33!$S$7:$S$874,$N$2,BS_RE33!$N$7:$N$874,I47,BS_RE33!$P$7:$P$874,'30 days CF Table(RMB)'!G47,BS_RE33!$F$7:$F$874,'30 days CF Table(RMB)'!$C$2)</f>
        <v>0</v>
      </c>
      <c r="O47" s="548">
        <f>SUMIFS(BS_RE33!$H$7:$H$874,BS_RE33!$S$7:$S$874,$O$2,BS_RE33!$N$7:$N$874,I47,BS_RE33!$P$7:$P$874,'30 days CF Table(RMB)'!G47,BS_RE33!$F$7:$F$874,'30 days CF Table(RMB)'!$C$2)</f>
        <v>0</v>
      </c>
      <c r="P47" s="548">
        <f>SUMIFS(BS_RE33!$H$7:$H$874,BS_RE33!$S$7:$S$874,$P$2,BS_RE33!$N$7:$N$874,I47,BS_RE33!$P$7:$P$874,'30 days CF Table(RMB)'!G47,BS_RE33!$F$7:$F$874,'30 days CF Table(RMB)'!$C$2)</f>
        <v>0</v>
      </c>
      <c r="Q47" s="548">
        <f>SUMIFS(BS_RE33!$H$7:$H$874,BS_RE33!$S$7:$S$874,$Q$2,BS_RE33!$N$7:$N$874,I47,BS_RE33!$P$7:$P$874,'30 days CF Table(RMB)'!G47,BS_RE33!$F$7:$F$874,'30 days CF Table(RMB)'!$C$2)</f>
        <v>0</v>
      </c>
      <c r="R47" s="548">
        <f>SUMIFS(BS_RE33!$H$7:$H$874,BS_RE33!$S$7:$S$874,$R$2,BS_RE33!$N$7:$N$874,I47,BS_RE33!$P$7:$P$874,'30 days CF Table(RMB)'!G47,BS_RE33!$F$7:$F$874,'30 days CF Table(RMB)'!$C$2)</f>
        <v>0</v>
      </c>
      <c r="S47" s="548">
        <f>SUMIFS(BS_RE33!$H$7:$H$874,BS_RE33!$S$7:$S$874,$S$2,BS_RE33!$N$7:$N$874,I47,BS_RE33!$P$7:$P$874,'30 days CF Table(RMB)'!G47,BS_RE33!$F$7:$F$874,'30 days CF Table(RMB)'!$C$2)</f>
        <v>0</v>
      </c>
      <c r="T47" s="548">
        <f>SUMIFS(BS_RE33!$H$7:$H$874,BS_RE33!$S$7:$S$874,$T$2,BS_RE33!$N$7:$N$874,I47,BS_RE33!$P$7:$P$874,'30 days CF Table(RMB)'!G47,BS_RE33!$F$7:$F$874,'30 days CF Table(RMB)'!$C$2)</f>
        <v>0</v>
      </c>
      <c r="U47" s="548">
        <f>SUMIFS(BS_RE33!$H$7:$H$874,BS_RE33!$S$7:$S$874,$U$2,BS_RE33!$N$7:$N$874,I47,BS_RE33!$P$7:$P$874,'30 days CF Table(RMB)'!G47,BS_RE33!$F$7:$F$874,'30 days CF Table(RMB)'!$C$2)</f>
        <v>0</v>
      </c>
      <c r="V47" s="548">
        <f>SUMIFS(BS_RE33!$H$7:$H$874,BS_RE33!$S$7:$S$874,$V$2,BS_RE33!$N$7:$N$874,I47,BS_RE33!$P$7:$P$874,'30 days CF Table(RMB)'!G47,BS_RE33!$F$7:$F$874,'30 days CF Table(RMB)'!$C$2)</f>
        <v>0</v>
      </c>
      <c r="W47" s="548">
        <f>SUMIFS(BS_RE33!$H$7:$H$874,BS_RE33!$S$7:$S$874,$W$2,BS_RE33!$N$7:$N$874,I47,BS_RE33!$P$7:$P$874,'30 days CF Table(RMB)'!G47,BS_RE33!$F$7:$F$874,'30 days CF Table(RMB)'!$C$2)</f>
        <v>0</v>
      </c>
      <c r="X47" s="548">
        <f>SUMIFS(BS_RE33!$H$7:$H$874,BS_RE33!$S$7:$S$874,$X$2,BS_RE33!$N$7:$N$874,I47,BS_RE33!$P$7:$P$874,'30 days CF Table(RMB)'!G47,BS_RE33!$F$7:$F$874,'30 days CF Table(RMB)'!$C$2)</f>
        <v>0</v>
      </c>
      <c r="Y47" s="548">
        <f>SUMIFS(BS_RE33!$H$7:$H$874,BS_RE33!$S$7:$S$874,$Y$2,BS_RE33!$N$7:$N$874,I47,BS_RE33!$P$7:$P$874,'30 days CF Table(RMB)'!G47,BS_RE33!$F$7:$F$874,'30 days CF Table(RMB)'!$C$2)</f>
        <v>0</v>
      </c>
      <c r="Z47" s="548">
        <f>SUMIFS(BS_RE33!$H$7:$H$874,BS_RE33!$S$7:$S$874,$Z$2,BS_RE33!$N$7:$N$874,I47,BS_RE33!$P$7:$P$874,'30 days CF Table(RMB)'!G47,BS_RE33!$F$7:$F$874,'30 days CF Table(RMB)'!$C$2)</f>
        <v>0</v>
      </c>
      <c r="AA47" s="548">
        <f>SUMIFS(BS_RE33!$H$7:$H$874,BS_RE33!$S$7:$S$874,$AA$2,BS_RE33!$N$7:$N$874,I47,BS_RE33!$P$7:$P$874,'30 days CF Table(RMB)'!G47,BS_RE33!$F$7:$F$874,'30 days CF Table(RMB)'!$C$2)</f>
        <v>0</v>
      </c>
      <c r="AB47" s="548">
        <f>SUMIFS(BS_RE33!$H$7:$H$874,BS_RE33!$S$7:$S$874,$AB$2,BS_RE33!$N$7:$N$874,I47,BS_RE33!$P$7:$P$874,'30 days CF Table(RMB)'!G47,BS_RE33!$F$7:$F$874,'30 days CF Table(RMB)'!$C$2)</f>
        <v>0</v>
      </c>
      <c r="AC47" s="548">
        <f>SUMIFS(BS_RE33!$H$7:$H$874,BS_RE33!$S$7:$S$874,$AC$2,BS_RE33!$N$7:$N$874,I47,BS_RE33!$P$7:$P$874,'30 days CF Table(RMB)'!G47,BS_RE33!$F$7:$F$874,'30 days CF Table(RMB)'!$C$2)</f>
        <v>0</v>
      </c>
      <c r="AD47" s="548">
        <f>SUMIFS(BS_RE33!$H$7:$H$874,BS_RE33!$S$7:$S$874,$AD$2,BS_RE33!$N$7:$N$874,I47,BS_RE33!$P$7:$P$874,'30 days CF Table(RMB)'!G47,BS_RE33!$F$7:$F$874,'30 days CF Table(RMB)'!$C$2)</f>
        <v>0</v>
      </c>
      <c r="AE47" s="548">
        <f>SUMIFS(BS_RE33!$H$7:$H$874,BS_RE33!$S$7:$S$874,$AE$2,BS_RE33!$N$7:$N$874,I47,BS_RE33!$P$7:$P$874,'30 days CF Table(RMB)'!G47,BS_RE33!$F$7:$F$874,'30 days CF Table(RMB)'!$C$2)</f>
        <v>0</v>
      </c>
      <c r="AF47" s="548">
        <f>SUMIFS(BS_RE33!$H$7:$H$874,BS_RE33!$S$7:$S$874,$AF$2,BS_RE33!$N$7:$N$874,I47,BS_RE33!$P$7:$P$874,'30 days CF Table(RMB)'!G47,BS_RE33!$F$7:$F$874,'30 days CF Table(RMB)'!$C$2)</f>
        <v>0</v>
      </c>
      <c r="AG47" s="548">
        <f>SUMIFS(BS_RE33!$H$7:$H$874,BS_RE33!$S$7:$S$874,$AG$2,BS_RE33!$N$7:$N$874,I47,BS_RE33!$P$7:$P$874,'30 days CF Table(RMB)'!G47,BS_RE33!$F$7:$F$874,'30 days CF Table(RMB)'!$C$2)</f>
        <v>0</v>
      </c>
      <c r="AH47" s="548">
        <f>SUMIFS(BS_RE33!$H$7:$H$874,BS_RE33!$S$7:$S$874,$AH$2,BS_RE33!$N$7:$N$874,I47,BS_RE33!$P$7:$P$874,'30 days CF Table(RMB)'!G47,BS_RE33!$F$7:$F$874,'30 days CF Table(RMB)'!$C$2)</f>
        <v>0</v>
      </c>
      <c r="AI47" s="548">
        <f>SUMIFS(BS_RE33!$H$7:$H$874,BS_RE33!$S$7:$S$874,$AI$2,BS_RE33!$N$7:$N$874,I47,BS_RE33!$P$7:$P$874,'30 days CF Table(RMB)'!G47,BS_RE33!$F$7:$F$874,'30 days CF Table(RMB)'!$C$2)</f>
        <v>0</v>
      </c>
      <c r="AJ47" s="548">
        <f>SUMIFS(BS_RE33!$H$7:$H$874,BS_RE33!$S$7:$S$874,$AJ$2,BS_RE33!$N$7:$N$874,I47,BS_RE33!$P$7:$P$874,'30 days CF Table(RMB)'!G47,BS_RE33!$F$7:$F$874,'30 days CF Table(RMB)'!$C$2)</f>
        <v>0</v>
      </c>
      <c r="AK47" s="548">
        <f>SUMIFS(BS_RE33!$H$7:$H$874,BS_RE33!$S$7:$S$874,$AK$2,BS_RE33!$N$7:$N$874,I47,BS_RE33!$P$7:$P$874,'30 days CF Table(RMB)'!G47,BS_RE33!$F$7:$F$874,'30 days CF Table(RMB)'!$C$2)</f>
        <v>0</v>
      </c>
      <c r="AL47" s="548">
        <f>SUMIFS(BS_RE33!$H$7:$H$874,BS_RE33!$S$7:$S$874,$AL$2,BS_RE33!$N$7:$N$874,I47,BS_RE33!$P$7:$P$874,'30 days CF Table(RMB)'!G47,BS_RE33!$F$7:$F$874,'30 days CF Table(RMB)'!$C$2)</f>
        <v>0</v>
      </c>
      <c r="AM47" s="548">
        <f>SUMIFS(BS_RE33!$H$7:$H$874,BS_RE33!$S$7:$S$874,$AM$2,BS_RE33!$N$7:$N$874,I47,BS_RE33!$P$7:$P$874,'30 days CF Table(RMB)'!G47,BS_RE33!$F$7:$F$874,'30 days CF Table(RMB)'!$C$2)</f>
        <v>0</v>
      </c>
      <c r="AN47" s="548">
        <f>SUMIFS(BS_RE33!$H$7:$H$874,BS_RE33!$S$7:$S$874,$AN$2,BS_RE33!$N$7:$N$874,I47,BS_RE33!$P$7:$P$874,'30 days CF Table(RMB)'!G47,BS_RE33!$F$7:$F$874,'30 days CF Table(RMB)'!$C$2)</f>
        <v>0</v>
      </c>
      <c r="AO47" s="548">
        <f>SUMIFS(BS_RE33!$H$7:$H$874,BS_RE33!$S$7:$S$874,$AO$2,BS_RE33!$N$7:$N$874,I47,BS_RE33!$P$7:$P$874,'30 days CF Table(RMB)'!G47,BS_RE33!$F$7:$F$874,'30 days CF Table(RMB)'!$C$2)</f>
        <v>0</v>
      </c>
      <c r="AP47" s="549">
        <f>SUMIFS(BS_RE33!$H$7:$H$874,BS_RE33!$S$7:$S$874,$AP$2,BS_RE33!$N$7:$N$874,I47,BS_RE33!$P$7:$P$874,'30 days CF Table(RMB)'!G47,BS_RE33!$F$7:$F$874,'30 days CF Table(RMB)'!$C$2)</f>
        <v>0</v>
      </c>
      <c r="AQ47" s="550"/>
      <c r="AR47" s="380">
        <f>SUMIFS(BS_RE33!$H$7:$H$874,BS_RE33!$S$7:$S$874,$AR$2,BS_RE33!$N$7:$N$874,I47,BS_RE33!$P$7:$P$874,'30 days CF Table(RMB)'!G47,BS_RE33!$F$7:$F$874,'30 days CF Table(RMB)'!$C$2)</f>
        <v>0</v>
      </c>
      <c r="AS47" s="380">
        <f>SUMIFS(BS_RE33!$H$7:$H$874,BS_RE33!$S$7:$S$874,$AS$2,BS_RE33!$N$7:$N$874,I47,BS_RE33!$P$7:$P$874,'30 days CF Table(RMB)'!G47,BS_RE33!$F$7:$F$874,'30 days CF Table(RMB)'!$C$2)</f>
        <v>0</v>
      </c>
      <c r="AT47" s="380">
        <f>SUMIFS(BS_RE33!$H$7:$H$874,BS_RE33!$S$7:$S$874,$AT$2,BS_RE33!$N$7:$N$874,I47,BS_RE33!$P$7:$P$874,'30 days CF Table(RMB)'!G47,BS_RE33!$F$7:$F$874,'30 days CF Table(RMB)'!$C$2)</f>
        <v>0</v>
      </c>
      <c r="AU47" s="380">
        <f>SUMIFS(BS_RE33!$H$7:$H$874,BS_RE33!$S$7:$S$874,$AU$2,BS_RE33!$N$7:$N$874,I47,BS_RE33!$P$7:$P$874,'30 days CF Table(RMB)'!G47,BS_RE33!$F$7:$F$874,'30 days CF Table(RMB)'!$C$2)</f>
        <v>0</v>
      </c>
      <c r="AV47" s="380">
        <f>SUMIFS(BS_RE33!$H$7:$H$874,BS_RE33!$S$7:$S$874,$AV$2,BS_RE33!$N$7:$N$874,I47,BS_RE33!$P$7:$P$874,'30 days CF Table(RMB)'!G47,BS_RE33!$F$7:$F$874,'30 days CF Table(RMB)'!$C$2)</f>
        <v>0</v>
      </c>
      <c r="AW47" s="380">
        <f>SUMIFS(BS_RE33!$H$7:$H$874,BS_RE33!$S$7:$S$874,$AW$2,BS_RE33!$N$7:$N$874,I47,BS_RE33!$P$7:$P$874,'30 days CF Table(RMB)'!G47,BS_RE33!$F$7:$F$874,'30 days CF Table(RMB)'!$C$2)</f>
        <v>0</v>
      </c>
      <c r="AX47" s="380">
        <f>SUMIFS(BS_RE33!$H$7:$H$874,BS_RE33!$S$7:$S$874,$AX$2,BS_RE33!$N$7:$N$874,I47,BS_RE33!$P$7:$P$874,'30 days CF Table(RMB)'!G47,BS_RE33!$F$7:$F$874,'30 days CF Table(RMB)'!$C$2)</f>
        <v>0</v>
      </c>
      <c r="AY47" s="380">
        <f>SUMIFS(BS_RE33!$H$7:$H$874,BS_RE33!$S$7:$S$874,$AY$2,BS_RE33!$N$7:$N$874,I47,BS_RE33!$P$7:$P$874,'30 days CF Table(RMB)'!G47,BS_RE33!$F$7:$F$874,'30 days CF Table(RMB)'!$C$2)</f>
        <v>0</v>
      </c>
      <c r="AZ47" s="380">
        <f>SUMIFS(BS_RE33!$H$7:$H$874,BS_RE33!$S$7:$S$874,$AZ$2,BS_RE33!$N$7:$N$874,I47,BS_RE33!$P$7:$P$874,'30 days CF Table(RMB)'!G47,BS_RE33!$F$7:$F$874,'30 days CF Table(RMB)'!$C$2)</f>
        <v>0</v>
      </c>
      <c r="BA47" s="380">
        <f>SUMIFS(BS_RE33!$H$7:$H$874,BS_RE33!$S$7:$S$874,$BA$2,BS_RE33!$N$7:$N$874,I47,BS_RE33!$P$7:$P$874,'30 days CF Table(RMB)'!G47,BS_RE33!$F$7:$F$874,'30 days CF Table(RMB)'!$C$2)</f>
        <v>0</v>
      </c>
      <c r="BB47" s="380">
        <f>SUMIFS(BS_RE33!$H$7:$H$874,BS_RE33!$S$7:$S$874,$BB$2,BS_RE33!$N$7:$N$874,I47,BS_RE33!$P$7:$P$874,'30 days CF Table(RMB)'!G47,BS_RE33!$F$7:$F$874,'30 days CF Table(RMB)'!$C$2)</f>
        <v>0</v>
      </c>
      <c r="BC47" s="380">
        <f>SUMIFS(BS_RE33!$H$7:$H$874,BS_RE33!$S$7:$S$874,$BC$2,BS_RE33!$N$7:$N$874,I47,BS_RE33!$P$7:$P$874,'30 days CF Table(RMB)'!G47,BS_RE33!$F$7:$F$874,'30 days CF Table(RMB)'!$C$2)</f>
        <v>0</v>
      </c>
      <c r="BD47" s="380">
        <f>SUMIFS(BS_RE33!$H$7:$H$874,BS_RE33!$S$7:$S$874,$BD$2,BS_RE33!$N$7:$N$874,I47,BS_RE33!$P$7:$P$874,'30 days CF Table(RMB)'!G47,BS_RE33!$F$7:$F$874,'30 days CF Table(RMB)'!$C$2)</f>
        <v>0</v>
      </c>
      <c r="BE47" s="380">
        <f>SUMIFS(BS_RE33!$H$7:$H$874,BS_RE33!$S$7:$S$874,$BE$2,BS_RE33!$N$7:$N$874,I47,BS_RE33!$P$7:$P$874,'30 days CF Table(RMB)'!G47,BS_RE33!$F$7:$F$874,'30 days CF Table(RMB)'!$C$2)</f>
        <v>0</v>
      </c>
      <c r="BF47" s="380">
        <f>SUMIFS(BS_RE33!$H$7:$H$874,BS_RE33!$S$7:$S$874,$BF$2,BS_RE33!$N$7:$N$874,I47,BS_RE33!$P$7:$P$874,'30 days CF Table(RMB)'!G47,BS_RE33!$F$7:$F$874,'30 days CF Table(RMB)'!$C$2)</f>
        <v>0</v>
      </c>
      <c r="BG47" s="380">
        <f>SUMIFS(BS_RE33!$H$7:$H$874,BS_RE33!$S$7:$S$874,$BG$2,BS_RE33!$N$7:$N$874,I47,BS_RE33!$P$7:$P$874,'30 days CF Table(RMB)'!G47,BS_RE33!$F$7:$F$874,'30 days CF Table(RMB)'!$C$2)</f>
        <v>0</v>
      </c>
      <c r="BH47" s="380">
        <f>SUMIFS(BS_RE33!$H$7:$H$874,BS_RE33!$S$7:$S$874,$BH$2,BS_RE33!$N$7:$N$874,I47,BS_RE33!$P$7:$P$874,'30 days CF Table(RMB)'!G47,BS_RE33!$F$7:$F$874,'30 days CF Table(RMB)'!$C$2)</f>
        <v>0</v>
      </c>
      <c r="BI47" s="380">
        <f>SUMIFS(BS_RE33!$H$7:$H$874,BS_RE33!$S$7:$S$874,$BI$2,BS_RE33!$N$7:$N$874,I47,BS_RE33!$P$7:$P$874,'30 days CF Table(RMB)'!G47,BS_RE33!$F$7:$F$874,'30 days CF Table(RMB)'!$C$2)</f>
        <v>0</v>
      </c>
      <c r="BJ47" s="380">
        <f>SUMIFS(BS_RE33!$H$7:$H$874,BS_RE33!$S$7:$S$874,$BJ$2,BS_RE33!$N$7:$N$874,I47,BS_RE33!$P$7:$P$874,'30 days CF Table(RMB)'!G47,BS_RE33!$F$7:$F$874,'30 days CF Table(RMB)'!$C$2)</f>
        <v>0</v>
      </c>
      <c r="BK47" s="380">
        <f>SUMIFS(BS_RE33!$H$7:$H$874,BS_RE33!$S$7:$S$874,$BK$2,BS_RE33!$N$7:$N$874,I47,BS_RE33!$P$7:$P$874,'30 days CF Table(RMB)'!G47,BS_RE33!$F$7:$F$874,'30 days CF Table(RMB)'!$C$2)</f>
        <v>0</v>
      </c>
    </row>
    <row r="48" spans="3:63">
      <c r="C48" s="1029"/>
      <c r="D48" s="1039"/>
      <c r="E48" s="105" t="s">
        <v>567</v>
      </c>
      <c r="F48" s="309"/>
      <c r="G48" s="145" t="s">
        <v>568</v>
      </c>
      <c r="H48" s="168">
        <v>0</v>
      </c>
      <c r="I48" s="307" t="s">
        <v>167</v>
      </c>
      <c r="J48" s="478">
        <f t="shared" si="2"/>
        <v>0</v>
      </c>
      <c r="K48" s="547">
        <f t="shared" si="3"/>
        <v>0</v>
      </c>
      <c r="L48" s="548">
        <f>SUMIFS(BS_RE33!$H$7:$H$874,BS_RE33!$S$7:$S$874,$L$2,BS_RE33!$N$7:$N$874,I48,BS_RE33!$P$7:$P$874,'30 days CF Table(RMB)'!G48,BS_RE33!$F$7:$F$874,'30 days CF Table(RMB)'!$C$2)</f>
        <v>0</v>
      </c>
      <c r="M48" s="548">
        <f>SUMIFS(BS_RE33!$H$7:$H$874,BS_RE33!$S$7:$S$874,$M$2,BS_RE33!$N$7:$N$874,I48,BS_RE33!$P$7:$P$874,'30 days CF Table(RMB)'!G48,BS_RE33!$F$7:$F$874,'30 days CF Table(RMB)'!$C$2)</f>
        <v>0</v>
      </c>
      <c r="N48" s="548">
        <f>SUMIFS(BS_RE33!$H$7:$H$874,BS_RE33!$S$7:$S$874,$N$2,BS_RE33!$N$7:$N$874,I48,BS_RE33!$P$7:$P$874,'30 days CF Table(RMB)'!G48,BS_RE33!$F$7:$F$874,'30 days CF Table(RMB)'!$C$2)</f>
        <v>0</v>
      </c>
      <c r="O48" s="548">
        <f>SUMIFS(BS_RE33!$H$7:$H$874,BS_RE33!$S$7:$S$874,$O$2,BS_RE33!$N$7:$N$874,I48,BS_RE33!$P$7:$P$874,'30 days CF Table(RMB)'!G48,BS_RE33!$F$7:$F$874,'30 days CF Table(RMB)'!$C$2)</f>
        <v>0</v>
      </c>
      <c r="P48" s="548">
        <f>SUMIFS(BS_RE33!$H$7:$H$874,BS_RE33!$S$7:$S$874,$P$2,BS_RE33!$N$7:$N$874,I48,BS_RE33!$P$7:$P$874,'30 days CF Table(RMB)'!G48,BS_RE33!$F$7:$F$874,'30 days CF Table(RMB)'!$C$2)</f>
        <v>0</v>
      </c>
      <c r="Q48" s="548">
        <f>SUMIFS(BS_RE33!$H$7:$H$874,BS_RE33!$S$7:$S$874,$Q$2,BS_RE33!$N$7:$N$874,I48,BS_RE33!$P$7:$P$874,'30 days CF Table(RMB)'!G48,BS_RE33!$F$7:$F$874,'30 days CF Table(RMB)'!$C$2)</f>
        <v>0</v>
      </c>
      <c r="R48" s="548">
        <f>SUMIFS(BS_RE33!$H$7:$H$874,BS_RE33!$S$7:$S$874,$R$2,BS_RE33!$N$7:$N$874,I48,BS_RE33!$P$7:$P$874,'30 days CF Table(RMB)'!G48,BS_RE33!$F$7:$F$874,'30 days CF Table(RMB)'!$C$2)</f>
        <v>0</v>
      </c>
      <c r="S48" s="548">
        <f>SUMIFS(BS_RE33!$H$7:$H$874,BS_RE33!$S$7:$S$874,$S$2,BS_RE33!$N$7:$N$874,I48,BS_RE33!$P$7:$P$874,'30 days CF Table(RMB)'!G48,BS_RE33!$F$7:$F$874,'30 days CF Table(RMB)'!$C$2)</f>
        <v>0</v>
      </c>
      <c r="T48" s="548">
        <f>SUMIFS(BS_RE33!$H$7:$H$874,BS_RE33!$S$7:$S$874,$T$2,BS_RE33!$N$7:$N$874,I48,BS_RE33!$P$7:$P$874,'30 days CF Table(RMB)'!G48,BS_RE33!$F$7:$F$874,'30 days CF Table(RMB)'!$C$2)</f>
        <v>0</v>
      </c>
      <c r="U48" s="548">
        <f>SUMIFS(BS_RE33!$H$7:$H$874,BS_RE33!$S$7:$S$874,$U$2,BS_RE33!$N$7:$N$874,I48,BS_RE33!$P$7:$P$874,'30 days CF Table(RMB)'!G48,BS_RE33!$F$7:$F$874,'30 days CF Table(RMB)'!$C$2)</f>
        <v>0</v>
      </c>
      <c r="V48" s="548">
        <f>SUMIFS(BS_RE33!$H$7:$H$874,BS_RE33!$S$7:$S$874,$V$2,BS_RE33!$N$7:$N$874,I48,BS_RE33!$P$7:$P$874,'30 days CF Table(RMB)'!G48,BS_RE33!$F$7:$F$874,'30 days CF Table(RMB)'!$C$2)</f>
        <v>0</v>
      </c>
      <c r="W48" s="548">
        <f>SUMIFS(BS_RE33!$H$7:$H$874,BS_RE33!$S$7:$S$874,$W$2,BS_RE33!$N$7:$N$874,I48,BS_RE33!$P$7:$P$874,'30 days CF Table(RMB)'!G48,BS_RE33!$F$7:$F$874,'30 days CF Table(RMB)'!$C$2)</f>
        <v>0</v>
      </c>
      <c r="X48" s="548">
        <f>SUMIFS(BS_RE33!$H$7:$H$874,BS_RE33!$S$7:$S$874,$X$2,BS_RE33!$N$7:$N$874,I48,BS_RE33!$P$7:$P$874,'30 days CF Table(RMB)'!G48,BS_RE33!$F$7:$F$874,'30 days CF Table(RMB)'!$C$2)</f>
        <v>0</v>
      </c>
      <c r="Y48" s="548">
        <f>SUMIFS(BS_RE33!$H$7:$H$874,BS_RE33!$S$7:$S$874,$Y$2,BS_RE33!$N$7:$N$874,I48,BS_RE33!$P$7:$P$874,'30 days CF Table(RMB)'!G48,BS_RE33!$F$7:$F$874,'30 days CF Table(RMB)'!$C$2)</f>
        <v>0</v>
      </c>
      <c r="Z48" s="548">
        <f>SUMIFS(BS_RE33!$H$7:$H$874,BS_RE33!$S$7:$S$874,$Z$2,BS_RE33!$N$7:$N$874,I48,BS_RE33!$P$7:$P$874,'30 days CF Table(RMB)'!G48,BS_RE33!$F$7:$F$874,'30 days CF Table(RMB)'!$C$2)</f>
        <v>0</v>
      </c>
      <c r="AA48" s="548">
        <f>SUMIFS(BS_RE33!$H$7:$H$874,BS_RE33!$S$7:$S$874,$AA$2,BS_RE33!$N$7:$N$874,I48,BS_RE33!$P$7:$P$874,'30 days CF Table(RMB)'!G48,BS_RE33!$F$7:$F$874,'30 days CF Table(RMB)'!$C$2)</f>
        <v>0</v>
      </c>
      <c r="AB48" s="548">
        <f>SUMIFS(BS_RE33!$H$7:$H$874,BS_RE33!$S$7:$S$874,$AB$2,BS_RE33!$N$7:$N$874,I48,BS_RE33!$P$7:$P$874,'30 days CF Table(RMB)'!G48,BS_RE33!$F$7:$F$874,'30 days CF Table(RMB)'!$C$2)</f>
        <v>0</v>
      </c>
      <c r="AC48" s="548">
        <f>SUMIFS(BS_RE33!$H$7:$H$874,BS_RE33!$S$7:$S$874,$AC$2,BS_RE33!$N$7:$N$874,I48,BS_RE33!$P$7:$P$874,'30 days CF Table(RMB)'!G48,BS_RE33!$F$7:$F$874,'30 days CF Table(RMB)'!$C$2)</f>
        <v>0</v>
      </c>
      <c r="AD48" s="548">
        <f>SUMIFS(BS_RE33!$H$7:$H$874,BS_RE33!$S$7:$S$874,$AD$2,BS_RE33!$N$7:$N$874,I48,BS_RE33!$P$7:$P$874,'30 days CF Table(RMB)'!G48,BS_RE33!$F$7:$F$874,'30 days CF Table(RMB)'!$C$2)</f>
        <v>0</v>
      </c>
      <c r="AE48" s="548">
        <f>SUMIFS(BS_RE33!$H$7:$H$874,BS_RE33!$S$7:$S$874,$AE$2,BS_RE33!$N$7:$N$874,I48,BS_RE33!$P$7:$P$874,'30 days CF Table(RMB)'!G48,BS_RE33!$F$7:$F$874,'30 days CF Table(RMB)'!$C$2)</f>
        <v>0</v>
      </c>
      <c r="AF48" s="548">
        <f>SUMIFS(BS_RE33!$H$7:$H$874,BS_RE33!$S$7:$S$874,$AF$2,BS_RE33!$N$7:$N$874,I48,BS_RE33!$P$7:$P$874,'30 days CF Table(RMB)'!G48,BS_RE33!$F$7:$F$874,'30 days CF Table(RMB)'!$C$2)</f>
        <v>0</v>
      </c>
      <c r="AG48" s="548">
        <f>SUMIFS(BS_RE33!$H$7:$H$874,BS_RE33!$S$7:$S$874,$AG$2,BS_RE33!$N$7:$N$874,I48,BS_RE33!$P$7:$P$874,'30 days CF Table(RMB)'!G48,BS_RE33!$F$7:$F$874,'30 days CF Table(RMB)'!$C$2)</f>
        <v>0</v>
      </c>
      <c r="AH48" s="548">
        <f>SUMIFS(BS_RE33!$H$7:$H$874,BS_RE33!$S$7:$S$874,$AH$2,BS_RE33!$N$7:$N$874,I48,BS_RE33!$P$7:$P$874,'30 days CF Table(RMB)'!G48,BS_RE33!$F$7:$F$874,'30 days CF Table(RMB)'!$C$2)</f>
        <v>0</v>
      </c>
      <c r="AI48" s="548">
        <f>SUMIFS(BS_RE33!$H$7:$H$874,BS_RE33!$S$7:$S$874,$AI$2,BS_RE33!$N$7:$N$874,I48,BS_RE33!$P$7:$P$874,'30 days CF Table(RMB)'!G48,BS_RE33!$F$7:$F$874,'30 days CF Table(RMB)'!$C$2)</f>
        <v>0</v>
      </c>
      <c r="AJ48" s="548">
        <f>SUMIFS(BS_RE33!$H$7:$H$874,BS_RE33!$S$7:$S$874,$AJ$2,BS_RE33!$N$7:$N$874,I48,BS_RE33!$P$7:$P$874,'30 days CF Table(RMB)'!G48,BS_RE33!$F$7:$F$874,'30 days CF Table(RMB)'!$C$2)</f>
        <v>0</v>
      </c>
      <c r="AK48" s="548">
        <f>SUMIFS(BS_RE33!$H$7:$H$874,BS_RE33!$S$7:$S$874,$AK$2,BS_RE33!$N$7:$N$874,I48,BS_RE33!$P$7:$P$874,'30 days CF Table(RMB)'!G48,BS_RE33!$F$7:$F$874,'30 days CF Table(RMB)'!$C$2)</f>
        <v>0</v>
      </c>
      <c r="AL48" s="548">
        <f>SUMIFS(BS_RE33!$H$7:$H$874,BS_RE33!$S$7:$S$874,$AL$2,BS_RE33!$N$7:$N$874,I48,BS_RE33!$P$7:$P$874,'30 days CF Table(RMB)'!G48,BS_RE33!$F$7:$F$874,'30 days CF Table(RMB)'!$C$2)</f>
        <v>0</v>
      </c>
      <c r="AM48" s="548">
        <f>SUMIFS(BS_RE33!$H$7:$H$874,BS_RE33!$S$7:$S$874,$AM$2,BS_RE33!$N$7:$N$874,I48,BS_RE33!$P$7:$P$874,'30 days CF Table(RMB)'!G48,BS_RE33!$F$7:$F$874,'30 days CF Table(RMB)'!$C$2)</f>
        <v>0</v>
      </c>
      <c r="AN48" s="548">
        <f>SUMIFS(BS_RE33!$H$7:$H$874,BS_RE33!$S$7:$S$874,$AN$2,BS_RE33!$N$7:$N$874,I48,BS_RE33!$P$7:$P$874,'30 days CF Table(RMB)'!G48,BS_RE33!$F$7:$F$874,'30 days CF Table(RMB)'!$C$2)</f>
        <v>0</v>
      </c>
      <c r="AO48" s="548">
        <f>SUMIFS(BS_RE33!$H$7:$H$874,BS_RE33!$S$7:$S$874,$AO$2,BS_RE33!$N$7:$N$874,I48,BS_RE33!$P$7:$P$874,'30 days CF Table(RMB)'!G48,BS_RE33!$F$7:$F$874,'30 days CF Table(RMB)'!$C$2)</f>
        <v>0</v>
      </c>
      <c r="AP48" s="549">
        <f>SUMIFS(BS_RE33!$H$7:$H$874,BS_RE33!$S$7:$S$874,$AP$2,BS_RE33!$N$7:$N$874,I48,BS_RE33!$P$7:$P$874,'30 days CF Table(RMB)'!G48,BS_RE33!$F$7:$F$874,'30 days CF Table(RMB)'!$C$2)</f>
        <v>0</v>
      </c>
      <c r="AQ48" s="550"/>
      <c r="AR48" s="380">
        <f>SUMIFS(BS_RE33!$H$7:$H$874,BS_RE33!$S$7:$S$874,$AR$2,BS_RE33!$N$7:$N$874,I48,BS_RE33!$P$7:$P$874,'30 days CF Table(RMB)'!G48,BS_RE33!$F$7:$F$874,'30 days CF Table(RMB)'!$C$2)</f>
        <v>0</v>
      </c>
      <c r="AS48" s="380">
        <f>SUMIFS(BS_RE33!$H$7:$H$874,BS_RE33!$S$7:$S$874,$AS$2,BS_RE33!$N$7:$N$874,I48,BS_RE33!$P$7:$P$874,'30 days CF Table(RMB)'!G48,BS_RE33!$F$7:$F$874,'30 days CF Table(RMB)'!$C$2)</f>
        <v>0</v>
      </c>
      <c r="AT48" s="380">
        <f>SUMIFS(BS_RE33!$H$7:$H$874,BS_RE33!$S$7:$S$874,$AT$2,BS_RE33!$N$7:$N$874,I48,BS_RE33!$P$7:$P$874,'30 days CF Table(RMB)'!G48,BS_RE33!$F$7:$F$874,'30 days CF Table(RMB)'!$C$2)</f>
        <v>0</v>
      </c>
      <c r="AU48" s="380">
        <f>SUMIFS(BS_RE33!$H$7:$H$874,BS_RE33!$S$7:$S$874,$AU$2,BS_RE33!$N$7:$N$874,I48,BS_RE33!$P$7:$P$874,'30 days CF Table(RMB)'!G48,BS_RE33!$F$7:$F$874,'30 days CF Table(RMB)'!$C$2)</f>
        <v>0</v>
      </c>
      <c r="AV48" s="380">
        <f>SUMIFS(BS_RE33!$H$7:$H$874,BS_RE33!$S$7:$S$874,$AV$2,BS_RE33!$N$7:$N$874,I48,BS_RE33!$P$7:$P$874,'30 days CF Table(RMB)'!G48,BS_RE33!$F$7:$F$874,'30 days CF Table(RMB)'!$C$2)</f>
        <v>0</v>
      </c>
      <c r="AW48" s="380">
        <f>SUMIFS(BS_RE33!$H$7:$H$874,BS_RE33!$S$7:$S$874,$AW$2,BS_RE33!$N$7:$N$874,I48,BS_RE33!$P$7:$P$874,'30 days CF Table(RMB)'!G48,BS_RE33!$F$7:$F$874,'30 days CF Table(RMB)'!$C$2)</f>
        <v>0</v>
      </c>
      <c r="AX48" s="380">
        <f>SUMIFS(BS_RE33!$H$7:$H$874,BS_RE33!$S$7:$S$874,$AX$2,BS_RE33!$N$7:$N$874,I48,BS_RE33!$P$7:$P$874,'30 days CF Table(RMB)'!G48,BS_RE33!$F$7:$F$874,'30 days CF Table(RMB)'!$C$2)</f>
        <v>0</v>
      </c>
      <c r="AY48" s="380">
        <f>SUMIFS(BS_RE33!$H$7:$H$874,BS_RE33!$S$7:$S$874,$AY$2,BS_RE33!$N$7:$N$874,I48,BS_RE33!$P$7:$P$874,'30 days CF Table(RMB)'!G48,BS_RE33!$F$7:$F$874,'30 days CF Table(RMB)'!$C$2)</f>
        <v>0</v>
      </c>
      <c r="AZ48" s="380">
        <f>SUMIFS(BS_RE33!$H$7:$H$874,BS_RE33!$S$7:$S$874,$AZ$2,BS_RE33!$N$7:$N$874,I48,BS_RE33!$P$7:$P$874,'30 days CF Table(RMB)'!G48,BS_RE33!$F$7:$F$874,'30 days CF Table(RMB)'!$C$2)</f>
        <v>0</v>
      </c>
      <c r="BA48" s="380">
        <f>SUMIFS(BS_RE33!$H$7:$H$874,BS_RE33!$S$7:$S$874,$BA$2,BS_RE33!$N$7:$N$874,I48,BS_RE33!$P$7:$P$874,'30 days CF Table(RMB)'!G48,BS_RE33!$F$7:$F$874,'30 days CF Table(RMB)'!$C$2)</f>
        <v>0</v>
      </c>
      <c r="BB48" s="380">
        <f>SUMIFS(BS_RE33!$H$7:$H$874,BS_RE33!$S$7:$S$874,$BB$2,BS_RE33!$N$7:$N$874,I48,BS_RE33!$P$7:$P$874,'30 days CF Table(RMB)'!G48,BS_RE33!$F$7:$F$874,'30 days CF Table(RMB)'!$C$2)</f>
        <v>0</v>
      </c>
      <c r="BC48" s="380">
        <f>SUMIFS(BS_RE33!$H$7:$H$874,BS_RE33!$S$7:$S$874,$BC$2,BS_RE33!$N$7:$N$874,I48,BS_RE33!$P$7:$P$874,'30 days CF Table(RMB)'!G48,BS_RE33!$F$7:$F$874,'30 days CF Table(RMB)'!$C$2)</f>
        <v>0</v>
      </c>
      <c r="BD48" s="380">
        <f>SUMIFS(BS_RE33!$H$7:$H$874,BS_RE33!$S$7:$S$874,$BD$2,BS_RE33!$N$7:$N$874,I48,BS_RE33!$P$7:$P$874,'30 days CF Table(RMB)'!G48,BS_RE33!$F$7:$F$874,'30 days CF Table(RMB)'!$C$2)</f>
        <v>0</v>
      </c>
      <c r="BE48" s="380">
        <f>SUMIFS(BS_RE33!$H$7:$H$874,BS_RE33!$S$7:$S$874,$BE$2,BS_RE33!$N$7:$N$874,I48,BS_RE33!$P$7:$P$874,'30 days CF Table(RMB)'!G48,BS_RE33!$F$7:$F$874,'30 days CF Table(RMB)'!$C$2)</f>
        <v>0</v>
      </c>
      <c r="BF48" s="380">
        <f>SUMIFS(BS_RE33!$H$7:$H$874,BS_RE33!$S$7:$S$874,$BF$2,BS_RE33!$N$7:$N$874,I48,BS_RE33!$P$7:$P$874,'30 days CF Table(RMB)'!G48,BS_RE33!$F$7:$F$874,'30 days CF Table(RMB)'!$C$2)</f>
        <v>0</v>
      </c>
      <c r="BG48" s="380">
        <f>SUMIFS(BS_RE33!$H$7:$H$874,BS_RE33!$S$7:$S$874,$BG$2,BS_RE33!$N$7:$N$874,I48,BS_RE33!$P$7:$P$874,'30 days CF Table(RMB)'!G48,BS_RE33!$F$7:$F$874,'30 days CF Table(RMB)'!$C$2)</f>
        <v>0</v>
      </c>
      <c r="BH48" s="380">
        <f>SUMIFS(BS_RE33!$H$7:$H$874,BS_RE33!$S$7:$S$874,$BH$2,BS_RE33!$N$7:$N$874,I48,BS_RE33!$P$7:$P$874,'30 days CF Table(RMB)'!G48,BS_RE33!$F$7:$F$874,'30 days CF Table(RMB)'!$C$2)</f>
        <v>0</v>
      </c>
      <c r="BI48" s="380">
        <f>SUMIFS(BS_RE33!$H$7:$H$874,BS_RE33!$S$7:$S$874,$BI$2,BS_RE33!$N$7:$N$874,I48,BS_RE33!$P$7:$P$874,'30 days CF Table(RMB)'!G48,BS_RE33!$F$7:$F$874,'30 days CF Table(RMB)'!$C$2)</f>
        <v>0</v>
      </c>
      <c r="BJ48" s="380">
        <f>SUMIFS(BS_RE33!$H$7:$H$874,BS_RE33!$S$7:$S$874,$BJ$2,BS_RE33!$N$7:$N$874,I48,BS_RE33!$P$7:$P$874,'30 days CF Table(RMB)'!G48,BS_RE33!$F$7:$F$874,'30 days CF Table(RMB)'!$C$2)</f>
        <v>0</v>
      </c>
      <c r="BK48" s="380">
        <f>SUMIFS(BS_RE33!$H$7:$H$874,BS_RE33!$S$7:$S$874,$BK$2,BS_RE33!$N$7:$N$874,I48,BS_RE33!$P$7:$P$874,'30 days CF Table(RMB)'!G48,BS_RE33!$F$7:$F$874,'30 days CF Table(RMB)'!$C$2)</f>
        <v>0</v>
      </c>
    </row>
    <row r="49" spans="3:63">
      <c r="C49" s="1029"/>
      <c r="D49" s="1039"/>
      <c r="E49" s="105" t="s">
        <v>91</v>
      </c>
      <c r="F49" s="309"/>
      <c r="G49" s="392" t="s">
        <v>528</v>
      </c>
      <c r="H49" s="168">
        <v>0</v>
      </c>
      <c r="I49" s="307" t="s">
        <v>167</v>
      </c>
      <c r="J49" s="478">
        <f t="shared" si="2"/>
        <v>0</v>
      </c>
      <c r="K49" s="547">
        <f t="shared" si="3"/>
        <v>0</v>
      </c>
      <c r="L49" s="548">
        <f>SUMIFS(BS_RE33!$H$7:$H$874,BS_RE33!$S$7:$S$874,$L$2,BS_RE33!$N$7:$N$874,I49,BS_RE33!$P$7:$P$874,'30 days CF Table(RMB)'!G49,BS_RE33!$F$7:$F$874,'30 days CF Table(RMB)'!$C$2)</f>
        <v>0</v>
      </c>
      <c r="M49" s="548">
        <f>SUMIFS(BS_RE33!$H$7:$H$874,BS_RE33!$S$7:$S$874,$M$2,BS_RE33!$N$7:$N$874,I49,BS_RE33!$P$7:$P$874,'30 days CF Table(RMB)'!G49,BS_RE33!$F$7:$F$874,'30 days CF Table(RMB)'!$C$2)</f>
        <v>0</v>
      </c>
      <c r="N49" s="548">
        <f>SUMIFS(BS_RE33!$H$7:$H$874,BS_RE33!$S$7:$S$874,$N$2,BS_RE33!$N$7:$N$874,I49,BS_RE33!$P$7:$P$874,'30 days CF Table(RMB)'!G49,BS_RE33!$F$7:$F$874,'30 days CF Table(RMB)'!$C$2)</f>
        <v>0</v>
      </c>
      <c r="O49" s="548">
        <f>SUMIFS(BS_RE33!$H$7:$H$874,BS_RE33!$S$7:$S$874,$O$2,BS_RE33!$N$7:$N$874,I49,BS_RE33!$P$7:$P$874,'30 days CF Table(RMB)'!G49,BS_RE33!$F$7:$F$874,'30 days CF Table(RMB)'!$C$2)</f>
        <v>0</v>
      </c>
      <c r="P49" s="548">
        <f>SUMIFS(BS_RE33!$H$7:$H$874,BS_RE33!$S$7:$S$874,$P$2,BS_RE33!$N$7:$N$874,I49,BS_RE33!$P$7:$P$874,'30 days CF Table(RMB)'!G49,BS_RE33!$F$7:$F$874,'30 days CF Table(RMB)'!$C$2)</f>
        <v>0</v>
      </c>
      <c r="Q49" s="548">
        <f>SUMIFS(BS_RE33!$H$7:$H$874,BS_RE33!$S$7:$S$874,$Q$2,BS_RE33!$N$7:$N$874,I49,BS_RE33!$P$7:$P$874,'30 days CF Table(RMB)'!G49,BS_RE33!$F$7:$F$874,'30 days CF Table(RMB)'!$C$2)</f>
        <v>0</v>
      </c>
      <c r="R49" s="548">
        <f>SUMIFS(BS_RE33!$H$7:$H$874,BS_RE33!$S$7:$S$874,$R$2,BS_RE33!$N$7:$N$874,I49,BS_RE33!$P$7:$P$874,'30 days CF Table(RMB)'!G49,BS_RE33!$F$7:$F$874,'30 days CF Table(RMB)'!$C$2)</f>
        <v>0</v>
      </c>
      <c r="S49" s="548">
        <f>SUMIFS(BS_RE33!$H$7:$H$874,BS_RE33!$S$7:$S$874,$S$2,BS_RE33!$N$7:$N$874,I49,BS_RE33!$P$7:$P$874,'30 days CF Table(RMB)'!G49,BS_RE33!$F$7:$F$874,'30 days CF Table(RMB)'!$C$2)</f>
        <v>0</v>
      </c>
      <c r="T49" s="548">
        <f>SUMIFS(BS_RE33!$H$7:$H$874,BS_RE33!$S$7:$S$874,$T$2,BS_RE33!$N$7:$N$874,I49,BS_RE33!$P$7:$P$874,'30 days CF Table(RMB)'!G49,BS_RE33!$F$7:$F$874,'30 days CF Table(RMB)'!$C$2)</f>
        <v>0</v>
      </c>
      <c r="U49" s="548">
        <f>SUMIFS(BS_RE33!$H$7:$H$874,BS_RE33!$S$7:$S$874,$U$2,BS_RE33!$N$7:$N$874,I49,BS_RE33!$P$7:$P$874,'30 days CF Table(RMB)'!G49,BS_RE33!$F$7:$F$874,'30 days CF Table(RMB)'!$C$2)</f>
        <v>0</v>
      </c>
      <c r="V49" s="548">
        <f>SUMIFS(BS_RE33!$H$7:$H$874,BS_RE33!$S$7:$S$874,$V$2,BS_RE33!$N$7:$N$874,I49,BS_RE33!$P$7:$P$874,'30 days CF Table(RMB)'!G49,BS_RE33!$F$7:$F$874,'30 days CF Table(RMB)'!$C$2)</f>
        <v>0</v>
      </c>
      <c r="W49" s="548">
        <f>SUMIFS(BS_RE33!$H$7:$H$874,BS_RE33!$S$7:$S$874,$W$2,BS_RE33!$N$7:$N$874,I49,BS_RE33!$P$7:$P$874,'30 days CF Table(RMB)'!G49,BS_RE33!$F$7:$F$874,'30 days CF Table(RMB)'!$C$2)</f>
        <v>0</v>
      </c>
      <c r="X49" s="548">
        <f>SUMIFS(BS_RE33!$H$7:$H$874,BS_RE33!$S$7:$S$874,$X$2,BS_RE33!$N$7:$N$874,I49,BS_RE33!$P$7:$P$874,'30 days CF Table(RMB)'!G49,BS_RE33!$F$7:$F$874,'30 days CF Table(RMB)'!$C$2)</f>
        <v>0</v>
      </c>
      <c r="Y49" s="548">
        <f>SUMIFS(BS_RE33!$H$7:$H$874,BS_RE33!$S$7:$S$874,$Y$2,BS_RE33!$N$7:$N$874,I49,BS_RE33!$P$7:$P$874,'30 days CF Table(RMB)'!G49,BS_RE33!$F$7:$F$874,'30 days CF Table(RMB)'!$C$2)</f>
        <v>0</v>
      </c>
      <c r="Z49" s="548">
        <f>SUMIFS(BS_RE33!$H$7:$H$874,BS_RE33!$S$7:$S$874,$Z$2,BS_RE33!$N$7:$N$874,I49,BS_RE33!$P$7:$P$874,'30 days CF Table(RMB)'!G49,BS_RE33!$F$7:$F$874,'30 days CF Table(RMB)'!$C$2)</f>
        <v>0</v>
      </c>
      <c r="AA49" s="548">
        <f>SUMIFS(BS_RE33!$H$7:$H$874,BS_RE33!$S$7:$S$874,$AA$2,BS_RE33!$N$7:$N$874,I49,BS_RE33!$P$7:$P$874,'30 days CF Table(RMB)'!G49,BS_RE33!$F$7:$F$874,'30 days CF Table(RMB)'!$C$2)</f>
        <v>0</v>
      </c>
      <c r="AB49" s="548">
        <f>SUMIFS(BS_RE33!$H$7:$H$874,BS_RE33!$S$7:$S$874,$AB$2,BS_RE33!$N$7:$N$874,I49,BS_RE33!$P$7:$P$874,'30 days CF Table(RMB)'!G49,BS_RE33!$F$7:$F$874,'30 days CF Table(RMB)'!$C$2)</f>
        <v>0</v>
      </c>
      <c r="AC49" s="548">
        <f>SUMIFS(BS_RE33!$H$7:$H$874,BS_RE33!$S$7:$S$874,$AC$2,BS_RE33!$N$7:$N$874,I49,BS_RE33!$P$7:$P$874,'30 days CF Table(RMB)'!G49,BS_RE33!$F$7:$F$874,'30 days CF Table(RMB)'!$C$2)</f>
        <v>0</v>
      </c>
      <c r="AD49" s="548">
        <f>SUMIFS(BS_RE33!$H$7:$H$874,BS_RE33!$S$7:$S$874,$AD$2,BS_RE33!$N$7:$N$874,I49,BS_RE33!$P$7:$P$874,'30 days CF Table(RMB)'!G49,BS_RE33!$F$7:$F$874,'30 days CF Table(RMB)'!$C$2)</f>
        <v>0</v>
      </c>
      <c r="AE49" s="548">
        <f>SUMIFS(BS_RE33!$H$7:$H$874,BS_RE33!$S$7:$S$874,$AE$2,BS_RE33!$N$7:$N$874,I49,BS_RE33!$P$7:$P$874,'30 days CF Table(RMB)'!G49,BS_RE33!$F$7:$F$874,'30 days CF Table(RMB)'!$C$2)</f>
        <v>0</v>
      </c>
      <c r="AF49" s="548">
        <f>SUMIFS(BS_RE33!$H$7:$H$874,BS_RE33!$S$7:$S$874,$AF$2,BS_RE33!$N$7:$N$874,I49,BS_RE33!$P$7:$P$874,'30 days CF Table(RMB)'!G49,BS_RE33!$F$7:$F$874,'30 days CF Table(RMB)'!$C$2)</f>
        <v>0</v>
      </c>
      <c r="AG49" s="548">
        <f>SUMIFS(BS_RE33!$H$7:$H$874,BS_RE33!$S$7:$S$874,$AG$2,BS_RE33!$N$7:$N$874,I49,BS_RE33!$P$7:$P$874,'30 days CF Table(RMB)'!G49,BS_RE33!$F$7:$F$874,'30 days CF Table(RMB)'!$C$2)</f>
        <v>0</v>
      </c>
      <c r="AH49" s="548">
        <f>SUMIFS(BS_RE33!$H$7:$H$874,BS_RE33!$S$7:$S$874,$AH$2,BS_RE33!$N$7:$N$874,I49,BS_RE33!$P$7:$P$874,'30 days CF Table(RMB)'!G49,BS_RE33!$F$7:$F$874,'30 days CF Table(RMB)'!$C$2)</f>
        <v>0</v>
      </c>
      <c r="AI49" s="548">
        <f>SUMIFS(BS_RE33!$H$7:$H$874,BS_RE33!$S$7:$S$874,$AI$2,BS_RE33!$N$7:$N$874,I49,BS_RE33!$P$7:$P$874,'30 days CF Table(RMB)'!G49,BS_RE33!$F$7:$F$874,'30 days CF Table(RMB)'!$C$2)</f>
        <v>0</v>
      </c>
      <c r="AJ49" s="548">
        <f>SUMIFS(BS_RE33!$H$7:$H$874,BS_RE33!$S$7:$S$874,$AJ$2,BS_RE33!$N$7:$N$874,I49,BS_RE33!$P$7:$P$874,'30 days CF Table(RMB)'!G49,BS_RE33!$F$7:$F$874,'30 days CF Table(RMB)'!$C$2)</f>
        <v>0</v>
      </c>
      <c r="AK49" s="548">
        <f>SUMIFS(BS_RE33!$H$7:$H$874,BS_RE33!$S$7:$S$874,$AK$2,BS_RE33!$N$7:$N$874,I49,BS_RE33!$P$7:$P$874,'30 days CF Table(RMB)'!G49,BS_RE33!$F$7:$F$874,'30 days CF Table(RMB)'!$C$2)</f>
        <v>0</v>
      </c>
      <c r="AL49" s="548">
        <f>SUMIFS(BS_RE33!$H$7:$H$874,BS_RE33!$S$7:$S$874,$AL$2,BS_RE33!$N$7:$N$874,I49,BS_RE33!$P$7:$P$874,'30 days CF Table(RMB)'!G49,BS_RE33!$F$7:$F$874,'30 days CF Table(RMB)'!$C$2)</f>
        <v>0</v>
      </c>
      <c r="AM49" s="548">
        <f>SUMIFS(BS_RE33!$H$7:$H$874,BS_RE33!$S$7:$S$874,$AM$2,BS_RE33!$N$7:$N$874,I49,BS_RE33!$P$7:$P$874,'30 days CF Table(RMB)'!G49,BS_RE33!$F$7:$F$874,'30 days CF Table(RMB)'!$C$2)</f>
        <v>0</v>
      </c>
      <c r="AN49" s="548">
        <f>SUMIFS(BS_RE33!$H$7:$H$874,BS_RE33!$S$7:$S$874,$AN$2,BS_RE33!$N$7:$N$874,I49,BS_RE33!$P$7:$P$874,'30 days CF Table(RMB)'!G49,BS_RE33!$F$7:$F$874,'30 days CF Table(RMB)'!$C$2)</f>
        <v>0</v>
      </c>
      <c r="AO49" s="548">
        <f>SUMIFS(BS_RE33!$H$7:$H$874,BS_RE33!$S$7:$S$874,$AO$2,BS_RE33!$N$7:$N$874,I49,BS_RE33!$P$7:$P$874,'30 days CF Table(RMB)'!G49,BS_RE33!$F$7:$F$874,'30 days CF Table(RMB)'!$C$2)</f>
        <v>0</v>
      </c>
      <c r="AP49" s="549">
        <f>SUMIFS(BS_RE33!$H$7:$H$874,BS_RE33!$S$7:$S$874,$AP$2,BS_RE33!$N$7:$N$874,I49,BS_RE33!$P$7:$P$874,'30 days CF Table(RMB)'!G49,BS_RE33!$F$7:$F$874,'30 days CF Table(RMB)'!$C$2)</f>
        <v>0</v>
      </c>
      <c r="AQ49" s="550"/>
      <c r="AR49" s="380">
        <f>SUMIFS(BS_RE33!$H$7:$H$874,BS_RE33!$S$7:$S$874,$AR$2,BS_RE33!$N$7:$N$874,I49,BS_RE33!$P$7:$P$874,'30 days CF Table(RMB)'!G49,BS_RE33!$F$7:$F$874,'30 days CF Table(RMB)'!$C$2)</f>
        <v>0</v>
      </c>
      <c r="AS49" s="380">
        <f>SUMIFS(BS_RE33!$H$7:$H$874,BS_RE33!$S$7:$S$874,$AS$2,BS_RE33!$N$7:$N$874,I49,BS_RE33!$P$7:$P$874,'30 days CF Table(RMB)'!G49,BS_RE33!$F$7:$F$874,'30 days CF Table(RMB)'!$C$2)</f>
        <v>0</v>
      </c>
      <c r="AT49" s="380">
        <f>SUMIFS(BS_RE33!$H$7:$H$874,BS_RE33!$S$7:$S$874,$AT$2,BS_RE33!$N$7:$N$874,I49,BS_RE33!$P$7:$P$874,'30 days CF Table(RMB)'!G49,BS_RE33!$F$7:$F$874,'30 days CF Table(RMB)'!$C$2)</f>
        <v>0</v>
      </c>
      <c r="AU49" s="380">
        <f>SUMIFS(BS_RE33!$H$7:$H$874,BS_RE33!$S$7:$S$874,$AU$2,BS_RE33!$N$7:$N$874,I49,BS_RE33!$P$7:$P$874,'30 days CF Table(RMB)'!G49,BS_RE33!$F$7:$F$874,'30 days CF Table(RMB)'!$C$2)</f>
        <v>0</v>
      </c>
      <c r="AV49" s="380">
        <f>SUMIFS(BS_RE33!$H$7:$H$874,BS_RE33!$S$7:$S$874,$AV$2,BS_RE33!$N$7:$N$874,I49,BS_RE33!$P$7:$P$874,'30 days CF Table(RMB)'!G49,BS_RE33!$F$7:$F$874,'30 days CF Table(RMB)'!$C$2)</f>
        <v>0</v>
      </c>
      <c r="AW49" s="380">
        <f>SUMIFS(BS_RE33!$H$7:$H$874,BS_RE33!$S$7:$S$874,$AW$2,BS_RE33!$N$7:$N$874,I49,BS_RE33!$P$7:$P$874,'30 days CF Table(RMB)'!G49,BS_RE33!$F$7:$F$874,'30 days CF Table(RMB)'!$C$2)</f>
        <v>0</v>
      </c>
      <c r="AX49" s="380">
        <f>SUMIFS(BS_RE33!$H$7:$H$874,BS_RE33!$S$7:$S$874,$AX$2,BS_RE33!$N$7:$N$874,I49,BS_RE33!$P$7:$P$874,'30 days CF Table(RMB)'!G49,BS_RE33!$F$7:$F$874,'30 days CF Table(RMB)'!$C$2)</f>
        <v>0</v>
      </c>
      <c r="AY49" s="380">
        <f>SUMIFS(BS_RE33!$H$7:$H$874,BS_RE33!$S$7:$S$874,$AY$2,BS_RE33!$N$7:$N$874,I49,BS_RE33!$P$7:$P$874,'30 days CF Table(RMB)'!G49,BS_RE33!$F$7:$F$874,'30 days CF Table(RMB)'!$C$2)</f>
        <v>0</v>
      </c>
      <c r="AZ49" s="380">
        <f>SUMIFS(BS_RE33!$H$7:$H$874,BS_RE33!$S$7:$S$874,$AZ$2,BS_RE33!$N$7:$N$874,I49,BS_RE33!$P$7:$P$874,'30 days CF Table(RMB)'!G49,BS_RE33!$F$7:$F$874,'30 days CF Table(RMB)'!$C$2)</f>
        <v>0</v>
      </c>
      <c r="BA49" s="380">
        <f>SUMIFS(BS_RE33!$H$7:$H$874,BS_RE33!$S$7:$S$874,$BA$2,BS_RE33!$N$7:$N$874,I49,BS_RE33!$P$7:$P$874,'30 days CF Table(RMB)'!G49,BS_RE33!$F$7:$F$874,'30 days CF Table(RMB)'!$C$2)</f>
        <v>0</v>
      </c>
      <c r="BB49" s="380">
        <f>SUMIFS(BS_RE33!$H$7:$H$874,BS_RE33!$S$7:$S$874,$BB$2,BS_RE33!$N$7:$N$874,I49,BS_RE33!$P$7:$P$874,'30 days CF Table(RMB)'!G49,BS_RE33!$F$7:$F$874,'30 days CF Table(RMB)'!$C$2)</f>
        <v>0</v>
      </c>
      <c r="BC49" s="380">
        <f>SUMIFS(BS_RE33!$H$7:$H$874,BS_RE33!$S$7:$S$874,$BC$2,BS_RE33!$N$7:$N$874,I49,BS_RE33!$P$7:$P$874,'30 days CF Table(RMB)'!G49,BS_RE33!$F$7:$F$874,'30 days CF Table(RMB)'!$C$2)</f>
        <v>0</v>
      </c>
      <c r="BD49" s="380">
        <f>SUMIFS(BS_RE33!$H$7:$H$874,BS_RE33!$S$7:$S$874,$BD$2,BS_RE33!$N$7:$N$874,I49,BS_RE33!$P$7:$P$874,'30 days CF Table(RMB)'!G49,BS_RE33!$F$7:$F$874,'30 days CF Table(RMB)'!$C$2)</f>
        <v>0</v>
      </c>
      <c r="BE49" s="380">
        <f>SUMIFS(BS_RE33!$H$7:$H$874,BS_RE33!$S$7:$S$874,$BE$2,BS_RE33!$N$7:$N$874,I49,BS_RE33!$P$7:$P$874,'30 days CF Table(RMB)'!G49,BS_RE33!$F$7:$F$874,'30 days CF Table(RMB)'!$C$2)</f>
        <v>0</v>
      </c>
      <c r="BF49" s="380">
        <f>SUMIFS(BS_RE33!$H$7:$H$874,BS_RE33!$S$7:$S$874,$BF$2,BS_RE33!$N$7:$N$874,I49,BS_RE33!$P$7:$P$874,'30 days CF Table(RMB)'!G49,BS_RE33!$F$7:$F$874,'30 days CF Table(RMB)'!$C$2)</f>
        <v>0</v>
      </c>
      <c r="BG49" s="380">
        <f>SUMIFS(BS_RE33!$H$7:$H$874,BS_RE33!$S$7:$S$874,$BG$2,BS_RE33!$N$7:$N$874,I49,BS_RE33!$P$7:$P$874,'30 days CF Table(RMB)'!G49,BS_RE33!$F$7:$F$874,'30 days CF Table(RMB)'!$C$2)</f>
        <v>0</v>
      </c>
      <c r="BH49" s="380">
        <f>SUMIFS(BS_RE33!$H$7:$H$874,BS_RE33!$S$7:$S$874,$BH$2,BS_RE33!$N$7:$N$874,I49,BS_RE33!$P$7:$P$874,'30 days CF Table(RMB)'!G49,BS_RE33!$F$7:$F$874,'30 days CF Table(RMB)'!$C$2)</f>
        <v>0</v>
      </c>
      <c r="BI49" s="380">
        <f>SUMIFS(BS_RE33!$H$7:$H$874,BS_RE33!$S$7:$S$874,$BI$2,BS_RE33!$N$7:$N$874,I49,BS_RE33!$P$7:$P$874,'30 days CF Table(RMB)'!G49,BS_RE33!$F$7:$F$874,'30 days CF Table(RMB)'!$C$2)</f>
        <v>0</v>
      </c>
      <c r="BJ49" s="380">
        <f>SUMIFS(BS_RE33!$H$7:$H$874,BS_RE33!$S$7:$S$874,$BJ$2,BS_RE33!$N$7:$N$874,I49,BS_RE33!$P$7:$P$874,'30 days CF Table(RMB)'!G49,BS_RE33!$F$7:$F$874,'30 days CF Table(RMB)'!$C$2)</f>
        <v>0</v>
      </c>
      <c r="BK49" s="380">
        <f>SUMIFS(BS_RE33!$H$7:$H$874,BS_RE33!$S$7:$S$874,$BK$2,BS_RE33!$N$7:$N$874,I49,BS_RE33!$P$7:$P$874,'30 days CF Table(RMB)'!G49,BS_RE33!$F$7:$F$874,'30 days CF Table(RMB)'!$C$2)</f>
        <v>0</v>
      </c>
    </row>
    <row r="50" spans="3:63">
      <c r="C50" s="1029"/>
      <c r="D50" s="1040"/>
      <c r="E50" s="108" t="s">
        <v>101</v>
      </c>
      <c r="F50" s="309"/>
      <c r="G50" s="392" t="s">
        <v>529</v>
      </c>
      <c r="H50" s="169">
        <v>0</v>
      </c>
      <c r="I50" s="307" t="s">
        <v>167</v>
      </c>
      <c r="J50" s="478">
        <f t="shared" si="2"/>
        <v>0</v>
      </c>
      <c r="K50" s="547">
        <f t="shared" si="3"/>
        <v>0</v>
      </c>
      <c r="L50" s="548">
        <f>SUMIFS(BS_RE33!$H$7:$H$874,BS_RE33!$S$7:$S$874,$L$2,BS_RE33!$N$7:$N$874,I50,BS_RE33!$P$7:$P$874,'30 days CF Table(RMB)'!G50,BS_RE33!$F$7:$F$874,'30 days CF Table(RMB)'!$C$2)</f>
        <v>0</v>
      </c>
      <c r="M50" s="548">
        <f>SUMIFS(BS_RE33!$H$7:$H$874,BS_RE33!$S$7:$S$874,$M$2,BS_RE33!$N$7:$N$874,I50,BS_RE33!$P$7:$P$874,'30 days CF Table(RMB)'!G50,BS_RE33!$F$7:$F$874,'30 days CF Table(RMB)'!$C$2)</f>
        <v>0</v>
      </c>
      <c r="N50" s="548">
        <f>SUMIFS(BS_RE33!$H$7:$H$874,BS_RE33!$S$7:$S$874,$N$2,BS_RE33!$N$7:$N$874,I50,BS_RE33!$P$7:$P$874,'30 days CF Table(RMB)'!G50,BS_RE33!$F$7:$F$874,'30 days CF Table(RMB)'!$C$2)</f>
        <v>0</v>
      </c>
      <c r="O50" s="548">
        <f>SUMIFS(BS_RE33!$H$7:$H$874,BS_RE33!$S$7:$S$874,$O$2,BS_RE33!$N$7:$N$874,I50,BS_RE33!$P$7:$P$874,'30 days CF Table(RMB)'!G50,BS_RE33!$F$7:$F$874,'30 days CF Table(RMB)'!$C$2)</f>
        <v>0</v>
      </c>
      <c r="P50" s="548">
        <f>SUMIFS(BS_RE33!$H$7:$H$874,BS_RE33!$S$7:$S$874,$P$2,BS_RE33!$N$7:$N$874,I50,BS_RE33!$P$7:$P$874,'30 days CF Table(RMB)'!G50,BS_RE33!$F$7:$F$874,'30 days CF Table(RMB)'!$C$2)</f>
        <v>0</v>
      </c>
      <c r="Q50" s="548">
        <f>SUMIFS(BS_RE33!$H$7:$H$874,BS_RE33!$S$7:$S$874,$Q$2,BS_RE33!$N$7:$N$874,I50,BS_RE33!$P$7:$P$874,'30 days CF Table(RMB)'!G50,BS_RE33!$F$7:$F$874,'30 days CF Table(RMB)'!$C$2)</f>
        <v>0</v>
      </c>
      <c r="R50" s="548">
        <f>SUMIFS(BS_RE33!$H$7:$H$874,BS_RE33!$S$7:$S$874,$R$2,BS_RE33!$N$7:$N$874,I50,BS_RE33!$P$7:$P$874,'30 days CF Table(RMB)'!G50,BS_RE33!$F$7:$F$874,'30 days CF Table(RMB)'!$C$2)</f>
        <v>0</v>
      </c>
      <c r="S50" s="548">
        <f>SUMIFS(BS_RE33!$H$7:$H$874,BS_RE33!$S$7:$S$874,$S$2,BS_RE33!$N$7:$N$874,I50,BS_RE33!$P$7:$P$874,'30 days CF Table(RMB)'!G50,BS_RE33!$F$7:$F$874,'30 days CF Table(RMB)'!$C$2)</f>
        <v>0</v>
      </c>
      <c r="T50" s="548">
        <f>SUMIFS(BS_RE33!$H$7:$H$874,BS_RE33!$S$7:$S$874,$T$2,BS_RE33!$N$7:$N$874,I50,BS_RE33!$P$7:$P$874,'30 days CF Table(RMB)'!G50,BS_RE33!$F$7:$F$874,'30 days CF Table(RMB)'!$C$2)</f>
        <v>0</v>
      </c>
      <c r="U50" s="548">
        <f>SUMIFS(BS_RE33!$H$7:$H$874,BS_RE33!$S$7:$S$874,$U$2,BS_RE33!$N$7:$N$874,I50,BS_RE33!$P$7:$P$874,'30 days CF Table(RMB)'!G50,BS_RE33!$F$7:$F$874,'30 days CF Table(RMB)'!$C$2)</f>
        <v>0</v>
      </c>
      <c r="V50" s="548">
        <f>SUMIFS(BS_RE33!$H$7:$H$874,BS_RE33!$S$7:$S$874,$V$2,BS_RE33!$N$7:$N$874,I50,BS_RE33!$P$7:$P$874,'30 days CF Table(RMB)'!G50,BS_RE33!$F$7:$F$874,'30 days CF Table(RMB)'!$C$2)</f>
        <v>0</v>
      </c>
      <c r="W50" s="548">
        <f>SUMIFS(BS_RE33!$H$7:$H$874,BS_RE33!$S$7:$S$874,$W$2,BS_RE33!$N$7:$N$874,I50,BS_RE33!$P$7:$P$874,'30 days CF Table(RMB)'!G50,BS_RE33!$F$7:$F$874,'30 days CF Table(RMB)'!$C$2)</f>
        <v>0</v>
      </c>
      <c r="X50" s="548">
        <f>SUMIFS(BS_RE33!$H$7:$H$874,BS_RE33!$S$7:$S$874,$X$2,BS_RE33!$N$7:$N$874,I50,BS_RE33!$P$7:$P$874,'30 days CF Table(RMB)'!G50,BS_RE33!$F$7:$F$874,'30 days CF Table(RMB)'!$C$2)</f>
        <v>0</v>
      </c>
      <c r="Y50" s="548">
        <f>SUMIFS(BS_RE33!$H$7:$H$874,BS_RE33!$S$7:$S$874,$Y$2,BS_RE33!$N$7:$N$874,I50,BS_RE33!$P$7:$P$874,'30 days CF Table(RMB)'!G50,BS_RE33!$F$7:$F$874,'30 days CF Table(RMB)'!$C$2)</f>
        <v>0</v>
      </c>
      <c r="Z50" s="548">
        <f>SUMIFS(BS_RE33!$H$7:$H$874,BS_RE33!$S$7:$S$874,$Z$2,BS_RE33!$N$7:$N$874,I50,BS_RE33!$P$7:$P$874,'30 days CF Table(RMB)'!G50,BS_RE33!$F$7:$F$874,'30 days CF Table(RMB)'!$C$2)</f>
        <v>0</v>
      </c>
      <c r="AA50" s="548">
        <f>SUMIFS(BS_RE33!$H$7:$H$874,BS_RE33!$S$7:$S$874,$AA$2,BS_RE33!$N$7:$N$874,I50,BS_RE33!$P$7:$P$874,'30 days CF Table(RMB)'!G50,BS_RE33!$F$7:$F$874,'30 days CF Table(RMB)'!$C$2)</f>
        <v>0</v>
      </c>
      <c r="AB50" s="548">
        <f>SUMIFS(BS_RE33!$H$7:$H$874,BS_RE33!$S$7:$S$874,$AB$2,BS_RE33!$N$7:$N$874,I50,BS_RE33!$P$7:$P$874,'30 days CF Table(RMB)'!G50,BS_RE33!$F$7:$F$874,'30 days CF Table(RMB)'!$C$2)</f>
        <v>0</v>
      </c>
      <c r="AC50" s="548">
        <f>SUMIFS(BS_RE33!$H$7:$H$874,BS_RE33!$S$7:$S$874,$AC$2,BS_RE33!$N$7:$N$874,I50,BS_RE33!$P$7:$P$874,'30 days CF Table(RMB)'!G50,BS_RE33!$F$7:$F$874,'30 days CF Table(RMB)'!$C$2)</f>
        <v>0</v>
      </c>
      <c r="AD50" s="548">
        <f>SUMIFS(BS_RE33!$H$7:$H$874,BS_RE33!$S$7:$S$874,$AD$2,BS_RE33!$N$7:$N$874,I50,BS_RE33!$P$7:$P$874,'30 days CF Table(RMB)'!G50,BS_RE33!$F$7:$F$874,'30 days CF Table(RMB)'!$C$2)</f>
        <v>0</v>
      </c>
      <c r="AE50" s="548">
        <f>SUMIFS(BS_RE33!$H$7:$H$874,BS_RE33!$S$7:$S$874,$AE$2,BS_RE33!$N$7:$N$874,I50,BS_RE33!$P$7:$P$874,'30 days CF Table(RMB)'!G50,BS_RE33!$F$7:$F$874,'30 days CF Table(RMB)'!$C$2)</f>
        <v>0</v>
      </c>
      <c r="AF50" s="548">
        <f>SUMIFS(BS_RE33!$H$7:$H$874,BS_RE33!$S$7:$S$874,$AF$2,BS_RE33!$N$7:$N$874,I50,BS_RE33!$P$7:$P$874,'30 days CF Table(RMB)'!G50,BS_RE33!$F$7:$F$874,'30 days CF Table(RMB)'!$C$2)</f>
        <v>0</v>
      </c>
      <c r="AG50" s="548">
        <f>SUMIFS(BS_RE33!$H$7:$H$874,BS_RE33!$S$7:$S$874,$AG$2,BS_RE33!$N$7:$N$874,I50,BS_RE33!$P$7:$P$874,'30 days CF Table(RMB)'!G50,BS_RE33!$F$7:$F$874,'30 days CF Table(RMB)'!$C$2)</f>
        <v>0</v>
      </c>
      <c r="AH50" s="548">
        <f>SUMIFS(BS_RE33!$H$7:$H$874,BS_RE33!$S$7:$S$874,$AH$2,BS_RE33!$N$7:$N$874,I50,BS_RE33!$P$7:$P$874,'30 days CF Table(RMB)'!G50,BS_RE33!$F$7:$F$874,'30 days CF Table(RMB)'!$C$2)</f>
        <v>0</v>
      </c>
      <c r="AI50" s="548">
        <f>SUMIFS(BS_RE33!$H$7:$H$874,BS_RE33!$S$7:$S$874,$AI$2,BS_RE33!$N$7:$N$874,I50,BS_RE33!$P$7:$P$874,'30 days CF Table(RMB)'!G50,BS_RE33!$F$7:$F$874,'30 days CF Table(RMB)'!$C$2)</f>
        <v>0</v>
      </c>
      <c r="AJ50" s="548">
        <f>SUMIFS(BS_RE33!$H$7:$H$874,BS_RE33!$S$7:$S$874,$AJ$2,BS_RE33!$N$7:$N$874,I50,BS_RE33!$P$7:$P$874,'30 days CF Table(RMB)'!G50,BS_RE33!$F$7:$F$874,'30 days CF Table(RMB)'!$C$2)</f>
        <v>0</v>
      </c>
      <c r="AK50" s="548">
        <f>SUMIFS(BS_RE33!$H$7:$H$874,BS_RE33!$S$7:$S$874,$AK$2,BS_RE33!$N$7:$N$874,I50,BS_RE33!$P$7:$P$874,'30 days CF Table(RMB)'!G50,BS_RE33!$F$7:$F$874,'30 days CF Table(RMB)'!$C$2)</f>
        <v>0</v>
      </c>
      <c r="AL50" s="548">
        <f>SUMIFS(BS_RE33!$H$7:$H$874,BS_RE33!$S$7:$S$874,$AL$2,BS_RE33!$N$7:$N$874,I50,BS_RE33!$P$7:$P$874,'30 days CF Table(RMB)'!G50,BS_RE33!$F$7:$F$874,'30 days CF Table(RMB)'!$C$2)</f>
        <v>0</v>
      </c>
      <c r="AM50" s="548">
        <f>SUMIFS(BS_RE33!$H$7:$H$874,BS_RE33!$S$7:$S$874,$AM$2,BS_RE33!$N$7:$N$874,I50,BS_RE33!$P$7:$P$874,'30 days CF Table(RMB)'!G50,BS_RE33!$F$7:$F$874,'30 days CF Table(RMB)'!$C$2)</f>
        <v>0</v>
      </c>
      <c r="AN50" s="548">
        <f>SUMIFS(BS_RE33!$H$7:$H$874,BS_RE33!$S$7:$S$874,$AN$2,BS_RE33!$N$7:$N$874,I50,BS_RE33!$P$7:$P$874,'30 days CF Table(RMB)'!G50,BS_RE33!$F$7:$F$874,'30 days CF Table(RMB)'!$C$2)</f>
        <v>0</v>
      </c>
      <c r="AO50" s="548">
        <f>SUMIFS(BS_RE33!$H$7:$H$874,BS_RE33!$S$7:$S$874,$AO$2,BS_RE33!$N$7:$N$874,I50,BS_RE33!$P$7:$P$874,'30 days CF Table(RMB)'!G50,BS_RE33!$F$7:$F$874,'30 days CF Table(RMB)'!$C$2)</f>
        <v>0</v>
      </c>
      <c r="AP50" s="549">
        <f>SUMIFS(BS_RE33!$H$7:$H$874,BS_RE33!$S$7:$S$874,$AP$2,BS_RE33!$N$7:$N$874,I50,BS_RE33!$P$7:$P$874,'30 days CF Table(RMB)'!G50,BS_RE33!$F$7:$F$874,'30 days CF Table(RMB)'!$C$2)</f>
        <v>0</v>
      </c>
      <c r="AQ50" s="550"/>
      <c r="AR50" s="380">
        <f>SUMIFS(BS_RE33!$H$7:$H$874,BS_RE33!$S$7:$S$874,$AR$2,BS_RE33!$N$7:$N$874,I50,BS_RE33!$P$7:$P$874,'30 days CF Table(RMB)'!G50,BS_RE33!$F$7:$F$874,'30 days CF Table(RMB)'!$C$2)</f>
        <v>0</v>
      </c>
      <c r="AS50" s="380">
        <f>SUMIFS(BS_RE33!$H$7:$H$874,BS_RE33!$S$7:$S$874,$AS$2,BS_RE33!$N$7:$N$874,I50,BS_RE33!$P$7:$P$874,'30 days CF Table(RMB)'!G50,BS_RE33!$F$7:$F$874,'30 days CF Table(RMB)'!$C$2)</f>
        <v>0</v>
      </c>
      <c r="AT50" s="380">
        <f>SUMIFS(BS_RE33!$H$7:$H$874,BS_RE33!$S$7:$S$874,$AT$2,BS_RE33!$N$7:$N$874,I50,BS_RE33!$P$7:$P$874,'30 days CF Table(RMB)'!G50,BS_RE33!$F$7:$F$874,'30 days CF Table(RMB)'!$C$2)</f>
        <v>0</v>
      </c>
      <c r="AU50" s="380">
        <f>SUMIFS(BS_RE33!$H$7:$H$874,BS_RE33!$S$7:$S$874,$AU$2,BS_RE33!$N$7:$N$874,I50,BS_RE33!$P$7:$P$874,'30 days CF Table(RMB)'!G50,BS_RE33!$F$7:$F$874,'30 days CF Table(RMB)'!$C$2)</f>
        <v>0</v>
      </c>
      <c r="AV50" s="380">
        <f>SUMIFS(BS_RE33!$H$7:$H$874,BS_RE33!$S$7:$S$874,$AV$2,BS_RE33!$N$7:$N$874,I50,BS_RE33!$P$7:$P$874,'30 days CF Table(RMB)'!G50,BS_RE33!$F$7:$F$874,'30 days CF Table(RMB)'!$C$2)</f>
        <v>0</v>
      </c>
      <c r="AW50" s="380">
        <f>SUMIFS(BS_RE33!$H$7:$H$874,BS_RE33!$S$7:$S$874,$AW$2,BS_RE33!$N$7:$N$874,I50,BS_RE33!$P$7:$P$874,'30 days CF Table(RMB)'!G50,BS_RE33!$F$7:$F$874,'30 days CF Table(RMB)'!$C$2)</f>
        <v>0</v>
      </c>
      <c r="AX50" s="380">
        <f>SUMIFS(BS_RE33!$H$7:$H$874,BS_RE33!$S$7:$S$874,$AX$2,BS_RE33!$N$7:$N$874,I50,BS_RE33!$P$7:$P$874,'30 days CF Table(RMB)'!G50,BS_RE33!$F$7:$F$874,'30 days CF Table(RMB)'!$C$2)</f>
        <v>0</v>
      </c>
      <c r="AY50" s="380">
        <f>SUMIFS(BS_RE33!$H$7:$H$874,BS_RE33!$S$7:$S$874,$AY$2,BS_RE33!$N$7:$N$874,I50,BS_RE33!$P$7:$P$874,'30 days CF Table(RMB)'!G50,BS_RE33!$F$7:$F$874,'30 days CF Table(RMB)'!$C$2)</f>
        <v>0</v>
      </c>
      <c r="AZ50" s="380">
        <f>SUMIFS(BS_RE33!$H$7:$H$874,BS_RE33!$S$7:$S$874,$AZ$2,BS_RE33!$N$7:$N$874,I50,BS_RE33!$P$7:$P$874,'30 days CF Table(RMB)'!G50,BS_RE33!$F$7:$F$874,'30 days CF Table(RMB)'!$C$2)</f>
        <v>0</v>
      </c>
      <c r="BA50" s="380">
        <f>SUMIFS(BS_RE33!$H$7:$H$874,BS_RE33!$S$7:$S$874,$BA$2,BS_RE33!$N$7:$N$874,I50,BS_RE33!$P$7:$P$874,'30 days CF Table(RMB)'!G50,BS_RE33!$F$7:$F$874,'30 days CF Table(RMB)'!$C$2)</f>
        <v>0</v>
      </c>
      <c r="BB50" s="380">
        <f>SUMIFS(BS_RE33!$H$7:$H$874,BS_RE33!$S$7:$S$874,$BB$2,BS_RE33!$N$7:$N$874,I50,BS_RE33!$P$7:$P$874,'30 days CF Table(RMB)'!G50,BS_RE33!$F$7:$F$874,'30 days CF Table(RMB)'!$C$2)</f>
        <v>0</v>
      </c>
      <c r="BC50" s="380">
        <f>SUMIFS(BS_RE33!$H$7:$H$874,BS_RE33!$S$7:$S$874,$BC$2,BS_RE33!$N$7:$N$874,I50,BS_RE33!$P$7:$P$874,'30 days CF Table(RMB)'!G50,BS_RE33!$F$7:$F$874,'30 days CF Table(RMB)'!$C$2)</f>
        <v>0</v>
      </c>
      <c r="BD50" s="380">
        <f>SUMIFS(BS_RE33!$H$7:$H$874,BS_RE33!$S$7:$S$874,$BD$2,BS_RE33!$N$7:$N$874,I50,BS_RE33!$P$7:$P$874,'30 days CF Table(RMB)'!G50,BS_RE33!$F$7:$F$874,'30 days CF Table(RMB)'!$C$2)</f>
        <v>0</v>
      </c>
      <c r="BE50" s="380">
        <f>SUMIFS(BS_RE33!$H$7:$H$874,BS_RE33!$S$7:$S$874,$BE$2,BS_RE33!$N$7:$N$874,I50,BS_RE33!$P$7:$P$874,'30 days CF Table(RMB)'!G50,BS_RE33!$F$7:$F$874,'30 days CF Table(RMB)'!$C$2)</f>
        <v>0</v>
      </c>
      <c r="BF50" s="380">
        <f>SUMIFS(BS_RE33!$H$7:$H$874,BS_RE33!$S$7:$S$874,$BF$2,BS_RE33!$N$7:$N$874,I50,BS_RE33!$P$7:$P$874,'30 days CF Table(RMB)'!G50,BS_RE33!$F$7:$F$874,'30 days CF Table(RMB)'!$C$2)</f>
        <v>0</v>
      </c>
      <c r="BG50" s="380">
        <f>SUMIFS(BS_RE33!$H$7:$H$874,BS_RE33!$S$7:$S$874,$BG$2,BS_RE33!$N$7:$N$874,I50,BS_RE33!$P$7:$P$874,'30 days CF Table(RMB)'!G50,BS_RE33!$F$7:$F$874,'30 days CF Table(RMB)'!$C$2)</f>
        <v>0</v>
      </c>
      <c r="BH50" s="380">
        <f>SUMIFS(BS_RE33!$H$7:$H$874,BS_RE33!$S$7:$S$874,$BH$2,BS_RE33!$N$7:$N$874,I50,BS_RE33!$P$7:$P$874,'30 days CF Table(RMB)'!G50,BS_RE33!$F$7:$F$874,'30 days CF Table(RMB)'!$C$2)</f>
        <v>0</v>
      </c>
      <c r="BI50" s="380">
        <f>SUMIFS(BS_RE33!$H$7:$H$874,BS_RE33!$S$7:$S$874,$BI$2,BS_RE33!$N$7:$N$874,I50,BS_RE33!$P$7:$P$874,'30 days CF Table(RMB)'!G50,BS_RE33!$F$7:$F$874,'30 days CF Table(RMB)'!$C$2)</f>
        <v>0</v>
      </c>
      <c r="BJ50" s="380">
        <f>SUMIFS(BS_RE33!$H$7:$H$874,BS_RE33!$S$7:$S$874,$BJ$2,BS_RE33!$N$7:$N$874,I50,BS_RE33!$P$7:$P$874,'30 days CF Table(RMB)'!G50,BS_RE33!$F$7:$F$874,'30 days CF Table(RMB)'!$C$2)</f>
        <v>0</v>
      </c>
      <c r="BK50" s="380">
        <f>SUMIFS(BS_RE33!$H$7:$H$874,BS_RE33!$S$7:$S$874,$BK$2,BS_RE33!$N$7:$N$874,I50,BS_RE33!$P$7:$P$874,'30 days CF Table(RMB)'!G50,BS_RE33!$F$7:$F$874,'30 days CF Table(RMB)'!$C$2)</f>
        <v>0</v>
      </c>
    </row>
    <row r="51" spans="3:63" ht="20.25">
      <c r="C51" s="323" t="s">
        <v>92</v>
      </c>
      <c r="D51" s="520" t="s">
        <v>92</v>
      </c>
      <c r="E51" s="108" t="s">
        <v>92</v>
      </c>
      <c r="F51" s="309"/>
      <c r="G51" s="392" t="s">
        <v>1202</v>
      </c>
      <c r="H51" s="316">
        <v>0</v>
      </c>
      <c r="I51" s="307" t="s">
        <v>167</v>
      </c>
      <c r="J51" s="478">
        <f t="shared" si="2"/>
        <v>0</v>
      </c>
      <c r="K51" s="547">
        <f t="shared" si="3"/>
        <v>0</v>
      </c>
      <c r="L51" s="548">
        <f>SUMIFS(BS_RE33!$H$7:$H$874,BS_RE33!$S$7:$S$874,$L$2,BS_RE33!$N$7:$N$874,I51,BS_RE33!$P$7:$P$874,'30 days CF Table(RMB)'!G51,BS_RE33!$F$7:$F$874,'30 days CF Table(RMB)'!$C$2)</f>
        <v>0</v>
      </c>
      <c r="M51" s="548">
        <f>SUMIFS(BS_RE33!$H$7:$H$874,BS_RE33!$S$7:$S$874,$M$2,BS_RE33!$N$7:$N$874,I51,BS_RE33!$P$7:$P$874,'30 days CF Table(RMB)'!G51,BS_RE33!$F$7:$F$874,'30 days CF Table(RMB)'!$C$2)</f>
        <v>0</v>
      </c>
      <c r="N51" s="548">
        <f>SUMIFS(BS_RE33!$H$7:$H$874,BS_RE33!$S$7:$S$874,$N$2,BS_RE33!$N$7:$N$874,I51,BS_RE33!$P$7:$P$874,'30 days CF Table(RMB)'!G51,BS_RE33!$F$7:$F$874,'30 days CF Table(RMB)'!$C$2)</f>
        <v>0</v>
      </c>
      <c r="O51" s="548">
        <f>SUMIFS(BS_RE33!$H$7:$H$874,BS_RE33!$S$7:$S$874,$O$2,BS_RE33!$N$7:$N$874,I51,BS_RE33!$P$7:$P$874,'30 days CF Table(RMB)'!G51,BS_RE33!$F$7:$F$874,'30 days CF Table(RMB)'!$C$2)</f>
        <v>0</v>
      </c>
      <c r="P51" s="548">
        <f>SUMIFS(BS_RE33!$H$7:$H$874,BS_RE33!$S$7:$S$874,$P$2,BS_RE33!$N$7:$N$874,I51,BS_RE33!$P$7:$P$874,'30 days CF Table(RMB)'!G51,BS_RE33!$F$7:$F$874,'30 days CF Table(RMB)'!$C$2)</f>
        <v>0</v>
      </c>
      <c r="Q51" s="548">
        <f>SUMIFS(BS_RE33!$H$7:$H$874,BS_RE33!$S$7:$S$874,$Q$2,BS_RE33!$N$7:$N$874,I51,BS_RE33!$P$7:$P$874,'30 days CF Table(RMB)'!G51,BS_RE33!$F$7:$F$874,'30 days CF Table(RMB)'!$C$2)</f>
        <v>0</v>
      </c>
      <c r="R51" s="548">
        <f>SUMIFS(BS_RE33!$H$7:$H$874,BS_RE33!$S$7:$S$874,$R$2,BS_RE33!$N$7:$N$874,I51,BS_RE33!$P$7:$P$874,'30 days CF Table(RMB)'!G51,BS_RE33!$F$7:$F$874,'30 days CF Table(RMB)'!$C$2)</f>
        <v>0</v>
      </c>
      <c r="S51" s="548">
        <f>SUMIFS(BS_RE33!$H$7:$H$874,BS_RE33!$S$7:$S$874,$S$2,BS_RE33!$N$7:$N$874,I51,BS_RE33!$P$7:$P$874,'30 days CF Table(RMB)'!G51,BS_RE33!$F$7:$F$874,'30 days CF Table(RMB)'!$C$2)</f>
        <v>0</v>
      </c>
      <c r="T51" s="548">
        <f>SUMIFS(BS_RE33!$H$7:$H$874,BS_RE33!$S$7:$S$874,$T$2,BS_RE33!$N$7:$N$874,I51,BS_RE33!$P$7:$P$874,'30 days CF Table(RMB)'!G51,BS_RE33!$F$7:$F$874,'30 days CF Table(RMB)'!$C$2)</f>
        <v>0</v>
      </c>
      <c r="U51" s="548">
        <f>SUMIFS(BS_RE33!$H$7:$H$874,BS_RE33!$S$7:$S$874,$U$2,BS_RE33!$N$7:$N$874,I51,BS_RE33!$P$7:$P$874,'30 days CF Table(RMB)'!G51,BS_RE33!$F$7:$F$874,'30 days CF Table(RMB)'!$C$2)</f>
        <v>0</v>
      </c>
      <c r="V51" s="548">
        <f>SUMIFS(BS_RE33!$H$7:$H$874,BS_RE33!$S$7:$S$874,$V$2,BS_RE33!$N$7:$N$874,I51,BS_RE33!$P$7:$P$874,'30 days CF Table(RMB)'!G51,BS_RE33!$F$7:$F$874,'30 days CF Table(RMB)'!$C$2)</f>
        <v>0</v>
      </c>
      <c r="W51" s="548">
        <f>SUMIFS(BS_RE33!$H$7:$H$874,BS_RE33!$S$7:$S$874,$W$2,BS_RE33!$N$7:$N$874,I51,BS_RE33!$P$7:$P$874,'30 days CF Table(RMB)'!G51,BS_RE33!$F$7:$F$874,'30 days CF Table(RMB)'!$C$2)</f>
        <v>0</v>
      </c>
      <c r="X51" s="548">
        <f>SUMIFS(BS_RE33!$H$7:$H$874,BS_RE33!$S$7:$S$874,$X$2,BS_RE33!$N$7:$N$874,I51,BS_RE33!$P$7:$P$874,'30 days CF Table(RMB)'!G51,BS_RE33!$F$7:$F$874,'30 days CF Table(RMB)'!$C$2)</f>
        <v>0</v>
      </c>
      <c r="Y51" s="548">
        <f>SUMIFS(BS_RE33!$H$7:$H$874,BS_RE33!$S$7:$S$874,$Y$2,BS_RE33!$N$7:$N$874,I51,BS_RE33!$P$7:$P$874,'30 days CF Table(RMB)'!G51,BS_RE33!$F$7:$F$874,'30 days CF Table(RMB)'!$C$2)</f>
        <v>0</v>
      </c>
      <c r="Z51" s="548">
        <f>SUMIFS(BS_RE33!$H$7:$H$874,BS_RE33!$S$7:$S$874,$Z$2,BS_RE33!$N$7:$N$874,I51,BS_RE33!$P$7:$P$874,'30 days CF Table(RMB)'!G51,BS_RE33!$F$7:$F$874,'30 days CF Table(RMB)'!$C$2)</f>
        <v>0</v>
      </c>
      <c r="AA51" s="548">
        <f>SUMIFS(BS_RE33!$H$7:$H$874,BS_RE33!$S$7:$S$874,$AA$2,BS_RE33!$N$7:$N$874,I51,BS_RE33!$P$7:$P$874,'30 days CF Table(RMB)'!G51,BS_RE33!$F$7:$F$874,'30 days CF Table(RMB)'!$C$2)</f>
        <v>0</v>
      </c>
      <c r="AB51" s="548">
        <f>SUMIFS(BS_RE33!$H$7:$H$874,BS_RE33!$S$7:$S$874,$AB$2,BS_RE33!$N$7:$N$874,I51,BS_RE33!$P$7:$P$874,'30 days CF Table(RMB)'!G51,BS_RE33!$F$7:$F$874,'30 days CF Table(RMB)'!$C$2)</f>
        <v>0</v>
      </c>
      <c r="AC51" s="548">
        <f>SUMIFS(BS_RE33!$H$7:$H$874,BS_RE33!$S$7:$S$874,$AC$2,BS_RE33!$N$7:$N$874,I51,BS_RE33!$P$7:$P$874,'30 days CF Table(RMB)'!G51,BS_RE33!$F$7:$F$874,'30 days CF Table(RMB)'!$C$2)</f>
        <v>0</v>
      </c>
      <c r="AD51" s="548">
        <f>SUMIFS(BS_RE33!$H$7:$H$874,BS_RE33!$S$7:$S$874,$AD$2,BS_RE33!$N$7:$N$874,I51,BS_RE33!$P$7:$P$874,'30 days CF Table(RMB)'!G51,BS_RE33!$F$7:$F$874,'30 days CF Table(RMB)'!$C$2)</f>
        <v>0</v>
      </c>
      <c r="AE51" s="548">
        <f>SUMIFS(BS_RE33!$H$7:$H$874,BS_RE33!$S$7:$S$874,$AE$2,BS_RE33!$N$7:$N$874,I51,BS_RE33!$P$7:$P$874,'30 days CF Table(RMB)'!G51,BS_RE33!$F$7:$F$874,'30 days CF Table(RMB)'!$C$2)</f>
        <v>0</v>
      </c>
      <c r="AF51" s="548">
        <f>SUMIFS(BS_RE33!$H$7:$H$874,BS_RE33!$S$7:$S$874,$AF$2,BS_RE33!$N$7:$N$874,I51,BS_RE33!$P$7:$P$874,'30 days CF Table(RMB)'!G51,BS_RE33!$F$7:$F$874,'30 days CF Table(RMB)'!$C$2)</f>
        <v>0</v>
      </c>
      <c r="AG51" s="548">
        <f>SUMIFS(BS_RE33!$H$7:$H$874,BS_RE33!$S$7:$S$874,$AG$2,BS_RE33!$N$7:$N$874,I51,BS_RE33!$P$7:$P$874,'30 days CF Table(RMB)'!G51,BS_RE33!$F$7:$F$874,'30 days CF Table(RMB)'!$C$2)</f>
        <v>0</v>
      </c>
      <c r="AH51" s="548">
        <f>SUMIFS(BS_RE33!$H$7:$H$874,BS_RE33!$S$7:$S$874,$AH$2,BS_RE33!$N$7:$N$874,I51,BS_RE33!$P$7:$P$874,'30 days CF Table(RMB)'!G51,BS_RE33!$F$7:$F$874,'30 days CF Table(RMB)'!$C$2)</f>
        <v>0</v>
      </c>
      <c r="AI51" s="548">
        <f>SUMIFS(BS_RE33!$H$7:$H$874,BS_RE33!$S$7:$S$874,$AI$2,BS_RE33!$N$7:$N$874,I51,BS_RE33!$P$7:$P$874,'30 days CF Table(RMB)'!G51,BS_RE33!$F$7:$F$874,'30 days CF Table(RMB)'!$C$2)</f>
        <v>0</v>
      </c>
      <c r="AJ51" s="548">
        <f>SUMIFS(BS_RE33!$H$7:$H$874,BS_RE33!$S$7:$S$874,$AJ$2,BS_RE33!$N$7:$N$874,I51,BS_RE33!$P$7:$P$874,'30 days CF Table(RMB)'!G51,BS_RE33!$F$7:$F$874,'30 days CF Table(RMB)'!$C$2)</f>
        <v>0</v>
      </c>
      <c r="AK51" s="548">
        <f>SUMIFS(BS_RE33!$H$7:$H$874,BS_RE33!$S$7:$S$874,$AK$2,BS_RE33!$N$7:$N$874,I51,BS_RE33!$P$7:$P$874,'30 days CF Table(RMB)'!G51,BS_RE33!$F$7:$F$874,'30 days CF Table(RMB)'!$C$2)</f>
        <v>0</v>
      </c>
      <c r="AL51" s="548">
        <f>SUMIFS(BS_RE33!$H$7:$H$874,BS_RE33!$S$7:$S$874,$AL$2,BS_RE33!$N$7:$N$874,I51,BS_RE33!$P$7:$P$874,'30 days CF Table(RMB)'!G51,BS_RE33!$F$7:$F$874,'30 days CF Table(RMB)'!$C$2)</f>
        <v>0</v>
      </c>
      <c r="AM51" s="548">
        <f>SUMIFS(BS_RE33!$H$7:$H$874,BS_RE33!$S$7:$S$874,$AM$2,BS_RE33!$N$7:$N$874,I51,BS_RE33!$P$7:$P$874,'30 days CF Table(RMB)'!G51,BS_RE33!$F$7:$F$874,'30 days CF Table(RMB)'!$C$2)</f>
        <v>0</v>
      </c>
      <c r="AN51" s="548">
        <f>SUMIFS(BS_RE33!$H$7:$H$874,BS_RE33!$S$7:$S$874,$AN$2,BS_RE33!$N$7:$N$874,I51,BS_RE33!$P$7:$P$874,'30 days CF Table(RMB)'!G51,BS_RE33!$F$7:$F$874,'30 days CF Table(RMB)'!$C$2)</f>
        <v>0</v>
      </c>
      <c r="AO51" s="548">
        <f>SUMIFS(BS_RE33!$H$7:$H$874,BS_RE33!$S$7:$S$874,$AO$2,BS_RE33!$N$7:$N$874,I51,BS_RE33!$P$7:$P$874,'30 days CF Table(RMB)'!G51,BS_RE33!$F$7:$F$874,'30 days CF Table(RMB)'!$C$2)</f>
        <v>0</v>
      </c>
      <c r="AP51" s="549">
        <f>SUMIFS(BS_RE33!$H$7:$H$874,BS_RE33!$S$7:$S$874,$AP$2,BS_RE33!$N$7:$N$874,I51,BS_RE33!$P$7:$P$874,'30 days CF Table(RMB)'!G51,BS_RE33!$F$7:$F$874,'30 days CF Table(RMB)'!$C$2)</f>
        <v>0</v>
      </c>
      <c r="AQ51" s="550"/>
      <c r="AR51" s="380">
        <f>SUMIFS(BS_RE33!$H$7:$H$874,BS_RE33!$S$7:$S$874,$AR$2,BS_RE33!$N$7:$N$874,I51,BS_RE33!$P$7:$P$874,'30 days CF Table(RMB)'!G51,BS_RE33!$F$7:$F$874,'30 days CF Table(RMB)'!$C$2)</f>
        <v>0</v>
      </c>
      <c r="AS51" s="380">
        <f>SUMIFS(BS_RE33!$H$7:$H$874,BS_RE33!$S$7:$S$874,$AS$2,BS_RE33!$N$7:$N$874,I51,BS_RE33!$P$7:$P$874,'30 days CF Table(RMB)'!G51,BS_RE33!$F$7:$F$874,'30 days CF Table(RMB)'!$C$2)</f>
        <v>0</v>
      </c>
      <c r="AT51" s="380">
        <f>SUMIFS(BS_RE33!$H$7:$H$874,BS_RE33!$S$7:$S$874,$AT$2,BS_RE33!$N$7:$N$874,I51,BS_RE33!$P$7:$P$874,'30 days CF Table(RMB)'!G51,BS_RE33!$F$7:$F$874,'30 days CF Table(RMB)'!$C$2)</f>
        <v>0</v>
      </c>
      <c r="AU51" s="380">
        <f>SUMIFS(BS_RE33!$H$7:$H$874,BS_RE33!$S$7:$S$874,$AU$2,BS_RE33!$N$7:$N$874,I51,BS_RE33!$P$7:$P$874,'30 days CF Table(RMB)'!G51,BS_RE33!$F$7:$F$874,'30 days CF Table(RMB)'!$C$2)</f>
        <v>0</v>
      </c>
      <c r="AV51" s="380">
        <f>SUMIFS(BS_RE33!$H$7:$H$874,BS_RE33!$S$7:$S$874,$AV$2,BS_RE33!$N$7:$N$874,I51,BS_RE33!$P$7:$P$874,'30 days CF Table(RMB)'!G51,BS_RE33!$F$7:$F$874,'30 days CF Table(RMB)'!$C$2)</f>
        <v>0</v>
      </c>
      <c r="AW51" s="380">
        <f>SUMIFS(BS_RE33!$H$7:$H$874,BS_RE33!$S$7:$S$874,$AW$2,BS_RE33!$N$7:$N$874,I51,BS_RE33!$P$7:$P$874,'30 days CF Table(RMB)'!G51,BS_RE33!$F$7:$F$874,'30 days CF Table(RMB)'!$C$2)</f>
        <v>0</v>
      </c>
      <c r="AX51" s="380">
        <f>SUMIFS(BS_RE33!$H$7:$H$874,BS_RE33!$S$7:$S$874,$AX$2,BS_RE33!$N$7:$N$874,I51,BS_RE33!$P$7:$P$874,'30 days CF Table(RMB)'!G51,BS_RE33!$F$7:$F$874,'30 days CF Table(RMB)'!$C$2)</f>
        <v>0</v>
      </c>
      <c r="AY51" s="380">
        <f>SUMIFS(BS_RE33!$H$7:$H$874,BS_RE33!$S$7:$S$874,$AY$2,BS_RE33!$N$7:$N$874,I51,BS_RE33!$P$7:$P$874,'30 days CF Table(RMB)'!G51,BS_RE33!$F$7:$F$874,'30 days CF Table(RMB)'!$C$2)</f>
        <v>0</v>
      </c>
      <c r="AZ51" s="380">
        <f>SUMIFS(BS_RE33!$H$7:$H$874,BS_RE33!$S$7:$S$874,$AZ$2,BS_RE33!$N$7:$N$874,I51,BS_RE33!$P$7:$P$874,'30 days CF Table(RMB)'!G51,BS_RE33!$F$7:$F$874,'30 days CF Table(RMB)'!$C$2)</f>
        <v>0</v>
      </c>
      <c r="BA51" s="380">
        <f>SUMIFS(BS_RE33!$H$7:$H$874,BS_RE33!$S$7:$S$874,$BA$2,BS_RE33!$N$7:$N$874,I51,BS_RE33!$P$7:$P$874,'30 days CF Table(RMB)'!G51,BS_RE33!$F$7:$F$874,'30 days CF Table(RMB)'!$C$2)</f>
        <v>0</v>
      </c>
      <c r="BB51" s="380">
        <f>SUMIFS(BS_RE33!$H$7:$H$874,BS_RE33!$S$7:$S$874,$BB$2,BS_RE33!$N$7:$N$874,I51,BS_RE33!$P$7:$P$874,'30 days CF Table(RMB)'!G51,BS_RE33!$F$7:$F$874,'30 days CF Table(RMB)'!$C$2)</f>
        <v>0</v>
      </c>
      <c r="BC51" s="380">
        <f>SUMIFS(BS_RE33!$H$7:$H$874,BS_RE33!$S$7:$S$874,$BC$2,BS_RE33!$N$7:$N$874,I51,BS_RE33!$P$7:$P$874,'30 days CF Table(RMB)'!G51,BS_RE33!$F$7:$F$874,'30 days CF Table(RMB)'!$C$2)</f>
        <v>0</v>
      </c>
      <c r="BD51" s="380">
        <f>SUMIFS(BS_RE33!$H$7:$H$874,BS_RE33!$S$7:$S$874,$BD$2,BS_RE33!$N$7:$N$874,I51,BS_RE33!$P$7:$P$874,'30 days CF Table(RMB)'!G51,BS_RE33!$F$7:$F$874,'30 days CF Table(RMB)'!$C$2)</f>
        <v>0</v>
      </c>
      <c r="BE51" s="380">
        <f>SUMIFS(BS_RE33!$H$7:$H$874,BS_RE33!$S$7:$S$874,$BE$2,BS_RE33!$N$7:$N$874,I51,BS_RE33!$P$7:$P$874,'30 days CF Table(RMB)'!G51,BS_RE33!$F$7:$F$874,'30 days CF Table(RMB)'!$C$2)</f>
        <v>0</v>
      </c>
      <c r="BF51" s="380">
        <f>SUMIFS(BS_RE33!$H$7:$H$874,BS_RE33!$S$7:$S$874,$BF$2,BS_RE33!$N$7:$N$874,I51,BS_RE33!$P$7:$P$874,'30 days CF Table(RMB)'!G51,BS_RE33!$F$7:$F$874,'30 days CF Table(RMB)'!$C$2)</f>
        <v>0</v>
      </c>
      <c r="BG51" s="380">
        <f>SUMIFS(BS_RE33!$H$7:$H$874,BS_RE33!$S$7:$S$874,$BG$2,BS_RE33!$N$7:$N$874,I51,BS_RE33!$P$7:$P$874,'30 days CF Table(RMB)'!G51,BS_RE33!$F$7:$F$874,'30 days CF Table(RMB)'!$C$2)</f>
        <v>0</v>
      </c>
      <c r="BH51" s="380">
        <f>SUMIFS(BS_RE33!$H$7:$H$874,BS_RE33!$S$7:$S$874,$BH$2,BS_RE33!$N$7:$N$874,I51,BS_RE33!$P$7:$P$874,'30 days CF Table(RMB)'!G51,BS_RE33!$F$7:$F$874,'30 days CF Table(RMB)'!$C$2)</f>
        <v>0</v>
      </c>
      <c r="BI51" s="380">
        <f>SUMIFS(BS_RE33!$H$7:$H$874,BS_RE33!$S$7:$S$874,$BI$2,BS_RE33!$N$7:$N$874,I51,BS_RE33!$P$7:$P$874,'30 days CF Table(RMB)'!G51,BS_RE33!$F$7:$F$874,'30 days CF Table(RMB)'!$C$2)</f>
        <v>0</v>
      </c>
      <c r="BJ51" s="380">
        <f>SUMIFS(BS_RE33!$H$7:$H$874,BS_RE33!$S$7:$S$874,$BJ$2,BS_RE33!$N$7:$N$874,I51,BS_RE33!$P$7:$P$874,'30 days CF Table(RMB)'!G51,BS_RE33!$F$7:$F$874,'30 days CF Table(RMB)'!$C$2)</f>
        <v>0</v>
      </c>
      <c r="BK51" s="380">
        <f>SUMIFS(BS_RE33!$H$7:$H$874,BS_RE33!$S$7:$S$874,$BK$2,BS_RE33!$N$7:$N$874,I51,BS_RE33!$P$7:$P$874,'30 days CF Table(RMB)'!G51,BS_RE33!$F$7:$F$874,'30 days CF Table(RMB)'!$C$2)</f>
        <v>0</v>
      </c>
    </row>
    <row r="52" spans="3:63">
      <c r="C52" s="1027" t="s">
        <v>758</v>
      </c>
      <c r="D52" s="1038" t="s">
        <v>776</v>
      </c>
      <c r="E52" s="110" t="s">
        <v>93</v>
      </c>
      <c r="F52" s="309"/>
      <c r="G52" s="392" t="s">
        <v>531</v>
      </c>
      <c r="H52" s="317">
        <v>0</v>
      </c>
      <c r="I52" s="315" t="s">
        <v>80</v>
      </c>
      <c r="J52" s="479">
        <f t="shared" si="2"/>
        <v>0</v>
      </c>
      <c r="K52" s="336">
        <f t="shared" si="3"/>
        <v>0</v>
      </c>
      <c r="L52" s="337">
        <f>SUMIFS(BS_RE33!$H$7:$H$874,BS_RE33!$S$7:$S$874,$L$2,BS_RE33!$N$7:$N$874,I52,BS_RE33!$P$7:$P$874,'30 days CF Table(RMB)'!G52,BS_RE33!$F$7:$F$874,'30 days CF Table(RMB)'!$C$2)</f>
        <v>0</v>
      </c>
      <c r="M52" s="337">
        <f>SUMIFS(BS_RE33!$H$7:$H$874,BS_RE33!$S$7:$S$874,$M$2,BS_RE33!$N$7:$N$874,I52,BS_RE33!$P$7:$P$874,'30 days CF Table(RMB)'!G52,BS_RE33!$F$7:$F$874,'30 days CF Table(RMB)'!$C$2)</f>
        <v>0</v>
      </c>
      <c r="N52" s="337">
        <f>SUMIFS(BS_RE33!$H$7:$H$874,BS_RE33!$S$7:$S$874,$N$2,BS_RE33!$N$7:$N$874,I52,BS_RE33!$P$7:$P$874,'30 days CF Table(RMB)'!G52,BS_RE33!$F$7:$F$874,'30 days CF Table(RMB)'!$C$2)</f>
        <v>0</v>
      </c>
      <c r="O52" s="337">
        <f>SUMIFS(BS_RE33!$H$7:$H$874,BS_RE33!$S$7:$S$874,$O$2,BS_RE33!$N$7:$N$874,I52,BS_RE33!$P$7:$P$874,'30 days CF Table(RMB)'!G52,BS_RE33!$F$7:$F$874,'30 days CF Table(RMB)'!$C$2)</f>
        <v>0</v>
      </c>
      <c r="P52" s="337">
        <f>SUMIFS(BS_RE33!$H$7:$H$874,BS_RE33!$S$7:$S$874,$P$2,BS_RE33!$N$7:$N$874,I52,BS_RE33!$P$7:$P$874,'30 days CF Table(RMB)'!G52,BS_RE33!$F$7:$F$874,'30 days CF Table(RMB)'!$C$2)</f>
        <v>0</v>
      </c>
      <c r="Q52" s="337">
        <f>SUMIFS(BS_RE33!$H$7:$H$874,BS_RE33!$S$7:$S$874,$Q$2,BS_RE33!$N$7:$N$874,I52,BS_RE33!$P$7:$P$874,'30 days CF Table(RMB)'!G52,BS_RE33!$F$7:$F$874,'30 days CF Table(RMB)'!$C$2)</f>
        <v>0</v>
      </c>
      <c r="R52" s="337">
        <f>SUMIFS(BS_RE33!$H$7:$H$874,BS_RE33!$S$7:$S$874,$R$2,BS_RE33!$N$7:$N$874,I52,BS_RE33!$P$7:$P$874,'30 days CF Table(RMB)'!G52,BS_RE33!$F$7:$F$874,'30 days CF Table(RMB)'!$C$2)</f>
        <v>0</v>
      </c>
      <c r="S52" s="337">
        <f>SUMIFS(BS_RE33!$H$7:$H$874,BS_RE33!$S$7:$S$874,$S$2,BS_RE33!$N$7:$N$874,I52,BS_RE33!$P$7:$P$874,'30 days CF Table(RMB)'!G52,BS_RE33!$F$7:$F$874,'30 days CF Table(RMB)'!$C$2)</f>
        <v>0</v>
      </c>
      <c r="T52" s="337">
        <f>SUMIFS(BS_RE33!$H$7:$H$874,BS_RE33!$S$7:$S$874,$T$2,BS_RE33!$N$7:$N$874,I52,BS_RE33!$P$7:$P$874,'30 days CF Table(RMB)'!G52,BS_RE33!$F$7:$F$874,'30 days CF Table(RMB)'!$C$2)</f>
        <v>0</v>
      </c>
      <c r="U52" s="337">
        <f>SUMIFS(BS_RE33!$H$7:$H$874,BS_RE33!$S$7:$S$874,$U$2,BS_RE33!$N$7:$N$874,I52,BS_RE33!$P$7:$P$874,'30 days CF Table(RMB)'!G52,BS_RE33!$F$7:$F$874,'30 days CF Table(RMB)'!$C$2)</f>
        <v>0</v>
      </c>
      <c r="V52" s="337">
        <f>SUMIFS(BS_RE33!$H$7:$H$874,BS_RE33!$S$7:$S$874,$V$2,BS_RE33!$N$7:$N$874,I52,BS_RE33!$P$7:$P$874,'30 days CF Table(RMB)'!G52,BS_RE33!$F$7:$F$874,'30 days CF Table(RMB)'!$C$2)</f>
        <v>0</v>
      </c>
      <c r="W52" s="337">
        <f>SUMIFS(BS_RE33!$H$7:$H$874,BS_RE33!$S$7:$S$874,$W$2,BS_RE33!$N$7:$N$874,I52,BS_RE33!$P$7:$P$874,'30 days CF Table(RMB)'!G52,BS_RE33!$F$7:$F$874,'30 days CF Table(RMB)'!$C$2)</f>
        <v>0</v>
      </c>
      <c r="X52" s="337">
        <f>SUMIFS(BS_RE33!$H$7:$H$874,BS_RE33!$S$7:$S$874,$X$2,BS_RE33!$N$7:$N$874,I52,BS_RE33!$P$7:$P$874,'30 days CF Table(RMB)'!G52,BS_RE33!$F$7:$F$874,'30 days CF Table(RMB)'!$C$2)</f>
        <v>0</v>
      </c>
      <c r="Y52" s="337">
        <f>SUMIFS(BS_RE33!$H$7:$H$874,BS_RE33!$S$7:$S$874,$Y$2,BS_RE33!$N$7:$N$874,I52,BS_RE33!$P$7:$P$874,'30 days CF Table(RMB)'!G52,BS_RE33!$F$7:$F$874,'30 days CF Table(RMB)'!$C$2)</f>
        <v>0</v>
      </c>
      <c r="Z52" s="337">
        <f>SUMIFS(BS_RE33!$H$7:$H$874,BS_RE33!$S$7:$S$874,$Z$2,BS_RE33!$N$7:$N$874,I52,BS_RE33!$P$7:$P$874,'30 days CF Table(RMB)'!G52,BS_RE33!$F$7:$F$874,'30 days CF Table(RMB)'!$C$2)</f>
        <v>0</v>
      </c>
      <c r="AA52" s="337">
        <f>SUMIFS(BS_RE33!$H$7:$H$874,BS_RE33!$S$7:$S$874,$AA$2,BS_RE33!$N$7:$N$874,I52,BS_RE33!$P$7:$P$874,'30 days CF Table(RMB)'!G52,BS_RE33!$F$7:$F$874,'30 days CF Table(RMB)'!$C$2)</f>
        <v>0</v>
      </c>
      <c r="AB52" s="337">
        <f>SUMIFS(BS_RE33!$H$7:$H$874,BS_RE33!$S$7:$S$874,$AB$2,BS_RE33!$N$7:$N$874,I52,BS_RE33!$P$7:$P$874,'30 days CF Table(RMB)'!G52,BS_RE33!$F$7:$F$874,'30 days CF Table(RMB)'!$C$2)</f>
        <v>0</v>
      </c>
      <c r="AC52" s="337">
        <f>SUMIFS(BS_RE33!$H$7:$H$874,BS_RE33!$S$7:$S$874,$AC$2,BS_RE33!$N$7:$N$874,I52,BS_RE33!$P$7:$P$874,'30 days CF Table(RMB)'!G52,BS_RE33!$F$7:$F$874,'30 days CF Table(RMB)'!$C$2)</f>
        <v>0</v>
      </c>
      <c r="AD52" s="337">
        <f>SUMIFS(BS_RE33!$H$7:$H$874,BS_RE33!$S$7:$S$874,$AD$2,BS_RE33!$N$7:$N$874,I52,BS_RE33!$P$7:$P$874,'30 days CF Table(RMB)'!G52,BS_RE33!$F$7:$F$874,'30 days CF Table(RMB)'!$C$2)</f>
        <v>0</v>
      </c>
      <c r="AE52" s="337">
        <f>SUMIFS(BS_RE33!$H$7:$H$874,BS_RE33!$S$7:$S$874,$AE$2,BS_RE33!$N$7:$N$874,I52,BS_RE33!$P$7:$P$874,'30 days CF Table(RMB)'!G52,BS_RE33!$F$7:$F$874,'30 days CF Table(RMB)'!$C$2)</f>
        <v>0</v>
      </c>
      <c r="AF52" s="337">
        <f>SUMIFS(BS_RE33!$H$7:$H$874,BS_RE33!$S$7:$S$874,$AF$2,BS_RE33!$N$7:$N$874,I52,BS_RE33!$P$7:$P$874,'30 days CF Table(RMB)'!G52,BS_RE33!$F$7:$F$874,'30 days CF Table(RMB)'!$C$2)</f>
        <v>0</v>
      </c>
      <c r="AG52" s="337">
        <f>SUMIFS(BS_RE33!$H$7:$H$874,BS_RE33!$S$7:$S$874,$AG$2,BS_RE33!$N$7:$N$874,I52,BS_RE33!$P$7:$P$874,'30 days CF Table(RMB)'!G52,BS_RE33!$F$7:$F$874,'30 days CF Table(RMB)'!$C$2)</f>
        <v>0</v>
      </c>
      <c r="AH52" s="337">
        <f>SUMIFS(BS_RE33!$H$7:$H$874,BS_RE33!$S$7:$S$874,$AH$2,BS_RE33!$N$7:$N$874,I52,BS_RE33!$P$7:$P$874,'30 days CF Table(RMB)'!G52,BS_RE33!$F$7:$F$874,'30 days CF Table(RMB)'!$C$2)</f>
        <v>0</v>
      </c>
      <c r="AI52" s="337">
        <f>SUMIFS(BS_RE33!$H$7:$H$874,BS_RE33!$S$7:$S$874,$AI$2,BS_RE33!$N$7:$N$874,I52,BS_RE33!$P$7:$P$874,'30 days CF Table(RMB)'!G52,BS_RE33!$F$7:$F$874,'30 days CF Table(RMB)'!$C$2)</f>
        <v>0</v>
      </c>
      <c r="AJ52" s="337">
        <f>SUMIFS(BS_RE33!$H$7:$H$874,BS_RE33!$S$7:$S$874,$AJ$2,BS_RE33!$N$7:$N$874,I52,BS_RE33!$P$7:$P$874,'30 days CF Table(RMB)'!G52,BS_RE33!$F$7:$F$874,'30 days CF Table(RMB)'!$C$2)</f>
        <v>0</v>
      </c>
      <c r="AK52" s="337">
        <f>SUMIFS(BS_RE33!$H$7:$H$874,BS_RE33!$S$7:$S$874,$AK$2,BS_RE33!$N$7:$N$874,I52,BS_RE33!$P$7:$P$874,'30 days CF Table(RMB)'!G52,BS_RE33!$F$7:$F$874,'30 days CF Table(RMB)'!$C$2)</f>
        <v>0</v>
      </c>
      <c r="AL52" s="337">
        <f>SUMIFS(BS_RE33!$H$7:$H$874,BS_RE33!$S$7:$S$874,$AL$2,BS_RE33!$N$7:$N$874,I52,BS_RE33!$P$7:$P$874,'30 days CF Table(RMB)'!G52,BS_RE33!$F$7:$F$874,'30 days CF Table(RMB)'!$C$2)</f>
        <v>0</v>
      </c>
      <c r="AM52" s="337">
        <f>SUMIFS(BS_RE33!$H$7:$H$874,BS_RE33!$S$7:$S$874,$AM$2,BS_RE33!$N$7:$N$874,I52,BS_RE33!$P$7:$P$874,'30 days CF Table(RMB)'!G52,BS_RE33!$F$7:$F$874,'30 days CF Table(RMB)'!$C$2)</f>
        <v>0</v>
      </c>
      <c r="AN52" s="337">
        <f>SUMIFS(BS_RE33!$H$7:$H$874,BS_RE33!$S$7:$S$874,$AN$2,BS_RE33!$N$7:$N$874,I52,BS_RE33!$P$7:$P$874,'30 days CF Table(RMB)'!G52,BS_RE33!$F$7:$F$874,'30 days CF Table(RMB)'!$C$2)</f>
        <v>0</v>
      </c>
      <c r="AO52" s="337">
        <f>SUMIFS(BS_RE33!$H$7:$H$874,BS_RE33!$S$7:$S$874,$AO$2,BS_RE33!$N$7:$N$874,I52,BS_RE33!$P$7:$P$874,'30 days CF Table(RMB)'!G52,BS_RE33!$F$7:$F$874,'30 days CF Table(RMB)'!$C$2)</f>
        <v>0</v>
      </c>
      <c r="AP52" s="338">
        <f>SUMIFS(BS_RE33!$H$7:$H$874,BS_RE33!$S$7:$S$874,$AP$2,BS_RE33!$N$7:$N$874,I52,BS_RE33!$P$7:$P$874,'30 days CF Table(RMB)'!G52,BS_RE33!$F$7:$F$874,'30 days CF Table(RMB)'!$C$2)</f>
        <v>0</v>
      </c>
      <c r="AR52" s="379">
        <f>SUMIFS(BS_RE33!$H$7:$H$874,BS_RE33!$S$7:$S$874,$AR$2,BS_RE33!$N$7:$N$874,I52,BS_RE33!$P$7:$P$874,'30 days CF Table(RMB)'!G52,BS_RE33!$F$7:$F$874,'30 days CF Table(RMB)'!$C$2)</f>
        <v>0</v>
      </c>
      <c r="AS52" s="379">
        <f>SUMIFS(BS_RE33!$H$7:$H$874,BS_RE33!$S$7:$S$874,$AS$2,BS_RE33!$N$7:$N$874,I52,BS_RE33!$P$7:$P$874,'30 days CF Table(RMB)'!G52,BS_RE33!$F$7:$F$874,'30 days CF Table(RMB)'!$C$2)</f>
        <v>0</v>
      </c>
      <c r="AT52" s="379">
        <f>SUMIFS(BS_RE33!$H$7:$H$874,BS_RE33!$S$7:$S$874,$AT$2,BS_RE33!$N$7:$N$874,I52,BS_RE33!$P$7:$P$874,'30 days CF Table(RMB)'!G52,BS_RE33!$F$7:$F$874,'30 days CF Table(RMB)'!$C$2)</f>
        <v>0</v>
      </c>
      <c r="AU52" s="379">
        <f>SUMIFS(BS_RE33!$H$7:$H$874,BS_RE33!$S$7:$S$874,$AU$2,BS_RE33!$N$7:$N$874,I52,BS_RE33!$P$7:$P$874,'30 days CF Table(RMB)'!G52,BS_RE33!$F$7:$F$874,'30 days CF Table(RMB)'!$C$2)</f>
        <v>0</v>
      </c>
      <c r="AV52" s="379">
        <f>SUMIFS(BS_RE33!$H$7:$H$874,BS_RE33!$S$7:$S$874,$AV$2,BS_RE33!$N$7:$N$874,I52,BS_RE33!$P$7:$P$874,'30 days CF Table(RMB)'!G52,BS_RE33!$F$7:$F$874,'30 days CF Table(RMB)'!$C$2)</f>
        <v>0</v>
      </c>
      <c r="AW52" s="379">
        <f>SUMIFS(BS_RE33!$H$7:$H$874,BS_RE33!$S$7:$S$874,$AW$2,BS_RE33!$N$7:$N$874,I52,BS_RE33!$P$7:$P$874,'30 days CF Table(RMB)'!G52,BS_RE33!$F$7:$F$874,'30 days CF Table(RMB)'!$C$2)</f>
        <v>0</v>
      </c>
      <c r="AX52" s="379">
        <f>SUMIFS(BS_RE33!$H$7:$H$874,BS_RE33!$S$7:$S$874,$AX$2,BS_RE33!$N$7:$N$874,I52,BS_RE33!$P$7:$P$874,'30 days CF Table(RMB)'!G52,BS_RE33!$F$7:$F$874,'30 days CF Table(RMB)'!$C$2)</f>
        <v>0</v>
      </c>
      <c r="AY52" s="379">
        <f>SUMIFS(BS_RE33!$H$7:$H$874,BS_RE33!$S$7:$S$874,$AY$2,BS_RE33!$N$7:$N$874,I52,BS_RE33!$P$7:$P$874,'30 days CF Table(RMB)'!G52,BS_RE33!$F$7:$F$874,'30 days CF Table(RMB)'!$C$2)</f>
        <v>0</v>
      </c>
      <c r="AZ52" s="379">
        <f>SUMIFS(BS_RE33!$H$7:$H$874,BS_RE33!$S$7:$S$874,$AZ$2,BS_RE33!$N$7:$N$874,I52,BS_RE33!$P$7:$P$874,'30 days CF Table(RMB)'!G52,BS_RE33!$F$7:$F$874,'30 days CF Table(RMB)'!$C$2)</f>
        <v>0</v>
      </c>
      <c r="BA52" s="379">
        <f>SUMIFS(BS_RE33!$H$7:$H$874,BS_RE33!$S$7:$S$874,$BA$2,BS_RE33!$N$7:$N$874,I52,BS_RE33!$P$7:$P$874,'30 days CF Table(RMB)'!G52,BS_RE33!$F$7:$F$874,'30 days CF Table(RMB)'!$C$2)</f>
        <v>0</v>
      </c>
      <c r="BB52" s="379">
        <f>SUMIFS(BS_RE33!$H$7:$H$874,BS_RE33!$S$7:$S$874,$BB$2,BS_RE33!$N$7:$N$874,I52,BS_RE33!$P$7:$P$874,'30 days CF Table(RMB)'!G52,BS_RE33!$F$7:$F$874,'30 days CF Table(RMB)'!$C$2)</f>
        <v>0</v>
      </c>
      <c r="BC52" s="379">
        <f>SUMIFS(BS_RE33!$H$7:$H$874,BS_RE33!$S$7:$S$874,$BC$2,BS_RE33!$N$7:$N$874,I52,BS_RE33!$P$7:$P$874,'30 days CF Table(RMB)'!G52,BS_RE33!$F$7:$F$874,'30 days CF Table(RMB)'!$C$2)</f>
        <v>0</v>
      </c>
      <c r="BD52" s="379">
        <f>SUMIFS(BS_RE33!$H$7:$H$874,BS_RE33!$S$7:$S$874,$BD$2,BS_RE33!$N$7:$N$874,I52,BS_RE33!$P$7:$P$874,'30 days CF Table(RMB)'!G52,BS_RE33!$F$7:$F$874,'30 days CF Table(RMB)'!$C$2)</f>
        <v>0</v>
      </c>
      <c r="BE52" s="379">
        <f>SUMIFS(BS_RE33!$H$7:$H$874,BS_RE33!$S$7:$S$874,$BE$2,BS_RE33!$N$7:$N$874,I52,BS_RE33!$P$7:$P$874,'30 days CF Table(RMB)'!G52,BS_RE33!$F$7:$F$874,'30 days CF Table(RMB)'!$C$2)</f>
        <v>0</v>
      </c>
      <c r="BF52" s="379">
        <f>SUMIFS(BS_RE33!$H$7:$H$874,BS_RE33!$S$7:$S$874,$BF$2,BS_RE33!$N$7:$N$874,I52,BS_RE33!$P$7:$P$874,'30 days CF Table(RMB)'!G52,BS_RE33!$F$7:$F$874,'30 days CF Table(RMB)'!$C$2)</f>
        <v>0</v>
      </c>
      <c r="BG52" s="379">
        <f>SUMIFS(BS_RE33!$H$7:$H$874,BS_RE33!$S$7:$S$874,$BG$2,BS_RE33!$N$7:$N$874,I52,BS_RE33!$P$7:$P$874,'30 days CF Table(RMB)'!G52,BS_RE33!$F$7:$F$874,'30 days CF Table(RMB)'!$C$2)</f>
        <v>0</v>
      </c>
      <c r="BH52" s="379">
        <f>SUMIFS(BS_RE33!$H$7:$H$874,BS_RE33!$S$7:$S$874,$BH$2,BS_RE33!$N$7:$N$874,I52,BS_RE33!$P$7:$P$874,'30 days CF Table(RMB)'!G52,BS_RE33!$F$7:$F$874,'30 days CF Table(RMB)'!$C$2)</f>
        <v>0</v>
      </c>
      <c r="BI52" s="379">
        <f>SUMIFS(BS_RE33!$H$7:$H$874,BS_RE33!$S$7:$S$874,$BI$2,BS_RE33!$N$7:$N$874,I52,BS_RE33!$P$7:$P$874,'30 days CF Table(RMB)'!G52,BS_RE33!$F$7:$F$874,'30 days CF Table(RMB)'!$C$2)</f>
        <v>0</v>
      </c>
      <c r="BJ52" s="379">
        <f>SUMIFS(BS_RE33!$H$7:$H$874,BS_RE33!$S$7:$S$874,$BJ$2,BS_RE33!$N$7:$N$874,I52,BS_RE33!$P$7:$P$874,'30 days CF Table(RMB)'!G52,BS_RE33!$F$7:$F$874,'30 days CF Table(RMB)'!$C$2)</f>
        <v>0</v>
      </c>
      <c r="BK52" s="379">
        <f>SUMIFS(BS_RE33!$H$7:$H$874,BS_RE33!$S$7:$S$874,$BK$2,BS_RE33!$N$7:$N$874,I52,BS_RE33!$P$7:$P$874,'30 days CF Table(RMB)'!G52,BS_RE33!$F$7:$F$874,'30 days CF Table(RMB)'!$C$2)</f>
        <v>0</v>
      </c>
    </row>
    <row r="53" spans="3:63">
      <c r="C53" s="1027"/>
      <c r="D53" s="1039"/>
      <c r="E53" s="110" t="s">
        <v>94</v>
      </c>
      <c r="F53" s="309"/>
      <c r="G53" s="392" t="s">
        <v>532</v>
      </c>
      <c r="H53" s="317">
        <v>0</v>
      </c>
      <c r="I53" s="315" t="s">
        <v>80</v>
      </c>
      <c r="J53" s="479">
        <f t="shared" si="2"/>
        <v>0</v>
      </c>
      <c r="K53" s="336">
        <f t="shared" si="3"/>
        <v>0</v>
      </c>
      <c r="L53" s="337">
        <f>SUMIFS(BS_RE33!$H$7:$H$874,BS_RE33!$S$7:$S$874,$L$2,BS_RE33!$N$7:$N$874,I53,BS_RE33!$P$7:$P$874,'30 days CF Table(RMB)'!G53,BS_RE33!$F$7:$F$874,'30 days CF Table(RMB)'!$C$2)</f>
        <v>0</v>
      </c>
      <c r="M53" s="337">
        <f>SUMIFS(BS_RE33!$H$7:$H$874,BS_RE33!$S$7:$S$874,$M$2,BS_RE33!$N$7:$N$874,I53,BS_RE33!$P$7:$P$874,'30 days CF Table(RMB)'!G53,BS_RE33!$F$7:$F$874,'30 days CF Table(RMB)'!$C$2)</f>
        <v>0</v>
      </c>
      <c r="N53" s="337">
        <f>SUMIFS(BS_RE33!$H$7:$H$874,BS_RE33!$S$7:$S$874,$N$2,BS_RE33!$N$7:$N$874,I53,BS_RE33!$P$7:$P$874,'30 days CF Table(RMB)'!G53,BS_RE33!$F$7:$F$874,'30 days CF Table(RMB)'!$C$2)</f>
        <v>0</v>
      </c>
      <c r="O53" s="337">
        <f>SUMIFS(BS_RE33!$H$7:$H$874,BS_RE33!$S$7:$S$874,$O$2,BS_RE33!$N$7:$N$874,I53,BS_RE33!$P$7:$P$874,'30 days CF Table(RMB)'!G53,BS_RE33!$F$7:$F$874,'30 days CF Table(RMB)'!$C$2)</f>
        <v>0</v>
      </c>
      <c r="P53" s="337">
        <f>SUMIFS(BS_RE33!$H$7:$H$874,BS_RE33!$S$7:$S$874,$P$2,BS_RE33!$N$7:$N$874,I53,BS_RE33!$P$7:$P$874,'30 days CF Table(RMB)'!G53,BS_RE33!$F$7:$F$874,'30 days CF Table(RMB)'!$C$2)</f>
        <v>0</v>
      </c>
      <c r="Q53" s="337">
        <f>SUMIFS(BS_RE33!$H$7:$H$874,BS_RE33!$S$7:$S$874,$Q$2,BS_RE33!$N$7:$N$874,I53,BS_RE33!$P$7:$P$874,'30 days CF Table(RMB)'!G53,BS_RE33!$F$7:$F$874,'30 days CF Table(RMB)'!$C$2)</f>
        <v>0</v>
      </c>
      <c r="R53" s="337">
        <f>SUMIFS(BS_RE33!$H$7:$H$874,BS_RE33!$S$7:$S$874,$R$2,BS_RE33!$N$7:$N$874,I53,BS_RE33!$P$7:$P$874,'30 days CF Table(RMB)'!G53,BS_RE33!$F$7:$F$874,'30 days CF Table(RMB)'!$C$2)</f>
        <v>0</v>
      </c>
      <c r="S53" s="337">
        <f>SUMIFS(BS_RE33!$H$7:$H$874,BS_RE33!$S$7:$S$874,$S$2,BS_RE33!$N$7:$N$874,I53,BS_RE33!$P$7:$P$874,'30 days CF Table(RMB)'!G53,BS_RE33!$F$7:$F$874,'30 days CF Table(RMB)'!$C$2)</f>
        <v>0</v>
      </c>
      <c r="T53" s="337">
        <f>SUMIFS(BS_RE33!$H$7:$H$874,BS_RE33!$S$7:$S$874,$T$2,BS_RE33!$N$7:$N$874,I53,BS_RE33!$P$7:$P$874,'30 days CF Table(RMB)'!G53,BS_RE33!$F$7:$F$874,'30 days CF Table(RMB)'!$C$2)</f>
        <v>0</v>
      </c>
      <c r="U53" s="337">
        <f>SUMIFS(BS_RE33!$H$7:$H$874,BS_RE33!$S$7:$S$874,$U$2,BS_RE33!$N$7:$N$874,I53,BS_RE33!$P$7:$P$874,'30 days CF Table(RMB)'!G53,BS_RE33!$F$7:$F$874,'30 days CF Table(RMB)'!$C$2)</f>
        <v>0</v>
      </c>
      <c r="V53" s="337">
        <f>SUMIFS(BS_RE33!$H$7:$H$874,BS_RE33!$S$7:$S$874,$V$2,BS_RE33!$N$7:$N$874,I53,BS_RE33!$P$7:$P$874,'30 days CF Table(RMB)'!G53,BS_RE33!$F$7:$F$874,'30 days CF Table(RMB)'!$C$2)</f>
        <v>0</v>
      </c>
      <c r="W53" s="337">
        <f>SUMIFS(BS_RE33!$H$7:$H$874,BS_RE33!$S$7:$S$874,$W$2,BS_RE33!$N$7:$N$874,I53,BS_RE33!$P$7:$P$874,'30 days CF Table(RMB)'!G53,BS_RE33!$F$7:$F$874,'30 days CF Table(RMB)'!$C$2)</f>
        <v>0</v>
      </c>
      <c r="X53" s="337">
        <f>SUMIFS(BS_RE33!$H$7:$H$874,BS_RE33!$S$7:$S$874,$X$2,BS_RE33!$N$7:$N$874,I53,BS_RE33!$P$7:$P$874,'30 days CF Table(RMB)'!G53,BS_RE33!$F$7:$F$874,'30 days CF Table(RMB)'!$C$2)</f>
        <v>0</v>
      </c>
      <c r="Y53" s="337">
        <f>SUMIFS(BS_RE33!$H$7:$H$874,BS_RE33!$S$7:$S$874,$Y$2,BS_RE33!$N$7:$N$874,I53,BS_RE33!$P$7:$P$874,'30 days CF Table(RMB)'!G53,BS_RE33!$F$7:$F$874,'30 days CF Table(RMB)'!$C$2)</f>
        <v>0</v>
      </c>
      <c r="Z53" s="337">
        <f>SUMIFS(BS_RE33!$H$7:$H$874,BS_RE33!$S$7:$S$874,$Z$2,BS_RE33!$N$7:$N$874,I53,BS_RE33!$P$7:$P$874,'30 days CF Table(RMB)'!G53,BS_RE33!$F$7:$F$874,'30 days CF Table(RMB)'!$C$2)</f>
        <v>0</v>
      </c>
      <c r="AA53" s="337">
        <f>SUMIFS(BS_RE33!$H$7:$H$874,BS_RE33!$S$7:$S$874,$AA$2,BS_RE33!$N$7:$N$874,I53,BS_RE33!$P$7:$P$874,'30 days CF Table(RMB)'!G53,BS_RE33!$F$7:$F$874,'30 days CF Table(RMB)'!$C$2)</f>
        <v>0</v>
      </c>
      <c r="AB53" s="337">
        <f>SUMIFS(BS_RE33!$H$7:$H$874,BS_RE33!$S$7:$S$874,$AB$2,BS_RE33!$N$7:$N$874,I53,BS_RE33!$P$7:$P$874,'30 days CF Table(RMB)'!G53,BS_RE33!$F$7:$F$874,'30 days CF Table(RMB)'!$C$2)</f>
        <v>0</v>
      </c>
      <c r="AC53" s="337">
        <f>SUMIFS(BS_RE33!$H$7:$H$874,BS_RE33!$S$7:$S$874,$AC$2,BS_RE33!$N$7:$N$874,I53,BS_RE33!$P$7:$P$874,'30 days CF Table(RMB)'!G53,BS_RE33!$F$7:$F$874,'30 days CF Table(RMB)'!$C$2)</f>
        <v>0</v>
      </c>
      <c r="AD53" s="337">
        <f>SUMIFS(BS_RE33!$H$7:$H$874,BS_RE33!$S$7:$S$874,$AD$2,BS_RE33!$N$7:$N$874,I53,BS_RE33!$P$7:$P$874,'30 days CF Table(RMB)'!G53,BS_RE33!$F$7:$F$874,'30 days CF Table(RMB)'!$C$2)</f>
        <v>0</v>
      </c>
      <c r="AE53" s="337">
        <f>SUMIFS(BS_RE33!$H$7:$H$874,BS_RE33!$S$7:$S$874,$AE$2,BS_RE33!$N$7:$N$874,I53,BS_RE33!$P$7:$P$874,'30 days CF Table(RMB)'!G53,BS_RE33!$F$7:$F$874,'30 days CF Table(RMB)'!$C$2)</f>
        <v>0</v>
      </c>
      <c r="AF53" s="337">
        <f>SUMIFS(BS_RE33!$H$7:$H$874,BS_RE33!$S$7:$S$874,$AF$2,BS_RE33!$N$7:$N$874,I53,BS_RE33!$P$7:$P$874,'30 days CF Table(RMB)'!G53,BS_RE33!$F$7:$F$874,'30 days CF Table(RMB)'!$C$2)</f>
        <v>0</v>
      </c>
      <c r="AG53" s="337">
        <f>SUMIFS(BS_RE33!$H$7:$H$874,BS_RE33!$S$7:$S$874,$AG$2,BS_RE33!$N$7:$N$874,I53,BS_RE33!$P$7:$P$874,'30 days CF Table(RMB)'!G53,BS_RE33!$F$7:$F$874,'30 days CF Table(RMB)'!$C$2)</f>
        <v>0</v>
      </c>
      <c r="AH53" s="337">
        <f>SUMIFS(BS_RE33!$H$7:$H$874,BS_RE33!$S$7:$S$874,$AH$2,BS_RE33!$N$7:$N$874,I53,BS_RE33!$P$7:$P$874,'30 days CF Table(RMB)'!G53,BS_RE33!$F$7:$F$874,'30 days CF Table(RMB)'!$C$2)</f>
        <v>0</v>
      </c>
      <c r="AI53" s="337">
        <f>SUMIFS(BS_RE33!$H$7:$H$874,BS_RE33!$S$7:$S$874,$AI$2,BS_RE33!$N$7:$N$874,I53,BS_RE33!$P$7:$P$874,'30 days CF Table(RMB)'!G53,BS_RE33!$F$7:$F$874,'30 days CF Table(RMB)'!$C$2)</f>
        <v>0</v>
      </c>
      <c r="AJ53" s="337">
        <f>SUMIFS(BS_RE33!$H$7:$H$874,BS_RE33!$S$7:$S$874,$AJ$2,BS_RE33!$N$7:$N$874,I53,BS_RE33!$P$7:$P$874,'30 days CF Table(RMB)'!G53,BS_RE33!$F$7:$F$874,'30 days CF Table(RMB)'!$C$2)</f>
        <v>0</v>
      </c>
      <c r="AK53" s="337">
        <f>SUMIFS(BS_RE33!$H$7:$H$874,BS_RE33!$S$7:$S$874,$AK$2,BS_RE33!$N$7:$N$874,I53,BS_RE33!$P$7:$P$874,'30 days CF Table(RMB)'!G53,BS_RE33!$F$7:$F$874,'30 days CF Table(RMB)'!$C$2)</f>
        <v>0</v>
      </c>
      <c r="AL53" s="337">
        <f>SUMIFS(BS_RE33!$H$7:$H$874,BS_RE33!$S$7:$S$874,$AL$2,BS_RE33!$N$7:$N$874,I53,BS_RE33!$P$7:$P$874,'30 days CF Table(RMB)'!G53,BS_RE33!$F$7:$F$874,'30 days CF Table(RMB)'!$C$2)</f>
        <v>0</v>
      </c>
      <c r="AM53" s="337">
        <f>SUMIFS(BS_RE33!$H$7:$H$874,BS_RE33!$S$7:$S$874,$AM$2,BS_RE33!$N$7:$N$874,I53,BS_RE33!$P$7:$P$874,'30 days CF Table(RMB)'!G53,BS_RE33!$F$7:$F$874,'30 days CF Table(RMB)'!$C$2)</f>
        <v>0</v>
      </c>
      <c r="AN53" s="337">
        <f>SUMIFS(BS_RE33!$H$7:$H$874,BS_RE33!$S$7:$S$874,$AN$2,BS_RE33!$N$7:$N$874,I53,BS_RE33!$P$7:$P$874,'30 days CF Table(RMB)'!G53,BS_RE33!$F$7:$F$874,'30 days CF Table(RMB)'!$C$2)</f>
        <v>0</v>
      </c>
      <c r="AO53" s="337">
        <f>SUMIFS(BS_RE33!$H$7:$H$874,BS_RE33!$S$7:$S$874,$AO$2,BS_RE33!$N$7:$N$874,I53,BS_RE33!$P$7:$P$874,'30 days CF Table(RMB)'!G53,BS_RE33!$F$7:$F$874,'30 days CF Table(RMB)'!$C$2)</f>
        <v>0</v>
      </c>
      <c r="AP53" s="338">
        <f>SUMIFS(BS_RE33!$H$7:$H$874,BS_RE33!$S$7:$S$874,$AP$2,BS_RE33!$N$7:$N$874,I53,BS_RE33!$P$7:$P$874,'30 days CF Table(RMB)'!G53,BS_RE33!$F$7:$F$874,'30 days CF Table(RMB)'!$C$2)</f>
        <v>0</v>
      </c>
      <c r="AR53" s="379">
        <f>SUMIFS(BS_RE33!$H$7:$H$874,BS_RE33!$S$7:$S$874,$AR$2,BS_RE33!$N$7:$N$874,I53,BS_RE33!$P$7:$P$874,'30 days CF Table(RMB)'!G53,BS_RE33!$F$7:$F$874,'30 days CF Table(RMB)'!$C$2)</f>
        <v>0</v>
      </c>
      <c r="AS53" s="379">
        <f>SUMIFS(BS_RE33!$H$7:$H$874,BS_RE33!$S$7:$S$874,$AS$2,BS_RE33!$N$7:$N$874,I53,BS_RE33!$P$7:$P$874,'30 days CF Table(RMB)'!G53,BS_RE33!$F$7:$F$874,'30 days CF Table(RMB)'!$C$2)</f>
        <v>0</v>
      </c>
      <c r="AT53" s="379">
        <f>SUMIFS(BS_RE33!$H$7:$H$874,BS_RE33!$S$7:$S$874,$AT$2,BS_RE33!$N$7:$N$874,I53,BS_RE33!$P$7:$P$874,'30 days CF Table(RMB)'!G53,BS_RE33!$F$7:$F$874,'30 days CF Table(RMB)'!$C$2)</f>
        <v>0</v>
      </c>
      <c r="AU53" s="379">
        <f>SUMIFS(BS_RE33!$H$7:$H$874,BS_RE33!$S$7:$S$874,$AU$2,BS_RE33!$N$7:$N$874,I53,BS_RE33!$P$7:$P$874,'30 days CF Table(RMB)'!G53,BS_RE33!$F$7:$F$874,'30 days CF Table(RMB)'!$C$2)</f>
        <v>0</v>
      </c>
      <c r="AV53" s="379">
        <f>SUMIFS(BS_RE33!$H$7:$H$874,BS_RE33!$S$7:$S$874,$AV$2,BS_RE33!$N$7:$N$874,I53,BS_RE33!$P$7:$P$874,'30 days CF Table(RMB)'!G53,BS_RE33!$F$7:$F$874,'30 days CF Table(RMB)'!$C$2)</f>
        <v>0</v>
      </c>
      <c r="AW53" s="379">
        <f>SUMIFS(BS_RE33!$H$7:$H$874,BS_RE33!$S$7:$S$874,$AW$2,BS_RE33!$N$7:$N$874,I53,BS_RE33!$P$7:$P$874,'30 days CF Table(RMB)'!G53,BS_RE33!$F$7:$F$874,'30 days CF Table(RMB)'!$C$2)</f>
        <v>0</v>
      </c>
      <c r="AX53" s="379">
        <f>SUMIFS(BS_RE33!$H$7:$H$874,BS_RE33!$S$7:$S$874,$AX$2,BS_RE33!$N$7:$N$874,I53,BS_RE33!$P$7:$P$874,'30 days CF Table(RMB)'!G53,BS_RE33!$F$7:$F$874,'30 days CF Table(RMB)'!$C$2)</f>
        <v>0</v>
      </c>
      <c r="AY53" s="379">
        <f>SUMIFS(BS_RE33!$H$7:$H$874,BS_RE33!$S$7:$S$874,$AY$2,BS_RE33!$N$7:$N$874,I53,BS_RE33!$P$7:$P$874,'30 days CF Table(RMB)'!G53,BS_RE33!$F$7:$F$874,'30 days CF Table(RMB)'!$C$2)</f>
        <v>0</v>
      </c>
      <c r="AZ53" s="379">
        <f>SUMIFS(BS_RE33!$H$7:$H$874,BS_RE33!$S$7:$S$874,$AZ$2,BS_RE33!$N$7:$N$874,I53,BS_RE33!$P$7:$P$874,'30 days CF Table(RMB)'!G53,BS_RE33!$F$7:$F$874,'30 days CF Table(RMB)'!$C$2)</f>
        <v>0</v>
      </c>
      <c r="BA53" s="379">
        <f>SUMIFS(BS_RE33!$H$7:$H$874,BS_RE33!$S$7:$S$874,$BA$2,BS_RE33!$N$7:$N$874,I53,BS_RE33!$P$7:$P$874,'30 days CF Table(RMB)'!G53,BS_RE33!$F$7:$F$874,'30 days CF Table(RMB)'!$C$2)</f>
        <v>0</v>
      </c>
      <c r="BB53" s="379">
        <f>SUMIFS(BS_RE33!$H$7:$H$874,BS_RE33!$S$7:$S$874,$BB$2,BS_RE33!$N$7:$N$874,I53,BS_RE33!$P$7:$P$874,'30 days CF Table(RMB)'!G53,BS_RE33!$F$7:$F$874,'30 days CF Table(RMB)'!$C$2)</f>
        <v>0</v>
      </c>
      <c r="BC53" s="379">
        <f>SUMIFS(BS_RE33!$H$7:$H$874,BS_RE33!$S$7:$S$874,$BC$2,BS_RE33!$N$7:$N$874,I53,BS_RE33!$P$7:$P$874,'30 days CF Table(RMB)'!G53,BS_RE33!$F$7:$F$874,'30 days CF Table(RMB)'!$C$2)</f>
        <v>0</v>
      </c>
      <c r="BD53" s="379">
        <f>SUMIFS(BS_RE33!$H$7:$H$874,BS_RE33!$S$7:$S$874,$BD$2,BS_RE33!$N$7:$N$874,I53,BS_RE33!$P$7:$P$874,'30 days CF Table(RMB)'!G53,BS_RE33!$F$7:$F$874,'30 days CF Table(RMB)'!$C$2)</f>
        <v>0</v>
      </c>
      <c r="BE53" s="379">
        <f>SUMIFS(BS_RE33!$H$7:$H$874,BS_RE33!$S$7:$S$874,$BE$2,BS_RE33!$N$7:$N$874,I53,BS_RE33!$P$7:$P$874,'30 days CF Table(RMB)'!G53,BS_RE33!$F$7:$F$874,'30 days CF Table(RMB)'!$C$2)</f>
        <v>0</v>
      </c>
      <c r="BF53" s="379">
        <f>SUMIFS(BS_RE33!$H$7:$H$874,BS_RE33!$S$7:$S$874,$BF$2,BS_RE33!$N$7:$N$874,I53,BS_RE33!$P$7:$P$874,'30 days CF Table(RMB)'!G53,BS_RE33!$F$7:$F$874,'30 days CF Table(RMB)'!$C$2)</f>
        <v>0</v>
      </c>
      <c r="BG53" s="379">
        <f>SUMIFS(BS_RE33!$H$7:$H$874,BS_RE33!$S$7:$S$874,$BG$2,BS_RE33!$N$7:$N$874,I53,BS_RE33!$P$7:$P$874,'30 days CF Table(RMB)'!G53,BS_RE33!$F$7:$F$874,'30 days CF Table(RMB)'!$C$2)</f>
        <v>0</v>
      </c>
      <c r="BH53" s="379">
        <f>SUMIFS(BS_RE33!$H$7:$H$874,BS_RE33!$S$7:$S$874,$BH$2,BS_RE33!$N$7:$N$874,I53,BS_RE33!$P$7:$P$874,'30 days CF Table(RMB)'!G53,BS_RE33!$F$7:$F$874,'30 days CF Table(RMB)'!$C$2)</f>
        <v>0</v>
      </c>
      <c r="BI53" s="379">
        <f>SUMIFS(BS_RE33!$H$7:$H$874,BS_RE33!$S$7:$S$874,$BI$2,BS_RE33!$N$7:$N$874,I53,BS_RE33!$P$7:$P$874,'30 days CF Table(RMB)'!G53,BS_RE33!$F$7:$F$874,'30 days CF Table(RMB)'!$C$2)</f>
        <v>0</v>
      </c>
      <c r="BJ53" s="379">
        <f>SUMIFS(BS_RE33!$H$7:$H$874,BS_RE33!$S$7:$S$874,$BJ$2,BS_RE33!$N$7:$N$874,I53,BS_RE33!$P$7:$P$874,'30 days CF Table(RMB)'!G53,BS_RE33!$F$7:$F$874,'30 days CF Table(RMB)'!$C$2)</f>
        <v>0</v>
      </c>
      <c r="BK53" s="379">
        <f>SUMIFS(BS_RE33!$H$7:$H$874,BS_RE33!$S$7:$S$874,$BK$2,BS_RE33!$N$7:$N$874,I53,BS_RE33!$P$7:$P$874,'30 days CF Table(RMB)'!G53,BS_RE33!$F$7:$F$874,'30 days CF Table(RMB)'!$C$2)</f>
        <v>0</v>
      </c>
    </row>
    <row r="54" spans="3:63">
      <c r="C54" s="1027"/>
      <c r="D54" s="1043" t="s">
        <v>768</v>
      </c>
      <c r="E54" s="334" t="s">
        <v>767</v>
      </c>
      <c r="F54" s="309"/>
      <c r="G54" s="392" t="s">
        <v>533</v>
      </c>
      <c r="H54" s="317">
        <v>0</v>
      </c>
      <c r="I54" s="315" t="s">
        <v>80</v>
      </c>
      <c r="J54" s="479">
        <f t="shared" si="2"/>
        <v>0</v>
      </c>
      <c r="K54" s="336">
        <f t="shared" si="3"/>
        <v>0</v>
      </c>
      <c r="L54" s="337">
        <f>SUMIFS(BS_RE33!$H$7:$H$874,BS_RE33!$S$7:$S$874,$L$2,BS_RE33!$N$7:$N$874,I54,BS_RE33!$P$7:$P$874,'30 days CF Table(RMB)'!G54,BS_RE33!$F$7:$F$874,'30 days CF Table(RMB)'!$C$2)</f>
        <v>0</v>
      </c>
      <c r="M54" s="337">
        <f>SUMIFS(BS_RE33!$H$7:$H$874,BS_RE33!$S$7:$S$874,$M$2,BS_RE33!$N$7:$N$874,I54,BS_RE33!$P$7:$P$874,'30 days CF Table(RMB)'!G54,BS_RE33!$F$7:$F$874,'30 days CF Table(RMB)'!$C$2)</f>
        <v>0</v>
      </c>
      <c r="N54" s="337">
        <f>SUMIFS(BS_RE33!$H$7:$H$874,BS_RE33!$S$7:$S$874,$N$2,BS_RE33!$N$7:$N$874,I54,BS_RE33!$P$7:$P$874,'30 days CF Table(RMB)'!G54,BS_RE33!$F$7:$F$874,'30 days CF Table(RMB)'!$C$2)</f>
        <v>0</v>
      </c>
      <c r="O54" s="337">
        <f>SUMIFS(BS_RE33!$H$7:$H$874,BS_RE33!$S$7:$S$874,$O$2,BS_RE33!$N$7:$N$874,I54,BS_RE33!$P$7:$P$874,'30 days CF Table(RMB)'!G54,BS_RE33!$F$7:$F$874,'30 days CF Table(RMB)'!$C$2)</f>
        <v>0</v>
      </c>
      <c r="P54" s="337">
        <f>SUMIFS(BS_RE33!$H$7:$H$874,BS_RE33!$S$7:$S$874,$P$2,BS_RE33!$N$7:$N$874,I54,BS_RE33!$P$7:$P$874,'30 days CF Table(RMB)'!G54,BS_RE33!$F$7:$F$874,'30 days CF Table(RMB)'!$C$2)</f>
        <v>0</v>
      </c>
      <c r="Q54" s="337">
        <f>SUMIFS(BS_RE33!$H$7:$H$874,BS_RE33!$S$7:$S$874,$Q$2,BS_RE33!$N$7:$N$874,I54,BS_RE33!$P$7:$P$874,'30 days CF Table(RMB)'!G54,BS_RE33!$F$7:$F$874,'30 days CF Table(RMB)'!$C$2)</f>
        <v>0</v>
      </c>
      <c r="R54" s="337">
        <f>SUMIFS(BS_RE33!$H$7:$H$874,BS_RE33!$S$7:$S$874,$R$2,BS_RE33!$N$7:$N$874,I54,BS_RE33!$P$7:$P$874,'30 days CF Table(RMB)'!G54,BS_RE33!$F$7:$F$874,'30 days CF Table(RMB)'!$C$2)</f>
        <v>0</v>
      </c>
      <c r="S54" s="337">
        <f>SUMIFS(BS_RE33!$H$7:$H$874,BS_RE33!$S$7:$S$874,$S$2,BS_RE33!$N$7:$N$874,I54,BS_RE33!$P$7:$P$874,'30 days CF Table(RMB)'!G54,BS_RE33!$F$7:$F$874,'30 days CF Table(RMB)'!$C$2)</f>
        <v>0</v>
      </c>
      <c r="T54" s="337">
        <f>SUMIFS(BS_RE33!$H$7:$H$874,BS_RE33!$S$7:$S$874,$T$2,BS_RE33!$N$7:$N$874,I54,BS_RE33!$P$7:$P$874,'30 days CF Table(RMB)'!G54,BS_RE33!$F$7:$F$874,'30 days CF Table(RMB)'!$C$2)</f>
        <v>0</v>
      </c>
      <c r="U54" s="337">
        <f>SUMIFS(BS_RE33!$H$7:$H$874,BS_RE33!$S$7:$S$874,$U$2,BS_RE33!$N$7:$N$874,I54,BS_RE33!$P$7:$P$874,'30 days CF Table(RMB)'!G54,BS_RE33!$F$7:$F$874,'30 days CF Table(RMB)'!$C$2)</f>
        <v>0</v>
      </c>
      <c r="V54" s="337">
        <f>SUMIFS(BS_RE33!$H$7:$H$874,BS_RE33!$S$7:$S$874,$V$2,BS_RE33!$N$7:$N$874,I54,BS_RE33!$P$7:$P$874,'30 days CF Table(RMB)'!G54,BS_RE33!$F$7:$F$874,'30 days CF Table(RMB)'!$C$2)</f>
        <v>0</v>
      </c>
      <c r="W54" s="337">
        <f>SUMIFS(BS_RE33!$H$7:$H$874,BS_RE33!$S$7:$S$874,$W$2,BS_RE33!$N$7:$N$874,I54,BS_RE33!$P$7:$P$874,'30 days CF Table(RMB)'!G54,BS_RE33!$F$7:$F$874,'30 days CF Table(RMB)'!$C$2)</f>
        <v>0</v>
      </c>
      <c r="X54" s="337">
        <f>SUMIFS(BS_RE33!$H$7:$H$874,BS_RE33!$S$7:$S$874,$X$2,BS_RE33!$N$7:$N$874,I54,BS_RE33!$P$7:$P$874,'30 days CF Table(RMB)'!G54,BS_RE33!$F$7:$F$874,'30 days CF Table(RMB)'!$C$2)</f>
        <v>0</v>
      </c>
      <c r="Y54" s="337">
        <f>SUMIFS(BS_RE33!$H$7:$H$874,BS_RE33!$S$7:$S$874,$Y$2,BS_RE33!$N$7:$N$874,I54,BS_RE33!$P$7:$P$874,'30 days CF Table(RMB)'!G54,BS_RE33!$F$7:$F$874,'30 days CF Table(RMB)'!$C$2)</f>
        <v>0</v>
      </c>
      <c r="Z54" s="337">
        <f>SUMIFS(BS_RE33!$H$7:$H$874,BS_RE33!$S$7:$S$874,$Z$2,BS_RE33!$N$7:$N$874,I54,BS_RE33!$P$7:$P$874,'30 days CF Table(RMB)'!G54,BS_RE33!$F$7:$F$874,'30 days CF Table(RMB)'!$C$2)</f>
        <v>0</v>
      </c>
      <c r="AA54" s="337">
        <f>SUMIFS(BS_RE33!$H$7:$H$874,BS_RE33!$S$7:$S$874,$AA$2,BS_RE33!$N$7:$N$874,I54,BS_RE33!$P$7:$P$874,'30 days CF Table(RMB)'!G54,BS_RE33!$F$7:$F$874,'30 days CF Table(RMB)'!$C$2)</f>
        <v>0</v>
      </c>
      <c r="AB54" s="337">
        <f>SUMIFS(BS_RE33!$H$7:$H$874,BS_RE33!$S$7:$S$874,$AB$2,BS_RE33!$N$7:$N$874,I54,BS_RE33!$P$7:$P$874,'30 days CF Table(RMB)'!G54,BS_RE33!$F$7:$F$874,'30 days CF Table(RMB)'!$C$2)</f>
        <v>0</v>
      </c>
      <c r="AC54" s="337">
        <f>SUMIFS(BS_RE33!$H$7:$H$874,BS_RE33!$S$7:$S$874,$AC$2,BS_RE33!$N$7:$N$874,I54,BS_RE33!$P$7:$P$874,'30 days CF Table(RMB)'!G54,BS_RE33!$F$7:$F$874,'30 days CF Table(RMB)'!$C$2)</f>
        <v>0</v>
      </c>
      <c r="AD54" s="337">
        <f>SUMIFS(BS_RE33!$H$7:$H$874,BS_RE33!$S$7:$S$874,$AD$2,BS_RE33!$N$7:$N$874,I54,BS_RE33!$P$7:$P$874,'30 days CF Table(RMB)'!G54,BS_RE33!$F$7:$F$874,'30 days CF Table(RMB)'!$C$2)</f>
        <v>0</v>
      </c>
      <c r="AE54" s="337">
        <f>SUMIFS(BS_RE33!$H$7:$H$874,BS_RE33!$S$7:$S$874,$AE$2,BS_RE33!$N$7:$N$874,I54,BS_RE33!$P$7:$P$874,'30 days CF Table(RMB)'!G54,BS_RE33!$F$7:$F$874,'30 days CF Table(RMB)'!$C$2)</f>
        <v>0</v>
      </c>
      <c r="AF54" s="337">
        <f>SUMIFS(BS_RE33!$H$7:$H$874,BS_RE33!$S$7:$S$874,$AF$2,BS_RE33!$N$7:$N$874,I54,BS_RE33!$P$7:$P$874,'30 days CF Table(RMB)'!G54,BS_RE33!$F$7:$F$874,'30 days CF Table(RMB)'!$C$2)</f>
        <v>0</v>
      </c>
      <c r="AG54" s="337">
        <f>SUMIFS(BS_RE33!$H$7:$H$874,BS_RE33!$S$7:$S$874,$AG$2,BS_RE33!$N$7:$N$874,I54,BS_RE33!$P$7:$P$874,'30 days CF Table(RMB)'!G54,BS_RE33!$F$7:$F$874,'30 days CF Table(RMB)'!$C$2)</f>
        <v>0</v>
      </c>
      <c r="AH54" s="337">
        <f>SUMIFS(BS_RE33!$H$7:$H$874,BS_RE33!$S$7:$S$874,$AH$2,BS_RE33!$N$7:$N$874,I54,BS_RE33!$P$7:$P$874,'30 days CF Table(RMB)'!G54,BS_RE33!$F$7:$F$874,'30 days CF Table(RMB)'!$C$2)</f>
        <v>0</v>
      </c>
      <c r="AI54" s="337">
        <f>SUMIFS(BS_RE33!$H$7:$H$874,BS_RE33!$S$7:$S$874,$AI$2,BS_RE33!$N$7:$N$874,I54,BS_RE33!$P$7:$P$874,'30 days CF Table(RMB)'!G54,BS_RE33!$F$7:$F$874,'30 days CF Table(RMB)'!$C$2)</f>
        <v>0</v>
      </c>
      <c r="AJ54" s="337">
        <f>SUMIFS(BS_RE33!$H$7:$H$874,BS_RE33!$S$7:$S$874,$AJ$2,BS_RE33!$N$7:$N$874,I54,BS_RE33!$P$7:$P$874,'30 days CF Table(RMB)'!G54,BS_RE33!$F$7:$F$874,'30 days CF Table(RMB)'!$C$2)</f>
        <v>0</v>
      </c>
      <c r="AK54" s="337">
        <f>SUMIFS(BS_RE33!$H$7:$H$874,BS_RE33!$S$7:$S$874,$AK$2,BS_RE33!$N$7:$N$874,I54,BS_RE33!$P$7:$P$874,'30 days CF Table(RMB)'!G54,BS_RE33!$F$7:$F$874,'30 days CF Table(RMB)'!$C$2)</f>
        <v>0</v>
      </c>
      <c r="AL54" s="337">
        <f>SUMIFS(BS_RE33!$H$7:$H$874,BS_RE33!$S$7:$S$874,$AL$2,BS_RE33!$N$7:$N$874,I54,BS_RE33!$P$7:$P$874,'30 days CF Table(RMB)'!G54,BS_RE33!$F$7:$F$874,'30 days CF Table(RMB)'!$C$2)</f>
        <v>0</v>
      </c>
      <c r="AM54" s="337">
        <f>SUMIFS(BS_RE33!$H$7:$H$874,BS_RE33!$S$7:$S$874,$AM$2,BS_RE33!$N$7:$N$874,I54,BS_RE33!$P$7:$P$874,'30 days CF Table(RMB)'!G54,BS_RE33!$F$7:$F$874,'30 days CF Table(RMB)'!$C$2)</f>
        <v>0</v>
      </c>
      <c r="AN54" s="337">
        <f>SUMIFS(BS_RE33!$H$7:$H$874,BS_RE33!$S$7:$S$874,$AN$2,BS_RE33!$N$7:$N$874,I54,BS_RE33!$P$7:$P$874,'30 days CF Table(RMB)'!G54,BS_RE33!$F$7:$F$874,'30 days CF Table(RMB)'!$C$2)</f>
        <v>0</v>
      </c>
      <c r="AO54" s="337">
        <f>SUMIFS(BS_RE33!$H$7:$H$874,BS_RE33!$S$7:$S$874,$AO$2,BS_RE33!$N$7:$N$874,I54,BS_RE33!$P$7:$P$874,'30 days CF Table(RMB)'!G54,BS_RE33!$F$7:$F$874,'30 days CF Table(RMB)'!$C$2)</f>
        <v>0</v>
      </c>
      <c r="AP54" s="338">
        <f>SUMIFS(BS_RE33!$H$7:$H$874,BS_RE33!$S$7:$S$874,$AP$2,BS_RE33!$N$7:$N$874,I54,BS_RE33!$P$7:$P$874,'30 days CF Table(RMB)'!G54,BS_RE33!$F$7:$F$874,'30 days CF Table(RMB)'!$C$2)</f>
        <v>0</v>
      </c>
      <c r="AR54" s="379">
        <f>SUMIFS(BS_RE33!$H$7:$H$874,BS_RE33!$S$7:$S$874,$AR$2,BS_RE33!$N$7:$N$874,I54,BS_RE33!$P$7:$P$874,'30 days CF Table(RMB)'!G54,BS_RE33!$F$7:$F$874,'30 days CF Table(RMB)'!$C$2)</f>
        <v>0</v>
      </c>
      <c r="AS54" s="379">
        <f>SUMIFS(BS_RE33!$H$7:$H$874,BS_RE33!$S$7:$S$874,$AS$2,BS_RE33!$N$7:$N$874,I54,BS_RE33!$P$7:$P$874,'30 days CF Table(RMB)'!G54,BS_RE33!$F$7:$F$874,'30 days CF Table(RMB)'!$C$2)</f>
        <v>0</v>
      </c>
      <c r="AT54" s="379">
        <f>SUMIFS(BS_RE33!$H$7:$H$874,BS_RE33!$S$7:$S$874,$AT$2,BS_RE33!$N$7:$N$874,I54,BS_RE33!$P$7:$P$874,'30 days CF Table(RMB)'!G54,BS_RE33!$F$7:$F$874,'30 days CF Table(RMB)'!$C$2)</f>
        <v>0</v>
      </c>
      <c r="AU54" s="379">
        <f>SUMIFS(BS_RE33!$H$7:$H$874,BS_RE33!$S$7:$S$874,$AU$2,BS_RE33!$N$7:$N$874,I54,BS_RE33!$P$7:$P$874,'30 days CF Table(RMB)'!G54,BS_RE33!$F$7:$F$874,'30 days CF Table(RMB)'!$C$2)</f>
        <v>0</v>
      </c>
      <c r="AV54" s="379">
        <f>SUMIFS(BS_RE33!$H$7:$H$874,BS_RE33!$S$7:$S$874,$AV$2,BS_RE33!$N$7:$N$874,I54,BS_RE33!$P$7:$P$874,'30 days CF Table(RMB)'!G54,BS_RE33!$F$7:$F$874,'30 days CF Table(RMB)'!$C$2)</f>
        <v>0</v>
      </c>
      <c r="AW54" s="379">
        <f>SUMIFS(BS_RE33!$H$7:$H$874,BS_RE33!$S$7:$S$874,$AW$2,BS_RE33!$N$7:$N$874,I54,BS_RE33!$P$7:$P$874,'30 days CF Table(RMB)'!G54,BS_RE33!$F$7:$F$874,'30 days CF Table(RMB)'!$C$2)</f>
        <v>0</v>
      </c>
      <c r="AX54" s="379">
        <f>SUMIFS(BS_RE33!$H$7:$H$874,BS_RE33!$S$7:$S$874,$AX$2,BS_RE33!$N$7:$N$874,I54,BS_RE33!$P$7:$P$874,'30 days CF Table(RMB)'!G54,BS_RE33!$F$7:$F$874,'30 days CF Table(RMB)'!$C$2)</f>
        <v>0</v>
      </c>
      <c r="AY54" s="379">
        <f>SUMIFS(BS_RE33!$H$7:$H$874,BS_RE33!$S$7:$S$874,$AY$2,BS_RE33!$N$7:$N$874,I54,BS_RE33!$P$7:$P$874,'30 days CF Table(RMB)'!G54,BS_RE33!$F$7:$F$874,'30 days CF Table(RMB)'!$C$2)</f>
        <v>0</v>
      </c>
      <c r="AZ54" s="379">
        <f>SUMIFS(BS_RE33!$H$7:$H$874,BS_RE33!$S$7:$S$874,$AZ$2,BS_RE33!$N$7:$N$874,I54,BS_RE33!$P$7:$P$874,'30 days CF Table(RMB)'!G54,BS_RE33!$F$7:$F$874,'30 days CF Table(RMB)'!$C$2)</f>
        <v>0</v>
      </c>
      <c r="BA54" s="379">
        <f>SUMIFS(BS_RE33!$H$7:$H$874,BS_RE33!$S$7:$S$874,$BA$2,BS_RE33!$N$7:$N$874,I54,BS_RE33!$P$7:$P$874,'30 days CF Table(RMB)'!G54,BS_RE33!$F$7:$F$874,'30 days CF Table(RMB)'!$C$2)</f>
        <v>0</v>
      </c>
      <c r="BB54" s="379">
        <f>SUMIFS(BS_RE33!$H$7:$H$874,BS_RE33!$S$7:$S$874,$BB$2,BS_RE33!$N$7:$N$874,I54,BS_RE33!$P$7:$P$874,'30 days CF Table(RMB)'!G54,BS_RE33!$F$7:$F$874,'30 days CF Table(RMB)'!$C$2)</f>
        <v>0</v>
      </c>
      <c r="BC54" s="379">
        <f>SUMIFS(BS_RE33!$H$7:$H$874,BS_RE33!$S$7:$S$874,$BC$2,BS_RE33!$N$7:$N$874,I54,BS_RE33!$P$7:$P$874,'30 days CF Table(RMB)'!G54,BS_RE33!$F$7:$F$874,'30 days CF Table(RMB)'!$C$2)</f>
        <v>0</v>
      </c>
      <c r="BD54" s="379">
        <f>SUMIFS(BS_RE33!$H$7:$H$874,BS_RE33!$S$7:$S$874,$BD$2,BS_RE33!$N$7:$N$874,I54,BS_RE33!$P$7:$P$874,'30 days CF Table(RMB)'!G54,BS_RE33!$F$7:$F$874,'30 days CF Table(RMB)'!$C$2)</f>
        <v>0</v>
      </c>
      <c r="BE54" s="379">
        <f>SUMIFS(BS_RE33!$H$7:$H$874,BS_RE33!$S$7:$S$874,$BE$2,BS_RE33!$N$7:$N$874,I54,BS_RE33!$P$7:$P$874,'30 days CF Table(RMB)'!G54,BS_RE33!$F$7:$F$874,'30 days CF Table(RMB)'!$C$2)</f>
        <v>0</v>
      </c>
      <c r="BF54" s="379">
        <f>SUMIFS(BS_RE33!$H$7:$H$874,BS_RE33!$S$7:$S$874,$BF$2,BS_RE33!$N$7:$N$874,I54,BS_RE33!$P$7:$P$874,'30 days CF Table(RMB)'!G54,BS_RE33!$F$7:$F$874,'30 days CF Table(RMB)'!$C$2)</f>
        <v>0</v>
      </c>
      <c r="BG54" s="379">
        <f>SUMIFS(BS_RE33!$H$7:$H$874,BS_RE33!$S$7:$S$874,$BG$2,BS_RE33!$N$7:$N$874,I54,BS_RE33!$P$7:$P$874,'30 days CF Table(RMB)'!G54,BS_RE33!$F$7:$F$874,'30 days CF Table(RMB)'!$C$2)</f>
        <v>0</v>
      </c>
      <c r="BH54" s="379">
        <f>SUMIFS(BS_RE33!$H$7:$H$874,BS_RE33!$S$7:$S$874,$BH$2,BS_RE33!$N$7:$N$874,I54,BS_RE33!$P$7:$P$874,'30 days CF Table(RMB)'!G54,BS_RE33!$F$7:$F$874,'30 days CF Table(RMB)'!$C$2)</f>
        <v>0</v>
      </c>
      <c r="BI54" s="379">
        <f>SUMIFS(BS_RE33!$H$7:$H$874,BS_RE33!$S$7:$S$874,$BI$2,BS_RE33!$N$7:$N$874,I54,BS_RE33!$P$7:$P$874,'30 days CF Table(RMB)'!G54,BS_RE33!$F$7:$F$874,'30 days CF Table(RMB)'!$C$2)</f>
        <v>0</v>
      </c>
      <c r="BJ54" s="379">
        <f>SUMIFS(BS_RE33!$H$7:$H$874,BS_RE33!$S$7:$S$874,$BJ$2,BS_RE33!$N$7:$N$874,I54,BS_RE33!$P$7:$P$874,'30 days CF Table(RMB)'!G54,BS_RE33!$F$7:$F$874,'30 days CF Table(RMB)'!$C$2)</f>
        <v>0</v>
      </c>
      <c r="BK54" s="379">
        <f>SUMIFS(BS_RE33!$H$7:$H$874,BS_RE33!$S$7:$S$874,$BK$2,BS_RE33!$N$7:$N$874,I54,BS_RE33!$P$7:$P$874,'30 days CF Table(RMB)'!G54,BS_RE33!$F$7:$F$874,'30 days CF Table(RMB)'!$C$2)</f>
        <v>0</v>
      </c>
    </row>
    <row r="55" spans="3:63">
      <c r="C55" s="1027"/>
      <c r="D55" s="1043"/>
      <c r="E55" s="334" t="s">
        <v>95</v>
      </c>
      <c r="F55" s="309"/>
      <c r="G55" s="392" t="s">
        <v>533</v>
      </c>
      <c r="H55" s="317">
        <v>0</v>
      </c>
      <c r="I55" s="315" t="s">
        <v>80</v>
      </c>
      <c r="J55" s="479">
        <f t="shared" si="2"/>
        <v>0</v>
      </c>
      <c r="K55" s="336">
        <f t="shared" si="3"/>
        <v>0</v>
      </c>
      <c r="L55" s="337">
        <f>SUMIFS(BS_RE33!$H$7:$H$874,BS_RE33!$S$7:$S$874,$L$2,BS_RE33!$N$7:$N$874,I55,BS_RE33!$P$7:$P$874,'30 days CF Table(RMB)'!G55,BS_RE33!$F$7:$F$874,'30 days CF Table(RMB)'!$C$2)</f>
        <v>0</v>
      </c>
      <c r="M55" s="337">
        <f>SUMIFS(BS_RE33!$H$7:$H$874,BS_RE33!$S$7:$S$874,$M$2,BS_RE33!$N$7:$N$874,I55,BS_RE33!$P$7:$P$874,'30 days CF Table(RMB)'!G55,BS_RE33!$F$7:$F$874,'30 days CF Table(RMB)'!$C$2)</f>
        <v>0</v>
      </c>
      <c r="N55" s="337">
        <f>SUMIFS(BS_RE33!$H$7:$H$874,BS_RE33!$S$7:$S$874,$N$2,BS_RE33!$N$7:$N$874,I55,BS_RE33!$P$7:$P$874,'30 days CF Table(RMB)'!G55,BS_RE33!$F$7:$F$874,'30 days CF Table(RMB)'!$C$2)</f>
        <v>0</v>
      </c>
      <c r="O55" s="337">
        <f>SUMIFS(BS_RE33!$H$7:$H$874,BS_RE33!$S$7:$S$874,$O$2,BS_RE33!$N$7:$N$874,I55,BS_RE33!$P$7:$P$874,'30 days CF Table(RMB)'!G55,BS_RE33!$F$7:$F$874,'30 days CF Table(RMB)'!$C$2)</f>
        <v>0</v>
      </c>
      <c r="P55" s="337">
        <f>SUMIFS(BS_RE33!$H$7:$H$874,BS_RE33!$S$7:$S$874,$P$2,BS_RE33!$N$7:$N$874,I55,BS_RE33!$P$7:$P$874,'30 days CF Table(RMB)'!G55,BS_RE33!$F$7:$F$874,'30 days CF Table(RMB)'!$C$2)</f>
        <v>0</v>
      </c>
      <c r="Q55" s="337">
        <f>SUMIFS(BS_RE33!$H$7:$H$874,BS_RE33!$S$7:$S$874,$Q$2,BS_RE33!$N$7:$N$874,I55,BS_RE33!$P$7:$P$874,'30 days CF Table(RMB)'!G55,BS_RE33!$F$7:$F$874,'30 days CF Table(RMB)'!$C$2)</f>
        <v>0</v>
      </c>
      <c r="R55" s="337">
        <f>SUMIFS(BS_RE33!$H$7:$H$874,BS_RE33!$S$7:$S$874,$R$2,BS_RE33!$N$7:$N$874,I55,BS_RE33!$P$7:$P$874,'30 days CF Table(RMB)'!G55,BS_RE33!$F$7:$F$874,'30 days CF Table(RMB)'!$C$2)</f>
        <v>0</v>
      </c>
      <c r="S55" s="337">
        <f>SUMIFS(BS_RE33!$H$7:$H$874,BS_RE33!$S$7:$S$874,$S$2,BS_RE33!$N$7:$N$874,I55,BS_RE33!$P$7:$P$874,'30 days CF Table(RMB)'!G55,BS_RE33!$F$7:$F$874,'30 days CF Table(RMB)'!$C$2)</f>
        <v>0</v>
      </c>
      <c r="T55" s="337">
        <f>SUMIFS(BS_RE33!$H$7:$H$874,BS_RE33!$S$7:$S$874,$T$2,BS_RE33!$N$7:$N$874,I55,BS_RE33!$P$7:$P$874,'30 days CF Table(RMB)'!G55,BS_RE33!$F$7:$F$874,'30 days CF Table(RMB)'!$C$2)</f>
        <v>0</v>
      </c>
      <c r="U55" s="337">
        <f>SUMIFS(BS_RE33!$H$7:$H$874,BS_RE33!$S$7:$S$874,$U$2,BS_RE33!$N$7:$N$874,I55,BS_RE33!$P$7:$P$874,'30 days CF Table(RMB)'!G55,BS_RE33!$F$7:$F$874,'30 days CF Table(RMB)'!$C$2)</f>
        <v>0</v>
      </c>
      <c r="V55" s="337">
        <f>SUMIFS(BS_RE33!$H$7:$H$874,BS_RE33!$S$7:$S$874,$V$2,BS_RE33!$N$7:$N$874,I55,BS_RE33!$P$7:$P$874,'30 days CF Table(RMB)'!G55,BS_RE33!$F$7:$F$874,'30 days CF Table(RMB)'!$C$2)</f>
        <v>0</v>
      </c>
      <c r="W55" s="337">
        <f>SUMIFS(BS_RE33!$H$7:$H$874,BS_RE33!$S$7:$S$874,$W$2,BS_RE33!$N$7:$N$874,I55,BS_RE33!$P$7:$P$874,'30 days CF Table(RMB)'!G55,BS_RE33!$F$7:$F$874,'30 days CF Table(RMB)'!$C$2)</f>
        <v>0</v>
      </c>
      <c r="X55" s="337">
        <f>SUMIFS(BS_RE33!$H$7:$H$874,BS_RE33!$S$7:$S$874,$X$2,BS_RE33!$N$7:$N$874,I55,BS_RE33!$P$7:$P$874,'30 days CF Table(RMB)'!G55,BS_RE33!$F$7:$F$874,'30 days CF Table(RMB)'!$C$2)</f>
        <v>0</v>
      </c>
      <c r="Y55" s="337">
        <f>SUMIFS(BS_RE33!$H$7:$H$874,BS_RE33!$S$7:$S$874,$Y$2,BS_RE33!$N$7:$N$874,I55,BS_RE33!$P$7:$P$874,'30 days CF Table(RMB)'!G55,BS_RE33!$F$7:$F$874,'30 days CF Table(RMB)'!$C$2)</f>
        <v>0</v>
      </c>
      <c r="Z55" s="337">
        <f>SUMIFS(BS_RE33!$H$7:$H$874,BS_RE33!$S$7:$S$874,$Z$2,BS_RE33!$N$7:$N$874,I55,BS_RE33!$P$7:$P$874,'30 days CF Table(RMB)'!G55,BS_RE33!$F$7:$F$874,'30 days CF Table(RMB)'!$C$2)</f>
        <v>0</v>
      </c>
      <c r="AA55" s="337">
        <f>SUMIFS(BS_RE33!$H$7:$H$874,BS_RE33!$S$7:$S$874,$AA$2,BS_RE33!$N$7:$N$874,I55,BS_RE33!$P$7:$P$874,'30 days CF Table(RMB)'!G55,BS_RE33!$F$7:$F$874,'30 days CF Table(RMB)'!$C$2)</f>
        <v>0</v>
      </c>
      <c r="AB55" s="337">
        <f>SUMIFS(BS_RE33!$H$7:$H$874,BS_RE33!$S$7:$S$874,$AB$2,BS_RE33!$N$7:$N$874,I55,BS_RE33!$P$7:$P$874,'30 days CF Table(RMB)'!G55,BS_RE33!$F$7:$F$874,'30 days CF Table(RMB)'!$C$2)</f>
        <v>0</v>
      </c>
      <c r="AC55" s="337">
        <f>SUMIFS(BS_RE33!$H$7:$H$874,BS_RE33!$S$7:$S$874,$AC$2,BS_RE33!$N$7:$N$874,I55,BS_RE33!$P$7:$P$874,'30 days CF Table(RMB)'!G55,BS_RE33!$F$7:$F$874,'30 days CF Table(RMB)'!$C$2)</f>
        <v>0</v>
      </c>
      <c r="AD55" s="337">
        <f>SUMIFS(BS_RE33!$H$7:$H$874,BS_RE33!$S$7:$S$874,$AD$2,BS_RE33!$N$7:$N$874,I55,BS_RE33!$P$7:$P$874,'30 days CF Table(RMB)'!G55,BS_RE33!$F$7:$F$874,'30 days CF Table(RMB)'!$C$2)</f>
        <v>0</v>
      </c>
      <c r="AE55" s="337">
        <f>SUMIFS(BS_RE33!$H$7:$H$874,BS_RE33!$S$7:$S$874,$AE$2,BS_RE33!$N$7:$N$874,I55,BS_RE33!$P$7:$P$874,'30 days CF Table(RMB)'!G55,BS_RE33!$F$7:$F$874,'30 days CF Table(RMB)'!$C$2)</f>
        <v>0</v>
      </c>
      <c r="AF55" s="337">
        <f>SUMIFS(BS_RE33!$H$7:$H$874,BS_RE33!$S$7:$S$874,$AF$2,BS_RE33!$N$7:$N$874,I55,BS_RE33!$P$7:$P$874,'30 days CF Table(RMB)'!G55,BS_RE33!$F$7:$F$874,'30 days CF Table(RMB)'!$C$2)</f>
        <v>0</v>
      </c>
      <c r="AG55" s="337">
        <f>SUMIFS(BS_RE33!$H$7:$H$874,BS_RE33!$S$7:$S$874,$AG$2,BS_RE33!$N$7:$N$874,I55,BS_RE33!$P$7:$P$874,'30 days CF Table(RMB)'!G55,BS_RE33!$F$7:$F$874,'30 days CF Table(RMB)'!$C$2)</f>
        <v>0</v>
      </c>
      <c r="AH55" s="337">
        <f>SUMIFS(BS_RE33!$H$7:$H$874,BS_RE33!$S$7:$S$874,$AH$2,BS_RE33!$N$7:$N$874,I55,BS_RE33!$P$7:$P$874,'30 days CF Table(RMB)'!G55,BS_RE33!$F$7:$F$874,'30 days CF Table(RMB)'!$C$2)</f>
        <v>0</v>
      </c>
      <c r="AI55" s="337">
        <f>SUMIFS(BS_RE33!$H$7:$H$874,BS_RE33!$S$7:$S$874,$AI$2,BS_RE33!$N$7:$N$874,I55,BS_RE33!$P$7:$P$874,'30 days CF Table(RMB)'!G55,BS_RE33!$F$7:$F$874,'30 days CF Table(RMB)'!$C$2)</f>
        <v>0</v>
      </c>
      <c r="AJ55" s="337">
        <f>SUMIFS(BS_RE33!$H$7:$H$874,BS_RE33!$S$7:$S$874,$AJ$2,BS_RE33!$N$7:$N$874,I55,BS_RE33!$P$7:$P$874,'30 days CF Table(RMB)'!G55,BS_RE33!$F$7:$F$874,'30 days CF Table(RMB)'!$C$2)</f>
        <v>0</v>
      </c>
      <c r="AK55" s="337">
        <f>SUMIFS(BS_RE33!$H$7:$H$874,BS_RE33!$S$7:$S$874,$AK$2,BS_RE33!$N$7:$N$874,I55,BS_RE33!$P$7:$P$874,'30 days CF Table(RMB)'!G55,BS_RE33!$F$7:$F$874,'30 days CF Table(RMB)'!$C$2)</f>
        <v>0</v>
      </c>
      <c r="AL55" s="337">
        <f>SUMIFS(BS_RE33!$H$7:$H$874,BS_RE33!$S$7:$S$874,$AL$2,BS_RE33!$N$7:$N$874,I55,BS_RE33!$P$7:$P$874,'30 days CF Table(RMB)'!G55,BS_RE33!$F$7:$F$874,'30 days CF Table(RMB)'!$C$2)</f>
        <v>0</v>
      </c>
      <c r="AM55" s="337">
        <f>SUMIFS(BS_RE33!$H$7:$H$874,BS_RE33!$S$7:$S$874,$AM$2,BS_RE33!$N$7:$N$874,I55,BS_RE33!$P$7:$P$874,'30 days CF Table(RMB)'!G55,BS_RE33!$F$7:$F$874,'30 days CF Table(RMB)'!$C$2)</f>
        <v>0</v>
      </c>
      <c r="AN55" s="337">
        <f>SUMIFS(BS_RE33!$H$7:$H$874,BS_RE33!$S$7:$S$874,$AN$2,BS_RE33!$N$7:$N$874,I55,BS_RE33!$P$7:$P$874,'30 days CF Table(RMB)'!G55,BS_RE33!$F$7:$F$874,'30 days CF Table(RMB)'!$C$2)</f>
        <v>0</v>
      </c>
      <c r="AO55" s="337">
        <f>SUMIFS(BS_RE33!$H$7:$H$874,BS_RE33!$S$7:$S$874,$AO$2,BS_RE33!$N$7:$N$874,I55,BS_RE33!$P$7:$P$874,'30 days CF Table(RMB)'!G55,BS_RE33!$F$7:$F$874,'30 days CF Table(RMB)'!$C$2)</f>
        <v>0</v>
      </c>
      <c r="AP55" s="338">
        <f>SUMIFS(BS_RE33!$H$7:$H$874,BS_RE33!$S$7:$S$874,$AP$2,BS_RE33!$N$7:$N$874,I55,BS_RE33!$P$7:$P$874,'30 days CF Table(RMB)'!G55,BS_RE33!$F$7:$F$874,'30 days CF Table(RMB)'!$C$2)</f>
        <v>0</v>
      </c>
      <c r="AR55" s="379">
        <f>SUMIFS(BS_RE33!$H$7:$H$874,BS_RE33!$S$7:$S$874,$AR$2,BS_RE33!$N$7:$N$874,I55,BS_RE33!$P$7:$P$874,'30 days CF Table(RMB)'!G55,BS_RE33!$F$7:$F$874,'30 days CF Table(RMB)'!$C$2)</f>
        <v>0</v>
      </c>
      <c r="AS55" s="379">
        <f>SUMIFS(BS_RE33!$H$7:$H$874,BS_RE33!$S$7:$S$874,$AS$2,BS_RE33!$N$7:$N$874,I55,BS_RE33!$P$7:$P$874,'30 days CF Table(RMB)'!G55,BS_RE33!$F$7:$F$874,'30 days CF Table(RMB)'!$C$2)</f>
        <v>0</v>
      </c>
      <c r="AT55" s="379">
        <f>SUMIFS(BS_RE33!$H$7:$H$874,BS_RE33!$S$7:$S$874,$AT$2,BS_RE33!$N$7:$N$874,I55,BS_RE33!$P$7:$P$874,'30 days CF Table(RMB)'!G55,BS_RE33!$F$7:$F$874,'30 days CF Table(RMB)'!$C$2)</f>
        <v>0</v>
      </c>
      <c r="AU55" s="379">
        <f>SUMIFS(BS_RE33!$H$7:$H$874,BS_RE33!$S$7:$S$874,$AU$2,BS_RE33!$N$7:$N$874,I55,BS_RE33!$P$7:$P$874,'30 days CF Table(RMB)'!G55,BS_RE33!$F$7:$F$874,'30 days CF Table(RMB)'!$C$2)</f>
        <v>0</v>
      </c>
      <c r="AV55" s="379">
        <f>SUMIFS(BS_RE33!$H$7:$H$874,BS_RE33!$S$7:$S$874,$AV$2,BS_RE33!$N$7:$N$874,I55,BS_RE33!$P$7:$P$874,'30 days CF Table(RMB)'!G55,BS_RE33!$F$7:$F$874,'30 days CF Table(RMB)'!$C$2)</f>
        <v>0</v>
      </c>
      <c r="AW55" s="379">
        <f>SUMIFS(BS_RE33!$H$7:$H$874,BS_RE33!$S$7:$S$874,$AW$2,BS_RE33!$N$7:$N$874,I55,BS_RE33!$P$7:$P$874,'30 days CF Table(RMB)'!G55,BS_RE33!$F$7:$F$874,'30 days CF Table(RMB)'!$C$2)</f>
        <v>0</v>
      </c>
      <c r="AX55" s="379">
        <f>SUMIFS(BS_RE33!$H$7:$H$874,BS_RE33!$S$7:$S$874,$AX$2,BS_RE33!$N$7:$N$874,I55,BS_RE33!$P$7:$P$874,'30 days CF Table(RMB)'!G55,BS_RE33!$F$7:$F$874,'30 days CF Table(RMB)'!$C$2)</f>
        <v>0</v>
      </c>
      <c r="AY55" s="379">
        <f>SUMIFS(BS_RE33!$H$7:$H$874,BS_RE33!$S$7:$S$874,$AY$2,BS_RE33!$N$7:$N$874,I55,BS_RE33!$P$7:$P$874,'30 days CF Table(RMB)'!G55,BS_RE33!$F$7:$F$874,'30 days CF Table(RMB)'!$C$2)</f>
        <v>0</v>
      </c>
      <c r="AZ55" s="379">
        <f>SUMIFS(BS_RE33!$H$7:$H$874,BS_RE33!$S$7:$S$874,$AZ$2,BS_RE33!$N$7:$N$874,I55,BS_RE33!$P$7:$P$874,'30 days CF Table(RMB)'!G55,BS_RE33!$F$7:$F$874,'30 days CF Table(RMB)'!$C$2)</f>
        <v>0</v>
      </c>
      <c r="BA55" s="379">
        <f>SUMIFS(BS_RE33!$H$7:$H$874,BS_RE33!$S$7:$S$874,$BA$2,BS_RE33!$N$7:$N$874,I55,BS_RE33!$P$7:$P$874,'30 days CF Table(RMB)'!G55,BS_RE33!$F$7:$F$874,'30 days CF Table(RMB)'!$C$2)</f>
        <v>0</v>
      </c>
      <c r="BB55" s="379">
        <f>SUMIFS(BS_RE33!$H$7:$H$874,BS_RE33!$S$7:$S$874,$BB$2,BS_RE33!$N$7:$N$874,I55,BS_RE33!$P$7:$P$874,'30 days CF Table(RMB)'!G55,BS_RE33!$F$7:$F$874,'30 days CF Table(RMB)'!$C$2)</f>
        <v>0</v>
      </c>
      <c r="BC55" s="379">
        <f>SUMIFS(BS_RE33!$H$7:$H$874,BS_RE33!$S$7:$S$874,$BC$2,BS_RE33!$N$7:$N$874,I55,BS_RE33!$P$7:$P$874,'30 days CF Table(RMB)'!G55,BS_RE33!$F$7:$F$874,'30 days CF Table(RMB)'!$C$2)</f>
        <v>0</v>
      </c>
      <c r="BD55" s="379">
        <f>SUMIFS(BS_RE33!$H$7:$H$874,BS_RE33!$S$7:$S$874,$BD$2,BS_RE33!$N$7:$N$874,I55,BS_RE33!$P$7:$P$874,'30 days CF Table(RMB)'!G55,BS_RE33!$F$7:$F$874,'30 days CF Table(RMB)'!$C$2)</f>
        <v>0</v>
      </c>
      <c r="BE55" s="379">
        <f>SUMIFS(BS_RE33!$H$7:$H$874,BS_RE33!$S$7:$S$874,$BE$2,BS_RE33!$N$7:$N$874,I55,BS_RE33!$P$7:$P$874,'30 days CF Table(RMB)'!G55,BS_RE33!$F$7:$F$874,'30 days CF Table(RMB)'!$C$2)</f>
        <v>0</v>
      </c>
      <c r="BF55" s="379">
        <f>SUMIFS(BS_RE33!$H$7:$H$874,BS_RE33!$S$7:$S$874,$BF$2,BS_RE33!$N$7:$N$874,I55,BS_RE33!$P$7:$P$874,'30 days CF Table(RMB)'!G55,BS_RE33!$F$7:$F$874,'30 days CF Table(RMB)'!$C$2)</f>
        <v>0</v>
      </c>
      <c r="BG55" s="379">
        <f>SUMIFS(BS_RE33!$H$7:$H$874,BS_RE33!$S$7:$S$874,$BG$2,BS_RE33!$N$7:$N$874,I55,BS_RE33!$P$7:$P$874,'30 days CF Table(RMB)'!G55,BS_RE33!$F$7:$F$874,'30 days CF Table(RMB)'!$C$2)</f>
        <v>0</v>
      </c>
      <c r="BH55" s="379">
        <f>SUMIFS(BS_RE33!$H$7:$H$874,BS_RE33!$S$7:$S$874,$BH$2,BS_RE33!$N$7:$N$874,I55,BS_RE33!$P$7:$P$874,'30 days CF Table(RMB)'!G55,BS_RE33!$F$7:$F$874,'30 days CF Table(RMB)'!$C$2)</f>
        <v>0</v>
      </c>
      <c r="BI55" s="379">
        <f>SUMIFS(BS_RE33!$H$7:$H$874,BS_RE33!$S$7:$S$874,$BI$2,BS_RE33!$N$7:$N$874,I55,BS_RE33!$P$7:$P$874,'30 days CF Table(RMB)'!G55,BS_RE33!$F$7:$F$874,'30 days CF Table(RMB)'!$C$2)</f>
        <v>0</v>
      </c>
      <c r="BJ55" s="379">
        <f>SUMIFS(BS_RE33!$H$7:$H$874,BS_RE33!$S$7:$S$874,$BJ$2,BS_RE33!$N$7:$N$874,I55,BS_RE33!$P$7:$P$874,'30 days CF Table(RMB)'!G55,BS_RE33!$F$7:$F$874,'30 days CF Table(RMB)'!$C$2)</f>
        <v>0</v>
      </c>
      <c r="BK55" s="379">
        <f>SUMIFS(BS_RE33!$H$7:$H$874,BS_RE33!$S$7:$S$874,$BK$2,BS_RE33!$N$7:$N$874,I55,BS_RE33!$P$7:$P$874,'30 days CF Table(RMB)'!G55,BS_RE33!$F$7:$F$874,'30 days CF Table(RMB)'!$C$2)</f>
        <v>0</v>
      </c>
    </row>
    <row r="56" spans="3:63">
      <c r="C56" s="1027"/>
      <c r="D56" s="1039" t="s">
        <v>770</v>
      </c>
      <c r="E56" s="105" t="s">
        <v>769</v>
      </c>
      <c r="F56" s="312" t="s">
        <v>491</v>
      </c>
      <c r="G56" s="392" t="s">
        <v>534</v>
      </c>
      <c r="H56" s="317">
        <v>0.05</v>
      </c>
      <c r="I56" s="315" t="s">
        <v>80</v>
      </c>
      <c r="J56" s="479">
        <f t="shared" si="2"/>
        <v>0</v>
      </c>
      <c r="K56" s="336">
        <f t="shared" si="3"/>
        <v>0</v>
      </c>
      <c r="L56" s="337">
        <f>SUMIFS(BS_RE33!$H$7:$H$874,BS_RE33!$S$7:$S$874,$L$2,BS_RE33!$N$7:$N$874,I56,BS_RE33!$P$7:$P$874,'30 days CF Table(RMB)'!G56,BS_RE33!$F$7:$F$874,'30 days CF Table(RMB)'!$C$2)</f>
        <v>0</v>
      </c>
      <c r="M56" s="337">
        <f>SUMIFS(BS_RE33!$H$7:$H$874,BS_RE33!$S$7:$S$874,$M$2,BS_RE33!$N$7:$N$874,I56,BS_RE33!$P$7:$P$874,'30 days CF Table(RMB)'!G56,BS_RE33!$F$7:$F$874,'30 days CF Table(RMB)'!$C$2)</f>
        <v>0</v>
      </c>
      <c r="N56" s="337">
        <f>SUMIFS(BS_RE33!$H$7:$H$874,BS_RE33!$S$7:$S$874,$N$2,BS_RE33!$N$7:$N$874,I56,BS_RE33!$P$7:$P$874,'30 days CF Table(RMB)'!G56,BS_RE33!$F$7:$F$874,'30 days CF Table(RMB)'!$C$2)</f>
        <v>0</v>
      </c>
      <c r="O56" s="337">
        <f>SUMIFS(BS_RE33!$H$7:$H$874,BS_RE33!$S$7:$S$874,$O$2,BS_RE33!$N$7:$N$874,I56,BS_RE33!$P$7:$P$874,'30 days CF Table(RMB)'!G56,BS_RE33!$F$7:$F$874,'30 days CF Table(RMB)'!$C$2)</f>
        <v>0</v>
      </c>
      <c r="P56" s="337">
        <f>SUMIFS(BS_RE33!$H$7:$H$874,BS_RE33!$S$7:$S$874,$P$2,BS_RE33!$N$7:$N$874,I56,BS_RE33!$P$7:$P$874,'30 days CF Table(RMB)'!G56,BS_RE33!$F$7:$F$874,'30 days CF Table(RMB)'!$C$2)</f>
        <v>0</v>
      </c>
      <c r="Q56" s="337">
        <f>SUMIFS(BS_RE33!$H$7:$H$874,BS_RE33!$S$7:$S$874,$Q$2,BS_RE33!$N$7:$N$874,I56,BS_RE33!$P$7:$P$874,'30 days CF Table(RMB)'!G56,BS_RE33!$F$7:$F$874,'30 days CF Table(RMB)'!$C$2)</f>
        <v>0</v>
      </c>
      <c r="R56" s="337">
        <f>SUMIFS(BS_RE33!$H$7:$H$874,BS_RE33!$S$7:$S$874,$R$2,BS_RE33!$N$7:$N$874,I56,BS_RE33!$P$7:$P$874,'30 days CF Table(RMB)'!G56,BS_RE33!$F$7:$F$874,'30 days CF Table(RMB)'!$C$2)</f>
        <v>0</v>
      </c>
      <c r="S56" s="337">
        <f>SUMIFS(BS_RE33!$H$7:$H$874,BS_RE33!$S$7:$S$874,$S$2,BS_RE33!$N$7:$N$874,I56,BS_RE33!$P$7:$P$874,'30 days CF Table(RMB)'!G56,BS_RE33!$F$7:$F$874,'30 days CF Table(RMB)'!$C$2)</f>
        <v>0</v>
      </c>
      <c r="T56" s="337">
        <f>SUMIFS(BS_RE33!$H$7:$H$874,BS_RE33!$S$7:$S$874,$T$2,BS_RE33!$N$7:$N$874,I56,BS_RE33!$P$7:$P$874,'30 days CF Table(RMB)'!G56,BS_RE33!$F$7:$F$874,'30 days CF Table(RMB)'!$C$2)</f>
        <v>0</v>
      </c>
      <c r="U56" s="337">
        <f>SUMIFS(BS_RE33!$H$7:$H$874,BS_RE33!$S$7:$S$874,$U$2,BS_RE33!$N$7:$N$874,I56,BS_RE33!$P$7:$P$874,'30 days CF Table(RMB)'!G56,BS_RE33!$F$7:$F$874,'30 days CF Table(RMB)'!$C$2)</f>
        <v>0</v>
      </c>
      <c r="V56" s="337">
        <f>SUMIFS(BS_RE33!$H$7:$H$874,BS_RE33!$S$7:$S$874,$V$2,BS_RE33!$N$7:$N$874,I56,BS_RE33!$P$7:$P$874,'30 days CF Table(RMB)'!G56,BS_RE33!$F$7:$F$874,'30 days CF Table(RMB)'!$C$2)</f>
        <v>0</v>
      </c>
      <c r="W56" s="337">
        <f>SUMIFS(BS_RE33!$H$7:$H$874,BS_RE33!$S$7:$S$874,$W$2,BS_RE33!$N$7:$N$874,I56,BS_RE33!$P$7:$P$874,'30 days CF Table(RMB)'!G56,BS_RE33!$F$7:$F$874,'30 days CF Table(RMB)'!$C$2)</f>
        <v>0</v>
      </c>
      <c r="X56" s="337">
        <f>SUMIFS(BS_RE33!$H$7:$H$874,BS_RE33!$S$7:$S$874,$X$2,BS_RE33!$N$7:$N$874,I56,BS_RE33!$P$7:$P$874,'30 days CF Table(RMB)'!G56,BS_RE33!$F$7:$F$874,'30 days CF Table(RMB)'!$C$2)</f>
        <v>0</v>
      </c>
      <c r="Y56" s="337">
        <f>SUMIFS(BS_RE33!$H$7:$H$874,BS_RE33!$S$7:$S$874,$Y$2,BS_RE33!$N$7:$N$874,I56,BS_RE33!$P$7:$P$874,'30 days CF Table(RMB)'!G56,BS_RE33!$F$7:$F$874,'30 days CF Table(RMB)'!$C$2)</f>
        <v>0</v>
      </c>
      <c r="Z56" s="337">
        <f>SUMIFS(BS_RE33!$H$7:$H$874,BS_RE33!$S$7:$S$874,$Z$2,BS_RE33!$N$7:$N$874,I56,BS_RE33!$P$7:$P$874,'30 days CF Table(RMB)'!G56,BS_RE33!$F$7:$F$874,'30 days CF Table(RMB)'!$C$2)</f>
        <v>0</v>
      </c>
      <c r="AA56" s="337">
        <f>SUMIFS(BS_RE33!$H$7:$H$874,BS_RE33!$S$7:$S$874,$AA$2,BS_RE33!$N$7:$N$874,I56,BS_RE33!$P$7:$P$874,'30 days CF Table(RMB)'!G56,BS_RE33!$F$7:$F$874,'30 days CF Table(RMB)'!$C$2)</f>
        <v>0</v>
      </c>
      <c r="AB56" s="337">
        <f>SUMIFS(BS_RE33!$H$7:$H$874,BS_RE33!$S$7:$S$874,$AB$2,BS_RE33!$N$7:$N$874,I56,BS_RE33!$P$7:$P$874,'30 days CF Table(RMB)'!G56,BS_RE33!$F$7:$F$874,'30 days CF Table(RMB)'!$C$2)</f>
        <v>0</v>
      </c>
      <c r="AC56" s="337">
        <f>SUMIFS(BS_RE33!$H$7:$H$874,BS_RE33!$S$7:$S$874,$AC$2,BS_RE33!$N$7:$N$874,I56,BS_RE33!$P$7:$P$874,'30 days CF Table(RMB)'!G56,BS_RE33!$F$7:$F$874,'30 days CF Table(RMB)'!$C$2)</f>
        <v>0</v>
      </c>
      <c r="AD56" s="337">
        <f>SUMIFS(BS_RE33!$H$7:$H$874,BS_RE33!$S$7:$S$874,$AD$2,BS_RE33!$N$7:$N$874,I56,BS_RE33!$P$7:$P$874,'30 days CF Table(RMB)'!G56,BS_RE33!$F$7:$F$874,'30 days CF Table(RMB)'!$C$2)</f>
        <v>0</v>
      </c>
      <c r="AE56" s="337">
        <f>SUMIFS(BS_RE33!$H$7:$H$874,BS_RE33!$S$7:$S$874,$AE$2,BS_RE33!$N$7:$N$874,I56,BS_RE33!$P$7:$P$874,'30 days CF Table(RMB)'!G56,BS_RE33!$F$7:$F$874,'30 days CF Table(RMB)'!$C$2)</f>
        <v>0</v>
      </c>
      <c r="AF56" s="337">
        <f>SUMIFS(BS_RE33!$H$7:$H$874,BS_RE33!$S$7:$S$874,$AF$2,BS_RE33!$N$7:$N$874,I56,BS_RE33!$P$7:$P$874,'30 days CF Table(RMB)'!G56,BS_RE33!$F$7:$F$874,'30 days CF Table(RMB)'!$C$2)</f>
        <v>0</v>
      </c>
      <c r="AG56" s="337">
        <f>SUMIFS(BS_RE33!$H$7:$H$874,BS_RE33!$S$7:$S$874,$AG$2,BS_RE33!$N$7:$N$874,I56,BS_RE33!$P$7:$P$874,'30 days CF Table(RMB)'!G56,BS_RE33!$F$7:$F$874,'30 days CF Table(RMB)'!$C$2)</f>
        <v>0</v>
      </c>
      <c r="AH56" s="337">
        <f>SUMIFS(BS_RE33!$H$7:$H$874,BS_RE33!$S$7:$S$874,$AH$2,BS_RE33!$N$7:$N$874,I56,BS_RE33!$P$7:$P$874,'30 days CF Table(RMB)'!G56,BS_RE33!$F$7:$F$874,'30 days CF Table(RMB)'!$C$2)</f>
        <v>0</v>
      </c>
      <c r="AI56" s="337">
        <f>SUMIFS(BS_RE33!$H$7:$H$874,BS_RE33!$S$7:$S$874,$AI$2,BS_RE33!$N$7:$N$874,I56,BS_RE33!$P$7:$P$874,'30 days CF Table(RMB)'!G56,BS_RE33!$F$7:$F$874,'30 days CF Table(RMB)'!$C$2)</f>
        <v>0</v>
      </c>
      <c r="AJ56" s="337">
        <f>SUMIFS(BS_RE33!$H$7:$H$874,BS_RE33!$S$7:$S$874,$AJ$2,BS_RE33!$N$7:$N$874,I56,BS_RE33!$P$7:$P$874,'30 days CF Table(RMB)'!G56,BS_RE33!$F$7:$F$874,'30 days CF Table(RMB)'!$C$2)</f>
        <v>0</v>
      </c>
      <c r="AK56" s="337">
        <f>SUMIFS(BS_RE33!$H$7:$H$874,BS_RE33!$S$7:$S$874,$AK$2,BS_RE33!$N$7:$N$874,I56,BS_RE33!$P$7:$P$874,'30 days CF Table(RMB)'!G56,BS_RE33!$F$7:$F$874,'30 days CF Table(RMB)'!$C$2)</f>
        <v>0</v>
      </c>
      <c r="AL56" s="337">
        <f>SUMIFS(BS_RE33!$H$7:$H$874,BS_RE33!$S$7:$S$874,$AL$2,BS_RE33!$N$7:$N$874,I56,BS_RE33!$P$7:$P$874,'30 days CF Table(RMB)'!G56,BS_RE33!$F$7:$F$874,'30 days CF Table(RMB)'!$C$2)</f>
        <v>0</v>
      </c>
      <c r="AM56" s="337">
        <f>SUMIFS(BS_RE33!$H$7:$H$874,BS_RE33!$S$7:$S$874,$AM$2,BS_RE33!$N$7:$N$874,I56,BS_RE33!$P$7:$P$874,'30 days CF Table(RMB)'!G56,BS_RE33!$F$7:$F$874,'30 days CF Table(RMB)'!$C$2)</f>
        <v>0</v>
      </c>
      <c r="AN56" s="337">
        <f>SUMIFS(BS_RE33!$H$7:$H$874,BS_RE33!$S$7:$S$874,$AN$2,BS_RE33!$N$7:$N$874,I56,BS_RE33!$P$7:$P$874,'30 days CF Table(RMB)'!G56,BS_RE33!$F$7:$F$874,'30 days CF Table(RMB)'!$C$2)</f>
        <v>0</v>
      </c>
      <c r="AO56" s="337">
        <f>SUMIFS(BS_RE33!$H$7:$H$874,BS_RE33!$S$7:$S$874,$AO$2,BS_RE33!$N$7:$N$874,I56,BS_RE33!$P$7:$P$874,'30 days CF Table(RMB)'!G56,BS_RE33!$F$7:$F$874,'30 days CF Table(RMB)'!$C$2)</f>
        <v>0</v>
      </c>
      <c r="AP56" s="338">
        <f>SUMIFS(BS_RE33!$H$7:$H$874,BS_RE33!$S$7:$S$874,$AP$2,BS_RE33!$N$7:$N$874,I56,BS_RE33!$P$7:$P$874,'30 days CF Table(RMB)'!G56,BS_RE33!$F$7:$F$874,'30 days CF Table(RMB)'!$C$2)</f>
        <v>0</v>
      </c>
      <c r="AR56" s="379">
        <f>SUMIFS(BS_RE33!$H$7:$H$874,BS_RE33!$S$7:$S$874,$AR$2,BS_RE33!$N$7:$N$874,I56,BS_RE33!$P$7:$P$874,'30 days CF Table(RMB)'!G56,BS_RE33!$F$7:$F$874,'30 days CF Table(RMB)'!$C$2)</f>
        <v>0</v>
      </c>
      <c r="AS56" s="379">
        <f>SUMIFS(BS_RE33!$H$7:$H$874,BS_RE33!$S$7:$S$874,$AS$2,BS_RE33!$N$7:$N$874,I56,BS_RE33!$P$7:$P$874,'30 days CF Table(RMB)'!G56,BS_RE33!$F$7:$F$874,'30 days CF Table(RMB)'!$C$2)</f>
        <v>0</v>
      </c>
      <c r="AT56" s="379">
        <f>SUMIFS(BS_RE33!$H$7:$H$874,BS_RE33!$S$7:$S$874,$AT$2,BS_RE33!$N$7:$N$874,I56,BS_RE33!$P$7:$P$874,'30 days CF Table(RMB)'!G56,BS_RE33!$F$7:$F$874,'30 days CF Table(RMB)'!$C$2)</f>
        <v>0</v>
      </c>
      <c r="AU56" s="379">
        <f>SUMIFS(BS_RE33!$H$7:$H$874,BS_RE33!$S$7:$S$874,$AU$2,BS_RE33!$N$7:$N$874,I56,BS_RE33!$P$7:$P$874,'30 days CF Table(RMB)'!G56,BS_RE33!$F$7:$F$874,'30 days CF Table(RMB)'!$C$2)</f>
        <v>0</v>
      </c>
      <c r="AV56" s="379">
        <f>SUMIFS(BS_RE33!$H$7:$H$874,BS_RE33!$S$7:$S$874,$AV$2,BS_RE33!$N$7:$N$874,I56,BS_RE33!$P$7:$P$874,'30 days CF Table(RMB)'!G56,BS_RE33!$F$7:$F$874,'30 days CF Table(RMB)'!$C$2)</f>
        <v>0</v>
      </c>
      <c r="AW56" s="379">
        <f>SUMIFS(BS_RE33!$H$7:$H$874,BS_RE33!$S$7:$S$874,$AW$2,BS_RE33!$N$7:$N$874,I56,BS_RE33!$P$7:$P$874,'30 days CF Table(RMB)'!G56,BS_RE33!$F$7:$F$874,'30 days CF Table(RMB)'!$C$2)</f>
        <v>0</v>
      </c>
      <c r="AX56" s="379">
        <f>SUMIFS(BS_RE33!$H$7:$H$874,BS_RE33!$S$7:$S$874,$AX$2,BS_RE33!$N$7:$N$874,I56,BS_RE33!$P$7:$P$874,'30 days CF Table(RMB)'!G56,BS_RE33!$F$7:$F$874,'30 days CF Table(RMB)'!$C$2)</f>
        <v>0</v>
      </c>
      <c r="AY56" s="379">
        <f>SUMIFS(BS_RE33!$H$7:$H$874,BS_RE33!$S$7:$S$874,$AY$2,BS_RE33!$N$7:$N$874,I56,BS_RE33!$P$7:$P$874,'30 days CF Table(RMB)'!G56,BS_RE33!$F$7:$F$874,'30 days CF Table(RMB)'!$C$2)</f>
        <v>0</v>
      </c>
      <c r="AZ56" s="379">
        <f>SUMIFS(BS_RE33!$H$7:$H$874,BS_RE33!$S$7:$S$874,$AZ$2,BS_RE33!$N$7:$N$874,I56,BS_RE33!$P$7:$P$874,'30 days CF Table(RMB)'!G56,BS_RE33!$F$7:$F$874,'30 days CF Table(RMB)'!$C$2)</f>
        <v>0</v>
      </c>
      <c r="BA56" s="379">
        <f>SUMIFS(BS_RE33!$H$7:$H$874,BS_RE33!$S$7:$S$874,$BA$2,BS_RE33!$N$7:$N$874,I56,BS_RE33!$P$7:$P$874,'30 days CF Table(RMB)'!G56,BS_RE33!$F$7:$F$874,'30 days CF Table(RMB)'!$C$2)</f>
        <v>0</v>
      </c>
      <c r="BB56" s="379">
        <f>SUMIFS(BS_RE33!$H$7:$H$874,BS_RE33!$S$7:$S$874,$BB$2,BS_RE33!$N$7:$N$874,I56,BS_RE33!$P$7:$P$874,'30 days CF Table(RMB)'!G56,BS_RE33!$F$7:$F$874,'30 days CF Table(RMB)'!$C$2)</f>
        <v>0</v>
      </c>
      <c r="BC56" s="379">
        <f>SUMIFS(BS_RE33!$H$7:$H$874,BS_RE33!$S$7:$S$874,$BC$2,BS_RE33!$N$7:$N$874,I56,BS_RE33!$P$7:$P$874,'30 days CF Table(RMB)'!G56,BS_RE33!$F$7:$F$874,'30 days CF Table(RMB)'!$C$2)</f>
        <v>0</v>
      </c>
      <c r="BD56" s="379">
        <f>SUMIFS(BS_RE33!$H$7:$H$874,BS_RE33!$S$7:$S$874,$BD$2,BS_RE33!$N$7:$N$874,I56,BS_RE33!$P$7:$P$874,'30 days CF Table(RMB)'!G56,BS_RE33!$F$7:$F$874,'30 days CF Table(RMB)'!$C$2)</f>
        <v>0</v>
      </c>
      <c r="BE56" s="379">
        <f>SUMIFS(BS_RE33!$H$7:$H$874,BS_RE33!$S$7:$S$874,$BE$2,BS_RE33!$N$7:$N$874,I56,BS_RE33!$P$7:$P$874,'30 days CF Table(RMB)'!G56,BS_RE33!$F$7:$F$874,'30 days CF Table(RMB)'!$C$2)</f>
        <v>0</v>
      </c>
      <c r="BF56" s="379">
        <f>SUMIFS(BS_RE33!$H$7:$H$874,BS_RE33!$S$7:$S$874,$BF$2,BS_RE33!$N$7:$N$874,I56,BS_RE33!$P$7:$P$874,'30 days CF Table(RMB)'!G56,BS_RE33!$F$7:$F$874,'30 days CF Table(RMB)'!$C$2)</f>
        <v>0</v>
      </c>
      <c r="BG56" s="379">
        <f>SUMIFS(BS_RE33!$H$7:$H$874,BS_RE33!$S$7:$S$874,$BG$2,BS_RE33!$N$7:$N$874,I56,BS_RE33!$P$7:$P$874,'30 days CF Table(RMB)'!G56,BS_RE33!$F$7:$F$874,'30 days CF Table(RMB)'!$C$2)</f>
        <v>0</v>
      </c>
      <c r="BH56" s="379">
        <f>SUMIFS(BS_RE33!$H$7:$H$874,BS_RE33!$S$7:$S$874,$BH$2,BS_RE33!$N$7:$N$874,I56,BS_RE33!$P$7:$P$874,'30 days CF Table(RMB)'!G56,BS_RE33!$F$7:$F$874,'30 days CF Table(RMB)'!$C$2)</f>
        <v>0</v>
      </c>
      <c r="BI56" s="379">
        <f>SUMIFS(BS_RE33!$H$7:$H$874,BS_RE33!$S$7:$S$874,$BI$2,BS_RE33!$N$7:$N$874,I56,BS_RE33!$P$7:$P$874,'30 days CF Table(RMB)'!G56,BS_RE33!$F$7:$F$874,'30 days CF Table(RMB)'!$C$2)</f>
        <v>0</v>
      </c>
      <c r="BJ56" s="379">
        <f>SUMIFS(BS_RE33!$H$7:$H$874,BS_RE33!$S$7:$S$874,$BJ$2,BS_RE33!$N$7:$N$874,I56,BS_RE33!$P$7:$P$874,'30 days CF Table(RMB)'!G56,BS_RE33!$F$7:$F$874,'30 days CF Table(RMB)'!$C$2)</f>
        <v>0</v>
      </c>
      <c r="BK56" s="379">
        <f>SUMIFS(BS_RE33!$H$7:$H$874,BS_RE33!$S$7:$S$874,$BK$2,BS_RE33!$N$7:$N$874,I56,BS_RE33!$P$7:$P$874,'30 days CF Table(RMB)'!G56,BS_RE33!$F$7:$F$874,'30 days CF Table(RMB)'!$C$2)</f>
        <v>0</v>
      </c>
    </row>
    <row r="57" spans="3:63">
      <c r="C57" s="1027"/>
      <c r="D57" s="1039"/>
      <c r="E57" s="105" t="s">
        <v>96</v>
      </c>
      <c r="F57" s="312" t="s">
        <v>490</v>
      </c>
      <c r="G57" s="392" t="s">
        <v>535</v>
      </c>
      <c r="H57" s="317">
        <v>0.05</v>
      </c>
      <c r="I57" s="315" t="s">
        <v>80</v>
      </c>
      <c r="J57" s="479">
        <f t="shared" si="2"/>
        <v>0</v>
      </c>
      <c r="K57" s="336">
        <f t="shared" si="3"/>
        <v>0</v>
      </c>
      <c r="L57" s="337">
        <f>SUMIFS(BS_RE33!$H$7:$H$874,BS_RE33!$S$7:$S$874,$L$2,BS_RE33!$N$7:$N$874,I57,BS_RE33!$P$7:$P$874,'30 days CF Table(RMB)'!G57,BS_RE33!$F$7:$F$874,'30 days CF Table(RMB)'!$C$2)</f>
        <v>0</v>
      </c>
      <c r="M57" s="337">
        <f>SUMIFS(BS_RE33!$H$7:$H$874,BS_RE33!$S$7:$S$874,$M$2,BS_RE33!$N$7:$N$874,I57,BS_RE33!$P$7:$P$874,'30 days CF Table(RMB)'!G57,BS_RE33!$F$7:$F$874,'30 days CF Table(RMB)'!$C$2)</f>
        <v>0</v>
      </c>
      <c r="N57" s="337">
        <f>SUMIFS(BS_RE33!$H$7:$H$874,BS_RE33!$S$7:$S$874,$N$2,BS_RE33!$N$7:$N$874,I57,BS_RE33!$P$7:$P$874,'30 days CF Table(RMB)'!G57,BS_RE33!$F$7:$F$874,'30 days CF Table(RMB)'!$C$2)</f>
        <v>0</v>
      </c>
      <c r="O57" s="337">
        <f>SUMIFS(BS_RE33!$H$7:$H$874,BS_RE33!$S$7:$S$874,$O$2,BS_RE33!$N$7:$N$874,I57,BS_RE33!$P$7:$P$874,'30 days CF Table(RMB)'!G57,BS_RE33!$F$7:$F$874,'30 days CF Table(RMB)'!$C$2)</f>
        <v>0</v>
      </c>
      <c r="P57" s="337">
        <f>SUMIFS(BS_RE33!$H$7:$H$874,BS_RE33!$S$7:$S$874,$P$2,BS_RE33!$N$7:$N$874,I57,BS_RE33!$P$7:$P$874,'30 days CF Table(RMB)'!G57,BS_RE33!$F$7:$F$874,'30 days CF Table(RMB)'!$C$2)</f>
        <v>0</v>
      </c>
      <c r="Q57" s="337">
        <f>SUMIFS(BS_RE33!$H$7:$H$874,BS_RE33!$S$7:$S$874,$Q$2,BS_RE33!$N$7:$N$874,I57,BS_RE33!$P$7:$P$874,'30 days CF Table(RMB)'!G57,BS_RE33!$F$7:$F$874,'30 days CF Table(RMB)'!$C$2)</f>
        <v>0</v>
      </c>
      <c r="R57" s="337">
        <f>SUMIFS(BS_RE33!$H$7:$H$874,BS_RE33!$S$7:$S$874,$R$2,BS_RE33!$N$7:$N$874,I57,BS_RE33!$P$7:$P$874,'30 days CF Table(RMB)'!G57,BS_RE33!$F$7:$F$874,'30 days CF Table(RMB)'!$C$2)</f>
        <v>0</v>
      </c>
      <c r="S57" s="337">
        <f>SUMIFS(BS_RE33!$H$7:$H$874,BS_RE33!$S$7:$S$874,$S$2,BS_RE33!$N$7:$N$874,I57,BS_RE33!$P$7:$P$874,'30 days CF Table(RMB)'!G57,BS_RE33!$F$7:$F$874,'30 days CF Table(RMB)'!$C$2)</f>
        <v>0</v>
      </c>
      <c r="T57" s="337">
        <f>SUMIFS(BS_RE33!$H$7:$H$874,BS_RE33!$S$7:$S$874,$T$2,BS_RE33!$N$7:$N$874,I57,BS_RE33!$P$7:$P$874,'30 days CF Table(RMB)'!G57,BS_RE33!$F$7:$F$874,'30 days CF Table(RMB)'!$C$2)</f>
        <v>0</v>
      </c>
      <c r="U57" s="337">
        <f>SUMIFS(BS_RE33!$H$7:$H$874,BS_RE33!$S$7:$S$874,$U$2,BS_RE33!$N$7:$N$874,I57,BS_RE33!$P$7:$P$874,'30 days CF Table(RMB)'!G57,BS_RE33!$F$7:$F$874,'30 days CF Table(RMB)'!$C$2)</f>
        <v>0</v>
      </c>
      <c r="V57" s="337">
        <f>SUMIFS(BS_RE33!$H$7:$H$874,BS_RE33!$S$7:$S$874,$V$2,BS_RE33!$N$7:$N$874,I57,BS_RE33!$P$7:$P$874,'30 days CF Table(RMB)'!G57,BS_RE33!$F$7:$F$874,'30 days CF Table(RMB)'!$C$2)</f>
        <v>0</v>
      </c>
      <c r="W57" s="337">
        <f>SUMIFS(BS_RE33!$H$7:$H$874,BS_RE33!$S$7:$S$874,$W$2,BS_RE33!$N$7:$N$874,I57,BS_RE33!$P$7:$P$874,'30 days CF Table(RMB)'!G57,BS_RE33!$F$7:$F$874,'30 days CF Table(RMB)'!$C$2)</f>
        <v>0</v>
      </c>
      <c r="X57" s="337">
        <f>SUMIFS(BS_RE33!$H$7:$H$874,BS_RE33!$S$7:$S$874,$X$2,BS_RE33!$N$7:$N$874,I57,BS_RE33!$P$7:$P$874,'30 days CF Table(RMB)'!G57,BS_RE33!$F$7:$F$874,'30 days CF Table(RMB)'!$C$2)</f>
        <v>0</v>
      </c>
      <c r="Y57" s="337">
        <f>SUMIFS(BS_RE33!$H$7:$H$874,BS_RE33!$S$7:$S$874,$Y$2,BS_RE33!$N$7:$N$874,I57,BS_RE33!$P$7:$P$874,'30 days CF Table(RMB)'!G57,BS_RE33!$F$7:$F$874,'30 days CF Table(RMB)'!$C$2)</f>
        <v>0</v>
      </c>
      <c r="Z57" s="337">
        <f>SUMIFS(BS_RE33!$H$7:$H$874,BS_RE33!$S$7:$S$874,$Z$2,BS_RE33!$N$7:$N$874,I57,BS_RE33!$P$7:$P$874,'30 days CF Table(RMB)'!G57,BS_RE33!$F$7:$F$874,'30 days CF Table(RMB)'!$C$2)</f>
        <v>0</v>
      </c>
      <c r="AA57" s="337">
        <f>SUMIFS(BS_RE33!$H$7:$H$874,BS_RE33!$S$7:$S$874,$AA$2,BS_RE33!$N$7:$N$874,I57,BS_RE33!$P$7:$P$874,'30 days CF Table(RMB)'!G57,BS_RE33!$F$7:$F$874,'30 days CF Table(RMB)'!$C$2)</f>
        <v>0</v>
      </c>
      <c r="AB57" s="337">
        <f>SUMIFS(BS_RE33!$H$7:$H$874,BS_RE33!$S$7:$S$874,$AB$2,BS_RE33!$N$7:$N$874,I57,BS_RE33!$P$7:$P$874,'30 days CF Table(RMB)'!G57,BS_RE33!$F$7:$F$874,'30 days CF Table(RMB)'!$C$2)</f>
        <v>0</v>
      </c>
      <c r="AC57" s="337">
        <f>SUMIFS(BS_RE33!$H$7:$H$874,BS_RE33!$S$7:$S$874,$AC$2,BS_RE33!$N$7:$N$874,I57,BS_RE33!$P$7:$P$874,'30 days CF Table(RMB)'!G57,BS_RE33!$F$7:$F$874,'30 days CF Table(RMB)'!$C$2)</f>
        <v>0</v>
      </c>
      <c r="AD57" s="337">
        <f>SUMIFS(BS_RE33!$H$7:$H$874,BS_RE33!$S$7:$S$874,$AD$2,BS_RE33!$N$7:$N$874,I57,BS_RE33!$P$7:$P$874,'30 days CF Table(RMB)'!G57,BS_RE33!$F$7:$F$874,'30 days CF Table(RMB)'!$C$2)</f>
        <v>0</v>
      </c>
      <c r="AE57" s="337">
        <f>SUMIFS(BS_RE33!$H$7:$H$874,BS_RE33!$S$7:$S$874,$AE$2,BS_RE33!$N$7:$N$874,I57,BS_RE33!$P$7:$P$874,'30 days CF Table(RMB)'!G57,BS_RE33!$F$7:$F$874,'30 days CF Table(RMB)'!$C$2)</f>
        <v>0</v>
      </c>
      <c r="AF57" s="337">
        <f>SUMIFS(BS_RE33!$H$7:$H$874,BS_RE33!$S$7:$S$874,$AF$2,BS_RE33!$N$7:$N$874,I57,BS_RE33!$P$7:$P$874,'30 days CF Table(RMB)'!G57,BS_RE33!$F$7:$F$874,'30 days CF Table(RMB)'!$C$2)</f>
        <v>0</v>
      </c>
      <c r="AG57" s="337">
        <f>SUMIFS(BS_RE33!$H$7:$H$874,BS_RE33!$S$7:$S$874,$AG$2,BS_RE33!$N$7:$N$874,I57,BS_RE33!$P$7:$P$874,'30 days CF Table(RMB)'!G57,BS_RE33!$F$7:$F$874,'30 days CF Table(RMB)'!$C$2)</f>
        <v>0</v>
      </c>
      <c r="AH57" s="337">
        <f>SUMIFS(BS_RE33!$H$7:$H$874,BS_RE33!$S$7:$S$874,$AH$2,BS_RE33!$N$7:$N$874,I57,BS_RE33!$P$7:$P$874,'30 days CF Table(RMB)'!G57,BS_RE33!$F$7:$F$874,'30 days CF Table(RMB)'!$C$2)</f>
        <v>0</v>
      </c>
      <c r="AI57" s="337">
        <f>SUMIFS(BS_RE33!$H$7:$H$874,BS_RE33!$S$7:$S$874,$AI$2,BS_RE33!$N$7:$N$874,I57,BS_RE33!$P$7:$P$874,'30 days CF Table(RMB)'!G57,BS_RE33!$F$7:$F$874,'30 days CF Table(RMB)'!$C$2)</f>
        <v>0</v>
      </c>
      <c r="AJ57" s="337">
        <f>SUMIFS(BS_RE33!$H$7:$H$874,BS_RE33!$S$7:$S$874,$AJ$2,BS_RE33!$N$7:$N$874,I57,BS_RE33!$P$7:$P$874,'30 days CF Table(RMB)'!G57,BS_RE33!$F$7:$F$874,'30 days CF Table(RMB)'!$C$2)</f>
        <v>0</v>
      </c>
      <c r="AK57" s="337">
        <f>SUMIFS(BS_RE33!$H$7:$H$874,BS_RE33!$S$7:$S$874,$AK$2,BS_RE33!$N$7:$N$874,I57,BS_RE33!$P$7:$P$874,'30 days CF Table(RMB)'!G57,BS_RE33!$F$7:$F$874,'30 days CF Table(RMB)'!$C$2)</f>
        <v>0</v>
      </c>
      <c r="AL57" s="337">
        <f>SUMIFS(BS_RE33!$H$7:$H$874,BS_RE33!$S$7:$S$874,$AL$2,BS_RE33!$N$7:$N$874,I57,BS_RE33!$P$7:$P$874,'30 days CF Table(RMB)'!G57,BS_RE33!$F$7:$F$874,'30 days CF Table(RMB)'!$C$2)</f>
        <v>0</v>
      </c>
      <c r="AM57" s="337">
        <f>SUMIFS(BS_RE33!$H$7:$H$874,BS_RE33!$S$7:$S$874,$AM$2,BS_RE33!$N$7:$N$874,I57,BS_RE33!$P$7:$P$874,'30 days CF Table(RMB)'!G57,BS_RE33!$F$7:$F$874,'30 days CF Table(RMB)'!$C$2)</f>
        <v>0</v>
      </c>
      <c r="AN57" s="337">
        <f>SUMIFS(BS_RE33!$H$7:$H$874,BS_RE33!$S$7:$S$874,$AN$2,BS_RE33!$N$7:$N$874,I57,BS_RE33!$P$7:$P$874,'30 days CF Table(RMB)'!G57,BS_RE33!$F$7:$F$874,'30 days CF Table(RMB)'!$C$2)</f>
        <v>0</v>
      </c>
      <c r="AO57" s="337">
        <f>SUMIFS(BS_RE33!$H$7:$H$874,BS_RE33!$S$7:$S$874,$AO$2,BS_RE33!$N$7:$N$874,I57,BS_RE33!$P$7:$P$874,'30 days CF Table(RMB)'!G57,BS_RE33!$F$7:$F$874,'30 days CF Table(RMB)'!$C$2)</f>
        <v>0</v>
      </c>
      <c r="AP57" s="338">
        <f>SUMIFS(BS_RE33!$H$7:$H$874,BS_RE33!$S$7:$S$874,$AP$2,BS_RE33!$N$7:$N$874,I57,BS_RE33!$P$7:$P$874,'30 days CF Table(RMB)'!G57,BS_RE33!$F$7:$F$874,'30 days CF Table(RMB)'!$C$2)</f>
        <v>0</v>
      </c>
      <c r="AR57" s="379">
        <f>SUMIFS(BS_RE33!$H$7:$H$874,BS_RE33!$S$7:$S$874,$AR$2,BS_RE33!$N$7:$N$874,I57,BS_RE33!$P$7:$P$874,'30 days CF Table(RMB)'!G57,BS_RE33!$F$7:$F$874,'30 days CF Table(RMB)'!$C$2)</f>
        <v>0</v>
      </c>
      <c r="AS57" s="379">
        <f>SUMIFS(BS_RE33!$H$7:$H$874,BS_RE33!$S$7:$S$874,$AS$2,BS_RE33!$N$7:$N$874,I57,BS_RE33!$P$7:$P$874,'30 days CF Table(RMB)'!G57,BS_RE33!$F$7:$F$874,'30 days CF Table(RMB)'!$C$2)</f>
        <v>0</v>
      </c>
      <c r="AT57" s="379">
        <f>SUMIFS(BS_RE33!$H$7:$H$874,BS_RE33!$S$7:$S$874,$AT$2,BS_RE33!$N$7:$N$874,I57,BS_RE33!$P$7:$P$874,'30 days CF Table(RMB)'!G57,BS_RE33!$F$7:$F$874,'30 days CF Table(RMB)'!$C$2)</f>
        <v>0</v>
      </c>
      <c r="AU57" s="379">
        <f>SUMIFS(BS_RE33!$H$7:$H$874,BS_RE33!$S$7:$S$874,$AU$2,BS_RE33!$N$7:$N$874,I57,BS_RE33!$P$7:$P$874,'30 days CF Table(RMB)'!G57,BS_RE33!$F$7:$F$874,'30 days CF Table(RMB)'!$C$2)</f>
        <v>0</v>
      </c>
      <c r="AV57" s="379">
        <f>SUMIFS(BS_RE33!$H$7:$H$874,BS_RE33!$S$7:$S$874,$AV$2,BS_RE33!$N$7:$N$874,I57,BS_RE33!$P$7:$P$874,'30 days CF Table(RMB)'!G57,BS_RE33!$F$7:$F$874,'30 days CF Table(RMB)'!$C$2)</f>
        <v>0</v>
      </c>
      <c r="AW57" s="379">
        <f>SUMIFS(BS_RE33!$H$7:$H$874,BS_RE33!$S$7:$S$874,$AW$2,BS_RE33!$N$7:$N$874,I57,BS_RE33!$P$7:$P$874,'30 days CF Table(RMB)'!G57,BS_RE33!$F$7:$F$874,'30 days CF Table(RMB)'!$C$2)</f>
        <v>0</v>
      </c>
      <c r="AX57" s="379">
        <f>SUMIFS(BS_RE33!$H$7:$H$874,BS_RE33!$S$7:$S$874,$AX$2,BS_RE33!$N$7:$N$874,I57,BS_RE33!$P$7:$P$874,'30 days CF Table(RMB)'!G57,BS_RE33!$F$7:$F$874,'30 days CF Table(RMB)'!$C$2)</f>
        <v>0</v>
      </c>
      <c r="AY57" s="379">
        <f>SUMIFS(BS_RE33!$H$7:$H$874,BS_RE33!$S$7:$S$874,$AY$2,BS_RE33!$N$7:$N$874,I57,BS_RE33!$P$7:$P$874,'30 days CF Table(RMB)'!G57,BS_RE33!$F$7:$F$874,'30 days CF Table(RMB)'!$C$2)</f>
        <v>0</v>
      </c>
      <c r="AZ57" s="379">
        <f>SUMIFS(BS_RE33!$H$7:$H$874,BS_RE33!$S$7:$S$874,$AZ$2,BS_RE33!$N$7:$N$874,I57,BS_RE33!$P$7:$P$874,'30 days CF Table(RMB)'!G57,BS_RE33!$F$7:$F$874,'30 days CF Table(RMB)'!$C$2)</f>
        <v>0</v>
      </c>
      <c r="BA57" s="379">
        <f>SUMIFS(BS_RE33!$H$7:$H$874,BS_RE33!$S$7:$S$874,$BA$2,BS_RE33!$N$7:$N$874,I57,BS_RE33!$P$7:$P$874,'30 days CF Table(RMB)'!G57,BS_RE33!$F$7:$F$874,'30 days CF Table(RMB)'!$C$2)</f>
        <v>0</v>
      </c>
      <c r="BB57" s="379">
        <f>SUMIFS(BS_RE33!$H$7:$H$874,BS_RE33!$S$7:$S$874,$BB$2,BS_RE33!$N$7:$N$874,I57,BS_RE33!$P$7:$P$874,'30 days CF Table(RMB)'!G57,BS_RE33!$F$7:$F$874,'30 days CF Table(RMB)'!$C$2)</f>
        <v>0</v>
      </c>
      <c r="BC57" s="379">
        <f>SUMIFS(BS_RE33!$H$7:$H$874,BS_RE33!$S$7:$S$874,$BC$2,BS_RE33!$N$7:$N$874,I57,BS_RE33!$P$7:$P$874,'30 days CF Table(RMB)'!G57,BS_RE33!$F$7:$F$874,'30 days CF Table(RMB)'!$C$2)</f>
        <v>0</v>
      </c>
      <c r="BD57" s="379">
        <f>SUMIFS(BS_RE33!$H$7:$H$874,BS_RE33!$S$7:$S$874,$BD$2,BS_RE33!$N$7:$N$874,I57,BS_RE33!$P$7:$P$874,'30 days CF Table(RMB)'!G57,BS_RE33!$F$7:$F$874,'30 days CF Table(RMB)'!$C$2)</f>
        <v>0</v>
      </c>
      <c r="BE57" s="379">
        <f>SUMIFS(BS_RE33!$H$7:$H$874,BS_RE33!$S$7:$S$874,$BE$2,BS_RE33!$N$7:$N$874,I57,BS_RE33!$P$7:$P$874,'30 days CF Table(RMB)'!G57,BS_RE33!$F$7:$F$874,'30 days CF Table(RMB)'!$C$2)</f>
        <v>0</v>
      </c>
      <c r="BF57" s="379">
        <f>SUMIFS(BS_RE33!$H$7:$H$874,BS_RE33!$S$7:$S$874,$BF$2,BS_RE33!$N$7:$N$874,I57,BS_RE33!$P$7:$P$874,'30 days CF Table(RMB)'!G57,BS_RE33!$F$7:$F$874,'30 days CF Table(RMB)'!$C$2)</f>
        <v>0</v>
      </c>
      <c r="BG57" s="379">
        <f>SUMIFS(BS_RE33!$H$7:$H$874,BS_RE33!$S$7:$S$874,$BG$2,BS_RE33!$N$7:$N$874,I57,BS_RE33!$P$7:$P$874,'30 days CF Table(RMB)'!G57,BS_RE33!$F$7:$F$874,'30 days CF Table(RMB)'!$C$2)</f>
        <v>0</v>
      </c>
      <c r="BH57" s="379">
        <f>SUMIFS(BS_RE33!$H$7:$H$874,BS_RE33!$S$7:$S$874,$BH$2,BS_RE33!$N$7:$N$874,I57,BS_RE33!$P$7:$P$874,'30 days CF Table(RMB)'!G57,BS_RE33!$F$7:$F$874,'30 days CF Table(RMB)'!$C$2)</f>
        <v>0</v>
      </c>
      <c r="BI57" s="379">
        <f>SUMIFS(BS_RE33!$H$7:$H$874,BS_RE33!$S$7:$S$874,$BI$2,BS_RE33!$N$7:$N$874,I57,BS_RE33!$P$7:$P$874,'30 days CF Table(RMB)'!G57,BS_RE33!$F$7:$F$874,'30 days CF Table(RMB)'!$C$2)</f>
        <v>0</v>
      </c>
      <c r="BJ57" s="379">
        <f>SUMIFS(BS_RE33!$H$7:$H$874,BS_RE33!$S$7:$S$874,$BJ$2,BS_RE33!$N$7:$N$874,I57,BS_RE33!$P$7:$P$874,'30 days CF Table(RMB)'!G57,BS_RE33!$F$7:$F$874,'30 days CF Table(RMB)'!$C$2)</f>
        <v>0</v>
      </c>
      <c r="BK57" s="379">
        <f>SUMIFS(BS_RE33!$H$7:$H$874,BS_RE33!$S$7:$S$874,$BK$2,BS_RE33!$N$7:$N$874,I57,BS_RE33!$P$7:$P$874,'30 days CF Table(RMB)'!G57,BS_RE33!$F$7:$F$874,'30 days CF Table(RMB)'!$C$2)</f>
        <v>0</v>
      </c>
    </row>
    <row r="58" spans="3:63">
      <c r="C58" s="1044"/>
      <c r="D58" s="1039"/>
      <c r="E58" s="105" t="s">
        <v>96</v>
      </c>
      <c r="F58" s="312" t="s">
        <v>489</v>
      </c>
      <c r="G58" s="392" t="s">
        <v>536</v>
      </c>
      <c r="H58" s="317">
        <v>0.1</v>
      </c>
      <c r="I58" s="315" t="s">
        <v>80</v>
      </c>
      <c r="J58" s="479">
        <f>SUM(L58:AP58)/1000000</f>
        <v>0</v>
      </c>
      <c r="K58" s="336">
        <f>SUM(L58:AP58)*H58</f>
        <v>0</v>
      </c>
      <c r="L58" s="337">
        <f>SUMIFS(BS_RE33!$H$7:$H$874,BS_RE33!$S$7:$S$874,$L$2,BS_RE33!$N$7:$N$874,I58,BS_RE33!$P$7:$P$874,'30 days CF Table(RMB)'!G58,BS_RE33!$F$7:$F$874,'30 days CF Table(RMB)'!$C$2)</f>
        <v>0</v>
      </c>
      <c r="M58" s="337">
        <f>SUMIFS(BS_RE33!$H$7:$H$874,BS_RE33!$S$7:$S$874,$M$2,BS_RE33!$N$7:$N$874,I58,BS_RE33!$P$7:$P$874,'30 days CF Table(RMB)'!G58,BS_RE33!$F$7:$F$874,'30 days CF Table(RMB)'!$C$2)</f>
        <v>0</v>
      </c>
      <c r="N58" s="337">
        <f>SUMIFS(BS_RE33!$H$7:$H$874,BS_RE33!$S$7:$S$874,$N$2,BS_RE33!$N$7:$N$874,I58,BS_RE33!$P$7:$P$874,'30 days CF Table(RMB)'!G58,BS_RE33!$F$7:$F$874,'30 days CF Table(RMB)'!$C$2)</f>
        <v>0</v>
      </c>
      <c r="O58" s="337">
        <f>SUMIFS(BS_RE33!$H$7:$H$874,BS_RE33!$S$7:$S$874,$O$2,BS_RE33!$N$7:$N$874,I58,BS_RE33!$P$7:$P$874,'30 days CF Table(RMB)'!G58,BS_RE33!$F$7:$F$874,'30 days CF Table(RMB)'!$C$2)</f>
        <v>0</v>
      </c>
      <c r="P58" s="337">
        <f>SUMIFS(BS_RE33!$H$7:$H$874,BS_RE33!$S$7:$S$874,$P$2,BS_RE33!$N$7:$N$874,I58,BS_RE33!$P$7:$P$874,'30 days CF Table(RMB)'!G58,BS_RE33!$F$7:$F$874,'30 days CF Table(RMB)'!$C$2)</f>
        <v>0</v>
      </c>
      <c r="Q58" s="337">
        <f>SUMIFS(BS_RE33!$H$7:$H$874,BS_RE33!$S$7:$S$874,$Q$2,BS_RE33!$N$7:$N$874,I58,BS_RE33!$P$7:$P$874,'30 days CF Table(RMB)'!G58,BS_RE33!$F$7:$F$874,'30 days CF Table(RMB)'!$C$2)</f>
        <v>0</v>
      </c>
      <c r="R58" s="337">
        <f>SUMIFS(BS_RE33!$H$7:$H$874,BS_RE33!$S$7:$S$874,$R$2,BS_RE33!$N$7:$N$874,I58,BS_RE33!$P$7:$P$874,'30 days CF Table(RMB)'!G58,BS_RE33!$F$7:$F$874,'30 days CF Table(RMB)'!$C$2)</f>
        <v>0</v>
      </c>
      <c r="S58" s="337">
        <f>SUMIFS(BS_RE33!$H$7:$H$874,BS_RE33!$S$7:$S$874,$S$2,BS_RE33!$N$7:$N$874,I58,BS_RE33!$P$7:$P$874,'30 days CF Table(RMB)'!G58,BS_RE33!$F$7:$F$874,'30 days CF Table(RMB)'!$C$2)</f>
        <v>0</v>
      </c>
      <c r="T58" s="337">
        <f>SUMIFS(BS_RE33!$H$7:$H$874,BS_RE33!$S$7:$S$874,$T$2,BS_RE33!$N$7:$N$874,I58,BS_RE33!$P$7:$P$874,'30 days CF Table(RMB)'!G58,BS_RE33!$F$7:$F$874,'30 days CF Table(RMB)'!$C$2)</f>
        <v>0</v>
      </c>
      <c r="U58" s="337">
        <f>SUMIFS(BS_RE33!$H$7:$H$874,BS_RE33!$S$7:$S$874,$U$2,BS_RE33!$N$7:$N$874,I58,BS_RE33!$P$7:$P$874,'30 days CF Table(RMB)'!G58,BS_RE33!$F$7:$F$874,'30 days CF Table(RMB)'!$C$2)</f>
        <v>0</v>
      </c>
      <c r="V58" s="337">
        <f>SUMIFS(BS_RE33!$H$7:$H$874,BS_RE33!$S$7:$S$874,$V$2,BS_RE33!$N$7:$N$874,I58,BS_RE33!$P$7:$P$874,'30 days CF Table(RMB)'!G58,BS_RE33!$F$7:$F$874,'30 days CF Table(RMB)'!$C$2)</f>
        <v>0</v>
      </c>
      <c r="W58" s="337">
        <f>SUMIFS(BS_RE33!$H$7:$H$874,BS_RE33!$S$7:$S$874,$W$2,BS_RE33!$N$7:$N$874,I58,BS_RE33!$P$7:$P$874,'30 days CF Table(RMB)'!G58,BS_RE33!$F$7:$F$874,'30 days CF Table(RMB)'!$C$2)</f>
        <v>0</v>
      </c>
      <c r="X58" s="337">
        <f>SUMIFS(BS_RE33!$H$7:$H$874,BS_RE33!$S$7:$S$874,$X$2,BS_RE33!$N$7:$N$874,I58,BS_RE33!$P$7:$P$874,'30 days CF Table(RMB)'!G58,BS_RE33!$F$7:$F$874,'30 days CF Table(RMB)'!$C$2)</f>
        <v>0</v>
      </c>
      <c r="Y58" s="337">
        <f>SUMIFS(BS_RE33!$H$7:$H$874,BS_RE33!$S$7:$S$874,$Y$2,BS_RE33!$N$7:$N$874,I58,BS_RE33!$P$7:$P$874,'30 days CF Table(RMB)'!G58,BS_RE33!$F$7:$F$874,'30 days CF Table(RMB)'!$C$2)</f>
        <v>0</v>
      </c>
      <c r="Z58" s="337">
        <f>SUMIFS(BS_RE33!$H$7:$H$874,BS_RE33!$S$7:$S$874,$Z$2,BS_RE33!$N$7:$N$874,I58,BS_RE33!$P$7:$P$874,'30 days CF Table(RMB)'!G58,BS_RE33!$F$7:$F$874,'30 days CF Table(RMB)'!$C$2)</f>
        <v>0</v>
      </c>
      <c r="AA58" s="337">
        <f>SUMIFS(BS_RE33!$H$7:$H$874,BS_RE33!$S$7:$S$874,$AA$2,BS_RE33!$N$7:$N$874,I58,BS_RE33!$P$7:$P$874,'30 days CF Table(RMB)'!G58,BS_RE33!$F$7:$F$874,'30 days CF Table(RMB)'!$C$2)</f>
        <v>0</v>
      </c>
      <c r="AB58" s="337">
        <f>SUMIFS(BS_RE33!$H$7:$H$874,BS_RE33!$S$7:$S$874,$AB$2,BS_RE33!$N$7:$N$874,I58,BS_RE33!$P$7:$P$874,'30 days CF Table(RMB)'!G58,BS_RE33!$F$7:$F$874,'30 days CF Table(RMB)'!$C$2)</f>
        <v>0</v>
      </c>
      <c r="AC58" s="337">
        <f>SUMIFS(BS_RE33!$H$7:$H$874,BS_RE33!$S$7:$S$874,$AC$2,BS_RE33!$N$7:$N$874,I58,BS_RE33!$P$7:$P$874,'30 days CF Table(RMB)'!G58,BS_RE33!$F$7:$F$874,'30 days CF Table(RMB)'!$C$2)</f>
        <v>0</v>
      </c>
      <c r="AD58" s="337">
        <f>SUMIFS(BS_RE33!$H$7:$H$874,BS_RE33!$S$7:$S$874,$AD$2,BS_RE33!$N$7:$N$874,I58,BS_RE33!$P$7:$P$874,'30 days CF Table(RMB)'!G58,BS_RE33!$F$7:$F$874,'30 days CF Table(RMB)'!$C$2)</f>
        <v>0</v>
      </c>
      <c r="AE58" s="337">
        <f>SUMIFS(BS_RE33!$H$7:$H$874,BS_RE33!$S$7:$S$874,$AE$2,BS_RE33!$N$7:$N$874,I58,BS_RE33!$P$7:$P$874,'30 days CF Table(RMB)'!G58,BS_RE33!$F$7:$F$874,'30 days CF Table(RMB)'!$C$2)</f>
        <v>0</v>
      </c>
      <c r="AF58" s="337">
        <f>SUMIFS(BS_RE33!$H$7:$H$874,BS_RE33!$S$7:$S$874,$AF$2,BS_RE33!$N$7:$N$874,I58,BS_RE33!$P$7:$P$874,'30 days CF Table(RMB)'!G58,BS_RE33!$F$7:$F$874,'30 days CF Table(RMB)'!$C$2)</f>
        <v>0</v>
      </c>
      <c r="AG58" s="337">
        <f>SUMIFS(BS_RE33!$H$7:$H$874,BS_RE33!$S$7:$S$874,$AG$2,BS_RE33!$N$7:$N$874,I58,BS_RE33!$P$7:$P$874,'30 days CF Table(RMB)'!G58,BS_RE33!$F$7:$F$874,'30 days CF Table(RMB)'!$C$2)</f>
        <v>0</v>
      </c>
      <c r="AH58" s="337">
        <f>SUMIFS(BS_RE33!$H$7:$H$874,BS_RE33!$S$7:$S$874,$AH$2,BS_RE33!$N$7:$N$874,I58,BS_RE33!$P$7:$P$874,'30 days CF Table(RMB)'!G58,BS_RE33!$F$7:$F$874,'30 days CF Table(RMB)'!$C$2)</f>
        <v>0</v>
      </c>
      <c r="AI58" s="337">
        <f>SUMIFS(BS_RE33!$H$7:$H$874,BS_RE33!$S$7:$S$874,$AI$2,BS_RE33!$N$7:$N$874,I58,BS_RE33!$P$7:$P$874,'30 days CF Table(RMB)'!G58,BS_RE33!$F$7:$F$874,'30 days CF Table(RMB)'!$C$2)</f>
        <v>0</v>
      </c>
      <c r="AJ58" s="337">
        <f>SUMIFS(BS_RE33!$H$7:$H$874,BS_RE33!$S$7:$S$874,$AJ$2,BS_RE33!$N$7:$N$874,I58,BS_RE33!$P$7:$P$874,'30 days CF Table(RMB)'!G58,BS_RE33!$F$7:$F$874,'30 days CF Table(RMB)'!$C$2)</f>
        <v>0</v>
      </c>
      <c r="AK58" s="337">
        <f>SUMIFS(BS_RE33!$H$7:$H$874,BS_RE33!$S$7:$S$874,$AK$2,BS_RE33!$N$7:$N$874,I58,BS_RE33!$P$7:$P$874,'30 days CF Table(RMB)'!G58,BS_RE33!$F$7:$F$874,'30 days CF Table(RMB)'!$C$2)</f>
        <v>0</v>
      </c>
      <c r="AL58" s="337">
        <f>SUMIFS(BS_RE33!$H$7:$H$874,BS_RE33!$S$7:$S$874,$AL$2,BS_RE33!$N$7:$N$874,I58,BS_RE33!$P$7:$P$874,'30 days CF Table(RMB)'!G58,BS_RE33!$F$7:$F$874,'30 days CF Table(RMB)'!$C$2)</f>
        <v>0</v>
      </c>
      <c r="AM58" s="337">
        <f>SUMIFS(BS_RE33!$H$7:$H$874,BS_RE33!$S$7:$S$874,$AM$2,BS_RE33!$N$7:$N$874,I58,BS_RE33!$P$7:$P$874,'30 days CF Table(RMB)'!G58,BS_RE33!$F$7:$F$874,'30 days CF Table(RMB)'!$C$2)</f>
        <v>0</v>
      </c>
      <c r="AN58" s="337">
        <f>SUMIFS(BS_RE33!$H$7:$H$874,BS_RE33!$S$7:$S$874,$AN$2,BS_RE33!$N$7:$N$874,I58,BS_RE33!$P$7:$P$874,'30 days CF Table(RMB)'!G58,BS_RE33!$F$7:$F$874,'30 days CF Table(RMB)'!$C$2)</f>
        <v>0</v>
      </c>
      <c r="AO58" s="337">
        <f>SUMIFS(BS_RE33!$H$7:$H$874,BS_RE33!$S$7:$S$874,$AO$2,BS_RE33!$N$7:$N$874,I58,BS_RE33!$P$7:$P$874,'30 days CF Table(RMB)'!G58,BS_RE33!$F$7:$F$874,'30 days CF Table(RMB)'!$C$2)</f>
        <v>0</v>
      </c>
      <c r="AP58" s="338">
        <f>SUMIFS(BS_RE33!$H$7:$H$874,BS_RE33!$S$7:$S$874,$AP$2,BS_RE33!$N$7:$N$874,I58,BS_RE33!$P$7:$P$874,'30 days CF Table(RMB)'!G58,BS_RE33!$F$7:$F$874,'30 days CF Table(RMB)'!$C$2)</f>
        <v>0</v>
      </c>
      <c r="AR58" s="379">
        <f>SUMIFS(BS_RE33!$H$7:$H$874,BS_RE33!$S$7:$S$874,$AR$2,BS_RE33!$N$7:$N$874,I58,BS_RE33!$P$7:$P$874,'30 days CF Table(RMB)'!G58,BS_RE33!$F$7:$F$874,'30 days CF Table(RMB)'!$C$2)</f>
        <v>0</v>
      </c>
      <c r="AS58" s="379">
        <f>SUMIFS(BS_RE33!$H$7:$H$874,BS_RE33!$S$7:$S$874,$AS$2,BS_RE33!$N$7:$N$874,I58,BS_RE33!$P$7:$P$874,'30 days CF Table(RMB)'!G58,BS_RE33!$F$7:$F$874,'30 days CF Table(RMB)'!$C$2)</f>
        <v>0</v>
      </c>
      <c r="AT58" s="379">
        <f>SUMIFS(BS_RE33!$H$7:$H$874,BS_RE33!$S$7:$S$874,$AT$2,BS_RE33!$N$7:$N$874,I58,BS_RE33!$P$7:$P$874,'30 days CF Table(RMB)'!G58,BS_RE33!$F$7:$F$874,'30 days CF Table(RMB)'!$C$2)</f>
        <v>0</v>
      </c>
      <c r="AU58" s="379">
        <f>SUMIFS(BS_RE33!$H$7:$H$874,BS_RE33!$S$7:$S$874,$AU$2,BS_RE33!$N$7:$N$874,I58,BS_RE33!$P$7:$P$874,'30 days CF Table(RMB)'!G58,BS_RE33!$F$7:$F$874,'30 days CF Table(RMB)'!$C$2)</f>
        <v>0</v>
      </c>
      <c r="AV58" s="379">
        <f>SUMIFS(BS_RE33!$H$7:$H$874,BS_RE33!$S$7:$S$874,$AV$2,BS_RE33!$N$7:$N$874,I58,BS_RE33!$P$7:$P$874,'30 days CF Table(RMB)'!G58,BS_RE33!$F$7:$F$874,'30 days CF Table(RMB)'!$C$2)</f>
        <v>0</v>
      </c>
      <c r="AW58" s="379">
        <f>SUMIFS(BS_RE33!$H$7:$H$874,BS_RE33!$S$7:$S$874,$AW$2,BS_RE33!$N$7:$N$874,I58,BS_RE33!$P$7:$P$874,'30 days CF Table(RMB)'!G58,BS_RE33!$F$7:$F$874,'30 days CF Table(RMB)'!$C$2)</f>
        <v>0</v>
      </c>
      <c r="AX58" s="379">
        <f>SUMIFS(BS_RE33!$H$7:$H$874,BS_RE33!$S$7:$S$874,$AX$2,BS_RE33!$N$7:$N$874,I58,BS_RE33!$P$7:$P$874,'30 days CF Table(RMB)'!G58,BS_RE33!$F$7:$F$874,'30 days CF Table(RMB)'!$C$2)</f>
        <v>0</v>
      </c>
      <c r="AY58" s="379">
        <f>SUMIFS(BS_RE33!$H$7:$H$874,BS_RE33!$S$7:$S$874,$AY$2,BS_RE33!$N$7:$N$874,I58,BS_RE33!$P$7:$P$874,'30 days CF Table(RMB)'!G58,BS_RE33!$F$7:$F$874,'30 days CF Table(RMB)'!$C$2)</f>
        <v>0</v>
      </c>
      <c r="AZ58" s="379">
        <f>SUMIFS(BS_RE33!$H$7:$H$874,BS_RE33!$S$7:$S$874,$AZ$2,BS_RE33!$N$7:$N$874,I58,BS_RE33!$P$7:$P$874,'30 days CF Table(RMB)'!G58,BS_RE33!$F$7:$F$874,'30 days CF Table(RMB)'!$C$2)</f>
        <v>0</v>
      </c>
      <c r="BA58" s="379">
        <f>SUMIFS(BS_RE33!$H$7:$H$874,BS_RE33!$S$7:$S$874,$BA$2,BS_RE33!$N$7:$N$874,I58,BS_RE33!$P$7:$P$874,'30 days CF Table(RMB)'!G58,BS_RE33!$F$7:$F$874,'30 days CF Table(RMB)'!$C$2)</f>
        <v>0</v>
      </c>
      <c r="BB58" s="379">
        <f>SUMIFS(BS_RE33!$H$7:$H$874,BS_RE33!$S$7:$S$874,$BB$2,BS_RE33!$N$7:$N$874,I58,BS_RE33!$P$7:$P$874,'30 days CF Table(RMB)'!G58,BS_RE33!$F$7:$F$874,'30 days CF Table(RMB)'!$C$2)</f>
        <v>0</v>
      </c>
      <c r="BC58" s="379">
        <f>SUMIFS(BS_RE33!$H$7:$H$874,BS_RE33!$S$7:$S$874,$BC$2,BS_RE33!$N$7:$N$874,I58,BS_RE33!$P$7:$P$874,'30 days CF Table(RMB)'!G58,BS_RE33!$F$7:$F$874,'30 days CF Table(RMB)'!$C$2)</f>
        <v>0</v>
      </c>
      <c r="BD58" s="379">
        <f>SUMIFS(BS_RE33!$H$7:$H$874,BS_RE33!$S$7:$S$874,$BD$2,BS_RE33!$N$7:$N$874,I58,BS_RE33!$P$7:$P$874,'30 days CF Table(RMB)'!G58,BS_RE33!$F$7:$F$874,'30 days CF Table(RMB)'!$C$2)</f>
        <v>0</v>
      </c>
      <c r="BE58" s="379">
        <f>SUMIFS(BS_RE33!$H$7:$H$874,BS_RE33!$S$7:$S$874,$BE$2,BS_RE33!$N$7:$N$874,I58,BS_RE33!$P$7:$P$874,'30 days CF Table(RMB)'!G58,BS_RE33!$F$7:$F$874,'30 days CF Table(RMB)'!$C$2)</f>
        <v>0</v>
      </c>
      <c r="BF58" s="379">
        <f>SUMIFS(BS_RE33!$H$7:$H$874,BS_RE33!$S$7:$S$874,$BF$2,BS_RE33!$N$7:$N$874,I58,BS_RE33!$P$7:$P$874,'30 days CF Table(RMB)'!G58,BS_RE33!$F$7:$F$874,'30 days CF Table(RMB)'!$C$2)</f>
        <v>0</v>
      </c>
      <c r="BG58" s="379">
        <f>SUMIFS(BS_RE33!$H$7:$H$874,BS_RE33!$S$7:$S$874,$BG$2,BS_RE33!$N$7:$N$874,I58,BS_RE33!$P$7:$P$874,'30 days CF Table(RMB)'!G58,BS_RE33!$F$7:$F$874,'30 days CF Table(RMB)'!$C$2)</f>
        <v>0</v>
      </c>
      <c r="BH58" s="379">
        <f>SUMIFS(BS_RE33!$H$7:$H$874,BS_RE33!$S$7:$S$874,$BH$2,BS_RE33!$N$7:$N$874,I58,BS_RE33!$P$7:$P$874,'30 days CF Table(RMB)'!G58,BS_RE33!$F$7:$F$874,'30 days CF Table(RMB)'!$C$2)</f>
        <v>0</v>
      </c>
      <c r="BI58" s="379">
        <f>SUMIFS(BS_RE33!$H$7:$H$874,BS_RE33!$S$7:$S$874,$BI$2,BS_RE33!$N$7:$N$874,I58,BS_RE33!$P$7:$P$874,'30 days CF Table(RMB)'!G58,BS_RE33!$F$7:$F$874,'30 days CF Table(RMB)'!$C$2)</f>
        <v>0</v>
      </c>
      <c r="BJ58" s="379">
        <f>SUMIFS(BS_RE33!$H$7:$H$874,BS_RE33!$S$7:$S$874,$BJ$2,BS_RE33!$N$7:$N$874,I58,BS_RE33!$P$7:$P$874,'30 days CF Table(RMB)'!G58,BS_RE33!$F$7:$F$874,'30 days CF Table(RMB)'!$C$2)</f>
        <v>0</v>
      </c>
      <c r="BK58" s="379">
        <f>SUMIFS(BS_RE33!$H$7:$H$874,BS_RE33!$S$7:$S$874,$BK$2,BS_RE33!$N$7:$N$874,I58,BS_RE33!$P$7:$P$874,'30 days CF Table(RMB)'!G58,BS_RE33!$F$7:$F$874,'30 days CF Table(RMB)'!$C$2)</f>
        <v>0</v>
      </c>
    </row>
    <row r="59" spans="3:63">
      <c r="C59" s="1027"/>
      <c r="D59" s="1039"/>
      <c r="E59" s="105" t="s">
        <v>96</v>
      </c>
      <c r="F59" s="312" t="s">
        <v>493</v>
      </c>
      <c r="G59" s="392" t="s">
        <v>1249</v>
      </c>
      <c r="H59" s="317">
        <v>0.4</v>
      </c>
      <c r="I59" s="315" t="s">
        <v>80</v>
      </c>
      <c r="J59" s="479">
        <f t="shared" si="2"/>
        <v>0</v>
      </c>
      <c r="K59" s="336">
        <f t="shared" si="3"/>
        <v>0</v>
      </c>
      <c r="L59" s="337">
        <f>SUMIFS(BS_RE33!$H$7:$H$874,BS_RE33!$S$7:$S$874,$L$2,BS_RE33!$N$7:$N$874,I59,BS_RE33!$P$7:$P$874,'30 days CF Table(RMB)'!G59,BS_RE33!$F$7:$F$874,'30 days CF Table(RMB)'!$C$2)</f>
        <v>0</v>
      </c>
      <c r="M59" s="337">
        <f>SUMIFS(BS_RE33!$H$7:$H$874,BS_RE33!$S$7:$S$874,$M$2,BS_RE33!$N$7:$N$874,I59,BS_RE33!$P$7:$P$874,'30 days CF Table(RMB)'!G59,BS_RE33!$F$7:$F$874,'30 days CF Table(RMB)'!$C$2)</f>
        <v>0</v>
      </c>
      <c r="N59" s="337">
        <f>SUMIFS(BS_RE33!$H$7:$H$874,BS_RE33!$S$7:$S$874,$N$2,BS_RE33!$N$7:$N$874,I59,BS_RE33!$P$7:$P$874,'30 days CF Table(RMB)'!G59,BS_RE33!$F$7:$F$874,'30 days CF Table(RMB)'!$C$2)</f>
        <v>0</v>
      </c>
      <c r="O59" s="337">
        <f>SUMIFS(BS_RE33!$H$7:$H$874,BS_RE33!$S$7:$S$874,$O$2,BS_RE33!$N$7:$N$874,I59,BS_RE33!$P$7:$P$874,'30 days CF Table(RMB)'!G59,BS_RE33!$F$7:$F$874,'30 days CF Table(RMB)'!$C$2)</f>
        <v>0</v>
      </c>
      <c r="P59" s="337">
        <f>SUMIFS(BS_RE33!$H$7:$H$874,BS_RE33!$S$7:$S$874,$P$2,BS_RE33!$N$7:$N$874,I59,BS_RE33!$P$7:$P$874,'30 days CF Table(RMB)'!G59,BS_RE33!$F$7:$F$874,'30 days CF Table(RMB)'!$C$2)</f>
        <v>0</v>
      </c>
      <c r="Q59" s="337">
        <f>SUMIFS(BS_RE33!$H$7:$H$874,BS_RE33!$S$7:$S$874,$Q$2,BS_RE33!$N$7:$N$874,I59,BS_RE33!$P$7:$P$874,'30 days CF Table(RMB)'!G59,BS_RE33!$F$7:$F$874,'30 days CF Table(RMB)'!$C$2)</f>
        <v>0</v>
      </c>
      <c r="R59" s="337">
        <f>SUMIFS(BS_RE33!$H$7:$H$874,BS_RE33!$S$7:$S$874,$R$2,BS_RE33!$N$7:$N$874,I59,BS_RE33!$P$7:$P$874,'30 days CF Table(RMB)'!G59,BS_RE33!$F$7:$F$874,'30 days CF Table(RMB)'!$C$2)</f>
        <v>0</v>
      </c>
      <c r="S59" s="337">
        <f>SUMIFS(BS_RE33!$H$7:$H$874,BS_RE33!$S$7:$S$874,$S$2,BS_RE33!$N$7:$N$874,I59,BS_RE33!$P$7:$P$874,'30 days CF Table(RMB)'!G59,BS_RE33!$F$7:$F$874,'30 days CF Table(RMB)'!$C$2)</f>
        <v>0</v>
      </c>
      <c r="T59" s="337">
        <f>SUMIFS(BS_RE33!$H$7:$H$874,BS_RE33!$S$7:$S$874,$T$2,BS_RE33!$N$7:$N$874,I59,BS_RE33!$P$7:$P$874,'30 days CF Table(RMB)'!G59,BS_RE33!$F$7:$F$874,'30 days CF Table(RMB)'!$C$2)</f>
        <v>0</v>
      </c>
      <c r="U59" s="337">
        <f>SUMIFS(BS_RE33!$H$7:$H$874,BS_RE33!$S$7:$S$874,$U$2,BS_RE33!$N$7:$N$874,I59,BS_RE33!$P$7:$P$874,'30 days CF Table(RMB)'!G59,BS_RE33!$F$7:$F$874,'30 days CF Table(RMB)'!$C$2)</f>
        <v>0</v>
      </c>
      <c r="V59" s="337">
        <f>SUMIFS(BS_RE33!$H$7:$H$874,BS_RE33!$S$7:$S$874,$V$2,BS_RE33!$N$7:$N$874,I59,BS_RE33!$P$7:$P$874,'30 days CF Table(RMB)'!G59,BS_RE33!$F$7:$F$874,'30 days CF Table(RMB)'!$C$2)</f>
        <v>0</v>
      </c>
      <c r="W59" s="337">
        <f>SUMIFS(BS_RE33!$H$7:$H$874,BS_RE33!$S$7:$S$874,$W$2,BS_RE33!$N$7:$N$874,I59,BS_RE33!$P$7:$P$874,'30 days CF Table(RMB)'!G59,BS_RE33!$F$7:$F$874,'30 days CF Table(RMB)'!$C$2)</f>
        <v>0</v>
      </c>
      <c r="X59" s="337">
        <f>SUMIFS(BS_RE33!$H$7:$H$874,BS_RE33!$S$7:$S$874,$X$2,BS_RE33!$N$7:$N$874,I59,BS_RE33!$P$7:$P$874,'30 days CF Table(RMB)'!G59,BS_RE33!$F$7:$F$874,'30 days CF Table(RMB)'!$C$2)</f>
        <v>0</v>
      </c>
      <c r="Y59" s="337">
        <f>SUMIFS(BS_RE33!$H$7:$H$874,BS_RE33!$S$7:$S$874,$Y$2,BS_RE33!$N$7:$N$874,I59,BS_RE33!$P$7:$P$874,'30 days CF Table(RMB)'!G59,BS_RE33!$F$7:$F$874,'30 days CF Table(RMB)'!$C$2)</f>
        <v>0</v>
      </c>
      <c r="Z59" s="337">
        <f>SUMIFS(BS_RE33!$H$7:$H$874,BS_RE33!$S$7:$S$874,$Z$2,BS_RE33!$N$7:$N$874,I59,BS_RE33!$P$7:$P$874,'30 days CF Table(RMB)'!G59,BS_RE33!$F$7:$F$874,'30 days CF Table(RMB)'!$C$2)</f>
        <v>0</v>
      </c>
      <c r="AA59" s="337">
        <f>SUMIFS(BS_RE33!$H$7:$H$874,BS_RE33!$S$7:$S$874,$AA$2,BS_RE33!$N$7:$N$874,I59,BS_RE33!$P$7:$P$874,'30 days CF Table(RMB)'!G59,BS_RE33!$F$7:$F$874,'30 days CF Table(RMB)'!$C$2)</f>
        <v>0</v>
      </c>
      <c r="AB59" s="337">
        <f>SUMIFS(BS_RE33!$H$7:$H$874,BS_RE33!$S$7:$S$874,$AB$2,BS_RE33!$N$7:$N$874,I59,BS_RE33!$P$7:$P$874,'30 days CF Table(RMB)'!G59,BS_RE33!$F$7:$F$874,'30 days CF Table(RMB)'!$C$2)</f>
        <v>0</v>
      </c>
      <c r="AC59" s="337">
        <f>SUMIFS(BS_RE33!$H$7:$H$874,BS_RE33!$S$7:$S$874,$AC$2,BS_RE33!$N$7:$N$874,I59,BS_RE33!$P$7:$P$874,'30 days CF Table(RMB)'!G59,BS_RE33!$F$7:$F$874,'30 days CF Table(RMB)'!$C$2)</f>
        <v>0</v>
      </c>
      <c r="AD59" s="337">
        <f>SUMIFS(BS_RE33!$H$7:$H$874,BS_RE33!$S$7:$S$874,$AD$2,BS_RE33!$N$7:$N$874,I59,BS_RE33!$P$7:$P$874,'30 days CF Table(RMB)'!G59,BS_RE33!$F$7:$F$874,'30 days CF Table(RMB)'!$C$2)</f>
        <v>0</v>
      </c>
      <c r="AE59" s="337">
        <f>SUMIFS(BS_RE33!$H$7:$H$874,BS_RE33!$S$7:$S$874,$AE$2,BS_RE33!$N$7:$N$874,I59,BS_RE33!$P$7:$P$874,'30 days CF Table(RMB)'!G59,BS_RE33!$F$7:$F$874,'30 days CF Table(RMB)'!$C$2)</f>
        <v>0</v>
      </c>
      <c r="AF59" s="337">
        <f>SUMIFS(BS_RE33!$H$7:$H$874,BS_RE33!$S$7:$S$874,$AF$2,BS_RE33!$N$7:$N$874,I59,BS_RE33!$P$7:$P$874,'30 days CF Table(RMB)'!G59,BS_RE33!$F$7:$F$874,'30 days CF Table(RMB)'!$C$2)</f>
        <v>0</v>
      </c>
      <c r="AG59" s="337">
        <f>SUMIFS(BS_RE33!$H$7:$H$874,BS_RE33!$S$7:$S$874,$AG$2,BS_RE33!$N$7:$N$874,I59,BS_RE33!$P$7:$P$874,'30 days CF Table(RMB)'!G59,BS_RE33!$F$7:$F$874,'30 days CF Table(RMB)'!$C$2)</f>
        <v>0</v>
      </c>
      <c r="AH59" s="337">
        <f>SUMIFS(BS_RE33!$H$7:$H$874,BS_RE33!$S$7:$S$874,$AH$2,BS_RE33!$N$7:$N$874,I59,BS_RE33!$P$7:$P$874,'30 days CF Table(RMB)'!G59,BS_RE33!$F$7:$F$874,'30 days CF Table(RMB)'!$C$2)</f>
        <v>0</v>
      </c>
      <c r="AI59" s="337">
        <f>SUMIFS(BS_RE33!$H$7:$H$874,BS_RE33!$S$7:$S$874,$AI$2,BS_RE33!$N$7:$N$874,I59,BS_RE33!$P$7:$P$874,'30 days CF Table(RMB)'!G59,BS_RE33!$F$7:$F$874,'30 days CF Table(RMB)'!$C$2)</f>
        <v>0</v>
      </c>
      <c r="AJ59" s="337">
        <f>SUMIFS(BS_RE33!$H$7:$H$874,BS_RE33!$S$7:$S$874,$AJ$2,BS_RE33!$N$7:$N$874,I59,BS_RE33!$P$7:$P$874,'30 days CF Table(RMB)'!G59,BS_RE33!$F$7:$F$874,'30 days CF Table(RMB)'!$C$2)</f>
        <v>0</v>
      </c>
      <c r="AK59" s="337">
        <f>SUMIFS(BS_RE33!$H$7:$H$874,BS_RE33!$S$7:$S$874,$AK$2,BS_RE33!$N$7:$N$874,I59,BS_RE33!$P$7:$P$874,'30 days CF Table(RMB)'!G59,BS_RE33!$F$7:$F$874,'30 days CF Table(RMB)'!$C$2)</f>
        <v>0</v>
      </c>
      <c r="AL59" s="337">
        <f>SUMIFS(BS_RE33!$H$7:$H$874,BS_RE33!$S$7:$S$874,$AL$2,BS_RE33!$N$7:$N$874,I59,BS_RE33!$P$7:$P$874,'30 days CF Table(RMB)'!G59,BS_RE33!$F$7:$F$874,'30 days CF Table(RMB)'!$C$2)</f>
        <v>0</v>
      </c>
      <c r="AM59" s="337">
        <f>SUMIFS(BS_RE33!$H$7:$H$874,BS_RE33!$S$7:$S$874,$AM$2,BS_RE33!$N$7:$N$874,I59,BS_RE33!$P$7:$P$874,'30 days CF Table(RMB)'!G59,BS_RE33!$F$7:$F$874,'30 days CF Table(RMB)'!$C$2)</f>
        <v>0</v>
      </c>
      <c r="AN59" s="337">
        <f>SUMIFS(BS_RE33!$H$7:$H$874,BS_RE33!$S$7:$S$874,$AN$2,BS_RE33!$N$7:$N$874,I59,BS_RE33!$P$7:$P$874,'30 days CF Table(RMB)'!G59,BS_RE33!$F$7:$F$874,'30 days CF Table(RMB)'!$C$2)</f>
        <v>0</v>
      </c>
      <c r="AO59" s="337">
        <f>SUMIFS(BS_RE33!$H$7:$H$874,BS_RE33!$S$7:$S$874,$AO$2,BS_RE33!$N$7:$N$874,I59,BS_RE33!$P$7:$P$874,'30 days CF Table(RMB)'!G59,BS_RE33!$F$7:$F$874,'30 days CF Table(RMB)'!$C$2)</f>
        <v>0</v>
      </c>
      <c r="AP59" s="338">
        <f>SUMIFS(BS_RE33!$H$7:$H$874,BS_RE33!$S$7:$S$874,$AP$2,BS_RE33!$N$7:$N$874,I59,BS_RE33!$P$7:$P$874,'30 days CF Table(RMB)'!G59,BS_RE33!$F$7:$F$874,'30 days CF Table(RMB)'!$C$2)</f>
        <v>0</v>
      </c>
      <c r="AR59" s="379">
        <f>SUMIFS(BS_RE33!$H$7:$H$874,BS_RE33!$S$7:$S$874,$AR$2,BS_RE33!$N$7:$N$874,I59,BS_RE33!$P$7:$P$874,'30 days CF Table(RMB)'!G59,BS_RE33!$F$7:$F$874,'30 days CF Table(RMB)'!$C$2)</f>
        <v>0</v>
      </c>
      <c r="AS59" s="379">
        <f>SUMIFS(BS_RE33!$H$7:$H$874,BS_RE33!$S$7:$S$874,$AS$2,BS_RE33!$N$7:$N$874,I59,BS_RE33!$P$7:$P$874,'30 days CF Table(RMB)'!G59,BS_RE33!$F$7:$F$874,'30 days CF Table(RMB)'!$C$2)</f>
        <v>0</v>
      </c>
      <c r="AT59" s="379">
        <f>SUMIFS(BS_RE33!$H$7:$H$874,BS_RE33!$S$7:$S$874,$AT$2,BS_RE33!$N$7:$N$874,I59,BS_RE33!$P$7:$P$874,'30 days CF Table(RMB)'!G59,BS_RE33!$F$7:$F$874,'30 days CF Table(RMB)'!$C$2)</f>
        <v>0</v>
      </c>
      <c r="AU59" s="379">
        <f>SUMIFS(BS_RE33!$H$7:$H$874,BS_RE33!$S$7:$S$874,$AU$2,BS_RE33!$N$7:$N$874,I59,BS_RE33!$P$7:$P$874,'30 days CF Table(RMB)'!G59,BS_RE33!$F$7:$F$874,'30 days CF Table(RMB)'!$C$2)</f>
        <v>0</v>
      </c>
      <c r="AV59" s="379">
        <f>SUMIFS(BS_RE33!$H$7:$H$874,BS_RE33!$S$7:$S$874,$AV$2,BS_RE33!$N$7:$N$874,I59,BS_RE33!$P$7:$P$874,'30 days CF Table(RMB)'!G59,BS_RE33!$F$7:$F$874,'30 days CF Table(RMB)'!$C$2)</f>
        <v>0</v>
      </c>
      <c r="AW59" s="379">
        <f>SUMIFS(BS_RE33!$H$7:$H$874,BS_RE33!$S$7:$S$874,$AW$2,BS_RE33!$N$7:$N$874,I59,BS_RE33!$P$7:$P$874,'30 days CF Table(RMB)'!G59,BS_RE33!$F$7:$F$874,'30 days CF Table(RMB)'!$C$2)</f>
        <v>0</v>
      </c>
      <c r="AX59" s="379">
        <f>SUMIFS(BS_RE33!$H$7:$H$874,BS_RE33!$S$7:$S$874,$AX$2,BS_RE33!$N$7:$N$874,I59,BS_RE33!$P$7:$P$874,'30 days CF Table(RMB)'!G59,BS_RE33!$F$7:$F$874,'30 days CF Table(RMB)'!$C$2)</f>
        <v>0</v>
      </c>
      <c r="AY59" s="379">
        <f>SUMIFS(BS_RE33!$H$7:$H$874,BS_RE33!$S$7:$S$874,$AY$2,BS_RE33!$N$7:$N$874,I59,BS_RE33!$P$7:$P$874,'30 days CF Table(RMB)'!G59,BS_RE33!$F$7:$F$874,'30 days CF Table(RMB)'!$C$2)</f>
        <v>0</v>
      </c>
      <c r="AZ59" s="379">
        <f>SUMIFS(BS_RE33!$H$7:$H$874,BS_RE33!$S$7:$S$874,$AZ$2,BS_RE33!$N$7:$N$874,I59,BS_RE33!$P$7:$P$874,'30 days CF Table(RMB)'!G59,BS_RE33!$F$7:$F$874,'30 days CF Table(RMB)'!$C$2)</f>
        <v>0</v>
      </c>
      <c r="BA59" s="379">
        <f>SUMIFS(BS_RE33!$H$7:$H$874,BS_RE33!$S$7:$S$874,$BA$2,BS_RE33!$N$7:$N$874,I59,BS_RE33!$P$7:$P$874,'30 days CF Table(RMB)'!G59,BS_RE33!$F$7:$F$874,'30 days CF Table(RMB)'!$C$2)</f>
        <v>0</v>
      </c>
      <c r="BB59" s="379">
        <f>SUMIFS(BS_RE33!$H$7:$H$874,BS_RE33!$S$7:$S$874,$BB$2,BS_RE33!$N$7:$N$874,I59,BS_RE33!$P$7:$P$874,'30 days CF Table(RMB)'!G59,BS_RE33!$F$7:$F$874,'30 days CF Table(RMB)'!$C$2)</f>
        <v>0</v>
      </c>
      <c r="BC59" s="379">
        <f>SUMIFS(BS_RE33!$H$7:$H$874,BS_RE33!$S$7:$S$874,$BC$2,BS_RE33!$N$7:$N$874,I59,BS_RE33!$P$7:$P$874,'30 days CF Table(RMB)'!G59,BS_RE33!$F$7:$F$874,'30 days CF Table(RMB)'!$C$2)</f>
        <v>0</v>
      </c>
      <c r="BD59" s="379">
        <f>SUMIFS(BS_RE33!$H$7:$H$874,BS_RE33!$S$7:$S$874,$BD$2,BS_RE33!$N$7:$N$874,I59,BS_RE33!$P$7:$P$874,'30 days CF Table(RMB)'!G59,BS_RE33!$F$7:$F$874,'30 days CF Table(RMB)'!$C$2)</f>
        <v>0</v>
      </c>
      <c r="BE59" s="379">
        <f>SUMIFS(BS_RE33!$H$7:$H$874,BS_RE33!$S$7:$S$874,$BE$2,BS_RE33!$N$7:$N$874,I59,BS_RE33!$P$7:$P$874,'30 days CF Table(RMB)'!G59,BS_RE33!$F$7:$F$874,'30 days CF Table(RMB)'!$C$2)</f>
        <v>0</v>
      </c>
      <c r="BF59" s="379">
        <f>SUMIFS(BS_RE33!$H$7:$H$874,BS_RE33!$S$7:$S$874,$BF$2,BS_RE33!$N$7:$N$874,I59,BS_RE33!$P$7:$P$874,'30 days CF Table(RMB)'!G59,BS_RE33!$F$7:$F$874,'30 days CF Table(RMB)'!$C$2)</f>
        <v>0</v>
      </c>
      <c r="BG59" s="379">
        <f>SUMIFS(BS_RE33!$H$7:$H$874,BS_RE33!$S$7:$S$874,$BG$2,BS_RE33!$N$7:$N$874,I59,BS_RE33!$P$7:$P$874,'30 days CF Table(RMB)'!G59,BS_RE33!$F$7:$F$874,'30 days CF Table(RMB)'!$C$2)</f>
        <v>0</v>
      </c>
      <c r="BH59" s="379">
        <f>SUMIFS(BS_RE33!$H$7:$H$874,BS_RE33!$S$7:$S$874,$BH$2,BS_RE33!$N$7:$N$874,I59,BS_RE33!$P$7:$P$874,'30 days CF Table(RMB)'!G59,BS_RE33!$F$7:$F$874,'30 days CF Table(RMB)'!$C$2)</f>
        <v>0</v>
      </c>
      <c r="BI59" s="379">
        <f>SUMIFS(BS_RE33!$H$7:$H$874,BS_RE33!$S$7:$S$874,$BI$2,BS_RE33!$N$7:$N$874,I59,BS_RE33!$P$7:$P$874,'30 days CF Table(RMB)'!G59,BS_RE33!$F$7:$F$874,'30 days CF Table(RMB)'!$C$2)</f>
        <v>0</v>
      </c>
      <c r="BJ59" s="379">
        <f>SUMIFS(BS_RE33!$H$7:$H$874,BS_RE33!$S$7:$S$874,$BJ$2,BS_RE33!$N$7:$N$874,I59,BS_RE33!$P$7:$P$874,'30 days CF Table(RMB)'!G59,BS_RE33!$F$7:$F$874,'30 days CF Table(RMB)'!$C$2)</f>
        <v>0</v>
      </c>
      <c r="BK59" s="379">
        <f>SUMIFS(BS_RE33!$H$7:$H$874,BS_RE33!$S$7:$S$874,$BK$2,BS_RE33!$N$7:$N$874,I59,BS_RE33!$P$7:$P$874,'30 days CF Table(RMB)'!G59,BS_RE33!$F$7:$F$874,'30 days CF Table(RMB)'!$C$2)</f>
        <v>0</v>
      </c>
    </row>
    <row r="60" spans="3:63" ht="20.25">
      <c r="C60" s="1027"/>
      <c r="D60" s="520" t="s">
        <v>771</v>
      </c>
      <c r="E60" s="108" t="s">
        <v>98</v>
      </c>
      <c r="F60" s="312"/>
      <c r="G60" s="392" t="s">
        <v>537</v>
      </c>
      <c r="H60" s="317">
        <v>1</v>
      </c>
      <c r="I60" s="315" t="s">
        <v>80</v>
      </c>
      <c r="J60" s="479">
        <f t="shared" si="2"/>
        <v>0</v>
      </c>
      <c r="K60" s="336">
        <f t="shared" si="3"/>
        <v>0</v>
      </c>
      <c r="L60" s="337">
        <f>SUMIFS(BS_RE33!$H$7:$H$874,BS_RE33!$S$7:$S$874,$L$2,BS_RE33!$N$7:$N$874,I60,BS_RE33!$P$7:$P$874,'30 days CF Table(RMB)'!G60,BS_RE33!$F$7:$F$874,'30 days CF Table(RMB)'!$C$2)</f>
        <v>0</v>
      </c>
      <c r="M60" s="337">
        <f>SUMIFS(BS_RE33!$H$7:$H$874,BS_RE33!$S$7:$S$874,$M$2,BS_RE33!$N$7:$N$874,I60,BS_RE33!$P$7:$P$874,'30 days CF Table(RMB)'!G60,BS_RE33!$F$7:$F$874,'30 days CF Table(RMB)'!$C$2)</f>
        <v>0</v>
      </c>
      <c r="N60" s="337">
        <f>SUMIFS(BS_RE33!$H$7:$H$874,BS_RE33!$S$7:$S$874,$N$2,BS_RE33!$N$7:$N$874,I60,BS_RE33!$P$7:$P$874,'30 days CF Table(RMB)'!G60,BS_RE33!$F$7:$F$874,'30 days CF Table(RMB)'!$C$2)</f>
        <v>0</v>
      </c>
      <c r="O60" s="337">
        <f>SUMIFS(BS_RE33!$H$7:$H$874,BS_RE33!$S$7:$S$874,$O$2,BS_RE33!$N$7:$N$874,I60,BS_RE33!$P$7:$P$874,'30 days CF Table(RMB)'!G60,BS_RE33!$F$7:$F$874,'30 days CF Table(RMB)'!$C$2)</f>
        <v>0</v>
      </c>
      <c r="P60" s="337">
        <f>SUMIFS(BS_RE33!$H$7:$H$874,BS_RE33!$S$7:$S$874,$P$2,BS_RE33!$N$7:$N$874,I60,BS_RE33!$P$7:$P$874,'30 days CF Table(RMB)'!G60,BS_RE33!$F$7:$F$874,'30 days CF Table(RMB)'!$C$2)</f>
        <v>0</v>
      </c>
      <c r="Q60" s="337">
        <f>SUMIFS(BS_RE33!$H$7:$H$874,BS_RE33!$S$7:$S$874,$Q$2,BS_RE33!$N$7:$N$874,I60,BS_RE33!$P$7:$P$874,'30 days CF Table(RMB)'!G60,BS_RE33!$F$7:$F$874,'30 days CF Table(RMB)'!$C$2)</f>
        <v>0</v>
      </c>
      <c r="R60" s="337">
        <f>SUMIFS(BS_RE33!$H$7:$H$874,BS_RE33!$S$7:$S$874,$R$2,BS_RE33!$N$7:$N$874,I60,BS_RE33!$P$7:$P$874,'30 days CF Table(RMB)'!G60,BS_RE33!$F$7:$F$874,'30 days CF Table(RMB)'!$C$2)</f>
        <v>0</v>
      </c>
      <c r="S60" s="337">
        <f>SUMIFS(BS_RE33!$H$7:$H$874,BS_RE33!$S$7:$S$874,$S$2,BS_RE33!$N$7:$N$874,I60,BS_RE33!$P$7:$P$874,'30 days CF Table(RMB)'!G60,BS_RE33!$F$7:$F$874,'30 days CF Table(RMB)'!$C$2)</f>
        <v>0</v>
      </c>
      <c r="T60" s="337">
        <f>SUMIFS(BS_RE33!$H$7:$H$874,BS_RE33!$S$7:$S$874,$T$2,BS_RE33!$N$7:$N$874,I60,BS_RE33!$P$7:$P$874,'30 days CF Table(RMB)'!G60,BS_RE33!$F$7:$F$874,'30 days CF Table(RMB)'!$C$2)</f>
        <v>0</v>
      </c>
      <c r="U60" s="337">
        <f>SUMIFS(BS_RE33!$H$7:$H$874,BS_RE33!$S$7:$S$874,$U$2,BS_RE33!$N$7:$N$874,I60,BS_RE33!$P$7:$P$874,'30 days CF Table(RMB)'!G60,BS_RE33!$F$7:$F$874,'30 days CF Table(RMB)'!$C$2)</f>
        <v>0</v>
      </c>
      <c r="V60" s="337">
        <f>SUMIFS(BS_RE33!$H$7:$H$874,BS_RE33!$S$7:$S$874,$V$2,BS_RE33!$N$7:$N$874,I60,BS_RE33!$P$7:$P$874,'30 days CF Table(RMB)'!G60,BS_RE33!$F$7:$F$874,'30 days CF Table(RMB)'!$C$2)</f>
        <v>0</v>
      </c>
      <c r="W60" s="337">
        <f>SUMIFS(BS_RE33!$H$7:$H$874,BS_RE33!$S$7:$S$874,$W$2,BS_RE33!$N$7:$N$874,I60,BS_RE33!$P$7:$P$874,'30 days CF Table(RMB)'!G60,BS_RE33!$F$7:$F$874,'30 days CF Table(RMB)'!$C$2)</f>
        <v>0</v>
      </c>
      <c r="X60" s="337">
        <f>SUMIFS(BS_RE33!$H$7:$H$874,BS_RE33!$S$7:$S$874,$X$2,BS_RE33!$N$7:$N$874,I60,BS_RE33!$P$7:$P$874,'30 days CF Table(RMB)'!G60,BS_RE33!$F$7:$F$874,'30 days CF Table(RMB)'!$C$2)</f>
        <v>0</v>
      </c>
      <c r="Y60" s="337">
        <f>SUMIFS(BS_RE33!$H$7:$H$874,BS_RE33!$S$7:$S$874,$Y$2,BS_RE33!$N$7:$N$874,I60,BS_RE33!$P$7:$P$874,'30 days CF Table(RMB)'!G60,BS_RE33!$F$7:$F$874,'30 days CF Table(RMB)'!$C$2)</f>
        <v>0</v>
      </c>
      <c r="Z60" s="337">
        <f>SUMIFS(BS_RE33!$H$7:$H$874,BS_RE33!$S$7:$S$874,$Z$2,BS_RE33!$N$7:$N$874,I60,BS_RE33!$P$7:$P$874,'30 days CF Table(RMB)'!G60,BS_RE33!$F$7:$F$874,'30 days CF Table(RMB)'!$C$2)</f>
        <v>0</v>
      </c>
      <c r="AA60" s="337">
        <f>SUMIFS(BS_RE33!$H$7:$H$874,BS_RE33!$S$7:$S$874,$AA$2,BS_RE33!$N$7:$N$874,I60,BS_RE33!$P$7:$P$874,'30 days CF Table(RMB)'!G60,BS_RE33!$F$7:$F$874,'30 days CF Table(RMB)'!$C$2)</f>
        <v>0</v>
      </c>
      <c r="AB60" s="337">
        <f>SUMIFS(BS_RE33!$H$7:$H$874,BS_RE33!$S$7:$S$874,$AB$2,BS_RE33!$N$7:$N$874,I60,BS_RE33!$P$7:$P$874,'30 days CF Table(RMB)'!G60,BS_RE33!$F$7:$F$874,'30 days CF Table(RMB)'!$C$2)</f>
        <v>0</v>
      </c>
      <c r="AC60" s="337">
        <f>SUMIFS(BS_RE33!$H$7:$H$874,BS_RE33!$S$7:$S$874,$AC$2,BS_RE33!$N$7:$N$874,I60,BS_RE33!$P$7:$P$874,'30 days CF Table(RMB)'!G60,BS_RE33!$F$7:$F$874,'30 days CF Table(RMB)'!$C$2)</f>
        <v>0</v>
      </c>
      <c r="AD60" s="337">
        <f>SUMIFS(BS_RE33!$H$7:$H$874,BS_RE33!$S$7:$S$874,$AD$2,BS_RE33!$N$7:$N$874,I60,BS_RE33!$P$7:$P$874,'30 days CF Table(RMB)'!G60,BS_RE33!$F$7:$F$874,'30 days CF Table(RMB)'!$C$2)</f>
        <v>0</v>
      </c>
      <c r="AE60" s="337">
        <f>SUMIFS(BS_RE33!$H$7:$H$874,BS_RE33!$S$7:$S$874,$AE$2,BS_RE33!$N$7:$N$874,I60,BS_RE33!$P$7:$P$874,'30 days CF Table(RMB)'!G60,BS_RE33!$F$7:$F$874,'30 days CF Table(RMB)'!$C$2)</f>
        <v>0</v>
      </c>
      <c r="AF60" s="337">
        <f>SUMIFS(BS_RE33!$H$7:$H$874,BS_RE33!$S$7:$S$874,$AF$2,BS_RE33!$N$7:$N$874,I60,BS_RE33!$P$7:$P$874,'30 days CF Table(RMB)'!G60,BS_RE33!$F$7:$F$874,'30 days CF Table(RMB)'!$C$2)</f>
        <v>0</v>
      </c>
      <c r="AG60" s="337">
        <f>SUMIFS(BS_RE33!$H$7:$H$874,BS_RE33!$S$7:$S$874,$AG$2,BS_RE33!$N$7:$N$874,I60,BS_RE33!$P$7:$P$874,'30 days CF Table(RMB)'!G60,BS_RE33!$F$7:$F$874,'30 days CF Table(RMB)'!$C$2)</f>
        <v>0</v>
      </c>
      <c r="AH60" s="337">
        <f>SUMIFS(BS_RE33!$H$7:$H$874,BS_RE33!$S$7:$S$874,$AH$2,BS_RE33!$N$7:$N$874,I60,BS_RE33!$P$7:$P$874,'30 days CF Table(RMB)'!G60,BS_RE33!$F$7:$F$874,'30 days CF Table(RMB)'!$C$2)</f>
        <v>0</v>
      </c>
      <c r="AI60" s="337">
        <f>SUMIFS(BS_RE33!$H$7:$H$874,BS_RE33!$S$7:$S$874,$AI$2,BS_RE33!$N$7:$N$874,I60,BS_RE33!$P$7:$P$874,'30 days CF Table(RMB)'!G60,BS_RE33!$F$7:$F$874,'30 days CF Table(RMB)'!$C$2)</f>
        <v>0</v>
      </c>
      <c r="AJ60" s="337">
        <f>SUMIFS(BS_RE33!$H$7:$H$874,BS_RE33!$S$7:$S$874,$AJ$2,BS_RE33!$N$7:$N$874,I60,BS_RE33!$P$7:$P$874,'30 days CF Table(RMB)'!G60,BS_RE33!$F$7:$F$874,'30 days CF Table(RMB)'!$C$2)</f>
        <v>0</v>
      </c>
      <c r="AK60" s="337">
        <f>SUMIFS(BS_RE33!$H$7:$H$874,BS_RE33!$S$7:$S$874,$AK$2,BS_RE33!$N$7:$N$874,I60,BS_RE33!$P$7:$P$874,'30 days CF Table(RMB)'!G60,BS_RE33!$F$7:$F$874,'30 days CF Table(RMB)'!$C$2)</f>
        <v>0</v>
      </c>
      <c r="AL60" s="337">
        <f>SUMIFS(BS_RE33!$H$7:$H$874,BS_RE33!$S$7:$S$874,$AL$2,BS_RE33!$N$7:$N$874,I60,BS_RE33!$P$7:$P$874,'30 days CF Table(RMB)'!G60,BS_RE33!$F$7:$F$874,'30 days CF Table(RMB)'!$C$2)</f>
        <v>0</v>
      </c>
      <c r="AM60" s="337">
        <f>SUMIFS(BS_RE33!$H$7:$H$874,BS_RE33!$S$7:$S$874,$AM$2,BS_RE33!$N$7:$N$874,I60,BS_RE33!$P$7:$P$874,'30 days CF Table(RMB)'!G60,BS_RE33!$F$7:$F$874,'30 days CF Table(RMB)'!$C$2)</f>
        <v>0</v>
      </c>
      <c r="AN60" s="337">
        <f>SUMIFS(BS_RE33!$H$7:$H$874,BS_RE33!$S$7:$S$874,$AN$2,BS_RE33!$N$7:$N$874,I60,BS_RE33!$P$7:$P$874,'30 days CF Table(RMB)'!G60,BS_RE33!$F$7:$F$874,'30 days CF Table(RMB)'!$C$2)</f>
        <v>0</v>
      </c>
      <c r="AO60" s="337">
        <f>SUMIFS(BS_RE33!$H$7:$H$874,BS_RE33!$S$7:$S$874,$AO$2,BS_RE33!$N$7:$N$874,I60,BS_RE33!$P$7:$P$874,'30 days CF Table(RMB)'!G60,BS_RE33!$F$7:$F$874,'30 days CF Table(RMB)'!$C$2)</f>
        <v>0</v>
      </c>
      <c r="AP60" s="338">
        <f>SUMIFS(BS_RE33!$H$7:$H$874,BS_RE33!$S$7:$S$874,$AP$2,BS_RE33!$N$7:$N$874,I60,BS_RE33!$P$7:$P$874,'30 days CF Table(RMB)'!G60,BS_RE33!$F$7:$F$874,'30 days CF Table(RMB)'!$C$2)</f>
        <v>0</v>
      </c>
      <c r="AR60" s="379">
        <f>SUMIFS(BS_RE33!$H$7:$H$874,BS_RE33!$S$7:$S$874,$AR$2,BS_RE33!$N$7:$N$874,I60,BS_RE33!$P$7:$P$874,'30 days CF Table(RMB)'!G60,BS_RE33!$F$7:$F$874,'30 days CF Table(RMB)'!$C$2)</f>
        <v>0</v>
      </c>
      <c r="AS60" s="379">
        <f>SUMIFS(BS_RE33!$H$7:$H$874,BS_RE33!$S$7:$S$874,$AS$2,BS_RE33!$N$7:$N$874,I60,BS_RE33!$P$7:$P$874,'30 days CF Table(RMB)'!G60,BS_RE33!$F$7:$F$874,'30 days CF Table(RMB)'!$C$2)</f>
        <v>0</v>
      </c>
      <c r="AT60" s="379">
        <f>SUMIFS(BS_RE33!$H$7:$H$874,BS_RE33!$S$7:$S$874,$AT$2,BS_RE33!$N$7:$N$874,I60,BS_RE33!$P$7:$P$874,'30 days CF Table(RMB)'!G60,BS_RE33!$F$7:$F$874,'30 days CF Table(RMB)'!$C$2)</f>
        <v>0</v>
      </c>
      <c r="AU60" s="379">
        <f>SUMIFS(BS_RE33!$H$7:$H$874,BS_RE33!$S$7:$S$874,$AU$2,BS_RE33!$N$7:$N$874,I60,BS_RE33!$P$7:$P$874,'30 days CF Table(RMB)'!G60,BS_RE33!$F$7:$F$874,'30 days CF Table(RMB)'!$C$2)</f>
        <v>0</v>
      </c>
      <c r="AV60" s="379">
        <f>SUMIFS(BS_RE33!$H$7:$H$874,BS_RE33!$S$7:$S$874,$AV$2,BS_RE33!$N$7:$N$874,I60,BS_RE33!$P$7:$P$874,'30 days CF Table(RMB)'!G60,BS_RE33!$F$7:$F$874,'30 days CF Table(RMB)'!$C$2)</f>
        <v>0</v>
      </c>
      <c r="AW60" s="379">
        <f>SUMIFS(BS_RE33!$H$7:$H$874,BS_RE33!$S$7:$S$874,$AW$2,BS_RE33!$N$7:$N$874,I60,BS_RE33!$P$7:$P$874,'30 days CF Table(RMB)'!G60,BS_RE33!$F$7:$F$874,'30 days CF Table(RMB)'!$C$2)</f>
        <v>0</v>
      </c>
      <c r="AX60" s="379">
        <f>SUMIFS(BS_RE33!$H$7:$H$874,BS_RE33!$S$7:$S$874,$AX$2,BS_RE33!$N$7:$N$874,I60,BS_RE33!$P$7:$P$874,'30 days CF Table(RMB)'!G60,BS_RE33!$F$7:$F$874,'30 days CF Table(RMB)'!$C$2)</f>
        <v>0</v>
      </c>
      <c r="AY60" s="379">
        <f>SUMIFS(BS_RE33!$H$7:$H$874,BS_RE33!$S$7:$S$874,$AY$2,BS_RE33!$N$7:$N$874,I60,BS_RE33!$P$7:$P$874,'30 days CF Table(RMB)'!G60,BS_RE33!$F$7:$F$874,'30 days CF Table(RMB)'!$C$2)</f>
        <v>0</v>
      </c>
      <c r="AZ60" s="379">
        <f>SUMIFS(BS_RE33!$H$7:$H$874,BS_RE33!$S$7:$S$874,$AZ$2,BS_RE33!$N$7:$N$874,I60,BS_RE33!$P$7:$P$874,'30 days CF Table(RMB)'!G60,BS_RE33!$F$7:$F$874,'30 days CF Table(RMB)'!$C$2)</f>
        <v>0</v>
      </c>
      <c r="BA60" s="379">
        <f>SUMIFS(BS_RE33!$H$7:$H$874,BS_RE33!$S$7:$S$874,$BA$2,BS_RE33!$N$7:$N$874,I60,BS_RE33!$P$7:$P$874,'30 days CF Table(RMB)'!G60,BS_RE33!$F$7:$F$874,'30 days CF Table(RMB)'!$C$2)</f>
        <v>0</v>
      </c>
      <c r="BB60" s="379">
        <f>SUMIFS(BS_RE33!$H$7:$H$874,BS_RE33!$S$7:$S$874,$BB$2,BS_RE33!$N$7:$N$874,I60,BS_RE33!$P$7:$P$874,'30 days CF Table(RMB)'!G60,BS_RE33!$F$7:$F$874,'30 days CF Table(RMB)'!$C$2)</f>
        <v>0</v>
      </c>
      <c r="BC60" s="379">
        <f>SUMIFS(BS_RE33!$H$7:$H$874,BS_RE33!$S$7:$S$874,$BC$2,BS_RE33!$N$7:$N$874,I60,BS_RE33!$P$7:$P$874,'30 days CF Table(RMB)'!G60,BS_RE33!$F$7:$F$874,'30 days CF Table(RMB)'!$C$2)</f>
        <v>0</v>
      </c>
      <c r="BD60" s="379">
        <f>SUMIFS(BS_RE33!$H$7:$H$874,BS_RE33!$S$7:$S$874,$BD$2,BS_RE33!$N$7:$N$874,I60,BS_RE33!$P$7:$P$874,'30 days CF Table(RMB)'!G60,BS_RE33!$F$7:$F$874,'30 days CF Table(RMB)'!$C$2)</f>
        <v>0</v>
      </c>
      <c r="BE60" s="379">
        <f>SUMIFS(BS_RE33!$H$7:$H$874,BS_RE33!$S$7:$S$874,$BE$2,BS_RE33!$N$7:$N$874,I60,BS_RE33!$P$7:$P$874,'30 days CF Table(RMB)'!G60,BS_RE33!$F$7:$F$874,'30 days CF Table(RMB)'!$C$2)</f>
        <v>0</v>
      </c>
      <c r="BF60" s="379">
        <f>SUMIFS(BS_RE33!$H$7:$H$874,BS_RE33!$S$7:$S$874,$BF$2,BS_RE33!$N$7:$N$874,I60,BS_RE33!$P$7:$P$874,'30 days CF Table(RMB)'!G60,BS_RE33!$F$7:$F$874,'30 days CF Table(RMB)'!$C$2)</f>
        <v>0</v>
      </c>
      <c r="BG60" s="379">
        <f>SUMIFS(BS_RE33!$H$7:$H$874,BS_RE33!$S$7:$S$874,$BG$2,BS_RE33!$N$7:$N$874,I60,BS_RE33!$P$7:$P$874,'30 days CF Table(RMB)'!G60,BS_RE33!$F$7:$F$874,'30 days CF Table(RMB)'!$C$2)</f>
        <v>0</v>
      </c>
      <c r="BH60" s="379">
        <f>SUMIFS(BS_RE33!$H$7:$H$874,BS_RE33!$S$7:$S$874,$BH$2,BS_RE33!$N$7:$N$874,I60,BS_RE33!$P$7:$P$874,'30 days CF Table(RMB)'!G60,BS_RE33!$F$7:$F$874,'30 days CF Table(RMB)'!$C$2)</f>
        <v>0</v>
      </c>
      <c r="BI60" s="379">
        <f>SUMIFS(BS_RE33!$H$7:$H$874,BS_RE33!$S$7:$S$874,$BI$2,BS_RE33!$N$7:$N$874,I60,BS_RE33!$P$7:$P$874,'30 days CF Table(RMB)'!G60,BS_RE33!$F$7:$F$874,'30 days CF Table(RMB)'!$C$2)</f>
        <v>0</v>
      </c>
      <c r="BJ60" s="379">
        <f>SUMIFS(BS_RE33!$H$7:$H$874,BS_RE33!$S$7:$S$874,$BJ$2,BS_RE33!$N$7:$N$874,I60,BS_RE33!$P$7:$P$874,'30 days CF Table(RMB)'!G60,BS_RE33!$F$7:$F$874,'30 days CF Table(RMB)'!$C$2)</f>
        <v>0</v>
      </c>
      <c r="BK60" s="379">
        <f>SUMIFS(BS_RE33!$H$7:$H$874,BS_RE33!$S$7:$S$874,$BK$2,BS_RE33!$N$7:$N$874,I60,BS_RE33!$P$7:$P$874,'30 days CF Table(RMB)'!G60,BS_RE33!$F$7:$F$874,'30 days CF Table(RMB)'!$C$2)</f>
        <v>0</v>
      </c>
    </row>
    <row r="61" spans="3:63" ht="20.25">
      <c r="C61" s="1027"/>
      <c r="D61" s="519" t="s">
        <v>773</v>
      </c>
      <c r="E61" s="105" t="s">
        <v>772</v>
      </c>
      <c r="F61" s="312"/>
      <c r="G61" s="392" t="s">
        <v>566</v>
      </c>
      <c r="H61" s="317">
        <v>1</v>
      </c>
      <c r="I61" s="315" t="s">
        <v>80</v>
      </c>
      <c r="J61" s="479">
        <f t="shared" si="2"/>
        <v>0</v>
      </c>
      <c r="K61" s="336">
        <f t="shared" si="3"/>
        <v>0</v>
      </c>
      <c r="L61" s="337">
        <f>SUMIFS(BS_RE33!$H$7:$H$874,BS_RE33!$S$7:$S$874,$L$2,BS_RE33!$N$7:$N$874,I61,BS_RE33!$P$7:$P$874,'30 days CF Table(RMB)'!G61,BS_RE33!$F$7:$F$874,'30 days CF Table(RMB)'!$C$2)</f>
        <v>0</v>
      </c>
      <c r="M61" s="337">
        <f>SUMIFS(BS_RE33!$H$7:$H$874,BS_RE33!$S$7:$S$874,$M$2,BS_RE33!$N$7:$N$874,I61,BS_RE33!$P$7:$P$874,'30 days CF Table(RMB)'!G61,BS_RE33!$F$7:$F$874,'30 days CF Table(RMB)'!$C$2)</f>
        <v>0</v>
      </c>
      <c r="N61" s="337">
        <f>SUMIFS(BS_RE33!$H$7:$H$874,BS_RE33!$S$7:$S$874,$N$2,BS_RE33!$N$7:$N$874,I61,BS_RE33!$P$7:$P$874,'30 days CF Table(RMB)'!G61,BS_RE33!$F$7:$F$874,'30 days CF Table(RMB)'!$C$2)</f>
        <v>0</v>
      </c>
      <c r="O61" s="337">
        <f>SUMIFS(BS_RE33!$H$7:$H$874,BS_RE33!$S$7:$S$874,$O$2,BS_RE33!$N$7:$N$874,I61,BS_RE33!$P$7:$P$874,'30 days CF Table(RMB)'!G61,BS_RE33!$F$7:$F$874,'30 days CF Table(RMB)'!$C$2)</f>
        <v>0</v>
      </c>
      <c r="P61" s="337">
        <f>SUMIFS(BS_RE33!$H$7:$H$874,BS_RE33!$S$7:$S$874,$P$2,BS_RE33!$N$7:$N$874,I61,BS_RE33!$P$7:$P$874,'30 days CF Table(RMB)'!G61,BS_RE33!$F$7:$F$874,'30 days CF Table(RMB)'!$C$2)</f>
        <v>0</v>
      </c>
      <c r="Q61" s="337">
        <f>SUMIFS(BS_RE33!$H$7:$H$874,BS_RE33!$S$7:$S$874,$Q$2,BS_RE33!$N$7:$N$874,I61,BS_RE33!$P$7:$P$874,'30 days CF Table(RMB)'!G61,BS_RE33!$F$7:$F$874,'30 days CF Table(RMB)'!$C$2)</f>
        <v>0</v>
      </c>
      <c r="R61" s="337">
        <f>SUMIFS(BS_RE33!$H$7:$H$874,BS_RE33!$S$7:$S$874,$R$2,BS_RE33!$N$7:$N$874,I61,BS_RE33!$P$7:$P$874,'30 days CF Table(RMB)'!G61,BS_RE33!$F$7:$F$874,'30 days CF Table(RMB)'!$C$2)</f>
        <v>0</v>
      </c>
      <c r="S61" s="337">
        <f>SUMIFS(BS_RE33!$H$7:$H$874,BS_RE33!$S$7:$S$874,$S$2,BS_RE33!$N$7:$N$874,I61,BS_RE33!$P$7:$P$874,'30 days CF Table(RMB)'!G61,BS_RE33!$F$7:$F$874,'30 days CF Table(RMB)'!$C$2)</f>
        <v>0</v>
      </c>
      <c r="T61" s="337">
        <f>SUMIFS(BS_RE33!$H$7:$H$874,BS_RE33!$S$7:$S$874,$T$2,BS_RE33!$N$7:$N$874,I61,BS_RE33!$P$7:$P$874,'30 days CF Table(RMB)'!G61,BS_RE33!$F$7:$F$874,'30 days CF Table(RMB)'!$C$2)</f>
        <v>0</v>
      </c>
      <c r="U61" s="337">
        <f>SUMIFS(BS_RE33!$H$7:$H$874,BS_RE33!$S$7:$S$874,$U$2,BS_RE33!$N$7:$N$874,I61,BS_RE33!$P$7:$P$874,'30 days CF Table(RMB)'!G61,BS_RE33!$F$7:$F$874,'30 days CF Table(RMB)'!$C$2)</f>
        <v>0</v>
      </c>
      <c r="V61" s="337">
        <f>SUMIFS(BS_RE33!$H$7:$H$874,BS_RE33!$S$7:$S$874,$V$2,BS_RE33!$N$7:$N$874,I61,BS_RE33!$P$7:$P$874,'30 days CF Table(RMB)'!G61,BS_RE33!$F$7:$F$874,'30 days CF Table(RMB)'!$C$2)</f>
        <v>0</v>
      </c>
      <c r="W61" s="337">
        <f>SUMIFS(BS_RE33!$H$7:$H$874,BS_RE33!$S$7:$S$874,$W$2,BS_RE33!$N$7:$N$874,I61,BS_RE33!$P$7:$P$874,'30 days CF Table(RMB)'!G61,BS_RE33!$F$7:$F$874,'30 days CF Table(RMB)'!$C$2)</f>
        <v>0</v>
      </c>
      <c r="X61" s="337">
        <f>SUMIFS(BS_RE33!$H$7:$H$874,BS_RE33!$S$7:$S$874,$X$2,BS_RE33!$N$7:$N$874,I61,BS_RE33!$P$7:$P$874,'30 days CF Table(RMB)'!G61,BS_RE33!$F$7:$F$874,'30 days CF Table(RMB)'!$C$2)</f>
        <v>0</v>
      </c>
      <c r="Y61" s="337">
        <f>SUMIFS(BS_RE33!$H$7:$H$874,BS_RE33!$S$7:$S$874,$Y$2,BS_RE33!$N$7:$N$874,I61,BS_RE33!$P$7:$P$874,'30 days CF Table(RMB)'!G61,BS_RE33!$F$7:$F$874,'30 days CF Table(RMB)'!$C$2)</f>
        <v>0</v>
      </c>
      <c r="Z61" s="337">
        <f>SUMIFS(BS_RE33!$H$7:$H$874,BS_RE33!$S$7:$S$874,$Z$2,BS_RE33!$N$7:$N$874,I61,BS_RE33!$P$7:$P$874,'30 days CF Table(RMB)'!G61,BS_RE33!$F$7:$F$874,'30 days CF Table(RMB)'!$C$2)</f>
        <v>0</v>
      </c>
      <c r="AA61" s="337">
        <f>SUMIFS(BS_RE33!$H$7:$H$874,BS_RE33!$S$7:$S$874,$AA$2,BS_RE33!$N$7:$N$874,I61,BS_RE33!$P$7:$P$874,'30 days CF Table(RMB)'!G61,BS_RE33!$F$7:$F$874,'30 days CF Table(RMB)'!$C$2)</f>
        <v>0</v>
      </c>
      <c r="AB61" s="337">
        <f>SUMIFS(BS_RE33!$H$7:$H$874,BS_RE33!$S$7:$S$874,$AB$2,BS_RE33!$N$7:$N$874,I61,BS_RE33!$P$7:$P$874,'30 days CF Table(RMB)'!G61,BS_RE33!$F$7:$F$874,'30 days CF Table(RMB)'!$C$2)</f>
        <v>0</v>
      </c>
      <c r="AC61" s="337">
        <f>SUMIFS(BS_RE33!$H$7:$H$874,BS_RE33!$S$7:$S$874,$AC$2,BS_RE33!$N$7:$N$874,I61,BS_RE33!$P$7:$P$874,'30 days CF Table(RMB)'!G61,BS_RE33!$F$7:$F$874,'30 days CF Table(RMB)'!$C$2)</f>
        <v>0</v>
      </c>
      <c r="AD61" s="337">
        <f>SUMIFS(BS_RE33!$H$7:$H$874,BS_RE33!$S$7:$S$874,$AD$2,BS_RE33!$N$7:$N$874,I61,BS_RE33!$P$7:$P$874,'30 days CF Table(RMB)'!G61,BS_RE33!$F$7:$F$874,'30 days CF Table(RMB)'!$C$2)</f>
        <v>0</v>
      </c>
      <c r="AE61" s="337">
        <f>SUMIFS(BS_RE33!$H$7:$H$874,BS_RE33!$S$7:$S$874,$AE$2,BS_RE33!$N$7:$N$874,I61,BS_RE33!$P$7:$P$874,'30 days CF Table(RMB)'!G61,BS_RE33!$F$7:$F$874,'30 days CF Table(RMB)'!$C$2)</f>
        <v>0</v>
      </c>
      <c r="AF61" s="337">
        <f>SUMIFS(BS_RE33!$H$7:$H$874,BS_RE33!$S$7:$S$874,$AF$2,BS_RE33!$N$7:$N$874,I61,BS_RE33!$P$7:$P$874,'30 days CF Table(RMB)'!G61,BS_RE33!$F$7:$F$874,'30 days CF Table(RMB)'!$C$2)</f>
        <v>0</v>
      </c>
      <c r="AG61" s="337">
        <f>SUMIFS(BS_RE33!$H$7:$H$874,BS_RE33!$S$7:$S$874,$AG$2,BS_RE33!$N$7:$N$874,I61,BS_RE33!$P$7:$P$874,'30 days CF Table(RMB)'!G61,BS_RE33!$F$7:$F$874,'30 days CF Table(RMB)'!$C$2)</f>
        <v>0</v>
      </c>
      <c r="AH61" s="337">
        <f>SUMIFS(BS_RE33!$H$7:$H$874,BS_RE33!$S$7:$S$874,$AH$2,BS_RE33!$N$7:$N$874,I61,BS_RE33!$P$7:$P$874,'30 days CF Table(RMB)'!G61,BS_RE33!$F$7:$F$874,'30 days CF Table(RMB)'!$C$2)</f>
        <v>0</v>
      </c>
      <c r="AI61" s="337">
        <f>SUMIFS(BS_RE33!$H$7:$H$874,BS_RE33!$S$7:$S$874,$AI$2,BS_RE33!$N$7:$N$874,I61,BS_RE33!$P$7:$P$874,'30 days CF Table(RMB)'!G61,BS_RE33!$F$7:$F$874,'30 days CF Table(RMB)'!$C$2)</f>
        <v>0</v>
      </c>
      <c r="AJ61" s="337">
        <f>SUMIFS(BS_RE33!$H$7:$H$874,BS_RE33!$S$7:$S$874,$AJ$2,BS_RE33!$N$7:$N$874,I61,BS_RE33!$P$7:$P$874,'30 days CF Table(RMB)'!G61,BS_RE33!$F$7:$F$874,'30 days CF Table(RMB)'!$C$2)</f>
        <v>0</v>
      </c>
      <c r="AK61" s="337">
        <f>SUMIFS(BS_RE33!$H$7:$H$874,BS_RE33!$S$7:$S$874,$AK$2,BS_RE33!$N$7:$N$874,I61,BS_RE33!$P$7:$P$874,'30 days CF Table(RMB)'!G61,BS_RE33!$F$7:$F$874,'30 days CF Table(RMB)'!$C$2)</f>
        <v>0</v>
      </c>
      <c r="AL61" s="337">
        <f>SUMIFS(BS_RE33!$H$7:$H$874,BS_RE33!$S$7:$S$874,$AL$2,BS_RE33!$N$7:$N$874,I61,BS_RE33!$P$7:$P$874,'30 days CF Table(RMB)'!G61,BS_RE33!$F$7:$F$874,'30 days CF Table(RMB)'!$C$2)</f>
        <v>0</v>
      </c>
      <c r="AM61" s="337">
        <f>SUMIFS(BS_RE33!$H$7:$H$874,BS_RE33!$S$7:$S$874,$AM$2,BS_RE33!$N$7:$N$874,I61,BS_RE33!$P$7:$P$874,'30 days CF Table(RMB)'!G61,BS_RE33!$F$7:$F$874,'30 days CF Table(RMB)'!$C$2)</f>
        <v>0</v>
      </c>
      <c r="AN61" s="337">
        <f>SUMIFS(BS_RE33!$H$7:$H$874,BS_RE33!$S$7:$S$874,$AN$2,BS_RE33!$N$7:$N$874,I61,BS_RE33!$P$7:$P$874,'30 days CF Table(RMB)'!G61,BS_RE33!$F$7:$F$874,'30 days CF Table(RMB)'!$C$2)</f>
        <v>0</v>
      </c>
      <c r="AO61" s="337">
        <f>SUMIFS(BS_RE33!$H$7:$H$874,BS_RE33!$S$7:$S$874,$AO$2,BS_RE33!$N$7:$N$874,I61,BS_RE33!$P$7:$P$874,'30 days CF Table(RMB)'!G61,BS_RE33!$F$7:$F$874,'30 days CF Table(RMB)'!$C$2)</f>
        <v>0</v>
      </c>
      <c r="AP61" s="338">
        <f>SUMIFS(BS_RE33!$H$7:$H$874,BS_RE33!$S$7:$S$874,$AP$2,BS_RE33!$N$7:$N$874,I61,BS_RE33!$P$7:$P$874,'30 days CF Table(RMB)'!G61,BS_RE33!$F$7:$F$874,'30 days CF Table(RMB)'!$C$2)</f>
        <v>0</v>
      </c>
      <c r="AR61" s="379">
        <f>SUMIFS(BS_RE33!$H$7:$H$874,BS_RE33!$S$7:$S$874,$AR$2,BS_RE33!$N$7:$N$874,I61,BS_RE33!$P$7:$P$874,'30 days CF Table(RMB)'!G61,BS_RE33!$F$7:$F$874,'30 days CF Table(RMB)'!$C$2)</f>
        <v>0</v>
      </c>
      <c r="AS61" s="379">
        <f>SUMIFS(BS_RE33!$H$7:$H$874,BS_RE33!$S$7:$S$874,$AS$2,BS_RE33!$N$7:$N$874,I61,BS_RE33!$P$7:$P$874,'30 days CF Table(RMB)'!G61,BS_RE33!$F$7:$F$874,'30 days CF Table(RMB)'!$C$2)</f>
        <v>0</v>
      </c>
      <c r="AT61" s="379">
        <f>SUMIFS(BS_RE33!$H$7:$H$874,BS_RE33!$S$7:$S$874,$AT$2,BS_RE33!$N$7:$N$874,I61,BS_RE33!$P$7:$P$874,'30 days CF Table(RMB)'!G61,BS_RE33!$F$7:$F$874,'30 days CF Table(RMB)'!$C$2)</f>
        <v>0</v>
      </c>
      <c r="AU61" s="379">
        <f>SUMIFS(BS_RE33!$H$7:$H$874,BS_RE33!$S$7:$S$874,$AU$2,BS_RE33!$N$7:$N$874,I61,BS_RE33!$P$7:$P$874,'30 days CF Table(RMB)'!G61,BS_RE33!$F$7:$F$874,'30 days CF Table(RMB)'!$C$2)</f>
        <v>0</v>
      </c>
      <c r="AV61" s="379">
        <f>SUMIFS(BS_RE33!$H$7:$H$874,BS_RE33!$S$7:$S$874,$AV$2,BS_RE33!$N$7:$N$874,I61,BS_RE33!$P$7:$P$874,'30 days CF Table(RMB)'!G61,BS_RE33!$F$7:$F$874,'30 days CF Table(RMB)'!$C$2)</f>
        <v>0</v>
      </c>
      <c r="AW61" s="379">
        <f>SUMIFS(BS_RE33!$H$7:$H$874,BS_RE33!$S$7:$S$874,$AW$2,BS_RE33!$N$7:$N$874,I61,BS_RE33!$P$7:$P$874,'30 days CF Table(RMB)'!G61,BS_RE33!$F$7:$F$874,'30 days CF Table(RMB)'!$C$2)</f>
        <v>0</v>
      </c>
      <c r="AX61" s="379">
        <f>SUMIFS(BS_RE33!$H$7:$H$874,BS_RE33!$S$7:$S$874,$AX$2,BS_RE33!$N$7:$N$874,I61,BS_RE33!$P$7:$P$874,'30 days CF Table(RMB)'!G61,BS_RE33!$F$7:$F$874,'30 days CF Table(RMB)'!$C$2)</f>
        <v>0</v>
      </c>
      <c r="AY61" s="379">
        <f>SUMIFS(BS_RE33!$H$7:$H$874,BS_RE33!$S$7:$S$874,$AY$2,BS_RE33!$N$7:$N$874,I61,BS_RE33!$P$7:$P$874,'30 days CF Table(RMB)'!G61,BS_RE33!$F$7:$F$874,'30 days CF Table(RMB)'!$C$2)</f>
        <v>0</v>
      </c>
      <c r="AZ61" s="379">
        <f>SUMIFS(BS_RE33!$H$7:$H$874,BS_RE33!$S$7:$S$874,$AZ$2,BS_RE33!$N$7:$N$874,I61,BS_RE33!$P$7:$P$874,'30 days CF Table(RMB)'!G61,BS_RE33!$F$7:$F$874,'30 days CF Table(RMB)'!$C$2)</f>
        <v>0</v>
      </c>
      <c r="BA61" s="379">
        <f>SUMIFS(BS_RE33!$H$7:$H$874,BS_RE33!$S$7:$S$874,$BA$2,BS_RE33!$N$7:$N$874,I61,BS_RE33!$P$7:$P$874,'30 days CF Table(RMB)'!G61,BS_RE33!$F$7:$F$874,'30 days CF Table(RMB)'!$C$2)</f>
        <v>0</v>
      </c>
      <c r="BB61" s="379">
        <f>SUMIFS(BS_RE33!$H$7:$H$874,BS_RE33!$S$7:$S$874,$BB$2,BS_RE33!$N$7:$N$874,I61,BS_RE33!$P$7:$P$874,'30 days CF Table(RMB)'!G61,BS_RE33!$F$7:$F$874,'30 days CF Table(RMB)'!$C$2)</f>
        <v>0</v>
      </c>
      <c r="BC61" s="379">
        <f>SUMIFS(BS_RE33!$H$7:$H$874,BS_RE33!$S$7:$S$874,$BC$2,BS_RE33!$N$7:$N$874,I61,BS_RE33!$P$7:$P$874,'30 days CF Table(RMB)'!G61,BS_RE33!$F$7:$F$874,'30 days CF Table(RMB)'!$C$2)</f>
        <v>0</v>
      </c>
      <c r="BD61" s="379">
        <f>SUMIFS(BS_RE33!$H$7:$H$874,BS_RE33!$S$7:$S$874,$BD$2,BS_RE33!$N$7:$N$874,I61,BS_RE33!$P$7:$P$874,'30 days CF Table(RMB)'!G61,BS_RE33!$F$7:$F$874,'30 days CF Table(RMB)'!$C$2)</f>
        <v>0</v>
      </c>
      <c r="BE61" s="379">
        <f>SUMIFS(BS_RE33!$H$7:$H$874,BS_RE33!$S$7:$S$874,$BE$2,BS_RE33!$N$7:$N$874,I61,BS_RE33!$P$7:$P$874,'30 days CF Table(RMB)'!G61,BS_RE33!$F$7:$F$874,'30 days CF Table(RMB)'!$C$2)</f>
        <v>0</v>
      </c>
      <c r="BF61" s="379">
        <f>SUMIFS(BS_RE33!$H$7:$H$874,BS_RE33!$S$7:$S$874,$BF$2,BS_RE33!$N$7:$N$874,I61,BS_RE33!$P$7:$P$874,'30 days CF Table(RMB)'!G61,BS_RE33!$F$7:$F$874,'30 days CF Table(RMB)'!$C$2)</f>
        <v>0</v>
      </c>
      <c r="BG61" s="379">
        <f>SUMIFS(BS_RE33!$H$7:$H$874,BS_RE33!$S$7:$S$874,$BG$2,BS_RE33!$N$7:$N$874,I61,BS_RE33!$P$7:$P$874,'30 days CF Table(RMB)'!G61,BS_RE33!$F$7:$F$874,'30 days CF Table(RMB)'!$C$2)</f>
        <v>0</v>
      </c>
      <c r="BH61" s="379">
        <f>SUMIFS(BS_RE33!$H$7:$H$874,BS_RE33!$S$7:$S$874,$BH$2,BS_RE33!$N$7:$N$874,I61,BS_RE33!$P$7:$P$874,'30 days CF Table(RMB)'!G61,BS_RE33!$F$7:$F$874,'30 days CF Table(RMB)'!$C$2)</f>
        <v>0</v>
      </c>
      <c r="BI61" s="379">
        <f>SUMIFS(BS_RE33!$H$7:$H$874,BS_RE33!$S$7:$S$874,$BI$2,BS_RE33!$N$7:$N$874,I61,BS_RE33!$P$7:$P$874,'30 days CF Table(RMB)'!G61,BS_RE33!$F$7:$F$874,'30 days CF Table(RMB)'!$C$2)</f>
        <v>0</v>
      </c>
      <c r="BJ61" s="379">
        <f>SUMIFS(BS_RE33!$H$7:$H$874,BS_RE33!$S$7:$S$874,$BJ$2,BS_RE33!$N$7:$N$874,I61,BS_RE33!$P$7:$P$874,'30 days CF Table(RMB)'!G61,BS_RE33!$F$7:$F$874,'30 days CF Table(RMB)'!$C$2)</f>
        <v>0</v>
      </c>
      <c r="BK61" s="379">
        <f>SUMIFS(BS_RE33!$H$7:$H$874,BS_RE33!$S$7:$S$874,$BK$2,BS_RE33!$N$7:$N$874,I61,BS_RE33!$P$7:$P$874,'30 days CF Table(RMB)'!G61,BS_RE33!$F$7:$F$874,'30 days CF Table(RMB)'!$C$2)</f>
        <v>0</v>
      </c>
    </row>
    <row r="62" spans="3:63">
      <c r="C62" s="1027"/>
      <c r="D62" s="1028" t="s">
        <v>774</v>
      </c>
      <c r="E62" s="108" t="s">
        <v>99</v>
      </c>
      <c r="F62" s="312"/>
      <c r="G62" s="392" t="s">
        <v>538</v>
      </c>
      <c r="H62" s="317">
        <v>0</v>
      </c>
      <c r="I62" s="315" t="s">
        <v>80</v>
      </c>
      <c r="J62" s="479">
        <f t="shared" si="2"/>
        <v>0</v>
      </c>
      <c r="K62" s="336">
        <f t="shared" si="3"/>
        <v>0</v>
      </c>
      <c r="L62" s="337">
        <f>SUMIFS(BS_RE33!$H$7:$H$874,BS_RE33!$S$7:$S$874,$L$2,BS_RE33!$N$7:$N$874,I62,BS_RE33!$P$7:$P$874,'30 days CF Table(RMB)'!G62,BS_RE33!$F$7:$F$874,'30 days CF Table(RMB)'!$C$2)</f>
        <v>0</v>
      </c>
      <c r="M62" s="337">
        <f>SUMIFS(BS_RE33!$H$7:$H$874,BS_RE33!$S$7:$S$874,$M$2,BS_RE33!$N$7:$N$874,I62,BS_RE33!$P$7:$P$874,'30 days CF Table(RMB)'!G62,BS_RE33!$F$7:$F$874,'30 days CF Table(RMB)'!$C$2)</f>
        <v>0</v>
      </c>
      <c r="N62" s="337">
        <f>SUMIFS(BS_RE33!$H$7:$H$874,BS_RE33!$S$7:$S$874,$N$2,BS_RE33!$N$7:$N$874,I62,BS_RE33!$P$7:$P$874,'30 days CF Table(RMB)'!G62,BS_RE33!$F$7:$F$874,'30 days CF Table(RMB)'!$C$2)</f>
        <v>0</v>
      </c>
      <c r="O62" s="337">
        <f>SUMIFS(BS_RE33!$H$7:$H$874,BS_RE33!$S$7:$S$874,$O$2,BS_RE33!$N$7:$N$874,I62,BS_RE33!$P$7:$P$874,'30 days CF Table(RMB)'!G62,BS_RE33!$F$7:$F$874,'30 days CF Table(RMB)'!$C$2)</f>
        <v>0</v>
      </c>
      <c r="P62" s="337">
        <f>SUMIFS(BS_RE33!$H$7:$H$874,BS_RE33!$S$7:$S$874,$P$2,BS_RE33!$N$7:$N$874,I62,BS_RE33!$P$7:$P$874,'30 days CF Table(RMB)'!G62,BS_RE33!$F$7:$F$874,'30 days CF Table(RMB)'!$C$2)</f>
        <v>0</v>
      </c>
      <c r="Q62" s="337">
        <f>SUMIFS(BS_RE33!$H$7:$H$874,BS_RE33!$S$7:$S$874,$Q$2,BS_RE33!$N$7:$N$874,I62,BS_RE33!$P$7:$P$874,'30 days CF Table(RMB)'!G62,BS_RE33!$F$7:$F$874,'30 days CF Table(RMB)'!$C$2)</f>
        <v>0</v>
      </c>
      <c r="R62" s="337">
        <f>SUMIFS(BS_RE33!$H$7:$H$874,BS_RE33!$S$7:$S$874,$R$2,BS_RE33!$N$7:$N$874,I62,BS_RE33!$P$7:$P$874,'30 days CF Table(RMB)'!G62,BS_RE33!$F$7:$F$874,'30 days CF Table(RMB)'!$C$2)</f>
        <v>0</v>
      </c>
      <c r="S62" s="337">
        <f>SUMIFS(BS_RE33!$H$7:$H$874,BS_RE33!$S$7:$S$874,$S$2,BS_RE33!$N$7:$N$874,I62,BS_RE33!$P$7:$P$874,'30 days CF Table(RMB)'!G62,BS_RE33!$F$7:$F$874,'30 days CF Table(RMB)'!$C$2)</f>
        <v>0</v>
      </c>
      <c r="T62" s="337">
        <f>SUMIFS(BS_RE33!$H$7:$H$874,BS_RE33!$S$7:$S$874,$T$2,BS_RE33!$N$7:$N$874,I62,BS_RE33!$P$7:$P$874,'30 days CF Table(RMB)'!G62,BS_RE33!$F$7:$F$874,'30 days CF Table(RMB)'!$C$2)</f>
        <v>0</v>
      </c>
      <c r="U62" s="337">
        <f>SUMIFS(BS_RE33!$H$7:$H$874,BS_RE33!$S$7:$S$874,$U$2,BS_RE33!$N$7:$N$874,I62,BS_RE33!$P$7:$P$874,'30 days CF Table(RMB)'!G62,BS_RE33!$F$7:$F$874,'30 days CF Table(RMB)'!$C$2)</f>
        <v>0</v>
      </c>
      <c r="V62" s="337">
        <f>SUMIFS(BS_RE33!$H$7:$H$874,BS_RE33!$S$7:$S$874,$V$2,BS_RE33!$N$7:$N$874,I62,BS_RE33!$P$7:$P$874,'30 days CF Table(RMB)'!G62,BS_RE33!$F$7:$F$874,'30 days CF Table(RMB)'!$C$2)</f>
        <v>0</v>
      </c>
      <c r="W62" s="337">
        <f>SUMIFS(BS_RE33!$H$7:$H$874,BS_RE33!$S$7:$S$874,$W$2,BS_RE33!$N$7:$N$874,I62,BS_RE33!$P$7:$P$874,'30 days CF Table(RMB)'!G62,BS_RE33!$F$7:$F$874,'30 days CF Table(RMB)'!$C$2)</f>
        <v>0</v>
      </c>
      <c r="X62" s="337">
        <f>SUMIFS(BS_RE33!$H$7:$H$874,BS_RE33!$S$7:$S$874,$X$2,BS_RE33!$N$7:$N$874,I62,BS_RE33!$P$7:$P$874,'30 days CF Table(RMB)'!G62,BS_RE33!$F$7:$F$874,'30 days CF Table(RMB)'!$C$2)</f>
        <v>0</v>
      </c>
      <c r="Y62" s="337">
        <f>SUMIFS(BS_RE33!$H$7:$H$874,BS_RE33!$S$7:$S$874,$Y$2,BS_RE33!$N$7:$N$874,I62,BS_RE33!$P$7:$P$874,'30 days CF Table(RMB)'!G62,BS_RE33!$F$7:$F$874,'30 days CF Table(RMB)'!$C$2)</f>
        <v>0</v>
      </c>
      <c r="Z62" s="337">
        <f>SUMIFS(BS_RE33!$H$7:$H$874,BS_RE33!$S$7:$S$874,$Z$2,BS_RE33!$N$7:$N$874,I62,BS_RE33!$P$7:$P$874,'30 days CF Table(RMB)'!G62,BS_RE33!$F$7:$F$874,'30 days CF Table(RMB)'!$C$2)</f>
        <v>0</v>
      </c>
      <c r="AA62" s="337">
        <f>SUMIFS(BS_RE33!$H$7:$H$874,BS_RE33!$S$7:$S$874,$AA$2,BS_RE33!$N$7:$N$874,I62,BS_RE33!$P$7:$P$874,'30 days CF Table(RMB)'!G62,BS_RE33!$F$7:$F$874,'30 days CF Table(RMB)'!$C$2)</f>
        <v>0</v>
      </c>
      <c r="AB62" s="337">
        <f>SUMIFS(BS_RE33!$H$7:$H$874,BS_RE33!$S$7:$S$874,$AB$2,BS_RE33!$N$7:$N$874,I62,BS_RE33!$P$7:$P$874,'30 days CF Table(RMB)'!G62,BS_RE33!$F$7:$F$874,'30 days CF Table(RMB)'!$C$2)</f>
        <v>0</v>
      </c>
      <c r="AC62" s="337">
        <f>SUMIFS(BS_RE33!$H$7:$H$874,BS_RE33!$S$7:$S$874,$AC$2,BS_RE33!$N$7:$N$874,I62,BS_RE33!$P$7:$P$874,'30 days CF Table(RMB)'!G62,BS_RE33!$F$7:$F$874,'30 days CF Table(RMB)'!$C$2)</f>
        <v>0</v>
      </c>
      <c r="AD62" s="337">
        <f>SUMIFS(BS_RE33!$H$7:$H$874,BS_RE33!$S$7:$S$874,$AD$2,BS_RE33!$N$7:$N$874,I62,BS_RE33!$P$7:$P$874,'30 days CF Table(RMB)'!G62,BS_RE33!$F$7:$F$874,'30 days CF Table(RMB)'!$C$2)</f>
        <v>0</v>
      </c>
      <c r="AE62" s="337">
        <f>SUMIFS(BS_RE33!$H$7:$H$874,BS_RE33!$S$7:$S$874,$AE$2,BS_RE33!$N$7:$N$874,I62,BS_RE33!$P$7:$P$874,'30 days CF Table(RMB)'!G62,BS_RE33!$F$7:$F$874,'30 days CF Table(RMB)'!$C$2)</f>
        <v>0</v>
      </c>
      <c r="AF62" s="337">
        <f>SUMIFS(BS_RE33!$H$7:$H$874,BS_RE33!$S$7:$S$874,$AF$2,BS_RE33!$N$7:$N$874,I62,BS_RE33!$P$7:$P$874,'30 days CF Table(RMB)'!G62,BS_RE33!$F$7:$F$874,'30 days CF Table(RMB)'!$C$2)</f>
        <v>0</v>
      </c>
      <c r="AG62" s="337">
        <f>SUMIFS(BS_RE33!$H$7:$H$874,BS_RE33!$S$7:$S$874,$AG$2,BS_RE33!$N$7:$N$874,I62,BS_RE33!$P$7:$P$874,'30 days CF Table(RMB)'!G62,BS_RE33!$F$7:$F$874,'30 days CF Table(RMB)'!$C$2)</f>
        <v>0</v>
      </c>
      <c r="AH62" s="337">
        <f>SUMIFS(BS_RE33!$H$7:$H$874,BS_RE33!$S$7:$S$874,$AH$2,BS_RE33!$N$7:$N$874,I62,BS_RE33!$P$7:$P$874,'30 days CF Table(RMB)'!G62,BS_RE33!$F$7:$F$874,'30 days CF Table(RMB)'!$C$2)</f>
        <v>0</v>
      </c>
      <c r="AI62" s="337">
        <f>SUMIFS(BS_RE33!$H$7:$H$874,BS_RE33!$S$7:$S$874,$AI$2,BS_RE33!$N$7:$N$874,I62,BS_RE33!$P$7:$P$874,'30 days CF Table(RMB)'!G62,BS_RE33!$F$7:$F$874,'30 days CF Table(RMB)'!$C$2)</f>
        <v>0</v>
      </c>
      <c r="AJ62" s="337">
        <f>SUMIFS(BS_RE33!$H$7:$H$874,BS_RE33!$S$7:$S$874,$AJ$2,BS_RE33!$N$7:$N$874,I62,BS_RE33!$P$7:$P$874,'30 days CF Table(RMB)'!G62,BS_RE33!$F$7:$F$874,'30 days CF Table(RMB)'!$C$2)</f>
        <v>0</v>
      </c>
      <c r="AK62" s="337">
        <f>SUMIFS(BS_RE33!$H$7:$H$874,BS_RE33!$S$7:$S$874,$AK$2,BS_RE33!$N$7:$N$874,I62,BS_RE33!$P$7:$P$874,'30 days CF Table(RMB)'!G62,BS_RE33!$F$7:$F$874,'30 days CF Table(RMB)'!$C$2)</f>
        <v>0</v>
      </c>
      <c r="AL62" s="337">
        <f>SUMIFS(BS_RE33!$H$7:$H$874,BS_RE33!$S$7:$S$874,$AL$2,BS_RE33!$N$7:$N$874,I62,BS_RE33!$P$7:$P$874,'30 days CF Table(RMB)'!G62,BS_RE33!$F$7:$F$874,'30 days CF Table(RMB)'!$C$2)</f>
        <v>0</v>
      </c>
      <c r="AM62" s="337">
        <f>SUMIFS(BS_RE33!$H$7:$H$874,BS_RE33!$S$7:$S$874,$AM$2,BS_RE33!$N$7:$N$874,I62,BS_RE33!$P$7:$P$874,'30 days CF Table(RMB)'!G62,BS_RE33!$F$7:$F$874,'30 days CF Table(RMB)'!$C$2)</f>
        <v>0</v>
      </c>
      <c r="AN62" s="337">
        <f>SUMIFS(BS_RE33!$H$7:$H$874,BS_RE33!$S$7:$S$874,$AN$2,BS_RE33!$N$7:$N$874,I62,BS_RE33!$P$7:$P$874,'30 days CF Table(RMB)'!G62,BS_RE33!$F$7:$F$874,'30 days CF Table(RMB)'!$C$2)</f>
        <v>0</v>
      </c>
      <c r="AO62" s="337">
        <f>SUMIFS(BS_RE33!$H$7:$H$874,BS_RE33!$S$7:$S$874,$AO$2,BS_RE33!$N$7:$N$874,I62,BS_RE33!$P$7:$P$874,'30 days CF Table(RMB)'!G62,BS_RE33!$F$7:$F$874,'30 days CF Table(RMB)'!$C$2)</f>
        <v>0</v>
      </c>
      <c r="AP62" s="338">
        <f>SUMIFS(BS_RE33!$H$7:$H$874,BS_RE33!$S$7:$S$874,$AP$2,BS_RE33!$N$7:$N$874,I62,BS_RE33!$P$7:$P$874,'30 days CF Table(RMB)'!G62,BS_RE33!$F$7:$F$874,'30 days CF Table(RMB)'!$C$2)</f>
        <v>0</v>
      </c>
      <c r="AR62" s="379">
        <f>SUMIFS(BS_RE33!$H$7:$H$874,BS_RE33!$S$7:$S$874,$AR$2,BS_RE33!$N$7:$N$874,I62,BS_RE33!$P$7:$P$874,'30 days CF Table(RMB)'!G62,BS_RE33!$F$7:$F$874,'30 days CF Table(RMB)'!$C$2)</f>
        <v>0</v>
      </c>
      <c r="AS62" s="379">
        <f>SUMIFS(BS_RE33!$H$7:$H$874,BS_RE33!$S$7:$S$874,$AS$2,BS_RE33!$N$7:$N$874,I62,BS_RE33!$P$7:$P$874,'30 days CF Table(RMB)'!G62,BS_RE33!$F$7:$F$874,'30 days CF Table(RMB)'!$C$2)</f>
        <v>0</v>
      </c>
      <c r="AT62" s="379">
        <f>SUMIFS(BS_RE33!$H$7:$H$874,BS_RE33!$S$7:$S$874,$AT$2,BS_RE33!$N$7:$N$874,I62,BS_RE33!$P$7:$P$874,'30 days CF Table(RMB)'!G62,BS_RE33!$F$7:$F$874,'30 days CF Table(RMB)'!$C$2)</f>
        <v>0</v>
      </c>
      <c r="AU62" s="379">
        <f>SUMIFS(BS_RE33!$H$7:$H$874,BS_RE33!$S$7:$S$874,$AU$2,BS_RE33!$N$7:$N$874,I62,BS_RE33!$P$7:$P$874,'30 days CF Table(RMB)'!G62,BS_RE33!$F$7:$F$874,'30 days CF Table(RMB)'!$C$2)</f>
        <v>0</v>
      </c>
      <c r="AV62" s="379">
        <f>SUMIFS(BS_RE33!$H$7:$H$874,BS_RE33!$S$7:$S$874,$AV$2,BS_RE33!$N$7:$N$874,I62,BS_RE33!$P$7:$P$874,'30 days CF Table(RMB)'!G62,BS_RE33!$F$7:$F$874,'30 days CF Table(RMB)'!$C$2)</f>
        <v>0</v>
      </c>
      <c r="AW62" s="379">
        <f>SUMIFS(BS_RE33!$H$7:$H$874,BS_RE33!$S$7:$S$874,$AW$2,BS_RE33!$N$7:$N$874,I62,BS_RE33!$P$7:$P$874,'30 days CF Table(RMB)'!G62,BS_RE33!$F$7:$F$874,'30 days CF Table(RMB)'!$C$2)</f>
        <v>0</v>
      </c>
      <c r="AX62" s="379">
        <f>SUMIFS(BS_RE33!$H$7:$H$874,BS_RE33!$S$7:$S$874,$AX$2,BS_RE33!$N$7:$N$874,I62,BS_RE33!$P$7:$P$874,'30 days CF Table(RMB)'!G62,BS_RE33!$F$7:$F$874,'30 days CF Table(RMB)'!$C$2)</f>
        <v>0</v>
      </c>
      <c r="AY62" s="379">
        <f>SUMIFS(BS_RE33!$H$7:$H$874,BS_RE33!$S$7:$S$874,$AY$2,BS_RE33!$N$7:$N$874,I62,BS_RE33!$P$7:$P$874,'30 days CF Table(RMB)'!G62,BS_RE33!$F$7:$F$874,'30 days CF Table(RMB)'!$C$2)</f>
        <v>0</v>
      </c>
      <c r="AZ62" s="379">
        <f>SUMIFS(BS_RE33!$H$7:$H$874,BS_RE33!$S$7:$S$874,$AZ$2,BS_RE33!$N$7:$N$874,I62,BS_RE33!$P$7:$P$874,'30 days CF Table(RMB)'!G62,BS_RE33!$F$7:$F$874,'30 days CF Table(RMB)'!$C$2)</f>
        <v>0</v>
      </c>
      <c r="BA62" s="379">
        <f>SUMIFS(BS_RE33!$H$7:$H$874,BS_RE33!$S$7:$S$874,$BA$2,BS_RE33!$N$7:$N$874,I62,BS_RE33!$P$7:$P$874,'30 days CF Table(RMB)'!G62,BS_RE33!$F$7:$F$874,'30 days CF Table(RMB)'!$C$2)</f>
        <v>0</v>
      </c>
      <c r="BB62" s="379">
        <f>SUMIFS(BS_RE33!$H$7:$H$874,BS_RE33!$S$7:$S$874,$BB$2,BS_RE33!$N$7:$N$874,I62,BS_RE33!$P$7:$P$874,'30 days CF Table(RMB)'!G62,BS_RE33!$F$7:$F$874,'30 days CF Table(RMB)'!$C$2)</f>
        <v>0</v>
      </c>
      <c r="BC62" s="379">
        <f>SUMIFS(BS_RE33!$H$7:$H$874,BS_RE33!$S$7:$S$874,$BC$2,BS_RE33!$N$7:$N$874,I62,BS_RE33!$P$7:$P$874,'30 days CF Table(RMB)'!G62,BS_RE33!$F$7:$F$874,'30 days CF Table(RMB)'!$C$2)</f>
        <v>0</v>
      </c>
      <c r="BD62" s="379">
        <f>SUMIFS(BS_RE33!$H$7:$H$874,BS_RE33!$S$7:$S$874,$BD$2,BS_RE33!$N$7:$N$874,I62,BS_RE33!$P$7:$P$874,'30 days CF Table(RMB)'!G62,BS_RE33!$F$7:$F$874,'30 days CF Table(RMB)'!$C$2)</f>
        <v>0</v>
      </c>
      <c r="BE62" s="379">
        <f>SUMIFS(BS_RE33!$H$7:$H$874,BS_RE33!$S$7:$S$874,$BE$2,BS_RE33!$N$7:$N$874,I62,BS_RE33!$P$7:$P$874,'30 days CF Table(RMB)'!G62,BS_RE33!$F$7:$F$874,'30 days CF Table(RMB)'!$C$2)</f>
        <v>0</v>
      </c>
      <c r="BF62" s="379">
        <f>SUMIFS(BS_RE33!$H$7:$H$874,BS_RE33!$S$7:$S$874,$BF$2,BS_RE33!$N$7:$N$874,I62,BS_RE33!$P$7:$P$874,'30 days CF Table(RMB)'!G62,BS_RE33!$F$7:$F$874,'30 days CF Table(RMB)'!$C$2)</f>
        <v>0</v>
      </c>
      <c r="BG62" s="379">
        <f>SUMIFS(BS_RE33!$H$7:$H$874,BS_RE33!$S$7:$S$874,$BG$2,BS_RE33!$N$7:$N$874,I62,BS_RE33!$P$7:$P$874,'30 days CF Table(RMB)'!G62,BS_RE33!$F$7:$F$874,'30 days CF Table(RMB)'!$C$2)</f>
        <v>0</v>
      </c>
      <c r="BH62" s="379">
        <f>SUMIFS(BS_RE33!$H$7:$H$874,BS_RE33!$S$7:$S$874,$BH$2,BS_RE33!$N$7:$N$874,I62,BS_RE33!$P$7:$P$874,'30 days CF Table(RMB)'!G62,BS_RE33!$F$7:$F$874,'30 days CF Table(RMB)'!$C$2)</f>
        <v>0</v>
      </c>
      <c r="BI62" s="379">
        <f>SUMIFS(BS_RE33!$H$7:$H$874,BS_RE33!$S$7:$S$874,$BI$2,BS_RE33!$N$7:$N$874,I62,BS_RE33!$P$7:$P$874,'30 days CF Table(RMB)'!G62,BS_RE33!$F$7:$F$874,'30 days CF Table(RMB)'!$C$2)</f>
        <v>0</v>
      </c>
      <c r="BJ62" s="379">
        <f>SUMIFS(BS_RE33!$H$7:$H$874,BS_RE33!$S$7:$S$874,$BJ$2,BS_RE33!$N$7:$N$874,I62,BS_RE33!$P$7:$P$874,'30 days CF Table(RMB)'!G62,BS_RE33!$F$7:$F$874,'30 days CF Table(RMB)'!$C$2)</f>
        <v>0</v>
      </c>
      <c r="BK62" s="379">
        <f>SUMIFS(BS_RE33!$H$7:$H$874,BS_RE33!$S$7:$S$874,$BK$2,BS_RE33!$N$7:$N$874,I62,BS_RE33!$P$7:$P$874,'30 days CF Table(RMB)'!G62,BS_RE33!$F$7:$F$874,'30 days CF Table(RMB)'!$C$2)</f>
        <v>0</v>
      </c>
    </row>
    <row r="63" spans="3:63">
      <c r="C63" s="1027"/>
      <c r="D63" s="1028"/>
      <c r="E63" s="108" t="s">
        <v>100</v>
      </c>
      <c r="F63" s="312"/>
      <c r="G63" s="392" t="s">
        <v>539</v>
      </c>
      <c r="H63" s="317">
        <v>0</v>
      </c>
      <c r="I63" s="315" t="s">
        <v>80</v>
      </c>
      <c r="J63" s="479">
        <f t="shared" si="2"/>
        <v>0</v>
      </c>
      <c r="K63" s="336">
        <f t="shared" si="3"/>
        <v>0</v>
      </c>
      <c r="L63" s="337">
        <f>SUMIFS(BS_RE33!$H$7:$H$874,BS_RE33!$S$7:$S$874,$L$2,BS_RE33!$N$7:$N$874,I63,BS_RE33!$P$7:$P$874,'30 days CF Table(RMB)'!G63,BS_RE33!$F$7:$F$874,'30 days CF Table(RMB)'!$C$2)</f>
        <v>0</v>
      </c>
      <c r="M63" s="337">
        <f>SUMIFS(BS_RE33!$H$7:$H$874,BS_RE33!$S$7:$S$874,$M$2,BS_RE33!$N$7:$N$874,I63,BS_RE33!$P$7:$P$874,'30 days CF Table(RMB)'!G63,BS_RE33!$F$7:$F$874,'30 days CF Table(RMB)'!$C$2)</f>
        <v>0</v>
      </c>
      <c r="N63" s="337">
        <f>SUMIFS(BS_RE33!$H$7:$H$874,BS_RE33!$S$7:$S$874,$N$2,BS_RE33!$N$7:$N$874,I63,BS_RE33!$P$7:$P$874,'30 days CF Table(RMB)'!G63,BS_RE33!$F$7:$F$874,'30 days CF Table(RMB)'!$C$2)</f>
        <v>0</v>
      </c>
      <c r="O63" s="337">
        <f>SUMIFS(BS_RE33!$H$7:$H$874,BS_RE33!$S$7:$S$874,$O$2,BS_RE33!$N$7:$N$874,I63,BS_RE33!$P$7:$P$874,'30 days CF Table(RMB)'!G63,BS_RE33!$F$7:$F$874,'30 days CF Table(RMB)'!$C$2)</f>
        <v>0</v>
      </c>
      <c r="P63" s="337">
        <f>SUMIFS(BS_RE33!$H$7:$H$874,BS_RE33!$S$7:$S$874,$P$2,BS_RE33!$N$7:$N$874,I63,BS_RE33!$P$7:$P$874,'30 days CF Table(RMB)'!G63,BS_RE33!$F$7:$F$874,'30 days CF Table(RMB)'!$C$2)</f>
        <v>0</v>
      </c>
      <c r="Q63" s="337">
        <f>SUMIFS(BS_RE33!$H$7:$H$874,BS_RE33!$S$7:$S$874,$Q$2,BS_RE33!$N$7:$N$874,I63,BS_RE33!$P$7:$P$874,'30 days CF Table(RMB)'!G63,BS_RE33!$F$7:$F$874,'30 days CF Table(RMB)'!$C$2)</f>
        <v>0</v>
      </c>
      <c r="R63" s="337">
        <f>SUMIFS(BS_RE33!$H$7:$H$874,BS_RE33!$S$7:$S$874,$R$2,BS_RE33!$N$7:$N$874,I63,BS_RE33!$P$7:$P$874,'30 days CF Table(RMB)'!G63,BS_RE33!$F$7:$F$874,'30 days CF Table(RMB)'!$C$2)</f>
        <v>0</v>
      </c>
      <c r="S63" s="337">
        <f>SUMIFS(BS_RE33!$H$7:$H$874,BS_RE33!$S$7:$S$874,$S$2,BS_RE33!$N$7:$N$874,I63,BS_RE33!$P$7:$P$874,'30 days CF Table(RMB)'!G63,BS_RE33!$F$7:$F$874,'30 days CF Table(RMB)'!$C$2)</f>
        <v>0</v>
      </c>
      <c r="T63" s="337">
        <f>SUMIFS(BS_RE33!$H$7:$H$874,BS_RE33!$S$7:$S$874,$T$2,BS_RE33!$N$7:$N$874,I63,BS_RE33!$P$7:$P$874,'30 days CF Table(RMB)'!G63,BS_RE33!$F$7:$F$874,'30 days CF Table(RMB)'!$C$2)</f>
        <v>0</v>
      </c>
      <c r="U63" s="337">
        <f>SUMIFS(BS_RE33!$H$7:$H$874,BS_RE33!$S$7:$S$874,$U$2,BS_RE33!$N$7:$N$874,I63,BS_RE33!$P$7:$P$874,'30 days CF Table(RMB)'!G63,BS_RE33!$F$7:$F$874,'30 days CF Table(RMB)'!$C$2)</f>
        <v>0</v>
      </c>
      <c r="V63" s="337">
        <f>SUMIFS(BS_RE33!$H$7:$H$874,BS_RE33!$S$7:$S$874,$V$2,BS_RE33!$N$7:$N$874,I63,BS_RE33!$P$7:$P$874,'30 days CF Table(RMB)'!G63,BS_RE33!$F$7:$F$874,'30 days CF Table(RMB)'!$C$2)</f>
        <v>0</v>
      </c>
      <c r="W63" s="337">
        <f>SUMIFS(BS_RE33!$H$7:$H$874,BS_RE33!$S$7:$S$874,$W$2,BS_RE33!$N$7:$N$874,I63,BS_RE33!$P$7:$P$874,'30 days CF Table(RMB)'!G63,BS_RE33!$F$7:$F$874,'30 days CF Table(RMB)'!$C$2)</f>
        <v>0</v>
      </c>
      <c r="X63" s="337">
        <f>SUMIFS(BS_RE33!$H$7:$H$874,BS_RE33!$S$7:$S$874,$X$2,BS_RE33!$N$7:$N$874,I63,BS_RE33!$P$7:$P$874,'30 days CF Table(RMB)'!G63,BS_RE33!$F$7:$F$874,'30 days CF Table(RMB)'!$C$2)</f>
        <v>0</v>
      </c>
      <c r="Y63" s="337">
        <f>SUMIFS(BS_RE33!$H$7:$H$874,BS_RE33!$S$7:$S$874,$Y$2,BS_RE33!$N$7:$N$874,I63,BS_RE33!$P$7:$P$874,'30 days CF Table(RMB)'!G63,BS_RE33!$F$7:$F$874,'30 days CF Table(RMB)'!$C$2)</f>
        <v>0</v>
      </c>
      <c r="Z63" s="337">
        <f>SUMIFS(BS_RE33!$H$7:$H$874,BS_RE33!$S$7:$S$874,$Z$2,BS_RE33!$N$7:$N$874,I63,BS_RE33!$P$7:$P$874,'30 days CF Table(RMB)'!G63,BS_RE33!$F$7:$F$874,'30 days CF Table(RMB)'!$C$2)</f>
        <v>0</v>
      </c>
      <c r="AA63" s="337">
        <f>SUMIFS(BS_RE33!$H$7:$H$874,BS_RE33!$S$7:$S$874,$AA$2,BS_RE33!$N$7:$N$874,I63,BS_RE33!$P$7:$P$874,'30 days CF Table(RMB)'!G63,BS_RE33!$F$7:$F$874,'30 days CF Table(RMB)'!$C$2)</f>
        <v>0</v>
      </c>
      <c r="AB63" s="337">
        <f>SUMIFS(BS_RE33!$H$7:$H$874,BS_RE33!$S$7:$S$874,$AB$2,BS_RE33!$N$7:$N$874,I63,BS_RE33!$P$7:$P$874,'30 days CF Table(RMB)'!G63,BS_RE33!$F$7:$F$874,'30 days CF Table(RMB)'!$C$2)</f>
        <v>0</v>
      </c>
      <c r="AC63" s="337">
        <f>SUMIFS(BS_RE33!$H$7:$H$874,BS_RE33!$S$7:$S$874,$AC$2,BS_RE33!$N$7:$N$874,I63,BS_RE33!$P$7:$P$874,'30 days CF Table(RMB)'!G63,BS_RE33!$F$7:$F$874,'30 days CF Table(RMB)'!$C$2)</f>
        <v>0</v>
      </c>
      <c r="AD63" s="337">
        <f>SUMIFS(BS_RE33!$H$7:$H$874,BS_RE33!$S$7:$S$874,$AD$2,BS_RE33!$N$7:$N$874,I63,BS_RE33!$P$7:$P$874,'30 days CF Table(RMB)'!G63,BS_RE33!$F$7:$F$874,'30 days CF Table(RMB)'!$C$2)</f>
        <v>0</v>
      </c>
      <c r="AE63" s="337">
        <f>SUMIFS(BS_RE33!$H$7:$H$874,BS_RE33!$S$7:$S$874,$AE$2,BS_RE33!$N$7:$N$874,I63,BS_RE33!$P$7:$P$874,'30 days CF Table(RMB)'!G63,BS_RE33!$F$7:$F$874,'30 days CF Table(RMB)'!$C$2)</f>
        <v>0</v>
      </c>
      <c r="AF63" s="337">
        <f>SUMIFS(BS_RE33!$H$7:$H$874,BS_RE33!$S$7:$S$874,$AF$2,BS_RE33!$N$7:$N$874,I63,BS_RE33!$P$7:$P$874,'30 days CF Table(RMB)'!G63,BS_RE33!$F$7:$F$874,'30 days CF Table(RMB)'!$C$2)</f>
        <v>0</v>
      </c>
      <c r="AG63" s="337">
        <f>SUMIFS(BS_RE33!$H$7:$H$874,BS_RE33!$S$7:$S$874,$AG$2,BS_RE33!$N$7:$N$874,I63,BS_RE33!$P$7:$P$874,'30 days CF Table(RMB)'!G63,BS_RE33!$F$7:$F$874,'30 days CF Table(RMB)'!$C$2)</f>
        <v>0</v>
      </c>
      <c r="AH63" s="337">
        <f>SUMIFS(BS_RE33!$H$7:$H$874,BS_RE33!$S$7:$S$874,$AH$2,BS_RE33!$N$7:$N$874,I63,BS_RE33!$P$7:$P$874,'30 days CF Table(RMB)'!G63,BS_RE33!$F$7:$F$874,'30 days CF Table(RMB)'!$C$2)</f>
        <v>0</v>
      </c>
      <c r="AI63" s="337">
        <f>SUMIFS(BS_RE33!$H$7:$H$874,BS_RE33!$S$7:$S$874,$AI$2,BS_RE33!$N$7:$N$874,I63,BS_RE33!$P$7:$P$874,'30 days CF Table(RMB)'!G63,BS_RE33!$F$7:$F$874,'30 days CF Table(RMB)'!$C$2)</f>
        <v>0</v>
      </c>
      <c r="AJ63" s="337">
        <f>SUMIFS(BS_RE33!$H$7:$H$874,BS_RE33!$S$7:$S$874,$AJ$2,BS_RE33!$N$7:$N$874,I63,BS_RE33!$P$7:$P$874,'30 days CF Table(RMB)'!G63,BS_RE33!$F$7:$F$874,'30 days CF Table(RMB)'!$C$2)</f>
        <v>0</v>
      </c>
      <c r="AK63" s="337">
        <f>SUMIFS(BS_RE33!$H$7:$H$874,BS_RE33!$S$7:$S$874,$AK$2,BS_RE33!$N$7:$N$874,I63,BS_RE33!$P$7:$P$874,'30 days CF Table(RMB)'!G63,BS_RE33!$F$7:$F$874,'30 days CF Table(RMB)'!$C$2)</f>
        <v>0</v>
      </c>
      <c r="AL63" s="337">
        <f>SUMIFS(BS_RE33!$H$7:$H$874,BS_RE33!$S$7:$S$874,$AL$2,BS_RE33!$N$7:$N$874,I63,BS_RE33!$P$7:$P$874,'30 days CF Table(RMB)'!G63,BS_RE33!$F$7:$F$874,'30 days CF Table(RMB)'!$C$2)</f>
        <v>0</v>
      </c>
      <c r="AM63" s="337">
        <f>SUMIFS(BS_RE33!$H$7:$H$874,BS_RE33!$S$7:$S$874,$AM$2,BS_RE33!$N$7:$N$874,I63,BS_RE33!$P$7:$P$874,'30 days CF Table(RMB)'!G63,BS_RE33!$F$7:$F$874,'30 days CF Table(RMB)'!$C$2)</f>
        <v>0</v>
      </c>
      <c r="AN63" s="337">
        <f>SUMIFS(BS_RE33!$H$7:$H$874,BS_RE33!$S$7:$S$874,$AN$2,BS_RE33!$N$7:$N$874,I63,BS_RE33!$P$7:$P$874,'30 days CF Table(RMB)'!G63,BS_RE33!$F$7:$F$874,'30 days CF Table(RMB)'!$C$2)</f>
        <v>0</v>
      </c>
      <c r="AO63" s="337">
        <f>SUMIFS(BS_RE33!$H$7:$H$874,BS_RE33!$S$7:$S$874,$AO$2,BS_RE33!$N$7:$N$874,I63,BS_RE33!$P$7:$P$874,'30 days CF Table(RMB)'!G63,BS_RE33!$F$7:$F$874,'30 days CF Table(RMB)'!$C$2)</f>
        <v>0</v>
      </c>
      <c r="AP63" s="338">
        <f>SUMIFS(BS_RE33!$H$7:$H$874,BS_RE33!$S$7:$S$874,$AP$2,BS_RE33!$N$7:$N$874,I63,BS_RE33!$P$7:$P$874,'30 days CF Table(RMB)'!G63,BS_RE33!$F$7:$F$874,'30 days CF Table(RMB)'!$C$2)</f>
        <v>0</v>
      </c>
      <c r="AR63" s="379">
        <f>SUMIFS(BS_RE33!$H$7:$H$874,BS_RE33!$S$7:$S$874,$AR$2,BS_RE33!$N$7:$N$874,I63,BS_RE33!$P$7:$P$874,'30 days CF Table(RMB)'!G63,BS_RE33!$F$7:$F$874,'30 days CF Table(RMB)'!$C$2)</f>
        <v>0</v>
      </c>
      <c r="AS63" s="379">
        <f>SUMIFS(BS_RE33!$H$7:$H$874,BS_RE33!$S$7:$S$874,$AS$2,BS_RE33!$N$7:$N$874,I63,BS_RE33!$P$7:$P$874,'30 days CF Table(RMB)'!G63,BS_RE33!$F$7:$F$874,'30 days CF Table(RMB)'!$C$2)</f>
        <v>0</v>
      </c>
      <c r="AT63" s="379">
        <f>SUMIFS(BS_RE33!$H$7:$H$874,BS_RE33!$S$7:$S$874,$AT$2,BS_RE33!$N$7:$N$874,I63,BS_RE33!$P$7:$P$874,'30 days CF Table(RMB)'!G63,BS_RE33!$F$7:$F$874,'30 days CF Table(RMB)'!$C$2)</f>
        <v>0</v>
      </c>
      <c r="AU63" s="379">
        <f>SUMIFS(BS_RE33!$H$7:$H$874,BS_RE33!$S$7:$S$874,$AU$2,BS_RE33!$N$7:$N$874,I63,BS_RE33!$P$7:$P$874,'30 days CF Table(RMB)'!G63,BS_RE33!$F$7:$F$874,'30 days CF Table(RMB)'!$C$2)</f>
        <v>0</v>
      </c>
      <c r="AV63" s="379">
        <f>SUMIFS(BS_RE33!$H$7:$H$874,BS_RE33!$S$7:$S$874,$AV$2,BS_RE33!$N$7:$N$874,I63,BS_RE33!$P$7:$P$874,'30 days CF Table(RMB)'!G63,BS_RE33!$F$7:$F$874,'30 days CF Table(RMB)'!$C$2)</f>
        <v>0</v>
      </c>
      <c r="AW63" s="379">
        <f>SUMIFS(BS_RE33!$H$7:$H$874,BS_RE33!$S$7:$S$874,$AW$2,BS_RE33!$N$7:$N$874,I63,BS_RE33!$P$7:$P$874,'30 days CF Table(RMB)'!G63,BS_RE33!$F$7:$F$874,'30 days CF Table(RMB)'!$C$2)</f>
        <v>0</v>
      </c>
      <c r="AX63" s="379">
        <f>SUMIFS(BS_RE33!$H$7:$H$874,BS_RE33!$S$7:$S$874,$AX$2,BS_RE33!$N$7:$N$874,I63,BS_RE33!$P$7:$P$874,'30 days CF Table(RMB)'!G63,BS_RE33!$F$7:$F$874,'30 days CF Table(RMB)'!$C$2)</f>
        <v>0</v>
      </c>
      <c r="AY63" s="379">
        <f>SUMIFS(BS_RE33!$H$7:$H$874,BS_RE33!$S$7:$S$874,$AY$2,BS_RE33!$N$7:$N$874,I63,BS_RE33!$P$7:$P$874,'30 days CF Table(RMB)'!G63,BS_RE33!$F$7:$F$874,'30 days CF Table(RMB)'!$C$2)</f>
        <v>0</v>
      </c>
      <c r="AZ63" s="379">
        <f>SUMIFS(BS_RE33!$H$7:$H$874,BS_RE33!$S$7:$S$874,$AZ$2,BS_RE33!$N$7:$N$874,I63,BS_RE33!$P$7:$P$874,'30 days CF Table(RMB)'!G63,BS_RE33!$F$7:$F$874,'30 days CF Table(RMB)'!$C$2)</f>
        <v>0</v>
      </c>
      <c r="BA63" s="379">
        <f>SUMIFS(BS_RE33!$H$7:$H$874,BS_RE33!$S$7:$S$874,$BA$2,BS_RE33!$N$7:$N$874,I63,BS_RE33!$P$7:$P$874,'30 days CF Table(RMB)'!G63,BS_RE33!$F$7:$F$874,'30 days CF Table(RMB)'!$C$2)</f>
        <v>0</v>
      </c>
      <c r="BB63" s="379">
        <f>SUMIFS(BS_RE33!$H$7:$H$874,BS_RE33!$S$7:$S$874,$BB$2,BS_RE33!$N$7:$N$874,I63,BS_RE33!$P$7:$P$874,'30 days CF Table(RMB)'!G63,BS_RE33!$F$7:$F$874,'30 days CF Table(RMB)'!$C$2)</f>
        <v>0</v>
      </c>
      <c r="BC63" s="379">
        <f>SUMIFS(BS_RE33!$H$7:$H$874,BS_RE33!$S$7:$S$874,$BC$2,BS_RE33!$N$7:$N$874,I63,BS_RE33!$P$7:$P$874,'30 days CF Table(RMB)'!G63,BS_RE33!$F$7:$F$874,'30 days CF Table(RMB)'!$C$2)</f>
        <v>0</v>
      </c>
      <c r="BD63" s="379">
        <f>SUMIFS(BS_RE33!$H$7:$H$874,BS_RE33!$S$7:$S$874,$BD$2,BS_RE33!$N$7:$N$874,I63,BS_RE33!$P$7:$P$874,'30 days CF Table(RMB)'!G63,BS_RE33!$F$7:$F$874,'30 days CF Table(RMB)'!$C$2)</f>
        <v>0</v>
      </c>
      <c r="BE63" s="379">
        <f>SUMIFS(BS_RE33!$H$7:$H$874,BS_RE33!$S$7:$S$874,$BE$2,BS_RE33!$N$7:$N$874,I63,BS_RE33!$P$7:$P$874,'30 days CF Table(RMB)'!G63,BS_RE33!$F$7:$F$874,'30 days CF Table(RMB)'!$C$2)</f>
        <v>0</v>
      </c>
      <c r="BF63" s="379">
        <f>SUMIFS(BS_RE33!$H$7:$H$874,BS_RE33!$S$7:$S$874,$BF$2,BS_RE33!$N$7:$N$874,I63,BS_RE33!$P$7:$P$874,'30 days CF Table(RMB)'!G63,BS_RE33!$F$7:$F$874,'30 days CF Table(RMB)'!$C$2)</f>
        <v>0</v>
      </c>
      <c r="BG63" s="379">
        <f>SUMIFS(BS_RE33!$H$7:$H$874,BS_RE33!$S$7:$S$874,$BG$2,BS_RE33!$N$7:$N$874,I63,BS_RE33!$P$7:$P$874,'30 days CF Table(RMB)'!G63,BS_RE33!$F$7:$F$874,'30 days CF Table(RMB)'!$C$2)</f>
        <v>0</v>
      </c>
      <c r="BH63" s="379">
        <f>SUMIFS(BS_RE33!$H$7:$H$874,BS_RE33!$S$7:$S$874,$BH$2,BS_RE33!$N$7:$N$874,I63,BS_RE33!$P$7:$P$874,'30 days CF Table(RMB)'!G63,BS_RE33!$F$7:$F$874,'30 days CF Table(RMB)'!$C$2)</f>
        <v>0</v>
      </c>
      <c r="BI63" s="379">
        <f>SUMIFS(BS_RE33!$H$7:$H$874,BS_RE33!$S$7:$S$874,$BI$2,BS_RE33!$N$7:$N$874,I63,BS_RE33!$P$7:$P$874,'30 days CF Table(RMB)'!G63,BS_RE33!$F$7:$F$874,'30 days CF Table(RMB)'!$C$2)</f>
        <v>0</v>
      </c>
      <c r="BJ63" s="379">
        <f>SUMIFS(BS_RE33!$H$7:$H$874,BS_RE33!$S$7:$S$874,$BJ$2,BS_RE33!$N$7:$N$874,I63,BS_RE33!$P$7:$P$874,'30 days CF Table(RMB)'!G63,BS_RE33!$F$7:$F$874,'30 days CF Table(RMB)'!$C$2)</f>
        <v>0</v>
      </c>
      <c r="BK63" s="379">
        <f>SUMIFS(BS_RE33!$H$7:$H$874,BS_RE33!$S$7:$S$874,$BK$2,BS_RE33!$N$7:$N$874,I63,BS_RE33!$P$7:$P$874,'30 days CF Table(RMB)'!G63,BS_RE33!$F$7:$F$874,'30 days CF Table(RMB)'!$C$2)</f>
        <v>0</v>
      </c>
    </row>
    <row r="64" spans="3:63" ht="21" thickBot="1">
      <c r="C64" s="1045"/>
      <c r="D64" s="324" t="s">
        <v>775</v>
      </c>
      <c r="E64" s="325" t="s">
        <v>102</v>
      </c>
      <c r="F64" s="326"/>
      <c r="G64" s="327" t="s">
        <v>540</v>
      </c>
      <c r="H64" s="328">
        <v>0</v>
      </c>
      <c r="I64" s="329" t="s">
        <v>80</v>
      </c>
      <c r="J64" s="480">
        <f t="shared" si="2"/>
        <v>0</v>
      </c>
      <c r="K64" s="476">
        <f t="shared" si="3"/>
        <v>0</v>
      </c>
      <c r="L64" s="341">
        <f>SUMIFS(BS_RE33!$H$7:$H$874,BS_RE33!$S$7:$S$874,$L$2,BS_RE33!$N$7:$N$874,I64,BS_RE33!$P$7:$P$874,'30 days CF Table(RMB)'!G64,BS_RE33!$F$7:$F$874,'30 days CF Table(RMB)'!$C$2)</f>
        <v>0</v>
      </c>
      <c r="M64" s="341">
        <f>SUMIFS(BS_RE33!$H$7:$H$874,BS_RE33!$S$7:$S$874,$M$2,BS_RE33!$N$7:$N$874,I64,BS_RE33!$P$7:$P$874,'30 days CF Table(RMB)'!G64,BS_RE33!$F$7:$F$874,'30 days CF Table(RMB)'!$C$2)</f>
        <v>0</v>
      </c>
      <c r="N64" s="341">
        <f>SUMIFS(BS_RE33!$H$7:$H$874,BS_RE33!$S$7:$S$874,$N$2,BS_RE33!$N$7:$N$874,I64,BS_RE33!$P$7:$P$874,'30 days CF Table(RMB)'!G64,BS_RE33!$F$7:$F$874,'30 days CF Table(RMB)'!$C$2)</f>
        <v>0</v>
      </c>
      <c r="O64" s="341">
        <f>SUMIFS(BS_RE33!$H$7:$H$874,BS_RE33!$S$7:$S$874,$O$2,BS_RE33!$N$7:$N$874,I64,BS_RE33!$P$7:$P$874,'30 days CF Table(RMB)'!G64,BS_RE33!$F$7:$F$874,'30 days CF Table(RMB)'!$C$2)</f>
        <v>0</v>
      </c>
      <c r="P64" s="341">
        <f>SUMIFS(BS_RE33!$H$7:$H$874,BS_RE33!$S$7:$S$874,$P$2,BS_RE33!$N$7:$N$874,I64,BS_RE33!$P$7:$P$874,'30 days CF Table(RMB)'!G64,BS_RE33!$F$7:$F$874,'30 days CF Table(RMB)'!$C$2)</f>
        <v>0</v>
      </c>
      <c r="Q64" s="341">
        <f>SUMIFS(BS_RE33!$H$7:$H$874,BS_RE33!$S$7:$S$874,$Q$2,BS_RE33!$N$7:$N$874,I64,BS_RE33!$P$7:$P$874,'30 days CF Table(RMB)'!G64,BS_RE33!$F$7:$F$874,'30 days CF Table(RMB)'!$C$2)</f>
        <v>0</v>
      </c>
      <c r="R64" s="341">
        <f>SUMIFS(BS_RE33!$H$7:$H$874,BS_RE33!$S$7:$S$874,$R$2,BS_RE33!$N$7:$N$874,I64,BS_RE33!$P$7:$P$874,'30 days CF Table(RMB)'!G64,BS_RE33!$F$7:$F$874,'30 days CF Table(RMB)'!$C$2)</f>
        <v>0</v>
      </c>
      <c r="S64" s="341">
        <f>SUMIFS(BS_RE33!$H$7:$H$874,BS_RE33!$S$7:$S$874,$S$2,BS_RE33!$N$7:$N$874,I64,BS_RE33!$P$7:$P$874,'30 days CF Table(RMB)'!G64,BS_RE33!$F$7:$F$874,'30 days CF Table(RMB)'!$C$2)</f>
        <v>0</v>
      </c>
      <c r="T64" s="341">
        <f>SUMIFS(BS_RE33!$H$7:$H$874,BS_RE33!$S$7:$S$874,$T$2,BS_RE33!$N$7:$N$874,I64,BS_RE33!$P$7:$P$874,'30 days CF Table(RMB)'!G64,BS_RE33!$F$7:$F$874,'30 days CF Table(RMB)'!$C$2)</f>
        <v>0</v>
      </c>
      <c r="U64" s="341">
        <f>SUMIFS(BS_RE33!$H$7:$H$874,BS_RE33!$S$7:$S$874,$U$2,BS_RE33!$N$7:$N$874,I64,BS_RE33!$P$7:$P$874,'30 days CF Table(RMB)'!G64,BS_RE33!$F$7:$F$874,'30 days CF Table(RMB)'!$C$2)</f>
        <v>0</v>
      </c>
      <c r="V64" s="341">
        <f>SUMIFS(BS_RE33!$H$7:$H$874,BS_RE33!$S$7:$S$874,$V$2,BS_RE33!$N$7:$N$874,I64,BS_RE33!$P$7:$P$874,'30 days CF Table(RMB)'!G64,BS_RE33!$F$7:$F$874,'30 days CF Table(RMB)'!$C$2)</f>
        <v>0</v>
      </c>
      <c r="W64" s="341">
        <f>SUMIFS(BS_RE33!$H$7:$H$874,BS_RE33!$S$7:$S$874,$W$2,BS_RE33!$N$7:$N$874,I64,BS_RE33!$P$7:$P$874,'30 days CF Table(RMB)'!G64,BS_RE33!$F$7:$F$874,'30 days CF Table(RMB)'!$C$2)</f>
        <v>0</v>
      </c>
      <c r="X64" s="341">
        <f>SUMIFS(BS_RE33!$H$7:$H$874,BS_RE33!$S$7:$S$874,$X$2,BS_RE33!$N$7:$N$874,I64,BS_RE33!$P$7:$P$874,'30 days CF Table(RMB)'!G64,BS_RE33!$F$7:$F$874,'30 days CF Table(RMB)'!$C$2)</f>
        <v>0</v>
      </c>
      <c r="Y64" s="341">
        <f>SUMIFS(BS_RE33!$H$7:$H$874,BS_RE33!$S$7:$S$874,$Y$2,BS_RE33!$N$7:$N$874,I64,BS_RE33!$P$7:$P$874,'30 days CF Table(RMB)'!G64,BS_RE33!$F$7:$F$874,'30 days CF Table(RMB)'!$C$2)</f>
        <v>0</v>
      </c>
      <c r="Z64" s="341">
        <f>SUMIFS(BS_RE33!$H$7:$H$874,BS_RE33!$S$7:$S$874,$Z$2,BS_RE33!$N$7:$N$874,I64,BS_RE33!$P$7:$P$874,'30 days CF Table(RMB)'!G64,BS_RE33!$F$7:$F$874,'30 days CF Table(RMB)'!$C$2)</f>
        <v>0</v>
      </c>
      <c r="AA64" s="341">
        <f>SUMIFS(BS_RE33!$H$7:$H$874,BS_RE33!$S$7:$S$874,$AA$2,BS_RE33!$N$7:$N$874,I64,BS_RE33!$P$7:$P$874,'30 days CF Table(RMB)'!G64,BS_RE33!$F$7:$F$874,'30 days CF Table(RMB)'!$C$2)</f>
        <v>0</v>
      </c>
      <c r="AB64" s="341">
        <f>SUMIFS(BS_RE33!$H$7:$H$874,BS_RE33!$S$7:$S$874,$AB$2,BS_RE33!$N$7:$N$874,I64,BS_RE33!$P$7:$P$874,'30 days CF Table(RMB)'!G64,BS_RE33!$F$7:$F$874,'30 days CF Table(RMB)'!$C$2)</f>
        <v>0</v>
      </c>
      <c r="AC64" s="341">
        <f>SUMIFS(BS_RE33!$H$7:$H$874,BS_RE33!$S$7:$S$874,$AC$2,BS_RE33!$N$7:$N$874,I64,BS_RE33!$P$7:$P$874,'30 days CF Table(RMB)'!G64,BS_RE33!$F$7:$F$874,'30 days CF Table(RMB)'!$C$2)</f>
        <v>0</v>
      </c>
      <c r="AD64" s="341">
        <f>SUMIFS(BS_RE33!$H$7:$H$874,BS_RE33!$S$7:$S$874,$AD$2,BS_RE33!$N$7:$N$874,I64,BS_RE33!$P$7:$P$874,'30 days CF Table(RMB)'!G64,BS_RE33!$F$7:$F$874,'30 days CF Table(RMB)'!$C$2)</f>
        <v>0</v>
      </c>
      <c r="AE64" s="341">
        <f>SUMIFS(BS_RE33!$H$7:$H$874,BS_RE33!$S$7:$S$874,$AE$2,BS_RE33!$N$7:$N$874,I64,BS_RE33!$P$7:$P$874,'30 days CF Table(RMB)'!G64,BS_RE33!$F$7:$F$874,'30 days CF Table(RMB)'!$C$2)</f>
        <v>0</v>
      </c>
      <c r="AF64" s="341">
        <f>SUMIFS(BS_RE33!$H$7:$H$874,BS_RE33!$S$7:$S$874,$AF$2,BS_RE33!$N$7:$N$874,I64,BS_RE33!$P$7:$P$874,'30 days CF Table(RMB)'!G64,BS_RE33!$F$7:$F$874,'30 days CF Table(RMB)'!$C$2)</f>
        <v>0</v>
      </c>
      <c r="AG64" s="341">
        <f>SUMIFS(BS_RE33!$H$7:$H$874,BS_RE33!$S$7:$S$874,$AG$2,BS_RE33!$N$7:$N$874,I64,BS_RE33!$P$7:$P$874,'30 days CF Table(RMB)'!G64,BS_RE33!$F$7:$F$874,'30 days CF Table(RMB)'!$C$2)</f>
        <v>0</v>
      </c>
      <c r="AH64" s="341">
        <f>SUMIFS(BS_RE33!$H$7:$H$874,BS_RE33!$S$7:$S$874,$AH$2,BS_RE33!$N$7:$N$874,I64,BS_RE33!$P$7:$P$874,'30 days CF Table(RMB)'!G64,BS_RE33!$F$7:$F$874,'30 days CF Table(RMB)'!$C$2)</f>
        <v>0</v>
      </c>
      <c r="AI64" s="341">
        <f>SUMIFS(BS_RE33!$H$7:$H$874,BS_RE33!$S$7:$S$874,$AI$2,BS_RE33!$N$7:$N$874,I64,BS_RE33!$P$7:$P$874,'30 days CF Table(RMB)'!G64,BS_RE33!$F$7:$F$874,'30 days CF Table(RMB)'!$C$2)</f>
        <v>0</v>
      </c>
      <c r="AJ64" s="341">
        <f>SUMIFS(BS_RE33!$H$7:$H$874,BS_RE33!$S$7:$S$874,$AJ$2,BS_RE33!$N$7:$N$874,I64,BS_RE33!$P$7:$P$874,'30 days CF Table(RMB)'!G64,BS_RE33!$F$7:$F$874,'30 days CF Table(RMB)'!$C$2)</f>
        <v>0</v>
      </c>
      <c r="AK64" s="341">
        <f>SUMIFS(BS_RE33!$H$7:$H$874,BS_RE33!$S$7:$S$874,$AK$2,BS_RE33!$N$7:$N$874,I64,BS_RE33!$P$7:$P$874,'30 days CF Table(RMB)'!G64,BS_RE33!$F$7:$F$874,'30 days CF Table(RMB)'!$C$2)</f>
        <v>0</v>
      </c>
      <c r="AL64" s="341">
        <f>SUMIFS(BS_RE33!$H$7:$H$874,BS_RE33!$S$7:$S$874,$AL$2,BS_RE33!$N$7:$N$874,I64,BS_RE33!$P$7:$P$874,'30 days CF Table(RMB)'!G64,BS_RE33!$F$7:$F$874,'30 days CF Table(RMB)'!$C$2)</f>
        <v>0</v>
      </c>
      <c r="AM64" s="341">
        <f>SUMIFS(BS_RE33!$H$7:$H$874,BS_RE33!$S$7:$S$874,$AM$2,BS_RE33!$N$7:$N$874,I64,BS_RE33!$P$7:$P$874,'30 days CF Table(RMB)'!G64,BS_RE33!$F$7:$F$874,'30 days CF Table(RMB)'!$C$2)</f>
        <v>0</v>
      </c>
      <c r="AN64" s="341">
        <f>SUMIFS(BS_RE33!$H$7:$H$874,BS_RE33!$S$7:$S$874,$AN$2,BS_RE33!$N$7:$N$874,I64,BS_RE33!$P$7:$P$874,'30 days CF Table(RMB)'!G64,BS_RE33!$F$7:$F$874,'30 days CF Table(RMB)'!$C$2)</f>
        <v>0</v>
      </c>
      <c r="AO64" s="341">
        <f>SUMIFS(BS_RE33!$H$7:$H$874,BS_RE33!$S$7:$S$874,$AO$2,BS_RE33!$N$7:$N$874,I64,BS_RE33!$P$7:$P$874,'30 days CF Table(RMB)'!G64,BS_RE33!$F$7:$F$874,'30 days CF Table(RMB)'!$C$2)</f>
        <v>0</v>
      </c>
      <c r="AP64" s="342">
        <f>SUMIFS(BS_RE33!$H$7:$H$874,BS_RE33!$S$7:$S$874,$AP$2,BS_RE33!$N$7:$N$874,I64,BS_RE33!$P$7:$P$874,'30 days CF Table(RMB)'!G64,BS_RE33!$F$7:$F$874,'30 days CF Table(RMB)'!$C$2)</f>
        <v>0</v>
      </c>
      <c r="AR64" s="381">
        <f>SUMIFS(BS_RE33!$H$7:$H$874,BS_RE33!$S$7:$S$874,$AR$2,BS_RE33!$N$7:$N$874,I64,BS_RE33!$P$7:$P$874,'30 days CF Table(RMB)'!G64,BS_RE33!$F$7:$F$874,'30 days CF Table(RMB)'!$C$2)</f>
        <v>0</v>
      </c>
      <c r="AS64" s="381">
        <f>SUMIFS(BS_RE33!$H$7:$H$874,BS_RE33!$S$7:$S$874,$AS$2,BS_RE33!$N$7:$N$874,I64,BS_RE33!$P$7:$P$874,'30 days CF Table(RMB)'!G64,BS_RE33!$F$7:$F$874,'30 days CF Table(RMB)'!$C$2)</f>
        <v>0</v>
      </c>
      <c r="AT64" s="381">
        <f>SUMIFS(BS_RE33!$H$7:$H$874,BS_RE33!$S$7:$S$874,$AT$2,BS_RE33!$N$7:$N$874,I64,BS_RE33!$P$7:$P$874,'30 days CF Table(RMB)'!G64,BS_RE33!$F$7:$F$874,'30 days CF Table(RMB)'!$C$2)</f>
        <v>0</v>
      </c>
      <c r="AU64" s="381">
        <f>SUMIFS(BS_RE33!$H$7:$H$874,BS_RE33!$S$7:$S$874,$AU$2,BS_RE33!$N$7:$N$874,I64,BS_RE33!$P$7:$P$874,'30 days CF Table(RMB)'!G64,BS_RE33!$F$7:$F$874,'30 days CF Table(RMB)'!$C$2)</f>
        <v>0</v>
      </c>
      <c r="AV64" s="381">
        <f>SUMIFS(BS_RE33!$H$7:$H$874,BS_RE33!$S$7:$S$874,$AV$2,BS_RE33!$N$7:$N$874,I64,BS_RE33!$P$7:$P$874,'30 days CF Table(RMB)'!G64,BS_RE33!$F$7:$F$874,'30 days CF Table(RMB)'!$C$2)</f>
        <v>0</v>
      </c>
      <c r="AW64" s="381">
        <f>SUMIFS(BS_RE33!$H$7:$H$874,BS_RE33!$S$7:$S$874,$AW$2,BS_RE33!$N$7:$N$874,I64,BS_RE33!$P$7:$P$874,'30 days CF Table(RMB)'!G64,BS_RE33!$F$7:$F$874,'30 days CF Table(RMB)'!$C$2)</f>
        <v>0</v>
      </c>
      <c r="AX64" s="381">
        <f>SUMIFS(BS_RE33!$H$7:$H$874,BS_RE33!$S$7:$S$874,$AX$2,BS_RE33!$N$7:$N$874,I64,BS_RE33!$P$7:$P$874,'30 days CF Table(RMB)'!G64,BS_RE33!$F$7:$F$874,'30 days CF Table(RMB)'!$C$2)</f>
        <v>0</v>
      </c>
      <c r="AY64" s="381">
        <f>SUMIFS(BS_RE33!$H$7:$H$874,BS_RE33!$S$7:$S$874,$AY$2,BS_RE33!$N$7:$N$874,I64,BS_RE33!$P$7:$P$874,'30 days CF Table(RMB)'!G64,BS_RE33!$F$7:$F$874,'30 days CF Table(RMB)'!$C$2)</f>
        <v>0</v>
      </c>
      <c r="AZ64" s="381">
        <f>SUMIFS(BS_RE33!$H$7:$H$874,BS_RE33!$S$7:$S$874,$AZ$2,BS_RE33!$N$7:$N$874,I64,BS_RE33!$P$7:$P$874,'30 days CF Table(RMB)'!G64,BS_RE33!$F$7:$F$874,'30 days CF Table(RMB)'!$C$2)</f>
        <v>0</v>
      </c>
      <c r="BA64" s="381">
        <f>SUMIFS(BS_RE33!$H$7:$H$874,BS_RE33!$S$7:$S$874,$BA$2,BS_RE33!$N$7:$N$874,I64,BS_RE33!$P$7:$P$874,'30 days CF Table(RMB)'!G64,BS_RE33!$F$7:$F$874,'30 days CF Table(RMB)'!$C$2)</f>
        <v>0</v>
      </c>
      <c r="BB64" s="381">
        <f>SUMIFS(BS_RE33!$H$7:$H$874,BS_RE33!$S$7:$S$874,$BB$2,BS_RE33!$N$7:$N$874,I64,BS_RE33!$P$7:$P$874,'30 days CF Table(RMB)'!G64,BS_RE33!$F$7:$F$874,'30 days CF Table(RMB)'!$C$2)</f>
        <v>0</v>
      </c>
      <c r="BC64" s="381">
        <f>SUMIFS(BS_RE33!$H$7:$H$874,BS_RE33!$S$7:$S$874,$BC$2,BS_RE33!$N$7:$N$874,I64,BS_RE33!$P$7:$P$874,'30 days CF Table(RMB)'!G64,BS_RE33!$F$7:$F$874,'30 days CF Table(RMB)'!$C$2)</f>
        <v>0</v>
      </c>
      <c r="BD64" s="381">
        <f>SUMIFS(BS_RE33!$H$7:$H$874,BS_RE33!$S$7:$S$874,$BD$2,BS_RE33!$N$7:$N$874,I64,BS_RE33!$P$7:$P$874,'30 days CF Table(RMB)'!G64,BS_RE33!$F$7:$F$874,'30 days CF Table(RMB)'!$C$2)</f>
        <v>0</v>
      </c>
      <c r="BE64" s="381">
        <f>SUMIFS(BS_RE33!$H$7:$H$874,BS_RE33!$S$7:$S$874,$BE$2,BS_RE33!$N$7:$N$874,I64,BS_RE33!$P$7:$P$874,'30 days CF Table(RMB)'!G64,BS_RE33!$F$7:$F$874,'30 days CF Table(RMB)'!$C$2)</f>
        <v>0</v>
      </c>
      <c r="BF64" s="381">
        <f>SUMIFS(BS_RE33!$H$7:$H$874,BS_RE33!$S$7:$S$874,$BF$2,BS_RE33!$N$7:$N$874,I64,BS_RE33!$P$7:$P$874,'30 days CF Table(RMB)'!G64,BS_RE33!$F$7:$F$874,'30 days CF Table(RMB)'!$C$2)</f>
        <v>0</v>
      </c>
      <c r="BG64" s="381">
        <f>SUMIFS(BS_RE33!$H$7:$H$874,BS_RE33!$S$7:$S$874,$BG$2,BS_RE33!$N$7:$N$874,I64,BS_RE33!$P$7:$P$874,'30 days CF Table(RMB)'!G64,BS_RE33!$F$7:$F$874,'30 days CF Table(RMB)'!$C$2)</f>
        <v>0</v>
      </c>
      <c r="BH64" s="381">
        <f>SUMIFS(BS_RE33!$H$7:$H$874,BS_RE33!$S$7:$S$874,$BH$2,BS_RE33!$N$7:$N$874,I64,BS_RE33!$P$7:$P$874,'30 days CF Table(RMB)'!G64,BS_RE33!$F$7:$F$874,'30 days CF Table(RMB)'!$C$2)</f>
        <v>0</v>
      </c>
      <c r="BI64" s="381">
        <f>SUMIFS(BS_RE33!$H$7:$H$874,BS_RE33!$S$7:$S$874,$BI$2,BS_RE33!$N$7:$N$874,I64,BS_RE33!$P$7:$P$874,'30 days CF Table(RMB)'!G64,BS_RE33!$F$7:$F$874,'30 days CF Table(RMB)'!$C$2)</f>
        <v>0</v>
      </c>
      <c r="BJ64" s="381">
        <f>SUMIFS(BS_RE33!$H$7:$H$874,BS_RE33!$S$7:$S$874,$BJ$2,BS_RE33!$N$7:$N$874,I64,BS_RE33!$P$7:$P$874,'30 days CF Table(RMB)'!G64,BS_RE33!$F$7:$F$874,'30 days CF Table(RMB)'!$C$2)</f>
        <v>0</v>
      </c>
      <c r="BK64" s="381">
        <f>SUMIFS(BS_RE33!$H$7:$H$874,BS_RE33!$S$7:$S$874,$BK$2,BS_RE33!$N$7:$N$874,I64,BS_RE33!$P$7:$P$874,'30 days CF Table(RMB)'!G64,BS_RE33!$F$7:$F$874,'30 days CF Table(RMB)'!$C$2)</f>
        <v>0</v>
      </c>
    </row>
    <row r="65" spans="3:11" ht="18" thickTop="1" thickBot="1"/>
    <row r="66" spans="3:11" ht="21" thickTop="1">
      <c r="D66" s="533" t="s">
        <v>1198</v>
      </c>
      <c r="H66" s="534" t="s">
        <v>1200</v>
      </c>
      <c r="J66" s="539">
        <f>SUM(J25:J45)+SUM(J52:J64)</f>
        <v>0</v>
      </c>
      <c r="K66" s="567">
        <f>(SUM(K25:K45)+SUM(K52:K64))/1000000</f>
        <v>0</v>
      </c>
    </row>
    <row r="67" spans="3:11" ht="21" thickBot="1">
      <c r="H67" s="535" t="s">
        <v>1199</v>
      </c>
      <c r="J67" s="568">
        <f>SUM(J4:J18)+SUM(J22:J24)</f>
        <v>0</v>
      </c>
      <c r="K67" s="569">
        <f>(SUM(K4:K18)+SUM(K22:K24))/1000000</f>
        <v>0</v>
      </c>
    </row>
    <row r="68" spans="3:11" ht="17.25" thickTop="1"/>
    <row r="69" spans="3:11" ht="17.25" thickBot="1"/>
    <row r="70" spans="3:11" ht="17.25" thickTop="1">
      <c r="C70" s="1032" t="s">
        <v>892</v>
      </c>
      <c r="D70" s="1035" t="s">
        <v>897</v>
      </c>
      <c r="E70" s="499" t="s">
        <v>898</v>
      </c>
      <c r="F70" s="500" t="s">
        <v>1181</v>
      </c>
      <c r="G70" s="505" t="str">
        <f>"HQLA_"&amp;F70</f>
        <v>HQLA_Australian Government</v>
      </c>
      <c r="H70" s="501"/>
      <c r="I70" s="501"/>
      <c r="J70" s="513">
        <f>SUMIFS(BS_RE33!$H$7:$H$874,BS_RE33!$P$7:$P$874,G70,BS_RE33!$F$7:$F$874,'30 days CF Table(RMB)'!$C$2)/1000000</f>
        <v>0</v>
      </c>
    </row>
    <row r="71" spans="3:11">
      <c r="C71" s="1033"/>
      <c r="D71" s="1036"/>
      <c r="E71" s="497" t="s">
        <v>1179</v>
      </c>
      <c r="F71" s="498" t="s">
        <v>1180</v>
      </c>
      <c r="G71" s="506" t="str">
        <f t="shared" ref="G71:G77" si="4">"HQLA_"&amp;F71</f>
        <v>HQLA_Australian State Government or Territory Central Borrowing Authorities</v>
      </c>
      <c r="H71" s="354"/>
      <c r="I71" s="354"/>
      <c r="J71" s="514">
        <f>SUMIFS(BS_RE33!$H$7:$H$874,BS_RE33!$P$7:$P$874,G71,BS_RE33!$F$7:$F$874,'30 days CF Table(RMB)'!$C$2)/1000000</f>
        <v>0</v>
      </c>
    </row>
    <row r="72" spans="3:11">
      <c r="C72" s="1033"/>
      <c r="D72" s="1036"/>
      <c r="E72" s="497" t="s">
        <v>899</v>
      </c>
      <c r="F72" s="498" t="s">
        <v>1183</v>
      </c>
      <c r="G72" s="506" t="str">
        <f t="shared" si="4"/>
        <v>HQLA_Issued by foreign sovereigns</v>
      </c>
      <c r="H72" s="354"/>
      <c r="I72" s="354"/>
      <c r="J72" s="514">
        <f>SUMIFS(BS_RE33!$H$7:$H$874,BS_RE33!$P$7:$P$874,G72,BS_RE33!$F$7:$F$874,'30 days CF Table(RMB)'!$C$2)/1000000</f>
        <v>0</v>
      </c>
    </row>
    <row r="73" spans="3:11">
      <c r="C73" s="1033"/>
      <c r="D73" s="1036"/>
      <c r="E73" s="497" t="s">
        <v>900</v>
      </c>
      <c r="F73" s="498" t="s">
        <v>1184</v>
      </c>
      <c r="G73" s="506" t="str">
        <f t="shared" si="4"/>
        <v>HQLA_Guaranteed by the Australian Government</v>
      </c>
      <c r="H73" s="354"/>
      <c r="I73" s="354"/>
      <c r="J73" s="514">
        <f>SUMIFS(BS_RE33!$H$7:$H$874,BS_RE33!$P$7:$P$874,G73,BS_RE33!$F$7:$F$874,'30 days CF Table(RMB)'!$C$2)/1000000</f>
        <v>0</v>
      </c>
    </row>
    <row r="74" spans="3:11">
      <c r="C74" s="1033"/>
      <c r="D74" s="1036"/>
      <c r="E74" s="497" t="s">
        <v>901</v>
      </c>
      <c r="F74" s="498" t="s">
        <v>1185</v>
      </c>
      <c r="G74" s="506" t="str">
        <f t="shared" si="4"/>
        <v>HQLA_Guaranteed by foreign sovereigns</v>
      </c>
      <c r="H74" s="354"/>
      <c r="I74" s="354"/>
      <c r="J74" s="514">
        <f>SUMIFS(BS_RE33!$H$7:$H$874,BS_RE33!$P$7:$P$874,G74,BS_RE33!$F$7:$F$874,'30 days CF Table(RMB)'!$C$2)/1000000</f>
        <v>0</v>
      </c>
    </row>
    <row r="75" spans="3:11">
      <c r="C75" s="1033"/>
      <c r="D75" s="1036"/>
      <c r="E75" s="497" t="s">
        <v>902</v>
      </c>
      <c r="F75" s="498" t="s">
        <v>1186</v>
      </c>
      <c r="G75" s="506" t="str">
        <f t="shared" si="4"/>
        <v>HQLA_Issued or guaranteed by central banks</v>
      </c>
      <c r="H75" s="354"/>
      <c r="I75" s="354"/>
      <c r="J75" s="514">
        <f>SUMIFS(BS_RE33!$H$7:$H$874,BS_RE33!$P$7:$P$874,G75,BS_RE33!$F$7:$F$874,'30 days CF Table(RMB)'!$C$2)/1000000</f>
        <v>0</v>
      </c>
    </row>
    <row r="76" spans="3:11">
      <c r="C76" s="1033"/>
      <c r="D76" s="1036"/>
      <c r="E76" s="497" t="s">
        <v>903</v>
      </c>
      <c r="F76" s="498" t="s">
        <v>1187</v>
      </c>
      <c r="G76" s="506" t="str">
        <f t="shared" si="4"/>
        <v>HQLA_Issued or guaranteed by PSEs</v>
      </c>
      <c r="H76" s="354"/>
      <c r="I76" s="354"/>
      <c r="J76" s="514">
        <f>SUMIFS(BS_RE33!$H$7:$H$874,BS_RE33!$P$7:$P$874,G76,BS_RE33!$F$7:$F$874,'30 days CF Table(RMB)'!$C$2)/1000000</f>
        <v>0</v>
      </c>
    </row>
    <row r="77" spans="3:11" ht="17.25" thickBot="1">
      <c r="C77" s="1034"/>
      <c r="D77" s="1037"/>
      <c r="E77" s="502" t="s">
        <v>904</v>
      </c>
      <c r="F77" s="503" t="s">
        <v>1188</v>
      </c>
      <c r="G77" s="507" t="str">
        <f t="shared" si="4"/>
        <v>HQLA_Issued or guaranteed by BIS, IMF, ECB and EC or MDBs</v>
      </c>
      <c r="H77" s="504"/>
      <c r="I77" s="504"/>
      <c r="J77" s="515">
        <f>SUMIFS(BS_RE33!$H$7:$H$874,BS_RE33!$P$7:$P$874,G77,BS_RE33!$F$7:$F$874,'30 days CF Table(RMB)'!$C$2)/1000000</f>
        <v>0</v>
      </c>
    </row>
    <row r="78" spans="3:11" ht="17.25" thickTop="1">
      <c r="C78" s="415"/>
      <c r="E78" s="425"/>
    </row>
    <row r="79" spans="3:11" ht="17.25" thickBot="1">
      <c r="C79" s="415"/>
      <c r="E79" s="425"/>
      <c r="H79" s="511" t="s">
        <v>60</v>
      </c>
    </row>
    <row r="80" spans="3:11" ht="17.25" thickTop="1">
      <c r="C80" s="415"/>
      <c r="E80" s="425"/>
      <c r="H80" s="508" t="s">
        <v>951</v>
      </c>
      <c r="I80" s="501" t="s">
        <v>1189</v>
      </c>
      <c r="J80" s="513">
        <f>SUMIFS(BS_RE33!$H$7:$H$874,BS_RE33!$N$7:$N$874,$H$79,BS_RE33!$F$7:$F$874,I80)/1000000</f>
        <v>0</v>
      </c>
    </row>
    <row r="81" spans="2:10">
      <c r="C81" s="415"/>
      <c r="E81" s="425"/>
      <c r="H81" s="509" t="s">
        <v>952</v>
      </c>
      <c r="I81" s="354" t="s">
        <v>1190</v>
      </c>
      <c r="J81" s="514">
        <f>SUMIFS(BS_RE33!$H$7:$H$874,BS_RE33!$N$7:$N$874,$H$79,BS_RE33!$F$7:$F$874,I81)/1000000</f>
        <v>0</v>
      </c>
    </row>
    <row r="82" spans="2:10">
      <c r="C82" s="415"/>
      <c r="E82" s="425"/>
      <c r="H82" s="509" t="s">
        <v>953</v>
      </c>
      <c r="I82" s="354" t="s">
        <v>1191</v>
      </c>
      <c r="J82" s="514">
        <f>SUMIFS(BS_RE33!$H$7:$H$874,BS_RE33!$N$7:$N$874,$H$79,BS_RE33!$F$7:$F$874,I82)/1000000</f>
        <v>0</v>
      </c>
    </row>
    <row r="83" spans="2:10">
      <c r="C83" s="415"/>
      <c r="E83" s="425"/>
      <c r="H83" s="509" t="s">
        <v>954</v>
      </c>
      <c r="I83" s="354" t="s">
        <v>1192</v>
      </c>
      <c r="J83" s="514">
        <f>SUMIFS(BS_RE33!$H$7:$H$874,BS_RE33!$N$7:$N$874,$H$79,BS_RE33!$F$7:$F$874,I83)/1000000</f>
        <v>0</v>
      </c>
    </row>
    <row r="84" spans="2:10">
      <c r="C84" s="415"/>
      <c r="E84" s="425"/>
      <c r="H84" s="509" t="s">
        <v>955</v>
      </c>
      <c r="I84" s="354" t="s">
        <v>1193</v>
      </c>
      <c r="J84" s="514">
        <f>SUMIFS(BS_RE33!$H$7:$H$874,BS_RE33!$N$7:$N$874,$H$79,BS_RE33!$F$7:$F$874,I84)/1000000</f>
        <v>0</v>
      </c>
    </row>
    <row r="85" spans="2:10">
      <c r="C85" s="415"/>
      <c r="E85" s="425"/>
      <c r="H85" s="509" t="s">
        <v>956</v>
      </c>
      <c r="I85" s="354" t="s">
        <v>1194</v>
      </c>
      <c r="J85" s="514">
        <f>SUMIFS(BS_RE33!$H$7:$H$874,BS_RE33!$N$7:$N$874,$H$79,BS_RE33!$F$7:$F$874,I85)/1000000</f>
        <v>0</v>
      </c>
    </row>
    <row r="86" spans="2:10">
      <c r="C86" s="415"/>
      <c r="E86" s="425"/>
      <c r="H86" s="509" t="s">
        <v>957</v>
      </c>
      <c r="I86" s="354" t="s">
        <v>1195</v>
      </c>
      <c r="J86" s="514">
        <f>SUMIFS(BS_RE33!$H$7:$H$874,BS_RE33!$N$7:$N$874,$H$79,BS_RE33!$F$7:$F$874,I86)/1000000</f>
        <v>0</v>
      </c>
    </row>
    <row r="87" spans="2:10" ht="17.25" thickBot="1">
      <c r="E87" s="425"/>
      <c r="H87" s="510" t="s">
        <v>958</v>
      </c>
      <c r="I87" s="504" t="s">
        <v>1196</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809</v>
      </c>
    </row>
    <row r="92" spans="2:10" ht="17.25" thickBot="1"/>
    <row r="93" spans="2:10">
      <c r="B93" s="358"/>
      <c r="C93" s="359"/>
      <c r="D93" s="359"/>
      <c r="E93" s="359"/>
      <c r="F93" s="360"/>
    </row>
    <row r="94" spans="2:10">
      <c r="B94" s="361"/>
      <c r="C94" s="345" t="s">
        <v>80</v>
      </c>
      <c r="D94" s="346">
        <f>SUMIF($I$4:$I$64,C94,$K$4:$K$64)</f>
        <v>0</v>
      </c>
      <c r="E94" s="369" t="b">
        <f>D94='Summary &amp; Working File(AllCcy)'!E21</f>
        <v>1</v>
      </c>
      <c r="F94" s="362"/>
    </row>
    <row r="95" spans="2:10">
      <c r="B95" s="361"/>
      <c r="C95" s="353"/>
      <c r="D95" s="353"/>
      <c r="E95" s="354"/>
      <c r="F95" s="362"/>
    </row>
    <row r="96" spans="2:10">
      <c r="B96" s="361"/>
      <c r="C96" s="353"/>
      <c r="D96" s="551"/>
      <c r="E96" s="355" t="s">
        <v>813</v>
      </c>
      <c r="F96" s="362"/>
    </row>
    <row r="97" spans="2:6">
      <c r="B97" s="361"/>
      <c r="C97" s="353"/>
      <c r="D97" s="353"/>
      <c r="E97" s="354"/>
      <c r="F97" s="362"/>
    </row>
    <row r="98" spans="2:6">
      <c r="B98" s="361"/>
      <c r="C98" s="353"/>
      <c r="D98" s="551"/>
      <c r="E98" s="355" t="s">
        <v>814</v>
      </c>
      <c r="F98" s="362"/>
    </row>
    <row r="99" spans="2:6">
      <c r="B99" s="361"/>
      <c r="C99" s="353"/>
      <c r="D99" s="353"/>
      <c r="E99" s="354"/>
      <c r="F99" s="362"/>
    </row>
    <row r="100" spans="2:6">
      <c r="B100" s="361"/>
      <c r="C100" s="345" t="s">
        <v>811</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63</v>
      </c>
      <c r="D103" s="350">
        <f>SUMIF($I$4:$I$64,C103,$K$4:$K$64)</f>
        <v>0</v>
      </c>
      <c r="E103" s="369" t="b">
        <f>D103='Summary &amp; Working File(AllCcy)'!I21</f>
        <v>1</v>
      </c>
      <c r="F103" s="362"/>
    </row>
    <row r="104" spans="2:6">
      <c r="B104" s="361"/>
      <c r="C104" s="353"/>
      <c r="D104" s="353"/>
      <c r="E104" s="354"/>
      <c r="F104" s="362"/>
    </row>
    <row r="105" spans="2:6">
      <c r="B105" s="361"/>
      <c r="C105" s="353"/>
      <c r="D105" s="383">
        <f>D100*20%</f>
        <v>0</v>
      </c>
      <c r="E105" s="384" t="s">
        <v>812</v>
      </c>
      <c r="F105" s="385"/>
    </row>
    <row r="106" spans="2:6">
      <c r="B106" s="361"/>
      <c r="C106" s="353"/>
      <c r="D106" s="353"/>
      <c r="E106" s="354"/>
      <c r="F106" s="362"/>
    </row>
    <row r="107" spans="2:6">
      <c r="B107" s="361"/>
      <c r="C107" s="349" t="s">
        <v>815</v>
      </c>
      <c r="D107" s="350">
        <f>D103+D105</f>
        <v>0</v>
      </c>
      <c r="E107" s="356"/>
      <c r="F107" s="362"/>
    </row>
    <row r="108" spans="2:6">
      <c r="B108" s="361"/>
      <c r="C108" s="353"/>
      <c r="D108" s="353"/>
      <c r="E108" s="354"/>
      <c r="F108" s="362"/>
    </row>
    <row r="109" spans="2:6">
      <c r="B109" s="361"/>
      <c r="C109" s="349" t="s">
        <v>816</v>
      </c>
      <c r="D109" s="351">
        <f>MIN(D107,D100*75%)</f>
        <v>0</v>
      </c>
      <c r="E109" s="357" t="s">
        <v>819</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818</v>
      </c>
      <c r="F112" s="362"/>
    </row>
    <row r="113" spans="2:6">
      <c r="B113" s="361"/>
      <c r="C113" s="354"/>
      <c r="D113" s="354"/>
      <c r="E113" s="354"/>
      <c r="F113" s="362"/>
    </row>
    <row r="114" spans="2:6">
      <c r="B114" s="361"/>
      <c r="C114" s="354"/>
      <c r="D114" s="352">
        <f>J86*1000000</f>
        <v>0</v>
      </c>
      <c r="E114" s="356" t="s">
        <v>820</v>
      </c>
      <c r="F114" s="362"/>
    </row>
    <row r="115" spans="2:6" ht="17.25" thickBot="1">
      <c r="B115" s="361"/>
      <c r="C115" s="354"/>
      <c r="D115" s="354"/>
      <c r="E115" s="354"/>
      <c r="F115" s="362"/>
    </row>
    <row r="116" spans="2:6" ht="18" thickTop="1" thickBot="1">
      <c r="B116" s="361"/>
      <c r="C116" s="354"/>
      <c r="D116" s="368" t="e">
        <f>D114/D112</f>
        <v>#DIV/0!</v>
      </c>
      <c r="E116" s="370" t="s">
        <v>821</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 priority="1" operator="containsText" text="false">
      <formula>NOT(ISERROR(SEARCH("false",J88)))</formula>
    </cfRule>
    <cfRule type="containsText" dxfId="0" priority="2" operator="containsText" text="true">
      <formula>NOT(ISERROR(SEARCH("true",J88)))</formula>
    </cfRule>
  </conditionalFormatting>
  <dataValidations count="1">
    <dataValidation type="list" allowBlank="1" showInputMessage="1" showErrorMessage="1" sqref="C2" xr:uid="{00000000-0002-0000-0C00-000000000000}">
      <formula1>$I$80:$I$86</formula1>
    </dataValidation>
  </dataValidation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G40"/>
  <sheetViews>
    <sheetView zoomScale="85" zoomScaleNormal="85" workbookViewId="0"/>
  </sheetViews>
  <sheetFormatPr defaultColWidth="9" defaultRowHeight="16.5"/>
  <cols>
    <col min="1" max="1" width="23.625" style="1" customWidth="1"/>
    <col min="2" max="2" width="58.375" style="1" customWidth="1"/>
    <col min="3" max="3" width="71.875" style="1" bestFit="1" customWidth="1"/>
    <col min="4" max="4" width="10" style="1" bestFit="1" customWidth="1"/>
    <col min="5" max="6" width="9" style="1"/>
    <col min="7" max="7" width="60.125" style="1" bestFit="1" customWidth="1"/>
    <col min="8" max="16384" width="9" style="1"/>
  </cols>
  <sheetData>
    <row r="1" spans="1:5" ht="17.25" thickBot="1">
      <c r="A1" s="39" t="s">
        <v>1178</v>
      </c>
      <c r="E1" s="65"/>
    </row>
    <row r="2" spans="1:5" ht="17.25" thickTop="1">
      <c r="A2" s="66" t="s">
        <v>487</v>
      </c>
      <c r="B2" s="66" t="s">
        <v>488</v>
      </c>
      <c r="C2" s="67" t="s">
        <v>56</v>
      </c>
    </row>
    <row r="3" spans="1:5">
      <c r="A3" s="171" t="s">
        <v>594</v>
      </c>
      <c r="B3" s="68" t="s">
        <v>21</v>
      </c>
      <c r="C3" s="601" t="s">
        <v>489</v>
      </c>
    </row>
    <row r="4" spans="1:5">
      <c r="A4" s="171" t="s">
        <v>596</v>
      </c>
      <c r="B4" s="68" t="s">
        <v>23</v>
      </c>
      <c r="C4" s="601" t="s">
        <v>489</v>
      </c>
    </row>
    <row r="5" spans="1:5">
      <c r="A5" s="171" t="s">
        <v>676</v>
      </c>
      <c r="B5" s="68" t="s">
        <v>45</v>
      </c>
      <c r="C5" s="601" t="s">
        <v>489</v>
      </c>
    </row>
    <row r="6" spans="1:5">
      <c r="A6" s="171" t="s">
        <v>1228</v>
      </c>
      <c r="B6" s="68" t="s">
        <v>1229</v>
      </c>
      <c r="C6" s="601" t="s">
        <v>493</v>
      </c>
    </row>
    <row r="7" spans="1:5">
      <c r="A7" s="171" t="s">
        <v>684</v>
      </c>
      <c r="B7" s="68" t="s">
        <v>685</v>
      </c>
      <c r="C7" s="601" t="s">
        <v>493</v>
      </c>
    </row>
    <row r="8" spans="1:5">
      <c r="A8" s="171" t="s">
        <v>856</v>
      </c>
      <c r="B8" s="387" t="s">
        <v>857</v>
      </c>
      <c r="C8" s="601" t="s">
        <v>489</v>
      </c>
    </row>
    <row r="9" spans="1:5">
      <c r="A9" s="171" t="s">
        <v>878</v>
      </c>
      <c r="B9" s="69" t="s">
        <v>879</v>
      </c>
      <c r="C9" s="601" t="s">
        <v>489</v>
      </c>
    </row>
    <row r="10" spans="1:5">
      <c r="A10" s="578" t="s">
        <v>1221</v>
      </c>
      <c r="B10" s="69" t="s">
        <v>1222</v>
      </c>
      <c r="C10" s="601" t="s">
        <v>493</v>
      </c>
    </row>
    <row r="11" spans="1:5">
      <c r="A11" s="579" t="s">
        <v>1230</v>
      </c>
      <c r="B11" s="496" t="s">
        <v>1231</v>
      </c>
      <c r="C11" s="601" t="s">
        <v>489</v>
      </c>
    </row>
    <row r="12" spans="1:5">
      <c r="A12" s="579" t="s">
        <v>1232</v>
      </c>
      <c r="B12" s="496" t="s">
        <v>1233</v>
      </c>
      <c r="C12" s="601" t="s">
        <v>489</v>
      </c>
    </row>
    <row r="13" spans="1:5">
      <c r="A13" s="578" t="s">
        <v>1253</v>
      </c>
      <c r="B13" s="69" t="s">
        <v>1254</v>
      </c>
      <c r="C13" s="601" t="s">
        <v>493</v>
      </c>
    </row>
    <row r="14" spans="1:5">
      <c r="A14" s="588" t="s">
        <v>1276</v>
      </c>
      <c r="B14" s="69" t="s">
        <v>1277</v>
      </c>
      <c r="C14" s="601" t="s">
        <v>489</v>
      </c>
    </row>
    <row r="15" spans="1:5">
      <c r="A15" s="603" t="s">
        <v>1430</v>
      </c>
      <c r="B15" s="605" t="s">
        <v>1431</v>
      </c>
      <c r="C15" s="601" t="s">
        <v>489</v>
      </c>
    </row>
    <row r="16" spans="1:5">
      <c r="A16" s="603" t="s">
        <v>1438</v>
      </c>
      <c r="B16" s="606" t="s">
        <v>1439</v>
      </c>
      <c r="C16" s="601" t="s">
        <v>489</v>
      </c>
    </row>
    <row r="17" spans="1:3">
      <c r="A17" s="603" t="s">
        <v>1440</v>
      </c>
      <c r="B17" s="606" t="s">
        <v>1441</v>
      </c>
      <c r="C17" s="601" t="s">
        <v>489</v>
      </c>
    </row>
    <row r="18" spans="1:3">
      <c r="A18" s="603" t="s">
        <v>1420</v>
      </c>
      <c r="B18" s="606" t="s">
        <v>1421</v>
      </c>
      <c r="C18" s="601" t="s">
        <v>493</v>
      </c>
    </row>
    <row r="19" spans="1:3">
      <c r="A19" s="603" t="s">
        <v>1459</v>
      </c>
      <c r="B19" s="606" t="s">
        <v>1460</v>
      </c>
      <c r="C19" s="601" t="s">
        <v>493</v>
      </c>
    </row>
    <row r="20" spans="1:3">
      <c r="A20" s="603"/>
      <c r="B20" s="604"/>
      <c r="C20" s="601"/>
    </row>
    <row r="21" spans="1:3">
      <c r="A21" s="603"/>
      <c r="B21" s="604"/>
      <c r="C21" s="601"/>
    </row>
    <row r="22" spans="1:3">
      <c r="A22" s="598"/>
      <c r="B22" s="599"/>
      <c r="C22" s="600"/>
    </row>
    <row r="23" spans="1:3">
      <c r="A23" s="598"/>
      <c r="B23" s="599"/>
      <c r="C23" s="600"/>
    </row>
    <row r="24" spans="1:3">
      <c r="A24" s="494" t="s">
        <v>691</v>
      </c>
      <c r="B24" s="495" t="s">
        <v>692</v>
      </c>
      <c r="C24" s="597" t="s">
        <v>1180</v>
      </c>
    </row>
    <row r="25" spans="1:3">
      <c r="A25" s="494" t="s">
        <v>1216</v>
      </c>
      <c r="B25" s="495" t="s">
        <v>1217</v>
      </c>
      <c r="C25" s="597" t="s">
        <v>1180</v>
      </c>
    </row>
    <row r="26" spans="1:3">
      <c r="A26" s="494" t="s">
        <v>1244</v>
      </c>
      <c r="B26" s="495" t="s">
        <v>1245</v>
      </c>
      <c r="C26" s="597" t="s">
        <v>1180</v>
      </c>
    </row>
    <row r="27" spans="1:3">
      <c r="A27" s="494" t="s">
        <v>1424</v>
      </c>
      <c r="B27" s="495" t="s">
        <v>1426</v>
      </c>
      <c r="C27" s="597" t="s">
        <v>1180</v>
      </c>
    </row>
    <row r="28" spans="1:3">
      <c r="A28" s="590" t="s">
        <v>1265</v>
      </c>
      <c r="B28" s="589" t="s">
        <v>1272</v>
      </c>
      <c r="C28" s="592" t="s">
        <v>1274</v>
      </c>
    </row>
    <row r="29" spans="1:3">
      <c r="A29" s="494"/>
      <c r="B29" s="495"/>
      <c r="C29" s="597"/>
    </row>
    <row r="30" spans="1:3">
      <c r="A30" s="595"/>
      <c r="B30" s="596"/>
      <c r="C30" s="597"/>
    </row>
    <row r="31" spans="1:3">
      <c r="A31" s="595"/>
      <c r="B31" s="596"/>
      <c r="C31" s="597"/>
    </row>
    <row r="32" spans="1:3">
      <c r="A32" s="595"/>
      <c r="B32" s="596"/>
      <c r="C32" s="597"/>
    </row>
    <row r="33" spans="1:7">
      <c r="A33" s="595"/>
      <c r="B33" s="596"/>
      <c r="C33" s="597"/>
    </row>
    <row r="34" spans="1:7">
      <c r="A34" s="595"/>
      <c r="B34" s="596"/>
      <c r="C34" s="597"/>
    </row>
    <row r="35" spans="1:7">
      <c r="A35" s="595"/>
      <c r="B35" s="596"/>
      <c r="C35" s="597"/>
    </row>
    <row r="36" spans="1:7">
      <c r="A36" s="494"/>
      <c r="B36" s="495"/>
      <c r="C36" s="597"/>
    </row>
    <row r="37" spans="1:7">
      <c r="A37" s="494"/>
      <c r="B37" s="495"/>
      <c r="C37" s="597"/>
    </row>
    <row r="38" spans="1:7" ht="17.25" thickBot="1">
      <c r="A38" s="590"/>
      <c r="B38" s="589"/>
      <c r="C38" s="602"/>
    </row>
    <row r="39" spans="1:7" ht="17.25" thickTop="1"/>
    <row r="40" spans="1:7">
      <c r="G40" s="1" t="str">
        <f>IF(OR(L45="Loan",L45="Deposit_Liability",L45="OFF_Unused Loan Commitment",L45="HQLA"),VLOOKUP(D45,'Customer Type'!$A$3:$C$38,3,0),"")</f>
        <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XET64"/>
  <sheetViews>
    <sheetView zoomScale="85" zoomScaleNormal="85" workbookViewId="0">
      <selection activeCell="D32" sqref="D32"/>
    </sheetView>
  </sheetViews>
  <sheetFormatPr defaultColWidth="40.875" defaultRowHeight="16.5"/>
  <cols>
    <col min="1" max="1" width="55.125" style="1" customWidth="1"/>
    <col min="2" max="2" width="28.375" style="1" customWidth="1"/>
    <col min="3" max="3" width="56.125" style="1" customWidth="1"/>
    <col min="4" max="4" width="27" style="1" customWidth="1"/>
    <col min="5" max="5" width="11.625" style="121" customWidth="1"/>
    <col min="6" max="6" width="65.625" style="1" bestFit="1" customWidth="1"/>
    <col min="7" max="16384" width="40.875" style="1"/>
  </cols>
  <sheetData>
    <row r="1" spans="1:6" ht="25.5" customHeight="1">
      <c r="A1" s="70" t="s">
        <v>55</v>
      </c>
      <c r="B1" s="70" t="s">
        <v>56</v>
      </c>
      <c r="C1" s="70" t="s">
        <v>5</v>
      </c>
      <c r="D1" s="70" t="s">
        <v>717</v>
      </c>
      <c r="E1" s="70" t="s">
        <v>494</v>
      </c>
      <c r="F1" s="70" t="s">
        <v>720</v>
      </c>
    </row>
    <row r="2" spans="1:6">
      <c r="A2" s="71" t="s">
        <v>60</v>
      </c>
      <c r="B2" s="72"/>
      <c r="C2" s="72" t="s">
        <v>1273</v>
      </c>
      <c r="D2" s="129">
        <v>1</v>
      </c>
      <c r="E2" s="591"/>
      <c r="F2" s="262"/>
    </row>
    <row r="3" spans="1:6">
      <c r="A3" s="71" t="s">
        <v>60</v>
      </c>
      <c r="B3" s="72"/>
      <c r="C3" s="72" t="s">
        <v>1275</v>
      </c>
      <c r="D3" s="129">
        <v>1</v>
      </c>
      <c r="E3" s="591"/>
      <c r="F3" s="262"/>
    </row>
    <row r="4" spans="1:6">
      <c r="A4" s="73" t="s">
        <v>62</v>
      </c>
      <c r="B4" s="74"/>
      <c r="C4" s="122" t="s">
        <v>64</v>
      </c>
      <c r="D4" s="166">
        <v>1</v>
      </c>
      <c r="E4" s="167" t="s">
        <v>719</v>
      </c>
      <c r="F4" s="262"/>
    </row>
    <row r="5" spans="1:6">
      <c r="A5" s="76" t="s">
        <v>61</v>
      </c>
      <c r="B5" s="77"/>
      <c r="C5" s="123" t="s">
        <v>496</v>
      </c>
      <c r="D5" s="131">
        <v>1</v>
      </c>
      <c r="E5" s="78" t="s">
        <v>718</v>
      </c>
      <c r="F5" s="262"/>
    </row>
    <row r="6" spans="1:6" ht="17.25" thickBot="1">
      <c r="A6" s="76" t="s">
        <v>546</v>
      </c>
      <c r="B6" s="77"/>
      <c r="C6" s="123" t="s">
        <v>547</v>
      </c>
      <c r="D6" s="131">
        <v>1</v>
      </c>
      <c r="E6" s="78" t="s">
        <v>495</v>
      </c>
      <c r="F6" s="262"/>
    </row>
    <row r="7" spans="1:6" ht="17.25" thickTop="1">
      <c r="A7" s="79" t="s">
        <v>69</v>
      </c>
      <c r="B7" s="80" t="s">
        <v>491</v>
      </c>
      <c r="C7" s="124" t="s">
        <v>497</v>
      </c>
      <c r="D7" s="132">
        <v>0.5</v>
      </c>
      <c r="E7" s="81" t="s">
        <v>495</v>
      </c>
      <c r="F7" s="262"/>
    </row>
    <row r="8" spans="1:6">
      <c r="A8" s="82" t="s">
        <v>69</v>
      </c>
      <c r="B8" s="83" t="s">
        <v>490</v>
      </c>
      <c r="C8" s="125" t="s">
        <v>498</v>
      </c>
      <c r="D8" s="133">
        <v>0.5</v>
      </c>
      <c r="E8" s="84" t="s">
        <v>495</v>
      </c>
      <c r="F8" s="262"/>
    </row>
    <row r="9" spans="1:6">
      <c r="A9" s="85" t="s">
        <v>69</v>
      </c>
      <c r="B9" s="86" t="s">
        <v>489</v>
      </c>
      <c r="C9" s="122" t="s">
        <v>499</v>
      </c>
      <c r="D9" s="130">
        <v>0.5</v>
      </c>
      <c r="E9" s="87" t="s">
        <v>495</v>
      </c>
      <c r="F9" s="262"/>
    </row>
    <row r="10" spans="1:6">
      <c r="A10" s="85" t="s">
        <v>69</v>
      </c>
      <c r="B10" s="88" t="s">
        <v>500</v>
      </c>
      <c r="C10" s="122" t="s">
        <v>501</v>
      </c>
      <c r="D10" s="130">
        <v>0.5</v>
      </c>
      <c r="E10" s="87" t="s">
        <v>495</v>
      </c>
      <c r="F10" s="262"/>
    </row>
    <row r="11" spans="1:6">
      <c r="A11" s="85" t="s">
        <v>69</v>
      </c>
      <c r="B11" s="88" t="s">
        <v>502</v>
      </c>
      <c r="C11" s="122" t="s">
        <v>503</v>
      </c>
      <c r="D11" s="130">
        <v>0.5</v>
      </c>
      <c r="E11" s="87" t="s">
        <v>495</v>
      </c>
      <c r="F11" s="262"/>
    </row>
    <row r="12" spans="1:6">
      <c r="A12" s="85" t="s">
        <v>69</v>
      </c>
      <c r="B12" s="88" t="s">
        <v>504</v>
      </c>
      <c r="C12" s="122" t="s">
        <v>505</v>
      </c>
      <c r="D12" s="130">
        <v>1</v>
      </c>
      <c r="E12" s="87" t="s">
        <v>495</v>
      </c>
      <c r="F12" s="262"/>
    </row>
    <row r="13" spans="1:6" ht="17.25" thickBot="1">
      <c r="A13" s="89" t="s">
        <v>69</v>
      </c>
      <c r="B13" s="90" t="s">
        <v>493</v>
      </c>
      <c r="C13" s="126" t="s">
        <v>506</v>
      </c>
      <c r="D13" s="134">
        <v>1</v>
      </c>
      <c r="E13" s="91" t="s">
        <v>495</v>
      </c>
      <c r="F13" s="262"/>
    </row>
    <row r="14" spans="1:6" ht="17.25" thickTop="1">
      <c r="A14" s="92" t="s">
        <v>542</v>
      </c>
      <c r="B14" s="93"/>
      <c r="C14" s="125" t="s">
        <v>544</v>
      </c>
      <c r="D14" s="130">
        <v>1</v>
      </c>
      <c r="E14" s="75" t="s">
        <v>495</v>
      </c>
      <c r="F14" s="262"/>
    </row>
    <row r="15" spans="1:6">
      <c r="A15" s="73" t="s">
        <v>552</v>
      </c>
      <c r="B15" s="95"/>
      <c r="C15" s="122" t="s">
        <v>553</v>
      </c>
      <c r="D15" s="130">
        <v>1</v>
      </c>
      <c r="E15" s="75" t="s">
        <v>495</v>
      </c>
      <c r="F15" s="262"/>
    </row>
    <row r="16" spans="1:6">
      <c r="A16" s="73" t="s">
        <v>554</v>
      </c>
      <c r="B16" s="95"/>
      <c r="C16" s="122" t="s">
        <v>555</v>
      </c>
      <c r="D16" s="130">
        <v>1</v>
      </c>
      <c r="E16" s="75" t="s">
        <v>495</v>
      </c>
      <c r="F16" s="262"/>
    </row>
    <row r="17" spans="1:6">
      <c r="A17" s="92" t="s">
        <v>579</v>
      </c>
      <c r="B17" s="93"/>
      <c r="C17" s="125" t="s">
        <v>580</v>
      </c>
      <c r="D17" s="133">
        <v>1</v>
      </c>
      <c r="E17" s="94" t="s">
        <v>495</v>
      </c>
      <c r="F17" s="262"/>
    </row>
    <row r="18" spans="1:6">
      <c r="A18" s="73" t="s">
        <v>572</v>
      </c>
      <c r="B18" s="96"/>
      <c r="C18" s="122" t="s">
        <v>574</v>
      </c>
      <c r="D18" s="130">
        <v>1</v>
      </c>
      <c r="E18" s="75" t="s">
        <v>495</v>
      </c>
      <c r="F18" s="262"/>
    </row>
    <row r="19" spans="1:6">
      <c r="A19" s="92" t="s">
        <v>71</v>
      </c>
      <c r="B19" s="93"/>
      <c r="C19" s="125" t="s">
        <v>507</v>
      </c>
      <c r="D19" s="166">
        <v>0</v>
      </c>
      <c r="E19" s="167" t="s">
        <v>548</v>
      </c>
      <c r="F19" s="262"/>
    </row>
    <row r="20" spans="1:6">
      <c r="A20" s="73" t="s">
        <v>73</v>
      </c>
      <c r="B20" s="96"/>
      <c r="C20" s="122" t="s">
        <v>508</v>
      </c>
      <c r="D20" s="168">
        <v>0</v>
      </c>
      <c r="E20" s="167" t="s">
        <v>548</v>
      </c>
      <c r="F20" s="262"/>
    </row>
    <row r="21" spans="1:6">
      <c r="A21" s="73" t="s">
        <v>550</v>
      </c>
      <c r="B21" s="96"/>
      <c r="C21" s="122" t="s">
        <v>551</v>
      </c>
      <c r="D21" s="168">
        <v>0</v>
      </c>
      <c r="E21" s="167" t="s">
        <v>548</v>
      </c>
      <c r="F21" s="262"/>
    </row>
    <row r="22" spans="1:6">
      <c r="A22" s="73" t="s">
        <v>75</v>
      </c>
      <c r="B22" s="95"/>
      <c r="C22" s="122" t="s">
        <v>509</v>
      </c>
      <c r="D22" s="130">
        <v>1</v>
      </c>
      <c r="E22" s="75" t="s">
        <v>495</v>
      </c>
      <c r="F22" s="262"/>
    </row>
    <row r="23" spans="1:6">
      <c r="A23" s="155" t="s">
        <v>76</v>
      </c>
      <c r="B23" s="156"/>
      <c r="C23" s="122" t="s">
        <v>510</v>
      </c>
      <c r="D23" s="158">
        <v>0</v>
      </c>
      <c r="E23" s="159" t="s">
        <v>495</v>
      </c>
      <c r="F23" s="262"/>
    </row>
    <row r="24" spans="1:6" ht="17.25" thickBot="1">
      <c r="A24" s="155" t="s">
        <v>77</v>
      </c>
      <c r="B24" s="157"/>
      <c r="C24" s="122" t="s">
        <v>511</v>
      </c>
      <c r="D24" s="158">
        <v>0</v>
      </c>
      <c r="E24" s="159" t="s">
        <v>495</v>
      </c>
      <c r="F24" s="262"/>
    </row>
    <row r="25" spans="1:6" ht="17.25" thickTop="1">
      <c r="A25" s="79" t="s">
        <v>79</v>
      </c>
      <c r="B25" s="80" t="s">
        <v>491</v>
      </c>
      <c r="C25" s="124" t="s">
        <v>512</v>
      </c>
      <c r="D25" s="135">
        <v>0.25</v>
      </c>
      <c r="E25" s="97" t="s">
        <v>513</v>
      </c>
      <c r="F25" s="262"/>
    </row>
    <row r="26" spans="1:6">
      <c r="A26" s="82" t="s">
        <v>79</v>
      </c>
      <c r="B26" s="83" t="s">
        <v>490</v>
      </c>
      <c r="C26" s="125" t="s">
        <v>514</v>
      </c>
      <c r="D26" s="136">
        <v>0.25</v>
      </c>
      <c r="E26" s="98" t="s">
        <v>513</v>
      </c>
      <c r="F26" s="262"/>
    </row>
    <row r="27" spans="1:6">
      <c r="A27" s="85" t="s">
        <v>79</v>
      </c>
      <c r="B27" s="86" t="s">
        <v>489</v>
      </c>
      <c r="C27" s="122" t="s">
        <v>515</v>
      </c>
      <c r="D27" s="137">
        <v>0.25</v>
      </c>
      <c r="E27" s="99" t="s">
        <v>513</v>
      </c>
      <c r="F27" s="262"/>
    </row>
    <row r="28" spans="1:6">
      <c r="A28" s="147" t="s">
        <v>79</v>
      </c>
      <c r="B28" s="148" t="s">
        <v>492</v>
      </c>
      <c r="C28" s="123" t="s">
        <v>516</v>
      </c>
      <c r="D28" s="137">
        <v>0.25</v>
      </c>
      <c r="E28" s="100" t="s">
        <v>513</v>
      </c>
      <c r="F28" s="262"/>
    </row>
    <row r="29" spans="1:6" ht="17.25" thickBot="1">
      <c r="A29" s="89" t="s">
        <v>79</v>
      </c>
      <c r="B29" s="90" t="s">
        <v>493</v>
      </c>
      <c r="C29" s="126" t="s">
        <v>517</v>
      </c>
      <c r="D29" s="138">
        <v>0.25</v>
      </c>
      <c r="E29" s="101" t="s">
        <v>513</v>
      </c>
      <c r="F29" s="262"/>
    </row>
    <row r="30" spans="1:6" ht="17.25" thickTop="1">
      <c r="A30" s="79" t="s">
        <v>81</v>
      </c>
      <c r="B30" s="80" t="s">
        <v>491</v>
      </c>
      <c r="C30" s="124" t="s">
        <v>518</v>
      </c>
      <c r="D30" s="135">
        <v>0.25</v>
      </c>
      <c r="E30" s="97" t="s">
        <v>513</v>
      </c>
      <c r="F30" s="262"/>
    </row>
    <row r="31" spans="1:6">
      <c r="A31" s="82" t="s">
        <v>81</v>
      </c>
      <c r="B31" s="83" t="s">
        <v>490</v>
      </c>
      <c r="C31" s="125" t="s">
        <v>519</v>
      </c>
      <c r="D31" s="136">
        <v>0.25</v>
      </c>
      <c r="E31" s="98" t="s">
        <v>513</v>
      </c>
      <c r="F31" s="262"/>
    </row>
    <row r="32" spans="1:6">
      <c r="A32" s="85" t="s">
        <v>81</v>
      </c>
      <c r="B32" s="86" t="s">
        <v>489</v>
      </c>
      <c r="C32" s="122" t="s">
        <v>520</v>
      </c>
      <c r="D32" s="314">
        <v>0.4</v>
      </c>
      <c r="E32" s="99" t="s">
        <v>513</v>
      </c>
      <c r="F32" s="262"/>
    </row>
    <row r="33" spans="1:16374">
      <c r="A33" s="147" t="s">
        <v>81</v>
      </c>
      <c r="B33" s="148" t="s">
        <v>492</v>
      </c>
      <c r="C33" s="123" t="s">
        <v>521</v>
      </c>
      <c r="D33" s="314">
        <v>1</v>
      </c>
      <c r="E33" s="100" t="s">
        <v>513</v>
      </c>
      <c r="F33" s="262"/>
    </row>
    <row r="34" spans="1:16374" ht="17.25" thickBot="1">
      <c r="A34" s="89" t="s">
        <v>81</v>
      </c>
      <c r="B34" s="90" t="s">
        <v>493</v>
      </c>
      <c r="C34" s="126" t="s">
        <v>522</v>
      </c>
      <c r="D34" s="138">
        <v>1</v>
      </c>
      <c r="E34" s="101" t="s">
        <v>513</v>
      </c>
      <c r="F34" s="262"/>
    </row>
    <row r="35" spans="1:16374" ht="17.25" thickTop="1">
      <c r="A35" s="102" t="s">
        <v>83</v>
      </c>
      <c r="B35" s="103"/>
      <c r="C35" s="125" t="s">
        <v>523</v>
      </c>
      <c r="D35" s="136">
        <v>1</v>
      </c>
      <c r="E35" s="104" t="s">
        <v>513</v>
      </c>
      <c r="F35" s="262"/>
    </row>
    <row r="36" spans="1:16374">
      <c r="A36" s="102" t="s">
        <v>562</v>
      </c>
      <c r="B36" s="103"/>
      <c r="C36" s="125" t="s">
        <v>563</v>
      </c>
      <c r="D36" s="136">
        <v>1</v>
      </c>
      <c r="E36" s="104" t="s">
        <v>513</v>
      </c>
      <c r="F36" s="262"/>
    </row>
    <row r="37" spans="1:16374">
      <c r="A37" s="105" t="s">
        <v>85</v>
      </c>
      <c r="B37" s="95"/>
      <c r="C37" s="122" t="s">
        <v>524</v>
      </c>
      <c r="D37" s="137">
        <v>1</v>
      </c>
      <c r="E37" s="106" t="s">
        <v>513</v>
      </c>
      <c r="F37" s="262"/>
    </row>
    <row r="38" spans="1:16374">
      <c r="A38" s="105" t="s">
        <v>556</v>
      </c>
      <c r="B38" s="95"/>
      <c r="C38" s="122" t="s">
        <v>557</v>
      </c>
      <c r="D38" s="137">
        <v>1</v>
      </c>
      <c r="E38" s="106" t="s">
        <v>513</v>
      </c>
      <c r="F38" s="262"/>
    </row>
    <row r="39" spans="1:16374" ht="14.45" customHeight="1">
      <c r="A39" s="105" t="s">
        <v>560</v>
      </c>
      <c r="B39" s="95"/>
      <c r="C39" s="122" t="s">
        <v>561</v>
      </c>
      <c r="D39" s="137">
        <v>1</v>
      </c>
      <c r="E39" s="106" t="s">
        <v>513</v>
      </c>
      <c r="F39" s="262"/>
    </row>
    <row r="40" spans="1:16374" ht="14.45" customHeight="1">
      <c r="A40" s="105" t="s">
        <v>585</v>
      </c>
      <c r="B40" s="95"/>
      <c r="C40" s="122" t="s">
        <v>588</v>
      </c>
      <c r="D40" s="137">
        <v>1</v>
      </c>
      <c r="E40" s="106" t="s">
        <v>513</v>
      </c>
      <c r="F40" s="262"/>
    </row>
    <row r="41" spans="1:16374">
      <c r="A41" s="105" t="s">
        <v>87</v>
      </c>
      <c r="B41" s="95"/>
      <c r="C41" s="122" t="s">
        <v>525</v>
      </c>
      <c r="D41" s="137">
        <v>1</v>
      </c>
      <c r="E41" s="106" t="s">
        <v>513</v>
      </c>
      <c r="F41" s="262"/>
    </row>
    <row r="42" spans="1:16374">
      <c r="A42" s="105" t="s">
        <v>564</v>
      </c>
      <c r="B42" s="107"/>
      <c r="C42" s="122" t="s">
        <v>565</v>
      </c>
      <c r="D42" s="137">
        <v>1</v>
      </c>
      <c r="E42" s="106" t="s">
        <v>513</v>
      </c>
      <c r="F42" s="263"/>
      <c r="H42" s="42"/>
      <c r="I42" s="43"/>
      <c r="J42" s="44"/>
      <c r="L42" s="42"/>
      <c r="M42" s="43"/>
      <c r="N42" s="44"/>
      <c r="P42" s="42"/>
      <c r="Q42" s="43"/>
      <c r="R42" s="44"/>
      <c r="T42" s="42"/>
      <c r="U42" s="43"/>
      <c r="V42" s="44"/>
      <c r="X42" s="42"/>
      <c r="Y42" s="43"/>
      <c r="Z42" s="44"/>
      <c r="AB42" s="42"/>
      <c r="AC42" s="43"/>
      <c r="AD42" s="44"/>
      <c r="AF42" s="42"/>
      <c r="AG42" s="43"/>
      <c r="AH42" s="44"/>
      <c r="AJ42" s="42"/>
      <c r="AK42" s="43"/>
      <c r="AL42" s="44"/>
      <c r="AN42" s="42"/>
      <c r="AO42" s="43"/>
      <c r="AP42" s="44"/>
      <c r="AR42" s="42"/>
      <c r="AS42" s="43"/>
      <c r="AT42" s="44"/>
      <c r="AV42" s="42"/>
      <c r="AW42" s="43"/>
      <c r="AX42" s="44"/>
      <c r="AZ42" s="42"/>
      <c r="BA42" s="43"/>
      <c r="BB42" s="44"/>
      <c r="BD42" s="42"/>
      <c r="BE42" s="43"/>
      <c r="BF42" s="44"/>
      <c r="BH42" s="42"/>
      <c r="BI42" s="43"/>
      <c r="BJ42" s="44"/>
      <c r="BL42" s="42"/>
      <c r="BM42" s="43"/>
      <c r="BN42" s="44"/>
      <c r="BP42" s="42"/>
      <c r="BQ42" s="43"/>
      <c r="BR42" s="44"/>
      <c r="BT42" s="42"/>
      <c r="BU42" s="43"/>
      <c r="BV42" s="44"/>
      <c r="BX42" s="42"/>
      <c r="BY42" s="43"/>
      <c r="BZ42" s="44"/>
      <c r="CB42" s="42"/>
      <c r="CC42" s="43"/>
      <c r="CD42" s="44"/>
      <c r="CF42" s="42"/>
      <c r="CG42" s="43"/>
      <c r="CH42" s="44"/>
      <c r="CJ42" s="42"/>
      <c r="CK42" s="43"/>
      <c r="CL42" s="44"/>
      <c r="CN42" s="42"/>
      <c r="CO42" s="43"/>
      <c r="CP42" s="44"/>
      <c r="CR42" s="42"/>
      <c r="CS42" s="43"/>
      <c r="CT42" s="44"/>
      <c r="CV42" s="42"/>
      <c r="CW42" s="43"/>
      <c r="CX42" s="44"/>
      <c r="CZ42" s="42"/>
      <c r="DA42" s="43"/>
      <c r="DB42" s="44"/>
      <c r="DD42" s="42"/>
      <c r="DE42" s="43"/>
      <c r="DF42" s="44"/>
      <c r="DH42" s="42"/>
      <c r="DI42" s="43"/>
      <c r="DJ42" s="44"/>
      <c r="DL42" s="42"/>
      <c r="DM42" s="43"/>
      <c r="DN42" s="44"/>
      <c r="DP42" s="42"/>
      <c r="DQ42" s="43"/>
      <c r="DR42" s="44"/>
      <c r="DT42" s="42"/>
      <c r="DU42" s="43"/>
      <c r="DV42" s="44"/>
      <c r="DX42" s="42"/>
      <c r="DY42" s="43"/>
      <c r="DZ42" s="44"/>
      <c r="EB42" s="42"/>
      <c r="EC42" s="43"/>
      <c r="ED42" s="44"/>
      <c r="EF42" s="42"/>
      <c r="EG42" s="43"/>
      <c r="EH42" s="44"/>
      <c r="EJ42" s="42"/>
      <c r="EK42" s="43"/>
      <c r="EL42" s="44"/>
      <c r="EN42" s="42"/>
      <c r="EO42" s="43"/>
      <c r="EP42" s="44"/>
      <c r="ER42" s="42"/>
      <c r="ES42" s="43"/>
      <c r="ET42" s="44"/>
      <c r="EV42" s="42"/>
      <c r="EW42" s="43"/>
      <c r="EX42" s="44"/>
      <c r="EZ42" s="42"/>
      <c r="FA42" s="43"/>
      <c r="FB42" s="44"/>
      <c r="FD42" s="42"/>
      <c r="FE42" s="43"/>
      <c r="FF42" s="44"/>
      <c r="FH42" s="42"/>
      <c r="FI42" s="43"/>
      <c r="FJ42" s="44"/>
      <c r="FL42" s="42"/>
      <c r="FM42" s="43"/>
      <c r="FN42" s="44"/>
      <c r="FP42" s="42"/>
      <c r="FQ42" s="43"/>
      <c r="FR42" s="44"/>
      <c r="FT42" s="42"/>
      <c r="FU42" s="43"/>
      <c r="FV42" s="44"/>
      <c r="FX42" s="42"/>
      <c r="FY42" s="43"/>
      <c r="FZ42" s="44"/>
      <c r="GB42" s="42"/>
      <c r="GC42" s="43"/>
      <c r="GD42" s="44"/>
      <c r="GF42" s="42"/>
      <c r="GG42" s="43"/>
      <c r="GH42" s="44"/>
      <c r="GJ42" s="42"/>
      <c r="GK42" s="43"/>
      <c r="GL42" s="44"/>
      <c r="GN42" s="42"/>
      <c r="GO42" s="43"/>
      <c r="GP42" s="44"/>
      <c r="GR42" s="42"/>
      <c r="GS42" s="43"/>
      <c r="GT42" s="44"/>
      <c r="GV42" s="42"/>
      <c r="GW42" s="43"/>
      <c r="GX42" s="44"/>
      <c r="GZ42" s="42"/>
      <c r="HA42" s="43"/>
      <c r="HB42" s="44"/>
      <c r="HD42" s="42"/>
      <c r="HE42" s="43"/>
      <c r="HF42" s="44"/>
      <c r="HH42" s="42"/>
      <c r="HI42" s="43"/>
      <c r="HJ42" s="44"/>
      <c r="HL42" s="42"/>
      <c r="HM42" s="43"/>
      <c r="HN42" s="44"/>
      <c r="HP42" s="42"/>
      <c r="HQ42" s="43"/>
      <c r="HR42" s="44"/>
      <c r="HT42" s="42"/>
      <c r="HU42" s="43"/>
      <c r="HV42" s="44"/>
      <c r="HX42" s="42"/>
      <c r="HY42" s="43"/>
      <c r="HZ42" s="44"/>
      <c r="IB42" s="42"/>
      <c r="IC42" s="43"/>
      <c r="ID42" s="44"/>
      <c r="IF42" s="42"/>
      <c r="IG42" s="43"/>
      <c r="IH42" s="44"/>
      <c r="IJ42" s="42"/>
      <c r="IK42" s="43"/>
      <c r="IL42" s="44"/>
      <c r="IN42" s="42"/>
      <c r="IO42" s="43"/>
      <c r="IP42" s="44"/>
      <c r="IR42" s="42"/>
      <c r="IS42" s="43"/>
      <c r="IT42" s="44"/>
      <c r="IV42" s="42"/>
      <c r="IW42" s="43"/>
      <c r="IX42" s="44"/>
      <c r="IZ42" s="42"/>
      <c r="JA42" s="43"/>
      <c r="JB42" s="44"/>
      <c r="JD42" s="42"/>
      <c r="JE42" s="43"/>
      <c r="JF42" s="44"/>
      <c r="JH42" s="42"/>
      <c r="JI42" s="43"/>
      <c r="JJ42" s="44"/>
      <c r="JL42" s="42"/>
      <c r="JM42" s="43"/>
      <c r="JN42" s="44"/>
      <c r="JP42" s="42"/>
      <c r="JQ42" s="43"/>
      <c r="JR42" s="44"/>
      <c r="JT42" s="42"/>
      <c r="JU42" s="43"/>
      <c r="JV42" s="44"/>
      <c r="JX42" s="42"/>
      <c r="JY42" s="43"/>
      <c r="JZ42" s="44"/>
      <c r="KB42" s="42"/>
      <c r="KC42" s="43"/>
      <c r="KD42" s="44"/>
      <c r="KF42" s="42"/>
      <c r="KG42" s="43"/>
      <c r="KH42" s="44"/>
      <c r="KJ42" s="42"/>
      <c r="KK42" s="43"/>
      <c r="KL42" s="44"/>
      <c r="KN42" s="42"/>
      <c r="KO42" s="43"/>
      <c r="KP42" s="44"/>
      <c r="KR42" s="42"/>
      <c r="KS42" s="43"/>
      <c r="KT42" s="44"/>
      <c r="KV42" s="42"/>
      <c r="KW42" s="43"/>
      <c r="KX42" s="44"/>
      <c r="KZ42" s="42"/>
      <c r="LA42" s="43"/>
      <c r="LB42" s="44"/>
      <c r="LD42" s="42"/>
      <c r="LE42" s="43"/>
      <c r="LF42" s="44"/>
      <c r="LH42" s="42"/>
      <c r="LI42" s="43"/>
      <c r="LJ42" s="44"/>
      <c r="LL42" s="42"/>
      <c r="LM42" s="43"/>
      <c r="LN42" s="44"/>
      <c r="LP42" s="42"/>
      <c r="LQ42" s="43"/>
      <c r="LR42" s="44"/>
      <c r="LT42" s="42"/>
      <c r="LU42" s="43"/>
      <c r="LV42" s="44"/>
      <c r="LX42" s="42"/>
      <c r="LY42" s="43"/>
      <c r="LZ42" s="44"/>
      <c r="MB42" s="42"/>
      <c r="MC42" s="43"/>
      <c r="MD42" s="44"/>
      <c r="MF42" s="42"/>
      <c r="MG42" s="43"/>
      <c r="MH42" s="44"/>
      <c r="MJ42" s="42"/>
      <c r="MK42" s="43"/>
      <c r="ML42" s="44"/>
      <c r="MN42" s="42"/>
      <c r="MO42" s="43"/>
      <c r="MP42" s="44"/>
      <c r="MR42" s="42"/>
      <c r="MS42" s="43"/>
      <c r="MT42" s="44"/>
      <c r="MV42" s="42"/>
      <c r="MW42" s="43"/>
      <c r="MX42" s="44"/>
      <c r="MZ42" s="42"/>
      <c r="NA42" s="43"/>
      <c r="NB42" s="44"/>
      <c r="ND42" s="42"/>
      <c r="NE42" s="43"/>
      <c r="NF42" s="44"/>
      <c r="NH42" s="42"/>
      <c r="NI42" s="43"/>
      <c r="NJ42" s="44"/>
      <c r="NL42" s="42"/>
      <c r="NM42" s="43"/>
      <c r="NN42" s="44"/>
      <c r="NP42" s="42"/>
      <c r="NQ42" s="43"/>
      <c r="NR42" s="44"/>
      <c r="NT42" s="42"/>
      <c r="NU42" s="43"/>
      <c r="NV42" s="44"/>
      <c r="NX42" s="42"/>
      <c r="NY42" s="43"/>
      <c r="NZ42" s="44"/>
      <c r="OB42" s="42"/>
      <c r="OC42" s="43"/>
      <c r="OD42" s="44"/>
      <c r="OF42" s="42"/>
      <c r="OG42" s="43"/>
      <c r="OH42" s="44"/>
      <c r="OJ42" s="42"/>
      <c r="OK42" s="43"/>
      <c r="OL42" s="44"/>
      <c r="ON42" s="42"/>
      <c r="OO42" s="43"/>
      <c r="OP42" s="44"/>
      <c r="OR42" s="42"/>
      <c r="OS42" s="43"/>
      <c r="OT42" s="44"/>
      <c r="OV42" s="42"/>
      <c r="OW42" s="43"/>
      <c r="OX42" s="44"/>
      <c r="OZ42" s="42"/>
      <c r="PA42" s="43"/>
      <c r="PB42" s="44"/>
      <c r="PD42" s="42"/>
      <c r="PE42" s="43"/>
      <c r="PF42" s="44"/>
      <c r="PH42" s="42"/>
      <c r="PI42" s="43"/>
      <c r="PJ42" s="44"/>
      <c r="PL42" s="42"/>
      <c r="PM42" s="43"/>
      <c r="PN42" s="44"/>
      <c r="PP42" s="42"/>
      <c r="PQ42" s="43"/>
      <c r="PR42" s="44"/>
      <c r="PT42" s="42"/>
      <c r="PU42" s="43"/>
      <c r="PV42" s="44"/>
      <c r="PX42" s="42"/>
      <c r="PY42" s="43"/>
      <c r="PZ42" s="44"/>
      <c r="QB42" s="42"/>
      <c r="QC42" s="43"/>
      <c r="QD42" s="44"/>
      <c r="QF42" s="42"/>
      <c r="QG42" s="43"/>
      <c r="QH42" s="44"/>
      <c r="QJ42" s="42"/>
      <c r="QK42" s="43"/>
      <c r="QL42" s="44"/>
      <c r="QN42" s="42"/>
      <c r="QO42" s="43"/>
      <c r="QP42" s="44"/>
      <c r="QR42" s="42"/>
      <c r="QS42" s="43"/>
      <c r="QT42" s="44"/>
      <c r="QV42" s="42"/>
      <c r="QW42" s="43"/>
      <c r="QX42" s="44"/>
      <c r="QZ42" s="42"/>
      <c r="RA42" s="43"/>
      <c r="RB42" s="44"/>
      <c r="RD42" s="42"/>
      <c r="RE42" s="43"/>
      <c r="RF42" s="44"/>
      <c r="RH42" s="42"/>
      <c r="RI42" s="43"/>
      <c r="RJ42" s="44"/>
      <c r="RL42" s="42"/>
      <c r="RM42" s="43"/>
      <c r="RN42" s="44"/>
      <c r="RP42" s="42"/>
      <c r="RQ42" s="43"/>
      <c r="RR42" s="44"/>
      <c r="RT42" s="42"/>
      <c r="RU42" s="43"/>
      <c r="RV42" s="44"/>
      <c r="RX42" s="42"/>
      <c r="RY42" s="43"/>
      <c r="RZ42" s="44"/>
      <c r="SB42" s="42"/>
      <c r="SC42" s="43"/>
      <c r="SD42" s="44"/>
      <c r="SF42" s="42"/>
      <c r="SG42" s="43"/>
      <c r="SH42" s="44"/>
      <c r="SJ42" s="42"/>
      <c r="SK42" s="43"/>
      <c r="SL42" s="44"/>
      <c r="SN42" s="42"/>
      <c r="SO42" s="43"/>
      <c r="SP42" s="44"/>
      <c r="SR42" s="42"/>
      <c r="SS42" s="43"/>
      <c r="ST42" s="44"/>
      <c r="SV42" s="42"/>
      <c r="SW42" s="43"/>
      <c r="SX42" s="44"/>
      <c r="SZ42" s="42"/>
      <c r="TA42" s="43"/>
      <c r="TB42" s="44"/>
      <c r="TD42" s="42"/>
      <c r="TE42" s="43"/>
      <c r="TF42" s="44"/>
      <c r="TH42" s="42"/>
      <c r="TI42" s="43"/>
      <c r="TJ42" s="44"/>
      <c r="TL42" s="42"/>
      <c r="TM42" s="43"/>
      <c r="TN42" s="44"/>
      <c r="TP42" s="42"/>
      <c r="TQ42" s="43"/>
      <c r="TR42" s="44"/>
      <c r="TT42" s="42"/>
      <c r="TU42" s="43"/>
      <c r="TV42" s="44"/>
      <c r="TX42" s="42"/>
      <c r="TY42" s="43"/>
      <c r="TZ42" s="44"/>
      <c r="UB42" s="42"/>
      <c r="UC42" s="43"/>
      <c r="UD42" s="44"/>
      <c r="UF42" s="42"/>
      <c r="UG42" s="43"/>
      <c r="UH42" s="44"/>
      <c r="UJ42" s="42"/>
      <c r="UK42" s="43"/>
      <c r="UL42" s="44"/>
      <c r="UN42" s="42"/>
      <c r="UO42" s="43"/>
      <c r="UP42" s="44"/>
      <c r="UR42" s="42"/>
      <c r="US42" s="43"/>
      <c r="UT42" s="44"/>
      <c r="UV42" s="42"/>
      <c r="UW42" s="43"/>
      <c r="UX42" s="44"/>
      <c r="UZ42" s="42"/>
      <c r="VA42" s="43"/>
      <c r="VB42" s="44"/>
      <c r="VD42" s="42"/>
      <c r="VE42" s="43"/>
      <c r="VF42" s="44"/>
      <c r="VH42" s="42"/>
      <c r="VI42" s="43"/>
      <c r="VJ42" s="44"/>
      <c r="VL42" s="42"/>
      <c r="VM42" s="43"/>
      <c r="VN42" s="44"/>
      <c r="VP42" s="42"/>
      <c r="VQ42" s="43"/>
      <c r="VR42" s="44"/>
      <c r="VT42" s="42"/>
      <c r="VU42" s="43"/>
      <c r="VV42" s="44"/>
      <c r="VX42" s="42"/>
      <c r="VY42" s="43"/>
      <c r="VZ42" s="44"/>
      <c r="WB42" s="42"/>
      <c r="WC42" s="43"/>
      <c r="WD42" s="44"/>
      <c r="WF42" s="42"/>
      <c r="WG42" s="43"/>
      <c r="WH42" s="44"/>
      <c r="WJ42" s="42"/>
      <c r="WK42" s="43"/>
      <c r="WL42" s="44"/>
      <c r="WN42" s="42"/>
      <c r="WO42" s="43"/>
      <c r="WP42" s="44"/>
      <c r="WR42" s="42"/>
      <c r="WS42" s="43"/>
      <c r="WT42" s="44"/>
      <c r="WV42" s="42"/>
      <c r="WW42" s="43"/>
      <c r="WX42" s="44"/>
      <c r="WZ42" s="42"/>
      <c r="XA42" s="43"/>
      <c r="XB42" s="44"/>
      <c r="XD42" s="42"/>
      <c r="XE42" s="43"/>
      <c r="XF42" s="44"/>
      <c r="XH42" s="42"/>
      <c r="XI42" s="43"/>
      <c r="XJ42" s="44"/>
      <c r="XL42" s="42"/>
      <c r="XM42" s="43"/>
      <c r="XN42" s="44"/>
      <c r="XP42" s="42"/>
      <c r="XQ42" s="43"/>
      <c r="XR42" s="44"/>
      <c r="XT42" s="42"/>
      <c r="XU42" s="43"/>
      <c r="XV42" s="44"/>
      <c r="XX42" s="42"/>
      <c r="XY42" s="43"/>
      <c r="XZ42" s="44"/>
      <c r="YB42" s="42"/>
      <c r="YC42" s="43"/>
      <c r="YD42" s="44"/>
      <c r="YF42" s="42"/>
      <c r="YG42" s="43"/>
      <c r="YH42" s="44"/>
      <c r="YJ42" s="42"/>
      <c r="YK42" s="43"/>
      <c r="YL42" s="44"/>
      <c r="YN42" s="42"/>
      <c r="YO42" s="43"/>
      <c r="YP42" s="44"/>
      <c r="YR42" s="42"/>
      <c r="YS42" s="43"/>
      <c r="YT42" s="44"/>
      <c r="YV42" s="42"/>
      <c r="YW42" s="43"/>
      <c r="YX42" s="44"/>
      <c r="YZ42" s="42"/>
      <c r="ZA42" s="43"/>
      <c r="ZB42" s="44"/>
      <c r="ZD42" s="42"/>
      <c r="ZE42" s="43"/>
      <c r="ZF42" s="44"/>
      <c r="ZH42" s="42"/>
      <c r="ZI42" s="43"/>
      <c r="ZJ42" s="44"/>
      <c r="ZL42" s="42"/>
      <c r="ZM42" s="43"/>
      <c r="ZN42" s="44"/>
      <c r="ZP42" s="42"/>
      <c r="ZQ42" s="43"/>
      <c r="ZR42" s="44"/>
      <c r="ZT42" s="42"/>
      <c r="ZU42" s="43"/>
      <c r="ZV42" s="44"/>
      <c r="ZX42" s="42"/>
      <c r="ZY42" s="43"/>
      <c r="ZZ42" s="44"/>
      <c r="AAB42" s="42"/>
      <c r="AAC42" s="43"/>
      <c r="AAD42" s="44"/>
      <c r="AAF42" s="42"/>
      <c r="AAG42" s="43"/>
      <c r="AAH42" s="44"/>
      <c r="AAJ42" s="42"/>
      <c r="AAK42" s="43"/>
      <c r="AAL42" s="44"/>
      <c r="AAN42" s="42"/>
      <c r="AAO42" s="43"/>
      <c r="AAP42" s="44"/>
      <c r="AAR42" s="42"/>
      <c r="AAS42" s="43"/>
      <c r="AAT42" s="44"/>
      <c r="AAV42" s="42"/>
      <c r="AAW42" s="43"/>
      <c r="AAX42" s="44"/>
      <c r="AAZ42" s="42"/>
      <c r="ABA42" s="43"/>
      <c r="ABB42" s="44"/>
      <c r="ABD42" s="42"/>
      <c r="ABE42" s="43"/>
      <c r="ABF42" s="44"/>
      <c r="ABH42" s="42"/>
      <c r="ABI42" s="43"/>
      <c r="ABJ42" s="44"/>
      <c r="ABL42" s="42"/>
      <c r="ABM42" s="43"/>
      <c r="ABN42" s="44"/>
      <c r="ABP42" s="42"/>
      <c r="ABQ42" s="43"/>
      <c r="ABR42" s="44"/>
      <c r="ABT42" s="42"/>
      <c r="ABU42" s="43"/>
      <c r="ABV42" s="44"/>
      <c r="ABX42" s="42"/>
      <c r="ABY42" s="43"/>
      <c r="ABZ42" s="44"/>
      <c r="ACB42" s="42"/>
      <c r="ACC42" s="43"/>
      <c r="ACD42" s="44"/>
      <c r="ACF42" s="42"/>
      <c r="ACG42" s="43"/>
      <c r="ACH42" s="44"/>
      <c r="ACJ42" s="42"/>
      <c r="ACK42" s="43"/>
      <c r="ACL42" s="44"/>
      <c r="ACN42" s="42"/>
      <c r="ACO42" s="43"/>
      <c r="ACP42" s="44"/>
      <c r="ACR42" s="42"/>
      <c r="ACS42" s="43"/>
      <c r="ACT42" s="44"/>
      <c r="ACV42" s="42"/>
      <c r="ACW42" s="43"/>
      <c r="ACX42" s="44"/>
      <c r="ACZ42" s="42"/>
      <c r="ADA42" s="43"/>
      <c r="ADB42" s="44"/>
      <c r="ADD42" s="42"/>
      <c r="ADE42" s="43"/>
      <c r="ADF42" s="44"/>
      <c r="ADH42" s="42"/>
      <c r="ADI42" s="43"/>
      <c r="ADJ42" s="44"/>
      <c r="ADL42" s="42"/>
      <c r="ADM42" s="43"/>
      <c r="ADN42" s="44"/>
      <c r="ADP42" s="42"/>
      <c r="ADQ42" s="43"/>
      <c r="ADR42" s="44"/>
      <c r="ADT42" s="42"/>
      <c r="ADU42" s="43"/>
      <c r="ADV42" s="44"/>
      <c r="ADX42" s="42"/>
      <c r="ADY42" s="43"/>
      <c r="ADZ42" s="44"/>
      <c r="AEB42" s="42"/>
      <c r="AEC42" s="43"/>
      <c r="AED42" s="44"/>
      <c r="AEF42" s="42"/>
      <c r="AEG42" s="43"/>
      <c r="AEH42" s="44"/>
      <c r="AEJ42" s="42"/>
      <c r="AEK42" s="43"/>
      <c r="AEL42" s="44"/>
      <c r="AEN42" s="42"/>
      <c r="AEO42" s="43"/>
      <c r="AEP42" s="44"/>
      <c r="AER42" s="42"/>
      <c r="AES42" s="43"/>
      <c r="AET42" s="44"/>
      <c r="AEV42" s="42"/>
      <c r="AEW42" s="43"/>
      <c r="AEX42" s="44"/>
      <c r="AEZ42" s="42"/>
      <c r="AFA42" s="43"/>
      <c r="AFB42" s="44"/>
      <c r="AFD42" s="42"/>
      <c r="AFE42" s="43"/>
      <c r="AFF42" s="44"/>
      <c r="AFH42" s="42"/>
      <c r="AFI42" s="43"/>
      <c r="AFJ42" s="44"/>
      <c r="AFL42" s="42"/>
      <c r="AFM42" s="43"/>
      <c r="AFN42" s="44"/>
      <c r="AFP42" s="42"/>
      <c r="AFQ42" s="43"/>
      <c r="AFR42" s="44"/>
      <c r="AFT42" s="42"/>
      <c r="AFU42" s="43"/>
      <c r="AFV42" s="44"/>
      <c r="AFX42" s="42"/>
      <c r="AFY42" s="43"/>
      <c r="AFZ42" s="44"/>
      <c r="AGB42" s="42"/>
      <c r="AGC42" s="43"/>
      <c r="AGD42" s="44"/>
      <c r="AGF42" s="42"/>
      <c r="AGG42" s="43"/>
      <c r="AGH42" s="44"/>
      <c r="AGJ42" s="42"/>
      <c r="AGK42" s="43"/>
      <c r="AGL42" s="44"/>
      <c r="AGN42" s="42"/>
      <c r="AGO42" s="43"/>
      <c r="AGP42" s="44"/>
      <c r="AGR42" s="42"/>
      <c r="AGS42" s="43"/>
      <c r="AGT42" s="44"/>
      <c r="AGV42" s="42"/>
      <c r="AGW42" s="43"/>
      <c r="AGX42" s="44"/>
      <c r="AGZ42" s="42"/>
      <c r="AHA42" s="43"/>
      <c r="AHB42" s="44"/>
      <c r="AHD42" s="42"/>
      <c r="AHE42" s="43"/>
      <c r="AHF42" s="44"/>
      <c r="AHH42" s="42"/>
      <c r="AHI42" s="43"/>
      <c r="AHJ42" s="44"/>
      <c r="AHL42" s="42"/>
      <c r="AHM42" s="43"/>
      <c r="AHN42" s="44"/>
      <c r="AHP42" s="42"/>
      <c r="AHQ42" s="43"/>
      <c r="AHR42" s="44"/>
      <c r="AHT42" s="42"/>
      <c r="AHU42" s="43"/>
      <c r="AHV42" s="44"/>
      <c r="AHX42" s="42"/>
      <c r="AHY42" s="43"/>
      <c r="AHZ42" s="44"/>
      <c r="AIB42" s="42"/>
      <c r="AIC42" s="43"/>
      <c r="AID42" s="44"/>
      <c r="AIF42" s="42"/>
      <c r="AIG42" s="43"/>
      <c r="AIH42" s="44"/>
      <c r="AIJ42" s="42"/>
      <c r="AIK42" s="43"/>
      <c r="AIL42" s="44"/>
      <c r="AIN42" s="42"/>
      <c r="AIO42" s="43"/>
      <c r="AIP42" s="44"/>
      <c r="AIR42" s="42"/>
      <c r="AIS42" s="43"/>
      <c r="AIT42" s="44"/>
      <c r="AIV42" s="42"/>
      <c r="AIW42" s="43"/>
      <c r="AIX42" s="44"/>
      <c r="AIZ42" s="42"/>
      <c r="AJA42" s="43"/>
      <c r="AJB42" s="44"/>
      <c r="AJD42" s="42"/>
      <c r="AJE42" s="43"/>
      <c r="AJF42" s="44"/>
      <c r="AJH42" s="42"/>
      <c r="AJI42" s="43"/>
      <c r="AJJ42" s="44"/>
      <c r="AJL42" s="42"/>
      <c r="AJM42" s="43"/>
      <c r="AJN42" s="44"/>
      <c r="AJP42" s="42"/>
      <c r="AJQ42" s="43"/>
      <c r="AJR42" s="44"/>
      <c r="AJT42" s="42"/>
      <c r="AJU42" s="43"/>
      <c r="AJV42" s="44"/>
      <c r="AJX42" s="42"/>
      <c r="AJY42" s="43"/>
      <c r="AJZ42" s="44"/>
      <c r="AKB42" s="42"/>
      <c r="AKC42" s="43"/>
      <c r="AKD42" s="44"/>
      <c r="AKF42" s="42"/>
      <c r="AKG42" s="43"/>
      <c r="AKH42" s="44"/>
      <c r="AKJ42" s="42"/>
      <c r="AKK42" s="43"/>
      <c r="AKL42" s="44"/>
      <c r="AKN42" s="42"/>
      <c r="AKO42" s="43"/>
      <c r="AKP42" s="44"/>
      <c r="AKR42" s="42"/>
      <c r="AKS42" s="43"/>
      <c r="AKT42" s="44"/>
      <c r="AKV42" s="42"/>
      <c r="AKW42" s="43"/>
      <c r="AKX42" s="44"/>
      <c r="AKZ42" s="42"/>
      <c r="ALA42" s="43"/>
      <c r="ALB42" s="44"/>
      <c r="ALD42" s="42"/>
      <c r="ALE42" s="43"/>
      <c r="ALF42" s="44"/>
      <c r="ALH42" s="42"/>
      <c r="ALI42" s="43"/>
      <c r="ALJ42" s="44"/>
      <c r="ALL42" s="42"/>
      <c r="ALM42" s="43"/>
      <c r="ALN42" s="44"/>
      <c r="ALP42" s="42"/>
      <c r="ALQ42" s="43"/>
      <c r="ALR42" s="44"/>
      <c r="ALT42" s="42"/>
      <c r="ALU42" s="43"/>
      <c r="ALV42" s="44"/>
      <c r="ALX42" s="42"/>
      <c r="ALY42" s="43"/>
      <c r="ALZ42" s="44"/>
      <c r="AMB42" s="42"/>
      <c r="AMC42" s="43"/>
      <c r="AMD42" s="44"/>
      <c r="AMF42" s="42"/>
      <c r="AMG42" s="43"/>
      <c r="AMH42" s="44"/>
      <c r="AMJ42" s="42"/>
      <c r="AMK42" s="43"/>
      <c r="AML42" s="44"/>
      <c r="AMN42" s="42"/>
      <c r="AMO42" s="43"/>
      <c r="AMP42" s="44"/>
      <c r="AMR42" s="42"/>
      <c r="AMS42" s="43"/>
      <c r="AMT42" s="44"/>
      <c r="AMV42" s="42"/>
      <c r="AMW42" s="43"/>
      <c r="AMX42" s="44"/>
      <c r="AMZ42" s="42"/>
      <c r="ANA42" s="43"/>
      <c r="ANB42" s="44"/>
      <c r="AND42" s="42"/>
      <c r="ANE42" s="43"/>
      <c r="ANF42" s="44"/>
      <c r="ANH42" s="42"/>
      <c r="ANI42" s="43"/>
      <c r="ANJ42" s="44"/>
      <c r="ANL42" s="42"/>
      <c r="ANM42" s="43"/>
      <c r="ANN42" s="44"/>
      <c r="ANP42" s="42"/>
      <c r="ANQ42" s="43"/>
      <c r="ANR42" s="44"/>
      <c r="ANT42" s="42"/>
      <c r="ANU42" s="43"/>
      <c r="ANV42" s="44"/>
      <c r="ANX42" s="42"/>
      <c r="ANY42" s="43"/>
      <c r="ANZ42" s="44"/>
      <c r="AOB42" s="42"/>
      <c r="AOC42" s="43"/>
      <c r="AOD42" s="44"/>
      <c r="AOF42" s="42"/>
      <c r="AOG42" s="43"/>
      <c r="AOH42" s="44"/>
      <c r="AOJ42" s="42"/>
      <c r="AOK42" s="43"/>
      <c r="AOL42" s="44"/>
      <c r="AON42" s="42"/>
      <c r="AOO42" s="43"/>
      <c r="AOP42" s="44"/>
      <c r="AOR42" s="42"/>
      <c r="AOS42" s="43"/>
      <c r="AOT42" s="44"/>
      <c r="AOV42" s="42"/>
      <c r="AOW42" s="43"/>
      <c r="AOX42" s="44"/>
      <c r="AOZ42" s="42"/>
      <c r="APA42" s="43"/>
      <c r="APB42" s="44"/>
      <c r="APD42" s="42"/>
      <c r="APE42" s="43"/>
      <c r="APF42" s="44"/>
      <c r="APH42" s="42"/>
      <c r="API42" s="43"/>
      <c r="APJ42" s="44"/>
      <c r="APL42" s="42"/>
      <c r="APM42" s="43"/>
      <c r="APN42" s="44"/>
      <c r="APP42" s="42"/>
      <c r="APQ42" s="43"/>
      <c r="APR42" s="44"/>
      <c r="APT42" s="42"/>
      <c r="APU42" s="43"/>
      <c r="APV42" s="44"/>
      <c r="APX42" s="42"/>
      <c r="APY42" s="43"/>
      <c r="APZ42" s="44"/>
      <c r="AQB42" s="42"/>
      <c r="AQC42" s="43"/>
      <c r="AQD42" s="44"/>
      <c r="AQF42" s="42"/>
      <c r="AQG42" s="43"/>
      <c r="AQH42" s="44"/>
      <c r="AQJ42" s="42"/>
      <c r="AQK42" s="43"/>
      <c r="AQL42" s="44"/>
      <c r="AQN42" s="42"/>
      <c r="AQO42" s="43"/>
      <c r="AQP42" s="44"/>
      <c r="AQR42" s="42"/>
      <c r="AQS42" s="43"/>
      <c r="AQT42" s="44"/>
      <c r="AQV42" s="42"/>
      <c r="AQW42" s="43"/>
      <c r="AQX42" s="44"/>
      <c r="AQZ42" s="42"/>
      <c r="ARA42" s="43"/>
      <c r="ARB42" s="44"/>
      <c r="ARD42" s="42"/>
      <c r="ARE42" s="43"/>
      <c r="ARF42" s="44"/>
      <c r="ARH42" s="42"/>
      <c r="ARI42" s="43"/>
      <c r="ARJ42" s="44"/>
      <c r="ARL42" s="42"/>
      <c r="ARM42" s="43"/>
      <c r="ARN42" s="44"/>
      <c r="ARP42" s="42"/>
      <c r="ARQ42" s="43"/>
      <c r="ARR42" s="44"/>
      <c r="ART42" s="42"/>
      <c r="ARU42" s="43"/>
      <c r="ARV42" s="44"/>
      <c r="ARX42" s="42"/>
      <c r="ARY42" s="43"/>
      <c r="ARZ42" s="44"/>
      <c r="ASB42" s="42"/>
      <c r="ASC42" s="43"/>
      <c r="ASD42" s="44"/>
      <c r="ASF42" s="42"/>
      <c r="ASG42" s="43"/>
      <c r="ASH42" s="44"/>
      <c r="ASJ42" s="42"/>
      <c r="ASK42" s="43"/>
      <c r="ASL42" s="44"/>
      <c r="ASN42" s="42"/>
      <c r="ASO42" s="43"/>
      <c r="ASP42" s="44"/>
      <c r="ASR42" s="42"/>
      <c r="ASS42" s="43"/>
      <c r="AST42" s="44"/>
      <c r="ASV42" s="42"/>
      <c r="ASW42" s="43"/>
      <c r="ASX42" s="44"/>
      <c r="ASZ42" s="42"/>
      <c r="ATA42" s="43"/>
      <c r="ATB42" s="44"/>
      <c r="ATD42" s="42"/>
      <c r="ATE42" s="43"/>
      <c r="ATF42" s="44"/>
      <c r="ATH42" s="42"/>
      <c r="ATI42" s="43"/>
      <c r="ATJ42" s="44"/>
      <c r="ATL42" s="42"/>
      <c r="ATM42" s="43"/>
      <c r="ATN42" s="44"/>
      <c r="ATP42" s="42"/>
      <c r="ATQ42" s="43"/>
      <c r="ATR42" s="44"/>
      <c r="ATT42" s="42"/>
      <c r="ATU42" s="43"/>
      <c r="ATV42" s="44"/>
      <c r="ATX42" s="42"/>
      <c r="ATY42" s="43"/>
      <c r="ATZ42" s="44"/>
      <c r="AUB42" s="42"/>
      <c r="AUC42" s="43"/>
      <c r="AUD42" s="44"/>
      <c r="AUF42" s="42"/>
      <c r="AUG42" s="43"/>
      <c r="AUH42" s="44"/>
      <c r="AUJ42" s="42"/>
      <c r="AUK42" s="43"/>
      <c r="AUL42" s="44"/>
      <c r="AUN42" s="42"/>
      <c r="AUO42" s="43"/>
      <c r="AUP42" s="44"/>
      <c r="AUR42" s="42"/>
      <c r="AUS42" s="43"/>
      <c r="AUT42" s="44"/>
      <c r="AUV42" s="42"/>
      <c r="AUW42" s="43"/>
      <c r="AUX42" s="44"/>
      <c r="AUZ42" s="42"/>
      <c r="AVA42" s="43"/>
      <c r="AVB42" s="44"/>
      <c r="AVD42" s="42"/>
      <c r="AVE42" s="43"/>
      <c r="AVF42" s="44"/>
      <c r="AVH42" s="42"/>
      <c r="AVI42" s="43"/>
      <c r="AVJ42" s="44"/>
      <c r="AVL42" s="42"/>
      <c r="AVM42" s="43"/>
      <c r="AVN42" s="44"/>
      <c r="AVP42" s="42"/>
      <c r="AVQ42" s="43"/>
      <c r="AVR42" s="44"/>
      <c r="AVT42" s="42"/>
      <c r="AVU42" s="43"/>
      <c r="AVV42" s="44"/>
      <c r="AVX42" s="42"/>
      <c r="AVY42" s="43"/>
      <c r="AVZ42" s="44"/>
      <c r="AWB42" s="42"/>
      <c r="AWC42" s="43"/>
      <c r="AWD42" s="44"/>
      <c r="AWF42" s="42"/>
      <c r="AWG42" s="43"/>
      <c r="AWH42" s="44"/>
      <c r="AWJ42" s="42"/>
      <c r="AWK42" s="43"/>
      <c r="AWL42" s="44"/>
      <c r="AWN42" s="42"/>
      <c r="AWO42" s="43"/>
      <c r="AWP42" s="44"/>
      <c r="AWR42" s="42"/>
      <c r="AWS42" s="43"/>
      <c r="AWT42" s="44"/>
      <c r="AWV42" s="42"/>
      <c r="AWW42" s="43"/>
      <c r="AWX42" s="44"/>
      <c r="AWZ42" s="42"/>
      <c r="AXA42" s="43"/>
      <c r="AXB42" s="44"/>
      <c r="AXD42" s="42"/>
      <c r="AXE42" s="43"/>
      <c r="AXF42" s="44"/>
      <c r="AXH42" s="42"/>
      <c r="AXI42" s="43"/>
      <c r="AXJ42" s="44"/>
      <c r="AXL42" s="42"/>
      <c r="AXM42" s="43"/>
      <c r="AXN42" s="44"/>
      <c r="AXP42" s="42"/>
      <c r="AXQ42" s="43"/>
      <c r="AXR42" s="44"/>
      <c r="AXT42" s="42"/>
      <c r="AXU42" s="43"/>
      <c r="AXV42" s="44"/>
      <c r="AXX42" s="42"/>
      <c r="AXY42" s="43"/>
      <c r="AXZ42" s="44"/>
      <c r="AYB42" s="42"/>
      <c r="AYC42" s="43"/>
      <c r="AYD42" s="44"/>
      <c r="AYF42" s="42"/>
      <c r="AYG42" s="43"/>
      <c r="AYH42" s="44"/>
      <c r="AYJ42" s="42"/>
      <c r="AYK42" s="43"/>
      <c r="AYL42" s="44"/>
      <c r="AYN42" s="42"/>
      <c r="AYO42" s="43"/>
      <c r="AYP42" s="44"/>
      <c r="AYR42" s="42"/>
      <c r="AYS42" s="43"/>
      <c r="AYT42" s="44"/>
      <c r="AYV42" s="42"/>
      <c r="AYW42" s="43"/>
      <c r="AYX42" s="44"/>
      <c r="AYZ42" s="42"/>
      <c r="AZA42" s="43"/>
      <c r="AZB42" s="44"/>
      <c r="AZD42" s="42"/>
      <c r="AZE42" s="43"/>
      <c r="AZF42" s="44"/>
      <c r="AZH42" s="42"/>
      <c r="AZI42" s="43"/>
      <c r="AZJ42" s="44"/>
      <c r="AZL42" s="42"/>
      <c r="AZM42" s="43"/>
      <c r="AZN42" s="44"/>
      <c r="AZP42" s="42"/>
      <c r="AZQ42" s="43"/>
      <c r="AZR42" s="44"/>
      <c r="AZT42" s="42"/>
      <c r="AZU42" s="43"/>
      <c r="AZV42" s="44"/>
      <c r="AZX42" s="42"/>
      <c r="AZY42" s="43"/>
      <c r="AZZ42" s="44"/>
      <c r="BAB42" s="42"/>
      <c r="BAC42" s="43"/>
      <c r="BAD42" s="44"/>
      <c r="BAF42" s="42"/>
      <c r="BAG42" s="43"/>
      <c r="BAH42" s="44"/>
      <c r="BAJ42" s="42"/>
      <c r="BAK42" s="43"/>
      <c r="BAL42" s="44"/>
      <c r="BAN42" s="42"/>
      <c r="BAO42" s="43"/>
      <c r="BAP42" s="44"/>
      <c r="BAR42" s="42"/>
      <c r="BAS42" s="43"/>
      <c r="BAT42" s="44"/>
      <c r="BAV42" s="42"/>
      <c r="BAW42" s="43"/>
      <c r="BAX42" s="44"/>
      <c r="BAZ42" s="42"/>
      <c r="BBA42" s="43"/>
      <c r="BBB42" s="44"/>
      <c r="BBD42" s="42"/>
      <c r="BBE42" s="43"/>
      <c r="BBF42" s="44"/>
      <c r="BBH42" s="42"/>
      <c r="BBI42" s="43"/>
      <c r="BBJ42" s="44"/>
      <c r="BBL42" s="42"/>
      <c r="BBM42" s="43"/>
      <c r="BBN42" s="44"/>
      <c r="BBP42" s="42"/>
      <c r="BBQ42" s="43"/>
      <c r="BBR42" s="44"/>
      <c r="BBT42" s="42"/>
      <c r="BBU42" s="43"/>
      <c r="BBV42" s="44"/>
      <c r="BBX42" s="42"/>
      <c r="BBY42" s="43"/>
      <c r="BBZ42" s="44"/>
      <c r="BCB42" s="42"/>
      <c r="BCC42" s="43"/>
      <c r="BCD42" s="44"/>
      <c r="BCF42" s="42"/>
      <c r="BCG42" s="43"/>
      <c r="BCH42" s="44"/>
      <c r="BCJ42" s="42"/>
      <c r="BCK42" s="43"/>
      <c r="BCL42" s="44"/>
      <c r="BCN42" s="42"/>
      <c r="BCO42" s="43"/>
      <c r="BCP42" s="44"/>
      <c r="BCR42" s="42"/>
      <c r="BCS42" s="43"/>
      <c r="BCT42" s="44"/>
      <c r="BCV42" s="42"/>
      <c r="BCW42" s="43"/>
      <c r="BCX42" s="44"/>
      <c r="BCZ42" s="42"/>
      <c r="BDA42" s="43"/>
      <c r="BDB42" s="44"/>
      <c r="BDD42" s="42"/>
      <c r="BDE42" s="43"/>
      <c r="BDF42" s="44"/>
      <c r="BDH42" s="42"/>
      <c r="BDI42" s="43"/>
      <c r="BDJ42" s="44"/>
      <c r="BDL42" s="42"/>
      <c r="BDM42" s="43"/>
      <c r="BDN42" s="44"/>
      <c r="BDP42" s="42"/>
      <c r="BDQ42" s="43"/>
      <c r="BDR42" s="44"/>
      <c r="BDT42" s="42"/>
      <c r="BDU42" s="43"/>
      <c r="BDV42" s="44"/>
      <c r="BDX42" s="42"/>
      <c r="BDY42" s="43"/>
      <c r="BDZ42" s="44"/>
      <c r="BEB42" s="42"/>
      <c r="BEC42" s="43"/>
      <c r="BED42" s="44"/>
      <c r="BEF42" s="42"/>
      <c r="BEG42" s="43"/>
      <c r="BEH42" s="44"/>
      <c r="BEJ42" s="42"/>
      <c r="BEK42" s="43"/>
      <c r="BEL42" s="44"/>
      <c r="BEN42" s="42"/>
      <c r="BEO42" s="43"/>
      <c r="BEP42" s="44"/>
      <c r="BER42" s="42"/>
      <c r="BES42" s="43"/>
      <c r="BET42" s="44"/>
      <c r="BEV42" s="42"/>
      <c r="BEW42" s="43"/>
      <c r="BEX42" s="44"/>
      <c r="BEZ42" s="42"/>
      <c r="BFA42" s="43"/>
      <c r="BFB42" s="44"/>
      <c r="BFD42" s="42"/>
      <c r="BFE42" s="43"/>
      <c r="BFF42" s="44"/>
      <c r="BFH42" s="42"/>
      <c r="BFI42" s="43"/>
      <c r="BFJ42" s="44"/>
      <c r="BFL42" s="42"/>
      <c r="BFM42" s="43"/>
      <c r="BFN42" s="44"/>
      <c r="BFP42" s="42"/>
      <c r="BFQ42" s="43"/>
      <c r="BFR42" s="44"/>
      <c r="BFT42" s="42"/>
      <c r="BFU42" s="43"/>
      <c r="BFV42" s="44"/>
      <c r="BFX42" s="42"/>
      <c r="BFY42" s="43"/>
      <c r="BFZ42" s="44"/>
      <c r="BGB42" s="42"/>
      <c r="BGC42" s="43"/>
      <c r="BGD42" s="44"/>
      <c r="BGF42" s="42"/>
      <c r="BGG42" s="43"/>
      <c r="BGH42" s="44"/>
      <c r="BGJ42" s="42"/>
      <c r="BGK42" s="43"/>
      <c r="BGL42" s="44"/>
      <c r="BGN42" s="42"/>
      <c r="BGO42" s="43"/>
      <c r="BGP42" s="44"/>
      <c r="BGR42" s="42"/>
      <c r="BGS42" s="43"/>
      <c r="BGT42" s="44"/>
      <c r="BGV42" s="42"/>
      <c r="BGW42" s="43"/>
      <c r="BGX42" s="44"/>
      <c r="BGZ42" s="42"/>
      <c r="BHA42" s="43"/>
      <c r="BHB42" s="44"/>
      <c r="BHD42" s="42"/>
      <c r="BHE42" s="43"/>
      <c r="BHF42" s="44"/>
      <c r="BHH42" s="42"/>
      <c r="BHI42" s="43"/>
      <c r="BHJ42" s="44"/>
      <c r="BHL42" s="42"/>
      <c r="BHM42" s="43"/>
      <c r="BHN42" s="44"/>
      <c r="BHP42" s="42"/>
      <c r="BHQ42" s="43"/>
      <c r="BHR42" s="44"/>
      <c r="BHT42" s="42"/>
      <c r="BHU42" s="43"/>
      <c r="BHV42" s="44"/>
      <c r="BHX42" s="42"/>
      <c r="BHY42" s="43"/>
      <c r="BHZ42" s="44"/>
      <c r="BIB42" s="42"/>
      <c r="BIC42" s="43"/>
      <c r="BID42" s="44"/>
      <c r="BIF42" s="42"/>
      <c r="BIG42" s="43"/>
      <c r="BIH42" s="44"/>
      <c r="BIJ42" s="42"/>
      <c r="BIK42" s="43"/>
      <c r="BIL42" s="44"/>
      <c r="BIN42" s="42"/>
      <c r="BIO42" s="43"/>
      <c r="BIP42" s="44"/>
      <c r="BIR42" s="42"/>
      <c r="BIS42" s="43"/>
      <c r="BIT42" s="44"/>
      <c r="BIV42" s="42"/>
      <c r="BIW42" s="43"/>
      <c r="BIX42" s="44"/>
      <c r="BIZ42" s="42"/>
      <c r="BJA42" s="43"/>
      <c r="BJB42" s="44"/>
      <c r="BJD42" s="42"/>
      <c r="BJE42" s="43"/>
      <c r="BJF42" s="44"/>
      <c r="BJH42" s="42"/>
      <c r="BJI42" s="43"/>
      <c r="BJJ42" s="44"/>
      <c r="BJL42" s="42"/>
      <c r="BJM42" s="43"/>
      <c r="BJN42" s="44"/>
      <c r="BJP42" s="42"/>
      <c r="BJQ42" s="43"/>
      <c r="BJR42" s="44"/>
      <c r="BJT42" s="42"/>
      <c r="BJU42" s="43"/>
      <c r="BJV42" s="44"/>
      <c r="BJX42" s="42"/>
      <c r="BJY42" s="43"/>
      <c r="BJZ42" s="44"/>
      <c r="BKB42" s="42"/>
      <c r="BKC42" s="43"/>
      <c r="BKD42" s="44"/>
      <c r="BKF42" s="42"/>
      <c r="BKG42" s="43"/>
      <c r="BKH42" s="44"/>
      <c r="BKJ42" s="42"/>
      <c r="BKK42" s="43"/>
      <c r="BKL42" s="44"/>
      <c r="BKN42" s="42"/>
      <c r="BKO42" s="43"/>
      <c r="BKP42" s="44"/>
      <c r="BKR42" s="42"/>
      <c r="BKS42" s="43"/>
      <c r="BKT42" s="44"/>
      <c r="BKV42" s="42"/>
      <c r="BKW42" s="43"/>
      <c r="BKX42" s="44"/>
      <c r="BKZ42" s="42"/>
      <c r="BLA42" s="43"/>
      <c r="BLB42" s="44"/>
      <c r="BLD42" s="42"/>
      <c r="BLE42" s="43"/>
      <c r="BLF42" s="44"/>
      <c r="BLH42" s="42"/>
      <c r="BLI42" s="43"/>
      <c r="BLJ42" s="44"/>
      <c r="BLL42" s="42"/>
      <c r="BLM42" s="43"/>
      <c r="BLN42" s="44"/>
      <c r="BLP42" s="42"/>
      <c r="BLQ42" s="43"/>
      <c r="BLR42" s="44"/>
      <c r="BLT42" s="42"/>
      <c r="BLU42" s="43"/>
      <c r="BLV42" s="44"/>
      <c r="BLX42" s="42"/>
      <c r="BLY42" s="43"/>
      <c r="BLZ42" s="44"/>
      <c r="BMB42" s="42"/>
      <c r="BMC42" s="43"/>
      <c r="BMD42" s="44"/>
      <c r="BMF42" s="42"/>
      <c r="BMG42" s="43"/>
      <c r="BMH42" s="44"/>
      <c r="BMJ42" s="42"/>
      <c r="BMK42" s="43"/>
      <c r="BML42" s="44"/>
      <c r="BMN42" s="42"/>
      <c r="BMO42" s="43"/>
      <c r="BMP42" s="44"/>
      <c r="BMR42" s="42"/>
      <c r="BMS42" s="43"/>
      <c r="BMT42" s="44"/>
      <c r="BMV42" s="42"/>
      <c r="BMW42" s="43"/>
      <c r="BMX42" s="44"/>
      <c r="BMZ42" s="42"/>
      <c r="BNA42" s="43"/>
      <c r="BNB42" s="44"/>
      <c r="BND42" s="42"/>
      <c r="BNE42" s="43"/>
      <c r="BNF42" s="44"/>
      <c r="BNH42" s="42"/>
      <c r="BNI42" s="43"/>
      <c r="BNJ42" s="44"/>
      <c r="BNL42" s="42"/>
      <c r="BNM42" s="43"/>
      <c r="BNN42" s="44"/>
      <c r="BNP42" s="42"/>
      <c r="BNQ42" s="43"/>
      <c r="BNR42" s="44"/>
      <c r="BNT42" s="42"/>
      <c r="BNU42" s="43"/>
      <c r="BNV42" s="44"/>
      <c r="BNX42" s="42"/>
      <c r="BNY42" s="43"/>
      <c r="BNZ42" s="44"/>
      <c r="BOB42" s="42"/>
      <c r="BOC42" s="43"/>
      <c r="BOD42" s="44"/>
      <c r="BOF42" s="42"/>
      <c r="BOG42" s="43"/>
      <c r="BOH42" s="44"/>
      <c r="BOJ42" s="42"/>
      <c r="BOK42" s="43"/>
      <c r="BOL42" s="44"/>
      <c r="BON42" s="42"/>
      <c r="BOO42" s="43"/>
      <c r="BOP42" s="44"/>
      <c r="BOR42" s="42"/>
      <c r="BOS42" s="43"/>
      <c r="BOT42" s="44"/>
      <c r="BOV42" s="42"/>
      <c r="BOW42" s="43"/>
      <c r="BOX42" s="44"/>
      <c r="BOZ42" s="42"/>
      <c r="BPA42" s="43"/>
      <c r="BPB42" s="44"/>
      <c r="BPD42" s="42"/>
      <c r="BPE42" s="43"/>
      <c r="BPF42" s="44"/>
      <c r="BPH42" s="42"/>
      <c r="BPI42" s="43"/>
      <c r="BPJ42" s="44"/>
      <c r="BPL42" s="42"/>
      <c r="BPM42" s="43"/>
      <c r="BPN42" s="44"/>
      <c r="BPP42" s="42"/>
      <c r="BPQ42" s="43"/>
      <c r="BPR42" s="44"/>
      <c r="BPT42" s="42"/>
      <c r="BPU42" s="43"/>
      <c r="BPV42" s="44"/>
      <c r="BPX42" s="42"/>
      <c r="BPY42" s="43"/>
      <c r="BPZ42" s="44"/>
      <c r="BQB42" s="42"/>
      <c r="BQC42" s="43"/>
      <c r="BQD42" s="44"/>
      <c r="BQF42" s="42"/>
      <c r="BQG42" s="43"/>
      <c r="BQH42" s="44"/>
      <c r="BQJ42" s="42"/>
      <c r="BQK42" s="43"/>
      <c r="BQL42" s="44"/>
      <c r="BQN42" s="42"/>
      <c r="BQO42" s="43"/>
      <c r="BQP42" s="44"/>
      <c r="BQR42" s="42"/>
      <c r="BQS42" s="43"/>
      <c r="BQT42" s="44"/>
      <c r="BQV42" s="42"/>
      <c r="BQW42" s="43"/>
      <c r="BQX42" s="44"/>
      <c r="BQZ42" s="42"/>
      <c r="BRA42" s="43"/>
      <c r="BRB42" s="44"/>
      <c r="BRD42" s="42"/>
      <c r="BRE42" s="43"/>
      <c r="BRF42" s="44"/>
      <c r="BRH42" s="42"/>
      <c r="BRI42" s="43"/>
      <c r="BRJ42" s="44"/>
      <c r="BRL42" s="42"/>
      <c r="BRM42" s="43"/>
      <c r="BRN42" s="44"/>
      <c r="BRP42" s="42"/>
      <c r="BRQ42" s="43"/>
      <c r="BRR42" s="44"/>
      <c r="BRT42" s="42"/>
      <c r="BRU42" s="43"/>
      <c r="BRV42" s="44"/>
      <c r="BRX42" s="42"/>
      <c r="BRY42" s="43"/>
      <c r="BRZ42" s="44"/>
      <c r="BSB42" s="42"/>
      <c r="BSC42" s="43"/>
      <c r="BSD42" s="44"/>
      <c r="BSF42" s="42"/>
      <c r="BSG42" s="43"/>
      <c r="BSH42" s="44"/>
      <c r="BSJ42" s="42"/>
      <c r="BSK42" s="43"/>
      <c r="BSL42" s="44"/>
      <c r="BSN42" s="42"/>
      <c r="BSO42" s="43"/>
      <c r="BSP42" s="44"/>
      <c r="BSR42" s="42"/>
      <c r="BSS42" s="43"/>
      <c r="BST42" s="44"/>
      <c r="BSV42" s="42"/>
      <c r="BSW42" s="43"/>
      <c r="BSX42" s="44"/>
      <c r="BSZ42" s="42"/>
      <c r="BTA42" s="43"/>
      <c r="BTB42" s="44"/>
      <c r="BTD42" s="42"/>
      <c r="BTE42" s="43"/>
      <c r="BTF42" s="44"/>
      <c r="BTH42" s="42"/>
      <c r="BTI42" s="43"/>
      <c r="BTJ42" s="44"/>
      <c r="BTL42" s="42"/>
      <c r="BTM42" s="43"/>
      <c r="BTN42" s="44"/>
      <c r="BTP42" s="42"/>
      <c r="BTQ42" s="43"/>
      <c r="BTR42" s="44"/>
      <c r="BTT42" s="42"/>
      <c r="BTU42" s="43"/>
      <c r="BTV42" s="44"/>
      <c r="BTX42" s="42"/>
      <c r="BTY42" s="43"/>
      <c r="BTZ42" s="44"/>
      <c r="BUB42" s="42"/>
      <c r="BUC42" s="43"/>
      <c r="BUD42" s="44"/>
      <c r="BUF42" s="42"/>
      <c r="BUG42" s="43"/>
      <c r="BUH42" s="44"/>
      <c r="BUJ42" s="42"/>
      <c r="BUK42" s="43"/>
      <c r="BUL42" s="44"/>
      <c r="BUN42" s="42"/>
      <c r="BUO42" s="43"/>
      <c r="BUP42" s="44"/>
      <c r="BUR42" s="42"/>
      <c r="BUS42" s="43"/>
      <c r="BUT42" s="44"/>
      <c r="BUV42" s="42"/>
      <c r="BUW42" s="43"/>
      <c r="BUX42" s="44"/>
      <c r="BUZ42" s="42"/>
      <c r="BVA42" s="43"/>
      <c r="BVB42" s="44"/>
      <c r="BVD42" s="42"/>
      <c r="BVE42" s="43"/>
      <c r="BVF42" s="44"/>
      <c r="BVH42" s="42"/>
      <c r="BVI42" s="43"/>
      <c r="BVJ42" s="44"/>
      <c r="BVL42" s="42"/>
      <c r="BVM42" s="43"/>
      <c r="BVN42" s="44"/>
      <c r="BVP42" s="42"/>
      <c r="BVQ42" s="43"/>
      <c r="BVR42" s="44"/>
      <c r="BVT42" s="42"/>
      <c r="BVU42" s="43"/>
      <c r="BVV42" s="44"/>
      <c r="BVX42" s="42"/>
      <c r="BVY42" s="43"/>
      <c r="BVZ42" s="44"/>
      <c r="BWB42" s="42"/>
      <c r="BWC42" s="43"/>
      <c r="BWD42" s="44"/>
      <c r="BWF42" s="42"/>
      <c r="BWG42" s="43"/>
      <c r="BWH42" s="44"/>
      <c r="BWJ42" s="42"/>
      <c r="BWK42" s="43"/>
      <c r="BWL42" s="44"/>
      <c r="BWN42" s="42"/>
      <c r="BWO42" s="43"/>
      <c r="BWP42" s="44"/>
      <c r="BWR42" s="42"/>
      <c r="BWS42" s="43"/>
      <c r="BWT42" s="44"/>
      <c r="BWV42" s="42"/>
      <c r="BWW42" s="43"/>
      <c r="BWX42" s="44"/>
      <c r="BWZ42" s="42"/>
      <c r="BXA42" s="43"/>
      <c r="BXB42" s="44"/>
      <c r="BXD42" s="42"/>
      <c r="BXE42" s="43"/>
      <c r="BXF42" s="44"/>
      <c r="BXH42" s="42"/>
      <c r="BXI42" s="43"/>
      <c r="BXJ42" s="44"/>
      <c r="BXL42" s="42"/>
      <c r="BXM42" s="43"/>
      <c r="BXN42" s="44"/>
      <c r="BXP42" s="42"/>
      <c r="BXQ42" s="43"/>
      <c r="BXR42" s="44"/>
      <c r="BXT42" s="42"/>
      <c r="BXU42" s="43"/>
      <c r="BXV42" s="44"/>
      <c r="BXX42" s="42"/>
      <c r="BXY42" s="43"/>
      <c r="BXZ42" s="44"/>
      <c r="BYB42" s="42"/>
      <c r="BYC42" s="43"/>
      <c r="BYD42" s="44"/>
      <c r="BYF42" s="42"/>
      <c r="BYG42" s="43"/>
      <c r="BYH42" s="44"/>
      <c r="BYJ42" s="42"/>
      <c r="BYK42" s="43"/>
      <c r="BYL42" s="44"/>
      <c r="BYN42" s="42"/>
      <c r="BYO42" s="43"/>
      <c r="BYP42" s="44"/>
      <c r="BYR42" s="42"/>
      <c r="BYS42" s="43"/>
      <c r="BYT42" s="44"/>
      <c r="BYV42" s="42"/>
      <c r="BYW42" s="43"/>
      <c r="BYX42" s="44"/>
      <c r="BYZ42" s="42"/>
      <c r="BZA42" s="43"/>
      <c r="BZB42" s="44"/>
      <c r="BZD42" s="42"/>
      <c r="BZE42" s="43"/>
      <c r="BZF42" s="44"/>
      <c r="BZH42" s="42"/>
      <c r="BZI42" s="43"/>
      <c r="BZJ42" s="44"/>
      <c r="BZL42" s="42"/>
      <c r="BZM42" s="43"/>
      <c r="BZN42" s="44"/>
      <c r="BZP42" s="42"/>
      <c r="BZQ42" s="43"/>
      <c r="BZR42" s="44"/>
      <c r="BZT42" s="42"/>
      <c r="BZU42" s="43"/>
      <c r="BZV42" s="44"/>
      <c r="BZX42" s="42"/>
      <c r="BZY42" s="43"/>
      <c r="BZZ42" s="44"/>
      <c r="CAB42" s="42"/>
      <c r="CAC42" s="43"/>
      <c r="CAD42" s="44"/>
      <c r="CAF42" s="42"/>
      <c r="CAG42" s="43"/>
      <c r="CAH42" s="44"/>
      <c r="CAJ42" s="42"/>
      <c r="CAK42" s="43"/>
      <c r="CAL42" s="44"/>
      <c r="CAN42" s="42"/>
      <c r="CAO42" s="43"/>
      <c r="CAP42" s="44"/>
      <c r="CAR42" s="42"/>
      <c r="CAS42" s="43"/>
      <c r="CAT42" s="44"/>
      <c r="CAV42" s="42"/>
      <c r="CAW42" s="43"/>
      <c r="CAX42" s="44"/>
      <c r="CAZ42" s="42"/>
      <c r="CBA42" s="43"/>
      <c r="CBB42" s="44"/>
      <c r="CBD42" s="42"/>
      <c r="CBE42" s="43"/>
      <c r="CBF42" s="44"/>
      <c r="CBH42" s="42"/>
      <c r="CBI42" s="43"/>
      <c r="CBJ42" s="44"/>
      <c r="CBL42" s="42"/>
      <c r="CBM42" s="43"/>
      <c r="CBN42" s="44"/>
      <c r="CBP42" s="42"/>
      <c r="CBQ42" s="43"/>
      <c r="CBR42" s="44"/>
      <c r="CBT42" s="42"/>
      <c r="CBU42" s="43"/>
      <c r="CBV42" s="44"/>
      <c r="CBX42" s="42"/>
      <c r="CBY42" s="43"/>
      <c r="CBZ42" s="44"/>
      <c r="CCB42" s="42"/>
      <c r="CCC42" s="43"/>
      <c r="CCD42" s="44"/>
      <c r="CCF42" s="42"/>
      <c r="CCG42" s="43"/>
      <c r="CCH42" s="44"/>
      <c r="CCJ42" s="42"/>
      <c r="CCK42" s="43"/>
      <c r="CCL42" s="44"/>
      <c r="CCN42" s="42"/>
      <c r="CCO42" s="43"/>
      <c r="CCP42" s="44"/>
      <c r="CCR42" s="42"/>
      <c r="CCS42" s="43"/>
      <c r="CCT42" s="44"/>
      <c r="CCV42" s="42"/>
      <c r="CCW42" s="43"/>
      <c r="CCX42" s="44"/>
      <c r="CCZ42" s="42"/>
      <c r="CDA42" s="43"/>
      <c r="CDB42" s="44"/>
      <c r="CDD42" s="42"/>
      <c r="CDE42" s="43"/>
      <c r="CDF42" s="44"/>
      <c r="CDH42" s="42"/>
      <c r="CDI42" s="43"/>
      <c r="CDJ42" s="44"/>
      <c r="CDL42" s="42"/>
      <c r="CDM42" s="43"/>
      <c r="CDN42" s="44"/>
      <c r="CDP42" s="42"/>
      <c r="CDQ42" s="43"/>
      <c r="CDR42" s="44"/>
      <c r="CDT42" s="42"/>
      <c r="CDU42" s="43"/>
      <c r="CDV42" s="44"/>
      <c r="CDX42" s="42"/>
      <c r="CDY42" s="43"/>
      <c r="CDZ42" s="44"/>
      <c r="CEB42" s="42"/>
      <c r="CEC42" s="43"/>
      <c r="CED42" s="44"/>
      <c r="CEF42" s="42"/>
      <c r="CEG42" s="43"/>
      <c r="CEH42" s="44"/>
      <c r="CEJ42" s="42"/>
      <c r="CEK42" s="43"/>
      <c r="CEL42" s="44"/>
      <c r="CEN42" s="42"/>
      <c r="CEO42" s="43"/>
      <c r="CEP42" s="44"/>
      <c r="CER42" s="42"/>
      <c r="CES42" s="43"/>
      <c r="CET42" s="44"/>
      <c r="CEV42" s="42"/>
      <c r="CEW42" s="43"/>
      <c r="CEX42" s="44"/>
      <c r="CEZ42" s="42"/>
      <c r="CFA42" s="43"/>
      <c r="CFB42" s="44"/>
      <c r="CFD42" s="42"/>
      <c r="CFE42" s="43"/>
      <c r="CFF42" s="44"/>
      <c r="CFH42" s="42"/>
      <c r="CFI42" s="43"/>
      <c r="CFJ42" s="44"/>
      <c r="CFL42" s="42"/>
      <c r="CFM42" s="43"/>
      <c r="CFN42" s="44"/>
      <c r="CFP42" s="42"/>
      <c r="CFQ42" s="43"/>
      <c r="CFR42" s="44"/>
      <c r="CFT42" s="42"/>
      <c r="CFU42" s="43"/>
      <c r="CFV42" s="44"/>
      <c r="CFX42" s="42"/>
      <c r="CFY42" s="43"/>
      <c r="CFZ42" s="44"/>
      <c r="CGB42" s="42"/>
      <c r="CGC42" s="43"/>
      <c r="CGD42" s="44"/>
      <c r="CGF42" s="42"/>
      <c r="CGG42" s="43"/>
      <c r="CGH42" s="44"/>
      <c r="CGJ42" s="42"/>
      <c r="CGK42" s="43"/>
      <c r="CGL42" s="44"/>
      <c r="CGN42" s="42"/>
      <c r="CGO42" s="43"/>
      <c r="CGP42" s="44"/>
      <c r="CGR42" s="42"/>
      <c r="CGS42" s="43"/>
      <c r="CGT42" s="44"/>
      <c r="CGV42" s="42"/>
      <c r="CGW42" s="43"/>
      <c r="CGX42" s="44"/>
      <c r="CGZ42" s="42"/>
      <c r="CHA42" s="43"/>
      <c r="CHB42" s="44"/>
      <c r="CHD42" s="42"/>
      <c r="CHE42" s="43"/>
      <c r="CHF42" s="44"/>
      <c r="CHH42" s="42"/>
      <c r="CHI42" s="43"/>
      <c r="CHJ42" s="44"/>
      <c r="CHL42" s="42"/>
      <c r="CHM42" s="43"/>
      <c r="CHN42" s="44"/>
      <c r="CHP42" s="42"/>
      <c r="CHQ42" s="43"/>
      <c r="CHR42" s="44"/>
      <c r="CHT42" s="42"/>
      <c r="CHU42" s="43"/>
      <c r="CHV42" s="44"/>
      <c r="CHX42" s="42"/>
      <c r="CHY42" s="43"/>
      <c r="CHZ42" s="44"/>
      <c r="CIB42" s="42"/>
      <c r="CIC42" s="43"/>
      <c r="CID42" s="44"/>
      <c r="CIF42" s="42"/>
      <c r="CIG42" s="43"/>
      <c r="CIH42" s="44"/>
      <c r="CIJ42" s="42"/>
      <c r="CIK42" s="43"/>
      <c r="CIL42" s="44"/>
      <c r="CIN42" s="42"/>
      <c r="CIO42" s="43"/>
      <c r="CIP42" s="44"/>
      <c r="CIR42" s="42"/>
      <c r="CIS42" s="43"/>
      <c r="CIT42" s="44"/>
      <c r="CIV42" s="42"/>
      <c r="CIW42" s="43"/>
      <c r="CIX42" s="44"/>
      <c r="CIZ42" s="42"/>
      <c r="CJA42" s="43"/>
      <c r="CJB42" s="44"/>
      <c r="CJD42" s="42"/>
      <c r="CJE42" s="43"/>
      <c r="CJF42" s="44"/>
      <c r="CJH42" s="42"/>
      <c r="CJI42" s="43"/>
      <c r="CJJ42" s="44"/>
      <c r="CJL42" s="42"/>
      <c r="CJM42" s="43"/>
      <c r="CJN42" s="44"/>
      <c r="CJP42" s="42"/>
      <c r="CJQ42" s="43"/>
      <c r="CJR42" s="44"/>
      <c r="CJT42" s="42"/>
      <c r="CJU42" s="43"/>
      <c r="CJV42" s="44"/>
      <c r="CJX42" s="42"/>
      <c r="CJY42" s="43"/>
      <c r="CJZ42" s="44"/>
      <c r="CKB42" s="42"/>
      <c r="CKC42" s="43"/>
      <c r="CKD42" s="44"/>
      <c r="CKF42" s="42"/>
      <c r="CKG42" s="43"/>
      <c r="CKH42" s="44"/>
      <c r="CKJ42" s="42"/>
      <c r="CKK42" s="43"/>
      <c r="CKL42" s="44"/>
      <c r="CKN42" s="42"/>
      <c r="CKO42" s="43"/>
      <c r="CKP42" s="44"/>
      <c r="CKR42" s="42"/>
      <c r="CKS42" s="43"/>
      <c r="CKT42" s="44"/>
      <c r="CKV42" s="42"/>
      <c r="CKW42" s="43"/>
      <c r="CKX42" s="44"/>
      <c r="CKZ42" s="42"/>
      <c r="CLA42" s="43"/>
      <c r="CLB42" s="44"/>
      <c r="CLD42" s="42"/>
      <c r="CLE42" s="43"/>
      <c r="CLF42" s="44"/>
      <c r="CLH42" s="42"/>
      <c r="CLI42" s="43"/>
      <c r="CLJ42" s="44"/>
      <c r="CLL42" s="42"/>
      <c r="CLM42" s="43"/>
      <c r="CLN42" s="44"/>
      <c r="CLP42" s="42"/>
      <c r="CLQ42" s="43"/>
      <c r="CLR42" s="44"/>
      <c r="CLT42" s="42"/>
      <c r="CLU42" s="43"/>
      <c r="CLV42" s="44"/>
      <c r="CLX42" s="42"/>
      <c r="CLY42" s="43"/>
      <c r="CLZ42" s="44"/>
      <c r="CMB42" s="42"/>
      <c r="CMC42" s="43"/>
      <c r="CMD42" s="44"/>
      <c r="CMF42" s="42"/>
      <c r="CMG42" s="43"/>
      <c r="CMH42" s="44"/>
      <c r="CMJ42" s="42"/>
      <c r="CMK42" s="43"/>
      <c r="CML42" s="44"/>
      <c r="CMN42" s="42"/>
      <c r="CMO42" s="43"/>
      <c r="CMP42" s="44"/>
      <c r="CMR42" s="42"/>
      <c r="CMS42" s="43"/>
      <c r="CMT42" s="44"/>
      <c r="CMV42" s="42"/>
      <c r="CMW42" s="43"/>
      <c r="CMX42" s="44"/>
      <c r="CMZ42" s="42"/>
      <c r="CNA42" s="43"/>
      <c r="CNB42" s="44"/>
      <c r="CND42" s="42"/>
      <c r="CNE42" s="43"/>
      <c r="CNF42" s="44"/>
      <c r="CNH42" s="42"/>
      <c r="CNI42" s="43"/>
      <c r="CNJ42" s="44"/>
      <c r="CNL42" s="42"/>
      <c r="CNM42" s="43"/>
      <c r="CNN42" s="44"/>
      <c r="CNP42" s="42"/>
      <c r="CNQ42" s="43"/>
      <c r="CNR42" s="44"/>
      <c r="CNT42" s="42"/>
      <c r="CNU42" s="43"/>
      <c r="CNV42" s="44"/>
      <c r="CNX42" s="42"/>
      <c r="CNY42" s="43"/>
      <c r="CNZ42" s="44"/>
      <c r="COB42" s="42"/>
      <c r="COC42" s="43"/>
      <c r="COD42" s="44"/>
      <c r="COF42" s="42"/>
      <c r="COG42" s="43"/>
      <c r="COH42" s="44"/>
      <c r="COJ42" s="42"/>
      <c r="COK42" s="43"/>
      <c r="COL42" s="44"/>
      <c r="CON42" s="42"/>
      <c r="COO42" s="43"/>
      <c r="COP42" s="44"/>
      <c r="COR42" s="42"/>
      <c r="COS42" s="43"/>
      <c r="COT42" s="44"/>
      <c r="COV42" s="42"/>
      <c r="COW42" s="43"/>
      <c r="COX42" s="44"/>
      <c r="COZ42" s="42"/>
      <c r="CPA42" s="43"/>
      <c r="CPB42" s="44"/>
      <c r="CPD42" s="42"/>
      <c r="CPE42" s="43"/>
      <c r="CPF42" s="44"/>
      <c r="CPH42" s="42"/>
      <c r="CPI42" s="43"/>
      <c r="CPJ42" s="44"/>
      <c r="CPL42" s="42"/>
      <c r="CPM42" s="43"/>
      <c r="CPN42" s="44"/>
      <c r="CPP42" s="42"/>
      <c r="CPQ42" s="43"/>
      <c r="CPR42" s="44"/>
      <c r="CPT42" s="42"/>
      <c r="CPU42" s="43"/>
      <c r="CPV42" s="44"/>
      <c r="CPX42" s="42"/>
      <c r="CPY42" s="43"/>
      <c r="CPZ42" s="44"/>
      <c r="CQB42" s="42"/>
      <c r="CQC42" s="43"/>
      <c r="CQD42" s="44"/>
      <c r="CQF42" s="42"/>
      <c r="CQG42" s="43"/>
      <c r="CQH42" s="44"/>
      <c r="CQJ42" s="42"/>
      <c r="CQK42" s="43"/>
      <c r="CQL42" s="44"/>
      <c r="CQN42" s="42"/>
      <c r="CQO42" s="43"/>
      <c r="CQP42" s="44"/>
      <c r="CQR42" s="42"/>
      <c r="CQS42" s="43"/>
      <c r="CQT42" s="44"/>
      <c r="CQV42" s="42"/>
      <c r="CQW42" s="43"/>
      <c r="CQX42" s="44"/>
      <c r="CQZ42" s="42"/>
      <c r="CRA42" s="43"/>
      <c r="CRB42" s="44"/>
      <c r="CRD42" s="42"/>
      <c r="CRE42" s="43"/>
      <c r="CRF42" s="44"/>
      <c r="CRH42" s="42"/>
      <c r="CRI42" s="43"/>
      <c r="CRJ42" s="44"/>
      <c r="CRL42" s="42"/>
      <c r="CRM42" s="43"/>
      <c r="CRN42" s="44"/>
      <c r="CRP42" s="42"/>
      <c r="CRQ42" s="43"/>
      <c r="CRR42" s="44"/>
      <c r="CRT42" s="42"/>
      <c r="CRU42" s="43"/>
      <c r="CRV42" s="44"/>
      <c r="CRX42" s="42"/>
      <c r="CRY42" s="43"/>
      <c r="CRZ42" s="44"/>
      <c r="CSB42" s="42"/>
      <c r="CSC42" s="43"/>
      <c r="CSD42" s="44"/>
      <c r="CSF42" s="42"/>
      <c r="CSG42" s="43"/>
      <c r="CSH42" s="44"/>
      <c r="CSJ42" s="42"/>
      <c r="CSK42" s="43"/>
      <c r="CSL42" s="44"/>
      <c r="CSN42" s="42"/>
      <c r="CSO42" s="43"/>
      <c r="CSP42" s="44"/>
      <c r="CSR42" s="42"/>
      <c r="CSS42" s="43"/>
      <c r="CST42" s="44"/>
      <c r="CSV42" s="42"/>
      <c r="CSW42" s="43"/>
      <c r="CSX42" s="44"/>
      <c r="CSZ42" s="42"/>
      <c r="CTA42" s="43"/>
      <c r="CTB42" s="44"/>
      <c r="CTD42" s="42"/>
      <c r="CTE42" s="43"/>
      <c r="CTF42" s="44"/>
      <c r="CTH42" s="42"/>
      <c r="CTI42" s="43"/>
      <c r="CTJ42" s="44"/>
      <c r="CTL42" s="42"/>
      <c r="CTM42" s="43"/>
      <c r="CTN42" s="44"/>
      <c r="CTP42" s="42"/>
      <c r="CTQ42" s="43"/>
      <c r="CTR42" s="44"/>
      <c r="CTT42" s="42"/>
      <c r="CTU42" s="43"/>
      <c r="CTV42" s="44"/>
      <c r="CTX42" s="42"/>
      <c r="CTY42" s="43"/>
      <c r="CTZ42" s="44"/>
      <c r="CUB42" s="42"/>
      <c r="CUC42" s="43"/>
      <c r="CUD42" s="44"/>
      <c r="CUF42" s="42"/>
      <c r="CUG42" s="43"/>
      <c r="CUH42" s="44"/>
      <c r="CUJ42" s="42"/>
      <c r="CUK42" s="43"/>
      <c r="CUL42" s="44"/>
      <c r="CUN42" s="42"/>
      <c r="CUO42" s="43"/>
      <c r="CUP42" s="44"/>
      <c r="CUR42" s="42"/>
      <c r="CUS42" s="43"/>
      <c r="CUT42" s="44"/>
      <c r="CUV42" s="42"/>
      <c r="CUW42" s="43"/>
      <c r="CUX42" s="44"/>
      <c r="CUZ42" s="42"/>
      <c r="CVA42" s="43"/>
      <c r="CVB42" s="44"/>
      <c r="CVD42" s="42"/>
      <c r="CVE42" s="43"/>
      <c r="CVF42" s="44"/>
      <c r="CVH42" s="42"/>
      <c r="CVI42" s="43"/>
      <c r="CVJ42" s="44"/>
      <c r="CVL42" s="42"/>
      <c r="CVM42" s="43"/>
      <c r="CVN42" s="44"/>
      <c r="CVP42" s="42"/>
      <c r="CVQ42" s="43"/>
      <c r="CVR42" s="44"/>
      <c r="CVT42" s="42"/>
      <c r="CVU42" s="43"/>
      <c r="CVV42" s="44"/>
      <c r="CVX42" s="42"/>
      <c r="CVY42" s="43"/>
      <c r="CVZ42" s="44"/>
      <c r="CWB42" s="42"/>
      <c r="CWC42" s="43"/>
      <c r="CWD42" s="44"/>
      <c r="CWF42" s="42"/>
      <c r="CWG42" s="43"/>
      <c r="CWH42" s="44"/>
      <c r="CWJ42" s="42"/>
      <c r="CWK42" s="43"/>
      <c r="CWL42" s="44"/>
      <c r="CWN42" s="42"/>
      <c r="CWO42" s="43"/>
      <c r="CWP42" s="44"/>
      <c r="CWR42" s="42"/>
      <c r="CWS42" s="43"/>
      <c r="CWT42" s="44"/>
      <c r="CWV42" s="42"/>
      <c r="CWW42" s="43"/>
      <c r="CWX42" s="44"/>
      <c r="CWZ42" s="42"/>
      <c r="CXA42" s="43"/>
      <c r="CXB42" s="44"/>
      <c r="CXD42" s="42"/>
      <c r="CXE42" s="43"/>
      <c r="CXF42" s="44"/>
      <c r="CXH42" s="42"/>
      <c r="CXI42" s="43"/>
      <c r="CXJ42" s="44"/>
      <c r="CXL42" s="42"/>
      <c r="CXM42" s="43"/>
      <c r="CXN42" s="44"/>
      <c r="CXP42" s="42"/>
      <c r="CXQ42" s="43"/>
      <c r="CXR42" s="44"/>
      <c r="CXT42" s="42"/>
      <c r="CXU42" s="43"/>
      <c r="CXV42" s="44"/>
      <c r="CXX42" s="42"/>
      <c r="CXY42" s="43"/>
      <c r="CXZ42" s="44"/>
      <c r="CYB42" s="42"/>
      <c r="CYC42" s="43"/>
      <c r="CYD42" s="44"/>
      <c r="CYF42" s="42"/>
      <c r="CYG42" s="43"/>
      <c r="CYH42" s="44"/>
      <c r="CYJ42" s="42"/>
      <c r="CYK42" s="43"/>
      <c r="CYL42" s="44"/>
      <c r="CYN42" s="42"/>
      <c r="CYO42" s="43"/>
      <c r="CYP42" s="44"/>
      <c r="CYR42" s="42"/>
      <c r="CYS42" s="43"/>
      <c r="CYT42" s="44"/>
      <c r="CYV42" s="42"/>
      <c r="CYW42" s="43"/>
      <c r="CYX42" s="44"/>
      <c r="CYZ42" s="42"/>
      <c r="CZA42" s="43"/>
      <c r="CZB42" s="44"/>
      <c r="CZD42" s="42"/>
      <c r="CZE42" s="43"/>
      <c r="CZF42" s="44"/>
      <c r="CZH42" s="42"/>
      <c r="CZI42" s="43"/>
      <c r="CZJ42" s="44"/>
      <c r="CZL42" s="42"/>
      <c r="CZM42" s="43"/>
      <c r="CZN42" s="44"/>
      <c r="CZP42" s="42"/>
      <c r="CZQ42" s="43"/>
      <c r="CZR42" s="44"/>
      <c r="CZT42" s="42"/>
      <c r="CZU42" s="43"/>
      <c r="CZV42" s="44"/>
      <c r="CZX42" s="42"/>
      <c r="CZY42" s="43"/>
      <c r="CZZ42" s="44"/>
      <c r="DAB42" s="42"/>
      <c r="DAC42" s="43"/>
      <c r="DAD42" s="44"/>
      <c r="DAF42" s="42"/>
      <c r="DAG42" s="43"/>
      <c r="DAH42" s="44"/>
      <c r="DAJ42" s="42"/>
      <c r="DAK42" s="43"/>
      <c r="DAL42" s="44"/>
      <c r="DAN42" s="42"/>
      <c r="DAO42" s="43"/>
      <c r="DAP42" s="44"/>
      <c r="DAR42" s="42"/>
      <c r="DAS42" s="43"/>
      <c r="DAT42" s="44"/>
      <c r="DAV42" s="42"/>
      <c r="DAW42" s="43"/>
      <c r="DAX42" s="44"/>
      <c r="DAZ42" s="42"/>
      <c r="DBA42" s="43"/>
      <c r="DBB42" s="44"/>
      <c r="DBD42" s="42"/>
      <c r="DBE42" s="43"/>
      <c r="DBF42" s="44"/>
      <c r="DBH42" s="42"/>
      <c r="DBI42" s="43"/>
      <c r="DBJ42" s="44"/>
      <c r="DBL42" s="42"/>
      <c r="DBM42" s="43"/>
      <c r="DBN42" s="44"/>
      <c r="DBP42" s="42"/>
      <c r="DBQ42" s="43"/>
      <c r="DBR42" s="44"/>
      <c r="DBT42" s="42"/>
      <c r="DBU42" s="43"/>
      <c r="DBV42" s="44"/>
      <c r="DBX42" s="42"/>
      <c r="DBY42" s="43"/>
      <c r="DBZ42" s="44"/>
      <c r="DCB42" s="42"/>
      <c r="DCC42" s="43"/>
      <c r="DCD42" s="44"/>
      <c r="DCF42" s="42"/>
      <c r="DCG42" s="43"/>
      <c r="DCH42" s="44"/>
      <c r="DCJ42" s="42"/>
      <c r="DCK42" s="43"/>
      <c r="DCL42" s="44"/>
      <c r="DCN42" s="42"/>
      <c r="DCO42" s="43"/>
      <c r="DCP42" s="44"/>
      <c r="DCR42" s="42"/>
      <c r="DCS42" s="43"/>
      <c r="DCT42" s="44"/>
      <c r="DCV42" s="42"/>
      <c r="DCW42" s="43"/>
      <c r="DCX42" s="44"/>
      <c r="DCZ42" s="42"/>
      <c r="DDA42" s="43"/>
      <c r="DDB42" s="44"/>
      <c r="DDD42" s="42"/>
      <c r="DDE42" s="43"/>
      <c r="DDF42" s="44"/>
      <c r="DDH42" s="42"/>
      <c r="DDI42" s="43"/>
      <c r="DDJ42" s="44"/>
      <c r="DDL42" s="42"/>
      <c r="DDM42" s="43"/>
      <c r="DDN42" s="44"/>
      <c r="DDP42" s="42"/>
      <c r="DDQ42" s="43"/>
      <c r="DDR42" s="44"/>
      <c r="DDT42" s="42"/>
      <c r="DDU42" s="43"/>
      <c r="DDV42" s="44"/>
      <c r="DDX42" s="42"/>
      <c r="DDY42" s="43"/>
      <c r="DDZ42" s="44"/>
      <c r="DEB42" s="42"/>
      <c r="DEC42" s="43"/>
      <c r="DED42" s="44"/>
      <c r="DEF42" s="42"/>
      <c r="DEG42" s="43"/>
      <c r="DEH42" s="44"/>
      <c r="DEJ42" s="42"/>
      <c r="DEK42" s="43"/>
      <c r="DEL42" s="44"/>
      <c r="DEN42" s="42"/>
      <c r="DEO42" s="43"/>
      <c r="DEP42" s="44"/>
      <c r="DER42" s="42"/>
      <c r="DES42" s="43"/>
      <c r="DET42" s="44"/>
      <c r="DEV42" s="42"/>
      <c r="DEW42" s="43"/>
      <c r="DEX42" s="44"/>
      <c r="DEZ42" s="42"/>
      <c r="DFA42" s="43"/>
      <c r="DFB42" s="44"/>
      <c r="DFD42" s="42"/>
      <c r="DFE42" s="43"/>
      <c r="DFF42" s="44"/>
      <c r="DFH42" s="42"/>
      <c r="DFI42" s="43"/>
      <c r="DFJ42" s="44"/>
      <c r="DFL42" s="42"/>
      <c r="DFM42" s="43"/>
      <c r="DFN42" s="44"/>
      <c r="DFP42" s="42"/>
      <c r="DFQ42" s="43"/>
      <c r="DFR42" s="44"/>
      <c r="DFT42" s="42"/>
      <c r="DFU42" s="43"/>
      <c r="DFV42" s="44"/>
      <c r="DFX42" s="42"/>
      <c r="DFY42" s="43"/>
      <c r="DFZ42" s="44"/>
      <c r="DGB42" s="42"/>
      <c r="DGC42" s="43"/>
      <c r="DGD42" s="44"/>
      <c r="DGF42" s="42"/>
      <c r="DGG42" s="43"/>
      <c r="DGH42" s="44"/>
      <c r="DGJ42" s="42"/>
      <c r="DGK42" s="43"/>
      <c r="DGL42" s="44"/>
      <c r="DGN42" s="42"/>
      <c r="DGO42" s="43"/>
      <c r="DGP42" s="44"/>
      <c r="DGR42" s="42"/>
      <c r="DGS42" s="43"/>
      <c r="DGT42" s="44"/>
      <c r="DGV42" s="42"/>
      <c r="DGW42" s="43"/>
      <c r="DGX42" s="44"/>
      <c r="DGZ42" s="42"/>
      <c r="DHA42" s="43"/>
      <c r="DHB42" s="44"/>
      <c r="DHD42" s="42"/>
      <c r="DHE42" s="43"/>
      <c r="DHF42" s="44"/>
      <c r="DHH42" s="42"/>
      <c r="DHI42" s="43"/>
      <c r="DHJ42" s="44"/>
      <c r="DHL42" s="42"/>
      <c r="DHM42" s="43"/>
      <c r="DHN42" s="44"/>
      <c r="DHP42" s="42"/>
      <c r="DHQ42" s="43"/>
      <c r="DHR42" s="44"/>
      <c r="DHT42" s="42"/>
      <c r="DHU42" s="43"/>
      <c r="DHV42" s="44"/>
      <c r="DHX42" s="42"/>
      <c r="DHY42" s="43"/>
      <c r="DHZ42" s="44"/>
      <c r="DIB42" s="42"/>
      <c r="DIC42" s="43"/>
      <c r="DID42" s="44"/>
      <c r="DIF42" s="42"/>
      <c r="DIG42" s="43"/>
      <c r="DIH42" s="44"/>
      <c r="DIJ42" s="42"/>
      <c r="DIK42" s="43"/>
      <c r="DIL42" s="44"/>
      <c r="DIN42" s="42"/>
      <c r="DIO42" s="43"/>
      <c r="DIP42" s="44"/>
      <c r="DIR42" s="42"/>
      <c r="DIS42" s="43"/>
      <c r="DIT42" s="44"/>
      <c r="DIV42" s="42"/>
      <c r="DIW42" s="43"/>
      <c r="DIX42" s="44"/>
      <c r="DIZ42" s="42"/>
      <c r="DJA42" s="43"/>
      <c r="DJB42" s="44"/>
      <c r="DJD42" s="42"/>
      <c r="DJE42" s="43"/>
      <c r="DJF42" s="44"/>
      <c r="DJH42" s="42"/>
      <c r="DJI42" s="43"/>
      <c r="DJJ42" s="44"/>
      <c r="DJL42" s="42"/>
      <c r="DJM42" s="43"/>
      <c r="DJN42" s="44"/>
      <c r="DJP42" s="42"/>
      <c r="DJQ42" s="43"/>
      <c r="DJR42" s="44"/>
      <c r="DJT42" s="42"/>
      <c r="DJU42" s="43"/>
      <c r="DJV42" s="44"/>
      <c r="DJX42" s="42"/>
      <c r="DJY42" s="43"/>
      <c r="DJZ42" s="44"/>
      <c r="DKB42" s="42"/>
      <c r="DKC42" s="43"/>
      <c r="DKD42" s="44"/>
      <c r="DKF42" s="42"/>
      <c r="DKG42" s="43"/>
      <c r="DKH42" s="44"/>
      <c r="DKJ42" s="42"/>
      <c r="DKK42" s="43"/>
      <c r="DKL42" s="44"/>
      <c r="DKN42" s="42"/>
      <c r="DKO42" s="43"/>
      <c r="DKP42" s="44"/>
      <c r="DKR42" s="42"/>
      <c r="DKS42" s="43"/>
      <c r="DKT42" s="44"/>
      <c r="DKV42" s="42"/>
      <c r="DKW42" s="43"/>
      <c r="DKX42" s="44"/>
      <c r="DKZ42" s="42"/>
      <c r="DLA42" s="43"/>
      <c r="DLB42" s="44"/>
      <c r="DLD42" s="42"/>
      <c r="DLE42" s="43"/>
      <c r="DLF42" s="44"/>
      <c r="DLH42" s="42"/>
      <c r="DLI42" s="43"/>
      <c r="DLJ42" s="44"/>
      <c r="DLL42" s="42"/>
      <c r="DLM42" s="43"/>
      <c r="DLN42" s="44"/>
      <c r="DLP42" s="42"/>
      <c r="DLQ42" s="43"/>
      <c r="DLR42" s="44"/>
      <c r="DLT42" s="42"/>
      <c r="DLU42" s="43"/>
      <c r="DLV42" s="44"/>
      <c r="DLX42" s="42"/>
      <c r="DLY42" s="43"/>
      <c r="DLZ42" s="44"/>
      <c r="DMB42" s="42"/>
      <c r="DMC42" s="43"/>
      <c r="DMD42" s="44"/>
      <c r="DMF42" s="42"/>
      <c r="DMG42" s="43"/>
      <c r="DMH42" s="44"/>
      <c r="DMJ42" s="42"/>
      <c r="DMK42" s="43"/>
      <c r="DML42" s="44"/>
      <c r="DMN42" s="42"/>
      <c r="DMO42" s="43"/>
      <c r="DMP42" s="44"/>
      <c r="DMR42" s="42"/>
      <c r="DMS42" s="43"/>
      <c r="DMT42" s="44"/>
      <c r="DMV42" s="42"/>
      <c r="DMW42" s="43"/>
      <c r="DMX42" s="44"/>
      <c r="DMZ42" s="42"/>
      <c r="DNA42" s="43"/>
      <c r="DNB42" s="44"/>
      <c r="DND42" s="42"/>
      <c r="DNE42" s="43"/>
      <c r="DNF42" s="44"/>
      <c r="DNH42" s="42"/>
      <c r="DNI42" s="43"/>
      <c r="DNJ42" s="44"/>
      <c r="DNL42" s="42"/>
      <c r="DNM42" s="43"/>
      <c r="DNN42" s="44"/>
      <c r="DNP42" s="42"/>
      <c r="DNQ42" s="43"/>
      <c r="DNR42" s="44"/>
      <c r="DNT42" s="42"/>
      <c r="DNU42" s="43"/>
      <c r="DNV42" s="44"/>
      <c r="DNX42" s="42"/>
      <c r="DNY42" s="43"/>
      <c r="DNZ42" s="44"/>
      <c r="DOB42" s="42"/>
      <c r="DOC42" s="43"/>
      <c r="DOD42" s="44"/>
      <c r="DOF42" s="42"/>
      <c r="DOG42" s="43"/>
      <c r="DOH42" s="44"/>
      <c r="DOJ42" s="42"/>
      <c r="DOK42" s="43"/>
      <c r="DOL42" s="44"/>
      <c r="DON42" s="42"/>
      <c r="DOO42" s="43"/>
      <c r="DOP42" s="44"/>
      <c r="DOR42" s="42"/>
      <c r="DOS42" s="43"/>
      <c r="DOT42" s="44"/>
      <c r="DOV42" s="42"/>
      <c r="DOW42" s="43"/>
      <c r="DOX42" s="44"/>
      <c r="DOZ42" s="42"/>
      <c r="DPA42" s="43"/>
      <c r="DPB42" s="44"/>
      <c r="DPD42" s="42"/>
      <c r="DPE42" s="43"/>
      <c r="DPF42" s="44"/>
      <c r="DPH42" s="42"/>
      <c r="DPI42" s="43"/>
      <c r="DPJ42" s="44"/>
      <c r="DPL42" s="42"/>
      <c r="DPM42" s="43"/>
      <c r="DPN42" s="44"/>
      <c r="DPP42" s="42"/>
      <c r="DPQ42" s="43"/>
      <c r="DPR42" s="44"/>
      <c r="DPT42" s="42"/>
      <c r="DPU42" s="43"/>
      <c r="DPV42" s="44"/>
      <c r="DPX42" s="42"/>
      <c r="DPY42" s="43"/>
      <c r="DPZ42" s="44"/>
      <c r="DQB42" s="42"/>
      <c r="DQC42" s="43"/>
      <c r="DQD42" s="44"/>
      <c r="DQF42" s="42"/>
      <c r="DQG42" s="43"/>
      <c r="DQH42" s="44"/>
      <c r="DQJ42" s="42"/>
      <c r="DQK42" s="43"/>
      <c r="DQL42" s="44"/>
      <c r="DQN42" s="42"/>
      <c r="DQO42" s="43"/>
      <c r="DQP42" s="44"/>
      <c r="DQR42" s="42"/>
      <c r="DQS42" s="43"/>
      <c r="DQT42" s="44"/>
      <c r="DQV42" s="42"/>
      <c r="DQW42" s="43"/>
      <c r="DQX42" s="44"/>
      <c r="DQZ42" s="42"/>
      <c r="DRA42" s="43"/>
      <c r="DRB42" s="44"/>
      <c r="DRD42" s="42"/>
      <c r="DRE42" s="43"/>
      <c r="DRF42" s="44"/>
      <c r="DRH42" s="42"/>
      <c r="DRI42" s="43"/>
      <c r="DRJ42" s="44"/>
      <c r="DRL42" s="42"/>
      <c r="DRM42" s="43"/>
      <c r="DRN42" s="44"/>
      <c r="DRP42" s="42"/>
      <c r="DRQ42" s="43"/>
      <c r="DRR42" s="44"/>
      <c r="DRT42" s="42"/>
      <c r="DRU42" s="43"/>
      <c r="DRV42" s="44"/>
      <c r="DRX42" s="42"/>
      <c r="DRY42" s="43"/>
      <c r="DRZ42" s="44"/>
      <c r="DSB42" s="42"/>
      <c r="DSC42" s="43"/>
      <c r="DSD42" s="44"/>
      <c r="DSF42" s="42"/>
      <c r="DSG42" s="43"/>
      <c r="DSH42" s="44"/>
      <c r="DSJ42" s="42"/>
      <c r="DSK42" s="43"/>
      <c r="DSL42" s="44"/>
      <c r="DSN42" s="42"/>
      <c r="DSO42" s="43"/>
      <c r="DSP42" s="44"/>
      <c r="DSR42" s="42"/>
      <c r="DSS42" s="43"/>
      <c r="DST42" s="44"/>
      <c r="DSV42" s="42"/>
      <c r="DSW42" s="43"/>
      <c r="DSX42" s="44"/>
      <c r="DSZ42" s="42"/>
      <c r="DTA42" s="43"/>
      <c r="DTB42" s="44"/>
      <c r="DTD42" s="42"/>
      <c r="DTE42" s="43"/>
      <c r="DTF42" s="44"/>
      <c r="DTH42" s="42"/>
      <c r="DTI42" s="43"/>
      <c r="DTJ42" s="44"/>
      <c r="DTL42" s="42"/>
      <c r="DTM42" s="43"/>
      <c r="DTN42" s="44"/>
      <c r="DTP42" s="42"/>
      <c r="DTQ42" s="43"/>
      <c r="DTR42" s="44"/>
      <c r="DTT42" s="42"/>
      <c r="DTU42" s="43"/>
      <c r="DTV42" s="44"/>
      <c r="DTX42" s="42"/>
      <c r="DTY42" s="43"/>
      <c r="DTZ42" s="44"/>
      <c r="DUB42" s="42"/>
      <c r="DUC42" s="43"/>
      <c r="DUD42" s="44"/>
      <c r="DUF42" s="42"/>
      <c r="DUG42" s="43"/>
      <c r="DUH42" s="44"/>
      <c r="DUJ42" s="42"/>
      <c r="DUK42" s="43"/>
      <c r="DUL42" s="44"/>
      <c r="DUN42" s="42"/>
      <c r="DUO42" s="43"/>
      <c r="DUP42" s="44"/>
      <c r="DUR42" s="42"/>
      <c r="DUS42" s="43"/>
      <c r="DUT42" s="44"/>
      <c r="DUV42" s="42"/>
      <c r="DUW42" s="43"/>
      <c r="DUX42" s="44"/>
      <c r="DUZ42" s="42"/>
      <c r="DVA42" s="43"/>
      <c r="DVB42" s="44"/>
      <c r="DVD42" s="42"/>
      <c r="DVE42" s="43"/>
      <c r="DVF42" s="44"/>
      <c r="DVH42" s="42"/>
      <c r="DVI42" s="43"/>
      <c r="DVJ42" s="44"/>
      <c r="DVL42" s="42"/>
      <c r="DVM42" s="43"/>
      <c r="DVN42" s="44"/>
      <c r="DVP42" s="42"/>
      <c r="DVQ42" s="43"/>
      <c r="DVR42" s="44"/>
      <c r="DVT42" s="42"/>
      <c r="DVU42" s="43"/>
      <c r="DVV42" s="44"/>
      <c r="DVX42" s="42"/>
      <c r="DVY42" s="43"/>
      <c r="DVZ42" s="44"/>
      <c r="DWB42" s="42"/>
      <c r="DWC42" s="43"/>
      <c r="DWD42" s="44"/>
      <c r="DWF42" s="42"/>
      <c r="DWG42" s="43"/>
      <c r="DWH42" s="44"/>
      <c r="DWJ42" s="42"/>
      <c r="DWK42" s="43"/>
      <c r="DWL42" s="44"/>
      <c r="DWN42" s="42"/>
      <c r="DWO42" s="43"/>
      <c r="DWP42" s="44"/>
      <c r="DWR42" s="42"/>
      <c r="DWS42" s="43"/>
      <c r="DWT42" s="44"/>
      <c r="DWV42" s="42"/>
      <c r="DWW42" s="43"/>
      <c r="DWX42" s="44"/>
      <c r="DWZ42" s="42"/>
      <c r="DXA42" s="43"/>
      <c r="DXB42" s="44"/>
      <c r="DXD42" s="42"/>
      <c r="DXE42" s="43"/>
      <c r="DXF42" s="44"/>
      <c r="DXH42" s="42"/>
      <c r="DXI42" s="43"/>
      <c r="DXJ42" s="44"/>
      <c r="DXL42" s="42"/>
      <c r="DXM42" s="43"/>
      <c r="DXN42" s="44"/>
      <c r="DXP42" s="42"/>
      <c r="DXQ42" s="43"/>
      <c r="DXR42" s="44"/>
      <c r="DXT42" s="42"/>
      <c r="DXU42" s="43"/>
      <c r="DXV42" s="44"/>
      <c r="DXX42" s="42"/>
      <c r="DXY42" s="43"/>
      <c r="DXZ42" s="44"/>
      <c r="DYB42" s="42"/>
      <c r="DYC42" s="43"/>
      <c r="DYD42" s="44"/>
      <c r="DYF42" s="42"/>
      <c r="DYG42" s="43"/>
      <c r="DYH42" s="44"/>
      <c r="DYJ42" s="42"/>
      <c r="DYK42" s="43"/>
      <c r="DYL42" s="44"/>
      <c r="DYN42" s="42"/>
      <c r="DYO42" s="43"/>
      <c r="DYP42" s="44"/>
      <c r="DYR42" s="42"/>
      <c r="DYS42" s="43"/>
      <c r="DYT42" s="44"/>
      <c r="DYV42" s="42"/>
      <c r="DYW42" s="43"/>
      <c r="DYX42" s="44"/>
      <c r="DYZ42" s="42"/>
      <c r="DZA42" s="43"/>
      <c r="DZB42" s="44"/>
      <c r="DZD42" s="42"/>
      <c r="DZE42" s="43"/>
      <c r="DZF42" s="44"/>
      <c r="DZH42" s="42"/>
      <c r="DZI42" s="43"/>
      <c r="DZJ42" s="44"/>
      <c r="DZL42" s="42"/>
      <c r="DZM42" s="43"/>
      <c r="DZN42" s="44"/>
      <c r="DZP42" s="42"/>
      <c r="DZQ42" s="43"/>
      <c r="DZR42" s="44"/>
      <c r="DZT42" s="42"/>
      <c r="DZU42" s="43"/>
      <c r="DZV42" s="44"/>
      <c r="DZX42" s="42"/>
      <c r="DZY42" s="43"/>
      <c r="DZZ42" s="44"/>
      <c r="EAB42" s="42"/>
      <c r="EAC42" s="43"/>
      <c r="EAD42" s="44"/>
      <c r="EAF42" s="42"/>
      <c r="EAG42" s="43"/>
      <c r="EAH42" s="44"/>
      <c r="EAJ42" s="42"/>
      <c r="EAK42" s="43"/>
      <c r="EAL42" s="44"/>
      <c r="EAN42" s="42"/>
      <c r="EAO42" s="43"/>
      <c r="EAP42" s="44"/>
      <c r="EAR42" s="42"/>
      <c r="EAS42" s="43"/>
      <c r="EAT42" s="44"/>
      <c r="EAV42" s="42"/>
      <c r="EAW42" s="43"/>
      <c r="EAX42" s="44"/>
      <c r="EAZ42" s="42"/>
      <c r="EBA42" s="43"/>
      <c r="EBB42" s="44"/>
      <c r="EBD42" s="42"/>
      <c r="EBE42" s="43"/>
      <c r="EBF42" s="44"/>
      <c r="EBH42" s="42"/>
      <c r="EBI42" s="43"/>
      <c r="EBJ42" s="44"/>
      <c r="EBL42" s="42"/>
      <c r="EBM42" s="43"/>
      <c r="EBN42" s="44"/>
      <c r="EBP42" s="42"/>
      <c r="EBQ42" s="43"/>
      <c r="EBR42" s="44"/>
      <c r="EBT42" s="42"/>
      <c r="EBU42" s="43"/>
      <c r="EBV42" s="44"/>
      <c r="EBX42" s="42"/>
      <c r="EBY42" s="43"/>
      <c r="EBZ42" s="44"/>
      <c r="ECB42" s="42"/>
      <c r="ECC42" s="43"/>
      <c r="ECD42" s="44"/>
      <c r="ECF42" s="42"/>
      <c r="ECG42" s="43"/>
      <c r="ECH42" s="44"/>
      <c r="ECJ42" s="42"/>
      <c r="ECK42" s="43"/>
      <c r="ECL42" s="44"/>
      <c r="ECN42" s="42"/>
      <c r="ECO42" s="43"/>
      <c r="ECP42" s="44"/>
      <c r="ECR42" s="42"/>
      <c r="ECS42" s="43"/>
      <c r="ECT42" s="44"/>
      <c r="ECV42" s="42"/>
      <c r="ECW42" s="43"/>
      <c r="ECX42" s="44"/>
      <c r="ECZ42" s="42"/>
      <c r="EDA42" s="43"/>
      <c r="EDB42" s="44"/>
      <c r="EDD42" s="42"/>
      <c r="EDE42" s="43"/>
      <c r="EDF42" s="44"/>
      <c r="EDH42" s="42"/>
      <c r="EDI42" s="43"/>
      <c r="EDJ42" s="44"/>
      <c r="EDL42" s="42"/>
      <c r="EDM42" s="43"/>
      <c r="EDN42" s="44"/>
      <c r="EDP42" s="42"/>
      <c r="EDQ42" s="43"/>
      <c r="EDR42" s="44"/>
      <c r="EDT42" s="42"/>
      <c r="EDU42" s="43"/>
      <c r="EDV42" s="44"/>
      <c r="EDX42" s="42"/>
      <c r="EDY42" s="43"/>
      <c r="EDZ42" s="44"/>
      <c r="EEB42" s="42"/>
      <c r="EEC42" s="43"/>
      <c r="EED42" s="44"/>
      <c r="EEF42" s="42"/>
      <c r="EEG42" s="43"/>
      <c r="EEH42" s="44"/>
      <c r="EEJ42" s="42"/>
      <c r="EEK42" s="43"/>
      <c r="EEL42" s="44"/>
      <c r="EEN42" s="42"/>
      <c r="EEO42" s="43"/>
      <c r="EEP42" s="44"/>
      <c r="EER42" s="42"/>
      <c r="EES42" s="43"/>
      <c r="EET42" s="44"/>
      <c r="EEV42" s="42"/>
      <c r="EEW42" s="43"/>
      <c r="EEX42" s="44"/>
      <c r="EEZ42" s="42"/>
      <c r="EFA42" s="43"/>
      <c r="EFB42" s="44"/>
      <c r="EFD42" s="42"/>
      <c r="EFE42" s="43"/>
      <c r="EFF42" s="44"/>
      <c r="EFH42" s="42"/>
      <c r="EFI42" s="43"/>
      <c r="EFJ42" s="44"/>
      <c r="EFL42" s="42"/>
      <c r="EFM42" s="43"/>
      <c r="EFN42" s="44"/>
      <c r="EFP42" s="42"/>
      <c r="EFQ42" s="43"/>
      <c r="EFR42" s="44"/>
      <c r="EFT42" s="42"/>
      <c r="EFU42" s="43"/>
      <c r="EFV42" s="44"/>
      <c r="EFX42" s="42"/>
      <c r="EFY42" s="43"/>
      <c r="EFZ42" s="44"/>
      <c r="EGB42" s="42"/>
      <c r="EGC42" s="43"/>
      <c r="EGD42" s="44"/>
      <c r="EGF42" s="42"/>
      <c r="EGG42" s="43"/>
      <c r="EGH42" s="44"/>
      <c r="EGJ42" s="42"/>
      <c r="EGK42" s="43"/>
      <c r="EGL42" s="44"/>
      <c r="EGN42" s="42"/>
      <c r="EGO42" s="43"/>
      <c r="EGP42" s="44"/>
      <c r="EGR42" s="42"/>
      <c r="EGS42" s="43"/>
      <c r="EGT42" s="44"/>
      <c r="EGV42" s="42"/>
      <c r="EGW42" s="43"/>
      <c r="EGX42" s="44"/>
      <c r="EGZ42" s="42"/>
      <c r="EHA42" s="43"/>
      <c r="EHB42" s="44"/>
      <c r="EHD42" s="42"/>
      <c r="EHE42" s="43"/>
      <c r="EHF42" s="44"/>
      <c r="EHH42" s="42"/>
      <c r="EHI42" s="43"/>
      <c r="EHJ42" s="44"/>
      <c r="EHL42" s="42"/>
      <c r="EHM42" s="43"/>
      <c r="EHN42" s="44"/>
      <c r="EHP42" s="42"/>
      <c r="EHQ42" s="43"/>
      <c r="EHR42" s="44"/>
      <c r="EHT42" s="42"/>
      <c r="EHU42" s="43"/>
      <c r="EHV42" s="44"/>
      <c r="EHX42" s="42"/>
      <c r="EHY42" s="43"/>
      <c r="EHZ42" s="44"/>
      <c r="EIB42" s="42"/>
      <c r="EIC42" s="43"/>
      <c r="EID42" s="44"/>
      <c r="EIF42" s="42"/>
      <c r="EIG42" s="43"/>
      <c r="EIH42" s="44"/>
      <c r="EIJ42" s="42"/>
      <c r="EIK42" s="43"/>
      <c r="EIL42" s="44"/>
      <c r="EIN42" s="42"/>
      <c r="EIO42" s="43"/>
      <c r="EIP42" s="44"/>
      <c r="EIR42" s="42"/>
      <c r="EIS42" s="43"/>
      <c r="EIT42" s="44"/>
      <c r="EIV42" s="42"/>
      <c r="EIW42" s="43"/>
      <c r="EIX42" s="44"/>
      <c r="EIZ42" s="42"/>
      <c r="EJA42" s="43"/>
      <c r="EJB42" s="44"/>
      <c r="EJD42" s="42"/>
      <c r="EJE42" s="43"/>
      <c r="EJF42" s="44"/>
      <c r="EJH42" s="42"/>
      <c r="EJI42" s="43"/>
      <c r="EJJ42" s="44"/>
      <c r="EJL42" s="42"/>
      <c r="EJM42" s="43"/>
      <c r="EJN42" s="44"/>
      <c r="EJP42" s="42"/>
      <c r="EJQ42" s="43"/>
      <c r="EJR42" s="44"/>
      <c r="EJT42" s="42"/>
      <c r="EJU42" s="43"/>
      <c r="EJV42" s="44"/>
      <c r="EJX42" s="42"/>
      <c r="EJY42" s="43"/>
      <c r="EJZ42" s="44"/>
      <c r="EKB42" s="42"/>
      <c r="EKC42" s="43"/>
      <c r="EKD42" s="44"/>
      <c r="EKF42" s="42"/>
      <c r="EKG42" s="43"/>
      <c r="EKH42" s="44"/>
      <c r="EKJ42" s="42"/>
      <c r="EKK42" s="43"/>
      <c r="EKL42" s="44"/>
      <c r="EKN42" s="42"/>
      <c r="EKO42" s="43"/>
      <c r="EKP42" s="44"/>
      <c r="EKR42" s="42"/>
      <c r="EKS42" s="43"/>
      <c r="EKT42" s="44"/>
      <c r="EKV42" s="42"/>
      <c r="EKW42" s="43"/>
      <c r="EKX42" s="44"/>
      <c r="EKZ42" s="42"/>
      <c r="ELA42" s="43"/>
      <c r="ELB42" s="44"/>
      <c r="ELD42" s="42"/>
      <c r="ELE42" s="43"/>
      <c r="ELF42" s="44"/>
      <c r="ELH42" s="42"/>
      <c r="ELI42" s="43"/>
      <c r="ELJ42" s="44"/>
      <c r="ELL42" s="42"/>
      <c r="ELM42" s="43"/>
      <c r="ELN42" s="44"/>
      <c r="ELP42" s="42"/>
      <c r="ELQ42" s="43"/>
      <c r="ELR42" s="44"/>
      <c r="ELT42" s="42"/>
      <c r="ELU42" s="43"/>
      <c r="ELV42" s="44"/>
      <c r="ELX42" s="42"/>
      <c r="ELY42" s="43"/>
      <c r="ELZ42" s="44"/>
      <c r="EMB42" s="42"/>
      <c r="EMC42" s="43"/>
      <c r="EMD42" s="44"/>
      <c r="EMF42" s="42"/>
      <c r="EMG42" s="43"/>
      <c r="EMH42" s="44"/>
      <c r="EMJ42" s="42"/>
      <c r="EMK42" s="43"/>
      <c r="EML42" s="44"/>
      <c r="EMN42" s="42"/>
      <c r="EMO42" s="43"/>
      <c r="EMP42" s="44"/>
      <c r="EMR42" s="42"/>
      <c r="EMS42" s="43"/>
      <c r="EMT42" s="44"/>
      <c r="EMV42" s="42"/>
      <c r="EMW42" s="43"/>
      <c r="EMX42" s="44"/>
      <c r="EMZ42" s="42"/>
      <c r="ENA42" s="43"/>
      <c r="ENB42" s="44"/>
      <c r="END42" s="42"/>
      <c r="ENE42" s="43"/>
      <c r="ENF42" s="44"/>
      <c r="ENH42" s="42"/>
      <c r="ENI42" s="43"/>
      <c r="ENJ42" s="44"/>
      <c r="ENL42" s="42"/>
      <c r="ENM42" s="43"/>
      <c r="ENN42" s="44"/>
      <c r="ENP42" s="42"/>
      <c r="ENQ42" s="43"/>
      <c r="ENR42" s="44"/>
      <c r="ENT42" s="42"/>
      <c r="ENU42" s="43"/>
      <c r="ENV42" s="44"/>
      <c r="ENX42" s="42"/>
      <c r="ENY42" s="43"/>
      <c r="ENZ42" s="44"/>
      <c r="EOB42" s="42"/>
      <c r="EOC42" s="43"/>
      <c r="EOD42" s="44"/>
      <c r="EOF42" s="42"/>
      <c r="EOG42" s="43"/>
      <c r="EOH42" s="44"/>
      <c r="EOJ42" s="42"/>
      <c r="EOK42" s="43"/>
      <c r="EOL42" s="44"/>
      <c r="EON42" s="42"/>
      <c r="EOO42" s="43"/>
      <c r="EOP42" s="44"/>
      <c r="EOR42" s="42"/>
      <c r="EOS42" s="43"/>
      <c r="EOT42" s="44"/>
      <c r="EOV42" s="42"/>
      <c r="EOW42" s="43"/>
      <c r="EOX42" s="44"/>
      <c r="EOZ42" s="42"/>
      <c r="EPA42" s="43"/>
      <c r="EPB42" s="44"/>
      <c r="EPD42" s="42"/>
      <c r="EPE42" s="43"/>
      <c r="EPF42" s="44"/>
      <c r="EPH42" s="42"/>
      <c r="EPI42" s="43"/>
      <c r="EPJ42" s="44"/>
      <c r="EPL42" s="42"/>
      <c r="EPM42" s="43"/>
      <c r="EPN42" s="44"/>
      <c r="EPP42" s="42"/>
      <c r="EPQ42" s="43"/>
      <c r="EPR42" s="44"/>
      <c r="EPT42" s="42"/>
      <c r="EPU42" s="43"/>
      <c r="EPV42" s="44"/>
      <c r="EPX42" s="42"/>
      <c r="EPY42" s="43"/>
      <c r="EPZ42" s="44"/>
      <c r="EQB42" s="42"/>
      <c r="EQC42" s="43"/>
      <c r="EQD42" s="44"/>
      <c r="EQF42" s="42"/>
      <c r="EQG42" s="43"/>
      <c r="EQH42" s="44"/>
      <c r="EQJ42" s="42"/>
      <c r="EQK42" s="43"/>
      <c r="EQL42" s="44"/>
      <c r="EQN42" s="42"/>
      <c r="EQO42" s="43"/>
      <c r="EQP42" s="44"/>
      <c r="EQR42" s="42"/>
      <c r="EQS42" s="43"/>
      <c r="EQT42" s="44"/>
      <c r="EQV42" s="42"/>
      <c r="EQW42" s="43"/>
      <c r="EQX42" s="44"/>
      <c r="EQZ42" s="42"/>
      <c r="ERA42" s="43"/>
      <c r="ERB42" s="44"/>
      <c r="ERD42" s="42"/>
      <c r="ERE42" s="43"/>
      <c r="ERF42" s="44"/>
      <c r="ERH42" s="42"/>
      <c r="ERI42" s="43"/>
      <c r="ERJ42" s="44"/>
      <c r="ERL42" s="42"/>
      <c r="ERM42" s="43"/>
      <c r="ERN42" s="44"/>
      <c r="ERP42" s="42"/>
      <c r="ERQ42" s="43"/>
      <c r="ERR42" s="44"/>
      <c r="ERT42" s="42"/>
      <c r="ERU42" s="43"/>
      <c r="ERV42" s="44"/>
      <c r="ERX42" s="42"/>
      <c r="ERY42" s="43"/>
      <c r="ERZ42" s="44"/>
      <c r="ESB42" s="42"/>
      <c r="ESC42" s="43"/>
      <c r="ESD42" s="44"/>
      <c r="ESF42" s="42"/>
      <c r="ESG42" s="43"/>
      <c r="ESH42" s="44"/>
      <c r="ESJ42" s="42"/>
      <c r="ESK42" s="43"/>
      <c r="ESL42" s="44"/>
      <c r="ESN42" s="42"/>
      <c r="ESO42" s="43"/>
      <c r="ESP42" s="44"/>
      <c r="ESR42" s="42"/>
      <c r="ESS42" s="43"/>
      <c r="EST42" s="44"/>
      <c r="ESV42" s="42"/>
      <c r="ESW42" s="43"/>
      <c r="ESX42" s="44"/>
      <c r="ESZ42" s="42"/>
      <c r="ETA42" s="43"/>
      <c r="ETB42" s="44"/>
      <c r="ETD42" s="42"/>
      <c r="ETE42" s="43"/>
      <c r="ETF42" s="44"/>
      <c r="ETH42" s="42"/>
      <c r="ETI42" s="43"/>
      <c r="ETJ42" s="44"/>
      <c r="ETL42" s="42"/>
      <c r="ETM42" s="43"/>
      <c r="ETN42" s="44"/>
      <c r="ETP42" s="42"/>
      <c r="ETQ42" s="43"/>
      <c r="ETR42" s="44"/>
      <c r="ETT42" s="42"/>
      <c r="ETU42" s="43"/>
      <c r="ETV42" s="44"/>
      <c r="ETX42" s="42"/>
      <c r="ETY42" s="43"/>
      <c r="ETZ42" s="44"/>
      <c r="EUB42" s="42"/>
      <c r="EUC42" s="43"/>
      <c r="EUD42" s="44"/>
      <c r="EUF42" s="42"/>
      <c r="EUG42" s="43"/>
      <c r="EUH42" s="44"/>
      <c r="EUJ42" s="42"/>
      <c r="EUK42" s="43"/>
      <c r="EUL42" s="44"/>
      <c r="EUN42" s="42"/>
      <c r="EUO42" s="43"/>
      <c r="EUP42" s="44"/>
      <c r="EUR42" s="42"/>
      <c r="EUS42" s="43"/>
      <c r="EUT42" s="44"/>
      <c r="EUV42" s="42"/>
      <c r="EUW42" s="43"/>
      <c r="EUX42" s="44"/>
      <c r="EUZ42" s="42"/>
      <c r="EVA42" s="43"/>
      <c r="EVB42" s="44"/>
      <c r="EVD42" s="42"/>
      <c r="EVE42" s="43"/>
      <c r="EVF42" s="44"/>
      <c r="EVH42" s="42"/>
      <c r="EVI42" s="43"/>
      <c r="EVJ42" s="44"/>
      <c r="EVL42" s="42"/>
      <c r="EVM42" s="43"/>
      <c r="EVN42" s="44"/>
      <c r="EVP42" s="42"/>
      <c r="EVQ42" s="43"/>
      <c r="EVR42" s="44"/>
      <c r="EVT42" s="42"/>
      <c r="EVU42" s="43"/>
      <c r="EVV42" s="44"/>
      <c r="EVX42" s="42"/>
      <c r="EVY42" s="43"/>
      <c r="EVZ42" s="44"/>
      <c r="EWB42" s="42"/>
      <c r="EWC42" s="43"/>
      <c r="EWD42" s="44"/>
      <c r="EWF42" s="42"/>
      <c r="EWG42" s="43"/>
      <c r="EWH42" s="44"/>
      <c r="EWJ42" s="42"/>
      <c r="EWK42" s="43"/>
      <c r="EWL42" s="44"/>
      <c r="EWN42" s="42"/>
      <c r="EWO42" s="43"/>
      <c r="EWP42" s="44"/>
      <c r="EWR42" s="42"/>
      <c r="EWS42" s="43"/>
      <c r="EWT42" s="44"/>
      <c r="EWV42" s="42"/>
      <c r="EWW42" s="43"/>
      <c r="EWX42" s="44"/>
      <c r="EWZ42" s="42"/>
      <c r="EXA42" s="43"/>
      <c r="EXB42" s="44"/>
      <c r="EXD42" s="42"/>
      <c r="EXE42" s="43"/>
      <c r="EXF42" s="44"/>
      <c r="EXH42" s="42"/>
      <c r="EXI42" s="43"/>
      <c r="EXJ42" s="44"/>
      <c r="EXL42" s="42"/>
      <c r="EXM42" s="43"/>
      <c r="EXN42" s="44"/>
      <c r="EXP42" s="42"/>
      <c r="EXQ42" s="43"/>
      <c r="EXR42" s="44"/>
      <c r="EXT42" s="42"/>
      <c r="EXU42" s="43"/>
      <c r="EXV42" s="44"/>
      <c r="EXX42" s="42"/>
      <c r="EXY42" s="43"/>
      <c r="EXZ42" s="44"/>
      <c r="EYB42" s="42"/>
      <c r="EYC42" s="43"/>
      <c r="EYD42" s="44"/>
      <c r="EYF42" s="42"/>
      <c r="EYG42" s="43"/>
      <c r="EYH42" s="44"/>
      <c r="EYJ42" s="42"/>
      <c r="EYK42" s="43"/>
      <c r="EYL42" s="44"/>
      <c r="EYN42" s="42"/>
      <c r="EYO42" s="43"/>
      <c r="EYP42" s="44"/>
      <c r="EYR42" s="42"/>
      <c r="EYS42" s="43"/>
      <c r="EYT42" s="44"/>
      <c r="EYV42" s="42"/>
      <c r="EYW42" s="43"/>
      <c r="EYX42" s="44"/>
      <c r="EYZ42" s="42"/>
      <c r="EZA42" s="43"/>
      <c r="EZB42" s="44"/>
      <c r="EZD42" s="42"/>
      <c r="EZE42" s="43"/>
      <c r="EZF42" s="44"/>
      <c r="EZH42" s="42"/>
      <c r="EZI42" s="43"/>
      <c r="EZJ42" s="44"/>
      <c r="EZL42" s="42"/>
      <c r="EZM42" s="43"/>
      <c r="EZN42" s="44"/>
      <c r="EZP42" s="42"/>
      <c r="EZQ42" s="43"/>
      <c r="EZR42" s="44"/>
      <c r="EZT42" s="42"/>
      <c r="EZU42" s="43"/>
      <c r="EZV42" s="44"/>
      <c r="EZX42" s="42"/>
      <c r="EZY42" s="43"/>
      <c r="EZZ42" s="44"/>
      <c r="FAB42" s="42"/>
      <c r="FAC42" s="43"/>
      <c r="FAD42" s="44"/>
      <c r="FAF42" s="42"/>
      <c r="FAG42" s="43"/>
      <c r="FAH42" s="44"/>
      <c r="FAJ42" s="42"/>
      <c r="FAK42" s="43"/>
      <c r="FAL42" s="44"/>
      <c r="FAN42" s="42"/>
      <c r="FAO42" s="43"/>
      <c r="FAP42" s="44"/>
      <c r="FAR42" s="42"/>
      <c r="FAS42" s="43"/>
      <c r="FAT42" s="44"/>
      <c r="FAV42" s="42"/>
      <c r="FAW42" s="43"/>
      <c r="FAX42" s="44"/>
      <c r="FAZ42" s="42"/>
      <c r="FBA42" s="43"/>
      <c r="FBB42" s="44"/>
      <c r="FBD42" s="42"/>
      <c r="FBE42" s="43"/>
      <c r="FBF42" s="44"/>
      <c r="FBH42" s="42"/>
      <c r="FBI42" s="43"/>
      <c r="FBJ42" s="44"/>
      <c r="FBL42" s="42"/>
      <c r="FBM42" s="43"/>
      <c r="FBN42" s="44"/>
      <c r="FBP42" s="42"/>
      <c r="FBQ42" s="43"/>
      <c r="FBR42" s="44"/>
      <c r="FBT42" s="42"/>
      <c r="FBU42" s="43"/>
      <c r="FBV42" s="44"/>
      <c r="FBX42" s="42"/>
      <c r="FBY42" s="43"/>
      <c r="FBZ42" s="44"/>
      <c r="FCB42" s="42"/>
      <c r="FCC42" s="43"/>
      <c r="FCD42" s="44"/>
      <c r="FCF42" s="42"/>
      <c r="FCG42" s="43"/>
      <c r="FCH42" s="44"/>
      <c r="FCJ42" s="42"/>
      <c r="FCK42" s="43"/>
      <c r="FCL42" s="44"/>
      <c r="FCN42" s="42"/>
      <c r="FCO42" s="43"/>
      <c r="FCP42" s="44"/>
      <c r="FCR42" s="42"/>
      <c r="FCS42" s="43"/>
      <c r="FCT42" s="44"/>
      <c r="FCV42" s="42"/>
      <c r="FCW42" s="43"/>
      <c r="FCX42" s="44"/>
      <c r="FCZ42" s="42"/>
      <c r="FDA42" s="43"/>
      <c r="FDB42" s="44"/>
      <c r="FDD42" s="42"/>
      <c r="FDE42" s="43"/>
      <c r="FDF42" s="44"/>
      <c r="FDH42" s="42"/>
      <c r="FDI42" s="43"/>
      <c r="FDJ42" s="44"/>
      <c r="FDL42" s="42"/>
      <c r="FDM42" s="43"/>
      <c r="FDN42" s="44"/>
      <c r="FDP42" s="42"/>
      <c r="FDQ42" s="43"/>
      <c r="FDR42" s="44"/>
      <c r="FDT42" s="42"/>
      <c r="FDU42" s="43"/>
      <c r="FDV42" s="44"/>
      <c r="FDX42" s="42"/>
      <c r="FDY42" s="43"/>
      <c r="FDZ42" s="44"/>
      <c r="FEB42" s="42"/>
      <c r="FEC42" s="43"/>
      <c r="FED42" s="44"/>
      <c r="FEF42" s="42"/>
      <c r="FEG42" s="43"/>
      <c r="FEH42" s="44"/>
      <c r="FEJ42" s="42"/>
      <c r="FEK42" s="43"/>
      <c r="FEL42" s="44"/>
      <c r="FEN42" s="42"/>
      <c r="FEO42" s="43"/>
      <c r="FEP42" s="44"/>
      <c r="FER42" s="42"/>
      <c r="FES42" s="43"/>
      <c r="FET42" s="44"/>
      <c r="FEV42" s="42"/>
      <c r="FEW42" s="43"/>
      <c r="FEX42" s="44"/>
      <c r="FEZ42" s="42"/>
      <c r="FFA42" s="43"/>
      <c r="FFB42" s="44"/>
      <c r="FFD42" s="42"/>
      <c r="FFE42" s="43"/>
      <c r="FFF42" s="44"/>
      <c r="FFH42" s="42"/>
      <c r="FFI42" s="43"/>
      <c r="FFJ42" s="44"/>
      <c r="FFL42" s="42"/>
      <c r="FFM42" s="43"/>
      <c r="FFN42" s="44"/>
      <c r="FFP42" s="42"/>
      <c r="FFQ42" s="43"/>
      <c r="FFR42" s="44"/>
      <c r="FFT42" s="42"/>
      <c r="FFU42" s="43"/>
      <c r="FFV42" s="44"/>
      <c r="FFX42" s="42"/>
      <c r="FFY42" s="43"/>
      <c r="FFZ42" s="44"/>
      <c r="FGB42" s="42"/>
      <c r="FGC42" s="43"/>
      <c r="FGD42" s="44"/>
      <c r="FGF42" s="42"/>
      <c r="FGG42" s="43"/>
      <c r="FGH42" s="44"/>
      <c r="FGJ42" s="42"/>
      <c r="FGK42" s="43"/>
      <c r="FGL42" s="44"/>
      <c r="FGN42" s="42"/>
      <c r="FGO42" s="43"/>
      <c r="FGP42" s="44"/>
      <c r="FGR42" s="42"/>
      <c r="FGS42" s="43"/>
      <c r="FGT42" s="44"/>
      <c r="FGV42" s="42"/>
      <c r="FGW42" s="43"/>
      <c r="FGX42" s="44"/>
      <c r="FGZ42" s="42"/>
      <c r="FHA42" s="43"/>
      <c r="FHB42" s="44"/>
      <c r="FHD42" s="42"/>
      <c r="FHE42" s="43"/>
      <c r="FHF42" s="44"/>
      <c r="FHH42" s="42"/>
      <c r="FHI42" s="43"/>
      <c r="FHJ42" s="44"/>
      <c r="FHL42" s="42"/>
      <c r="FHM42" s="43"/>
      <c r="FHN42" s="44"/>
      <c r="FHP42" s="42"/>
      <c r="FHQ42" s="43"/>
      <c r="FHR42" s="44"/>
      <c r="FHT42" s="42"/>
      <c r="FHU42" s="43"/>
      <c r="FHV42" s="44"/>
      <c r="FHX42" s="42"/>
      <c r="FHY42" s="43"/>
      <c r="FHZ42" s="44"/>
      <c r="FIB42" s="42"/>
      <c r="FIC42" s="43"/>
      <c r="FID42" s="44"/>
      <c r="FIF42" s="42"/>
      <c r="FIG42" s="43"/>
      <c r="FIH42" s="44"/>
      <c r="FIJ42" s="42"/>
      <c r="FIK42" s="43"/>
      <c r="FIL42" s="44"/>
      <c r="FIN42" s="42"/>
      <c r="FIO42" s="43"/>
      <c r="FIP42" s="44"/>
      <c r="FIR42" s="42"/>
      <c r="FIS42" s="43"/>
      <c r="FIT42" s="44"/>
      <c r="FIV42" s="42"/>
      <c r="FIW42" s="43"/>
      <c r="FIX42" s="44"/>
      <c r="FIZ42" s="42"/>
      <c r="FJA42" s="43"/>
      <c r="FJB42" s="44"/>
      <c r="FJD42" s="42"/>
      <c r="FJE42" s="43"/>
      <c r="FJF42" s="44"/>
      <c r="FJH42" s="42"/>
      <c r="FJI42" s="43"/>
      <c r="FJJ42" s="44"/>
      <c r="FJL42" s="42"/>
      <c r="FJM42" s="43"/>
      <c r="FJN42" s="44"/>
      <c r="FJP42" s="42"/>
      <c r="FJQ42" s="43"/>
      <c r="FJR42" s="44"/>
      <c r="FJT42" s="42"/>
      <c r="FJU42" s="43"/>
      <c r="FJV42" s="44"/>
      <c r="FJX42" s="42"/>
      <c r="FJY42" s="43"/>
      <c r="FJZ42" s="44"/>
      <c r="FKB42" s="42"/>
      <c r="FKC42" s="43"/>
      <c r="FKD42" s="44"/>
      <c r="FKF42" s="42"/>
      <c r="FKG42" s="43"/>
      <c r="FKH42" s="44"/>
      <c r="FKJ42" s="42"/>
      <c r="FKK42" s="43"/>
      <c r="FKL42" s="44"/>
      <c r="FKN42" s="42"/>
      <c r="FKO42" s="43"/>
      <c r="FKP42" s="44"/>
      <c r="FKR42" s="42"/>
      <c r="FKS42" s="43"/>
      <c r="FKT42" s="44"/>
      <c r="FKV42" s="42"/>
      <c r="FKW42" s="43"/>
      <c r="FKX42" s="44"/>
      <c r="FKZ42" s="42"/>
      <c r="FLA42" s="43"/>
      <c r="FLB42" s="44"/>
      <c r="FLD42" s="42"/>
      <c r="FLE42" s="43"/>
      <c r="FLF42" s="44"/>
      <c r="FLH42" s="42"/>
      <c r="FLI42" s="43"/>
      <c r="FLJ42" s="44"/>
      <c r="FLL42" s="42"/>
      <c r="FLM42" s="43"/>
      <c r="FLN42" s="44"/>
      <c r="FLP42" s="42"/>
      <c r="FLQ42" s="43"/>
      <c r="FLR42" s="44"/>
      <c r="FLT42" s="42"/>
      <c r="FLU42" s="43"/>
      <c r="FLV42" s="44"/>
      <c r="FLX42" s="42"/>
      <c r="FLY42" s="43"/>
      <c r="FLZ42" s="44"/>
      <c r="FMB42" s="42"/>
      <c r="FMC42" s="43"/>
      <c r="FMD42" s="44"/>
      <c r="FMF42" s="42"/>
      <c r="FMG42" s="43"/>
      <c r="FMH42" s="44"/>
      <c r="FMJ42" s="42"/>
      <c r="FMK42" s="43"/>
      <c r="FML42" s="44"/>
      <c r="FMN42" s="42"/>
      <c r="FMO42" s="43"/>
      <c r="FMP42" s="44"/>
      <c r="FMR42" s="42"/>
      <c r="FMS42" s="43"/>
      <c r="FMT42" s="44"/>
      <c r="FMV42" s="42"/>
      <c r="FMW42" s="43"/>
      <c r="FMX42" s="44"/>
      <c r="FMZ42" s="42"/>
      <c r="FNA42" s="43"/>
      <c r="FNB42" s="44"/>
      <c r="FND42" s="42"/>
      <c r="FNE42" s="43"/>
      <c r="FNF42" s="44"/>
      <c r="FNH42" s="42"/>
      <c r="FNI42" s="43"/>
      <c r="FNJ42" s="44"/>
      <c r="FNL42" s="42"/>
      <c r="FNM42" s="43"/>
      <c r="FNN42" s="44"/>
      <c r="FNP42" s="42"/>
      <c r="FNQ42" s="43"/>
      <c r="FNR42" s="44"/>
      <c r="FNT42" s="42"/>
      <c r="FNU42" s="43"/>
      <c r="FNV42" s="44"/>
      <c r="FNX42" s="42"/>
      <c r="FNY42" s="43"/>
      <c r="FNZ42" s="44"/>
      <c r="FOB42" s="42"/>
      <c r="FOC42" s="43"/>
      <c r="FOD42" s="44"/>
      <c r="FOF42" s="42"/>
      <c r="FOG42" s="43"/>
      <c r="FOH42" s="44"/>
      <c r="FOJ42" s="42"/>
      <c r="FOK42" s="43"/>
      <c r="FOL42" s="44"/>
      <c r="FON42" s="42"/>
      <c r="FOO42" s="43"/>
      <c r="FOP42" s="44"/>
      <c r="FOR42" s="42"/>
      <c r="FOS42" s="43"/>
      <c r="FOT42" s="44"/>
      <c r="FOV42" s="42"/>
      <c r="FOW42" s="43"/>
      <c r="FOX42" s="44"/>
      <c r="FOZ42" s="42"/>
      <c r="FPA42" s="43"/>
      <c r="FPB42" s="44"/>
      <c r="FPD42" s="42"/>
      <c r="FPE42" s="43"/>
      <c r="FPF42" s="44"/>
      <c r="FPH42" s="42"/>
      <c r="FPI42" s="43"/>
      <c r="FPJ42" s="44"/>
      <c r="FPL42" s="42"/>
      <c r="FPM42" s="43"/>
      <c r="FPN42" s="44"/>
      <c r="FPP42" s="42"/>
      <c r="FPQ42" s="43"/>
      <c r="FPR42" s="44"/>
      <c r="FPT42" s="42"/>
      <c r="FPU42" s="43"/>
      <c r="FPV42" s="44"/>
      <c r="FPX42" s="42"/>
      <c r="FPY42" s="43"/>
      <c r="FPZ42" s="44"/>
      <c r="FQB42" s="42"/>
      <c r="FQC42" s="43"/>
      <c r="FQD42" s="44"/>
      <c r="FQF42" s="42"/>
      <c r="FQG42" s="43"/>
      <c r="FQH42" s="44"/>
      <c r="FQJ42" s="42"/>
      <c r="FQK42" s="43"/>
      <c r="FQL42" s="44"/>
      <c r="FQN42" s="42"/>
      <c r="FQO42" s="43"/>
      <c r="FQP42" s="44"/>
      <c r="FQR42" s="42"/>
      <c r="FQS42" s="43"/>
      <c r="FQT42" s="44"/>
      <c r="FQV42" s="42"/>
      <c r="FQW42" s="43"/>
      <c r="FQX42" s="44"/>
      <c r="FQZ42" s="42"/>
      <c r="FRA42" s="43"/>
      <c r="FRB42" s="44"/>
      <c r="FRD42" s="42"/>
      <c r="FRE42" s="43"/>
      <c r="FRF42" s="44"/>
      <c r="FRH42" s="42"/>
      <c r="FRI42" s="43"/>
      <c r="FRJ42" s="44"/>
      <c r="FRL42" s="42"/>
      <c r="FRM42" s="43"/>
      <c r="FRN42" s="44"/>
      <c r="FRP42" s="42"/>
      <c r="FRQ42" s="43"/>
      <c r="FRR42" s="44"/>
      <c r="FRT42" s="42"/>
      <c r="FRU42" s="43"/>
      <c r="FRV42" s="44"/>
      <c r="FRX42" s="42"/>
      <c r="FRY42" s="43"/>
      <c r="FRZ42" s="44"/>
      <c r="FSB42" s="42"/>
      <c r="FSC42" s="43"/>
      <c r="FSD42" s="44"/>
      <c r="FSF42" s="42"/>
      <c r="FSG42" s="43"/>
      <c r="FSH42" s="44"/>
      <c r="FSJ42" s="42"/>
      <c r="FSK42" s="43"/>
      <c r="FSL42" s="44"/>
      <c r="FSN42" s="42"/>
      <c r="FSO42" s="43"/>
      <c r="FSP42" s="44"/>
      <c r="FSR42" s="42"/>
      <c r="FSS42" s="43"/>
      <c r="FST42" s="44"/>
      <c r="FSV42" s="42"/>
      <c r="FSW42" s="43"/>
      <c r="FSX42" s="44"/>
      <c r="FSZ42" s="42"/>
      <c r="FTA42" s="43"/>
      <c r="FTB42" s="44"/>
      <c r="FTD42" s="42"/>
      <c r="FTE42" s="43"/>
      <c r="FTF42" s="44"/>
      <c r="FTH42" s="42"/>
      <c r="FTI42" s="43"/>
      <c r="FTJ42" s="44"/>
      <c r="FTL42" s="42"/>
      <c r="FTM42" s="43"/>
      <c r="FTN42" s="44"/>
      <c r="FTP42" s="42"/>
      <c r="FTQ42" s="43"/>
      <c r="FTR42" s="44"/>
      <c r="FTT42" s="42"/>
      <c r="FTU42" s="43"/>
      <c r="FTV42" s="44"/>
      <c r="FTX42" s="42"/>
      <c r="FTY42" s="43"/>
      <c r="FTZ42" s="44"/>
      <c r="FUB42" s="42"/>
      <c r="FUC42" s="43"/>
      <c r="FUD42" s="44"/>
      <c r="FUF42" s="42"/>
      <c r="FUG42" s="43"/>
      <c r="FUH42" s="44"/>
      <c r="FUJ42" s="42"/>
      <c r="FUK42" s="43"/>
      <c r="FUL42" s="44"/>
      <c r="FUN42" s="42"/>
      <c r="FUO42" s="43"/>
      <c r="FUP42" s="44"/>
      <c r="FUR42" s="42"/>
      <c r="FUS42" s="43"/>
      <c r="FUT42" s="44"/>
      <c r="FUV42" s="42"/>
      <c r="FUW42" s="43"/>
      <c r="FUX42" s="44"/>
      <c r="FUZ42" s="42"/>
      <c r="FVA42" s="43"/>
      <c r="FVB42" s="44"/>
      <c r="FVD42" s="42"/>
      <c r="FVE42" s="43"/>
      <c r="FVF42" s="44"/>
      <c r="FVH42" s="42"/>
      <c r="FVI42" s="43"/>
      <c r="FVJ42" s="44"/>
      <c r="FVL42" s="42"/>
      <c r="FVM42" s="43"/>
      <c r="FVN42" s="44"/>
      <c r="FVP42" s="42"/>
      <c r="FVQ42" s="43"/>
      <c r="FVR42" s="44"/>
      <c r="FVT42" s="42"/>
      <c r="FVU42" s="43"/>
      <c r="FVV42" s="44"/>
      <c r="FVX42" s="42"/>
      <c r="FVY42" s="43"/>
      <c r="FVZ42" s="44"/>
      <c r="FWB42" s="42"/>
      <c r="FWC42" s="43"/>
      <c r="FWD42" s="44"/>
      <c r="FWF42" s="42"/>
      <c r="FWG42" s="43"/>
      <c r="FWH42" s="44"/>
      <c r="FWJ42" s="42"/>
      <c r="FWK42" s="43"/>
      <c r="FWL42" s="44"/>
      <c r="FWN42" s="42"/>
      <c r="FWO42" s="43"/>
      <c r="FWP42" s="44"/>
      <c r="FWR42" s="42"/>
      <c r="FWS42" s="43"/>
      <c r="FWT42" s="44"/>
      <c r="FWV42" s="42"/>
      <c r="FWW42" s="43"/>
      <c r="FWX42" s="44"/>
      <c r="FWZ42" s="42"/>
      <c r="FXA42" s="43"/>
      <c r="FXB42" s="44"/>
      <c r="FXD42" s="42"/>
      <c r="FXE42" s="43"/>
      <c r="FXF42" s="44"/>
      <c r="FXH42" s="42"/>
      <c r="FXI42" s="43"/>
      <c r="FXJ42" s="44"/>
      <c r="FXL42" s="42"/>
      <c r="FXM42" s="43"/>
      <c r="FXN42" s="44"/>
      <c r="FXP42" s="42"/>
      <c r="FXQ42" s="43"/>
      <c r="FXR42" s="44"/>
      <c r="FXT42" s="42"/>
      <c r="FXU42" s="43"/>
      <c r="FXV42" s="44"/>
      <c r="FXX42" s="42"/>
      <c r="FXY42" s="43"/>
      <c r="FXZ42" s="44"/>
      <c r="FYB42" s="42"/>
      <c r="FYC42" s="43"/>
      <c r="FYD42" s="44"/>
      <c r="FYF42" s="42"/>
      <c r="FYG42" s="43"/>
      <c r="FYH42" s="44"/>
      <c r="FYJ42" s="42"/>
      <c r="FYK42" s="43"/>
      <c r="FYL42" s="44"/>
      <c r="FYN42" s="42"/>
      <c r="FYO42" s="43"/>
      <c r="FYP42" s="44"/>
      <c r="FYR42" s="42"/>
      <c r="FYS42" s="43"/>
      <c r="FYT42" s="44"/>
      <c r="FYV42" s="42"/>
      <c r="FYW42" s="43"/>
      <c r="FYX42" s="44"/>
      <c r="FYZ42" s="42"/>
      <c r="FZA42" s="43"/>
      <c r="FZB42" s="44"/>
      <c r="FZD42" s="42"/>
      <c r="FZE42" s="43"/>
      <c r="FZF42" s="44"/>
      <c r="FZH42" s="42"/>
      <c r="FZI42" s="43"/>
      <c r="FZJ42" s="44"/>
      <c r="FZL42" s="42"/>
      <c r="FZM42" s="43"/>
      <c r="FZN42" s="44"/>
      <c r="FZP42" s="42"/>
      <c r="FZQ42" s="43"/>
      <c r="FZR42" s="44"/>
      <c r="FZT42" s="42"/>
      <c r="FZU42" s="43"/>
      <c r="FZV42" s="44"/>
      <c r="FZX42" s="42"/>
      <c r="FZY42" s="43"/>
      <c r="FZZ42" s="44"/>
      <c r="GAB42" s="42"/>
      <c r="GAC42" s="43"/>
      <c r="GAD42" s="44"/>
      <c r="GAF42" s="42"/>
      <c r="GAG42" s="43"/>
      <c r="GAH42" s="44"/>
      <c r="GAJ42" s="42"/>
      <c r="GAK42" s="43"/>
      <c r="GAL42" s="44"/>
      <c r="GAN42" s="42"/>
      <c r="GAO42" s="43"/>
      <c r="GAP42" s="44"/>
      <c r="GAR42" s="42"/>
      <c r="GAS42" s="43"/>
      <c r="GAT42" s="44"/>
      <c r="GAV42" s="42"/>
      <c r="GAW42" s="43"/>
      <c r="GAX42" s="44"/>
      <c r="GAZ42" s="42"/>
      <c r="GBA42" s="43"/>
      <c r="GBB42" s="44"/>
      <c r="GBD42" s="42"/>
      <c r="GBE42" s="43"/>
      <c r="GBF42" s="44"/>
      <c r="GBH42" s="42"/>
      <c r="GBI42" s="43"/>
      <c r="GBJ42" s="44"/>
      <c r="GBL42" s="42"/>
      <c r="GBM42" s="43"/>
      <c r="GBN42" s="44"/>
      <c r="GBP42" s="42"/>
      <c r="GBQ42" s="43"/>
      <c r="GBR42" s="44"/>
      <c r="GBT42" s="42"/>
      <c r="GBU42" s="43"/>
      <c r="GBV42" s="44"/>
      <c r="GBX42" s="42"/>
      <c r="GBY42" s="43"/>
      <c r="GBZ42" s="44"/>
      <c r="GCB42" s="42"/>
      <c r="GCC42" s="43"/>
      <c r="GCD42" s="44"/>
      <c r="GCF42" s="42"/>
      <c r="GCG42" s="43"/>
      <c r="GCH42" s="44"/>
      <c r="GCJ42" s="42"/>
      <c r="GCK42" s="43"/>
      <c r="GCL42" s="44"/>
      <c r="GCN42" s="42"/>
      <c r="GCO42" s="43"/>
      <c r="GCP42" s="44"/>
      <c r="GCR42" s="42"/>
      <c r="GCS42" s="43"/>
      <c r="GCT42" s="44"/>
      <c r="GCV42" s="42"/>
      <c r="GCW42" s="43"/>
      <c r="GCX42" s="44"/>
      <c r="GCZ42" s="42"/>
      <c r="GDA42" s="43"/>
      <c r="GDB42" s="44"/>
      <c r="GDD42" s="42"/>
      <c r="GDE42" s="43"/>
      <c r="GDF42" s="44"/>
      <c r="GDH42" s="42"/>
      <c r="GDI42" s="43"/>
      <c r="GDJ42" s="44"/>
      <c r="GDL42" s="42"/>
      <c r="GDM42" s="43"/>
      <c r="GDN42" s="44"/>
      <c r="GDP42" s="42"/>
      <c r="GDQ42" s="43"/>
      <c r="GDR42" s="44"/>
      <c r="GDT42" s="42"/>
      <c r="GDU42" s="43"/>
      <c r="GDV42" s="44"/>
      <c r="GDX42" s="42"/>
      <c r="GDY42" s="43"/>
      <c r="GDZ42" s="44"/>
      <c r="GEB42" s="42"/>
      <c r="GEC42" s="43"/>
      <c r="GED42" s="44"/>
      <c r="GEF42" s="42"/>
      <c r="GEG42" s="43"/>
      <c r="GEH42" s="44"/>
      <c r="GEJ42" s="42"/>
      <c r="GEK42" s="43"/>
      <c r="GEL42" s="44"/>
      <c r="GEN42" s="42"/>
      <c r="GEO42" s="43"/>
      <c r="GEP42" s="44"/>
      <c r="GER42" s="42"/>
      <c r="GES42" s="43"/>
      <c r="GET42" s="44"/>
      <c r="GEV42" s="42"/>
      <c r="GEW42" s="43"/>
      <c r="GEX42" s="44"/>
      <c r="GEZ42" s="42"/>
      <c r="GFA42" s="43"/>
      <c r="GFB42" s="44"/>
      <c r="GFD42" s="42"/>
      <c r="GFE42" s="43"/>
      <c r="GFF42" s="44"/>
      <c r="GFH42" s="42"/>
      <c r="GFI42" s="43"/>
      <c r="GFJ42" s="44"/>
      <c r="GFL42" s="42"/>
      <c r="GFM42" s="43"/>
      <c r="GFN42" s="44"/>
      <c r="GFP42" s="42"/>
      <c r="GFQ42" s="43"/>
      <c r="GFR42" s="44"/>
      <c r="GFT42" s="42"/>
      <c r="GFU42" s="43"/>
      <c r="GFV42" s="44"/>
      <c r="GFX42" s="42"/>
      <c r="GFY42" s="43"/>
      <c r="GFZ42" s="44"/>
      <c r="GGB42" s="42"/>
      <c r="GGC42" s="43"/>
      <c r="GGD42" s="44"/>
      <c r="GGF42" s="42"/>
      <c r="GGG42" s="43"/>
      <c r="GGH42" s="44"/>
      <c r="GGJ42" s="42"/>
      <c r="GGK42" s="43"/>
      <c r="GGL42" s="44"/>
      <c r="GGN42" s="42"/>
      <c r="GGO42" s="43"/>
      <c r="GGP42" s="44"/>
      <c r="GGR42" s="42"/>
      <c r="GGS42" s="43"/>
      <c r="GGT42" s="44"/>
      <c r="GGV42" s="42"/>
      <c r="GGW42" s="43"/>
      <c r="GGX42" s="44"/>
      <c r="GGZ42" s="42"/>
      <c r="GHA42" s="43"/>
      <c r="GHB42" s="44"/>
      <c r="GHD42" s="42"/>
      <c r="GHE42" s="43"/>
      <c r="GHF42" s="44"/>
      <c r="GHH42" s="42"/>
      <c r="GHI42" s="43"/>
      <c r="GHJ42" s="44"/>
      <c r="GHL42" s="42"/>
      <c r="GHM42" s="43"/>
      <c r="GHN42" s="44"/>
      <c r="GHP42" s="42"/>
      <c r="GHQ42" s="43"/>
      <c r="GHR42" s="44"/>
      <c r="GHT42" s="42"/>
      <c r="GHU42" s="43"/>
      <c r="GHV42" s="44"/>
      <c r="GHX42" s="42"/>
      <c r="GHY42" s="43"/>
      <c r="GHZ42" s="44"/>
      <c r="GIB42" s="42"/>
      <c r="GIC42" s="43"/>
      <c r="GID42" s="44"/>
      <c r="GIF42" s="42"/>
      <c r="GIG42" s="43"/>
      <c r="GIH42" s="44"/>
      <c r="GIJ42" s="42"/>
      <c r="GIK42" s="43"/>
      <c r="GIL42" s="44"/>
      <c r="GIN42" s="42"/>
      <c r="GIO42" s="43"/>
      <c r="GIP42" s="44"/>
      <c r="GIR42" s="42"/>
      <c r="GIS42" s="43"/>
      <c r="GIT42" s="44"/>
      <c r="GIV42" s="42"/>
      <c r="GIW42" s="43"/>
      <c r="GIX42" s="44"/>
      <c r="GIZ42" s="42"/>
      <c r="GJA42" s="43"/>
      <c r="GJB42" s="44"/>
      <c r="GJD42" s="42"/>
      <c r="GJE42" s="43"/>
      <c r="GJF42" s="44"/>
      <c r="GJH42" s="42"/>
      <c r="GJI42" s="43"/>
      <c r="GJJ42" s="44"/>
      <c r="GJL42" s="42"/>
      <c r="GJM42" s="43"/>
      <c r="GJN42" s="44"/>
      <c r="GJP42" s="42"/>
      <c r="GJQ42" s="43"/>
      <c r="GJR42" s="44"/>
      <c r="GJT42" s="42"/>
      <c r="GJU42" s="43"/>
      <c r="GJV42" s="44"/>
      <c r="GJX42" s="42"/>
      <c r="GJY42" s="43"/>
      <c r="GJZ42" s="44"/>
      <c r="GKB42" s="42"/>
      <c r="GKC42" s="43"/>
      <c r="GKD42" s="44"/>
      <c r="GKF42" s="42"/>
      <c r="GKG42" s="43"/>
      <c r="GKH42" s="44"/>
      <c r="GKJ42" s="42"/>
      <c r="GKK42" s="43"/>
      <c r="GKL42" s="44"/>
      <c r="GKN42" s="42"/>
      <c r="GKO42" s="43"/>
      <c r="GKP42" s="44"/>
      <c r="GKR42" s="42"/>
      <c r="GKS42" s="43"/>
      <c r="GKT42" s="44"/>
      <c r="GKV42" s="42"/>
      <c r="GKW42" s="43"/>
      <c r="GKX42" s="44"/>
      <c r="GKZ42" s="42"/>
      <c r="GLA42" s="43"/>
      <c r="GLB42" s="44"/>
      <c r="GLD42" s="42"/>
      <c r="GLE42" s="43"/>
      <c r="GLF42" s="44"/>
      <c r="GLH42" s="42"/>
      <c r="GLI42" s="43"/>
      <c r="GLJ42" s="44"/>
      <c r="GLL42" s="42"/>
      <c r="GLM42" s="43"/>
      <c r="GLN42" s="44"/>
      <c r="GLP42" s="42"/>
      <c r="GLQ42" s="43"/>
      <c r="GLR42" s="44"/>
      <c r="GLT42" s="42"/>
      <c r="GLU42" s="43"/>
      <c r="GLV42" s="44"/>
      <c r="GLX42" s="42"/>
      <c r="GLY42" s="43"/>
      <c r="GLZ42" s="44"/>
      <c r="GMB42" s="42"/>
      <c r="GMC42" s="43"/>
      <c r="GMD42" s="44"/>
      <c r="GMF42" s="42"/>
      <c r="GMG42" s="43"/>
      <c r="GMH42" s="44"/>
      <c r="GMJ42" s="42"/>
      <c r="GMK42" s="43"/>
      <c r="GML42" s="44"/>
      <c r="GMN42" s="42"/>
      <c r="GMO42" s="43"/>
      <c r="GMP42" s="44"/>
      <c r="GMR42" s="42"/>
      <c r="GMS42" s="43"/>
      <c r="GMT42" s="44"/>
      <c r="GMV42" s="42"/>
      <c r="GMW42" s="43"/>
      <c r="GMX42" s="44"/>
      <c r="GMZ42" s="42"/>
      <c r="GNA42" s="43"/>
      <c r="GNB42" s="44"/>
      <c r="GND42" s="42"/>
      <c r="GNE42" s="43"/>
      <c r="GNF42" s="44"/>
      <c r="GNH42" s="42"/>
      <c r="GNI42" s="43"/>
      <c r="GNJ42" s="44"/>
      <c r="GNL42" s="42"/>
      <c r="GNM42" s="43"/>
      <c r="GNN42" s="44"/>
      <c r="GNP42" s="42"/>
      <c r="GNQ42" s="43"/>
      <c r="GNR42" s="44"/>
      <c r="GNT42" s="42"/>
      <c r="GNU42" s="43"/>
      <c r="GNV42" s="44"/>
      <c r="GNX42" s="42"/>
      <c r="GNY42" s="43"/>
      <c r="GNZ42" s="44"/>
      <c r="GOB42" s="42"/>
      <c r="GOC42" s="43"/>
      <c r="GOD42" s="44"/>
      <c r="GOF42" s="42"/>
      <c r="GOG42" s="43"/>
      <c r="GOH42" s="44"/>
      <c r="GOJ42" s="42"/>
      <c r="GOK42" s="43"/>
      <c r="GOL42" s="44"/>
      <c r="GON42" s="42"/>
      <c r="GOO42" s="43"/>
      <c r="GOP42" s="44"/>
      <c r="GOR42" s="42"/>
      <c r="GOS42" s="43"/>
      <c r="GOT42" s="44"/>
      <c r="GOV42" s="42"/>
      <c r="GOW42" s="43"/>
      <c r="GOX42" s="44"/>
      <c r="GOZ42" s="42"/>
      <c r="GPA42" s="43"/>
      <c r="GPB42" s="44"/>
      <c r="GPD42" s="42"/>
      <c r="GPE42" s="43"/>
      <c r="GPF42" s="44"/>
      <c r="GPH42" s="42"/>
      <c r="GPI42" s="43"/>
      <c r="GPJ42" s="44"/>
      <c r="GPL42" s="42"/>
      <c r="GPM42" s="43"/>
      <c r="GPN42" s="44"/>
      <c r="GPP42" s="42"/>
      <c r="GPQ42" s="43"/>
      <c r="GPR42" s="44"/>
      <c r="GPT42" s="42"/>
      <c r="GPU42" s="43"/>
      <c r="GPV42" s="44"/>
      <c r="GPX42" s="42"/>
      <c r="GPY42" s="43"/>
      <c r="GPZ42" s="44"/>
      <c r="GQB42" s="42"/>
      <c r="GQC42" s="43"/>
      <c r="GQD42" s="44"/>
      <c r="GQF42" s="42"/>
      <c r="GQG42" s="43"/>
      <c r="GQH42" s="44"/>
      <c r="GQJ42" s="42"/>
      <c r="GQK42" s="43"/>
      <c r="GQL42" s="44"/>
      <c r="GQN42" s="42"/>
      <c r="GQO42" s="43"/>
      <c r="GQP42" s="44"/>
      <c r="GQR42" s="42"/>
      <c r="GQS42" s="43"/>
      <c r="GQT42" s="44"/>
      <c r="GQV42" s="42"/>
      <c r="GQW42" s="43"/>
      <c r="GQX42" s="44"/>
      <c r="GQZ42" s="42"/>
      <c r="GRA42" s="43"/>
      <c r="GRB42" s="44"/>
      <c r="GRD42" s="42"/>
      <c r="GRE42" s="43"/>
      <c r="GRF42" s="44"/>
      <c r="GRH42" s="42"/>
      <c r="GRI42" s="43"/>
      <c r="GRJ42" s="44"/>
      <c r="GRL42" s="42"/>
      <c r="GRM42" s="43"/>
      <c r="GRN42" s="44"/>
      <c r="GRP42" s="42"/>
      <c r="GRQ42" s="43"/>
      <c r="GRR42" s="44"/>
      <c r="GRT42" s="42"/>
      <c r="GRU42" s="43"/>
      <c r="GRV42" s="44"/>
      <c r="GRX42" s="42"/>
      <c r="GRY42" s="43"/>
      <c r="GRZ42" s="44"/>
      <c r="GSB42" s="42"/>
      <c r="GSC42" s="43"/>
      <c r="GSD42" s="44"/>
      <c r="GSF42" s="42"/>
      <c r="GSG42" s="43"/>
      <c r="GSH42" s="44"/>
      <c r="GSJ42" s="42"/>
      <c r="GSK42" s="43"/>
      <c r="GSL42" s="44"/>
      <c r="GSN42" s="42"/>
      <c r="GSO42" s="43"/>
      <c r="GSP42" s="44"/>
      <c r="GSR42" s="42"/>
      <c r="GSS42" s="43"/>
      <c r="GST42" s="44"/>
      <c r="GSV42" s="42"/>
      <c r="GSW42" s="43"/>
      <c r="GSX42" s="44"/>
      <c r="GSZ42" s="42"/>
      <c r="GTA42" s="43"/>
      <c r="GTB42" s="44"/>
      <c r="GTD42" s="42"/>
      <c r="GTE42" s="43"/>
      <c r="GTF42" s="44"/>
      <c r="GTH42" s="42"/>
      <c r="GTI42" s="43"/>
      <c r="GTJ42" s="44"/>
      <c r="GTL42" s="42"/>
      <c r="GTM42" s="43"/>
      <c r="GTN42" s="44"/>
      <c r="GTP42" s="42"/>
      <c r="GTQ42" s="43"/>
      <c r="GTR42" s="44"/>
      <c r="GTT42" s="42"/>
      <c r="GTU42" s="43"/>
      <c r="GTV42" s="44"/>
      <c r="GTX42" s="42"/>
      <c r="GTY42" s="43"/>
      <c r="GTZ42" s="44"/>
      <c r="GUB42" s="42"/>
      <c r="GUC42" s="43"/>
      <c r="GUD42" s="44"/>
      <c r="GUF42" s="42"/>
      <c r="GUG42" s="43"/>
      <c r="GUH42" s="44"/>
      <c r="GUJ42" s="42"/>
      <c r="GUK42" s="43"/>
      <c r="GUL42" s="44"/>
      <c r="GUN42" s="42"/>
      <c r="GUO42" s="43"/>
      <c r="GUP42" s="44"/>
      <c r="GUR42" s="42"/>
      <c r="GUS42" s="43"/>
      <c r="GUT42" s="44"/>
      <c r="GUV42" s="42"/>
      <c r="GUW42" s="43"/>
      <c r="GUX42" s="44"/>
      <c r="GUZ42" s="42"/>
      <c r="GVA42" s="43"/>
      <c r="GVB42" s="44"/>
      <c r="GVD42" s="42"/>
      <c r="GVE42" s="43"/>
      <c r="GVF42" s="44"/>
      <c r="GVH42" s="42"/>
      <c r="GVI42" s="43"/>
      <c r="GVJ42" s="44"/>
      <c r="GVL42" s="42"/>
      <c r="GVM42" s="43"/>
      <c r="GVN42" s="44"/>
      <c r="GVP42" s="42"/>
      <c r="GVQ42" s="43"/>
      <c r="GVR42" s="44"/>
      <c r="GVT42" s="42"/>
      <c r="GVU42" s="43"/>
      <c r="GVV42" s="44"/>
      <c r="GVX42" s="42"/>
      <c r="GVY42" s="43"/>
      <c r="GVZ42" s="44"/>
      <c r="GWB42" s="42"/>
      <c r="GWC42" s="43"/>
      <c r="GWD42" s="44"/>
      <c r="GWF42" s="42"/>
      <c r="GWG42" s="43"/>
      <c r="GWH42" s="44"/>
      <c r="GWJ42" s="42"/>
      <c r="GWK42" s="43"/>
      <c r="GWL42" s="44"/>
      <c r="GWN42" s="42"/>
      <c r="GWO42" s="43"/>
      <c r="GWP42" s="44"/>
      <c r="GWR42" s="42"/>
      <c r="GWS42" s="43"/>
      <c r="GWT42" s="44"/>
      <c r="GWV42" s="42"/>
      <c r="GWW42" s="43"/>
      <c r="GWX42" s="44"/>
      <c r="GWZ42" s="42"/>
      <c r="GXA42" s="43"/>
      <c r="GXB42" s="44"/>
      <c r="GXD42" s="42"/>
      <c r="GXE42" s="43"/>
      <c r="GXF42" s="44"/>
      <c r="GXH42" s="42"/>
      <c r="GXI42" s="43"/>
      <c r="GXJ42" s="44"/>
      <c r="GXL42" s="42"/>
      <c r="GXM42" s="43"/>
      <c r="GXN42" s="44"/>
      <c r="GXP42" s="42"/>
      <c r="GXQ42" s="43"/>
      <c r="GXR42" s="44"/>
      <c r="GXT42" s="42"/>
      <c r="GXU42" s="43"/>
      <c r="GXV42" s="44"/>
      <c r="GXX42" s="42"/>
      <c r="GXY42" s="43"/>
      <c r="GXZ42" s="44"/>
      <c r="GYB42" s="42"/>
      <c r="GYC42" s="43"/>
      <c r="GYD42" s="44"/>
      <c r="GYF42" s="42"/>
      <c r="GYG42" s="43"/>
      <c r="GYH42" s="44"/>
      <c r="GYJ42" s="42"/>
      <c r="GYK42" s="43"/>
      <c r="GYL42" s="44"/>
      <c r="GYN42" s="42"/>
      <c r="GYO42" s="43"/>
      <c r="GYP42" s="44"/>
      <c r="GYR42" s="42"/>
      <c r="GYS42" s="43"/>
      <c r="GYT42" s="44"/>
      <c r="GYV42" s="42"/>
      <c r="GYW42" s="43"/>
      <c r="GYX42" s="44"/>
      <c r="GYZ42" s="42"/>
      <c r="GZA42" s="43"/>
      <c r="GZB42" s="44"/>
      <c r="GZD42" s="42"/>
      <c r="GZE42" s="43"/>
      <c r="GZF42" s="44"/>
      <c r="GZH42" s="42"/>
      <c r="GZI42" s="43"/>
      <c r="GZJ42" s="44"/>
      <c r="GZL42" s="42"/>
      <c r="GZM42" s="43"/>
      <c r="GZN42" s="44"/>
      <c r="GZP42" s="42"/>
      <c r="GZQ42" s="43"/>
      <c r="GZR42" s="44"/>
      <c r="GZT42" s="42"/>
      <c r="GZU42" s="43"/>
      <c r="GZV42" s="44"/>
      <c r="GZX42" s="42"/>
      <c r="GZY42" s="43"/>
      <c r="GZZ42" s="44"/>
      <c r="HAB42" s="42"/>
      <c r="HAC42" s="43"/>
      <c r="HAD42" s="44"/>
      <c r="HAF42" s="42"/>
      <c r="HAG42" s="43"/>
      <c r="HAH42" s="44"/>
      <c r="HAJ42" s="42"/>
      <c r="HAK42" s="43"/>
      <c r="HAL42" s="44"/>
      <c r="HAN42" s="42"/>
      <c r="HAO42" s="43"/>
      <c r="HAP42" s="44"/>
      <c r="HAR42" s="42"/>
      <c r="HAS42" s="43"/>
      <c r="HAT42" s="44"/>
      <c r="HAV42" s="42"/>
      <c r="HAW42" s="43"/>
      <c r="HAX42" s="44"/>
      <c r="HAZ42" s="42"/>
      <c r="HBA42" s="43"/>
      <c r="HBB42" s="44"/>
      <c r="HBD42" s="42"/>
      <c r="HBE42" s="43"/>
      <c r="HBF42" s="44"/>
      <c r="HBH42" s="42"/>
      <c r="HBI42" s="43"/>
      <c r="HBJ42" s="44"/>
      <c r="HBL42" s="42"/>
      <c r="HBM42" s="43"/>
      <c r="HBN42" s="44"/>
      <c r="HBP42" s="42"/>
      <c r="HBQ42" s="43"/>
      <c r="HBR42" s="44"/>
      <c r="HBT42" s="42"/>
      <c r="HBU42" s="43"/>
      <c r="HBV42" s="44"/>
      <c r="HBX42" s="42"/>
      <c r="HBY42" s="43"/>
      <c r="HBZ42" s="44"/>
      <c r="HCB42" s="42"/>
      <c r="HCC42" s="43"/>
      <c r="HCD42" s="44"/>
      <c r="HCF42" s="42"/>
      <c r="HCG42" s="43"/>
      <c r="HCH42" s="44"/>
      <c r="HCJ42" s="42"/>
      <c r="HCK42" s="43"/>
      <c r="HCL42" s="44"/>
      <c r="HCN42" s="42"/>
      <c r="HCO42" s="43"/>
      <c r="HCP42" s="44"/>
      <c r="HCR42" s="42"/>
      <c r="HCS42" s="43"/>
      <c r="HCT42" s="44"/>
      <c r="HCV42" s="42"/>
      <c r="HCW42" s="43"/>
      <c r="HCX42" s="44"/>
      <c r="HCZ42" s="42"/>
      <c r="HDA42" s="43"/>
      <c r="HDB42" s="44"/>
      <c r="HDD42" s="42"/>
      <c r="HDE42" s="43"/>
      <c r="HDF42" s="44"/>
      <c r="HDH42" s="42"/>
      <c r="HDI42" s="43"/>
      <c r="HDJ42" s="44"/>
      <c r="HDL42" s="42"/>
      <c r="HDM42" s="43"/>
      <c r="HDN42" s="44"/>
      <c r="HDP42" s="42"/>
      <c r="HDQ42" s="43"/>
      <c r="HDR42" s="44"/>
      <c r="HDT42" s="42"/>
      <c r="HDU42" s="43"/>
      <c r="HDV42" s="44"/>
      <c r="HDX42" s="42"/>
      <c r="HDY42" s="43"/>
      <c r="HDZ42" s="44"/>
      <c r="HEB42" s="42"/>
      <c r="HEC42" s="43"/>
      <c r="HED42" s="44"/>
      <c r="HEF42" s="42"/>
      <c r="HEG42" s="43"/>
      <c r="HEH42" s="44"/>
      <c r="HEJ42" s="42"/>
      <c r="HEK42" s="43"/>
      <c r="HEL42" s="44"/>
      <c r="HEN42" s="42"/>
      <c r="HEO42" s="43"/>
      <c r="HEP42" s="44"/>
      <c r="HER42" s="42"/>
      <c r="HES42" s="43"/>
      <c r="HET42" s="44"/>
      <c r="HEV42" s="42"/>
      <c r="HEW42" s="43"/>
      <c r="HEX42" s="44"/>
      <c r="HEZ42" s="42"/>
      <c r="HFA42" s="43"/>
      <c r="HFB42" s="44"/>
      <c r="HFD42" s="42"/>
      <c r="HFE42" s="43"/>
      <c r="HFF42" s="44"/>
      <c r="HFH42" s="42"/>
      <c r="HFI42" s="43"/>
      <c r="HFJ42" s="44"/>
      <c r="HFL42" s="42"/>
      <c r="HFM42" s="43"/>
      <c r="HFN42" s="44"/>
      <c r="HFP42" s="42"/>
      <c r="HFQ42" s="43"/>
      <c r="HFR42" s="44"/>
      <c r="HFT42" s="42"/>
      <c r="HFU42" s="43"/>
      <c r="HFV42" s="44"/>
      <c r="HFX42" s="42"/>
      <c r="HFY42" s="43"/>
      <c r="HFZ42" s="44"/>
      <c r="HGB42" s="42"/>
      <c r="HGC42" s="43"/>
      <c r="HGD42" s="44"/>
      <c r="HGF42" s="42"/>
      <c r="HGG42" s="43"/>
      <c r="HGH42" s="44"/>
      <c r="HGJ42" s="42"/>
      <c r="HGK42" s="43"/>
      <c r="HGL42" s="44"/>
      <c r="HGN42" s="42"/>
      <c r="HGO42" s="43"/>
      <c r="HGP42" s="44"/>
      <c r="HGR42" s="42"/>
      <c r="HGS42" s="43"/>
      <c r="HGT42" s="44"/>
      <c r="HGV42" s="42"/>
      <c r="HGW42" s="43"/>
      <c r="HGX42" s="44"/>
      <c r="HGZ42" s="42"/>
      <c r="HHA42" s="43"/>
      <c r="HHB42" s="44"/>
      <c r="HHD42" s="42"/>
      <c r="HHE42" s="43"/>
      <c r="HHF42" s="44"/>
      <c r="HHH42" s="42"/>
      <c r="HHI42" s="43"/>
      <c r="HHJ42" s="44"/>
      <c r="HHL42" s="42"/>
      <c r="HHM42" s="43"/>
      <c r="HHN42" s="44"/>
      <c r="HHP42" s="42"/>
      <c r="HHQ42" s="43"/>
      <c r="HHR42" s="44"/>
      <c r="HHT42" s="42"/>
      <c r="HHU42" s="43"/>
      <c r="HHV42" s="44"/>
      <c r="HHX42" s="42"/>
      <c r="HHY42" s="43"/>
      <c r="HHZ42" s="44"/>
      <c r="HIB42" s="42"/>
      <c r="HIC42" s="43"/>
      <c r="HID42" s="44"/>
      <c r="HIF42" s="42"/>
      <c r="HIG42" s="43"/>
      <c r="HIH42" s="44"/>
      <c r="HIJ42" s="42"/>
      <c r="HIK42" s="43"/>
      <c r="HIL42" s="44"/>
      <c r="HIN42" s="42"/>
      <c r="HIO42" s="43"/>
      <c r="HIP42" s="44"/>
      <c r="HIR42" s="42"/>
      <c r="HIS42" s="43"/>
      <c r="HIT42" s="44"/>
      <c r="HIV42" s="42"/>
      <c r="HIW42" s="43"/>
      <c r="HIX42" s="44"/>
      <c r="HIZ42" s="42"/>
      <c r="HJA42" s="43"/>
      <c r="HJB42" s="44"/>
      <c r="HJD42" s="42"/>
      <c r="HJE42" s="43"/>
      <c r="HJF42" s="44"/>
      <c r="HJH42" s="42"/>
      <c r="HJI42" s="43"/>
      <c r="HJJ42" s="44"/>
      <c r="HJL42" s="42"/>
      <c r="HJM42" s="43"/>
      <c r="HJN42" s="44"/>
      <c r="HJP42" s="42"/>
      <c r="HJQ42" s="43"/>
      <c r="HJR42" s="44"/>
      <c r="HJT42" s="42"/>
      <c r="HJU42" s="43"/>
      <c r="HJV42" s="44"/>
      <c r="HJX42" s="42"/>
      <c r="HJY42" s="43"/>
      <c r="HJZ42" s="44"/>
      <c r="HKB42" s="42"/>
      <c r="HKC42" s="43"/>
      <c r="HKD42" s="44"/>
      <c r="HKF42" s="42"/>
      <c r="HKG42" s="43"/>
      <c r="HKH42" s="44"/>
      <c r="HKJ42" s="42"/>
      <c r="HKK42" s="43"/>
      <c r="HKL42" s="44"/>
      <c r="HKN42" s="42"/>
      <c r="HKO42" s="43"/>
      <c r="HKP42" s="44"/>
      <c r="HKR42" s="42"/>
      <c r="HKS42" s="43"/>
      <c r="HKT42" s="44"/>
      <c r="HKV42" s="42"/>
      <c r="HKW42" s="43"/>
      <c r="HKX42" s="44"/>
      <c r="HKZ42" s="42"/>
      <c r="HLA42" s="43"/>
      <c r="HLB42" s="44"/>
      <c r="HLD42" s="42"/>
      <c r="HLE42" s="43"/>
      <c r="HLF42" s="44"/>
      <c r="HLH42" s="42"/>
      <c r="HLI42" s="43"/>
      <c r="HLJ42" s="44"/>
      <c r="HLL42" s="42"/>
      <c r="HLM42" s="43"/>
      <c r="HLN42" s="44"/>
      <c r="HLP42" s="42"/>
      <c r="HLQ42" s="43"/>
      <c r="HLR42" s="44"/>
      <c r="HLT42" s="42"/>
      <c r="HLU42" s="43"/>
      <c r="HLV42" s="44"/>
      <c r="HLX42" s="42"/>
      <c r="HLY42" s="43"/>
      <c r="HLZ42" s="44"/>
      <c r="HMB42" s="42"/>
      <c r="HMC42" s="43"/>
      <c r="HMD42" s="44"/>
      <c r="HMF42" s="42"/>
      <c r="HMG42" s="43"/>
      <c r="HMH42" s="44"/>
      <c r="HMJ42" s="42"/>
      <c r="HMK42" s="43"/>
      <c r="HML42" s="44"/>
      <c r="HMN42" s="42"/>
      <c r="HMO42" s="43"/>
      <c r="HMP42" s="44"/>
      <c r="HMR42" s="42"/>
      <c r="HMS42" s="43"/>
      <c r="HMT42" s="44"/>
      <c r="HMV42" s="42"/>
      <c r="HMW42" s="43"/>
      <c r="HMX42" s="44"/>
      <c r="HMZ42" s="42"/>
      <c r="HNA42" s="43"/>
      <c r="HNB42" s="44"/>
      <c r="HND42" s="42"/>
      <c r="HNE42" s="43"/>
      <c r="HNF42" s="44"/>
      <c r="HNH42" s="42"/>
      <c r="HNI42" s="43"/>
      <c r="HNJ42" s="44"/>
      <c r="HNL42" s="42"/>
      <c r="HNM42" s="43"/>
      <c r="HNN42" s="44"/>
      <c r="HNP42" s="42"/>
      <c r="HNQ42" s="43"/>
      <c r="HNR42" s="44"/>
      <c r="HNT42" s="42"/>
      <c r="HNU42" s="43"/>
      <c r="HNV42" s="44"/>
      <c r="HNX42" s="42"/>
      <c r="HNY42" s="43"/>
      <c r="HNZ42" s="44"/>
      <c r="HOB42" s="42"/>
      <c r="HOC42" s="43"/>
      <c r="HOD42" s="44"/>
      <c r="HOF42" s="42"/>
      <c r="HOG42" s="43"/>
      <c r="HOH42" s="44"/>
      <c r="HOJ42" s="42"/>
      <c r="HOK42" s="43"/>
      <c r="HOL42" s="44"/>
      <c r="HON42" s="42"/>
      <c r="HOO42" s="43"/>
      <c r="HOP42" s="44"/>
      <c r="HOR42" s="42"/>
      <c r="HOS42" s="43"/>
      <c r="HOT42" s="44"/>
      <c r="HOV42" s="42"/>
      <c r="HOW42" s="43"/>
      <c r="HOX42" s="44"/>
      <c r="HOZ42" s="42"/>
      <c r="HPA42" s="43"/>
      <c r="HPB42" s="44"/>
      <c r="HPD42" s="42"/>
      <c r="HPE42" s="43"/>
      <c r="HPF42" s="44"/>
      <c r="HPH42" s="42"/>
      <c r="HPI42" s="43"/>
      <c r="HPJ42" s="44"/>
      <c r="HPL42" s="42"/>
      <c r="HPM42" s="43"/>
      <c r="HPN42" s="44"/>
      <c r="HPP42" s="42"/>
      <c r="HPQ42" s="43"/>
      <c r="HPR42" s="44"/>
      <c r="HPT42" s="42"/>
      <c r="HPU42" s="43"/>
      <c r="HPV42" s="44"/>
      <c r="HPX42" s="42"/>
      <c r="HPY42" s="43"/>
      <c r="HPZ42" s="44"/>
      <c r="HQB42" s="42"/>
      <c r="HQC42" s="43"/>
      <c r="HQD42" s="44"/>
      <c r="HQF42" s="42"/>
      <c r="HQG42" s="43"/>
      <c r="HQH42" s="44"/>
      <c r="HQJ42" s="42"/>
      <c r="HQK42" s="43"/>
      <c r="HQL42" s="44"/>
      <c r="HQN42" s="42"/>
      <c r="HQO42" s="43"/>
      <c r="HQP42" s="44"/>
      <c r="HQR42" s="42"/>
      <c r="HQS42" s="43"/>
      <c r="HQT42" s="44"/>
      <c r="HQV42" s="42"/>
      <c r="HQW42" s="43"/>
      <c r="HQX42" s="44"/>
      <c r="HQZ42" s="42"/>
      <c r="HRA42" s="43"/>
      <c r="HRB42" s="44"/>
      <c r="HRD42" s="42"/>
      <c r="HRE42" s="43"/>
      <c r="HRF42" s="44"/>
      <c r="HRH42" s="42"/>
      <c r="HRI42" s="43"/>
      <c r="HRJ42" s="44"/>
      <c r="HRL42" s="42"/>
      <c r="HRM42" s="43"/>
      <c r="HRN42" s="44"/>
      <c r="HRP42" s="42"/>
      <c r="HRQ42" s="43"/>
      <c r="HRR42" s="44"/>
      <c r="HRT42" s="42"/>
      <c r="HRU42" s="43"/>
      <c r="HRV42" s="44"/>
      <c r="HRX42" s="42"/>
      <c r="HRY42" s="43"/>
      <c r="HRZ42" s="44"/>
      <c r="HSB42" s="42"/>
      <c r="HSC42" s="43"/>
      <c r="HSD42" s="44"/>
      <c r="HSF42" s="42"/>
      <c r="HSG42" s="43"/>
      <c r="HSH42" s="44"/>
      <c r="HSJ42" s="42"/>
      <c r="HSK42" s="43"/>
      <c r="HSL42" s="44"/>
      <c r="HSN42" s="42"/>
      <c r="HSO42" s="43"/>
      <c r="HSP42" s="44"/>
      <c r="HSR42" s="42"/>
      <c r="HSS42" s="43"/>
      <c r="HST42" s="44"/>
      <c r="HSV42" s="42"/>
      <c r="HSW42" s="43"/>
      <c r="HSX42" s="44"/>
      <c r="HSZ42" s="42"/>
      <c r="HTA42" s="43"/>
      <c r="HTB42" s="44"/>
      <c r="HTD42" s="42"/>
      <c r="HTE42" s="43"/>
      <c r="HTF42" s="44"/>
      <c r="HTH42" s="42"/>
      <c r="HTI42" s="43"/>
      <c r="HTJ42" s="44"/>
      <c r="HTL42" s="42"/>
      <c r="HTM42" s="43"/>
      <c r="HTN42" s="44"/>
      <c r="HTP42" s="42"/>
      <c r="HTQ42" s="43"/>
      <c r="HTR42" s="44"/>
      <c r="HTT42" s="42"/>
      <c r="HTU42" s="43"/>
      <c r="HTV42" s="44"/>
      <c r="HTX42" s="42"/>
      <c r="HTY42" s="43"/>
      <c r="HTZ42" s="44"/>
      <c r="HUB42" s="42"/>
      <c r="HUC42" s="43"/>
      <c r="HUD42" s="44"/>
      <c r="HUF42" s="42"/>
      <c r="HUG42" s="43"/>
      <c r="HUH42" s="44"/>
      <c r="HUJ42" s="42"/>
      <c r="HUK42" s="43"/>
      <c r="HUL42" s="44"/>
      <c r="HUN42" s="42"/>
      <c r="HUO42" s="43"/>
      <c r="HUP42" s="44"/>
      <c r="HUR42" s="42"/>
      <c r="HUS42" s="43"/>
      <c r="HUT42" s="44"/>
      <c r="HUV42" s="42"/>
      <c r="HUW42" s="43"/>
      <c r="HUX42" s="44"/>
      <c r="HUZ42" s="42"/>
      <c r="HVA42" s="43"/>
      <c r="HVB42" s="44"/>
      <c r="HVD42" s="42"/>
      <c r="HVE42" s="43"/>
      <c r="HVF42" s="44"/>
      <c r="HVH42" s="42"/>
      <c r="HVI42" s="43"/>
      <c r="HVJ42" s="44"/>
      <c r="HVL42" s="42"/>
      <c r="HVM42" s="43"/>
      <c r="HVN42" s="44"/>
      <c r="HVP42" s="42"/>
      <c r="HVQ42" s="43"/>
      <c r="HVR42" s="44"/>
      <c r="HVT42" s="42"/>
      <c r="HVU42" s="43"/>
      <c r="HVV42" s="44"/>
      <c r="HVX42" s="42"/>
      <c r="HVY42" s="43"/>
      <c r="HVZ42" s="44"/>
      <c r="HWB42" s="42"/>
      <c r="HWC42" s="43"/>
      <c r="HWD42" s="44"/>
      <c r="HWF42" s="42"/>
      <c r="HWG42" s="43"/>
      <c r="HWH42" s="44"/>
      <c r="HWJ42" s="42"/>
      <c r="HWK42" s="43"/>
      <c r="HWL42" s="44"/>
      <c r="HWN42" s="42"/>
      <c r="HWO42" s="43"/>
      <c r="HWP42" s="44"/>
      <c r="HWR42" s="42"/>
      <c r="HWS42" s="43"/>
      <c r="HWT42" s="44"/>
      <c r="HWV42" s="42"/>
      <c r="HWW42" s="43"/>
      <c r="HWX42" s="44"/>
      <c r="HWZ42" s="42"/>
      <c r="HXA42" s="43"/>
      <c r="HXB42" s="44"/>
      <c r="HXD42" s="42"/>
      <c r="HXE42" s="43"/>
      <c r="HXF42" s="44"/>
      <c r="HXH42" s="42"/>
      <c r="HXI42" s="43"/>
      <c r="HXJ42" s="44"/>
      <c r="HXL42" s="42"/>
      <c r="HXM42" s="43"/>
      <c r="HXN42" s="44"/>
      <c r="HXP42" s="42"/>
      <c r="HXQ42" s="43"/>
      <c r="HXR42" s="44"/>
      <c r="HXT42" s="42"/>
      <c r="HXU42" s="43"/>
      <c r="HXV42" s="44"/>
      <c r="HXX42" s="42"/>
      <c r="HXY42" s="43"/>
      <c r="HXZ42" s="44"/>
      <c r="HYB42" s="42"/>
      <c r="HYC42" s="43"/>
      <c r="HYD42" s="44"/>
      <c r="HYF42" s="42"/>
      <c r="HYG42" s="43"/>
      <c r="HYH42" s="44"/>
      <c r="HYJ42" s="42"/>
      <c r="HYK42" s="43"/>
      <c r="HYL42" s="44"/>
      <c r="HYN42" s="42"/>
      <c r="HYO42" s="43"/>
      <c r="HYP42" s="44"/>
      <c r="HYR42" s="42"/>
      <c r="HYS42" s="43"/>
      <c r="HYT42" s="44"/>
      <c r="HYV42" s="42"/>
      <c r="HYW42" s="43"/>
      <c r="HYX42" s="44"/>
      <c r="HYZ42" s="42"/>
      <c r="HZA42" s="43"/>
      <c r="HZB42" s="44"/>
      <c r="HZD42" s="42"/>
      <c r="HZE42" s="43"/>
      <c r="HZF42" s="44"/>
      <c r="HZH42" s="42"/>
      <c r="HZI42" s="43"/>
      <c r="HZJ42" s="44"/>
      <c r="HZL42" s="42"/>
      <c r="HZM42" s="43"/>
      <c r="HZN42" s="44"/>
      <c r="HZP42" s="42"/>
      <c r="HZQ42" s="43"/>
      <c r="HZR42" s="44"/>
      <c r="HZT42" s="42"/>
      <c r="HZU42" s="43"/>
      <c r="HZV42" s="44"/>
      <c r="HZX42" s="42"/>
      <c r="HZY42" s="43"/>
      <c r="HZZ42" s="44"/>
      <c r="IAB42" s="42"/>
      <c r="IAC42" s="43"/>
      <c r="IAD42" s="44"/>
      <c r="IAF42" s="42"/>
      <c r="IAG42" s="43"/>
      <c r="IAH42" s="44"/>
      <c r="IAJ42" s="42"/>
      <c r="IAK42" s="43"/>
      <c r="IAL42" s="44"/>
      <c r="IAN42" s="42"/>
      <c r="IAO42" s="43"/>
      <c r="IAP42" s="44"/>
      <c r="IAR42" s="42"/>
      <c r="IAS42" s="43"/>
      <c r="IAT42" s="44"/>
      <c r="IAV42" s="42"/>
      <c r="IAW42" s="43"/>
      <c r="IAX42" s="44"/>
      <c r="IAZ42" s="42"/>
      <c r="IBA42" s="43"/>
      <c r="IBB42" s="44"/>
      <c r="IBD42" s="42"/>
      <c r="IBE42" s="43"/>
      <c r="IBF42" s="44"/>
      <c r="IBH42" s="42"/>
      <c r="IBI42" s="43"/>
      <c r="IBJ42" s="44"/>
      <c r="IBL42" s="42"/>
      <c r="IBM42" s="43"/>
      <c r="IBN42" s="44"/>
      <c r="IBP42" s="42"/>
      <c r="IBQ42" s="43"/>
      <c r="IBR42" s="44"/>
      <c r="IBT42" s="42"/>
      <c r="IBU42" s="43"/>
      <c r="IBV42" s="44"/>
      <c r="IBX42" s="42"/>
      <c r="IBY42" s="43"/>
      <c r="IBZ42" s="44"/>
      <c r="ICB42" s="42"/>
      <c r="ICC42" s="43"/>
      <c r="ICD42" s="44"/>
      <c r="ICF42" s="42"/>
      <c r="ICG42" s="43"/>
      <c r="ICH42" s="44"/>
      <c r="ICJ42" s="42"/>
      <c r="ICK42" s="43"/>
      <c r="ICL42" s="44"/>
      <c r="ICN42" s="42"/>
      <c r="ICO42" s="43"/>
      <c r="ICP42" s="44"/>
      <c r="ICR42" s="42"/>
      <c r="ICS42" s="43"/>
      <c r="ICT42" s="44"/>
      <c r="ICV42" s="42"/>
      <c r="ICW42" s="43"/>
      <c r="ICX42" s="44"/>
      <c r="ICZ42" s="42"/>
      <c r="IDA42" s="43"/>
      <c r="IDB42" s="44"/>
      <c r="IDD42" s="42"/>
      <c r="IDE42" s="43"/>
      <c r="IDF42" s="44"/>
      <c r="IDH42" s="42"/>
      <c r="IDI42" s="43"/>
      <c r="IDJ42" s="44"/>
      <c r="IDL42" s="42"/>
      <c r="IDM42" s="43"/>
      <c r="IDN42" s="44"/>
      <c r="IDP42" s="42"/>
      <c r="IDQ42" s="43"/>
      <c r="IDR42" s="44"/>
      <c r="IDT42" s="42"/>
      <c r="IDU42" s="43"/>
      <c r="IDV42" s="44"/>
      <c r="IDX42" s="42"/>
      <c r="IDY42" s="43"/>
      <c r="IDZ42" s="44"/>
      <c r="IEB42" s="42"/>
      <c r="IEC42" s="43"/>
      <c r="IED42" s="44"/>
      <c r="IEF42" s="42"/>
      <c r="IEG42" s="43"/>
      <c r="IEH42" s="44"/>
      <c r="IEJ42" s="42"/>
      <c r="IEK42" s="43"/>
      <c r="IEL42" s="44"/>
      <c r="IEN42" s="42"/>
      <c r="IEO42" s="43"/>
      <c r="IEP42" s="44"/>
      <c r="IER42" s="42"/>
      <c r="IES42" s="43"/>
      <c r="IET42" s="44"/>
      <c r="IEV42" s="42"/>
      <c r="IEW42" s="43"/>
      <c r="IEX42" s="44"/>
      <c r="IEZ42" s="42"/>
      <c r="IFA42" s="43"/>
      <c r="IFB42" s="44"/>
      <c r="IFD42" s="42"/>
      <c r="IFE42" s="43"/>
      <c r="IFF42" s="44"/>
      <c r="IFH42" s="42"/>
      <c r="IFI42" s="43"/>
      <c r="IFJ42" s="44"/>
      <c r="IFL42" s="42"/>
      <c r="IFM42" s="43"/>
      <c r="IFN42" s="44"/>
      <c r="IFP42" s="42"/>
      <c r="IFQ42" s="43"/>
      <c r="IFR42" s="44"/>
      <c r="IFT42" s="42"/>
      <c r="IFU42" s="43"/>
      <c r="IFV42" s="44"/>
      <c r="IFX42" s="42"/>
      <c r="IFY42" s="43"/>
      <c r="IFZ42" s="44"/>
      <c r="IGB42" s="42"/>
      <c r="IGC42" s="43"/>
      <c r="IGD42" s="44"/>
      <c r="IGF42" s="42"/>
      <c r="IGG42" s="43"/>
      <c r="IGH42" s="44"/>
      <c r="IGJ42" s="42"/>
      <c r="IGK42" s="43"/>
      <c r="IGL42" s="44"/>
      <c r="IGN42" s="42"/>
      <c r="IGO42" s="43"/>
      <c r="IGP42" s="44"/>
      <c r="IGR42" s="42"/>
      <c r="IGS42" s="43"/>
      <c r="IGT42" s="44"/>
      <c r="IGV42" s="42"/>
      <c r="IGW42" s="43"/>
      <c r="IGX42" s="44"/>
      <c r="IGZ42" s="42"/>
      <c r="IHA42" s="43"/>
      <c r="IHB42" s="44"/>
      <c r="IHD42" s="42"/>
      <c r="IHE42" s="43"/>
      <c r="IHF42" s="44"/>
      <c r="IHH42" s="42"/>
      <c r="IHI42" s="43"/>
      <c r="IHJ42" s="44"/>
      <c r="IHL42" s="42"/>
      <c r="IHM42" s="43"/>
      <c r="IHN42" s="44"/>
      <c r="IHP42" s="42"/>
      <c r="IHQ42" s="43"/>
      <c r="IHR42" s="44"/>
      <c r="IHT42" s="42"/>
      <c r="IHU42" s="43"/>
      <c r="IHV42" s="44"/>
      <c r="IHX42" s="42"/>
      <c r="IHY42" s="43"/>
      <c r="IHZ42" s="44"/>
      <c r="IIB42" s="42"/>
      <c r="IIC42" s="43"/>
      <c r="IID42" s="44"/>
      <c r="IIF42" s="42"/>
      <c r="IIG42" s="43"/>
      <c r="IIH42" s="44"/>
      <c r="IIJ42" s="42"/>
      <c r="IIK42" s="43"/>
      <c r="IIL42" s="44"/>
      <c r="IIN42" s="42"/>
      <c r="IIO42" s="43"/>
      <c r="IIP42" s="44"/>
      <c r="IIR42" s="42"/>
      <c r="IIS42" s="43"/>
      <c r="IIT42" s="44"/>
      <c r="IIV42" s="42"/>
      <c r="IIW42" s="43"/>
      <c r="IIX42" s="44"/>
      <c r="IIZ42" s="42"/>
      <c r="IJA42" s="43"/>
      <c r="IJB42" s="44"/>
      <c r="IJD42" s="42"/>
      <c r="IJE42" s="43"/>
      <c r="IJF42" s="44"/>
      <c r="IJH42" s="42"/>
      <c r="IJI42" s="43"/>
      <c r="IJJ42" s="44"/>
      <c r="IJL42" s="42"/>
      <c r="IJM42" s="43"/>
      <c r="IJN42" s="44"/>
      <c r="IJP42" s="42"/>
      <c r="IJQ42" s="43"/>
      <c r="IJR42" s="44"/>
      <c r="IJT42" s="42"/>
      <c r="IJU42" s="43"/>
      <c r="IJV42" s="44"/>
      <c r="IJX42" s="42"/>
      <c r="IJY42" s="43"/>
      <c r="IJZ42" s="44"/>
      <c r="IKB42" s="42"/>
      <c r="IKC42" s="43"/>
      <c r="IKD42" s="44"/>
      <c r="IKF42" s="42"/>
      <c r="IKG42" s="43"/>
      <c r="IKH42" s="44"/>
      <c r="IKJ42" s="42"/>
      <c r="IKK42" s="43"/>
      <c r="IKL42" s="44"/>
      <c r="IKN42" s="42"/>
      <c r="IKO42" s="43"/>
      <c r="IKP42" s="44"/>
      <c r="IKR42" s="42"/>
      <c r="IKS42" s="43"/>
      <c r="IKT42" s="44"/>
      <c r="IKV42" s="42"/>
      <c r="IKW42" s="43"/>
      <c r="IKX42" s="44"/>
      <c r="IKZ42" s="42"/>
      <c r="ILA42" s="43"/>
      <c r="ILB42" s="44"/>
      <c r="ILD42" s="42"/>
      <c r="ILE42" s="43"/>
      <c r="ILF42" s="44"/>
      <c r="ILH42" s="42"/>
      <c r="ILI42" s="43"/>
      <c r="ILJ42" s="44"/>
      <c r="ILL42" s="42"/>
      <c r="ILM42" s="43"/>
      <c r="ILN42" s="44"/>
      <c r="ILP42" s="42"/>
      <c r="ILQ42" s="43"/>
      <c r="ILR42" s="44"/>
      <c r="ILT42" s="42"/>
      <c r="ILU42" s="43"/>
      <c r="ILV42" s="44"/>
      <c r="ILX42" s="42"/>
      <c r="ILY42" s="43"/>
      <c r="ILZ42" s="44"/>
      <c r="IMB42" s="42"/>
      <c r="IMC42" s="43"/>
      <c r="IMD42" s="44"/>
      <c r="IMF42" s="42"/>
      <c r="IMG42" s="43"/>
      <c r="IMH42" s="44"/>
      <c r="IMJ42" s="42"/>
      <c r="IMK42" s="43"/>
      <c r="IML42" s="44"/>
      <c r="IMN42" s="42"/>
      <c r="IMO42" s="43"/>
      <c r="IMP42" s="44"/>
      <c r="IMR42" s="42"/>
      <c r="IMS42" s="43"/>
      <c r="IMT42" s="44"/>
      <c r="IMV42" s="42"/>
      <c r="IMW42" s="43"/>
      <c r="IMX42" s="44"/>
      <c r="IMZ42" s="42"/>
      <c r="INA42" s="43"/>
      <c r="INB42" s="44"/>
      <c r="IND42" s="42"/>
      <c r="INE42" s="43"/>
      <c r="INF42" s="44"/>
      <c r="INH42" s="42"/>
      <c r="INI42" s="43"/>
      <c r="INJ42" s="44"/>
      <c r="INL42" s="42"/>
      <c r="INM42" s="43"/>
      <c r="INN42" s="44"/>
      <c r="INP42" s="42"/>
      <c r="INQ42" s="43"/>
      <c r="INR42" s="44"/>
      <c r="INT42" s="42"/>
      <c r="INU42" s="43"/>
      <c r="INV42" s="44"/>
      <c r="INX42" s="42"/>
      <c r="INY42" s="43"/>
      <c r="INZ42" s="44"/>
      <c r="IOB42" s="42"/>
      <c r="IOC42" s="43"/>
      <c r="IOD42" s="44"/>
      <c r="IOF42" s="42"/>
      <c r="IOG42" s="43"/>
      <c r="IOH42" s="44"/>
      <c r="IOJ42" s="42"/>
      <c r="IOK42" s="43"/>
      <c r="IOL42" s="44"/>
      <c r="ION42" s="42"/>
      <c r="IOO42" s="43"/>
      <c r="IOP42" s="44"/>
      <c r="IOR42" s="42"/>
      <c r="IOS42" s="43"/>
      <c r="IOT42" s="44"/>
      <c r="IOV42" s="42"/>
      <c r="IOW42" s="43"/>
      <c r="IOX42" s="44"/>
      <c r="IOZ42" s="42"/>
      <c r="IPA42" s="43"/>
      <c r="IPB42" s="44"/>
      <c r="IPD42" s="42"/>
      <c r="IPE42" s="43"/>
      <c r="IPF42" s="44"/>
      <c r="IPH42" s="42"/>
      <c r="IPI42" s="43"/>
      <c r="IPJ42" s="44"/>
      <c r="IPL42" s="42"/>
      <c r="IPM42" s="43"/>
      <c r="IPN42" s="44"/>
      <c r="IPP42" s="42"/>
      <c r="IPQ42" s="43"/>
      <c r="IPR42" s="44"/>
      <c r="IPT42" s="42"/>
      <c r="IPU42" s="43"/>
      <c r="IPV42" s="44"/>
      <c r="IPX42" s="42"/>
      <c r="IPY42" s="43"/>
      <c r="IPZ42" s="44"/>
      <c r="IQB42" s="42"/>
      <c r="IQC42" s="43"/>
      <c r="IQD42" s="44"/>
      <c r="IQF42" s="42"/>
      <c r="IQG42" s="43"/>
      <c r="IQH42" s="44"/>
      <c r="IQJ42" s="42"/>
      <c r="IQK42" s="43"/>
      <c r="IQL42" s="44"/>
      <c r="IQN42" s="42"/>
      <c r="IQO42" s="43"/>
      <c r="IQP42" s="44"/>
      <c r="IQR42" s="42"/>
      <c r="IQS42" s="43"/>
      <c r="IQT42" s="44"/>
      <c r="IQV42" s="42"/>
      <c r="IQW42" s="43"/>
      <c r="IQX42" s="44"/>
      <c r="IQZ42" s="42"/>
      <c r="IRA42" s="43"/>
      <c r="IRB42" s="44"/>
      <c r="IRD42" s="42"/>
      <c r="IRE42" s="43"/>
      <c r="IRF42" s="44"/>
      <c r="IRH42" s="42"/>
      <c r="IRI42" s="43"/>
      <c r="IRJ42" s="44"/>
      <c r="IRL42" s="42"/>
      <c r="IRM42" s="43"/>
      <c r="IRN42" s="44"/>
      <c r="IRP42" s="42"/>
      <c r="IRQ42" s="43"/>
      <c r="IRR42" s="44"/>
      <c r="IRT42" s="42"/>
      <c r="IRU42" s="43"/>
      <c r="IRV42" s="44"/>
      <c r="IRX42" s="42"/>
      <c r="IRY42" s="43"/>
      <c r="IRZ42" s="44"/>
      <c r="ISB42" s="42"/>
      <c r="ISC42" s="43"/>
      <c r="ISD42" s="44"/>
      <c r="ISF42" s="42"/>
      <c r="ISG42" s="43"/>
      <c r="ISH42" s="44"/>
      <c r="ISJ42" s="42"/>
      <c r="ISK42" s="43"/>
      <c r="ISL42" s="44"/>
      <c r="ISN42" s="42"/>
      <c r="ISO42" s="43"/>
      <c r="ISP42" s="44"/>
      <c r="ISR42" s="42"/>
      <c r="ISS42" s="43"/>
      <c r="IST42" s="44"/>
      <c r="ISV42" s="42"/>
      <c r="ISW42" s="43"/>
      <c r="ISX42" s="44"/>
      <c r="ISZ42" s="42"/>
      <c r="ITA42" s="43"/>
      <c r="ITB42" s="44"/>
      <c r="ITD42" s="42"/>
      <c r="ITE42" s="43"/>
      <c r="ITF42" s="44"/>
      <c r="ITH42" s="42"/>
      <c r="ITI42" s="43"/>
      <c r="ITJ42" s="44"/>
      <c r="ITL42" s="42"/>
      <c r="ITM42" s="43"/>
      <c r="ITN42" s="44"/>
      <c r="ITP42" s="42"/>
      <c r="ITQ42" s="43"/>
      <c r="ITR42" s="44"/>
      <c r="ITT42" s="42"/>
      <c r="ITU42" s="43"/>
      <c r="ITV42" s="44"/>
      <c r="ITX42" s="42"/>
      <c r="ITY42" s="43"/>
      <c r="ITZ42" s="44"/>
      <c r="IUB42" s="42"/>
      <c r="IUC42" s="43"/>
      <c r="IUD42" s="44"/>
      <c r="IUF42" s="42"/>
      <c r="IUG42" s="43"/>
      <c r="IUH42" s="44"/>
      <c r="IUJ42" s="42"/>
      <c r="IUK42" s="43"/>
      <c r="IUL42" s="44"/>
      <c r="IUN42" s="42"/>
      <c r="IUO42" s="43"/>
      <c r="IUP42" s="44"/>
      <c r="IUR42" s="42"/>
      <c r="IUS42" s="43"/>
      <c r="IUT42" s="44"/>
      <c r="IUV42" s="42"/>
      <c r="IUW42" s="43"/>
      <c r="IUX42" s="44"/>
      <c r="IUZ42" s="42"/>
      <c r="IVA42" s="43"/>
      <c r="IVB42" s="44"/>
      <c r="IVD42" s="42"/>
      <c r="IVE42" s="43"/>
      <c r="IVF42" s="44"/>
      <c r="IVH42" s="42"/>
      <c r="IVI42" s="43"/>
      <c r="IVJ42" s="44"/>
      <c r="IVL42" s="42"/>
      <c r="IVM42" s="43"/>
      <c r="IVN42" s="44"/>
      <c r="IVP42" s="42"/>
      <c r="IVQ42" s="43"/>
      <c r="IVR42" s="44"/>
      <c r="IVT42" s="42"/>
      <c r="IVU42" s="43"/>
      <c r="IVV42" s="44"/>
      <c r="IVX42" s="42"/>
      <c r="IVY42" s="43"/>
      <c r="IVZ42" s="44"/>
      <c r="IWB42" s="42"/>
      <c r="IWC42" s="43"/>
      <c r="IWD42" s="44"/>
      <c r="IWF42" s="42"/>
      <c r="IWG42" s="43"/>
      <c r="IWH42" s="44"/>
      <c r="IWJ42" s="42"/>
      <c r="IWK42" s="43"/>
      <c r="IWL42" s="44"/>
      <c r="IWN42" s="42"/>
      <c r="IWO42" s="43"/>
      <c r="IWP42" s="44"/>
      <c r="IWR42" s="42"/>
      <c r="IWS42" s="43"/>
      <c r="IWT42" s="44"/>
      <c r="IWV42" s="42"/>
      <c r="IWW42" s="43"/>
      <c r="IWX42" s="44"/>
      <c r="IWZ42" s="42"/>
      <c r="IXA42" s="43"/>
      <c r="IXB42" s="44"/>
      <c r="IXD42" s="42"/>
      <c r="IXE42" s="43"/>
      <c r="IXF42" s="44"/>
      <c r="IXH42" s="42"/>
      <c r="IXI42" s="43"/>
      <c r="IXJ42" s="44"/>
      <c r="IXL42" s="42"/>
      <c r="IXM42" s="43"/>
      <c r="IXN42" s="44"/>
      <c r="IXP42" s="42"/>
      <c r="IXQ42" s="43"/>
      <c r="IXR42" s="44"/>
      <c r="IXT42" s="42"/>
      <c r="IXU42" s="43"/>
      <c r="IXV42" s="44"/>
      <c r="IXX42" s="42"/>
      <c r="IXY42" s="43"/>
      <c r="IXZ42" s="44"/>
      <c r="IYB42" s="42"/>
      <c r="IYC42" s="43"/>
      <c r="IYD42" s="44"/>
      <c r="IYF42" s="42"/>
      <c r="IYG42" s="43"/>
      <c r="IYH42" s="44"/>
      <c r="IYJ42" s="42"/>
      <c r="IYK42" s="43"/>
      <c r="IYL42" s="44"/>
      <c r="IYN42" s="42"/>
      <c r="IYO42" s="43"/>
      <c r="IYP42" s="44"/>
      <c r="IYR42" s="42"/>
      <c r="IYS42" s="43"/>
      <c r="IYT42" s="44"/>
      <c r="IYV42" s="42"/>
      <c r="IYW42" s="43"/>
      <c r="IYX42" s="44"/>
      <c r="IYZ42" s="42"/>
      <c r="IZA42" s="43"/>
      <c r="IZB42" s="44"/>
      <c r="IZD42" s="42"/>
      <c r="IZE42" s="43"/>
      <c r="IZF42" s="44"/>
      <c r="IZH42" s="42"/>
      <c r="IZI42" s="43"/>
      <c r="IZJ42" s="44"/>
      <c r="IZL42" s="42"/>
      <c r="IZM42" s="43"/>
      <c r="IZN42" s="44"/>
      <c r="IZP42" s="42"/>
      <c r="IZQ42" s="43"/>
      <c r="IZR42" s="44"/>
      <c r="IZT42" s="42"/>
      <c r="IZU42" s="43"/>
      <c r="IZV42" s="44"/>
      <c r="IZX42" s="42"/>
      <c r="IZY42" s="43"/>
      <c r="IZZ42" s="44"/>
      <c r="JAB42" s="42"/>
      <c r="JAC42" s="43"/>
      <c r="JAD42" s="44"/>
      <c r="JAF42" s="42"/>
      <c r="JAG42" s="43"/>
      <c r="JAH42" s="44"/>
      <c r="JAJ42" s="42"/>
      <c r="JAK42" s="43"/>
      <c r="JAL42" s="44"/>
      <c r="JAN42" s="42"/>
      <c r="JAO42" s="43"/>
      <c r="JAP42" s="44"/>
      <c r="JAR42" s="42"/>
      <c r="JAS42" s="43"/>
      <c r="JAT42" s="44"/>
      <c r="JAV42" s="42"/>
      <c r="JAW42" s="43"/>
      <c r="JAX42" s="44"/>
      <c r="JAZ42" s="42"/>
      <c r="JBA42" s="43"/>
      <c r="JBB42" s="44"/>
      <c r="JBD42" s="42"/>
      <c r="JBE42" s="43"/>
      <c r="JBF42" s="44"/>
      <c r="JBH42" s="42"/>
      <c r="JBI42" s="43"/>
      <c r="JBJ42" s="44"/>
      <c r="JBL42" s="42"/>
      <c r="JBM42" s="43"/>
      <c r="JBN42" s="44"/>
      <c r="JBP42" s="42"/>
      <c r="JBQ42" s="43"/>
      <c r="JBR42" s="44"/>
      <c r="JBT42" s="42"/>
      <c r="JBU42" s="43"/>
      <c r="JBV42" s="44"/>
      <c r="JBX42" s="42"/>
      <c r="JBY42" s="43"/>
      <c r="JBZ42" s="44"/>
      <c r="JCB42" s="42"/>
      <c r="JCC42" s="43"/>
      <c r="JCD42" s="44"/>
      <c r="JCF42" s="42"/>
      <c r="JCG42" s="43"/>
      <c r="JCH42" s="44"/>
      <c r="JCJ42" s="42"/>
      <c r="JCK42" s="43"/>
      <c r="JCL42" s="44"/>
      <c r="JCN42" s="42"/>
      <c r="JCO42" s="43"/>
      <c r="JCP42" s="44"/>
      <c r="JCR42" s="42"/>
      <c r="JCS42" s="43"/>
      <c r="JCT42" s="44"/>
      <c r="JCV42" s="42"/>
      <c r="JCW42" s="43"/>
      <c r="JCX42" s="44"/>
      <c r="JCZ42" s="42"/>
      <c r="JDA42" s="43"/>
      <c r="JDB42" s="44"/>
      <c r="JDD42" s="42"/>
      <c r="JDE42" s="43"/>
      <c r="JDF42" s="44"/>
      <c r="JDH42" s="42"/>
      <c r="JDI42" s="43"/>
      <c r="JDJ42" s="44"/>
      <c r="JDL42" s="42"/>
      <c r="JDM42" s="43"/>
      <c r="JDN42" s="44"/>
      <c r="JDP42" s="42"/>
      <c r="JDQ42" s="43"/>
      <c r="JDR42" s="44"/>
      <c r="JDT42" s="42"/>
      <c r="JDU42" s="43"/>
      <c r="JDV42" s="44"/>
      <c r="JDX42" s="42"/>
      <c r="JDY42" s="43"/>
      <c r="JDZ42" s="44"/>
      <c r="JEB42" s="42"/>
      <c r="JEC42" s="43"/>
      <c r="JED42" s="44"/>
      <c r="JEF42" s="42"/>
      <c r="JEG42" s="43"/>
      <c r="JEH42" s="44"/>
      <c r="JEJ42" s="42"/>
      <c r="JEK42" s="43"/>
      <c r="JEL42" s="44"/>
      <c r="JEN42" s="42"/>
      <c r="JEO42" s="43"/>
      <c r="JEP42" s="44"/>
      <c r="JER42" s="42"/>
      <c r="JES42" s="43"/>
      <c r="JET42" s="44"/>
      <c r="JEV42" s="42"/>
      <c r="JEW42" s="43"/>
      <c r="JEX42" s="44"/>
      <c r="JEZ42" s="42"/>
      <c r="JFA42" s="43"/>
      <c r="JFB42" s="44"/>
      <c r="JFD42" s="42"/>
      <c r="JFE42" s="43"/>
      <c r="JFF42" s="44"/>
      <c r="JFH42" s="42"/>
      <c r="JFI42" s="43"/>
      <c r="JFJ42" s="44"/>
      <c r="JFL42" s="42"/>
      <c r="JFM42" s="43"/>
      <c r="JFN42" s="44"/>
      <c r="JFP42" s="42"/>
      <c r="JFQ42" s="43"/>
      <c r="JFR42" s="44"/>
      <c r="JFT42" s="42"/>
      <c r="JFU42" s="43"/>
      <c r="JFV42" s="44"/>
      <c r="JFX42" s="42"/>
      <c r="JFY42" s="43"/>
      <c r="JFZ42" s="44"/>
      <c r="JGB42" s="42"/>
      <c r="JGC42" s="43"/>
      <c r="JGD42" s="44"/>
      <c r="JGF42" s="42"/>
      <c r="JGG42" s="43"/>
      <c r="JGH42" s="44"/>
      <c r="JGJ42" s="42"/>
      <c r="JGK42" s="43"/>
      <c r="JGL42" s="44"/>
      <c r="JGN42" s="42"/>
      <c r="JGO42" s="43"/>
      <c r="JGP42" s="44"/>
      <c r="JGR42" s="42"/>
      <c r="JGS42" s="43"/>
      <c r="JGT42" s="44"/>
      <c r="JGV42" s="42"/>
      <c r="JGW42" s="43"/>
      <c r="JGX42" s="44"/>
      <c r="JGZ42" s="42"/>
      <c r="JHA42" s="43"/>
      <c r="JHB42" s="44"/>
      <c r="JHD42" s="42"/>
      <c r="JHE42" s="43"/>
      <c r="JHF42" s="44"/>
      <c r="JHH42" s="42"/>
      <c r="JHI42" s="43"/>
      <c r="JHJ42" s="44"/>
      <c r="JHL42" s="42"/>
      <c r="JHM42" s="43"/>
      <c r="JHN42" s="44"/>
      <c r="JHP42" s="42"/>
      <c r="JHQ42" s="43"/>
      <c r="JHR42" s="44"/>
      <c r="JHT42" s="42"/>
      <c r="JHU42" s="43"/>
      <c r="JHV42" s="44"/>
      <c r="JHX42" s="42"/>
      <c r="JHY42" s="43"/>
      <c r="JHZ42" s="44"/>
      <c r="JIB42" s="42"/>
      <c r="JIC42" s="43"/>
      <c r="JID42" s="44"/>
      <c r="JIF42" s="42"/>
      <c r="JIG42" s="43"/>
      <c r="JIH42" s="44"/>
      <c r="JIJ42" s="42"/>
      <c r="JIK42" s="43"/>
      <c r="JIL42" s="44"/>
      <c r="JIN42" s="42"/>
      <c r="JIO42" s="43"/>
      <c r="JIP42" s="44"/>
      <c r="JIR42" s="42"/>
      <c r="JIS42" s="43"/>
      <c r="JIT42" s="44"/>
      <c r="JIV42" s="42"/>
      <c r="JIW42" s="43"/>
      <c r="JIX42" s="44"/>
      <c r="JIZ42" s="42"/>
      <c r="JJA42" s="43"/>
      <c r="JJB42" s="44"/>
      <c r="JJD42" s="42"/>
      <c r="JJE42" s="43"/>
      <c r="JJF42" s="44"/>
      <c r="JJH42" s="42"/>
      <c r="JJI42" s="43"/>
      <c r="JJJ42" s="44"/>
      <c r="JJL42" s="42"/>
      <c r="JJM42" s="43"/>
      <c r="JJN42" s="44"/>
      <c r="JJP42" s="42"/>
      <c r="JJQ42" s="43"/>
      <c r="JJR42" s="44"/>
      <c r="JJT42" s="42"/>
      <c r="JJU42" s="43"/>
      <c r="JJV42" s="44"/>
      <c r="JJX42" s="42"/>
      <c r="JJY42" s="43"/>
      <c r="JJZ42" s="44"/>
      <c r="JKB42" s="42"/>
      <c r="JKC42" s="43"/>
      <c r="JKD42" s="44"/>
      <c r="JKF42" s="42"/>
      <c r="JKG42" s="43"/>
      <c r="JKH42" s="44"/>
      <c r="JKJ42" s="42"/>
      <c r="JKK42" s="43"/>
      <c r="JKL42" s="44"/>
      <c r="JKN42" s="42"/>
      <c r="JKO42" s="43"/>
      <c r="JKP42" s="44"/>
      <c r="JKR42" s="42"/>
      <c r="JKS42" s="43"/>
      <c r="JKT42" s="44"/>
      <c r="JKV42" s="42"/>
      <c r="JKW42" s="43"/>
      <c r="JKX42" s="44"/>
      <c r="JKZ42" s="42"/>
      <c r="JLA42" s="43"/>
      <c r="JLB42" s="44"/>
      <c r="JLD42" s="42"/>
      <c r="JLE42" s="43"/>
      <c r="JLF42" s="44"/>
      <c r="JLH42" s="42"/>
      <c r="JLI42" s="43"/>
      <c r="JLJ42" s="44"/>
      <c r="JLL42" s="42"/>
      <c r="JLM42" s="43"/>
      <c r="JLN42" s="44"/>
      <c r="JLP42" s="42"/>
      <c r="JLQ42" s="43"/>
      <c r="JLR42" s="44"/>
      <c r="JLT42" s="42"/>
      <c r="JLU42" s="43"/>
      <c r="JLV42" s="44"/>
      <c r="JLX42" s="42"/>
      <c r="JLY42" s="43"/>
      <c r="JLZ42" s="44"/>
      <c r="JMB42" s="42"/>
      <c r="JMC42" s="43"/>
      <c r="JMD42" s="44"/>
      <c r="JMF42" s="42"/>
      <c r="JMG42" s="43"/>
      <c r="JMH42" s="44"/>
      <c r="JMJ42" s="42"/>
      <c r="JMK42" s="43"/>
      <c r="JML42" s="44"/>
      <c r="JMN42" s="42"/>
      <c r="JMO42" s="43"/>
      <c r="JMP42" s="44"/>
      <c r="JMR42" s="42"/>
      <c r="JMS42" s="43"/>
      <c r="JMT42" s="44"/>
      <c r="JMV42" s="42"/>
      <c r="JMW42" s="43"/>
      <c r="JMX42" s="44"/>
      <c r="JMZ42" s="42"/>
      <c r="JNA42" s="43"/>
      <c r="JNB42" s="44"/>
      <c r="JND42" s="42"/>
      <c r="JNE42" s="43"/>
      <c r="JNF42" s="44"/>
      <c r="JNH42" s="42"/>
      <c r="JNI42" s="43"/>
      <c r="JNJ42" s="44"/>
      <c r="JNL42" s="42"/>
      <c r="JNM42" s="43"/>
      <c r="JNN42" s="44"/>
      <c r="JNP42" s="42"/>
      <c r="JNQ42" s="43"/>
      <c r="JNR42" s="44"/>
      <c r="JNT42" s="42"/>
      <c r="JNU42" s="43"/>
      <c r="JNV42" s="44"/>
      <c r="JNX42" s="42"/>
      <c r="JNY42" s="43"/>
      <c r="JNZ42" s="44"/>
      <c r="JOB42" s="42"/>
      <c r="JOC42" s="43"/>
      <c r="JOD42" s="44"/>
      <c r="JOF42" s="42"/>
      <c r="JOG42" s="43"/>
      <c r="JOH42" s="44"/>
      <c r="JOJ42" s="42"/>
      <c r="JOK42" s="43"/>
      <c r="JOL42" s="44"/>
      <c r="JON42" s="42"/>
      <c r="JOO42" s="43"/>
      <c r="JOP42" s="44"/>
      <c r="JOR42" s="42"/>
      <c r="JOS42" s="43"/>
      <c r="JOT42" s="44"/>
      <c r="JOV42" s="42"/>
      <c r="JOW42" s="43"/>
      <c r="JOX42" s="44"/>
      <c r="JOZ42" s="42"/>
      <c r="JPA42" s="43"/>
      <c r="JPB42" s="44"/>
      <c r="JPD42" s="42"/>
      <c r="JPE42" s="43"/>
      <c r="JPF42" s="44"/>
      <c r="JPH42" s="42"/>
      <c r="JPI42" s="43"/>
      <c r="JPJ42" s="44"/>
      <c r="JPL42" s="42"/>
      <c r="JPM42" s="43"/>
      <c r="JPN42" s="44"/>
      <c r="JPP42" s="42"/>
      <c r="JPQ42" s="43"/>
      <c r="JPR42" s="44"/>
      <c r="JPT42" s="42"/>
      <c r="JPU42" s="43"/>
      <c r="JPV42" s="44"/>
      <c r="JPX42" s="42"/>
      <c r="JPY42" s="43"/>
      <c r="JPZ42" s="44"/>
      <c r="JQB42" s="42"/>
      <c r="JQC42" s="43"/>
      <c r="JQD42" s="44"/>
      <c r="JQF42" s="42"/>
      <c r="JQG42" s="43"/>
      <c r="JQH42" s="44"/>
      <c r="JQJ42" s="42"/>
      <c r="JQK42" s="43"/>
      <c r="JQL42" s="44"/>
      <c r="JQN42" s="42"/>
      <c r="JQO42" s="43"/>
      <c r="JQP42" s="44"/>
      <c r="JQR42" s="42"/>
      <c r="JQS42" s="43"/>
      <c r="JQT42" s="44"/>
      <c r="JQV42" s="42"/>
      <c r="JQW42" s="43"/>
      <c r="JQX42" s="44"/>
      <c r="JQZ42" s="42"/>
      <c r="JRA42" s="43"/>
      <c r="JRB42" s="44"/>
      <c r="JRD42" s="42"/>
      <c r="JRE42" s="43"/>
      <c r="JRF42" s="44"/>
      <c r="JRH42" s="42"/>
      <c r="JRI42" s="43"/>
      <c r="JRJ42" s="44"/>
      <c r="JRL42" s="42"/>
      <c r="JRM42" s="43"/>
      <c r="JRN42" s="44"/>
      <c r="JRP42" s="42"/>
      <c r="JRQ42" s="43"/>
      <c r="JRR42" s="44"/>
      <c r="JRT42" s="42"/>
      <c r="JRU42" s="43"/>
      <c r="JRV42" s="44"/>
      <c r="JRX42" s="42"/>
      <c r="JRY42" s="43"/>
      <c r="JRZ42" s="44"/>
      <c r="JSB42" s="42"/>
      <c r="JSC42" s="43"/>
      <c r="JSD42" s="44"/>
      <c r="JSF42" s="42"/>
      <c r="JSG42" s="43"/>
      <c r="JSH42" s="44"/>
      <c r="JSJ42" s="42"/>
      <c r="JSK42" s="43"/>
      <c r="JSL42" s="44"/>
      <c r="JSN42" s="42"/>
      <c r="JSO42" s="43"/>
      <c r="JSP42" s="44"/>
      <c r="JSR42" s="42"/>
      <c r="JSS42" s="43"/>
      <c r="JST42" s="44"/>
      <c r="JSV42" s="42"/>
      <c r="JSW42" s="43"/>
      <c r="JSX42" s="44"/>
      <c r="JSZ42" s="42"/>
      <c r="JTA42" s="43"/>
      <c r="JTB42" s="44"/>
      <c r="JTD42" s="42"/>
      <c r="JTE42" s="43"/>
      <c r="JTF42" s="44"/>
      <c r="JTH42" s="42"/>
      <c r="JTI42" s="43"/>
      <c r="JTJ42" s="44"/>
      <c r="JTL42" s="42"/>
      <c r="JTM42" s="43"/>
      <c r="JTN42" s="44"/>
      <c r="JTP42" s="42"/>
      <c r="JTQ42" s="43"/>
      <c r="JTR42" s="44"/>
      <c r="JTT42" s="42"/>
      <c r="JTU42" s="43"/>
      <c r="JTV42" s="44"/>
      <c r="JTX42" s="42"/>
      <c r="JTY42" s="43"/>
      <c r="JTZ42" s="44"/>
      <c r="JUB42" s="42"/>
      <c r="JUC42" s="43"/>
      <c r="JUD42" s="44"/>
      <c r="JUF42" s="42"/>
      <c r="JUG42" s="43"/>
      <c r="JUH42" s="44"/>
      <c r="JUJ42" s="42"/>
      <c r="JUK42" s="43"/>
      <c r="JUL42" s="44"/>
      <c r="JUN42" s="42"/>
      <c r="JUO42" s="43"/>
      <c r="JUP42" s="44"/>
      <c r="JUR42" s="42"/>
      <c r="JUS42" s="43"/>
      <c r="JUT42" s="44"/>
      <c r="JUV42" s="42"/>
      <c r="JUW42" s="43"/>
      <c r="JUX42" s="44"/>
      <c r="JUZ42" s="42"/>
      <c r="JVA42" s="43"/>
      <c r="JVB42" s="44"/>
      <c r="JVD42" s="42"/>
      <c r="JVE42" s="43"/>
      <c r="JVF42" s="44"/>
      <c r="JVH42" s="42"/>
      <c r="JVI42" s="43"/>
      <c r="JVJ42" s="44"/>
      <c r="JVL42" s="42"/>
      <c r="JVM42" s="43"/>
      <c r="JVN42" s="44"/>
      <c r="JVP42" s="42"/>
      <c r="JVQ42" s="43"/>
      <c r="JVR42" s="44"/>
      <c r="JVT42" s="42"/>
      <c r="JVU42" s="43"/>
      <c r="JVV42" s="44"/>
      <c r="JVX42" s="42"/>
      <c r="JVY42" s="43"/>
      <c r="JVZ42" s="44"/>
      <c r="JWB42" s="42"/>
      <c r="JWC42" s="43"/>
      <c r="JWD42" s="44"/>
      <c r="JWF42" s="42"/>
      <c r="JWG42" s="43"/>
      <c r="JWH42" s="44"/>
      <c r="JWJ42" s="42"/>
      <c r="JWK42" s="43"/>
      <c r="JWL42" s="44"/>
      <c r="JWN42" s="42"/>
      <c r="JWO42" s="43"/>
      <c r="JWP42" s="44"/>
      <c r="JWR42" s="42"/>
      <c r="JWS42" s="43"/>
      <c r="JWT42" s="44"/>
      <c r="JWV42" s="42"/>
      <c r="JWW42" s="43"/>
      <c r="JWX42" s="44"/>
      <c r="JWZ42" s="42"/>
      <c r="JXA42" s="43"/>
      <c r="JXB42" s="44"/>
      <c r="JXD42" s="42"/>
      <c r="JXE42" s="43"/>
      <c r="JXF42" s="44"/>
      <c r="JXH42" s="42"/>
      <c r="JXI42" s="43"/>
      <c r="JXJ42" s="44"/>
      <c r="JXL42" s="42"/>
      <c r="JXM42" s="43"/>
      <c r="JXN42" s="44"/>
      <c r="JXP42" s="42"/>
      <c r="JXQ42" s="43"/>
      <c r="JXR42" s="44"/>
      <c r="JXT42" s="42"/>
      <c r="JXU42" s="43"/>
      <c r="JXV42" s="44"/>
      <c r="JXX42" s="42"/>
      <c r="JXY42" s="43"/>
      <c r="JXZ42" s="44"/>
      <c r="JYB42" s="42"/>
      <c r="JYC42" s="43"/>
      <c r="JYD42" s="44"/>
      <c r="JYF42" s="42"/>
      <c r="JYG42" s="43"/>
      <c r="JYH42" s="44"/>
      <c r="JYJ42" s="42"/>
      <c r="JYK42" s="43"/>
      <c r="JYL42" s="44"/>
      <c r="JYN42" s="42"/>
      <c r="JYO42" s="43"/>
      <c r="JYP42" s="44"/>
      <c r="JYR42" s="42"/>
      <c r="JYS42" s="43"/>
      <c r="JYT42" s="44"/>
      <c r="JYV42" s="42"/>
      <c r="JYW42" s="43"/>
      <c r="JYX42" s="44"/>
      <c r="JYZ42" s="42"/>
      <c r="JZA42" s="43"/>
      <c r="JZB42" s="44"/>
      <c r="JZD42" s="42"/>
      <c r="JZE42" s="43"/>
      <c r="JZF42" s="44"/>
      <c r="JZH42" s="42"/>
      <c r="JZI42" s="43"/>
      <c r="JZJ42" s="44"/>
      <c r="JZL42" s="42"/>
      <c r="JZM42" s="43"/>
      <c r="JZN42" s="44"/>
      <c r="JZP42" s="42"/>
      <c r="JZQ42" s="43"/>
      <c r="JZR42" s="44"/>
      <c r="JZT42" s="42"/>
      <c r="JZU42" s="43"/>
      <c r="JZV42" s="44"/>
      <c r="JZX42" s="42"/>
      <c r="JZY42" s="43"/>
      <c r="JZZ42" s="44"/>
      <c r="KAB42" s="42"/>
      <c r="KAC42" s="43"/>
      <c r="KAD42" s="44"/>
      <c r="KAF42" s="42"/>
      <c r="KAG42" s="43"/>
      <c r="KAH42" s="44"/>
      <c r="KAJ42" s="42"/>
      <c r="KAK42" s="43"/>
      <c r="KAL42" s="44"/>
      <c r="KAN42" s="42"/>
      <c r="KAO42" s="43"/>
      <c r="KAP42" s="44"/>
      <c r="KAR42" s="42"/>
      <c r="KAS42" s="43"/>
      <c r="KAT42" s="44"/>
      <c r="KAV42" s="42"/>
      <c r="KAW42" s="43"/>
      <c r="KAX42" s="44"/>
      <c r="KAZ42" s="42"/>
      <c r="KBA42" s="43"/>
      <c r="KBB42" s="44"/>
      <c r="KBD42" s="42"/>
      <c r="KBE42" s="43"/>
      <c r="KBF42" s="44"/>
      <c r="KBH42" s="42"/>
      <c r="KBI42" s="43"/>
      <c r="KBJ42" s="44"/>
      <c r="KBL42" s="42"/>
      <c r="KBM42" s="43"/>
      <c r="KBN42" s="44"/>
      <c r="KBP42" s="42"/>
      <c r="KBQ42" s="43"/>
      <c r="KBR42" s="44"/>
      <c r="KBT42" s="42"/>
      <c r="KBU42" s="43"/>
      <c r="KBV42" s="44"/>
      <c r="KBX42" s="42"/>
      <c r="KBY42" s="43"/>
      <c r="KBZ42" s="44"/>
      <c r="KCB42" s="42"/>
      <c r="KCC42" s="43"/>
      <c r="KCD42" s="44"/>
      <c r="KCF42" s="42"/>
      <c r="KCG42" s="43"/>
      <c r="KCH42" s="44"/>
      <c r="KCJ42" s="42"/>
      <c r="KCK42" s="43"/>
      <c r="KCL42" s="44"/>
      <c r="KCN42" s="42"/>
      <c r="KCO42" s="43"/>
      <c r="KCP42" s="44"/>
      <c r="KCR42" s="42"/>
      <c r="KCS42" s="43"/>
      <c r="KCT42" s="44"/>
      <c r="KCV42" s="42"/>
      <c r="KCW42" s="43"/>
      <c r="KCX42" s="44"/>
      <c r="KCZ42" s="42"/>
      <c r="KDA42" s="43"/>
      <c r="KDB42" s="44"/>
      <c r="KDD42" s="42"/>
      <c r="KDE42" s="43"/>
      <c r="KDF42" s="44"/>
      <c r="KDH42" s="42"/>
      <c r="KDI42" s="43"/>
      <c r="KDJ42" s="44"/>
      <c r="KDL42" s="42"/>
      <c r="KDM42" s="43"/>
      <c r="KDN42" s="44"/>
      <c r="KDP42" s="42"/>
      <c r="KDQ42" s="43"/>
      <c r="KDR42" s="44"/>
      <c r="KDT42" s="42"/>
      <c r="KDU42" s="43"/>
      <c r="KDV42" s="44"/>
      <c r="KDX42" s="42"/>
      <c r="KDY42" s="43"/>
      <c r="KDZ42" s="44"/>
      <c r="KEB42" s="42"/>
      <c r="KEC42" s="43"/>
      <c r="KED42" s="44"/>
      <c r="KEF42" s="42"/>
      <c r="KEG42" s="43"/>
      <c r="KEH42" s="44"/>
      <c r="KEJ42" s="42"/>
      <c r="KEK42" s="43"/>
      <c r="KEL42" s="44"/>
      <c r="KEN42" s="42"/>
      <c r="KEO42" s="43"/>
      <c r="KEP42" s="44"/>
      <c r="KER42" s="42"/>
      <c r="KES42" s="43"/>
      <c r="KET42" s="44"/>
      <c r="KEV42" s="42"/>
      <c r="KEW42" s="43"/>
      <c r="KEX42" s="44"/>
      <c r="KEZ42" s="42"/>
      <c r="KFA42" s="43"/>
      <c r="KFB42" s="44"/>
      <c r="KFD42" s="42"/>
      <c r="KFE42" s="43"/>
      <c r="KFF42" s="44"/>
      <c r="KFH42" s="42"/>
      <c r="KFI42" s="43"/>
      <c r="KFJ42" s="44"/>
      <c r="KFL42" s="42"/>
      <c r="KFM42" s="43"/>
      <c r="KFN42" s="44"/>
      <c r="KFP42" s="42"/>
      <c r="KFQ42" s="43"/>
      <c r="KFR42" s="44"/>
      <c r="KFT42" s="42"/>
      <c r="KFU42" s="43"/>
      <c r="KFV42" s="44"/>
      <c r="KFX42" s="42"/>
      <c r="KFY42" s="43"/>
      <c r="KFZ42" s="44"/>
      <c r="KGB42" s="42"/>
      <c r="KGC42" s="43"/>
      <c r="KGD42" s="44"/>
      <c r="KGF42" s="42"/>
      <c r="KGG42" s="43"/>
      <c r="KGH42" s="44"/>
      <c r="KGJ42" s="42"/>
      <c r="KGK42" s="43"/>
      <c r="KGL42" s="44"/>
      <c r="KGN42" s="42"/>
      <c r="KGO42" s="43"/>
      <c r="KGP42" s="44"/>
      <c r="KGR42" s="42"/>
      <c r="KGS42" s="43"/>
      <c r="KGT42" s="44"/>
      <c r="KGV42" s="42"/>
      <c r="KGW42" s="43"/>
      <c r="KGX42" s="44"/>
      <c r="KGZ42" s="42"/>
      <c r="KHA42" s="43"/>
      <c r="KHB42" s="44"/>
      <c r="KHD42" s="42"/>
      <c r="KHE42" s="43"/>
      <c r="KHF42" s="44"/>
      <c r="KHH42" s="42"/>
      <c r="KHI42" s="43"/>
      <c r="KHJ42" s="44"/>
      <c r="KHL42" s="42"/>
      <c r="KHM42" s="43"/>
      <c r="KHN42" s="44"/>
      <c r="KHP42" s="42"/>
      <c r="KHQ42" s="43"/>
      <c r="KHR42" s="44"/>
      <c r="KHT42" s="42"/>
      <c r="KHU42" s="43"/>
      <c r="KHV42" s="44"/>
      <c r="KHX42" s="42"/>
      <c r="KHY42" s="43"/>
      <c r="KHZ42" s="44"/>
      <c r="KIB42" s="42"/>
      <c r="KIC42" s="43"/>
      <c r="KID42" s="44"/>
      <c r="KIF42" s="42"/>
      <c r="KIG42" s="43"/>
      <c r="KIH42" s="44"/>
      <c r="KIJ42" s="42"/>
      <c r="KIK42" s="43"/>
      <c r="KIL42" s="44"/>
      <c r="KIN42" s="42"/>
      <c r="KIO42" s="43"/>
      <c r="KIP42" s="44"/>
      <c r="KIR42" s="42"/>
      <c r="KIS42" s="43"/>
      <c r="KIT42" s="44"/>
      <c r="KIV42" s="42"/>
      <c r="KIW42" s="43"/>
      <c r="KIX42" s="44"/>
      <c r="KIZ42" s="42"/>
      <c r="KJA42" s="43"/>
      <c r="KJB42" s="44"/>
      <c r="KJD42" s="42"/>
      <c r="KJE42" s="43"/>
      <c r="KJF42" s="44"/>
      <c r="KJH42" s="42"/>
      <c r="KJI42" s="43"/>
      <c r="KJJ42" s="44"/>
      <c r="KJL42" s="42"/>
      <c r="KJM42" s="43"/>
      <c r="KJN42" s="44"/>
      <c r="KJP42" s="42"/>
      <c r="KJQ42" s="43"/>
      <c r="KJR42" s="44"/>
      <c r="KJT42" s="42"/>
      <c r="KJU42" s="43"/>
      <c r="KJV42" s="44"/>
      <c r="KJX42" s="42"/>
      <c r="KJY42" s="43"/>
      <c r="KJZ42" s="44"/>
      <c r="KKB42" s="42"/>
      <c r="KKC42" s="43"/>
      <c r="KKD42" s="44"/>
      <c r="KKF42" s="42"/>
      <c r="KKG42" s="43"/>
      <c r="KKH42" s="44"/>
      <c r="KKJ42" s="42"/>
      <c r="KKK42" s="43"/>
      <c r="KKL42" s="44"/>
      <c r="KKN42" s="42"/>
      <c r="KKO42" s="43"/>
      <c r="KKP42" s="44"/>
      <c r="KKR42" s="42"/>
      <c r="KKS42" s="43"/>
      <c r="KKT42" s="44"/>
      <c r="KKV42" s="42"/>
      <c r="KKW42" s="43"/>
      <c r="KKX42" s="44"/>
      <c r="KKZ42" s="42"/>
      <c r="KLA42" s="43"/>
      <c r="KLB42" s="44"/>
      <c r="KLD42" s="42"/>
      <c r="KLE42" s="43"/>
      <c r="KLF42" s="44"/>
      <c r="KLH42" s="42"/>
      <c r="KLI42" s="43"/>
      <c r="KLJ42" s="44"/>
      <c r="KLL42" s="42"/>
      <c r="KLM42" s="43"/>
      <c r="KLN42" s="44"/>
      <c r="KLP42" s="42"/>
      <c r="KLQ42" s="43"/>
      <c r="KLR42" s="44"/>
      <c r="KLT42" s="42"/>
      <c r="KLU42" s="43"/>
      <c r="KLV42" s="44"/>
      <c r="KLX42" s="42"/>
      <c r="KLY42" s="43"/>
      <c r="KLZ42" s="44"/>
      <c r="KMB42" s="42"/>
      <c r="KMC42" s="43"/>
      <c r="KMD42" s="44"/>
      <c r="KMF42" s="42"/>
      <c r="KMG42" s="43"/>
      <c r="KMH42" s="44"/>
      <c r="KMJ42" s="42"/>
      <c r="KMK42" s="43"/>
      <c r="KML42" s="44"/>
      <c r="KMN42" s="42"/>
      <c r="KMO42" s="43"/>
      <c r="KMP42" s="44"/>
      <c r="KMR42" s="42"/>
      <c r="KMS42" s="43"/>
      <c r="KMT42" s="44"/>
      <c r="KMV42" s="42"/>
      <c r="KMW42" s="43"/>
      <c r="KMX42" s="44"/>
      <c r="KMZ42" s="42"/>
      <c r="KNA42" s="43"/>
      <c r="KNB42" s="44"/>
      <c r="KND42" s="42"/>
      <c r="KNE42" s="43"/>
      <c r="KNF42" s="44"/>
      <c r="KNH42" s="42"/>
      <c r="KNI42" s="43"/>
      <c r="KNJ42" s="44"/>
      <c r="KNL42" s="42"/>
      <c r="KNM42" s="43"/>
      <c r="KNN42" s="44"/>
      <c r="KNP42" s="42"/>
      <c r="KNQ42" s="43"/>
      <c r="KNR42" s="44"/>
      <c r="KNT42" s="42"/>
      <c r="KNU42" s="43"/>
      <c r="KNV42" s="44"/>
      <c r="KNX42" s="42"/>
      <c r="KNY42" s="43"/>
      <c r="KNZ42" s="44"/>
      <c r="KOB42" s="42"/>
      <c r="KOC42" s="43"/>
      <c r="KOD42" s="44"/>
      <c r="KOF42" s="42"/>
      <c r="KOG42" s="43"/>
      <c r="KOH42" s="44"/>
      <c r="KOJ42" s="42"/>
      <c r="KOK42" s="43"/>
      <c r="KOL42" s="44"/>
      <c r="KON42" s="42"/>
      <c r="KOO42" s="43"/>
      <c r="KOP42" s="44"/>
      <c r="KOR42" s="42"/>
      <c r="KOS42" s="43"/>
      <c r="KOT42" s="44"/>
      <c r="KOV42" s="42"/>
      <c r="KOW42" s="43"/>
      <c r="KOX42" s="44"/>
      <c r="KOZ42" s="42"/>
      <c r="KPA42" s="43"/>
      <c r="KPB42" s="44"/>
      <c r="KPD42" s="42"/>
      <c r="KPE42" s="43"/>
      <c r="KPF42" s="44"/>
      <c r="KPH42" s="42"/>
      <c r="KPI42" s="43"/>
      <c r="KPJ42" s="44"/>
      <c r="KPL42" s="42"/>
      <c r="KPM42" s="43"/>
      <c r="KPN42" s="44"/>
      <c r="KPP42" s="42"/>
      <c r="KPQ42" s="43"/>
      <c r="KPR42" s="44"/>
      <c r="KPT42" s="42"/>
      <c r="KPU42" s="43"/>
      <c r="KPV42" s="44"/>
      <c r="KPX42" s="42"/>
      <c r="KPY42" s="43"/>
      <c r="KPZ42" s="44"/>
      <c r="KQB42" s="42"/>
      <c r="KQC42" s="43"/>
      <c r="KQD42" s="44"/>
      <c r="KQF42" s="42"/>
      <c r="KQG42" s="43"/>
      <c r="KQH42" s="44"/>
      <c r="KQJ42" s="42"/>
      <c r="KQK42" s="43"/>
      <c r="KQL42" s="44"/>
      <c r="KQN42" s="42"/>
      <c r="KQO42" s="43"/>
      <c r="KQP42" s="44"/>
      <c r="KQR42" s="42"/>
      <c r="KQS42" s="43"/>
      <c r="KQT42" s="44"/>
      <c r="KQV42" s="42"/>
      <c r="KQW42" s="43"/>
      <c r="KQX42" s="44"/>
      <c r="KQZ42" s="42"/>
      <c r="KRA42" s="43"/>
      <c r="KRB42" s="44"/>
      <c r="KRD42" s="42"/>
      <c r="KRE42" s="43"/>
      <c r="KRF42" s="44"/>
      <c r="KRH42" s="42"/>
      <c r="KRI42" s="43"/>
      <c r="KRJ42" s="44"/>
      <c r="KRL42" s="42"/>
      <c r="KRM42" s="43"/>
      <c r="KRN42" s="44"/>
      <c r="KRP42" s="42"/>
      <c r="KRQ42" s="43"/>
      <c r="KRR42" s="44"/>
      <c r="KRT42" s="42"/>
      <c r="KRU42" s="43"/>
      <c r="KRV42" s="44"/>
      <c r="KRX42" s="42"/>
      <c r="KRY42" s="43"/>
      <c r="KRZ42" s="44"/>
      <c r="KSB42" s="42"/>
      <c r="KSC42" s="43"/>
      <c r="KSD42" s="44"/>
      <c r="KSF42" s="42"/>
      <c r="KSG42" s="43"/>
      <c r="KSH42" s="44"/>
      <c r="KSJ42" s="42"/>
      <c r="KSK42" s="43"/>
      <c r="KSL42" s="44"/>
      <c r="KSN42" s="42"/>
      <c r="KSO42" s="43"/>
      <c r="KSP42" s="44"/>
      <c r="KSR42" s="42"/>
      <c r="KSS42" s="43"/>
      <c r="KST42" s="44"/>
      <c r="KSV42" s="42"/>
      <c r="KSW42" s="43"/>
      <c r="KSX42" s="44"/>
      <c r="KSZ42" s="42"/>
      <c r="KTA42" s="43"/>
      <c r="KTB42" s="44"/>
      <c r="KTD42" s="42"/>
      <c r="KTE42" s="43"/>
      <c r="KTF42" s="44"/>
      <c r="KTH42" s="42"/>
      <c r="KTI42" s="43"/>
      <c r="KTJ42" s="44"/>
      <c r="KTL42" s="42"/>
      <c r="KTM42" s="43"/>
      <c r="KTN42" s="44"/>
      <c r="KTP42" s="42"/>
      <c r="KTQ42" s="43"/>
      <c r="KTR42" s="44"/>
      <c r="KTT42" s="42"/>
      <c r="KTU42" s="43"/>
      <c r="KTV42" s="44"/>
      <c r="KTX42" s="42"/>
      <c r="KTY42" s="43"/>
      <c r="KTZ42" s="44"/>
      <c r="KUB42" s="42"/>
      <c r="KUC42" s="43"/>
      <c r="KUD42" s="44"/>
      <c r="KUF42" s="42"/>
      <c r="KUG42" s="43"/>
      <c r="KUH42" s="44"/>
      <c r="KUJ42" s="42"/>
      <c r="KUK42" s="43"/>
      <c r="KUL42" s="44"/>
      <c r="KUN42" s="42"/>
      <c r="KUO42" s="43"/>
      <c r="KUP42" s="44"/>
      <c r="KUR42" s="42"/>
      <c r="KUS42" s="43"/>
      <c r="KUT42" s="44"/>
      <c r="KUV42" s="42"/>
      <c r="KUW42" s="43"/>
      <c r="KUX42" s="44"/>
      <c r="KUZ42" s="42"/>
      <c r="KVA42" s="43"/>
      <c r="KVB42" s="44"/>
      <c r="KVD42" s="42"/>
      <c r="KVE42" s="43"/>
      <c r="KVF42" s="44"/>
      <c r="KVH42" s="42"/>
      <c r="KVI42" s="43"/>
      <c r="KVJ42" s="44"/>
      <c r="KVL42" s="42"/>
      <c r="KVM42" s="43"/>
      <c r="KVN42" s="44"/>
      <c r="KVP42" s="42"/>
      <c r="KVQ42" s="43"/>
      <c r="KVR42" s="44"/>
      <c r="KVT42" s="42"/>
      <c r="KVU42" s="43"/>
      <c r="KVV42" s="44"/>
      <c r="KVX42" s="42"/>
      <c r="KVY42" s="43"/>
      <c r="KVZ42" s="44"/>
      <c r="KWB42" s="42"/>
      <c r="KWC42" s="43"/>
      <c r="KWD42" s="44"/>
      <c r="KWF42" s="42"/>
      <c r="KWG42" s="43"/>
      <c r="KWH42" s="44"/>
      <c r="KWJ42" s="42"/>
      <c r="KWK42" s="43"/>
      <c r="KWL42" s="44"/>
      <c r="KWN42" s="42"/>
      <c r="KWO42" s="43"/>
      <c r="KWP42" s="44"/>
      <c r="KWR42" s="42"/>
      <c r="KWS42" s="43"/>
      <c r="KWT42" s="44"/>
      <c r="KWV42" s="42"/>
      <c r="KWW42" s="43"/>
      <c r="KWX42" s="44"/>
      <c r="KWZ42" s="42"/>
      <c r="KXA42" s="43"/>
      <c r="KXB42" s="44"/>
      <c r="KXD42" s="42"/>
      <c r="KXE42" s="43"/>
      <c r="KXF42" s="44"/>
      <c r="KXH42" s="42"/>
      <c r="KXI42" s="43"/>
      <c r="KXJ42" s="44"/>
      <c r="KXL42" s="42"/>
      <c r="KXM42" s="43"/>
      <c r="KXN42" s="44"/>
      <c r="KXP42" s="42"/>
      <c r="KXQ42" s="43"/>
      <c r="KXR42" s="44"/>
      <c r="KXT42" s="42"/>
      <c r="KXU42" s="43"/>
      <c r="KXV42" s="44"/>
      <c r="KXX42" s="42"/>
      <c r="KXY42" s="43"/>
      <c r="KXZ42" s="44"/>
      <c r="KYB42" s="42"/>
      <c r="KYC42" s="43"/>
      <c r="KYD42" s="44"/>
      <c r="KYF42" s="42"/>
      <c r="KYG42" s="43"/>
      <c r="KYH42" s="44"/>
      <c r="KYJ42" s="42"/>
      <c r="KYK42" s="43"/>
      <c r="KYL42" s="44"/>
      <c r="KYN42" s="42"/>
      <c r="KYO42" s="43"/>
      <c r="KYP42" s="44"/>
      <c r="KYR42" s="42"/>
      <c r="KYS42" s="43"/>
      <c r="KYT42" s="44"/>
      <c r="KYV42" s="42"/>
      <c r="KYW42" s="43"/>
      <c r="KYX42" s="44"/>
      <c r="KYZ42" s="42"/>
      <c r="KZA42" s="43"/>
      <c r="KZB42" s="44"/>
      <c r="KZD42" s="42"/>
      <c r="KZE42" s="43"/>
      <c r="KZF42" s="44"/>
      <c r="KZH42" s="42"/>
      <c r="KZI42" s="43"/>
      <c r="KZJ42" s="44"/>
      <c r="KZL42" s="42"/>
      <c r="KZM42" s="43"/>
      <c r="KZN42" s="44"/>
      <c r="KZP42" s="42"/>
      <c r="KZQ42" s="43"/>
      <c r="KZR42" s="44"/>
      <c r="KZT42" s="42"/>
      <c r="KZU42" s="43"/>
      <c r="KZV42" s="44"/>
      <c r="KZX42" s="42"/>
      <c r="KZY42" s="43"/>
      <c r="KZZ42" s="44"/>
      <c r="LAB42" s="42"/>
      <c r="LAC42" s="43"/>
      <c r="LAD42" s="44"/>
      <c r="LAF42" s="42"/>
      <c r="LAG42" s="43"/>
      <c r="LAH42" s="44"/>
      <c r="LAJ42" s="42"/>
      <c r="LAK42" s="43"/>
      <c r="LAL42" s="44"/>
      <c r="LAN42" s="42"/>
      <c r="LAO42" s="43"/>
      <c r="LAP42" s="44"/>
      <c r="LAR42" s="42"/>
      <c r="LAS42" s="43"/>
      <c r="LAT42" s="44"/>
      <c r="LAV42" s="42"/>
      <c r="LAW42" s="43"/>
      <c r="LAX42" s="44"/>
      <c r="LAZ42" s="42"/>
      <c r="LBA42" s="43"/>
      <c r="LBB42" s="44"/>
      <c r="LBD42" s="42"/>
      <c r="LBE42" s="43"/>
      <c r="LBF42" s="44"/>
      <c r="LBH42" s="42"/>
      <c r="LBI42" s="43"/>
      <c r="LBJ42" s="44"/>
      <c r="LBL42" s="42"/>
      <c r="LBM42" s="43"/>
      <c r="LBN42" s="44"/>
      <c r="LBP42" s="42"/>
      <c r="LBQ42" s="43"/>
      <c r="LBR42" s="44"/>
      <c r="LBT42" s="42"/>
      <c r="LBU42" s="43"/>
      <c r="LBV42" s="44"/>
      <c r="LBX42" s="42"/>
      <c r="LBY42" s="43"/>
      <c r="LBZ42" s="44"/>
      <c r="LCB42" s="42"/>
      <c r="LCC42" s="43"/>
      <c r="LCD42" s="44"/>
      <c r="LCF42" s="42"/>
      <c r="LCG42" s="43"/>
      <c r="LCH42" s="44"/>
      <c r="LCJ42" s="42"/>
      <c r="LCK42" s="43"/>
      <c r="LCL42" s="44"/>
      <c r="LCN42" s="42"/>
      <c r="LCO42" s="43"/>
      <c r="LCP42" s="44"/>
      <c r="LCR42" s="42"/>
      <c r="LCS42" s="43"/>
      <c r="LCT42" s="44"/>
      <c r="LCV42" s="42"/>
      <c r="LCW42" s="43"/>
      <c r="LCX42" s="44"/>
      <c r="LCZ42" s="42"/>
      <c r="LDA42" s="43"/>
      <c r="LDB42" s="44"/>
      <c r="LDD42" s="42"/>
      <c r="LDE42" s="43"/>
      <c r="LDF42" s="44"/>
      <c r="LDH42" s="42"/>
      <c r="LDI42" s="43"/>
      <c r="LDJ42" s="44"/>
      <c r="LDL42" s="42"/>
      <c r="LDM42" s="43"/>
      <c r="LDN42" s="44"/>
      <c r="LDP42" s="42"/>
      <c r="LDQ42" s="43"/>
      <c r="LDR42" s="44"/>
      <c r="LDT42" s="42"/>
      <c r="LDU42" s="43"/>
      <c r="LDV42" s="44"/>
      <c r="LDX42" s="42"/>
      <c r="LDY42" s="43"/>
      <c r="LDZ42" s="44"/>
      <c r="LEB42" s="42"/>
      <c r="LEC42" s="43"/>
      <c r="LED42" s="44"/>
      <c r="LEF42" s="42"/>
      <c r="LEG42" s="43"/>
      <c r="LEH42" s="44"/>
      <c r="LEJ42" s="42"/>
      <c r="LEK42" s="43"/>
      <c r="LEL42" s="44"/>
      <c r="LEN42" s="42"/>
      <c r="LEO42" s="43"/>
      <c r="LEP42" s="44"/>
      <c r="LER42" s="42"/>
      <c r="LES42" s="43"/>
      <c r="LET42" s="44"/>
      <c r="LEV42" s="42"/>
      <c r="LEW42" s="43"/>
      <c r="LEX42" s="44"/>
      <c r="LEZ42" s="42"/>
      <c r="LFA42" s="43"/>
      <c r="LFB42" s="44"/>
      <c r="LFD42" s="42"/>
      <c r="LFE42" s="43"/>
      <c r="LFF42" s="44"/>
      <c r="LFH42" s="42"/>
      <c r="LFI42" s="43"/>
      <c r="LFJ42" s="44"/>
      <c r="LFL42" s="42"/>
      <c r="LFM42" s="43"/>
      <c r="LFN42" s="44"/>
      <c r="LFP42" s="42"/>
      <c r="LFQ42" s="43"/>
      <c r="LFR42" s="44"/>
      <c r="LFT42" s="42"/>
      <c r="LFU42" s="43"/>
      <c r="LFV42" s="44"/>
      <c r="LFX42" s="42"/>
      <c r="LFY42" s="43"/>
      <c r="LFZ42" s="44"/>
      <c r="LGB42" s="42"/>
      <c r="LGC42" s="43"/>
      <c r="LGD42" s="44"/>
      <c r="LGF42" s="42"/>
      <c r="LGG42" s="43"/>
      <c r="LGH42" s="44"/>
      <c r="LGJ42" s="42"/>
      <c r="LGK42" s="43"/>
      <c r="LGL42" s="44"/>
      <c r="LGN42" s="42"/>
      <c r="LGO42" s="43"/>
      <c r="LGP42" s="44"/>
      <c r="LGR42" s="42"/>
      <c r="LGS42" s="43"/>
      <c r="LGT42" s="44"/>
      <c r="LGV42" s="42"/>
      <c r="LGW42" s="43"/>
      <c r="LGX42" s="44"/>
      <c r="LGZ42" s="42"/>
      <c r="LHA42" s="43"/>
      <c r="LHB42" s="44"/>
      <c r="LHD42" s="42"/>
      <c r="LHE42" s="43"/>
      <c r="LHF42" s="44"/>
      <c r="LHH42" s="42"/>
      <c r="LHI42" s="43"/>
      <c r="LHJ42" s="44"/>
      <c r="LHL42" s="42"/>
      <c r="LHM42" s="43"/>
      <c r="LHN42" s="44"/>
      <c r="LHP42" s="42"/>
      <c r="LHQ42" s="43"/>
      <c r="LHR42" s="44"/>
      <c r="LHT42" s="42"/>
      <c r="LHU42" s="43"/>
      <c r="LHV42" s="44"/>
      <c r="LHX42" s="42"/>
      <c r="LHY42" s="43"/>
      <c r="LHZ42" s="44"/>
      <c r="LIB42" s="42"/>
      <c r="LIC42" s="43"/>
      <c r="LID42" s="44"/>
      <c r="LIF42" s="42"/>
      <c r="LIG42" s="43"/>
      <c r="LIH42" s="44"/>
      <c r="LIJ42" s="42"/>
      <c r="LIK42" s="43"/>
      <c r="LIL42" s="44"/>
      <c r="LIN42" s="42"/>
      <c r="LIO42" s="43"/>
      <c r="LIP42" s="44"/>
      <c r="LIR42" s="42"/>
      <c r="LIS42" s="43"/>
      <c r="LIT42" s="44"/>
      <c r="LIV42" s="42"/>
      <c r="LIW42" s="43"/>
      <c r="LIX42" s="44"/>
      <c r="LIZ42" s="42"/>
      <c r="LJA42" s="43"/>
      <c r="LJB42" s="44"/>
      <c r="LJD42" s="42"/>
      <c r="LJE42" s="43"/>
      <c r="LJF42" s="44"/>
      <c r="LJH42" s="42"/>
      <c r="LJI42" s="43"/>
      <c r="LJJ42" s="44"/>
      <c r="LJL42" s="42"/>
      <c r="LJM42" s="43"/>
      <c r="LJN42" s="44"/>
      <c r="LJP42" s="42"/>
      <c r="LJQ42" s="43"/>
      <c r="LJR42" s="44"/>
      <c r="LJT42" s="42"/>
      <c r="LJU42" s="43"/>
      <c r="LJV42" s="44"/>
      <c r="LJX42" s="42"/>
      <c r="LJY42" s="43"/>
      <c r="LJZ42" s="44"/>
      <c r="LKB42" s="42"/>
      <c r="LKC42" s="43"/>
      <c r="LKD42" s="44"/>
      <c r="LKF42" s="42"/>
      <c r="LKG42" s="43"/>
      <c r="LKH42" s="44"/>
      <c r="LKJ42" s="42"/>
      <c r="LKK42" s="43"/>
      <c r="LKL42" s="44"/>
      <c r="LKN42" s="42"/>
      <c r="LKO42" s="43"/>
      <c r="LKP42" s="44"/>
      <c r="LKR42" s="42"/>
      <c r="LKS42" s="43"/>
      <c r="LKT42" s="44"/>
      <c r="LKV42" s="42"/>
      <c r="LKW42" s="43"/>
      <c r="LKX42" s="44"/>
      <c r="LKZ42" s="42"/>
      <c r="LLA42" s="43"/>
      <c r="LLB42" s="44"/>
      <c r="LLD42" s="42"/>
      <c r="LLE42" s="43"/>
      <c r="LLF42" s="44"/>
      <c r="LLH42" s="42"/>
      <c r="LLI42" s="43"/>
      <c r="LLJ42" s="44"/>
      <c r="LLL42" s="42"/>
      <c r="LLM42" s="43"/>
      <c r="LLN42" s="44"/>
      <c r="LLP42" s="42"/>
      <c r="LLQ42" s="43"/>
      <c r="LLR42" s="44"/>
      <c r="LLT42" s="42"/>
      <c r="LLU42" s="43"/>
      <c r="LLV42" s="44"/>
      <c r="LLX42" s="42"/>
      <c r="LLY42" s="43"/>
      <c r="LLZ42" s="44"/>
      <c r="LMB42" s="42"/>
      <c r="LMC42" s="43"/>
      <c r="LMD42" s="44"/>
      <c r="LMF42" s="42"/>
      <c r="LMG42" s="43"/>
      <c r="LMH42" s="44"/>
      <c r="LMJ42" s="42"/>
      <c r="LMK42" s="43"/>
      <c r="LML42" s="44"/>
      <c r="LMN42" s="42"/>
      <c r="LMO42" s="43"/>
      <c r="LMP42" s="44"/>
      <c r="LMR42" s="42"/>
      <c r="LMS42" s="43"/>
      <c r="LMT42" s="44"/>
      <c r="LMV42" s="42"/>
      <c r="LMW42" s="43"/>
      <c r="LMX42" s="44"/>
      <c r="LMZ42" s="42"/>
      <c r="LNA42" s="43"/>
      <c r="LNB42" s="44"/>
      <c r="LND42" s="42"/>
      <c r="LNE42" s="43"/>
      <c r="LNF42" s="44"/>
      <c r="LNH42" s="42"/>
      <c r="LNI42" s="43"/>
      <c r="LNJ42" s="44"/>
      <c r="LNL42" s="42"/>
      <c r="LNM42" s="43"/>
      <c r="LNN42" s="44"/>
      <c r="LNP42" s="42"/>
      <c r="LNQ42" s="43"/>
      <c r="LNR42" s="44"/>
      <c r="LNT42" s="42"/>
      <c r="LNU42" s="43"/>
      <c r="LNV42" s="44"/>
      <c r="LNX42" s="42"/>
      <c r="LNY42" s="43"/>
      <c r="LNZ42" s="44"/>
      <c r="LOB42" s="42"/>
      <c r="LOC42" s="43"/>
      <c r="LOD42" s="44"/>
      <c r="LOF42" s="42"/>
      <c r="LOG42" s="43"/>
      <c r="LOH42" s="44"/>
      <c r="LOJ42" s="42"/>
      <c r="LOK42" s="43"/>
      <c r="LOL42" s="44"/>
      <c r="LON42" s="42"/>
      <c r="LOO42" s="43"/>
      <c r="LOP42" s="44"/>
      <c r="LOR42" s="42"/>
      <c r="LOS42" s="43"/>
      <c r="LOT42" s="44"/>
      <c r="LOV42" s="42"/>
      <c r="LOW42" s="43"/>
      <c r="LOX42" s="44"/>
      <c r="LOZ42" s="42"/>
      <c r="LPA42" s="43"/>
      <c r="LPB42" s="44"/>
      <c r="LPD42" s="42"/>
      <c r="LPE42" s="43"/>
      <c r="LPF42" s="44"/>
      <c r="LPH42" s="42"/>
      <c r="LPI42" s="43"/>
      <c r="LPJ42" s="44"/>
      <c r="LPL42" s="42"/>
      <c r="LPM42" s="43"/>
      <c r="LPN42" s="44"/>
      <c r="LPP42" s="42"/>
      <c r="LPQ42" s="43"/>
      <c r="LPR42" s="44"/>
      <c r="LPT42" s="42"/>
      <c r="LPU42" s="43"/>
      <c r="LPV42" s="44"/>
      <c r="LPX42" s="42"/>
      <c r="LPY42" s="43"/>
      <c r="LPZ42" s="44"/>
      <c r="LQB42" s="42"/>
      <c r="LQC42" s="43"/>
      <c r="LQD42" s="44"/>
      <c r="LQF42" s="42"/>
      <c r="LQG42" s="43"/>
      <c r="LQH42" s="44"/>
      <c r="LQJ42" s="42"/>
      <c r="LQK42" s="43"/>
      <c r="LQL42" s="44"/>
      <c r="LQN42" s="42"/>
      <c r="LQO42" s="43"/>
      <c r="LQP42" s="44"/>
      <c r="LQR42" s="42"/>
      <c r="LQS42" s="43"/>
      <c r="LQT42" s="44"/>
      <c r="LQV42" s="42"/>
      <c r="LQW42" s="43"/>
      <c r="LQX42" s="44"/>
      <c r="LQZ42" s="42"/>
      <c r="LRA42" s="43"/>
      <c r="LRB42" s="44"/>
      <c r="LRD42" s="42"/>
      <c r="LRE42" s="43"/>
      <c r="LRF42" s="44"/>
      <c r="LRH42" s="42"/>
      <c r="LRI42" s="43"/>
      <c r="LRJ42" s="44"/>
      <c r="LRL42" s="42"/>
      <c r="LRM42" s="43"/>
      <c r="LRN42" s="44"/>
      <c r="LRP42" s="42"/>
      <c r="LRQ42" s="43"/>
      <c r="LRR42" s="44"/>
      <c r="LRT42" s="42"/>
      <c r="LRU42" s="43"/>
      <c r="LRV42" s="44"/>
      <c r="LRX42" s="42"/>
      <c r="LRY42" s="43"/>
      <c r="LRZ42" s="44"/>
      <c r="LSB42" s="42"/>
      <c r="LSC42" s="43"/>
      <c r="LSD42" s="44"/>
      <c r="LSF42" s="42"/>
      <c r="LSG42" s="43"/>
      <c r="LSH42" s="44"/>
      <c r="LSJ42" s="42"/>
      <c r="LSK42" s="43"/>
      <c r="LSL42" s="44"/>
      <c r="LSN42" s="42"/>
      <c r="LSO42" s="43"/>
      <c r="LSP42" s="44"/>
      <c r="LSR42" s="42"/>
      <c r="LSS42" s="43"/>
      <c r="LST42" s="44"/>
      <c r="LSV42" s="42"/>
      <c r="LSW42" s="43"/>
      <c r="LSX42" s="44"/>
      <c r="LSZ42" s="42"/>
      <c r="LTA42" s="43"/>
      <c r="LTB42" s="44"/>
      <c r="LTD42" s="42"/>
      <c r="LTE42" s="43"/>
      <c r="LTF42" s="44"/>
      <c r="LTH42" s="42"/>
      <c r="LTI42" s="43"/>
      <c r="LTJ42" s="44"/>
      <c r="LTL42" s="42"/>
      <c r="LTM42" s="43"/>
      <c r="LTN42" s="44"/>
      <c r="LTP42" s="42"/>
      <c r="LTQ42" s="43"/>
      <c r="LTR42" s="44"/>
      <c r="LTT42" s="42"/>
      <c r="LTU42" s="43"/>
      <c r="LTV42" s="44"/>
      <c r="LTX42" s="42"/>
      <c r="LTY42" s="43"/>
      <c r="LTZ42" s="44"/>
      <c r="LUB42" s="42"/>
      <c r="LUC42" s="43"/>
      <c r="LUD42" s="44"/>
      <c r="LUF42" s="42"/>
      <c r="LUG42" s="43"/>
      <c r="LUH42" s="44"/>
      <c r="LUJ42" s="42"/>
      <c r="LUK42" s="43"/>
      <c r="LUL42" s="44"/>
      <c r="LUN42" s="42"/>
      <c r="LUO42" s="43"/>
      <c r="LUP42" s="44"/>
      <c r="LUR42" s="42"/>
      <c r="LUS42" s="43"/>
      <c r="LUT42" s="44"/>
      <c r="LUV42" s="42"/>
      <c r="LUW42" s="43"/>
      <c r="LUX42" s="44"/>
      <c r="LUZ42" s="42"/>
      <c r="LVA42" s="43"/>
      <c r="LVB42" s="44"/>
      <c r="LVD42" s="42"/>
      <c r="LVE42" s="43"/>
      <c r="LVF42" s="44"/>
      <c r="LVH42" s="42"/>
      <c r="LVI42" s="43"/>
      <c r="LVJ42" s="44"/>
      <c r="LVL42" s="42"/>
      <c r="LVM42" s="43"/>
      <c r="LVN42" s="44"/>
      <c r="LVP42" s="42"/>
      <c r="LVQ42" s="43"/>
      <c r="LVR42" s="44"/>
      <c r="LVT42" s="42"/>
      <c r="LVU42" s="43"/>
      <c r="LVV42" s="44"/>
      <c r="LVX42" s="42"/>
      <c r="LVY42" s="43"/>
      <c r="LVZ42" s="44"/>
      <c r="LWB42" s="42"/>
      <c r="LWC42" s="43"/>
      <c r="LWD42" s="44"/>
      <c r="LWF42" s="42"/>
      <c r="LWG42" s="43"/>
      <c r="LWH42" s="44"/>
      <c r="LWJ42" s="42"/>
      <c r="LWK42" s="43"/>
      <c r="LWL42" s="44"/>
      <c r="LWN42" s="42"/>
      <c r="LWO42" s="43"/>
      <c r="LWP42" s="44"/>
      <c r="LWR42" s="42"/>
      <c r="LWS42" s="43"/>
      <c r="LWT42" s="44"/>
      <c r="LWV42" s="42"/>
      <c r="LWW42" s="43"/>
      <c r="LWX42" s="44"/>
      <c r="LWZ42" s="42"/>
      <c r="LXA42" s="43"/>
      <c r="LXB42" s="44"/>
      <c r="LXD42" s="42"/>
      <c r="LXE42" s="43"/>
      <c r="LXF42" s="44"/>
      <c r="LXH42" s="42"/>
      <c r="LXI42" s="43"/>
      <c r="LXJ42" s="44"/>
      <c r="LXL42" s="42"/>
      <c r="LXM42" s="43"/>
      <c r="LXN42" s="44"/>
      <c r="LXP42" s="42"/>
      <c r="LXQ42" s="43"/>
      <c r="LXR42" s="44"/>
      <c r="LXT42" s="42"/>
      <c r="LXU42" s="43"/>
      <c r="LXV42" s="44"/>
      <c r="LXX42" s="42"/>
      <c r="LXY42" s="43"/>
      <c r="LXZ42" s="44"/>
      <c r="LYB42" s="42"/>
      <c r="LYC42" s="43"/>
      <c r="LYD42" s="44"/>
      <c r="LYF42" s="42"/>
      <c r="LYG42" s="43"/>
      <c r="LYH42" s="44"/>
      <c r="LYJ42" s="42"/>
      <c r="LYK42" s="43"/>
      <c r="LYL42" s="44"/>
      <c r="LYN42" s="42"/>
      <c r="LYO42" s="43"/>
      <c r="LYP42" s="44"/>
      <c r="LYR42" s="42"/>
      <c r="LYS42" s="43"/>
      <c r="LYT42" s="44"/>
      <c r="LYV42" s="42"/>
      <c r="LYW42" s="43"/>
      <c r="LYX42" s="44"/>
      <c r="LYZ42" s="42"/>
      <c r="LZA42" s="43"/>
      <c r="LZB42" s="44"/>
      <c r="LZD42" s="42"/>
      <c r="LZE42" s="43"/>
      <c r="LZF42" s="44"/>
      <c r="LZH42" s="42"/>
      <c r="LZI42" s="43"/>
      <c r="LZJ42" s="44"/>
      <c r="LZL42" s="42"/>
      <c r="LZM42" s="43"/>
      <c r="LZN42" s="44"/>
      <c r="LZP42" s="42"/>
      <c r="LZQ42" s="43"/>
      <c r="LZR42" s="44"/>
      <c r="LZT42" s="42"/>
      <c r="LZU42" s="43"/>
      <c r="LZV42" s="44"/>
      <c r="LZX42" s="42"/>
      <c r="LZY42" s="43"/>
      <c r="LZZ42" s="44"/>
      <c r="MAB42" s="42"/>
      <c r="MAC42" s="43"/>
      <c r="MAD42" s="44"/>
      <c r="MAF42" s="42"/>
      <c r="MAG42" s="43"/>
      <c r="MAH42" s="44"/>
      <c r="MAJ42" s="42"/>
      <c r="MAK42" s="43"/>
      <c r="MAL42" s="44"/>
      <c r="MAN42" s="42"/>
      <c r="MAO42" s="43"/>
      <c r="MAP42" s="44"/>
      <c r="MAR42" s="42"/>
      <c r="MAS42" s="43"/>
      <c r="MAT42" s="44"/>
      <c r="MAV42" s="42"/>
      <c r="MAW42" s="43"/>
      <c r="MAX42" s="44"/>
      <c r="MAZ42" s="42"/>
      <c r="MBA42" s="43"/>
      <c r="MBB42" s="44"/>
      <c r="MBD42" s="42"/>
      <c r="MBE42" s="43"/>
      <c r="MBF42" s="44"/>
      <c r="MBH42" s="42"/>
      <c r="MBI42" s="43"/>
      <c r="MBJ42" s="44"/>
      <c r="MBL42" s="42"/>
      <c r="MBM42" s="43"/>
      <c r="MBN42" s="44"/>
      <c r="MBP42" s="42"/>
      <c r="MBQ42" s="43"/>
      <c r="MBR42" s="44"/>
      <c r="MBT42" s="42"/>
      <c r="MBU42" s="43"/>
      <c r="MBV42" s="44"/>
      <c r="MBX42" s="42"/>
      <c r="MBY42" s="43"/>
      <c r="MBZ42" s="44"/>
      <c r="MCB42" s="42"/>
      <c r="MCC42" s="43"/>
      <c r="MCD42" s="44"/>
      <c r="MCF42" s="42"/>
      <c r="MCG42" s="43"/>
      <c r="MCH42" s="44"/>
      <c r="MCJ42" s="42"/>
      <c r="MCK42" s="43"/>
      <c r="MCL42" s="44"/>
      <c r="MCN42" s="42"/>
      <c r="MCO42" s="43"/>
      <c r="MCP42" s="44"/>
      <c r="MCR42" s="42"/>
      <c r="MCS42" s="43"/>
      <c r="MCT42" s="44"/>
      <c r="MCV42" s="42"/>
      <c r="MCW42" s="43"/>
      <c r="MCX42" s="44"/>
      <c r="MCZ42" s="42"/>
      <c r="MDA42" s="43"/>
      <c r="MDB42" s="44"/>
      <c r="MDD42" s="42"/>
      <c r="MDE42" s="43"/>
      <c r="MDF42" s="44"/>
      <c r="MDH42" s="42"/>
      <c r="MDI42" s="43"/>
      <c r="MDJ42" s="44"/>
      <c r="MDL42" s="42"/>
      <c r="MDM42" s="43"/>
      <c r="MDN42" s="44"/>
      <c r="MDP42" s="42"/>
      <c r="MDQ42" s="43"/>
      <c r="MDR42" s="44"/>
      <c r="MDT42" s="42"/>
      <c r="MDU42" s="43"/>
      <c r="MDV42" s="44"/>
      <c r="MDX42" s="42"/>
      <c r="MDY42" s="43"/>
      <c r="MDZ42" s="44"/>
      <c r="MEB42" s="42"/>
      <c r="MEC42" s="43"/>
      <c r="MED42" s="44"/>
      <c r="MEF42" s="42"/>
      <c r="MEG42" s="43"/>
      <c r="MEH42" s="44"/>
      <c r="MEJ42" s="42"/>
      <c r="MEK42" s="43"/>
      <c r="MEL42" s="44"/>
      <c r="MEN42" s="42"/>
      <c r="MEO42" s="43"/>
      <c r="MEP42" s="44"/>
      <c r="MER42" s="42"/>
      <c r="MES42" s="43"/>
      <c r="MET42" s="44"/>
      <c r="MEV42" s="42"/>
      <c r="MEW42" s="43"/>
      <c r="MEX42" s="44"/>
      <c r="MEZ42" s="42"/>
      <c r="MFA42" s="43"/>
      <c r="MFB42" s="44"/>
      <c r="MFD42" s="42"/>
      <c r="MFE42" s="43"/>
      <c r="MFF42" s="44"/>
      <c r="MFH42" s="42"/>
      <c r="MFI42" s="43"/>
      <c r="MFJ42" s="44"/>
      <c r="MFL42" s="42"/>
      <c r="MFM42" s="43"/>
      <c r="MFN42" s="44"/>
      <c r="MFP42" s="42"/>
      <c r="MFQ42" s="43"/>
      <c r="MFR42" s="44"/>
      <c r="MFT42" s="42"/>
      <c r="MFU42" s="43"/>
      <c r="MFV42" s="44"/>
      <c r="MFX42" s="42"/>
      <c r="MFY42" s="43"/>
      <c r="MFZ42" s="44"/>
      <c r="MGB42" s="42"/>
      <c r="MGC42" s="43"/>
      <c r="MGD42" s="44"/>
      <c r="MGF42" s="42"/>
      <c r="MGG42" s="43"/>
      <c r="MGH42" s="44"/>
      <c r="MGJ42" s="42"/>
      <c r="MGK42" s="43"/>
      <c r="MGL42" s="44"/>
      <c r="MGN42" s="42"/>
      <c r="MGO42" s="43"/>
      <c r="MGP42" s="44"/>
      <c r="MGR42" s="42"/>
      <c r="MGS42" s="43"/>
      <c r="MGT42" s="44"/>
      <c r="MGV42" s="42"/>
      <c r="MGW42" s="43"/>
      <c r="MGX42" s="44"/>
      <c r="MGZ42" s="42"/>
      <c r="MHA42" s="43"/>
      <c r="MHB42" s="44"/>
      <c r="MHD42" s="42"/>
      <c r="MHE42" s="43"/>
      <c r="MHF42" s="44"/>
      <c r="MHH42" s="42"/>
      <c r="MHI42" s="43"/>
      <c r="MHJ42" s="44"/>
      <c r="MHL42" s="42"/>
      <c r="MHM42" s="43"/>
      <c r="MHN42" s="44"/>
      <c r="MHP42" s="42"/>
      <c r="MHQ42" s="43"/>
      <c r="MHR42" s="44"/>
      <c r="MHT42" s="42"/>
      <c r="MHU42" s="43"/>
      <c r="MHV42" s="44"/>
      <c r="MHX42" s="42"/>
      <c r="MHY42" s="43"/>
      <c r="MHZ42" s="44"/>
      <c r="MIB42" s="42"/>
      <c r="MIC42" s="43"/>
      <c r="MID42" s="44"/>
      <c r="MIF42" s="42"/>
      <c r="MIG42" s="43"/>
      <c r="MIH42" s="44"/>
      <c r="MIJ42" s="42"/>
      <c r="MIK42" s="43"/>
      <c r="MIL42" s="44"/>
      <c r="MIN42" s="42"/>
      <c r="MIO42" s="43"/>
      <c r="MIP42" s="44"/>
      <c r="MIR42" s="42"/>
      <c r="MIS42" s="43"/>
      <c r="MIT42" s="44"/>
      <c r="MIV42" s="42"/>
      <c r="MIW42" s="43"/>
      <c r="MIX42" s="44"/>
      <c r="MIZ42" s="42"/>
      <c r="MJA42" s="43"/>
      <c r="MJB42" s="44"/>
      <c r="MJD42" s="42"/>
      <c r="MJE42" s="43"/>
      <c r="MJF42" s="44"/>
      <c r="MJH42" s="42"/>
      <c r="MJI42" s="43"/>
      <c r="MJJ42" s="44"/>
      <c r="MJL42" s="42"/>
      <c r="MJM42" s="43"/>
      <c r="MJN42" s="44"/>
      <c r="MJP42" s="42"/>
      <c r="MJQ42" s="43"/>
      <c r="MJR42" s="44"/>
      <c r="MJT42" s="42"/>
      <c r="MJU42" s="43"/>
      <c r="MJV42" s="44"/>
      <c r="MJX42" s="42"/>
      <c r="MJY42" s="43"/>
      <c r="MJZ42" s="44"/>
      <c r="MKB42" s="42"/>
      <c r="MKC42" s="43"/>
      <c r="MKD42" s="44"/>
      <c r="MKF42" s="42"/>
      <c r="MKG42" s="43"/>
      <c r="MKH42" s="44"/>
      <c r="MKJ42" s="42"/>
      <c r="MKK42" s="43"/>
      <c r="MKL42" s="44"/>
      <c r="MKN42" s="42"/>
      <c r="MKO42" s="43"/>
      <c r="MKP42" s="44"/>
      <c r="MKR42" s="42"/>
      <c r="MKS42" s="43"/>
      <c r="MKT42" s="44"/>
      <c r="MKV42" s="42"/>
      <c r="MKW42" s="43"/>
      <c r="MKX42" s="44"/>
      <c r="MKZ42" s="42"/>
      <c r="MLA42" s="43"/>
      <c r="MLB42" s="44"/>
      <c r="MLD42" s="42"/>
      <c r="MLE42" s="43"/>
      <c r="MLF42" s="44"/>
      <c r="MLH42" s="42"/>
      <c r="MLI42" s="43"/>
      <c r="MLJ42" s="44"/>
      <c r="MLL42" s="42"/>
      <c r="MLM42" s="43"/>
      <c r="MLN42" s="44"/>
      <c r="MLP42" s="42"/>
      <c r="MLQ42" s="43"/>
      <c r="MLR42" s="44"/>
      <c r="MLT42" s="42"/>
      <c r="MLU42" s="43"/>
      <c r="MLV42" s="44"/>
      <c r="MLX42" s="42"/>
      <c r="MLY42" s="43"/>
      <c r="MLZ42" s="44"/>
      <c r="MMB42" s="42"/>
      <c r="MMC42" s="43"/>
      <c r="MMD42" s="44"/>
      <c r="MMF42" s="42"/>
      <c r="MMG42" s="43"/>
      <c r="MMH42" s="44"/>
      <c r="MMJ42" s="42"/>
      <c r="MMK42" s="43"/>
      <c r="MML42" s="44"/>
      <c r="MMN42" s="42"/>
      <c r="MMO42" s="43"/>
      <c r="MMP42" s="44"/>
      <c r="MMR42" s="42"/>
      <c r="MMS42" s="43"/>
      <c r="MMT42" s="44"/>
      <c r="MMV42" s="42"/>
      <c r="MMW42" s="43"/>
      <c r="MMX42" s="44"/>
      <c r="MMZ42" s="42"/>
      <c r="MNA42" s="43"/>
      <c r="MNB42" s="44"/>
      <c r="MND42" s="42"/>
      <c r="MNE42" s="43"/>
      <c r="MNF42" s="44"/>
      <c r="MNH42" s="42"/>
      <c r="MNI42" s="43"/>
      <c r="MNJ42" s="44"/>
      <c r="MNL42" s="42"/>
      <c r="MNM42" s="43"/>
      <c r="MNN42" s="44"/>
      <c r="MNP42" s="42"/>
      <c r="MNQ42" s="43"/>
      <c r="MNR42" s="44"/>
      <c r="MNT42" s="42"/>
      <c r="MNU42" s="43"/>
      <c r="MNV42" s="44"/>
      <c r="MNX42" s="42"/>
      <c r="MNY42" s="43"/>
      <c r="MNZ42" s="44"/>
      <c r="MOB42" s="42"/>
      <c r="MOC42" s="43"/>
      <c r="MOD42" s="44"/>
      <c r="MOF42" s="42"/>
      <c r="MOG42" s="43"/>
      <c r="MOH42" s="44"/>
      <c r="MOJ42" s="42"/>
      <c r="MOK42" s="43"/>
      <c r="MOL42" s="44"/>
      <c r="MON42" s="42"/>
      <c r="MOO42" s="43"/>
      <c r="MOP42" s="44"/>
      <c r="MOR42" s="42"/>
      <c r="MOS42" s="43"/>
      <c r="MOT42" s="44"/>
      <c r="MOV42" s="42"/>
      <c r="MOW42" s="43"/>
      <c r="MOX42" s="44"/>
      <c r="MOZ42" s="42"/>
      <c r="MPA42" s="43"/>
      <c r="MPB42" s="44"/>
      <c r="MPD42" s="42"/>
      <c r="MPE42" s="43"/>
      <c r="MPF42" s="44"/>
      <c r="MPH42" s="42"/>
      <c r="MPI42" s="43"/>
      <c r="MPJ42" s="44"/>
      <c r="MPL42" s="42"/>
      <c r="MPM42" s="43"/>
      <c r="MPN42" s="44"/>
      <c r="MPP42" s="42"/>
      <c r="MPQ42" s="43"/>
      <c r="MPR42" s="44"/>
      <c r="MPT42" s="42"/>
      <c r="MPU42" s="43"/>
      <c r="MPV42" s="44"/>
      <c r="MPX42" s="42"/>
      <c r="MPY42" s="43"/>
      <c r="MPZ42" s="44"/>
      <c r="MQB42" s="42"/>
      <c r="MQC42" s="43"/>
      <c r="MQD42" s="44"/>
      <c r="MQF42" s="42"/>
      <c r="MQG42" s="43"/>
      <c r="MQH42" s="44"/>
      <c r="MQJ42" s="42"/>
      <c r="MQK42" s="43"/>
      <c r="MQL42" s="44"/>
      <c r="MQN42" s="42"/>
      <c r="MQO42" s="43"/>
      <c r="MQP42" s="44"/>
      <c r="MQR42" s="42"/>
      <c r="MQS42" s="43"/>
      <c r="MQT42" s="44"/>
      <c r="MQV42" s="42"/>
      <c r="MQW42" s="43"/>
      <c r="MQX42" s="44"/>
      <c r="MQZ42" s="42"/>
      <c r="MRA42" s="43"/>
      <c r="MRB42" s="44"/>
      <c r="MRD42" s="42"/>
      <c r="MRE42" s="43"/>
      <c r="MRF42" s="44"/>
      <c r="MRH42" s="42"/>
      <c r="MRI42" s="43"/>
      <c r="MRJ42" s="44"/>
      <c r="MRL42" s="42"/>
      <c r="MRM42" s="43"/>
      <c r="MRN42" s="44"/>
      <c r="MRP42" s="42"/>
      <c r="MRQ42" s="43"/>
      <c r="MRR42" s="44"/>
      <c r="MRT42" s="42"/>
      <c r="MRU42" s="43"/>
      <c r="MRV42" s="44"/>
      <c r="MRX42" s="42"/>
      <c r="MRY42" s="43"/>
      <c r="MRZ42" s="44"/>
      <c r="MSB42" s="42"/>
      <c r="MSC42" s="43"/>
      <c r="MSD42" s="44"/>
      <c r="MSF42" s="42"/>
      <c r="MSG42" s="43"/>
      <c r="MSH42" s="44"/>
      <c r="MSJ42" s="42"/>
      <c r="MSK42" s="43"/>
      <c r="MSL42" s="44"/>
      <c r="MSN42" s="42"/>
      <c r="MSO42" s="43"/>
      <c r="MSP42" s="44"/>
      <c r="MSR42" s="42"/>
      <c r="MSS42" s="43"/>
      <c r="MST42" s="44"/>
      <c r="MSV42" s="42"/>
      <c r="MSW42" s="43"/>
      <c r="MSX42" s="44"/>
      <c r="MSZ42" s="42"/>
      <c r="MTA42" s="43"/>
      <c r="MTB42" s="44"/>
      <c r="MTD42" s="42"/>
      <c r="MTE42" s="43"/>
      <c r="MTF42" s="44"/>
      <c r="MTH42" s="42"/>
      <c r="MTI42" s="43"/>
      <c r="MTJ42" s="44"/>
      <c r="MTL42" s="42"/>
      <c r="MTM42" s="43"/>
      <c r="MTN42" s="44"/>
      <c r="MTP42" s="42"/>
      <c r="MTQ42" s="43"/>
      <c r="MTR42" s="44"/>
      <c r="MTT42" s="42"/>
      <c r="MTU42" s="43"/>
      <c r="MTV42" s="44"/>
      <c r="MTX42" s="42"/>
      <c r="MTY42" s="43"/>
      <c r="MTZ42" s="44"/>
      <c r="MUB42" s="42"/>
      <c r="MUC42" s="43"/>
      <c r="MUD42" s="44"/>
      <c r="MUF42" s="42"/>
      <c r="MUG42" s="43"/>
      <c r="MUH42" s="44"/>
      <c r="MUJ42" s="42"/>
      <c r="MUK42" s="43"/>
      <c r="MUL42" s="44"/>
      <c r="MUN42" s="42"/>
      <c r="MUO42" s="43"/>
      <c r="MUP42" s="44"/>
      <c r="MUR42" s="42"/>
      <c r="MUS42" s="43"/>
      <c r="MUT42" s="44"/>
      <c r="MUV42" s="42"/>
      <c r="MUW42" s="43"/>
      <c r="MUX42" s="44"/>
      <c r="MUZ42" s="42"/>
      <c r="MVA42" s="43"/>
      <c r="MVB42" s="44"/>
      <c r="MVD42" s="42"/>
      <c r="MVE42" s="43"/>
      <c r="MVF42" s="44"/>
      <c r="MVH42" s="42"/>
      <c r="MVI42" s="43"/>
      <c r="MVJ42" s="44"/>
      <c r="MVL42" s="42"/>
      <c r="MVM42" s="43"/>
      <c r="MVN42" s="44"/>
      <c r="MVP42" s="42"/>
      <c r="MVQ42" s="43"/>
      <c r="MVR42" s="44"/>
      <c r="MVT42" s="42"/>
      <c r="MVU42" s="43"/>
      <c r="MVV42" s="44"/>
      <c r="MVX42" s="42"/>
      <c r="MVY42" s="43"/>
      <c r="MVZ42" s="44"/>
      <c r="MWB42" s="42"/>
      <c r="MWC42" s="43"/>
      <c r="MWD42" s="44"/>
      <c r="MWF42" s="42"/>
      <c r="MWG42" s="43"/>
      <c r="MWH42" s="44"/>
      <c r="MWJ42" s="42"/>
      <c r="MWK42" s="43"/>
      <c r="MWL42" s="44"/>
      <c r="MWN42" s="42"/>
      <c r="MWO42" s="43"/>
      <c r="MWP42" s="44"/>
      <c r="MWR42" s="42"/>
      <c r="MWS42" s="43"/>
      <c r="MWT42" s="44"/>
      <c r="MWV42" s="42"/>
      <c r="MWW42" s="43"/>
      <c r="MWX42" s="44"/>
      <c r="MWZ42" s="42"/>
      <c r="MXA42" s="43"/>
      <c r="MXB42" s="44"/>
      <c r="MXD42" s="42"/>
      <c r="MXE42" s="43"/>
      <c r="MXF42" s="44"/>
      <c r="MXH42" s="42"/>
      <c r="MXI42" s="43"/>
      <c r="MXJ42" s="44"/>
      <c r="MXL42" s="42"/>
      <c r="MXM42" s="43"/>
      <c r="MXN42" s="44"/>
      <c r="MXP42" s="42"/>
      <c r="MXQ42" s="43"/>
      <c r="MXR42" s="44"/>
      <c r="MXT42" s="42"/>
      <c r="MXU42" s="43"/>
      <c r="MXV42" s="44"/>
      <c r="MXX42" s="42"/>
      <c r="MXY42" s="43"/>
      <c r="MXZ42" s="44"/>
      <c r="MYB42" s="42"/>
      <c r="MYC42" s="43"/>
      <c r="MYD42" s="44"/>
      <c r="MYF42" s="42"/>
      <c r="MYG42" s="43"/>
      <c r="MYH42" s="44"/>
      <c r="MYJ42" s="42"/>
      <c r="MYK42" s="43"/>
      <c r="MYL42" s="44"/>
      <c r="MYN42" s="42"/>
      <c r="MYO42" s="43"/>
      <c r="MYP42" s="44"/>
      <c r="MYR42" s="42"/>
      <c r="MYS42" s="43"/>
      <c r="MYT42" s="44"/>
      <c r="MYV42" s="42"/>
      <c r="MYW42" s="43"/>
      <c r="MYX42" s="44"/>
      <c r="MYZ42" s="42"/>
      <c r="MZA42" s="43"/>
      <c r="MZB42" s="44"/>
      <c r="MZD42" s="42"/>
      <c r="MZE42" s="43"/>
      <c r="MZF42" s="44"/>
      <c r="MZH42" s="42"/>
      <c r="MZI42" s="43"/>
      <c r="MZJ42" s="44"/>
      <c r="MZL42" s="42"/>
      <c r="MZM42" s="43"/>
      <c r="MZN42" s="44"/>
      <c r="MZP42" s="42"/>
      <c r="MZQ42" s="43"/>
      <c r="MZR42" s="44"/>
      <c r="MZT42" s="42"/>
      <c r="MZU42" s="43"/>
      <c r="MZV42" s="44"/>
      <c r="MZX42" s="42"/>
      <c r="MZY42" s="43"/>
      <c r="MZZ42" s="44"/>
      <c r="NAB42" s="42"/>
      <c r="NAC42" s="43"/>
      <c r="NAD42" s="44"/>
      <c r="NAF42" s="42"/>
      <c r="NAG42" s="43"/>
      <c r="NAH42" s="44"/>
      <c r="NAJ42" s="42"/>
      <c r="NAK42" s="43"/>
      <c r="NAL42" s="44"/>
      <c r="NAN42" s="42"/>
      <c r="NAO42" s="43"/>
      <c r="NAP42" s="44"/>
      <c r="NAR42" s="42"/>
      <c r="NAS42" s="43"/>
      <c r="NAT42" s="44"/>
      <c r="NAV42" s="42"/>
      <c r="NAW42" s="43"/>
      <c r="NAX42" s="44"/>
      <c r="NAZ42" s="42"/>
      <c r="NBA42" s="43"/>
      <c r="NBB42" s="44"/>
      <c r="NBD42" s="42"/>
      <c r="NBE42" s="43"/>
      <c r="NBF42" s="44"/>
      <c r="NBH42" s="42"/>
      <c r="NBI42" s="43"/>
      <c r="NBJ42" s="44"/>
      <c r="NBL42" s="42"/>
      <c r="NBM42" s="43"/>
      <c r="NBN42" s="44"/>
      <c r="NBP42" s="42"/>
      <c r="NBQ42" s="43"/>
      <c r="NBR42" s="44"/>
      <c r="NBT42" s="42"/>
      <c r="NBU42" s="43"/>
      <c r="NBV42" s="44"/>
      <c r="NBX42" s="42"/>
      <c r="NBY42" s="43"/>
      <c r="NBZ42" s="44"/>
      <c r="NCB42" s="42"/>
      <c r="NCC42" s="43"/>
      <c r="NCD42" s="44"/>
      <c r="NCF42" s="42"/>
      <c r="NCG42" s="43"/>
      <c r="NCH42" s="44"/>
      <c r="NCJ42" s="42"/>
      <c r="NCK42" s="43"/>
      <c r="NCL42" s="44"/>
      <c r="NCN42" s="42"/>
      <c r="NCO42" s="43"/>
      <c r="NCP42" s="44"/>
      <c r="NCR42" s="42"/>
      <c r="NCS42" s="43"/>
      <c r="NCT42" s="44"/>
      <c r="NCV42" s="42"/>
      <c r="NCW42" s="43"/>
      <c r="NCX42" s="44"/>
      <c r="NCZ42" s="42"/>
      <c r="NDA42" s="43"/>
      <c r="NDB42" s="44"/>
      <c r="NDD42" s="42"/>
      <c r="NDE42" s="43"/>
      <c r="NDF42" s="44"/>
      <c r="NDH42" s="42"/>
      <c r="NDI42" s="43"/>
      <c r="NDJ42" s="44"/>
      <c r="NDL42" s="42"/>
      <c r="NDM42" s="43"/>
      <c r="NDN42" s="44"/>
      <c r="NDP42" s="42"/>
      <c r="NDQ42" s="43"/>
      <c r="NDR42" s="44"/>
      <c r="NDT42" s="42"/>
      <c r="NDU42" s="43"/>
      <c r="NDV42" s="44"/>
      <c r="NDX42" s="42"/>
      <c r="NDY42" s="43"/>
      <c r="NDZ42" s="44"/>
      <c r="NEB42" s="42"/>
      <c r="NEC42" s="43"/>
      <c r="NED42" s="44"/>
      <c r="NEF42" s="42"/>
      <c r="NEG42" s="43"/>
      <c r="NEH42" s="44"/>
      <c r="NEJ42" s="42"/>
      <c r="NEK42" s="43"/>
      <c r="NEL42" s="44"/>
      <c r="NEN42" s="42"/>
      <c r="NEO42" s="43"/>
      <c r="NEP42" s="44"/>
      <c r="NER42" s="42"/>
      <c r="NES42" s="43"/>
      <c r="NET42" s="44"/>
      <c r="NEV42" s="42"/>
      <c r="NEW42" s="43"/>
      <c r="NEX42" s="44"/>
      <c r="NEZ42" s="42"/>
      <c r="NFA42" s="43"/>
      <c r="NFB42" s="44"/>
      <c r="NFD42" s="42"/>
      <c r="NFE42" s="43"/>
      <c r="NFF42" s="44"/>
      <c r="NFH42" s="42"/>
      <c r="NFI42" s="43"/>
      <c r="NFJ42" s="44"/>
      <c r="NFL42" s="42"/>
      <c r="NFM42" s="43"/>
      <c r="NFN42" s="44"/>
      <c r="NFP42" s="42"/>
      <c r="NFQ42" s="43"/>
      <c r="NFR42" s="44"/>
      <c r="NFT42" s="42"/>
      <c r="NFU42" s="43"/>
      <c r="NFV42" s="44"/>
      <c r="NFX42" s="42"/>
      <c r="NFY42" s="43"/>
      <c r="NFZ42" s="44"/>
      <c r="NGB42" s="42"/>
      <c r="NGC42" s="43"/>
      <c r="NGD42" s="44"/>
      <c r="NGF42" s="42"/>
      <c r="NGG42" s="43"/>
      <c r="NGH42" s="44"/>
      <c r="NGJ42" s="42"/>
      <c r="NGK42" s="43"/>
      <c r="NGL42" s="44"/>
      <c r="NGN42" s="42"/>
      <c r="NGO42" s="43"/>
      <c r="NGP42" s="44"/>
      <c r="NGR42" s="42"/>
      <c r="NGS42" s="43"/>
      <c r="NGT42" s="44"/>
      <c r="NGV42" s="42"/>
      <c r="NGW42" s="43"/>
      <c r="NGX42" s="44"/>
      <c r="NGZ42" s="42"/>
      <c r="NHA42" s="43"/>
      <c r="NHB42" s="44"/>
      <c r="NHD42" s="42"/>
      <c r="NHE42" s="43"/>
      <c r="NHF42" s="44"/>
      <c r="NHH42" s="42"/>
      <c r="NHI42" s="43"/>
      <c r="NHJ42" s="44"/>
      <c r="NHL42" s="42"/>
      <c r="NHM42" s="43"/>
      <c r="NHN42" s="44"/>
      <c r="NHP42" s="42"/>
      <c r="NHQ42" s="43"/>
      <c r="NHR42" s="44"/>
      <c r="NHT42" s="42"/>
      <c r="NHU42" s="43"/>
      <c r="NHV42" s="44"/>
      <c r="NHX42" s="42"/>
      <c r="NHY42" s="43"/>
      <c r="NHZ42" s="44"/>
      <c r="NIB42" s="42"/>
      <c r="NIC42" s="43"/>
      <c r="NID42" s="44"/>
      <c r="NIF42" s="42"/>
      <c r="NIG42" s="43"/>
      <c r="NIH42" s="44"/>
      <c r="NIJ42" s="42"/>
      <c r="NIK42" s="43"/>
      <c r="NIL42" s="44"/>
      <c r="NIN42" s="42"/>
      <c r="NIO42" s="43"/>
      <c r="NIP42" s="44"/>
      <c r="NIR42" s="42"/>
      <c r="NIS42" s="43"/>
      <c r="NIT42" s="44"/>
      <c r="NIV42" s="42"/>
      <c r="NIW42" s="43"/>
      <c r="NIX42" s="44"/>
      <c r="NIZ42" s="42"/>
      <c r="NJA42" s="43"/>
      <c r="NJB42" s="44"/>
      <c r="NJD42" s="42"/>
      <c r="NJE42" s="43"/>
      <c r="NJF42" s="44"/>
      <c r="NJH42" s="42"/>
      <c r="NJI42" s="43"/>
      <c r="NJJ42" s="44"/>
      <c r="NJL42" s="42"/>
      <c r="NJM42" s="43"/>
      <c r="NJN42" s="44"/>
      <c r="NJP42" s="42"/>
      <c r="NJQ42" s="43"/>
      <c r="NJR42" s="44"/>
      <c r="NJT42" s="42"/>
      <c r="NJU42" s="43"/>
      <c r="NJV42" s="44"/>
      <c r="NJX42" s="42"/>
      <c r="NJY42" s="43"/>
      <c r="NJZ42" s="44"/>
      <c r="NKB42" s="42"/>
      <c r="NKC42" s="43"/>
      <c r="NKD42" s="44"/>
      <c r="NKF42" s="42"/>
      <c r="NKG42" s="43"/>
      <c r="NKH42" s="44"/>
      <c r="NKJ42" s="42"/>
      <c r="NKK42" s="43"/>
      <c r="NKL42" s="44"/>
      <c r="NKN42" s="42"/>
      <c r="NKO42" s="43"/>
      <c r="NKP42" s="44"/>
      <c r="NKR42" s="42"/>
      <c r="NKS42" s="43"/>
      <c r="NKT42" s="44"/>
      <c r="NKV42" s="42"/>
      <c r="NKW42" s="43"/>
      <c r="NKX42" s="44"/>
      <c r="NKZ42" s="42"/>
      <c r="NLA42" s="43"/>
      <c r="NLB42" s="44"/>
      <c r="NLD42" s="42"/>
      <c r="NLE42" s="43"/>
      <c r="NLF42" s="44"/>
      <c r="NLH42" s="42"/>
      <c r="NLI42" s="43"/>
      <c r="NLJ42" s="44"/>
      <c r="NLL42" s="42"/>
      <c r="NLM42" s="43"/>
      <c r="NLN42" s="44"/>
      <c r="NLP42" s="42"/>
      <c r="NLQ42" s="43"/>
      <c r="NLR42" s="44"/>
      <c r="NLT42" s="42"/>
      <c r="NLU42" s="43"/>
      <c r="NLV42" s="44"/>
      <c r="NLX42" s="42"/>
      <c r="NLY42" s="43"/>
      <c r="NLZ42" s="44"/>
      <c r="NMB42" s="42"/>
      <c r="NMC42" s="43"/>
      <c r="NMD42" s="44"/>
      <c r="NMF42" s="42"/>
      <c r="NMG42" s="43"/>
      <c r="NMH42" s="44"/>
      <c r="NMJ42" s="42"/>
      <c r="NMK42" s="43"/>
      <c r="NML42" s="44"/>
      <c r="NMN42" s="42"/>
      <c r="NMO42" s="43"/>
      <c r="NMP42" s="44"/>
      <c r="NMR42" s="42"/>
      <c r="NMS42" s="43"/>
      <c r="NMT42" s="44"/>
      <c r="NMV42" s="42"/>
      <c r="NMW42" s="43"/>
      <c r="NMX42" s="44"/>
      <c r="NMZ42" s="42"/>
      <c r="NNA42" s="43"/>
      <c r="NNB42" s="44"/>
      <c r="NND42" s="42"/>
      <c r="NNE42" s="43"/>
      <c r="NNF42" s="44"/>
      <c r="NNH42" s="42"/>
      <c r="NNI42" s="43"/>
      <c r="NNJ42" s="44"/>
      <c r="NNL42" s="42"/>
      <c r="NNM42" s="43"/>
      <c r="NNN42" s="44"/>
      <c r="NNP42" s="42"/>
      <c r="NNQ42" s="43"/>
      <c r="NNR42" s="44"/>
      <c r="NNT42" s="42"/>
      <c r="NNU42" s="43"/>
      <c r="NNV42" s="44"/>
      <c r="NNX42" s="42"/>
      <c r="NNY42" s="43"/>
      <c r="NNZ42" s="44"/>
      <c r="NOB42" s="42"/>
      <c r="NOC42" s="43"/>
      <c r="NOD42" s="44"/>
      <c r="NOF42" s="42"/>
      <c r="NOG42" s="43"/>
      <c r="NOH42" s="44"/>
      <c r="NOJ42" s="42"/>
      <c r="NOK42" s="43"/>
      <c r="NOL42" s="44"/>
      <c r="NON42" s="42"/>
      <c r="NOO42" s="43"/>
      <c r="NOP42" s="44"/>
      <c r="NOR42" s="42"/>
      <c r="NOS42" s="43"/>
      <c r="NOT42" s="44"/>
      <c r="NOV42" s="42"/>
      <c r="NOW42" s="43"/>
      <c r="NOX42" s="44"/>
      <c r="NOZ42" s="42"/>
      <c r="NPA42" s="43"/>
      <c r="NPB42" s="44"/>
      <c r="NPD42" s="42"/>
      <c r="NPE42" s="43"/>
      <c r="NPF42" s="44"/>
      <c r="NPH42" s="42"/>
      <c r="NPI42" s="43"/>
      <c r="NPJ42" s="44"/>
      <c r="NPL42" s="42"/>
      <c r="NPM42" s="43"/>
      <c r="NPN42" s="44"/>
      <c r="NPP42" s="42"/>
      <c r="NPQ42" s="43"/>
      <c r="NPR42" s="44"/>
      <c r="NPT42" s="42"/>
      <c r="NPU42" s="43"/>
      <c r="NPV42" s="44"/>
      <c r="NPX42" s="42"/>
      <c r="NPY42" s="43"/>
      <c r="NPZ42" s="44"/>
      <c r="NQB42" s="42"/>
      <c r="NQC42" s="43"/>
      <c r="NQD42" s="44"/>
      <c r="NQF42" s="42"/>
      <c r="NQG42" s="43"/>
      <c r="NQH42" s="44"/>
      <c r="NQJ42" s="42"/>
      <c r="NQK42" s="43"/>
      <c r="NQL42" s="44"/>
      <c r="NQN42" s="42"/>
      <c r="NQO42" s="43"/>
      <c r="NQP42" s="44"/>
      <c r="NQR42" s="42"/>
      <c r="NQS42" s="43"/>
      <c r="NQT42" s="44"/>
      <c r="NQV42" s="42"/>
      <c r="NQW42" s="43"/>
      <c r="NQX42" s="44"/>
      <c r="NQZ42" s="42"/>
      <c r="NRA42" s="43"/>
      <c r="NRB42" s="44"/>
      <c r="NRD42" s="42"/>
      <c r="NRE42" s="43"/>
      <c r="NRF42" s="44"/>
      <c r="NRH42" s="42"/>
      <c r="NRI42" s="43"/>
      <c r="NRJ42" s="44"/>
      <c r="NRL42" s="42"/>
      <c r="NRM42" s="43"/>
      <c r="NRN42" s="44"/>
      <c r="NRP42" s="42"/>
      <c r="NRQ42" s="43"/>
      <c r="NRR42" s="44"/>
      <c r="NRT42" s="42"/>
      <c r="NRU42" s="43"/>
      <c r="NRV42" s="44"/>
      <c r="NRX42" s="42"/>
      <c r="NRY42" s="43"/>
      <c r="NRZ42" s="44"/>
      <c r="NSB42" s="42"/>
      <c r="NSC42" s="43"/>
      <c r="NSD42" s="44"/>
      <c r="NSF42" s="42"/>
      <c r="NSG42" s="43"/>
      <c r="NSH42" s="44"/>
      <c r="NSJ42" s="42"/>
      <c r="NSK42" s="43"/>
      <c r="NSL42" s="44"/>
      <c r="NSN42" s="42"/>
      <c r="NSO42" s="43"/>
      <c r="NSP42" s="44"/>
      <c r="NSR42" s="42"/>
      <c r="NSS42" s="43"/>
      <c r="NST42" s="44"/>
      <c r="NSV42" s="42"/>
      <c r="NSW42" s="43"/>
      <c r="NSX42" s="44"/>
      <c r="NSZ42" s="42"/>
      <c r="NTA42" s="43"/>
      <c r="NTB42" s="44"/>
      <c r="NTD42" s="42"/>
      <c r="NTE42" s="43"/>
      <c r="NTF42" s="44"/>
      <c r="NTH42" s="42"/>
      <c r="NTI42" s="43"/>
      <c r="NTJ42" s="44"/>
      <c r="NTL42" s="42"/>
      <c r="NTM42" s="43"/>
      <c r="NTN42" s="44"/>
      <c r="NTP42" s="42"/>
      <c r="NTQ42" s="43"/>
      <c r="NTR42" s="44"/>
      <c r="NTT42" s="42"/>
      <c r="NTU42" s="43"/>
      <c r="NTV42" s="44"/>
      <c r="NTX42" s="42"/>
      <c r="NTY42" s="43"/>
      <c r="NTZ42" s="44"/>
      <c r="NUB42" s="42"/>
      <c r="NUC42" s="43"/>
      <c r="NUD42" s="44"/>
      <c r="NUF42" s="42"/>
      <c r="NUG42" s="43"/>
      <c r="NUH42" s="44"/>
      <c r="NUJ42" s="42"/>
      <c r="NUK42" s="43"/>
      <c r="NUL42" s="44"/>
      <c r="NUN42" s="42"/>
      <c r="NUO42" s="43"/>
      <c r="NUP42" s="44"/>
      <c r="NUR42" s="42"/>
      <c r="NUS42" s="43"/>
      <c r="NUT42" s="44"/>
      <c r="NUV42" s="42"/>
      <c r="NUW42" s="43"/>
      <c r="NUX42" s="44"/>
      <c r="NUZ42" s="42"/>
      <c r="NVA42" s="43"/>
      <c r="NVB42" s="44"/>
      <c r="NVD42" s="42"/>
      <c r="NVE42" s="43"/>
      <c r="NVF42" s="44"/>
      <c r="NVH42" s="42"/>
      <c r="NVI42" s="43"/>
      <c r="NVJ42" s="44"/>
      <c r="NVL42" s="42"/>
      <c r="NVM42" s="43"/>
      <c r="NVN42" s="44"/>
      <c r="NVP42" s="42"/>
      <c r="NVQ42" s="43"/>
      <c r="NVR42" s="44"/>
      <c r="NVT42" s="42"/>
      <c r="NVU42" s="43"/>
      <c r="NVV42" s="44"/>
      <c r="NVX42" s="42"/>
      <c r="NVY42" s="43"/>
      <c r="NVZ42" s="44"/>
      <c r="NWB42" s="42"/>
      <c r="NWC42" s="43"/>
      <c r="NWD42" s="44"/>
      <c r="NWF42" s="42"/>
      <c r="NWG42" s="43"/>
      <c r="NWH42" s="44"/>
      <c r="NWJ42" s="42"/>
      <c r="NWK42" s="43"/>
      <c r="NWL42" s="44"/>
      <c r="NWN42" s="42"/>
      <c r="NWO42" s="43"/>
      <c r="NWP42" s="44"/>
      <c r="NWR42" s="42"/>
      <c r="NWS42" s="43"/>
      <c r="NWT42" s="44"/>
      <c r="NWV42" s="42"/>
      <c r="NWW42" s="43"/>
      <c r="NWX42" s="44"/>
      <c r="NWZ42" s="42"/>
      <c r="NXA42" s="43"/>
      <c r="NXB42" s="44"/>
      <c r="NXD42" s="42"/>
      <c r="NXE42" s="43"/>
      <c r="NXF42" s="44"/>
      <c r="NXH42" s="42"/>
      <c r="NXI42" s="43"/>
      <c r="NXJ42" s="44"/>
      <c r="NXL42" s="42"/>
      <c r="NXM42" s="43"/>
      <c r="NXN42" s="44"/>
      <c r="NXP42" s="42"/>
      <c r="NXQ42" s="43"/>
      <c r="NXR42" s="44"/>
      <c r="NXT42" s="42"/>
      <c r="NXU42" s="43"/>
      <c r="NXV42" s="44"/>
      <c r="NXX42" s="42"/>
      <c r="NXY42" s="43"/>
      <c r="NXZ42" s="44"/>
      <c r="NYB42" s="42"/>
      <c r="NYC42" s="43"/>
      <c r="NYD42" s="44"/>
      <c r="NYF42" s="42"/>
      <c r="NYG42" s="43"/>
      <c r="NYH42" s="44"/>
      <c r="NYJ42" s="42"/>
      <c r="NYK42" s="43"/>
      <c r="NYL42" s="44"/>
      <c r="NYN42" s="42"/>
      <c r="NYO42" s="43"/>
      <c r="NYP42" s="44"/>
      <c r="NYR42" s="42"/>
      <c r="NYS42" s="43"/>
      <c r="NYT42" s="44"/>
      <c r="NYV42" s="42"/>
      <c r="NYW42" s="43"/>
      <c r="NYX42" s="44"/>
      <c r="NYZ42" s="42"/>
      <c r="NZA42" s="43"/>
      <c r="NZB42" s="44"/>
      <c r="NZD42" s="42"/>
      <c r="NZE42" s="43"/>
      <c r="NZF42" s="44"/>
      <c r="NZH42" s="42"/>
      <c r="NZI42" s="43"/>
      <c r="NZJ42" s="44"/>
      <c r="NZL42" s="42"/>
      <c r="NZM42" s="43"/>
      <c r="NZN42" s="44"/>
      <c r="NZP42" s="42"/>
      <c r="NZQ42" s="43"/>
      <c r="NZR42" s="44"/>
      <c r="NZT42" s="42"/>
      <c r="NZU42" s="43"/>
      <c r="NZV42" s="44"/>
      <c r="NZX42" s="42"/>
      <c r="NZY42" s="43"/>
      <c r="NZZ42" s="44"/>
      <c r="OAB42" s="42"/>
      <c r="OAC42" s="43"/>
      <c r="OAD42" s="44"/>
      <c r="OAF42" s="42"/>
      <c r="OAG42" s="43"/>
      <c r="OAH42" s="44"/>
      <c r="OAJ42" s="42"/>
      <c r="OAK42" s="43"/>
      <c r="OAL42" s="44"/>
      <c r="OAN42" s="42"/>
      <c r="OAO42" s="43"/>
      <c r="OAP42" s="44"/>
      <c r="OAR42" s="42"/>
      <c r="OAS42" s="43"/>
      <c r="OAT42" s="44"/>
      <c r="OAV42" s="42"/>
      <c r="OAW42" s="43"/>
      <c r="OAX42" s="44"/>
      <c r="OAZ42" s="42"/>
      <c r="OBA42" s="43"/>
      <c r="OBB42" s="44"/>
      <c r="OBD42" s="42"/>
      <c r="OBE42" s="43"/>
      <c r="OBF42" s="44"/>
      <c r="OBH42" s="42"/>
      <c r="OBI42" s="43"/>
      <c r="OBJ42" s="44"/>
      <c r="OBL42" s="42"/>
      <c r="OBM42" s="43"/>
      <c r="OBN42" s="44"/>
      <c r="OBP42" s="42"/>
      <c r="OBQ42" s="43"/>
      <c r="OBR42" s="44"/>
      <c r="OBT42" s="42"/>
      <c r="OBU42" s="43"/>
      <c r="OBV42" s="44"/>
      <c r="OBX42" s="42"/>
      <c r="OBY42" s="43"/>
      <c r="OBZ42" s="44"/>
      <c r="OCB42" s="42"/>
      <c r="OCC42" s="43"/>
      <c r="OCD42" s="44"/>
      <c r="OCF42" s="42"/>
      <c r="OCG42" s="43"/>
      <c r="OCH42" s="44"/>
      <c r="OCJ42" s="42"/>
      <c r="OCK42" s="43"/>
      <c r="OCL42" s="44"/>
      <c r="OCN42" s="42"/>
      <c r="OCO42" s="43"/>
      <c r="OCP42" s="44"/>
      <c r="OCR42" s="42"/>
      <c r="OCS42" s="43"/>
      <c r="OCT42" s="44"/>
      <c r="OCV42" s="42"/>
      <c r="OCW42" s="43"/>
      <c r="OCX42" s="44"/>
      <c r="OCZ42" s="42"/>
      <c r="ODA42" s="43"/>
      <c r="ODB42" s="44"/>
      <c r="ODD42" s="42"/>
      <c r="ODE42" s="43"/>
      <c r="ODF42" s="44"/>
      <c r="ODH42" s="42"/>
      <c r="ODI42" s="43"/>
      <c r="ODJ42" s="44"/>
      <c r="ODL42" s="42"/>
      <c r="ODM42" s="43"/>
      <c r="ODN42" s="44"/>
      <c r="ODP42" s="42"/>
      <c r="ODQ42" s="43"/>
      <c r="ODR42" s="44"/>
      <c r="ODT42" s="42"/>
      <c r="ODU42" s="43"/>
      <c r="ODV42" s="44"/>
      <c r="ODX42" s="42"/>
      <c r="ODY42" s="43"/>
      <c r="ODZ42" s="44"/>
      <c r="OEB42" s="42"/>
      <c r="OEC42" s="43"/>
      <c r="OED42" s="44"/>
      <c r="OEF42" s="42"/>
      <c r="OEG42" s="43"/>
      <c r="OEH42" s="44"/>
      <c r="OEJ42" s="42"/>
      <c r="OEK42" s="43"/>
      <c r="OEL42" s="44"/>
      <c r="OEN42" s="42"/>
      <c r="OEO42" s="43"/>
      <c r="OEP42" s="44"/>
      <c r="OER42" s="42"/>
      <c r="OES42" s="43"/>
      <c r="OET42" s="44"/>
      <c r="OEV42" s="42"/>
      <c r="OEW42" s="43"/>
      <c r="OEX42" s="44"/>
      <c r="OEZ42" s="42"/>
      <c r="OFA42" s="43"/>
      <c r="OFB42" s="44"/>
      <c r="OFD42" s="42"/>
      <c r="OFE42" s="43"/>
      <c r="OFF42" s="44"/>
      <c r="OFH42" s="42"/>
      <c r="OFI42" s="43"/>
      <c r="OFJ42" s="44"/>
      <c r="OFL42" s="42"/>
      <c r="OFM42" s="43"/>
      <c r="OFN42" s="44"/>
      <c r="OFP42" s="42"/>
      <c r="OFQ42" s="43"/>
      <c r="OFR42" s="44"/>
      <c r="OFT42" s="42"/>
      <c r="OFU42" s="43"/>
      <c r="OFV42" s="44"/>
      <c r="OFX42" s="42"/>
      <c r="OFY42" s="43"/>
      <c r="OFZ42" s="44"/>
      <c r="OGB42" s="42"/>
      <c r="OGC42" s="43"/>
      <c r="OGD42" s="44"/>
      <c r="OGF42" s="42"/>
      <c r="OGG42" s="43"/>
      <c r="OGH42" s="44"/>
      <c r="OGJ42" s="42"/>
      <c r="OGK42" s="43"/>
      <c r="OGL42" s="44"/>
      <c r="OGN42" s="42"/>
      <c r="OGO42" s="43"/>
      <c r="OGP42" s="44"/>
      <c r="OGR42" s="42"/>
      <c r="OGS42" s="43"/>
      <c r="OGT42" s="44"/>
      <c r="OGV42" s="42"/>
      <c r="OGW42" s="43"/>
      <c r="OGX42" s="44"/>
      <c r="OGZ42" s="42"/>
      <c r="OHA42" s="43"/>
      <c r="OHB42" s="44"/>
      <c r="OHD42" s="42"/>
      <c r="OHE42" s="43"/>
      <c r="OHF42" s="44"/>
      <c r="OHH42" s="42"/>
      <c r="OHI42" s="43"/>
      <c r="OHJ42" s="44"/>
      <c r="OHL42" s="42"/>
      <c r="OHM42" s="43"/>
      <c r="OHN42" s="44"/>
      <c r="OHP42" s="42"/>
      <c r="OHQ42" s="43"/>
      <c r="OHR42" s="44"/>
      <c r="OHT42" s="42"/>
      <c r="OHU42" s="43"/>
      <c r="OHV42" s="44"/>
      <c r="OHX42" s="42"/>
      <c r="OHY42" s="43"/>
      <c r="OHZ42" s="44"/>
      <c r="OIB42" s="42"/>
      <c r="OIC42" s="43"/>
      <c r="OID42" s="44"/>
      <c r="OIF42" s="42"/>
      <c r="OIG42" s="43"/>
      <c r="OIH42" s="44"/>
      <c r="OIJ42" s="42"/>
      <c r="OIK42" s="43"/>
      <c r="OIL42" s="44"/>
      <c r="OIN42" s="42"/>
      <c r="OIO42" s="43"/>
      <c r="OIP42" s="44"/>
      <c r="OIR42" s="42"/>
      <c r="OIS42" s="43"/>
      <c r="OIT42" s="44"/>
      <c r="OIV42" s="42"/>
      <c r="OIW42" s="43"/>
      <c r="OIX42" s="44"/>
      <c r="OIZ42" s="42"/>
      <c r="OJA42" s="43"/>
      <c r="OJB42" s="44"/>
      <c r="OJD42" s="42"/>
      <c r="OJE42" s="43"/>
      <c r="OJF42" s="44"/>
      <c r="OJH42" s="42"/>
      <c r="OJI42" s="43"/>
      <c r="OJJ42" s="44"/>
      <c r="OJL42" s="42"/>
      <c r="OJM42" s="43"/>
      <c r="OJN42" s="44"/>
      <c r="OJP42" s="42"/>
      <c r="OJQ42" s="43"/>
      <c r="OJR42" s="44"/>
      <c r="OJT42" s="42"/>
      <c r="OJU42" s="43"/>
      <c r="OJV42" s="44"/>
      <c r="OJX42" s="42"/>
      <c r="OJY42" s="43"/>
      <c r="OJZ42" s="44"/>
      <c r="OKB42" s="42"/>
      <c r="OKC42" s="43"/>
      <c r="OKD42" s="44"/>
      <c r="OKF42" s="42"/>
      <c r="OKG42" s="43"/>
      <c r="OKH42" s="44"/>
      <c r="OKJ42" s="42"/>
      <c r="OKK42" s="43"/>
      <c r="OKL42" s="44"/>
      <c r="OKN42" s="42"/>
      <c r="OKO42" s="43"/>
      <c r="OKP42" s="44"/>
      <c r="OKR42" s="42"/>
      <c r="OKS42" s="43"/>
      <c r="OKT42" s="44"/>
      <c r="OKV42" s="42"/>
      <c r="OKW42" s="43"/>
      <c r="OKX42" s="44"/>
      <c r="OKZ42" s="42"/>
      <c r="OLA42" s="43"/>
      <c r="OLB42" s="44"/>
      <c r="OLD42" s="42"/>
      <c r="OLE42" s="43"/>
      <c r="OLF42" s="44"/>
      <c r="OLH42" s="42"/>
      <c r="OLI42" s="43"/>
      <c r="OLJ42" s="44"/>
      <c r="OLL42" s="42"/>
      <c r="OLM42" s="43"/>
      <c r="OLN42" s="44"/>
      <c r="OLP42" s="42"/>
      <c r="OLQ42" s="43"/>
      <c r="OLR42" s="44"/>
      <c r="OLT42" s="42"/>
      <c r="OLU42" s="43"/>
      <c r="OLV42" s="44"/>
      <c r="OLX42" s="42"/>
      <c r="OLY42" s="43"/>
      <c r="OLZ42" s="44"/>
      <c r="OMB42" s="42"/>
      <c r="OMC42" s="43"/>
      <c r="OMD42" s="44"/>
      <c r="OMF42" s="42"/>
      <c r="OMG42" s="43"/>
      <c r="OMH42" s="44"/>
      <c r="OMJ42" s="42"/>
      <c r="OMK42" s="43"/>
      <c r="OML42" s="44"/>
      <c r="OMN42" s="42"/>
      <c r="OMO42" s="43"/>
      <c r="OMP42" s="44"/>
      <c r="OMR42" s="42"/>
      <c r="OMS42" s="43"/>
      <c r="OMT42" s="44"/>
      <c r="OMV42" s="42"/>
      <c r="OMW42" s="43"/>
      <c r="OMX42" s="44"/>
      <c r="OMZ42" s="42"/>
      <c r="ONA42" s="43"/>
      <c r="ONB42" s="44"/>
      <c r="OND42" s="42"/>
      <c r="ONE42" s="43"/>
      <c r="ONF42" s="44"/>
      <c r="ONH42" s="42"/>
      <c r="ONI42" s="43"/>
      <c r="ONJ42" s="44"/>
      <c r="ONL42" s="42"/>
      <c r="ONM42" s="43"/>
      <c r="ONN42" s="44"/>
      <c r="ONP42" s="42"/>
      <c r="ONQ42" s="43"/>
      <c r="ONR42" s="44"/>
      <c r="ONT42" s="42"/>
      <c r="ONU42" s="43"/>
      <c r="ONV42" s="44"/>
      <c r="ONX42" s="42"/>
      <c r="ONY42" s="43"/>
      <c r="ONZ42" s="44"/>
      <c r="OOB42" s="42"/>
      <c r="OOC42" s="43"/>
      <c r="OOD42" s="44"/>
      <c r="OOF42" s="42"/>
      <c r="OOG42" s="43"/>
      <c r="OOH42" s="44"/>
      <c r="OOJ42" s="42"/>
      <c r="OOK42" s="43"/>
      <c r="OOL42" s="44"/>
      <c r="OON42" s="42"/>
      <c r="OOO42" s="43"/>
      <c r="OOP42" s="44"/>
      <c r="OOR42" s="42"/>
      <c r="OOS42" s="43"/>
      <c r="OOT42" s="44"/>
      <c r="OOV42" s="42"/>
      <c r="OOW42" s="43"/>
      <c r="OOX42" s="44"/>
      <c r="OOZ42" s="42"/>
      <c r="OPA42" s="43"/>
      <c r="OPB42" s="44"/>
      <c r="OPD42" s="42"/>
      <c r="OPE42" s="43"/>
      <c r="OPF42" s="44"/>
      <c r="OPH42" s="42"/>
      <c r="OPI42" s="43"/>
      <c r="OPJ42" s="44"/>
      <c r="OPL42" s="42"/>
      <c r="OPM42" s="43"/>
      <c r="OPN42" s="44"/>
      <c r="OPP42" s="42"/>
      <c r="OPQ42" s="43"/>
      <c r="OPR42" s="44"/>
      <c r="OPT42" s="42"/>
      <c r="OPU42" s="43"/>
      <c r="OPV42" s="44"/>
      <c r="OPX42" s="42"/>
      <c r="OPY42" s="43"/>
      <c r="OPZ42" s="44"/>
      <c r="OQB42" s="42"/>
      <c r="OQC42" s="43"/>
      <c r="OQD42" s="44"/>
      <c r="OQF42" s="42"/>
      <c r="OQG42" s="43"/>
      <c r="OQH42" s="44"/>
      <c r="OQJ42" s="42"/>
      <c r="OQK42" s="43"/>
      <c r="OQL42" s="44"/>
      <c r="OQN42" s="42"/>
      <c r="OQO42" s="43"/>
      <c r="OQP42" s="44"/>
      <c r="OQR42" s="42"/>
      <c r="OQS42" s="43"/>
      <c r="OQT42" s="44"/>
      <c r="OQV42" s="42"/>
      <c r="OQW42" s="43"/>
      <c r="OQX42" s="44"/>
      <c r="OQZ42" s="42"/>
      <c r="ORA42" s="43"/>
      <c r="ORB42" s="44"/>
      <c r="ORD42" s="42"/>
      <c r="ORE42" s="43"/>
      <c r="ORF42" s="44"/>
      <c r="ORH42" s="42"/>
      <c r="ORI42" s="43"/>
      <c r="ORJ42" s="44"/>
      <c r="ORL42" s="42"/>
      <c r="ORM42" s="43"/>
      <c r="ORN42" s="44"/>
      <c r="ORP42" s="42"/>
      <c r="ORQ42" s="43"/>
      <c r="ORR42" s="44"/>
      <c r="ORT42" s="42"/>
      <c r="ORU42" s="43"/>
      <c r="ORV42" s="44"/>
      <c r="ORX42" s="42"/>
      <c r="ORY42" s="43"/>
      <c r="ORZ42" s="44"/>
      <c r="OSB42" s="42"/>
      <c r="OSC42" s="43"/>
      <c r="OSD42" s="44"/>
      <c r="OSF42" s="42"/>
      <c r="OSG42" s="43"/>
      <c r="OSH42" s="44"/>
      <c r="OSJ42" s="42"/>
      <c r="OSK42" s="43"/>
      <c r="OSL42" s="44"/>
      <c r="OSN42" s="42"/>
      <c r="OSO42" s="43"/>
      <c r="OSP42" s="44"/>
      <c r="OSR42" s="42"/>
      <c r="OSS42" s="43"/>
      <c r="OST42" s="44"/>
      <c r="OSV42" s="42"/>
      <c r="OSW42" s="43"/>
      <c r="OSX42" s="44"/>
      <c r="OSZ42" s="42"/>
      <c r="OTA42" s="43"/>
      <c r="OTB42" s="44"/>
      <c r="OTD42" s="42"/>
      <c r="OTE42" s="43"/>
      <c r="OTF42" s="44"/>
      <c r="OTH42" s="42"/>
      <c r="OTI42" s="43"/>
      <c r="OTJ42" s="44"/>
      <c r="OTL42" s="42"/>
      <c r="OTM42" s="43"/>
      <c r="OTN42" s="44"/>
      <c r="OTP42" s="42"/>
      <c r="OTQ42" s="43"/>
      <c r="OTR42" s="44"/>
      <c r="OTT42" s="42"/>
      <c r="OTU42" s="43"/>
      <c r="OTV42" s="44"/>
      <c r="OTX42" s="42"/>
      <c r="OTY42" s="43"/>
      <c r="OTZ42" s="44"/>
      <c r="OUB42" s="42"/>
      <c r="OUC42" s="43"/>
      <c r="OUD42" s="44"/>
      <c r="OUF42" s="42"/>
      <c r="OUG42" s="43"/>
      <c r="OUH42" s="44"/>
      <c r="OUJ42" s="42"/>
      <c r="OUK42" s="43"/>
      <c r="OUL42" s="44"/>
      <c r="OUN42" s="42"/>
      <c r="OUO42" s="43"/>
      <c r="OUP42" s="44"/>
      <c r="OUR42" s="42"/>
      <c r="OUS42" s="43"/>
      <c r="OUT42" s="44"/>
      <c r="OUV42" s="42"/>
      <c r="OUW42" s="43"/>
      <c r="OUX42" s="44"/>
      <c r="OUZ42" s="42"/>
      <c r="OVA42" s="43"/>
      <c r="OVB42" s="44"/>
      <c r="OVD42" s="42"/>
      <c r="OVE42" s="43"/>
      <c r="OVF42" s="44"/>
      <c r="OVH42" s="42"/>
      <c r="OVI42" s="43"/>
      <c r="OVJ42" s="44"/>
      <c r="OVL42" s="42"/>
      <c r="OVM42" s="43"/>
      <c r="OVN42" s="44"/>
      <c r="OVP42" s="42"/>
      <c r="OVQ42" s="43"/>
      <c r="OVR42" s="44"/>
      <c r="OVT42" s="42"/>
      <c r="OVU42" s="43"/>
      <c r="OVV42" s="44"/>
      <c r="OVX42" s="42"/>
      <c r="OVY42" s="43"/>
      <c r="OVZ42" s="44"/>
      <c r="OWB42" s="42"/>
      <c r="OWC42" s="43"/>
      <c r="OWD42" s="44"/>
      <c r="OWF42" s="42"/>
      <c r="OWG42" s="43"/>
      <c r="OWH42" s="44"/>
      <c r="OWJ42" s="42"/>
      <c r="OWK42" s="43"/>
      <c r="OWL42" s="44"/>
      <c r="OWN42" s="42"/>
      <c r="OWO42" s="43"/>
      <c r="OWP42" s="44"/>
      <c r="OWR42" s="42"/>
      <c r="OWS42" s="43"/>
      <c r="OWT42" s="44"/>
      <c r="OWV42" s="42"/>
      <c r="OWW42" s="43"/>
      <c r="OWX42" s="44"/>
      <c r="OWZ42" s="42"/>
      <c r="OXA42" s="43"/>
      <c r="OXB42" s="44"/>
      <c r="OXD42" s="42"/>
      <c r="OXE42" s="43"/>
      <c r="OXF42" s="44"/>
      <c r="OXH42" s="42"/>
      <c r="OXI42" s="43"/>
      <c r="OXJ42" s="44"/>
      <c r="OXL42" s="42"/>
      <c r="OXM42" s="43"/>
      <c r="OXN42" s="44"/>
      <c r="OXP42" s="42"/>
      <c r="OXQ42" s="43"/>
      <c r="OXR42" s="44"/>
      <c r="OXT42" s="42"/>
      <c r="OXU42" s="43"/>
      <c r="OXV42" s="44"/>
      <c r="OXX42" s="42"/>
      <c r="OXY42" s="43"/>
      <c r="OXZ42" s="44"/>
      <c r="OYB42" s="42"/>
      <c r="OYC42" s="43"/>
      <c r="OYD42" s="44"/>
      <c r="OYF42" s="42"/>
      <c r="OYG42" s="43"/>
      <c r="OYH42" s="44"/>
      <c r="OYJ42" s="42"/>
      <c r="OYK42" s="43"/>
      <c r="OYL42" s="44"/>
      <c r="OYN42" s="42"/>
      <c r="OYO42" s="43"/>
      <c r="OYP42" s="44"/>
      <c r="OYR42" s="42"/>
      <c r="OYS42" s="43"/>
      <c r="OYT42" s="44"/>
      <c r="OYV42" s="42"/>
      <c r="OYW42" s="43"/>
      <c r="OYX42" s="44"/>
      <c r="OYZ42" s="42"/>
      <c r="OZA42" s="43"/>
      <c r="OZB42" s="44"/>
      <c r="OZD42" s="42"/>
      <c r="OZE42" s="43"/>
      <c r="OZF42" s="44"/>
      <c r="OZH42" s="42"/>
      <c r="OZI42" s="43"/>
      <c r="OZJ42" s="44"/>
      <c r="OZL42" s="42"/>
      <c r="OZM42" s="43"/>
      <c r="OZN42" s="44"/>
      <c r="OZP42" s="42"/>
      <c r="OZQ42" s="43"/>
      <c r="OZR42" s="44"/>
      <c r="OZT42" s="42"/>
      <c r="OZU42" s="43"/>
      <c r="OZV42" s="44"/>
      <c r="OZX42" s="42"/>
      <c r="OZY42" s="43"/>
      <c r="OZZ42" s="44"/>
      <c r="PAB42" s="42"/>
      <c r="PAC42" s="43"/>
      <c r="PAD42" s="44"/>
      <c r="PAF42" s="42"/>
      <c r="PAG42" s="43"/>
      <c r="PAH42" s="44"/>
      <c r="PAJ42" s="42"/>
      <c r="PAK42" s="43"/>
      <c r="PAL42" s="44"/>
      <c r="PAN42" s="42"/>
      <c r="PAO42" s="43"/>
      <c r="PAP42" s="44"/>
      <c r="PAR42" s="42"/>
      <c r="PAS42" s="43"/>
      <c r="PAT42" s="44"/>
      <c r="PAV42" s="42"/>
      <c r="PAW42" s="43"/>
      <c r="PAX42" s="44"/>
      <c r="PAZ42" s="42"/>
      <c r="PBA42" s="43"/>
      <c r="PBB42" s="44"/>
      <c r="PBD42" s="42"/>
      <c r="PBE42" s="43"/>
      <c r="PBF42" s="44"/>
      <c r="PBH42" s="42"/>
      <c r="PBI42" s="43"/>
      <c r="PBJ42" s="44"/>
      <c r="PBL42" s="42"/>
      <c r="PBM42" s="43"/>
      <c r="PBN42" s="44"/>
      <c r="PBP42" s="42"/>
      <c r="PBQ42" s="43"/>
      <c r="PBR42" s="44"/>
      <c r="PBT42" s="42"/>
      <c r="PBU42" s="43"/>
      <c r="PBV42" s="44"/>
      <c r="PBX42" s="42"/>
      <c r="PBY42" s="43"/>
      <c r="PBZ42" s="44"/>
      <c r="PCB42" s="42"/>
      <c r="PCC42" s="43"/>
      <c r="PCD42" s="44"/>
      <c r="PCF42" s="42"/>
      <c r="PCG42" s="43"/>
      <c r="PCH42" s="44"/>
      <c r="PCJ42" s="42"/>
      <c r="PCK42" s="43"/>
      <c r="PCL42" s="44"/>
      <c r="PCN42" s="42"/>
      <c r="PCO42" s="43"/>
      <c r="PCP42" s="44"/>
      <c r="PCR42" s="42"/>
      <c r="PCS42" s="43"/>
      <c r="PCT42" s="44"/>
      <c r="PCV42" s="42"/>
      <c r="PCW42" s="43"/>
      <c r="PCX42" s="44"/>
      <c r="PCZ42" s="42"/>
      <c r="PDA42" s="43"/>
      <c r="PDB42" s="44"/>
      <c r="PDD42" s="42"/>
      <c r="PDE42" s="43"/>
      <c r="PDF42" s="44"/>
      <c r="PDH42" s="42"/>
      <c r="PDI42" s="43"/>
      <c r="PDJ42" s="44"/>
      <c r="PDL42" s="42"/>
      <c r="PDM42" s="43"/>
      <c r="PDN42" s="44"/>
      <c r="PDP42" s="42"/>
      <c r="PDQ42" s="43"/>
      <c r="PDR42" s="44"/>
      <c r="PDT42" s="42"/>
      <c r="PDU42" s="43"/>
      <c r="PDV42" s="44"/>
      <c r="PDX42" s="42"/>
      <c r="PDY42" s="43"/>
      <c r="PDZ42" s="44"/>
      <c r="PEB42" s="42"/>
      <c r="PEC42" s="43"/>
      <c r="PED42" s="44"/>
      <c r="PEF42" s="42"/>
      <c r="PEG42" s="43"/>
      <c r="PEH42" s="44"/>
      <c r="PEJ42" s="42"/>
      <c r="PEK42" s="43"/>
      <c r="PEL42" s="44"/>
      <c r="PEN42" s="42"/>
      <c r="PEO42" s="43"/>
      <c r="PEP42" s="44"/>
      <c r="PER42" s="42"/>
      <c r="PES42" s="43"/>
      <c r="PET42" s="44"/>
      <c r="PEV42" s="42"/>
      <c r="PEW42" s="43"/>
      <c r="PEX42" s="44"/>
      <c r="PEZ42" s="42"/>
      <c r="PFA42" s="43"/>
      <c r="PFB42" s="44"/>
      <c r="PFD42" s="42"/>
      <c r="PFE42" s="43"/>
      <c r="PFF42" s="44"/>
      <c r="PFH42" s="42"/>
      <c r="PFI42" s="43"/>
      <c r="PFJ42" s="44"/>
      <c r="PFL42" s="42"/>
      <c r="PFM42" s="43"/>
      <c r="PFN42" s="44"/>
      <c r="PFP42" s="42"/>
      <c r="PFQ42" s="43"/>
      <c r="PFR42" s="44"/>
      <c r="PFT42" s="42"/>
      <c r="PFU42" s="43"/>
      <c r="PFV42" s="44"/>
      <c r="PFX42" s="42"/>
      <c r="PFY42" s="43"/>
      <c r="PFZ42" s="44"/>
      <c r="PGB42" s="42"/>
      <c r="PGC42" s="43"/>
      <c r="PGD42" s="44"/>
      <c r="PGF42" s="42"/>
      <c r="PGG42" s="43"/>
      <c r="PGH42" s="44"/>
      <c r="PGJ42" s="42"/>
      <c r="PGK42" s="43"/>
      <c r="PGL42" s="44"/>
      <c r="PGN42" s="42"/>
      <c r="PGO42" s="43"/>
      <c r="PGP42" s="44"/>
      <c r="PGR42" s="42"/>
      <c r="PGS42" s="43"/>
      <c r="PGT42" s="44"/>
      <c r="PGV42" s="42"/>
      <c r="PGW42" s="43"/>
      <c r="PGX42" s="44"/>
      <c r="PGZ42" s="42"/>
      <c r="PHA42" s="43"/>
      <c r="PHB42" s="44"/>
      <c r="PHD42" s="42"/>
      <c r="PHE42" s="43"/>
      <c r="PHF42" s="44"/>
      <c r="PHH42" s="42"/>
      <c r="PHI42" s="43"/>
      <c r="PHJ42" s="44"/>
      <c r="PHL42" s="42"/>
      <c r="PHM42" s="43"/>
      <c r="PHN42" s="44"/>
      <c r="PHP42" s="42"/>
      <c r="PHQ42" s="43"/>
      <c r="PHR42" s="44"/>
      <c r="PHT42" s="42"/>
      <c r="PHU42" s="43"/>
      <c r="PHV42" s="44"/>
      <c r="PHX42" s="42"/>
      <c r="PHY42" s="43"/>
      <c r="PHZ42" s="44"/>
      <c r="PIB42" s="42"/>
      <c r="PIC42" s="43"/>
      <c r="PID42" s="44"/>
      <c r="PIF42" s="42"/>
      <c r="PIG42" s="43"/>
      <c r="PIH42" s="44"/>
      <c r="PIJ42" s="42"/>
      <c r="PIK42" s="43"/>
      <c r="PIL42" s="44"/>
      <c r="PIN42" s="42"/>
      <c r="PIO42" s="43"/>
      <c r="PIP42" s="44"/>
      <c r="PIR42" s="42"/>
      <c r="PIS42" s="43"/>
      <c r="PIT42" s="44"/>
      <c r="PIV42" s="42"/>
      <c r="PIW42" s="43"/>
      <c r="PIX42" s="44"/>
      <c r="PIZ42" s="42"/>
      <c r="PJA42" s="43"/>
      <c r="PJB42" s="44"/>
      <c r="PJD42" s="42"/>
      <c r="PJE42" s="43"/>
      <c r="PJF42" s="44"/>
      <c r="PJH42" s="42"/>
      <c r="PJI42" s="43"/>
      <c r="PJJ42" s="44"/>
      <c r="PJL42" s="42"/>
      <c r="PJM42" s="43"/>
      <c r="PJN42" s="44"/>
      <c r="PJP42" s="42"/>
      <c r="PJQ42" s="43"/>
      <c r="PJR42" s="44"/>
      <c r="PJT42" s="42"/>
      <c r="PJU42" s="43"/>
      <c r="PJV42" s="44"/>
      <c r="PJX42" s="42"/>
      <c r="PJY42" s="43"/>
      <c r="PJZ42" s="44"/>
      <c r="PKB42" s="42"/>
      <c r="PKC42" s="43"/>
      <c r="PKD42" s="44"/>
      <c r="PKF42" s="42"/>
      <c r="PKG42" s="43"/>
      <c r="PKH42" s="44"/>
      <c r="PKJ42" s="42"/>
      <c r="PKK42" s="43"/>
      <c r="PKL42" s="44"/>
      <c r="PKN42" s="42"/>
      <c r="PKO42" s="43"/>
      <c r="PKP42" s="44"/>
      <c r="PKR42" s="42"/>
      <c r="PKS42" s="43"/>
      <c r="PKT42" s="44"/>
      <c r="PKV42" s="42"/>
      <c r="PKW42" s="43"/>
      <c r="PKX42" s="44"/>
      <c r="PKZ42" s="42"/>
      <c r="PLA42" s="43"/>
      <c r="PLB42" s="44"/>
      <c r="PLD42" s="42"/>
      <c r="PLE42" s="43"/>
      <c r="PLF42" s="44"/>
      <c r="PLH42" s="42"/>
      <c r="PLI42" s="43"/>
      <c r="PLJ42" s="44"/>
      <c r="PLL42" s="42"/>
      <c r="PLM42" s="43"/>
      <c r="PLN42" s="44"/>
      <c r="PLP42" s="42"/>
      <c r="PLQ42" s="43"/>
      <c r="PLR42" s="44"/>
      <c r="PLT42" s="42"/>
      <c r="PLU42" s="43"/>
      <c r="PLV42" s="44"/>
      <c r="PLX42" s="42"/>
      <c r="PLY42" s="43"/>
      <c r="PLZ42" s="44"/>
      <c r="PMB42" s="42"/>
      <c r="PMC42" s="43"/>
      <c r="PMD42" s="44"/>
      <c r="PMF42" s="42"/>
      <c r="PMG42" s="43"/>
      <c r="PMH42" s="44"/>
      <c r="PMJ42" s="42"/>
      <c r="PMK42" s="43"/>
      <c r="PML42" s="44"/>
      <c r="PMN42" s="42"/>
      <c r="PMO42" s="43"/>
      <c r="PMP42" s="44"/>
      <c r="PMR42" s="42"/>
      <c r="PMS42" s="43"/>
      <c r="PMT42" s="44"/>
      <c r="PMV42" s="42"/>
      <c r="PMW42" s="43"/>
      <c r="PMX42" s="44"/>
      <c r="PMZ42" s="42"/>
      <c r="PNA42" s="43"/>
      <c r="PNB42" s="44"/>
      <c r="PND42" s="42"/>
      <c r="PNE42" s="43"/>
      <c r="PNF42" s="44"/>
      <c r="PNH42" s="42"/>
      <c r="PNI42" s="43"/>
      <c r="PNJ42" s="44"/>
      <c r="PNL42" s="42"/>
      <c r="PNM42" s="43"/>
      <c r="PNN42" s="44"/>
      <c r="PNP42" s="42"/>
      <c r="PNQ42" s="43"/>
      <c r="PNR42" s="44"/>
      <c r="PNT42" s="42"/>
      <c r="PNU42" s="43"/>
      <c r="PNV42" s="44"/>
      <c r="PNX42" s="42"/>
      <c r="PNY42" s="43"/>
      <c r="PNZ42" s="44"/>
      <c r="POB42" s="42"/>
      <c r="POC42" s="43"/>
      <c r="POD42" s="44"/>
      <c r="POF42" s="42"/>
      <c r="POG42" s="43"/>
      <c r="POH42" s="44"/>
      <c r="POJ42" s="42"/>
      <c r="POK42" s="43"/>
      <c r="POL42" s="44"/>
      <c r="PON42" s="42"/>
      <c r="POO42" s="43"/>
      <c r="POP42" s="44"/>
      <c r="POR42" s="42"/>
      <c r="POS42" s="43"/>
      <c r="POT42" s="44"/>
      <c r="POV42" s="42"/>
      <c r="POW42" s="43"/>
      <c r="POX42" s="44"/>
      <c r="POZ42" s="42"/>
      <c r="PPA42" s="43"/>
      <c r="PPB42" s="44"/>
      <c r="PPD42" s="42"/>
      <c r="PPE42" s="43"/>
      <c r="PPF42" s="44"/>
      <c r="PPH42" s="42"/>
      <c r="PPI42" s="43"/>
      <c r="PPJ42" s="44"/>
      <c r="PPL42" s="42"/>
      <c r="PPM42" s="43"/>
      <c r="PPN42" s="44"/>
      <c r="PPP42" s="42"/>
      <c r="PPQ42" s="43"/>
      <c r="PPR42" s="44"/>
      <c r="PPT42" s="42"/>
      <c r="PPU42" s="43"/>
      <c r="PPV42" s="44"/>
      <c r="PPX42" s="42"/>
      <c r="PPY42" s="43"/>
      <c r="PPZ42" s="44"/>
      <c r="PQB42" s="42"/>
      <c r="PQC42" s="43"/>
      <c r="PQD42" s="44"/>
      <c r="PQF42" s="42"/>
      <c r="PQG42" s="43"/>
      <c r="PQH42" s="44"/>
      <c r="PQJ42" s="42"/>
      <c r="PQK42" s="43"/>
      <c r="PQL42" s="44"/>
      <c r="PQN42" s="42"/>
      <c r="PQO42" s="43"/>
      <c r="PQP42" s="44"/>
      <c r="PQR42" s="42"/>
      <c r="PQS42" s="43"/>
      <c r="PQT42" s="44"/>
      <c r="PQV42" s="42"/>
      <c r="PQW42" s="43"/>
      <c r="PQX42" s="44"/>
      <c r="PQZ42" s="42"/>
      <c r="PRA42" s="43"/>
      <c r="PRB42" s="44"/>
      <c r="PRD42" s="42"/>
      <c r="PRE42" s="43"/>
      <c r="PRF42" s="44"/>
      <c r="PRH42" s="42"/>
      <c r="PRI42" s="43"/>
      <c r="PRJ42" s="44"/>
      <c r="PRL42" s="42"/>
      <c r="PRM42" s="43"/>
      <c r="PRN42" s="44"/>
      <c r="PRP42" s="42"/>
      <c r="PRQ42" s="43"/>
      <c r="PRR42" s="44"/>
      <c r="PRT42" s="42"/>
      <c r="PRU42" s="43"/>
      <c r="PRV42" s="44"/>
      <c r="PRX42" s="42"/>
      <c r="PRY42" s="43"/>
      <c r="PRZ42" s="44"/>
      <c r="PSB42" s="42"/>
      <c r="PSC42" s="43"/>
      <c r="PSD42" s="44"/>
      <c r="PSF42" s="42"/>
      <c r="PSG42" s="43"/>
      <c r="PSH42" s="44"/>
      <c r="PSJ42" s="42"/>
      <c r="PSK42" s="43"/>
      <c r="PSL42" s="44"/>
      <c r="PSN42" s="42"/>
      <c r="PSO42" s="43"/>
      <c r="PSP42" s="44"/>
      <c r="PSR42" s="42"/>
      <c r="PSS42" s="43"/>
      <c r="PST42" s="44"/>
      <c r="PSV42" s="42"/>
      <c r="PSW42" s="43"/>
      <c r="PSX42" s="44"/>
      <c r="PSZ42" s="42"/>
      <c r="PTA42" s="43"/>
      <c r="PTB42" s="44"/>
      <c r="PTD42" s="42"/>
      <c r="PTE42" s="43"/>
      <c r="PTF42" s="44"/>
      <c r="PTH42" s="42"/>
      <c r="PTI42" s="43"/>
      <c r="PTJ42" s="44"/>
      <c r="PTL42" s="42"/>
      <c r="PTM42" s="43"/>
      <c r="PTN42" s="44"/>
      <c r="PTP42" s="42"/>
      <c r="PTQ42" s="43"/>
      <c r="PTR42" s="44"/>
      <c r="PTT42" s="42"/>
      <c r="PTU42" s="43"/>
      <c r="PTV42" s="44"/>
      <c r="PTX42" s="42"/>
      <c r="PTY42" s="43"/>
      <c r="PTZ42" s="44"/>
      <c r="PUB42" s="42"/>
      <c r="PUC42" s="43"/>
      <c r="PUD42" s="44"/>
      <c r="PUF42" s="42"/>
      <c r="PUG42" s="43"/>
      <c r="PUH42" s="44"/>
      <c r="PUJ42" s="42"/>
      <c r="PUK42" s="43"/>
      <c r="PUL42" s="44"/>
      <c r="PUN42" s="42"/>
      <c r="PUO42" s="43"/>
      <c r="PUP42" s="44"/>
      <c r="PUR42" s="42"/>
      <c r="PUS42" s="43"/>
      <c r="PUT42" s="44"/>
      <c r="PUV42" s="42"/>
      <c r="PUW42" s="43"/>
      <c r="PUX42" s="44"/>
      <c r="PUZ42" s="42"/>
      <c r="PVA42" s="43"/>
      <c r="PVB42" s="44"/>
      <c r="PVD42" s="42"/>
      <c r="PVE42" s="43"/>
      <c r="PVF42" s="44"/>
      <c r="PVH42" s="42"/>
      <c r="PVI42" s="43"/>
      <c r="PVJ42" s="44"/>
      <c r="PVL42" s="42"/>
      <c r="PVM42" s="43"/>
      <c r="PVN42" s="44"/>
      <c r="PVP42" s="42"/>
      <c r="PVQ42" s="43"/>
      <c r="PVR42" s="44"/>
      <c r="PVT42" s="42"/>
      <c r="PVU42" s="43"/>
      <c r="PVV42" s="44"/>
      <c r="PVX42" s="42"/>
      <c r="PVY42" s="43"/>
      <c r="PVZ42" s="44"/>
      <c r="PWB42" s="42"/>
      <c r="PWC42" s="43"/>
      <c r="PWD42" s="44"/>
      <c r="PWF42" s="42"/>
      <c r="PWG42" s="43"/>
      <c r="PWH42" s="44"/>
      <c r="PWJ42" s="42"/>
      <c r="PWK42" s="43"/>
      <c r="PWL42" s="44"/>
      <c r="PWN42" s="42"/>
      <c r="PWO42" s="43"/>
      <c r="PWP42" s="44"/>
      <c r="PWR42" s="42"/>
      <c r="PWS42" s="43"/>
      <c r="PWT42" s="44"/>
      <c r="PWV42" s="42"/>
      <c r="PWW42" s="43"/>
      <c r="PWX42" s="44"/>
      <c r="PWZ42" s="42"/>
      <c r="PXA42" s="43"/>
      <c r="PXB42" s="44"/>
      <c r="PXD42" s="42"/>
      <c r="PXE42" s="43"/>
      <c r="PXF42" s="44"/>
      <c r="PXH42" s="42"/>
      <c r="PXI42" s="43"/>
      <c r="PXJ42" s="44"/>
      <c r="PXL42" s="42"/>
      <c r="PXM42" s="43"/>
      <c r="PXN42" s="44"/>
      <c r="PXP42" s="42"/>
      <c r="PXQ42" s="43"/>
      <c r="PXR42" s="44"/>
      <c r="PXT42" s="42"/>
      <c r="PXU42" s="43"/>
      <c r="PXV42" s="44"/>
      <c r="PXX42" s="42"/>
      <c r="PXY42" s="43"/>
      <c r="PXZ42" s="44"/>
      <c r="PYB42" s="42"/>
      <c r="PYC42" s="43"/>
      <c r="PYD42" s="44"/>
      <c r="PYF42" s="42"/>
      <c r="PYG42" s="43"/>
      <c r="PYH42" s="44"/>
      <c r="PYJ42" s="42"/>
      <c r="PYK42" s="43"/>
      <c r="PYL42" s="44"/>
      <c r="PYN42" s="42"/>
      <c r="PYO42" s="43"/>
      <c r="PYP42" s="44"/>
      <c r="PYR42" s="42"/>
      <c r="PYS42" s="43"/>
      <c r="PYT42" s="44"/>
      <c r="PYV42" s="42"/>
      <c r="PYW42" s="43"/>
      <c r="PYX42" s="44"/>
      <c r="PYZ42" s="42"/>
      <c r="PZA42" s="43"/>
      <c r="PZB42" s="44"/>
      <c r="PZD42" s="42"/>
      <c r="PZE42" s="43"/>
      <c r="PZF42" s="44"/>
      <c r="PZH42" s="42"/>
      <c r="PZI42" s="43"/>
      <c r="PZJ42" s="44"/>
      <c r="PZL42" s="42"/>
      <c r="PZM42" s="43"/>
      <c r="PZN42" s="44"/>
      <c r="PZP42" s="42"/>
      <c r="PZQ42" s="43"/>
      <c r="PZR42" s="44"/>
      <c r="PZT42" s="42"/>
      <c r="PZU42" s="43"/>
      <c r="PZV42" s="44"/>
      <c r="PZX42" s="42"/>
      <c r="PZY42" s="43"/>
      <c r="PZZ42" s="44"/>
      <c r="QAB42" s="42"/>
      <c r="QAC42" s="43"/>
      <c r="QAD42" s="44"/>
      <c r="QAF42" s="42"/>
      <c r="QAG42" s="43"/>
      <c r="QAH42" s="44"/>
      <c r="QAJ42" s="42"/>
      <c r="QAK42" s="43"/>
      <c r="QAL42" s="44"/>
      <c r="QAN42" s="42"/>
      <c r="QAO42" s="43"/>
      <c r="QAP42" s="44"/>
      <c r="QAR42" s="42"/>
      <c r="QAS42" s="43"/>
      <c r="QAT42" s="44"/>
      <c r="QAV42" s="42"/>
      <c r="QAW42" s="43"/>
      <c r="QAX42" s="44"/>
      <c r="QAZ42" s="42"/>
      <c r="QBA42" s="43"/>
      <c r="QBB42" s="44"/>
      <c r="QBD42" s="42"/>
      <c r="QBE42" s="43"/>
      <c r="QBF42" s="44"/>
      <c r="QBH42" s="42"/>
      <c r="QBI42" s="43"/>
      <c r="QBJ42" s="44"/>
      <c r="QBL42" s="42"/>
      <c r="QBM42" s="43"/>
      <c r="QBN42" s="44"/>
      <c r="QBP42" s="42"/>
      <c r="QBQ42" s="43"/>
      <c r="QBR42" s="44"/>
      <c r="QBT42" s="42"/>
      <c r="QBU42" s="43"/>
      <c r="QBV42" s="44"/>
      <c r="QBX42" s="42"/>
      <c r="QBY42" s="43"/>
      <c r="QBZ42" s="44"/>
      <c r="QCB42" s="42"/>
      <c r="QCC42" s="43"/>
      <c r="QCD42" s="44"/>
      <c r="QCF42" s="42"/>
      <c r="QCG42" s="43"/>
      <c r="QCH42" s="44"/>
      <c r="QCJ42" s="42"/>
      <c r="QCK42" s="43"/>
      <c r="QCL42" s="44"/>
      <c r="QCN42" s="42"/>
      <c r="QCO42" s="43"/>
      <c r="QCP42" s="44"/>
      <c r="QCR42" s="42"/>
      <c r="QCS42" s="43"/>
      <c r="QCT42" s="44"/>
      <c r="QCV42" s="42"/>
      <c r="QCW42" s="43"/>
      <c r="QCX42" s="44"/>
      <c r="QCZ42" s="42"/>
      <c r="QDA42" s="43"/>
      <c r="QDB42" s="44"/>
      <c r="QDD42" s="42"/>
      <c r="QDE42" s="43"/>
      <c r="QDF42" s="44"/>
      <c r="QDH42" s="42"/>
      <c r="QDI42" s="43"/>
      <c r="QDJ42" s="44"/>
      <c r="QDL42" s="42"/>
      <c r="QDM42" s="43"/>
      <c r="QDN42" s="44"/>
      <c r="QDP42" s="42"/>
      <c r="QDQ42" s="43"/>
      <c r="QDR42" s="44"/>
      <c r="QDT42" s="42"/>
      <c r="QDU42" s="43"/>
      <c r="QDV42" s="44"/>
      <c r="QDX42" s="42"/>
      <c r="QDY42" s="43"/>
      <c r="QDZ42" s="44"/>
      <c r="QEB42" s="42"/>
      <c r="QEC42" s="43"/>
      <c r="QED42" s="44"/>
      <c r="QEF42" s="42"/>
      <c r="QEG42" s="43"/>
      <c r="QEH42" s="44"/>
      <c r="QEJ42" s="42"/>
      <c r="QEK42" s="43"/>
      <c r="QEL42" s="44"/>
      <c r="QEN42" s="42"/>
      <c r="QEO42" s="43"/>
      <c r="QEP42" s="44"/>
      <c r="QER42" s="42"/>
      <c r="QES42" s="43"/>
      <c r="QET42" s="44"/>
      <c r="QEV42" s="42"/>
      <c r="QEW42" s="43"/>
      <c r="QEX42" s="44"/>
      <c r="QEZ42" s="42"/>
      <c r="QFA42" s="43"/>
      <c r="QFB42" s="44"/>
      <c r="QFD42" s="42"/>
      <c r="QFE42" s="43"/>
      <c r="QFF42" s="44"/>
      <c r="QFH42" s="42"/>
      <c r="QFI42" s="43"/>
      <c r="QFJ42" s="44"/>
      <c r="QFL42" s="42"/>
      <c r="QFM42" s="43"/>
      <c r="QFN42" s="44"/>
      <c r="QFP42" s="42"/>
      <c r="QFQ42" s="43"/>
      <c r="QFR42" s="44"/>
      <c r="QFT42" s="42"/>
      <c r="QFU42" s="43"/>
      <c r="QFV42" s="44"/>
      <c r="QFX42" s="42"/>
      <c r="QFY42" s="43"/>
      <c r="QFZ42" s="44"/>
      <c r="QGB42" s="42"/>
      <c r="QGC42" s="43"/>
      <c r="QGD42" s="44"/>
      <c r="QGF42" s="42"/>
      <c r="QGG42" s="43"/>
      <c r="QGH42" s="44"/>
      <c r="QGJ42" s="42"/>
      <c r="QGK42" s="43"/>
      <c r="QGL42" s="44"/>
      <c r="QGN42" s="42"/>
      <c r="QGO42" s="43"/>
      <c r="QGP42" s="44"/>
      <c r="QGR42" s="42"/>
      <c r="QGS42" s="43"/>
      <c r="QGT42" s="44"/>
      <c r="QGV42" s="42"/>
      <c r="QGW42" s="43"/>
      <c r="QGX42" s="44"/>
      <c r="QGZ42" s="42"/>
      <c r="QHA42" s="43"/>
      <c r="QHB42" s="44"/>
      <c r="QHD42" s="42"/>
      <c r="QHE42" s="43"/>
      <c r="QHF42" s="44"/>
      <c r="QHH42" s="42"/>
      <c r="QHI42" s="43"/>
      <c r="QHJ42" s="44"/>
      <c r="QHL42" s="42"/>
      <c r="QHM42" s="43"/>
      <c r="QHN42" s="44"/>
      <c r="QHP42" s="42"/>
      <c r="QHQ42" s="43"/>
      <c r="QHR42" s="44"/>
      <c r="QHT42" s="42"/>
      <c r="QHU42" s="43"/>
      <c r="QHV42" s="44"/>
      <c r="QHX42" s="42"/>
      <c r="QHY42" s="43"/>
      <c r="QHZ42" s="44"/>
      <c r="QIB42" s="42"/>
      <c r="QIC42" s="43"/>
      <c r="QID42" s="44"/>
      <c r="QIF42" s="42"/>
      <c r="QIG42" s="43"/>
      <c r="QIH42" s="44"/>
      <c r="QIJ42" s="42"/>
      <c r="QIK42" s="43"/>
      <c r="QIL42" s="44"/>
      <c r="QIN42" s="42"/>
      <c r="QIO42" s="43"/>
      <c r="QIP42" s="44"/>
      <c r="QIR42" s="42"/>
      <c r="QIS42" s="43"/>
      <c r="QIT42" s="44"/>
      <c r="QIV42" s="42"/>
      <c r="QIW42" s="43"/>
      <c r="QIX42" s="44"/>
      <c r="QIZ42" s="42"/>
      <c r="QJA42" s="43"/>
      <c r="QJB42" s="44"/>
      <c r="QJD42" s="42"/>
      <c r="QJE42" s="43"/>
      <c r="QJF42" s="44"/>
      <c r="QJH42" s="42"/>
      <c r="QJI42" s="43"/>
      <c r="QJJ42" s="44"/>
      <c r="QJL42" s="42"/>
      <c r="QJM42" s="43"/>
      <c r="QJN42" s="44"/>
      <c r="QJP42" s="42"/>
      <c r="QJQ42" s="43"/>
      <c r="QJR42" s="44"/>
      <c r="QJT42" s="42"/>
      <c r="QJU42" s="43"/>
      <c r="QJV42" s="44"/>
      <c r="QJX42" s="42"/>
      <c r="QJY42" s="43"/>
      <c r="QJZ42" s="44"/>
      <c r="QKB42" s="42"/>
      <c r="QKC42" s="43"/>
      <c r="QKD42" s="44"/>
      <c r="QKF42" s="42"/>
      <c r="QKG42" s="43"/>
      <c r="QKH42" s="44"/>
      <c r="QKJ42" s="42"/>
      <c r="QKK42" s="43"/>
      <c r="QKL42" s="44"/>
      <c r="QKN42" s="42"/>
      <c r="QKO42" s="43"/>
      <c r="QKP42" s="44"/>
      <c r="QKR42" s="42"/>
      <c r="QKS42" s="43"/>
      <c r="QKT42" s="44"/>
      <c r="QKV42" s="42"/>
      <c r="QKW42" s="43"/>
      <c r="QKX42" s="44"/>
      <c r="QKZ42" s="42"/>
      <c r="QLA42" s="43"/>
      <c r="QLB42" s="44"/>
      <c r="QLD42" s="42"/>
      <c r="QLE42" s="43"/>
      <c r="QLF42" s="44"/>
      <c r="QLH42" s="42"/>
      <c r="QLI42" s="43"/>
      <c r="QLJ42" s="44"/>
      <c r="QLL42" s="42"/>
      <c r="QLM42" s="43"/>
      <c r="QLN42" s="44"/>
      <c r="QLP42" s="42"/>
      <c r="QLQ42" s="43"/>
      <c r="QLR42" s="44"/>
      <c r="QLT42" s="42"/>
      <c r="QLU42" s="43"/>
      <c r="QLV42" s="44"/>
      <c r="QLX42" s="42"/>
      <c r="QLY42" s="43"/>
      <c r="QLZ42" s="44"/>
      <c r="QMB42" s="42"/>
      <c r="QMC42" s="43"/>
      <c r="QMD42" s="44"/>
      <c r="QMF42" s="42"/>
      <c r="QMG42" s="43"/>
      <c r="QMH42" s="44"/>
      <c r="QMJ42" s="42"/>
      <c r="QMK42" s="43"/>
      <c r="QML42" s="44"/>
      <c r="QMN42" s="42"/>
      <c r="QMO42" s="43"/>
      <c r="QMP42" s="44"/>
      <c r="QMR42" s="42"/>
      <c r="QMS42" s="43"/>
      <c r="QMT42" s="44"/>
      <c r="QMV42" s="42"/>
      <c r="QMW42" s="43"/>
      <c r="QMX42" s="44"/>
      <c r="QMZ42" s="42"/>
      <c r="QNA42" s="43"/>
      <c r="QNB42" s="44"/>
      <c r="QND42" s="42"/>
      <c r="QNE42" s="43"/>
      <c r="QNF42" s="44"/>
      <c r="QNH42" s="42"/>
      <c r="QNI42" s="43"/>
      <c r="QNJ42" s="44"/>
      <c r="QNL42" s="42"/>
      <c r="QNM42" s="43"/>
      <c r="QNN42" s="44"/>
      <c r="QNP42" s="42"/>
      <c r="QNQ42" s="43"/>
      <c r="QNR42" s="44"/>
      <c r="QNT42" s="42"/>
      <c r="QNU42" s="43"/>
      <c r="QNV42" s="44"/>
      <c r="QNX42" s="42"/>
      <c r="QNY42" s="43"/>
      <c r="QNZ42" s="44"/>
      <c r="QOB42" s="42"/>
      <c r="QOC42" s="43"/>
      <c r="QOD42" s="44"/>
      <c r="QOF42" s="42"/>
      <c r="QOG42" s="43"/>
      <c r="QOH42" s="44"/>
      <c r="QOJ42" s="42"/>
      <c r="QOK42" s="43"/>
      <c r="QOL42" s="44"/>
      <c r="QON42" s="42"/>
      <c r="QOO42" s="43"/>
      <c r="QOP42" s="44"/>
      <c r="QOR42" s="42"/>
      <c r="QOS42" s="43"/>
      <c r="QOT42" s="44"/>
      <c r="QOV42" s="42"/>
      <c r="QOW42" s="43"/>
      <c r="QOX42" s="44"/>
      <c r="QOZ42" s="42"/>
      <c r="QPA42" s="43"/>
      <c r="QPB42" s="44"/>
      <c r="QPD42" s="42"/>
      <c r="QPE42" s="43"/>
      <c r="QPF42" s="44"/>
      <c r="QPH42" s="42"/>
      <c r="QPI42" s="43"/>
      <c r="QPJ42" s="44"/>
      <c r="QPL42" s="42"/>
      <c r="QPM42" s="43"/>
      <c r="QPN42" s="44"/>
      <c r="QPP42" s="42"/>
      <c r="QPQ42" s="43"/>
      <c r="QPR42" s="44"/>
      <c r="QPT42" s="42"/>
      <c r="QPU42" s="43"/>
      <c r="QPV42" s="44"/>
      <c r="QPX42" s="42"/>
      <c r="QPY42" s="43"/>
      <c r="QPZ42" s="44"/>
      <c r="QQB42" s="42"/>
      <c r="QQC42" s="43"/>
      <c r="QQD42" s="44"/>
      <c r="QQF42" s="42"/>
      <c r="QQG42" s="43"/>
      <c r="QQH42" s="44"/>
      <c r="QQJ42" s="42"/>
      <c r="QQK42" s="43"/>
      <c r="QQL42" s="44"/>
      <c r="QQN42" s="42"/>
      <c r="QQO42" s="43"/>
      <c r="QQP42" s="44"/>
      <c r="QQR42" s="42"/>
      <c r="QQS42" s="43"/>
      <c r="QQT42" s="44"/>
      <c r="QQV42" s="42"/>
      <c r="QQW42" s="43"/>
      <c r="QQX42" s="44"/>
      <c r="QQZ42" s="42"/>
      <c r="QRA42" s="43"/>
      <c r="QRB42" s="44"/>
      <c r="QRD42" s="42"/>
      <c r="QRE42" s="43"/>
      <c r="QRF42" s="44"/>
      <c r="QRH42" s="42"/>
      <c r="QRI42" s="43"/>
      <c r="QRJ42" s="44"/>
      <c r="QRL42" s="42"/>
      <c r="QRM42" s="43"/>
      <c r="QRN42" s="44"/>
      <c r="QRP42" s="42"/>
      <c r="QRQ42" s="43"/>
      <c r="QRR42" s="44"/>
      <c r="QRT42" s="42"/>
      <c r="QRU42" s="43"/>
      <c r="QRV42" s="44"/>
      <c r="QRX42" s="42"/>
      <c r="QRY42" s="43"/>
      <c r="QRZ42" s="44"/>
      <c r="QSB42" s="42"/>
      <c r="QSC42" s="43"/>
      <c r="QSD42" s="44"/>
      <c r="QSF42" s="42"/>
      <c r="QSG42" s="43"/>
      <c r="QSH42" s="44"/>
      <c r="QSJ42" s="42"/>
      <c r="QSK42" s="43"/>
      <c r="QSL42" s="44"/>
      <c r="QSN42" s="42"/>
      <c r="QSO42" s="43"/>
      <c r="QSP42" s="44"/>
      <c r="QSR42" s="42"/>
      <c r="QSS42" s="43"/>
      <c r="QST42" s="44"/>
      <c r="QSV42" s="42"/>
      <c r="QSW42" s="43"/>
      <c r="QSX42" s="44"/>
      <c r="QSZ42" s="42"/>
      <c r="QTA42" s="43"/>
      <c r="QTB42" s="44"/>
      <c r="QTD42" s="42"/>
      <c r="QTE42" s="43"/>
      <c r="QTF42" s="44"/>
      <c r="QTH42" s="42"/>
      <c r="QTI42" s="43"/>
      <c r="QTJ42" s="44"/>
      <c r="QTL42" s="42"/>
      <c r="QTM42" s="43"/>
      <c r="QTN42" s="44"/>
      <c r="QTP42" s="42"/>
      <c r="QTQ42" s="43"/>
      <c r="QTR42" s="44"/>
      <c r="QTT42" s="42"/>
      <c r="QTU42" s="43"/>
      <c r="QTV42" s="44"/>
      <c r="QTX42" s="42"/>
      <c r="QTY42" s="43"/>
      <c r="QTZ42" s="44"/>
      <c r="QUB42" s="42"/>
      <c r="QUC42" s="43"/>
      <c r="QUD42" s="44"/>
      <c r="QUF42" s="42"/>
      <c r="QUG42" s="43"/>
      <c r="QUH42" s="44"/>
      <c r="QUJ42" s="42"/>
      <c r="QUK42" s="43"/>
      <c r="QUL42" s="44"/>
      <c r="QUN42" s="42"/>
      <c r="QUO42" s="43"/>
      <c r="QUP42" s="44"/>
      <c r="QUR42" s="42"/>
      <c r="QUS42" s="43"/>
      <c r="QUT42" s="44"/>
      <c r="QUV42" s="42"/>
      <c r="QUW42" s="43"/>
      <c r="QUX42" s="44"/>
      <c r="QUZ42" s="42"/>
      <c r="QVA42" s="43"/>
      <c r="QVB42" s="44"/>
      <c r="QVD42" s="42"/>
      <c r="QVE42" s="43"/>
      <c r="QVF42" s="44"/>
      <c r="QVH42" s="42"/>
      <c r="QVI42" s="43"/>
      <c r="QVJ42" s="44"/>
      <c r="QVL42" s="42"/>
      <c r="QVM42" s="43"/>
      <c r="QVN42" s="44"/>
      <c r="QVP42" s="42"/>
      <c r="QVQ42" s="43"/>
      <c r="QVR42" s="44"/>
      <c r="QVT42" s="42"/>
      <c r="QVU42" s="43"/>
      <c r="QVV42" s="44"/>
      <c r="QVX42" s="42"/>
      <c r="QVY42" s="43"/>
      <c r="QVZ42" s="44"/>
      <c r="QWB42" s="42"/>
      <c r="QWC42" s="43"/>
      <c r="QWD42" s="44"/>
      <c r="QWF42" s="42"/>
      <c r="QWG42" s="43"/>
      <c r="QWH42" s="44"/>
      <c r="QWJ42" s="42"/>
      <c r="QWK42" s="43"/>
      <c r="QWL42" s="44"/>
      <c r="QWN42" s="42"/>
      <c r="QWO42" s="43"/>
      <c r="QWP42" s="44"/>
      <c r="QWR42" s="42"/>
      <c r="QWS42" s="43"/>
      <c r="QWT42" s="44"/>
      <c r="QWV42" s="42"/>
      <c r="QWW42" s="43"/>
      <c r="QWX42" s="44"/>
      <c r="QWZ42" s="42"/>
      <c r="QXA42" s="43"/>
      <c r="QXB42" s="44"/>
      <c r="QXD42" s="42"/>
      <c r="QXE42" s="43"/>
      <c r="QXF42" s="44"/>
      <c r="QXH42" s="42"/>
      <c r="QXI42" s="43"/>
      <c r="QXJ42" s="44"/>
      <c r="QXL42" s="42"/>
      <c r="QXM42" s="43"/>
      <c r="QXN42" s="44"/>
      <c r="QXP42" s="42"/>
      <c r="QXQ42" s="43"/>
      <c r="QXR42" s="44"/>
      <c r="QXT42" s="42"/>
      <c r="QXU42" s="43"/>
      <c r="QXV42" s="44"/>
      <c r="QXX42" s="42"/>
      <c r="QXY42" s="43"/>
      <c r="QXZ42" s="44"/>
      <c r="QYB42" s="42"/>
      <c r="QYC42" s="43"/>
      <c r="QYD42" s="44"/>
      <c r="QYF42" s="42"/>
      <c r="QYG42" s="43"/>
      <c r="QYH42" s="44"/>
      <c r="QYJ42" s="42"/>
      <c r="QYK42" s="43"/>
      <c r="QYL42" s="44"/>
      <c r="QYN42" s="42"/>
      <c r="QYO42" s="43"/>
      <c r="QYP42" s="44"/>
      <c r="QYR42" s="42"/>
      <c r="QYS42" s="43"/>
      <c r="QYT42" s="44"/>
      <c r="QYV42" s="42"/>
      <c r="QYW42" s="43"/>
      <c r="QYX42" s="44"/>
      <c r="QYZ42" s="42"/>
      <c r="QZA42" s="43"/>
      <c r="QZB42" s="44"/>
      <c r="QZD42" s="42"/>
      <c r="QZE42" s="43"/>
      <c r="QZF42" s="44"/>
      <c r="QZH42" s="42"/>
      <c r="QZI42" s="43"/>
      <c r="QZJ42" s="44"/>
      <c r="QZL42" s="42"/>
      <c r="QZM42" s="43"/>
      <c r="QZN42" s="44"/>
      <c r="QZP42" s="42"/>
      <c r="QZQ42" s="43"/>
      <c r="QZR42" s="44"/>
      <c r="QZT42" s="42"/>
      <c r="QZU42" s="43"/>
      <c r="QZV42" s="44"/>
      <c r="QZX42" s="42"/>
      <c r="QZY42" s="43"/>
      <c r="QZZ42" s="44"/>
      <c r="RAB42" s="42"/>
      <c r="RAC42" s="43"/>
      <c r="RAD42" s="44"/>
      <c r="RAF42" s="42"/>
      <c r="RAG42" s="43"/>
      <c r="RAH42" s="44"/>
      <c r="RAJ42" s="42"/>
      <c r="RAK42" s="43"/>
      <c r="RAL42" s="44"/>
      <c r="RAN42" s="42"/>
      <c r="RAO42" s="43"/>
      <c r="RAP42" s="44"/>
      <c r="RAR42" s="42"/>
      <c r="RAS42" s="43"/>
      <c r="RAT42" s="44"/>
      <c r="RAV42" s="42"/>
      <c r="RAW42" s="43"/>
      <c r="RAX42" s="44"/>
      <c r="RAZ42" s="42"/>
      <c r="RBA42" s="43"/>
      <c r="RBB42" s="44"/>
      <c r="RBD42" s="42"/>
      <c r="RBE42" s="43"/>
      <c r="RBF42" s="44"/>
      <c r="RBH42" s="42"/>
      <c r="RBI42" s="43"/>
      <c r="RBJ42" s="44"/>
      <c r="RBL42" s="42"/>
      <c r="RBM42" s="43"/>
      <c r="RBN42" s="44"/>
      <c r="RBP42" s="42"/>
      <c r="RBQ42" s="43"/>
      <c r="RBR42" s="44"/>
      <c r="RBT42" s="42"/>
      <c r="RBU42" s="43"/>
      <c r="RBV42" s="44"/>
      <c r="RBX42" s="42"/>
      <c r="RBY42" s="43"/>
      <c r="RBZ42" s="44"/>
      <c r="RCB42" s="42"/>
      <c r="RCC42" s="43"/>
      <c r="RCD42" s="44"/>
      <c r="RCF42" s="42"/>
      <c r="RCG42" s="43"/>
      <c r="RCH42" s="44"/>
      <c r="RCJ42" s="42"/>
      <c r="RCK42" s="43"/>
      <c r="RCL42" s="44"/>
      <c r="RCN42" s="42"/>
      <c r="RCO42" s="43"/>
      <c r="RCP42" s="44"/>
      <c r="RCR42" s="42"/>
      <c r="RCS42" s="43"/>
      <c r="RCT42" s="44"/>
      <c r="RCV42" s="42"/>
      <c r="RCW42" s="43"/>
      <c r="RCX42" s="44"/>
      <c r="RCZ42" s="42"/>
      <c r="RDA42" s="43"/>
      <c r="RDB42" s="44"/>
      <c r="RDD42" s="42"/>
      <c r="RDE42" s="43"/>
      <c r="RDF42" s="44"/>
      <c r="RDH42" s="42"/>
      <c r="RDI42" s="43"/>
      <c r="RDJ42" s="44"/>
      <c r="RDL42" s="42"/>
      <c r="RDM42" s="43"/>
      <c r="RDN42" s="44"/>
      <c r="RDP42" s="42"/>
      <c r="RDQ42" s="43"/>
      <c r="RDR42" s="44"/>
      <c r="RDT42" s="42"/>
      <c r="RDU42" s="43"/>
      <c r="RDV42" s="44"/>
      <c r="RDX42" s="42"/>
      <c r="RDY42" s="43"/>
      <c r="RDZ42" s="44"/>
      <c r="REB42" s="42"/>
      <c r="REC42" s="43"/>
      <c r="RED42" s="44"/>
      <c r="REF42" s="42"/>
      <c r="REG42" s="43"/>
      <c r="REH42" s="44"/>
      <c r="REJ42" s="42"/>
      <c r="REK42" s="43"/>
      <c r="REL42" s="44"/>
      <c r="REN42" s="42"/>
      <c r="REO42" s="43"/>
      <c r="REP42" s="44"/>
      <c r="RER42" s="42"/>
      <c r="RES42" s="43"/>
      <c r="RET42" s="44"/>
      <c r="REV42" s="42"/>
      <c r="REW42" s="43"/>
      <c r="REX42" s="44"/>
      <c r="REZ42" s="42"/>
      <c r="RFA42" s="43"/>
      <c r="RFB42" s="44"/>
      <c r="RFD42" s="42"/>
      <c r="RFE42" s="43"/>
      <c r="RFF42" s="44"/>
      <c r="RFH42" s="42"/>
      <c r="RFI42" s="43"/>
      <c r="RFJ42" s="44"/>
      <c r="RFL42" s="42"/>
      <c r="RFM42" s="43"/>
      <c r="RFN42" s="44"/>
      <c r="RFP42" s="42"/>
      <c r="RFQ42" s="43"/>
      <c r="RFR42" s="44"/>
      <c r="RFT42" s="42"/>
      <c r="RFU42" s="43"/>
      <c r="RFV42" s="44"/>
      <c r="RFX42" s="42"/>
      <c r="RFY42" s="43"/>
      <c r="RFZ42" s="44"/>
      <c r="RGB42" s="42"/>
      <c r="RGC42" s="43"/>
      <c r="RGD42" s="44"/>
      <c r="RGF42" s="42"/>
      <c r="RGG42" s="43"/>
      <c r="RGH42" s="44"/>
      <c r="RGJ42" s="42"/>
      <c r="RGK42" s="43"/>
      <c r="RGL42" s="44"/>
      <c r="RGN42" s="42"/>
      <c r="RGO42" s="43"/>
      <c r="RGP42" s="44"/>
      <c r="RGR42" s="42"/>
      <c r="RGS42" s="43"/>
      <c r="RGT42" s="44"/>
      <c r="RGV42" s="42"/>
      <c r="RGW42" s="43"/>
      <c r="RGX42" s="44"/>
      <c r="RGZ42" s="42"/>
      <c r="RHA42" s="43"/>
      <c r="RHB42" s="44"/>
      <c r="RHD42" s="42"/>
      <c r="RHE42" s="43"/>
      <c r="RHF42" s="44"/>
      <c r="RHH42" s="42"/>
      <c r="RHI42" s="43"/>
      <c r="RHJ42" s="44"/>
      <c r="RHL42" s="42"/>
      <c r="RHM42" s="43"/>
      <c r="RHN42" s="44"/>
      <c r="RHP42" s="42"/>
      <c r="RHQ42" s="43"/>
      <c r="RHR42" s="44"/>
      <c r="RHT42" s="42"/>
      <c r="RHU42" s="43"/>
      <c r="RHV42" s="44"/>
      <c r="RHX42" s="42"/>
      <c r="RHY42" s="43"/>
      <c r="RHZ42" s="44"/>
      <c r="RIB42" s="42"/>
      <c r="RIC42" s="43"/>
      <c r="RID42" s="44"/>
      <c r="RIF42" s="42"/>
      <c r="RIG42" s="43"/>
      <c r="RIH42" s="44"/>
      <c r="RIJ42" s="42"/>
      <c r="RIK42" s="43"/>
      <c r="RIL42" s="44"/>
      <c r="RIN42" s="42"/>
      <c r="RIO42" s="43"/>
      <c r="RIP42" s="44"/>
      <c r="RIR42" s="42"/>
      <c r="RIS42" s="43"/>
      <c r="RIT42" s="44"/>
      <c r="RIV42" s="42"/>
      <c r="RIW42" s="43"/>
      <c r="RIX42" s="44"/>
      <c r="RIZ42" s="42"/>
      <c r="RJA42" s="43"/>
      <c r="RJB42" s="44"/>
      <c r="RJD42" s="42"/>
      <c r="RJE42" s="43"/>
      <c r="RJF42" s="44"/>
      <c r="RJH42" s="42"/>
      <c r="RJI42" s="43"/>
      <c r="RJJ42" s="44"/>
      <c r="RJL42" s="42"/>
      <c r="RJM42" s="43"/>
      <c r="RJN42" s="44"/>
      <c r="RJP42" s="42"/>
      <c r="RJQ42" s="43"/>
      <c r="RJR42" s="44"/>
      <c r="RJT42" s="42"/>
      <c r="RJU42" s="43"/>
      <c r="RJV42" s="44"/>
      <c r="RJX42" s="42"/>
      <c r="RJY42" s="43"/>
      <c r="RJZ42" s="44"/>
      <c r="RKB42" s="42"/>
      <c r="RKC42" s="43"/>
      <c r="RKD42" s="44"/>
      <c r="RKF42" s="42"/>
      <c r="RKG42" s="43"/>
      <c r="RKH42" s="44"/>
      <c r="RKJ42" s="42"/>
      <c r="RKK42" s="43"/>
      <c r="RKL42" s="44"/>
      <c r="RKN42" s="42"/>
      <c r="RKO42" s="43"/>
      <c r="RKP42" s="44"/>
      <c r="RKR42" s="42"/>
      <c r="RKS42" s="43"/>
      <c r="RKT42" s="44"/>
      <c r="RKV42" s="42"/>
      <c r="RKW42" s="43"/>
      <c r="RKX42" s="44"/>
      <c r="RKZ42" s="42"/>
      <c r="RLA42" s="43"/>
      <c r="RLB42" s="44"/>
      <c r="RLD42" s="42"/>
      <c r="RLE42" s="43"/>
      <c r="RLF42" s="44"/>
      <c r="RLH42" s="42"/>
      <c r="RLI42" s="43"/>
      <c r="RLJ42" s="44"/>
      <c r="RLL42" s="42"/>
      <c r="RLM42" s="43"/>
      <c r="RLN42" s="44"/>
      <c r="RLP42" s="42"/>
      <c r="RLQ42" s="43"/>
      <c r="RLR42" s="44"/>
      <c r="RLT42" s="42"/>
      <c r="RLU42" s="43"/>
      <c r="RLV42" s="44"/>
      <c r="RLX42" s="42"/>
      <c r="RLY42" s="43"/>
      <c r="RLZ42" s="44"/>
      <c r="RMB42" s="42"/>
      <c r="RMC42" s="43"/>
      <c r="RMD42" s="44"/>
      <c r="RMF42" s="42"/>
      <c r="RMG42" s="43"/>
      <c r="RMH42" s="44"/>
      <c r="RMJ42" s="42"/>
      <c r="RMK42" s="43"/>
      <c r="RML42" s="44"/>
      <c r="RMN42" s="42"/>
      <c r="RMO42" s="43"/>
      <c r="RMP42" s="44"/>
      <c r="RMR42" s="42"/>
      <c r="RMS42" s="43"/>
      <c r="RMT42" s="44"/>
      <c r="RMV42" s="42"/>
      <c r="RMW42" s="43"/>
      <c r="RMX42" s="44"/>
      <c r="RMZ42" s="42"/>
      <c r="RNA42" s="43"/>
      <c r="RNB42" s="44"/>
      <c r="RND42" s="42"/>
      <c r="RNE42" s="43"/>
      <c r="RNF42" s="44"/>
      <c r="RNH42" s="42"/>
      <c r="RNI42" s="43"/>
      <c r="RNJ42" s="44"/>
      <c r="RNL42" s="42"/>
      <c r="RNM42" s="43"/>
      <c r="RNN42" s="44"/>
      <c r="RNP42" s="42"/>
      <c r="RNQ42" s="43"/>
      <c r="RNR42" s="44"/>
      <c r="RNT42" s="42"/>
      <c r="RNU42" s="43"/>
      <c r="RNV42" s="44"/>
      <c r="RNX42" s="42"/>
      <c r="RNY42" s="43"/>
      <c r="RNZ42" s="44"/>
      <c r="ROB42" s="42"/>
      <c r="ROC42" s="43"/>
      <c r="ROD42" s="44"/>
      <c r="ROF42" s="42"/>
      <c r="ROG42" s="43"/>
      <c r="ROH42" s="44"/>
      <c r="ROJ42" s="42"/>
      <c r="ROK42" s="43"/>
      <c r="ROL42" s="44"/>
      <c r="RON42" s="42"/>
      <c r="ROO42" s="43"/>
      <c r="ROP42" s="44"/>
      <c r="ROR42" s="42"/>
      <c r="ROS42" s="43"/>
      <c r="ROT42" s="44"/>
      <c r="ROV42" s="42"/>
      <c r="ROW42" s="43"/>
      <c r="ROX42" s="44"/>
      <c r="ROZ42" s="42"/>
      <c r="RPA42" s="43"/>
      <c r="RPB42" s="44"/>
      <c r="RPD42" s="42"/>
      <c r="RPE42" s="43"/>
      <c r="RPF42" s="44"/>
      <c r="RPH42" s="42"/>
      <c r="RPI42" s="43"/>
      <c r="RPJ42" s="44"/>
      <c r="RPL42" s="42"/>
      <c r="RPM42" s="43"/>
      <c r="RPN42" s="44"/>
      <c r="RPP42" s="42"/>
      <c r="RPQ42" s="43"/>
      <c r="RPR42" s="44"/>
      <c r="RPT42" s="42"/>
      <c r="RPU42" s="43"/>
      <c r="RPV42" s="44"/>
      <c r="RPX42" s="42"/>
      <c r="RPY42" s="43"/>
      <c r="RPZ42" s="44"/>
      <c r="RQB42" s="42"/>
      <c r="RQC42" s="43"/>
      <c r="RQD42" s="44"/>
      <c r="RQF42" s="42"/>
      <c r="RQG42" s="43"/>
      <c r="RQH42" s="44"/>
      <c r="RQJ42" s="42"/>
      <c r="RQK42" s="43"/>
      <c r="RQL42" s="44"/>
      <c r="RQN42" s="42"/>
      <c r="RQO42" s="43"/>
      <c r="RQP42" s="44"/>
      <c r="RQR42" s="42"/>
      <c r="RQS42" s="43"/>
      <c r="RQT42" s="44"/>
      <c r="RQV42" s="42"/>
      <c r="RQW42" s="43"/>
      <c r="RQX42" s="44"/>
      <c r="RQZ42" s="42"/>
      <c r="RRA42" s="43"/>
      <c r="RRB42" s="44"/>
      <c r="RRD42" s="42"/>
      <c r="RRE42" s="43"/>
      <c r="RRF42" s="44"/>
      <c r="RRH42" s="42"/>
      <c r="RRI42" s="43"/>
      <c r="RRJ42" s="44"/>
      <c r="RRL42" s="42"/>
      <c r="RRM42" s="43"/>
      <c r="RRN42" s="44"/>
      <c r="RRP42" s="42"/>
      <c r="RRQ42" s="43"/>
      <c r="RRR42" s="44"/>
      <c r="RRT42" s="42"/>
      <c r="RRU42" s="43"/>
      <c r="RRV42" s="44"/>
      <c r="RRX42" s="42"/>
      <c r="RRY42" s="43"/>
      <c r="RRZ42" s="44"/>
      <c r="RSB42" s="42"/>
      <c r="RSC42" s="43"/>
      <c r="RSD42" s="44"/>
      <c r="RSF42" s="42"/>
      <c r="RSG42" s="43"/>
      <c r="RSH42" s="44"/>
      <c r="RSJ42" s="42"/>
      <c r="RSK42" s="43"/>
      <c r="RSL42" s="44"/>
      <c r="RSN42" s="42"/>
      <c r="RSO42" s="43"/>
      <c r="RSP42" s="44"/>
      <c r="RSR42" s="42"/>
      <c r="RSS42" s="43"/>
      <c r="RST42" s="44"/>
      <c r="RSV42" s="42"/>
      <c r="RSW42" s="43"/>
      <c r="RSX42" s="44"/>
      <c r="RSZ42" s="42"/>
      <c r="RTA42" s="43"/>
      <c r="RTB42" s="44"/>
      <c r="RTD42" s="42"/>
      <c r="RTE42" s="43"/>
      <c r="RTF42" s="44"/>
      <c r="RTH42" s="42"/>
      <c r="RTI42" s="43"/>
      <c r="RTJ42" s="44"/>
      <c r="RTL42" s="42"/>
      <c r="RTM42" s="43"/>
      <c r="RTN42" s="44"/>
      <c r="RTP42" s="42"/>
      <c r="RTQ42" s="43"/>
      <c r="RTR42" s="44"/>
      <c r="RTT42" s="42"/>
      <c r="RTU42" s="43"/>
      <c r="RTV42" s="44"/>
      <c r="RTX42" s="42"/>
      <c r="RTY42" s="43"/>
      <c r="RTZ42" s="44"/>
      <c r="RUB42" s="42"/>
      <c r="RUC42" s="43"/>
      <c r="RUD42" s="44"/>
      <c r="RUF42" s="42"/>
      <c r="RUG42" s="43"/>
      <c r="RUH42" s="44"/>
      <c r="RUJ42" s="42"/>
      <c r="RUK42" s="43"/>
      <c r="RUL42" s="44"/>
      <c r="RUN42" s="42"/>
      <c r="RUO42" s="43"/>
      <c r="RUP42" s="44"/>
      <c r="RUR42" s="42"/>
      <c r="RUS42" s="43"/>
      <c r="RUT42" s="44"/>
      <c r="RUV42" s="42"/>
      <c r="RUW42" s="43"/>
      <c r="RUX42" s="44"/>
      <c r="RUZ42" s="42"/>
      <c r="RVA42" s="43"/>
      <c r="RVB42" s="44"/>
      <c r="RVD42" s="42"/>
      <c r="RVE42" s="43"/>
      <c r="RVF42" s="44"/>
      <c r="RVH42" s="42"/>
      <c r="RVI42" s="43"/>
      <c r="RVJ42" s="44"/>
      <c r="RVL42" s="42"/>
      <c r="RVM42" s="43"/>
      <c r="RVN42" s="44"/>
      <c r="RVP42" s="42"/>
      <c r="RVQ42" s="43"/>
      <c r="RVR42" s="44"/>
      <c r="RVT42" s="42"/>
      <c r="RVU42" s="43"/>
      <c r="RVV42" s="44"/>
      <c r="RVX42" s="42"/>
      <c r="RVY42" s="43"/>
      <c r="RVZ42" s="44"/>
      <c r="RWB42" s="42"/>
      <c r="RWC42" s="43"/>
      <c r="RWD42" s="44"/>
      <c r="RWF42" s="42"/>
      <c r="RWG42" s="43"/>
      <c r="RWH42" s="44"/>
      <c r="RWJ42" s="42"/>
      <c r="RWK42" s="43"/>
      <c r="RWL42" s="44"/>
      <c r="RWN42" s="42"/>
      <c r="RWO42" s="43"/>
      <c r="RWP42" s="44"/>
      <c r="RWR42" s="42"/>
      <c r="RWS42" s="43"/>
      <c r="RWT42" s="44"/>
      <c r="RWV42" s="42"/>
      <c r="RWW42" s="43"/>
      <c r="RWX42" s="44"/>
      <c r="RWZ42" s="42"/>
      <c r="RXA42" s="43"/>
      <c r="RXB42" s="44"/>
      <c r="RXD42" s="42"/>
      <c r="RXE42" s="43"/>
      <c r="RXF42" s="44"/>
      <c r="RXH42" s="42"/>
      <c r="RXI42" s="43"/>
      <c r="RXJ42" s="44"/>
      <c r="RXL42" s="42"/>
      <c r="RXM42" s="43"/>
      <c r="RXN42" s="44"/>
      <c r="RXP42" s="42"/>
      <c r="RXQ42" s="43"/>
      <c r="RXR42" s="44"/>
      <c r="RXT42" s="42"/>
      <c r="RXU42" s="43"/>
      <c r="RXV42" s="44"/>
      <c r="RXX42" s="42"/>
      <c r="RXY42" s="43"/>
      <c r="RXZ42" s="44"/>
      <c r="RYB42" s="42"/>
      <c r="RYC42" s="43"/>
      <c r="RYD42" s="44"/>
      <c r="RYF42" s="42"/>
      <c r="RYG42" s="43"/>
      <c r="RYH42" s="44"/>
      <c r="RYJ42" s="42"/>
      <c r="RYK42" s="43"/>
      <c r="RYL42" s="44"/>
      <c r="RYN42" s="42"/>
      <c r="RYO42" s="43"/>
      <c r="RYP42" s="44"/>
      <c r="RYR42" s="42"/>
      <c r="RYS42" s="43"/>
      <c r="RYT42" s="44"/>
      <c r="RYV42" s="42"/>
      <c r="RYW42" s="43"/>
      <c r="RYX42" s="44"/>
      <c r="RYZ42" s="42"/>
      <c r="RZA42" s="43"/>
      <c r="RZB42" s="44"/>
      <c r="RZD42" s="42"/>
      <c r="RZE42" s="43"/>
      <c r="RZF42" s="44"/>
      <c r="RZH42" s="42"/>
      <c r="RZI42" s="43"/>
      <c r="RZJ42" s="44"/>
      <c r="RZL42" s="42"/>
      <c r="RZM42" s="43"/>
      <c r="RZN42" s="44"/>
      <c r="RZP42" s="42"/>
      <c r="RZQ42" s="43"/>
      <c r="RZR42" s="44"/>
      <c r="RZT42" s="42"/>
      <c r="RZU42" s="43"/>
      <c r="RZV42" s="44"/>
      <c r="RZX42" s="42"/>
      <c r="RZY42" s="43"/>
      <c r="RZZ42" s="44"/>
      <c r="SAB42" s="42"/>
      <c r="SAC42" s="43"/>
      <c r="SAD42" s="44"/>
      <c r="SAF42" s="42"/>
      <c r="SAG42" s="43"/>
      <c r="SAH42" s="44"/>
      <c r="SAJ42" s="42"/>
      <c r="SAK42" s="43"/>
      <c r="SAL42" s="44"/>
      <c r="SAN42" s="42"/>
      <c r="SAO42" s="43"/>
      <c r="SAP42" s="44"/>
      <c r="SAR42" s="42"/>
      <c r="SAS42" s="43"/>
      <c r="SAT42" s="44"/>
      <c r="SAV42" s="42"/>
      <c r="SAW42" s="43"/>
      <c r="SAX42" s="44"/>
      <c r="SAZ42" s="42"/>
      <c r="SBA42" s="43"/>
      <c r="SBB42" s="44"/>
      <c r="SBD42" s="42"/>
      <c r="SBE42" s="43"/>
      <c r="SBF42" s="44"/>
      <c r="SBH42" s="42"/>
      <c r="SBI42" s="43"/>
      <c r="SBJ42" s="44"/>
      <c r="SBL42" s="42"/>
      <c r="SBM42" s="43"/>
      <c r="SBN42" s="44"/>
      <c r="SBP42" s="42"/>
      <c r="SBQ42" s="43"/>
      <c r="SBR42" s="44"/>
      <c r="SBT42" s="42"/>
      <c r="SBU42" s="43"/>
      <c r="SBV42" s="44"/>
      <c r="SBX42" s="42"/>
      <c r="SBY42" s="43"/>
      <c r="SBZ42" s="44"/>
      <c r="SCB42" s="42"/>
      <c r="SCC42" s="43"/>
      <c r="SCD42" s="44"/>
      <c r="SCF42" s="42"/>
      <c r="SCG42" s="43"/>
      <c r="SCH42" s="44"/>
      <c r="SCJ42" s="42"/>
      <c r="SCK42" s="43"/>
      <c r="SCL42" s="44"/>
      <c r="SCN42" s="42"/>
      <c r="SCO42" s="43"/>
      <c r="SCP42" s="44"/>
      <c r="SCR42" s="42"/>
      <c r="SCS42" s="43"/>
      <c r="SCT42" s="44"/>
      <c r="SCV42" s="42"/>
      <c r="SCW42" s="43"/>
      <c r="SCX42" s="44"/>
      <c r="SCZ42" s="42"/>
      <c r="SDA42" s="43"/>
      <c r="SDB42" s="44"/>
      <c r="SDD42" s="42"/>
      <c r="SDE42" s="43"/>
      <c r="SDF42" s="44"/>
      <c r="SDH42" s="42"/>
      <c r="SDI42" s="43"/>
      <c r="SDJ42" s="44"/>
      <c r="SDL42" s="42"/>
      <c r="SDM42" s="43"/>
      <c r="SDN42" s="44"/>
      <c r="SDP42" s="42"/>
      <c r="SDQ42" s="43"/>
      <c r="SDR42" s="44"/>
      <c r="SDT42" s="42"/>
      <c r="SDU42" s="43"/>
      <c r="SDV42" s="44"/>
      <c r="SDX42" s="42"/>
      <c r="SDY42" s="43"/>
      <c r="SDZ42" s="44"/>
      <c r="SEB42" s="42"/>
      <c r="SEC42" s="43"/>
      <c r="SED42" s="44"/>
      <c r="SEF42" s="42"/>
      <c r="SEG42" s="43"/>
      <c r="SEH42" s="44"/>
      <c r="SEJ42" s="42"/>
      <c r="SEK42" s="43"/>
      <c r="SEL42" s="44"/>
      <c r="SEN42" s="42"/>
      <c r="SEO42" s="43"/>
      <c r="SEP42" s="44"/>
      <c r="SER42" s="42"/>
      <c r="SES42" s="43"/>
      <c r="SET42" s="44"/>
      <c r="SEV42" s="42"/>
      <c r="SEW42" s="43"/>
      <c r="SEX42" s="44"/>
      <c r="SEZ42" s="42"/>
      <c r="SFA42" s="43"/>
      <c r="SFB42" s="44"/>
      <c r="SFD42" s="42"/>
      <c r="SFE42" s="43"/>
      <c r="SFF42" s="44"/>
      <c r="SFH42" s="42"/>
      <c r="SFI42" s="43"/>
      <c r="SFJ42" s="44"/>
      <c r="SFL42" s="42"/>
      <c r="SFM42" s="43"/>
      <c r="SFN42" s="44"/>
      <c r="SFP42" s="42"/>
      <c r="SFQ42" s="43"/>
      <c r="SFR42" s="44"/>
      <c r="SFT42" s="42"/>
      <c r="SFU42" s="43"/>
      <c r="SFV42" s="44"/>
      <c r="SFX42" s="42"/>
      <c r="SFY42" s="43"/>
      <c r="SFZ42" s="44"/>
      <c r="SGB42" s="42"/>
      <c r="SGC42" s="43"/>
      <c r="SGD42" s="44"/>
      <c r="SGF42" s="42"/>
      <c r="SGG42" s="43"/>
      <c r="SGH42" s="44"/>
      <c r="SGJ42" s="42"/>
      <c r="SGK42" s="43"/>
      <c r="SGL42" s="44"/>
      <c r="SGN42" s="42"/>
      <c r="SGO42" s="43"/>
      <c r="SGP42" s="44"/>
      <c r="SGR42" s="42"/>
      <c r="SGS42" s="43"/>
      <c r="SGT42" s="44"/>
      <c r="SGV42" s="42"/>
      <c r="SGW42" s="43"/>
      <c r="SGX42" s="44"/>
      <c r="SGZ42" s="42"/>
      <c r="SHA42" s="43"/>
      <c r="SHB42" s="44"/>
      <c r="SHD42" s="42"/>
      <c r="SHE42" s="43"/>
      <c r="SHF42" s="44"/>
      <c r="SHH42" s="42"/>
      <c r="SHI42" s="43"/>
      <c r="SHJ42" s="44"/>
      <c r="SHL42" s="42"/>
      <c r="SHM42" s="43"/>
      <c r="SHN42" s="44"/>
      <c r="SHP42" s="42"/>
      <c r="SHQ42" s="43"/>
      <c r="SHR42" s="44"/>
      <c r="SHT42" s="42"/>
      <c r="SHU42" s="43"/>
      <c r="SHV42" s="44"/>
      <c r="SHX42" s="42"/>
      <c r="SHY42" s="43"/>
      <c r="SHZ42" s="44"/>
      <c r="SIB42" s="42"/>
      <c r="SIC42" s="43"/>
      <c r="SID42" s="44"/>
      <c r="SIF42" s="42"/>
      <c r="SIG42" s="43"/>
      <c r="SIH42" s="44"/>
      <c r="SIJ42" s="42"/>
      <c r="SIK42" s="43"/>
      <c r="SIL42" s="44"/>
      <c r="SIN42" s="42"/>
      <c r="SIO42" s="43"/>
      <c r="SIP42" s="44"/>
      <c r="SIR42" s="42"/>
      <c r="SIS42" s="43"/>
      <c r="SIT42" s="44"/>
      <c r="SIV42" s="42"/>
      <c r="SIW42" s="43"/>
      <c r="SIX42" s="44"/>
      <c r="SIZ42" s="42"/>
      <c r="SJA42" s="43"/>
      <c r="SJB42" s="44"/>
      <c r="SJD42" s="42"/>
      <c r="SJE42" s="43"/>
      <c r="SJF42" s="44"/>
      <c r="SJH42" s="42"/>
      <c r="SJI42" s="43"/>
      <c r="SJJ42" s="44"/>
      <c r="SJL42" s="42"/>
      <c r="SJM42" s="43"/>
      <c r="SJN42" s="44"/>
      <c r="SJP42" s="42"/>
      <c r="SJQ42" s="43"/>
      <c r="SJR42" s="44"/>
      <c r="SJT42" s="42"/>
      <c r="SJU42" s="43"/>
      <c r="SJV42" s="44"/>
      <c r="SJX42" s="42"/>
      <c r="SJY42" s="43"/>
      <c r="SJZ42" s="44"/>
      <c r="SKB42" s="42"/>
      <c r="SKC42" s="43"/>
      <c r="SKD42" s="44"/>
      <c r="SKF42" s="42"/>
      <c r="SKG42" s="43"/>
      <c r="SKH42" s="44"/>
      <c r="SKJ42" s="42"/>
      <c r="SKK42" s="43"/>
      <c r="SKL42" s="44"/>
      <c r="SKN42" s="42"/>
      <c r="SKO42" s="43"/>
      <c r="SKP42" s="44"/>
      <c r="SKR42" s="42"/>
      <c r="SKS42" s="43"/>
      <c r="SKT42" s="44"/>
      <c r="SKV42" s="42"/>
      <c r="SKW42" s="43"/>
      <c r="SKX42" s="44"/>
      <c r="SKZ42" s="42"/>
      <c r="SLA42" s="43"/>
      <c r="SLB42" s="44"/>
      <c r="SLD42" s="42"/>
      <c r="SLE42" s="43"/>
      <c r="SLF42" s="44"/>
      <c r="SLH42" s="42"/>
      <c r="SLI42" s="43"/>
      <c r="SLJ42" s="44"/>
      <c r="SLL42" s="42"/>
      <c r="SLM42" s="43"/>
      <c r="SLN42" s="44"/>
      <c r="SLP42" s="42"/>
      <c r="SLQ42" s="43"/>
      <c r="SLR42" s="44"/>
      <c r="SLT42" s="42"/>
      <c r="SLU42" s="43"/>
      <c r="SLV42" s="44"/>
      <c r="SLX42" s="42"/>
      <c r="SLY42" s="43"/>
      <c r="SLZ42" s="44"/>
      <c r="SMB42" s="42"/>
      <c r="SMC42" s="43"/>
      <c r="SMD42" s="44"/>
      <c r="SMF42" s="42"/>
      <c r="SMG42" s="43"/>
      <c r="SMH42" s="44"/>
      <c r="SMJ42" s="42"/>
      <c r="SMK42" s="43"/>
      <c r="SML42" s="44"/>
      <c r="SMN42" s="42"/>
      <c r="SMO42" s="43"/>
      <c r="SMP42" s="44"/>
      <c r="SMR42" s="42"/>
      <c r="SMS42" s="43"/>
      <c r="SMT42" s="44"/>
      <c r="SMV42" s="42"/>
      <c r="SMW42" s="43"/>
      <c r="SMX42" s="44"/>
      <c r="SMZ42" s="42"/>
      <c r="SNA42" s="43"/>
      <c r="SNB42" s="44"/>
      <c r="SND42" s="42"/>
      <c r="SNE42" s="43"/>
      <c r="SNF42" s="44"/>
      <c r="SNH42" s="42"/>
      <c r="SNI42" s="43"/>
      <c r="SNJ42" s="44"/>
      <c r="SNL42" s="42"/>
      <c r="SNM42" s="43"/>
      <c r="SNN42" s="44"/>
      <c r="SNP42" s="42"/>
      <c r="SNQ42" s="43"/>
      <c r="SNR42" s="44"/>
      <c r="SNT42" s="42"/>
      <c r="SNU42" s="43"/>
      <c r="SNV42" s="44"/>
      <c r="SNX42" s="42"/>
      <c r="SNY42" s="43"/>
      <c r="SNZ42" s="44"/>
      <c r="SOB42" s="42"/>
      <c r="SOC42" s="43"/>
      <c r="SOD42" s="44"/>
      <c r="SOF42" s="42"/>
      <c r="SOG42" s="43"/>
      <c r="SOH42" s="44"/>
      <c r="SOJ42" s="42"/>
      <c r="SOK42" s="43"/>
      <c r="SOL42" s="44"/>
      <c r="SON42" s="42"/>
      <c r="SOO42" s="43"/>
      <c r="SOP42" s="44"/>
      <c r="SOR42" s="42"/>
      <c r="SOS42" s="43"/>
      <c r="SOT42" s="44"/>
      <c r="SOV42" s="42"/>
      <c r="SOW42" s="43"/>
      <c r="SOX42" s="44"/>
      <c r="SOZ42" s="42"/>
      <c r="SPA42" s="43"/>
      <c r="SPB42" s="44"/>
      <c r="SPD42" s="42"/>
      <c r="SPE42" s="43"/>
      <c r="SPF42" s="44"/>
      <c r="SPH42" s="42"/>
      <c r="SPI42" s="43"/>
      <c r="SPJ42" s="44"/>
      <c r="SPL42" s="42"/>
      <c r="SPM42" s="43"/>
      <c r="SPN42" s="44"/>
      <c r="SPP42" s="42"/>
      <c r="SPQ42" s="43"/>
      <c r="SPR42" s="44"/>
      <c r="SPT42" s="42"/>
      <c r="SPU42" s="43"/>
      <c r="SPV42" s="44"/>
      <c r="SPX42" s="42"/>
      <c r="SPY42" s="43"/>
      <c r="SPZ42" s="44"/>
      <c r="SQB42" s="42"/>
      <c r="SQC42" s="43"/>
      <c r="SQD42" s="44"/>
      <c r="SQF42" s="42"/>
      <c r="SQG42" s="43"/>
      <c r="SQH42" s="44"/>
      <c r="SQJ42" s="42"/>
      <c r="SQK42" s="43"/>
      <c r="SQL42" s="44"/>
      <c r="SQN42" s="42"/>
      <c r="SQO42" s="43"/>
      <c r="SQP42" s="44"/>
      <c r="SQR42" s="42"/>
      <c r="SQS42" s="43"/>
      <c r="SQT42" s="44"/>
      <c r="SQV42" s="42"/>
      <c r="SQW42" s="43"/>
      <c r="SQX42" s="44"/>
      <c r="SQZ42" s="42"/>
      <c r="SRA42" s="43"/>
      <c r="SRB42" s="44"/>
      <c r="SRD42" s="42"/>
      <c r="SRE42" s="43"/>
      <c r="SRF42" s="44"/>
      <c r="SRH42" s="42"/>
      <c r="SRI42" s="43"/>
      <c r="SRJ42" s="44"/>
      <c r="SRL42" s="42"/>
      <c r="SRM42" s="43"/>
      <c r="SRN42" s="44"/>
      <c r="SRP42" s="42"/>
      <c r="SRQ42" s="43"/>
      <c r="SRR42" s="44"/>
      <c r="SRT42" s="42"/>
      <c r="SRU42" s="43"/>
      <c r="SRV42" s="44"/>
      <c r="SRX42" s="42"/>
      <c r="SRY42" s="43"/>
      <c r="SRZ42" s="44"/>
      <c r="SSB42" s="42"/>
      <c r="SSC42" s="43"/>
      <c r="SSD42" s="44"/>
      <c r="SSF42" s="42"/>
      <c r="SSG42" s="43"/>
      <c r="SSH42" s="44"/>
      <c r="SSJ42" s="42"/>
      <c r="SSK42" s="43"/>
      <c r="SSL42" s="44"/>
      <c r="SSN42" s="42"/>
      <c r="SSO42" s="43"/>
      <c r="SSP42" s="44"/>
      <c r="SSR42" s="42"/>
      <c r="SSS42" s="43"/>
      <c r="SST42" s="44"/>
      <c r="SSV42" s="42"/>
      <c r="SSW42" s="43"/>
      <c r="SSX42" s="44"/>
      <c r="SSZ42" s="42"/>
      <c r="STA42" s="43"/>
      <c r="STB42" s="44"/>
      <c r="STD42" s="42"/>
      <c r="STE42" s="43"/>
      <c r="STF42" s="44"/>
      <c r="STH42" s="42"/>
      <c r="STI42" s="43"/>
      <c r="STJ42" s="44"/>
      <c r="STL42" s="42"/>
      <c r="STM42" s="43"/>
      <c r="STN42" s="44"/>
      <c r="STP42" s="42"/>
      <c r="STQ42" s="43"/>
      <c r="STR42" s="44"/>
      <c r="STT42" s="42"/>
      <c r="STU42" s="43"/>
      <c r="STV42" s="44"/>
      <c r="STX42" s="42"/>
      <c r="STY42" s="43"/>
      <c r="STZ42" s="44"/>
      <c r="SUB42" s="42"/>
      <c r="SUC42" s="43"/>
      <c r="SUD42" s="44"/>
      <c r="SUF42" s="42"/>
      <c r="SUG42" s="43"/>
      <c r="SUH42" s="44"/>
      <c r="SUJ42" s="42"/>
      <c r="SUK42" s="43"/>
      <c r="SUL42" s="44"/>
      <c r="SUN42" s="42"/>
      <c r="SUO42" s="43"/>
      <c r="SUP42" s="44"/>
      <c r="SUR42" s="42"/>
      <c r="SUS42" s="43"/>
      <c r="SUT42" s="44"/>
      <c r="SUV42" s="42"/>
      <c r="SUW42" s="43"/>
      <c r="SUX42" s="44"/>
      <c r="SUZ42" s="42"/>
      <c r="SVA42" s="43"/>
      <c r="SVB42" s="44"/>
      <c r="SVD42" s="42"/>
      <c r="SVE42" s="43"/>
      <c r="SVF42" s="44"/>
      <c r="SVH42" s="42"/>
      <c r="SVI42" s="43"/>
      <c r="SVJ42" s="44"/>
      <c r="SVL42" s="42"/>
      <c r="SVM42" s="43"/>
      <c r="SVN42" s="44"/>
      <c r="SVP42" s="42"/>
      <c r="SVQ42" s="43"/>
      <c r="SVR42" s="44"/>
      <c r="SVT42" s="42"/>
      <c r="SVU42" s="43"/>
      <c r="SVV42" s="44"/>
      <c r="SVX42" s="42"/>
      <c r="SVY42" s="43"/>
      <c r="SVZ42" s="44"/>
      <c r="SWB42" s="42"/>
      <c r="SWC42" s="43"/>
      <c r="SWD42" s="44"/>
      <c r="SWF42" s="42"/>
      <c r="SWG42" s="43"/>
      <c r="SWH42" s="44"/>
      <c r="SWJ42" s="42"/>
      <c r="SWK42" s="43"/>
      <c r="SWL42" s="44"/>
      <c r="SWN42" s="42"/>
      <c r="SWO42" s="43"/>
      <c r="SWP42" s="44"/>
      <c r="SWR42" s="42"/>
      <c r="SWS42" s="43"/>
      <c r="SWT42" s="44"/>
      <c r="SWV42" s="42"/>
      <c r="SWW42" s="43"/>
      <c r="SWX42" s="44"/>
      <c r="SWZ42" s="42"/>
      <c r="SXA42" s="43"/>
      <c r="SXB42" s="44"/>
      <c r="SXD42" s="42"/>
      <c r="SXE42" s="43"/>
      <c r="SXF42" s="44"/>
      <c r="SXH42" s="42"/>
      <c r="SXI42" s="43"/>
      <c r="SXJ42" s="44"/>
      <c r="SXL42" s="42"/>
      <c r="SXM42" s="43"/>
      <c r="SXN42" s="44"/>
      <c r="SXP42" s="42"/>
      <c r="SXQ42" s="43"/>
      <c r="SXR42" s="44"/>
      <c r="SXT42" s="42"/>
      <c r="SXU42" s="43"/>
      <c r="SXV42" s="44"/>
      <c r="SXX42" s="42"/>
      <c r="SXY42" s="43"/>
      <c r="SXZ42" s="44"/>
      <c r="SYB42" s="42"/>
      <c r="SYC42" s="43"/>
      <c r="SYD42" s="44"/>
      <c r="SYF42" s="42"/>
      <c r="SYG42" s="43"/>
      <c r="SYH42" s="44"/>
      <c r="SYJ42" s="42"/>
      <c r="SYK42" s="43"/>
      <c r="SYL42" s="44"/>
      <c r="SYN42" s="42"/>
      <c r="SYO42" s="43"/>
      <c r="SYP42" s="44"/>
      <c r="SYR42" s="42"/>
      <c r="SYS42" s="43"/>
      <c r="SYT42" s="44"/>
      <c r="SYV42" s="42"/>
      <c r="SYW42" s="43"/>
      <c r="SYX42" s="44"/>
      <c r="SYZ42" s="42"/>
      <c r="SZA42" s="43"/>
      <c r="SZB42" s="44"/>
      <c r="SZD42" s="42"/>
      <c r="SZE42" s="43"/>
      <c r="SZF42" s="44"/>
      <c r="SZH42" s="42"/>
      <c r="SZI42" s="43"/>
      <c r="SZJ42" s="44"/>
      <c r="SZL42" s="42"/>
      <c r="SZM42" s="43"/>
      <c r="SZN42" s="44"/>
      <c r="SZP42" s="42"/>
      <c r="SZQ42" s="43"/>
      <c r="SZR42" s="44"/>
      <c r="SZT42" s="42"/>
      <c r="SZU42" s="43"/>
      <c r="SZV42" s="44"/>
      <c r="SZX42" s="42"/>
      <c r="SZY42" s="43"/>
      <c r="SZZ42" s="44"/>
      <c r="TAB42" s="42"/>
      <c r="TAC42" s="43"/>
      <c r="TAD42" s="44"/>
      <c r="TAF42" s="42"/>
      <c r="TAG42" s="43"/>
      <c r="TAH42" s="44"/>
      <c r="TAJ42" s="42"/>
      <c r="TAK42" s="43"/>
      <c r="TAL42" s="44"/>
      <c r="TAN42" s="42"/>
      <c r="TAO42" s="43"/>
      <c r="TAP42" s="44"/>
      <c r="TAR42" s="42"/>
      <c r="TAS42" s="43"/>
      <c r="TAT42" s="44"/>
      <c r="TAV42" s="42"/>
      <c r="TAW42" s="43"/>
      <c r="TAX42" s="44"/>
      <c r="TAZ42" s="42"/>
      <c r="TBA42" s="43"/>
      <c r="TBB42" s="44"/>
      <c r="TBD42" s="42"/>
      <c r="TBE42" s="43"/>
      <c r="TBF42" s="44"/>
      <c r="TBH42" s="42"/>
      <c r="TBI42" s="43"/>
      <c r="TBJ42" s="44"/>
      <c r="TBL42" s="42"/>
      <c r="TBM42" s="43"/>
      <c r="TBN42" s="44"/>
      <c r="TBP42" s="42"/>
      <c r="TBQ42" s="43"/>
      <c r="TBR42" s="44"/>
      <c r="TBT42" s="42"/>
      <c r="TBU42" s="43"/>
      <c r="TBV42" s="44"/>
      <c r="TBX42" s="42"/>
      <c r="TBY42" s="43"/>
      <c r="TBZ42" s="44"/>
      <c r="TCB42" s="42"/>
      <c r="TCC42" s="43"/>
      <c r="TCD42" s="44"/>
      <c r="TCF42" s="42"/>
      <c r="TCG42" s="43"/>
      <c r="TCH42" s="44"/>
      <c r="TCJ42" s="42"/>
      <c r="TCK42" s="43"/>
      <c r="TCL42" s="44"/>
      <c r="TCN42" s="42"/>
      <c r="TCO42" s="43"/>
      <c r="TCP42" s="44"/>
      <c r="TCR42" s="42"/>
      <c r="TCS42" s="43"/>
      <c r="TCT42" s="44"/>
      <c r="TCV42" s="42"/>
      <c r="TCW42" s="43"/>
      <c r="TCX42" s="44"/>
      <c r="TCZ42" s="42"/>
      <c r="TDA42" s="43"/>
      <c r="TDB42" s="44"/>
      <c r="TDD42" s="42"/>
      <c r="TDE42" s="43"/>
      <c r="TDF42" s="44"/>
      <c r="TDH42" s="42"/>
      <c r="TDI42" s="43"/>
      <c r="TDJ42" s="44"/>
      <c r="TDL42" s="42"/>
      <c r="TDM42" s="43"/>
      <c r="TDN42" s="44"/>
      <c r="TDP42" s="42"/>
      <c r="TDQ42" s="43"/>
      <c r="TDR42" s="44"/>
      <c r="TDT42" s="42"/>
      <c r="TDU42" s="43"/>
      <c r="TDV42" s="44"/>
      <c r="TDX42" s="42"/>
      <c r="TDY42" s="43"/>
      <c r="TDZ42" s="44"/>
      <c r="TEB42" s="42"/>
      <c r="TEC42" s="43"/>
      <c r="TED42" s="44"/>
      <c r="TEF42" s="42"/>
      <c r="TEG42" s="43"/>
      <c r="TEH42" s="44"/>
      <c r="TEJ42" s="42"/>
      <c r="TEK42" s="43"/>
      <c r="TEL42" s="44"/>
      <c r="TEN42" s="42"/>
      <c r="TEO42" s="43"/>
      <c r="TEP42" s="44"/>
      <c r="TER42" s="42"/>
      <c r="TES42" s="43"/>
      <c r="TET42" s="44"/>
      <c r="TEV42" s="42"/>
      <c r="TEW42" s="43"/>
      <c r="TEX42" s="44"/>
      <c r="TEZ42" s="42"/>
      <c r="TFA42" s="43"/>
      <c r="TFB42" s="44"/>
      <c r="TFD42" s="42"/>
      <c r="TFE42" s="43"/>
      <c r="TFF42" s="44"/>
      <c r="TFH42" s="42"/>
      <c r="TFI42" s="43"/>
      <c r="TFJ42" s="44"/>
      <c r="TFL42" s="42"/>
      <c r="TFM42" s="43"/>
      <c r="TFN42" s="44"/>
      <c r="TFP42" s="42"/>
      <c r="TFQ42" s="43"/>
      <c r="TFR42" s="44"/>
      <c r="TFT42" s="42"/>
      <c r="TFU42" s="43"/>
      <c r="TFV42" s="44"/>
      <c r="TFX42" s="42"/>
      <c r="TFY42" s="43"/>
      <c r="TFZ42" s="44"/>
      <c r="TGB42" s="42"/>
      <c r="TGC42" s="43"/>
      <c r="TGD42" s="44"/>
      <c r="TGF42" s="42"/>
      <c r="TGG42" s="43"/>
      <c r="TGH42" s="44"/>
      <c r="TGJ42" s="42"/>
      <c r="TGK42" s="43"/>
      <c r="TGL42" s="44"/>
      <c r="TGN42" s="42"/>
      <c r="TGO42" s="43"/>
      <c r="TGP42" s="44"/>
      <c r="TGR42" s="42"/>
      <c r="TGS42" s="43"/>
      <c r="TGT42" s="44"/>
      <c r="TGV42" s="42"/>
      <c r="TGW42" s="43"/>
      <c r="TGX42" s="44"/>
      <c r="TGZ42" s="42"/>
      <c r="THA42" s="43"/>
      <c r="THB42" s="44"/>
      <c r="THD42" s="42"/>
      <c r="THE42" s="43"/>
      <c r="THF42" s="44"/>
      <c r="THH42" s="42"/>
      <c r="THI42" s="43"/>
      <c r="THJ42" s="44"/>
      <c r="THL42" s="42"/>
      <c r="THM42" s="43"/>
      <c r="THN42" s="44"/>
      <c r="THP42" s="42"/>
      <c r="THQ42" s="43"/>
      <c r="THR42" s="44"/>
      <c r="THT42" s="42"/>
      <c r="THU42" s="43"/>
      <c r="THV42" s="44"/>
      <c r="THX42" s="42"/>
      <c r="THY42" s="43"/>
      <c r="THZ42" s="44"/>
      <c r="TIB42" s="42"/>
      <c r="TIC42" s="43"/>
      <c r="TID42" s="44"/>
      <c r="TIF42" s="42"/>
      <c r="TIG42" s="43"/>
      <c r="TIH42" s="44"/>
      <c r="TIJ42" s="42"/>
      <c r="TIK42" s="43"/>
      <c r="TIL42" s="44"/>
      <c r="TIN42" s="42"/>
      <c r="TIO42" s="43"/>
      <c r="TIP42" s="44"/>
      <c r="TIR42" s="42"/>
      <c r="TIS42" s="43"/>
      <c r="TIT42" s="44"/>
      <c r="TIV42" s="42"/>
      <c r="TIW42" s="43"/>
      <c r="TIX42" s="44"/>
      <c r="TIZ42" s="42"/>
      <c r="TJA42" s="43"/>
      <c r="TJB42" s="44"/>
      <c r="TJD42" s="42"/>
      <c r="TJE42" s="43"/>
      <c r="TJF42" s="44"/>
      <c r="TJH42" s="42"/>
      <c r="TJI42" s="43"/>
      <c r="TJJ42" s="44"/>
      <c r="TJL42" s="42"/>
      <c r="TJM42" s="43"/>
      <c r="TJN42" s="44"/>
      <c r="TJP42" s="42"/>
      <c r="TJQ42" s="43"/>
      <c r="TJR42" s="44"/>
      <c r="TJT42" s="42"/>
      <c r="TJU42" s="43"/>
      <c r="TJV42" s="44"/>
      <c r="TJX42" s="42"/>
      <c r="TJY42" s="43"/>
      <c r="TJZ42" s="44"/>
      <c r="TKB42" s="42"/>
      <c r="TKC42" s="43"/>
      <c r="TKD42" s="44"/>
      <c r="TKF42" s="42"/>
      <c r="TKG42" s="43"/>
      <c r="TKH42" s="44"/>
      <c r="TKJ42" s="42"/>
      <c r="TKK42" s="43"/>
      <c r="TKL42" s="44"/>
      <c r="TKN42" s="42"/>
      <c r="TKO42" s="43"/>
      <c r="TKP42" s="44"/>
      <c r="TKR42" s="42"/>
      <c r="TKS42" s="43"/>
      <c r="TKT42" s="44"/>
      <c r="TKV42" s="42"/>
      <c r="TKW42" s="43"/>
      <c r="TKX42" s="44"/>
      <c r="TKZ42" s="42"/>
      <c r="TLA42" s="43"/>
      <c r="TLB42" s="44"/>
      <c r="TLD42" s="42"/>
      <c r="TLE42" s="43"/>
      <c r="TLF42" s="44"/>
      <c r="TLH42" s="42"/>
      <c r="TLI42" s="43"/>
      <c r="TLJ42" s="44"/>
      <c r="TLL42" s="42"/>
      <c r="TLM42" s="43"/>
      <c r="TLN42" s="44"/>
      <c r="TLP42" s="42"/>
      <c r="TLQ42" s="43"/>
      <c r="TLR42" s="44"/>
      <c r="TLT42" s="42"/>
      <c r="TLU42" s="43"/>
      <c r="TLV42" s="44"/>
      <c r="TLX42" s="42"/>
      <c r="TLY42" s="43"/>
      <c r="TLZ42" s="44"/>
      <c r="TMB42" s="42"/>
      <c r="TMC42" s="43"/>
      <c r="TMD42" s="44"/>
      <c r="TMF42" s="42"/>
      <c r="TMG42" s="43"/>
      <c r="TMH42" s="44"/>
      <c r="TMJ42" s="42"/>
      <c r="TMK42" s="43"/>
      <c r="TML42" s="44"/>
      <c r="TMN42" s="42"/>
      <c r="TMO42" s="43"/>
      <c r="TMP42" s="44"/>
      <c r="TMR42" s="42"/>
      <c r="TMS42" s="43"/>
      <c r="TMT42" s="44"/>
      <c r="TMV42" s="42"/>
      <c r="TMW42" s="43"/>
      <c r="TMX42" s="44"/>
      <c r="TMZ42" s="42"/>
      <c r="TNA42" s="43"/>
      <c r="TNB42" s="44"/>
      <c r="TND42" s="42"/>
      <c r="TNE42" s="43"/>
      <c r="TNF42" s="44"/>
      <c r="TNH42" s="42"/>
      <c r="TNI42" s="43"/>
      <c r="TNJ42" s="44"/>
      <c r="TNL42" s="42"/>
      <c r="TNM42" s="43"/>
      <c r="TNN42" s="44"/>
      <c r="TNP42" s="42"/>
      <c r="TNQ42" s="43"/>
      <c r="TNR42" s="44"/>
      <c r="TNT42" s="42"/>
      <c r="TNU42" s="43"/>
      <c r="TNV42" s="44"/>
      <c r="TNX42" s="42"/>
      <c r="TNY42" s="43"/>
      <c r="TNZ42" s="44"/>
      <c r="TOB42" s="42"/>
      <c r="TOC42" s="43"/>
      <c r="TOD42" s="44"/>
      <c r="TOF42" s="42"/>
      <c r="TOG42" s="43"/>
      <c r="TOH42" s="44"/>
      <c r="TOJ42" s="42"/>
      <c r="TOK42" s="43"/>
      <c r="TOL42" s="44"/>
      <c r="TON42" s="42"/>
      <c r="TOO42" s="43"/>
      <c r="TOP42" s="44"/>
      <c r="TOR42" s="42"/>
      <c r="TOS42" s="43"/>
      <c r="TOT42" s="44"/>
      <c r="TOV42" s="42"/>
      <c r="TOW42" s="43"/>
      <c r="TOX42" s="44"/>
      <c r="TOZ42" s="42"/>
      <c r="TPA42" s="43"/>
      <c r="TPB42" s="44"/>
      <c r="TPD42" s="42"/>
      <c r="TPE42" s="43"/>
      <c r="TPF42" s="44"/>
      <c r="TPH42" s="42"/>
      <c r="TPI42" s="43"/>
      <c r="TPJ42" s="44"/>
      <c r="TPL42" s="42"/>
      <c r="TPM42" s="43"/>
      <c r="TPN42" s="44"/>
      <c r="TPP42" s="42"/>
      <c r="TPQ42" s="43"/>
      <c r="TPR42" s="44"/>
      <c r="TPT42" s="42"/>
      <c r="TPU42" s="43"/>
      <c r="TPV42" s="44"/>
      <c r="TPX42" s="42"/>
      <c r="TPY42" s="43"/>
      <c r="TPZ42" s="44"/>
      <c r="TQB42" s="42"/>
      <c r="TQC42" s="43"/>
      <c r="TQD42" s="44"/>
      <c r="TQF42" s="42"/>
      <c r="TQG42" s="43"/>
      <c r="TQH42" s="44"/>
      <c r="TQJ42" s="42"/>
      <c r="TQK42" s="43"/>
      <c r="TQL42" s="44"/>
      <c r="TQN42" s="42"/>
      <c r="TQO42" s="43"/>
      <c r="TQP42" s="44"/>
      <c r="TQR42" s="42"/>
      <c r="TQS42" s="43"/>
      <c r="TQT42" s="44"/>
      <c r="TQV42" s="42"/>
      <c r="TQW42" s="43"/>
      <c r="TQX42" s="44"/>
      <c r="TQZ42" s="42"/>
      <c r="TRA42" s="43"/>
      <c r="TRB42" s="44"/>
      <c r="TRD42" s="42"/>
      <c r="TRE42" s="43"/>
      <c r="TRF42" s="44"/>
      <c r="TRH42" s="42"/>
      <c r="TRI42" s="43"/>
      <c r="TRJ42" s="44"/>
      <c r="TRL42" s="42"/>
      <c r="TRM42" s="43"/>
      <c r="TRN42" s="44"/>
      <c r="TRP42" s="42"/>
      <c r="TRQ42" s="43"/>
      <c r="TRR42" s="44"/>
      <c r="TRT42" s="42"/>
      <c r="TRU42" s="43"/>
      <c r="TRV42" s="44"/>
      <c r="TRX42" s="42"/>
      <c r="TRY42" s="43"/>
      <c r="TRZ42" s="44"/>
      <c r="TSB42" s="42"/>
      <c r="TSC42" s="43"/>
      <c r="TSD42" s="44"/>
      <c r="TSF42" s="42"/>
      <c r="TSG42" s="43"/>
      <c r="TSH42" s="44"/>
      <c r="TSJ42" s="42"/>
      <c r="TSK42" s="43"/>
      <c r="TSL42" s="44"/>
      <c r="TSN42" s="42"/>
      <c r="TSO42" s="43"/>
      <c r="TSP42" s="44"/>
      <c r="TSR42" s="42"/>
      <c r="TSS42" s="43"/>
      <c r="TST42" s="44"/>
      <c r="TSV42" s="42"/>
      <c r="TSW42" s="43"/>
      <c r="TSX42" s="44"/>
      <c r="TSZ42" s="42"/>
      <c r="TTA42" s="43"/>
      <c r="TTB42" s="44"/>
      <c r="TTD42" s="42"/>
      <c r="TTE42" s="43"/>
      <c r="TTF42" s="44"/>
      <c r="TTH42" s="42"/>
      <c r="TTI42" s="43"/>
      <c r="TTJ42" s="44"/>
      <c r="TTL42" s="42"/>
      <c r="TTM42" s="43"/>
      <c r="TTN42" s="44"/>
      <c r="TTP42" s="42"/>
      <c r="TTQ42" s="43"/>
      <c r="TTR42" s="44"/>
      <c r="TTT42" s="42"/>
      <c r="TTU42" s="43"/>
      <c r="TTV42" s="44"/>
      <c r="TTX42" s="42"/>
      <c r="TTY42" s="43"/>
      <c r="TTZ42" s="44"/>
      <c r="TUB42" s="42"/>
      <c r="TUC42" s="43"/>
      <c r="TUD42" s="44"/>
      <c r="TUF42" s="42"/>
      <c r="TUG42" s="43"/>
      <c r="TUH42" s="44"/>
      <c r="TUJ42" s="42"/>
      <c r="TUK42" s="43"/>
      <c r="TUL42" s="44"/>
      <c r="TUN42" s="42"/>
      <c r="TUO42" s="43"/>
      <c r="TUP42" s="44"/>
      <c r="TUR42" s="42"/>
      <c r="TUS42" s="43"/>
      <c r="TUT42" s="44"/>
      <c r="TUV42" s="42"/>
      <c r="TUW42" s="43"/>
      <c r="TUX42" s="44"/>
      <c r="TUZ42" s="42"/>
      <c r="TVA42" s="43"/>
      <c r="TVB42" s="44"/>
      <c r="TVD42" s="42"/>
      <c r="TVE42" s="43"/>
      <c r="TVF42" s="44"/>
      <c r="TVH42" s="42"/>
      <c r="TVI42" s="43"/>
      <c r="TVJ42" s="44"/>
      <c r="TVL42" s="42"/>
      <c r="TVM42" s="43"/>
      <c r="TVN42" s="44"/>
      <c r="TVP42" s="42"/>
      <c r="TVQ42" s="43"/>
      <c r="TVR42" s="44"/>
      <c r="TVT42" s="42"/>
      <c r="TVU42" s="43"/>
      <c r="TVV42" s="44"/>
      <c r="TVX42" s="42"/>
      <c r="TVY42" s="43"/>
      <c r="TVZ42" s="44"/>
      <c r="TWB42" s="42"/>
      <c r="TWC42" s="43"/>
      <c r="TWD42" s="44"/>
      <c r="TWF42" s="42"/>
      <c r="TWG42" s="43"/>
      <c r="TWH42" s="44"/>
      <c r="TWJ42" s="42"/>
      <c r="TWK42" s="43"/>
      <c r="TWL42" s="44"/>
      <c r="TWN42" s="42"/>
      <c r="TWO42" s="43"/>
      <c r="TWP42" s="44"/>
      <c r="TWR42" s="42"/>
      <c r="TWS42" s="43"/>
      <c r="TWT42" s="44"/>
      <c r="TWV42" s="42"/>
      <c r="TWW42" s="43"/>
      <c r="TWX42" s="44"/>
      <c r="TWZ42" s="42"/>
      <c r="TXA42" s="43"/>
      <c r="TXB42" s="44"/>
      <c r="TXD42" s="42"/>
      <c r="TXE42" s="43"/>
      <c r="TXF42" s="44"/>
      <c r="TXH42" s="42"/>
      <c r="TXI42" s="43"/>
      <c r="TXJ42" s="44"/>
      <c r="TXL42" s="42"/>
      <c r="TXM42" s="43"/>
      <c r="TXN42" s="44"/>
      <c r="TXP42" s="42"/>
      <c r="TXQ42" s="43"/>
      <c r="TXR42" s="44"/>
      <c r="TXT42" s="42"/>
      <c r="TXU42" s="43"/>
      <c r="TXV42" s="44"/>
      <c r="TXX42" s="42"/>
      <c r="TXY42" s="43"/>
      <c r="TXZ42" s="44"/>
      <c r="TYB42" s="42"/>
      <c r="TYC42" s="43"/>
      <c r="TYD42" s="44"/>
      <c r="TYF42" s="42"/>
      <c r="TYG42" s="43"/>
      <c r="TYH42" s="44"/>
      <c r="TYJ42" s="42"/>
      <c r="TYK42" s="43"/>
      <c r="TYL42" s="44"/>
      <c r="TYN42" s="42"/>
      <c r="TYO42" s="43"/>
      <c r="TYP42" s="44"/>
      <c r="TYR42" s="42"/>
      <c r="TYS42" s="43"/>
      <c r="TYT42" s="44"/>
      <c r="TYV42" s="42"/>
      <c r="TYW42" s="43"/>
      <c r="TYX42" s="44"/>
      <c r="TYZ42" s="42"/>
      <c r="TZA42" s="43"/>
      <c r="TZB42" s="44"/>
      <c r="TZD42" s="42"/>
      <c r="TZE42" s="43"/>
      <c r="TZF42" s="44"/>
      <c r="TZH42" s="42"/>
      <c r="TZI42" s="43"/>
      <c r="TZJ42" s="44"/>
      <c r="TZL42" s="42"/>
      <c r="TZM42" s="43"/>
      <c r="TZN42" s="44"/>
      <c r="TZP42" s="42"/>
      <c r="TZQ42" s="43"/>
      <c r="TZR42" s="44"/>
      <c r="TZT42" s="42"/>
      <c r="TZU42" s="43"/>
      <c r="TZV42" s="44"/>
      <c r="TZX42" s="42"/>
      <c r="TZY42" s="43"/>
      <c r="TZZ42" s="44"/>
      <c r="UAB42" s="42"/>
      <c r="UAC42" s="43"/>
      <c r="UAD42" s="44"/>
      <c r="UAF42" s="42"/>
      <c r="UAG42" s="43"/>
      <c r="UAH42" s="44"/>
      <c r="UAJ42" s="42"/>
      <c r="UAK42" s="43"/>
      <c r="UAL42" s="44"/>
      <c r="UAN42" s="42"/>
      <c r="UAO42" s="43"/>
      <c r="UAP42" s="44"/>
      <c r="UAR42" s="42"/>
      <c r="UAS42" s="43"/>
      <c r="UAT42" s="44"/>
      <c r="UAV42" s="42"/>
      <c r="UAW42" s="43"/>
      <c r="UAX42" s="44"/>
      <c r="UAZ42" s="42"/>
      <c r="UBA42" s="43"/>
      <c r="UBB42" s="44"/>
      <c r="UBD42" s="42"/>
      <c r="UBE42" s="43"/>
      <c r="UBF42" s="44"/>
      <c r="UBH42" s="42"/>
      <c r="UBI42" s="43"/>
      <c r="UBJ42" s="44"/>
      <c r="UBL42" s="42"/>
      <c r="UBM42" s="43"/>
      <c r="UBN42" s="44"/>
      <c r="UBP42" s="42"/>
      <c r="UBQ42" s="43"/>
      <c r="UBR42" s="44"/>
      <c r="UBT42" s="42"/>
      <c r="UBU42" s="43"/>
      <c r="UBV42" s="44"/>
      <c r="UBX42" s="42"/>
      <c r="UBY42" s="43"/>
      <c r="UBZ42" s="44"/>
      <c r="UCB42" s="42"/>
      <c r="UCC42" s="43"/>
      <c r="UCD42" s="44"/>
      <c r="UCF42" s="42"/>
      <c r="UCG42" s="43"/>
      <c r="UCH42" s="44"/>
      <c r="UCJ42" s="42"/>
      <c r="UCK42" s="43"/>
      <c r="UCL42" s="44"/>
      <c r="UCN42" s="42"/>
      <c r="UCO42" s="43"/>
      <c r="UCP42" s="44"/>
      <c r="UCR42" s="42"/>
      <c r="UCS42" s="43"/>
      <c r="UCT42" s="44"/>
      <c r="UCV42" s="42"/>
      <c r="UCW42" s="43"/>
      <c r="UCX42" s="44"/>
      <c r="UCZ42" s="42"/>
      <c r="UDA42" s="43"/>
      <c r="UDB42" s="44"/>
      <c r="UDD42" s="42"/>
      <c r="UDE42" s="43"/>
      <c r="UDF42" s="44"/>
      <c r="UDH42" s="42"/>
      <c r="UDI42" s="43"/>
      <c r="UDJ42" s="44"/>
      <c r="UDL42" s="42"/>
      <c r="UDM42" s="43"/>
      <c r="UDN42" s="44"/>
      <c r="UDP42" s="42"/>
      <c r="UDQ42" s="43"/>
      <c r="UDR42" s="44"/>
      <c r="UDT42" s="42"/>
      <c r="UDU42" s="43"/>
      <c r="UDV42" s="44"/>
      <c r="UDX42" s="42"/>
      <c r="UDY42" s="43"/>
      <c r="UDZ42" s="44"/>
      <c r="UEB42" s="42"/>
      <c r="UEC42" s="43"/>
      <c r="UED42" s="44"/>
      <c r="UEF42" s="42"/>
      <c r="UEG42" s="43"/>
      <c r="UEH42" s="44"/>
      <c r="UEJ42" s="42"/>
      <c r="UEK42" s="43"/>
      <c r="UEL42" s="44"/>
      <c r="UEN42" s="42"/>
      <c r="UEO42" s="43"/>
      <c r="UEP42" s="44"/>
      <c r="UER42" s="42"/>
      <c r="UES42" s="43"/>
      <c r="UET42" s="44"/>
      <c r="UEV42" s="42"/>
      <c r="UEW42" s="43"/>
      <c r="UEX42" s="44"/>
      <c r="UEZ42" s="42"/>
      <c r="UFA42" s="43"/>
      <c r="UFB42" s="44"/>
      <c r="UFD42" s="42"/>
      <c r="UFE42" s="43"/>
      <c r="UFF42" s="44"/>
      <c r="UFH42" s="42"/>
      <c r="UFI42" s="43"/>
      <c r="UFJ42" s="44"/>
      <c r="UFL42" s="42"/>
      <c r="UFM42" s="43"/>
      <c r="UFN42" s="44"/>
      <c r="UFP42" s="42"/>
      <c r="UFQ42" s="43"/>
      <c r="UFR42" s="44"/>
      <c r="UFT42" s="42"/>
      <c r="UFU42" s="43"/>
      <c r="UFV42" s="44"/>
      <c r="UFX42" s="42"/>
      <c r="UFY42" s="43"/>
      <c r="UFZ42" s="44"/>
      <c r="UGB42" s="42"/>
      <c r="UGC42" s="43"/>
      <c r="UGD42" s="44"/>
      <c r="UGF42" s="42"/>
      <c r="UGG42" s="43"/>
      <c r="UGH42" s="44"/>
      <c r="UGJ42" s="42"/>
      <c r="UGK42" s="43"/>
      <c r="UGL42" s="44"/>
      <c r="UGN42" s="42"/>
      <c r="UGO42" s="43"/>
      <c r="UGP42" s="44"/>
      <c r="UGR42" s="42"/>
      <c r="UGS42" s="43"/>
      <c r="UGT42" s="44"/>
      <c r="UGV42" s="42"/>
      <c r="UGW42" s="43"/>
      <c r="UGX42" s="44"/>
      <c r="UGZ42" s="42"/>
      <c r="UHA42" s="43"/>
      <c r="UHB42" s="44"/>
      <c r="UHD42" s="42"/>
      <c r="UHE42" s="43"/>
      <c r="UHF42" s="44"/>
      <c r="UHH42" s="42"/>
      <c r="UHI42" s="43"/>
      <c r="UHJ42" s="44"/>
      <c r="UHL42" s="42"/>
      <c r="UHM42" s="43"/>
      <c r="UHN42" s="44"/>
      <c r="UHP42" s="42"/>
      <c r="UHQ42" s="43"/>
      <c r="UHR42" s="44"/>
      <c r="UHT42" s="42"/>
      <c r="UHU42" s="43"/>
      <c r="UHV42" s="44"/>
      <c r="UHX42" s="42"/>
      <c r="UHY42" s="43"/>
      <c r="UHZ42" s="44"/>
      <c r="UIB42" s="42"/>
      <c r="UIC42" s="43"/>
      <c r="UID42" s="44"/>
      <c r="UIF42" s="42"/>
      <c r="UIG42" s="43"/>
      <c r="UIH42" s="44"/>
      <c r="UIJ42" s="42"/>
      <c r="UIK42" s="43"/>
      <c r="UIL42" s="44"/>
      <c r="UIN42" s="42"/>
      <c r="UIO42" s="43"/>
      <c r="UIP42" s="44"/>
      <c r="UIR42" s="42"/>
      <c r="UIS42" s="43"/>
      <c r="UIT42" s="44"/>
      <c r="UIV42" s="42"/>
      <c r="UIW42" s="43"/>
      <c r="UIX42" s="44"/>
      <c r="UIZ42" s="42"/>
      <c r="UJA42" s="43"/>
      <c r="UJB42" s="44"/>
      <c r="UJD42" s="42"/>
      <c r="UJE42" s="43"/>
      <c r="UJF42" s="44"/>
      <c r="UJH42" s="42"/>
      <c r="UJI42" s="43"/>
      <c r="UJJ42" s="44"/>
      <c r="UJL42" s="42"/>
      <c r="UJM42" s="43"/>
      <c r="UJN42" s="44"/>
      <c r="UJP42" s="42"/>
      <c r="UJQ42" s="43"/>
      <c r="UJR42" s="44"/>
      <c r="UJT42" s="42"/>
      <c r="UJU42" s="43"/>
      <c r="UJV42" s="44"/>
      <c r="UJX42" s="42"/>
      <c r="UJY42" s="43"/>
      <c r="UJZ42" s="44"/>
      <c r="UKB42" s="42"/>
      <c r="UKC42" s="43"/>
      <c r="UKD42" s="44"/>
      <c r="UKF42" s="42"/>
      <c r="UKG42" s="43"/>
      <c r="UKH42" s="44"/>
      <c r="UKJ42" s="42"/>
      <c r="UKK42" s="43"/>
      <c r="UKL42" s="44"/>
      <c r="UKN42" s="42"/>
      <c r="UKO42" s="43"/>
      <c r="UKP42" s="44"/>
      <c r="UKR42" s="42"/>
      <c r="UKS42" s="43"/>
      <c r="UKT42" s="44"/>
      <c r="UKV42" s="42"/>
      <c r="UKW42" s="43"/>
      <c r="UKX42" s="44"/>
      <c r="UKZ42" s="42"/>
      <c r="ULA42" s="43"/>
      <c r="ULB42" s="44"/>
      <c r="ULD42" s="42"/>
      <c r="ULE42" s="43"/>
      <c r="ULF42" s="44"/>
      <c r="ULH42" s="42"/>
      <c r="ULI42" s="43"/>
      <c r="ULJ42" s="44"/>
      <c r="ULL42" s="42"/>
      <c r="ULM42" s="43"/>
      <c r="ULN42" s="44"/>
      <c r="ULP42" s="42"/>
      <c r="ULQ42" s="43"/>
      <c r="ULR42" s="44"/>
      <c r="ULT42" s="42"/>
      <c r="ULU42" s="43"/>
      <c r="ULV42" s="44"/>
      <c r="ULX42" s="42"/>
      <c r="ULY42" s="43"/>
      <c r="ULZ42" s="44"/>
      <c r="UMB42" s="42"/>
      <c r="UMC42" s="43"/>
      <c r="UMD42" s="44"/>
      <c r="UMF42" s="42"/>
      <c r="UMG42" s="43"/>
      <c r="UMH42" s="44"/>
      <c r="UMJ42" s="42"/>
      <c r="UMK42" s="43"/>
      <c r="UML42" s="44"/>
      <c r="UMN42" s="42"/>
      <c r="UMO42" s="43"/>
      <c r="UMP42" s="44"/>
      <c r="UMR42" s="42"/>
      <c r="UMS42" s="43"/>
      <c r="UMT42" s="44"/>
      <c r="UMV42" s="42"/>
      <c r="UMW42" s="43"/>
      <c r="UMX42" s="44"/>
      <c r="UMZ42" s="42"/>
      <c r="UNA42" s="43"/>
      <c r="UNB42" s="44"/>
      <c r="UND42" s="42"/>
      <c r="UNE42" s="43"/>
      <c r="UNF42" s="44"/>
      <c r="UNH42" s="42"/>
      <c r="UNI42" s="43"/>
      <c r="UNJ42" s="44"/>
      <c r="UNL42" s="42"/>
      <c r="UNM42" s="43"/>
      <c r="UNN42" s="44"/>
      <c r="UNP42" s="42"/>
      <c r="UNQ42" s="43"/>
      <c r="UNR42" s="44"/>
      <c r="UNT42" s="42"/>
      <c r="UNU42" s="43"/>
      <c r="UNV42" s="44"/>
      <c r="UNX42" s="42"/>
      <c r="UNY42" s="43"/>
      <c r="UNZ42" s="44"/>
      <c r="UOB42" s="42"/>
      <c r="UOC42" s="43"/>
      <c r="UOD42" s="44"/>
      <c r="UOF42" s="42"/>
      <c r="UOG42" s="43"/>
      <c r="UOH42" s="44"/>
      <c r="UOJ42" s="42"/>
      <c r="UOK42" s="43"/>
      <c r="UOL42" s="44"/>
      <c r="UON42" s="42"/>
      <c r="UOO42" s="43"/>
      <c r="UOP42" s="44"/>
      <c r="UOR42" s="42"/>
      <c r="UOS42" s="43"/>
      <c r="UOT42" s="44"/>
      <c r="UOV42" s="42"/>
      <c r="UOW42" s="43"/>
      <c r="UOX42" s="44"/>
      <c r="UOZ42" s="42"/>
      <c r="UPA42" s="43"/>
      <c r="UPB42" s="44"/>
      <c r="UPD42" s="42"/>
      <c r="UPE42" s="43"/>
      <c r="UPF42" s="44"/>
      <c r="UPH42" s="42"/>
      <c r="UPI42" s="43"/>
      <c r="UPJ42" s="44"/>
      <c r="UPL42" s="42"/>
      <c r="UPM42" s="43"/>
      <c r="UPN42" s="44"/>
      <c r="UPP42" s="42"/>
      <c r="UPQ42" s="43"/>
      <c r="UPR42" s="44"/>
      <c r="UPT42" s="42"/>
      <c r="UPU42" s="43"/>
      <c r="UPV42" s="44"/>
      <c r="UPX42" s="42"/>
      <c r="UPY42" s="43"/>
      <c r="UPZ42" s="44"/>
      <c r="UQB42" s="42"/>
      <c r="UQC42" s="43"/>
      <c r="UQD42" s="44"/>
      <c r="UQF42" s="42"/>
      <c r="UQG42" s="43"/>
      <c r="UQH42" s="44"/>
      <c r="UQJ42" s="42"/>
      <c r="UQK42" s="43"/>
      <c r="UQL42" s="44"/>
      <c r="UQN42" s="42"/>
      <c r="UQO42" s="43"/>
      <c r="UQP42" s="44"/>
      <c r="UQR42" s="42"/>
      <c r="UQS42" s="43"/>
      <c r="UQT42" s="44"/>
      <c r="UQV42" s="42"/>
      <c r="UQW42" s="43"/>
      <c r="UQX42" s="44"/>
      <c r="UQZ42" s="42"/>
      <c r="URA42" s="43"/>
      <c r="URB42" s="44"/>
      <c r="URD42" s="42"/>
      <c r="URE42" s="43"/>
      <c r="URF42" s="44"/>
      <c r="URH42" s="42"/>
      <c r="URI42" s="43"/>
      <c r="URJ42" s="44"/>
      <c r="URL42" s="42"/>
      <c r="URM42" s="43"/>
      <c r="URN42" s="44"/>
      <c r="URP42" s="42"/>
      <c r="URQ42" s="43"/>
      <c r="URR42" s="44"/>
      <c r="URT42" s="42"/>
      <c r="URU42" s="43"/>
      <c r="URV42" s="44"/>
      <c r="URX42" s="42"/>
      <c r="URY42" s="43"/>
      <c r="URZ42" s="44"/>
      <c r="USB42" s="42"/>
      <c r="USC42" s="43"/>
      <c r="USD42" s="44"/>
      <c r="USF42" s="42"/>
      <c r="USG42" s="43"/>
      <c r="USH42" s="44"/>
      <c r="USJ42" s="42"/>
      <c r="USK42" s="43"/>
      <c r="USL42" s="44"/>
      <c r="USN42" s="42"/>
      <c r="USO42" s="43"/>
      <c r="USP42" s="44"/>
      <c r="USR42" s="42"/>
      <c r="USS42" s="43"/>
      <c r="UST42" s="44"/>
      <c r="USV42" s="42"/>
      <c r="USW42" s="43"/>
      <c r="USX42" s="44"/>
      <c r="USZ42" s="42"/>
      <c r="UTA42" s="43"/>
      <c r="UTB42" s="44"/>
      <c r="UTD42" s="42"/>
      <c r="UTE42" s="43"/>
      <c r="UTF42" s="44"/>
      <c r="UTH42" s="42"/>
      <c r="UTI42" s="43"/>
      <c r="UTJ42" s="44"/>
      <c r="UTL42" s="42"/>
      <c r="UTM42" s="43"/>
      <c r="UTN42" s="44"/>
      <c r="UTP42" s="42"/>
      <c r="UTQ42" s="43"/>
      <c r="UTR42" s="44"/>
      <c r="UTT42" s="42"/>
      <c r="UTU42" s="43"/>
      <c r="UTV42" s="44"/>
      <c r="UTX42" s="42"/>
      <c r="UTY42" s="43"/>
      <c r="UTZ42" s="44"/>
      <c r="UUB42" s="42"/>
      <c r="UUC42" s="43"/>
      <c r="UUD42" s="44"/>
      <c r="UUF42" s="42"/>
      <c r="UUG42" s="43"/>
      <c r="UUH42" s="44"/>
      <c r="UUJ42" s="42"/>
      <c r="UUK42" s="43"/>
      <c r="UUL42" s="44"/>
      <c r="UUN42" s="42"/>
      <c r="UUO42" s="43"/>
      <c r="UUP42" s="44"/>
      <c r="UUR42" s="42"/>
      <c r="UUS42" s="43"/>
      <c r="UUT42" s="44"/>
      <c r="UUV42" s="42"/>
      <c r="UUW42" s="43"/>
      <c r="UUX42" s="44"/>
      <c r="UUZ42" s="42"/>
      <c r="UVA42" s="43"/>
      <c r="UVB42" s="44"/>
      <c r="UVD42" s="42"/>
      <c r="UVE42" s="43"/>
      <c r="UVF42" s="44"/>
      <c r="UVH42" s="42"/>
      <c r="UVI42" s="43"/>
      <c r="UVJ42" s="44"/>
      <c r="UVL42" s="42"/>
      <c r="UVM42" s="43"/>
      <c r="UVN42" s="44"/>
      <c r="UVP42" s="42"/>
      <c r="UVQ42" s="43"/>
      <c r="UVR42" s="44"/>
      <c r="UVT42" s="42"/>
      <c r="UVU42" s="43"/>
      <c r="UVV42" s="44"/>
      <c r="UVX42" s="42"/>
      <c r="UVY42" s="43"/>
      <c r="UVZ42" s="44"/>
      <c r="UWB42" s="42"/>
      <c r="UWC42" s="43"/>
      <c r="UWD42" s="44"/>
      <c r="UWF42" s="42"/>
      <c r="UWG42" s="43"/>
      <c r="UWH42" s="44"/>
      <c r="UWJ42" s="42"/>
      <c r="UWK42" s="43"/>
      <c r="UWL42" s="44"/>
      <c r="UWN42" s="42"/>
      <c r="UWO42" s="43"/>
      <c r="UWP42" s="44"/>
      <c r="UWR42" s="42"/>
      <c r="UWS42" s="43"/>
      <c r="UWT42" s="44"/>
      <c r="UWV42" s="42"/>
      <c r="UWW42" s="43"/>
      <c r="UWX42" s="44"/>
      <c r="UWZ42" s="42"/>
      <c r="UXA42" s="43"/>
      <c r="UXB42" s="44"/>
      <c r="UXD42" s="42"/>
      <c r="UXE42" s="43"/>
      <c r="UXF42" s="44"/>
      <c r="UXH42" s="42"/>
      <c r="UXI42" s="43"/>
      <c r="UXJ42" s="44"/>
      <c r="UXL42" s="42"/>
      <c r="UXM42" s="43"/>
      <c r="UXN42" s="44"/>
      <c r="UXP42" s="42"/>
      <c r="UXQ42" s="43"/>
      <c r="UXR42" s="44"/>
      <c r="UXT42" s="42"/>
      <c r="UXU42" s="43"/>
      <c r="UXV42" s="44"/>
      <c r="UXX42" s="42"/>
      <c r="UXY42" s="43"/>
      <c r="UXZ42" s="44"/>
      <c r="UYB42" s="42"/>
      <c r="UYC42" s="43"/>
      <c r="UYD42" s="44"/>
      <c r="UYF42" s="42"/>
      <c r="UYG42" s="43"/>
      <c r="UYH42" s="44"/>
      <c r="UYJ42" s="42"/>
      <c r="UYK42" s="43"/>
      <c r="UYL42" s="44"/>
      <c r="UYN42" s="42"/>
      <c r="UYO42" s="43"/>
      <c r="UYP42" s="44"/>
      <c r="UYR42" s="42"/>
      <c r="UYS42" s="43"/>
      <c r="UYT42" s="44"/>
      <c r="UYV42" s="42"/>
      <c r="UYW42" s="43"/>
      <c r="UYX42" s="44"/>
      <c r="UYZ42" s="42"/>
      <c r="UZA42" s="43"/>
      <c r="UZB42" s="44"/>
      <c r="UZD42" s="42"/>
      <c r="UZE42" s="43"/>
      <c r="UZF42" s="44"/>
      <c r="UZH42" s="42"/>
      <c r="UZI42" s="43"/>
      <c r="UZJ42" s="44"/>
      <c r="UZL42" s="42"/>
      <c r="UZM42" s="43"/>
      <c r="UZN42" s="44"/>
      <c r="UZP42" s="42"/>
      <c r="UZQ42" s="43"/>
      <c r="UZR42" s="44"/>
      <c r="UZT42" s="42"/>
      <c r="UZU42" s="43"/>
      <c r="UZV42" s="44"/>
      <c r="UZX42" s="42"/>
      <c r="UZY42" s="43"/>
      <c r="UZZ42" s="44"/>
      <c r="VAB42" s="42"/>
      <c r="VAC42" s="43"/>
      <c r="VAD42" s="44"/>
      <c r="VAF42" s="42"/>
      <c r="VAG42" s="43"/>
      <c r="VAH42" s="44"/>
      <c r="VAJ42" s="42"/>
      <c r="VAK42" s="43"/>
      <c r="VAL42" s="44"/>
      <c r="VAN42" s="42"/>
      <c r="VAO42" s="43"/>
      <c r="VAP42" s="44"/>
      <c r="VAR42" s="42"/>
      <c r="VAS42" s="43"/>
      <c r="VAT42" s="44"/>
      <c r="VAV42" s="42"/>
      <c r="VAW42" s="43"/>
      <c r="VAX42" s="44"/>
      <c r="VAZ42" s="42"/>
      <c r="VBA42" s="43"/>
      <c r="VBB42" s="44"/>
      <c r="VBD42" s="42"/>
      <c r="VBE42" s="43"/>
      <c r="VBF42" s="44"/>
      <c r="VBH42" s="42"/>
      <c r="VBI42" s="43"/>
      <c r="VBJ42" s="44"/>
      <c r="VBL42" s="42"/>
      <c r="VBM42" s="43"/>
      <c r="VBN42" s="44"/>
      <c r="VBP42" s="42"/>
      <c r="VBQ42" s="43"/>
      <c r="VBR42" s="44"/>
      <c r="VBT42" s="42"/>
      <c r="VBU42" s="43"/>
      <c r="VBV42" s="44"/>
      <c r="VBX42" s="42"/>
      <c r="VBY42" s="43"/>
      <c r="VBZ42" s="44"/>
      <c r="VCB42" s="42"/>
      <c r="VCC42" s="43"/>
      <c r="VCD42" s="44"/>
      <c r="VCF42" s="42"/>
      <c r="VCG42" s="43"/>
      <c r="VCH42" s="44"/>
      <c r="VCJ42" s="42"/>
      <c r="VCK42" s="43"/>
      <c r="VCL42" s="44"/>
      <c r="VCN42" s="42"/>
      <c r="VCO42" s="43"/>
      <c r="VCP42" s="44"/>
      <c r="VCR42" s="42"/>
      <c r="VCS42" s="43"/>
      <c r="VCT42" s="44"/>
      <c r="VCV42" s="42"/>
      <c r="VCW42" s="43"/>
      <c r="VCX42" s="44"/>
      <c r="VCZ42" s="42"/>
      <c r="VDA42" s="43"/>
      <c r="VDB42" s="44"/>
      <c r="VDD42" s="42"/>
      <c r="VDE42" s="43"/>
      <c r="VDF42" s="44"/>
      <c r="VDH42" s="42"/>
      <c r="VDI42" s="43"/>
      <c r="VDJ42" s="44"/>
      <c r="VDL42" s="42"/>
      <c r="VDM42" s="43"/>
      <c r="VDN42" s="44"/>
      <c r="VDP42" s="42"/>
      <c r="VDQ42" s="43"/>
      <c r="VDR42" s="44"/>
      <c r="VDT42" s="42"/>
      <c r="VDU42" s="43"/>
      <c r="VDV42" s="44"/>
      <c r="VDX42" s="42"/>
      <c r="VDY42" s="43"/>
      <c r="VDZ42" s="44"/>
      <c r="VEB42" s="42"/>
      <c r="VEC42" s="43"/>
      <c r="VED42" s="44"/>
      <c r="VEF42" s="42"/>
      <c r="VEG42" s="43"/>
      <c r="VEH42" s="44"/>
      <c r="VEJ42" s="42"/>
      <c r="VEK42" s="43"/>
      <c r="VEL42" s="44"/>
      <c r="VEN42" s="42"/>
      <c r="VEO42" s="43"/>
      <c r="VEP42" s="44"/>
      <c r="VER42" s="42"/>
      <c r="VES42" s="43"/>
      <c r="VET42" s="44"/>
      <c r="VEV42" s="42"/>
      <c r="VEW42" s="43"/>
      <c r="VEX42" s="44"/>
      <c r="VEZ42" s="42"/>
      <c r="VFA42" s="43"/>
      <c r="VFB42" s="44"/>
      <c r="VFD42" s="42"/>
      <c r="VFE42" s="43"/>
      <c r="VFF42" s="44"/>
      <c r="VFH42" s="42"/>
      <c r="VFI42" s="43"/>
      <c r="VFJ42" s="44"/>
      <c r="VFL42" s="42"/>
      <c r="VFM42" s="43"/>
      <c r="VFN42" s="44"/>
      <c r="VFP42" s="42"/>
      <c r="VFQ42" s="43"/>
      <c r="VFR42" s="44"/>
      <c r="VFT42" s="42"/>
      <c r="VFU42" s="43"/>
      <c r="VFV42" s="44"/>
      <c r="VFX42" s="42"/>
      <c r="VFY42" s="43"/>
      <c r="VFZ42" s="44"/>
      <c r="VGB42" s="42"/>
      <c r="VGC42" s="43"/>
      <c r="VGD42" s="44"/>
      <c r="VGF42" s="42"/>
      <c r="VGG42" s="43"/>
      <c r="VGH42" s="44"/>
      <c r="VGJ42" s="42"/>
      <c r="VGK42" s="43"/>
      <c r="VGL42" s="44"/>
      <c r="VGN42" s="42"/>
      <c r="VGO42" s="43"/>
      <c r="VGP42" s="44"/>
      <c r="VGR42" s="42"/>
      <c r="VGS42" s="43"/>
      <c r="VGT42" s="44"/>
      <c r="VGV42" s="42"/>
      <c r="VGW42" s="43"/>
      <c r="VGX42" s="44"/>
      <c r="VGZ42" s="42"/>
      <c r="VHA42" s="43"/>
      <c r="VHB42" s="44"/>
      <c r="VHD42" s="42"/>
      <c r="VHE42" s="43"/>
      <c r="VHF42" s="44"/>
      <c r="VHH42" s="42"/>
      <c r="VHI42" s="43"/>
      <c r="VHJ42" s="44"/>
      <c r="VHL42" s="42"/>
      <c r="VHM42" s="43"/>
      <c r="VHN42" s="44"/>
      <c r="VHP42" s="42"/>
      <c r="VHQ42" s="43"/>
      <c r="VHR42" s="44"/>
      <c r="VHT42" s="42"/>
      <c r="VHU42" s="43"/>
      <c r="VHV42" s="44"/>
      <c r="VHX42" s="42"/>
      <c r="VHY42" s="43"/>
      <c r="VHZ42" s="44"/>
      <c r="VIB42" s="42"/>
      <c r="VIC42" s="43"/>
      <c r="VID42" s="44"/>
      <c r="VIF42" s="42"/>
      <c r="VIG42" s="43"/>
      <c r="VIH42" s="44"/>
      <c r="VIJ42" s="42"/>
      <c r="VIK42" s="43"/>
      <c r="VIL42" s="44"/>
      <c r="VIN42" s="42"/>
      <c r="VIO42" s="43"/>
      <c r="VIP42" s="44"/>
      <c r="VIR42" s="42"/>
      <c r="VIS42" s="43"/>
      <c r="VIT42" s="44"/>
      <c r="VIV42" s="42"/>
      <c r="VIW42" s="43"/>
      <c r="VIX42" s="44"/>
      <c r="VIZ42" s="42"/>
      <c r="VJA42" s="43"/>
      <c r="VJB42" s="44"/>
      <c r="VJD42" s="42"/>
      <c r="VJE42" s="43"/>
      <c r="VJF42" s="44"/>
      <c r="VJH42" s="42"/>
      <c r="VJI42" s="43"/>
      <c r="VJJ42" s="44"/>
      <c r="VJL42" s="42"/>
      <c r="VJM42" s="43"/>
      <c r="VJN42" s="44"/>
      <c r="VJP42" s="42"/>
      <c r="VJQ42" s="43"/>
      <c r="VJR42" s="44"/>
      <c r="VJT42" s="42"/>
      <c r="VJU42" s="43"/>
      <c r="VJV42" s="44"/>
      <c r="VJX42" s="42"/>
      <c r="VJY42" s="43"/>
      <c r="VJZ42" s="44"/>
      <c r="VKB42" s="42"/>
      <c r="VKC42" s="43"/>
      <c r="VKD42" s="44"/>
      <c r="VKF42" s="42"/>
      <c r="VKG42" s="43"/>
      <c r="VKH42" s="44"/>
      <c r="VKJ42" s="42"/>
      <c r="VKK42" s="43"/>
      <c r="VKL42" s="44"/>
      <c r="VKN42" s="42"/>
      <c r="VKO42" s="43"/>
      <c r="VKP42" s="44"/>
      <c r="VKR42" s="42"/>
      <c r="VKS42" s="43"/>
      <c r="VKT42" s="44"/>
      <c r="VKV42" s="42"/>
      <c r="VKW42" s="43"/>
      <c r="VKX42" s="44"/>
      <c r="VKZ42" s="42"/>
      <c r="VLA42" s="43"/>
      <c r="VLB42" s="44"/>
      <c r="VLD42" s="42"/>
      <c r="VLE42" s="43"/>
      <c r="VLF42" s="44"/>
      <c r="VLH42" s="42"/>
      <c r="VLI42" s="43"/>
      <c r="VLJ42" s="44"/>
      <c r="VLL42" s="42"/>
      <c r="VLM42" s="43"/>
      <c r="VLN42" s="44"/>
      <c r="VLP42" s="42"/>
      <c r="VLQ42" s="43"/>
      <c r="VLR42" s="44"/>
      <c r="VLT42" s="42"/>
      <c r="VLU42" s="43"/>
      <c r="VLV42" s="44"/>
      <c r="VLX42" s="42"/>
      <c r="VLY42" s="43"/>
      <c r="VLZ42" s="44"/>
      <c r="VMB42" s="42"/>
      <c r="VMC42" s="43"/>
      <c r="VMD42" s="44"/>
      <c r="VMF42" s="42"/>
      <c r="VMG42" s="43"/>
      <c r="VMH42" s="44"/>
      <c r="VMJ42" s="42"/>
      <c r="VMK42" s="43"/>
      <c r="VML42" s="44"/>
      <c r="VMN42" s="42"/>
      <c r="VMO42" s="43"/>
      <c r="VMP42" s="44"/>
      <c r="VMR42" s="42"/>
      <c r="VMS42" s="43"/>
      <c r="VMT42" s="44"/>
      <c r="VMV42" s="42"/>
      <c r="VMW42" s="43"/>
      <c r="VMX42" s="44"/>
      <c r="VMZ42" s="42"/>
      <c r="VNA42" s="43"/>
      <c r="VNB42" s="44"/>
      <c r="VND42" s="42"/>
      <c r="VNE42" s="43"/>
      <c r="VNF42" s="44"/>
      <c r="VNH42" s="42"/>
      <c r="VNI42" s="43"/>
      <c r="VNJ42" s="44"/>
      <c r="VNL42" s="42"/>
      <c r="VNM42" s="43"/>
      <c r="VNN42" s="44"/>
      <c r="VNP42" s="42"/>
      <c r="VNQ42" s="43"/>
      <c r="VNR42" s="44"/>
      <c r="VNT42" s="42"/>
      <c r="VNU42" s="43"/>
      <c r="VNV42" s="44"/>
      <c r="VNX42" s="42"/>
      <c r="VNY42" s="43"/>
      <c r="VNZ42" s="44"/>
      <c r="VOB42" s="42"/>
      <c r="VOC42" s="43"/>
      <c r="VOD42" s="44"/>
      <c r="VOF42" s="42"/>
      <c r="VOG42" s="43"/>
      <c r="VOH42" s="44"/>
      <c r="VOJ42" s="42"/>
      <c r="VOK42" s="43"/>
      <c r="VOL42" s="44"/>
      <c r="VON42" s="42"/>
      <c r="VOO42" s="43"/>
      <c r="VOP42" s="44"/>
      <c r="VOR42" s="42"/>
      <c r="VOS42" s="43"/>
      <c r="VOT42" s="44"/>
      <c r="VOV42" s="42"/>
      <c r="VOW42" s="43"/>
      <c r="VOX42" s="44"/>
      <c r="VOZ42" s="42"/>
      <c r="VPA42" s="43"/>
      <c r="VPB42" s="44"/>
      <c r="VPD42" s="42"/>
      <c r="VPE42" s="43"/>
      <c r="VPF42" s="44"/>
      <c r="VPH42" s="42"/>
      <c r="VPI42" s="43"/>
      <c r="VPJ42" s="44"/>
      <c r="VPL42" s="42"/>
      <c r="VPM42" s="43"/>
      <c r="VPN42" s="44"/>
      <c r="VPP42" s="42"/>
      <c r="VPQ42" s="43"/>
      <c r="VPR42" s="44"/>
      <c r="VPT42" s="42"/>
      <c r="VPU42" s="43"/>
      <c r="VPV42" s="44"/>
      <c r="VPX42" s="42"/>
      <c r="VPY42" s="43"/>
      <c r="VPZ42" s="44"/>
      <c r="VQB42" s="42"/>
      <c r="VQC42" s="43"/>
      <c r="VQD42" s="44"/>
      <c r="VQF42" s="42"/>
      <c r="VQG42" s="43"/>
      <c r="VQH42" s="44"/>
      <c r="VQJ42" s="42"/>
      <c r="VQK42" s="43"/>
      <c r="VQL42" s="44"/>
      <c r="VQN42" s="42"/>
      <c r="VQO42" s="43"/>
      <c r="VQP42" s="44"/>
      <c r="VQR42" s="42"/>
      <c r="VQS42" s="43"/>
      <c r="VQT42" s="44"/>
      <c r="VQV42" s="42"/>
      <c r="VQW42" s="43"/>
      <c r="VQX42" s="44"/>
      <c r="VQZ42" s="42"/>
      <c r="VRA42" s="43"/>
      <c r="VRB42" s="44"/>
      <c r="VRD42" s="42"/>
      <c r="VRE42" s="43"/>
      <c r="VRF42" s="44"/>
      <c r="VRH42" s="42"/>
      <c r="VRI42" s="43"/>
      <c r="VRJ42" s="44"/>
      <c r="VRL42" s="42"/>
      <c r="VRM42" s="43"/>
      <c r="VRN42" s="44"/>
      <c r="VRP42" s="42"/>
      <c r="VRQ42" s="43"/>
      <c r="VRR42" s="44"/>
      <c r="VRT42" s="42"/>
      <c r="VRU42" s="43"/>
      <c r="VRV42" s="44"/>
      <c r="VRX42" s="42"/>
      <c r="VRY42" s="43"/>
      <c r="VRZ42" s="44"/>
      <c r="VSB42" s="42"/>
      <c r="VSC42" s="43"/>
      <c r="VSD42" s="44"/>
      <c r="VSF42" s="42"/>
      <c r="VSG42" s="43"/>
      <c r="VSH42" s="44"/>
      <c r="VSJ42" s="42"/>
      <c r="VSK42" s="43"/>
      <c r="VSL42" s="44"/>
      <c r="VSN42" s="42"/>
      <c r="VSO42" s="43"/>
      <c r="VSP42" s="44"/>
      <c r="VSR42" s="42"/>
      <c r="VSS42" s="43"/>
      <c r="VST42" s="44"/>
      <c r="VSV42" s="42"/>
      <c r="VSW42" s="43"/>
      <c r="VSX42" s="44"/>
      <c r="VSZ42" s="42"/>
      <c r="VTA42" s="43"/>
      <c r="VTB42" s="44"/>
      <c r="VTD42" s="42"/>
      <c r="VTE42" s="43"/>
      <c r="VTF42" s="44"/>
      <c r="VTH42" s="42"/>
      <c r="VTI42" s="43"/>
      <c r="VTJ42" s="44"/>
      <c r="VTL42" s="42"/>
      <c r="VTM42" s="43"/>
      <c r="VTN42" s="44"/>
      <c r="VTP42" s="42"/>
      <c r="VTQ42" s="43"/>
      <c r="VTR42" s="44"/>
      <c r="VTT42" s="42"/>
      <c r="VTU42" s="43"/>
      <c r="VTV42" s="44"/>
      <c r="VTX42" s="42"/>
      <c r="VTY42" s="43"/>
      <c r="VTZ42" s="44"/>
      <c r="VUB42" s="42"/>
      <c r="VUC42" s="43"/>
      <c r="VUD42" s="44"/>
      <c r="VUF42" s="42"/>
      <c r="VUG42" s="43"/>
      <c r="VUH42" s="44"/>
      <c r="VUJ42" s="42"/>
      <c r="VUK42" s="43"/>
      <c r="VUL42" s="44"/>
      <c r="VUN42" s="42"/>
      <c r="VUO42" s="43"/>
      <c r="VUP42" s="44"/>
      <c r="VUR42" s="42"/>
      <c r="VUS42" s="43"/>
      <c r="VUT42" s="44"/>
      <c r="VUV42" s="42"/>
      <c r="VUW42" s="43"/>
      <c r="VUX42" s="44"/>
      <c r="VUZ42" s="42"/>
      <c r="VVA42" s="43"/>
      <c r="VVB42" s="44"/>
      <c r="VVD42" s="42"/>
      <c r="VVE42" s="43"/>
      <c r="VVF42" s="44"/>
      <c r="VVH42" s="42"/>
      <c r="VVI42" s="43"/>
      <c r="VVJ42" s="44"/>
      <c r="VVL42" s="42"/>
      <c r="VVM42" s="43"/>
      <c r="VVN42" s="44"/>
      <c r="VVP42" s="42"/>
      <c r="VVQ42" s="43"/>
      <c r="VVR42" s="44"/>
      <c r="VVT42" s="42"/>
      <c r="VVU42" s="43"/>
      <c r="VVV42" s="44"/>
      <c r="VVX42" s="42"/>
      <c r="VVY42" s="43"/>
      <c r="VVZ42" s="44"/>
      <c r="VWB42" s="42"/>
      <c r="VWC42" s="43"/>
      <c r="VWD42" s="44"/>
      <c r="VWF42" s="42"/>
      <c r="VWG42" s="43"/>
      <c r="VWH42" s="44"/>
      <c r="VWJ42" s="42"/>
      <c r="VWK42" s="43"/>
      <c r="VWL42" s="44"/>
      <c r="VWN42" s="42"/>
      <c r="VWO42" s="43"/>
      <c r="VWP42" s="44"/>
      <c r="VWR42" s="42"/>
      <c r="VWS42" s="43"/>
      <c r="VWT42" s="44"/>
      <c r="VWV42" s="42"/>
      <c r="VWW42" s="43"/>
      <c r="VWX42" s="44"/>
      <c r="VWZ42" s="42"/>
      <c r="VXA42" s="43"/>
      <c r="VXB42" s="44"/>
      <c r="VXD42" s="42"/>
      <c r="VXE42" s="43"/>
      <c r="VXF42" s="44"/>
      <c r="VXH42" s="42"/>
      <c r="VXI42" s="43"/>
      <c r="VXJ42" s="44"/>
      <c r="VXL42" s="42"/>
      <c r="VXM42" s="43"/>
      <c r="VXN42" s="44"/>
      <c r="VXP42" s="42"/>
      <c r="VXQ42" s="43"/>
      <c r="VXR42" s="44"/>
      <c r="VXT42" s="42"/>
      <c r="VXU42" s="43"/>
      <c r="VXV42" s="44"/>
      <c r="VXX42" s="42"/>
      <c r="VXY42" s="43"/>
      <c r="VXZ42" s="44"/>
      <c r="VYB42" s="42"/>
      <c r="VYC42" s="43"/>
      <c r="VYD42" s="44"/>
      <c r="VYF42" s="42"/>
      <c r="VYG42" s="43"/>
      <c r="VYH42" s="44"/>
      <c r="VYJ42" s="42"/>
      <c r="VYK42" s="43"/>
      <c r="VYL42" s="44"/>
      <c r="VYN42" s="42"/>
      <c r="VYO42" s="43"/>
      <c r="VYP42" s="44"/>
      <c r="VYR42" s="42"/>
      <c r="VYS42" s="43"/>
      <c r="VYT42" s="44"/>
      <c r="VYV42" s="42"/>
      <c r="VYW42" s="43"/>
      <c r="VYX42" s="44"/>
      <c r="VYZ42" s="42"/>
      <c r="VZA42" s="43"/>
      <c r="VZB42" s="44"/>
      <c r="VZD42" s="42"/>
      <c r="VZE42" s="43"/>
      <c r="VZF42" s="44"/>
      <c r="VZH42" s="42"/>
      <c r="VZI42" s="43"/>
      <c r="VZJ42" s="44"/>
      <c r="VZL42" s="42"/>
      <c r="VZM42" s="43"/>
      <c r="VZN42" s="44"/>
      <c r="VZP42" s="42"/>
      <c r="VZQ42" s="43"/>
      <c r="VZR42" s="44"/>
      <c r="VZT42" s="42"/>
      <c r="VZU42" s="43"/>
      <c r="VZV42" s="44"/>
      <c r="VZX42" s="42"/>
      <c r="VZY42" s="43"/>
      <c r="VZZ42" s="44"/>
      <c r="WAB42" s="42"/>
      <c r="WAC42" s="43"/>
      <c r="WAD42" s="44"/>
      <c r="WAF42" s="42"/>
      <c r="WAG42" s="43"/>
      <c r="WAH42" s="44"/>
      <c r="WAJ42" s="42"/>
      <c r="WAK42" s="43"/>
      <c r="WAL42" s="44"/>
      <c r="WAN42" s="42"/>
      <c r="WAO42" s="43"/>
      <c r="WAP42" s="44"/>
      <c r="WAR42" s="42"/>
      <c r="WAS42" s="43"/>
      <c r="WAT42" s="44"/>
      <c r="WAV42" s="42"/>
      <c r="WAW42" s="43"/>
      <c r="WAX42" s="44"/>
      <c r="WAZ42" s="42"/>
      <c r="WBA42" s="43"/>
      <c r="WBB42" s="44"/>
      <c r="WBD42" s="42"/>
      <c r="WBE42" s="43"/>
      <c r="WBF42" s="44"/>
      <c r="WBH42" s="42"/>
      <c r="WBI42" s="43"/>
      <c r="WBJ42" s="44"/>
      <c r="WBL42" s="42"/>
      <c r="WBM42" s="43"/>
      <c r="WBN42" s="44"/>
      <c r="WBP42" s="42"/>
      <c r="WBQ42" s="43"/>
      <c r="WBR42" s="44"/>
      <c r="WBT42" s="42"/>
      <c r="WBU42" s="43"/>
      <c r="WBV42" s="44"/>
      <c r="WBX42" s="42"/>
      <c r="WBY42" s="43"/>
      <c r="WBZ42" s="44"/>
      <c r="WCB42" s="42"/>
      <c r="WCC42" s="43"/>
      <c r="WCD42" s="44"/>
      <c r="WCF42" s="42"/>
      <c r="WCG42" s="43"/>
      <c r="WCH42" s="44"/>
      <c r="WCJ42" s="42"/>
      <c r="WCK42" s="43"/>
      <c r="WCL42" s="44"/>
      <c r="WCN42" s="42"/>
      <c r="WCO42" s="43"/>
      <c r="WCP42" s="44"/>
      <c r="WCR42" s="42"/>
      <c r="WCS42" s="43"/>
      <c r="WCT42" s="44"/>
      <c r="WCV42" s="42"/>
      <c r="WCW42" s="43"/>
      <c r="WCX42" s="44"/>
      <c r="WCZ42" s="42"/>
      <c r="WDA42" s="43"/>
      <c r="WDB42" s="44"/>
      <c r="WDD42" s="42"/>
      <c r="WDE42" s="43"/>
      <c r="WDF42" s="44"/>
      <c r="WDH42" s="42"/>
      <c r="WDI42" s="43"/>
      <c r="WDJ42" s="44"/>
      <c r="WDL42" s="42"/>
      <c r="WDM42" s="43"/>
      <c r="WDN42" s="44"/>
      <c r="WDP42" s="42"/>
      <c r="WDQ42" s="43"/>
      <c r="WDR42" s="44"/>
      <c r="WDT42" s="42"/>
      <c r="WDU42" s="43"/>
      <c r="WDV42" s="44"/>
      <c r="WDX42" s="42"/>
      <c r="WDY42" s="43"/>
      <c r="WDZ42" s="44"/>
      <c r="WEB42" s="42"/>
      <c r="WEC42" s="43"/>
      <c r="WED42" s="44"/>
      <c r="WEF42" s="42"/>
      <c r="WEG42" s="43"/>
      <c r="WEH42" s="44"/>
      <c r="WEJ42" s="42"/>
      <c r="WEK42" s="43"/>
      <c r="WEL42" s="44"/>
      <c r="WEN42" s="42"/>
      <c r="WEO42" s="43"/>
      <c r="WEP42" s="44"/>
      <c r="WER42" s="42"/>
      <c r="WES42" s="43"/>
      <c r="WET42" s="44"/>
      <c r="WEV42" s="42"/>
      <c r="WEW42" s="43"/>
      <c r="WEX42" s="44"/>
      <c r="WEZ42" s="42"/>
      <c r="WFA42" s="43"/>
      <c r="WFB42" s="44"/>
      <c r="WFD42" s="42"/>
      <c r="WFE42" s="43"/>
      <c r="WFF42" s="44"/>
      <c r="WFH42" s="42"/>
      <c r="WFI42" s="43"/>
      <c r="WFJ42" s="44"/>
      <c r="WFL42" s="42"/>
      <c r="WFM42" s="43"/>
      <c r="WFN42" s="44"/>
      <c r="WFP42" s="42"/>
      <c r="WFQ42" s="43"/>
      <c r="WFR42" s="44"/>
      <c r="WFT42" s="42"/>
      <c r="WFU42" s="43"/>
      <c r="WFV42" s="44"/>
      <c r="WFX42" s="42"/>
      <c r="WFY42" s="43"/>
      <c r="WFZ42" s="44"/>
      <c r="WGB42" s="42"/>
      <c r="WGC42" s="43"/>
      <c r="WGD42" s="44"/>
      <c r="WGF42" s="42"/>
      <c r="WGG42" s="43"/>
      <c r="WGH42" s="44"/>
      <c r="WGJ42" s="42"/>
      <c r="WGK42" s="43"/>
      <c r="WGL42" s="44"/>
      <c r="WGN42" s="42"/>
      <c r="WGO42" s="43"/>
      <c r="WGP42" s="44"/>
      <c r="WGR42" s="42"/>
      <c r="WGS42" s="43"/>
      <c r="WGT42" s="44"/>
      <c r="WGV42" s="42"/>
      <c r="WGW42" s="43"/>
      <c r="WGX42" s="44"/>
      <c r="WGZ42" s="42"/>
      <c r="WHA42" s="43"/>
      <c r="WHB42" s="44"/>
      <c r="WHD42" s="42"/>
      <c r="WHE42" s="43"/>
      <c r="WHF42" s="44"/>
      <c r="WHH42" s="42"/>
      <c r="WHI42" s="43"/>
      <c r="WHJ42" s="44"/>
      <c r="WHL42" s="42"/>
      <c r="WHM42" s="43"/>
      <c r="WHN42" s="44"/>
      <c r="WHP42" s="42"/>
      <c r="WHQ42" s="43"/>
      <c r="WHR42" s="44"/>
      <c r="WHT42" s="42"/>
      <c r="WHU42" s="43"/>
      <c r="WHV42" s="44"/>
      <c r="WHX42" s="42"/>
      <c r="WHY42" s="43"/>
      <c r="WHZ42" s="44"/>
      <c r="WIB42" s="42"/>
      <c r="WIC42" s="43"/>
      <c r="WID42" s="44"/>
      <c r="WIF42" s="42"/>
      <c r="WIG42" s="43"/>
      <c r="WIH42" s="44"/>
      <c r="WIJ42" s="42"/>
      <c r="WIK42" s="43"/>
      <c r="WIL42" s="44"/>
      <c r="WIN42" s="42"/>
      <c r="WIO42" s="43"/>
      <c r="WIP42" s="44"/>
      <c r="WIR42" s="42"/>
      <c r="WIS42" s="43"/>
      <c r="WIT42" s="44"/>
      <c r="WIV42" s="42"/>
      <c r="WIW42" s="43"/>
      <c r="WIX42" s="44"/>
      <c r="WIZ42" s="42"/>
      <c r="WJA42" s="43"/>
      <c r="WJB42" s="44"/>
      <c r="WJD42" s="42"/>
      <c r="WJE42" s="43"/>
      <c r="WJF42" s="44"/>
      <c r="WJH42" s="42"/>
      <c r="WJI42" s="43"/>
      <c r="WJJ42" s="44"/>
      <c r="WJL42" s="42"/>
      <c r="WJM42" s="43"/>
      <c r="WJN42" s="44"/>
      <c r="WJP42" s="42"/>
      <c r="WJQ42" s="43"/>
      <c r="WJR42" s="44"/>
      <c r="WJT42" s="42"/>
      <c r="WJU42" s="43"/>
      <c r="WJV42" s="44"/>
      <c r="WJX42" s="42"/>
      <c r="WJY42" s="43"/>
      <c r="WJZ42" s="44"/>
      <c r="WKB42" s="42"/>
      <c r="WKC42" s="43"/>
      <c r="WKD42" s="44"/>
      <c r="WKF42" s="42"/>
      <c r="WKG42" s="43"/>
      <c r="WKH42" s="44"/>
      <c r="WKJ42" s="42"/>
      <c r="WKK42" s="43"/>
      <c r="WKL42" s="44"/>
      <c r="WKN42" s="42"/>
      <c r="WKO42" s="43"/>
      <c r="WKP42" s="44"/>
      <c r="WKR42" s="42"/>
      <c r="WKS42" s="43"/>
      <c r="WKT42" s="44"/>
      <c r="WKV42" s="42"/>
      <c r="WKW42" s="43"/>
      <c r="WKX42" s="44"/>
      <c r="WKZ42" s="42"/>
      <c r="WLA42" s="43"/>
      <c r="WLB42" s="44"/>
      <c r="WLD42" s="42"/>
      <c r="WLE42" s="43"/>
      <c r="WLF42" s="44"/>
      <c r="WLH42" s="42"/>
      <c r="WLI42" s="43"/>
      <c r="WLJ42" s="44"/>
      <c r="WLL42" s="42"/>
      <c r="WLM42" s="43"/>
      <c r="WLN42" s="44"/>
      <c r="WLP42" s="42"/>
      <c r="WLQ42" s="43"/>
      <c r="WLR42" s="44"/>
      <c r="WLT42" s="42"/>
      <c r="WLU42" s="43"/>
      <c r="WLV42" s="44"/>
      <c r="WLX42" s="42"/>
      <c r="WLY42" s="43"/>
      <c r="WLZ42" s="44"/>
      <c r="WMB42" s="42"/>
      <c r="WMC42" s="43"/>
      <c r="WMD42" s="44"/>
      <c r="WMF42" s="42"/>
      <c r="WMG42" s="43"/>
      <c r="WMH42" s="44"/>
      <c r="WMJ42" s="42"/>
      <c r="WMK42" s="43"/>
      <c r="WML42" s="44"/>
      <c r="WMN42" s="42"/>
      <c r="WMO42" s="43"/>
      <c r="WMP42" s="44"/>
      <c r="WMR42" s="42"/>
      <c r="WMS42" s="43"/>
      <c r="WMT42" s="44"/>
      <c r="WMV42" s="42"/>
      <c r="WMW42" s="43"/>
      <c r="WMX42" s="44"/>
      <c r="WMZ42" s="42"/>
      <c r="WNA42" s="43"/>
      <c r="WNB42" s="44"/>
      <c r="WND42" s="42"/>
      <c r="WNE42" s="43"/>
      <c r="WNF42" s="44"/>
      <c r="WNH42" s="42"/>
      <c r="WNI42" s="43"/>
      <c r="WNJ42" s="44"/>
      <c r="WNL42" s="42"/>
      <c r="WNM42" s="43"/>
      <c r="WNN42" s="44"/>
      <c r="WNP42" s="42"/>
      <c r="WNQ42" s="43"/>
      <c r="WNR42" s="44"/>
      <c r="WNT42" s="42"/>
      <c r="WNU42" s="43"/>
      <c r="WNV42" s="44"/>
      <c r="WNX42" s="42"/>
      <c r="WNY42" s="43"/>
      <c r="WNZ42" s="44"/>
      <c r="WOB42" s="42"/>
      <c r="WOC42" s="43"/>
      <c r="WOD42" s="44"/>
      <c r="WOF42" s="42"/>
      <c r="WOG42" s="43"/>
      <c r="WOH42" s="44"/>
      <c r="WOJ42" s="42"/>
      <c r="WOK42" s="43"/>
      <c r="WOL42" s="44"/>
      <c r="WON42" s="42"/>
      <c r="WOO42" s="43"/>
      <c r="WOP42" s="44"/>
      <c r="WOR42" s="42"/>
      <c r="WOS42" s="43"/>
      <c r="WOT42" s="44"/>
      <c r="WOV42" s="42"/>
      <c r="WOW42" s="43"/>
      <c r="WOX42" s="44"/>
      <c r="WOZ42" s="42"/>
      <c r="WPA42" s="43"/>
      <c r="WPB42" s="44"/>
      <c r="WPD42" s="42"/>
      <c r="WPE42" s="43"/>
      <c r="WPF42" s="44"/>
      <c r="WPH42" s="42"/>
      <c r="WPI42" s="43"/>
      <c r="WPJ42" s="44"/>
      <c r="WPL42" s="42"/>
      <c r="WPM42" s="43"/>
      <c r="WPN42" s="44"/>
      <c r="WPP42" s="42"/>
      <c r="WPQ42" s="43"/>
      <c r="WPR42" s="44"/>
      <c r="WPT42" s="42"/>
      <c r="WPU42" s="43"/>
      <c r="WPV42" s="44"/>
      <c r="WPX42" s="42"/>
      <c r="WPY42" s="43"/>
      <c r="WPZ42" s="44"/>
      <c r="WQB42" s="42"/>
      <c r="WQC42" s="43"/>
      <c r="WQD42" s="44"/>
      <c r="WQF42" s="42"/>
      <c r="WQG42" s="43"/>
      <c r="WQH42" s="44"/>
      <c r="WQJ42" s="42"/>
      <c r="WQK42" s="43"/>
      <c r="WQL42" s="44"/>
      <c r="WQN42" s="42"/>
      <c r="WQO42" s="43"/>
      <c r="WQP42" s="44"/>
      <c r="WQR42" s="42"/>
      <c r="WQS42" s="43"/>
      <c r="WQT42" s="44"/>
      <c r="WQV42" s="42"/>
      <c r="WQW42" s="43"/>
      <c r="WQX42" s="44"/>
      <c r="WQZ42" s="42"/>
      <c r="WRA42" s="43"/>
      <c r="WRB42" s="44"/>
      <c r="WRD42" s="42"/>
      <c r="WRE42" s="43"/>
      <c r="WRF42" s="44"/>
      <c r="WRH42" s="42"/>
      <c r="WRI42" s="43"/>
      <c r="WRJ42" s="44"/>
      <c r="WRL42" s="42"/>
      <c r="WRM42" s="43"/>
      <c r="WRN42" s="44"/>
      <c r="WRP42" s="42"/>
      <c r="WRQ42" s="43"/>
      <c r="WRR42" s="44"/>
      <c r="WRT42" s="42"/>
      <c r="WRU42" s="43"/>
      <c r="WRV42" s="44"/>
      <c r="WRX42" s="42"/>
      <c r="WRY42" s="43"/>
      <c r="WRZ42" s="44"/>
      <c r="WSB42" s="42"/>
      <c r="WSC42" s="43"/>
      <c r="WSD42" s="44"/>
      <c r="WSF42" s="42"/>
      <c r="WSG42" s="43"/>
      <c r="WSH42" s="44"/>
      <c r="WSJ42" s="42"/>
      <c r="WSK42" s="43"/>
      <c r="WSL42" s="44"/>
      <c r="WSN42" s="42"/>
      <c r="WSO42" s="43"/>
      <c r="WSP42" s="44"/>
      <c r="WSR42" s="42"/>
      <c r="WSS42" s="43"/>
      <c r="WST42" s="44"/>
      <c r="WSV42" s="42"/>
      <c r="WSW42" s="43"/>
      <c r="WSX42" s="44"/>
      <c r="WSZ42" s="42"/>
      <c r="WTA42" s="43"/>
      <c r="WTB42" s="44"/>
      <c r="WTD42" s="42"/>
      <c r="WTE42" s="43"/>
      <c r="WTF42" s="44"/>
      <c r="WTH42" s="42"/>
      <c r="WTI42" s="43"/>
      <c r="WTJ42" s="44"/>
      <c r="WTL42" s="42"/>
      <c r="WTM42" s="43"/>
      <c r="WTN42" s="44"/>
      <c r="WTP42" s="42"/>
      <c r="WTQ42" s="43"/>
      <c r="WTR42" s="44"/>
      <c r="WTT42" s="42"/>
      <c r="WTU42" s="43"/>
      <c r="WTV42" s="44"/>
      <c r="WTX42" s="42"/>
      <c r="WTY42" s="43"/>
      <c r="WTZ42" s="44"/>
      <c r="WUB42" s="42"/>
      <c r="WUC42" s="43"/>
      <c r="WUD42" s="44"/>
      <c r="WUF42" s="42"/>
      <c r="WUG42" s="43"/>
      <c r="WUH42" s="44"/>
      <c r="WUJ42" s="42"/>
      <c r="WUK42" s="43"/>
      <c r="WUL42" s="44"/>
      <c r="WUN42" s="42"/>
      <c r="WUO42" s="43"/>
      <c r="WUP42" s="44"/>
      <c r="WUR42" s="42"/>
      <c r="WUS42" s="43"/>
      <c r="WUT42" s="44"/>
      <c r="WUV42" s="42"/>
      <c r="WUW42" s="43"/>
      <c r="WUX42" s="44"/>
      <c r="WUZ42" s="42"/>
      <c r="WVA42" s="43"/>
      <c r="WVB42" s="44"/>
      <c r="WVD42" s="42"/>
      <c r="WVE42" s="43"/>
      <c r="WVF42" s="44"/>
      <c r="WVH42" s="42"/>
      <c r="WVI42" s="43"/>
      <c r="WVJ42" s="44"/>
      <c r="WVL42" s="42"/>
      <c r="WVM42" s="43"/>
      <c r="WVN42" s="44"/>
      <c r="WVP42" s="42"/>
      <c r="WVQ42" s="43"/>
      <c r="WVR42" s="44"/>
      <c r="WVT42" s="42"/>
      <c r="WVU42" s="43"/>
      <c r="WVV42" s="44"/>
      <c r="WVX42" s="42"/>
      <c r="WVY42" s="43"/>
      <c r="WVZ42" s="44"/>
      <c r="WWB42" s="42"/>
      <c r="WWC42" s="43"/>
      <c r="WWD42" s="44"/>
      <c r="WWF42" s="42"/>
      <c r="WWG42" s="43"/>
      <c r="WWH42" s="44"/>
      <c r="WWJ42" s="42"/>
      <c r="WWK42" s="43"/>
      <c r="WWL42" s="44"/>
      <c r="WWN42" s="42"/>
      <c r="WWO42" s="43"/>
      <c r="WWP42" s="44"/>
      <c r="WWR42" s="42"/>
      <c r="WWS42" s="43"/>
      <c r="WWT42" s="44"/>
      <c r="WWV42" s="42"/>
      <c r="WWW42" s="43"/>
      <c r="WWX42" s="44"/>
      <c r="WWZ42" s="42"/>
      <c r="WXA42" s="43"/>
      <c r="WXB42" s="44"/>
      <c r="WXD42" s="42"/>
      <c r="WXE42" s="43"/>
      <c r="WXF42" s="44"/>
      <c r="WXH42" s="42"/>
      <c r="WXI42" s="43"/>
      <c r="WXJ42" s="44"/>
      <c r="WXL42" s="42"/>
      <c r="WXM42" s="43"/>
      <c r="WXN42" s="44"/>
      <c r="WXP42" s="42"/>
      <c r="WXQ42" s="43"/>
      <c r="WXR42" s="44"/>
      <c r="WXT42" s="42"/>
      <c r="WXU42" s="43"/>
      <c r="WXV42" s="44"/>
      <c r="WXX42" s="42"/>
      <c r="WXY42" s="43"/>
      <c r="WXZ42" s="44"/>
      <c r="WYB42" s="42"/>
      <c r="WYC42" s="43"/>
      <c r="WYD42" s="44"/>
      <c r="WYF42" s="42"/>
      <c r="WYG42" s="43"/>
      <c r="WYH42" s="44"/>
      <c r="WYJ42" s="42"/>
      <c r="WYK42" s="43"/>
      <c r="WYL42" s="44"/>
      <c r="WYN42" s="42"/>
      <c r="WYO42" s="43"/>
      <c r="WYP42" s="44"/>
      <c r="WYR42" s="42"/>
      <c r="WYS42" s="43"/>
      <c r="WYT42" s="44"/>
      <c r="WYV42" s="42"/>
      <c r="WYW42" s="43"/>
      <c r="WYX42" s="44"/>
      <c r="WYZ42" s="42"/>
      <c r="WZA42" s="43"/>
      <c r="WZB42" s="44"/>
      <c r="WZD42" s="42"/>
      <c r="WZE42" s="43"/>
      <c r="WZF42" s="44"/>
      <c r="WZH42" s="42"/>
      <c r="WZI42" s="43"/>
      <c r="WZJ42" s="44"/>
      <c r="WZL42" s="42"/>
      <c r="WZM42" s="43"/>
      <c r="WZN42" s="44"/>
      <c r="WZP42" s="42"/>
      <c r="WZQ42" s="43"/>
      <c r="WZR42" s="44"/>
      <c r="WZT42" s="42"/>
      <c r="WZU42" s="43"/>
      <c r="WZV42" s="44"/>
      <c r="WZX42" s="42"/>
      <c r="WZY42" s="43"/>
      <c r="WZZ42" s="44"/>
      <c r="XAB42" s="42"/>
      <c r="XAC42" s="43"/>
      <c r="XAD42" s="44"/>
      <c r="XAF42" s="42"/>
      <c r="XAG42" s="43"/>
      <c r="XAH42" s="44"/>
      <c r="XAJ42" s="42"/>
      <c r="XAK42" s="43"/>
      <c r="XAL42" s="44"/>
      <c r="XAN42" s="42"/>
      <c r="XAO42" s="43"/>
      <c r="XAP42" s="44"/>
      <c r="XAR42" s="42"/>
      <c r="XAS42" s="43"/>
      <c r="XAT42" s="44"/>
      <c r="XAV42" s="42"/>
      <c r="XAW42" s="43"/>
      <c r="XAX42" s="44"/>
      <c r="XAZ42" s="42"/>
      <c r="XBA42" s="43"/>
      <c r="XBB42" s="44"/>
      <c r="XBD42" s="42"/>
      <c r="XBE42" s="43"/>
      <c r="XBF42" s="44"/>
      <c r="XBH42" s="42"/>
      <c r="XBI42" s="43"/>
      <c r="XBJ42" s="44"/>
      <c r="XBL42" s="42"/>
      <c r="XBM42" s="43"/>
      <c r="XBN42" s="44"/>
      <c r="XBP42" s="42"/>
      <c r="XBQ42" s="43"/>
      <c r="XBR42" s="44"/>
      <c r="XBT42" s="42"/>
      <c r="XBU42" s="43"/>
      <c r="XBV42" s="44"/>
      <c r="XBX42" s="42"/>
      <c r="XBY42" s="43"/>
      <c r="XBZ42" s="44"/>
      <c r="XCB42" s="42"/>
      <c r="XCC42" s="43"/>
      <c r="XCD42" s="44"/>
      <c r="XCF42" s="42"/>
      <c r="XCG42" s="43"/>
      <c r="XCH42" s="44"/>
      <c r="XCJ42" s="42"/>
      <c r="XCK42" s="43"/>
      <c r="XCL42" s="44"/>
      <c r="XCN42" s="42"/>
      <c r="XCO42" s="43"/>
      <c r="XCP42" s="44"/>
      <c r="XCR42" s="42"/>
      <c r="XCS42" s="43"/>
      <c r="XCT42" s="44"/>
      <c r="XCV42" s="42"/>
      <c r="XCW42" s="43"/>
      <c r="XCX42" s="44"/>
      <c r="XCZ42" s="42"/>
      <c r="XDA42" s="43"/>
      <c r="XDB42" s="44"/>
      <c r="XDD42" s="42"/>
      <c r="XDE42" s="43"/>
      <c r="XDF42" s="44"/>
      <c r="XDH42" s="42"/>
      <c r="XDI42" s="43"/>
      <c r="XDJ42" s="44"/>
      <c r="XDL42" s="42"/>
      <c r="XDM42" s="43"/>
      <c r="XDN42" s="44"/>
      <c r="XDP42" s="42"/>
      <c r="XDQ42" s="43"/>
      <c r="XDR42" s="44"/>
      <c r="XDT42" s="42"/>
      <c r="XDU42" s="43"/>
      <c r="XDV42" s="44"/>
      <c r="XDX42" s="42"/>
      <c r="XDY42" s="43"/>
      <c r="XDZ42" s="44"/>
      <c r="XEB42" s="42"/>
      <c r="XEC42" s="43"/>
      <c r="XED42" s="44"/>
      <c r="XEF42" s="42"/>
      <c r="XEG42" s="43"/>
      <c r="XEH42" s="44"/>
      <c r="XEJ42" s="42"/>
      <c r="XEK42" s="43"/>
      <c r="XEL42" s="44"/>
      <c r="XEN42" s="42"/>
      <c r="XEO42" s="43"/>
      <c r="XEP42" s="44"/>
      <c r="XER42" s="42"/>
      <c r="XES42" s="43"/>
      <c r="XET42" s="44"/>
    </row>
    <row r="43" spans="1:16374">
      <c r="A43" s="105" t="s">
        <v>88</v>
      </c>
      <c r="B43" s="95"/>
      <c r="C43" s="122" t="s">
        <v>526</v>
      </c>
      <c r="D43" s="137">
        <v>1</v>
      </c>
      <c r="E43" s="106" t="s">
        <v>513</v>
      </c>
      <c r="F43" s="262"/>
    </row>
    <row r="44" spans="1:16374">
      <c r="A44" s="105" t="s">
        <v>582</v>
      </c>
      <c r="B44" s="95"/>
      <c r="C44" s="122" t="s">
        <v>587</v>
      </c>
      <c r="D44" s="137">
        <v>1</v>
      </c>
      <c r="E44" s="106" t="s">
        <v>513</v>
      </c>
      <c r="F44" s="262"/>
    </row>
    <row r="45" spans="1:16374">
      <c r="A45" s="105" t="s">
        <v>569</v>
      </c>
      <c r="B45" s="95"/>
      <c r="C45" s="122" t="s">
        <v>571</v>
      </c>
      <c r="D45" s="137">
        <v>1</v>
      </c>
      <c r="E45" s="106" t="s">
        <v>513</v>
      </c>
      <c r="F45" s="262"/>
    </row>
    <row r="46" spans="1:16374">
      <c r="A46" s="108" t="s">
        <v>90</v>
      </c>
      <c r="B46" s="109"/>
      <c r="C46" s="122" t="s">
        <v>527</v>
      </c>
      <c r="D46" s="168">
        <v>0</v>
      </c>
      <c r="E46" s="150" t="s">
        <v>548</v>
      </c>
      <c r="F46" s="262"/>
    </row>
    <row r="47" spans="1:16374">
      <c r="A47" s="108" t="s">
        <v>576</v>
      </c>
      <c r="B47" s="109"/>
      <c r="C47" s="122" t="s">
        <v>578</v>
      </c>
      <c r="D47" s="168">
        <v>0</v>
      </c>
      <c r="E47" s="150" t="s">
        <v>548</v>
      </c>
      <c r="F47" s="262"/>
    </row>
    <row r="48" spans="1:16374">
      <c r="A48" s="105" t="s">
        <v>567</v>
      </c>
      <c r="B48" s="95"/>
      <c r="C48" s="122" t="s">
        <v>568</v>
      </c>
      <c r="D48" s="168">
        <v>0</v>
      </c>
      <c r="E48" s="150" t="s">
        <v>548</v>
      </c>
      <c r="F48" s="262"/>
    </row>
    <row r="49" spans="1:6">
      <c r="A49" s="105" t="s">
        <v>91</v>
      </c>
      <c r="B49" s="95"/>
      <c r="C49" s="122" t="s">
        <v>528</v>
      </c>
      <c r="D49" s="168">
        <v>0</v>
      </c>
      <c r="E49" s="150" t="s">
        <v>548</v>
      </c>
      <c r="F49" s="262"/>
    </row>
    <row r="50" spans="1:6">
      <c r="A50" s="108" t="s">
        <v>101</v>
      </c>
      <c r="B50" s="109"/>
      <c r="C50" s="122" t="s">
        <v>529</v>
      </c>
      <c r="D50" s="169">
        <v>0</v>
      </c>
      <c r="E50" s="150" t="s">
        <v>548</v>
      </c>
      <c r="F50" s="262"/>
    </row>
    <row r="51" spans="1:6">
      <c r="A51" s="105" t="s">
        <v>92</v>
      </c>
      <c r="B51" s="95"/>
      <c r="C51" s="122" t="s">
        <v>530</v>
      </c>
      <c r="D51" s="170">
        <v>0</v>
      </c>
      <c r="E51" s="167" t="s">
        <v>548</v>
      </c>
      <c r="F51" s="262"/>
    </row>
    <row r="52" spans="1:6">
      <c r="A52" s="110" t="s">
        <v>93</v>
      </c>
      <c r="B52" s="95"/>
      <c r="C52" s="122" t="s">
        <v>531</v>
      </c>
      <c r="D52" s="139">
        <v>0</v>
      </c>
      <c r="E52" s="106" t="s">
        <v>513</v>
      </c>
      <c r="F52" s="264" t="s">
        <v>721</v>
      </c>
    </row>
    <row r="53" spans="1:6">
      <c r="A53" s="110" t="s">
        <v>94</v>
      </c>
      <c r="B53" s="95"/>
      <c r="C53" s="122" t="s">
        <v>532</v>
      </c>
      <c r="D53" s="139">
        <v>0</v>
      </c>
      <c r="E53" s="106" t="s">
        <v>513</v>
      </c>
      <c r="F53" s="264" t="s">
        <v>721</v>
      </c>
    </row>
    <row r="54" spans="1:6">
      <c r="A54" s="110" t="s">
        <v>95</v>
      </c>
      <c r="B54" s="95"/>
      <c r="C54" s="122" t="s">
        <v>533</v>
      </c>
      <c r="D54" s="139">
        <v>0</v>
      </c>
      <c r="E54" s="106" t="s">
        <v>513</v>
      </c>
      <c r="F54" s="264" t="s">
        <v>722</v>
      </c>
    </row>
    <row r="55" spans="1:6" ht="17.25" thickBot="1">
      <c r="A55" s="111" t="s">
        <v>95</v>
      </c>
      <c r="B55" s="77"/>
      <c r="C55" s="123" t="s">
        <v>533</v>
      </c>
      <c r="D55" s="140">
        <v>0</v>
      </c>
      <c r="E55" s="112" t="s">
        <v>513</v>
      </c>
      <c r="F55" s="264" t="s">
        <v>722</v>
      </c>
    </row>
    <row r="56" spans="1:6" ht="17.25" thickTop="1">
      <c r="A56" s="113" t="s">
        <v>96</v>
      </c>
      <c r="B56" s="114" t="s">
        <v>491</v>
      </c>
      <c r="C56" s="124" t="s">
        <v>534</v>
      </c>
      <c r="D56" s="141">
        <v>0.05</v>
      </c>
      <c r="E56" s="97" t="s">
        <v>513</v>
      </c>
      <c r="F56" s="262"/>
    </row>
    <row r="57" spans="1:6">
      <c r="A57" s="115" t="s">
        <v>96</v>
      </c>
      <c r="B57" s="116" t="s">
        <v>490</v>
      </c>
      <c r="C57" s="127" t="s">
        <v>535</v>
      </c>
      <c r="D57" s="142">
        <v>0.05</v>
      </c>
      <c r="E57" s="117" t="s">
        <v>513</v>
      </c>
      <c r="F57" s="262"/>
    </row>
    <row r="58" spans="1:6">
      <c r="A58" s="115" t="s">
        <v>96</v>
      </c>
      <c r="B58" s="116" t="s">
        <v>489</v>
      </c>
      <c r="C58" s="127" t="s">
        <v>536</v>
      </c>
      <c r="D58" s="142">
        <v>0.1</v>
      </c>
      <c r="E58" s="117" t="s">
        <v>513</v>
      </c>
      <c r="F58" s="262"/>
    </row>
    <row r="59" spans="1:6" ht="17.25" thickBot="1">
      <c r="A59" s="118" t="s">
        <v>96</v>
      </c>
      <c r="B59" s="119" t="s">
        <v>1246</v>
      </c>
      <c r="C59" s="126" t="s">
        <v>1247</v>
      </c>
      <c r="D59" s="143">
        <v>0.4</v>
      </c>
      <c r="E59" s="101" t="s">
        <v>513</v>
      </c>
      <c r="F59" s="262"/>
    </row>
    <row r="60" spans="1:6" ht="17.25" thickTop="1">
      <c r="A60" s="120" t="s">
        <v>98</v>
      </c>
      <c r="B60" s="116"/>
      <c r="C60" s="127" t="s">
        <v>537</v>
      </c>
      <c r="D60" s="142">
        <v>1</v>
      </c>
      <c r="E60" s="128" t="s">
        <v>513</v>
      </c>
      <c r="F60" s="262"/>
    </row>
    <row r="61" spans="1:6">
      <c r="A61" s="105" t="s">
        <v>485</v>
      </c>
      <c r="B61" s="144"/>
      <c r="C61" s="145" t="s">
        <v>566</v>
      </c>
      <c r="D61" s="139">
        <v>1</v>
      </c>
      <c r="E61" s="146" t="s">
        <v>513</v>
      </c>
      <c r="F61" s="262"/>
    </row>
    <row r="62" spans="1:6">
      <c r="A62" s="163" t="s">
        <v>99</v>
      </c>
      <c r="B62" s="164"/>
      <c r="C62" s="145" t="s">
        <v>538</v>
      </c>
      <c r="D62" s="160">
        <v>0</v>
      </c>
      <c r="E62" s="161" t="s">
        <v>513</v>
      </c>
      <c r="F62" s="262"/>
    </row>
    <row r="63" spans="1:6">
      <c r="A63" s="163" t="s">
        <v>100</v>
      </c>
      <c r="B63" s="164"/>
      <c r="C63" s="145" t="s">
        <v>539</v>
      </c>
      <c r="D63" s="160">
        <v>0</v>
      </c>
      <c r="E63" s="161" t="s">
        <v>513</v>
      </c>
      <c r="F63" s="262"/>
    </row>
    <row r="64" spans="1:6">
      <c r="A64" s="163" t="s">
        <v>102</v>
      </c>
      <c r="B64" s="165"/>
      <c r="C64" s="145" t="s">
        <v>540</v>
      </c>
      <c r="D64" s="162">
        <v>0</v>
      </c>
      <c r="E64" s="161" t="s">
        <v>513</v>
      </c>
      <c r="F64" s="265"/>
    </row>
  </sheetData>
  <autoFilter ref="A1:F64" xr:uid="{00000000-0009-0000-0000-000010000000}"/>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D92"/>
  <sheetViews>
    <sheetView zoomScale="85" zoomScaleNormal="85" workbookViewId="0">
      <pane ySplit="2" topLeftCell="A3" activePane="bottomLeft" state="frozen"/>
      <selection activeCell="D22" sqref="D22"/>
      <selection pane="bottomLeft" activeCell="B17" sqref="B17"/>
    </sheetView>
  </sheetViews>
  <sheetFormatPr defaultColWidth="40.875" defaultRowHeight="16.5"/>
  <cols>
    <col min="1" max="1" width="8.375" style="1" bestFit="1" customWidth="1"/>
    <col min="2" max="2" width="55.875" style="1" bestFit="1" customWidth="1"/>
    <col min="3" max="3" width="21.25" style="182" bestFit="1" customWidth="1"/>
    <col min="4" max="4" width="24.375" style="176" customWidth="1"/>
    <col min="5" max="16384" width="40.875" style="1"/>
  </cols>
  <sheetData>
    <row r="1" spans="1:4" ht="17.25" thickBot="1"/>
    <row r="2" spans="1:4" ht="17.25" thickTop="1">
      <c r="A2" s="192" t="s">
        <v>103</v>
      </c>
      <c r="B2" s="193" t="s">
        <v>104</v>
      </c>
      <c r="C2" s="191" t="s">
        <v>1499</v>
      </c>
      <c r="D2" s="175"/>
    </row>
    <row r="3" spans="1:4">
      <c r="A3" s="183" t="s">
        <v>109</v>
      </c>
      <c r="B3" s="53" t="s">
        <v>110</v>
      </c>
      <c r="C3" s="184" t="s">
        <v>65</v>
      </c>
      <c r="D3" s="149" t="s">
        <v>60</v>
      </c>
    </row>
    <row r="4" spans="1:4">
      <c r="A4" s="183" t="s">
        <v>111</v>
      </c>
      <c r="B4" s="53" t="s">
        <v>112</v>
      </c>
      <c r="C4" s="184" t="s">
        <v>65</v>
      </c>
      <c r="D4" s="149" t="s">
        <v>60</v>
      </c>
    </row>
    <row r="5" spans="1:4">
      <c r="A5" s="183" t="s">
        <v>113</v>
      </c>
      <c r="B5" s="53" t="s">
        <v>114</v>
      </c>
      <c r="C5" s="184" t="s">
        <v>65</v>
      </c>
      <c r="D5" s="149" t="s">
        <v>60</v>
      </c>
    </row>
    <row r="6" spans="1:4">
      <c r="A6" s="183" t="s">
        <v>169</v>
      </c>
      <c r="B6" s="53" t="s">
        <v>24</v>
      </c>
      <c r="C6" s="185">
        <v>401768</v>
      </c>
      <c r="D6" s="199" t="s">
        <v>696</v>
      </c>
    </row>
    <row r="7" spans="1:4">
      <c r="A7" s="183" t="s">
        <v>170</v>
      </c>
      <c r="B7" s="53" t="s">
        <v>171</v>
      </c>
      <c r="C7" s="185">
        <v>401768</v>
      </c>
      <c r="D7" s="199" t="s">
        <v>696</v>
      </c>
    </row>
    <row r="8" spans="1:4">
      <c r="A8" s="183" t="s">
        <v>172</v>
      </c>
      <c r="B8" s="53" t="s">
        <v>173</v>
      </c>
      <c r="C8" s="185">
        <v>401768</v>
      </c>
      <c r="D8" s="199" t="s">
        <v>696</v>
      </c>
    </row>
    <row r="9" spans="1:4">
      <c r="A9" s="183" t="s">
        <v>174</v>
      </c>
      <c r="B9" s="53" t="s">
        <v>175</v>
      </c>
      <c r="C9" s="185">
        <v>401768</v>
      </c>
      <c r="D9" s="199" t="s">
        <v>696</v>
      </c>
    </row>
    <row r="10" spans="1:4">
      <c r="A10" s="183" t="s">
        <v>176</v>
      </c>
      <c r="B10" s="53" t="s">
        <v>177</v>
      </c>
      <c r="C10" s="185">
        <v>401768</v>
      </c>
      <c r="D10" s="199" t="s">
        <v>696</v>
      </c>
    </row>
    <row r="11" spans="1:4">
      <c r="A11" s="183" t="s">
        <v>178</v>
      </c>
      <c r="B11" s="53" t="s">
        <v>179</v>
      </c>
      <c r="C11" s="185">
        <v>401768</v>
      </c>
      <c r="D11" s="199" t="s">
        <v>696</v>
      </c>
    </row>
    <row r="12" spans="1:4">
      <c r="A12" s="183" t="s">
        <v>180</v>
      </c>
      <c r="B12" s="53" t="s">
        <v>181</v>
      </c>
      <c r="C12" s="185">
        <v>401768</v>
      </c>
      <c r="D12" s="199" t="s">
        <v>696</v>
      </c>
    </row>
    <row r="13" spans="1:4" ht="15.95" customHeight="1">
      <c r="A13" s="183" t="s">
        <v>182</v>
      </c>
      <c r="B13" s="53" t="s">
        <v>183</v>
      </c>
      <c r="C13" s="185">
        <v>401768</v>
      </c>
      <c r="D13" s="199" t="s">
        <v>696</v>
      </c>
    </row>
    <row r="14" spans="1:4">
      <c r="A14" s="183" t="s">
        <v>224</v>
      </c>
      <c r="B14" s="198" t="s">
        <v>225</v>
      </c>
      <c r="C14" s="186">
        <f>DATE(YEAR(BS_RE33!$N$4),12,31)</f>
        <v>46387</v>
      </c>
      <c r="D14" s="199" t="s">
        <v>696</v>
      </c>
    </row>
    <row r="15" spans="1:4">
      <c r="A15" s="183" t="s">
        <v>236</v>
      </c>
      <c r="B15" s="53" t="s">
        <v>237</v>
      </c>
      <c r="C15" s="186">
        <f>EOMONTH(BS_RE33!$N$4,0)+21</f>
        <v>46102</v>
      </c>
      <c r="D15" s="199" t="s">
        <v>696</v>
      </c>
    </row>
    <row r="16" spans="1:4">
      <c r="A16" s="382" t="s">
        <v>244</v>
      </c>
      <c r="B16" s="57" t="s">
        <v>245</v>
      </c>
      <c r="C16" s="186">
        <f>EOMONTH(BS_RE33!$N$4,0)+60</f>
        <v>46141</v>
      </c>
      <c r="D16" s="200" t="s">
        <v>63</v>
      </c>
    </row>
    <row r="17" spans="1:4">
      <c r="A17" s="183" t="s">
        <v>1558</v>
      </c>
      <c r="B17" s="53" t="s">
        <v>1559</v>
      </c>
      <c r="C17" s="185">
        <v>401768</v>
      </c>
      <c r="D17" s="199" t="s">
        <v>168</v>
      </c>
    </row>
    <row r="18" spans="1:4">
      <c r="A18" s="183" t="s">
        <v>248</v>
      </c>
      <c r="B18" s="53" t="s">
        <v>32</v>
      </c>
      <c r="C18" s="185">
        <v>401768</v>
      </c>
      <c r="D18" s="199" t="s">
        <v>696</v>
      </c>
    </row>
    <row r="19" spans="1:4">
      <c r="A19" s="183" t="s">
        <v>249</v>
      </c>
      <c r="B19" s="53" t="s">
        <v>250</v>
      </c>
      <c r="C19" s="185">
        <v>401768</v>
      </c>
      <c r="D19" s="199" t="s">
        <v>696</v>
      </c>
    </row>
    <row r="20" spans="1:4">
      <c r="A20" s="183" t="s">
        <v>251</v>
      </c>
      <c r="B20" s="53" t="s">
        <v>34</v>
      </c>
      <c r="C20" s="185">
        <v>401768</v>
      </c>
      <c r="D20" s="199" t="s">
        <v>696</v>
      </c>
    </row>
    <row r="21" spans="1:4">
      <c r="A21" s="183" t="s">
        <v>252</v>
      </c>
      <c r="B21" s="53" t="s">
        <v>35</v>
      </c>
      <c r="C21" s="185">
        <v>401768</v>
      </c>
      <c r="D21" s="199" t="s">
        <v>696</v>
      </c>
    </row>
    <row r="22" spans="1:4">
      <c r="A22" s="183" t="s">
        <v>253</v>
      </c>
      <c r="B22" s="53" t="s">
        <v>254</v>
      </c>
      <c r="C22" s="185">
        <v>401768</v>
      </c>
      <c r="D22" s="199" t="s">
        <v>696</v>
      </c>
    </row>
    <row r="23" spans="1:4">
      <c r="A23" s="183" t="s">
        <v>255</v>
      </c>
      <c r="B23" s="53" t="s">
        <v>35</v>
      </c>
      <c r="C23" s="185">
        <v>401768</v>
      </c>
      <c r="D23" s="199" t="s">
        <v>696</v>
      </c>
    </row>
    <row r="24" spans="1:4">
      <c r="A24" s="183" t="s">
        <v>256</v>
      </c>
      <c r="B24" s="53" t="s">
        <v>257</v>
      </c>
      <c r="C24" s="185">
        <v>401768</v>
      </c>
      <c r="D24" s="199" t="s">
        <v>696</v>
      </c>
    </row>
    <row r="25" spans="1:4">
      <c r="A25" s="183" t="s">
        <v>258</v>
      </c>
      <c r="B25" s="53" t="s">
        <v>36</v>
      </c>
      <c r="C25" s="185">
        <v>401768</v>
      </c>
      <c r="D25" s="199" t="s">
        <v>696</v>
      </c>
    </row>
    <row r="26" spans="1:4">
      <c r="A26" s="183" t="s">
        <v>259</v>
      </c>
      <c r="B26" s="53" t="s">
        <v>32</v>
      </c>
      <c r="C26" s="185">
        <v>401768</v>
      </c>
      <c r="D26" s="199" t="s">
        <v>696</v>
      </c>
    </row>
    <row r="27" spans="1:4">
      <c r="A27" s="183" t="s">
        <v>260</v>
      </c>
      <c r="B27" s="53" t="s">
        <v>250</v>
      </c>
      <c r="C27" s="185">
        <v>401768</v>
      </c>
      <c r="D27" s="199" t="s">
        <v>696</v>
      </c>
    </row>
    <row r="28" spans="1:4">
      <c r="A28" s="183" t="s">
        <v>261</v>
      </c>
      <c r="B28" s="53" t="s">
        <v>34</v>
      </c>
      <c r="C28" s="185">
        <v>401768</v>
      </c>
      <c r="D28" s="199" t="s">
        <v>696</v>
      </c>
    </row>
    <row r="29" spans="1:4">
      <c r="A29" s="183" t="s">
        <v>262</v>
      </c>
      <c r="B29" s="53" t="s">
        <v>35</v>
      </c>
      <c r="C29" s="185">
        <v>401768</v>
      </c>
      <c r="D29" s="199" t="s">
        <v>696</v>
      </c>
    </row>
    <row r="30" spans="1:4">
      <c r="A30" s="183" t="s">
        <v>263</v>
      </c>
      <c r="B30" s="53" t="s">
        <v>254</v>
      </c>
      <c r="C30" s="185">
        <v>401768</v>
      </c>
      <c r="D30" s="199" t="s">
        <v>696</v>
      </c>
    </row>
    <row r="31" spans="1:4">
      <c r="A31" s="183" t="s">
        <v>264</v>
      </c>
      <c r="B31" s="53" t="s">
        <v>35</v>
      </c>
      <c r="C31" s="185">
        <v>401768</v>
      </c>
      <c r="D31" s="199" t="s">
        <v>696</v>
      </c>
    </row>
    <row r="32" spans="1:4">
      <c r="A32" s="183" t="s">
        <v>265</v>
      </c>
      <c r="B32" s="53" t="s">
        <v>36</v>
      </c>
      <c r="C32" s="185">
        <v>401768</v>
      </c>
      <c r="D32" s="199" t="s">
        <v>696</v>
      </c>
    </row>
    <row r="33" spans="1:4">
      <c r="A33" s="183" t="s">
        <v>267</v>
      </c>
      <c r="B33" s="53" t="s">
        <v>37</v>
      </c>
      <c r="C33" s="672">
        <v>401768</v>
      </c>
      <c r="D33" s="199" t="s">
        <v>696</v>
      </c>
    </row>
    <row r="34" spans="1:4">
      <c r="A34" s="183" t="s">
        <v>276</v>
      </c>
      <c r="B34" s="198" t="s">
        <v>39</v>
      </c>
      <c r="C34" s="184" t="s">
        <v>65</v>
      </c>
      <c r="D34" s="200" t="s">
        <v>63</v>
      </c>
    </row>
    <row r="35" spans="1:4">
      <c r="A35" s="183" t="s">
        <v>279</v>
      </c>
      <c r="B35" s="53" t="s">
        <v>54</v>
      </c>
      <c r="C35" s="186">
        <f>DATE(YEAR(BS_RE33!$N$4),12,31)</f>
        <v>46387</v>
      </c>
      <c r="D35" s="199" t="s">
        <v>696</v>
      </c>
    </row>
    <row r="36" spans="1:4">
      <c r="A36" s="671" t="s">
        <v>361</v>
      </c>
      <c r="B36" s="667" t="s">
        <v>362</v>
      </c>
      <c r="C36" s="185">
        <v>401768</v>
      </c>
      <c r="D36" s="199" t="s">
        <v>168</v>
      </c>
    </row>
    <row r="37" spans="1:4">
      <c r="A37" s="671" t="s">
        <v>363</v>
      </c>
      <c r="B37" s="667" t="s">
        <v>364</v>
      </c>
      <c r="C37" s="185">
        <v>401768</v>
      </c>
      <c r="D37" s="199" t="s">
        <v>168</v>
      </c>
    </row>
    <row r="38" spans="1:4">
      <c r="A38" s="671" t="s">
        <v>365</v>
      </c>
      <c r="B38" s="667" t="s">
        <v>366</v>
      </c>
      <c r="C38" s="185">
        <v>401768</v>
      </c>
      <c r="D38" s="199" t="s">
        <v>168</v>
      </c>
    </row>
    <row r="39" spans="1:4">
      <c r="A39" s="671" t="s">
        <v>367</v>
      </c>
      <c r="B39" s="667" t="s">
        <v>368</v>
      </c>
      <c r="C39" s="185">
        <v>401768</v>
      </c>
      <c r="D39" s="199" t="s">
        <v>168</v>
      </c>
    </row>
    <row r="40" spans="1:4">
      <c r="A40" s="671" t="s">
        <v>369</v>
      </c>
      <c r="B40" s="667" t="s">
        <v>370</v>
      </c>
      <c r="C40" s="185">
        <v>401768</v>
      </c>
      <c r="D40" s="199" t="s">
        <v>168</v>
      </c>
    </row>
    <row r="41" spans="1:4">
      <c r="A41" s="671" t="s">
        <v>371</v>
      </c>
      <c r="B41" s="667" t="s">
        <v>42</v>
      </c>
      <c r="C41" s="185">
        <v>401768</v>
      </c>
      <c r="D41" s="199" t="s">
        <v>168</v>
      </c>
    </row>
    <row r="42" spans="1:4">
      <c r="A42" s="671" t="s">
        <v>372</v>
      </c>
      <c r="B42" s="667" t="s">
        <v>373</v>
      </c>
      <c r="C42" s="185">
        <v>401768</v>
      </c>
      <c r="D42" s="199" t="s">
        <v>168</v>
      </c>
    </row>
    <row r="43" spans="1:4">
      <c r="A43" s="671" t="s">
        <v>374</v>
      </c>
      <c r="B43" s="667" t="s">
        <v>375</v>
      </c>
      <c r="C43" s="185">
        <v>401768</v>
      </c>
      <c r="D43" s="199" t="s">
        <v>168</v>
      </c>
    </row>
    <row r="44" spans="1:4">
      <c r="A44" s="671" t="s">
        <v>376</v>
      </c>
      <c r="B44" s="667" t="s">
        <v>377</v>
      </c>
      <c r="C44" s="185">
        <v>401768</v>
      </c>
      <c r="D44" s="199" t="s">
        <v>168</v>
      </c>
    </row>
    <row r="45" spans="1:4">
      <c r="A45" s="671" t="s">
        <v>378</v>
      </c>
      <c r="B45" s="667" t="s">
        <v>379</v>
      </c>
      <c r="C45" s="185">
        <v>401768</v>
      </c>
      <c r="D45" s="199" t="s">
        <v>168</v>
      </c>
    </row>
    <row r="46" spans="1:4">
      <c r="A46" s="671" t="s">
        <v>380</v>
      </c>
      <c r="B46" s="667" t="s">
        <v>381</v>
      </c>
      <c r="C46" s="185">
        <v>401768</v>
      </c>
      <c r="D46" s="199" t="s">
        <v>168</v>
      </c>
    </row>
    <row r="47" spans="1:4">
      <c r="A47" s="671" t="s">
        <v>382</v>
      </c>
      <c r="B47" s="667" t="s">
        <v>383</v>
      </c>
      <c r="C47" s="185">
        <v>401768</v>
      </c>
      <c r="D47" s="199" t="s">
        <v>168</v>
      </c>
    </row>
    <row r="48" spans="1:4">
      <c r="A48" s="671" t="s">
        <v>384</v>
      </c>
      <c r="B48" s="667" t="s">
        <v>385</v>
      </c>
      <c r="C48" s="185">
        <v>401768</v>
      </c>
      <c r="D48" s="199" t="s">
        <v>168</v>
      </c>
    </row>
    <row r="49" spans="1:4">
      <c r="A49" s="671" t="s">
        <v>386</v>
      </c>
      <c r="B49" s="667" t="s">
        <v>387</v>
      </c>
      <c r="C49" s="185">
        <v>401768</v>
      </c>
      <c r="D49" s="199" t="s">
        <v>168</v>
      </c>
    </row>
    <row r="50" spans="1:4">
      <c r="A50" s="671" t="s">
        <v>388</v>
      </c>
      <c r="B50" s="667" t="s">
        <v>389</v>
      </c>
      <c r="C50" s="185">
        <v>401768</v>
      </c>
      <c r="D50" s="199" t="s">
        <v>168</v>
      </c>
    </row>
    <row r="51" spans="1:4">
      <c r="A51" s="671" t="s">
        <v>390</v>
      </c>
      <c r="B51" s="667" t="s">
        <v>391</v>
      </c>
      <c r="C51" s="185">
        <v>401768</v>
      </c>
      <c r="D51" s="199" t="s">
        <v>168</v>
      </c>
    </row>
    <row r="52" spans="1:4">
      <c r="A52" s="671" t="s">
        <v>392</v>
      </c>
      <c r="B52" s="667" t="s">
        <v>393</v>
      </c>
      <c r="C52" s="185">
        <v>401768</v>
      </c>
      <c r="D52" s="199" t="s">
        <v>168</v>
      </c>
    </row>
    <row r="53" spans="1:4">
      <c r="A53" s="671" t="s">
        <v>394</v>
      </c>
      <c r="B53" s="667" t="s">
        <v>395</v>
      </c>
      <c r="C53" s="185">
        <v>401768</v>
      </c>
      <c r="D53" s="199" t="s">
        <v>168</v>
      </c>
    </row>
    <row r="54" spans="1:4">
      <c r="A54" s="671" t="s">
        <v>396</v>
      </c>
      <c r="B54" s="667" t="s">
        <v>397</v>
      </c>
      <c r="C54" s="185">
        <v>401768</v>
      </c>
      <c r="D54" s="199" t="s">
        <v>168</v>
      </c>
    </row>
    <row r="55" spans="1:4">
      <c r="A55" s="671" t="s">
        <v>398</v>
      </c>
      <c r="B55" s="667" t="s">
        <v>399</v>
      </c>
      <c r="C55" s="185">
        <v>401768</v>
      </c>
      <c r="D55" s="199" t="s">
        <v>168</v>
      </c>
    </row>
    <row r="56" spans="1:4">
      <c r="A56" s="671" t="s">
        <v>400</v>
      </c>
      <c r="B56" s="667" t="s">
        <v>401</v>
      </c>
      <c r="C56" s="185">
        <v>401768</v>
      </c>
      <c r="D56" s="199" t="s">
        <v>168</v>
      </c>
    </row>
    <row r="57" spans="1:4">
      <c r="A57" s="671" t="s">
        <v>402</v>
      </c>
      <c r="B57" s="667" t="s">
        <v>403</v>
      </c>
      <c r="C57" s="185">
        <v>401768</v>
      </c>
      <c r="D57" s="199" t="s">
        <v>168</v>
      </c>
    </row>
    <row r="58" spans="1:4">
      <c r="A58" s="671" t="s">
        <v>404</v>
      </c>
      <c r="B58" s="667" t="s">
        <v>405</v>
      </c>
      <c r="C58" s="185">
        <v>401768</v>
      </c>
      <c r="D58" s="199" t="s">
        <v>168</v>
      </c>
    </row>
    <row r="59" spans="1:4">
      <c r="A59" s="183" t="s">
        <v>406</v>
      </c>
      <c r="B59" s="53" t="s">
        <v>407</v>
      </c>
      <c r="C59" s="185">
        <v>401768</v>
      </c>
      <c r="D59" s="199" t="s">
        <v>696</v>
      </c>
    </row>
    <row r="60" spans="1:4">
      <c r="A60" s="183" t="s">
        <v>408</v>
      </c>
      <c r="B60" s="53" t="s">
        <v>409</v>
      </c>
      <c r="C60" s="185">
        <v>401768</v>
      </c>
      <c r="D60" s="199" t="s">
        <v>696</v>
      </c>
    </row>
    <row r="61" spans="1:4">
      <c r="A61" s="183" t="s">
        <v>414</v>
      </c>
      <c r="B61" s="53" t="s">
        <v>47</v>
      </c>
      <c r="C61" s="186">
        <f>EOMONTH(BS_RE33!$N$4,0)+10</f>
        <v>46091</v>
      </c>
      <c r="D61" s="201" t="s">
        <v>80</v>
      </c>
    </row>
    <row r="62" spans="1:4">
      <c r="A62" s="183" t="s">
        <v>415</v>
      </c>
      <c r="B62" s="53" t="s">
        <v>48</v>
      </c>
      <c r="C62" s="185">
        <v>401768</v>
      </c>
      <c r="D62" s="201" t="s">
        <v>80</v>
      </c>
    </row>
    <row r="63" spans="1:4">
      <c r="A63" s="183" t="s">
        <v>416</v>
      </c>
      <c r="B63" s="53" t="s">
        <v>49</v>
      </c>
      <c r="C63" s="186">
        <f>EOMONTH(BS_RE33!$N$4,0)+21</f>
        <v>46102</v>
      </c>
      <c r="D63" s="201" t="s">
        <v>80</v>
      </c>
    </row>
    <row r="64" spans="1:4">
      <c r="A64" s="183" t="s">
        <v>421</v>
      </c>
      <c r="B64" s="57" t="s">
        <v>422</v>
      </c>
      <c r="C64" s="186">
        <f>EOMONTH(BS_RE33!$N$4,0)+21</f>
        <v>46102</v>
      </c>
      <c r="D64" s="201" t="s">
        <v>80</v>
      </c>
    </row>
    <row r="65" spans="1:4">
      <c r="A65" s="183" t="s">
        <v>423</v>
      </c>
      <c r="B65" s="53" t="s">
        <v>424</v>
      </c>
      <c r="C65" s="186">
        <f>EOMONTH(BS_RE33!$N$4,0)+21</f>
        <v>46102</v>
      </c>
      <c r="D65" s="201" t="s">
        <v>80</v>
      </c>
    </row>
    <row r="66" spans="1:4">
      <c r="A66" s="183" t="s">
        <v>425</v>
      </c>
      <c r="B66" s="53" t="s">
        <v>426</v>
      </c>
      <c r="C66" s="186">
        <f>EOMONTH(BS_RE33!$N$4,0)+21</f>
        <v>46102</v>
      </c>
      <c r="D66" s="201" t="s">
        <v>80</v>
      </c>
    </row>
    <row r="67" spans="1:4">
      <c r="A67" s="183" t="s">
        <v>427</v>
      </c>
      <c r="B67" s="53" t="s">
        <v>428</v>
      </c>
      <c r="C67" s="186">
        <f>EOMONTH(BS_RE33!$N$4,0)+21</f>
        <v>46102</v>
      </c>
      <c r="D67" s="201" t="s">
        <v>80</v>
      </c>
    </row>
    <row r="68" spans="1:4">
      <c r="A68" s="183" t="s">
        <v>429</v>
      </c>
      <c r="B68" s="53" t="s">
        <v>430</v>
      </c>
      <c r="C68" s="186">
        <f>EOMONTH(BS_RE33!$N$4,0)+5</f>
        <v>46086</v>
      </c>
      <c r="D68" s="201" t="s">
        <v>80</v>
      </c>
    </row>
    <row r="69" spans="1:4">
      <c r="A69" s="52" t="s">
        <v>867</v>
      </c>
      <c r="B69" s="53" t="s">
        <v>870</v>
      </c>
      <c r="C69" s="185">
        <v>401768</v>
      </c>
      <c r="D69" s="199" t="s">
        <v>696</v>
      </c>
    </row>
    <row r="70" spans="1:4">
      <c r="A70" s="183" t="s">
        <v>431</v>
      </c>
      <c r="B70" s="53" t="s">
        <v>432</v>
      </c>
      <c r="C70" s="185">
        <v>401768</v>
      </c>
      <c r="D70" s="199" t="s">
        <v>696</v>
      </c>
    </row>
    <row r="71" spans="1:4">
      <c r="A71" s="183" t="s">
        <v>433</v>
      </c>
      <c r="B71" s="53" t="s">
        <v>50</v>
      </c>
      <c r="C71" s="185">
        <v>401768</v>
      </c>
      <c r="D71" s="199" t="s">
        <v>696</v>
      </c>
    </row>
    <row r="72" spans="1:4">
      <c r="A72" s="183" t="s">
        <v>438</v>
      </c>
      <c r="B72" s="53" t="s">
        <v>52</v>
      </c>
      <c r="C72" s="186">
        <f>DATE(YEAR(EDATE(BS_RE33!$N$4,60)),12,31)</f>
        <v>48213</v>
      </c>
      <c r="D72" s="201" t="s">
        <v>80</v>
      </c>
    </row>
    <row r="73" spans="1:4">
      <c r="A73" s="183" t="s">
        <v>442</v>
      </c>
      <c r="B73" s="53" t="s">
        <v>443</v>
      </c>
      <c r="C73" s="186">
        <f>DATE(YEAR(BS_RE33!$N$4),12,31)</f>
        <v>46387</v>
      </c>
      <c r="D73" s="199" t="s">
        <v>696</v>
      </c>
    </row>
    <row r="74" spans="1:4">
      <c r="A74" s="183" t="s">
        <v>444</v>
      </c>
      <c r="B74" s="53" t="s">
        <v>445</v>
      </c>
      <c r="C74" s="186">
        <f>DATE(YEAR(BS_RE33!$N$4),12,31)</f>
        <v>46387</v>
      </c>
      <c r="D74" s="199" t="s">
        <v>696</v>
      </c>
    </row>
    <row r="75" spans="1:4">
      <c r="A75" s="183" t="s">
        <v>446</v>
      </c>
      <c r="B75" s="53" t="s">
        <v>447</v>
      </c>
      <c r="C75" s="186">
        <f>DATE(YEAR(BS_RE33!$N$4),12,31)</f>
        <v>46387</v>
      </c>
      <c r="D75" s="199" t="s">
        <v>696</v>
      </c>
    </row>
    <row r="76" spans="1:4">
      <c r="A76" s="183" t="s">
        <v>682</v>
      </c>
      <c r="B76" s="53" t="s">
        <v>683</v>
      </c>
      <c r="C76" s="186">
        <f>DATE(YEAR(EDATE(BS_RE33!$N$4,60)),12,31)</f>
        <v>48213</v>
      </c>
      <c r="D76" s="201" t="s">
        <v>80</v>
      </c>
    </row>
    <row r="77" spans="1:4">
      <c r="A77" s="183" t="s">
        <v>475</v>
      </c>
      <c r="B77" s="53" t="s">
        <v>476</v>
      </c>
      <c r="C77" s="184" t="s">
        <v>65</v>
      </c>
      <c r="D77" s="201" t="s">
        <v>80</v>
      </c>
    </row>
    <row r="78" spans="1:4">
      <c r="A78" s="183" t="s">
        <v>477</v>
      </c>
      <c r="B78" s="53" t="s">
        <v>478</v>
      </c>
      <c r="C78" s="184" t="s">
        <v>65</v>
      </c>
      <c r="D78" s="201" t="s">
        <v>80</v>
      </c>
    </row>
    <row r="79" spans="1:4">
      <c r="A79" s="183" t="s">
        <v>479</v>
      </c>
      <c r="B79" s="53" t="s">
        <v>480</v>
      </c>
      <c r="C79" s="184" t="s">
        <v>65</v>
      </c>
      <c r="D79" s="201" t="s">
        <v>80</v>
      </c>
    </row>
    <row r="80" spans="1:4">
      <c r="A80" s="183" t="s">
        <v>481</v>
      </c>
      <c r="B80" s="53" t="s">
        <v>482</v>
      </c>
      <c r="C80" s="184" t="s">
        <v>65</v>
      </c>
      <c r="D80" s="201" t="s">
        <v>80</v>
      </c>
    </row>
    <row r="81" spans="1:4" ht="17.25" thickBot="1">
      <c r="A81" s="187" t="s">
        <v>483</v>
      </c>
      <c r="B81" s="188" t="s">
        <v>484</v>
      </c>
      <c r="C81" s="189" t="s">
        <v>65</v>
      </c>
      <c r="D81" s="201" t="s">
        <v>80</v>
      </c>
    </row>
    <row r="82" spans="1:4" ht="17.25" thickTop="1"/>
    <row r="84" spans="1:4" ht="17.25" thickBot="1"/>
    <row r="85" spans="1:4" ht="17.25" thickTop="1">
      <c r="A85" s="203" t="s">
        <v>67</v>
      </c>
      <c r="B85" s="204" t="s">
        <v>68</v>
      </c>
      <c r="C85" s="205" t="s">
        <v>697</v>
      </c>
    </row>
    <row r="86" spans="1:4">
      <c r="A86" s="183" t="s">
        <v>123</v>
      </c>
      <c r="B86" s="53" t="s">
        <v>592</v>
      </c>
      <c r="C86" s="184" t="s">
        <v>65</v>
      </c>
      <c r="D86" s="149" t="s">
        <v>1415</v>
      </c>
    </row>
    <row r="87" spans="1:4">
      <c r="A87" s="183"/>
      <c r="B87" s="53"/>
      <c r="C87" s="202"/>
    </row>
    <row r="88" spans="1:4">
      <c r="A88" s="183"/>
      <c r="B88" s="53"/>
      <c r="C88" s="202"/>
    </row>
    <row r="89" spans="1:4">
      <c r="A89" s="183"/>
      <c r="B89" s="53"/>
      <c r="C89" s="202"/>
    </row>
    <row r="90" spans="1:4">
      <c r="A90" s="183"/>
      <c r="B90" s="53"/>
      <c r="C90" s="202"/>
    </row>
    <row r="91" spans="1:4" ht="17.25" thickBot="1">
      <c r="A91" s="187"/>
      <c r="B91" s="188"/>
      <c r="C91" s="206"/>
    </row>
    <row r="92" spans="1:4" ht="17.25" thickTop="1"/>
  </sheetData>
  <phoneticPr fontId="3"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 지정된 범위</vt:lpstr>
      </vt:variant>
      <vt:variant>
        <vt:i4>2</vt:i4>
      </vt:variant>
    </vt:vector>
  </HeadingPairs>
  <TitlesOfParts>
    <vt:vector size="22" baseType="lpstr">
      <vt:lpstr>Summary</vt:lpstr>
      <vt:lpstr>Liquidity Maturity Gap</vt:lpstr>
      <vt:lpstr>BS_RE33</vt:lpstr>
      <vt:lpstr>Account Mapping</vt:lpstr>
      <vt:lpstr>ARF210_1A(AllCcy)</vt:lpstr>
      <vt:lpstr>30 days CF Table(AUD)</vt:lpstr>
      <vt:lpstr>Summary &amp; Working File(AllCcy)</vt:lpstr>
      <vt:lpstr>30 days CF Table(ALL)</vt:lpstr>
      <vt:lpstr>ARF210_1B(Ccy)</vt:lpstr>
      <vt:lpstr>Summary &amp; Working File(Ccy)</vt:lpstr>
      <vt:lpstr>30 days CF Table(Ccy)</vt:lpstr>
      <vt:lpstr>30 days CF Table(NZD)</vt:lpstr>
      <vt:lpstr>30 days CF Table(USD)</vt:lpstr>
      <vt:lpstr>30 days CF Table(GBP)</vt:lpstr>
      <vt:lpstr>30 days CF Table(EUR)</vt:lpstr>
      <vt:lpstr>30 days CF Table(JPY)</vt:lpstr>
      <vt:lpstr>30 days CF Table(RMB)</vt:lpstr>
      <vt:lpstr>Customer Type</vt:lpstr>
      <vt:lpstr>Assumptions</vt:lpstr>
      <vt:lpstr>Maturity Adjustment</vt:lpstr>
      <vt:lpstr>'ARF210_1A(AllCcy)'!Print_Area</vt:lpstr>
      <vt:lpstr>'ARF210_1B(Ccy)'!Print_Area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송용흠</dc:creator>
  <cp:lastModifiedBy>On</cp:lastModifiedBy>
  <cp:lastPrinted>2025-09-01T00:01:49Z</cp:lastPrinted>
  <dcterms:created xsi:type="dcterms:W3CDTF">2023-08-14T05:52:27Z</dcterms:created>
  <dcterms:modified xsi:type="dcterms:W3CDTF">2026-02-25T05:19:34Z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jcsICJub2RlMSIgOiB7ImRzZCI6IjAxMDAwMDAwMDAwMDMyNjciLCJsb2dUaW1lIjoiMjAyNi0wMi0wM1QyMjoxODowM1oiLCJwSUQiOjEsInByb2Nlc3NOYW1lIjoiRVhDRUwuRVhFIiwidHJhY2VJZCI6IkU5OUNGRjQ3RTE2MTRFQjE5RDY3RUIyMUI5QkI2MkYwIiwidXNlckNvZGUiOiIyNTYxODc3NyJ9LCJub2RlMiIgOiB7ImRzZCI6IjAxMDAwMDAwMDAwMDMyNjciLCJsb2dUaW1lIjoiMjAyNi0wMi0wNFQyMjozMDo0MloiLCJwSUQiOjEsInByb2Nlc3NJZCI6MTU3MTIsInByb2Nlc3NOYW1lIjoiRVhDRUwuRVhFIiwidHJhY2VJZCI6IjVEN0E2MTY2RTI0NDQ1OTA5QkY4NjYxQkRENzEyNTA3IiwidXNlckNvZGUiOiIyNTYxODc3NyJ9LCJub2RlMyIgOiB7ImRzZCI6IjAxMDAwMDAwMDAwMDMyNjciLCJsb2dUaW1lIjoiMjAyNi0wMi0wNFQyMzoxNDowM1oiLCJwSUQiOjEsInByb2Nlc3NOYW1lIjoiRVhDRUwuRVhFIiwidHJhY2VJZCI6IjJGMjc0NTcwN0VEOTRDRkM5RDMwQzNCMDA2RjFBODMxIiwidXNlckNvZGUiOiIyNTYxODc3NyJ9LCJub2RlNCIgOiB7ImRzZCI6IjAxMDAwMDAwMDAwMDMyNjciLCJsb2dUaW1lIjoiMjAyNi0wMi0wNlQwMzo1Mzo0NFoiLCJwSUQiOjEsInByb2Nlc3NJZCI6MTc3NiwicHJvY2Vzc05hbWUiOiJFWENFTC5FWEUiLCJ0cmFjZUlkIjoiRDk4N0FENDNEMDY4NDExMEIzNDVFRUU3REFDNzNERTYiLCJ1c2VyQ29kZSI6IjI1NjE4Nzc3In0sIm5vZGU1IiA6IHsgInVzZXJDb2RlIiA6ICIiLCAidHJhY2VJZCIgOiAiRDExMjIzRDY3RTJENTI4NzYwQTM5Mjc1Q0I3OEUyNkYiLCAiZHNkIiA6ICIwMDAwMDAwMDAwMDAwMDAwIiwgInBJRCIgOiAiMjA0OCIsICJsb2dUaW1lIiA6ICIyMDI2LTAyLTA5VDA0OjAxOjQ1WiIgfX0=</vt:lpwstr>
  </property>
  <property fmtid="{D5CDD505-2E9C-101B-9397-08002B2CF9AE}" pid="3" name="FDRClass">
    <vt:lpwstr>0</vt:lpwstr>
  </property>
  <property fmtid="{D5CDD505-2E9C-101B-9397-08002B2CF9AE}" pid="4" name="FDRSet">
    <vt:lpwstr>manual</vt:lpwstr>
  </property>
</Properties>
</file>